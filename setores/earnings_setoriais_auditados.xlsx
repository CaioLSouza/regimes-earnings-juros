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0bc25fa54144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12da0565f423460d"/>
    <x:sheet xmlns:r="http://schemas.openxmlformats.org/officeDocument/2006/relationships" name="Nivel Setorial" sheetId="2" r:id="R1a2e7187c0b2407a"/>
    <x:sheet xmlns:r="http://schemas.openxmlformats.org/officeDocument/2006/relationships" name="Nivel Base 100" sheetId="3" r:id="R7c401b67f5ba49e1"/>
    <x:sheet xmlns:r="http://schemas.openxmlformats.org/officeDocument/2006/relationships" name="Revisao 3M" sheetId="4" r:id="Rf2c0ad593eed4e63"/>
    <x:sheet xmlns:r="http://schemas.openxmlformats.org/officeDocument/2006/relationships" name="Cobertura" sheetId="5" r:id="R4e46dddbc8184c1b"/>
    <x:sheet xmlns:r="http://schemas.openxmlformats.org/officeDocument/2006/relationships" name="Cobertura Revisao" sheetId="6" r:id="Rc98430ec9a7f4257"/>
    <x:sheet xmlns:r="http://schemas.openxmlformats.org/officeDocument/2006/relationships" name="Detalhe Revisao" sheetId="7" r:id="R38d54ca5f97b4cdb"/>
    <x:sheet xmlns:r="http://schemas.openxmlformats.org/officeDocument/2006/relationships" name="Base Empresa" sheetId="8" r:id="R34b1772067914a5f"/>
    <x:sheet xmlns:r="http://schemas.openxmlformats.org/officeDocument/2006/relationships" name="Mapa Setorial" sheetId="9" r:id="R4878186a6da4476c"/>
    <x:sheet xmlns:r="http://schemas.openxmlformats.org/officeDocument/2006/relationships" name="Metodologia" sheetId="10" r:id="R8472bca9d2964cf3"/>
    <x:sheet xmlns:r="http://schemas.openxmlformats.org/officeDocument/2006/relationships" name="Checks" sheetId="11" r:id="Ra4f89c4ae97b41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mmm yyyy"/>
    <x:numFmt numFmtId="201" formatCode="#,##0.0;[Red](#,##0.0);-"/>
    <x:numFmt numFmtId="202" formatCode="0.0;[Red](0.0);-"/>
    <x:numFmt numFmtId="203" formatCode="#,##0"/>
    <x:numFmt numFmtId="204" formatCode="0.00"/>
    <x:numFmt numFmtId="205" formatCode="0.000"/>
  </x:numFmts>
  <x:fonts count="12">
    <x:font>
      <x:sz val="11"/>
      <x:name val="Carlito"/>
    </x:font>
    <x:font>
      <x:b/>
      <x:sz val="16"/>
      <x:color rgb="FFFFFFFF"/>
      <x:name val="Carlito"/>
    </x:font>
    <x:font>
      <x:i/>
      <x:sz val="10"/>
      <x:color rgb="FF566574"/>
      <x:name val="Carlito"/>
    </x:font>
    <x:font>
      <x:b/>
      <x:sz val="10"/>
      <x:color rgb="FFFFFFFF"/>
      <x:name val="Carlito"/>
    </x:font>
    <x:font>
      <x:sz val="9"/>
      <x:color rgb="FF18212B"/>
      <x:name val="Carlito"/>
    </x:font>
    <x:font>
      <x:sz val="9"/>
      <x:color rgb="FF008000"/>
      <x:name val="Carlito"/>
    </x:font>
    <x:font>
      <x:b/>
      <x:sz val="10"/>
      <x:color rgb="FF18212B"/>
      <x:name val="Carlito"/>
    </x:font>
    <x:font>
      <x:b/>
      <x:sz val="10"/>
      <x:color rgb="FF1F7A55"/>
      <x:name val="Carlito"/>
    </x:font>
    <x:font>
      <x:b/>
      <x:sz val="11"/>
      <x:color rgb="FFFFFFFF"/>
      <x:name val="Carlito"/>
    </x:font>
    <x:font>
      <x:sz val="11"/>
      <x:color rgb="FF008000"/>
      <x:name val="Carlito"/>
    </x:font>
    <x:font>
      <x:i/>
      <x:sz val="9"/>
      <x:color rgb="FF18212B"/>
      <x:name val="Carlito"/>
    </x:font>
    <x:font>
      <x:sz val="10"/>
      <x:color rgb="FF18212B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8212B"/>
      </x:patternFill>
    </x:fill>
    <x:fill>
      <x:patternFill patternType="solid">
        <x:fgColor rgb="FFF4F6F8"/>
      </x:patternFill>
    </x:fill>
    <x:fill>
      <x:patternFill patternType="solid">
        <x:fgColor rgb="FFB85C2B"/>
      </x:patternFill>
    </x:fill>
    <x:fill>
      <x:patternFill patternType="solid">
        <x:fgColor rgb="FFE1F1E8"/>
      </x:patternFill>
    </x:fill>
    <x:fill>
      <x:patternFill patternType="solid">
        <x:fgColor rgb="FFF3E2D7"/>
      </x:patternFill>
    </x:fill>
  </x:fills>
  <x:borders count="1">
    <x:border/>
  </x:borders>
  <x:cellStyleXfs count="1">
    <x:xf numFmtId="0" fontId="0" fillId="0" borderId="0"/>
  </x:cellStyleXfs>
  <x:cellXfs count="5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horizontal="center" vertical="center"/>
    </x:xf>
    <x:xf numFmtId="201" fontId="4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2" fontId="0" fillId="0" borderId="0" xfId="0" applyNumberFormat="1" applyFont="1" applyFill="1" applyBorder="1"/>
    <x:xf numFmtId="200" fontId="5" fillId="0" borderId="0" xfId="0" applyNumberFormat="1" applyFont="1" applyFill="1" applyBorder="1"/>
    <x:xf numFmtId="202" fontId="5" fillId="0" borderId="0" xfId="0" applyNumberFormat="1" applyFont="1" applyFill="1" applyBorder="1"/>
    <x:xf numFmtId="200" fontId="5" fillId="0" borderId="0" xfId="0" applyNumberFormat="1" applyFont="1" applyFill="1" applyBorder="1" applyAlignment="1">
      <x:alignment vertical="center"/>
    </x:xf>
    <x:xf numFmtId="202" fontId="5" fillId="0" borderId="0" xfId="0" applyNumberFormat="1" applyFont="1" applyFill="1" applyBorder="1" applyAlignment="1">
      <x:alignment vertical="center"/>
    </x:xf>
    <x:xf numFmtId="203" fontId="4" fillId="0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vertical="center"/>
    </x:xf>
    <x:xf numFmtId="0" fontId="6" fillId="5" borderId="0" xfId="0" applyNumberFormat="1" applyFont="1" applyFill="1" applyBorder="1" applyAlignment="1">
      <x:alignment vertical="center"/>
    </x:xf>
    <x:xf numFmtId="0" fontId="7" fillId="5" borderId="0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/>
    <x:xf numFmtId="201" fontId="0" fillId="0" borderId="0" xfId="0" applyNumberFormat="1" applyFont="1" applyFill="1" applyBorder="1"/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205" fontId="0" fillId="0" borderId="0" xfId="0" applyNumberFormat="1" applyFont="1" applyFill="1" applyBorder="1"/>
    <x:xf numFmtId="201" fontId="9" fillId="0" borderId="0" xfId="0" applyNumberFormat="1" applyFont="1" applyFill="1" applyBorder="1"/>
    <x:xf numFmtId="203" fontId="9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201" fontId="9" fillId="0" borderId="0" xfId="0" applyNumberFormat="1" applyFont="1" applyFill="1" applyBorder="1" applyAlignment="1">
      <x:alignment vertical="center"/>
    </x:xf>
    <x:xf numFmtId="203" fontId="9" fillId="0" borderId="0" xfId="0" applyNumberFormat="1" applyFont="1" applyFill="1" applyBorder="1" applyAlignment="1">
      <x:alignment vertical="center"/>
    </x:xf>
    <x:xf numFmtId="204" fontId="0" fillId="0" borderId="0" xfId="0" applyNumberFormat="1" applyFont="1" applyFill="1" applyBorder="1" applyAlignment="1">
      <x:alignment vertical="center"/>
    </x:xf>
    <x:xf numFmtId="205" fontId="0" fillId="0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10" fillId="6" borderId="0" xfId="0" applyNumberFormat="1" applyFont="1" applyFill="1" applyBorder="1"/>
    <x:xf numFmtId="0" fontId="10" fillId="6" borderId="0" xfId="0" applyNumberFormat="1" applyFont="1" applyFill="1" applyBorder="1" applyAlignment="1">
      <x:alignment wrapText="1"/>
    </x:xf>
    <x:xf numFmtId="0" fontId="8" fillId="4" borderId="0" xfId="0" applyNumberFormat="1" applyFont="1" applyFill="1" applyBorder="1"/>
    <x:xf numFmtId="0" fontId="8" fillId="4" borderId="0" xfId="0" applyNumberFormat="1" applyFont="1" applyFill="1" applyBorder="1" applyAlignment="1">
      <x:alignment wrapText="1"/>
    </x:xf>
    <x:xf numFmtId="0" fontId="11" fillId="0" borderId="0" xfId="0" applyNumberFormat="1" applyFont="1" applyFill="1" applyBorder="1"/>
    <x:xf numFmtId="0" fontId="11" fillId="0" borderId="0" xfId="0" applyNumberFormat="1" applyFont="1" applyFill="1" applyBorder="1" applyAlignment="1">
      <x:alignment wrapText="1"/>
    </x:xf>
    <x:xf numFmtId="0" fontId="11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9" fillId="0" borderId="0" xfId="0" applyNumberFormat="1" applyFont="1" applyFill="1" applyBorder="1"/>
    <x:xf numFmtId="20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vertical="center"/>
    </x:xf>
    <x:xf numFmtId="200" fontId="9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18d60c922f4604" /><Relationship Type="http://schemas.openxmlformats.org/officeDocument/2006/relationships/theme" Target="/xl/theme/theme1.xml" Id="Rb119859c71284f29" /><Relationship Type="http://schemas.openxmlformats.org/officeDocument/2006/relationships/sharedStrings" Target="/xl/sharedStrings.xml" Id="Rd74bc41b04074a81" /><Relationship Type="http://schemas.openxmlformats.org/officeDocument/2006/relationships/worksheet" Target="/xl/worksheets/sheet1.xml" Id="R12da0565f423460d" /><Relationship Type="http://schemas.openxmlformats.org/officeDocument/2006/relationships/worksheet" Target="/xl/worksheets/sheet2.xml" Id="R1a2e7187c0b2407a" /><Relationship Type="http://schemas.openxmlformats.org/officeDocument/2006/relationships/worksheet" Target="/xl/worksheets/sheet3.xml" Id="R7c401b67f5ba49e1" /><Relationship Type="http://schemas.openxmlformats.org/officeDocument/2006/relationships/worksheet" Target="/xl/worksheets/sheet4.xml" Id="Rf2c0ad593eed4e63" /><Relationship Type="http://schemas.openxmlformats.org/officeDocument/2006/relationships/worksheet" Target="/xl/worksheets/sheet5.xml" Id="R4e46dddbc8184c1b" /><Relationship Type="http://schemas.openxmlformats.org/officeDocument/2006/relationships/worksheet" Target="/xl/worksheets/sheet6.xml" Id="Rc98430ec9a7f4257" /><Relationship Type="http://schemas.openxmlformats.org/officeDocument/2006/relationships/worksheet" Target="/xl/worksheets/sheet7.xml" Id="R38d54ca5f97b4cdb" /><Relationship Type="http://schemas.openxmlformats.org/officeDocument/2006/relationships/worksheet" Target="/xl/worksheets/sheet8.xml" Id="R34b1772067914a5f" /><Relationship Type="http://schemas.openxmlformats.org/officeDocument/2006/relationships/worksheet" Target="/xl/worksheets/sheet9.xml" Id="R4878186a6da4476c" /><Relationship Type="http://schemas.openxmlformats.org/officeDocument/2006/relationships/worksheet" Target="/xl/worksheets/sheet10.xml" Id="R8472bca9d2964cf3" /><Relationship Type="http://schemas.openxmlformats.org/officeDocument/2006/relationships/worksheet" Target="/xl/worksheets/sheet11.xml" Id="Ra4f89c4ae97b418a" /></Relationships>
</file>

<file path=xl/tables/table1.xml><?xml version="1.0" encoding="utf-8"?>
<x:table xmlns:x="http://schemas.openxmlformats.org/spreadsheetml/2006/main" id="9" name="tblResumoSetores" displayName="tblResumoSetores" ref="A7:I24" headerRowCount="1" totalsRowCount="0" totalsRowShown="0">
  <x:autoFilter ref="A7:I24"/>
  <x:tableColumns count="9">
    <x:tableColumn id="1" name="Setor"/>
    <x:tableColumn id="2" name="Nível atual"/>
    <x:tableColumn id="3" name="Cobertura"/>
    <x:tableColumn id="4" name="Revisão 3M"/>
    <x:tableColumn id="5" name="Cesta comum"/>
    <x:tableColumn id="6" name="β atividade"/>
    <x:tableColumn id="7" name="Veredito atividade"/>
    <x:tableColumn id="8" name="β juros (bp)"/>
    <x:tableColumn id="9" name="Veredito juro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tblNivelSetorial" displayName="tblNivelSetorial" ref="A4:R203" headerRowCount="1" totalsRowCount="0" totalsRowShown="0">
  <x:autoFilter ref="A4:R203"/>
  <x:tableColumns count="18">
    <x:tableColumn id="1" name="Mês"/>
    <x:tableColumn id="2" name="Agribusiness"/>
    <x:tableColumn id="3" name="Banks"/>
    <x:tableColumn id="4" name="Capital Goods"/>
    <x:tableColumn id="5" name="Education"/>
    <x:tableColumn id="6" name="Financials Non-Banks"/>
    <x:tableColumn id="7" name="Food &amp; Beverages"/>
    <x:tableColumn id="8" name="Health Care"/>
    <x:tableColumn id="9" name="Homebuilders"/>
    <x:tableColumn id="10" name="Income Properties"/>
    <x:tableColumn id="11" name="Metals &amp; Mining"/>
    <x:tableColumn id="12" name="Oil, Gas &amp; Petrochemicals"/>
    <x:tableColumn id="13" name="Pulp &amp; Paper"/>
    <x:tableColumn id="14" name="Retail"/>
    <x:tableColumn id="15" name="Sanitation"/>
    <x:tableColumn id="16" name="TMT"/>
    <x:tableColumn id="17" name="Transportation"/>
    <x:tableColumn id="18" name="Utilities &amp; Energy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tblNivelBase100" displayName="tblNivelBase100" ref="A4:R203" headerRowCount="1" totalsRowCount="0" totalsRowShown="0">
  <x:autoFilter ref="A4:R203"/>
  <x:tableColumns count="18">
    <x:tableColumn id="1" name="Mês"/>
    <x:tableColumn id="2" name="Agribusiness"/>
    <x:tableColumn id="3" name="Banks"/>
    <x:tableColumn id="4" name="Capital Goods"/>
    <x:tableColumn id="5" name="Education"/>
    <x:tableColumn id="6" name="Financials Non-Banks"/>
    <x:tableColumn id="7" name="Food &amp; Beverages"/>
    <x:tableColumn id="8" name="Health Care"/>
    <x:tableColumn id="9" name="Homebuilders"/>
    <x:tableColumn id="10" name="Income Properties"/>
    <x:tableColumn id="11" name="Metals &amp; Mining"/>
    <x:tableColumn id="12" name="Oil, Gas &amp; Petrochemicals"/>
    <x:tableColumn id="13" name="Pulp &amp; Paper"/>
    <x:tableColumn id="14" name="Retail"/>
    <x:tableColumn id="15" name="Sanitation"/>
    <x:tableColumn id="16" name="TMT"/>
    <x:tableColumn id="17" name="Transportation"/>
    <x:tableColumn id="18" name="Utilities &amp; Energy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3" name="tblRevisao3M" displayName="tblRevisao3M" ref="A4:R200" headerRowCount="1" totalsRowCount="0" totalsRowShown="0">
  <x:autoFilter ref="A4:R200"/>
  <x:tableColumns count="18">
    <x:tableColumn id="1" name="Mês"/>
    <x:tableColumn id="2" name="Agribusiness"/>
    <x:tableColumn id="3" name="Banks"/>
    <x:tableColumn id="4" name="Capital Goods"/>
    <x:tableColumn id="5" name="Education"/>
    <x:tableColumn id="6" name="Financials Non-Banks"/>
    <x:tableColumn id="7" name="Food &amp; Beverages"/>
    <x:tableColumn id="8" name="Health Care"/>
    <x:tableColumn id="9" name="Homebuilders"/>
    <x:tableColumn id="10" name="Income Properties"/>
    <x:tableColumn id="11" name="Metals &amp; Mining"/>
    <x:tableColumn id="12" name="Oil, Gas &amp; Petrochemicals"/>
    <x:tableColumn id="13" name="Pulp &amp; Paper"/>
    <x:tableColumn id="14" name="Retail"/>
    <x:tableColumn id="15" name="Sanitation"/>
    <x:tableColumn id="16" name="TMT"/>
    <x:tableColumn id="17" name="Transportation"/>
    <x:tableColumn id="18" name="Utilities &amp; Energy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4" name="tblCoberturaNivel" displayName="tblCoberturaNivel" ref="A4:R203" headerRowCount="1" totalsRowCount="0" totalsRowShown="0">
  <x:autoFilter ref="A4:R203"/>
  <x:tableColumns count="18">
    <x:tableColumn id="1" name="Mês"/>
    <x:tableColumn id="2" name="Agribusiness"/>
    <x:tableColumn id="3" name="Banks"/>
    <x:tableColumn id="4" name="Capital Goods"/>
    <x:tableColumn id="5" name="Education"/>
    <x:tableColumn id="6" name="Financials Non-Banks"/>
    <x:tableColumn id="7" name="Food &amp; Beverages"/>
    <x:tableColumn id="8" name="Health Care"/>
    <x:tableColumn id="9" name="Homebuilders"/>
    <x:tableColumn id="10" name="Income Properties"/>
    <x:tableColumn id="11" name="Metals &amp; Mining"/>
    <x:tableColumn id="12" name="Oil, Gas &amp; Petrochemicals"/>
    <x:tableColumn id="13" name="Pulp &amp; Paper"/>
    <x:tableColumn id="14" name="Retail"/>
    <x:tableColumn id="15" name="Sanitation"/>
    <x:tableColumn id="16" name="TMT"/>
    <x:tableColumn id="17" name="Transportation"/>
    <x:tableColumn id="18" name="Utilities &amp; Energy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5" name="tblCoberturaRevisao" displayName="tblCoberturaRevisao" ref="A4:R200" headerRowCount="1" totalsRowCount="0" totalsRowShown="0">
  <x:autoFilter ref="A4:R200"/>
  <x:tableColumns count="18">
    <x:tableColumn id="1" name="Mês"/>
    <x:tableColumn id="2" name="Agribusiness"/>
    <x:tableColumn id="3" name="Banks"/>
    <x:tableColumn id="4" name="Capital Goods"/>
    <x:tableColumn id="5" name="Education"/>
    <x:tableColumn id="6" name="Financials Non-Banks"/>
    <x:tableColumn id="7" name="Food &amp; Beverages"/>
    <x:tableColumn id="8" name="Health Care"/>
    <x:tableColumn id="9" name="Homebuilders"/>
    <x:tableColumn id="10" name="Income Properties"/>
    <x:tableColumn id="11" name="Metals &amp; Mining"/>
    <x:tableColumn id="12" name="Oil, Gas &amp; Petrochemicals"/>
    <x:tableColumn id="13" name="Pulp &amp; Paper"/>
    <x:tableColumn id="14" name="Retail"/>
    <x:tableColumn id="15" name="Sanitation"/>
    <x:tableColumn id="16" name="TMT"/>
    <x:tableColumn id="17" name="Transportation"/>
    <x:tableColumn id="18" name="Utilities &amp; Energy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6" name="tblDetalheRevisao" displayName="tblDetalheRevisao" ref="A4:F3117" headerRowCount="1" totalsRowCount="0" totalsRowShown="0">
  <x:autoFilter ref="A4:F3117"/>
  <x:tableColumns count="6">
    <x:tableColumn id="1" name="Mês"/>
    <x:tableColumn id="2" name="Setor XP"/>
    <x:tableColumn id="3" name="Earnings t-3 (cesta constante)"/>
    <x:tableColumn id="4" name="Earnings t (cesta constante)"/>
    <x:tableColumn id="5" name="Revisão 3M"/>
    <x:tableColumn id="6" name="Empresas comun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7" name="tblBaseEmpresa" displayName="tblBaseEmpresa" ref="A4:G13826" headerRowCount="1" totalsRowCount="0" totalsRowShown="0">
  <x:autoFilter ref="A4:G13826"/>
  <x:tableColumns count="7">
    <x:tableColumn id="1" name="Mês"/>
    <x:tableColumn id="2" name="Empresa Bloomberg"/>
    <x:tableColumn id="3" name="Earnings"/>
    <x:tableColumn id="4" name="Setor XP"/>
    <x:tableColumn id="5" name="Macro setor XP"/>
    <x:tableColumn id="6" name="Super setor XP"/>
    <x:tableColumn id="7" name="Arquivo de origem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8" name="tblMapaSetorial" displayName="tblMapaSetorial" ref="A4:J165" headerRowCount="1" totalsRowCount="0" totalsRowShown="0">
  <x:autoFilter ref="A4:J165"/>
  <x:tableColumns count="10">
    <x:tableColumn id="1" name="Empresa Bloomberg"/>
    <x:tableColumn id="2" name="Empresa XP"/>
    <x:tableColumn id="3" name="Score"/>
    <x:tableColumn id="4" name="Origem do pareamento"/>
    <x:tableColumn id="5" name="Setor XP"/>
    <x:tableColumn id="6" name="Macro setor XP"/>
    <x:tableColumn id="7" name="Super setor XP"/>
    <x:tableColumn id="8" name="Setor XP original"/>
    <x:tableColumn id="9" name="Macro setor XP original"/>
    <x:tableColumn id="10" name="Super setor XP origina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8246bd80d3544d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a54b5352219445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5107864d5174c6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d2b6c6eb761248a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3044bf3aa49144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9e530c859a924e5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612757fdee904e2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fdc5e68c48bb440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aa4990d69eb4403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6" hidden="0" customWidth="1"/>
    <x:col min="3" max="3" width="12" hidden="0" customWidth="1"/>
    <x:col min="4" max="4" width="16" hidden="0" customWidth="1"/>
    <x:col min="5" max="5" width="13" hidden="0" customWidth="1"/>
    <x:col min="6" max="6" width="14" hidden="0" customWidth="1"/>
    <x:col min="7" max="7" width="21" hidden="0" customWidth="1"/>
    <x:col min="8" max="8" width="14" hidden="0" customWidth="1"/>
    <x:col min="9" max="9" width="19" hidden="0" customWidth="1"/>
  </x:cols>
  <x:sheetData>
    <x:row r="1" ht="27" customHeight="1">
      <x:c r="A1" s="3" t="str">
        <x:v>Earnings setoriais — base consolidada</x:v>
      </x:c>
      <x:c r="B1" s="3"/>
      <x:c r="C1" s="3"/>
      <x:c r="D1" s="3"/>
      <x:c r="E1" s="3"/>
      <x:c r="F1" s="3"/>
      <x:c r="G1" s="3"/>
      <x:c r="H1" s="3"/>
      <x:c r="I1" s="3"/>
    </x:row>
    <x:row r="2" ht="30" customHeight="1">
      <x:c r="A2" s="7" t="str">
        <x:v>Painel de navegação da base: último nível, revisão em 3 meses, cobertura e sensibilidades estimadas.</x:v>
      </x:c>
      <x:c r="B2" s="7"/>
      <x:c r="C2" s="7"/>
      <x:c r="D2" s="7"/>
      <x:c r="E2" s="7"/>
      <x:c r="F2" s="7"/>
      <x:c r="G2" s="7"/>
      <x:c r="H2" s="7"/>
      <x:c r="I2" s="7"/>
    </x:row>
    <x:row r="4">
      <x:c r="A4" s="25" t="str">
        <x:v>Status dos checks</x:v>
      </x:c>
      <x:c r="B4" s="27" t="str">
        <x:f>IF(COUNTIF('Checks'!F5:F16,"&lt;&gt;OK")=0,"OK","REVISAR")</x:f>
        <x:v>OK</x:v>
      </x:c>
      <x:c r="C4" s="25" t="str">
        <x:v>Período</x:v>
      </x:c>
      <x:c r="D4" s="25" t="str">
        <x:v>2010-01 a 2026-07</x:v>
      </x:c>
      <x:c r="E4" s="25" t="str">
        <x:v>Empresas</x:v>
      </x:c>
      <x:c r="F4" s="25" t="n">
        <x:v>156</x:v>
      </x:c>
      <x:c r="G4" s="25" t="str">
        <x:v>Unidade</x:v>
      </x:c>
      <x:c r="H4" s="25" t="str">
        <x:v>R$ milhões</x:v>
      </x:c>
      <x:c r="I4" s="25"/>
    </x:row>
    <x:row r="6">
      <x:c r="A6" s="28" t="str">
        <x:v>Último ponto disponível por setor</x:v>
      </x:c>
      <x:c r="B6" s="28"/>
      <x:c r="C6" s="28"/>
      <x:c r="D6" s="28"/>
      <x:c r="E6" s="28"/>
      <x:c r="F6" s="28"/>
      <x:c r="G6" s="28"/>
      <x:c r="H6" s="28"/>
      <x:c r="I6" s="28"/>
    </x:row>
    <x:row r="7" ht="32" customHeight="1">
      <x:c r="A7" s="11" t="str">
        <x:v>Setor</x:v>
      </x:c>
      <x:c r="B7" s="11" t="str">
        <x:v>Nível atual</x:v>
      </x:c>
      <x:c r="C7" s="11" t="str">
        <x:v>Cobertura</x:v>
      </x:c>
      <x:c r="D7" s="11" t="str">
        <x:v>Revisão 3M</x:v>
      </x:c>
      <x:c r="E7" s="11" t="str">
        <x:v>Cesta comum</x:v>
      </x:c>
      <x:c r="F7" s="11" t="str">
        <x:v>β atividade</x:v>
      </x:c>
      <x:c r="G7" s="11" t="str">
        <x:v>Veredito atividade</x:v>
      </x:c>
      <x:c r="H7" s="11" t="str">
        <x:v>β juros (bp)</x:v>
      </x:c>
      <x:c r="I7" s="11" t="str">
        <x:v>Veredito juros</x:v>
      </x:c>
    </x:row>
    <x:row r="8">
      <x:c r="A8" s="35" t="str">
        <x:v>Agribusiness</x:v>
      </x:c>
      <x:c r="B8" s="36" t="n">
        <x:f>'Nivel Setorial'!B203</x:f>
        <x:v>704.2851259616</x:v>
      </x:c>
      <x:c r="C8" s="37" t="n">
        <x:f>'Cobertura'!B203</x:f>
        <x:v>1</x:v>
      </x:c>
      <x:c r="D8" s="36" t="n">
        <x:f>'Revisao 3M'!B200</x:f>
        <x:v>-60.5685367233</x:v>
      </x:c>
      <x:c r="E8" s="37" t="n">
        <x:f>'Cobertura Revisao'!B200</x:f>
        <x:v>1</x:v>
      </x:c>
      <x:c r="F8" s="38" t="n">
        <x:v>-0.0079792889</x:v>
      </x:c>
      <x:c r="G8" s="35" t="str">
        <x:v>inconclusivo</x:v>
      </x:c>
      <x:c r="H8" s="39" t="n">
        <x:v>0.0641679801</x:v>
      </x:c>
      <x:c r="I8" s="35" t="str">
        <x:v>inconcl.</x:v>
      </x:c>
    </x:row>
    <x:row r="9">
      <x:c r="A9" s="35" t="str">
        <x:v>Banks</x:v>
      </x:c>
      <x:c r="B9" s="36" t="n">
        <x:f>'Nivel Setorial'!C203</x:f>
        <x:v>176588.986379222</x:v>
      </x:c>
      <x:c r="C9" s="37" t="n">
        <x:f>'Cobertura'!C203</x:f>
        <x:v>6</x:v>
      </x:c>
      <x:c r="D9" s="36" t="n">
        <x:f>'Revisao 3M'!C200</x:f>
        <x:v>1010.4611601535</x:v>
      </x:c>
      <x:c r="E9" s="37" t="n">
        <x:f>'Cobertura Revisao'!C200</x:f>
        <x:v>6</x:v>
      </x:c>
      <x:c r="F9" s="38" t="n">
        <x:v>0.3399265368</x:v>
      </x:c>
      <x:c r="G9" s="35" t="str">
        <x:v>inconclusivo</x:v>
      </x:c>
      <x:c r="H9" s="39" t="n">
        <x:v>-0.0429673097</x:v>
      </x:c>
      <x:c r="I9" s="35" t="str">
        <x:v>reprova</x:v>
      </x:c>
    </x:row>
    <x:row r="10">
      <x:c r="A10" s="35" t="str">
        <x:v>Capital Goods</x:v>
      </x:c>
      <x:c r="B10" s="36" t="n">
        <x:f>'Nivel Setorial'!D203</x:f>
        <x:v>11476.3174526247</x:v>
      </x:c>
      <x:c r="C10" s="37" t="n">
        <x:f>'Cobertura'!D203</x:f>
        <x:v>3</x:v>
      </x:c>
      <x:c r="D10" s="36" t="n">
        <x:f>'Revisao 3M'!D200</x:f>
        <x:v>20.5489923507</x:v>
      </x:c>
      <x:c r="E10" s="37" t="n">
        <x:f>'Cobertura Revisao'!D200</x:f>
        <x:v>3</x:v>
      </x:c>
      <x:c r="F10" s="38" t="n">
        <x:v>0.3958914371</x:v>
      </x:c>
      <x:c r="G10" s="35" t="str">
        <x:v>CONFIRMADO</x:v>
      </x:c>
      <x:c r="H10" s="39" t="n">
        <x:v>0.0423952686</x:v>
      </x:c>
      <x:c r="I10" s="35" t="str">
        <x:v>inconcl.</x:v>
      </x:c>
    </x:row>
    <x:row r="11">
      <x:c r="A11" s="35" t="str">
        <x:v>Education</x:v>
      </x:c>
      <x:c r="B11" s="36" t="n">
        <x:f>'Nivel Setorial'!E203</x:f>
        <x:v>1443.1974172932</x:v>
      </x:c>
      <x:c r="C11" s="37" t="n">
        <x:f>'Cobertura'!E203</x:f>
        <x:v>2</x:v>
      </x:c>
      <x:c r="D11" s="36" t="n">
        <x:f>'Revisao 3M'!E200</x:f>
        <x:v>-27.4133759123</x:v>
      </x:c>
      <x:c r="E11" s="37" t="n">
        <x:f>'Cobertura Revisao'!E200</x:f>
        <x:v>2</x:v>
      </x:c>
      <x:c r="F11" s="38" t="n">
        <x:v>0.1791422589</x:v>
      </x:c>
      <x:c r="G11" s="35" t="str">
        <x:v>inconclusivo</x:v>
      </x:c>
      <x:c r="H11" s="39" t="n">
        <x:v>-0.1203392709</x:v>
      </x:c>
      <x:c r="I11" s="35" t="str">
        <x:v>inconcl.</x:v>
      </x:c>
    </x:row>
    <x:row r="12">
      <x:c r="A12" s="35" t="str">
        <x:v>Financials Non-Banks</x:v>
      </x:c>
      <x:c r="B12" s="36" t="n">
        <x:f>'Nivel Setorial'!F203</x:f>
        <x:v>44233.0048554082</x:v>
      </x:c>
      <x:c r="C12" s="37" t="n">
        <x:f>'Cobertura'!F203</x:f>
        <x:v>5</x:v>
      </x:c>
      <x:c r="D12" s="36" t="n">
        <x:f>'Revisao 3M'!F200</x:f>
        <x:v>1098.4323464767</x:v>
      </x:c>
      <x:c r="E12" s="37" t="n">
        <x:f>'Cobertura Revisao'!F200</x:f>
        <x:v>5</x:v>
      </x:c>
      <x:c r="F12" s="38" t="n">
        <x:v>0.1887036764</x:v>
      </x:c>
      <x:c r="G12" s="35" t="str">
        <x:v>inconclusivo</x:v>
      </x:c>
      <x:c r="H12" s="39" t="n">
        <x:v>-0.0779101907</x:v>
      </x:c>
      <x:c r="I12" s="35" t="str">
        <x:v>CONFIRMADO</x:v>
      </x:c>
    </x:row>
    <x:row r="13">
      <x:c r="A13" s="35" t="str">
        <x:v>Food &amp; Beverages</x:v>
      </x:c>
      <x:c r="B13" s="36" t="n">
        <x:f>'Nivel Setorial'!G203</x:f>
        <x:v>18373.9189546082</x:v>
      </x:c>
      <x:c r="C13" s="37" t="n">
        <x:f>'Cobertura'!G203</x:f>
        <x:v>3</x:v>
      </x:c>
      <x:c r="D13" s="36" t="n">
        <x:f>'Revisao 3M'!G200</x:f>
        <x:v>1626.3048106082</x:v>
      </x:c>
      <x:c r="E13" s="37" t="n">
        <x:f>'Cobertura Revisao'!G200</x:f>
        <x:v>3</x:v>
      </x:c>
      <x:c r="F13" s="38" t="n">
        <x:v>0.1584347772</x:v>
      </x:c>
      <x:c r="G13" s="35" t="str">
        <x:v>CONFIRMADO</x:v>
      </x:c>
      <x:c r="H13" s="39" t="n">
        <x:v>0.1221591329</x:v>
      </x:c>
      <x:c r="I13" s="35" t="str">
        <x:v>inconcl.</x:v>
      </x:c>
    </x:row>
    <x:row r="14">
      <x:c r="A14" s="35" t="str">
        <x:v>Health Care</x:v>
      </x:c>
      <x:c r="B14" s="36" t="n">
        <x:f>'Nivel Setorial'!H203</x:f>
        <x:v>9155.1775224986</x:v>
      </x:c>
      <x:c r="C14" s="37" t="n">
        <x:f>'Cobertura'!H203</x:f>
        <x:v>4</x:v>
      </x:c>
      <x:c r="D14" s="36" t="n">
        <x:f>'Revisao 3M'!H200</x:f>
        <x:v>357.9742624438</x:v>
      </x:c>
      <x:c r="E14" s="37" t="n">
        <x:f>'Cobertura Revisao'!H200</x:f>
        <x:v>4</x:v>
      </x:c>
      <x:c r="F14" s="38" t="n">
        <x:v>0.1601084546</x:v>
      </x:c>
      <x:c r="G14" s="35" t="str">
        <x:v>inconclusivo</x:v>
      </x:c>
      <x:c r="H14" s="39" t="n">
        <x:v>-0.1353418325</x:v>
      </x:c>
      <x:c r="I14" s="35" t="str">
        <x:v>CONFIRMADO</x:v>
      </x:c>
    </x:row>
    <x:row r="15">
      <x:c r="A15" s="35" t="str">
        <x:v>Homebuilders</x:v>
      </x:c>
      <x:c r="B15" s="36" t="n">
        <x:f>'Nivel Setorial'!I203</x:f>
        <x:v>5144.2270003726</x:v>
      </x:c>
      <x:c r="C15" s="37" t="n">
        <x:f>'Cobertura'!I203</x:f>
        <x:v>4</x:v>
      </x:c>
      <x:c r="D15" s="36" t="n">
        <x:f>'Revisao 3M'!I200</x:f>
        <x:v>-192.6712150794</x:v>
      </x:c>
      <x:c r="E15" s="37" t="n">
        <x:f>'Cobertura Revisao'!I200</x:f>
        <x:v>4</x:v>
      </x:c>
      <x:c r="F15" s="38" t="n">
        <x:v>0.1662271063</x:v>
      </x:c>
      <x:c r="G15" s="35" t="str">
        <x:v>inconclusivo</x:v>
      </x:c>
      <x:c r="H15" s="39" t="n">
        <x:v>-0.113684875</x:v>
      </x:c>
      <x:c r="I15" s="35" t="str">
        <x:v>inconcl.</x:v>
      </x:c>
    </x:row>
    <x:row r="16">
      <x:c r="A16" s="35" t="str">
        <x:v>Income Properties</x:v>
      </x:c>
      <x:c r="B16" s="36" t="n">
        <x:f>'Nivel Setorial'!J203</x:f>
        <x:v>2934.6766215014</x:v>
      </x:c>
      <x:c r="C16" s="37" t="n">
        <x:f>'Cobertura'!J203</x:f>
        <x:v>3</x:v>
      </x:c>
      <x:c r="D16" s="36" t="n">
        <x:f>'Revisao 3M'!J200</x:f>
        <x:v>248.8108198575</x:v>
      </x:c>
      <x:c r="E16" s="37" t="n">
        <x:f>'Cobertura Revisao'!J200</x:f>
        <x:v>3</x:v>
      </x:c>
      <x:c r="F16" s="38" t="n">
        <x:v>0.3937231543</x:v>
      </x:c>
      <x:c r="G16" s="35" t="str">
        <x:v>inconclusivo</x:v>
      </x:c>
      <x:c r="H16" s="39" t="n">
        <x:v>-0.1860761299</x:v>
      </x:c>
      <x:c r="I16" s="35" t="str">
        <x:v>CONFIRMADO</x:v>
      </x:c>
    </x:row>
    <x:row r="17">
      <x:c r="A17" s="35" t="str">
        <x:v>Metals &amp; Mining</x:v>
      </x:c>
      <x:c r="B17" s="36" t="n">
        <x:f>'Nivel Setorial'!K203</x:f>
        <x:v>52518.8543964931</x:v>
      </x:c>
      <x:c r="C17" s="37" t="n">
        <x:f>'Cobertura'!K203</x:f>
        <x:v>7</x:v>
      </x:c>
      <x:c r="D17" s="36" t="n">
        <x:f>'Revisao 3M'!K200</x:f>
        <x:v>-1233.8129482521</x:v>
      </x:c>
      <x:c r="E17" s="37" t="n">
        <x:f>'Cobertura Revisao'!K200</x:f>
        <x:v>6</x:v>
      </x:c>
      <x:c r="F17" s="38" t="n">
        <x:v>0.3366433884</x:v>
      </x:c>
      <x:c r="G17" s="35" t="str">
        <x:v>inconclusivo</x:v>
      </x:c>
      <x:c r="H17" s="39" t="n">
        <x:v>0.044284769</x:v>
      </x:c>
      <x:c r="I17" s="35" t="str">
        <x:v>inconcl.</x:v>
      </x:c>
    </x:row>
    <x:row r="18">
      <x:c r="A18" s="35" t="str">
        <x:v>Oil, Gas &amp; Petrochemicals</x:v>
      </x:c>
      <x:c r="B18" s="36" t="n">
        <x:f>'Nivel Setorial'!L203</x:f>
        <x:v>143758.5063816772</x:v>
      </x:c>
      <x:c r="C18" s="37" t="n">
        <x:f>'Cobertura'!L203</x:f>
        <x:v>8</x:v>
      </x:c>
      <x:c r="D18" s="36" t="n">
        <x:f>'Revisao 3M'!L200</x:f>
        <x:v>628.6325072666</x:v>
      </x:c>
      <x:c r="E18" s="37" t="n">
        <x:f>'Cobertura Revisao'!L200</x:f>
        <x:v>8</x:v>
      </x:c>
      <x:c r="F18" s="38" t="n">
        <x:v>0.2554768475</x:v>
      </x:c>
      <x:c r="G18" s="35" t="str">
        <x:v>inconclusivo</x:v>
      </x:c>
      <x:c r="H18" s="39" t="n">
        <x:v>0.0827760285</x:v>
      </x:c>
      <x:c r="I18" s="35" t="str">
        <x:v>reprova</x:v>
      </x:c>
    </x:row>
    <x:row r="19">
      <x:c r="A19" s="35" t="str">
        <x:v>Pulp &amp; Paper</x:v>
      </x:c>
      <x:c r="B19" s="36" t="n">
        <x:f>'Nivel Setorial'!M203</x:f>
        <x:v>10123.4914952767</x:v>
      </x:c>
      <x:c r="C19" s="37" t="n">
        <x:f>'Cobertura'!M203</x:f>
        <x:v>2</x:v>
      </x:c>
      <x:c r="D19" s="36" t="n">
        <x:f>'Revisao 3M'!M200</x:f>
        <x:v>203.0998503452</x:v>
      </x:c>
      <x:c r="E19" s="37" t="n">
        <x:f>'Cobertura Revisao'!M200</x:f>
        <x:v>2</x:v>
      </x:c>
      <x:c r="F19" s="38" t="n">
        <x:v>0.5735972228</x:v>
      </x:c>
      <x:c r="G19" s="35" t="str">
        <x:v>inconclusivo</x:v>
      </x:c>
      <x:c r="H19" s="39" t="n">
        <x:v>0.1194622699</x:v>
      </x:c>
      <x:c r="I19" s="35" t="str">
        <x:v>inconcl.</x:v>
      </x:c>
    </x:row>
    <x:row r="20">
      <x:c r="A20" s="35" t="str">
        <x:v>Retail</x:v>
      </x:c>
      <x:c r="B20" s="36" t="n">
        <x:f>'Nivel Setorial'!N203</x:f>
        <x:v>9259.9066960658</x:v>
      </x:c>
      <x:c r="C20" s="37" t="n">
        <x:f>'Cobertura'!N203</x:f>
        <x:v>9</x:v>
      </x:c>
      <x:c r="D20" s="36" t="n">
        <x:f>'Revisao 3M'!N200</x:f>
        <x:v>-254.1589205918</x:v>
      </x:c>
      <x:c r="E20" s="37" t="n">
        <x:f>'Cobertura Revisao'!N200</x:f>
        <x:v>9</x:v>
      </x:c>
      <x:c r="F20" s="38" t="n">
        <x:v>0.3843272771</x:v>
      </x:c>
      <x:c r="G20" s="35" t="str">
        <x:v>CONFIRMADO</x:v>
      </x:c>
      <x:c r="H20" s="39" t="n">
        <x:v>-0.1771087008</x:v>
      </x:c>
      <x:c r="I20" s="35" t="str">
        <x:v>CONFIRMADO</x:v>
      </x:c>
    </x:row>
    <x:row r="21">
      <x:c r="A21" s="35" t="str">
        <x:v>Sanitation</x:v>
      </x:c>
      <x:c r="B21" s="36" t="n">
        <x:f>'Nivel Setorial'!O203</x:f>
        <x:v>9277.0619721644</x:v>
      </x:c>
      <x:c r="C21" s="37" t="n">
        <x:f>'Cobertura'!O203</x:f>
        <x:v>2</x:v>
      </x:c>
      <x:c r="D21" s="36" t="n">
        <x:f>'Revisao 3M'!O200</x:f>
        <x:v>20.7658748493</x:v>
      </x:c>
      <x:c r="E21" s="37" t="n">
        <x:f>'Cobertura Revisao'!O200</x:f>
        <x:v>2</x:v>
      </x:c>
      <x:c r="F21" s="38" t="n">
        <x:v>0.259664195</x:v>
      </x:c>
      <x:c r="G21" s="35" t="str">
        <x:v>inconclusivo</x:v>
      </x:c>
      <x:c r="H21" s="39" t="n">
        <x:v>-0.1297944098</x:v>
      </x:c>
      <x:c r="I21" s="35" t="str">
        <x:v>CONFIRMADO</x:v>
      </x:c>
    </x:row>
    <x:row r="22">
      <x:c r="A22" s="35" t="str">
        <x:v>TMT</x:v>
      </x:c>
      <x:c r="B22" s="36" t="n">
        <x:f>'Nivel Setorial'!P203</x:f>
        <x:v>5984.3049996274</x:v>
      </x:c>
      <x:c r="C22" s="37" t="n">
        <x:f>'Cobertura'!P203</x:f>
        <x:v>2</x:v>
      </x:c>
      <x:c r="D22" s="36" t="n">
        <x:f>'Revisao 3M'!P200</x:f>
        <x:v>-119.1080835507</x:v>
      </x:c>
      <x:c r="E22" s="37" t="n">
        <x:f>'Cobertura Revisao'!P200</x:f>
        <x:v>2</x:v>
      </x:c>
      <x:c r="F22" s="38" t="n">
        <x:v>0.0929727404</x:v>
      </x:c>
      <x:c r="G22" s="35" t="str">
        <x:v>inconclusivo</x:v>
      </x:c>
      <x:c r="H22" s="39" t="n">
        <x:v>-0.093477017</x:v>
      </x:c>
      <x:c r="I22" s="35" t="str">
        <x:v>inconcl.</x:v>
      </x:c>
    </x:row>
    <x:row r="23">
      <x:c r="A23" s="35" t="str">
        <x:v>Transportation</x:v>
      </x:c>
      <x:c r="B23" s="36" t="n">
        <x:f>'Nivel Setorial'!Q203</x:f>
        <x:v>10217.9176748712</x:v>
      </x:c>
      <x:c r="C23" s="37" t="n">
        <x:f>'Cobertura'!Q203</x:f>
        <x:v>4</x:v>
      </x:c>
      <x:c r="D23" s="36" t="n">
        <x:f>'Revisao 3M'!Q200</x:f>
        <x:v>213.3046228165</x:v>
      </x:c>
      <x:c r="E23" s="37" t="n">
        <x:f>'Cobertura Revisao'!Q200</x:f>
        <x:v>4</x:v>
      </x:c>
      <x:c r="F23" s="38" t="n">
        <x:v>0.5840002304</x:v>
      </x:c>
      <x:c r="G23" s="35" t="str">
        <x:v>CONFIRMADO</x:v>
      </x:c>
      <x:c r="H23" s="39" t="n">
        <x:v>-0.1272585881</x:v>
      </x:c>
      <x:c r="I23" s="35" t="str">
        <x:v>CONFIRMADO</x:v>
      </x:c>
    </x:row>
    <x:row r="24">
      <x:c r="A24" s="35" t="str">
        <x:v>Utilities &amp; Energy</x:v>
      </x:c>
      <x:c r="B24" s="36" t="n">
        <x:f>'Nivel Setorial'!R203</x:f>
        <x:v>38534.6532995506</x:v>
      </x:c>
      <x:c r="C24" s="37" t="n">
        <x:f>'Cobertura'!R203</x:f>
        <x:v>11</x:v>
      </x:c>
      <x:c r="D24" s="36" t="n">
        <x:f>'Revisao 3M'!R200</x:f>
        <x:v>829.054112263</x:v>
      </x:c>
      <x:c r="E24" s="37" t="n">
        <x:f>'Cobertura Revisao'!R200</x:f>
        <x:v>11</x:v>
      </x:c>
      <x:c r="F24" s="38" t="n">
        <x:v>0.0207281801</x:v>
      </x:c>
      <x:c r="G24" s="35" t="str">
        <x:v>inconclusivo</x:v>
      </x:c>
      <x:c r="H24" s="39" t="n">
        <x:v>-0.0352450842</x:v>
      </x:c>
      <x:c r="I24" s="35" t="str">
        <x:v>reprova</x:v>
      </x:c>
    </x:row>
    <x:row r="26" ht="28" customHeight="1">
      <x:c r="A26" s="42" t="str">
        <x:v>Nota: β de atividade e β de juros são saídas dos modelos analíticos já produzidos; use as abas de séries para reestimação e auditoria.</x:v>
      </x:c>
      <x:c r="B26" s="42"/>
      <x:c r="C26" s="42"/>
      <x:c r="D26" s="42"/>
      <x:c r="E26" s="42"/>
      <x:c r="F26" s="42"/>
      <x:c r="G26" s="42"/>
      <x:c r="H26" s="42"/>
      <x:c r="I26" s="42"/>
    </x:row>
  </x:sheetData>
  <x:mergeCells>
    <x:mergeCell ref="A1:I1"/>
    <x:mergeCell ref="A2:I2"/>
    <x:mergeCell ref="H4:I4"/>
    <x:mergeCell ref="A6:I6"/>
    <x:mergeCell ref="A26:I26"/>
  </x:mergeCells>
  <x:pageMargins left="0.7" right="0.7" top="0.75" bottom="0.75" header="0.3" footer="0.3"/>
  <x:tableParts count="1">
    <x:tablePart xmlns:r="http://schemas.openxmlformats.org/officeDocument/2006/relationships" r:id="R78246bd80d3544d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</x:cols>
  <x:sheetData>
    <x:row r="1" ht="27" customHeight="1">
      <x:c r="A1" s="3" t="str">
        <x:v>Earnings setoriais — nível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2" ht="30" customHeight="1">
      <x:c r="A2" s="7" t="str">
        <x:v>Soma dos earnings de todas as empresas disponíveis em cada mês. Valores assinados; perdas são mantidas.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</x:row>
    <x:row r="4" ht="31" customHeight="1">
      <x:c r="A4" s="11" t="str">
        <x:v>Mês</x:v>
      </x:c>
      <x:c r="B4" s="11" t="str">
        <x:v>Agribusiness</x:v>
      </x:c>
      <x:c r="C4" s="11" t="str">
        <x:v>Banks</x:v>
      </x:c>
      <x:c r="D4" s="11" t="str">
        <x:v>Capital Goods</x:v>
      </x:c>
      <x:c r="E4" s="11" t="str">
        <x:v>Education</x:v>
      </x:c>
      <x:c r="F4" s="11" t="str">
        <x:v>Financials Non-Banks</x:v>
      </x:c>
      <x:c r="G4" s="11" t="str">
        <x:v>Food &amp; Beverages</x:v>
      </x:c>
      <x:c r="H4" s="11" t="str">
        <x:v>Health Care</x:v>
      </x:c>
      <x:c r="I4" s="11" t="str">
        <x:v>Homebuilders</x:v>
      </x:c>
      <x:c r="J4" s="11" t="str">
        <x:v>Income Properties</x:v>
      </x:c>
      <x:c r="K4" s="11" t="str">
        <x:v>Metals &amp; Mining</x:v>
      </x:c>
      <x:c r="L4" s="11" t="str">
        <x:v>Oil, Gas &amp; Petrochemicals</x:v>
      </x:c>
      <x:c r="M4" s="11" t="str">
        <x:v>Pulp &amp; Paper</x:v>
      </x:c>
      <x:c r="N4" s="11" t="str">
        <x:v>Retail</x:v>
      </x:c>
      <x:c r="O4" s="11" t="str">
        <x:v>Sanitation</x:v>
      </x:c>
      <x:c r="P4" s="11" t="str">
        <x:v>TMT</x:v>
      </x:c>
      <x:c r="Q4" s="11" t="str">
        <x:v>Transportation</x:v>
      </x:c>
      <x:c r="R4" s="11" t="str">
        <x:v>Utilities &amp; Energy</x:v>
      </x:c>
    </x:row>
    <x:row r="5">
      <x:c r="A5" s="15" t="n">
        <x:v>40179</x:v>
      </x:c>
      <x:c r="B5" s="16"/>
      <x:c r="C5" s="16" t="n">
        <x:v>29941.245202937</x:v>
      </x:c>
      <x:c r="D5" s="16" t="n">
        <x:v>473.9679300384</x:v>
      </x:c>
      <x:c r="E5" s="16"/>
      <x:c r="F5" s="16" t="n">
        <x:v>8094.3565543452</x:v>
      </x:c>
      <x:c r="G5" s="16" t="n">
        <x:v>8687.1721984</x:v>
      </x:c>
      <x:c r="H5" s="16"/>
      <x:c r="I5" s="16" t="n">
        <x:v>2739.7816986301</x:v>
      </x:c>
      <x:c r="J5" s="16"/>
      <x:c r="K5" s="16" t="n">
        <x:v>28808.565714937</x:v>
      </x:c>
      <x:c r="L5" s="16" t="n">
        <x:v>32806.3822180822</x:v>
      </x:c>
      <x:c r="M5" s="16" t="n">
        <x:v>1379.1992876712</x:v>
      </x:c>
      <x:c r="N5" s="16" t="n">
        <x:v>2104.4189426849</x:v>
      </x:c>
      <x:c r="O5" s="16" t="n">
        <x:v>1195.5191460822</x:v>
      </x:c>
      <x:c r="P5" s="16" t="n">
        <x:v>8128.6082135671</x:v>
      </x:c>
      <x:c r="Q5" s="16" t="n">
        <x:v>1884.1942421918</x:v>
      </x:c>
      <x:c r="R5" s="16" t="n">
        <x:v>12362.2169079233</x:v>
      </x:c>
    </x:row>
    <x:row r="6">
      <x:c r="A6" s="15" t="n">
        <x:v>40210</x:v>
      </x:c>
      <x:c r="B6" s="16"/>
      <x:c r="C6" s="16" t="n">
        <x:v>30765.5592889863</x:v>
      </x:c>
      <x:c r="D6" s="16" t="n">
        <x:v>434.6130191781</x:v>
      </x:c>
      <x:c r="E6" s="16"/>
      <x:c r="F6" s="16" t="n">
        <x:v>8251.4789491726</x:v>
      </x:c>
      <x:c r="G6" s="16" t="n">
        <x:v>8797.7035951342</x:v>
      </x:c>
      <x:c r="H6" s="16"/>
      <x:c r="I6" s="16" t="n">
        <x:v>2890.4251486685</x:v>
      </x:c>
      <x:c r="J6" s="16"/>
      <x:c r="K6" s="16" t="n">
        <x:v>29401.7463137534</x:v>
      </x:c>
      <x:c r="L6" s="16" t="n">
        <x:v>32017.4699301699</x:v>
      </x:c>
      <x:c r="M6" s="16" t="n">
        <x:v>1297.5718354411</x:v>
      </x:c>
      <x:c r="N6" s="16" t="n">
        <x:v>2141.7684772384</x:v>
      </x:c>
      <x:c r="O6" s="16" t="n">
        <x:v>1200.0120817973</x:v>
      </x:c>
      <x:c r="P6" s="16" t="n">
        <x:v>8335.4059134247</x:v>
      </x:c>
      <x:c r="Q6" s="16" t="n">
        <x:v>1891.7373273425</x:v>
      </x:c>
      <x:c r="R6" s="16" t="n">
        <x:v>12058.9860457206</x:v>
      </x:c>
    </x:row>
    <x:row r="7">
      <x:c r="A7" s="15" t="n">
        <x:v>40238</x:v>
      </x:c>
      <x:c r="B7" s="16"/>
      <x:c r="C7" s="16" t="n">
        <x:v>31300.5841604383</x:v>
      </x:c>
      <x:c r="D7" s="16" t="n">
        <x:v>430.7729529863</x:v>
      </x:c>
      <x:c r="E7" s="16"/>
      <x:c r="F7" s="16" t="n">
        <x:v>8377.2226069041</x:v>
      </x:c>
      <x:c r="G7" s="16" t="n">
        <x:v>8829.412242411</x:v>
      </x:c>
      <x:c r="H7" s="16"/>
      <x:c r="I7" s="16" t="n">
        <x:v>2972.6143250411</x:v>
      </x:c>
      <x:c r="J7" s="16"/>
      <x:c r="K7" s="16" t="n">
        <x:v>35222.4075006576</x:v>
      </x:c>
      <x:c r="L7" s="16" t="n">
        <x:v>32819.4816648767</x:v>
      </x:c>
      <x:c r="M7" s="16" t="n">
        <x:v>1363.7042169863</x:v>
      </x:c>
      <x:c r="N7" s="16" t="n">
        <x:v>2194.585369863</x:v>
      </x:c>
      <x:c r="O7" s="16" t="n">
        <x:v>1196.9363252603</x:v>
      </x:c>
      <x:c r="P7" s="16" t="n">
        <x:v>8303.2653212055</x:v>
      </x:c>
      <x:c r="Q7" s="16" t="n">
        <x:v>1753.8385326027</x:v>
      </x:c>
      <x:c r="R7" s="16" t="n">
        <x:v>13199.3798724384</x:v>
      </x:c>
    </x:row>
    <x:row r="8">
      <x:c r="A8" s="15" t="n">
        <x:v>40269</x:v>
      </x:c>
      <x:c r="B8" s="16"/>
      <x:c r="C8" s="16" t="n">
        <x:v>31467.0077966027</x:v>
      </x:c>
      <x:c r="D8" s="16" t="n">
        <x:v>421.388761863</x:v>
      </x:c>
      <x:c r="E8" s="16"/>
      <x:c r="F8" s="16" t="n">
        <x:v>7973.4487127671</x:v>
      </x:c>
      <x:c r="G8" s="16" t="n">
        <x:v>8902.8423408219</x:v>
      </x:c>
      <x:c r="H8" s="16"/>
      <x:c r="I8" s="16" t="n">
        <x:v>3034.2514779178</x:v>
      </x:c>
      <x:c r="J8" s="16"/>
      <x:c r="K8" s="16" t="n">
        <x:v>39070.6491566028</x:v>
      </x:c>
      <x:c r="L8" s="16" t="n">
        <x:v>33707.0426873425</x:v>
      </x:c>
      <x:c r="M8" s="16" t="n">
        <x:v>1367.5061260274</x:v>
      </x:c>
      <x:c r="N8" s="16" t="n">
        <x:v>2236.5977644932</x:v>
      </x:c>
      <x:c r="O8" s="16" t="n">
        <x:v>1256.3420440548</x:v>
      </x:c>
      <x:c r="P8" s="16" t="n">
        <x:v>8480.1385560548</x:v>
      </x:c>
      <x:c r="Q8" s="16" t="n">
        <x:v>1725.5175379726</x:v>
      </x:c>
      <x:c r="R8" s="16" t="n">
        <x:v>12827.4988826301</x:v>
      </x:c>
    </x:row>
    <x:row r="9">
      <x:c r="A9" s="15" t="n">
        <x:v>40299</x:v>
      </x:c>
      <x:c r="B9" s="16"/>
      <x:c r="C9" s="16" t="n">
        <x:v>32634.9319210082</x:v>
      </x:c>
      <x:c r="D9" s="16" t="n">
        <x:v>439.3563174575</x:v>
      </x:c>
      <x:c r="E9" s="16"/>
      <x:c r="F9" s="16" t="n">
        <x:v>10074.4149037589</x:v>
      </x:c>
      <x:c r="G9" s="16" t="n">
        <x:v>8984.570738674</x:v>
      </x:c>
      <x:c r="H9" s="16"/>
      <x:c r="I9" s="16" t="n">
        <x:v>3400.9375955288</x:v>
      </x:c>
      <x:c r="J9" s="16"/>
      <x:c r="K9" s="16" t="n">
        <x:v>43790.6916883288</x:v>
      </x:c>
      <x:c r="L9" s="16" t="n">
        <x:v>34263.8263954411</x:v>
      </x:c>
      <x:c r="M9" s="16" t="n">
        <x:v>1439.8704241973</x:v>
      </x:c>
      <x:c r="N9" s="16" t="n">
        <x:v>2282.8594542027</x:v>
      </x:c>
      <x:c r="O9" s="16" t="n">
        <x:v>1215.4365233096</x:v>
      </x:c>
      <x:c r="P9" s="16" t="n">
        <x:v>8404.896281074</x:v>
      </x:c>
      <x:c r="Q9" s="16" t="n">
        <x:v>1669.5337415014</x:v>
      </x:c>
      <x:c r="R9" s="16" t="n">
        <x:v>12946.7047217096</x:v>
      </x:c>
    </x:row>
    <x:row r="10">
      <x:c r="A10" s="15" t="n">
        <x:v>40330</x:v>
      </x:c>
      <x:c r="B10" s="16"/>
      <x:c r="C10" s="16" t="n">
        <x:v>33014.4242645918</x:v>
      </x:c>
      <x:c r="D10" s="16" t="n">
        <x:v>466.1829244493</x:v>
      </x:c>
      <x:c r="E10" s="16"/>
      <x:c r="F10" s="16" t="n">
        <x:v>10227.1357482082</x:v>
      </x:c>
      <x:c r="G10" s="16" t="n">
        <x:v>9104.2019671671</x:v>
      </x:c>
      <x:c r="H10" s="16"/>
      <x:c r="I10" s="16" t="n">
        <x:v>3216.6931856658</x:v>
      </x:c>
      <x:c r="J10" s="16"/>
      <x:c r="K10" s="16" t="n">
        <x:v>45817.5085492603</x:v>
      </x:c>
      <x:c r="L10" s="16" t="n">
        <x:v>34846.825197589</x:v>
      </x:c>
      <x:c r="M10" s="16" t="n">
        <x:v>1388.2533137534</x:v>
      </x:c>
      <x:c r="N10" s="16" t="n">
        <x:v>2278.0390499068</x:v>
      </x:c>
      <x:c r="O10" s="16" t="n">
        <x:v>1275.7167763288</x:v>
      </x:c>
      <x:c r="P10" s="16" t="n">
        <x:v>10060.3695210959</x:v>
      </x:c>
      <x:c r="Q10" s="16" t="n">
        <x:v>1691.4610708164</x:v>
      </x:c>
      <x:c r="R10" s="16" t="n">
        <x:v>12581.5961682411</x:v>
      </x:c>
    </x:row>
    <x:row r="11">
      <x:c r="A11" s="15" t="n">
        <x:v>40360</x:v>
      </x:c>
      <x:c r="B11" s="16"/>
      <x:c r="C11" s="16" t="n">
        <x:v>33704.7471707178</x:v>
      </x:c>
      <x:c r="D11" s="16" t="n">
        <x:v>477.8009571945</x:v>
      </x:c>
      <x:c r="E11" s="16"/>
      <x:c r="F11" s="16" t="n">
        <x:v>10426.1174524493</x:v>
      </x:c>
      <x:c r="G11" s="16" t="n">
        <x:v>9408.4751089973</x:v>
      </x:c>
      <x:c r="H11" s="16"/>
      <x:c r="I11" s="16" t="n">
        <x:v>3372.893772274</x:v>
      </x:c>
      <x:c r="J11" s="16"/>
      <x:c r="K11" s="16" t="n">
        <x:v>47296.6689899835</x:v>
      </x:c>
      <x:c r="L11" s="16" t="n">
        <x:v>35399.4038512877</x:v>
      </x:c>
      <x:c r="M11" s="16" t="n">
        <x:v>1349.5207892164</x:v>
      </x:c>
      <x:c r="N11" s="16" t="n">
        <x:v>2287.9950456329</x:v>
      </x:c>
      <x:c r="O11" s="16" t="n">
        <x:v>1281.4310112438</x:v>
      </x:c>
      <x:c r="P11" s="16" t="n">
        <x:v>9755.3353088</x:v>
      </x:c>
      <x:c r="Q11" s="16" t="n">
        <x:v>1727.1627191233</x:v>
      </x:c>
      <x:c r="R11" s="16" t="n">
        <x:v>13198.2393454466</x:v>
      </x:c>
    </x:row>
    <x:row r="12">
      <x:c r="A12" s="15" t="n">
        <x:v>40391</x:v>
      </x:c>
      <x:c r="B12" s="16"/>
      <x:c r="C12" s="16" t="n">
        <x:v>34326.4510990028</x:v>
      </x:c>
      <x:c r="D12" s="16" t="n">
        <x:v>521.7848137644</x:v>
      </x:c>
      <x:c r="E12" s="16"/>
      <x:c r="F12" s="16" t="n">
        <x:v>10412.5270899726</x:v>
      </x:c>
      <x:c r="G12" s="16" t="n">
        <x:v>9569.7662111562</x:v>
      </x:c>
      <x:c r="H12" s="16"/>
      <x:c r="I12" s="16" t="n">
        <x:v>3520.6832553205</x:v>
      </x:c>
      <x:c r="J12" s="16"/>
      <x:c r="K12" s="16" t="n">
        <x:v>50334.6966282959</x:v>
      </x:c>
      <x:c r="L12" s="16" t="n">
        <x:v>35715.2801287014</x:v>
      </x:c>
      <x:c r="M12" s="16" t="n">
        <x:v>1300.0250743233</x:v>
      </x:c>
      <x:c r="N12" s="16" t="n">
        <x:v>2326.4594596822</x:v>
      </x:c>
      <x:c r="O12" s="16" t="n">
        <x:v>1296.9770250521</x:v>
      </x:c>
      <x:c r="P12" s="16" t="n">
        <x:v>10168.957529074</x:v>
      </x:c>
      <x:c r="Q12" s="16" t="n">
        <x:v>1704.800090389</x:v>
      </x:c>
      <x:c r="R12" s="16" t="n">
        <x:v>13197.2959803616</x:v>
      </x:c>
    </x:row>
    <x:row r="13">
      <x:c r="A13" s="15" t="n">
        <x:v>40422</x:v>
      </x:c>
      <x:c r="B13" s="16"/>
      <x:c r="C13" s="16" t="n">
        <x:v>43119.1628407234</x:v>
      </x:c>
      <x:c r="D13" s="16" t="n">
        <x:v>531.9687671233</x:v>
      </x:c>
      <x:c r="E13" s="16"/>
      <x:c r="F13" s="16" t="n">
        <x:v>10586.1530841425</x:v>
      </x:c>
      <x:c r="G13" s="16" t="n">
        <x:v>11348.1862540274</x:v>
      </x:c>
      <x:c r="H13" s="16"/>
      <x:c r="I13" s="16" t="n">
        <x:v>4113.0572197699</x:v>
      </x:c>
      <x:c r="J13" s="16"/>
      <x:c r="K13" s="16" t="n">
        <x:v>50363.7680742137</x:v>
      </x:c>
      <x:c r="L13" s="16" t="n">
        <x:v>36114.3054428931</x:v>
      </x:c>
      <x:c r="M13" s="16" t="n">
        <x:v>1340.4185059068</x:v>
      </x:c>
      <x:c r="N13" s="16" t="n">
        <x:v>2287.3854648767</x:v>
      </x:c>
      <x:c r="O13" s="16" t="n">
        <x:v>1299.5556748274</x:v>
      </x:c>
      <x:c r="P13" s="16" t="n">
        <x:v>10677.9417822685</x:v>
      </x:c>
      <x:c r="Q13" s="16" t="n">
        <x:v>1784.9855679123</x:v>
      </x:c>
      <x:c r="R13" s="16" t="n">
        <x:v>13404.6372970959</x:v>
      </x:c>
    </x:row>
    <x:row r="14">
      <x:c r="A14" s="15" t="n">
        <x:v>40452</x:v>
      </x:c>
      <x:c r="B14" s="16"/>
      <x:c r="C14" s="16" t="n">
        <x:v>43756.2974165918</x:v>
      </x:c>
      <x:c r="D14" s="16" t="n">
        <x:v>544.6915068493</x:v>
      </x:c>
      <x:c r="E14" s="16"/>
      <x:c r="F14" s="16" t="n">
        <x:v>10563.5576905644</x:v>
      </x:c>
      <x:c r="G14" s="16" t="n">
        <x:v>11515.1854388603</x:v>
      </x:c>
      <x:c r="H14" s="16"/>
      <x:c r="I14" s="16" t="n">
        <x:v>4292.3282725699</x:v>
      </x:c>
      <x:c r="J14" s="16"/>
      <x:c r="K14" s="16" t="n">
        <x:v>50149.5018773809</x:v>
      </x:c>
      <x:c r="L14" s="16" t="n">
        <x:v>37109.8290335562</x:v>
      </x:c>
      <x:c r="M14" s="16" t="n">
        <x:v>1238.060576526</x:v>
      </x:c>
      <x:c r="N14" s="16" t="n">
        <x:v>2326.9078263014</x:v>
      </x:c>
      <x:c r="O14" s="16" t="n">
        <x:v>1333.308289052</x:v>
      </x:c>
      <x:c r="P14" s="16" t="n">
        <x:v>10295.6066451288</x:v>
      </x:c>
      <x:c r="Q14" s="16" t="n">
        <x:v>1891.0013390466</x:v>
      </x:c>
      <x:c r="R14" s="16" t="n">
        <x:v>13517.348697337</x:v>
      </x:c>
    </x:row>
    <x:row r="15">
      <x:c r="A15" s="15" t="n">
        <x:v>40483</x:v>
      </x:c>
      <x:c r="B15" s="16"/>
      <x:c r="C15" s="16" t="n">
        <x:v>44733.8313545645</x:v>
      </x:c>
      <x:c r="D15" s="16" t="n">
        <x:v>549.2405479452</x:v>
      </x:c>
      <x:c r="E15" s="16"/>
      <x:c r="F15" s="16" t="n">
        <x:v>10602.9131583123</x:v>
      </x:c>
      <x:c r="G15" s="16" t="n">
        <x:v>11978.3604515069</x:v>
      </x:c>
      <x:c r="H15" s="16"/>
      <x:c r="I15" s="16" t="n">
        <x:v>4368.7940302904</x:v>
      </x:c>
      <x:c r="J15" s="16"/>
      <x:c r="K15" s="16" t="n">
        <x:v>51616.9820141753</x:v>
      </x:c>
      <x:c r="L15" s="16" t="n">
        <x:v>37417.6675818082</x:v>
      </x:c>
      <x:c r="M15" s="16" t="n">
        <x:v>1190.9293648658</x:v>
      </x:c>
      <x:c r="N15" s="16" t="n">
        <x:v>2389.5652308493</x:v>
      </x:c>
      <x:c r="O15" s="16" t="n">
        <x:v>1371.337765874</x:v>
      </x:c>
      <x:c r="P15" s="16" t="n">
        <x:v>10603.0484892055</x:v>
      </x:c>
      <x:c r="Q15" s="16" t="n">
        <x:v>1918.0497109699</x:v>
      </x:c>
      <x:c r="R15" s="16" t="n">
        <x:v>13723.1169476384</x:v>
      </x:c>
    </x:row>
    <x:row r="16">
      <x:c r="A16" s="15" t="n">
        <x:v>40513</x:v>
      </x:c>
      <x:c r="B16" s="16"/>
      <x:c r="C16" s="16" t="n">
        <x:v>45119.640064</x:v>
      </x:c>
      <x:c r="D16" s="16" t="n">
        <x:v>560.300032</x:v>
      </x:c>
      <x:c r="E16" s="16"/>
      <x:c r="F16" s="16" t="n">
        <x:v>10683.130112</x:v>
      </x:c>
      <x:c r="G16" s="16" t="n">
        <x:v>12227.144832</x:v>
      </x:c>
      <x:c r="H16" s="16"/>
      <x:c r="I16" s="16" t="n">
        <x:v>4524.430944</x:v>
      </x:c>
      <x:c r="J16" s="16"/>
      <x:c r="K16" s="16" t="n">
        <x:v>52419.160736</x:v>
      </x:c>
      <x:c r="L16" s="16" t="n">
        <x:v>38745.765184</x:v>
      </x:c>
      <x:c r="M16" s="16" t="n">
        <x:v>1116.38896</x:v>
      </x:c>
      <x:c r="N16" s="16" t="n">
        <x:v>2431.81088</x:v>
      </x:c>
      <x:c r="O16" s="16" t="n">
        <x:v>1378.550016</x:v>
      </x:c>
      <x:c r="P16" s="16" t="n">
        <x:v>10907.42208</x:v>
      </x:c>
      <x:c r="Q16" s="16" t="n">
        <x:v>1968.029696</x:v>
      </x:c>
      <x:c r="R16" s="16" t="n">
        <x:v>14321.22496</x:v>
      </x:c>
    </x:row>
    <x:row r="17">
      <x:c r="A17" s="15" t="n">
        <x:v>40544</x:v>
      </x:c>
      <x:c r="B17" s="16"/>
      <x:c r="C17" s="16" t="n">
        <x:v>46150.7566401749</x:v>
      </x:c>
      <x:c r="D17" s="16" t="n">
        <x:v>569.3679933552</x:v>
      </x:c>
      <x:c r="E17" s="16"/>
      <x:c r="F17" s="16" t="n">
        <x:v>10794.1638980546</x:v>
      </x:c>
      <x:c r="G17" s="16" t="n">
        <x:v>12423.1056061202</x:v>
      </x:c>
      <x:c r="H17" s="16" t="n">
        <x:v>554.6545479344</x:v>
      </x:c>
      <x:c r="I17" s="16" t="n">
        <x:v>4646.7642010929</x:v>
      </x:c>
      <x:c r="J17" s="16"/>
      <x:c r="K17" s="16" t="n">
        <x:v>51095.0653378798</x:v>
      </x:c>
      <x:c r="L17" s="16" t="n">
        <x:v>39410.0513166339</x:v>
      </x:c>
      <x:c r="M17" s="16" t="n">
        <x:v>1070.9670957814</x:v>
      </x:c>
      <x:c r="N17" s="16" t="n">
        <x:v>2486.9269387978</x:v>
      </x:c>
      <x:c r="O17" s="16" t="n">
        <x:v>1365.3597705792</x:v>
      </x:c>
      <x:c r="P17" s="16" t="n">
        <x:v>11158.9282049399</x:v>
      </x:c>
      <x:c r="Q17" s="16" t="n">
        <x:v>2074.0844444809</x:v>
      </x:c>
      <x:c r="R17" s="16" t="n">
        <x:v>14711.1471492896</x:v>
      </x:c>
    </x:row>
    <x:row r="18">
      <x:c r="A18" s="15" t="n">
        <x:v>40575</x:v>
      </x:c>
      <x:c r="B18" s="16"/>
      <x:c r="C18" s="16" t="n">
        <x:v>46575.9274135083</x:v>
      </x:c>
      <x:c r="D18" s="16" t="n">
        <x:v>566.1094620328</x:v>
      </x:c>
      <x:c r="E18" s="16"/>
      <x:c r="F18" s="16" t="n">
        <x:v>10801.8926814426</x:v>
      </x:c>
      <x:c r="G18" s="16" t="n">
        <x:v>12638.7682775082</x:v>
      </x:c>
      <x:c r="H18" s="16" t="n">
        <x:v>554.5053686557</x:v>
      </x:c>
      <x:c r="I18" s="16" t="n">
        <x:v>4749.2789277377</x:v>
      </x:c>
      <x:c r="J18" s="16"/>
      <x:c r="K18" s="16" t="n">
        <x:v>52370.7414121968</x:v>
      </x:c>
      <x:c r="L18" s="16" t="n">
        <x:v>39370.8175622296</x:v>
      </x:c>
      <x:c r="M18" s="16" t="n">
        <x:v>913.2206531148</x:v>
      </x:c>
      <x:c r="N18" s="16" t="n">
        <x:v>2557.4285028197</x:v>
      </x:c>
      <x:c r="O18" s="16" t="n">
        <x:v>1370.8457778361</x:v>
      </x:c>
      <x:c r="P18" s="16" t="n">
        <x:v>11303.8793316721</x:v>
      </x:c>
      <x:c r="Q18" s="16" t="n">
        <x:v>2113.8351213115</x:v>
      </x:c>
      <x:c r="R18" s="16" t="n">
        <x:v>15400.8015391475</x:v>
      </x:c>
    </x:row>
    <x:row r="19">
      <x:c r="A19" s="15" t="n">
        <x:v>40603</x:v>
      </x:c>
      <x:c r="B19" s="16"/>
      <x:c r="C19" s="16" t="n">
        <x:v>47035.7247608306</x:v>
      </x:c>
      <x:c r="D19" s="16" t="n">
        <x:v>563.7587290055</x:v>
      </x:c>
      <x:c r="E19" s="16"/>
      <x:c r="F19" s="16" t="n">
        <x:v>10721.5380063825</x:v>
      </x:c>
      <x:c r="G19" s="16" t="n">
        <x:v>13048.0028425792</x:v>
      </x:c>
      <x:c r="H19" s="16" t="n">
        <x:v>549.8488248306</x:v>
      </x:c>
      <x:c r="I19" s="16" t="n">
        <x:v>4693.7559543607</x:v>
      </x:c>
      <x:c r="J19" s="16"/>
      <x:c r="K19" s="16" t="n">
        <x:v>55706.2366948197</x:v>
      </x:c>
      <x:c r="L19" s="16" t="n">
        <x:v>39905.3716116284</x:v>
      </x:c>
      <x:c r="M19" s="16" t="n">
        <x:v>1045.7879883716</x:v>
      </x:c>
      <x:c r="N19" s="16" t="n">
        <x:v>2561.2280346667</x:v>
      </x:c>
      <x:c r="O19" s="16" t="n">
        <x:v>1366.240343082</x:v>
      </x:c>
      <x:c r="P19" s="16" t="n">
        <x:v>11060.7123812022</x:v>
      </x:c>
      <x:c r="Q19" s="16" t="n">
        <x:v>2159.1927339891</x:v>
      </x:c>
      <x:c r="R19" s="16" t="n">
        <x:v>15142.3329320219</x:v>
      </x:c>
    </x:row>
    <x:row r="20">
      <x:c r="A20" s="15" t="n">
        <x:v>40634</x:v>
      </x:c>
      <x:c r="B20" s="16"/>
      <x:c r="C20" s="16" t="n">
        <x:v>47070.5850334426</x:v>
      </x:c>
      <x:c r="D20" s="16" t="n">
        <x:v>584.1664781639</x:v>
      </x:c>
      <x:c r="E20" s="16"/>
      <x:c r="F20" s="16" t="n">
        <x:v>10666.4524317377</x:v>
      </x:c>
      <x:c r="G20" s="16" t="n">
        <x:v>13113.6819611803</x:v>
      </x:c>
      <x:c r="H20" s="16" t="n">
        <x:v>561.7207984262</x:v>
      </x:c>
      <x:c r="I20" s="16" t="n">
        <x:v>4678.4716343607</x:v>
      </x:c>
      <x:c r="J20" s="16"/>
      <x:c r="K20" s="16" t="n">
        <x:v>56921.3767213115</x:v>
      </x:c>
      <x:c r="L20" s="16" t="n">
        <x:v>39425.1383921312</x:v>
      </x:c>
      <x:c r="M20" s="16" t="n">
        <x:v>1041.3502352787</x:v>
      </x:c>
      <x:c r="N20" s="16" t="n">
        <x:v>2625.5718253115</x:v>
      </x:c>
      <x:c r="O20" s="16" t="n">
        <x:v>1369.005928918</x:v>
      </x:c>
      <x:c r="P20" s="16" t="n">
        <x:v>11021.078754623</x:v>
      </x:c>
      <x:c r="Q20" s="16" t="n">
        <x:v>2232.6836592131</x:v>
      </x:c>
      <x:c r="R20" s="16" t="n">
        <x:v>15125.0712047213</x:v>
      </x:c>
    </x:row>
    <x:row r="21">
      <x:c r="A21" s="15" t="n">
        <x:v>40664</x:v>
      </x:c>
      <x:c r="B21" s="16"/>
      <x:c r="C21" s="16" t="n">
        <x:v>48018.0632452895</x:v>
      </x:c>
      <x:c r="D21" s="16" t="n">
        <x:v>596.3349085027</x:v>
      </x:c>
      <x:c r="E21" s="16"/>
      <x:c r="F21" s="16" t="n">
        <x:v>10922.0275011147</x:v>
      </x:c>
      <x:c r="G21" s="16" t="n">
        <x:v>13566.3224349727</x:v>
      </x:c>
      <x:c r="H21" s="16" t="n">
        <x:v>553.0475275191</x:v>
      </x:c>
      <x:c r="I21" s="16" t="n">
        <x:v>4724.9918036284</x:v>
      </x:c>
      <x:c r="J21" s="16"/>
      <x:c r="K21" s="16" t="n">
        <x:v>55879.9857732896</x:v>
      </x:c>
      <x:c r="L21" s="16" t="n">
        <x:v>39687.1672384699</x:v>
      </x:c>
      <x:c r="M21" s="16" t="n">
        <x:v>1142.0701099016</x:v>
      </x:c>
      <x:c r="N21" s="16" t="n">
        <x:v>2730.1423731585</x:v>
      </x:c>
      <x:c r="O21" s="16" t="n">
        <x:v>1376.0270464699</x:v>
      </x:c>
      <x:c r="P21" s="16" t="n">
        <x:v>11132.7991438689</x:v>
      </x:c>
      <x:c r="Q21" s="16" t="n">
        <x:v>2213.8900546667</x:v>
      </x:c>
      <x:c r="R21" s="16" t="n">
        <x:v>14978.4333957596</x:v>
      </x:c>
    </x:row>
    <x:row r="22">
      <x:c r="A22" s="15" t="n">
        <x:v>40695</x:v>
      </x:c>
      <x:c r="B22" s="16"/>
      <x:c r="C22" s="16" t="n">
        <x:v>48812.4176786886</x:v>
      </x:c>
      <x:c r="D22" s="16" t="n">
        <x:v>630.0183865355</x:v>
      </x:c>
      <x:c r="E22" s="16"/>
      <x:c r="F22" s="16" t="n">
        <x:v>11076.627102776</x:v>
      </x:c>
      <x:c r="G22" s="16" t="n">
        <x:v>13751.1895451803</x:v>
      </x:c>
      <x:c r="H22" s="16" t="n">
        <x:v>525.4246025792</x:v>
      </x:c>
      <x:c r="I22" s="16" t="n">
        <x:v>4733.3431903825</x:v>
      </x:c>
      <x:c r="J22" s="16"/>
      <x:c r="K22" s="16" t="n">
        <x:v>55267.1978827541</x:v>
      </x:c>
      <x:c r="L22" s="16" t="n">
        <x:v>41246.6845128744</x:v>
      </x:c>
      <x:c r="M22" s="16" t="n">
        <x:v>1101.8725420765</x:v>
      </x:c>
      <x:c r="N22" s="16" t="n">
        <x:v>2777.2487184262</x:v>
      </x:c>
      <x:c r="O22" s="16" t="n">
        <x:v>1393.2553939235</x:v>
      </x:c>
      <x:c r="P22" s="16" t="n">
        <x:v>10623.4269558907</x:v>
      </x:c>
      <x:c r="Q22" s="16" t="n">
        <x:v>2195.3397930492</x:v>
      </x:c>
      <x:c r="R22" s="16" t="n">
        <x:v>15318.4347771803</x:v>
      </x:c>
    </x:row>
    <x:row r="23">
      <x:c r="A23" s="15" t="n">
        <x:v>40725</x:v>
      </x:c>
      <x:c r="B23" s="16"/>
      <x:c r="C23" s="16" t="n">
        <x:v>48624.3929180327</x:v>
      </x:c>
      <x:c r="D23" s="16" t="n">
        <x:v>662.5609542295</x:v>
      </x:c>
      <x:c r="E23" s="16"/>
      <x:c r="F23" s="16" t="n">
        <x:v>10538.3050449836</x:v>
      </x:c>
      <x:c r="G23" s="16" t="n">
        <x:v>14055.7094221639</x:v>
      </x:c>
      <x:c r="H23" s="16" t="n">
        <x:v>545.8681822076</x:v>
      </x:c>
      <x:c r="I23" s="16" t="n">
        <x:v>4698.5268803497</x:v>
      </x:c>
      <x:c r="J23" s="16"/>
      <x:c r="K23" s="16" t="n">
        <x:v>54077.1488866448</x:v>
      </x:c>
      <x:c r="L23" s="16" t="n">
        <x:v>42248.6439403716</x:v>
      </x:c>
      <x:c r="M23" s="16" t="n">
        <x:v>869.171223082</x:v>
      </x:c>
      <x:c r="N23" s="16" t="n">
        <x:v>2762.8337931148</x:v>
      </x:c>
      <x:c r="O23" s="16" t="n">
        <x:v>1373.2225070164</x:v>
      </x:c>
      <x:c r="P23" s="16" t="n">
        <x:v>11401.5989480219</x:v>
      </x:c>
      <x:c r="Q23" s="16" t="n">
        <x:v>1832.6437772678</x:v>
      </x:c>
      <x:c r="R23" s="16" t="n">
        <x:v>15506.8441864044</x:v>
      </x:c>
    </x:row>
    <x:row r="24">
      <x:c r="A24" s="15" t="n">
        <x:v>40756</x:v>
      </x:c>
      <x:c r="B24" s="16"/>
      <x:c r="C24" s="16" t="n">
        <x:v>48195.9098026666</x:v>
      </x:c>
      <x:c r="D24" s="16" t="n">
        <x:v>679.2303573333</x:v>
      </x:c>
      <x:c r="E24" s="16"/>
      <x:c r="F24" s="16" t="n">
        <x:v>10224.2400426667</x:v>
      </x:c>
      <x:c r="G24" s="16" t="n">
        <x:v>14198.667408</x:v>
      </x:c>
      <x:c r="H24" s="16" t="n">
        <x:v>438.4706773333</x:v>
      </x:c>
      <x:c r="I24" s="16" t="n">
        <x:v>4629.5655893333</x:v>
      </x:c>
      <x:c r="J24" s="16"/>
      <x:c r="K24" s="16" t="n">
        <x:v>52214.3845013334</x:v>
      </x:c>
      <x:c r="L24" s="16" t="n">
        <x:v>43500.4124173333</x:v>
      </x:c>
      <x:c r="M24" s="16" t="n">
        <x:v>530.8686613333</x:v>
      </x:c>
      <x:c r="N24" s="16" t="n">
        <x:v>2761.1864333333</x:v>
      </x:c>
      <x:c r="O24" s="16" t="n">
        <x:v>1389.9433813333</x:v>
      </x:c>
      <x:c r="P24" s="16" t="n">
        <x:v>10210.0500053333</x:v>
      </x:c>
      <x:c r="Q24" s="16" t="n">
        <x:v>1641.7990453333</x:v>
      </x:c>
      <x:c r="R24" s="16" t="n">
        <x:v>16076.50208</x:v>
      </x:c>
    </x:row>
    <x:row r="25">
      <x:c r="A25" s="15" t="n">
        <x:v>40787</x:v>
      </x:c>
      <x:c r="B25" s="16"/>
      <x:c r="C25" s="16" t="n">
        <x:v>48244.8121145355</x:v>
      </x:c>
      <x:c r="D25" s="16" t="n">
        <x:v>701.4316194973</x:v>
      </x:c>
      <x:c r="E25" s="16"/>
      <x:c r="F25" s="16" t="n">
        <x:v>10172.7844455519</x:v>
      </x:c>
      <x:c r="G25" s="16" t="n">
        <x:v>14551.3261104481</x:v>
      </x:c>
      <x:c r="H25" s="16" t="n">
        <x:v>403.3323367869</x:v>
      </x:c>
      <x:c r="I25" s="16" t="n">
        <x:v>4718.3458182295</x:v>
      </x:c>
      <x:c r="J25" s="16" t="n">
        <x:v>460.5195633661</x:v>
      </x:c>
      <x:c r="K25" s="16" t="n">
        <x:v>52538.3444229945</x:v>
      </x:c>
      <x:c r="L25" s="16" t="n">
        <x:v>44099.2071277814</x:v>
      </x:c>
      <x:c r="M25" s="16" t="n">
        <x:v>568.3938325683</x:v>
      </x:c>
      <x:c r="N25" s="16" t="n">
        <x:v>3121.7655976831</x:v>
      </x:c>
      <x:c r="O25" s="16" t="n">
        <x:v>1423.4639038251</x:v>
      </x:c>
      <x:c r="P25" s="16" t="n">
        <x:v>10085.8592594536</x:v>
      </x:c>
      <x:c r="Q25" s="16" t="n">
        <x:v>1626.1305502076</x:v>
      </x:c>
      <x:c r="R25" s="16" t="n">
        <x:v>15665.8018678907</x:v>
      </x:c>
    </x:row>
    <x:row r="26">
      <x:c r="A26" s="15" t="n">
        <x:v>40817</x:v>
      </x:c>
      <x:c r="B26" s="16"/>
      <x:c r="C26" s="16" t="n">
        <x:v>47843.566592</x:v>
      </x:c>
      <x:c r="D26" s="16" t="n">
        <x:v>780.7004906667</x:v>
      </x:c>
      <x:c r="E26" s="16"/>
      <x:c r="F26" s="16" t="n">
        <x:v>10371.0350933333</x:v>
      </x:c>
      <x:c r="G26" s="16" t="n">
        <x:v>14894.4087833333</x:v>
      </x:c>
      <x:c r="H26" s="16" t="n">
        <x:v>383.61716</x:v>
      </x:c>
      <x:c r="I26" s="16" t="n">
        <x:v>4403.55032</x:v>
      </x:c>
      <x:c r="J26" s="16" t="n">
        <x:v>475.9303413333</x:v>
      </x:c>
      <x:c r="K26" s="16" t="n">
        <x:v>52296.7375253333</x:v>
      </x:c>
      <x:c r="L26" s="16" t="n">
        <x:v>43136.6703119121</x:v>
      </x:c>
      <x:c r="M26" s="16" t="n">
        <x:v>553.5241813333</x:v>
      </x:c>
      <x:c r="N26" s="16" t="n">
        <x:v>3112.6022716667</x:v>
      </x:c>
      <x:c r="O26" s="16" t="n">
        <x:v>1443.0082986667</x:v>
      </x:c>
      <x:c r="P26" s="16" t="n">
        <x:v>10091.3682826667</x:v>
      </x:c>
      <x:c r="Q26" s="16" t="n">
        <x:v>1634.9866266667</x:v>
      </x:c>
      <x:c r="R26" s="16" t="n">
        <x:v>15357.564128</x:v>
      </x:c>
    </x:row>
    <x:row r="27">
      <x:c r="A27" s="15" t="n">
        <x:v>40848</x:v>
      </x:c>
      <x:c r="B27" s="16"/>
      <x:c r="C27" s="16" t="n">
        <x:v>48285.6030454208</x:v>
      </x:c>
      <x:c r="D27" s="16" t="n">
        <x:v>798.6844037596</x:v>
      </x:c>
      <x:c r="E27" s="16"/>
      <x:c r="F27" s="16" t="n">
        <x:v>10612.4957156721</x:v>
      </x:c>
      <x:c r="G27" s="16" t="n">
        <x:v>15080.626535541</x:v>
      </x:c>
      <x:c r="H27" s="16" t="n">
        <x:v>292.5145780328</x:v>
      </x:c>
      <x:c r="I27" s="16" t="n">
        <x:v>4337.8536333115</x:v>
      </x:c>
      <x:c r="J27" s="16" t="n">
        <x:v>485.3912752787</x:v>
      </x:c>
      <x:c r="K27" s="16" t="n">
        <x:v>50877.1994895738</x:v>
      </x:c>
      <x:c r="L27" s="16" t="n">
        <x:v>44217.4169989061</x:v>
      </x:c>
      <x:c r="M27" s="16" t="n">
        <x:v>455.9968316503</x:v>
      </x:c>
      <x:c r="N27" s="16" t="n">
        <x:v>3141.0778302842</x:v>
      </x:c>
      <x:c r="O27" s="16" t="n">
        <x:v>1462.2475729836</x:v>
      </x:c>
      <x:c r="P27" s="16" t="n">
        <x:v>10404.0837104262</x:v>
      </x:c>
      <x:c r="Q27" s="16" t="n">
        <x:v>1733.3907796721</x:v>
      </x:c>
      <x:c r="R27" s="16" t="n">
        <x:v>15194.8291446557</x:v>
      </x:c>
    </x:row>
    <x:row r="28">
      <x:c r="A28" s="15" t="n">
        <x:v>40878</x:v>
      </x:c>
      <x:c r="B28" s="16"/>
      <x:c r="C28" s="16" t="n">
        <x:v>47864.6701366558</x:v>
      </x:c>
      <x:c r="D28" s="16" t="n">
        <x:v>819.3617070164</x:v>
      </x:c>
      <x:c r="E28" s="16"/>
      <x:c r="F28" s="16" t="n">
        <x:v>10817.6752143388</x:v>
      </x:c>
      <x:c r="G28" s="16" t="n">
        <x:v>15323.7082929617</x:v>
      </x:c>
      <x:c r="H28" s="16" t="n">
        <x:v>293.7991712295</x:v>
      </x:c>
      <x:c r="I28" s="16" t="n">
        <x:v>4407.5276594535</x:v>
      </x:c>
      <x:c r="J28" s="16" t="n">
        <x:v>485.7447106448</x:v>
      </x:c>
      <x:c r="K28" s="16" t="n">
        <x:v>49360.5308252677</x:v>
      </x:c>
      <x:c r="L28" s="16" t="n">
        <x:v>43362.6596352211</x:v>
      </x:c>
      <x:c r="M28" s="16" t="n">
        <x:v>349.9285314208</x:v>
      </x:c>
      <x:c r="N28" s="16" t="n">
        <x:v>3212.2311453115</x:v>
      </x:c>
      <x:c r="O28" s="16" t="n">
        <x:v>1482.1951139672</x:v>
      </x:c>
      <x:c r="P28" s="16" t="n">
        <x:v>10549.001969224</x:v>
      </x:c>
      <x:c r="Q28" s="16" t="n">
        <x:v>1863.4704254863</x:v>
      </x:c>
      <x:c r="R28" s="16" t="n">
        <x:v>15137.4347126557</x:v>
      </x:c>
    </x:row>
    <x:row r="29">
      <x:c r="A29" s="15" t="n">
        <x:v>40909</x:v>
      </x:c>
      <x:c r="B29" s="16"/>
      <x:c r="C29" s="16" t="n">
        <x:v>47667.9176837261</x:v>
      </x:c>
      <x:c r="D29" s="16" t="n">
        <x:v>813.6378012055</x:v>
      </x:c>
      <x:c r="E29" s="16"/>
      <x:c r="F29" s="16" t="n">
        <x:v>11019.1661027945</x:v>
      </x:c>
      <x:c r="G29" s="16" t="n">
        <x:v>13742.8089988493</x:v>
      </x:c>
      <x:c r="H29" s="16" t="n">
        <x:v>622.4507480548</x:v>
      </x:c>
      <x:c r="I29" s="16" t="n">
        <x:v>4307.2405843288</x:v>
      </x:c>
      <x:c r="J29" s="16" t="n">
        <x:v>486.6882275068</x:v>
      </x:c>
      <x:c r="K29" s="16" t="n">
        <x:v>47599.3782220274</x:v>
      </x:c>
      <x:c r="L29" s="16" t="n">
        <x:v>43008.4923006301</x:v>
      </x:c>
      <x:c r="M29" s="16" t="n">
        <x:v>343.4343899178</x:v>
      </x:c>
      <x:c r="N29" s="16" t="n">
        <x:v>3263.1562836164</x:v>
      </x:c>
      <x:c r="O29" s="16" t="n">
        <x:v>1561.8409749041</x:v>
      </x:c>
      <x:c r="P29" s="16" t="n">
        <x:v>10416.4095175891</x:v>
      </x:c>
      <x:c r="Q29" s="16" t="n">
        <x:v>2298.9550363836</x:v>
      </x:c>
      <x:c r="R29" s="16" t="n">
        <x:v>15516.1911465206</x:v>
      </x:c>
    </x:row>
    <x:row r="30">
      <x:c r="A30" s="15" t="n">
        <x:v>40940</x:v>
      </x:c>
      <x:c r="B30" s="16"/>
      <x:c r="C30" s="16" t="n">
        <x:v>48039.7144512876</x:v>
      </x:c>
      <x:c r="D30" s="16" t="n">
        <x:v>781.0521072219</x:v>
      </x:c>
      <x:c r="E30" s="16"/>
      <x:c r="F30" s="16" t="n">
        <x:v>11296.3562190904</x:v>
      </x:c>
      <x:c r="G30" s="16" t="n">
        <x:v>13970.3416185424</x:v>
      </x:c>
      <x:c r="H30" s="16" t="n">
        <x:v>630.4949231342</x:v>
      </x:c>
      <x:c r="I30" s="16" t="n">
        <x:v>4123.8153657863</x:v>
      </x:c>
      <x:c r="J30" s="16" t="n">
        <x:v>495.145517589</x:v>
      </x:c>
      <x:c r="K30" s="16" t="n">
        <x:v>43546.5760674192</x:v>
      </x:c>
      <x:c r="L30" s="16" t="n">
        <x:v>40889.567195489</x:v>
      </x:c>
      <x:c r="M30" s="16" t="n">
        <x:v>261.1009436932</x:v>
      </x:c>
      <x:c r="N30" s="16" t="n">
        <x:v>3294.1503538849</x:v>
      </x:c>
      <x:c r="O30" s="16" t="n">
        <x:v>1630.0933895014</x:v>
      </x:c>
      <x:c r="P30" s="16" t="n">
        <x:v>10173.7573489973</x:v>
      </x:c>
      <x:c r="Q30" s="16" t="n">
        <x:v>2352.9772976658</x:v>
      </x:c>
      <x:c r="R30" s="16" t="n">
        <x:v>15639.3812992877</x:v>
      </x:c>
    </x:row>
    <x:row r="31">
      <x:c r="A31" s="15" t="n">
        <x:v>40969</x:v>
      </x:c>
      <x:c r="B31" s="16"/>
      <x:c r="C31" s="16" t="n">
        <x:v>48595.1398715617</x:v>
      </x:c>
      <x:c r="D31" s="16" t="n">
        <x:v>828.0582208877</x:v>
      </x:c>
      <x:c r="E31" s="16"/>
      <x:c r="F31" s="16" t="n">
        <x:v>11427.9787362192</x:v>
      </x:c>
      <x:c r="G31" s="16" t="n">
        <x:v>14719.9006673534</x:v>
      </x:c>
      <x:c r="H31" s="16" t="n">
        <x:v>633.2620961315</x:v>
      </x:c>
      <x:c r="I31" s="16" t="n">
        <x:v>4166.378259463</x:v>
      </x:c>
      <x:c r="J31" s="16" t="n">
        <x:v>508.2415005808</x:v>
      </x:c>
      <x:c r="K31" s="16" t="n">
        <x:v>43314.3436044274</x:v>
      </x:c>
      <x:c r="L31" s="16" t="n">
        <x:v>40442.7332083192</x:v>
      </x:c>
      <x:c r="M31" s="16" t="n">
        <x:v>190.8094303562</x:v>
      </x:c>
      <x:c r="N31" s="16" t="n">
        <x:v>3349.9708112877</x:v>
      </x:c>
      <x:c r="O31" s="16" t="n">
        <x:v>1667.1211670795</x:v>
      </x:c>
      <x:c r="P31" s="16" t="n">
        <x:v>10293.4294212384</x:v>
      </x:c>
      <x:c r="Q31" s="16" t="n">
        <x:v>2390.3216453699</x:v>
      </x:c>
      <x:c r="R31" s="16" t="n">
        <x:v>15554.9984674192</x:v>
      </x:c>
    </x:row>
    <x:row r="32">
      <x:c r="A32" s="15" t="n">
        <x:v>41000</x:v>
      </x:c>
      <x:c r="B32" s="16"/>
      <x:c r="C32" s="16" t="n">
        <x:v>48132.2215592328</x:v>
      </x:c>
      <x:c r="D32" s="16" t="n">
        <x:v>922.8173667945</x:v>
      </x:c>
      <x:c r="E32" s="16"/>
      <x:c r="F32" s="16" t="n">
        <x:v>11469.075257863</x:v>
      </x:c>
      <x:c r="G32" s="16" t="n">
        <x:v>14227.7357867397</x:v>
      </x:c>
      <x:c r="H32" s="16" t="n">
        <x:v>639.0607754521</x:v>
      </x:c>
      <x:c r="I32" s="16" t="n">
        <x:v>4023.4506139178</x:v>
      </x:c>
      <x:c r="J32" s="16" t="n">
        <x:v>499.7701834521</x:v>
      </x:c>
      <x:c r="K32" s="16" t="n">
        <x:v>43007.497425863</x:v>
      </x:c>
      <x:c r="L32" s="16" t="n">
        <x:v>39002.3683791781</x:v>
      </x:c>
      <x:c r="M32" s="16" t="n">
        <x:v>250.3325288767</x:v>
      </x:c>
      <x:c r="N32" s="16" t="n">
        <x:v>3383.8094179178</x:v>
      </x:c>
      <x:c r="O32" s="16" t="n">
        <x:v>1706.794520548</x:v>
      </x:c>
      <x:c r="P32" s="16" t="n">
        <x:v>8556.2613076164</x:v>
      </x:c>
      <x:c r="Q32" s="16" t="n">
        <x:v>2339.8650120548</x:v>
      </x:c>
      <x:c r="R32" s="16" t="n">
        <x:v>16085.6332611507</x:v>
      </x:c>
    </x:row>
    <x:row r="33">
      <x:c r="A33" s="15" t="n">
        <x:v>41030</x:v>
      </x:c>
      <x:c r="B33" s="16"/>
      <x:c r="C33" s="16" t="n">
        <x:v>47860.1413084932</x:v>
      </x:c>
      <x:c r="D33" s="16" t="n">
        <x:v>958.0304987178</x:v>
      </x:c>
      <x:c r="E33" s="16"/>
      <x:c r="F33" s="16" t="n">
        <x:v>11059.335008789</x:v>
      </x:c>
      <x:c r="G33" s="16" t="n">
        <x:v>14350.7797697315</x:v>
      </x:c>
      <x:c r="H33" s="16" t="n">
        <x:v>593.3003264877</x:v>
      </x:c>
      <x:c r="I33" s="16" t="n">
        <x:v>3672.1191416986</x:v>
      </x:c>
      <x:c r="J33" s="16" t="n">
        <x:v>508.7625258082</x:v>
      </x:c>
      <x:c r="K33" s="16" t="n">
        <x:v>43150.3878473643</x:v>
      </x:c>
      <x:c r="L33" s="16" t="n">
        <x:v>38628.0325595178</x:v>
      </x:c>
      <x:c r="M33" s="16" t="n">
        <x:v>246.3428720219</x:v>
      </x:c>
      <x:c r="N33" s="16" t="n">
        <x:v>3354.847107989</x:v>
      </x:c>
      <x:c r="O33" s="16" t="n">
        <x:v>1735.4054719123</x:v>
      </x:c>
      <x:c r="P33" s="16" t="n">
        <x:v>8439.8034274192</x:v>
      </x:c>
      <x:c r="Q33" s="16" t="n">
        <x:v>2314.5695565151</x:v>
      </x:c>
      <x:c r="R33" s="16" t="n">
        <x:v>16372.9201804274</x:v>
      </x:c>
    </x:row>
    <x:row r="34">
      <x:c r="A34" s="15" t="n">
        <x:v>41061</x:v>
      </x:c>
      <x:c r="B34" s="16"/>
      <x:c r="C34" s="16" t="n">
        <x:v>47610.9317049863</x:v>
      </x:c>
      <x:c r="D34" s="16" t="n">
        <x:v>986.561612274</x:v>
      </x:c>
      <x:c r="E34" s="16"/>
      <x:c r="F34" s="16" t="n">
        <x:v>10984.3823710685</x:v>
      </x:c>
      <x:c r="G34" s="16" t="n">
        <x:v>14283.4353969315</x:v>
      </x:c>
      <x:c r="H34" s="16" t="n">
        <x:v>581.2461545205</x:v>
      </x:c>
      <x:c r="I34" s="16" t="n">
        <x:v>3285.1030713973</x:v>
      </x:c>
      <x:c r="J34" s="16" t="n">
        <x:v>522.4744933699</x:v>
      </x:c>
      <x:c r="K34" s="16" t="n">
        <x:v>43252.0826958904</x:v>
      </x:c>
      <x:c r="L34" s="16" t="n">
        <x:v>36604.5130257534</x:v>
      </x:c>
      <x:c r="M34" s="16" t="n">
        <x:v>250.4508466849</x:v>
      </x:c>
      <x:c r="N34" s="16" t="n">
        <x:v>3394.5275955616</x:v>
      </x:c>
      <x:c r="O34" s="16" t="n">
        <x:v>1746.8823215342</x:v>
      </x:c>
      <x:c r="P34" s="16" t="n">
        <x:v>8202.9511241644</x:v>
      </x:c>
      <x:c r="Q34" s="16" t="n">
        <x:v>2058.3938433973</x:v>
      </x:c>
      <x:c r="R34" s="16" t="n">
        <x:v>16334.7591153973</x:v>
      </x:c>
    </x:row>
    <x:row r="35">
      <x:c r="A35" s="15" t="n">
        <x:v>41091</x:v>
      </x:c>
      <x:c r="B35" s="16"/>
      <x:c r="C35" s="16" t="n">
        <x:v>46930.6956996383</x:v>
      </x:c>
      <x:c r="D35" s="16" t="n">
        <x:v>1024.6139153534</x:v>
      </x:c>
      <x:c r="E35" s="16"/>
      <x:c r="F35" s="16" t="n">
        <x:v>11014.7683443726</x:v>
      </x:c>
      <x:c r="G35" s="16" t="n">
        <x:v>14338.6400846685</x:v>
      </x:c>
      <x:c r="H35" s="16" t="n">
        <x:v>595.3501485589</x:v>
      </x:c>
      <x:c r="I35" s="16" t="n">
        <x:v>3112.0052190247</x:v>
      </x:c>
      <x:c r="J35" s="16" t="n">
        <x:v>495.2098428493</x:v>
      </x:c>
      <x:c r="K35" s="16" t="n">
        <x:v>39037.4879033918</x:v>
      </x:c>
      <x:c r="L35" s="16" t="n">
        <x:v>36483.3079460384</x:v>
      </x:c>
      <x:c r="M35" s="16" t="n">
        <x:v>361.7167509041</x:v>
      </x:c>
      <x:c r="N35" s="16" t="n">
        <x:v>3444.6970065973</x:v>
      </x:c>
      <x:c r="O35" s="16" t="n">
        <x:v>1781.6093853808</x:v>
      </x:c>
      <x:c r="P35" s="16" t="n">
        <x:v>8258.4280716274</x:v>
      </x:c>
      <x:c r="Q35" s="16" t="n">
        <x:v>2129.2906677699</x:v>
      </x:c>
      <x:c r="R35" s="16" t="n">
        <x:v>16372.5418734466</x:v>
      </x:c>
    </x:row>
    <x:row r="36">
      <x:c r="A36" s="15" t="n">
        <x:v>41122</x:v>
      </x:c>
      <x:c r="B36" s="16"/>
      <x:c r="C36" s="16" t="n">
        <x:v>46916.8604258192</x:v>
      </x:c>
      <x:c r="D36" s="16" t="n">
        <x:v>1024.506463737</x:v>
      </x:c>
      <x:c r="E36" s="16"/>
      <x:c r="F36" s="16" t="n">
        <x:v>11090.7746033973</x:v>
      </x:c>
      <x:c r="G36" s="16" t="n">
        <x:v>14356.7503491069</x:v>
      </x:c>
      <x:c r="H36" s="16" t="n">
        <x:v>569.7296105205</x:v>
      </x:c>
      <x:c r="I36" s="16" t="n">
        <x:v>2885.1122890521</x:v>
      </x:c>
      <x:c r="J36" s="16" t="n">
        <x:v>536.0638379836</x:v>
      </x:c>
      <x:c r="K36" s="16" t="n">
        <x:v>36458.7651257424</x:v>
      </x:c>
      <x:c r="L36" s="16" t="n">
        <x:v>35458.7025226739</x:v>
      </x:c>
      <x:c r="M36" s="16" t="n">
        <x:v>370.6876603616</x:v>
      </x:c>
      <x:c r="N36" s="16" t="n">
        <x:v>3474.0031723397</x:v>
      </x:c>
      <x:c r="O36" s="16" t="n">
        <x:v>1847.8678303562</x:v>
      </x:c>
      <x:c r="P36" s="16" t="n">
        <x:v>7874.2652735123</x:v>
      </x:c>
      <x:c r="Q36" s="16" t="n">
        <x:v>2035.5931782137</x:v>
      </x:c>
      <x:c r="R36" s="16" t="n">
        <x:v>16765.8263633973</x:v>
      </x:c>
    </x:row>
    <x:row r="37">
      <x:c r="A37" s="15" t="n">
        <x:v>41153</x:v>
      </x:c>
      <x:c r="B37" s="16"/>
      <x:c r="C37" s="16" t="n">
        <x:v>47003.0003929425</x:v>
      </x:c>
      <x:c r="D37" s="16" t="n">
        <x:v>1012.3052529973</x:v>
      </x:c>
      <x:c r="E37" s="16"/>
      <x:c r="F37" s="16" t="n">
        <x:v>9770.4374006356</x:v>
      </x:c>
      <x:c r="G37" s="16" t="n">
        <x:v>14235.8509056</x:v>
      </x:c>
      <x:c r="H37" s="16" t="n">
        <x:v>579.3083703233</x:v>
      </x:c>
      <x:c r="I37" s="16" t="n">
        <x:v>2844.2139424219</x:v>
      </x:c>
      <x:c r="J37" s="16" t="n">
        <x:v>531.4847659836</x:v>
      </x:c>
      <x:c r="K37" s="16" t="n">
        <x:v>33148.2930944438</x:v>
      </x:c>
      <x:c r="L37" s="16" t="n">
        <x:v>35995.2472177315</x:v>
      </x:c>
      <x:c r="M37" s="16" t="n">
        <x:v>456.1467151781</x:v>
      </x:c>
      <x:c r="N37" s="16" t="n">
        <x:v>3472.5791211836</x:v>
      </x:c>
      <x:c r="O37" s="16" t="n">
        <x:v>1786.5876360767</x:v>
      </x:c>
      <x:c r="P37" s="16" t="n">
        <x:v>7866.2476694794</x:v>
      </x:c>
      <x:c r="Q37" s="16" t="n">
        <x:v>1985.8028814247</x:v>
      </x:c>
      <x:c r="R37" s="16" t="n">
        <x:v>16306.4533099836</x:v>
      </x:c>
    </x:row>
    <x:row r="38">
      <x:c r="A38" s="15" t="n">
        <x:v>41183</x:v>
      </x:c>
      <x:c r="B38" s="16"/>
      <x:c r="C38" s="16" t="n">
        <x:v>46674.4425878795</x:v>
      </x:c>
      <x:c r="D38" s="16" t="n">
        <x:v>997.3926952329</x:v>
      </x:c>
      <x:c r="E38" s="16"/>
      <x:c r="F38" s="16" t="n">
        <x:v>9715.4483634849</x:v>
      </x:c>
      <x:c r="G38" s="16" t="n">
        <x:v>14460.7970211945</x:v>
      </x:c>
      <x:c r="H38" s="16" t="n">
        <x:v>588.7986244384</x:v>
      </x:c>
      <x:c r="I38" s="16" t="n">
        <x:v>2805.8298375671</x:v>
      </x:c>
      <x:c r="J38" s="16" t="n">
        <x:v>550.4699807562</x:v>
      </x:c>
      <x:c r="K38" s="16" t="n">
        <x:v>30674.5606358795</x:v>
      </x:c>
      <x:c r="L38" s="16" t="n">
        <x:v>35082.9657631562</x:v>
      </x:c>
      <x:c r="M38" s="16" t="n">
        <x:v>513.7124543781</x:v>
      </x:c>
      <x:c r="N38" s="16" t="n">
        <x:v>3503.9411335452</x:v>
      </x:c>
      <x:c r="O38" s="16" t="n">
        <x:v>1802.3730316274</x:v>
      </x:c>
      <x:c r="P38" s="16" t="n">
        <x:v>7996.2463775562</x:v>
      </x:c>
      <x:c r="Q38" s="16" t="n">
        <x:v>2062.006777074</x:v>
      </x:c>
      <x:c r="R38" s="16" t="n">
        <x:v>16287.7849778849</x:v>
      </x:c>
    </x:row>
    <x:row r="39">
      <x:c r="A39" s="15" t="n">
        <x:v>41214</x:v>
      </x:c>
      <x:c r="B39" s="16"/>
      <x:c r="C39" s="16" t="n">
        <x:v>45902.5552959123</x:v>
      </x:c>
      <x:c r="D39" s="16" t="n">
        <x:v>1020.131813874</x:v>
      </x:c>
      <x:c r="E39" s="16"/>
      <x:c r="F39" s="16" t="n">
        <x:v>9821.9686242192</x:v>
      </x:c>
      <x:c r="G39" s="16" t="n">
        <x:v>14550.6279153095</x:v>
      </x:c>
      <x:c r="H39" s="16" t="n">
        <x:v>594.6707911014</x:v>
      </x:c>
      <x:c r="I39" s="16" t="n">
        <x:v>2825.9002293808</x:v>
      </x:c>
      <x:c r="J39" s="16" t="n">
        <x:v>564.6154920329</x:v>
      </x:c>
      <x:c r="K39" s="16" t="n">
        <x:v>30353.5955080109</x:v>
      </x:c>
      <x:c r="L39" s="16" t="n">
        <x:v>34522.7870606028</x:v>
      </x:c>
      <x:c r="M39" s="16" t="n">
        <x:v>543.9224464877</x:v>
      </x:c>
      <x:c r="N39" s="16" t="n">
        <x:v>3584.6302619178</x:v>
      </x:c>
      <x:c r="O39" s="16" t="n">
        <x:v>1890.5226464438</x:v>
      </x:c>
      <x:c r="P39" s="16" t="n">
        <x:v>7985.5740559781</x:v>
      </x:c>
      <x:c r="Q39" s="16" t="n">
        <x:v>2046.8247739836</x:v>
      </x:c>
      <x:c r="R39" s="16" t="n">
        <x:v>11994.2407867616</x:v>
      </x:c>
    </x:row>
    <x:row r="40">
      <x:c r="A40" s="15" t="n">
        <x:v>41244</x:v>
      </x:c>
      <x:c r="B40" s="16"/>
      <x:c r="C40" s="16" t="n">
        <x:v>46737.89952</x:v>
      </x:c>
      <x:c r="D40" s="16" t="n">
        <x:v>1010.750016</x:v>
      </x:c>
      <x:c r="E40" s="16"/>
      <x:c r="F40" s="16" t="n">
        <x:v>10241.940096</x:v>
      </x:c>
      <x:c r="G40" s="16" t="n">
        <x:v>14721.348576</x:v>
      </x:c>
      <x:c r="H40" s="16" t="n">
        <x:v>623.877984</x:v>
      </x:c>
      <x:c r="I40" s="16" t="n">
        <x:v>2881.014016</x:v>
      </x:c>
      <x:c r="J40" s="16" t="n">
        <x:v>576.286016</x:v>
      </x:c>
      <x:c r="K40" s="16" t="n">
        <x:v>30791.512824</x:v>
      </x:c>
      <x:c r="L40" s="16" t="n">
        <x:v>35096.126016</x:v>
      </x:c>
      <x:c r="M40" s="16" t="n">
        <x:v>660.87145</x:v>
      </x:c>
      <x:c r="N40" s="16" t="n">
        <x:v>3616.079476</x:v>
      </x:c>
      <x:c r="O40" s="16" t="n">
        <x:v>1926</x:v>
      </x:c>
      <x:c r="P40" s="16" t="n">
        <x:v>8017.280256</x:v>
      </x:c>
      <x:c r="Q40" s="16" t="n">
        <x:v>2145.255362</x:v>
      </x:c>
      <x:c r="R40" s="16" t="n">
        <x:v>12954.086848</x:v>
      </x:c>
    </x:row>
    <x:row r="41">
      <x:c r="A41" s="15" t="n">
        <x:v>41275</x:v>
      </x:c>
      <x:c r="B41" s="16"/>
      <x:c r="C41" s="16" t="n">
        <x:v>45836.0053956383</x:v>
      </x:c>
      <x:c r="D41" s="16" t="n">
        <x:v>934.8307822466</x:v>
      </x:c>
      <x:c r="E41" s="16"/>
      <x:c r="F41" s="16" t="n">
        <x:v>10391.0094944438</x:v>
      </x:c>
      <x:c r="G41" s="16" t="n">
        <x:v>15102.5246498192</x:v>
      </x:c>
      <x:c r="H41" s="16" t="n">
        <x:v>633.5676159562</x:v>
      </x:c>
      <x:c r="I41" s="16" t="n">
        <x:v>2797.5795014137</x:v>
      </x:c>
      <x:c r="J41" s="16" t="n">
        <x:v>584.341791737</x:v>
      </x:c>
      <x:c r="K41" s="16" t="n">
        <x:v>29537.0153975233</x:v>
      </x:c>
      <x:c r="L41" s="16" t="n">
        <x:v>35831.1092916603</x:v>
      </x:c>
      <x:c r="M41" s="16" t="n">
        <x:v>838.1697537753</x:v>
      </x:c>
      <x:c r="N41" s="16" t="n">
        <x:v>3634.4579742356</x:v>
      </x:c>
      <x:c r="O41" s="16" t="n">
        <x:v>2081.8614229918</x:v>
      </x:c>
      <x:c r="P41" s="16" t="n">
        <x:v>7960.6003554192</x:v>
      </x:c>
      <x:c r="Q41" s="16" t="n">
        <x:v>2209.908779463</x:v>
      </x:c>
      <x:c r="R41" s="16" t="n">
        <x:v>9138.9942350685</x:v>
      </x:c>
    </x:row>
    <x:row r="42">
      <x:c r="A42" s="15" t="n">
        <x:v>41306</x:v>
      </x:c>
      <x:c r="B42" s="16"/>
      <x:c r="C42" s="16" t="n">
        <x:v>45670.9390476273</x:v>
      </x:c>
      <x:c r="D42" s="16" t="n">
        <x:v>982.4542267616</x:v>
      </x:c>
      <x:c r="E42" s="16"/>
      <x:c r="F42" s="16" t="n">
        <x:v>10603.7234897534</x:v>
      </x:c>
      <x:c r="G42" s="16" t="n">
        <x:v>15440.7236082849</x:v>
      </x:c>
      <x:c r="H42" s="16" t="n">
        <x:v>641.4818795836</x:v>
      </x:c>
      <x:c r="I42" s="16" t="n">
        <x:v>2569.3743714192</x:v>
      </x:c>
      <x:c r="J42" s="16" t="n">
        <x:v>594.9695768548</x:v>
      </x:c>
      <x:c r="K42" s="16" t="n">
        <x:v>30967.9644605808</x:v>
      </x:c>
      <x:c r="L42" s="16" t="n">
        <x:v>32708.8983178521</x:v>
      </x:c>
      <x:c r="M42" s="16" t="n">
        <x:v>817.2000565479</x:v>
      </x:c>
      <x:c r="N42" s="16" t="n">
        <x:v>3673.2443215014</x:v>
      </x:c>
      <x:c r="O42" s="16" t="n">
        <x:v>2132.6291154411</x:v>
      </x:c>
      <x:c r="P42" s="16" t="n">
        <x:v>8199.3543262685</x:v>
      </x:c>
      <x:c r="Q42" s="16" t="n">
        <x:v>2234.5120951123</x:v>
      </x:c>
      <x:c r="R42" s="16" t="n">
        <x:v>7699.3488422575</x:v>
      </x:c>
    </x:row>
    <x:row r="43">
      <x:c r="A43" s="15" t="n">
        <x:v>41334</x:v>
      </x:c>
      <x:c r="B43" s="16"/>
      <x:c r="C43" s="16" t="n">
        <x:v>46538.5008212165</x:v>
      </x:c>
      <x:c r="D43" s="16" t="n">
        <x:v>997.8018002411</x:v>
      </x:c>
      <x:c r="E43" s="16"/>
      <x:c r="F43" s="16" t="n">
        <x:v>10748.0369556164</x:v>
      </x:c>
      <x:c r="G43" s="16" t="n">
        <x:v>15760.7856662795</x:v>
      </x:c>
      <x:c r="H43" s="16" t="n">
        <x:v>641.6239976329</x:v>
      </x:c>
      <x:c r="I43" s="16" t="n">
        <x:v>2565.1632199014</x:v>
      </x:c>
      <x:c r="J43" s="16" t="n">
        <x:v>603.661562389</x:v>
      </x:c>
      <x:c r="K43" s="16" t="n">
        <x:v>29949.4240118356</x:v>
      </x:c>
      <x:c r="L43" s="16" t="n">
        <x:v>33395.7096795178</x:v>
      </x:c>
      <x:c r="M43" s="16" t="n">
        <x:v>972.2302679671</x:v>
      </x:c>
      <x:c r="N43" s="16" t="n">
        <x:v>3652.0633389589</x:v>
      </x:c>
      <x:c r="O43" s="16" t="n">
        <x:v>2190.8095901808</x:v>
      </x:c>
      <x:c r="P43" s="16" t="n">
        <x:v>8095.0750362301</x:v>
      </x:c>
      <x:c r="Q43" s="16" t="n">
        <x:v>2247.1817100712</x:v>
      </x:c>
      <x:c r="R43" s="16" t="n">
        <x:v>10651.084786389</x:v>
      </x:c>
    </x:row>
    <x:row r="44">
      <x:c r="A44" s="15" t="n">
        <x:v>41365</x:v>
      </x:c>
      <x:c r="B44" s="16"/>
      <x:c r="C44" s="16" t="n">
        <x:v>47043.5162616986</x:v>
      </x:c>
      <x:c r="D44" s="16" t="n">
        <x:v>1011.8118268493</x:v>
      </x:c>
      <x:c r="E44" s="16"/>
      <x:c r="F44" s="16" t="n">
        <x:v>11009.6777635069</x:v>
      </x:c>
      <x:c r="G44" s="16" t="n">
        <x:v>15720.3947585753</x:v>
      </x:c>
      <x:c r="H44" s="16" t="n">
        <x:v>626.9049534247</x:v>
      </x:c>
      <x:c r="I44" s="16" t="n">
        <x:v>2422.2923370959</x:v>
      </x:c>
      <x:c r="J44" s="16" t="n">
        <x:v>625.8535504658</x:v>
      </x:c>
      <x:c r="K44" s="16" t="n">
        <x:v>30647.8805860821</x:v>
      </x:c>
      <x:c r="L44" s="16" t="n">
        <x:v>34557.7169332602</x:v>
      </x:c>
      <x:c r="M44" s="16" t="n">
        <x:v>976.2303875068</x:v>
      </x:c>
      <x:c r="N44" s="16" t="n">
        <x:v>3651.6551009315</x:v>
      </x:c>
      <x:c r="O44" s="16" t="n">
        <x:v>2195.3037518904</x:v>
      </x:c>
      <x:c r="P44" s="16" t="n">
        <x:v>7975.8692383562</x:v>
      </x:c>
      <x:c r="Q44" s="16" t="n">
        <x:v>2320.5305804931</x:v>
      </x:c>
      <x:c r="R44" s="16" t="n">
        <x:v>10266.9929457534</x:v>
      </x:c>
    </x:row>
    <x:row r="45">
      <x:c r="A45" s="15" t="n">
        <x:v>41395</x:v>
      </x:c>
      <x:c r="B45" s="16" t="n">
        <x:v>-7.8873972603</x:v>
      </x:c>
      <x:c r="C45" s="16" t="n">
        <x:v>59933.3615601973</x:v>
      </x:c>
      <x:c r="D45" s="16" t="n">
        <x:v>1001.7587382356</x:v>
      </x:c>
      <x:c r="E45" s="16"/>
      <x:c r="F45" s="16" t="n">
        <x:v>11006.181682937</x:v>
      </x:c>
      <x:c r="G45" s="16" t="n">
        <x:v>15847.5435089534</x:v>
      </x:c>
      <x:c r="H45" s="16" t="n">
        <x:v>632.8235511233</x:v>
      </x:c>
      <x:c r="I45" s="16" t="n">
        <x:v>2196.9935324055</x:v>
      </x:c>
      <x:c r="J45" s="16" t="n">
        <x:v>985.2388402849</x:v>
      </x:c>
      <x:c r="K45" s="16" t="n">
        <x:v>29457.3804934466</x:v>
      </x:c>
      <x:c r="L45" s="16" t="n">
        <x:v>35464.116336011</x:v>
      </x:c>
      <x:c r="M45" s="16" t="n">
        <x:v>1056.4630718247</x:v>
      </x:c>
      <x:c r="N45" s="16" t="n">
        <x:v>3651.4469472</x:v>
      </x:c>
      <x:c r="O45" s="16" t="n">
        <x:v>2189.1169350137</x:v>
      </x:c>
      <x:c r="P45" s="16" t="n">
        <x:v>8241.723763726</x:v>
      </x:c>
      <x:c r="Q45" s="16" t="n">
        <x:v>2441.364803726</x:v>
      </x:c>
      <x:c r="R45" s="16" t="n">
        <x:v>10107.2805609644</x:v>
      </x:c>
    </x:row>
    <x:row r="46">
      <x:c r="A46" s="15" t="n">
        <x:v>41426</x:v>
      </x:c>
      <x:c r="B46" s="16" t="n">
        <x:v>-4.1208219178</x:v>
      </x:c>
      <x:c r="C46" s="16" t="n">
        <x:v>60359.8389205917</x:v>
      </x:c>
      <x:c r="D46" s="16" t="n">
        <x:v>1055.4580455452</x:v>
      </x:c>
      <x:c r="E46" s="16"/>
      <x:c r="F46" s="16" t="n">
        <x:v>11100.4533404932</x:v>
      </x:c>
      <x:c r="G46" s="16" t="n">
        <x:v>16121.5240277041</x:v>
      </x:c>
      <x:c r="H46" s="16" t="n">
        <x:v>623.1164397589</x:v>
      </x:c>
      <x:c r="I46" s="16" t="n">
        <x:v>2223.4467398575</x:v>
      </x:c>
      <x:c r="J46" s="16" t="n">
        <x:v>974.8812836822</x:v>
      </x:c>
      <x:c r="K46" s="16" t="n">
        <x:v>29234.5413822904</x:v>
      </x:c>
      <x:c r="L46" s="16" t="n">
        <x:v>33961.3117797918</x:v>
      </x:c>
      <x:c r="M46" s="16" t="n">
        <x:v>1058.6192128877</x:v>
      </x:c>
      <x:c r="N46" s="16" t="n">
        <x:v>3669.3196677041</x:v>
      </x:c>
      <x:c r="O46" s="16" t="n">
        <x:v>2201.8328779397</x:v>
      </x:c>
      <x:c r="P46" s="16" t="n">
        <x:v>8315.4584540932</x:v>
      </x:c>
      <x:c r="Q46" s="16" t="n">
        <x:v>2450.5037243616</x:v>
      </x:c>
      <x:c r="R46" s="16" t="n">
        <x:v>11228.0337398795</x:v>
      </x:c>
    </x:row>
    <x:row r="47">
      <x:c r="A47" s="15" t="n">
        <x:v>41456</x:v>
      </x:c>
      <x:c r="B47" s="16" t="n">
        <x:v>-18.5750684932</x:v>
      </x:c>
      <x:c r="C47" s="16" t="n">
        <x:v>60270.2313991013</x:v>
      </x:c>
      <x:c r="D47" s="16" t="n">
        <x:v>1024.1120045589</x:v>
      </x:c>
      <x:c r="E47" s="16"/>
      <x:c r="F47" s="16" t="n">
        <x:v>11080.9875618192</x:v>
      </x:c>
      <x:c r="G47" s="16" t="n">
        <x:v>16490.6551712877</x:v>
      </x:c>
      <x:c r="H47" s="16" t="n">
        <x:v>635.2880022795</x:v>
      </x:c>
      <x:c r="I47" s="16" t="n">
        <x:v>2220.6658398247</x:v>
      </x:c>
      <x:c r="J47" s="16" t="n">
        <x:v>943.9079671233</x:v>
      </x:c>
      <x:c r="K47" s="16" t="n">
        <x:v>28933.7096239781</x:v>
      </x:c>
      <x:c r="L47" s="16" t="n">
        <x:v>31736.8295939506</x:v>
      </x:c>
      <x:c r="M47" s="16" t="n">
        <x:v>890.0640015671</x:v>
      </x:c>
      <x:c r="N47" s="16" t="n">
        <x:v>3652.653948274</x:v>
      </x:c>
      <x:c r="O47" s="16" t="n">
        <x:v>2134.0918759452</x:v>
      </x:c>
      <x:c r="P47" s="16" t="n">
        <x:v>8237.1305815671</x:v>
      </x:c>
      <x:c r="Q47" s="16" t="n">
        <x:v>2402.5314617863</x:v>
      </x:c>
      <x:c r="R47" s="16" t="n">
        <x:v>11377.0313521315</x:v>
      </x:c>
    </x:row>
    <x:row r="48">
      <x:c r="A48" s="15" t="n">
        <x:v>41487</x:v>
      </x:c>
      <x:c r="B48" s="16" t="n">
        <x:v>-16.0257534247</x:v>
      </x:c>
      <x:c r="C48" s="16" t="n">
        <x:v>60026.8757777535</x:v>
      </x:c>
      <x:c r="D48" s="16" t="n">
        <x:v>1050.060941326</x:v>
      </x:c>
      <x:c r="E48" s="16"/>
      <x:c r="F48" s="16" t="n">
        <x:v>11442.1153952438</x:v>
      </x:c>
      <x:c r="G48" s="16" t="n">
        <x:v>16677.314175737</x:v>
      </x:c>
      <x:c r="H48" s="16" t="n">
        <x:v>636.8551180274</x:v>
      </x:c>
      <x:c r="I48" s="16" t="n">
        <x:v>2156.6222557808</x:v>
      </x:c>
      <x:c r="J48" s="16" t="n">
        <x:v>942.3244110027</x:v>
      </x:c>
      <x:c r="K48" s="16" t="n">
        <x:v>28934.9030786192</x:v>
      </x:c>
      <x:c r="L48" s="16" t="n">
        <x:v>33581.4520905644</x:v>
      </x:c>
      <x:c r="M48" s="16" t="n">
        <x:v>920.1146126904</x:v>
      </x:c>
      <x:c r="N48" s="16" t="n">
        <x:v>3684.3895122411</x:v>
      </x:c>
      <x:c r="O48" s="16" t="n">
        <x:v>2067.6507314849</x:v>
      </x:c>
      <x:c r="P48" s="16" t="n">
        <x:v>8253.1180140712</x:v>
      </x:c>
      <x:c r="Q48" s="16" t="n">
        <x:v>2289.133169074</x:v>
      </x:c>
      <x:c r="R48" s="16" t="n">
        <x:v>11328.6838696658</x:v>
      </x:c>
    </x:row>
    <x:row r="49">
      <x:c r="A49" s="15" t="n">
        <x:v>41518</x:v>
      </x:c>
      <x:c r="B49" s="16" t="n">
        <x:v>-9.2269863014</x:v>
      </x:c>
      <x:c r="C49" s="16" t="n">
        <x:v>59802.1185746411</x:v>
      </x:c>
      <x:c r="D49" s="16" t="n">
        <x:v>1142.5362873863</x:v>
      </x:c>
      <x:c r="E49" s="16" t="n">
        <x:v>853.8405016548</x:v>
      </x:c>
      <x:c r="F49" s="16" t="n">
        <x:v>11528.529356011</x:v>
      </x:c>
      <x:c r="G49" s="16" t="n">
        <x:v>16835.6607246904</x:v>
      </x:c>
      <x:c r="H49" s="16" t="n">
        <x:v>652.0754670466</x:v>
      </x:c>
      <x:c r="I49" s="16" t="n">
        <x:v>2063.2518217863</x:v>
      </x:c>
      <x:c r="J49" s="16" t="n">
        <x:v>952.4023212712</x:v>
      </x:c>
      <x:c r="K49" s="16" t="n">
        <x:v>29717.4868895123</x:v>
      </x:c>
      <x:c r="L49" s="16" t="n">
        <x:v>32434.2654471014</x:v>
      </x:c>
      <x:c r="M49" s="16" t="n">
        <x:v>1031.480710663</x:v>
      </x:c>
      <x:c r="N49" s="16" t="n">
        <x:v>3738.1133907726</x:v>
      </x:c>
      <x:c r="O49" s="16" t="n">
        <x:v>1948.0359143452</x:v>
      </x:c>
      <x:c r="P49" s="16" t="n">
        <x:v>7496.5520201644</x:v>
      </x:c>
      <x:c r="Q49" s="16" t="n">
        <x:v>2339.8794858082</x:v>
      </x:c>
      <x:c r="R49" s="16" t="n">
        <x:v>11554.7756844712</x:v>
      </x:c>
    </x:row>
    <x:row r="50">
      <x:c r="A50" s="15" t="n">
        <x:v>41548</x:v>
      </x:c>
      <x:c r="B50" s="16" t="n">
        <x:v>-2.4282191781</x:v>
      </x:c>
      <x:c r="C50" s="16" t="n">
        <x:v>60289.0872060492</x:v>
      </x:c>
      <x:c r="D50" s="16" t="n">
        <x:v>993.9345662247</x:v>
      </x:c>
      <x:c r="E50" s="16" t="n">
        <x:v>866.316416</x:v>
      </x:c>
      <x:c r="F50" s="16" t="n">
        <x:v>11473.0003915397</x:v>
      </x:c>
      <x:c r="G50" s="16" t="n">
        <x:v>16685.173075726</x:v>
      </x:c>
      <x:c r="H50" s="16" t="n">
        <x:v>663.4747628932</x:v>
      </x:c>
      <x:c r="I50" s="16" t="n">
        <x:v>2018.9679996329</x:v>
      </x:c>
      <x:c r="J50" s="16" t="n">
        <x:v>918.0033953315</x:v>
      </x:c>
      <x:c r="K50" s="16" t="n">
        <x:v>29309.8403014959</x:v>
      </x:c>
      <x:c r="L50" s="16" t="n">
        <x:v>29855.5513126575</x:v>
      </x:c>
      <x:c r="M50" s="16" t="n">
        <x:v>1047.5651879452</x:v>
      </x:c>
      <x:c r="N50" s="16" t="n">
        <x:v>3678.7366503452</x:v>
      </x:c>
      <x:c r="O50" s="16" t="n">
        <x:v>1960.7139832986</x:v>
      </x:c>
      <x:c r="P50" s="16" t="n">
        <x:v>6890.3808291068</x:v>
      </x:c>
      <x:c r="Q50" s="16" t="n">
        <x:v>2390.1591275616</x:v>
      </x:c>
      <x:c r="R50" s="16" t="n">
        <x:v>11557.6039577425</x:v>
      </x:c>
    </x:row>
    <x:row r="51">
      <x:c r="A51" s="15" t="n">
        <x:v>41579</x:v>
      </x:c>
      <x:c r="B51" s="16" t="n">
        <x:v>-5.2375342466</x:v>
      </x:c>
      <x:c r="C51" s="16" t="n">
        <x:v>60486.3186158466</x:v>
      </x:c>
      <x:c r="D51" s="16" t="n">
        <x:v>967.4302577973</x:v>
      </x:c>
      <x:c r="E51" s="16" t="n">
        <x:v>927.1365479452</x:v>
      </x:c>
      <x:c r="F51" s="16" t="n">
        <x:v>11849.7098959781</x:v>
      </x:c>
      <x:c r="G51" s="16" t="n">
        <x:v>16945.1626793206</x:v>
      </x:c>
      <x:c r="H51" s="16" t="n">
        <x:v>670.5533860822</x:v>
      </x:c>
      <x:c r="I51" s="16" t="n">
        <x:v>1875.2324227397</x:v>
      </x:c>
      <x:c r="J51" s="16" t="n">
        <x:v>930.5483918027</x:v>
      </x:c>
      <x:c r="K51" s="16" t="n">
        <x:v>31909.7879353863</x:v>
      </x:c>
      <x:c r="L51" s="16" t="n">
        <x:v>32997.0663246904</x:v>
      </x:c>
      <x:c r="M51" s="16" t="n">
        <x:v>1184.0892970959</x:v>
      </x:c>
      <x:c r="N51" s="16" t="n">
        <x:v>3682.6399590575</x:v>
      </x:c>
      <x:c r="O51" s="16" t="n">
        <x:v>1947.1585027507</x:v>
      </x:c>
      <x:c r="P51" s="16" t="n">
        <x:v>6607.3244887671</x:v>
      </x:c>
      <x:c r="Q51" s="16" t="n">
        <x:v>2395.5748893151</x:v>
      </x:c>
      <x:c r="R51" s="16" t="n">
        <x:v>11708.8757145425</x:v>
      </x:c>
    </x:row>
    <x:row r="52">
      <x:c r="A52" s="15" t="n">
        <x:v>41609</x:v>
      </x:c>
      <x:c r="B52" s="16" t="n">
        <x:v>32.7333</x:v>
      </x:c>
      <x:c r="C52" s="16" t="n">
        <x:v>60963.500032</x:v>
      </x:c>
      <x:c r="D52" s="16" t="n">
        <x:v>971</x:v>
      </x:c>
      <x:c r="E52" s="16" t="n">
        <x:v>949.339008</x:v>
      </x:c>
      <x:c r="F52" s="16" t="n">
        <x:v>11947.263296</x:v>
      </x:c>
      <x:c r="G52" s="16" t="n">
        <x:v>17142.81328</x:v>
      </x:c>
      <x:c r="H52" s="16" t="n">
        <x:v>661.416</x:v>
      </x:c>
      <x:c r="I52" s="16" t="n">
        <x:v>1760.530032</x:v>
      </x:c>
      <x:c r="J52" s="16" t="n">
        <x:v>916.999968</x:v>
      </x:c>
      <x:c r="K52" s="16" t="n">
        <x:v>32366.121664</x:v>
      </x:c>
      <x:c r="L52" s="16" t="n">
        <x:v>34431.94912</x:v>
      </x:c>
      <x:c r="M52" s="16" t="n">
        <x:v>1277.541984</x:v>
      </x:c>
      <x:c r="N52" s="16" t="n">
        <x:v>3616.556928</x:v>
      </x:c>
      <x:c r="O52" s="16" t="n">
        <x:v>1972.999936</x:v>
      </x:c>
      <x:c r="P52" s="16" t="n">
        <x:v>6474.658048</x:v>
      </x:c>
      <x:c r="Q52" s="16" t="n">
        <x:v>2510.193624</x:v>
      </x:c>
      <x:c r="R52" s="16" t="n">
        <x:v>12125.642144</x:v>
      </x:c>
    </x:row>
    <x:row r="53">
      <x:c r="A53" s="15" t="n">
        <x:v>41640</x:v>
      </x:c>
      <x:c r="B53" s="16"/>
      <x:c r="C53" s="16" t="n">
        <x:v>61824.4334507837</x:v>
      </x:c>
      <x:c r="D53" s="16" t="n">
        <x:v>989.3954219836</x:v>
      </x:c>
      <x:c r="E53" s="16" t="n">
        <x:v>1330.2689468493</x:v>
      </x:c>
      <x:c r="F53" s="16" t="n">
        <x:v>14865.8402026082</x:v>
      </x:c>
      <x:c r="G53" s="16" t="n">
        <x:v>17177.0882796712</x:v>
      </x:c>
      <x:c r="H53" s="16" t="n">
        <x:v>942.4988723726</x:v>
      </x:c>
      <x:c r="I53" s="16" t="n">
        <x:v>1965.1778672219</x:v>
      </x:c>
      <x:c r="J53" s="16" t="n">
        <x:v>915.7649312438</x:v>
      </x:c>
      <x:c r="K53" s="16" t="n">
        <x:v>32425.636191737</x:v>
      </x:c>
      <x:c r="L53" s="16" t="n">
        <x:v>33545.2292415123</x:v>
      </x:c>
      <x:c r="M53" s="16" t="n">
        <x:v>1501.6711809753</x:v>
      </x:c>
      <x:c r="N53" s="16" t="n">
        <x:v>3778.3750840986</x:v>
      </x:c>
      <x:c r="O53" s="16" t="n">
        <x:v>2078.6152041206</x:v>
      </x:c>
      <x:c r="P53" s="16" t="n">
        <x:v>6048.5830267616</x:v>
      </x:c>
      <x:c r="Q53" s="16" t="n">
        <x:v>2882.2774766904</x:v>
      </x:c>
      <x:c r="R53" s="16" t="n">
        <x:v>12030.2685393534</x:v>
      </x:c>
    </x:row>
    <x:row r="54">
      <x:c r="A54" s="15" t="n">
        <x:v>41671</x:v>
      </x:c>
      <x:c r="B54" s="16"/>
      <x:c r="C54" s="16" t="n">
        <x:v>63188.3029111233</x:v>
      </x:c>
      <x:c r="D54" s="16" t="n">
        <x:v>1057.3745639452</x:v>
      </x:c>
      <x:c r="E54" s="16" t="n">
        <x:v>1416.4654193973</x:v>
      </x:c>
      <x:c r="F54" s="16" t="n">
        <x:v>15064.9312326137</x:v>
      </x:c>
      <x:c r="G54" s="16" t="n">
        <x:v>17268.9306116384</x:v>
      </x:c>
      <x:c r="H54" s="16" t="n">
        <x:v>915.5080398027</x:v>
      </x:c>
      <x:c r="I54" s="16" t="n">
        <x:v>2028.564154126</x:v>
      </x:c>
      <x:c r="J54" s="16" t="n">
        <x:v>867.7188612384</x:v>
      </x:c>
      <x:c r="K54" s="16" t="n">
        <x:v>32029.0557355836</x:v>
      </x:c>
      <x:c r="L54" s="16" t="n">
        <x:v>32566.8072567233</x:v>
      </x:c>
      <x:c r="M54" s="16" t="n">
        <x:v>2101.4443550685</x:v>
      </x:c>
      <x:c r="N54" s="16" t="n">
        <x:v>3812.7894740164</x:v>
      </x:c>
      <x:c r="O54" s="16" t="n">
        <x:v>2034.4151004932</x:v>
      </x:c>
      <x:c r="P54" s="16" t="n">
        <x:v>6200.0623300384</x:v>
      </x:c>
      <x:c r="Q54" s="16" t="n">
        <x:v>2762.4636097973</x:v>
      </x:c>
      <x:c r="R54" s="16" t="n">
        <x:v>9329.6027769863</x:v>
      </x:c>
    </x:row>
    <x:row r="55">
      <x:c r="A55" s="15" t="n">
        <x:v>41699</x:v>
      </x:c>
      <x:c r="B55" s="16"/>
      <x:c r="C55" s="16" t="n">
        <x:v>63468.3627519999</x:v>
      </x:c>
      <x:c r="D55" s="16" t="n">
        <x:v>1052.1636865753</x:v>
      </x:c>
      <x:c r="E55" s="16" t="n">
        <x:v>1506.8769008219</x:v>
      </x:c>
      <x:c r="F55" s="16" t="n">
        <x:v>15219.5557672329</x:v>
      </x:c>
      <x:c r="G55" s="16" t="n">
        <x:v>17586.5462423013</x:v>
      </x:c>
      <x:c r="H55" s="16" t="n">
        <x:v>969.127900274</x:v>
      </x:c>
      <x:c r="I55" s="16" t="n">
        <x:v>2055.9056609315</x:v>
      </x:c>
      <x:c r="J55" s="16" t="n">
        <x:v>841.7157694247</x:v>
      </x:c>
      <x:c r="K55" s="16" t="n">
        <x:v>30491.2693137534</x:v>
      </x:c>
      <x:c r="L55" s="16" t="n">
        <x:v>33999.5105315068</x:v>
      </x:c>
      <x:c r="M55" s="16" t="n">
        <x:v>2108.8596865753</x:v>
      </x:c>
      <x:c r="N55" s="16" t="n">
        <x:v>3894.6882288219</x:v>
      </x:c>
      <x:c r="O55" s="16" t="n">
        <x:v>1822.5097100274</x:v>
      </x:c>
      <x:c r="P55" s="16" t="n">
        <x:v>6048.229196274</x:v>
      </x:c>
      <x:c r="Q55" s="16" t="n">
        <x:v>2866.8320309041</x:v>
      </x:c>
      <x:c r="R55" s="16" t="n">
        <x:v>9387.4229948493</x:v>
      </x:c>
    </x:row>
    <x:row r="56">
      <x:c r="A56" s="15" t="n">
        <x:v>41730</x:v>
      </x:c>
      <x:c r="B56" s="16"/>
      <x:c r="C56" s="16" t="n">
        <x:v>64043.06962937</x:v>
      </x:c>
      <x:c r="D56" s="16" t="n">
        <x:v>1017.5177924384</x:v>
      </x:c>
      <x:c r="E56" s="16" t="n">
        <x:v>1612.4270356164</x:v>
      </x:c>
      <x:c r="F56" s="16" t="n">
        <x:v>15573.7404265205</x:v>
      </x:c>
      <x:c r="G56" s="16" t="n">
        <x:v>17533.9591868493</x:v>
      </x:c>
      <x:c r="H56" s="16" t="n">
        <x:v>983.4465201096</x:v>
      </x:c>
      <x:c r="I56" s="16" t="n">
        <x:v>1919.3404672329</x:v>
      </x:c>
      <x:c r="J56" s="16" t="n">
        <x:v>851.9000438356</x:v>
      </x:c>
      <x:c r="K56" s="16" t="n">
        <x:v>30531.6149514521</x:v>
      </x:c>
      <x:c r="L56" s="16" t="n">
        <x:v>34065.9689065206</x:v>
      </x:c>
      <x:c r="M56" s="16" t="n">
        <x:v>2150.1266432877</x:v>
      </x:c>
      <x:c r="N56" s="16" t="n">
        <x:v>3906.6182246575</x:v>
      </x:c>
      <x:c r="O56" s="16" t="n">
        <x:v>1672.5161801644</x:v>
      </x:c>
      <x:c r="P56" s="16" t="n">
        <x:v>6169.1056534795</x:v>
      </x:c>
      <x:c r="Q56" s="16" t="n">
        <x:v>2888.0686962192</x:v>
      </x:c>
      <x:c r="R56" s="16" t="n">
        <x:v>9393.4625459726</x:v>
      </x:c>
    </x:row>
    <x:row r="57">
      <x:c r="A57" s="15" t="n">
        <x:v>41760</x:v>
      </x:c>
      <x:c r="B57" s="16"/>
      <x:c r="C57" s="16" t="n">
        <x:v>65057.5097056438</x:v>
      </x:c>
      <x:c r="D57" s="16" t="n">
        <x:v>1062.174208</x:v>
      </x:c>
      <x:c r="E57" s="16" t="n">
        <x:v>1685.904524274</x:v>
      </x:c>
      <x:c r="F57" s="16" t="n">
        <x:v>15907.9415487123</x:v>
      </x:c>
      <x:c r="G57" s="16" t="n">
        <x:v>17390.5426540274</x:v>
      </x:c>
      <x:c r="H57" s="16" t="n">
        <x:v>812.505638137</x:v>
      </x:c>
      <x:c r="I57" s="16" t="n">
        <x:v>1995.4400293699</x:v>
      </x:c>
      <x:c r="J57" s="16" t="n">
        <x:v>883.5266108493</x:v>
      </x:c>
      <x:c r="K57" s="16" t="n">
        <x:v>28964.2866047124</x:v>
      </x:c>
      <x:c r="L57" s="16" t="n">
        <x:v>33086.7518860274</x:v>
      </x:c>
      <x:c r="M57" s="16" t="n">
        <x:v>2159.9464793425</x:v>
      </x:c>
      <x:c r="N57" s="16" t="n">
        <x:v>3903.5620536986</x:v>
      </x:c>
      <x:c r="O57" s="16" t="n">
        <x:v>1688.8013764384</x:v>
      </x:c>
      <x:c r="P57" s="16" t="n">
        <x:v>5833.6489652603</x:v>
      </x:c>
      <x:c r="Q57" s="16" t="n">
        <x:v>2891.3640199452</x:v>
      </x:c>
      <x:c r="R57" s="16" t="n">
        <x:v>11789.202910137</x:v>
      </x:c>
    </x:row>
    <x:row r="58">
      <x:c r="A58" s="15" t="n">
        <x:v>41791</x:v>
      </x:c>
      <x:c r="B58" s="16"/>
      <x:c r="C58" s="16" t="n">
        <x:v>65813.5918577972</x:v>
      </x:c>
      <x:c r="D58" s="16" t="n">
        <x:v>1079.5650135671</x:v>
      </x:c>
      <x:c r="E58" s="16" t="n">
        <x:v>1751.4324179288</x:v>
      </x:c>
      <x:c r="F58" s="16" t="n">
        <x:v>16368.4643236822</x:v>
      </x:c>
      <x:c r="G58" s="16" t="n">
        <x:v>17545.5371175452</x:v>
      </x:c>
      <x:c r="H58" s="16" t="n">
        <x:v>856.0472365589</x:v>
      </x:c>
      <x:c r="I58" s="16" t="n">
        <x:v>1902.9674624548</x:v>
      </x:c>
      <x:c r="J58" s="16" t="n">
        <x:v>823.2656211288</x:v>
      </x:c>
      <x:c r="K58" s="16" t="n">
        <x:v>26831.2813074411</x:v>
      </x:c>
      <x:c r="L58" s="16" t="n">
        <x:v>33597.386573852</x:v>
      </x:c>
      <x:c r="M58" s="16" t="n">
        <x:v>2146.8780964822</x:v>
      </x:c>
      <x:c r="N58" s="16" t="n">
        <x:v>3940.3821475069</x:v>
      </x:c>
      <x:c r="O58" s="16" t="n">
        <x:v>1726.4149942356</x:v>
      </x:c>
      <x:c r="P58" s="16" t="n">
        <x:v>5541.6855596712</x:v>
      </x:c>
      <x:c r="Q58" s="16" t="n">
        <x:v>2903.4071141041</x:v>
      </x:c>
      <x:c r="R58" s="16" t="n">
        <x:v>11775.9880023014</x:v>
      </x:c>
    </x:row>
    <x:row r="59">
      <x:c r="A59" s="15" t="n">
        <x:v>41821</x:v>
      </x:c>
      <x:c r="B59" s="16"/>
      <x:c r="C59" s="16" t="n">
        <x:v>67230.2951241643</x:v>
      </x:c>
      <x:c r="D59" s="16" t="n">
        <x:v>1076.5630499068</x:v>
      </x:c>
      <x:c r="E59" s="16" t="n">
        <x:v>1584.8098333808</x:v>
      </x:c>
      <x:c r="F59" s="16" t="n">
        <x:v>16482.217184789</x:v>
      </x:c>
      <x:c r="G59" s="16" t="n">
        <x:v>17592.6774593315</x:v>
      </x:c>
      <x:c r="H59" s="16" t="n">
        <x:v>845.9382817315</x:v>
      </x:c>
      <x:c r="I59" s="16" t="n">
        <x:v>1796.3075092329</x:v>
      </x:c>
      <x:c r="J59" s="16" t="n">
        <x:v>762.4854130849</x:v>
      </x:c>
      <x:c r="K59" s="16" t="n">
        <x:v>25617.1585369644</x:v>
      </x:c>
      <x:c r="L59" s="16" t="n">
        <x:v>32561.0088977534</x:v>
      </x:c>
      <x:c r="M59" s="16" t="n">
        <x:v>2060.8601663123</x:v>
      </x:c>
      <x:c r="N59" s="16" t="n">
        <x:v>3967.782745863</x:v>
      </x:c>
      <x:c r="O59" s="16" t="n">
        <x:v>1588.1061814356</x:v>
      </x:c>
      <x:c r="P59" s="16" t="n">
        <x:v>5612.9497489534</x:v>
      </x:c>
      <x:c r="Q59" s="16" t="n">
        <x:v>2864.3041593425</x:v>
      </x:c>
      <x:c r="R59" s="16" t="n">
        <x:v>12955.2637180932</x:v>
      </x:c>
    </x:row>
    <x:row r="60">
      <x:c r="A60" s="15" t="n">
        <x:v>41852</x:v>
      </x:c>
      <x:c r="B60" s="16"/>
      <x:c r="C60" s="16" t="n">
        <x:v>69670.6719253042</x:v>
      </x:c>
      <x:c r="D60" s="16" t="n">
        <x:v>1102.874220011</x:v>
      </x:c>
      <x:c r="E60" s="16" t="n">
        <x:v>1800.6568072767</x:v>
      </x:c>
      <x:c r="F60" s="16" t="n">
        <x:v>17054.3777306301</x:v>
      </x:c>
      <x:c r="G60" s="16" t="n">
        <x:v>17477.2083171946</x:v>
      </x:c>
      <x:c r="H60" s="16" t="n">
        <x:v>865.9672651397</x:v>
      </x:c>
      <x:c r="I60" s="16" t="n">
        <x:v>1756.4241344877</x:v>
      </x:c>
      <x:c r="J60" s="16" t="n">
        <x:v>783.1692820164</x:v>
      </x:c>
      <x:c r="K60" s="16" t="n">
        <x:v>24620.3999520439</x:v>
      </x:c>
      <x:c r="L60" s="16" t="n">
        <x:v>32777.1954894904</x:v>
      </x:c>
      <x:c r="M60" s="16" t="n">
        <x:v>1950.8678795836</x:v>
      </x:c>
      <x:c r="N60" s="16" t="n">
        <x:v>4011.9695585315</x:v>
      </x:c>
      <x:c r="O60" s="16" t="n">
        <x:v>1597.5616438356</x:v>
      </x:c>
      <x:c r="P60" s="16" t="n">
        <x:v>5578.0373773589</x:v>
      </x:c>
      <x:c r="Q60" s="16" t="n">
        <x:v>2837.5121713753</x:v>
      </x:c>
      <x:c r="R60" s="16" t="n">
        <x:v>12741.9325654685</x:v>
      </x:c>
    </x:row>
    <x:row r="61">
      <x:c r="A61" s="15" t="n">
        <x:v>41883</x:v>
      </x:c>
      <x:c r="B61" s="16"/>
      <x:c r="C61" s="16" t="n">
        <x:v>71091.5903095232</x:v>
      </x:c>
      <x:c r="D61" s="16" t="n">
        <x:v>1421.9562313644</x:v>
      </x:c>
      <x:c r="E61" s="16" t="n">
        <x:v>1983.6250767781</x:v>
      </x:c>
      <x:c r="F61" s="16" t="n">
        <x:v>17473.5313292274</x:v>
      </x:c>
      <x:c r="G61" s="16" t="n">
        <x:v>17638.8290783123</x:v>
      </x:c>
      <x:c r="H61" s="16" t="n">
        <x:v>878.4080604932</x:v>
      </x:c>
      <x:c r="I61" s="16" t="n">
        <x:v>1758.6313481644</x:v>
      </x:c>
      <x:c r="J61" s="16" t="n">
        <x:v>773.0797493918</x:v>
      </x:c>
      <x:c r="K61" s="16" t="n">
        <x:v>23478.8965184</x:v>
      </x:c>
      <x:c r="L61" s="16" t="n">
        <x:v>33280.9422023891</x:v>
      </x:c>
      <x:c r="M61" s="16" t="n">
        <x:v>1954.7957035397</x:v>
      </x:c>
      <x:c r="N61" s="16" t="n">
        <x:v>4026.9041265973</x:v>
      </x:c>
      <x:c r="O61" s="16" t="n">
        <x:v>1636.7424154301</x:v>
      </x:c>
      <x:c r="P61" s="16" t="n">
        <x:v>5645.6134684055</x:v>
      </x:c>
      <x:c r="Q61" s="16" t="n">
        <x:v>2738.8635940822</x:v>
      </x:c>
      <x:c r="R61" s="16" t="n">
        <x:v>11818.9169070027</x:v>
      </x:c>
    </x:row>
    <x:row r="62">
      <x:c r="A62" s="15" t="n">
        <x:v>41913</x:v>
      </x:c>
      <x:c r="B62" s="16"/>
      <x:c r="C62" s="16" t="n">
        <x:v>72244.1823119781</x:v>
      </x:c>
      <x:c r="D62" s="16" t="n">
        <x:v>1489.938956011</x:v>
      </x:c>
      <x:c r="E62" s="16" t="n">
        <x:v>2058.6478716493</x:v>
      </x:c>
      <x:c r="F62" s="16" t="n">
        <x:v>17958.4644433534</x:v>
      </x:c>
      <x:c r="G62" s="16" t="n">
        <x:v>17799.1266554849</x:v>
      </x:c>
      <x:c r="H62" s="16" t="n">
        <x:v>869.8586738849</x:v>
      </x:c>
      <x:c r="I62" s="16" t="n">
        <x:v>1543.8519910027</x:v>
      </x:c>
      <x:c r="J62" s="16" t="n">
        <x:v>752.1545577205</x:v>
      </x:c>
      <x:c r="K62" s="16" t="n">
        <x:v>19249.210029852</x:v>
      </x:c>
      <x:c r="L62" s="16" t="n">
        <x:v>31965.8068262575</x:v>
      </x:c>
      <x:c r="M62" s="16" t="n">
        <x:v>2004.986495737</x:v>
      </x:c>
      <x:c r="N62" s="16" t="n">
        <x:v>4107.0426954521</x:v>
      </x:c>
      <x:c r="O62" s="16" t="n">
        <x:v>1657.7497880548</x:v>
      </x:c>
      <x:c r="P62" s="16" t="n">
        <x:v>5650.5141823123</x:v>
      </x:c>
      <x:c r="Q62" s="16" t="n">
        <x:v>2850.9899728219</x:v>
      </x:c>
      <x:c r="R62" s="16" t="n">
        <x:v>11274.3362714302</x:v>
      </x:c>
    </x:row>
    <x:row r="63">
      <x:c r="A63" s="15" t="n">
        <x:v>41944</x:v>
      </x:c>
      <x:c r="B63" s="16"/>
      <x:c r="C63" s="16" t="n">
        <x:v>73121.3576430465</x:v>
      </x:c>
      <x:c r="D63" s="16" t="n">
        <x:v>1524.5681411068</x:v>
      </x:c>
      <x:c r="E63" s="16" t="n">
        <x:v>2158.9253935342</x:v>
      </x:c>
      <x:c r="F63" s="16" t="n">
        <x:v>17887.5639990356</x:v>
      </x:c>
      <x:c r="G63" s="16" t="n">
        <x:v>18036.2093415452</x:v>
      </x:c>
      <x:c r="H63" s="16" t="n">
        <x:v>892.1894557808</x:v>
      </x:c>
      <x:c r="I63" s="16" t="n">
        <x:v>1490.8176283616</x:v>
      </x:c>
      <x:c r="J63" s="16" t="n">
        <x:v>733.5574701589</x:v>
      </x:c>
      <x:c r="K63" s="16" t="n">
        <x:v>17886.2407253918</x:v>
      </x:c>
      <x:c r="L63" s="16" t="n">
        <x:v>31106.589368811</x:v>
      </x:c>
      <x:c r="M63" s="16" t="n">
        <x:v>2125.8655780164</x:v>
      </x:c>
      <x:c r="N63" s="16" t="n">
        <x:v>4127.1805711781</x:v>
      </x:c>
      <x:c r="O63" s="16" t="n">
        <x:v>1549.9631661589</x:v>
      </x:c>
      <x:c r="P63" s="16" t="n">
        <x:v>5775.5195597151</x:v>
      </x:c>
      <x:c r="Q63" s="16" t="n">
        <x:v>2714.9100006137</x:v>
      </x:c>
      <x:c r="R63" s="16" t="n">
        <x:v>10906.1059144767</x:v>
      </x:c>
    </x:row>
    <x:row r="64">
      <x:c r="A64" s="15" t="n">
        <x:v>41974</x:v>
      </x:c>
      <x:c r="B64" s="16"/>
      <x:c r="C64" s="16" t="n">
        <x:v>74193.699328</x:v>
      </x:c>
      <x:c r="D64" s="16" t="n">
        <x:v>1534.415008</x:v>
      </x:c>
      <x:c r="E64" s="16" t="n">
        <x:v>2210.052992</x:v>
      </x:c>
      <x:c r="F64" s="16" t="n">
        <x:v>17848.766112</x:v>
      </x:c>
      <x:c r="G64" s="16" t="n">
        <x:v>18159.670144</x:v>
      </x:c>
      <x:c r="H64" s="16" t="n">
        <x:v>923.403968</x:v>
      </x:c>
      <x:c r="I64" s="16" t="n">
        <x:v>1476.2048</x:v>
      </x:c>
      <x:c r="J64" s="16" t="n">
        <x:v>674.958016</x:v>
      </x:c>
      <x:c r="K64" s="16" t="n">
        <x:v>14554.771248</x:v>
      </x:c>
      <x:c r="L64" s="16" t="n">
        <x:v>27478.50048</x:v>
      </x:c>
      <x:c r="M64" s="16" t="n">
        <x:v>2171.261984</x:v>
      </x:c>
      <x:c r="N64" s="16" t="n">
        <x:v>4132.807936</x:v>
      </x:c>
      <x:c r="O64" s="16" t="n">
        <x:v>1379.139968</x:v>
      </x:c>
      <x:c r="P64" s="16" t="n">
        <x:v>6013.210016</x:v>
      </x:c>
      <x:c r="Q64" s="16" t="n">
        <x:v>2737.645808</x:v>
      </x:c>
      <x:c r="R64" s="16" t="n">
        <x:v>8166.36068</x:v>
      </x:c>
    </x:row>
    <x:row r="65">
      <x:c r="A65" s="15" t="n">
        <x:v>42005</x:v>
      </x:c>
      <x:c r="B65" s="16"/>
      <x:c r="C65" s="16" t="n">
        <x:v>75209.026455082</x:v>
      </x:c>
      <x:c r="D65" s="16" t="n">
        <x:v>1526.9509060109</x:v>
      </x:c>
      <x:c r="E65" s="16" t="n">
        <x:v>2281.1623783169</x:v>
      </x:c>
      <x:c r="F65" s="16" t="n">
        <x:v>17926.2352606776</x:v>
      </x:c>
      <x:c r="G65" s="16" t="n">
        <x:v>18142.496882623</x:v>
      </x:c>
      <x:c r="H65" s="16" t="n">
        <x:v>936.6597503825</x:v>
      </x:c>
      <x:c r="I65" s="16" t="n">
        <x:v>1455.6748745574</x:v>
      </x:c>
      <x:c r="J65" s="16" t="n">
        <x:v>1051.6101099891</x:v>
      </x:c>
      <x:c r="K65" s="16" t="n">
        <x:v>11822.0928020984</x:v>
      </x:c>
      <x:c r="L65" s="16" t="n">
        <x:v>23738.774056918</x:v>
      </x:c>
      <x:c r="M65" s="16" t="n">
        <x:v>2133.6506567869</x:v>
      </x:c>
      <x:c r="N65" s="16" t="n">
        <x:v>4043.7533982951</x:v>
      </x:c>
      <x:c r="O65" s="16" t="n">
        <x:v>1074.9059668634</x:v>
      </x:c>
      <x:c r="P65" s="16" t="n">
        <x:v>5939.7016701202</x:v>
      </x:c>
      <x:c r="Q65" s="16" t="n">
        <x:v>2589.2957973552</x:v>
      </x:c>
      <x:c r="R65" s="16" t="n">
        <x:v>7296.3556010492</x:v>
      </x:c>
    </x:row>
    <x:row r="66">
      <x:c r="A66" s="15" t="n">
        <x:v>42036</x:v>
      </x:c>
      <x:c r="B66" s="16"/>
      <x:c r="C66" s="16" t="n">
        <x:v>75989.4628945138</x:v>
      </x:c>
      <x:c r="D66" s="16" t="n">
        <x:v>1568.889079388</x:v>
      </x:c>
      <x:c r="E66" s="16" t="n">
        <x:v>2251.0049918251</x:v>
      </x:c>
      <x:c r="F66" s="16" t="n">
        <x:v>18155.8699850492</x:v>
      </x:c>
      <x:c r="G66" s="16" t="n">
        <x:v>18276.7122180546</x:v>
      </x:c>
      <x:c r="H66" s="16" t="n">
        <x:v>955.0903060109</x:v>
      </x:c>
      <x:c r="I66" s="16" t="n">
        <x:v>1377.500063541</x:v>
      </x:c>
      <x:c r="J66" s="16" t="n">
        <x:v>1068.8433959781</x:v>
      </x:c>
      <x:c r="K66" s="16" t="n">
        <x:v>10351.9644678907</x:v>
      </x:c>
      <x:c r="L66" s="16" t="n">
        <x:v>23248.8931598688</x:v>
      </x:c>
      <x:c r="M66" s="16" t="n">
        <x:v>1949.8839544481</x:v>
      </x:c>
      <x:c r="N66" s="16" t="n">
        <x:v>4096.9812077814</x:v>
      </x:c>
      <x:c r="O66" s="16" t="n">
        <x:v>848.8482761093</x:v>
      </x:c>
      <x:c r="P66" s="16" t="n">
        <x:v>4645.8014211148</x:v>
      </x:c>
      <x:c r="Q66" s="16" t="n">
        <x:v>2558.2944800765</x:v>
      </x:c>
      <x:c r="R66" s="16" t="n">
        <x:v>6708.6961868415</x:v>
      </x:c>
    </x:row>
    <x:row r="67">
      <x:c r="A67" s="15" t="n">
        <x:v>42064</x:v>
      </x:c>
      <x:c r="B67" s="16"/>
      <x:c r="C67" s="16" t="n">
        <x:v>76841.0680795629</x:v>
      </x:c>
      <x:c r="D67" s="16" t="n">
        <x:v>1418.5749909508</x:v>
      </x:c>
      <x:c r="E67" s="16" t="n">
        <x:v>2179.2812357596</x:v>
      </x:c>
      <x:c r="F67" s="16" t="n">
        <x:v>18370.1554038033</x:v>
      </x:c>
      <x:c r="G67" s="16" t="n">
        <x:v>18467.7236806558</x:v>
      </x:c>
      <x:c r="H67" s="16" t="n">
        <x:v>967.1159172896</x:v>
      </x:c>
      <x:c r="I67" s="16" t="n">
        <x:v>1366.6344209563</x:v>
      </x:c>
      <x:c r="J67" s="16" t="n">
        <x:v>1064.9838429727</x:v>
      </x:c>
      <x:c r="K67" s="16" t="n">
        <x:v>5837.2495794536</x:v>
      </x:c>
      <x:c r="L67" s="16" t="n">
        <x:v>21346.2445959345</x:v>
      </x:c>
      <x:c r="M67" s="16" t="n">
        <x:v>1928.1564670164</x:v>
      </x:c>
      <x:c r="N67" s="16" t="n">
        <x:v>4035.1098816175</x:v>
      </x:c>
      <x:c r="O67" s="16" t="n">
        <x:v>910.862252765</x:v>
      </x:c>
      <x:c r="P67" s="16" t="n">
        <x:v>4605.7329185574</x:v>
      </x:c>
      <x:c r="Q67" s="16" t="n">
        <x:v>2231.7859402295</x:v>
      </x:c>
      <x:c r="R67" s="16" t="n">
        <x:v>6690.7868611148</x:v>
      </x:c>
    </x:row>
    <x:row r="68">
      <x:c r="A68" s="15" t="n">
        <x:v>42095</x:v>
      </x:c>
      <x:c r="B68" s="16"/>
      <x:c r="C68" s="16" t="n">
        <x:v>77734.2556439782</x:v>
      </x:c>
      <x:c r="D68" s="16" t="n">
        <x:v>1397.9093091148</x:v>
      </x:c>
      <x:c r="E68" s="16" t="n">
        <x:v>2131.208289224</x:v>
      </x:c>
      <x:c r="F68" s="16" t="n">
        <x:v>18172.7088129399</x:v>
      </x:c>
      <x:c r="G68" s="16" t="n">
        <x:v>18636.6095678688</x:v>
      </x:c>
      <x:c r="H68" s="16" t="n">
        <x:v>953.450085071</x:v>
      </x:c>
      <x:c r="I68" s="16" t="n">
        <x:v>1273.3905812077</x:v>
      </x:c>
      <x:c r="J68" s="16" t="n">
        <x:v>1082.8091285246</x:v>
      </x:c>
      <x:c r="K68" s="16" t="n">
        <x:v>-961.4579515301</x:v>
      </x:c>
      <x:c r="L68" s="16" t="n">
        <x:v>19622.6444466011</x:v>
      </x:c>
      <x:c r="M68" s="16" t="n">
        <x:v>1742.3071087213</x:v>
      </x:c>
      <x:c r="N68" s="16" t="n">
        <x:v>4117.8698756721</x:v>
      </x:c>
      <x:c r="O68" s="16" t="n">
        <x:v>1013.5367312787</x:v>
      </x:c>
      <x:c r="P68" s="16" t="n">
        <x:v>4724.9565270382</x:v>
      </x:c>
      <x:c r="Q68" s="16" t="n">
        <x:v>1506.8965631475</x:v>
      </x:c>
      <x:c r="R68" s="16" t="n">
        <x:v>6897.5808165246</x:v>
      </x:c>
    </x:row>
    <x:row r="69">
      <x:c r="A69" s="15" t="n">
        <x:v>42125</x:v>
      </x:c>
      <x:c r="B69" s="16"/>
      <x:c r="C69" s="16" t="n">
        <x:v>78632.8367506886</x:v>
      </x:c>
      <x:c r="D69" s="16" t="n">
        <x:v>1374.6535868852</x:v>
      </x:c>
      <x:c r="E69" s="16" t="n">
        <x:v>2125.7282717377</x:v>
      </x:c>
      <x:c r="F69" s="16" t="n">
        <x:v>18404.9802554754</x:v>
      </x:c>
      <x:c r="G69" s="16" t="n">
        <x:v>18705.8884385574</x:v>
      </x:c>
      <x:c r="H69" s="16" t="n">
        <x:v>952.6331981639</x:v>
      </x:c>
      <x:c r="I69" s="16" t="n">
        <x:v>1235.016533377</x:v>
      </x:c>
      <x:c r="J69" s="16" t="n">
        <x:v>1066.003095082</x:v>
      </x:c>
      <x:c r="K69" s="16" t="n">
        <x:v>28.3553655738</x:v>
      </x:c>
      <x:c r="L69" s="16" t="n">
        <x:v>21938.5803037377</x:v>
      </x:c>
      <x:c r="M69" s="16" t="n">
        <x:v>2109.4732516721</x:v>
      </x:c>
      <x:c r="N69" s="16" t="n">
        <x:v>4058.2708831475</x:v>
      </x:c>
      <x:c r="O69" s="16" t="n">
        <x:v>1148.071371541</x:v>
      </x:c>
      <x:c r="P69" s="16" t="n">
        <x:v>4982.1545463607</x:v>
      </x:c>
      <x:c r="Q69" s="16" t="n">
        <x:v>1446.540381377</x:v>
      </x:c>
      <x:c r="R69" s="16" t="n">
        <x:v>6688.487543082</x:v>
      </x:c>
    </x:row>
    <x:row r="70">
      <x:c r="A70" s="15" t="n">
        <x:v>42156</x:v>
      </x:c>
      <x:c r="B70" s="16"/>
      <x:c r="C70" s="16" t="n">
        <x:v>79024.119309989</x:v>
      </x:c>
      <x:c r="D70" s="16" t="n">
        <x:v>1412.1191633661</x:v>
      </x:c>
      <x:c r="E70" s="16" t="n">
        <x:v>2153.1937514317</x:v>
      </x:c>
      <x:c r="F70" s="16" t="n">
        <x:v>18841.3995299672</x:v>
      </x:c>
      <x:c r="G70" s="16" t="n">
        <x:v>19157.4795225136</x:v>
      </x:c>
      <x:c r="H70" s="16" t="n">
        <x:v>938.5831106448</x:v>
      </x:c>
      <x:c r="I70" s="16" t="n">
        <x:v>1243.2070243497</x:v>
      </x:c>
      <x:c r="J70" s="16" t="n">
        <x:v>1048.4301366557</x:v>
      </x:c>
      <x:c r="K70" s="16" t="n">
        <x:v>571.5742385137</x:v>
      </x:c>
      <x:c r="L70" s="16" t="n">
        <x:v>22690.7810052896</x:v>
      </x:c>
      <x:c r="M70" s="16" t="n">
        <x:v>2358.0533611366</x:v>
      </x:c>
      <x:c r="N70" s="16" t="n">
        <x:v>3875.3251749071</x:v>
      </x:c>
      <x:c r="O70" s="16" t="n">
        <x:v>1111.3579394098</x:v>
      </x:c>
      <x:c r="P70" s="16" t="n">
        <x:v>5515.7914715628</x:v>
      </x:c>
      <x:c r="Q70" s="16" t="n">
        <x:v>1557.456056918</x:v>
      </x:c>
      <x:c r="R70" s="16" t="n">
        <x:v>6328.2192529836</x:v>
      </x:c>
    </x:row>
    <x:row r="71">
      <x:c r="A71" s="15" t="n">
        <x:v>42186</x:v>
      </x:c>
      <x:c r="B71" s="16"/>
      <x:c r="C71" s="16" t="n">
        <x:v>79415.2780170492</x:v>
      </x:c>
      <x:c r="D71" s="16" t="n">
        <x:v>1512.6876379016</x:v>
      </x:c>
      <x:c r="E71" s="16" t="n">
        <x:v>2118.072365377</x:v>
      </x:c>
      <x:c r="F71" s="16" t="n">
        <x:v>19017.6248493115</x:v>
      </x:c>
      <x:c r="G71" s="16" t="n">
        <x:v>19401.7821210492</x:v>
      </x:c>
      <x:c r="H71" s="16" t="n">
        <x:v>939.7692542951</x:v>
      </x:c>
      <x:c r="I71" s="16" t="n">
        <x:v>1259.2211448525</x:v>
      </x:c>
      <x:c r="J71" s="16" t="n">
        <x:v>1015.845004459</x:v>
      </x:c>
      <x:c r="K71" s="16" t="n">
        <x:v>1325.1024472131</x:v>
      </x:c>
      <x:c r="L71" s="16" t="n">
        <x:v>23142.776075541</x:v>
      </x:c>
      <x:c r="M71" s="16" t="n">
        <x:v>2537.7137891148</x:v>
      </x:c>
      <x:c r="N71" s="16" t="n">
        <x:v>3681.5468579672</x:v>
      </x:c>
      <x:c r="O71" s="16" t="n">
        <x:v>1139.5698386885</x:v>
      </x:c>
      <x:c r="P71" s="16" t="n">
        <x:v>5680.1677786229</x:v>
      </x:c>
      <x:c r="Q71" s="16" t="n">
        <x:v>1620.3352291148</x:v>
      </x:c>
      <x:c r="R71" s="16" t="n">
        <x:v>7424.1520689836</x:v>
      </x:c>
    </x:row>
    <x:row r="72">
      <x:c r="A72" s="15" t="n">
        <x:v>42217</x:v>
      </x:c>
      <x:c r="B72" s="16"/>
      <x:c r="C72" s="16" t="n">
        <x:v>80308.4455253333</x:v>
      </x:c>
      <x:c r="D72" s="16" t="n">
        <x:v>1506.222976</x:v>
      </x:c>
      <x:c r="E72" s="16" t="n">
        <x:v>2130.620672</x:v>
      </x:c>
      <x:c r="F72" s="16" t="n">
        <x:v>19229.40192</x:v>
      </x:c>
      <x:c r="G72" s="16" t="n">
        <x:v>19747.0634986666</x:v>
      </x:c>
      <x:c r="H72" s="16" t="n">
        <x:v>940.0096746667</x:v>
      </x:c>
      <x:c r="I72" s="16" t="n">
        <x:v>1230.4183106667</x:v>
      </x:c>
      <x:c r="J72" s="16" t="n">
        <x:v>1049.374</x:v>
      </x:c>
      <x:c r="K72" s="16" t="n">
        <x:v>1158.947968</x:v>
      </x:c>
      <x:c r="L72" s="16" t="n">
        <x:v>22051.1546026666</x:v>
      </x:c>
      <x:c r="M72" s="16" t="n">
        <x:v>2837.8379146667</x:v>
      </x:c>
      <x:c r="N72" s="16" t="n">
        <x:v>3618.5029333333</x:v>
      </x:c>
      <x:c r="O72" s="16" t="n">
        <x:v>981.7599786667</x:v>
      </x:c>
      <x:c r="P72" s="16" t="n">
        <x:v>5277.5467093333</x:v>
      </x:c>
      <x:c r="Q72" s="16" t="n">
        <x:v>1418.8720426667</x:v>
      </x:c>
      <x:c r="R72" s="16" t="n">
        <x:v>7768.0256213333</x:v>
      </x:c>
    </x:row>
    <x:row r="73">
      <x:c r="A73" s="15" t="n">
        <x:v>42248</x:v>
      </x:c>
      <x:c r="B73" s="16"/>
      <x:c r="C73" s="16" t="n">
        <x:v>79906.0251194754</x:v>
      </x:c>
      <x:c r="D73" s="16" t="n">
        <x:v>1378.8249033443</x:v>
      </x:c>
      <x:c r="E73" s="16" t="n">
        <x:v>2200.9565433006</x:v>
      </x:c>
      <x:c r="F73" s="16" t="n">
        <x:v>19373.2842551257</x:v>
      </x:c>
      <x:c r="G73" s="16" t="n">
        <x:v>19973.0391445683</x:v>
      </x:c>
      <x:c r="H73" s="16" t="n">
        <x:v>954.9518737486</x:v>
      </x:c>
      <x:c r="I73" s="16" t="n">
        <x:v>1105.6299229727</x:v>
      </x:c>
      <x:c r="J73" s="16" t="n">
        <x:v>1042.5682300328</x:v>
      </x:c>
      <x:c r="K73" s="16" t="n">
        <x:v>282.2473204809</x:v>
      </x:c>
      <x:c r="L73" s="16" t="n">
        <x:v>19572.1820765027</x:v>
      </x:c>
      <x:c r="M73" s="16" t="n">
        <x:v>3084.3175246339</x:v>
      </x:c>
      <x:c r="N73" s="16" t="n">
        <x:v>3904.2725916503</x:v>
      </x:c>
      <x:c r="O73" s="16" t="n">
        <x:v>1041.3904996721</x:v>
      </x:c>
      <x:c r="P73" s="16" t="n">
        <x:v>5228.8879041749</x:v>
      </x:c>
      <x:c r="Q73" s="16" t="n">
        <x:v>1174.3205915628</x:v>
      </x:c>
      <x:c r="R73" s="16" t="n">
        <x:v>7982.73706247</x:v>
      </x:c>
    </x:row>
    <x:row r="74">
      <x:c r="A74" s="15" t="n">
        <x:v>42278</x:v>
      </x:c>
      <x:c r="B74" s="16"/>
      <x:c r="C74" s="16" t="n">
        <x:v>75689.2651492021</x:v>
      </x:c>
      <x:c r="D74" s="16" t="n">
        <x:v>1501.9863599563</x:v>
      </x:c>
      <x:c r="E74" s="16" t="n">
        <x:v>2251.1679452678</x:v>
      </x:c>
      <x:c r="F74" s="16" t="n">
        <x:v>19216.5975840874</x:v>
      </x:c>
      <x:c r="G74" s="16" t="n">
        <x:v>18707.3127251585</x:v>
      </x:c>
      <x:c r="H74" s="16" t="n">
        <x:v>940.4862499672</x:v>
      </x:c>
      <x:c r="I74" s="16" t="n">
        <x:v>1021.9271471913</x:v>
      </x:c>
      <x:c r="J74" s="16" t="n">
        <x:v>1003.0495318033</x:v>
      </x:c>
      <x:c r="K74" s="16" t="n">
        <x:v>1581.007688918</x:v>
      </x:c>
      <x:c r="L74" s="16" t="n">
        <x:v>20013.1305302732</x:v>
      </x:c>
      <x:c r="M74" s="16" t="n">
        <x:v>4713.4723561967</x:v>
      </x:c>
      <x:c r="N74" s="16" t="n">
        <x:v>3789.7798971803</x:v>
      </x:c>
      <x:c r="O74" s="16" t="n">
        <x:v>1069.6123275191</x:v>
      </x:c>
      <x:c r="P74" s="16" t="n">
        <x:v>5182.2178451585</x:v>
      </x:c>
      <x:c r="Q74" s="16" t="n">
        <x:v>1072.7801071913</x:v>
      </x:c>
      <x:c r="R74" s="16" t="n">
        <x:v>8017.133317071</x:v>
      </x:c>
    </x:row>
    <x:row r="75">
      <x:c r="A75" s="15" t="n">
        <x:v>42309</x:v>
      </x:c>
      <x:c r="B75" s="16"/>
      <x:c r="C75" s="16" t="n">
        <x:v>73536.4485763498</x:v>
      </x:c>
      <x:c r="D75" s="16" t="n">
        <x:v>1548.0634233006</x:v>
      </x:c>
      <x:c r="E75" s="16" t="n">
        <x:v>2270.8442415738</x:v>
      </x:c>
      <x:c r="F75" s="16" t="n">
        <x:v>19227.6785703169</x:v>
      </x:c>
      <x:c r="G75" s="16" t="n">
        <x:v>18672.0840962186</x:v>
      </x:c>
      <x:c r="H75" s="16" t="n">
        <x:v>955.1415812896</x:v>
      </x:c>
      <x:c r="I75" s="16" t="n">
        <x:v>982.6340857705</x:v>
      </x:c>
      <x:c r="J75" s="16" t="n">
        <x:v>1014.8181635628</x:v>
      </x:c>
      <x:c r="K75" s="16" t="n">
        <x:v>1657.3484066448</x:v>
      </x:c>
      <x:c r="L75" s="16" t="n">
        <x:v>20243.7973166339</x:v>
      </x:c>
      <x:c r="M75" s="16" t="n">
        <x:v>5739.439632612</x:v>
      </x:c>
      <x:c r="N75" s="16" t="n">
        <x:v>3566.6492267978</x:v>
      </x:c>
      <x:c r="O75" s="16" t="n">
        <x:v>958.2743773552</x:v>
      </x:c>
      <x:c r="P75" s="16" t="n">
        <x:v>5002.5677251147</x:v>
      </x:c>
      <x:c r="Q75" s="16" t="n">
        <x:v>941.4902202404</x:v>
      </x:c>
      <x:c r="R75" s="16" t="n">
        <x:v>8019.0853310601</x:v>
      </x:c>
    </x:row>
    <x:row r="76">
      <x:c r="A76" s="15" t="n">
        <x:v>42339</x:v>
      </x:c>
      <x:c r="B76" s="16"/>
      <x:c r="C76" s="16" t="n">
        <x:v>72745.15968</x:v>
      </x:c>
      <x:c r="D76" s="16" t="n">
        <x:v>2888.280064</x:v>
      </x:c>
      <x:c r="E76" s="16" t="n">
        <x:v>2292.199936</x:v>
      </x:c>
      <x:c r="F76" s="16" t="n">
        <x:v>19090.212032</x:v>
      </x:c>
      <x:c r="G76" s="16" t="n">
        <x:v>23838.378816</x:v>
      </x:c>
      <x:c r="H76" s="16" t="n">
        <x:v>1015.622016</x:v>
      </x:c>
      <x:c r="I76" s="16" t="n">
        <x:v>977.442048</x:v>
      </x:c>
      <x:c r="J76" s="16" t="n">
        <x:v>784.5</x:v>
      </x:c>
      <x:c r="K76" s="16" t="n">
        <x:v>2341.566176</x:v>
      </x:c>
      <x:c r="L76" s="16" t="n">
        <x:v>19818.227392</x:v>
      </x:c>
      <x:c r="M76" s="16" t="n">
        <x:v>6397.650176</x:v>
      </x:c>
      <x:c r="N76" s="16" t="n">
        <x:v>3506.160032</x:v>
      </x:c>
      <x:c r="O76" s="16" t="n">
        <x:v>1078.88</x:v>
      </x:c>
      <x:c r="P76" s="16" t="n">
        <x:v>4790.230016</x:v>
      </x:c>
      <x:c r="Q76" s="16" t="n">
        <x:v>1919.722976</x:v>
      </x:c>
      <x:c r="R76" s="16" t="n">
        <x:v>6924.601024</x:v>
      </x:c>
    </x:row>
    <x:row r="77">
      <x:c r="A77" s="15" t="n">
        <x:v>42370</x:v>
      </x:c>
      <x:c r="B77" s="16"/>
      <x:c r="C77" s="16" t="n">
        <x:v>72299.9038849754</x:v>
      </x:c>
      <x:c r="D77" s="16" t="n">
        <x:v>2929.0121517589</x:v>
      </x:c>
      <x:c r="E77" s="16" t="n">
        <x:v>2357.9950848</x:v>
      </x:c>
      <x:c r="F77" s="16" t="n">
        <x:v>19269.8681275616</x:v>
      </x:c>
      <x:c r="G77" s="16" t="n">
        <x:v>23824.9032610192</x:v>
      </x:c>
      <x:c r="H77" s="16" t="n">
        <x:v>1018.6197797699</x:v>
      </x:c>
      <x:c r="I77" s="16" t="n">
        <x:v>983.922284537</x:v>
      </x:c>
      <x:c r="J77" s="16" t="n">
        <x:v>779.0778116384</x:v>
      </x:c>
      <x:c r="K77" s="16" t="n">
        <x:v>-1347.3148556274</x:v>
      </x:c>
      <x:c r="L77" s="16" t="n">
        <x:v>16055.9722625753</x:v>
      </x:c>
      <x:c r="M77" s="16" t="n">
        <x:v>6013.9893567123</x:v>
      </x:c>
      <x:c r="N77" s="16" t="n">
        <x:v>3399.8102967233</x:v>
      </x:c>
      <x:c r="O77" s="16" t="n">
        <x:v>1367.8522385534</x:v>
      </x:c>
      <x:c r="P77" s="16" t="n">
        <x:v>4093.2699621699</x:v>
      </x:c>
      <x:c r="Q77" s="16" t="n">
        <x:v>1831.1803010192</x:v>
      </x:c>
      <x:c r="R77" s="16" t="n">
        <x:v>7056.7421869589</x:v>
      </x:c>
    </x:row>
    <x:row r="78">
      <x:c r="A78" s="15" t="n">
        <x:v>42401</x:v>
      </x:c>
      <x:c r="B78" s="16"/>
      <x:c r="C78" s="16" t="n">
        <x:v>71603.9885753864</x:v>
      </x:c>
      <x:c r="D78" s="16" t="n">
        <x:v>2888.197362674</x:v>
      </x:c>
      <x:c r="E78" s="16" t="n">
        <x:v>2429.2674977315</x:v>
      </x:c>
      <x:c r="F78" s="16" t="n">
        <x:v>18640.8224950356</x:v>
      </x:c>
      <x:c r="G78" s="16" t="n">
        <x:v>23464.0900963945</x:v>
      </x:c>
      <x:c r="H78" s="16" t="n">
        <x:v>1074.7800380493</x:v>
      </x:c>
      <x:c r="I78" s="16" t="n">
        <x:v>1000.5745309808</x:v>
      </x:c>
      <x:c r="J78" s="16" t="n">
        <x:v>766.4664117479</x:v>
      </x:c>
      <x:c r="K78" s="16" t="n">
        <x:v>-3226.198879737</x:v>
      </x:c>
      <x:c r="L78" s="16" t="n">
        <x:v>15806.2236209096</x:v>
      </x:c>
      <x:c r="M78" s="16" t="n">
        <x:v>5866.9005206794</x:v>
      </x:c>
      <x:c r="N78" s="16" t="n">
        <x:v>3239.495935737</x:v>
      </x:c>
      <x:c r="O78" s="16" t="n">
        <x:v>1462.7757539945</x:v>
      </x:c>
      <x:c r="P78" s="16" t="n">
        <x:v>3931.8797031452</x:v>
      </x:c>
      <x:c r="Q78" s="16" t="n">
        <x:v>1797.2192587397</x:v>
      </x:c>
      <x:c r="R78" s="16" t="n">
        <x:v>6834.9217219507</x:v>
      </x:c>
    </x:row>
    <x:row r="79">
      <x:c r="A79" s="15" t="n">
        <x:v>42430</x:v>
      </x:c>
      <x:c r="B79" s="16"/>
      <x:c r="C79" s="16" t="n">
        <x:v>70727.9825358903</x:v>
      </x:c>
      <x:c r="D79" s="16" t="n">
        <x:v>2717.5615228493</x:v>
      </x:c>
      <x:c r="E79" s="16" t="n">
        <x:v>2442.9058016438</x:v>
      </x:c>
      <x:c r="F79" s="16" t="n">
        <x:v>18387.6601915616</x:v>
      </x:c>
      <x:c r="G79" s="16" t="n">
        <x:v>23096.1294384657</x:v>
      </x:c>
      <x:c r="H79" s="16" t="n">
        <x:v>1114.7056341918</x:v>
      </x:c>
      <x:c r="I79" s="16" t="n">
        <x:v>980.0999623014</x:v>
      </x:c>
      <x:c r="J79" s="16" t="n">
        <x:v>795.7448670685</x:v>
      </x:c>
      <x:c r="K79" s="16" t="n">
        <x:v>-846.9799353425</x:v>
      </x:c>
      <x:c r="L79" s="16" t="n">
        <x:v>12531.1567640548</x:v>
      </x:c>
      <x:c r="M79" s="16" t="n">
        <x:v>5913.4526649863</x:v>
      </x:c>
      <x:c r="N79" s="16" t="n">
        <x:v>3201.2164317808</x:v>
      </x:c>
      <x:c r="O79" s="16" t="n">
        <x:v>1624.1312087671</x:v>
      </x:c>
      <x:c r="P79" s="16" t="n">
        <x:v>4072.3631438904</x:v>
      </x:c>
      <x:c r="Q79" s="16" t="n">
        <x:v>1913.2691075069</x:v>
      </x:c>
      <x:c r="R79" s="16" t="n">
        <x:v>6765.3458972055</x:v>
      </x:c>
    </x:row>
    <x:row r="80">
      <x:c r="A80" s="15" t="n">
        <x:v>42461</x:v>
      </x:c>
      <x:c r="B80" s="16"/>
      <x:c r="C80" s="16" t="n">
        <x:v>70450.4787252602</x:v>
      </x:c>
      <x:c r="D80" s="16" t="n">
        <x:v>2604.9207345096</x:v>
      </x:c>
      <x:c r="E80" s="16" t="n">
        <x:v>2456.7411457753</x:v>
      </x:c>
      <x:c r="F80" s="16" t="n">
        <x:v>18426.0205827507</x:v>
      </x:c>
      <x:c r="G80" s="16" t="n">
        <x:v>22558.852953863</x:v>
      </x:c>
      <x:c r="H80" s="16" t="n">
        <x:v>1175.5231129425</x:v>
      </x:c>
      <x:c r="I80" s="16" t="n">
        <x:v>1002.7649699068</x:v>
      </x:c>
      <x:c r="J80" s="16" t="n">
        <x:v>830.697906937</x:v>
      </x:c>
      <x:c r="K80" s="16" t="n">
        <x:v>-140.8804816657</x:v>
      </x:c>
      <x:c r="L80" s="16" t="n">
        <x:v>12547.4325679342</x:v>
      </x:c>
      <x:c r="M80" s="16" t="n">
        <x:v>5028.9430247452</x:v>
      </x:c>
      <x:c r="N80" s="16" t="n">
        <x:v>3182.7688871452</x:v>
      </x:c>
      <x:c r="O80" s="16" t="n">
        <x:v>1788.123354126</x:v>
      </x:c>
      <x:c r="P80" s="16" t="n">
        <x:v>4006.4221176986</x:v>
      </x:c>
      <x:c r="Q80" s="16" t="n">
        <x:v>1930.8619626959</x:v>
      </x:c>
      <x:c r="R80" s="16" t="n">
        <x:v>6978.4657271233</x:v>
      </x:c>
    </x:row>
    <x:row r="81">
      <x:c r="A81" s="15" t="n">
        <x:v>42491</x:v>
      </x:c>
      <x:c r="B81" s="16"/>
      <x:c r="C81" s="16" t="n">
        <x:v>70174.6017630684</x:v>
      </x:c>
      <x:c r="D81" s="16" t="n">
        <x:v>2566.5453718794</x:v>
      </x:c>
      <x:c r="E81" s="16" t="n">
        <x:v>2429.3172204712</x:v>
      </x:c>
      <x:c r="F81" s="16" t="n">
        <x:v>18809.4736347178</x:v>
      </x:c>
      <x:c r="G81" s="16" t="n">
        <x:v>21818.9105578959</x:v>
      </x:c>
      <x:c r="H81" s="16" t="n">
        <x:v>1233.8244952548</x:v>
      </x:c>
      <x:c r="I81" s="16" t="n">
        <x:v>955.2194607342</x:v>
      </x:c>
      <x:c r="J81" s="16" t="n">
        <x:v>828.8497882301</x:v>
      </x:c>
      <x:c r="K81" s="16" t="n">
        <x:v>3522.7701610959</x:v>
      </x:c>
      <x:c r="L81" s="16" t="n">
        <x:v>13867.7530827397</x:v>
      </x:c>
      <x:c r="M81" s="16" t="n">
        <x:v>4832.8653115616</x:v>
      </x:c>
      <x:c r="N81" s="16" t="n">
        <x:v>2960.9995421808</x:v>
      </x:c>
      <x:c r="O81" s="16" t="n">
        <x:v>2124.5955598027</x:v>
      </x:c>
      <x:c r="P81" s="16" t="n">
        <x:v>5766.8715006247</x:v>
      </x:c>
      <x:c r="Q81" s="16" t="n">
        <x:v>2050.1544844274</x:v>
      </x:c>
      <x:c r="R81" s="16" t="n">
        <x:v>6889.3790631452</x:v>
      </x:c>
    </x:row>
    <x:row r="82">
      <x:c r="A82" s="15" t="n">
        <x:v>42522</x:v>
      </x:c>
      <x:c r="B82" s="16"/>
      <x:c r="C82" s="16" t="n">
        <x:v>69706.8927354739</x:v>
      </x:c>
      <x:c r="D82" s="16" t="n">
        <x:v>2579.1345990137</x:v>
      </x:c>
      <x:c r="E82" s="16" t="n">
        <x:v>2469.026706411</x:v>
      </x:c>
      <x:c r="F82" s="16" t="n">
        <x:v>18848.0704980164</x:v>
      </x:c>
      <x:c r="G82" s="16" t="n">
        <x:v>21558.7830137863</x:v>
      </x:c>
      <x:c r="H82" s="16" t="n">
        <x:v>1263.1039890411</x:v>
      </x:c>
      <x:c r="I82" s="16" t="n">
        <x:v>958.5741661808</x:v>
      </x:c>
      <x:c r="J82" s="16" t="n">
        <x:v>839.0069738959</x:v>
      </x:c>
      <x:c r="K82" s="16" t="n">
        <x:v>4444.2645620164</x:v>
      </x:c>
      <x:c r="L82" s="16" t="n">
        <x:v>15179.0689970849</x:v>
      </x:c>
      <x:c r="M82" s="16" t="n">
        <x:v>4814.228723726</x:v>
      </x:c>
      <x:c r="N82" s="16" t="n">
        <x:v>2903.8611254356</x:v>
      </x:c>
      <x:c r="O82" s="16" t="n">
        <x:v>2131.7329793753</x:v>
      </x:c>
      <x:c r="P82" s="16" t="n">
        <x:v>5700.7669323397</x:v>
      </x:c>
      <x:c r="Q82" s="16" t="n">
        <x:v>2049.2193376438</x:v>
      </x:c>
      <x:c r="R82" s="16" t="n">
        <x:v>6819.2735143452</x:v>
      </x:c>
    </x:row>
    <x:row r="83">
      <x:c r="A83" s="15" t="n">
        <x:v>42552</x:v>
      </x:c>
      <x:c r="B83" s="16"/>
      <x:c r="C83" s="16" t="n">
        <x:v>69711.650935233</x:v>
      </x:c>
      <x:c r="D83" s="16" t="n">
        <x:v>2359.3201990137</x:v>
      </x:c>
      <x:c r="E83" s="16" t="n">
        <x:v>2493.0636300274</x:v>
      </x:c>
      <x:c r="F83" s="16" t="n">
        <x:v>18741.6260804384</x:v>
      </x:c>
      <x:c r="G83" s="16" t="n">
        <x:v>21537.9271728219</x:v>
      </x:c>
      <x:c r="H83" s="16" t="n">
        <x:v>1283.3526356164</x:v>
      </x:c>
      <x:c r="I83" s="16" t="n">
        <x:v>970.8335456438</x:v>
      </x:c>
      <x:c r="J83" s="16" t="n">
        <x:v>822.5504052603</x:v>
      </x:c>
      <x:c r="K83" s="16" t="n">
        <x:v>4087.8990770959</x:v>
      </x:c>
      <x:c r="L83" s="16" t="n">
        <x:v>17029.3769152877</x:v>
      </x:c>
      <x:c r="M83" s="16" t="n">
        <x:v>4552.1749383014</x:v>
      </x:c>
      <x:c r="N83" s="16" t="n">
        <x:v>2907.9920981918</x:v>
      </x:c>
      <x:c r="O83" s="16" t="n">
        <x:v>2130.326854137</x:v>
      </x:c>
      <x:c r="P83" s="16" t="n">
        <x:v>5460.0891660274</x:v>
      </x:c>
      <x:c r="Q83" s="16" t="n">
        <x:v>2096.1610812055</x:v>
      </x:c>
      <x:c r="R83" s="16" t="n">
        <x:v>6975.4357961644</x:v>
      </x:c>
    </x:row>
    <x:row r="84">
      <x:c r="A84" s="15" t="n">
        <x:v>42583</x:v>
      </x:c>
      <x:c r="B84" s="16"/>
      <x:c r="C84" s="16" t="n">
        <x:v>70487.6621417206</x:v>
      </x:c>
      <x:c r="D84" s="16" t="n">
        <x:v>2240.4553258082</x:v>
      </x:c>
      <x:c r="E84" s="16" t="n">
        <x:v>2505.9591981589</x:v>
      </x:c>
      <x:c r="F84" s="16" t="n">
        <x:v>18738.7464956493</x:v>
      </x:c>
      <x:c r="G84" s="16" t="n">
        <x:v>20574.0679650411</x:v>
      </x:c>
      <x:c r="H84" s="16" t="n">
        <x:v>1292.337234937</x:v>
      </x:c>
      <x:c r="I84" s="16" t="n">
        <x:v>966.9895836055</x:v>
      </x:c>
      <x:c r="J84" s="16" t="n">
        <x:v>816.5406411397</x:v>
      </x:c>
      <x:c r="K84" s="16" t="n">
        <x:v>5161.454511737</x:v>
      </x:c>
      <x:c r="L84" s="16" t="n">
        <x:v>19332.5142051069</x:v>
      </x:c>
      <x:c r="M84" s="16" t="n">
        <x:v>3817.4981321644</x:v>
      </x:c>
      <x:c r="N84" s="16" t="n">
        <x:v>2991.6207534466</x:v>
      </x:c>
      <x:c r="O84" s="16" t="n">
        <x:v>2331.2142770849</x:v>
      </x:c>
      <x:c r="P84" s="16" t="n">
        <x:v>5462.721018389</x:v>
      </x:c>
      <x:c r="Q84" s="16" t="n">
        <x:v>2144.9757223452</x:v>
      </x:c>
      <x:c r="R84" s="16" t="n">
        <x:v>7094.8678252712</x:v>
      </x:c>
    </x:row>
    <x:row r="85">
      <x:c r="A85" s="15" t="n">
        <x:v>42614</x:v>
      </x:c>
      <x:c r="B85" s="16"/>
      <x:c r="C85" s="16" t="n">
        <x:v>71004.463394367</x:v>
      </x:c>
      <x:c r="D85" s="16" t="n">
        <x:v>2275.9618702027</x:v>
      </x:c>
      <x:c r="E85" s="16" t="n">
        <x:v>2596.5608142904</x:v>
      </x:c>
      <x:c r="F85" s="16" t="n">
        <x:v>18782.625671189</x:v>
      </x:c>
      <x:c r="G85" s="16" t="n">
        <x:v>20830.9190692822</x:v>
      </x:c>
      <x:c r="H85" s="16" t="n">
        <x:v>1316.0982738411</x:v>
      </x:c>
      <x:c r="I85" s="16" t="n">
        <x:v>976.8665034521</x:v>
      </x:c>
      <x:c r="J85" s="16" t="n">
        <x:v>787.9125016548</x:v>
      </x:c>
      <x:c r="K85" s="16" t="n">
        <x:v>7064.3482841425</x:v>
      </x:c>
      <x:c r="L85" s="16" t="n">
        <x:v>18670.7219676932</x:v>
      </x:c>
      <x:c r="M85" s="16" t="n">
        <x:v>4782.2807064548</x:v>
      </x:c>
      <x:c r="N85" s="16" t="n">
        <x:v>2972.0280553205</x:v>
      </x:c>
      <x:c r="O85" s="16" t="n">
        <x:v>2370.0980862247</x:v>
      </x:c>
      <x:c r="P85" s="16" t="n">
        <x:v>5584.4671703671</x:v>
      </x:c>
      <x:c r="Q85" s="16" t="n">
        <x:v>2183.0715904877</x:v>
      </x:c>
      <x:c r="R85" s="16" t="n">
        <x:v>6998.5726111562</x:v>
      </x:c>
    </x:row>
    <x:row r="86">
      <x:c r="A86" s="15" t="n">
        <x:v>42644</x:v>
      </x:c>
      <x:c r="B86" s="16"/>
      <x:c r="C86" s="16" t="n">
        <x:v>72840.6002519672</x:v>
      </x:c>
      <x:c r="D86" s="16" t="n">
        <x:v>2300.9243306082</x:v>
      </x:c>
      <x:c r="E86" s="16" t="n">
        <x:v>2678.9263791342</x:v>
      </x:c>
      <x:c r="F86" s="16" t="n">
        <x:v>19072.8699977644</x:v>
      </x:c>
      <x:c r="G86" s="16" t="n">
        <x:v>19872.8273314192</x:v>
      </x:c>
      <x:c r="H86" s="16" t="n">
        <x:v>1315.4829784548</x:v>
      </x:c>
      <x:c r="I86" s="16" t="n">
        <x:v>942.6964629479</x:v>
      </x:c>
      <x:c r="J86" s="16" t="n">
        <x:v>745.0009424658</x:v>
      </x:c>
      <x:c r="K86" s="16" t="n">
        <x:v>6842.5062745425</x:v>
      </x:c>
      <x:c r="L86" s="16" t="n">
        <x:v>18976.7939054465</x:v>
      </x:c>
      <x:c r="M86" s="16" t="n">
        <x:v>3274.9844718466</x:v>
      </x:c>
      <x:c r="N86" s="16" t="n">
        <x:v>3002.4983860986</x:v>
      </x:c>
      <x:c r="O86" s="16" t="n">
        <x:v>2370.018554389</x:v>
      </x:c>
      <x:c r="P86" s="16" t="n">
        <x:v>5566.7409835836</x:v>
      </x:c>
      <x:c r="Q86" s="16" t="n">
        <x:v>2198.4697956822</x:v>
      </x:c>
      <x:c r="R86" s="16" t="n">
        <x:v>7315.6746776548</x:v>
      </x:c>
    </x:row>
    <x:row r="87">
      <x:c r="A87" s="15" t="n">
        <x:v>42675</x:v>
      </x:c>
      <x:c r="B87" s="16"/>
      <x:c r="C87" s="16" t="n">
        <x:v>76431.6392307726</x:v>
      </x:c>
      <x:c r="D87" s="16" t="n">
        <x:v>2318.1042875616</x:v>
      </x:c>
      <x:c r="E87" s="16" t="n">
        <x:v>2698.3608321753</x:v>
      </x:c>
      <x:c r="F87" s="16" t="n">
        <x:v>20047.7072241973</x:v>
      </x:c>
      <x:c r="G87" s="16" t="n">
        <x:v>19880.6147630466</x:v>
      </x:c>
      <x:c r="H87" s="16" t="n">
        <x:v>1322.9387670795</x:v>
      </x:c>
      <x:c r="I87" s="16" t="n">
        <x:v>942.315251989</x:v>
      </x:c>
      <x:c r="J87" s="16" t="n">
        <x:v>742.2810189151</x:v>
      </x:c>
      <x:c r="K87" s="16" t="n">
        <x:v>8029.1273467616</x:v>
      </x:c>
      <x:c r="L87" s="16" t="n">
        <x:v>19121.5660514849</x:v>
      </x:c>
      <x:c r="M87" s="16" t="n">
        <x:v>2334.6906711671</x:v>
      </x:c>
      <x:c r="N87" s="16" t="n">
        <x:v>2952.5054265425</x:v>
      </x:c>
      <x:c r="O87" s="16" t="n">
        <x:v>2416.5253926575</x:v>
      </x:c>
      <x:c r="P87" s="16" t="n">
        <x:v>5683.524858389</x:v>
      </x:c>
      <x:c r="Q87" s="16" t="n">
        <x:v>2114.6001862137</x:v>
      </x:c>
      <x:c r="R87" s="16" t="n">
        <x:v>7383.7902839233</x:v>
      </x:c>
    </x:row>
    <x:row r="88">
      <x:c r="A88" s="15" t="n">
        <x:v>42705</x:v>
      </x:c>
      <x:c r="B88" s="16"/>
      <x:c r="C88" s="16" t="n">
        <x:v>77720.588536285</x:v>
      </x:c>
      <x:c r="D88" s="16" t="n">
        <x:v>2349.2057421151</x:v>
      </x:c>
      <x:c r="E88" s="16" t="n">
        <x:v>2710.8199433644</x:v>
      </x:c>
      <x:c r="F88" s="16" t="n">
        <x:v>20088.1630639342</x:v>
      </x:c>
      <x:c r="G88" s="16" t="n">
        <x:v>20142.4597802958</x:v>
      </x:c>
      <x:c r="H88" s="16" t="n">
        <x:v>1350.213862926</x:v>
      </x:c>
      <x:c r="I88" s="16" t="n">
        <x:v>874.8411078137</x:v>
      </x:c>
      <x:c r="J88" s="16" t="n">
        <x:v>747.7176358575</x:v>
      </x:c>
      <x:c r="K88" s="16" t="n">
        <x:v>13573.634388515</x:v>
      </x:c>
      <x:c r="L88" s="16" t="n">
        <x:v>19997.4939479671</x:v>
      </x:c>
      <x:c r="M88" s="16" t="n">
        <x:v>2249.4425614027</x:v>
      </x:c>
      <x:c r="N88" s="16" t="n">
        <x:v>2966.3006292603</x:v>
      </x:c>
      <x:c r="O88" s="16" t="n">
        <x:v>2352.9983698411</x:v>
      </x:c>
      <x:c r="P88" s="16" t="n">
        <x:v>5931.8481216877</x:v>
      </x:c>
      <x:c r="Q88" s="16" t="n">
        <x:v>2095.2069142794</x:v>
      </x:c>
      <x:c r="R88" s="16" t="n">
        <x:v>8473.1960830246</x:v>
      </x:c>
    </x:row>
    <x:row r="89">
      <x:c r="A89" s="15" t="n">
        <x:v>42736</x:v>
      </x:c>
      <x:c r="B89" s="16"/>
      <x:c r="C89" s="16" t="n">
        <x:v>80010.0950310575</x:v>
      </x:c>
      <x:c r="D89" s="16" t="n">
        <x:v>2360.8565474192</x:v>
      </x:c>
      <x:c r="E89" s="16" t="n">
        <x:v>2735.5010272438</x:v>
      </x:c>
      <x:c r="F89" s="16" t="n">
        <x:v>19741.0139698849</x:v>
      </x:c>
      <x:c r="G89" s="16" t="n">
        <x:v>20213.1786230356</x:v>
      </x:c>
      <x:c r="H89" s="16" t="n">
        <x:v>1382.370296811</x:v>
      </x:c>
      <x:c r="I89" s="16" t="n">
        <x:v>814.9868011836</x:v>
      </x:c>
      <x:c r="J89" s="16" t="n">
        <x:v>774.5225098521</x:v>
      </x:c>
      <x:c r="K89" s="16" t="n">
        <x:v>16848.9025313917</x:v>
      </x:c>
      <x:c r="L89" s="16" t="n">
        <x:v>22320.5600739946</x:v>
      </x:c>
      <x:c r="M89" s="16" t="n">
        <x:v>2209.4220105644</x:v>
      </x:c>
      <x:c r="N89" s="16" t="n">
        <x:v>2940.0576168329</x:v>
      </x:c>
      <x:c r="O89" s="16" t="n">
        <x:v>2442.6819443726</x:v>
      </x:c>
      <x:c r="P89" s="16" t="n">
        <x:v>6013.8402097096</x:v>
      </x:c>
      <x:c r="Q89" s="16" t="n">
        <x:v>2217.9451317479</x:v>
      </x:c>
      <x:c r="R89" s="16" t="n">
        <x:v>8744.0505670137</x:v>
      </x:c>
    </x:row>
    <x:row r="90">
      <x:c r="A90" s="15" t="n">
        <x:v>42767</x:v>
      </x:c>
      <x:c r="B90" s="16"/>
      <x:c r="C90" s="16" t="n">
        <x:v>80498.6657244932</x:v>
      </x:c>
      <x:c r="D90" s="16" t="n">
        <x:v>2360.1330773918</x:v>
      </x:c>
      <x:c r="E90" s="16" t="n">
        <x:v>2702.9468512438</x:v>
      </x:c>
      <x:c r="F90" s="16" t="n">
        <x:v>20189.8793856</x:v>
      </x:c>
      <x:c r="G90" s="16" t="n">
        <x:v>20163.0968282301</x:v>
      </x:c>
      <x:c r="H90" s="16" t="n">
        <x:v>1388.0782197479</x:v>
      </x:c>
      <x:c r="I90" s="16" t="n">
        <x:v>837.4010659945</x:v>
      </x:c>
      <x:c r="J90" s="16" t="n">
        <x:v>806.0020257315</x:v>
      </x:c>
      <x:c r="K90" s="16" t="n">
        <x:v>19771.8959911671</x:v>
      </x:c>
      <x:c r="L90" s="16" t="n">
        <x:v>23215.1048377864</x:v>
      </x:c>
      <x:c r="M90" s="16" t="n">
        <x:v>2044.7419562082</x:v>
      </x:c>
      <x:c r="N90" s="16" t="n">
        <x:v>3059.146783737</x:v>
      </x:c>
      <x:c r="O90" s="16" t="n">
        <x:v>2484.2426592438</x:v>
      </x:c>
      <x:c r="P90" s="16" t="n">
        <x:v>6144.3740261699</x:v>
      </x:c>
      <x:c r="Q90" s="16" t="n">
        <x:v>2353.3595993425</x:v>
      </x:c>
      <x:c r="R90" s="16" t="n">
        <x:v>10115.7710788383</x:v>
      </x:c>
    </x:row>
    <x:row r="91">
      <x:c r="A91" s="15" t="n">
        <x:v>42795</x:v>
      </x:c>
      <x:c r="B91" s="16"/>
      <x:c r="C91" s="16" t="n">
        <x:v>81506.8847202192</x:v>
      </x:c>
      <x:c r="D91" s="16" t="n">
        <x:v>2344.6013176986</x:v>
      </x:c>
      <x:c r="E91" s="16" t="n">
        <x:v>2661.6431075068</x:v>
      </x:c>
      <x:c r="F91" s="16" t="n">
        <x:v>19492.6773689863</x:v>
      </x:c>
      <x:c r="G91" s="16" t="n">
        <x:v>19728.8931457534</x:v>
      </x:c>
      <x:c r="H91" s="16" t="n">
        <x:v>1399.4006890959</x:v>
      </x:c>
      <x:c r="I91" s="16" t="n">
        <x:v>867.0314167671</x:v>
      </x:c>
      <x:c r="J91" s="16" t="n">
        <x:v>834.2586047123</x:v>
      </x:c>
      <x:c r="K91" s="16" t="n">
        <x:v>24663.8786448219</x:v>
      </x:c>
      <x:c r="L91" s="16" t="n">
        <x:v>22747.3523813699</x:v>
      </x:c>
      <x:c r="M91" s="16" t="n">
        <x:v>2326.9051484931</x:v>
      </x:c>
      <x:c r="N91" s="16" t="n">
        <x:v>3143.7498358356</x:v>
      </x:c>
      <x:c r="O91" s="16" t="n">
        <x:v>2612.9301286575</x:v>
      </x:c>
      <x:c r="P91" s="16" t="n">
        <x:v>6277.6531892603</x:v>
      </x:c>
      <x:c r="Q91" s="16" t="n">
        <x:v>2661.5478257534</x:v>
      </x:c>
      <x:c r="R91" s="16" t="n">
        <x:v>10747.3408946849</x:v>
      </x:c>
    </x:row>
    <x:row r="92">
      <x:c r="A92" s="15" t="n">
        <x:v>42826</x:v>
      </x:c>
      <x:c r="B92" s="16"/>
      <x:c r="C92" s="16" t="n">
        <x:v>81692.9245871343</x:v>
      </x:c>
      <x:c r="D92" s="16" t="n">
        <x:v>2406.8199122411</x:v>
      </x:c>
      <x:c r="E92" s="16" t="n">
        <x:v>2617.4265969973</x:v>
      </x:c>
      <x:c r="F92" s="16" t="n">
        <x:v>19191.2280053479</x:v>
      </x:c>
      <x:c r="G92" s="16" t="n">
        <x:v>19221.8973971288</x:v>
      </x:c>
      <x:c r="H92" s="16" t="n">
        <x:v>1416.3807314411</x:v>
      </x:c>
      <x:c r="I92" s="16" t="n">
        <x:v>892.2962001534</x:v>
      </x:c>
      <x:c r="J92" s="16" t="n">
        <x:v>849.3743346849</x:v>
      </x:c>
      <x:c r="K92" s="16" t="n">
        <x:v>23669.3037387397</x:v>
      </x:c>
      <x:c r="L92" s="16" t="n">
        <x:v>21013.2718970739</x:v>
      </x:c>
      <x:c r="M92" s="16" t="n">
        <x:v>2701.7439312658</x:v>
      </x:c>
      <x:c r="N92" s="16" t="n">
        <x:v>3230.0862125589</x:v>
      </x:c>
      <x:c r="O92" s="16" t="n">
        <x:v>2747.7270962849</x:v>
      </x:c>
      <x:c r="P92" s="16" t="n">
        <x:v>6911.661126137</x:v>
      </x:c>
      <x:c r="Q92" s="16" t="n">
        <x:v>2719.5917486466</x:v>
      </x:c>
      <x:c r="R92" s="16" t="n">
        <x:v>10520.9834227726</x:v>
      </x:c>
    </x:row>
    <x:row r="93">
      <x:c r="A93" s="15" t="n">
        <x:v>42856</x:v>
      </x:c>
      <x:c r="B93" s="16"/>
      <x:c r="C93" s="16" t="n">
        <x:v>82322.6493657425</x:v>
      </x:c>
      <x:c r="D93" s="16" t="n">
        <x:v>2370.2276771069</x:v>
      </x:c>
      <x:c r="E93" s="16" t="n">
        <x:v>2672.871494926</x:v>
      </x:c>
      <x:c r="F93" s="16" t="n">
        <x:v>18729.0885751233</x:v>
      </x:c>
      <x:c r="G93" s="16" t="n">
        <x:v>17875.7963123946</x:v>
      </x:c>
      <x:c r="H93" s="16" t="n">
        <x:v>1465.8490543342</x:v>
      </x:c>
      <x:c r="I93" s="16" t="n">
        <x:v>905.3332790356</x:v>
      </x:c>
      <x:c r="J93" s="16" t="n">
        <x:v>872.3404747397</x:v>
      </x:c>
      <x:c r="K93" s="16" t="n">
        <x:v>23978.1937953315</x:v>
      </x:c>
      <x:c r="L93" s="16" t="n">
        <x:v>24615.8679709808</x:v>
      </x:c>
      <x:c r="M93" s="16" t="n">
        <x:v>3005.4085179616</x:v>
      </x:c>
      <x:c r="N93" s="16" t="n">
        <x:v>3359.7618293479</x:v>
      </x:c>
      <x:c r="O93" s="16" t="n">
        <x:v>2754.2557169973</x:v>
      </x:c>
      <x:c r="P93" s="16" t="n">
        <x:v>7085.1092753534</x:v>
      </x:c>
      <x:c r="Q93" s="16" t="n">
        <x:v>2810.0525568658</x:v>
      </x:c>
      <x:c r="R93" s="16" t="n">
        <x:v>10606.6011889973</x:v>
      </x:c>
    </x:row>
    <x:row r="94">
      <x:c r="A94" s="15" t="n">
        <x:v>42887</x:v>
      </x:c>
      <x:c r="B94" s="16"/>
      <x:c r="C94" s="16" t="n">
        <x:v>83559.8155018521</x:v>
      </x:c>
      <x:c r="D94" s="16" t="n">
        <x:v>2372.5378307507</x:v>
      </x:c>
      <x:c r="E94" s="16" t="n">
        <x:v>2654.3313073973</x:v>
      </x:c>
      <x:c r="F94" s="16" t="n">
        <x:v>18775.2055527452</x:v>
      </x:c>
      <x:c r="G94" s="16" t="n">
        <x:v>18207.3805554849</x:v>
      </x:c>
      <x:c r="H94" s="16" t="n">
        <x:v>1483.1833035397</x:v>
      </x:c>
      <x:c r="I94" s="16" t="n">
        <x:v>915.6733771397</x:v>
      </x:c>
      <x:c r="J94" s="16" t="n">
        <x:v>937.0564383562</x:v>
      </x:c>
      <x:c r="K94" s="16" t="n">
        <x:v>21995.0001305425</x:v>
      </x:c>
      <x:c r="L94" s="16" t="n">
        <x:v>23885.1441779726</x:v>
      </x:c>
      <x:c r="M94" s="16" t="n">
        <x:v>3536.4982422794</x:v>
      </x:c>
      <x:c r="N94" s="16" t="n">
        <x:v>3496.8044426521</x:v>
      </x:c>
      <x:c r="O94" s="16" t="n">
        <x:v>2891.7506195288</x:v>
      </x:c>
      <x:c r="P94" s="16" t="n">
        <x:v>7189.8190446466</x:v>
      </x:c>
      <x:c r="Q94" s="16" t="n">
        <x:v>2879.9094624438</x:v>
      </x:c>
      <x:c r="R94" s="16" t="n">
        <x:v>15450.4570487233</x:v>
      </x:c>
    </x:row>
    <x:row r="95">
      <x:c r="A95" s="15" t="n">
        <x:v>42917</x:v>
      </x:c>
      <x:c r="B95" s="16"/>
      <x:c r="C95" s="16" t="n">
        <x:v>84484.106924537</x:v>
      </x:c>
      <x:c r="D95" s="16" t="n">
        <x:v>2409.0997602192</x:v>
      </x:c>
      <x:c r="E95" s="16" t="n">
        <x:v>2684.0290283836</x:v>
      </x:c>
      <x:c r="F95" s="16" t="n">
        <x:v>19009.876140537</x:v>
      </x:c>
      <x:c r="G95" s="16" t="n">
        <x:v>17560.2526816438</x:v>
      </x:c>
      <x:c r="H95" s="16" t="n">
        <x:v>1504.908639211</x:v>
      </x:c>
      <x:c r="I95" s="16" t="n">
        <x:v>869.2578392329</x:v>
      </x:c>
      <x:c r="J95" s="16" t="n">
        <x:v>970.9616624219</x:v>
      </x:c>
      <x:c r="K95" s="16" t="n">
        <x:v>20643.6932533479</x:v>
      </x:c>
      <x:c r="L95" s="16" t="n">
        <x:v>24521.454693348</x:v>
      </x:c>
      <x:c r="M95" s="16" t="n">
        <x:v>3653.9497440438</x:v>
      </x:c>
      <x:c r="N95" s="16" t="n">
        <x:v>3557.4253853808</x:v>
      </x:c>
      <x:c r="O95" s="16" t="n">
        <x:v>2830.5405489096</x:v>
      </x:c>
      <x:c r="P95" s="16" t="n">
        <x:v>7227.816236537</x:v>
      </x:c>
      <x:c r="Q95" s="16" t="n">
        <x:v>3049.9779630904</x:v>
      </x:c>
      <x:c r="R95" s="16" t="n">
        <x:v>15098.4456875836</x:v>
      </x:c>
    </x:row>
    <x:row r="96">
      <x:c r="A96" s="15" t="n">
        <x:v>42948</x:v>
      </x:c>
      <x:c r="B96" s="16"/>
      <x:c r="C96" s="16" t="n">
        <x:v>85472.2934587615</x:v>
      </x:c>
      <x:c r="D96" s="16" t="n">
        <x:v>2325.6995871562</x:v>
      </x:c>
      <x:c r="E96" s="16" t="n">
        <x:v>2804.0540417753</x:v>
      </x:c>
      <x:c r="F96" s="16" t="n">
        <x:v>18970.6597046356</x:v>
      </x:c>
      <x:c r="G96" s="16" t="n">
        <x:v>17710.6977565808</x:v>
      </x:c>
      <x:c r="H96" s="16" t="n">
        <x:v>1551.1794356603</x:v>
      </x:c>
      <x:c r="I96" s="16" t="n">
        <x:v>889.5138103671</x:v>
      </x:c>
      <x:c r="J96" s="16" t="n">
        <x:v>997.7168767123</x:v>
      </x:c>
      <x:c r="K96" s="16" t="n">
        <x:v>21132.211902378</x:v>
      </x:c>
      <x:c r="L96" s="16" t="n">
        <x:v>23163.1421485589</x:v>
      </x:c>
      <x:c r="M96" s="16" t="n">
        <x:v>3967.3291313096</x:v>
      </x:c>
      <x:c r="N96" s="16" t="n">
        <x:v>3621.2483359562</x:v>
      </x:c>
      <x:c r="O96" s="16" t="n">
        <x:v>2802.7355844384</x:v>
      </x:c>
      <x:c r="P96" s="16" t="n">
        <x:v>7342.9442479342</x:v>
      </x:c>
      <x:c r="Q96" s="16" t="n">
        <x:v>3102.2912961753</x:v>
      </x:c>
      <x:c r="R96" s="16" t="n">
        <x:v>15369.8661141041</x:v>
      </x:c>
    </x:row>
    <x:row r="97">
      <x:c r="A97" s="15" t="n">
        <x:v>42979</x:v>
      </x:c>
      <x:c r="B97" s="16"/>
      <x:c r="C97" s="16" t="n">
        <x:v>84358.0175794849</x:v>
      </x:c>
      <x:c r="D97" s="16" t="n">
        <x:v>2320.0854538521</x:v>
      </x:c>
      <x:c r="E97" s="16" t="n">
        <x:v>2825.2754853699</x:v>
      </x:c>
      <x:c r="F97" s="16" t="n">
        <x:v>19091.6166147507</x:v>
      </x:c>
      <x:c r="G97" s="16" t="n">
        <x:v>18052.6277172603</x:v>
      </x:c>
      <x:c r="H97" s="16" t="n">
        <x:v>1527.0033115178</x:v>
      </x:c>
      <x:c r="I97" s="16" t="n">
        <x:v>857.7354111123</x:v>
      </x:c>
      <x:c r="J97" s="16" t="n">
        <x:v>991.2982837479</x:v>
      </x:c>
      <x:c r="K97" s="16" t="n">
        <x:v>22000.8638512657</x:v>
      </x:c>
      <x:c r="L97" s="16" t="n">
        <x:v>22597.5223713315</x:v>
      </x:c>
      <x:c r="M97" s="16" t="n">
        <x:v>4545.5509272548</x:v>
      </x:c>
      <x:c r="N97" s="16" t="n">
        <x:v>3697.2407368767</x:v>
      </x:c>
      <x:c r="O97" s="16" t="n">
        <x:v>2840.2369543014</x:v>
      </x:c>
      <x:c r="P97" s="16" t="n">
        <x:v>7332.3325543452</x:v>
      </x:c>
      <x:c r="Q97" s="16" t="n">
        <x:v>3135.9699989041</x:v>
      </x:c>
      <x:c r="R97" s="16" t="n">
        <x:v>16642.4643519123</x:v>
      </x:c>
    </x:row>
    <x:row r="98">
      <x:c r="A98" s="15" t="n">
        <x:v>43009</x:v>
      </x:c>
      <x:c r="B98" s="16"/>
      <x:c r="C98" s="16" t="n">
        <x:v>86383.3775959672</x:v>
      </x:c>
      <x:c r="D98" s="16" t="n">
        <x:v>2150.5547958356</x:v>
      </x:c>
      <x:c r="E98" s="16" t="n">
        <x:v>2871.5288183233</x:v>
      </x:c>
      <x:c r="F98" s="16" t="n">
        <x:v>19035.554093589</x:v>
      </x:c>
      <x:c r="G98" s="16" t="n">
        <x:v>18340.9640572932</x:v>
      </x:c>
      <x:c r="H98" s="16" t="n">
        <x:v>1554.8096129753</x:v>
      </x:c>
      <x:c r="I98" s="16" t="n">
        <x:v>881.2889846137</x:v>
      </x:c>
      <x:c r="J98" s="16" t="n">
        <x:v>1015.1501731945</x:v>
      </x:c>
      <x:c r="K98" s="16" t="n">
        <x:v>22238.738201074</x:v>
      </x:c>
      <x:c r="L98" s="16" t="n">
        <x:v>22079.3723847891</x:v>
      </x:c>
      <x:c r="M98" s="16" t="n">
        <x:v>5000.7625608767</x:v>
      </x:c>
      <x:c r="N98" s="16" t="n">
        <x:v>3836.1391502904</x:v>
      </x:c>
      <x:c r="O98" s="16" t="n">
        <x:v>2776.3752013151</x:v>
      </x:c>
      <x:c r="P98" s="16" t="n">
        <x:v>7503.8830320219</x:v>
      </x:c>
      <x:c r="Q98" s="16" t="n">
        <x:v>3340.6356712329</x:v>
      </x:c>
      <x:c r="R98" s="16" t="n">
        <x:v>16944.9113375562</x:v>
      </x:c>
    </x:row>
    <x:row r="99">
      <x:c r="A99" s="15" t="n">
        <x:v>43040</x:v>
      </x:c>
      <x:c r="B99" s="16"/>
      <x:c r="C99" s="16" t="n">
        <x:v>86749.5943153974</x:v>
      </x:c>
      <x:c r="D99" s="16" t="n">
        <x:v>2086.6902762959</x:v>
      </x:c>
      <x:c r="E99" s="16" t="n">
        <x:v>2892.2234357479</x:v>
      </x:c>
      <x:c r="F99" s="16" t="n">
        <x:v>19346.7319278466</x:v>
      </x:c>
      <x:c r="G99" s="16" t="n">
        <x:v>18576.5625423781</x:v>
      </x:c>
      <x:c r="H99" s="16" t="n">
        <x:v>1590.4049380822</x:v>
      </x:c>
      <x:c r="I99" s="16" t="n">
        <x:v>908.5724223342</x:v>
      </x:c>
      <x:c r="J99" s="16" t="n">
        <x:v>1048.8423856219</x:v>
      </x:c>
      <x:c r="K99" s="16" t="n">
        <x:v>23936.7465857753</x:v>
      </x:c>
      <x:c r="L99" s="16" t="n">
        <x:v>22597.8715237699</x:v>
      </x:c>
      <x:c r="M99" s="16" t="n">
        <x:v>5181.065152526</x:v>
      </x:c>
      <x:c r="N99" s="16" t="n">
        <x:v>3842.2418182137</x:v>
      </x:c>
      <x:c r="O99" s="16" t="n">
        <x:v>2846.6948530849</x:v>
      </x:c>
      <x:c r="P99" s="16" t="n">
        <x:v>7671.4206204493</x:v>
      </x:c>
      <x:c r="Q99" s="16" t="n">
        <x:v>3539.3860366904</x:v>
      </x:c>
      <x:c r="R99" s="16" t="n">
        <x:v>17329.3453715288</x:v>
      </x:c>
    </x:row>
    <x:row r="100">
      <x:c r="A100" s="15" t="n">
        <x:v>43070</x:v>
      </x:c>
      <x:c r="B100" s="16"/>
      <x:c r="C100" s="16" t="n">
        <x:v>86641.7146080438</x:v>
      </x:c>
      <x:c r="D100" s="16" t="n">
        <x:v>1953.4770826521</x:v>
      </x:c>
      <x:c r="E100" s="16" t="n">
        <x:v>2954.6682976438</x:v>
      </x:c>
      <x:c r="F100" s="16" t="n">
        <x:v>19648.1840822356</x:v>
      </x:c>
      <x:c r="G100" s="16" t="n">
        <x:v>19174.4582958465</x:v>
      </x:c>
      <x:c r="H100" s="16" t="n">
        <x:v>2044.457036274</x:v>
      </x:c>
      <x:c r="I100" s="16" t="n">
        <x:v>948.3189278247</x:v>
      </x:c>
      <x:c r="J100" s="16" t="n">
        <x:v>1327.4464268274</x:v>
      </x:c>
      <x:c r="K100" s="16" t="n">
        <x:v>26095.1186290849</x:v>
      </x:c>
      <x:c r="L100" s="16" t="n">
        <x:v>24320.5653724932</x:v>
      </x:c>
      <x:c r="M100" s="16" t="n">
        <x:v>5439.1773276931</x:v>
      </x:c>
      <x:c r="N100" s="16" t="n">
        <x:v>5114.7083795288</x:v>
      </x:c>
      <x:c r="O100" s="16" t="n">
        <x:v>2825.0730327671</x:v>
      </x:c>
      <x:c r="P100" s="16" t="n">
        <x:v>7789.0037854685</x:v>
      </x:c>
      <x:c r="Q100" s="16" t="n">
        <x:v>3650.7444334466</x:v>
      </x:c>
      <x:c r="R100" s="16" t="n">
        <x:v>17620.6905201973</x:v>
      </x:c>
    </x:row>
    <x:row r="101">
      <x:c r="A101" s="15" t="n">
        <x:v>43101</x:v>
      </x:c>
      <x:c r="B101" s="16"/>
      <x:c r="C101" s="16" t="n">
        <x:v>88862.2983785205</x:v>
      </x:c>
      <x:c r="D101" s="16" t="n">
        <x:v>2003.1412660603</x:v>
      </x:c>
      <x:c r="E101" s="16" t="n">
        <x:v>2977.1155140384</x:v>
      </x:c>
      <x:c r="F101" s="16" t="n">
        <x:v>20058.9485420712</x:v>
      </x:c>
      <x:c r="G101" s="16" t="n">
        <x:v>19457.0309963397</x:v>
      </x:c>
      <x:c r="H101" s="16" t="n">
        <x:v>2050.3021082301</x:v>
      </x:c>
      <x:c r="I101" s="16" t="n">
        <x:v>974.1715740055</x:v>
      </x:c>
      <x:c r="J101" s="16" t="n">
        <x:v>1346.1435422685</x:v>
      </x:c>
      <x:c r="K101" s="16" t="n">
        <x:v>28012.3324263452</x:v>
      </x:c>
      <x:c r="L101" s="16" t="n">
        <x:v>26753.3172764055</x:v>
      </x:c>
      <x:c r="M101" s="16" t="n">
        <x:v>6526.3551845699</x:v>
      </x:c>
      <x:c r="N101" s="16" t="n">
        <x:v>4496.340774926</x:v>
      </x:c>
      <x:c r="O101" s="16" t="n">
        <x:v>3838.5194797589</x:v>
      </x:c>
      <x:c r="P101" s="16" t="n">
        <x:v>7912.4988039014</x:v>
      </x:c>
      <x:c r="Q101" s="16" t="n">
        <x:v>3819.0127005808</x:v>
      </x:c>
      <x:c r="R101" s="16" t="n">
        <x:v>16333.505266148</x:v>
      </x:c>
    </x:row>
    <x:row r="102">
      <x:c r="A102" s="15" t="n">
        <x:v>43132</x:v>
      </x:c>
      <x:c r="B102" s="16"/>
      <x:c r="C102" s="16" t="n">
        <x:v>93055.2310264988</x:v>
      </x:c>
      <x:c r="D102" s="16" t="n">
        <x:v>2068.5043491068</x:v>
      </x:c>
      <x:c r="E102" s="16" t="n">
        <x:v>2953.3470755069</x:v>
      </x:c>
      <x:c r="F102" s="16" t="n">
        <x:v>20204.4834472329</x:v>
      </x:c>
      <x:c r="G102" s="16" t="n">
        <x:v>19238.0420816219</x:v>
      </x:c>
      <x:c r="H102" s="16" t="n">
        <x:v>2074.2004709699</x:v>
      </x:c>
      <x:c r="I102" s="16" t="n">
        <x:v>997.0248300712</x:v>
      </x:c>
      <x:c r="J102" s="16" t="n">
        <x:v>1348.9615752767</x:v>
      </x:c>
      <x:c r="K102" s="16" t="n">
        <x:v>28974.6366765589</x:v>
      </x:c>
      <x:c r="L102" s="16" t="n">
        <x:v>30621.9183931616</x:v>
      </x:c>
      <x:c r="M102" s="16" t="n">
        <x:v>6278.1323246466</x:v>
      </x:c>
      <x:c r="N102" s="16" t="n">
        <x:v>4552.9359459945</x:v>
      </x:c>
      <x:c r="O102" s="16" t="n">
        <x:v>3778.5535456438</x:v>
      </x:c>
      <x:c r="P102" s="16" t="n">
        <x:v>8068.0149016548</x:v>
      </x:c>
      <x:c r="Q102" s="16" t="n">
        <x:v>3686.5226857205</x:v>
      </x:c>
      <x:c r="R102" s="16" t="n">
        <x:v>16597.5431876383</x:v>
      </x:c>
    </x:row>
    <x:row r="103">
      <x:c r="A103" s="15" t="n">
        <x:v>43160</x:v>
      </x:c>
      <x:c r="B103" s="16"/>
      <x:c r="C103" s="16" t="n">
        <x:v>94468.4042548604</x:v>
      </x:c>
      <x:c r="D103" s="16" t="n">
        <x:v>2117.1842198794</x:v>
      </x:c>
      <x:c r="E103" s="16" t="n">
        <x:v>2979.0613249753</x:v>
      </x:c>
      <x:c r="F103" s="16" t="n">
        <x:v>20970.876761074</x:v>
      </x:c>
      <x:c r="G103" s="16" t="n">
        <x:v>19222.3163944328</x:v>
      </x:c>
      <x:c r="H103" s="16" t="n">
        <x:v>2058.1225384329</x:v>
      </x:c>
      <x:c r="I103" s="16" t="n">
        <x:v>1031.1064177096</x:v>
      </x:c>
      <x:c r="J103" s="16" t="n">
        <x:v>1347.8964575562</x:v>
      </x:c>
      <x:c r="K103" s="16" t="n">
        <x:v>31635.1082273315</x:v>
      </x:c>
      <x:c r="L103" s="16" t="n">
        <x:v>32085.1322929095</x:v>
      </x:c>
      <x:c r="M103" s="16" t="n">
        <x:v>6663.7262588493</x:v>
      </x:c>
      <x:c r="N103" s="16" t="n">
        <x:v>4668.3931693589</x:v>
      </x:c>
      <x:c r="O103" s="16" t="n">
        <x:v>3894.6025710466</x:v>
      </x:c>
      <x:c r="P103" s="16" t="n">
        <x:v>8158.2001744657</x:v>
      </x:c>
      <x:c r="Q103" s="16" t="n">
        <x:v>3721.5367508164</x:v>
      </x:c>
      <x:c r="R103" s="16" t="n">
        <x:v>14210.8605238356</x:v>
      </x:c>
    </x:row>
    <x:row r="104">
      <x:c r="A104" s="15" t="n">
        <x:v>43191</x:v>
      </x:c>
      <x:c r="B104" s="16"/>
      <x:c r="C104" s="16" t="n">
        <x:v>95663.3934132602</x:v>
      </x:c>
      <x:c r="D104" s="16" t="n">
        <x:v>2166.3801372055</x:v>
      </x:c>
      <x:c r="E104" s="16" t="n">
        <x:v>2929.1873122192</x:v>
      </x:c>
      <x:c r="F104" s="16" t="n">
        <x:v>20921.0485269041</x:v>
      </x:c>
      <x:c r="G104" s="16" t="n">
        <x:v>19170.7876528219</x:v>
      </x:c>
      <x:c r="H104" s="16" t="n">
        <x:v>2078.0956870137</x:v>
      </x:c>
      <x:c r="I104" s="16" t="n">
        <x:v>1052.5248512877</x:v>
      </x:c>
      <x:c r="J104" s="16" t="n">
        <x:v>1354.1922270685</x:v>
      </x:c>
      <x:c r="K104" s="16" t="n">
        <x:v>30159.8818989589</x:v>
      </x:c>
      <x:c r="L104" s="16" t="n">
        <x:v>34040.7341852055</x:v>
      </x:c>
      <x:c r="M104" s="16" t="n">
        <x:v>7787.2490143562</x:v>
      </x:c>
      <x:c r="N104" s="16" t="n">
        <x:v>4746.2513481644</x:v>
      </x:c>
      <x:c r="O104" s="16" t="n">
        <x:v>3929.2808267397</x:v>
      </x:c>
      <x:c r="P104" s="16" t="n">
        <x:v>8051.1800688219</x:v>
      </x:c>
      <x:c r="Q104" s="16" t="n">
        <x:v>3848.0104530411</x:v>
      </x:c>
      <x:c r="R104" s="16" t="n">
        <x:v>14940.3841507945</x:v>
      </x:c>
    </x:row>
    <x:row r="105">
      <x:c r="A105" s="15" t="n">
        <x:v>43221</x:v>
      </x:c>
      <x:c r="B105" s="16"/>
      <x:c r="C105" s="16" t="n">
        <x:v>97657.2710042302</x:v>
      </x:c>
      <x:c r="D105" s="16" t="n">
        <x:v>2226.4565216438</x:v>
      </x:c>
      <x:c r="E105" s="16" t="n">
        <x:v>2913.1038122082</x:v>
      </x:c>
      <x:c r="F105" s="16" t="n">
        <x:v>21022.7707679562</x:v>
      </x:c>
      <x:c r="G105" s="16" t="n">
        <x:v>18807.1178579288</x:v>
      </x:c>
      <x:c r="H105" s="16" t="n">
        <x:v>2117.0733578521</x:v>
      </x:c>
      <x:c r="I105" s="16" t="n">
        <x:v>1052.5368397151</x:v>
      </x:c>
      <x:c r="J105" s="16" t="n">
        <x:v>1393.8508158247</x:v>
      </x:c>
      <x:c r="K105" s="16" t="n">
        <x:v>31928.2107811069</x:v>
      </x:c>
      <x:c r="L105" s="16" t="n">
        <x:v>37255.4078916383</x:v>
      </x:c>
      <x:c r="M105" s="16" t="n">
        <x:v>8915.5958103671</x:v>
      </x:c>
      <x:c r="N105" s="16" t="n">
        <x:v>5223.8836343562</x:v>
      </x:c>
      <x:c r="O105" s="16" t="n">
        <x:v>3773.0923930301</x:v>
      </x:c>
      <x:c r="P105" s="16" t="n">
        <x:v>8156.941383189</x:v>
      </x:c>
      <x:c r="Q105" s="16" t="n">
        <x:v>4167.8486672219</x:v>
      </x:c>
      <x:c r="R105" s="16" t="n">
        <x:v>19719.3099523507</x:v>
      </x:c>
    </x:row>
    <x:row r="106">
      <x:c r="A106" s="15" t="n">
        <x:v>43252</x:v>
      </x:c>
      <x:c r="B106" s="16"/>
      <x:c r="C106" s="16" t="n">
        <x:v>97889.7813952878</x:v>
      </x:c>
      <x:c r="D106" s="16" t="n">
        <x:v>2288.8826029589</x:v>
      </x:c>
      <x:c r="E106" s="16" t="n">
        <x:v>2810.6101286575</x:v>
      </x:c>
      <x:c r="F106" s="16" t="n">
        <x:v>20950.3062128219</x:v>
      </x:c>
      <x:c r="G106" s="16" t="n">
        <x:v>18170.1690934247</x:v>
      </x:c>
      <x:c r="H106" s="16" t="n">
        <x:v>2127.2688118356</x:v>
      </x:c>
      <x:c r="I106" s="16" t="n">
        <x:v>1056.1765301918</x:v>
      </x:c>
      <x:c r="J106" s="16" t="n">
        <x:v>1421.4469527671</x:v>
      </x:c>
      <x:c r="K106" s="16" t="n">
        <x:v>33085.5053264657</x:v>
      </x:c>
      <x:c r="L106" s="16" t="n">
        <x:v>38050.0347651507</x:v>
      </x:c>
      <x:c r="M106" s="16" t="n">
        <x:v>9601.6677970411</x:v>
      </x:c>
      <x:c r="N106" s="16" t="n">
        <x:v>5241.5093525479</x:v>
      </x:c>
      <x:c r="O106" s="16" t="n">
        <x:v>3604.9847636164</x:v>
      </x:c>
      <x:c r="P106" s="16" t="n">
        <x:v>8268.3690993973</x:v>
      </x:c>
      <x:c r="Q106" s="16" t="n">
        <x:v>4186.6989950137</x:v>
      </x:c>
      <x:c r="R106" s="16" t="n">
        <x:v>17985.126515726</x:v>
      </x:c>
    </x:row>
    <x:row r="107">
      <x:c r="A107" s="15" t="n">
        <x:v>43282</x:v>
      </x:c>
      <x:c r="B107" s="16"/>
      <x:c r="C107" s="16" t="n">
        <x:v>99336.57731577</x:v>
      </x:c>
      <x:c r="D107" s="16" t="n">
        <x:v>2396.3128788164</x:v>
      </x:c>
      <x:c r="E107" s="16" t="n">
        <x:v>2843.8624936329</x:v>
      </x:c>
      <x:c r="F107" s="16" t="n">
        <x:v>21809.2631839562</x:v>
      </x:c>
      <x:c r="G107" s="16" t="n">
        <x:v>18033.7892000329</x:v>
      </x:c>
      <x:c r="H107" s="16" t="n">
        <x:v>2142.8495644055</x:v>
      </x:c>
      <x:c r="I107" s="16" t="n">
        <x:v>1079.220605326</x:v>
      </x:c>
      <x:c r="J107" s="16" t="n">
        <x:v>1420.928377074</x:v>
      </x:c>
      <x:c r="K107" s="16" t="n">
        <x:v>34548.3534344767</x:v>
      </x:c>
      <x:c r="L107" s="16" t="n">
        <x:v>39527.7178616987</x:v>
      </x:c>
      <x:c r="M107" s="16" t="n">
        <x:v>9259.8514907178</x:v>
      </x:c>
      <x:c r="N107" s="16" t="n">
        <x:v>5313.1160492055</x:v>
      </x:c>
      <x:c r="O107" s="16" t="n">
        <x:v>3622.4718656877</x:v>
      </x:c>
      <x:c r="P107" s="16" t="n">
        <x:v>8449.5035919781</x:v>
      </x:c>
      <x:c r="Q107" s="16" t="n">
        <x:v>4137.2644953425</x:v>
      </x:c>
      <x:c r="R107" s="16" t="n">
        <x:v>18293.5098862466</x:v>
      </x:c>
    </x:row>
    <x:row r="108">
      <x:c r="A108" s="15" t="n">
        <x:v>43313</x:v>
      </x:c>
      <x:c r="B108" s="16"/>
      <x:c r="C108" s="16" t="n">
        <x:v>100762.5366766466</x:v>
      </x:c>
      <x:c r="D108" s="16" t="n">
        <x:v>2270.8149737205</x:v>
      </x:c>
      <x:c r="E108" s="16" t="n">
        <x:v>2847.4970304877</x:v>
      </x:c>
      <x:c r="F108" s="16" t="n">
        <x:v>21977.0331662028</x:v>
      </x:c>
      <x:c r="G108" s="16" t="n">
        <x:v>18085.7639918466</x:v>
      </x:c>
      <x:c r="H108" s="16" t="n">
        <x:v>2178.5537571945</x:v>
      </x:c>
      <x:c r="I108" s="16" t="n">
        <x:v>1093.4920662795</x:v>
      </x:c>
      <x:c r="J108" s="16" t="n">
        <x:v>1437.0153211616</x:v>
      </x:c>
      <x:c r="K108" s="16" t="n">
        <x:v>35444.6264816219</x:v>
      </x:c>
      <x:c r="L108" s="16" t="n">
        <x:v>42602.1654945315</x:v>
      </x:c>
      <x:c r="M108" s="16" t="n">
        <x:v>9160.0859637479</x:v>
      </x:c>
      <x:c r="N108" s="16" t="n">
        <x:v>5429.0900762301</x:v>
      </x:c>
      <x:c r="O108" s="16" t="n">
        <x:v>3684.0487708055</x:v>
      </x:c>
      <x:c r="P108" s="16" t="n">
        <x:v>8458.4149044603</x:v>
      </x:c>
      <x:c r="Q108" s="16" t="n">
        <x:v>3964.9365846795</x:v>
      </x:c>
      <x:c r="R108" s="16" t="n">
        <x:v>18942.8805902028</x:v>
      </x:c>
    </x:row>
    <x:row r="109">
      <x:c r="A109" s="15" t="n">
        <x:v>43344</x:v>
      </x:c>
      <x:c r="B109" s="16"/>
      <x:c r="C109" s="16" t="n">
        <x:v>101834.1836884165</x:v>
      </x:c>
      <x:c r="D109" s="16" t="n">
        <x:v>2350.0023218849</x:v>
      </x:c>
      <x:c r="E109" s="16" t="n">
        <x:v>2789.1732648329</x:v>
      </x:c>
      <x:c r="F109" s="16" t="n">
        <x:v>22084.9222228164</x:v>
      </x:c>
      <x:c r="G109" s="16" t="n">
        <x:v>18251.9523184219</x:v>
      </x:c>
      <x:c r="H109" s="16" t="n">
        <x:v>2184.5984876712</x:v>
      </x:c>
      <x:c r="I109" s="16" t="n">
        <x:v>1107.6822787507</x:v>
      </x:c>
      <x:c r="J109" s="16" t="n">
        <x:v>1422.024306411</x:v>
      </x:c>
      <x:c r="K109" s="16" t="n">
        <x:v>39506.4287612493</x:v>
      </x:c>
      <x:c r="L109" s="16" t="n">
        <x:v>45568.8054759452</x:v>
      </x:c>
      <x:c r="M109" s="16" t="n">
        <x:v>9370.1739691836</x:v>
      </x:c>
      <x:c r="N109" s="16" t="n">
        <x:v>5346.0936023671</x:v>
      </x:c>
      <x:c r="O109" s="16" t="n">
        <x:v>2819.1531744438</x:v>
      </x:c>
      <x:c r="P109" s="16" t="n">
        <x:v>8516.7084896438</x:v>
      </x:c>
      <x:c r="Q109" s="16" t="n">
        <x:v>4027.3306020822</x:v>
      </x:c>
      <x:c r="R109" s="16" t="n">
        <x:v>19318.7298137425</x:v>
      </x:c>
    </x:row>
    <x:row r="110">
      <x:c r="A110" s="15" t="n">
        <x:v>43374</x:v>
      </x:c>
      <x:c r="B110" s="16"/>
      <x:c r="C110" s="16" t="n">
        <x:v>100896.3928709262</x:v>
      </x:c>
      <x:c r="D110" s="16" t="n">
        <x:v>2346.5397883616</x:v>
      </x:c>
      <x:c r="E110" s="16" t="n">
        <x:v>2766.0066510904</x:v>
      </x:c>
      <x:c r="F110" s="16" t="n">
        <x:v>21787.2260103014</x:v>
      </x:c>
      <x:c r="G110" s="16" t="n">
        <x:v>17265.2046635836</x:v>
      </x:c>
      <x:c r="H110" s="16" t="n">
        <x:v>2148.7047791342</x:v>
      </x:c>
      <x:c r="I110" s="16" t="n">
        <x:v>1123.3125184877</x:v>
      </x:c>
      <x:c r="J110" s="16" t="n">
        <x:v>1432.7253376</x:v>
      </x:c>
      <x:c r="K110" s="16" t="n">
        <x:v>39872.9560910904</x:v>
      </x:c>
      <x:c r="L110" s="16" t="n">
        <x:v>51718.2513825315</x:v>
      </x:c>
      <x:c r="M110" s="16" t="n">
        <x:v>10550.7548082849</x:v>
      </x:c>
      <x:c r="N110" s="16" t="n">
        <x:v>5177.9922654685</x:v>
      </x:c>
      <x:c r="O110" s="16" t="n">
        <x:v>2860.8892458082</x:v>
      </x:c>
      <x:c r="P110" s="16" t="n">
        <x:v>8467.3616275288</x:v>
      </x:c>
      <x:c r="Q110" s="16" t="n">
        <x:v>3975.6420679014</x:v>
      </x:c>
      <x:c r="R110" s="16" t="n">
        <x:v>16663.9278858521</x:v>
      </x:c>
    </x:row>
    <x:row r="111">
      <x:c r="A111" s="15" t="n">
        <x:v>43405</x:v>
      </x:c>
      <x:c r="B111" s="16"/>
      <x:c r="C111" s="16" t="n">
        <x:v>102725.2904945972</x:v>
      </x:c>
      <x:c r="D111" s="16" t="n">
        <x:v>2444.6443711562</x:v>
      </x:c>
      <x:c r="E111" s="16" t="n">
        <x:v>2702.4280523397</x:v>
      </x:c>
      <x:c r="F111" s="16" t="n">
        <x:v>21811.1703025972</x:v>
      </x:c>
      <x:c r="G111" s="16" t="n">
        <x:v>17825.2344654466</x:v>
      </x:c>
      <x:c r="H111" s="16" t="n">
        <x:v>2116.2826732712</x:v>
      </x:c>
      <x:c r="I111" s="16" t="n">
        <x:v>1150.118138126</x:v>
      </x:c>
      <x:c r="J111" s="16" t="n">
        <x:v>1455.2506727452</x:v>
      </x:c>
      <x:c r="K111" s="16" t="n">
        <x:v>40219.6804004822</x:v>
      </x:c>
      <x:c r="L111" s="16" t="n">
        <x:v>49859.0223940384</x:v>
      </x:c>
      <x:c r="M111" s="16" t="n">
        <x:v>10613.9760810082</x:v>
      </x:c>
      <x:c r="N111" s="16" t="n">
        <x:v>5203.4173146301</x:v>
      </x:c>
      <x:c r="O111" s="16" t="n">
        <x:v>2879.1976139397</x:v>
      </x:c>
      <x:c r="P111" s="16" t="n">
        <x:v>8479.5633932274</x:v>
      </x:c>
      <x:c r="Q111" s="16" t="n">
        <x:v>4216.2068628164</x:v>
      </x:c>
      <x:c r="R111" s="16" t="n">
        <x:v>13501.5470309698</x:v>
      </x:c>
    </x:row>
    <x:row r="112">
      <x:c r="A112" s="15" t="n">
        <x:v>43435</x:v>
      </x:c>
      <x:c r="B112" s="16"/>
      <x:c r="C112" s="16" t="n">
        <x:v>106746.50112</x:v>
      </x:c>
      <x:c r="D112" s="16" t="n">
        <x:v>2545.92704</x:v>
      </x:c>
      <x:c r="E112" s="16" t="n">
        <x:v>2644.890048</x:v>
      </x:c>
      <x:c r="F112" s="16" t="n">
        <x:v>21911.10016</x:v>
      </x:c>
      <x:c r="G112" s="16" t="n">
        <x:v>18362.877452</x:v>
      </x:c>
      <x:c r="H112" s="16" t="n">
        <x:v>2083.41504</x:v>
      </x:c>
      <x:c r="I112" s="16" t="n">
        <x:v>1149.736032</x:v>
      </x:c>
      <x:c r="J112" s="16" t="n">
        <x:v>1438.29104</x:v>
      </x:c>
      <x:c r="K112" s="16" t="n">
        <x:v>41090.498112</x:v>
      </x:c>
      <x:c r="L112" s="16" t="n">
        <x:v>46601.868672</x:v>
      </x:c>
      <x:c r="M112" s="16" t="n">
        <x:v>13348.49024</x:v>
      </x:c>
      <x:c r="N112" s="16" t="n">
        <x:v>5144.246944</x:v>
      </x:c>
      <x:c r="O112" s="16" t="n">
        <x:v>2922.200064</x:v>
      </x:c>
      <x:c r="P112" s="16" t="n">
        <x:v>8280.930176</x:v>
      </x:c>
      <x:c r="Q112" s="16" t="n">
        <x:v>4363.08704</x:v>
      </x:c>
      <x:c r="R112" s="16" t="n">
        <x:v>13465.450048</x:v>
      </x:c>
    </x:row>
    <x:row r="113">
      <x:c r="A113" s="15" t="n">
        <x:v>43466</x:v>
      </x:c>
      <x:c r="B113" s="16"/>
      <x:c r="C113" s="16" t="n">
        <x:v>106158.0739119563</x:v>
      </x:c>
      <x:c r="D113" s="16" t="n">
        <x:v>1766.7594749727</x:v>
      </x:c>
      <x:c r="E113" s="16" t="n">
        <x:v>2623.0757340328</x:v>
      </x:c>
      <x:c r="F113" s="16" t="n">
        <x:v>21594.8091201749</x:v>
      </x:c>
      <x:c r="G113" s="16" t="n">
        <x:v>18810.3928695956</x:v>
      </x:c>
      <x:c r="H113" s="16" t="n">
        <x:v>2082.0812983607</x:v>
      </x:c>
      <x:c r="I113" s="16" t="n">
        <x:v>1112.8406767213</x:v>
      </x:c>
      <x:c r="J113" s="16" t="n">
        <x:v>1522.5821294863</x:v>
      </x:c>
      <x:c r="K113" s="16" t="n">
        <x:v>39161.2326546885</x:v>
      </x:c>
      <x:c r="L113" s="16" t="n">
        <x:v>45898.6246309071</x:v>
      </x:c>
      <x:c r="M113" s="16" t="n">
        <x:v>8686.5393954973</x:v>
      </x:c>
      <x:c r="N113" s="16" t="n">
        <x:v>5252.852531847</x:v>
      </x:c>
      <x:c r="O113" s="16" t="n">
        <x:v>3121.5516243934</x:v>
      </x:c>
      <x:c r="P113" s="16" t="n">
        <x:v>8348.2665362186</x:v>
      </x:c>
      <x:c r="Q113" s="16" t="n">
        <x:v>4610.9892917158</x:v>
      </x:c>
      <x:c r="R113" s="16" t="n">
        <x:v>18238.3518968306</x:v>
      </x:c>
    </x:row>
    <x:row r="114">
      <x:c r="A114" s="15" t="n">
        <x:v>43497</x:v>
      </x:c>
      <x:c r="B114" s="16"/>
      <x:c r="C114" s="16" t="n">
        <x:v>106876.6068333114</x:v>
      </x:c>
      <x:c r="D114" s="16" t="n">
        <x:v>1866.8731522623</x:v>
      </x:c>
      <x:c r="E114" s="16" t="n">
        <x:v>2648.122647082</x:v>
      </x:c>
      <x:c r="F114" s="16" t="n">
        <x:v>9799.2190782951</x:v>
      </x:c>
      <x:c r="G114" s="16" t="n">
        <x:v>18124.4135910164</x:v>
      </x:c>
      <x:c r="H114" s="16" t="n">
        <x:v>2102.1433788852</x:v>
      </x:c>
      <x:c r="I114" s="16" t="n">
        <x:v>1159.4943060984</x:v>
      </x:c>
      <x:c r="J114" s="16" t="n">
        <x:v>1509.2016215082</x:v>
      </x:c>
      <x:c r="K114" s="16" t="n">
        <x:v>40582.5076312131</x:v>
      </x:c>
      <x:c r="L114" s="16" t="n">
        <x:v>48569.8752398688</x:v>
      </x:c>
      <x:c r="M114" s="16" t="n">
        <x:v>8665.6602921967</x:v>
      </x:c>
      <x:c r="N114" s="16" t="n">
        <x:v>5125.6249870164</x:v>
      </x:c>
      <x:c r="O114" s="16" t="n">
        <x:v>3092.7382074754</x:v>
      </x:c>
      <x:c r="P114" s="16" t="n">
        <x:v>8456.489716459</x:v>
      </x:c>
      <x:c r="Q114" s="16" t="n">
        <x:v>4837.1256886557</x:v>
      </x:c>
      <x:c r="R114" s="16" t="n">
        <x:v>18285.3182751475</x:v>
      </x:c>
    </x:row>
    <x:row r="115">
      <x:c r="A115" s="15" t="n">
        <x:v>43525</x:v>
      </x:c>
      <x:c r="B115" s="16"/>
      <x:c r="C115" s="16" t="n">
        <x:v>109231.2562402624</x:v>
      </x:c>
      <x:c r="D115" s="16" t="n">
        <x:v>1916.2881908197</x:v>
      </x:c>
      <x:c r="E115" s="16" t="n">
        <x:v>2611.0331394098</x:v>
      </x:c>
      <x:c r="F115" s="16" t="n">
        <x:v>10017.8840215082</x:v>
      </x:c>
      <x:c r="G115" s="16" t="n">
        <x:v>18049.3805538798</x:v>
      </x:c>
      <x:c r="H115" s="16" t="n">
        <x:v>2099.3546089618</x:v>
      </x:c>
      <x:c r="I115" s="16" t="n">
        <x:v>1167.7053895519</x:v>
      </x:c>
      <x:c r="J115" s="16" t="n">
        <x:v>1530.0132207213</x:v>
      </x:c>
      <x:c r="K115" s="16" t="n">
        <x:v>44689.4478261858</x:v>
      </x:c>
      <x:c r="L115" s="16" t="n">
        <x:v>47653.1261044809</x:v>
      </x:c>
      <x:c r="M115" s="16" t="n">
        <x:v>8618.3153524809</x:v>
      </x:c>
      <x:c r="N115" s="16" t="n">
        <x:v>5168.4486653115</x:v>
      </x:c>
      <x:c r="O115" s="16" t="n">
        <x:v>3188.2490327432</x:v>
      </x:c>
      <x:c r="P115" s="16" t="n">
        <x:v>8411.867440612</x:v>
      </x:c>
      <x:c r="Q115" s="16" t="n">
        <x:v>4887.4018743607</x:v>
      </x:c>
      <x:c r="R115" s="16" t="n">
        <x:v>21860.6805378798</x:v>
      </x:c>
    </x:row>
    <x:row r="116">
      <x:c r="A116" s="15" t="n">
        <x:v>43556</x:v>
      </x:c>
      <x:c r="B116" s="16"/>
      <x:c r="C116" s="16" t="n">
        <x:v>111611.6018976175</x:v>
      </x:c>
      <x:c r="D116" s="16" t="n">
        <x:v>1967.191107541</x:v>
      </x:c>
      <x:c r="E116" s="16" t="n">
        <x:v>2535.8560082186</x:v>
      </x:c>
      <x:c r="F116" s="16" t="n">
        <x:v>9773.4146839781</x:v>
      </x:c>
      <x:c r="G116" s="16" t="n">
        <x:v>19155.0672588634</x:v>
      </x:c>
      <x:c r="H116" s="16" t="n">
        <x:v>2112.9337234536</x:v>
      </x:c>
      <x:c r="I116" s="16" t="n">
        <x:v>1203.0873386667</x:v>
      </x:c>
      <x:c r="J116" s="16" t="n">
        <x:v>1535.4965272568</x:v>
      </x:c>
      <x:c r="K116" s="16" t="n">
        <x:v>44557.1123324153</x:v>
      </x:c>
      <x:c r="L116" s="16" t="n">
        <x:v>46685.8806396503</x:v>
      </x:c>
      <x:c r="M116" s="16" t="n">
        <x:v>9085.9441416393</x:v>
      </x:c>
      <x:c r="N116" s="16" t="n">
        <x:v>5269.2547318033</x:v>
      </x:c>
      <x:c r="O116" s="16" t="n">
        <x:v>3171.4024085683</x:v>
      </x:c>
      <x:c r="P116" s="16" t="n">
        <x:v>8465.1633570273</x:v>
      </x:c>
      <x:c r="Q116" s="16" t="n">
        <x:v>4883.6041663825</x:v>
      </x:c>
      <x:c r="R116" s="16" t="n">
        <x:v>21230.4842706885</x:v>
      </x:c>
    </x:row>
    <x:row r="117">
      <x:c r="A117" s="15" t="n">
        <x:v>43586</x:v>
      </x:c>
      <x:c r="B117" s="16"/>
      <x:c r="C117" s="16" t="n">
        <x:v>115101.6029055302</x:v>
      </x:c>
      <x:c r="D117" s="16" t="n">
        <x:v>2060.523031694</x:v>
      </x:c>
      <x:c r="E117" s="16" t="n">
        <x:v>2559.1594281967</x:v>
      </x:c>
      <x:c r="F117" s="16" t="n">
        <x:v>21705.5743398469</x:v>
      </x:c>
      <x:c r="G117" s="16" t="n">
        <x:v>19117.3640146885</x:v>
      </x:c>
      <x:c r="H117" s="16" t="n">
        <x:v>2164.8404551694</x:v>
      </x:c>
      <x:c r="I117" s="16" t="n">
        <x:v>1217.5510448962</x:v>
      </x:c>
      <x:c r="J117" s="16" t="n">
        <x:v>1461.3730558251</x:v>
      </x:c>
      <x:c r="K117" s="16" t="n">
        <x:v>41988.8879443934</x:v>
      </x:c>
      <x:c r="L117" s="16" t="n">
        <x:v>47280.6167774427</x:v>
      </x:c>
      <x:c r="M117" s="16" t="n">
        <x:v>7776.9053146229</x:v>
      </x:c>
      <x:c r="N117" s="16" t="n">
        <x:v>5312.0235128306</x:v>
      </x:c>
      <x:c r="O117" s="16" t="n">
        <x:v>3084.2459922186</x:v>
      </x:c>
      <x:c r="P117" s="16" t="n">
        <x:v>8334.4864328743</x:v>
      </x:c>
      <x:c r="Q117" s="16" t="n">
        <x:v>5781.4889063169</x:v>
      </x:c>
      <x:c r="R117" s="16" t="n">
        <x:v>21579.2370864262</x:v>
      </x:c>
    </x:row>
    <x:row r="118">
      <x:c r="A118" s="15" t="n">
        <x:v>43617</x:v>
      </x:c>
      <x:c r="B118" s="16"/>
      <x:c r="C118" s="16" t="n">
        <x:v>115468.267822164</x:v>
      </x:c>
      <x:c r="D118" s="16" t="n">
        <x:v>2201.6477765246</x:v>
      </x:c>
      <x:c r="E118" s="16" t="n">
        <x:v>2306.712151082</x:v>
      </x:c>
      <x:c r="F118" s="16" t="n">
        <x:v>21451.8916721311</x:v>
      </x:c>
      <x:c r="G118" s="16" t="n">
        <x:v>19506.8649398032</x:v>
      </x:c>
      <x:c r="H118" s="16" t="n">
        <x:v>2139.0351721967</x:v>
      </x:c>
      <x:c r="I118" s="16" t="n">
        <x:v>1232.3136556066</x:v>
      </x:c>
      <x:c r="J118" s="16" t="n">
        <x:v>1471.4392708197</x:v>
      </x:c>
      <x:c r="K118" s="16" t="n">
        <x:v>41155.9459913443</x:v>
      </x:c>
      <x:c r="L118" s="16" t="n">
        <x:v>48177.9776335738</x:v>
      </x:c>
      <x:c r="M118" s="16" t="n">
        <x:v>5441.2840257049</x:v>
      </x:c>
      <x:c r="N118" s="16" t="n">
        <x:v>5391.488107541</x:v>
      </x:c>
      <x:c r="O118" s="16" t="n">
        <x:v>3062.2624020984</x:v>
      </x:c>
      <x:c r="P118" s="16" t="n">
        <x:v>8115.7549104262</x:v>
      </x:c>
      <x:c r="Q118" s="16" t="n">
        <x:v>6113.5942006557</x:v>
      </x:c>
      <x:c r="R118" s="16" t="n">
        <x:v>22023.7521846557</x:v>
      </x:c>
    </x:row>
    <x:row r="119">
      <x:c r="A119" s="15" t="n">
        <x:v>43647</x:v>
      </x:c>
      <x:c r="B119" s="16"/>
      <x:c r="C119" s="16" t="n">
        <x:v>115022.5931666885</x:v>
      </x:c>
      <x:c r="D119" s="16" t="n">
        <x:v>2297.7687698361</x:v>
      </x:c>
      <x:c r="E119" s="16" t="n">
        <x:v>2250.7250948197</x:v>
      </x:c>
      <x:c r="F119" s="16" t="n">
        <x:v>21643.551028459</x:v>
      </x:c>
      <x:c r="G119" s="16" t="n">
        <x:v>19965.6739499016</x:v>
      </x:c>
      <x:c r="H119" s="16" t="n">
        <x:v>2152.2672519344</x:v>
      </x:c>
      <x:c r="I119" s="16" t="n">
        <x:v>1253.0112658361</x:v>
      </x:c>
      <x:c r="J119" s="16" t="n">
        <x:v>1479.1476456393</x:v>
      </x:c>
      <x:c r="K119" s="16" t="n">
        <x:v>43254.9211761312</x:v>
      </x:c>
      <x:c r="L119" s="16" t="n">
        <x:v>47963.4319045246</x:v>
      </x:c>
      <x:c r="M119" s="16" t="n">
        <x:v>5236.5794827541</x:v>
      </x:c>
      <x:c r="N119" s="16" t="n">
        <x:v>5453.5095811148</x:v>
      </x:c>
      <x:c r="O119" s="16" t="n">
        <x:v>3063.2803630164</x:v>
      </x:c>
      <x:c r="P119" s="16" t="n">
        <x:v>8281.5217342951</x:v>
      </x:c>
      <x:c r="Q119" s="16" t="n">
        <x:v>6553.3470379016</x:v>
      </x:c>
      <x:c r="R119" s="16" t="n">
        <x:v>19000.2217704918</x:v>
      </x:c>
    </x:row>
    <x:row r="120">
      <x:c r="A120" s="15" t="n">
        <x:v>43678</x:v>
      </x:c>
      <x:c r="B120" s="16"/>
      <x:c r="C120" s="16" t="n">
        <x:v>118083.9375234098</x:v>
      </x:c>
      <x:c r="D120" s="16" t="n">
        <x:v>2437.8131965902</x:v>
      </x:c>
      <x:c r="E120" s="16" t="n">
        <x:v>2276.1401951475</x:v>
      </x:c>
      <x:c r="F120" s="16" t="n">
        <x:v>22188.5736215082</x:v>
      </x:c>
      <x:c r="G120" s="16" t="n">
        <x:v>21082.6326135081</x:v>
      </x:c>
      <x:c r="H120" s="16" t="n">
        <x:v>2168.6187032131</x:v>
      </x:c>
      <x:c r="I120" s="16" t="n">
        <x:v>1268.2781384918</x:v>
      </x:c>
      <x:c r="J120" s="16" t="n">
        <x:v>1502.8702735738</x:v>
      </x:c>
      <x:c r="K120" s="16" t="n">
        <x:v>42199.9669980328</x:v>
      </x:c>
      <x:c r="L120" s="16" t="n">
        <x:v>43250.4023548852</x:v>
      </x:c>
      <x:c r="M120" s="16" t="n">
        <x:v>4667.3596957377</x:v>
      </x:c>
      <x:c r="N120" s="16" t="n">
        <x:v>5515.1635079344</x:v>
      </x:c>
      <x:c r="O120" s="16" t="n">
        <x:v>3016.8215144918</x:v>
      </x:c>
      <x:c r="P120" s="16" t="n">
        <x:v>8468.2772836721</x:v>
      </x:c>
      <x:c r="Q120" s="16" t="n">
        <x:v>6877.6113017705</x:v>
      </x:c>
      <x:c r="R120" s="16" t="n">
        <x:v>22261.7645613115</x:v>
      </x:c>
    </x:row>
    <x:row r="121">
      <x:c r="A121" s="15" t="n">
        <x:v>43709</x:v>
      </x:c>
      <x:c r="B121" s="16"/>
      <x:c r="C121" s="16" t="n">
        <x:v>122690.4107030381</x:v>
      </x:c>
      <x:c r="D121" s="16" t="n">
        <x:v>2553.8827600437</x:v>
      </x:c>
      <x:c r="E121" s="16" t="n">
        <x:v>2252.3481900765</x:v>
      </x:c>
      <x:c r="F121" s="16" t="n">
        <x:v>22350.4493282623</x:v>
      </x:c>
      <x:c r="G121" s="16" t="n">
        <x:v>22062.9670197158</x:v>
      </x:c>
      <x:c r="H121" s="16" t="n">
        <x:v>2914.6406445464</x:v>
      </x:c>
      <x:c r="I121" s="16" t="n">
        <x:v>1290.2329225792</x:v>
      </x:c>
      <x:c r="J121" s="16" t="n">
        <x:v>1511.2830461202</x:v>
      </x:c>
      <x:c r="K121" s="16" t="n">
        <x:v>42440.619690317</x:v>
      </x:c>
      <x:c r="L121" s="16" t="n">
        <x:v>42968.0798685028</x:v>
      </x:c>
      <x:c r="M121" s="16" t="n">
        <x:v>2300.7026962186</x:v>
      </x:c>
      <x:c r="N121" s="16" t="n">
        <x:v>5518.4562455082</x:v>
      </x:c>
      <x:c r="O121" s="16" t="n">
        <x:v>3001.1642530273</x:v>
      </x:c>
      <x:c r="P121" s="16" t="n">
        <x:v>8408.6043184262</x:v>
      </x:c>
      <x:c r="Q121" s="16" t="n">
        <x:v>6749.486336</x:v>
      </x:c>
      <x:c r="R121" s="16" t="n">
        <x:v>20791.4738119344</x:v>
      </x:c>
    </x:row>
    <x:row r="122">
      <x:c r="A122" s="15" t="n">
        <x:v>43739</x:v>
      </x:c>
      <x:c r="B122" s="16"/>
      <x:c r="C122" s="16" t="n">
        <x:v>123510.5530026667</x:v>
      </x:c>
      <x:c r="D122" s="16" t="n">
        <x:v>2646.6269893333</x:v>
      </x:c>
      <x:c r="E122" s="16" t="n">
        <x:v>2154.3336746667</x:v>
      </x:c>
      <x:c r="F122" s="16" t="n">
        <x:v>22629.985408</x:v>
      </x:c>
      <x:c r="G122" s="16" t="n">
        <x:v>22811.1445813334</x:v>
      </x:c>
      <x:c r="H122" s="16" t="n">
        <x:v>2925.032496</x:v>
      </x:c>
      <x:c r="I122" s="16" t="n">
        <x:v>1297.9861493333</x:v>
      </x:c>
      <x:c r="J122" s="16" t="n">
        <x:v>1540.106688</x:v>
      </x:c>
      <x:c r="K122" s="16" t="n">
        <x:v>40490.517088</x:v>
      </x:c>
      <x:c r="L122" s="16" t="n">
        <x:v>40249.0222293334</x:v>
      </x:c>
      <x:c r="M122" s="16" t="n">
        <x:v>2838.271068</x:v>
      </x:c>
      <x:c r="N122" s="16" t="n">
        <x:v>5543.0707733333</x:v>
      </x:c>
      <x:c r="O122" s="16" t="n">
        <x:v>2899.7915733333</x:v>
      </x:c>
      <x:c r="P122" s="16" t="n">
        <x:v>8505.6332053333</x:v>
      </x:c>
      <x:c r="Q122" s="16" t="n">
        <x:v>6682.0133066667</x:v>
      </x:c>
      <x:c r="R122" s="16" t="n">
        <x:v>21052.481344</x:v>
      </x:c>
    </x:row>
    <x:row r="123">
      <x:c r="A123" s="15" t="n">
        <x:v>43770</x:v>
      </x:c>
      <x:c r="B123" s="16"/>
      <x:c r="C123" s="16" t="n">
        <x:v>123896.2512003498</x:v>
      </x:c>
      <x:c r="D123" s="16" t="n">
        <x:v>2635.8785454863</x:v>
      </x:c>
      <x:c r="E123" s="16" t="n">
        <x:v>2178.1123819016</x:v>
      </x:c>
      <x:c r="F123" s="16" t="n">
        <x:v>22719.6224895301</x:v>
      </x:c>
      <x:c r="G123" s="16" t="n">
        <x:v>23381.1448669727</x:v>
      </x:c>
      <x:c r="H123" s="16" t="n">
        <x:v>2960.368766776</x:v>
      </x:c>
      <x:c r="I123" s="16" t="n">
        <x:v>1287.615759388</x:v>
      </x:c>
      <x:c r="J123" s="16" t="n">
        <x:v>1565.370497224</x:v>
      </x:c>
      <x:c r="K123" s="16" t="n">
        <x:v>41337.7995292678</x:v>
      </x:c>
      <x:c r="L123" s="16" t="n">
        <x:v>42126.2463237596</x:v>
      </x:c>
      <x:c r="M123" s="16" t="n">
        <x:v>2010.5318085246</x:v>
      </x:c>
      <x:c r="N123" s="16" t="n">
        <x:v>5712.6395179016</x:v>
      </x:c>
      <x:c r="O123" s="16" t="n">
        <x:v>2797.037944306</x:v>
      </x:c>
      <x:c r="P123" s="16" t="n">
        <x:v>8495.741082929</x:v>
      </x:c>
      <x:c r="Q123" s="16" t="n">
        <x:v>6834.7902251366</x:v>
      </x:c>
      <x:c r="R123" s="16" t="n">
        <x:v>18940.2029488962</x:v>
      </x:c>
    </x:row>
    <x:row r="124">
      <x:c r="A124" s="15" t="n">
        <x:v>43800</x:v>
      </x:c>
      <x:c r="B124" s="16"/>
      <x:c r="C124" s="16" t="n">
        <x:v>124803.652608</x:v>
      </x:c>
      <x:c r="D124" s="16" t="n">
        <x:v>2771.359936</x:v>
      </x:c>
      <x:c r="E124" s="16" t="n">
        <x:v>2058.529984</x:v>
      </x:c>
      <x:c r="F124" s="16" t="n">
        <x:v>22871.080192</x:v>
      </x:c>
      <x:c r="G124" s="16" t="n">
        <x:v>23918.227072</x:v>
      </x:c>
      <x:c r="H124" s="16" t="n">
        <x:v>2981.564928</x:v>
      </x:c>
      <x:c r="I124" s="16" t="n">
        <x:v>1288.696</x:v>
      </x:c>
      <x:c r="J124" s="16" t="n">
        <x:v>1522.854016</x:v>
      </x:c>
      <x:c r="K124" s="16" t="n">
        <x:v>42948.038464</x:v>
      </x:c>
      <x:c r="L124" s="16" t="n">
        <x:v>41071.262868</x:v>
      </x:c>
      <x:c r="M124" s="16" t="n">
        <x:v>2349.878944</x:v>
      </x:c>
      <x:c r="N124" s="16" t="n">
        <x:v>6719.901712</x:v>
      </x:c>
      <x:c r="O124" s="16" t="n">
        <x:v>2778.220032</x:v>
      </x:c>
      <x:c r="P124" s="16" t="n">
        <x:v>8522.692992</x:v>
      </x:c>
      <x:c r="Q124" s="16" t="n">
        <x:v>7020.17312</x:v>
      </x:c>
      <x:c r="R124" s="16" t="n">
        <x:v>18832.885568</x:v>
      </x:c>
    </x:row>
    <x:row r="125">
      <x:c r="A125" s="15" t="n">
        <x:v>43831</x:v>
      </x:c>
      <x:c r="B125" s="16"/>
      <x:c r="C125" s="16" t="n">
        <x:v>124550.9984964383</x:v>
      </x:c>
      <x:c r="D125" s="16" t="n">
        <x:v>2476.3393832329</x:v>
      </x:c>
      <x:c r="E125" s="16" t="n">
        <x:v>2017.9605856438</x:v>
      </x:c>
      <x:c r="F125" s="16" t="n">
        <x:v>24377.2874503014</x:v>
      </x:c>
      <x:c r="G125" s="16" t="n">
        <x:v>22707.9942093151</x:v>
      </x:c>
      <x:c r="H125" s="16" t="n">
        <x:v>5234.2134347397</x:v>
      </x:c>
      <x:c r="I125" s="16" t="n">
        <x:v>1354.7318426301</x:v>
      </x:c>
      <x:c r="J125" s="16" t="n">
        <x:v>1588.4844764932</x:v>
      </x:c>
      <x:c r="K125" s="16" t="n">
        <x:v>43680.9077049863</x:v>
      </x:c>
      <x:c r="L125" s="16" t="n">
        <x:v>41482.8921819178</x:v>
      </x:c>
      <x:c r="M125" s="16" t="n">
        <x:v>2259.1821632877</x:v>
      </x:c>
      <x:c r="N125" s="16" t="n">
        <x:v>9241.420754411</x:v>
      </x:c>
      <x:c r="O125" s="16" t="n">
        <x:v>2733.4274980822</x:v>
      </x:c>
      <x:c r="P125" s="16" t="n">
        <x:v>8811.433036274</x:v>
      </x:c>
      <x:c r="Q125" s="16" t="n">
        <x:v>7283.0878167671</x:v>
      </x:c>
      <x:c r="R125" s="16" t="n">
        <x:v>19747.0610998356</x:v>
      </x:c>
    </x:row>
    <x:row r="126">
      <x:c r="A126" s="15" t="n">
        <x:v>43862</x:v>
      </x:c>
      <x:c r="B126" s="16"/>
      <x:c r="C126" s="16" t="n">
        <x:v>124681.2474136548</x:v>
      </x:c>
      <x:c r="D126" s="16" t="n">
        <x:v>2644.5426107616</x:v>
      </x:c>
      <x:c r="E126" s="16" t="n">
        <x:v>1849.2168661918</x:v>
      </x:c>
      <x:c r="F126" s="16" t="n">
        <x:v>23635.0316070576</x:v>
      </x:c>
      <x:c r="G126" s="16" t="n">
        <x:v>22387.9678565698</x:v>
      </x:c>
      <x:c r="H126" s="16" t="n">
        <x:v>5342.344018937</x:v>
      </x:c>
      <x:c r="I126" s="16" t="n">
        <x:v>1390.7670826082</x:v>
      </x:c>
      <x:c r="J126" s="16" t="n">
        <x:v>1673.7597311123</x:v>
      </x:c>
      <x:c r="K126" s="16" t="n">
        <x:v>43571.2626361863</x:v>
      </x:c>
      <x:c r="L126" s="16" t="n">
        <x:v>41450.4468688658</x:v>
      </x:c>
      <x:c r="M126" s="16" t="n">
        <x:v>2547.2479182904</x:v>
      </x:c>
      <x:c r="N126" s="16" t="n">
        <x:v>9253.3901069589</x:v>
      </x:c>
      <x:c r="O126" s="16" t="n">
        <x:v>2830.5446217644</x:v>
      </x:c>
      <x:c r="P126" s="16" t="n">
        <x:v>8687.3948374795</x:v>
      </x:c>
      <x:c r="Q126" s="16" t="n">
        <x:v>7494.5645179617</x:v>
      </x:c>
      <x:c r="R126" s="16" t="n">
        <x:v>21267.4473203726</x:v>
      </x:c>
    </x:row>
    <x:row r="127">
      <x:c r="A127" s="15" t="n">
        <x:v>43891</x:v>
      </x:c>
      <x:c r="B127" s="16"/>
      <x:c r="C127" s="16" t="n">
        <x:v>120517.0141422467</x:v>
      </x:c>
      <x:c r="D127" s="16" t="n">
        <x:v>2240.8526193973</x:v>
      </x:c>
      <x:c r="E127" s="16" t="n">
        <x:v>1794.6690332055</x:v>
      </x:c>
      <x:c r="F127" s="16" t="n">
        <x:v>22923.4172317808</x:v>
      </x:c>
      <x:c r="G127" s="16" t="n">
        <x:v>18472.9226384657</x:v>
      </x:c>
      <x:c r="H127" s="16" t="n">
        <x:v>5344.362144</x:v>
      </x:c>
      <x:c r="I127" s="16" t="n">
        <x:v>1099.1189545205</x:v>
      </x:c>
      <x:c r="J127" s="16" t="n">
        <x:v>1214.3708475616</x:v>
      </x:c>
      <x:c r="K127" s="16" t="n">
        <x:v>41673.0859313973</x:v>
      </x:c>
      <x:c r="L127" s="16" t="n">
        <x:v>17038.3655443288</x:v>
      </x:c>
      <x:c r="M127" s="16" t="n">
        <x:v>740.8638573151</x:v>
      </x:c>
      <x:c r="N127" s="16" t="n">
        <x:v>8853.2507480548</x:v>
      </x:c>
      <x:c r="O127" s="16" t="n">
        <x:v>2939.4216924932</x:v>
      </x:c>
      <x:c r="P127" s="16" t="n">
        <x:v>8517.7972273973</x:v>
      </x:c>
      <x:c r="Q127" s="16" t="n">
        <x:v>6261.5881630685</x:v>
      </x:c>
      <x:c r="R127" s="16" t="n">
        <x:v>21825.5773185754</x:v>
      </x:c>
    </x:row>
    <x:row r="128">
      <x:c r="A128" s="15" t="n">
        <x:v>43922</x:v>
      </x:c>
      <x:c r="B128" s="16"/>
      <x:c r="C128" s="16" t="n">
        <x:v>112743.4420778082</x:v>
      </x:c>
      <x:c r="D128" s="16" t="n">
        <x:v>874.7846873425</x:v>
      </x:c>
      <x:c r="E128" s="16" t="n">
        <x:v>1402.7223811507</x:v>
      </x:c>
      <x:c r="F128" s="16" t="n">
        <x:v>21894.6578340822</x:v>
      </x:c>
      <x:c r="G128" s="16" t="n">
        <x:v>17310.0871281096</x:v>
      </x:c>
      <x:c r="H128" s="16" t="n">
        <x:v>5228.8175644931</x:v>
      </x:c>
      <x:c r="I128" s="16" t="n">
        <x:v>917.5261891507</x:v>
      </x:c>
      <x:c r="J128" s="16" t="n">
        <x:v>957.1738820822</x:v>
      </x:c>
      <x:c r="K128" s="16" t="n">
        <x:v>39056.5880096438</x:v>
      </x:c>
      <x:c r="L128" s="16" t="n">
        <x:v>10009.4020273973</x:v>
      </x:c>
      <x:c r="M128" s="16" t="n">
        <x:v>-3023.9866213699</x:v>
      </x:c>
      <x:c r="N128" s="16" t="n">
        <x:v>8336.8500659726</x:v>
      </x:c>
      <x:c r="O128" s="16" t="n">
        <x:v>2781.5395243836</x:v>
      </x:c>
      <x:c r="P128" s="16" t="n">
        <x:v>8503.4601376438</x:v>
      </x:c>
      <x:c r="Q128" s="16" t="n">
        <x:v>3302.4707086027</x:v>
      </x:c>
      <x:c r="R128" s="16" t="n">
        <x:v>21075.9750329863</x:v>
      </x:c>
    </x:row>
    <x:row r="129">
      <x:c r="A129" s="15" t="n">
        <x:v>43952</x:v>
      </x:c>
      <x:c r="B129" s="16"/>
      <x:c r="C129" s="16" t="n">
        <x:v>103216.8266948384</x:v>
      </x:c>
      <x:c r="D129" s="16" t="n">
        <x:v>724.5979076384</x:v>
      </x:c>
      <x:c r="E129" s="16" t="n">
        <x:v>1526.2693246247</x:v>
      </x:c>
      <x:c r="F129" s="16" t="n">
        <x:v>21597.8197198904</x:v>
      </x:c>
      <x:c r="G129" s="16" t="n">
        <x:v>18555.7565632877</x:v>
      </x:c>
      <x:c r="H129" s="16" t="n">
        <x:v>4961.024075748</x:v>
      </x:c>
      <x:c r="I129" s="16" t="n">
        <x:v>922.412690411</x:v>
      </x:c>
      <x:c r="J129" s="16" t="n">
        <x:v>995.5897258082</x:v>
      </x:c>
      <x:c r="K129" s="16" t="n">
        <x:v>42147.997067748</x:v>
      </x:c>
      <x:c r="L129" s="16" t="n">
        <x:v>4498.5739844384</x:v>
      </x:c>
      <x:c r="M129" s="16" t="n">
        <x:v>-6226.9624586521</x:v>
      </x:c>
      <x:c r="N129" s="16" t="n">
        <x:v>8327.2750768548</x:v>
      </x:c>
      <x:c r="O129" s="16" t="n">
        <x:v>2238.8222807671</x:v>
      </x:c>
      <x:c r="P129" s="16" t="n">
        <x:v>7676.6540587836</x:v>
      </x:c>
      <x:c r="Q129" s="16" t="n">
        <x:v>-1323.1699922411</x:v>
      </x:c>
      <x:c r="R129" s="16" t="n">
        <x:v>23051.4766858521</x:v>
      </x:c>
    </x:row>
    <x:row r="130">
      <x:c r="A130" s="15" t="n">
        <x:v>43983</x:v>
      </x:c>
      <x:c r="B130" s="16"/>
      <x:c r="C130" s="16" t="n">
        <x:v>93088.0652077588</x:v>
      </x:c>
      <x:c r="D130" s="16" t="n">
        <x:v>611.8412230137</x:v>
      </x:c>
      <x:c r="E130" s="16" t="n">
        <x:v>1177.8075632219</x:v>
      </x:c>
      <x:c r="F130" s="16" t="n">
        <x:v>19390.8438677041</x:v>
      </x:c>
      <x:c r="G130" s="16" t="n">
        <x:v>17705.7053650411</x:v>
      </x:c>
      <x:c r="H130" s="16" t="n">
        <x:v>5062.284415211</x:v>
      </x:c>
      <x:c r="I130" s="16" t="n">
        <x:v>953.5864600548</x:v>
      </x:c>
      <x:c r="J130" s="16" t="n">
        <x:v>1071.9813973041</x:v>
      </x:c>
      <x:c r="K130" s="16" t="n">
        <x:v>44176.5850674849</x:v>
      </x:c>
      <x:c r="L130" s="16" t="n">
        <x:v>874.9538863343</x:v>
      </x:c>
      <x:c r="M130" s="16" t="n">
        <x:v>-5283.2238739288</x:v>
      </x:c>
      <x:c r="N130" s="16" t="n">
        <x:v>8625.2416191014</x:v>
      </x:c>
      <x:c r="O130" s="16" t="n">
        <x:v>2288.6988687781</x:v>
      </x:c>
      <x:c r="P130" s="16" t="n">
        <x:v>7485.7583030356</x:v>
      </x:c>
      <x:c r="Q130" s="16" t="n">
        <x:v>-1143.0784199014</x:v>
      </x:c>
      <x:c r="R130" s="16" t="n">
        <x:v>25733.1018115507</x:v>
      </x:c>
    </x:row>
    <x:row r="131">
      <x:c r="A131" s="15" t="n">
        <x:v>44013</x:v>
      </x:c>
      <x:c r="B131" s="16"/>
      <x:c r="C131" s="16" t="n">
        <x:v>91510.3313183563</x:v>
      </x:c>
      <x:c r="D131" s="16" t="n">
        <x:v>1005.1954779178</x:v>
      </x:c>
      <x:c r="E131" s="16" t="n">
        <x:v>882.6968687671</x:v>
      </x:c>
      <x:c r="F131" s="16" t="n">
        <x:v>18968.9700893808</x:v>
      </x:c>
      <x:c r="G131" s="16" t="n">
        <x:v>18170.2838698082</x:v>
      </x:c>
      <x:c r="H131" s="16" t="n">
        <x:v>4917.2231029479</x:v>
      </x:c>
      <x:c r="I131" s="16" t="n">
        <x:v>993.6945367671</x:v>
      </x:c>
      <x:c r="J131" s="16" t="n">
        <x:v>1092.2132873534</x:v>
      </x:c>
      <x:c r="K131" s="16" t="n">
        <x:v>46671.0765787178</x:v>
      </x:c>
      <x:c r="L131" s="16" t="n">
        <x:v>4772.1410318027</x:v>
      </x:c>
      <x:c r="M131" s="16" t="n">
        <x:v>-1928.7934425425</x:v>
      </x:c>
      <x:c r="N131" s="16" t="n">
        <x:v>8758.6904313096</x:v>
      </x:c>
      <x:c r="O131" s="16" t="n">
        <x:v>2472.0538732712</x:v>
      </x:c>
      <x:c r="P131" s="16" t="n">
        <x:v>7102.6296734685</x:v>
      </x:c>
      <x:c r="Q131" s="16" t="n">
        <x:v>-895.7303209205</x:v>
      </x:c>
      <x:c r="R131" s="16" t="n">
        <x:v>25556.2000501479</x:v>
      </x:c>
    </x:row>
    <x:row r="132">
      <x:c r="A132" s="15" t="n">
        <x:v>44044</x:v>
      </x:c>
      <x:c r="B132" s="16"/>
      <x:c r="C132" s="16" t="n">
        <x:v>93693.1520876713</x:v>
      </x:c>
      <x:c r="D132" s="16" t="n">
        <x:v>722.9686738411</x:v>
      </x:c>
      <x:c r="E132" s="16" t="n">
        <x:v>608.5671227616</x:v>
      </x:c>
      <x:c r="F132" s="16" t="n">
        <x:v>18641.2988042521</x:v>
      </x:c>
      <x:c r="G132" s="16" t="n">
        <x:v>20456.2211931178</x:v>
      </x:c>
      <x:c r="H132" s="16" t="n">
        <x:v>4895.8095286356</x:v>
      </x:c>
      <x:c r="I132" s="16" t="n">
        <x:v>1100.2783535342</x:v>
      </x:c>
      <x:c r="J132" s="16" t="n">
        <x:v>1121.3985015233</x:v>
      </x:c>
      <x:c r="K132" s="16" t="n">
        <x:v>52499.9652126685</x:v>
      </x:c>
      <x:c r="L132" s="16" t="n">
        <x:v>10244.9852465096</x:v>
      </x:c>
      <x:c r="M132" s="16" t="n">
        <x:v>-62.3554009425</x:v>
      </x:c>
      <x:c r="N132" s="16" t="n">
        <x:v>8247.9575328219</x:v>
      </x:c>
      <x:c r="O132" s="16" t="n">
        <x:v>2714.5435037808</x:v>
      </x:c>
      <x:c r="P132" s="16" t="n">
        <x:v>7452.7329260712</x:v>
      </x:c>
      <x:c r="Q132" s="16" t="n">
        <x:v>-368.7760793425</x:v>
      </x:c>
      <x:c r="R132" s="16" t="n">
        <x:v>28004.5881824438</x:v>
      </x:c>
    </x:row>
    <x:row r="133">
      <x:c r="A133" s="15" t="n">
        <x:v>44075</x:v>
      </x:c>
      <x:c r="B133" s="16"/>
      <x:c r="C133" s="16" t="n">
        <x:v>96583.4997942356</x:v>
      </x:c>
      <x:c r="D133" s="16" t="n">
        <x:v>1033.284998137</x:v>
      </x:c>
      <x:c r="E133" s="16" t="n">
        <x:v>692.5615780822</x:v>
      </x:c>
      <x:c r="F133" s="16" t="n">
        <x:v>18736.6561880986</x:v>
      </x:c>
      <x:c r="G133" s="16" t="n">
        <x:v>21031.034790926</x:v>
      </x:c>
      <x:c r="H133" s="16" t="n">
        <x:v>5118.7980338849</x:v>
      </x:c>
      <x:c r="I133" s="16" t="n">
        <x:v>1611.7598570959</x:v>
      </x:c>
      <x:c r="J133" s="16" t="n">
        <x:v>1030.4046575342</x:v>
      </x:c>
      <x:c r="K133" s="16" t="n">
        <x:v>61202.4197006027</x:v>
      </x:c>
      <x:c r="L133" s="16" t="n">
        <x:v>15673.3254677041</x:v>
      </x:c>
      <x:c r="M133" s="16" t="n">
        <x:v>1912.0930668712</x:v>
      </x:c>
      <x:c r="N133" s="16" t="n">
        <x:v>8622.4019345534</x:v>
      </x:c>
      <x:c r="O133" s="16" t="n">
        <x:v>2867.2204835069</x:v>
      </x:c>
      <x:c r="P133" s="16" t="n">
        <x:v>7529.8594400438</x:v>
      </x:c>
      <x:c r="Q133" s="16" t="n">
        <x:v>459.0453522411</x:v>
      </x:c>
      <x:c r="R133" s="16" t="n">
        <x:v>26832.750399474</x:v>
      </x:c>
    </x:row>
    <x:row r="134">
      <x:c r="A134" s="15" t="n">
        <x:v>44105</x:v>
      </x:c>
      <x:c r="B134" s="16"/>
      <x:c r="C134" s="16" t="n">
        <x:v>100400.1243809316</x:v>
      </x:c>
      <x:c r="D134" s="16" t="n">
        <x:v>1382.0067787397</x:v>
      </x:c>
      <x:c r="E134" s="16" t="n">
        <x:v>767.1045604822</x:v>
      </x:c>
      <x:c r="F134" s="16" t="n">
        <x:v>19075.5278385096</x:v>
      </x:c>
      <x:c r="G134" s="16" t="n">
        <x:v>22100.6103653699</x:v>
      </x:c>
      <x:c r="H134" s="16" t="n">
        <x:v>5154.3627022904</x:v>
      </x:c>
      <x:c r="I134" s="16" t="n">
        <x:v>1573.3461614466</x:v>
      </x:c>
      <x:c r="J134" s="16" t="n">
        <x:v>1213.9576561973</x:v>
      </x:c>
      <x:c r="K134" s="16" t="n">
        <x:v>68731.5139538411</x:v>
      </x:c>
      <x:c r="L134" s="16" t="n">
        <x:v>25030.1398170302</x:v>
      </x:c>
      <x:c r="M134" s="16" t="n">
        <x:v>4459.7450061151</x:v>
      </x:c>
      <x:c r="N134" s="16" t="n">
        <x:v>8905.0914337315</x:v>
      </x:c>
      <x:c r="O134" s="16" t="n">
        <x:v>2966.8734583233</x:v>
      </x:c>
      <x:c r="P134" s="16" t="n">
        <x:v>7718.9076343233</x:v>
      </x:c>
      <x:c r="Q134" s="16" t="n">
        <x:v>1384.1668124055</x:v>
      </x:c>
      <x:c r="R134" s="16" t="n">
        <x:v>26274.8495433644</x:v>
      </x:c>
    </x:row>
    <x:row r="135">
      <x:c r="A135" s="15" t="n">
        <x:v>44136</x:v>
      </x:c>
      <x:c r="B135" s="16"/>
      <x:c r="C135" s="16" t="n">
        <x:v>106083.3958862903</x:v>
      </x:c>
      <x:c r="D135" s="16" t="n">
        <x:v>1797.874783737</x:v>
      </x:c>
      <x:c r="E135" s="16" t="n">
        <x:v>863.327080811</x:v>
      </x:c>
      <x:c r="F135" s="16" t="n">
        <x:v>19424.6203735671</x:v>
      </x:c>
      <x:c r="G135" s="16" t="n">
        <x:v>21916.8648449753</x:v>
      </x:c>
      <x:c r="H135" s="16" t="n">
        <x:v>5308.3750957589</x:v>
      </x:c>
      <x:c r="I135" s="16" t="n">
        <x:v>1978.2378851945</x:v>
      </x:c>
      <x:c r="J135" s="16" t="n">
        <x:v>1276.3849495233</x:v>
      </x:c>
      <x:c r="K135" s="16" t="n">
        <x:v>73316.0067737424</x:v>
      </x:c>
      <x:c r="L135" s="16" t="n">
        <x:v>32660.6415875507</x:v>
      </x:c>
      <x:c r="M135" s="16" t="n">
        <x:v>7244.900352</x:v>
      </x:c>
      <x:c r="N135" s="16" t="n">
        <x:v>9254.0754951014</x:v>
      </x:c>
      <x:c r="O135" s="16" t="n">
        <x:v>2802.7002154082</x:v>
      </x:c>
      <x:c r="P135" s="16" t="n">
        <x:v>2247.5401112548</x:v>
      </x:c>
      <x:c r="Q135" s="16" t="n">
        <x:v>1768.4454622685</x:v>
      </x:c>
      <x:c r="R135" s="16" t="n">
        <x:v>26221.1412341479</x:v>
      </x:c>
    </x:row>
    <x:row r="136">
      <x:c r="A136" s="15" t="n">
        <x:v>44166</x:v>
      </x:c>
      <x:c r="B136" s="16"/>
      <x:c r="C136" s="16" t="n">
        <x:v>108212.402176</x:v>
      </x:c>
      <x:c r="D136" s="16" t="n">
        <x:v>2046.88</x:v>
      </x:c>
      <x:c r="E136" s="16" t="n">
        <x:v>716.4</x:v>
      </x:c>
      <x:c r="F136" s="16" t="n">
        <x:v>19814.80288</x:v>
      </x:c>
      <x:c r="G136" s="16" t="n">
        <x:v>22483.200448</x:v>
      </x:c>
      <x:c r="H136" s="16" t="n">
        <x:v>5453.899872</x:v>
      </x:c>
      <x:c r="I136" s="16" t="n">
        <x:v>2062.046976</x:v>
      </x:c>
      <x:c r="J136" s="16" t="n">
        <x:v>1548.06704</x:v>
      </x:c>
      <x:c r="K136" s="16" t="n">
        <x:v>77434.369536</x:v>
      </x:c>
      <x:c r="L136" s="16" t="n">
        <x:v>42365.939456</x:v>
      </x:c>
      <x:c r="M136" s="16" t="n">
        <x:v>9257.880064</x:v>
      </x:c>
      <x:c r="N136" s="16" t="n">
        <x:v>9961.385856</x:v>
      </x:c>
      <x:c r="O136" s="16" t="n">
        <x:v>2939.830016</x:v>
      </x:c>
      <x:c r="P136" s="16" t="n">
        <x:v>2463.110016</x:v>
      </x:c>
      <x:c r="Q136" s="16" t="n">
        <x:v>3213.289952</x:v>
      </x:c>
      <x:c r="R136" s="16" t="n">
        <x:v>34287.590272</x:v>
      </x:c>
    </x:row>
    <x:row r="137">
      <x:c r="A137" s="15" t="n">
        <x:v>44197</x:v>
      </x:c>
      <x:c r="B137" s="16"/>
      <x:c r="C137" s="16" t="n">
        <x:v>111096.7687420494</x:v>
      </x:c>
      <x:c r="D137" s="16" t="n">
        <x:v>2233.1917103342</x:v>
      </x:c>
      <x:c r="E137" s="16" t="n">
        <x:v>675.485698411</x:v>
      </x:c>
      <x:c r="F137" s="16" t="n">
        <x:v>20788.2543209205</x:v>
      </x:c>
      <x:c r="G137" s="16" t="n">
        <x:v>22610.2313412384</x:v>
      </x:c>
      <x:c r="H137" s="16" t="n">
        <x:v>5585.2425664877</x:v>
      </x:c>
      <x:c r="I137" s="16" t="n">
        <x:v>2117.1952157808</x:v>
      </x:c>
      <x:c r="J137" s="16" t="n">
        <x:v>1518.8917795069</x:v>
      </x:c>
      <x:c r="K137" s="16" t="n">
        <x:v>102408.9993903343</x:v>
      </x:c>
      <x:c r="L137" s="16" t="n">
        <x:v>43580.1369270356</x:v>
      </x:c>
      <x:c r="M137" s="16" t="n">
        <x:v>9767.4867420932</x:v>
      </x:c>
      <x:c r="N137" s="16" t="n">
        <x:v>10004.0461882521</x:v>
      </x:c>
      <x:c r="O137" s="16" t="n">
        <x:v>2982.4964615014</x:v>
      </x:c>
      <x:c r="P137" s="16" t="n">
        <x:v>2427.9127114521</x:v>
      </x:c>
      <x:c r="Q137" s="16" t="n">
        <x:v>3547.3558385315</x:v>
      </x:c>
      <x:c r="R137" s="16" t="n">
        <x:v>34381.3822271123</x:v>
      </x:c>
    </x:row>
    <x:row r="138">
      <x:c r="A138" s="15" t="n">
        <x:v>44228</x:v>
      </x:c>
      <x:c r="B138" s="16"/>
      <x:c r="C138" s="16" t="n">
        <x:v>115522.4187847891</x:v>
      </x:c>
      <x:c r="D138" s="16" t="n">
        <x:v>2222.6572106959</x:v>
      </x:c>
      <x:c r="E138" s="16" t="n">
        <x:v>730.2611241205</x:v>
      </x:c>
      <x:c r="F138" s="16" t="n">
        <x:v>20763.4367046137</x:v>
      </x:c>
      <x:c r="G138" s="16" t="n">
        <x:v>22597.0189173479</x:v>
      </x:c>
      <x:c r="H138" s="16" t="n">
        <x:v>5552.0348392329</x:v>
      </x:c>
      <x:c r="I138" s="16" t="n">
        <x:v>2166.8641348384</x:v>
      </x:c>
      <x:c r="J138" s="16" t="n">
        <x:v>1503.4792910904</x:v>
      </x:c>
      <x:c r="K138" s="16" t="n">
        <x:v>108730.4004166137</x:v>
      </x:c>
      <x:c r="L138" s="16" t="n">
        <x:v>48811.8291364822</x:v>
      </x:c>
      <x:c r="M138" s="16" t="n">
        <x:v>9323.5605297096</x:v>
      </x:c>
      <x:c r="N138" s="16" t="n">
        <x:v>10186.7398187397</x:v>
      </x:c>
      <x:c r="O138" s="16" t="n">
        <x:v>3086.4454354411</x:v>
      </x:c>
      <x:c r="P138" s="16" t="n">
        <x:v>2515.3534234301</x:v>
      </x:c>
      <x:c r="Q138" s="16" t="n">
        <x:v>3721.2130540712</x:v>
      </x:c>
      <x:c r="R138" s="16" t="n">
        <x:v>34762.9591246904</x:v>
      </x:c>
    </x:row>
    <x:row r="139">
      <x:c r="A139" s="15" t="n">
        <x:v>44256</x:v>
      </x:c>
      <x:c r="B139" s="16"/>
      <x:c r="C139" s="16" t="n">
        <x:v>116609.345816548</x:v>
      </x:c>
      <x:c r="D139" s="16" t="n">
        <x:v>2385.2751364384</x:v>
      </x:c>
      <x:c r="E139" s="16" t="n">
        <x:v>692.5232113973</x:v>
      </x:c>
      <x:c r="F139" s="16" t="n">
        <x:v>21041.1718075616</x:v>
      </x:c>
      <x:c r="G139" s="16" t="n">
        <x:v>23924.4831263562</x:v>
      </x:c>
      <x:c r="H139" s="16" t="n">
        <x:v>5613.688557589</x:v>
      </x:c>
      <x:c r="I139" s="16" t="n">
        <x:v>2221.7671232877</x:v>
      </x:c>
      <x:c r="J139" s="16" t="n">
        <x:v>1479.355187726</x:v>
      </x:c>
      <x:c r="K139" s="16" t="n">
        <x:v>127743.7770520552</x:v>
      </x:c>
      <x:c r="L139" s="16" t="n">
        <x:v>58111.5093041096</x:v>
      </x:c>
      <x:c r="M139" s="16" t="n">
        <x:v>12532.6444046027</x:v>
      </x:c>
      <x:c r="N139" s="16" t="n">
        <x:v>10213.4968124931</x:v>
      </x:c>
      <x:c r="O139" s="16" t="n">
        <x:v>3130.8191456438</x:v>
      </x:c>
      <x:c r="P139" s="16" t="n">
        <x:v>2664.5053553973</x:v>
      </x:c>
      <x:c r="Q139" s="16" t="n">
        <x:v>2547.6317689863</x:v>
      </x:c>
      <x:c r="R139" s="16" t="n">
        <x:v>35661.9909523288</x:v>
      </x:c>
    </x:row>
    <x:row r="140">
      <x:c r="A140" s="15" t="n">
        <x:v>44287</x:v>
      </x:c>
      <x:c r="B140" s="16"/>
      <x:c r="C140" s="16" t="n">
        <x:v>116603.769414137</x:v>
      </x:c>
      <x:c r="D140" s="16" t="n">
        <x:v>2628.6988230137</x:v>
      </x:c>
      <x:c r="E140" s="16" t="n">
        <x:v>664.4176667945</x:v>
      </x:c>
      <x:c r="F140" s="16" t="n">
        <x:v>21331.8973808219</x:v>
      </x:c>
      <x:c r="G140" s="16" t="n">
        <x:v>25057.8695171507</x:v>
      </x:c>
      <x:c r="H140" s="16" t="n">
        <x:v>5616.7370183014</x:v>
      </x:c>
      <x:c r="I140" s="16" t="n">
        <x:v>2359.7623609863</x:v>
      </x:c>
      <x:c r="J140" s="16" t="n">
        <x:v>1412.0396138082</x:v>
      </x:c>
      <x:c r="K140" s="16" t="n">
        <x:v>137589.135040877</x:v>
      </x:c>
      <x:c r="L140" s="16" t="n">
        <x:v>74619.0399175891</x:v>
      </x:c>
      <x:c r="M140" s="16" t="n">
        <x:v>13907.9029724931</x:v>
      </x:c>
      <x:c r="N140" s="16" t="n">
        <x:v>10135.1324287123</x:v>
      </x:c>
      <x:c r="O140" s="16" t="n">
        <x:v>3357.376813589</x:v>
      </x:c>
      <x:c r="P140" s="16" t="n">
        <x:v>2870.8246356164</x:v>
      </x:c>
      <x:c r="Q140" s="16" t="n">
        <x:v>2392.6043313973</x:v>
      </x:c>
      <x:c r="R140" s="16" t="n">
        <x:v>35297.8227515616</x:v>
      </x:c>
    </x:row>
    <x:row r="141">
      <x:c r="A141" s="15" t="n">
        <x:v>44317</x:v>
      </x:c>
      <x:c r="B141" s="16"/>
      <x:c r="C141" s="16" t="n">
        <x:v>120058.3407285479</x:v>
      </x:c>
      <x:c r="D141" s="16" t="n">
        <x:v>2786.484352263</x:v>
      </x:c>
      <x:c r="E141" s="16" t="n">
        <x:v>605.423555726</x:v>
      </x:c>
      <x:c r="F141" s="16" t="n">
        <x:v>21383.0174414904</x:v>
      </x:c>
      <x:c r="G141" s="16" t="n">
        <x:v>24421.5904098191</x:v>
      </x:c>
      <x:c r="H141" s="16" t="n">
        <x:v>5434.8546828274</x:v>
      </x:c>
      <x:c r="I141" s="16" t="n">
        <x:v>2399.0335217973</x:v>
      </x:c>
      <x:c r="J141" s="16" t="n">
        <x:v>1569.8640690849</x:v>
      </x:c>
      <x:c r="K141" s="16" t="n">
        <x:v>142282.4124040769</x:v>
      </x:c>
      <x:c r="L141" s="16" t="n">
        <x:v>75139.5504794301</x:v>
      </x:c>
      <x:c r="M141" s="16" t="n">
        <x:v>12959.0444158246</x:v>
      </x:c>
      <x:c r="N141" s="16" t="n">
        <x:v>10297.6919475726</x:v>
      </x:c>
      <x:c r="O141" s="16" t="n">
        <x:v>3414.3665488657</x:v>
      </x:c>
      <x:c r="P141" s="16" t="n">
        <x:v>2705.6513293151</x:v>
      </x:c>
      <x:c r="Q141" s="16" t="n">
        <x:v>2522.9587185096</x:v>
      </x:c>
      <x:c r="R141" s="16" t="n">
        <x:v>37117.0250606466</x:v>
      </x:c>
    </x:row>
    <x:row r="142">
      <x:c r="A142" s="15" t="n">
        <x:v>44348</x:v>
      </x:c>
      <x:c r="B142" s="16"/>
      <x:c r="C142" s="16" t="n">
        <x:v>121524.8843134246</x:v>
      </x:c>
      <x:c r="D142" s="16" t="n">
        <x:v>2952.4747772493</x:v>
      </x:c>
      <x:c r="E142" s="16" t="n">
        <x:v>636.4222480219</x:v>
      </x:c>
      <x:c r="F142" s="16" t="n">
        <x:v>21826.4412042521</x:v>
      </x:c>
      <x:c r="G142" s="16" t="n">
        <x:v>24991.7210535452</x:v>
      </x:c>
      <x:c r="H142" s="16" t="n">
        <x:v>5561.0407702795</x:v>
      </x:c>
      <x:c r="I142" s="16" t="n">
        <x:v>2402.9800547945</x:v>
      </x:c>
      <x:c r="J142" s="16" t="n">
        <x:v>1673.9345870904</x:v>
      </x:c>
      <x:c r="K142" s="16" t="n">
        <x:v>143565.6778268057</x:v>
      </x:c>
      <x:c r="L142" s="16" t="n">
        <x:v>84038.4930742357</x:v>
      </x:c>
      <x:c r="M142" s="16" t="n">
        <x:v>13055.264766948</x:v>
      </x:c>
      <x:c r="N142" s="16" t="n">
        <x:v>10199.0851248493</x:v>
      </x:c>
      <x:c r="O142" s="16" t="n">
        <x:v>3273.9078494685</x:v>
      </x:c>
      <x:c r="P142" s="16" t="n">
        <x:v>2943.7946744986</x:v>
      </x:c>
      <x:c r="Q142" s="16" t="n">
        <x:v>2814.3003761096</x:v>
      </x:c>
      <x:c r="R142" s="16" t="n">
        <x:v>37992.4083603288</x:v>
      </x:c>
    </x:row>
    <x:row r="143">
      <x:c r="A143" s="15" t="n">
        <x:v>44378</x:v>
      </x:c>
      <x:c r="B143" s="16"/>
      <x:c r="C143" s="16" t="n">
        <x:v>123484.1499069809</x:v>
      </x:c>
      <x:c r="D143" s="16" t="n">
        <x:v>3239.328919189</x:v>
      </x:c>
      <x:c r="E143" s="16" t="n">
        <x:v>728.6079125479</x:v>
      </x:c>
      <x:c r="F143" s="16" t="n">
        <x:v>22358.9639927233</x:v>
      </x:c>
      <x:c r="G143" s="16" t="n">
        <x:v>25989.1735433644</x:v>
      </x:c>
      <x:c r="H143" s="16" t="n">
        <x:v>5757.1873392219</x:v>
      </x:c>
      <x:c r="I143" s="16" t="n">
        <x:v>2450.5789589041</x:v>
      </x:c>
      <x:c r="J143" s="16" t="n">
        <x:v>1679.5830887452</x:v>
      </x:c>
      <x:c r="K143" s="16" t="n">
        <x:v>154721.4258512661</x:v>
      </x:c>
      <x:c r="L143" s="16" t="n">
        <x:v>87110.7535009315</x:v>
      </x:c>
      <x:c r="M143" s="16" t="n">
        <x:v>13117.8530451287</x:v>
      </x:c>
      <x:c r="N143" s="16" t="n">
        <x:v>10202.0632231452</x:v>
      </x:c>
      <x:c r="O143" s="16" t="n">
        <x:v>3266.3928172712</x:v>
      </x:c>
      <x:c r="P143" s="16" t="n">
        <x:v>3020.8517388274</x:v>
      </x:c>
      <x:c r="Q143" s="16" t="n">
        <x:v>2867.7731471781</x:v>
      </x:c>
      <x:c r="R143" s="16" t="n">
        <x:v>39387.3080351562</x:v>
      </x:c>
    </x:row>
    <x:row r="144">
      <x:c r="A144" s="15" t="n">
        <x:v>44409</x:v>
      </x:c>
      <x:c r="B144" s="16"/>
      <x:c r="C144" s="16" t="n">
        <x:v>125873.2274991341</x:v>
      </x:c>
      <x:c r="D144" s="16" t="n">
        <x:v>3626.4583940384</x:v>
      </x:c>
      <x:c r="E144" s="16" t="n">
        <x:v>566.1401832219</x:v>
      </x:c>
      <x:c r="F144" s="16" t="n">
        <x:v>23040.803442674</x:v>
      </x:c>
      <x:c r="G144" s="16" t="n">
        <x:v>25273.439161863</x:v>
      </x:c>
      <x:c r="H144" s="16" t="n">
        <x:v>5883.8952977534</x:v>
      </x:c>
      <x:c r="I144" s="16" t="n">
        <x:v>2467.6352461151</x:v>
      </x:c>
      <x:c r="J144" s="16" t="n">
        <x:v>1655.0828288</x:v>
      </x:c>
      <x:c r="K144" s="16" t="n">
        <x:v>150100.7141537318</x:v>
      </x:c>
      <x:c r="L144" s="16" t="n">
        <x:v>91126.2962333808</x:v>
      </x:c>
      <x:c r="M144" s="16" t="n">
        <x:v>11674.7773369863</x:v>
      </x:c>
      <x:c r="N144" s="16" t="n">
        <x:v>10645.4863559452</x:v>
      </x:c>
      <x:c r="O144" s="16" t="n">
        <x:v>3142.0942595507</x:v>
      </x:c>
      <x:c r="P144" s="16" t="n">
        <x:v>2957.0925920438</x:v>
      </x:c>
      <x:c r="Q144" s="16" t="n">
        <x:v>2996.7328715836</x:v>
      </x:c>
      <x:c r="R144" s="16" t="n">
        <x:v>36480.0463142575</x:v>
      </x:c>
    </x:row>
    <x:row r="145">
      <x:c r="A145" s="15" t="n">
        <x:v>44440</x:v>
      </x:c>
      <x:c r="B145" s="16"/>
      <x:c r="C145" s="16" t="n">
        <x:v>128871.5479254357</x:v>
      </x:c>
      <x:c r="D145" s="16" t="n">
        <x:v>3654.3210924712</x:v>
      </x:c>
      <x:c r="E145" s="16" t="n">
        <x:v>485.8856558027</x:v>
      </x:c>
      <x:c r="F145" s="16" t="n">
        <x:v>22720.9160704439</x:v>
      </x:c>
      <x:c r="G145" s="16" t="n">
        <x:v>28642.9145377315</x:v>
      </x:c>
      <x:c r="H145" s="16" t="n">
        <x:v>8740.8626942247</x:v>
      </x:c>
      <x:c r="I145" s="16" t="n">
        <x:v>2479.477452274</x:v>
      </x:c>
      <x:c r="J145" s="16" t="n">
        <x:v>1689.0218467945</x:v>
      </x:c>
      <x:c r="K145" s="16" t="n">
        <x:v>139217.8631175009</x:v>
      </x:c>
      <x:c r="L145" s="16" t="n">
        <x:v>94298.8426075178</x:v>
      </x:c>
      <x:c r="M145" s="16" t="n">
        <x:v>11613.5463253918</x:v>
      </x:c>
      <x:c r="N145" s="16" t="n">
        <x:v>11304.8587227616</x:v>
      </x:c>
      <x:c r="O145" s="16" t="n">
        <x:v>3048.7097435178</x:v>
      </x:c>
      <x:c r="P145" s="16" t="n">
        <x:v>3168.8231085589</x:v>
      </x:c>
      <x:c r="Q145" s="16" t="n">
        <x:v>3384.9046922521</x:v>
      </x:c>
      <x:c r="R145" s="16" t="n">
        <x:v>39649.1832551452</x:v>
      </x:c>
    </x:row>
    <x:row r="146">
      <x:c r="A146" s="15" t="n">
        <x:v>44470</x:v>
      </x:c>
      <x:c r="B146" s="16"/>
      <x:c r="C146" s="16" t="n">
        <x:v>129941.8475354739</x:v>
      </x:c>
      <x:c r="D146" s="16" t="n">
        <x:v>3732.1479637479</x:v>
      </x:c>
      <x:c r="E146" s="16" t="n">
        <x:v>507.5140954301</x:v>
      </x:c>
      <x:c r="F146" s="16" t="n">
        <x:v>12972.5619372055</x:v>
      </x:c>
      <x:c r="G146" s="16" t="n">
        <x:v>29898.5098979946</x:v>
      </x:c>
      <x:c r="H146" s="16" t="n">
        <x:v>8754.2895345973</x:v>
      </x:c>
      <x:c r="I146" s="16" t="n">
        <x:v>2470.4170271562</x:v>
      </x:c>
      <x:c r="J146" s="16" t="n">
        <x:v>1692.9897552658</x:v>
      </x:c>
      <x:c r="K146" s="16" t="n">
        <x:v>110129.4195557699</x:v>
      </x:c>
      <x:c r="L146" s="16" t="n">
        <x:v>102126.4358235179</x:v>
      </x:c>
      <x:c r="M146" s="16" t="n">
        <x:v>10124.5820608877</x:v>
      </x:c>
      <x:c r="N146" s="16" t="n">
        <x:v>10517.3355715068</x:v>
      </x:c>
      <x:c r="O146" s="16" t="n">
        <x:v>3079.1661034959</x:v>
      </x:c>
      <x:c r="P146" s="16" t="n">
        <x:v>3152.383186126</x:v>
      </x:c>
      <x:c r="Q146" s="16" t="n">
        <x:v>3390.6231731726</x:v>
      </x:c>
      <x:c r="R146" s="16" t="n">
        <x:v>39742.7590484164</x:v>
      </x:c>
    </x:row>
    <x:row r="147">
      <x:c r="A147" s="15" t="n">
        <x:v>44501</x:v>
      </x:c>
      <x:c r="B147" s="16"/>
      <x:c r="C147" s="16" t="n">
        <x:v>131449.1473529972</x:v>
      </x:c>
      <x:c r="D147" s="16" t="n">
        <x:v>4008.5411250849</x:v>
      </x:c>
      <x:c r="E147" s="16" t="n">
        <x:v>148.1984620712</x:v>
      </x:c>
      <x:c r="F147" s="16" t="n">
        <x:v>23917.4406911452</x:v>
      </x:c>
      <x:c r="G147" s="16" t="n">
        <x:v>33189.6969873534</x:v>
      </x:c>
      <x:c r="H147" s="16" t="n">
        <x:v>8152.0182329425</x:v>
      </x:c>
      <x:c r="I147" s="16" t="n">
        <x:v>2445.605778937</x:v>
      </x:c>
      <x:c r="J147" s="16" t="n">
        <x:v>1718.9180061808</x:v>
      </x:c>
      <x:c r="K147" s="16" t="n">
        <x:v>96379.5848991561</x:v>
      </x:c>
      <x:c r="L147" s="16" t="n">
        <x:v>112780.0945937534</x:v>
      </x:c>
      <x:c r="M147" s="16" t="n">
        <x:v>8895.4707028164</x:v>
      </x:c>
      <x:c r="N147" s="16" t="n">
        <x:v>9660.1825798575</x:v>
      </x:c>
      <x:c r="O147" s="16" t="n">
        <x:v>3047.4072660164</x:v>
      </x:c>
      <x:c r="P147" s="16" t="n">
        <x:v>3110.6198492274</x:v>
      </x:c>
      <x:c r="Q147" s="16" t="n">
        <x:v>2751.1414496438</x:v>
      </x:c>
      <x:c r="R147" s="16" t="n">
        <x:v>40985.467366926</x:v>
      </x:c>
    </x:row>
    <x:row r="148">
      <x:c r="A148" s="15" t="n">
        <x:v>44531</x:v>
      </x:c>
      <x:c r="B148" s="16"/>
      <x:c r="C148" s="16" t="n">
        <x:v>132407.499568</x:v>
      </x:c>
      <x:c r="D148" s="16" t="n">
        <x:v>4085.58</x:v>
      </x:c>
      <x:c r="E148" s="16" t="n">
        <x:v>218.499968</x:v>
      </x:c>
      <x:c r="F148" s="16" t="n">
        <x:v>24049.129832</x:v>
      </x:c>
      <x:c r="G148" s="16" t="n">
        <x:v>31218.15168</x:v>
      </x:c>
      <x:c r="H148" s="16" t="n">
        <x:v>8309.192896</x:v>
      </x:c>
      <x:c r="I148" s="16" t="n">
        <x:v>2452.857024</x:v>
      </x:c>
      <x:c r="J148" s="16" t="n">
        <x:v>1967.967008</x:v>
      </x:c>
      <x:c r="K148" s="16" t="n">
        <x:v>89658.94784</x:v>
      </x:c>
      <x:c r="L148" s="16" t="n">
        <x:v>110924.657152</x:v>
      </x:c>
      <x:c r="M148" s="16" t="n">
        <x:v>8535.030144</x:v>
      </x:c>
      <x:c r="N148" s="16" t="n">
        <x:v>8931.698904</x:v>
      </x:c>
      <x:c r="O148" s="16" t="n">
        <x:v>3111.500032</x:v>
      </x:c>
      <x:c r="P148" s="16" t="n">
        <x:v>3051.421952</x:v>
      </x:c>
      <x:c r="Q148" s="16" t="n">
        <x:v>3342.348128</x:v>
      </x:c>
      <x:c r="R148" s="16" t="n">
        <x:v>39066.519424</x:v>
      </x:c>
    </x:row>
    <x:row r="149">
      <x:c r="A149" s="15" t="n">
        <x:v>44562</x:v>
      </x:c>
      <x:c r="B149" s="16"/>
      <x:c r="C149" s="16" t="n">
        <x:v>134557.599481337</x:v>
      </x:c>
      <x:c r="D149" s="16" t="n">
        <x:v>4240.2693533808</x:v>
      </x:c>
      <x:c r="E149" s="16" t="n">
        <x:v>160.0853543452</x:v>
      </x:c>
      <x:c r="F149" s="16" t="n">
        <x:v>23448.3952349151</x:v>
      </x:c>
      <x:c r="G149" s="16" t="n">
        <x:v>30939.9070607781</x:v>
      </x:c>
      <x:c r="H149" s="16" t="n">
        <x:v>8011.0499723397</x:v>
      </x:c>
      <x:c r="I149" s="16" t="n">
        <x:v>2390.3174680548</x:v>
      </x:c>
      <x:c r="J149" s="16" t="n">
        <x:v>2050.5680303342</x:v>
      </x:c>
      <x:c r="K149" s="16" t="n">
        <x:v>99807.6122154082</x:v>
      </x:c>
      <x:c r="L149" s="16" t="n">
        <x:v>114654.154482674</x:v>
      </x:c>
      <x:c r="M149" s="16" t="n">
        <x:v>9129.8824614575</x:v>
      </x:c>
      <x:c r="N149" s="16" t="n">
        <x:v>8875.7274790466</x:v>
      </x:c>
      <x:c r="O149" s="16" t="n">
        <x:v>3000.7344310356</x:v>
      </x:c>
      <x:c r="P149" s="16" t="n">
        <x:v>3222.1189461041</x:v>
      </x:c>
      <x:c r="Q149" s="16" t="n">
        <x:v>3953.5253129096</x:v>
      </x:c>
      <x:c r="R149" s="16" t="n">
        <x:v>38403.0094995288</x:v>
      </x:c>
    </x:row>
    <x:row r="150">
      <x:c r="A150" s="15" t="n">
        <x:v>44593</x:v>
      </x:c>
      <x:c r="B150" s="16"/>
      <x:c r="C150" s="16" t="n">
        <x:v>136836.4013098081</x:v>
      </x:c>
      <x:c r="D150" s="16" t="n">
        <x:v>4056.129516011</x:v>
      </x:c>
      <x:c r="E150" s="16" t="n">
        <x:v>210.4938701973</x:v>
      </x:c>
      <x:c r="F150" s="16" t="n">
        <x:v>24585.5517888657</x:v>
      </x:c>
      <x:c r="G150" s="16" t="n">
        <x:v>32756.0588370411</x:v>
      </x:c>
      <x:c r="H150" s="16" t="n">
        <x:v>7317.586949348</x:v>
      </x:c>
      <x:c r="I150" s="16" t="n">
        <x:v>2304.1506284712</x:v>
      </x:c>
      <x:c r="J150" s="16" t="n">
        <x:v>2068.9695703671</x:v>
      </x:c>
      <x:c r="K150" s="16" t="n">
        <x:v>103431.5633355397</x:v>
      </x:c>
      <x:c r="L150" s="16" t="n">
        <x:v>113044.3271588822</x:v>
      </x:c>
      <x:c r="M150" s="16" t="n">
        <x:v>9600.1359004055</x:v>
      </x:c>
      <x:c r="N150" s="16" t="n">
        <x:v>8854.6918217096</x:v>
      </x:c>
      <x:c r="O150" s="16" t="n">
        <x:v>3044.9061607452</x:v>
      </x:c>
      <x:c r="P150" s="16" t="n">
        <x:v>3431.8762142685</x:v>
      </x:c>
      <x:c r="Q150" s="16" t="n">
        <x:v>4068.7430459616</x:v>
      </x:c>
      <x:c r="R150" s="16" t="n">
        <x:v>36684.19328</x:v>
      </x:c>
    </x:row>
    <x:row r="151">
      <x:c r="A151" s="15" t="n">
        <x:v>44621</x:v>
      </x:c>
      <x:c r="B151" s="16"/>
      <x:c r="C151" s="16" t="n">
        <x:v>139336.9816600548</x:v>
      </x:c>
      <x:c r="D151" s="16" t="n">
        <x:v>4022.8627660274</x:v>
      </x:c>
      <x:c r="E151" s="16" t="n">
        <x:v>78.3111294247</x:v>
      </x:c>
      <x:c r="F151" s="16" t="n">
        <x:v>24724.3153185754</x:v>
      </x:c>
      <x:c r="G151" s="16" t="n">
        <x:v>32017.1729990137</x:v>
      </x:c>
      <x:c r="H151" s="16" t="n">
        <x:v>7706.4190693699</x:v>
      </x:c>
      <x:c r="I151" s="16" t="n">
        <x:v>2476.0885260274</x:v>
      </x:c>
      <x:c r="J151" s="16" t="n">
        <x:v>2102.5883989041</x:v>
      </x:c>
      <x:c r="K151" s="16" t="n">
        <x:v>109957.4612339726</x:v>
      </x:c>
      <x:c r="L151" s="16" t="n">
        <x:v>129446.5852046032</x:v>
      </x:c>
      <x:c r="M151" s="16" t="n">
        <x:v>12711.2192973151</x:v>
      </x:c>
      <x:c r="N151" s="16" t="n">
        <x:v>9093.821749589</x:v>
      </x:c>
      <x:c r="O151" s="16" t="n">
        <x:v>3088.9096661918</x:v>
      </x:c>
      <x:c r="P151" s="16" t="n">
        <x:v>3522.723237589</x:v>
      </x:c>
      <x:c r="Q151" s="16" t="n">
        <x:v>4021.5364047123</x:v>
      </x:c>
      <x:c r="R151" s="16" t="n">
        <x:v>39087.054284274</x:v>
      </x:c>
    </x:row>
    <x:row r="152">
      <x:c r="A152" s="15" t="n">
        <x:v>44652</x:v>
      </x:c>
      <x:c r="B152" s="16"/>
      <x:c r="C152" s="16" t="n">
        <x:v>139750.2411234191</x:v>
      </x:c>
      <x:c r="D152" s="16" t="n">
        <x:v>4034.8972124493</x:v>
      </x:c>
      <x:c r="E152" s="16" t="n">
        <x:v>156.0249229479</x:v>
      </x:c>
      <x:c r="F152" s="16" t="n">
        <x:v>24900.1971126576</x:v>
      </x:c>
      <x:c r="G152" s="16" t="n">
        <x:v>32783.2236491398</x:v>
      </x:c>
      <x:c r="H152" s="16" t="n">
        <x:v>7707.4959339836</x:v>
      </x:c>
      <x:c r="I152" s="16" t="n">
        <x:v>2298.7664224438</x:v>
      </x:c>
      <x:c r="J152" s="16" t="n">
        <x:v>2162.5036705315</x:v>
      </x:c>
      <x:c r="K152" s="16" t="n">
        <x:v>119264.7501852054</x:v>
      </x:c>
      <x:c r="L152" s="16" t="n">
        <x:v>133262.4804302902</x:v>
      </x:c>
      <x:c r="M152" s="16" t="n">
        <x:v>12075.6391455562</x:v>
      </x:c>
      <x:c r="N152" s="16" t="n">
        <x:v>9192.9136644822</x:v>
      </x:c>
      <x:c r="O152" s="16" t="n">
        <x:v>3117.3256107836</x:v>
      </x:c>
      <x:c r="P152" s="16" t="n">
        <x:v>3413.4764601425</x:v>
      </x:c>
      <x:c r="Q152" s="16" t="n">
        <x:v>4511.3161098082</x:v>
      </x:c>
      <x:c r="R152" s="16" t="n">
        <x:v>36281.9104087671</x:v>
      </x:c>
    </x:row>
    <x:row r="153">
      <x:c r="A153" s="15" t="n">
        <x:v>44682</x:v>
      </x:c>
      <x:c r="B153" s="16" t="n">
        <x:v>1384.3932850849</x:v>
      </x:c>
      <x:c r="C153" s="16" t="n">
        <x:v>142934.9051183342</x:v>
      </x:c>
      <x:c r="D153" s="16" t="n">
        <x:v>4148.4299388055</x:v>
      </x:c>
      <x:c r="E153" s="16" t="n">
        <x:v>161.8555223781</x:v>
      </x:c>
      <x:c r="F153" s="16" t="n">
        <x:v>25565.4612420164</x:v>
      </x:c>
      <x:c r="G153" s="16" t="n">
        <x:v>29878.3072343671</x:v>
      </x:c>
      <x:c r="H153" s="16" t="n">
        <x:v>7623.2405745096</x:v>
      </x:c>
      <x:c r="I153" s="16" t="n">
        <x:v>2208.7297155507</x:v>
      </x:c>
      <x:c r="J153" s="16" t="n">
        <x:v>2234.0503288986</x:v>
      </x:c>
      <x:c r="K153" s="16" t="n">
        <x:v>117038.9437369863</x:v>
      </x:c>
      <x:c r="L153" s="16" t="n">
        <x:v>140324.9660524708</x:v>
      </x:c>
      <x:c r="M153" s="16" t="n">
        <x:v>11605.8413196274</x:v>
      </x:c>
      <x:c r="N153" s="16" t="n">
        <x:v>9274.2202209315</x:v>
      </x:c>
      <x:c r="O153" s="16" t="n">
        <x:v>3258.3802403068</x:v>
      </x:c>
      <x:c r="P153" s="16" t="n">
        <x:v>3427.8733564055</x:v>
      </x:c>
      <x:c r="Q153" s="16" t="n">
        <x:v>5638.4875232877</x:v>
      </x:c>
      <x:c r="R153" s="16" t="n">
        <x:v>39188.2961225644</x:v>
      </x:c>
    </x:row>
    <x:row r="154">
      <x:c r="A154" s="15" t="n">
        <x:v>44713</x:v>
      </x:c>
      <x:c r="B154" s="16" t="n">
        <x:v>1370.9853411945</x:v>
      </x:c>
      <x:c r="C154" s="16" t="n">
        <x:v>143563.7934711234</x:v>
      </x:c>
      <x:c r="D154" s="16" t="n">
        <x:v>4457.5316422137</x:v>
      </x:c>
      <x:c r="E154" s="16" t="n">
        <x:v>179.4341867178</x:v>
      </x:c>
      <x:c r="F154" s="16" t="n">
        <x:v>31991.132120011</x:v>
      </x:c>
      <x:c r="G154" s="16" t="n">
        <x:v>29338.6564892055</x:v>
      </x:c>
      <x:c r="H154" s="16" t="n">
        <x:v>7239.7164690411</x:v>
      </x:c>
      <x:c r="I154" s="16" t="n">
        <x:v>2111.2152443616</x:v>
      </x:c>
      <x:c r="J154" s="16" t="n">
        <x:v>2238.7077535562</x:v>
      </x:c>
      <x:c r="K154" s="16" t="n">
        <x:v>113673.0988459836</x:v>
      </x:c>
      <x:c r="L154" s="16" t="n">
        <x:v>148744.3826193535</x:v>
      </x:c>
      <x:c r="M154" s="16" t="n">
        <x:v>13321.1764827178</x:v>
      </x:c>
      <x:c r="N154" s="16" t="n">
        <x:v>9496.9090395617</x:v>
      </x:c>
      <x:c r="O154" s="16" t="n">
        <x:v>3214.6316351123</x:v>
      </x:c>
      <x:c r="P154" s="16" t="n">
        <x:v>3407.8859447233</x:v>
      </x:c>
      <x:c r="Q154" s="16" t="n">
        <x:v>6286.9184018411</x:v>
      </x:c>
      <x:c r="R154" s="16" t="n">
        <x:v>40251.3565489096</x:v>
      </x:c>
    </x:row>
    <x:row r="155">
      <x:c r="A155" s="15" t="n">
        <x:v>44743</x:v>
      </x:c>
      <x:c r="B155" s="16" t="n">
        <x:v>1326.7054886575</x:v>
      </x:c>
      <x:c r="C155" s="16" t="n">
        <x:v>144304.6529700822</x:v>
      </x:c>
      <x:c r="D155" s="16" t="n">
        <x:v>4707.7390838356</x:v>
      </x:c>
      <x:c r="E155" s="16" t="n">
        <x:v>164.63296</x:v>
      </x:c>
      <x:c r="F155" s="16" t="n">
        <x:v>32310.4658134795</x:v>
      </x:c>
      <x:c r="G155" s="16" t="n">
        <x:v>29497.978252274</x:v>
      </x:c>
      <x:c r="H155" s="16" t="n">
        <x:v>7292.7974404384</x:v>
      </x:c>
      <x:c r="I155" s="16" t="n">
        <x:v>2002.8234108493</x:v>
      </x:c>
      <x:c r="J155" s="16" t="n">
        <x:v>2373.1810012055</x:v>
      </x:c>
      <x:c r="K155" s="16" t="n">
        <x:v>104044.3276379178</x:v>
      </x:c>
      <x:c r="L155" s="16" t="n">
        <x:v>150202.0656162189</x:v>
      </x:c>
      <x:c r="M155" s="16" t="n">
        <x:v>12820.8855671233</x:v>
      </x:c>
      <x:c r="N155" s="16" t="n">
        <x:v>9519.4398603836</x:v>
      </x:c>
      <x:c r="O155" s="16" t="n">
        <x:v>3219.3292624658</x:v>
      </x:c>
      <x:c r="P155" s="16" t="n">
        <x:v>3396.7536149041</x:v>
      </x:c>
      <x:c r="Q155" s="16" t="n">
        <x:v>5388.1881053151</x:v>
      </x:c>
      <x:c r="R155" s="16" t="n">
        <x:v>40012.4235160548</x:v>
      </x:c>
    </x:row>
    <x:row r="156">
      <x:c r="A156" s="15" t="n">
        <x:v>44774</x:v>
      </x:c>
      <x:c r="B156" s="16" t="n">
        <x:v>1289.2328988055</x:v>
      </x:c>
      <x:c r="C156" s="16" t="n">
        <x:v>148576.4888225317</x:v>
      </x:c>
      <x:c r="D156" s="16" t="n">
        <x:v>4900.334412274</x:v>
      </x:c>
      <x:c r="E156" s="16" t="n">
        <x:v>167.8431182685</x:v>
      </x:c>
      <x:c r="F156" s="16" t="n">
        <x:v>26528.6396725042</x:v>
      </x:c>
      <x:c r="G156" s="16" t="n">
        <x:v>30551.947697622</x:v>
      </x:c>
      <x:c r="H156" s="16" t="n">
        <x:v>7238.9826488986</x:v>
      </x:c>
      <x:c r="I156" s="16" t="n">
        <x:v>1892.7274538082</x:v>
      </x:c>
      <x:c r="J156" s="16" t="n">
        <x:v>2400.1595134247</x:v>
      </x:c>
      <x:c r="K156" s="16" t="n">
        <x:v>98333.9782890959</x:v>
      </x:c>
      <x:c r="L156" s="16" t="n">
        <x:v>156241.852271869</x:v>
      </x:c>
      <x:c r="M156" s="16" t="n">
        <x:v>14389.8314510027</x:v>
      </x:c>
      <x:c r="N156" s="16" t="n">
        <x:v>9543.9098978521</x:v>
      </x:c>
      <x:c r="O156" s="16" t="n">
        <x:v>3053.3198195726</x:v>
      </x:c>
      <x:c r="P156" s="16" t="n">
        <x:v>3272.9441411507</x:v>
      </x:c>
      <x:c r="Q156" s="16" t="n">
        <x:v>5221.1379216658</x:v>
      </x:c>
      <x:c r="R156" s="16" t="n">
        <x:v>36775.2684558027</x:v>
      </x:c>
    </x:row>
    <x:row r="157">
      <x:c r="A157" s="15" t="n">
        <x:v>44805</x:v>
      </x:c>
      <x:c r="B157" s="16" t="n">
        <x:v>6997.0626800727</x:v>
      </x:c>
      <x:c r="C157" s="16" t="n">
        <x:v>150274.5541281315</x:v>
      </x:c>
      <x:c r="D157" s="16" t="n">
        <x:v>5007.9484309041</x:v>
      </x:c>
      <x:c r="E157" s="16" t="n">
        <x:v>130.7177319671</x:v>
      </x:c>
      <x:c r="F157" s="16" t="n">
        <x:v>27696.3538360548</x:v>
      </x:c>
      <x:c r="G157" s="16" t="n">
        <x:v>30748.2726629698</x:v>
      </x:c>
      <x:c r="H157" s="16" t="n">
        <x:v>7236.1672496219</x:v>
      </x:c>
      <x:c r="I157" s="16" t="n">
        <x:v>1891.7711890411</x:v>
      </x:c>
      <x:c r="J157" s="16" t="n">
        <x:v>1703.6749248</x:v>
      </x:c>
      <x:c r="K157" s="16" t="n">
        <x:v>90303.4634646794</x:v>
      </x:c>
      <x:c r="L157" s="16" t="n">
        <x:v>150501.15183851</x:v>
      </x:c>
      <x:c r="M157" s="16" t="n">
        <x:v>12857.141963748</x:v>
      </x:c>
      <x:c r="N157" s="16" t="n">
        <x:v>9997.1764184219</x:v>
      </x:c>
      <x:c r="O157" s="16" t="n">
        <x:v>3023.4198591123</x:v>
      </x:c>
      <x:c r="P157" s="16" t="n">
        <x:v>3306.3635634411</x:v>
      </x:c>
      <x:c r="Q157" s="16" t="n">
        <x:v>5745.9673738521</x:v>
      </x:c>
      <x:c r="R157" s="16" t="n">
        <x:v>36484.9805483836</x:v>
      </x:c>
    </x:row>
    <x:row r="158">
      <x:c r="A158" s="15" t="n">
        <x:v>44835</x:v>
      </x:c>
      <x:c r="B158" s="16" t="n">
        <x:v>7364.5514142335</x:v>
      </x:c>
      <x:c r="C158" s="16" t="n">
        <x:v>151017.8593770961</x:v>
      </x:c>
      <x:c r="D158" s="16" t="n">
        <x:v>5289.6223623014</x:v>
      </x:c>
      <x:c r="E158" s="16" t="n">
        <x:v>145.5024383562</x:v>
      </x:c>
      <x:c r="F158" s="16" t="n">
        <x:v>27549.4104046466</x:v>
      </x:c>
      <x:c r="G158" s="16" t="n">
        <x:v>30729.6675115835</x:v>
      </x:c>
      <x:c r="H158" s="16" t="n">
        <x:v>7300.0435950904</x:v>
      </x:c>
      <x:c r="I158" s="16" t="n">
        <x:v>1883.4865481644</x:v>
      </x:c>
      <x:c r="J158" s="16" t="n">
        <x:v>1736.985968526</x:v>
      </x:c>
      <x:c r="K158" s="16" t="n">
        <x:v>84814.3884309041</x:v>
      </x:c>
      <x:c r="L158" s="16" t="n">
        <x:v>152220.1186436385</x:v>
      </x:c>
      <x:c r="M158" s="16" t="n">
        <x:v>12064.4037489973</x:v>
      </x:c>
      <x:c r="N158" s="16" t="n">
        <x:v>10041.0144003507</x:v>
      </x:c>
      <x:c r="O158" s="16" t="n">
        <x:v>3069.2735684384</x:v>
      </x:c>
      <x:c r="P158" s="16" t="n">
        <x:v>3404.7023285041</x:v>
      </x:c>
      <x:c r="Q158" s="16" t="n">
        <x:v>5509.9367085589</x:v>
      </x:c>
      <x:c r="R158" s="16" t="n">
        <x:v>37724.2615462575</x:v>
      </x:c>
    </x:row>
    <x:row r="159">
      <x:c r="A159" s="15" t="n">
        <x:v>44866</x:v>
      </x:c>
      <x:c r="B159" s="16" t="n">
        <x:v>7515.6315863527</x:v>
      </x:c>
      <x:c r="C159" s="16" t="n">
        <x:v>147036.6216372603</x:v>
      </x:c>
      <x:c r="D159" s="16" t="n">
        <x:v>5612.5645382137</x:v>
      </x:c>
      <x:c r="E159" s="16" t="n">
        <x:v>181.9942305973</x:v>
      </x:c>
      <x:c r="F159" s="16" t="n">
        <x:v>28175.2471289863</x:v>
      </x:c>
      <x:c r="G159" s="16" t="n">
        <x:v>30124.1116366904</x:v>
      </x:c>
      <x:c r="H159" s="16" t="n">
        <x:v>7367.2272605808</x:v>
      </x:c>
      <x:c r="I159" s="16" t="n">
        <x:v>1880.6773876603</x:v>
      </x:c>
      <x:c r="J159" s="16" t="n">
        <x:v>1769.6281650849</x:v>
      </x:c>
      <x:c r="K159" s="16" t="n">
        <x:v>82609.1086728767</x:v>
      </x:c>
      <x:c r="L159" s="16" t="n">
        <x:v>144902.8534433317</x:v>
      </x:c>
      <x:c r="M159" s="16" t="n">
        <x:v>12879.883372537</x:v>
      </x:c>
      <x:c r="N159" s="16" t="n">
        <x:v>9852.9594575342</x:v>
      </x:c>
      <x:c r="O159" s="16" t="n">
        <x:v>3207.0098782685</x:v>
      </x:c>
      <x:c r="P159" s="16" t="n">
        <x:v>3543.8618590247</x:v>
      </x:c>
      <x:c r="Q159" s="16" t="n">
        <x:v>5588.0976789918</x:v>
      </x:c>
      <x:c r="R159" s="16" t="n">
        <x:v>38497.5200978411</x:v>
      </x:c>
    </x:row>
    <x:row r="160">
      <x:c r="A160" s="15" t="n">
        <x:v>44896</x:v>
      </x:c>
      <x:c r="B160" s="16" t="n">
        <x:v>7305.7618422222</x:v>
      </x:c>
      <x:c r="C160" s="16" t="n">
        <x:v>146080.6657886685</x:v>
      </x:c>
      <x:c r="D160" s="16" t="n">
        <x:v>5791.0248160438</x:v>
      </x:c>
      <x:c r="E160" s="16" t="n">
        <x:v>179.8022841205</x:v>
      </x:c>
      <x:c r="F160" s="16" t="n">
        <x:v>28873.9283697863</x:v>
      </x:c>
      <x:c r="G160" s="16" t="n">
        <x:v>27757.6564178411</x:v>
      </x:c>
      <x:c r="H160" s="16" t="n">
        <x:v>6397.5137835397</x:v>
      </x:c>
      <x:c r="I160" s="16" t="n">
        <x:v>1823.2711397699</x:v>
      </x:c>
      <x:c r="J160" s="16" t="n">
        <x:v>1821.2734871233</x:v>
      </x:c>
      <x:c r="K160" s="16" t="n">
        <x:v>76249.843089885</x:v>
      </x:c>
      <x:c r="L160" s="16" t="n">
        <x:v>126288.0917281312</x:v>
      </x:c>
      <x:c r="M160" s="16" t="n">
        <x:v>12460.7870092274</x:v>
      </x:c>
      <x:c r="N160" s="16" t="n">
        <x:v>9335.2733444822</x:v>
      </x:c>
      <x:c r="O160" s="16" t="n">
        <x:v>3313.3423419616</x:v>
      </x:c>
      <x:c r="P160" s="16" t="n">
        <x:v>3624.0100768</x:v>
      </x:c>
      <x:c r="Q160" s="16" t="n">
        <x:v>5318.9688104329</x:v>
      </x:c>
      <x:c r="R160" s="16" t="n">
        <x:v>36741.5937704329</x:v>
      </x:c>
    </x:row>
    <x:row r="161">
      <x:c r="A161" s="15" t="n">
        <x:v>44927</x:v>
      </x:c>
      <x:c r="B161" s="16" t="n">
        <x:v>7160.6403836503</x:v>
      </x:c>
      <x:c r="C161" s="16" t="n">
        <x:v>145097.5976491366</x:v>
      </x:c>
      <x:c r="D161" s="16" t="n">
        <x:v>5870.8277903388</x:v>
      </x:c>
      <x:c r="E161" s="16" t="n">
        <x:v>170.715987235</x:v>
      </x:c>
      <x:c r="F161" s="16" t="n">
        <x:v>27107.9727720218</x:v>
      </x:c>
      <x:c r="G161" s="16" t="n">
        <x:v>17485.6518043279</x:v>
      </x:c>
      <x:c r="H161" s="16" t="n">
        <x:v>5790.9694121967</x:v>
      </x:c>
      <x:c r="I161" s="16" t="n">
        <x:v>1760.772867847</x:v>
      </x:c>
      <x:c r="J161" s="16" t="n">
        <x:v>1880.6890115847</x:v>
      </x:c>
      <x:c r="K161" s="16" t="n">
        <x:v>78655.4588964372</x:v>
      </x:c>
      <x:c r="L161" s="16" t="n">
        <x:v>110159.0370210273</x:v>
      </x:c>
      <x:c r="M161" s="16" t="n">
        <x:v>11106.6478779454</x:v>
      </x:c>
      <x:c r="N161" s="16" t="n">
        <x:v>9460.7453345574</x:v>
      </x:c>
      <x:c r="O161" s="16" t="n">
        <x:v>3514.4871435191</x:v>
      </x:c>
      <x:c r="P161" s="16" t="n">
        <x:v>3047.9791182077</x:v>
      </x:c>
      <x:c r="Q161" s="16" t="n">
        <x:v>5628.2608367213</x:v>
      </x:c>
      <x:c r="R161" s="16" t="n">
        <x:v>37010.1365092022</x:v>
      </x:c>
    </x:row>
    <x:row r="162">
      <x:c r="A162" s="15" t="n">
        <x:v>44958</x:v>
      </x:c>
      <x:c r="B162" s="16" t="n">
        <x:v>6923.6428843716</x:v>
      </x:c>
      <x:c r="C162" s="16" t="n">
        <x:v>141461.826688</x:v>
      </x:c>
      <x:c r="D162" s="16" t="n">
        <x:v>5959.2571446557</x:v>
      </x:c>
      <x:c r="E162" s="16" t="n">
        <x:v>191.7872064262</x:v>
      </x:c>
      <x:c r="F162" s="16" t="n">
        <x:v>27590.1533345573</x:v>
      </x:c>
      <x:c r="G162" s="16" t="n">
        <x:v>16526.1904128525</x:v>
      </x:c>
      <x:c r="H162" s="16" t="n">
        <x:v>5823.3970691147</x:v>
      </x:c>
      <x:c r="I162" s="16" t="n">
        <x:v>1764.0407485902</x:v>
      </x:c>
      <x:c r="J162" s="16" t="n">
        <x:v>1964.7019168525</x:v>
      </x:c>
      <x:c r="K162" s="16" t="n">
        <x:v>78483.872721836</x:v>
      </x:c>
      <x:c r="L162" s="16" t="n">
        <x:v>123943.5627771804</x:v>
      </x:c>
      <x:c r="M162" s="16" t="n">
        <x:v>10656.4638615082</x:v>
      </x:c>
      <x:c r="N162" s="16" t="n">
        <x:v>9298.165664918</x:v>
      </x:c>
      <x:c r="O162" s="16" t="n">
        <x:v>3617.6381356066</x:v>
      </x:c>
      <x:c r="P162" s="16" t="n">
        <x:v>3034.9376217705</x:v>
      </x:c>
      <x:c r="Q162" s="16" t="n">
        <x:v>5884.331956459</x:v>
      </x:c>
      <x:c r="R162" s="16" t="n">
        <x:v>37726.029323541</x:v>
      </x:c>
    </x:row>
    <x:row r="163">
      <x:c r="A163" s="15" t="n">
        <x:v>44986</x:v>
      </x:c>
      <x:c r="B163" s="16" t="n">
        <x:v>6749.0775431694</x:v>
      </x:c>
      <x:c r="C163" s="16" t="n">
        <x:v>140948.2628836721</x:v>
      </x:c>
      <x:c r="D163" s="16" t="n">
        <x:v>6118.2660577924</x:v>
      </x:c>
      <x:c r="E163" s="16" t="n">
        <x:v>233.1270946885</x:v>
      </x:c>
      <x:c r="F163" s="16" t="n">
        <x:v>27529.259827388</x:v>
      </x:c>
      <x:c r="G163" s="16" t="n">
        <x:v>16550.2919690164</x:v>
      </x:c>
      <x:c r="H163" s="16" t="n">
        <x:v>5491.6840198689</x:v>
      </x:c>
      <x:c r="I163" s="16" t="n">
        <x:v>1793.9206381639</x:v>
      </x:c>
      <x:c r="J163" s="16" t="n">
        <x:v>2087.5585493333</x:v>
      </x:c>
      <x:c r="K163" s="16" t="n">
        <x:v>80765.8454879126</x:v>
      </x:c>
      <x:c r="L163" s="16" t="n">
        <x:v>117378.6764413994</x:v>
      </x:c>
      <x:c r="M163" s="16" t="n">
        <x:v>11549.2584660984</x:v>
      </x:c>
      <x:c r="N163" s="16" t="n">
        <x:v>9072.6819135519</x:v>
      </x:c>
      <x:c r="O163" s="16" t="n">
        <x:v>3671.4473519563</x:v>
      </x:c>
      <x:c r="P163" s="16" t="n">
        <x:v>3048.6362731585</x:v>
      </x:c>
      <x:c r="Q163" s="16" t="n">
        <x:v>6119.3123391475</x:v>
      </x:c>
      <x:c r="R163" s="16" t="n">
        <x:v>36146.5258993661</x:v>
      </x:c>
    </x:row>
    <x:row r="164">
      <x:c r="A164" s="15" t="n">
        <x:v>45017</x:v>
      </x:c>
      <x:c r="B164" s="16" t="n">
        <x:v>6418.6891301981</x:v>
      </x:c>
      <x:c r="C164" s="16" t="n">
        <x:v>142188.6954930709</x:v>
      </x:c>
      <x:c r="D164" s="16" t="n">
        <x:v>6223.8409201311</x:v>
      </x:c>
      <x:c r="E164" s="16" t="n">
        <x:v>227.3334564153</x:v>
      </x:c>
      <x:c r="F164" s="16" t="n">
        <x:v>27746.0626908634</x:v>
      </x:c>
      <x:c r="G164" s="16" t="n">
        <x:v>16247.4225531803</x:v>
      </x:c>
      <x:c r="H164" s="16" t="n">
        <x:v>5476.6795947104</x:v>
      </x:c>
      <x:c r="I164" s="16" t="n">
        <x:v>1757.5379720219</x:v>
      </x:c>
      <x:c r="J164" s="16" t="n">
        <x:v>2016.9876314754</x:v>
      </x:c>
      <x:c r="K164" s="16" t="n">
        <x:v>76498.1534052021</x:v>
      </x:c>
      <x:c r="L164" s="16" t="n">
        <x:v>118440.9297919997</x:v>
      </x:c>
      <x:c r="M164" s="16" t="n">
        <x:v>10087.7037954973</x:v>
      </x:c>
      <x:c r="N164" s="16" t="n">
        <x:v>8336.8453508306</x:v>
      </x:c>
      <x:c r="O164" s="16" t="n">
        <x:v>3631.313821377</x:v>
      </x:c>
      <x:c r="P164" s="16" t="n">
        <x:v>3132.3028464044</x:v>
      </x:c>
      <x:c r="Q164" s="16" t="n">
        <x:v>6187.100978929</x:v>
      </x:c>
      <x:c r="R164" s="16" t="n">
        <x:v>37820.4402650929</x:v>
      </x:c>
    </x:row>
    <x:row r="165">
      <x:c r="A165" s="15" t="n">
        <x:v>45047</x:v>
      </x:c>
      <x:c r="B165" s="16" t="n">
        <x:v>6382.1060110679</x:v>
      </x:c>
      <x:c r="C165" s="16" t="n">
        <x:v>140138.4255734208</x:v>
      </x:c>
      <x:c r="D165" s="16" t="n">
        <x:v>6336.3498065137</x:v>
      </x:c>
      <x:c r="E165" s="16" t="n">
        <x:v>334.3293288306</x:v>
      </x:c>
      <x:c r="F165" s="16" t="n">
        <x:v>29209.8815811366</x:v>
      </x:c>
      <x:c r="G165" s="16" t="n">
        <x:v>16766.9371897705</x:v>
      </x:c>
      <x:c r="H165" s="16" t="n">
        <x:v>5429.7321630601</x:v>
      </x:c>
      <x:c r="I165" s="16" t="n">
        <x:v>1635.5053704044</x:v>
      </x:c>
      <x:c r="J165" s="16" t="n">
        <x:v>2519.7402129836</x:v>
      </x:c>
      <x:c r="K165" s="16" t="n">
        <x:v>71689.1273141858</x:v>
      </x:c>
      <x:c r="L165" s="16" t="n">
        <x:v>118460.4831604807</x:v>
      </x:c>
      <x:c r="M165" s="16" t="n">
        <x:v>9229.2733450492</x:v>
      </x:c>
      <x:c r="N165" s="16" t="n">
        <x:v>7627.2612877814</x:v>
      </x:c>
      <x:c r="O165" s="16" t="n">
        <x:v>3782.4565787978</x:v>
      </x:c>
      <x:c r="P165" s="16" t="n">
        <x:v>3190.2634129399</x:v>
      </x:c>
      <x:c r="Q165" s="16" t="n">
        <x:v>6231.3732596284</x:v>
      </x:c>
      <x:c r="R165" s="16" t="n">
        <x:v>40934.6211972896</x:v>
      </x:c>
    </x:row>
    <x:row r="166">
      <x:c r="A166" s="15" t="n">
        <x:v>45078</x:v>
      </x:c>
      <x:c r="B166" s="16" t="n">
        <x:v>6472.6619414747</x:v>
      </x:c>
      <x:c r="C166" s="16" t="n">
        <x:v>142682.7168930274</x:v>
      </x:c>
      <x:c r="D166" s="16" t="n">
        <x:v>6422.8066881749</x:v>
      </x:c>
      <x:c r="E166" s="16" t="n">
        <x:v>477.5764815738</x:v>
      </x:c>
      <x:c r="F166" s="16" t="n">
        <x:v>29643.561428153</x:v>
      </x:c>
      <x:c r="G166" s="16" t="n">
        <x:v>16682.2054903606</x:v>
      </x:c>
      <x:c r="H166" s="16" t="n">
        <x:v>5578.4830447213</x:v>
      </x:c>
      <x:c r="I166" s="16" t="n">
        <x:v>1770.2989450492</x:v>
      </x:c>
      <x:c r="J166" s="16" t="n">
        <x:v>2515.2266180546</x:v>
      </x:c>
      <x:c r="K166" s="16" t="n">
        <x:v>66990.3745552787</x:v>
      </x:c>
      <x:c r="L166" s="16" t="n">
        <x:v>113588.6637226665</x:v>
      </x:c>
      <x:c r="M166" s="16" t="n">
        <x:v>8920.405291541</x:v>
      </x:c>
      <x:c r="N166" s="16" t="n">
        <x:v>7969.1764495301</x:v>
      </x:c>
      <x:c r="O166" s="16" t="n">
        <x:v>3893.7572301639</x:v>
      </x:c>
      <x:c r="P166" s="16" t="n">
        <x:v>3259.5041997814</x:v>
      </x:c>
      <x:c r="Q166" s="16" t="n">
        <x:v>7170.1873605246</x:v>
      </x:c>
      <x:c r="R166" s="16" t="n">
        <x:v>36951.7291932678</x:v>
      </x:c>
    </x:row>
    <x:row r="167">
      <x:c r="A167" s="15" t="n">
        <x:v>45108</x:v>
      </x:c>
      <x:c r="B167" s="16" t="n">
        <x:v>6464.9825952711</x:v>
      </x:c>
      <x:c r="C167" s="16" t="n">
        <x:v>143868.952231869</x:v>
      </x:c>
      <x:c r="D167" s="16" t="n">
        <x:v>6449.8195745574</x:v>
      </x:c>
      <x:c r="E167" s="16" t="n">
        <x:v>552.0425931475</x:v>
      </x:c>
      <x:c r="F167" s="16" t="n">
        <x:v>30659.8746700327</x:v>
      </x:c>
      <x:c r="G167" s="16" t="n">
        <x:v>16774.0888838032</x:v>
      </x:c>
      <x:c r="H167" s="16" t="n">
        <x:v>5965.7543541639</x:v>
      </x:c>
      <x:c r="I167" s="16" t="n">
        <x:v>1873.5208878689</x:v>
      </x:c>
      <x:c r="J167" s="16" t="n">
        <x:v>2610.0140634754</x:v>
      </x:c>
      <x:c r="K167" s="16" t="n">
        <x:v>63516.6828044591</x:v>
      </x:c>
      <x:c r="L167" s="16" t="n">
        <x:v>113182.9305589507</x:v>
      </x:c>
      <x:c r="M167" s="16" t="n">
        <x:v>10012.7066352787</x:v>
      </x:c>
      <x:c r="N167" s="16" t="n">
        <x:v>7588.7672398689</x:v>
      </x:c>
      <x:c r="O167" s="16" t="n">
        <x:v>3955.5609243279</x:v>
      </x:c>
      <x:c r="P167" s="16" t="n">
        <x:v>3386.8102619672</x:v>
      </x:c>
      <x:c r="Q167" s="16" t="n">
        <x:v>7110.5038903607</x:v>
      </x:c>
      <x:c r="R167" s="16" t="n">
        <x:v>36221.0566389508</x:v>
      </x:c>
    </x:row>
    <x:row r="168">
      <x:c r="A168" s="15" t="n">
        <x:v>45139</x:v>
      </x:c>
      <x:c r="B168" s="16" t="n">
        <x:v>6217.3135662758</x:v>
      </x:c>
      <x:c r="C168" s="16" t="n">
        <x:v>143071.3330346667</x:v>
      </x:c>
      <x:c r="D168" s="16" t="n">
        <x:v>6524.157952</x:v>
      </x:c>
      <x:c r="E168" s="16" t="n">
        <x:v>679.431344</x:v>
      </x:c>
      <x:c r="F168" s="16" t="n">
        <x:v>30531.6957306666</x:v>
      </x:c>
      <x:c r="G168" s="16" t="n">
        <x:v>16182.7556586667</x:v>
      </x:c>
      <x:c r="H168" s="16" t="n">
        <x:v>6355.607416</x:v>
      </x:c>
      <x:c r="I168" s="16" t="n">
        <x:v>1942.672704</x:v>
      </x:c>
      <x:c r="J168" s="16" t="n">
        <x:v>2575.65168</x:v>
      </x:c>
      <x:c r="K168" s="16" t="n">
        <x:v>60530.147648</x:v>
      </x:c>
      <x:c r="L168" s="16" t="n">
        <x:v>117696.856170667</x:v>
      </x:c>
      <x:c r="M168" s="16" t="n">
        <x:v>9667.2484906667</x:v>
      </x:c>
      <x:c r="N168" s="16" t="n">
        <x:v>7863.0582773333</x:v>
      </x:c>
      <x:c r="O168" s="16" t="n">
        <x:v>4109.7632426667</x:v>
      </x:c>
      <x:c r="P168" s="16" t="n">
        <x:v>3579.6619146667</x:v>
      </x:c>
      <x:c r="Q168" s="16" t="n">
        <x:v>7039.7929173333</x:v>
      </x:c>
      <x:c r="R168" s="16" t="n">
        <x:v>37579.982976</x:v>
      </x:c>
    </x:row>
    <x:row r="169">
      <x:c r="A169" s="15" t="n">
        <x:v>45170</x:v>
      </x:c>
      <x:c r="B169" s="16" t="n">
        <x:v>6058.5538914882</x:v>
      </x:c>
      <x:c r="C169" s="16" t="n">
        <x:v>145120.8037392786</x:v>
      </x:c>
      <x:c r="D169" s="16" t="n">
        <x:v>6408.536418623</x:v>
      </x:c>
      <x:c r="E169" s="16" t="n">
        <x:v>781.2644120656</x:v>
      </x:c>
      <x:c r="F169" s="16" t="n">
        <x:v>30221.0744949508</x:v>
      </x:c>
      <x:c r="G169" s="16" t="n">
        <x:v>16122.3766628196</x:v>
      </x:c>
      <x:c r="H169" s="16" t="n">
        <x:v>6651.1707095082</x:v>
      </x:c>
      <x:c r="I169" s="16" t="n">
        <x:v>2071.897389377</x:v>
      </x:c>
      <x:c r="J169" s="16" t="n">
        <x:v>2488.9809725902</x:v>
      </x:c>
      <x:c r="K169" s="16" t="n">
        <x:v>60105.396753836</x:v>
      </x:c>
      <x:c r="L169" s="16" t="n">
        <x:v>119530.7047134431</x:v>
      </x:c>
      <x:c r="M169" s="16" t="n">
        <x:v>9516.8853683934</x:v>
      </x:c>
      <x:c r="N169" s="16" t="n">
        <x:v>7463.9092138033</x:v>
      </x:c>
      <x:c r="O169" s="16" t="n">
        <x:v>4117.7234318688</x:v>
      </x:c>
      <x:c r="P169" s="16" t="n">
        <x:v>3744.2127997377</x:v>
      </x:c>
      <x:c r="Q169" s="16" t="n">
        <x:v>8529.0543165902</x:v>
      </x:c>
      <x:c r="R169" s="16" t="n">
        <x:v>40563.5320236066</x:v>
      </x:c>
    </x:row>
    <x:row r="170">
      <x:c r="A170" s="15" t="n">
        <x:v>45200</x:v>
      </x:c>
      <x:c r="B170" s="16" t="n">
        <x:v>6197.3157184877</x:v>
      </x:c>
      <x:c r="C170" s="16" t="n">
        <x:v>147179.2508586667</x:v>
      </x:c>
      <x:c r="D170" s="16" t="n">
        <x:v>6375.701408</x:v>
      </x:c>
      <x:c r="E170" s="16" t="n">
        <x:v>880.2043413333</x:v>
      </x:c>
      <x:c r="F170" s="16" t="n">
        <x:v>30444.7018133333</x:v>
      </x:c>
      <x:c r="G170" s="16" t="n">
        <x:v>16667.903184</x:v>
      </x:c>
      <x:c r="H170" s="16" t="n">
        <x:v>6781.0866613333</x:v>
      </x:c>
      <x:c r="I170" s="16" t="n">
        <x:v>2048.7770986667</x:v>
      </x:c>
      <x:c r="J170" s="16" t="n">
        <x:v>2537.7957866667</x:v>
      </x:c>
      <x:c r="K170" s="16" t="n">
        <x:v>62010.9323833333</x:v>
      </x:c>
      <x:c r="L170" s="16" t="n">
        <x:v>128585.3087786667</x:v>
      </x:c>
      <x:c r="M170" s="16" t="n">
        <x:v>8079.054528</x:v>
      </x:c>
      <x:c r="N170" s="16" t="n">
        <x:v>6500.2690126667</x:v>
      </x:c>
      <x:c r="O170" s="16" t="n">
        <x:v>4256.208512</x:v>
      </x:c>
      <x:c r="P170" s="16" t="n">
        <x:v>3891.551054</x:v>
      </x:c>
      <x:c r="Q170" s="16" t="n">
        <x:v>8903.758928</x:v>
      </x:c>
      <x:c r="R170" s="16" t="n">
        <x:v>41785.9927573333</x:v>
      </x:c>
    </x:row>
    <x:row r="171">
      <x:c r="A171" s="15" t="n">
        <x:v>45231</x:v>
      </x:c>
      <x:c r="B171" s="16" t="n">
        <x:v>6802.2529333992</x:v>
      </x:c>
      <x:c r="C171" s="16" t="n">
        <x:v>147041.6012366338</x:v>
      </x:c>
      <x:c r="D171" s="16" t="n">
        <x:v>6536.8023599563</x:v>
      </x:c>
      <x:c r="E171" s="16" t="n">
        <x:v>933.2426212896</x:v>
      </x:c>
      <x:c r="F171" s="16" t="n">
        <x:v>30385.325831694</x:v>
      </x:c>
      <x:c r="G171" s="16" t="n">
        <x:v>16709.9125358688</x:v>
      </x:c>
      <x:c r="H171" s="16" t="n">
        <x:v>6980.0183175519</x:v>
      </x:c>
      <x:c r="I171" s="16" t="n">
        <x:v>2062.3897465792</x:v>
      </x:c>
      <x:c r="J171" s="16" t="n">
        <x:v>2478.5304036721</x:v>
      </x:c>
      <x:c r="K171" s="16" t="n">
        <x:v>63961.007619847</x:v>
      </x:c>
      <x:c r="L171" s="16" t="n">
        <x:v>129408.6386199779</x:v>
      </x:c>
      <x:c r="M171" s="16" t="n">
        <x:v>8585.117984612</x:v>
      </x:c>
      <x:c r="N171" s="16" t="n">
        <x:v>6809.1197340656</x:v>
      </x:c>
      <x:c r="O171" s="16" t="n">
        <x:v>4273.4989940109</x:v>
      </x:c>
      <x:c r="P171" s="16" t="n">
        <x:v>4102.4544280219</x:v>
      </x:c>
      <x:c r="Q171" s="16" t="n">
        <x:v>9459.1020616393</x:v>
      </x:c>
      <x:c r="R171" s="16" t="n">
        <x:v>41227.828856306</x:v>
      </x:c>
    </x:row>
    <x:row r="172">
      <x:c r="A172" s="15" t="n">
        <x:v>45261</x:v>
      </x:c>
      <x:c r="B172" s="16" t="n">
        <x:v>6569.3204960228</x:v>
      </x:c>
      <x:c r="C172" s="16" t="n">
        <x:v>149118.3799144919</x:v>
      </x:c>
      <x:c r="D172" s="16" t="n">
        <x:v>6544.7640232568</x:v>
      </x:c>
      <x:c r="E172" s="16" t="n">
        <x:v>966.9694292022</x:v>
      </x:c>
      <x:c r="F172" s="16" t="n">
        <x:v>30433.5267343388</x:v>
      </x:c>
      <x:c r="G172" s="16" t="n">
        <x:v>16923.4875666885</x:v>
      </x:c>
      <x:c r="H172" s="16" t="n">
        <x:v>7201.7946267978</x:v>
      </x:c>
      <x:c r="I172" s="16" t="n">
        <x:v>2069.5996946011</x:v>
      </x:c>
      <x:c r="J172" s="16" t="n">
        <x:v>2360.7818628197</x:v>
      </x:c>
      <x:c r="K172" s="16" t="n">
        <x:v>66743.9536803935</x:v>
      </x:c>
      <x:c r="L172" s="16" t="n">
        <x:v>133468.1399290059</x:v>
      </x:c>
      <x:c r="M172" s="16" t="n">
        <x:v>8894.4222992787</x:v>
      </x:c>
      <x:c r="N172" s="16" t="n">
        <x:v>7017.7354336175</x:v>
      </x:c>
      <x:c r="O172" s="16" t="n">
        <x:v>4181.2965574645</x:v>
      </x:c>
      <x:c r="P172" s="16" t="n">
        <x:v>4146.6143073443</x:v>
      </x:c>
      <x:c r="Q172" s="16" t="n">
        <x:v>10020.01894953</x:v>
      </x:c>
      <x:c r="R172" s="16" t="n">
        <x:v>40776.5887209617</x:v>
      </x:c>
    </x:row>
    <x:row r="173">
      <x:c r="A173" s="15" t="n">
        <x:v>45292</x:v>
      </x:c>
      <x:c r="B173" s="16" t="n">
        <x:v>6052.8973992329</x:v>
      </x:c>
      <x:c r="C173" s="16" t="n">
        <x:v>149325.802846685</x:v>
      </x:c>
      <x:c r="D173" s="16" t="n">
        <x:v>6617.2003349041</x:v>
      </x:c>
      <x:c r="E173" s="16" t="n">
        <x:v>955.9330691507</x:v>
      </x:c>
      <x:c r="F173" s="16" t="n">
        <x:v>30698.6423561644</x:v>
      </x:c>
      <x:c r="G173" s="16" t="n">
        <x:v>16190.065708274</x:v>
      </x:c>
      <x:c r="H173" s="16" t="n">
        <x:v>7173.0368981918</x:v>
      </x:c>
      <x:c r="I173" s="16" t="n">
        <x:v>2062.6842779178</x:v>
      </x:c>
      <x:c r="J173" s="16" t="n">
        <x:v>2366.676684274</x:v>
      </x:c>
      <x:c r="K173" s="16" t="n">
        <x:v>67076.2600732055</x:v>
      </x:c>
      <x:c r="L173" s="16" t="n">
        <x:v>127707.8176613698</x:v>
      </x:c>
      <x:c r="M173" s="16" t="n">
        <x:v>8561.353632</x:v>
      </x:c>
      <x:c r="N173" s="16" t="n">
        <x:v>6915.7954091507</x:v>
      </x:c>
      <x:c r="O173" s="16" t="n">
        <x:v>4193.591762411</x:v>
      </x:c>
      <x:c r="P173" s="16" t="n">
        <x:v>4243.6321621918</x:v>
      </x:c>
      <x:c r="Q173" s="16" t="n">
        <x:v>9519.0572396712</x:v>
      </x:c>
      <x:c r="R173" s="16" t="n">
        <x:v>41160.6874161096</x:v>
      </x:c>
    </x:row>
    <x:row r="174">
      <x:c r="A174" s="15" t="n">
        <x:v>45323</x:v>
      </x:c>
      <x:c r="B174" s="16" t="n">
        <x:v>6314.8018726575</x:v>
      </x:c>
      <x:c r="C174" s="16" t="n">
        <x:v>145801.5004840329</x:v>
      </x:c>
      <x:c r="D174" s="16" t="n">
        <x:v>6679.2310952329</x:v>
      </x:c>
      <x:c r="E174" s="16" t="n">
        <x:v>1005.1385242301</x:v>
      </x:c>
      <x:c r="F174" s="16" t="n">
        <x:v>30760.6510940055</x:v>
      </x:c>
      <x:c r="G174" s="16" t="n">
        <x:v>15254.4927073315</x:v>
      </x:c>
      <x:c r="H174" s="16" t="n">
        <x:v>7205.1139696219</x:v>
      </x:c>
      <x:c r="I174" s="16" t="n">
        <x:v>1969.1590436822</x:v>
      </x:c>
      <x:c r="J174" s="16" t="n">
        <x:v>2379.1598236055</x:v>
      </x:c>
      <x:c r="K174" s="16" t="n">
        <x:v>65416.6885162082</x:v>
      </x:c>
      <x:c r="L174" s="16" t="n">
        <x:v>127175.3983410845</x:v>
      </x:c>
      <x:c r="M174" s="16" t="n">
        <x:v>8178.1074432877</x:v>
      </x:c>
      <x:c r="N174" s="16" t="n">
        <x:v>6859.2340028055</x:v>
      </x:c>
      <x:c r="O174" s="16" t="n">
        <x:v>4257.8351118027</x:v>
      </x:c>
      <x:c r="P174" s="16" t="n">
        <x:v>4388.9314169425</x:v>
      </x:c>
      <x:c r="Q174" s="16" t="n">
        <x:v>9680.2125648657</x:v>
      </x:c>
      <x:c r="R174" s="16" t="n">
        <x:v>41654.5584699616</x:v>
      </x:c>
    </x:row>
    <x:row r="175">
      <x:c r="A175" s="15" t="n">
        <x:v>45352</x:v>
      </x:c>
      <x:c r="B175" s="16" t="n">
        <x:v>6388.7968529534</x:v>
      </x:c>
      <x:c r="C175" s="16" t="n">
        <x:v>146088.8785457095</x:v>
      </x:c>
      <x:c r="D175" s="16" t="n">
        <x:v>6740.9991483617</x:v>
      </x:c>
      <x:c r="E175" s="16" t="n">
        <x:v>943.9033557918</x:v>
      </x:c>
      <x:c r="F175" s="16" t="n">
        <x:v>31309.2608326137</x:v>
      </x:c>
      <x:c r="G175" s="16" t="n">
        <x:v>14972.5606477151</x:v>
      </x:c>
      <x:c r="H175" s="16" t="n">
        <x:v>7414.6489608767</x:v>
      </x:c>
      <x:c r="I175" s="16" t="n">
        <x:v>2069.6796652712</x:v>
      </x:c>
      <x:c r="J175" s="16" t="n">
        <x:v>2449.0090146192</x:v>
      </x:c>
      <x:c r="K175" s="16" t="n">
        <x:v>64294.4983709809</x:v>
      </x:c>
      <x:c r="L175" s="16" t="n">
        <x:v>126108.5141219945</x:v>
      </x:c>
      <x:c r="M175" s="16" t="n">
        <x:v>9028.9339719452</x:v>
      </x:c>
      <x:c r="N175" s="16" t="n">
        <x:v>7215.4768643945</x:v>
      </x:c>
      <x:c r="O175" s="16" t="n">
        <x:v>4368.0381138411</x:v>
      </x:c>
      <x:c r="P175" s="16" t="n">
        <x:v>4521.1955716164</x:v>
      </x:c>
      <x:c r="Q175" s="16" t="n">
        <x:v>9699.6407530959</x:v>
      </x:c>
      <x:c r="R175" s="16" t="n">
        <x:v>42078.6881283507</x:v>
      </x:c>
    </x:row>
    <x:row r="176">
      <x:c r="A176" s="15" t="n">
        <x:v>45383</x:v>
      </x:c>
      <x:c r="B176" s="16" t="n">
        <x:v>6350.1114608219</x:v>
      </x:c>
      <x:c r="C176" s="16" t="n">
        <x:v>147523.8961656985</x:v>
      </x:c>
      <x:c r="D176" s="16" t="n">
        <x:v>6863.7557979178</x:v>
      </x:c>
      <x:c r="E176" s="16" t="n">
        <x:v>1015.5725799452</x:v>
      </x:c>
      <x:c r="F176" s="16" t="n">
        <x:v>30903.7187743561</x:v>
      </x:c>
      <x:c r="G176" s="16" t="n">
        <x:v>15880.2615153973</x:v>
      </x:c>
      <x:c r="H176" s="16" t="n">
        <x:v>7286.1928328767</x:v>
      </x:c>
      <x:c r="I176" s="16" t="n">
        <x:v>2158.3674415342</x:v>
      </x:c>
      <x:c r="J176" s="16" t="n">
        <x:v>2425.0156453699</x:v>
      </x:c>
      <x:c r="K176" s="16" t="n">
        <x:v>60392.9710378082</x:v>
      </x:c>
      <x:c r="L176" s="16" t="n">
        <x:v>134441.8049315073</x:v>
      </x:c>
      <x:c r="M176" s="16" t="n">
        <x:v>9415.6977915616</x:v>
      </x:c>
      <x:c r="N176" s="16" t="n">
        <x:v>7172.1753913425</x:v>
      </x:c>
      <x:c r="O176" s="16" t="n">
        <x:v>4407.9699883836</x:v>
      </x:c>
      <x:c r="P176" s="16" t="n">
        <x:v>4577.732627726</x:v>
      </x:c>
      <x:c r="Q176" s="16" t="n">
        <x:v>9297.1912201644</x:v>
      </x:c>
      <x:c r="R176" s="16" t="n">
        <x:v>42026.6974185205</x:v>
      </x:c>
    </x:row>
    <x:row r="177">
      <x:c r="A177" s="15" t="n">
        <x:v>45413</x:v>
      </x:c>
      <x:c r="B177" s="16" t="n">
        <x:v>6314.681735189</x:v>
      </x:c>
      <x:c r="C177" s="16" t="n">
        <x:v>150437.822205896</x:v>
      </x:c>
      <x:c r="D177" s="16" t="n">
        <x:v>7207.8210742356</x:v>
      </x:c>
      <x:c r="E177" s="16" t="n">
        <x:v>921.7937704329</x:v>
      </x:c>
      <x:c r="F177" s="16" t="n">
        <x:v>31192.3035008</x:v>
      </x:c>
      <x:c r="G177" s="16" t="n">
        <x:v>17325.6084318246</x:v>
      </x:c>
      <x:c r="H177" s="16" t="n">
        <x:v>7407.0528459397</x:v>
      </x:c>
      <x:c r="I177" s="16" t="n">
        <x:v>2210.6172193315</x:v>
      </x:c>
      <x:c r="J177" s="16" t="n">
        <x:v>2388.5586051507</x:v>
      </x:c>
      <x:c r="K177" s="16" t="n">
        <x:v>61451.9597683726</x:v>
      </x:c>
      <x:c r="L177" s="16" t="n">
        <x:v>129495.4909147177</x:v>
      </x:c>
      <x:c r="M177" s="16" t="n">
        <x:v>10193.4810261918</x:v>
      </x:c>
      <x:c r="N177" s="16" t="n">
        <x:v>8554.8517543014</x:v>
      </x:c>
      <x:c r="O177" s="16" t="n">
        <x:v>4429.0527919343</x:v>
      </x:c>
      <x:c r="P177" s="16" t="n">
        <x:v>4603.8579619726</x:v>
      </x:c>
      <x:c r="Q177" s="16" t="n">
        <x:v>8841.177991189</x:v>
      </x:c>
      <x:c r="R177" s="16" t="n">
        <x:v>43212.6049495671</x:v>
      </x:c>
    </x:row>
    <x:row r="178">
      <x:c r="A178" s="15" t="n">
        <x:v>45444</x:v>
      </x:c>
      <x:c r="B178" s="16" t="n">
        <x:v>5780.5966016877</x:v>
      </x:c>
      <x:c r="C178" s="16" t="n">
        <x:v>151347.0059505972</x:v>
      </x:c>
      <x:c r="D178" s="16" t="n">
        <x:v>7383.1211449863</x:v>
      </x:c>
      <x:c r="E178" s="16" t="n">
        <x:v>938.9403416548</x:v>
      </x:c>
      <x:c r="F178" s="16" t="n">
        <x:v>31235.7304640877</x:v>
      </x:c>
      <x:c r="G178" s="16" t="n">
        <x:v>17381.5185905972</x:v>
      </x:c>
      <x:c r="H178" s="16" t="n">
        <x:v>8139.7988744767</x:v>
      </x:c>
      <x:c r="I178" s="16" t="n">
        <x:v>2233.3263095233</x:v>
      </x:c>
      <x:c r="J178" s="16" t="n">
        <x:v>2393.344461852</x:v>
      </x:c>
      <x:c r="K178" s="16" t="n">
        <x:v>64947.5959054027</x:v>
      </x:c>
      <x:c r="L178" s="16" t="n">
        <x:v>123832.0627634854</x:v>
      </x:c>
      <x:c r="M178" s="16" t="n">
        <x:v>10993.6292565918</x:v>
      </x:c>
      <x:c r="N178" s="16" t="n">
        <x:v>8810.9877754302</x:v>
      </x:c>
      <x:c r="O178" s="16" t="n">
        <x:v>4472.5349516274</x:v>
      </x:c>
      <x:c r="P178" s="16" t="n">
        <x:v>4641.1098985863</x:v>
      </x:c>
      <x:c r="Q178" s="16" t="n">
        <x:v>8444.4164757041</x:v>
      </x:c>
      <x:c r="R178" s="16" t="n">
        <x:v>43173.6899647123</x:v>
      </x:c>
    </x:row>
    <x:row r="179">
      <x:c r="A179" s="15" t="n">
        <x:v>45474</x:v>
      </x:c>
      <x:c r="B179" s="16" t="n">
        <x:v>5986.1854570959</x:v>
      </x:c>
      <x:c r="C179" s="16" t="n">
        <x:v>153682.8588705316</x:v>
      </x:c>
      <x:c r="D179" s="16" t="n">
        <x:v>7734.6079140822</x:v>
      </x:c>
      <x:c r="E179" s="16" t="n">
        <x:v>953.2090624</x:v>
      </x:c>
      <x:c r="F179" s="16" t="n">
        <x:v>31847.9655881644</x:v>
      </x:c>
      <x:c r="G179" s="16" t="n">
        <x:v>17677.9735399014</x:v>
      </x:c>
      <x:c r="H179" s="16" t="n">
        <x:v>8186.9583118027</x:v>
      </x:c>
      <x:c r="I179" s="16" t="n">
        <x:v>2123.9906794521</x:v>
      </x:c>
      <x:c r="J179" s="16" t="n">
        <x:v>2420.1282764274</x:v>
      </x:c>
      <x:c r="K179" s="16" t="n">
        <x:v>66047.0878949699</x:v>
      </x:c>
      <x:c r="L179" s="16" t="n">
        <x:v>138578.8912608435</x:v>
      </x:c>
      <x:c r="M179" s="16" t="n">
        <x:v>11317.2681119562</x:v>
      </x:c>
      <x:c r="N179" s="16" t="n">
        <x:v>8521.4864484493</x:v>
      </x:c>
      <x:c r="O179" s="16" t="n">
        <x:v>4169.1120247233</x:v>
      </x:c>
      <x:c r="P179" s="16" t="n">
        <x:v>4569.0370632767</x:v>
      </x:c>
      <x:c r="Q179" s="16" t="n">
        <x:v>8894.7962657315</x:v>
      </x:c>
      <x:c r="R179" s="16" t="n">
        <x:v>41772.5140348493</x:v>
      </x:c>
    </x:row>
    <x:row r="180">
      <x:c r="A180" s="15" t="n">
        <x:v>45505</x:v>
      </x:c>
      <x:c r="B180" s="16" t="n">
        <x:v>5588.3376580384</x:v>
      </x:c>
      <x:c r="C180" s="16" t="n">
        <x:v>157081.2313403616</x:v>
      </x:c>
      <x:c r="D180" s="16" t="n">
        <x:v>7990.1880670685</x:v>
      </x:c>
      <x:c r="E180" s="16" t="n">
        <x:v>968.4574140493</x:v>
      </x:c>
      <x:c r="F180" s="16" t="n">
        <x:v>30290.2880955617</x:v>
      </x:c>
      <x:c r="G180" s="16" t="n">
        <x:v>18293.3591914959</x:v>
      </x:c>
      <x:c r="H180" s="16" t="n">
        <x:v>8540.6358612164</x:v>
      </x:c>
      <x:c r="I180" s="16" t="n">
        <x:v>2229.3464469479</x:v>
      </x:c>
      <x:c r="J180" s="16" t="n">
        <x:v>2416.1519715069</x:v>
      </x:c>
      <x:c r="K180" s="16" t="n">
        <x:v>63791.9900645698</x:v>
      </x:c>
      <x:c r="L180" s="16" t="n">
        <x:v>127509.4254930416</x:v>
      </x:c>
      <x:c r="M180" s="16" t="n">
        <x:v>10837.557193863</x:v>
      </x:c>
      <x:c r="N180" s="16" t="n">
        <x:v>8205.1974953644</x:v>
      </x:c>
      <x:c r="O180" s="16" t="n">
        <x:v>4336.5332297644</x:v>
      </x:c>
      <x:c r="P180" s="16" t="n">
        <x:v>4611.6189835616</x:v>
      </x:c>
      <x:c r="Q180" s="16" t="n">
        <x:v>7379.4065383452</x:v>
      </x:c>
      <x:c r="R180" s="16" t="n">
        <x:v>41880.788434937</x:v>
      </x:c>
    </x:row>
    <x:row r="181">
      <x:c r="A181" s="15" t="n">
        <x:v>45536</x:v>
      </x:c>
      <x:c r="B181" s="16" t="n">
        <x:v>5546.0920078027</x:v>
      </x:c>
      <x:c r="C181" s="16" t="n">
        <x:v>158776.5536459398</x:v>
      </x:c>
      <x:c r="D181" s="16" t="n">
        <x:v>8343.7544942466</x:v>
      </x:c>
      <x:c r="E181" s="16" t="n">
        <x:v>943.5587860164</x:v>
      </x:c>
      <x:c r="F181" s="16" t="n">
        <x:v>34716.7561787617</x:v>
      </x:c>
      <x:c r="G181" s="16" t="n">
        <x:v>18297.4189355836</x:v>
      </x:c>
      <x:c r="H181" s="16" t="n">
        <x:v>8652.3270919014</x:v>
      </x:c>
      <x:c r="I181" s="16" t="n">
        <x:v>2287.6470874301</x:v>
      </x:c>
      <x:c r="J181" s="16" t="n">
        <x:v>2452.5867117589</x:v>
      </x:c>
      <x:c r="K181" s="16" t="n">
        <x:v>64067.4272385753</x:v>
      </x:c>
      <x:c r="L181" s="16" t="n">
        <x:v>118568.7485883614</x:v>
      </x:c>
      <x:c r="M181" s="16" t="n">
        <x:v>9999.2181472438</x:v>
      </x:c>
      <x:c r="N181" s="16" t="n">
        <x:v>8261.763756537</x:v>
      </x:c>
      <x:c r="O181" s="16" t="n">
        <x:v>4416.9151796603</x:v>
      </x:c>
      <x:c r="P181" s="16" t="n">
        <x:v>4750.9511689644</x:v>
      </x:c>
      <x:c r="Q181" s="16" t="n">
        <x:v>8472.2933444384</x:v>
      </x:c>
      <x:c r="R181" s="16" t="n">
        <x:v>42863.5934088767</x:v>
      </x:c>
    </x:row>
    <x:row r="182">
      <x:c r="A182" s="15" t="n">
        <x:v>45566</x:v>
      </x:c>
      <x:c r="B182" s="16" t="n">
        <x:v>5514.9573756493</x:v>
      </x:c>
      <x:c r="C182" s="16" t="n">
        <x:v>160888.1926256218</x:v>
      </x:c>
      <x:c r="D182" s="16" t="n">
        <x:v>8892.9462724384</x:v>
      </x:c>
      <x:c r="E182" s="16" t="n">
        <x:v>938.3345124822</x:v>
      </x:c>
      <x:c r="F182" s="16" t="n">
        <x:v>34920.5163247342</x:v>
      </x:c>
      <x:c r="G182" s="16" t="n">
        <x:v>19835.7715167562</x:v>
      </x:c>
      <x:c r="H182" s="16" t="n">
        <x:v>8310.3891817206</x:v>
      </x:c>
      <x:c r="I182" s="16" t="n">
        <x:v>2350.4795668603</x:v>
      </x:c>
      <x:c r="J182" s="16" t="n">
        <x:v>2446.968402411</x:v>
      </x:c>
      <x:c r="K182" s="16" t="n">
        <x:v>62478.4002748055</x:v>
      </x:c>
      <x:c r="L182" s="16" t="n">
        <x:v>122449.9671656331</x:v>
      </x:c>
      <x:c r="M182" s="16" t="n">
        <x:v>10550.1879892164</x:v>
      </x:c>
      <x:c r="N182" s="16" t="n">
        <x:v>8147.135076789</x:v>
      </x:c>
      <x:c r="O182" s="16" t="n">
        <x:v>4637.2770268931</x:v>
      </x:c>
      <x:c r="P182" s="16" t="n">
        <x:v>4827.6558958904</x:v>
      </x:c>
      <x:c r="Q182" s="16" t="n">
        <x:v>9026.7618570521</x:v>
      </x:c>
      <x:c r="R182" s="16" t="n">
        <x:v>44386.6224168329</x:v>
      </x:c>
    </x:row>
    <x:row r="183">
      <x:c r="A183" s="15" t="n">
        <x:v>45597</x:v>
      </x:c>
      <x:c r="B183" s="16" t="n">
        <x:v>5373.9648648767</x:v>
      </x:c>
      <x:c r="C183" s="16" t="n">
        <x:v>162478.3732736</x:v>
      </x:c>
      <x:c r="D183" s="16" t="n">
        <x:v>9183.8917814356</x:v>
      </x:c>
      <x:c r="E183" s="16" t="n">
        <x:v>934.1365739836</x:v>
      </x:c>
      <x:c r="F183" s="16" t="n">
        <x:v>35638.2068939398</x:v>
      </x:c>
      <x:c r="G183" s="16" t="n">
        <x:v>19746.2868427397</x:v>
      </x:c>
      <x:c r="H183" s="16" t="n">
        <x:v>8347.9350250959</x:v>
      </x:c>
      <x:c r="I183" s="16" t="n">
        <x:v>2423.0220985863</x:v>
      </x:c>
      <x:c r="J183" s="16" t="n">
        <x:v>2389.8571556822</x:v>
      </x:c>
      <x:c r="K183" s="16" t="n">
        <x:v>62957.9680922301</x:v>
      </x:c>
      <x:c r="L183" s="16" t="n">
        <x:v>127209.0933191891</x:v>
      </x:c>
      <x:c r="M183" s="16" t="n">
        <x:v>11041.4002547726</x:v>
      </x:c>
      <x:c r="N183" s="16" t="n">
        <x:v>8704.0397047233</x:v>
      </x:c>
      <x:c r="O183" s="16" t="n">
        <x:v>4688.6965037589</x:v>
      </x:c>
      <x:c r="P183" s="16" t="n">
        <x:v>4838.1416688219</x:v>
      </x:c>
      <x:c r="Q183" s="16" t="n">
        <x:v>9699.6692550247</x:v>
      </x:c>
      <x:c r="R183" s="16" t="n">
        <x:v>46832.3382566574</x:v>
      </x:c>
    </x:row>
    <x:row r="184">
      <x:c r="A184" s="15" t="n">
        <x:v>45627</x:v>
      </x:c>
      <x:c r="B184" s="16" t="n">
        <x:v>5079.1888850411</x:v>
      </x:c>
      <x:c r="C184" s="16" t="n">
        <x:v>162536.497152</x:v>
      </x:c>
      <x:c r="D184" s="16" t="n">
        <x:v>9609.000192</x:v>
      </x:c>
      <x:c r="E184" s="16" t="n">
        <x:v>882.627008</x:v>
      </x:c>
      <x:c r="F184" s="16" t="n">
        <x:v>35257.180224</x:v>
      </x:c>
      <x:c r="G184" s="16" t="n">
        <x:v>27071.165792</x:v>
      </x:c>
      <x:c r="H184" s="16" t="n">
        <x:v>8138.884992</x:v>
      </x:c>
      <x:c r="I184" s="16" t="n">
        <x:v>2505.91504</x:v>
      </x:c>
      <x:c r="J184" s="16" t="n">
        <x:v>2393.322016</x:v>
      </x:c>
      <x:c r="K184" s="16" t="n">
        <x:v>60613.160344</x:v>
      </x:c>
      <x:c r="L184" s="16" t="n">
        <x:v>130005.204352</x:v>
      </x:c>
      <x:c r="M184" s="16" t="n">
        <x:v>11931.77984</x:v>
      </x:c>
      <x:c r="N184" s="16" t="n">
        <x:v>8435.494</x:v>
      </x:c>
      <x:c r="O184" s="16" t="n">
        <x:v>4917.929984</x:v>
      </x:c>
      <x:c r="P184" s="16" t="n">
        <x:v>4856.762912</x:v>
      </x:c>
      <x:c r="Q184" s="16" t="n">
        <x:v>9513.47696</x:v>
      </x:c>
      <x:c r="R184" s="16" t="n">
        <x:v>44736.509632</x:v>
      </x:c>
    </x:row>
    <x:row r="185">
      <x:c r="A185" s="15" t="n">
        <x:v>45658</x:v>
      </x:c>
      <x:c r="B185" s="16" t="n">
        <x:v>4193.0070691068</x:v>
      </x:c>
      <x:c r="C185" s="16" t="n">
        <x:v>161820.5049393096</x:v>
      </x:c>
      <x:c r="D185" s="16" t="n">
        <x:v>11241.4469484712</x:v>
      </x:c>
      <x:c r="E185" s="16" t="n">
        <x:v>800.4477198027</x:v>
      </x:c>
      <x:c r="F185" s="16" t="n">
        <x:v>38955.5975353863</x:v>
      </x:c>
      <x:c r="G185" s="16" t="n">
        <x:v>19993.807187989</x:v>
      </x:c>
      <x:c r="H185" s="16" t="n">
        <x:v>7701.7964686027</x:v>
      </x:c>
      <x:c r="I185" s="16" t="n">
        <x:v>2286.5366989151</x:v>
      </x:c>
      <x:c r="J185" s="16" t="n">
        <x:v>2359.082572274</x:v>
      </x:c>
      <x:c r="K185" s="16" t="n">
        <x:v>56527.3932571178</x:v>
      </x:c>
      <x:c r="L185" s="16" t="n">
        <x:v>130112.9145519338</x:v>
      </x:c>
      <x:c r="M185" s="16" t="n">
        <x:v>13880.2611557699</x:v>
      </x:c>
      <x:c r="N185" s="16" t="n">
        <x:v>7390.7235564164</x:v>
      </x:c>
      <x:c r="O185" s="16" t="n">
        <x:v>4938.3170019945</x:v>
      </x:c>
      <x:c r="P185" s="16" t="n">
        <x:v>4886.5509462795</x:v>
      </x:c>
      <x:c r="Q185" s="16" t="n">
        <x:v>9213.4592300712</x:v>
      </x:c>
      <x:c r="R185" s="16" t="n">
        <x:v>42329.706291726</x:v>
      </x:c>
    </x:row>
    <x:row r="186">
      <x:c r="A186" s="15" t="n">
        <x:v>45689</x:v>
      </x:c>
      <x:c r="B186" s="16" t="n">
        <x:v>3641.256050148</x:v>
      </x:c>
      <x:c r="C186" s="16" t="n">
        <x:v>160832.0680020166</x:v>
      </x:c>
      <x:c r="D186" s="16" t="n">
        <x:v>11243.3217802521</x:v>
      </x:c>
      <x:c r="E186" s="16" t="n">
        <x:v>822.2799642301</x:v>
      </x:c>
      <x:c r="F186" s="16" t="n">
        <x:v>39219.8277514521</x:v>
      </x:c>
      <x:c r="G186" s="16" t="n">
        <x:v>20036.4901199781</x:v>
      </x:c>
      <x:c r="H186" s="16" t="n">
        <x:v>7969.5540017096</x:v>
      </x:c>
      <x:c r="I186" s="16" t="n">
        <x:v>2372.6530486356</x:v>
      </x:c>
      <x:c r="J186" s="16" t="n">
        <x:v>2284.3343005808</x:v>
      </x:c>
      <x:c r="K186" s="16" t="n">
        <x:v>56292.2207528329</x:v>
      </x:c>
      <x:c r="L186" s="16" t="n">
        <x:v>131658.027712877</x:v>
      </x:c>
      <x:c r="M186" s="16" t="n">
        <x:v>14181.6052960438</x:v>
      </x:c>
      <x:c r="N186" s="16" t="n">
        <x:v>7472.8870325699</x:v>
      </x:c>
      <x:c r="O186" s="16" t="n">
        <x:v>4980.1127178521</x:v>
      </x:c>
      <x:c r="P186" s="16" t="n">
        <x:v>4990.9934944438</x:v>
      </x:c>
      <x:c r="Q186" s="16" t="n">
        <x:v>9507.5650756822</x:v>
      </x:c>
      <x:c r="R186" s="16" t="n">
        <x:v>41770.4672035069</x:v>
      </x:c>
    </x:row>
    <x:row r="187">
      <x:c r="A187" s="15" t="n">
        <x:v>45717</x:v>
      </x:c>
      <x:c r="B187" s="16" t="n">
        <x:v>3396.4061299726</x:v>
      </x:c>
      <x:c r="C187" s="16" t="n">
        <x:v>162269.8528964384</x:v>
      </x:c>
      <x:c r="D187" s="16" t="n">
        <x:v>11418.132525589</x:v>
      </x:c>
      <x:c r="E187" s="16" t="n">
        <x:v>822.5533992329</x:v>
      </x:c>
      <x:c r="F187" s="16" t="n">
        <x:v>39326.313874411</x:v>
      </x:c>
      <x:c r="G187" s="16" t="n">
        <x:v>20179.2635156164</x:v>
      </x:c>
      <x:c r="H187" s="16" t="n">
        <x:v>8033.0570774794</x:v>
      </x:c>
      <x:c r="I187" s="16" t="n">
        <x:v>2417.4509247123</x:v>
      </x:c>
      <x:c r="J187" s="16" t="n">
        <x:v>2308.5876129315</x:v>
      </x:c>
      <x:c r="K187" s="16" t="n">
        <x:v>57048.0509843288</x:v>
      </x:c>
      <x:c r="L187" s="16" t="n">
        <x:v>130007.4991921101</x:v>
      </x:c>
      <x:c r="M187" s="16" t="n">
        <x:v>14240.7789483836</x:v>
      </x:c>
      <x:c r="N187" s="16" t="n">
        <x:v>7300.3862666301</x:v>
      </x:c>
      <x:c r="O187" s="16" t="n">
        <x:v>5079.5117834521</x:v>
      </x:c>
      <x:c r="P187" s="16" t="n">
        <x:v>5122.9572850411</x:v>
      </x:c>
      <x:c r="Q187" s="16" t="n">
        <x:v>9521.7612380822</x:v>
      </x:c>
      <x:c r="R187" s="16" t="n">
        <x:v>42305.1330174246</x:v>
      </x:c>
    </x:row>
    <x:row r="188">
      <x:c r="A188" s="15" t="n">
        <x:v>45748</x:v>
      </x:c>
      <x:c r="B188" s="16" t="n">
        <x:v>3216.8194270685</x:v>
      </x:c>
      <x:c r="C188" s="16" t="n">
        <x:v>164430.9029172601</x:v>
      </x:c>
      <x:c r="D188" s="16" t="n">
        <x:v>11525.8204878904</x:v>
      </x:c>
      <x:c r="E188" s="16" t="n">
        <x:v>946.6044225753</x:v>
      </x:c>
      <x:c r="F188" s="16" t="n">
        <x:v>39763.7199167123</x:v>
      </x:c>
      <x:c r="G188" s="16" t="n">
        <x:v>19715.3388273973</x:v>
      </x:c>
      <x:c r="H188" s="16" t="n">
        <x:v>8168.7528346301</x:v>
      </x:c>
      <x:c r="I188" s="16" t="n">
        <x:v>2425.1089201096</x:v>
      </x:c>
      <x:c r="J188" s="16" t="n">
        <x:v>2274.3765553973</x:v>
      </x:c>
      <x:c r="K188" s="16" t="n">
        <x:v>55101.751289863</x:v>
      </x:c>
      <x:c r="L188" s="16" t="n">
        <x:v>111458.3101422466</x:v>
      </x:c>
      <x:c r="M188" s="16" t="n">
        <x:v>14303.6671333698</x:v>
      </x:c>
      <x:c r="N188" s="16" t="n">
        <x:v>7203.6631755616</x:v>
      </x:c>
      <x:c r="O188" s="16" t="n">
        <x:v>5371.981824</x:v>
      </x:c>
      <x:c r="P188" s="16" t="n">
        <x:v>5162.5421290959</x:v>
      </x:c>
      <x:c r="Q188" s="16" t="n">
        <x:v>9550.6672604932</x:v>
      </x:c>
      <x:c r="R188" s="16" t="n">
        <x:v>42423.9326290411</x:v>
      </x:c>
    </x:row>
    <x:row r="189">
      <x:c r="A189" s="15" t="n">
        <x:v>45778</x:v>
      </x:c>
      <x:c r="B189" s="16" t="n">
        <x:v>3078.3753205479</x:v>
      </x:c>
      <x:c r="C189" s="16" t="n">
        <x:v>164419.6570406576</x:v>
      </x:c>
      <x:c r="D189" s="16" t="n">
        <x:v>11215.7726474521</x:v>
      </x:c>
      <x:c r="E189" s="16" t="n">
        <x:v>1095.4098069041</x:v>
      </x:c>
      <x:c r="F189" s="16" t="n">
        <x:v>39812.797022685</x:v>
      </x:c>
      <x:c r="G189" s="16" t="n">
        <x:v>19671.4205139726</x:v>
      </x:c>
      <x:c r="H189" s="16" t="n">
        <x:v>8422.410520548</x:v>
      </x:c>
      <x:c r="I189" s="16" t="n">
        <x:v>3279.8147370959</x:v>
      </x:c>
      <x:c r="J189" s="16" t="n">
        <x:v>2392.242233863</x:v>
      </x:c>
      <x:c r="K189" s="16" t="n">
        <x:v>53437.3444370685</x:v>
      </x:c>
      <x:c r="L189" s="16" t="n">
        <x:v>106985.393408</x:v>
      </x:c>
      <x:c r="M189" s="16" t="n">
        <x:v>13065.903686137</x:v>
      </x:c>
      <x:c r="N189" s="16" t="n">
        <x:v>6950.3284939178</x:v>
      </x:c>
      <x:c r="O189" s="16" t="n">
        <x:v>5533.2163892603</x:v>
      </x:c>
      <x:c r="P189" s="16" t="n">
        <x:v>5098.6850226849</x:v>
      </x:c>
      <x:c r="Q189" s="16" t="n">
        <x:v>9823.2702106301</x:v>
      </x:c>
      <x:c r="R189" s="16" t="n">
        <x:v>40727.5609750137</x:v>
      </x:c>
    </x:row>
    <x:row r="190">
      <x:c r="A190" s="15" t="n">
        <x:v>45809</x:v>
      </x:c>
      <x:c r="B190" s="16" t="n">
        <x:v>2811.6540407233</x:v>
      </x:c>
      <x:c r="C190" s="16" t="n">
        <x:v>161370.5421276931</x:v>
      </x:c>
      <x:c r="D190" s="16" t="n">
        <x:v>11158.4257378192</x:v>
      </x:c>
      <x:c r="E190" s="16" t="n">
        <x:v>1125.1591622137</x:v>
      </x:c>
      <x:c r="F190" s="16" t="n">
        <x:v>40032.6156051288</x:v>
      </x:c>
      <x:c r="G190" s="16" t="n">
        <x:v>20141.2643778191</x:v>
      </x:c>
      <x:c r="H190" s="16" t="n">
        <x:v>8746.6556836822</x:v>
      </x:c>
      <x:c r="I190" s="16" t="n">
        <x:v>3191.2711809753</x:v>
      </x:c>
      <x:c r="J190" s="16" t="n">
        <x:v>2445.3431243397</x:v>
      </x:c>
      <x:c r="K190" s="16" t="n">
        <x:v>52935.1668613261</x:v>
      </x:c>
      <x:c r="L190" s="16" t="n">
        <x:v>105435.5148935013</x:v>
      </x:c>
      <x:c r="M190" s="16" t="n">
        <x:v>12460.6406585863</x:v>
      </x:c>
      <x:c r="N190" s="16" t="n">
        <x:v>7187.305216526</x:v>
      </x:c>
      <x:c r="O190" s="16" t="n">
        <x:v>5548.4694093151</x:v>
      </x:c>
      <x:c r="P190" s="16" t="n">
        <x:v>5168.6102391233</x:v>
      </x:c>
      <x:c r="Q190" s="16" t="n">
        <x:v>9993.7356484384</x:v>
      </x:c>
      <x:c r="R190" s="16" t="n">
        <x:v>41200.5938767123</x:v>
      </x:c>
    </x:row>
    <x:row r="191">
      <x:c r="A191" s="15" t="n">
        <x:v>45839</x:v>
      </x:c>
      <x:c r="B191" s="16" t="n">
        <x:v>1045.2906825644</x:v>
      </x:c>
      <x:c r="C191" s="16" t="n">
        <x:v>161575.7696995946</x:v>
      </x:c>
      <x:c r="D191" s="16" t="n">
        <x:v>10913.8848746959</x:v>
      </x:c>
      <x:c r="E191" s="16" t="n">
        <x:v>1124.9370513534</x:v>
      </x:c>
      <x:c r="F191" s="16" t="n">
        <x:v>40322.3057648219</x:v>
      </x:c>
      <x:c r="G191" s="16" t="n">
        <x:v>19534.342938652</x:v>
      </x:c>
      <x:c r="H191" s="16" t="n">
        <x:v>8766.7567714192</x:v>
      </x:c>
      <x:c r="I191" s="16" t="n">
        <x:v>3109.6391129425</x:v>
      </x:c>
      <x:c r="J191" s="16" t="n">
        <x:v>2401.9896179726</x:v>
      </x:c>
      <x:c r="K191" s="16" t="n">
        <x:v>50904.7996484822</x:v>
      </x:c>
      <x:c r="L191" s="16" t="n">
        <x:v>100516.9889927014</x:v>
      </x:c>
      <x:c r="M191" s="16" t="n">
        <x:v>11988.0406741918</x:v>
      </x:c>
      <x:c r="N191" s="16" t="n">
        <x:v>7432.5457482082</x:v>
      </x:c>
      <x:c r="O191" s="16" t="n">
        <x:v>5698.5131555069</x:v>
      </x:c>
      <x:c r="P191" s="16" t="n">
        <x:v>5252.9530915068</x:v>
      </x:c>
      <x:c r="Q191" s="16" t="n">
        <x:v>10000.6929365918</x:v>
      </x:c>
      <x:c r="R191" s="16" t="n">
        <x:v>40107.3481712438</x:v>
      </x:c>
    </x:row>
    <x:row r="192">
      <x:c r="A192" s="15" t="n">
        <x:v>45870</x:v>
      </x:c>
      <x:c r="B192" s="16" t="n">
        <x:v>147.9814640219</x:v>
      </x:c>
      <x:c r="C192" s="16" t="n">
        <x:v>163761.3362470575</x:v>
      </x:c>
      <x:c r="D192" s="16" t="n">
        <x:v>10865.3220018849</x:v>
      </x:c>
      <x:c r="E192" s="16" t="n">
        <x:v>1141.5647510795</x:v>
      </x:c>
      <x:c r="F192" s="16" t="n">
        <x:v>41010.3509640767</x:v>
      </x:c>
      <x:c r="G192" s="16" t="n">
        <x:v>19463.8372644822</x:v>
      </x:c>
      <x:c r="H192" s="16" t="n">
        <x:v>8975.2942118575</x:v>
      </x:c>
      <x:c r="I192" s="16" t="n">
        <x:v>3181.0051598027</x:v>
      </x:c>
      <x:c r="J192" s="16" t="n">
        <x:v>2460.2443816329</x:v>
      </x:c>
      <x:c r="K192" s="16" t="n">
        <x:v>51035.1546770191</x:v>
      </x:c>
      <x:c r="L192" s="16" t="n">
        <x:v>92060.8188514191</x:v>
      </x:c>
      <x:c r="M192" s="16" t="n">
        <x:v>11069.5911038247</x:v>
      </x:c>
      <x:c r="N192" s="16" t="n">
        <x:v>7779.9992048658</x:v>
      </x:c>
      <x:c r="O192" s="16" t="n">
        <x:v>5981.209061348</x:v>
      </x:c>
      <x:c r="P192" s="16" t="n">
        <x:v>5364.7076415123</x:v>
      </x:c>
      <x:c r="Q192" s="16" t="n">
        <x:v>10054.2488363836</x:v>
      </x:c>
      <x:c r="R192" s="16" t="n">
        <x:v>39242.4087225534</x:v>
      </x:c>
    </x:row>
    <x:row r="193">
      <x:c r="A193" s="15" t="n">
        <x:v>45901</x:v>
      </x:c>
      <x:c r="B193" s="16" t="n">
        <x:v>-541.9140251178</x:v>
      </x:c>
      <x:c r="C193" s="16" t="n">
        <x:v>163030.2083324494</x:v>
      </x:c>
      <x:c r="D193" s="16" t="n">
        <x:v>10913.6915336767</x:v>
      </x:c>
      <x:c r="E193" s="16" t="n">
        <x:v>1159.4529509699</x:v>
      </x:c>
      <x:c r="F193" s="16" t="n">
        <x:v>41218.9979805808</x:v>
      </x:c>
      <x:c r="G193" s="16" t="n">
        <x:v>17552.4023117151</x:v>
      </x:c>
      <x:c r="H193" s="16" t="n">
        <x:v>9088.7358200986</x:v>
      </x:c>
      <x:c r="I193" s="16" t="n">
        <x:v>4378.425965589</x:v>
      </x:c>
      <x:c r="J193" s="16" t="n">
        <x:v>2479.7160426959</x:v>
      </x:c>
      <x:c r="K193" s="16" t="n">
        <x:v>49642.2010787398</x:v>
      </x:c>
      <x:c r="L193" s="16" t="n">
        <x:v>93357.9385207233</x:v>
      </x:c>
      <x:c r="M193" s="16" t="n">
        <x:v>10958.4827535781</x:v>
      </x:c>
      <x:c r="N193" s="16" t="n">
        <x:v>8367.9688649644</x:v>
      </x:c>
      <x:c r="O193" s="16" t="n">
        <x:v>6472.7490433753</x:v>
      </x:c>
      <x:c r="P193" s="16" t="n">
        <x:v>5422.3369142356</x:v>
      </x:c>
      <x:c r="Q193" s="16" t="n">
        <x:v>9166.5614472767</x:v>
      </x:c>
      <x:c r="R193" s="16" t="n">
        <x:v>40423.6434200548</x:v>
      </x:c>
    </x:row>
    <x:row r="194">
      <x:c r="A194" s="15" t="n">
        <x:v>45931</x:v>
      </x:c>
      <x:c r="B194" s="16" t="n">
        <x:v>-809.4748240658</x:v>
      </x:c>
      <x:c r="C194" s="16" t="n">
        <x:v>166289.4976631233</x:v>
      </x:c>
      <x:c r="D194" s="16" t="n">
        <x:v>10696.0054710356</x:v>
      </x:c>
      <x:c r="E194" s="16" t="n">
        <x:v>1243.0589041096</x:v>
      </x:c>
      <x:c r="F194" s="16" t="n">
        <x:v>41481.0243233315</x:v>
      </x:c>
      <x:c r="G194" s="16" t="n">
        <x:v>17584.8553178302</x:v>
      </x:c>
      <x:c r="H194" s="16" t="n">
        <x:v>9244.7242667836</x:v>
      </x:c>
      <x:c r="I194" s="16" t="n">
        <x:v>4611.3672688219</x:v>
      </x:c>
      <x:c r="J194" s="16" t="n">
        <x:v>2546.0568911781</x:v>
      </x:c>
      <x:c r="K194" s="16" t="n">
        <x:v>52137.9445509479</x:v>
      </x:c>
      <x:c r="L194" s="16" t="n">
        <x:v>94695.8752459397</x:v>
      </x:c>
      <x:c r="M194" s="16" t="n">
        <x:v>11103.1622957589</x:v>
      </x:c>
      <x:c r="N194" s="16" t="n">
        <x:v>8475.6365426082</x:v>
      </x:c>
      <x:c r="O194" s="16" t="n">
        <x:v>6738.6258796712</x:v>
      </x:c>
      <x:c r="P194" s="16" t="n">
        <x:v>5529.5073348384</x:v>
      </x:c>
      <x:c r="Q194" s="16" t="n">
        <x:v>9331.3795003616</x:v>
      </x:c>
      <x:c r="R194" s="16" t="n">
        <x:v>42682.4989977425</x:v>
      </x:c>
    </x:row>
    <x:row r="195">
      <x:c r="A195" s="15" t="n">
        <x:v>45962</x:v>
      </x:c>
      <x:c r="B195" s="16" t="n">
        <x:v>-654.295826411</x:v>
      </x:c>
      <x:c r="C195" s="16" t="n">
        <x:v>168814.8888253371</x:v>
      </x:c>
      <x:c r="D195" s="16" t="n">
        <x:v>10822.9704539178</x:v>
      </x:c>
      <x:c r="E195" s="16" t="n">
        <x:v>1252.2574742795</x:v>
      </x:c>
      <x:c r="F195" s="16" t="n">
        <x:v>41707.5859775124</x:v>
      </x:c>
      <x:c r="G195" s="16" t="n">
        <x:v>17036.3472284055</x:v>
      </x:c>
      <x:c r="H195" s="16" t="n">
        <x:v>9027.7514059397</x:v>
      </x:c>
      <x:c r="I195" s="16" t="n">
        <x:v>4814.957087737</x:v>
      </x:c>
      <x:c r="J195" s="16" t="n">
        <x:v>2550.9497188822</x:v>
      </x:c>
      <x:c r="K195" s="16" t="n">
        <x:v>54111.9524387068</x:v>
      </x:c>
      <x:c r="L195" s="16" t="n">
        <x:v>87769.8706907178</x:v>
      </x:c>
      <x:c r="M195" s="16" t="n">
        <x:v>10536.1849473754</x:v>
      </x:c>
      <x:c r="N195" s="16" t="n">
        <x:v>8653.8654229479</x:v>
      </x:c>
      <x:c r="O195" s="16" t="n">
        <x:v>6987.4664602301</x:v>
      </x:c>
      <x:c r="P195" s="16" t="n">
        <x:v>5556.2445145425</x:v>
      </x:c>
      <x:c r="Q195" s="16" t="n">
        <x:v>9399.494252537</x:v>
      </x:c>
      <x:c r="R195" s="16" t="n">
        <x:v>39486.8512499726</x:v>
      </x:c>
    </x:row>
    <x:row r="196">
      <x:c r="A196" s="15" t="n">
        <x:v>45992</x:v>
      </x:c>
      <x:c r="B196" s="16" t="n">
        <x:v>-1170.4779905753</x:v>
      </x:c>
      <x:c r="C196" s="16" t="n">
        <x:v>170890.999808</x:v>
      </x:c>
      <x:c r="D196" s="16" t="n">
        <x:v>10934.009984</x:v>
      </x:c>
      <x:c r="E196" s="16" t="n">
        <x:v>1290.023008</x:v>
      </x:c>
      <x:c r="F196" s="16" t="n">
        <x:v>41986.800192</x:v>
      </x:c>
      <x:c r="G196" s="16" t="n">
        <x:v>17401.97376</x:v>
      </x:c>
      <x:c r="H196" s="16" t="n">
        <x:v>9079.429952</x:v>
      </x:c>
      <x:c r="I196" s="16" t="n">
        <x:v>4987.639936</x:v>
      </x:c>
      <x:c r="J196" s="16" t="n">
        <x:v>2688.169984</x:v>
      </x:c>
      <x:c r="K196" s="16" t="n">
        <x:v>53299.104032</x:v>
      </x:c>
      <x:c r="L196" s="16" t="n">
        <x:v>83489.19664</x:v>
      </x:c>
      <x:c r="M196" s="16" t="n">
        <x:v>9784.290048</x:v>
      </x:c>
      <x:c r="N196" s="16" t="n">
        <x:v>8810.216912</x:v>
      </x:c>
      <x:c r="O196" s="16" t="n">
        <x:v>6975.000064</x:v>
      </x:c>
      <x:c r="P196" s="16" t="n">
        <x:v>5650.749952</x:v>
      </x:c>
      <x:c r="Q196" s="16" t="n">
        <x:v>9346.262976</x:v>
      </x:c>
      <x:c r="R196" s="16" t="n">
        <x:v>45139.352928</x:v>
      </x:c>
    </x:row>
    <x:row r="197">
      <x:c r="A197" s="15" t="n">
        <x:v>46023</x:v>
      </x:c>
      <x:c r="B197" s="16" t="n">
        <x:v>-1152.9797225205</x:v>
      </x:c>
      <x:c r="C197" s="16" t="n">
        <x:v>171354.7122323286</x:v>
      </x:c>
      <x:c r="D197" s="16" t="n">
        <x:v>11093.3492216986</x:v>
      </x:c>
      <x:c r="E197" s="16" t="n">
        <x:v>1397.2173755616</x:v>
      </x:c>
      <x:c r="F197" s="16" t="n">
        <x:v>42158.9148151233</x:v>
      </x:c>
      <x:c r="G197" s="16" t="n">
        <x:v>17587.9913271233</x:v>
      </x:c>
      <x:c r="H197" s="16" t="n">
        <x:v>9056.2146130411</x:v>
      </x:c>
      <x:c r="I197" s="16" t="n">
        <x:v>5050.8053479452</x:v>
      </x:c>
      <x:c r="J197" s="16" t="n">
        <x:v>2685.8603791781</x:v>
      </x:c>
      <x:c r="K197" s="16" t="n">
        <x:v>56070.8504302465</x:v>
      </x:c>
      <x:c r="L197" s="16" t="n">
        <x:v>81230.3372756164</x:v>
      </x:c>
      <x:c r="M197" s="16" t="n">
        <x:v>8796.8197470685</x:v>
      </x:c>
      <x:c r="N197" s="16" t="n">
        <x:v>8598.3789115616</x:v>
      </x:c>
      <x:c r="O197" s="16" t="n">
        <x:v>8375.3677185753</x:v>
      </x:c>
      <x:c r="P197" s="16" t="n">
        <x:v>5692.0688166575</x:v>
      </x:c>
      <x:c r="Q197" s="16" t="n">
        <x:v>9475.9482862466</x:v>
      </x:c>
      <x:c r="R197" s="16" t="n">
        <x:v>47679.9541198905</x:v>
      </x:c>
    </x:row>
    <x:row r="198">
      <x:c r="A198" s="15" t="n">
        <x:v>46054</x:v>
      </x:c>
      <x:c r="B198" s="16" t="n">
        <x:v>-1908.5828748274</x:v>
      </x:c>
      <x:c r="C198" s="16" t="n">
        <x:v>173295.7855463452</x:v>
      </x:c>
      <x:c r="D198" s="16" t="n">
        <x:v>11186.272671211</x:v>
      </x:c>
      <x:c r="E198" s="16" t="n">
        <x:v>1453.2025829699</x:v>
      </x:c>
      <x:c r="F198" s="16" t="n">
        <x:v>42685.6992752219</x:v>
      </x:c>
      <x:c r="G198" s="16" t="n">
        <x:v>17526.4098120767</x:v>
      </x:c>
      <x:c r="H198" s="16" t="n">
        <x:v>8846.5403106192</x:v>
      </x:c>
      <x:c r="I198" s="16" t="n">
        <x:v>5121.4786495123</x:v>
      </x:c>
      <x:c r="J198" s="16" t="n">
        <x:v>2597.3013842411</x:v>
      </x:c>
      <x:c r="K198" s="16" t="n">
        <x:v>55275.785951474</x:v>
      </x:c>
      <x:c r="L198" s="16" t="n">
        <x:v>89410.1106971179</x:v>
      </x:c>
      <x:c r="M198" s="16" t="n">
        <x:v>9416.5113379068</x:v>
      </x:c>
      <x:c r="N198" s="16" t="n">
        <x:v>8860.817401863</x:v>
      </x:c>
      <x:c r="O198" s="16" t="n">
        <x:v>8534.1998164164</x:v>
      </x:c>
      <x:c r="P198" s="16" t="n">
        <x:v>5778.1319964055</x:v>
      </x:c>
      <x:c r="Q198" s="16" t="n">
        <x:v>9690.7177615781</x:v>
      </x:c>
      <x:c r="R198" s="16" t="n">
        <x:v>47920.0913441315</x:v>
      </x:c>
    </x:row>
    <x:row r="199">
      <x:c r="A199" s="15" t="n">
        <x:v>46082</x:v>
      </x:c>
      <x:c r="B199" s="16" t="n">
        <x:v>761.618962411</x:v>
      </x:c>
      <x:c r="C199" s="16" t="n">
        <x:v>173675.3986349589</x:v>
      </x:c>
      <x:c r="D199" s="16" t="n">
        <x:v>11398.7846592877</x:v>
      </x:c>
      <x:c r="E199" s="16" t="n">
        <x:v>1470.4354844931</x:v>
      </x:c>
      <x:c r="F199" s="16" t="n">
        <x:v>43132.5356510685</x:v>
      </x:c>
      <x:c r="G199" s="16" t="n">
        <x:v>17527.0805036713</x:v>
      </x:c>
      <x:c r="H199" s="16" t="n">
        <x:v>8635.5175636164</x:v>
      </x:c>
      <x:c r="I199" s="16" t="n">
        <x:v>5220.8743311781</x:v>
      </x:c>
      <x:c r="J199" s="16" t="n">
        <x:v>2661.4362441644</x:v>
      </x:c>
      <x:c r="K199" s="16" t="n">
        <x:v>56844.8390207123</x:v>
      </x:c>
      <x:c r="L199" s="16" t="n">
        <x:v>128051.9916988491</x:v>
      </x:c>
      <x:c r="M199" s="16" t="n">
        <x:v>9816.5227765479</x:v>
      </x:c>
      <x:c r="N199" s="16" t="n">
        <x:v>9425.0672149041</x:v>
      </x:c>
      <x:c r="O199" s="16" t="n">
        <x:v>9035.5549808219</x:v>
      </x:c>
      <x:c r="P199" s="16" t="n">
        <x:v>5987.2421873973</x:v>
      </x:c>
      <x:c r="Q199" s="16" t="n">
        <x:v>9968.1705486027</x:v>
      </x:c>
      <x:c r="R199" s="16" t="n">
        <x:v>49443.7385170411</x:v>
      </x:c>
    </x:row>
    <x:row r="200">
      <x:c r="A200" s="15" t="n">
        <x:v>46113</x:v>
      </x:c>
      <x:c r="B200" s="16" t="n">
        <x:v>764.8536626849</x:v>
      </x:c>
      <x:c r="C200" s="16" t="n">
        <x:v>175578.5252190685</x:v>
      </x:c>
      <x:c r="D200" s="16" t="n">
        <x:v>11455.768460274</x:v>
      </x:c>
      <x:c r="E200" s="16" t="n">
        <x:v>1470.6107932055</x:v>
      </x:c>
      <x:c r="F200" s="16" t="n">
        <x:v>43757.369408</x:v>
      </x:c>
      <x:c r="G200" s="16" t="n">
        <x:v>16747.614144</x:v>
      </x:c>
      <x:c r="H200" s="16" t="n">
        <x:v>8797.2032600548</x:v>
      </x:c>
      <x:c r="I200" s="16" t="n">
        <x:v>5336.8982154521</x:v>
      </x:c>
      <x:c r="J200" s="16" t="n">
        <x:v>2685.8658016438</x:v>
      </x:c>
      <x:c r="K200" s="16" t="n">
        <x:v>51821.4290257534</x:v>
      </x:c>
      <x:c r="L200" s="16" t="n">
        <x:v>143129.8738744106</x:v>
      </x:c>
      <x:c r="M200" s="16" t="n">
        <x:v>9920.3916449315</x:v>
      </x:c>
      <x:c r="N200" s="16" t="n">
        <x:v>9514.0656166575</x:v>
      </x:c>
      <x:c r="O200" s="16" t="n">
        <x:v>9256.2960973151</x:v>
      </x:c>
      <x:c r="P200" s="16" t="n">
        <x:v>6103.4130831781</x:v>
      </x:c>
      <x:c r="Q200" s="16" t="n">
        <x:v>10004.6130520548</x:v>
      </x:c>
      <x:c r="R200" s="16" t="n">
        <x:v>52366.1800723288</x:v>
      </x:c>
    </x:row>
    <x:row r="201">
      <x:c r="A201" s="15" t="n">
        <x:v>46143</x:v>
      </x:c>
      <x:c r="B201" s="16" t="n">
        <x:v>746.0814283397</x:v>
      </x:c>
      <x:c r="C201" s="16" t="n">
        <x:v>174778.5919670356</x:v>
      </x:c>
      <x:c r="D201" s="16" t="n">
        <x:v>10946.4959838685</x:v>
      </x:c>
      <x:c r="E201" s="16" t="n">
        <x:v>1459.6235504219</x:v>
      </x:c>
      <x:c r="F201" s="16" t="n">
        <x:v>43765.3310253589</x:v>
      </x:c>
      <x:c r="G201" s="16" t="n">
        <x:v>17921.385657863</x:v>
      </x:c>
      <x:c r="H201" s="16" t="n">
        <x:v>8730.3995421808</x:v>
      </x:c>
      <x:c r="I201" s="16" t="n">
        <x:v>5218.1040461151</x:v>
      </x:c>
      <x:c r="J201" s="16" t="n">
        <x:v>2813.1891257863</x:v>
      </x:c>
      <x:c r="K201" s="16" t="n">
        <x:v>51470.8016675068</x:v>
      </x:c>
      <x:c r="L201" s="16" t="n">
        <x:v>145662.6837430358</x:v>
      </x:c>
      <x:c r="M201" s="16" t="n">
        <x:v>10126.8494798904</x:v>
      </x:c>
      <x:c r="N201" s="16" t="n">
        <x:v>9496.2870347397</x:v>
      </x:c>
      <x:c r="O201" s="16" t="n">
        <x:v>9173.8409650849</x:v>
      </x:c>
      <x:c r="P201" s="16" t="n">
        <x:v>6092.8744532164</x:v>
      </x:c>
      <x:c r="Q201" s="16" t="n">
        <x:v>10212.0401756932</x:v>
      </x:c>
      <x:c r="R201" s="16" t="n">
        <x:v>52970.3624419946</x:v>
      </x:c>
    </x:row>
    <x:row r="202">
      <x:c r="A202" s="15" t="n">
        <x:v>46174</x:v>
      </x:c>
      <x:c r="B202" s="16" t="n">
        <x:v>695.4402531945</x:v>
      </x:c>
      <x:c r="C202" s="16" t="n">
        <x:v>176392.0638400878</x:v>
      </x:c>
      <x:c r="D202" s="16" t="n">
        <x:v>11177.577683463</x:v>
      </x:c>
      <x:c r="E202" s="16" t="n">
        <x:v>1436.3071950904</x:v>
      </x:c>
      <x:c r="F202" s="16" t="n">
        <x:v>44106.2554238246</x:v>
      </x:c>
      <x:c r="G202" s="16" t="n">
        <x:v>17955.1506940493</x:v>
      </x:c>
      <x:c r="H202" s="16" t="n">
        <x:v>8930.4562816</x:v>
      </x:c>
      <x:c r="I202" s="16" t="n">
        <x:v>5111.125657074</x:v>
      </x:c>
      <x:c r="J202" s="16" t="n">
        <x:v>2889.337144811</x:v>
      </x:c>
      <x:c r="K202" s="16" t="n">
        <x:v>54582.9943587178</x:v>
      </x:c>
      <x:c r="L202" s="16" t="n">
        <x:v>142129.0006391232</x:v>
      </x:c>
      <x:c r="M202" s="16" t="n">
        <x:v>10689.1504748712</x:v>
      </x:c>
      <x:c r="N202" s="16" t="n">
        <x:v>9451.0816905644</x:v>
      </x:c>
      <x:c r="O202" s="16" t="n">
        <x:v>9245.1505912986</x:v>
      </x:c>
      <x:c r="P202" s="16" t="n">
        <x:v>6089.9824454137</x:v>
      </x:c>
      <x:c r="Q202" s="16" t="n">
        <x:v>10158.9886474521</x:v>
      </x:c>
      <x:c r="R202" s="16" t="n">
        <x:v>38889.0760490082</x:v>
      </x:c>
    </x:row>
    <x:row r="203">
      <x:c r="A203" s="15" t="n">
        <x:v>46204</x:v>
      </x:c>
      <x:c r="B203" s="16" t="n">
        <x:v>704.2851259616</x:v>
      </x:c>
      <x:c r="C203" s="16" t="n">
        <x:v>176588.986379222</x:v>
      </x:c>
      <x:c r="D203" s="16" t="n">
        <x:v>11476.3174526247</x:v>
      </x:c>
      <x:c r="E203" s="16" t="n">
        <x:v>1443.1974172932</x:v>
      </x:c>
      <x:c r="F203" s="16" t="n">
        <x:v>44233.0048554082</x:v>
      </x:c>
      <x:c r="G203" s="16" t="n">
        <x:v>18373.9189546082</x:v>
      </x:c>
      <x:c r="H203" s="16" t="n">
        <x:v>9155.1775224986</x:v>
      </x:c>
      <x:c r="I203" s="16" t="n">
        <x:v>5144.2270003726</x:v>
      </x:c>
      <x:c r="J203" s="16" t="n">
        <x:v>2934.6766215014</x:v>
      </x:c>
      <x:c r="K203" s="16" t="n">
        <x:v>52518.8543964931</x:v>
      </x:c>
      <x:c r="L203" s="16" t="n">
        <x:v>143758.5063816772</x:v>
      </x:c>
      <x:c r="M203" s="16" t="n">
        <x:v>10123.4914952767</x:v>
      </x:c>
      <x:c r="N203" s="16" t="n">
        <x:v>9259.9066960658</x:v>
      </x:c>
      <x:c r="O203" s="16" t="n">
        <x:v>9277.0619721644</x:v>
      </x:c>
      <x:c r="P203" s="16" t="n">
        <x:v>5984.3049996274</x:v>
      </x:c>
      <x:c r="Q203" s="16" t="n">
        <x:v>10217.9176748712</x:v>
      </x:c>
      <x:c r="R203" s="16" t="n">
        <x:v>38534.6532995506</x:v>
      </x:c>
    </x:row>
  </x:sheetData>
  <x:mergeCells>
    <x:mergeCell ref="A1:R1"/>
    <x:mergeCell ref="A2:R2"/>
  </x:mergeCells>
  <x:pageMargins left="0.7" right="0.7" top="0.75" bottom="0.75" header="0.3" footer="0.3"/>
  <x:tableParts count="1">
    <x:tablePart xmlns:r="http://schemas.openxmlformats.org/officeDocument/2006/relationships" r:id="R2a54b5352219445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</x:cols>
  <x:sheetData>
    <x:row r="1" ht="27" customHeight="1">
      <x:c r="A1" s="3" t="str">
        <x:v>Earnings setoriais — índice base 100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2" ht="30" customHeight="1">
      <x:c r="A2" s="7" t="str">
        <x:v>Cada setor vale 100 na primeira observação válida da própria série. A evolução usa o nível setorial e pode refletir mudanças de cobertura.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</x:row>
    <x:row r="4" ht="31" customHeight="1">
      <x:c r="A4" s="11" t="str">
        <x:v>Mês</x:v>
      </x:c>
      <x:c r="B4" s="11" t="str">
        <x:v>Agribusiness</x:v>
      </x:c>
      <x:c r="C4" s="11" t="str">
        <x:v>Banks</x:v>
      </x:c>
      <x:c r="D4" s="11" t="str">
        <x:v>Capital Goods</x:v>
      </x:c>
      <x:c r="E4" s="11" t="str">
        <x:v>Education</x:v>
      </x:c>
      <x:c r="F4" s="11" t="str">
        <x:v>Financials Non-Banks</x:v>
      </x:c>
      <x:c r="G4" s="11" t="str">
        <x:v>Food &amp; Beverages</x:v>
      </x:c>
      <x:c r="H4" s="11" t="str">
        <x:v>Health Care</x:v>
      </x:c>
      <x:c r="I4" s="11" t="str">
        <x:v>Homebuilders</x:v>
      </x:c>
      <x:c r="J4" s="11" t="str">
        <x:v>Income Properties</x:v>
      </x:c>
      <x:c r="K4" s="11" t="str">
        <x:v>Metals &amp; Mining</x:v>
      </x:c>
      <x:c r="L4" s="11" t="str">
        <x:v>Oil, Gas &amp; Petrochemicals</x:v>
      </x:c>
      <x:c r="M4" s="11" t="str">
        <x:v>Pulp &amp; Paper</x:v>
      </x:c>
      <x:c r="N4" s="11" t="str">
        <x:v>Retail</x:v>
      </x:c>
      <x:c r="O4" s="11" t="str">
        <x:v>Sanitation</x:v>
      </x:c>
      <x:c r="P4" s="11" t="str">
        <x:v>TMT</x:v>
      </x:c>
      <x:c r="Q4" s="11" t="str">
        <x:v>Transportation</x:v>
      </x:c>
      <x:c r="R4" s="11" t="str">
        <x:v>Utilities &amp; Energy</x:v>
      </x:c>
    </x:row>
    <x:row r="5">
      <x:c r="A5" s="21" t="n">
        <x:f>'Nivel Setorial'!A5</x:f>
        <x:v>40179</x:v>
      </x:c>
      <x:c r="B5" s="22" t="str">
        <x:f>IF('Nivel Setorial'!B5="","",'Nivel Setorial'!B5/'Nivel Setorial'!B$45*100)</x:f>
      </x:c>
      <x:c r="C5" s="22" t="n">
        <x:f>IF('Nivel Setorial'!C5="","",'Nivel Setorial'!C5/'Nivel Setorial'!C$5*100)</x:f>
        <x:v>100</x:v>
      </x:c>
      <x:c r="D5" s="22" t="n">
        <x:f>IF('Nivel Setorial'!D5="","",'Nivel Setorial'!D5/'Nivel Setorial'!D$5*100)</x:f>
        <x:v>100</x:v>
      </x:c>
      <x:c r="E5" s="22" t="str">
        <x:f>IF('Nivel Setorial'!E5="","",'Nivel Setorial'!E5/'Nivel Setorial'!E$49*100)</x:f>
      </x:c>
      <x:c r="F5" s="22" t="n">
        <x:f>IF('Nivel Setorial'!F5="","",'Nivel Setorial'!F5/'Nivel Setorial'!F$5*100)</x:f>
        <x:v>100</x:v>
      </x:c>
      <x:c r="G5" s="22" t="n">
        <x:f>IF('Nivel Setorial'!G5="","",'Nivel Setorial'!G5/'Nivel Setorial'!G$5*100)</x:f>
        <x:v>100</x:v>
      </x:c>
      <x:c r="H5" s="22" t="str">
        <x:f>IF('Nivel Setorial'!H5="","",'Nivel Setorial'!H5/'Nivel Setorial'!H$17*100)</x:f>
      </x:c>
      <x:c r="I5" s="22" t="n">
        <x:f>IF('Nivel Setorial'!I5="","",'Nivel Setorial'!I5/'Nivel Setorial'!I$5*100)</x:f>
        <x:v>100</x:v>
      </x:c>
      <x:c r="J5" s="22" t="str">
        <x:f>IF('Nivel Setorial'!J5="","",'Nivel Setorial'!J5/'Nivel Setorial'!J$25*100)</x:f>
      </x:c>
      <x:c r="K5" s="22" t="n">
        <x:f>IF('Nivel Setorial'!K5="","",'Nivel Setorial'!K5/'Nivel Setorial'!K$5*100)</x:f>
        <x:v>100</x:v>
      </x:c>
      <x:c r="L5" s="22" t="n">
        <x:f>IF('Nivel Setorial'!L5="","",'Nivel Setorial'!L5/'Nivel Setorial'!L$5*100)</x:f>
        <x:v>100</x:v>
      </x:c>
      <x:c r="M5" s="22" t="n">
        <x:f>IF('Nivel Setorial'!M5="","",'Nivel Setorial'!M5/'Nivel Setorial'!M$5*100)</x:f>
        <x:v>100</x:v>
      </x:c>
      <x:c r="N5" s="22" t="n">
        <x:f>IF('Nivel Setorial'!N5="","",'Nivel Setorial'!N5/'Nivel Setorial'!N$5*100)</x:f>
        <x:v>100</x:v>
      </x:c>
      <x:c r="O5" s="22" t="n">
        <x:f>IF('Nivel Setorial'!O5="","",'Nivel Setorial'!O5/'Nivel Setorial'!O$5*100)</x:f>
        <x:v>100</x:v>
      </x:c>
      <x:c r="P5" s="22" t="n">
        <x:f>IF('Nivel Setorial'!P5="","",'Nivel Setorial'!P5/'Nivel Setorial'!P$5*100)</x:f>
        <x:v>100</x:v>
      </x:c>
      <x:c r="Q5" s="22" t="n">
        <x:f>IF('Nivel Setorial'!Q5="","",'Nivel Setorial'!Q5/'Nivel Setorial'!Q$5*100)</x:f>
        <x:v>100</x:v>
      </x:c>
      <x:c r="R5" s="22" t="n">
        <x:f>IF('Nivel Setorial'!R5="","",'Nivel Setorial'!R5/'Nivel Setorial'!R$5*100)</x:f>
        <x:v>100</x:v>
      </x:c>
    </x:row>
    <x:row r="6">
      <x:c r="A6" s="21" t="n">
        <x:f>'Nivel Setorial'!A6</x:f>
        <x:v>40210</x:v>
      </x:c>
      <x:c r="B6" s="22" t="str">
        <x:f>IF('Nivel Setorial'!B6="","",'Nivel Setorial'!B6/'Nivel Setorial'!B$45*100)</x:f>
      </x:c>
      <x:c r="C6" s="22" t="n">
        <x:f>IF('Nivel Setorial'!C6="","",'Nivel Setorial'!C6/'Nivel Setorial'!C$5*100)</x:f>
        <x:v>102.75310555877763</x:v>
      </x:c>
      <x:c r="D6" s="22" t="n">
        <x:f>IF('Nivel Setorial'!D6="","",'Nivel Setorial'!D6/'Nivel Setorial'!D$5*100)</x:f>
        <x:v>91.69671440489411</x:v>
      </x:c>
      <x:c r="E6" s="22" t="str">
        <x:f>IF('Nivel Setorial'!E6="","",'Nivel Setorial'!E6/'Nivel Setorial'!E$49*100)</x:f>
      </x:c>
      <x:c r="F6" s="22" t="n">
        <x:f>IF('Nivel Setorial'!F6="","",'Nivel Setorial'!F6/'Nivel Setorial'!F$5*100)</x:f>
        <x:v>101.94113508309755</x:v>
      </x:c>
      <x:c r="G6" s="22" t="n">
        <x:f>IF('Nivel Setorial'!G6="","",'Nivel Setorial'!G6/'Nivel Setorial'!G$5*100)</x:f>
        <x:v>101.27235185639071</x:v>
      </x:c>
      <x:c r="H6" s="22" t="str">
        <x:f>IF('Nivel Setorial'!H6="","",'Nivel Setorial'!H6/'Nivel Setorial'!H$17*100)</x:f>
      </x:c>
      <x:c r="I6" s="22" t="n">
        <x:f>IF('Nivel Setorial'!I6="","",'Nivel Setorial'!I6/'Nivel Setorial'!I$5*100)</x:f>
        <x:v>105.49837419943793</x:v>
      </x:c>
      <x:c r="J6" s="22" t="str">
        <x:f>IF('Nivel Setorial'!J6="","",'Nivel Setorial'!J6/'Nivel Setorial'!J$25*100)</x:f>
      </x:c>
      <x:c r="K6" s="22" t="n">
        <x:f>IF('Nivel Setorial'!K6="","",'Nivel Setorial'!K6/'Nivel Setorial'!K$5*100)</x:f>
        <x:v>102.05904245524044</x:v>
      </x:c>
      <x:c r="L6" s="22" t="n">
        <x:f>IF('Nivel Setorial'!L6="","",'Nivel Setorial'!L6/'Nivel Setorial'!L$5*100)</x:f>
        <x:v>97.59524752632592</x:v>
      </x:c>
      <x:c r="M6" s="22" t="n">
        <x:f>IF('Nivel Setorial'!M6="","",'Nivel Setorial'!M6/'Nivel Setorial'!M$5*100)</x:f>
        <x:v>94.08153317944868</x:v>
      </x:c>
      <x:c r="N6" s="22" t="n">
        <x:f>IF('Nivel Setorial'!N6="","",'Nivel Setorial'!N6/'Nivel Setorial'!N$5*100)</x:f>
        <x:v>101.7748145958926</x:v>
      </x:c>
      <x:c r="O6" s="22" t="n">
        <x:f>IF('Nivel Setorial'!O6="","",'Nivel Setorial'!O6/'Nivel Setorial'!O$5*100)</x:f>
        <x:v>100.37581461826217</x:v>
      </x:c>
      <x:c r="P6" s="22" t="n">
        <x:f>IF('Nivel Setorial'!P6="","",'Nivel Setorial'!P6/'Nivel Setorial'!P$5*100)</x:f>
        <x:v>102.54407266809147</x:v>
      </x:c>
      <x:c r="Q6" s="22" t="n">
        <x:f>IF('Nivel Setorial'!Q6="","",'Nivel Setorial'!Q6/'Nivel Setorial'!Q$5*100)</x:f>
        <x:v>100.40033479467199</x:v>
      </x:c>
      <x:c r="R6" s="22" t="n">
        <x:f>IF('Nivel Setorial'!R6="","",'Nivel Setorial'!R6/'Nivel Setorial'!R$5*100)</x:f>
        <x:v>97.54711582508835</x:v>
      </x:c>
    </x:row>
    <x:row r="7">
      <x:c r="A7" s="21" t="n">
        <x:f>'Nivel Setorial'!A7</x:f>
        <x:v>40238</x:v>
      </x:c>
      <x:c r="B7" s="22" t="str">
        <x:f>IF('Nivel Setorial'!B7="","",'Nivel Setorial'!B7/'Nivel Setorial'!B$45*100)</x:f>
      </x:c>
      <x:c r="C7" s="22" t="n">
        <x:f>IF('Nivel Setorial'!C7="","",'Nivel Setorial'!C7/'Nivel Setorial'!C$5*100)</x:f>
        <x:v>104.54002145965514</x:v>
      </x:c>
      <x:c r="D7" s="22" t="n">
        <x:f>IF('Nivel Setorial'!D7="","",'Nivel Setorial'!D7/'Nivel Setorial'!D$5*100)</x:f>
        <x:v>90.88651904178403</x:v>
      </x:c>
      <x:c r="E7" s="22" t="str">
        <x:f>IF('Nivel Setorial'!E7="","",'Nivel Setorial'!E7/'Nivel Setorial'!E$49*100)</x:f>
      </x:c>
      <x:c r="F7" s="22" t="n">
        <x:f>IF('Nivel Setorial'!F7="","",'Nivel Setorial'!F7/'Nivel Setorial'!F$5*100)</x:f>
        <x:v>103.49460825773795</x:v>
      </x:c>
      <x:c r="G7" s="22" t="n">
        <x:f>IF('Nivel Setorial'!G7="","",'Nivel Setorial'!G7/'Nivel Setorial'!G$5*100)</x:f>
        <x:v>101.63735725230816</x:v>
      </x:c>
      <x:c r="H7" s="22" t="str">
        <x:f>IF('Nivel Setorial'!H7="","",'Nivel Setorial'!H7/'Nivel Setorial'!H$17*100)</x:f>
      </x:c>
      <x:c r="I7" s="22" t="n">
        <x:f>IF('Nivel Setorial'!I7="","",'Nivel Setorial'!I7/'Nivel Setorial'!I$5*100)</x:f>
        <x:v>108.4982181802082</x:v>
      </x:c>
      <x:c r="J7" s="22" t="str">
        <x:f>IF('Nivel Setorial'!J7="","",'Nivel Setorial'!J7/'Nivel Setorial'!J$25*100)</x:f>
      </x:c>
      <x:c r="K7" s="22" t="n">
        <x:f>IF('Nivel Setorial'!K7="","",'Nivel Setorial'!K7/'Nivel Setorial'!K$5*100)</x:f>
        <x:v>122.26366230511461</x:v>
      </x:c>
      <x:c r="L7" s="22" t="n">
        <x:f>IF('Nivel Setorial'!L7="","",'Nivel Setorial'!L7/'Nivel Setorial'!L$5*100)</x:f>
        <x:v>100.0399295682999</x:v>
      </x:c>
      <x:c r="M7" s="22" t="n">
        <x:f>IF('Nivel Setorial'!M7="","",'Nivel Setorial'!M7/'Nivel Setorial'!M$5*100)</x:f>
        <x:v>98.87651691648828</x:v>
      </x:c>
      <x:c r="N7" s="22" t="n">
        <x:f>IF('Nivel Setorial'!N7="","",'Nivel Setorial'!N7/'Nivel Setorial'!N$5*100)</x:f>
        <x:v>104.28462343448888</x:v>
      </x:c>
      <x:c r="O7" s="22" t="n">
        <x:f>IF('Nivel Setorial'!O7="","",'Nivel Setorial'!O7/'Nivel Setorial'!O$5*100)</x:f>
        <x:v>100.11854090189556</x:v>
      </x:c>
      <x:c r="P7" s="22" t="n">
        <x:f>IF('Nivel Setorial'!P7="","",'Nivel Setorial'!P7/'Nivel Setorial'!P$5*100)</x:f>
        <x:v>102.14867174120764</x:v>
      </x:c>
      <x:c r="Q7" s="22" t="n">
        <x:f>IF('Nivel Setorial'!Q7="","",'Nivel Setorial'!Q7/'Nivel Setorial'!Q$5*100)</x:f>
        <x:v>93.08162042585042</x:v>
      </x:c>
      <x:c r="R7" s="22" t="n">
        <x:f>IF('Nivel Setorial'!R7="","",'Nivel Setorial'!R7/'Nivel Setorial'!R$5*100)</x:f>
        <x:v>106.7719485166009</x:v>
      </x:c>
    </x:row>
    <x:row r="8">
      <x:c r="A8" s="21" t="n">
        <x:f>'Nivel Setorial'!A8</x:f>
        <x:v>40269</x:v>
      </x:c>
      <x:c r="B8" s="22" t="str">
        <x:f>IF('Nivel Setorial'!B8="","",'Nivel Setorial'!B8/'Nivel Setorial'!B$45*100)</x:f>
      </x:c>
      <x:c r="C8" s="22" t="n">
        <x:f>IF('Nivel Setorial'!C8="","",'Nivel Setorial'!C8/'Nivel Setorial'!C$5*100)</x:f>
        <x:v>105.09585551076557</x:v>
      </x:c>
      <x:c r="D8" s="22" t="n">
        <x:f>IF('Nivel Setorial'!D8="","",'Nivel Setorial'!D8/'Nivel Setorial'!D$5*100)</x:f>
        <x:v>88.90659792717618</x:v>
      </x:c>
      <x:c r="E8" s="22" t="str">
        <x:f>IF('Nivel Setorial'!E8="","",'Nivel Setorial'!E8/'Nivel Setorial'!E$49*100)</x:f>
      </x:c>
      <x:c r="F8" s="22" t="n">
        <x:f>IF('Nivel Setorial'!F8="","",'Nivel Setorial'!F8/'Nivel Setorial'!F$5*100)</x:f>
        <x:v>98.50626988363646</x:v>
      </x:c>
      <x:c r="G8" s="22" t="n">
        <x:f>IF('Nivel Setorial'!G8="","",'Nivel Setorial'!G8/'Nivel Setorial'!G$5*100)</x:f>
        <x:v>102.48262768938348</x:v>
      </x:c>
      <x:c r="H8" s="22" t="str">
        <x:f>IF('Nivel Setorial'!H8="","",'Nivel Setorial'!H8/'Nivel Setorial'!H$17*100)</x:f>
      </x:c>
      <x:c r="I8" s="22" t="n">
        <x:f>IF('Nivel Setorial'!I8="","",'Nivel Setorial'!I8/'Nivel Setorial'!I$5*100)</x:f>
        <x:v>110.74792854609315</x:v>
      </x:c>
      <x:c r="J8" s="22" t="str">
        <x:f>IF('Nivel Setorial'!J8="","",'Nivel Setorial'!J8/'Nivel Setorial'!J$25*100)</x:f>
      </x:c>
      <x:c r="K8" s="22" t="n">
        <x:f>IF('Nivel Setorial'!K8="","",'Nivel Setorial'!K8/'Nivel Setorial'!K$5*100)</x:f>
        <x:v>135.62163956099</x:v>
      </x:c>
      <x:c r="L8" s="22" t="n">
        <x:f>IF('Nivel Setorial'!L8="","",'Nivel Setorial'!L8/'Nivel Setorial'!L$5*100)</x:f>
        <x:v>102.74538186890925</x:v>
      </x:c>
      <x:c r="M8" s="22" t="n">
        <x:f>IF('Nivel Setorial'!M8="","",'Nivel Setorial'!M8/'Nivel Setorial'!M$5*100)</x:f>
        <x:v>99.15217751717779</x:v>
      </x:c>
      <x:c r="N8" s="22" t="n">
        <x:f>IF('Nivel Setorial'!N8="","",'Nivel Setorial'!N8/'Nivel Setorial'!N$5*100)</x:f>
        <x:v>106.28101273597458</x:v>
      </x:c>
      <x:c r="O8" s="22" t="n">
        <x:f>IF('Nivel Setorial'!O8="","",'Nivel Setorial'!O8/'Nivel Setorial'!O$5*100)</x:f>
        <x:v>105.08757205369072</x:v>
      </x:c>
      <x:c r="P8" s="22" t="n">
        <x:f>IF('Nivel Setorial'!P8="","",'Nivel Setorial'!P8/'Nivel Setorial'!P$5*100)</x:f>
        <x:v>104.32460678694018</x:v>
      </x:c>
      <x:c r="Q8" s="22" t="n">
        <x:f>IF('Nivel Setorial'!Q8="","",'Nivel Setorial'!Q8/'Nivel Setorial'!Q$5*100)</x:f>
        <x:v>91.57853788818406</x:v>
      </x:c>
      <x:c r="R8" s="22" t="n">
        <x:f>IF('Nivel Setorial'!R8="","",'Nivel Setorial'!R8/'Nivel Setorial'!R$5*100)</x:f>
        <x:v>103.76374220070986</x:v>
      </x:c>
    </x:row>
    <x:row r="9">
      <x:c r="A9" s="21" t="n">
        <x:f>'Nivel Setorial'!A9</x:f>
        <x:v>40299</x:v>
      </x:c>
      <x:c r="B9" s="22" t="str">
        <x:f>IF('Nivel Setorial'!B9="","",'Nivel Setorial'!B9/'Nivel Setorial'!B$45*100)</x:f>
      </x:c>
      <x:c r="C9" s="22" t="n">
        <x:f>IF('Nivel Setorial'!C9="","",'Nivel Setorial'!C9/'Nivel Setorial'!C$5*100)</x:f>
        <x:v>108.99657545908268</x:v>
      </x:c>
      <x:c r="D9" s="22" t="n">
        <x:f>IF('Nivel Setorial'!D9="","",'Nivel Setorial'!D9/'Nivel Setorial'!D$5*100)</x:f>
        <x:v>92.69747795423714</x:v>
      </x:c>
      <x:c r="E9" s="22" t="str">
        <x:f>IF('Nivel Setorial'!E9="","",'Nivel Setorial'!E9/'Nivel Setorial'!E$49*100)</x:f>
      </x:c>
      <x:c r="F9" s="22" t="n">
        <x:f>IF('Nivel Setorial'!F9="","",'Nivel Setorial'!F9/'Nivel Setorial'!F$5*100)</x:f>
        <x:v>124.46220815848257</x:v>
      </x:c>
      <x:c r="G9" s="22" t="n">
        <x:f>IF('Nivel Setorial'!G9="","",'Nivel Setorial'!G9/'Nivel Setorial'!G$5*100)</x:f>
        <x:v>103.42342172437627</x:v>
      </x:c>
      <x:c r="H9" s="22" t="str">
        <x:f>IF('Nivel Setorial'!H9="","",'Nivel Setorial'!H9/'Nivel Setorial'!H$17*100)</x:f>
      </x:c>
      <x:c r="I9" s="22" t="n">
        <x:f>IF('Nivel Setorial'!I9="","",'Nivel Setorial'!I9/'Nivel Setorial'!I$5*100)</x:f>
        <x:v>124.1316998806613</x:v>
      </x:c>
      <x:c r="J9" s="22" t="str">
        <x:f>IF('Nivel Setorial'!J9="","",'Nivel Setorial'!J9/'Nivel Setorial'!J$25*100)</x:f>
      </x:c>
      <x:c r="K9" s="22" t="n">
        <x:f>IF('Nivel Setorial'!K9="","",'Nivel Setorial'!K9/'Nivel Setorial'!K$5*100)</x:f>
        <x:v>152.00580314077797</x:v>
      </x:c>
      <x:c r="L9" s="22" t="n">
        <x:f>IF('Nivel Setorial'!L9="","",'Nivel Setorial'!L9/'Nivel Setorial'!L$5*100)</x:f>
        <x:v>104.44256293690191</x:v>
      </x:c>
      <x:c r="M9" s="22" t="n">
        <x:f>IF('Nivel Setorial'!M9="","",'Nivel Setorial'!M9/'Nivel Setorial'!M$5*100)</x:f>
        <x:v>104.39901159088795</x:v>
      </x:c>
      <x:c r="N9" s="22" t="n">
        <x:f>IF('Nivel Setorial'!N9="","",'Nivel Setorial'!N9/'Nivel Setorial'!N$5*100)</x:f>
        <x:v>108.47932452509379</x:v>
      </x:c>
      <x:c r="O9" s="22" t="n">
        <x:f>IF('Nivel Setorial'!O9="","",'Nivel Setorial'!O9/'Nivel Setorial'!O$5*100)</x:f>
        <x:v>101.66600236329721</x:v>
      </x:c>
      <x:c r="P9" s="22" t="n">
        <x:f>IF('Nivel Setorial'!P9="","",'Nivel Setorial'!P9/'Nivel Setorial'!P$5*100)</x:f>
        <x:v>103.39895908681831</x:v>
      </x:c>
      <x:c r="Q9" s="22" t="n">
        <x:f>IF('Nivel Setorial'!Q9="","",'Nivel Setorial'!Q9/'Nivel Setorial'!Q$5*100)</x:f>
        <x:v>88.60730513427879</x:v>
      </x:c>
      <x:c r="R9" s="22" t="n">
        <x:f>IF('Nivel Setorial'!R9="","",'Nivel Setorial'!R9/'Nivel Setorial'!R$5*100)</x:f>
        <x:v>104.72801778305383</x:v>
      </x:c>
    </x:row>
    <x:row r="10">
      <x:c r="A10" s="21" t="n">
        <x:f>'Nivel Setorial'!A10</x:f>
        <x:v>40330</x:v>
      </x:c>
      <x:c r="B10" s="22" t="str">
        <x:f>IF('Nivel Setorial'!B10="","",'Nivel Setorial'!B10/'Nivel Setorial'!B$45*100)</x:f>
      </x:c>
      <x:c r="C10" s="22" t="n">
        <x:f>IF('Nivel Setorial'!C10="","",'Nivel Setorial'!C10/'Nivel Setorial'!C$5*100)</x:f>
        <x:v>110.26403224323265</x:v>
      </x:c>
      <x:c r="D10" s="22" t="n">
        <x:f>IF('Nivel Setorial'!D10="","",'Nivel Setorial'!D10/'Nivel Setorial'!D$5*100)</x:f>
        <x:v>98.3574826278923</x:v>
      </x:c>
      <x:c r="E10" s="22" t="str">
        <x:f>IF('Nivel Setorial'!E10="","",'Nivel Setorial'!E10/'Nivel Setorial'!E$49*100)</x:f>
      </x:c>
      <x:c r="F10" s="22" t="n">
        <x:f>IF('Nivel Setorial'!F10="","",'Nivel Setorial'!F10/'Nivel Setorial'!F$5*100)</x:f>
        <x:v>126.34896522711352</x:v>
      </x:c>
      <x:c r="G10" s="22" t="n">
        <x:f>IF('Nivel Setorial'!G10="","",'Nivel Setorial'!G10/'Nivel Setorial'!G$5*100)</x:f>
        <x:v>104.80052379811131</x:v>
      </x:c>
      <x:c r="H10" s="22" t="str">
        <x:f>IF('Nivel Setorial'!H10="","",'Nivel Setorial'!H10/'Nivel Setorial'!H$17*100)</x:f>
      </x:c>
      <x:c r="I10" s="22" t="n">
        <x:f>IF('Nivel Setorial'!I10="","",'Nivel Setorial'!I10/'Nivel Setorial'!I$5*100)</x:f>
        <x:v>117.40691556827893</x:v>
      </x:c>
      <x:c r="J10" s="22" t="str">
        <x:f>IF('Nivel Setorial'!J10="","",'Nivel Setorial'!J10/'Nivel Setorial'!J$25*100)</x:f>
      </x:c>
      <x:c r="K10" s="22" t="n">
        <x:f>IF('Nivel Setorial'!K10="","",'Nivel Setorial'!K10/'Nivel Setorial'!K$5*100)</x:f>
        <x:v>159.0412691927398</x:v>
      </x:c>
      <x:c r="L10" s="22" t="n">
        <x:f>IF('Nivel Setorial'!L10="","",'Nivel Setorial'!L10/'Nivel Setorial'!L$5*100)</x:f>
        <x:v>106.21965252353289</x:v>
      </x:c>
      <x:c r="M10" s="22" t="n">
        <x:f>IF('Nivel Setorial'!M10="","",'Nivel Setorial'!M10/'Nivel Setorial'!M$5*100)</x:f>
        <x:v>100.65646974756548</x:v>
      </x:c>
      <x:c r="N10" s="22" t="n">
        <x:f>IF('Nivel Setorial'!N10="","",'Nivel Setorial'!N10/'Nivel Setorial'!N$5*100)</x:f>
        <x:v>108.25026346704468</x:v>
      </x:c>
      <x:c r="O10" s="22" t="n">
        <x:f>IF('Nivel Setorial'!O10="","",'Nivel Setorial'!O10/'Nivel Setorial'!O$5*100)</x:f>
        <x:v>106.7081845162759</x:v>
      </x:c>
      <x:c r="P10" s="22" t="n">
        <x:f>IF('Nivel Setorial'!P10="","",'Nivel Setorial'!P10/'Nivel Setorial'!P$5*100)</x:f>
        <x:v>123.76497005114089</x:v>
      </x:c>
      <x:c r="Q10" s="22" t="n">
        <x:f>IF('Nivel Setorial'!Q10="","",'Nivel Setorial'!Q10/'Nivel Setorial'!Q$5*100)</x:f>
        <x:v>89.77105613319347</x:v>
      </x:c>
      <x:c r="R10" s="22" t="n">
        <x:f>IF('Nivel Setorial'!R10="","",'Nivel Setorial'!R10/'Nivel Setorial'!R$5*100)</x:f>
        <x:v>101.77459481541042</x:v>
      </x:c>
    </x:row>
    <x:row r="11">
      <x:c r="A11" s="21" t="n">
        <x:f>'Nivel Setorial'!A11</x:f>
        <x:v>40360</x:v>
      </x:c>
      <x:c r="B11" s="22" t="str">
        <x:f>IF('Nivel Setorial'!B11="","",'Nivel Setorial'!B11/'Nivel Setorial'!B$45*100)</x:f>
      </x:c>
      <x:c r="C11" s="22" t="n">
        <x:f>IF('Nivel Setorial'!C11="","",'Nivel Setorial'!C11/'Nivel Setorial'!C$5*100)</x:f>
        <x:v>112.56962408300784</x:v>
      </x:c>
      <x:c r="D11" s="22" t="n">
        <x:f>IF('Nivel Setorial'!D11="","",'Nivel Setorial'!D11/'Nivel Setorial'!D$5*100)</x:f>
        <x:v>100.80871023400032</x:v>
      </x:c>
      <x:c r="E11" s="22" t="str">
        <x:f>IF('Nivel Setorial'!E11="","",'Nivel Setorial'!E11/'Nivel Setorial'!E$49*100)</x:f>
      </x:c>
      <x:c r="F11" s="22" t="n">
        <x:f>IF('Nivel Setorial'!F11="","",'Nivel Setorial'!F11/'Nivel Setorial'!F$5*100)</x:f>
        <x:v>128.80724221188856</x:v>
      </x:c>
      <x:c r="G11" s="22" t="n">
        <x:f>IF('Nivel Setorial'!G11="","",'Nivel Setorial'!G11/'Nivel Setorial'!G$5*100)</x:f>
        <x:v>108.30308061270098</x:v>
      </x:c>
      <x:c r="H11" s="22" t="str">
        <x:f>IF('Nivel Setorial'!H11="","",'Nivel Setorial'!H11/'Nivel Setorial'!H$17*100)</x:f>
      </x:c>
      <x:c r="I11" s="22" t="n">
        <x:f>IF('Nivel Setorial'!I11="","",'Nivel Setorial'!I11/'Nivel Setorial'!I$5*100)</x:f>
        <x:v>123.10812113098129</x:v>
      </x:c>
      <x:c r="J11" s="22" t="str">
        <x:f>IF('Nivel Setorial'!J11="","",'Nivel Setorial'!J11/'Nivel Setorial'!J$25*100)</x:f>
      </x:c>
      <x:c r="K11" s="22" t="n">
        <x:f>IF('Nivel Setorial'!K11="","",'Nivel Setorial'!K11/'Nivel Setorial'!K$5*100)</x:f>
        <x:v>164.1757158547486</x:v>
      </x:c>
      <x:c r="L11" s="22" t="n">
        <x:f>IF('Nivel Setorial'!L11="","",'Nivel Setorial'!L11/'Nivel Setorial'!L$5*100)</x:f>
        <x:v>107.90401579780497</x:v>
      </x:c>
      <x:c r="M11" s="22" t="n">
        <x:f>IF('Nivel Setorial'!M11="","",'Nivel Setorial'!M11/'Nivel Setorial'!M$5*100)</x:f>
        <x:v>97.84813560156978</x:v>
      </x:c>
      <x:c r="N11" s="22" t="n">
        <x:f>IF('Nivel Setorial'!N11="","",'Nivel Setorial'!N11/'Nivel Setorial'!N$5*100)</x:f>
        <x:v>108.72336297799082</x:v>
      </x:c>
      <x:c r="O11" s="22" t="n">
        <x:f>IF('Nivel Setorial'!O11="","",'Nivel Setorial'!O11/'Nivel Setorial'!O$5*100)</x:f>
        <x:v>107.18615552441291</x:v>
      </x:c>
      <x:c r="P11" s="22" t="n">
        <x:f>IF('Nivel Setorial'!P11="","",'Nivel Setorial'!P11/'Nivel Setorial'!P$5*100)</x:f>
        <x:v>120.01236930718105</x:v>
      </x:c>
      <x:c r="Q11" s="22" t="n">
        <x:f>IF('Nivel Setorial'!Q11="","",'Nivel Setorial'!Q11/'Nivel Setorial'!Q$5*100)</x:f>
        <x:v>91.66585272621191</x:v>
      </x:c>
      <x:c r="R11" s="22" t="n">
        <x:f>IF('Nivel Setorial'!R11="","",'Nivel Setorial'!R11/'Nivel Setorial'!R$5*100)</x:f>
        <x:v>106.76272260671522</x:v>
      </x:c>
    </x:row>
    <x:row r="12">
      <x:c r="A12" s="21" t="n">
        <x:f>'Nivel Setorial'!A12</x:f>
        <x:v>40391</x:v>
      </x:c>
      <x:c r="B12" s="22" t="str">
        <x:f>IF('Nivel Setorial'!B12="","",'Nivel Setorial'!B12/'Nivel Setorial'!B$45*100)</x:f>
      </x:c>
      <x:c r="C12" s="22" t="n">
        <x:f>IF('Nivel Setorial'!C12="","",'Nivel Setorial'!C12/'Nivel Setorial'!C$5*100)</x:f>
        <x:v>114.64603715157327</x:v>
      </x:c>
      <x:c r="D12" s="22" t="n">
        <x:f>IF('Nivel Setorial'!D12="","",'Nivel Setorial'!D12/'Nivel Setorial'!D$5*100)</x:f>
        <x:v>110.08863273135927</x:v>
      </x:c>
      <x:c r="E12" s="22" t="str">
        <x:f>IF('Nivel Setorial'!E12="","",'Nivel Setorial'!E12/'Nivel Setorial'!E$49*100)</x:f>
      </x:c>
      <x:c r="F12" s="22" t="n">
        <x:f>IF('Nivel Setorial'!F12="","",'Nivel Setorial'!F12/'Nivel Setorial'!F$5*100)</x:f>
        <x:v>128.63934298005398</x:v>
      </x:c>
      <x:c r="G12" s="22" t="n">
        <x:f>IF('Nivel Setorial'!G12="","",'Nivel Setorial'!G12/'Nivel Setorial'!G$5*100)</x:f>
        <x:v>110.15973889545734</x:v>
      </x:c>
      <x:c r="H12" s="22" t="str">
        <x:f>IF('Nivel Setorial'!H12="","",'Nivel Setorial'!H12/'Nivel Setorial'!H$17*100)</x:f>
      </x:c>
      <x:c r="I12" s="22" t="n">
        <x:f>IF('Nivel Setorial'!I12="","",'Nivel Setorial'!I12/'Nivel Setorial'!I$5*100)</x:f>
        <x:v>128.5023276519021</x:v>
      </x:c>
      <x:c r="J12" s="22" t="str">
        <x:f>IF('Nivel Setorial'!J12="","",'Nivel Setorial'!J12/'Nivel Setorial'!J$25*100)</x:f>
      </x:c>
      <x:c r="K12" s="22" t="n">
        <x:f>IF('Nivel Setorial'!K12="","",'Nivel Setorial'!K12/'Nivel Setorial'!K$5*100)</x:f>
        <x:v>174.7212864616782</x:v>
      </x:c>
      <x:c r="L12" s="22" t="n">
        <x:f>IF('Nivel Setorial'!L12="","",'Nivel Setorial'!L12/'Nivel Setorial'!L$5*100)</x:f>
        <x:v>108.86686587774945</x:v>
      </x:c>
      <x:c r="M12" s="22" t="n">
        <x:f>IF('Nivel Setorial'!M12="","",'Nivel Setorial'!M12/'Nivel Setorial'!M$5*100)</x:f>
        <x:v>94.25940732020048</x:v>
      </x:c>
      <x:c r="N12" s="22" t="n">
        <x:f>IF('Nivel Setorial'!N12="","",'Nivel Setorial'!N12/'Nivel Setorial'!N$5*100)</x:f>
        <x:v>110.55115559423791</x:v>
      </x:c>
      <x:c r="O12" s="22" t="n">
        <x:f>IF('Nivel Setorial'!O12="","",'Nivel Setorial'!O12/'Nivel Setorial'!O$5*100)</x:f>
        <x:v>108.48651226560315</x:v>
      </x:c>
      <x:c r="P12" s="22" t="n">
        <x:f>IF('Nivel Setorial'!P12="","",'Nivel Setorial'!P12/'Nivel Setorial'!P$5*100)</x:f>
        <x:v>125.10084459602126</x:v>
      </x:c>
      <x:c r="Q12" s="22" t="n">
        <x:f>IF('Nivel Setorial'!Q12="","",'Nivel Setorial'!Q12/'Nivel Setorial'!Q$5*100)</x:f>
        <x:v>90.47899904448713</x:v>
      </x:c>
      <x:c r="R12" s="22" t="n">
        <x:f>IF('Nivel Setorial'!R12="","",'Nivel Setorial'!R12/'Nivel Setorial'!R$5*100)</x:f>
        <x:v>106.75509157182861</x:v>
      </x:c>
    </x:row>
    <x:row r="13">
      <x:c r="A13" s="21" t="n">
        <x:f>'Nivel Setorial'!A13</x:f>
        <x:v>40422</x:v>
      </x:c>
      <x:c r="B13" s="22" t="str">
        <x:f>IF('Nivel Setorial'!B13="","",'Nivel Setorial'!B13/'Nivel Setorial'!B$45*100)</x:f>
      </x:c>
      <x:c r="C13" s="22" t="n">
        <x:f>IF('Nivel Setorial'!C13="","",'Nivel Setorial'!C13/'Nivel Setorial'!C$5*100)</x:f>
        <x:v>144.01259048669678</x:v>
      </x:c>
      <x:c r="D13" s="22" t="n">
        <x:f>IF('Nivel Setorial'!D13="","",'Nivel Setorial'!D13/'Nivel Setorial'!D$5*100)</x:f>
        <x:v>112.2372914724844</x:v>
      </x:c>
      <x:c r="E13" s="22" t="str">
        <x:f>IF('Nivel Setorial'!E13="","",'Nivel Setorial'!E13/'Nivel Setorial'!E$49*100)</x:f>
      </x:c>
      <x:c r="F13" s="22" t="n">
        <x:f>IF('Nivel Setorial'!F13="","",'Nivel Setorial'!F13/'Nivel Setorial'!F$5*100)</x:f>
        <x:v>130.78436825790257</x:v>
      </x:c>
      <x:c r="G13" s="22" t="n">
        <x:f>IF('Nivel Setorial'!G13="","",'Nivel Setorial'!G13/'Nivel Setorial'!G$5*100)</x:f>
        <x:v>130.63153342485262</x:v>
      </x:c>
      <x:c r="H13" s="22" t="str">
        <x:f>IF('Nivel Setorial'!H13="","",'Nivel Setorial'!H13/'Nivel Setorial'!H$17*100)</x:f>
      </x:c>
      <x:c r="I13" s="22" t="n">
        <x:f>IF('Nivel Setorial'!I13="","",'Nivel Setorial'!I13/'Nivel Setorial'!I$5*100)</x:f>
        <x:v>150.12353801131098</x:v>
      </x:c>
      <x:c r="J13" s="22" t="str">
        <x:f>IF('Nivel Setorial'!J13="","",'Nivel Setorial'!J13/'Nivel Setorial'!J$25*100)</x:f>
      </x:c>
      <x:c r="K13" s="22" t="n">
        <x:f>IF('Nivel Setorial'!K13="","",'Nivel Setorial'!K13/'Nivel Setorial'!K$5*100)</x:f>
        <x:v>174.82219896876194</x:v>
      </x:c>
      <x:c r="L13" s="22" t="n">
        <x:f>IF('Nivel Setorial'!L13="","",'Nivel Setorial'!L13/'Nivel Setorial'!L$5*100)</x:f>
        <x:v>110.08316980159927</x:v>
      </x:c>
      <x:c r="M13" s="22" t="n">
        <x:f>IF('Nivel Setorial'!M13="","",'Nivel Setorial'!M13/'Nivel Setorial'!M$5*100)</x:f>
        <x:v>97.18816692329635</x:v>
      </x:c>
      <x:c r="N13" s="22" t="n">
        <x:f>IF('Nivel Setorial'!N13="","",'Nivel Setorial'!N13/'Nivel Setorial'!N$5*100)</x:f>
        <x:v>108.69439627635953</x:v>
      </x:c>
      <x:c r="O13" s="22" t="n">
        <x:f>IF('Nivel Setorial'!O13="","",'Nivel Setorial'!O13/'Nivel Setorial'!O$5*100)</x:f>
        <x:v>108.70220515381415</x:v>
      </x:c>
      <x:c r="P13" s="22" t="n">
        <x:f>IF('Nivel Setorial'!P13="","",'Nivel Setorial'!P13/'Nivel Setorial'!P$5*100)</x:f>
        <x:v>131.36248545533812</x:v>
      </x:c>
      <x:c r="Q13" s="22" t="n">
        <x:f>IF('Nivel Setorial'!Q13="","",'Nivel Setorial'!Q13/'Nivel Setorial'!Q$5*100)</x:f>
        <x:v>94.73468965895496</x:v>
      </x:c>
      <x:c r="R13" s="22" t="n">
        <x:f>IF('Nivel Setorial'!R13="","",'Nivel Setorial'!R13/'Nivel Setorial'!R$5*100)</x:f>
        <x:v>108.43230948734188</x:v>
      </x:c>
    </x:row>
    <x:row r="14">
      <x:c r="A14" s="21" t="n">
        <x:f>'Nivel Setorial'!A14</x:f>
        <x:v>40452</x:v>
      </x:c>
      <x:c r="B14" s="22" t="str">
        <x:f>IF('Nivel Setorial'!B14="","",'Nivel Setorial'!B14/'Nivel Setorial'!B$45*100)</x:f>
      </x:c>
      <x:c r="C14" s="22" t="n">
        <x:f>IF('Nivel Setorial'!C14="","",'Nivel Setorial'!C14/'Nivel Setorial'!C$5*100)</x:f>
        <x:v>146.14053998094792</x:v>
      </x:c>
      <x:c r="D14" s="22" t="n">
        <x:f>IF('Nivel Setorial'!D14="","",'Nivel Setorial'!D14/'Nivel Setorial'!D$5*100)</x:f>
        <x:v>114.92159539257646</x:v>
      </x:c>
      <x:c r="E14" s="22" t="str">
        <x:f>IF('Nivel Setorial'!E14="","",'Nivel Setorial'!E14/'Nivel Setorial'!E$49*100)</x:f>
      </x:c>
      <x:c r="F14" s="22" t="n">
        <x:f>IF('Nivel Setorial'!F14="","",'Nivel Setorial'!F14/'Nivel Setorial'!F$5*100)</x:f>
        <x:v>130.50521829179476</x:v>
      </x:c>
      <x:c r="G14" s="22" t="n">
        <x:f>IF('Nivel Setorial'!G14="","",'Nivel Setorial'!G14/'Nivel Setorial'!G$5*100)</x:f>
        <x:v>132.55389873566872</x:v>
      </x:c>
      <x:c r="H14" s="22" t="str">
        <x:f>IF('Nivel Setorial'!H14="","",'Nivel Setorial'!H14/'Nivel Setorial'!H$17*100)</x:f>
      </x:c>
      <x:c r="I14" s="22" t="n">
        <x:f>IF('Nivel Setorial'!I14="","",'Nivel Setorial'!I14/'Nivel Setorial'!I$5*100)</x:f>
        <x:v>156.66679847945838</x:v>
      </x:c>
      <x:c r="J14" s="22" t="str">
        <x:f>IF('Nivel Setorial'!J14="","",'Nivel Setorial'!J14/'Nivel Setorial'!J$25*100)</x:f>
      </x:c>
      <x:c r="K14" s="22" t="n">
        <x:f>IF('Nivel Setorial'!K14="","",'Nivel Setorial'!K14/'Nivel Setorial'!K$5*100)</x:f>
        <x:v>174.07844032783208</x:v>
      </x:c>
      <x:c r="L14" s="22" t="n">
        <x:f>IF('Nivel Setorial'!L14="","",'Nivel Setorial'!L14/'Nivel Setorial'!L$5*100)</x:f>
        <x:v>113.11771223924234</x:v>
      </x:c>
      <x:c r="M14" s="22" t="n">
        <x:f>IF('Nivel Setorial'!M14="","",'Nivel Setorial'!M14/'Nivel Setorial'!M$5*100)</x:f>
        <x:v>89.76661948662148</x:v>
      </x:c>
      <x:c r="N14" s="22" t="n">
        <x:f>IF('Nivel Setorial'!N14="","",'Nivel Setorial'!N14/'Nivel Setorial'!N$5*100)</x:f>
        <x:v>110.57246155238654</x:v>
      </x:c>
      <x:c r="O14" s="22" t="n">
        <x:f>IF('Nivel Setorial'!O14="","",'Nivel Setorial'!O14/'Nivel Setorial'!O$5*100)</x:f>
        <x:v>111.52546518567641</x:v>
      </x:c>
      <x:c r="P14" s="22" t="n">
        <x:f>IF('Nivel Setorial'!P14="","",'Nivel Setorial'!P14/'Nivel Setorial'!P$5*100)</x:f>
        <x:v>126.6589110291336</x:v>
      </x:c>
      <x:c r="Q14" s="22" t="n">
        <x:f>IF('Nivel Setorial'!Q14="","",'Nivel Setorial'!Q14/'Nivel Setorial'!Q$5*100)</x:f>
        <x:v>100.36127362574261</x:v>
      </x:c>
      <x:c r="R14" s="22" t="n">
        <x:f>IF('Nivel Setorial'!R14="","",'Nivel Setorial'!R14/'Nivel Setorial'!R$5*100)</x:f>
        <x:v>109.3440504888192</x:v>
      </x:c>
    </x:row>
    <x:row r="15">
      <x:c r="A15" s="21" t="n">
        <x:f>'Nivel Setorial'!A15</x:f>
        <x:v>40483</x:v>
      </x:c>
      <x:c r="B15" s="22" t="str">
        <x:f>IF('Nivel Setorial'!B15="","",'Nivel Setorial'!B15/'Nivel Setorial'!B$45*100)</x:f>
      </x:c>
      <x:c r="C15" s="22" t="n">
        <x:f>IF('Nivel Setorial'!C15="","",'Nivel Setorial'!C15/'Nivel Setorial'!C$5*100)</x:f>
        <x:v>149.40538060914201</x:v>
      </x:c>
      <x:c r="D15" s="22" t="n">
        <x:f>IF('Nivel Setorial'!D15="","",'Nivel Setorial'!D15/'Nivel Setorial'!D$5*100)</x:f>
        <x:v>115.88137364076543</x:v>
      </x:c>
      <x:c r="E15" s="22" t="str">
        <x:f>IF('Nivel Setorial'!E15="","",'Nivel Setorial'!E15/'Nivel Setorial'!E$49*100)</x:f>
      </x:c>
      <x:c r="F15" s="22" t="n">
        <x:f>IF('Nivel Setorial'!F15="","",'Nivel Setorial'!F15/'Nivel Setorial'!F$5*100)</x:f>
        <x:v>130.99142701615312</x:v>
      </x:c>
      <x:c r="G15" s="22" t="n">
        <x:f>IF('Nivel Setorial'!G15="","",'Nivel Setorial'!G15/'Nivel Setorial'!G$5*100)</x:f>
        <x:v>137.88561085174612</x:v>
      </x:c>
      <x:c r="H15" s="22" t="str">
        <x:f>IF('Nivel Setorial'!H15="","",'Nivel Setorial'!H15/'Nivel Setorial'!H$17*100)</x:f>
      </x:c>
      <x:c r="I15" s="22" t="n">
        <x:f>IF('Nivel Setorial'!I15="","",'Nivel Setorial'!I15/'Nivel Setorial'!I$5*100)</x:f>
        <x:v>159.45774192428587</x:v>
      </x:c>
      <x:c r="J15" s="22" t="str">
        <x:f>IF('Nivel Setorial'!J15="","",'Nivel Setorial'!J15/'Nivel Setorial'!J$25*100)</x:f>
      </x:c>
      <x:c r="K15" s="22" t="n">
        <x:f>IF('Nivel Setorial'!K15="","",'Nivel Setorial'!K15/'Nivel Setorial'!K$5*100)</x:f>
        <x:v>179.17234243776434</x:v>
      </x:c>
      <x:c r="L15" s="22" t="n">
        <x:f>IF('Nivel Setorial'!L15="","",'Nivel Setorial'!L15/'Nivel Setorial'!L$5*100)</x:f>
        <x:v>114.05606181465615</x:v>
      </x:c>
      <x:c r="M15" s="22" t="n">
        <x:f>IF('Nivel Setorial'!M15="","",'Nivel Setorial'!M15/'Nivel Setorial'!M$5*100)</x:f>
        <x:v>86.34933149339884</x:v>
      </x:c>
      <x:c r="N15" s="22" t="n">
        <x:f>IF('Nivel Setorial'!N15="","",'Nivel Setorial'!N15/'Nivel Setorial'!N$5*100)</x:f>
        <x:v>113.54988222072357</x:v>
      </x:c>
      <x:c r="O15" s="22" t="n">
        <x:f>IF('Nivel Setorial'!O15="","",'Nivel Setorial'!O15/'Nivel Setorial'!O$5*100)</x:f>
        <x:v>114.7064662550968</x:v>
      </x:c>
      <x:c r="P15" s="22" t="n">
        <x:f>IF('Nivel Setorial'!P15="","",'Nivel Setorial'!P15/'Nivel Setorial'!P$5*100)</x:f>
        <x:v>130.441131010699</x:v>
      </x:c>
      <x:c r="Q15" s="22" t="n">
        <x:f>IF('Nivel Setorial'!Q15="","",'Nivel Setorial'!Q15/'Nivel Setorial'!Q$5*100)</x:f>
        <x:v>101.79681415110988</x:v>
      </x:c>
      <x:c r="R15" s="22" t="n">
        <x:f>IF('Nivel Setorial'!R15="","",'Nivel Setorial'!R15/'Nivel Setorial'!R$5*100)</x:f>
        <x:v>111.00854361197028</x:v>
      </x:c>
    </x:row>
    <x:row r="16">
      <x:c r="A16" s="21" t="n">
        <x:f>'Nivel Setorial'!A16</x:f>
        <x:v>40513</x:v>
      </x:c>
      <x:c r="B16" s="22" t="str">
        <x:f>IF('Nivel Setorial'!B16="","",'Nivel Setorial'!B16/'Nivel Setorial'!B$45*100)</x:f>
      </x:c>
      <x:c r="C16" s="22" t="n">
        <x:f>IF('Nivel Setorial'!C16="","",'Nivel Setorial'!C16/'Nivel Setorial'!C$5*100)</x:f>
        <x:v>150.6939332622483</x:v>
      </x:c>
      <x:c r="D16" s="22" t="n">
        <x:f>IF('Nivel Setorial'!D16="","",'Nivel Setorial'!D16/'Nivel Setorial'!D$5*100)</x:f>
        <x:v>118.21475599722655</x:v>
      </x:c>
      <x:c r="E16" s="22" t="str">
        <x:f>IF('Nivel Setorial'!E16="","",'Nivel Setorial'!E16/'Nivel Setorial'!E$49*100)</x:f>
      </x:c>
      <x:c r="F16" s="22" t="n">
        <x:f>IF('Nivel Setorial'!F16="","",'Nivel Setorial'!F16/'Nivel Setorial'!F$5*100)</x:f>
        <x:v>131.9824502451044</x:v>
      </x:c>
      <x:c r="G16" s="22" t="n">
        <x:f>IF('Nivel Setorial'!G16="","",'Nivel Setorial'!G16/'Nivel Setorial'!G$5*100)</x:f>
        <x:v>140.74942400994414</x:v>
      </x:c>
      <x:c r="H16" s="22" t="str">
        <x:f>IF('Nivel Setorial'!H16="","",'Nivel Setorial'!H16/'Nivel Setorial'!H$17*100)</x:f>
      </x:c>
      <x:c r="I16" s="22" t="n">
        <x:f>IF('Nivel Setorial'!I16="","",'Nivel Setorial'!I16/'Nivel Setorial'!I$5*100)</x:f>
        <x:v>165.1383738442457</x:v>
      </x:c>
      <x:c r="J16" s="22" t="str">
        <x:f>IF('Nivel Setorial'!J16="","",'Nivel Setorial'!J16/'Nivel Setorial'!J$25*100)</x:f>
      </x:c>
      <x:c r="K16" s="22" t="n">
        <x:f>IF('Nivel Setorial'!K16="","",'Nivel Setorial'!K16/'Nivel Setorial'!K$5*100)</x:f>
        <x:v>181.95685704971106</x:v>
      </x:c>
      <x:c r="L16" s="22" t="n">
        <x:f>IF('Nivel Setorial'!L16="","",'Nivel Setorial'!L16/'Nivel Setorial'!L$5*100)</x:f>
        <x:v>118.10435215451503</x:v>
      </x:c>
      <x:c r="M16" s="22" t="n">
        <x:f>IF('Nivel Setorial'!M16="","",'Nivel Setorial'!M16/'Nivel Setorial'!M$5*100)</x:f>
        <x:v>80.94471698031694</x:v>
      </x:c>
      <x:c r="N16" s="22" t="n">
        <x:f>IF('Nivel Setorial'!N16="","",'Nivel Setorial'!N16/'Nivel Setorial'!N$5*100)</x:f>
        <x:v>115.5573555566555</x:v>
      </x:c>
      <x:c r="O16" s="22" t="n">
        <x:f>IF('Nivel Setorial'!O16="","",'Nivel Setorial'!O16/'Nivel Setorial'!O$5*100)</x:f>
        <x:v>115.3097397492633</x:v>
      </x:c>
      <x:c r="P16" s="22" t="n">
        <x:f>IF('Nivel Setorial'!P16="","",'Nivel Setorial'!P16/'Nivel Setorial'!P$5*100)</x:f>
        <x:v>134.18560463764146</x:v>
      </x:c>
      <x:c r="Q16" s="22" t="n">
        <x:f>IF('Nivel Setorial'!Q16="","",'Nivel Setorial'!Q16/'Nivel Setorial'!Q$5*100)</x:f>
        <x:v>104.4494061138133</x:v>
      </x:c>
      <x:c r="R16" s="22" t="n">
        <x:f>IF('Nivel Setorial'!R16="","",'Nivel Setorial'!R16/'Nivel Setorial'!R$5*100)</x:f>
        <x:v>115.84673741504336</x:v>
      </x:c>
    </x:row>
    <x:row r="17">
      <x:c r="A17" s="21" t="n">
        <x:f>'Nivel Setorial'!A17</x:f>
        <x:v>40544</x:v>
      </x:c>
      <x:c r="B17" s="22" t="str">
        <x:f>IF('Nivel Setorial'!B17="","",'Nivel Setorial'!B17/'Nivel Setorial'!B$45*100)</x:f>
      </x:c>
      <x:c r="C17" s="22" t="n">
        <x:f>IF('Nivel Setorial'!C17="","",'Nivel Setorial'!C17/'Nivel Setorial'!C$5*100)</x:f>
        <x:v>154.13773317499792</x:v>
      </x:c>
      <x:c r="D17" s="22" t="n">
        <x:f>IF('Nivel Setorial'!D17="","",'Nivel Setorial'!D17/'Nivel Setorial'!D$5*100)</x:f>
        <x:v>120.12795745675679</x:v>
      </x:c>
      <x:c r="E17" s="22" t="str">
        <x:f>IF('Nivel Setorial'!E17="","",'Nivel Setorial'!E17/'Nivel Setorial'!E$49*100)</x:f>
      </x:c>
      <x:c r="F17" s="22" t="n">
        <x:f>IF('Nivel Setorial'!F17="","",'Nivel Setorial'!F17/'Nivel Setorial'!F$5*100)</x:f>
        <x:v>133.35419345049846</x:v>
      </x:c>
      <x:c r="G17" s="22" t="n">
        <x:f>IF('Nivel Setorial'!G17="","",'Nivel Setorial'!G17/'Nivel Setorial'!G$5*100)</x:f>
        <x:v>143.0051727121086</x:v>
      </x:c>
      <x:c r="H17" s="22" t="n">
        <x:f>IF('Nivel Setorial'!H17="","",'Nivel Setorial'!H17/'Nivel Setorial'!H$17*100)</x:f>
        <x:v>100</x:v>
      </x:c>
      <x:c r="I17" s="22" t="n">
        <x:f>IF('Nivel Setorial'!I17="","",'Nivel Setorial'!I17/'Nivel Setorial'!I$5*100)</x:f>
        <x:v>169.60344699785014</x:v>
      </x:c>
      <x:c r="J17" s="22" t="str">
        <x:f>IF('Nivel Setorial'!J17="","",'Nivel Setorial'!J17/'Nivel Setorial'!J$25*100)</x:f>
      </x:c>
      <x:c r="K17" s="22" t="n">
        <x:f>IF('Nivel Setorial'!K17="","",'Nivel Setorial'!K17/'Nivel Setorial'!K$5*100)</x:f>
        <x:v>177.36067058481652</x:v>
      </x:c>
      <x:c r="L17" s="22" t="n">
        <x:f>IF('Nivel Setorial'!L17="","",'Nivel Setorial'!L17/'Nivel Setorial'!L$5*100)</x:f>
        <x:v>120.12922075544157</x:v>
      </x:c>
      <x:c r="M17" s="22" t="n">
        <x:f>IF('Nivel Setorial'!M17="","",'Nivel Setorial'!M17/'Nivel Setorial'!M$5*100)</x:f>
        <x:v>77.65136665562996</x:v>
      </x:c>
      <x:c r="N17" s="22" t="n">
        <x:f>IF('Nivel Setorial'!N17="","",'Nivel Setorial'!N17/'Nivel Setorial'!N$5*100)</x:f>
        <x:v>118.17641859965782</x:v>
      </x:c>
      <x:c r="O17" s="22" t="n">
        <x:f>IF('Nivel Setorial'!O17="","",'Nivel Setorial'!O17/'Nivel Setorial'!O$5*100)</x:f>
        <x:v>114.20643283326575</x:v>
      </x:c>
      <x:c r="P17" s="22" t="n">
        <x:f>IF('Nivel Setorial'!P17="","",'Nivel Setorial'!P17/'Nivel Setorial'!P$5*100)</x:f>
        <x:v>137.27969059100457</x:v>
      </x:c>
      <x:c r="Q17" s="22" t="n">
        <x:f>IF('Nivel Setorial'!Q17="","",'Nivel Setorial'!Q17/'Nivel Setorial'!Q$5*100)</x:f>
        <x:v>110.07805872860588</x:v>
      </x:c>
      <x:c r="R17" s="22" t="n">
        <x:f>IF('Nivel Setorial'!R17="","",'Nivel Setorial'!R17/'Nivel Setorial'!R$5*100)</x:f>
        <x:v>119.00088195233658</x:v>
      </x:c>
    </x:row>
    <x:row r="18">
      <x:c r="A18" s="21" t="n">
        <x:f>'Nivel Setorial'!A18</x:f>
        <x:v>40575</x:v>
      </x:c>
      <x:c r="B18" s="22" t="str">
        <x:f>IF('Nivel Setorial'!B18="","",'Nivel Setorial'!B18/'Nivel Setorial'!B$45*100)</x:f>
      </x:c>
      <x:c r="C18" s="22" t="n">
        <x:f>IF('Nivel Setorial'!C18="","",'Nivel Setorial'!C18/'Nivel Setorial'!C$5*100)</x:f>
        <x:v>155.55775017980739</x:v>
      </x:c>
      <x:c r="D18" s="22" t="n">
        <x:f>IF('Nivel Setorial'!D18="","",'Nivel Setorial'!D18/'Nivel Setorial'!D$5*100)</x:f>
        <x:v>119.44045707626987</x:v>
      </x:c>
      <x:c r="E18" s="22" t="str">
        <x:f>IF('Nivel Setorial'!E18="","",'Nivel Setorial'!E18/'Nivel Setorial'!E$49*100)</x:f>
      </x:c>
      <x:c r="F18" s="22" t="n">
        <x:f>IF('Nivel Setorial'!F18="","",'Nivel Setorial'!F18/'Nivel Setorial'!F$5*100)</x:f>
        <x:v>133.44967705486047</x:v>
      </x:c>
      <x:c r="G18" s="22" t="n">
        <x:f>IF('Nivel Setorial'!G18="","",'Nivel Setorial'!G18/'Nivel Setorial'!G$5*100)</x:f>
        <x:v>145.4877144007345</x:v>
      </x:c>
      <x:c r="H18" s="22" t="n">
        <x:f>IF('Nivel Setorial'!H18="","",'Nivel Setorial'!H18/'Nivel Setorial'!H$17*100)</x:f>
        <x:v>99.97310410971016</x:v>
      </x:c>
      <x:c r="I18" s="22" t="n">
        <x:f>IF('Nivel Setorial'!I18="","",'Nivel Setorial'!I18/'Nivel Setorial'!I$5*100)</x:f>
        <x:v>173.3451584888079</x:v>
      </x:c>
      <x:c r="J18" s="22" t="str">
        <x:f>IF('Nivel Setorial'!J18="","",'Nivel Setorial'!J18/'Nivel Setorial'!J$25*100)</x:f>
      </x:c>
      <x:c r="K18" s="22" t="n">
        <x:f>IF('Nivel Setorial'!K18="","",'Nivel Setorial'!K18/'Nivel Setorial'!K$5*100)</x:f>
        <x:v>181.78878438589885</x:v>
      </x:c>
      <x:c r="L18" s="22" t="n">
        <x:f>IF('Nivel Setorial'!L18="","",'Nivel Setorial'!L18/'Nivel Setorial'!L$5*100)</x:f>
        <x:v>120.00962892070804</x:v>
      </x:c>
      <x:c r="M18" s="22" t="n">
        <x:f>IF('Nivel Setorial'!M18="","",'Nivel Setorial'!M18/'Nivel Setorial'!M$5*100)</x:f>
        <x:v>66.2138286524776</x:v>
      </x:c>
      <x:c r="N18" s="22" t="n">
        <x:f>IF('Nivel Setorial'!N18="","",'Nivel Setorial'!N18/'Nivel Setorial'!N$5*100)</x:f>
        <x:v>121.5265863154051</x:v>
      </x:c>
      <x:c r="O18" s="22" t="n">
        <x:f>IF('Nivel Setorial'!O18="","",'Nivel Setorial'!O18/'Nivel Setorial'!O$5*100)</x:f>
        <x:v>114.66531358602307</x:v>
      </x:c>
      <x:c r="P18" s="22" t="n">
        <x:f>IF('Nivel Setorial'!P18="","",'Nivel Setorial'!P18/'Nivel Setorial'!P$5*100)</x:f>
        <x:v>139.06291255131836</x:v>
      </x:c>
      <x:c r="Q18" s="22" t="n">
        <x:f>IF('Nivel Setorial'!Q18="","",'Nivel Setorial'!Q18/'Nivel Setorial'!Q$5*100)</x:f>
        <x:v>112.18774975411077</x:v>
      </x:c>
      <x:c r="R18" s="22" t="n">
        <x:f>IF('Nivel Setorial'!R18="","",'Nivel Setorial'!R18/'Nivel Setorial'!R$5*100)</x:f>
        <x:v>124.57960941679225</x:v>
      </x:c>
    </x:row>
    <x:row r="19">
      <x:c r="A19" s="21" t="n">
        <x:f>'Nivel Setorial'!A19</x:f>
        <x:v>40603</x:v>
      </x:c>
      <x:c r="B19" s="22" t="str">
        <x:f>IF('Nivel Setorial'!B19="","",'Nivel Setorial'!B19/'Nivel Setorial'!B$45*100)</x:f>
      </x:c>
      <x:c r="C19" s="22" t="n">
        <x:f>IF('Nivel Setorial'!C19="","",'Nivel Setorial'!C19/'Nivel Setorial'!C$5*100)</x:f>
        <x:v>157.09341559454168</x:v>
      </x:c>
      <x:c r="D19" s="22" t="n">
        <x:f>IF('Nivel Setorial'!D19="","",'Nivel Setorial'!D19/'Nivel Setorial'!D$5*100)</x:f>
        <x:v>118.94448828211335</x:v>
      </x:c>
      <x:c r="E19" s="22" t="str">
        <x:f>IF('Nivel Setorial'!E19="","",'Nivel Setorial'!E19/'Nivel Setorial'!E$49*100)</x:f>
      </x:c>
      <x:c r="F19" s="22" t="n">
        <x:f>IF('Nivel Setorial'!F19="","",'Nivel Setorial'!F19/'Nivel Setorial'!F$5*100)</x:f>
        <x:v>132.4569523766158</x:v>
      </x:c>
      <x:c r="G19" s="22" t="n">
        <x:f>IF('Nivel Setorial'!G19="","",'Nivel Setorial'!G19/'Nivel Setorial'!G$5*100)</x:f>
        <x:v>150.19850584960636</x:v>
      </x:c>
      <x:c r="H19" s="22" t="n">
        <x:f>IF('Nivel Setorial'!H19="","",'Nivel Setorial'!H19/'Nivel Setorial'!H$17*100)</x:f>
        <x:v>99.13356464457075</x:v>
      </x:c>
      <x:c r="I19" s="22" t="n">
        <x:f>IF('Nivel Setorial'!I19="","",'Nivel Setorial'!I19/'Nivel Setorial'!I$5*100)</x:f>
        <x:v>171.3186111399895</x:v>
      </x:c>
      <x:c r="J19" s="22" t="str">
        <x:f>IF('Nivel Setorial'!J19="","",'Nivel Setorial'!J19/'Nivel Setorial'!J$25*100)</x:f>
      </x:c>
      <x:c r="K19" s="22" t="n">
        <x:f>IF('Nivel Setorial'!K19="","",'Nivel Setorial'!K19/'Nivel Setorial'!K$5*100)</x:f>
        <x:v>193.366921651141</x:v>
      </x:c>
      <x:c r="L19" s="22" t="n">
        <x:f>IF('Nivel Setorial'!L19="","",'Nivel Setorial'!L19/'Nivel Setorial'!L$5*100)</x:f>
        <x:v>121.63904982376685</x:v>
      </x:c>
      <x:c r="M19" s="22" t="n">
        <x:f>IF('Nivel Setorial'!M19="","",'Nivel Setorial'!M19/'Nivel Setorial'!M$5*100)</x:f>
        <x:v>75.82573437501043</x:v>
      </x:c>
      <x:c r="N19" s="22" t="n">
        <x:f>IF('Nivel Setorial'!N19="","",'Nivel Setorial'!N19/'Nivel Setorial'!N$5*100)</x:f>
        <x:v>121.70713647915493</x:v>
      </x:c>
      <x:c r="O19" s="22" t="n">
        <x:f>IF('Nivel Setorial'!O19="","",'Nivel Setorial'!O19/'Nivel Setorial'!O$5*100)</x:f>
        <x:v>114.28008891026676</x:v>
      </x:c>
      <x:c r="P19" s="22" t="n">
        <x:f>IF('Nivel Setorial'!P19="","",'Nivel Setorial'!P19/'Nivel Setorial'!P$5*100)</x:f>
        <x:v>136.0714170322695</x:v>
      </x:c>
      <x:c r="Q19" s="22" t="n">
        <x:f>IF('Nivel Setorial'!Q19="","",'Nivel Setorial'!Q19/'Nivel Setorial'!Q$5*100)</x:f>
        <x:v>114.59501815892435</x:v>
      </x:c>
      <x:c r="R19" s="22" t="n">
        <x:f>IF('Nivel Setorial'!R19="","",'Nivel Setorial'!R19/'Nivel Setorial'!R$5*100)</x:f>
        <x:v>122.48881446431135</x:v>
      </x:c>
    </x:row>
    <x:row r="20">
      <x:c r="A20" s="21" t="n">
        <x:f>'Nivel Setorial'!A20</x:f>
        <x:v>40634</x:v>
      </x:c>
      <x:c r="B20" s="22" t="str">
        <x:f>IF('Nivel Setorial'!B20="","",'Nivel Setorial'!B20/'Nivel Setorial'!B$45*100)</x:f>
      </x:c>
      <x:c r="C20" s="22" t="n">
        <x:f>IF('Nivel Setorial'!C20="","",'Nivel Setorial'!C20/'Nivel Setorial'!C$5*100)</x:f>
        <x:v>157.20984452852798</x:v>
      </x:c>
      <x:c r="D20" s="22" t="n">
        <x:f>IF('Nivel Setorial'!D20="","",'Nivel Setorial'!D20/'Nivel Setorial'!D$5*100)</x:f>
        <x:v>123.25021191129363</x:v>
      </x:c>
      <x:c r="E20" s="22" t="str">
        <x:f>IF('Nivel Setorial'!E20="","",'Nivel Setorial'!E20/'Nivel Setorial'!E$49*100)</x:f>
      </x:c>
      <x:c r="F20" s="22" t="n">
        <x:f>IF('Nivel Setorial'!F20="","",'Nivel Setorial'!F20/'Nivel Setorial'!F$5*100)</x:f>
        <x:v>131.77640940479392</x:v>
      </x:c>
      <x:c r="G20" s="22" t="n">
        <x:f>IF('Nivel Setorial'!G20="","",'Nivel Setorial'!G20/'Nivel Setorial'!G$5*100)</x:f>
        <x:v>150.9545530085794</x:v>
      </x:c>
      <x:c r="H20" s="22" t="n">
        <x:f>IF('Nivel Setorial'!H20="","",'Nivel Setorial'!H20/'Nivel Setorial'!H$17*100)</x:f>
        <x:v>101.27399126503435</x:v>
      </x:c>
      <x:c r="I20" s="22" t="n">
        <x:f>IF('Nivel Setorial'!I20="","",'Nivel Setorial'!I20/'Nivel Setorial'!I$5*100)</x:f>
        <x:v>170.76074479583357</x:v>
      </x:c>
      <x:c r="J20" s="22" t="str">
        <x:f>IF('Nivel Setorial'!J20="","",'Nivel Setorial'!J20/'Nivel Setorial'!J$25*100)</x:f>
      </x:c>
      <x:c r="K20" s="22" t="n">
        <x:f>IF('Nivel Setorial'!K20="","",'Nivel Setorial'!K20/'Nivel Setorial'!K$5*100)</x:f>
        <x:v>197.58490333935035</x:v>
      </x:c>
      <x:c r="L20" s="22" t="n">
        <x:f>IF('Nivel Setorial'!L20="","",'Nivel Setorial'!L20/'Nivel Setorial'!L$5*100)</x:f>
        <x:v>120.1752089884537</x:v>
      </x:c>
      <x:c r="M20" s="22" t="n">
        <x:f>IF('Nivel Setorial'!M20="","",'Nivel Setorial'!M20/'Nivel Setorial'!M$5*100)</x:f>
        <x:v>75.5039713685639</x:v>
      </x:c>
      <x:c r="N20" s="22" t="n">
        <x:f>IF('Nivel Setorial'!N20="","",'Nivel Setorial'!N20/'Nivel Setorial'!N$5*100)</x:f>
        <x:v>124.7646926215981</x:v>
      </x:c>
      <x:c r="O20" s="22" t="n">
        <x:f>IF('Nivel Setorial'!O20="","",'Nivel Setorial'!O20/'Nivel Setorial'!O$5*100)</x:f>
        <x:v>114.51141819052654</x:v>
      </x:c>
      <x:c r="P20" s="22" t="n">
        <x:f>IF('Nivel Setorial'!P20="","",'Nivel Setorial'!P20/'Nivel Setorial'!P$5*100)</x:f>
        <x:v>135.58383508050252</x:v>
      </x:c>
      <x:c r="Q20" s="22" t="n">
        <x:f>IF('Nivel Setorial'!Q20="","",'Nivel Setorial'!Q20/'Nivel Setorial'!Q$5*100)</x:f>
        <x:v>118.49540823433986</x:v>
      </x:c>
      <x:c r="R20" s="22" t="n">
        <x:f>IF('Nivel Setorial'!R20="","",'Nivel Setorial'!R20/'Nivel Setorial'!R$5*100)</x:f>
        <x:v>122.3491815212141</x:v>
      </x:c>
    </x:row>
    <x:row r="21">
      <x:c r="A21" s="21" t="n">
        <x:f>'Nivel Setorial'!A21</x:f>
        <x:v>40664</x:v>
      </x:c>
      <x:c r="B21" s="22" t="str">
        <x:f>IF('Nivel Setorial'!B21="","",'Nivel Setorial'!B21/'Nivel Setorial'!B$45*100)</x:f>
      </x:c>
      <x:c r="C21" s="22" t="n">
        <x:f>IF('Nivel Setorial'!C21="","",'Nivel Setorial'!C21/'Nivel Setorial'!C$5*100)</x:f>
        <x:v>160.37430280481223</x:v>
      </x:c>
      <x:c r="D21" s="22" t="n">
        <x:f>IF('Nivel Setorial'!D21="","",'Nivel Setorial'!D21/'Nivel Setorial'!D$5*100)</x:f>
        <x:v>125.81756501001789</x:v>
      </x:c>
      <x:c r="E21" s="22" t="str">
        <x:f>IF('Nivel Setorial'!E21="","",'Nivel Setorial'!E21/'Nivel Setorial'!E$49*100)</x:f>
      </x:c>
      <x:c r="F21" s="22" t="n">
        <x:f>IF('Nivel Setorial'!F21="","",'Nivel Setorial'!F21/'Nivel Setorial'!F$5*100)</x:f>
        <x:v>134.9338570371175</x:v>
      </x:c>
      <x:c r="G21" s="22" t="n">
        <x:f>IF('Nivel Setorial'!G21="","",'Nivel Setorial'!G21/'Nivel Setorial'!G$5*100)</x:f>
        <x:v>156.1649996701037</x:v>
      </x:c>
      <x:c r="H21" s="22" t="n">
        <x:f>IF('Nivel Setorial'!H21="","",'Nivel Setorial'!H21/'Nivel Setorial'!H$17*100)</x:f>
        <x:v>99.7102664313698</x:v>
      </x:c>
      <x:c r="I21" s="22" t="n">
        <x:f>IF('Nivel Setorial'!I21="","",'Nivel Setorial'!I21/'Nivel Setorial'!I$5*100)</x:f>
        <x:v>172.45869647172663</x:v>
      </x:c>
      <x:c r="J21" s="22" t="str">
        <x:f>IF('Nivel Setorial'!J21="","",'Nivel Setorial'!J21/'Nivel Setorial'!J$25*100)</x:f>
      </x:c>
      <x:c r="K21" s="22" t="n">
        <x:f>IF('Nivel Setorial'!K21="","",'Nivel Setorial'!K21/'Nivel Setorial'!K$5*100)</x:f>
        <x:v>193.97003768332794</x:v>
      </x:c>
      <x:c r="L21" s="22" t="n">
        <x:f>IF('Nivel Setorial'!L21="","",'Nivel Setorial'!L21/'Nivel Setorial'!L$5*100)</x:f>
        <x:v>120.97392200897772</x:v>
      </x:c>
      <x:c r="M21" s="22" t="n">
        <x:f>IF('Nivel Setorial'!M21="","",'Nivel Setorial'!M21/'Nivel Setorial'!M$5*100)</x:f>
        <x:v>82.80675027247177</x:v>
      </x:c>
      <x:c r="N21" s="22" t="n">
        <x:f>IF('Nivel Setorial'!N21="","",'Nivel Setorial'!N21/'Nivel Setorial'!N$5*100)</x:f>
        <x:v>129.733786261935</x:v>
      </x:c>
      <x:c r="O21" s="22" t="n">
        <x:f>IF('Nivel Setorial'!O21="","",'Nivel Setorial'!O21/'Nivel Setorial'!O$5*100)</x:f>
        <x:v>115.09870427246915</x:v>
      </x:c>
      <x:c r="P21" s="22" t="n">
        <x:f>IF('Nivel Setorial'!P21="","",'Nivel Setorial'!P21/'Nivel Setorial'!P$5*100)</x:f>
        <x:v>136.95824489717242</x:v>
      </x:c>
      <x:c r="Q21" s="22" t="n">
        <x:f>IF('Nivel Setorial'!Q21="","",'Nivel Setorial'!Q21/'Nivel Setorial'!Q$5*100)</x:f>
        <x:v>117.49797367448589</x:v>
      </x:c>
      <x:c r="R21" s="22" t="n">
        <x:f>IF('Nivel Setorial'!R21="","",'Nivel Setorial'!R21/'Nivel Setorial'!R$5*100)</x:f>
        <x:v>121.16300423558732</x:v>
      </x:c>
    </x:row>
    <x:row r="22">
      <x:c r="A22" s="21" t="n">
        <x:f>'Nivel Setorial'!A22</x:f>
        <x:v>40695</x:v>
      </x:c>
      <x:c r="B22" s="22" t="str">
        <x:f>IF('Nivel Setorial'!B22="","",'Nivel Setorial'!B22/'Nivel Setorial'!B$45*100)</x:f>
      </x:c>
      <x:c r="C22" s="22" t="n">
        <x:f>IF('Nivel Setorial'!C22="","",'Nivel Setorial'!C22/'Nivel Setorial'!C$5*100)</x:f>
        <x:v>163.027346885027</x:v>
      </x:c>
      <x:c r="D22" s="22" t="n">
        <x:f>IF('Nivel Setorial'!D22="","",'Nivel Setorial'!D22/'Nivel Setorial'!D$5*100)</x:f>
        <x:v>132.92426483041945</x:v>
      </x:c>
      <x:c r="E22" s="22" t="str">
        <x:f>IF('Nivel Setorial'!E22="","",'Nivel Setorial'!E22/'Nivel Setorial'!E$49*100)</x:f>
      </x:c>
      <x:c r="F22" s="22" t="n">
        <x:f>IF('Nivel Setorial'!F22="","",'Nivel Setorial'!F22/'Nivel Setorial'!F$5*100)</x:f>
        <x:v>136.84382481063133</x:v>
      </x:c>
      <x:c r="G22" s="22" t="n">
        <x:f>IF('Nivel Setorial'!G22="","",'Nivel Setorial'!G22/'Nivel Setorial'!G$5*100)</x:f>
        <x:v>158.29304670296494</x:v>
      </x:c>
      <x:c r="H22" s="22" t="n">
        <x:f>IF('Nivel Setorial'!H22="","",'Nivel Setorial'!H22/'Nivel Setorial'!H$17*100)</x:f>
        <x:v>94.73006297991142</x:v>
      </x:c>
      <x:c r="I22" s="22" t="n">
        <x:f>IF('Nivel Setorial'!I22="","",'Nivel Setorial'!I22/'Nivel Setorial'!I$5*100)</x:f>
        <x:v>172.76351589432062</x:v>
      </x:c>
      <x:c r="J22" s="22" t="str">
        <x:f>IF('Nivel Setorial'!J22="","",'Nivel Setorial'!J22/'Nivel Setorial'!J$25*100)</x:f>
      </x:c>
      <x:c r="K22" s="22" t="n">
        <x:f>IF('Nivel Setorial'!K22="","",'Nivel Setorial'!K22/'Nivel Setorial'!K$5*100)</x:f>
        <x:v>191.8429345967006</x:v>
      </x:c>
      <x:c r="L22" s="22" t="n">
        <x:f>IF('Nivel Setorial'!L22="","",'Nivel Setorial'!L22/'Nivel Setorial'!L$5*100)</x:f>
        <x:v>125.72762287132069</x:v>
      </x:c>
      <x:c r="M22" s="22" t="n">
        <x:f>IF('Nivel Setorial'!M22="","",'Nivel Setorial'!M22/'Nivel Setorial'!M$5*100)</x:f>
        <x:v>79.89219193529526</x:v>
      </x:c>
      <x:c r="N22" s="22" t="n">
        <x:f>IF('Nivel Setorial'!N22="","",'Nivel Setorial'!N22/'Nivel Setorial'!N$5*100)</x:f>
        <x:v>131.97223528518887</x:v>
      </x:c>
      <x:c r="O22" s="22" t="n">
        <x:f>IF('Nivel Setorial'!O22="","",'Nivel Setorial'!O22/'Nivel Setorial'!O$5*100)</x:f>
        <x:v>116.53978093862365</x:v>
      </x:c>
      <x:c r="P22" s="22" t="n">
        <x:f>IF('Nivel Setorial'!P22="","",'Nivel Setorial'!P22/'Nivel Setorial'!P$5*100)</x:f>
        <x:v>130.69183157529488</x:v>
      </x:c>
      <x:c r="Q22" s="22" t="n">
        <x:f>IF('Nivel Setorial'!Q22="","",'Nivel Setorial'!Q22/'Nivel Setorial'!Q$5*100)</x:f>
        <x:v>116.51345407443014</x:v>
      </x:c>
      <x:c r="R22" s="22" t="n">
        <x:f>IF('Nivel Setorial'!R22="","",'Nivel Setorial'!R22/'Nivel Setorial'!R$5*100)</x:f>
        <x:v>123.91333117090248</x:v>
      </x:c>
    </x:row>
    <x:row r="23">
      <x:c r="A23" s="21" t="n">
        <x:f>'Nivel Setorial'!A23</x:f>
        <x:v>40725</x:v>
      </x:c>
      <x:c r="B23" s="22" t="str">
        <x:f>IF('Nivel Setorial'!B23="","",'Nivel Setorial'!B23/'Nivel Setorial'!B$45*100)</x:f>
      </x:c>
      <x:c r="C23" s="22" t="n">
        <x:f>IF('Nivel Setorial'!C23="","",'Nivel Setorial'!C23/'Nivel Setorial'!C$5*100)</x:f>
        <x:v>162.3993677900311</x:v>
      </x:c>
      <x:c r="D23" s="22" t="n">
        <x:f>IF('Nivel Setorial'!D23="","",'Nivel Setorial'!D23/'Nivel Setorial'!D$5*100)</x:f>
        <x:v>139.79024998079944</x:v>
      </x:c>
      <x:c r="E23" s="22" t="str">
        <x:f>IF('Nivel Setorial'!E23="","",'Nivel Setorial'!E23/'Nivel Setorial'!E$49*100)</x:f>
      </x:c>
      <x:c r="F23" s="22" t="n">
        <x:f>IF('Nivel Setorial'!F23="","",'Nivel Setorial'!F23/'Nivel Setorial'!F$5*100)</x:f>
        <x:v>130.19323987311188</x:v>
      </x:c>
      <x:c r="G23" s="22" t="n">
        <x:f>IF('Nivel Setorial'!G23="","",'Nivel Setorial'!G23/'Nivel Setorial'!G$5*100)</x:f>
        <x:v>161.79844374159725</x:v>
      </x:c>
      <x:c r="H23" s="22" t="n">
        <x:f>IF('Nivel Setorial'!H23="","",'Nivel Setorial'!H23/'Nivel Setorial'!H$17*100)</x:f>
        <x:v>98.41588502978628</x:v>
      </x:c>
      <x:c r="I23" s="22" t="n">
        <x:f>IF('Nivel Setorial'!I23="","",'Nivel Setorial'!I23/'Nivel Setorial'!I$5*100)</x:f>
        <x:v>171.49274640015952</x:v>
      </x:c>
      <x:c r="J23" s="22" t="str">
        <x:f>IF('Nivel Setorial'!J23="","",'Nivel Setorial'!J23/'Nivel Setorial'!J$25*100)</x:f>
      </x:c>
      <x:c r="K23" s="22" t="n">
        <x:f>IF('Nivel Setorial'!K23="","",'Nivel Setorial'!K23/'Nivel Setorial'!K$5*100)</x:f>
        <x:v>187.71204863769475</x:v>
      </x:c>
      <x:c r="L23" s="22" t="n">
        <x:f>IF('Nivel Setorial'!L23="","",'Nivel Setorial'!L23/'Nivel Setorial'!L$5*100)</x:f>
        <x:v>128.7817829455301</x:v>
      </x:c>
      <x:c r="M23" s="22" t="n">
        <x:f>IF('Nivel Setorial'!M23="","",'Nivel Setorial'!M23/'Nivel Setorial'!M$5*100)</x:f>
        <x:v>63.0199878184109</x:v>
      </x:c>
      <x:c r="N23" s="22" t="n">
        <x:f>IF('Nivel Setorial'!N23="","",'Nivel Setorial'!N23/'Nivel Setorial'!N$5*100)</x:f>
        <x:v>131.287251652937</x:v>
      </x:c>
      <x:c r="O23" s="22" t="n">
        <x:f>IF('Nivel Setorial'!O23="","",'Nivel Setorial'!O23/'Nivel Setorial'!O$5*100)</x:f>
        <x:v>114.86411669077374</x:v>
      </x:c>
      <x:c r="P23" s="22" t="n">
        <x:f>IF('Nivel Setorial'!P23="","",'Nivel Setorial'!P23/'Nivel Setorial'!P$5*100)</x:f>
        <x:v>140.26508165311736</x:v>
      </x:c>
      <x:c r="Q23" s="22" t="n">
        <x:f>IF('Nivel Setorial'!Q23="","",'Nivel Setorial'!Q23/'Nivel Setorial'!Q$5*100)</x:f>
        <x:v>97.26405782537401</x:v>
      </x:c>
      <x:c r="R23" s="22" t="n">
        <x:f>IF('Nivel Setorial'!R23="","",'Nivel Setorial'!R23/'Nivel Setorial'!R$5*100)</x:f>
        <x:v>125.43740578168968</x:v>
      </x:c>
    </x:row>
    <x:row r="24">
      <x:c r="A24" s="21" t="n">
        <x:f>'Nivel Setorial'!A24</x:f>
        <x:v>40756</x:v>
      </x:c>
      <x:c r="B24" s="22" t="str">
        <x:f>IF('Nivel Setorial'!B24="","",'Nivel Setorial'!B24/'Nivel Setorial'!B$45*100)</x:f>
      </x:c>
      <x:c r="C24" s="22" t="n">
        <x:f>IF('Nivel Setorial'!C24="","",'Nivel Setorial'!C24/'Nivel Setorial'!C$5*100)</x:f>
        <x:v>160.96828797868088</x:v>
      </x:c>
      <x:c r="D24" s="22" t="n">
        <x:f>IF('Nivel Setorial'!D24="","",'Nivel Setorial'!D24/'Nivel Setorial'!D$5*100)</x:f>
        <x:v>143.30723964346492</x:v>
      </x:c>
      <x:c r="E24" s="22" t="str">
        <x:f>IF('Nivel Setorial'!E24="","",'Nivel Setorial'!E24/'Nivel Setorial'!E$49*100)</x:f>
      </x:c>
      <x:c r="F24" s="22" t="n">
        <x:f>IF('Nivel Setorial'!F24="","",'Nivel Setorial'!F24/'Nivel Setorial'!F$5*100)</x:f>
        <x:v>126.3131908512004</x:v>
      </x:c>
      <x:c r="G24" s="22" t="n">
        <x:f>IF('Nivel Setorial'!G24="","",'Nivel Setorial'!G24/'Nivel Setorial'!G$5*100)</x:f>
        <x:v>163.44406538430428</x:v>
      </x:c>
      <x:c r="H24" s="22" t="n">
        <x:f>IF('Nivel Setorial'!H24="","",'Nivel Setorial'!H24/'Nivel Setorial'!H$17*100)</x:f>
        <x:v>79.05293104802212</x:v>
      </x:c>
      <x:c r="I24" s="22" t="n">
        <x:f>IF('Nivel Setorial'!I24="","",'Nivel Setorial'!I24/'Nivel Setorial'!I$5*100)</x:f>
        <x:v>168.9757104242319</x:v>
      </x:c>
      <x:c r="J24" s="22" t="str">
        <x:f>IF('Nivel Setorial'!J24="","",'Nivel Setorial'!J24/'Nivel Setorial'!J$25*100)</x:f>
      </x:c>
      <x:c r="K24" s="22" t="n">
        <x:f>IF('Nivel Setorial'!K24="","",'Nivel Setorial'!K24/'Nivel Setorial'!K$5*100)</x:f>
        <x:v>181.24603986883204</x:v>
      </x:c>
      <x:c r="L24" s="22" t="n">
        <x:f>IF('Nivel Setorial'!L24="","",'Nivel Setorial'!L24/'Nivel Setorial'!L$5*100)</x:f>
        <x:v>132.59740780974246</x:v>
      </x:c>
      <x:c r="M24" s="22" t="n">
        <x:f>IF('Nivel Setorial'!M24="","",'Nivel Setorial'!M24/'Nivel Setorial'!M$5*100)</x:f>
        <x:v>38.49107711110265</x:v>
      </x:c>
      <x:c r="N24" s="22" t="n">
        <x:f>IF('Nivel Setorial'!N24="","",'Nivel Setorial'!N24/'Nivel Setorial'!N$5*100)</x:f>
        <x:v>131.2089706724684</x:v>
      </x:c>
      <x:c r="O24" s="22" t="n">
        <x:f>IF('Nivel Setorial'!O24="","",'Nivel Setorial'!O24/'Nivel Setorial'!O$5*100)</x:f>
        <x:v>116.26274542639004</x:v>
      </x:c>
      <x:c r="P24" s="22" t="n">
        <x:f>IF('Nivel Setorial'!P24="","",'Nivel Setorial'!P24/'Nivel Setorial'!P$5*100)</x:f>
        <x:v>125.60637365068423</x:v>
      </x:c>
      <x:c r="Q24" s="22" t="n">
        <x:f>IF('Nivel Setorial'!Q24="","",'Nivel Setorial'!Q24/'Nivel Setorial'!Q$5*100)</x:f>
        <x:v>87.13533926435672</x:v>
      </x:c>
      <x:c r="R24" s="22" t="n">
        <x:f>IF('Nivel Setorial'!R24="","",'Nivel Setorial'!R24/'Nivel Setorial'!R$5*100)</x:f>
        <x:v>130.04546190818013</x:v>
      </x:c>
    </x:row>
    <x:row r="25">
      <x:c r="A25" s="21" t="n">
        <x:f>'Nivel Setorial'!A25</x:f>
        <x:v>40787</x:v>
      </x:c>
      <x:c r="B25" s="22" t="str">
        <x:f>IF('Nivel Setorial'!B25="","",'Nivel Setorial'!B25/'Nivel Setorial'!B$45*100)</x:f>
      </x:c>
      <x:c r="C25" s="22" t="n">
        <x:f>IF('Nivel Setorial'!C25="","",'Nivel Setorial'!C25/'Nivel Setorial'!C$5*100)</x:f>
        <x:v>161.13161556087542</x:v>
      </x:c>
      <x:c r="D25" s="22" t="n">
        <x:f>IF('Nivel Setorial'!D25="","",'Nivel Setorial'!D25/'Nivel Setorial'!D$5*100)</x:f>
        <x:v>147.9913671459736</x:v>
      </x:c>
      <x:c r="E25" s="22" t="str">
        <x:f>IF('Nivel Setorial'!E25="","",'Nivel Setorial'!E25/'Nivel Setorial'!E$49*100)</x:f>
      </x:c>
      <x:c r="F25" s="22" t="n">
        <x:f>IF('Nivel Setorial'!F25="","",'Nivel Setorial'!F25/'Nivel Setorial'!F$5*100)</x:f>
        <x:v>125.67749366181506</x:v>
      </x:c>
      <x:c r="G25" s="22" t="n">
        <x:f>IF('Nivel Setorial'!G25="","",'Nivel Setorial'!G25/'Nivel Setorial'!G$5*100)</x:f>
        <x:v>167.50359930850868</x:v>
      </x:c>
      <x:c r="H25" s="22" t="n">
        <x:f>IF('Nivel Setorial'!H25="","",'Nivel Setorial'!H25/'Nivel Setorial'!H$17*100)</x:f>
        <x:v>72.71775527469448</x:v>
      </x:c>
      <x:c r="I25" s="22" t="n">
        <x:f>IF('Nivel Setorial'!I25="","",'Nivel Setorial'!I25/'Nivel Setorial'!I$5*100)</x:f>
        <x:v>172.21612293376106</x:v>
      </x:c>
      <x:c r="J25" s="22" t="n">
        <x:f>IF('Nivel Setorial'!J25="","",'Nivel Setorial'!J25/'Nivel Setorial'!J$25*100)</x:f>
        <x:v>100</x:v>
      </x:c>
      <x:c r="K25" s="22" t="n">
        <x:f>IF('Nivel Setorial'!K25="","",'Nivel Setorial'!K25/'Nivel Setorial'!K$5*100)</x:f>
        <x:v>182.37056625055723</x:v>
      </x:c>
      <x:c r="L25" s="22" t="n">
        <x:f>IF('Nivel Setorial'!L25="","",'Nivel Setorial'!L25/'Nivel Setorial'!L$5*100)</x:f>
        <x:v>134.42264628458432</x:v>
      </x:c>
      <x:c r="M25" s="22" t="n">
        <x:f>IF('Nivel Setorial'!M25="","",'Nivel Setorial'!M25/'Nivel Setorial'!M$5*100)</x:f>
        <x:v>41.211871094281236</x:v>
      </x:c>
      <x:c r="N25" s="22" t="n">
        <x:f>IF('Nivel Setorial'!N25="","",'Nivel Setorial'!N25/'Nivel Setorial'!N$5*100)</x:f>
        <x:v>148.3433519040762</x:v>
      </x:c>
      <x:c r="O25" s="22" t="n">
        <x:f>IF('Nivel Setorial'!O25="","",'Nivel Setorial'!O25/'Nivel Setorial'!O$5*100)</x:f>
        <x:v>119.06659198975534</x:v>
      </x:c>
      <x:c r="P25" s="22" t="n">
        <x:f>IF('Nivel Setorial'!P25="","",'Nivel Setorial'!P25/'Nivel Setorial'!P$5*100)</x:f>
        <x:v>124.07855065052513</x:v>
      </x:c>
      <x:c r="Q25" s="22" t="n">
        <x:f>IF('Nivel Setorial'!Q25="","",'Nivel Setorial'!Q25/'Nivel Setorial'!Q$5*100)</x:f>
        <x:v>86.30376390047738</x:v>
      </x:c>
      <x:c r="R25" s="22" t="n">
        <x:f>IF('Nivel Setorial'!R25="","",'Nivel Setorial'!R25/'Nivel Setorial'!R$5*100)</x:f>
        <x:v>126.72324053665515</x:v>
      </x:c>
    </x:row>
    <x:row r="26">
      <x:c r="A26" s="21" t="n">
        <x:f>'Nivel Setorial'!A26</x:f>
        <x:v>40817</x:v>
      </x:c>
      <x:c r="B26" s="22" t="str">
        <x:f>IF('Nivel Setorial'!B26="","",'Nivel Setorial'!B26/'Nivel Setorial'!B$45*100)</x:f>
      </x:c>
      <x:c r="C26" s="22" t="n">
        <x:f>IF('Nivel Setorial'!C26="","",'Nivel Setorial'!C26/'Nivel Setorial'!C$5*100)</x:f>
        <x:v>159.79150589003203</x:v>
      </x:c>
      <x:c r="D26" s="22" t="n">
        <x:f>IF('Nivel Setorial'!D26="","",'Nivel Setorial'!D26/'Nivel Setorial'!D$5*100)</x:f>
        <x:v>164.7158892382126</x:v>
      </x:c>
      <x:c r="E26" s="22" t="str">
        <x:f>IF('Nivel Setorial'!E26="","",'Nivel Setorial'!E26/'Nivel Setorial'!E$49*100)</x:f>
      </x:c>
      <x:c r="F26" s="22" t="n">
        <x:f>IF('Nivel Setorial'!F26="","",'Nivel Setorial'!F26/'Nivel Setorial'!F$5*100)</x:f>
        <x:v>128.12673896563078</x:v>
      </x:c>
      <x:c r="G26" s="22" t="n">
        <x:f>IF('Nivel Setorial'!G26="","",'Nivel Setorial'!G26/'Nivel Setorial'!G$5*100)</x:f>
        <x:v>171.45290139496194</x:v>
      </x:c>
      <x:c r="H26" s="22" t="n">
        <x:f>IF('Nivel Setorial'!H26="","",'Nivel Setorial'!H26/'Nivel Setorial'!H$17*100)</x:f>
        <x:v>69.16325872178211</x:v>
      </x:c>
      <x:c r="I26" s="22" t="n">
        <x:f>IF('Nivel Setorial'!I26="","",'Nivel Setorial'!I26/'Nivel Setorial'!I$5*100)</x:f>
        <x:v>160.72632072116514</x:v>
      </x:c>
      <x:c r="J26" s="22" t="n">
        <x:f>IF('Nivel Setorial'!J26="","",'Nivel Setorial'!J26/'Nivel Setorial'!J$25*100)</x:f>
        <x:v>103.34638942470917</x:v>
      </x:c>
      <x:c r="K26" s="22" t="n">
        <x:f>IF('Nivel Setorial'!K26="","",'Nivel Setorial'!K26/'Nivel Setorial'!K$5*100)</x:f>
        <x:v>181.53190284727668</x:v>
      </x:c>
      <x:c r="L26" s="22" t="n">
        <x:f>IF('Nivel Setorial'!L26="","",'Nivel Setorial'!L26/'Nivel Setorial'!L$5*100)</x:f>
        <x:v>131.48865371731253</x:v>
      </x:c>
      <x:c r="M26" s="22" t="n">
        <x:f>IF('Nivel Setorial'!M26="","",'Nivel Setorial'!M26/'Nivel Setorial'!M$5*100)</x:f>
        <x:v>40.13373457203088</x:v>
      </x:c>
      <x:c r="N26" s="22" t="n">
        <x:f>IF('Nivel Setorial'!N26="","",'Nivel Setorial'!N26/'Nivel Setorial'!N$5*100)</x:f>
        <x:v>147.90791930885777</x:v>
      </x:c>
      <x:c r="O26" s="22" t="n">
        <x:f>IF('Nivel Setorial'!O26="","",'Nivel Setorial'!O26/'Nivel Setorial'!O$5*100)</x:f>
        <x:v>120.70139599148533</x:v>
      </x:c>
      <x:c r="P26" s="22" t="n">
        <x:f>IF('Nivel Setorial'!P26="","",'Nivel Setorial'!P26/'Nivel Setorial'!P$5*100)</x:f>
        <x:v>124.14632391586599</x:v>
      </x:c>
      <x:c r="Q26" s="22" t="n">
        <x:f>IF('Nivel Setorial'!Q26="","",'Nivel Setorial'!Q26/'Nivel Setorial'!Q$5*100)</x:f>
        <x:v>86.77378319364739</x:v>
      </x:c>
      <x:c r="R26" s="22" t="n">
        <x:f>IF('Nivel Setorial'!R26="","",'Nivel Setorial'!R26/'Nivel Setorial'!R$5*100)</x:f>
        <x:v>124.22985490698595</x:v>
      </x:c>
    </x:row>
    <x:row r="27">
      <x:c r="A27" s="21" t="n">
        <x:f>'Nivel Setorial'!A27</x:f>
        <x:v>40848</x:v>
      </x:c>
      <x:c r="B27" s="22" t="str">
        <x:f>IF('Nivel Setorial'!B27="","",'Nivel Setorial'!B27/'Nivel Setorial'!B$45*100)</x:f>
      </x:c>
      <x:c r="C27" s="22" t="n">
        <x:f>IF('Nivel Setorial'!C27="","",'Nivel Setorial'!C27/'Nivel Setorial'!C$5*100)</x:f>
        <x:v>161.2678521489292</x:v>
      </x:c>
      <x:c r="D27" s="22" t="n">
        <x:f>IF('Nivel Setorial'!D27="","",'Nivel Setorial'!D27/'Nivel Setorial'!D$5*100)</x:f>
        <x:v>168.5102204478037</x:v>
      </x:c>
      <x:c r="E27" s="22" t="str">
        <x:f>IF('Nivel Setorial'!E27="","",'Nivel Setorial'!E27/'Nivel Setorial'!E$49*100)</x:f>
      </x:c>
      <x:c r="F27" s="22" t="n">
        <x:f>IF('Nivel Setorial'!F27="","",'Nivel Setorial'!F27/'Nivel Setorial'!F$5*100)</x:f>
        <x:v>131.10981267529064</x:v>
      </x:c>
      <x:c r="G27" s="22" t="n">
        <x:f>IF('Nivel Setorial'!G27="","",'Nivel Setorial'!G27/'Nivel Setorial'!G$5*100)</x:f>
        <x:v>173.5964959727464</x:v>
      </x:c>
      <x:c r="H27" s="22" t="n">
        <x:f>IF('Nivel Setorial'!H27="","",'Nivel Setorial'!H27/'Nivel Setorial'!H$17*100)</x:f>
        <x:v>52.738155509976316</x:v>
      </x:c>
      <x:c r="I27" s="22" t="n">
        <x:f>IF('Nivel Setorial'!I27="","",'Nivel Setorial'!I27/'Nivel Setorial'!I$5*100)</x:f>
        <x:v>158.32844038196333</x:v>
      </x:c>
      <x:c r="J27" s="22" t="n">
        <x:f>IF('Nivel Setorial'!J27="","",'Nivel Setorial'!J27/'Nivel Setorial'!J$25*100)</x:f>
        <x:v>105.40079377536186</x:v>
      </x:c>
      <x:c r="K27" s="22" t="n">
        <x:f>IF('Nivel Setorial'!K27="","",'Nivel Setorial'!K27/'Nivel Setorial'!K$5*100)</x:f>
        <x:v>176.60441687034213</x:v>
      </x:c>
      <x:c r="L27" s="22" t="n">
        <x:f>IF('Nivel Setorial'!L27="","",'Nivel Setorial'!L27/'Nivel Setorial'!L$5*100)</x:f>
        <x:v>134.78297212099898</x:v>
      </x:c>
      <x:c r="M27" s="22" t="n">
        <x:f>IF('Nivel Setorial'!M27="","",'Nivel Setorial'!M27/'Nivel Setorial'!M$5*100)</x:f>
        <x:v>33.06243236394488</x:v>
      </x:c>
      <x:c r="N27" s="22" t="n">
        <x:f>IF('Nivel Setorial'!N27="","",'Nivel Setorial'!N27/'Nivel Setorial'!N$5*100)</x:f>
        <x:v>149.26105095198824</x:v>
      </x:c>
      <x:c r="O27" s="22" t="n">
        <x:f>IF('Nivel Setorial'!O27="","",'Nivel Setorial'!O27/'Nivel Setorial'!O$5*100)</x:f>
        <x:v>122.31067798248884</x:v>
      </x:c>
      <x:c r="P27" s="22" t="n">
        <x:f>IF('Nivel Setorial'!P27="","",'Nivel Setorial'!P27/'Nivel Setorial'!P$5*100)</x:f>
        <x:v>127.99342073174597</x:v>
      </x:c>
      <x:c r="Q27" s="22" t="n">
        <x:f>IF('Nivel Setorial'!Q27="","",'Nivel Setorial'!Q27/'Nivel Setorial'!Q$5*100)</x:f>
        <x:v>91.99639510922839</x:v>
      </x:c>
      <x:c r="R27" s="22" t="n">
        <x:f>IF('Nivel Setorial'!R27="","",'Nivel Setorial'!R27/'Nivel Setorial'!R$5*100)</x:f>
        <x:v>122.91346493780493</x:v>
      </x:c>
    </x:row>
    <x:row r="28">
      <x:c r="A28" s="21" t="n">
        <x:f>'Nivel Setorial'!A28</x:f>
        <x:v>40878</x:v>
      </x:c>
      <x:c r="B28" s="22" t="str">
        <x:f>IF('Nivel Setorial'!B28="","",'Nivel Setorial'!B28/'Nivel Setorial'!B$45*100)</x:f>
      </x:c>
      <x:c r="C28" s="22" t="n">
        <x:f>IF('Nivel Setorial'!C28="","",'Nivel Setorial'!C28/'Nivel Setorial'!C$5*100)</x:f>
        <x:v>159.8619890797349</x:v>
      </x:c>
      <x:c r="D28" s="22" t="n">
        <x:f>IF('Nivel Setorial'!D28="","",'Nivel Setorial'!D28/'Nivel Setorial'!D$5*100)</x:f>
        <x:v>172.87281587807362</x:v>
      </x:c>
      <x:c r="E28" s="22" t="str">
        <x:f>IF('Nivel Setorial'!E28="","",'Nivel Setorial'!E28/'Nivel Setorial'!E$49*100)</x:f>
      </x:c>
      <x:c r="F28" s="22" t="n">
        <x:f>IF('Nivel Setorial'!F28="","",'Nivel Setorial'!F28/'Nivel Setorial'!F$5*100)</x:f>
        <x:v>133.64465898814</x:v>
      </x:c>
      <x:c r="G28" s="22" t="n">
        <x:f>IF('Nivel Setorial'!G28="","",'Nivel Setorial'!G28/'Nivel Setorial'!G$5*100)</x:f>
        <x:v>176.39466494959103</x:v>
      </x:c>
      <x:c r="H28" s="22" t="n">
        <x:f>IF('Nivel Setorial'!H28="","",'Nivel Setorial'!H28/'Nivel Setorial'!H$17*100)</x:f>
        <x:v>52.969757901317735</x:v>
      </x:c>
      <x:c r="I28" s="22" t="n">
        <x:f>IF('Nivel Setorial'!I28="","",'Nivel Setorial'!I28/'Nivel Setorial'!I$5*100)</x:f>
        <x:v>160.87149066136467</x:v>
      </x:c>
      <x:c r="J28" s="22" t="n">
        <x:f>IF('Nivel Setorial'!J28="","",'Nivel Setorial'!J28/'Nivel Setorial'!J$25*100)</x:f>
        <x:v>105.47754086586909</x:v>
      </x:c>
      <x:c r="K28" s="22" t="n">
        <x:f>IF('Nivel Setorial'!K28="","",'Nivel Setorial'!K28/'Nivel Setorial'!K$5*100)</x:f>
        <x:v>171.33977204451617</x:v>
      </x:c>
      <x:c r="L28" s="22" t="n">
        <x:f>IF('Nivel Setorial'!L28="","",'Nivel Setorial'!L28/'Nivel Setorial'!L$5*100)</x:f>
        <x:v>132.1775115188425</x:v>
      </x:c>
      <x:c r="M28" s="22" t="n">
        <x:f>IF('Nivel Setorial'!M28="","",'Nivel Setorial'!M28/'Nivel Setorial'!M$5*100)</x:f>
        <x:v>25.371861379921384</x:v>
      </x:c>
      <x:c r="N28" s="22" t="n">
        <x:f>IF('Nivel Setorial'!N28="","",'Nivel Setorial'!N28/'Nivel Setorial'!N$5*100)</x:f>
        <x:v>152.64218925976832</x:v>
      </x:c>
      <x:c r="O28" s="22" t="n">
        <x:f>IF('Nivel Setorial'!O28="","",'Nivel Setorial'!O28/'Nivel Setorial'!O$5*100)</x:f>
        <x:v>123.97920341338381</x:v>
      </x:c>
      <x:c r="P28" s="22" t="n">
        <x:f>IF('Nivel Setorial'!P28="","",'Nivel Setorial'!P28/'Nivel Setorial'!P$5*100)</x:f>
        <x:v>129.7762383432028</x:v>
      </x:c>
      <x:c r="Q28" s="22" t="n">
        <x:f>IF('Nivel Setorial'!Q28="","",'Nivel Setorial'!Q28/'Nivel Setorial'!Q$5*100)</x:f>
        <x:v>98.90012312735905</x:v>
      </x:c>
      <x:c r="R28" s="22" t="n">
        <x:f>IF('Nivel Setorial'!R28="","",'Nivel Setorial'!R28/'Nivel Setorial'!R$5*100)</x:f>
        <x:v>122.44919196453901</x:v>
      </x:c>
    </x:row>
    <x:row r="29">
      <x:c r="A29" s="21" t="n">
        <x:f>'Nivel Setorial'!A29</x:f>
        <x:v>40909</x:v>
      </x:c>
      <x:c r="B29" s="22" t="str">
        <x:f>IF('Nivel Setorial'!B29="","",'Nivel Setorial'!B29/'Nivel Setorial'!B$45*100)</x:f>
      </x:c>
      <x:c r="C29" s="22" t="n">
        <x:f>IF('Nivel Setorial'!C29="","",'Nivel Setorial'!C29/'Nivel Setorial'!C$5*100)</x:f>
        <x:v>159.2048605882639</x:v>
      </x:c>
      <x:c r="D29" s="22" t="n">
        <x:f>IF('Nivel Setorial'!D29="","",'Nivel Setorial'!D29/'Nivel Setorial'!D$5*100)</x:f>
        <x:v>171.6651591046636</x:v>
      </x:c>
      <x:c r="E29" s="22" t="str">
        <x:f>IF('Nivel Setorial'!E29="","",'Nivel Setorial'!E29/'Nivel Setorial'!E$49*100)</x:f>
      </x:c>
      <x:c r="F29" s="22" t="n">
        <x:f>IF('Nivel Setorial'!F29="","",'Nivel Setorial'!F29/'Nivel Setorial'!F$5*100)</x:f>
        <x:v>136.13393515361278</x:v>
      </x:c>
      <x:c r="G29" s="22" t="n">
        <x:f>IF('Nivel Setorial'!G29="","",'Nivel Setorial'!G29/'Nivel Setorial'!G$5*100)</x:f>
        <x:v>158.19657634253463</x:v>
      </x:c>
      <x:c r="H29" s="22" t="n">
        <x:f>IF('Nivel Setorial'!H29="","",'Nivel Setorial'!H29/'Nivel Setorial'!H$17*100)</x:f>
        <x:v>112.22313967727864</x:v>
      </x:c>
      <x:c r="I29" s="22" t="n">
        <x:f>IF('Nivel Setorial'!I29="","",'Nivel Setorial'!I29/'Nivel Setorial'!I$5*100)</x:f>
        <x:v>157.21108679871955</x:v>
      </x:c>
      <x:c r="J29" s="22" t="n">
        <x:f>IF('Nivel Setorial'!J29="","",'Nivel Setorial'!J29/'Nivel Setorial'!J$25*100)</x:f>
        <x:v>105.68242181709373</x:v>
      </x:c>
      <x:c r="K29" s="22" t="n">
        <x:f>IF('Nivel Setorial'!K29="","",'Nivel Setorial'!K29/'Nivel Setorial'!K$5*100)</x:f>
        <x:v>165.22647705903498</x:v>
      </x:c>
      <x:c r="L29" s="22" t="n">
        <x:f>IF('Nivel Setorial'!L29="","",'Nivel Setorial'!L29/'Nivel Setorial'!L$5*100)</x:f>
        <x:v>131.09794312194748</x:v>
      </x:c>
      <x:c r="M29" s="22" t="n">
        <x:f>IF('Nivel Setorial'!M29="","",'Nivel Setorial'!M29/'Nivel Setorial'!M$5*100)</x:f>
        <x:v>24.90099820872837</x:v>
      </x:c>
      <x:c r="N29" s="22" t="n">
        <x:f>IF('Nivel Setorial'!N29="","",'Nivel Setorial'!N29/'Nivel Setorial'!N$5*100)</x:f>
        <x:v>155.06210372033325</x:v>
      </x:c>
      <x:c r="O29" s="22" t="n">
        <x:f>IF('Nivel Setorial'!O29="","",'Nivel Setorial'!O29/'Nivel Setorial'!O$5*100)</x:f>
        <x:v>130.64123481605145</x:v>
      </x:c>
      <x:c r="P29" s="22" t="n">
        <x:f>IF('Nivel Setorial'!P29="","",'Nivel Setorial'!P29/'Nivel Setorial'!P$5*100)</x:f>
        <x:v>128.14505563453693</x:v>
      </x:c>
      <x:c r="Q29" s="22" t="n">
        <x:f>IF('Nivel Setorial'!Q29="","",'Nivel Setorial'!Q29/'Nivel Setorial'!Q$5*100)</x:f>
        <x:v>122.01263462674248</x:v>
      </x:c>
      <x:c r="R29" s="22" t="n">
        <x:f>IF('Nivel Setorial'!R29="","",'Nivel Setorial'!R29/'Nivel Setorial'!R$5*100)</x:f>
        <x:v>125.51301487499241</x:v>
      </x:c>
    </x:row>
    <x:row r="30">
      <x:c r="A30" s="21" t="n">
        <x:f>'Nivel Setorial'!A30</x:f>
        <x:v>40940</x:v>
      </x:c>
      <x:c r="B30" s="22" t="str">
        <x:f>IF('Nivel Setorial'!B30="","",'Nivel Setorial'!B30/'Nivel Setorial'!B$45*100)</x:f>
      </x:c>
      <x:c r="C30" s="22" t="n">
        <x:f>IF('Nivel Setorial'!C30="","",'Nivel Setorial'!C30/'Nivel Setorial'!C$5*100)</x:f>
        <x:v>160.4466151146422</x:v>
      </x:c>
      <x:c r="D30" s="22" t="n">
        <x:f>IF('Nivel Setorial'!D30="","",'Nivel Setorial'!D30/'Nivel Setorial'!D$5*100)</x:f>
        <x:v>164.79007496532952</x:v>
      </x:c>
      <x:c r="E30" s="22" t="str">
        <x:f>IF('Nivel Setorial'!E30="","",'Nivel Setorial'!E30/'Nivel Setorial'!E$49*100)</x:f>
      </x:c>
      <x:c r="F30" s="22" t="n">
        <x:f>IF('Nivel Setorial'!F30="","",'Nivel Setorial'!F30/'Nivel Setorial'!F$5*100)</x:f>
        <x:v>139.55842126853562</x:v>
      </x:c>
      <x:c r="G30" s="22" t="n">
        <x:f>IF('Nivel Setorial'!G30="","",'Nivel Setorial'!G30/'Nivel Setorial'!G$5*100)</x:f>
        <x:v>160.81575568532475</x:v>
      </x:c>
      <x:c r="H30" s="22" t="n">
        <x:f>IF('Nivel Setorial'!H30="","",'Nivel Setorial'!H30/'Nivel Setorial'!H$17*100)</x:f>
        <x:v>113.6734433139039</x:v>
      </x:c>
      <x:c r="I30" s="22" t="n">
        <x:f>IF('Nivel Setorial'!I30="","",'Nivel Setorial'!I30/'Nivel Setorial'!I$5*100)</x:f>
        <x:v>150.51620236197002</x:v>
      </x:c>
      <x:c r="J30" s="22" t="n">
        <x:f>IF('Nivel Setorial'!J30="","",'Nivel Setorial'!J30/'Nivel Setorial'!J$25*100)</x:f>
        <x:v>107.51888887625245</x:v>
      </x:c>
      <x:c r="K30" s="22" t="n">
        <x:f>IF('Nivel Setorial'!K30="","",'Nivel Setorial'!K30/'Nivel Setorial'!K$5*100)</x:f>
        <x:v>151.15843148289974</x:v>
      </x:c>
      <x:c r="L30" s="22" t="n">
        <x:f>IF('Nivel Setorial'!L30="","",'Nivel Setorial'!L30/'Nivel Setorial'!L$5*100)</x:f>
        <x:v>124.639062374124</x:v>
      </x:c>
      <x:c r="M30" s="22" t="n">
        <x:f>IF('Nivel Setorial'!M30="","",'Nivel Setorial'!M30/'Nivel Setorial'!M$5*100)</x:f>
        <x:v>18.93134270204512</x:v>
      </x:c>
      <x:c r="N30" s="22" t="n">
        <x:f>IF('Nivel Setorial'!N30="","",'Nivel Setorial'!N30/'Nivel Setorial'!N$5*100)</x:f>
        <x:v>156.53491265774744</x:v>
      </x:c>
      <x:c r="O30" s="22" t="n">
        <x:f>IF('Nivel Setorial'!O30="","",'Nivel Setorial'!O30/'Nivel Setorial'!O$5*100)</x:f>
        <x:v>136.35025376576613</x:v>
      </x:c>
      <x:c r="P30" s="22" t="n">
        <x:f>IF('Nivel Setorial'!P30="","",'Nivel Setorial'!P30/'Nivel Setorial'!P$5*100)</x:f>
        <x:v>125.15989308005682</x:v>
      </x:c>
      <x:c r="Q30" s="22" t="n">
        <x:f>IF('Nivel Setorial'!Q30="","",'Nivel Setorial'!Q30/'Nivel Setorial'!Q$5*100)</x:f>
        <x:v>124.87976265805194</x:v>
      </x:c>
      <x:c r="R30" s="22" t="n">
        <x:f>IF('Nivel Setorial'!R30="","",'Nivel Setorial'!R30/'Nivel Setorial'!R$5*100)</x:f>
        <x:v>126.5095202241919</x:v>
      </x:c>
    </x:row>
    <x:row r="31">
      <x:c r="A31" s="21" t="n">
        <x:f>'Nivel Setorial'!A31</x:f>
        <x:v>40969</x:v>
      </x:c>
      <x:c r="B31" s="22" t="str">
        <x:f>IF('Nivel Setorial'!B31="","",'Nivel Setorial'!B31/'Nivel Setorial'!B$45*100)</x:f>
      </x:c>
      <x:c r="C31" s="22" t="n">
        <x:f>IF('Nivel Setorial'!C31="","",'Nivel Setorial'!C31/'Nivel Setorial'!C$5*100)</x:f>
        <x:v>162.30166628739576</x:v>
      </x:c>
      <x:c r="D31" s="22" t="n">
        <x:f>IF('Nivel Setorial'!D31="","",'Nivel Setorial'!D31/'Nivel Setorial'!D$5*100)</x:f>
        <x:v>174.7076475871716</x:v>
      </x:c>
      <x:c r="E31" s="22" t="str">
        <x:f>IF('Nivel Setorial'!E31="","",'Nivel Setorial'!E31/'Nivel Setorial'!E$49*100)</x:f>
      </x:c>
      <x:c r="F31" s="22" t="n">
        <x:f>IF('Nivel Setorial'!F31="","",'Nivel Setorial'!F31/'Nivel Setorial'!F$5*100)</x:f>
        <x:v>141.18452355653213</x:v>
      </x:c>
      <x:c r="G31" s="22" t="n">
        <x:f>IF('Nivel Setorial'!G31="","",'Nivel Setorial'!G31/'Nivel Setorial'!G$5*100)</x:f>
        <x:v>169.44409908283512</x:v>
      </x:c>
      <x:c r="H31" s="22" t="n">
        <x:f>IF('Nivel Setorial'!H31="","",'Nivel Setorial'!H31/'Nivel Setorial'!H$17*100)</x:f>
        <x:v>114.17234357670807</x:v>
      </x:c>
      <x:c r="I31" s="22" t="n">
        <x:f>IF('Nivel Setorial'!I31="","",'Nivel Setorial'!I31/'Nivel Setorial'!I$5*100)</x:f>
        <x:v>152.06971641376404</x:v>
      </x:c>
      <x:c r="J31" s="22" t="n">
        <x:f>IF('Nivel Setorial'!J31="","",'Nivel Setorial'!J31/'Nivel Setorial'!J$25*100)</x:f>
        <x:v>110.36262973626647</x:v>
      </x:c>
      <x:c r="K31" s="22" t="n">
        <x:f>IF('Nivel Setorial'!K31="","",'Nivel Setorial'!K31/'Nivel Setorial'!K$5*100)</x:f>
        <x:v>150.35230852179936</x:v>
      </x:c>
      <x:c r="L31" s="22" t="n">
        <x:f>IF('Nivel Setorial'!L31="","",'Nivel Setorial'!L31/'Nivel Setorial'!L$5*100)</x:f>
        <x:v>123.27702865702759</x:v>
      </x:c>
      <x:c r="M31" s="22" t="n">
        <x:f>IF('Nivel Setorial'!M31="","",'Nivel Setorial'!M31/'Nivel Setorial'!M$5*100)</x:f>
        <x:v>13.834797629455334</x:v>
      </x:c>
      <x:c r="N31" s="22" t="n">
        <x:f>IF('Nivel Setorial'!N31="","",'Nivel Setorial'!N31/'Nivel Setorial'!N$5*100)</x:f>
        <x:v>159.18744805697656</x:v>
      </x:c>
      <x:c r="O31" s="22" t="n">
        <x:f>IF('Nivel Setorial'!O31="","",'Nivel Setorial'!O31/'Nivel Setorial'!O$5*100)</x:f>
        <x:v>139.44746703076842</x:v>
      </x:c>
      <x:c r="P31" s="22" t="n">
        <x:f>IF('Nivel Setorial'!P31="","",'Nivel Setorial'!P31/'Nivel Setorial'!P$5*100)</x:f>
        <x:v>126.63212632216782</x:v>
      </x:c>
      <x:c r="Q31" s="22" t="n">
        <x:f>IF('Nivel Setorial'!Q31="","",'Nivel Setorial'!Q31/'Nivel Setorial'!Q$5*100)</x:f>
        <x:v>126.86174237478534</x:v>
      </x:c>
      <x:c r="R31" s="22" t="n">
        <x:f>IF('Nivel Setorial'!R31="","",'Nivel Setorial'!R31/'Nivel Setorial'!R$5*100)</x:f>
        <x:v>125.82693365823046</x:v>
      </x:c>
    </x:row>
    <x:row r="32">
      <x:c r="A32" s="21" t="n">
        <x:f>'Nivel Setorial'!A32</x:f>
        <x:v>41000</x:v>
      </x:c>
      <x:c r="B32" s="22" t="str">
        <x:f>IF('Nivel Setorial'!B32="","",'Nivel Setorial'!B32/'Nivel Setorial'!B$45*100)</x:f>
      </x:c>
      <x:c r="C32" s="22" t="n">
        <x:f>IF('Nivel Setorial'!C32="","",'Nivel Setorial'!C32/'Nivel Setorial'!C$5*100)</x:f>
        <x:v>160.75557724136138</x:v>
      </x:c>
      <x:c r="D32" s="22" t="n">
        <x:f>IF('Nivel Setorial'!D32="","",'Nivel Setorial'!D32/'Nivel Setorial'!D$5*100)</x:f>
        <x:v>194.7003812514773</x:v>
      </x:c>
      <x:c r="E32" s="22" t="str">
        <x:f>IF('Nivel Setorial'!E32="","",'Nivel Setorial'!E32/'Nivel Setorial'!E$49*100)</x:f>
      </x:c>
      <x:c r="F32" s="22" t="n">
        <x:f>IF('Nivel Setorial'!F32="","",'Nivel Setorial'!F32/'Nivel Setorial'!F$5*100)</x:f>
        <x:v>141.6922417595527</x:v>
      </x:c>
      <x:c r="G32" s="22" t="n">
        <x:f>IF('Nivel Setorial'!G32="","",'Nivel Setorial'!G32/'Nivel Setorial'!G$5*100)</x:f>
        <x:v>163.77867805314324</x:v>
      </x:c>
      <x:c r="H32" s="22" t="n">
        <x:f>IF('Nivel Setorial'!H32="","",'Nivel Setorial'!H32/'Nivel Setorial'!H$17*100)</x:f>
        <x:v>115.21780139224296</x:v>
      </x:c>
      <x:c r="I32" s="22" t="n">
        <x:f>IF('Nivel Setorial'!I32="","",'Nivel Setorial'!I32/'Nivel Setorial'!I$5*100)</x:f>
        <x:v>146.8529633557863</x:v>
      </x:c>
      <x:c r="J32" s="22" t="n">
        <x:f>IF('Nivel Setorial'!J32="","",'Nivel Setorial'!J32/'Nivel Setorial'!J$25*100)</x:f>
        <x:v>108.52311675949299</x:v>
      </x:c>
      <x:c r="K32" s="22" t="n">
        <x:f>IF('Nivel Setorial'!K32="","",'Nivel Setorial'!K32/'Nivel Setorial'!K$5*100)</x:f>
        <x:v>149.2871871908707</x:v>
      </x:c>
      <x:c r="L32" s="22" t="n">
        <x:f>IF('Nivel Setorial'!L32="","",'Nivel Setorial'!L32/'Nivel Setorial'!L$5*100)</x:f>
        <x:v>118.88652677368611</x:v>
      </x:c>
      <x:c r="M32" s="22" t="n">
        <x:f>IF('Nivel Setorial'!M32="","",'Nivel Setorial'!M32/'Nivel Setorial'!M$5*100)</x:f>
        <x:v>18.150569762792617</x:v>
      </x:c>
      <x:c r="N32" s="22" t="n">
        <x:f>IF('Nivel Setorial'!N32="","",'Nivel Setorial'!N32/'Nivel Setorial'!N$5*100)</x:f>
        <x:v>160.79542667490932</x:v>
      </x:c>
      <x:c r="O32" s="22" t="n">
        <x:f>IF('Nivel Setorial'!O32="","",'Nivel Setorial'!O32/'Nivel Setorial'!O$5*100)</x:f>
        <x:v>142.7659712637213</x:v>
      </x:c>
      <x:c r="P32" s="22" t="n">
        <x:f>IF('Nivel Setorial'!P32="","",'Nivel Setorial'!P32/'Nivel Setorial'!P$5*100)</x:f>
        <x:v>105.26108631162126</x:v>
      </x:c>
      <x:c r="Q32" s="22" t="n">
        <x:f>IF('Nivel Setorial'!Q32="","",'Nivel Setorial'!Q32/'Nivel Setorial'!Q$5*100)</x:f>
        <x:v>124.1838532174336</x:v>
      </x:c>
      <x:c r="R32" s="22" t="n">
        <x:f>IF('Nivel Setorial'!R32="","",'Nivel Setorial'!R32/'Nivel Setorial'!R$5*100)</x:f>
        <x:v>130.11932553004272</x:v>
      </x:c>
    </x:row>
    <x:row r="33">
      <x:c r="A33" s="21" t="n">
        <x:f>'Nivel Setorial'!A33</x:f>
        <x:v>41030</x:v>
      </x:c>
      <x:c r="B33" s="22" t="str">
        <x:f>IF('Nivel Setorial'!B33="","",'Nivel Setorial'!B33/'Nivel Setorial'!B$45*100)</x:f>
      </x:c>
      <x:c r="C33" s="22" t="n">
        <x:f>IF('Nivel Setorial'!C33="","",'Nivel Setorial'!C33/'Nivel Setorial'!C$5*100)</x:f>
        <x:v>159.8468633622442</x:v>
      </x:c>
      <x:c r="D33" s="22" t="n">
        <x:f>IF('Nivel Setorial'!D33="","",'Nivel Setorial'!D33/'Nivel Setorial'!D$5*100)</x:f>
        <x:v>202.1298146986827</x:v>
      </x:c>
      <x:c r="E33" s="22" t="str">
        <x:f>IF('Nivel Setorial'!E33="","",'Nivel Setorial'!E33/'Nivel Setorial'!E$49*100)</x:f>
      </x:c>
      <x:c r="F33" s="22" t="n">
        <x:f>IF('Nivel Setorial'!F33="","",'Nivel Setorial'!F33/'Nivel Setorial'!F$5*100)</x:f>
        <x:v>136.6301933271292</x:v>
      </x:c>
      <x:c r="G33" s="22" t="n">
        <x:f>IF('Nivel Setorial'!G33="","",'Nivel Setorial'!G33/'Nivel Setorial'!G$5*100)</x:f>
        <x:v>165.19506511422236</x:v>
      </x:c>
      <x:c r="H33" s="22" t="n">
        <x:f>IF('Nivel Setorial'!H33="","",'Nivel Setorial'!H33/'Nivel Setorial'!H$17*100)</x:f>
        <x:v>106.96754019185843</x:v>
      </x:c>
      <x:c r="I33" s="22" t="n">
        <x:f>IF('Nivel Setorial'!I33="","",'Nivel Setorial'!I33/'Nivel Setorial'!I$5*100)</x:f>
        <x:v>134.02962519001684</x:v>
      </x:c>
      <x:c r="J33" s="22" t="n">
        <x:f>IF('Nivel Setorial'!J33="","",'Nivel Setorial'!J33/'Nivel Setorial'!J$25*100)</x:f>
        <x:v>110.4757683016711</x:v>
      </x:c>
      <x:c r="K33" s="22" t="n">
        <x:f>IF('Nivel Setorial'!K33="","",'Nivel Setorial'!K33/'Nivel Setorial'!K$5*100)</x:f>
        <x:v>149.78318696717062</x:v>
      </x:c>
      <x:c r="L33" s="22" t="n">
        <x:f>IF('Nivel Setorial'!L33="","",'Nivel Setorial'!L33/'Nivel Setorial'!L$5*100)</x:f>
        <x:v>117.74548105528937</x:v>
      </x:c>
      <x:c r="M33" s="22" t="n">
        <x:f>IF('Nivel Setorial'!M33="","",'Nivel Setorial'!M33/'Nivel Setorial'!M$5*100)</x:f>
        <x:v>17.861296349554667</x:v>
      </x:c>
      <x:c r="N33" s="22" t="n">
        <x:f>IF('Nivel Setorial'!N33="","",'Nivel Setorial'!N33/'Nivel Setorial'!N$5*100)</x:f>
        <x:v>159.41916506932574</x:v>
      </x:c>
      <x:c r="O33" s="22" t="n">
        <x:f>IF('Nivel Setorial'!O33="","",'Nivel Setorial'!O33/'Nivel Setorial'!O$5*100)</x:f>
        <x:v>145.1591534605987</x:v>
      </x:c>
      <x:c r="P33" s="22" t="n">
        <x:f>IF('Nivel Setorial'!P33="","",'Nivel Setorial'!P33/'Nivel Setorial'!P$5*100)</x:f>
        <x:v>103.82839479620505</x:v>
      </x:c>
      <x:c r="Q33" s="22" t="n">
        <x:f>IF('Nivel Setorial'!Q33="","",'Nivel Setorial'!Q33/'Nivel Setorial'!Q$5*100)</x:f>
        <x:v>122.84134537120035</x:v>
      </x:c>
      <x:c r="R33" s="22" t="n">
        <x:f>IF('Nivel Setorial'!R33="","",'Nivel Setorial'!R33/'Nivel Setorial'!R$5*100)</x:f>
        <x:v>132.44323653578286</x:v>
      </x:c>
    </x:row>
    <x:row r="34">
      <x:c r="A34" s="21" t="n">
        <x:f>'Nivel Setorial'!A34</x:f>
        <x:v>41061</x:v>
      </x:c>
      <x:c r="B34" s="22" t="str">
        <x:f>IF('Nivel Setorial'!B34="","",'Nivel Setorial'!B34/'Nivel Setorial'!B$45*100)</x:f>
      </x:c>
      <x:c r="C34" s="22" t="n">
        <x:f>IF('Nivel Setorial'!C34="","",'Nivel Setorial'!C34/'Nivel Setorial'!C$5*100)</x:f>
        <x:v>159.01453457358562</x:v>
      </x:c>
      <x:c r="D34" s="22" t="n">
        <x:f>IF('Nivel Setorial'!D34="","",'Nivel Setorial'!D34/'Nivel Setorial'!D$5*100)</x:f>
        <x:v>208.14944424490295</x:v>
      </x:c>
      <x:c r="E34" s="22" t="str">
        <x:f>IF('Nivel Setorial'!E34="","",'Nivel Setorial'!E34/'Nivel Setorial'!E$49*100)</x:f>
      </x:c>
      <x:c r="F34" s="22" t="n">
        <x:f>IF('Nivel Setorial'!F34="","",'Nivel Setorial'!F34/'Nivel Setorial'!F$5*100)</x:f>
        <x:v>135.7042069659247</x:v>
      </x:c>
      <x:c r="G34" s="22" t="n">
        <x:f>IF('Nivel Setorial'!G34="","",'Nivel Setorial'!G34/'Nivel Setorial'!G$5*100)</x:f>
        <x:v>164.41984883829306</x:v>
      </x:c>
      <x:c r="H34" s="22" t="n">
        <x:f>IF('Nivel Setorial'!H34="","",'Nivel Setorial'!H34/'Nivel Setorial'!H$17*100)</x:f>
        <x:v>104.7942645895775</x:v>
      </x:c>
      <x:c r="I34" s="22" t="n">
        <x:f>IF('Nivel Setorial'!I34="","",'Nivel Setorial'!I34/'Nivel Setorial'!I$5*100)</x:f>
        <x:v>119.90382566026565</x:v>
      </x:c>
      <x:c r="J34" s="22" t="n">
        <x:f>IF('Nivel Setorial'!J34="","",'Nivel Setorial'!J34/'Nivel Setorial'!J$25*100)</x:f>
        <x:v>113.45326777237203</x:v>
      </x:c>
      <x:c r="K34" s="22" t="n">
        <x:f>IF('Nivel Setorial'!K34="","",'Nivel Setorial'!K34/'Nivel Setorial'!K$5*100)</x:f>
        <x:v>150.13618908998498</x:v>
      </x:c>
      <x:c r="L34" s="22" t="n">
        <x:f>IF('Nivel Setorial'!L34="","",'Nivel Setorial'!L34/'Nivel Setorial'!L$5*100)</x:f>
        <x:v>111.57741436536011</x:v>
      </x:c>
      <x:c r="M34" s="22" t="n">
        <x:f>IF('Nivel Setorial'!M34="","",'Nivel Setorial'!M34/'Nivel Setorial'!M$5*100)</x:f>
        <x:v>18.15914849461605</x:v>
      </x:c>
      <x:c r="N34" s="22" t="n">
        <x:f>IF('Nivel Setorial'!N34="","",'Nivel Setorial'!N34/'Nivel Setorial'!N$5*100)</x:f>
        <x:v>161.3047443505108</x:v>
      </x:c>
      <x:c r="O34" s="22" t="n">
        <x:f>IF('Nivel Setorial'!O34="","",'Nivel Setorial'!O34/'Nivel Setorial'!O$5*100)</x:f>
        <x:v>146.1191422369818</x:v>
      </x:c>
      <x:c r="P34" s="22" t="n">
        <x:f>IF('Nivel Setorial'!P34="","",'Nivel Setorial'!P34/'Nivel Setorial'!P$5*100)</x:f>
        <x:v>100.91458351348778</x:v>
      </x:c>
      <x:c r="Q34" s="22" t="n">
        <x:f>IF('Nivel Setorial'!Q34="","",'Nivel Setorial'!Q34/'Nivel Setorial'!Q$5*100)</x:f>
        <x:v>109.24531013335765</x:v>
      </x:c>
      <x:c r="R34" s="22" t="n">
        <x:f>IF('Nivel Setorial'!R34="","",'Nivel Setorial'!R34/'Nivel Setorial'!R$5*100)</x:f>
        <x:v>132.13454542225256</x:v>
      </x:c>
    </x:row>
    <x:row r="35">
      <x:c r="A35" s="21" t="n">
        <x:f>'Nivel Setorial'!A35</x:f>
        <x:v>41091</x:v>
      </x:c>
      <x:c r="B35" s="22" t="str">
        <x:f>IF('Nivel Setorial'!B35="","",'Nivel Setorial'!B35/'Nivel Setorial'!B$45*100)</x:f>
      </x:c>
      <x:c r="C35" s="22" t="n">
        <x:f>IF('Nivel Setorial'!C35="","",'Nivel Setorial'!C35/'Nivel Setorial'!C$5*100)</x:f>
        <x:v>156.74263171604755</x:v>
      </x:c>
      <x:c r="D35" s="22" t="n">
        <x:f>IF('Nivel Setorial'!D35="","",'Nivel Setorial'!D35/'Nivel Setorial'!D$5*100)</x:f>
        <x:v>216.17789947737342</x:v>
      </x:c>
      <x:c r="E35" s="22" t="str">
        <x:f>IF('Nivel Setorial'!E35="","",'Nivel Setorial'!E35/'Nivel Setorial'!E$49*100)</x:f>
      </x:c>
      <x:c r="F35" s="22" t="n">
        <x:f>IF('Nivel Setorial'!F35="","",'Nivel Setorial'!F35/'Nivel Setorial'!F$5*100)</x:f>
        <x:v>136.0796039860595</x:v>
      </x:c>
      <x:c r="G35" s="22" t="n">
        <x:f>IF('Nivel Setorial'!G35="","",'Nivel Setorial'!G35/'Nivel Setorial'!G$5*100)</x:f>
        <x:v>165.05532245935433</x:v>
      </x:c>
      <x:c r="H35" s="22" t="n">
        <x:f>IF('Nivel Setorial'!H35="","",'Nivel Setorial'!H35/'Nivel Setorial'!H$17*100)</x:f>
        <x:v>107.33710753405975</x:v>
      </x:c>
      <x:c r="I35" s="22" t="n">
        <x:f>IF('Nivel Setorial'!I35="","",'Nivel Setorial'!I35/'Nivel Setorial'!I$5*100)</x:f>
        <x:v>113.58588242927212</x:v>
      </x:c>
      <x:c r="J35" s="22" t="n">
        <x:f>IF('Nivel Setorial'!J35="","",'Nivel Setorial'!J35/'Nivel Setorial'!J$25*100)</x:f>
        <x:v>107.53285685186455</x:v>
      </x:c>
      <x:c r="K35" s="22" t="n">
        <x:f>IF('Nivel Setorial'!K35="","",'Nivel Setorial'!K35/'Nivel Setorial'!K$5*100)</x:f>
        <x:v>135.5065305564698</x:v>
      </x:c>
      <x:c r="L35" s="22" t="n">
        <x:f>IF('Nivel Setorial'!L35="","",'Nivel Setorial'!L35/'Nivel Setorial'!L$5*100)</x:f>
        <x:v>111.20795857194383</x:v>
      </x:c>
      <x:c r="M35" s="22" t="n">
        <x:f>IF('Nivel Setorial'!M35="","",'Nivel Setorial'!M35/'Nivel Setorial'!M$5*100)</x:f>
        <x:v>26.22657611104662</x:v>
      </x:c>
      <x:c r="N35" s="22" t="n">
        <x:f>IF('Nivel Setorial'!N35="","",'Nivel Setorial'!N35/'Nivel Setorial'!N$5*100)</x:f>
        <x:v>163.6887473652191</x:v>
      </x:c>
      <x:c r="O35" s="22" t="n">
        <x:f>IF('Nivel Setorial'!O35="","",'Nivel Setorial'!O35/'Nivel Setorial'!O$5*100)</x:f>
        <x:v>149.02391076038043</x:v>
      </x:c>
      <x:c r="P35" s="22" t="n">
        <x:f>IF('Nivel Setorial'!P35="","",'Nivel Setorial'!P35/'Nivel Setorial'!P$5*100)</x:f>
        <x:v>101.59707362748304</x:v>
      </x:c>
      <x:c r="Q35" s="22" t="n">
        <x:f>IF('Nivel Setorial'!Q35="","",'Nivel Setorial'!Q35/'Nivel Setorial'!Q$5*100)</x:f>
        <x:v>113.00802327540237</x:v>
      </x:c>
      <x:c r="R35" s="22" t="n">
        <x:f>IF('Nivel Setorial'!R35="","",'Nivel Setorial'!R35/'Nivel Setorial'!R$5*100)</x:f>
        <x:v>132.44017634857198</x:v>
      </x:c>
    </x:row>
    <x:row r="36">
      <x:c r="A36" s="21" t="n">
        <x:f>'Nivel Setorial'!A36</x:f>
        <x:v>41122</x:v>
      </x:c>
      <x:c r="B36" s="22" t="str">
        <x:f>IF('Nivel Setorial'!B36="","",'Nivel Setorial'!B36/'Nivel Setorial'!B$45*100)</x:f>
      </x:c>
      <x:c r="C36" s="22" t="n">
        <x:f>IF('Nivel Setorial'!C36="","",'Nivel Setorial'!C36/'Nivel Setorial'!C$5*100)</x:f>
        <x:v>156.69642363844315</x:v>
      </x:c>
      <x:c r="D36" s="22" t="n">
        <x:f>IF('Nivel Setorial'!D36="","",'Nivel Setorial'!D36/'Nivel Setorial'!D$5*100)</x:f>
        <x:v>216.15522882613524</x:v>
      </x:c>
      <x:c r="E36" s="22" t="str">
        <x:f>IF('Nivel Setorial'!E36="","",'Nivel Setorial'!E36/'Nivel Setorial'!E$49*100)</x:f>
      </x:c>
      <x:c r="F36" s="22" t="n">
        <x:f>IF('Nivel Setorial'!F36="","",'Nivel Setorial'!F36/'Nivel Setorial'!F$5*100)</x:f>
        <x:v>137.0186070867309</x:v>
      </x:c>
      <x:c r="G36" s="22" t="n">
        <x:f>IF('Nivel Setorial'!G36="","",'Nivel Setorial'!G36/'Nivel Setorial'!G$5*100)</x:f>
        <x:v>165.2637938010613</x:v>
      </x:c>
      <x:c r="H36" s="22" t="n">
        <x:f>IF('Nivel Setorial'!H36="","",'Nivel Setorial'!H36/'Nivel Setorial'!H$17*100)</x:f>
        <x:v>102.71791922418043</x:v>
      </x:c>
      <x:c r="I36" s="22" t="n">
        <x:f>IF('Nivel Setorial'!I36="","",'Nivel Setorial'!I36/'Nivel Setorial'!I$5*100)</x:f>
        <x:v>105.304458763801</x:v>
      </x:c>
      <x:c r="J36" s="22" t="n">
        <x:f>IF('Nivel Setorial'!J36="","",'Nivel Setorial'!J36/'Nivel Setorial'!J$25*100)</x:f>
        <x:v>116.40414015537588</x:v>
      </x:c>
      <x:c r="K36" s="22" t="n">
        <x:f>IF('Nivel Setorial'!K36="","",'Nivel Setorial'!K36/'Nivel Setorial'!K$5*100)</x:f>
        <x:v>126.55529430553646</x:v>
      </x:c>
      <x:c r="L36" s="22" t="n">
        <x:f>IF('Nivel Setorial'!L36="","",'Nivel Setorial'!L36/'Nivel Setorial'!L$5*100)</x:f>
        <x:v>108.08476925910409</x:v>
      </x:c>
      <x:c r="M36" s="22" t="n">
        <x:f>IF('Nivel Setorial'!M36="","",'Nivel Setorial'!M36/'Nivel Setorial'!M$5*100)</x:f>
        <x:v>26.877019418093816</x:v>
      </x:c>
      <x:c r="N36" s="22" t="n">
        <x:f>IF('Nivel Setorial'!N36="","",'Nivel Setorial'!N36/'Nivel Setorial'!N$5*100)</x:f>
        <x:v>165.08134867420608</x:v>
      </x:c>
      <x:c r="O36" s="22" t="n">
        <x:f>IF('Nivel Setorial'!O36="","",'Nivel Setorial'!O36/'Nivel Setorial'!O$5*100)</x:f>
        <x:v>154.56614278506476</x:v>
      </x:c>
      <x:c r="P36" s="22" t="n">
        <x:f>IF('Nivel Setorial'!P36="","",'Nivel Setorial'!P36/'Nivel Setorial'!P$5*100)</x:f>
        <x:v>96.87101489735613</x:v>
      </x:c>
      <x:c r="Q36" s="22" t="n">
        <x:f>IF('Nivel Setorial'!Q36="","",'Nivel Setorial'!Q36/'Nivel Setorial'!Q$5*100)</x:f>
        <x:v>108.03520850619861</x:v>
      </x:c>
      <x:c r="R36" s="22" t="n">
        <x:f>IF('Nivel Setorial'!R36="","",'Nivel Setorial'!R36/'Nivel Setorial'!R$5*100)</x:f>
        <x:v>135.6215190873378</x:v>
      </x:c>
    </x:row>
    <x:row r="37">
      <x:c r="A37" s="21" t="n">
        <x:f>'Nivel Setorial'!A37</x:f>
        <x:v>41153</x:v>
      </x:c>
      <x:c r="B37" s="22" t="str">
        <x:f>IF('Nivel Setorial'!B37="","",'Nivel Setorial'!B37/'Nivel Setorial'!B$45*100)</x:f>
      </x:c>
      <x:c r="C37" s="22" t="n">
        <x:f>IF('Nivel Setorial'!C37="","",'Nivel Setorial'!C37/'Nivel Setorial'!C$5*100)</x:f>
        <x:v>156.98412031418079</x:v>
      </x:c>
      <x:c r="D37" s="22" t="n">
        <x:f>IF('Nivel Setorial'!D37="","",'Nivel Setorial'!D37/'Nivel Setorial'!D$5*100)</x:f>
        <x:v>213.58095956308372</x:v>
      </x:c>
      <x:c r="E37" s="22" t="str">
        <x:f>IF('Nivel Setorial'!E37="","",'Nivel Setorial'!E37/'Nivel Setorial'!E$49*100)</x:f>
      </x:c>
      <x:c r="F37" s="22" t="n">
        <x:f>IF('Nivel Setorial'!F37="","",'Nivel Setorial'!F37/'Nivel Setorial'!F$5*100)</x:f>
        <x:v>120.70678299179505</x:v>
      </x:c>
      <x:c r="G37" s="22" t="n">
        <x:f>IF('Nivel Setorial'!G37="","",'Nivel Setorial'!G37/'Nivel Setorial'!G$5*100)</x:f>
        <x:v>163.8720930180474</x:v>
      </x:c>
      <x:c r="H37" s="22" t="n">
        <x:f>IF('Nivel Setorial'!H37="","",'Nivel Setorial'!H37/'Nivel Setorial'!H$17*100)</x:f>
        <x:v>104.44489682464769</x:v>
      </x:c>
      <x:c r="I37" s="22" t="n">
        <x:f>IF('Nivel Setorial'!I37="","",'Nivel Setorial'!I37/'Nivel Setorial'!I$5*100)</x:f>
        <x:v>103.81169944466804</x:v>
      </x:c>
      <x:c r="J37" s="22" t="n">
        <x:f>IF('Nivel Setorial'!J37="","",'Nivel Setorial'!J37/'Nivel Setorial'!J$25*100)</x:f>
        <x:v>115.40981279900258</x:v>
      </x:c>
      <x:c r="K37" s="22" t="n">
        <x:f>IF('Nivel Setorial'!K37="","",'Nivel Setorial'!K37/'Nivel Setorial'!K$5*100)</x:f>
        <x:v>115.06401749552107</x:v>
      </x:c>
      <x:c r="L37" s="22" t="n">
        <x:f>IF('Nivel Setorial'!L37="","",'Nivel Setorial'!L37/'Nivel Setorial'!L$5*100)</x:f>
        <x:v>109.72025802312228</x:v>
      </x:c>
      <x:c r="M37" s="22" t="n">
        <x:f>IF('Nivel Setorial'!M37="","",'Nivel Setorial'!M37/'Nivel Setorial'!M$5*100)</x:f>
        <x:v>33.0732997947172</x:v>
      </x:c>
      <x:c r="N37" s="22" t="n">
        <x:f>IF('Nivel Setorial'!N37="","",'Nivel Setorial'!N37/'Nivel Setorial'!N$5*100)</x:f>
        <x:v>165.01367910864496</x:v>
      </x:c>
      <x:c r="O37" s="22" t="n">
        <x:f>IF('Nivel Setorial'!O37="","",'Nivel Setorial'!O37/'Nivel Setorial'!O$5*100)</x:f>
        <x:v>149.4403198753841</x:v>
      </x:c>
      <x:c r="P37" s="22" t="n">
        <x:f>IF('Nivel Setorial'!P37="","",'Nivel Setorial'!P37/'Nivel Setorial'!P$5*100)</x:f>
        <x:v>96.77238049621083</x:v>
      </x:c>
      <x:c r="Q37" s="22" t="n">
        <x:f>IF('Nivel Setorial'!Q37="","",'Nivel Setorial'!Q37/'Nivel Setorial'!Q$5*100)</x:f>
        <x:v>105.39268388352059</x:v>
      </x:c>
      <x:c r="R37" s="22" t="n">
        <x:f>IF('Nivel Setorial'!R37="","",'Nivel Setorial'!R37/'Nivel Setorial'!R$5*100)</x:f>
        <x:v>131.9055751200444</x:v>
      </x:c>
    </x:row>
    <x:row r="38">
      <x:c r="A38" s="21" t="n">
        <x:f>'Nivel Setorial'!A38</x:f>
        <x:v>41183</x:v>
      </x:c>
      <x:c r="B38" s="22" t="str">
        <x:f>IF('Nivel Setorial'!B38="","",'Nivel Setorial'!B38/'Nivel Setorial'!B$45*100)</x:f>
      </x:c>
      <x:c r="C38" s="22" t="n">
        <x:f>IF('Nivel Setorial'!C38="","",'Nivel Setorial'!C38/'Nivel Setorial'!C$5*100)</x:f>
        <x:v>155.88677849410587</x:v>
      </x:c>
      <x:c r="D38" s="22" t="n">
        <x:f>IF('Nivel Setorial'!D38="","",'Nivel Setorial'!D38/'Nivel Setorial'!D$5*100)</x:f>
        <x:v>210.4346374557648</x:v>
      </x:c>
      <x:c r="E38" s="22" t="str">
        <x:f>IF('Nivel Setorial'!E38="","",'Nivel Setorial'!E38/'Nivel Setorial'!E$49*100)</x:f>
      </x:c>
      <x:c r="F38" s="22" t="n">
        <x:f>IF('Nivel Setorial'!F38="","",'Nivel Setorial'!F38/'Nivel Setorial'!F$5*100)</x:f>
        <x:v>120.02743267183442</x:v>
      </x:c>
      <x:c r="G38" s="22" t="n">
        <x:f>IF('Nivel Setorial'!G38="","",'Nivel Setorial'!G38/'Nivel Setorial'!G$5*100)</x:f>
        <x:v>166.46149852834603</x:v>
      </x:c>
      <x:c r="H38" s="22" t="n">
        <x:f>IF('Nivel Setorial'!H38="","",'Nivel Setorial'!H38/'Nivel Setorial'!H$17*100)</x:f>
        <x:v>106.1559175222049</x:v>
      </x:c>
      <x:c r="I38" s="22" t="n">
        <x:f>IF('Nivel Setorial'!I38="","",'Nivel Setorial'!I38/'Nivel Setorial'!I$5*100)</x:f>
        <x:v>102.41070808561223</x:v>
      </x:c>
      <x:c r="J38" s="22" t="n">
        <x:f>IF('Nivel Setorial'!J38="","",'Nivel Setorial'!J38/'Nivel Setorial'!J$25*100)</x:f>
        <x:v>119.5323770249022</x:v>
      </x:c>
      <x:c r="K38" s="22" t="n">
        <x:f>IF('Nivel Setorial'!K38="","",'Nivel Setorial'!K38/'Nivel Setorial'!K$5*100)</x:f>
        <x:v>106.4772225712542</x:v>
      </x:c>
      <x:c r="L38" s="22" t="n">
        <x:f>IF('Nivel Setorial'!L38="","",'Nivel Setorial'!L38/'Nivel Setorial'!L$5*100)</x:f>
        <x:v>106.939453213525</x:v>
      </x:c>
      <x:c r="M38" s="22" t="n">
        <x:f>IF('Nivel Setorial'!M38="","",'Nivel Setorial'!M38/'Nivel Setorial'!M$5*100)</x:f>
        <x:v>37.247151950427096</x:v>
      </x:c>
      <x:c r="N38" s="22" t="n">
        <x:f>IF('Nivel Setorial'!N38="","",'Nivel Setorial'!N38/'Nivel Setorial'!N$5*100)</x:f>
        <x:v>166.50397230670882</x:v>
      </x:c>
      <x:c r="O38" s="22" t="n">
        <x:f>IF('Nivel Setorial'!O38="","",'Nivel Setorial'!O38/'Nivel Setorial'!O$5*100)</x:f>
        <x:v>150.7606998628088</x:v>
      </x:c>
      <x:c r="P38" s="22" t="n">
        <x:f>IF('Nivel Setorial'!P38="","",'Nivel Setorial'!P38/'Nivel Setorial'!P$5*100)</x:f>
        <x:v>98.37165437756022</x:v>
      </x:c>
      <x:c r="Q38" s="22" t="n">
        <x:f>IF('Nivel Setorial'!Q38="","",'Nivel Setorial'!Q38/'Nivel Setorial'!Q$5*100)</x:f>
        <x:v>109.43705966723255</x:v>
      </x:c>
      <x:c r="R38" s="22" t="n">
        <x:f>IF('Nivel Setorial'!R38="","",'Nivel Setorial'!R38/'Nivel Setorial'!R$5*100)</x:f>
        <x:v>131.75456392004892</x:v>
      </x:c>
    </x:row>
    <x:row r="39">
      <x:c r="A39" s="21" t="n">
        <x:f>'Nivel Setorial'!A39</x:f>
        <x:v>41214</x:v>
      </x:c>
      <x:c r="B39" s="22" t="str">
        <x:f>IF('Nivel Setorial'!B39="","",'Nivel Setorial'!B39/'Nivel Setorial'!B$45*100)</x:f>
      </x:c>
      <x:c r="C39" s="22" t="n">
        <x:f>IF('Nivel Setorial'!C39="","",'Nivel Setorial'!C39/'Nivel Setorial'!C$5*100)</x:f>
        <x:v>153.30877184563326</x:v>
      </x:c>
      <x:c r="D39" s="22" t="n">
        <x:f>IF('Nivel Setorial'!D39="","",'Nivel Setorial'!D39/'Nivel Setorial'!D$5*100)</x:f>
        <x:v>215.23224446669857</x:v>
      </x:c>
      <x:c r="E39" s="22" t="str">
        <x:f>IF('Nivel Setorial'!E39="","",'Nivel Setorial'!E39/'Nivel Setorial'!E$49*100)</x:f>
      </x:c>
      <x:c r="F39" s="22" t="n">
        <x:f>IF('Nivel Setorial'!F39="","",'Nivel Setorial'!F39/'Nivel Setorial'!F$5*100)</x:f>
        <x:v>121.34341449224382</x:v>
      </x:c>
      <x:c r="G39" s="22" t="n">
        <x:f>IF('Nivel Setorial'!G39="","",'Nivel Setorial'!G39/'Nivel Setorial'!G$5*100)</x:f>
        <x:v>167.49556222667522</x:v>
      </x:c>
      <x:c r="H39" s="22" t="n">
        <x:f>IF('Nivel Setorial'!H39="","",'Nivel Setorial'!H39/'Nivel Setorial'!H$17*100)</x:f>
        <x:v>107.21462454712135</x:v>
      </x:c>
      <x:c r="I39" s="22" t="n">
        <x:f>IF('Nivel Setorial'!I39="","",'Nivel Setorial'!I39/'Nivel Setorial'!I$5*100)</x:f>
        <x:v>103.14326250130657</x:v>
      </x:c>
      <x:c r="J39" s="22" t="n">
        <x:f>IF('Nivel Setorial'!J39="","",'Nivel Setorial'!J39/'Nivel Setorial'!J$25*100)</x:f>
        <x:v>122.60401879692712</x:v>
      </x:c>
      <x:c r="K39" s="22" t="n">
        <x:f>IF('Nivel Setorial'!K39="","",'Nivel Setorial'!K39/'Nivel Setorial'!K$5*100)</x:f>
        <x:v>105.36309168725056</x:v>
      </x:c>
      <x:c r="L39" s="22" t="n">
        <x:f>IF('Nivel Setorial'!L39="","",'Nivel Setorial'!L39/'Nivel Setorial'!L$5*100)</x:f>
        <x:v>105.23192356630702</x:v>
      </x:c>
      <x:c r="M39" s="22" t="n">
        <x:f>IF('Nivel Setorial'!M39="","",'Nivel Setorial'!M39/'Nivel Setorial'!M$5*100)</x:f>
        <x:v>39.43755274164343</x:v>
      </x:c>
      <x:c r="N39" s="22" t="n">
        <x:f>IF('Nivel Setorial'!N39="","",'Nivel Setorial'!N39/'Nivel Setorial'!N$5*100)</x:f>
        <x:v>170.33824345566805</x:v>
      </x:c>
      <x:c r="O39" s="22" t="n">
        <x:f>IF('Nivel Setorial'!O39="","",'Nivel Setorial'!O39/'Nivel Setorial'!O$5*100)</x:f>
        <x:v>158.13403345644235</x:v>
      </x:c>
      <x:c r="P39" s="22" t="n">
        <x:f>IF('Nivel Setorial'!P39="","",'Nivel Setorial'!P39/'Nivel Setorial'!P$5*100)</x:f>
        <x:v>98.2403610331438</x:v>
      </x:c>
      <x:c r="Q39" s="22" t="n">
        <x:f>IF('Nivel Setorial'!Q39="","",'Nivel Setorial'!Q39/'Nivel Setorial'!Q$5*100)</x:f>
        <x:v>108.6313039361918</x:v>
      </x:c>
      <x:c r="R39" s="22" t="n">
        <x:f>IF('Nivel Setorial'!R39="","",'Nivel Setorial'!R39/'Nivel Setorial'!R$5*100)</x:f>
        <x:v>97.02338080699867</x:v>
      </x:c>
    </x:row>
    <x:row r="40">
      <x:c r="A40" s="21" t="n">
        <x:f>'Nivel Setorial'!A40</x:f>
        <x:v>41244</x:v>
      </x:c>
      <x:c r="B40" s="22" t="str">
        <x:f>IF('Nivel Setorial'!B40="","",'Nivel Setorial'!B40/'Nivel Setorial'!B$45*100)</x:f>
      </x:c>
      <x:c r="C40" s="22" t="n">
        <x:f>IF('Nivel Setorial'!C40="","",'Nivel Setorial'!C40/'Nivel Setorial'!C$5*100)</x:f>
        <x:v>156.09871668067893</x:v>
      </x:c>
      <x:c r="D40" s="22" t="n">
        <x:f>IF('Nivel Setorial'!D40="","",'Nivel Setorial'!D40/'Nivel Setorial'!D$5*100)</x:f>
        <x:v>213.25282829116955</x:v>
      </x:c>
      <x:c r="E40" s="22" t="str">
        <x:f>IF('Nivel Setorial'!E40="","",'Nivel Setorial'!E40/'Nivel Setorial'!E$49*100)</x:f>
      </x:c>
      <x:c r="F40" s="22" t="n">
        <x:f>IF('Nivel Setorial'!F40="","",'Nivel Setorial'!F40/'Nivel Setorial'!F$5*100)</x:f>
        <x:v>126.53186238135183</x:v>
      </x:c>
      <x:c r="G40" s="22" t="n">
        <x:f>IF('Nivel Setorial'!G40="","",'Nivel Setorial'!G40/'Nivel Setorial'!G$5*100)</x:f>
        <x:v>169.46076628608068</x:v>
      </x:c>
      <x:c r="H40" s="22" t="n">
        <x:f>IF('Nivel Setorial'!H40="","",'Nivel Setorial'!H40/'Nivel Setorial'!H$17*100)</x:f>
        <x:v>112.48045947218795</x:v>
      </x:c>
      <x:c r="I40" s="22" t="n">
        <x:f>IF('Nivel Setorial'!I40="","",'Nivel Setorial'!I40/'Nivel Setorial'!I$5*100)</x:f>
        <x:v>105.15487483694474</x:v>
      </x:c>
      <x:c r="J40" s="22" t="n">
        <x:f>IF('Nivel Setorial'!J40="","",'Nivel Setorial'!J40/'Nivel Setorial'!J$25*100)</x:f>
        <x:v>125.13822687308269</x:v>
      </x:c>
      <x:c r="K40" s="22" t="n">
        <x:f>IF('Nivel Setorial'!K40="","",'Nivel Setorial'!K40/'Nivel Setorial'!K$5*100)</x:f>
        <x:v>106.88318581592856</x:v>
      </x:c>
      <x:c r="L40" s="22" t="n">
        <x:f>IF('Nivel Setorial'!L40="","",'Nivel Setorial'!L40/'Nivel Setorial'!L$5*100)</x:f>
        <x:v>106.97956813005653</x:v>
      </x:c>
      <x:c r="M40" s="22" t="n">
        <x:f>IF('Nivel Setorial'!M40="","",'Nivel Setorial'!M40/'Nivel Setorial'!M$5*100)</x:f>
        <x:v>47.917038234256346</x:v>
      </x:c>
      <x:c r="N40" s="22" t="n">
        <x:f>IF('Nivel Setorial'!N40="","",'Nivel Setorial'!N40/'Nivel Setorial'!N$5*100)</x:f>
        <x:v>171.8326803971107</x:v>
      </x:c>
      <x:c r="O40" s="22" t="n">
        <x:f>IF('Nivel Setorial'!O40="","",'Nivel Setorial'!O40/'Nivel Setorial'!O$5*100)</x:f>
        <x:v>161.10156046531222</x:v>
      </x:c>
      <x:c r="P40" s="22" t="n">
        <x:f>IF('Nivel Setorial'!P40="","",'Nivel Setorial'!P40/'Nivel Setorial'!P$5*100)</x:f>
        <x:v>98.63041796772431</x:v>
      </x:c>
      <x:c r="Q40" s="22" t="n">
        <x:f>IF('Nivel Setorial'!Q40="","",'Nivel Setorial'!Q40/'Nivel Setorial'!Q$5*100)</x:f>
        <x:v>113.85531883934212</x:v>
      </x:c>
      <x:c r="R40" s="22" t="n">
        <x:f>IF('Nivel Setorial'!R40="","",'Nivel Setorial'!R40/'Nivel Setorial'!R$5*100)</x:f>
        <x:v>104.78773301330244</x:v>
      </x:c>
    </x:row>
    <x:row r="41">
      <x:c r="A41" s="21" t="n">
        <x:f>'Nivel Setorial'!A41</x:f>
        <x:v>41275</x:v>
      </x:c>
      <x:c r="B41" s="22" t="str">
        <x:f>IF('Nivel Setorial'!B41="","",'Nivel Setorial'!B41/'Nivel Setorial'!B$45*100)</x:f>
      </x:c>
      <x:c r="C41" s="22" t="n">
        <x:f>IF('Nivel Setorial'!C41="","",'Nivel Setorial'!C41/'Nivel Setorial'!C$5*100)</x:f>
        <x:v>153.08650353373463</x:v>
      </x:c>
      <x:c r="D41" s="22" t="n">
        <x:f>IF('Nivel Setorial'!D41="","",'Nivel Setorial'!D41/'Nivel Setorial'!D$5*100)</x:f>
        <x:v>197.23502857479446</x:v>
      </x:c>
      <x:c r="E41" s="22" t="str">
        <x:f>IF('Nivel Setorial'!E41="","",'Nivel Setorial'!E41/'Nivel Setorial'!E$49*100)</x:f>
      </x:c>
      <x:c r="F41" s="22" t="n">
        <x:f>IF('Nivel Setorial'!F41="","",'Nivel Setorial'!F41/'Nivel Setorial'!F$5*100)</x:f>
        <x:v>128.37350843984893</x:v>
      </x:c>
      <x:c r="G41" s="22" t="n">
        <x:f>IF('Nivel Setorial'!G41="","",'Nivel Setorial'!G41/'Nivel Setorial'!G$5*100)</x:f>
        <x:v>173.84857010893347</x:v>
      </x:c>
      <x:c r="H41" s="22" t="n">
        <x:f>IF('Nivel Setorial'!H41="","",'Nivel Setorial'!H41/'Nivel Setorial'!H$17*100)</x:f>
        <x:v>114.22742647936121</x:v>
      </x:c>
      <x:c r="I41" s="22" t="n">
        <x:f>IF('Nivel Setorial'!I41="","",'Nivel Setorial'!I41/'Nivel Setorial'!I$5*100)</x:f>
        <x:v>102.10957693499812</x:v>
      </x:c>
      <x:c r="J41" s="22" t="n">
        <x:f>IF('Nivel Setorial'!J41="","",'Nivel Setorial'!J41/'Nivel Setorial'!J$25*100)</x:f>
        <x:v>126.88750668176606</x:v>
      </x:c>
      <x:c r="K41" s="22" t="n">
        <x:f>IF('Nivel Setorial'!K41="","",'Nivel Setorial'!K41/'Nivel Setorial'!K$5*100)</x:f>
        <x:v>102.52858712160253</x:v>
      </x:c>
      <x:c r="L41" s="22" t="n">
        <x:f>IF('Nivel Setorial'!L41="","",'Nivel Setorial'!L41/'Nivel Setorial'!L$5*100)</x:f>
        <x:v>109.2199348695966</x:v>
      </x:c>
      <x:c r="M41" s="22" t="n">
        <x:f>IF('Nivel Setorial'!M41="","",'Nivel Setorial'!M41/'Nivel Setorial'!M$5*100)</x:f>
        <x:v>60.772200309830716</x:v>
      </x:c>
      <x:c r="N41" s="22" t="n">
        <x:f>IF('Nivel Setorial'!N41="","",'Nivel Setorial'!N41/'Nivel Setorial'!N$5*100)</x:f>
        <x:v>172.70600927012265</x:v>
      </x:c>
      <x:c r="O41" s="22" t="n">
        <x:f>IF('Nivel Setorial'!O41="","",'Nivel Setorial'!O41/'Nivel Setorial'!O$5*100)</x:f>
        <x:v>174.13869362228164</x:v>
      </x:c>
      <x:c r="P41" s="22" t="n">
        <x:f>IF('Nivel Setorial'!P41="","",'Nivel Setorial'!P41/'Nivel Setorial'!P$5*100)</x:f>
        <x:v>97.93312884895245</x:v>
      </x:c>
      <x:c r="Q41" s="22" t="n">
        <x:f>IF('Nivel Setorial'!Q41="","",'Nivel Setorial'!Q41/'Nivel Setorial'!Q$5*100)</x:f>
        <x:v>117.2866751196687</x:v>
      </x:c>
      <x:c r="R41" s="22" t="n">
        <x:f>IF('Nivel Setorial'!R41="","",'Nivel Setorial'!R41/'Nivel Setorial'!R$5*100)</x:f>
        <x:v>73.92682318339727</x:v>
      </x:c>
    </x:row>
    <x:row r="42">
      <x:c r="A42" s="21" t="n">
        <x:f>'Nivel Setorial'!A42</x:f>
        <x:v>41306</x:v>
      </x:c>
      <x:c r="B42" s="22" t="str">
        <x:f>IF('Nivel Setorial'!B42="","",'Nivel Setorial'!B42/'Nivel Setorial'!B$45*100)</x:f>
      </x:c>
      <x:c r="C42" s="22" t="n">
        <x:f>IF('Nivel Setorial'!C42="","",'Nivel Setorial'!C42/'Nivel Setorial'!C$5*100)</x:f>
        <x:v>152.5352026546556</x:v>
      </x:c>
      <x:c r="D42" s="22" t="n">
        <x:f>IF('Nivel Setorial'!D42="","",'Nivel Setorial'!D42/'Nivel Setorial'!D$5*100)</x:f>
        <x:v>207.28284858471403</x:v>
      </x:c>
      <x:c r="E42" s="22" t="str">
        <x:f>IF('Nivel Setorial'!E42="","",'Nivel Setorial'!E42/'Nivel Setorial'!E$49*100)</x:f>
      </x:c>
      <x:c r="F42" s="22" t="n">
        <x:f>IF('Nivel Setorial'!F42="","",'Nivel Setorial'!F42/'Nivel Setorial'!F$5*100)</x:f>
        <x:v>131.0014380829459</x:v>
      </x:c>
      <x:c r="G42" s="22" t="n">
        <x:f>IF('Nivel Setorial'!G42="","",'Nivel Setorial'!G42/'Nivel Setorial'!G$5*100)</x:f>
        <x:v>177.74165465637674</x:v>
      </x:c>
      <x:c r="H42" s="22" t="n">
        <x:f>IF('Nivel Setorial'!H42="","",'Nivel Setorial'!H42/'Nivel Setorial'!H$17*100)</x:f>
        <x:v>115.65430806842842</x:v>
      </x:c>
      <x:c r="I42" s="22" t="n">
        <x:f>IF('Nivel Setorial'!I42="","",'Nivel Setorial'!I42/'Nivel Setorial'!I$5*100)</x:f>
        <x:v>93.78025894194036</x:v>
      </x:c>
      <x:c r="J42" s="22" t="n">
        <x:f>IF('Nivel Setorial'!J42="","",'Nivel Setorial'!J42/'Nivel Setorial'!J$25*100)</x:f>
        <x:v>129.19528814497204</x:v>
      </x:c>
      <x:c r="K42" s="22" t="n">
        <x:f>IF('Nivel Setorial'!K42="","",'Nivel Setorial'!K42/'Nivel Setorial'!K$5*100)</x:f>
        <x:v>107.4956829403144</x:v>
      </x:c>
      <x:c r="L42" s="22" t="n">
        <x:f>IF('Nivel Setorial'!L42="","",'Nivel Setorial'!L42/'Nivel Setorial'!L$5*100)</x:f>
        <x:v>99.70285080633984</x:v>
      </x:c>
      <x:c r="M42" s="22" t="n">
        <x:f>IF('Nivel Setorial'!M42="","",'Nivel Setorial'!M42/'Nivel Setorial'!M$5*100)</x:f>
        <x:v>59.25177484160069</x:v>
      </x:c>
      <x:c r="N42" s="22" t="n">
        <x:f>IF('Nivel Setorial'!N42="","",'Nivel Setorial'!N42/'Nivel Setorial'!N$5*100)</x:f>
        <x:v>174.5490998486704</x:v>
      </x:c>
      <x:c r="O42" s="22" t="n">
        <x:f>IF('Nivel Setorial'!O42="","",'Nivel Setorial'!O42/'Nivel Setorial'!O$5*100)</x:f>
        <x:v>178.38519127275168</x:v>
      </x:c>
      <x:c r="P42" s="22" t="n">
        <x:f>IF('Nivel Setorial'!P42="","",'Nivel Setorial'!P42/'Nivel Setorial'!P$5*100)</x:f>
        <x:v>100.87033488197056</x:v>
      </x:c>
      <x:c r="Q42" s="22" t="n">
        <x:f>IF('Nivel Setorial'!Q42="","",'Nivel Setorial'!Q42/'Nivel Setorial'!Q$5*100)</x:f>
        <x:v>118.59244896709751</x:v>
      </x:c>
      <x:c r="R42" s="22" t="n">
        <x:f>IF('Nivel Setorial'!R42="","",'Nivel Setorial'!R42/'Nivel Setorial'!R$5*100)</x:f>
        <x:v>62.281295495816494</x:v>
      </x:c>
    </x:row>
    <x:row r="43">
      <x:c r="A43" s="21" t="n">
        <x:f>'Nivel Setorial'!A43</x:f>
        <x:v>41334</x:v>
      </x:c>
      <x:c r="B43" s="22" t="str">
        <x:f>IF('Nivel Setorial'!B43="","",'Nivel Setorial'!B43/'Nivel Setorial'!B$45*100)</x:f>
      </x:c>
      <x:c r="C43" s="22" t="n">
        <x:f>IF('Nivel Setorial'!C43="","",'Nivel Setorial'!C43/'Nivel Setorial'!C$5*100)</x:f>
        <x:v>155.43275006027952</x:v>
      </x:c>
      <x:c r="D43" s="22" t="n">
        <x:f>IF('Nivel Setorial'!D43="","",'Nivel Setorial'!D43/'Nivel Setorial'!D$5*100)</x:f>
        <x:v>210.52095236913178</x:v>
      </x:c>
      <x:c r="E43" s="22" t="str">
        <x:f>IF('Nivel Setorial'!E43="","",'Nivel Setorial'!E43/'Nivel Setorial'!E$49*100)</x:f>
      </x:c>
      <x:c r="F43" s="22" t="n">
        <x:f>IF('Nivel Setorial'!F43="","",'Nivel Setorial'!F43/'Nivel Setorial'!F$5*100)</x:f>
        <x:v>132.78432798770962</x:v>
      </x:c>
      <x:c r="G43" s="22" t="n">
        <x:f>IF('Nivel Setorial'!G43="","",'Nivel Setorial'!G43/'Nivel Setorial'!G$5*100)</x:f>
        <x:v>181.42596124872853</x:v>
      </x:c>
      <x:c r="H43" s="22" t="n">
        <x:f>IF('Nivel Setorial'!H43="","",'Nivel Setorial'!H43/'Nivel Setorial'!H$17*100)</x:f>
        <x:v>115.67993087271793</x:v>
      </x:c>
      <x:c r="I43" s="22" t="n">
        <x:f>IF('Nivel Setorial'!I43="","",'Nivel Setorial'!I43/'Nivel Setorial'!I$5*100)</x:f>
        <x:v>93.62655503480407</x:v>
      </x:c>
      <x:c r="J43" s="22" t="n">
        <x:f>IF('Nivel Setorial'!J43="","",'Nivel Setorial'!J43/'Nivel Setorial'!J$25*100)</x:f>
        <x:v>131.0827183923794</x:v>
      </x:c>
      <x:c r="K43" s="22" t="n">
        <x:f>IF('Nivel Setorial'!K43="","",'Nivel Setorial'!K43/'Nivel Setorial'!K$5*100)</x:f>
        <x:v>103.96013570473268</x:v>
      </x:c>
      <x:c r="L43" s="22" t="n">
        <x:f>IF('Nivel Setorial'!L43="","",'Nivel Setorial'!L43/'Nivel Setorial'!L$5*100)</x:f>
        <x:v>101.7963805259538</x:v>
      </x:c>
      <x:c r="M43" s="22" t="n">
        <x:f>IF('Nivel Setorial'!M43="","",'Nivel Setorial'!M43/'Nivel Setorial'!M$5*100)</x:f>
        <x:v>70.492370222198</x:v>
      </x:c>
      <x:c r="N43" s="22" t="n">
        <x:f>IF('Nivel Setorial'!N43="","",'Nivel Setorial'!N43/'Nivel Setorial'!N$5*100)</x:f>
        <x:v>173.54259956905042</x:v>
      </x:c>
      <x:c r="O43" s="22" t="n">
        <x:f>IF('Nivel Setorial'!O43="","",'Nivel Setorial'!O43/'Nivel Setorial'!O$5*100)</x:f>
        <x:v>183.25173606464077</x:v>
      </x:c>
      <x:c r="P43" s="22" t="n">
        <x:f>IF('Nivel Setorial'!P43="","",'Nivel Setorial'!P43/'Nivel Setorial'!P$5*100)</x:f>
        <x:v>99.58746717204266</x:v>
      </x:c>
      <x:c r="Q43" s="22" t="n">
        <x:f>IF('Nivel Setorial'!Q43="","",'Nivel Setorial'!Q43/'Nivel Setorial'!Q$5*100)</x:f>
        <x:v>119.26486451084537</x:v>
      </x:c>
      <x:c r="R43" s="22" t="n">
        <x:f>IF('Nivel Setorial'!R43="","",'Nivel Setorial'!R43/'Nivel Setorial'!R$5*100)</x:f>
        <x:v>86.15837163933286</x:v>
      </x:c>
    </x:row>
    <x:row r="44">
      <x:c r="A44" s="21" t="n">
        <x:f>'Nivel Setorial'!A44</x:f>
        <x:v>41365</x:v>
      </x:c>
      <x:c r="B44" s="22" t="str">
        <x:f>IF('Nivel Setorial'!B44="","",'Nivel Setorial'!B44/'Nivel Setorial'!B$45*100)</x:f>
      </x:c>
      <x:c r="C44" s="22" t="n">
        <x:f>IF('Nivel Setorial'!C44="","",'Nivel Setorial'!C44/'Nivel Setorial'!C$5*100)</x:f>
        <x:v>157.11943822925573</x:v>
      </x:c>
      <x:c r="D44" s="22" t="n">
        <x:f>IF('Nivel Setorial'!D44="","",'Nivel Setorial'!D44/'Nivel Setorial'!D$5*100)</x:f>
        <x:v>213.4768541760462</x:v>
      </x:c>
      <x:c r="E44" s="22" t="str">
        <x:f>IF('Nivel Setorial'!E44="","",'Nivel Setorial'!E44/'Nivel Setorial'!E$49*100)</x:f>
      </x:c>
      <x:c r="F44" s="22" t="n">
        <x:f>IF('Nivel Setorial'!F44="","",'Nivel Setorial'!F44/'Nivel Setorial'!F$5*100)</x:f>
        <x:v>136.0167134915338</x:v>
      </x:c>
      <x:c r="G44" s="22" t="n">
        <x:f>IF('Nivel Setorial'!G44="","",'Nivel Setorial'!G44/'Nivel Setorial'!G$5*100)</x:f>
        <x:v>180.9610123933157</x:v>
      </x:c>
      <x:c r="H44" s="22" t="n">
        <x:f>IF('Nivel Setorial'!H44="","",'Nivel Setorial'!H44/'Nivel Setorial'!H$17*100)</x:f>
        <x:v>113.0261990565784</x:v>
      </x:c>
      <x:c r="I44" s="22" t="n">
        <x:f>IF('Nivel Setorial'!I44="","",'Nivel Setorial'!I44/'Nivel Setorial'!I$5*100)</x:f>
        <x:v>88.41187377472644</x:v>
      </x:c>
      <x:c r="J44" s="22" t="n">
        <x:f>IF('Nivel Setorial'!J44="","",'Nivel Setorial'!J44/'Nivel Setorial'!J$25*100)</x:f>
        <x:v>135.90162074575412</x:v>
      </x:c>
      <x:c r="K44" s="22" t="n">
        <x:f>IF('Nivel Setorial'!K44="","",'Nivel Setorial'!K44/'Nivel Setorial'!K$5*100)</x:f>
        <x:v>106.38461105403603</x:v>
      </x:c>
      <x:c r="L44" s="22" t="n">
        <x:f>IF('Nivel Setorial'!L44="","",'Nivel Setorial'!L44/'Nivel Setorial'!L$5*100)</x:f>
        <x:v>105.33839636304883</x:v>
      </x:c>
      <x:c r="M44" s="22" t="n">
        <x:f>IF('Nivel Setorial'!M44="","",'Nivel Setorial'!M44/'Nivel Setorial'!M$5*100)</x:f>
        <x:v>70.78240224117144</x:v>
      </x:c>
      <x:c r="N44" s="22" t="n">
        <x:f>IF('Nivel Setorial'!N44="","",'Nivel Setorial'!N44/'Nivel Setorial'!N$5*100)</x:f>
        <x:v>173.52320048367253</x:v>
      </x:c>
      <x:c r="O44" s="22" t="n">
        <x:f>IF('Nivel Setorial'!O44="","",'Nivel Setorial'!O44/'Nivel Setorial'!O$5*100)</x:f>
        <x:v>183.6276532320343</x:v>
      </x:c>
      <x:c r="P44" s="22" t="n">
        <x:f>IF('Nivel Setorial'!P44="","",'Nivel Setorial'!P44/'Nivel Setorial'!P$5*100)</x:f>
        <x:v>98.12097014399131</x:v>
      </x:c>
      <x:c r="Q44" s="22" t="n">
        <x:f>IF('Nivel Setorial'!Q44="","",'Nivel Setorial'!Q44/'Nivel Setorial'!Q$5*100)</x:f>
        <x:v>123.15771529976278</x:v>
      </x:c>
      <x:c r="R44" s="22" t="n">
        <x:f>IF('Nivel Setorial'!R44="","",'Nivel Setorial'!R44/'Nivel Setorial'!R$5*100)</x:f>
        <x:v>83.05138974849234</x:v>
      </x:c>
    </x:row>
    <x:row r="45">
      <x:c r="A45" s="21" t="n">
        <x:f>'Nivel Setorial'!A45</x:f>
        <x:v>41395</x:v>
      </x:c>
      <x:c r="B45" s="22" t="n">
        <x:f>IF('Nivel Setorial'!B45="","",'Nivel Setorial'!B45/'Nivel Setorial'!B$45*100)</x:f>
        <x:v>100</x:v>
      </x:c>
      <x:c r="C45" s="22" t="n">
        <x:f>IF('Nivel Setorial'!C45="","",'Nivel Setorial'!C45/'Nivel Setorial'!C$5*100)</x:f>
        <x:v>200.16990326881364</x:v>
      </x:c>
      <x:c r="D45" s="22" t="n">
        <x:f>IF('Nivel Setorial'!D45="","",'Nivel Setorial'!D45/'Nivel Setorial'!D$5*100)</x:f>
        <x:v>211.3558058990277</x:v>
      </x:c>
      <x:c r="E45" s="22" t="str">
        <x:f>IF('Nivel Setorial'!E45="","",'Nivel Setorial'!E45/'Nivel Setorial'!E$49*100)</x:f>
      </x:c>
      <x:c r="F45" s="22" t="n">
        <x:f>IF('Nivel Setorial'!F45="","",'Nivel Setorial'!F45/'Nivel Setorial'!F$5*100)</x:f>
        <x:v>135.9735219105054</x:v>
      </x:c>
      <x:c r="G45" s="22" t="n">
        <x:f>IF('Nivel Setorial'!G45="","",'Nivel Setorial'!G45/'Nivel Setorial'!G$5*100)</x:f>
        <x:v>182.4246503582857</x:v>
      </x:c>
      <x:c r="H45" s="22" t="n">
        <x:f>IF('Nivel Setorial'!H45="","",'Nivel Setorial'!H45/'Nivel Setorial'!H$17*100)</x:f>
        <x:v>114.09327724436965</x:v>
      </x:c>
      <x:c r="I45" s="22" t="n">
        <x:f>IF('Nivel Setorial'!I45="","",'Nivel Setorial'!I45/'Nivel Setorial'!I$5*100)</x:f>
        <x:v>80.1886344997488</x:v>
      </x:c>
      <x:c r="J45" s="22" t="n">
        <x:f>IF('Nivel Setorial'!J45="","",'Nivel Setorial'!J45/'Nivel Setorial'!J$25*100)</x:f>
        <x:v>213.9407136329761</x:v>
      </x:c>
      <x:c r="K45" s="22" t="n">
        <x:f>IF('Nivel Setorial'!K45="","",'Nivel Setorial'!K45/'Nivel Setorial'!K$5*100)</x:f>
        <x:v>102.2521592533612</x:v>
      </x:c>
      <x:c r="L45" s="22" t="n">
        <x:f>IF('Nivel Setorial'!L45="","",'Nivel Setorial'!L45/'Nivel Setorial'!L$5*100)</x:f>
        <x:v>108.10127157655289</x:v>
      </x:c>
      <x:c r="M45" s="22" t="n">
        <x:f>IF('Nivel Setorial'!M45="","",'Nivel Setorial'!M45/'Nivel Setorial'!M$5*100)</x:f>
        <x:v>76.59974024555615</x:v>
      </x:c>
      <x:c r="N45" s="22" t="n">
        <x:f>IF('Nivel Setorial'!N45="","",'Nivel Setorial'!N45/'Nivel Setorial'!N$5*100)</x:f>
        <x:v>173.5133092150055</x:v>
      </x:c>
      <x:c r="O45" s="22" t="n">
        <x:f>IF('Nivel Setorial'!O45="","",'Nivel Setorial'!O45/'Nivel Setorial'!O$5*100)</x:f>
        <x:v>183.1101527890699</x:v>
      </x:c>
      <x:c r="P45" s="22" t="n">
        <x:f>IF('Nivel Setorial'!P45="","",'Nivel Setorial'!P45/'Nivel Setorial'!P$5*100)</x:f>
        <x:v>101.39157340576588</x:v>
      </x:c>
      <x:c r="Q45" s="22" t="n">
        <x:f>IF('Nivel Setorial'!Q45="","",'Nivel Setorial'!Q45/'Nivel Setorial'!Q$5*100)</x:f>
        <x:v>129.57076022512774</x:v>
      </x:c>
      <x:c r="R45" s="22" t="n">
        <x:f>IF('Nivel Setorial'!R45="","",'Nivel Setorial'!R45/'Nivel Setorial'!R$5*100)</x:f>
        <x:v>81.75945007473824</x:v>
      </x:c>
    </x:row>
    <x:row r="46">
      <x:c r="A46" s="21" t="n">
        <x:f>'Nivel Setorial'!A46</x:f>
        <x:v>41426</x:v>
      </x:c>
      <x:c r="B46" s="22" t="n">
        <x:f>IF('Nivel Setorial'!B46="","",'Nivel Setorial'!B46/'Nivel Setorial'!B$45*100)</x:f>
        <x:v>52.2456493796949</x:v>
      </x:c>
      <x:c r="C46" s="22" t="n">
        <x:f>IF('Nivel Setorial'!C46="","",'Nivel Setorial'!C46/'Nivel Setorial'!C$5*100)</x:f>
        <x:v>201.59428411037118</x:v>
      </x:c>
      <x:c r="D46" s="22" t="n">
        <x:f>IF('Nivel Setorial'!D46="","",'Nivel Setorial'!D46/'Nivel Setorial'!D$5*100)</x:f>
        <x:v>222.68554023469244</x:v>
      </x:c>
      <x:c r="E46" s="22" t="str">
        <x:f>IF('Nivel Setorial'!E46="","",'Nivel Setorial'!E46/'Nivel Setorial'!E$49*100)</x:f>
      </x:c>
      <x:c r="F46" s="22" t="n">
        <x:f>IF('Nivel Setorial'!F46="","",'Nivel Setorial'!F46/'Nivel Setorial'!F$5*100)</x:f>
        <x:v>137.13818097788482</x:v>
      </x:c>
      <x:c r="G46" s="22" t="n">
        <x:f>IF('Nivel Setorial'!G46="","",'Nivel Setorial'!G46/'Nivel Setorial'!G$5*100)</x:f>
        <x:v>185.5785019511108</x:v>
      </x:c>
      <x:c r="H46" s="22" t="n">
        <x:f>IF('Nivel Setorial'!H46="","",'Nivel Setorial'!H46/'Nivel Setorial'!H$17*100)</x:f>
        <x:v>112.34315883272939</x:v>
      </x:c>
      <x:c r="I46" s="22" t="n">
        <x:f>IF('Nivel Setorial'!I46="","",'Nivel Setorial'!I46/'Nivel Setorial'!I$5*100)</x:f>
        <x:v>81.15415695233057</x:v>
      </x:c>
      <x:c r="J46" s="22" t="n">
        <x:f>IF('Nivel Setorial'!J46="","",'Nivel Setorial'!J46/'Nivel Setorial'!J$25*100)</x:f>
        <x:v>211.69161122199648</x:v>
      </x:c>
      <x:c r="K46" s="22" t="n">
        <x:f>IF('Nivel Setorial'!K46="","",'Nivel Setorial'!K46/'Nivel Setorial'!K$5*100)</x:f>
        <x:v>101.47864239951569</x:v>
      </x:c>
      <x:c r="L46" s="22" t="n">
        <x:f>IF('Nivel Setorial'!L46="","",'Nivel Setorial'!L46/'Nivel Setorial'!L$5*100)</x:f>
        <x:v>103.52044170561734</x:v>
      </x:c>
      <x:c r="M46" s="22" t="n">
        <x:f>IF('Nivel Setorial'!M46="","",'Nivel Setorial'!M46/'Nivel Setorial'!M$5*100)</x:f>
        <x:v>76.75607305998508</x:v>
      </x:c>
      <x:c r="N46" s="22" t="n">
        <x:f>IF('Nivel Setorial'!N46="","",'Nivel Setorial'!N46/'Nivel Setorial'!N$5*100)</x:f>
        <x:v>174.3626040080517</x:v>
      </x:c>
      <x:c r="O46" s="22" t="n">
        <x:f>IF('Nivel Setorial'!O46="","",'Nivel Setorial'!O46/'Nivel Setorial'!O$5*100)</x:f>
        <x:v>184.1737863550961</x:v>
      </x:c>
      <x:c r="P46" s="22" t="n">
        <x:f>IF('Nivel Setorial'!P46="","",'Nivel Setorial'!P46/'Nivel Setorial'!P$5*100)</x:f>
        <x:v>102.29867445467768</x:v>
      </x:c>
      <x:c r="Q46" s="22" t="n">
        <x:f>IF('Nivel Setorial'!Q46="","",'Nivel Setorial'!Q46/'Nivel Setorial'!Q$5*100)</x:f>
        <x:v>130.0557909311429</x:v>
      </x:c>
      <x:c r="R46" s="22" t="n">
        <x:f>IF('Nivel Setorial'!R46="","",'Nivel Setorial'!R46/'Nivel Setorial'!R$5*100)</x:f>
        <x:v>90.82540634506364</x:v>
      </x:c>
    </x:row>
    <x:row r="47">
      <x:c r="A47" s="21" t="n">
        <x:f>'Nivel Setorial'!A47</x:f>
        <x:v>41456</x:v>
      </x:c>
      <x:c r="B47" s="22" t="n">
        <x:f>IF('Nivel Setorial'!B47="","",'Nivel Setorial'!B47/'Nivel Setorial'!B$45*100)</x:f>
        <x:v>235.5031435616252</x:v>
      </x:c>
      <x:c r="C47" s="22" t="n">
        <x:f>IF('Nivel Setorial'!C47="","",'Nivel Setorial'!C47/'Nivel Setorial'!C$5*100)</x:f>
        <x:v>201.29500623838203</x:v>
      </x:c>
      <x:c r="D47" s="22" t="n">
        <x:f>IF('Nivel Setorial'!D47="","",'Nivel Setorial'!D47/'Nivel Setorial'!D$5*100)</x:f>
        <x:v>216.07200395940887</x:v>
      </x:c>
      <x:c r="E47" s="22" t="str">
        <x:f>IF('Nivel Setorial'!E47="","",'Nivel Setorial'!E47/'Nivel Setorial'!E$49*100)</x:f>
      </x:c>
      <x:c r="F47" s="22" t="n">
        <x:f>IF('Nivel Setorial'!F47="","",'Nivel Setorial'!F47/'Nivel Setorial'!F$5*100)</x:f>
        <x:v>136.89769517097344</x:v>
      </x:c>
      <x:c r="G47" s="22" t="n">
        <x:f>IF('Nivel Setorial'!G47="","",'Nivel Setorial'!G47/'Nivel Setorial'!G$5*100)</x:f>
        <x:v>189.82765386330138</x:v>
      </x:c>
      <x:c r="H47" s="22" t="n">
        <x:f>IF('Nivel Setorial'!H47="","",'Nivel Setorial'!H47/'Nivel Setorial'!H$17*100)</x:f>
        <x:v>114.53759905970098</x:v>
      </x:c>
      <x:c r="I47" s="22" t="n">
        <x:f>IF('Nivel Setorial'!I47="","",'Nivel Setorial'!I47/'Nivel Setorial'!I$5*100)</x:f>
        <x:v>81.0526561636294</x:v>
      </x:c>
      <x:c r="J47" s="22" t="n">
        <x:f>IF('Nivel Setorial'!J47="","",'Nivel Setorial'!J47/'Nivel Setorial'!J$25*100)</x:f>
        <x:v>204.96587815378427</x:v>
      </x:c>
      <x:c r="K47" s="22" t="n">
        <x:f>IF('Nivel Setorial'!K47="","",'Nivel Setorial'!K47/'Nivel Setorial'!K$5*100)</x:f>
        <x:v>100.43439826293125</x:v>
      </x:c>
      <x:c r="L47" s="22" t="n">
        <x:f>IF('Nivel Setorial'!L47="","",'Nivel Setorial'!L47/'Nivel Setorial'!L$5*100)</x:f>
        <x:v>96.73980319737271</x:v>
      </x:c>
      <x:c r="M47" s="22" t="n">
        <x:f>IF('Nivel Setorial'!M47="","",'Nivel Setorial'!M47/'Nivel Setorial'!M$5*100)</x:f>
        <x:v>64.53483622877934</x:v>
      </x:c>
      <x:c r="N47" s="22" t="n">
        <x:f>IF('Nivel Setorial'!N47="","",'Nivel Setorial'!N47/'Nivel Setorial'!N$5*100)</x:f>
        <x:v>173.57066476572396</x:v>
      </x:c>
      <x:c r="O47" s="22" t="n">
        <x:f>IF('Nivel Setorial'!O47="","",'Nivel Setorial'!O47/'Nivel Setorial'!O$5*100)</x:f>
        <x:v>178.50754485520108</x:v>
      </x:c>
      <x:c r="P47" s="22" t="n">
        <x:f>IF('Nivel Setorial'!P47="","",'Nivel Setorial'!P47/'Nivel Setorial'!P$5*100)</x:f>
        <x:v>101.33506702683579</x:v>
      </x:c>
      <x:c r="Q47" s="22" t="n">
        <x:f>IF('Nivel Setorial'!Q47="","",'Nivel Setorial'!Q47/'Nivel Setorial'!Q$5*100)</x:f>
        <x:v>127.5097549916903</x:v>
      </x:c>
      <x:c r="R47" s="22" t="n">
        <x:f>IF('Nivel Setorial'!R47="","",'Nivel Setorial'!R47/'Nivel Setorial'!R$5*100)</x:f>
        <x:v>92.0306724665188</x:v>
      </x:c>
    </x:row>
    <x:row r="48">
      <x:c r="A48" s="21" t="n">
        <x:f>'Nivel Setorial'!A48</x:f>
        <x:v>41487</x:v>
      </x:c>
      <x:c r="B48" s="22" t="n">
        <x:f>IF('Nivel Setorial'!B48="","",'Nivel Setorial'!B48/'Nivel Setorial'!B$45*100)</x:f>
        <x:v>203.18177081510984</x:v>
      </x:c>
      <x:c r="C48" s="22" t="n">
        <x:f>IF('Nivel Setorial'!C48="","",'Nivel Setorial'!C48/'Nivel Setorial'!C$5*100)</x:f>
        <x:v>200.48222901519588</x:v>
      </x:c>
      <x:c r="D48" s="22" t="n">
        <x:f>IF('Nivel Setorial'!D48="","",'Nivel Setorial'!D48/'Nivel Setorial'!D$5*100)</x:f>
        <x:v>221.54683360980263</x:v>
      </x:c>
      <x:c r="E48" s="22" t="str">
        <x:f>IF('Nivel Setorial'!E48="","",'Nivel Setorial'!E48/'Nivel Setorial'!E$49*100)</x:f>
      </x:c>
      <x:c r="F48" s="22" t="n">
        <x:f>IF('Nivel Setorial'!F48="","",'Nivel Setorial'!F48/'Nivel Setorial'!F$5*100)</x:f>
        <x:v>141.35917189243983</x:v>
      </x:c>
      <x:c r="G48" s="22" t="n">
        <x:f>IF('Nivel Setorial'!G48="","",'Nivel Setorial'!G48/'Nivel Setorial'!G$5*100)</x:f>
        <x:v>191.97632779523607</x:v>
      </x:c>
      <x:c r="H48" s="22" t="n">
        <x:f>IF('Nivel Setorial'!H48="","",'Nivel Setorial'!H48/'Nivel Setorial'!H$17*100)</x:f>
        <x:v>114.82013812004695</x:v>
      </x:c>
      <x:c r="I48" s="22" t="n">
        <x:f>IF('Nivel Setorial'!I48="","",'Nivel Setorial'!I48/'Nivel Setorial'!I$5*100)</x:f>
        <x:v>78.71511284490725</x:v>
      </x:c>
      <x:c r="J48" s="22" t="n">
        <x:f>IF('Nivel Setorial'!J48="","",'Nivel Setorial'!J48/'Nivel Setorial'!J$25*100)</x:f>
        <x:v>204.62201521145343</x:v>
      </x:c>
      <x:c r="K48" s="22" t="n">
        <x:f>IF('Nivel Setorial'!K48="","",'Nivel Setorial'!K48/'Nivel Setorial'!K$5*100)</x:f>
        <x:v>100.43854097053048</x:v>
      </x:c>
      <x:c r="L48" s="22" t="n">
        <x:f>IF('Nivel Setorial'!L48="","",'Nivel Setorial'!L48/'Nivel Setorial'!L$5*100)</x:f>
        <x:v>102.36255819776127</x:v>
      </x:c>
      <x:c r="M48" s="22" t="n">
        <x:f>IF('Nivel Setorial'!M48="","",'Nivel Setorial'!M48/'Nivel Setorial'!M$5*100)</x:f>
        <x:v>66.71368096803677</x:v>
      </x:c>
      <x:c r="N48" s="22" t="n">
        <x:f>IF('Nivel Setorial'!N48="","",'Nivel Setorial'!N48/'Nivel Setorial'!N$5*100)</x:f>
        <x:v>175.07870878316712</x:v>
      </x:c>
      <x:c r="O48" s="22" t="n">
        <x:f>IF('Nivel Setorial'!O48="","",'Nivel Setorial'!O48/'Nivel Setorial'!O$5*100)</x:f>
        <x:v>172.95003080968937</x:v>
      </x:c>
      <x:c r="P48" s="22" t="n">
        <x:f>IF('Nivel Setorial'!P48="","",'Nivel Setorial'!P48/'Nivel Setorial'!P$5*100)</x:f>
        <x:v>101.53174808322396</x:v>
      </x:c>
      <x:c r="Q48" s="22" t="n">
        <x:f>IF('Nivel Setorial'!Q48="","",'Nivel Setorial'!Q48/'Nivel Setorial'!Q$5*100)</x:f>
        <x:v>121.49135783427256</x:v>
      </x:c>
      <x:c r="R48" s="22" t="n">
        <x:f>IF('Nivel Setorial'!R48="","",'Nivel Setorial'!R48/'Nivel Setorial'!R$5*100)</x:f>
        <x:v>91.6395817517562</x:v>
      </x:c>
    </x:row>
    <x:row r="49">
      <x:c r="A49" s="21" t="n">
        <x:f>'Nivel Setorial'!A49</x:f>
        <x:v>41518</x:v>
      </x:c>
      <x:c r="B49" s="22" t="n">
        <x:f>IF('Nivel Setorial'!B49="","",'Nivel Setorial'!B49/'Nivel Setorial'!B$45*100)</x:f>
        <x:v>116.9839174684736</x:v>
      </x:c>
      <x:c r="C49" s="22" t="n">
        <x:f>IF('Nivel Setorial'!C49="","",'Nivel Setorial'!C49/'Nivel Setorial'!C$5*100)</x:f>
        <x:v>199.7315681739749</x:v>
      </x:c>
      <x:c r="D49" s="22" t="n">
        <x:f>IF('Nivel Setorial'!D49="","",'Nivel Setorial'!D49/'Nivel Setorial'!D$5*100)</x:f>
        <x:v>241.05772035963145</x:v>
      </x:c>
      <x:c r="E49" s="22" t="n">
        <x:f>IF('Nivel Setorial'!E49="","",'Nivel Setorial'!E49/'Nivel Setorial'!E$49*100)</x:f>
        <x:v>100</x:v>
      </x:c>
      <x:c r="F49" s="22" t="n">
        <x:f>IF('Nivel Setorial'!F49="","",'Nivel Setorial'!F49/'Nivel Setorial'!F$5*100)</x:f>
        <x:v>142.42675472236607</x:v>
      </x:c>
      <x:c r="G49" s="22" t="n">
        <x:f>IF('Nivel Setorial'!G49="","",'Nivel Setorial'!G49/'Nivel Setorial'!G$5*100)</x:f>
        <x:v>193.79909066141437</x:v>
      </x:c>
      <x:c r="H49" s="22" t="n">
        <x:f>IF('Nivel Setorial'!H49="","",'Nivel Setorial'!H49/'Nivel Setorial'!H$17*100)</x:f>
        <x:v>117.56425138403846</x:v>
      </x:c>
      <x:c r="I49" s="22" t="n">
        <x:f>IF('Nivel Setorial'!I49="","",'Nivel Setorial'!I49/'Nivel Setorial'!I$5*100)</x:f>
        <x:v>75.30716125368428</x:v>
      </x:c>
      <x:c r="J49" s="22" t="n">
        <x:f>IF('Nivel Setorial'!J49="","",'Nivel Setorial'!J49/'Nivel Setorial'!J$25*100)</x:f>
        <x:v>206.81039352807412</x:v>
      </x:c>
      <x:c r="K49" s="22" t="n">
        <x:f>IF('Nivel Setorial'!K49="","",'Nivel Setorial'!K49/'Nivel Setorial'!K$5*100)</x:f>
        <x:v>103.15503792715384</x:v>
      </x:c>
      <x:c r="L49" s="22" t="n">
        <x:f>IF('Nivel Setorial'!L49="","",'Nivel Setorial'!L49/'Nivel Setorial'!L$5*100)</x:f>
        <x:v>98.86571835776607</x:v>
      </x:c>
      <x:c r="M49" s="22" t="n">
        <x:f>IF('Nivel Setorial'!M49="","",'Nivel Setorial'!M49/'Nivel Setorial'!M$5*100)</x:f>
        <x:v>74.78837321651113</x:v>
      </x:c>
      <x:c r="N49" s="22" t="n">
        <x:f>IF('Nivel Setorial'!N49="","",'Nivel Setorial'!N49/'Nivel Setorial'!N$5*100)</x:f>
        <x:v>177.6316167351815</x:v>
      </x:c>
      <x:c r="O49" s="22" t="n">
        <x:f>IF('Nivel Setorial'!O49="","",'Nivel Setorial'!O49/'Nivel Setorial'!O$5*100)</x:f>
        <x:v>162.94476928529753</x:v>
      </x:c>
      <x:c r="P49" s="22" t="n">
        <x:f>IF('Nivel Setorial'!P49="","",'Nivel Setorial'!P49/'Nivel Setorial'!P$5*100)</x:f>
        <x:v>92.22429994414341</x:v>
      </x:c>
      <x:c r="Q49" s="22" t="n">
        <x:f>IF('Nivel Setorial'!Q49="","",'Nivel Setorial'!Q49/'Nivel Setorial'!Q$5*100)</x:f>
        <x:v>124.18462138416906</x:v>
      </x:c>
      <x:c r="R49" s="22" t="n">
        <x:f>IF('Nivel Setorial'!R49="","",'Nivel Setorial'!R49/'Nivel Setorial'!R$5*100)</x:f>
        <x:v>93.46847552129111</x:v>
      </x:c>
    </x:row>
    <x:row r="50">
      <x:c r="A50" s="21" t="n">
        <x:f>'Nivel Setorial'!A50</x:f>
        <x:v>41548</x:v>
      </x:c>
      <x:c r="B50" s="22" t="n">
        <x:f>IF('Nivel Setorial'!B50="","",'Nivel Setorial'!B50/'Nivel Setorial'!B$45*100)</x:f>
        <x:v>30.78606412183734</x:v>
      </x:c>
      <x:c r="C50" s="22" t="n">
        <x:f>IF('Nivel Setorial'!C50="","",'Nivel Setorial'!C50/'Nivel Setorial'!C$5*100)</x:f>
        <x:v>201.35798226633312</x:v>
      </x:c>
      <x:c r="D50" s="22" t="n">
        <x:f>IF('Nivel Setorial'!D50="","",'Nivel Setorial'!D50/'Nivel Setorial'!D$5*100)</x:f>
        <x:v>209.70502500964002</x:v>
      </x:c>
      <x:c r="E50" s="22" t="n">
        <x:f>IF('Nivel Setorial'!E50="","",'Nivel Setorial'!E50/'Nivel Setorial'!E$49*100)</x:f>
        <x:v>101.46115279387904</x:v>
      </x:c>
      <x:c r="F50" s="22" t="n">
        <x:f>IF('Nivel Setorial'!F50="","",'Nivel Setorial'!F50/'Nivel Setorial'!F$5*100)</x:f>
        <x:v>141.74073398559125</x:v>
      </x:c>
      <x:c r="G50" s="22" t="n">
        <x:f>IF('Nivel Setorial'!G50="","",'Nivel Setorial'!G50/'Nivel Setorial'!G$5*100)</x:f>
        <x:v>192.06679336688032</x:v>
      </x:c>
      <x:c r="H50" s="22" t="n">
        <x:f>IF('Nivel Setorial'!H50="","",'Nivel Setorial'!H50/'Nivel Setorial'!H$17*100)</x:f>
        <x:v>119.61945779838273</x:v>
      </x:c>
      <x:c r="I50" s="22" t="n">
        <x:f>IF('Nivel Setorial'!I50="","",'Nivel Setorial'!I50/'Nivel Setorial'!I$5*100)</x:f>
        <x:v>73.690834588843</x:v>
      </x:c>
      <x:c r="J50" s="22" t="n">
        <x:f>IF('Nivel Setorial'!J50="","",'Nivel Setorial'!J50/'Nivel Setorial'!J$25*100)</x:f>
        <x:v>199.34080294471948</x:v>
      </x:c>
      <x:c r="K50" s="22" t="n">
        <x:f>IF('Nivel Setorial'!K50="","",'Nivel Setorial'!K50/'Nivel Setorial'!K$5*100)</x:f>
        <x:v>101.74001924121822</x:v>
      </x:c>
      <x:c r="L50" s="22" t="n">
        <x:f>IF('Nivel Setorial'!L50="","",'Nivel Setorial'!L50/'Nivel Setorial'!L$5*100)</x:f>
        <x:v>91.00531449701191</x:v>
      </x:c>
      <x:c r="M50" s="22" t="n">
        <x:f>IF('Nivel Setorial'!M50="","",'Nivel Setorial'!M50/'Nivel Setorial'!M$5*100)</x:f>
        <x:v>75.95459171923085</x:v>
      </x:c>
      <x:c r="N50" s="22" t="n">
        <x:f>IF('Nivel Setorial'!N50="","",'Nivel Setorial'!N50/'Nivel Setorial'!N$5*100)</x:f>
        <x:v>174.81009012643293</x:v>
      </x:c>
      <x:c r="O50" s="22" t="n">
        <x:f>IF('Nivel Setorial'!O50="","",'Nivel Setorial'!O50/'Nivel Setorial'!O$5*100)</x:f>
        <x:v>164.00523485750915</x:v>
      </x:c>
      <x:c r="P50" s="22" t="n">
        <x:f>IF('Nivel Setorial'!P50="","",'Nivel Setorial'!P50/'Nivel Setorial'!P$5*100)</x:f>
        <x:v>84.76704311577436</x:v>
      </x:c>
      <x:c r="Q50" s="22" t="n">
        <x:f>IF('Nivel Setorial'!Q50="","",'Nivel Setorial'!Q50/'Nivel Setorial'!Q$5*100)</x:f>
        <x:v>126.85311705343254</x:v>
      </x:c>
      <x:c r="R50" s="22" t="n">
        <x:f>IF('Nivel Setorial'!R50="","",'Nivel Setorial'!R50/'Nivel Setorial'!R$5*100)</x:f>
        <x:v>93.49135388762592</x:v>
      </x:c>
    </x:row>
    <x:row r="51">
      <x:c r="A51" s="21" t="n">
        <x:f>'Nivel Setorial'!A51</x:f>
        <x:v>41579</x:v>
      </x:c>
      <x:c r="B51" s="22" t="n">
        <x:f>IF('Nivel Setorial'!B51="","",'Nivel Setorial'!B51/'Nivel Setorial'!B$45*100)</x:f>
        <x:v>66.40383479810662</x:v>
      </x:c>
      <x:c r="C51" s="22" t="n">
        <x:f>IF('Nivel Setorial'!C51="","",'Nivel Setorial'!C51/'Nivel Setorial'!C$5*100)</x:f>
        <x:v>202.01671041361155</x:v>
      </x:c>
      <x:c r="D51" s="22" t="n">
        <x:f>IF('Nivel Setorial'!D51="","",'Nivel Setorial'!D51/'Nivel Setorial'!D$5*100)</x:f>
        <x:v>204.1130204144657</x:v>
      </x:c>
      <x:c r="E51" s="22" t="n">
        <x:f>IF('Nivel Setorial'!E51="","",'Nivel Setorial'!E51/'Nivel Setorial'!E$49*100)</x:f>
        <x:v>108.5842784628215</x:v>
      </x:c>
      <x:c r="F51" s="22" t="n">
        <x:f>IF('Nivel Setorial'!F51="","",'Nivel Setorial'!F51/'Nivel Setorial'!F$5*100)</x:f>
        <x:v>146.39471113509273</x:v>
      </x:c>
      <x:c r="G51" s="22" t="n">
        <x:f>IF('Nivel Setorial'!G51="","",'Nivel Setorial'!G51/'Nivel Setorial'!G$5*100)</x:f>
        <x:v>195.05959237738554</x:v>
      </x:c>
      <x:c r="H51" s="22" t="n">
        <x:f>IF('Nivel Setorial'!H51="","",'Nivel Setorial'!H51/'Nivel Setorial'!H$17*100)</x:f>
        <x:v>120.89567976669824</x:v>
      </x:c>
      <x:c r="I51" s="22" t="n">
        <x:f>IF('Nivel Setorial'!I51="","",'Nivel Setorial'!I51/'Nivel Setorial'!I$5*100)</x:f>
        <x:v>68.44459263587761</x:v>
      </x:c>
      <x:c r="J51" s="22" t="n">
        <x:f>IF('Nivel Setorial'!J51="","",'Nivel Setorial'!J51/'Nivel Setorial'!J$25*100)</x:f>
        <x:v>202.0648992631265</x:v>
      </x:c>
      <x:c r="K51" s="22" t="n">
        <x:f>IF('Nivel Setorial'!K51="","",'Nivel Setorial'!K51/'Nivel Setorial'!K$5*100)</x:f>
        <x:v>110.76493099703795</x:v>
      </x:c>
      <x:c r="L51" s="22" t="n">
        <x:f>IF('Nivel Setorial'!L51="","",'Nivel Setorial'!L51/'Nivel Setorial'!L$5*100)</x:f>
        <x:v>100.58124088581488</x:v>
      </x:c>
      <x:c r="M51" s="22" t="n">
        <x:f>IF('Nivel Setorial'!M51="","",'Nivel Setorial'!M51/'Nivel Setorial'!M$5*100)</x:f>
        <x:v>85.85338664836854</x:v>
      </x:c>
      <x:c r="N51" s="22" t="n">
        <x:f>IF('Nivel Setorial'!N51="","",'Nivel Setorial'!N51/'Nivel Setorial'!N$5*100)</x:f>
        <x:v>174.99557166877827</x:v>
      </x:c>
      <x:c r="O51" s="22" t="n">
        <x:f>IF('Nivel Setorial'!O51="","",'Nivel Setorial'!O51/'Nivel Setorial'!O$5*100)</x:f>
        <x:v>162.87137760458918</x:v>
      </x:c>
      <x:c r="P51" s="22" t="n">
        <x:f>IF('Nivel Setorial'!P51="","",'Nivel Setorial'!P51/'Nivel Setorial'!P$5*100)</x:f>
        <x:v>81.28481918637814</x:v>
      </x:c>
      <x:c r="Q51" s="22" t="n">
        <x:f>IF('Nivel Setorial'!Q51="","",'Nivel Setorial'!Q51/'Nivel Setorial'!Q$5*100)</x:f>
        <x:v>127.14054823394608</x:v>
      </x:c>
      <x:c r="R51" s="22" t="n">
        <x:f>IF('Nivel Setorial'!R51="","",'Nivel Setorial'!R51/'Nivel Setorial'!R$5*100)</x:f>
        <x:v>94.71501593729475</x:v>
      </x:c>
    </x:row>
    <x:row r="52">
      <x:c r="A52" s="21" t="n">
        <x:f>'Nivel Setorial'!A52</x:f>
        <x:v>41609</x:v>
      </x:c>
      <x:c r="B52" s="22" t="n">
        <x:f>IF('Nivel Setorial'!B52="","",'Nivel Setorial'!B52/'Nivel Setorial'!B$45*100)</x:f>
        <x:v>-415.00762443852074</x:v>
      </x:c>
      <x:c r="C52" s="22" t="n">
        <x:f>IF('Nivel Setorial'!C52="","",'Nivel Setorial'!C52/'Nivel Setorial'!C$5*100)</x:f>
        <x:v>203.6104364357564</x:v>
      </x:c>
      <x:c r="D52" s="22" t="n">
        <x:f>IF('Nivel Setorial'!D52="","",'Nivel Setorial'!D52/'Nivel Setorial'!D$5*100)</x:f>
        <x:v>204.8661815412978</x:v>
      </x:c>
      <x:c r="E52" s="22" t="n">
        <x:f>IF('Nivel Setorial'!E52="","",'Nivel Setorial'!E52/'Nivel Setorial'!E$49*100)</x:f>
        <x:v>111.18458379054607</x:v>
      </x:c>
      <x:c r="F52" s="22" t="n">
        <x:f>IF('Nivel Setorial'!F52="","",'Nivel Setorial'!F52/'Nivel Setorial'!F$5*100)</x:f>
        <x:v>147.5999137891509</x:v>
      </x:c>
      <x:c r="G52" s="22" t="n">
        <x:f>IF('Nivel Setorial'!G52="","",'Nivel Setorial'!G52/'Nivel Setorial'!G$5*100)</x:f>
        <x:v>197.33479305449194</x:v>
      </x:c>
      <x:c r="H52" s="22" t="n">
        <x:f>IF('Nivel Setorial'!H52="","",'Nivel Setorial'!H52/'Nivel Setorial'!H$17*100)</x:f>
        <x:v>119.24827849391887</x:v>
      </x:c>
      <x:c r="I52" s="22" t="n">
        <x:f>IF('Nivel Setorial'!I52="","",'Nivel Setorial'!I52/'Nivel Setorial'!I$5*100)</x:f>
        <x:v>64.25804044461903</x:v>
      </x:c>
      <x:c r="J52" s="22" t="n">
        <x:f>IF('Nivel Setorial'!J52="","",'Nivel Setorial'!J52/'Nivel Setorial'!J$25*100)</x:f>
        <x:v>199.1229126722269</x:v>
      </x:c>
      <x:c r="K52" s="22" t="n">
        <x:f>IF('Nivel Setorial'!K52="","",'Nivel Setorial'!K52/'Nivel Setorial'!K$5*100)</x:f>
        <x:v>112.34895198971475</x:v>
      </x:c>
      <x:c r="L52" s="22" t="n">
        <x:f>IF('Nivel Setorial'!L52="","",'Nivel Setorial'!L52/'Nivel Setorial'!L$5*100)</x:f>
        <x:v>104.95503250285797</x:v>
      </x:c>
      <x:c r="M52" s="22" t="n">
        <x:f>IF('Nivel Setorial'!M52="","",'Nivel Setorial'!M52/'Nivel Setorial'!M$5*100)</x:f>
        <x:v>92.62925201746225</x:v>
      </x:c>
      <x:c r="N52" s="22" t="n">
        <x:f>IF('Nivel Setorial'!N52="","",'Nivel Setorial'!N52/'Nivel Setorial'!N$5*100)</x:f>
        <x:v>171.85536846507642</x:v>
      </x:c>
      <x:c r="O52" s="22" t="n">
        <x:f>IF('Nivel Setorial'!O52="","",'Nivel Setorial'!O52/'Nivel Setorial'!O$5*100)</x:f>
        <x:v>165.0329016030951</x:v>
      </x:c>
      <x:c r="P52" s="22" t="n">
        <x:f>IF('Nivel Setorial'!P52="","",'Nivel Setorial'!P52/'Nivel Setorial'!P$5*100)</x:f>
        <x:v>79.65272624646165</x:v>
      </x:c>
      <x:c r="Q52" s="22" t="n">
        <x:f>IF('Nivel Setorial'!Q52="","",'Nivel Setorial'!Q52/'Nivel Setorial'!Q$5*100)</x:f>
        <x:v>133.2237180111538</x:v>
      </x:c>
      <x:c r="R52" s="22" t="n">
        <x:f>IF('Nivel Setorial'!R52="","",'Nivel Setorial'!R52/'Nivel Setorial'!R$5*100)</x:f>
        <x:v>98.08630793582279</x:v>
      </x:c>
    </x:row>
    <x:row r="53">
      <x:c r="A53" s="21" t="n">
        <x:f>'Nivel Setorial'!A53</x:f>
        <x:v>41640</x:v>
      </x:c>
      <x:c r="B53" s="22" t="str">
        <x:f>IF('Nivel Setorial'!B53="","",'Nivel Setorial'!B53/'Nivel Setorial'!B$45*100)</x:f>
      </x:c>
      <x:c r="C53" s="22" t="n">
        <x:f>IF('Nivel Setorial'!C53="","",'Nivel Setorial'!C53/'Nivel Setorial'!C$5*100)</x:f>
        <x:v>206.4858459684877</x:v>
      </x:c>
      <x:c r="D53" s="22" t="n">
        <x:f>IF('Nivel Setorial'!D53="","",'Nivel Setorial'!D53/'Nivel Setorial'!D$5*100)</x:f>
        <x:v>208.7473348467777</x:v>
      </x:c>
      <x:c r="E53" s="22" t="n">
        <x:f>IF('Nivel Setorial'!E53="","",'Nivel Setorial'!E53/'Nivel Setorial'!E$49*100)</x:f>
        <x:v>155.79829538082927</x:v>
      </x:c>
      <x:c r="F53" s="22" t="n">
        <x:f>IF('Nivel Setorial'!F53="","",'Nivel Setorial'!F53/'Nivel Setorial'!F$5*100)</x:f>
        <x:v>183.6568490997341</x:v>
      </x:c>
      <x:c r="G53" s="22" t="n">
        <x:f>IF('Nivel Setorial'!G53="","",'Nivel Setorial'!G53/'Nivel Setorial'!G$5*100)</x:f>
        <x:v>197.72934031208533</x:v>
      </x:c>
      <x:c r="H53" s="22" t="n">
        <x:f>IF('Nivel Setorial'!H53="","",'Nivel Setorial'!H53/'Nivel Setorial'!H$17*100)</x:f>
        <x:v>169.9253843464511</x:v>
      </x:c>
      <x:c r="I53" s="22" t="n">
        <x:f>IF('Nivel Setorial'!I53="","",'Nivel Setorial'!I53/'Nivel Setorial'!I$5*100)</x:f>
        <x:v>71.72753465009623</x:v>
      </x:c>
      <x:c r="J53" s="22" t="n">
        <x:f>IF('Nivel Setorial'!J53="","",'Nivel Setorial'!J53/'Nivel Setorial'!J$25*100)</x:f>
        <x:v>198.85472933009643</x:v>
      </x:c>
      <x:c r="K53" s="22" t="n">
        <x:f>IF('Nivel Setorial'!K53="","",'Nivel Setorial'!K53/'Nivel Setorial'!K$5*100)</x:f>
        <x:v>112.55553821245803</x:v>
      </x:c>
      <x:c r="L53" s="22" t="n">
        <x:f>IF('Nivel Setorial'!L53="","",'Nivel Setorial'!L53/'Nivel Setorial'!L$5*100)</x:f>
        <x:v>102.25214416670076</x:v>
      </x:c>
      <x:c r="M53" s="22" t="n">
        <x:f>IF('Nivel Setorial'!M53="","",'Nivel Setorial'!M53/'Nivel Setorial'!M$5*100)</x:f>
        <x:v>108.87992724466207</x:v>
      </x:c>
      <x:c r="N53" s="22" t="n">
        <x:f>IF('Nivel Setorial'!N53="","",'Nivel Setorial'!N53/'Nivel Setorial'!N$5*100)</x:f>
        <x:v>179.54481436467216</x:v>
      </x:c>
      <x:c r="O53" s="22" t="n">
        <x:f>IF('Nivel Setorial'!O53="","",'Nivel Setorial'!O53/'Nivel Setorial'!O$5*100)</x:f>
        <x:v>173.86716146975712</x:v>
      </x:c>
      <x:c r="P53" s="22" t="n">
        <x:f>IF('Nivel Setorial'!P53="","",'Nivel Setorial'!P53/'Nivel Setorial'!P$5*100)</x:f>
        <x:v>74.41105374799805</x:v>
      </x:c>
      <x:c r="Q53" s="22" t="n">
        <x:f>IF('Nivel Setorial'!Q53="","",'Nivel Setorial'!Q53/'Nivel Setorial'!Q$5*100)</x:f>
        <x:v>152.97135572060628</x:v>
      </x:c>
      <x:c r="R53" s="22" t="n">
        <x:f>IF('Nivel Setorial'!R53="","",'Nivel Setorial'!R53/'Nivel Setorial'!R$5*100)</x:f>
        <x:v>97.31481520634745</x:v>
      </x:c>
    </x:row>
    <x:row r="54">
      <x:c r="A54" s="21" t="n">
        <x:f>'Nivel Setorial'!A54</x:f>
        <x:v>41671</x:v>
      </x:c>
      <x:c r="B54" s="22" t="str">
        <x:f>IF('Nivel Setorial'!B54="","",'Nivel Setorial'!B54/'Nivel Setorial'!B$45*100)</x:f>
      </x:c>
      <x:c r="C54" s="22" t="n">
        <x:f>IF('Nivel Setorial'!C54="","",'Nivel Setorial'!C54/'Nivel Setorial'!C$5*100)</x:f>
        <x:v>211.0409987388401</x:v>
      </x:c>
      <x:c r="D54" s="22" t="n">
        <x:f>IF('Nivel Setorial'!D54="","",'Nivel Setorial'!D54/'Nivel Setorial'!D$5*100)</x:f>
        <x:v>223.08989636905042</x:v>
      </x:c>
      <x:c r="E54" s="22" t="n">
        <x:f>IF('Nivel Setorial'!E54="","",'Nivel Setorial'!E54/'Nivel Setorial'!E$49*100)</x:f>
        <x:v>165.89344457800902</x:v>
      </x:c>
      <x:c r="F54" s="22" t="n">
        <x:f>IF('Nivel Setorial'!F54="","",'Nivel Setorial'!F54/'Nivel Setorial'!F$5*100)</x:f>
        <x:v>186.1164767263257</x:v>
      </x:c>
      <x:c r="G54" s="22" t="n">
        <x:f>IF('Nivel Setorial'!G54="","",'Nivel Setorial'!G54/'Nivel Setorial'!G$5*100)</x:f>
        <x:v>198.78655812554268</x:v>
      </x:c>
      <x:c r="H54" s="22" t="n">
        <x:f>IF('Nivel Setorial'!H54="","",'Nivel Setorial'!H54/'Nivel Setorial'!H$17*100)</x:f>
        <x:v>165.05914234583702</x:v>
      </x:c>
      <x:c r="I54" s="22" t="n">
        <x:f>IF('Nivel Setorial'!I54="","",'Nivel Setorial'!I54/'Nivel Setorial'!I$5*100)</x:f>
        <x:v>74.04108711070991</x:v>
      </x:c>
      <x:c r="J54" s="22" t="n">
        <x:f>IF('Nivel Setorial'!J54="","",'Nivel Setorial'!J54/'Nivel Setorial'!J$25*100)</x:f>
        <x:v>188.42171544156272</x:v>
      </x:c>
      <x:c r="K54" s="22" t="n">
        <x:f>IF('Nivel Setorial'!K54="","",'Nivel Setorial'!K54/'Nivel Setorial'!K$5*100)</x:f>
        <x:v>111.17893217077726</x:v>
      </x:c>
      <x:c r="L54" s="22" t="n">
        <x:f>IF('Nivel Setorial'!L54="","",'Nivel Setorial'!L54/'Nivel Setorial'!L$5*100)</x:f>
        <x:v>99.269730628125</x:v>
      </x:c>
      <x:c r="M54" s="22" t="n">
        <x:f>IF('Nivel Setorial'!M54="","",'Nivel Setorial'!M54/'Nivel Setorial'!M$5*100)</x:f>
        <x:v>152.36698378932766</x:v>
      </x:c>
      <x:c r="N54" s="22" t="n">
        <x:f>IF('Nivel Setorial'!N54="","",'Nivel Setorial'!N54/'Nivel Setorial'!N$5*100)</x:f>
        <x:v>181.1801536604634</x:v>
      </x:c>
      <x:c r="O54" s="22" t="n">
        <x:f>IF('Nivel Setorial'!O54="","",'Nivel Setorial'!O54/'Nivel Setorial'!O$5*100)</x:f>
        <x:v>170.1700141867339</x:v>
      </x:c>
      <x:c r="P54" s="22" t="n">
        <x:f>IF('Nivel Setorial'!P54="","",'Nivel Setorial'!P54/'Nivel Setorial'!P$5*100)</x:f>
        <x:v>76.27458683136125</x:v>
      </x:c>
      <x:c r="Q54" s="22" t="n">
        <x:f>IF('Nivel Setorial'!Q54="","",'Nivel Setorial'!Q54/'Nivel Setorial'!Q$5*100)</x:f>
        <x:v>146.61246425335892</x:v>
      </x:c>
      <x:c r="R54" s="22" t="n">
        <x:f>IF('Nivel Setorial'!R54="","",'Nivel Setorial'!R54/'Nivel Setorial'!R$5*100)</x:f>
        <x:v>75.46868693920658</x:v>
      </x:c>
    </x:row>
    <x:row r="55">
      <x:c r="A55" s="21" t="n">
        <x:f>'Nivel Setorial'!A55</x:f>
        <x:v>41699</x:v>
      </x:c>
      <x:c r="B55" s="22" t="str">
        <x:f>IF('Nivel Setorial'!B55="","",'Nivel Setorial'!B55/'Nivel Setorial'!B$45*100)</x:f>
      </x:c>
      <x:c r="C55" s="22" t="n">
        <x:f>IF('Nivel Setorial'!C55="","",'Nivel Setorial'!C55/'Nivel Setorial'!C$5*100)</x:f>
        <x:v>211.97636344721613</x:v>
      </x:c>
      <x:c r="D55" s="22" t="n">
        <x:f>IF('Nivel Setorial'!D55="","",'Nivel Setorial'!D55/'Nivel Setorial'!D$5*100)</x:f>
        <x:v>221.99048076734977</x:v>
      </x:c>
      <x:c r="E55" s="22" t="n">
        <x:f>IF('Nivel Setorial'!E55="","",'Nivel Setorial'!E55/'Nivel Setorial'!E$49*100)</x:f>
        <x:v>176.4822467312656</x:v>
      </x:c>
      <x:c r="F55" s="22" t="n">
        <x:f>IF('Nivel Setorial'!F55="","",'Nivel Setorial'!F55/'Nivel Setorial'!F$5*100)</x:f>
        <x:v>188.02675252874502</x:v>
      </x:c>
      <x:c r="G55" s="22" t="n">
        <x:f>IF('Nivel Setorial'!G55="","",'Nivel Setorial'!G55/'Nivel Setorial'!G$5*100)</x:f>
        <x:v>202.44270334068415</x:v>
      </x:c>
      <x:c r="H55" s="22" t="n">
        <x:f>IF('Nivel Setorial'!H55="","",'Nivel Setorial'!H55/'Nivel Setorial'!H$17*100)</x:f>
        <x:v>174.72639571480096</x:v>
      </x:c>
      <x:c r="I55" s="22" t="n">
        <x:f>IF('Nivel Setorial'!I55="","",'Nivel Setorial'!I55/'Nivel Setorial'!I$5*100)</x:f>
        <x:v>75.03903183087395</x:v>
      </x:c>
      <x:c r="J55" s="22" t="n">
        <x:f>IF('Nivel Setorial'!J55="","",'Nivel Setorial'!J55/'Nivel Setorial'!J$25*100)</x:f>
        <x:v>182.77524699978053</x:v>
      </x:c>
      <x:c r="K55" s="22" t="n">
        <x:f>IF('Nivel Setorial'!K55="","",'Nivel Setorial'!K55/'Nivel Setorial'!K$5*100)</x:f>
        <x:v>105.84098360004064</x:v>
      </x:c>
      <x:c r="L55" s="22" t="n">
        <x:f>IF('Nivel Setorial'!L55="","",'Nivel Setorial'!L55/'Nivel Setorial'!L$5*100)</x:f>
        <x:v>103.63687865822331</x:v>
      </x:c>
      <x:c r="M55" s="22" t="n">
        <x:f>IF('Nivel Setorial'!M55="","",'Nivel Setorial'!M55/'Nivel Setorial'!M$5*100)</x:f>
        <x:v>152.9046386136222</x:v>
      </x:c>
      <x:c r="N55" s="22" t="n">
        <x:f>IF('Nivel Setorial'!N55="","",'Nivel Setorial'!N55/'Nivel Setorial'!N$5*100)</x:f>
        <x:v>185.07190511471566</x:v>
      </x:c>
      <x:c r="O55" s="22" t="n">
        <x:f>IF('Nivel Setorial'!O55="","",'Nivel Setorial'!O55/'Nivel Setorial'!O$5*100)</x:f>
        <x:v>152.44504581962505</x:v>
      </x:c>
      <x:c r="P55" s="22" t="n">
        <x:f>IF('Nivel Setorial'!P55="","",'Nivel Setorial'!P55/'Nivel Setorial'!P$5*100)</x:f>
        <x:v>74.40670084429914</x:v>
      </x:c>
      <x:c r="Q55" s="22" t="n">
        <x:f>IF('Nivel Setorial'!Q55="","",'Nivel Setorial'!Q55/'Nivel Setorial'!Q$5*100)</x:f>
        <x:v>152.15161827313733</x:v>
      </x:c>
      <x:c r="R55" s="22" t="n">
        <x:f>IF('Nivel Setorial'!R55="","",'Nivel Setorial'!R55/'Nivel Setorial'!R$5*100)</x:f>
        <x:v>75.93640416414817</x:v>
      </x:c>
    </x:row>
    <x:row r="56">
      <x:c r="A56" s="21" t="n">
        <x:f>'Nivel Setorial'!A56</x:f>
        <x:v>41730</x:v>
      </x:c>
      <x:c r="B56" s="22" t="str">
        <x:f>IF('Nivel Setorial'!B56="","",'Nivel Setorial'!B56/'Nivel Setorial'!B$45*100)</x:f>
      </x:c>
      <x:c r="C56" s="22" t="n">
        <x:f>IF('Nivel Setorial'!C56="","",'Nivel Setorial'!C56/'Nivel Setorial'!C$5*100)</x:f>
        <x:v>213.8958122659771</x:v>
      </x:c>
      <x:c r="D56" s="22" t="n">
        <x:f>IF('Nivel Setorial'!D56="","",'Nivel Setorial'!D56/'Nivel Setorial'!D$5*100)</x:f>
        <x:v>214.68072583644266</x:v>
      </x:c>
      <x:c r="E56" s="22" t="n">
        <x:f>IF('Nivel Setorial'!E56="","",'Nivel Setorial'!E56/'Nivel Setorial'!E$49*100)</x:f>
        <x:v>188.84405606098662</x:v>
      </x:c>
      <x:c r="F56" s="22" t="n">
        <x:f>IF('Nivel Setorial'!F56="","",'Nivel Setorial'!F56/'Nivel Setorial'!F$5*100)</x:f>
        <x:v>192.40245128762248</x:v>
      </x:c>
      <x:c r="G56" s="22" t="n">
        <x:f>IF('Nivel Setorial'!G56="","",'Nivel Setorial'!G56/'Nivel Setorial'!G$5*100)</x:f>
        <x:v>201.8373618756941</x:v>
      </x:c>
      <x:c r="H56" s="22" t="n">
        <x:f>IF('Nivel Setorial'!H56="","",'Nivel Setorial'!H56/'Nivel Setorial'!H$17*100)</x:f>
        <x:v>177.30793405951016</x:v>
      </x:c>
      <x:c r="I56" s="22" t="n">
        <x:f>IF('Nivel Setorial'!I56="","",'Nivel Setorial'!I56/'Nivel Setorial'!I$5*100)</x:f>
        <x:v>70.05450354648973</x:v>
      </x:c>
      <x:c r="J56" s="22" t="n">
        <x:f>IF('Nivel Setorial'!J56="","",'Nivel Setorial'!J56/'Nivel Setorial'!J$25*100)</x:f>
        <x:v>184.9867218688305</x:v>
      </x:c>
      <x:c r="K56" s="22" t="n">
        <x:f>IF('Nivel Setorial'!K56="","",'Nivel Setorial'!K56/'Nivel Setorial'!K$5*100)</x:f>
        <x:v>105.98103096684785</x:v>
      </x:c>
      <x:c r="L56" s="22" t="n">
        <x:f>IF('Nivel Setorial'!L56="","",'Nivel Setorial'!L56/'Nivel Setorial'!L$5*100)</x:f>
        <x:v>103.83945623770772</x:v>
      </x:c>
      <x:c r="M56" s="22" t="n">
        <x:f>IF('Nivel Setorial'!M56="","",'Nivel Setorial'!M56/'Nivel Setorial'!M$5*100)</x:f>
        <x:v>155.89673388812602</x:v>
      </x:c>
      <x:c r="N56" s="22" t="n">
        <x:f>IF('Nivel Setorial'!N56="","",'Nivel Setorial'!N56/'Nivel Setorial'!N$5*100)</x:f>
        <x:v>185.63880724592244</x:v>
      </x:c>
      <x:c r="O56" s="22" t="n">
        <x:f>IF('Nivel Setorial'!O56="","",'Nivel Setorial'!O56/'Nivel Setorial'!O$5*100)</x:f>
        <x:v>139.89873651504058</x:v>
      </x:c>
      <x:c r="P56" s="22" t="n">
        <x:f>IF('Nivel Setorial'!P56="","",'Nivel Setorial'!P56/'Nivel Setorial'!P$5*100)</x:f>
        <x:v>75.8937507060916</x:v>
      </x:c>
      <x:c r="Q56" s="22" t="n">
        <x:f>IF('Nivel Setorial'!Q56="","",'Nivel Setorial'!Q56/'Nivel Setorial'!Q$5*100)</x:f>
        <x:v>153.2787136033086</x:v>
      </x:c>
      <x:c r="R56" s="22" t="n">
        <x:f>IF('Nivel Setorial'!R56="","",'Nivel Setorial'!R56/'Nivel Setorial'!R$5*100)</x:f>
        <x:v>75.98525908368472</x:v>
      </x:c>
    </x:row>
    <x:row r="57">
      <x:c r="A57" s="21" t="n">
        <x:f>'Nivel Setorial'!A57</x:f>
        <x:v>41760</x:v>
      </x:c>
      <x:c r="B57" s="22" t="str">
        <x:f>IF('Nivel Setorial'!B57="","",'Nivel Setorial'!B57/'Nivel Setorial'!B$45*100)</x:f>
      </x:c>
      <x:c r="C57" s="22" t="n">
        <x:f>IF('Nivel Setorial'!C57="","",'Nivel Setorial'!C57/'Nivel Setorial'!C$5*100)</x:f>
        <x:v>217.2839147627106</x:v>
      </x:c>
      <x:c r="D57" s="22" t="n">
        <x:f>IF('Nivel Setorial'!D57="","",'Nivel Setorial'!D57/'Nivel Setorial'!D$5*100)</x:f>
        <x:v>224.10254801710835</x:v>
      </x:c>
      <x:c r="E57" s="22" t="n">
        <x:f>IF('Nivel Setorial'!E57="","",'Nivel Setorial'!E57/'Nivel Setorial'!E$49*100)</x:f>
        <x:v>197.44958467144676</x:v>
      </x:c>
      <x:c r="F57" s="22" t="n">
        <x:f>IF('Nivel Setorial'!F57="","",'Nivel Setorial'!F57/'Nivel Setorial'!F$5*100)</x:f>
        <x:v>196.53126770370184</x:v>
      </x:c>
      <x:c r="G57" s="22" t="n">
        <x:f>IF('Nivel Setorial'!G57="","",'Nivel Setorial'!G57/'Nivel Setorial'!G$5*100)</x:f>
        <x:v>200.18646179513263</x:v>
      </x:c>
      <x:c r="H57" s="22" t="n">
        <x:f>IF('Nivel Setorial'!H57="","",'Nivel Setorial'!H57/'Nivel Setorial'!H$17*100)</x:f>
        <x:v>146.48859207282595</x:v>
      </x:c>
      <x:c r="I57" s="22" t="n">
        <x:f>IF('Nivel Setorial'!I57="","",'Nivel Setorial'!I57/'Nivel Setorial'!I$5*100)</x:f>
        <x:v>72.83208112411388</x:v>
      </x:c>
      <x:c r="J57" s="22" t="n">
        <x:f>IF('Nivel Setorial'!J57="","",'Nivel Setorial'!J57/'Nivel Setorial'!J$25*100)</x:f>
        <x:v>191.85430568710095</x:v>
      </x:c>
      <x:c r="K57" s="22" t="n">
        <x:f>IF('Nivel Setorial'!K57="","",'Nivel Setorial'!K57/'Nivel Setorial'!K$5*100)</x:f>
        <x:v>100.54053676714165</x:v>
      </x:c>
      <x:c r="L57" s="22" t="n">
        <x:f>IF('Nivel Setorial'!L57="","",'Nivel Setorial'!L57/'Nivel Setorial'!L$5*100)</x:f>
        <x:v>100.85461928133807</x:v>
      </x:c>
      <x:c r="M57" s="22" t="n">
        <x:f>IF('Nivel Setorial'!M57="","",'Nivel Setorial'!M57/'Nivel Setorial'!M$5*100)</x:f>
        <x:v>156.60872932943607</x:v>
      </x:c>
      <x:c r="N57" s="22" t="n">
        <x:f>IF('Nivel Setorial'!N57="","",'Nivel Setorial'!N57/'Nivel Setorial'!N$5*100)</x:f>
        <x:v>185.49358088928258</x:v>
      </x:c>
      <x:c r="O57" s="22" t="n">
        <x:f>IF('Nivel Setorial'!O57="","",'Nivel Setorial'!O57/'Nivel Setorial'!O$5*100)</x:f>
        <x:v>141.26092266884393</x:v>
      </x:c>
      <x:c r="P57" s="22" t="n">
        <x:f>IF('Nivel Setorial'!P57="","",'Nivel Setorial'!P57/'Nivel Setorial'!P$5*100)</x:f>
        <x:v>71.76688569543326</x:v>
      </x:c>
      <x:c r="Q57" s="22" t="n">
        <x:f>IF('Nivel Setorial'!Q57="","",'Nivel Setorial'!Q57/'Nivel Setorial'!Q$5*100)</x:f>
        <x:v>153.45360659747075</x:v>
      </x:c>
      <x:c r="R57" s="22" t="n">
        <x:f>IF('Nivel Setorial'!R57="","",'Nivel Setorial'!R57/'Nivel Setorial'!R$5*100)</x:f>
        <x:v>95.3647957963022</x:v>
      </x:c>
    </x:row>
    <x:row r="58">
      <x:c r="A58" s="21" t="n">
        <x:f>'Nivel Setorial'!A58</x:f>
        <x:v>41791</x:v>
      </x:c>
      <x:c r="B58" s="22" t="str">
        <x:f>IF('Nivel Setorial'!B58="","",'Nivel Setorial'!B58/'Nivel Setorial'!B$45*100)</x:f>
      </x:c>
      <x:c r="C58" s="22" t="n">
        <x:f>IF('Nivel Setorial'!C58="","",'Nivel Setorial'!C58/'Nivel Setorial'!C$5*100)</x:f>
        <x:v>219.8091342284636</x:v>
      </x:c>
      <x:c r="D58" s="22" t="n">
        <x:f>IF('Nivel Setorial'!D58="","",'Nivel Setorial'!D58/'Nivel Setorial'!D$5*100)</x:f>
        <x:v>227.7717425901866</x:v>
      </x:c>
      <x:c r="E58" s="22" t="n">
        <x:f>IF('Nivel Setorial'!E58="","",'Nivel Setorial'!E58/'Nivel Setorial'!E$49*100)</x:f>
        <x:v>205.12407346974135</x:v>
      </x:c>
      <x:c r="F58" s="22" t="n">
        <x:f>IF('Nivel Setorial'!F58="","",'Nivel Setorial'!F58/'Nivel Setorial'!F$5*100)</x:f>
        <x:v>202.2206980108296</x:v>
      </x:c>
      <x:c r="G58" s="22" t="n">
        <x:f>IF('Nivel Setorial'!G58="","",'Nivel Setorial'!G58/'Nivel Setorial'!G$5*100)</x:f>
        <x:v>201.97063804924608</x:v>
      </x:c>
      <x:c r="H58" s="22" t="n">
        <x:f>IF('Nivel Setorial'!H58="","",'Nivel Setorial'!H58/'Nivel Setorial'!H$17*100)</x:f>
        <x:v>154.3388113821337</x:v>
      </x:c>
      <x:c r="I58" s="22" t="n">
        <x:f>IF('Nivel Setorial'!I58="","",'Nivel Setorial'!I58/'Nivel Setorial'!I$5*100)</x:f>
        <x:v>69.45690101537251</x:v>
      </x:c>
      <x:c r="J58" s="22" t="n">
        <x:f>IF('Nivel Setorial'!J58="","",'Nivel Setorial'!J58/'Nivel Setorial'!J$25*100)</x:f>
        <x:v>178.76887034098206</x:v>
      </x:c>
      <x:c r="K58" s="22" t="n">
        <x:f>IF('Nivel Setorial'!K58="","",'Nivel Setorial'!K58/'Nivel Setorial'!K$5*100)</x:f>
        <x:v>93.13647049609729</x:v>
      </x:c>
      <x:c r="L58" s="22" t="n">
        <x:f>IF('Nivel Setorial'!L58="","",'Nivel Setorial'!L58/'Nivel Setorial'!L$5*100)</x:f>
        <x:v>102.41112948849877</x:v>
      </x:c>
      <x:c r="M58" s="22" t="n">
        <x:f>IF('Nivel Setorial'!M58="","",'Nivel Setorial'!M58/'Nivel Setorial'!M$5*100)</x:f>
        <x:v>155.66119527999743</x:v>
      </x:c>
      <x:c r="N58" s="22" t="n">
        <x:f>IF('Nivel Setorial'!N58="","",'Nivel Setorial'!N58/'Nivel Setorial'!N$5*100)</x:f>
        <x:v>187.24323696115405</x:v>
      </x:c>
      <x:c r="O58" s="22" t="n">
        <x:f>IF('Nivel Setorial'!O58="","",'Nivel Setorial'!O58/'Nivel Setorial'!O$5*100)</x:f>
        <x:v>144.4071389314996</x:v>
      </x:c>
      <x:c r="P58" s="22" t="n">
        <x:f>IF('Nivel Setorial'!P58="","",'Nivel Setorial'!P58/'Nivel Setorial'!P$5*100)</x:f>
        <x:v>68.17508500928632</x:v>
      </x:c>
      <x:c r="Q58" s="22" t="n">
        <x:f>IF('Nivel Setorial'!Q58="","",'Nivel Setorial'!Q58/'Nivel Setorial'!Q$5*100)</x:f>
        <x:v>154.09277074993577</x:v>
      </x:c>
      <x:c r="R58" s="22" t="n">
        <x:f>IF('Nivel Setorial'!R58="","",'Nivel Setorial'!R58/'Nivel Setorial'!R$5*100)</x:f>
        <x:v>95.25789823954496</x:v>
      </x:c>
    </x:row>
    <x:row r="59">
      <x:c r="A59" s="21" t="n">
        <x:f>'Nivel Setorial'!A59</x:f>
        <x:v>41821</x:v>
      </x:c>
      <x:c r="B59" s="22" t="str">
        <x:f>IF('Nivel Setorial'!B59="","",'Nivel Setorial'!B59/'Nivel Setorial'!B$45*100)</x:f>
      </x:c>
      <x:c r="C59" s="22" t="n">
        <x:f>IF('Nivel Setorial'!C59="","",'Nivel Setorial'!C59/'Nivel Setorial'!C$5*100)</x:f>
        <x:v>224.5407452779203</x:v>
      </x:c>
      <x:c r="D59" s="22" t="n">
        <x:f>IF('Nivel Setorial'!D59="","",'Nivel Setorial'!D59/'Nivel Setorial'!D$5*100)</x:f>
        <x:v>227.1383740709163</x:v>
      </x:c>
      <x:c r="E59" s="22" t="n">
        <x:f>IF('Nivel Setorial'!E59="","",'Nivel Setorial'!E59/'Nivel Setorial'!E$49*100)</x:f>
        <x:v>185.60958754115464</x:v>
      </x:c>
      <x:c r="F59" s="22" t="n">
        <x:f>IF('Nivel Setorial'!F59="","",'Nivel Setorial'!F59/'Nivel Setorial'!F$5*100)</x:f>
        <x:v>203.62603344846528</x:v>
      </x:c>
      <x:c r="G59" s="22" t="n">
        <x:f>IF('Nivel Setorial'!G59="","",'Nivel Setorial'!G59/'Nivel Setorial'!G$5*100)</x:f>
        <x:v>202.5132811638258</x:v>
      </x:c>
      <x:c r="H59" s="22" t="n">
        <x:f>IF('Nivel Setorial'!H59="","",'Nivel Setorial'!H59/'Nivel Setorial'!H$17*100)</x:f>
        <x:v>152.5162436478481</x:v>
      </x:c>
      <x:c r="I59" s="22" t="n">
        <x:f>IF('Nivel Setorial'!I59="","",'Nivel Setorial'!I59/'Nivel Setorial'!I$5*100)</x:f>
        <x:v>65.56389182871978</x:v>
      </x:c>
      <x:c r="J59" s="22" t="n">
        <x:f>IF('Nivel Setorial'!J59="","",'Nivel Setorial'!J59/'Nivel Setorial'!J$25*100)</x:f>
        <x:v>165.57068879150867</x:v>
      </x:c>
      <x:c r="K59" s="22" t="n">
        <x:f>IF('Nivel Setorial'!K59="","",'Nivel Setorial'!K59/'Nivel Setorial'!K$5*100)</x:f>
        <x:v>88.92201989661054</x:v>
      </x:c>
      <x:c r="L59" s="22" t="n">
        <x:f>IF('Nivel Setorial'!L59="","",'Nivel Setorial'!L59/'Nivel Setorial'!L$5*100)</x:f>
        <x:v>99.25205614353429</x:v>
      </x:c>
      <x:c r="M59" s="22" t="n">
        <x:f>IF('Nivel Setorial'!M59="","",'Nivel Setorial'!M59/'Nivel Setorial'!M$5*100)</x:f>
        <x:v>149.42439317758752</x:v>
      </x:c>
      <x:c r="N59" s="22" t="n">
        <x:f>IF('Nivel Setorial'!N59="","",'Nivel Setorial'!N59/'Nivel Setorial'!N$5*100)</x:f>
        <x:v>188.54528750823482</x:v>
      </x:c>
      <x:c r="O59" s="22" t="n">
        <x:f>IF('Nivel Setorial'!O59="","",'Nivel Setorial'!O59/'Nivel Setorial'!O$5*100)</x:f>
        <x:v>132.83820561468508</x:v>
      </x:c>
      <x:c r="P59" s="22" t="n">
        <x:f>IF('Nivel Setorial'!P59="","",'Nivel Setorial'!P59/'Nivel Setorial'!P$5*100)</x:f>
        <x:v>69.0517933880129</x:v>
      </x:c>
      <x:c r="Q59" s="22" t="n">
        <x:f>IF('Nivel Setorial'!Q59="","",'Nivel Setorial'!Q59/'Nivel Setorial'!Q$5*100)</x:f>
        <x:v>152.0174563324523</x:v>
      </x:c>
      <x:c r="R59" s="22" t="n">
        <x:f>IF('Nivel Setorial'!R59="","",'Nivel Setorial'!R59/'Nivel Setorial'!R$5*100)</x:f>
        <x:v>104.79725290849571</x:v>
      </x:c>
    </x:row>
    <x:row r="60">
      <x:c r="A60" s="21" t="n">
        <x:f>'Nivel Setorial'!A60</x:f>
        <x:v>41852</x:v>
      </x:c>
      <x:c r="B60" s="22" t="str">
        <x:f>IF('Nivel Setorial'!B60="","",'Nivel Setorial'!B60/'Nivel Setorial'!B$45*100)</x:f>
      </x:c>
      <x:c r="C60" s="22" t="n">
        <x:f>IF('Nivel Setorial'!C60="","",'Nivel Setorial'!C60/'Nivel Setorial'!C$5*100)</x:f>
        <x:v>232.69129741628132</x:v>
      </x:c>
      <x:c r="D60" s="22" t="n">
        <x:f>IF('Nivel Setorial'!D60="","",'Nivel Setorial'!D60/'Nivel Setorial'!D$5*100)</x:f>
        <x:v>232.68962942738494</x:v>
      </x:c>
      <x:c r="E60" s="22" t="n">
        <x:f>IF('Nivel Setorial'!E60="","",'Nivel Setorial'!E60/'Nivel Setorial'!E$49*100)</x:f>
        <x:v>210.88913020486925</x:v>
      </x:c>
      <x:c r="F60" s="22" t="n">
        <x:f>IF('Nivel Setorial'!F60="","",'Nivel Setorial'!F60/'Nivel Setorial'!F$5*100)</x:f>
        <x:v>210.69466876246014</x:v>
      </x:c>
      <x:c r="G60" s="22" t="n">
        <x:f>IF('Nivel Setorial'!G60="","",'Nivel Setorial'!G60/'Nivel Setorial'!G$5*100)</x:f>
        <x:v>201.1840898055819</x:v>
      </x:c>
      <x:c r="H60" s="22" t="n">
        <x:f>IF('Nivel Setorial'!H60="","",'Nivel Setorial'!H60/'Nivel Setorial'!H$17*100)</x:f>
        <x:v>156.12731714986668</x:v>
      </x:c>
      <x:c r="I60" s="22" t="n">
        <x:f>IF('Nivel Setorial'!I60="","",'Nivel Setorial'!I60/'Nivel Setorial'!I$5*100)</x:f>
        <x:v>64.10817823062027</x:v>
      </x:c>
      <x:c r="J60" s="22" t="n">
        <x:f>IF('Nivel Setorial'!J60="","",'Nivel Setorial'!J60/'Nivel Setorial'!J$25*100)</x:f>
        <x:v>170.06210904308588</x:v>
      </x:c>
      <x:c r="K60" s="22" t="n">
        <x:f>IF('Nivel Setorial'!K60="","",'Nivel Setorial'!K60/'Nivel Setorial'!K$5*100)</x:f>
        <x:v>85.46208164496862</x:v>
      </x:c>
      <x:c r="L60" s="22" t="n">
        <x:f>IF('Nivel Setorial'!L60="","",'Nivel Setorial'!L60/'Nivel Setorial'!L$5*100)</x:f>
        <x:v>99.91103338247484</x:v>
      </x:c>
      <x:c r="M60" s="22" t="n">
        <x:f>IF('Nivel Setorial'!M60="","",'Nivel Setorial'!M60/'Nivel Setorial'!M$5*100)</x:f>
        <x:v>141.4493102644848</x:v>
      </x:c>
      <x:c r="N60" s="22" t="n">
        <x:f>IF('Nivel Setorial'!N60="","",'Nivel Setorial'!N60/'Nivel Setorial'!N$5*100)</x:f>
        <x:v>190.64500310061229</x:v>
      </x:c>
      <x:c r="O60" s="22" t="n">
        <x:f>IF('Nivel Setorial'!O60="","",'Nivel Setorial'!O60/'Nivel Setorial'!O$5*100)</x:f>
        <x:v>133.62911410251536</x:v>
      </x:c>
      <x:c r="P60" s="22" t="n">
        <x:f>IF('Nivel Setorial'!P60="","",'Nivel Setorial'!P60/'Nivel Setorial'!P$5*100)</x:f>
        <x:v>68.62229339641249</x:v>
      </x:c>
      <x:c r="Q60" s="22" t="n">
        <x:f>IF('Nivel Setorial'!Q60="","",'Nivel Setorial'!Q60/'Nivel Setorial'!Q$5*100)</x:f>
        <x:v>150.59552289442024</x:v>
      </x:c>
      <x:c r="R60" s="22" t="n">
        <x:f>IF('Nivel Setorial'!R60="","",'Nivel Setorial'!R60/'Nivel Setorial'!R$5*100)</x:f>
        <x:v>103.07158222811823</x:v>
      </x:c>
    </x:row>
    <x:row r="61">
      <x:c r="A61" s="21" t="n">
        <x:f>'Nivel Setorial'!A61</x:f>
        <x:v>41883</x:v>
      </x:c>
      <x:c r="B61" s="22" t="str">
        <x:f>IF('Nivel Setorial'!B61="","",'Nivel Setorial'!B61/'Nivel Setorial'!B$45*100)</x:f>
      </x:c>
      <x:c r="C61" s="22" t="n">
        <x:f>IF('Nivel Setorial'!C61="","",'Nivel Setorial'!C61/'Nivel Setorial'!C$5*100)</x:f>
        <x:v>237.43698643017586</x:v>
      </x:c>
      <x:c r="D61" s="22" t="n">
        <x:f>IF('Nivel Setorial'!D61="","",'Nivel Setorial'!D61/'Nivel Setorial'!D$5*100)</x:f>
        <x:v>300.0110643032738</x:v>
      </x:c>
      <x:c r="E61" s="22" t="n">
        <x:f>IF('Nivel Setorial'!E61="","",'Nivel Setorial'!E61/'Nivel Setorial'!E$49*100)</x:f>
        <x:v>232.3179883050408</x:v>
      </x:c>
      <x:c r="F61" s="22" t="n">
        <x:f>IF('Nivel Setorial'!F61="","",'Nivel Setorial'!F61/'Nivel Setorial'!F$5*100)</x:f>
        <x:v>215.87301241192898</x:v>
      </x:c>
      <x:c r="G61" s="22" t="n">
        <x:f>IF('Nivel Setorial'!G61="","",'Nivel Setorial'!G61/'Nivel Setorial'!G$5*100)</x:f>
        <x:v>203.04454286702196</x:v>
      </x:c>
      <x:c r="H61" s="22" t="n">
        <x:f>IF('Nivel Setorial'!H61="","",'Nivel Setorial'!H61/'Nivel Setorial'!H$17*100)</x:f>
        <x:v>158.37029801062604</x:v>
      </x:c>
      <x:c r="I61" s="22" t="n">
        <x:f>IF('Nivel Setorial'!I61="","",'Nivel Setorial'!I61/'Nivel Setorial'!I$5*100)</x:f>
        <x:v>64.18873989280685</x:v>
      </x:c>
      <x:c r="J61" s="22" t="n">
        <x:f>IF('Nivel Setorial'!J61="","",'Nivel Setorial'!J61/'Nivel Setorial'!J$25*100)</x:f>
        <x:v>167.8712069778507</x:v>
      </x:c>
      <x:c r="K61" s="22" t="n">
        <x:f>IF('Nivel Setorial'!K61="","",'Nivel Setorial'!K61/'Nivel Setorial'!K$5*100)</x:f>
        <x:v>81.49970654813401</x:v>
      </x:c>
      <x:c r="L61" s="22" t="n">
        <x:f>IF('Nivel Setorial'!L61="","",'Nivel Setorial'!L61/'Nivel Setorial'!L$5*100)</x:f>
        <x:v>101.44654775144737</x:v>
      </x:c>
      <x:c r="M61" s="22" t="n">
        <x:f>IF('Nivel Setorial'!M61="","",'Nivel Setorial'!M61/'Nivel Setorial'!M$5*100)</x:f>
        <x:v>141.734100431592</x:v>
      </x:c>
      <x:c r="N61" s="22" t="n">
        <x:f>IF('Nivel Setorial'!N61="","",'Nivel Setorial'!N61/'Nivel Setorial'!N$5*100)</x:f>
        <x:v>191.3546796656192</x:v>
      </x:c>
      <x:c r="O61" s="22" t="n">
        <x:f>IF('Nivel Setorial'!O61="","",'Nivel Setorial'!O61/'Nivel Setorial'!O$5*100)</x:f>
        <x:v>136.90641599457604</x:v>
      </x:c>
      <x:c r="P61" s="22" t="n">
        <x:f>IF('Nivel Setorial'!P61="","",'Nivel Setorial'!P61/'Nivel Setorial'!P$5*100)</x:f>
        <x:v>69.45362994593165</x:v>
      </x:c>
      <x:c r="Q61" s="22" t="n">
        <x:f>IF('Nivel Setorial'!Q61="","",'Nivel Setorial'!Q61/'Nivel Setorial'!Q$5*100)</x:f>
        <x:v>145.35993862799415</x:v>
      </x:c>
      <x:c r="R61" s="22" t="n">
        <x:f>IF('Nivel Setorial'!R61="","",'Nivel Setorial'!R61/'Nivel Setorial'!R$5*100)</x:f>
        <x:v>95.6051571901122</x:v>
      </x:c>
    </x:row>
    <x:row r="62">
      <x:c r="A62" s="21" t="n">
        <x:f>'Nivel Setorial'!A62</x:f>
        <x:v>41913</x:v>
      </x:c>
      <x:c r="B62" s="22" t="str">
        <x:f>IF('Nivel Setorial'!B62="","",'Nivel Setorial'!B62/'Nivel Setorial'!B$45*100)</x:f>
      </x:c>
      <x:c r="C62" s="22" t="n">
        <x:f>IF('Nivel Setorial'!C62="","",'Nivel Setorial'!C62/'Nivel Setorial'!C$5*100)</x:f>
        <x:v>241.28649901605135</x:v>
      </x:c>
      <x:c r="D62" s="22" t="n">
        <x:f>IF('Nivel Setorial'!D62="","",'Nivel Setorial'!D62/'Nivel Setorial'!D$5*100)</x:f>
        <x:v>314.35438171740606</x:v>
      </x:c>
      <x:c r="E62" s="22" t="n">
        <x:f>IF('Nivel Setorial'!E62="","",'Nivel Setorial'!E62/'Nivel Setorial'!E$49*100)</x:f>
        <x:v>241.10449992235118</x:v>
      </x:c>
      <x:c r="F62" s="22" t="n">
        <x:f>IF('Nivel Setorial'!F62="","",'Nivel Setorial'!F62/'Nivel Setorial'!F$5*100)</x:f>
        <x:v>221.86401504283828</x:v>
      </x:c>
      <x:c r="G62" s="22" t="n">
        <x:f>IF('Nivel Setorial'!G62="","",'Nivel Setorial'!G62/'Nivel Setorial'!G$5*100)</x:f>
        <x:v>204.88976445940756</x:v>
      </x:c>
      <x:c r="H62" s="22" t="n">
        <x:f>IF('Nivel Setorial'!H62="","",'Nivel Setorial'!H62/'Nivel Setorial'!H$17*100)</x:f>
        <x:v>156.8289085745998</x:v>
      </x:c>
      <x:c r="I62" s="22" t="n">
        <x:f>IF('Nivel Setorial'!I62="","",'Nivel Setorial'!I62/'Nivel Setorial'!I$5*100)</x:f>
        <x:v>56.34945265072145</x:v>
      </x:c>
      <x:c r="J62" s="22" t="n">
        <x:f>IF('Nivel Setorial'!J62="","",'Nivel Setorial'!J62/'Nivel Setorial'!J$25*100)</x:f>
        <x:v>163.32738444871632</x:v>
      </x:c>
      <x:c r="K62" s="22" t="n">
        <x:f>IF('Nivel Setorial'!K62="","",'Nivel Setorial'!K62/'Nivel Setorial'!K$5*100)</x:f>
        <x:v>66.81766187294582</x:v>
      </x:c>
      <x:c r="L62" s="22" t="n">
        <x:f>IF('Nivel Setorial'!L62="","",'Nivel Setorial'!L62/'Nivel Setorial'!L$5*100)</x:f>
        <x:v>97.43776870537893</x:v>
      </x:c>
      <x:c r="M62" s="22" t="n">
        <x:f>IF('Nivel Setorial'!M62="","",'Nivel Setorial'!M62/'Nivel Setorial'!M$5*100)</x:f>
        <x:v>145.3732258753158</x:v>
      </x:c>
      <x:c r="N62" s="22" t="n">
        <x:f>IF('Nivel Setorial'!N62="","",'Nivel Setorial'!N62/'Nivel Setorial'!N$5*100)</x:f>
        <x:v>195.16278874643538</x:v>
      </x:c>
      <x:c r="O62" s="22" t="n">
        <x:f>IF('Nivel Setorial'!O62="","",'Nivel Setorial'!O62/'Nivel Setorial'!O$5*100)</x:f>
        <x:v>138.66359175320298</x:v>
      </x:c>
      <x:c r="P62" s="22" t="n">
        <x:f>IF('Nivel Setorial'!P62="","",'Nivel Setorial'!P62/'Nivel Setorial'!P$5*100)</x:f>
        <x:v>69.51391965086073</x:v>
      </x:c>
      <x:c r="Q62" s="22" t="n">
        <x:f>IF('Nivel Setorial'!Q62="","",'Nivel Setorial'!Q62/'Nivel Setorial'!Q$5*100)</x:f>
        <x:v>151.31083138782282</x:v>
      </x:c>
      <x:c r="R62" s="22" t="n">
        <x:f>IF('Nivel Setorial'!R62="","",'Nivel Setorial'!R62/'Nivel Setorial'!R$5*100)</x:f>
        <x:v>91.19995511649819</x:v>
      </x:c>
    </x:row>
    <x:row r="63">
      <x:c r="A63" s="21" t="n">
        <x:f>'Nivel Setorial'!A63</x:f>
        <x:v>41944</x:v>
      </x:c>
      <x:c r="B63" s="22" t="str">
        <x:f>IF('Nivel Setorial'!B63="","",'Nivel Setorial'!B63/'Nivel Setorial'!B$45*100)</x:f>
      </x:c>
      <x:c r="C63" s="22" t="n">
        <x:f>IF('Nivel Setorial'!C63="","",'Nivel Setorial'!C63/'Nivel Setorial'!C$5*100)</x:f>
        <x:v>244.21615449672038</x:v>
      </x:c>
      <x:c r="D63" s="22" t="n">
        <x:f>IF('Nivel Setorial'!D63="","",'Nivel Setorial'!D63/'Nivel Setorial'!D$5*100)</x:f>
        <x:v>321.66061129563815</x:v>
      </x:c>
      <x:c r="E63" s="22" t="n">
        <x:f>IF('Nivel Setorial'!E63="","",'Nivel Setorial'!E63/'Nivel Setorial'!E$49*100)</x:f>
        <x:v>252.84879194065613</x:v>
      </x:c>
      <x:c r="F63" s="22" t="n">
        <x:f>IF('Nivel Setorial'!F63="","",'Nivel Setorial'!F63/'Nivel Setorial'!F$5*100)</x:f>
        <x:v>220.98809063993144</x:v>
      </x:c>
      <x:c r="G63" s="22" t="n">
        <x:f>IF('Nivel Setorial'!G63="","",'Nivel Setorial'!G63/'Nivel Setorial'!G$5*100)</x:f>
        <x:v>207.61887677174283</x:v>
      </x:c>
      <x:c r="H63" s="22" t="n">
        <x:f>IF('Nivel Setorial'!H63="","",'Nivel Setorial'!H63/'Nivel Setorial'!H$17*100)</x:f>
        <x:v>160.85497885186743</x:v>
      </x:c>
      <x:c r="I63" s="22" t="n">
        <x:f>IF('Nivel Setorial'!I63="","",'Nivel Setorial'!I63/'Nivel Setorial'!I$5*100)</x:f>
        <x:v>54.4137377480481</x:v>
      </x:c>
      <x:c r="J63" s="22" t="n">
        <x:f>IF('Nivel Setorial'!J63="","",'Nivel Setorial'!J63/'Nivel Setorial'!J$25*100)</x:f>
        <x:v>159.28910051009984</x:v>
      </x:c>
      <x:c r="K63" s="22" t="n">
        <x:f>IF('Nivel Setorial'!K63="","",'Nivel Setorial'!K63/'Nivel Setorial'!K$5*100)</x:f>
        <x:v>62.08653670015211</x:v>
      </x:c>
      <x:c r="L63" s="22" t="n">
        <x:f>IF('Nivel Setorial'!L63="","",'Nivel Setorial'!L63/'Nivel Setorial'!L$5*100)</x:f>
        <x:v>94.81871290174047</x:v>
      </x:c>
      <x:c r="M63" s="22" t="n">
        <x:f>IF('Nivel Setorial'!M63="","",'Nivel Setorial'!M63/'Nivel Setorial'!M$5*100)</x:f>
        <x:v>154.13766502199678</x:v>
      </x:c>
      <x:c r="N63" s="22" t="n">
        <x:f>IF('Nivel Setorial'!N63="","",'Nivel Setorial'!N63/'Nivel Setorial'!N$5*100)</x:f>
        <x:v>196.11972157561374</x:v>
      </x:c>
      <x:c r="O63" s="22" t="n">
        <x:f>IF('Nivel Setorial'!O63="","",'Nivel Setorial'!O63/'Nivel Setorial'!O$5*100)</x:f>
        <x:v>129.64770754514788</x:v>
      </x:c>
      <x:c r="P63" s="22" t="n">
        <x:f>IF('Nivel Setorial'!P63="","",'Nivel Setorial'!P63/'Nivel Setorial'!P$5*100)</x:f>
        <x:v>71.05176443459823</x:v>
      </x:c>
      <x:c r="Q63" s="22" t="n">
        <x:f>IF('Nivel Setorial'!Q63="","",'Nivel Setorial'!Q63/'Nivel Setorial'!Q$5*100)</x:f>
        <x:v>144.08864754068907</x:v>
      </x:c>
      <x:c r="R63" s="22" t="n">
        <x:f>IF('Nivel Setorial'!R63="","",'Nivel Setorial'!R63/'Nivel Setorial'!R$5*100)</x:f>
        <x:v>88.22127936848175</x:v>
      </x:c>
    </x:row>
    <x:row r="64">
      <x:c r="A64" s="21" t="n">
        <x:f>'Nivel Setorial'!A64</x:f>
        <x:v>41974</x:v>
      </x:c>
      <x:c r="B64" s="22" t="str">
        <x:f>IF('Nivel Setorial'!B64="","",'Nivel Setorial'!B64/'Nivel Setorial'!B$45*100)</x:f>
      </x:c>
      <x:c r="C64" s="22" t="n">
        <x:f>IF('Nivel Setorial'!C64="","",'Nivel Setorial'!C64/'Nivel Setorial'!C$5*100)</x:f>
        <x:v>247.7976410971785</x:v>
      </x:c>
      <x:c r="D64" s="22" t="n">
        <x:f>IF('Nivel Setorial'!D64="","",'Nivel Setorial'!D64/'Nivel Setorial'!D$5*100)</x:f>
        <x:v>323.7381499367868</x:v>
      </x:c>
      <x:c r="E64" s="22" t="n">
        <x:f>IF('Nivel Setorial'!E64="","",'Nivel Setorial'!E64/'Nivel Setorial'!E$49*100)</x:f>
        <x:v>258.83674851646987</x:v>
      </x:c>
      <x:c r="F64" s="22" t="n">
        <x:f>IF('Nivel Setorial'!F64="","",'Nivel Setorial'!F64/'Nivel Setorial'!F$5*100)</x:f>
        <x:v>220.50877042744622</x:v>
      </x:c>
      <x:c r="G64" s="22" t="n">
        <x:f>IF('Nivel Setorial'!G64="","",'Nivel Setorial'!G64/'Nivel Setorial'!G$5*100)</x:f>
        <x:v>209.04006193574293</x:v>
      </x:c>
      <x:c r="H64" s="22" t="n">
        <x:f>IF('Nivel Setorial'!H64="","",'Nivel Setorial'!H64/'Nivel Setorial'!H$17*100)</x:f>
        <x:v>166.48271819619384</x:v>
      </x:c>
      <x:c r="I64" s="22" t="n">
        <x:f>IF('Nivel Setorial'!I64="","",'Nivel Setorial'!I64/'Nivel Setorial'!I$5*100)</x:f>
        <x:v>53.880380350672</x:v>
      </x:c>
      <x:c r="J64" s="22" t="n">
        <x:f>IF('Nivel Setorial'!J64="","",'Nivel Setorial'!J64/'Nivel Setorial'!J$25*100)</x:f>
        <x:v>146.56446103320644</x:v>
      </x:c>
      <x:c r="K64" s="22" t="n">
        <x:f>IF('Nivel Setorial'!K64="","",'Nivel Setorial'!K64/'Nivel Setorial'!K$5*100)</x:f>
        <x:v>50.52237376904005</x:v>
      </x:c>
      <x:c r="L64" s="22" t="n">
        <x:f>IF('Nivel Setorial'!L64="","",'Nivel Setorial'!L64/'Nivel Setorial'!L$5*100)</x:f>
        <x:v>83.75961816617017</x:v>
      </x:c>
      <x:c r="M64" s="22" t="n">
        <x:f>IF('Nivel Setorial'!M64="","",'Nivel Setorial'!M64/'Nivel Setorial'!M$5*100)</x:f>
        <x:v>157.42916947602333</x:v>
      </x:c>
      <x:c r="N64" s="22" t="n">
        <x:f>IF('Nivel Setorial'!N64="","",'Nivel Setorial'!N64/'Nivel Setorial'!N$5*100)</x:f>
        <x:v>196.38712863547988</x:v>
      </x:c>
      <x:c r="O64" s="22" t="n">
        <x:f>IF('Nivel Setorial'!O64="","",'Nivel Setorial'!O64/'Nivel Setorial'!O$5*100)</x:f>
        <x:v>115.35908667958503</x:v>
      </x:c>
      <x:c r="P64" s="22" t="n">
        <x:f>IF('Nivel Setorial'!P64="","",'Nivel Setorial'!P64/'Nivel Setorial'!P$5*100)</x:f>
        <x:v>73.97588686786032</x:v>
      </x:c>
      <x:c r="Q64" s="22" t="n">
        <x:f>IF('Nivel Setorial'!Q64="","",'Nivel Setorial'!Q64/'Nivel Setorial'!Q$5*100)</x:f>
        <x:v>145.29530696449945</x:v>
      </x:c>
      <x:c r="R64" s="22" t="n">
        <x:f>IF('Nivel Setorial'!R64="","",'Nivel Setorial'!R64/'Nivel Setorial'!R$5*100)</x:f>
        <x:v>66.05903084232364</x:v>
      </x:c>
    </x:row>
    <x:row r="65">
      <x:c r="A65" s="21" t="n">
        <x:f>'Nivel Setorial'!A65</x:f>
        <x:v>42005</x:v>
      </x:c>
      <x:c r="B65" s="22" t="str">
        <x:f>IF('Nivel Setorial'!B65="","",'Nivel Setorial'!B65/'Nivel Setorial'!B$45*100)</x:f>
      </x:c>
      <x:c r="C65" s="22" t="n">
        <x:f>IF('Nivel Setorial'!C65="","",'Nivel Setorial'!C65/'Nivel Setorial'!C$5*100)</x:f>
        <x:v>251.18870623224643</x:v>
      </x:c>
      <x:c r="D65" s="22" t="n">
        <x:f>IF('Nivel Setorial'!D65="","",'Nivel Setorial'!D65/'Nivel Setorial'!D$5*100)</x:f>
        <x:v>322.16333832696006</x:v>
      </x:c>
      <x:c r="E65" s="22" t="n">
        <x:f>IF('Nivel Setorial'!E65="","",'Nivel Setorial'!E65/'Nivel Setorial'!E$49*100)</x:f>
        <x:v>267.16492997179853</x:v>
      </x:c>
      <x:c r="F65" s="22" t="n">
        <x:f>IF('Nivel Setorial'!F65="","",'Nivel Setorial'!F65/'Nivel Setorial'!F$5*100)</x:f>
        <x:v>221.4658464860245</x:v>
      </x:c>
      <x:c r="G65" s="22" t="n">
        <x:f>IF('Nivel Setorial'!G65="","",'Nivel Setorial'!G65/'Nivel Setorial'!G$5*100)</x:f>
        <x:v>208.8423766477713</x:v>
      </x:c>
      <x:c r="H65" s="22" t="n">
        <x:f>IF('Nivel Setorial'!H65="","",'Nivel Setorial'!H65/'Nivel Setorial'!H$17*100)</x:f>
        <x:v>168.8726350249418</x:v>
      </x:c>
      <x:c r="I65" s="22" t="n">
        <x:f>IF('Nivel Setorial'!I65="","",'Nivel Setorial'!I65/'Nivel Setorial'!I$5*100)</x:f>
        <x:v>53.1310532983428</x:v>
      </x:c>
      <x:c r="J65" s="22" t="n">
        <x:f>IF('Nivel Setorial'!J65="","",'Nivel Setorial'!J65/'Nivel Setorial'!J$25*100)</x:f>
        <x:v>228.35297208711626</x:v>
      </x:c>
      <x:c r="K65" s="22" t="n">
        <x:f>IF('Nivel Setorial'!K65="","",'Nivel Setorial'!K65/'Nivel Setorial'!K$5*100)</x:f>
        <x:v>41.036728169944055</x:v>
      </x:c>
      <x:c r="L65" s="22" t="n">
        <x:f>IF('Nivel Setorial'!L65="","",'Nivel Setorial'!L65/'Nivel Setorial'!L$5*100)</x:f>
        <x:v>72.36023130838754</x:v>
      </x:c>
      <x:c r="M65" s="22" t="n">
        <x:f>IF('Nivel Setorial'!M65="","",'Nivel Setorial'!M65/'Nivel Setorial'!M$5*100)</x:f>
        <x:v>154.7021286814615</x:v>
      </x:c>
      <x:c r="N65" s="22" t="n">
        <x:f>IF('Nivel Setorial'!N65="","",'Nivel Setorial'!N65/'Nivel Setorial'!N$5*100)</x:f>
        <x:v>192.15534113829642</x:v>
      </x:c>
      <x:c r="O65" s="22" t="n">
        <x:f>IF('Nivel Setorial'!O65="","",'Nivel Setorial'!O65/'Nivel Setorial'!O$5*100)</x:f>
        <x:v>89.91122981057578</x:v>
      </x:c>
      <x:c r="P65" s="22" t="n">
        <x:f>IF('Nivel Setorial'!P65="","",'Nivel Setorial'!P65/'Nivel Setorial'!P$5*100)</x:f>
        <x:v>73.07157036067389</x:v>
      </x:c>
      <x:c r="Q65" s="22" t="n">
        <x:f>IF('Nivel Setorial'!Q65="","",'Nivel Setorial'!Q65/'Nivel Setorial'!Q$5*100)</x:f>
        <x:v>137.42191433210127</x:v>
      </x:c>
      <x:c r="R65" s="22" t="n">
        <x:f>IF('Nivel Setorial'!R65="","",'Nivel Setorial'!R65/'Nivel Setorial'!R$5*100)</x:f>
        <x:v>59.02141707587055</x:v>
      </x:c>
    </x:row>
    <x:row r="66">
      <x:c r="A66" s="21" t="n">
        <x:f>'Nivel Setorial'!A66</x:f>
        <x:v>42036</x:v>
      </x:c>
      <x:c r="B66" s="22" t="str">
        <x:f>IF('Nivel Setorial'!B66="","",'Nivel Setorial'!B66/'Nivel Setorial'!B$45*100)</x:f>
      </x:c>
      <x:c r="C66" s="22" t="n">
        <x:f>IF('Nivel Setorial'!C66="","",'Nivel Setorial'!C66/'Nivel Setorial'!C$5*100)</x:f>
        <x:v>253.7952659599469</x:v>
      </x:c>
      <x:c r="D66" s="22" t="n">
        <x:f>IF('Nivel Setorial'!D66="","",'Nivel Setorial'!D66/'Nivel Setorial'!D$5*100)</x:f>
        <x:v>331.0116528898678</x:v>
      </x:c>
      <x:c r="E66" s="22" t="n">
        <x:f>IF('Nivel Setorial'!E66="","",'Nivel Setorial'!E66/'Nivel Setorial'!E$49*100)</x:f>
        <x:v>263.6329604255715</x:v>
      </x:c>
      <x:c r="F66" s="22" t="n">
        <x:f>IF('Nivel Setorial'!F66="","",'Nivel Setorial'!F66/'Nivel Setorial'!F$5*100)</x:f>
        <x:v>224.30281966393974</x:v>
      </x:c>
      <x:c r="G66" s="22" t="n">
        <x:f>IF('Nivel Setorial'!G66="","",'Nivel Setorial'!G66/'Nivel Setorial'!G$5*100)</x:f>
        <x:v>210.38735966832567</x:v>
      </x:c>
      <x:c r="H66" s="22" t="n">
        <x:f>IF('Nivel Setorial'!H66="","",'Nivel Setorial'!H66/'Nivel Setorial'!H$17*100)</x:f>
        <x:v>172.19552414521272</x:v>
      </x:c>
      <x:c r="I66" s="22" t="n">
        <x:f>IF('Nivel Setorial'!I66="","",'Nivel Setorial'!I66/'Nivel Setorial'!I$5*100)</x:f>
        <x:v>50.27773067575985</x:v>
      </x:c>
      <x:c r="J66" s="22" t="n">
        <x:f>IF('Nivel Setorial'!J66="","",'Nivel Setorial'!J66/'Nivel Setorial'!J$25*100)</x:f>
        <x:v>232.09511191349756</x:v>
      </x:c>
      <x:c r="K66" s="22" t="n">
        <x:f>IF('Nivel Setorial'!K66="","",'Nivel Setorial'!K66/'Nivel Setorial'!K$5*100)</x:f>
        <x:v>35.93363366411294</x:v>
      </x:c>
      <x:c r="L66" s="22" t="n">
        <x:f>IF('Nivel Setorial'!L66="","",'Nivel Setorial'!L66/'Nivel Setorial'!L$5*100)</x:f>
        <x:v>70.86698254419072</x:v>
      </x:c>
      <x:c r="M66" s="22" t="n">
        <x:f>IF('Nivel Setorial'!M66="","",'Nivel Setorial'!M66/'Nivel Setorial'!M$5*100)</x:f>
        <x:v>141.37796994809287</x:v>
      </x:c>
      <x:c r="N66" s="22" t="n">
        <x:f>IF('Nivel Setorial'!N66="","",'Nivel Setorial'!N66/'Nivel Setorial'!N$5*100)</x:f>
        <x:v>194.68467635794573</x:v>
      </x:c>
      <x:c r="O66" s="22" t="n">
        <x:f>IF('Nivel Setorial'!O66="","",'Nivel Setorial'!O66/'Nivel Setorial'!O$5*100)</x:f>
        <x:v>71.0024828034779</x:v>
      </x:c>
      <x:c r="P66" s="22" t="n">
        <x:f>IF('Nivel Setorial'!P66="","",'Nivel Setorial'!P66/'Nivel Setorial'!P$5*100)</x:f>
        <x:v>57.15371314563665</x:v>
      </x:c>
      <x:c r="Q66" s="22" t="n">
        <x:f>IF('Nivel Setorial'!Q66="","",'Nivel Setorial'!Q66/'Nivel Setorial'!Q$5*100)</x:f>
        <x:v>135.77657880434603</x:v>
      </x:c>
      <x:c r="R66" s="22" t="n">
        <x:f>IF('Nivel Setorial'!R66="","",'Nivel Setorial'!R66/'Nivel Setorial'!R$5*100)</x:f>
        <x:v>54.26774369685832</x:v>
      </x:c>
    </x:row>
    <x:row r="67">
      <x:c r="A67" s="21" t="n">
        <x:f>'Nivel Setorial'!A67</x:f>
        <x:v>42064</x:v>
      </x:c>
      <x:c r="B67" s="22" t="str">
        <x:f>IF('Nivel Setorial'!B67="","",'Nivel Setorial'!B67/'Nivel Setorial'!B$45*100)</x:f>
      </x:c>
      <x:c r="C67" s="22" t="n">
        <x:f>IF('Nivel Setorial'!C67="","",'Nivel Setorial'!C67/'Nivel Setorial'!C$5*100)</x:f>
        <x:v>256.639520363119</x:v>
      </x:c>
      <x:c r="D67" s="22" t="n">
        <x:f>IF('Nivel Setorial'!D67="","",'Nivel Setorial'!D67/'Nivel Setorial'!D$5*100)</x:f>
        <x:v>299.2976741772106</x:v>
      </x:c>
      <x:c r="E67" s="22" t="n">
        <x:f>IF('Nivel Setorial'!E67="","",'Nivel Setorial'!E67/'Nivel Setorial'!E$49*100)</x:f>
        <x:v>255.23282528013218</x:v>
      </x:c>
      <x:c r="F67" s="22" t="n">
        <x:f>IF('Nivel Setorial'!F67="","",'Nivel Setorial'!F67/'Nivel Setorial'!F$5*100)</x:f>
        <x:v>226.95016312250124</x:v>
      </x:c>
      <x:c r="G67" s="22" t="n">
        <x:f>IF('Nivel Setorial'!G67="","",'Nivel Setorial'!G67/'Nivel Setorial'!G$5*100)</x:f>
        <x:v>212.58613572846153</x:v>
      </x:c>
      <x:c r="H67" s="22" t="n">
        <x:f>IF('Nivel Setorial'!H67="","",'Nivel Setorial'!H67/'Nivel Setorial'!H$17*100)</x:f>
        <x:v>174.36365047239866</x:v>
      </x:c>
      <x:c r="I67" s="22" t="n">
        <x:f>IF('Nivel Setorial'!I67="","",'Nivel Setorial'!I67/'Nivel Setorial'!I$5*100)</x:f>
        <x:v>49.88114278008433</x:v>
      </x:c>
      <x:c r="J67" s="22" t="n">
        <x:f>IF('Nivel Setorial'!J67="","",'Nivel Setorial'!J67/'Nivel Setorial'!J$25*100)</x:f>
        <x:v>231.25702525824465</x:v>
      </x:c>
      <x:c r="K67" s="22" t="n">
        <x:f>IF('Nivel Setorial'!K67="","",'Nivel Setorial'!K67/'Nivel Setorial'!K$5*100)</x:f>
        <x:v>20.262201309199625</x:v>
      </x:c>
      <x:c r="L67" s="22" t="n">
        <x:f>IF('Nivel Setorial'!L67="","",'Nivel Setorial'!L67/'Nivel Setorial'!L$5*100)</x:f>
        <x:v>65.06735321814573</x:v>
      </x:c>
      <x:c r="M67" s="22" t="n">
        <x:f>IF('Nivel Setorial'!M67="","",'Nivel Setorial'!M67/'Nivel Setorial'!M$5*100)</x:f>
        <x:v>139.8026002661387</x:v>
      </x:c>
      <x:c r="N67" s="22" t="n">
        <x:f>IF('Nivel Setorial'!N67="","",'Nivel Setorial'!N67/'Nivel Setorial'!N$5*100)</x:f>
        <x:v>191.74460939176632</x:v>
      </x:c>
      <x:c r="O67" s="22" t="n">
        <x:f>IF('Nivel Setorial'!O67="","",'Nivel Setorial'!O67/'Nivel Setorial'!O$5*100)</x:f>
        <x:v>76.18968343166728</x:v>
      </x:c>
      <x:c r="P67" s="22" t="n">
        <x:f>IF('Nivel Setorial'!P67="","",'Nivel Setorial'!P67/'Nivel Setorial'!P$5*100)</x:f>
        <x:v>56.660781249982925</x:v>
      </x:c>
      <x:c r="Q67" s="22" t="n">
        <x:f>IF('Nivel Setorial'!Q67="","",'Nivel Setorial'!Q67/'Nivel Setorial'!Q$5*100)</x:f>
        <x:v>118.44776351897572</x:v>
      </x:c>
      <x:c r="R67" s="22" t="n">
        <x:f>IF('Nivel Setorial'!R67="","",'Nivel Setorial'!R67/'Nivel Setorial'!R$5*100)</x:f>
        <x:v>54.12287222388471</x:v>
      </x:c>
    </x:row>
    <x:row r="68">
      <x:c r="A68" s="21" t="n">
        <x:f>'Nivel Setorial'!A68</x:f>
        <x:v>42095</x:v>
      </x:c>
      <x:c r="B68" s="22" t="str">
        <x:f>IF('Nivel Setorial'!B68="","",'Nivel Setorial'!B68/'Nivel Setorial'!B$45*100)</x:f>
      </x:c>
      <x:c r="C68" s="22" t="n">
        <x:f>IF('Nivel Setorial'!C68="","",'Nivel Setorial'!C68/'Nivel Setorial'!C$5*100)</x:f>
        <x:v>259.62265469290867</x:v>
      </x:c>
      <x:c r="D68" s="22" t="n">
        <x:f>IF('Nivel Setorial'!D68="","",'Nivel Setorial'!D68/'Nivel Setorial'!D$5*100)</x:f>
        <x:v>294.9375306893747</x:v>
      </x:c>
      <x:c r="E68" s="22" t="n">
        <x:f>IF('Nivel Setorial'!E68="","",'Nivel Setorial'!E68/'Nivel Setorial'!E$49*100)</x:f>
        <x:v>249.6026231004006</x:v>
      </x:c>
      <x:c r="F68" s="22" t="n">
        <x:f>IF('Nivel Setorial'!F68="","",'Nivel Setorial'!F68/'Nivel Setorial'!F$5*100)</x:f>
        <x:v>224.51085136822218</x:v>
      </x:c>
      <x:c r="G68" s="22" t="n">
        <x:f>IF('Nivel Setorial'!G68="","",'Nivel Setorial'!G68/'Nivel Setorial'!G$5*100)</x:f>
        <x:v>214.53021929623182</x:v>
      </x:c>
      <x:c r="H68" s="22" t="n">
        <x:f>IF('Nivel Setorial'!H68="","",'Nivel Setorial'!H68/'Nivel Setorial'!H$17*100)</x:f>
        <x:v>171.89980477429825</x:v>
      </x:c>
      <x:c r="I68" s="22" t="n">
        <x:f>IF('Nivel Setorial'!I68="","",'Nivel Setorial'!I68/'Nivel Setorial'!I$5*100)</x:f>
        <x:v>46.47781178494621</x:v>
      </x:c>
      <x:c r="J68" s="22" t="n">
        <x:f>IF('Nivel Setorial'!J68="","",'Nivel Setorial'!J68/'Nivel Setorial'!J$25*100)</x:f>
        <x:v>235.1277154459989</x:v>
      </x:c>
      <x:c r="K68" s="22" t="n">
        <x:f>IF('Nivel Setorial'!K68="","",'Nivel Setorial'!K68/'Nivel Setorial'!K$5*100)</x:f>
        <x:v>-3.337403052424759</x:v>
      </x:c>
      <x:c r="L68" s="22" t="n">
        <x:f>IF('Nivel Setorial'!L68="","",'Nivel Setorial'!L68/'Nivel Setorial'!L$5*100)</x:f>
        <x:v>59.813497008473874</x:v>
      </x:c>
      <x:c r="M68" s="22" t="n">
        <x:f>IF('Nivel Setorial'!M68="","",'Nivel Setorial'!M68/'Nivel Setorial'!M$5*100)</x:f>
        <x:v>126.32743681757648</x:v>
      </x:c>
      <x:c r="N68" s="22" t="n">
        <x:f>IF('Nivel Setorial'!N68="","",'Nivel Setorial'!N68/'Nivel Setorial'!N$5*100)</x:f>
        <x:v>195.67728612147735</x:v>
      </x:c>
      <x:c r="O68" s="22" t="n">
        <x:f>IF('Nivel Setorial'!O68="","",'Nivel Setorial'!O68/'Nivel Setorial'!O$5*100)</x:f>
        <x:v>84.7779589812619</x:v>
      </x:c>
      <x:c r="P68" s="22" t="n">
        <x:f>IF('Nivel Setorial'!P68="","",'Nivel Setorial'!P68/'Nivel Setorial'!P$5*100)</x:f>
        <x:v>58.127497388199664</x:v>
      </x:c>
      <x:c r="Q68" s="22" t="n">
        <x:f>IF('Nivel Setorial'!Q68="","",'Nivel Setorial'!Q68/'Nivel Setorial'!Q$5*100)</x:f>
        <x:v>79.97564844453584</x:v>
      </x:c>
      <x:c r="R68" s="22" t="n">
        <x:f>IF('Nivel Setorial'!R68="","",'Nivel Setorial'!R68/'Nivel Setorial'!R$5*100)</x:f>
        <x:v>55.79566244387559</x:v>
      </x:c>
    </x:row>
    <x:row r="69">
      <x:c r="A69" s="21" t="n">
        <x:f>'Nivel Setorial'!A69</x:f>
        <x:v>42125</x:v>
      </x:c>
      <x:c r="B69" s="22" t="str">
        <x:f>IF('Nivel Setorial'!B69="","",'Nivel Setorial'!B69/'Nivel Setorial'!B$45*100)</x:f>
      </x:c>
      <x:c r="C69" s="22" t="n">
        <x:f>IF('Nivel Setorial'!C69="","",'Nivel Setorial'!C69/'Nivel Setorial'!C$5*100)</x:f>
        <x:v>262.62380277683087</x:v>
      </x:c>
      <x:c r="D69" s="22" t="n">
        <x:f>IF('Nivel Setorial'!D69="","",'Nivel Setorial'!D69/'Nivel Setorial'!D$5*100)</x:f>
        <x:v>290.0309282051695</x:v>
      </x:c>
      <x:c r="E69" s="22" t="n">
        <x:f>IF('Nivel Setorial'!E69="","",'Nivel Setorial'!E69/'Nivel Setorial'!E$49*100)</x:f>
        <x:v>248.96081500208723</x:v>
      </x:c>
      <x:c r="F69" s="22" t="n">
        <x:f>IF('Nivel Setorial'!F69="","",'Nivel Setorial'!F69/'Nivel Setorial'!F$5*100)</x:f>
        <x:v>227.38039931778476</x:v>
      </x:c>
      <x:c r="G69" s="22" t="n">
        <x:f>IF('Nivel Setorial'!G69="","",'Nivel Setorial'!G69/'Nivel Setorial'!G$5*100)</x:f>
        <x:v>215.3277040140017</x:v>
      </x:c>
      <x:c r="H69" s="22" t="n">
        <x:f>IF('Nivel Setorial'!H69="","",'Nivel Setorial'!H69/'Nivel Setorial'!H$17*100)</x:f>
        <x:v>171.75252627272604</x:v>
      </x:c>
      <x:c r="I69" s="22" t="n">
        <x:f>IF('Nivel Setorial'!I69="","",'Nivel Setorial'!I69/'Nivel Setorial'!I$5*100)</x:f>
        <x:v>45.07718749981112</x:v>
      </x:c>
      <x:c r="J69" s="22" t="n">
        <x:f>IF('Nivel Setorial'!J69="","",'Nivel Setorial'!J69/'Nivel Setorial'!J$25*100)</x:f>
        <x:v>231.47835181858665</x:v>
      </x:c>
      <x:c r="K69" s="22" t="n">
        <x:f>IF('Nivel Setorial'!K69="","",'Nivel Setorial'!K69/'Nivel Setorial'!K$5*100)</x:f>
        <x:v>0.09842685628426819</x:v>
      </x:c>
      <x:c r="L69" s="22" t="n">
        <x:f>IF('Nivel Setorial'!L69="","",'Nivel Setorial'!L69/'Nivel Setorial'!L$5*100)</x:f>
        <x:v>66.87290344268929</x:v>
      </x:c>
      <x:c r="M69" s="22" t="n">
        <x:f>IF('Nivel Setorial'!M69="","",'Nivel Setorial'!M69/'Nivel Setorial'!M$5*100)</x:f>
        <x:v>152.94912566507915</x:v>
      </x:c>
      <x:c r="N69" s="22" t="n">
        <x:f>IF('Nivel Setorial'!N69="","",'Nivel Setorial'!N69/'Nivel Setorial'!N$5*100)</x:f>
        <x:v>192.84519830304322</x:v>
      </x:c>
      <x:c r="O69" s="22" t="n">
        <x:f>IF('Nivel Setorial'!O69="","",'Nivel Setorial'!O69/'Nivel Setorial'!O$5*100)</x:f>
        <x:v>96.0311991073761</x:v>
      </x:c>
      <x:c r="P69" s="22" t="n">
        <x:f>IF('Nivel Setorial'!P69="","",'Nivel Setorial'!P69/'Nivel Setorial'!P$5*100)</x:f>
        <x:v>61.291606329915204</x:v>
      </x:c>
      <x:c r="Q69" s="22" t="n">
        <x:f>IF('Nivel Setorial'!Q69="","",'Nivel Setorial'!Q69/'Nivel Setorial'!Q$5*100)</x:f>
        <x:v>76.77235971670858</x:v>
      </x:c>
      <x:c r="R69" s="22" t="n">
        <x:f>IF('Nivel Setorial'!R69="","",'Nivel Setorial'!R69/'Nivel Setorial'!R$5*100)</x:f>
        <x:v>54.10427266322399</x:v>
      </x:c>
    </x:row>
    <x:row r="70">
      <x:c r="A70" s="21" t="n">
        <x:f>'Nivel Setorial'!A70</x:f>
        <x:v>42156</x:v>
      </x:c>
      <x:c r="B70" s="22" t="str">
        <x:f>IF('Nivel Setorial'!B70="","",'Nivel Setorial'!B70/'Nivel Setorial'!B$45*100)</x:f>
      </x:c>
      <x:c r="C70" s="22" t="n">
        <x:f>IF('Nivel Setorial'!C70="","",'Nivel Setorial'!C70/'Nivel Setorial'!C$5*100)</x:f>
        <x:v>263.93063740127064</x:v>
      </x:c>
      <x:c r="D70" s="22" t="n">
        <x:f>IF('Nivel Setorial'!D70="","",'Nivel Setorial'!D70/'Nivel Setorial'!D$5*100)</x:f>
        <x:v>297.93559307940785</x:v>
      </x:c>
      <x:c r="E70" s="22" t="n">
        <x:f>IF('Nivel Setorial'!E70="","",'Nivel Setorial'!E70/'Nivel Setorial'!E$49*100)</x:f>
        <x:v>252.17751409761732</x:v>
      </x:c>
      <x:c r="F70" s="22" t="n">
        <x:f>IF('Nivel Setorial'!F70="","",'Nivel Setorial'!F70/'Nivel Setorial'!F$5*100)</x:f>
        <x:v>232.7720480740719</x:v>
      </x:c>
      <x:c r="G70" s="22" t="n">
        <x:f>IF('Nivel Setorial'!G70="","",'Nivel Setorial'!G70/'Nivel Setorial'!G$5*100)</x:f>
        <x:v>220.52607091225863</x:v>
      </x:c>
      <x:c r="H70" s="22" t="n">
        <x:f>IF('Nivel Setorial'!H70="","",'Nivel Setorial'!H70/'Nivel Setorial'!H$17*100)</x:f>
        <x:v>169.2194022640211</x:v>
      </x:c>
      <x:c r="I70" s="22" t="n">
        <x:f>IF('Nivel Setorial'!I70="","",'Nivel Setorial'!I70/'Nivel Setorial'!I$5*100)</x:f>
        <x:v>45.37613434571476</x:v>
      </x:c>
      <x:c r="J70" s="22" t="n">
        <x:f>IF('Nivel Setorial'!J70="","",'Nivel Setorial'!J70/'Nivel Setorial'!J$25*100)</x:f>
        <x:v>227.6624534672</x:v>
      </x:c>
      <x:c r="K70" s="22" t="n">
        <x:f>IF('Nivel Setorial'!K70="","",'Nivel Setorial'!K70/'Nivel Setorial'!K$5*100)</x:f>
        <x:v>1.9840426773393427</x:v>
      </x:c>
      <x:c r="L70" s="22" t="n">
        <x:f>IF('Nivel Setorial'!L70="","",'Nivel Setorial'!L70/'Nivel Setorial'!L$5*100)</x:f>
        <x:v>69.16575212241143</x:v>
      </x:c>
      <x:c r="M70" s="22" t="n">
        <x:f>IF('Nivel Setorial'!M70="","",'Nivel Setorial'!M70/'Nivel Setorial'!M$5*100)</x:f>
        <x:v>170.97263479001722</x:v>
      </x:c>
      <x:c r="N70" s="22" t="n">
        <x:f>IF('Nivel Setorial'!N70="","",'Nivel Setorial'!N70/'Nivel Setorial'!N$5*100)</x:f>
        <x:v>184.15179108599017</x:v>
      </x:c>
      <x:c r="O70" s="22" t="n">
        <x:f>IF('Nivel Setorial'!O70="","",'Nivel Setorial'!O70/'Nivel Setorial'!O$5*100)</x:f>
        <x:v>92.96027947789861</x:v>
      </x:c>
      <x:c r="P70" s="22" t="n">
        <x:f>IF('Nivel Setorial'!P70="","",'Nivel Setorial'!P70/'Nivel Setorial'!P$5*100)</x:f>
        <x:v>67.85653000665768</x:v>
      </x:c>
      <x:c r="Q70" s="22" t="n">
        <x:f>IF('Nivel Setorial'!Q70="","",'Nivel Setorial'!Q70/'Nivel Setorial'!Q$5*100)</x:f>
        <x:v>82.65899672351617</x:v>
      </x:c>
      <x:c r="R70" s="22" t="n">
        <x:f>IF('Nivel Setorial'!R70="","",'Nivel Setorial'!R70/'Nivel Setorial'!R$5*100)</x:f>
        <x:v>51.19000337979559</x:v>
      </x:c>
    </x:row>
    <x:row r="71">
      <x:c r="A71" s="21" t="n">
        <x:f>'Nivel Setorial'!A71</x:f>
        <x:v>42186</x:v>
      </x:c>
      <x:c r="B71" s="22" t="str">
        <x:f>IF('Nivel Setorial'!B71="","",'Nivel Setorial'!B71/'Nivel Setorial'!B$45*100)</x:f>
      </x:c>
      <x:c r="C71" s="22" t="n">
        <x:f>IF('Nivel Setorial'!C71="","",'Nivel Setorial'!C71/'Nivel Setorial'!C$5*100)</x:f>
        <x:v>265.2370583747773</x:v>
      </x:c>
      <x:c r="D71" s="22" t="n">
        <x:f>IF('Nivel Setorial'!D71="","",'Nivel Setorial'!D71/'Nivel Setorial'!D$5*100)</x:f>
        <x:v>319.1540064280393</x:v>
      </x:c>
      <x:c r="E71" s="22" t="n">
        <x:f>IF('Nivel Setorial'!E71="","",'Nivel Setorial'!E71/'Nivel Setorial'!E$49*100)</x:f>
        <x:v>248.0641713847064</x:v>
      </x:c>
      <x:c r="F71" s="22" t="n">
        <x:f>IF('Nivel Setorial'!F71="","",'Nivel Setorial'!F71/'Nivel Setorial'!F$5*100)</x:f>
        <x:v>234.94918615986208</x:v>
      </x:c>
      <x:c r="G71" s="22" t="n">
        <x:f>IF('Nivel Setorial'!G71="","",'Nivel Setorial'!G71/'Nivel Setorial'!G$5*100)</x:f>
        <x:v>223.33829326673887</x:v>
      </x:c>
      <x:c r="H71" s="22" t="n">
        <x:f>IF('Nivel Setorial'!H71="","",'Nivel Setorial'!H71/'Nivel Setorial'!H$17*100)</x:f>
        <x:v>169.43325495029535</x:v>
      </x:c>
      <x:c r="I71" s="22" t="n">
        <x:f>IF('Nivel Setorial'!I71="","",'Nivel Setorial'!I71/'Nivel Setorial'!I$5*100)</x:f>
        <x:v>45.96063786695541</x:v>
      </x:c>
      <x:c r="J71" s="22" t="n">
        <x:f>IF('Nivel Setorial'!J71="","",'Nivel Setorial'!J71/'Nivel Setorial'!J$25*100)</x:f>
        <x:v>220.5867210143757</x:v>
      </x:c>
      <x:c r="K71" s="22" t="n">
        <x:f>IF('Nivel Setorial'!K71="","",'Nivel Setorial'!K71/'Nivel Setorial'!K$5*100)</x:f>
        <x:v>4.599682123452767</x:v>
      </x:c>
      <x:c r="L71" s="22" t="n">
        <x:f>IF('Nivel Setorial'!L71="","",'Nivel Setorial'!L71/'Nivel Setorial'!L$5*100)</x:f>
        <x:v>70.54351778778332</x:v>
      </x:c>
      <x:c r="M71" s="22" t="n">
        <x:f>IF('Nivel Setorial'!M71="","",'Nivel Setorial'!M71/'Nivel Setorial'!M$5*100)</x:f>
        <x:v>183.9990646601747</x:v>
      </x:c>
      <x:c r="N71" s="22" t="n">
        <x:f>IF('Nivel Setorial'!N71="","",'Nivel Setorial'!N71/'Nivel Setorial'!N$5*100)</x:f>
        <x:v>174.9436285376779</x:v>
      </x:c>
      <x:c r="O71" s="22" t="n">
        <x:f>IF('Nivel Setorial'!O71="","",'Nivel Setorial'!O71/'Nivel Setorial'!O$5*100)</x:f>
        <x:v>95.32008269570173</x:v>
      </x:c>
      <x:c r="P71" s="22" t="n">
        <x:f>IF('Nivel Setorial'!P71="","",'Nivel Setorial'!P71/'Nivel Setorial'!P$5*100)</x:f>
        <x:v>69.87872498446147</x:v>
      </x:c>
      <x:c r="Q71" s="22" t="n">
        <x:f>IF('Nivel Setorial'!Q71="","",'Nivel Setorial'!Q71/'Nivel Setorial'!Q$5*100)</x:f>
        <x:v>85.99618833512281</x:v>
      </x:c>
      <x:c r="R71" s="22" t="n">
        <x:f>IF('Nivel Setorial'!R71="","",'Nivel Setorial'!R71/'Nivel Setorial'!R$5*100)</x:f>
        <x:v>60.05518366390454</x:v>
      </x:c>
    </x:row>
    <x:row r="72">
      <x:c r="A72" s="21" t="n">
        <x:f>'Nivel Setorial'!A72</x:f>
        <x:v>42217</x:v>
      </x:c>
      <x:c r="B72" s="22" t="str">
        <x:f>IF('Nivel Setorial'!B72="","",'Nivel Setorial'!B72/'Nivel Setorial'!B$45*100)</x:f>
      </x:c>
      <x:c r="C72" s="22" t="n">
        <x:f>IF('Nivel Setorial'!C72="","",'Nivel Setorial'!C72/'Nivel Setorial'!C$5*100)</x:f>
        <x:v>268.2201257196066</x:v>
      </x:c>
      <x:c r="D72" s="22" t="n">
        <x:f>IF('Nivel Setorial'!D72="","",'Nivel Setorial'!D72/'Nivel Setorial'!D$5*100)</x:f>
        <x:v>317.7900614241914</x:v>
      </x:c>
      <x:c r="E72" s="22" t="n">
        <x:f>IF('Nivel Setorial'!E72="","",'Nivel Setorial'!E72/'Nivel Setorial'!E$49*100)</x:f>
        <x:v>249.53380260958747</x:v>
      </x:c>
      <x:c r="F72" s="22" t="n">
        <x:f>IF('Nivel Setorial'!F72="","",'Nivel Setorial'!F72/'Nivel Setorial'!F$5*100)</x:f>
        <x:v>237.56554076775012</x:v>
      </x:c>
      <x:c r="G72" s="22" t="n">
        <x:f>IF('Nivel Setorial'!G72="","",'Nivel Setorial'!G72/'Nivel Setorial'!G$5*100)</x:f>
        <x:v>227.31290513964498</x:v>
      </x:c>
      <x:c r="H72" s="22" t="n">
        <x:f>IF('Nivel Setorial'!H72="","",'Nivel Setorial'!H72/'Nivel Setorial'!H$17*100)</x:f>
        <x:v>169.4766009162656</x:v>
      </x:c>
      <x:c r="I72" s="22" t="n">
        <x:f>IF('Nivel Setorial'!I72="","",'Nivel Setorial'!I72/'Nivel Setorial'!I$5*100)</x:f>
        <x:v>44.909355781225685</x:v>
      </x:c>
      <x:c r="J72" s="22" t="n">
        <x:f>IF('Nivel Setorial'!J72="","",'Nivel Setorial'!J72/'Nivel Setorial'!J$25*100)</x:f>
        <x:v>227.86740965568436</x:v>
      </x:c>
      <x:c r="K72" s="22" t="n">
        <x:f>IF('Nivel Setorial'!K72="","",'Nivel Setorial'!K72/'Nivel Setorial'!K$5*100)</x:f>
        <x:v>4.022928386882847</x:v>
      </x:c>
      <x:c r="L72" s="22" t="n">
        <x:f>IF('Nivel Setorial'!L72="","",'Nivel Setorial'!L72/'Nivel Setorial'!L$5*100)</x:f>
        <x:v>67.21605099910242</x:v>
      </x:c>
      <x:c r="M72" s="22" t="n">
        <x:f>IF('Nivel Setorial'!M72="","",'Nivel Setorial'!M72/'Nivel Setorial'!M$5*100)</x:f>
        <x:v>205.7598158608706</x:v>
      </x:c>
      <x:c r="N72" s="22" t="n">
        <x:f>IF('Nivel Setorial'!N72="","",'Nivel Setorial'!N72/'Nivel Setorial'!N$5*100)</x:f>
        <x:v>171.9478408000202</x:v>
      </x:c>
      <x:c r="O72" s="22" t="n">
        <x:f>IF('Nivel Setorial'!O72="","",'Nivel Setorial'!O72/'Nivel Setorial'!O$5*100)</x:f>
        <x:v>82.11997121785932</x:v>
      </x:c>
      <x:c r="P72" s="22" t="n">
        <x:f>IF('Nivel Setorial'!P72="","",'Nivel Setorial'!P72/'Nivel Setorial'!P$5*100)</x:f>
        <x:v>64.92558837470823</x:v>
      </x:c>
      <x:c r="Q72" s="22" t="n">
        <x:f>IF('Nivel Setorial'!Q72="","",'Nivel Setorial'!Q72/'Nivel Setorial'!Q$5*100)</x:f>
        <x:v>75.30391564174343</x:v>
      </x:c>
      <x:c r="R72" s="22" t="n">
        <x:f>IF('Nivel Setorial'!R72="","",'Nivel Setorial'!R72/'Nivel Setorial'!R$5*100)</x:f>
        <x:v>62.83683322490926</x:v>
      </x:c>
    </x:row>
    <x:row r="73">
      <x:c r="A73" s="21" t="n">
        <x:f>'Nivel Setorial'!A73</x:f>
        <x:v>42248</x:v>
      </x:c>
      <x:c r="B73" s="22" t="str">
        <x:f>IF('Nivel Setorial'!B73="","",'Nivel Setorial'!B73/'Nivel Setorial'!B$45*100)</x:f>
      </x:c>
      <x:c r="C73" s="22" t="n">
        <x:f>IF('Nivel Setorial'!C73="","",'Nivel Setorial'!C73/'Nivel Setorial'!C$5*100)</x:f>
        <x:v>266.87609208596723</x:v>
      </x:c>
      <x:c r="D73" s="22" t="n">
        <x:f>IF('Nivel Setorial'!D73="","",'Nivel Setorial'!D73/'Nivel Setorial'!D$5*100)</x:f>
        <x:v>290.91101231946016</x:v>
      </x:c>
      <x:c r="E73" s="22" t="n">
        <x:f>IF('Nivel Setorial'!E73="","",'Nivel Setorial'!E73/'Nivel Setorial'!E$49*100)</x:f>
        <x:v>257.7713916164669</x:v>
      </x:c>
      <x:c r="F73" s="22" t="n">
        <x:f>IF('Nivel Setorial'!F73="","",'Nivel Setorial'!F73/'Nivel Setorial'!F$5*100)</x:f>
        <x:v>239.3431043598613</x:v>
      </x:c>
      <x:c r="G73" s="22" t="n">
        <x:f>IF('Nivel Setorial'!G73="","",'Nivel Setorial'!G73/'Nivel Setorial'!G$5*100)</x:f>
        <x:v>229.9141618056901</x:v>
      </x:c>
      <x:c r="H73" s="22" t="n">
        <x:f>IF('Nivel Setorial'!H73="","",'Nivel Setorial'!H73/'Nivel Setorial'!H$17*100)</x:f>
        <x:v>172.17056586030986</x:v>
      </x:c>
      <x:c r="I73" s="22" t="n">
        <x:f>IF('Nivel Setorial'!I73="","",'Nivel Setorial'!I73/'Nivel Setorial'!I$5*100)</x:f>
        <x:v>40.35467218156536</x:v>
      </x:c>
      <x:c r="J73" s="22" t="n">
        <x:f>IF('Nivel Setorial'!J73="","",'Nivel Setorial'!J73/'Nivel Setorial'!J$25*100)</x:f>
        <x:v>226.38956365117284</x:v>
      </x:c>
      <x:c r="K73" s="22" t="n">
        <x:f>IF('Nivel Setorial'!K73="","",'Nivel Setorial'!K73/'Nivel Setorial'!K$5*100)</x:f>
        <x:v>0.9797340251984745</x:v>
      </x:c>
      <x:c r="L73" s="22" t="n">
        <x:f>IF('Nivel Setorial'!L73="","",'Nivel Setorial'!L73/'Nivel Setorial'!L$5*100)</x:f>
        <x:v>59.659678249175904</x:v>
      </x:c>
      <x:c r="M73" s="22" t="n">
        <x:f>IF('Nivel Setorial'!M73="","",'Nivel Setorial'!M73/'Nivel Setorial'!M$5*100)</x:f>
        <x:v>223.63102650972357</x:v>
      </x:c>
      <x:c r="N73" s="22" t="n">
        <x:f>IF('Nivel Setorial'!N73="","",'Nivel Setorial'!N73/'Nivel Setorial'!N$5*100)</x:f>
        <x:v>185.5273449814644</x:v>
      </x:c>
      <x:c r="O73" s="22" t="n">
        <x:f>IF('Nivel Setorial'!O73="","",'Nivel Setorial'!O73/'Nivel Setorial'!O$5*100)</x:f>
        <x:v>87.10780610120797</x:v>
      </x:c>
      <x:c r="P73" s="22" t="n">
        <x:f>IF('Nivel Setorial'!P73="","",'Nivel Setorial'!P73/'Nivel Setorial'!P$5*100)</x:f>
        <x:v>64.32697660895495</x:v>
      </x:c>
      <x:c r="Q73" s="22" t="n">
        <x:f>IF('Nivel Setorial'!Q73="","",'Nivel Setorial'!Q73/'Nivel Setorial'!Q$5*100)</x:f>
        <x:v>62.32481584259406</x:v>
      </x:c>
      <x:c r="R73" s="22" t="n">
        <x:f>IF('Nivel Setorial'!R73="","",'Nivel Setorial'!R73/'Nivel Setorial'!R$5*100)</x:f>
        <x:v>64.57366928543078</x:v>
      </x:c>
    </x:row>
    <x:row r="74">
      <x:c r="A74" s="21" t="n">
        <x:f>'Nivel Setorial'!A74</x:f>
        <x:v>42278</x:v>
      </x:c>
      <x:c r="B74" s="22" t="str">
        <x:f>IF('Nivel Setorial'!B74="","",'Nivel Setorial'!B74/'Nivel Setorial'!B$45*100)</x:f>
      </x:c>
      <x:c r="C74" s="22" t="n">
        <x:f>IF('Nivel Setorial'!C74="","",'Nivel Setorial'!C74/'Nivel Setorial'!C$5*100)</x:f>
        <x:v>252.79264317897366</x:v>
      </x:c>
      <x:c r="D74" s="22" t="n">
        <x:f>IF('Nivel Setorial'!D74="","",'Nivel Setorial'!D74/'Nivel Setorial'!D$5*100)</x:f>
        <x:v>316.896200094089</x:v>
      </x:c>
      <x:c r="E74" s="22" t="n">
        <x:f>IF('Nivel Setorial'!E74="","",'Nivel Setorial'!E74/'Nivel Setorial'!E$49*100)</x:f>
        <x:v>263.6520451893399</x:v>
      </x:c>
      <x:c r="F74" s="22" t="n">
        <x:f>IF('Nivel Setorial'!F74="","",'Nivel Setorial'!F74/'Nivel Setorial'!F$5*100)</x:f>
        <x:v>237.4073523332942</x:v>
      </x:c>
      <x:c r="G74" s="22" t="n">
        <x:f>IF('Nivel Setorial'!G74="","",'Nivel Setorial'!G74/'Nivel Setorial'!G$5*100)</x:f>
        <x:v>215.3440992985497</x:v>
      </x:c>
      <x:c r="H74" s="22" t="n">
        <x:f>IF('Nivel Setorial'!H74="","",'Nivel Setorial'!H74/'Nivel Setorial'!H$17*100)</x:f>
        <x:v>169.56252382130168</x:v>
      </x:c>
      <x:c r="I74" s="22" t="n">
        <x:f>IF('Nivel Setorial'!I74="","",'Nivel Setorial'!I74/'Nivel Setorial'!I$5*100)</x:f>
        <x:v>37.299582944957514</x:v>
      </x:c>
      <x:c r="J74" s="22" t="n">
        <x:f>IF('Nivel Setorial'!J74="","",'Nivel Setorial'!J74/'Nivel Setorial'!J$25*100)</x:f>
        <x:v>217.8082347841332</x:v>
      </x:c>
      <x:c r="K74" s="22" t="n">
        <x:f>IF('Nivel Setorial'!K74="","",'Nivel Setorial'!K74/'Nivel Setorial'!K$5*100)</x:f>
        <x:v>5.487977793001547</x:v>
      </x:c>
      <x:c r="L74" s="22" t="n">
        <x:f>IF('Nivel Setorial'!L74="","",'Nivel Setorial'!L74/'Nivel Setorial'!L$5*100)</x:f>
        <x:v>61.003771757686756</x:v>
      </x:c>
      <x:c r="M74" s="22" t="n">
        <x:f>IF('Nivel Setorial'!M74="","",'Nivel Setorial'!M74/'Nivel Setorial'!M$5*100)</x:f>
        <x:v>341.7542626602914</x:v>
      </x:c>
      <x:c r="N74" s="22" t="n">
        <x:f>IF('Nivel Setorial'!N74="","",'Nivel Setorial'!N74/'Nivel Setorial'!N$5*100)</x:f>
        <x:v>180.08676030758167</x:v>
      </x:c>
      <x:c r="O74" s="22" t="n">
        <x:f>IF('Nivel Setorial'!O74="","",'Nivel Setorial'!O74/'Nivel Setorial'!O$5*100)</x:f>
        <x:v>89.46843980075892</x:v>
      </x:c>
      <x:c r="P74" s="22" t="n">
        <x:f>IF('Nivel Setorial'!P74="","",'Nivel Setorial'!P74/'Nivel Setorial'!P$5*100)</x:f>
        <x:v>63.75283085373815</x:v>
      </x:c>
      <x:c r="Q74" s="22" t="n">
        <x:f>IF('Nivel Setorial'!Q74="","",'Nivel Setorial'!Q74/'Nivel Setorial'!Q$5*100)</x:f>
        <x:v>56.93574914778331</x:v>
      </x:c>
      <x:c r="R74" s="22" t="n">
        <x:f>IF('Nivel Setorial'!R74="","",'Nivel Setorial'!R74/'Nivel Setorial'!R$5*100)</x:f>
        <x:v>64.8519062299626</x:v>
      </x:c>
    </x:row>
    <x:row r="75">
      <x:c r="A75" s="21" t="n">
        <x:f>'Nivel Setorial'!A75</x:f>
        <x:v>42309</x:v>
      </x:c>
      <x:c r="B75" s="22" t="str">
        <x:f>IF('Nivel Setorial'!B75="","",'Nivel Setorial'!B75/'Nivel Setorial'!B$45*100)</x:f>
      </x:c>
      <x:c r="C75" s="22" t="n">
        <x:f>IF('Nivel Setorial'!C75="","",'Nivel Setorial'!C75/'Nivel Setorial'!C$5*100)</x:f>
        <x:v>245.60250610130421</x:v>
      </x:c>
      <x:c r="D75" s="22" t="n">
        <x:f>IF('Nivel Setorial'!D75="","",'Nivel Setorial'!D75/'Nivel Setorial'!D$5*100)</x:f>
        <x:v>326.6177572763581</x:v>
      </x:c>
      <x:c r="E75" s="22" t="n">
        <x:f>IF('Nivel Setorial'!E75="","",'Nivel Setorial'!E75/'Nivel Setorial'!E$49*100)</x:f>
        <x:v>265.9564915429465</x:v>
      </x:c>
      <x:c r="F75" s="22" t="n">
        <x:f>IF('Nivel Setorial'!F75="","",'Nivel Setorial'!F75/'Nivel Setorial'!F$5*100)</x:f>
        <x:v>237.54425001200534</x:v>
      </x:c>
      <x:c r="G75" s="22" t="n">
        <x:f>IF('Nivel Setorial'!G75="","",'Nivel Setorial'!G75/'Nivel Setorial'!G$5*100)</x:f>
        <x:v>214.93857459919604</x:v>
      </x:c>
      <x:c r="H75" s="22" t="n">
        <x:f>IF('Nivel Setorial'!H75="","",'Nivel Setorial'!H75/'Nivel Setorial'!H$17*100)</x:f>
        <x:v>172.2047686883055</x:v>
      </x:c>
      <x:c r="I75" s="22" t="n">
        <x:f>IF('Nivel Setorial'!I75="","",'Nivel Setorial'!I75/'Nivel Setorial'!I$5*100)</x:f>
        <x:v>35.865415345383916</x:v>
      </x:c>
      <x:c r="J75" s="22" t="n">
        <x:f>IF('Nivel Setorial'!J75="","",'Nivel Setorial'!J75/'Nivel Setorial'!J$25*100)</x:f>
        <x:v>220.36374657900222</x:v>
      </x:c>
      <x:c r="K75" s="22" t="n">
        <x:f>IF('Nivel Setorial'!K75="","",'Nivel Setorial'!K75/'Nivel Setorial'!K$5*100)</x:f>
        <x:v>5.752970915124312</x:v>
      </x:c>
      <x:c r="L75" s="22" t="n">
        <x:f>IF('Nivel Setorial'!L75="","",'Nivel Setorial'!L75/'Nivel Setorial'!L$5*100)</x:f>
        <x:v>61.70688734302418</x:v>
      </x:c>
      <x:c r="M75" s="22" t="n">
        <x:f>IF('Nivel Setorial'!M75="","",'Nivel Setorial'!M75/'Nivel Setorial'!M$5*100)</x:f>
        <x:v>416.1428797069012</x:v>
      </x:c>
      <x:c r="N75" s="22" t="n">
        <x:f>IF('Nivel Setorial'!N75="","",'Nivel Setorial'!N75/'Nivel Setorial'!N$5*100)</x:f>
        <x:v>169.48380165440489</x:v>
      </x:c>
      <x:c r="O75" s="22" t="n">
        <x:f>IF('Nivel Setorial'!O75="","",'Nivel Setorial'!O75/'Nivel Setorial'!O$5*100)</x:f>
        <x:v>80.15550236025348</x:v>
      </x:c>
      <x:c r="P75" s="22" t="n">
        <x:f>IF('Nivel Setorial'!P75="","",'Nivel Setorial'!P75/'Nivel Setorial'!P$5*100)</x:f>
        <x:v>61.54273393033183</x:v>
      </x:c>
      <x:c r="Q75" s="22" t="n">
        <x:f>IF('Nivel Setorial'!Q75="","",'Nivel Setorial'!Q75/'Nivel Setorial'!Q$5*100)</x:f>
        <x:v>49.9677898996871</x:v>
      </x:c>
      <x:c r="R75" s="22" t="n">
        <x:f>IF('Nivel Setorial'!R75="","",'Nivel Setorial'!R75/'Nivel Setorial'!R$5*100)</x:f>
        <x:v>64.86769639125517</x:v>
      </x:c>
    </x:row>
    <x:row r="76">
      <x:c r="A76" s="21" t="n">
        <x:f>'Nivel Setorial'!A76</x:f>
        <x:v>42339</x:v>
      </x:c>
      <x:c r="B76" s="22" t="str">
        <x:f>IF('Nivel Setorial'!B76="","",'Nivel Setorial'!B76/'Nivel Setorial'!B$45*100)</x:f>
      </x:c>
      <x:c r="C76" s="22" t="n">
        <x:f>IF('Nivel Setorial'!C76="","",'Nivel Setorial'!C76/'Nivel Setorial'!C$5*100)</x:f>
        <x:v>242.95970052997086</x:v>
      </x:c>
      <x:c r="D76" s="22" t="n">
        <x:f>IF('Nivel Setorial'!D76="","",'Nivel Setorial'!D76/'Nivel Setorial'!D$5*100)</x:f>
        <x:v>609.3830153795419</x:v>
      </x:c>
      <x:c r="E76" s="22" t="n">
        <x:f>IF('Nivel Setorial'!E76="","",'Nivel Setorial'!E76/'Nivel Setorial'!E$49*100)</x:f>
        <x:v>268.4576254648922</x:v>
      </x:c>
      <x:c r="F76" s="22" t="n">
        <x:f>IF('Nivel Setorial'!F76="","",'Nivel Setorial'!F76/'Nivel Setorial'!F$5*100)</x:f>
        <x:v>235.84594901187077</x:v>
      </x:c>
      <x:c r="G76" s="22" t="n">
        <x:f>IF('Nivel Setorial'!G76="","",'Nivel Setorial'!G76/'Nivel Setorial'!G$5*100)</x:f>
        <x:v>274.40895922830384</x:v>
      </x:c>
      <x:c r="H76" s="22" t="n">
        <x:f>IF('Nivel Setorial'!H76="","",'Nivel Setorial'!H76/'Nivel Setorial'!H$17*100)</x:f>
        <x:v>183.10893145693984</x:v>
      </x:c>
      <x:c r="I76" s="22" t="n">
        <x:f>IF('Nivel Setorial'!I76="","",'Nivel Setorial'!I76/'Nivel Setorial'!I$5*100)</x:f>
        <x:v>35.67590981751299</x:v>
      </x:c>
      <x:c r="J76" s="22" t="n">
        <x:f>IF('Nivel Setorial'!J76="","",'Nivel Setorial'!J76/'Nivel Setorial'!J$25*100)</x:f>
        <x:v>170.35106918494682</x:v>
      </x:c>
      <x:c r="K76" s="22" t="n">
        <x:f>IF('Nivel Setorial'!K76="","",'Nivel Setorial'!K76/'Nivel Setorial'!K$5*100)</x:f>
        <x:v>8.128020669859024</x:v>
      </x:c>
      <x:c r="L76" s="22" t="n">
        <x:f>IF('Nivel Setorial'!L76="","",'Nivel Setorial'!L76/'Nivel Setorial'!L$5*100)</x:f>
        <x:v>60.4096704728283</x:v>
      </x:c>
      <x:c r="M76" s="22" t="n">
        <x:f>IF('Nivel Setorial'!M76="","",'Nivel Setorial'!M76/'Nivel Setorial'!M$5*100)</x:f>
        <x:v>463.8669866776493</x:v>
      </x:c>
      <x:c r="N76" s="22" t="n">
        <x:f>IF('Nivel Setorial'!N76="","",'Nivel Setorial'!N76/'Nivel Setorial'!N$5*100)</x:f>
        <x:v>166.60941226496965</x:v>
      </x:c>
      <x:c r="O76" s="22" t="n">
        <x:f>IF('Nivel Setorial'!O76="","",'Nivel Setorial'!O76/'Nivel Setorial'!O$5*100)</x:f>
        <x:v>90.24364047498239</x:v>
      </x:c>
      <x:c r="P76" s="22" t="n">
        <x:f>IF('Nivel Setorial'!P76="","",'Nivel Setorial'!P76/'Nivel Setorial'!P$5*100)</x:f>
        <x:v>58.93050679948924</x:v>
      </x:c>
      <x:c r="Q76" s="22" t="n">
        <x:f>IF('Nivel Setorial'!Q76="","",'Nivel Setorial'!Q76/'Nivel Setorial'!Q$5*100)</x:f>
        <x:v>101.8856194872388</x:v>
      </x:c>
      <x:c r="R76" s="22" t="n">
        <x:f>IF('Nivel Setorial'!R76="","",'Nivel Setorial'!R76/'Nivel Setorial'!R$5*100)</x:f>
        <x:v>56.01423333351985</x:v>
      </x:c>
    </x:row>
    <x:row r="77">
      <x:c r="A77" s="21" t="n">
        <x:f>'Nivel Setorial'!A77</x:f>
        <x:v>42370</x:v>
      </x:c>
      <x:c r="B77" s="22" t="str">
        <x:f>IF('Nivel Setorial'!B77="","",'Nivel Setorial'!B77/'Nivel Setorial'!B$45*100)</x:f>
      </x:c>
      <x:c r="C77" s="22" t="n">
        <x:f>IF('Nivel Setorial'!C77="","",'Nivel Setorial'!C77/'Nivel Setorial'!C$5*100)</x:f>
        <x:v>241.47260207428965</x:v>
      </x:c>
      <x:c r="D77" s="22" t="n">
        <x:f>IF('Nivel Setorial'!D77="","",'Nivel Setorial'!D77/'Nivel Setorial'!D$5*100)</x:f>
        <x:v>617.9768642831166</x:v>
      </x:c>
      <x:c r="E77" s="22" t="n">
        <x:f>IF('Nivel Setorial'!E77="","",'Nivel Setorial'!E77/'Nivel Setorial'!E$49*100)</x:f>
        <x:v>276.1634146225258</x:v>
      </x:c>
      <x:c r="F77" s="22" t="n">
        <x:f>IF('Nivel Setorial'!F77="","",'Nivel Setorial'!F77/'Nivel Setorial'!F$5*100)</x:f>
        <x:v>238.06547189000688</x:v>
      </x:c>
      <x:c r="G77" s="22" t="n">
        <x:f>IF('Nivel Setorial'!G77="","",'Nivel Setorial'!G77/'Nivel Setorial'!G$5*100)</x:f>
        <x:v>274.25383907328626</x:v>
      </x:c>
      <x:c r="H77" s="22" t="n">
        <x:f>IF('Nivel Setorial'!H77="","",'Nivel Setorial'!H77/'Nivel Setorial'!H$17*100)</x:f>
        <x:v>183.64940548371274</x:v>
      </x:c>
      <x:c r="I77" s="22" t="n">
        <x:f>IF('Nivel Setorial'!I77="","",'Nivel Setorial'!I77/'Nivel Setorial'!I$5*100)</x:f>
        <x:v>35.912433644949324</x:v>
      </x:c>
      <x:c r="J77" s="22" t="n">
        <x:f>IF('Nivel Setorial'!J77="","",'Nivel Setorial'!J77/'Nivel Setorial'!J$25*100)</x:f>
        <x:v>169.17366244852778</x:v>
      </x:c>
      <x:c r="K77" s="22" t="n">
        <x:f>IF('Nivel Setorial'!K77="","",'Nivel Setorial'!K77/'Nivel Setorial'!K$5*100)</x:f>
        <x:v>-4.67678560938849</x:v>
      </x:c>
      <x:c r="L77" s="22" t="n">
        <x:f>IF('Nivel Setorial'!L77="","",'Nivel Setorial'!L77/'Nivel Setorial'!L$5*100)</x:f>
        <x:v>48.9416118968631</x:v>
      </x:c>
      <x:c r="M77" s="22" t="n">
        <x:f>IF('Nivel Setorial'!M77="","",'Nivel Setorial'!M77/'Nivel Setorial'!M$5*100)</x:f>
        <x:v>436.04933750125537</x:v>
      </x:c>
      <x:c r="N77" s="22" t="n">
        <x:f>IF('Nivel Setorial'!N77="","",'Nivel Setorial'!N77/'Nivel Setorial'!N$5*100)</x:f>
        <x:v>161.5557733188663</x:v>
      </x:c>
      <x:c r="O77" s="22" t="n">
        <x:f>IF('Nivel Setorial'!O77="","",'Nivel Setorial'!O77/'Nivel Setorial'!O$5*100)</x:f>
        <x:v>114.4149169869799</x:v>
      </x:c>
      <x:c r="P77" s="22" t="n">
        <x:f>IF('Nivel Setorial'!P77="","",'Nivel Setorial'!P77/'Nivel Setorial'!P$5*100)</x:f>
        <x:v>50.356344587232094</x:v>
      </x:c>
      <x:c r="Q77" s="22" t="n">
        <x:f>IF('Nivel Setorial'!Q77="","",'Nivel Setorial'!Q77/'Nivel Setorial'!Q$5*100)</x:f>
        <x:v>97.18638662694717</x:v>
      </x:c>
      <x:c r="R77" s="22" t="n">
        <x:f>IF('Nivel Setorial'!R77="","",'Nivel Setorial'!R77/'Nivel Setorial'!R$5*100)</x:f>
        <x:v>57.08314487214693</x:v>
      </x:c>
    </x:row>
    <x:row r="78">
      <x:c r="A78" s="21" t="n">
        <x:f>'Nivel Setorial'!A78</x:f>
        <x:v>42401</x:v>
      </x:c>
      <x:c r="B78" s="22" t="str">
        <x:f>IF('Nivel Setorial'!B78="","",'Nivel Setorial'!B78/'Nivel Setorial'!B$45*100)</x:f>
      </x:c>
      <x:c r="C78" s="22" t="n">
        <x:f>IF('Nivel Setorial'!C78="","",'Nivel Setorial'!C78/'Nivel Setorial'!C$5*100)</x:f>
        <x:v>239.14833230904708</x:v>
      </x:c>
      <x:c r="D78" s="22" t="n">
        <x:f>IF('Nivel Setorial'!D78="","",'Nivel Setorial'!D78/'Nivel Setorial'!D$5*100)</x:f>
        <x:v>609.3655666618633</x:v>
      </x:c>
      <x:c r="E78" s="22" t="n">
        <x:f>IF('Nivel Setorial'!E78="","",'Nivel Setorial'!E78/'Nivel Setorial'!E$49*100)</x:f>
        <x:v>284.51068941136157</x:v>
      </x:c>
      <x:c r="F78" s="22" t="n">
        <x:f>IF('Nivel Setorial'!F78="","",'Nivel Setorial'!F78/'Nivel Setorial'!F$5*100)</x:f>
        <x:v>230.2940619168656</x:v>
      </x:c>
      <x:c r="G78" s="22" t="n">
        <x:f>IF('Nivel Setorial'!G78="","",'Nivel Setorial'!G78/'Nivel Setorial'!G$5*100)</x:f>
        <x:v>270.10043729438337</x:v>
      </x:c>
      <x:c r="H78" s="22" t="n">
        <x:f>IF('Nivel Setorial'!H78="","",'Nivel Setorial'!H78/'Nivel Setorial'!H$17*100)</x:f>
        <x:v>193.77467327220336</x:v>
      </x:c>
      <x:c r="I78" s="22" t="n">
        <x:f>IF('Nivel Setorial'!I78="","",'Nivel Setorial'!I78/'Nivel Setorial'!I$5*100)</x:f>
        <x:v>36.520228289760844</x:v>
      </x:c>
      <x:c r="J78" s="22" t="n">
        <x:f>IF('Nivel Setorial'!J78="","",'Nivel Setorial'!J78/'Nivel Setorial'!J$25*100)</x:f>
        <x:v>166.43514689050917</x:v>
      </x:c>
      <x:c r="K78" s="22" t="n">
        <x:f>IF('Nivel Setorial'!K78="","",'Nivel Setorial'!K78/'Nivel Setorial'!K$5*100)</x:f>
        <x:v>-11.198748704328041</x:v>
      </x:c>
      <x:c r="L78" s="22" t="n">
        <x:f>IF('Nivel Setorial'!L78="","",'Nivel Setorial'!L78/'Nivel Setorial'!L$5*100)</x:f>
        <x:v>48.18033124114958</x:v>
      </x:c>
      <x:c r="M78" s="22" t="n">
        <x:f>IF('Nivel Setorial'!M78="","",'Nivel Setorial'!M78/'Nivel Setorial'!M$5*100)</x:f>
        <x:v>425.3845381972141</x:v>
      </x:c>
      <x:c r="N78" s="22" t="n">
        <x:f>IF('Nivel Setorial'!N78="","",'Nivel Setorial'!N78/'Nivel Setorial'!N$5*100)</x:f>
        <x:v>153.93778634229193</x:v>
      </x:c>
      <x:c r="O78" s="22" t="n">
        <x:f>IF('Nivel Setorial'!O78="","",'Nivel Setorial'!O78/'Nivel Setorial'!O$5*100)</x:f>
        <x:v>122.35485803703926</x:v>
      </x:c>
      <x:c r="P78" s="22" t="n">
        <x:f>IF('Nivel Setorial'!P78="","",'Nivel Setorial'!P78/'Nivel Setorial'!P$5*100)</x:f>
        <x:v>48.37088465627699</x:v>
      </x:c>
      <x:c r="Q78" s="22" t="n">
        <x:f>IF('Nivel Setorial'!Q78="","",'Nivel Setorial'!Q78/'Nivel Setorial'!Q$5*100)</x:f>
        <x:v>95.38396936448942</x:v>
      </x:c>
      <x:c r="R78" s="22" t="n">
        <x:f>IF('Nivel Setorial'!R78="","",'Nivel Setorial'!R78/'Nivel Setorial'!R$5*100)</x:f>
        <x:v>55.288802751632694</x:v>
      </x:c>
    </x:row>
    <x:row r="79">
      <x:c r="A79" s="21" t="n">
        <x:f>'Nivel Setorial'!A79</x:f>
        <x:v>42430</x:v>
      </x:c>
      <x:c r="B79" s="22" t="str">
        <x:f>IF('Nivel Setorial'!B79="","",'Nivel Setorial'!B79/'Nivel Setorial'!B$45*100)</x:f>
      </x:c>
      <x:c r="C79" s="22" t="n">
        <x:f>IF('Nivel Setorial'!C79="","",'Nivel Setorial'!C79/'Nivel Setorial'!C$5*100)</x:f>
        <x:v>236.22258211543067</x:v>
      </x:c>
      <x:c r="D79" s="22" t="n">
        <x:f>IF('Nivel Setorial'!D79="","",'Nivel Setorial'!D79/'Nivel Setorial'!D$5*100)</x:f>
        <x:v>573.3640085372714</x:v>
      </x:c>
      <x:c r="E79" s="22" t="n">
        <x:f>IF('Nivel Setorial'!E79="","",'Nivel Setorial'!E79/'Nivel Setorial'!E$49*100)</x:f>
        <x:v>286.10797882148773</x:v>
      </x:c>
      <x:c r="F79" s="22" t="n">
        <x:f>IF('Nivel Setorial'!F79="","",'Nivel Setorial'!F79/'Nivel Setorial'!F$5*100)</x:f>
        <x:v>227.16642228579326</x:v>
      </x:c>
      <x:c r="G79" s="22" t="n">
        <x:f>IF('Nivel Setorial'!G79="","",'Nivel Setorial'!G79/'Nivel Setorial'!G$5*100)</x:f>
        <x:v>265.8647591067613</x:v>
      </x:c>
      <x:c r="H79" s="22" t="n">
        <x:f>IF('Nivel Setorial'!H79="","",'Nivel Setorial'!H79/'Nivel Setorial'!H$17*100)</x:f>
        <x:v>200.9729548496623</x:v>
      </x:c>
      <x:c r="I79" s="22" t="n">
        <x:f>IF('Nivel Setorial'!I79="","",'Nivel Setorial'!I79/'Nivel Setorial'!I$5*100)</x:f>
        <x:v>35.77292171823226</x:v>
      </x:c>
      <x:c r="J79" s="22" t="n">
        <x:f>IF('Nivel Setorial'!J79="","",'Nivel Setorial'!J79/'Nivel Setorial'!J$25*100)</x:f>
        <x:v>172.79284755073593</x:v>
      </x:c>
      <x:c r="K79" s="22" t="n">
        <x:f>IF('Nivel Setorial'!K79="","",'Nivel Setorial'!K79/'Nivel Setorial'!K$5*100)</x:f>
        <x:v>-2.9400281281735174</x:v>
      </x:c>
      <x:c r="L79" s="22" t="n">
        <x:f>IF('Nivel Setorial'!L79="","",'Nivel Setorial'!L79/'Nivel Setorial'!L$5*100)</x:f>
        <x:v>38.19731380544571</x:v>
      </x:c>
      <x:c r="M79" s="22" t="n">
        <x:f>IF('Nivel Setorial'!M79="","",'Nivel Setorial'!M79/'Nivel Setorial'!M$5*100)</x:f>
        <x:v>428.7598404267783</x:v>
      </x:c>
      <x:c r="N79" s="22" t="n">
        <x:f>IF('Nivel Setorial'!N79="","",'Nivel Setorial'!N79/'Nivel Setorial'!N$5*100)</x:f>
        <x:v>152.11878047897457</x:v>
      </x:c>
      <x:c r="O79" s="22" t="n">
        <x:f>IF('Nivel Setorial'!O79="","",'Nivel Setorial'!O79/'Nivel Setorial'!O$5*100)</x:f>
        <x:v>135.85154316344423</x:v>
      </x:c>
      <x:c r="P79" s="22" t="n">
        <x:f>IF('Nivel Setorial'!P79="","",'Nivel Setorial'!P79/'Nivel Setorial'!P$5*100)</x:f>
        <x:v>50.09914412031077</x:v>
      </x:c>
      <x:c r="Q79" s="22" t="n">
        <x:f>IF('Nivel Setorial'!Q79="","",'Nivel Setorial'!Q79/'Nivel Setorial'!Q$5*100)</x:f>
        <x:v>101.54309278014131</x:v>
      </x:c>
      <x:c r="R79" s="22" t="n">
        <x:f>IF('Nivel Setorial'!R79="","",'Nivel Setorial'!R79/'Nivel Setorial'!R$5*100)</x:f>
        <x:v>54.72599249467459</x:v>
      </x:c>
    </x:row>
    <x:row r="80">
      <x:c r="A80" s="21" t="n">
        <x:f>'Nivel Setorial'!A80</x:f>
        <x:v>42461</x:v>
      </x:c>
      <x:c r="B80" s="22" t="str">
        <x:f>IF('Nivel Setorial'!B80="","",'Nivel Setorial'!B80/'Nivel Setorial'!B$45*100)</x:f>
      </x:c>
      <x:c r="C80" s="22" t="n">
        <x:f>IF('Nivel Setorial'!C80="","",'Nivel Setorial'!C80/'Nivel Setorial'!C$5*100)</x:f>
        <x:v>235.2957542271808</x:v>
      </x:c>
      <x:c r="D80" s="22" t="n">
        <x:f>IF('Nivel Setorial'!D80="","",'Nivel Setorial'!D80/'Nivel Setorial'!D$5*100)</x:f>
        <x:v>549.5985212118791</x:v>
      </x:c>
      <x:c r="E80" s="22" t="n">
        <x:f>IF('Nivel Setorial'!E80="","",'Nivel Setorial'!E80/'Nivel Setorial'!E$49*100)</x:f>
        <x:v>287.72834516680473</x:v>
      </x:c>
      <x:c r="F80" s="22" t="n">
        <x:f>IF('Nivel Setorial'!F80="","",'Nivel Setorial'!F80/'Nivel Setorial'!F$5*100)</x:f>
        <x:v>227.6403375492432</x:v>
      </x:c>
      <x:c r="G80" s="22" t="n">
        <x:f>IF('Nivel Setorial'!G80="","",'Nivel Setorial'!G80/'Nivel Setorial'!G$5*100)</x:f>
        <x:v>259.68004822119076</x:v>
      </x:c>
      <x:c r="H80" s="22" t="n">
        <x:f>IF('Nivel Setorial'!H80="","",'Nivel Setorial'!H80/'Nivel Setorial'!H$17*100)</x:f>
        <x:v>211.93788409746014</x:v>
      </x:c>
      <x:c r="I80" s="22" t="n">
        <x:f>IF('Nivel Setorial'!I80="","",'Nivel Setorial'!I80/'Nivel Setorial'!I$5*100)</x:f>
        <x:v>36.600177685988115</x:v>
      </x:c>
      <x:c r="J80" s="22" t="n">
        <x:f>IF('Nivel Setorial'!J80="","",'Nivel Setorial'!J80/'Nivel Setorial'!J$25*100)</x:f>
        <x:v>180.38276178000686</x:v>
      </x:c>
      <x:c r="K80" s="22" t="n">
        <x:f>IF('Nivel Setorial'!K80="","",'Nivel Setorial'!K80/'Nivel Setorial'!K$5*100)</x:f>
        <x:v>-0.48902289360644785</x:v>
      </x:c>
      <x:c r="L80" s="22" t="n">
        <x:f>IF('Nivel Setorial'!L80="","",'Nivel Setorial'!L80/'Nivel Setorial'!L$5*100)</x:f>
        <x:v>38.24692550530096</x:v>
      </x:c>
      <x:c r="M80" s="22" t="n">
        <x:f>IF('Nivel Setorial'!M80="","",'Nivel Setorial'!M80/'Nivel Setorial'!M$5*100)</x:f>
        <x:v>364.6277278200057</x:v>
      </x:c>
      <x:c r="N80" s="22" t="n">
        <x:f>IF('Nivel Setorial'!N80="","",'Nivel Setorial'!N80/'Nivel Setorial'!N$5*100)</x:f>
        <x:v>151.2421705862664</x:v>
      </x:c>
      <x:c r="O80" s="22" t="n">
        <x:f>IF('Nivel Setorial'!O80="","",'Nivel Setorial'!O80/'Nivel Setorial'!O$5*100)</x:f>
        <x:v>149.568776040585</x:v>
      </x:c>
      <x:c r="P80" s="22" t="n">
        <x:f>IF('Nivel Setorial'!P80="","",'Nivel Setorial'!P80/'Nivel Setorial'!P$5*100)</x:f>
        <x:v>49.28792251312664</x:v>
      </x:c>
      <x:c r="Q80" s="22" t="n">
        <x:f>IF('Nivel Setorial'!Q80="","",'Nivel Setorial'!Q80/'Nivel Setorial'!Q$5*100)</x:f>
        <x:v>102.47679986803344</x:v>
      </x:c>
      <x:c r="R80" s="22" t="n">
        <x:f>IF('Nivel Setorial'!R80="","",'Nivel Setorial'!R80/'Nivel Setorial'!R$5*100)</x:f>
        <x:v>56.449953751018555</x:v>
      </x:c>
    </x:row>
    <x:row r="81">
      <x:c r="A81" s="21" t="n">
        <x:f>'Nivel Setorial'!A81</x:f>
        <x:v>42491</x:v>
      </x:c>
      <x:c r="B81" s="22" t="str">
        <x:f>IF('Nivel Setorial'!B81="","",'Nivel Setorial'!B81/'Nivel Setorial'!B$45*100)</x:f>
      </x:c>
      <x:c r="C81" s="22" t="n">
        <x:f>IF('Nivel Setorial'!C81="","",'Nivel Setorial'!C81/'Nivel Setorial'!C$5*100)</x:f>
        <x:v>234.3743598084719</x:v>
      </x:c>
      <x:c r="D81" s="22" t="n">
        <x:f>IF('Nivel Setorial'!D81="","",'Nivel Setorial'!D81/'Nivel Setorial'!D$5*100)</x:f>
        <x:v>541.5019053444108</x:v>
      </x:c>
      <x:c r="E81" s="22" t="n">
        <x:f>IF('Nivel Setorial'!E81="","",'Nivel Setorial'!E81/'Nivel Setorial'!E$49*100)</x:f>
        <x:v>284.51651283383967</x:v>
      </x:c>
      <x:c r="F81" s="22" t="n">
        <x:f>IF('Nivel Setorial'!F81="","",'Nivel Setorial'!F81/'Nivel Setorial'!F$5*100)</x:f>
        <x:v>232.37762641701926</x:v>
      </x:c>
      <x:c r="G81" s="22" t="n">
        <x:f>IF('Nivel Setorial'!G81="","",'Nivel Setorial'!G81/'Nivel Setorial'!G$5*100)</x:f>
        <x:v>251.16240428518842</x:v>
      </x:c>
      <x:c r="H81" s="22" t="n">
        <x:f>IF('Nivel Setorial'!H81="","",'Nivel Setorial'!H81/'Nivel Setorial'!H$17*100)</x:f>
        <x:v>222.44918027801455</x:v>
      </x:c>
      <x:c r="I81" s="22" t="n">
        <x:f>IF('Nivel Setorial'!I81="","",'Nivel Setorial'!I81/'Nivel Setorial'!I$5*100)</x:f>
        <x:v>34.86480186402489</x:v>
      </x:c>
      <x:c r="J81" s="22" t="n">
        <x:f>IF('Nivel Setorial'!J81="","",'Nivel Setorial'!J81/'Nivel Setorial'!J$25*100)</x:f>
        <x:v>179.98145011945735</x:v>
      </x:c>
      <x:c r="K81" s="22" t="n">
        <x:f>IF('Nivel Setorial'!K81="","",'Nivel Setorial'!K81/'Nivel Setorial'!K$5*100)</x:f>
        <x:v>12.228203916689171</x:v>
      </x:c>
      <x:c r="L81" s="22" t="n">
        <x:f>IF('Nivel Setorial'!L81="","",'Nivel Setorial'!L81/'Nivel Setorial'!L$5*100)</x:f>
        <x:v>42.27150982559753</x:v>
      </x:c>
      <x:c r="M81" s="22" t="n">
        <x:f>IF('Nivel Setorial'!M81="","",'Nivel Setorial'!M81/'Nivel Setorial'!M$5*100)</x:f>
        <x:v>350.41094892979316</x:v>
      </x:c>
      <x:c r="N81" s="22" t="n">
        <x:f>IF('Nivel Setorial'!N81="","",'Nivel Setorial'!N81/'Nivel Setorial'!N$5*100)</x:f>
        <x:v>140.7039008308413</x:v>
      </x:c>
      <x:c r="O81" s="22" t="n">
        <x:f>IF('Nivel Setorial'!O81="","",'Nivel Setorial'!O81/'Nivel Setorial'!O$5*100)</x:f>
        <x:v>177.7132191287064</x:v>
      </x:c>
      <x:c r="P81" s="22" t="n">
        <x:f>IF('Nivel Setorial'!P81="","",'Nivel Setorial'!P81/'Nivel Setorial'!P$5*100)</x:f>
        <x:v>70.94537403093767</x:v>
      </x:c>
      <x:c r="Q81" s="22" t="n">
        <x:f>IF('Nivel Setorial'!Q81="","",'Nivel Setorial'!Q81/'Nivel Setorial'!Q$5*100)</x:f>
        <x:v>108.80802193952921</x:v>
      </x:c>
      <x:c r="R81" s="22" t="n">
        <x:f>IF('Nivel Setorial'!R81="","",'Nivel Setorial'!R81/'Nivel Setorial'!R$5*100)</x:f>
        <x:v>55.729317115683344</x:v>
      </x:c>
    </x:row>
    <x:row r="82">
      <x:c r="A82" s="21" t="n">
        <x:f>'Nivel Setorial'!A82</x:f>
        <x:v>42522</x:v>
      </x:c>
      <x:c r="B82" s="22" t="str">
        <x:f>IF('Nivel Setorial'!B82="","",'Nivel Setorial'!B82/'Nivel Setorial'!B$45*100)</x:f>
      </x:c>
      <x:c r="C82" s="22" t="n">
        <x:f>IF('Nivel Setorial'!C82="","",'Nivel Setorial'!C82/'Nivel Setorial'!C$5*100)</x:f>
        <x:v>232.81227037490146</x:v>
      </x:c>
      <x:c r="D82" s="22" t="n">
        <x:f>IF('Nivel Setorial'!D82="","",'Nivel Setorial'!D82/'Nivel Setorial'!D$5*100)</x:f>
        <x:v>544.1580401451937</x:v>
      </x:c>
      <x:c r="E82" s="22" t="n">
        <x:f>IF('Nivel Setorial'!E82="","",'Nivel Setorial'!E82/'Nivel Setorial'!E$49*100)</x:f>
        <x:v>289.16720413541645</x:v>
      </x:c>
      <x:c r="F82" s="22" t="n">
        <x:f>IF('Nivel Setorial'!F82="","",'Nivel Setorial'!F82/'Nivel Setorial'!F$5*100)</x:f>
        <x:v>232.85446312466195</x:v>
      </x:c>
      <x:c r="G82" s="22" t="n">
        <x:f>IF('Nivel Setorial'!G82="","",'Nivel Setorial'!G82/'Nivel Setorial'!G$5*100)</x:f>
        <x:v>248.16801741027982</x:v>
      </x:c>
      <x:c r="H82" s="22" t="n">
        <x:f>IF('Nivel Setorial'!H82="","",'Nivel Setorial'!H82/'Nivel Setorial'!H$17*100)</x:f>
        <x:v>227.72805050369652</x:v>
      </x:c>
      <x:c r="I82" s="22" t="n">
        <x:f>IF('Nivel Setorial'!I82="","",'Nivel Setorial'!I82/'Nivel Setorial'!I$5*100)</x:f>
        <x:v>34.98724612475842</x:v>
      </x:c>
      <x:c r="J82" s="22" t="n">
        <x:f>IF('Nivel Setorial'!J82="","",'Nivel Setorial'!J82/'Nivel Setorial'!J$25*100)</x:f>
        <x:v>182.1870427747525</x:v>
      </x:c>
      <x:c r="K82" s="22" t="n">
        <x:f>IF('Nivel Setorial'!K82="","",'Nivel Setorial'!K82/'Nivel Setorial'!K$5*100)</x:f>
        <x:v>15.426885899120228</x:v>
      </x:c>
      <x:c r="L82" s="22" t="n">
        <x:f>IF('Nivel Setorial'!L82="","",'Nivel Setorial'!L82/'Nivel Setorial'!L$5*100)</x:f>
        <x:v>46.26864643648061</x:v>
      </x:c>
      <x:c r="M82" s="22" t="n">
        <x:f>IF('Nivel Setorial'!M82="","",'Nivel Setorial'!M82/'Nivel Setorial'!M$5*100)</x:f>
        <x:v>349.0596875129556</x:v>
      </x:c>
      <x:c r="N82" s="22" t="n">
        <x:f>IF('Nivel Setorial'!N82="","",'Nivel Setorial'!N82/'Nivel Setorial'!N$5*100)</x:f>
        <x:v>137.98873724880752</x:v>
      </x:c>
      <x:c r="O82" s="22" t="n">
        <x:f>IF('Nivel Setorial'!O82="","",'Nivel Setorial'!O82/'Nivel Setorial'!O$5*100)</x:f>
        <x:v>178.3102333710956</x:v>
      </x:c>
      <x:c r="P82" s="22" t="n">
        <x:f>IF('Nivel Setorial'!P82="","",'Nivel Setorial'!P82/'Nivel Setorial'!P$5*100)</x:f>
        <x:v>70.1321404914657</x:v>
      </x:c>
      <x:c r="Q82" s="22" t="n">
        <x:f>IF('Nivel Setorial'!Q82="","",'Nivel Setorial'!Q82/'Nivel Setorial'!Q$5*100)</x:f>
        <x:v>108.7583908153776</x:v>
      </x:c>
      <x:c r="R82" s="22" t="n">
        <x:f>IF('Nivel Setorial'!R82="","",'Nivel Setorial'!R82/'Nivel Setorial'!R$5*100)</x:f>
        <x:v>55.162221833970015</x:v>
      </x:c>
    </x:row>
    <x:row r="83">
      <x:c r="A83" s="21" t="n">
        <x:f>'Nivel Setorial'!A83</x:f>
        <x:v>42552</x:v>
      </x:c>
      <x:c r="B83" s="22" t="str">
        <x:f>IF('Nivel Setorial'!B83="","",'Nivel Setorial'!B83/'Nivel Setorial'!B$45*100)</x:f>
      </x:c>
      <x:c r="C83" s="22" t="n">
        <x:f>IF('Nivel Setorial'!C83="","",'Nivel Setorial'!C83/'Nivel Setorial'!C$5*100)</x:f>
        <x:v>232.82816216472798</x:v>
      </x:c>
      <x:c r="D83" s="22" t="n">
        <x:f>IF('Nivel Setorial'!D83="","",'Nivel Setorial'!D83/'Nivel Setorial'!D$5*100)</x:f>
        <x:v>497.78055633902324</x:v>
      </x:c>
      <x:c r="E83" s="22" t="n">
        <x:f>IF('Nivel Setorial'!E83="","",'Nivel Setorial'!E83/'Nivel Setorial'!E$49*100)</x:f>
        <x:v>291.9823579691612</x:v>
      </x:c>
      <x:c r="F83" s="22" t="n">
        <x:f>IF('Nivel Setorial'!F83="","",'Nivel Setorial'!F83/'Nivel Setorial'!F$5*100)</x:f>
        <x:v>231.53941829233543</x:v>
      </x:c>
      <x:c r="G83" s="22" t="n">
        <x:f>IF('Nivel Setorial'!G83="","",'Nivel Setorial'!G83/'Nivel Setorial'!G$5*100)</x:f>
        <x:v>247.9279411174645</x:v>
      </x:c>
      <x:c r="H83" s="22" t="n">
        <x:f>IF('Nivel Setorial'!H83="","",'Nivel Setorial'!H83/'Nivel Setorial'!H$17*100)</x:f>
        <x:v>231.37872760545446</x:v>
      </x:c>
      <x:c r="I83" s="22" t="n">
        <x:f>IF('Nivel Setorial'!I83="","",'Nivel Setorial'!I83/'Nivel Setorial'!I$5*100)</x:f>
        <x:v>35.43470438280612</x:v>
      </x:c>
      <x:c r="J83" s="22" t="n">
        <x:f>IF('Nivel Setorial'!J83="","",'Nivel Setorial'!J83/'Nivel Setorial'!J$25*100)</x:f>
        <x:v>178.61356404665824</x:v>
      </x:c>
      <x:c r="K83" s="22" t="n">
        <x:f>IF('Nivel Setorial'!K83="","",'Nivel Setorial'!K83/'Nivel Setorial'!K$5*100)</x:f>
        <x:v>14.189873656140954</x:v>
      </x:c>
      <x:c r="L83" s="22" t="n">
        <x:f>IF('Nivel Setorial'!L83="","",'Nivel Setorial'!L83/'Nivel Setorial'!L$5*100)</x:f>
        <x:v>51.90873166716157</x:v>
      </x:c>
      <x:c r="M83" s="22" t="n">
        <x:f>IF('Nivel Setorial'!M83="","",'Nivel Setorial'!M83/'Nivel Setorial'!M$5*100)</x:f>
        <x:v>330.059258222778</x:v>
      </x:c>
      <x:c r="N83" s="22" t="n">
        <x:f>IF('Nivel Setorial'!N83="","",'Nivel Setorial'!N83/'Nivel Setorial'!N$5*100)</x:f>
        <x:v>138.18503717143273</x:v>
      </x:c>
      <x:c r="O83" s="22" t="n">
        <x:f>IF('Nivel Setorial'!O83="","",'Nivel Setorial'!O83/'Nivel Setorial'!O$5*100)</x:f>
        <x:v>178.19261708340096</x:v>
      </x:c>
      <x:c r="P83" s="22" t="n">
        <x:f>IF('Nivel Setorial'!P83="","",'Nivel Setorial'!P83/'Nivel Setorial'!P$5*100)</x:f>
        <x:v>67.1712674860403</x:v>
      </x:c>
      <x:c r="Q83" s="22" t="n">
        <x:f>IF('Nivel Setorial'!Q83="","",'Nivel Setorial'!Q83/'Nivel Setorial'!Q$5*100)</x:f>
        <x:v>111.2497339322685</x:v>
      </x:c>
      <x:c r="R83" s="22" t="n">
        <x:f>IF('Nivel Setorial'!R83="","",'Nivel Setorial'!R83/'Nivel Setorial'!R$5*100)</x:f>
        <x:v>56.42544414257642</x:v>
      </x:c>
    </x:row>
    <x:row r="84">
      <x:c r="A84" s="21" t="n">
        <x:f>'Nivel Setorial'!A84</x:f>
        <x:v>42583</x:v>
      </x:c>
      <x:c r="B84" s="22" t="str">
        <x:f>IF('Nivel Setorial'!B84="","",'Nivel Setorial'!B84/'Nivel Setorial'!B$45*100)</x:f>
      </x:c>
      <x:c r="C84" s="22" t="n">
        <x:f>IF('Nivel Setorial'!C84="","",'Nivel Setorial'!C84/'Nivel Setorial'!C$5*100)</x:f>
        <x:v>235.41994216996133</x:v>
      </x:c>
      <x:c r="D84" s="22" t="n">
        <x:f>IF('Nivel Setorial'!D84="","",'Nivel Setorial'!D84/'Nivel Setorial'!D$5*100)</x:f>
        <x:v>472.70188209288386</x:v>
      </x:c>
      <x:c r="E84" s="22" t="n">
        <x:f>IF('Nivel Setorial'!E84="","",'Nivel Setorial'!E84/'Nivel Setorial'!E$49*100)</x:f>
        <x:v>293.49265973002963</x:v>
      </x:c>
      <x:c r="F84" s="22" t="n">
        <x:f>IF('Nivel Setorial'!F84="","",'Nivel Setorial'!F84/'Nivel Setorial'!F$5*100)</x:f>
        <x:v>231.5038430768162</x:v>
      </x:c>
      <x:c r="G84" s="22" t="n">
        <x:f>IF('Nivel Setorial'!G84="","",'Nivel Setorial'!G84/'Nivel Setorial'!G$5*100)</x:f>
        <x:v>236.83274021931356</x:v>
      </x:c>
      <x:c r="H84" s="22" t="n">
        <x:f>IF('Nivel Setorial'!H84="","",'Nivel Setorial'!H84/'Nivel Setorial'!H$17*100)</x:f>
        <x:v>232.9985825861915</x:v>
      </x:c>
      <x:c r="I84" s="22" t="n">
        <x:f>IF('Nivel Setorial'!I84="","",'Nivel Setorial'!I84/'Nivel Setorial'!I$5*100)</x:f>
        <x:v>35.294402619340005</x:v>
      </x:c>
      <x:c r="J84" s="22" t="n">
        <x:f>IF('Nivel Setorial'!J84="","",'Nivel Setorial'!J84/'Nivel Setorial'!J$25*100)</x:f>
        <x:v>177.3085675603695</x:v>
      </x:c>
      <x:c r="K84" s="22" t="n">
        <x:f>IF('Nivel Setorial'!K84="","",'Nivel Setorial'!K84/'Nivel Setorial'!K$5*100)</x:f>
        <x:v>17.916388350638464</x:v>
      </x:c>
      <x:c r="L84" s="22" t="n">
        <x:f>IF('Nivel Setorial'!L84="","",'Nivel Setorial'!L84/'Nivel Setorial'!L$5*100)</x:f>
        <x:v>58.929125670099694</x:v>
      </x:c>
      <x:c r="M84" s="22" t="n">
        <x:f>IF('Nivel Setorial'!M84="","",'Nivel Setorial'!M84/'Nivel Setorial'!M$5*100)</x:f>
        <x:v>276.7909007994274</x:v>
      </x:c>
      <x:c r="N84" s="22" t="n">
        <x:f>IF('Nivel Setorial'!N84="","",'Nivel Setorial'!N84/'Nivel Setorial'!N$5*100)</x:f>
        <x:v>142.15899186070683</x:v>
      </x:c>
      <x:c r="O84" s="22" t="n">
        <x:f>IF('Nivel Setorial'!O84="","",'Nivel Setorial'!O84/'Nivel Setorial'!O$5*100)</x:f>
        <x:v>194.99598017517766</x:v>
      </x:c>
      <x:c r="P84" s="22" t="n">
        <x:f>IF('Nivel Setorial'!P84="","",'Nivel Setorial'!P84/'Nivel Setorial'!P$5*100)</x:f>
        <x:v>67.2036451365858</x:v>
      </x:c>
      <x:c r="Q84" s="22" t="n">
        <x:f>IF('Nivel Setorial'!Q84="","",'Nivel Setorial'!Q84/'Nivel Setorial'!Q$5*100)</x:f>
        <x:v>113.84047750034756</x:v>
      </x:c>
      <x:c r="R84" s="22" t="n">
        <x:f>IF('Nivel Setorial'!R84="","",'Nivel Setorial'!R84/'Nivel Setorial'!R$5*100)</x:f>
        <x:v>57.39154941314688</x:v>
      </x:c>
    </x:row>
    <x:row r="85">
      <x:c r="A85" s="21" t="n">
        <x:f>'Nivel Setorial'!A85</x:f>
        <x:v>42614</x:v>
      </x:c>
      <x:c r="B85" s="22" t="str">
        <x:f>IF('Nivel Setorial'!B85="","",'Nivel Setorial'!B85/'Nivel Setorial'!B$45*100)</x:f>
      </x:c>
      <x:c r="C85" s="22" t="n">
        <x:f>IF('Nivel Setorial'!C85="","",'Nivel Setorial'!C85/'Nivel Setorial'!C$5*100)</x:f>
        <x:v>237.1459934719149</x:v>
      </x:c>
      <x:c r="D85" s="22" t="n">
        <x:f>IF('Nivel Setorial'!D85="","",'Nivel Setorial'!D85/'Nivel Setorial'!D$5*100)</x:f>
        <x:v>480.19322109373644</x:v>
      </x:c>
      <x:c r="E85" s="22" t="n">
        <x:f>IF('Nivel Setorial'!E85="","",'Nivel Setorial'!E85/'Nivel Setorial'!E$49*100)</x:f>
        <x:v>304.1037300594304</x:v>
      </x:c>
      <x:c r="F85" s="22" t="n">
        <x:f>IF('Nivel Setorial'!F85="","",'Nivel Setorial'!F85/'Nivel Setorial'!F$5*100)</x:f>
        <x:v>232.04593898332953</x:v>
      </x:c>
      <x:c r="G85" s="22" t="n">
        <x:f>IF('Nivel Setorial'!G85="","",'Nivel Setorial'!G85/'Nivel Setorial'!G$5*100)</x:f>
        <x:v>239.78941125535457</x:v>
      </x:c>
      <x:c r="H85" s="22" t="n">
        <x:f>IF('Nivel Setorial'!H85="","",'Nivel Setorial'!H85/'Nivel Setorial'!H$17*100)</x:f>
        <x:v>237.28251733306936</x:v>
      </x:c>
      <x:c r="I85" s="22" t="n">
        <x:f>IF('Nivel Setorial'!I85="","",'Nivel Setorial'!I85/'Nivel Setorial'!I$5*100)</x:f>
        <x:v>35.65490286837585</x:v>
      </x:c>
      <x:c r="J85" s="22" t="n">
        <x:f>IF('Nivel Setorial'!J85="","",'Nivel Setorial'!J85/'Nivel Setorial'!J$25*100)</x:f>
        <x:v>171.09208040928155</x:v>
      </x:c>
      <x:c r="K85" s="22" t="n">
        <x:f>IF('Nivel Setorial'!K85="","",'Nivel Setorial'!K85/'Nivel Setorial'!K$5*100)</x:f>
        <x:v>24.52169383941143</x:v>
      </x:c>
      <x:c r="L85" s="22" t="n">
        <x:f>IF('Nivel Setorial'!L85="","",'Nivel Setorial'!L85/'Nivel Setorial'!L$5*100)</x:f>
        <x:v>56.91185892909058</x:v>
      </x:c>
      <x:c r="M85" s="22" t="n">
        <x:f>IF('Nivel Setorial'!M85="","",'Nivel Setorial'!M85/'Nivel Setorial'!M$5*100)</x:f>
        <x:v>346.74326975108556</x:v>
      </x:c>
      <x:c r="N85" s="22" t="n">
        <x:f>IF('Nivel Setorial'!N85="","",'Nivel Setorial'!N85/'Nivel Setorial'!N$5*100)</x:f>
        <x:v>141.2279653560175</x:v>
      </x:c>
      <x:c r="O85" s="22" t="n">
        <x:f>IF('Nivel Setorial'!O85="","",'Nivel Setorial'!O85/'Nivel Setorial'!O$5*100)</x:f>
        <x:v>198.2484424437432</x:v>
      </x:c>
      <x:c r="P85" s="22" t="n">
        <x:f>IF('Nivel Setorial'!P85="","",'Nivel Setorial'!P85/'Nivel Setorial'!P$5*100)</x:f>
        <x:v>68.70139418266355</x:v>
      </x:c>
      <x:c r="Q85" s="22" t="n">
        <x:f>IF('Nivel Setorial'!Q85="","",'Nivel Setorial'!Q85/'Nivel Setorial'!Q$5*100)</x:f>
        <x:v>115.86234272471981</x:v>
      </x:c>
      <x:c r="R85" s="22" t="n">
        <x:f>IF('Nivel Setorial'!R85="","",'Nivel Setorial'!R85/'Nivel Setorial'!R$5*100)</x:f>
        <x:v>56.6126016335356</x:v>
      </x:c>
    </x:row>
    <x:row r="86">
      <x:c r="A86" s="21" t="n">
        <x:f>'Nivel Setorial'!A86</x:f>
        <x:v>42644</x:v>
      </x:c>
      <x:c r="B86" s="22" t="str">
        <x:f>IF('Nivel Setorial'!B86="","",'Nivel Setorial'!B86/'Nivel Setorial'!B$45*100)</x:f>
      </x:c>
      <x:c r="C86" s="22" t="n">
        <x:f>IF('Nivel Setorial'!C86="","",'Nivel Setorial'!C86/'Nivel Setorial'!C$5*100)</x:f>
        <x:v>243.2784600582414</x:v>
      </x:c>
      <x:c r="D86" s="22" t="n">
        <x:f>IF('Nivel Setorial'!D86="","",'Nivel Setorial'!D86/'Nivel Setorial'!D$5*100)</x:f>
        <x:v>485.45991928647646</x:v>
      </x:c>
      <x:c r="E86" s="22" t="n">
        <x:f>IF('Nivel Setorial'!E86="","",'Nivel Setorial'!E86/'Nivel Setorial'!E$49*100)</x:f>
        <x:v>313.75021142031346</x:v>
      </x:c>
      <x:c r="F86" s="22" t="n">
        <x:f>IF('Nivel Setorial'!F86="","",'Nivel Setorial'!F86/'Nivel Setorial'!F$5*100)</x:f>
        <x:v>235.63170055222895</x:v>
      </x:c>
      <x:c r="G86" s="22" t="n">
        <x:f>IF('Nivel Setorial'!G86="","",'Nivel Setorial'!G86/'Nivel Setorial'!G$5*100)</x:f>
        <x:v>228.76060100523125</x:v>
      </x:c>
      <x:c r="H86" s="22" t="n">
        <x:f>IF('Nivel Setorial'!H86="","",'Nivel Setorial'!H86/'Nivel Setorial'!H$17*100)</x:f>
        <x:v>237.17158425074066</x:v>
      </x:c>
      <x:c r="I86" s="22" t="n">
        <x:f>IF('Nivel Setorial'!I86="","",'Nivel Setorial'!I86/'Nivel Setorial'!I$5*100)</x:f>
        <x:v>34.40772173269321</x:v>
      </x:c>
      <x:c r="J86" s="22" t="n">
        <x:f>IF('Nivel Setorial'!J86="","",'Nivel Setorial'!J86/'Nivel Setorial'!J$25*100)</x:f>
        <x:v>161.77400521713457</x:v>
      </x:c>
      <x:c r="K86" s="22" t="n">
        <x:f>IF('Nivel Setorial'!K86="","",'Nivel Setorial'!K86/'Nivel Setorial'!K$5*100)</x:f>
        <x:v>23.751638114335965</x:v>
      </x:c>
      <x:c r="L86" s="22" t="n">
        <x:f>IF('Nivel Setorial'!L86="","",'Nivel Setorial'!L86/'Nivel Setorial'!L$5*100)</x:f>
        <x:v>57.8448235446909</x:v>
      </x:c>
      <x:c r="M86" s="22" t="n">
        <x:f>IF('Nivel Setorial'!M86="","",'Nivel Setorial'!M86/'Nivel Setorial'!M$5*100)</x:f>
        <x:v>237.45549327947114</x:v>
      </x:c>
      <x:c r="N86" s="22" t="n">
        <x:f>IF('Nivel Setorial'!N86="","",'Nivel Setorial'!N86/'Nivel Setorial'!N$5*100)</x:f>
        <x:v>142.6758866876524</x:v>
      </x:c>
      <x:c r="O86" s="22" t="n">
        <x:f>IF('Nivel Setorial'!O86="","",'Nivel Setorial'!O86/'Nivel Setorial'!O$5*100)</x:f>
        <x:v>198.24178995005786</x:v>
      </x:c>
      <x:c r="P86" s="22" t="n">
        <x:f>IF('Nivel Setorial'!P86="","",'Nivel Setorial'!P86/'Nivel Setorial'!P$5*100)</x:f>
        <x:v>68.48332257289013</x:v>
      </x:c>
      <x:c r="Q86" s="22" t="n">
        <x:f>IF('Nivel Setorial'!Q86="","",'Nivel Setorial'!Q86/'Nivel Setorial'!Q$5*100)</x:f>
        <x:v>116.67957296827409</x:v>
      </x:c>
      <x:c r="R86" s="22" t="n">
        <x:f>IF('Nivel Setorial'!R86="","",'Nivel Setorial'!R86/'Nivel Setorial'!R$5*100)</x:f>
        <x:v>59.17769225490594</x:v>
      </x:c>
    </x:row>
    <x:row r="87">
      <x:c r="A87" s="21" t="n">
        <x:f>'Nivel Setorial'!A87</x:f>
        <x:v>42675</x:v>
      </x:c>
      <x:c r="B87" s="22" t="str">
        <x:f>IF('Nivel Setorial'!B87="","",'Nivel Setorial'!B87/'Nivel Setorial'!B$45*100)</x:f>
      </x:c>
      <x:c r="C87" s="22" t="n">
        <x:f>IF('Nivel Setorial'!C87="","",'Nivel Setorial'!C87/'Nivel Setorial'!C$5*100)</x:f>
        <x:v>255.27207940996144</x:v>
      </x:c>
      <x:c r="D87" s="22" t="n">
        <x:f>IF('Nivel Setorial'!D87="","",'Nivel Setorial'!D87/'Nivel Setorial'!D$5*100)</x:f>
        <x:v>489.08462801983063</x:v>
      </x:c>
      <x:c r="E87" s="22" t="n">
        <x:f>IF('Nivel Setorial'!E87="","",'Nivel Setorial'!E87/'Nivel Setorial'!E$49*100)</x:f>
        <x:v>316.02633360044365</x:v>
      </x:c>
      <x:c r="F87" s="22" t="n">
        <x:f>IF('Nivel Setorial'!F87="","",'Nivel Setorial'!F87/'Nivel Setorial'!F$5*100)</x:f>
        <x:v>247.6751189498234</x:v>
      </x:c>
      <x:c r="G87" s="22" t="n">
        <x:f>IF('Nivel Setorial'!G87="","",'Nivel Setorial'!G87/'Nivel Setorial'!G$5*100)</x:f>
        <x:v>228.85024388843362</x:v>
      </x:c>
      <x:c r="H87" s="22" t="n">
        <x:f>IF('Nivel Setorial'!H87="","",'Nivel Setorial'!H87/'Nivel Setorial'!H$17*100)</x:f>
        <x:v>238.5158062809153</x:v>
      </x:c>
      <x:c r="I87" s="22" t="n">
        <x:f>IF('Nivel Setorial'!I87="","",'Nivel Setorial'!I87/'Nivel Setorial'!I$5*100)</x:f>
        <x:v>34.393807815424154</x:v>
      </x:c>
      <x:c r="J87" s="22" t="n">
        <x:f>IF('Nivel Setorial'!J87="","",'Nivel Setorial'!J87/'Nivel Setorial'!J$25*100)</x:f>
        <x:v>161.18338458620653</x:v>
      </x:c>
      <x:c r="K87" s="22" t="n">
        <x:f>IF('Nivel Setorial'!K87="","",'Nivel Setorial'!K87/'Nivel Setorial'!K$5*100)</x:f>
        <x:v>27.870625098834978</x:v>
      </x:c>
      <x:c r="L87" s="22" t="n">
        <x:f>IF('Nivel Setorial'!L87="","",'Nivel Setorial'!L87/'Nivel Setorial'!L$5*100)</x:f>
        <x:v>58.28611617207059</x:v>
      </x:c>
      <x:c r="M87" s="22" t="n">
        <x:f>IF('Nivel Setorial'!M87="","",'Nivel Setorial'!M87/'Nivel Setorial'!M$5*100)</x:f>
        <x:v>169.27870337790432</x:v>
      </x:c>
      <x:c r="N87" s="22" t="n">
        <x:f>IF('Nivel Setorial'!N87="","",'Nivel Setorial'!N87/'Nivel Setorial'!N$5*100)</x:f>
        <x:v>140.3002684805516</x:v>
      </x:c>
      <x:c r="O87" s="22" t="n">
        <x:f>IF('Nivel Setorial'!O87="","",'Nivel Setorial'!O87/'Nivel Setorial'!O$5*100)</x:f>
        <x:v>202.1318855977023</x:v>
      </x:c>
      <x:c r="P87" s="22" t="n">
        <x:f>IF('Nivel Setorial'!P87="","",'Nivel Setorial'!P87/'Nivel Setorial'!P$5*100)</x:f>
        <x:v>69.92002454864142</x:v>
      </x:c>
      <x:c r="Q87" s="22" t="n">
        <x:f>IF('Nivel Setorial'!Q87="","",'Nivel Setorial'!Q87/'Nivel Setorial'!Q$5*100)</x:f>
        <x:v>112.22835410821969</x:v>
      </x:c>
      <x:c r="R87" s="22" t="n">
        <x:f>IF('Nivel Setorial'!R87="","",'Nivel Setorial'!R87/'Nivel Setorial'!R$5*100)</x:f>
        <x:v>59.72869056512684</x:v>
      </x:c>
    </x:row>
    <x:row r="88">
      <x:c r="A88" s="21" t="n">
        <x:f>'Nivel Setorial'!A88</x:f>
        <x:v>42705</x:v>
      </x:c>
      <x:c r="B88" s="22" t="str">
        <x:f>IF('Nivel Setorial'!B88="","",'Nivel Setorial'!B88/'Nivel Setorial'!B$45*100)</x:f>
      </x:c>
      <x:c r="C88" s="22" t="n">
        <x:f>IF('Nivel Setorial'!C88="","",'Nivel Setorial'!C88/'Nivel Setorial'!C$5*100)</x:f>
        <x:v>259.57700826905227</x:v>
      </x:c>
      <x:c r="D88" s="22" t="n">
        <x:f>IF('Nivel Setorial'!D88="","",'Nivel Setorial'!D88/'Nivel Setorial'!D$5*100)</x:f>
        <x:v>495.64656029043385</x:v>
      </x:c>
      <x:c r="E88" s="22" t="n">
        <x:f>IF('Nivel Setorial'!E88="","",'Nivel Setorial'!E88/'Nivel Setorial'!E$49*100)</x:f>
        <x:v>317.4855184440946</x:v>
      </x:c>
      <x:c r="F88" s="22" t="n">
        <x:f>IF('Nivel Setorial'!F88="","",'Nivel Setorial'!F88/'Nivel Setorial'!F$5*100)</x:f>
        <x:v>248.1749219850033</x:v>
      </x:c>
      <x:c r="G88" s="22" t="n">
        <x:f>IF('Nivel Setorial'!G88="","",'Nivel Setorial'!G88/'Nivel Setorial'!G$5*100)</x:f>
        <x:v>231.86440098431146</x:v>
      </x:c>
      <x:c r="H88" s="22" t="n">
        <x:f>IF('Nivel Setorial'!H88="","",'Nivel Setorial'!H88/'Nivel Setorial'!H$17*100)</x:f>
        <x:v>243.4332987900953</x:v>
      </x:c>
      <x:c r="I88" s="22" t="n">
        <x:f>IF('Nivel Setorial'!I88="","",'Nivel Setorial'!I88/'Nivel Setorial'!I$5*100)</x:f>
        <x:v>31.931051596232045</x:v>
      </x:c>
      <x:c r="J88" s="22" t="n">
        <x:f>IF('Nivel Setorial'!J88="","",'Nivel Setorial'!J88/'Nivel Setorial'!J$25*100)</x:f>
        <x:v>162.3639244318239</x:v>
      </x:c>
      <x:c r="K88" s="22" t="n">
        <x:f>IF('Nivel Setorial'!K88="","",'Nivel Setorial'!K88/'Nivel Setorial'!K$5*100)</x:f>
        <x:v>47.11666149167983</x:v>
      </x:c>
      <x:c r="L88" s="22" t="n">
        <x:f>IF('Nivel Setorial'!L88="","",'Nivel Setorial'!L88/'Nivel Setorial'!L$5*100)</x:f>
        <x:v>60.956108524959184</x:v>
      </x:c>
      <x:c r="M88" s="22" t="n">
        <x:f>IF('Nivel Setorial'!M88="","",'Nivel Setorial'!M88/'Nivel Setorial'!M$5*100)</x:f>
        <x:v>163.0977177490368</x:v>
      </x:c>
      <x:c r="N88" s="22" t="n">
        <x:f>IF('Nivel Setorial'!N88="","",'Nivel Setorial'!N88/'Nivel Setorial'!N$5*100)</x:f>
        <x:v>140.9558034806405</x:v>
      </x:c>
      <x:c r="O88" s="22" t="n">
        <x:f>IF('Nivel Setorial'!O88="","",'Nivel Setorial'!O88/'Nivel Setorial'!O$5*100)</x:f>
        <x:v>196.81812520962467</x:v>
      </x:c>
      <x:c r="P88" s="22" t="n">
        <x:f>IF('Nivel Setorial'!P88="","",'Nivel Setorial'!P88/'Nivel Setorial'!P$5*100)</x:f>
        <x:v>72.9749542090996</x:v>
      </x:c>
      <x:c r="Q88" s="22" t="n">
        <x:f>IF('Nivel Setorial'!Q88="","",'Nivel Setorial'!Q88/'Nivel Setorial'!Q$5*100)</x:f>
        <x:v>111.19909335048908</x:v>
      </x:c>
      <x:c r="R88" s="22" t="n">
        <x:f>IF('Nivel Setorial'!R88="","",'Nivel Setorial'!R88/'Nivel Setorial'!R$5*100)</x:f>
        <x:v>68.54107273909655</x:v>
      </x:c>
    </x:row>
    <x:row r="89">
      <x:c r="A89" s="21" t="n">
        <x:f>'Nivel Setorial'!A89</x:f>
        <x:v>42736</x:v>
      </x:c>
      <x:c r="B89" s="22" t="str">
        <x:f>IF('Nivel Setorial'!B89="","",'Nivel Setorial'!B89/'Nivel Setorial'!B$45*100)</x:f>
      </x:c>
      <x:c r="C89" s="22" t="n">
        <x:f>IF('Nivel Setorial'!C89="","",'Nivel Setorial'!C89/'Nivel Setorial'!C$5*100)</x:f>
        <x:v>267.2236725251799</x:v>
      </x:c>
      <x:c r="D89" s="22" t="n">
        <x:f>IF('Nivel Setorial'!D89="","",'Nivel Setorial'!D89/'Nivel Setorial'!D$5*100)</x:f>
        <x:v>498.1047024063269</x:v>
      </x:c>
      <x:c r="E89" s="22" t="n">
        <x:f>IF('Nivel Setorial'!E89="","",'Nivel Setorial'!E89/'Nivel Setorial'!E$49*100)</x:f>
        <x:v>320.37611497021</x:v>
      </x:c>
      <x:c r="F89" s="22" t="n">
        <x:f>IF('Nivel Setorial'!F89="","",'Nivel Setorial'!F89/'Nivel Setorial'!F$5*100)</x:f>
        <x:v>243.88614261485137</x:v>
      </x:c>
      <x:c r="G89" s="22" t="n">
        <x:f>IF('Nivel Setorial'!G89="","",'Nivel Setorial'!G89/'Nivel Setorial'!G$5*100)</x:f>
        <x:v>232.67846154538594</x:v>
      </x:c>
      <x:c r="H89" s="22" t="n">
        <x:f>IF('Nivel Setorial'!H89="","",'Nivel Setorial'!H89/'Nivel Setorial'!H$17*100)</x:f>
        <x:v>249.23085945280943</x:v>
      </x:c>
      <x:c r="I89" s="22" t="n">
        <x:f>IF('Nivel Setorial'!I89="","",'Nivel Setorial'!I89/'Nivel Setorial'!I$5*100)</x:f>
        <x:v>29.74641379607347</x:v>
      </x:c>
      <x:c r="J89" s="22" t="n">
        <x:f>IF('Nivel Setorial'!J89="","",'Nivel Setorial'!J89/'Nivel Setorial'!J$25*100)</x:f>
        <x:v>168.1844966999538</x:v>
      </x:c>
      <x:c r="K89" s="22" t="n">
        <x:f>IF('Nivel Setorial'!K89="","",'Nivel Setorial'!K89/'Nivel Setorial'!K$5*100)</x:f>
        <x:v>58.48573892262774</x:v>
      </x:c>
      <x:c r="L89" s="22" t="n">
        <x:f>IF('Nivel Setorial'!L89="","",'Nivel Setorial'!L89/'Nivel Setorial'!L$5*100)</x:f>
        <x:v>68.03724935476721</x:v>
      </x:c>
      <x:c r="M89" s="22" t="n">
        <x:f>IF('Nivel Setorial'!M89="","",'Nivel Setorial'!M89/'Nivel Setorial'!M$5*100)</x:f>
        <x:v>160.19599417681286</x:v>
      </x:c>
      <x:c r="N89" s="22" t="n">
        <x:f>IF('Nivel Setorial'!N89="","",'Nivel Setorial'!N89/'Nivel Setorial'!N$5*100)</x:f>
        <x:v>139.70876032325862</x:v>
      </x:c>
      <x:c r="O89" s="22" t="n">
        <x:f>IF('Nivel Setorial'!O89="","",'Nivel Setorial'!O89/'Nivel Setorial'!O$5*100)</x:f>
        <x:v>204.31976789141686</x:v>
      </x:c>
      <x:c r="P89" s="22" t="n">
        <x:f>IF('Nivel Setorial'!P89="","",'Nivel Setorial'!P89/'Nivel Setorial'!P$5*100)</x:f>
        <x:v>73.98363965521385</x:v>
      </x:c>
      <x:c r="Q89" s="22" t="n">
        <x:f>IF('Nivel Setorial'!Q89="","",'Nivel Setorial'!Q89/'Nivel Setorial'!Q$5*100)</x:f>
        <x:v>117.71318912257489</x:v>
      </x:c>
      <x:c r="R89" s="22" t="n">
        <x:f>IF('Nivel Setorial'!R89="","",'Nivel Setorial'!R89/'Nivel Setorial'!R$5*100)</x:f>
        <x:v>70.73205908083838</x:v>
      </x:c>
    </x:row>
    <x:row r="90">
      <x:c r="A90" s="21" t="n">
        <x:f>'Nivel Setorial'!A90</x:f>
        <x:v>42767</x:v>
      </x:c>
      <x:c r="B90" s="22" t="str">
        <x:f>IF('Nivel Setorial'!B90="","",'Nivel Setorial'!B90/'Nivel Setorial'!B$45*100)</x:f>
      </x:c>
      <x:c r="C90" s="22" t="n">
        <x:f>IF('Nivel Setorial'!C90="","",'Nivel Setorial'!C90/'Nivel Setorial'!C$5*100)</x:f>
        <x:v>268.8554373035792</x:v>
      </x:c>
      <x:c r="D90" s="22" t="n">
        <x:f>IF('Nivel Setorial'!D90="","",'Nivel Setorial'!D90/'Nivel Setorial'!D$5*100)</x:f>
        <x:v>497.9520612714421</x:v>
      </x:c>
      <x:c r="E90" s="22" t="n">
        <x:f>IF('Nivel Setorial'!E90="","",'Nivel Setorial'!E90/'Nivel Setorial'!E$49*100)</x:f>
        <x:v>316.5634384882549</x:v>
      </x:c>
      <x:c r="F90" s="22" t="n">
        <x:f>IF('Nivel Setorial'!F90="","",'Nivel Setorial'!F90/'Nivel Setorial'!F$5*100)</x:f>
        <x:v>249.43155456577583</x:v>
      </x:c>
      <x:c r="G90" s="22" t="n">
        <x:f>IF('Nivel Setorial'!G90="","",'Nivel Setorial'!G90/'Nivel Setorial'!G$5*100)</x:f>
        <x:v>232.10195870117244</x:v>
      </x:c>
      <x:c r="H90" s="22" t="n">
        <x:f>IF('Nivel Setorial'!H90="","",'Nivel Setorial'!H90/'Nivel Setorial'!H$17*100)</x:f>
        <x:v>250.2599545820493</x:v>
      </x:c>
      <x:c r="I90" s="22" t="n">
        <x:f>IF('Nivel Setorial'!I90="","",'Nivel Setorial'!I90/'Nivel Setorial'!I$5*100)</x:f>
        <x:v>30.564517837797194</x:v>
      </x:c>
      <x:c r="J90" s="22" t="n">
        <x:f>IF('Nivel Setorial'!J90="","",'Nivel Setorial'!J90/'Nivel Setorial'!J$25*100)</x:f>
        <x:v>175.0201489465826</x:v>
      </x:c>
      <x:c r="K90" s="22" t="n">
        <x:f>IF('Nivel Setorial'!K90="","",'Nivel Setorial'!K90/'Nivel Setorial'!K$5*100)</x:f>
        <x:v>68.63200406022135</x:v>
      </x:c>
      <x:c r="L90" s="22" t="n">
        <x:f>IF('Nivel Setorial'!L90="","",'Nivel Setorial'!L90/'Nivel Setorial'!L$5*100)</x:f>
        <x:v>70.76398940749617</x:v>
      </x:c>
      <x:c r="M90" s="22" t="n">
        <x:f>IF('Nivel Setorial'!M90="","",'Nivel Setorial'!M90/'Nivel Setorial'!M$5*100)</x:f>
        <x:v>148.2557288483508</x:v>
      </x:c>
      <x:c r="N90" s="22" t="n">
        <x:f>IF('Nivel Setorial'!N90="","",'Nivel Setorial'!N90/'Nivel Setorial'!N$5*100)</x:f>
        <x:v>145.36776502467808</x:v>
      </x:c>
      <x:c r="O90" s="22" t="n">
        <x:f>IF('Nivel Setorial'!O90="","",'Nivel Setorial'!O90/'Nivel Setorial'!O$5*100)</x:f>
        <x:v>207.79614173347514</x:v>
      </x:c>
      <x:c r="P90" s="22" t="n">
        <x:f>IF('Nivel Setorial'!P90="","",'Nivel Setorial'!P90/'Nivel Setorial'!P$5*100)</x:f>
        <x:v>75.58949656245699</x:v>
      </x:c>
      <x:c r="Q90" s="22" t="n">
        <x:f>IF('Nivel Setorial'!Q90="","",'Nivel Setorial'!Q90/'Nivel Setorial'!Q$5*100)</x:f>
        <x:v>124.90005258719721</x:v>
      </x:c>
      <x:c r="R90" s="22" t="n">
        <x:f>IF('Nivel Setorial'!R90="","",'Nivel Setorial'!R90/'Nivel Setorial'!R$5*100)</x:f>
        <x:v>81.82813126628453</x:v>
      </x:c>
    </x:row>
    <x:row r="91">
      <x:c r="A91" s="21" t="n">
        <x:f>'Nivel Setorial'!A91</x:f>
        <x:v>42795</x:v>
      </x:c>
      <x:c r="B91" s="22" t="str">
        <x:f>IF('Nivel Setorial'!B91="","",'Nivel Setorial'!B91/'Nivel Setorial'!B$45*100)</x:f>
      </x:c>
      <x:c r="C91" s="22" t="n">
        <x:f>IF('Nivel Setorial'!C91="","",'Nivel Setorial'!C91/'Nivel Setorial'!C$5*100)</x:f>
        <x:v>272.22276217230944</x:v>
      </x:c>
      <x:c r="D91" s="22" t="n">
        <x:f>IF('Nivel Setorial'!D91="","",'Nivel Setorial'!D91/'Nivel Setorial'!D$5*100)</x:f>
        <x:v>494.6750970068048</x:v>
      </x:c>
      <x:c r="E91" s="22" t="n">
        <x:f>IF('Nivel Setorial'!E91="","",'Nivel Setorial'!E91/'Nivel Setorial'!E$49*100)</x:f>
        <x:v>311.7260310735269</x:v>
      </x:c>
      <x:c r="F91" s="22" t="n">
        <x:f>IF('Nivel Setorial'!F91="","",'Nivel Setorial'!F91/'Nivel Setorial'!F$5*100)</x:f>
        <x:v>240.81812109601563</x:v>
      </x:c>
      <x:c r="G91" s="22" t="n">
        <x:f>IF('Nivel Setorial'!G91="","",'Nivel Setorial'!G91/'Nivel Setorial'!G$5*100)</x:f>
        <x:v>227.10374210594168</x:v>
      </x:c>
      <x:c r="H91" s="22" t="n">
        <x:f>IF('Nivel Setorial'!H91="","",'Nivel Setorial'!H91/'Nivel Setorial'!H$17*100)</x:f>
        <x:v>252.3013097625244</x:v>
      </x:c>
      <x:c r="I91" s="22" t="n">
        <x:f>IF('Nivel Setorial'!I91="","",'Nivel Setorial'!I91/'Nivel Setorial'!I$5*100)</x:f>
        <x:v>31.646003665205104</x:v>
      </x:c>
      <x:c r="J91" s="22" t="n">
        <x:f>IF('Nivel Setorial'!J91="","",'Nivel Setorial'!J91/'Nivel Setorial'!J$25*100)</x:f>
        <x:v>181.1559532052036</x:v>
      </x:c>
      <x:c r="K91" s="22" t="n">
        <x:f>IF('Nivel Setorial'!K91="","",'Nivel Setorial'!K91/'Nivel Setorial'!K$5*100)</x:f>
        <x:v>85.61300444066843</x:v>
      </x:c>
      <x:c r="L91" s="22" t="n">
        <x:f>IF('Nivel Setorial'!L91="","",'Nivel Setorial'!L91/'Nivel Setorial'!L$5*100)</x:f>
        <x:v>69.33819227659924</x:v>
      </x:c>
      <x:c r="M91" s="22" t="n">
        <x:f>IF('Nivel Setorial'!M91="","",'Nivel Setorial'!M91/'Nivel Setorial'!M$5*100)</x:f>
        <x:v>168.7142075328444</x:v>
      </x:c>
      <x:c r="N91" s="22" t="n">
        <x:f>IF('Nivel Setorial'!N91="","",'Nivel Setorial'!N91/'Nivel Setorial'!N$5*100)</x:f>
        <x:v>149.38802213140514</x:v>
      </x:c>
      <x:c r="O91" s="22" t="n">
        <x:f>IF('Nivel Setorial'!O91="","",'Nivel Setorial'!O91/'Nivel Setorial'!O$5*100)</x:f>
        <x:v>218.56029133621618</x:v>
      </x:c>
      <x:c r="P91" s="22" t="n">
        <x:f>IF('Nivel Setorial'!P91="","",'Nivel Setorial'!P91/'Nivel Setorial'!P$5*100)</x:f>
        <x:v>77.22912735273114</x:v>
      </x:c>
      <x:c r="Q91" s="22" t="n">
        <x:f>IF('Nivel Setorial'!Q91="","",'Nivel Setorial'!Q91/'Nivel Setorial'!Q$5*100)</x:f>
        <x:v>141.25655233174575</x:v>
      </x:c>
      <x:c r="R91" s="22" t="n">
        <x:f>IF('Nivel Setorial'!R91="","",'Nivel Setorial'!R91/'Nivel Setorial'!R$5*100)</x:f>
        <x:v>86.93700308556</x:v>
      </x:c>
    </x:row>
    <x:row r="92">
      <x:c r="A92" s="21" t="n">
        <x:f>'Nivel Setorial'!A92</x:f>
        <x:v>42826</x:v>
      </x:c>
      <x:c r="B92" s="22" t="str">
        <x:f>IF('Nivel Setorial'!B92="","",'Nivel Setorial'!B92/'Nivel Setorial'!B$45*100)</x:f>
      </x:c>
      <x:c r="C92" s="22" t="n">
        <x:f>IF('Nivel Setorial'!C92="","",'Nivel Setorial'!C92/'Nivel Setorial'!C$5*100)</x:f>
        <x:v>272.8441119714048</x:v>
      </x:c>
      <x:c r="D92" s="22" t="n">
        <x:f>IF('Nivel Setorial'!D92="","",'Nivel Setorial'!D92/'Nivel Setorial'!D$5*100)</x:f>
        <x:v>507.80227093552594</x:v>
      </x:c>
      <x:c r="E92" s="22" t="n">
        <x:f>IF('Nivel Setorial'!E92="","",'Nivel Setorial'!E92/'Nivel Setorial'!E$49*100)</x:f>
        <x:v>306.5474865533495</x:v>
      </x:c>
      <x:c r="F92" s="22" t="n">
        <x:f>IF('Nivel Setorial'!F92="","",'Nivel Setorial'!F92/'Nivel Setorial'!F$5*100)</x:f>
        <x:v>237.09392928886604</x:v>
      </x:c>
      <x:c r="G92" s="22" t="n">
        <x:f>IF('Nivel Setorial'!G92="","",'Nivel Setorial'!G92/'Nivel Setorial'!G$5*100)</x:f>
        <x:v>221.2675996070284</x:v>
      </x:c>
      <x:c r="H92" s="22" t="n">
        <x:f>IF('Nivel Setorial'!H92="","",'Nivel Setorial'!H92/'Nivel Setorial'!H$17*100)</x:f>
        <x:v>255.36268236073636</x:v>
      </x:c>
      <x:c r="I92" s="22" t="n">
        <x:f>IF('Nivel Setorial'!I92="","",'Nivel Setorial'!I92/'Nivel Setorial'!I$5*100)</x:f>
        <x:v>32.56814952080128</x:v>
      </x:c>
      <x:c r="J92" s="22" t="n">
        <x:f>IF('Nivel Setorial'!J92="","",'Nivel Setorial'!J92/'Nivel Setorial'!J$25*100)</x:f>
        <x:v>184.4382741259727</x:v>
      </x:c>
      <x:c r="K92" s="22" t="n">
        <x:f>IF('Nivel Setorial'!K92="","",'Nivel Setorial'!K92/'Nivel Setorial'!K$5*100)</x:f>
        <x:v>82.16064615277728</x:v>
      </x:c>
      <x:c r="L92" s="22" t="n">
        <x:f>IF('Nivel Setorial'!L92="","",'Nivel Setorial'!L92/'Nivel Setorial'!L$5*100)</x:f>
        <x:v>64.05239004223947</x:v>
      </x:c>
      <x:c r="M92" s="22" t="n">
        <x:f>IF('Nivel Setorial'!M92="","",'Nivel Setorial'!M92/'Nivel Setorial'!M$5*100)</x:f>
        <x:v>195.89220755962958</x:v>
      </x:c>
      <x:c r="N92" s="22" t="n">
        <x:f>IF('Nivel Setorial'!N92="","",'Nivel Setorial'!N92/'Nivel Setorial'!N$5*100)</x:f>
        <x:v>153.49064518673407</x:v>
      </x:c>
      <x:c r="O92" s="22" t="n">
        <x:f>IF('Nivel Setorial'!O92="","",'Nivel Setorial'!O92/'Nivel Setorial'!O$5*100)</x:f>
        <x:v>229.83547401054966</x:v>
      </x:c>
      <x:c r="P92" s="22" t="n">
        <x:f>IF('Nivel Setorial'!P92="","",'Nivel Setorial'!P92/'Nivel Setorial'!P$5*100)</x:f>
        <x:v>85.02883820382746</x:v>
      </x:c>
      <x:c r="Q92" s="22" t="n">
        <x:f>IF('Nivel Setorial'!Q92="","",'Nivel Setorial'!Q92/'Nivel Setorial'!Q$5*100)</x:f>
        <x:v>144.33712234907475</x:v>
      </x:c>
      <x:c r="R92" s="22" t="n">
        <x:f>IF('Nivel Setorial'!R92="","",'Nivel Setorial'!R92/'Nivel Setorial'!R$5*100)</x:f>
        <x:v>85.10596037211901</x:v>
      </x:c>
    </x:row>
    <x:row r="93">
      <x:c r="A93" s="21" t="n">
        <x:f>'Nivel Setorial'!A93</x:f>
        <x:v>42856</x:v>
      </x:c>
      <x:c r="B93" s="22" t="str">
        <x:f>IF('Nivel Setorial'!B93="","",'Nivel Setorial'!B93/'Nivel Setorial'!B$45*100)</x:f>
      </x:c>
      <x:c r="C93" s="22" t="n">
        <x:f>IF('Nivel Setorial'!C93="","",'Nivel Setorial'!C93/'Nivel Setorial'!C$5*100)</x:f>
        <x:v>274.94731367307094</x:v>
      </x:c>
      <x:c r="D93" s="22" t="n">
        <x:f>IF('Nivel Setorial'!D93="","",'Nivel Setorial'!D93/'Nivel Setorial'!D$5*100)</x:f>
        <x:v>500.0818677573541</x:v>
      </x:c>
      <x:c r="E93" s="22" t="n">
        <x:f>IF('Nivel Setorial'!E93="","",'Nivel Setorial'!E93/'Nivel Setorial'!E$49*100)</x:f>
        <x:v>313.04107614312</x:v>
      </x:c>
      <x:c r="F93" s="22" t="n">
        <x:f>IF('Nivel Setorial'!F93="","",'Nivel Setorial'!F93/'Nivel Setorial'!F$5*100)</x:f>
        <x:v>231.38452635953107</x:v>
      </x:c>
      <x:c r="G93" s="22" t="n">
        <x:f>IF('Nivel Setorial'!G93="","",'Nivel Setorial'!G93/'Nivel Setorial'!G$5*100)</x:f>
        <x:v>205.7723261855792</x:v>
      </x:c>
      <x:c r="H93" s="22" t="n">
        <x:f>IF('Nivel Setorial'!H93="","",'Nivel Setorial'!H93/'Nivel Setorial'!H$17*100)</x:f>
        <x:v>264.28144505317726</x:v>
      </x:c>
      <x:c r="I93" s="22" t="n">
        <x:f>IF('Nivel Setorial'!I93="","",'Nivel Setorial'!I93/'Nivel Setorial'!I$5*100)</x:f>
        <x:v>33.043993230857396</x:v>
      </x:c>
      <x:c r="J93" s="22" t="n">
        <x:f>IF('Nivel Setorial'!J93="","",'Nivel Setorial'!J93/'Nivel Setorial'!J$25*100)</x:f>
        <x:v>189.4252805165226</x:v>
      </x:c>
      <x:c r="K93" s="22" t="n">
        <x:f>IF('Nivel Setorial'!K93="","",'Nivel Setorial'!K93/'Nivel Setorial'!K$5*100)</x:f>
        <x:v>83.23286217230525</x:v>
      </x:c>
      <x:c r="L93" s="22" t="n">
        <x:f>IF('Nivel Setorial'!L93="","",'Nivel Setorial'!L93/'Nivel Setorial'!L$5*100)</x:f>
        <x:v>75.03377790134091</x:v>
      </x:c>
      <x:c r="M93" s="22" t="n">
        <x:f>IF('Nivel Setorial'!M93="","",'Nivel Setorial'!M93/'Nivel Setorial'!M$5*100)</x:f>
        <x:v>217.90966286215826</x:v>
      </x:c>
      <x:c r="N93" s="22" t="n">
        <x:f>IF('Nivel Setorial'!N93="","",'Nivel Setorial'!N93/'Nivel Setorial'!N$5*100)</x:f>
        <x:v>159.65270798510227</x:v>
      </x:c>
      <x:c r="O93" s="22" t="n">
        <x:f>IF('Nivel Setorial'!O93="","",'Nivel Setorial'!O93/'Nivel Setorial'!O$5*100)</x:f>
        <x:v>230.38156486436785</x:v>
      </x:c>
      <x:c r="P93" s="22" t="n">
        <x:f>IF('Nivel Setorial'!P93="","",'Nivel Setorial'!P93/'Nivel Setorial'!P$5*100)</x:f>
        <x:v>87.16263706163076</x:v>
      </x:c>
      <x:c r="Q93" s="22" t="n">
        <x:f>IF('Nivel Setorial'!Q93="","",'Nivel Setorial'!Q93/'Nivel Setorial'!Q$5*100)</x:f>
        <x:v>149.1381564565758</x:v>
      </x:c>
      <x:c r="R93" s="22" t="n">
        <x:f>IF('Nivel Setorial'!R93="","",'Nivel Setorial'!R93/'Nivel Setorial'!R$5*100)</x:f>
        <x:v>85.79853652461982</x:v>
      </x:c>
    </x:row>
    <x:row r="94">
      <x:c r="A94" s="21" t="n">
        <x:f>'Nivel Setorial'!A94</x:f>
        <x:v>42887</x:v>
      </x:c>
      <x:c r="B94" s="22" t="str">
        <x:f>IF('Nivel Setorial'!B94="","",'Nivel Setorial'!B94/'Nivel Setorial'!B$45*100)</x:f>
      </x:c>
      <x:c r="C94" s="22" t="n">
        <x:f>IF('Nivel Setorial'!C94="","",'Nivel Setorial'!C94/'Nivel Setorial'!C$5*100)</x:f>
        <x:v>279.07929324748176</x:v>
      </x:c>
      <x:c r="D94" s="22" t="n">
        <x:f>IF('Nivel Setorial'!D94="","",'Nivel Setorial'!D94/'Nivel Setorial'!D$5*100)</x:f>
        <x:v>500.56927492087516</x:v>
      </x:c>
      <x:c r="E94" s="22" t="n">
        <x:f>IF('Nivel Setorial'!E94="","",'Nivel Setorial'!E94/'Nivel Setorial'!E$49*100)</x:f>
        <x:v>310.8696884550485</x:v>
      </x:c>
      <x:c r="F94" s="22" t="n">
        <x:f>IF('Nivel Setorial'!F94="","",'Nivel Setorial'!F94/'Nivel Setorial'!F$5*100)</x:f>
        <x:v>231.9542687141243</x:v>
      </x:c>
      <x:c r="G94" s="22" t="n">
        <x:f>IF('Nivel Setorial'!G94="","",'Nivel Setorial'!G94/'Nivel Setorial'!G$5*100)</x:f>
        <x:v>209.58926725129646</x:v>
      </x:c>
      <x:c r="H94" s="22" t="n">
        <x:f>IF('Nivel Setorial'!H94="","",'Nivel Setorial'!H94/'Nivel Setorial'!H$17*100)</x:f>
        <x:v>267.4066784565731</x:v>
      </x:c>
      <x:c r="I94" s="22" t="n">
        <x:f>IF('Nivel Setorial'!I94="","",'Nivel Setorial'!I94/'Nivel Setorial'!I$5*100)</x:f>
        <x:v>33.42139914276892</x:v>
      </x:c>
      <x:c r="J94" s="22" t="n">
        <x:f>IF('Nivel Setorial'!J94="","",'Nivel Setorial'!J94/'Nivel Setorial'!J$25*100)</x:f>
        <x:v>203.47809580703236</x:v>
      </x:c>
      <x:c r="K94" s="22" t="n">
        <x:f>IF('Nivel Setorial'!K94="","",'Nivel Setorial'!K94/'Nivel Setorial'!K$5*100)</x:f>
        <x:v>76.34882051465087</x:v>
      </x:c>
      <x:c r="L94" s="22" t="n">
        <x:f>IF('Nivel Setorial'!L94="","",'Nivel Setorial'!L94/'Nivel Setorial'!L$5*100)</x:f>
        <x:v>72.80639486303248</x:v>
      </x:c>
      <x:c r="M94" s="22" t="n">
        <x:f>IF('Nivel Setorial'!M94="","",'Nivel Setorial'!M94/'Nivel Setorial'!M$5*100)</x:f>
        <x:v>256.41676833018334</x:v>
      </x:c>
      <x:c r="N94" s="22" t="n">
        <x:f>IF('Nivel Setorial'!N94="","",'Nivel Setorial'!N94/'Nivel Setorial'!N$5*100)</x:f>
        <x:v>166.1648434978798</x:v>
      </x:c>
      <x:c r="O94" s="22" t="n">
        <x:f>IF('Nivel Setorial'!O94="","",'Nivel Setorial'!O94/'Nivel Setorial'!O$5*100)</x:f>
        <x:v>241.88241811143465</x:v>
      </x:c>
      <x:c r="P94" s="22" t="n">
        <x:f>IF('Nivel Setorial'!P94="","",'Nivel Setorial'!P94/'Nivel Setorial'!P$5*100)</x:f>
        <x:v>88.45080062594715</x:v>
      </x:c>
      <x:c r="Q94" s="22" t="n">
        <x:f>IF('Nivel Setorial'!Q94="","",'Nivel Setorial'!Q94/'Nivel Setorial'!Q$5*100)</x:f>
        <x:v>152.84567790068863</x:v>
      </x:c>
      <x:c r="R94" s="22" t="n">
        <x:f>IF('Nivel Setorial'!R94="","",'Nivel Setorial'!R94/'Nivel Setorial'!R$5*100)</x:f>
        <x:v>124.98128097736787</x:v>
      </x:c>
    </x:row>
    <x:row r="95">
      <x:c r="A95" s="21" t="n">
        <x:f>'Nivel Setorial'!A95</x:f>
        <x:v>42917</x:v>
      </x:c>
      <x:c r="B95" s="22" t="str">
        <x:f>IF('Nivel Setorial'!B95="","",'Nivel Setorial'!B95/'Nivel Setorial'!B$45*100)</x:f>
      </x:c>
      <x:c r="C95" s="22" t="n">
        <x:f>IF('Nivel Setorial'!C95="","",'Nivel Setorial'!C95/'Nivel Setorial'!C$5*100)</x:f>
        <x:v>282.16631055895357</x:v>
      </x:c>
      <x:c r="D95" s="22" t="n">
        <x:f>IF('Nivel Setorial'!D95="","",'Nivel Setorial'!D95/'Nivel Setorial'!D$5*100)</x:f>
        <x:v>508.28328406608006</x:v>
      </x:c>
      <x:c r="E95" s="22" t="n">
        <x:f>IF('Nivel Setorial'!E95="","",'Nivel Setorial'!E95/'Nivel Setorial'!E$49*100)</x:f>
        <x:v>314.34782294606214</x:v>
      </x:c>
      <x:c r="F95" s="22" t="n">
        <x:f>IF('Nivel Setorial'!F95="","",'Nivel Setorial'!F95/'Nivel Setorial'!F$5*100)</x:f>
        <x:v>234.8534563915664</x:v>
      </x:c>
      <x:c r="G95" s="22" t="n">
        <x:f>IF('Nivel Setorial'!G95="","",'Nivel Setorial'!G95/'Nivel Setorial'!G$5*100)</x:f>
        <x:v>202.1400322291072</x:v>
      </x:c>
      <x:c r="H95" s="22" t="n">
        <x:f>IF('Nivel Setorial'!H95="","",'Nivel Setorial'!H95/'Nivel Setorial'!H$17*100)</x:f>
        <x:v>271.3235913805197</x:v>
      </x:c>
      <x:c r="I95" s="22" t="n">
        <x:f>IF('Nivel Setorial'!I95="","",'Nivel Setorial'!I95/'Nivel Setorial'!I$5*100)</x:f>
        <x:v>31.72726643394734</x:v>
      </x:c>
      <x:c r="J95" s="22" t="n">
        <x:f>IF('Nivel Setorial'!J95="","",'Nivel Setorial'!J95/'Nivel Setorial'!J$25*100)</x:f>
        <x:v>210.84048098300073</x:v>
      </x:c>
      <x:c r="K95" s="22" t="n">
        <x:f>IF('Nivel Setorial'!K95="","",'Nivel Setorial'!K95/'Nivel Setorial'!K$5*100)</x:f>
        <x:v>71.65817784064244</x:v>
      </x:c>
      <x:c r="L95" s="22" t="n">
        <x:f>IF('Nivel Setorial'!L95="","",'Nivel Setorial'!L95/'Nivel Setorial'!L$5*100)</x:f>
        <x:v>74.74598854070621</x:v>
      </x:c>
      <x:c r="M95" s="22" t="n">
        <x:f>IF('Nivel Setorial'!M95="","",'Nivel Setorial'!M95/'Nivel Setorial'!M$5*100)</x:f>
        <x:v>264.93268787961404</x:v>
      </x:c>
      <x:c r="N95" s="22" t="n">
        <x:f>IF('Nivel Setorial'!N95="","",'Nivel Setorial'!N95/'Nivel Setorial'!N$5*100)</x:f>
        <x:v>169.0454934245221</x:v>
      </x:c>
      <x:c r="O95" s="22" t="n">
        <x:f>IF('Nivel Setorial'!O95="","",'Nivel Setorial'!O95/'Nivel Setorial'!O$5*100)</x:f>
        <x:v>236.76246074230426</x:v>
      </x:c>
      <x:c r="P95" s="22" t="n">
        <x:f>IF('Nivel Setorial'!P95="","",'Nivel Setorial'!P95/'Nivel Setorial'!P$5*100)</x:f>
        <x:v>88.91825078336745</x:v>
      </x:c>
      <x:c r="Q95" s="22" t="n">
        <x:f>IF('Nivel Setorial'!Q95="","",'Nivel Setorial'!Q95/'Nivel Setorial'!Q$5*100)</x:f>
        <x:v>161.87173778551065</x:v>
      </x:c>
      <x:c r="R95" s="22" t="n">
        <x:f>IF('Nivel Setorial'!R95="","",'Nivel Setorial'!R95/'Nivel Setorial'!R$5*100)</x:f>
        <x:v>122.13380334644161</x:v>
      </x:c>
    </x:row>
    <x:row r="96">
      <x:c r="A96" s="21" t="n">
        <x:f>'Nivel Setorial'!A96</x:f>
        <x:v>42948</x:v>
      </x:c>
      <x:c r="B96" s="22" t="str">
        <x:f>IF('Nivel Setorial'!B96="","",'Nivel Setorial'!B96/'Nivel Setorial'!B$45*100)</x:f>
      </x:c>
      <x:c r="C96" s="22" t="n">
        <x:f>IF('Nivel Setorial'!C96="","",'Nivel Setorial'!C96/'Nivel Setorial'!C$5*100)</x:f>
        <x:v>285.466729521247</x:v>
      </x:c>
      <x:c r="D96" s="22" t="n">
        <x:f>IF('Nivel Setorial'!D96="","",'Nivel Setorial'!D96/'Nivel Setorial'!D$5*100)</x:f>
        <x:v>490.6871203222074</x:v>
      </x:c>
      <x:c r="E96" s="22" t="n">
        <x:f>IF('Nivel Setorial'!E96="","",'Nivel Setorial'!E96/'Nivel Setorial'!E$49*100)</x:f>
        <x:v>328.4048995498404</x:v>
      </x:c>
      <x:c r="F96" s="22" t="n">
        <x:f>IF('Nivel Setorial'!F96="","",'Nivel Setorial'!F96/'Nivel Setorial'!F$5*100)</x:f>
        <x:v>234.36896530647397</x:v>
      </x:c>
      <x:c r="G96" s="22" t="n">
        <x:f>IF('Nivel Setorial'!G96="","",'Nivel Setorial'!G96/'Nivel Setorial'!G$5*100)</x:f>
        <x:v>203.8718394444023</x:v>
      </x:c>
      <x:c r="H96" s="22" t="n">
        <x:f>IF('Nivel Setorial'!H96="","",'Nivel Setorial'!H96/'Nivel Setorial'!H$17*100)</x:f>
        <x:v>279.6658643541423</x:v>
      </x:c>
      <x:c r="I96" s="22" t="n">
        <x:f>IF('Nivel Setorial'!I96="","",'Nivel Setorial'!I96/'Nivel Setorial'!I$5*100)</x:f>
        <x:v>32.46659435720225</x:v>
      </x:c>
      <x:c r="J96" s="22" t="n">
        <x:f>IF('Nivel Setorial'!J96="","",'Nivel Setorial'!J96/'Nivel Setorial'!J$25*100)</x:f>
        <x:v>216.65026984296506</x:v>
      </x:c>
      <x:c r="K96" s="22" t="n">
        <x:f>IF('Nivel Setorial'!K96="","",'Nivel Setorial'!K96/'Nivel Setorial'!K$5*100)</x:f>
        <x:v>73.35391880138317</x:v>
      </x:c>
      <x:c r="L96" s="22" t="n">
        <x:f>IF('Nivel Setorial'!L96="","",'Nivel Setorial'!L96/'Nivel Setorial'!L$5*100)</x:f>
        <x:v>70.60559739437485</x:v>
      </x:c>
      <x:c r="M96" s="22" t="n">
        <x:f>IF('Nivel Setorial'!M96="","",'Nivel Setorial'!M96/'Nivel Setorial'!M$5*100)</x:f>
        <x:v>287.65452293761683</x:v>
      </x:c>
      <x:c r="N96" s="22" t="n">
        <x:f>IF('Nivel Setorial'!N96="","",'Nivel Setorial'!N96/'Nivel Setorial'!N$5*100)</x:f>
        <x:v>172.07829973893269</x:v>
      </x:c>
      <x:c r="O96" s="22" t="n">
        <x:f>IF('Nivel Setorial'!O96="","",'Nivel Setorial'!O96/'Nivel Setorial'!O$5*100)</x:f>
        <x:v>234.4366958591304</x:v>
      </x:c>
      <x:c r="P96" s="22" t="n">
        <x:f>IF('Nivel Setorial'!P96="","",'Nivel Setorial'!P96/'Nivel Setorial'!P$5*100)</x:f>
        <x:v>90.33458194821613</x:v>
      </x:c>
      <x:c r="Q96" s="22" t="n">
        <x:f>IF('Nivel Setorial'!Q96="","",'Nivel Setorial'!Q96/'Nivel Setorial'!Q$5*100)</x:f>
        <x:v>164.6481677264092</x:v>
      </x:c>
      <x:c r="R96" s="22" t="n">
        <x:f>IF('Nivel Setorial'!R96="","",'Nivel Setorial'!R96/'Nivel Setorial'!R$5*100)</x:f>
        <x:v>124.32936769013581</x:v>
      </x:c>
    </x:row>
    <x:row r="97">
      <x:c r="A97" s="21" t="n">
        <x:f>'Nivel Setorial'!A97</x:f>
        <x:v>42979</x:v>
      </x:c>
      <x:c r="B97" s="22" t="str">
        <x:f>IF('Nivel Setorial'!B97="","",'Nivel Setorial'!B97/'Nivel Setorial'!B$45*100)</x:f>
      </x:c>
      <x:c r="C97" s="22" t="n">
        <x:f>IF('Nivel Setorial'!C97="","",'Nivel Setorial'!C97/'Nivel Setorial'!C$5*100)</x:f>
        <x:v>281.745187976384</x:v>
      </x:c>
      <x:c r="D97" s="22" t="n">
        <x:f>IF('Nivel Setorial'!D97="","",'Nivel Setorial'!D97/'Nivel Setorial'!D$5*100)</x:f>
        <x:v>489.50262387249086</x:v>
      </x:c>
      <x:c r="E97" s="22" t="n">
        <x:f>IF('Nivel Setorial'!E97="","",'Nivel Setorial'!E97/'Nivel Setorial'!E$49*100)</x:f>
        <x:v>330.89031029733616</x:v>
      </x:c>
      <x:c r="F97" s="22" t="n">
        <x:f>IF('Nivel Setorial'!F97="","",'Nivel Setorial'!F97/'Nivel Setorial'!F$5*100)</x:f>
        <x:v>235.86330162960226</x:v>
      </x:c>
      <x:c r="G97" s="22" t="n">
        <x:f>IF('Nivel Setorial'!G97="","",'Nivel Setorial'!G97/'Nivel Setorial'!G$5*100)</x:f>
        <x:v>207.80787240047144</x:v>
      </x:c>
      <x:c r="H97" s="22" t="n">
        <x:f>IF('Nivel Setorial'!H97="","",'Nivel Setorial'!H97/'Nivel Setorial'!H$17*100)</x:f>
        <x:v>275.3070928931429</x:v>
      </x:c>
      <x:c r="I97" s="22" t="n">
        <x:f>IF('Nivel Setorial'!I97="","",'Nivel Setorial'!I97/'Nivel Setorial'!I$5*100)</x:f>
        <x:v>31.306706353326273</x:v>
      </x:c>
      <x:c r="J97" s="22" t="n">
        <x:f>IF('Nivel Setorial'!J97="","",'Nivel Setorial'!J97/'Nivel Setorial'!J$25*100)</x:f>
        <x:v>215.2564977917878</x:v>
      </x:c>
      <x:c r="K97" s="22" t="n">
        <x:f>IF('Nivel Setorial'!K97="","",'Nivel Setorial'!K97/'Nivel Setorial'!K$5*100)</x:f>
        <x:v>76.36917460232475</x:v>
      </x:c>
      <x:c r="L97" s="22" t="n">
        <x:f>IF('Nivel Setorial'!L97="","",'Nivel Setorial'!L97/'Nivel Setorial'!L$5*100)</x:f>
        <x:v>68.88148233204517</x:v>
      </x:c>
      <x:c r="M97" s="22" t="n">
        <x:f>IF('Nivel Setorial'!M97="","",'Nivel Setorial'!M97/'Nivel Setorial'!M$5*100)</x:f>
        <x:v>329.57897875150695</x:v>
      </x:c>
      <x:c r="N97" s="22" t="n">
        <x:f>IF('Nivel Setorial'!N97="","",'Nivel Setorial'!N97/'Nivel Setorial'!N$5*100)</x:f>
        <x:v>175.6893868366161</x:v>
      </x:c>
      <x:c r="O97" s="22" t="n">
        <x:f>IF('Nivel Setorial'!O97="","",'Nivel Setorial'!O97/'Nivel Setorial'!O$5*100)</x:f>
        <x:v>237.57352306812112</x:v>
      </x:c>
      <x:c r="P97" s="22" t="n">
        <x:f>IF('Nivel Setorial'!P97="","",'Nivel Setorial'!P97/'Nivel Setorial'!P$5*100)</x:f>
        <x:v>90.20403446320772</x:v>
      </x:c>
      <x:c r="Q97" s="22" t="n">
        <x:f>IF('Nivel Setorial'!Q97="","",'Nivel Setorial'!Q97/'Nivel Setorial'!Q$5*100)</x:f>
        <x:v>166.43560035806948</x:v>
      </x:c>
      <x:c r="R97" s="22" t="n">
        <x:f>IF('Nivel Setorial'!R97="","",'Nivel Setorial'!R97/'Nivel Setorial'!R$5*100)</x:f>
        <x:v>134.62362354478395</x:v>
      </x:c>
    </x:row>
    <x:row r="98">
      <x:c r="A98" s="21" t="n">
        <x:f>'Nivel Setorial'!A98</x:f>
        <x:v>43009</x:v>
      </x:c>
      <x:c r="B98" s="22" t="str">
        <x:f>IF('Nivel Setorial'!B98="","",'Nivel Setorial'!B98/'Nivel Setorial'!B$45*100)</x:f>
      </x:c>
      <x:c r="C98" s="22" t="n">
        <x:f>IF('Nivel Setorial'!C98="","",'Nivel Setorial'!C98/'Nivel Setorial'!C$5*100)</x:f>
        <x:v>288.5096361573288</x:v>
      </x:c>
      <x:c r="D98" s="22" t="n">
        <x:f>IF('Nivel Setorial'!D98="","",'Nivel Setorial'!D98/'Nivel Setorial'!D$5*100)</x:f>
        <x:v>453.73424224321803</x:v>
      </x:c>
      <x:c r="E98" s="22" t="n">
        <x:f>IF('Nivel Setorial'!E98="","",'Nivel Setorial'!E98/'Nivel Setorial'!E$49*100)</x:f>
        <x:v>336.30740316933725</x:v>
      </x:c>
      <x:c r="F98" s="22" t="n">
        <x:f>IF('Nivel Setorial'!F98="","",'Nivel Setorial'!F98/'Nivel Setorial'!F$5*100)</x:f>
        <x:v>235.17068918060403</x:v>
      </x:c>
      <x:c r="G98" s="22" t="n">
        <x:f>IF('Nivel Setorial'!G98="","",'Nivel Setorial'!G98/'Nivel Setorial'!G$5*100)</x:f>
        <x:v>211.12697709239873</x:v>
      </x:c>
      <x:c r="H98" s="22" t="n">
        <x:f>IF('Nivel Setorial'!H98="","",'Nivel Setorial'!H98/'Nivel Setorial'!H$17*100)</x:f>
        <x:v>280.32035773718934</x:v>
      </x:c>
      <x:c r="I98" s="22" t="n">
        <x:f>IF('Nivel Setorial'!I98="","",'Nivel Setorial'!I98/'Nivel Setorial'!I$5*100)</x:f>
        <x:v>32.16639431726796</x:v>
      </x:c>
      <x:c r="J98" s="22" t="n">
        <x:f>IF('Nivel Setorial'!J98="","",'Nivel Setorial'!J98/'Nivel Setorial'!J$25*100)</x:f>
        <x:v>220.43584115610835</x:v>
      </x:c>
      <x:c r="K98" s="22" t="n">
        <x:f>IF('Nivel Setorial'!K98="","",'Nivel Setorial'!K98/'Nivel Setorial'!K$5*100)</x:f>
        <x:v>77.1948816235006</x:v>
      </x:c>
      <x:c r="L98" s="22" t="n">
        <x:f>IF('Nivel Setorial'!L98="","",'Nivel Setorial'!L98/'Nivel Setorial'!L$5*100)</x:f>
        <x:v>67.30206408623566</x:v>
      </x:c>
      <x:c r="M98" s="22" t="n">
        <x:f>IF('Nivel Setorial'!M98="","",'Nivel Setorial'!M98/'Nivel Setorial'!M$5*100)</x:f>
        <x:v>362.58447967447603</x:v>
      </x:c>
      <x:c r="N98" s="22" t="n">
        <x:f>IF('Nivel Setorial'!N98="","",'Nivel Setorial'!N98/'Nivel Setorial'!N$5*100)</x:f>
        <x:v>182.28970821732406</x:v>
      </x:c>
      <x:c r="O98" s="22" t="n">
        <x:f>IF('Nivel Setorial'!O98="","",'Nivel Setorial'!O98/'Nivel Setorial'!O$5*100)</x:f>
        <x:v>232.23176395070513</x:v>
      </x:c>
      <x:c r="P98" s="22" t="n">
        <x:f>IF('Nivel Setorial'!P98="","",'Nivel Setorial'!P98/'Nivel Setorial'!P$5*100)</x:f>
        <x:v>92.31448773109155</x:v>
      </x:c>
      <x:c r="Q98" s="22" t="n">
        <x:f>IF('Nivel Setorial'!Q98="","",'Nivel Setorial'!Q98/'Nivel Setorial'!Q$5*100)</x:f>
        <x:v>177.29783885481393</x:v>
      </x:c>
      <x:c r="R98" s="22" t="n">
        <x:f>IF('Nivel Setorial'!R98="","",'Nivel Setorial'!R98/'Nivel Setorial'!R$5*100)</x:f>
        <x:v>137.07016681365394</x:v>
      </x:c>
    </x:row>
    <x:row r="99">
      <x:c r="A99" s="21" t="n">
        <x:f>'Nivel Setorial'!A99</x:f>
        <x:v>43040</x:v>
      </x:c>
      <x:c r="B99" s="22" t="str">
        <x:f>IF('Nivel Setorial'!B99="","",'Nivel Setorial'!B99/'Nivel Setorial'!B$45*100)</x:f>
      </x:c>
      <x:c r="C99" s="22" t="n">
        <x:f>IF('Nivel Setorial'!C99="","",'Nivel Setorial'!C99/'Nivel Setorial'!C$5*100)</x:f>
        <x:v>289.73275402349645</x:v>
      </x:c>
      <x:c r="D99" s="22" t="n">
        <x:f>IF('Nivel Setorial'!D99="","",'Nivel Setorial'!D99/'Nivel Setorial'!D$5*100)</x:f>
        <x:v>440.259803258596</x:v>
      </x:c>
      <x:c r="E99" s="22" t="n">
        <x:f>IF('Nivel Setorial'!E99="","",'Nivel Setorial'!E99/'Nivel Setorial'!E$49*100)</x:f>
        <x:v>338.7311131461411</x:v>
      </x:c>
      <x:c r="F99" s="22" t="n">
        <x:f>IF('Nivel Setorial'!F99="","",'Nivel Setorial'!F99/'Nivel Setorial'!F$5*100)</x:f>
        <x:v>239.01506930110358</x:v>
      </x:c>
      <x:c r="G99" s="22" t="n">
        <x:f>IF('Nivel Setorial'!G99="","",'Nivel Setorial'!G99/'Nivel Setorial'!G$5*100)</x:f>
        <x:v>213.83900443229987</x:v>
      </x:c>
      <x:c r="H99" s="22" t="n">
        <x:f>IF('Nivel Setorial'!H99="","",'Nivel Setorial'!H99/'Nivel Setorial'!H$17*100)</x:f>
        <x:v>286.73792435400713</x:v>
      </x:c>
      <x:c r="I99" s="22" t="n">
        <x:f>IF('Nivel Setorial'!I99="","",'Nivel Setorial'!I99/'Nivel Setorial'!I$5*100)</x:f>
        <x:v>33.16221955889731</x:v>
      </x:c>
      <x:c r="J99" s="22" t="n">
        <x:f>IF('Nivel Setorial'!J99="","",'Nivel Setorial'!J99/'Nivel Setorial'!J$25*100)</x:f>
        <x:v>227.75197169812736</x:v>
      </x:c>
      <x:c r="K99" s="22" t="n">
        <x:f>IF('Nivel Setorial'!K99="","",'Nivel Setorial'!K99/'Nivel Setorial'!K$5*100)</x:f>
        <x:v>83.08899104048174</x:v>
      </x:c>
      <x:c r="L99" s="22" t="n">
        <x:f>IF('Nivel Setorial'!L99="","",'Nivel Setorial'!L99/'Nivel Setorial'!L$5*100)</x:f>
        <x:v>68.88254661409881</x:v>
      </x:c>
      <x:c r="M99" s="22" t="n">
        <x:f>IF('Nivel Setorial'!M99="","",'Nivel Setorial'!M99/'Nivel Setorial'!M$5*100)</x:f>
        <x:v>375.6574701596831</x:v>
      </x:c>
      <x:c r="N99" s="22" t="n">
        <x:f>IF('Nivel Setorial'!N99="","",'Nivel Setorial'!N99/'Nivel Setorial'!N$5*100)</x:f>
        <x:v>182.57970123152464</x:v>
      </x:c>
      <x:c r="O99" s="22" t="n">
        <x:f>IF('Nivel Setorial'!O99="","",'Nivel Setorial'!O99/'Nivel Setorial'!O$5*100)</x:f>
        <x:v>238.11369833881108</x:v>
      </x:c>
      <x:c r="P99" s="22" t="n">
        <x:f>IF('Nivel Setorial'!P99="","",'Nivel Setorial'!P99/'Nivel Setorial'!P$5*100)</x:f>
        <x:v>94.37557351632807</x:v>
      </x:c>
      <x:c r="Q99" s="22" t="n">
        <x:f>IF('Nivel Setorial'!Q99="","",'Nivel Setorial'!Q99/'Nivel Setorial'!Q$5*100)</x:f>
        <x:v>187.84613377085734</x:v>
      </x:c>
      <x:c r="R99" s="22" t="n">
        <x:f>IF('Nivel Setorial'!R99="","",'Nivel Setorial'!R99/'Nivel Setorial'!R$5*100)</x:f>
        <x:v>140.17991676251793</x:v>
      </x:c>
    </x:row>
    <x:row r="100">
      <x:c r="A100" s="21" t="n">
        <x:f>'Nivel Setorial'!A100</x:f>
        <x:v>43070</x:v>
      </x:c>
      <x:c r="B100" s="22" t="str">
        <x:f>IF('Nivel Setorial'!B100="","",'Nivel Setorial'!B100/'Nivel Setorial'!B$45*100)</x:f>
      </x:c>
      <x:c r="C100" s="22" t="n">
        <x:f>IF('Nivel Setorial'!C100="","",'Nivel Setorial'!C100/'Nivel Setorial'!C$5*100)</x:f>
        <x:v>289.3724493447084</x:v>
      </x:c>
      <x:c r="D100" s="22" t="n">
        <x:f>IF('Nivel Setorial'!D100="","",'Nivel Setorial'!D100/'Nivel Setorial'!D$5*100)</x:f>
        <x:v>412.1538523701029</x:v>
      </x:c>
      <x:c r="E100" s="22" t="n">
        <x:f>IF('Nivel Setorial'!E100="","",'Nivel Setorial'!E100/'Nivel Setorial'!E$49*100)</x:f>
        <x:v>346.0445237626295</x:v>
      </x:c>
      <x:c r="F100" s="22" t="n">
        <x:f>IF('Nivel Setorial'!F100="","",'Nivel Setorial'!F100/'Nivel Setorial'!F$5*100)</x:f>
        <x:v>242.73929558598567</x:v>
      </x:c>
      <x:c r="G100" s="22" t="n">
        <x:f>IF('Nivel Setorial'!G100="","",'Nivel Setorial'!G100/'Nivel Setorial'!G$5*100)</x:f>
        <x:v>220.7215174044558</x:v>
      </x:c>
      <x:c r="H100" s="22" t="n">
        <x:f>IF('Nivel Setorial'!H100="","",'Nivel Setorial'!H100/'Nivel Setorial'!H$17*100)</x:f>
        <x:v>368.60006717474926</x:v>
      </x:c>
      <x:c r="I100" s="22" t="n">
        <x:f>IF('Nivel Setorial'!I100="","",'Nivel Setorial'!I100/'Nivel Setorial'!I$5*100)</x:f>
        <x:v>34.6129375307114</x:v>
      </x:c>
      <x:c r="J100" s="22" t="n">
        <x:f>IF('Nivel Setorial'!J100="","",'Nivel Setorial'!J100/'Nivel Setorial'!J$25*100)</x:f>
        <x:v>288.249736259764</x:v>
      </x:c>
      <x:c r="K100" s="22" t="n">
        <x:f>IF('Nivel Setorial'!K100="","",'Nivel Setorial'!K100/'Nivel Setorial'!K$5*100)</x:f>
        <x:v>90.58111010210688</x:v>
      </x:c>
      <x:c r="L100" s="22" t="n">
        <x:f>IF('Nivel Setorial'!L100="","",'Nivel Setorial'!L100/'Nivel Setorial'!L$5*100)</x:f>
        <x:v>74.1336402496957</x:v>
      </x:c>
      <x:c r="M100" s="22" t="n">
        <x:f>IF('Nivel Setorial'!M100="","",'Nivel Setorial'!M100/'Nivel Setorial'!M$5*100)</x:f>
        <x:v>394.3721096954188</x:v>
      </x:c>
      <x:c r="N100" s="22" t="n">
        <x:f>IF('Nivel Setorial'!N100="","",'Nivel Setorial'!N100/'Nivel Setorial'!N$5*100)</x:f>
        <x:v>243.04611005844947</x:v>
      </x:c>
      <x:c r="O100" s="22" t="n">
        <x:f>IF('Nivel Setorial'!O100="","",'Nivel Setorial'!O100/'Nivel Setorial'!O$5*100)</x:f>
        <x:v>236.3051266912004</x:v>
      </x:c>
      <x:c r="P100" s="22" t="n">
        <x:f>IF('Nivel Setorial'!P100="","",'Nivel Setorial'!P100/'Nivel Setorial'!P$5*100)</x:f>
        <x:v>95.822108543357</x:v>
      </x:c>
      <x:c r="Q100" s="22" t="n">
        <x:f>IF('Nivel Setorial'!Q100="","",'Nivel Setorial'!Q100/'Nivel Setorial'!Q$5*100)</x:f>
        <x:v>193.75626735807506</x:v>
      </x:c>
      <x:c r="R100" s="22" t="n">
        <x:f>IF('Nivel Setorial'!R100="","",'Nivel Setorial'!R100/'Nivel Setorial'!R$5*100)</x:f>
        <x:v>142.5366554513672</x:v>
      </x:c>
    </x:row>
    <x:row r="101">
      <x:c r="A101" s="21" t="n">
        <x:f>'Nivel Setorial'!A101</x:f>
        <x:v>43101</x:v>
      </x:c>
      <x:c r="B101" s="22" t="str">
        <x:f>IF('Nivel Setorial'!B101="","",'Nivel Setorial'!B101/'Nivel Setorial'!B$45*100)</x:f>
      </x:c>
      <x:c r="C101" s="22" t="n">
        <x:f>IF('Nivel Setorial'!C101="","",'Nivel Setorial'!C101/'Nivel Setorial'!C$5*100)</x:f>
        <x:v>296.7889203546011</x:v>
      </x:c>
      <x:c r="D101" s="22" t="n">
        <x:f>IF('Nivel Setorial'!D101="","",'Nivel Setorial'!D101/'Nivel Setorial'!D$5*100)</x:f>
        <x:v>422.6322371427132</x:v>
      </x:c>
      <x:c r="E101" s="22" t="n">
        <x:f>IF('Nivel Setorial'!E101="","",'Nivel Setorial'!E101/'Nivel Setorial'!E$49*100)</x:f>
        <x:v>348.6734944370232</x:v>
      </x:c>
      <x:c r="F101" s="22" t="n">
        <x:f>IF('Nivel Setorial'!F101="","",'Nivel Setorial'!F101/'Nivel Setorial'!F$5*100)</x:f>
        <x:v>247.81399741160635</x:v>
      </x:c>
      <x:c r="G101" s="22" t="n">
        <x:f>IF('Nivel Setorial'!G101="","",'Nivel Setorial'!G101/'Nivel Setorial'!G$5*100)</x:f>
        <x:v>223.97427554070234</x:v>
      </x:c>
      <x:c r="H101" s="22" t="n">
        <x:f>IF('Nivel Setorial'!H101="","",'Nivel Setorial'!H101/'Nivel Setorial'!H$17*100)</x:f>
        <x:v>369.6538892299128</x:v>
      </x:c>
      <x:c r="I101" s="22" t="n">
        <x:f>IF('Nivel Setorial'!I101="","",'Nivel Setorial'!I101/'Nivel Setorial'!I$5*100)</x:f>
        <x:v>35.5565399423096</x:v>
      </x:c>
      <x:c r="J101" s="22" t="n">
        <x:f>IF('Nivel Setorial'!J101="","",'Nivel Setorial'!J101/'Nivel Setorial'!J$25*100)</x:f>
        <x:v>292.30974085640617</x:v>
      </x:c>
      <x:c r="K101" s="22" t="n">
        <x:f>IF('Nivel Setorial'!K101="","",'Nivel Setorial'!K101/'Nivel Setorial'!K$5*100)</x:f>
        <x:v>97.23612311535884</x:v>
      </x:c>
      <x:c r="L101" s="22" t="n">
        <x:f>IF('Nivel Setorial'!L101="","",'Nivel Setorial'!L101/'Nivel Setorial'!L$5*100)</x:f>
        <x:v>81.54912388254631</x:v>
      </x:c>
      <x:c r="M101" s="22" t="n">
        <x:f>IF('Nivel Setorial'!M101="","",'Nivel Setorial'!M101/'Nivel Setorial'!M$5*100)</x:f>
        <x:v>473.1988511674593</x:v>
      </x:c>
      <x:c r="N101" s="22" t="n">
        <x:f>IF('Nivel Setorial'!N101="","",'Nivel Setorial'!N101/'Nivel Setorial'!N$5*100)</x:f>
        <x:v>213.66186569245536</x:v>
      </x:c>
      <x:c r="O101" s="22" t="n">
        <x:f>IF('Nivel Setorial'!O101="","",'Nivel Setorial'!O101/'Nivel Setorial'!O$5*100)</x:f>
        <x:v>321.075533782792</x:v>
      </x:c>
      <x:c r="P101" s="22" t="n">
        <x:f>IF('Nivel Setorial'!P101="","",'Nivel Setorial'!P101/'Nivel Setorial'!P$5*100)</x:f>
        <x:v>97.34137254511785</x:v>
      </x:c>
      <x:c r="Q101" s="22" t="n">
        <x:f>IF('Nivel Setorial'!Q101="","",'Nivel Setorial'!Q101/'Nivel Setorial'!Q$5*100)</x:f>
        <x:v>202.6867832977937</x:v>
      </x:c>
      <x:c r="R101" s="22" t="n">
        <x:f>IF('Nivel Setorial'!R101="","",'Nivel Setorial'!R101/'Nivel Setorial'!R$5*100)</x:f>
        <x:v>132.12440283004082</x:v>
      </x:c>
    </x:row>
    <x:row r="102">
      <x:c r="A102" s="21" t="n">
        <x:f>'Nivel Setorial'!A102</x:f>
        <x:v>43132</x:v>
      </x:c>
      <x:c r="B102" s="22" t="str">
        <x:f>IF('Nivel Setorial'!B102="","",'Nivel Setorial'!B102/'Nivel Setorial'!B$45*100)</x:f>
      </x:c>
      <x:c r="C102" s="22" t="n">
        <x:f>IF('Nivel Setorial'!C102="","",'Nivel Setorial'!C102/'Nivel Setorial'!C$5*100)</x:f>
        <x:v>310.79278899653383</x:v>
      </x:c>
      <x:c r="D102" s="22" t="n">
        <x:f>IF('Nivel Setorial'!D102="","",'Nivel Setorial'!D102/'Nivel Setorial'!D$5*100)</x:f>
        <x:v>436.4228501576496</x:v>
      </x:c>
      <x:c r="E102" s="22" t="n">
        <x:f>IF('Nivel Setorial'!E102="","",'Nivel Setorial'!E102/'Nivel Setorial'!E$49*100)</x:f>
        <x:v>345.889785010563</x:v>
      </x:c>
      <x:c r="F102" s="22" t="n">
        <x:f>IF('Nivel Setorial'!F102="","",'Nivel Setorial'!F102/'Nivel Setorial'!F$5*100)</x:f>
        <x:v>249.61197732742275</x:v>
      </x:c>
      <x:c r="G102" s="22" t="n">
        <x:f>IF('Nivel Setorial'!G102="","",'Nivel Setorial'!G102/'Nivel Setorial'!G$5*100)</x:f>
        <x:v>221.45344471432438</x:v>
      </x:c>
      <x:c r="H102" s="22" t="n">
        <x:f>IF('Nivel Setorial'!H102="","",'Nivel Setorial'!H102/'Nivel Setorial'!H$17*100)</x:f>
        <x:v>373.9625824208007</x:v>
      </x:c>
      <x:c r="I102" s="22" t="n">
        <x:f>IF('Nivel Setorial'!I102="","",'Nivel Setorial'!I102/'Nivel Setorial'!I$5*100)</x:f>
        <x:v>36.39066683924912</x:v>
      </x:c>
      <x:c r="J102" s="22" t="n">
        <x:f>IF('Nivel Setorial'!J102="","",'Nivel Setorial'!J102/'Nivel Setorial'!J$25*100)</x:f>
        <x:v>292.92166556761754</x:v>
      </x:c>
      <x:c r="K102" s="22" t="n">
        <x:f>IF('Nivel Setorial'!K102="","",'Nivel Setorial'!K102/'Nivel Setorial'!K$5*100)</x:f>
        <x:v>100.57646383115765</x:v>
      </x:c>
      <x:c r="L102" s="22" t="n">
        <x:f>IF('Nivel Setorial'!L102="","",'Nivel Setorial'!L102/'Nivel Setorial'!L$5*100)</x:f>
        <x:v>93.3413449541639</x:v>
      </x:c>
      <x:c r="M102" s="22" t="n">
        <x:f>IF('Nivel Setorial'!M102="","",'Nivel Setorial'!M102/'Nivel Setorial'!M$5*100)</x:f>
        <x:v>455.20124471984946</x:v>
      </x:c>
      <x:c r="N102" s="22" t="n">
        <x:f>IF('Nivel Setorial'!N102="","",'Nivel Setorial'!N102/'Nivel Setorial'!N$5*100)</x:f>
        <x:v>216.35121475316538</x:v>
      </x:c>
      <x:c r="O102" s="22" t="n">
        <x:f>IF('Nivel Setorial'!O102="","",'Nivel Setorial'!O102/'Nivel Setorial'!O$5*100)</x:f>
        <x:v>316.0596430451478</x:v>
      </x:c>
      <x:c r="P102" s="22" t="n">
        <x:f>IF('Nivel Setorial'!P102="","",'Nivel Setorial'!P102/'Nivel Setorial'!P$5*100)</x:f>
        <x:v>99.25456719870978</x:v>
      </x:c>
      <x:c r="Q102" s="22" t="n">
        <x:f>IF('Nivel Setorial'!Q102="","",'Nivel Setorial'!Q102/'Nivel Setorial'!Q$5*100)</x:f>
        <x:v>195.65512955989774</x:v>
      </x:c>
      <x:c r="R102" s="22" t="n">
        <x:f>IF('Nivel Setorial'!R102="","",'Nivel Setorial'!R102/'Nivel Setorial'!R$5*100)</x:f>
        <x:v>134.26024887979807</x:v>
      </x:c>
    </x:row>
    <x:row r="103">
      <x:c r="A103" s="21" t="n">
        <x:f>'Nivel Setorial'!A103</x:f>
        <x:v>43160</x:v>
      </x:c>
      <x:c r="B103" s="22" t="str">
        <x:f>IF('Nivel Setorial'!B103="","",'Nivel Setorial'!B103/'Nivel Setorial'!B$45*100)</x:f>
      </x:c>
      <x:c r="C103" s="22" t="n">
        <x:f>IF('Nivel Setorial'!C103="","",'Nivel Setorial'!C103/'Nivel Setorial'!C$5*100)</x:f>
        <x:v>315.51261016223134</x:v>
      </x:c>
      <x:c r="D103" s="22" t="n">
        <x:f>IF('Nivel Setorial'!D103="","",'Nivel Setorial'!D103/'Nivel Setorial'!D$5*100)</x:f>
        <x:v>446.69355998577157</x:v>
      </x:c>
      <x:c r="E103" s="22" t="n">
        <x:f>IF('Nivel Setorial'!E103="","",'Nivel Setorial'!E103/'Nivel Setorial'!E$49*100)</x:f>
        <x:v>348.9013837129628</x:v>
      </x:c>
      <x:c r="F103" s="22" t="n">
        <x:f>IF('Nivel Setorial'!F103="","",'Nivel Setorial'!F103/'Nivel Setorial'!F$5*100)</x:f>
        <x:v>259.0802199072445</x:v>
      </x:c>
      <x:c r="G103" s="22" t="n">
        <x:f>IF('Nivel Setorial'!G103="","",'Nivel Setorial'!G103/'Nivel Setorial'!G$5*100)</x:f>
        <x:v>221.2724227795687</x:v>
      </x:c>
      <x:c r="H103" s="22" t="n">
        <x:f>IF('Nivel Setorial'!H103="","",'Nivel Setorial'!H103/'Nivel Setorial'!H$17*100)</x:f>
        <x:v>371.06385336559396</x:v>
      </x:c>
      <x:c r="I103" s="22" t="n">
        <x:f>IF('Nivel Setorial'!I103="","",'Nivel Setorial'!I103/'Nivel Setorial'!I$5*100)</x:f>
        <x:v>37.634619510932446</x:v>
      </x:c>
      <x:c r="J103" s="22" t="n">
        <x:f>IF('Nivel Setorial'!J103="","",'Nivel Setorial'!J103/'Nivel Setorial'!J$25*100)</x:f>
        <x:v>292.69037947138423</x:v>
      </x:c>
      <x:c r="K103" s="22" t="n">
        <x:f>IF('Nivel Setorial'!K103="","",'Nivel Setorial'!K103/'Nivel Setorial'!K$5*100)</x:f>
        <x:v>109.81146559104454</x:v>
      </x:c>
      <x:c r="L103" s="22" t="n">
        <x:f>IF('Nivel Setorial'!L103="","",'Nivel Setorial'!L103/'Nivel Setorial'!L$5*100)</x:f>
        <x:v>97.80149508599226</x:v>
      </x:c>
      <x:c r="M103" s="22" t="n">
        <x:f>IF('Nivel Setorial'!M103="","",'Nivel Setorial'!M103/'Nivel Setorial'!M$5*100)</x:f>
        <x:v>483.1590560129355</x:v>
      </x:c>
      <x:c r="N103" s="22" t="n">
        <x:f>IF('Nivel Setorial'!N103="","",'Nivel Setorial'!N103/'Nivel Setorial'!N$5*100)</x:f>
        <x:v>221.83763292886835</x:v>
      </x:c>
      <x:c r="O103" s="22" t="n">
        <x:f>IF('Nivel Setorial'!O103="","",'Nivel Setorial'!O103/'Nivel Setorial'!O$5*100)</x:f>
        <x:v>325.76664153054224</x:v>
      </x:c>
      <x:c r="P103" s="22" t="n">
        <x:f>IF('Nivel Setorial'!P103="","",'Nivel Setorial'!P103/'Nivel Setorial'!P$5*100)</x:f>
        <x:v>100.36404708064548</x:v>
      </x:c>
      <x:c r="Q103" s="22" t="n">
        <x:f>IF('Nivel Setorial'!Q103="","",'Nivel Setorial'!Q103/'Nivel Setorial'!Q$5*100)</x:f>
        <x:v>197.51343399114205</x:v>
      </x:c>
      <x:c r="R103" s="22" t="n">
        <x:f>IF('Nivel Setorial'!R103="","",'Nivel Setorial'!R103/'Nivel Setorial'!R$5*100)</x:f>
        <x:v>114.95398139088992</x:v>
      </x:c>
    </x:row>
    <x:row r="104">
      <x:c r="A104" s="21" t="n">
        <x:f>'Nivel Setorial'!A104</x:f>
        <x:v>43191</x:v>
      </x:c>
      <x:c r="B104" s="22" t="str">
        <x:f>IF('Nivel Setorial'!B104="","",'Nivel Setorial'!B104/'Nivel Setorial'!B$45*100)</x:f>
      </x:c>
      <x:c r="C104" s="22" t="n">
        <x:f>IF('Nivel Setorial'!C104="","",'Nivel Setorial'!C104/'Nivel Setorial'!C$5*100)</x:f>
        <x:v>319.5037239262059</x:v>
      </x:c>
      <x:c r="D104" s="22" t="n">
        <x:f>IF('Nivel Setorial'!D104="","",'Nivel Setorial'!D104/'Nivel Setorial'!D$5*100)</x:f>
        <x:v>457.0731477612807</x:v>
      </x:c>
      <x:c r="E104" s="22" t="n">
        <x:f>IF('Nivel Setorial'!E104="","",'Nivel Setorial'!E104/'Nivel Setorial'!E$49*100)</x:f>
        <x:v>343.0602444534124</x:v>
      </x:c>
      <x:c r="F104" s="22" t="n">
        <x:f>IF('Nivel Setorial'!F104="","",'Nivel Setorial'!F104/'Nivel Setorial'!F$5*100)</x:f>
        <x:v>258.4646276259389</x:v>
      </x:c>
      <x:c r="G104" s="22" t="n">
        <x:f>IF('Nivel Setorial'!G104="","",'Nivel Setorial'!G104/'Nivel Setorial'!G$5*100)</x:f>
        <x:v>220.6792638040808</x:v>
      </x:c>
      <x:c r="H104" s="22" t="n">
        <x:f>IF('Nivel Setorial'!H104="","",'Nivel Setorial'!H104/'Nivel Setorial'!H$17*100)</x:f>
        <x:v>374.6648602725386</x:v>
      </x:c>
      <x:c r="I104" s="22" t="n">
        <x:f>IF('Nivel Setorial'!I104="","",'Nivel Setorial'!I104/'Nivel Setorial'!I$5*100)</x:f>
        <x:v>38.416376451232075</x:v>
      </x:c>
      <x:c r="J104" s="22" t="n">
        <x:f>IF('Nivel Setorial'!J104="","",'Nivel Setorial'!J104/'Nivel Setorial'!J$25*100)</x:f>
        <x:v>294.05748089619277</x:v>
      </x:c>
      <x:c r="K104" s="22" t="n">
        <x:f>IF('Nivel Setorial'!K104="","",'Nivel Setorial'!K104/'Nivel Setorial'!K$5*100)</x:f>
        <x:v>104.69067497977261</x:v>
      </x:c>
      <x:c r="L104" s="22" t="n">
        <x:f>IF('Nivel Setorial'!L104="","",'Nivel Setorial'!L104/'Nivel Setorial'!L$5*100)</x:f>
        <x:v>103.7625360788577</x:v>
      </x:c>
      <x:c r="M104" s="22" t="n">
        <x:f>IF('Nivel Setorial'!M104="","",'Nivel Setorial'!M104/'Nivel Setorial'!M$5*100)</x:f>
        <x:v>564.6210148139718</x:v>
      </x:c>
      <x:c r="N104" s="22" t="n">
        <x:f>IF('Nivel Setorial'!N104="","",'Nivel Setorial'!N104/'Nivel Setorial'!N$5*100)</x:f>
        <x:v>225.53738002894744</x:v>
      </x:c>
      <x:c r="O104" s="22" t="n">
        <x:f>IF('Nivel Setorial'!O104="","",'Nivel Setorial'!O104/'Nivel Setorial'!O$5*100)</x:f>
        <x:v>328.66732746323873</x:v>
      </x:c>
      <x:c r="P104" s="22" t="n">
        <x:f>IF('Nivel Setorial'!P104="","",'Nivel Setorial'!P104/'Nivel Setorial'!P$5*100)</x:f>
        <x:v>99.0474612293902</x:v>
      </x:c>
      <x:c r="Q104" s="22" t="n">
        <x:f>IF('Nivel Setorial'!Q104="","",'Nivel Setorial'!Q104/'Nivel Setorial'!Q$5*100)</x:f>
        <x:v>204.2257834608856</x:v>
      </x:c>
      <x:c r="R104" s="22" t="n">
        <x:f>IF('Nivel Setorial'!R104="","",'Nivel Setorial'!R104/'Nivel Setorial'!R$5*100)</x:f>
        <x:v>120.85521765290154</x:v>
      </x:c>
    </x:row>
    <x:row r="105">
      <x:c r="A105" s="21" t="n">
        <x:f>'Nivel Setorial'!A105</x:f>
        <x:v>43221</x:v>
      </x:c>
      <x:c r="B105" s="22" t="str">
        <x:f>IF('Nivel Setorial'!B105="","",'Nivel Setorial'!B105/'Nivel Setorial'!B$45*100)</x:f>
      </x:c>
      <x:c r="C105" s="22" t="n">
        <x:f>IF('Nivel Setorial'!C105="","",'Nivel Setorial'!C105/'Nivel Setorial'!C$5*100)</x:f>
        <x:v>326.1630247584052</x:v>
      </x:c>
      <x:c r="D105" s="22" t="n">
        <x:f>IF('Nivel Setorial'!D105="","",'Nivel Setorial'!D105/'Nivel Setorial'!D$5*100)</x:f>
        <x:v>469.7483480503452</x:v>
      </x:c>
      <x:c r="E105" s="22" t="n">
        <x:f>IF('Nivel Setorial'!E105="","",'Nivel Setorial'!E105/'Nivel Setorial'!E$49*100)</x:f>
        <x:v>341.17657882970065</x:v>
      </x:c>
      <x:c r="F105" s="22" t="n">
        <x:f>IF('Nivel Setorial'!F105="","",'Nivel Setorial'!F105/'Nivel Setorial'!F$5*100)</x:f>
        <x:v>259.7213333365058</x:v>
      </x:c>
      <x:c r="G105" s="22" t="n">
        <x:f>IF('Nivel Setorial'!G105="","",'Nivel Setorial'!G105/'Nivel Setorial'!G$5*100)</x:f>
        <x:v>216.49297870937434</x:v>
      </x:c>
      <x:c r="H105" s="22" t="n">
        <x:f>IF('Nivel Setorial'!H105="","",'Nivel Setorial'!H105/'Nivel Setorial'!H$17*100)</x:f>
        <x:v>381.6922381212477</x:v>
      </x:c>
      <x:c r="I105" s="22" t="n">
        <x:f>IF('Nivel Setorial'!I105="","",'Nivel Setorial'!I105/'Nivel Setorial'!I$5*100)</x:f>
        <x:v>38.41681401994079</x:v>
      </x:c>
      <x:c r="J105" s="22" t="n">
        <x:f>IF('Nivel Setorial'!J105="","",'Nivel Setorial'!J105/'Nivel Setorial'!J$25*100)</x:f>
        <x:v>302.6691864372824</x:v>
      </x:c>
      <x:c r="K105" s="22" t="n">
        <x:f>IF('Nivel Setorial'!K105="","",'Nivel Setorial'!K105/'Nivel Setorial'!K$5*100)</x:f>
        <x:v>110.8288801915341</x:v>
      </x:c>
      <x:c r="L105" s="22" t="n">
        <x:f>IF('Nivel Setorial'!L105="","",'Nivel Setorial'!L105/'Nivel Setorial'!L$5*100)</x:f>
        <x:v>113.56146387608655</x:v>
      </x:c>
      <x:c r="M105" s="22" t="n">
        <x:f>IF('Nivel Setorial'!M105="","",'Nivel Setorial'!M105/'Nivel Setorial'!M$5*100)</x:f>
        <x:v>646.4327447138713</x:v>
      </x:c>
      <x:c r="N105" s="22" t="n">
        <x:f>IF('Nivel Setorial'!N105="","",'Nivel Setorial'!N105/'Nivel Setorial'!N$5*100)</x:f>
        <x:v>248.2340150241836</x:v>
      </x:c>
      <x:c r="O105" s="22" t="n">
        <x:f>IF('Nivel Setorial'!O105="","",'Nivel Setorial'!O105/'Nivel Setorial'!O$5*100)</x:f>
        <x:v>315.6028412756741</x:v>
      </x:c>
      <x:c r="P105" s="22" t="n">
        <x:f>IF('Nivel Setorial'!P105="","",'Nivel Setorial'!P105/'Nivel Setorial'!P$5*100)</x:f>
        <x:v>100.34856114204902</x:v>
      </x:c>
      <x:c r="Q105" s="22" t="n">
        <x:f>IF('Nivel Setorial'!Q105="","",'Nivel Setorial'!Q105/'Nivel Setorial'!Q$5*100)</x:f>
        <x:v>221.2005839893463</x:v>
      </x:c>
      <x:c r="R105" s="22" t="n">
        <x:f>IF('Nivel Setorial'!R105="","",'Nivel Setorial'!R105/'Nivel Setorial'!R$5*100)</x:f>
        <x:v>159.51273221643623</x:v>
      </x:c>
    </x:row>
    <x:row r="106">
      <x:c r="A106" s="21" t="n">
        <x:f>'Nivel Setorial'!A106</x:f>
        <x:v>43252</x:v>
      </x:c>
      <x:c r="B106" s="22" t="str">
        <x:f>IF('Nivel Setorial'!B106="","",'Nivel Setorial'!B106/'Nivel Setorial'!B$45*100)</x:f>
      </x:c>
      <x:c r="C106" s="22" t="n">
        <x:f>IF('Nivel Setorial'!C106="","",'Nivel Setorial'!C106/'Nivel Setorial'!C$5*100)</x:f>
        <x:v>326.93958027398804</x:v>
      </x:c>
      <x:c r="D106" s="22" t="n">
        <x:f>IF('Nivel Setorial'!D106="","",'Nivel Setorial'!D106/'Nivel Setorial'!D$5*100)</x:f>
        <x:v>482.9192985216234</x:v>
      </x:c>
      <x:c r="E106" s="22" t="n">
        <x:f>IF('Nivel Setorial'!E106="","",'Nivel Setorial'!E106/'Nivel Setorial'!E$49*100)</x:f>
        <x:v>329.1727346278783</x:v>
      </x:c>
      <x:c r="F106" s="22" t="n">
        <x:f>IF('Nivel Setorial'!F106="","",'Nivel Setorial'!F106/'Nivel Setorial'!F$5*100)</x:f>
        <x:v>258.8260854604359</x:v>
      </x:c>
      <x:c r="G106" s="22" t="n">
        <x:f>IF('Nivel Setorial'!G106="","",'Nivel Setorial'!G106/'Nivel Setorial'!G$5*100)</x:f>
        <x:v>209.16091771234</x:v>
      </x:c>
      <x:c r="H106" s="22" t="n">
        <x:f>IF('Nivel Setorial'!H106="","",'Nivel Setorial'!H106/'Nivel Setorial'!H$17*100)</x:f>
        <x:v>383.53040099604414</x:v>
      </x:c>
      <x:c r="I106" s="22" t="n">
        <x:f>IF('Nivel Setorial'!I106="","",'Nivel Setorial'!I106/'Nivel Setorial'!I$5*100)</x:f>
        <x:v>38.54966002290956</x:v>
      </x:c>
      <x:c r="J106" s="22" t="n">
        <x:f>IF('Nivel Setorial'!J106="","",'Nivel Setorial'!J106/'Nivel Setorial'!J$25*100)</x:f>
        <x:v>308.6615783219376</x:v>
      </x:c>
      <x:c r="K106" s="22" t="n">
        <x:f>IF('Nivel Setorial'!K106="","",'Nivel Setorial'!K106/'Nivel Setorial'!K$5*100)</x:f>
        <x:v>114.84606923457888</x:v>
      </x:c>
      <x:c r="L106" s="22" t="n">
        <x:f>IF('Nivel Setorial'!L106="","",'Nivel Setorial'!L106/'Nivel Setorial'!L$5*100)</x:f>
        <x:v>115.98363547742339</x:v>
      </x:c>
      <x:c r="M106" s="22" t="n">
        <x:f>IF('Nivel Setorial'!M106="","",'Nivel Setorial'!M106/'Nivel Setorial'!M$5*100)</x:f>
        <x:v>696.1769689755039</x:v>
      </x:c>
      <x:c r="N106" s="22" t="n">
        <x:f>IF('Nivel Setorial'!N106="","",'Nivel Setorial'!N106/'Nivel Setorial'!N$5*100)</x:f>
        <x:v>249.0715725007007</x:v>
      </x:c>
      <x:c r="O106" s="22" t="n">
        <x:f>IF('Nivel Setorial'!O106="","",'Nivel Setorial'!O106/'Nivel Setorial'!O$5*100)</x:f>
        <x:v>301.5413659772984</x:v>
      </x:c>
      <x:c r="P106" s="22" t="n">
        <x:f>IF('Nivel Setorial'!P106="","",'Nivel Setorial'!P106/'Nivel Setorial'!P$5*100)</x:f>
        <x:v>101.71937042797721</x:v>
      </x:c>
      <x:c r="Q106" s="22" t="n">
        <x:f>IF('Nivel Setorial'!Q106="","",'Nivel Setorial'!Q106/'Nivel Setorial'!Q$5*100)</x:f>
        <x:v>222.20102902678966</x:v>
      </x:c>
      <x:c r="R106" s="22" t="n">
        <x:f>IF('Nivel Setorial'!R106="","",'Nivel Setorial'!R106/'Nivel Setorial'!R$5*100)</x:f>
        <x:v>145.48463798753454</x:v>
      </x:c>
    </x:row>
    <x:row r="107">
      <x:c r="A107" s="21" t="n">
        <x:f>'Nivel Setorial'!A107</x:f>
        <x:v>43282</x:v>
      </x:c>
      <x:c r="B107" s="22" t="str">
        <x:f>IF('Nivel Setorial'!B107="","",'Nivel Setorial'!B107/'Nivel Setorial'!B$45*100)</x:f>
      </x:c>
      <x:c r="C107" s="22" t="n">
        <x:f>IF('Nivel Setorial'!C107="","",'Nivel Setorial'!C107/'Nivel Setorial'!C$5*100)</x:f>
        <x:v>331.77169701020273</x:v>
      </x:c>
      <x:c r="D107" s="22" t="n">
        <x:f>IF('Nivel Setorial'!D107="","",'Nivel Setorial'!D107/'Nivel Setorial'!D$5*100)</x:f>
        <x:v>505.5854472310511</x:v>
      </x:c>
      <x:c r="E107" s="22" t="n">
        <x:f>IF('Nivel Setorial'!E107="","",'Nivel Setorial'!E107/'Nivel Setorial'!E$49*100)</x:f>
        <x:v>333.06718153112956</x:v>
      </x:c>
      <x:c r="F107" s="22" t="n">
        <x:f>IF('Nivel Setorial'!F107="","",'Nivel Setorial'!F107/'Nivel Setorial'!F$5*100)</x:f>
        <x:v>269.43788598302586</x:v>
      </x:c>
      <x:c r="G107" s="22" t="n">
        <x:f>IF('Nivel Setorial'!G107="","",'Nivel Setorial'!G107/'Nivel Setorial'!G$5*100)</x:f>
        <x:v>207.59101797653278</x:v>
      </x:c>
      <x:c r="H107" s="22" t="n">
        <x:f>IF('Nivel Setorial'!H107="","",'Nivel Setorial'!H107/'Nivel Setorial'!H$17*100)</x:f>
        <x:v>386.3394922814081</x:v>
      </x:c>
      <x:c r="I107" s="22" t="n">
        <x:f>IF('Nivel Setorial'!I107="","",'Nivel Setorial'!I107/'Nivel Setorial'!I$5*100)</x:f>
        <x:v>39.39075167432551</x:v>
      </x:c>
      <x:c r="J107" s="22" t="n">
        <x:f>IF('Nivel Setorial'!J107="","",'Nivel Setorial'!J107/'Nivel Setorial'!J$25*100)</x:f>
        <x:v>308.54897166320865</x:v>
      </x:c>
      <x:c r="K107" s="22" t="n">
        <x:f>IF('Nivel Setorial'!K107="","",'Nivel Setorial'!K107/'Nivel Setorial'!K$5*100)</x:f>
        <x:v>119.92389269335845</x:v>
      </x:c>
      <x:c r="L107" s="22" t="n">
        <x:f>IF('Nivel Setorial'!L107="","",'Nivel Setorial'!L107/'Nivel Setorial'!L$5*100)</x:f>
        <x:v>120.48789043222156</x:v>
      </x:c>
      <x:c r="M107" s="22" t="n">
        <x:f>IF('Nivel Setorial'!M107="","",'Nivel Setorial'!M107/'Nivel Setorial'!M$5*100)</x:f>
        <x:v>671.3932912736061</x:v>
      </x:c>
      <x:c r="N107" s="22" t="n">
        <x:f>IF('Nivel Setorial'!N107="","",'Nivel Setorial'!N107/'Nivel Setorial'!N$5*100)</x:f>
        <x:v>252.47425507521893</x:v>
      </x:c>
      <x:c r="O107" s="22" t="n">
        <x:f>IF('Nivel Setorial'!O107="","",'Nivel Setorial'!O107/'Nivel Setorial'!O$5*100)</x:f>
        <x:v>303.00408634682213</x:v>
      </x:c>
      <x:c r="P107" s="22" t="n">
        <x:f>IF('Nivel Setorial'!P107="","",'Nivel Setorial'!P107/'Nivel Setorial'!P$5*100)</x:f>
        <x:v>103.94772844231079</x:v>
      </x:c>
      <x:c r="Q107" s="22" t="n">
        <x:f>IF('Nivel Setorial'!Q107="","",'Nivel Setorial'!Q107/'Nivel Setorial'!Q$5*100)</x:f>
        <x:v>219.57738765456597</x:v>
      </x:c>
      <x:c r="R107" s="22" t="n">
        <x:f>IF('Nivel Setorial'!R107="","",'Nivel Setorial'!R107/'Nivel Setorial'!R$5*100)</x:f>
        <x:v>147.9792016472528</x:v>
      </x:c>
    </x:row>
    <x:row r="108">
      <x:c r="A108" s="21" t="n">
        <x:f>'Nivel Setorial'!A108</x:f>
        <x:v>43313</x:v>
      </x:c>
      <x:c r="B108" s="22" t="str">
        <x:f>IF('Nivel Setorial'!B108="","",'Nivel Setorial'!B108/'Nivel Setorial'!B$45*100)</x:f>
      </x:c>
      <x:c r="C108" s="22" t="n">
        <x:f>IF('Nivel Setorial'!C108="","",'Nivel Setorial'!C108/'Nivel Setorial'!C$5*100)</x:f>
        <x:v>336.5342222532635</x:v>
      </x:c>
      <x:c r="D108" s="22" t="n">
        <x:f>IF('Nivel Setorial'!D108="","",'Nivel Setorial'!D108/'Nivel Setorial'!D$5*100)</x:f>
        <x:v>479.1073044829262</x:v>
      </x:c>
      <x:c r="E108" s="22" t="n">
        <x:f>IF('Nivel Setorial'!E108="","",'Nivel Setorial'!E108/'Nivel Setorial'!E$49*100)</x:f>
        <x:v>333.49285082741574</x:v>
      </x:c>
      <x:c r="F108" s="22" t="n">
        <x:f>IF('Nivel Setorial'!F108="","",'Nivel Setorial'!F108/'Nivel Setorial'!F$5*100)</x:f>
        <x:v>271.51056441175825</x:v>
      </x:c>
      <x:c r="G108" s="22" t="n">
        <x:f>IF('Nivel Setorial'!G108="","",'Nivel Setorial'!G108/'Nivel Setorial'!G$5*100)</x:f>
        <x:v>208.18931153658528</x:v>
      </x:c>
      <x:c r="H108" s="22" t="n">
        <x:f>IF('Nivel Setorial'!H108="","",'Nivel Setorial'!H108/'Nivel Setorial'!H$17*100)</x:f>
        <x:v>392.7766869139892</x:v>
      </x:c>
      <x:c r="I108" s="22" t="n">
        <x:f>IF('Nivel Setorial'!I108="","",'Nivel Setorial'!I108/'Nivel Setorial'!I$5*100)</x:f>
        <x:v>39.91164941448619</x:v>
      </x:c>
      <x:c r="J108" s="22" t="n">
        <x:f>IF('Nivel Setorial'!J108="","",'Nivel Setorial'!J108/'Nivel Setorial'!J$25*100)</x:f>
        <x:v>312.04218788403864</x:v>
      </x:c>
      <x:c r="K108" s="22" t="n">
        <x:f>IF('Nivel Setorial'!K108="","",'Nivel Setorial'!K108/'Nivel Setorial'!K$5*100)</x:f>
        <x:v>123.03502656935174</x:v>
      </x:c>
      <x:c r="L108" s="22" t="n">
        <x:f>IF('Nivel Setorial'!L108="","",'Nivel Setorial'!L108/'Nivel Setorial'!L$5*100)</x:f>
        <x:v>129.8593828826699</x:v>
      </x:c>
      <x:c r="M108" s="22" t="n">
        <x:f>IF('Nivel Setorial'!M108="","",'Nivel Setorial'!M108/'Nivel Setorial'!M$5*100)</x:f>
        <x:v>664.1597081459382</x:v>
      </x:c>
      <x:c r="N108" s="22" t="n">
        <x:f>IF('Nivel Setorial'!N108="","",'Nivel Setorial'!N108/'Nivel Setorial'!N$5*100)</x:f>
        <x:v>257.98523127260273</x:v>
      </x:c>
      <x:c r="O108" s="22" t="n">
        <x:f>IF('Nivel Setorial'!O108="","",'Nivel Setorial'!O108/'Nivel Setorial'!O$5*100)</x:f>
        <x:v>308.15472783337566</x:v>
      </x:c>
      <x:c r="P108" s="22" t="n">
        <x:f>IF('Nivel Setorial'!P108="","",'Nivel Setorial'!P108/'Nivel Setorial'!P$5*100)</x:f>
        <x:v>104.0573574494922</x:v>
      </x:c>
      <x:c r="Q108" s="22" t="n">
        <x:f>IF('Nivel Setorial'!Q108="","",'Nivel Setorial'!Q108/'Nivel Setorial'!Q$5*100)</x:f>
        <x:v>210.43141391129953</x:v>
      </x:c>
      <x:c r="R108" s="22" t="n">
        <x:f>IF('Nivel Setorial'!R108="","",'Nivel Setorial'!R108/'Nivel Setorial'!R$5*100)</x:f>
        <x:v>153.23206776983312</x:v>
      </x:c>
    </x:row>
    <x:row r="109">
      <x:c r="A109" s="21" t="n">
        <x:f>'Nivel Setorial'!A109</x:f>
        <x:v>43344</x:v>
      </x:c>
      <x:c r="B109" s="22" t="str">
        <x:f>IF('Nivel Setorial'!B109="","",'Nivel Setorial'!B109/'Nivel Setorial'!B$45*100)</x:f>
      </x:c>
      <x:c r="C109" s="22" t="n">
        <x:f>IF('Nivel Setorial'!C109="","",'Nivel Setorial'!C109/'Nivel Setorial'!C$5*100)</x:f>
        <x:v>340.1133887325012</x:v>
      </x:c>
      <x:c r="D109" s="22" t="n">
        <x:f>IF('Nivel Setorial'!D109="","",'Nivel Setorial'!D109/'Nivel Setorial'!D$5*100)</x:f>
        <x:v>495.81462646523516</x:v>
      </x:c>
      <x:c r="E109" s="22" t="n">
        <x:f>IF('Nivel Setorial'!E109="","",'Nivel Setorial'!E109/'Nivel Setorial'!E$49*100)</x:f>
        <x:v>326.66209431706454</x:v>
      </x:c>
      <x:c r="F109" s="22" t="n">
        <x:f>IF('Nivel Setorial'!F109="","",'Nivel Setorial'!F109/'Nivel Setorial'!F$5*100)</x:f>
        <x:v>272.84345672863657</x:v>
      </x:c>
      <x:c r="G109" s="22" t="n">
        <x:f>IF('Nivel Setorial'!G109="","",'Nivel Setorial'!G109/'Nivel Setorial'!G$5*100)</x:f>
        <x:v>210.10234287497536</x:v>
      </x:c>
      <x:c r="H109" s="22" t="n">
        <x:f>IF('Nivel Setorial'!H109="","",'Nivel Setorial'!H109/'Nivel Setorial'!H$17*100)</x:f>
        <x:v>393.86650588314956</x:v>
      </x:c>
      <x:c r="I109" s="22" t="n">
        <x:f>IF('Nivel Setorial'!I109="","",'Nivel Setorial'!I109/'Nivel Setorial'!I$5*100)</x:f>
        <x:v>40.429581645302065</x:v>
      </x:c>
      <x:c r="J109" s="22" t="n">
        <x:f>IF('Nivel Setorial'!J109="","",'Nivel Setorial'!J109/'Nivel Setorial'!J$25*100)</x:f>
        <x:v>308.7869483799825</x:v>
      </x:c>
      <x:c r="K109" s="22" t="n">
        <x:f>IF('Nivel Setorial'!K109="","",'Nivel Setorial'!K109/'Nivel Setorial'!K$5*100)</x:f>
        <x:v>137.1343132878203</x:v>
      </x:c>
      <x:c r="L109" s="22" t="n">
        <x:f>IF('Nivel Setorial'!L109="","",'Nivel Setorial'!L109/'Nivel Setorial'!L$5*100)</x:f>
        <x:v>138.90225741145153</x:v>
      </x:c>
      <x:c r="M109" s="22" t="n">
        <x:f>IF('Nivel Setorial'!M109="","",'Nivel Setorial'!M109/'Nivel Setorial'!M$5*100)</x:f>
        <x:v>679.3923150152788</x:v>
      </x:c>
      <x:c r="N109" s="22" t="n">
        <x:f>IF('Nivel Setorial'!N109="","",'Nivel Setorial'!N109/'Nivel Setorial'!N$5*100)</x:f>
        <x:v>254.04131724581157</x:v>
      </x:c>
      <x:c r="O109" s="22" t="n">
        <x:f>IF('Nivel Setorial'!O109="","",'Nivel Setorial'!O109/'Nivel Setorial'!O$5*100)</x:f>
        <x:v>235.80995617530363</x:v>
      </x:c>
      <x:c r="P109" s="22" t="n">
        <x:f>IF('Nivel Setorial'!P109="","",'Nivel Setorial'!P109/'Nivel Setorial'!P$5*100)</x:f>
        <x:v>104.77449848584088</x:v>
      </x:c>
      <x:c r="Q109" s="22" t="n">
        <x:f>IF('Nivel Setorial'!Q109="","",'Nivel Setorial'!Q109/'Nivel Setorial'!Q$5*100)</x:f>
        <x:v>213.7428568615826</x:v>
      </x:c>
      <x:c r="R109" s="22" t="n">
        <x:f>IF('Nivel Setorial'!R109="","",'Nivel Setorial'!R109/'Nivel Setorial'!R$5*100)</x:f>
        <x:v>156.27237377917683</x:v>
      </x:c>
    </x:row>
    <x:row r="110">
      <x:c r="A110" s="21" t="n">
        <x:f>'Nivel Setorial'!A110</x:f>
        <x:v>43374</x:v>
      </x:c>
      <x:c r="B110" s="22" t="str">
        <x:f>IF('Nivel Setorial'!B110="","",'Nivel Setorial'!B110/'Nivel Setorial'!B$45*100)</x:f>
      </x:c>
      <x:c r="C110" s="22" t="n">
        <x:f>IF('Nivel Setorial'!C110="","",'Nivel Setorial'!C110/'Nivel Setorial'!C$5*100)</x:f>
        <x:v>336.98128513716273</x:v>
      </x:c>
      <x:c r="D110" s="22" t="n">
        <x:f>IF('Nivel Setorial'!D110="","",'Nivel Setorial'!D110/'Nivel Setorial'!D$5*100)</x:f>
        <x:v>495.08408473364176</x:v>
      </x:c>
      <x:c r="E110" s="22" t="n">
        <x:f>IF('Nivel Setorial'!E110="","",'Nivel Setorial'!E110/'Nivel Setorial'!E$49*100)</x:f>
        <x:v>323.94886934148633</x:v>
      </x:c>
      <x:c r="F110" s="22" t="n">
        <x:f>IF('Nivel Setorial'!F110="","",'Nivel Setorial'!F110/'Nivel Setorial'!F$5*100)</x:f>
        <x:v>269.16563242578707</x:v>
      </x:c>
      <x:c r="G110" s="22" t="n">
        <x:f>IF('Nivel Setorial'!G110="","",'Nivel Setorial'!G110/'Nivel Setorial'!G$5*100)</x:f>
        <x:v>198.7436678964819</x:v>
      </x:c>
      <x:c r="H110" s="22" t="n">
        <x:f>IF('Nivel Setorial'!H110="","",'Nivel Setorial'!H110/'Nivel Setorial'!H$17*100)</x:f>
        <x:v>387.3951430013933</x:v>
      </x:c>
      <x:c r="I110" s="22" t="n">
        <x:f>IF('Nivel Setorial'!I110="","",'Nivel Setorial'!I110/'Nivel Setorial'!I$5*100)</x:f>
        <x:v>41.000073803301916</x:v>
      </x:c>
      <x:c r="J110" s="22" t="n">
        <x:f>IF('Nivel Setorial'!J110="","",'Nivel Setorial'!J110/'Nivel Setorial'!J$25*100)</x:f>
        <x:v>311.1106349375703</x:v>
      </x:c>
      <x:c r="K110" s="22" t="n">
        <x:f>IF('Nivel Setorial'!K110="","",'Nivel Setorial'!K110/'Nivel Setorial'!K$5*100)</x:f>
        <x:v>138.4065992234268</x:v>
      </x:c>
      <x:c r="L110" s="22" t="n">
        <x:f>IF('Nivel Setorial'!L110="","",'Nivel Setorial'!L110/'Nivel Setorial'!L$5*100)</x:f>
        <x:v>157.64692076904922</x:v>
      </x:c>
      <x:c r="M110" s="22" t="n">
        <x:f>IF('Nivel Setorial'!M110="","",'Nivel Setorial'!M110/'Nivel Setorial'!M$5*100)</x:f>
        <x:v>764.9913179769704</x:v>
      </x:c>
      <x:c r="N110" s="22" t="n">
        <x:f>IF('Nivel Setorial'!N110="","",'Nivel Setorial'!N110/'Nivel Setorial'!N$5*100)</x:f>
        <x:v>246.05330053065458</x:v>
      </x:c>
      <x:c r="O110" s="22" t="n">
        <x:f>IF('Nivel Setorial'!O110="","",'Nivel Setorial'!O110/'Nivel Setorial'!O$5*100)</x:f>
        <x:v>239.3009978287286</x:v>
      </x:c>
      <x:c r="P110" s="22" t="n">
        <x:f>IF('Nivel Setorial'!P110="","",'Nivel Setorial'!P110/'Nivel Setorial'!P$5*100)</x:f>
        <x:v>104.16742208581664</x:v>
      </x:c>
      <x:c r="Q110" s="22" t="n">
        <x:f>IF('Nivel Setorial'!Q110="","",'Nivel Setorial'!Q110/'Nivel Setorial'!Q$5*100)</x:f>
        <x:v>210.99958692564047</x:v>
      </x:c>
      <x:c r="R110" s="22" t="n">
        <x:f>IF('Nivel Setorial'!R110="","",'Nivel Setorial'!R110/'Nivel Setorial'!R$5*100)</x:f>
        <x:v>134.7972455908916</x:v>
      </x:c>
    </x:row>
    <x:row r="111">
      <x:c r="A111" s="21" t="n">
        <x:f>'Nivel Setorial'!A111</x:f>
        <x:v>43405</x:v>
      </x:c>
      <x:c r="B111" s="22" t="str">
        <x:f>IF('Nivel Setorial'!B111="","",'Nivel Setorial'!B111/'Nivel Setorial'!B$45*100)</x:f>
      </x:c>
      <x:c r="C111" s="22" t="n">
        <x:f>IF('Nivel Setorial'!C111="","",'Nivel Setorial'!C111/'Nivel Setorial'!C$5*100)</x:f>
        <x:v>343.08957359101635</x:v>
      </x:c>
      <x:c r="D111" s="22" t="n">
        <x:f>IF('Nivel Setorial'!D111="","",'Nivel Setorial'!D111/'Nivel Setorial'!D$5*100)</x:f>
        <x:v>515.7826545264654</x:v>
      </x:c>
      <x:c r="E111" s="22" t="n">
        <x:f>IF('Nivel Setorial'!E111="","",'Nivel Setorial'!E111/'Nivel Setorial'!E$49*100)</x:f>
        <x:v>316.502677854027</x:v>
      </x:c>
      <x:c r="F111" s="22" t="n">
        <x:f>IF('Nivel Setorial'!F111="","",'Nivel Setorial'!F111/'Nivel Setorial'!F$5*100)</x:f>
        <x:v>269.4614470731285</x:v>
      </x:c>
      <x:c r="G111" s="22" t="n">
        <x:f>IF('Nivel Setorial'!G111="","",'Nivel Setorial'!G111/'Nivel Setorial'!G$5*100)</x:f>
        <x:v>205.19029735279847</x:v>
      </x:c>
      <x:c r="H111" s="22" t="n">
        <x:f>IF('Nivel Setorial'!H111="","",'Nivel Setorial'!H111/'Nivel Setorial'!H$17*100)</x:f>
        <x:v>381.54968369996976</x:v>
      </x:c>
      <x:c r="I111" s="22" t="n">
        <x:f>IF('Nivel Setorial'!I111="","",'Nivel Setorial'!I111/'Nivel Setorial'!I$5*100)</x:f>
        <x:v>41.978459039311886</x:v>
      </x:c>
      <x:c r="J111" s="22" t="n">
        <x:f>IF('Nivel Setorial'!J111="","",'Nivel Setorial'!J111/'Nivel Setorial'!J$25*100)</x:f>
        <x:v>316.00192228713576</x:v>
      </x:c>
      <x:c r="K111" s="22" t="n">
        <x:f>IF('Nivel Setorial'!K111="","",'Nivel Setorial'!K111/'Nivel Setorial'!K$5*100)</x:f>
        <x:v>139.6101451160709</x:v>
      </x:c>
      <x:c r="L111" s="22" t="n">
        <x:f>IF('Nivel Setorial'!L111="","",'Nivel Setorial'!L111/'Nivel Setorial'!L$5*100)</x:f>
        <x:v>151.97964244456415</x:v>
      </x:c>
      <x:c r="M111" s="22" t="n">
        <x:f>IF('Nivel Setorial'!M111="","",'Nivel Setorial'!M111/'Nivel Setorial'!M$5*100)</x:f>
        <x:v>769.5752293296256</x:v>
      </x:c>
      <x:c r="N111" s="22" t="n">
        <x:f>IF('Nivel Setorial'!N111="","",'Nivel Setorial'!N111/'Nivel Setorial'!N$5*100)</x:f>
        <x:v>247.261474846419</x:v>
      </x:c>
      <x:c r="O111" s="22" t="n">
        <x:f>IF('Nivel Setorial'!O111="","",'Nivel Setorial'!O111/'Nivel Setorial'!O$5*100)</x:f>
        <x:v>240.83241354812532</x:v>
      </x:c>
      <x:c r="P111" s="22" t="n">
        <x:f>IF('Nivel Setorial'!P111="","",'Nivel Setorial'!P111/'Nivel Setorial'!P$5*100)</x:f>
        <x:v>104.31753100210359</x:v>
      </x:c>
      <x:c r="Q111" s="22" t="n">
        <x:f>IF('Nivel Setorial'!Q111="","",'Nivel Setorial'!Q111/'Nivel Setorial'!Q$5*100)</x:f>
        <x:v>223.76710258449108</x:v>
      </x:c>
      <x:c r="R111" s="22" t="n">
        <x:f>IF('Nivel Setorial'!R111="","",'Nivel Setorial'!R111/'Nivel Setorial'!R$5*100)</x:f>
        <x:v>109.21622821806555</x:v>
      </x:c>
    </x:row>
    <x:row r="112">
      <x:c r="A112" s="21" t="n">
        <x:f>'Nivel Setorial'!A112</x:f>
        <x:v>43435</x:v>
      </x:c>
      <x:c r="B112" s="22" t="str">
        <x:f>IF('Nivel Setorial'!B112="","",'Nivel Setorial'!B112/'Nivel Setorial'!B$45*100)</x:f>
      </x:c>
      <x:c r="C112" s="22" t="n">
        <x:f>IF('Nivel Setorial'!C112="","",'Nivel Setorial'!C112/'Nivel Setorial'!C$5*100)</x:f>
        <x:v>356.5199122364123</x:v>
      </x:c>
      <x:c r="D112" s="22" t="n">
        <x:f>IF('Nivel Setorial'!D112="","",'Nivel Setorial'!D112/'Nivel Setorial'!D$5*100)</x:f>
        <x:v>537.1517519748085</x:v>
      </x:c>
      <x:c r="E112" s="22" t="n">
        <x:f>IF('Nivel Setorial'!E112="","",'Nivel Setorial'!E112/'Nivel Setorial'!E$49*100)</x:f>
        <x:v>309.76394805283024</x:v>
      </x:c>
      <x:c r="F112" s="22" t="n">
        <x:f>IF('Nivel Setorial'!F112="","",'Nivel Setorial'!F112/'Nivel Setorial'!F$5*100)</x:f>
        <x:v>270.69600916255314</x:v>
      </x:c>
      <x:c r="G112" s="22" t="n">
        <x:f>IF('Nivel Setorial'!G112="","",'Nivel Setorial'!G112/'Nivel Setorial'!G$5*100)</x:f>
        <x:v>211.37922712504843</x:v>
      </x:c>
      <x:c r="H112" s="22" t="n">
        <x:f>IF('Nivel Setorial'!H112="","",'Nivel Setorial'!H112/'Nivel Setorial'!H$17*100)</x:f>
        <x:v>375.6238991925492</x:v>
      </x:c>
      <x:c r="I112" s="22" t="n">
        <x:f>IF('Nivel Setorial'!I112="","",'Nivel Setorial'!I112/'Nivel Setorial'!I$5*100)</x:f>
        <x:v>41.9645124491076</x:v>
      </x:c>
      <x:c r="J112" s="22" t="n">
        <x:f>IF('Nivel Setorial'!J112="","",'Nivel Setorial'!J112/'Nivel Setorial'!J$25*100)</x:f>
        <x:v>312.31920517925954</x:v>
      </x:c>
      <x:c r="K112" s="22" t="n">
        <x:f>IF('Nivel Setorial'!K112="","",'Nivel Setorial'!K112/'Nivel Setorial'!K$5*100)</x:f>
        <x:v>142.63291869020372</x:v>
      </x:c>
      <x:c r="L112" s="22" t="n">
        <x:f>IF('Nivel Setorial'!L112="","",'Nivel Setorial'!L112/'Nivel Setorial'!L$5*100)</x:f>
        <x:v>142.05122760020154</x:v>
      </x:c>
      <x:c r="M112" s="22" t="n">
        <x:f>IF('Nivel Setorial'!M112="","",'Nivel Setorial'!M112/'Nivel Setorial'!M$5*100)</x:f>
        <x:v>967.8434697090903</x:v>
      </x:c>
      <x:c r="N112" s="22" t="n">
        <x:f>IF('Nivel Setorial'!N112="","",'Nivel Setorial'!N112/'Nivel Setorial'!N$5*100)</x:f>
        <x:v>244.44975473546964</x:v>
      </x:c>
      <x:c r="O112" s="22" t="n">
        <x:f>IF('Nivel Setorial'!O112="","",'Nivel Setorial'!O112/'Nivel Setorial'!O$5*100)</x:f>
        <x:v>244.4293822960723</x:v>
      </x:c>
      <x:c r="P112" s="22" t="n">
        <x:f>IF('Nivel Setorial'!P112="","",'Nivel Setorial'!P112/'Nivel Setorial'!P$5*100)</x:f>
        <x:v>101.87389966930213</x:v>
      </x:c>
      <x:c r="Q112" s="22" t="n">
        <x:f>IF('Nivel Setorial'!Q112="","",'Nivel Setorial'!Q112/'Nivel Setorial'!Q$5*100)</x:f>
        <x:v>231.56248662158174</x:v>
      </x:c>
      <x:c r="R112" s="22" t="n">
        <x:f>IF('Nivel Setorial'!R112="","",'Nivel Setorial'!R112/'Nivel Setorial'!R$5*100)</x:f>
        <x:v>108.9242338028352</x:v>
      </x:c>
    </x:row>
    <x:row r="113">
      <x:c r="A113" s="21" t="n">
        <x:f>'Nivel Setorial'!A113</x:f>
        <x:v>43466</x:v>
      </x:c>
      <x:c r="B113" s="22" t="str">
        <x:f>IF('Nivel Setorial'!B113="","",'Nivel Setorial'!B113/'Nivel Setorial'!B$45*100)</x:f>
      </x:c>
      <x:c r="C113" s="22" t="n">
        <x:f>IF('Nivel Setorial'!C113="","",'Nivel Setorial'!C113/'Nivel Setorial'!C$5*100)</x:f>
        <x:v>354.5546392357223</x:v>
      </x:c>
      <x:c r="D113" s="22" t="n">
        <x:f>IF('Nivel Setorial'!D113="","",'Nivel Setorial'!D113/'Nivel Setorial'!D$5*100)</x:f>
        <x:v>372.7592866524873</x:v>
      </x:c>
      <x:c r="E113" s="22" t="n">
        <x:f>IF('Nivel Setorial'!E113="","",'Nivel Setorial'!E113/'Nivel Setorial'!E$49*100)</x:f>
        <x:v>307.20910157682886</x:v>
      </x:c>
      <x:c r="F113" s="22" t="n">
        <x:f>IF('Nivel Setorial'!F113="","",'Nivel Setorial'!F113/'Nivel Setorial'!F$5*100)</x:f>
        <x:v>266.7884590354796</x:v>
      </x:c>
      <x:c r="G113" s="22" t="n">
        <x:f>IF('Nivel Setorial'!G113="","",'Nivel Setorial'!G113/'Nivel Setorial'!G$5*100)</x:f>
        <x:v>216.53067810788983</x:v>
      </x:c>
      <x:c r="H113" s="22" t="n">
        <x:f>IF('Nivel Setorial'!H113="","",'Nivel Setorial'!H113/'Nivel Setorial'!H$17*100)</x:f>
        <x:v>375.3834357105014</x:v>
      </x:c>
      <x:c r="I113" s="22" t="n">
        <x:f>IF('Nivel Setorial'!I113="","",'Nivel Setorial'!I113/'Nivel Setorial'!I$5*100)</x:f>
        <x:v>40.6178593454261</x:v>
      </x:c>
      <x:c r="J113" s="22" t="n">
        <x:f>IF('Nivel Setorial'!J113="","",'Nivel Setorial'!J113/'Nivel Setorial'!J$25*100)</x:f>
        <x:v>330.6226815549832</x:v>
      </x:c>
      <x:c r="K113" s="22" t="n">
        <x:f>IF('Nivel Setorial'!K113="","",'Nivel Setorial'!K113/'Nivel Setorial'!K$5*100)</x:f>
        <x:v>135.93607207728405</x:v>
      </x:c>
      <x:c r="L113" s="22" t="n">
        <x:f>IF('Nivel Setorial'!L113="","",'Nivel Setorial'!L113/'Nivel Setorial'!L$5*100)</x:f>
        <x:v>139.90760799466855</x:v>
      </x:c>
      <x:c r="M113" s="22" t="n">
        <x:f>IF('Nivel Setorial'!M113="","",'Nivel Setorial'!M113/'Nivel Setorial'!M$5*100)</x:f>
        <x:v>629.8248174246567</x:v>
      </x:c>
      <x:c r="N113" s="22" t="n">
        <x:f>IF('Nivel Setorial'!N113="","",'Nivel Setorial'!N113/'Nivel Setorial'!N$5*100)</x:f>
        <x:v>249.6105896644898</x:v>
      </x:c>
      <x:c r="O113" s="22" t="n">
        <x:f>IF('Nivel Setorial'!O113="","",'Nivel Setorial'!O113/'Nivel Setorial'!O$5*100)</x:f>
        <x:v>261.1042771354138</x:v>
      </x:c>
      <x:c r="P113" s="22" t="n">
        <x:f>IF('Nivel Setorial'!P113="","",'Nivel Setorial'!P113/'Nivel Setorial'!P$5*100)</x:f>
        <x:v>102.70228699526787</x:v>
      </x:c>
      <x:c r="Q113" s="22" t="n">
        <x:f>IF('Nivel Setorial'!Q113="","",'Nivel Setorial'!Q113/'Nivel Setorial'!Q$5*100)</x:f>
        <x:v>244.71942374433965</x:v>
      </x:c>
      <x:c r="R113" s="22" t="n">
        <x:f>IF('Nivel Setorial'!R113="","",'Nivel Setorial'!R113/'Nivel Setorial'!R$5*100)</x:f>
        <x:v>147.53301962483053</x:v>
      </x:c>
    </x:row>
    <x:row r="114">
      <x:c r="A114" s="21" t="n">
        <x:f>'Nivel Setorial'!A114</x:f>
        <x:v>43497</x:v>
      </x:c>
      <x:c r="B114" s="22" t="str">
        <x:f>IF('Nivel Setorial'!B114="","",'Nivel Setorial'!B114/'Nivel Setorial'!B$45*100)</x:f>
      </x:c>
      <x:c r="C114" s="22" t="n">
        <x:f>IF('Nivel Setorial'!C114="","",'Nivel Setorial'!C114/'Nivel Setorial'!C$5*100)</x:f>
        <x:v>356.9544489847324</x:v>
      </x:c>
      <x:c r="D114" s="22" t="n">
        <x:f>IF('Nivel Setorial'!D114="","",'Nivel Setorial'!D114/'Nivel Setorial'!D$5*100)</x:f>
        <x:v>393.88174472290757</x:v>
      </x:c>
      <x:c r="E114" s="22" t="n">
        <x:f>IF('Nivel Setorial'!E114="","",'Nivel Setorial'!E114/'Nivel Setorial'!E$49*100)</x:f>
        <x:v>310.1425432442899</x:v>
      </x:c>
      <x:c r="F114" s="22" t="n">
        <x:f>IF('Nivel Setorial'!F114="","",'Nivel Setorial'!F114/'Nivel Setorial'!F$5*100)</x:f>
        <x:v>121.06236008388707</x:v>
      </x:c>
      <x:c r="G114" s="22" t="n">
        <x:f>IF('Nivel Setorial'!G114="","",'Nivel Setorial'!G114/'Nivel Setorial'!G$5*100)</x:f>
        <x:v>208.63421579641934</x:v>
      </x:c>
      <x:c r="H114" s="22" t="n">
        <x:f>IF('Nivel Setorial'!H114="","",'Nivel Setorial'!H114/'Nivel Setorial'!H$17*100)</x:f>
        <x:v>379.00047637107355</x:v>
      </x:c>
      <x:c r="I114" s="22" t="n">
        <x:f>IF('Nivel Setorial'!I114="","",'Nivel Setorial'!I114/'Nivel Setorial'!I$5*100)</x:f>
        <x:v>42.320682216329544</x:v>
      </x:c>
      <x:c r="J114" s="22" t="n">
        <x:f>IF('Nivel Setorial'!J114="","",'Nivel Setorial'!J114/'Nivel Setorial'!J$25*100)</x:f>
        <x:v>327.7171572206212</x:v>
      </x:c>
      <x:c r="K114" s="22" t="n">
        <x:f>IF('Nivel Setorial'!K114="","",'Nivel Setorial'!K114/'Nivel Setorial'!K$5*100)</x:f>
        <x:v>140.86958730531805</x:v>
      </x:c>
      <x:c r="L114" s="22" t="n">
        <x:f>IF('Nivel Setorial'!L114="","",'Nivel Setorial'!L114/'Nivel Setorial'!L$5*100)</x:f>
        <x:v>148.05008036850248</x:v>
      </x:c>
      <x:c r="M114" s="22" t="n">
        <x:f>IF('Nivel Setorial'!M114="","",'Nivel Setorial'!M114/'Nivel Setorial'!M$5*100)</x:f>
        <x:v>628.310960544999</x:v>
      </x:c>
      <x:c r="N114" s="22" t="n">
        <x:f>IF('Nivel Setorial'!N114="","",'Nivel Setorial'!N114/'Nivel Setorial'!N$5*100)</x:f>
        <x:v>243.56485693276113</x:v>
      </x:c>
      <x:c r="O114" s="22" t="n">
        <x:f>IF('Nivel Setorial'!O114="","",'Nivel Setorial'!O114/'Nivel Setorial'!O$5*100)</x:f>
        <x:v>258.69415957164045</x:v>
      </x:c>
      <x:c r="P114" s="22" t="n">
        <x:f>IF('Nivel Setorial'!P114="","",'Nivel Setorial'!P114/'Nivel Setorial'!P$5*100)</x:f>
        <x:v>104.03367334575981</x:v>
      </x:c>
      <x:c r="Q114" s="22" t="n">
        <x:f>IF('Nivel Setorial'!Q114="","",'Nivel Setorial'!Q114/'Nivel Setorial'!Q$5*100)</x:f>
        <x:v>256.7211798200214</x:v>
      </x:c>
      <x:c r="R114" s="22" t="n">
        <x:f>IF('Nivel Setorial'!R114="","",'Nivel Setorial'!R114/'Nivel Setorial'!R$5*100)</x:f>
        <x:v>147.91293836162924</x:v>
      </x:c>
    </x:row>
    <x:row r="115">
      <x:c r="A115" s="21" t="n">
        <x:f>'Nivel Setorial'!A115</x:f>
        <x:v>43525</x:v>
      </x:c>
      <x:c r="B115" s="22" t="str">
        <x:f>IF('Nivel Setorial'!B115="","",'Nivel Setorial'!B115/'Nivel Setorial'!B$45*100)</x:f>
      </x:c>
      <x:c r="C115" s="22" t="n">
        <x:f>IF('Nivel Setorial'!C115="","",'Nivel Setorial'!C115/'Nivel Setorial'!C$5*100)</x:f>
        <x:v>364.8186823891602</x:v>
      </x:c>
      <x:c r="D115" s="22" t="n">
        <x:f>IF('Nivel Setorial'!D115="","",'Nivel Setorial'!D115/'Nivel Setorial'!D$5*100)</x:f>
        <x:v>404.3075637342058</x:v>
      </x:c>
      <x:c r="E115" s="22" t="n">
        <x:f>IF('Nivel Setorial'!E115="","",'Nivel Setorial'!E115/'Nivel Setorial'!E$49*100)</x:f>
        <x:v>305.79869827554944</x:v>
      </x:c>
      <x:c r="F115" s="22" t="n">
        <x:f>IF('Nivel Setorial'!F115="","",'Nivel Setorial'!F115/'Nivel Setorial'!F$5*100)</x:f>
        <x:v>123.7638094423999</x:v>
      </x:c>
      <x:c r="G115" s="22" t="n">
        <x:f>IF('Nivel Setorial'!G115="","",'Nivel Setorial'!G115/'Nivel Setorial'!G$5*100)</x:f>
        <x:v>207.77049356986535</x:v>
      </x:c>
      <x:c r="H115" s="22" t="n">
        <x:f>IF('Nivel Setorial'!H115="","",'Nivel Setorial'!H115/'Nivel Setorial'!H$17*100)</x:f>
        <x:v>378.49768234661525</x:v>
      </x:c>
      <x:c r="I115" s="22" t="n">
        <x:f>IF('Nivel Setorial'!I115="","",'Nivel Setorial'!I115/'Nivel Setorial'!I$5*100)</x:f>
        <x:v>42.62038067250966</x:v>
      </x:c>
      <x:c r="J115" s="22" t="n">
        <x:f>IF('Nivel Setorial'!J115="","",'Nivel Setorial'!J115/'Nivel Setorial'!J$25*100)</x:f>
        <x:v>332.23631359716694</x:v>
      </x:c>
      <x:c r="K115" s="22" t="n">
        <x:f>IF('Nivel Setorial'!K115="","",'Nivel Setorial'!K115/'Nivel Setorial'!K$5*100)</x:f>
        <x:v>155.12555629596895</x:v>
      </x:c>
      <x:c r="L115" s="22" t="n">
        <x:f>IF('Nivel Setorial'!L115="","",'Nivel Setorial'!L115/'Nivel Setorial'!L$5*100)</x:f>
        <x:v>145.2556572306698</x:v>
      </x:c>
      <x:c r="M115" s="22" t="n">
        <x:f>IF('Nivel Setorial'!M115="","",'Nivel Setorial'!M115/'Nivel Setorial'!M$5*100)</x:f>
        <x:v>624.8781760200199</x:v>
      </x:c>
      <x:c r="N115" s="22" t="n">
        <x:f>IF('Nivel Setorial'!N115="","",'Nivel Setorial'!N115/'Nivel Setorial'!N$5*100)</x:f>
        <x:v>245.59979766754006</x:v>
      </x:c>
      <x:c r="O115" s="22" t="n">
        <x:f>IF('Nivel Setorial'!O115="","",'Nivel Setorial'!O115/'Nivel Setorial'!O$5*100)</x:f>
        <x:v>266.6832265456656</x:v>
      </x:c>
      <x:c r="P115" s="22" t="n">
        <x:f>IF('Nivel Setorial'!P115="","",'Nivel Setorial'!P115/'Nivel Setorial'!P$5*100)</x:f>
        <x:v>103.48471988811228</x:v>
      </x:c>
      <x:c r="Q115" s="22" t="n">
        <x:f>IF('Nivel Setorial'!Q115="","",'Nivel Setorial'!Q115/'Nivel Setorial'!Q$5*100)</x:f>
        <x:v>259.38949206613654</x:v>
      </x:c>
      <x:c r="R115" s="22" t="n">
        <x:f>IF('Nivel Setorial'!R115="","",'Nivel Setorial'!R115/'Nivel Setorial'!R$5*100)</x:f>
        <x:v>176.8346300724481</x:v>
      </x:c>
    </x:row>
    <x:row r="116">
      <x:c r="A116" s="21" t="n">
        <x:f>'Nivel Setorial'!A116</x:f>
        <x:v>43556</x:v>
      </x:c>
      <x:c r="B116" s="22" t="str">
        <x:f>IF('Nivel Setorial'!B116="","",'Nivel Setorial'!B116/'Nivel Setorial'!B$45*100)</x:f>
      </x:c>
      <x:c r="C116" s="22" t="n">
        <x:f>IF('Nivel Setorial'!C116="","",'Nivel Setorial'!C116/'Nivel Setorial'!C$5*100)</x:f>
        <x:v>372.76873804389834</x:v>
      </x:c>
      <x:c r="D116" s="22" t="n">
        <x:f>IF('Nivel Setorial'!D116="","",'Nivel Setorial'!D116/'Nivel Setorial'!D$5*100)</x:f>
        <x:v>415.0473023315358</x:v>
      </x:c>
      <x:c r="E116" s="22" t="n">
        <x:f>IF('Nivel Setorial'!E116="","",'Nivel Setorial'!E116/'Nivel Setorial'!E$49*100)</x:f>
        <x:v>296.99411111371984</x:v>
      </x:c>
      <x:c r="F116" s="22" t="n">
        <x:f>IF('Nivel Setorial'!F116="","",'Nivel Setorial'!F116/'Nivel Setorial'!F$5*100)</x:f>
        <x:v>120.74356520323472</x:v>
      </x:c>
      <x:c r="G116" s="22" t="n">
        <x:f>IF('Nivel Setorial'!G116="","",'Nivel Setorial'!G116/'Nivel Setorial'!G$5*100)</x:f>
        <x:v>220.49830280089733</x:v>
      </x:c>
      <x:c r="H116" s="22" t="n">
        <x:f>IF('Nivel Setorial'!H116="","",'Nivel Setorial'!H116/'Nivel Setorial'!H$17*100)</x:f>
        <x:v>380.94589349756865</x:v>
      </x:c>
      <x:c r="I116" s="22" t="n">
        <x:f>IF('Nivel Setorial'!I116="","",'Nivel Setorial'!I116/'Nivel Setorial'!I$5*100)</x:f>
        <x:v>43.91179557364908</x:v>
      </x:c>
      <x:c r="J116" s="22" t="n">
        <x:f>IF('Nivel Setorial'!J116="","",'Nivel Setorial'!J116/'Nivel Setorial'!J$25*100)</x:f>
        <x:v>333.42699190308315</x:v>
      </x:c>
      <x:c r="K116" s="22" t="n">
        <x:f>IF('Nivel Setorial'!K116="","",'Nivel Setorial'!K116/'Nivel Setorial'!K$5*100)</x:f>
        <x:v>154.6661946773449</x:v>
      </x:c>
      <x:c r="L116" s="22" t="n">
        <x:f>IF('Nivel Setorial'!L116="","",'Nivel Setorial'!L116/'Nivel Setorial'!L$5*100)</x:f>
        <x:v>142.30731181909476</x:v>
      </x:c>
      <x:c r="M116" s="22" t="n">
        <x:f>IF('Nivel Setorial'!M116="","",'Nivel Setorial'!M116/'Nivel Setorial'!M$5*100)</x:f>
        <x:v>658.7839932096442</x:v>
      </x:c>
      <x:c r="N116" s="22" t="n">
        <x:f>IF('Nivel Setorial'!N116="","",'Nivel Setorial'!N116/'Nivel Setorial'!N$5*100)</x:f>
        <x:v>250.39000671038343</x:v>
      </x:c>
      <x:c r="O116" s="22" t="n">
        <x:f>IF('Nivel Setorial'!O116="","",'Nivel Setorial'!O116/'Nivel Setorial'!O$5*100)</x:f>
        <x:v>265.27407937892156</x:v>
      </x:c>
      <x:c r="P116" s="22" t="n">
        <x:f>IF('Nivel Setorial'!P116="","",'Nivel Setorial'!P116/'Nivel Setorial'!P$5*100)</x:f>
        <x:v>104.14037845862063</x:v>
      </x:c>
      <x:c r="Q116" s="22" t="n">
        <x:f>IF('Nivel Setorial'!Q116="","",'Nivel Setorial'!Q116/'Nivel Setorial'!Q$5*100)</x:f>
        <x:v>259.1879359901673</x:v>
      </x:c>
      <x:c r="R116" s="22" t="n">
        <x:f>IF('Nivel Setorial'!R116="","",'Nivel Setorial'!R116/'Nivel Setorial'!R$5*100)</x:f>
        <x:v>171.73686911351047</x:v>
      </x:c>
    </x:row>
    <x:row r="117">
      <x:c r="A117" s="21" t="n">
        <x:f>'Nivel Setorial'!A117</x:f>
        <x:v>43586</x:v>
      </x:c>
      <x:c r="B117" s="22" t="str">
        <x:f>IF('Nivel Setorial'!B117="","",'Nivel Setorial'!B117/'Nivel Setorial'!B$45*100)</x:f>
      </x:c>
      <x:c r="C117" s="22" t="n">
        <x:f>IF('Nivel Setorial'!C117="","",'Nivel Setorial'!C117/'Nivel Setorial'!C$5*100)</x:f>
        <x:v>384.42490325766295</x:v>
      </x:c>
      <x:c r="D117" s="22" t="n">
        <x:f>IF('Nivel Setorial'!D117="","",'Nivel Setorial'!D117/'Nivel Setorial'!D$5*100)</x:f>
        <x:v>434.7389139866616</x:v>
      </x:c>
      <x:c r="E117" s="22" t="n">
        <x:f>IF('Nivel Setorial'!E117="","",'Nivel Setorial'!E117/'Nivel Setorial'!E$49*100)</x:f>
        <x:v>299.72335854727874</x:v>
      </x:c>
      <x:c r="F117" s="22" t="n">
        <x:f>IF('Nivel Setorial'!F117="","",'Nivel Setorial'!F117/'Nivel Setorial'!F$5*100)</x:f>
        <x:v>268.1568842948356</x:v>
      </x:c>
      <x:c r="G117" s="22" t="n">
        <x:f>IF('Nivel Setorial'!G117="","",'Nivel Setorial'!G117/'Nivel Setorial'!G$5*100)</x:f>
        <x:v>220.064292247016</x:v>
      </x:c>
      <x:c r="H117" s="22" t="n">
        <x:f>IF('Nivel Setorial'!H117="","",'Nivel Setorial'!H117/'Nivel Setorial'!H$17*100)</x:f>
        <x:v>390.3042827705146</x:v>
      </x:c>
      <x:c r="I117" s="22" t="n">
        <x:f>IF('Nivel Setorial'!I117="","",'Nivel Setorial'!I117/'Nivel Setorial'!I$5*100)</x:f>
        <x:v>44.439710123802186</x:v>
      </x:c>
      <x:c r="J117" s="22" t="n">
        <x:f>IF('Nivel Setorial'!J117="","",'Nivel Setorial'!J117/'Nivel Setorial'!J$25*100)</x:f>
        <x:v>317.33137353458096</x:v>
      </x:c>
      <x:c r="K117" s="22" t="n">
        <x:f>IF('Nivel Setorial'!K117="","",'Nivel Setorial'!K117/'Nivel Setorial'!K$5*100)</x:f>
        <x:v>145.75140032959888</x:v>
      </x:c>
      <x:c r="L117" s="22" t="n">
        <x:f>IF('Nivel Setorial'!L117="","",'Nivel Setorial'!L117/'Nivel Setorial'!L$5*100)</x:f>
        <x:v>144.12017900401892</x:v>
      </x:c>
      <x:c r="M117" s="22" t="n">
        <x:f>IF('Nivel Setorial'!M117="","",'Nivel Setorial'!M117/'Nivel Setorial'!M$5*100)</x:f>
        <x:v>563.8710361977005</x:v>
      </x:c>
      <x:c r="N117" s="22" t="n">
        <x:f>IF('Nivel Setorial'!N117="","",'Nivel Setorial'!N117/'Nivel Setorial'!N$5*100)</x:f>
        <x:v>252.42233877886088</x:v>
      </x:c>
      <x:c r="O117" s="22" t="n">
        <x:f>IF('Nivel Setorial'!O117="","",'Nivel Setorial'!O117/'Nivel Setorial'!O$5*100)</x:f>
        <x:v>257.9838225365014</x:v>
      </x:c>
      <x:c r="P117" s="22" t="n">
        <x:f>IF('Nivel Setorial'!P117="","",'Nivel Setorial'!P117/'Nivel Setorial'!P$5*100)</x:f>
        <x:v>102.53276100776488</x:v>
      </x:c>
      <x:c r="Q117" s="22" t="n">
        <x:f>IF('Nivel Setorial'!Q117="","",'Nivel Setorial'!Q117/'Nivel Setorial'!Q$5*100)</x:f>
        <x:v>306.84144855423983</x:v>
      </x:c>
      <x:c r="R117" s="22" t="n">
        <x:f>IF('Nivel Setorial'!R117="","",'Nivel Setorial'!R117/'Nivel Setorial'!R$5*100)</x:f>
        <x:v>174.55798783627108</x:v>
      </x:c>
    </x:row>
    <x:row r="118">
      <x:c r="A118" s="21" t="n">
        <x:f>'Nivel Setorial'!A118</x:f>
        <x:v>43617</x:v>
      </x:c>
      <x:c r="B118" s="22" t="str">
        <x:f>IF('Nivel Setorial'!B118="","",'Nivel Setorial'!B118/'Nivel Setorial'!B$45*100)</x:f>
      </x:c>
      <x:c r="C118" s="22" t="n">
        <x:f>IF('Nivel Setorial'!C118="","",'Nivel Setorial'!C118/'Nivel Setorial'!C$5*100)</x:f>
        <x:v>385.64951804622166</x:v>
      </x:c>
      <x:c r="D118" s="22" t="n">
        <x:f>IF('Nivel Setorial'!D118="","",'Nivel Setorial'!D118/'Nivel Setorial'!D$5*100)</x:f>
        <x:v>464.51408143716105</x:v>
      </x:c>
      <x:c r="E118" s="22" t="n">
        <x:f>IF('Nivel Setorial'!E118="","",'Nivel Setorial'!E118/'Nivel Setorial'!E$49*100)</x:f>
        <x:v>270.1572655093589</x:v>
      </x:c>
      <x:c r="F118" s="22" t="n">
        <x:f>IF('Nivel Setorial'!F118="","",'Nivel Setorial'!F118/'Nivel Setorial'!F$5*100)</x:f>
        <x:v>265.0228159348297</x:v>
      </x:c>
      <x:c r="G118" s="22" t="n">
        <x:f>IF('Nivel Setorial'!G118="","",'Nivel Setorial'!G118/'Nivel Setorial'!G$5*100)</x:f>
        <x:v>224.54792531217427</x:v>
      </x:c>
      <x:c r="H118" s="22" t="n">
        <x:f>IF('Nivel Setorial'!H118="","",'Nivel Setorial'!H118/'Nivel Setorial'!H$17*100)</x:f>
        <x:v>385.6517863529152</x:v>
      </x:c>
      <x:c r="I118" s="22" t="n">
        <x:f>IF('Nivel Setorial'!I118="","",'Nivel Setorial'!I118/'Nivel Setorial'!I$5*100)</x:f>
        <x:v>44.978534465821156</x:v>
      </x:c>
      <x:c r="J118" s="22" t="n">
        <x:f>IF('Nivel Setorial'!J118="","",'Nivel Setorial'!J118/'Nivel Setorial'!J$25*100)</x:f>
        <x:v>319.51721226877555</x:v>
      </x:c>
      <x:c r="K118" s="22" t="n">
        <x:f>IF('Nivel Setorial'!K118="","",'Nivel Setorial'!K118/'Nivel Setorial'!K$5*100)</x:f>
        <x:v>142.8601007026368</x:v>
      </x:c>
      <x:c r="L118" s="22" t="n">
        <x:f>IF('Nivel Setorial'!L118="","",'Nivel Setorial'!L118/'Nivel Setorial'!L$5*100)</x:f>
        <x:v>146.85550303385506</x:v>
      </x:c>
      <x:c r="M118" s="22" t="n">
        <x:f>IF('Nivel Setorial'!M118="","",'Nivel Setorial'!M118/'Nivel Setorial'!M$5*100)</x:f>
        <x:v>394.5248575999916</x:v>
      </x:c>
      <x:c r="N118" s="22" t="n">
        <x:f>IF('Nivel Setorial'!N118="","",'Nivel Setorial'!N118/'Nivel Setorial'!N$5*100)</x:f>
        <x:v>256.19842124507437</x:v>
      </x:c>
      <x:c r="O118" s="22" t="n">
        <x:f>IF('Nivel Setorial'!O118="","",'Nivel Setorial'!O118/'Nivel Setorial'!O$5*100)</x:f>
        <x:v>256.1449904113747</x:v>
      </x:c>
      <x:c r="P118" s="22" t="n">
        <x:f>IF('Nivel Setorial'!P118="","",'Nivel Setorial'!P118/'Nivel Setorial'!P$5*100)</x:f>
        <x:v>99.84187572087129</x:v>
      </x:c>
      <x:c r="Q118" s="22" t="n">
        <x:f>IF('Nivel Setorial'!Q118="","",'Nivel Setorial'!Q118/'Nivel Setorial'!Q$5*100)</x:f>
        <x:v>324.4673008629952</x:v>
      </x:c>
      <x:c r="R118" s="22" t="n">
        <x:f>IF('Nivel Setorial'!R118="","",'Nivel Setorial'!R118/'Nivel Setorial'!R$5*100)</x:f>
        <x:v>178.15374336734087</x:v>
      </x:c>
    </x:row>
    <x:row r="119">
      <x:c r="A119" s="21" t="n">
        <x:f>'Nivel Setorial'!A119</x:f>
        <x:v>43647</x:v>
      </x:c>
      <x:c r="B119" s="22" t="str">
        <x:f>IF('Nivel Setorial'!B119="","",'Nivel Setorial'!B119/'Nivel Setorial'!B$45*100)</x:f>
      </x:c>
      <x:c r="C119" s="22" t="n">
        <x:f>IF('Nivel Setorial'!C119="","",'Nivel Setorial'!C119/'Nivel Setorial'!C$5*100)</x:f>
        <x:v>384.16102064922035</x:v>
      </x:c>
      <x:c r="D119" s="22" t="n">
        <x:f>IF('Nivel Setorial'!D119="","",'Nivel Setorial'!D119/'Nivel Setorial'!D$5*100)</x:f>
        <x:v>484.7941441206664</x:v>
      </x:c>
      <x:c r="E119" s="22" t="n">
        <x:f>IF('Nivel Setorial'!E119="","",'Nivel Setorial'!E119/'Nivel Setorial'!E$49*100)</x:f>
        <x:v>263.60017947820984</x:v>
      </x:c>
      <x:c r="F119" s="22" t="n">
        <x:f>IF('Nivel Setorial'!F119="","",'Nivel Setorial'!F119/'Nivel Setorial'!F$5*100)</x:f>
        <x:v>267.3906305355469</x:v>
      </x:c>
      <x:c r="G119" s="22" t="n">
        <x:f>IF('Nivel Setorial'!G119="","",'Nivel Setorial'!G119/'Nivel Setorial'!G$5*100)</x:f>
        <x:v>229.82937938744752</x:v>
      </x:c>
      <x:c r="H119" s="22" t="n">
        <x:f>IF('Nivel Setorial'!H119="","",'Nivel Setorial'!H119/'Nivel Setorial'!H$17*100)</x:f>
        <x:v>388.03742977492954</x:v>
      </x:c>
      <x:c r="I119" s="22" t="n">
        <x:f>IF('Nivel Setorial'!I119="","",'Nivel Setorial'!I119/'Nivel Setorial'!I$5*100)</x:f>
        <x:v>45.73398188850629</x:v>
      </x:c>
      <x:c r="J119" s="22" t="n">
        <x:f>IF('Nivel Setorial'!J119="","",'Nivel Setorial'!J119/'Nivel Setorial'!J$25*100)</x:f>
        <x:v>321.1910553435967</x:v>
      </x:c>
      <x:c r="K119" s="22" t="n">
        <x:f>IF('Nivel Setorial'!K119="","",'Nivel Setorial'!K119/'Nivel Setorial'!K$5*100)</x:f>
        <x:v>150.14604199369734</x:v>
      </x:c>
      <x:c r="L119" s="22" t="n">
        <x:f>IF('Nivel Setorial'!L119="","",'Nivel Setorial'!L119/'Nivel Setorial'!L$5*100)</x:f>
        <x:v>146.20152745183876</x:v>
      </x:c>
      <x:c r="M119" s="22" t="n">
        <x:f>IF('Nivel Setorial'!M119="","",'Nivel Setorial'!M119/'Nivel Setorial'!M$5*100)</x:f>
        <x:v>379.6825831889856</x:v>
      </x:c>
      <x:c r="N119" s="22" t="n">
        <x:f>IF('Nivel Setorial'!N119="","",'Nivel Setorial'!N119/'Nivel Setorial'!N$5*100)</x:f>
        <x:v>259.14562307432</x:v>
      </x:c>
      <x:c r="O119" s="22" t="n">
        <x:f>IF('Nivel Setorial'!O119="","",'Nivel Setorial'!O119/'Nivel Setorial'!O$5*100)</x:f>
        <x:v>256.23013843441856</x:v>
      </x:c>
      <x:c r="P119" s="22" t="n">
        <x:f>IF('Nivel Setorial'!P119="","",'Nivel Setorial'!P119/'Nivel Setorial'!P$5*100)</x:f>
        <x:v>101.88117715493752</x:v>
      </x:c>
      <x:c r="Q119" s="22" t="n">
        <x:f>IF('Nivel Setorial'!Q119="","",'Nivel Setorial'!Q119/'Nivel Setorial'!Q$5*100)</x:f>
        <x:v>347.80634029952137</x:v>
      </x:c>
      <x:c r="R119" s="22" t="n">
        <x:f>IF('Nivel Setorial'!R119="","",'Nivel Setorial'!R119/'Nivel Setorial'!R$5*100)</x:f>
        <x:v>153.69590998127538</x:v>
      </x:c>
    </x:row>
    <x:row r="120">
      <x:c r="A120" s="21" t="n">
        <x:f>'Nivel Setorial'!A120</x:f>
        <x:v>43678</x:v>
      </x:c>
      <x:c r="B120" s="22" t="str">
        <x:f>IF('Nivel Setorial'!B120="","",'Nivel Setorial'!B120/'Nivel Setorial'!B$45*100)</x:f>
      </x:c>
      <x:c r="C120" s="22" t="n">
        <x:f>IF('Nivel Setorial'!C120="","",'Nivel Setorial'!C120/'Nivel Setorial'!C$5*100)</x:f>
        <x:v>394.38552646376473</x:v>
      </x:c>
      <x:c r="D120" s="22" t="n">
        <x:f>IF('Nivel Setorial'!D120="","",'Nivel Setorial'!D120/'Nivel Setorial'!D$5*100)</x:f>
        <x:v>514.3413809437893</x:v>
      </x:c>
      <x:c r="E120" s="22" t="n">
        <x:f>IF('Nivel Setorial'!E120="","",'Nivel Setorial'!E120/'Nivel Setorial'!E$49*100)</x:f>
        <x:v>266.5767424637491</x:v>
      </x:c>
      <x:c r="F120" s="22" t="n">
        <x:f>IF('Nivel Setorial'!F120="","",'Nivel Setorial'!F120/'Nivel Setorial'!F$5*100)</x:f>
        <x:v>274.1239958054104</x:v>
      </x:c>
      <x:c r="G120" s="22" t="n">
        <x:f>IF('Nivel Setorial'!G120="","",'Nivel Setorial'!G120/'Nivel Setorial'!G$5*100)</x:f>
        <x:v>242.68694267843674</x:v>
      </x:c>
      <x:c r="H120" s="22" t="n">
        <x:f>IF('Nivel Setorial'!H120="","",'Nivel Setorial'!H120/'Nivel Setorial'!H$17*100)</x:f>
        <x:v>390.9854721807107</x:v>
      </x:c>
      <x:c r="I120" s="22" t="n">
        <x:f>IF('Nivel Setorial'!I120="","",'Nivel Setorial'!I120/'Nivel Setorial'!I$5*100)</x:f>
        <x:v>46.29121141753532</x:v>
      </x:c>
      <x:c r="J120" s="22" t="n">
        <x:f>IF('Nivel Setorial'!J120="","",'Nivel Setorial'!J120/'Nivel Setorial'!J$25*100)</x:f>
        <x:v>326.3423300823077</x:v>
      </x:c>
      <x:c r="K120" s="22" t="n">
        <x:f>IF('Nivel Setorial'!K120="","",'Nivel Setorial'!K120/'Nivel Setorial'!K$5*100)</x:f>
        <x:v>146.4840957915252</x:v>
      </x:c>
      <x:c r="L120" s="22" t="n">
        <x:f>IF('Nivel Setorial'!L120="","",'Nivel Setorial'!L120/'Nivel Setorial'!L$5*100)</x:f>
        <x:v>131.83533029450126</x:v>
      </x:c>
      <x:c r="M120" s="22" t="n">
        <x:f>IF('Nivel Setorial'!M120="","",'Nivel Setorial'!M120/'Nivel Setorial'!M$5*100)</x:f>
        <x:v>338.4108255753679</x:v>
      </x:c>
      <x:c r="N120" s="22" t="n">
        <x:f>IF('Nivel Setorial'!N120="","",'Nivel Setorial'!N120/'Nivel Setorial'!N$5*100)</x:f>
        <x:v>262.0753594290469</x:v>
      </x:c>
      <x:c r="O120" s="22" t="n">
        <x:f>IF('Nivel Setorial'!O120="","",'Nivel Setorial'!O120/'Nivel Setorial'!O$5*100)</x:f>
        <x:v>252.34405692105688</x:v>
      </x:c>
      <x:c r="P120" s="22" t="n">
        <x:f>IF('Nivel Setorial'!P120="","",'Nivel Setorial'!P120/'Nivel Setorial'!P$5*100)</x:f>
        <x:v>104.17868669741115</x:v>
      </x:c>
      <x:c r="Q120" s="22" t="n">
        <x:f>IF('Nivel Setorial'!Q120="","",'Nivel Setorial'!Q120/'Nivel Setorial'!Q$5*100)</x:f>
        <x:v>365.01604493653895</x:v>
      </x:c>
      <x:c r="R120" s="22" t="n">
        <x:f>IF('Nivel Setorial'!R120="","",'Nivel Setorial'!R120/'Nivel Setorial'!R$5*100)</x:f>
        <x:v>180.07906451668302</x:v>
      </x:c>
    </x:row>
    <x:row r="121">
      <x:c r="A121" s="21" t="n">
        <x:f>'Nivel Setorial'!A121</x:f>
        <x:v>43709</x:v>
      </x:c>
      <x:c r="B121" s="22" t="str">
        <x:f>IF('Nivel Setorial'!B121="","",'Nivel Setorial'!B121/'Nivel Setorial'!B$45*100)</x:f>
      </x:c>
      <x:c r="C121" s="22" t="n">
        <x:f>IF('Nivel Setorial'!C121="","",'Nivel Setorial'!C121/'Nivel Setorial'!C$5*100)</x:f>
        <x:v>409.77056856340477</x:v>
      </x:c>
      <x:c r="D121" s="22" t="n">
        <x:f>IF('Nivel Setorial'!D121="","",'Nivel Setorial'!D121/'Nivel Setorial'!D$5*100)</x:f>
        <x:v>538.8302874915585</x:v>
      </x:c>
      <x:c r="E121" s="22" t="n">
        <x:f>IF('Nivel Setorial'!E121="","",'Nivel Setorial'!E121/'Nivel Setorial'!E$49*100)</x:f>
        <x:v>263.7902729738515</x:v>
      </x:c>
      <x:c r="F121" s="22" t="n">
        <x:f>IF('Nivel Setorial'!F121="","",'Nivel Setorial'!F121/'Nivel Setorial'!F$5*100)</x:f>
        <x:v>276.1238546659298</x:v>
      </x:c>
      <x:c r="G121" s="22" t="n">
        <x:f>IF('Nivel Setorial'!G121="","",'Nivel Setorial'!G121/'Nivel Setorial'!G$5*100)</x:f>
        <x:v>253.9717933043776</x:v>
      </x:c>
      <x:c r="H121" s="22" t="n">
        <x:f>IF('Nivel Setorial'!H121="","",'Nivel Setorial'!H121/'Nivel Setorial'!H$17*100)</x:f>
        <x:v>525.4875589501378</x:v>
      </x:c>
      <x:c r="I121" s="22" t="n">
        <x:f>IF('Nivel Setorial'!I121="","",'Nivel Setorial'!I121/'Nivel Setorial'!I$5*100)</x:f>
        <x:v>47.09254475363204</x:v>
      </x:c>
      <x:c r="J121" s="22" t="n">
        <x:f>IF('Nivel Setorial'!J121="","",'Nivel Setorial'!J121/'Nivel Setorial'!J$25*100)</x:f>
        <x:v>328.1691303348112</x:v>
      </x:c>
      <x:c r="K121" s="22" t="n">
        <x:f>IF('Nivel Setorial'!K121="","",'Nivel Setorial'!K121/'Nivel Setorial'!K$5*100)</x:f>
        <x:v>147.31944696681614</x:v>
      </x:c>
      <x:c r="L121" s="22" t="n">
        <x:f>IF('Nivel Setorial'!L121="","",'Nivel Setorial'!L121/'Nivel Setorial'!L$5*100)</x:f>
        <x:v>130.97475845666298</x:v>
      </x:c>
      <x:c r="M121" s="22" t="n">
        <x:f>IF('Nivel Setorial'!M121="","",'Nivel Setorial'!M121/'Nivel Setorial'!M$5*100)</x:f>
        <x:v>166.81437677533702</x:v>
      </x:c>
      <x:c r="N121" s="22" t="n">
        <x:f>IF('Nivel Setorial'!N121="","",'Nivel Setorial'!N121/'Nivel Setorial'!N$5*100)</x:f>
        <x:v>262.23182720772974</x:v>
      </x:c>
      <x:c r="O121" s="22" t="n">
        <x:f>IF('Nivel Setorial'!O121="","",'Nivel Setorial'!O121/'Nivel Setorial'!O$5*100)</x:f>
        <x:v>251.03439479512528</x:v>
      </x:c>
      <x:c r="P121" s="22" t="n">
        <x:f>IF('Nivel Setorial'!P121="","",'Nivel Setorial'!P121/'Nivel Setorial'!P$5*100)</x:f>
        <x:v>103.44457621160497</x:v>
      </x:c>
      <x:c r="Q121" s="22" t="n">
        <x:f>IF('Nivel Setorial'!Q121="","",'Nivel Setorial'!Q121/'Nivel Setorial'!Q$5*100)</x:f>
        <x:v>358.21605781729914</x:v>
      </x:c>
      <x:c r="R121" s="22" t="n">
        <x:f>IF('Nivel Setorial'!R121="","",'Nivel Setorial'!R121/'Nivel Setorial'!R$5*100)</x:f>
        <x:v>168.18564151393062</x:v>
      </x:c>
    </x:row>
    <x:row r="122">
      <x:c r="A122" s="21" t="n">
        <x:f>'Nivel Setorial'!A122</x:f>
        <x:v>43739</x:v>
      </x:c>
      <x:c r="B122" s="22" t="str">
        <x:f>IF('Nivel Setorial'!B122="","",'Nivel Setorial'!B122/'Nivel Setorial'!B$45*100)</x:f>
      </x:c>
      <x:c r="C122" s="22" t="n">
        <x:f>IF('Nivel Setorial'!C122="","",'Nivel Setorial'!C122/'Nivel Setorial'!C$5*100)</x:f>
        <x:v>412.5097408792848</x:v>
      </x:c>
      <x:c r="D122" s="22" t="n">
        <x:f>IF('Nivel Setorial'!D122="","",'Nivel Setorial'!D122/'Nivel Setorial'!D$5*100)</x:f>
        <x:v>558.397904499335</x:v>
      </x:c>
      <x:c r="E122" s="22" t="n">
        <x:f>IF('Nivel Setorial'!E122="","",'Nivel Setorial'!E122/'Nivel Setorial'!E$49*100)</x:f>
        <x:v>252.3110195043989</x:v>
      </x:c>
      <x:c r="F122" s="22" t="n">
        <x:f>IF('Nivel Setorial'!F122="","",'Nivel Setorial'!F122/'Nivel Setorial'!F$5*100)</x:f>
        <x:v>279.57732348535853</x:v>
      </x:c>
      <x:c r="G122" s="22" t="n">
        <x:f>IF('Nivel Setorial'!G122="","",'Nivel Setorial'!G122/'Nivel Setorial'!G$5*100)</x:f>
        <x:v>262.5842340909824</x:v>
      </x:c>
      <x:c r="H122" s="22" t="n">
        <x:f>IF('Nivel Setorial'!H122="","",'Nivel Setorial'!H122/'Nivel Setorial'!H$17*100)</x:f>
        <x:v>527.3611307963076</x:v>
      </x:c>
      <x:c r="I122" s="22" t="n">
        <x:f>IF('Nivel Setorial'!I122="","",'Nivel Setorial'!I122/'Nivel Setorial'!I$5*100)</x:f>
        <x:v>47.375531779860324</x:v>
      </x:c>
      <x:c r="J122" s="22" t="n">
        <x:f>IF('Nivel Setorial'!J122="","",'Nivel Setorial'!J122/'Nivel Setorial'!J$25*100)</x:f>
        <x:v>334.4280700569628</x:v>
      </x:c>
      <x:c r="K122" s="22" t="n">
        <x:f>IF('Nivel Setorial'!K122="","",'Nivel Setorial'!K122/'Nivel Setorial'!K$5*100)</x:f>
        <x:v>140.55027066830337</x:v>
      </x:c>
      <x:c r="L122" s="22" t="n">
        <x:f>IF('Nivel Setorial'!L122="","",'Nivel Setorial'!L122/'Nivel Setorial'!L$5*100)</x:f>
        <x:v>122.68656129705447</x:v>
      </x:c>
      <x:c r="M122" s="22" t="n">
        <x:f>IF('Nivel Setorial'!M122="","",'Nivel Setorial'!M122/'Nivel Setorial'!M$5*100)</x:f>
        <x:v>205.7912220062458</x:v>
      </x:c>
      <x:c r="N122" s="22" t="n">
        <x:f>IF('Nivel Setorial'!N122="","",'Nivel Setorial'!N122/'Nivel Setorial'!N$5*100)</x:f>
        <x:v>263.4014863153263</x:v>
      </x:c>
      <x:c r="O122" s="22" t="n">
        <x:f>IF('Nivel Setorial'!O122="","",'Nivel Setorial'!O122/'Nivel Setorial'!O$5*100)</x:f>
        <x:v>242.55500908004026</x:v>
      </x:c>
      <x:c r="P122" s="22" t="n">
        <x:f>IF('Nivel Setorial'!P122="","",'Nivel Setorial'!P122/'Nivel Setorial'!P$5*100)</x:f>
        <x:v>104.63824780159689</x:v>
      </x:c>
      <x:c r="Q122" s="22" t="n">
        <x:f>IF('Nivel Setorial'!Q122="","",'Nivel Setorial'!Q122/'Nivel Setorial'!Q$5*100)</x:f>
        <x:v>354.6350560382676</x:v>
      </x:c>
      <x:c r="R122" s="22" t="n">
        <x:f>IF('Nivel Setorial'!R122="","",'Nivel Setorial'!R122/'Nivel Setorial'!R$5*100)</x:f>
        <x:v>170.29697424664064</x:v>
      </x:c>
    </x:row>
    <x:row r="123">
      <x:c r="A123" s="21" t="n">
        <x:f>'Nivel Setorial'!A123</x:f>
        <x:v>43770</x:v>
      </x:c>
      <x:c r="B123" s="22" t="str">
        <x:f>IF('Nivel Setorial'!B123="","",'Nivel Setorial'!B123/'Nivel Setorial'!B$45*100)</x:f>
      </x:c>
      <x:c r="C123" s="22" t="n">
        <x:f>IF('Nivel Setorial'!C123="","",'Nivel Setorial'!C123/'Nivel Setorial'!C$5*100)</x:f>
        <x:v>413.79792443701217</x:v>
      </x:c>
      <x:c r="D123" s="22" t="n">
        <x:f>IF('Nivel Setorial'!D123="","",'Nivel Setorial'!D123/'Nivel Setorial'!D$5*100)</x:f>
        <x:v>556.1301468799262</x:v>
      </x:c>
      <x:c r="E123" s="22" t="n">
        <x:f>IF('Nivel Setorial'!E123="","",'Nivel Setorial'!E123/'Nivel Setorial'!E$49*100)</x:f>
        <x:v>255.09593157975905</x:v>
      </x:c>
      <x:c r="F123" s="22" t="n">
        <x:f>IF('Nivel Setorial'!F123="","",'Nivel Setorial'!F123/'Nivel Setorial'!F$5*100)</x:f>
        <x:v>280.6847256726514</x:v>
      </x:c>
      <x:c r="G123" s="22" t="n">
        <x:f>IF('Nivel Setorial'!G123="","",'Nivel Setorial'!G123/'Nivel Setorial'!G$5*100)</x:f>
        <x:v>269.14563603653477</x:v>
      </x:c>
      <x:c r="H123" s="22" t="n">
        <x:f>IF('Nivel Setorial'!H123="","",'Nivel Setorial'!H123/'Nivel Setorial'!H$17*100)</x:f>
        <x:v>533.7319918858988</x:v>
      </x:c>
      <x:c r="I123" s="22" t="n">
        <x:f>IF('Nivel Setorial'!I123="","",'Nivel Setorial'!I123/'Nivel Setorial'!I$5*100)</x:f>
        <x:v>46.9970202382114</x:v>
      </x:c>
      <x:c r="J123" s="22" t="n">
        <x:f>IF('Nivel Setorial'!J123="","",'Nivel Setorial'!J123/'Nivel Setorial'!J$25*100)</x:f>
        <x:v>339.91400621119215</x:v>
      </x:c>
      <x:c r="K123" s="22" t="n">
        <x:f>IF('Nivel Setorial'!K123="","",'Nivel Setorial'!K123/'Nivel Setorial'!K$5*100)</x:f>
        <x:v>143.4913488519649</x:v>
      </x:c>
      <x:c r="L123" s="22" t="n">
        <x:f>IF('Nivel Setorial'!L123="","",'Nivel Setorial'!L123/'Nivel Setorial'!L$5*100)</x:f>
        <x:v>128.40869207620364</x:v>
      </x:c>
      <x:c r="M123" s="22" t="n">
        <x:f>IF('Nivel Setorial'!M123="","",'Nivel Setorial'!M123/'Nivel Setorial'!M$5*100)</x:f>
        <x:v>145.77529342546393</x:v>
      </x:c>
      <x:c r="N123" s="22" t="n">
        <x:f>IF('Nivel Setorial'!N123="","",'Nivel Setorial'!N123/'Nivel Setorial'!N$5*100)</x:f>
        <x:v>271.4592328566094</x:v>
      </x:c>
      <x:c r="O123" s="22" t="n">
        <x:f>IF('Nivel Setorial'!O123="","",'Nivel Setorial'!O123/'Nivel Setorial'!O$5*100)</x:f>
        <x:v>233.96011293270286</x:v>
      </x:c>
      <x:c r="P123" s="22" t="n">
        <x:f>IF('Nivel Setorial'!P123="","",'Nivel Setorial'!P123/'Nivel Setorial'!P$5*100)</x:f>
        <x:v>104.51655264611148</x:v>
      </x:c>
      <x:c r="Q123" s="22" t="n">
        <x:f>IF('Nivel Setorial'!Q123="","",'Nivel Setorial'!Q123/'Nivel Setorial'!Q$5*100)</x:f>
        <x:v>362.7433983232</x:v>
      </x:c>
      <x:c r="R123" s="22" t="n">
        <x:f>IF('Nivel Setorial'!R123="","",'Nivel Setorial'!R123/'Nivel Setorial'!R$5*100)</x:f>
        <x:v>153.21040789016473</x:v>
      </x:c>
    </x:row>
    <x:row r="124">
      <x:c r="A124" s="21" t="n">
        <x:f>'Nivel Setorial'!A124</x:f>
        <x:v>43800</x:v>
      </x:c>
      <x:c r="B124" s="22" t="str">
        <x:f>IF('Nivel Setorial'!B124="","",'Nivel Setorial'!B124/'Nivel Setorial'!B$45*100)</x:f>
      </x:c>
      <x:c r="C124" s="22" t="n">
        <x:f>IF('Nivel Setorial'!C124="","",'Nivel Setorial'!C124/'Nivel Setorial'!C$5*100)</x:f>
        <x:v>416.8285312187275</x:v>
      </x:c>
      <x:c r="D124" s="22" t="n">
        <x:f>IF('Nivel Setorial'!D124="","",'Nivel Setorial'!D124/'Nivel Setorial'!D$5*100)</x:f>
        <x:v>584.7146526929511</x:v>
      </x:c>
      <x:c r="E124" s="22" t="n">
        <x:f>IF('Nivel Setorial'!E124="","",'Nivel Setorial'!E124/'Nivel Setorial'!E$49*100)</x:f>
        <x:v>241.09069316932502</x:v>
      </x:c>
      <x:c r="F124" s="22" t="n">
        <x:f>IF('Nivel Setorial'!F124="","",'Nivel Setorial'!F124/'Nivel Setorial'!F$5*100)</x:f>
        <x:v>282.5558775233639</x:v>
      </x:c>
      <x:c r="G124" s="22" t="n">
        <x:f>IF('Nivel Setorial'!G124="","",'Nivel Setorial'!G124/'Nivel Setorial'!G$5*100)</x:f>
        <x:v>275.3281105260611</x:v>
      </x:c>
      <x:c r="H124" s="22" t="n">
        <x:f>IF('Nivel Setorial'!H124="","",'Nivel Setorial'!H124/'Nivel Setorial'!H$17*100)</x:f>
        <x:v>537.5534986783584</x:v>
      </x:c>
      <x:c r="I124" s="22" t="n">
        <x:f>IF('Nivel Setorial'!I124="","",'Nivel Setorial'!I124/'Nivel Setorial'!I$5*100)</x:f>
        <x:v>47.036448219372815</x:v>
      </x:c>
      <x:c r="J124" s="22" t="n">
        <x:f>IF('Nivel Setorial'!J124="","",'Nivel Setorial'!J124/'Nivel Setorial'!J$25*100)</x:f>
        <x:v>330.68172063504153</x:v>
      </x:c>
      <x:c r="K124" s="22" t="n">
        <x:f>IF('Nivel Setorial'!K124="","",'Nivel Setorial'!K124/'Nivel Setorial'!K$5*100)</x:f>
        <x:v>149.08079384782351</x:v>
      </x:c>
      <x:c r="L124" s="22" t="n">
        <x:f>IF('Nivel Setorial'!L124="","",'Nivel Setorial'!L124/'Nivel Setorial'!L$5*100)</x:f>
        <x:v>125.19290482862924</x:v>
      </x:c>
      <x:c r="M124" s="22" t="n">
        <x:f>IF('Nivel Setorial'!M124="","",'Nivel Setorial'!M124/'Nivel Setorial'!M$5*100)</x:f>
        <x:v>170.37994182608725</x:v>
      </x:c>
      <x:c r="N124" s="22" t="n">
        <x:f>IF('Nivel Setorial'!N124="","",'Nivel Setorial'!N124/'Nivel Setorial'!N$5*100)</x:f>
        <x:v>319.3233807060531</x:v>
      </x:c>
      <x:c r="O124" s="22" t="n">
        <x:f>IF('Nivel Setorial'!O124="","",'Nivel Setorial'!O124/'Nivel Setorial'!O$5*100)</x:f>
        <x:v>232.38607604942354</x:v>
      </x:c>
      <x:c r="P124" s="22" t="n">
        <x:f>IF('Nivel Setorial'!P124="","",'Nivel Setorial'!P124/'Nivel Setorial'!P$5*100)</x:f>
        <x:v>104.84812120450275</x:v>
      </x:c>
      <x:c r="Q124" s="22" t="n">
        <x:f>IF('Nivel Setorial'!Q124="","",'Nivel Setorial'!Q124/'Nivel Setorial'!Q$5*100)</x:f>
        <x:v>372.58224034448506</x:v>
      </x:c>
      <x:c r="R124" s="22" t="n">
        <x:f>IF('Nivel Setorial'!R124="","",'Nivel Setorial'!R124/'Nivel Setorial'!R$5*100)</x:f>
        <x:v>152.3422999957998</x:v>
      </x:c>
    </x:row>
    <x:row r="125">
      <x:c r="A125" s="21" t="n">
        <x:f>'Nivel Setorial'!A125</x:f>
        <x:v>43831</x:v>
      </x:c>
      <x:c r="B125" s="22" t="str">
        <x:f>IF('Nivel Setorial'!B125="","",'Nivel Setorial'!B125/'Nivel Setorial'!B$45*100)</x:f>
      </x:c>
      <x:c r="C125" s="22" t="n">
        <x:f>IF('Nivel Setorial'!C125="","",'Nivel Setorial'!C125/'Nivel Setorial'!C$5*100)</x:f>
        <x:v>415.9846982056071</x:v>
      </x:c>
      <x:c r="D125" s="22" t="n">
        <x:f>IF('Nivel Setorial'!D125="","",'Nivel Setorial'!D125/'Nivel Setorial'!D$5*100)</x:f>
        <x:v>522.4698183761656</x:v>
      </x:c>
      <x:c r="E125" s="22" t="n">
        <x:f>IF('Nivel Setorial'!E125="","",'Nivel Setorial'!E125/'Nivel Setorial'!E$49*100)</x:f>
        <x:v>236.33929073789042</x:v>
      </x:c>
      <x:c r="F125" s="22" t="n">
        <x:f>IF('Nivel Setorial'!F125="","",'Nivel Setorial'!F125/'Nivel Setorial'!F$5*100)</x:f>
        <x:v>301.1639935383773</x:v>
      </x:c>
      <x:c r="G125" s="22" t="n">
        <x:f>IF('Nivel Setorial'!G125="","",'Nivel Setorial'!G125/'Nivel Setorial'!G$5*100)</x:f>
        <x:v>261.3968468761037</x:v>
      </x:c>
      <x:c r="H125" s="22" t="n">
        <x:f>IF('Nivel Setorial'!H125="","",'Nivel Setorial'!H125/'Nivel Setorial'!H$17*100)</x:f>
        <x:v>943.6889058662798</x:v>
      </x:c>
      <x:c r="I125" s="22" t="n">
        <x:f>IF('Nivel Setorial'!I125="","",'Nivel Setorial'!I125/'Nivel Setorial'!I$5*100)</x:f>
        <x:v>49.44670749890294</x:v>
      </x:c>
      <x:c r="J125" s="22" t="n">
        <x:f>IF('Nivel Setorial'!J125="","",'Nivel Setorial'!J125/'Nivel Setorial'!J$25*100)</x:f>
        <x:v>344.9331153018574</x:v>
      </x:c>
      <x:c r="K125" s="22" t="n">
        <x:f>IF('Nivel Setorial'!K125="","",'Nivel Setorial'!K125/'Nivel Setorial'!K$5*100)</x:f>
        <x:v>151.62472209554713</x:v>
      </x:c>
      <x:c r="L125" s="22" t="n">
        <x:f>IF('Nivel Setorial'!L125="","",'Nivel Setorial'!L125/'Nivel Setorial'!L$5*100)</x:f>
        <x:v>126.44762810528154</x:v>
      </x:c>
      <x:c r="M125" s="22" t="n">
        <x:f>IF('Nivel Setorial'!M125="","",'Nivel Setorial'!M125/'Nivel Setorial'!M$5*100)</x:f>
        <x:v>163.80389574463638</x:v>
      </x:c>
      <x:c r="N125" s="22" t="n">
        <x:f>IF('Nivel Setorial'!N125="","",'Nivel Setorial'!N125/'Nivel Setorial'!N$5*100)</x:f>
        <x:v>439.14358338841197</x:v>
      </x:c>
      <x:c r="O125" s="22" t="n">
        <x:f>IF('Nivel Setorial'!O125="","",'Nivel Setorial'!O125/'Nivel Setorial'!O$5*100)</x:f>
        <x:v>228.6393745378176</x:v>
      </x:c>
      <x:c r="P125" s="22" t="n">
        <x:f>IF('Nivel Setorial'!P125="","",'Nivel Setorial'!P125/'Nivel Setorial'!P$5*100)</x:f>
        <x:v>108.4002673614805</x:v>
      </x:c>
      <x:c r="Q125" s="22" t="n">
        <x:f>IF('Nivel Setorial'!Q125="","",'Nivel Setorial'!Q125/'Nivel Setorial'!Q$5*100)</x:f>
        <x:v>386.5359342301676</x:v>
      </x:c>
      <x:c r="R125" s="22" t="n">
        <x:f>IF('Nivel Setorial'!R125="","",'Nivel Setorial'!R125/'Nivel Setorial'!R$5*100)</x:f>
        <x:v>159.73721579969316</x:v>
      </x:c>
    </x:row>
    <x:row r="126">
      <x:c r="A126" s="21" t="n">
        <x:f>'Nivel Setorial'!A126</x:f>
        <x:v>43862</x:v>
      </x:c>
      <x:c r="B126" s="22" t="str">
        <x:f>IF('Nivel Setorial'!B126="","",'Nivel Setorial'!B126/'Nivel Setorial'!B$45*100)</x:f>
      </x:c>
      <x:c r="C126" s="22" t="n">
        <x:f>IF('Nivel Setorial'!C126="","",'Nivel Setorial'!C126/'Nivel Setorial'!C$5*100)</x:f>
        <x:v>416.41971323699175</x:v>
      </x:c>
      <x:c r="D126" s="22" t="n">
        <x:f>IF('Nivel Setorial'!D126="","",'Nivel Setorial'!D126/'Nivel Setorial'!D$5*100)</x:f>
        <x:v>557.9581324304671</x:v>
      </x:c>
      <x:c r="E126" s="22" t="n">
        <x:f>IF('Nivel Setorial'!E126="","",'Nivel Setorial'!E126/'Nivel Setorial'!E$49*100)</x:f>
        <x:v>216.57638195985007</x:v>
      </x:c>
      <x:c r="F126" s="22" t="n">
        <x:f>IF('Nivel Setorial'!F126="","",'Nivel Setorial'!F126/'Nivel Setorial'!F$5*100)</x:f>
        <x:v>291.99395218598175</x:v>
      </x:c>
      <x:c r="G126" s="22" t="n">
        <x:f>IF('Nivel Setorial'!G126="","",'Nivel Setorial'!G126/'Nivel Setorial'!G$5*100)</x:f>
        <x:v>257.71295129493586</x:v>
      </x:c>
      <x:c r="H126" s="22" t="n">
        <x:f>IF('Nivel Setorial'!H126="","",'Nivel Setorial'!H126/'Nivel Setorial'!H$17*100)</x:f>
        <x:v>963.1840284790832</x:v>
      </x:c>
      <x:c r="I126" s="22" t="n">
        <x:f>IF('Nivel Setorial'!I126="","",'Nivel Setorial'!I126/'Nivel Setorial'!I$5*100)</x:f>
        <x:v>50.7619670320299</x:v>
      </x:c>
      <x:c r="J126" s="22" t="n">
        <x:f>IF('Nivel Setorial'!J126="","",'Nivel Setorial'!J126/'Nivel Setorial'!J$25*100)</x:f>
        <x:v>363.45029923988454</x:v>
      </x:c>
      <x:c r="K126" s="22" t="n">
        <x:f>IF('Nivel Setorial'!K126="","",'Nivel Setorial'!K126/'Nivel Setorial'!K$5*100)</x:f>
        <x:v>151.24412324906186</x:v>
      </x:c>
      <x:c r="L126" s="22" t="n">
        <x:f>IF('Nivel Setorial'!L126="","",'Nivel Setorial'!L126/'Nivel Setorial'!L$5*100)</x:f>
        <x:v>126.34872871175405</x:v>
      </x:c>
      <x:c r="M126" s="22" t="n">
        <x:f>IF('Nivel Setorial'!M126="","",'Nivel Setorial'!M126/'Nivel Setorial'!M$5*100)</x:f>
        <x:v>184.6903446848112</x:v>
      </x:c>
      <x:c r="N126" s="22" t="n">
        <x:f>IF('Nivel Setorial'!N126="","",'Nivel Setorial'!N126/'Nivel Setorial'!N$5*100)</x:f>
        <x:v>439.7123557134048</x:v>
      </x:c>
      <x:c r="O126" s="22" t="n">
        <x:f>IF('Nivel Setorial'!O126="","",'Nivel Setorial'!O126/'Nivel Setorial'!O$5*100)</x:f>
        <x:v>236.7628014189729</x:v>
      </x:c>
      <x:c r="P126" s="22" t="n">
        <x:f>IF('Nivel Setorial'!P126="","",'Nivel Setorial'!P126/'Nivel Setorial'!P$5*100)</x:f>
        <x:v>106.87432103050254</x:v>
      </x:c>
      <x:c r="Q126" s="22" t="n">
        <x:f>IF('Nivel Setorial'!Q126="","",'Nivel Setorial'!Q126/'Nivel Setorial'!Q$5*100)</x:f>
        <x:v>397.7596550366062</x:v>
      </x:c>
      <x:c r="R126" s="22" t="n">
        <x:f>IF('Nivel Setorial'!R126="","",'Nivel Setorial'!R126/'Nivel Setorial'!R$5*100)</x:f>
        <x:v>172.03586928442974</x:v>
      </x:c>
    </x:row>
    <x:row r="127">
      <x:c r="A127" s="21" t="n">
        <x:f>'Nivel Setorial'!A127</x:f>
        <x:v>43891</x:v>
      </x:c>
      <x:c r="B127" s="22" t="str">
        <x:f>IF('Nivel Setorial'!B127="","",'Nivel Setorial'!B127/'Nivel Setorial'!B$45*100)</x:f>
      </x:c>
      <x:c r="C127" s="22" t="n">
        <x:f>IF('Nivel Setorial'!C127="","",'Nivel Setorial'!C127/'Nivel Setorial'!C$5*100)</x:f>
        <x:v>402.5116969097362</x:v>
      </x:c>
      <x:c r="D127" s="22" t="n">
        <x:f>IF('Nivel Setorial'!D127="","",'Nivel Setorial'!D127/'Nivel Setorial'!D$5*100)</x:f>
        <x:v>472.7857049770751</x:v>
      </x:c>
      <x:c r="E127" s="22" t="n">
        <x:f>IF('Nivel Setorial'!E127="","",'Nivel Setorial'!E127/'Nivel Setorial'!E$49*100)</x:f>
        <x:v>210.1878547254799</x:v>
      </x:c>
      <x:c r="F127" s="22" t="n">
        <x:f>IF('Nivel Setorial'!F127="","",'Nivel Setorial'!F127/'Nivel Setorial'!F$5*100)</x:f>
        <x:v>283.20246430798863</x:v>
      </x:c>
      <x:c r="G127" s="22" t="n">
        <x:f>IF('Nivel Setorial'!G127="","",'Nivel Setorial'!G127/'Nivel Setorial'!G$5*100)</x:f>
        <x:v>212.64598210529354</x:v>
      </x:c>
      <x:c r="H127" s="22" t="n">
        <x:f>IF('Nivel Setorial'!H127="","",'Nivel Setorial'!H127/'Nivel Setorial'!H$17*100)</x:f>
        <x:v>963.5478810915813</x:v>
      </x:c>
      <x:c r="I127" s="22" t="n">
        <x:f>IF('Nivel Setorial'!I127="","",'Nivel Setorial'!I127/'Nivel Setorial'!I$5*100)</x:f>
        <x:v>40.11702666201702</x:v>
      </x:c>
      <x:c r="J127" s="22" t="n">
        <x:f>IF('Nivel Setorial'!J127="","",'Nivel Setorial'!J127/'Nivel Setorial'!J$25*100)</x:f>
        <x:v>263.69582188546667</x:v>
      </x:c>
      <x:c r="K127" s="22" t="n">
        <x:f>IF('Nivel Setorial'!K127="","",'Nivel Setorial'!K127/'Nivel Setorial'!K$5*100)</x:f>
        <x:v>144.65519159737323</x:v>
      </x:c>
      <x:c r="L127" s="22" t="n">
        <x:f>IF('Nivel Setorial'!L127="","",'Nivel Setorial'!L127/'Nivel Setorial'!L$5*100)</x:f>
        <x:v>51.93613069269676</x:v>
      </x:c>
      <x:c r="M127" s="22" t="n">
        <x:f>IF('Nivel Setorial'!M127="","",'Nivel Setorial'!M127/'Nivel Setorial'!M$5*100)</x:f>
        <x:v>53.716954753222105</x:v>
      </x:c>
      <x:c r="N127" s="22" t="n">
        <x:f>IF('Nivel Setorial'!N127="","",'Nivel Setorial'!N127/'Nivel Setorial'!N$5*100)</x:f>
        <x:v>420.69811141119436</x:v>
      </x:c>
      <x:c r="O127" s="22" t="n">
        <x:f>IF('Nivel Setorial'!O127="","",'Nivel Setorial'!O127/'Nivel Setorial'!O$5*100)</x:f>
        <x:v>245.86989695028228</x:v>
      </x:c>
      <x:c r="P127" s="22" t="n">
        <x:f>IF('Nivel Setorial'!P127="","",'Nivel Setorial'!P127/'Nivel Setorial'!P$5*100)</x:f>
        <x:v>104.78789238704628</x:v>
      </x:c>
      <x:c r="Q127" s="22" t="n">
        <x:f>IF('Nivel Setorial'!Q127="","",'Nivel Setorial'!Q127/'Nivel Setorial'!Q$5*100)</x:f>
        <x:v>332.3217969175339</x:v>
      </x:c>
      <x:c r="R127" s="22" t="n">
        <x:f>IF('Nivel Setorial'!R127="","",'Nivel Setorial'!R127/'Nivel Setorial'!R$5*100)</x:f>
        <x:v>176.55067437448665</x:v>
      </x:c>
    </x:row>
    <x:row r="128">
      <x:c r="A128" s="21" t="n">
        <x:f>'Nivel Setorial'!A128</x:f>
        <x:v>43922</x:v>
      </x:c>
      <x:c r="B128" s="22" t="str">
        <x:f>IF('Nivel Setorial'!B128="","",'Nivel Setorial'!B128/'Nivel Setorial'!B$45*100)</x:f>
      </x:c>
      <x:c r="C128" s="22" t="n">
        <x:f>IF('Nivel Setorial'!C128="","",'Nivel Setorial'!C128/'Nivel Setorial'!C$5*100)</x:f>
        <x:v>376.5489421487018</x:v>
      </x:c>
      <x:c r="D128" s="22" t="n">
        <x:f>IF('Nivel Setorial'!D128="","",'Nivel Setorial'!D128/'Nivel Setorial'!D$5*100)</x:f>
        <x:v>184.56621891519674</x:v>
      </x:c>
      <x:c r="E128" s="22" t="n">
        <x:f>IF('Nivel Setorial'!E128="","",'Nivel Setorial'!E128/'Nivel Setorial'!E$49*100)</x:f>
        <x:v>164.2838889033877</x:v>
      </x:c>
      <x:c r="F128" s="22" t="n">
        <x:f>IF('Nivel Setorial'!F128="","",'Nivel Setorial'!F128/'Nivel Setorial'!F$5*100)</x:f>
        <x:v>270.4928759572464</x:v>
      </x:c>
      <x:c r="G128" s="22" t="n">
        <x:f>IF('Nivel Setorial'!G128="","",'Nivel Setorial'!G128/'Nivel Setorial'!G$5*100)</x:f>
        <x:v>199.26032007628174</x:v>
      </x:c>
      <x:c r="H128" s="22" t="n">
        <x:f>IF('Nivel Setorial'!H128="","",'Nivel Setorial'!H128/'Nivel Setorial'!H$17*100)</x:f>
        <x:v>942.7160714657157</x:v>
      </x:c>
      <x:c r="I128" s="22" t="n">
        <x:f>IF('Nivel Setorial'!I128="","",'Nivel Setorial'!I128/'Nivel Setorial'!I$5*100)</x:f>
        <x:v>33.48902540700473</x:v>
      </x:c>
      <x:c r="J128" s="22" t="n">
        <x:f>IF('Nivel Setorial'!J128="","",'Nivel Setorial'!J128/'Nivel Setorial'!J$25*100)</x:f>
        <x:v>207.84651906769787</x:v>
      </x:c>
      <x:c r="K128" s="22" t="n">
        <x:f>IF('Nivel Setorial'!K128="","",'Nivel Setorial'!K128/'Nivel Setorial'!K$5*100)</x:f>
        <x:v>135.57283065082717</x:v>
      </x:c>
      <x:c r="L128" s="22" t="n">
        <x:f>IF('Nivel Setorial'!L128="","",'Nivel Setorial'!L128/'Nivel Setorial'!L$5*100)</x:f>
        <x:v>30.510532861743968</x:v>
      </x:c>
      <x:c r="M128" s="22" t="n">
        <x:f>IF('Nivel Setorial'!M128="","",'Nivel Setorial'!M128/'Nivel Setorial'!M$5*100)</x:f>
        <x:v>-219.25668381658969</x:v>
      </x:c>
      <x:c r="N128" s="22" t="n">
        <x:f>IF('Nivel Setorial'!N128="","",'Nivel Setorial'!N128/'Nivel Setorial'!N$5*100)</x:f>
        <x:v>396.1592388698099</x:v>
      </x:c>
      <x:c r="O128" s="22" t="n">
        <x:f>IF('Nivel Setorial'!O128="","",'Nivel Setorial'!O128/'Nivel Setorial'!O$5*100)</x:f>
        <x:v>232.66373721398773</x:v>
      </x:c>
      <x:c r="P128" s="22" t="n">
        <x:f>IF('Nivel Setorial'!P128="","",'Nivel Setorial'!P128/'Nivel Setorial'!P$5*100)</x:f>
        <x:v>104.6115142251665</x:v>
      </x:c>
      <x:c r="Q128" s="22" t="n">
        <x:f>IF('Nivel Setorial'!Q128="","",'Nivel Setorial'!Q128/'Nivel Setorial'!Q$5*100)</x:f>
        <x:v>175.27230657286597</x:v>
      </x:c>
      <x:c r="R128" s="22" t="n">
        <x:f>IF('Nivel Setorial'!R128="","",'Nivel Setorial'!R128/'Nivel Setorial'!R$5*100)</x:f>
        <x:v>170.4870185498695</x:v>
      </x:c>
    </x:row>
    <x:row r="129">
      <x:c r="A129" s="21" t="n">
        <x:f>'Nivel Setorial'!A129</x:f>
        <x:v>43952</x:v>
      </x:c>
      <x:c r="B129" s="22" t="str">
        <x:f>IF('Nivel Setorial'!B129="","",'Nivel Setorial'!B129/'Nivel Setorial'!B$45*100)</x:f>
      </x:c>
      <x:c r="C129" s="22" t="n">
        <x:f>IF('Nivel Setorial'!C129="","",'Nivel Setorial'!C129/'Nivel Setorial'!C$5*100)</x:f>
        <x:v>344.73124278984113</x:v>
      </x:c>
      <x:c r="D129" s="22" t="n">
        <x:f>IF('Nivel Setorial'!D129="","",'Nivel Setorial'!D129/'Nivel Setorial'!D$5*100)</x:f>
        <x:v>152.87910040236147</x:v>
      </x:c>
      <x:c r="E129" s="22" t="n">
        <x:f>IF('Nivel Setorial'!E129="","",'Nivel Setorial'!E129/'Nivel Setorial'!E$49*100)</x:f>
        <x:v>178.7534465355869</x:v>
      </x:c>
      <x:c r="F129" s="22" t="n">
        <x:f>IF('Nivel Setorial'!F129="","",'Nivel Setorial'!F129/'Nivel Setorial'!F$5*100)</x:f>
        <x:v>266.82565284693686</x:v>
      </x:c>
      <x:c r="G129" s="22" t="n">
        <x:f>IF('Nivel Setorial'!G129="","",'Nivel Setorial'!G129/'Nivel Setorial'!G$5*100)</x:f>
        <x:v>213.5995021107708</x:v>
      </x:c>
      <x:c r="H129" s="22" t="n">
        <x:f>IF('Nivel Setorial'!H129="","",'Nivel Setorial'!H129/'Nivel Setorial'!H$17*100)</x:f>
        <x:v>894.4349404910585</x:v>
      </x:c>
      <x:c r="I129" s="22" t="n">
        <x:f>IF('Nivel Setorial'!I129="","",'Nivel Setorial'!I129/'Nivel Setorial'!I$5*100)</x:f>
        <x:v>33.66737907885907</x:v>
      </x:c>
      <x:c r="J129" s="22" t="n">
        <x:f>IF('Nivel Setorial'!J129="","",'Nivel Setorial'!J129/'Nivel Setorial'!J$25*100)</x:f>
        <x:v>216.1883674454747</x:v>
      </x:c>
      <x:c r="K129" s="22" t="n">
        <x:f>IF('Nivel Setorial'!K129="","",'Nivel Setorial'!K129/'Nivel Setorial'!K$5*100)</x:f>
        <x:v>146.30369829864392</x:v>
      </x:c>
      <x:c r="L129" s="22" t="n">
        <x:f>IF('Nivel Setorial'!L129="","",'Nivel Setorial'!L129/'Nivel Setorial'!L$5*100)</x:f>
        <x:v>13.71249641162468</x:v>
      </x:c>
      <x:c r="M129" s="22" t="n">
        <x:f>IF('Nivel Setorial'!M129="","",'Nivel Setorial'!M129/'Nivel Setorial'!M$5*100)</x:f>
        <x:v>-451.49113071008225</x:v>
      </x:c>
      <x:c r="N129" s="22" t="n">
        <x:f>IF('Nivel Setorial'!N129="","",'Nivel Setorial'!N129/'Nivel Setorial'!N$5*100)</x:f>
        <x:v>395.70424443293297</x:v>
      </x:c>
      <x:c r="O129" s="22" t="n">
        <x:f>IF('Nivel Setorial'!O129="","",'Nivel Setorial'!O129/'Nivel Setorial'!O$5*100)</x:f>
        <x:v>187.2677897383641</x:v>
      </x:c>
      <x:c r="P129" s="22" t="n">
        <x:f>IF('Nivel Setorial'!P129="","",'Nivel Setorial'!P129/'Nivel Setorial'!P$5*100)</x:f>
        <x:v>94.43995647337063</x:v>
      </x:c>
      <x:c r="Q129" s="22" t="n">
        <x:f>IF('Nivel Setorial'!Q129="","",'Nivel Setorial'!Q129/'Nivel Setorial'!Q$5*100)</x:f>
        <x:v>-70.22471264437762</x:v>
      </x:c>
      <x:c r="R129" s="22" t="n">
        <x:f>IF('Nivel Setorial'!R129="","",'Nivel Setorial'!R129/'Nivel Setorial'!R$5*100)</x:f>
        <x:v>186.4671754066841</x:v>
      </x:c>
    </x:row>
    <x:row r="130">
      <x:c r="A130" s="21" t="n">
        <x:f>'Nivel Setorial'!A130</x:f>
        <x:v>43983</x:v>
      </x:c>
      <x:c r="B130" s="22" t="str">
        <x:f>IF('Nivel Setorial'!B130="","",'Nivel Setorial'!B130/'Nivel Setorial'!B$45*100)</x:f>
      </x:c>
      <x:c r="C130" s="22" t="n">
        <x:f>IF('Nivel Setorial'!C130="","",'Nivel Setorial'!C130/'Nivel Setorial'!C$5*100)</x:f>
        <x:v>310.90245103977037</x:v>
      </x:c>
      <x:c r="D130" s="22" t="n">
        <x:f>IF('Nivel Setorial'!D130="","",'Nivel Setorial'!D130/'Nivel Setorial'!D$5*100)</x:f>
        <x:v>129.0891607295307</x:v>
      </x:c>
      <x:c r="E130" s="22" t="n">
        <x:f>IF('Nivel Setorial'!E130="","",'Nivel Setorial'!E130/'Nivel Setorial'!E$49*100)</x:f>
        <x:v>137.94233945792337</x:v>
      </x:c>
      <x:c r="F130" s="22" t="n">
        <x:f>IF('Nivel Setorial'!F130="","",'Nivel Setorial'!F130/'Nivel Setorial'!F$5*100)</x:f>
        <x:v>239.56004084468873</x:v>
      </x:c>
      <x:c r="G130" s="22" t="n">
        <x:f>IF('Nivel Setorial'!G130="","",'Nivel Setorial'!G130/'Nivel Setorial'!G$5*100)</x:f>
        <x:v>203.81437089853165</x:v>
      </x:c>
      <x:c r="H130" s="22" t="n">
        <x:f>IF('Nivel Setorial'!H130="","",'Nivel Setorial'!H130/'Nivel Setorial'!H$17*100)</x:f>
        <x:v>912.6914101873957</x:v>
      </x:c>
      <x:c r="I130" s="22" t="n">
        <x:f>IF('Nivel Setorial'!I130="","",'Nivel Setorial'!I130/'Nivel Setorial'!I$5*100)</x:f>
        <x:v>34.80519855036613</x:v>
      </x:c>
      <x:c r="J130" s="22" t="n">
        <x:f>IF('Nivel Setorial'!J130="","",'Nivel Setorial'!J130/'Nivel Setorial'!J$25*100)</x:f>
        <x:v>232.776516478173</x:v>
      </x:c>
      <x:c r="K130" s="22" t="n">
        <x:f>IF('Nivel Setorial'!K130="","",'Nivel Setorial'!K130/'Nivel Setorial'!K$5*100)</x:f>
        <x:v>153.34531230959445</x:v>
      </x:c>
      <x:c r="L130" s="22" t="n">
        <x:f>IF('Nivel Setorial'!L130="","",'Nivel Setorial'!L130/'Nivel Setorial'!L$5*100)</x:f>
        <x:v>2.667023387455516</x:v>
      </x:c>
      <x:c r="M130" s="22" t="n">
        <x:f>IF('Nivel Setorial'!M130="","",'Nivel Setorial'!M130/'Nivel Setorial'!M$5*100)</x:f>
        <x:v>-383.06457385499436</x:v>
      </x:c>
      <x:c r="N130" s="22" t="n">
        <x:f>IF('Nivel Setorial'!N130="","",'Nivel Setorial'!N130/'Nivel Setorial'!N$5*100)</x:f>
        <x:v>409.8633330156675</x:v>
      </x:c>
      <x:c r="O130" s="22" t="n">
        <x:f>IF('Nivel Setorial'!O130="","",'Nivel Setorial'!O130/'Nivel Setorial'!O$5*100)</x:f>
        <x:v>191.43975036103157</x:v>
      </x:c>
      <x:c r="P130" s="22" t="n">
        <x:f>IF('Nivel Setorial'!P130="","",'Nivel Setorial'!P130/'Nivel Setorial'!P$5*100)</x:f>
        <x:v>92.09151316385814</x:v>
      </x:c>
      <x:c r="Q130" s="22" t="n">
        <x:f>IF('Nivel Setorial'!Q130="","",'Nivel Setorial'!Q130/'Nivel Setorial'!Q$5*100)</x:f>
        <x:v>-60.66669742986303</x:v>
      </x:c>
      <x:c r="R130" s="22" t="n">
        <x:f>IF('Nivel Setorial'!R130="","",'Nivel Setorial'!R130/'Nivel Setorial'!R$5*100)</x:f>
        <x:v>208.15928084110556</x:v>
      </x:c>
    </x:row>
    <x:row r="131">
      <x:c r="A131" s="21" t="n">
        <x:f>'Nivel Setorial'!A131</x:f>
        <x:v>44013</x:v>
      </x:c>
      <x:c r="B131" s="22" t="str">
        <x:f>IF('Nivel Setorial'!B131="","",'Nivel Setorial'!B131/'Nivel Setorial'!B$45*100)</x:f>
      </x:c>
      <x:c r="C131" s="22" t="n">
        <x:f>IF('Nivel Setorial'!C131="","",'Nivel Setorial'!C131/'Nivel Setorial'!C$5*100)</x:f>
        <x:v>305.6330179259875</x:v>
      </x:c>
      <x:c r="D131" s="22" t="n">
        <x:f>IF('Nivel Setorial'!D131="","",'Nivel Setorial'!D131/'Nivel Setorial'!D$5*100)</x:f>
        <x:v>212.0809055237895</x:v>
      </x:c>
      <x:c r="E131" s="22" t="n">
        <x:f>IF('Nivel Setorial'!E131="","",'Nivel Setorial'!E131/'Nivel Setorial'!E$49*100)</x:f>
        <x:v>103.37959689852781</x:v>
      </x:c>
      <x:c r="F131" s="22" t="n">
        <x:f>IF('Nivel Setorial'!F131="","",'Nivel Setorial'!F131/'Nivel Setorial'!F$5*100)</x:f>
        <x:v>234.34809131552163</x:v>
      </x:c>
      <x:c r="G131" s="22" t="n">
        <x:f>IF('Nivel Setorial'!G131="","",'Nivel Setorial'!G131/'Nivel Setorial'!G$5*100)</x:f>
        <x:v>209.1622389291972</x:v>
      </x:c>
      <x:c r="H131" s="22" t="n">
        <x:f>IF('Nivel Setorial'!H131="","",'Nivel Setorial'!H131/'Nivel Setorial'!H$17*100)</x:f>
        <x:v>886.537957952428</x:v>
      </x:c>
      <x:c r="I131" s="22" t="n">
        <x:f>IF('Nivel Setorial'!I131="","",'Nivel Setorial'!I131/'Nivel Setorial'!I$5*100)</x:f>
        <x:v>36.26911360361122</x:v>
      </x:c>
      <x:c r="J131" s="22" t="n">
        <x:f>IF('Nivel Setorial'!J131="","",'Nivel Setorial'!J131/'Nivel Setorial'!J$25*100)</x:f>
        <x:v>237.16979130485308</x:v>
      </x:c>
      <x:c r="K131" s="22" t="n">
        <x:f>IF('Nivel Setorial'!K131="","",'Nivel Setorial'!K131/'Nivel Setorial'!K$5*100)</x:f>
        <x:v>162.00416584612972</x:v>
      </x:c>
      <x:c r="L131" s="22" t="n">
        <x:f>IF('Nivel Setorial'!L131="","",'Nivel Setorial'!L131/'Nivel Setorial'!L$5*100)</x:f>
        <x:v>14.546380030811182</x:v>
      </x:c>
      <x:c r="M131" s="22" t="n">
        <x:f>IF('Nivel Setorial'!M131="","",'Nivel Setorial'!M131/'Nivel Setorial'!M$5*100)</x:f>
        <x:v>-139.84878471038792</x:v>
      </x:c>
      <x:c r="N131" s="22" t="n">
        <x:f>IF('Nivel Setorial'!N131="","",'Nivel Setorial'!N131/'Nivel Setorial'!N$5*100)</x:f>
        <x:v>416.2046944956179</x:v>
      </x:c>
      <x:c r="O131" s="22" t="n">
        <x:f>IF('Nivel Setorial'!O131="","",'Nivel Setorial'!O131/'Nivel Setorial'!O$5*100)</x:f>
        <x:v>206.77660256402365</x:v>
      </x:c>
      <x:c r="P131" s="22" t="n">
        <x:f>IF('Nivel Setorial'!P131="","",'Nivel Setorial'!P131/'Nivel Setorial'!P$5*100)</x:f>
        <x:v>87.37817701207219</x:v>
      </x:c>
      <x:c r="Q131" s="22" t="n">
        <x:f>IF('Nivel Setorial'!Q131="","",'Nivel Setorial'!Q131/'Nivel Setorial'!Q$5*100)</x:f>
        <x:v>-47.53917090196266</x:v>
      </x:c>
      <x:c r="R131" s="22" t="n">
        <x:f>IF('Nivel Setorial'!R131="","",'Nivel Setorial'!R131/'Nivel Setorial'!R$5*100)</x:f>
        <x:v>206.72829348082539</x:v>
      </x:c>
    </x:row>
    <x:row r="132">
      <x:c r="A132" s="21" t="n">
        <x:f>'Nivel Setorial'!A132</x:f>
        <x:v>44044</x:v>
      </x:c>
      <x:c r="B132" s="22" t="str">
        <x:f>IF('Nivel Setorial'!B132="","",'Nivel Setorial'!B132/'Nivel Setorial'!B$45*100)</x:f>
      </x:c>
      <x:c r="C132" s="22" t="n">
        <x:f>IF('Nivel Setorial'!C132="","",'Nivel Setorial'!C132/'Nivel Setorial'!C$5*100)</x:f>
        <x:v>312.92336525296133</x:v>
      </x:c>
      <x:c r="D132" s="22" t="n">
        <x:f>IF('Nivel Setorial'!D132="","",'Nivel Setorial'!D132/'Nivel Setorial'!D$5*100)</x:f>
        <x:v>152.53535693491466</x:v>
      </x:c>
      <x:c r="E132" s="22" t="n">
        <x:f>IF('Nivel Setorial'!E132="","",'Nivel Setorial'!E132/'Nivel Setorial'!E$49*100)</x:f>
        <x:v>71.27409880207793</x:v>
      </x:c>
      <x:c r="F132" s="22" t="n">
        <x:f>IF('Nivel Setorial'!F132="","",'Nivel Setorial'!F132/'Nivel Setorial'!F$5*100)</x:f>
        <x:v>230.29994637739435</x:v>
      </x:c>
      <x:c r="G132" s="22" t="n">
        <x:f>IF('Nivel Setorial'!G132="","",'Nivel Setorial'!G132/'Nivel Setorial'!G$5*100)</x:f>
        <x:v>235.4761794279319</x:v>
      </x:c>
      <x:c r="H132" s="22" t="n">
        <x:f>IF('Nivel Setorial'!H132="","",'Nivel Setorial'!H132/'Nivel Setorial'!H$17*100)</x:f>
        <x:v>882.6772532323375</x:v>
      </x:c>
      <x:c r="I132" s="22" t="n">
        <x:f>IF('Nivel Setorial'!I132="","",'Nivel Setorial'!I132/'Nivel Setorial'!I$5*100)</x:f>
        <x:v>40.159343866131486</x:v>
      </x:c>
      <x:c r="J132" s="22" t="n">
        <x:f>IF('Nivel Setorial'!J132="","",'Nivel Setorial'!J132/'Nivel Setorial'!J$25*100)</x:f>
        <x:v>243.50724501834463</x:v>
      </x:c>
      <x:c r="K132" s="22" t="n">
        <x:f>IF('Nivel Setorial'!K132="","",'Nivel Setorial'!K132/'Nivel Setorial'!K$5*100)</x:f>
        <x:v>182.23734472642525</x:v>
      </x:c>
      <x:c r="L132" s="22" t="n">
        <x:f>IF('Nivel Setorial'!L132="","",'Nivel Setorial'!L132/'Nivel Setorial'!L$5*100)</x:f>
        <x:v>31.228634655310373</x:v>
      </x:c>
      <x:c r="M132" s="22" t="n">
        <x:f>IF('Nivel Setorial'!M132="","",'Nivel Setorial'!M132/'Nivel Setorial'!M$5*100)</x:f>
        <x:v>-4.521130593664103</x:v>
      </x:c>
      <x:c r="N132" s="22" t="n">
        <x:f>IF('Nivel Setorial'!N132="","",'Nivel Setorial'!N132/'Nivel Setorial'!N$5*100)</x:f>
        <x:v>391.9351496759877</x:v>
      </x:c>
      <x:c r="O132" s="22" t="n">
        <x:f>IF('Nivel Setorial'!O132="","",'Nivel Setorial'!O132/'Nivel Setorial'!O$5*100)</x:f>
        <x:v>227.05981018175657</x:v>
      </x:c>
      <x:c r="P132" s="22" t="n">
        <x:f>IF('Nivel Setorial'!P132="","",'Nivel Setorial'!P132/'Nivel Setorial'!P$5*100)</x:f>
        <x:v>91.6852274123899</x:v>
      </x:c>
      <x:c r="Q132" s="22" t="n">
        <x:f>IF('Nivel Setorial'!Q132="","",'Nivel Setorial'!Q132/'Nivel Setorial'!Q$5*100)</x:f>
        <x:v>-19.572083975456746</x:v>
      </x:c>
      <x:c r="R132" s="22" t="n">
        <x:f>IF('Nivel Setorial'!R132="","",'Nivel Setorial'!R132/'Nivel Setorial'!R$5*100)</x:f>
        <x:v>226.53370662421278</x:v>
      </x:c>
    </x:row>
    <x:row r="133">
      <x:c r="A133" s="21" t="n">
        <x:f>'Nivel Setorial'!A133</x:f>
        <x:v>44075</x:v>
      </x:c>
      <x:c r="B133" s="22" t="str">
        <x:f>IF('Nivel Setorial'!B133="","",'Nivel Setorial'!B133/'Nivel Setorial'!B$45*100)</x:f>
      </x:c>
      <x:c r="C133" s="22" t="n">
        <x:f>IF('Nivel Setorial'!C133="","",'Nivel Setorial'!C133/'Nivel Setorial'!C$5*100)</x:f>
        <x:v>322.57676372377966</x:v>
      </x:c>
      <x:c r="D133" s="22" t="n">
        <x:f>IF('Nivel Setorial'!D133="","",'Nivel Setorial'!D133/'Nivel Setorial'!D$5*100)</x:f>
        <x:v>218.0073656150713</x:v>
      </x:c>
      <x:c r="E133" s="22" t="n">
        <x:f>IF('Nivel Setorial'!E133="","",'Nivel Setorial'!E133/'Nivel Setorial'!E$49*100)</x:f>
        <x:v>81.11135238255497</x:v>
      </x:c>
      <x:c r="F133" s="22" t="n">
        <x:f>IF('Nivel Setorial'!F133="","",'Nivel Setorial'!F133/'Nivel Setorial'!F$5*100)</x:f>
        <x:v>231.47801881843736</x:v>
      </x:c>
      <x:c r="G133" s="22" t="n">
        <x:f>IF('Nivel Setorial'!G133="","",'Nivel Setorial'!G133/'Nivel Setorial'!G$5*100)</x:f>
        <x:v>242.09298849629675</x:v>
      </x:c>
      <x:c r="H133" s="22" t="n">
        <x:f>IF('Nivel Setorial'!H133="","",'Nivel Setorial'!H133/'Nivel Setorial'!H$17*100)</x:f>
        <x:v>922.8803861697191</x:v>
      </x:c>
      <x:c r="I133" s="22" t="n">
        <x:f>IF('Nivel Setorial'!I133="","",'Nivel Setorial'!I133/'Nivel Setorial'!I$5*100)</x:f>
        <x:v>58.82803939824057</x:v>
      </x:c>
      <x:c r="J133" s="22" t="n">
        <x:f>IF('Nivel Setorial'!J133="","",'Nivel Setorial'!J133/'Nivel Setorial'!J$25*100)</x:f>
        <x:v>223.7482920383683</x:v>
      </x:c>
      <x:c r="K133" s="22" t="n">
        <x:f>IF('Nivel Setorial'!K133="","",'Nivel Setorial'!K133/'Nivel Setorial'!K$5*100)</x:f>
        <x:v>212.44521614232866</x:v>
      </x:c>
      <x:c r="L133" s="22" t="n">
        <x:f>IF('Nivel Setorial'!L133="","",'Nivel Setorial'!L133/'Nivel Setorial'!L$5*100)</x:f>
        <x:v>47.77523276877901</x:v>
      </x:c>
      <x:c r="M133" s="22" t="n">
        <x:f>IF('Nivel Setorial'!M133="","",'Nivel Setorial'!M133/'Nivel Setorial'!M$5*100)</x:f>
        <x:v>138.63790997889797</x:v>
      </x:c>
      <x:c r="N133" s="22" t="n">
        <x:f>IF('Nivel Setorial'!N133="","",'Nivel Setorial'!N133/'Nivel Setorial'!N$5*100)</x:f>
        <x:v>409.72839388874746</x:v>
      </x:c>
      <x:c r="O133" s="22" t="n">
        <x:f>IF('Nivel Setorial'!O133="","",'Nivel Setorial'!O133/'Nivel Setorial'!O$5*100)</x:f>
        <x:v>239.83057844811455</x:v>
      </x:c>
      <x:c r="P133" s="22" t="n">
        <x:f>IF('Nivel Setorial'!P133="","",'Nivel Setorial'!P133/'Nivel Setorial'!P$5*100)</x:f>
        <x:v>92.63405545215039</x:v>
      </x:c>
      <x:c r="Q133" s="22" t="n">
        <x:f>IF('Nivel Setorial'!Q133="","",'Nivel Setorial'!Q133/'Nivel Setorial'!Q$5*100)</x:f>
        <x:v>24.362952712726305</x:v>
      </x:c>
      <x:c r="R133" s="22" t="n">
        <x:f>IF('Nivel Setorial'!R133="","",'Nivel Setorial'!R133/'Nivel Setorial'!R$5*100)</x:f>
        <x:v>217.05451861369718</x:v>
      </x:c>
    </x:row>
    <x:row r="134">
      <x:c r="A134" s="21" t="n">
        <x:f>'Nivel Setorial'!A134</x:f>
        <x:v>44105</x:v>
      </x:c>
      <x:c r="B134" s="22" t="str">
        <x:f>IF('Nivel Setorial'!B134="","",'Nivel Setorial'!B134/'Nivel Setorial'!B$45*100)</x:f>
      </x:c>
      <x:c r="C134" s="22" t="n">
        <x:f>IF('Nivel Setorial'!C134="","",'Nivel Setorial'!C134/'Nivel Setorial'!C$5*100)</x:f>
        <x:v>335.32381068467765</x:v>
      </x:c>
      <x:c r="D134" s="22" t="n">
        <x:f>IF('Nivel Setorial'!D134="","",'Nivel Setorial'!D134/'Nivel Setorial'!D$5*100)</x:f>
        <x:v>291.5823394691983</x:v>
      </x:c>
      <x:c r="E134" s="22" t="n">
        <x:f>IF('Nivel Setorial'!E134="","",'Nivel Setorial'!E134/'Nivel Setorial'!E$49*100)</x:f>
        <x:v>89.8416693744909</x:v>
      </x:c>
      <x:c r="F134" s="22" t="n">
        <x:f>IF('Nivel Setorial'!F134="","",'Nivel Setorial'!F134/'Nivel Setorial'!F$5*100)</x:f>
        <x:v>235.66453627829756</x:v>
      </x:c>
      <x:c r="G134" s="22" t="n">
        <x:f>IF('Nivel Setorial'!G134="","",'Nivel Setorial'!G134/'Nivel Setorial'!G$5*100)</x:f>
        <x:v>254.40511435286598</x:v>
      </x:c>
      <x:c r="H134" s="22" t="n">
        <x:f>IF('Nivel Setorial'!H134="","",'Nivel Setorial'!H134/'Nivel Setorial'!H$17*100)</x:f>
        <x:v>929.2924256162444</x:v>
      </x:c>
      <x:c r="I134" s="22" t="n">
        <x:f>IF('Nivel Setorial'!I134="","",'Nivel Setorial'!I134/'Nivel Setorial'!I$5*100)</x:f>
        <x:v>57.42596799713198</x:v>
      </x:c>
      <x:c r="J134" s="22" t="n">
        <x:f>IF('Nivel Setorial'!J134="","",'Nivel Setorial'!J134/'Nivel Setorial'!J$25*100)</x:f>
        <x:v>263.60609901652276</x:v>
      </x:c>
      <x:c r="K134" s="22" t="n">
        <x:f>IF('Nivel Setorial'!K134="","",'Nivel Setorial'!K134/'Nivel Setorial'!K$5*100)</x:f>
        <x:v>238.58013145793086</x:v>
      </x:c>
      <x:c r="L134" s="22" t="n">
        <x:f>IF('Nivel Setorial'!L134="","",'Nivel Setorial'!L134/'Nivel Setorial'!L$5*100)</x:f>
        <x:v>76.29655611106702</x:v>
      </x:c>
      <x:c r="M134" s="22" t="n">
        <x:f>IF('Nivel Setorial'!M134="","",'Nivel Setorial'!M134/'Nivel Setorial'!M$5*100)</x:f>
        <x:v>323.3575485414766</x:v>
      </x:c>
      <x:c r="N134" s="22" t="n">
        <x:f>IF('Nivel Setorial'!N134="","",'Nivel Setorial'!N134/'Nivel Setorial'!N$5*100)</x:f>
        <x:v>423.16153181790116</x:v>
      </x:c>
      <x:c r="O134" s="22" t="n">
        <x:f>IF('Nivel Setorial'!O134="","",'Nivel Setorial'!O134/'Nivel Setorial'!O$5*100)</x:f>
        <x:v>248.16611829646996</x:v>
      </x:c>
      <x:c r="P134" s="22" t="n">
        <x:f>IF('Nivel Setorial'!P134="","",'Nivel Setorial'!P134/'Nivel Setorial'!P$5*100)</x:f>
        <x:v>94.95976963731641</x:v>
      </x:c>
      <x:c r="Q134" s="22" t="n">
        <x:f>IF('Nivel Setorial'!Q134="","",'Nivel Setorial'!Q134/'Nivel Setorial'!Q$5*100)</x:f>
        <x:v>73.46200202773998</x:v>
      </x:c>
      <x:c r="R134" s="22" t="n">
        <x:f>IF('Nivel Setorial'!R134="","",'Nivel Setorial'!R134/'Nivel Setorial'!R$5*100)</x:f>
        <x:v>212.54156709161194</x:v>
      </x:c>
    </x:row>
    <x:row r="135">
      <x:c r="A135" s="21" t="n">
        <x:f>'Nivel Setorial'!A135</x:f>
        <x:v>44136</x:v>
      </x:c>
      <x:c r="B135" s="22" t="str">
        <x:f>IF('Nivel Setorial'!B135="","",'Nivel Setorial'!B135/'Nivel Setorial'!B$45*100)</x:f>
      </x:c>
      <x:c r="C135" s="22" t="n">
        <x:f>IF('Nivel Setorial'!C135="","",'Nivel Setorial'!C135/'Nivel Setorial'!C$5*100)</x:f>
        <x:v>354.305224005461</x:v>
      </x:c>
      <x:c r="D135" s="22" t="n">
        <x:f>IF('Nivel Setorial'!D135="","",'Nivel Setorial'!D135/'Nivel Setorial'!D$5*100)</x:f>
        <x:v>379.3241419501398</x:v>
      </x:c>
      <x:c r="E135" s="22" t="n">
        <x:f>IF('Nivel Setorial'!E135="","",'Nivel Setorial'!E135/'Nivel Setorial'!E$49*100)</x:f>
        <x:v>101.1110481568647</x:v>
      </x:c>
      <x:c r="F135" s="22" t="n">
        <x:f>IF('Nivel Setorial'!F135="","",'Nivel Setorial'!F135/'Nivel Setorial'!F$5*100)</x:f>
        <x:v>239.97732547548338</x:v>
      </x:c>
      <x:c r="G135" s="22" t="n">
        <x:f>IF('Nivel Setorial'!G135="","",'Nivel Setorial'!G135/'Nivel Setorial'!G$5*100)</x:f>
        <x:v>252.28997819350164</x:v>
      </x:c>
      <x:c r="H135" s="22" t="n">
        <x:f>IF('Nivel Setorial'!H135="","",'Nivel Setorial'!H135/'Nivel Setorial'!H$17*100)</x:f>
        <x:v>957.0596897704933</x:v>
      </x:c>
      <x:c r="I135" s="22" t="n">
        <x:f>IF('Nivel Setorial'!I135="","",'Nivel Setorial'!I135/'Nivel Setorial'!I$5*100)</x:f>
        <x:v>72.20421561993882</x:v>
      </x:c>
      <x:c r="J135" s="22" t="n">
        <x:f>IF('Nivel Setorial'!J135="","",'Nivel Setorial'!J135/'Nivel Setorial'!J$25*100)</x:f>
        <x:v>277.1619386142365</x:v>
      </x:c>
      <x:c r="K135" s="22" t="n">
        <x:f>IF('Nivel Setorial'!K135="","",'Nivel Setorial'!K135/'Nivel Setorial'!K$5*100)</x:f>
        <x:v>254.49377625811013</x:v>
      </x:c>
      <x:c r="L135" s="22" t="n">
        <x:f>IF('Nivel Setorial'!L135="","",'Nivel Setorial'!L135/'Nivel Setorial'!L$5*100)</x:f>
        <x:v>99.5557552504184</x:v>
      </x:c>
      <x:c r="M135" s="22" t="n">
        <x:f>IF('Nivel Setorial'!M135="","",'Nivel Setorial'!M135/'Nivel Setorial'!M$5*100)</x:f>
        <x:v>525.2975706094752</x:v>
      </x:c>
      <x:c r="N135" s="22" t="n">
        <x:f>IF('Nivel Setorial'!N135="","",'Nivel Setorial'!N135/'Nivel Setorial'!N$5*100)</x:f>
        <x:v>439.7449247104139</x:v>
      </x:c>
      <x:c r="O135" s="22" t="n">
        <x:f>IF('Nivel Setorial'!O135="","",'Nivel Setorial'!O135/'Nivel Setorial'!O$5*100)</x:f>
        <x:v>234.43373739290126</x:v>
      </x:c>
      <x:c r="P135" s="22" t="n">
        <x:f>IF('Nivel Setorial'!P135="","",'Nivel Setorial'!P135/'Nivel Setorial'!P$5*100)</x:f>
        <x:v>27.64975321978897</x:v>
      </x:c>
      <x:c r="Q135" s="22" t="n">
        <x:f>IF('Nivel Setorial'!Q135="","",'Nivel Setorial'!Q135/'Nivel Setorial'!Q$5*100)</x:f>
        <x:v>93.85685523650393</x:v>
      </x:c>
      <x:c r="R135" s="22" t="n">
        <x:f>IF('Nivel Setorial'!R135="","",'Nivel Setorial'!R135/'Nivel Setorial'!R$5*100)</x:f>
        <x:v>212.1071117700743</x:v>
      </x:c>
    </x:row>
    <x:row r="136">
      <x:c r="A136" s="21" t="n">
        <x:f>'Nivel Setorial'!A136</x:f>
        <x:v>44166</x:v>
      </x:c>
      <x:c r="B136" s="22" t="str">
        <x:f>IF('Nivel Setorial'!B136="","",'Nivel Setorial'!B136/'Nivel Setorial'!B$45*100)</x:f>
      </x:c>
      <x:c r="C136" s="22" t="n">
        <x:f>IF('Nivel Setorial'!C136="","",'Nivel Setorial'!C136/'Nivel Setorial'!C$5*100)</x:f>
        <x:v>361.4158377266996</x:v>
      </x:c>
      <x:c r="D136" s="22" t="n">
        <x:f>IF('Nivel Setorial'!D136="","",'Nivel Setorial'!D136/'Nivel Setorial'!D$5*100)</x:f>
        <x:v>431.86044250592346</x:v>
      </x:c>
      <x:c r="E136" s="22" t="n">
        <x:f>IF('Nivel Setorial'!E136="","",'Nivel Setorial'!E136/'Nivel Setorial'!E$49*100)</x:f>
        <x:v>83.90325811572171</x:v>
      </x:c>
      <x:c r="F136" s="22" t="n">
        <x:f>IF('Nivel Setorial'!F136="","",'Nivel Setorial'!F136/'Nivel Setorial'!F$5*100)</x:f>
        <x:v>244.7977519517972</x:v>
      </x:c>
      <x:c r="G136" s="22" t="n">
        <x:f>IF('Nivel Setorial'!G136="","",'Nivel Setorial'!G136/'Nivel Setorial'!G$5*100)</x:f>
        <x:v>258.8091951503039</x:v>
      </x:c>
      <x:c r="H136" s="22" t="n">
        <x:f>IF('Nivel Setorial'!H136="","",'Nivel Setorial'!H136/'Nivel Setorial'!H$17*100)</x:f>
        <x:v>983.2967010386874</x:v>
      </x:c>
      <x:c r="I136" s="22" t="n">
        <x:f>IF('Nivel Setorial'!I136="","",'Nivel Setorial'!I136/'Nivel Setorial'!I$5*100)</x:f>
        <x:v>75.2631852760762</x:v>
      </x:c>
      <x:c r="J136" s="22" t="n">
        <x:f>IF('Nivel Setorial'!J136="","",'Nivel Setorial'!J136/'Nivel Setorial'!J$25*100)</x:f>
        <x:v>336.1566289789367</x:v>
      </x:c>
      <x:c r="K136" s="22" t="n">
        <x:f>IF('Nivel Setorial'!K136="","",'Nivel Setorial'!K136/'Nivel Setorial'!K$5*100)</x:f>
        <x:v>268.78939514802335</x:v>
      </x:c>
      <x:c r="L136" s="22" t="n">
        <x:f>IF('Nivel Setorial'!L136="","",'Nivel Setorial'!L136/'Nivel Setorial'!L$5*100)</x:f>
        <x:v>129.13932165506736</x:v>
      </x:c>
      <x:c r="M136" s="22" t="n">
        <x:f>IF('Nivel Setorial'!M136="","",'Nivel Setorial'!M136/'Nivel Setorial'!M$5*100)</x:f>
        <x:v>671.2503513275503</x:v>
      </x:c>
      <x:c r="N136" s="22" t="n">
        <x:f>IF('Nivel Setorial'!N136="","",'Nivel Setorial'!N136/'Nivel Setorial'!N$5*100)</x:f>
        <x:v>473.3556448266368</x:v>
      </x:c>
      <x:c r="O136" s="22" t="n">
        <x:f>IF('Nivel Setorial'!O136="","",'Nivel Setorial'!O136/'Nivel Setorial'!O$5*100)</x:f>
        <x:v>245.90405144359494</x:v>
      </x:c>
      <x:c r="P136" s="22" t="n">
        <x:f>IF('Nivel Setorial'!P136="","",'Nivel Setorial'!P136/'Nivel Setorial'!P$5*100)</x:f>
        <x:v>30.301743561572223</x:v>
      </x:c>
      <x:c r="Q136" s="22" t="n">
        <x:f>IF('Nivel Setorial'!Q136="","",'Nivel Setorial'!Q136/'Nivel Setorial'!Q$5*100)</x:f>
        <x:v>170.53920875281528</x:v>
      </x:c>
      <x:c r="R136" s="22" t="n">
        <x:f>IF('Nivel Setorial'!R136="","",'Nivel Setorial'!R136/'Nivel Setorial'!R$5*100)</x:f>
        <x:v>277.3579409533261</x:v>
      </x:c>
    </x:row>
    <x:row r="137">
      <x:c r="A137" s="21" t="n">
        <x:f>'Nivel Setorial'!A137</x:f>
        <x:v>44197</x:v>
      </x:c>
      <x:c r="B137" s="22" t="str">
        <x:f>IF('Nivel Setorial'!B137="","",'Nivel Setorial'!B137/'Nivel Setorial'!B$45*100)</x:f>
      </x:c>
      <x:c r="C137" s="22" t="n">
        <x:f>IF('Nivel Setorial'!C137="","",'Nivel Setorial'!C137/'Nivel Setorial'!C$5*100)</x:f>
        <x:v>371.04925993910126</x:v>
      </x:c>
      <x:c r="D137" s="22" t="n">
        <x:f>IF('Nivel Setorial'!D137="","",'Nivel Setorial'!D137/'Nivel Setorial'!D$5*100)</x:f>
        <x:v>471.16937007811276</x:v>
      </x:c>
      <x:c r="E137" s="22" t="n">
        <x:f>IF('Nivel Setorial'!E137="","",'Nivel Setorial'!E137/'Nivel Setorial'!E$49*100)</x:f>
        <x:v>79.1114613445794</x:v>
      </x:c>
      <x:c r="F137" s="22" t="n">
        <x:f>IF('Nivel Setorial'!F137="","",'Nivel Setorial'!F137/'Nivel Setorial'!F$5*100)</x:f>
        <x:v>256.8240499581277</x:v>
      </x:c>
      <x:c r="G137" s="22" t="n">
        <x:f>IF('Nivel Setorial'!G137="","",'Nivel Setorial'!G137/'Nivel Setorial'!G$5*100)</x:f>
        <x:v>260.27147643513666</x:v>
      </x:c>
      <x:c r="H137" s="22" t="n">
        <x:f>IF('Nivel Setorial'!H137="","",'Nivel Setorial'!H137/'Nivel Setorial'!H$17*100)</x:f>
        <x:v>1006.9767907407977</x:v>
      </x:c>
      <x:c r="I137" s="22" t="n">
        <x:f>IF('Nivel Setorial'!I137="","",'Nivel Setorial'!I137/'Nivel Setorial'!I$5*100)</x:f>
        <x:v>77.27605512656007</x:v>
      </x:c>
      <x:c r="J137" s="22" t="n">
        <x:f>IF('Nivel Setorial'!J137="","",'Nivel Setorial'!J137/'Nivel Setorial'!J$25*100)</x:f>
        <x:v>329.8213366669559</x:v>
      </x:c>
      <x:c r="K137" s="22" t="n">
        <x:f>IF('Nivel Setorial'!K137="","",'Nivel Setorial'!K137/'Nivel Setorial'!K$5*100)</x:f>
        <x:v>355.4810760232888</x:v>
      </x:c>
      <x:c r="L137" s="22" t="n">
        <x:f>IF('Nivel Setorial'!L137="","",'Nivel Setorial'!L137/'Nivel Setorial'!L$5*100)</x:f>
        <x:v>132.8404230534604</x:v>
      </x:c>
      <x:c r="M137" s="22" t="n">
        <x:f>IF('Nivel Setorial'!M137="","",'Nivel Setorial'!M137/'Nivel Setorial'!M$5*100)</x:f>
        <x:v>708.1998105281622</x:v>
      </x:c>
      <x:c r="N137" s="22" t="n">
        <x:f>IF('Nivel Setorial'!N137="","",'Nivel Setorial'!N137/'Nivel Setorial'!N$5*100)</x:f>
        <x:v>475.38282351177406</x:v>
      </x:c>
      <x:c r="O137" s="22" t="n">
        <x:f>IF('Nivel Setorial'!O137="","",'Nivel Setorial'!O137/'Nivel Setorial'!O$5*100)</x:f>
        <x:v>249.47291486508183</x:v>
      </x:c>
      <x:c r="P137" s="22" t="n">
        <x:f>IF('Nivel Setorial'!P137="","",'Nivel Setorial'!P137/'Nivel Setorial'!P$5*100)</x:f>
        <x:v>29.86873825951875</x:v>
      </x:c>
      <x:c r="Q137" s="22" t="n">
        <x:f>IF('Nivel Setorial'!Q137="","",'Nivel Setorial'!Q137/'Nivel Setorial'!Q$5*100)</x:f>
        <x:v>188.26911573644435</x:v>
      </x:c>
      <x:c r="R137" s="22" t="n">
        <x:f>IF('Nivel Setorial'!R137="","",'Nivel Setorial'!R137/'Nivel Setorial'!R$5*100)</x:f>
        <x:v>278.11663946032434</x:v>
      </x:c>
    </x:row>
    <x:row r="138">
      <x:c r="A138" s="21" t="n">
        <x:f>'Nivel Setorial'!A138</x:f>
        <x:v>44228</x:v>
      </x:c>
      <x:c r="B138" s="22" t="str">
        <x:f>IF('Nivel Setorial'!B138="","",'Nivel Setorial'!B138/'Nivel Setorial'!B$45*100)</x:f>
      </x:c>
      <x:c r="C138" s="22" t="n">
        <x:f>IF('Nivel Setorial'!C138="","",'Nivel Setorial'!C138/'Nivel Setorial'!C$5*100)</x:f>
        <x:v>385.8303754629993</x:v>
      </x:c>
      <x:c r="D138" s="22" t="n">
        <x:f>IF('Nivel Setorial'!D138="","",'Nivel Setorial'!D138/'Nivel Setorial'!D$5*100)</x:f>
        <x:v>468.9467514217311</x:v>
      </x:c>
      <x:c r="E138" s="22" t="n">
        <x:f>IF('Nivel Setorial'!E138="","",'Nivel Setorial'!E138/'Nivel Setorial'!E$49*100)</x:f>
        <x:v>85.52664375901648</x:v>
      </x:c>
      <x:c r="F138" s="22" t="n">
        <x:f>IF('Nivel Setorial'!F138="","",'Nivel Setorial'!F138/'Nivel Setorial'!F$5*100)</x:f>
        <x:v>256.5174460157368</x:v>
      </x:c>
      <x:c r="G138" s="22" t="n">
        <x:f>IF('Nivel Setorial'!G138="","",'Nivel Setorial'!G138/'Nivel Setorial'!G$5*100)</x:f>
        <x:v>260.1193852414922</x:v>
      </x:c>
      <x:c r="H138" s="22" t="n">
        <x:f>IF('Nivel Setorial'!H138="","",'Nivel Setorial'!H138/'Nivel Setorial'!H$17*100)</x:f>
        <x:v>1000.989689872614</x:v>
      </x:c>
      <x:c r="I138" s="22" t="n">
        <x:f>IF('Nivel Setorial'!I138="","",'Nivel Setorial'!I138/'Nivel Setorial'!I$5*100)</x:f>
        <x:v>79.08893383446714</x:v>
      </x:c>
      <x:c r="J138" s="22" t="n">
        <x:f>IF('Nivel Setorial'!J138="","",'Nivel Setorial'!J138/'Nivel Setorial'!J$25*100)</x:f>
        <x:v>326.4745758249529</x:v>
      </x:c>
      <x:c r="K138" s="22" t="n">
        <x:f>IF('Nivel Setorial'!K138="","",'Nivel Setorial'!K138/'Nivel Setorial'!K$5*100)</x:f>
        <x:v>377.4238589054015</x:v>
      </x:c>
      <x:c r="L138" s="22" t="n">
        <x:f>IF('Nivel Setorial'!L138="","",'Nivel Setorial'!L138/'Nivel Setorial'!L$5*100)</x:f>
        <x:v>148.78760118077915</x:v>
      </x:c>
      <x:c r="M138" s="22" t="n">
        <x:f>IF('Nivel Setorial'!M138="","",'Nivel Setorial'!M138/'Nivel Setorial'!M$5*100)</x:f>
        <x:v>676.0125685282641</x:v>
      </x:c>
      <x:c r="N138" s="22" t="n">
        <x:f>IF('Nivel Setorial'!N138="","",'Nivel Setorial'!N138/'Nivel Setorial'!N$5*100)</x:f>
        <x:v>484.06425223216536</x:v>
      </x:c>
      <x:c r="O138" s="22" t="n">
        <x:f>IF('Nivel Setorial'!O138="","",'Nivel Setorial'!O138/'Nivel Setorial'!O$5*100)</x:f>
        <x:v>258.1677964385261</x:v>
      </x:c>
      <x:c r="P138" s="22" t="n">
        <x:f>IF('Nivel Setorial'!P138="","",'Nivel Setorial'!P138/'Nivel Setorial'!P$5*100)</x:f>
        <x:v>30.944453925480563</x:v>
      </x:c>
      <x:c r="Q138" s="22" t="n">
        <x:f>IF('Nivel Setorial'!Q138="","",'Nivel Setorial'!Q138/'Nivel Setorial'!Q$5*100)</x:f>
        <x:v>197.49625440647122</x:v>
      </x:c>
      <x:c r="R138" s="22" t="n">
        <x:f>IF('Nivel Setorial'!R138="","",'Nivel Setorial'!R138/'Nivel Setorial'!R$5*100)</x:f>
        <x:v>281.20327756431635</x:v>
      </x:c>
    </x:row>
    <x:row r="139">
      <x:c r="A139" s="21" t="n">
        <x:f>'Nivel Setorial'!A139</x:f>
        <x:v>44256</x:v>
      </x:c>
      <x:c r="B139" s="22" t="str">
        <x:f>IF('Nivel Setorial'!B139="","",'Nivel Setorial'!B139/'Nivel Setorial'!B$45*100)</x:f>
      </x:c>
      <x:c r="C139" s="22" t="n">
        <x:f>IF('Nivel Setorial'!C139="","",'Nivel Setorial'!C139/'Nivel Setorial'!C$5*100)</x:f>
        <x:v>389.4605752906681</x:v>
      </x:c>
      <x:c r="D139" s="22" t="n">
        <x:f>IF('Nivel Setorial'!D139="","",'Nivel Setorial'!D139/'Nivel Setorial'!D$5*100)</x:f>
        <x:v>503.25665203659435</x:v>
      </x:c>
      <x:c r="E139" s="22" t="n">
        <x:f>IF('Nivel Setorial'!E139="","",'Nivel Setorial'!E139/'Nivel Setorial'!E$49*100)</x:f>
        <x:v>81.10685895728109</x:v>
      </x:c>
      <x:c r="F139" s="22" t="n">
        <x:f>IF('Nivel Setorial'!F139="","",'Nivel Setorial'!F139/'Nivel Setorial'!F$5*100)</x:f>
        <x:v>259.9486650519035</x:v>
      </x:c>
      <x:c r="G139" s="22" t="n">
        <x:f>IF('Nivel Setorial'!G139="","",'Nivel Setorial'!G139/'Nivel Setorial'!G$5*100)</x:f>
        <x:v>275.40012537984</x:v>
      </x:c>
      <x:c r="H139" s="22" t="n">
        <x:f>IF('Nivel Setorial'!H139="","",'Nivel Setorial'!H139/'Nivel Setorial'!H$17*100)</x:f>
        <x:v>1012.1053867664206</x:v>
      </x:c>
      <x:c r="I139" s="22" t="n">
        <x:f>IF('Nivel Setorial'!I139="","",'Nivel Setorial'!I139/'Nivel Setorial'!I$5*100)</x:f>
        <x:v>81.09285219324558</x:v>
      </x:c>
      <x:c r="J139" s="22" t="n">
        <x:f>IF('Nivel Setorial'!J139="","",'Nivel Setorial'!J139/'Nivel Setorial'!J$25*100)</x:f>
        <x:v>321.2361222860699</x:v>
      </x:c>
      <x:c r="K139" s="22" t="n">
        <x:f>IF('Nivel Setorial'!K139="","",'Nivel Setorial'!K139/'Nivel Setorial'!K$5*100)</x:f>
        <x:v>443.4228983007686</x:v>
      </x:c>
      <x:c r="L139" s="22" t="n">
        <x:f>IF('Nivel Setorial'!L139="","",'Nivel Setorial'!L139/'Nivel Setorial'!L$5*100)</x:f>
        <x:v>177.13476883190043</x:v>
      </x:c>
      <x:c r="M139" s="22" t="n">
        <x:f>IF('Nivel Setorial'!M139="","",'Nivel Setorial'!M139/'Nivel Setorial'!M$5*100)</x:f>
        <x:v>908.6898838067318</x:v>
      </x:c>
      <x:c r="N139" s="22" t="n">
        <x:f>IF('Nivel Setorial'!N139="","",'Nivel Setorial'!N139/'Nivel Setorial'!N$5*100)</x:f>
        <x:v>485.33571929657325</x:v>
      </x:c>
      <x:c r="O139" s="22" t="n">
        <x:f>IF('Nivel Setorial'!O139="","",'Nivel Setorial'!O139/'Nivel Setorial'!O$5*100)</x:f>
        <x:v>261.8794651598608</x:v>
      </x:c>
      <x:c r="P139" s="22" t="n">
        <x:f>IF('Nivel Setorial'!P139="","",'Nivel Setorial'!P139/'Nivel Setorial'!P$5*100)</x:f>
        <x:v>32.779355153937566</x:v>
      </x:c>
      <x:c r="Q139" s="22" t="n">
        <x:f>IF('Nivel Setorial'!Q139="","",'Nivel Setorial'!Q139/'Nivel Setorial'!Q$5*100)</x:f>
        <x:v>135.21067583895982</x:v>
      </x:c>
      <x:c r="R139" s="22" t="n">
        <x:f>IF('Nivel Setorial'!R139="","",'Nivel Setorial'!R139/'Nivel Setorial'!R$5*100)</x:f>
        <x:v>288.47569346135646</x:v>
      </x:c>
    </x:row>
    <x:row r="140">
      <x:c r="A140" s="21" t="n">
        <x:f>'Nivel Setorial'!A140</x:f>
        <x:v>44287</x:v>
      </x:c>
      <x:c r="B140" s="22" t="str">
        <x:f>IF('Nivel Setorial'!B140="","",'Nivel Setorial'!B140/'Nivel Setorial'!B$45*100)</x:f>
      </x:c>
      <x:c r="C140" s="22" t="n">
        <x:f>IF('Nivel Setorial'!C140="","",'Nivel Setorial'!C140/'Nivel Setorial'!C$5*100)</x:f>
        <x:v>389.44195080670556</x:v>
      </x:c>
      <x:c r="D140" s="22" t="n">
        <x:f>IF('Nivel Setorial'!D140="","",'Nivel Setorial'!D140/'Nivel Setorial'!D$5*100)</x:f>
        <x:v>554.6153350081571</x:v>
      </x:c>
      <x:c r="E140" s="22" t="n">
        <x:f>IF('Nivel Setorial'!E140="","",'Nivel Setorial'!E140/'Nivel Setorial'!E$49*100)</x:f>
        <x:v>77.81519680863276</x:v>
      </x:c>
      <x:c r="F140" s="22" t="n">
        <x:f>IF('Nivel Setorial'!F140="","",'Nivel Setorial'!F140/'Nivel Setorial'!F$5*100)</x:f>
        <x:v>263.54037208023095</x:v>
      </x:c>
      <x:c r="G140" s="22" t="n">
        <x:f>IF('Nivel Setorial'!G140="","",'Nivel Setorial'!G140/'Nivel Setorial'!G$5*100)</x:f>
        <x:v>288.44679194647307</x:v>
      </x:c>
      <x:c r="H140" s="22" t="n">
        <x:f>IF('Nivel Setorial'!H140="","",'Nivel Setorial'!H140/'Nivel Setorial'!H$17*100)</x:f>
        <x:v>1012.6550010666642</x:v>
      </x:c>
      <x:c r="I140" s="22" t="n">
        <x:f>IF('Nivel Setorial'!I140="","",'Nivel Setorial'!I140/'Nivel Setorial'!I$5*100)</x:f>
        <x:v>86.12957602301631</x:v>
      </x:c>
      <x:c r="J140" s="22" t="n">
        <x:f>IF('Nivel Setorial'!J140="","",'Nivel Setorial'!J140/'Nivel Setorial'!J$25*100)</x:f>
        <x:v>306.61881191042227</x:v>
      </x:c>
      <x:c r="K140" s="22" t="n">
        <x:f>IF('Nivel Setorial'!K140="","",'Nivel Setorial'!K140/'Nivel Setorial'!K$5*100)</x:f>
        <x:v>477.59800471266846</x:v>
      </x:c>
      <x:c r="L140" s="22" t="n">
        <x:f>IF('Nivel Setorial'!L140="","",'Nivel Setorial'!L140/'Nivel Setorial'!L$5*100)</x:f>
        <x:v>227.45281519173614</x:v>
      </x:c>
      <x:c r="M140" s="22" t="n">
        <x:f>IF('Nivel Setorial'!M140="","",'Nivel Setorial'!M140/'Nivel Setorial'!M$5*100)</x:f>
        <x:v>1008.4041586170492</x:v>
      </x:c>
      <x:c r="N140" s="22" t="n">
        <x:f>IF('Nivel Setorial'!N140="","",'Nivel Setorial'!N140/'Nivel Setorial'!N$5*100)</x:f>
        <x:v>481.6119178143067</x:v>
      </x:c>
      <x:c r="O140" s="22" t="n">
        <x:f>IF('Nivel Setorial'!O140="","",'Nivel Setorial'!O140/'Nivel Setorial'!O$5*100)</x:f>
        <x:v>280.8300330941047</x:v>
      </x:c>
      <x:c r="P140" s="22" t="n">
        <x:f>IF('Nivel Setorial'!P140="","",'Nivel Setorial'!P140/'Nivel Setorial'!P$5*100)</x:f>
        <x:v>35.31754219406015</x:v>
      </x:c>
      <x:c r="Q140" s="22" t="n">
        <x:f>IF('Nivel Setorial'!Q140="","",'Nivel Setorial'!Q140/'Nivel Setorial'!Q$5*100)</x:f>
        <x:v>126.98289156292554</x:v>
      </x:c>
      <x:c r="R140" s="22" t="n">
        <x:f>IF('Nivel Setorial'!R140="","",'Nivel Setorial'!R140/'Nivel Setorial'!R$5*100)</x:f>
        <x:v>285.5298771609339</x:v>
      </x:c>
    </x:row>
    <x:row r="141">
      <x:c r="A141" s="21" t="n">
        <x:f>'Nivel Setorial'!A141</x:f>
        <x:v>44317</x:v>
      </x:c>
      <x:c r="B141" s="22" t="str">
        <x:f>IF('Nivel Setorial'!B141="","",'Nivel Setorial'!B141/'Nivel Setorial'!B$45*100)</x:f>
      </x:c>
      <x:c r="C141" s="22" t="n">
        <x:f>IF('Nivel Setorial'!C141="","",'Nivel Setorial'!C141/'Nivel Setorial'!C$5*100)</x:f>
        <x:v>400.97978529219995</x:v>
      </x:c>
      <x:c r="D141" s="22" t="n">
        <x:f>IF('Nivel Setorial'!D141="","",'Nivel Setorial'!D141/'Nivel Setorial'!D$5*100)</x:f>
        <x:v>587.9056737102959</x:v>
      </x:c>
      <x:c r="E141" s="22" t="n">
        <x:f>IF('Nivel Setorial'!E141="","",'Nivel Setorial'!E141/'Nivel Setorial'!E$49*100)</x:f>
        <x:v>70.90593085624876</x:v>
      </x:c>
      <x:c r="F141" s="22" t="n">
        <x:f>IF('Nivel Setorial'!F141="","",'Nivel Setorial'!F141/'Nivel Setorial'!F$5*100)</x:f>
        <x:v>264.1719239562236</x:v>
      </x:c>
      <x:c r="G141" s="22" t="n">
        <x:f>IF('Nivel Setorial'!G141="","",'Nivel Setorial'!G141/'Nivel Setorial'!G$5*100)</x:f>
        <x:v>281.12243952430293</x:v>
      </x:c>
      <x:c r="H141" s="22" t="n">
        <x:f>IF('Nivel Setorial'!H141="","",'Nivel Setorial'!H141/'Nivel Setorial'!H$17*100)</x:f>
        <x:v>979.8629981611889</x:v>
      </x:c>
      <x:c r="I141" s="22" t="n">
        <x:f>IF('Nivel Setorial'!I141="","",'Nivel Setorial'!I141/'Nivel Setorial'!I$5*100)</x:f>
        <x:v>87.56294426657514</x:v>
      </x:c>
      <x:c r="J141" s="22" t="n">
        <x:f>IF('Nivel Setorial'!J141="","",'Nivel Setorial'!J141/'Nivel Setorial'!J$25*100)</x:f>
        <x:v>340.8897675508527</x:v>
      </x:c>
      <x:c r="K141" s="22" t="n">
        <x:f>IF('Nivel Setorial'!K141="","",'Nivel Setorial'!K141/'Nivel Setorial'!K$5*100)</x:f>
        <x:v>493.8892613119738</x:v>
      </x:c>
      <x:c r="L141" s="22" t="n">
        <x:f>IF('Nivel Setorial'!L141="","",'Nivel Setorial'!L141/'Nivel Setorial'!L$5*100)</x:f>
        <x:v>229.03942891336163</x:v>
      </x:c>
      <x:c r="M141" s="22" t="n">
        <x:f>IF('Nivel Setorial'!M141="","",'Nivel Setorial'!M141/'Nivel Setorial'!M$5*100)</x:f>
        <x:v>939.6063739059896</x:v>
      </x:c>
      <x:c r="N141" s="22" t="n">
        <x:f>IF('Nivel Setorial'!N141="","",'Nivel Setorial'!N141/'Nivel Setorial'!N$5*100)</x:f>
        <x:v>489.3365925719336</x:v>
      </x:c>
      <x:c r="O141" s="22" t="n">
        <x:f>IF('Nivel Setorial'!O141="","",'Nivel Setorial'!O141/'Nivel Setorial'!O$5*100)</x:f>
        <x:v>285.5969776857877</x:v>
      </x:c>
      <x:c r="P141" s="22" t="n">
        <x:f>IF('Nivel Setorial'!P141="","",'Nivel Setorial'!P141/'Nivel Setorial'!P$5*100)</x:f>
        <x:v>33.285542349048356</x:v>
      </x:c>
      <x:c r="Q141" s="22" t="n">
        <x:f>IF('Nivel Setorial'!Q141="","",'Nivel Setorial'!Q141/'Nivel Setorial'!Q$5*100)</x:f>
        <x:v>133.90120094915235</x:v>
      </x:c>
      <x:c r="R141" s="22" t="n">
        <x:f>IF('Nivel Setorial'!R141="","",'Nivel Setorial'!R141/'Nivel Setorial'!R$5*100)</x:f>
        <x:v>300.2457029924562</x:v>
      </x:c>
    </x:row>
    <x:row r="142">
      <x:c r="A142" s="21" t="n">
        <x:f>'Nivel Setorial'!A142</x:f>
        <x:v>44348</x:v>
      </x:c>
      <x:c r="B142" s="22" t="str">
        <x:f>IF('Nivel Setorial'!B142="","",'Nivel Setorial'!B142/'Nivel Setorial'!B$45*100)</x:f>
      </x:c>
      <x:c r="C142" s="22" t="n">
        <x:f>IF('Nivel Setorial'!C142="","",'Nivel Setorial'!C142/'Nivel Setorial'!C$5*100)</x:f>
        <x:v>405.87785674826904</x:v>
      </x:c>
      <x:c r="D142" s="22" t="n">
        <x:f>IF('Nivel Setorial'!D142="","",'Nivel Setorial'!D142/'Nivel Setorial'!D$5*100)</x:f>
        <x:v>622.927120197794</x:v>
      </x:c>
      <x:c r="E142" s="22" t="n">
        <x:f>IF('Nivel Setorial'!E142="","",'Nivel Setorial'!E142/'Nivel Setorial'!E$49*100)</x:f>
        <x:v>74.53643236511634</x:v>
      </x:c>
      <x:c r="F142" s="22" t="n">
        <x:f>IF('Nivel Setorial'!F142="","",'Nivel Setorial'!F142/'Nivel Setorial'!F$5*100)</x:f>
        <x:v>269.65010816746474</x:v>
      </x:c>
      <x:c r="G142" s="22" t="n">
        <x:f>IF('Nivel Setorial'!G142="","",'Nivel Setorial'!G142/'Nivel Setorial'!G$5*100)</x:f>
        <x:v>287.6853420512162</x:v>
      </x:c>
      <x:c r="H142" s="22" t="n">
        <x:f>IF('Nivel Setorial'!H142="","",'Nivel Setorial'!H142/'Nivel Setorial'!H$17*100)</x:f>
        <x:v>1002.6133908014426</x:v>
      </x:c>
      <x:c r="I142" s="22" t="n">
        <x:f>IF('Nivel Setorial'!I142="","",'Nivel Setorial'!I142/'Nivel Setorial'!I$5*100)</x:f>
        <x:v>87.70698979396782</x:v>
      </x:c>
      <x:c r="J142" s="22" t="n">
        <x:f>IF('Nivel Setorial'!J142="","",'Nivel Setorial'!J142/'Nivel Setorial'!J$25*100)</x:f>
        <x:v>363.4882685232787</x:v>
      </x:c>
      <x:c r="K142" s="22" t="n">
        <x:f>IF('Nivel Setorial'!K142="","",'Nivel Setorial'!K142/'Nivel Setorial'!K$5*100)</x:f>
        <x:v>498.34371918199355</x:v>
      </x:c>
      <x:c r="L142" s="22" t="n">
        <x:f>IF('Nivel Setorial'!L142="","",'Nivel Setorial'!L142/'Nivel Setorial'!L$5*100)</x:f>
        <x:v>256.1650733554991</x:v>
      </x:c>
      <x:c r="M142" s="22" t="n">
        <x:f>IF('Nivel Setorial'!M142="","",'Nivel Setorial'!M142/'Nivel Setorial'!M$5*100)</x:f>
        <x:v>946.5829110883622</x:v>
      </x:c>
      <x:c r="N142" s="22" t="n">
        <x:f>IF('Nivel Setorial'!N142="","",'Nivel Setorial'!N142/'Nivel Setorial'!N$5*100)</x:f>
        <x:v>484.6508895152269</x:v>
      </x:c>
      <x:c r="O142" s="22" t="n">
        <x:f>IF('Nivel Setorial'!O142="","",'Nivel Setorial'!O142/'Nivel Setorial'!O$5*100)</x:f>
        <x:v>273.8482156640758</x:v>
      </x:c>
      <x:c r="P142" s="22" t="n">
        <x:f>IF('Nivel Setorial'!P142="","",'Nivel Setorial'!P142/'Nivel Setorial'!P$5*100)</x:f>
        <x:v>36.215236325269586</x:v>
      </x:c>
      <x:c r="Q142" s="22" t="n">
        <x:f>IF('Nivel Setorial'!Q142="","",'Nivel Setorial'!Q142/'Nivel Setorial'!Q$5*100)</x:f>
        <x:v>149.36360132572366</x:v>
      </x:c>
      <x:c r="R142" s="22" t="n">
        <x:f>IF('Nivel Setorial'!R142="","",'Nivel Setorial'!R142/'Nivel Setorial'!R$5*100)</x:f>
        <x:v>307.3268220684461</x:v>
      </x:c>
    </x:row>
    <x:row r="143">
      <x:c r="A143" s="21" t="n">
        <x:f>'Nivel Setorial'!A143</x:f>
        <x:v>44378</x:v>
      </x:c>
      <x:c r="B143" s="22" t="str">
        <x:f>IF('Nivel Setorial'!B143="","",'Nivel Setorial'!B143/'Nivel Setorial'!B$45*100)</x:f>
      </x:c>
      <x:c r="C143" s="22" t="n">
        <x:f>IF('Nivel Setorial'!C143="","",'Nivel Setorial'!C143/'Nivel Setorial'!C$5*100)</x:f>
        <x:v>412.4215578544746</x:v>
      </x:c>
      <x:c r="D143" s="22" t="n">
        <x:f>IF('Nivel Setorial'!D143="","",'Nivel Setorial'!D143/'Nivel Setorial'!D$5*100)</x:f>
        <x:v>683.4489664578267</x:v>
      </x:c>
      <x:c r="E143" s="22" t="n">
        <x:f>IF('Nivel Setorial'!E143="","",'Nivel Setorial'!E143/'Nivel Setorial'!E$49*100)</x:f>
        <x:v>85.33302310394144</x:v>
      </x:c>
      <x:c r="F143" s="22" t="n">
        <x:f>IF('Nivel Setorial'!F143="","",'Nivel Setorial'!F143/'Nivel Setorial'!F$5*100)</x:f>
        <x:v>276.2290472702317</x:v>
      </x:c>
      <x:c r="G143" s="22" t="n">
        <x:f>IF('Nivel Setorial'!G143="","",'Nivel Setorial'!G143/'Nivel Setorial'!G$5*100)</x:f>
        <x:v>299.1672428014156</x:v>
      </x:c>
      <x:c r="H143" s="22" t="n">
        <x:f>IF('Nivel Setorial'!H143="","",'Nivel Setorial'!H143/'Nivel Setorial'!H$17*100)</x:f>
        <x:v>1037.97712660292</x:v>
      </x:c>
      <x:c r="I143" s="22" t="n">
        <x:f>IF('Nivel Setorial'!I143="","",'Nivel Setorial'!I143/'Nivel Setorial'!I$5*100)</x:f>
        <x:v>89.44431449153039</x:v>
      </x:c>
      <x:c r="J143" s="22" t="n">
        <x:f>IF('Nivel Setorial'!J143="","",'Nivel Setorial'!J143/'Nivel Setorial'!J$25*100)</x:f>
        <x:v>364.7148182953477</x:v>
      </x:c>
      <x:c r="K143" s="22" t="n">
        <x:f>IF('Nivel Setorial'!K143="","",'Nivel Setorial'!K143/'Nivel Setorial'!K$5*100)</x:f>
        <x:v>537.0674381440806</x:v>
      </x:c>
      <x:c r="L143" s="22" t="n">
        <x:f>IF('Nivel Setorial'!L143="","",'Nivel Setorial'!L143/'Nivel Setorial'!L$5*100)</x:f>
        <x:v>265.5298987918206</x:v>
      </x:c>
      <x:c r="M143" s="22" t="n">
        <x:f>IF('Nivel Setorial'!M143="","",'Nivel Setorial'!M143/'Nivel Setorial'!M$5*100)</x:f>
        <x:v>951.1209266413127</x:v>
      </x:c>
      <x:c r="N143" s="22" t="n">
        <x:f>IF('Nivel Setorial'!N143="","",'Nivel Setorial'!N143/'Nivel Setorial'!N$5*100)</x:f>
        <x:v>484.79240593268037</x:v>
      </x:c>
      <x:c r="O143" s="22" t="n">
        <x:f>IF('Nivel Setorial'!O143="","",'Nivel Setorial'!O143/'Nivel Setorial'!O$5*100)</x:f>
        <x:v>273.21961576068423</x:v>
      </x:c>
      <x:c r="P143" s="22" t="n">
        <x:f>IF('Nivel Setorial'!P143="","",'Nivel Setorial'!P143/'Nivel Setorial'!P$5*100)</x:f>
        <x:v>37.16320997960549</x:v>
      </x:c>
      <x:c r="Q143" s="22" t="n">
        <x:f>IF('Nivel Setorial'!Q143="","",'Nivel Setorial'!Q143/'Nivel Setorial'!Q$5*100)</x:f>
        <x:v>152.2015662165566</x:v>
      </x:c>
      <x:c r="R143" s="22" t="n">
        <x:f>IF('Nivel Setorial'!R143="","",'Nivel Setorial'!R143/'Nivel Setorial'!R$5*100)</x:f>
        <x:v>318.6103943048576</x:v>
      </x:c>
    </x:row>
    <x:row r="144">
      <x:c r="A144" s="21" t="n">
        <x:f>'Nivel Setorial'!A144</x:f>
        <x:v>44409</x:v>
      </x:c>
      <x:c r="B144" s="22" t="str">
        <x:f>IF('Nivel Setorial'!B144="","",'Nivel Setorial'!B144/'Nivel Setorial'!B$45*100)</x:f>
      </x:c>
      <x:c r="C144" s="22" t="n">
        <x:f>IF('Nivel Setorial'!C144="","",'Nivel Setorial'!C144/'Nivel Setorial'!C$5*100)</x:f>
        <x:v>420.4007770751863</x:v>
      </x:c>
      <x:c r="D144" s="22" t="n">
        <x:f>IF('Nivel Setorial'!D144="","",'Nivel Setorial'!D144/'Nivel Setorial'!D$5*100)</x:f>
        <x:v>765.1273776570898</x:v>
      </x:c>
      <x:c r="E144" s="22" t="n">
        <x:f>IF('Nivel Setorial'!E144="","",'Nivel Setorial'!E144/'Nivel Setorial'!E$49*100)</x:f>
        <x:v>66.30514506218461</x:v>
      </x:c>
      <x:c r="F144" s="22" t="n">
        <x:f>IF('Nivel Setorial'!F144="","",'Nivel Setorial'!F144/'Nivel Setorial'!F$5*100)</x:f>
        <x:v>284.6526871898826</x:v>
      </x:c>
      <x:c r="G144" s="22" t="n">
        <x:f>IF('Nivel Setorial'!G144="","",'Nivel Setorial'!G144/'Nivel Setorial'!G$5*100)</x:f>
        <x:v>290.9282627840375</x:v>
      </x:c>
      <x:c r="H144" s="22" t="n">
        <x:f>IF('Nivel Setorial'!H144="","",'Nivel Setorial'!H144/'Nivel Setorial'!H$17*100)</x:f>
        <x:v>1060.8216086329287</x:v>
      </x:c>
      <x:c r="I144" s="22" t="n">
        <x:f>IF('Nivel Setorial'!I144="","",'Nivel Setorial'!I144/'Nivel Setorial'!I$5*100)</x:f>
        <x:v>90.06685632468185</x:v>
      </x:c>
      <x:c r="J144" s="22" t="n">
        <x:f>IF('Nivel Setorial'!J144="","",'Nivel Setorial'!J144/'Nivel Setorial'!J$25*100)</x:f>
        <x:v>359.39468384413806</x:v>
      </x:c>
      <x:c r="K144" s="22" t="n">
        <x:f>IF('Nivel Setorial'!K144="","",'Nivel Setorial'!K144/'Nivel Setorial'!K$5*100)</x:f>
        <x:v>521.0280707446183</x:v>
      </x:c>
      <x:c r="L144" s="22" t="n">
        <x:f>IF('Nivel Setorial'!L144="","",'Nivel Setorial'!L144/'Nivel Setorial'!L$5*100)</x:f>
        <x:v>277.7700254408237</x:v>
      </x:c>
      <x:c r="M144" s="22" t="n">
        <x:f>IF('Nivel Setorial'!M144="","",'Nivel Setorial'!M144/'Nivel Setorial'!M$5*100)</x:f>
        <x:v>846.4895132522398</x:v>
      </x:c>
      <x:c r="N144" s="22" t="n">
        <x:f>IF('Nivel Setorial'!N144="","",'Nivel Setorial'!N144/'Nivel Setorial'!N$5*100)</x:f>
        <x:v>505.8634542779431</x:v>
      </x:c>
      <x:c r="O144" s="22" t="n">
        <x:f>IF('Nivel Setorial'!O144="","",'Nivel Setorial'!O144/'Nivel Setorial'!O$5*100)</x:f>
        <x:v>262.822579617195</x:v>
      </x:c>
      <x:c r="P144" s="22" t="n">
        <x:f>IF('Nivel Setorial'!P144="","",'Nivel Setorial'!P144/'Nivel Setorial'!P$5*100)</x:f>
        <x:v>36.3788303526334</x:v>
      </x:c>
      <x:c r="Q144" s="22" t="n">
        <x:f>IF('Nivel Setorial'!Q144="","",'Nivel Setorial'!Q144/'Nivel Setorial'!Q$5*100)</x:f>
        <x:v>159.0458565512669</x:v>
      </x:c>
      <x:c r="R144" s="22" t="n">
        <x:f>IF('Nivel Setorial'!R144="","",'Nivel Setorial'!R144/'Nivel Setorial'!R$5*100)</x:f>
        <x:v>295.09307744694553</x:v>
      </x:c>
    </x:row>
    <x:row r="145">
      <x:c r="A145" s="21" t="n">
        <x:f>'Nivel Setorial'!A145</x:f>
        <x:v>44440</x:v>
      </x:c>
      <x:c r="B145" s="22" t="str">
        <x:f>IF('Nivel Setorial'!B145="","",'Nivel Setorial'!B145/'Nivel Setorial'!B$45*100)</x:f>
      </x:c>
      <x:c r="C145" s="22" t="n">
        <x:f>IF('Nivel Setorial'!C145="","",'Nivel Setorial'!C145/'Nivel Setorial'!C$5*100)</x:f>
        <x:v>430.41479087447715</x:v>
      </x:c>
      <x:c r="D145" s="22" t="n">
        <x:f>IF('Nivel Setorial'!D145="","",'Nivel Setorial'!D145/'Nivel Setorial'!D$5*100)</x:f>
        <x:v>771.0059818129748</x:v>
      </x:c>
      <x:c r="E145" s="22" t="n">
        <x:f>IF('Nivel Setorial'!E145="","",'Nivel Setorial'!E145/'Nivel Setorial'!E$49*100)</x:f>
        <x:v>56.90590395524938</x:v>
      </x:c>
      <x:c r="F145" s="22" t="n">
        <x:f>IF('Nivel Setorial'!F145="","",'Nivel Setorial'!F145/'Nivel Setorial'!F$5*100)</x:f>
        <x:v>280.7007069418865</x:v>
      </x:c>
      <x:c r="G145" s="22" t="n">
        <x:f>IF('Nivel Setorial'!G145="","",'Nivel Setorial'!G145/'Nivel Setorial'!G$5*100)</x:f>
        <x:v>329.7150543764626</x:v>
      </x:c>
      <x:c r="H145" s="22" t="n">
        <x:f>IF('Nivel Setorial'!H145="","",'Nivel Setorial'!H145/'Nivel Setorial'!H$17*100)</x:f>
        <x:v>1575.9111192320913</x:v>
      </x:c>
      <x:c r="I145" s="22" t="n">
        <x:f>IF('Nivel Setorial'!I145="","",'Nivel Setorial'!I145/'Nivel Setorial'!I$5*100)</x:f>
        <x:v>90.4990880665327</x:v>
      </x:c>
      <x:c r="J145" s="22" t="n">
        <x:f>IF('Nivel Setorial'!J145="","",'Nivel Setorial'!J145/'Nivel Setorial'!J$25*100)</x:f>
        <x:v>366.76440723795605</x:v>
      </x:c>
      <x:c r="K145" s="22" t="n">
        <x:f>IF('Nivel Setorial'!K145="","",'Nivel Setorial'!K145/'Nivel Setorial'!K$5*100)</x:f>
        <x:v>483.2516290296174</x:v>
      </x:c>
      <x:c r="L145" s="22" t="n">
        <x:f>IF('Nivel Setorial'!L145="","",'Nivel Setorial'!L145/'Nivel Setorial'!L$5*100)</x:f>
        <x:v>287.4405412357301</x:v>
      </x:c>
      <x:c r="M145" s="22" t="n">
        <x:f>IF('Nivel Setorial'!M145="","",'Nivel Setorial'!M145/'Nivel Setorial'!M$5*100)</x:f>
        <x:v>842.0499074503917</x:v>
      </x:c>
      <x:c r="N145" s="22" t="n">
        <x:f>IF('Nivel Setorial'!N145="","",'Nivel Setorial'!N145/'Nivel Setorial'!N$5*100)</x:f>
        <x:v>537.1962062049499</x:v>
      </x:c>
      <x:c r="O145" s="22" t="n">
        <x:f>IF('Nivel Setorial'!O145="","",'Nivel Setorial'!O145/'Nivel Setorial'!O$5*100)</x:f>
        <x:v>255.01136920380029</x:v>
      </x:c>
      <x:c r="P145" s="22" t="n">
        <x:f>IF('Nivel Setorial'!P145="","",'Nivel Setorial'!P145/'Nivel Setorial'!P$5*100)</x:f>
        <x:v>38.9835876610458</x:v>
      </x:c>
      <x:c r="Q145" s="22" t="n">
        <x:f>IF('Nivel Setorial'!Q145="","",'Nivel Setorial'!Q145/'Nivel Setorial'!Q$5*100)</x:f>
        <x:v>179.64733234268832</x:v>
      </x:c>
      <x:c r="R145" s="22" t="n">
        <x:f>IF('Nivel Setorial'!R145="","",'Nivel Setorial'!R145/'Nivel Setorial'!R$5*100)</x:f>
        <x:v>320.72874590748285</x:v>
      </x:c>
    </x:row>
    <x:row r="146">
      <x:c r="A146" s="21" t="n">
        <x:f>'Nivel Setorial'!A146</x:f>
        <x:v>44470</x:v>
      </x:c>
      <x:c r="B146" s="22" t="str">
        <x:f>IF('Nivel Setorial'!B146="","",'Nivel Setorial'!B146/'Nivel Setorial'!B$45*100)</x:f>
      </x:c>
      <x:c r="C146" s="22" t="n">
        <x:f>IF('Nivel Setorial'!C146="","",'Nivel Setorial'!C146/'Nivel Setorial'!C$5*100)</x:f>
        <x:v>433.9894572010907</x:v>
      </x:c>
      <x:c r="D146" s="22" t="n">
        <x:f>IF('Nivel Setorial'!D146="","",'Nivel Setorial'!D146/'Nivel Setorial'!D$5*100)</x:f>
        <x:v>787.4262639342556</x:v>
      </x:c>
      <x:c r="E146" s="22" t="n">
        <x:f>IF('Nivel Setorial'!E146="","",'Nivel Setorial'!E146/'Nivel Setorial'!E$49*100)</x:f>
        <x:v>59.43898122032203</x:v>
      </x:c>
      <x:c r="F146" s="22" t="n">
        <x:f>IF('Nivel Setorial'!F146="","",'Nivel Setorial'!F146/'Nivel Setorial'!F$5*100)</x:f>
        <x:v>160.2667469626303</x:v>
      </x:c>
      <x:c r="G146" s="22" t="n">
        <x:f>IF('Nivel Setorial'!G146="","",'Nivel Setorial'!G146/'Nivel Setorial'!G$5*100)</x:f>
        <x:v>344.1684959750343</x:v>
      </x:c>
      <x:c r="H146" s="22" t="n">
        <x:f>IF('Nivel Setorial'!H146="","",'Nivel Setorial'!H146/'Nivel Setorial'!H$17*100)</x:f>
        <x:v>1578.3318765165316</x:v>
      </x:c>
      <x:c r="I146" s="22" t="n">
        <x:f>IF('Nivel Setorial'!I146="","",'Nivel Setorial'!I146/'Nivel Setorial'!I$5*100)</x:f>
        <x:v>90.16838926953257</x:v>
      </x:c>
      <x:c r="J146" s="22" t="n">
        <x:f>IF('Nivel Setorial'!J146="","",'Nivel Setorial'!J146/'Nivel Setorial'!J$25*100)</x:f>
        <x:v>367.6260228536526</x:v>
      </x:c>
      <x:c r="K146" s="22" t="n">
        <x:f>IF('Nivel Setorial'!K146="","",'Nivel Setorial'!K146/'Nivel Setorial'!K$5*100)</x:f>
        <x:v>382.2801198973565</x:v>
      </x:c>
      <x:c r="L146" s="22" t="n">
        <x:f>IF('Nivel Setorial'!L146="","",'Nivel Setorial'!L146/'Nivel Setorial'!L$5*100)</x:f>
        <x:v>311.30051203033264</x:v>
      </x:c>
      <x:c r="M146" s="22" t="n">
        <x:f>IF('Nivel Setorial'!M146="","",'Nivel Setorial'!M146/'Nivel Setorial'!M$5*100)</x:f>
        <x:v>734.0913058317497</x:v>
      </x:c>
      <x:c r="N146" s="22" t="n">
        <x:f>IF('Nivel Setorial'!N146="","",'Nivel Setorial'!N146/'Nivel Setorial'!N$5*100)</x:f>
        <x:v>499.77385007228514</x:v>
      </x:c>
      <x:c r="O146" s="22" t="n">
        <x:f>IF('Nivel Setorial'!O146="","",'Nivel Setorial'!O146/'Nivel Setorial'!O$5*100)</x:f>
        <x:v>257.55891184064626</x:v>
      </x:c>
      <x:c r="P146" s="22" t="n">
        <x:f>IF('Nivel Setorial'!P146="","",'Nivel Setorial'!P146/'Nivel Setorial'!P$5*100)</x:f>
        <x:v>38.78133996991633</x:v>
      </x:c>
      <x:c r="Q146" s="22" t="n">
        <x:f>IF('Nivel Setorial'!Q146="","",'Nivel Setorial'!Q146/'Nivel Setorial'!Q$5*100)</x:f>
        <x:v>179.9508297630948</x:v>
      </x:c>
      <x:c r="R146" s="22" t="n">
        <x:f>IF('Nivel Setorial'!R146="","",'Nivel Setorial'!R146/'Nivel Setorial'!R$5*100)</x:f>
        <x:v>321.48569584589734</x:v>
      </x:c>
    </x:row>
    <x:row r="147">
      <x:c r="A147" s="21" t="n">
        <x:f>'Nivel Setorial'!A147</x:f>
        <x:v>44501</x:v>
      </x:c>
      <x:c r="B147" s="22" t="str">
        <x:f>IF('Nivel Setorial'!B147="","",'Nivel Setorial'!B147/'Nivel Setorial'!B$45*100)</x:f>
      </x:c>
      <x:c r="C147" s="22" t="n">
        <x:f>IF('Nivel Setorial'!C147="","",'Nivel Setorial'!C147/'Nivel Setorial'!C$5*100)</x:f>
        <x:v>439.0236493574525</x:v>
      </x:c>
      <x:c r="D147" s="22" t="n">
        <x:f>IF('Nivel Setorial'!D147="","",'Nivel Setorial'!D147/'Nivel Setorial'!D$5*100)</x:f>
        <x:v>845.7410029324421</x:v>
      </x:c>
      <x:c r="E147" s="22" t="n">
        <x:f>IF('Nivel Setorial'!E147="","",'Nivel Setorial'!E147/'Nivel Setorial'!E$49*100)</x:f>
        <x:v>17.35669153477511</x:v>
      </x:c>
      <x:c r="F147" s="22" t="n">
        <x:f>IF('Nivel Setorial'!F147="","",'Nivel Setorial'!F147/'Nivel Setorial'!F$5*100)</x:f>
        <x:v>295.4829149242984</x:v>
      </x:c>
      <x:c r="G147" s="22" t="n">
        <x:f>IF('Nivel Setorial'!G147="","",'Nivel Setorial'!G147/'Nivel Setorial'!G$5*100)</x:f>
        <x:v>382.05409343061336</x:v>
      </x:c>
      <x:c r="H147" s="22" t="n">
        <x:f>IF('Nivel Setorial'!H147="","",'Nivel Setorial'!H147/'Nivel Setorial'!H$17*100)</x:f>
        <x:v>1469.746937675278</x:v>
      </x:c>
      <x:c r="I147" s="22" t="n">
        <x:f>IF('Nivel Setorial'!I147="","",'Nivel Setorial'!I147/'Nivel Setorial'!I$5*100)</x:f>
        <x:v>89.26279711116442</x:v>
      </x:c>
      <x:c r="J147" s="22" t="n">
        <x:f>IF('Nivel Setorial'!J147="","",'Nivel Setorial'!J147/'Nivel Setorial'!J$25*100)</x:f>
        <x:v>373.2562398905753</x:v>
      </x:c>
      <x:c r="K147" s="22" t="n">
        <x:f>IF('Nivel Setorial'!K147="","",'Nivel Setorial'!K147/'Nivel Setorial'!K$5*100)</x:f>
        <x:v>334.5518338290062</x:v>
      </x:c>
      <x:c r="L147" s="22" t="n">
        <x:f>IF('Nivel Setorial'!L147="","",'Nivel Setorial'!L147/'Nivel Setorial'!L$5*100)</x:f>
        <x:v>343.77486015995794</x:v>
      </x:c>
      <x:c r="M147" s="22" t="n">
        <x:f>IF('Nivel Setorial'!M147="","",'Nivel Setorial'!M147/'Nivel Setorial'!M$5*100)</x:f>
        <x:v>644.9735569278421</x:v>
      </x:c>
      <x:c r="N147" s="22" t="n">
        <x:f>IF('Nivel Setorial'!N147="","",'Nivel Setorial'!N147/'Nivel Setorial'!N$5*100)</x:f>
        <x:v>459.0427497070836</x:v>
      </x:c>
      <x:c r="O147" s="22" t="n">
        <x:f>IF('Nivel Setorial'!O147="","",'Nivel Setorial'!O147/'Nivel Setorial'!O$5*100)</x:f>
        <x:v>254.90242260050516</x:v>
      </x:c>
      <x:c r="P147" s="22" t="n">
        <x:f>IF('Nivel Setorial'!P147="","",'Nivel Setorial'!P147/'Nivel Setorial'!P$5*100)</x:f>
        <x:v>38.267557834016436</x:v>
      </x:c>
      <x:c r="Q147" s="22" t="n">
        <x:f>IF('Nivel Setorial'!Q147="","",'Nivel Setorial'!Q147/'Nivel Setorial'!Q$5*100)</x:f>
        <x:v>146.01156229219333</x:v>
      </x:c>
      <x:c r="R147" s="22" t="n">
        <x:f>IF('Nivel Setorial'!R147="","",'Nivel Setorial'!R147/'Nivel Setorial'!R$5*100)</x:f>
        <x:v>331.5381672413241</x:v>
      </x:c>
    </x:row>
    <x:row r="148">
      <x:c r="A148" s="21" t="n">
        <x:f>'Nivel Setorial'!A148</x:f>
        <x:v>44531</x:v>
      </x:c>
      <x:c r="B148" s="22" t="str">
        <x:f>IF('Nivel Setorial'!B148="","",'Nivel Setorial'!B148/'Nivel Setorial'!B$45*100)</x:f>
      </x:c>
      <x:c r="C148" s="22" t="n">
        <x:f>IF('Nivel Setorial'!C148="","",'Nivel Setorial'!C148/'Nivel Setorial'!C$5*100)</x:f>
        <x:v>442.2244254390992</x:v>
      </x:c>
      <x:c r="D148" s="22" t="n">
        <x:f>IF('Nivel Setorial'!D148="","",'Nivel Setorial'!D148/'Nivel Setorial'!D$5*100)</x:f>
        <x:v>861.9950298470602</x:v>
      </x:c>
      <x:c r="E148" s="22" t="n">
        <x:f>IF('Nivel Setorial'!E148="","",'Nivel Setorial'!E148/'Nivel Setorial'!E$49*100)</x:f>
        <x:v>25.590255741737767</x:v>
      </x:c>
      <x:c r="F148" s="22" t="n">
        <x:f>IF('Nivel Setorial'!F148="","",'Nivel Setorial'!F148/'Nivel Setorial'!F$5*100)</x:f>
        <x:v>297.10984030089435</x:v>
      </x:c>
      <x:c r="G148" s="22" t="n">
        <x:f>IF('Nivel Setorial'!G148="","",'Nivel Setorial'!G148/'Nivel Setorial'!G$5*100)</x:f>
        <x:v>359.35919039051333</x:v>
      </x:c>
      <x:c r="H148" s="22" t="n">
        <x:f>IF('Nivel Setorial'!H148="","",'Nivel Setorial'!H148/'Nivel Setorial'!H$17*100)</x:f>
        <x:v>1498.0843350053526</x:v>
      </x:c>
      <x:c r="I148" s="22" t="n">
        <x:f>IF('Nivel Setorial'!I148="","",'Nivel Setorial'!I148/'Nivel Setorial'!I$5*100)</x:f>
        <x:v>89.52746217796975</x:v>
      </x:c>
      <x:c r="J148" s="22" t="n">
        <x:f>IF('Nivel Setorial'!J148="","",'Nivel Setorial'!J148/'Nivel Setorial'!J$25*100)</x:f>
        <x:v>427.3362446571075</x:v>
      </x:c>
      <x:c r="K148" s="22" t="n">
        <x:f>IF('Nivel Setorial'!K148="","",'Nivel Setorial'!K148/'Nivel Setorial'!K$5*100)</x:f>
        <x:v>311.22322689432804</x:v>
      </x:c>
      <x:c r="L148" s="22" t="n">
        <x:f>IF('Nivel Setorial'!L148="","",'Nivel Setorial'!L148/'Nivel Setorial'!L$5*100)</x:f>
        <x:v>338.1191391803654</x:v>
      </x:c>
      <x:c r="M148" s="22" t="n">
        <x:f>IF('Nivel Setorial'!M148="","",'Nivel Setorial'!M148/'Nivel Setorial'!M$5*100)</x:f>
        <x:v>618.8395121934507</x:v>
      </x:c>
      <x:c r="N148" s="22" t="n">
        <x:f>IF('Nivel Setorial'!N148="","",'Nivel Setorial'!N148/'Nivel Setorial'!N$5*100)</x:f>
        <x:v>424.42589366756937</x:v>
      </x:c>
      <x:c r="O148" s="22" t="n">
        <x:f>IF('Nivel Setorial'!O148="","",'Nivel Setorial'!O148/'Nivel Setorial'!O$5*100)</x:f>
        <x:v>260.26350495486446</x:v>
      </x:c>
      <x:c r="P148" s="22" t="n">
        <x:f>IF('Nivel Setorial'!P148="","",'Nivel Setorial'!P148/'Nivel Setorial'!P$5*100)</x:f>
        <x:v>37.53929174378225</x:v>
      </x:c>
      <x:c r="Q148" s="22" t="n">
        <x:f>IF('Nivel Setorial'!Q148="","",'Nivel Setorial'!Q148/'Nivel Setorial'!Q$5*100)</x:f>
        <x:v>177.38872421730755</x:v>
      </x:c>
      <x:c r="R148" s="22" t="n">
        <x:f>IF('Nivel Setorial'!R148="","",'Nivel Setorial'!R148/'Nivel Setorial'!R$5*100)</x:f>
        <x:v>316.01548261915013</x:v>
      </x:c>
    </x:row>
    <x:row r="149">
      <x:c r="A149" s="21" t="n">
        <x:f>'Nivel Setorial'!A149</x:f>
        <x:v>44562</x:v>
      </x:c>
      <x:c r="B149" s="22" t="str">
        <x:f>IF('Nivel Setorial'!B149="","",'Nivel Setorial'!B149/'Nivel Setorial'!B$45*100)</x:f>
      </x:c>
      <x:c r="C149" s="22" t="n">
        <x:f>IF('Nivel Setorial'!C149="","",'Nivel Setorial'!C149/'Nivel Setorial'!C$5*100)</x:f>
        <x:v>449.40548921505103</x:v>
      </x:c>
      <x:c r="D149" s="22" t="n">
        <x:f>IF('Nivel Setorial'!D149="","",'Nivel Setorial'!D149/'Nivel Setorial'!D$5*100)</x:f>
        <x:v>894.6321226917739</x:v>
      </x:c>
      <x:c r="E149" s="22" t="n">
        <x:f>IF('Nivel Setorial'!E149="","",'Nivel Setorial'!E149/'Nivel Setorial'!E$49*100)</x:f>
        <x:v>18.74885930509783</x:v>
      </x:c>
      <x:c r="F149" s="22" t="n">
        <x:f>IF('Nivel Setorial'!F149="","",'Nivel Setorial'!F149/'Nivel Setorial'!F$5*100)</x:f>
        <x:v>289.6881929710345</x:v>
      </x:c>
      <x:c r="G149" s="22" t="n">
        <x:f>IF('Nivel Setorial'!G149="","",'Nivel Setorial'!G149/'Nivel Setorial'!G$5*100)</x:f>
        <x:v>356.1562537746932</x:v>
      </x:c>
      <x:c r="H149" s="22" t="n">
        <x:f>IF('Nivel Setorial'!H149="","",'Nivel Setorial'!H149/'Nivel Setorial'!H$17*100)</x:f>
        <x:v>1444.3314315502885</x:v>
      </x:c>
      <x:c r="I149" s="22" t="n">
        <x:f>IF('Nivel Setorial'!I149="","",'Nivel Setorial'!I149/'Nivel Setorial'!I$5*100)</x:f>
        <x:v>87.24481476936526</x:v>
      </x:c>
      <x:c r="J149" s="22" t="n">
        <x:f>IF('Nivel Setorial'!J149="","",'Nivel Setorial'!J149/'Nivel Setorial'!J$25*100)</x:f>
        <x:v>445.2727296416844</x:v>
      </x:c>
      <x:c r="K149" s="22" t="n">
        <x:f>IF('Nivel Setorial'!K149="","",'Nivel Setorial'!K149/'Nivel Setorial'!K$5*100)</x:f>
        <x:v>346.4511673472823</x:v>
      </x:c>
      <x:c r="L149" s="22" t="n">
        <x:f>IF('Nivel Setorial'!L149="","",'Nivel Setorial'!L149/'Nivel Setorial'!L$5*100)</x:f>
        <x:v>349.48734584784233</x:v>
      </x:c>
      <x:c r="M149" s="22" t="n">
        <x:f>IF('Nivel Setorial'!M149="","",'Nivel Setorial'!M149/'Nivel Setorial'!M$5*100)</x:f>
        <x:v>661.9697779045008</x:v>
      </x:c>
      <x:c r="N149" s="22" t="n">
        <x:f>IF('Nivel Setorial'!N149="","",'Nivel Setorial'!N149/'Nivel Setorial'!N$5*100)</x:f>
        <x:v>421.7661844329628</x:v>
      </x:c>
      <x:c r="O149" s="22" t="n">
        <x:f>IF('Nivel Setorial'!O149="","",'Nivel Setorial'!O149/'Nivel Setorial'!O$5*100)</x:f>
        <x:v>250.99844204663867</x:v>
      </x:c>
      <x:c r="P149" s="22" t="n">
        <x:f>IF('Nivel Setorial'!P149="","",'Nivel Setorial'!P149/'Nivel Setorial'!P$5*100)</x:f>
        <x:v>39.63924526127614</x:v>
      </x:c>
      <x:c r="Q149" s="22" t="n">
        <x:f>IF('Nivel Setorial'!Q149="","",'Nivel Setorial'!Q149/'Nivel Setorial'!Q$5*100)</x:f>
        <x:v>209.8257825217977</x:v>
      </x:c>
      <x:c r="R149" s="22" t="n">
        <x:f>IF('Nivel Setorial'!R149="","",'Nivel Setorial'!R149/'Nivel Setorial'!R$5*100)</x:f>
        <x:v>310.64824202295955</x:v>
      </x:c>
    </x:row>
    <x:row r="150">
      <x:c r="A150" s="21" t="n">
        <x:f>'Nivel Setorial'!A150</x:f>
        <x:v>44593</x:v>
      </x:c>
      <x:c r="B150" s="22" t="str">
        <x:f>IF('Nivel Setorial'!B150="","",'Nivel Setorial'!B150/'Nivel Setorial'!B$45*100)</x:f>
      </x:c>
      <x:c r="C150" s="22" t="n">
        <x:f>IF('Nivel Setorial'!C150="","",'Nivel Setorial'!C150/'Nivel Setorial'!C$5*100)</x:f>
        <x:v>457.0164012296507</x:v>
      </x:c>
      <x:c r="D150" s="22" t="n">
        <x:f>IF('Nivel Setorial'!D150="","",'Nivel Setorial'!D150/'Nivel Setorial'!D$5*100)</x:f>
        <x:v>855.7814271700576</x:v>
      </x:c>
      <x:c r="E150" s="22" t="n">
        <x:f>IF('Nivel Setorial'!E150="","",'Nivel Setorial'!E150/'Nivel Setorial'!E$49*100)</x:f>
        <x:v>24.652598440733225</x:v>
      </x:c>
      <x:c r="F150" s="22" t="n">
        <x:f>IF('Nivel Setorial'!F150="","",'Nivel Setorial'!F150/'Nivel Setorial'!F$5*100)</x:f>
        <x:v>303.7369508471643</x:v>
      </x:c>
      <x:c r="G150" s="22" t="n">
        <x:f>IF('Nivel Setorial'!G150="","",'Nivel Setorial'!G150/'Nivel Setorial'!G$5*100)</x:f>
        <x:v>377.062386803776</x:v>
      </x:c>
      <x:c r="H150" s="22" t="n">
        <x:f>IF('Nivel Setorial'!H150="","",'Nivel Setorial'!H150/'Nivel Setorial'!H$17*100)</x:f>
        <x:v>1319.30531834627</x:v>
      </x:c>
      <x:c r="I150" s="22" t="n">
        <x:f>IF('Nivel Setorial'!I150="","",'Nivel Setorial'!I150/'Nivel Setorial'!I$5*100)</x:f>
        <x:v>84.09978903148682</x:v>
      </x:c>
      <x:c r="J150" s="22" t="n">
        <x:f>IF('Nivel Setorial'!J150="","",'Nivel Setorial'!J150/'Nivel Setorial'!J$25*100)</x:f>
        <x:v>449.2685512086113</x:v>
      </x:c>
      <x:c r="K150" s="22" t="n">
        <x:f>IF('Nivel Setorial'!K150="","",'Nivel Setorial'!K150/'Nivel Setorial'!K$5*100)</x:f>
        <x:v>359.0305895788186</x:v>
      </x:c>
      <x:c r="L150" s="22" t="n">
        <x:f>IF('Nivel Setorial'!L150="","",'Nivel Setorial'!L150/'Nivel Setorial'!L$5*100)</x:f>
        <x:v>344.58029052826953</x:v>
      </x:c>
      <x:c r="M150" s="22" t="n">
        <x:f>IF('Nivel Setorial'!M150="","",'Nivel Setorial'!M150/'Nivel Setorial'!M$5*100)</x:f>
        <x:v>696.0658975263453</x:v>
      </x:c>
      <x:c r="N150" s="22" t="n">
        <x:f>IF('Nivel Setorial'!N150="","",'Nivel Setorial'!N150/'Nivel Setorial'!N$5*100)</x:f>
        <x:v>420.7665898698117</x:v>
      </x:c>
      <x:c r="O150" s="22" t="n">
        <x:f>IF('Nivel Setorial'!O150="","",'Nivel Setorial'!O150/'Nivel Setorial'!O$5*100)</x:f>
        <x:v>254.69321597429624</x:v>
      </x:c>
      <x:c r="P150" s="22" t="n">
        <x:f>IF('Nivel Setorial'!P150="","",'Nivel Setorial'!P150/'Nivel Setorial'!P$5*100)</x:f>
        <x:v>42.219727216530224</x:v>
      </x:c>
      <x:c r="Q150" s="22" t="n">
        <x:f>IF('Nivel Setorial'!Q150="","",'Nivel Setorial'!Q150/'Nivel Setorial'!Q$5*100)</x:f>
        <x:v>215.94074298988465</x:v>
      </x:c>
      <x:c r="R150" s="22" t="n">
        <x:f>IF('Nivel Setorial'!R150="","",'Nivel Setorial'!R150/'Nivel Setorial'!R$5*100)</x:f>
        <x:v>296.7444557334053</x:v>
      </x:c>
    </x:row>
    <x:row r="151">
      <x:c r="A151" s="21" t="n">
        <x:f>'Nivel Setorial'!A151</x:f>
        <x:v>44621</x:v>
      </x:c>
      <x:c r="B151" s="22" t="str">
        <x:f>IF('Nivel Setorial'!B151="","",'Nivel Setorial'!B151/'Nivel Setorial'!B$45*100)</x:f>
      </x:c>
      <x:c r="C151" s="22" t="n">
        <x:f>IF('Nivel Setorial'!C151="","",'Nivel Setorial'!C151/'Nivel Setorial'!C$5*100)</x:f>
        <x:v>465.3680256637655</x:v>
      </x:c>
      <x:c r="D151" s="22" t="n">
        <x:f>IF('Nivel Setorial'!D151="","",'Nivel Setorial'!D151/'Nivel Setorial'!D$5*100)</x:f>
        <x:v>848.7626506083385</x:v>
      </x:c>
      <x:c r="E151" s="22" t="n">
        <x:f>IF('Nivel Setorial'!E151="","",'Nivel Setorial'!E151/'Nivel Setorial'!E$49*100)</x:f>
        <x:v>9.171634429724028</x:v>
      </x:c>
      <x:c r="F151" s="22" t="n">
        <x:f>IF('Nivel Setorial'!F151="","",'Nivel Setorial'!F151/'Nivel Setorial'!F$5*100)</x:f>
        <x:v>305.45127525056864</x:v>
      </x:c>
      <x:c r="G151" s="22" t="n">
        <x:f>IF('Nivel Setorial'!G151="","",'Nivel Setorial'!G151/'Nivel Setorial'!G$5*100)</x:f>
        <x:v>368.5569051446984</x:v>
      </x:c>
      <x:c r="H151" s="22" t="n">
        <x:f>IF('Nivel Setorial'!H151="","",'Nivel Setorial'!H151/'Nivel Setorial'!H$17*100)</x:f>
        <x:v>1389.4087947298963</x:v>
      </x:c>
      <x:c r="I151" s="22" t="n">
        <x:f>IF('Nivel Setorial'!I151="","",'Nivel Setorial'!I151/'Nivel Setorial'!I$5*100)</x:f>
        <x:v>90.37539477197954</x:v>
      </x:c>
      <x:c r="J151" s="22" t="n">
        <x:f>IF('Nivel Setorial'!J151="","",'Nivel Setorial'!J151/'Nivel Setorial'!J$25*100)</x:f>
        <x:v>456.5687467293548</x:v>
      </x:c>
      <x:c r="K151" s="22" t="n">
        <x:f>IF('Nivel Setorial'!K151="","",'Nivel Setorial'!K151/'Nivel Setorial'!K$5*100)</x:f>
        <x:v>381.68321992149913</x:v>
      </x:c>
      <x:c r="L151" s="22" t="n">
        <x:f>IF('Nivel Setorial'!L151="","",'Nivel Setorial'!L151/'Nivel Setorial'!L$5*100)</x:f>
        <x:v>394.5774463764398</x:v>
      </x:c>
      <x:c r="M151" s="22" t="n">
        <x:f>IF('Nivel Setorial'!M151="","",'Nivel Setorial'!M151/'Nivel Setorial'!M$5*100)</x:f>
        <x:v>921.6376060328596</x:v>
      </x:c>
      <x:c r="N151" s="22" t="n">
        <x:f>IF('Nivel Setorial'!N151="","",'Nivel Setorial'!N151/'Nivel Setorial'!N$5*100)</x:f>
        <x:v>432.12981812389256</x:v>
      </x:c>
      <x:c r="O151" s="22" t="n">
        <x:f>IF('Nivel Setorial'!O151="","",'Nivel Setorial'!O151/'Nivel Setorial'!O$5*100)</x:f>
        <x:v>258.37391867076104</x:v>
      </x:c>
      <x:c r="P151" s="22" t="n">
        <x:f>IF('Nivel Setorial'!P151="","",'Nivel Setorial'!P151/'Nivel Setorial'!P$5*100)</x:f>
        <x:v>43.337348104800746</x:v>
      </x:c>
      <x:c r="Q151" s="22" t="n">
        <x:f>IF('Nivel Setorial'!Q151="","",'Nivel Setorial'!Q151/'Nivel Setorial'!Q$5*100)</x:f>
        <x:v>213.4353409356683</x:v>
      </x:c>
      <x:c r="R151" s="22" t="n">
        <x:f>IF('Nivel Setorial'!R151="","",'Nivel Setorial'!R151/'Nivel Setorial'!R$5*100)</x:f>
        <x:v>316.18159247167057</x:v>
      </x:c>
    </x:row>
    <x:row r="152">
      <x:c r="A152" s="21" t="n">
        <x:f>'Nivel Setorial'!A152</x:f>
        <x:v>44652</x:v>
      </x:c>
      <x:c r="B152" s="22" t="str">
        <x:f>IF('Nivel Setorial'!B152="","",'Nivel Setorial'!B152/'Nivel Setorial'!B$45*100)</x:f>
      </x:c>
      <x:c r="C152" s="22" t="n">
        <x:f>IF('Nivel Setorial'!C152="","",'Nivel Setorial'!C152/'Nivel Setorial'!C$5*100)</x:f>
        <x:v>466.7482603886852</x:v>
      </x:c>
      <x:c r="D152" s="22" t="n">
        <x:f>IF('Nivel Setorial'!D152="","",'Nivel Setorial'!D152/'Nivel Setorial'!D$5*100)</x:f>
        <x:v>851.3017351453293</x:v>
      </x:c>
      <x:c r="E152" s="22" t="n">
        <x:f>IF('Nivel Setorial'!E152="","",'Nivel Setorial'!E152/'Nivel Setorial'!E$49*100)</x:f>
        <x:v>18.27331013760922</x:v>
      </x:c>
      <x:c r="F152" s="22" t="n">
        <x:f>IF('Nivel Setorial'!F152="","",'Nivel Setorial'!F152/'Nivel Setorial'!F$5*100)</x:f>
        <x:v>307.6241693268468</x:v>
      </x:c>
      <x:c r="G152" s="22" t="n">
        <x:f>IF('Nivel Setorial'!G152="","",'Nivel Setorial'!G152/'Nivel Setorial'!G$5*100)</x:f>
        <x:v>377.375087087347</x:v>
      </x:c>
      <x:c r="H152" s="22" t="n">
        <x:f>IF('Nivel Setorial'!H152="","",'Nivel Setorial'!H152/'Nivel Setorial'!H$17*100)</x:f>
        <x:v>1389.6029452363168</x:v>
      </x:c>
      <x:c r="I152" s="22" t="n">
        <x:f>IF('Nivel Setorial'!I152="","",'Nivel Setorial'!I152/'Nivel Setorial'!I$5*100)</x:f>
        <x:v>83.90326950476349</x:v>
      </x:c>
      <x:c r="J152" s="22" t="n">
        <x:f>IF('Nivel Setorial'!J152="","",'Nivel Setorial'!J152/'Nivel Setorial'!J$25*100)</x:f>
        <x:v>469.579110760246</x:v>
      </x:c>
      <x:c r="K152" s="22" t="n">
        <x:f>IF('Nivel Setorial'!K152="","",'Nivel Setorial'!K152/'Nivel Setorial'!K$5*100)</x:f>
        <x:v>413.9905865683817</x:v>
      </x:c>
      <x:c r="L152" s="22" t="n">
        <x:f>IF('Nivel Setorial'!L152="","",'Nivel Setorial'!L152/'Nivel Setorial'!L$5*100)</x:f>
        <x:v>406.20901001646763</x:v>
      </x:c>
      <x:c r="M152" s="22" t="n">
        <x:f>IF('Nivel Setorial'!M152="","",'Nivel Setorial'!M152/'Nivel Setorial'!M$5*100)</x:f>
        <x:v>875.5543345694523</x:v>
      </x:c>
      <x:c r="N152" s="22" t="n">
        <x:f>IF('Nivel Setorial'!N152="","",'Nivel Setorial'!N152/'Nivel Setorial'!N$5*100)</x:f>
        <x:v>436.8385723022205</x:v>
      </x:c>
      <x:c r="O152" s="22" t="n">
        <x:f>IF('Nivel Setorial'!O152="","",'Nivel Setorial'!O152/'Nivel Setorial'!O$5*100)</x:f>
        <x:v>260.75078939549354</x:v>
      </x:c>
      <x:c r="P152" s="22" t="n">
        <x:f>IF('Nivel Setorial'!P152="","",'Nivel Setorial'!P152/'Nivel Setorial'!P$5*100)</x:f>
        <x:v>41.993369227037135</x:v>
      </x:c>
      <x:c r="Q152" s="22" t="n">
        <x:f>IF('Nivel Setorial'!Q152="","",'Nivel Setorial'!Q152/'Nivel Setorial'!Q$5*100)</x:f>
        <x:v>239.4294605507543</x:v>
      </x:c>
      <x:c r="R152" s="22" t="n">
        <x:f>IF('Nivel Setorial'!R152="","",'Nivel Setorial'!R152/'Nivel Setorial'!R$5*100)</x:f>
        <x:v>293.49032361269263</x:v>
      </x:c>
    </x:row>
    <x:row r="153">
      <x:c r="A153" s="21" t="n">
        <x:f>'Nivel Setorial'!A153</x:f>
        <x:v>44682</x:v>
      </x:c>
      <x:c r="B153" s="22" t="n">
        <x:f>IF('Nivel Setorial'!B153="","",'Nivel Setorial'!B153/'Nivel Setorial'!B$45*100)</x:f>
        <x:v>-17551.965995842893</x:v>
      </x:c>
      <x:c r="C153" s="22" t="n">
        <x:f>IF('Nivel Setorial'!C153="","",'Nivel Setorial'!C153/'Nivel Setorial'!C$5*100)</x:f>
        <x:v>477.3846383126157</x:v>
      </x:c>
      <x:c r="D153" s="22" t="n">
        <x:f>IF('Nivel Setorial'!D153="","",'Nivel Setorial'!D153/'Nivel Setorial'!D$5*100)</x:f>
        <x:v>875.2554077803115</x:v>
      </x:c>
      <x:c r="E153" s="22" t="n">
        <x:f>IF('Nivel Setorial'!E153="","",'Nivel Setorial'!E153/'Nivel Setorial'!E$49*100)</x:f>
        <x:v>18.95617765430583</x:v>
      </x:c>
      <x:c r="F153" s="22" t="n">
        <x:f>IF('Nivel Setorial'!F153="","",'Nivel Setorial'!F153/'Nivel Setorial'!F$5*100)</x:f>
        <x:v>315.8430329868826</x:v>
      </x:c>
      <x:c r="G153" s="22" t="n">
        <x:f>IF('Nivel Setorial'!G153="","",'Nivel Setorial'!G153/'Nivel Setorial'!G$5*100)</x:f>
        <x:v>343.9359385539759</x:v>
      </x:c>
      <x:c r="H153" s="22" t="n">
        <x:f>IF('Nivel Setorial'!H153="","",'Nivel Setorial'!H153/'Nivel Setorial'!H$17*100)</x:f>
        <x:v>1374.4123442058599</x:v>
      </x:c>
      <x:c r="I153" s="22" t="n">
        <x:f>IF('Nivel Setorial'!I153="","",'Nivel Setorial'!I153/'Nivel Setorial'!I$5*100)</x:f>
        <x:v>80.61699648023315</x:v>
      </x:c>
      <x:c r="J153" s="22" t="n">
        <x:f>IF('Nivel Setorial'!J153="","",'Nivel Setorial'!J153/'Nivel Setorial'!J$25*100)</x:f>
        <x:v>485.1151843733061</x:v>
      </x:c>
      <x:c r="K153" s="22" t="n">
        <x:f>IF('Nivel Setorial'!K153="","",'Nivel Setorial'!K153/'Nivel Setorial'!K$5*100)</x:f>
        <x:v>406.26438988700704</x:v>
      </x:c>
      <x:c r="L153" s="22" t="n">
        <x:f>IF('Nivel Setorial'!L153="","",'Nivel Setorial'!L153/'Nivel Setorial'!L$5*100)</x:f>
        <x:v>427.7367895053255</x:v>
      </x:c>
      <x:c r="M153" s="22" t="n">
        <x:f>IF('Nivel Setorial'!M153="","",'Nivel Setorial'!M153/'Nivel Setorial'!M$5*100)</x:f>
        <x:v>841.4912495513283</x:v>
      </x:c>
      <x:c r="N153" s="22" t="n">
        <x:f>IF('Nivel Setorial'!N153="","",'Nivel Setorial'!N153/'Nivel Setorial'!N$5*100)</x:f>
        <x:v>440.7021830500674</x:v>
      </x:c>
      <x:c r="O153" s="22" t="n">
        <x:f>IF('Nivel Setorial'!O153="","",'Nivel Setorial'!O153/'Nivel Setorial'!O$5*100)</x:f>
        <x:v>272.5493983918819</x:v>
      </x:c>
      <x:c r="P153" s="22" t="n">
        <x:f>IF('Nivel Setorial'!P153="","",'Nivel Setorial'!P153/'Nivel Setorial'!P$5*100)</x:f>
        <x:v>42.17048314229474</x:v>
      </x:c>
      <x:c r="Q153" s="22" t="n">
        <x:f>IF('Nivel Setorial'!Q153="","",'Nivel Setorial'!Q153/'Nivel Setorial'!Q$5*100)</x:f>
        <x:v>299.2519240865898</x:v>
      </x:c>
      <x:c r="R153" s="22" t="n">
        <x:f>IF('Nivel Setorial'!R153="","",'Nivel Setorial'!R153/'Nivel Setorial'!R$5*100)</x:f>
        <x:v>317.0005543054943</x:v>
      </x:c>
    </x:row>
    <x:row r="154">
      <x:c r="A154" s="21" t="n">
        <x:f>'Nivel Setorial'!A154</x:f>
        <x:v>44713</x:v>
      </x:c>
      <x:c r="B154" s="22" t="n">
        <x:f>IF('Nivel Setorial'!B154="","",'Nivel Setorial'!B154/'Nivel Setorial'!B$45*100)</x:f>
        <x:v>-17381.97400167916</x:v>
      </x:c>
      <x:c r="C154" s="22" t="n">
        <x:f>IF('Nivel Setorial'!C154="","",'Nivel Setorial'!C154/'Nivel Setorial'!C$5*100)</x:f>
        <x:v>479.48504645705566</x:v>
      </x:c>
      <x:c r="D154" s="22" t="n">
        <x:f>IF('Nivel Setorial'!D154="","",'Nivel Setorial'!D154/'Nivel Setorial'!D$5*100)</x:f>
        <x:v>940.4711499895276</x:v>
      </x:c>
      <x:c r="E154" s="22" t="n">
        <x:f>IF('Nivel Setorial'!E154="","",'Nivel Setorial'!E154/'Nivel Setorial'!E$49*100)</x:f>
        <x:v>21.014953772987408</x:v>
      </x:c>
      <x:c r="F154" s="22" t="n">
        <x:f>IF('Nivel Setorial'!F154="","",'Nivel Setorial'!F154/'Nivel Setorial'!F$5*100)</x:f>
        <x:v>395.2276120433263</x:v>
      </x:c>
      <x:c r="G154" s="22" t="n">
        <x:f>IF('Nivel Setorial'!G154="","",'Nivel Setorial'!G154/'Nivel Setorial'!G$5*100)</x:f>
        <x:v>337.7238970192059</x:v>
      </x:c>
      <x:c r="H154" s="22" t="n">
        <x:f>IF('Nivel Setorial'!H154="","",'Nivel Setorial'!H154/'Nivel Setorial'!H$17*100)</x:f>
        <x:v>1305.2658625089566</x:v>
      </x:c>
      <x:c r="I154" s="22" t="n">
        <x:f>IF('Nivel Setorial'!I154="","",'Nivel Setorial'!I154/'Nivel Setorial'!I$5*100)</x:f>
        <x:v>77.05779060489435</x:v>
      </x:c>
      <x:c r="J154" s="22" t="n">
        <x:f>IF('Nivel Setorial'!J154="","",'Nivel Setorial'!J154/'Nivel Setorial'!J$25*100)</x:f>
        <x:v>486.126525699081</x:v>
      </x:c>
      <x:c r="K154" s="22" t="n">
        <x:f>IF('Nivel Setorial'!K154="","",'Nivel Setorial'!K154/'Nivel Setorial'!K$5*100)</x:f>
        <x:v>394.5809033701565</x:v>
      </x:c>
      <x:c r="L154" s="22" t="n">
        <x:f>IF('Nivel Setorial'!L154="","",'Nivel Setorial'!L154/'Nivel Setorial'!L$5*100)</x:f>
        <x:v>453.4007487645763</x:v>
      </x:c>
      <x:c r="M154" s="22" t="n">
        <x:f>IF('Nivel Setorial'!M154="","",'Nivel Setorial'!M154/'Nivel Setorial'!M$5*100)</x:f>
        <x:v>965.863062850824</x:v>
      </x:c>
      <x:c r="N154" s="22" t="n">
        <x:f>IF('Nivel Setorial'!N154="","",'Nivel Setorial'!N154/'Nivel Setorial'!N$5*100)</x:f>
        <x:v>451.28414532541575</x:v>
      </x:c>
      <x:c r="O154" s="22" t="n">
        <x:f>IF('Nivel Setorial'!O154="","",'Nivel Setorial'!O154/'Nivel Setorial'!O$5*100)</x:f>
        <x:v>268.8900169977932</x:v>
      </x:c>
      <x:c r="P154" s="22" t="n">
        <x:f>IF('Nivel Setorial'!P154="","",'Nivel Setorial'!P154/'Nivel Setorial'!P$5*100)</x:f>
        <x:v>41.92459342591206</x:v>
      </x:c>
      <x:c r="Q154" s="22" t="n">
        <x:f>IF('Nivel Setorial'!Q154="","",'Nivel Setorial'!Q154/'Nivel Setorial'!Q$5*100)</x:f>
        <x:v>333.66615081722176</x:v>
      </x:c>
      <x:c r="R154" s="22" t="n">
        <x:f>IF('Nivel Setorial'!R154="","",'Nivel Setorial'!R154/'Nivel Setorial'!R$5*100)</x:f>
        <x:v>325.5998244385386</x:v>
      </x:c>
    </x:row>
    <x:row r="155">
      <x:c r="A155" s="21" t="n">
        <x:f>'Nivel Setorial'!A155</x:f>
        <x:v>44743</x:v>
      </x:c>
      <x:c r="B155" s="22" t="n">
        <x:f>IF('Nivel Setorial'!B155="","",'Nivel Setorial'!B155/'Nivel Setorial'!B$45*100)</x:f>
        <x:v>-16820.5739469377</x:v>
      </x:c>
      <x:c r="C155" s="22" t="n">
        <x:f>IF('Nivel Setorial'!C155="","",'Nivel Setorial'!C155/'Nivel Setorial'!C$5*100)</x:f>
        <x:v>481.95942417226877</x:v>
      </x:c>
      <x:c r="D155" s="22" t="n">
        <x:f>IF('Nivel Setorial'!D155="","",'Nivel Setorial'!D155/'Nivel Setorial'!D$5*100)</x:f>
        <x:v>993.2611017488435</x:v>
      </x:c>
      <x:c r="E155" s="22" t="n">
        <x:f>IF('Nivel Setorial'!E155="","",'Nivel Setorial'!E155/'Nivel Setorial'!E$49*100)</x:f>
        <x:v>19.281465294856627</x:v>
      </x:c>
      <x:c r="F155" s="22" t="n">
        <x:f>IF('Nivel Setorial'!F155="","",'Nivel Setorial'!F155/'Nivel Setorial'!F$5*100)</x:f>
        <x:v>399.17275198526613</x:v>
      </x:c>
      <x:c r="G155" s="22" t="n">
        <x:f>IF('Nivel Setorial'!G155="","",'Nivel Setorial'!G155/'Nivel Setorial'!G$5*100)</x:f>
        <x:v>339.55788579518344</x:v>
      </x:c>
      <x:c r="H155" s="22" t="n">
        <x:f>IF('Nivel Setorial'!H155="","",'Nivel Setorial'!H155/'Nivel Setorial'!H$17*100)</x:f>
        <x:v>1314.8359582730643</x:v>
      </x:c>
      <x:c r="I155" s="22" t="n">
        <x:f>IF('Nivel Setorial'!I155="","",'Nivel Setorial'!I155/'Nivel Setorial'!I$5*100)</x:f>
        <x:v>73.10156907211689</x:v>
      </x:c>
      <x:c r="J155" s="22" t="n">
        <x:f>IF('Nivel Setorial'!J155="","",'Nivel Setorial'!J155/'Nivel Setorial'!J$25*100)</x:f>
        <x:v>515.3268590500439</x:v>
      </x:c>
      <x:c r="K155" s="22" t="n">
        <x:f>IF('Nivel Setorial'!K155="","",'Nivel Setorial'!K155/'Nivel Setorial'!K$5*100)</x:f>
        <x:v>361.1576107864741</x:v>
      </x:c>
      <x:c r="L155" s="22" t="n">
        <x:f>IF('Nivel Setorial'!L155="","",'Nivel Setorial'!L155/'Nivel Setorial'!L$5*100)</x:f>
        <x:v>457.844039668082</x:v>
      </x:c>
      <x:c r="M155" s="22" t="n">
        <x:f>IF('Nivel Setorial'!M155="","",'Nivel Setorial'!M155/'Nivel Setorial'!M$5*100)</x:f>
        <x:v>929.589050815968</x:v>
      </x:c>
      <x:c r="N155" s="22" t="n">
        <x:f>IF('Nivel Setorial'!N155="","",'Nivel Setorial'!N155/'Nivel Setorial'!N$5*100)</x:f>
        <x:v>452.3547886448089</x:v>
      </x:c>
      <x:c r="O155" s="22" t="n">
        <x:f>IF('Nivel Setorial'!O155="","",'Nivel Setorial'!O155/'Nivel Setorial'!O$5*100)</x:f>
        <x:v>269.28295318529763</x:v>
      </x:c>
      <x:c r="P155" s="22" t="n">
        <x:f>IF('Nivel Setorial'!P155="","",'Nivel Setorial'!P155/'Nivel Setorial'!P$5*100)</x:f>
        <x:v>41.78764095475445</x:v>
      </x:c>
      <x:c r="Q155" s="22" t="n">
        <x:f>IF('Nivel Setorial'!Q155="","",'Nivel Setorial'!Q155/'Nivel Setorial'!Q$5*100)</x:f>
        <x:v>285.9677619568171</x:v>
      </x:c>
      <x:c r="R155" s="22" t="n">
        <x:f>IF('Nivel Setorial'!R155="","",'Nivel Setorial'!R155/'Nivel Setorial'!R$5*100)</x:f>
        <x:v>323.66705595021295</x:v>
      </x:c>
    </x:row>
    <x:row r="156">
      <x:c r="A156" s="21" t="n">
        <x:f>'Nivel Setorial'!A156</x:f>
        <x:v>44774</x:v>
      </x:c>
      <x:c r="B156" s="22" t="n">
        <x:f>IF('Nivel Setorial'!B156="","",'Nivel Setorial'!B156/'Nivel Setorial'!B$45*100)</x:f>
        <x:v>-16345.479456127503</x:v>
      </x:c>
      <x:c r="C156" s="22" t="n">
        <x:f>IF('Nivel Setorial'!C156="","",'Nivel Setorial'!C156/'Nivel Setorial'!C$5*100)</x:f>
        <x:v>496.2268196112215</x:v>
      </x:c>
      <x:c r="D156" s="22" t="n">
        <x:f>IF('Nivel Setorial'!D156="","",'Nivel Setorial'!D156/'Nivel Setorial'!D$5*100)</x:f>
        <x:v>1033.8957768465439</x:v>
      </x:c>
      <x:c r="E156" s="22" t="n">
        <x:f>IF('Nivel Setorial'!E156="","",'Nivel Setorial'!E156/'Nivel Setorial'!E$49*100)</x:f>
        <x:v>19.6574322655354</x:v>
      </x:c>
      <x:c r="F156" s="22" t="n">
        <x:f>IF('Nivel Setorial'!F156="","",'Nivel Setorial'!F156/'Nivel Setorial'!F$5*100)</x:f>
        <x:v>327.7424152789901</x:v>
      </x:c>
      <x:c r="G156" s="22" t="n">
        <x:f>IF('Nivel Setorial'!G156="","",'Nivel Setorial'!G156/'Nivel Setorial'!G$5*100)</x:f>
        <x:v>351.6903659771939</x:v>
      </x:c>
      <x:c r="H156" s="22" t="n">
        <x:f>IF('Nivel Setorial'!H156="","",'Nivel Setorial'!H156/'Nivel Setorial'!H$17*100)</x:f>
        <x:v>1305.1335603137916</x:v>
      </x:c>
      <x:c r="I156" s="22" t="n">
        <x:f>IF('Nivel Setorial'!I156="","",'Nivel Setorial'!I156/'Nivel Setorial'!I$5*100)</x:f>
        <x:v>69.08314829442689</x:v>
      </x:c>
      <x:c r="J156" s="22" t="n">
        <x:f>IF('Nivel Setorial'!J156="","",'Nivel Setorial'!J156/'Nivel Setorial'!J$25*100)</x:f>
        <x:v>521.1851361712165</x:v>
      </x:c>
      <x:c r="K156" s="22" t="n">
        <x:f>IF('Nivel Setorial'!K156="","",'Nivel Setorial'!K156/'Nivel Setorial'!K$5*100)</x:f>
        <x:v>341.33590426582936</x:v>
      </x:c>
      <x:c r="L156" s="22" t="n">
        <x:f>IF('Nivel Setorial'!L156="","",'Nivel Setorial'!L156/'Nivel Setorial'!L$5*100)</x:f>
        <x:v>476.2544410817469</x:v>
      </x:c>
      <x:c r="M156" s="22" t="n">
        <x:f>IF('Nivel Setorial'!M156="","",'Nivel Setorial'!M156/'Nivel Setorial'!M$5*100)</x:f>
        <x:v>1043.3467867649613</x:v>
      </x:c>
      <x:c r="N156" s="22" t="n">
        <x:f>IF('Nivel Setorial'!N156="","",'Nivel Setorial'!N156/'Nivel Setorial'!N$5*100)</x:f>
        <x:v>453.5175817071674</x:v>
      </x:c>
      <x:c r="O156" s="22" t="n">
        <x:f>IF('Nivel Setorial'!O156="","",'Nivel Setorial'!O156/'Nivel Setorial'!O$5*100)</x:f>
        <x:v>255.39698210426346</x:v>
      </x:c>
      <x:c r="P156" s="22" t="n">
        <x:f>IF('Nivel Setorial'!P156="","",'Nivel Setorial'!P156/'Nivel Setorial'!P$5*100)</x:f>
        <x:v>40.26450845161874</x:v>
      </x:c>
      <x:c r="Q156" s="22" t="n">
        <x:f>IF('Nivel Setorial'!Q156="","",'Nivel Setorial'!Q156/'Nivel Setorial'!Q$5*100)</x:f>
        <x:v>277.1018934646717</x:v>
      </x:c>
      <x:c r="R156" s="22" t="n">
        <x:f>IF('Nivel Setorial'!R156="","",'Nivel Setorial'!R156/'Nivel Setorial'!R$5*100)</x:f>
        <x:v>297.4811777670102</x:v>
      </x:c>
    </x:row>
    <x:row r="157">
      <x:c r="A157" s="21" t="n">
        <x:f>'Nivel Setorial'!A157</x:f>
        <x:v>44805</x:v>
      </x:c>
      <x:c r="B157" s="22" t="n">
        <x:f>IF('Nivel Setorial'!B157="","",'Nivel Setorial'!B157/'Nivel Setorial'!B$45*100)</x:f>
        <x:v>-88711.93435750139</x:v>
      </x:c>
      <x:c r="C157" s="22" t="n">
        <x:f>IF('Nivel Setorial'!C157="","",'Nivel Setorial'!C157/'Nivel Setorial'!C$5*100)</x:f>
        <x:v>501.898144548079</x:v>
      </x:c>
      <x:c r="D157" s="22" t="n">
        <x:f>IF('Nivel Setorial'!D157="","",'Nivel Setorial'!D157/'Nivel Setorial'!D$5*100)</x:f>
        <x:v>1056.6006924768865</x:v>
      </x:c>
      <x:c r="E157" s="22" t="n">
        <x:f>IF('Nivel Setorial'!E157="","",'Nivel Setorial'!E157/'Nivel Setorial'!E$49*100)</x:f>
        <x:v>15.30938526736086</x:v>
      </x:c>
      <x:c r="F157" s="22" t="n">
        <x:f>IF('Nivel Setorial'!F157="","",'Nivel Setorial'!F157/'Nivel Setorial'!F$5*100)</x:f>
        <x:v>342.1686906192301</x:v>
      </x:c>
      <x:c r="G157" s="22" t="n">
        <x:f>IF('Nivel Setorial'!G157="","",'Nivel Setorial'!G157/'Nivel Setorial'!G$5*100)</x:f>
        <x:v>353.95030696678265</x:v>
      </x:c>
      <x:c r="H157" s="22" t="n">
        <x:f>IF('Nivel Setorial'!H157="","",'Nivel Setorial'!H157/'Nivel Setorial'!H$17*100)</x:f>
        <x:v>1304.6259652192982</x:v>
      </x:c>
      <x:c r="I157" s="22" t="n">
        <x:f>IF('Nivel Setorial'!I157="","",'Nivel Setorial'!I157/'Nivel Setorial'!I$5*100)</x:f>
        <x:v>69.04824533965578</x:v>
      </x:c>
      <x:c r="J157" s="22" t="n">
        <x:f>IF('Nivel Setorial'!J157="","",'Nivel Setorial'!J157/'Nivel Setorial'!J$25*100)</x:f>
        <x:v>369.94626511569646</x:v>
      </x:c>
      <x:c r="K157" s="22" t="n">
        <x:f>IF('Nivel Setorial'!K157="","",'Nivel Setorial'!K157/'Nivel Setorial'!K$5*100)</x:f>
        <x:v>313.4604629686851</x:v>
      </x:c>
      <x:c r="L157" s="22" t="n">
        <x:f>IF('Nivel Setorial'!L157="","",'Nivel Setorial'!L157/'Nivel Setorial'!L$5*100)</x:f>
        <x:v>458.7557105140258</x:v>
      </x:c>
      <x:c r="M157" s="22" t="n">
        <x:f>IF('Nivel Setorial'!M157="","",'Nivel Setorial'!M157/'Nivel Setorial'!M$5*100)</x:f>
        <x:v>932.2178512329054</x:v>
      </x:c>
      <x:c r="N157" s="22" t="n">
        <x:f>IF('Nivel Setorial'!N157="","",'Nivel Setorial'!N157/'Nivel Setorial'!N$5*100)</x:f>
        <x:v>475.05637853967954</x:v>
      </x:c>
      <x:c r="O157" s="22" t="n">
        <x:f>IF('Nivel Setorial'!O157="","",'Nivel Setorial'!O157/'Nivel Setorial'!O$5*100)</x:f>
        <x:v>252.89597987788474</x:v>
      </x:c>
      <x:c r="P157" s="22" t="n">
        <x:f>IF('Nivel Setorial'!P157="","",'Nivel Setorial'!P157/'Nivel Setorial'!P$5*100)</x:f>
        <x:v>40.67564183893861</x:v>
      </x:c>
      <x:c r="Q157" s="22" t="n">
        <x:f>IF('Nivel Setorial'!Q157="","",'Nivel Setorial'!Q157/'Nivel Setorial'!Q$5*100)</x:f>
        <x:v>304.95621126450686</x:v>
      </x:c>
      <x:c r="R157" s="22" t="n">
        <x:f>IF('Nivel Setorial'!R157="","",'Nivel Setorial'!R157/'Nivel Setorial'!R$5*100)</x:f>
        <x:v>295.1329912760172</x:v>
      </x:c>
    </x:row>
    <x:row r="158">
      <x:c r="A158" s="21" t="n">
        <x:f>'Nivel Setorial'!A158</x:f>
        <x:v>44835</x:v>
      </x:c>
      <x:c r="B158" s="22" t="n">
        <x:f>IF('Nivel Setorial'!B158="","",'Nivel Setorial'!B158/'Nivel Setorial'!B$45*100)</x:f>
        <x:v>-93371.12321325357</x:v>
      </x:c>
      <x:c r="C158" s="22" t="n">
        <x:f>IF('Nivel Setorial'!C158="","",'Nivel Setorial'!C158/'Nivel Setorial'!C$5*100)</x:f>
        <x:v>504.3806907612594</x:v>
      </x:c>
      <x:c r="D158" s="22" t="n">
        <x:f>IF('Nivel Setorial'!D158="","",'Nivel Setorial'!D158/'Nivel Setorial'!D$5*100)</x:f>
        <x:v>1116.029593367814</x:v>
      </x:c>
      <x:c r="E158" s="22" t="n">
        <x:f>IF('Nivel Setorial'!E158="","",'Nivel Setorial'!E158/'Nivel Setorial'!E$49*100)</x:f>
        <x:v>17.04093891941253</x:v>
      </x:c>
      <x:c r="F158" s="22" t="n">
        <x:f>IF('Nivel Setorial'!F158="","",'Nivel Setorial'!F158/'Nivel Setorial'!F$5*100)</x:f>
        <x:v>340.35330936660523</x:v>
      </x:c>
      <x:c r="G158" s="22" t="n">
        <x:f>IF('Nivel Setorial'!G158="","",'Nivel Setorial'!G158/'Nivel Setorial'!G$5*100)</x:f>
        <x:v>353.73613886971503</x:v>
      </x:c>
      <x:c r="H158" s="22" t="n">
        <x:f>IF('Nivel Setorial'!H158="","",'Nivel Setorial'!H158/'Nivel Setorial'!H$17*100)</x:f>
        <x:v>1316.142384891035</x:v>
      </x:c>
      <x:c r="I158" s="22" t="n">
        <x:f>IF('Nivel Setorial'!I158="","",'Nivel Setorial'!I158/'Nivel Setorial'!I$5*100)</x:f>
        <x:v>68.74586209208381</x:v>
      </x:c>
      <x:c r="J158" s="22" t="n">
        <x:f>IF('Nivel Setorial'!J158="","",'Nivel Setorial'!J158/'Nivel Setorial'!J$25*100)</x:f>
        <x:v>377.1796263832435</x:v>
      </x:c>
      <x:c r="K158" s="22" t="n">
        <x:f>IF('Nivel Setorial'!K158="","",'Nivel Setorial'!K158/'Nivel Setorial'!K$5*100)</x:f>
        <x:v>294.4068415975619</x:v>
      </x:c>
      <x:c r="L158" s="22" t="n">
        <x:f>IF('Nivel Setorial'!L158="","",'Nivel Setorial'!L158/'Nivel Setorial'!L$5*100)</x:f>
        <x:v>463.9954434224018</x:v>
      </x:c>
      <x:c r="M158" s="22" t="n">
        <x:f>IF('Nivel Setorial'!M158="","",'Nivel Setorial'!M158/'Nivel Setorial'!M$5*100)</x:f>
        <x:v>874.7397027276774</x:v>
      </x:c>
      <x:c r="N158" s="22" t="n">
        <x:f>IF('Nivel Setorial'!N158="","",'Nivel Setorial'!N158/'Nivel Setorial'!N$5*100)</x:f>
        <x:v>477.1395180248654</x:v>
      </x:c>
      <x:c r="O158" s="22" t="n">
        <x:f>IF('Nivel Setorial'!O158="","",'Nivel Setorial'!O158/'Nivel Setorial'!O$5*100)</x:f>
        <x:v>256.73144411753043</x:v>
      </x:c>
      <x:c r="P158" s="22" t="n">
        <x:f>IF('Nivel Setorial'!P158="","",'Nivel Setorial'!P158/'Nivel Setorial'!P$5*100)</x:f>
        <x:v>41.88542785001573</x:v>
      </x:c>
      <x:c r="Q158" s="22" t="n">
        <x:f>IF('Nivel Setorial'!Q158="","",'Nivel Setorial'!Q158/'Nivel Setorial'!Q$5*100)</x:f>
        <x:v>292.4293358496539</x:v>
      </x:c>
      <x:c r="R158" s="22" t="n">
        <x:f>IF('Nivel Setorial'!R158="","",'Nivel Setorial'!R158/'Nivel Setorial'!R$5*100)</x:f>
        <x:v>305.1577385127334</x:v>
      </x:c>
    </x:row>
    <x:row r="159">
      <x:c r="A159" s="21" t="n">
        <x:f>'Nivel Setorial'!A159</x:f>
        <x:v>44866</x:v>
      </x:c>
      <x:c r="B159" s="22" t="n">
        <x:f>IF('Nivel Setorial'!B159="","",'Nivel Setorial'!B159/'Nivel Setorial'!B$45*100)</x:f>
        <x:v>-95286.58616171744</x:v>
      </x:c>
      <x:c r="C159" s="22" t="n">
        <x:f>IF('Nivel Setorial'!C159="","",'Nivel Setorial'!C159/'Nivel Setorial'!C$5*100)</x:f>
        <x:v>491.08385653525585</x:v>
      </x:c>
      <x:c r="D159" s="22" t="n">
        <x:f>IF('Nivel Setorial'!D159="","",'Nivel Setorial'!D159/'Nivel Setorial'!D$5*100)</x:f>
        <x:v>1184.1654640555491</x:v>
      </x:c>
      <x:c r="E159" s="22" t="n">
        <x:f>IF('Nivel Setorial'!E159="","",'Nivel Setorial'!E159/'Nivel Setorial'!E$49*100)</x:f>
        <x:v>21.31478071660726</x:v>
      </x:c>
      <x:c r="F159" s="22" t="n">
        <x:f>IF('Nivel Setorial'!F159="","",'Nivel Setorial'!F159/'Nivel Setorial'!F$5*100)</x:f>
        <x:v>348.08507556862327</x:v>
      </x:c>
      <x:c r="G159" s="22" t="n">
        <x:f>IF('Nivel Setorial'!G159="","",'Nivel Setorial'!G159/'Nivel Setorial'!G$5*100)</x:f>
        <x:v>346.7654485108359</x:v>
      </x:c>
      <x:c r="H159" s="22" t="n">
        <x:f>IF('Nivel Setorial'!H159="","",'Nivel Setorial'!H159/'Nivel Setorial'!H$17*100)</x:f>
        <x:v>1328.255089229366</x:v>
      </x:c>
      <x:c r="I159" s="22" t="n">
        <x:f>IF('Nivel Setorial'!I159="","",'Nivel Setorial'!I159/'Nivel Setorial'!I$5*100)</x:f>
        <x:v>68.64332981713999</x:v>
      </x:c>
      <x:c r="J159" s="22" t="n">
        <x:f>IF('Nivel Setorial'!J159="","",'Nivel Setorial'!J159/'Nivel Setorial'!J$25*100)</x:f>
        <x:v>384.26775013640315</x:v>
      </x:c>
      <x:c r="K159" s="22" t="n">
        <x:f>IF('Nivel Setorial'!K159="","",'Nivel Setorial'!K159/'Nivel Setorial'!K$5*100)</x:f>
        <x:v>286.7518969541915</x:v>
      </x:c>
      <x:c r="L159" s="22" t="n">
        <x:f>IF('Nivel Setorial'!L159="","",'Nivel Setorial'!L159/'Nivel Setorial'!L$5*100)</x:f>
        <x:v>441.69104804084196</x:v>
      </x:c>
      <x:c r="M159" s="22" t="n">
        <x:f>IF('Nivel Setorial'!M159="","",'Nivel Setorial'!M159/'Nivel Setorial'!M$5*100)</x:f>
        <x:v>933.8667361324475</x:v>
      </x:c>
      <x:c r="N159" s="22" t="n">
        <x:f>IF('Nivel Setorial'!N159="","",'Nivel Setorial'!N159/'Nivel Setorial'!N$5*100)</x:f>
        <x:v>468.2033248077215</x:v>
      </x:c>
      <x:c r="O159" s="22" t="n">
        <x:f>IF('Nivel Setorial'!O159="","",'Nivel Setorial'!O159/'Nivel Setorial'!O$5*100)</x:f>
        <x:v>268.2524900398372</x:v>
      </x:c>
      <x:c r="P159" s="22" t="n">
        <x:f>IF('Nivel Setorial'!P159="","",'Nivel Setorial'!P159/'Nivel Setorial'!P$5*100)</x:f>
        <x:v>43.59740026724129</x:v>
      </x:c>
      <x:c r="Q159" s="22" t="n">
        <x:f>IF('Nivel Setorial'!Q159="","",'Nivel Setorial'!Q159/'Nivel Setorial'!Q$5*100)</x:f>
        <x:v>296.5775796284895</x:v>
      </x:c>
      <x:c r="R159" s="22" t="n">
        <x:f>IF('Nivel Setorial'!R159="","",'Nivel Setorial'!R159/'Nivel Setorial'!R$5*100)</x:f>
        <x:v>311.41275375266173</x:v>
      </x:c>
    </x:row>
    <x:row r="160">
      <x:c r="A160" s="21" t="n">
        <x:f>'Nivel Setorial'!A160</x:f>
        <x:v>44896</x:v>
      </x:c>
      <x:c r="B160" s="22" t="n">
        <x:f>IF('Nivel Setorial'!B160="","",'Nivel Setorial'!B160/'Nivel Setorial'!B$45*100)</x:f>
        <x:v>-92625.76235375677</x:v>
      </x:c>
      <x:c r="C160" s="22" t="n">
        <x:f>IF('Nivel Setorial'!C160="","",'Nivel Setorial'!C160/'Nivel Setorial'!C$5*100)</x:f>
        <x:v>487.8910840165697</x:v>
      </x:c>
      <x:c r="D160" s="22" t="n">
        <x:f>IF('Nivel Setorial'!D160="","",'Nivel Setorial'!D160/'Nivel Setorial'!D$5*100)</x:f>
        <x:v>1221.8178591903088</x:v>
      </x:c>
      <x:c r="E160" s="22" t="n">
        <x:f>IF('Nivel Setorial'!E160="","",'Nivel Setorial'!E160/'Nivel Setorial'!E$49*100)</x:f>
        <x:v>21.058064564989728</x:v>
      </x:c>
      <x:c r="F160" s="22" t="n">
        <x:f>IF('Nivel Setorial'!F160="","",'Nivel Setorial'!F160/'Nivel Setorial'!F$5*100)</x:f>
        <x:v>356.71678379779604</x:v>
      </x:c>
      <x:c r="G160" s="22" t="n">
        <x:f>IF('Nivel Setorial'!G160="","",'Nivel Setorial'!G160/'Nivel Setorial'!G$5*100)</x:f>
        <x:v>319.5246483424548</x:v>
      </x:c>
      <x:c r="H160" s="22" t="n">
        <x:f>IF('Nivel Setorial'!H160="","",'Nivel Setorial'!H160/'Nivel Setorial'!H$17*100)</x:f>
        <x:v>1153.423118473437</x:v>
      </x:c>
      <x:c r="I160" s="22" t="n">
        <x:f>IF('Nivel Setorial'!I160="","",'Nivel Setorial'!I160/'Nivel Setorial'!I$5*100)</x:f>
        <x:v>66.54804434534115</x:v>
      </x:c>
      <x:c r="J160" s="22" t="n">
        <x:f>IF('Nivel Setorial'!J160="","",'Nivel Setorial'!J160/'Nivel Setorial'!J$25*100)</x:f>
        <x:v>395.4823273545578</x:v>
      </x:c>
      <x:c r="K160" s="22" t="n">
        <x:f>IF('Nivel Setorial'!K160="","",'Nivel Setorial'!K160/'Nivel Setorial'!K$5*100)</x:f>
        <x:v>264.6776790083308</x:v>
      </x:c>
      <x:c r="L160" s="22" t="n">
        <x:f>IF('Nivel Setorial'!L160="","",'Nivel Setorial'!L160/'Nivel Setorial'!L$5*100)</x:f>
        <x:v>384.9497664467367</x:v>
      </x:c>
      <x:c r="M160" s="22" t="n">
        <x:f>IF('Nivel Setorial'!M160="","",'Nivel Setorial'!M160/'Nivel Setorial'!M$5*100)</x:f>
        <x:v>903.479803144884</x:v>
      </x:c>
      <x:c r="N160" s="22" t="n">
        <x:f>IF('Nivel Setorial'!N160="","",'Nivel Setorial'!N160/'Nivel Setorial'!N$5*100)</x:f>
        <x:v>443.603369801067</x:v>
      </x:c>
      <x:c r="O160" s="22" t="n">
        <x:f>IF('Nivel Setorial'!O160="","",'Nivel Setorial'!O160/'Nivel Setorial'!O$5*100)</x:f>
        <x:v>277.14674021069885</x:v>
      </x:c>
      <x:c r="P160" s="22" t="n">
        <x:f>IF('Nivel Setorial'!P160="","",'Nivel Setorial'!P160/'Nivel Setorial'!P$5*100)</x:f>
        <x:v>44.58340199926631</x:v>
      </x:c>
      <x:c r="Q160" s="22" t="n">
        <x:f>IF('Nivel Setorial'!Q160="","",'Nivel Setorial'!Q160/'Nivel Setorial'!Q$5*100)</x:f>
        <x:v>282.2940804789626</x:v>
      </x:c>
      <x:c r="R160" s="22" t="n">
        <x:f>IF('Nivel Setorial'!R160="","",'Nivel Setorial'!R160/'Nivel Setorial'!R$5*100)</x:f>
        <x:v>297.2087777143285</x:v>
      </x:c>
    </x:row>
    <x:row r="161">
      <x:c r="A161" s="21" t="n">
        <x:f>'Nivel Setorial'!A161</x:f>
        <x:v>44927</x:v>
      </x:c>
      <x:c r="B161" s="22" t="n">
        <x:f>IF('Nivel Setorial'!B161="","",'Nivel Setorial'!B161/'Nivel Setorial'!B$45*100)</x:f>
        <x:v>-90785.84667837489</x:v>
      </x:c>
      <x:c r="C161" s="22" t="n">
        <x:f>IF('Nivel Setorial'!C161="","",'Nivel Setorial'!C161/'Nivel Setorial'!C$5*100)</x:f>
        <x:v>484.60775984995996</x:v>
      </x:c>
      <x:c r="D161" s="22" t="n">
        <x:f>IF('Nivel Setorial'!D161="","",'Nivel Setorial'!D161/'Nivel Setorial'!D$5*100)</x:f>
        <x:v>1238.6550688910863</x:v>
      </x:c>
      <x:c r="E161" s="22" t="n">
        <x:f>IF('Nivel Setorial'!E161="","",'Nivel Setorial'!E161/'Nivel Setorial'!E$49*100)</x:f>
        <x:v>19.993896624034697</x:v>
      </x:c>
      <x:c r="F161" s="22" t="n">
        <x:f>IF('Nivel Setorial'!F161="","",'Nivel Setorial'!F161/'Nivel Setorial'!F$5*100)</x:f>
        <x:v>334.89966237612475</x:v>
      </x:c>
      <x:c r="G161" s="22" t="n">
        <x:f>IF('Nivel Setorial'!G161="","",'Nivel Setorial'!G161/'Nivel Setorial'!G$5*100)</x:f>
        <x:v>201.28128469179418</x:v>
      </x:c>
      <x:c r="H161" s="22" t="n">
        <x:f>IF('Nivel Setorial'!H161="","",'Nivel Setorial'!H161/'Nivel Setorial'!H$17*100)</x:f>
        <x:v>1044.0677776397877</x:v>
      </x:c>
      <x:c r="I161" s="22" t="n">
        <x:f>IF('Nivel Setorial'!I161="","",'Nivel Setorial'!I161/'Nivel Setorial'!I$5*100)</x:f>
        <x:v>64.2669037729317</x:v>
      </x:c>
      <x:c r="J161" s="22" t="n">
        <x:f>IF('Nivel Setorial'!J161="","",'Nivel Setorial'!J161/'Nivel Setorial'!J$25*100)</x:f>
        <x:v>408.38417326683805</x:v>
      </x:c>
      <x:c r="K161" s="22" t="n">
        <x:f>IF('Nivel Setorial'!K161="","",'Nivel Setorial'!K161/'Nivel Setorial'!K$5*100)</x:f>
        <x:v>273.0280281036518</x:v>
      </x:c>
      <x:c r="L161" s="22" t="n">
        <x:f>IF('Nivel Setorial'!L161="","",'Nivel Setorial'!L161/'Nivel Setorial'!L$5*100)</x:f>
        <x:v>335.78538556534255</x:v>
      </x:c>
      <x:c r="M161" s="22" t="n">
        <x:f>IF('Nivel Setorial'!M161="","",'Nivel Setorial'!M161/'Nivel Setorial'!M$5*100)</x:f>
        <x:v>805.2968107820843</x:v>
      </x:c>
      <x:c r="N161" s="22" t="n">
        <x:f>IF('Nivel Setorial'!N161="","",'Nivel Setorial'!N161/'Nivel Setorial'!N$5*100)</x:f>
        <x:v>449.56568022938495</x:v>
      </x:c>
      <x:c r="O161" s="22" t="n">
        <x:f>IF('Nivel Setorial'!O161="","",'Nivel Setorial'!O161/'Nivel Setorial'!O$5*100)</x:f>
        <x:v>293.9716319087252</x:v>
      </x:c>
      <x:c r="P161" s="22" t="n">
        <x:f>IF('Nivel Setorial'!P161="","",'Nivel Setorial'!P161/'Nivel Setorial'!P$5*100)</x:f>
        <x:v>37.496937213931076</x:v>
      </x:c>
      <x:c r="Q161" s="22" t="n">
        <x:f>IF('Nivel Setorial'!Q161="","",'Nivel Setorial'!Q161/'Nivel Setorial'!Q$5*100)</x:f>
        <x:v>298.7091622875459</x:v>
      </x:c>
      <x:c r="R161" s="22" t="n">
        <x:f>IF('Nivel Setorial'!R161="","",'Nivel Setorial'!R161/'Nivel Setorial'!R$5*100)</x:f>
        <x:v>299.3810639698559</x:v>
      </x:c>
    </x:row>
    <x:row r="162">
      <x:c r="A162" s="21" t="n">
        <x:f>'Nivel Setorial'!A162</x:f>
        <x:v>44958</x:v>
      </x:c>
      <x:c r="B162" s="22" t="n">
        <x:f>IF('Nivel Setorial'!B162="","",'Nivel Setorial'!B162/'Nivel Setorial'!B$45*100)</x:f>
        <x:v>-87781.0848861473</x:v>
      </x:c>
      <x:c r="C162" s="22" t="n">
        <x:f>IF('Nivel Setorial'!C162="","",'Nivel Setorial'!C162/'Nivel Setorial'!C$5*100)</x:f>
        <x:v>472.46474129313674</x:v>
      </x:c>
      <x:c r="D162" s="22" t="n">
        <x:f>IF('Nivel Setorial'!D162="","",'Nivel Setorial'!D162/'Nivel Setorial'!D$5*100)</x:f>
        <x:v>1257.3123131290533</x:v>
      </x:c>
      <x:c r="E162" s="22" t="n">
        <x:f>IF('Nivel Setorial'!E162="","",'Nivel Setorial'!E162/'Nivel Setorial'!E$49*100)</x:f>
        <x:v>22.46171340601711</x:v>
      </x:c>
      <x:c r="F162" s="22" t="n">
        <x:f>IF('Nivel Setorial'!F162="","",'Nivel Setorial'!F162/'Nivel Setorial'!F$5*100)</x:f>
        <x:v>340.8566591960469</x:v>
      </x:c>
      <x:c r="G162" s="22" t="n">
        <x:f>IF('Nivel Setorial'!G162="","",'Nivel Setorial'!G162/'Nivel Setorial'!G$5*100)</x:f>
        <x:v>190.23670804978732</x:v>
      </x:c>
      <x:c r="H162" s="22" t="n">
        <x:f>IF('Nivel Setorial'!H162="","",'Nivel Setorial'!H162/'Nivel Setorial'!H$17*100)</x:f>
        <x:v>1049.9142377542435</x:v>
      </x:c>
      <x:c r="I162" s="22" t="n">
        <x:f>IF('Nivel Setorial'!I162="","",'Nivel Setorial'!I162/'Nivel Setorial'!I$5*100)</x:f>
        <x:v>64.38617899638596</x:v>
      </x:c>
      <x:c r="J162" s="22" t="n">
        <x:f>IF('Nivel Setorial'!J162="","",'Nivel Setorial'!J162/'Nivel Setorial'!J$25*100)</x:f>
        <x:v>426.6272430408386</x:v>
      </x:c>
      <x:c r="K162" s="22" t="n">
        <x:f>IF('Nivel Setorial'!K162="","",'Nivel Setorial'!K162/'Nivel Setorial'!K$5*100)</x:f>
        <x:v>272.4324199213526</x:v>
      </x:c>
      <x:c r="L162" s="22" t="n">
        <x:f>IF('Nivel Setorial'!L162="","",'Nivel Setorial'!L162/'Nivel Setorial'!L$5*100)</x:f>
        <x:v>377.8032029050288</x:v>
      </x:c>
      <x:c r="M162" s="22" t="n">
        <x:f>IF('Nivel Setorial'!M162="","",'Nivel Setorial'!M162/'Nivel Setorial'!M$5*100)</x:f>
        <x:v>772.6558414557921</x:v>
      </x:c>
      <x:c r="N162" s="22" t="n">
        <x:f>IF('Nivel Setorial'!N162="","",'Nivel Setorial'!N162/'Nivel Setorial'!N$5*100)</x:f>
        <x:v>441.8400479257727</x:v>
      </x:c>
      <x:c r="O162" s="22" t="n">
        <x:f>IF('Nivel Setorial'!O162="","",'Nivel Setorial'!O162/'Nivel Setorial'!O$5*100)</x:f>
        <x:v>302.5997657554757</x:v>
      </x:c>
      <x:c r="P162" s="22" t="n">
        <x:f>IF('Nivel Setorial'!P162="","",'Nivel Setorial'!P162/'Nivel Setorial'!P$5*100)</x:f>
        <x:v>37.33649773776794</x:v>
      </x:c>
      <x:c r="Q162" s="22" t="n">
        <x:f>IF('Nivel Setorial'!Q162="","",'Nivel Setorial'!Q162/'Nivel Setorial'!Q$5*100)</x:f>
        <x:v>312.2996464321012</x:v>
      </x:c>
      <x:c r="R162" s="22" t="n">
        <x:f>IF('Nivel Setorial'!R162="","",'Nivel Setorial'!R162/'Nivel Setorial'!R$5*100)</x:f>
        <x:v>305.1720383530991</x:v>
      </x:c>
    </x:row>
    <x:row r="163">
      <x:c r="A163" s="21" t="n">
        <x:f>'Nivel Setorial'!A163</x:f>
        <x:v>44986</x:v>
      </x:c>
      <x:c r="B163" s="22" t="n">
        <x:f>IF('Nivel Setorial'!B163="","",'Nivel Setorial'!B163/'Nivel Setorial'!B$45*100)</x:f>
        <x:v>-85567.86631174067</x:v>
      </x:c>
      <x:c r="C163" s="22" t="n">
        <x:f>IF('Nivel Setorial'!C163="","",'Nivel Setorial'!C163/'Nivel Setorial'!C$5*100)</x:f>
        <x:v>470.7495026621211</x:v>
      </x:c>
      <x:c r="D163" s="22" t="n">
        <x:f>IF('Nivel Setorial'!D163="","",'Nivel Setorial'!D163/'Nivel Setorial'!D$5*100)</x:f>
        <x:v>1290.8607671613372</x:v>
      </x:c>
      <x:c r="E163" s="22" t="n">
        <x:f>IF('Nivel Setorial'!E163="","",'Nivel Setorial'!E163/'Nivel Setorial'!E$49*100)</x:f>
        <x:v>27.30335399137006</x:v>
      </x:c>
      <x:c r="F163" s="22" t="n">
        <x:f>IF('Nivel Setorial'!F163="","",'Nivel Setorial'!F163/'Nivel Setorial'!F$5*100)</x:f>
        <x:v>340.10436336177685</x:v>
      </x:c>
      <x:c r="G163" s="22" t="n">
        <x:f>IF('Nivel Setorial'!G163="","",'Nivel Setorial'!G163/'Nivel Setorial'!G$5*100)</x:f>
        <x:v>190.5141465028704</x:v>
      </x:c>
      <x:c r="H163" s="22" t="n">
        <x:f>IF('Nivel Setorial'!H163="","",'Nivel Setorial'!H163/'Nivel Setorial'!H$17*100)</x:f>
        <x:v>990.1088957659484</x:v>
      </x:c>
      <x:c r="I163" s="22" t="n">
        <x:f>IF('Nivel Setorial'!I163="","",'Nivel Setorial'!I163/'Nivel Setorial'!I$5*100)</x:f>
        <x:v>65.47677280495984</x:v>
      </x:c>
      <x:c r="J163" s="22" t="n">
        <x:f>IF('Nivel Setorial'!J163="","",'Nivel Setorial'!J163/'Nivel Setorial'!J$25*100)</x:f>
        <x:v>453.3050743978384</x:v>
      </x:c>
      <x:c r="K163" s="22" t="n">
        <x:f>IF('Nivel Setorial'!K163="","",'Nivel Setorial'!K163/'Nivel Setorial'!K$5*100)</x:f>
        <x:v>280.35358055342607</x:v>
      </x:c>
      <x:c r="L163" s="22" t="n">
        <x:f>IF('Nivel Setorial'!L163="","",'Nivel Setorial'!L163/'Nivel Setorial'!L$5*100)</x:f>
        <x:v>357.79219927731833</x:v>
      </x:c>
      <x:c r="M163" s="22" t="n">
        <x:f>IF('Nivel Setorial'!M163="","",'Nivel Setorial'!M163/'Nivel Setorial'!M$5*100)</x:f>
        <x:v>837.3886623447659</x:v>
      </x:c>
      <x:c r="N163" s="22" t="n">
        <x:f>IF('Nivel Setorial'!N163="","",'Nivel Setorial'!N163/'Nivel Setorial'!N$5*100)</x:f>
        <x:v>431.12527308733587</x:v>
      </x:c>
      <x:c r="O163" s="22" t="n">
        <x:f>IF('Nivel Setorial'!O163="","",'Nivel Setorial'!O163/'Nivel Setorial'!O$5*100)</x:f>
        <x:v>307.1006737104872</x:v>
      </x:c>
      <x:c r="P163" s="22" t="n">
        <x:f>IF('Nivel Setorial'!P163="","",'Nivel Setorial'!P163/'Nivel Setorial'!P$5*100)</x:f>
        <x:v>37.505021684648995</x:v>
      </x:c>
      <x:c r="Q163" s="22" t="n">
        <x:f>IF('Nivel Setorial'!Q163="","",'Nivel Setorial'!Q163/'Nivel Setorial'!Q$5*100)</x:f>
        <x:v>324.7707801096544</x:v>
      </x:c>
      <x:c r="R163" s="22" t="n">
        <x:f>IF('Nivel Setorial'!R163="","",'Nivel Setorial'!R163/'Nivel Setorial'!R$5*100)</x:f>
        <x:v>292.39517611277915</x:v>
      </x:c>
    </x:row>
    <x:row r="164">
      <x:c r="A164" s="21" t="n">
        <x:f>'Nivel Setorial'!A164</x:f>
        <x:v>45017</x:v>
      </x:c>
      <x:c r="B164" s="22" t="n">
        <x:f>IF('Nivel Setorial'!B164="","",'Nivel Setorial'!B164/'Nivel Setorial'!B$45*100)</x:f>
        <x:v>-81379.0521558434</x:v>
      </x:c>
      <x:c r="C164" s="22" t="n">
        <x:f>IF('Nivel Setorial'!C164="","",'Nivel Setorial'!C164/'Nivel Setorial'!C$5*100)</x:f>
        <x:v>474.89239184722794</x:v>
      </x:c>
      <x:c r="D164" s="22" t="n">
        <x:f>IF('Nivel Setorial'!D164="","",'Nivel Setorial'!D164/'Nivel Setorial'!D$5*100)</x:f>
        <x:v>1313.1354519338165</x:v>
      </x:c>
      <x:c r="E164" s="22" t="n">
        <x:f>IF('Nivel Setorial'!E164="","",'Nivel Setorial'!E164/'Nivel Setorial'!E$49*100)</x:f>
        <x:v>26.624815287481972</x:v>
      </x:c>
      <x:c r="F164" s="22" t="n">
        <x:f>IF('Nivel Setorial'!F164="","",'Nivel Setorial'!F164/'Nivel Setorial'!F$5*100)</x:f>
        <x:v>342.7828080537026</x:v>
      </x:c>
      <x:c r="G164" s="22" t="n">
        <x:f>IF('Nivel Setorial'!G164="","",'Nivel Setorial'!G164/'Nivel Setorial'!G$5*100)</x:f>
        <x:v>187.02774829504065</x:v>
      </x:c>
      <x:c r="H164" s="22" t="n">
        <x:f>IF('Nivel Setorial'!H164="","",'Nivel Setorial'!H164/'Nivel Setorial'!H$17*100)</x:f>
        <x:v>987.4037119331683</x:v>
      </x:c>
      <x:c r="I164" s="22" t="n">
        <x:f>IF('Nivel Setorial'!I164="","",'Nivel Setorial'!I164/'Nivel Setorial'!I$5*100)</x:f>
        <x:v>64.14883247452433</x:v>
      </x:c>
      <x:c r="J164" s="22" t="n">
        <x:f>IF('Nivel Setorial'!J164="","",'Nivel Setorial'!J164/'Nivel Setorial'!J$25*100)</x:f>
        <x:v>437.98087897341986</x:v>
      </x:c>
      <x:c r="K164" s="22" t="n">
        <x:f>IF('Nivel Setorial'!K164="","",'Nivel Setorial'!K164/'Nivel Setorial'!K$5*100)</x:f>
        <x:v>265.5396112467288</x:v>
      </x:c>
      <x:c r="L164" s="22" t="n">
        <x:f>IF('Nivel Setorial'!L164="","",'Nivel Setorial'!L164/'Nivel Setorial'!L$5*100)</x:f>
        <x:v>361.03014652654235</x:v>
      </x:c>
      <x:c r="M164" s="22" t="n">
        <x:f>IF('Nivel Setorial'!M164="","",'Nivel Setorial'!M164/'Nivel Setorial'!M$5*100)</x:f>
        <x:v>731.4174162988838</x:v>
      </x:c>
      <x:c r="N164" s="22" t="n">
        <x:f>IF('Nivel Setorial'!N164="","",'Nivel Setorial'!N164/'Nivel Setorial'!N$5*100)</x:f>
        <x:v>396.15901481071666</x:v>
      </x:c>
      <x:c r="O164" s="22" t="n">
        <x:f>IF('Nivel Setorial'!O164="","",'Nivel Setorial'!O164/'Nivel Setorial'!O$5*100)</x:f>
        <x:v>303.74367765477194</x:v>
      </x:c>
      <x:c r="P164" s="22" t="n">
        <x:f>IF('Nivel Setorial'!P164="","",'Nivel Setorial'!P164/'Nivel Setorial'!P$5*100)</x:f>
        <x:v>38.53430703150894</x:v>
      </x:c>
      <x:c r="Q164" s="22" t="n">
        <x:f>IF('Nivel Setorial'!Q164="","",'Nivel Setorial'!Q164/'Nivel Setorial'!Q$5*100)</x:f>
        <x:v>328.36853230863386</x:v>
      </x:c>
      <x:c r="R164" s="22" t="n">
        <x:f>IF('Nivel Setorial'!R164="","",'Nivel Setorial'!R164/'Nivel Setorial'!R$5*100)</x:f>
        <x:v>305.9357439429225</x:v>
      </x:c>
    </x:row>
    <x:row r="165">
      <x:c r="A165" s="21" t="n">
        <x:f>'Nivel Setorial'!A165</x:f>
        <x:v>45047</x:v>
      </x:c>
      <x:c r="B165" s="22" t="n">
        <x:f>IF('Nivel Setorial'!B165="","",'Nivel Setorial'!B165/'Nivel Setorial'!B$45*100)</x:f>
        <x:v>-80915.23477828671</x:v>
      </x:c>
      <x:c r="C165" s="22" t="n">
        <x:f>IF('Nivel Setorial'!C165="","",'Nivel Setorial'!C165/'Nivel Setorial'!C$5*100)</x:f>
        <x:v>468.04474771701985</x:v>
      </x:c>
      <x:c r="D165" s="22" t="n">
        <x:f>IF('Nivel Setorial'!D165="","",'Nivel Setorial'!D165/'Nivel Setorial'!D$5*100)</x:f>
        <x:v>1336.8731099592203</x:v>
      </x:c>
      <x:c r="E165" s="22" t="n">
        <x:f>IF('Nivel Setorial'!E165="","",'Nivel Setorial'!E165/'Nivel Setorial'!E$49*100)</x:f>
        <x:v>39.15594636031523</x:v>
      </x:c>
      <x:c r="F165" s="22" t="n">
        <x:f>IF('Nivel Setorial'!F165="","",'Nivel Setorial'!F165/'Nivel Setorial'!F$5*100)</x:f>
        <x:v>360.86724602533354</x:v>
      </x:c>
      <x:c r="G165" s="22" t="n">
        <x:f>IF('Nivel Setorial'!G165="","",'Nivel Setorial'!G165/'Nivel Setorial'!G$5*100)</x:f>
        <x:v>193.0079985390255</x:v>
      </x:c>
      <x:c r="H165" s="22" t="n">
        <x:f>IF('Nivel Setorial'!H165="","",'Nivel Setorial'!H165/'Nivel Setorial'!H$17*100)</x:f>
        <x:v>978.9394467747671</x:v>
      </x:c>
      <x:c r="I165" s="22" t="n">
        <x:f>IF('Nivel Setorial'!I165="","",'Nivel Setorial'!I165/'Nivel Setorial'!I$5*100)</x:f>
        <x:v>59.69473302278638</x:v>
      </x:c>
      <x:c r="J165" s="22" t="n">
        <x:f>IF('Nivel Setorial'!J165="","",'Nivel Setorial'!J165/'Nivel Setorial'!J$25*100)</x:f>
        <x:v>547.1516116635588</x:v>
      </x:c>
      <x:c r="K165" s="22" t="n">
        <x:f>IF('Nivel Setorial'!K165="","",'Nivel Setorial'!K165/'Nivel Setorial'!K$5*100)</x:f>
        <x:v>248.8465688419038</x:v>
      </x:c>
      <x:c r="L165" s="22" t="n">
        <x:f>IF('Nivel Setorial'!L165="","",'Nivel Setorial'!L165/'Nivel Setorial'!L$5*100)</x:f>
        <x:v>361.08974885742725</x:v>
      </x:c>
      <x:c r="M165" s="22" t="n">
        <x:f>IF('Nivel Setorial'!M165="","",'Nivel Setorial'!M165/'Nivel Setorial'!M$5*100)</x:f>
        <x:v>669.1761972001142</x:v>
      </x:c>
      <x:c r="N165" s="22" t="n">
        <x:f>IF('Nivel Setorial'!N165="","",'Nivel Setorial'!N165/'Nivel Setorial'!N$5*100)</x:f>
        <x:v>362.4402505163844</x:v>
      </x:c>
      <x:c r="O165" s="22" t="n">
        <x:f>IF('Nivel Setorial'!O165="","",'Nivel Setorial'!O165/'Nivel Setorial'!O$5*100)</x:f>
        <x:v>316.38611486843814</x:v>
      </x:c>
      <x:c r="P165" s="22" t="n">
        <x:f>IF('Nivel Setorial'!P165="","",'Nivel Setorial'!P165/'Nivel Setorial'!P$5*100)</x:f>
        <x:v>39.24735119617615</x:v>
      </x:c>
      <x:c r="Q165" s="22" t="n">
        <x:f>IF('Nivel Setorial'!Q165="","",'Nivel Setorial'!Q165/'Nivel Setorial'!Q$5*100)</x:f>
        <x:v>330.71819879779054</x:v>
      </x:c>
      <x:c r="R165" s="22" t="n">
        <x:f>IF('Nivel Setorial'!R165="","",'Nivel Setorial'!R165/'Nivel Setorial'!R$5*100)</x:f>
        <x:v>331.1268642362473</x:v>
      </x:c>
    </x:row>
    <x:row r="166">
      <x:c r="A166" s="21" t="n">
        <x:f>'Nivel Setorial'!A166</x:f>
        <x:v>45078</x:v>
      </x:c>
      <x:c r="B166" s="22" t="n">
        <x:f>IF('Nivel Setorial'!B166="","",'Nivel Setorial'!B166/'Nivel Setorial'!B$45*100)</x:f>
        <x:v>-82063.34393797872</x:v>
      </x:c>
      <x:c r="C166" s="22" t="n">
        <x:f>IF('Nivel Setorial'!C166="","",'Nivel Setorial'!C166/'Nivel Setorial'!C$5*100)</x:f>
        <x:v>476.54236130109695</x:v>
      </x:c>
      <x:c r="D166" s="22" t="n">
        <x:f>IF('Nivel Setorial'!D166="","",'Nivel Setorial'!D166/'Nivel Setorial'!D$5*100)</x:f>
        <x:v>1355.114192568796</x:v>
      </x:c>
      <x:c r="E166" s="22" t="n">
        <x:f>IF('Nivel Setorial'!E166="","",'Nivel Setorial'!E166/'Nivel Setorial'!E$49*100)</x:f>
        <x:v>55.93275098197202</x:v>
      </x:c>
      <x:c r="F166" s="22" t="n">
        <x:f>IF('Nivel Setorial'!F166="","",'Nivel Setorial'!F166/'Nivel Setorial'!F$5*100)</x:f>
        <x:v>366.2250511097116</x:v>
      </x:c>
      <x:c r="G166" s="22" t="n">
        <x:f>IF('Nivel Setorial'!G166="","",'Nivel Setorial'!G166/'Nivel Setorial'!G$5*100)</x:f>
        <x:v>192.03263282191094</x:v>
      </x:c>
      <x:c r="H166" s="22" t="n">
        <x:f>IF('Nivel Setorial'!H166="","",'Nivel Setorial'!H166/'Nivel Setorial'!H$17*100)</x:f>
        <x:v>1005.7581003340258</x:v>
      </x:c>
      <x:c r="I166" s="22" t="n">
        <x:f>IF('Nivel Setorial'!I166="","",'Nivel Setorial'!I166/'Nivel Setorial'!I$5*100)</x:f>
        <x:v>64.61459852565463</x:v>
      </x:c>
      <x:c r="J166" s="22" t="n">
        <x:f>IF('Nivel Setorial'!J166="","",'Nivel Setorial'!J166/'Nivel Setorial'!J$25*100)</x:f>
        <x:v>546.1715023939311</x:v>
      </x:c>
      <x:c r="K166" s="22" t="n">
        <x:f>IF('Nivel Setorial'!K166="","",'Nivel Setorial'!K166/'Nivel Setorial'!K$5*100)</x:f>
        <x:v>232.53630610476642</x:v>
      </x:c>
      <x:c r="L166" s="22" t="n">
        <x:f>IF('Nivel Setorial'!L166="","",'Nivel Setorial'!L166/'Nivel Setorial'!L$5*100)</x:f>
        <x:v>346.2395303681452</x:v>
      </x:c>
      <x:c r="M166" s="22" t="n">
        <x:f>IF('Nivel Setorial'!M166="","",'Nivel Setorial'!M166/'Nivel Setorial'!M$5*100)</x:f>
        <x:v>646.781460176306</x:v>
      </x:c>
      <x:c r="N166" s="22" t="n">
        <x:f>IF('Nivel Setorial'!N166="","",'Nivel Setorial'!N166/'Nivel Setorial'!N$5*100)</x:f>
        <x:v>378.6877359772629</x:v>
      </x:c>
      <x:c r="O166" s="22" t="n">
        <x:f>IF('Nivel Setorial'!O166="","",'Nivel Setorial'!O166/'Nivel Setorial'!O$5*100)</x:f>
        <x:v>325.69593242601053</x:v>
      </x:c>
      <x:c r="P166" s="22" t="n">
        <x:f>IF('Nivel Setorial'!P166="","",'Nivel Setorial'!P166/'Nivel Setorial'!P$5*100)</x:f>
        <x:v>40.09916721464206</x:v>
      </x:c>
      <x:c r="Q166" s="22" t="n">
        <x:f>IF('Nivel Setorial'!Q166="","",'Nivel Setorial'!Q166/'Nivel Setorial'!Q$5*100)</x:f>
        <x:v>380.54395878971786</x:v>
      </x:c>
      <x:c r="R166" s="22" t="n">
        <x:f>IF('Nivel Setorial'!R166="","",'Nivel Setorial'!R166/'Nivel Setorial'!R$5*100)</x:f>
        <x:v>298.9085976123293</x:v>
      </x:c>
    </x:row>
    <x:row r="167">
      <x:c r="A167" s="21" t="n">
        <x:f>'Nivel Setorial'!A167</x:f>
        <x:v>45108</x:v>
      </x:c>
      <x:c r="B167" s="22" t="n">
        <x:f>IF('Nivel Setorial'!B167="","",'Nivel Setorial'!B167/'Nivel Setorial'!B$45*100)</x:f>
        <x:v>-81965.98170364252</x:v>
      </x:c>
      <x:c r="C167" s="22" t="n">
        <x:f>IF('Nivel Setorial'!C167="","",'Nivel Setorial'!C167/'Nivel Setorial'!C$5*100)</x:f>
        <x:v>480.5042384067467</x:v>
      </x:c>
      <x:c r="D167" s="22" t="n">
        <x:f>IF('Nivel Setorial'!D167="","",'Nivel Setorial'!D167/'Nivel Setorial'!D$5*100)</x:f>
        <x:v>1360.8134993510737</x:v>
      </x:c>
      <x:c r="E167" s="22" t="n">
        <x:f>IF('Nivel Setorial'!E167="","",'Nivel Setorial'!E167/'Nivel Setorial'!E$49*100)</x:f>
        <x:v>64.65406502474461</x:v>
      </x:c>
      <x:c r="F167" s="22" t="n">
        <x:f>IF('Nivel Setorial'!F167="","",'Nivel Setorial'!F167/'Nivel Setorial'!F$5*100)</x:f>
        <x:v>378.78087608549833</x:v>
      </x:c>
      <x:c r="G167" s="22" t="n">
        <x:f>IF('Nivel Setorial'!G167="","",'Nivel Setorial'!G167/'Nivel Setorial'!G$5*100)</x:f>
        <x:v>193.09032330327983</x:v>
      </x:c>
      <x:c r="H167" s="22" t="n">
        <x:f>IF('Nivel Setorial'!H167="","",'Nivel Setorial'!H167/'Nivel Setorial'!H$17*100)</x:f>
        <x:v>1075.5801744312896</x:v>
      </x:c>
      <x:c r="I167" s="22" t="n">
        <x:f>IF('Nivel Setorial'!I167="","",'Nivel Setorial'!I167/'Nivel Setorial'!I$5*100)</x:f>
        <x:v>68.3821228824788</x:v>
      </x:c>
      <x:c r="J167" s="22" t="n">
        <x:f>IF('Nivel Setorial'!J167="","",'Nivel Setorial'!J167/'Nivel Setorial'!J$25*100)</x:f>
        <x:v>566.7542209060318</x:v>
      </x:c>
      <x:c r="K167" s="22" t="n">
        <x:f>IF('Nivel Setorial'!K167="","",'Nivel Setorial'!K167/'Nivel Setorial'!K$5*100)</x:f>
        <x:v>220.4784626661446</x:v>
      </x:c>
      <x:c r="L167" s="22" t="n">
        <x:f>IF('Nivel Setorial'!L167="","",'Nivel Setorial'!L167/'Nivel Setorial'!L$5*100)</x:f>
        <x:v>345.00277966208233</x:v>
      </x:c>
      <x:c r="M167" s="22" t="n">
        <x:f>IF('Nivel Setorial'!M167="","",'Nivel Setorial'!M167/'Nivel Setorial'!M$5*100)</x:f>
        <x:v>725.9796843562265</x:v>
      </x:c>
      <x:c r="N167" s="22" t="n">
        <x:f>IF('Nivel Setorial'!N167="","",'Nivel Setorial'!N167/'Nivel Setorial'!N$5*100)</x:f>
        <x:v>360.6110497269548</x:v>
      </x:c>
      <x:c r="O167" s="22" t="n">
        <x:f>IF('Nivel Setorial'!O167="","",'Nivel Setorial'!O167/'Nivel Setorial'!O$5*100)</x:f>
        <x:v>330.86554383428745</x:v>
      </x:c>
      <x:c r="P167" s="22" t="n">
        <x:f>IF('Nivel Setorial'!P167="","",'Nivel Setorial'!P167/'Nivel Setorial'!P$5*100)</x:f>
        <x:v>41.665315549523285</x:v>
      </x:c>
      <x:c r="Q167" s="22" t="n">
        <x:f>IF('Nivel Setorial'!Q167="","",'Nivel Setorial'!Q167/'Nivel Setorial'!Q$5*100)</x:f>
        <x:v>377.37637294174965</x:v>
      </x:c>
      <x:c r="R167" s="22" t="n">
        <x:f>IF('Nivel Setorial'!R167="","",'Nivel Setorial'!R167/'Nivel Setorial'!R$5*100)</x:f>
        <x:v>292.99806748849136</x:v>
      </x:c>
    </x:row>
    <x:row r="168">
      <x:c r="A168" s="21" t="n">
        <x:f>'Nivel Setorial'!A168</x:f>
        <x:v>45139</x:v>
      </x:c>
      <x:c r="B168" s="22" t="n">
        <x:f>IF('Nivel Setorial'!B168="","",'Nivel Setorial'!B168/'Nivel Setorial'!B$45*100)</x:f>
        <x:v>-78825.92141731837</x:v>
      </x:c>
      <x:c r="C168" s="22" t="n">
        <x:f>IF('Nivel Setorial'!C168="","",'Nivel Setorial'!C168/'Nivel Setorial'!C$5*100)</x:f>
        <x:v>477.8402904253045</x:v>
      </x:c>
      <x:c r="D168" s="22" t="n">
        <x:f>IF('Nivel Setorial'!D168="","",'Nivel Setorial'!D168/'Nivel Setorial'!D$5*100)</x:f>
        <x:v>1376.4977625113631</x:v>
      </x:c>
      <x:c r="E168" s="22" t="n">
        <x:f>IF('Nivel Setorial'!E168="","",'Nivel Setorial'!E168/'Nivel Setorial'!E$49*100)</x:f>
        <x:v>79.57356704012243</x:v>
      </x:c>
      <x:c r="F168" s="22" t="n">
        <x:f>IF('Nivel Setorial'!F168="","",'Nivel Setorial'!F168/'Nivel Setorial'!F$5*100)</x:f>
        <x:v>377.19731674380745</x:v>
      </x:c>
      <x:c r="G168" s="22" t="n">
        <x:f>IF('Nivel Setorial'!G168="","",'Nivel Setorial'!G168/'Nivel Setorial'!G$5*100)</x:f>
        <x:v>186.28335307601287</x:v>
      </x:c>
      <x:c r="H168" s="22" t="n">
        <x:f>IF('Nivel Setorial'!H168="","",'Nivel Setorial'!H168/'Nivel Setorial'!H$17*100)</x:f>
        <x:v>1145.8677188655613</x:v>
      </x:c>
      <x:c r="I168" s="22" t="n">
        <x:f>IF('Nivel Setorial'!I168="","",'Nivel Setorial'!I168/'Nivel Setorial'!I$5*100)</x:f>
        <x:v>70.90611288378716</x:v>
      </x:c>
      <x:c r="J168" s="22" t="n">
        <x:f>IF('Nivel Setorial'!J168="","",'Nivel Setorial'!J168/'Nivel Setorial'!J$25*100)</x:f>
        <x:v>559.2925653741294</x:v>
      </x:c>
      <x:c r="K168" s="22" t="n">
        <x:f>IF('Nivel Setorial'!K168="","",'Nivel Setorial'!K168/'Nivel Setorial'!K$5*100)</x:f>
        <x:v>210.11163223796183</x:v>
      </x:c>
      <x:c r="L168" s="22" t="n">
        <x:f>IF('Nivel Setorial'!L168="","",'Nivel Setorial'!L168/'Nivel Setorial'!L$5*100)</x:f>
        <x:v>358.762070710116</x:v>
      </x:c>
      <x:c r="M168" s="22" t="n">
        <x:f>IF('Nivel Setorial'!M168="","",'Nivel Setorial'!M168/'Nivel Setorial'!M$5*100)</x:f>
        <x:v>700.931952117667</x:v>
      </x:c>
      <x:c r="N168" s="22" t="n">
        <x:f>IF('Nivel Setorial'!N168="","",'Nivel Setorial'!N168/'Nivel Setorial'!N$5*100)</x:f>
        <x:v>373.64510068994645</x:v>
      </x:c>
      <x:c r="O168" s="22" t="n">
        <x:f>IF('Nivel Setorial'!O168="","",'Nivel Setorial'!O168/'Nivel Setorial'!O$5*100)</x:f>
        <x:v>343.76390007091743</x:v>
      </x:c>
      <x:c r="P168" s="22" t="n">
        <x:f>IF('Nivel Setorial'!P168="","",'Nivel Setorial'!P168/'Nivel Setorial'!P$5*100)</x:f>
        <x:v>44.03782075130703</x:v>
      </x:c>
      <x:c r="Q168" s="22" t="n">
        <x:f>IF('Nivel Setorial'!Q168="","",'Nivel Setorial'!Q168/'Nivel Setorial'!Q$5*100)</x:f>
        <x:v>373.6235235038305</x:v>
      </x:c>
      <x:c r="R168" s="22" t="n">
        <x:f>IF('Nivel Setorial'!R168="","",'Nivel Setorial'!R168/'Nivel Setorial'!R$5*100)</x:f>
        <x:v>303.9906454959054</x:v>
      </x:c>
    </x:row>
    <x:row r="169">
      <x:c r="A169" s="21" t="n">
        <x:f>'Nivel Setorial'!A169</x:f>
        <x:v>45170</x:v>
      </x:c>
      <x:c r="B169" s="22" t="n">
        <x:f>IF('Nivel Setorial'!B169="","",'Nivel Setorial'!B169/'Nivel Setorial'!B$45*100)</x:f>
        <x:v>-76813.0942507866</x:v>
      </x:c>
      <x:c r="C169" s="22" t="n">
        <x:f>IF('Nivel Setorial'!C169="","",'Nivel Setorial'!C169/'Nivel Setorial'!C$5*100)</x:f>
        <x:v>484.6852652776224</x:v>
      </x:c>
      <x:c r="D169" s="22" t="n">
        <x:f>IF('Nivel Setorial'!D169="","",'Nivel Setorial'!D169/'Nivel Setorial'!D$5*100)</x:f>
        <x:v>1352.1033834723357</x:v>
      </x:c>
      <x:c r="E169" s="22" t="n">
        <x:f>IF('Nivel Setorial'!E169="","",'Nivel Setorial'!E169/'Nivel Setorial'!E$49*100)</x:f>
        <x:v>91.50004134864267</x:v>
      </x:c>
      <x:c r="F169" s="22" t="n">
        <x:f>IF('Nivel Setorial'!F169="","",'Nivel Setorial'!F169/'Nivel Setorial'!F$5*100)</x:f>
        <x:v>373.35981300116526</x:v>
      </x:c>
      <x:c r="G169" s="22" t="n">
        <x:f>IF('Nivel Setorial'!G169="","",'Nivel Setorial'!G169/'Nivel Setorial'!G$5*100)</x:f>
        <x:v>185.5883168263778</x:v>
      </x:c>
      <x:c r="H169" s="22" t="n">
        <x:f>IF('Nivel Setorial'!H169="","",'Nivel Setorial'!H169/'Nivel Setorial'!H$17*100)</x:f>
        <x:v>1199.1555346076143</x:v>
      </x:c>
      <x:c r="I169" s="22" t="n">
        <x:f>IF('Nivel Setorial'!I169="","",'Nivel Setorial'!I169/'Nivel Setorial'!I$5*100)</x:f>
        <x:v>75.62271805863057</x:v>
      </x:c>
      <x:c r="J169" s="22" t="n">
        <x:f>IF('Nivel Setorial'!J169="","",'Nivel Setorial'!J169/'Nivel Setorial'!J$25*100)</x:f>
        <x:v>540.472364387163</x:v>
      </x:c>
      <x:c r="K169" s="22" t="n">
        <x:f>IF('Nivel Setorial'!K169="","",'Nivel Setorial'!K169/'Nivel Setorial'!K$5*100)</x:f>
        <x:v>208.6372412586714</x:v>
      </x:c>
      <x:c r="L169" s="22" t="n">
        <x:f>IF('Nivel Setorial'!L169="","",'Nivel Setorial'!L169/'Nivel Setorial'!L$5*100)</x:f>
        <x:v>364.3519846804694</x:v>
      </x:c>
      <x:c r="M169" s="22" t="n">
        <x:f>IF('Nivel Setorial'!M169="","",'Nivel Setorial'!M169/'Nivel Setorial'!M$5*100)</x:f>
        <x:v>690.0297479462024</x:v>
      </x:c>
      <x:c r="N169" s="22" t="n">
        <x:f>IF('Nivel Setorial'!N169="","",'Nivel Setorial'!N169/'Nivel Setorial'!N$5*100)</x:f>
        <x:v>354.6779142883286</x:v>
      </x:c>
      <x:c r="O169" s="22" t="n">
        <x:f>IF('Nivel Setorial'!O169="","",'Nivel Setorial'!O169/'Nivel Setorial'!O$5*100)</x:f>
        <x:v>344.4297354302412</x:v>
      </x:c>
      <x:c r="P169" s="22" t="n">
        <x:f>IF('Nivel Setorial'!P169="","",'Nivel Setorial'!P169/'Nivel Setorial'!P$5*100)</x:f>
        <x:v>46.062163427785826</x:v>
      </x:c>
      <x:c r="Q169" s="22" t="n">
        <x:f>IF('Nivel Setorial'!Q169="","",'Nivel Setorial'!Q169/'Nivel Setorial'!Q$5*100)</x:f>
        <x:v>452.6632194071842</x:v>
      </x:c>
      <x:c r="R169" s="22" t="n">
        <x:f>IF('Nivel Setorial'!R169="","",'Nivel Setorial'!R169/'Nivel Setorial'!R$5*100)</x:f>
        <x:v>328.1250630508535</x:v>
      </x:c>
    </x:row>
    <x:row r="170">
      <x:c r="A170" s="21" t="n">
        <x:f>'Nivel Setorial'!A170</x:f>
        <x:v>45200</x:v>
      </x:c>
      <x:c r="B170" s="22" t="n">
        <x:f>IF('Nivel Setorial'!B170="","",'Nivel Setorial'!B170/'Nivel Setorial'!B$45*100)</x:f>
        <x:v>-78572.37963251749</x:v>
      </x:c>
      <x:c r="C170" s="22" t="n">
        <x:f>IF('Nivel Setorial'!C170="","",'Nivel Setorial'!C170/'Nivel Setorial'!C$5*100)</x:f>
        <x:v>491.5602202283477</x:v>
      </x:c>
      <x:c r="D170" s="22" t="n">
        <x:f>IF('Nivel Setorial'!D170="","",'Nivel Setorial'!D170/'Nivel Setorial'!D$5*100)</x:f>
        <x:v>1345.1756973269166</x:v>
      </x:c>
      <x:c r="E170" s="22" t="n">
        <x:f>IF('Nivel Setorial'!E170="","",'Nivel Setorial'!E170/'Nivel Setorial'!E$49*100)</x:f>
        <x:v>103.08767733873071</x:v>
      </x:c>
      <x:c r="F170" s="22" t="n">
        <x:f>IF('Nivel Setorial'!F170="","",'Nivel Setorial'!F170/'Nivel Setorial'!F$5*100)</x:f>
        <x:v>376.12256896429926</x:v>
      </x:c>
      <x:c r="G170" s="22" t="n">
        <x:f>IF('Nivel Setorial'!G170="","",'Nivel Setorial'!G170/'Nivel Setorial'!G$5*100)</x:f>
        <x:v>191.86799574515038</x:v>
      </x:c>
      <x:c r="H170" s="22" t="n">
        <x:f>IF('Nivel Setorial'!H170="","",'Nivel Setorial'!H170/'Nivel Setorial'!H$17*100)</x:f>
        <x:v>1222.5783934499195</x:v>
      </x:c>
      <x:c r="I170" s="22" t="n">
        <x:f>IF('Nivel Setorial'!I170="","",'Nivel Setorial'!I170/'Nivel Setorial'!I$5*100)</x:f>
        <x:v>74.77884459521339</x:v>
      </x:c>
      <x:c r="J170" s="22" t="n">
        <x:f>IF('Nivel Setorial'!J170="","",'Nivel Setorial'!J170/'Nivel Setorial'!J$25*100)</x:f>
        <x:v>551.0723080072984</x:v>
      </x:c>
      <x:c r="K170" s="22" t="n">
        <x:f>IF('Nivel Setorial'!K170="","",'Nivel Setorial'!K170/'Nivel Setorial'!K$5*100)</x:f>
        <x:v>215.25171713488373</x:v>
      </x:c>
      <x:c r="L170" s="22" t="n">
        <x:f>IF('Nivel Setorial'!L170="","",'Nivel Setorial'!L170/'Nivel Setorial'!L$5*100)</x:f>
        <x:v>391.9521144510507</x:v>
      </x:c>
      <x:c r="M170" s="22" t="n">
        <x:f>IF('Nivel Setorial'!M170="","",'Nivel Setorial'!M170/'Nivel Setorial'!M$5*100)</x:f>
        <x:v>585.7786180880076</x:v>
      </x:c>
      <x:c r="N170" s="22" t="n">
        <x:f>IF('Nivel Setorial'!N170="","",'Nivel Setorial'!N170/'Nivel Setorial'!N$5*100)</x:f>
        <x:v>308.8866423324152</x:v>
      </x:c>
      <x:c r="O170" s="22" t="n">
        <x:f>IF('Nivel Setorial'!O170="","",'Nivel Setorial'!O170/'Nivel Setorial'!O$5*100)</x:f>
        <x:v>356.01341274607717</x:v>
      </x:c>
      <x:c r="P170" s="22" t="n">
        <x:f>IF('Nivel Setorial'!P170="","",'Nivel Setorial'!P170/'Nivel Setorial'!P$5*100)</x:f>
        <x:v>47.87475237771682</x:v>
      </x:c>
      <x:c r="Q170" s="22" t="n">
        <x:f>IF('Nivel Setorial'!Q170="","",'Nivel Setorial'!Q170/'Nivel Setorial'!Q$5*100)</x:f>
        <x:v>472.5499488652853</x:v>
      </x:c>
      <x:c r="R170" s="22" t="n">
        <x:f>IF('Nivel Setorial'!R170="","",'Nivel Setorial'!R170/'Nivel Setorial'!R$5*100)</x:f>
        <x:v>338.01374841232115</x:v>
      </x:c>
    </x:row>
    <x:row r="171">
      <x:c r="A171" s="21" t="n">
        <x:f>'Nivel Setorial'!A171</x:f>
        <x:v>45231</x:v>
      </x:c>
      <x:c r="B171" s="22" t="n">
        <x:f>IF('Nivel Setorial'!B171="","",'Nivel Setorial'!B171/'Nivel Setorial'!B$45*100)</x:f>
        <x:v>-86242.04802815363</x:v>
      </x:c>
      <x:c r="C171" s="22" t="n">
        <x:f>IF('Nivel Setorial'!C171="","",'Nivel Setorial'!C171/'Nivel Setorial'!C$5*100)</x:f>
        <x:v>491.1004877719988</x:v>
      </x:c>
      <x:c r="D171" s="22" t="n">
        <x:f>IF('Nivel Setorial'!D171="","",'Nivel Setorial'!D171/'Nivel Setorial'!D$5*100)</x:f>
        <x:v>1379.1655396234721</x:v>
      </x:c>
      <x:c r="E171" s="22" t="n">
        <x:f>IF('Nivel Setorial'!E171="","",'Nivel Setorial'!E171/'Nivel Setorial'!E$49*100)</x:f>
        <x:v>109.29940890376054</x:v>
      </x:c>
      <x:c r="F171" s="22" t="n">
        <x:f>IF('Nivel Setorial'!F171="","",'Nivel Setorial'!F171/'Nivel Setorial'!F$5*100)</x:f>
        <x:v>375.3890210752156</x:v>
      </x:c>
      <x:c r="G171" s="22" t="n">
        <x:f>IF('Nivel Setorial'!G171="","",'Nivel Setorial'!G171/'Nivel Setorial'!G$5*100)</x:f>
        <x:v>192.3515748766489</x:v>
      </x:c>
      <x:c r="H171" s="22" t="n">
        <x:f>IF('Nivel Setorial'!H171="","",'Nivel Setorial'!H171/'Nivel Setorial'!H$17*100)</x:f>
        <x:v>1258.4442593225504</x:v>
      </x:c>
      <x:c r="I171" s="22" t="n">
        <x:f>IF('Nivel Setorial'!I171="","",'Nivel Setorial'!I171/'Nivel Setorial'!I$5*100)</x:f>
        <x:v>75.2756961479961</x:v>
      </x:c>
      <x:c r="J171" s="22" t="n">
        <x:f>IF('Nivel Setorial'!J171="","",'Nivel Setorial'!J171/'Nivel Setorial'!J$25*100)</x:f>
        <x:v>538.2030647201276</x:v>
      </x:c>
      <x:c r="K171" s="22" t="n">
        <x:f>IF('Nivel Setorial'!K171="","",'Nivel Setorial'!K171/'Nivel Setorial'!K$5*100)</x:f>
        <x:v>222.02079844149875</x:v>
      </x:c>
      <x:c r="L171" s="22" t="n">
        <x:f>IF('Nivel Setorial'!L171="","",'Nivel Setorial'!L171/'Nivel Setorial'!L$5*100)</x:f>
        <x:v>394.46177807637235</x:v>
      </x:c>
      <x:c r="M171" s="22" t="n">
        <x:f>IF('Nivel Setorial'!M171="","",'Nivel Setorial'!M171/'Nivel Setorial'!M$5*100)</x:f>
        <x:v>622.4711730462179</x:v>
      </x:c>
      <x:c r="N171" s="22" t="n">
        <x:f>IF('Nivel Setorial'!N171="","",'Nivel Setorial'!N171/'Nivel Setorial'!N$5*100)</x:f>
        <x:v>323.5629368256047</x:v>
      </x:c>
      <x:c r="O171" s="22" t="n">
        <x:f>IF('Nivel Setorial'!O171="","",'Nivel Setorial'!O171/'Nivel Setorial'!O$5*100)</x:f>
        <x:v>357.4596866989086</x:v>
      </x:c>
      <x:c r="P171" s="22" t="n">
        <x:f>IF('Nivel Setorial'!P171="","",'Nivel Setorial'!P171/'Nivel Setorial'!P$5*100)</x:f>
        <x:v>50.46933398973117</x:v>
      </x:c>
      <x:c r="Q171" s="22" t="n">
        <x:f>IF('Nivel Setorial'!Q171="","",'Nivel Setorial'!Q171/'Nivel Setorial'!Q$5*100)</x:f>
        <x:v>502.02372185555265</x:v>
      </x:c>
      <x:c r="R171" s="22" t="n">
        <x:f>IF('Nivel Setorial'!R171="","",'Nivel Setorial'!R171/'Nivel Setorial'!R$5*100)</x:f>
        <x:v>333.49866907675676</x:v>
      </x:c>
    </x:row>
    <x:row r="172">
      <x:c r="A172" s="21" t="n">
        <x:f>'Nivel Setorial'!A172</x:f>
        <x:v>45261</x:v>
      </x:c>
      <x:c r="B172" s="22" t="n">
        <x:f>IF('Nivel Setorial'!B172="","",'Nivel Setorial'!B172/'Nivel Setorial'!B$45*100)</x:f>
        <x:v>-83288.82493453783</x:v>
      </x:c>
      <x:c r="C172" s="22" t="n">
        <x:f>IF('Nivel Setorial'!C172="","",'Nivel Setorial'!C172/'Nivel Setorial'!C$5*100)</x:f>
        <x:v>498.0366678265758</x:v>
      </x:c>
      <x:c r="D172" s="22" t="n">
        <x:f>IF('Nivel Setorial'!D172="","",'Nivel Setorial'!D172/'Nivel Setorial'!D$5*100)</x:f>
        <x:v>1380.8453290767068</x:v>
      </x:c>
      <x:c r="E172" s="22" t="n">
        <x:f>IF('Nivel Setorial'!E172="","",'Nivel Setorial'!E172/'Nivel Setorial'!E$49*100)</x:f>
        <x:v>113.24942156388089</x:v>
      </x:c>
      <x:c r="F172" s="22" t="n">
        <x:f>IF('Nivel Setorial'!F172="","",'Nivel Setorial'!F172/'Nivel Setorial'!F$5*100)</x:f>
        <x:v>375.98450883661064</x:v>
      </x:c>
      <x:c r="G172" s="22" t="n">
        <x:f>IF('Nivel Setorial'!G172="","",'Nivel Setorial'!G172/'Nivel Setorial'!G$5*100)</x:f>
        <x:v>194.81008526348148</x:v>
      </x:c>
      <x:c r="H172" s="22" t="n">
        <x:f>IF('Nivel Setorial'!H172="","",'Nivel Setorial'!H172/'Nivel Setorial'!H$17*100)</x:f>
        <x:v>1298.428842532374</x:v>
      </x:c>
      <x:c r="I172" s="22" t="n">
        <x:f>IF('Nivel Setorial'!I172="","",'Nivel Setorial'!I172/'Nivel Setorial'!I$5*100)</x:f>
        <x:v>75.53885390342985</x:v>
      </x:c>
      <x:c r="J172" s="22" t="n">
        <x:f>IF('Nivel Setorial'!J172="","",'Nivel Setorial'!J172/'Nivel Setorial'!J$25*100)</x:f>
        <x:v>512.6344352374332</x:v>
      </x:c>
      <x:c r="K172" s="22" t="n">
        <x:f>IF('Nivel Setorial'!K172="","",'Nivel Setorial'!K172/'Nivel Setorial'!K$5*100)</x:f>
        <x:v>231.68093247275868</x:v>
      </x:c>
      <x:c r="L172" s="22" t="n">
        <x:f>IF('Nivel Setorial'!L172="","",'Nivel Setorial'!L172/'Nivel Setorial'!L$5*100)</x:f>
        <x:v>406.8358987033962</x:v>
      </x:c>
      <x:c r="M172" s="22" t="n">
        <x:f>IF('Nivel Setorial'!M172="","",'Nivel Setorial'!M172/'Nivel Setorial'!M$5*100)</x:f>
        <x:v>644.8975415508714</x:v>
      </x:c>
      <x:c r="N172" s="22" t="n">
        <x:f>IF('Nivel Setorial'!N172="","",'Nivel Setorial'!N172/'Nivel Setorial'!N$5*100)</x:f>
        <x:v>333.4761577779755</x:v>
      </x:c>
      <x:c r="O172" s="22" t="n">
        <x:f>IF('Nivel Setorial'!O172="","",'Nivel Setorial'!O172/'Nivel Setorial'!O$5*100)</x:f>
        <x:v>349.7473521161834</x:v>
      </x:c>
      <x:c r="P172" s="22" t="n">
        <x:f>IF('Nivel Setorial'!P172="","",'Nivel Setorial'!P172/'Nivel Setorial'!P$5*100)</x:f>
        <x:v>51.01259893942692</x:v>
      </x:c>
      <x:c r="Q172" s="22" t="n">
        <x:f>IF('Nivel Setorial'!Q172="","",'Nivel Setorial'!Q172/'Nivel Setorial'!Q$5*100)</x:f>
        <x:v>531.7933111755057</x:v>
      </x:c>
      <x:c r="R172" s="22" t="n">
        <x:f>IF('Nivel Setorial'!R172="","",'Nivel Setorial'!R172/'Nivel Setorial'!R$5*100)</x:f>
        <x:v>329.84851361754386</x:v>
      </x:c>
    </x:row>
    <x:row r="173">
      <x:c r="A173" s="21" t="n">
        <x:f>'Nivel Setorial'!A173</x:f>
        <x:v>45292</x:v>
      </x:c>
      <x:c r="B173" s="22" t="n">
        <x:f>IF('Nivel Setorial'!B173="","",'Nivel Setorial'!B173/'Nivel Setorial'!B$45*100)</x:f>
        <x:v>-76741.37867632492</x:v>
      </x:c>
      <x:c r="C173" s="22" t="n">
        <x:f>IF('Nivel Setorial'!C173="","",'Nivel Setorial'!C173/'Nivel Setorial'!C$5*100)</x:f>
        <x:v>498.7294343791597</x:v>
      </x:c>
      <x:c r="D173" s="22" t="n">
        <x:f>IF('Nivel Setorial'!D173="","",'Nivel Setorial'!D173/'Nivel Setorial'!D$5*100)</x:f>
        <x:v>1396.1282853816683</x:v>
      </x:c>
      <x:c r="E173" s="22" t="n">
        <x:f>IF('Nivel Setorial'!E173="","",'Nivel Setorial'!E173/'Nivel Setorial'!E$49*100)</x:f>
        <x:v>111.9568663348761</x:v>
      </x:c>
      <x:c r="F173" s="22" t="n">
        <x:f>IF('Nivel Setorial'!F173="","",'Nivel Setorial'!F173/'Nivel Setorial'!F$5*100)</x:f>
        <x:v>379.25982318736385</x:v>
      </x:c>
      <x:c r="G173" s="22" t="n">
        <x:f>IF('Nivel Setorial'!G173="","",'Nivel Setorial'!G173/'Nivel Setorial'!G$5*100)</x:f>
        <x:v>186.36750070702962</x:v>
      </x:c>
      <x:c r="H173" s="22" t="n">
        <x:f>IF('Nivel Setorial'!H173="","",'Nivel Setorial'!H173/'Nivel Setorial'!H$17*100)</x:f>
        <x:v>1293.244042603644</x:v>
      </x:c>
      <x:c r="I173" s="22" t="n">
        <x:f>IF('Nivel Setorial'!I173="","",'Nivel Setorial'!I173/'Nivel Setorial'!I$5*100)</x:f>
        <x:v>75.28644632341143</x:v>
      </x:c>
      <x:c r="J173" s="22" t="n">
        <x:f>IF('Nivel Setorial'!J173="","",'Nivel Setorial'!J173/'Nivel Setorial'!J$25*100)</x:f>
        <x:v>513.9144723787899</x:v>
      </x:c>
      <x:c r="K173" s="22" t="n">
        <x:f>IF('Nivel Setorial'!K173="","",'Nivel Setorial'!K173/'Nivel Setorial'!K$5*100)</x:f>
        <x:v>232.83443104016462</x:v>
      </x:c>
      <x:c r="L173" s="22" t="n">
        <x:f>IF('Nivel Setorial'!L173="","",'Nivel Setorial'!L173/'Nivel Setorial'!L$5*100)</x:f>
        <x:v>389.277357108215</x:v>
      </x:c>
      <x:c r="M173" s="22" t="n">
        <x:f>IF('Nivel Setorial'!M173="","",'Nivel Setorial'!M173/'Nivel Setorial'!M$5*100)</x:f>
        <x:v>620.7481187476527</x:v>
      </x:c>
      <x:c r="N173" s="22" t="n">
        <x:f>IF('Nivel Setorial'!N173="","",'Nivel Setorial'!N173/'Nivel Setorial'!N$5*100)</x:f>
        <x:v>328.6320641234705</x:v>
      </x:c>
      <x:c r="O173" s="22" t="n">
        <x:f>IF('Nivel Setorial'!O173="","",'Nivel Setorial'!O173/'Nivel Setorial'!O$5*100)</x:f>
        <x:v>350.7757927720099</x:v>
      </x:c>
      <x:c r="P173" s="22" t="n">
        <x:f>IF('Nivel Setorial'!P173="","",'Nivel Setorial'!P173/'Nivel Setorial'!P$5*100)</x:f>
        <x:v>52.20613481049487</x:v>
      </x:c>
      <x:c r="Q173" s="22" t="n">
        <x:f>IF('Nivel Setorial'!Q173="","",'Nivel Setorial'!Q173/'Nivel Setorial'!Q$5*100)</x:f>
        <x:v>505.2057280781254</x:v>
      </x:c>
      <x:c r="R173" s="22" t="n">
        <x:f>IF('Nivel Setorial'!R173="","",'Nivel Setorial'!R173/'Nivel Setorial'!R$5*100)</x:f>
        <x:v>332.9555509556585</x:v>
      </x:c>
    </x:row>
    <x:row r="174">
      <x:c r="A174" s="21" t="n">
        <x:f>'Nivel Setorial'!A174</x:f>
        <x:v>45323</x:v>
      </x:c>
      <x:c r="B174" s="22" t="n">
        <x:f>IF('Nivel Setorial'!B174="","",'Nivel Setorial'!B174/'Nivel Setorial'!B$45*100)</x:f>
        <x:v>-80061.92238397936</x:v>
      </x:c>
      <x:c r="C174" s="22" t="n">
        <x:f>IF('Nivel Setorial'!C174="","",'Nivel Setorial'!C174/'Nivel Setorial'!C$5*100)</x:f>
        <x:v>486.95870694693394</x:v>
      </x:c>
      <x:c r="D174" s="22" t="n">
        <x:f>IF('Nivel Setorial'!D174="","",'Nivel Setorial'!D174/'Nivel Setorial'!D$5*100)</x:f>
        <x:v>1409.215829157842</x:v>
      </x:c>
      <x:c r="E174" s="22" t="n">
        <x:f>IF('Nivel Setorial'!E174="","",'Nivel Setorial'!E174/'Nivel Setorial'!E$49*100)</x:f>
        <x:v>117.71970552838313</x:v>
      </x:c>
      <x:c r="F174" s="22" t="n">
        <x:f>IF('Nivel Setorial'!F174="","",'Nivel Setorial'!F174/'Nivel Setorial'!F$5*100)</x:f>
        <x:v>380.0258969008799</x:v>
      </x:c>
      <x:c r="G174" s="22" t="n">
        <x:f>IF('Nivel Setorial'!G174="","",'Nivel Setorial'!G174/'Nivel Setorial'!G$5*100)</x:f>
        <x:v>175.59790872041268</x:v>
      </x:c>
      <x:c r="H174" s="22" t="n">
        <x:f>IF('Nivel Setorial'!H174="","",'Nivel Setorial'!H174/'Nivel Setorial'!H$17*100)</x:f>
        <x:v>1299.0272948188397</x:v>
      </x:c>
      <x:c r="I174" s="22" t="n">
        <x:f>IF('Nivel Setorial'!I174="","",'Nivel Setorial'!I174/'Nivel Setorial'!I$5*100)</x:f>
        <x:v>71.87284463819822</x:v>
      </x:c>
      <x:c r="J174" s="22" t="n">
        <x:f>IF('Nivel Setorial'!J174="","",'Nivel Setorial'!J174/'Nivel Setorial'!J$25*100)</x:f>
        <x:v>516.6251366642019</x:v>
      </x:c>
      <x:c r="K174" s="22" t="n">
        <x:f>IF('Nivel Setorial'!K174="","",'Nivel Setorial'!K174/'Nivel Setorial'!K$5*100)</x:f>
        <x:v>227.07374314817136</x:v>
      </x:c>
      <x:c r="L174" s="22" t="n">
        <x:f>IF('Nivel Setorial'!L174="","",'Nivel Setorial'!L174/'Nivel Setorial'!L$5*100)</x:f>
        <x:v>387.6544432594827</x:v>
      </x:c>
      <x:c r="M174" s="22" t="n">
        <x:f>IF('Nivel Setorial'!M174="","",'Nivel Setorial'!M174/'Nivel Setorial'!M$5*100)</x:f>
        <x:v>592.9605327085519</x:v>
      </x:c>
      <x:c r="N174" s="22" t="n">
        <x:f>IF('Nivel Setorial'!N174="","",'Nivel Setorial'!N174/'Nivel Setorial'!N$5*100)</x:f>
        <x:v>325.94431953051236</x:v>
      </x:c>
      <x:c r="O174" s="22" t="n">
        <x:f>IF('Nivel Setorial'!O174="","",'Nivel Setorial'!O174/'Nivel Setorial'!O$5*100)</x:f>
        <x:v>356.1494707764342</x:v>
      </x:c>
      <x:c r="P174" s="22" t="n">
        <x:f>IF('Nivel Setorial'!P174="","",'Nivel Setorial'!P174/'Nivel Setorial'!P$5*100)</x:f>
        <x:v>53.99363952142666</x:v>
      </x:c>
      <x:c r="Q174" s="22" t="n">
        <x:f>IF('Nivel Setorial'!Q174="","",'Nivel Setorial'!Q174/'Nivel Setorial'!Q$5*100)</x:f>
        <x:v>513.758738250104</x:v>
      </x:c>
      <x:c r="R174" s="22" t="n">
        <x:f>IF('Nivel Setorial'!R174="","",'Nivel Setorial'!R174/'Nivel Setorial'!R$5*100)</x:f>
        <x:v>336.9505549062482</x:v>
      </x:c>
    </x:row>
    <x:row r="175">
      <x:c r="A175" s="21" t="n">
        <x:f>'Nivel Setorial'!A175</x:f>
        <x:v>45352</x:v>
      </x:c>
      <x:c r="B175" s="22" t="n">
        <x:f>IF('Nivel Setorial'!B175="","",'Nivel Setorial'!B175/'Nivel Setorial'!B$45*100)</x:f>
        <x:v>-81000.06430651624</x:v>
      </x:c>
      <x:c r="C175" s="22" t="n">
        <x:f>IF('Nivel Setorial'!C175="","",'Nivel Setorial'!C175/'Nivel Setorial'!C$5*100)</x:f>
        <x:v>487.91851359401494</x:v>
      </x:c>
      <x:c r="D175" s="22" t="n">
        <x:f>IF('Nivel Setorial'!D175="","",'Nivel Setorial'!D175/'Nivel Setorial'!D$5*100)</x:f>
        <x:v>1422.2479457239976</x:v>
      </x:c>
      <x:c r="E175" s="22" t="n">
        <x:f>IF('Nivel Setorial'!E175="","",'Nivel Setorial'!E175/'Nivel Setorial'!E$49*100)</x:f>
        <x:v>110.54797166009953</x:v>
      </x:c>
      <x:c r="F175" s="22" t="n">
        <x:f>IF('Nivel Setorial'!F175="","",'Nivel Setorial'!F175/'Nivel Setorial'!F$5*100)</x:f>
        <x:v>386.8035787947383</x:v>
      </x:c>
      <x:c r="G175" s="22" t="n">
        <x:f>IF('Nivel Setorial'!G175="","",'Nivel Setorial'!G175/'Nivel Setorial'!G$5*100)</x:f>
        <x:v>172.3525251459012</x:v>
      </x:c>
      <x:c r="H175" s="22" t="n">
        <x:f>IF('Nivel Setorial'!H175="","",'Nivel Setorial'!H175/'Nivel Setorial'!H$17*100)</x:f>
        <x:v>1336.8048614204538</x:v>
      </x:c>
      <x:c r="I175" s="22" t="n">
        <x:f>IF('Nivel Setorial'!I175="","",'Nivel Setorial'!I175/'Nivel Setorial'!I$5*100)</x:f>
        <x:v>75.54177277357707</x:v>
      </x:c>
      <x:c r="J175" s="22" t="n">
        <x:f>IF('Nivel Setorial'!J175="","",'Nivel Setorial'!J175/'Nivel Setorial'!J$25*100)</x:f>
        <x:v>531.7926119617001</x:v>
      </x:c>
      <x:c r="K175" s="22" t="n">
        <x:f>IF('Nivel Setorial'!K175="","",'Nivel Setorial'!K175/'Nivel Setorial'!K$5*100)</x:f>
        <x:v>223.17840814145336</x:v>
      </x:c>
      <x:c r="L175" s="22" t="n">
        <x:f>IF('Nivel Setorial'!L175="","",'Nivel Setorial'!L175/'Nivel Setorial'!L$5*100)</x:f>
        <x:v>384.4023802554068</x:v>
      </x:c>
      <x:c r="M175" s="22" t="n">
        <x:f>IF('Nivel Setorial'!M175="","",'Nivel Setorial'!M175/'Nivel Setorial'!M$5*100)</x:f>
        <x:v>654.650423086478</x:v>
      </x:c>
      <x:c r="N175" s="22" t="n">
        <x:f>IF('Nivel Setorial'!N175="","",'Nivel Setorial'!N175/'Nivel Setorial'!N$5*100)</x:f>
        <x:v>342.8726437516625</x:v>
      </x:c>
      <x:c r="O175" s="22" t="n">
        <x:f>IF('Nivel Setorial'!O175="","",'Nivel Setorial'!O175/'Nivel Setorial'!O$5*100)</x:f>
        <x:v>365.3674747205402</x:v>
      </x:c>
      <x:c r="P175" s="22" t="n">
        <x:f>IF('Nivel Setorial'!P175="","",'Nivel Setorial'!P175/'Nivel Setorial'!P$5*100)</x:f>
        <x:v>55.62078344568597</x:v>
      </x:c>
      <x:c r="Q175" s="22" t="n">
        <x:f>IF('Nivel Setorial'!Q175="","",'Nivel Setorial'!Q175/'Nivel Setorial'!Q$5*100)</x:f>
        <x:v>514.7898521233531</x:v>
      </x:c>
      <x:c r="R175" s="22" t="n">
        <x:f>IF('Nivel Setorial'!R175="","",'Nivel Setorial'!R175/'Nivel Setorial'!R$5*100)</x:f>
        <x:v>340.38140927119036</x:v>
      </x:c>
    </x:row>
    <x:row r="176">
      <x:c r="A176" s="21" t="n">
        <x:f>'Nivel Setorial'!A176</x:f>
        <x:v>45383</x:v>
      </x:c>
      <x:c r="B176" s="22" t="n">
        <x:f>IF('Nivel Setorial'!B176="","",'Nivel Setorial'!B176/'Nivel Setorial'!B$45*100)</x:f>
        <x:v>-80509.59335830856</x:v>
      </x:c>
      <x:c r="C176" s="22" t="n">
        <x:f>IF('Nivel Setorial'!C176="","",'Nivel Setorial'!C176/'Nivel Setorial'!C$5*100)</x:f>
        <x:v>492.7112922852907</x:v>
      </x:c>
      <x:c r="D176" s="22" t="n">
        <x:f>IF('Nivel Setorial'!D176="","",'Nivel Setorial'!D176/'Nivel Setorial'!D$5*100)</x:f>
        <x:v>1448.147725387604</x:v>
      </x:c>
      <x:c r="E176" s="22" t="n">
        <x:f>IF('Nivel Setorial'!E176="","",'Nivel Setorial'!E176/'Nivel Setorial'!E$49*100)</x:f>
        <x:v>118.9417201429251</x:v>
      </x:c>
      <x:c r="F176" s="22" t="n">
        <x:f>IF('Nivel Setorial'!F176="","",'Nivel Setorial'!F176/'Nivel Setorial'!F$5*100)</x:f>
        <x:v>381.7933960144913</x:v>
      </x:c>
      <x:c r="G176" s="22" t="n">
        <x:f>IF('Nivel Setorial'!G176="","",'Nivel Setorial'!G176/'Nivel Setorial'!G$5*100)</x:f>
        <x:v>182.80127471540305</x:v>
      </x:c>
      <x:c r="H176" s="22" t="n">
        <x:f>IF('Nivel Setorial'!H176="","",'Nivel Setorial'!H176/'Nivel Setorial'!H$17*100)</x:f>
        <x:v>1313.6451977201586</x:v>
      </x:c>
      <x:c r="I176" s="22" t="n">
        <x:f>IF('Nivel Setorial'!I176="","",'Nivel Setorial'!I176/'Nivel Setorial'!I$5*100)</x:f>
        <x:v>78.7788108305633</x:v>
      </x:c>
      <x:c r="J176" s="22" t="n">
        <x:f>IF('Nivel Setorial'!J176="","",'Nivel Setorial'!J176/'Nivel Setorial'!J$25*100)</x:f>
        <x:v>526.5825468183382</x:v>
      </x:c>
      <x:c r="K176" s="22" t="n">
        <x:f>IF('Nivel Setorial'!K176="","",'Nivel Setorial'!K176/'Nivel Setorial'!K$5*100)</x:f>
        <x:v>209.63546618530526</x:v>
      </x:c>
      <x:c r="L176" s="22" t="n">
        <x:f>IF('Nivel Setorial'!L176="","",'Nivel Setorial'!L176/'Nivel Setorial'!L$5*100)</x:f>
        <x:v>409.8038120686338</x:v>
      </x:c>
      <x:c r="M176" s="22" t="n">
        <x:f>IF('Nivel Setorial'!M176="","",'Nivel Setorial'!M176/'Nivel Setorial'!M$5*100)</x:f>
        <x:v>682.6930579017451</x:v>
      </x:c>
      <x:c r="N176" s="22" t="n">
        <x:f>IF('Nivel Setorial'!N176="","",'Nivel Setorial'!N176/'Nivel Setorial'!N$5*100)</x:f>
        <x:v>340.8149986614338</x:v>
      </x:c>
      <x:c r="O176" s="22" t="n">
        <x:f>IF('Nivel Setorial'!O176="","",'Nivel Setorial'!O176/'Nivel Setorial'!O$5*100)</x:f>
        <x:v>368.70760312194307</x:v>
      </x:c>
      <x:c r="P176" s="22" t="n">
        <x:f>IF('Nivel Setorial'!P176="","",'Nivel Setorial'!P176/'Nivel Setorial'!P$5*100)</x:f>
        <x:v>56.316315259056395</x:v>
      </x:c>
      <x:c r="Q176" s="22" t="n">
        <x:f>IF('Nivel Setorial'!Q176="","",'Nivel Setorial'!Q176/'Nivel Setorial'!Q$5*100)</x:f>
        <x:v>493.43061410427566</x:v>
      </x:c>
      <x:c r="R176" s="22" t="n">
        <x:f>IF('Nivel Setorial'!R176="","",'Nivel Setorial'!R176/'Nivel Setorial'!R$5*100)</x:f>
        <x:v>339.9608478927787</x:v>
      </x:c>
    </x:row>
    <x:row r="177">
      <x:c r="A177" s="21" t="n">
        <x:f>'Nivel Setorial'!A177</x:f>
        <x:v>45413</x:v>
      </x:c>
      <x:c r="B177" s="22" t="n">
        <x:f>IF('Nivel Setorial'!B177="","",'Nivel Setorial'!B177/'Nivel Setorial'!B$45*100)</x:f>
        <x:v>-80060.39922666224</x:v>
      </x:c>
      <x:c r="C177" s="22" t="n">
        <x:f>IF('Nivel Setorial'!C177="","",'Nivel Setorial'!C177/'Nivel Setorial'!C$5*100)</x:f>
        <x:v>502.4434394302988</x:v>
      </x:c>
      <x:c r="D177" s="22" t="n">
        <x:f>IF('Nivel Setorial'!D177="","",'Nivel Setorial'!D177/'Nivel Setorial'!D$5*100)</x:f>
        <x:v>1520.7402479006619</x:v>
      </x:c>
      <x:c r="E177" s="22" t="n">
        <x:f>IF('Nivel Setorial'!E177="","",'Nivel Setorial'!E177/'Nivel Setorial'!E$49*100)</x:f>
        <x:v>107.9585436210161</x:v>
      </x:c>
      <x:c r="F177" s="22" t="n">
        <x:f>IF('Nivel Setorial'!F177="","",'Nivel Setorial'!F177/'Nivel Setorial'!F$5*100)</x:f>
        <x:v>385.35865440787137</x:v>
      </x:c>
      <x:c r="G177" s="22" t="n">
        <x:f>IF('Nivel Setorial'!G177="","",'Nivel Setorial'!G177/'Nivel Setorial'!G$5*100)</x:f>
        <x:v>199.43898930673464</x:v>
      </x:c>
      <x:c r="H177" s="22" t="n">
        <x:f>IF('Nivel Setorial'!H177="","",'Nivel Setorial'!H177/'Nivel Setorial'!H$17*100)</x:f>
        <x:v>1335.4353396225547</x:v>
      </x:c>
      <x:c r="I177" s="22" t="n">
        <x:f>IF('Nivel Setorial'!I177="","",'Nivel Setorial'!I177/'Nivel Setorial'!I$5*100)</x:f>
        <x:v>80.68588896833701</x:v>
      </x:c>
      <x:c r="J177" s="22" t="n">
        <x:f>IF('Nivel Setorial'!J177="","",'Nivel Setorial'!J177/'Nivel Setorial'!J$25*100)</x:f>
        <x:v>518.6660448672109</x:v>
      </x:c>
      <x:c r="K177" s="22" t="n">
        <x:f>IF('Nivel Setorial'!K177="","",'Nivel Setorial'!K177/'Nivel Setorial'!K$5*100)</x:f>
        <x:v>213.31141708492024</x:v>
      </x:c>
      <x:c r="L177" s="22" t="n">
        <x:f>IF('Nivel Setorial'!L177="","",'Nivel Setorial'!L177/'Nivel Setorial'!L$5*100)</x:f>
        <x:v>394.7265201444323</x:v>
      </x:c>
      <x:c r="M177" s="22" t="n">
        <x:f>IF('Nivel Setorial'!M177="","",'Nivel Setorial'!M177/'Nivel Setorial'!M$5*100)</x:f>
        <x:v>739.0868830423815</x:v>
      </x:c>
      <x:c r="N177" s="22" t="n">
        <x:f>IF('Nivel Setorial'!N177="","",'Nivel Setorial'!N177/'Nivel Setorial'!N$5*100)</x:f>
        <x:v>406.5184731414168</x:v>
      </x:c>
      <x:c r="O177" s="22" t="n">
        <x:f>IF('Nivel Setorial'!O177="","",'Nivel Setorial'!O177/'Nivel Setorial'!O$5*100)</x:f>
        <x:v>370.47108835091575</x:v>
      </x:c>
      <x:c r="P177" s="22" t="n">
        <x:f>IF('Nivel Setorial'!P177="","",'Nivel Setorial'!P177/'Nivel Setorial'!P$5*100)</x:f>
        <x:v>56.63771510464121</x:v>
      </x:c>
      <x:c r="Q177" s="22" t="n">
        <x:f>IF('Nivel Setorial'!Q177="","",'Nivel Setorial'!Q177/'Nivel Setorial'!Q$5*100)</x:f>
        <x:v>469.22858552547365</x:v>
      </x:c>
      <x:c r="R177" s="22" t="n">
        <x:f>IF('Nivel Setorial'!R177="","",'Nivel Setorial'!R177/'Nivel Setorial'!R$5*100)</x:f>
        <x:v>349.55384840295835</x:v>
      </x:c>
    </x:row>
    <x:row r="178">
      <x:c r="A178" s="21" t="n">
        <x:f>'Nivel Setorial'!A178</x:f>
        <x:v>45444</x:v>
      </x:c>
      <x:c r="B178" s="22" t="n">
        <x:f>IF('Nivel Setorial'!B178="","",'Nivel Setorial'!B178/'Nivel Setorial'!B$45*100)</x:f>
        <x:v>-73289.02565594665</x:v>
      </x:c>
      <x:c r="C178" s="22" t="n">
        <x:f>IF('Nivel Setorial'!C178="","",'Nivel Setorial'!C178/'Nivel Setorial'!C$5*100)</x:f>
        <x:v>505.47999899400065</x:v>
      </x:c>
      <x:c r="D178" s="22" t="n">
        <x:f>IF('Nivel Setorial'!D178="","",'Nivel Setorial'!D178/'Nivel Setorial'!D$5*100)</x:f>
        <x:v>1557.7258875696787</x:v>
      </x:c>
      <x:c r="E178" s="22" t="n">
        <x:f>IF('Nivel Setorial'!E178="","",'Nivel Setorial'!E178/'Nivel Setorial'!E$49*100)</x:f>
        <x:v>109.96671390442019</x:v>
      </x:c>
      <x:c r="F178" s="22" t="n">
        <x:f>IF('Nivel Setorial'!F178="","",'Nivel Setorial'!F178/'Nivel Setorial'!F$5*100)</x:f>
        <x:v>385.8951635546594</x:v>
      </x:c>
      <x:c r="G178" s="22" t="n">
        <x:f>IF('Nivel Setorial'!G178="","",'Nivel Setorial'!G178/'Nivel Setorial'!G$5*100)</x:f>
        <x:v>200.08258376412203</x:v>
      </x:c>
      <x:c r="H178" s="22" t="n">
        <x:f>IF('Nivel Setorial'!H178="","",'Nivel Setorial'!H178/'Nivel Setorial'!H$17*100)</x:f>
        <x:v>1467.543880202603</x:v>
      </x:c>
      <x:c r="I178" s="22" t="n">
        <x:f>IF('Nivel Setorial'!I178="","",'Nivel Setorial'!I178/'Nivel Setorial'!I$5*100)</x:f>
        <x:v>81.51475391780194</x:v>
      </x:c>
      <x:c r="J178" s="22" t="n">
        <x:f>IF('Nivel Setorial'!J178="","",'Nivel Setorial'!J178/'Nivel Setorial'!J$25*100)</x:f>
        <x:v>519.7052747028163</x:v>
      </x:c>
      <x:c r="K178" s="22" t="n">
        <x:f>IF('Nivel Setorial'!K178="","",'Nivel Setorial'!K178/'Nivel Setorial'!K$5*100)</x:f>
        <x:v>225.4454336535328</x:v>
      </x:c>
      <x:c r="L178" s="22" t="n">
        <x:f>IF('Nivel Setorial'!L178="","",'Nivel Setorial'!L178/'Nivel Setorial'!L$5*100)</x:f>
        <x:v>377.4633299712997</x:v>
      </x:c>
      <x:c r="M178" s="22" t="n">
        <x:f>IF('Nivel Setorial'!M178="","",'Nivel Setorial'!M178/'Nivel Setorial'!M$5*100)</x:f>
        <x:v>797.1023009412017</x:v>
      </x:c>
      <x:c r="N178" s="22" t="n">
        <x:f>IF('Nivel Setorial'!N178="","",'Nivel Setorial'!N178/'Nivel Setorial'!N$5*100)</x:f>
        <x:v>418.68981488014924</x:v>
      </x:c>
      <x:c r="O178" s="22" t="n">
        <x:f>IF('Nivel Setorial'!O178="","",'Nivel Setorial'!O178/'Nivel Setorial'!O$5*100)</x:f>
        <x:v>374.108182732515</x:v>
      </x:c>
      <x:c r="P178" s="22" t="n">
        <x:f>IF('Nivel Setorial'!P178="","",'Nivel Setorial'!P178/'Nivel Setorial'!P$5*100)</x:f>
        <x:v>57.09599696095611</x:v>
      </x:c>
      <x:c r="Q178" s="22" t="n">
        <x:f>IF('Nivel Setorial'!Q178="","",'Nivel Setorial'!Q178/'Nivel Setorial'!Q$5*100)</x:f>
        <x:v>448.1712281362819</x:v>
      </x:c>
      <x:c r="R178" s="22" t="n">
        <x:f>IF('Nivel Setorial'!R178="","",'Nivel Setorial'!R178/'Nivel Setorial'!R$5*100)</x:f>
        <x:v>349.23905870832147</x:v>
      </x:c>
    </x:row>
    <x:row r="179">
      <x:c r="A179" s="21" t="n">
        <x:f>'Nivel Setorial'!A179</x:f>
        <x:v>45474</x:v>
      </x:c>
      <x:c r="B179" s="22" t="n">
        <x:f>IF('Nivel Setorial'!B179="","",'Nivel Setorial'!B179/'Nivel Setorial'!B$45*100)</x:f>
        <x:v>-75895.57441497772</x:v>
      </x:c>
      <x:c r="C179" s="22" t="n">
        <x:f>IF('Nivel Setorial'!C179="","",'Nivel Setorial'!C179/'Nivel Setorial'!C$5*100)</x:f>
        <x:v>513.2814544916006</x:v>
      </x:c>
      <x:c r="D179" s="22" t="n">
        <x:f>IF('Nivel Setorial'!D179="","",'Nivel Setorial'!D179/'Nivel Setorial'!D$5*100)</x:f>
        <x:v>1631.8842317993028</x:v>
      </x:c>
      <x:c r="E179" s="22" t="n">
        <x:f>IF('Nivel Setorial'!E179="","",'Nivel Setorial'!E179/'Nivel Setorial'!E$49*100)</x:f>
        <x:v>111.63783640534936</x:v>
      </x:c>
      <x:c r="F179" s="22" t="n">
        <x:f>IF('Nivel Setorial'!F179="","",'Nivel Setorial'!F179/'Nivel Setorial'!F$5*100)</x:f>
        <x:v>393.45889169001117</x:v>
      </x:c>
      <x:c r="G179" s="22" t="n">
        <x:f>IF('Nivel Setorial'!G179="","",'Nivel Setorial'!G179/'Nivel Setorial'!G$5*100)</x:f>
        <x:v>203.49514359986233</x:v>
      </x:c>
      <x:c r="H179" s="22" t="n">
        <x:f>IF('Nivel Setorial'!H179="","",'Nivel Setorial'!H179/'Nivel Setorial'!H$17*100)</x:f>
        <x:v>1476.0463683732362</x:v>
      </x:c>
      <x:c r="I179" s="22" t="n">
        <x:f>IF('Nivel Setorial'!I179="","",'Nivel Setorial'!I179/'Nivel Setorial'!I$5*100)</x:f>
        <x:v>77.52408451060543</x:v>
      </x:c>
      <x:c r="J179" s="22" t="n">
        <x:f>IF('Nivel Setorial'!J179="","",'Nivel Setorial'!J179/'Nivel Setorial'!J$25*100)</x:f>
        <x:v>525.5212740014406</x:v>
      </x:c>
      <x:c r="K179" s="22" t="n">
        <x:f>IF('Nivel Setorial'!K179="","",'Nivel Setorial'!K179/'Nivel Setorial'!K$5*100)</x:f>
        <x:v>229.26197905342102</x:v>
      </x:c>
      <x:c r="L179" s="22" t="n">
        <x:f>IF('Nivel Setorial'!L179="","",'Nivel Setorial'!L179/'Nivel Setorial'!L$5*100)</x:f>
        <x:v>422.41442637482186</x:v>
      </x:c>
      <x:c r="M179" s="22" t="n">
        <x:f>IF('Nivel Setorial'!M179="","",'Nivel Setorial'!M179/'Nivel Setorial'!M$5*100)</x:f>
        <x:v>820.5680073302233</x:v>
      </x:c>
      <x:c r="N179" s="22" t="n">
        <x:f>IF('Nivel Setorial'!N179="","",'Nivel Setorial'!N179/'Nivel Setorial'!N$5*100)</x:f>
        <x:v>404.932985329302</x:v>
      </x:c>
      <x:c r="O179" s="22" t="n">
        <x:f>IF('Nivel Setorial'!O179="","",'Nivel Setorial'!O179/'Nivel Setorial'!O$5*100)</x:f>
        <x:v>348.72816871112207</x:v>
      </x:c>
      <x:c r="P179" s="22" t="n">
        <x:f>IF('Nivel Setorial'!P179="","",'Nivel Setorial'!P179/'Nivel Setorial'!P$5*100)</x:f>
        <x:v>56.20934043359013</x:v>
      </x:c>
      <x:c r="Q179" s="22" t="n">
        <x:f>IF('Nivel Setorial'!Q179="","",'Nivel Setorial'!Q179/'Nivel Setorial'!Q$5*100)</x:f>
        <x:v>472.0742727344595</x:v>
      </x:c>
      <x:c r="R179" s="22" t="n">
        <x:f>IF('Nivel Setorial'!R179="","",'Nivel Setorial'!R179/'Nivel Setorial'!R$5*100)</x:f>
        <x:v>337.90471681560683</x:v>
      </x:c>
    </x:row>
    <x:row r="180">
      <x:c r="A180" s="21" t="n">
        <x:f>'Nivel Setorial'!A180</x:f>
        <x:v>45505</x:v>
      </x:c>
      <x:c r="B180" s="22" t="n">
        <x:f>IF('Nivel Setorial'!B180="","",'Nivel Setorial'!B180/'Nivel Setorial'!B$45*100)</x:f>
        <x:v>-70851.47956432267</x:v>
      </x:c>
      <x:c r="C180" s="22" t="n">
        <x:f>IF('Nivel Setorial'!C180="","",'Nivel Setorial'!C180/'Nivel Setorial'!C$5*100)</x:f>
        <x:v>524.6315918916865</x:v>
      </x:c>
      <x:c r="D180" s="22" t="n">
        <x:f>IF('Nivel Setorial'!D180="","",'Nivel Setorial'!D180/'Nivel Setorial'!D$5*100)</x:f>
        <x:v>1685.8077436634055</x:v>
      </x:c>
      <x:c r="E180" s="22" t="n">
        <x:f>IF('Nivel Setorial'!E180="","",'Nivel Setorial'!E180/'Nivel Setorial'!E$49*100)</x:f>
        <x:v>113.42369121309714</x:v>
      </x:c>
      <x:c r="F180" s="22" t="n">
        <x:f>IF('Nivel Setorial'!F180="","",'Nivel Setorial'!F180/'Nivel Setorial'!F$5*100)</x:f>
        <x:v>374.2148976536166</x:v>
      </x:c>
      <x:c r="G180" s="22" t="n">
        <x:f>IF('Nivel Setorial'!G180="","",'Nivel Setorial'!G180/'Nivel Setorial'!G$5*100)</x:f>
        <x:v>210.57898673707842</x:v>
      </x:c>
      <x:c r="H180" s="22" t="n">
        <x:f>IF('Nivel Setorial'!H180="","",'Nivel Setorial'!H180/'Nivel Setorial'!H$17*100)</x:f>
        <x:v>1539.8117428267292</x:v>
      </x:c>
      <x:c r="I180" s="22" t="n">
        <x:f>IF('Nivel Setorial'!I180="","",'Nivel Setorial'!I180/'Nivel Setorial'!I$5*100)</x:f>
        <x:v>81.36949188552434</x:v>
      </x:c>
      <x:c r="J180" s="22" t="n">
        <x:f>IF('Nivel Setorial'!J180="","",'Nivel Setorial'!J180/'Nivel Setorial'!J$25*100)</x:f>
        <x:v>524.6578351300415</x:v>
      </x:c>
      <x:c r="K180" s="22" t="n">
        <x:f>IF('Nivel Setorial'!K180="","",'Nivel Setorial'!K180/'Nivel Setorial'!K$5*100)</x:f>
        <x:v>221.43410642444508</x:v>
      </x:c>
      <x:c r="L180" s="22" t="n">
        <x:f>IF('Nivel Setorial'!L180="","",'Nivel Setorial'!L180/'Nivel Setorial'!L$5*100)</x:f>
        <x:v>388.67262060600217</x:v>
      </x:c>
      <x:c r="M180" s="22" t="n">
        <x:f>IF('Nivel Setorial'!M180="","",'Nivel Setorial'!M180/'Nivel Setorial'!M$5*100)</x:f>
        <x:v>785.7861652584223</x:v>
      </x:c>
      <x:c r="N180" s="22" t="n">
        <x:f>IF('Nivel Setorial'!N180="","",'Nivel Setorial'!N180/'Nivel Setorial'!N$5*100)</x:f>
        <x:v>389.90323309368665</x:v>
      </x:c>
      <x:c r="O180" s="22" t="n">
        <x:f>IF('Nivel Setorial'!O180="","",'Nivel Setorial'!O180/'Nivel Setorial'!O$5*100)</x:f>
        <x:v>362.7322275829311</x:v>
      </x:c>
      <x:c r="P180" s="22" t="n">
        <x:f>IF('Nivel Setorial'!P180="","",'Nivel Setorial'!P180/'Nivel Setorial'!P$5*100)</x:f>
        <x:v>56.73319296979463</x:v>
      </x:c>
      <x:c r="Q180" s="22" t="n">
        <x:f>IF('Nivel Setorial'!Q180="","",'Nivel Setorial'!Q180/'Nivel Setorial'!Q$5*100)</x:f>
        <x:v>391.64786586764336</x:v>
      </x:c>
      <x:c r="R180" s="22" t="n">
        <x:f>IF('Nivel Setorial'!R180="","",'Nivel Setorial'!R180/'Nivel Setorial'!R$5*100)</x:f>
        <x:v>338.7805661951652</x:v>
      </x:c>
    </x:row>
    <x:row r="181">
      <x:c r="A181" s="21" t="n">
        <x:f>'Nivel Setorial'!A181</x:f>
        <x:v>45536</x:v>
      </x:c>
      <x:c r="B181" s="22" t="n">
        <x:f>IF('Nivel Setorial'!B181="","",'Nivel Setorial'!B181/'Nivel Setorial'!B$45*100)</x:f>
        <x:v>-70315.87004902239</x:v>
      </x:c>
      <x:c r="C181" s="22" t="n">
        <x:f>IF('Nivel Setorial'!C181="","",'Nivel Setorial'!C181/'Nivel Setorial'!C$5*100)</x:f>
        <x:v>530.2937555528422</x:v>
      </x:c>
      <x:c r="D181" s="22" t="n">
        <x:f>IF('Nivel Setorial'!D181="","",'Nivel Setorial'!D181/'Nivel Setorial'!D$5*100)</x:f>
        <x:v>1760.4048640106523</x:v>
      </x:c>
      <x:c r="E181" s="22" t="n">
        <x:f>IF('Nivel Setorial'!E181="","",'Nivel Setorial'!E181/'Nivel Setorial'!E$49*100)</x:f>
        <x:v>110.50761637421975</x:v>
      </x:c>
      <x:c r="F181" s="22" t="n">
        <x:f>IF('Nivel Setorial'!F181="","",'Nivel Setorial'!F181/'Nivel Setorial'!F$5*100)</x:f>
        <x:v>428.90075258823515</x:v>
      </x:c>
      <x:c r="G181" s="22" t="n">
        <x:f>IF('Nivel Setorial'!G181="","",'Nivel Setorial'!G181/'Nivel Setorial'!G$5*100)</x:f>
        <x:v>210.62571936761665</x:v>
      </x:c>
      <x:c r="H181" s="22" t="n">
        <x:f>IF('Nivel Setorial'!H181="","",'Nivel Setorial'!H181/'Nivel Setorial'!H$17*100)</x:f>
        <x:v>1559.9488229428034</x:v>
      </x:c>
      <x:c r="I181" s="22" t="n">
        <x:f>IF('Nivel Setorial'!I181="","",'Nivel Setorial'!I181/'Nivel Setorial'!I$5*100)</x:f>
        <x:v>83.49742202358425</x:v>
      </x:c>
      <x:c r="J181" s="22" t="n">
        <x:f>IF('Nivel Setorial'!J181="","",'Nivel Setorial'!J181/'Nivel Setorial'!J$25*100)</x:f>
        <x:v>532.5694947315764</x:v>
      </x:c>
      <x:c r="K181" s="22" t="n">
        <x:f>IF('Nivel Setorial'!K181="","",'Nivel Setorial'!K181/'Nivel Setorial'!K$5*100)</x:f>
        <x:v>222.39020113853454</x:v>
      </x:c>
      <x:c r="L181" s="22" t="n">
        <x:f>IF('Nivel Setorial'!L181="","",'Nivel Setorial'!L181/'Nivel Setorial'!L$5*100)</x:f>
        <x:v>361.4197621675234</x:v>
      </x:c>
      <x:c r="M181" s="22" t="n">
        <x:f>IF('Nivel Setorial'!M181="","",'Nivel Setorial'!M181/'Nivel Setorial'!M$5*100)</x:f>
        <x:v>725.0016902290923</x:v>
      </x:c>
      <x:c r="N181" s="22" t="n">
        <x:f>IF('Nivel Setorial'!N181="","",'Nivel Setorial'!N181/'Nivel Setorial'!N$5*100)</x:f>
        <x:v>392.5912083834562</x:v>
      </x:c>
      <x:c r="O181" s="22" t="n">
        <x:f>IF('Nivel Setorial'!O181="","",'Nivel Setorial'!O181/'Nivel Setorial'!O$5*100)</x:f>
        <x:v>369.4558296397712</x:v>
      </x:c>
      <x:c r="P181" s="22" t="n">
        <x:f>IF('Nivel Setorial'!P181="","",'Nivel Setorial'!P181/'Nivel Setorial'!P$5*100)</x:f>
        <x:v>58.44728942692547</x:v>
      </x:c>
      <x:c r="Q181" s="22" t="n">
        <x:f>IF('Nivel Setorial'!Q181="","",'Nivel Setorial'!Q181/'Nivel Setorial'!Q$5*100)</x:f>
        <x:v>449.65073954280615</x:v>
      </x:c>
      <x:c r="R181" s="22" t="n">
        <x:f>IF('Nivel Setorial'!R181="","",'Nivel Setorial'!R181/'Nivel Setorial'!R$5*100)</x:f>
        <x:v>346.7306368116239</x:v>
      </x:c>
    </x:row>
    <x:row r="182">
      <x:c r="A182" s="21" t="n">
        <x:f>'Nivel Setorial'!A182</x:f>
        <x:v>45566</x:v>
      </x:c>
      <x:c r="B182" s="22" t="n">
        <x:f>IF('Nivel Setorial'!B182="","",'Nivel Setorial'!B182/'Nivel Setorial'!B$45*100)</x:f>
        <x:v>-69921.1310606604</x:v>
      </x:c>
      <x:c r="C182" s="22" t="n">
        <x:f>IF('Nivel Setorial'!C182="","",'Nivel Setorial'!C182/'Nivel Setorial'!C$5*100)</x:f>
        <x:v>537.3463646389695</x:v>
      </x:c>
      <x:c r="D182" s="22" t="n">
        <x:f>IF('Nivel Setorial'!D182="","",'Nivel Setorial'!D182/'Nivel Setorial'!D$5*100)</x:f>
        <x:v>1876.275947977727</x:v>
      </x:c>
      <x:c r="E182" s="22" t="n">
        <x:f>IF('Nivel Setorial'!E182="","",'Nivel Setorial'!E182/'Nivel Setorial'!E$49*100)</x:f>
        <x:v>109.89576046857053</x:v>
      </x:c>
      <x:c r="F182" s="22" t="n">
        <x:f>IF('Nivel Setorial'!F182="","",'Nivel Setorial'!F182/'Nivel Setorial'!F$5*100)</x:f>
        <x:v>431.4180638112393</x:v>
      </x:c>
      <x:c r="G182" s="22" t="n">
        <x:f>IF('Nivel Setorial'!G182="","",'Nivel Setorial'!G182/'Nivel Setorial'!G$5*100)</x:f>
        <x:v>228.33404315859588</x:v>
      </x:c>
      <x:c r="H182" s="22" t="n">
        <x:f>IF('Nivel Setorial'!H182="","",'Nivel Setorial'!H182/'Nivel Setorial'!H$17*100)</x:f>
        <x:v>1498.3000162298292</x:v>
      </x:c>
      <x:c r="I182" s="22" t="n">
        <x:f>IF('Nivel Setorial'!I182="","",'Nivel Setorial'!I182/'Nivel Setorial'!I$5*100)</x:f>
        <x:v>85.79076092214018</x:v>
      </x:c>
      <x:c r="J182" s="22" t="n">
        <x:f>IF('Nivel Setorial'!J182="","",'Nivel Setorial'!J182/'Nivel Setorial'!J$25*100)</x:f>
        <x:v>531.3495010994201</x:v>
      </x:c>
      <x:c r="K182" s="22" t="n">
        <x:f>IF('Nivel Setorial'!K182="","",'Nivel Setorial'!K182/'Nivel Setorial'!K$5*100)</x:f>
        <x:v>216.87438692031438</x:v>
      </x:c>
      <x:c r="L182" s="22" t="n">
        <x:f>IF('Nivel Setorial'!L182="","",'Nivel Setorial'!L182/'Nivel Setorial'!L$5*100)</x:f>
        <x:v>373.25044362295216</x:v>
      </x:c>
      <x:c r="M182" s="22" t="n">
        <x:f>IF('Nivel Setorial'!M182="","",'Nivel Setorial'!M182/'Nivel Setorial'!M$5*100)</x:f>
        <x:v>764.9502202854644</x:v>
      </x:c>
      <x:c r="N182" s="22" t="n">
        <x:f>IF('Nivel Setorial'!N182="","",'Nivel Setorial'!N182/'Nivel Setorial'!N$5*100)</x:f>
        <x:v>387.14416181763534</x:v>
      </x:c>
      <x:c r="O182" s="22" t="n">
        <x:f>IF('Nivel Setorial'!O182="","",'Nivel Setorial'!O182/'Nivel Setorial'!O$5*100)</x:f>
        <x:v>387.8881439991807</x:v>
      </x:c>
      <x:c r="P182" s="22" t="n">
        <x:f>IF('Nivel Setorial'!P182="","",'Nivel Setorial'!P182/'Nivel Setorial'!P$5*100)</x:f>
        <x:v>59.390928545833624</x:v>
      </x:c>
      <x:c r="Q182" s="22" t="n">
        <x:f>IF('Nivel Setorial'!Q182="","",'Nivel Setorial'!Q182/'Nivel Setorial'!Q$5*100)</x:f>
        <x:v>479.07809369758326</x:v>
      </x:c>
      <x:c r="R182" s="22" t="n">
        <x:f>IF('Nivel Setorial'!R182="","",'Nivel Setorial'!R182/'Nivel Setorial'!R$5*100)</x:f>
        <x:v>359.0506682372175</x:v>
      </x:c>
    </x:row>
    <x:row r="183">
      <x:c r="A183" s="21" t="n">
        <x:f>'Nivel Setorial'!A183</x:f>
        <x:v>45597</x:v>
      </x:c>
      <x:c r="B183" s="22" t="n">
        <x:f>IF('Nivel Setorial'!B183="","",'Nivel Setorial'!B183/'Nivel Setorial'!B$45*100)</x:f>
        <x:v>-68133.56405826956</x:v>
      </x:c>
      <x:c r="C183" s="22" t="n">
        <x:f>IF('Nivel Setorial'!C183="","",'Nivel Setorial'!C183/'Nivel Setorial'!C$5*100)</x:f>
        <x:v>542.6573683637652</x:v>
      </x:c>
      <x:c r="D183" s="22" t="n">
        <x:f>IF('Nivel Setorial'!D183="","",'Nivel Setorial'!D183/'Nivel Setorial'!D$5*100)</x:f>
        <x:v>1937.6610102484226</x:v>
      </x:c>
      <x:c r="E183" s="22" t="n">
        <x:f>IF('Nivel Setorial'!E183="","",'Nivel Setorial'!E183/'Nivel Setorial'!E$49*100)</x:f>
        <x:v>109.40410675918754</x:v>
      </x:c>
      <x:c r="F183" s="22" t="n">
        <x:f>IF('Nivel Setorial'!F183="","",'Nivel Setorial'!F183/'Nivel Setorial'!F$5*100)</x:f>
        <x:v>440.28461872992926</x:v>
      </x:c>
      <x:c r="G183" s="22" t="n">
        <x:f>IF('Nivel Setorial'!G183="","",'Nivel Setorial'!G183/'Nivel Setorial'!G$5*100)</x:f>
        <x:v>227.3039648779676</x:v>
      </x:c>
      <x:c r="H183" s="22" t="n">
        <x:f>IF('Nivel Setorial'!H183="","",'Nivel Setorial'!H183/'Nivel Setorial'!H$17*100)</x:f>
        <x:v>1505.0692464678439</x:v>
      </x:c>
      <x:c r="I183" s="22" t="n">
        <x:f>IF('Nivel Setorial'!I183="","",'Nivel Setorial'!I183/'Nivel Setorial'!I$5*100)</x:f>
        <x:v>88.43850952788755</x:v>
      </x:c>
      <x:c r="J183" s="22" t="n">
        <x:f>IF('Nivel Setorial'!J183="","",'Nivel Setorial'!J183/'Nivel Setorial'!J$25*100)</x:f>
        <x:v>518.9480199741985</x:v>
      </x:c>
      <x:c r="K183" s="22" t="n">
        <x:f>IF('Nivel Setorial'!K183="","",'Nivel Setorial'!K183/'Nivel Setorial'!K$5*100)</x:f>
        <x:v>218.53905784551753</x:v>
      </x:c>
      <x:c r="L183" s="22" t="n">
        <x:f>IF('Nivel Setorial'!L183="","",'Nivel Setorial'!L183/'Nivel Setorial'!L$5*100)</x:f>
        <x:v>387.75715186624285</x:v>
      </x:c>
      <x:c r="M183" s="22" t="n">
        <x:f>IF('Nivel Setorial'!M183="","",'Nivel Setorial'!M183/'Nivel Setorial'!M$5*100)</x:f>
        <x:v>800.5659771921852</x:v>
      </x:c>
      <x:c r="N183" s="22" t="n">
        <x:f>IF('Nivel Setorial'!N183="","",'Nivel Setorial'!N183/'Nivel Setorial'!N$5*100)</x:f>
        <x:v>413.607743599682</x:v>
      </x:c>
      <x:c r="O183" s="22" t="n">
        <x:f>IF('Nivel Setorial'!O183="","",'Nivel Setorial'!O183/'Nivel Setorial'!O$5*100)</x:f>
        <x:v>392.18916059387976</x:v>
      </x:c>
      <x:c r="P183" s="22" t="n">
        <x:f>IF('Nivel Setorial'!P183="","",'Nivel Setorial'!P183/'Nivel Setorial'!P$5*100)</x:f>
        <x:v>59.51992692607292</x:v>
      </x:c>
      <x:c r="Q183" s="22" t="n">
        <x:f>IF('Nivel Setorial'!Q183="","",'Nivel Setorial'!Q183/'Nivel Setorial'!Q$5*100)</x:f>
        <x:v>514.7913648086252</x:v>
      </x:c>
      <x:c r="R183" s="22" t="n">
        <x:f>IF('Nivel Setorial'!R183="","",'Nivel Setorial'!R183/'Nivel Setorial'!R$5*100)</x:f>
        <x:v>378.8344647685417</x:v>
      </x:c>
    </x:row>
    <x:row r="184">
      <x:c r="A184" s="21" t="n">
        <x:f>'Nivel Setorial'!A184</x:f>
        <x:v>45627</x:v>
      </x:c>
      <x:c r="B184" s="22" t="n">
        <x:f>IF('Nivel Setorial'!B184="","",'Nivel Setorial'!B184/'Nivel Setorial'!B$45*100)</x:f>
        <x:v>-64396.26048261084</x:v>
      </x:c>
      <x:c r="C184" s="22" t="n">
        <x:f>IF('Nivel Setorial'!C184="","",'Nivel Setorial'!C184/'Nivel Setorial'!C$5*100)</x:f>
        <x:v>542.8514948204506</x:v>
      </x:c>
      <x:c r="D184" s="22" t="n">
        <x:f>IF('Nivel Setorial'!D184="","",'Nivel Setorial'!D184/'Nivel Setorial'!D$5*100)</x:f>
        <x:v>2027.3523972859293</x:v>
      </x:c>
      <x:c r="E184" s="22" t="n">
        <x:f>IF('Nivel Setorial'!E184="","",'Nivel Setorial'!E184/'Nivel Setorial'!E$49*100)</x:f>
        <x:v>103.3714149527236</x:v>
      </x:c>
      <x:c r="F184" s="22" t="n">
        <x:f>IF('Nivel Setorial'!F184="","",'Nivel Setorial'!F184/'Nivel Setorial'!F$5*100)</x:f>
        <x:v>435.5773060809052</x:v>
      </x:c>
      <x:c r="G184" s="22" t="n">
        <x:f>IF('Nivel Setorial'!G184="","",'Nivel Setorial'!G184/'Nivel Setorial'!G$5*100)</x:f>
        <x:v>311.62229979723384</x:v>
      </x:c>
      <x:c r="H184" s="22" t="n">
        <x:f>IF('Nivel Setorial'!H184="","",'Nivel Setorial'!H184/'Nivel Setorial'!H$17*100)</x:f>
        <x:v>1467.3791141369315</x:v>
      </x:c>
      <x:c r="I184" s="22" t="n">
        <x:f>IF('Nivel Setorial'!I184="","",'Nivel Setorial'!I184/'Nivel Setorial'!I$5*100)</x:f>
        <x:v>91.4640404107001</x:v>
      </x:c>
      <x:c r="J184" s="22" t="n">
        <x:f>IF('Nivel Setorial'!J184="","",'Nivel Setorial'!J184/'Nivel Setorial'!J$25*100)</x:f>
        <x:v>519.7004006749171</x:v>
      </x:c>
      <x:c r="K184" s="22" t="n">
        <x:f>IF('Nivel Setorial'!K184="","",'Nivel Setorial'!K184/'Nivel Setorial'!K$5*100)</x:f>
        <x:v>210.3997850631369</x:v>
      </x:c>
      <x:c r="L184" s="22" t="n">
        <x:f>IF('Nivel Setorial'!L184="","",'Nivel Setorial'!L184/'Nivel Setorial'!L$5*100)</x:f>
        <x:v>396.28022220732345</x:v>
      </x:c>
      <x:c r="M184" s="22" t="n">
        <x:f>IF('Nivel Setorial'!M184="","",'Nivel Setorial'!M184/'Nivel Setorial'!M$5*100)</x:f>
        <x:v>865.1236950786858</x:v>
      </x:c>
      <x:c r="N184" s="22" t="n">
        <x:f>IF('Nivel Setorial'!N184="","",'Nivel Setorial'!N184/'Nivel Setorial'!N$5*100)</x:f>
        <x:v>400.8467054206264</x:v>
      </x:c>
      <x:c r="O184" s="22" t="n">
        <x:f>IF('Nivel Setorial'!O184="","",'Nivel Setorial'!O184/'Nivel Setorial'!O$5*100)</x:f>
        <x:v>411.3635486404715</x:v>
      </x:c>
      <x:c r="P184" s="22" t="n">
        <x:f>IF('Nivel Setorial'!P184="","",'Nivel Setorial'!P184/'Nivel Setorial'!P$5*100)</x:f>
        <x:v>59.749009724614254</x:v>
      </x:c>
      <x:c r="Q184" s="22" t="n">
        <x:f>IF('Nivel Setorial'!Q184="","",'Nivel Setorial'!Q184/'Nivel Setorial'!Q$5*100)</x:f>
        <x:v>504.9095654242841</x:v>
      </x:c>
      <x:c r="R184" s="22" t="n">
        <x:f>IF('Nivel Setorial'!R184="","",'Nivel Setorial'!R184/'Nivel Setorial'!R$5*100)</x:f>
        <x:v>361.88096330300664</x:v>
      </x:c>
    </x:row>
    <x:row r="185">
      <x:c r="A185" s="21" t="n">
        <x:f>'Nivel Setorial'!A185</x:f>
        <x:v>45658</x:v>
      </x:c>
      <x:c r="B185" s="22" t="n">
        <x:f>IF('Nivel Setorial'!B185="","",'Nivel Setorial'!B185/'Nivel Setorial'!B$45*100)</x:f>
        <x:v>-53160.84546941304</x:v>
      </x:c>
      <x:c r="C185" s="22" t="n">
        <x:f>IF('Nivel Setorial'!C185="","",'Nivel Setorial'!C185/'Nivel Setorial'!C$5*100)</x:f>
        <x:v>540.4601707194072</x:v>
      </x:c>
      <x:c r="D185" s="22" t="n">
        <x:f>IF('Nivel Setorial'!D185="","",'Nivel Setorial'!D185/'Nivel Setorial'!D$5*100)</x:f>
        <x:v>2371.7737500848293</x:v>
      </x:c>
      <x:c r="E185" s="22" t="n">
        <x:f>IF('Nivel Setorial'!E185="","",'Nivel Setorial'!E185/'Nivel Setorial'!E$49*100)</x:f>
        <x:v>93.74674992008212</x:v>
      </x:c>
      <x:c r="F185" s="22" t="n">
        <x:f>IF('Nivel Setorial'!F185="","",'Nivel Setorial'!F185/'Nivel Setorial'!F$5*100)</x:f>
        <x:v>481.2686131854943</x:v>
      </x:c>
      <x:c r="G185" s="22" t="n">
        <x:f>IF('Nivel Setorial'!G185="","",'Nivel Setorial'!G185/'Nivel Setorial'!G$5*100)</x:f>
        <x:v>230.15322744116267</x:v>
      </x:c>
      <x:c r="H185" s="22" t="n">
        <x:f>IF('Nivel Setorial'!H185="","",'Nivel Setorial'!H185/'Nivel Setorial'!H$17*100)</x:f>
        <x:v>1388.5753749401522</x:v>
      </x:c>
      <x:c r="I185" s="22" t="n">
        <x:f>IF('Nivel Setorial'!I185="","",'Nivel Setorial'!I185/'Nivel Setorial'!I$5*100)</x:f>
        <x:v>83.45689366632297</x:v>
      </x:c>
      <x:c r="J185" s="22" t="n">
        <x:f>IF('Nivel Setorial'!J185="","",'Nivel Setorial'!J185/'Nivel Setorial'!J$25*100)</x:f>
        <x:v>512.2654410228814</x:v>
      </x:c>
      <x:c r="K185" s="22" t="n">
        <x:f>IF('Nivel Setorial'!K185="","",'Nivel Setorial'!K185/'Nivel Setorial'!K$5*100)</x:f>
        <x:v>196.21731194971923</x:v>
      </x:c>
      <x:c r="L185" s="22" t="n">
        <x:f>IF('Nivel Setorial'!L185="","",'Nivel Setorial'!L185/'Nivel Setorial'!L$5*100)</x:f>
        <x:v>396.6085430786033</x:v>
      </x:c>
      <x:c r="M185" s="22" t="n">
        <x:f>IF('Nivel Setorial'!M185="","",'Nivel Setorial'!M185/'Nivel Setorial'!M$5*100)</x:f>
        <x:v>1006.3999655341285</x:v>
      </x:c>
      <x:c r="N185" s="22" t="n">
        <x:f>IF('Nivel Setorial'!N185="","",'Nivel Setorial'!N185/'Nivel Setorial'!N$5*100)</x:f>
        <x:v>351.20020099168215</x:v>
      </x:c>
      <x:c r="O185" s="22" t="n">
        <x:f>IF('Nivel Setorial'!O185="","",'Nivel Setorial'!O185/'Nivel Setorial'!O$5*100)</x:f>
        <x:v>413.06883442040316</x:v>
      </x:c>
      <x:c r="P185" s="22" t="n">
        <x:f>IF('Nivel Setorial'!P185="","",'Nivel Setorial'!P185/'Nivel Setorial'!P$5*100)</x:f>
        <x:v>60.11546894489974</x:v>
      </x:c>
      <x:c r="Q185" s="22" t="n">
        <x:f>IF('Nivel Setorial'!Q185="","",'Nivel Setorial'!Q185/'Nivel Setorial'!Q$5*100)</x:f>
        <x:v>488.9866991289384</x:v>
      </x:c>
      <x:c r="R185" s="22" t="n">
        <x:f>IF('Nivel Setorial'!R185="","",'Nivel Setorial'!R185/'Nivel Setorial'!R$5*100)</x:f>
        <x:v>342.41193636228525</x:v>
      </x:c>
    </x:row>
    <x:row r="186">
      <x:c r="A186" s="21" t="n">
        <x:f>'Nivel Setorial'!A186</x:f>
        <x:v>45689</x:v>
      </x:c>
      <x:c r="B186" s="22" t="n">
        <x:f>IF('Nivel Setorial'!B186="","",'Nivel Setorial'!B186/'Nivel Setorial'!B$45*100)</x:f>
        <x:v>-46165.49579004601</x:v>
      </x:c>
      <x:c r="C186" s="22" t="n">
        <x:f>IF('Nivel Setorial'!C186="","",'Nivel Setorial'!C186/'Nivel Setorial'!C$5*100)</x:f>
        <x:v>537.1589154423018</x:v>
      </x:c>
      <x:c r="D186" s="22" t="n">
        <x:f>IF('Nivel Setorial'!D186="","",'Nivel Setorial'!D186/'Nivel Setorial'!D$5*100)</x:f>
        <x:v>2372.169310978738</x:v>
      </x:c>
      <x:c r="E186" s="22" t="n">
        <x:f>IF('Nivel Setorial'!E186="","",'Nivel Setorial'!E186/'Nivel Setorial'!E$49*100)</x:f>
        <x:v>96.30369637379187</x:v>
      </x:c>
      <x:c r="F186" s="22" t="n">
        <x:f>IF('Nivel Setorial'!F186="","",'Nivel Setorial'!F186/'Nivel Setorial'!F$5*100)</x:f>
        <x:v>484.5329889798118</x:v>
      </x:c>
      <x:c r="G186" s="22" t="n">
        <x:f>IF('Nivel Setorial'!G186="","",'Nivel Setorial'!G186/'Nivel Setorial'!G$5*100)</x:f>
        <x:v>230.644560305463</x:v>
      </x:c>
      <x:c r="H186" s="22" t="n">
        <x:f>IF('Nivel Setorial'!H186="","",'Nivel Setorial'!H186/'Nivel Setorial'!H$17*100)</x:f>
        <x:v>1436.85002338648</x:v>
      </x:c>
      <x:c r="I186" s="22" t="n">
        <x:f>IF('Nivel Setorial'!I186="","",'Nivel Setorial'!I186/'Nivel Setorial'!I$5*100)</x:f>
        <x:v>86.60007656164484</x:v>
      </x:c>
      <x:c r="J186" s="22" t="n">
        <x:f>IF('Nivel Setorial'!J186="","",'Nivel Setorial'!J186/'Nivel Setorial'!J$25*100)</x:f>
        <x:v>496.03414975116254</x:v>
      </x:c>
      <x:c r="K186" s="22" t="n">
        <x:f>IF('Nivel Setorial'!K186="","",'Nivel Setorial'!K186/'Nivel Setorial'!K$5*100)</x:f>
        <x:v>195.4009835472158</x:v>
      </x:c>
      <x:c r="L186" s="22" t="n">
        <x:f>IF('Nivel Setorial'!L186="","",'Nivel Setorial'!L186/'Nivel Setorial'!L$5*100)</x:f>
        <x:v>401.3183375041878</x:v>
      </x:c>
      <x:c r="M186" s="22" t="n">
        <x:f>IF('Nivel Setorial'!M186="","",'Nivel Setorial'!M186/'Nivel Setorial'!M$5*100)</x:f>
        <x:v>1028.2491749245075</x:v>
      </x:c>
      <x:c r="N186" s="22" t="n">
        <x:f>IF('Nivel Setorial'!N186="","",'Nivel Setorial'!N186/'Nivel Setorial'!N$5*100)</x:f>
        <x:v>355.10453175429507</x:v>
      </x:c>
      <x:c r="O186" s="22" t="n">
        <x:f>IF('Nivel Setorial'!O186="","",'Nivel Setorial'!O186/'Nivel Setorial'!O$5*100)</x:f>
        <x:v>416.56486507742505</x:v>
      </x:c>
      <x:c r="P186" s="22" t="n">
        <x:f>IF('Nivel Setorial'!P186="","",'Nivel Setorial'!P186/'Nivel Setorial'!P$5*100)</x:f>
        <x:v>61.40034509368471</x:v>
      </x:c>
      <x:c r="Q186" s="22" t="n">
        <x:f>IF('Nivel Setorial'!Q186="","",'Nivel Setorial'!Q186/'Nivel Setorial'!Q$5*100)</x:f>
        <x:v>504.5958034890537</x:v>
      </x:c>
      <x:c r="R186" s="22" t="n">
        <x:f>IF('Nivel Setorial'!R186="","",'Nivel Setorial'!R186/'Nivel Setorial'!R$5*100)</x:f>
        <x:v>337.8881596611932</x:v>
      </x:c>
    </x:row>
    <x:row r="187">
      <x:c r="A187" s="21" t="n">
        <x:f>'Nivel Setorial'!A187</x:f>
        <x:v>45717</x:v>
      </x:c>
      <x:c r="B187" s="22" t="n">
        <x:f>IF('Nivel Setorial'!B187="","",'Nivel Setorial'!B187/'Nivel Setorial'!B$45*100)</x:f>
        <x:v>-43061.17744402057</x:v>
      </x:c>
      <x:c r="C187" s="22" t="n">
        <x:f>IF('Nivel Setorial'!C187="","",'Nivel Setorial'!C187/'Nivel Setorial'!C$5*100)</x:f>
        <x:v>541.9609364827652</x:v>
      </x:c>
      <x:c r="D187" s="22" t="n">
        <x:f>IF('Nivel Setorial'!D187="","",'Nivel Setorial'!D187/'Nivel Setorial'!D$5*100)</x:f>
        <x:v>2409.051710453052</x:v>
      </x:c>
      <x:c r="E187" s="22" t="n">
        <x:f>IF('Nivel Setorial'!E187="","",'Nivel Setorial'!E187/'Nivel Setorial'!E$49*100)</x:f>
        <x:v>96.33572050502833</x:v>
      </x:c>
      <x:c r="F187" s="22" t="n">
        <x:f>IF('Nivel Setorial'!F187="","",'Nivel Setorial'!F187/'Nivel Setorial'!F$5*100)</x:f>
        <x:v>485.84854905236296</x:v>
      </x:c>
      <x:c r="G187" s="22" t="n">
        <x:f>IF('Nivel Setorial'!G187="","",'Nivel Setorial'!G187/'Nivel Setorial'!G$5*100)</x:f>
        <x:v>232.28805708873836</x:v>
      </x:c>
      <x:c r="H187" s="22" t="n">
        <x:f>IF('Nivel Setorial'!H187="","",'Nivel Setorial'!H187/'Nivel Setorial'!H$17*100)</x:f>
        <x:v>1448.2991453681336</x:v>
      </x:c>
      <x:c r="I187" s="22" t="n">
        <x:f>IF('Nivel Setorial'!I187="","",'Nivel Setorial'!I187/'Nivel Setorial'!I$5*100)</x:f>
        <x:v>88.23516581343081</x:v>
      </x:c>
      <x:c r="J187" s="22" t="n">
        <x:f>IF('Nivel Setorial'!J187="","",'Nivel Setorial'!J187/'Nivel Setorial'!J$25*100)</x:f>
        <x:v>501.3006605098855</x:v>
      </x:c>
      <x:c r="K187" s="22" t="n">
        <x:f>IF('Nivel Setorial'!K187="","",'Nivel Setorial'!K187/'Nivel Setorial'!K$5*100)</x:f>
        <x:v>198.02461375142278</x:v>
      </x:c>
      <x:c r="L187" s="22" t="n">
        <x:f>IF('Nivel Setorial'!L187="","",'Nivel Setorial'!L187/'Nivel Setorial'!L$5*100)</x:f>
        <x:v>396.28721730996796</x:v>
      </x:c>
      <x:c r="M187" s="22" t="n">
        <x:f>IF('Nivel Setorial'!M187="","",'Nivel Setorial'!M187/'Nivel Setorial'!M$5*100)</x:f>
        <x:v>1032.5396101697083</x:v>
      </x:c>
      <x:c r="N187" s="22" t="n">
        <x:f>IF('Nivel Setorial'!N187="","",'Nivel Setorial'!N187/'Nivel Setorial'!N$5*100)</x:f>
        <x:v>346.90745832747456</x:v>
      </x:c>
      <x:c r="O187" s="22" t="n">
        <x:f>IF('Nivel Setorial'!O187="","",'Nivel Setorial'!O187/'Nivel Setorial'!O$5*100)</x:f>
        <x:v>424.87916651924945</x:v>
      </x:c>
      <x:c r="P187" s="22" t="n">
        <x:f>IF('Nivel Setorial'!P187="","",'Nivel Setorial'!P187/'Nivel Setorial'!P$5*100)</x:f>
        <x:v>63.02379387027902</x:v>
      </x:c>
      <x:c r="Q187" s="22" t="n">
        <x:f>IF('Nivel Setorial'!Q187="","",'Nivel Setorial'!Q187/'Nivel Setorial'!Q$5*100)</x:f>
        <x:v>505.34923761394975</x:v>
      </x:c>
      <x:c r="R187" s="22" t="n">
        <x:f>IF('Nivel Setorial'!R187="","",'Nivel Setorial'!R187/'Nivel Setorial'!R$5*100)</x:f>
        <x:v>342.2131591163881</x:v>
      </x:c>
    </x:row>
    <x:row r="188">
      <x:c r="A188" s="21" t="n">
        <x:f>'Nivel Setorial'!A188</x:f>
        <x:v>45748</x:v>
      </x:c>
      <x:c r="B188" s="22" t="n">
        <x:f>IF('Nivel Setorial'!B188="","",'Nivel Setorial'!B188/'Nivel Setorial'!B$45*100)</x:f>
        <x:v>-40784.2957683882</x:v>
      </x:c>
      <x:c r="C188" s="22" t="n">
        <x:f>IF('Nivel Setorial'!C188="","",'Nivel Setorial'!C188/'Nivel Setorial'!C$5*100)</x:f>
        <x:v>549.1785722429831</x:v>
      </x:c>
      <x:c r="D188" s="22" t="n">
        <x:f>IF('Nivel Setorial'!D188="","",'Nivel Setorial'!D188/'Nivel Setorial'!D$5*100)</x:f>
        <x:v>2431.772227069582</x:v>
      </x:c>
      <x:c r="E188" s="22" t="n">
        <x:f>IF('Nivel Setorial'!E188="","",'Nivel Setorial'!E188/'Nivel Setorial'!E$49*100)</x:f>
        <x:v>110.86431490901604</x:v>
      </x:c>
      <x:c r="F188" s="22" t="n">
        <x:f>IF('Nivel Setorial'!F188="","",'Nivel Setorial'!F188/'Nivel Setorial'!F$5*100)</x:f>
        <x:v>491.2523886208893</x:v>
      </x:c>
      <x:c r="G188" s="22" t="n">
        <x:f>IF('Nivel Setorial'!G188="","",'Nivel Setorial'!G188/'Nivel Setorial'!G$5*100)</x:f>
        <x:v>226.947715287933</x:v>
      </x:c>
      <x:c r="H188" s="22" t="n">
        <x:f>IF('Nivel Setorial'!H188="","",'Nivel Setorial'!H188/'Nivel Setorial'!H$17*100)</x:f>
        <x:v>1472.7640591881045</x:v>
      </x:c>
      <x:c r="I188" s="22" t="n">
        <x:f>IF('Nivel Setorial'!I188="","",'Nivel Setorial'!I188/'Nivel Setorial'!I$5*100)</x:f>
        <x:v>88.51467696576566</x:v>
      </x:c>
      <x:c r="J188" s="22" t="n">
        <x:f>IF('Nivel Setorial'!J188="","",'Nivel Setorial'!J188/'Nivel Setorial'!J$25*100)</x:f>
        <x:v>493.8718648070191</x:v>
      </x:c>
      <x:c r="K188" s="22" t="n">
        <x:f>IF('Nivel Setorial'!K188="","",'Nivel Setorial'!K188/'Nivel Setorial'!K$5*100)</x:f>
        <x:v>191.26863806792437</x:v>
      </x:c>
      <x:c r="L188" s="22" t="n">
        <x:f>IF('Nivel Setorial'!L188="","",'Nivel Setorial'!L188/'Nivel Setorial'!L$5*100)</x:f>
        <x:v>339.74581348629494</x:v>
      </x:c>
      <x:c r="M188" s="22" t="n">
        <x:f>IF('Nivel Setorial'!M188="","",'Nivel Setorial'!M188/'Nivel Setorial'!M$5*100)</x:f>
        <x:v>1037.0993707168868</x:v>
      </x:c>
      <x:c r="N188" s="22" t="n">
        <x:f>IF('Nivel Setorial'!N188="","",'Nivel Setorial'!N188/'Nivel Setorial'!N$5*100)</x:f>
        <x:v>342.31126841934264</x:v>
      </x:c>
      <x:c r="O188" s="22" t="n">
        <x:f>IF('Nivel Setorial'!O188="","",'Nivel Setorial'!O188/'Nivel Setorial'!O$5*100)</x:f>
        <x:v>449.34301902268663</x:v>
      </x:c>
      <x:c r="P188" s="22" t="n">
        <x:f>IF('Nivel Setorial'!P188="","",'Nivel Setorial'!P188/'Nivel Setorial'!P$5*100)</x:f>
        <x:v>63.510775688257795</x:v>
      </x:c>
      <x:c r="Q188" s="22" t="n">
        <x:f>IF('Nivel Setorial'!Q188="","",'Nivel Setorial'!Q188/'Nivel Setorial'!Q$5*100)</x:f>
        <x:v>506.88336938039515</x:v>
      </x:c>
      <x:c r="R188" s="22" t="n">
        <x:f>IF('Nivel Setorial'!R188="","",'Nivel Setorial'!R188/'Nivel Setorial'!R$5*100)</x:f>
        <x:v>343.1741486581616</x:v>
      </x:c>
    </x:row>
    <x:row r="189">
      <x:c r="A189" s="21" t="n">
        <x:f>'Nivel Setorial'!A189</x:f>
        <x:v>45778</x:v>
      </x:c>
      <x:c r="B189" s="22" t="n">
        <x:f>IF('Nivel Setorial'!B189="","",'Nivel Setorial'!B189/'Nivel Setorial'!B$45*100)</x:f>
        <x:v>-39029.03859099919</x:v>
      </x:c>
      <x:c r="C189" s="22" t="n">
        <x:f>IF('Nivel Setorial'!C189="","",'Nivel Setorial'!C189/'Nivel Setorial'!C$5*100)</x:f>
        <x:v>549.1410124269959</x:v>
      </x:c>
      <x:c r="D189" s="22" t="n">
        <x:f>IF('Nivel Setorial'!D189="","",'Nivel Setorial'!D189/'Nivel Setorial'!D$5*100)</x:f>
        <x:v>2366.3568643860394</x:v>
      </x:c>
      <x:c r="E189" s="22" t="n">
        <x:f>IF('Nivel Setorial'!E189="","",'Nivel Setorial'!E189/'Nivel Setorial'!E$49*100)</x:f>
        <x:v>128.29208789945224</x:v>
      </x:c>
      <x:c r="F189" s="22" t="n">
        <x:f>IF('Nivel Setorial'!F189="","",'Nivel Setorial'!F189/'Nivel Setorial'!F$5*100)</x:f>
        <x:v>491.85870124923963</x:v>
      </x:c>
      <x:c r="G189" s="22" t="n">
        <x:f>IF('Nivel Setorial'!G189="","",'Nivel Setorial'!G189/'Nivel Setorial'!G$5*100)</x:f>
        <x:v>226.44216166908348</x:v>
      </x:c>
      <x:c r="H189" s="22" t="n">
        <x:f>IF('Nivel Setorial'!H189="","",'Nivel Setorial'!H189/'Nivel Setorial'!H$17*100)</x:f>
        <x:v>1518.4966123353836</x:v>
      </x:c>
      <x:c r="I189" s="22" t="n">
        <x:f>IF('Nivel Setorial'!I189="","",'Nivel Setorial'!I189/'Nivel Setorial'!I$5*100)</x:f>
        <x:v>119.71080538043664</x:v>
      </x:c>
      <x:c r="J189" s="22" t="n">
        <x:f>IF('Nivel Setorial'!J189="","",'Nivel Setorial'!J189/'Nivel Setorial'!J$25*100)</x:f>
        <x:v>519.4659302586967</x:v>
      </x:c>
      <x:c r="K189" s="22" t="n">
        <x:f>IF('Nivel Setorial'!K189="","",'Nivel Setorial'!K189/'Nivel Setorial'!K$5*100)</x:f>
        <x:v>185.49116594638963</x:v>
      </x:c>
      <x:c r="L189" s="22" t="n">
        <x:f>IF('Nivel Setorial'!L189="","",'Nivel Setorial'!L189/'Nivel Setorial'!L$5*100)</x:f>
        <x:v>326.1115251807066</x:v>
      </x:c>
      <x:c r="M189" s="22" t="n">
        <x:f>IF('Nivel Setorial'!M189="","",'Nivel Setorial'!M189/'Nivel Setorial'!M$5*100)</x:f>
        <x:v>947.3542948386371</x:v>
      </x:c>
      <x:c r="N189" s="22" t="n">
        <x:f>IF('Nivel Setorial'!N189="","",'Nivel Setorial'!N189/'Nivel Setorial'!N$5*100)</x:f>
        <x:v>330.27304368636317</x:v>
      </x:c>
      <x:c r="O189" s="22" t="n">
        <x:f>IF('Nivel Setorial'!O189="","",'Nivel Setorial'!O189/'Nivel Setorial'!O$5*100)</x:f>
        <x:v>462.82959226483644</x:v>
      </x:c>
      <x:c r="P189" s="22" t="n">
        <x:f>IF('Nivel Setorial'!P189="","",'Nivel Setorial'!P189/'Nivel Setorial'!P$5*100)</x:f>
        <x:v>62.725190939513</x:v>
      </x:c>
      <x:c r="Q189" s="22" t="n">
        <x:f>IF('Nivel Setorial'!Q189="","",'Nivel Setorial'!Q189/'Nivel Setorial'!Q$5*100)</x:f>
        <x:v>521.3512487546467</x:v>
      </x:c>
      <x:c r="R189" s="22" t="n">
        <x:f>IF('Nivel Setorial'!R189="","",'Nivel Setorial'!R189/'Nivel Setorial'!R$5*100)</x:f>
        <x:v>329.4519201399082</x:v>
      </x:c>
    </x:row>
    <x:row r="190">
      <x:c r="A190" s="21" t="n">
        <x:f>'Nivel Setorial'!A190</x:f>
        <x:v>45809</x:v>
      </x:c>
      <x:c r="B190" s="22" t="n">
        <x:f>IF('Nivel Setorial'!B190="","",'Nivel Setorial'!B190/'Nivel Setorial'!B$45*100)</x:f>
        <x:v>-35647.42522701789</x:v>
      </x:c>
      <x:c r="C190" s="22" t="n">
        <x:f>IF('Nivel Setorial'!C190="","",'Nivel Setorial'!C190/'Nivel Setorial'!C$5*100)</x:f>
        <x:v>538.9573514192521</x:v>
      </x:c>
      <x:c r="D190" s="22" t="n">
        <x:f>IF('Nivel Setorial'!D190="","",'Nivel Setorial'!D190/'Nivel Setorial'!D$5*100)</x:f>
        <x:v>2354.2575416263217</x:v>
      </x:c>
      <x:c r="E190" s="22" t="n">
        <x:f>IF('Nivel Setorial'!E190="","",'Nivel Setorial'!E190/'Nivel Setorial'!E$49*100)</x:f>
        <x:v>131.77626969358636</x:v>
      </x:c>
      <x:c r="F190" s="22" t="n">
        <x:f>IF('Nivel Setorial'!F190="","",'Nivel Setorial'!F190/'Nivel Setorial'!F$5*100)</x:f>
        <x:v>494.5744029973396</x:v>
      </x:c>
      <x:c r="G190" s="22" t="n">
        <x:f>IF('Nivel Setorial'!G190="","",'Nivel Setorial'!G190/'Nivel Setorial'!G$5*100)</x:f>
        <x:v>231.850640436582</x:v>
      </x:c>
      <x:c r="H190" s="22" t="n">
        <x:f>IF('Nivel Setorial'!H190="","",'Nivel Setorial'!H190/'Nivel Setorial'!H$17*100)</x:f>
        <x:v>1576.9555512085485</x:v>
      </x:c>
      <x:c r="I190" s="22" t="n">
        <x:f>IF('Nivel Setorial'!I190="","",'Nivel Setorial'!I190/'Nivel Setorial'!I$5*100)</x:f>
        <x:v>116.479031251685</x:v>
      </x:c>
      <x:c r="J190" s="22" t="n">
        <x:f>IF('Nivel Setorial'!J190="","",'Nivel Setorial'!J190/'Nivel Setorial'!J$25*100)</x:f>
        <x:v>530.9965784006707</x:v>
      </x:c>
      <x:c r="K190" s="22" t="n">
        <x:f>IF('Nivel Setorial'!K190="","",'Nivel Setorial'!K190/'Nivel Setorial'!K$5*100)</x:f>
        <x:v>183.7480122583113</x:v>
      </x:c>
      <x:c r="L190" s="22" t="n">
        <x:f>IF('Nivel Setorial'!L190="","",'Nivel Setorial'!L190/'Nivel Setorial'!L$5*100)</x:f>
        <x:v>321.3872050645908</x:v>
      </x:c>
      <x:c r="M190" s="22" t="n">
        <x:f>IF('Nivel Setorial'!M190="","",'Nivel Setorial'!M190/'Nivel Setorial'!M$5*100)</x:f>
        <x:v>903.4691918690221</x:v>
      </x:c>
      <x:c r="N190" s="22" t="n">
        <x:f>IF('Nivel Setorial'!N190="","",'Nivel Setorial'!N190/'Nivel Setorial'!N$5*100)</x:f>
        <x:v>341.53395366020396</x:v>
      </x:c>
      <x:c r="O190" s="22" t="n">
        <x:f>IF('Nivel Setorial'!O190="","",'Nivel Setorial'!O190/'Nivel Setorial'!O$5*100)</x:f>
        <x:v>464.10544134720243</x:v>
      </x:c>
      <x:c r="P190" s="22" t="n">
        <x:f>IF('Nivel Setorial'!P190="","",'Nivel Setorial'!P190/'Nivel Setorial'!P$5*100)</x:f>
        <x:v>63.58542696764006</x:v>
      </x:c>
      <x:c r="Q190" s="22" t="n">
        <x:f>IF('Nivel Setorial'!Q190="","",'Nivel Setorial'!Q190/'Nivel Setorial'!Q$5*100)</x:f>
        <x:v>530.3983753189442</x:v>
      </x:c>
      <x:c r="R190" s="22" t="n">
        <x:f>IF('Nivel Setorial'!R190="","",'Nivel Setorial'!R190/'Nivel Setorial'!R$5*100)</x:f>
        <x:v>333.27836086022444</x:v>
      </x:c>
    </x:row>
    <x:row r="191">
      <x:c r="A191" s="21" t="n">
        <x:f>'Nivel Setorial'!A191</x:f>
        <x:v>45839</x:v>
      </x:c>
      <x:c r="B191" s="22" t="n">
        <x:f>IF('Nivel Setorial'!B191="","",'Nivel Setorial'!B191/'Nivel Setorial'!B$45*100)</x:f>
        <x:v>-13252.669392293828</x:v>
      </x:c>
      <x:c r="C191" s="22" t="n">
        <x:f>IF('Nivel Setorial'!C191="","",'Nivel Setorial'!C191/'Nivel Setorial'!C$5*100)</x:f>
        <x:v>539.6427857440788</x:v>
      </x:c>
      <x:c r="D191" s="22" t="n">
        <x:f>IF('Nivel Setorial'!D191="","",'Nivel Setorial'!D191/'Nivel Setorial'!D$5*100)</x:f>
        <x:v>2302.663151452394</x:v>
      </x:c>
      <x:c r="E191" s="22" t="n">
        <x:f>IF('Nivel Setorial'!E191="","",'Nivel Setorial'!E191/'Nivel Setorial'!E$49*100)</x:f>
        <x:v>131.75025653774875</x:v>
      </x:c>
      <x:c r="F191" s="22" t="n">
        <x:f>IF('Nivel Setorial'!F191="","",'Nivel Setorial'!F191/'Nivel Setorial'!F$5*100)</x:f>
        <x:v>498.15331822979977</x:v>
      </x:c>
      <x:c r="G191" s="22" t="n">
        <x:f>IF('Nivel Setorial'!G191="","",'Nivel Setorial'!G191/'Nivel Setorial'!G$5*100)</x:f>
        <x:v>224.86423075911662</x:v>
      </x:c>
      <x:c r="H191" s="22" t="n">
        <x:f>IF('Nivel Setorial'!H191="","",'Nivel Setorial'!H191/'Nivel Setorial'!H$17*100)</x:f>
        <x:v>1580.5796245731065</x:v>
      </x:c>
      <x:c r="I191" s="22" t="n">
        <x:f>IF('Nivel Setorial'!I191="","",'Nivel Setorial'!I191/'Nivel Setorial'!I$5*100)</x:f>
        <x:v>113.49952131212973</x:v>
      </x:c>
      <x:c r="J191" s="22" t="n">
        <x:f>IF('Nivel Setorial'!J191="","",'Nivel Setorial'!J191/'Nivel Setorial'!J$25*100)</x:f>
        <x:v>521.5825361284568</x:v>
      </x:c>
      <x:c r="K191" s="22" t="n">
        <x:f>IF('Nivel Setorial'!K191="","",'Nivel Setorial'!K191/'Nivel Setorial'!K$5*100)</x:f>
        <x:v>176.70022226093846</x:v>
      </x:c>
      <x:c r="L191" s="22" t="n">
        <x:f>IF('Nivel Setorial'!L191="","",'Nivel Setorial'!L191/'Nivel Setorial'!L$5*100)</x:f>
        <x:v>306.3946165246423</x:v>
      </x:c>
      <x:c r="M191" s="22" t="n">
        <x:f>IF('Nivel Setorial'!M191="","",'Nivel Setorial'!M191/'Nivel Setorial'!M$5*100)</x:f>
        <x:v>869.2029340033808</x:v>
      </x:c>
      <x:c r="N191" s="22" t="n">
        <x:f>IF('Nivel Setorial'!N191="","",'Nivel Setorial'!N191/'Nivel Setorial'!N$5*100)</x:f>
        <x:v>353.18755203398183</x:v>
      </x:c>
      <x:c r="O191" s="22" t="n">
        <x:f>IF('Nivel Setorial'!O191="","",'Nivel Setorial'!O191/'Nivel Setorial'!O$5*100)</x:f>
        <x:v>476.6559510302555</x:v>
      </x:c>
      <x:c r="P191" s="22" t="n">
        <x:f>IF('Nivel Setorial'!P191="","",'Nivel Setorial'!P191/'Nivel Setorial'!P$5*100)</x:f>
        <x:v>64.62303205534408</x:v>
      </x:c>
      <x:c r="Q191" s="22" t="n">
        <x:f>IF('Nivel Setorial'!Q191="","",'Nivel Setorial'!Q191/'Nivel Setorial'!Q$5*100)</x:f>
        <x:v>530.7676200601502</x:v>
      </x:c>
      <x:c r="R191" s="22" t="n">
        <x:f>IF('Nivel Setorial'!R191="","",'Nivel Setorial'!R191/'Nivel Setorial'!R$5*100)</x:f>
        <x:v>324.43491705389704</x:v>
      </x:c>
    </x:row>
    <x:row r="192">
      <x:c r="A192" s="21" t="n">
        <x:f>'Nivel Setorial'!A192</x:f>
        <x:v>45870</x:v>
      </x:c>
      <x:c r="B192" s="22" t="n">
        <x:f>IF('Nivel Setorial'!B192="","",'Nivel Setorial'!B192/'Nivel Setorial'!B$45*100)</x:f>
        <x:v>-1876.1761217067374</x:v>
      </x:c>
      <x:c r="C192" s="22" t="n">
        <x:f>IF('Nivel Setorial'!C192="","",'Nivel Setorial'!C192/'Nivel Setorial'!C$5*100)</x:f>
        <x:v>546.9423036253476</x:v>
      </x:c>
      <x:c r="D192" s="22" t="n">
        <x:f>IF('Nivel Setorial'!D192="","",'Nivel Setorial'!D192/'Nivel Setorial'!D$5*100)</x:f>
        <x:v>2292.417126408661</x:v>
      </x:c>
      <x:c r="E192" s="22" t="n">
        <x:f>IF('Nivel Setorial'!E192="","",'Nivel Setorial'!E192/'Nivel Setorial'!E$49*100)</x:f>
        <x:v>133.69765768513804</x:v>
      </x:c>
      <x:c r="F192" s="22" t="n">
        <x:f>IF('Nivel Setorial'!F192="","",'Nivel Setorial'!F192/'Nivel Setorial'!F$5*100)</x:f>
        <x:v>506.65362575437314</x:v>
      </x:c>
      <x:c r="G192" s="22" t="n">
        <x:f>IF('Nivel Setorial'!G192="","",'Nivel Setorial'!G192/'Nivel Setorial'!G$5*100)</x:f>
        <x:v>224.05262402956677</x:v>
      </x:c>
      <x:c r="H192" s="22" t="n">
        <x:f>IF('Nivel Setorial'!H192="","",'Nivel Setorial'!H192/'Nivel Setorial'!H$17*100)</x:f>
        <x:v>1618.177340343205</x:v>
      </x:c>
      <x:c r="I192" s="22" t="n">
        <x:f>IF('Nivel Setorial'!I192="","",'Nivel Setorial'!I192/'Nivel Setorial'!I$5*100)</x:f>
        <x:v>116.10432909283294</x:v>
      </x:c>
      <x:c r="J192" s="22" t="n">
        <x:f>IF('Nivel Setorial'!J192="","",'Nivel Setorial'!J192/'Nivel Setorial'!J$25*100)</x:f>
        <x:v>534.2323274281999</x:v>
      </x:c>
      <x:c r="K192" s="22" t="n">
        <x:f>IF('Nivel Setorial'!K192="","",'Nivel Setorial'!K192/'Nivel Setorial'!K$5*100)</x:f>
        <x:v>177.1527093088074</x:v>
      </x:c>
      <x:c r="L192" s="22" t="n">
        <x:f>IF('Nivel Setorial'!L192="","",'Nivel Setorial'!L192/'Nivel Setorial'!L$5*100)</x:f>
        <x:v>280.6186254840287</x:v>
      </x:c>
      <x:c r="M192" s="22" t="n">
        <x:f>IF('Nivel Setorial'!M192="","",'Nivel Setorial'!M192/'Nivel Setorial'!M$5*100)</x:f>
        <x:v>802.6099783241536</x:v>
      </x:c>
      <x:c r="N192" s="22" t="n">
        <x:f>IF('Nivel Setorial'!N192="","",'Nivel Setorial'!N192/'Nivel Setorial'!N$5*100)</x:f>
        <x:v>369.6982120366096</x:v>
      </x:c>
      <x:c r="O192" s="22" t="n">
        <x:f>IF('Nivel Setorial'!O192="","",'Nivel Setorial'!O192/'Nivel Setorial'!O$5*100)</x:f>
        <x:v>500.30223948724216</x:v>
      </x:c>
      <x:c r="P192" s="22" t="n">
        <x:f>IF('Nivel Setorial'!P192="","",'Nivel Setorial'!P192/'Nivel Setorial'!P$5*100)</x:f>
        <x:v>65.99786212550266</x:v>
      </x:c>
      <x:c r="Q192" s="22" t="n">
        <x:f>IF('Nivel Setorial'!Q192="","",'Nivel Setorial'!Q192/'Nivel Setorial'!Q$5*100)</x:f>
        <x:v>533.6099968487291</x:v>
      </x:c>
      <x:c r="R192" s="22" t="n">
        <x:f>IF('Nivel Setorial'!R192="","",'Nivel Setorial'!R192/'Nivel Setorial'!R$5*100)</x:f>
        <x:v>317.43828000139536</x:v>
      </x:c>
    </x:row>
    <x:row r="193">
      <x:c r="A193" s="21" t="n">
        <x:f>'Nivel Setorial'!A193</x:f>
        <x:v>45901</x:v>
      </x:c>
      <x:c r="B193" s="22" t="n">
        <x:f>IF('Nivel Setorial'!B193="","",'Nivel Setorial'!B193/'Nivel Setorial'!B$45*100)</x:f>
        <x:v>6870.631809626742</x:v>
      </x:c>
      <x:c r="C193" s="22" t="n">
        <x:f>IF('Nivel Setorial'!C193="","",'Nivel Setorial'!C193/'Nivel Setorial'!C$5*100)</x:f>
        <x:v>544.5004281801126</x:v>
      </x:c>
      <x:c r="D193" s="22" t="n">
        <x:f>IF('Nivel Setorial'!D193="","",'Nivel Setorial'!D193/'Nivel Setorial'!D$5*100)</x:f>
        <x:v>2302.6223594479256</x:v>
      </x:c>
      <x:c r="E193" s="22" t="n">
        <x:f>IF('Nivel Setorial'!E193="","",'Nivel Setorial'!E193/'Nivel Setorial'!E$49*100)</x:f>
        <x:v>135.79268595514066</x:v>
      </x:c>
      <x:c r="F193" s="22" t="n">
        <x:f>IF('Nivel Setorial'!F193="","",'Nivel Setorial'!F193/'Nivel Setorial'!F$5*100)</x:f>
        <x:v>509.2313107760701</x:v>
      </x:c>
      <x:c r="G193" s="22" t="n">
        <x:f>IF('Nivel Setorial'!G193="","",'Nivel Setorial'!G193/'Nivel Setorial'!G$5*100)</x:f>
        <x:v>202.04966484891247</x:v>
      </x:c>
      <x:c r="H193" s="22" t="n">
        <x:f>IF('Nivel Setorial'!H193="","",'Nivel Setorial'!H193/'Nivel Setorial'!H$17*100)</x:f>
        <x:v>1638.6300002309802</x:v>
      </x:c>
      <x:c r="I193" s="22" t="n">
        <x:f>IF('Nivel Setorial'!I193="","",'Nivel Setorial'!I193/'Nivel Setorial'!I$5*100)</x:f>
        <x:v>159.80930041901615</x:v>
      </x:c>
      <x:c r="J193" s="22" t="n">
        <x:f>IF('Nivel Setorial'!J193="","",'Nivel Setorial'!J193/'Nivel Setorial'!J$25*100)</x:f>
        <x:v>538.4605215402316</x:v>
      </x:c>
      <x:c r="K193" s="22" t="n">
        <x:f>IF('Nivel Setorial'!K193="","",'Nivel Setorial'!K193/'Nivel Setorial'!K$5*100)</x:f>
        <x:v>172.31750296058902</x:v>
      </x:c>
      <x:c r="L193" s="22" t="n">
        <x:f>IF('Nivel Setorial'!L193="","",'Nivel Setorial'!L193/'Nivel Setorial'!L$5*100)</x:f>
        <x:v>284.57248928004725</x:v>
      </x:c>
      <x:c r="M193" s="22" t="n">
        <x:f>IF('Nivel Setorial'!M193="","",'Nivel Setorial'!M193/'Nivel Setorial'!M$5*100)</x:f>
        <x:v>794.5539742905229</x:v>
      </x:c>
      <x:c r="N193" s="22" t="n">
        <x:f>IF('Nivel Setorial'!N193="","",'Nivel Setorial'!N193/'Nivel Setorial'!N$5*100)</x:f>
        <x:v>397.63797479831743</x:v>
      </x:c>
      <x:c r="O193" s="22" t="n">
        <x:f>IF('Nivel Setorial'!O193="","",'Nivel Setorial'!O193/'Nivel Setorial'!O$5*100)</x:f>
        <x:v>541.4174306272679</x:v>
      </x:c>
      <x:c r="P193" s="22" t="n">
        <x:f>IF('Nivel Setorial'!P193="","",'Nivel Setorial'!P193/'Nivel Setorial'!P$5*100)</x:f>
        <x:v>66.70683063781345</x:v>
      </x:c>
      <x:c r="Q193" s="22" t="n">
        <x:f>IF('Nivel Setorial'!Q193="","",'Nivel Setorial'!Q193/'Nivel Setorial'!Q$5*100)</x:f>
        <x:v>486.49768914555455</x:v>
      </x:c>
      <x:c r="R193" s="22" t="n">
        <x:f>IF('Nivel Setorial'!R193="","",'Nivel Setorial'!R193/'Nivel Setorial'!R$5*100)</x:f>
        <x:v>326.9934811946725</x:v>
      </x:c>
    </x:row>
    <x:row r="194">
      <x:c r="A194" s="21" t="n">
        <x:f>'Nivel Setorial'!A194</x:f>
        <x:v>45931</x:v>
      </x:c>
      <x:c r="B194" s="22" t="n">
        <x:f>IF('Nivel Setorial'!B194="","",'Nivel Setorial'!B194/'Nivel Setorial'!B$45*100)</x:f>
        <x:v>10262.888977840219</x:v>
      </x:c>
      <x:c r="C194" s="22" t="n">
        <x:f>IF('Nivel Setorial'!C194="","",'Nivel Setorial'!C194/'Nivel Setorial'!C$5*100)</x:f>
        <x:v>555.3860453566294</x:v>
      </x:c>
      <x:c r="D194" s="22" t="n">
        <x:f>IF('Nivel Setorial'!D194="","",'Nivel Setorial'!D194/'Nivel Setorial'!D$5*100)</x:f>
        <x:v>2256.693922343866</x:v>
      </x:c>
      <x:c r="E194" s="22" t="n">
        <x:f>IF('Nivel Setorial'!E194="","",'Nivel Setorial'!E194/'Nivel Setorial'!E$49*100)</x:f>
        <x:v>145.58443897899767</x:v>
      </x:c>
      <x:c r="F194" s="22" t="n">
        <x:f>IF('Nivel Setorial'!F194="","",'Nivel Setorial'!F194/'Nivel Setorial'!F$5*100)</x:f>
        <x:v>512.4684592880174</x:v>
      </x:c>
      <x:c r="G194" s="22" t="n">
        <x:f>IF('Nivel Setorial'!G194="","",'Nivel Setorial'!G194/'Nivel Setorial'!G$5*100)</x:f>
        <x:v>202.42323872743046</x:v>
      </x:c>
      <x:c r="H194" s="22" t="n">
        <x:f>IF('Nivel Setorial'!H194="","",'Nivel Setorial'!H194/'Nivel Setorial'!H$17*100)</x:f>
        <x:v>1666.7535317635206</x:v>
      </x:c>
      <x:c r="I194" s="22" t="n">
        <x:f>IF('Nivel Setorial'!I194="","",'Nivel Setorial'!I194/'Nivel Setorial'!I$5*100)</x:f>
        <x:v>168.3114852226219</x:v>
      </x:c>
      <x:c r="J194" s="22" t="n">
        <x:f>IF('Nivel Setorial'!J194="","",'Nivel Setorial'!J194/'Nivel Setorial'!J$25*100)</x:f>
        <x:v>552.8661741464514</x:v>
      </x:c>
      <x:c r="K194" s="22" t="n">
        <x:f>IF('Nivel Setorial'!K194="","",'Nivel Setorial'!K194/'Nivel Setorial'!K$5*100)</x:f>
        <x:v>180.9807022913147</x:v>
      </x:c>
      <x:c r="L194" s="22" t="n">
        <x:f>IF('Nivel Setorial'!L194="","",'Nivel Setorial'!L194/'Nivel Setorial'!L$5*100)</x:f>
        <x:v>288.6507711104618</x:v>
      </x:c>
      <x:c r="M194" s="22" t="n">
        <x:f>IF('Nivel Setorial'!M194="","",'Nivel Setorial'!M194/'Nivel Setorial'!M$5*100)</x:f>
        <x:v>805.0440857250418</x:v>
      </x:c>
      <x:c r="N194" s="22" t="n">
        <x:f>IF('Nivel Setorial'!N194="","",'Nivel Setorial'!N194/'Nivel Setorial'!N$5*100)</x:f>
        <x:v>402.75424112057516</x:v>
      </x:c>
      <x:c r="O194" s="22" t="n">
        <x:f>IF('Nivel Setorial'!O194="","",'Nivel Setorial'!O194/'Nivel Setorial'!O$5*100)</x:f>
        <x:v>563.6568767429739</x:v>
      </x:c>
      <x:c r="P194" s="22" t="n">
        <x:f>IF('Nivel Setorial'!P194="","",'Nivel Setorial'!P194/'Nivel Setorial'!P$5*100)</x:f>
        <x:v>68.02526569812215</x:v>
      </x:c>
      <x:c r="Q194" s="22" t="n">
        <x:f>IF('Nivel Setorial'!Q194="","",'Nivel Setorial'!Q194/'Nivel Setorial'!Q$5*100)</x:f>
        <x:v>495.2450915839132</x:v>
      </x:c>
      <x:c r="R194" s="22" t="n">
        <x:f>IF('Nivel Setorial'!R194="","",'Nivel Setorial'!R194/'Nivel Setorial'!R$5*100)</x:f>
        <x:v>345.2657344200623</x:v>
      </x:c>
    </x:row>
    <x:row r="195">
      <x:c r="A195" s="21" t="n">
        <x:f>'Nivel Setorial'!A195</x:f>
        <x:v>45962</x:v>
      </x:c>
      <x:c r="B195" s="22" t="n">
        <x:f>IF('Nivel Setorial'!B195="","",'Nivel Setorial'!B195/'Nivel Setorial'!B$45*100)</x:f>
        <x:v>8295.459260107227</x:v>
      </x:c>
      <x:c r="C195" s="22" t="n">
        <x:f>IF('Nivel Setorial'!C195="","",'Nivel Setorial'!C195/'Nivel Setorial'!C$5*100)</x:f>
        <x:v>563.8205347878375</x:v>
      </x:c>
      <x:c r="D195" s="22" t="n">
        <x:f>IF('Nivel Setorial'!D195="","",'Nivel Setorial'!D195/'Nivel Setorial'!D$5*100)</x:f>
        <x:v>2283.481596115784</x:v>
      </x:c>
      <x:c r="E195" s="22" t="n">
        <x:f>IF('Nivel Setorial'!E195="","",'Nivel Setorial'!E195/'Nivel Setorial'!E$49*100)</x:f>
        <x:v>146.6617561303945</x:v>
      </x:c>
      <x:c r="F195" s="22" t="n">
        <x:f>IF('Nivel Setorial'!F195="","",'Nivel Setorial'!F195/'Nivel Setorial'!F$5*100)</x:f>
        <x:v>515.2674668763262</x:v>
      </x:c>
      <x:c r="G195" s="22" t="n">
        <x:f>IF('Nivel Setorial'!G195="","",'Nivel Setorial'!G195/'Nivel Setorial'!G$5*100)</x:f>
        <x:v>196.1092383036133</x:v>
      </x:c>
      <x:c r="H195" s="22" t="n">
        <x:f>IF('Nivel Setorial'!H195="","",'Nivel Setorial'!H195/'Nivel Setorial'!H$17*100)</x:f>
        <x:v>1627.634973797678</x:v>
      </x:c>
      <x:c r="I195" s="22" t="n">
        <x:f>IF('Nivel Setorial'!I195="","",'Nivel Setorial'!I195/'Nivel Setorial'!I$5*100)</x:f>
        <x:v>175.7423626175945</x:v>
      </x:c>
      <x:c r="J195" s="22" t="n">
        <x:f>IF('Nivel Setorial'!J195="","",'Nivel Setorial'!J195/'Nivel Setorial'!J$25*100)</x:f>
        <x:v>553.9286323118195</x:v>
      </x:c>
      <x:c r="K195" s="22" t="n">
        <x:f>IF('Nivel Setorial'!K195="","",'Nivel Setorial'!K195/'Nivel Setorial'!K$5*100)</x:f>
        <x:v>187.8328583732657</x:v>
      </x:c>
      <x:c r="L195" s="22" t="n">
        <x:f>IF('Nivel Setorial'!L195="","",'Nivel Setorial'!L195/'Nivel Setorial'!L$5*100)</x:f>
        <x:v>267.53901148643223</x:v>
      </x:c>
      <x:c r="M195" s="22" t="n">
        <x:f>IF('Nivel Setorial'!M195="","",'Nivel Setorial'!M195/'Nivel Setorial'!M$5*100)</x:f>
        <x:v>763.9349180034683</x:v>
      </x:c>
      <x:c r="N195" s="22" t="n">
        <x:f>IF('Nivel Setorial'!N195="","",'Nivel Setorial'!N195/'Nivel Setorial'!N$5*100)</x:f>
        <x:v>411.22350913202484</x:v>
      </x:c>
      <x:c r="O195" s="22" t="n">
        <x:f>IF('Nivel Setorial'!O195="","",'Nivel Setorial'!O195/'Nivel Setorial'!O$5*100)</x:f>
        <x:v>584.4713138328665</x:v>
      </x:c>
      <x:c r="P195" s="22" t="n">
        <x:f>IF('Nivel Setorial'!P195="","",'Nivel Setorial'!P195/'Nivel Setorial'!P$5*100)</x:f>
        <x:v>68.35419260666073</x:v>
      </x:c>
      <x:c r="Q195" s="22" t="n">
        <x:f>IF('Nivel Setorial'!Q195="","",'Nivel Setorial'!Q195/'Nivel Setorial'!Q$5*100)</x:f>
        <x:v>498.86015157349084</x:v>
      </x:c>
      <x:c r="R195" s="22" t="n">
        <x:f>IF('Nivel Setorial'!R195="","",'Nivel Setorial'!R195/'Nivel Setorial'!R$5*100)</x:f>
        <x:v>319.415615694822</x:v>
      </x:c>
    </x:row>
    <x:row r="196">
      <x:c r="A196" s="21" t="n">
        <x:f>'Nivel Setorial'!A196</x:f>
        <x:v>45992</x:v>
      </x:c>
      <x:c r="B196" s="22" t="n">
        <x:f>IF('Nivel Setorial'!B196="","",'Nivel Setorial'!B196/'Nivel Setorial'!B$45*100)</x:f>
        <x:v>14839.850865211529</x:v>
      </x:c>
      <x:c r="C196" s="22" t="n">
        <x:f>IF('Nivel Setorial'!C196="","",'Nivel Setorial'!C196/'Nivel Setorial'!C$5*100)</x:f>
        <x:v>570.7544848242883</x:v>
      </x:c>
      <x:c r="D196" s="22" t="n">
        <x:f>IF('Nivel Setorial'!D196="","",'Nivel Setorial'!D196/'Nivel Setorial'!D$5*100)</x:f>
        <x:v>2306.909242385692</x:v>
      </x:c>
      <x:c r="E196" s="22" t="n">
        <x:f>IF('Nivel Setorial'!E196="","",'Nivel Setorial'!E196/'Nivel Setorial'!E$49*100)</x:f>
        <x:v>151.08477584511965</x:v>
      </x:c>
      <x:c r="F196" s="22" t="n">
        <x:f>IF('Nivel Setorial'!F196="","",'Nivel Setorial'!F196/'Nivel Setorial'!F$5*100)</x:f>
        <x:v>518.7169592802372</x:v>
      </x:c>
      <x:c r="G196" s="22" t="n">
        <x:f>IF('Nivel Setorial'!G196="","",'Nivel Setorial'!G196/'Nivel Setorial'!G$5*100)</x:f>
        <x:v>200.31804783615422</x:v>
      </x:c>
      <x:c r="H196" s="22" t="n">
        <x:f>IF('Nivel Setorial'!H196="","",'Nivel Setorial'!H196/'Nivel Setorial'!H$17*100)</x:f>
        <x:v>1636.9522229309912</x:v>
      </x:c>
      <x:c r="I196" s="22" t="n">
        <x:f>IF('Nivel Setorial'!I196="","",'Nivel Setorial'!I196/'Nivel Setorial'!I$5*100)</x:f>
        <x:v>182.0451585063816</x:v>
      </x:c>
      <x:c r="J196" s="22" t="n">
        <x:f>IF('Nivel Setorial'!J196="","",'Nivel Setorial'!J196/'Nivel Setorial'!J$25*100)</x:f>
        <x:v>583.7254696306965</x:v>
      </x:c>
      <x:c r="K196" s="22" t="n">
        <x:f>IF('Nivel Setorial'!K196="","",'Nivel Setorial'!K196/'Nivel Setorial'!K$5*100)</x:f>
        <x:v>185.01130725978788</x:v>
      </x:c>
      <x:c r="L196" s="22" t="n">
        <x:f>IF('Nivel Setorial'!L196="","",'Nivel Setorial'!L196/'Nivel Setorial'!L$5*100)</x:f>
        <x:v>254.49071490114648</x:v>
      </x:c>
      <x:c r="M196" s="22" t="n">
        <x:f>IF('Nivel Setorial'!M196="","",'Nivel Setorial'!M196/'Nivel Setorial'!M$5*100)</x:f>
        <x:v>709.4181483026235</x:v>
      </x:c>
      <x:c r="N196" s="22" t="n">
        <x:f>IF('Nivel Setorial'!N196="","",'Nivel Setorial'!N196/'Nivel Setorial'!N$5*100)</x:f>
        <x:v>418.65318417822175</x:v>
      </x:c>
      <x:c r="O196" s="22" t="n">
        <x:f>IF('Nivel Setorial'!O196="","",'Nivel Setorial'!O196/'Nivel Setorial'!O$5*100)</x:f>
        <x:v>583.4285537674209</x:v>
      </x:c>
      <x:c r="P196" s="22" t="n">
        <x:f>IF('Nivel Setorial'!P196="","",'Nivel Setorial'!P196/'Nivel Setorial'!P$5*100)</x:f>
        <x:v>69.51682014355893</x:v>
      </x:c>
      <x:c r="Q196" s="22" t="n">
        <x:f>IF('Nivel Setorial'!Q196="","",'Nivel Setorial'!Q196/'Nivel Setorial'!Q$5*100)</x:f>
        <x:v>496.03500354230493</x:v>
      </x:c>
      <x:c r="R196" s="22" t="n">
        <x:f>IF('Nivel Setorial'!R196="","",'Nivel Setorial'!R196/'Nivel Setorial'!R$5*100)</x:f>
        <x:v>365.1396287915713</x:v>
      </x:c>
    </x:row>
    <x:row r="197">
      <x:c r="A197" s="21" t="n">
        <x:f>'Nivel Setorial'!A197</x:f>
        <x:v>46023</x:v>
      </x:c>
      <x:c r="B197" s="22" t="n">
        <x:f>IF('Nivel Setorial'!B197="","",'Nivel Setorial'!B197/'Nivel Setorial'!B$45*100)</x:f>
        <x:v>14617.999886018748</x:v>
      </x:c>
      <x:c r="C197" s="22" t="n">
        <x:f>IF('Nivel Setorial'!C197="","",'Nivel Setorial'!C197/'Nivel Setorial'!C$5*100)</x:f>
        <x:v>572.3032261047048</x:v>
      </x:c>
      <x:c r="D197" s="22" t="n">
        <x:f>IF('Nivel Setorial'!D197="","",'Nivel Setorial'!D197/'Nivel Setorial'!D$5*100)</x:f>
        <x:v>2340.527389859444</x:v>
      </x:c>
      <x:c r="E197" s="22" t="n">
        <x:f>IF('Nivel Setorial'!E197="","",'Nivel Setorial'!E197/'Nivel Setorial'!E$49*100)</x:f>
        <x:v>163.6391542511393</x:v>
      </x:c>
      <x:c r="F197" s="22" t="n">
        <x:f>IF('Nivel Setorial'!F197="","",'Nivel Setorial'!F197/'Nivel Setorial'!F$5*100)</x:f>
        <x:v>520.8433126471507</x:v>
      </x:c>
      <x:c r="G197" s="22" t="n">
        <x:f>IF('Nivel Setorial'!G197="","",'Nivel Setorial'!G197/'Nivel Setorial'!G$5*100)</x:f>
        <x:v>202.45933803824738</x:v>
      </x:c>
      <x:c r="H197" s="22" t="n">
        <x:f>IF('Nivel Setorial'!H197="","",'Nivel Setorial'!H197/'Nivel Setorial'!H$17*100)</x:f>
        <x:v>1632.766673737289</x:v>
      </x:c>
      <x:c r="I197" s="22" t="n">
        <x:f>IF('Nivel Setorial'!I197="","",'Nivel Setorial'!I197/'Nivel Setorial'!I$5*100)</x:f>
        <x:v>184.35064919481064</x:v>
      </x:c>
      <x:c r="J197" s="22" t="n">
        <x:f>IF('Nivel Setorial'!J197="","",'Nivel Setorial'!J197/'Nivel Setorial'!J$25*100)</x:f>
        <x:v>583.2239480872862</x:v>
      </x:c>
      <x:c r="K197" s="22" t="n">
        <x:f>IF('Nivel Setorial'!K197="","",'Nivel Setorial'!K197/'Nivel Setorial'!K$5*100)</x:f>
        <x:v>194.63256513729954</x:v>
      </x:c>
      <x:c r="L197" s="22" t="n">
        <x:f>IF('Nivel Setorial'!L197="","",'Nivel Setorial'!L197/'Nivel Setorial'!L$5*100)</x:f>
        <x:v>247.60528831138205</x:v>
      </x:c>
      <x:c r="M197" s="22" t="n">
        <x:f>IF('Nivel Setorial'!M197="","",'Nivel Setorial'!M197/'Nivel Setorial'!M$5*100)</x:f>
        <x:v>637.8207867205379</x:v>
      </x:c>
      <x:c r="N197" s="22" t="n">
        <x:f>IF('Nivel Setorial'!N197="","",'Nivel Setorial'!N197/'Nivel Setorial'!N$5*100)</x:f>
        <x:v>408.5868425320033</x:v>
      </x:c>
      <x:c r="O197" s="22" t="n">
        <x:f>IF('Nivel Setorial'!O197="","",'Nivel Setorial'!O197/'Nivel Setorial'!O$5*100)</x:f>
        <x:v>700.5632445136464</x:v>
      </x:c>
      <x:c r="P197" s="22" t="n">
        <x:f>IF('Nivel Setorial'!P197="","",'Nivel Setorial'!P197/'Nivel Setorial'!P$5*100)</x:f>
        <x:v>70.02513428014798</x:v>
      </x:c>
      <x:c r="Q197" s="22" t="n">
        <x:f>IF('Nivel Setorial'!Q197="","",'Nivel Setorial'!Q197/'Nivel Setorial'!Q$5*100)</x:f>
        <x:v>502.91780295558317</x:v>
      </x:c>
      <x:c r="R197" s="22" t="n">
        <x:f>IF('Nivel Setorial'!R197="","",'Nivel Setorial'!R197/'Nivel Setorial'!R$5*100)</x:f>
        <x:v>385.69096849717175</x:v>
      </x:c>
    </x:row>
    <x:row r="198">
      <x:c r="A198" s="21" t="n">
        <x:f>'Nivel Setorial'!A198</x:f>
        <x:v>46054</x:v>
      </x:c>
      <x:c r="B198" s="22" t="n">
        <x:f>IF('Nivel Setorial'!B198="","",'Nivel Setorial'!B198/'Nivel Setorial'!B$45*100)</x:f>
        <x:v>24197.879374403492</x:v>
      </x:c>
      <x:c r="C198" s="22" t="n">
        <x:f>IF('Nivel Setorial'!C198="","",'Nivel Setorial'!C198/'Nivel Setorial'!C$5*100)</x:f>
        <x:v>578.7861672811999</x:v>
      </x:c>
      <x:c r="D198" s="22" t="n">
        <x:f>IF('Nivel Setorial'!D198="","",'Nivel Setorial'!D198/'Nivel Setorial'!D$5*100)</x:f>
        <x:v>2360.1328195991464</x:v>
      </x:c>
      <x:c r="E198" s="22" t="n">
        <x:f>IF('Nivel Setorial'!E198="","",'Nivel Setorial'!E198/'Nivel Setorial'!E$49*100)</x:f>
        <x:v>170.19602374840454</x:v>
      </x:c>
      <x:c r="F198" s="22" t="n">
        <x:f>IF('Nivel Setorial'!F198="","",'Nivel Setorial'!F198/'Nivel Setorial'!F$5*100)</x:f>
        <x:v>527.3513587971046</x:v>
      </x:c>
      <x:c r="G198" s="22" t="n">
        <x:f>IF('Nivel Setorial'!G198="","",'Nivel Setorial'!G198/'Nivel Setorial'!G$5*100)</x:f>
        <x:v>201.75045931868033</x:v>
      </x:c>
      <x:c r="H198" s="22" t="n">
        <x:f>IF('Nivel Setorial'!H198="","",'Nivel Setorial'!H198/'Nivel Setorial'!H$17*100)</x:f>
        <x:v>1594.9639903909158</x:v>
      </x:c>
      <x:c r="I198" s="22" t="n">
        <x:f>IF('Nivel Setorial'!I198="","",'Nivel Setorial'!I198/'Nivel Setorial'!I$5*100)</x:f>
        <x:v>186.93017228610063</x:v>
      </x:c>
      <x:c r="J198" s="22" t="n">
        <x:f>IF('Nivel Setorial'!J198="","",'Nivel Setorial'!J198/'Nivel Setorial'!J$25*100)</x:f>
        <x:v>563.9937129394694</x:v>
      </x:c>
      <x:c r="K198" s="22" t="n">
        <x:f>IF('Nivel Setorial'!K198="","",'Nivel Setorial'!K198/'Nivel Setorial'!K$5*100)</x:f>
        <x:v>191.87274541340307</x:v>
      </x:c>
      <x:c r="L198" s="22" t="n">
        <x:f>IF('Nivel Setorial'!L198="","",'Nivel Setorial'!L198/'Nivel Setorial'!L$5*100)</x:f>
        <x:v>272.538770361082</x:v>
      </x:c>
      <x:c r="M198" s="22" t="n">
        <x:f>IF('Nivel Setorial'!M198="","",'Nivel Setorial'!M198/'Nivel Setorial'!M$5*100)</x:f>
        <x:v>682.7520447611839</x:v>
      </x:c>
      <x:c r="N198" s="22" t="n">
        <x:f>IF('Nivel Setorial'!N198="","",'Nivel Setorial'!N198/'Nivel Setorial'!N$5*100)</x:f>
        <x:v>421.0576716515402</x:v>
      </x:c>
      <x:c r="O198" s="22" t="n">
        <x:f>IF('Nivel Setorial'!O198="","",'Nivel Setorial'!O198/'Nivel Setorial'!O$5*100)</x:f>
        <x:v>713.8488617588075</x:v>
      </x:c>
      <x:c r="P198" s="22" t="n">
        <x:f>IF('Nivel Setorial'!P198="","",'Nivel Setorial'!P198/'Nivel Setorial'!P$5*100)</x:f>
        <x:v>71.08390322910971</x:v>
      </x:c>
      <x:c r="Q198" s="22" t="n">
        <x:f>IF('Nivel Setorial'!Q198="","",'Nivel Setorial'!Q198/'Nivel Setorial'!Q$5*100)</x:f>
        <x:v>514.3162814416265</x:v>
      </x:c>
      <x:c r="R198" s="22" t="n">
        <x:f>IF('Nivel Setorial'!R198="","",'Nivel Setorial'!R198/'Nivel Setorial'!R$5*100)</x:f>
        <x:v>387.6334778871104</x:v>
      </x:c>
    </x:row>
    <x:row r="199">
      <x:c r="A199" s="21" t="n">
        <x:f>'Nivel Setorial'!A199</x:f>
        <x:v>46082</x:v>
      </x:c>
      <x:c r="B199" s="22" t="n">
        <x:f>IF('Nivel Setorial'!B199="","",'Nivel Setorial'!B199/'Nivel Setorial'!B$45*100)</x:f>
        <x:v>-9656.150657511467</x:v>
      </x:c>
      <x:c r="C199" s="22" t="n">
        <x:f>IF('Nivel Setorial'!C199="","",'Nivel Setorial'!C199/'Nivel Setorial'!C$5*100)</x:f>
        <x:v>580.0540273385915</x:v>
      </x:c>
      <x:c r="D199" s="22" t="n">
        <x:f>IF('Nivel Setorial'!D199="","",'Nivel Setorial'!D199/'Nivel Setorial'!D$5*100)</x:f>
        <x:v>2404.969605931817</x:v>
      </x:c>
      <x:c r="E199" s="22" t="n">
        <x:f>IF('Nivel Setorial'!E199="","",'Nivel Setorial'!E199/'Nivel Setorial'!E$49*100)</x:f>
        <x:v>172.21430485474718</x:v>
      </x:c>
      <x:c r="F199" s="22" t="n">
        <x:f>IF('Nivel Setorial'!F199="","",'Nivel Setorial'!F199/'Nivel Setorial'!F$5*100)</x:f>
        <x:v>532.87170340815</x:v>
      </x:c>
      <x:c r="G199" s="22" t="n">
        <x:f>IF('Nivel Setorial'!G199="","",'Nivel Setorial'!G199/'Nivel Setorial'!G$5*100)</x:f>
        <x:v>201.75817980101084</x:v>
      </x:c>
      <x:c r="H199" s="22" t="n">
        <x:f>IF('Nivel Setorial'!H199="","",'Nivel Setorial'!H199/'Nivel Setorial'!H$17*100)</x:f>
        <x:v>1556.9181927338564</x:v>
      </x:c>
      <x:c r="I199" s="22" t="n">
        <x:f>IF('Nivel Setorial'!I199="","",'Nivel Setorial'!I199/'Nivel Setorial'!I$5*100)</x:f>
        <x:v>190.55804094861116</x:v>
      </x:c>
      <x:c r="J199" s="22" t="n">
        <x:f>IF('Nivel Setorial'!J199="","",'Nivel Setorial'!J199/'Nivel Setorial'!J$25*100)</x:f>
        <x:v>577.9203438635751</x:v>
      </x:c>
      <x:c r="K199" s="22" t="n">
        <x:f>IF('Nivel Setorial'!K199="","",'Nivel Setorial'!K199/'Nivel Setorial'!K$5*100)</x:f>
        <x:v>197.31922645228644</x:v>
      </x:c>
      <x:c r="L199" s="22" t="n">
        <x:f>IF('Nivel Setorial'!L199="","",'Nivel Setorial'!L199/'Nivel Setorial'!L$5*100)</x:f>
        <x:v>390.3264640630489</x:v>
      </x:c>
      <x:c r="M199" s="22" t="n">
        <x:f>IF('Nivel Setorial'!M199="","",'Nivel Setorial'!M199/'Nivel Setorial'!M$5*100)</x:f>
        <x:v>711.7552092941735</x:v>
      </x:c>
      <x:c r="N199" s="22" t="n">
        <x:f>IF('Nivel Setorial'!N199="","",'Nivel Setorial'!N199/'Nivel Setorial'!N$5*100)</x:f>
        <x:v>447.87028969047543</x:v>
      </x:c>
      <x:c r="O199" s="22" t="n">
        <x:f>IF('Nivel Setorial'!O199="","",'Nivel Setorial'!O199/'Nivel Setorial'!O$5*100)</x:f>
        <x:v>755.785050405261</x:v>
      </x:c>
      <x:c r="P199" s="22" t="n">
        <x:f>IF('Nivel Setorial'!P199="","",'Nivel Setorial'!P199/'Nivel Setorial'!P$5*100)</x:f>
        <x:v>73.65642469278146</x:v>
      </x:c>
      <x:c r="Q199" s="22" t="n">
        <x:f>IF('Nivel Setorial'!Q199="","",'Nivel Setorial'!Q199/'Nivel Setorial'!Q$5*100)</x:f>
        <x:v>529.0415566182375</x:v>
      </x:c>
      <x:c r="R199" s="22" t="n">
        <x:f>IF('Nivel Setorial'!R199="","",'Nivel Setorial'!R199/'Nivel Setorial'!R$5*100)</x:f>
        <x:v>399.9585097503926</x:v>
      </x:c>
    </x:row>
    <x:row r="200">
      <x:c r="A200" s="21" t="n">
        <x:f>'Nivel Setorial'!A200</x:f>
        <x:v>46113</x:v>
      </x:c>
      <x:c r="B200" s="22" t="n">
        <x:f>IF('Nivel Setorial'!B200="","",'Nivel Setorial'!B200/'Nivel Setorial'!B$45*100)</x:f>
        <x:v>-9697.161654766309</x:v>
      </x:c>
      <x:c r="C200" s="22" t="n">
        <x:f>IF('Nivel Setorial'!C200="","",'Nivel Setorial'!C200/'Nivel Setorial'!C$5*100)</x:f>
        <x:v>586.4102312012249</x:v>
      </x:c>
      <x:c r="D200" s="22" t="n">
        <x:f>IF('Nivel Setorial'!D200="","",'Nivel Setorial'!D200/'Nivel Setorial'!D$5*100)</x:f>
        <x:v>2416.992318308514</x:v>
      </x:c>
      <x:c r="E200" s="22" t="n">
        <x:f>IF('Nivel Setorial'!E200="","",'Nivel Setorial'!E200/'Nivel Setorial'!E$49*100)</x:f>
        <x:v>172.2348366416629</x:v>
      </x:c>
      <x:c r="F200" s="22" t="n">
        <x:f>IF('Nivel Setorial'!F200="","",'Nivel Setorial'!F200/'Nivel Setorial'!F$5*100)</x:f>
        <x:v>540.5910786634453</x:v>
      </x:c>
      <x:c r="G200" s="22" t="n">
        <x:f>IF('Nivel Setorial'!G200="","",'Nivel Setorial'!G200/'Nivel Setorial'!G$5*100)</x:f>
        <x:v>192.7855665976619</x:v>
      </x:c>
      <x:c r="H200" s="22" t="n">
        <x:f>IF('Nivel Setorial'!H200="","",'Nivel Setorial'!H200/'Nivel Setorial'!H$17*100)</x:f>
        <x:v>1586.06889510176</x:v>
      </x:c>
      <x:c r="I200" s="22" t="n">
        <x:f>IF('Nivel Setorial'!I200="","",'Nivel Setorial'!I200/'Nivel Setorial'!I$5*100)</x:f>
        <x:v>194.79282667376629</x:v>
      </x:c>
      <x:c r="J200" s="22" t="n">
        <x:f>IF('Nivel Setorial'!J200="","",'Nivel Setorial'!J200/'Nivel Setorial'!J$25*100)</x:f>
        <x:v>583.2251255542456</x:v>
      </x:c>
      <x:c r="K200" s="22" t="n">
        <x:f>IF('Nivel Setorial'!K200="","",'Nivel Setorial'!K200/'Nivel Setorial'!K$5*100)</x:f>
        <x:v>179.88201682281053</x:v>
      </x:c>
      <x:c r="L200" s="22" t="n">
        <x:f>IF('Nivel Setorial'!L200="","",'Nivel Setorial'!L200/'Nivel Setorial'!L$5*100)</x:f>
        <x:v>436.28667410794344</x:v>
      </x:c>
      <x:c r="M200" s="22" t="n">
        <x:f>IF('Nivel Setorial'!M200="","",'Nivel Setorial'!M200/'Nivel Setorial'!M$5*100)</x:f>
        <x:v>719.2863086292801</x:v>
      </x:c>
      <x:c r="N200" s="22" t="n">
        <x:f>IF('Nivel Setorial'!N200="","",'Nivel Setorial'!N200/'Nivel Setorial'!N$5*100)</x:f>
        <x:v>452.09940966027824</x:v>
      </x:c>
      <x:c r="O200" s="22" t="n">
        <x:f>IF('Nivel Setorial'!O200="","",'Nivel Setorial'!O200/'Nivel Setorial'!O$5*100)</x:f>
        <x:v>774.2490889960759</x:v>
      </x:c>
      <x:c r="P200" s="22" t="n">
        <x:f>IF('Nivel Setorial'!P200="","",'Nivel Setorial'!P200/'Nivel Setorial'!P$5*100)</x:f>
        <x:v>75.0855856601769</x:v>
      </x:c>
      <x:c r="Q200" s="22" t="n">
        <x:f>IF('Nivel Setorial'!Q200="","",'Nivel Setorial'!Q200/'Nivel Setorial'!Q$5*100)</x:f>
        <x:v>530.9756726788887</x:v>
      </x:c>
      <x:c r="R200" s="22" t="n">
        <x:f>IF('Nivel Setorial'!R200="","",'Nivel Setorial'!R200/'Nivel Setorial'!R$5*100)</x:f>
        <x:v>423.5986187782048</x:v>
      </x:c>
    </x:row>
    <x:row r="201">
      <x:c r="A201" s="21" t="n">
        <x:f>'Nivel Setorial'!A201</x:f>
        <x:v>46143</x:v>
      </x:c>
      <x:c r="B201" s="22" t="n">
        <x:f>IF('Nivel Setorial'!B201="","",'Nivel Setorial'!B201/'Nivel Setorial'!B$45*100)</x:f>
        <x:v>-9459.158753103335</x:v>
      </x:c>
      <x:c r="C201" s="22" t="n">
        <x:f>IF('Nivel Setorial'!C201="","",'Nivel Setorial'!C201/'Nivel Setorial'!C$5*100)</x:f>
        <x:v>583.7385545671668</x:v>
      </x:c>
      <x:c r="D201" s="22" t="n">
        <x:f>IF('Nivel Setorial'!D201="","",'Nivel Setorial'!D201/'Nivel Setorial'!D$5*100)</x:f>
        <x:v>2309.5435978087453</x:v>
      </x:c>
      <x:c r="E201" s="22" t="n">
        <x:f>IF('Nivel Setorial'!E201="","",'Nivel Setorial'!E201/'Nivel Setorial'!E$49*100)</x:f>
        <x:v>170.94803392355504</x:v>
      </x:c>
      <x:c r="F201" s="22" t="n">
        <x:f>IF('Nivel Setorial'!F201="","",'Nivel Setorial'!F201/'Nivel Setorial'!F$5*100)</x:f>
        <x:v>540.6894387653936</x:v>
      </x:c>
      <x:c r="G201" s="22" t="n">
        <x:f>IF('Nivel Setorial'!G201="","",'Nivel Setorial'!G201/'Nivel Setorial'!G$5*100)</x:f>
        <x:v>206.2971154314606</x:v>
      </x:c>
      <x:c r="H201" s="22" t="n">
        <x:f>IF('Nivel Setorial'!H201="","",'Nivel Setorial'!H201/'Nivel Setorial'!H$17*100)</x:f>
        <x:v>1574.0246924313258</x:v>
      </x:c>
      <x:c r="I201" s="22" t="n">
        <x:f>IF('Nivel Setorial'!I201="","",'Nivel Setorial'!I201/'Nivel Setorial'!I$5*100)</x:f>
        <x:v>190.4569275984349</x:v>
      </x:c>
      <x:c r="J201" s="22" t="n">
        <x:f>IF('Nivel Setorial'!J201="","",'Nivel Setorial'!J201/'Nivel Setorial'!J$25*100)</x:f>
        <x:v>610.8728813220675</x:v>
      </x:c>
      <x:c r="K201" s="22" t="n">
        <x:f>IF('Nivel Setorial'!K201="","",'Nivel Setorial'!K201/'Nivel Setorial'!K$5*100)</x:f>
        <x:v>178.66492270671986</x:v>
      </x:c>
      <x:c r="L201" s="22" t="n">
        <x:f>IF('Nivel Setorial'!L201="","",'Nivel Setorial'!L201/'Nivel Setorial'!L$5*100)</x:f>
        <x:v>444.00715316530557</x:v>
      </x:c>
      <x:c r="M201" s="22" t="n">
        <x:f>IF('Nivel Setorial'!M201="","",'Nivel Setorial'!M201/'Nivel Setorial'!M$5*100)</x:f>
        <x:v>734.2557069464375</x:v>
      </x:c>
      <x:c r="N201" s="22" t="n">
        <x:f>IF('Nivel Setorial'!N201="","",'Nivel Setorial'!N201/'Nivel Setorial'!N$5*100)</x:f>
        <x:v>451.2545882439153</x:v>
      </x:c>
      <x:c r="O201" s="22" t="n">
        <x:f>IF('Nivel Setorial'!O201="","",'Nivel Setorial'!O201/'Nivel Setorial'!O$5*100)</x:f>
        <x:v>767.3520742138024</x:v>
      </x:c>
      <x:c r="P201" s="22" t="n">
        <x:f>IF('Nivel Setorial'!P201="","",'Nivel Setorial'!P201/'Nivel Setorial'!P$5*100)</x:f>
        <x:v>74.95593702064583</x:v>
      </x:c>
      <x:c r="Q201" s="22" t="n">
        <x:f>IF('Nivel Setorial'!Q201="","",'Nivel Setorial'!Q201/'Nivel Setorial'!Q$5*100)</x:f>
        <x:v>541.9844699139927</x:v>
      </x:c>
      <x:c r="R201" s="22" t="n">
        <x:f>IF('Nivel Setorial'!R201="","",'Nivel Setorial'!R201/'Nivel Setorial'!R$5*100)</x:f>
        <x:v>428.48594905372</x:v>
      </x:c>
    </x:row>
    <x:row r="202">
      <x:c r="A202" s="21" t="n">
        <x:f>'Nivel Setorial'!A202</x:f>
        <x:v>46174</x:v>
      </x:c>
      <x:c r="B202" s="22" t="n">
        <x:f>IF('Nivel Setorial'!B202="","",'Nivel Setorial'!B202/'Nivel Setorial'!B$45*100)</x:f>
        <x:v>-8817.106964992006</x:v>
      </x:c>
      <x:c r="C202" s="22" t="n">
        <x:f>IF('Nivel Setorial'!C202="","",'Nivel Setorial'!C202/'Nivel Setorial'!C$5*100)</x:f>
        <x:v>589.1273480596095</x:v>
      </x:c>
      <x:c r="D202" s="22" t="n">
        <x:f>IF('Nivel Setorial'!D202="","",'Nivel Setorial'!D202/'Nivel Setorial'!D$5*100)</x:f>
        <x:v>2358.2983098787745</x:v>
      </x:c>
      <x:c r="E202" s="22" t="n">
        <x:f>IF('Nivel Setorial'!E202="","",'Nivel Setorial'!E202/'Nivel Setorial'!E$49*100)</x:f>
        <x:v>168.21727152866848</x:v>
      </x:c>
      <x:c r="F202" s="22" t="n">
        <x:f>IF('Nivel Setorial'!F202="","",'Nivel Setorial'!F202/'Nivel Setorial'!F$5*100)</x:f>
        <x:v>544.9013164628577</x:v>
      </x:c>
      <x:c r="G202" s="22" t="n">
        <x:f>IF('Nivel Setorial'!G202="","",'Nivel Setorial'!G202/'Nivel Setorial'!G$5*100)</x:f>
        <x:v>206.68579238427287</x:v>
      </x:c>
      <x:c r="H202" s="22" t="n">
        <x:f>IF('Nivel Setorial'!H202="","",'Nivel Setorial'!H202/'Nivel Setorial'!H$17*100)</x:f>
        <x:v>1610.0934022551676</x:v>
      </x:c>
      <x:c r="I202" s="22" t="n">
        <x:f>IF('Nivel Setorial'!I202="","",'Nivel Setorial'!I202/'Nivel Setorial'!I$5*100)</x:f>
        <x:v>186.55229574055406</x:v>
      </x:c>
      <x:c r="J202" s="22" t="n">
        <x:f>IF('Nivel Setorial'!J202="","",'Nivel Setorial'!J202/'Nivel Setorial'!J$25*100)</x:f>
        <x:v>627.4081221852585</x:v>
      </x:c>
      <x:c r="K202" s="22" t="n">
        <x:f>IF('Nivel Setorial'!K202="","",'Nivel Setorial'!K202/'Nivel Setorial'!K$5*100)</x:f>
        <x:v>189.4679342901718</x:v>
      </x:c>
      <x:c r="L202" s="22" t="n">
        <x:f>IF('Nivel Setorial'!L202="","",'Nivel Setorial'!L202/'Nivel Setorial'!L$5*100)</x:f>
        <x:v>433.23582495111157</x:v>
      </x:c>
      <x:c r="M202" s="22" t="n">
        <x:f>IF('Nivel Setorial'!M202="","",'Nivel Setorial'!M202/'Nivel Setorial'!M$5*100)</x:f>
        <x:v>775.0258117461764</x:v>
      </x:c>
      <x:c r="N202" s="22" t="n">
        <x:f>IF('Nivel Setorial'!N202="","",'Nivel Setorial'!N202/'Nivel Setorial'!N$5*100)</x:f>
        <x:v>449.10647299659547</x:v>
      </x:c>
      <x:c r="O202" s="22" t="n">
        <x:f>IF('Nivel Setorial'!O202="","",'Nivel Setorial'!O202/'Nivel Setorial'!O$5*100)</x:f>
        <x:v>773.3168156775745</x:v>
      </x:c>
      <x:c r="P202" s="22" t="n">
        <x:f>IF('Nivel Setorial'!P202="","",'Nivel Setorial'!P202/'Nivel Setorial'!P$5*100)</x:f>
        <x:v>74.92035887827856</x:v>
      </x:c>
      <x:c r="Q202" s="22" t="n">
        <x:f>IF('Nivel Setorial'!Q202="","",'Nivel Setorial'!Q202/'Nivel Setorial'!Q$5*100)</x:f>
        <x:v>539.1688616792819</x:v>
      </x:c>
      <x:c r="R202" s="22" t="n">
        <x:f>IF('Nivel Setorial'!R202="","",'Nivel Setorial'!R202/'Nivel Setorial'!R$5*100)</x:f>
        <x:v>314.5801140577227</x:v>
      </x:c>
    </x:row>
    <x:row r="203">
      <x:c r="A203" s="21" t="n">
        <x:f>'Nivel Setorial'!A203</x:f>
        <x:v>46204</x:v>
      </x:c>
      <x:c r="B203" s="22" t="n">
        <x:f>IF('Nivel Setorial'!B203="","",'Nivel Setorial'!B203/'Nivel Setorial'!B$45*100)</x:f>
        <x:v>-8929.246273755105</x:v>
      </x:c>
      <x:c r="C203" s="22" t="n">
        <x:f>IF('Nivel Setorial'!C203="","",'Nivel Setorial'!C203/'Nivel Setorial'!C$5*100)</x:f>
        <x:v>589.7850446176501</x:v>
      </x:c>
      <x:c r="D203" s="22" t="n">
        <x:f>IF('Nivel Setorial'!D203="","",'Nivel Setorial'!D203/'Nivel Setorial'!D$5*100)</x:f>
        <x:v>2421.327842095753</x:v>
      </x:c>
      <x:c r="E203" s="22" t="n">
        <x:f>IF('Nivel Setorial'!E203="","",'Nivel Setorial'!E203/'Nivel Setorial'!E$49*100)</x:f>
        <x:v>169.02423983123157</x:v>
      </x:c>
      <x:c r="F203" s="22" t="n">
        <x:f>IF('Nivel Setorial'!F203="","",'Nivel Setorial'!F203/'Nivel Setorial'!F$5*100)</x:f>
        <x:v>546.4672152558329</x:v>
      </x:c>
      <x:c r="G203" s="22" t="n">
        <x:f>IF('Nivel Setorial'!G203="","",'Nivel Setorial'!G203/'Nivel Setorial'!G$5*100)</x:f>
        <x:v>211.50632835380316</x:v>
      </x:c>
      <x:c r="H203" s="22" t="n">
        <x:f>IF('Nivel Setorial'!H203="","",'Nivel Setorial'!H203/'Nivel Setorial'!H$17*100)</x:f>
        <x:v>1650.6089342625205</x:v>
      </x:c>
      <x:c r="I203" s="22" t="n">
        <x:f>IF('Nivel Setorial'!I203="","",'Nivel Setorial'!I203/'Nivel Setorial'!I$5*100)</x:f>
        <x:v>187.76047022084754</x:v>
      </x:c>
      <x:c r="J203" s="22" t="n">
        <x:f>IF('Nivel Setorial'!J203="","",'Nivel Setorial'!J203/'Nivel Setorial'!J$25*100)</x:f>
        <x:v>637.2534100507725</x:v>
      </x:c>
      <x:c r="K203" s="22" t="n">
        <x:f>IF('Nivel Setorial'!K203="","",'Nivel Setorial'!K203/'Nivel Setorial'!K$5*100)</x:f>
        <x:v>182.30291266900008</x:v>
      </x:c>
      <x:c r="L203" s="22" t="n">
        <x:f>IF('Nivel Setorial'!L203="","",'Nivel Setorial'!L203/'Nivel Setorial'!L$5*100)</x:f>
        <x:v>438.2028637782573</x:v>
      </x:c>
      <x:c r="M203" s="22" t="n">
        <x:f>IF('Nivel Setorial'!M203="","",'Nivel Setorial'!M203/'Nivel Setorial'!M$5*100)</x:f>
        <x:v>734.0122334583261</x:v>
      </x:c>
      <x:c r="N203" s="22" t="n">
        <x:f>IF('Nivel Setorial'!N203="","",'Nivel Setorial'!N203/'Nivel Setorial'!N$5*100)</x:f>
        <x:v>440.0220178711968</x:v>
      </x:c>
      <x:c r="O203" s="22" t="n">
        <x:f>IF('Nivel Setorial'!O203="","",'Nivel Setorial'!O203/'Nivel Setorial'!O$5*100)</x:f>
        <x:v>775.9860645114703</x:v>
      </x:c>
      <x:c r="P203" s="22" t="n">
        <x:f>IF('Nivel Setorial'!P203="","",'Nivel Setorial'!P203/'Nivel Setorial'!P$5*100)</x:f>
        <x:v>73.6202907361098</x:v>
      </x:c>
      <x:c r="Q203" s="22" t="n">
        <x:f>IF('Nivel Setorial'!Q203="","",'Nivel Setorial'!Q203/'Nivel Setorial'!Q$5*100)</x:f>
        <x:v>542.2964069237971</x:v>
      </x:c>
      <x:c r="R203" s="22" t="n">
        <x:f>IF('Nivel Setorial'!R203="","",'Nivel Setorial'!R203/'Nivel Setorial'!R$5*100)</x:f>
        <x:v>311.71313031121974</x:v>
      </x:c>
    </x:row>
  </x:sheetData>
  <x:mergeCells>
    <x:mergeCell ref="A1:R1"/>
    <x:mergeCell ref="A2:R2"/>
  </x:mergeCells>
  <x:pageMargins left="0.7" right="0.7" top="0.75" bottom="0.75" header="0.3" footer="0.3"/>
  <x:tableParts count="1">
    <x:tablePart xmlns:r="http://schemas.openxmlformats.org/officeDocument/2006/relationships" r:id="R05107864d5174c6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</x:cols>
  <x:sheetData>
    <x:row r="1" ht="27" customHeight="1">
      <x:c r="A1" s="3" t="str">
        <x:v>Earnings setoriais — revisão em 3 meses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2" ht="30" customHeight="1">
      <x:c r="A2" s="7" t="str">
        <x:v>Variação da soma em nível entre t-3 e t, calculada somente com empresas observadas nas duas pontas.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</x:row>
    <x:row r="4" ht="31" customHeight="1">
      <x:c r="A4" s="11" t="str">
        <x:v>Mês</x:v>
      </x:c>
      <x:c r="B4" s="11" t="str">
        <x:v>Agribusiness</x:v>
      </x:c>
      <x:c r="C4" s="11" t="str">
        <x:v>Banks</x:v>
      </x:c>
      <x:c r="D4" s="11" t="str">
        <x:v>Capital Goods</x:v>
      </x:c>
      <x:c r="E4" s="11" t="str">
        <x:v>Education</x:v>
      </x:c>
      <x:c r="F4" s="11" t="str">
        <x:v>Financials Non-Banks</x:v>
      </x:c>
      <x:c r="G4" s="11" t="str">
        <x:v>Food &amp; Beverages</x:v>
      </x:c>
      <x:c r="H4" s="11" t="str">
        <x:v>Health Care</x:v>
      </x:c>
      <x:c r="I4" s="11" t="str">
        <x:v>Homebuilders</x:v>
      </x:c>
      <x:c r="J4" s="11" t="str">
        <x:v>Income Properties</x:v>
      </x:c>
      <x:c r="K4" s="11" t="str">
        <x:v>Metals &amp; Mining</x:v>
      </x:c>
      <x:c r="L4" s="11" t="str">
        <x:v>Oil, Gas &amp; Petrochemicals</x:v>
      </x:c>
      <x:c r="M4" s="11" t="str">
        <x:v>Pulp &amp; Paper</x:v>
      </x:c>
      <x:c r="N4" s="11" t="str">
        <x:v>Retail</x:v>
      </x:c>
      <x:c r="O4" s="11" t="str">
        <x:v>Sanitation</x:v>
      </x:c>
      <x:c r="P4" s="11" t="str">
        <x:v>TMT</x:v>
      </x:c>
      <x:c r="Q4" s="11" t="str">
        <x:v>Transportation</x:v>
      </x:c>
      <x:c r="R4" s="11" t="str">
        <x:v>Utilities &amp; Energy</x:v>
      </x:c>
    </x:row>
    <x:row r="5">
      <x:c r="A5" s="15" t="n">
        <x:v>40269</x:v>
      </x:c>
      <x:c r="B5" s="16"/>
      <x:c r="C5" s="16" t="n">
        <x:v>1525.7625936657</x:v>
      </x:c>
      <x:c r="D5" s="16" t="n">
        <x:v>-52.5791681753</x:v>
      </x:c>
      <x:c r="E5" s="16"/>
      <x:c r="F5" s="16" t="n">
        <x:v>-120.9078415781</x:v>
      </x:c>
      <x:c r="G5" s="16" t="n">
        <x:v>215.6701424219</x:v>
      </x:c>
      <x:c r="H5" s="16"/>
      <x:c r="I5" s="16" t="n">
        <x:v>294.4697792877</x:v>
      </x:c>
      <x:c r="J5" s="16"/>
      <x:c r="K5" s="16" t="n">
        <x:v>9358.2409973918</x:v>
      </x:c>
      <x:c r="L5" s="16" t="n">
        <x:v>900.6604692603</x:v>
      </x:c>
      <x:c r="M5" s="16" t="n">
        <x:v>-11.6931616438</x:v>
      </x:c>
      <x:c r="N5" s="16" t="n">
        <x:v>132.1788218082</x:v>
      </x:c>
      <x:c r="O5" s="16" t="n">
        <x:v>60.8228979726</x:v>
      </x:c>
      <x:c r="P5" s="16" t="n">
        <x:v>351.5303424877</x:v>
      </x:c>
      <x:c r="Q5" s="16" t="n">
        <x:v>-158.6767042192</x:v>
      </x:c>
      <x:c r="R5" s="16" t="n">
        <x:v>465.2819747068</x:v>
      </x:c>
    </x:row>
    <x:row r="6">
      <x:c r="A6" s="15" t="n">
        <x:v>40299</x:v>
      </x:c>
      <x:c r="B6" s="16"/>
      <x:c r="C6" s="16" t="n">
        <x:v>1869.3726320219</x:v>
      </x:c>
      <x:c r="D6" s="16" t="n">
        <x:v>4.7432982795</x:v>
      </x:c>
      <x:c r="E6" s="16"/>
      <x:c r="F6" s="16" t="n">
        <x:v>-19.5118451726</x:v>
      </x:c>
      <x:c r="G6" s="16" t="n">
        <x:v>186.8671435397</x:v>
      </x:c>
      <x:c r="H6" s="16"/>
      <x:c r="I6" s="16" t="n">
        <x:v>224.1453235726</x:v>
      </x:c>
      <x:c r="J6" s="16"/>
      <x:c r="K6" s="16" t="n">
        <x:v>13506.9727905973</x:v>
      </x:c>
      <x:c r="L6" s="16" t="n">
        <x:v>2246.3564652712</x:v>
      </x:c>
      <x:c r="M6" s="16" t="n">
        <x:v>142.2985887562</x:v>
      </x:c>
      <x:c r="N6" s="16" t="n">
        <x:v>141.0909769644</x:v>
      </x:c>
      <x:c r="O6" s="16" t="n">
        <x:v>15.4244415123</x:v>
      </x:c>
      <x:c r="P6" s="16" t="n">
        <x:v>69.4903676493</x:v>
      </x:c>
      <x:c r="Q6" s="16" t="n">
        <x:v>-222.2035858411</x:v>
      </x:c>
      <x:c r="R6" s="16" t="n">
        <x:v>887.718675989</x:v>
      </x:c>
    </x:row>
    <x:row r="7">
      <x:c r="A7" s="15" t="n">
        <x:v>40330</x:v>
      </x:c>
      <x:c r="B7" s="16"/>
      <x:c r="C7" s="16" t="n">
        <x:v>1713.8401041535</x:v>
      </x:c>
      <x:c r="D7" s="16" t="n">
        <x:v>35.409971463</x:v>
      </x:c>
      <x:c r="E7" s="16"/>
      <x:c r="F7" s="16" t="n">
        <x:v>-5.1473902466</x:v>
      </x:c>
      <x:c r="G7" s="16" t="n">
        <x:v>274.7897247562</x:v>
      </x:c>
      <x:c r="H7" s="16"/>
      <x:c r="I7" s="16" t="n">
        <x:v>244.0788606247</x:v>
      </x:c>
      <x:c r="J7" s="16"/>
      <x:c r="K7" s="16" t="n">
        <x:v>9734.2928455562</x:v>
      </x:c>
      <x:c r="L7" s="16" t="n">
        <x:v>2027.3435327123</x:v>
      </x:c>
      <x:c r="M7" s="16" t="n">
        <x:v>24.5490967671</x:v>
      </x:c>
      <x:c r="N7" s="16" t="n">
        <x:v>83.4536800438</x:v>
      </x:c>
      <x:c r="O7" s="16" t="n">
        <x:v>78.7804510685</x:v>
      </x:c>
      <x:c r="P7" s="16" t="n">
        <x:v>541.5946425863</x:v>
      </x:c>
      <x:c r="Q7" s="16" t="n">
        <x:v>-62.3774617863</x:v>
      </x:c>
      <x:c r="R7" s="16" t="n">
        <x:v>-617.7837041973</x:v>
      </x:c>
    </x:row>
    <x:row r="8">
      <x:c r="A8" s="15" t="n">
        <x:v>40360</x:v>
      </x:c>
      <x:c r="B8" s="16"/>
      <x:c r="C8" s="16" t="n">
        <x:v>2237.7393741151</x:v>
      </x:c>
      <x:c r="D8" s="16" t="n">
        <x:v>56.4121953315</x:v>
      </x:c>
      <x:c r="E8" s="16"/>
      <x:c r="F8" s="16" t="n">
        <x:v>628.9220383562</x:v>
      </x:c>
      <x:c r="G8" s="16" t="n">
        <x:v>505.6327681753</x:v>
      </x:c>
      <x:c r="H8" s="16"/>
      <x:c r="I8" s="16" t="n">
        <x:v>338.6422943562</x:v>
      </x:c>
      <x:c r="J8" s="16"/>
      <x:c r="K8" s="16" t="n">
        <x:v>8226.0198333807</x:v>
      </x:c>
      <x:c r="L8" s="16" t="n">
        <x:v>1692.3611639452</x:v>
      </x:c>
      <x:c r="M8" s="16" t="n">
        <x:v>-17.985336811</x:v>
      </x:c>
      <x:c r="N8" s="16" t="n">
        <x:v>51.3972811397</x:v>
      </x:c>
      <x:c r="O8" s="16" t="n">
        <x:v>25.088967189</x:v>
      </x:c>
      <x:c r="P8" s="16" t="n">
        <x:v>221.0926936548</x:v>
      </x:c>
      <x:c r="Q8" s="16" t="n">
        <x:v>1.6451811507</x:v>
      </x:c>
      <x:c r="R8" s="16" t="n">
        <x:v>370.7404628164</x:v>
      </x:c>
    </x:row>
    <x:row r="9">
      <x:c r="A9" s="15" t="n">
        <x:v>40391</x:v>
      </x:c>
      <x:c r="B9" s="16"/>
      <x:c r="C9" s="16" t="n">
        <x:v>1691.5191779946</x:v>
      </x:c>
      <x:c r="D9" s="16" t="n">
        <x:v>82.4284963069</x:v>
      </x:c>
      <x:c r="E9" s="16"/>
      <x:c r="F9" s="16" t="n">
        <x:v>338.1121862137</x:v>
      </x:c>
      <x:c r="G9" s="16" t="n">
        <x:v>585.1954724822</x:v>
      </x:c>
      <x:c r="H9" s="16"/>
      <x:c r="I9" s="16" t="n">
        <x:v>406.1127830795</x:v>
      </x:c>
      <x:c r="J9" s="16"/>
      <x:c r="K9" s="16" t="n">
        <x:v>6544.0049399671</x:v>
      </x:c>
      <x:c r="L9" s="16" t="n">
        <x:v>1451.4537332604</x:v>
      </x:c>
      <x:c r="M9" s="16" t="n">
        <x:v>-139.845349874</x:v>
      </x:c>
      <x:c r="N9" s="16" t="n">
        <x:v>43.6000054795</x:v>
      </x:c>
      <x:c r="O9" s="16" t="n">
        <x:v>81.5405017425</x:v>
      </x:c>
      <x:c r="P9" s="16" t="n">
        <x:v>493.4092465096</x:v>
      </x:c>
      <x:c r="Q9" s="16" t="n">
        <x:v>35.2663488877</x:v>
      </x:c>
      <x:c r="R9" s="16" t="n">
        <x:v>250.591258652</x:v>
      </x:c>
    </x:row>
    <x:row r="10">
      <x:c r="A10" s="15" t="n">
        <x:v>40422</x:v>
      </x:c>
      <x:c r="B10" s="16"/>
      <x:c r="C10" s="16" t="n">
        <x:v>2097.081554411</x:v>
      </x:c>
      <x:c r="D10" s="16" t="n">
        <x:v>65.785842674</x:v>
      </x:c>
      <x:c r="E10" s="16"/>
      <x:c r="F10" s="16" t="n">
        <x:v>359.0173359342</x:v>
      </x:c>
      <x:c r="G10" s="16" t="n">
        <x:v>706.967852537</x:v>
      </x:c>
      <x:c r="H10" s="16"/>
      <x:c r="I10" s="16" t="n">
        <x:v>457.8003275397</x:v>
      </x:c>
      <x:c r="J10" s="16"/>
      <x:c r="K10" s="16" t="n">
        <x:v>4546.2595249534</x:v>
      </x:c>
      <x:c r="L10" s="16" t="n">
        <x:v>1267.4802453041</x:v>
      </x:c>
      <x:c r="M10" s="16" t="n">
        <x:v>-47.8348078466</x:v>
      </x:c>
      <x:c r="N10" s="16" t="n">
        <x:v>9.3464149699</x:v>
      </x:c>
      <x:c r="O10" s="16" t="n">
        <x:v>23.8388984986</x:v>
      </x:c>
      <x:c r="P10" s="16" t="n">
        <x:v>617.5722611726</x:v>
      </x:c>
      <x:c r="Q10" s="16" t="n">
        <x:v>93.5244970959</x:v>
      </x:c>
      <x:c r="R10" s="16" t="n">
        <x:v>823.0411288548</x:v>
      </x:c>
    </x:row>
    <x:row r="11">
      <x:c r="A11" s="15" t="n">
        <x:v>40452</x:v>
      </x:c>
      <x:c r="B11" s="16"/>
      <x:c r="C11" s="16" t="n">
        <x:v>2298.5754315397</x:v>
      </x:c>
      <x:c r="D11" s="16" t="n">
        <x:v>66.8905496548</x:v>
      </x:c>
      <x:c r="E11" s="16"/>
      <x:c r="F11" s="16" t="n">
        <x:v>137.4402381151</x:v>
      </x:c>
      <x:c r="G11" s="16" t="n">
        <x:v>503.1439570411</x:v>
      </x:c>
      <x:c r="H11" s="16"/>
      <x:c r="I11" s="16" t="n">
        <x:v>461.1530000657</x:v>
      </x:c>
      <x:c r="J11" s="16"/>
      <x:c r="K11" s="16" t="n">
        <x:v>2852.8328873973</x:v>
      </x:c>
      <x:c r="L11" s="16" t="n">
        <x:v>1710.4251822685</x:v>
      </x:c>
      <x:c r="M11" s="16" t="n">
        <x:v>-111.4602126904</x:v>
      </x:c>
      <x:c r="N11" s="16" t="n">
        <x:v>38.9127806685</x:v>
      </x:c>
      <x:c r="O11" s="16" t="n">
        <x:v>51.8772778082</x:v>
      </x:c>
      <x:c r="P11" s="16" t="n">
        <x:v>952.6000857425</x:v>
      </x:c>
      <x:c r="Q11" s="16" t="n">
        <x:v>175.9995389808</x:v>
      </x:c>
      <x:c r="R11" s="16" t="n">
        <x:v>319.1093518904</x:v>
      </x:c>
    </x:row>
    <x:row r="12">
      <x:c r="A12" s="15" t="n">
        <x:v>40483</x:v>
      </x:c>
      <x:c r="B12" s="16"/>
      <x:c r="C12" s="16" t="n">
        <x:v>2385.4771999562</x:v>
      </x:c>
      <x:c r="D12" s="16" t="n">
        <x:v>27.4557341808</x:v>
      </x:c>
      <x:c r="E12" s="16"/>
      <x:c r="F12" s="16" t="n">
        <x:v>190.3860683397</x:v>
      </x:c>
      <x:c r="G12" s="16" t="n">
        <x:v>700.3821326027</x:v>
      </x:c>
      <x:c r="H12" s="16"/>
      <x:c r="I12" s="16" t="n">
        <x:v>372.665560811</x:v>
      </x:c>
      <x:c r="J12" s="16"/>
      <x:c r="K12" s="16" t="n">
        <x:v>1282.2853858794</x:v>
      </x:c>
      <x:c r="L12" s="16" t="n">
        <x:v>1702.3874531068</x:v>
      </x:c>
      <x:c r="M12" s="16" t="n">
        <x:v>-109.0957094575</x:v>
      </x:c>
      <x:c r="N12" s="16" t="n">
        <x:v>63.1057711671</x:v>
      </x:c>
      <x:c r="O12" s="16" t="n">
        <x:v>74.3607408219</x:v>
      </x:c>
      <x:c r="P12" s="16" t="n">
        <x:v>848.7168064877</x:v>
      </x:c>
      <x:c r="Q12" s="16" t="n">
        <x:v>196.5881683068</x:v>
      </x:c>
      <x:c r="R12" s="16" t="n">
        <x:v>525.8209672767</x:v>
      </x:c>
    </x:row>
    <x:row r="13">
      <x:c r="A13" s="15" t="n">
        <x:v>40513</x:v>
      </x:c>
      <x:c r="B13" s="16"/>
      <x:c r="C13" s="16" t="n">
        <x:v>2000.4772232766</x:v>
      </x:c>
      <x:c r="D13" s="16" t="n">
        <x:v>28.3312648767</x:v>
      </x:c>
      <x:c r="E13" s="16"/>
      <x:c r="F13" s="16" t="n">
        <x:v>96.9770278575</x:v>
      </x:c>
      <x:c r="G13" s="16" t="n">
        <x:v>878.9585779726</x:v>
      </x:c>
      <x:c r="H13" s="16"/>
      <x:c r="I13" s="16" t="n">
        <x:v>411.3737242301</x:v>
      </x:c>
      <x:c r="J13" s="16"/>
      <x:c r="K13" s="16" t="n">
        <x:v>2055.3926617863</x:v>
      </x:c>
      <x:c r="L13" s="16" t="n">
        <x:v>2631.4597411069</x:v>
      </x:c>
      <x:c r="M13" s="16" t="n">
        <x:v>-224.0295459068</x:v>
      </x:c>
      <x:c r="N13" s="16" t="n">
        <x:v>144.4254151233</x:v>
      </x:c>
      <x:c r="O13" s="16" t="n">
        <x:v>78.9943411726</x:v>
      </x:c>
      <x:c r="P13" s="16" t="n">
        <x:v>654.6666197918</x:v>
      </x:c>
      <x:c r="Q13" s="16" t="n">
        <x:v>178.2416663671</x:v>
      </x:c>
      <x:c r="R13" s="16" t="n">
        <x:v>273.1586709041</x:v>
      </x:c>
    </x:row>
    <x:row r="14">
      <x:c r="A14" s="15" t="n">
        <x:v>40544</x:v>
      </x:c>
      <x:c r="B14" s="16"/>
      <x:c r="C14" s="16" t="n">
        <x:v>2394.4592235831</x:v>
      </x:c>
      <x:c r="D14" s="16" t="n">
        <x:v>24.6764865059</x:v>
      </x:c>
      <x:c r="E14" s="16"/>
      <x:c r="F14" s="16" t="n">
        <x:v>230.6062074902</x:v>
      </x:c>
      <x:c r="G14" s="16" t="n">
        <x:v>907.9201672599</x:v>
      </x:c>
      <x:c r="H14" s="16"/>
      <x:c r="I14" s="16" t="n">
        <x:v>354.435928523</x:v>
      </x:c>
      <x:c r="J14" s="16"/>
      <x:c r="K14" s="16" t="n">
        <x:v>1721.0086604551</x:v>
      </x:c>
      <x:c r="L14" s="16" t="n">
        <x:v>2300.2222830777</x:v>
      </x:c>
      <x:c r="M14" s="16" t="n">
        <x:v>-167.0934807446</x:v>
      </x:c>
      <x:c r="N14" s="16" t="n">
        <x:v>160.0191124964</x:v>
      </x:c>
      <x:c r="O14" s="16" t="n">
        <x:v>32.0514815272</x:v>
      </x:c>
      <x:c r="P14" s="16" t="n">
        <x:v>863.3215598111</x:v>
      </x:c>
      <x:c r="Q14" s="16" t="n">
        <x:v>183.0831054343</x:v>
      </x:c>
      <x:c r="R14" s="16" t="n">
        <x:v>551.7711295483</x:v>
      </x:c>
    </x:row>
    <x:row r="15">
      <x:c r="A15" s="15" t="n">
        <x:v>40575</x:v>
      </x:c>
      <x:c r="B15" s="16"/>
      <x:c r="C15" s="16" t="n">
        <x:v>1842.0960589438</x:v>
      </x:c>
      <x:c r="D15" s="16" t="n">
        <x:v>16.8689140876</x:v>
      </x:c>
      <x:c r="E15" s="16"/>
      <x:c r="F15" s="16" t="n">
        <x:v>198.9795231303</x:v>
      </x:c>
      <x:c r="G15" s="16" t="n">
        <x:v>660.4078260013</x:v>
      </x:c>
      <x:c r="H15" s="16"/>
      <x:c r="I15" s="16" t="n">
        <x:v>380.4848974473</x:v>
      </x:c>
      <x:c r="J15" s="16"/>
      <x:c r="K15" s="16" t="n">
        <x:v>2398.1840262735</x:v>
      </x:c>
      <x:c r="L15" s="16" t="n">
        <x:v>1953.1499804214</x:v>
      </x:c>
      <x:c r="M15" s="16" t="n">
        <x:v>-277.708711751</x:v>
      </x:c>
      <x:c r="N15" s="16" t="n">
        <x:v>167.8632719704</x:v>
      </x:c>
      <x:c r="O15" s="16" t="n">
        <x:v>-0.4919880379</x:v>
      </x:c>
      <x:c r="P15" s="16" t="n">
        <x:v>700.8308424667</x:v>
      </x:c>
      <x:c r="Q15" s="16" t="n">
        <x:v>195.7854103416</x:v>
      </x:c>
      <x:c r="R15" s="16" t="n">
        <x:v>1033.2067748534</x:v>
      </x:c>
    </x:row>
    <x:row r="16">
      <x:c r="A16" s="15" t="n">
        <x:v>40603</x:v>
      </x:c>
      <x:c r="B16" s="16"/>
      <x:c r="C16" s="16" t="n">
        <x:v>1916.0846968306</x:v>
      </x:c>
      <x:c r="D16" s="16" t="n">
        <x:v>3.4586970055</x:v>
      </x:c>
      <x:c r="E16" s="16"/>
      <x:c r="F16" s="16" t="n">
        <x:v>38.4078943825</x:v>
      </x:c>
      <x:c r="G16" s="16" t="n">
        <x:v>820.8580105792</x:v>
      </x:c>
      <x:c r="H16" s="16"/>
      <x:c r="I16" s="16" t="n">
        <x:v>169.3250103607</x:v>
      </x:c>
      <x:c r="J16" s="16"/>
      <x:c r="K16" s="16" t="n">
        <x:v>3287.0759588197</x:v>
      </x:c>
      <x:c r="L16" s="16" t="n">
        <x:v>1159.6064276284</x:v>
      </x:c>
      <x:c r="M16" s="16" t="n">
        <x:v>-70.6009716284</x:v>
      </x:c>
      <x:c r="N16" s="16" t="n">
        <x:v>129.4171546667</x:v>
      </x:c>
      <x:c r="O16" s="16" t="n">
        <x:v>-12.309672918</x:v>
      </x:c>
      <x:c r="P16" s="16" t="n">
        <x:v>153.2903012022</x:v>
      </x:c>
      <x:c r="Q16" s="16" t="n">
        <x:v>191.1630379891</x:v>
      </x:c>
      <x:c r="R16" s="16" t="n">
        <x:v>821.1079720219</x:v>
      </x:c>
    </x:row>
    <x:row r="17">
      <x:c r="A17" s="15" t="n">
        <x:v>40634</x:v>
      </x:c>
      <x:c r="B17" s="16"/>
      <x:c r="C17" s="16" t="n">
        <x:v>919.8283932677</x:v>
      </x:c>
      <x:c r="D17" s="16" t="n">
        <x:v>14.7984848087</x:v>
      </x:c>
      <x:c r="E17" s="16"/>
      <x:c r="F17" s="16" t="n">
        <x:v>-127.7114663169</x:v>
      </x:c>
      <x:c r="G17" s="16" t="n">
        <x:v>690.5763550601</x:v>
      </x:c>
      <x:c r="H17" s="16" t="n">
        <x:v>7.0662504918</x:v>
      </x:c>
      <x:c r="I17" s="16" t="n">
        <x:v>31.7074332678</x:v>
      </x:c>
      <x:c r="J17" s="16"/>
      <x:c r="K17" s="16" t="n">
        <x:v>3457.9179408087</x:v>
      </x:c>
      <x:c r="L17" s="16" t="n">
        <x:v>15.0870754973</x:v>
      </x:c>
      <x:c r="M17" s="16" t="n">
        <x:v>-29.6168605027</x:v>
      </x:c>
      <x:c r="N17" s="16" t="n">
        <x:v>138.6448865137</x:v>
      </x:c>
      <x:c r="O17" s="16" t="n">
        <x:v>3.6461583388</x:v>
      </x:c>
      <x:c r="P17" s="16" t="n">
        <x:v>-137.8494503169</x:v>
      </x:c>
      <x:c r="Q17" s="16" t="n">
        <x:v>158.5992147322</x:v>
      </x:c>
      <x:c r="R17" s="16" t="n">
        <x:v>413.9240554317</x:v>
      </x:c>
    </x:row>
    <x:row r="18">
      <x:c r="A18" s="15" t="n">
        <x:v>40664</x:v>
      </x:c>
      <x:c r="B18" s="16"/>
      <x:c r="C18" s="16" t="n">
        <x:v>1442.1358317813</x:v>
      </x:c>
      <x:c r="D18" s="16" t="n">
        <x:v>30.2254464699</x:v>
      </x:c>
      <x:c r="E18" s="16"/>
      <x:c r="F18" s="16" t="n">
        <x:v>120.1348196721</x:v>
      </x:c>
      <x:c r="G18" s="16" t="n">
        <x:v>927.5541574645</x:v>
      </x:c>
      <x:c r="H18" s="16" t="n">
        <x:v>-1.4578411366</x:v>
      </x:c>
      <x:c r="I18" s="16" t="n">
        <x:v>-24.2871241093</x:v>
      </x:c>
      <x:c r="J18" s="16"/>
      <x:c r="K18" s="16" t="n">
        <x:v>1037.7825430382</x:v>
      </x:c>
      <x:c r="L18" s="16" t="n">
        <x:v>316.3496762404</x:v>
      </x:c>
      <x:c r="M18" s="16" t="n">
        <x:v>228.8494567869</x:v>
      </x:c>
      <x:c r="N18" s="16" t="n">
        <x:v>172.7138703388</x:v>
      </x:c>
      <x:c r="O18" s="16" t="n">
        <x:v>5.1812686339</x:v>
      </x:c>
      <x:c r="P18" s="16" t="n">
        <x:v>-171.0801878033</x:v>
      </x:c>
      <x:c r="Q18" s="16" t="n">
        <x:v>100.0549333552</x:v>
      </x:c>
      <x:c r="R18" s="16" t="n">
        <x:v>-422.368143388</x:v>
      </x:c>
    </x:row>
    <x:row r="19">
      <x:c r="A19" s="15" t="n">
        <x:v>40695</x:v>
      </x:c>
      <x:c r="B19" s="16"/>
      <x:c r="C19" s="16" t="n">
        <x:v>1776.692917858</x:v>
      </x:c>
      <x:c r="D19" s="16" t="n">
        <x:v>66.2596575301</x:v>
      </x:c>
      <x:c r="E19" s="16"/>
      <x:c r="F19" s="16" t="n">
        <x:v>355.0890963934</x:v>
      </x:c>
      <x:c r="G19" s="16" t="n">
        <x:v>703.1867026011</x:v>
      </x:c>
      <x:c r="H19" s="16" t="n">
        <x:v>-24.4242222514</x:v>
      </x:c>
      <x:c r="I19" s="16" t="n">
        <x:v>39.5872360219</x:v>
      </x:c>
      <x:c r="J19" s="16"/>
      <x:c r="K19" s="16" t="n">
        <x:v>-439.0388120655</x:v>
      </x:c>
      <x:c r="L19" s="16" t="n">
        <x:v>1341.312901246</x:v>
      </x:c>
      <x:c r="M19" s="16" t="n">
        <x:v>56.0845537049</x:v>
      </x:c>
      <x:c r="N19" s="16" t="n">
        <x:v>216.0206837596</x:v>
      </x:c>
      <x:c r="O19" s="16" t="n">
        <x:v>27.0150508415</x:v>
      </x:c>
      <x:c r="P19" s="16" t="n">
        <x:v>1712.8075026885</x:v>
      </x:c>
      <x:c r="Q19" s="16" t="n">
        <x:v>36.1470590601</x:v>
      </x:c>
      <x:c r="R19" s="16" t="n">
        <x:v>176.1018451585</x:v>
      </x:c>
    </x:row>
    <x:row r="20">
      <x:c r="A20" s="15" t="n">
        <x:v>40725</x:v>
      </x:c>
      <x:c r="B20" s="16"/>
      <x:c r="C20" s="16" t="n">
        <x:v>1553.8078845902</x:v>
      </x:c>
      <x:c r="D20" s="16" t="n">
        <x:v>78.3944760656</x:v>
      </x:c>
      <x:c r="E20" s="16"/>
      <x:c r="F20" s="16" t="n">
        <x:v>-128.1473867541</x:v>
      </x:c>
      <x:c r="G20" s="16" t="n">
        <x:v>942.0274609836</x:v>
      </x:c>
      <x:c r="H20" s="16" t="n">
        <x:v>-15.8526162186</x:v>
      </x:c>
      <x:c r="I20" s="16" t="n">
        <x:v>20.0552459891</x:v>
      </x:c>
      <x:c r="J20" s="16"/>
      <x:c r="K20" s="16" t="n">
        <x:v>-2844.2278346667</x:v>
      </x:c>
      <x:c r="L20" s="16" t="n">
        <x:v>2823.5055482404</x:v>
      </x:c>
      <x:c r="M20" s="16" t="n">
        <x:v>-172.1790121967</x:v>
      </x:c>
      <x:c r="N20" s="16" t="n">
        <x:v>137.2619678033</x:v>
      </x:c>
      <x:c r="O20" s="16" t="n">
        <x:v>4.2165780984</x:v>
      </x:c>
      <x:c r="P20" s="16" t="n">
        <x:v>2622.5377231038</x:v>
      </x:c>
      <x:c r="Q20" s="16" t="n">
        <x:v>-400.0398819454</x:v>
      </x:c>
      <x:c r="R20" s="16" t="n">
        <x:v>381.772981683</x:v>
      </x:c>
    </x:row>
    <x:row r="21">
      <x:c r="A21" s="15" t="n">
        <x:v>40756</x:v>
      </x:c>
      <x:c r="B21" s="16"/>
      <x:c r="C21" s="16" t="n">
        <x:v>177.8465573771</x:v>
      </x:c>
      <x:c r="D21" s="16" t="n">
        <x:v>82.8954488306</x:v>
      </x:c>
      <x:c r="E21" s="16"/>
      <x:c r="F21" s="16" t="n">
        <x:v>-697.7874584481</x:v>
      </x:c>
      <x:c r="G21" s="16" t="n">
        <x:v>632.3449730273</x:v>
      </x:c>
      <x:c r="H21" s="16" t="n">
        <x:v>-114.5768501858</x:v>
      </x:c>
      <x:c r="I21" s="16" t="n">
        <x:v>-95.4262142951</x:v>
      </x:c>
      <x:c r="J21" s="16"/>
      <x:c r="K21" s="16" t="n">
        <x:v>-3665.6012719562</x:v>
      </x:c>
      <x:c r="L21" s="16" t="n">
        <x:v>3763.4324071912</x:v>
      </x:c>
      <x:c r="M21" s="16" t="n">
        <x:v>-611.2014485683</x:v>
      </x:c>
      <x:c r="N21" s="16" t="n">
        <x:v>31.0440601749</x:v>
      </x:c>
      <x:c r="O21" s="16" t="n">
        <x:v>13.9163348634</x:v>
      </x:c>
      <x:c r="P21" s="16" t="n">
        <x:v>2589.3242932459</x:v>
      </x:c>
      <x:c r="Q21" s="16" t="n">
        <x:v>-572.0910093333</x:v>
      </x:c>
      <x:c r="R21" s="16" t="n">
        <x:v>1098.0686842405</x:v>
      </x:c>
    </x:row>
    <x:row r="22">
      <x:c r="A22" s="15" t="n">
        <x:v>40787</x:v>
      </x:c>
      <x:c r="B22" s="16"/>
      <x:c r="C22" s="16" t="n">
        <x:v>-567.6055641531</x:v>
      </x:c>
      <x:c r="D22" s="16" t="n">
        <x:v>71.4132329617</x:v>
      </x:c>
      <x:c r="E22" s="16"/>
      <x:c r="F22" s="16" t="n">
        <x:v>-903.8426572241</x:v>
      </x:c>
      <x:c r="G22" s="16" t="n">
        <x:v>800.1365652678</x:v>
      </x:c>
      <x:c r="H22" s="16" t="n">
        <x:v>-122.0922657924</x:v>
      </x:c>
      <x:c r="I22" s="16" t="n">
        <x:v>-14.997372153</x:v>
      </x:c>
      <x:c r="J22" s="16"/>
      <x:c r="K22" s="16" t="n">
        <x:v>-2728.8534597596</x:v>
      </x:c>
      <x:c r="L22" s="16" t="n">
        <x:v>2784.6269957595</x:v>
      </x:c>
      <x:c r="M22" s="16" t="n">
        <x:v>-533.4787095082</x:v>
      </x:c>
      <x:c r="N22" s="16" t="n">
        <x:v>8.0917302295</x:v>
      </x:c>
      <x:c r="O22" s="16" t="n">
        <x:v>30.2085099016</x:v>
      </x:c>
      <x:c r="P22" s="16" t="n">
        <x:v>746.3292432787</x:v>
      </x:c>
      <x:c r="Q22" s="16" t="n">
        <x:v>-569.2092428415</x:v>
      </x:c>
      <x:c r="R22" s="16" t="n">
        <x:v>347.3670907104</x:v>
      </x:c>
    </x:row>
    <x:row r="23">
      <x:c r="A23" s="15" t="n">
        <x:v>40817</x:v>
      </x:c>
      <x:c r="B23" s="16"/>
      <x:c r="C23" s="16" t="n">
        <x:v>-780.8263260327</x:v>
      </x:c>
      <x:c r="D23" s="16" t="n">
        <x:v>118.1395364372</x:v>
      </x:c>
      <x:c r="E23" s="16"/>
      <x:c r="F23" s="16" t="n">
        <x:v>-167.2699516503</x:v>
      </x:c>
      <x:c r="G23" s="16" t="n">
        <x:v>838.6993611694</x:v>
      </x:c>
      <x:c r="H23" s="16" t="n">
        <x:v>-162.2510222076</x:v>
      </x:c>
      <x:c r="I23" s="16" t="n">
        <x:v>-294.9765603497</x:v>
      </x:c>
      <x:c r="J23" s="16"/>
      <x:c r="K23" s="16" t="n">
        <x:v>-1780.4113613115</x:v>
      </x:c>
      <x:c r="L23" s="16" t="n">
        <x:v>837.2772838902</x:v>
      </x:c>
      <x:c r="M23" s="16" t="n">
        <x:v>-315.6470417486</x:v>
      </x:c>
      <x:c r="N23" s="16" t="n">
        <x:v>-6.2788387814</x:v>
      </x:c>
      <x:c r="O23" s="16" t="n">
        <x:v>69.7857916503</x:v>
      </x:c>
      <x:c r="P23" s="16" t="n">
        <x:v>1.2287133552</x:v>
      </x:c>
      <x:c r="Q23" s="16" t="n">
        <x:v>-197.6571506011</x:v>
      </x:c>
      <x:c r="R23" s="16" t="n">
        <x:v>-149.2800584044</x:v>
      </x:c>
    </x:row>
    <x:row r="24">
      <x:c r="A24" s="15" t="n">
        <x:v>40848</x:v>
      </x:c>
      <x:c r="B24" s="16"/>
      <x:c r="C24" s="16" t="n">
        <x:v>89.6932427542</x:v>
      </x:c>
      <x:c r="D24" s="16" t="n">
        <x:v>119.4540464262</x:v>
      </x:c>
      <x:c r="E24" s="16"/>
      <x:c r="F24" s="16" t="n">
        <x:v>388.2556730055</x:v>
      </x:c>
      <x:c r="G24" s="16" t="n">
        <x:v>881.959127541</x:v>
      </x:c>
      <x:c r="H24" s="16" t="n">
        <x:v>-145.9560993005</x:v>
      </x:c>
      <x:c r="I24" s="16" t="n">
        <x:v>-291.7119560218</x:v>
      </x:c>
      <x:c r="J24" s="16"/>
      <x:c r="K24" s="16" t="n">
        <x:v>-1337.1850117596</x:v>
      </x:c>
      <x:c r="L24" s="16" t="n">
        <x:v>717.0045815728</x:v>
      </x:c>
      <x:c r="M24" s="16" t="n">
        <x:v>-74.8718296831</x:v>
      </x:c>
      <x:c r="N24" s="16" t="n">
        <x:v>15.4890599016</x:v>
      </x:c>
      <x:c r="O24" s="16" t="n">
        <x:v>72.3041916503</x:v>
      </x:c>
      <x:c r="P24" s="16" t="n">
        <x:v>194.0337050929</x:v>
      </x:c>
      <x:c r="Q24" s="16" t="n">
        <x:v>91.5917343388</x:v>
      </x:c>
      <x:c r="R24" s="16" t="n">
        <x:v>-881.6729353443</x:v>
      </x:c>
    </x:row>
    <x:row r="25">
      <x:c r="A25" s="15" t="n">
        <x:v>40878</x:v>
      </x:c>
      <x:c r="B25" s="16"/>
      <x:c r="C25" s="16" t="n">
        <x:v>-380.1419778797</x:v>
      </x:c>
      <x:c r="D25" s="16" t="n">
        <x:v>117.9300875191</x:v>
      </x:c>
      <x:c r="E25" s="16"/>
      <x:c r="F25" s="16" t="n">
        <x:v>644.8907687869</x:v>
      </x:c>
      <x:c r="G25" s="16" t="n">
        <x:v>772.3821825137</x:v>
      </x:c>
      <x:c r="H25" s="16" t="n">
        <x:v>-109.5331655574</x:v>
      </x:c>
      <x:c r="I25" s="16" t="n">
        <x:v>-310.818158776</x:v>
      </x:c>
      <x:c r="J25" s="16" t="n">
        <x:v>25.2251472787</x:v>
      </x:c>
      <x:c r="K25" s="16" t="n">
        <x:v>-3177.8135977268</x:v>
      </x:c>
      <x:c r="L25" s="16" t="n">
        <x:v>-736.5474925603</x:v>
      </x:c>
      <x:c r="M25" s="16" t="n">
        <x:v>-218.4653011475</x:v>
      </x:c>
      <x:c r="N25" s="16" t="n">
        <x:v>90.4655476284</x:v>
      </x:c>
      <x:c r="O25" s="16" t="n">
        <x:v>58.7312101421</x:v>
      </x:c>
      <x:c r="P25" s="16" t="n">
        <x:v>463.1427097705</x:v>
      </x:c>
      <x:c r="Q25" s="16" t="n">
        <x:v>237.3398752787</x:v>
      </x:c>
      <x:c r="R25" s="16" t="n">
        <x:v>-528.367155235</x:v>
      </x:c>
    </x:row>
    <x:row r="26">
      <x:c r="A26" s="15" t="n">
        <x:v>40909</x:v>
      </x:c>
      <x:c r="B26" s="16"/>
      <x:c r="C26" s="16" t="n">
        <x:v>-175.6489082739</x:v>
      </x:c>
      <x:c r="D26" s="16" t="n">
        <x:v>32.9373105388</x:v>
      </x:c>
      <x:c r="E26" s="16"/>
      <x:c r="F26" s="16" t="n">
        <x:v>648.1310094612</x:v>
      </x:c>
      <x:c r="G26" s="16" t="n">
        <x:v>534.0668821826</x:v>
      </x:c>
      <x:c r="H26" s="16" t="n">
        <x:v>-74.7391860822</x:v>
      </x:c>
      <x:c r="I26" s="16" t="n">
        <x:v>-96.3097356712</x:v>
      </x:c>
      <x:c r="J26" s="16" t="n">
        <x:v>10.7578861735</x:v>
      </x:c>
      <x:c r="K26" s="16" t="n">
        <x:v>-4697.3593033059</x:v>
      </x:c>
      <x:c r="L26" s="16" t="n">
        <x:v>-128.178011282</x:v>
      </x:c>
      <x:c r="M26" s="16" t="n">
        <x:v>-210.0897914155</x:v>
      </x:c>
      <x:c r="N26" s="16" t="n">
        <x:v>150.5540119498</x:v>
      </x:c>
      <x:c r="O26" s="16" t="n">
        <x:v>118.8326762374</x:v>
      </x:c>
      <x:c r="P26" s="16" t="n">
        <x:v>325.0412349224</x:v>
      </x:c>
      <x:c r="Q26" s="16" t="n">
        <x:v>304.1990245114</x:v>
      </x:c>
      <x:c r="R26" s="16" t="n">
        <x:v>158.6270185206</x:v>
      </x:c>
    </x:row>
    <x:row r="27">
      <x:c r="A27" s="15" t="n">
        <x:v>40940</x:v>
      </x:c>
      <x:c r="B27" s="16"/>
      <x:c r="C27" s="16" t="n">
        <x:v>-245.8885941331</x:v>
      </x:c>
      <x:c r="D27" s="16" t="n">
        <x:v>-17.6322965376</x:v>
      </x:c>
      <x:c r="E27" s="16"/>
      <x:c r="F27" s="16" t="n">
        <x:v>683.8605034183</x:v>
      </x:c>
      <x:c r="G27" s="16" t="n">
        <x:v>596.2014217993</x:v>
      </x:c>
      <x:c r="H27" s="16" t="n">
        <x:v>29.6966097809</x:v>
      </x:c>
      <x:c r="I27" s="16" t="n">
        <x:v>-214.0382675252</x:v>
      </x:c>
      <x:c r="J27" s="16" t="n">
        <x:v>9.7542423104</x:v>
      </x:c>
      <x:c r="K27" s="16" t="n">
        <x:v>-7330.6234221546</x:v>
      </x:c>
      <x:c r="L27" s="16" t="n">
        <x:v>-3327.8498034171</x:v>
      </x:c>
      <x:c r="M27" s="16" t="n">
        <x:v>-194.8958879571</x:v>
      </x:c>
      <x:c r="N27" s="16" t="n">
        <x:v>153.0725236008</x:v>
      </x:c>
      <x:c r="O27" s="16" t="n">
        <x:v>167.8458165178</x:v>
      </x:c>
      <x:c r="P27" s="16" t="n">
        <x:v>-230.326361429</x:v>
      </x:c>
      <x:c r="Q27" s="16" t="n">
        <x:v>252.2080688977</x:v>
      </x:c>
      <x:c r="R27" s="16" t="n">
        <x:v>444.5521546319</x:v>
      </x:c>
    </x:row>
    <x:row r="28">
      <x:c r="A28" s="15" t="n">
        <x:v>40969</x:v>
      </x:c>
      <x:c r="B28" s="16"/>
      <x:c r="C28" s="16" t="n">
        <x:v>730.4697349059</x:v>
      </x:c>
      <x:c r="D28" s="16" t="n">
        <x:v>8.6965138713</x:v>
      </x:c>
      <x:c r="E28" s="16"/>
      <x:c r="F28" s="16" t="n">
        <x:v>610.3035218804</x:v>
      </x:c>
      <x:c r="G28" s="16" t="n">
        <x:v>1123.4983853207</x:v>
      </x:c>
      <x:c r="H28" s="16" t="n">
        <x:v>30.5921912253</x:v>
      </x:c>
      <x:c r="I28" s="16" t="n">
        <x:v>-241.1493999905</x:v>
      </x:c>
      <x:c r="J28" s="16" t="n">
        <x:v>22.496789936</x:v>
      </x:c>
      <x:c r="K28" s="16" t="n">
        <x:v>-6046.1872208403</x:v>
      </x:c>
      <x:c r="L28" s="16" t="n">
        <x:v>-2919.9264269019</x:v>
      </x:c>
      <x:c r="M28" s="16" t="n">
        <x:v>-159.1191010646</x:v>
      </x:c>
      <x:c r="N28" s="16" t="n">
        <x:v>137.7396659762</x:v>
      </x:c>
      <x:c r="O28" s="16" t="n">
        <x:v>184.9260531122</x:v>
      </x:c>
      <x:c r="P28" s="16" t="n">
        <x:v>-255.5725479857</x:v>
      </x:c>
      <x:c r="Q28" s="16" t="n">
        <x:v>155.3328353137</x:v>
      </x:c>
      <x:c r="R28" s="16" t="n">
        <x:v>417.5637547634</x:v>
      </x:c>
    </x:row>
    <x:row r="29">
      <x:c r="A29" s="15" t="n">
        <x:v>41000</x:v>
      </x:c>
      <x:c r="B29" s="16"/>
      <x:c r="C29" s="16" t="n">
        <x:v>464.3038755068</x:v>
      </x:c>
      <x:c r="D29" s="16" t="n">
        <x:v>109.179565589</x:v>
      </x:c>
      <x:c r="E29" s="16"/>
      <x:c r="F29" s="16" t="n">
        <x:v>449.9091550685</x:v>
      </x:c>
      <x:c r="G29" s="16" t="n">
        <x:v>484.9267878904</x:v>
      </x:c>
      <x:c r="H29" s="16" t="n">
        <x:v>16.6100273973</x:v>
      </x:c>
      <x:c r="I29" s="16" t="n">
        <x:v>-283.789970411</x:v>
      </x:c>
      <x:c r="J29" s="16" t="n">
        <x:v>13.0819559452</x:v>
      </x:c>
      <x:c r="K29" s="16" t="n">
        <x:v>-4591.8807961644</x:v>
      </x:c>
      <x:c r="L29" s="16" t="n">
        <x:v>-3435.373607452</x:v>
      </x:c>
      <x:c r="M29" s="16" t="n">
        <x:v>-93.1018610411</x:v>
      </x:c>
      <x:c r="N29" s="16" t="n">
        <x:v>120.6531343014</x:v>
      </x:c>
      <x:c r="O29" s="16" t="n">
        <x:v>144.9535456438</x:v>
      </x:c>
      <x:c r="P29" s="16" t="n">
        <x:v>-596.8203879452</x:v>
      </x:c>
      <x:c r="Q29" s="16" t="n">
        <x:v>40.9099756712</x:v>
      </x:c>
      <x:c r="R29" s="16" t="n">
        <x:v>569.4421146301</x:v>
      </x:c>
    </x:row>
    <x:row r="30">
      <x:c r="A30" s="15" t="n">
        <x:v>41030</x:v>
      </x:c>
      <x:c r="B30" s="16"/>
      <x:c r="C30" s="16" t="n">
        <x:v>-179.5731427945</x:v>
      </x:c>
      <x:c r="D30" s="16" t="n">
        <x:v>176.9783914959</x:v>
      </x:c>
      <x:c r="E30" s="16"/>
      <x:c r="F30" s="16" t="n">
        <x:v>-237.0212103014</x:v>
      </x:c>
      <x:c r="G30" s="16" t="n">
        <x:v>380.4381511891</x:v>
      </x:c>
      <x:c r="H30" s="16" t="n">
        <x:v>-37.1945966466</x:v>
      </x:c>
      <x:c r="I30" s="16" t="n">
        <x:v>-451.6962240877</x:v>
      </x:c>
      <x:c r="J30" s="16" t="n">
        <x:v>13.6170082192</x:v>
      </x:c>
      <x:c r="K30" s="16" t="n">
        <x:v>-396.1882200548</x:v>
      </x:c>
      <x:c r="L30" s="16" t="n">
        <x:v>-1739.8700140712</x:v>
      </x:c>
      <x:c r="M30" s="16" t="n">
        <x:v>-14.7580716712</x:v>
      </x:c>
      <x:c r="N30" s="16" t="n">
        <x:v>60.6967541041</x:v>
      </x:c>
      <x:c r="O30" s="16" t="n">
        <x:v>105.312082411</x:v>
      </x:c>
      <x:c r="P30" s="16" t="n">
        <x:v>-457.7572927123</x:v>
      </x:c>
      <x:c r="Q30" s="16" t="n">
        <x:v>-38.4077411507</x:v>
      </x:c>
      <x:c r="R30" s="16" t="n">
        <x:v>733.5388811397</x:v>
      </x:c>
    </x:row>
    <x:row r="31">
      <x:c r="A31" s="15" t="n">
        <x:v>41061</x:v>
      </x:c>
      <x:c r="B31" s="16"/>
      <x:c r="C31" s="16" t="n">
        <x:v>-984.2081665754</x:v>
      </x:c>
      <x:c r="D31" s="16" t="n">
        <x:v>158.5033913863</x:v>
      </x:c>
      <x:c r="E31" s="16"/>
      <x:c r="F31" s="16" t="n">
        <x:v>-443.5963651507</x:v>
      </x:c>
      <x:c r="G31" s="16" t="n">
        <x:v>-436.465270422</x:v>
      </x:c>
      <x:c r="H31" s="16" t="n">
        <x:v>-52.015941611</x:v>
      </x:c>
      <x:c r="I31" s="16" t="n">
        <x:v>-881.2751880658</x:v>
      </x:c>
      <x:c r="J31" s="16" t="n">
        <x:v>14.232992789</x:v>
      </x:c>
      <x:c r="K31" s="16" t="n">
        <x:v>-62.2609085371</x:v>
      </x:c>
      <x:c r="L31" s="16" t="n">
        <x:v>-3369.5266512658</x:v>
      </x:c>
      <x:c r="M31" s="16" t="n">
        <x:v>59.6414163288</x:v>
      </x:c>
      <x:c r="N31" s="16" t="n">
        <x:v>44.556784274</x:v>
      </x:c>
      <x:c r="O31" s="16" t="n">
        <x:v>79.7611544548</x:v>
      </x:c>
      <x:c r="P31" s="16" t="n">
        <x:v>-650.6286686685</x:v>
      </x:c>
      <x:c r="Q31" s="16" t="n">
        <x:v>-22.2991342685</x:v>
      </x:c>
      <x:c r="R31" s="16" t="n">
        <x:v>779.7606479781</x:v>
      </x:c>
    </x:row>
    <x:row r="32">
      <x:c r="A32" s="15" t="n">
        <x:v>41091</x:v>
      </x:c>
      <x:c r="B32" s="16"/>
      <x:c r="C32" s="16" t="n">
        <x:v>-1201.5258595945</x:v>
      </x:c>
      <x:c r="D32" s="16" t="n">
        <x:v>101.7965485589</x:v>
      </x:c>
      <x:c r="E32" s="16"/>
      <x:c r="F32" s="16" t="n">
        <x:v>-454.3069134904</x:v>
      </x:c>
      <x:c r="G32" s="16" t="n">
        <x:v>110.9042979288</x:v>
      </x:c>
      <x:c r="H32" s="16" t="n">
        <x:v>-43.7106268932</x:v>
      </x:c>
      <x:c r="I32" s="16" t="n">
        <x:v>-911.4453948932</x:v>
      </x:c>
      <x:c r="J32" s="16" t="n">
        <x:v>-4.5603406027</x:v>
      </x:c>
      <x:c r="K32" s="16" t="n">
        <x:v>-3970.0095224712</x:v>
      </x:c>
      <x:c r="L32" s="16" t="n">
        <x:v>-2519.0604331397</x:v>
      </x:c>
      <x:c r="M32" s="16" t="n">
        <x:v>111.3842220274</x:v>
      </x:c>
      <x:c r="N32" s="16" t="n">
        <x:v>60.8875886795</x:v>
      </x:c>
      <x:c r="O32" s="16" t="n">
        <x:v>74.8148648329</x:v>
      </x:c>
      <x:c r="P32" s="16" t="n">
        <x:v>-297.833235989</x:v>
      </x:c>
      <x:c r="Q32" s="16" t="n">
        <x:v>98.7797519342</x:v>
      </x:c>
      <x:c r="R32" s="16" t="n">
        <x:v>286.9086122959</x:v>
      </x:c>
    </x:row>
    <x:row r="33">
      <x:c r="A33" s="15" t="n">
        <x:v>41122</x:v>
      </x:c>
      <x:c r="B33" s="16"/>
      <x:c r="C33" s="16" t="n">
        <x:v>-943.280882674</x:v>
      </x:c>
      <x:c r="D33" s="16" t="n">
        <x:v>66.4759650192</x:v>
      </x:c>
      <x:c r="E33" s="16"/>
      <x:c r="F33" s="16" t="n">
        <x:v>31.4395946082</x:v>
      </x:c>
      <x:c r="G33" s="16" t="n">
        <x:v>5.9705793753</x:v>
      </x:c>
      <x:c r="H33" s="16" t="n">
        <x:v>-23.5707159671</x:v>
      </x:c>
      <x:c r="I33" s="16" t="n">
        <x:v>-787.0068526466</x:v>
      </x:c>
      <x:c r="J33" s="16" t="n">
        <x:v>27.3013121753</x:v>
      </x:c>
      <x:c r="K33" s="16" t="n">
        <x:v>-6691.6227216219</x:v>
      </x:c>
      <x:c r="L33" s="16" t="n">
        <x:v>-3169.3300368438</x:v>
      </x:c>
      <x:c r="M33" s="16" t="n">
        <x:v>124.3447883397</x:v>
      </x:c>
      <x:c r="N33" s="16" t="n">
        <x:v>119.1560643507</x:v>
      </x:c>
      <x:c r="O33" s="16" t="n">
        <x:v>112.4623584438</x:v>
      </x:c>
      <x:c r="P33" s="16" t="n">
        <x:v>-565.5381539068</x:v>
      </x:c>
      <x:c r="Q33" s="16" t="n">
        <x:v>-31.6535837808</x:v>
      </x:c>
      <x:c r="R33" s="16" t="n">
        <x:v>392.9061829699</x:v>
      </x:c>
    </x:row>
    <x:row r="34">
      <x:c r="A34" s="15" t="n">
        <x:v>41153</x:v>
      </x:c>
      <x:c r="B34" s="16"/>
      <x:c r="C34" s="16" t="n">
        <x:v>-607.9313120439</x:v>
      </x:c>
      <x:c r="D34" s="16" t="n">
        <x:v>25.7436407233</x:v>
      </x:c>
      <x:c r="E34" s="16"/>
      <x:c r="F34" s="16" t="n">
        <x:v>8.979706389</x:v>
      </x:c>
      <x:c r="G34" s="16" t="n">
        <x:v>-47.5844913315</x:v>
      </x:c>
      <x:c r="H34" s="16" t="n">
        <x:v>-1.9377841973</x:v>
      </x:c>
      <x:c r="I34" s="16" t="n">
        <x:v>-440.8891289753</x:v>
      </x:c>
      <x:c r="J34" s="16" t="n">
        <x:v>9.0102726137</x:v>
      </x:c>
      <x:c r="K34" s="16" t="n">
        <x:v>-10103.7896014466</x:v>
      </x:c>
      <x:c r="L34" s="16" t="n">
        <x:v>-609.2658080219</x:v>
      </x:c>
      <x:c r="M34" s="16" t="n">
        <x:v>196.5990613041</x:v>
      </x:c>
      <x:c r="N34" s="16" t="n">
        <x:v>78.0515256219</x:v>
      </x:c>
      <x:c r="O34" s="16" t="n">
        <x:v>39.7053145425</x:v>
      </x:c>
      <x:c r="P34" s="16" t="n">
        <x:v>-336.7034546849</x:v>
      </x:c>
      <x:c r="Q34" s="16" t="n">
        <x:v>-72.5909619726</x:v>
      </x:c>
      <x:c r="R34" s="16" t="n">
        <x:v>-28.3058054137</x:v>
      </x:c>
    </x:row>
    <x:row r="35">
      <x:c r="A35" s="15" t="n">
        <x:v>41183</x:v>
      </x:c>
      <x:c r="B35" s="16"/>
      <x:c r="C35" s="16" t="n">
        <x:v>-256.2531117588</x:v>
      </x:c>
      <x:c r="D35" s="16" t="n">
        <x:v>-27.2212201205</x:v>
      </x:c>
      <x:c r="E35" s="16"/>
      <x:c r="F35" s="16" t="n">
        <x:v>-64.9839819397</x:v>
      </x:c>
      <x:c r="G35" s="16" t="n">
        <x:v>122.1569365261</x:v>
      </x:c>
      <x:c r="H35" s="16" t="n">
        <x:v>-6.5515241205</x:v>
      </x:c>
      <x:c r="I35" s="16" t="n">
        <x:v>-306.1753814575</x:v>
      </x:c>
      <x:c r="J35" s="16" t="n">
        <x:v>55.2601379068</x:v>
      </x:c>
      <x:c r="K35" s="16" t="n">
        <x:v>-8362.9272675124</x:v>
      </x:c>
      <x:c r="L35" s="16" t="n">
        <x:v>-1400.3421828822</x:v>
      </x:c>
      <x:c r="M35" s="16" t="n">
        <x:v>139.2685632</x:v>
      </x:c>
      <x:c r="N35" s="16" t="n">
        <x:v>59.2441269479</x:v>
      </x:c>
      <x:c r="O35" s="16" t="n">
        <x:v>20.7636462466</x:v>
      </x:c>
      <x:c r="P35" s="16" t="n">
        <x:v>-262.1816940712</x:v>
      </x:c>
      <x:c r="Q35" s="16" t="n">
        <x:v>-67.2838906959</x:v>
      </x:c>
      <x:c r="R35" s="16" t="n">
        <x:v>-84.7568955616</x:v>
      </x:c>
    </x:row>
    <x:row r="36">
      <x:c r="A36" s="15" t="n">
        <x:v>41214</x:v>
      </x:c>
      <x:c r="B36" s="16"/>
      <x:c r="C36" s="16" t="n">
        <x:v>-1014.3051299069</x:v>
      </x:c>
      <x:c r="D36" s="16" t="n">
        <x:v>-4.374649863</x:v>
      </x:c>
      <x:c r="E36" s="16"/>
      <x:c r="F36" s="16" t="n">
        <x:v>-34.3299152657</x:v>
      </x:c>
      <x:c r="G36" s="16" t="n">
        <x:v>193.8775662027</x:v>
      </x:c>
      <x:c r="H36" s="16" t="n">
        <x:v>24.9411805808</x:v>
      </x:c>
      <x:c r="I36" s="16" t="n">
        <x:v>-59.2120596712</x:v>
      </x:c>
      <x:c r="J36" s="16" t="n">
        <x:v>28.5516540493</x:v>
      </x:c>
      <x:c r="K36" s="16" t="n">
        <x:v>-6105.1696177315</x:v>
      </x:c>
      <x:c r="L36" s="16" t="n">
        <x:v>-935.9154620712</x:v>
      </x:c>
      <x:c r="M36" s="16" t="n">
        <x:v>182.1507803178</x:v>
      </x:c>
      <x:c r="N36" s="16" t="n">
        <x:v>110.6270895781</x:v>
      </x:c>
      <x:c r="O36" s="16" t="n">
        <x:v>42.6548160877</x:v>
      </x:c>
      <x:c r="P36" s="16" t="n">
        <x:v>111.3087824658</x:v>
      </x:c>
      <x:c r="Q36" s="16" t="n">
        <x:v>11.2315957699</x:v>
      </x:c>
      <x:c r="R36" s="16" t="n">
        <x:v>-4771.5855766356</x:v>
      </x:c>
    </x:row>
    <x:row r="37">
      <x:c r="A37" s="15" t="n">
        <x:v>41244</x:v>
      </x:c>
      <x:c r="B37" s="16"/>
      <x:c r="C37" s="16" t="n">
        <x:v>-265.1008729425</x:v>
      </x:c>
      <x:c r="D37" s="16" t="n">
        <x:v>-1.5552369973</x:v>
      </x:c>
      <x:c r="E37" s="16"/>
      <x:c r="F37" s="16" t="n">
        <x:v>471.5026953644</x:v>
      </x:c>
      <x:c r="G37" s="16" t="n">
        <x:v>485.4976704</x:v>
      </x:c>
      <x:c r="H37" s="16" t="n">
        <x:v>44.5696136767</x:v>
      </x:c>
      <x:c r="I37" s="16" t="n">
        <x:v>36.8000735781</x:v>
      </x:c>
      <x:c r="J37" s="16" t="n">
        <x:v>44.8012500164</x:v>
      </x:c>
      <x:c r="K37" s="16" t="n">
        <x:v>-2356.7802704438</x:v>
      </x:c>
      <x:c r="L37" s="16" t="n">
        <x:v>-899.1212017315</x:v>
      </x:c>
      <x:c r="M37" s="16" t="n">
        <x:v>204.7247348219</x:v>
      </x:c>
      <x:c r="N37" s="16" t="n">
        <x:v>143.5003548164</x:v>
      </x:c>
      <x:c r="O37" s="16" t="n">
        <x:v>139.4123639233</x:v>
      </x:c>
      <x:c r="P37" s="16" t="n">
        <x:v>151.0325865206</x:v>
      </x:c>
      <x:c r="Q37" s="16" t="n">
        <x:v>159.4524805753</x:v>
      </x:c>
      <x:c r="R37" s="16" t="n">
        <x:v>-3352.3664619836</x:v>
      </x:c>
    </x:row>
    <x:row r="38">
      <x:c r="A38" s="15" t="n">
        <x:v>41275</x:v>
      </x:c>
      <x:c r="B38" s="16"/>
      <x:c r="C38" s="16" t="n">
        <x:v>-838.4371922412</x:v>
      </x:c>
      <x:c r="D38" s="16" t="n">
        <x:v>-62.5619129863</x:v>
      </x:c>
      <x:c r="E38" s="16"/>
      <x:c r="F38" s="16" t="n">
        <x:v>675.5611309589</x:v>
      </x:c>
      <x:c r="G38" s="16" t="n">
        <x:v>641.7276286247</x:v>
      </x:c>
      <x:c r="H38" s="16" t="n">
        <x:v>44.7689915178</x:v>
      </x:c>
      <x:c r="I38" s="16" t="n">
        <x:v>-8.2503361534</x:v>
      </x:c>
      <x:c r="J38" s="16" t="n">
        <x:v>33.8718109808</x:v>
      </x:c>
      <x:c r="K38" s="16" t="n">
        <x:v>-1137.5452383562</x:v>
      </x:c>
      <x:c r="L38" s="16" t="n">
        <x:v>748.1435285041</x:v>
      </x:c>
      <x:c r="M38" s="16" t="n">
        <x:v>324.4572993973</x:v>
      </x:c>
      <x:c r="N38" s="16" t="n">
        <x:v>130.5168406904</x:v>
      </x:c>
      <x:c r="O38" s="16" t="n">
        <x:v>279.4883913644</x:v>
      </x:c>
      <x:c r="P38" s="16" t="n">
        <x:v>-35.646022137</x:v>
      </x:c>
      <x:c r="Q38" s="16" t="n">
        <x:v>147.902002389</x:v>
      </x:c>
      <x:c r="R38" s="16" t="n">
        <x:v>-7666.7955359781</x:v>
      </x:c>
    </x:row>
    <x:row r="39">
      <x:c r="A39" s="15" t="n">
        <x:v>41306</x:v>
      </x:c>
      <x:c r="B39" s="16"/>
      <x:c r="C39" s="16" t="n">
        <x:v>-231.616248285</x:v>
      </x:c>
      <x:c r="D39" s="16" t="n">
        <x:v>-37.6775871123</x:v>
      </x:c>
      <x:c r="E39" s="16"/>
      <x:c r="F39" s="16" t="n">
        <x:v>781.7548655342</x:v>
      </x:c>
      <x:c r="G39" s="16" t="n">
        <x:v>890.0956929754</x:v>
      </x:c>
      <x:c r="H39" s="16" t="n">
        <x:v>46.8110884822</x:v>
      </x:c>
      <x:c r="I39" s="16" t="n">
        <x:v>-256.5258579616</x:v>
      </x:c>
      <x:c r="J39" s="16" t="n">
        <x:v>30.3540848219</x:v>
      </x:c>
      <x:c r="K39" s="16" t="n">
        <x:v>614.3689525699</x:v>
      </x:c>
      <x:c r="L39" s="16" t="n">
        <x:v>-1813.8887427507</x:v>
      </x:c>
      <x:c r="M39" s="16" t="n">
        <x:v>273.2776100603</x:v>
      </x:c>
      <x:c r="N39" s="16" t="n">
        <x:v>88.6140595836</x:v>
      </x:c>
      <x:c r="O39" s="16" t="n">
        <x:v>242.1064689973</x:v>
      </x:c>
      <x:c r="P39" s="16" t="n">
        <x:v>213.7802702904</x:v>
      </x:c>
      <x:c r="Q39" s="16" t="n">
        <x:v>187.6873211288</x:v>
      </x:c>
      <x:c r="R39" s="16" t="n">
        <x:v>37.3300159123</x:v>
      </x:c>
    </x:row>
    <x:row r="40">
      <x:c r="A40" s="15" t="n">
        <x:v>41334</x:v>
      </x:c>
      <x:c r="B40" s="16"/>
      <x:c r="C40" s="16" t="n">
        <x:v>-199.3986987835</x:v>
      </x:c>
      <x:c r="D40" s="16" t="n">
        <x:v>-12.9482157589</x:v>
      </x:c>
      <x:c r="E40" s="16"/>
      <x:c r="F40" s="16" t="n">
        <x:v>506.0968596164</x:v>
      </x:c>
      <x:c r="G40" s="16" t="n">
        <x:v>1039.4370902795</x:v>
      </x:c>
      <x:c r="H40" s="16" t="n">
        <x:v>17.7460136329</x:v>
      </x:c>
      <x:c r="I40" s="16" t="n">
        <x:v>-315.8507960986</x:v>
      </x:c>
      <x:c r="J40" s="16" t="n">
        <x:v>27.375546389</x:v>
      </x:c>
      <x:c r="K40" s="16" t="n">
        <x:v>-842.0888121644</x:v>
      </x:c>
      <x:c r="L40" s="16" t="n">
        <x:v>-1700.4163364822</x:v>
      </x:c>
      <x:c r="M40" s="16" t="n">
        <x:v>311.3588179671</x:v>
      </x:c>
      <x:c r="N40" s="16" t="n">
        <x:v>35.9838629589</x:v>
      </x:c>
      <x:c r="O40" s="16" t="n">
        <x:v>264.8095901808</x:v>
      </x:c>
      <x:c r="P40" s="16" t="n">
        <x:v>77.7947802301</x:v>
      </x:c>
      <x:c r="Q40" s="16" t="n">
        <x:v>101.9263480712</x:v>
      </x:c>
      <x:c r="R40" s="16" t="n">
        <x:v>-2861.5650830247</x:v>
      </x:c>
    </x:row>
    <x:row r="41">
      <x:c r="A41" s="15" t="n">
        <x:v>41365</x:v>
      </x:c>
      <x:c r="B41" s="16"/>
      <x:c r="C41" s="16" t="n">
        <x:v>1207.5108660603</x:v>
      </x:c>
      <x:c r="D41" s="16" t="n">
        <x:v>76.9810446027</x:v>
      </x:c>
      <x:c r="E41" s="16"/>
      <x:c r="F41" s="16" t="n">
        <x:v>618.668269063</x:v>
      </x:c>
      <x:c r="G41" s="16" t="n">
        <x:v>617.8701087561</x:v>
      </x:c>
      <x:c r="H41" s="16" t="n">
        <x:v>-6.6626625315</x:v>
      </x:c>
      <x:c r="I41" s="16" t="n">
        <x:v>-375.2871643178</x:v>
      </x:c>
      <x:c r="J41" s="16" t="n">
        <x:v>41.5117587288</x:v>
      </x:c>
      <x:c r="K41" s="16" t="n">
        <x:v>1110.8651885588</x:v>
      </x:c>
      <x:c r="L41" s="16" t="n">
        <x:v>-1273.3923584</x:v>
      </x:c>
      <x:c r="M41" s="16" t="n">
        <x:v>138.0606337315</x:v>
      </x:c>
      <x:c r="N41" s="16" t="n">
        <x:v>17.1971266959</x:v>
      </x:c>
      <x:c r="O41" s="16" t="n">
        <x:v>113.4423288986</x:v>
      </x:c>
      <x:c r="P41" s="16" t="n">
        <x:v>15.268882937</x:v>
      </x:c>
      <x:c r="Q41" s="16" t="n">
        <x:v>110.6218010301</x:v>
      </x:c>
      <x:c r="R41" s="16" t="n">
        <x:v>1127.9987106849</x:v>
      </x:c>
    </x:row>
    <x:row r="42">
      <x:c r="A42" s="15" t="n">
        <x:v>41395</x:v>
      </x:c>
      <x:c r="B42" s="16"/>
      <x:c r="C42" s="16" t="n">
        <x:v>1068.3340337097</x:v>
      </x:c>
      <x:c r="D42" s="16" t="n">
        <x:v>19.304511474</x:v>
      </x:c>
      <x:c r="E42" s="16"/>
      <x:c r="F42" s="16" t="n">
        <x:v>402.4581931836</x:v>
      </x:c>
      <x:c r="G42" s="16" t="n">
        <x:v>406.8199006685</x:v>
      </x:c>
      <x:c r="H42" s="16" t="n">
        <x:v>-8.6583284603</x:v>
      </x:c>
      <x:c r="I42" s="16" t="n">
        <x:v>-372.3808390137</x:v>
      </x:c>
      <x:c r="J42" s="16" t="n">
        <x:v>-6.0956242411</x:v>
      </x:c>
      <x:c r="K42" s="16" t="n">
        <x:v>-1510.5839671342</x:v>
      </x:c>
      <x:c r="L42" s="16" t="n">
        <x:v>2755.2180181589</x:v>
      </x:c>
      <x:c r="M42" s="16" t="n">
        <x:v>239.2630152767</x:v>
      </x:c>
      <x:c r="N42" s="16" t="n">
        <x:v>-21.7973743014</x:v>
      </x:c>
      <x:c r="O42" s="16" t="n">
        <x:v>56.4878195726</x:v>
      </x:c>
      <x:c r="P42" s="16" t="n">
        <x:v>42.3694374575</x:v>
      </x:c>
      <x:c r="Q42" s="16" t="n">
        <x:v>206.8527086137</x:v>
      </x:c>
      <x:c r="R42" s="16" t="n">
        <x:v>236.890569863</x:v>
      </x:c>
    </x:row>
    <x:row r="43">
      <x:c r="A43" s="15" t="n">
        <x:v>41426</x:v>
      </x:c>
      <x:c r="B43" s="16"/>
      <x:c r="C43" s="16" t="n">
        <x:v>409.3951158355</x:v>
      </x:c>
      <x:c r="D43" s="16" t="n">
        <x:v>57.6562453041</x:v>
      </x:c>
      <x:c r="E43" s="16"/>
      <x:c r="F43" s="16" t="n">
        <x:v>352.4163848767</x:v>
      </x:c>
      <x:c r="G43" s="16" t="n">
        <x:v>360.7383614247</x:v>
      </x:c>
      <x:c r="H43" s="16" t="n">
        <x:v>-18.507557874</x:v>
      </x:c>
      <x:c r="I43" s="16" t="n">
        <x:v>-341.7164800438</x:v>
      </x:c>
      <x:c r="J43" s="16" t="n">
        <x:v>-13.1474019945</x:v>
      </x:c>
      <x:c r="K43" s="16" t="n">
        <x:v>-714.8826295452</x:v>
      </x:c>
      <x:c r="L43" s="16" t="n">
        <x:v>565.602100274</x:v>
      </x:c>
      <x:c r="M43" s="16" t="n">
        <x:v>86.3889449205</x:v>
      </x:c>
      <x:c r="N43" s="16" t="n">
        <x:v>17.2563287452</x:v>
      </x:c>
      <x:c r="O43" s="16" t="n">
        <x:v>11.0232877589</x:v>
      </x:c>
      <x:c r="P43" s="16" t="n">
        <x:v>220.383417863</x:v>
      </x:c>
      <x:c r="Q43" s="16" t="n">
        <x:v>203.3220142904</x:v>
      </x:c>
      <x:c r="R43" s="16" t="n">
        <x:v>576.9489534904</x:v>
      </x:c>
    </x:row>
    <x:row r="44">
      <x:c r="A44" s="15" t="n">
        <x:v>41456</x:v>
      </x:c>
      <x:c r="B44" s="16"/>
      <x:c r="C44" s="16" t="n">
        <x:v>-142.698873337</x:v>
      </x:c>
      <x:c r="D44" s="16" t="n">
        <x:v>12.3001777096</x:v>
      </x:c>
      <x:c r="E44" s="16"/>
      <x:c r="F44" s="16" t="n">
        <x:v>71.3097983123</x:v>
      </x:c>
      <x:c r="G44" s="16" t="n">
        <x:v>770.2604127123</x:v>
      </x:c>
      <x:c r="H44" s="16" t="n">
        <x:v>8.3830488548</x:v>
      </x:c>
      <x:c r="I44" s="16" t="n">
        <x:v>-201.6264972712</x:v>
      </x:c>
      <x:c r="J44" s="16" t="n">
        <x:v>-75.5798299178</x:v>
      </x:c>
      <x:c r="K44" s="16" t="n">
        <x:v>-1714.170962104</x:v>
      </x:c>
      <x:c r="L44" s="16" t="n">
        <x:v>-2820.8873393096</x:v>
      </x:c>
      <x:c r="M44" s="16" t="n">
        <x:v>-86.1663859397</x:v>
      </x:c>
      <x:c r="N44" s="16" t="n">
        <x:v>0.9988473425</x:v>
      </x:c>
      <x:c r="O44" s="16" t="n">
        <x:v>-61.2118759452</x:v>
      </x:c>
      <x:c r="P44" s="16" t="n">
        <x:v>261.261343211</x:v>
      </x:c>
      <x:c r="Q44" s="16" t="n">
        <x:v>82.0008812932</x:v>
      </x:c>
      <x:c r="R44" s="16" t="n">
        <x:v>1110.0384063781</x:v>
      </x:c>
    </x:row>
    <x:row r="45">
      <x:c r="A45" s="15" t="n">
        <x:v>41487</x:v>
      </x:c>
      <x:c r="B45" s="16" t="n">
        <x:v>-8.1383561644</x:v>
      </x:c>
      <x:c r="C45" s="16" t="n">
        <x:v>93.5142175562</x:v>
      </x:c>
      <x:c r="D45" s="16" t="n">
        <x:v>48.3022030904</x:v>
      </x:c>
      <x:c r="E45" s="16"/>
      <x:c r="F45" s="16" t="n">
        <x:v>435.9337123068</x:v>
      </x:c>
      <x:c r="G45" s="16" t="n">
        <x:v>829.7706667836</x:v>
      </x:c>
      <x:c r="H45" s="16" t="n">
        <x:v>4.0315669041</x:v>
      </x:c>
      <x:c r="I45" s="16" t="n">
        <x:v>-40.3712766247</x:v>
      </x:c>
      <x:c r="J45" s="16" t="n">
        <x:v>-42.9144292822</x:v>
      </x:c>
      <x:c r="K45" s="16" t="n">
        <x:v>-522.4774148274</x:v>
      </x:c>
      <x:c r="L45" s="16" t="n">
        <x:v>-2848.1601782904</x:v>
      </x:c>
      <x:c r="M45" s="16" t="n">
        <x:v>-136.3484591342</x:v>
      </x:c>
      <x:c r="N45" s="16" t="n">
        <x:v>32.9425650411</x:v>
      </x:c>
      <x:c r="O45" s="16" t="n">
        <x:v>-121.4662035288</x:v>
      </x:c>
      <x:c r="P45" s="16" t="n">
        <x:v>11.3942503452</x:v>
      </x:c>
      <x:c r="Q45" s="16" t="n">
        <x:v>-152.2316346521</x:v>
      </x:c>
      <x:c r="R45" s="16" t="n">
        <x:v>1221.4033087014</x:v>
      </x:c>
    </x:row>
    <x:row r="46">
      <x:c r="A46" s="15" t="n">
        <x:v>41518</x:v>
      </x:c>
      <x:c r="B46" s="16" t="n">
        <x:v>-5.1061643836</x:v>
      </x:c>
      <x:c r="C46" s="16" t="n">
        <x:v>-557.7203459506</x:v>
      </x:c>
      <x:c r="D46" s="16" t="n">
        <x:v>87.0782418411</x:v>
      </x:c>
      <x:c r="E46" s="16"/>
      <x:c r="F46" s="16" t="n">
        <x:v>428.0760155178</x:v>
      </x:c>
      <x:c r="G46" s="16" t="n">
        <x:v>714.1366969862</x:v>
      </x:c>
      <x:c r="H46" s="16" t="n">
        <x:v>28.9590272877</x:v>
      </x:c>
      <x:c r="I46" s="16" t="n">
        <x:v>-160.1949180712</x:v>
      </x:c>
      <x:c r="J46" s="16" t="n">
        <x:v>-22.478962411</x:v>
      </x:c>
      <x:c r="K46" s="16" t="n">
        <x:v>482.9455072219</x:v>
      </x:c>
      <x:c r="L46" s="16" t="n">
        <x:v>-2675.0862117041</x:v>
      </x:c>
      <x:c r="M46" s="16" t="n">
        <x:v>-27.1385022247</x:v>
      </x:c>
      <x:c r="N46" s="16" t="n">
        <x:v>68.7937230685</x:v>
      </x:c>
      <x:c r="O46" s="16" t="n">
        <x:v>-253.7969635945</x:v>
      </x:c>
      <x:c r="P46" s="16" t="n">
        <x:v>-818.9064339288</x:v>
      </x:c>
      <x:c r="Q46" s="16" t="n">
        <x:v>-110.6242385534</x:v>
      </x:c>
      <x:c r="R46" s="16" t="n">
        <x:v>326.7419445918</x:v>
      </x:c>
    </x:row>
    <x:row r="47">
      <x:c r="A47" s="15" t="n">
        <x:v>41548</x:v>
      </x:c>
      <x:c r="B47" s="16" t="n">
        <x:v>16.1468493151</x:v>
      </x:c>
      <x:c r="C47" s="16" t="n">
        <x:v>18.855806948</x:v>
      </x:c>
      <x:c r="D47" s="16" t="n">
        <x:v>-30.1774383342</x:v>
      </x:c>
      <x:c r="E47" s="16"/>
      <x:c r="F47" s="16" t="n">
        <x:v>392.0128297206</x:v>
      </x:c>
      <x:c r="G47" s="16" t="n">
        <x:v>194.5179044384</x:v>
      </x:c>
      <x:c r="H47" s="16" t="n">
        <x:v>28.1867606137</x:v>
      </x:c>
      <x:c r="I47" s="16" t="n">
        <x:v>-201.6978401918</x:v>
      </x:c>
      <x:c r="J47" s="16" t="n">
        <x:v>-25.9045717918</x:v>
      </x:c>
      <x:c r="K47" s="16" t="n">
        <x:v>376.1306775178</x:v>
      </x:c>
      <x:c r="L47" s="16" t="n">
        <x:v>-2746.8262264986</x:v>
      </x:c>
      <x:c r="M47" s="16" t="n">
        <x:v>157.5011863781</x:v>
      </x:c>
      <x:c r="N47" s="16" t="n">
        <x:v>26.0827020712</x:v>
      </x:c>
      <x:c r="O47" s="16" t="n">
        <x:v>-173.3778926466</x:v>
      </x:c>
      <x:c r="P47" s="16" t="n">
        <x:v>-1346.7497524603</x:v>
      </x:c>
      <x:c r="Q47" s="16" t="n">
        <x:v>-12.3723342247</x:v>
      </x:c>
      <x:c r="R47" s="16" t="n">
        <x:v>180.572605611</x:v>
      </x:c>
    </x:row>
    <x:row r="48">
      <x:c r="A48" s="15" t="n">
        <x:v>41579</x:v>
      </x:c>
      <x:c r="B48" s="16" t="n">
        <x:v>10.7882191781</x:v>
      </x:c>
      <x:c r="C48" s="16" t="n">
        <x:v>459.4428380931</x:v>
      </x:c>
      <x:c r="D48" s="16" t="n">
        <x:v>-82.6306835288</x:v>
      </x:c>
      <x:c r="E48" s="16"/>
      <x:c r="F48" s="16" t="n">
        <x:v>407.5945007343</x:v>
      </x:c>
      <x:c r="G48" s="16" t="n">
        <x:v>267.8485035836</x:v>
      </x:c>
      <x:c r="H48" s="16" t="n">
        <x:v>33.6982680548</x:v>
      </x:c>
      <x:c r="I48" s="16" t="n">
        <x:v>-281.3898330411</x:v>
      </x:c>
      <x:c r="J48" s="16" t="n">
        <x:v>-11.7760192</x:v>
      </x:c>
      <x:c r="K48" s="16" t="n">
        <x:v>2974.8848567671</x:v>
      </x:c>
      <x:c r="L48" s="16" t="n">
        <x:v>-1486.1483739179</x:v>
      </x:c>
      <x:c r="M48" s="16" t="n">
        <x:v>263.9746844055</x:v>
      </x:c>
      <x:c r="N48" s="16" t="n">
        <x:v>-1.7495531836</x:v>
      </x:c>
      <x:c r="O48" s="16" t="n">
        <x:v>-120.4922287342</x:v>
      </x:c>
      <x:c r="P48" s="16" t="n">
        <x:v>-1645.7935253041</x:v>
      </x:c>
      <x:c r="Q48" s="16" t="n">
        <x:v>106.4417202411</x:v>
      </x:c>
      <x:c r="R48" s="16" t="n">
        <x:v>380.1918448767</x:v>
      </x:c>
    </x:row>
    <x:row r="49">
      <x:c r="A49" s="15" t="n">
        <x:v>41609</x:v>
      </x:c>
      <x:c r="B49" s="16" t="n">
        <x:v>41.9602863014</x:v>
      </x:c>
      <x:c r="C49" s="16" t="n">
        <x:v>1161.3814573589</x:v>
      </x:c>
      <x:c r="D49" s="16" t="n">
        <x:v>-171.5362873863</x:v>
      </x:c>
      <x:c r="E49" s="16" t="n">
        <x:v>95.4985063452</x:v>
      </x:c>
      <x:c r="F49" s="16" t="n">
        <x:v>418.733939989</x:v>
      </x:c>
      <x:c r="G49" s="16" t="n">
        <x:v>307.1525553096</x:v>
      </x:c>
      <x:c r="H49" s="16" t="n">
        <x:v>9.3405329534</x:v>
      </x:c>
      <x:c r="I49" s="16" t="n">
        <x:v>-302.7217897863</x:v>
      </x:c>
      <x:c r="J49" s="16" t="n">
        <x:v>-35.4023532712</x:v>
      </x:c>
      <x:c r="K49" s="16" t="n">
        <x:v>2648.6347744877</x:v>
      </x:c>
      <x:c r="L49" s="16" t="n">
        <x:v>1060.166209578</x:v>
      </x:c>
      <x:c r="M49" s="16" t="n">
        <x:v>246.061273337</x:v>
      </x:c>
      <x:c r="N49" s="16" t="n">
        <x:v>-121.5564627726</x:v>
      </x:c>
      <x:c r="O49" s="16" t="n">
        <x:v>24.9640216548</x:v>
      </x:c>
      <x:c r="P49" s="16" t="n">
        <x:v>-1021.8939721644</x:v>
      </x:c>
      <x:c r="Q49" s="16" t="n">
        <x:v>170.3141381918</x:v>
      </x:c>
      <x:c r="R49" s="16" t="n">
        <x:v>570.8664595288</x:v>
      </x:c>
    </x:row>
    <x:row r="50">
      <x:c r="A50" s="15" t="n">
        <x:v>41640</x:v>
      </x:c>
      <x:c r="B50" s="16"/>
      <x:c r="C50" s="16" t="n">
        <x:v>1535.3462447345</x:v>
      </x:c>
      <x:c r="D50" s="16" t="n">
        <x:v>-4.5391442411</x:v>
      </x:c>
      <x:c r="E50" s="16" t="n">
        <x:v>100.5042368</x:v>
      </x:c>
      <x:c r="F50" s="16" t="n">
        <x:v>535.9881832329</x:v>
      </x:c>
      <x:c r="G50" s="16" t="n">
        <x:v>491.9152039451</x:v>
      </x:c>
      <x:c r="H50" s="16" t="n">
        <x:v>9.045426389</x:v>
      </x:c>
      <x:c r="I50" s="16" t="n">
        <x:v>-396.6893104932</x:v>
      </x:c>
      <x:c r="J50" s="16" t="n">
        <x:v>-2.2384640877</x:v>
      </x:c>
      <x:c r="K50" s="16" t="n">
        <x:v>3426.9712316082</x:v>
      </x:c>
      <x:c r="L50" s="16" t="n">
        <x:v>2661.6850547726</x:v>
      </x:c>
      <x:c r="M50" s="16" t="n">
        <x:v>454.1059930301</x:v>
      </x:c>
      <x:c r="N50" s="16" t="n">
        <x:v>-24.5520963507</x:v>
      </x:c>
      <x:c r="O50" s="16" t="n">
        <x:v>117.9012208219</x:v>
      </x:c>
      <x:c r="P50" s="16" t="n">
        <x:v>-312.0771628712</x:v>
      </x:c>
      <x:c r="Q50" s="16" t="n">
        <x:v>-5.338913863</x:v>
      </x:c>
      <x:c r="R50" s="16" t="n">
        <x:v>-985.4772548384</x:v>
      </x:c>
    </x:row>
    <x:row r="51">
      <x:c r="A51" s="15" t="n">
        <x:v>41671</x:v>
      </x:c>
      <x:c r="B51" s="16"/>
      <x:c r="C51" s="16" t="n">
        <x:v>2701.9842952767</x:v>
      </x:c>
      <x:c r="D51" s="16" t="n">
        <x:v>89.9443061479</x:v>
      </x:c>
      <x:c r="E51" s="16" t="n">
        <x:v>92.2541727562</x:v>
      </x:c>
      <x:c r="F51" s="16" t="n">
        <x:v>212.7203989918</x:v>
      </x:c>
      <x:c r="G51" s="16" t="n">
        <x:v>323.7679323178</x:v>
      </x:c>
      <x:c r="H51" s="16" t="n">
        <x:v>-6.604250389</x:v>
      </x:c>
      <x:c r="I51" s="16" t="n">
        <x:v>-188.4008713534</x:v>
      </x:c>
      <x:c r="J51" s="16" t="n">
        <x:v>-62.8295305644</x:v>
      </x:c>
      <x:c r="K51" s="16" t="n">
        <x:v>568.0459900493</x:v>
      </x:c>
      <x:c r="L51" s="16" t="n">
        <x:v>-430.2590679671</x:v>
      </x:c>
      <x:c r="M51" s="16" t="n">
        <x:v>333.6783456438</x:v>
      </x:c>
      <x:c r="N51" s="16" t="n">
        <x:v>-3.1414775233</x:v>
      </x:c>
      <x:c r="O51" s="16" t="n">
        <x:v>87.2565977425</x:v>
      </x:c>
      <x:c r="P51" s="16" t="n">
        <x:v>31.6404449315</x:v>
      </x:c>
      <x:c r="Q51" s="16" t="n">
        <x:v>-162.8285559233</x:v>
      </x:c>
      <x:c r="R51" s="16" t="n">
        <x:v>490.9689073973</x:v>
      </x:c>
    </x:row>
    <x:row r="52">
      <x:c r="A52" s="15" t="n">
        <x:v>41699</x:v>
      </x:c>
      <x:c r="B52" s="16"/>
      <x:c r="C52" s="16" t="n">
        <x:v>2504.8627199999</x:v>
      </x:c>
      <x:c r="D52" s="16" t="n">
        <x:v>81.1636865753</x:v>
      </x:c>
      <x:c r="E52" s="16" t="n">
        <x:v>139.3905052055</x:v>
      </x:c>
      <x:c r="F52" s="16" t="n">
        <x:v>191.8492440548</x:v>
      </x:c>
      <x:c r="G52" s="16" t="n">
        <x:v>443.7329623013</x:v>
      </x:c>
      <x:c r="H52" s="16" t="n">
        <x:v>21.0235441096</x:v>
      </x:c>
      <x:c r="I52" s="16" t="n">
        <x:v>-47.5531381918</x:v>
      </x:c>
      <x:c r="J52" s="16" t="n">
        <x:v>-75.2841985753</x:v>
      </x:c>
      <x:c r="K52" s="16" t="n">
        <x:v>36.8096657534</x:v>
      </x:c>
      <x:c r="L52" s="16" t="n">
        <x:v>-432.4385884932</x:v>
      </x:c>
      <x:c r="M52" s="16" t="n">
        <x:v>322.470105863</x:v>
      </x:c>
      <x:c r="N52" s="16" t="n">
        <x:v>140.5913008219</x:v>
      </x:c>
      <x:c r="O52" s="16" t="n">
        <x:v>-150.4902259726</x:v>
      </x:c>
      <x:c r="P52" s="16" t="n">
        <x:v>-76.999859726</x:v>
      </x:c>
      <x:c r="Q52" s="16" t="n">
        <x:v>-154.0026810959</x:v>
      </x:c>
      <x:c r="R52" s="16" t="n">
        <x:v>340.2131787397</x:v>
      </x:c>
    </x:row>
    <x:row r="53">
      <x:c r="A53" s="15" t="n">
        <x:v>41730</x:v>
      </x:c>
      <x:c r="B53" s="16"/>
      <x:c r="C53" s="16" t="n">
        <x:v>2218.6361785863</x:v>
      </x:c>
      <x:c r="D53" s="16" t="n">
        <x:v>28.1223704548</x:v>
      </x:c>
      <x:c r="E53" s="16" t="n">
        <x:v>282.1580887671</x:v>
      </x:c>
      <x:c r="F53" s="16" t="n">
        <x:v>707.9002239123</x:v>
      </x:c>
      <x:c r="G53" s="16" t="n">
        <x:v>356.8709071781</x:v>
      </x:c>
      <x:c r="H53" s="16" t="n">
        <x:v>40.947647737</x:v>
      </x:c>
      <x:c r="I53" s="16" t="n">
        <x:v>31.6112027507</x:v>
      </x:c>
      <x:c r="J53" s="16" t="n">
        <x:v>-63.8648874082</x:v>
      </x:c>
      <x:c r="K53" s="16" t="n">
        <x:v>-1894.021240285</x:v>
      </x:c>
      <x:c r="L53" s="16" t="n">
        <x:v>520.7396650083</x:v>
      </x:c>
      <x:c r="M53" s="16" t="n">
        <x:v>31.9554382027</x:v>
      </x:c>
      <x:c r="N53" s="16" t="n">
        <x:v>128.2431405589</x:v>
      </x:c>
      <x:c r="O53" s="16" t="n">
        <x:v>-406.0990239562</x:v>
      </x:c>
      <x:c r="P53" s="16" t="n">
        <x:v>120.5226267178</x:v>
      </x:c>
      <x:c r="Q53" s="16" t="n">
        <x:v>5.7912195288</x:v>
      </x:c>
      <x:c r="R53" s="16" t="n">
        <x:v>213.9611884712</x:v>
      </x:c>
    </x:row>
    <x:row r="54">
      <x:c r="A54" s="15" t="n">
        <x:v>41760</x:v>
      </x:c>
      <x:c r="B54" s="16"/>
      <x:c r="C54" s="16" t="n">
        <x:v>1869.2067945205</x:v>
      </x:c>
      <x:c r="D54" s="16" t="n">
        <x:v>4.7996440548</x:v>
      </x:c>
      <x:c r="E54" s="16" t="n">
        <x:v>269.4391048767</x:v>
      </x:c>
      <x:c r="F54" s="16" t="n">
        <x:v>843.0103160986</x:v>
      </x:c>
      <x:c r="G54" s="16" t="n">
        <x:v>121.612042389</x:v>
      </x:c>
      <x:c r="H54" s="16" t="n">
        <x:v>74.2546780055</x:v>
      </x:c>
      <x:c r="I54" s="16" t="n">
        <x:v>-33.1241247562</x:v>
      </x:c>
      <x:c r="J54" s="16" t="n">
        <x:v>15.807749611</x:v>
      </x:c>
      <x:c r="K54" s="16" t="n">
        <x:v>-3110.4061171726</x:v>
      </x:c>
      <x:c r="L54" s="16" t="n">
        <x:v>519.9446293041</x:v>
      </x:c>
      <x:c r="M54" s="16" t="n">
        <x:v>58.502124274</x:v>
      </x:c>
      <x:c r="N54" s="16" t="n">
        <x:v>90.7725796822</x:v>
      </x:c>
      <x:c r="O54" s="16" t="n">
        <x:v>-345.6137240548</x:v>
      </x:c>
      <x:c r="P54" s="16" t="n">
        <x:v>-366.4133647781</x:v>
      </x:c>
      <x:c r="Q54" s="16" t="n">
        <x:v>32.6269854904</x:v>
      </x:c>
      <x:c r="R54" s="16" t="n">
        <x:v>342.4220772603</x:v>
      </x:c>
    </x:row>
    <x:row r="55">
      <x:c r="A55" s="15" t="n">
        <x:v>41791</x:v>
      </x:c>
      <x:c r="B55" s="16"/>
      <x:c r="C55" s="16" t="n">
        <x:v>2345.2291057973</x:v>
      </x:c>
      <x:c r="D55" s="16" t="n">
        <x:v>27.4013269918</x:v>
      </x:c>
      <x:c r="E55" s="16" t="n">
        <x:v>244.5555171068</x:v>
      </x:c>
      <x:c r="F55" s="16" t="n">
        <x:v>1148.9085564493</x:v>
      </x:c>
      <x:c r="G55" s="16" t="n">
        <x:v>-41.0091247561</x:v>
      </x:c>
      <x:c r="H55" s="16" t="n">
        <x:v>75.9374281205</x:v>
      </x:c>
      <x:c r="I55" s="16" t="n">
        <x:v>-74.264225874</x:v>
      </x:c>
      <x:c r="J55" s="16" t="n">
        <x:v>-18.4501482959</x:v>
      </x:c>
      <x:c r="K55" s="16" t="n">
        <x:v>-4541.9664443616</x:v>
      </x:c>
      <x:c r="L55" s="16" t="n">
        <x:v>-402.1239576548</x:v>
      </x:c>
      <x:c r="M55" s="16" t="n">
        <x:v>38.0184099069</x:v>
      </x:c>
      <x:c r="N55" s="16" t="n">
        <x:v>45.6939186849</x:v>
      </x:c>
      <x:c r="O55" s="16" t="n">
        <x:v>-96.0947157918</x:v>
      </x:c>
      <x:c r="P55" s="16" t="n">
        <x:v>-506.5436366027</x:v>
      </x:c>
      <x:c r="Q55" s="16" t="n">
        <x:v>-18.7345058411</x:v>
      </x:c>
      <x:c r="R55" s="16" t="n">
        <x:v>203.356820011</x:v>
      </x:c>
    </x:row>
    <x:row r="56">
      <x:c r="A56" s="15" t="n">
        <x:v>41821</x:v>
      </x:c>
      <x:c r="B56" s="16"/>
      <x:c r="C56" s="16" t="n">
        <x:v>3187.2254947943</x:v>
      </x:c>
      <x:c r="D56" s="16" t="n">
        <x:v>59.0452574685</x:v>
      </x:c>
      <x:c r="E56" s="16" t="n">
        <x:v>275.7134910247</x:v>
      </x:c>
      <x:c r="F56" s="16" t="n">
        <x:v>908.4767582685</x:v>
      </x:c>
      <x:c r="G56" s="16" t="n">
        <x:v>58.7182724822</x:v>
      </x:c>
      <x:c r="H56" s="16" t="n">
        <x:v>52.2450740603</x:v>
      </x:c>
      <x:c r="I56" s="16" t="n">
        <x:v>-160.2603552603</x:v>
      </x:c>
      <x:c r="J56" s="16" t="n">
        <x:v>-89.4146307507</x:v>
      </x:c>
      <x:c r="K56" s="16" t="n">
        <x:v>-4944.3471898302</x:v>
      </x:c>
      <x:c r="L56" s="16" t="n">
        <x:v>-1504.9600087672</x:v>
      </x:c>
      <x:c r="M56" s="16" t="n">
        <x:v>-89.2664769753</x:v>
      </x:c>
      <x:c r="N56" s="16" t="n">
        <x:v>61.1645212055</x:v>
      </x:c>
      <x:c r="O56" s="16" t="n">
        <x:v>-84.4099987288</x:v>
      </x:c>
      <x:c r="P56" s="16" t="n">
        <x:v>-556.155904526</x:v>
      </x:c>
      <x:c r="Q56" s="16" t="n">
        <x:v>-78.2439889315</x:v>
      </x:c>
      <x:c r="R56" s="16" t="n">
        <x:v>-31.2782262794</x:v>
      </x:c>
    </x:row>
    <x:row r="57">
      <x:c r="A57" s="15" t="n">
        <x:v>41852</x:v>
      </x:c>
      <x:c r="B57" s="16"/>
      <x:c r="C57" s="16" t="n">
        <x:v>4613.1622196604</x:v>
      </x:c>
      <x:c r="D57" s="16" t="n">
        <x:v>40.700012011</x:v>
      </x:c>
      <x:c r="E57" s="16" t="n">
        <x:v>416.2203193863</x:v>
      </x:c>
      <x:c r="F57" s="16" t="n">
        <x:v>1146.4361819178</x:v>
      </x:c>
      <x:c r="G57" s="16" t="n">
        <x:v>86.6656631672</x:v>
      </x:c>
      <x:c r="H57" s="16" t="n">
        <x:v>53.4616270027</x:v>
      </x:c>
      <x:c r="I57" s="16" t="n">
        <x:v>-239.0158948822</x:v>
      </x:c>
      <x:c r="J57" s="16" t="n">
        <x:v>-100.3573288329</x:v>
      </x:c>
      <x:c r="K57" s="16" t="n">
        <x:v>-4343.8866526685</x:v>
      </x:c>
      <x:c r="L57" s="16" t="n">
        <x:v>-309.556396537</x:v>
      </x:c>
      <x:c r="M57" s="16" t="n">
        <x:v>-209.0785997589</x:v>
      </x:c>
      <x:c r="N57" s="16" t="n">
        <x:v>108.4075048329</x:v>
      </x:c>
      <x:c r="O57" s="16" t="n">
        <x:v>-91.2397326027</x:v>
      </x:c>
      <x:c r="P57" s="16" t="n">
        <x:v>-255.6115879014</x:v>
      </x:c>
      <x:c r="Q57" s="16" t="n">
        <x:v>-53.8518485699</x:v>
      </x:c>
      <x:c r="R57" s="16" t="n">
        <x:v>952.7296553315</x:v>
      </x:c>
    </x:row>
    <x:row r="58">
      <x:c r="A58" s="15" t="n">
        <x:v>41883</x:v>
      </x:c>
      <x:c r="B58" s="16"/>
      <x:c r="C58" s="16" t="n">
        <x:v>5277.998451726</x:v>
      </x:c>
      <x:c r="D58" s="16" t="n">
        <x:v>70.8210183014</x:v>
      </x:c>
      <x:c r="E58" s="16" t="n">
        <x:v>556.182700011</x:v>
      </x:c>
      <x:c r="F58" s="16" t="n">
        <x:v>1105.0670055452</x:v>
      </x:c>
      <x:c r="G58" s="16" t="n">
        <x:v>93.2919607671</x:v>
      </x:c>
      <x:c r="H58" s="16" t="n">
        <x:v>22.3608239342</x:v>
      </x:c>
      <x:c r="I58" s="16" t="n">
        <x:v>-144.3361142904</x:v>
      </x:c>
      <x:c r="J58" s="16" t="n">
        <x:v>-50.185871737</x:v>
      </x:c>
      <x:c r="K58" s="16" t="n">
        <x:v>-3322.8200657534</x:v>
      </x:c>
      <x:c r="L58" s="16" t="n">
        <x:v>-316.4443714629</x:v>
      </x:c>
      <x:c r="M58" s="16" t="n">
        <x:v>-192.0823929425</x:v>
      </x:c>
      <x:c r="N58" s="16" t="n">
        <x:v>86.5219790904</x:v>
      </x:c>
      <x:c r="O58" s="16" t="n">
        <x:v>-89.6725788055</x:v>
      </x:c>
      <x:c r="P58" s="16" t="n">
        <x:v>103.9279087342</x:v>
      </x:c>
      <x:c r="Q58" s="16" t="n">
        <x:v>-164.5435200219</x:v>
      </x:c>
      <x:c r="R58" s="16" t="n">
        <x:v>42.9289047014</x:v>
      </x:c>
    </x:row>
    <x:row r="59">
      <x:c r="A59" s="15" t="n">
        <x:v>41913</x:v>
      </x:c>
      <x:c r="B59" s="16"/>
      <x:c r="C59" s="16" t="n">
        <x:v>5013.8871878138</x:v>
      </x:c>
      <x:c r="D59" s="16" t="n">
        <x:v>140.1347415671</x:v>
      </x:c>
      <x:c r="E59" s="16" t="n">
        <x:v>473.8380382685</x:v>
      </x:c>
      <x:c r="F59" s="16" t="n">
        <x:v>1476.2472585644</x:v>
      </x:c>
      <x:c r="G59" s="16" t="n">
        <x:v>206.4491961534</x:v>
      </x:c>
      <x:c r="H59" s="16" t="n">
        <x:v>23.9203921534</x:v>
      </x:c>
      <x:c r="I59" s="16" t="n">
        <x:v>-215.2281209699</x:v>
      </x:c>
      <x:c r="J59" s="16" t="n">
        <x:v>-10.3308553644</x:v>
      </x:c>
      <x:c r="K59" s="16" t="n">
        <x:v>-6338.0577317698</x:v>
      </x:c>
      <x:c r="L59" s="16" t="n">
        <x:v>-595.2020714959</x:v>
      </x:c>
      <x:c r="M59" s="16" t="n">
        <x:v>-55.8736705753</x:v>
      </x:c>
      <x:c r="N59" s="16" t="n">
        <x:v>139.259949589</x:v>
      </x:c>
      <x:c r="O59" s="16" t="n">
        <x:v>69.6436066192</x:v>
      </x:c>
      <x:c r="P59" s="16" t="n">
        <x:v>37.5644333589</x:v>
      </x:c>
      <x:c r="Q59" s="16" t="n">
        <x:v>-116.9133646027</x:v>
      </x:c>
      <x:c r="R59" s="16" t="n">
        <x:v>-1680.927446663</x:v>
      </x:c>
    </x:row>
    <x:row r="60">
      <x:c r="A60" s="15" t="n">
        <x:v>41944</x:v>
      </x:c>
      <x:c r="B60" s="16"/>
      <x:c r="C60" s="16" t="n">
        <x:v>3450.6857177423</x:v>
      </x:c>
      <x:c r="D60" s="16" t="n">
        <x:v>151.1411192986</x:v>
      </x:c>
      <x:c r="E60" s="16" t="n">
        <x:v>358.2685862575</x:v>
      </x:c>
      <x:c r="F60" s="16" t="n">
        <x:v>833.1862684055</x:v>
      </x:c>
      <x:c r="G60" s="16" t="n">
        <x:v>559.0010243506</x:v>
      </x:c>
      <x:c r="H60" s="16" t="n">
        <x:v>26.2221906411</x:v>
      </x:c>
      <x:c r="I60" s="16" t="n">
        <x:v>-217.302396537</x:v>
      </x:c>
      <x:c r="J60" s="16" t="n">
        <x:v>-49.6118118575</x:v>
      </x:c>
      <x:c r="K60" s="16" t="n">
        <x:v>-6711.5600485699</x:v>
      </x:c>
      <x:c r="L60" s="16" t="n">
        <x:v>-1670.6061206794</x:v>
      </x:c>
      <x:c r="M60" s="16" t="n">
        <x:v>174.9976984329</x:v>
      </x:c>
      <x:c r="N60" s="16" t="n">
        <x:v>115.2110126466</x:v>
      </x:c>
      <x:c r="O60" s="16" t="n">
        <x:v>-47.5984776767</x:v>
      </x:c>
      <x:c r="P60" s="16" t="n">
        <x:v>197.4821823562</x:v>
      </x:c>
      <x:c r="Q60" s="16" t="n">
        <x:v>-229.1394310356</x:v>
      </x:c>
      <x:c r="R60" s="16" t="n">
        <x:v>-1835.8266509918</x:v>
      </x:c>
    </x:row>
    <x:row r="61">
      <x:c r="A61" s="15" t="n">
        <x:v>41974</x:v>
      </x:c>
      <x:c r="B61" s="16"/>
      <x:c r="C61" s="16" t="n">
        <x:v>3102.1090184768</x:v>
      </x:c>
      <x:c r="D61" s="16" t="n">
        <x:v>112.4587766356</x:v>
      </x:c>
      <x:c r="E61" s="16" t="n">
        <x:v>226.4279152219</x:v>
      </x:c>
      <x:c r="F61" s="16" t="n">
        <x:v>375.2347827726</x:v>
      </x:c>
      <x:c r="G61" s="16" t="n">
        <x:v>520.8410656877</x:v>
      </x:c>
      <x:c r="H61" s="16" t="n">
        <x:v>44.9959075069</x:v>
      </x:c>
      <x:c r="I61" s="16" t="n">
        <x:v>-282.4265481644</x:v>
      </x:c>
      <x:c r="J61" s="16" t="n">
        <x:v>-98.1217333918</x:v>
      </x:c>
      <x:c r="K61" s="16" t="n">
        <x:v>-8924.1252704</x:v>
      </x:c>
      <x:c r="L61" s="16" t="n">
        <x:v>-5802.4417223891</x:v>
      </x:c>
      <x:c r="M61" s="16" t="n">
        <x:v>216.4662804603</x:v>
      </x:c>
      <x:c r="N61" s="16" t="n">
        <x:v>105.9038094027</x:v>
      </x:c>
      <x:c r="O61" s="16" t="n">
        <x:v>-257.6024474301</x:v>
      </x:c>
      <x:c r="P61" s="16" t="n">
        <x:v>367.5965475945</x:v>
      </x:c>
      <x:c r="Q61" s="16" t="n">
        <x:v>-111.2177860822</x:v>
      </x:c>
      <x:c r="R61" s="16" t="n">
        <x:v>-3652.5562270027</x:v>
      </x:c>
    </x:row>
    <x:row r="62">
      <x:c r="A62" s="15" t="n">
        <x:v>42005</x:v>
      </x:c>
      <x:c r="B62" s="16"/>
      <x:c r="C62" s="16" t="n">
        <x:v>2964.8441431039</x:v>
      </x:c>
      <x:c r="D62" s="16" t="n">
        <x:v>37.01195</x:v>
      </x:c>
      <x:c r="E62" s="16" t="n">
        <x:v>222.5145066676</x:v>
      </x:c>
      <x:c r="F62" s="16" t="n">
        <x:v>-32.2291826758</x:v>
      </x:c>
      <x:c r="G62" s="16" t="n">
        <x:v>343.3702271381</x:v>
      </x:c>
      <x:c r="H62" s="16" t="n">
        <x:v>66.8010764976</x:v>
      </x:c>
      <x:c r="I62" s="16" t="n">
        <x:v>-111.3929556234</x:v>
      </x:c>
      <x:c r="J62" s="16" t="n">
        <x:v>-84.993922267</x:v>
      </x:c>
      <x:c r="K62" s="16" t="n">
        <x:v>-7427.1172277537</x:v>
      </x:c>
      <x:c r="L62" s="16" t="n">
        <x:v>-8227.0327693395</x:v>
      </x:c>
      <x:c r="M62" s="16" t="n">
        <x:v>128.6641610499</x:v>
      </x:c>
      <x:c r="N62" s="16" t="n">
        <x:v>-63.289297157</x:v>
      </x:c>
      <x:c r="O62" s="16" t="n">
        <x:v>-582.8438211914</x:v>
      </x:c>
      <x:c r="P62" s="16" t="n">
        <x:v>289.1874878079</x:v>
      </x:c>
      <x:c r="Q62" s="16" t="n">
        <x:v>-158.0949973845</x:v>
      </x:c>
      <x:c r="R62" s="16" t="n">
        <x:v>-3993.2787146988</x:v>
      </x:c>
    </x:row>
    <x:row r="63">
      <x:c r="A63" s="15" t="n">
        <x:v>42036</x:v>
      </x:c>
      <x:c r="B63" s="16"/>
      <x:c r="C63" s="16" t="n">
        <x:v>2868.1052514673</x:v>
      </x:c>
      <x:c r="D63" s="16" t="n">
        <x:v>44.3209382811</x:v>
      </x:c>
      <x:c r="E63" s="16" t="n">
        <x:v>92.0795982909</x:v>
      </x:c>
      <x:c r="F63" s="16" t="n">
        <x:v>268.3059860136</x:v>
      </x:c>
      <x:c r="G63" s="16" t="n">
        <x:v>240.5028765094</x:v>
      </x:c>
      <x:c r="H63" s="16" t="n">
        <x:v>62.9008502301</x:v>
      </x:c>
      <x:c r="I63" s="16" t="n">
        <x:v>-156.6281127659</x:v>
      </x:c>
      <x:c r="J63" s="16" t="n">
        <x:v>-56.8101029458</x:v>
      </x:c>
      <x:c r="K63" s="16" t="n">
        <x:v>-7534.2762575011</x:v>
      </x:c>
      <x:c r="L63" s="16" t="n">
        <x:v>-7857.6962089422</x:v>
      </x:c>
      <x:c r="M63" s="16" t="n">
        <x:v>-175.9816235684</x:v>
      </x:c>
      <x:c r="N63" s="16" t="n">
        <x:v>-30.1993633967</x:v>
      </x:c>
      <x:c r="O63" s="16" t="n">
        <x:v>-701.1148900496</x:v>
      </x:c>
      <x:c r="P63" s="16" t="n">
        <x:v>-1129.7181386003</x:v>
      </x:c>
      <x:c r="Q63" s="16" t="n">
        <x:v>-50.0782602632</x:v>
      </x:c>
      <x:c r="R63" s="16" t="n">
        <x:v>-4190.3851272626</x:v>
      </x:c>
    </x:row>
    <x:row r="64">
      <x:c r="A64" s="15" t="n">
        <x:v>42064</x:v>
      </x:c>
      <x:c r="B64" s="16"/>
      <x:c r="C64" s="16" t="n">
        <x:v>2647.3687515629</x:v>
      </x:c>
      <x:c r="D64" s="16" t="n">
        <x:v>-115.8400170492</x:v>
      </x:c>
      <x:c r="E64" s="16" t="n">
        <x:v>-30.7717562404</x:v>
      </x:c>
      <x:c r="F64" s="16" t="n">
        <x:v>521.3892918033</x:v>
      </x:c>
      <x:c r="G64" s="16" t="n">
        <x:v>308.0535366558</x:v>
      </x:c>
      <x:c r="H64" s="16" t="n">
        <x:v>43.7119492896</x:v>
      </x:c>
      <x:c r="I64" s="16" t="n">
        <x:v>-176.7370830437</x:v>
      </x:c>
      <x:c r="J64" s="16" t="n">
        <x:v>-0.1189817705</x:v>
      </x:c>
      <x:c r="K64" s="16" t="n">
        <x:v>-7475.5216365464</x:v>
      </x:c>
      <x:c r="L64" s="16" t="n">
        <x:v>-6132.2558840655</x:v>
      </x:c>
      <x:c r="M64" s="16" t="n">
        <x:v>-243.1055169836</x:v>
      </x:c>
      <x:c r="N64" s="16" t="n">
        <x:v>-97.6980543825</x:v>
      </x:c>
      <x:c r="O64" s="16" t="n">
        <x:v>-468.277715235</x:v>
      </x:c>
      <x:c r="P64" s="16" t="n">
        <x:v>-1407.4770974426</x:v>
      </x:c>
      <x:c r="Q64" s="16" t="n">
        <x:v>-395.8598677705</x:v>
      </x:c>
      <x:c r="R64" s="16" t="n">
        <x:v>-1439.8960188852</x:v>
      </x:c>
    </x:row>
    <x:row r="65">
      <x:c r="A65" s="15" t="n">
        <x:v>42095</x:v>
      </x:c>
      <x:c r="B65" s="16"/>
      <x:c r="C65" s="16" t="n">
        <x:v>2525.2291888962</x:v>
      </x:c>
      <x:c r="D65" s="16" t="n">
        <x:v>-129.0415968962</x:v>
      </x:c>
      <x:c r="E65" s="16" t="n">
        <x:v>-149.9540890929</x:v>
      </x:c>
      <x:c r="F65" s="16" t="n">
        <x:v>246.4735522623</x:v>
      </x:c>
      <x:c r="G65" s="16" t="n">
        <x:v>494.1126852458</x:v>
      </x:c>
      <x:c r="H65" s="16" t="n">
        <x:v>16.7903346885</x:v>
      </x:c>
      <x:c r="I65" s="16" t="n">
        <x:v>-182.2842933497</x:v>
      </x:c>
      <x:c r="J65" s="16" t="n">
        <x:v>31.1990185355</x:v>
      </x:c>
      <x:c r="K65" s="16" t="n">
        <x:v>-12163.475646306</x:v>
      </x:c>
      <x:c r="L65" s="16" t="n">
        <x:v>-4116.1296103169</x:v>
      </x:c>
      <x:c r="M65" s="16" t="n">
        <x:v>-391.3435480656</x:v>
      </x:c>
      <x:c r="N65" s="16" t="n">
        <x:v>74.1164773771</x:v>
      </x:c>
      <x:c r="O65" s="16" t="n">
        <x:v>-61.3692355847</x:v>
      </x:c>
      <x:c r="P65" s="16" t="n">
        <x:v>-1214.745143082</x:v>
      </x:c>
      <x:c r="Q65" s="16" t="n">
        <x:v>-856.7739404809</x:v>
      </x:c>
      <x:c r="R65" s="16" t="n">
        <x:v>-398.7747845246</x:v>
      </x:c>
    </x:row>
    <x:row r="66">
      <x:c r="A66" s="15" t="n">
        <x:v>42125</x:v>
      </x:c>
      <x:c r="B66" s="16"/>
      <x:c r="C66" s="16" t="n">
        <x:v>2643.3738561748</x:v>
      </x:c>
      <x:c r="D66" s="16" t="n">
        <x:v>-194.2354925027</x:v>
      </x:c>
      <x:c r="E66" s="16" t="n">
        <x:v>-125.2767200874</x:v>
      </x:c>
      <x:c r="F66" s="16" t="n">
        <x:v>249.1102704262</x:v>
      </x:c>
      <x:c r="G66" s="16" t="n">
        <x:v>429.1762205028</x:v>
      </x:c>
      <x:c r="H66" s="16" t="n">
        <x:v>-2.457107847</x:v>
      </x:c>
      <x:c r="I66" s="16" t="n">
        <x:v>-97.0696890929</x:v>
      </x:c>
      <x:c r="J66" s="16" t="n">
        <x:v>-2.8403008962</x:v>
      </x:c>
      <x:c r="K66" s="16" t="n">
        <x:v>-9687.6596756066</x:v>
      </x:c>
      <x:c r="L66" s="16" t="n">
        <x:v>-1310.3128561311</x:v>
      </x:c>
      <x:c r="M66" s="16" t="n">
        <x:v>159.589297224</x:v>
      </x:c>
      <x:c r="N66" s="16" t="n">
        <x:v>-38.7103246339</x:v>
      </x:c>
      <x:c r="O66" s="16" t="n">
        <x:v>299.2230954317</x:v>
      </x:c>
      <x:c r="P66" s="16" t="n">
        <x:v>336.3531252459</x:v>
      </x:c>
      <x:c r="Q66" s="16" t="n">
        <x:v>-900.5823828525</x:v>
      </x:c>
      <x:c r="R66" s="16" t="n">
        <x:v>506.4432979235</x:v>
      </x:c>
    </x:row>
    <x:row r="67">
      <x:c r="A67" s="15" t="n">
        <x:v>42156</x:v>
      </x:c>
      <x:c r="B67" s="16"/>
      <x:c r="C67" s="16" t="n">
        <x:v>2183.0512304261</x:v>
      </x:c>
      <x:c r="D67" s="16" t="n">
        <x:v>-6.4558275847</x:v>
      </x:c>
      <x:c r="E67" s="16" t="n">
        <x:v>-26.0874843279</x:v>
      </x:c>
      <x:c r="F67" s="16" t="n">
        <x:v>471.2441261639</x:v>
      </x:c>
      <x:c r="G67" s="16" t="n">
        <x:v>689.7558418579</x:v>
      </x:c>
      <x:c r="H67" s="16" t="n">
        <x:v>-28.5328066448</x:v>
      </x:c>
      <x:c r="I67" s="16" t="n">
        <x:v>-60.9084397486</x:v>
      </x:c>
      <x:c r="J67" s="16" t="n">
        <x:v>-16.5537063169</x:v>
      </x:c>
      <x:c r="K67" s="16" t="n">
        <x:v>-4748.975887388</x:v>
      </x:c>
      <x:c r="L67" s="16" t="n">
        <x:v>1344.5364093552</x:v>
      </x:c>
      <x:c r="M67" s="16" t="n">
        <x:v>429.8968941202</x:v>
      </x:c>
      <x:c r="N67" s="16" t="n">
        <x:v>-159.7847067104</x:v>
      </x:c>
      <x:c r="O67" s="16" t="n">
        <x:v>200.4956866448</x:v>
      </x:c>
      <x:c r="P67" s="16" t="n">
        <x:v>910.0585530055</x:v>
      </x:c>
      <x:c r="Q67" s="16" t="n">
        <x:v>-425.0483882295</x:v>
      </x:c>
      <x:c r="R67" s="16" t="n">
        <x:v>37.7194760219</x:v>
      </x:c>
    </x:row>
    <x:row r="68">
      <x:c r="A68" s="15" t="n">
        <x:v>42186</x:v>
      </x:c>
      <x:c r="B68" s="16"/>
      <x:c r="C68" s="16" t="n">
        <x:v>1681.022373071</x:v>
      </x:c>
      <x:c r="D68" s="16" t="n">
        <x:v>114.7783287869</x:v>
      </x:c>
      <x:c r="E68" s="16" t="n">
        <x:v>-13.135923847</x:v>
      </x:c>
      <x:c r="F68" s="16" t="n">
        <x:v>844.9160363716</x:v>
      </x:c>
      <x:c r="G68" s="16" t="n">
        <x:v>765.1725531803</x:v>
      </x:c>
      <x:c r="H68" s="16" t="n">
        <x:v>-13.680830776</x:v>
      </x:c>
      <x:c r="I68" s="16" t="n">
        <x:v>5.7651266175</x:v>
      </x:c>
      <x:c r="J68" s="16" t="n">
        <x:v>-66.9641240656</x:v>
      </x:c>
      <x:c r="K68" s="16" t="n">
        <x:v>2150.5358085792</x:v>
      </x:c>
      <x:c r="L68" s="16" t="n">
        <x:v>3520.13162894</x:v>
      </x:c>
      <x:c r="M68" s="16" t="n">
        <x:v>795.4066803934</x:v>
      </x:c>
      <x:c r="N68" s="16" t="n">
        <x:v>-436.3230177049</x:v>
      </x:c>
      <x:c r="O68" s="16" t="n">
        <x:v>126.0331074098</x:v>
      </x:c>
      <x:c r="P68" s="16" t="n">
        <x:v>955.2112515847</x:v>
      </x:c>
      <x:c r="Q68" s="16" t="n">
        <x:v>113.4386659672</x:v>
      </x:c>
      <x:c r="R68" s="16" t="n">
        <x:v>932.4243892459</x:v>
      </x:c>
    </x:row>
    <x:row r="69">
      <x:c r="A69" s="15" t="n">
        <x:v>42217</x:v>
      </x:c>
      <x:c r="B69" s="16"/>
      <x:c r="C69" s="16" t="n">
        <x:v>1675.6087746447</x:v>
      </x:c>
      <x:c r="D69" s="16" t="n">
        <x:v>131.5693891148</x:v>
      </x:c>
      <x:c r="E69" s="16" t="n">
        <x:v>4.8924002623</x:v>
      </x:c>
      <x:c r="F69" s="16" t="n">
        <x:v>824.4216645246</x:v>
      </x:c>
      <x:c r="G69" s="16" t="n">
        <x:v>1041.1750601093</x:v>
      </x:c>
      <x:c r="H69" s="16" t="n">
        <x:v>-12.6235234973</x:v>
      </x:c>
      <x:c r="I69" s="16" t="n">
        <x:v>-4.5982227104</x:v>
      </x:c>
      <x:c r="J69" s="16" t="n">
        <x:v>-16.629095082</x:v>
      </x:c>
      <x:c r="K69" s="16" t="n">
        <x:v>1395.4259357596</x:v>
      </x:c>
      <x:c r="L69" s="16" t="n">
        <x:v>112.5742989289</x:v>
      </x:c>
      <x:c r="M69" s="16" t="n">
        <x:v>728.3646629945</x:v>
      </x:c>
      <x:c r="N69" s="16" t="n">
        <x:v>-439.7679498142</x:v>
      </x:c>
      <x:c r="O69" s="16" t="n">
        <x:v>-166.3113928743</x:v>
      </x:c>
      <x:c r="P69" s="16" t="n">
        <x:v>295.3921629727</x:v>
      </x:c>
      <x:c r="Q69" s="16" t="n">
        <x:v>-27.6683387104</x:v>
      </x:c>
      <x:c r="R69" s="16" t="n">
        <x:v>1079.5380782514</x:v>
      </x:c>
    </x:row>
    <x:row r="70">
      <x:c r="A70" s="15" t="n">
        <x:v>42248</x:v>
      </x:c>
      <x:c r="B70" s="16"/>
      <x:c r="C70" s="16" t="n">
        <x:v>881.9058094864</x:v>
      </x:c>
      <x:c r="D70" s="16" t="n">
        <x:v>197.5880022732</x:v>
      </x:c>
      <x:c r="E70" s="16" t="n">
        <x:v>47.7627918689</x:v>
      </x:c>
      <x:c r="F70" s="16" t="n">
        <x:v>531.8847251585</x:v>
      </x:c>
      <x:c r="G70" s="16" t="n">
        <x:v>815.5596220547</x:v>
      </x:c>
      <x:c r="H70" s="16" t="n">
        <x:v>16.3687631038</x:v>
      </x:c>
      <x:c r="I70" s="16" t="n">
        <x:v>-100.6327407213</x:v>
      </x:c>
      <x:c r="J70" s="16" t="n">
        <x:v>-5.861906623</x:v>
      </x:c>
      <x:c r="K70" s="16" t="n">
        <x:v>-40.5908444153</x:v>
      </x:c>
      <x:c r="L70" s="16" t="n">
        <x:v>-3118.5989287869</x:v>
      </x:c>
      <x:c r="M70" s="16" t="n">
        <x:v>1159.3231580328</x:v>
      </x:c>
      <x:c r="N70" s="16" t="n">
        <x:v>-406.3556001749</x:v>
      </x:c>
      <x:c r="O70" s="16" t="n">
        <x:v>-69.9674397377</x:v>
      </x:c>
      <x:c r="P70" s="16" t="n">
        <x:v>-286.903567388</x:v>
      </x:c>
      <x:c r="Q70" s="16" t="n">
        <x:v>-383.1354653552</x:v>
      </x:c>
      <x:c r="R70" s="16" t="n">
        <x:v>975.3182998033</x:v>
      </x:c>
    </x:row>
    <x:row r="71">
      <x:c r="A71" s="15" t="n">
        <x:v>42278</x:v>
      </x:c>
      <x:c r="B71" s="16"/>
      <x:c r="C71" s="16" t="n">
        <x:v>-3726.0128678471</x:v>
      </x:c>
      <x:c r="D71" s="16" t="n">
        <x:v>224.0196892678</x:v>
      </x:c>
      <x:c r="E71" s="16" t="n">
        <x:v>133.0955798907</x:v>
      </x:c>
      <x:c r="F71" s="16" t="n">
        <x:v>198.972734776</x:v>
      </x:c>
      <x:c r="G71" s="16" t="n">
        <x:v>982.0748317814</x:v>
      </x:c>
      <x:c r="H71" s="16" t="n">
        <x:v>0.7169956721</x:v>
      </x:c>
      <x:c r="I71" s="16" t="n">
        <x:v>-183.6784452022</x:v>
      </x:c>
      <x:c r="J71" s="16" t="n">
        <x:v>-12.7954726557</x:v>
      </x:c>
      <x:c r="K71" s="16" t="n">
        <x:v>255.9052417049</x:v>
      </x:c>
      <x:c r="L71" s="16" t="n">
        <x:v>-3129.6455452678</x:v>
      </x:c>
      <x:c r="M71" s="16" t="n">
        <x:v>2562.3637872787</x:v>
      </x:c>
      <x:c r="N71" s="16" t="n">
        <x:v>-339.4530103607</x:v>
      </x:c>
      <x:c r="O71" s="16" t="n">
        <x:v>-69.9575111694</x:v>
      </x:c>
      <x:c r="P71" s="16" t="n">
        <x:v>-219.8558747978</x:v>
      </x:c>
      <x:c r="Q71" s="16" t="n">
        <x:v>-547.5551219235</x:v>
      </x:c>
      <x:c r="R71" s="16" t="n">
        <x:v>347.9337135738</x:v>
      </x:c>
    </x:row>
    <x:row r="72">
      <x:c r="A72" s="15" t="n">
        <x:v>42309</x:v>
      </x:c>
      <x:c r="B72" s="16"/>
      <x:c r="C72" s="16" t="n">
        <x:v>-6771.9969489835</x:v>
      </x:c>
      <x:c r="D72" s="16" t="n">
        <x:v>251.4867833006</x:v>
      </x:c>
      <x:c r="E72" s="16" t="n">
        <x:v>140.2235695738</x:v>
      </x:c>
      <x:c r="F72" s="16" t="n">
        <x:v>-1.7233496831</x:v>
      </x:c>
      <x:c r="G72" s="16" t="n">
        <x:v>632.8539415519</x:v>
      </x:c>
      <x:c r="H72" s="16" t="n">
        <x:v>15.131906623</x:v>
      </x:c>
      <x:c r="I72" s="16" t="n">
        <x:v>-180.2352582295</x:v>
      </x:c>
      <x:c r="J72" s="16" t="n">
        <x:v>-34.5558364372</x:v>
      </x:c>
      <x:c r="K72" s="16" t="n">
        <x:v>498.4004386448</x:v>
      </x:c>
      <x:c r="L72" s="16" t="n">
        <x:v>-1807.3572860327</x:v>
      </x:c>
      <x:c r="M72" s="16" t="n">
        <x:v>3266.4903792787</x:v>
      </x:c>
      <x:c r="N72" s="16" t="n">
        <x:v>-518.2086867322</x:v>
      </x:c>
      <x:c r="O72" s="16" t="n">
        <x:v>-23.4856013115</x:v>
      </x:c>
      <x:c r="P72" s="16" t="n">
        <x:v>-184.0735024262</x:v>
      </x:c>
      <x:c r="Q72" s="16" t="n">
        <x:v>-477.3818224262</x:v>
      </x:c>
      <x:c r="R72" s="16" t="n">
        <x:v>83.7723694863</x:v>
      </x:c>
    </x:row>
    <x:row r="73">
      <x:c r="A73" s="15" t="n">
        <x:v>42339</x:v>
      </x:c>
      <x:c r="B73" s="16"/>
      <x:c r="C73" s="16" t="n">
        <x:v>-7160.8654394754</x:v>
      </x:c>
      <x:c r="D73" s="16" t="n">
        <x:v>206.6751286557</x:v>
      </x:c>
      <x:c r="E73" s="16" t="n">
        <x:v>91.2433926994</x:v>
      </x:c>
      <x:c r="F73" s="16" t="n">
        <x:v>-283.0722231257</x:v>
      </x:c>
      <x:c r="G73" s="16" t="n">
        <x:v>744.7887825136</x:v>
      </x:c>
      <x:c r="H73" s="16" t="n">
        <x:v>60.6701422514</x:v>
      </x:c>
      <x:c r="I73" s="16" t="n">
        <x:v>-128.1878749727</x:v>
      </x:c>
      <x:c r="J73" s="16" t="n">
        <x:v>-54.0189076284</x:v>
      </x:c>
      <x:c r="K73" s="16" t="n">
        <x:v>2059.3188555191</x:v>
      </x:c>
      <x:c r="L73" s="16" t="n">
        <x:v>246.0453154973</x:v>
      </x:c>
      <x:c r="M73" s="16" t="n">
        <x:v>3313.3326513661</x:v>
      </x:c>
      <x:c r="N73" s="16" t="n">
        <x:v>-398.1125596503</x:v>
      </x:c>
      <x:c r="O73" s="16" t="n">
        <x:v>37.4895003279</x:v>
      </x:c>
      <x:c r="P73" s="16" t="n">
        <x:v>-173.0712564809</x:v>
      </x:c>
      <x:c r="Q73" s="16" t="n">
        <x:v>-71.5719005027</x:v>
      </x:c>
      <x:c r="R73" s="16" t="n">
        <x:v>-355.2453280874</x:v>
      </x:c>
    </x:row>
    <x:row r="74">
      <x:c r="A74" s="15" t="n">
        <x:v>42370</x:v>
      </x:c>
      <x:c r="B74" s="16"/>
      <x:c r="C74" s="16" t="n">
        <x:v>-3389.3612642267</x:v>
      </x:c>
      <x:c r="D74" s="16" t="n">
        <x:v>107.2862030684</x:v>
      </x:c>
      <x:c r="E74" s="16" t="n">
        <x:v>106.8271395322</x:v>
      </x:c>
      <x:c r="F74" s="16" t="n">
        <x:v>53.2705434742</x:v>
      </x:c>
      <x:c r="G74" s="16" t="n">
        <x:v>516.7339626662</x:v>
      </x:c>
      <x:c r="H74" s="16" t="n">
        <x:v>78.1335298026</x:v>
      </x:c>
      <x:c r="I74" s="16" t="n">
        <x:v>-38.0048626543</x:v>
      </x:c>
      <x:c r="J74" s="16" t="n">
        <x:v>-26.9138034873</x:v>
      </x:c>
      <x:c r="K74" s="16" t="n">
        <x:v>-2928.3225445454</x:v>
      </x:c>
      <x:c r="L74" s="16" t="n">
        <x:v>-3957.1582676978</x:v>
      </x:c>
      <x:c r="M74" s="16" t="n">
        <x:v>1300.5170005156</x:v>
      </x:c>
      <x:c r="N74" s="16" t="n">
        <x:v>-389.969600457</x:v>
      </x:c>
      <x:c r="O74" s="16" t="n">
        <x:v>298.2399110343</x:v>
      </x:c>
      <x:c r="P74" s="16" t="n">
        <x:v>-1088.9478829886</x:v>
      </x:c>
      <x:c r="Q74" s="16" t="n">
        <x:v>-96.438094959</x:v>
      </x:c>
      <x:c r="R74" s="16" t="n">
        <x:v>-123.4430426805</x:v>
      </x:c>
    </x:row>
    <x:row r="75">
      <x:c r="A75" s="15" t="n">
        <x:v>42401</x:v>
      </x:c>
      <x:c r="B75" s="16"/>
      <x:c r="C75" s="16" t="n">
        <x:v>-1932.4600009634</x:v>
      </x:c>
      <x:c r="D75" s="16" t="n">
        <x:v>68.9463269679</x:v>
      </x:c>
      <x:c r="E75" s="16" t="n">
        <x:v>158.4232561577</x:v>
      </x:c>
      <x:c r="F75" s="16" t="n">
        <x:v>-586.8560752813</x:v>
      </x:c>
      <x:c r="G75" s="16" t="n">
        <x:v>154.9847081649</x:v>
      </x:c>
      <x:c r="H75" s="16" t="n">
        <x:v>119.6384567597</x:v>
      </x:c>
      <x:c r="I75" s="16" t="n">
        <x:v>17.9404452103</x:v>
      </x:c>
      <x:c r="J75" s="16" t="n">
        <x:v>-41.7903018695</x:v>
      </x:c>
      <x:c r="K75" s="16" t="n">
        <x:v>-4883.5472863818</x:v>
      </x:c>
      <x:c r="L75" s="16" t="n">
        <x:v>-4437.5736957243</x:v>
      </x:c>
      <x:c r="M75" s="16" t="n">
        <x:v>127.4608880674</x:v>
      </x:c>
      <x:c r="N75" s="16" t="n">
        <x:v>-327.1532910608</x:v>
      </x:c>
      <x:c r="O75" s="16" t="n">
        <x:v>504.5013766393</x:v>
      </x:c>
      <x:c r="P75" s="16" t="n">
        <x:v>-1070.6880219695</x:v>
      </x:c>
      <x:c r="Q75" s="16" t="n">
        <x:v>-119.7482348559</x:v>
      </x:c>
      <x:c r="R75" s="16" t="n">
        <x:v>-208.6895653936</x:v>
      </x:c>
    </x:row>
    <x:row r="76">
      <x:c r="A76" s="15" t="n">
        <x:v>42430</x:v>
      </x:c>
      <x:c r="B76" s="16"/>
      <x:c r="C76" s="16" t="n">
        <x:v>-2017.1771441097</x:v>
      </x:c>
      <x:c r="D76" s="16" t="n">
        <x:v>-170.7185411507</x:v>
      </x:c>
      <x:c r="E76" s="16" t="n">
        <x:v>150.7058656438</x:v>
      </x:c>
      <x:c r="F76" s="16" t="n">
        <x:v>-702.5518404384</x:v>
      </x:c>
      <x:c r="G76" s="16" t="n">
        <x:v>-742.2493775343</x:v>
      </x:c>
      <x:c r="H76" s="16" t="n">
        <x:v>99.0836181918</x:v>
      </x:c>
      <x:c r="I76" s="16" t="n">
        <x:v>2.6579143014</x:v>
      </x:c>
      <x:c r="J76" s="16" t="n">
        <x:v>11.2448670685</x:v>
      </x:c>
      <x:c r="K76" s="16" t="n">
        <x:v>-3188.5461113425</x:v>
      </x:c>
      <x:c r="L76" s="16" t="n">
        <x:v>-7287.0706279452</x:v>
      </x:c>
      <x:c r="M76" s="16" t="n">
        <x:v>-484.1975110137</x:v>
      </x:c>
      <x:c r="N76" s="16" t="n">
        <x:v>-304.9436002192</x:v>
      </x:c>
      <x:c r="O76" s="16" t="n">
        <x:v>545.2512087671</x:v>
      </x:c>
      <x:c r="P76" s="16" t="n">
        <x:v>-717.8668721096</x:v>
      </x:c>
      <x:c r="Q76" s="16" t="n">
        <x:v>-6.4538684931</x:v>
      </x:c>
      <x:c r="R76" s="16" t="n">
        <x:v>-159.2551267945</x:v>
      </x:c>
    </x:row>
    <x:row r="77">
      <x:c r="A77" s="15" t="n">
        <x:v>42461</x:v>
      </x:c>
      <x:c r="B77" s="16"/>
      <x:c r="C77" s="16" t="n">
        <x:v>-1849.4251597152</x:v>
      </x:c>
      <x:c r="D77" s="16" t="n">
        <x:v>-324.0914172493</x:v>
      </x:c>
      <x:c r="E77" s="16" t="n">
        <x:v>98.7460609753</x:v>
      </x:c>
      <x:c r="F77" s="16" t="n">
        <x:v>-843.847544811</x:v>
      </x:c>
      <x:c r="G77" s="16" t="n">
        <x:v>-1266.0503071562</x:v>
      </x:c>
      <x:c r="H77" s="16" t="n">
        <x:v>156.9033331726</x:v>
      </x:c>
      <x:c r="I77" s="16" t="n">
        <x:v>18.8426853699</x:v>
      </x:c>
      <x:c r="J77" s="16" t="n">
        <x:v>51.6200952986</x:v>
      </x:c>
      <x:c r="K77" s="16" t="n">
        <x:v>1206.4343739616</x:v>
      </x:c>
      <x:c r="L77" s="16" t="n">
        <x:v>-3508.5396946411</x:v>
      </x:c>
      <x:c r="M77" s="16" t="n">
        <x:v>-985.0463319671</x:v>
      </x:c>
      <x:c r="N77" s="16" t="n">
        <x:v>-217.0414095781</x:v>
      </x:c>
      <x:c r="O77" s="16" t="n">
        <x:v>420.2711155726</x:v>
      </x:c>
      <x:c r="P77" s="16" t="n">
        <x:v>-86.8478444712</x:v>
      </x:c>
      <x:c r="Q77" s="16" t="n">
        <x:v>99.6816616767</x:v>
      </x:c>
      <x:c r="R77" s="16" t="n">
        <x:v>-78.2764598356</x:v>
      </x:c>
    </x:row>
    <x:row r="78">
      <x:c r="A78" s="15" t="n">
        <x:v>42491</x:v>
      </x:c>
      <x:c r="B78" s="16"/>
      <x:c r="C78" s="16" t="n">
        <x:v>-1429.386812318</x:v>
      </x:c>
      <x:c r="D78" s="16" t="n">
        <x:v>-321.6519907945</x:v>
      </x:c>
      <x:c r="E78" s="16" t="n">
        <x:v>0.0497227397</x:v>
      </x:c>
      <x:c r="F78" s="16" t="n">
        <x:v>168.6511396822</x:v>
      </x:c>
      <x:c r="G78" s="16" t="n">
        <x:v>-1645.1795384986</x:v>
      </x:c>
      <x:c r="H78" s="16" t="n">
        <x:v>159.0444572055</x:v>
      </x:c>
      <x:c r="I78" s="16" t="n">
        <x:v>-45.3550702466</x:v>
      </x:c>
      <x:c r="J78" s="16" t="n">
        <x:v>62.3833764822</x:v>
      </x:c>
      <x:c r="K78" s="16" t="n">
        <x:v>6748.9690408329</x:v>
      </x:c>
      <x:c r="L78" s="16" t="n">
        <x:v>-1938.4705381699</x:v>
      </x:c>
      <x:c r="M78" s="16" t="n">
        <x:v>-1034.0352091178</x:v>
      </x:c>
      <x:c r="N78" s="16" t="n">
        <x:v>-40.8245619726</x:v>
      </x:c>
      <x:c r="O78" s="16" t="n">
        <x:v>661.8198058082</x:v>
      </x:c>
      <x:c r="P78" s="16" t="n">
        <x:v>-44.0450894904</x:v>
      </x:c>
      <x:c r="Q78" s="16" t="n">
        <x:v>252.9352256877</x:v>
      </x:c>
      <x:c r="R78" s="16" t="n">
        <x:v>54.4573411945</x:v>
      </x:c>
    </x:row>
    <x:row r="79">
      <x:c r="A79" s="15" t="n">
        <x:v>42522</x:v>
      </x:c>
      <x:c r="B79" s="16"/>
      <x:c r="C79" s="16" t="n">
        <x:v>-1021.0898004164</x:v>
      </x:c>
      <x:c r="D79" s="16" t="n">
        <x:v>-138.4269238356</x:v>
      </x:c>
      <x:c r="E79" s="16" t="n">
        <x:v>26.1209047671</x:v>
      </x:c>
      <x:c r="F79" s="16" t="n">
        <x:v>460.4103064548</x:v>
      </x:c>
      <x:c r="G79" s="16" t="n">
        <x:v>-1537.3464246795</x:v>
      </x:c>
      <x:c r="H79" s="16" t="n">
        <x:v>148.3983548493</x:v>
      </x:c>
      <x:c r="I79" s="16" t="n">
        <x:v>-21.5257961205</x:v>
      </x:c>
      <x:c r="J79" s="16" t="n">
        <x:v>43.2621068274</x:v>
      </x:c>
      <x:c r="K79" s="16" t="n">
        <x:v>5291.2444973589</x:v>
      </x:c>
      <x:c r="L79" s="16" t="n">
        <x:v>2647.9122330301</x:v>
      </x:c>
      <x:c r="M79" s="16" t="n">
        <x:v>-1099.2239412603</x:v>
      </x:c>
      <x:c r="N79" s="16" t="n">
        <x:v>-62.7180460712</x:v>
      </x:c>
      <x:c r="O79" s="16" t="n">
        <x:v>507.6017706082</x:v>
      </x:c>
      <x:c r="P79" s="16" t="n">
        <x:v>-133.9042128657</x:v>
      </x:c>
      <x:c r="Q79" s="16" t="n">
        <x:v>135.950230137</x:v>
      </x:c>
      <x:c r="R79" s="16" t="n">
        <x:v>53.9276171397</x:v>
      </x:c>
    </x:row>
    <x:row r="80">
      <x:c r="A80" s="15" t="n">
        <x:v>42552</x:v>
      </x:c>
      <x:c r="B80" s="16"/>
      <x:c r="C80" s="16" t="n">
        <x:v>-738.8277900273</x:v>
      </x:c>
      <x:c r="D80" s="16" t="n">
        <x:v>-245.6005354959</x:v>
      </x:c>
      <x:c r="E80" s="16" t="n">
        <x:v>36.3224842521</x:v>
      </x:c>
      <x:c r="F80" s="16" t="n">
        <x:v>315.6054976877</x:v>
      </x:c>
      <x:c r="G80" s="16" t="n">
        <x:v>-1020.9257810411</x:v>
      </x:c>
      <x:c r="H80" s="16" t="n">
        <x:v>107.829522674</x:v>
      </x:c>
      <x:c r="I80" s="16" t="n">
        <x:v>-31.931424263</x:v>
      </x:c>
      <x:c r="J80" s="16" t="n">
        <x:v>-8.1475016767</x:v>
      </x:c>
      <x:c r="K80" s="16" t="n">
        <x:v>4228.7795587616</x:v>
      </x:c>
      <x:c r="L80" s="16" t="n">
        <x:v>4481.9443473535</x:v>
      </x:c>
      <x:c r="M80" s="16" t="n">
        <x:v>-476.7680864438</x:v>
      </x:c>
      <x:c r="N80" s="16" t="n">
        <x:v>-43.7921751671</x:v>
      </x:c>
      <x:c r="O80" s="16" t="n">
        <x:v>342.203500011</x:v>
      </x:c>
      <x:c r="P80" s="16" t="n">
        <x:v>-411.9541235726</x:v>
      </x:c>
      <x:c r="Q80" s="16" t="n">
        <x:v>165.2991185096</x:v>
      </x:c>
      <x:c r="R80" s="16" t="n">
        <x:v>-3.0299309589</x:v>
      </x:c>
    </x:row>
    <x:row r="81">
      <x:c r="A81" s="15" t="n">
        <x:v>42583</x:v>
      </x:c>
      <x:c r="B81" s="16"/>
      <x:c r="C81" s="16" t="n">
        <x:v>313.0603786522</x:v>
      </x:c>
      <x:c r="D81" s="16" t="n">
        <x:v>-326.0900460712</x:v>
      </x:c>
      <x:c r="E81" s="16" t="n">
        <x:v>76.6419776877</x:v>
      </x:c>
      <x:c r="F81" s="16" t="n">
        <x:v>-70.7271390685</x:v>
      </x:c>
      <x:c r="G81" s="16" t="n">
        <x:v>-1244.8425928548</x:v>
      </x:c>
      <x:c r="H81" s="16" t="n">
        <x:v>58.5127396822</x:v>
      </x:c>
      <x:c r="I81" s="16" t="n">
        <x:v>11.7701228712</x:v>
      </x:c>
      <x:c r="J81" s="16" t="n">
        <x:v>-12.3091470904</x:v>
      </x:c>
      <x:c r="K81" s="16" t="n">
        <x:v>1638.6843506411</x:v>
      </x:c>
      <x:c r="L81" s="16" t="n">
        <x:v>5464.7611223671</x:v>
      </x:c>
      <x:c r="M81" s="16" t="n">
        <x:v>-1015.3671793973</x:v>
      </x:c>
      <x:c r="N81" s="16" t="n">
        <x:v>30.6212112658</x:v>
      </x:c>
      <x:c r="O81" s="16" t="n">
        <x:v>206.6187172822</x:v>
      </x:c>
      <x:c r="P81" s="16" t="n">
        <x:v>-304.1504822356</x:v>
      </x:c>
      <x:c r="Q81" s="16" t="n">
        <x:v>94.8212379178</x:v>
      </x:c>
      <x:c r="R81" s="16" t="n">
        <x:v>205.488762126</x:v>
      </x:c>
    </x:row>
    <x:row r="82">
      <x:c r="A82" s="15" t="n">
        <x:v>42614</x:v>
      </x:c>
      <x:c r="B82" s="16"/>
      <x:c r="C82" s="16" t="n">
        <x:v>1297.5706588931</x:v>
      </x:c>
      <x:c r="D82" s="16" t="n">
        <x:v>-303.172728811</x:v>
      </x:c>
      <x:c r="E82" s="16" t="n">
        <x:v>127.5341078794</x:v>
      </x:c>
      <x:c r="F82" s="16" t="n">
        <x:v>-65.4448268274</x:v>
      </x:c>
      <x:c r="G82" s="16" t="n">
        <x:v>-727.8639445041</x:v>
      </x:c>
      <x:c r="H82" s="16" t="n">
        <x:v>52.9942848</x:v>
      </x:c>
      <x:c r="I82" s="16" t="n">
        <x:v>18.2923372712</x:v>
      </x:c>
      <x:c r="J82" s="16" t="n">
        <x:v>-51.0944722411</x:v>
      </x:c>
      <x:c r="K82" s="16" t="n">
        <x:v>2620.083722126</x:v>
      </x:c>
      <x:c r="L82" s="16" t="n">
        <x:v>3491.6529706082</x:v>
      </x:c>
      <x:c r="M82" s="16" t="n">
        <x:v>-31.9480172712</x:v>
      </x:c>
      <x:c r="N82" s="16" t="n">
        <x:v>68.1669298849</x:v>
      </x:c>
      <x:c r="O82" s="16" t="n">
        <x:v>238.3651068493</x:v>
      </x:c>
      <x:c r="P82" s="16" t="n">
        <x:v>-116.2997619726</x:v>
      </x:c>
      <x:c r="Q82" s="16" t="n">
        <x:v>133.8522528438</x:v>
      </x:c>
      <x:c r="R82" s="16" t="n">
        <x:v>550.0374529753</x:v>
      </x:c>
    </x:row>
    <x:row r="83">
      <x:c r="A83" s="15" t="n">
        <x:v>42644</x:v>
      </x:c>
      <x:c r="B83" s="16"/>
      <x:c r="C83" s="16" t="n">
        <x:v>3128.9493167342</x:v>
      </x:c>
      <x:c r="D83" s="16" t="n">
        <x:v>-58.3958684055</x:v>
      </x:c>
      <x:c r="E83" s="16" t="n">
        <x:v>185.8627491069</x:v>
      </x:c>
      <x:c r="F83" s="16" t="n">
        <x:v>331.243917326</x:v>
      </x:c>
      <x:c r="G83" s="16" t="n">
        <x:v>-1665.0998414027</x:v>
      </x:c>
      <x:c r="H83" s="16" t="n">
        <x:v>32.1303428384</x:v>
      </x:c>
      <x:c r="I83" s="16" t="n">
        <x:v>-28.1370826959</x:v>
      </x:c>
      <x:c r="J83" s="16" t="n">
        <x:v>-77.5494627945</x:v>
      </x:c>
      <x:c r="K83" s="16" t="n">
        <x:v>2754.6071974466</x:v>
      </x:c>
      <x:c r="L83" s="16" t="n">
        <x:v>1947.4169901589</x:v>
      </x:c>
      <x:c r="M83" s="16" t="n">
        <x:v>-1277.1904664548</x:v>
      </x:c>
      <x:c r="N83" s="16" t="n">
        <x:v>94.5062879068</x:v>
      </x:c>
      <x:c r="O83" s="16" t="n">
        <x:v>239.6917002521</x:v>
      </x:c>
      <x:c r="P83" s="16" t="n">
        <x:v>106.6518175562</x:v>
      </x:c>
      <x:c r="Q83" s="16" t="n">
        <x:v>102.3087144767</x:v>
      </x:c>
      <x:c r="R83" s="16" t="n">
        <x:v>671.7714956274</x:v>
      </x:c>
    </x:row>
    <x:row r="84">
      <x:c r="A84" s="15" t="n">
        <x:v>42675</x:v>
      </x:c>
      <x:c r="B84" s="16"/>
      <x:c r="C84" s="16" t="n">
        <x:v>5943.977089052</x:v>
      </x:c>
      <x:c r="D84" s="16" t="n">
        <x:v>77.6489617534</x:v>
      </x:c>
      <x:c r="E84" s="16" t="n">
        <x:v>192.4016340164</x:v>
      </x:c>
      <x:c r="F84" s="16" t="n">
        <x:v>1308.960728548</x:v>
      </x:c>
      <x:c r="G84" s="16" t="n">
        <x:v>-693.4532019945</x:v>
      </x:c>
      <x:c r="H84" s="16" t="n">
        <x:v>30.6015321425</x:v>
      </x:c>
      <x:c r="I84" s="16" t="n">
        <x:v>-24.6743316164</x:v>
      </x:c>
      <x:c r="J84" s="16" t="n">
        <x:v>-74.2596222247</x:v>
      </x:c>
      <x:c r="K84" s="16" t="n">
        <x:v>2867.6728350246</x:v>
      </x:c>
      <x:c r="L84" s="16" t="n">
        <x:v>-210.9481536219</x:v>
      </x:c>
      <x:c r="M84" s="16" t="n">
        <x:v>-1482.8074609973</x:v>
      </x:c>
      <x:c r="N84" s="16" t="n">
        <x:v>-39.1153269041</x:v>
      </x:c>
      <x:c r="O84" s="16" t="n">
        <x:v>85.3111155726</x:v>
      </x:c>
      <x:c r="P84" s="16" t="n">
        <x:v>220.80384</x:v>
      </x:c>
      <x:c r="Q84" s="16" t="n">
        <x:v>-30.3755361315</x:v>
      </x:c>
      <x:c r="R84" s="16" t="n">
        <x:v>591.806707726</x:v>
      </x:c>
    </x:row>
    <x:row r="85">
      <x:c r="A85" s="15" t="n">
        <x:v>42705</x:v>
      </x:c>
      <x:c r="B85" s="16"/>
      <x:c r="C85" s="16" t="n">
        <x:v>6716.125141918</x:v>
      </x:c>
      <x:c r="D85" s="16" t="n">
        <x:v>73.2438719123</x:v>
      </x:c>
      <x:c r="E85" s="16" t="n">
        <x:v>114.259129074</x:v>
      </x:c>
      <x:c r="F85" s="16" t="n">
        <x:v>1305.5373927452</x:v>
      </x:c>
      <x:c r="G85" s="16" t="n">
        <x:v>-688.4592889864</x:v>
      </x:c>
      <x:c r="H85" s="16" t="n">
        <x:v>34.1155890849</x:v>
      </x:c>
      <x:c r="I85" s="16" t="n">
        <x:v>-102.0253956384</x:v>
      </x:c>
      <x:c r="J85" s="16" t="n">
        <x:v>-40.1948657973</x:v>
      </x:c>
      <x:c r="K85" s="16" t="n">
        <x:v>6509.2861043726</x:v>
      </x:c>
      <x:c r="L85" s="16" t="n">
        <x:v>1326.771980274</x:v>
      </x:c>
      <x:c r="M85" s="16" t="n">
        <x:v>-2532.838145052</x:v>
      </x:c>
      <x:c r="N85" s="16" t="n">
        <x:v>-5.7274260603</x:v>
      </x:c>
      <x:c r="O85" s="16" t="n">
        <x:v>-17.0997163836</x:v>
      </x:c>
      <x:c r="P85" s="16" t="n">
        <x:v>347.3809513206</x:v>
      </x:c>
      <x:c r="Q85" s="16" t="n">
        <x:v>-87.8646762082</x:v>
      </x:c>
      <x:c r="R85" s="16" t="n">
        <x:v>541.6275820712</x:v>
      </x:c>
    </x:row>
    <x:row r="86">
      <x:c r="A86" s="15" t="n">
        <x:v>42736</x:v>
      </x:c>
      <x:c r="B86" s="16"/>
      <x:c r="C86" s="16" t="n">
        <x:v>7169.4947790904</x:v>
      </x:c>
      <x:c r="D86" s="16" t="n">
        <x:v>59.932216811</x:v>
      </x:c>
      <x:c r="E86" s="16" t="n">
        <x:v>56.5746481096</x:v>
      </x:c>
      <x:c r="F86" s="16" t="n">
        <x:v>668.1439721206</x:v>
      </x:c>
      <x:c r="G86" s="16" t="n">
        <x:v>340.3512916164</x:v>
      </x:c>
      <x:c r="H86" s="16" t="n">
        <x:v>66.8873183562</x:v>
      </x:c>
      <x:c r="I86" s="16" t="n">
        <x:v>-127.7096617644</x:v>
      </x:c>
      <x:c r="J86" s="16" t="n">
        <x:v>29.5215673863</x:v>
      </x:c>
      <x:c r="K86" s="16" t="n">
        <x:v>10006.3962568493</x:v>
      </x:c>
      <x:c r="L86" s="16" t="n">
        <x:v>3343.766168548</x:v>
      </x:c>
      <x:c r="M86" s="16" t="n">
        <x:v>-1065.5624612822</x:v>
      </x:c>
      <x:c r="N86" s="16" t="n">
        <x:v>-62.4407692658</x:v>
      </x:c>
      <x:c r="O86" s="16" t="n">
        <x:v>72.6633899836</x:v>
      </x:c>
      <x:c r="P86" s="16" t="n">
        <x:v>447.099226126</x:v>
      </x:c>
      <x:c r="Q86" s="16" t="n">
        <x:v>19.4753360657</x:v>
      </x:c>
      <x:c r="R86" s="16" t="n">
        <x:v>230.1265905973</x:v>
      </x:c>
    </x:row>
    <x:row r="87">
      <x:c r="A87" s="15" t="n">
        <x:v>42767</x:v>
      </x:c>
      <x:c r="B87" s="16"/>
      <x:c r="C87" s="16" t="n">
        <x:v>4067.0264937206</x:v>
      </x:c>
      <x:c r="D87" s="16" t="n">
        <x:v>42.0287898301</x:v>
      </x:c>
      <x:c r="E87" s="16" t="n">
        <x:v>4.5860190685</x:v>
      </x:c>
      <x:c r="F87" s="16" t="n">
        <x:v>142.1721614027</x:v>
      </x:c>
      <x:c r="G87" s="16" t="n">
        <x:v>282.4820651836</x:v>
      </x:c>
      <x:c r="H87" s="16" t="n">
        <x:v>65.1394526685</x:v>
      </x:c>
      <x:c r="I87" s="16" t="n">
        <x:v>-104.9141859945</x:v>
      </x:c>
      <x:c r="J87" s="16" t="n">
        <x:v>63.7210068164</x:v>
      </x:c>
      <x:c r="K87" s="16" t="n">
        <x:v>11742.7686444055</x:v>
      </x:c>
      <x:c r="L87" s="16" t="n">
        <x:v>4093.5387863014</x:v>
      </x:c>
      <x:c r="M87" s="16" t="n">
        <x:v>-289.9487149589</x:v>
      </x:c>
      <x:c r="N87" s="16" t="n">
        <x:v>106.6413571945</x:v>
      </x:c>
      <x:c r="O87" s="16" t="n">
        <x:v>67.7172665863</x:v>
      </x:c>
      <x:c r="P87" s="16" t="n">
        <x:v>460.8491677808</x:v>
      </x:c>
      <x:c r="Q87" s="16" t="n">
        <x:v>238.7594131288</x:v>
      </x:c>
      <x:c r="R87" s="16" t="n">
        <x:v>-12.7302538521</x:v>
      </x:c>
    </x:row>
    <x:row r="88">
      <x:c r="A88" s="15" t="n">
        <x:v>42795</x:v>
      </x:c>
      <x:c r="B88" s="16"/>
      <x:c r="C88" s="16" t="n">
        <x:v>3786.2961839341</x:v>
      </x:c>
      <x:c r="D88" s="16" t="n">
        <x:v>-4.6044244164</x:v>
      </x:c>
      <x:c r="E88" s="16" t="n">
        <x:v>-49.1768358575</x:v>
      </x:c>
      <x:c r="F88" s="16" t="n">
        <x:v>76.0691154411</x:v>
      </x:c>
      <x:c r="G88" s="16" t="n">
        <x:v>-413.5666345425</x:v>
      </x:c>
      <x:c r="H88" s="16" t="n">
        <x:v>49.1868261699</x:v>
      </x:c>
      <x:c r="I88" s="16" t="n">
        <x:v>-7.8096910466</x:v>
      </x:c>
      <x:c r="J88" s="16" t="n">
        <x:v>86.5409688548</x:v>
      </x:c>
      <x:c r="K88" s="16" t="n">
        <x:v>11090.2442563069</x:v>
      </x:c>
      <x:c r="L88" s="16" t="n">
        <x:v>2749.8584334027</x:v>
      </x:c>
      <x:c r="M88" s="16" t="n">
        <x:v>77.4625870904</x:v>
      </x:c>
      <x:c r="N88" s="16" t="n">
        <x:v>177.4492065753</x:v>
      </x:c>
      <x:c r="O88" s="16" t="n">
        <x:v>259.9317588164</x:v>
      </x:c>
      <x:c r="P88" s="16" t="n">
        <x:v>345.8050675726</x:v>
      </x:c>
      <x:c r="Q88" s="16" t="n">
        <x:v>409.6738155836</x:v>
      </x:c>
      <x:c r="R88" s="16" t="n">
        <x:v>2274.1448116603</x:v>
      </x:c>
    </x:row>
    <x:row r="89">
      <x:c r="A89" s="15" t="n">
        <x:v>42826</x:v>
      </x:c>
      <x:c r="B89" s="16"/>
      <x:c r="C89" s="16" t="n">
        <x:v>1682.8295560767</x:v>
      </x:c>
      <x:c r="D89" s="16" t="n">
        <x:v>45.9633648219</x:v>
      </x:c>
      <x:c r="E89" s="16" t="n">
        <x:v>-118.0744302466</x:v>
      </x:c>
      <x:c r="F89" s="16" t="n">
        <x:v>146.4638691945</x:v>
      </x:c>
      <x:c r="G89" s="16" t="n">
        <x:v>-991.2812259068</x:v>
      </x:c>
      <x:c r="H89" s="16" t="n">
        <x:v>34.0104346301</x:v>
      </x:c>
      <x:c r="I89" s="16" t="n">
        <x:v>77.3093989699</x:v>
      </x:c>
      <x:c r="J89" s="16" t="n">
        <x:v>74.8518248329</x:v>
      </x:c>
      <x:c r="K89" s="16" t="n">
        <x:v>6820.401207348</x:v>
      </x:c>
      <x:c r="L89" s="16" t="n">
        <x:v>-1307.2881769206</x:v>
      </x:c>
      <x:c r="M89" s="16" t="n">
        <x:v>492.3219207014</x:v>
      </x:c>
      <x:c r="N89" s="16" t="n">
        <x:v>290.028595726</x:v>
      </x:c>
      <x:c r="O89" s="16" t="n">
        <x:v>305.0451519123</x:v>
      </x:c>
      <x:c r="P89" s="16" t="n">
        <x:v>325.9911855342</x:v>
      </x:c>
      <x:c r="Q89" s="16" t="n">
        <x:v>348.6889430795</x:v>
      </x:c>
      <x:c r="R89" s="16" t="n">
        <x:v>1776.9328557589</x:v>
      </x:c>
    </x:row>
    <x:row r="90">
      <x:c r="A90" s="15" t="n">
        <x:v>42856</x:v>
      </x:c>
      <x:c r="B90" s="16"/>
      <x:c r="C90" s="16" t="n">
        <x:v>1823.9836412493</x:v>
      </x:c>
      <x:c r="D90" s="16" t="n">
        <x:v>10.0945997151</x:v>
      </x:c>
      <x:c r="E90" s="16" t="n">
        <x:v>-30.0753563178</x:v>
      </x:c>
      <x:c r="F90" s="16" t="n">
        <x:v>-759.168128</x:v>
      </x:c>
      <x:c r="G90" s="16" t="n">
        <x:v>-2287.3005158356</x:v>
      </x:c>
      <x:c r="H90" s="16" t="n">
        <x:v>77.7708345863</x:v>
      </x:c>
      <x:c r="I90" s="16" t="n">
        <x:v>67.9322130411</x:v>
      </x:c>
      <x:c r="J90" s="16" t="n">
        <x:v>66.3384490082</x:v>
      </x:c>
      <x:c r="K90" s="16" t="n">
        <x:v>4206.2978041644</x:v>
      </x:c>
      <x:c r="L90" s="16" t="n">
        <x:v>1400.7631331945</x:v>
      </x:c>
      <x:c r="M90" s="16" t="n">
        <x:v>960.6665617534</x:v>
      </x:c>
      <x:c r="N90" s="16" t="n">
        <x:v>300.615045611</x:v>
      </x:c>
      <x:c r="O90" s="16" t="n">
        <x:v>270.0130577534</x:v>
      </x:c>
      <x:c r="P90" s="16" t="n">
        <x:v>363.8305062575</x:v>
      </x:c>
      <x:c r="Q90" s="16" t="n">
        <x:v>336.6059180712</x:v>
      </x:c>
      <x:c r="R90" s="16" t="n">
        <x:v>-998.0657537753</x:v>
      </x:c>
    </x:row>
    <x:row r="91">
      <x:c r="A91" s="15" t="n">
        <x:v>42887</x:v>
      </x:c>
      <x:c r="B91" s="16"/>
      <x:c r="C91" s="16" t="n">
        <x:v>2052.9307816329</x:v>
      </x:c>
      <x:c r="D91" s="16" t="n">
        <x:v>27.9365130521</x:v>
      </x:c>
      <x:c r="E91" s="16" t="n">
        <x:v>-7.3118001096</x:v>
      </x:c>
      <x:c r="F91" s="16" t="n">
        <x:v>-717.4718162411</x:v>
      </x:c>
      <x:c r="G91" s="16" t="n">
        <x:v>-1521.5125902685</x:v>
      </x:c>
      <x:c r="H91" s="16" t="n">
        <x:v>83.7826144438</x:v>
      </x:c>
      <x:c r="I91" s="16" t="n">
        <x:v>48.6419603726</x:v>
      </x:c>
      <x:c r="J91" s="16" t="n">
        <x:v>102.7978336438</x:v>
      </x:c>
      <x:c r="K91" s="16" t="n">
        <x:v>-2668.8785142794</x:v>
      </x:c>
      <x:c r="L91" s="16" t="n">
        <x:v>1137.7917966027</x:v>
      </x:c>
      <x:c r="M91" s="16" t="n">
        <x:v>1209.5930937863</x:v>
      </x:c>
      <x:c r="N91" s="16" t="n">
        <x:v>353.0546068164</x:v>
      </x:c>
      <x:c r="O91" s="16" t="n">
        <x:v>278.8204908712</x:v>
      </x:c>
      <x:c r="P91" s="16" t="n">
        <x:v>326.0502389479</x:v>
      </x:c>
      <x:c r="Q91" s="16" t="n">
        <x:v>218.3616366904</x:v>
      </x:c>
      <x:c r="R91" s="16" t="n">
        <x:v>778.7874030466</x:v>
      </x:c>
    </x:row>
    <x:row r="92">
      <x:c r="A92" s="15" t="n">
        <x:v>42917</x:v>
      </x:c>
      <x:c r="B92" s="16"/>
      <x:c r="C92" s="16" t="n">
        <x:v>2791.1823374027</x:v>
      </x:c>
      <x:c r="D92" s="16" t="n">
        <x:v>2.2798479781</x:v>
      </x:c>
      <x:c r="E92" s="16" t="n">
        <x:v>66.6024313863</x:v>
      </x:c>
      <x:c r="F92" s="16" t="n">
        <x:v>-181.351864811</x:v>
      </x:c>
      <x:c r="G92" s="16" t="n">
        <x:v>-1661.6447154849</x:v>
      </x:c>
      <x:c r="H92" s="16" t="n">
        <x:v>88.5279077699</x:v>
      </x:c>
      <x:c r="I92" s="16" t="n">
        <x:v>-23.0383609205</x:v>
      </x:c>
      <x:c r="J92" s="16" t="n">
        <x:v>121.587327737</x:v>
      </x:c>
      <x:c r="K92" s="16" t="n">
        <x:v>-3025.6104853918</x:v>
      </x:c>
      <x:c r="L92" s="16" t="n">
        <x:v>3508.182796274</x:v>
      </x:c>
      <x:c r="M92" s="16" t="n">
        <x:v>952.2058127781</x:v>
      </x:c>
      <x:c r="N92" s="16" t="n">
        <x:v>327.3391728219</x:v>
      </x:c>
      <x:c r="O92" s="16" t="n">
        <x:v>82.8134526247</x:v>
      </x:c>
      <x:c r="P92" s="16" t="n">
        <x:v>316.1551104</x:v>
      </x:c>
      <x:c r="Q92" s="16" t="n">
        <x:v>330.3862144438</x:v>
      </x:c>
      <x:c r="R92" s="16" t="n">
        <x:v>820.6691410411</x:v>
      </x:c>
    </x:row>
    <x:row r="93">
      <x:c r="A93" s="15" t="n">
        <x:v>42948</x:v>
      </x:c>
      <x:c r="B93" s="16"/>
      <x:c r="C93" s="16" t="n">
        <x:v>3149.6440930191</x:v>
      </x:c>
      <x:c r="D93" s="16" t="n">
        <x:v>-44.5280899507</x:v>
      </x:c>
      <x:c r="E93" s="16" t="n">
        <x:v>131.1825468493</x:v>
      </x:c>
      <x:c r="F93" s="16" t="n">
        <x:v>241.5711295123</x:v>
      </x:c>
      <x:c r="G93" s="16" t="n">
        <x:v>-165.0985558137</x:v>
      </x:c>
      <x:c r="H93" s="16" t="n">
        <x:v>85.330381326</x:v>
      </x:c>
      <x:c r="I93" s="16" t="n">
        <x:v>-15.8194686685</x:v>
      </x:c>
      <x:c r="J93" s="16" t="n">
        <x:v>125.3764019726</x:v>
      </x:c>
      <x:c r="K93" s="16" t="n">
        <x:v>-2845.9818929535</x:v>
      </x:c>
      <x:c r="L93" s="16" t="n">
        <x:v>-1452.7258224219</x:v>
      </x:c>
      <x:c r="M93" s="16" t="n">
        <x:v>961.920613348</x:v>
      </x:c>
      <x:c r="N93" s="16" t="n">
        <x:v>261.4865066082</x:v>
      </x:c>
      <x:c r="O93" s="16" t="n">
        <x:v>48.4798674411</x:v>
      </x:c>
      <x:c r="P93" s="16" t="n">
        <x:v>257.8349725808</x:v>
      </x:c>
      <x:c r="Q93" s="16" t="n">
        <x:v>292.2387393096</x:v>
      </x:c>
      <x:c r="R93" s="16" t="n">
        <x:v>4763.2649251068</x:v>
      </x:c>
    </x:row>
    <x:row r="94">
      <x:c r="A94" s="15" t="n">
        <x:v>42979</x:v>
      </x:c>
      <x:c r="B94" s="16"/>
      <x:c r="C94" s="16" t="n">
        <x:v>798.2020776328</x:v>
      </x:c>
      <x:c r="D94" s="16" t="n">
        <x:v>-52.4523768986</x:v>
      </x:c>
      <x:c r="E94" s="16" t="n">
        <x:v>170.9441779726</x:v>
      </x:c>
      <x:c r="F94" s="16" t="n">
        <x:v>316.4110620055</x:v>
      </x:c>
      <x:c r="G94" s="16" t="n">
        <x:v>-154.7528382246</x:v>
      </x:c>
      <x:c r="H94" s="16" t="n">
        <x:v>43.8200079781</x:v>
      </x:c>
      <x:c r="I94" s="16" t="n">
        <x:v>-57.9379660274</x:v>
      </x:c>
      <x:c r="J94" s="16" t="n">
        <x:v>54.2418453918</x:v>
      </x:c>
      <x:c r="K94" s="16" t="n">
        <x:v>5.8637207232</x:v>
      </x:c>
      <x:c r="L94" s="16" t="n">
        <x:v>-1287.6218066411</x:v>
      </x:c>
      <x:c r="M94" s="16" t="n">
        <x:v>1009.0526849753</x:v>
      </x:c>
      <x:c r="N94" s="16" t="n">
        <x:v>200.4362942247</x:v>
      </x:c>
      <x:c r="O94" s="16" t="n">
        <x:v>-51.5136652274</x:v>
      </x:c>
      <x:c r="P94" s="16" t="n">
        <x:v>142.5135096986</x:v>
      </x:c>
      <x:c r="Q94" s="16" t="n">
        <x:v>256.0605364603</x:v>
      </x:c>
      <x:c r="R94" s="16" t="n">
        <x:v>344.5863748384</x:v>
      </x:c>
    </x:row>
    <x:row r="95">
      <x:c r="A95" s="15" t="n">
        <x:v>43009</x:v>
      </x:c>
      <x:c r="B95" s="16"/>
      <x:c r="C95" s="16" t="n">
        <x:v>1899.2706714302</x:v>
      </x:c>
      <x:c r="D95" s="16" t="n">
        <x:v>-258.5449643836</x:v>
      </x:c>
      <x:c r="E95" s="16" t="n">
        <x:v>187.4997899397</x:v>
      </x:c>
      <x:c r="F95" s="16" t="n">
        <x:v>25.6779530521</x:v>
      </x:c>
      <x:c r="G95" s="16" t="n">
        <x:v>780.7113756494</x:v>
      </x:c>
      <x:c r="H95" s="16" t="n">
        <x:v>49.9009737644</x:v>
      </x:c>
      <x:c r="I95" s="16" t="n">
        <x:v>12.0311453808</x:v>
      </x:c>
      <x:c r="J95" s="16" t="n">
        <x:v>44.1885107726</x:v>
      </x:c>
      <x:c r="K95" s="16" t="n">
        <x:v>1595.0449477261</x:v>
      </x:c>
      <x:c r="L95" s="16" t="n">
        <x:v>-2442.0823085589</x:v>
      </x:c>
      <x:c r="M95" s="16" t="n">
        <x:v>1346.8128168329</x:v>
      </x:c>
      <x:c r="N95" s="16" t="n">
        <x:v>278.7137649096</x:v>
      </x:c>
      <x:c r="O95" s="16" t="n">
        <x:v>-54.1653475945</x:v>
      </x:c>
      <x:c r="P95" s="16" t="n">
        <x:v>276.0667954849</x:v>
      </x:c>
      <x:c r="Q95" s="16" t="n">
        <x:v>290.6577081425</x:v>
      </x:c>
      <x:c r="R95" s="16" t="n">
        <x:v>1016.4140479123</x:v>
      </x:c>
    </x:row>
    <x:row r="96">
      <x:c r="A96" s="15" t="n">
        <x:v>43040</x:v>
      </x:c>
      <x:c r="B96" s="16"/>
      <x:c r="C96" s="16" t="n">
        <x:v>1277.3008566358</x:v>
      </x:c>
      <x:c r="D96" s="16" t="n">
        <x:v>-239.0093108603</x:v>
      </x:c>
      <x:c r="E96" s="16" t="n">
        <x:v>88.1693939726</x:v>
      </x:c>
      <x:c r="F96" s="16" t="n">
        <x:v>376.072223211</x:v>
      </x:c>
      <x:c r="G96" s="16" t="n">
        <x:v>865.8647857972</x:v>
      </x:c>
      <x:c r="H96" s="16" t="n">
        <x:v>39.2255024219</x:v>
      </x:c>
      <x:c r="I96" s="16" t="n">
        <x:v>19.0586119671</x:v>
      </x:c>
      <x:c r="J96" s="16" t="n">
        <x:v>51.1255089096</x:v>
      </x:c>
      <x:c r="K96" s="16" t="n">
        <x:v>2804.5346833973</x:v>
      </x:c>
      <x:c r="L96" s="16" t="n">
        <x:v>-565.2706247891</x:v>
      </x:c>
      <x:c r="M96" s="16" t="n">
        <x:v>902.8025968219</x:v>
      </x:c>
      <x:c r="N96" s="16" t="n">
        <x:v>220.9934822575</x:v>
      </x:c>
      <x:c r="O96" s="16" t="n">
        <x:v>43.9592686466</x:v>
      </x:c>
      <x:c r="P96" s="16" t="n">
        <x:v>328.4763725151</x:v>
      </x:c>
      <x:c r="Q96" s="16" t="n">
        <x:v>437.0947405151</x:v>
      </x:c>
      <x:c r="R96" s="16" t="n">
        <x:v>1134.0831814137</x:v>
      </x:c>
    </x:row>
    <x:row r="97">
      <x:c r="A97" s="15" t="n">
        <x:v>43070</x:v>
      </x:c>
      <x:c r="B97" s="16"/>
      <x:c r="C97" s="16" t="n">
        <x:v>2283.6970285589</x:v>
      </x:c>
      <x:c r="D97" s="16" t="n">
        <x:v>-366.6083712</x:v>
      </x:c>
      <x:c r="E97" s="16" t="n">
        <x:v>129.392812274</x:v>
      </x:c>
      <x:c r="F97" s="16" t="n">
        <x:v>556.5674674849</x:v>
      </x:c>
      <x:c r="G97" s="16" t="n">
        <x:v>1121.8305785862</x:v>
      </x:c>
      <x:c r="H97" s="16" t="n">
        <x:v>127.0416475178</x:v>
      </x:c>
      <x:c r="I97" s="16" t="n">
        <x:v>90.5835167123</x:v>
      </x:c>
      <x:c r="J97" s="16" t="n">
        <x:v>67.9128666301</x:v>
      </x:c>
      <x:c r="K97" s="16" t="n">
        <x:v>4094.2547778192</x:v>
      </x:c>
      <x:c r="L97" s="16" t="n">
        <x:v>1723.0430011617</x:v>
      </x:c>
      <x:c r="M97" s="16" t="n">
        <x:v>657.9998844493</x:v>
      </x:c>
      <x:c r="N97" s="16" t="n">
        <x:v>364.3969796384</x:v>
      </x:c>
      <x:c r="O97" s="16" t="n">
        <x:v>-15.1639215343</x:v>
      </x:c>
      <x:c r="P97" s="16" t="n">
        <x:v>456.6712311233</x:v>
      </x:c>
      <x:c r="Q97" s="16" t="n">
        <x:v>514.7744345425</x:v>
      </x:c>
      <x:c r="R97" s="16" t="n">
        <x:v>978.2261682849</x:v>
      </x:c>
    </x:row>
    <x:row r="98">
      <x:c r="A98" s="15" t="n">
        <x:v>43101</x:v>
      </x:c>
      <x:c r="B98" s="16"/>
      <x:c r="C98" s="16" t="n">
        <x:v>2478.9207825533</x:v>
      </x:c>
      <x:c r="D98" s="16" t="n">
        <x:v>-147.4135297754</x:v>
      </x:c>
      <x:c r="E98" s="16" t="n">
        <x:v>105.5866957151</x:v>
      </x:c>
      <x:c r="F98" s="16" t="n">
        <x:v>1023.3944484822</x:v>
      </x:c>
      <x:c r="G98" s="16" t="n">
        <x:v>1116.0669390465</x:v>
      </x:c>
      <x:c r="H98" s="16" t="n">
        <x:v>97.5472897753</x:v>
      </x:c>
      <x:c r="I98" s="16" t="n">
        <x:v>92.8825893918</x:v>
      </x:c>
      <x:c r="J98" s="16" t="n">
        <x:v>55.379961074</x:v>
      </x:c>
      <x:c r="K98" s="16" t="n">
        <x:v>5773.5942252712</x:v>
      </x:c>
      <x:c r="L98" s="16" t="n">
        <x:v>4673.9448916164</x:v>
      </x:c>
      <x:c r="M98" s="16" t="n">
        <x:v>1171.4937645589</x:v>
      </x:c>
      <x:c r="N98" s="16" t="n">
        <x:v>174.4710758575</x:v>
      </x:c>
      <x:c r="O98" s="16" t="n">
        <x:v>66.6922236493</x:v>
      </x:c>
      <x:c r="P98" s="16" t="n">
        <x:v>408.6157718795</x:v>
      </x:c>
      <x:c r="Q98" s="16" t="n">
        <x:v>478.3770293479</x:v>
      </x:c>
      <x:c r="R98" s="16" t="n">
        <x:v>880.4850858082</x:v>
      </x:c>
    </x:row>
    <x:row r="99">
      <x:c r="A99" s="15" t="n">
        <x:v>43132</x:v>
      </x:c>
      <x:c r="B99" s="16"/>
      <x:c r="C99" s="16" t="n">
        <x:v>6305.6367111014</x:v>
      </x:c>
      <x:c r="D99" s="16" t="n">
        <x:v>-18.185927189</x:v>
      </x:c>
      <x:c r="E99" s="16" t="n">
        <x:v>61.1236397589</x:v>
      </x:c>
      <x:c r="F99" s="16" t="n">
        <x:v>857.7515193863</x:v>
      </x:c>
      <x:c r="G99" s="16" t="n">
        <x:v>661.4795392438</x:v>
      </x:c>
      <x:c r="H99" s="16" t="n">
        <x:v>86.6438072986</x:v>
      </x:c>
      <x:c r="I99" s="16" t="n">
        <x:v>88.452407737</x:v>
      </x:c>
      <x:c r="J99" s="16" t="n">
        <x:v>22.294220011</x:v>
      </x:c>
      <x:c r="K99" s="16" t="n">
        <x:v>5037.8900907836</x:v>
      </x:c>
      <x:c r="L99" s="16" t="n">
        <x:v>8024.0468693918</x:v>
      </x:c>
      <x:c r="M99" s="16" t="n">
        <x:v>1097.0671721205</x:v>
      </x:c>
      <x:c r="N99" s="16" t="n">
        <x:v>197.093043989</x:v>
      </x:c>
      <x:c r="O99" s="16" t="n">
        <x:v>27.2511691397</x:v>
      </x:c>
      <x:c r="P99" s="16" t="n">
        <x:v>396.5942812055</x:v>
      </x:c>
      <x:c r="Q99" s="16" t="n">
        <x:v>147.1366490301</x:v>
      </x:c>
      <x:c r="R99" s="16" t="n">
        <x:v>787.1917143671</x:v>
      </x:c>
    </x:row>
    <x:row r="100">
      <x:c r="A100" s="15" t="n">
        <x:v>43160</x:v>
      </x:c>
      <x:c r="B100" s="16"/>
      <x:c r="C100" s="16" t="n">
        <x:v>7826.6896468166</x:v>
      </x:c>
      <x:c r="D100" s="16" t="n">
        <x:v>163.7071372274</x:v>
      </x:c>
      <x:c r="E100" s="16" t="n">
        <x:v>24.3930273315</x:v>
      </x:c>
      <x:c r="F100" s="16" t="n">
        <x:v>1322.6926788383</x:v>
      </x:c>
      <x:c r="G100" s="16" t="n">
        <x:v>47.8580985863</x:v>
      </x:c>
      <x:c r="H100" s="16" t="n">
        <x:v>13.6655021589</x:v>
      </x:c>
      <x:c r="I100" s="16" t="n">
        <x:v>82.7874898849</x:v>
      </x:c>
      <x:c r="J100" s="16" t="n">
        <x:v>20.4500307288</x:v>
      </x:c>
      <x:c r="K100" s="16" t="n">
        <x:v>5539.9895982466</x:v>
      </x:c>
      <x:c r="L100" s="16" t="n">
        <x:v>7764.5669204164</x:v>
      </x:c>
      <x:c r="M100" s="16" t="n">
        <x:v>1224.5489311562</x:v>
      </x:c>
      <x:c r="N100" s="16" t="n">
        <x:v>172.5250140932</x:v>
      </x:c>
      <x:c r="O100" s="16" t="n">
        <x:v>153.0452999014</x:v>
      </x:c>
      <x:c r="P100" s="16" t="n">
        <x:v>369.1963889973</x:v>
      </x:c>
      <x:c r="Q100" s="16" t="n">
        <x:v>70.7923173699</x:v>
      </x:c>
      <x:c r="R100" s="16" t="n">
        <x:v>-3409.8299963617</x:v>
      </x:c>
    </x:row>
    <x:row r="101">
      <x:c r="A101" s="15" t="n">
        <x:v>43191</x:v>
      </x:c>
      <x:c r="B101" s="16"/>
      <x:c r="C101" s="16" t="n">
        <x:v>6801.0950347397</x:v>
      </x:c>
      <x:c r="D101" s="16" t="n">
        <x:v>163.2388711452</x:v>
      </x:c>
      <x:c r="E101" s="16" t="n">
        <x:v>-47.9282018192</x:v>
      </x:c>
      <x:c r="F101" s="16" t="n">
        <x:v>862.0999848329</x:v>
      </x:c>
      <x:c r="G101" s="16" t="n">
        <x:v>-286.2433435178</x:v>
      </x:c>
      <x:c r="H101" s="16" t="n">
        <x:v>27.7935787836</x:v>
      </x:c>
      <x:c r="I101" s="16" t="n">
        <x:v>78.3532772822</x:v>
      </x:c>
      <x:c r="J101" s="16" t="n">
        <x:v>8.0486848</x:v>
      </x:c>
      <x:c r="K101" s="16" t="n">
        <x:v>3299.3083767234</x:v>
      </x:c>
      <x:c r="L101" s="16" t="n">
        <x:v>7287.4169088</x:v>
      </x:c>
      <x:c r="M101" s="16" t="n">
        <x:v>1260.8938297863</x:v>
      </x:c>
      <x:c r="N101" s="16" t="n">
        <x:v>249.9105732384</x:v>
      </x:c>
      <x:c r="O101" s="16" t="n">
        <x:v>90.7613469808</x:v>
      </x:c>
      <x:c r="P101" s="16" t="n">
        <x:v>138.6812649205</x:v>
      </x:c>
      <x:c r="Q101" s="16" t="n">
        <x:v>28.9977524603</x:v>
      </x:c>
      <x:c r="R101" s="16" t="n">
        <x:v>-2816.2991975452</x:v>
      </x:c>
    </x:row>
    <x:row r="102">
      <x:c r="A102" s="15" t="n">
        <x:v>43221</x:v>
      </x:c>
      <x:c r="B102" s="16"/>
      <x:c r="C102" s="16" t="n">
        <x:v>4602.0399777314</x:v>
      </x:c>
      <x:c r="D102" s="16" t="n">
        <x:v>157.952172537</x:v>
      </x:c>
      <x:c r="E102" s="16" t="n">
        <x:v>-40.2432632986</x:v>
      </x:c>
      <x:c r="F102" s="16" t="n">
        <x:v>818.2873207233</x:v>
      </x:c>
      <x:c r="G102" s="16" t="n">
        <x:v>-430.9242236931</x:v>
      </x:c>
      <x:c r="H102" s="16" t="n">
        <x:v>42.8728868822</x:v>
      </x:c>
      <x:c r="I102" s="16" t="n">
        <x:v>55.5120096438</x:v>
      </x:c>
      <x:c r="J102" s="16" t="n">
        <x:v>44.8892405479</x:v>
      </x:c>
      <x:c r="K102" s="16" t="n">
        <x:v>4705.278214137</x:v>
      </x:c>
      <x:c r="L102" s="16" t="n">
        <x:v>6633.4894984767</x:v>
      </x:c>
      <x:c r="M102" s="16" t="n">
        <x:v>2637.4634857205</x:v>
      </x:c>
      <x:c r="N102" s="16" t="n">
        <x:v>354.3502848</x:v>
      </x:c>
      <x:c r="O102" s="16" t="n">
        <x:v>-5.4611526137</x:v>
      </x:c>
      <x:c r="P102" s="16" t="n">
        <x:v>88.9264815342</x:v>
      </x:c>
      <x:c r="Q102" s="16" t="n">
        <x:v>196.3720521644</x:v>
      </x:c>
      <x:c r="R102" s="16" t="n">
        <x:v>1683.3010112877</x:v>
      </x:c>
    </x:row>
    <x:row r="103">
      <x:c r="A103" s="15" t="n">
        <x:v>43252</x:v>
      </x:c>
      <x:c r="B103" s="16"/>
      <x:c r="C103" s="16" t="n">
        <x:v>3421.3771404274</x:v>
      </x:c>
      <x:c r="D103" s="16" t="n">
        <x:v>171.6983830795</x:v>
      </x:c>
      <x:c r="E103" s="16" t="n">
        <x:v>-168.4511963178</x:v>
      </x:c>
      <x:c r="F103" s="16" t="n">
        <x:v>-20.570548252</x:v>
      </x:c>
      <x:c r="G103" s="16" t="n">
        <x:v>-1052.1473010082</x:v>
      </x:c>
      <x:c r="H103" s="16" t="n">
        <x:v>69.1462734027</x:v>
      </x:c>
      <x:c r="I103" s="16" t="n">
        <x:v>25.0701124822</x:v>
      </x:c>
      <x:c r="J103" s="16" t="n">
        <x:v>73.550495211</x:v>
      </x:c>
      <x:c r="K103" s="16" t="n">
        <x:v>3223.3066881753</x:v>
      </x:c>
      <x:c r="L103" s="16" t="n">
        <x:v>5964.9024722412</x:v>
      </x:c>
      <x:c r="M103" s="16" t="n">
        <x:v>2937.9415381918</x:v>
      </x:c>
      <x:c r="N103" s="16" t="n">
        <x:v>241.9300516822</x:v>
      </x:c>
      <x:c r="O103" s="16" t="n">
        <x:v>-289.6178074301</x:v>
      </x:c>
      <x:c r="P103" s="16" t="n">
        <x:v>110.1689249315</x:v>
      </x:c>
      <x:c r="Q103" s="16" t="n">
        <x:v>194.2110400877</x:v>
      </x:c>
      <x:c r="R103" s="16" t="n">
        <x:v>5182.1564028493</x:v>
      </x:c>
    </x:row>
    <x:row r="104">
      <x:c r="A104" s="15" t="n">
        <x:v>43282</x:v>
      </x:c>
      <x:c r="B104" s="16"/>
      <x:c r="C104" s="16" t="n">
        <x:v>3673.1839025098</x:v>
      </x:c>
      <x:c r="D104" s="16" t="n">
        <x:v>229.932741611</x:v>
      </x:c>
      <x:c r="E104" s="16" t="n">
        <x:v>-85.3248185863</x:v>
      </x:c>
      <x:c r="F104" s="16" t="n">
        <x:v>888.214657052</x:v>
      </x:c>
      <x:c r="G104" s="16" t="n">
        <x:v>-1136.998452789</x:v>
      </x:c>
      <x:c r="H104" s="16" t="n">
        <x:v>64.7538773918</x:v>
      </x:c>
      <x:c r="I104" s="16" t="n">
        <x:v>26.6957540384</x:v>
      </x:c>
      <x:c r="J104" s="16" t="n">
        <x:v>66.7361500055</x:v>
      </x:c>
      <x:c r="K104" s="16" t="n">
        <x:v>4388.4715355178</x:v>
      </x:c>
      <x:c r="L104" s="16" t="n">
        <x:v>5486.9836764932</x:v>
      </x:c>
      <x:c r="M104" s="16" t="n">
        <x:v>1472.6024763616</x:v>
      </x:c>
      <x:c r="N104" s="16" t="n">
        <x:v>220.9974435069</x:v>
      </x:c>
      <x:c r="O104" s="16" t="n">
        <x:v>-306.8089610521</x:v>
      </x:c>
      <x:c r="P104" s="16" t="n">
        <x:v>398.3235231562</x:v>
      </x:c>
      <x:c r="Q104" s="16" t="n">
        <x:v>73.3481181808</x:v>
      </x:c>
      <x:c r="R104" s="16" t="n">
        <x:v>4776.3038176438</x:v>
      </x:c>
    </x:row>
    <x:row r="105">
      <x:c r="A105" s="15" t="n">
        <x:v>43313</x:v>
      </x:c>
      <x:c r="B105" s="16"/>
      <x:c r="C105" s="16" t="n">
        <x:v>3105.2656724164</x:v>
      </x:c>
      <x:c r="D105" s="16" t="n">
        <x:v>44.3584520767</x:v>
      </x:c>
      <x:c r="E105" s="16" t="n">
        <x:v>-65.6067817205</x:v>
      </x:c>
      <x:c r="F105" s="16" t="n">
        <x:v>954.2623982466</x:v>
      </x:c>
      <x:c r="G105" s="16" t="n">
        <x:v>-721.3538660822</x:v>
      </x:c>
      <x:c r="H105" s="16" t="n">
        <x:v>61.4803993425</x:v>
      </x:c>
      <x:c r="I105" s="16" t="n">
        <x:v>40.9552265644</x:v>
      </x:c>
      <x:c r="J105" s="16" t="n">
        <x:v>43.164505337</x:v>
      </x:c>
      <x:c r="K105" s="16" t="n">
        <x:v>3516.415700515</x:v>
      </x:c>
      <x:c r="L105" s="16" t="n">
        <x:v>5346.7576028931</x:v>
      </x:c>
      <x:c r="M105" s="16" t="n">
        <x:v>244.4901533808</x:v>
      </x:c>
      <x:c r="N105" s="16" t="n">
        <x:v>205.206441874</x:v>
      </x:c>
      <x:c r="O105" s="16" t="n">
        <x:v>-89.0436222246</x:v>
      </x:c>
      <x:c r="P105" s="16" t="n">
        <x:v>301.4735212712</x:v>
      </x:c>
      <x:c r="Q105" s="16" t="n">
        <x:v>-202.9120825425</x:v>
      </x:c>
      <x:c r="R105" s="16" t="n">
        <x:v>662.0363912767</x:v>
      </x:c>
    </x:row>
    <x:row r="106">
      <x:c r="A106" s="15" t="n">
        <x:v>43344</x:v>
      </x:c>
      <x:c r="B106" s="16"/>
      <x:c r="C106" s="16" t="n">
        <x:v>3944.4022931287</x:v>
      </x:c>
      <x:c r="D106" s="16" t="n">
        <x:v>61.119718926</x:v>
      </x:c>
      <x:c r="E106" s="16" t="n">
        <x:v>-21.4368638247</x:v>
      </x:c>
      <x:c r="F106" s="16" t="n">
        <x:v>1134.6160099945</x:v>
      </x:c>
      <x:c r="G106" s="16" t="n">
        <x:v>81.7832249973</x:v>
      </x:c>
      <x:c r="H106" s="16" t="n">
        <x:v>57.3296758356</x:v>
      </x:c>
      <x:c r="I106" s="16" t="n">
        <x:v>51.5057485589</x:v>
      </x:c>
      <x:c r="J106" s="16" t="n">
        <x:v>0.5773536438</x:v>
      </x:c>
      <x:c r="K106" s="16" t="n">
        <x:v>6420.9234347836</x:v>
      </x:c>
      <x:c r="L106" s="16" t="n">
        <x:v>7518.7707107945</x:v>
      </x:c>
      <x:c r="M106" s="16" t="n">
        <x:v>-231.4938278575</x:v>
      </x:c>
      <x:c r="N106" s="16" t="n">
        <x:v>104.5842498192</x:v>
      </x:c>
      <x:c r="O106" s="16" t="n">
        <x:v>109.3921504438</x:v>
      </x:c>
      <x:c r="P106" s="16" t="n">
        <x:v>248.3393902466</x:v>
      </x:c>
      <x:c r="Q106" s="16" t="n">
        <x:v>-159.3683929315</x:v>
      </x:c>
      <x:c r="R106" s="16" t="n">
        <x:v>1333.6032980164</x:v>
      </x:c>
    </x:row>
    <x:row r="107">
      <x:c r="A107" s="15" t="n">
        <x:v>43374</x:v>
      </x:c>
      <x:c r="B107" s="16"/>
      <x:c r="C107" s="16" t="n">
        <x:v>1559.8155551562</x:v>
      </x:c>
      <x:c r="D107" s="16" t="n">
        <x:v>-49.7730904548</x:v>
      </x:c>
      <x:c r="E107" s="16" t="n">
        <x:v>-77.8558425425</x:v>
      </x:c>
      <x:c r="F107" s="16" t="n">
        <x:v>-22.0371736548</x:v>
      </x:c>
      <x:c r="G107" s="16" t="n">
        <x:v>-768.5845364493</x:v>
      </x:c>
      <x:c r="H107" s="16" t="n">
        <x:v>5.8552147288</x:v>
      </x:c>
      <x:c r="I107" s="16" t="n">
        <x:v>44.0919131616</x:v>
      </x:c>
      <x:c r="J107" s="16" t="n">
        <x:v>11.796960526</x:v>
      </x:c>
      <x:c r="K107" s="16" t="n">
        <x:v>5324.6026566137</x:v>
      </x:c>
      <x:c r="L107" s="16" t="n">
        <x:v>12190.5335208329</x:v>
      </x:c>
      <x:c r="M107" s="16" t="n">
        <x:v>1290.9033175671</x:v>
      </x:c>
      <x:c r="N107" s="16" t="n">
        <x:v>-135.123783737</x:v>
      </x:c>
      <x:c r="O107" s="16" t="n">
        <x:v>132.0009510575</x:v>
      </x:c>
      <x:c r="P107" s="16" t="n">
        <x:v>17.8580355507</x:v>
      </x:c>
      <x:c r="Q107" s="16" t="n">
        <x:v>-161.6224274411</x:v>
      </x:c>
      <x:c r="R107" s="16" t="n">
        <x:v>-1629.5820003945</x:v>
      </x:c>
    </x:row>
    <x:row r="108">
      <x:c r="A108" s="15" t="n">
        <x:v>43405</x:v>
      </x:c>
      <x:c r="B108" s="16"/>
      <x:c r="C108" s="16" t="n">
        <x:v>1962.7538179506</x:v>
      </x:c>
      <x:c r="D108" s="16" t="n">
        <x:v>173.8293974356</x:v>
      </x:c>
      <x:c r="E108" s="16" t="n">
        <x:v>-145.068978148</x:v>
      </x:c>
      <x:c r="F108" s="16" t="n">
        <x:v>-165.8628636056</x:v>
      </x:c>
      <x:c r="G108" s="16" t="n">
        <x:v>-260.5295264</x:v>
      </x:c>
      <x:c r="H108" s="16" t="n">
        <x:v>-62.2710839233</x:v>
      </x:c>
      <x:c r="I108" s="16" t="n">
        <x:v>56.6260718466</x:v>
      </x:c>
      <x:c r="J108" s="16" t="n">
        <x:v>18.2353515836</x:v>
      </x:c>
      <x:c r="K108" s="16" t="n">
        <x:v>4775.0539188603</x:v>
      </x:c>
      <x:c r="L108" s="16" t="n">
        <x:v>7256.8568995069</x:v>
      </x:c>
      <x:c r="M108" s="16" t="n">
        <x:v>1453.8901172603</x:v>
      </x:c>
      <x:c r="N108" s="16" t="n">
        <x:v>-93.9922775671</x:v>
      </x:c>
      <x:c r="O108" s="16" t="n">
        <x:v>86.8837852932</x:v>
      </x:c>
      <x:c r="P108" s="16" t="n">
        <x:v>21.1484887671</x:v>
      </x:c>
      <x:c r="Q108" s="16" t="n">
        <x:v>251.270278137</x:v>
      </x:c>
      <x:c r="R108" s="16" t="n">
        <x:v>-5441.3335592329</x:v>
      </x:c>
    </x:row>
    <x:row r="109">
      <x:c r="A109" s="15" t="n">
        <x:v>43435</x:v>
      </x:c>
      <x:c r="B109" s="16"/>
      <x:c r="C109" s="16" t="n">
        <x:v>4912.3174315835</x:v>
      </x:c>
      <x:c r="D109" s="16" t="n">
        <x:v>195.9247181151</x:v>
      </x:c>
      <x:c r="E109" s="16" t="n">
        <x:v>-144.2832168329</x:v>
      </x:c>
      <x:c r="F109" s="16" t="n">
        <x:v>-173.8220628164</x:v>
      </x:c>
      <x:c r="G109" s="16" t="n">
        <x:v>110.9251335781</x:v>
      </x:c>
      <x:c r="H109" s="16" t="n">
        <x:v>-101.1834476712</x:v>
      </x:c>
      <x:c r="I109" s="16" t="n">
        <x:v>42.0537532493</x:v>
      </x:c>
      <x:c r="J109" s="16" t="n">
        <x:v>16.266733589</x:v>
      </x:c>
      <x:c r="K109" s="16" t="n">
        <x:v>1584.0693507507</x:v>
      </x:c>
      <x:c r="L109" s="16" t="n">
        <x:v>1033.0631960548</x:v>
      </x:c>
      <x:c r="M109" s="16" t="n">
        <x:v>3978.3162708164</x:v>
      </x:c>
      <x:c r="N109" s="16" t="n">
        <x:v>-61.7535892164</x:v>
      </x:c>
      <x:c r="O109" s="16" t="n">
        <x:v>103.0468895562</x:v>
      </x:c>
      <x:c r="P109" s="16" t="n">
        <x:v>-235.7783136438</x:v>
      </x:c>
      <x:c r="Q109" s="16" t="n">
        <x:v>335.7564379178</x:v>
      </x:c>
      <x:c r="R109" s="16" t="n">
        <x:v>-5853.2797657425</x:v>
      </x:c>
    </x:row>
    <x:row r="110">
      <x:c r="A110" s="15" t="n">
        <x:v>43466</x:v>
      </x:c>
      <x:c r="B110" s="16"/>
      <x:c r="C110" s="16" t="n">
        <x:v>5261.6810410301</x:v>
      </x:c>
      <x:c r="D110" s="16" t="n">
        <x:v>-579.780313389</x:v>
      </x:c>
      <x:c r="E110" s="16" t="n">
        <x:v>-142.9309170576</x:v>
      </x:c>
      <x:c r="F110" s="16" t="n">
        <x:v>-192.4168901265</x:v>
      </x:c>
      <x:c r="G110" s="16" t="n">
        <x:v>1545.1882060121</x:v>
      </x:c>
      <x:c r="H110" s="16" t="n">
        <x:v>-66.6234807736</x:v>
      </x:c>
      <x:c r="I110" s="16" t="n">
        <x:v>-10.4718417664</x:v>
      </x:c>
      <x:c r="J110" s="16" t="n">
        <x:v>29.5502345093</x:v>
      </x:c>
      <x:c r="K110" s="16" t="n">
        <x:v>26.5779334611</x:v>
      </x:c>
      <x:c r="L110" s="16" t="n">
        <x:v>-7846.9805565644</x:v>
      </x:c>
      <x:c r="M110" s="16" t="n">
        <x:v>2924.8090480123</x:v>
      </x:c>
      <x:c r="N110" s="16" t="n">
        <x:v>182.4393299602</x:v>
      </x:c>
      <x:c r="O110" s="16" t="n">
        <x:v>260.6623785852</x:v>
      </x:c>
      <x:c r="P110" s="16" t="n">
        <x:v>-119.0950913102</x:v>
      </x:c>
      <x:c r="Q110" s="16" t="n">
        <x:v>635.3472238145</x:v>
      </x:c>
      <x:c r="R110" s="16" t="n">
        <x:v>3062.9621198224</x:v>
      </x:c>
    </x:row>
    <x:row r="111">
      <x:c r="A111" s="15" t="n">
        <x:v>43497</x:v>
      </x:c>
      <x:c r="B111" s="16"/>
      <x:c r="C111" s="16" t="n">
        <x:v>4151.3163387142</x:v>
      </x:c>
      <x:c r="D111" s="16" t="n">
        <x:v>-577.7712188939</x:v>
      </x:c>
      <x:c r="E111" s="16" t="n">
        <x:v>-54.3054052578</x:v>
      </x:c>
      <x:c r="F111" s="16" t="n">
        <x:v>-362.5430896392</x:v>
      </x:c>
      <x:c r="G111" s="16" t="n">
        <x:v>299.1791255698</x:v>
      </x:c>
      <x:c r="H111" s="16" t="n">
        <x:v>-14.139294386</x:v>
      </x:c>
      <x:c r="I111" s="16" t="n">
        <x:v>9.3761679723</x:v>
      </x:c>
      <x:c r="J111" s="16" t="n">
        <x:v>-7.411346319</x:v>
      </x:c>
      <x:c r="K111" s="16" t="n">
        <x:v>1076.8820252514</x:v>
      </x:c>
      <x:c r="L111" s="16" t="n">
        <x:v>-3216.5422282679</x:v>
      </x:c>
      <x:c r="M111" s="16" t="n">
        <x:v>3094.3443843392</x:v>
      </x:c>
      <x:c r="N111" s="16" t="n">
        <x:v>-77.7923276138</x:v>
      </x:c>
      <x:c r="O111" s="16" t="n">
        <x:v>213.5405935357</x:v>
      </x:c>
      <x:c r="P111" s="16" t="n">
        <x:v>-23.0736767684</x:v>
      </x:c>
      <x:c r="Q111" s="16" t="n">
        <x:v>620.9188258393</x:v>
      </x:c>
      <x:c r="R111" s="16" t="n">
        <x:v>6303.2573301393</x:v>
      </x:c>
    </x:row>
    <x:row r="112">
      <x:c r="A112" s="15" t="n">
        <x:v>43525</x:v>
      </x:c>
      <x:c r="B112" s="16"/>
      <x:c r="C112" s="16" t="n">
        <x:v>2484.7551202624</x:v>
      </x:c>
      <x:c r="D112" s="16" t="n">
        <x:v>-629.6388491803</x:v>
      </x:c>
      <x:c r="E112" s="16" t="n">
        <x:v>-33.8569085902</x:v>
      </x:c>
      <x:c r="F112" s="16" t="n">
        <x:v>-89.2158824918</x:v>
      </x:c>
      <x:c r="G112" s="16" t="n">
        <x:v>-313.4968981202</x:v>
      </x:c>
      <x:c r="H112" s="16" t="n">
        <x:v>15.9395689618</x:v>
      </x:c>
      <x:c r="I112" s="16" t="n">
        <x:v>17.9693575519</x:v>
      </x:c>
      <x:c r="J112" s="16" t="n">
        <x:v>29.2664430164</x:v>
      </x:c>
      <x:c r="K112" s="16" t="n">
        <x:v>3598.9497141858</x:v>
      </x:c>
      <x:c r="L112" s="16" t="n">
        <x:v>-1073.6997501202</x:v>
      </x:c>
      <x:c r="M112" s="16" t="n">
        <x:v>540.2752884809</x:v>
      </x:c>
      <x:c r="N112" s="16" t="n">
        <x:v>24.2017213115</x:v>
      </x:c>
      <x:c r="O112" s="16" t="n">
        <x:v>266.0489687432</x:v>
      </x:c>
      <x:c r="P112" s="16" t="n">
        <x:v>130.937264612</x:v>
      </x:c>
      <x:c r="Q112" s="16" t="n">
        <x:v>524.3148343607</x:v>
      </x:c>
      <x:c r="R112" s="16" t="n">
        <x:v>9849.5305218798</x:v>
      </x:c>
    </x:row>
    <x:row r="113">
      <x:c r="A113" s="15" t="n">
        <x:v>43556</x:v>
      </x:c>
      <x:c r="B113" s="16"/>
      <x:c r="C113" s="16" t="n">
        <x:v>5453.5279856612</x:v>
      </x:c>
      <x:c r="D113" s="16" t="n">
        <x:v>200.4316325683</x:v>
      </x:c>
      <x:c r="E113" s="16" t="n">
        <x:v>-87.2197258142</x:v>
      </x:c>
      <x:c r="F113" s="16" t="n">
        <x:v>-177.9518908852</x:v>
      </x:c>
      <x:c r="G113" s="16" t="n">
        <x:v>344.6743892678</x:v>
      </x:c>
      <x:c r="H113" s="16" t="n">
        <x:v>30.8524250929</x:v>
      </x:c>
      <x:c r="I113" s="16" t="n">
        <x:v>90.2466619454</x:v>
      </x:c>
      <x:c r="J113" s="16" t="n">
        <x:v>12.9143977705</x:v>
      </x:c>
      <x:c r="K113" s="16" t="n">
        <x:v>3080.3687699235</x:v>
      </x:c>
      <x:c r="L113" s="16" t="n">
        <x:v>787.2560087432</x:v>
      </x:c>
      <x:c r="M113" s="16" t="n">
        <x:v>399.4047461421</x:v>
      </x:c>
      <x:c r="N113" s="16" t="n">
        <x:v>16.4021999563</x:v>
      </x:c>
      <x:c r="O113" s="16" t="n">
        <x:v>49.8507841749</x:v>
      </x:c>
      <x:c r="P113" s="16" t="n">
        <x:v>116.8968208087</x:v>
      </x:c>
      <x:c r="Q113" s="16" t="n">
        <x:v>272.6148746667</x:v>
      </x:c>
      <x:c r="R113" s="16" t="n">
        <x:v>2992.1323738579</x:v>
      </x:c>
    </x:row>
    <x:row r="114">
      <x:c r="A114" s="15" t="n">
        <x:v>43586</x:v>
      </x:c>
      <x:c r="B114" s="16"/>
      <x:c r="C114" s="16" t="n">
        <x:v>8224.9960722188</x:v>
      </x:c>
      <x:c r="D114" s="16" t="n">
        <x:v>193.6498794317</x:v>
      </x:c>
      <x:c r="E114" s="16" t="n">
        <x:v>-88.9632188852</x:v>
      </x:c>
      <x:c r="F114" s="16" t="n">
        <x:v>-296.9291317158</x:v>
      </x:c>
      <x:c r="G114" s="16" t="n">
        <x:v>992.9504236721</x:v>
      </x:c>
      <x:c r="H114" s="16" t="n">
        <x:v>62.6970762841</x:v>
      </x:c>
      <x:c r="I114" s="16" t="n">
        <x:v>58.0567387978</x:v>
      </x:c>
      <x:c r="J114" s="16" t="n">
        <x:v>13.5337293989</x:v>
      </x:c>
      <x:c r="K114" s="16" t="n">
        <x:v>-934.6251247213</x:v>
      </x:c>
      <x:c r="L114" s="16" t="n">
        <x:v>-1289.2584624262</x:v>
      </x:c>
      <x:c r="M114" s="16" t="n">
        <x:v>-888.7549775738</x:v>
      </x:c>
      <x:c r="N114" s="16" t="n">
        <x:v>186.3985258142</x:v>
      </x:c>
      <x:c r="O114" s="16" t="n">
        <x:v>-8.4922152568</x:v>
      </x:c>
      <x:c r="P114" s="16" t="n">
        <x:v>-122.0032835847</x:v>
      </x:c>
      <x:c r="Q114" s="16" t="n">
        <x:v>97.0697531803</x:v>
      </x:c>
      <x:c r="R114" s="16" t="n">
        <x:v>3293.9188112787</x:v>
      </x:c>
    </x:row>
    <x:row r="115">
      <x:c r="A115" s="15" t="n">
        <x:v>43617</x:v>
      </x:c>
      <x:c r="B115" s="16"/>
      <x:c r="C115" s="16" t="n">
        <x:v>6237.0115819016</x:v>
      </x:c>
      <x:c r="D115" s="16" t="n">
        <x:v>285.3595857049</x:v>
      </x:c>
      <x:c r="E115" s="16" t="n">
        <x:v>-304.3209883279</x:v>
      </x:c>
      <x:c r="F115" s="16" t="n">
        <x:v>-554.3721463607</x:v>
      </x:c>
      <x:c r="G115" s="16" t="n">
        <x:v>1457.4843859234</x:v>
      </x:c>
      <x:c r="H115" s="16" t="n">
        <x:v>39.680563235</x:v>
      </x:c>
      <x:c r="I115" s="16" t="n">
        <x:v>64.6082660546</x:v>
      </x:c>
      <x:c r="J115" s="16" t="n">
        <x:v>3.8817878033</x:v>
      </x:c>
      <x:c r="K115" s="16" t="n">
        <x:v>-3533.5018348415</x:v>
      </x:c>
      <x:c r="L115" s="16" t="n">
        <x:v>524.8515290928</x:v>
      </x:c>
      <x:c r="M115" s="16" t="n">
        <x:v>-3177.0313267759</x:v>
      </x:c>
      <x:c r="N115" s="16" t="n">
        <x:v>223.0394422295</x:v>
      </x:c>
      <x:c r="O115" s="16" t="n">
        <x:v>-125.9866306448</x:v>
      </x:c>
      <x:c r="P115" s="16" t="n">
        <x:v>-296.1125301858</x:v>
      </x:c>
      <x:c r="Q115" s="16" t="n">
        <x:v>315.2595714098</x:v>
      </x:c>
      <x:c r="R115" s="16" t="n">
        <x:v>163.071646776</x:v>
      </x:c>
    </x:row>
    <x:row r="116">
      <x:c r="A116" s="15" t="n">
        <x:v>43647</x:v>
      </x:c>
      <x:c r="B116" s="16"/>
      <x:c r="C116" s="16" t="n">
        <x:v>3410.991269071</x:v>
      </x:c>
      <x:c r="D116" s="16" t="n">
        <x:v>330.5776622951</x:v>
      </x:c>
      <x:c r="E116" s="16" t="n">
        <x:v>-285.1309133989</x:v>
      </x:c>
      <x:c r="F116" s="16" t="n">
        <x:v>-405.5656631257</x:v>
      </x:c>
      <x:c r="G116" s="16" t="n">
        <x:v>810.6066910382</x:v>
      </x:c>
      <x:c r="H116" s="16" t="n">
        <x:v>39.3335284809</x:v>
      </x:c>
      <x:c r="I116" s="16" t="n">
        <x:v>49.9239271694</x:v>
      </x:c>
      <x:c r="J116" s="16" t="n">
        <x:v>9.247976306</x:v>
      </x:c>
      <x:c r="K116" s="16" t="n">
        <x:v>-1302.1911562841</x:v>
      </x:c>
      <x:c r="L116" s="16" t="n">
        <x:v>1277.5512648743</x:v>
      </x:c>
      <x:c r="M116" s="16" t="n">
        <x:v>-3849.3646588852</x:v>
      </x:c>
      <x:c r="N116" s="16" t="n">
        <x:v>184.2548493115</x:v>
      </x:c>
      <x:c r="O116" s="16" t="n">
        <x:v>-108.1220455519</x:v>
      </x:c>
      <x:c r="P116" s="16" t="n">
        <x:v>-183.6416227322</x:v>
      </x:c>
      <x:c r="Q116" s="16" t="n">
        <x:v>680.0611036503</x:v>
      </x:c>
      <x:c r="R116" s="16" t="n">
        <x:v>-2230.2625001967</x:v>
      </x:c>
    </x:row>
    <x:row r="117">
      <x:c r="A117" s="15" t="n">
        <x:v>43678</x:v>
      </x:c>
      <x:c r="B117" s="16"/>
      <x:c r="C117" s="16" t="n">
        <x:v>2982.3346178796</x:v>
      </x:c>
      <x:c r="D117" s="16" t="n">
        <x:v>377.2901648962</x:v>
      </x:c>
      <x:c r="E117" s="16" t="n">
        <x:v>-283.0192330492</x:v>
      </x:c>
      <x:c r="F117" s="16" t="n">
        <x:v>482.9992816613</x:v>
      </x:c>
      <x:c r="G117" s="16" t="n">
        <x:v>1965.2685988196</x:v>
      </x:c>
      <x:c r="H117" s="16" t="n">
        <x:v>3.7782480437</x:v>
      </x:c>
      <x:c r="I117" s="16" t="n">
        <x:v>50.7270935956</x:v>
      </x:c>
      <x:c r="J117" s="16" t="n">
        <x:v>41.4972177486</x:v>
      </x:c>
      <x:c r="K117" s="16" t="n">
        <x:v>211.0790536393</x:v>
      </x:c>
      <x:c r="L117" s="16" t="n">
        <x:v>-4030.2144225574</x:v>
      </x:c>
      <x:c r="M117" s="16" t="n">
        <x:v>-3109.5456188852</x:v>
      </x:c>
      <x:c r="N117" s="16" t="n">
        <x:v>203.1399951038</x:v>
      </x:c>
      <x:c r="O117" s="16" t="n">
        <x:v>-67.4244777268</x:v>
      </x:c>
      <x:c r="P117" s="16" t="n">
        <x:v>133.7908507978</x:v>
      </x:c>
      <x:c r="Q117" s="16" t="n">
        <x:v>1096.1223954536</x:v>
      </x:c>
      <x:c r="R117" s="16" t="n">
        <x:v>682.5274748853</x:v>
      </x:c>
    </x:row>
    <x:row r="118">
      <x:c r="A118" s="15" t="n">
        <x:v>43709</x:v>
      </x:c>
      <x:c r="B118" s="16"/>
      <x:c r="C118" s="16" t="n">
        <x:v>3394.5469845681</x:v>
      </x:c>
      <x:c r="D118" s="16" t="n">
        <x:v>352.2349835191</x:v>
      </x:c>
      <x:c r="E118" s="16" t="n">
        <x:v>-54.3639610055</x:v>
      </x:c>
      <x:c r="F118" s="16" t="n">
        <x:v>898.5576561312</x:v>
      </x:c>
      <x:c r="G118" s="16" t="n">
        <x:v>2556.1020799126</x:v>
      </x:c>
      <x:c r="H118" s="16" t="n">
        <x:v>19.1457848306</x:v>
      </x:c>
      <x:c r="I118" s="16" t="n">
        <x:v>57.9192669727</x:v>
      </x:c>
      <x:c r="J118" s="16" t="n">
        <x:v>39.8437753005</x:v>
      </x:c>
      <x:c r="K118" s="16" t="n">
        <x:v>1284.6736989727</x:v>
      </x:c>
      <x:c r="L118" s="16" t="n">
        <x:v>-5209.897765071</x:v>
      </x:c>
      <x:c r="M118" s="16" t="n">
        <x:v>-3140.5813294863</x:v>
      </x:c>
      <x:c r="N118" s="16" t="n">
        <x:v>126.9681379672</x:v>
      </x:c>
      <x:c r="O118" s="16" t="n">
        <x:v>-61.098149071</x:v>
      </x:c>
      <x:c r="P118" s="16" t="n">
        <x:v>292.849408</x:v>
      </x:c>
      <x:c r="Q118" s="16" t="n">
        <x:v>635.8921353442</x:v>
      </x:c>
      <x:c r="R118" s="16" t="n">
        <x:v>-1232.2783727213</x:v>
      </x:c>
    </x:row>
    <x:row r="119">
      <x:c r="A119" s="15" t="n">
        <x:v>43739</x:v>
      </x:c>
      <x:c r="B119" s="16"/>
      <x:c r="C119" s="16" t="n">
        <x:v>4609.5730626449</x:v>
      </x:c>
      <x:c r="D119" s="16" t="n">
        <x:v>348.8582194973</x:v>
      </x:c>
      <x:c r="E119" s="16" t="n">
        <x:v>-96.391420153</x:v>
      </x:c>
      <x:c r="F119" s="16" t="n">
        <x:v>986.434379541</x:v>
      </x:c>
      <x:c r="G119" s="16" t="n">
        <x:v>2845.4706314317</x:v>
      </x:c>
      <x:c r="H119" s="16" t="n">
        <x:v>22.0614253989</x:v>
      </x:c>
      <x:c r="I119" s="16" t="n">
        <x:v>44.9748834973</x:v>
      </x:c>
      <x:c r="J119" s="16" t="n">
        <x:v>60.9590423607</x:v>
      </x:c>
      <x:c r="K119" s="16" t="n">
        <x:v>-2764.4040881311</x:v>
      </x:c>
      <x:c r="L119" s="16" t="n">
        <x:v>-7714.4096751912</x:v>
      </x:c>
      <x:c r="M119" s="16" t="n">
        <x:v>-2398.3084147541</x:v>
      </x:c>
      <x:c r="N119" s="16" t="n">
        <x:v>89.5611922186</x:v>
      </x:c>
      <x:c r="O119" s="16" t="n">
        <x:v>-163.4887896831</x:v>
      </x:c>
      <x:c r="P119" s="16" t="n">
        <x:v>224.1114710383</x:v>
      </x:c>
      <x:c r="Q119" s="16" t="n">
        <x:v>128.666268765</x:v>
      </x:c>
      <x:c r="R119" s="16" t="n">
        <x:v>2052.2595735082</x:v>
      </x:c>
    </x:row>
    <x:row r="120">
      <x:c r="A120" s="15" t="n">
        <x:v>43770</x:v>
      </x:c>
      <x:c r="B120" s="16"/>
      <x:c r="C120" s="16" t="n">
        <x:v>1762.5282364154</x:v>
      </x:c>
      <x:c r="D120" s="16" t="n">
        <x:v>198.0653488962</x:v>
      </x:c>
      <x:c r="E120" s="16" t="n">
        <x:v>-98.0278132459</x:v>
      </x:c>
      <x:c r="F120" s="16" t="n">
        <x:v>531.0488680219</x:v>
      </x:c>
      <x:c r="G120" s="16" t="n">
        <x:v>2298.5122534645</x:v>
      </x:c>
      <x:c r="H120" s="16" t="n">
        <x:v>14.5191760437</x:v>
      </x:c>
      <x:c r="I120" s="16" t="n">
        <x:v>19.3376208962</x:v>
      </x:c>
      <x:c r="J120" s="16" t="n">
        <x:v>62.5002236503</x:v>
      </x:c>
      <x:c r="K120" s="16" t="n">
        <x:v>-862.167468765</x:v>
      </x:c>
      <x:c r="L120" s="16" t="n">
        <x:v>-1124.1560311256</x:v>
      </x:c>
      <x:c r="M120" s="16" t="n">
        <x:v>-2656.8278872131</x:v>
      </x:c>
      <x:c r="N120" s="16" t="n">
        <x:v>197.4760099672</x:v>
      </x:c>
      <x:c r="O120" s="16" t="n">
        <x:v>-219.7835701858</x:v>
      </x:c>
      <x:c r="P120" s="16" t="n">
        <x:v>27.4637992568</x:v>
      </x:c>
      <x:c r="Q120" s="16" t="n">
        <x:v>-42.8210766339</x:v>
      </x:c>
      <x:c r="R120" s="16" t="n">
        <x:v>-3321.5616124153</x:v>
      </x:c>
    </x:row>
    <x:row r="121">
      <x:c r="A121" s="15" t="n">
        <x:v>43800</x:v>
      </x:c>
      <x:c r="B121" s="16"/>
      <x:c r="C121" s="16" t="n">
        <x:v>2113.2419049619</x:v>
      </x:c>
      <x:c r="D121" s="16" t="n">
        <x:v>217.4771759563</x:v>
      </x:c>
      <x:c r="E121" s="16" t="n">
        <x:v>-193.8182060765</x:v>
      </x:c>
      <x:c r="F121" s="16" t="n">
        <x:v>520.6308637377</x:v>
      </x:c>
      <x:c r="G121" s="16" t="n">
        <x:v>1855.2600522842</x:v>
      </x:c>
      <x:c r="H121" s="16" t="n">
        <x:v>66.9242834536</x:v>
      </x:c>
      <x:c r="I121" s="16" t="n">
        <x:v>-1.5369225792</x:v>
      </x:c>
      <x:c r="J121" s="16" t="n">
        <x:v>11.5709698798</x:v>
      </x:c>
      <x:c r="K121" s="16" t="n">
        <x:v>507.418773683</x:v>
      </x:c>
      <x:c r="L121" s="16" t="n">
        <x:v>-1896.8170005028</x:v>
      </x:c>
      <x:c r="M121" s="16" t="n">
        <x:v>49.1762477814</x:v>
      </x:c>
      <x:c r="N121" s="16" t="n">
        <x:v>346.7314824918</x:v>
      </x:c>
      <x:c r="O121" s="16" t="n">
        <x:v>-222.9442210273</x:v>
      </x:c>
      <x:c r="P121" s="16" t="n">
        <x:v>114.0886735738</x:v>
      </x:c>
      <x:c r="Q121" s="16" t="n">
        <x:v>270.686784</x:v>
      </x:c>
      <x:c r="R121" s="16" t="n">
        <x:v>-1958.5882439344</x:v>
      </x:c>
    </x:row>
    <x:row r="122">
      <x:c r="A122" s="15" t="n">
        <x:v>43831</x:v>
      </x:c>
      <x:c r="B122" s="16"/>
      <x:c r="C122" s="16" t="n">
        <x:v>1040.4454937716</x:v>
      </x:c>
      <x:c r="D122" s="16" t="n">
        <x:v>-170.2876061005</x:v>
      </x:c>
      <x:c r="E122" s="16" t="n">
        <x:v>-136.3730890228</x:v>
      </x:c>
      <x:c r="F122" s="16" t="n">
        <x:v>310.4266678356</x:v>
      </x:c>
      <x:c r="G122" s="16" t="n">
        <x:v>-103.1503720183</x:v>
      </x:c>
      <x:c r="H122" s="16" t="n">
        <x:v>78.6142730959</x:v>
      </x:c>
      <x:c r="I122" s="16" t="n">
        <x:v>56.7456932968</x:v>
      </x:c>
      <x:c r="J122" s="16" t="n">
        <x:v>48.3777884932</x:v>
      </x:c>
      <x:c r="K122" s="16" t="n">
        <x:v>3190.3906169863</x:v>
      </x:c>
      <x:c r="L122" s="16" t="n">
        <x:v>1233.8699525844</x:v>
      </x:c>
      <x:c r="M122" s="16" t="n">
        <x:v>-579.0889047123</x:v>
      </x:c>
      <x:c r="N122" s="16" t="n">
        <x:v>306.9921084201</x:v>
      </x:c>
      <x:c r="O122" s="16" t="n">
        <x:v>-166.3640752511</x:v>
      </x:c>
      <x:c r="P122" s="16" t="n">
        <x:v>-36.5997377169</x:v>
      </x:c>
      <x:c r="Q122" s="16" t="n">
        <x:v>601.0745101005</x:v>
      </x:c>
      <x:c r="R122" s="16" t="n">
        <x:v>-1305.4202441644</x:v>
      </x:c>
    </x:row>
    <x:row r="123">
      <x:c r="A123" s="15" t="n">
        <x:v>43862</x:v>
      </x:c>
      <x:c r="B123" s="16"/>
      <x:c r="C123" s="16" t="n">
        <x:v>784.996213305</x:v>
      </x:c>
      <x:c r="D123" s="16" t="n">
        <x:v>8.6640652753</x:v>
      </x:c>
      <x:c r="E123" s="16" t="n">
        <x:v>-328.8955157099</x:v>
      </x:c>
      <x:c r="F123" s="16" t="n">
        <x:v>-482.5871564451</x:v>
      </x:c>
      <x:c r="G123" s="16" t="n">
        <x:v>-993.1770104028</x:v>
      </x:c>
      <x:c r="H123" s="16" t="n">
        <x:v>118.5796180131</x:v>
      </x:c>
      <x:c r="I123" s="16" t="n">
        <x:v>103.1513232202</x:v>
      </x:c>
      <x:c r="J123" s="16" t="n">
        <x:v>108.3892338883</x:v>
      </x:c>
      <x:c r="K123" s="16" t="n">
        <x:v>2233.4631069185</x:v>
      </x:c>
      <x:c r="L123" s="16" t="n">
        <x:v>-675.7994548938</x:v>
      </x:c>
      <x:c r="M123" s="16" t="n">
        <x:v>536.7161097658</x:v>
      </x:c>
      <x:c r="N123" s="16" t="n">
        <x:v>195.4523814956</x:v>
      </x:c>
      <x:c r="O123" s="16" t="n">
        <x:v>33.5066774584</x:v>
      </x:c>
      <x:c r="P123" s="16" t="n">
        <x:v>-155.5443276413</x:v>
      </x:c>
      <x:c r="Q123" s="16" t="n">
        <x:v>659.774292825</x:v>
      </x:c>
      <x:c r="R123" s="16" t="n">
        <x:v>2327.2443714764</x:v>
      </x:c>
    </x:row>
    <x:row r="124">
      <x:c r="A124" s="15" t="n">
        <x:v>43891</x:v>
      </x:c>
      <x:c r="B124" s="16"/>
      <x:c r="C124" s="16" t="n">
        <x:v>-4286.6384657533</x:v>
      </x:c>
      <x:c r="D124" s="16" t="n">
        <x:v>-530.5073166027</x:v>
      </x:c>
      <x:c r="E124" s="16" t="n">
        <x:v>-263.8609507945</x:v>
      </x:c>
      <x:c r="F124" s="16" t="n">
        <x:v>-1211.9862882192</x:v>
      </x:c>
      <x:c r="G124" s="16" t="n">
        <x:v>-5445.3044335343</x:v>
      </x:c>
      <x:c r="H124" s="16" t="n">
        <x:v>84.2034283836</x:v>
      </x:c>
      <x:c r="I124" s="16" t="n">
        <x:v>-189.5770454795</x:v>
      </x:c>
      <x:c r="J124" s="16" t="n">
        <x:v>-308.4831684384</x:v>
      </x:c>
      <x:c r="K124" s="16" t="n">
        <x:v>-1274.9525326027</x:v>
      </x:c>
      <x:c r="L124" s="16" t="n">
        <x:v>-24032.8973236712</x:v>
      </x:c>
      <x:c r="M124" s="16" t="n">
        <x:v>-1609.0150866849</x:v>
      </x:c>
      <x:c r="N124" s="16" t="n">
        <x:v>-228.6087484932</x:v>
      </x:c>
      <x:c r="O124" s="16" t="n">
        <x:v>161.2016604932</x:v>
      </x:c>
      <x:c r="P124" s="16" t="n">
        <x:v>-346.8386393425</x:v>
      </x:c>
      <x:c r="Q124" s="16" t="n">
        <x:v>-758.5849569315</x:v>
      </x:c>
      <x:c r="R124" s="16" t="n">
        <x:v>2992.6917505754</x:v>
      </x:c>
    </x:row>
    <x:row r="125">
      <x:c r="A125" s="15" t="n">
        <x:v>43922</x:v>
      </x:c>
      <x:c r="B125" s="16"/>
      <x:c r="C125" s="16" t="n">
        <x:v>-11807.5564186301</x:v>
      </x:c>
      <x:c r="D125" s="16" t="n">
        <x:v>-1601.5546958904</x:v>
      </x:c>
      <x:c r="E125" s="16" t="n">
        <x:v>-615.2382044932</x:v>
      </x:c>
      <x:c r="F125" s="16" t="n">
        <x:v>-2482.6296162192</x:v>
      </x:c>
      <x:c r="G125" s="16" t="n">
        <x:v>-5397.9070812055</x:v>
      </x:c>
      <x:c r="H125" s="16" t="n">
        <x:v>-5.3958702466</x:v>
      </x:c>
      <x:c r="I125" s="16" t="n">
        <x:v>-437.2056534795</x:v>
      </x:c>
      <x:c r="J125" s="16" t="n">
        <x:v>-631.310594411</x:v>
      </x:c>
      <x:c r="K125" s="16" t="n">
        <x:v>-5474.0594213699</x:v>
      </x:c>
      <x:c r="L125" s="16" t="n">
        <x:v>-31473.4901545206</x:v>
      </x:c>
      <x:c r="M125" s="16" t="n">
        <x:v>-5283.1687846575</x:v>
      </x:c>
      <x:c r="N125" s="16" t="n">
        <x:v>-987.3892607123</x:v>
      </x:c>
      <x:c r="O125" s="16" t="n">
        <x:v>48.1120263014</x:v>
      </x:c>
      <x:c r="P125" s="16" t="n">
        <x:v>-307.9728986301</x:v>
      </x:c>
      <x:c r="Q125" s="16" t="n">
        <x:v>-3980.6171081644</x:v>
      </x:c>
      <x:c r="R125" s="16" t="n">
        <x:v>1328.9139331507</x:v>
      </x:c>
    </x:row>
    <x:row r="126">
      <x:c r="A126" s="15" t="n">
        <x:v>43952</x:v>
      </x:c>
      <x:c r="B126" s="16"/>
      <x:c r="C126" s="16" t="n">
        <x:v>-21464.4207188164</x:v>
      </x:c>
      <x:c r="D126" s="16" t="n">
        <x:v>-1919.9447031233</x:v>
      </x:c>
      <x:c r="E126" s="16" t="n">
        <x:v>-322.9475415671</x:v>
      </x:c>
      <x:c r="F126" s="16" t="n">
        <x:v>-2037.2118871672</x:v>
      </x:c>
      <x:c r="G126" s="16" t="n">
        <x:v>-4397.7460878027</x:v>
      </x:c>
      <x:c r="H126" s="16" t="n">
        <x:v>-381.319943189</x:v>
      </x:c>
      <x:c r="I126" s="16" t="n">
        <x:v>-468.3543921973</x:v>
      </x:c>
      <x:c r="J126" s="16" t="n">
        <x:v>-678.1700053041</x:v>
      </x:c>
      <x:c r="K126" s="16" t="n">
        <x:v>-2283.334061589</x:v>
      </x:c>
      <x:c r="L126" s="16" t="n">
        <x:v>-36951.8728844274</x:v>
      </x:c>
      <x:c r="M126" s="16" t="n">
        <x:v>-8774.2103769425</x:v>
      </x:c>
      <x:c r="N126" s="16" t="n">
        <x:v>-860.8415346082</x:v>
      </x:c>
      <x:c r="O126" s="16" t="n">
        <x:v>-591.7223409973</x:v>
      </x:c>
      <x:c r="P126" s="16" t="n">
        <x:v>-426.5462632329</x:v>
      </x:c>
      <x:c r="Q126" s="16" t="n">
        <x:v>-8817.7345102027</x:v>
      </x:c>
      <x:c r="R126" s="16" t="n">
        <x:v>-2215.300000789</x:v>
      </x:c>
    </x:row>
    <x:row r="127">
      <x:c r="A127" s="15" t="n">
        <x:v>43983</x:v>
      </x:c>
      <x:c r="B127" s="16"/>
      <x:c r="C127" s="16" t="n">
        <x:v>-27428.9489344879</x:v>
      </x:c>
      <x:c r="D127" s="16" t="n">
        <x:v>-1629.0113963836</x:v>
      </x:c>
      <x:c r="E127" s="16" t="n">
        <x:v>-616.8614699836</x:v>
      </x:c>
      <x:c r="F127" s="16" t="n">
        <x:v>-3532.5733640767</x:v>
      </x:c>
      <x:c r="G127" s="16" t="n">
        <x:v>-1309.2438328986</x:v>
      </x:c>
      <x:c r="H127" s="16" t="n">
        <x:v>-282.077728789</x:v>
      </x:c>
      <x:c r="I127" s="16" t="n">
        <x:v>-145.5324944658</x:v>
      </x:c>
      <x:c r="J127" s="16" t="n">
        <x:v>-142.3894502575</x:v>
      </x:c>
      <x:c r="K127" s="16" t="n">
        <x:v>1632.033382663</x:v>
      </x:c>
      <x:c r="L127" s="16" t="n">
        <x:v>-16163.4116579945</x:v>
      </x:c>
      <x:c r="M127" s="16" t="n">
        <x:v>-6024.0877312438</x:v>
      </x:c>
      <x:c r="N127" s="16" t="n">
        <x:v>-228.0091289534</x:v>
      </x:c>
      <x:c r="O127" s="16" t="n">
        <x:v>-650.7228237151</x:v>
      </x:c>
      <x:c r="P127" s="16" t="n">
        <x:v>-455.1211161425</x:v>
      </x:c>
      <x:c r="Q127" s="16" t="n">
        <x:v>-7404.6665829699</x:v>
      </x:c>
      <x:c r="R127" s="16" t="n">
        <x:v>-350.3013032329</x:v>
      </x:c>
    </x:row>
    <x:row r="128">
      <x:c r="A128" s="15" t="n">
        <x:v>44013</x:v>
      </x:c>
      <x:c r="B128" s="16"/>
      <x:c r="C128" s="16" t="n">
        <x:v>-21233.1107594519</x:v>
      </x:c>
      <x:c r="D128" s="16" t="n">
        <x:v>130.4107905753</x:v>
      </x:c>
      <x:c r="E128" s="16" t="n">
        <x:v>-520.0255123836</x:v>
      </x:c>
      <x:c r="F128" s="16" t="n">
        <x:v>-2925.6877447014</x:v>
      </x:c>
      <x:c r="G128" s="16" t="n">
        <x:v>138.5803022904</x:v>
      </x:c>
      <x:c r="H128" s="16" t="n">
        <x:v>-311.5944615452</x:v>
      </x:c>
      <x:c r="I128" s="16" t="n">
        <x:v>76.1683476164</x:v>
      </x:c>
      <x:c r="J128" s="16" t="n">
        <x:v>135.0394052712</x:v>
      </x:c>
      <x:c r="K128" s="16" t="n">
        <x:v>8464.2282951013</x:v>
      </x:c>
      <x:c r="L128" s="16" t="n">
        <x:v>-5237.2609955945</x:v>
      </x:c>
      <x:c r="M128" s="16" t="n">
        <x:v>1095.1931788274</x:v>
      </x:c>
      <x:c r="N128" s="16" t="n">
        <x:v>744.8883105425</x:v>
      </x:c>
      <x:c r="O128" s="16" t="n">
        <x:v>-309.4856511123</x:v>
      </x:c>
      <x:c r="P128" s="16" t="n">
        <x:v>-815.9400532164</x:v>
      </x:c>
      <x:c r="Q128" s="16" t="n">
        <x:v>-4198.2010295233</x:v>
      </x:c>
      <x:c r="R128" s="16" t="n">
        <x:v>229.0200493589</x:v>
      </x:c>
    </x:row>
    <x:row r="129">
      <x:c r="A129" s="15" t="n">
        <x:v>44044</x:v>
      </x:c>
      <x:c r="B129" s="16"/>
      <x:c r="C129" s="16" t="n">
        <x:v>-9523.6746071671</x:v>
      </x:c>
      <x:c r="D129" s="16" t="n">
        <x:v>-1.6292337973</x:v>
      </x:c>
      <x:c r="E129" s="16" t="n">
        <x:v>-917.702201863</x:v>
      </x:c>
      <x:c r="F129" s="16" t="n">
        <x:v>-2956.5209156383</x:v>
      </x:c>
      <x:c r="G129" s="16" t="n">
        <x:v>1900.4646298301</x:v>
      </x:c>
      <x:c r="H129" s="16" t="n">
        <x:v>-65.2145471123</x:v>
      </x:c>
      <x:c r="I129" s="16" t="n">
        <x:v>177.8656631233</x:v>
      </x:c>
      <x:c r="J129" s="16" t="n">
        <x:v>125.8087757151</x:v>
      </x:c>
      <x:c r="K129" s="16" t="n">
        <x:v>11212.0366380712</x:v>
      </x:c>
      <x:c r="L129" s="16" t="n">
        <x:v>5746.4112620712</x:v>
      </x:c>
      <x:c r="M129" s="16" t="n">
        <x:v>6164.6070577096</x:v>
      </x:c>
      <x:c r="N129" s="16" t="n">
        <x:v>245.7961545973</x:v>
      </x:c>
      <x:c r="O129" s="16" t="n">
        <x:v>475.7212230137</x:v>
      </x:c>
      <x:c r="P129" s="16" t="n">
        <x:v>-223.9211327123</x:v>
      </x:c>
      <x:c r="Q129" s="16" t="n">
        <x:v>954.3939128986</x:v>
      </x:c>
      <x:c r="R129" s="16" t="n">
        <x:v>4953.1114965918</x:v>
      </x:c>
    </x:row>
    <x:row r="130">
      <x:c r="A130" s="15" t="n">
        <x:v>44075</x:v>
      </x:c>
      <x:c r="B130" s="16"/>
      <x:c r="C130" s="16" t="n">
        <x:v>3495.4345864768</x:v>
      </x:c>
      <x:c r="D130" s="16" t="n">
        <x:v>421.4437751233</x:v>
      </x:c>
      <x:c r="E130" s="16" t="n">
        <x:v>-485.2459851397</x:v>
      </x:c>
      <x:c r="F130" s="16" t="n">
        <x:v>-654.1876796055</x:v>
      </x:c>
      <x:c r="G130" s="16" t="n">
        <x:v>3325.3294258849</x:v>
      </x:c>
      <x:c r="H130" s="16" t="n">
        <x:v>56.513618674</x:v>
      </x:c>
      <x:c r="I130" s="16" t="n">
        <x:v>176.3898353973</x:v>
      </x:c>
      <x:c r="J130" s="16" t="n">
        <x:v>-41.5767397699</x:v>
      </x:c>
      <x:c r="K130" s="16" t="n">
        <x:v>17897.3003865425</x:v>
      </x:c>
      <x:c r="L130" s="16" t="n">
        <x:v>14097.193499178</x:v>
      </x:c>
      <x:c r="M130" s="16" t="n">
        <x:v>7195.3169408</x:v>
      </x:c>
      <x:c r="N130" s="16" t="n">
        <x:v>348.5000414795</x:v>
      </x:c>
      <x:c r="O130" s="16" t="n">
        <x:v>578.5216147288</x:v>
      </x:c>
      <x:c r="P130" s="16" t="n">
        <x:v>44.1011370082</x:v>
      </x:c>
      <x:c r="Q130" s="16" t="n">
        <x:v>1602.1237721425</x:v>
      </x:c>
      <x:c r="R130" s="16" t="n">
        <x:v>1099.6485879232</x:v>
      </x:c>
    </x:row>
    <x:row r="131">
      <x:c r="A131" s="15" t="n">
        <x:v>44105</x:v>
      </x:c>
      <x:c r="B131" s="16"/>
      <x:c r="C131" s="16" t="n">
        <x:v>8889.7930625753</x:v>
      </x:c>
      <x:c r="D131" s="16" t="n">
        <x:v>376.8113008219</x:v>
      </x:c>
      <x:c r="E131" s="16" t="n">
        <x:v>-115.5923082849</x:v>
      </x:c>
      <x:c r="F131" s="16" t="n">
        <x:v>106.5577491288</x:v>
      </x:c>
      <x:c r="G131" s="16" t="n">
        <x:v>3930.3264955617</x:v>
      </x:c>
      <x:c r="H131" s="16" t="n">
        <x:v>237.1395993425</x:v>
      </x:c>
      <x:c r="I131" s="16" t="n">
        <x:v>79.210528789</x:v>
      </x:c>
      <x:c r="J131" s="16" t="n">
        <x:v>121.7443688438</x:v>
      </x:c>
      <x:c r="K131" s="16" t="n">
        <x:v>24595.9468629919</x:v>
      </x:c>
      <x:c r="L131" s="16" t="n">
        <x:v>19568.3659085151</x:v>
      </x:c>
      <x:c r="M131" s="16" t="n">
        <x:v>6388.5384486575</x:v>
      </x:c>
      <x:c r="N131" s="16" t="n">
        <x:v>146.4010024219</x:v>
      </x:c>
      <x:c r="O131" s="16" t="n">
        <x:v>494.8195850521</x:v>
      </x:c>
      <x:c r="P131" s="16" t="n">
        <x:v>616.2779608548</x:v>
      </x:c>
      <x:c r="Q131" s="16" t="n">
        <x:v>2279.897133326</x:v>
      </x:c>
      <x:c r="R131" s="16" t="n">
        <x:v>718.6494932164</x:v>
      </x:c>
    </x:row>
    <x:row r="132">
      <x:c r="A132" s="15" t="n">
        <x:v>44136</x:v>
      </x:c>
      <x:c r="B132" s="16"/>
      <x:c r="C132" s="16" t="n">
        <x:v>12390.2437986191</x:v>
      </x:c>
      <x:c r="D132" s="16" t="n">
        <x:v>1074.9061098959</x:v>
      </x:c>
      <x:c r="E132" s="16" t="n">
        <x:v>254.7599580493</x:v>
      </x:c>
      <x:c r="F132" s="16" t="n">
        <x:v>783.3215693151</x:v>
      </x:c>
      <x:c r="G132" s="16" t="n">
        <x:v>1460.6436518575</x:v>
      </x:c>
      <x:c r="H132" s="16" t="n">
        <x:v>412.5655671233</x:v>
      </x:c>
      <x:c r="I132" s="16" t="n">
        <x:v>346.2198056329</x:v>
      </x:c>
      <x:c r="J132" s="16" t="n">
        <x:v>154.986448</x:v>
      </x:c>
      <x:c r="K132" s="16" t="n">
        <x:v>23410.4085777534</x:v>
      </x:c>
      <x:c r="L132" s="16" t="n">
        <x:v>21680.8399026849</x:v>
      </x:c>
      <x:c r="M132" s="16" t="n">
        <x:v>7307.2557529425</x:v>
      </x:c>
      <x:c r="N132" s="16" t="n">
        <x:v>1093.7015239233</x:v>
      </x:c>
      <x:c r="O132" s="16" t="n">
        <x:v>88.1567116274</x:v>
      </x:c>
      <x:c r="P132" s="16" t="n">
        <x:v>41.176877589</x:v>
      </x:c>
      <x:c r="Q132" s="16" t="n">
        <x:v>2137.221541611</x:v>
      </x:c>
      <x:c r="R132" s="16" t="n">
        <x:v>-1783.4469482959</x:v>
      </x:c>
    </x:row>
    <x:row r="133">
      <x:c r="A133" s="15" t="n">
        <x:v>44166</x:v>
      </x:c>
      <x:c r="B133" s="16"/>
      <x:c r="C133" s="16" t="n">
        <x:v>11628.9023817644</x:v>
      </x:c>
      <x:c r="D133" s="16" t="n">
        <x:v>1013.595001863</x:v>
      </x:c>
      <x:c r="E133" s="16" t="n">
        <x:v>23.8384219178</x:v>
      </x:c>
      <x:c r="F133" s="16" t="n">
        <x:v>1078.1466919014</x:v>
      </x:c>
      <x:c r="G133" s="16" t="n">
        <x:v>1452.165657074</x:v>
      </x:c>
      <x:c r="H133" s="16" t="n">
        <x:v>335.1018381151</x:v>
      </x:c>
      <x:c r="I133" s="16" t="n">
        <x:v>450.2871189041</x:v>
      </x:c>
      <x:c r="J133" s="16" t="n">
        <x:v>252.6623824658</x:v>
      </x:c>
      <x:c r="K133" s="16" t="n">
        <x:v>18883.275750926</x:v>
      </x:c>
      <x:c r="L133" s="16" t="n">
        <x:v>26692.6139882959</x:v>
      </x:c>
      <x:c r="M133" s="16" t="n">
        <x:v>7345.7869971288</x:v>
      </x:c>
      <x:c r="N133" s="16" t="n">
        <x:v>1038.9839214466</x:v>
      </x:c>
      <x:c r="O133" s="16" t="n">
        <x:v>72.6095324931</x:v>
      </x:c>
      <x:c r="P133" s="16" t="n">
        <x:v>215.5088592658</x:v>
      </x:c>
      <x:c r="Q133" s="16" t="n">
        <x:v>2178.4945837589</x:v>
      </x:c>
      <x:c r="R133" s="16" t="n">
        <x:v>3717.639808526</x:v>
      </x:c>
    </x:row>
    <x:row r="134">
      <x:c r="A134" s="15" t="n">
        <x:v>44197</x:v>
      </x:c>
      <x:c r="B134" s="16"/>
      <x:c r="C134" s="16" t="n">
        <x:v>10696.6443611178</x:v>
      </x:c>
      <x:c r="D134" s="16" t="n">
        <x:v>851.1849315945</x:v>
      </x:c>
      <x:c r="E134" s="16" t="n">
        <x:v>-91.6188620712</x:v>
      </x:c>
      <x:c r="F134" s="16" t="n">
        <x:v>1712.726482411</x:v>
      </x:c>
      <x:c r="G134" s="16" t="n">
        <x:v>509.6209758685</x:v>
      </x:c>
      <x:c r="H134" s="16" t="n">
        <x:v>430.8798641973</x:v>
      </x:c>
      <x:c r="I134" s="16" t="n">
        <x:v>543.8490543342</x:v>
      </x:c>
      <x:c r="J134" s="16" t="n">
        <x:v>26.2683698849</x:v>
      </x:c>
      <x:c r="K134" s="16" t="n">
        <x:v>29161.9251792657</x:v>
      </x:c>
      <x:c r="L134" s="16" t="n">
        <x:v>18549.9971100054</x:v>
      </x:c>
      <x:c r="M134" s="16" t="n">
        <x:v>5307.7417359781</x:v>
      </x:c>
      <x:c r="N134" s="16" t="n">
        <x:v>796.0150284932</x:v>
      </x:c>
      <x:c r="O134" s="16" t="n">
        <x:v>15.6230031781</x:v>
      </x:c>
      <x:c r="P134" s="16" t="n">
        <x:v>89.2668402849</x:v>
      </x:c>
      <x:c r="Q134" s="16" t="n">
        <x:v>1566.4588990466</x:v>
      </x:c>
      <x:c r="R134" s="16" t="n">
        <x:v>4687.6410213699</x:v>
      </x:c>
    </x:row>
    <x:row r="135">
      <x:c r="A135" s="15" t="n">
        <x:v>44228</x:v>
      </x:c>
      <x:c r="B135" s="16"/>
      <x:c r="C135" s="16" t="n">
        <x:v>9439.0228984988</x:v>
      </x:c>
      <x:c r="D135" s="16" t="n">
        <x:v>424.7824269589</x:v>
      </x:c>
      <x:c r="E135" s="16" t="n">
        <x:v>-133.0659566904</x:v>
      </x:c>
      <x:c r="F135" s="16" t="n">
        <x:v>1338.8163310466</x:v>
      </x:c>
      <x:c r="G135" s="16" t="n">
        <x:v>680.1540723726</x:v>
      </x:c>
      <x:c r="H135" s="16" t="n">
        <x:v>243.659743474</x:v>
      </x:c>
      <x:c r="I135" s="16" t="n">
        <x:v>188.6262496438</x:v>
      </x:c>
      <x:c r="J135" s="16" t="n">
        <x:v>-64.7659324055</x:v>
      </x:c>
      <x:c r="K135" s="16" t="n">
        <x:v>30957.6717270794</x:v>
      </x:c>
      <x:c r="L135" s="16" t="n">
        <x:v>16151.1875489315</x:v>
      </x:c>
      <x:c r="M135" s="16" t="n">
        <x:v>2078.6601777096</x:v>
      </x:c>
      <x:c r="N135" s="16" t="n">
        <x:v>932.6643236384</x:v>
      </x:c>
      <x:c r="O135" s="16" t="n">
        <x:v>283.7452200329</x:v>
      </x:c>
      <x:c r="P135" s="16" t="n">
        <x:v>267.8133121753</x:v>
      </x:c>
      <x:c r="Q135" s="16" t="n">
        <x:v>1338.611507726</x:v>
      </x:c>
      <x:c r="R135" s="16" t="n">
        <x:v>5031.2778206685</x:v>
      </x:c>
    </x:row>
    <x:row r="136">
      <x:c r="A136" s="15" t="n">
        <x:v>44256</x:v>
      </x:c>
      <x:c r="B136" s="16"/>
      <x:c r="C136" s="16" t="n">
        <x:v>8396.943640548</x:v>
      </x:c>
      <x:c r="D136" s="16" t="n">
        <x:v>338.3951364384</x:v>
      </x:c>
      <x:c r="E136" s="16" t="n">
        <x:v>-23.8767886027</x:v>
      </x:c>
      <x:c r="F136" s="16" t="n">
        <x:v>1226.3689275616</x:v>
      </x:c>
      <x:c r="G136" s="16" t="n">
        <x:v>1441.2826783562</x:v>
      </x:c>
      <x:c r="H136" s="16" t="n">
        <x:v>159.788685589</x:v>
      </x:c>
      <x:c r="I136" s="16" t="n">
        <x:v>159.7201472877</x:v>
      </x:c>
      <x:c r="J136" s="16" t="n">
        <x:v>-68.711852274</x:v>
      </x:c>
      <x:c r="K136" s="16" t="n">
        <x:v>45922.030788384</x:v>
      </x:c>
      <x:c r="L136" s="16" t="n">
        <x:v>15745.5698481096</x:v>
      </x:c>
      <x:c r="M136" s="16" t="n">
        <x:v>3274.7643406027</x:v>
      </x:c>
      <x:c r="N136" s="16" t="n">
        <x:v>-649.8410663014</x:v>
      </x:c>
      <x:c r="O136" s="16" t="n">
        <x:v>190.9891296438</x:v>
      </x:c>
      <x:c r="P136" s="16" t="n">
        <x:v>201.3953393973</x:v>
      </x:c>
      <x:c r="Q136" s="16" t="n">
        <x:v>-665.6581830137</x:v>
      </x:c>
      <x:c r="R136" s="16" t="n">
        <x:v>1374.4006803288</x:v>
      </x:c>
    </x:row>
    <x:row r="137">
      <x:c r="A137" s="15" t="n">
        <x:v>44287</x:v>
      </x:c>
      <x:c r="B137" s="16"/>
      <x:c r="C137" s="16" t="n">
        <x:v>5507.0006720876</x:v>
      </x:c>
      <x:c r="D137" s="16" t="n">
        <x:v>395.5071126794</x:v>
      </x:c>
      <x:c r="E137" s="16" t="n">
        <x:v>-11.0680316164</x:v>
      </x:c>
      <x:c r="F137" s="16" t="n">
        <x:v>543.6430599014</x:v>
      </x:c>
      <x:c r="G137" s="16" t="n">
        <x:v>2447.6381759123</x:v>
      </x:c>
      <x:c r="H137" s="16" t="n">
        <x:v>31.4944518137</x:v>
      </x:c>
      <x:c r="I137" s="16" t="n">
        <x:v>242.5671452055</x:v>
      </x:c>
      <x:c r="J137" s="16" t="n">
        <x:v>-106.8521656986</x:v>
      </x:c>
      <x:c r="K137" s="16" t="n">
        <x:v>38278.5808341921</x:v>
      </x:c>
      <x:c r="L137" s="16" t="n">
        <x:v>31038.9029905535</x:v>
      </x:c>
      <x:c r="M137" s="16" t="n">
        <x:v>4140.4162304</x:v>
      </x:c>
      <x:c r="N137" s="16" t="n">
        <x:v>-845.5048819507</x:v>
      </x:c>
      <x:c r="O137" s="16" t="n">
        <x:v>374.8803520877</x:v>
      </x:c>
      <x:c r="P137" s="16" t="n">
        <x:v>442.9119241644</x:v>
      </x:c>
      <x:c r="Q137" s="16" t="n">
        <x:v>-1154.7515071343</x:v>
      </x:c>
      <x:c r="R137" s="16" t="n">
        <x:v>916.4405244493</x:v>
      </x:c>
    </x:row>
    <x:row r="138">
      <x:c r="A138" s="15" t="n">
        <x:v>44317</x:v>
      </x:c>
      <x:c r="B138" s="16"/>
      <x:c r="C138" s="16" t="n">
        <x:v>4318.8516022355</x:v>
      </x:c>
      <x:c r="D138" s="16" t="n">
        <x:v>563.8271415671</x:v>
      </x:c>
      <x:c r="E138" s="16" t="n">
        <x:v>-124.8375683945</x:v>
      </x:c>
      <x:c r="F138" s="16" t="n">
        <x:v>619.5807368767</x:v>
      </x:c>
      <x:c r="G138" s="16" t="n">
        <x:v>2278.9440952109</x:v>
      </x:c>
      <x:c r="H138" s="16" t="n">
        <x:v>-117.1801564055</x:v>
      </x:c>
      <x:c r="I138" s="16" t="n">
        <x:v>232.1693869589</x:v>
      </x:c>
      <x:c r="J138" s="16" t="n">
        <x:v>66.3847779945</x:v>
      </x:c>
      <x:c r="K138" s="16" t="n">
        <x:v>36602.1284138084</x:v>
      </x:c>
      <x:c r="L138" s="16" t="n">
        <x:v>26327.721342948</x:v>
      </x:c>
      <x:c r="M138" s="16" t="n">
        <x:v>3635.483886115</x:v>
      </x:c>
      <x:c r="N138" s="16" t="n">
        <x:v>-981.2402795397</x:v>
      </x:c>
      <x:c r="O138" s="16" t="n">
        <x:v>327.9211134246</x:v>
      </x:c>
      <x:c r="P138" s="16" t="n">
        <x:v>64.1485908164</x:v>
      </x:c>
      <x:c r="Q138" s="16" t="n">
        <x:v>-1198.2543355616</x:v>
      </x:c>
      <x:c r="R138" s="16" t="n">
        <x:v>2354.0659359562</x:v>
      </x:c>
    </x:row>
    <x:row r="139">
      <x:c r="A139" s="15" t="n">
        <x:v>44348</x:v>
      </x:c>
      <x:c r="B139" s="16"/>
      <x:c r="C139" s="16" t="n">
        <x:v>4638.4919215342</x:v>
      </x:c>
      <x:c r="D139" s="16" t="n">
        <x:v>567.199640811</x:v>
      </x:c>
      <x:c r="E139" s="16" t="n">
        <x:v>-56.1009633753</x:v>
      </x:c>
      <x:c r="F139" s="16" t="n">
        <x:v>785.2693966905</x:v>
      </x:c>
      <x:c r="G139" s="16" t="n">
        <x:v>1067.237927189</x:v>
      </x:c>
      <x:c r="H139" s="16" t="n">
        <x:v>-52.6477873096</x:v>
      </x:c>
      <x:c r="I139" s="16" t="n">
        <x:v>181.2129315069</x:v>
      </x:c>
      <x:c r="J139" s="16" t="n">
        <x:v>194.5793993644</x:v>
      </x:c>
      <x:c r="K139" s="16" t="n">
        <x:v>20209.2775024217</x:v>
      </x:c>
      <x:c r="L139" s="16" t="n">
        <x:v>25926.983770126</x:v>
      </x:c>
      <x:c r="M139" s="16" t="n">
        <x:v>522.6203623453</x:v>
      </x:c>
      <x:c r="N139" s="16" t="n">
        <x:v>-14.4116876438</x:v>
      </x:c>
      <x:c r="O139" s="16" t="n">
        <x:v>143.0887038247</x:v>
      </x:c>
      <x:c r="P139" s="16" t="n">
        <x:v>148.0441136219</x:v>
      </x:c>
      <x:c r="Q139" s="16" t="n">
        <x:v>266.6686071233</x:v>
      </x:c>
      <x:c r="R139" s="16" t="n">
        <x:v>2330.417408</x:v>
      </x:c>
    </x:row>
    <x:row r="140">
      <x:c r="A140" s="15" t="n">
        <x:v>44378</x:v>
      </x:c>
      <x:c r="B140" s="16"/>
      <x:c r="C140" s="16" t="n">
        <x:v>6573.0154243508</x:v>
      </x:c>
      <x:c r="D140" s="16" t="n">
        <x:v>610.6300961753</x:v>
      </x:c>
      <x:c r="E140" s="16" t="n">
        <x:v>64.1902457534</x:v>
      </x:c>
      <x:c r="F140" s="16" t="n">
        <x:v>1027.0666119014</x:v>
      </x:c>
      <x:c r="G140" s="16" t="n">
        <x:v>931.3040262138</x:v>
      </x:c>
      <x:c r="H140" s="16" t="n">
        <x:v>140.4503209205</x:v>
      </x:c>
      <x:c r="I140" s="16" t="n">
        <x:v>90.8165979178</x:v>
      </x:c>
      <x:c r="J140" s="16" t="n">
        <x:v>267.543474937</x:v>
      </x:c>
      <x:c r="K140" s="16" t="n">
        <x:v>19215.3319921973</x:v>
      </x:c>
      <x:c r="L140" s="16" t="n">
        <x:v>12491.7135833424</x:v>
      </x:c>
      <x:c r="M140" s="16" t="n">
        <x:v>-790.0499273644</x:v>
      </x:c>
      <x:c r="N140" s="16" t="n">
        <x:v>66.9307944329</x:v>
      </x:c>
      <x:c r="O140" s="16" t="n">
        <x:v>-90.9839963178</x:v>
      </x:c>
      <x:c r="P140" s="16" t="n">
        <x:v>150.027103211</x:v>
      </x:c>
      <x:c r="Q140" s="16" t="n">
        <x:v>475.1688157808</x:v>
      </x:c>
      <x:c r="R140" s="16" t="n">
        <x:v>4089.4852835945</x:v>
      </x:c>
    </x:row>
    <x:row r="141">
      <x:c r="A141" s="15" t="n">
        <x:v>44409</x:v>
      </x:c>
      <x:c r="B141" s="16"/>
      <x:c r="C141" s="16" t="n">
        <x:v>5814.8867705862</x:v>
      </x:c>
      <x:c r="D141" s="16" t="n">
        <x:v>839.9740417753</x:v>
      </x:c>
      <x:c r="E141" s="16" t="n">
        <x:v>-39.2833725041</x:v>
      </x:c>
      <x:c r="F141" s="16" t="n">
        <x:v>1657.7860011836</x:v>
      </x:c>
      <x:c r="G141" s="16" t="n">
        <x:v>218.0076561535</x:v>
      </x:c>
      <x:c r="H141" s="16" t="n">
        <x:v>449.040614926</x:v>
      </x:c>
      <x:c r="I141" s="16" t="n">
        <x:v>68.6017243178</x:v>
      </x:c>
      <x:c r="J141" s="16" t="n">
        <x:v>85.2187597151</x:v>
      </x:c>
      <x:c r="K141" s="16" t="n">
        <x:v>9807.5785370303</x:v>
      </x:c>
      <x:c r="L141" s="16" t="n">
        <x:v>15986.7457539507</x:v>
      </x:c>
      <x:c r="M141" s="16" t="n">
        <x:v>-1284.2670788383</x:v>
      </x:c>
      <x:c r="N141" s="16" t="n">
        <x:v>498.5889289206</x:v>
      </x:c>
      <x:c r="O141" s="16" t="n">
        <x:v>-272.2722893151</x:v>
      </x:c>
      <x:c r="P141" s="16" t="n">
        <x:v>377.5905777973</x:v>
      </x:c>
      <x:c r="Q141" s="16" t="n">
        <x:v>473.774153074</x:v>
      </x:c>
      <x:c r="R141" s="16" t="n">
        <x:v>2075.9746782685</x:v>
      </x:c>
    </x:row>
    <x:row r="142">
      <x:c r="A142" s="15" t="n">
        <x:v>44440</x:v>
      </x:c>
      <x:c r="B142" s="16"/>
      <x:c r="C142" s="16" t="n">
        <x:v>6042.9482660823</x:v>
      </x:c>
      <x:c r="D142" s="16" t="n">
        <x:v>701.8463152219</x:v>
      </x:c>
      <x:c r="E142" s="16" t="n">
        <x:v>-150.5365922192</x:v>
      </x:c>
      <x:c r="F142" s="16" t="n">
        <x:v>876.0124716712</x:v>
      </x:c>
      <x:c r="G142" s="16" t="n">
        <x:v>3651.1934841863</x:v>
      </x:c>
      <x:c r="H142" s="16" t="n">
        <x:v>463.7495748384</x:v>
      </x:c>
      <x:c r="I142" s="16" t="n">
        <x:v>76.4973974795</x:v>
      </x:c>
      <x:c r="J142" s="16" t="n">
        <x:v>15.0872597041</x:v>
      </x:c>
      <x:c r="K142" s="16" t="n">
        <x:v>-12826.4696151678</x:v>
      </x:c>
      <x:c r="L142" s="16" t="n">
        <x:v>10260.3495332822</x:v>
      </x:c>
      <x:c r="M142" s="16" t="n">
        <x:v>-2399.5896744329</x:v>
      </x:c>
      <x:c r="N142" s="16" t="n">
        <x:v>481.8978807397</x:v>
      </x:c>
      <x:c r="O142" s="16" t="n">
        <x:v>-225.1981059507</x:v>
      </x:c>
      <x:c r="P142" s="16" t="n">
        <x:v>225.0284340603</x:v>
      </x:c>
      <x:c r="Q142" s="16" t="n">
        <x:v>570.6043161425</x:v>
      </x:c>
      <x:c r="R142" s="16" t="n">
        <x:v>1656.7748948164</x:v>
      </x:c>
    </x:row>
    <x:row r="143">
      <x:c r="A143" s="15" t="n">
        <x:v>44470</x:v>
      </x:c>
      <x:c r="B143" s="16"/>
      <x:c r="C143" s="16" t="n">
        <x:v>5188.9835271013</x:v>
      </x:c>
      <x:c r="D143" s="16" t="n">
        <x:v>492.8190445589</x:v>
      </x:c>
      <x:c r="E143" s="16" t="n">
        <x:v>-221.0938171178</x:v>
      </x:c>
      <x:c r="F143" s="16" t="n">
        <x:v>528.3389348274</x:v>
      </x:c>
      <x:c r="G143" s="16" t="n">
        <x:v>3909.3363546301</x:v>
      </x:c>
      <x:c r="H143" s="16" t="n">
        <x:v>234.3002981699</x:v>
      </x:c>
      <x:c r="I143" s="16" t="n">
        <x:v>19.8380682521</x:v>
      </x:c>
      <x:c r="J143" s="16" t="n">
        <x:v>13.4066665205</x:v>
      </x:c>
      <x:c r="K143" s="16" t="n">
        <x:v>-44592.0062954962</x:v>
      </x:c>
      <x:c r="L143" s="16" t="n">
        <x:v>15015.6823225863</x:v>
      </x:c>
      <x:c r="M143" s="16" t="n">
        <x:v>-3973.4928910027</x:v>
      </x:c>
      <x:c r="N143" s="16" t="n">
        <x:v>408.8265884931</x:v>
      </x:c>
      <x:c r="O143" s="16" t="n">
        <x:v>-187.2267137753</x:v>
      </x:c>
      <x:c r="P143" s="16" t="n">
        <x:v>-56.1499648</x:v>
      </x:c>
      <x:c r="Q143" s="16" t="n">
        <x:v>522.8500259945</x:v>
      </x:c>
      <x:c r="R143" s="16" t="n">
        <x:v>355.4510132603</x:v>
      </x:c>
    </x:row>
    <x:row r="144">
      <x:c r="A144" s="15" t="n">
        <x:v>44501</x:v>
      </x:c>
      <x:c r="B144" s="16"/>
      <x:c r="C144" s="16" t="n">
        <x:v>4264.2282348494</x:v>
      </x:c>
      <x:c r="D144" s="16" t="n">
        <x:v>382.0827310466</x:v>
      </x:c>
      <x:c r="E144" s="16" t="n">
        <x:v>-417.9417211507</x:v>
      </x:c>
      <x:c r="F144" s="16" t="n">
        <x:v>374.4866388821</x:v>
      </x:c>
      <x:c r="G144" s="16" t="n">
        <x:v>7916.2578254904</x:v>
      </x:c>
      <x:c r="H144" s="16" t="n">
        <x:v>-47.8736284493</x:v>
      </x:c>
      <x:c r="I144" s="16" t="n">
        <x:v>-22.0294671781</x:v>
      </x:c>
      <x:c r="J144" s="16" t="n">
        <x:v>358.2081118685</x:v>
      </x:c>
      <x:c r="K144" s="16" t="n">
        <x:v>-53721.1292545756</x:v>
      </x:c>
      <x:c r="L144" s="16" t="n">
        <x:v>21653.7983603726</x:v>
      </x:c>
      <x:c r="M144" s="16" t="n">
        <x:v>-3682.9566702466</x:v>
      </x:c>
      <x:c r="N144" s="16" t="n">
        <x:v>-1715.0348719781</x:v>
      </x:c>
      <x:c r="O144" s="16" t="n">
        <x:v>-94.6869935342</x:v>
      </x:c>
      <x:c r="P144" s="16" t="n">
        <x:v>10.4677366356</x:v>
      </x:c>
      <x:c r="Q144" s="16" t="n">
        <x:v>-245.5914219397</x:v>
      </x:c>
      <x:c r="R144" s="16" t="n">
        <x:v>2082.9344615452</x:v>
      </x:c>
    </x:row>
    <x:row r="145">
      <x:c r="A145" s="15" t="n">
        <x:v>44531</x:v>
      </x:c>
      <x:c r="B145" s="16"/>
      <x:c r="C145" s="16" t="n">
        <x:v>3535.9516425643</x:v>
      </x:c>
      <x:c r="D145" s="16" t="n">
        <x:v>431.2589075288</x:v>
      </x:c>
      <x:c r="E145" s="16" t="n">
        <x:v>-267.3856878027</x:v>
      </x:c>
      <x:c r="F145" s="16" t="n">
        <x:v>827.7137615561</x:v>
      </x:c>
      <x:c r="G145" s="16" t="n">
        <x:v>2575.2371422685</x:v>
      </x:c>
      <x:c r="H145" s="16" t="n">
        <x:v>-431.6697982247</x:v>
      </x:c>
      <x:c r="I145" s="16" t="n">
        <x:v>-26.620428274</x:v>
      </x:c>
      <x:c r="J145" s="16" t="n">
        <x:v>374.0437913425</x:v>
      </x:c>
      <x:c r="K145" s="16" t="n">
        <x:v>-41080.2603716379</x:v>
      </x:c>
      <x:c r="L145" s="16" t="n">
        <x:v>16625.8145444822</x:v>
      </x:c>
      <x:c r="M145" s="16" t="n">
        <x:v>-3078.5161813918</x:v>
      </x:c>
      <x:c r="N145" s="16" t="n">
        <x:v>-2767.1598187616</x:v>
      </x:c>
      <x:c r="O145" s="16" t="n">
        <x:v>62.7902884822</x:v>
      </x:c>
      <x:c r="P145" s="16" t="n">
        <x:v>-117.4011565589</x:v>
      </x:c>
      <x:c r="Q145" s="16" t="n">
        <x:v>-42.5565642521</x:v>
      </x:c>
      <x:c r="R145" s="16" t="n">
        <x:v>-582.6638311452</x:v>
      </x:c>
    </x:row>
    <x:row r="146">
      <x:c r="A146" s="15" t="n">
        <x:v>44562</x:v>
      </x:c>
      <x:c r="B146" s="16"/>
      <x:c r="C146" s="16" t="n">
        <x:v>4826.3281102466</x:v>
      </x:c>
      <x:c r="D146" s="16" t="n">
        <x:v>508.1213896329</x:v>
      </x:c>
      <x:c r="E146" s="16" t="n">
        <x:v>-347.4287410849</x:v>
      </x:c>
      <x:c r="F146" s="16" t="n">
        <x:v>-58.1196898192</x:v>
      </x:c>
      <x:c r="G146" s="16" t="n">
        <x:v>1041.3971627835</x:v>
      </x:c>
      <x:c r="H146" s="16" t="n">
        <x:v>-743.2395622575</x:v>
      </x:c>
      <x:c r="I146" s="16" t="n">
        <x:v>-80.0995591014</x:v>
      </x:c>
      <x:c r="J146" s="16" t="n">
        <x:v>365.6667682192</x:v>
      </x:c>
      <x:c r="K146" s="16" t="n">
        <x:v>-16805.1034266301</x:v>
      </x:c>
      <x:c r="L146" s="16" t="n">
        <x:v>11124.6693674082</x:v>
      </x:c>
      <x:c r="M146" s="16" t="n">
        <x:v>-994.6995994301</x:v>
      </x:c>
      <x:c r="N146" s="16" t="n">
        <x:v>-2542.7772984657</x:v>
      </x:c>
      <x:c r="O146" s="16" t="n">
        <x:v>-78.4316724603</x:v>
      </x:c>
      <x:c r="P146" s="16" t="n">
        <x:v>-98.0204044055</x:v>
      </x:c>
      <x:c r="Q146" s="16" t="n">
        <x:v>562.902139737</x:v>
      </x:c>
      <x:c r="R146" s="16" t="n">
        <x:v>-1339.7495488877</x:v>
      </x:c>
    </x:row>
    <x:row r="147">
      <x:c r="A147" s="15" t="n">
        <x:v>44593</x:v>
      </x:c>
      <x:c r="B147" s="16"/>
      <x:c r="C147" s="16" t="n">
        <x:v>5590.1291667506</x:v>
      </x:c>
      <x:c r="D147" s="16" t="n">
        <x:v>47.588390926</x:v>
      </x:c>
      <x:c r="E147" s="16" t="n">
        <x:v>62.295408126</x:v>
      </x:c>
      <x:c r="F147" s="16" t="n">
        <x:v>1159.650823748</x:v>
      </x:c>
      <x:c r="G147" s="16" t="n">
        <x:v>-433.6381503123</x:v>
      </x:c>
      <x:c r="H147" s="16" t="n">
        <x:v>194.7622524493</x:v>
      </x:c>
      <x:c r="I147" s="16" t="n">
        <x:v>-141.4551504658</x:v>
      </x:c>
      <x:c r="J147" s="16" t="n">
        <x:v>104.9699203507</x:v>
      </x:c>
      <x:c r="K147" s="16" t="n">
        <x:v>-493.2447905315</x:v>
      </x:c>
      <x:c r="L147" s="16" t="n">
        <x:v>-1288.3666915945</x:v>
      </x:c>
      <x:c r="M147" s="16" t="n">
        <x:v>704.665197589</x:v>
      </x:c>
      <x:c r="N147" s="16" t="n">
        <x:v>-1096.1099362301</x:v>
      </x:c>
      <x:c r="O147" s="16" t="n">
        <x:v>-2.5011052712</x:v>
      </x:c>
      <x:c r="P147" s="16" t="n">
        <x:v>149.2043102466</x:v>
      </x:c>
      <x:c r="Q147" s="16" t="n">
        <x:v>1317.6015963178</x:v>
      </x:c>
      <x:c r="R147" s="16" t="n">
        <x:v>-4301.274086926</x:v>
      </x:c>
    </x:row>
    <x:row r="148">
      <x:c r="A148" s="15" t="n">
        <x:v>44621</x:v>
      </x:c>
      <x:c r="B148" s="16"/>
      <x:c r="C148" s="16" t="n">
        <x:v>7124.8320920548</x:v>
      </x:c>
      <x:c r="D148" s="16" t="n">
        <x:v>-62.7172339726</x:v>
      </x:c>
      <x:c r="E148" s="16" t="n">
        <x:v>-140.1888385753</x:v>
      </x:c>
      <x:c r="F148" s="16" t="n">
        <x:v>1175.6854865754</x:v>
      </x:c>
      <x:c r="G148" s="16" t="n">
        <x:v>799.0213190137</x:v>
      </x:c>
      <x:c r="H148" s="16" t="n">
        <x:v>518.0561253699</x:v>
      </x:c>
      <x:c r="I148" s="16" t="n">
        <x:v>23.2315020274</x:v>
      </x:c>
      <x:c r="J148" s="16" t="n">
        <x:v>134.6213909041</x:v>
      </x:c>
      <x:c r="K148" s="16" t="n">
        <x:v>11588.6912911781</x:v>
      </x:c>
      <x:c r="L148" s="16" t="n">
        <x:v>16844.9314568772</x:v>
      </x:c>
      <x:c r="M148" s="16" t="n">
        <x:v>4176.1891533151</x:v>
      </x:c>
      <x:c r="N148" s="16" t="n">
        <x:v>283.622845589</x:v>
      </x:c>
      <x:c r="O148" s="16" t="n">
        <x:v>-22.5903658082</x:v>
      </x:c>
      <x:c r="P148" s="16" t="n">
        <x:v>294.493066411</x:v>
      </x:c>
      <x:c r="Q148" s="16" t="n">
        <x:v>679.1882767123</x:v>
      </x:c>
      <x:c r="R148" s="16" t="n">
        <x:v>20.534860274</x:v>
      </x:c>
    </x:row>
    <x:row r="149">
      <x:c r="A149" s="15" t="n">
        <x:v>44652</x:v>
      </x:c>
      <x:c r="B149" s="16"/>
      <x:c r="C149" s="16" t="n">
        <x:v>5192.6416420821</x:v>
      </x:c>
      <x:c r="D149" s="16" t="n">
        <x:v>-205.3721409315</x:v>
      </x:c>
      <x:c r="E149" s="16" t="n">
        <x:v>-4.0604313973</x:v>
      </x:c>
      <x:c r="F149" s="16" t="n">
        <x:v>1451.8018777425</x:v>
      </x:c>
      <x:c r="G149" s="16" t="n">
        <x:v>1843.3165883617</x:v>
      </x:c>
      <x:c r="H149" s="16" t="n">
        <x:v>631.3740251178</x:v>
      </x:c>
      <x:c r="I149" s="16" t="n">
        <x:v>-91.551045611</x:v>
      </x:c>
      <x:c r="J149" s="16" t="n">
        <x:v>111.9356401973</x:v>
      </x:c>
      <x:c r="K149" s="16" t="n">
        <x:v>19457.1379697972</x:v>
      </x:c>
      <x:c r="L149" s="16" t="n">
        <x:v>18608.3259476163</x:v>
      </x:c>
      <x:c r="M149" s="16" t="n">
        <x:v>2945.7566840986</x:v>
      </x:c>
      <x:c r="N149" s="16" t="n">
        <x:v>317.1861854356</x:v>
      </x:c>
      <x:c r="O149" s="16" t="n">
        <x:v>116.5911797479</x:v>
      </x:c>
      <x:c r="P149" s="16" t="n">
        <x:v>191.3575140384</x:v>
      </x:c>
      <x:c r="Q149" s="16" t="n">
        <x:v>557.7907968986</x:v>
      </x:c>
      <x:c r="R149" s="16" t="n">
        <x:v>-2121.0990907617</x:v>
      </x:c>
    </x:row>
    <x:row r="150">
      <x:c r="A150" s="15" t="n">
        <x:v>44682</x:v>
      </x:c>
      <x:c r="B150" s="16"/>
      <x:c r="C150" s="16" t="n">
        <x:v>6098.5038085261</x:v>
      </x:c>
      <x:c r="D150" s="16" t="n">
        <x:v>92.3004227945</x:v>
      </x:c>
      <x:c r="E150" s="16" t="n">
        <x:v>-48.6383478192</x:v>
      </x:c>
      <x:c r="F150" s="16" t="n">
        <x:v>979.9094531507</x:v>
      </x:c>
      <x:c r="G150" s="16" t="n">
        <x:v>-2877.751602674</x:v>
      </x:c>
      <x:c r="H150" s="16" t="n">
        <x:v>305.6536251616</x:v>
      </x:c>
      <x:c r="I150" s="16" t="n">
        <x:v>-95.4209129205</x:v>
      </x:c>
      <x:c r="J150" s="16" t="n">
        <x:v>165.0807585315</x:v>
      </x:c>
      <x:c r="K150" s="16" t="n">
        <x:v>13607.3804014466</x:v>
      </x:c>
      <x:c r="L150" s="16" t="n">
        <x:v>27280.6388935887</x:v>
      </x:c>
      <x:c r="M150" s="16" t="n">
        <x:v>2005.7054192219</x:v>
      </x:c>
      <x:c r="N150" s="16" t="n">
        <x:v>419.5283992219</x:v>
      </x:c>
      <x:c r="O150" s="16" t="n">
        <x:v>213.4740795616</x:v>
      </x:c>
      <x:c r="P150" s="16" t="n">
        <x:v>-4.002857863</x:v>
      </x:c>
      <x:c r="Q150" s="16" t="n">
        <x:v>1569.744477326</x:v>
      </x:c>
      <x:c r="R150" s="16" t="n">
        <x:v>2504.1028425644</x:v>
      </x:c>
    </x:row>
    <x:row r="151">
      <x:c r="A151" s="15" t="n">
        <x:v>44713</x:v>
      </x:c>
      <x:c r="B151" s="16"/>
      <x:c r="C151" s="16" t="n">
        <x:v>4571.3241301918</x:v>
      </x:c>
      <x:c r="D151" s="16" t="n">
        <x:v>434.6688761863</x:v>
      </x:c>
      <x:c r="E151" s="16" t="n">
        <x:v>101.1230572932</x:v>
      </x:c>
      <x:c r="F151" s="16" t="n">
        <x:v>7266.8168014356</x:v>
      </x:c>
      <x:c r="G151" s="16" t="n">
        <x:v>-2678.5165098082</x:v>
      </x:c>
      <x:c r="H151" s="16" t="n">
        <x:v>-466.7026003288</x:v>
      </x:c>
      <x:c r="I151" s="16" t="n">
        <x:v>-364.8732816658</x:v>
      </x:c>
      <x:c r="J151" s="16" t="n">
        <x:v>136.1193546521</x:v>
      </x:c>
      <x:c r="K151" s="16" t="n">
        <x:v>3715.6376120109</x:v>
      </x:c>
      <x:c r="L151" s="16" t="n">
        <x:v>19297.7974147503</x:v>
      </x:c>
      <x:c r="M151" s="16" t="n">
        <x:v>609.9571854027</x:v>
      </x:c>
      <x:c r="N151" s="16" t="n">
        <x:v>403.0872899726</x:v>
      </x:c>
      <x:c r="O151" s="16" t="n">
        <x:v>125.7219689205</x:v>
      </x:c>
      <x:c r="P151" s="16" t="n">
        <x:v>-114.8372928658</x:v>
      </x:c>
      <x:c r="Q151" s="16" t="n">
        <x:v>2265.3819971288</x:v>
      </x:c>
      <x:c r="R151" s="16" t="n">
        <x:v>1164.3022646356</x:v>
      </x:c>
    </x:row>
    <x:row r="152">
      <x:c r="A152" s="15" t="n">
        <x:v>44743</x:v>
      </x:c>
      <x:c r="B152" s="16"/>
      <x:c r="C152" s="16" t="n">
        <x:v>4903.1082902796</x:v>
      </x:c>
      <x:c r="D152" s="16" t="n">
        <x:v>672.8418713863</x:v>
      </x:c>
      <x:c r="E152" s="16" t="n">
        <x:v>8.6080370521</x:v>
      </x:c>
      <x:c r="F152" s="16" t="n">
        <x:v>7410.2687008219</x:v>
      </x:c>
      <x:c r="G152" s="16" t="n">
        <x:v>-3285.2453968658</x:v>
      </x:c>
      <x:c r="H152" s="16" t="n">
        <x:v>-414.6984935452</x:v>
      </x:c>
      <x:c r="I152" s="16" t="n">
        <x:v>-295.9430115945</x:v>
      </x:c>
      <x:c r="J152" s="16" t="n">
        <x:v>210.677330674</x:v>
      </x:c>
      <x:c r="K152" s="16" t="n">
        <x:v>-15220.4225472877</x:v>
      </x:c>
      <x:c r="L152" s="16" t="n">
        <x:v>16939.5851859286</x:v>
      </x:c>
      <x:c r="M152" s="16" t="n">
        <x:v>745.2464215671</x:v>
      </x:c>
      <x:c r="N152" s="16" t="n">
        <x:v>326.5261959014</x:v>
      </x:c>
      <x:c r="O152" s="16" t="n">
        <x:v>102.0036516822</x:v>
      </x:c>
      <x:c r="P152" s="16" t="n">
        <x:v>-16.7228452384</x:v>
      </x:c>
      <x:c r="Q152" s="16" t="n">
        <x:v>1935.1592166356</x:v>
      </x:c>
      <x:c r="R152" s="16" t="n">
        <x:v>3730.5131072877</x:v>
      </x:c>
    </x:row>
    <x:row r="153">
      <x:c r="A153" s="15" t="n">
        <x:v>44774</x:v>
      </x:c>
      <x:c r="B153" s="16" t="n">
        <x:v>-95.1603862794</x:v>
      </x:c>
      <x:c r="C153" s="16" t="n">
        <x:v>5980.4556266961</x:v>
      </x:c>
      <x:c r="D153" s="16" t="n">
        <x:v>751.9044734685</x:v>
      </x:c>
      <x:c r="E153" s="16" t="n">
        <x:v>5.9875958904</x:v>
      </x:c>
      <x:c r="F153" s="16" t="n">
        <x:v>963.1784304877</x:v>
      </x:c>
      <x:c r="G153" s="16" t="n">
        <x:v>673.6404632549</x:v>
      </x:c>
      <x:c r="H153" s="16" t="n">
        <x:v>-384.257925611</x:v>
      </x:c>
      <x:c r="I153" s="16" t="n">
        <x:v>-316.0022617425</x:v>
      </x:c>
      <x:c r="J153" s="16" t="n">
        <x:v>166.109184526</x:v>
      </x:c>
      <x:c r="K153" s="16" t="n">
        <x:v>-18704.9654478904</x:v>
      </x:c>
      <x:c r="L153" s="16" t="n">
        <x:v>15916.8862193981</x:v>
      </x:c>
      <x:c r="M153" s="16" t="n">
        <x:v>2783.9901313754</x:v>
      </x:c>
      <x:c r="N153" s="16" t="n">
        <x:v>269.6896769206</x:v>
      </x:c>
      <x:c r="O153" s="16" t="n">
        <x:v>-205.0604207342</x:v>
      </x:c>
      <x:c r="P153" s="16" t="n">
        <x:v>-154.9292152548</x:v>
      </x:c>
      <x:c r="Q153" s="16" t="n">
        <x:v>713.5435567781</x:v>
      </x:c>
      <x:c r="R153" s="16" t="n">
        <x:v>-2413.0276667616</x:v>
      </x:c>
    </x:row>
    <x:row r="154">
      <x:c r="A154" s="15" t="n">
        <x:v>44805</x:v>
      </x:c>
      <x:c r="B154" s="16" t="n">
        <x:v>-56.4894905863</x:v>
      </x:c>
      <x:c r="C154" s="16" t="n">
        <x:v>6710.7606570081</x:v>
      </x:c>
      <x:c r="D154" s="16" t="n">
        <x:v>550.4167886904</x:v>
      </x:c>
      <x:c r="E154" s="16" t="n">
        <x:v>-48.7164547507</x:v>
      </x:c>
      <x:c r="F154" s="16" t="n">
        <x:v>-4294.7782839562</x:v>
      </x:c>
      <x:c r="G154" s="16" t="n">
        <x:v>1409.6161737643</x:v>
      </x:c>
      <x:c r="H154" s="16" t="n">
        <x:v>-3.5492194192</x:v>
      </x:c>
      <x:c r="I154" s="16" t="n">
        <x:v>-219.4440553205</x:v>
      </x:c>
      <x:c r="J154" s="16" t="n">
        <x:v>148.6959383671</x:v>
      </x:c>
      <x:c r="K154" s="16" t="n">
        <x:v>-23369.6353813041</x:v>
      </x:c>
      <x:c r="L154" s="16" t="n">
        <x:v>1756.7692191565</x:v>
      </x:c>
      <x:c r="M154" s="16" t="n">
        <x:v>-464.0345189699</x:v>
      </x:c>
      <x:c r="N154" s="16" t="n">
        <x:v>16.2632733041</x:v>
      </x:c>
      <x:c r="O154" s="16" t="n">
        <x:v>-191.211776</x:v>
      </x:c>
      <x:c r="P154" s="16" t="n">
        <x:v>-101.5223812822</x:v>
      </x:c>
      <x:c r="Q154" s="16" t="n">
        <x:v>586.2455002301</x:v>
      </x:c>
      <x:c r="R154" s="16" t="n">
        <x:v>-3766.376000526</x:v>
      </x:c>
    </x:row>
    <x:row r="155">
      <x:c r="A155" s="15" t="n">
        <x:v>44835</x:v>
      </x:c>
      <x:c r="B155" s="16" t="n">
        <x:v>-15.139783189</x:v>
      </x:c>
      <x:c r="C155" s="16" t="n">
        <x:v>6713.2064070138</x:v>
      </x:c>
      <x:c r="D155" s="16" t="n">
        <x:v>581.8832784658</x:v>
      </x:c>
      <x:c r="E155" s="16" t="n">
        <x:v>-19.1305216438</x:v>
      </x:c>
      <x:c r="F155" s="16" t="n">
        <x:v>-4761.0554088329</x:v>
      </x:c>
      <x:c r="G155" s="16" t="n">
        <x:v>1231.6892593095</x:v>
      </x:c>
      <x:c r="H155" s="16" t="n">
        <x:v>7.246154652</x:v>
      </x:c>
      <x:c r="I155" s="16" t="n">
        <x:v>-119.3368626849</x:v>
      </x:c>
      <x:c r="J155" s="16" t="n">
        <x:v>143.342626937</x:v>
      </x:c>
      <x:c r="K155" s="16" t="n">
        <x:v>-21193.9720304218</x:v>
      </x:c>
      <x:c r="L155" s="16" t="n">
        <x:v>2018.0530274196</x:v>
      </x:c>
      <x:c r="M155" s="16" t="n">
        <x:v>-756.481818126</x:v>
      </x:c>
      <x:c r="N155" s="16" t="n">
        <x:v>3.8220853918</x:v>
      </x:c>
      <x:c r="O155" s="16" t="n">
        <x:v>-150.0556940274</x:v>
      </x:c>
      <x:c r="P155" s="16" t="n">
        <x:v>7.9487136</x:v>
      </x:c>
      <x:c r="Q155" s="16" t="n">
        <x:v>121.7486032438</x:v>
      </x:c>
      <x:c r="R155" s="16" t="n">
        <x:v>-2288.1619697973</x:v>
      </x:c>
    </x:row>
    <x:row r="156">
      <x:c r="A156" s="15" t="n">
        <x:v>44866</x:v>
      </x:c>
      <x:c r="B156" s="16" t="n">
        <x:v>97.1503623014</x:v>
      </x:c>
      <x:c r="C156" s="16" t="n">
        <x:v>-1539.8671852714</x:v>
      </x:c>
      <x:c r="D156" s="16" t="n">
        <x:v>712.2301259397</x:v>
      </x:c>
      <x:c r="E156" s="16" t="n">
        <x:v>14.1511123288</x:v>
      </x:c>
      <x:c r="F156" s="16" t="n">
        <x:v>1646.6074564821</x:v>
      </x:c>
      <x:c r="G156" s="16" t="n">
        <x:v>-427.8360609316</x:v>
      </x:c>
      <x:c r="H156" s="16" t="n">
        <x:v>128.2446116822</x:v>
      </x:c>
      <x:c r="I156" s="16" t="n">
        <x:v>-12.0500661479</x:v>
      </x:c>
      <x:c r="J156" s="16" t="n">
        <x:v>145.3174187836</x:v>
      </x:c>
      <x:c r="K156" s="16" t="n">
        <x:v>-17974.2723082521</x:v>
      </x:c>
      <x:c r="L156" s="16" t="n">
        <x:v>-11338.9988285373</x:v>
      </x:c>
      <x:c r="M156" s="16" t="n">
        <x:v>-1509.9480784658</x:v>
      </x:c>
      <x:c r="N156" s="16" t="n">
        <x:v>-218.8037901041</x:v>
      </x:c>
      <x:c r="O156" s="16" t="n">
        <x:v>153.6900586959</x:v>
      </x:c>
      <x:c r="P156" s="16" t="n">
        <x:v>270.917717874</x:v>
      </x:c>
      <x:c r="Q156" s="16" t="n">
        <x:v>366.959757326</x:v>
      </x:c>
      <x:c r="R156" s="16" t="n">
        <x:v>1722.2516420384</x:v>
      </x:c>
    </x:row>
    <x:row r="157">
      <x:c r="A157" s="15" t="n">
        <x:v>44896</x:v>
      </x:c>
      <x:c r="B157" s="16" t="n">
        <x:v>308.6991621495</x:v>
      </x:c>
      <x:c r="C157" s="16" t="n">
        <x:v>-4193.888339463</x:v>
      </x:c>
      <x:c r="D157" s="16" t="n">
        <x:v>783.0763851397</x:v>
      </x:c>
      <x:c r="E157" s="16" t="n">
        <x:v>49.0845521534</x:v>
      </x:c>
      <x:c r="F157" s="16" t="n">
        <x:v>1177.5745337315</x:v>
      </x:c>
      <x:c r="G157" s="16" t="n">
        <x:v>-2990.6162451287</x:v>
      </x:c>
      <x:c r="H157" s="16" t="n">
        <x:v>41.9799987288</x:v>
      </x:c>
      <x:c r="I157" s="16" t="n">
        <x:v>-68.5000492712</x:v>
      </x:c>
      <x:c r="J157" s="16" t="n">
        <x:v>117.5985623233</x:v>
      </x:c>
      <x:c r="K157" s="16" t="n">
        <x:v>-16132.3107222794</x:v>
      </x:c>
      <x:c r="L157" s="16" t="n">
        <x:v>-24213.0601103787</x:v>
      </x:c>
      <x:c r="M157" s="16" t="n">
        <x:v>-396.3549545206</x:v>
      </x:c>
      <x:c r="N157" s="16" t="n">
        <x:v>-661.9030739397</x:v>
      </x:c>
      <x:c r="O157" s="16" t="n">
        <x:v>289.9224828493</x:v>
      </x:c>
      <x:c r="P157" s="16" t="n">
        <x:v>317.6465133589</x:v>
      </x:c>
      <x:c r="Q157" s="16" t="n">
        <x:v>-426.9985634192</x:v>
      </x:c>
      <x:c r="R157" s="16" t="n">
        <x:v>256.6132220493</x:v>
      </x:c>
    </x:row>
    <x:row r="158">
      <x:c r="A158" s="15" t="n">
        <x:v>44927</x:v>
      </x:c>
      <x:c r="B158" s="16" t="n">
        <x:v>-203.9110305832</x:v>
      </x:c>
      <x:c r="C158" s="16" t="n">
        <x:v>-5920.2617279595</x:v>
      </x:c>
      <x:c r="D158" s="16" t="n">
        <x:v>581.2054280374</x:v>
      </x:c>
      <x:c r="E158" s="16" t="n">
        <x:v>25.2135488788</x:v>
      </x:c>
      <x:c r="F158" s="16" t="n">
        <x:v>1218.0504099835</x:v>
      </x:c>
      <x:c r="G158" s="16" t="n">
        <x:v>-293.620437294</x:v>
      </x:c>
      <x:c r="H158" s="16" t="n">
        <x:v>-664.4624864115</x:v>
      </x:c>
      <x:c r="I158" s="16" t="n">
        <x:v>-122.7136803174</x:v>
      </x:c>
      <x:c r="J158" s="16" t="n">
        <x:v>47.0945074909</x:v>
      </x:c>
      <x:c r="K158" s="16" t="n">
        <x:v>-4194.8967110588</x:v>
      </x:c>
      <x:c r="L158" s="16" t="n">
        <x:v>-42061.0816226111</x:v>
      </x:c>
      <x:c r="M158" s="16" t="n">
        <x:v>-957.7558710519</x:v>
      </x:c>
      <x:c r="N158" s="16" t="n">
        <x:v>-241.2330109988</x:v>
      </x:c>
      <x:c r="O158" s="16" t="n">
        <x:v>445.2135750808</x:v>
      </x:c>
      <x:c r="P158" s="16" t="n">
        <x:v>-67.675265091</x:v>
      </x:c>
      <x:c r="Q158" s="16" t="n">
        <x:v>118.3241281624</x:v>
      </x:c>
      <x:c r="R158" s="16" t="n">
        <x:v>-714.1250370553</x:v>
      </x:c>
    </x:row>
    <x:row r="159">
      <x:c r="A159" s="15" t="n">
        <x:v>44958</x:v>
      </x:c>
      <x:c r="B159" s="16" t="n">
        <x:v>-591.9887019812</x:v>
      </x:c>
      <x:c r="C159" s="16" t="n">
        <x:v>-5574.7949492603</x:v>
      </x:c>
      <x:c r="D159" s="16" t="n">
        <x:v>346.692606442</x:v>
      </x:c>
      <x:c r="E159" s="16" t="n">
        <x:v>9.792975829</x:v>
      </x:c>
      <x:c r="F159" s="16" t="n">
        <x:v>1199.7664878724</x:v>
      </x:c>
      <x:c r="G159" s="16" t="n">
        <x:v>-1152.0897163749</x:v>
      </x:c>
      <x:c r="H159" s="16" t="n">
        <x:v>-691.1542683537</x:v>
      </x:c>
      <x:c r="I159" s="16" t="n">
        <x:v>-116.6366390701</x:v>
      </x:c>
      <x:c r="J159" s="16" t="n">
        <x:v>79.4802606351</x:v>
      </x:c>
      <x:c r="K159" s="16" t="n">
        <x:v>-1875.8332590078</x:v>
      </x:c>
      <x:c r="L159" s="16" t="n">
        <x:v>-20959.2906661513</x:v>
      </x:c>
      <x:c r="M159" s="16" t="n">
        <x:v>-2223.4195110288</x:v>
      </x:c>
      <x:c r="N159" s="16" t="n">
        <x:v>-287.57654146</x:v>
      </x:c>
      <x:c r="O159" s="16" t="n">
        <x:v>410.6282573381</x:v>
      </x:c>
      <x:c r="P159" s="16" t="n">
        <x:v>-213.506429035</x:v>
      </x:c>
      <x:c r="Q159" s="16" t="n">
        <x:v>296.2342774672</x:v>
      </x:c>
      <x:c r="R159" s="16" t="n">
        <x:v>-771.4907743001</x:v>
      </x:c>
    </x:row>
    <x:row r="160">
      <x:c r="A160" s="15" t="n">
        <x:v>44986</x:v>
      </x:c>
      <x:c r="B160" s="16" t="n">
        <x:v>-556.6842990528</x:v>
      </x:c>
      <x:c r="C160" s="16" t="n">
        <x:v>-5132.4029049964</x:v>
      </x:c>
      <x:c r="D160" s="16" t="n">
        <x:v>327.2412417485</x:v>
      </x:c>
      <x:c r="E160" s="16" t="n">
        <x:v>53.324810568</x:v>
      </x:c>
      <x:c r="F160" s="16" t="n">
        <x:v>502.1176904127</x:v>
      </x:c>
      <x:c r="G160" s="16" t="n">
        <x:v>-1041.5046410877</x:v>
      </x:c>
      <x:c r="H160" s="16" t="n">
        <x:v>-905.8297636709</x:v>
      </x:c>
      <x:c r="I160" s="16" t="n">
        <x:v>-29.3505016059</x:v>
      </x:c>
      <x:c r="J160" s="16" t="n">
        <x:v>102.7184036178</x:v>
      </x:c>
      <x:c r="K160" s="16" t="n">
        <x:v>6594.6927455125</x:v>
      </x:c>
      <x:c r="L160" s="16" t="n">
        <x:v>-8909.4152867319</x:v>
      </x:c>
      <x:c r="M160" s="16" t="n">
        <x:v>-911.528543129</x:v>
      </x:c>
      <x:c r="N160" s="16" t="n">
        <x:v>-293.7320090344</x:v>
      </x:c>
      <x:c r="O160" s="16" t="n">
        <x:v>358.1050099946</x:v>
      </x:c>
      <x:c r="P160" s="16" t="n">
        <x:v>-273.5861324087</x:v>
      </x:c>
      <x:c r="Q160" s="16" t="n">
        <x:v>800.3435287147</x:v>
      </x:c>
      <x:c r="R160" s="16" t="n">
        <x:v>917.429122073</x:v>
      </x:c>
    </x:row>
    <x:row r="161">
      <x:c r="A161" s="15" t="n">
        <x:v>45017</x:v>
      </x:c>
      <x:c r="B161" s="16" t="n">
        <x:v>-741.9512534521</x:v>
      </x:c>
      <x:c r="C161" s="16" t="n">
        <x:v>-2908.9021560657</x:v>
      </x:c>
      <x:c r="D161" s="16" t="n">
        <x:v>353.0131297923</x:v>
      </x:c>
      <x:c r="E161" s="16" t="n">
        <x:v>56.6174691803</x:v>
      </x:c>
      <x:c r="F161" s="16" t="n">
        <x:v>638.0899188416</x:v>
      </x:c>
      <x:c r="G161" s="16" t="n">
        <x:v>-1238.2292511476</x:v>
      </x:c>
      <x:c r="H161" s="16" t="n">
        <x:v>-314.2898174863</x:v>
      </x:c>
      <x:c r="I161" s="16" t="n">
        <x:v>-3.2348958251</x:v>
      </x:c>
      <x:c r="J161" s="16" t="n">
        <x:v>136.2986198907</x:v>
      </x:c>
      <x:c r="K161" s="16" t="n">
        <x:v>-4884.6279179891</x:v>
      </x:c>
      <x:c r="L161" s="16" t="n">
        <x:v>8281.8927709724</x:v>
      </x:c>
      <x:c r="M161" s="16" t="n">
        <x:v>-1018.9440824481</x:v>
      </x:c>
      <x:c r="N161" s="16" t="n">
        <x:v>-1123.8999837268</x:v>
      </x:c>
      <x:c r="O161" s="16" t="n">
        <x:v>116.8266778579</x:v>
      </x:c>
      <x:c r="P161" s="16" t="n">
        <x:v>84.3237281967</x:v>
      </x:c>
      <x:c r="Q161" s="16" t="n">
        <x:v>558.8401422076</x:v>
      </x:c>
      <x:c r="R161" s="16" t="n">
        <x:v>810.3037558907</x:v>
      </x:c>
    </x:row>
    <x:row r="162">
      <x:c r="A162" s="15" t="n">
        <x:v>45047</x:v>
      </x:c>
      <x:c r="B162" s="16" t="n">
        <x:v>-541.5368733037</x:v>
      </x:c>
      <x:c r="C162" s="16" t="n">
        <x:v>-251.3165485464</x:v>
      </x:c>
      <x:c r="D162" s="16" t="n">
        <x:v>377.0926618579</x:v>
      </x:c>
      <x:c r="E162" s="16" t="n">
        <x:v>142.5421224044</x:v>
      </x:c>
      <x:c r="F162" s="16" t="n">
        <x:v>1344.4732604372</x:v>
      </x:c>
      <x:c r="G162" s="16" t="n">
        <x:v>240.746776918</x:v>
      </x:c>
      <x:c r="H162" s="16" t="n">
        <x:v>-215.085792612</x:v>
      </x:c>
      <x:c r="I162" s="16" t="n">
        <x:v>-128.5353781858</x:v>
      </x:c>
      <x:c r="J162" s="16" t="n">
        <x:v>555.0382961311</x:v>
      </x:c>
      <x:c r="K162" s="16" t="n">
        <x:v>-9437.8547081093</x:v>
      </x:c>
      <x:c r="L162" s="16" t="n">
        <x:v>-5483.0796166997</x:v>
      </x:c>
      <x:c r="M162" s="16" t="n">
        <x:v>-1427.190516459</x:v>
      </x:c>
      <x:c r="N162" s="16" t="n">
        <x:v>-1670.9043771366</x:v>
      </x:c>
      <x:c r="O162" s="16" t="n">
        <x:v>164.8184431913</x:v>
      </x:c>
      <x:c r="P162" s="16" t="n">
        <x:v>155.3257911694</x:v>
      </x:c>
      <x:c r="Q162" s="16" t="n">
        <x:v>763.5278972678</x:v>
      </x:c>
      <x:c r="R162" s="16" t="n">
        <x:v>3208.5918737486</x:v>
      </x:c>
    </x:row>
    <x:row r="163">
      <x:c r="A163" s="15" t="n">
        <x:v>45078</x:v>
      </x:c>
      <x:c r="B163" s="16" t="n">
        <x:v>-276.4156016947</x:v>
      </x:c>
      <x:c r="C163" s="16" t="n">
        <x:v>2838.6879510384</x:v>
      </x:c>
      <x:c r="D163" s="16" t="n">
        <x:v>304.5406303825</x:v>
      </x:c>
      <x:c r="E163" s="16" t="n">
        <x:v>244.4493868852</x:v>
      </x:c>
      <x:c r="F163" s="16" t="n">
        <x:v>1858.5852073223</x:v>
      </x:c>
      <x:c r="G163" s="16" t="n">
        <x:v>131.9135213442</x:v>
      </x:c>
      <x:c r="H163" s="16" t="n">
        <x:v>240.7847381639</x:v>
      </x:c>
      <x:c r="I163" s="16" t="n">
        <x:v>-23.6216931148</x:v>
      </x:c>
      <x:c r="J163" s="16" t="n">
        <x:v>427.6680687213</x:v>
      </x:c>
      <x:c r="K163" s="16" t="n">
        <x:v>-16502.547403541</x:v>
      </x:c>
      <x:c r="L163" s="16" t="n">
        <x:v>-3790.0127187328</x:v>
      </x:c>
      <x:c r="M163" s="16" t="n">
        <x:v>-2628.8531745574</x:v>
      </x:c>
      <x:c r="N163" s="16" t="n">
        <x:v>-1103.5054640219</x:v>
      </x:c>
      <x:c r="O163" s="16" t="n">
        <x:v>222.3098782077</x:v>
      </x:c>
      <x:c r="P163" s="16" t="n">
        <x:v>210.867926623</x:v>
      </x:c>
      <x:c r="Q163" s="16" t="n">
        <x:v>1498.3848847213</x:v>
      </x:c>
      <x:c r="R163" s="16" t="n">
        <x:v>-736.2996422295</x:v>
      </x:c>
    </x:row>
    <x:row r="164">
      <x:c r="A164" s="15" t="n">
        <x:v>45108</x:v>
      </x:c>
      <x:c r="B164" s="16" t="n">
        <x:v>46.293465073</x:v>
      </x:c>
      <x:c r="C164" s="16" t="n">
        <x:v>2797.7312300767</x:v>
      </x:c>
      <x:c r="D164" s="16" t="n">
        <x:v>225.9786544262</x:v>
      </x:c>
      <x:c r="E164" s="16" t="n">
        <x:v>324.7091367322</x:v>
      </x:c>
      <x:c r="F164" s="16" t="n">
        <x:v>2644.6537824481</x:v>
      </x:c>
      <x:c r="G164" s="16" t="n">
        <x:v>526.6663306229</x:v>
      </x:c>
      <x:c r="H164" s="16" t="n">
        <x:v>630.7873414208</x:v>
      </x:c>
      <x:c r="I164" s="16" t="n">
        <x:v>115.982915847</x:v>
      </x:c>
      <x:c r="J164" s="16" t="n">
        <x:v>593.026432</x:v>
      </x:c>
      <x:c r="K164" s="16" t="n">
        <x:v>-12981.4706007431</x:v>
      </x:c>
      <x:c r="L164" s="16" t="n">
        <x:v>-5257.999233049</x:v>
      </x:c>
      <x:c r="M164" s="16" t="n">
        <x:v>-74.9971602186</x:v>
      </x:c>
      <x:c r="N164" s="16" t="n">
        <x:v>-748.0781109617</x:v>
      </x:c>
      <x:c r="O164" s="16" t="n">
        <x:v>324.2471029508</x:v>
      </x:c>
      <x:c r="P164" s="16" t="n">
        <x:v>254.5074155628</x:v>
      </x:c>
      <x:c r="Q164" s="16" t="n">
        <x:v>1365.7364274973</x:v>
      </x:c>
      <x:c r="R164" s="16" t="n">
        <x:v>16.6163738579</x:v>
      </x:c>
    </x:row>
    <x:row r="165">
      <x:c r="A165" s="15" t="n">
        <x:v>45139</x:v>
      </x:c>
      <x:c r="B165" s="16" t="n">
        <x:v>-164.7924447921</x:v>
      </x:c>
      <x:c r="C165" s="16" t="n">
        <x:v>2932.907461246</x:v>
      </x:c>
      <x:c r="D165" s="16" t="n">
        <x:v>187.8081454863</x:v>
      </x:c>
      <x:c r="E165" s="16" t="n">
        <x:v>345.1020151694</x:v>
      </x:c>
      <x:c r="F165" s="16" t="n">
        <x:v>1321.81414953</x:v>
      </x:c>
      <x:c r="G165" s="16" t="n">
        <x:v>-584.1815311038</x:v>
      </x:c>
      <x:c r="H165" s="16" t="n">
        <x:v>925.8752529399</x:v>
      </x:c>
      <x:c r="I165" s="16" t="n">
        <x:v>307.1673335956</x:v>
      </x:c>
      <x:c r="J165" s="16" t="n">
        <x:v>55.9114670164</x:v>
      </x:c>
      <x:c r="K165" s="16" t="n">
        <x:v>-11158.9796661858</x:v>
      </x:c>
      <x:c r="L165" s="16" t="n">
        <x:v>-763.6269898137</x:v>
      </x:c>
      <x:c r="M165" s="16" t="n">
        <x:v>437.9751456175</x:v>
      </x:c>
      <x:c r="N165" s="16" t="n">
        <x:v>235.7969895519</x:v>
      </x:c>
      <x:c r="O165" s="16" t="n">
        <x:v>327.3066638689</x:v>
      </x:c>
      <x:c r="P165" s="16" t="n">
        <x:v>389.3985017268</x:v>
      </x:c>
      <x:c r="Q165" s="16" t="n">
        <x:v>808.4196577049</x:v>
      </x:c>
      <x:c r="R165" s="16" t="n">
        <x:v>-1669.2703657268</x:v>
      </x:c>
    </x:row>
    <x:row r="166">
      <x:c r="A166" s="15" t="n">
        <x:v>45170</x:v>
      </x:c>
      <x:c r="B166" s="16" t="n">
        <x:v>-414.1080499865</x:v>
      </x:c>
      <x:c r="C166" s="16" t="n">
        <x:v>2438.0868462512</x:v>
      </x:c>
      <x:c r="D166" s="16" t="n">
        <x:v>-14.2702695519</x:v>
      </x:c>
      <x:c r="E166" s="16" t="n">
        <x:v>303.6879304918</x:v>
      </x:c>
      <x:c r="F166" s="16" t="n">
        <x:v>597.8628208962</x:v>
      </x:c>
      <x:c r="G166" s="16" t="n">
        <x:v>-559.828827541</x:v>
      </x:c>
      <x:c r="H166" s="16" t="n">
        <x:v>1072.6876647869</x:v>
      </x:c>
      <x:c r="I166" s="16" t="n">
        <x:v>301.5984443279</x:v>
      </x:c>
      <x:c r="J166" s="16" t="n">
        <x:v>-26.2456454645</x:v>
      </x:c>
      <x:c r="K166" s="16" t="n">
        <x:v>-6884.9778014426</x:v>
      </x:c>
      <x:c r="L166" s="16" t="n">
        <x:v>4395.7561267765</x:v>
      </x:c>
      <x:c r="M166" s="16" t="n">
        <x:v>596.4800768525</x:v>
      </x:c>
      <x:c r="N166" s="16" t="n">
        <x:v>-505.2672357268</x:v>
      </x:c>
      <x:c r="O166" s="16" t="n">
        <x:v>223.9662017049</x:v>
      </x:c>
      <x:c r="P166" s="16" t="n">
        <x:v>484.7085999563</x:v>
      </x:c>
      <x:c r="Q166" s="16" t="n">
        <x:v>309.9557917377</x:v>
      </x:c>
      <x:c r="R166" s="16" t="n">
        <x:v>5153.30576647</x:v>
      </x:c>
    </x:row>
    <x:row r="167">
      <x:c r="A167" s="15" t="n">
        <x:v>45200</x:v>
      </x:c>
      <x:c r="B167" s="16" t="n">
        <x:v>-267.6668767835</x:v>
      </x:c>
      <x:c r="C167" s="16" t="n">
        <x:v>3310.2986267977</x:v>
      </x:c>
      <x:c r="D167" s="16" t="n">
        <x:v>-74.1181665574</x:v>
      </x:c>
      <x:c r="E167" s="16" t="n">
        <x:v>328.1617481858</x:v>
      </x:c>
      <x:c r="F167" s="16" t="n">
        <x:v>-191.2504796502</x:v>
      </x:c>
      <x:c r="G167" s="16" t="n">
        <x:v>-106.1856998032</x:v>
      </x:c>
      <x:c r="H167" s="16" t="n">
        <x:v>815.3323071694</x:v>
      </x:c>
      <x:c r="I167" s="16" t="n">
        <x:v>175.2562107978</x:v>
      </x:c>
      <x:c r="J167" s="16" t="n">
        <x:v>-72.2182768087</x:v>
      </x:c>
      <x:c r="K167" s="16" t="n">
        <x:v>-1505.7504211257</x:v>
      </x:c>
      <x:c r="L167" s="16" t="n">
        <x:v>13744.326571716</x:v>
      </x:c>
      <x:c r="M167" s="16" t="n">
        <x:v>-1933.6521072787</x:v>
      </x:c>
      <x:c r="N167" s="16" t="n">
        <x:v>-1088.4982272022</x:v>
      </x:c>
      <x:c r="O167" s="16" t="n">
        <x:v>300.6475876721</x:v>
      </x:c>
      <x:c r="P167" s="16" t="n">
        <x:v>504.7407920328</x:v>
      </x:c>
      <x:c r="Q167" s="16" t="n">
        <x:v>717.5027069727</x:v>
      </x:c>
      <x:c r="R167" s="16" t="n">
        <x:v>5564.9361183825</x:v>
      </x:c>
    </x:row>
    <x:row r="168">
      <x:c r="A168" s="15" t="n">
        <x:v>45231</x:v>
      </x:c>
      <x:c r="B168" s="16" t="n">
        <x:v>584.9393671234</x:v>
      </x:c>
      <x:c r="C168" s="16" t="n">
        <x:v>3970.2682019671</x:v>
      </x:c>
      <x:c r="D168" s="16" t="n">
        <x:v>12.6444079563</x:v>
      </x:c>
      <x:c r="E168" s="16" t="n">
        <x:v>253.8112772896</x:v>
      </x:c>
      <x:c r="F168" s="16" t="n">
        <x:v>-124.2915656393</x:v>
      </x:c>
      <x:c r="G168" s="16" t="n">
        <x:v>527.1568772021</x:v>
      </x:c>
      <x:c r="H168" s="16" t="n">
        <x:v>624.4109015519</x:v>
      </x:c>
      <x:c r="I168" s="16" t="n">
        <x:v>119.7170425792</x:v>
      </x:c>
      <x:c r="J168" s="16" t="n">
        <x:v>-97.1212763279</x:v>
      </x:c>
      <x:c r="K168" s="16" t="n">
        <x:v>3430.859971847</x:v>
      </x:c>
      <x:c r="L168" s="16" t="n">
        <x:v>10013.4203313656</x:v>
      </x:c>
      <x:c r="M168" s="16" t="n">
        <x:v>-1082.1305060546</x:v>
      </x:c>
      <x:c r="N168" s="16" t="n">
        <x:v>-1053.9385432678</x:v>
      </x:c>
      <x:c r="O168" s="16" t="n">
        <x:v>163.7357513443</x:v>
      </x:c>
      <x:c r="P168" s="16" t="n">
        <x:v>522.7925133552</x:v>
      </x:c>
      <x:c r="Q168" s="16" t="n">
        <x:v>1338.5405357814</x:v>
      </x:c>
      <x:c r="R168" s="16" t="n">
        <x:v>3647.845880306</x:v>
      </x:c>
    </x:row>
    <x:row r="169">
      <x:c r="A169" s="15" t="n">
        <x:v>45261</x:v>
      </x:c>
      <x:c r="B169" s="16" t="n">
        <x:v>510.7666045346</x:v>
      </x:c>
      <x:c r="C169" s="16" t="n">
        <x:v>3997.5761752133</x:v>
      </x:c>
      <x:c r="D169" s="16" t="n">
        <x:v>136.2276046339</x:v>
      </x:c>
      <x:c r="E169" s="16" t="n">
        <x:v>185.7050171366</x:v>
      </x:c>
      <x:c r="F169" s="16" t="n">
        <x:v>212.4522393881</x:v>
      </x:c>
      <x:c r="G169" s="16" t="n">
        <x:v>801.1109038689</x:v>
      </x:c>
      <x:c r="H169" s="16" t="n">
        <x:v>550.6239172896</x:v>
      </x:c>
      <x:c r="I169" s="16" t="n">
        <x:v>-2.297694776</x:v>
      </x:c>
      <x:c r="J169" s="16" t="n">
        <x:v>-128.1991097705</x:v>
      </x:c>
      <x:c r="K169" s="16" t="n">
        <x:v>6638.5569265574</x:v>
      </x:c>
      <x:c r="L169" s="16" t="n">
        <x:v>13937.4352155629</x:v>
      </x:c>
      <x:c r="M169" s="16" t="n">
        <x:v>-622.4630691148</x:v>
      </x:c>
      <x:c r="N169" s="16" t="n">
        <x:v>-446.1737801858</x:v>
      </x:c>
      <x:c r="O169" s="16" t="n">
        <x:v>63.5731255956</x:v>
      </x:c>
      <x:c r="P169" s="16" t="n">
        <x:v>402.4015076066</x:v>
      </x:c>
      <x:c r="Q169" s="16" t="n">
        <x:v>1490.9646329399</x:v>
      </x:c>
      <x:c r="R169" s="16" t="n">
        <x:v>213.0566973552</x:v>
      </x:c>
    </x:row>
    <x:row r="170">
      <x:c r="A170" s="15" t="n">
        <x:v>45292</x:v>
      </x:c>
      <x:c r="B170" s="16" t="n">
        <x:v>-144.4183192548</x:v>
      </x:c>
      <x:c r="C170" s="16" t="n">
        <x:v>2146.5519880183</x:v>
      </x:c>
      <x:c r="D170" s="16" t="n">
        <x:v>241.4989269041</x:v>
      </x:c>
      <x:c r="E170" s="16" t="n">
        <x:v>75.7287278173</x:v>
      </x:c>
      <x:c r="F170" s="16" t="n">
        <x:v>253.9405428311</x:v>
      </x:c>
      <x:c r="G170" s="16" t="n">
        <x:v>-477.837475726</x:v>
      </x:c>
      <x:c r="H170" s="16" t="n">
        <x:v>391.9502368584</x:v>
      </x:c>
      <x:c r="I170" s="16" t="n">
        <x:v>13.9071792511</x:v>
      </x:c>
      <x:c r="J170" s="16" t="n">
        <x:v>-171.1191023927</x:v>
      </x:c>
      <x:c r="K170" s="16" t="n">
        <x:v>7385.8277005389</x:v>
      </x:c>
      <x:c r="L170" s="16" t="n">
        <x:v>-877.4911172969</x:v>
      </x:c>
      <x:c r="M170" s="16" t="n">
        <x:v>482.299104</x:v>
      </x:c>
      <x:c r="N170" s="16" t="n">
        <x:v>415.526396484</x:v>
      </x:c>
      <x:c r="O170" s="16" t="n">
        <x:v>-62.616749589</x:v>
      </x:c>
      <x:c r="P170" s="16" t="n">
        <x:v>352.0811081918</x:v>
      </x:c>
      <x:c r="Q170" s="16" t="n">
        <x:v>1447.1504823379</x:v>
      </x:c>
      <x:c r="R170" s="16" t="n">
        <x:v>-2388.549634484</x:v>
      </x:c>
    </x:row>
    <x:row r="171">
      <x:c r="A171" s="15" t="n">
        <x:v>45323</x:v>
      </x:c>
      <x:c r="B171" s="16" t="n">
        <x:v>-487.4510607417</x:v>
      </x:c>
      <x:c r="C171" s="16" t="n">
        <x:v>-1240.1007526009</x:v>
      </x:c>
      <x:c r="D171" s="16" t="n">
        <x:v>142.4287352766</x:v>
      </x:c>
      <x:c r="E171" s="16" t="n">
        <x:v>71.8959029405</x:v>
      </x:c>
      <x:c r="F171" s="16" t="n">
        <x:v>375.3252623114</x:v>
      </x:c>
      <x:c r="G171" s="16" t="n">
        <x:v>-1455.4198285373</x:v>
      </x:c>
      <x:c r="H171" s="16" t="n">
        <x:v>225.09565207</x:v>
      </x:c>
      <x:c r="I171" s="16" t="n">
        <x:v>-93.230702897</x:v>
      </x:c>
      <x:c r="J171" s="16" t="n">
        <x:v>-99.3705800667</x:v>
      </x:c>
      <x:c r="K171" s="16" t="n">
        <x:v>3631.1344591153</x:v>
      </x:c>
      <x:c r="L171" s="16" t="n">
        <x:v>-2233.2402788934</x:v>
      </x:c>
      <x:c r="M171" s="16" t="n">
        <x:v>-407.0105413244</x:v>
      </x:c>
      <x:c r="N171" s="16" t="n">
        <x:v>50.1142687399</x:v>
      </x:c>
      <x:c r="O171" s="16" t="n">
        <x:v>-15.6638822082</x:v>
      </x:c>
      <x:c r="P171" s="16" t="n">
        <x:v>286.4769889206</x:v>
      </x:c>
      <x:c r="Q171" s="16" t="n">
        <x:v>771.0121215871</x:v>
      </x:c>
      <x:c r="R171" s="16" t="n">
        <x:v>-1335.950590969</x:v>
      </x:c>
    </x:row>
    <x:row r="172">
      <x:c r="A172" s="15" t="n">
        <x:v>45352</x:v>
      </x:c>
      <x:c r="B172" s="16" t="n">
        <x:v>-180.5236430693</x:v>
      </x:c>
      <x:c r="C172" s="16" t="n">
        <x:v>-3029.5013687824</x:v>
      </x:c>
      <x:c r="D172" s="16" t="n">
        <x:v>196.2351251048</x:v>
      </x:c>
      <x:c r="E172" s="16" t="n">
        <x:v>-23.0660734104</x:v>
      </x:c>
      <x:c r="F172" s="16" t="n">
        <x:v>875.7340982748</x:v>
      </x:c>
      <x:c r="G172" s="16" t="n">
        <x:v>-1950.9269189734</x:v>
      </x:c>
      <x:c r="H172" s="16" t="n">
        <x:v>212.8543340789</x:v>
      </x:c>
      <x:c r="I172" s="16" t="n">
        <x:v>0.0799706701</x:v>
      </x:c>
      <x:c r="J172" s="16" t="n">
        <x:v>88.2271517995</x:v>
      </x:c>
      <x:c r="K172" s="16" t="n">
        <x:v>-338.9744343962</x:v>
      </x:c>
      <x:c r="L172" s="16" t="n">
        <x:v>-7359.6258070114</x:v>
      </x:c>
      <x:c r="M172" s="16" t="n">
        <x:v>134.5116726665</x:v>
      </x:c>
      <x:c r="N172" s="16" t="n">
        <x:v>197.741430777</x:v>
      </x:c>
      <x:c r="O172" s="16" t="n">
        <x:v>186.7415563766</x:v>
      </x:c>
      <x:c r="P172" s="16" t="n">
        <x:v>374.5812642722</x:v>
      </x:c>
      <x:c r="Q172" s="16" t="n">
        <x:v>348.9836934238</x:v>
      </x:c>
      <x:c r="R172" s="16" t="n">
        <x:v>-466.2504685124</x:v>
      </x:c>
    </x:row>
    <x:row r="173">
      <x:c r="A173" s="15" t="n">
        <x:v>45383</x:v>
      </x:c>
      <x:c r="B173" s="16" t="n">
        <x:v>297.214061589</x:v>
      </x:c>
      <x:c r="C173" s="16" t="n">
        <x:v>-1801.9066809865</x:v>
      </x:c>
      <x:c r="D173" s="16" t="n">
        <x:v>246.5554630137</x:v>
      </x:c>
      <x:c r="E173" s="16" t="n">
        <x:v>59.6395107945</x:v>
      </x:c>
      <x:c r="F173" s="16" t="n">
        <x:v>205.0764181917</x:v>
      </x:c>
      <x:c r="G173" s="16" t="n">
        <x:v>-309.8041928767</x:v>
      </x:c>
      <x:c r="H173" s="16" t="n">
        <x:v>113.1559346849</x:v>
      </x:c>
      <x:c r="I173" s="16" t="n">
        <x:v>95.6831636164</x:v>
      </x:c>
      <x:c r="J173" s="16" t="n">
        <x:v>58.3389610959</x:v>
      </x:c>
      <x:c r="K173" s="16" t="n">
        <x:v>-8573.0561157261</x:v>
      </x:c>
      <x:c r="L173" s="16" t="n">
        <x:v>6733.9872701375</x:v>
      </x:c>
      <x:c r="M173" s="16" t="n">
        <x:v>854.3441595616</x:v>
      </x:c>
      <x:c r="N173" s="16" t="n">
        <x:v>256.3799821918</x:v>
      </x:c>
      <x:c r="O173" s="16" t="n">
        <x:v>214.3782259726</x:v>
      </x:c>
      <x:c r="P173" s="16" t="n">
        <x:v>334.1004655342</x:v>
      </x:c>
      <x:c r="Q173" s="16" t="n">
        <x:v>-221.8660195069</x:v>
      </x:c>
      <x:c r="R173" s="16" t="n">
        <x:v>866.010002411</x:v>
      </x:c>
    </x:row>
    <x:row r="174">
      <x:c r="A174" s="15" t="n">
        <x:v>45413</x:v>
      </x:c>
      <x:c r="B174" s="16" t="n">
        <x:v>-0.1201374685</x:v>
      </x:c>
      <x:c r="C174" s="16" t="n">
        <x:v>4636.3217218631</x:v>
      </x:c>
      <x:c r="D174" s="16" t="n">
        <x:v>528.5899790027</x:v>
      </x:c>
      <x:c r="E174" s="16" t="n">
        <x:v>-83.3447537973</x:v>
      </x:c>
      <x:c r="F174" s="16" t="n">
        <x:v>431.6524067946</x:v>
      </x:c>
      <x:c r="G174" s="16" t="n">
        <x:v>2071.1157244931</x:v>
      </x:c>
      <x:c r="H174" s="16" t="n">
        <x:v>201.9388763178</x:v>
      </x:c>
      <x:c r="I174" s="16" t="n">
        <x:v>241.4581756493</x:v>
      </x:c>
      <x:c r="J174" s="16" t="n">
        <x:v>9.3987815452</x:v>
      </x:c>
      <x:c r="K174" s="16" t="n">
        <x:v>-6032.6054336876</x:v>
      </x:c>
      <x:c r="L174" s="16" t="n">
        <x:v>2320.0925736332</x:v>
      </x:c>
      <x:c r="M174" s="16" t="n">
        <x:v>2015.3735829041</x:v>
      </x:c>
      <x:c r="N174" s="16" t="n">
        <x:v>532.6355575233</x:v>
      </x:c>
      <x:c r="O174" s="16" t="n">
        <x:v>171.2176801315</x:v>
      </x:c>
      <x:c r="P174" s="16" t="n">
        <x:v>214.9265450301</x:v>
      </x:c>
      <x:c r="Q174" s="16" t="n">
        <x:v>-839.0345736767</x:v>
      </x:c>
      <x:c r="R174" s="16" t="n">
        <x:v>1558.0464796055</x:v>
      </x:c>
    </x:row>
    <x:row r="175">
      <x:c r="A175" s="15" t="n">
        <x:v>45444</x:v>
      </x:c>
      <x:c r="B175" s="16" t="n">
        <x:v>-608.2002512658</x:v>
      </x:c>
      <x:c r="C175" s="16" t="n">
        <x:v>5258.1274048877</x:v>
      </x:c>
      <x:c r="D175" s="16" t="n">
        <x:v>642.1219966246</x:v>
      </x:c>
      <x:c r="E175" s="16" t="n">
        <x:v>-4.963014137</x:v>
      </x:c>
      <x:c r="F175" s="16" t="n">
        <x:v>-73.5303685259</x:v>
      </x:c>
      <x:c r="G175" s="16" t="n">
        <x:v>2408.9579428821</x:v>
      </x:c>
      <x:c r="H175" s="16" t="n">
        <x:v>725.1499136</x:v>
      </x:c>
      <x:c r="I175" s="16" t="n">
        <x:v>163.6466442521</x:v>
      </x:c>
      <x:c r="J175" s="16" t="n">
        <x:v>-55.6645527671</x:v>
      </x:c>
      <x:c r="K175" s="16" t="n">
        <x:v>-1402.8887355617</x:v>
      </x:c>
      <x:c r="L175" s="16" t="n">
        <x:v>-2276.4513585091</x:v>
      </x:c>
      <x:c r="M175" s="16" t="n">
        <x:v>1964.6952846466</x:v>
      </x:c>
      <x:c r="N175" s="16" t="n">
        <x:v>563.1929779726</x:v>
      </x:c>
      <x:c r="O175" s="16" t="n">
        <x:v>104.4968377863</x:v>
      </x:c>
      <x:c r="P175" s="16" t="n">
        <x:v>119.9143269699</x:v>
      </x:c>
      <x:c r="Q175" s="16" t="n">
        <x:v>-1255.2242773918</x:v>
      </x:c>
      <x:c r="R175" s="16" t="n">
        <x:v>1095.0018363616</x:v>
      </x:c>
    </x:row>
    <x:row r="176">
      <x:c r="A176" s="15" t="n">
        <x:v>45474</x:v>
      </x:c>
      <x:c r="B176" s="16" t="n">
        <x:v>-363.926003726</x:v>
      </x:c>
      <x:c r="C176" s="16" t="n">
        <x:v>6158.9627048331</x:v>
      </x:c>
      <x:c r="D176" s="16" t="n">
        <x:v>870.8521161644</x:v>
      </x:c>
      <x:c r="E176" s="16" t="n">
        <x:v>-62.3635175452</x:v>
      </x:c>
      <x:c r="F176" s="16" t="n">
        <x:v>944.2468138083</x:v>
      </x:c>
      <x:c r="G176" s="16" t="n">
        <x:v>1797.7120245041</x:v>
      </x:c>
      <x:c r="H176" s="16" t="n">
        <x:v>900.765478926</x:v>
      </x:c>
      <x:c r="I176" s="16" t="n">
        <x:v>-34.3767620822</x:v>
      </x:c>
      <x:c r="J176" s="16" t="n">
        <x:v>-4.8873689425</x:v>
      </x:c>
      <x:c r="K176" s="16" t="n">
        <x:v>5654.1168571617</x:v>
      </x:c>
      <x:c r="L176" s="16" t="n">
        <x:v>4137.0863293362</x:v>
      </x:c>
      <x:c r="M176" s="16" t="n">
        <x:v>1901.5703203945</x:v>
      </x:c>
      <x:c r="N176" s="16" t="n">
        <x:v>-53.7467766247</x:v>
      </x:c>
      <x:c r="O176" s="16" t="n">
        <x:v>-238.8579636603</x:v>
      </x:c>
      <x:c r="P176" s="16" t="n">
        <x:v>-8.6955644493</x:v>
      </x:c>
      <x:c r="Q176" s="16" t="n">
        <x:v>-402.3949544329</x:v>
      </x:c>
      <x:c r="R176" s="16" t="n">
        <x:v>-254.1833836712</x:v>
      </x:c>
    </x:row>
    <x:row r="177">
      <x:c r="A177" s="15" t="n">
        <x:v>45505</x:v>
      </x:c>
      <x:c r="B177" s="16" t="n">
        <x:v>-726.3440771507</x:v>
      </x:c>
      <x:c r="C177" s="16" t="n">
        <x:v>6643.4091344656</x:v>
      </x:c>
      <x:c r="D177" s="16" t="n">
        <x:v>782.3669928329</x:v>
      </x:c>
      <x:c r="E177" s="16" t="n">
        <x:v>46.6636436164</x:v>
      </x:c>
      <x:c r="F177" s="16" t="n">
        <x:v>818.8024579507</x:v>
      </x:c>
      <x:c r="G177" s="16" t="n">
        <x:v>967.7507596713</x:v>
      </x:c>
      <x:c r="H177" s="16" t="n">
        <x:v>1133.5830152767</x:v>
      </x:c>
      <x:c r="I177" s="16" t="n">
        <x:v>18.7292276164</x:v>
      </x:c>
      <x:c r="J177" s="16" t="n">
        <x:v>27.5933663562</x:v>
      </x:c>
      <x:c r="K177" s="16" t="n">
        <x:v>2340.0302961972</x:v>
      </x:c>
      <x:c r="L177" s="16" t="n">
        <x:v>-1986.0654216761</x:v>
      </x:c>
      <x:c r="M177" s="16" t="n">
        <x:v>644.0761676712</x:v>
      </x:c>
      <x:c r="N177" s="16" t="n">
        <x:v>72.077939463</x:v>
      </x:c>
      <x:c r="O177" s="16" t="n">
        <x:v>-92.5195621699</x:v>
      </x:c>
      <x:c r="P177" s="16" t="n">
        <x:v>7.761021589</x:v>
      </x:c>
      <x:c r="Q177" s="16" t="n">
        <x:v>-1461.7714528438</x:v>
      </x:c>
      <x:c r="R177" s="16" t="n">
        <x:v>-1331.8165146301</x:v>
      </x:c>
    </x:row>
    <x:row r="178">
      <x:c r="A178" s="15" t="n">
        <x:v>45536</x:v>
      </x:c>
      <x:c r="B178" s="16" t="n">
        <x:v>-234.5045938849</x:v>
      </x:c>
      <x:c r="C178" s="16" t="n">
        <x:v>7429.5476953426</x:v>
      </x:c>
      <x:c r="D178" s="16" t="n">
        <x:v>960.6333492603</x:v>
      </x:c>
      <x:c r="E178" s="16" t="n">
        <x:v>4.6184443616</x:v>
      </x:c>
      <x:c r="F178" s="16" t="n">
        <x:v>1046.0443421808</x:v>
      </x:c>
      <x:c r="G178" s="16" t="n">
        <x:v>915.9003449864</x:v>
      </x:c>
      <x:c r="H178" s="16" t="n">
        <x:v>512.5282174247</x:v>
      </x:c>
      <x:c r="I178" s="16" t="n">
        <x:v>54.3207779069</x:v>
      </x:c>
      <x:c r="J178" s="16" t="n">
        <x:v>59.2422499068</x:v>
      </x:c>
      <x:c r="K178" s="16" t="n">
        <x:v>-880.1686668274</x:v>
      </x:c>
      <x:c r="L178" s="16" t="n">
        <x:v>-5263.314175124</x:v>
      </x:c>
      <x:c r="M178" s="16" t="n">
        <x:v>-623.2127684383</x:v>
      </x:c>
      <x:c r="N178" s="16" t="n">
        <x:v>-110.7789134466</x:v>
      </x:c>
      <x:c r="O178" s="16" t="n">
        <x:v>-55.6197719671</x:v>
      </x:c>
      <x:c r="P178" s="16" t="n">
        <x:v>109.8412703781</x:v>
      </x:c>
      <x:c r="Q178" s="16" t="n">
        <x:v>-809.7092832438</x:v>
      </x:c>
      <x:c r="R178" s="16" t="n">
        <x:v>-994.8366763835</x:v>
      </x:c>
    </x:row>
    <x:row r="179">
      <x:c r="A179" s="15" t="n">
        <x:v>45566</x:v>
      </x:c>
      <x:c r="B179" s="16" t="n">
        <x:v>-471.2280814466</x:v>
      </x:c>
      <x:c r="C179" s="16" t="n">
        <x:v>7205.3337550902</x:v>
      </x:c>
      <x:c r="D179" s="16" t="n">
        <x:v>1158.3383583562</x:v>
      </x:c>
      <x:c r="E179" s="16" t="n">
        <x:v>-14.8745499178</x:v>
      </x:c>
      <x:c r="F179" s="16" t="n">
        <x:v>731.3404899068</x:v>
      </x:c>
      <x:c r="G179" s="16" t="n">
        <x:v>2157.7979768548</x:v>
      </x:c>
      <x:c r="H179" s="16" t="n">
        <x:v>123.4308699178</x:v>
      </x:c>
      <x:c r="I179" s="16" t="n">
        <x:v>226.4888874082</x:v>
      </x:c>
      <x:c r="J179" s="16" t="n">
        <x:v>26.8401259836</x:v>
      </x:c>
      <x:c r="K179" s="16" t="n">
        <x:v>-3568.6876201644</x:v>
      </x:c>
      <x:c r="L179" s="16" t="n">
        <x:v>-16128.9240952105</x:v>
      </x:c>
      <x:c r="M179" s="16" t="n">
        <x:v>-463.6106317151</x:v>
      </x:c>
      <x:c r="N179" s="16" t="n">
        <x:v>28.9828749151</x:v>
      </x:c>
      <x:c r="O179" s="16" t="n">
        <x:v>468.1650021699</x:v>
      </x:c>
      <x:c r="P179" s="16" t="n">
        <x:v>258.6188326137</x:v>
      </x:c>
      <x:c r="Q179" s="16" t="n">
        <x:v>-729.4474892274</x:v>
      </x:c>
      <x:c r="R179" s="16" t="n">
        <x:v>1902.7555052713</x:v>
      </x:c>
    </x:row>
    <x:row r="180">
      <x:c r="A180" s="15" t="n">
        <x:v>45597</x:v>
      </x:c>
      <x:c r="B180" s="16" t="n">
        <x:v>-214.3727931616</x:v>
      </x:c>
      <x:c r="C180" s="16" t="n">
        <x:v>5397.1419332384</x:v>
      </x:c>
      <x:c r="D180" s="16" t="n">
        <x:v>1193.7037143671</x:v>
      </x:c>
      <x:c r="E180" s="16" t="n">
        <x:v>-34.3208400658</x:v>
      </x:c>
      <x:c r="F180" s="16" t="n">
        <x:v>1061.9567828165</x:v>
      </x:c>
      <x:c r="G180" s="16" t="n">
        <x:v>1452.9276512438</x:v>
      </x:c>
      <x:c r="H180" s="16" t="n">
        <x:v>-192.7008361205</x:v>
      </x:c>
      <x:c r="I180" s="16" t="n">
        <x:v>193.6756516384</x:v>
      </x:c>
      <x:c r="J180" s="16" t="n">
        <x:v>-26.2948158247</x:v>
      </x:c>
      <x:c r="K180" s="16" t="n">
        <x:v>-834.0219723397</x:v>
      </x:c>
      <x:c r="L180" s="16" t="n">
        <x:v>-300.3321738525</x:v>
      </x:c>
      <x:c r="M180" s="16" t="n">
        <x:v>564.329509874</x:v>
      </x:c>
      <x:c r="N180" s="16" t="n">
        <x:v>498.8422093589</x:v>
      </x:c>
      <x:c r="O180" s="16" t="n">
        <x:v>352.1632739945</x:v>
      </x:c>
      <x:c r="P180" s="16" t="n">
        <x:v>226.5226852603</x:v>
      </x:c>
      <x:c r="Q180" s="16" t="n">
        <x:v>1440.7658601315</x:v>
      </x:c>
      <x:c r="R180" s="16" t="n">
        <x:v>4238.7991395944</x:v>
      </x:c>
    </x:row>
    <x:row r="181">
      <x:c r="A181" s="15" t="n">
        <x:v>45627</x:v>
      </x:c>
      <x:c r="B181" s="16" t="n">
        <x:v>-466.9031227616</x:v>
      </x:c>
      <x:c r="C181" s="16" t="n">
        <x:v>3759.9435060602</x:v>
      </x:c>
      <x:c r="D181" s="16" t="n">
        <x:v>1265.2456977534</x:v>
      </x:c>
      <x:c r="E181" s="16" t="n">
        <x:v>-60.9317780164</x:v>
      </x:c>
      <x:c r="F181" s="16" t="n">
        <x:v>540.4240452383</x:v>
      </x:c>
      <x:c r="G181" s="16" t="n">
        <x:v>1748.7469204164</x:v>
      </x:c>
      <x:c r="H181" s="16" t="n">
        <x:v>-513.4420999014</x:v>
      </x:c>
      <x:c r="I181" s="16" t="n">
        <x:v>218.2679525699</x:v>
      </x:c>
      <x:c r="J181" s="16" t="n">
        <x:v>-59.2646957589</x:v>
      </x:c>
      <x:c r="K181" s="16" t="n">
        <x:v>-1232.3929381041</x:v>
      </x:c>
      <x:c r="L181" s="16" t="n">
        <x:v>11436.4557636386</x:v>
      </x:c>
      <x:c r="M181" s="16" t="n">
        <x:v>1932.5616927562</x:v>
      </x:c>
      <x:c r="N181" s="16" t="n">
        <x:v>173.730243463</x:v>
      </x:c>
      <x:c r="O181" s="16" t="n">
        <x:v>501.0148043397</x:v>
      </x:c>
      <x:c r="P181" s="16" t="n">
        <x:v>105.8117430356</x:v>
      </x:c>
      <x:c r="Q181" s="16" t="n">
        <x:v>1041.1836155616</x:v>
      </x:c>
      <x:c r="R181" s="16" t="n">
        <x:v>1872.9162231233</x:v>
      </x:c>
    </x:row>
    <x:row r="182">
      <x:c r="A182" s="15" t="n">
        <x:v>45658</x:v>
      </x:c>
      <x:c r="B182" s="16" t="n">
        <x:v>-1321.9503065425</x:v>
      </x:c>
      <x:c r="C182" s="16" t="n">
        <x:v>932.3123136878</x:v>
      </x:c>
      <x:c r="D182" s="16" t="n">
        <x:v>978.6579417425</x:v>
      </x:c>
      <x:c r="E182" s="16" t="n">
        <x:v>-137.8867926795</x:v>
      </x:c>
      <x:c r="F182" s="16" t="n">
        <x:v>934.9064790795</x:v>
      </x:c>
      <x:c r="G182" s="16" t="n">
        <x:v>158.0356712329</x:v>
      </x:c>
      <x:c r="H182" s="16" t="n">
        <x:v>-608.5927131178</x:v>
      </x:c>
      <x:c r="I182" s="16" t="n">
        <x:v>269.6299883397</x:v>
      </x:c>
      <x:c r="J182" s="16" t="n">
        <x:v>-87.885830137</x:v>
      </x:c>
      <x:c r="K182" s="16" t="n">
        <x:v>-3865.8781972603</x:v>
      </x:c>
      <x:c r="L182" s="16" t="n">
        <x:v>7662.9473863007</x:v>
      </x:c>
      <x:c r="M182" s="16" t="n">
        <x:v>3330.0731665534</x:v>
      </x:c>
      <x:c r="N182" s="16" t="n">
        <x:v>-343.2216013808</x:v>
      </x:c>
      <x:c r="O182" s="16" t="n">
        <x:v>301.0399751014</x:v>
      </x:c>
      <x:c r="P182" s="16" t="n">
        <x:v>58.895050389</x:v>
      </x:c>
      <x:c r="Q182" s="16" t="n">
        <x:v>186.6973730192</x:v>
      </x:c>
      <x:c r="R182" s="16" t="n">
        <x:v>-2056.9161251069</x:v>
      </x:c>
    </x:row>
    <x:row r="183">
      <x:c r="A183" s="15" t="n">
        <x:v>45689</x:v>
      </x:c>
      <x:c r="B183" s="16" t="n">
        <x:v>-1732.7088147288</x:v>
      </x:c>
      <x:c r="C183" s="16" t="n">
        <x:v>-1646.3052715834</x:v>
      </x:c>
      <x:c r="D183" s="16" t="n">
        <x:v>711.7211914521</x:v>
      </x:c>
      <x:c r="E183" s="16" t="n">
        <x:v>-111.8566097534</x:v>
      </x:c>
      <x:c r="F183" s="16" t="n">
        <x:v>414.5928151671</x:v>
      </x:c>
      <x:c r="G183" s="16" t="n">
        <x:v>290.2032772384</x:v>
      </x:c>
      <x:c r="H183" s="16" t="n">
        <x:v>-378.3810233863</x:v>
      </x:c>
      <x:c r="I183" s="16" t="n">
        <x:v>292.1488852164</x:v>
      </x:c>
      <x:c r="J183" s="16" t="n">
        <x:v>-105.5228551014</x:v>
      </x:c>
      <x:c r="K183" s="16" t="n">
        <x:v>-4600.6514489863</x:v>
      </x:c>
      <x:c r="L183" s="16" t="n">
        <x:v>4448.9343936879</x:v>
      </x:c>
      <x:c r="M183" s="16" t="n">
        <x:v>3140.2050412712</x:v>
      </x:c>
      <x:c r="N183" s="16" t="n">
        <x:v>-811.2264308383</x:v>
      </x:c>
      <x:c r="O183" s="16" t="n">
        <x:v>291.4162140932</x:v>
      </x:c>
      <x:c r="P183" s="16" t="n">
        <x:v>152.8518256219</x:v>
      </x:c>
      <x:c r="Q183" s="16" t="n">
        <x:v>-192.1041793425</x:v>
      </x:c>
      <x:c r="R183" s="16" t="n">
        <x:v>-5061.8710531506</x:v>
      </x:c>
    </x:row>
    <x:row r="184">
      <x:c r="A184" s="15" t="n">
        <x:v>45717</x:v>
      </x:c>
      <x:c r="B184" s="16" t="n">
        <x:v>-1682.7827550685</x:v>
      </x:c>
      <x:c r="C184" s="16" t="n">
        <x:v>-266.6442555616</x:v>
      </x:c>
      <x:c r="D184" s="16" t="n">
        <x:v>457.7544206027</x:v>
      </x:c>
      <x:c r="E184" s="16" t="n">
        <x:v>-60.0736087671</x:v>
      </x:c>
      <x:c r="F184" s="16" t="n">
        <x:v>857.9459594521</x:v>
      </x:c>
      <x:c r="G184" s="16" t="n">
        <x:v>133.0976596164</x:v>
      </x:c>
      <x:c r="H184" s="16" t="n">
        <x:v>-105.8279145206</x:v>
      </x:c>
      <x:c r="I184" s="16" t="n">
        <x:v>258.0808767123</x:v>
      </x:c>
      <x:c r="J184" s="16" t="n">
        <x:v>-84.7344030685</x:v>
      </x:c>
      <x:c r="K184" s="16" t="n">
        <x:v>-3565.1093596712</x:v>
      </x:c>
      <x:c r="L184" s="16" t="n">
        <x:v>2.2948401101</x:v>
      </x:c>
      <x:c r="M184" s="16" t="n">
        <x:v>2308.9991083836</x:v>
      </x:c>
      <x:c r="N184" s="16" t="n">
        <x:v>-697.3937493699</x:v>
      </x:c>
      <x:c r="O184" s="16" t="n">
        <x:v>161.5817994521</x:v>
      </x:c>
      <x:c r="P184" s="16" t="n">
        <x:v>266.1943730411</x:v>
      </x:c>
      <x:c r="Q184" s="16" t="n">
        <x:v>8.2842780822</x:v>
      </x:c>
      <x:c r="R184" s="16" t="n">
        <x:v>-2431.3766145754</x:v>
      </x:c>
    </x:row>
    <x:row r="185">
      <x:c r="A185" s="15" t="n">
        <x:v>45748</x:v>
      </x:c>
      <x:c r="B185" s="16" t="n">
        <x:v>-976.1876420384</x:v>
      </x:c>
      <x:c r="C185" s="16" t="n">
        <x:v>2610.3979779505</x:v>
      </x:c>
      <x:c r="D185" s="16" t="n">
        <x:v>284.3735394192</x:v>
      </x:c>
      <x:c r="E185" s="16" t="n">
        <x:v>146.1567027726</x:v>
      </x:c>
      <x:c r="F185" s="16" t="n">
        <x:v>808.122381326</x:v>
      </x:c>
      <x:c r="G185" s="16" t="n">
        <x:v>-278.4683605918</x:v>
      </x:c>
      <x:c r="H185" s="16" t="n">
        <x:v>466.9563660274</x:v>
      </x:c>
      <x:c r="I185" s="16" t="n">
        <x:v>138.5722211945</x:v>
      </x:c>
      <x:c r="J185" s="16" t="n">
        <x:v>-84.7060168767</x:v>
      </x:c>
      <x:c r="K185" s="16" t="n">
        <x:v>-2889.2309873097</x:v>
      </x:c>
      <x:c r="L185" s="16" t="n">
        <x:v>-18654.6044096872</x:v>
      </x:c>
      <x:c r="M185" s="16" t="n">
        <x:v>423.4059776</x:v>
      </x:c>
      <x:c r="N185" s="16" t="n">
        <x:v>-187.0603808548</x:v>
      </x:c>
      <x:c r="O185" s="16" t="n">
        <x:v>433.6648220055</x:v>
      </x:c>
      <x:c r="P185" s="16" t="n">
        <x:v>275.9911828164</x:v>
      </x:c>
      <x:c r="Q185" s="16" t="n">
        <x:v>337.2080304219</x:v>
      </x:c>
      <x:c r="R185" s="16" t="n">
        <x:v>94.2263373151</x:v>
      </x:c>
    </x:row>
    <x:row r="186">
      <x:c r="A186" s="15" t="n">
        <x:v>45778</x:v>
      </x:c>
      <x:c r="B186" s="16" t="n">
        <x:v>-562.8807296</x:v>
      </x:c>
      <x:c r="C186" s="16" t="n">
        <x:v>3587.589038641</x:v>
      </x:c>
      <x:c r="D186" s="16" t="n">
        <x:v>-27.5491328</x:v>
      </x:c>
      <x:c r="E186" s="16" t="n">
        <x:v>273.129842674</x:v>
      </x:c>
      <x:c r="F186" s="16" t="n">
        <x:v>592.9692712329</x:v>
      </x:c>
      <x:c r="G186" s="16" t="n">
        <x:v>-365.0696060055</x:v>
      </x:c>
      <x:c r="H186" s="16" t="n">
        <x:v>452.8565188384</x:v>
      </x:c>
      <x:c r="I186" s="16" t="n">
        <x:v>58.1804842959</x:v>
      </x:c>
      <x:c r="J186" s="16" t="n">
        <x:v>107.9079332822</x:v>
      </x:c>
      <x:c r="K186" s="16" t="n">
        <x:v>-4218.7530394904</x:v>
      </x:c>
      <x:c r="L186" s="16" t="n">
        <x:v>-24672.634304877</x:v>
      </x:c>
      <x:c r="M186" s="16" t="n">
        <x:v>-1115.7016099069</x:v>
      </x:c>
      <x:c r="N186" s="16" t="n">
        <x:v>28.1337139288</x:v>
      </x:c>
      <x:c r="O186" s="16" t="n">
        <x:v>553.1036714082</x:v>
      </x:c>
      <x:c r="P186" s="16" t="n">
        <x:v>256.0210393425</x:v>
      </x:c>
      <x:c r="Q186" s="16" t="n">
        <x:v>345.7113735014</x:v>
      </x:c>
      <x:c r="R186" s="16" t="n">
        <x:v>-1042.9062284932</x:v>
      </x:c>
    </x:row>
    <x:row r="187">
      <x:c r="A187" s="15" t="n">
        <x:v>45809</x:v>
      </x:c>
      <x:c r="B187" s="16" t="n">
        <x:v>-584.7520892493</x:v>
      </x:c>
      <x:c r="C187" s="16" t="n">
        <x:v>-899.3107687453</x:v>
      </x:c>
      <x:c r="D187" s="16" t="n">
        <x:v>-259.7067877699</x:v>
      </x:c>
      <x:c r="E187" s="16" t="n">
        <x:v>302.6057629808</x:v>
      </x:c>
      <x:c r="F187" s="16" t="n">
        <x:v>706.3017307178</x:v>
      </x:c>
      <x:c r="G187" s="16" t="n">
        <x:v>-37.9991377973</x:v>
      </x:c>
      <x:c r="H187" s="16" t="n">
        <x:v>713.5986062027</x:v>
      </x:c>
      <x:c r="I187" s="16" t="n">
        <x:v>-113.0873310685</x:v>
      </x:c>
      <x:c r="J187" s="16" t="n">
        <x:v>136.7555114082</x:v>
      </x:c>
      <x:c r="K187" s="16" t="n">
        <x:v>-5762.4376116603</x:v>
      </x:c>
      <x:c r="L187" s="16" t="n">
        <x:v>-24571.9842986088</x:v>
      </x:c>
      <x:c r="M187" s="16" t="n">
        <x:v>-1780.1382897973</x:v>
      </x:c>
      <x:c r="N187" s="16" t="n">
        <x:v>485.8902957808</x:v>
      </x:c>
      <x:c r="O187" s="16" t="n">
        <x:v>468.957625863</x:v>
      </x:c>
      <x:c r="P187" s="16" t="n">
        <x:v>198.819666411</x:v>
      </x:c>
      <x:c r="Q187" s="16" t="n">
        <x:v>578.1580493151</x:v>
      </x:c>
      <x:c r="R187" s="16" t="n">
        <x:v>-1104.5391407123</x:v>
      </x:c>
    </x:row>
    <x:row r="188">
      <x:c r="A188" s="15" t="n">
        <x:v>45839</x:v>
      </x:c>
      <x:c r="B188" s="16" t="n">
        <x:v>-2171.5287445041</x:v>
      </x:c>
      <x:c r="C188" s="16" t="n">
        <x:v>-2855.1332176655</x:v>
      </x:c>
      <x:c r="D188" s="16" t="n">
        <x:v>-611.9356131945</x:v>
      </x:c>
      <x:c r="E188" s="16" t="n">
        <x:v>178.3326287781</x:v>
      </x:c>
      <x:c r="F188" s="16" t="n">
        <x:v>558.5858481096</x:v>
      </x:c>
      <x:c r="G188" s="16" t="n">
        <x:v>-180.9958887452</x:v>
      </x:c>
      <x:c r="H188" s="16" t="n">
        <x:v>598.003936789</x:v>
      </x:c>
      <x:c r="I188" s="16" t="n">
        <x:v>-227.643731989</x:v>
      </x:c>
      <x:c r="J188" s="16" t="n">
        <x:v>127.6130625753</x:v>
      </x:c>
      <x:c r="K188" s="16" t="n">
        <x:v>-4196.9516413808</x:v>
      </x:c>
      <x:c r="L188" s="16" t="n">
        <x:v>-10941.3211495452</x:v>
      </x:c>
      <x:c r="M188" s="16" t="n">
        <x:v>-2315.6264591781</x:v>
      </x:c>
      <x:c r="N188" s="16" t="n">
        <x:v>625.1782982356</x:v>
      </x:c>
      <x:c r="O188" s="16" t="n">
        <x:v>326.5313315068</x:v>
      </x:c>
      <x:c r="P188" s="16" t="n">
        <x:v>246.025472</x:v>
      </x:c>
      <x:c r="Q188" s="16" t="n">
        <x:v>458.3352677699</x:v>
      </x:c>
      <x:c r="R188" s="16" t="n">
        <x:v>-2316.5844577973</x:v>
      </x:c>
    </x:row>
    <x:row r="189">
      <x:c r="A189" s="15" t="n">
        <x:v>45870</x:v>
      </x:c>
      <x:c r="B189" s="16" t="n">
        <x:v>-2930.393856526</x:v>
      </x:c>
      <x:c r="C189" s="16" t="n">
        <x:v>-658.3207936001</x:v>
      </x:c>
      <x:c r="D189" s="16" t="n">
        <x:v>-350.4506455671</x:v>
      </x:c>
      <x:c r="E189" s="16" t="n">
        <x:v>46.1549441753</x:v>
      </x:c>
      <x:c r="F189" s="16" t="n">
        <x:v>1197.5539413917</x:v>
      </x:c>
      <x:c r="G189" s="16" t="n">
        <x:v>-207.5832494904</x:v>
      </x:c>
      <x:c r="H189" s="16" t="n">
        <x:v>552.8836913096</x:v>
      </x:c>
      <x:c r="I189" s="16" t="n">
        <x:v>-98.8095772932</x:v>
      </x:c>
      <x:c r="J189" s="16" t="n">
        <x:v>68.0021477699</x:v>
      </x:c>
      <x:c r="K189" s="16" t="n">
        <x:v>-2402.1897600494</x:v>
      </x:c>
      <x:c r="L189" s="16" t="n">
        <x:v>-14924.5745565809</x:v>
      </x:c>
      <x:c r="M189" s="16" t="n">
        <x:v>-1996.3125823123</x:v>
      </x:c>
      <x:c r="N189" s="16" t="n">
        <x:v>703.5790860932</x:v>
      </x:c>
      <x:c r="O189" s="16" t="n">
        <x:v>447.9926720877</x:v>
      </x:c>
      <x:c r="P189" s="16" t="n">
        <x:v>266.0226188274</x:v>
      </x:c>
      <x:c r="Q189" s="16" t="n">
        <x:v>230.9786257534</x:v>
      </x:c>
      <x:c r="R189" s="16" t="n">
        <x:v>-1485.1522524603</x:v>
      </x:c>
    </x:row>
    <x:row r="190">
      <x:c r="A190" s="15" t="n">
        <x:v>45901</x:v>
      </x:c>
      <x:c r="B190" s="16" t="n">
        <x:v>-2496.7058802849</x:v>
      </x:c>
      <x:c r="C190" s="16" t="n">
        <x:v>1659.6662047563</x:v>
      </x:c>
      <x:c r="D190" s="16" t="n">
        <x:v>-244.7342041425</x:v>
      </x:c>
      <x:c r="E190" s="16" t="n">
        <x:v>34.2937887562</x:v>
      </x:c>
      <x:c r="F190" s="16" t="n">
        <x:v>1186.382375452</x:v>
      </x:c>
      <x:c r="G190" s="16" t="n">
        <x:v>707.4276901261</x:v>
      </x:c>
      <x:c r="H190" s="16" t="n">
        <x:v>342.0801364164</x:v>
      </x:c>
      <x:c r="I190" s="16" t="n">
        <x:v>83.5506510904</x:v>
      </x:c>
      <x:c r="J190" s="16" t="n">
        <x:v>34.3729183562</x:v>
      </x:c>
      <x:c r="K190" s="16" t="n">
        <x:v>-3292.9657825863</x:v>
      </x:c>
      <x:c r="L190" s="16" t="n">
        <x:v>-12077.576372778</x:v>
      </x:c>
      <x:c r="M190" s="16" t="n">
        <x:v>-1502.1579050082</x:v>
      </x:c>
      <x:c r="N190" s="16" t="n">
        <x:v>474.6774238685</x:v>
      </x:c>
      <x:c r="O190" s="16" t="n">
        <x:v>924.2796340603</x:v>
      </x:c>
      <x:c r="P190" s="16" t="n">
        <x:v>253.7266751123</x:v>
      </x:c>
      <x:c r="Q190" s="16" t="n">
        <x:v>45.5929059945</x:v>
      </x:c>
      <x:c r="R190" s="16" t="n">
        <x:v>-776.9504566575</x:v>
      </x:c>
    </x:row>
    <x:row r="191">
      <x:c r="A191" s="15" t="n">
        <x:v>45931</x:v>
      </x:c>
      <x:c r="B191" s="16" t="n">
        <x:v>-1100.4178786192</x:v>
      </x:c>
      <x:c r="C191" s="16" t="n">
        <x:v>4713.7279635287</x:v>
      </x:c>
      <x:c r="D191" s="16" t="n">
        <x:v>-217.8794036603</x:v>
      </x:c>
      <x:c r="E191" s="16" t="n">
        <x:v>118.1218527562</x:v>
      </x:c>
      <x:c r="F191" s="16" t="n">
        <x:v>1158.7185585096</x:v>
      </x:c>
      <x:c r="G191" s="16" t="n">
        <x:v>867.6750652494</x:v>
      </x:c>
      <x:c r="H191" s="16" t="n">
        <x:v>477.9674953644</x:v>
      </x:c>
      <x:c r="I191" s="16" t="n">
        <x:v>349.8906394301</x:v>
      </x:c>
      <x:c r="J191" s="16" t="n">
        <x:v>144.0672732055</x:v>
      </x:c>
      <x:c r="K191" s="16" t="n">
        <x:v>1233.1449024657</x:v>
      </x:c>
      <x:c r="L191" s="16" t="n">
        <x:v>-5821.1137467617</x:v>
      </x:c>
      <x:c r="M191" s="16" t="n">
        <x:v>-884.8783784329</x:v>
      </x:c>
      <x:c r="N191" s="16" t="n">
        <x:v>573.0267129534</x:v>
      </x:c>
      <x:c r="O191" s="16" t="n">
        <x:v>1040.1127241644</x:v>
      </x:c>
      <x:c r="P191" s="16" t="n">
        <x:v>276.5542433315</x:v>
      </x:c>
      <x:c r="Q191" s="16" t="n">
        <x:v>213.4331256986</x:v>
      </x:c>
      <x:c r="R191" s="16" t="n">
        <x:v>2575.1508264986</x:v>
      </x:c>
    </x:row>
    <x:row r="192">
      <x:c r="A192" s="15" t="n">
        <x:v>45962</x:v>
      </x:c>
      <x:c r="B192" s="16" t="n">
        <x:v>-138.6713152877</x:v>
      </x:c>
      <x:c r="C192" s="16" t="n">
        <x:v>5053.5525782796</x:v>
      </x:c>
      <x:c r="D192" s="16" t="n">
        <x:v>-42.3515479671</x:v>
      </x:c>
      <x:c r="E192" s="16" t="n">
        <x:v>110.6927232</x:v>
      </x:c>
      <x:c r="F192" s="16" t="n">
        <x:v>697.2350134357</x:v>
      </x:c>
      <x:c r="G192" s="16" t="n">
        <x:v>315.6962598576</x:v>
      </x:c>
      <x:c r="H192" s="16" t="n">
        <x:v>52.4571940822</x:v>
      </x:c>
      <x:c r="I192" s="16" t="n">
        <x:v>453.2532448438</x:v>
      </x:c>
      <x:c r="J192" s="16" t="n">
        <x:v>90.7053372493</x:v>
      </x:c>
      <x:c r="K192" s="16" t="n">
        <x:v>3076.7977616877</x:v>
      </x:c>
      <x:c r="L192" s="16" t="n">
        <x:v>-4290.9481607013</x:v>
      </x:c>
      <x:c r="M192" s="16" t="n">
        <x:v>-533.4061564493</x:v>
      </x:c>
      <x:c r="N192" s="16" t="n">
        <x:v>389.0824565918</x:v>
      </x:c>
      <x:c r="O192" s="16" t="n">
        <x:v>1006.2573988822</x:v>
      </x:c>
      <x:c r="P192" s="16" t="n">
        <x:v>191.5368730301</x:v>
      </x:c>
      <x:c r="Q192" s="16" t="n">
        <x:v>247.5426444274</x:v>
      </x:c>
      <x:c r="R192" s="16" t="n">
        <x:v>2738.1490143014</x:v>
      </x:c>
    </x:row>
    <x:row r="193">
      <x:c r="A193" s="15" t="n">
        <x:v>45992</x:v>
      </x:c>
      <x:c r="B193" s="16" t="n">
        <x:v>-628.5639654575</x:v>
      </x:c>
      <x:c r="C193" s="16" t="n">
        <x:v>7860.7914755506</x:v>
      </x:c>
      <x:c r="D193" s="16" t="n">
        <x:v>20.3184503233</x:v>
      </x:c>
      <x:c r="E193" s="16" t="n">
        <x:v>130.5700570301</x:v>
      </x:c>
      <x:c r="F193" s="16" t="n">
        <x:v>767.8022114192</x:v>
      </x:c>
      <x:c r="G193" s="16" t="n">
        <x:v>-150.4285517151</x:v>
      </x:c>
      <x:c r="H193" s="16" t="n">
        <x:v>-9.3058680986</x:v>
      </x:c>
      <x:c r="I193" s="16" t="n">
        <x:v>609.213970411</x:v>
      </x:c>
      <x:c r="J193" s="16" t="n">
        <x:v>208.4539413041</x:v>
      </x:c>
      <x:c r="K193" s="16" t="n">
        <x:v>5537.3878368986</x:v>
      </x:c>
      <x:c r="L193" s="16" t="n">
        <x:v>-9868.7418807233</x:v>
      </x:c>
      <x:c r="M193" s="16" t="n">
        <x:v>-1174.1927055781</x:v>
      </x:c>
      <x:c r="N193" s="16" t="n">
        <x:v>442.2480470356</x:v>
      </x:c>
      <x:c r="O193" s="16" t="n">
        <x:v>502.2510206247</x:v>
      </x:c>
      <x:c r="P193" s="16" t="n">
        <x:v>228.4130377644</x:v>
      </x:c>
      <x:c r="Q193" s="16" t="n">
        <x:v>179.7015287233</x:v>
      </x:c>
      <x:c r="R193" s="16" t="n">
        <x:v>4543.2318442082</x:v>
      </x:c>
    </x:row>
    <x:row r="194">
      <x:c r="A194" s="15" t="n">
        <x:v>46023</x:v>
      </x:c>
      <x:c r="B194" s="16" t="n">
        <x:v>-343.5048984548</x:v>
      </x:c>
      <x:c r="C194" s="16" t="n">
        <x:v>5065.2145692053</x:v>
      </x:c>
      <x:c r="D194" s="16" t="n">
        <x:v>397.343750663</x:v>
      </x:c>
      <x:c r="E194" s="16" t="n">
        <x:v>154.1584714521</x:v>
      </x:c>
      <x:c r="F194" s="16" t="n">
        <x:v>677.8904917917</x:v>
      </x:c>
      <x:c r="G194" s="16" t="n">
        <x:v>3.1360092931</x:v>
      </x:c>
      <x:c r="H194" s="16" t="n">
        <x:v>-188.5096537425</x:v>
      </x:c>
      <x:c r="I194" s="16" t="n">
        <x:v>439.4380791233</x:v>
      </x:c>
      <x:c r="J194" s="16" t="n">
        <x:v>139.803488</x:v>
      </x:c>
      <x:c r="K194" s="16" t="n">
        <x:v>5465.5414424328</x:v>
      </x:c>
      <x:c r="L194" s="16" t="n">
        <x:v>-13465.5379703233</x:v>
      </x:c>
      <x:c r="M194" s="16" t="n">
        <x:v>-2306.3425486904</x:v>
      </x:c>
      <x:c r="N194" s="16" t="n">
        <x:v>176.7928656658</x:v>
      </x:c>
      <x:c r="O194" s="16" t="n">
        <x:v>265.8685404932</x:v>
      </x:c>
      <x:c r="P194" s="16" t="n">
        <x:v>162.5614818192</x:v>
      </x:c>
      <x:c r="Q194" s="16" t="n">
        <x:v>144.5687858849</x:v>
      </x:c>
      <x:c r="R194" s="16" t="n">
        <x:v>4758.0487626521</x:v>
      </x:c>
    </x:row>
    <x:row r="195">
      <x:c r="A195" s="15" t="n">
        <x:v>46054</x:v>
      </x:c>
      <x:c r="B195" s="16" t="n">
        <x:v>-1254.2870484164</x:v>
      </x:c>
      <x:c r="C195" s="16" t="n">
        <x:v>4480.8967210081</x:v>
      </x:c>
      <x:c r="D195" s="16" t="n">
        <x:v>363.3022172932</x:v>
      </x:c>
      <x:c r="E195" s="16" t="n">
        <x:v>200.9451086904</x:v>
      </x:c>
      <x:c r="F195" s="16" t="n">
        <x:v>978.1132977096</x:v>
      </x:c>
      <x:c r="G195" s="16" t="n">
        <x:v>490.0625836712</x:v>
      </x:c>
      <x:c r="H195" s="16" t="n">
        <x:v>-181.2110953205</x:v>
      </x:c>
      <x:c r="I195" s="16" t="n">
        <x:v>306.5215617753</x:v>
      </x:c>
      <x:c r="J195" s="16" t="n">
        <x:v>46.3516653589</x:v>
      </x:c>
      <x:c r="K195" s="16" t="n">
        <x:v>2821.0060572932</x:v>
      </x:c>
      <x:c r="L195" s="16" t="n">
        <x:v>1640.2400064</x:v>
      </x:c>
      <x:c r="M195" s="16" t="n">
        <x:v>-1119.6736094685</x:v>
      </x:c>
      <x:c r="N195" s="16" t="n">
        <x:v>244.5986759014</x:v>
      </x:c>
      <x:c r="O195" s="16" t="n">
        <x:v>175.0112704877</x:v>
      </x:c>
      <x:c r="P195" s="16" t="n">
        <x:v>221.887481863</x:v>
      </x:c>
      <x:c r="Q195" s="16" t="n">
        <x:v>291.2235090411</x:v>
      </x:c>
      <x:c r="R195" s="16" t="n">
        <x:v>5481.6857095014</x:v>
      </x:c>
    </x:row>
    <x:row r="196">
      <x:c r="A196" s="15" t="n">
        <x:v>46082</x:v>
      </x:c>
      <x:c r="B196" s="16" t="n">
        <x:v>56.285970411</x:v>
      </x:c>
      <x:c r="C196" s="16" t="n">
        <x:v>2784.3988269589</x:v>
      </x:c>
      <x:c r="D196" s="16" t="n">
        <x:v>464.7746752877</x:v>
      </x:c>
      <x:c r="E196" s="16" t="n">
        <x:v>180.4124764932</x:v>
      </x:c>
      <x:c r="F196" s="16" t="n">
        <x:v>1145.7354590685</x:v>
      </x:c>
      <x:c r="G196" s="16" t="n">
        <x:v>125.1067436713</x:v>
      </x:c>
      <x:c r="H196" s="16" t="n">
        <x:v>-443.9123883836</x:v>
      </x:c>
      <x:c r="I196" s="16" t="n">
        <x:v>233.2343951781</x:v>
      </x:c>
      <x:c r="J196" s="16" t="n">
        <x:v>-26.7337398356</x:v>
      </x:c>
      <x:c r="K196" s="16" t="n">
        <x:v>3545.7349887123</x:v>
      </x:c>
      <x:c r="L196" s="16" t="n">
        <x:v>44562.7950588491</x:v>
      </x:c>
      <x:c r="M196" s="16" t="n">
        <x:v>32.2327285479</x:v>
      </x:c>
      <x:c r="N196" s="16" t="n">
        <x:v>249.0443029041</x:v>
      </x:c>
      <x:c r="O196" s="16" t="n">
        <x:v>696.3008315616</x:v>
      </x:c>
      <x:c r="P196" s="16" t="n">
        <x:v>336.4922353973</x:v>
      </x:c>
      <x:c r="Q196" s="16" t="n">
        <x:v>621.9075726027</x:v>
      </x:c>
      <x:c r="R196" s="16" t="n">
        <x:v>4304.3855890411</x:v>
      </x:c>
    </x:row>
    <x:row r="197">
      <x:c r="A197" s="15" t="n">
        <x:v>46113</x:v>
      </x:c>
      <x:c r="B197" s="16" t="n">
        <x:v>78.0498665205</x:v>
      </x:c>
      <x:c r="C197" s="16" t="n">
        <x:v>4223.8129867399</x:v>
      </x:c>
      <x:c r="D197" s="16" t="n">
        <x:v>362.4192385754</x:v>
      </x:c>
      <x:c r="E197" s="16" t="n">
        <x:v>73.3934176438</x:v>
      </x:c>
      <x:c r="F197" s="16" t="n">
        <x:v>1598.4545928768</x:v>
      </x:c>
      <x:c r="G197" s="16" t="n">
        <x:v>-840.3771831233</x:v>
      </x:c>
      <x:c r="H197" s="16" t="n">
        <x:v>-259.0113529863</x:v>
      </x:c>
      <x:c r="I197" s="16" t="n">
        <x:v>286.0928675068</x:v>
      </x:c>
      <x:c r="J197" s="16" t="n">
        <x:v>0.0054224658</x:v>
      </x:c>
      <x:c r="K197" s="16" t="n">
        <x:v>-4249.4214044931</x:v>
      </x:c>
      <x:c r="L197" s="16" t="n">
        <x:v>61899.5365987941</x:v>
      </x:c>
      <x:c r="M197" s="16" t="n">
        <x:v>1123.571897863</x:v>
      </x:c>
      <x:c r="N197" s="16" t="n">
        <x:v>474.7176021918</x:v>
      </x:c>
      <x:c r="O197" s="16" t="n">
        <x:v>880.9283787397</x:v>
      </x:c>
      <x:c r="P197" s="16" t="n">
        <x:v>411.3442665205</x:v>
      </x:c>
      <x:c r="Q197" s="16" t="n">
        <x:v>528.6647658082</x:v>
      </x:c>
      <x:c r="R197" s="16" t="n">
        <x:v>4686.2259524383</x:v>
      </x:c>
    </x:row>
    <x:row r="198">
      <x:c r="A198" s="15" t="n">
        <x:v>46143</x:v>
      </x:c>
      <x:c r="B198" s="16" t="n">
        <x:v>56.0392602301</x:v>
      </x:c>
      <x:c r="C198" s="16" t="n">
        <x:v>1482.8064206904</x:v>
      </x:c>
      <x:c r="D198" s="16" t="n">
        <x:v>-239.7766873425</x:v>
      </x:c>
      <x:c r="E198" s="16" t="n">
        <x:v>6.4209674521</x:v>
      </x:c>
      <x:c r="F198" s="16" t="n">
        <x:v>1704.4939102685</x:v>
      </x:c>
      <x:c r="G198" s="16" t="n">
        <x:v>394.9758457863</x:v>
      </x:c>
      <x:c r="H198" s="16" t="n">
        <x:v>-116.1407684384</x:v>
      </x:c>
      <x:c r="I198" s="16" t="n">
        <x:v>96.6253966027</x:v>
      </x:c>
      <x:c r="J198" s="16" t="n">
        <x:v>215.8877415452</x:v>
      </x:c>
      <x:c r="K198" s="16" t="n">
        <x:v>-3804.9842839671</x:v>
      </x:c>
      <x:c r="L198" s="16" t="n">
        <x:v>56252.573045918</x:v>
      </x:c>
      <x:c r="M198" s="16" t="n">
        <x:v>710.3381419836</x:v>
      </x:c>
      <x:c r="N198" s="16" t="n">
        <x:v>189.0436655342</x:v>
      </x:c>
      <x:c r="O198" s="16" t="n">
        <x:v>639.6411486685</x:v>
      </x:c>
      <x:c r="P198" s="16" t="n">
        <x:v>314.742456811</x:v>
      </x:c>
      <x:c r="Q198" s="16" t="n">
        <x:v>521.3224141151</x:v>
      </x:c>
      <x:c r="R198" s="16" t="n">
        <x:v>5050.271097863</x:v>
      </x:c>
    </x:row>
    <x:row r="199">
      <x:c r="A199" s="15" t="n">
        <x:v>46174</x:v>
      </x:c>
      <x:c r="B199" s="16" t="n">
        <x:v>-66.1787092164</x:v>
      </x:c>
      <x:c r="C199" s="16" t="n">
        <x:v>2716.6652051289</x:v>
      </x:c>
      <x:c r="D199" s="16" t="n">
        <x:v>-221.2069758247</x:v>
      </x:c>
      <x:c r="E199" s="16" t="n">
        <x:v>-34.1282894027</x:v>
      </x:c>
      <x:c r="F199" s="16" t="n">
        <x:v>1605.4594987835</x:v>
      </x:c>
      <x:c r="G199" s="16" t="n">
        <x:v>428.0701903781</x:v>
      </x:c>
      <x:c r="H199" s="16" t="n">
        <x:v>294.9387179836</x:v>
      </x:c>
      <x:c r="I199" s="16" t="n">
        <x:v>-109.7486741041</x:v>
      </x:c>
      <x:c r="J199" s="16" t="n">
        <x:v>227.9009006466</x:v>
      </x:c>
      <x:c r="K199" s="16" t="n">
        <x:v>-4170.2117530192</x:v>
      </x:c>
      <x:c r="L199" s="16" t="n">
        <x:v>14077.0089402741</x:v>
      </x:c>
      <x:c r="M199" s="16" t="n">
        <x:v>872.6276983233</x:v>
      </x:c>
      <x:c r="N199" s="16" t="n">
        <x:v>26.0144756603</x:v>
      </x:c>
      <x:c r="O199" s="16" t="n">
        <x:v>209.5956104767</x:v>
      </x:c>
      <x:c r="P199" s="16" t="n">
        <x:v>102.7402580164</x:v>
      </x:c>
      <x:c r="Q199" s="16" t="n">
        <x:v>190.8180988493</x:v>
      </x:c>
      <x:c r="R199" s="16" t="n">
        <x:v>2539.5172878028</x:v>
      </x:c>
    </x:row>
    <x:row r="200">
      <x:c r="A200" s="15" t="n">
        <x:v>46204</x:v>
      </x:c>
      <x:c r="B200" s="16" t="n">
        <x:v>-60.5685367233</x:v>
      </x:c>
      <x:c r="C200" s="16" t="n">
        <x:v>1010.4611601535</x:v>
      </x:c>
      <x:c r="D200" s="16" t="n">
        <x:v>20.5489923507</x:v>
      </x:c>
      <x:c r="E200" s="16" t="n">
        <x:v>-27.4133759123</x:v>
      </x:c>
      <x:c r="F200" s="16" t="n">
        <x:v>1098.4323464767</x:v>
      </x:c>
      <x:c r="G200" s="16" t="n">
        <x:v>1626.3048106082</x:v>
      </x:c>
      <x:c r="H200" s="16" t="n">
        <x:v>357.9742624438</x:v>
      </x:c>
      <x:c r="I200" s="16" t="n">
        <x:v>-192.6712150794</x:v>
      </x:c>
      <x:c r="J200" s="16" t="n">
        <x:v>248.8108198575</x:v>
      </x:c>
      <x:c r="K200" s="16" t="n">
        <x:v>-1233.8129482521</x:v>
      </x:c>
      <x:c r="L200" s="16" t="n">
        <x:v>628.6325072666</x:v>
      </x:c>
      <x:c r="M200" s="16" t="n">
        <x:v>203.0998503452</x:v>
      </x:c>
      <x:c r="N200" s="16" t="n">
        <x:v>-254.1589205918</x:v>
      </x:c>
      <x:c r="O200" s="16" t="n">
        <x:v>20.7658748493</x:v>
      </x:c>
      <x:c r="P200" s="16" t="n">
        <x:v>-119.1080835507</x:v>
      </x:c>
      <x:c r="Q200" s="16" t="n">
        <x:v>213.3046228165</x:v>
      </x:c>
      <x:c r="R200" s="16" t="n">
        <x:v>829.054112263</x:v>
      </x:c>
    </x:row>
  </x:sheetData>
  <x:mergeCells>
    <x:mergeCell ref="A1:R1"/>
    <x:mergeCell ref="A2:R2"/>
  </x:mergeCells>
  <x:pageMargins left="0.7" right="0.7" top="0.75" bottom="0.75" header="0.3" footer="0.3"/>
  <x:tableParts count="1">
    <x:tablePart xmlns:r="http://schemas.openxmlformats.org/officeDocument/2006/relationships" r:id="Rd2b6c6eb761248a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</x:cols>
  <x:sheetData>
    <x:row r="1" ht="27" customHeight="1">
      <x:c r="A1" s="3" t="str">
        <x:v>Cobertura do nível setorial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2" ht="30" customHeight="1">
      <x:c r="A2" s="7" t="str">
        <x:v>Número de empresas disponíveis por setor e mês na série de nível.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</x:row>
    <x:row r="4" ht="31" customHeight="1">
      <x:c r="A4" s="11" t="str">
        <x:v>Mês</x:v>
      </x:c>
      <x:c r="B4" s="11" t="str">
        <x:v>Agribusiness</x:v>
      </x:c>
      <x:c r="C4" s="11" t="str">
        <x:v>Banks</x:v>
      </x:c>
      <x:c r="D4" s="11" t="str">
        <x:v>Capital Goods</x:v>
      </x:c>
      <x:c r="E4" s="11" t="str">
        <x:v>Education</x:v>
      </x:c>
      <x:c r="F4" s="11" t="str">
        <x:v>Financials Non-Banks</x:v>
      </x:c>
      <x:c r="G4" s="11" t="str">
        <x:v>Food &amp; Beverages</x:v>
      </x:c>
      <x:c r="H4" s="11" t="str">
        <x:v>Health Care</x:v>
      </x:c>
      <x:c r="I4" s="11" t="str">
        <x:v>Homebuilders</x:v>
      </x:c>
      <x:c r="J4" s="11" t="str">
        <x:v>Income Properties</x:v>
      </x:c>
      <x:c r="K4" s="11" t="str">
        <x:v>Metals &amp; Mining</x:v>
      </x:c>
      <x:c r="L4" s="11" t="str">
        <x:v>Oil, Gas &amp; Petrochemicals</x:v>
      </x:c>
      <x:c r="M4" s="11" t="str">
        <x:v>Pulp &amp; Paper</x:v>
      </x:c>
      <x:c r="N4" s="11" t="str">
        <x:v>Retail</x:v>
      </x:c>
      <x:c r="O4" s="11" t="str">
        <x:v>Sanitation</x:v>
      </x:c>
      <x:c r="P4" s="11" t="str">
        <x:v>TMT</x:v>
      </x:c>
      <x:c r="Q4" s="11" t="str">
        <x:v>Transportation</x:v>
      </x:c>
      <x:c r="R4" s="11" t="str">
        <x:v>Utilities &amp; Energy</x:v>
      </x:c>
    </x:row>
    <x:row r="5">
      <x:c r="A5" s="15" t="n">
        <x:v>40179</x:v>
      </x:c>
      <x:c r="B5" s="23"/>
      <x:c r="C5" s="23" t="n">
        <x:v>3</x:v>
      </x:c>
      <x:c r="D5" s="23" t="n">
        <x:v>1</x:v>
      </x:c>
      <x:c r="E5" s="23"/>
      <x:c r="F5" s="23" t="n">
        <x:v>3</x:v>
      </x:c>
      <x:c r="G5" s="23" t="n">
        <x:v>3</x:v>
      </x:c>
      <x:c r="H5" s="23"/>
      <x:c r="I5" s="23" t="n">
        <x:v>5</x:v>
      </x:c>
      <x:c r="J5" s="23"/>
      <x:c r="K5" s="23" t="n">
        <x:v>7</x:v>
      </x:c>
      <x:c r="L5" s="23" t="n">
        <x:v>5</x:v>
      </x:c>
      <x:c r="M5" s="23" t="n">
        <x:v>2</x:v>
      </x:c>
      <x:c r="N5" s="23" t="n">
        <x:v>5</x:v>
      </x:c>
      <x:c r="O5" s="23" t="n">
        <x:v>1</x:v>
      </x:c>
      <x:c r="P5" s="23" t="n">
        <x:v>7</x:v>
      </x:c>
      <x:c r="Q5" s="23" t="n">
        <x:v>5</x:v>
      </x:c>
      <x:c r="R5" s="23" t="n">
        <x:v>8</x:v>
      </x:c>
    </x:row>
    <x:row r="6">
      <x:c r="A6" s="15" t="n">
        <x:v>40210</x:v>
      </x:c>
      <x:c r="B6" s="23"/>
      <x:c r="C6" s="23" t="n">
        <x:v>3</x:v>
      </x:c>
      <x:c r="D6" s="23" t="n">
        <x:v>1</x:v>
      </x:c>
      <x:c r="E6" s="23"/>
      <x:c r="F6" s="23" t="n">
        <x:v>3</x:v>
      </x:c>
      <x:c r="G6" s="23" t="n">
        <x:v>3</x:v>
      </x:c>
      <x:c r="H6" s="23"/>
      <x:c r="I6" s="23" t="n">
        <x:v>5</x:v>
      </x:c>
      <x:c r="J6" s="23"/>
      <x:c r="K6" s="23" t="n">
        <x:v>7</x:v>
      </x:c>
      <x:c r="L6" s="23" t="n">
        <x:v>5</x:v>
      </x:c>
      <x:c r="M6" s="23" t="n">
        <x:v>2</x:v>
      </x:c>
      <x:c r="N6" s="23" t="n">
        <x:v>5</x:v>
      </x:c>
      <x:c r="O6" s="23" t="n">
        <x:v>1</x:v>
      </x:c>
      <x:c r="P6" s="23" t="n">
        <x:v>7</x:v>
      </x:c>
      <x:c r="Q6" s="23" t="n">
        <x:v>5</x:v>
      </x:c>
      <x:c r="R6" s="23" t="n">
        <x:v>8</x:v>
      </x:c>
    </x:row>
    <x:row r="7">
      <x:c r="A7" s="15" t="n">
        <x:v>40238</x:v>
      </x:c>
      <x:c r="B7" s="23"/>
      <x:c r="C7" s="23" t="n">
        <x:v>3</x:v>
      </x:c>
      <x:c r="D7" s="23" t="n">
        <x:v>1</x:v>
      </x:c>
      <x:c r="E7" s="23"/>
      <x:c r="F7" s="23" t="n">
        <x:v>3</x:v>
      </x:c>
      <x:c r="G7" s="23" t="n">
        <x:v>3</x:v>
      </x:c>
      <x:c r="H7" s="23"/>
      <x:c r="I7" s="23" t="n">
        <x:v>5</x:v>
      </x:c>
      <x:c r="J7" s="23"/>
      <x:c r="K7" s="23" t="n">
        <x:v>7</x:v>
      </x:c>
      <x:c r="L7" s="23" t="n">
        <x:v>5</x:v>
      </x:c>
      <x:c r="M7" s="23" t="n">
        <x:v>2</x:v>
      </x:c>
      <x:c r="N7" s="23" t="n">
        <x:v>5</x:v>
      </x:c>
      <x:c r="O7" s="23" t="n">
        <x:v>1</x:v>
      </x:c>
      <x:c r="P7" s="23" t="n">
        <x:v>7</x:v>
      </x:c>
      <x:c r="Q7" s="23" t="n">
        <x:v>5</x:v>
      </x:c>
      <x:c r="R7" s="23" t="n">
        <x:v>8</x:v>
      </x:c>
    </x:row>
    <x:row r="8">
      <x:c r="A8" s="15" t="n">
        <x:v>40269</x:v>
      </x:c>
      <x:c r="B8" s="23"/>
      <x:c r="C8" s="23" t="n">
        <x:v>3</x:v>
      </x:c>
      <x:c r="D8" s="23" t="n">
        <x:v>1</x:v>
      </x:c>
      <x:c r="E8" s="23"/>
      <x:c r="F8" s="23" t="n">
        <x:v>3</x:v>
      </x:c>
      <x:c r="G8" s="23" t="n">
        <x:v>3</x:v>
      </x:c>
      <x:c r="H8" s="23"/>
      <x:c r="I8" s="23" t="n">
        <x:v>5</x:v>
      </x:c>
      <x:c r="J8" s="23"/>
      <x:c r="K8" s="23" t="n">
        <x:v>8</x:v>
      </x:c>
      <x:c r="L8" s="23" t="n">
        <x:v>5</x:v>
      </x:c>
      <x:c r="M8" s="23" t="n">
        <x:v>2</x:v>
      </x:c>
      <x:c r="N8" s="23" t="n">
        <x:v>5</x:v>
      </x:c>
      <x:c r="O8" s="23" t="n">
        <x:v>1</x:v>
      </x:c>
      <x:c r="P8" s="23" t="n">
        <x:v>7</x:v>
      </x:c>
      <x:c r="Q8" s="23" t="n">
        <x:v>5</x:v>
      </x:c>
      <x:c r="R8" s="23" t="n">
        <x:v>8</x:v>
      </x:c>
    </x:row>
    <x:row r="9">
      <x:c r="A9" s="15" t="n">
        <x:v>40299</x:v>
      </x:c>
      <x:c r="B9" s="23"/>
      <x:c r="C9" s="23" t="n">
        <x:v>3</x:v>
      </x:c>
      <x:c r="D9" s="23" t="n">
        <x:v>1</x:v>
      </x:c>
      <x:c r="E9" s="23"/>
      <x:c r="F9" s="23" t="n">
        <x:v>4</x:v>
      </x:c>
      <x:c r="G9" s="23" t="n">
        <x:v>3</x:v>
      </x:c>
      <x:c r="H9" s="23"/>
      <x:c r="I9" s="23" t="n">
        <x:v>6</x:v>
      </x:c>
      <x:c r="J9" s="23"/>
      <x:c r="K9" s="23" t="n">
        <x:v>8</x:v>
      </x:c>
      <x:c r="L9" s="23" t="n">
        <x:v>5</x:v>
      </x:c>
      <x:c r="M9" s="23" t="n">
        <x:v>2</x:v>
      </x:c>
      <x:c r="N9" s="23" t="n">
        <x:v>5</x:v>
      </x:c>
      <x:c r="O9" s="23" t="n">
        <x:v>1</x:v>
      </x:c>
      <x:c r="P9" s="23" t="n">
        <x:v>7</x:v>
      </x:c>
      <x:c r="Q9" s="23" t="n">
        <x:v>5</x:v>
      </x:c>
      <x:c r="R9" s="23" t="n">
        <x:v>8</x:v>
      </x:c>
    </x:row>
    <x:row r="10">
      <x:c r="A10" s="15" t="n">
        <x:v>40330</x:v>
      </x:c>
      <x:c r="B10" s="23"/>
      <x:c r="C10" s="23" t="n">
        <x:v>3</x:v>
      </x:c>
      <x:c r="D10" s="23" t="n">
        <x:v>1</x:v>
      </x:c>
      <x:c r="E10" s="23"/>
      <x:c r="F10" s="23" t="n">
        <x:v>4</x:v>
      </x:c>
      <x:c r="G10" s="23" t="n">
        <x:v>3</x:v>
      </x:c>
      <x:c r="H10" s="23"/>
      <x:c r="I10" s="23" t="n">
        <x:v>5</x:v>
      </x:c>
      <x:c r="J10" s="23"/>
      <x:c r="K10" s="23" t="n">
        <x:v>8</x:v>
      </x:c>
      <x:c r="L10" s="23" t="n">
        <x:v>5</x:v>
      </x:c>
      <x:c r="M10" s="23" t="n">
        <x:v>2</x:v>
      </x:c>
      <x:c r="N10" s="23" t="n">
        <x:v>5</x:v>
      </x:c>
      <x:c r="O10" s="23" t="n">
        <x:v>1</x:v>
      </x:c>
      <x:c r="P10" s="23" t="n">
        <x:v>8</x:v>
      </x:c>
      <x:c r="Q10" s="23" t="n">
        <x:v>5</x:v>
      </x:c>
      <x:c r="R10" s="23" t="n">
        <x:v>8</x:v>
      </x:c>
    </x:row>
    <x:row r="11">
      <x:c r="A11" s="15" t="n">
        <x:v>40360</x:v>
      </x:c>
      <x:c r="B11" s="23"/>
      <x:c r="C11" s="23" t="n">
        <x:v>3</x:v>
      </x:c>
      <x:c r="D11" s="23" t="n">
        <x:v>1</x:v>
      </x:c>
      <x:c r="E11" s="23"/>
      <x:c r="F11" s="23" t="n">
        <x:v>4</x:v>
      </x:c>
      <x:c r="G11" s="23" t="n">
        <x:v>3</x:v>
      </x:c>
      <x:c r="H11" s="23"/>
      <x:c r="I11" s="23" t="n">
        <x:v>5</x:v>
      </x:c>
      <x:c r="J11" s="23"/>
      <x:c r="K11" s="23" t="n">
        <x:v>8</x:v>
      </x:c>
      <x:c r="L11" s="23" t="n">
        <x:v>5</x:v>
      </x:c>
      <x:c r="M11" s="23" t="n">
        <x:v>2</x:v>
      </x:c>
      <x:c r="N11" s="23" t="n">
        <x:v>5</x:v>
      </x:c>
      <x:c r="O11" s="23" t="n">
        <x:v>1</x:v>
      </x:c>
      <x:c r="P11" s="23" t="n">
        <x:v>8</x:v>
      </x:c>
      <x:c r="Q11" s="23" t="n">
        <x:v>5</x:v>
      </x:c>
      <x:c r="R11" s="23" t="n">
        <x:v>8</x:v>
      </x:c>
    </x:row>
    <x:row r="12">
      <x:c r="A12" s="15" t="n">
        <x:v>40391</x:v>
      </x:c>
      <x:c r="B12" s="23"/>
      <x:c r="C12" s="23" t="n">
        <x:v>3</x:v>
      </x:c>
      <x:c r="D12" s="23" t="n">
        <x:v>1</x:v>
      </x:c>
      <x:c r="E12" s="23"/>
      <x:c r="F12" s="23" t="n">
        <x:v>4</x:v>
      </x:c>
      <x:c r="G12" s="23" t="n">
        <x:v>3</x:v>
      </x:c>
      <x:c r="H12" s="23"/>
      <x:c r="I12" s="23" t="n">
        <x:v>5</x:v>
      </x:c>
      <x:c r="J12" s="23"/>
      <x:c r="K12" s="23" t="n">
        <x:v>8</x:v>
      </x:c>
      <x:c r="L12" s="23" t="n">
        <x:v>5</x:v>
      </x:c>
      <x:c r="M12" s="23" t="n">
        <x:v>2</x:v>
      </x:c>
      <x:c r="N12" s="23" t="n">
        <x:v>5</x:v>
      </x:c>
      <x:c r="O12" s="23" t="n">
        <x:v>1</x:v>
      </x:c>
      <x:c r="P12" s="23" t="n">
        <x:v>8</x:v>
      </x:c>
      <x:c r="Q12" s="23" t="n">
        <x:v>5</x:v>
      </x:c>
      <x:c r="R12" s="23" t="n">
        <x:v>8</x:v>
      </x:c>
    </x:row>
    <x:row r="13">
      <x:c r="A13" s="15" t="n">
        <x:v>40422</x:v>
      </x:c>
      <x:c r="B13" s="23"/>
      <x:c r="C13" s="23" t="n">
        <x:v>4</x:v>
      </x:c>
      <x:c r="D13" s="23" t="n">
        <x:v>1</x:v>
      </x:c>
      <x:c r="E13" s="23"/>
      <x:c r="F13" s="23" t="n">
        <x:v>4</x:v>
      </x:c>
      <x:c r="G13" s="23" t="n">
        <x:v>5</x:v>
      </x:c>
      <x:c r="H13" s="23"/>
      <x:c r="I13" s="23" t="n">
        <x:v>6</x:v>
      </x:c>
      <x:c r="J13" s="23"/>
      <x:c r="K13" s="23" t="n">
        <x:v>8</x:v>
      </x:c>
      <x:c r="L13" s="23" t="n">
        <x:v>5</x:v>
      </x:c>
      <x:c r="M13" s="23" t="n">
        <x:v>2</x:v>
      </x:c>
      <x:c r="N13" s="23" t="n">
        <x:v>5</x:v>
      </x:c>
      <x:c r="O13" s="23" t="n">
        <x:v>1</x:v>
      </x:c>
      <x:c r="P13" s="23" t="n">
        <x:v>8</x:v>
      </x:c>
      <x:c r="Q13" s="23" t="n">
        <x:v>5</x:v>
      </x:c>
      <x:c r="R13" s="23" t="n">
        <x:v>8</x:v>
      </x:c>
    </x:row>
    <x:row r="14">
      <x:c r="A14" s="15" t="n">
        <x:v>40452</x:v>
      </x:c>
      <x:c r="B14" s="23"/>
      <x:c r="C14" s="23" t="n">
        <x:v>4</x:v>
      </x:c>
      <x:c r="D14" s="23" t="n">
        <x:v>1</x:v>
      </x:c>
      <x:c r="E14" s="23"/>
      <x:c r="F14" s="23" t="n">
        <x:v>4</x:v>
      </x:c>
      <x:c r="G14" s="23" t="n">
        <x:v>5</x:v>
      </x:c>
      <x:c r="H14" s="23"/>
      <x:c r="I14" s="23" t="n">
        <x:v>6</x:v>
      </x:c>
      <x:c r="J14" s="23"/>
      <x:c r="K14" s="23" t="n">
        <x:v>8</x:v>
      </x:c>
      <x:c r="L14" s="23" t="n">
        <x:v>5</x:v>
      </x:c>
      <x:c r="M14" s="23" t="n">
        <x:v>2</x:v>
      </x:c>
      <x:c r="N14" s="23" t="n">
        <x:v>5</x:v>
      </x:c>
      <x:c r="O14" s="23" t="n">
        <x:v>1</x:v>
      </x:c>
      <x:c r="P14" s="23" t="n">
        <x:v>7</x:v>
      </x:c>
      <x:c r="Q14" s="23" t="n">
        <x:v>5</x:v>
      </x:c>
      <x:c r="R14" s="23" t="n">
        <x:v>8</x:v>
      </x:c>
    </x:row>
    <x:row r="15">
      <x:c r="A15" s="15" t="n">
        <x:v>40483</x:v>
      </x:c>
      <x:c r="B15" s="23"/>
      <x:c r="C15" s="23" t="n">
        <x:v>4</x:v>
      </x:c>
      <x:c r="D15" s="23" t="n">
        <x:v>1</x:v>
      </x:c>
      <x:c r="E15" s="23"/>
      <x:c r="F15" s="23" t="n">
        <x:v>4</x:v>
      </x:c>
      <x:c r="G15" s="23" t="n">
        <x:v>5</x:v>
      </x:c>
      <x:c r="H15" s="23"/>
      <x:c r="I15" s="23" t="n">
        <x:v>6</x:v>
      </x:c>
      <x:c r="J15" s="23"/>
      <x:c r="K15" s="23" t="n">
        <x:v>8</x:v>
      </x:c>
      <x:c r="L15" s="23" t="n">
        <x:v>5</x:v>
      </x:c>
      <x:c r="M15" s="23" t="n">
        <x:v>2</x:v>
      </x:c>
      <x:c r="N15" s="23" t="n">
        <x:v>5</x:v>
      </x:c>
      <x:c r="O15" s="23" t="n">
        <x:v>1</x:v>
      </x:c>
      <x:c r="P15" s="23" t="n">
        <x:v>7</x:v>
      </x:c>
      <x:c r="Q15" s="23" t="n">
        <x:v>5</x:v>
      </x:c>
      <x:c r="R15" s="23" t="n">
        <x:v>8</x:v>
      </x:c>
    </x:row>
    <x:row r="16">
      <x:c r="A16" s="15" t="n">
        <x:v>40513</x:v>
      </x:c>
      <x:c r="B16" s="23"/>
      <x:c r="C16" s="23" t="n">
        <x:v>4</x:v>
      </x:c>
      <x:c r="D16" s="23" t="n">
        <x:v>1</x:v>
      </x:c>
      <x:c r="E16" s="23"/>
      <x:c r="F16" s="23" t="n">
        <x:v>4</x:v>
      </x:c>
      <x:c r="G16" s="23" t="n">
        <x:v>5</x:v>
      </x:c>
      <x:c r="H16" s="23"/>
      <x:c r="I16" s="23" t="n">
        <x:v>6</x:v>
      </x:c>
      <x:c r="J16" s="23"/>
      <x:c r="K16" s="23" t="n">
        <x:v>8</x:v>
      </x:c>
      <x:c r="L16" s="23" t="n">
        <x:v>5</x:v>
      </x:c>
      <x:c r="M16" s="23" t="n">
        <x:v>2</x:v>
      </x:c>
      <x:c r="N16" s="23" t="n">
        <x:v>5</x:v>
      </x:c>
      <x:c r="O16" s="23" t="n">
        <x:v>1</x:v>
      </x:c>
      <x:c r="P16" s="23" t="n">
        <x:v>7</x:v>
      </x:c>
      <x:c r="Q16" s="23" t="n">
        <x:v>5</x:v>
      </x:c>
      <x:c r="R16" s="23" t="n">
        <x:v>9</x:v>
      </x:c>
    </x:row>
    <x:row r="17">
      <x:c r="A17" s="15" t="n">
        <x:v>40544</x:v>
      </x:c>
      <x:c r="B17" s="23"/>
      <x:c r="C17" s="23" t="n">
        <x:v>4</x:v>
      </x:c>
      <x:c r="D17" s="23" t="n">
        <x:v>1</x:v>
      </x:c>
      <x:c r="E17" s="23"/>
      <x:c r="F17" s="23" t="n">
        <x:v>4</x:v>
      </x:c>
      <x:c r="G17" s="23" t="n">
        <x:v>5</x:v>
      </x:c>
      <x:c r="H17" s="23" t="n">
        <x:v>1</x:v>
      </x:c>
      <x:c r="I17" s="23" t="n">
        <x:v>6</x:v>
      </x:c>
      <x:c r="J17" s="23"/>
      <x:c r="K17" s="23" t="n">
        <x:v>7</x:v>
      </x:c>
      <x:c r="L17" s="23" t="n">
        <x:v>5</x:v>
      </x:c>
      <x:c r="M17" s="23" t="n">
        <x:v>2</x:v>
      </x:c>
      <x:c r="N17" s="23" t="n">
        <x:v>5</x:v>
      </x:c>
      <x:c r="O17" s="23" t="n">
        <x:v>1</x:v>
      </x:c>
      <x:c r="P17" s="23" t="n">
        <x:v>7</x:v>
      </x:c>
      <x:c r="Q17" s="23" t="n">
        <x:v>5</x:v>
      </x:c>
      <x:c r="R17" s="23" t="n">
        <x:v>9</x:v>
      </x:c>
    </x:row>
    <x:row r="18">
      <x:c r="A18" s="15" t="n">
        <x:v>40575</x:v>
      </x:c>
      <x:c r="B18" s="23"/>
      <x:c r="C18" s="23" t="n">
        <x:v>4</x:v>
      </x:c>
      <x:c r="D18" s="23" t="n">
        <x:v>1</x:v>
      </x:c>
      <x:c r="E18" s="23"/>
      <x:c r="F18" s="23" t="n">
        <x:v>4</x:v>
      </x:c>
      <x:c r="G18" s="23" t="n">
        <x:v>5</x:v>
      </x:c>
      <x:c r="H18" s="23" t="n">
        <x:v>1</x:v>
      </x:c>
      <x:c r="I18" s="23" t="n">
        <x:v>6</x:v>
      </x:c>
      <x:c r="J18" s="23"/>
      <x:c r="K18" s="23" t="n">
        <x:v>7</x:v>
      </x:c>
      <x:c r="L18" s="23" t="n">
        <x:v>5</x:v>
      </x:c>
      <x:c r="M18" s="23" t="n">
        <x:v>2</x:v>
      </x:c>
      <x:c r="N18" s="23" t="n">
        <x:v>5</x:v>
      </x:c>
      <x:c r="O18" s="23" t="n">
        <x:v>1</x:v>
      </x:c>
      <x:c r="P18" s="23" t="n">
        <x:v>7</x:v>
      </x:c>
      <x:c r="Q18" s="23" t="n">
        <x:v>5</x:v>
      </x:c>
      <x:c r="R18" s="23" t="n">
        <x:v>9</x:v>
      </x:c>
    </x:row>
    <x:row r="19">
      <x:c r="A19" s="15" t="n">
        <x:v>40603</x:v>
      </x:c>
      <x:c r="B19" s="23"/>
      <x:c r="C19" s="23" t="n">
        <x:v>4</x:v>
      </x:c>
      <x:c r="D19" s="23" t="n">
        <x:v>1</x:v>
      </x:c>
      <x:c r="E19" s="23"/>
      <x:c r="F19" s="23" t="n">
        <x:v>4</x:v>
      </x:c>
      <x:c r="G19" s="23" t="n">
        <x:v>5</x:v>
      </x:c>
      <x:c r="H19" s="23" t="n">
        <x:v>1</x:v>
      </x:c>
      <x:c r="I19" s="23" t="n">
        <x:v>6</x:v>
      </x:c>
      <x:c r="J19" s="23"/>
      <x:c r="K19" s="23" t="n">
        <x:v>8</x:v>
      </x:c>
      <x:c r="L19" s="23" t="n">
        <x:v>5</x:v>
      </x:c>
      <x:c r="M19" s="23" t="n">
        <x:v>2</x:v>
      </x:c>
      <x:c r="N19" s="23" t="n">
        <x:v>5</x:v>
      </x:c>
      <x:c r="O19" s="23" t="n">
        <x:v>1</x:v>
      </x:c>
      <x:c r="P19" s="23" t="n">
        <x:v>7</x:v>
      </x:c>
      <x:c r="Q19" s="23" t="n">
        <x:v>5</x:v>
      </x:c>
      <x:c r="R19" s="23" t="n">
        <x:v>9</x:v>
      </x:c>
    </x:row>
    <x:row r="20">
      <x:c r="A20" s="15" t="n">
        <x:v>40634</x:v>
      </x:c>
      <x:c r="B20" s="23"/>
      <x:c r="C20" s="23" t="n">
        <x:v>4</x:v>
      </x:c>
      <x:c r="D20" s="23" t="n">
        <x:v>1</x:v>
      </x:c>
      <x:c r="E20" s="23"/>
      <x:c r="F20" s="23" t="n">
        <x:v>4</x:v>
      </x:c>
      <x:c r="G20" s="23" t="n">
        <x:v>5</x:v>
      </x:c>
      <x:c r="H20" s="23" t="n">
        <x:v>1</x:v>
      </x:c>
      <x:c r="I20" s="23" t="n">
        <x:v>6</x:v>
      </x:c>
      <x:c r="J20" s="23"/>
      <x:c r="K20" s="23" t="n">
        <x:v>8</x:v>
      </x:c>
      <x:c r="L20" s="23" t="n">
        <x:v>5</x:v>
      </x:c>
      <x:c r="M20" s="23" t="n">
        <x:v>2</x:v>
      </x:c>
      <x:c r="N20" s="23" t="n">
        <x:v>5</x:v>
      </x:c>
      <x:c r="O20" s="23" t="n">
        <x:v>1</x:v>
      </x:c>
      <x:c r="P20" s="23" t="n">
        <x:v>7</x:v>
      </x:c>
      <x:c r="Q20" s="23" t="n">
        <x:v>5</x:v>
      </x:c>
      <x:c r="R20" s="23" t="n">
        <x:v>9</x:v>
      </x:c>
    </x:row>
    <x:row r="21">
      <x:c r="A21" s="15" t="n">
        <x:v>40664</x:v>
      </x:c>
      <x:c r="B21" s="23"/>
      <x:c r="C21" s="23" t="n">
        <x:v>4</x:v>
      </x:c>
      <x:c r="D21" s="23" t="n">
        <x:v>1</x:v>
      </x:c>
      <x:c r="E21" s="23"/>
      <x:c r="F21" s="23" t="n">
        <x:v>4</x:v>
      </x:c>
      <x:c r="G21" s="23" t="n">
        <x:v>5</x:v>
      </x:c>
      <x:c r="H21" s="23" t="n">
        <x:v>1</x:v>
      </x:c>
      <x:c r="I21" s="23" t="n">
        <x:v>6</x:v>
      </x:c>
      <x:c r="J21" s="23"/>
      <x:c r="K21" s="23" t="n">
        <x:v>8</x:v>
      </x:c>
      <x:c r="L21" s="23" t="n">
        <x:v>5</x:v>
      </x:c>
      <x:c r="M21" s="23" t="n">
        <x:v>2</x:v>
      </x:c>
      <x:c r="N21" s="23" t="n">
        <x:v>5</x:v>
      </x:c>
      <x:c r="O21" s="23" t="n">
        <x:v>1</x:v>
      </x:c>
      <x:c r="P21" s="23" t="n">
        <x:v>7</x:v>
      </x:c>
      <x:c r="Q21" s="23" t="n">
        <x:v>5</x:v>
      </x:c>
      <x:c r="R21" s="23" t="n">
        <x:v>9</x:v>
      </x:c>
    </x:row>
    <x:row r="22">
      <x:c r="A22" s="15" t="n">
        <x:v>40695</x:v>
      </x:c>
      <x:c r="B22" s="23"/>
      <x:c r="C22" s="23" t="n">
        <x:v>4</x:v>
      </x:c>
      <x:c r="D22" s="23" t="n">
        <x:v>1</x:v>
      </x:c>
      <x:c r="E22" s="23"/>
      <x:c r="F22" s="23" t="n">
        <x:v>4</x:v>
      </x:c>
      <x:c r="G22" s="23" t="n">
        <x:v>5</x:v>
      </x:c>
      <x:c r="H22" s="23" t="n">
        <x:v>1</x:v>
      </x:c>
      <x:c r="I22" s="23" t="n">
        <x:v>6</x:v>
      </x:c>
      <x:c r="J22" s="23"/>
      <x:c r="K22" s="23" t="n">
        <x:v>8</x:v>
      </x:c>
      <x:c r="L22" s="23" t="n">
        <x:v>5</x:v>
      </x:c>
      <x:c r="M22" s="23" t="n">
        <x:v>2</x:v>
      </x:c>
      <x:c r="N22" s="23" t="n">
        <x:v>5</x:v>
      </x:c>
      <x:c r="O22" s="23" t="n">
        <x:v>1</x:v>
      </x:c>
      <x:c r="P22" s="23" t="n">
        <x:v>6</x:v>
      </x:c>
      <x:c r="Q22" s="23" t="n">
        <x:v>5</x:v>
      </x:c>
      <x:c r="R22" s="23" t="n">
        <x:v>9</x:v>
      </x:c>
    </x:row>
    <x:row r="23">
      <x:c r="A23" s="15" t="n">
        <x:v>40725</x:v>
      </x:c>
      <x:c r="B23" s="23"/>
      <x:c r="C23" s="23" t="n">
        <x:v>4</x:v>
      </x:c>
      <x:c r="D23" s="23" t="n">
        <x:v>1</x:v>
      </x:c>
      <x:c r="E23" s="23"/>
      <x:c r="F23" s="23" t="n">
        <x:v>4</x:v>
      </x:c>
      <x:c r="G23" s="23" t="n">
        <x:v>5</x:v>
      </x:c>
      <x:c r="H23" s="23" t="n">
        <x:v>1</x:v>
      </x:c>
      <x:c r="I23" s="23" t="n">
        <x:v>6</x:v>
      </x:c>
      <x:c r="J23" s="23"/>
      <x:c r="K23" s="23" t="n">
        <x:v>8</x:v>
      </x:c>
      <x:c r="L23" s="23" t="n">
        <x:v>5</x:v>
      </x:c>
      <x:c r="M23" s="23" t="n">
        <x:v>2</x:v>
      </x:c>
      <x:c r="N23" s="23" t="n">
        <x:v>5</x:v>
      </x:c>
      <x:c r="O23" s="23" t="n">
        <x:v>1</x:v>
      </x:c>
      <x:c r="P23" s="23" t="n">
        <x:v>6</x:v>
      </x:c>
      <x:c r="Q23" s="23" t="n">
        <x:v>5</x:v>
      </x:c>
      <x:c r="R23" s="23" t="n">
        <x:v>9</x:v>
      </x:c>
    </x:row>
    <x:row r="24">
      <x:c r="A24" s="15" t="n">
        <x:v>40756</x:v>
      </x:c>
      <x:c r="B24" s="23"/>
      <x:c r="C24" s="23" t="n">
        <x:v>4</x:v>
      </x:c>
      <x:c r="D24" s="23" t="n">
        <x:v>1</x:v>
      </x:c>
      <x:c r="E24" s="23"/>
      <x:c r="F24" s="23" t="n">
        <x:v>4</x:v>
      </x:c>
      <x:c r="G24" s="23" t="n">
        <x:v>5</x:v>
      </x:c>
      <x:c r="H24" s="23" t="n">
        <x:v>1</x:v>
      </x:c>
      <x:c r="I24" s="23" t="n">
        <x:v>6</x:v>
      </x:c>
      <x:c r="J24" s="23"/>
      <x:c r="K24" s="23" t="n">
        <x:v>8</x:v>
      </x:c>
      <x:c r="L24" s="23" t="n">
        <x:v>5</x:v>
      </x:c>
      <x:c r="M24" s="23" t="n">
        <x:v>2</x:v>
      </x:c>
      <x:c r="N24" s="23" t="n">
        <x:v>5</x:v>
      </x:c>
      <x:c r="O24" s="23" t="n">
        <x:v>1</x:v>
      </x:c>
      <x:c r="P24" s="23" t="n">
        <x:v>5</x:v>
      </x:c>
      <x:c r="Q24" s="23" t="n">
        <x:v>5</x:v>
      </x:c>
      <x:c r="R24" s="23" t="n">
        <x:v>9</x:v>
      </x:c>
    </x:row>
    <x:row r="25">
      <x:c r="A25" s="15" t="n">
        <x:v>40787</x:v>
      </x:c>
      <x:c r="B25" s="23"/>
      <x:c r="C25" s="23" t="n">
        <x:v>4</x:v>
      </x:c>
      <x:c r="D25" s="23" t="n">
        <x:v>1</x:v>
      </x:c>
      <x:c r="E25" s="23"/>
      <x:c r="F25" s="23" t="n">
        <x:v>4</x:v>
      </x:c>
      <x:c r="G25" s="23" t="n">
        <x:v>5</x:v>
      </x:c>
      <x:c r="H25" s="23" t="n">
        <x:v>1</x:v>
      </x:c>
      <x:c r="I25" s="23" t="n">
        <x:v>6</x:v>
      </x:c>
      <x:c r="J25" s="23" t="n">
        <x:v>1</x:v>
      </x:c>
      <x:c r="K25" s="23" t="n">
        <x:v>8</x:v>
      </x:c>
      <x:c r="L25" s="23" t="n">
        <x:v>5</x:v>
      </x:c>
      <x:c r="M25" s="23" t="n">
        <x:v>2</x:v>
      </x:c>
      <x:c r="N25" s="23" t="n">
        <x:v>6</x:v>
      </x:c>
      <x:c r="O25" s="23" t="n">
        <x:v>1</x:v>
      </x:c>
      <x:c r="P25" s="23" t="n">
        <x:v>5</x:v>
      </x:c>
      <x:c r="Q25" s="23" t="n">
        <x:v>5</x:v>
      </x:c>
      <x:c r="R25" s="23" t="n">
        <x:v>9</x:v>
      </x:c>
    </x:row>
    <x:row r="26">
      <x:c r="A26" s="15" t="n">
        <x:v>40817</x:v>
      </x:c>
      <x:c r="B26" s="23"/>
      <x:c r="C26" s="23" t="n">
        <x:v>4</x:v>
      </x:c>
      <x:c r="D26" s="23" t="n">
        <x:v>1</x:v>
      </x:c>
      <x:c r="E26" s="23"/>
      <x:c r="F26" s="23" t="n">
        <x:v>4</x:v>
      </x:c>
      <x:c r="G26" s="23" t="n">
        <x:v>5</x:v>
      </x:c>
      <x:c r="H26" s="23" t="n">
        <x:v>1</x:v>
      </x:c>
      <x:c r="I26" s="23" t="n">
        <x:v>6</x:v>
      </x:c>
      <x:c r="J26" s="23" t="n">
        <x:v>1</x:v>
      </x:c>
      <x:c r="K26" s="23" t="n">
        <x:v>8</x:v>
      </x:c>
      <x:c r="L26" s="23" t="n">
        <x:v>5</x:v>
      </x:c>
      <x:c r="M26" s="23" t="n">
        <x:v>2</x:v>
      </x:c>
      <x:c r="N26" s="23" t="n">
        <x:v>6</x:v>
      </x:c>
      <x:c r="O26" s="23" t="n">
        <x:v>1</x:v>
      </x:c>
      <x:c r="P26" s="23" t="n">
        <x:v>5</x:v>
      </x:c>
      <x:c r="Q26" s="23" t="n">
        <x:v>5</x:v>
      </x:c>
      <x:c r="R26" s="23" t="n">
        <x:v>9</x:v>
      </x:c>
    </x:row>
    <x:row r="27">
      <x:c r="A27" s="15" t="n">
        <x:v>40848</x:v>
      </x:c>
      <x:c r="B27" s="23"/>
      <x:c r="C27" s="23" t="n">
        <x:v>4</x:v>
      </x:c>
      <x:c r="D27" s="23" t="n">
        <x:v>1</x:v>
      </x:c>
      <x:c r="E27" s="23"/>
      <x:c r="F27" s="23" t="n">
        <x:v>4</x:v>
      </x:c>
      <x:c r="G27" s="23" t="n">
        <x:v>5</x:v>
      </x:c>
      <x:c r="H27" s="23" t="n">
        <x:v>1</x:v>
      </x:c>
      <x:c r="I27" s="23" t="n">
        <x:v>6</x:v>
      </x:c>
      <x:c r="J27" s="23" t="n">
        <x:v>1</x:v>
      </x:c>
      <x:c r="K27" s="23" t="n">
        <x:v>8</x:v>
      </x:c>
      <x:c r="L27" s="23" t="n">
        <x:v>5</x:v>
      </x:c>
      <x:c r="M27" s="23" t="n">
        <x:v>2</x:v>
      </x:c>
      <x:c r="N27" s="23" t="n">
        <x:v>6</x:v>
      </x:c>
      <x:c r="O27" s="23" t="n">
        <x:v>1</x:v>
      </x:c>
      <x:c r="P27" s="23" t="n">
        <x:v>5</x:v>
      </x:c>
      <x:c r="Q27" s="23" t="n">
        <x:v>5</x:v>
      </x:c>
      <x:c r="R27" s="23" t="n">
        <x:v>9</x:v>
      </x:c>
    </x:row>
    <x:row r="28">
      <x:c r="A28" s="15" t="n">
        <x:v>40878</x:v>
      </x:c>
      <x:c r="B28" s="23"/>
      <x:c r="C28" s="23" t="n">
        <x:v>4</x:v>
      </x:c>
      <x:c r="D28" s="23" t="n">
        <x:v>1</x:v>
      </x:c>
      <x:c r="E28" s="23"/>
      <x:c r="F28" s="23" t="n">
        <x:v>4</x:v>
      </x:c>
      <x:c r="G28" s="23" t="n">
        <x:v>5</x:v>
      </x:c>
      <x:c r="H28" s="23" t="n">
        <x:v>1</x:v>
      </x:c>
      <x:c r="I28" s="23" t="n">
        <x:v>6</x:v>
      </x:c>
      <x:c r="J28" s="23" t="n">
        <x:v>1</x:v>
      </x:c>
      <x:c r="K28" s="23" t="n">
        <x:v>8</x:v>
      </x:c>
      <x:c r="L28" s="23" t="n">
        <x:v>5</x:v>
      </x:c>
      <x:c r="M28" s="23" t="n">
        <x:v>2</x:v>
      </x:c>
      <x:c r="N28" s="23" t="n">
        <x:v>6</x:v>
      </x:c>
      <x:c r="O28" s="23" t="n">
        <x:v>1</x:v>
      </x:c>
      <x:c r="P28" s="23" t="n">
        <x:v>5</x:v>
      </x:c>
      <x:c r="Q28" s="23" t="n">
        <x:v>5</x:v>
      </x:c>
      <x:c r="R28" s="23" t="n">
        <x:v>9</x:v>
      </x:c>
    </x:row>
    <x:row r="29">
      <x:c r="A29" s="15" t="n">
        <x:v>40909</x:v>
      </x:c>
      <x:c r="B29" s="23"/>
      <x:c r="C29" s="23" t="n">
        <x:v>4</x:v>
      </x:c>
      <x:c r="D29" s="23" t="n">
        <x:v>1</x:v>
      </x:c>
      <x:c r="E29" s="23"/>
      <x:c r="F29" s="23" t="n">
        <x:v>4</x:v>
      </x:c>
      <x:c r="G29" s="23" t="n">
        <x:v>4</x:v>
      </x:c>
      <x:c r="H29" s="23" t="n">
        <x:v>2</x:v>
      </x:c>
      <x:c r="I29" s="23" t="n">
        <x:v>6</x:v>
      </x:c>
      <x:c r="J29" s="23" t="n">
        <x:v>1</x:v>
      </x:c>
      <x:c r="K29" s="23" t="n">
        <x:v>8</x:v>
      </x:c>
      <x:c r="L29" s="23" t="n">
        <x:v>5</x:v>
      </x:c>
      <x:c r="M29" s="23" t="n">
        <x:v>2</x:v>
      </x:c>
      <x:c r="N29" s="23" t="n">
        <x:v>6</x:v>
      </x:c>
      <x:c r="O29" s="23" t="n">
        <x:v>1</x:v>
      </x:c>
      <x:c r="P29" s="23" t="n">
        <x:v>5</x:v>
      </x:c>
      <x:c r="Q29" s="23" t="n">
        <x:v>6</x:v>
      </x:c>
      <x:c r="R29" s="23" t="n">
        <x:v>9</x:v>
      </x:c>
    </x:row>
    <x:row r="30">
      <x:c r="A30" s="15" t="n">
        <x:v>40940</x:v>
      </x:c>
      <x:c r="B30" s="23"/>
      <x:c r="C30" s="23" t="n">
        <x:v>4</x:v>
      </x:c>
      <x:c r="D30" s="23" t="n">
        <x:v>1</x:v>
      </x:c>
      <x:c r="E30" s="23"/>
      <x:c r="F30" s="23" t="n">
        <x:v>4</x:v>
      </x:c>
      <x:c r="G30" s="23" t="n">
        <x:v>4</x:v>
      </x:c>
      <x:c r="H30" s="23" t="n">
        <x:v>2</x:v>
      </x:c>
      <x:c r="I30" s="23" t="n">
        <x:v>6</x:v>
      </x:c>
      <x:c r="J30" s="23" t="n">
        <x:v>1</x:v>
      </x:c>
      <x:c r="K30" s="23" t="n">
        <x:v>8</x:v>
      </x:c>
      <x:c r="L30" s="23" t="n">
        <x:v>5</x:v>
      </x:c>
      <x:c r="M30" s="23" t="n">
        <x:v>2</x:v>
      </x:c>
      <x:c r="N30" s="23" t="n">
        <x:v>6</x:v>
      </x:c>
      <x:c r="O30" s="23" t="n">
        <x:v>1</x:v>
      </x:c>
      <x:c r="P30" s="23" t="n">
        <x:v>5</x:v>
      </x:c>
      <x:c r="Q30" s="23" t="n">
        <x:v>6</x:v>
      </x:c>
      <x:c r="R30" s="23" t="n">
        <x:v>9</x:v>
      </x:c>
    </x:row>
    <x:row r="31">
      <x:c r="A31" s="15" t="n">
        <x:v>40969</x:v>
      </x:c>
      <x:c r="B31" s="23"/>
      <x:c r="C31" s="23" t="n">
        <x:v>4</x:v>
      </x:c>
      <x:c r="D31" s="23" t="n">
        <x:v>1</x:v>
      </x:c>
      <x:c r="E31" s="23"/>
      <x:c r="F31" s="23" t="n">
        <x:v>4</x:v>
      </x:c>
      <x:c r="G31" s="23" t="n">
        <x:v>4</x:v>
      </x:c>
      <x:c r="H31" s="23" t="n">
        <x:v>2</x:v>
      </x:c>
      <x:c r="I31" s="23" t="n">
        <x:v>6</x:v>
      </x:c>
      <x:c r="J31" s="23" t="n">
        <x:v>1</x:v>
      </x:c>
      <x:c r="K31" s="23" t="n">
        <x:v>8</x:v>
      </x:c>
      <x:c r="L31" s="23" t="n">
        <x:v>5</x:v>
      </x:c>
      <x:c r="M31" s="23" t="n">
        <x:v>2</x:v>
      </x:c>
      <x:c r="N31" s="23" t="n">
        <x:v>6</x:v>
      </x:c>
      <x:c r="O31" s="23" t="n">
        <x:v>1</x:v>
      </x:c>
      <x:c r="P31" s="23" t="n">
        <x:v>5</x:v>
      </x:c>
      <x:c r="Q31" s="23" t="n">
        <x:v>6</x:v>
      </x:c>
      <x:c r="R31" s="23" t="n">
        <x:v>9</x:v>
      </x:c>
    </x:row>
    <x:row r="32">
      <x:c r="A32" s="15" t="n">
        <x:v>41000</x:v>
      </x:c>
      <x:c r="B32" s="23"/>
      <x:c r="C32" s="23" t="n">
        <x:v>4</x:v>
      </x:c>
      <x:c r="D32" s="23" t="n">
        <x:v>1</x:v>
      </x:c>
      <x:c r="E32" s="23"/>
      <x:c r="F32" s="23" t="n">
        <x:v>4</x:v>
      </x:c>
      <x:c r="G32" s="23" t="n">
        <x:v>4</x:v>
      </x:c>
      <x:c r="H32" s="23" t="n">
        <x:v>2</x:v>
      </x:c>
      <x:c r="I32" s="23" t="n">
        <x:v>6</x:v>
      </x:c>
      <x:c r="J32" s="23" t="n">
        <x:v>1</x:v>
      </x:c>
      <x:c r="K32" s="23" t="n">
        <x:v>8</x:v>
      </x:c>
      <x:c r="L32" s="23" t="n">
        <x:v>4</x:v>
      </x:c>
      <x:c r="M32" s="23" t="n">
        <x:v>2</x:v>
      </x:c>
      <x:c r="N32" s="23" t="n">
        <x:v>6</x:v>
      </x:c>
      <x:c r="O32" s="23" t="n">
        <x:v>1</x:v>
      </x:c>
      <x:c r="P32" s="23" t="n">
        <x:v>4</x:v>
      </x:c>
      <x:c r="Q32" s="23" t="n">
        <x:v>6</x:v>
      </x:c>
      <x:c r="R32" s="23" t="n">
        <x:v>9</x:v>
      </x:c>
    </x:row>
    <x:row r="33">
      <x:c r="A33" s="15" t="n">
        <x:v>41030</x:v>
      </x:c>
      <x:c r="B33" s="23"/>
      <x:c r="C33" s="23" t="n">
        <x:v>4</x:v>
      </x:c>
      <x:c r="D33" s="23" t="n">
        <x:v>1</x:v>
      </x:c>
      <x:c r="E33" s="23"/>
      <x:c r="F33" s="23" t="n">
        <x:v>4</x:v>
      </x:c>
      <x:c r="G33" s="23" t="n">
        <x:v>4</x:v>
      </x:c>
      <x:c r="H33" s="23" t="n">
        <x:v>2</x:v>
      </x:c>
      <x:c r="I33" s="23" t="n">
        <x:v>6</x:v>
      </x:c>
      <x:c r="J33" s="23" t="n">
        <x:v>1</x:v>
      </x:c>
      <x:c r="K33" s="23" t="n">
        <x:v>8</x:v>
      </x:c>
      <x:c r="L33" s="23" t="n">
        <x:v>4</x:v>
      </x:c>
      <x:c r="M33" s="23" t="n">
        <x:v>2</x:v>
      </x:c>
      <x:c r="N33" s="23" t="n">
        <x:v>6</x:v>
      </x:c>
      <x:c r="O33" s="23" t="n">
        <x:v>1</x:v>
      </x:c>
      <x:c r="P33" s="23" t="n">
        <x:v>4</x:v>
      </x:c>
      <x:c r="Q33" s="23" t="n">
        <x:v>6</x:v>
      </x:c>
      <x:c r="R33" s="23" t="n">
        <x:v>9</x:v>
      </x:c>
    </x:row>
    <x:row r="34">
      <x:c r="A34" s="15" t="n">
        <x:v>41061</x:v>
      </x:c>
      <x:c r="B34" s="23"/>
      <x:c r="C34" s="23" t="n">
        <x:v>4</x:v>
      </x:c>
      <x:c r="D34" s="23" t="n">
        <x:v>1</x:v>
      </x:c>
      <x:c r="E34" s="23"/>
      <x:c r="F34" s="23" t="n">
        <x:v>4</x:v>
      </x:c>
      <x:c r="G34" s="23" t="n">
        <x:v>4</x:v>
      </x:c>
      <x:c r="H34" s="23" t="n">
        <x:v>2</x:v>
      </x:c>
      <x:c r="I34" s="23" t="n">
        <x:v>6</x:v>
      </x:c>
      <x:c r="J34" s="23" t="n">
        <x:v>1</x:v>
      </x:c>
      <x:c r="K34" s="23" t="n">
        <x:v>8</x:v>
      </x:c>
      <x:c r="L34" s="23" t="n">
        <x:v>4</x:v>
      </x:c>
      <x:c r="M34" s="23" t="n">
        <x:v>2</x:v>
      </x:c>
      <x:c r="N34" s="23" t="n">
        <x:v>6</x:v>
      </x:c>
      <x:c r="O34" s="23" t="n">
        <x:v>1</x:v>
      </x:c>
      <x:c r="P34" s="23" t="n">
        <x:v>4</x:v>
      </x:c>
      <x:c r="Q34" s="23" t="n">
        <x:v>5</x:v>
      </x:c>
      <x:c r="R34" s="23" t="n">
        <x:v>9</x:v>
      </x:c>
    </x:row>
    <x:row r="35">
      <x:c r="A35" s="15" t="n">
        <x:v>41091</x:v>
      </x:c>
      <x:c r="B35" s="23"/>
      <x:c r="C35" s="23" t="n">
        <x:v>4</x:v>
      </x:c>
      <x:c r="D35" s="23" t="n">
        <x:v>1</x:v>
      </x:c>
      <x:c r="E35" s="23"/>
      <x:c r="F35" s="23" t="n">
        <x:v>4</x:v>
      </x:c>
      <x:c r="G35" s="23" t="n">
        <x:v>4</x:v>
      </x:c>
      <x:c r="H35" s="23" t="n">
        <x:v>2</x:v>
      </x:c>
      <x:c r="I35" s="23" t="n">
        <x:v>6</x:v>
      </x:c>
      <x:c r="J35" s="23" t="n">
        <x:v>1</x:v>
      </x:c>
      <x:c r="K35" s="23" t="n">
        <x:v>8</x:v>
      </x:c>
      <x:c r="L35" s="23" t="n">
        <x:v>4</x:v>
      </x:c>
      <x:c r="M35" s="23" t="n">
        <x:v>2</x:v>
      </x:c>
      <x:c r="N35" s="23" t="n">
        <x:v>6</x:v>
      </x:c>
      <x:c r="O35" s="23" t="n">
        <x:v>1</x:v>
      </x:c>
      <x:c r="P35" s="23" t="n">
        <x:v>4</x:v>
      </x:c>
      <x:c r="Q35" s="23" t="n">
        <x:v>5</x:v>
      </x:c>
      <x:c r="R35" s="23" t="n">
        <x:v>9</x:v>
      </x:c>
    </x:row>
    <x:row r="36">
      <x:c r="A36" s="15" t="n">
        <x:v>41122</x:v>
      </x:c>
      <x:c r="B36" s="23"/>
      <x:c r="C36" s="23" t="n">
        <x:v>4</x:v>
      </x:c>
      <x:c r="D36" s="23" t="n">
        <x:v>1</x:v>
      </x:c>
      <x:c r="E36" s="23"/>
      <x:c r="F36" s="23" t="n">
        <x:v>4</x:v>
      </x:c>
      <x:c r="G36" s="23" t="n">
        <x:v>4</x:v>
      </x:c>
      <x:c r="H36" s="23" t="n">
        <x:v>2</x:v>
      </x:c>
      <x:c r="I36" s="23" t="n">
        <x:v>6</x:v>
      </x:c>
      <x:c r="J36" s="23" t="n">
        <x:v>1</x:v>
      </x:c>
      <x:c r="K36" s="23" t="n">
        <x:v>8</x:v>
      </x:c>
      <x:c r="L36" s="23" t="n">
        <x:v>4</x:v>
      </x:c>
      <x:c r="M36" s="23" t="n">
        <x:v>2</x:v>
      </x:c>
      <x:c r="N36" s="23" t="n">
        <x:v>6</x:v>
      </x:c>
      <x:c r="O36" s="23" t="n">
        <x:v>1</x:v>
      </x:c>
      <x:c r="P36" s="23" t="n">
        <x:v>4</x:v>
      </x:c>
      <x:c r="Q36" s="23" t="n">
        <x:v>5</x:v>
      </x:c>
      <x:c r="R36" s="23" t="n">
        <x:v>9</x:v>
      </x:c>
    </x:row>
    <x:row r="37">
      <x:c r="A37" s="15" t="n">
        <x:v>41153</x:v>
      </x:c>
      <x:c r="B37" s="23"/>
      <x:c r="C37" s="23" t="n">
        <x:v>4</x:v>
      </x:c>
      <x:c r="D37" s="23" t="n">
        <x:v>1</x:v>
      </x:c>
      <x:c r="E37" s="23"/>
      <x:c r="F37" s="23" t="n">
        <x:v>4</x:v>
      </x:c>
      <x:c r="G37" s="23" t="n">
        <x:v>4</x:v>
      </x:c>
      <x:c r="H37" s="23" t="n">
        <x:v>2</x:v>
      </x:c>
      <x:c r="I37" s="23" t="n">
        <x:v>6</x:v>
      </x:c>
      <x:c r="J37" s="23" t="n">
        <x:v>1</x:v>
      </x:c>
      <x:c r="K37" s="23" t="n">
        <x:v>8</x:v>
      </x:c>
      <x:c r="L37" s="23" t="n">
        <x:v>4</x:v>
      </x:c>
      <x:c r="M37" s="23" t="n">
        <x:v>3</x:v>
      </x:c>
      <x:c r="N37" s="23" t="n">
        <x:v>6</x:v>
      </x:c>
      <x:c r="O37" s="23" t="n">
        <x:v>1</x:v>
      </x:c>
      <x:c r="P37" s="23" t="n">
        <x:v>4</x:v>
      </x:c>
      <x:c r="Q37" s="23" t="n">
        <x:v>5</x:v>
      </x:c>
      <x:c r="R37" s="23" t="n">
        <x:v>9</x:v>
      </x:c>
    </x:row>
    <x:row r="38">
      <x:c r="A38" s="15" t="n">
        <x:v>41183</x:v>
      </x:c>
      <x:c r="B38" s="23"/>
      <x:c r="C38" s="23" t="n">
        <x:v>4</x:v>
      </x:c>
      <x:c r="D38" s="23" t="n">
        <x:v>1</x:v>
      </x:c>
      <x:c r="E38" s="23"/>
      <x:c r="F38" s="23" t="n">
        <x:v>4</x:v>
      </x:c>
      <x:c r="G38" s="23" t="n">
        <x:v>4</x:v>
      </x:c>
      <x:c r="H38" s="23" t="n">
        <x:v>2</x:v>
      </x:c>
      <x:c r="I38" s="23" t="n">
        <x:v>6</x:v>
      </x:c>
      <x:c r="J38" s="23" t="n">
        <x:v>1</x:v>
      </x:c>
      <x:c r="K38" s="23" t="n">
        <x:v>8</x:v>
      </x:c>
      <x:c r="L38" s="23" t="n">
        <x:v>4</x:v>
      </x:c>
      <x:c r="M38" s="23" t="n">
        <x:v>3</x:v>
      </x:c>
      <x:c r="N38" s="23" t="n">
        <x:v>6</x:v>
      </x:c>
      <x:c r="O38" s="23" t="n">
        <x:v>1</x:v>
      </x:c>
      <x:c r="P38" s="23" t="n">
        <x:v>4</x:v>
      </x:c>
      <x:c r="Q38" s="23" t="n">
        <x:v>5</x:v>
      </x:c>
      <x:c r="R38" s="23" t="n">
        <x:v>9</x:v>
      </x:c>
    </x:row>
    <x:row r="39">
      <x:c r="A39" s="15" t="n">
        <x:v>41214</x:v>
      </x:c>
      <x:c r="B39" s="23"/>
      <x:c r="C39" s="23" t="n">
        <x:v>4</x:v>
      </x:c>
      <x:c r="D39" s="23" t="n">
        <x:v>1</x:v>
      </x:c>
      <x:c r="E39" s="23"/>
      <x:c r="F39" s="23" t="n">
        <x:v>4</x:v>
      </x:c>
      <x:c r="G39" s="23" t="n">
        <x:v>4</x:v>
      </x:c>
      <x:c r="H39" s="23" t="n">
        <x:v>2</x:v>
      </x:c>
      <x:c r="I39" s="23" t="n">
        <x:v>6</x:v>
      </x:c>
      <x:c r="J39" s="23" t="n">
        <x:v>1</x:v>
      </x:c>
      <x:c r="K39" s="23" t="n">
        <x:v>8</x:v>
      </x:c>
      <x:c r="L39" s="23" t="n">
        <x:v>4</x:v>
      </x:c>
      <x:c r="M39" s="23" t="n">
        <x:v>3</x:v>
      </x:c>
      <x:c r="N39" s="23" t="n">
        <x:v>6</x:v>
      </x:c>
      <x:c r="O39" s="23" t="n">
        <x:v>1</x:v>
      </x:c>
      <x:c r="P39" s="23" t="n">
        <x:v>4</x:v>
      </x:c>
      <x:c r="Q39" s="23" t="n">
        <x:v>5</x:v>
      </x:c>
      <x:c r="R39" s="23" t="n">
        <x:v>9</x:v>
      </x:c>
    </x:row>
    <x:row r="40">
      <x:c r="A40" s="15" t="n">
        <x:v>41244</x:v>
      </x:c>
      <x:c r="B40" s="23"/>
      <x:c r="C40" s="23" t="n">
        <x:v>4</x:v>
      </x:c>
      <x:c r="D40" s="23" t="n">
        <x:v>1</x:v>
      </x:c>
      <x:c r="E40" s="23"/>
      <x:c r="F40" s="23" t="n">
        <x:v>4</x:v>
      </x:c>
      <x:c r="G40" s="23" t="n">
        <x:v>4</x:v>
      </x:c>
      <x:c r="H40" s="23" t="n">
        <x:v>2</x:v>
      </x:c>
      <x:c r="I40" s="23" t="n">
        <x:v>6</x:v>
      </x:c>
      <x:c r="J40" s="23" t="n">
        <x:v>1</x:v>
      </x:c>
      <x:c r="K40" s="23" t="n">
        <x:v>8</x:v>
      </x:c>
      <x:c r="L40" s="23" t="n">
        <x:v>4</x:v>
      </x:c>
      <x:c r="M40" s="23" t="n">
        <x:v>3</x:v>
      </x:c>
      <x:c r="N40" s="23" t="n">
        <x:v>6</x:v>
      </x:c>
      <x:c r="O40" s="23" t="n">
        <x:v>1</x:v>
      </x:c>
      <x:c r="P40" s="23" t="n">
        <x:v>4</x:v>
      </x:c>
      <x:c r="Q40" s="23" t="n">
        <x:v>5</x:v>
      </x:c>
      <x:c r="R40" s="23" t="n">
        <x:v>9</x:v>
      </x:c>
    </x:row>
    <x:row r="41">
      <x:c r="A41" s="15" t="n">
        <x:v>41275</x:v>
      </x:c>
      <x:c r="B41" s="23"/>
      <x:c r="C41" s="23" t="n">
        <x:v>4</x:v>
      </x:c>
      <x:c r="D41" s="23" t="n">
        <x:v>1</x:v>
      </x:c>
      <x:c r="E41" s="23"/>
      <x:c r="F41" s="23" t="n">
        <x:v>4</x:v>
      </x:c>
      <x:c r="G41" s="23" t="n">
        <x:v>4</x:v>
      </x:c>
      <x:c r="H41" s="23" t="n">
        <x:v>2</x:v>
      </x:c>
      <x:c r="I41" s="23" t="n">
        <x:v>6</x:v>
      </x:c>
      <x:c r="J41" s="23" t="n">
        <x:v>1</x:v>
      </x:c>
      <x:c r="K41" s="23" t="n">
        <x:v>8</x:v>
      </x:c>
      <x:c r="L41" s="23" t="n">
        <x:v>4</x:v>
      </x:c>
      <x:c r="M41" s="23" t="n">
        <x:v>3</x:v>
      </x:c>
      <x:c r="N41" s="23" t="n">
        <x:v>6</x:v>
      </x:c>
      <x:c r="O41" s="23" t="n">
        <x:v>1</x:v>
      </x:c>
      <x:c r="P41" s="23" t="n">
        <x:v>4</x:v>
      </x:c>
      <x:c r="Q41" s="23" t="n">
        <x:v>5</x:v>
      </x:c>
      <x:c r="R41" s="23" t="n">
        <x:v>10</x:v>
      </x:c>
    </x:row>
    <x:row r="42">
      <x:c r="A42" s="15" t="n">
        <x:v>41306</x:v>
      </x:c>
      <x:c r="B42" s="23"/>
      <x:c r="C42" s="23" t="n">
        <x:v>4</x:v>
      </x:c>
      <x:c r="D42" s="23" t="n">
        <x:v>1</x:v>
      </x:c>
      <x:c r="E42" s="23"/>
      <x:c r="F42" s="23" t="n">
        <x:v>4</x:v>
      </x:c>
      <x:c r="G42" s="23" t="n">
        <x:v>4</x:v>
      </x:c>
      <x:c r="H42" s="23" t="n">
        <x:v>2</x:v>
      </x:c>
      <x:c r="I42" s="23" t="n">
        <x:v>6</x:v>
      </x:c>
      <x:c r="J42" s="23" t="n">
        <x:v>1</x:v>
      </x:c>
      <x:c r="K42" s="23" t="n">
        <x:v>8</x:v>
      </x:c>
      <x:c r="L42" s="23" t="n">
        <x:v>4</x:v>
      </x:c>
      <x:c r="M42" s="23" t="n">
        <x:v>3</x:v>
      </x:c>
      <x:c r="N42" s="23" t="n">
        <x:v>6</x:v>
      </x:c>
      <x:c r="O42" s="23" t="n">
        <x:v>1</x:v>
      </x:c>
      <x:c r="P42" s="23" t="n">
        <x:v>4</x:v>
      </x:c>
      <x:c r="Q42" s="23" t="n">
        <x:v>5</x:v>
      </x:c>
      <x:c r="R42" s="23" t="n">
        <x:v>8</x:v>
      </x:c>
    </x:row>
    <x:row r="43">
      <x:c r="A43" s="15" t="n">
        <x:v>41334</x:v>
      </x:c>
      <x:c r="B43" s="23"/>
      <x:c r="C43" s="23" t="n">
        <x:v>4</x:v>
      </x:c>
      <x:c r="D43" s="23" t="n">
        <x:v>1</x:v>
      </x:c>
      <x:c r="E43" s="23"/>
      <x:c r="F43" s="23" t="n">
        <x:v>4</x:v>
      </x:c>
      <x:c r="G43" s="23" t="n">
        <x:v>4</x:v>
      </x:c>
      <x:c r="H43" s="23" t="n">
        <x:v>2</x:v>
      </x:c>
      <x:c r="I43" s="23" t="n">
        <x:v>6</x:v>
      </x:c>
      <x:c r="J43" s="23" t="n">
        <x:v>1</x:v>
      </x:c>
      <x:c r="K43" s="23" t="n">
        <x:v>8</x:v>
      </x:c>
      <x:c r="L43" s="23" t="n">
        <x:v>4</x:v>
      </x:c>
      <x:c r="M43" s="23" t="n">
        <x:v>3</x:v>
      </x:c>
      <x:c r="N43" s="23" t="n">
        <x:v>6</x:v>
      </x:c>
      <x:c r="O43" s="23" t="n">
        <x:v>1</x:v>
      </x:c>
      <x:c r="P43" s="23" t="n">
        <x:v>4</x:v>
      </x:c>
      <x:c r="Q43" s="23" t="n">
        <x:v>5</x:v>
      </x:c>
      <x:c r="R43" s="23" t="n">
        <x:v>10</x:v>
      </x:c>
    </x:row>
    <x:row r="44">
      <x:c r="A44" s="15" t="n">
        <x:v>41365</x:v>
      </x:c>
      <x:c r="B44" s="23"/>
      <x:c r="C44" s="23" t="n">
        <x:v>4</x:v>
      </x:c>
      <x:c r="D44" s="23" t="n">
        <x:v>1</x:v>
      </x:c>
      <x:c r="E44" s="23"/>
      <x:c r="F44" s="23" t="n">
        <x:v>4</x:v>
      </x:c>
      <x:c r="G44" s="23" t="n">
        <x:v>4</x:v>
      </x:c>
      <x:c r="H44" s="23" t="n">
        <x:v>2</x:v>
      </x:c>
      <x:c r="I44" s="23" t="n">
        <x:v>6</x:v>
      </x:c>
      <x:c r="J44" s="23" t="n">
        <x:v>1</x:v>
      </x:c>
      <x:c r="K44" s="23" t="n">
        <x:v>8</x:v>
      </x:c>
      <x:c r="L44" s="23" t="n">
        <x:v>4</x:v>
      </x:c>
      <x:c r="M44" s="23" t="n">
        <x:v>3</x:v>
      </x:c>
      <x:c r="N44" s="23" t="n">
        <x:v>6</x:v>
      </x:c>
      <x:c r="O44" s="23" t="n">
        <x:v>1</x:v>
      </x:c>
      <x:c r="P44" s="23" t="n">
        <x:v>4</x:v>
      </x:c>
      <x:c r="Q44" s="23" t="n">
        <x:v>5</x:v>
      </x:c>
      <x:c r="R44" s="23" t="n">
        <x:v>10</x:v>
      </x:c>
    </x:row>
    <x:row r="45">
      <x:c r="A45" s="15" t="n">
        <x:v>41395</x:v>
      </x:c>
      <x:c r="B45" s="23" t="n">
        <x:v>1</x:v>
      </x:c>
      <x:c r="C45" s="23" t="n">
        <x:v>5</x:v>
      </x:c>
      <x:c r="D45" s="23" t="n">
        <x:v>1</x:v>
      </x:c>
      <x:c r="E45" s="23"/>
      <x:c r="F45" s="23" t="n">
        <x:v>4</x:v>
      </x:c>
      <x:c r="G45" s="23" t="n">
        <x:v>4</x:v>
      </x:c>
      <x:c r="H45" s="23" t="n">
        <x:v>2</x:v>
      </x:c>
      <x:c r="I45" s="23" t="n">
        <x:v>6</x:v>
      </x:c>
      <x:c r="J45" s="23" t="n">
        <x:v>2</x:v>
      </x:c>
      <x:c r="K45" s="23" t="n">
        <x:v>8</x:v>
      </x:c>
      <x:c r="L45" s="23" t="n">
        <x:v>4</x:v>
      </x:c>
      <x:c r="M45" s="23" t="n">
        <x:v>3</x:v>
      </x:c>
      <x:c r="N45" s="23" t="n">
        <x:v>6</x:v>
      </x:c>
      <x:c r="O45" s="23" t="n">
        <x:v>1</x:v>
      </x:c>
      <x:c r="P45" s="23" t="n">
        <x:v>4</x:v>
      </x:c>
      <x:c r="Q45" s="23" t="n">
        <x:v>5</x:v>
      </x:c>
      <x:c r="R45" s="23" t="n">
        <x:v>10</x:v>
      </x:c>
    </x:row>
    <x:row r="46">
      <x:c r="A46" s="15" t="n">
        <x:v>41426</x:v>
      </x:c>
      <x:c r="B46" s="23" t="n">
        <x:v>1</x:v>
      </x:c>
      <x:c r="C46" s="23" t="n">
        <x:v>5</x:v>
      </x:c>
      <x:c r="D46" s="23" t="n">
        <x:v>1</x:v>
      </x:c>
      <x:c r="E46" s="23"/>
      <x:c r="F46" s="23" t="n">
        <x:v>4</x:v>
      </x:c>
      <x:c r="G46" s="23" t="n">
        <x:v>4</x:v>
      </x:c>
      <x:c r="H46" s="23" t="n">
        <x:v>2</x:v>
      </x:c>
      <x:c r="I46" s="23" t="n">
        <x:v>6</x:v>
      </x:c>
      <x:c r="J46" s="23" t="n">
        <x:v>2</x:v>
      </x:c>
      <x:c r="K46" s="23" t="n">
        <x:v>8</x:v>
      </x:c>
      <x:c r="L46" s="23" t="n">
        <x:v>4</x:v>
      </x:c>
      <x:c r="M46" s="23" t="n">
        <x:v>3</x:v>
      </x:c>
      <x:c r="N46" s="23" t="n">
        <x:v>6</x:v>
      </x:c>
      <x:c r="O46" s="23" t="n">
        <x:v>1</x:v>
      </x:c>
      <x:c r="P46" s="23" t="n">
        <x:v>4</x:v>
      </x:c>
      <x:c r="Q46" s="23" t="n">
        <x:v>5</x:v>
      </x:c>
      <x:c r="R46" s="23" t="n">
        <x:v>10</x:v>
      </x:c>
    </x:row>
    <x:row r="47">
      <x:c r="A47" s="15" t="n">
        <x:v>41456</x:v>
      </x:c>
      <x:c r="B47" s="23" t="n">
        <x:v>1</x:v>
      </x:c>
      <x:c r="C47" s="23" t="n">
        <x:v>5</x:v>
      </x:c>
      <x:c r="D47" s="23" t="n">
        <x:v>1</x:v>
      </x:c>
      <x:c r="E47" s="23"/>
      <x:c r="F47" s="23" t="n">
        <x:v>4</x:v>
      </x:c>
      <x:c r="G47" s="23" t="n">
        <x:v>4</x:v>
      </x:c>
      <x:c r="H47" s="23" t="n">
        <x:v>2</x:v>
      </x:c>
      <x:c r="I47" s="23" t="n">
        <x:v>6</x:v>
      </x:c>
      <x:c r="J47" s="23" t="n">
        <x:v>2</x:v>
      </x:c>
      <x:c r="K47" s="23" t="n">
        <x:v>8</x:v>
      </x:c>
      <x:c r="L47" s="23" t="n">
        <x:v>4</x:v>
      </x:c>
      <x:c r="M47" s="23" t="n">
        <x:v>3</x:v>
      </x:c>
      <x:c r="N47" s="23" t="n">
        <x:v>6</x:v>
      </x:c>
      <x:c r="O47" s="23" t="n">
        <x:v>1</x:v>
      </x:c>
      <x:c r="P47" s="23" t="n">
        <x:v>4</x:v>
      </x:c>
      <x:c r="Q47" s="23" t="n">
        <x:v>5</x:v>
      </x:c>
      <x:c r="R47" s="23" t="n">
        <x:v>10</x:v>
      </x:c>
    </x:row>
    <x:row r="48">
      <x:c r="A48" s="15" t="n">
        <x:v>41487</x:v>
      </x:c>
      <x:c r="B48" s="23" t="n">
        <x:v>1</x:v>
      </x:c>
      <x:c r="C48" s="23" t="n">
        <x:v>5</x:v>
      </x:c>
      <x:c r="D48" s="23" t="n">
        <x:v>1</x:v>
      </x:c>
      <x:c r="E48" s="23"/>
      <x:c r="F48" s="23" t="n">
        <x:v>4</x:v>
      </x:c>
      <x:c r="G48" s="23" t="n">
        <x:v>4</x:v>
      </x:c>
      <x:c r="H48" s="23" t="n">
        <x:v>2</x:v>
      </x:c>
      <x:c r="I48" s="23" t="n">
        <x:v>6</x:v>
      </x:c>
      <x:c r="J48" s="23" t="n">
        <x:v>2</x:v>
      </x:c>
      <x:c r="K48" s="23" t="n">
        <x:v>8</x:v>
      </x:c>
      <x:c r="L48" s="23" t="n">
        <x:v>5</x:v>
      </x:c>
      <x:c r="M48" s="23" t="n">
        <x:v>3</x:v>
      </x:c>
      <x:c r="N48" s="23" t="n">
        <x:v>6</x:v>
      </x:c>
      <x:c r="O48" s="23" t="n">
        <x:v>1</x:v>
      </x:c>
      <x:c r="P48" s="23" t="n">
        <x:v>4</x:v>
      </x:c>
      <x:c r="Q48" s="23" t="n">
        <x:v>5</x:v>
      </x:c>
      <x:c r="R48" s="23" t="n">
        <x:v>10</x:v>
      </x:c>
    </x:row>
    <x:row r="49">
      <x:c r="A49" s="15" t="n">
        <x:v>41518</x:v>
      </x:c>
      <x:c r="B49" s="23" t="n">
        <x:v>1</x:v>
      </x:c>
      <x:c r="C49" s="23" t="n">
        <x:v>5</x:v>
      </x:c>
      <x:c r="D49" s="23" t="n">
        <x:v>1</x:v>
      </x:c>
      <x:c r="E49" s="23" t="n">
        <x:v>2</x:v>
      </x:c>
      <x:c r="F49" s="23" t="n">
        <x:v>4</x:v>
      </x:c>
      <x:c r="G49" s="23" t="n">
        <x:v>4</x:v>
      </x:c>
      <x:c r="H49" s="23" t="n">
        <x:v>2</x:v>
      </x:c>
      <x:c r="I49" s="23" t="n">
        <x:v>6</x:v>
      </x:c>
      <x:c r="J49" s="23" t="n">
        <x:v>2</x:v>
      </x:c>
      <x:c r="K49" s="23" t="n">
        <x:v>8</x:v>
      </x:c>
      <x:c r="L49" s="23" t="n">
        <x:v>5</x:v>
      </x:c>
      <x:c r="M49" s="23" t="n">
        <x:v>3</x:v>
      </x:c>
      <x:c r="N49" s="23" t="n">
        <x:v>6</x:v>
      </x:c>
      <x:c r="O49" s="23" t="n">
        <x:v>1</x:v>
      </x:c>
      <x:c r="P49" s="23" t="n">
        <x:v>4</x:v>
      </x:c>
      <x:c r="Q49" s="23" t="n">
        <x:v>5</x:v>
      </x:c>
      <x:c r="R49" s="23" t="n">
        <x:v>10</x:v>
      </x:c>
    </x:row>
    <x:row r="50">
      <x:c r="A50" s="15" t="n">
        <x:v>41548</x:v>
      </x:c>
      <x:c r="B50" s="23" t="n">
        <x:v>1</x:v>
      </x:c>
      <x:c r="C50" s="23" t="n">
        <x:v>5</x:v>
      </x:c>
      <x:c r="D50" s="23" t="n">
        <x:v>1</x:v>
      </x:c>
      <x:c r="E50" s="23" t="n">
        <x:v>2</x:v>
      </x:c>
      <x:c r="F50" s="23" t="n">
        <x:v>4</x:v>
      </x:c>
      <x:c r="G50" s="23" t="n">
        <x:v>4</x:v>
      </x:c>
      <x:c r="H50" s="23" t="n">
        <x:v>2</x:v>
      </x:c>
      <x:c r="I50" s="23" t="n">
        <x:v>6</x:v>
      </x:c>
      <x:c r="J50" s="23" t="n">
        <x:v>2</x:v>
      </x:c>
      <x:c r="K50" s="23" t="n">
        <x:v>8</x:v>
      </x:c>
      <x:c r="L50" s="23" t="n">
        <x:v>5</x:v>
      </x:c>
      <x:c r="M50" s="23" t="n">
        <x:v>3</x:v>
      </x:c>
      <x:c r="N50" s="23" t="n">
        <x:v>6</x:v>
      </x:c>
      <x:c r="O50" s="23" t="n">
        <x:v>1</x:v>
      </x:c>
      <x:c r="P50" s="23" t="n">
        <x:v>4</x:v>
      </x:c>
      <x:c r="Q50" s="23" t="n">
        <x:v>5</x:v>
      </x:c>
      <x:c r="R50" s="23" t="n">
        <x:v>10</x:v>
      </x:c>
    </x:row>
    <x:row r="51">
      <x:c r="A51" s="15" t="n">
        <x:v>41579</x:v>
      </x:c>
      <x:c r="B51" s="23" t="n">
        <x:v>1</x:v>
      </x:c>
      <x:c r="C51" s="23" t="n">
        <x:v>5</x:v>
      </x:c>
      <x:c r="D51" s="23" t="n">
        <x:v>1</x:v>
      </x:c>
      <x:c r="E51" s="23" t="n">
        <x:v>2</x:v>
      </x:c>
      <x:c r="F51" s="23" t="n">
        <x:v>4</x:v>
      </x:c>
      <x:c r="G51" s="23" t="n">
        <x:v>4</x:v>
      </x:c>
      <x:c r="H51" s="23" t="n">
        <x:v>2</x:v>
      </x:c>
      <x:c r="I51" s="23" t="n">
        <x:v>6</x:v>
      </x:c>
      <x:c r="J51" s="23" t="n">
        <x:v>2</x:v>
      </x:c>
      <x:c r="K51" s="23" t="n">
        <x:v>8</x:v>
      </x:c>
      <x:c r="L51" s="23" t="n">
        <x:v>4</x:v>
      </x:c>
      <x:c r="M51" s="23" t="n">
        <x:v>3</x:v>
      </x:c>
      <x:c r="N51" s="23" t="n">
        <x:v>6</x:v>
      </x:c>
      <x:c r="O51" s="23" t="n">
        <x:v>1</x:v>
      </x:c>
      <x:c r="P51" s="23" t="n">
        <x:v>4</x:v>
      </x:c>
      <x:c r="Q51" s="23" t="n">
        <x:v>5</x:v>
      </x:c>
      <x:c r="R51" s="23" t="n">
        <x:v>10</x:v>
      </x:c>
    </x:row>
    <x:row r="52">
      <x:c r="A52" s="15" t="n">
        <x:v>41609</x:v>
      </x:c>
      <x:c r="B52" s="23" t="n">
        <x:v>1</x:v>
      </x:c>
      <x:c r="C52" s="23" t="n">
        <x:v>5</x:v>
      </x:c>
      <x:c r="D52" s="23" t="n">
        <x:v>1</x:v>
      </x:c>
      <x:c r="E52" s="23" t="n">
        <x:v>2</x:v>
      </x:c>
      <x:c r="F52" s="23" t="n">
        <x:v>4</x:v>
      </x:c>
      <x:c r="G52" s="23" t="n">
        <x:v>4</x:v>
      </x:c>
      <x:c r="H52" s="23" t="n">
        <x:v>2</x:v>
      </x:c>
      <x:c r="I52" s="23" t="n">
        <x:v>6</x:v>
      </x:c>
      <x:c r="J52" s="23" t="n">
        <x:v>2</x:v>
      </x:c>
      <x:c r="K52" s="23" t="n">
        <x:v>8</x:v>
      </x:c>
      <x:c r="L52" s="23" t="n">
        <x:v>4</x:v>
      </x:c>
      <x:c r="M52" s="23" t="n">
        <x:v>3</x:v>
      </x:c>
      <x:c r="N52" s="23" t="n">
        <x:v>6</x:v>
      </x:c>
      <x:c r="O52" s="23" t="n">
        <x:v>1</x:v>
      </x:c>
      <x:c r="P52" s="23" t="n">
        <x:v>4</x:v>
      </x:c>
      <x:c r="Q52" s="23" t="n">
        <x:v>5</x:v>
      </x:c>
      <x:c r="R52" s="23" t="n">
        <x:v>10</x:v>
      </x:c>
    </x:row>
    <x:row r="53">
      <x:c r="A53" s="15" t="n">
        <x:v>41640</x:v>
      </x:c>
      <x:c r="B53" s="23"/>
      <x:c r="C53" s="23" t="n">
        <x:v>5</x:v>
      </x:c>
      <x:c r="D53" s="23" t="n">
        <x:v>1</x:v>
      </x:c>
      <x:c r="E53" s="23" t="n">
        <x:v>3</x:v>
      </x:c>
      <x:c r="F53" s="23" t="n">
        <x:v>5</x:v>
      </x:c>
      <x:c r="G53" s="23" t="n">
        <x:v>4</x:v>
      </x:c>
      <x:c r="H53" s="23" t="n">
        <x:v>3</x:v>
      </x:c>
      <x:c r="I53" s="23" t="n">
        <x:v>7</x:v>
      </x:c>
      <x:c r="J53" s="23" t="n">
        <x:v>2</x:v>
      </x:c>
      <x:c r="K53" s="23" t="n">
        <x:v>6</x:v>
      </x:c>
      <x:c r="L53" s="23" t="n">
        <x:v>4</x:v>
      </x:c>
      <x:c r="M53" s="23" t="n">
        <x:v>3</x:v>
      </x:c>
      <x:c r="N53" s="23" t="n">
        <x:v>5</x:v>
      </x:c>
      <x:c r="O53" s="23" t="n">
        <x:v>1</x:v>
      </x:c>
      <x:c r="P53" s="23" t="n">
        <x:v>3</x:v>
      </x:c>
      <x:c r="Q53" s="23" t="n">
        <x:v>6</x:v>
      </x:c>
      <x:c r="R53" s="23" t="n">
        <x:v>10</x:v>
      </x:c>
    </x:row>
    <x:row r="54">
      <x:c r="A54" s="15" t="n">
        <x:v>41671</x:v>
      </x:c>
      <x:c r="B54" s="23"/>
      <x:c r="C54" s="23" t="n">
        <x:v>5</x:v>
      </x:c>
      <x:c r="D54" s="23" t="n">
        <x:v>1</x:v>
      </x:c>
      <x:c r="E54" s="23" t="n">
        <x:v>3</x:v>
      </x:c>
      <x:c r="F54" s="23" t="n">
        <x:v>5</x:v>
      </x:c>
      <x:c r="G54" s="23" t="n">
        <x:v>4</x:v>
      </x:c>
      <x:c r="H54" s="23" t="n">
        <x:v>3</x:v>
      </x:c>
      <x:c r="I54" s="23" t="n">
        <x:v>7</x:v>
      </x:c>
      <x:c r="J54" s="23" t="n">
        <x:v>2</x:v>
      </x:c>
      <x:c r="K54" s="23" t="n">
        <x:v>6</x:v>
      </x:c>
      <x:c r="L54" s="23" t="n">
        <x:v>4</x:v>
      </x:c>
      <x:c r="M54" s="23" t="n">
        <x:v>4</x:v>
      </x:c>
      <x:c r="N54" s="23" t="n">
        <x:v>5</x:v>
      </x:c>
      <x:c r="O54" s="23" t="n">
        <x:v>1</x:v>
      </x:c>
      <x:c r="P54" s="23" t="n">
        <x:v>3</x:v>
      </x:c>
      <x:c r="Q54" s="23" t="n">
        <x:v>6</x:v>
      </x:c>
      <x:c r="R54" s="23" t="n">
        <x:v>8</x:v>
      </x:c>
    </x:row>
    <x:row r="55">
      <x:c r="A55" s="15" t="n">
        <x:v>41699</x:v>
      </x:c>
      <x:c r="B55" s="23"/>
      <x:c r="C55" s="23" t="n">
        <x:v>5</x:v>
      </x:c>
      <x:c r="D55" s="23" t="n">
        <x:v>1</x:v>
      </x:c>
      <x:c r="E55" s="23" t="n">
        <x:v>3</x:v>
      </x:c>
      <x:c r="F55" s="23" t="n">
        <x:v>5</x:v>
      </x:c>
      <x:c r="G55" s="23" t="n">
        <x:v>4</x:v>
      </x:c>
      <x:c r="H55" s="23" t="n">
        <x:v>3</x:v>
      </x:c>
      <x:c r="I55" s="23" t="n">
        <x:v>7</x:v>
      </x:c>
      <x:c r="J55" s="23" t="n">
        <x:v>2</x:v>
      </x:c>
      <x:c r="K55" s="23" t="n">
        <x:v>5</x:v>
      </x:c>
      <x:c r="L55" s="23" t="n">
        <x:v>4</x:v>
      </x:c>
      <x:c r="M55" s="23" t="n">
        <x:v>4</x:v>
      </x:c>
      <x:c r="N55" s="23" t="n">
        <x:v>5</x:v>
      </x:c>
      <x:c r="O55" s="23" t="n">
        <x:v>1</x:v>
      </x:c>
      <x:c r="P55" s="23" t="n">
        <x:v>3</x:v>
      </x:c>
      <x:c r="Q55" s="23" t="n">
        <x:v>6</x:v>
      </x:c>
      <x:c r="R55" s="23" t="n">
        <x:v>8</x:v>
      </x:c>
    </x:row>
    <x:row r="56">
      <x:c r="A56" s="15" t="n">
        <x:v>41730</x:v>
      </x:c>
      <x:c r="B56" s="23"/>
      <x:c r="C56" s="23" t="n">
        <x:v>5</x:v>
      </x:c>
      <x:c r="D56" s="23" t="n">
        <x:v>1</x:v>
      </x:c>
      <x:c r="E56" s="23" t="n">
        <x:v>3</x:v>
      </x:c>
      <x:c r="F56" s="23" t="n">
        <x:v>5</x:v>
      </x:c>
      <x:c r="G56" s="23" t="n">
        <x:v>4</x:v>
      </x:c>
      <x:c r="H56" s="23" t="n">
        <x:v>3</x:v>
      </x:c>
      <x:c r="I56" s="23" t="n">
        <x:v>6</x:v>
      </x:c>
      <x:c r="J56" s="23" t="n">
        <x:v>2</x:v>
      </x:c>
      <x:c r="K56" s="23" t="n">
        <x:v>6</x:v>
      </x:c>
      <x:c r="L56" s="23" t="n">
        <x:v>4</x:v>
      </x:c>
      <x:c r="M56" s="23" t="n">
        <x:v>4</x:v>
      </x:c>
      <x:c r="N56" s="23" t="n">
        <x:v>5</x:v>
      </x:c>
      <x:c r="O56" s="23" t="n">
        <x:v>1</x:v>
      </x:c>
      <x:c r="P56" s="23" t="n">
        <x:v>3</x:v>
      </x:c>
      <x:c r="Q56" s="23" t="n">
        <x:v>6</x:v>
      </x:c>
      <x:c r="R56" s="23" t="n">
        <x:v>8</x:v>
      </x:c>
    </x:row>
    <x:row r="57">
      <x:c r="A57" s="15" t="n">
        <x:v>41760</x:v>
      </x:c>
      <x:c r="B57" s="23"/>
      <x:c r="C57" s="23" t="n">
        <x:v>5</x:v>
      </x:c>
      <x:c r="D57" s="23" t="n">
        <x:v>1</x:v>
      </x:c>
      <x:c r="E57" s="23" t="n">
        <x:v>3</x:v>
      </x:c>
      <x:c r="F57" s="23" t="n">
        <x:v>5</x:v>
      </x:c>
      <x:c r="G57" s="23" t="n">
        <x:v>4</x:v>
      </x:c>
      <x:c r="H57" s="23" t="n">
        <x:v>2</x:v>
      </x:c>
      <x:c r="I57" s="23" t="n">
        <x:v>7</x:v>
      </x:c>
      <x:c r="J57" s="23" t="n">
        <x:v>2</x:v>
      </x:c>
      <x:c r="K57" s="23" t="n">
        <x:v>7</x:v>
      </x:c>
      <x:c r="L57" s="23" t="n">
        <x:v>4</x:v>
      </x:c>
      <x:c r="M57" s="23" t="n">
        <x:v>4</x:v>
      </x:c>
      <x:c r="N57" s="23" t="n">
        <x:v>5</x:v>
      </x:c>
      <x:c r="O57" s="23" t="n">
        <x:v>1</x:v>
      </x:c>
      <x:c r="P57" s="23" t="n">
        <x:v>3</x:v>
      </x:c>
      <x:c r="Q57" s="23" t="n">
        <x:v>5</x:v>
      </x:c>
      <x:c r="R57" s="23" t="n">
        <x:v>10</x:v>
      </x:c>
    </x:row>
    <x:row r="58">
      <x:c r="A58" s="15" t="n">
        <x:v>41791</x:v>
      </x:c>
      <x:c r="B58" s="23"/>
      <x:c r="C58" s="23" t="n">
        <x:v>5</x:v>
      </x:c>
      <x:c r="D58" s="23" t="n">
        <x:v>1</x:v>
      </x:c>
      <x:c r="E58" s="23" t="n">
        <x:v>3</x:v>
      </x:c>
      <x:c r="F58" s="23" t="n">
        <x:v>5</x:v>
      </x:c>
      <x:c r="G58" s="23" t="n">
        <x:v>4</x:v>
      </x:c>
      <x:c r="H58" s="23" t="n">
        <x:v>2</x:v>
      </x:c>
      <x:c r="I58" s="23" t="n">
        <x:v>6</x:v>
      </x:c>
      <x:c r="J58" s="23" t="n">
        <x:v>2</x:v>
      </x:c>
      <x:c r="K58" s="23" t="n">
        <x:v>7</x:v>
      </x:c>
      <x:c r="L58" s="23" t="n">
        <x:v>4</x:v>
      </x:c>
      <x:c r="M58" s="23" t="n">
        <x:v>4</x:v>
      </x:c>
      <x:c r="N58" s="23" t="n">
        <x:v>5</x:v>
      </x:c>
      <x:c r="O58" s="23" t="n">
        <x:v>1</x:v>
      </x:c>
      <x:c r="P58" s="23" t="n">
        <x:v>3</x:v>
      </x:c>
      <x:c r="Q58" s="23" t="n">
        <x:v>5</x:v>
      </x:c>
      <x:c r="R58" s="23" t="n">
        <x:v>10</x:v>
      </x:c>
    </x:row>
    <x:row r="59">
      <x:c r="A59" s="15" t="n">
        <x:v>41821</x:v>
      </x:c>
      <x:c r="B59" s="23"/>
      <x:c r="C59" s="23" t="n">
        <x:v>5</x:v>
      </x:c>
      <x:c r="D59" s="23" t="n">
        <x:v>1</x:v>
      </x:c>
      <x:c r="E59" s="23" t="n">
        <x:v>2</x:v>
      </x:c>
      <x:c r="F59" s="23" t="n">
        <x:v>5</x:v>
      </x:c>
      <x:c r="G59" s="23" t="n">
        <x:v>4</x:v>
      </x:c>
      <x:c r="H59" s="23" t="n">
        <x:v>2</x:v>
      </x:c>
      <x:c r="I59" s="23" t="n">
        <x:v>7</x:v>
      </x:c>
      <x:c r="J59" s="23" t="n">
        <x:v>2</x:v>
      </x:c>
      <x:c r="K59" s="23" t="n">
        <x:v>7</x:v>
      </x:c>
      <x:c r="L59" s="23" t="n">
        <x:v>4</x:v>
      </x:c>
      <x:c r="M59" s="23" t="n">
        <x:v>4</x:v>
      </x:c>
      <x:c r="N59" s="23" t="n">
        <x:v>5</x:v>
      </x:c>
      <x:c r="O59" s="23" t="n">
        <x:v>1</x:v>
      </x:c>
      <x:c r="P59" s="23" t="n">
        <x:v>3</x:v>
      </x:c>
      <x:c r="Q59" s="23" t="n">
        <x:v>5</x:v>
      </x:c>
      <x:c r="R59" s="23" t="n">
        <x:v>10</x:v>
      </x:c>
    </x:row>
    <x:row r="60">
      <x:c r="A60" s="15" t="n">
        <x:v>41852</x:v>
      </x:c>
      <x:c r="B60" s="23"/>
      <x:c r="C60" s="23" t="n">
        <x:v>5</x:v>
      </x:c>
      <x:c r="D60" s="23" t="n">
        <x:v>1</x:v>
      </x:c>
      <x:c r="E60" s="23" t="n">
        <x:v>2</x:v>
      </x:c>
      <x:c r="F60" s="23" t="n">
        <x:v>5</x:v>
      </x:c>
      <x:c r="G60" s="23" t="n">
        <x:v>4</x:v>
      </x:c>
      <x:c r="H60" s="23" t="n">
        <x:v>2</x:v>
      </x:c>
      <x:c r="I60" s="23" t="n">
        <x:v>7</x:v>
      </x:c>
      <x:c r="J60" s="23" t="n">
        <x:v>2</x:v>
      </x:c>
      <x:c r="K60" s="23" t="n">
        <x:v>7</x:v>
      </x:c>
      <x:c r="L60" s="23" t="n">
        <x:v>4</x:v>
      </x:c>
      <x:c r="M60" s="23" t="n">
        <x:v>4</x:v>
      </x:c>
      <x:c r="N60" s="23" t="n">
        <x:v>5</x:v>
      </x:c>
      <x:c r="O60" s="23" t="n">
        <x:v>1</x:v>
      </x:c>
      <x:c r="P60" s="23" t="n">
        <x:v>3</x:v>
      </x:c>
      <x:c r="Q60" s="23" t="n">
        <x:v>5</x:v>
      </x:c>
      <x:c r="R60" s="23" t="n">
        <x:v>10</x:v>
      </x:c>
    </x:row>
    <x:row r="61">
      <x:c r="A61" s="15" t="n">
        <x:v>41883</x:v>
      </x:c>
      <x:c r="B61" s="23"/>
      <x:c r="C61" s="23" t="n">
        <x:v>5</x:v>
      </x:c>
      <x:c r="D61" s="23" t="n">
        <x:v>2</x:v>
      </x:c>
      <x:c r="E61" s="23" t="n">
        <x:v>2</x:v>
      </x:c>
      <x:c r="F61" s="23" t="n">
        <x:v>5</x:v>
      </x:c>
      <x:c r="G61" s="23" t="n">
        <x:v>4</x:v>
      </x:c>
      <x:c r="H61" s="23" t="n">
        <x:v>2</x:v>
      </x:c>
      <x:c r="I61" s="23" t="n">
        <x:v>6</x:v>
      </x:c>
      <x:c r="J61" s="23" t="n">
        <x:v>2</x:v>
      </x:c>
      <x:c r="K61" s="23" t="n">
        <x:v>6</x:v>
      </x:c>
      <x:c r="L61" s="23" t="n">
        <x:v>4</x:v>
      </x:c>
      <x:c r="M61" s="23" t="n">
        <x:v>4</x:v>
      </x:c>
      <x:c r="N61" s="23" t="n">
        <x:v>5</x:v>
      </x:c>
      <x:c r="O61" s="23" t="n">
        <x:v>1</x:v>
      </x:c>
      <x:c r="P61" s="23" t="n">
        <x:v>3</x:v>
      </x:c>
      <x:c r="Q61" s="23" t="n">
        <x:v>5</x:v>
      </x:c>
      <x:c r="R61" s="23" t="n">
        <x:v>10</x:v>
      </x:c>
    </x:row>
    <x:row r="62">
      <x:c r="A62" s="15" t="n">
        <x:v>41913</x:v>
      </x:c>
      <x:c r="B62" s="23"/>
      <x:c r="C62" s="23" t="n">
        <x:v>5</x:v>
      </x:c>
      <x:c r="D62" s="23" t="n">
        <x:v>2</x:v>
      </x:c>
      <x:c r="E62" s="23" t="n">
        <x:v>2</x:v>
      </x:c>
      <x:c r="F62" s="23" t="n">
        <x:v>5</x:v>
      </x:c>
      <x:c r="G62" s="23" t="n">
        <x:v>4</x:v>
      </x:c>
      <x:c r="H62" s="23" t="n">
        <x:v>2</x:v>
      </x:c>
      <x:c r="I62" s="23" t="n">
        <x:v>6</x:v>
      </x:c>
      <x:c r="J62" s="23" t="n">
        <x:v>2</x:v>
      </x:c>
      <x:c r="K62" s="23" t="n">
        <x:v>6</x:v>
      </x:c>
      <x:c r="L62" s="23" t="n">
        <x:v>4</x:v>
      </x:c>
      <x:c r="M62" s="23" t="n">
        <x:v>4</x:v>
      </x:c>
      <x:c r="N62" s="23" t="n">
        <x:v>5</x:v>
      </x:c>
      <x:c r="O62" s="23" t="n">
        <x:v>1</x:v>
      </x:c>
      <x:c r="P62" s="23" t="n">
        <x:v>3</x:v>
      </x:c>
      <x:c r="Q62" s="23" t="n">
        <x:v>6</x:v>
      </x:c>
      <x:c r="R62" s="23" t="n">
        <x:v>10</x:v>
      </x:c>
    </x:row>
    <x:row r="63">
      <x:c r="A63" s="15" t="n">
        <x:v>41944</x:v>
      </x:c>
      <x:c r="B63" s="23"/>
      <x:c r="C63" s="23" t="n">
        <x:v>5</x:v>
      </x:c>
      <x:c r="D63" s="23" t="n">
        <x:v>2</x:v>
      </x:c>
      <x:c r="E63" s="23" t="n">
        <x:v>2</x:v>
      </x:c>
      <x:c r="F63" s="23" t="n">
        <x:v>5</x:v>
      </x:c>
      <x:c r="G63" s="23" t="n">
        <x:v>4</x:v>
      </x:c>
      <x:c r="H63" s="23" t="n">
        <x:v>2</x:v>
      </x:c>
      <x:c r="I63" s="23" t="n">
        <x:v>6</x:v>
      </x:c>
      <x:c r="J63" s="23" t="n">
        <x:v>2</x:v>
      </x:c>
      <x:c r="K63" s="23" t="n">
        <x:v>6</x:v>
      </x:c>
      <x:c r="L63" s="23" t="n">
        <x:v>4</x:v>
      </x:c>
      <x:c r="M63" s="23" t="n">
        <x:v>4</x:v>
      </x:c>
      <x:c r="N63" s="23" t="n">
        <x:v>5</x:v>
      </x:c>
      <x:c r="O63" s="23" t="n">
        <x:v>1</x:v>
      </x:c>
      <x:c r="P63" s="23" t="n">
        <x:v>3</x:v>
      </x:c>
      <x:c r="Q63" s="23" t="n">
        <x:v>6</x:v>
      </x:c>
      <x:c r="R63" s="23" t="n">
        <x:v>10</x:v>
      </x:c>
    </x:row>
    <x:row r="64">
      <x:c r="A64" s="15" t="n">
        <x:v>41974</x:v>
      </x:c>
      <x:c r="B64" s="23"/>
      <x:c r="C64" s="23" t="n">
        <x:v>5</x:v>
      </x:c>
      <x:c r="D64" s="23" t="n">
        <x:v>2</x:v>
      </x:c>
      <x:c r="E64" s="23" t="n">
        <x:v>2</x:v>
      </x:c>
      <x:c r="F64" s="23" t="n">
        <x:v>5</x:v>
      </x:c>
      <x:c r="G64" s="23" t="n">
        <x:v>4</x:v>
      </x:c>
      <x:c r="H64" s="23" t="n">
        <x:v>2</x:v>
      </x:c>
      <x:c r="I64" s="23" t="n">
        <x:v>6</x:v>
      </x:c>
      <x:c r="J64" s="23" t="n">
        <x:v>2</x:v>
      </x:c>
      <x:c r="K64" s="23" t="n">
        <x:v>6</x:v>
      </x:c>
      <x:c r="L64" s="23" t="n">
        <x:v>4</x:v>
      </x:c>
      <x:c r="M64" s="23" t="n">
        <x:v>4</x:v>
      </x:c>
      <x:c r="N64" s="23" t="n">
        <x:v>5</x:v>
      </x:c>
      <x:c r="O64" s="23" t="n">
        <x:v>1</x:v>
      </x:c>
      <x:c r="P64" s="23" t="n">
        <x:v>3</x:v>
      </x:c>
      <x:c r="Q64" s="23" t="n">
        <x:v>6</x:v>
      </x:c>
      <x:c r="R64" s="23" t="n">
        <x:v>10</x:v>
      </x:c>
    </x:row>
    <x:row r="65">
      <x:c r="A65" s="15" t="n">
        <x:v>42005</x:v>
      </x:c>
      <x:c r="B65" s="23"/>
      <x:c r="C65" s="23" t="n">
        <x:v>5</x:v>
      </x:c>
      <x:c r="D65" s="23" t="n">
        <x:v>2</x:v>
      </x:c>
      <x:c r="E65" s="23" t="n">
        <x:v>2</x:v>
      </x:c>
      <x:c r="F65" s="23" t="n">
        <x:v>5</x:v>
      </x:c>
      <x:c r="G65" s="23" t="n">
        <x:v>4</x:v>
      </x:c>
      <x:c r="H65" s="23" t="n">
        <x:v>2</x:v>
      </x:c>
      <x:c r="I65" s="23" t="n">
        <x:v>5</x:v>
      </x:c>
      <x:c r="J65" s="23" t="n">
        <x:v>3</x:v>
      </x:c>
      <x:c r="K65" s="23" t="n">
        <x:v>6</x:v>
      </x:c>
      <x:c r="L65" s="23" t="n">
        <x:v>4</x:v>
      </x:c>
      <x:c r="M65" s="23" t="n">
        <x:v>4</x:v>
      </x:c>
      <x:c r="N65" s="23" t="n">
        <x:v>5</x:v>
      </x:c>
      <x:c r="O65" s="23" t="n">
        <x:v>1</x:v>
      </x:c>
      <x:c r="P65" s="23" t="n">
        <x:v>3</x:v>
      </x:c>
      <x:c r="Q65" s="23" t="n">
        <x:v>5</x:v>
      </x:c>
      <x:c r="R65" s="23" t="n">
        <x:v>9</x:v>
      </x:c>
    </x:row>
    <x:row r="66">
      <x:c r="A66" s="15" t="n">
        <x:v>42036</x:v>
      </x:c>
      <x:c r="B66" s="23"/>
      <x:c r="C66" s="23" t="n">
        <x:v>5</x:v>
      </x:c>
      <x:c r="D66" s="23" t="n">
        <x:v>2</x:v>
      </x:c>
      <x:c r="E66" s="23" t="n">
        <x:v>2</x:v>
      </x:c>
      <x:c r="F66" s="23" t="n">
        <x:v>5</x:v>
      </x:c>
      <x:c r="G66" s="23" t="n">
        <x:v>4</x:v>
      </x:c>
      <x:c r="H66" s="23" t="n">
        <x:v>2</x:v>
      </x:c>
      <x:c r="I66" s="23" t="n">
        <x:v>5</x:v>
      </x:c>
      <x:c r="J66" s="23" t="n">
        <x:v>3</x:v>
      </x:c>
      <x:c r="K66" s="23" t="n">
        <x:v>6</x:v>
      </x:c>
      <x:c r="L66" s="23" t="n">
        <x:v>4</x:v>
      </x:c>
      <x:c r="M66" s="23" t="n">
        <x:v>4</x:v>
      </x:c>
      <x:c r="N66" s="23" t="n">
        <x:v>5</x:v>
      </x:c>
      <x:c r="O66" s="23" t="n">
        <x:v>1</x:v>
      </x:c>
      <x:c r="P66" s="23" t="n">
        <x:v>3</x:v>
      </x:c>
      <x:c r="Q66" s="23" t="n">
        <x:v>5</x:v>
      </x:c>
      <x:c r="R66" s="23" t="n">
        <x:v>9</x:v>
      </x:c>
    </x:row>
    <x:row r="67">
      <x:c r="A67" s="15" t="n">
        <x:v>42064</x:v>
      </x:c>
      <x:c r="B67" s="23"/>
      <x:c r="C67" s="23" t="n">
        <x:v>5</x:v>
      </x:c>
      <x:c r="D67" s="23" t="n">
        <x:v>2</x:v>
      </x:c>
      <x:c r="E67" s="23" t="n">
        <x:v>2</x:v>
      </x:c>
      <x:c r="F67" s="23" t="n">
        <x:v>5</x:v>
      </x:c>
      <x:c r="G67" s="23" t="n">
        <x:v>4</x:v>
      </x:c>
      <x:c r="H67" s="23" t="n">
        <x:v>2</x:v>
      </x:c>
      <x:c r="I67" s="23" t="n">
        <x:v>5</x:v>
      </x:c>
      <x:c r="J67" s="23" t="n">
        <x:v>3</x:v>
      </x:c>
      <x:c r="K67" s="23" t="n">
        <x:v>4</x:v>
      </x:c>
      <x:c r="L67" s="23" t="n">
        <x:v>4</x:v>
      </x:c>
      <x:c r="M67" s="23" t="n">
        <x:v>4</x:v>
      </x:c>
      <x:c r="N67" s="23" t="n">
        <x:v>5</x:v>
      </x:c>
      <x:c r="O67" s="23" t="n">
        <x:v>1</x:v>
      </x:c>
      <x:c r="P67" s="23" t="n">
        <x:v>3</x:v>
      </x:c>
      <x:c r="Q67" s="23" t="n">
        <x:v>5</x:v>
      </x:c>
      <x:c r="R67" s="23" t="n">
        <x:v>9</x:v>
      </x:c>
    </x:row>
    <x:row r="68">
      <x:c r="A68" s="15" t="n">
        <x:v>42095</x:v>
      </x:c>
      <x:c r="B68" s="23"/>
      <x:c r="C68" s="23" t="n">
        <x:v>5</x:v>
      </x:c>
      <x:c r="D68" s="23" t="n">
        <x:v>2</x:v>
      </x:c>
      <x:c r="E68" s="23" t="n">
        <x:v>2</x:v>
      </x:c>
      <x:c r="F68" s="23" t="n">
        <x:v>5</x:v>
      </x:c>
      <x:c r="G68" s="23" t="n">
        <x:v>4</x:v>
      </x:c>
      <x:c r="H68" s="23" t="n">
        <x:v>2</x:v>
      </x:c>
      <x:c r="I68" s="23" t="n">
        <x:v>5</x:v>
      </x:c>
      <x:c r="J68" s="23" t="n">
        <x:v>3</x:v>
      </x:c>
      <x:c r="K68" s="23" t="n">
        <x:v>5</x:v>
      </x:c>
      <x:c r="L68" s="23" t="n">
        <x:v>4</x:v>
      </x:c>
      <x:c r="M68" s="23" t="n">
        <x:v>4</x:v>
      </x:c>
      <x:c r="N68" s="23" t="n">
        <x:v>5</x:v>
      </x:c>
      <x:c r="O68" s="23" t="n">
        <x:v>1</x:v>
      </x:c>
      <x:c r="P68" s="23" t="n">
        <x:v>3</x:v>
      </x:c>
      <x:c r="Q68" s="23" t="n">
        <x:v>4</x:v>
      </x:c>
      <x:c r="R68" s="23" t="n">
        <x:v>9</x:v>
      </x:c>
    </x:row>
    <x:row r="69">
      <x:c r="A69" s="15" t="n">
        <x:v>42125</x:v>
      </x:c>
      <x:c r="B69" s="23"/>
      <x:c r="C69" s="23" t="n">
        <x:v>5</x:v>
      </x:c>
      <x:c r="D69" s="23" t="n">
        <x:v>2</x:v>
      </x:c>
      <x:c r="E69" s="23" t="n">
        <x:v>2</x:v>
      </x:c>
      <x:c r="F69" s="23" t="n">
        <x:v>5</x:v>
      </x:c>
      <x:c r="G69" s="23" t="n">
        <x:v>4</x:v>
      </x:c>
      <x:c r="H69" s="23" t="n">
        <x:v>2</x:v>
      </x:c>
      <x:c r="I69" s="23" t="n">
        <x:v>3</x:v>
      </x:c>
      <x:c r="J69" s="23" t="n">
        <x:v>3</x:v>
      </x:c>
      <x:c r="K69" s="23" t="n">
        <x:v>5</x:v>
      </x:c>
      <x:c r="L69" s="23" t="n">
        <x:v>4</x:v>
      </x:c>
      <x:c r="M69" s="23" t="n">
        <x:v>4</x:v>
      </x:c>
      <x:c r="N69" s="23" t="n">
        <x:v>5</x:v>
      </x:c>
      <x:c r="O69" s="23" t="n">
        <x:v>1</x:v>
      </x:c>
      <x:c r="P69" s="23" t="n">
        <x:v>3</x:v>
      </x:c>
      <x:c r="Q69" s="23" t="n">
        <x:v>4</x:v>
      </x:c>
      <x:c r="R69" s="23" t="n">
        <x:v>8</x:v>
      </x:c>
    </x:row>
    <x:row r="70">
      <x:c r="A70" s="15" t="n">
        <x:v>42156</x:v>
      </x:c>
      <x:c r="B70" s="23"/>
      <x:c r="C70" s="23" t="n">
        <x:v>5</x:v>
      </x:c>
      <x:c r="D70" s="23" t="n">
        <x:v>2</x:v>
      </x:c>
      <x:c r="E70" s="23" t="n">
        <x:v>2</x:v>
      </x:c>
      <x:c r="F70" s="23" t="n">
        <x:v>5</x:v>
      </x:c>
      <x:c r="G70" s="23" t="n">
        <x:v>4</x:v>
      </x:c>
      <x:c r="H70" s="23" t="n">
        <x:v>2</x:v>
      </x:c>
      <x:c r="I70" s="23" t="n">
        <x:v>3</x:v>
      </x:c>
      <x:c r="J70" s="23" t="n">
        <x:v>3</x:v>
      </x:c>
      <x:c r="K70" s="23" t="n">
        <x:v>5</x:v>
      </x:c>
      <x:c r="L70" s="23" t="n">
        <x:v>4</x:v>
      </x:c>
      <x:c r="M70" s="23" t="n">
        <x:v>4</x:v>
      </x:c>
      <x:c r="N70" s="23" t="n">
        <x:v>5</x:v>
      </x:c>
      <x:c r="O70" s="23" t="n">
        <x:v>1</x:v>
      </x:c>
      <x:c r="P70" s="23" t="n">
        <x:v>3</x:v>
      </x:c>
      <x:c r="Q70" s="23" t="n">
        <x:v>4</x:v>
      </x:c>
      <x:c r="R70" s="23" t="n">
        <x:v>8</x:v>
      </x:c>
    </x:row>
    <x:row r="71">
      <x:c r="A71" s="15" t="n">
        <x:v>42186</x:v>
      </x:c>
      <x:c r="B71" s="23"/>
      <x:c r="C71" s="23" t="n">
        <x:v>5</x:v>
      </x:c>
      <x:c r="D71" s="23" t="n">
        <x:v>2</x:v>
      </x:c>
      <x:c r="E71" s="23" t="n">
        <x:v>2</x:v>
      </x:c>
      <x:c r="F71" s="23" t="n">
        <x:v>5</x:v>
      </x:c>
      <x:c r="G71" s="23" t="n">
        <x:v>4</x:v>
      </x:c>
      <x:c r="H71" s="23" t="n">
        <x:v>2</x:v>
      </x:c>
      <x:c r="I71" s="23" t="n">
        <x:v>3</x:v>
      </x:c>
      <x:c r="J71" s="23" t="n">
        <x:v>3</x:v>
      </x:c>
      <x:c r="K71" s="23" t="n">
        <x:v>6</x:v>
      </x:c>
      <x:c r="L71" s="23" t="n">
        <x:v>4</x:v>
      </x:c>
      <x:c r="M71" s="23" t="n">
        <x:v>4</x:v>
      </x:c>
      <x:c r="N71" s="23" t="n">
        <x:v>5</x:v>
      </x:c>
      <x:c r="O71" s="23" t="n">
        <x:v>1</x:v>
      </x:c>
      <x:c r="P71" s="23" t="n">
        <x:v>3</x:v>
      </x:c>
      <x:c r="Q71" s="23" t="n">
        <x:v>4</x:v>
      </x:c>
      <x:c r="R71" s="23" t="n">
        <x:v>8</x:v>
      </x:c>
    </x:row>
    <x:row r="72">
      <x:c r="A72" s="15" t="n">
        <x:v>42217</x:v>
      </x:c>
      <x:c r="B72" s="23"/>
      <x:c r="C72" s="23" t="n">
        <x:v>5</x:v>
      </x:c>
      <x:c r="D72" s="23" t="n">
        <x:v>2</x:v>
      </x:c>
      <x:c r="E72" s="23" t="n">
        <x:v>2</x:v>
      </x:c>
      <x:c r="F72" s="23" t="n">
        <x:v>5</x:v>
      </x:c>
      <x:c r="G72" s="23" t="n">
        <x:v>4</x:v>
      </x:c>
      <x:c r="H72" s="23" t="n">
        <x:v>2</x:v>
      </x:c>
      <x:c r="I72" s="23" t="n">
        <x:v>3</x:v>
      </x:c>
      <x:c r="J72" s="23" t="n">
        <x:v>3</x:v>
      </x:c>
      <x:c r="K72" s="23" t="n">
        <x:v>6</x:v>
      </x:c>
      <x:c r="L72" s="23" t="n">
        <x:v>4</x:v>
      </x:c>
      <x:c r="M72" s="23" t="n">
        <x:v>4</x:v>
      </x:c>
      <x:c r="N72" s="23" t="n">
        <x:v>5</x:v>
      </x:c>
      <x:c r="O72" s="23" t="n">
        <x:v>1</x:v>
      </x:c>
      <x:c r="P72" s="23" t="n">
        <x:v>3</x:v>
      </x:c>
      <x:c r="Q72" s="23" t="n">
        <x:v>4</x:v>
      </x:c>
      <x:c r="R72" s="23" t="n">
        <x:v>8</x:v>
      </x:c>
    </x:row>
    <x:row r="73">
      <x:c r="A73" s="15" t="n">
        <x:v>42248</x:v>
      </x:c>
      <x:c r="B73" s="23"/>
      <x:c r="C73" s="23" t="n">
        <x:v>5</x:v>
      </x:c>
      <x:c r="D73" s="23" t="n">
        <x:v>1</x:v>
      </x:c>
      <x:c r="E73" s="23" t="n">
        <x:v>2</x:v>
      </x:c>
      <x:c r="F73" s="23" t="n">
        <x:v>5</x:v>
      </x:c>
      <x:c r="G73" s="23" t="n">
        <x:v>4</x:v>
      </x:c>
      <x:c r="H73" s="23" t="n">
        <x:v>2</x:v>
      </x:c>
      <x:c r="I73" s="23" t="n">
        <x:v>2</x:v>
      </x:c>
      <x:c r="J73" s="23" t="n">
        <x:v>3</x:v>
      </x:c>
      <x:c r="K73" s="23" t="n">
        <x:v>6</x:v>
      </x:c>
      <x:c r="L73" s="23" t="n">
        <x:v>4</x:v>
      </x:c>
      <x:c r="M73" s="23" t="n">
        <x:v>3</x:v>
      </x:c>
      <x:c r="N73" s="23" t="n">
        <x:v>6</x:v>
      </x:c>
      <x:c r="O73" s="23" t="n">
        <x:v>1</x:v>
      </x:c>
      <x:c r="P73" s="23" t="n">
        <x:v>3</x:v>
      </x:c>
      <x:c r="Q73" s="23" t="n">
        <x:v>4</x:v>
      </x:c>
      <x:c r="R73" s="23" t="n">
        <x:v>8</x:v>
      </x:c>
    </x:row>
    <x:row r="74">
      <x:c r="A74" s="15" t="n">
        <x:v>42278</x:v>
      </x:c>
      <x:c r="B74" s="23"/>
      <x:c r="C74" s="23" t="n">
        <x:v>5</x:v>
      </x:c>
      <x:c r="D74" s="23" t="n">
        <x:v>1</x:v>
      </x:c>
      <x:c r="E74" s="23" t="n">
        <x:v>2</x:v>
      </x:c>
      <x:c r="F74" s="23" t="n">
        <x:v>5</x:v>
      </x:c>
      <x:c r="G74" s="23" t="n">
        <x:v>3</x:v>
      </x:c>
      <x:c r="H74" s="23" t="n">
        <x:v>2</x:v>
      </x:c>
      <x:c r="I74" s="23" t="n">
        <x:v>2</x:v>
      </x:c>
      <x:c r="J74" s="23" t="n">
        <x:v>3</x:v>
      </x:c>
      <x:c r="K74" s="23" t="n">
        <x:v>6</x:v>
      </x:c>
      <x:c r="L74" s="23" t="n">
        <x:v>4</x:v>
      </x:c>
      <x:c r="M74" s="23" t="n">
        <x:v>3</x:v>
      </x:c>
      <x:c r="N74" s="23" t="n">
        <x:v>6</x:v>
      </x:c>
      <x:c r="O74" s="23" t="n">
        <x:v>1</x:v>
      </x:c>
      <x:c r="P74" s="23" t="n">
        <x:v>3</x:v>
      </x:c>
      <x:c r="Q74" s="23" t="n">
        <x:v>4</x:v>
      </x:c>
      <x:c r="R74" s="23" t="n">
        <x:v>8</x:v>
      </x:c>
    </x:row>
    <x:row r="75">
      <x:c r="A75" s="15" t="n">
        <x:v>42309</x:v>
      </x:c>
      <x:c r="B75" s="23"/>
      <x:c r="C75" s="23" t="n">
        <x:v>5</x:v>
      </x:c>
      <x:c r="D75" s="23" t="n">
        <x:v>1</x:v>
      </x:c>
      <x:c r="E75" s="23" t="n">
        <x:v>2</x:v>
      </x:c>
      <x:c r="F75" s="23" t="n">
        <x:v>5</x:v>
      </x:c>
      <x:c r="G75" s="23" t="n">
        <x:v>3</x:v>
      </x:c>
      <x:c r="H75" s="23" t="n">
        <x:v>2</x:v>
      </x:c>
      <x:c r="I75" s="23" t="n">
        <x:v>2</x:v>
      </x:c>
      <x:c r="J75" s="23" t="n">
        <x:v>3</x:v>
      </x:c>
      <x:c r="K75" s="23" t="n">
        <x:v>6</x:v>
      </x:c>
      <x:c r="L75" s="23" t="n">
        <x:v>4</x:v>
      </x:c>
      <x:c r="M75" s="23" t="n">
        <x:v>3</x:v>
      </x:c>
      <x:c r="N75" s="23" t="n">
        <x:v>6</x:v>
      </x:c>
      <x:c r="O75" s="23" t="n">
        <x:v>1</x:v>
      </x:c>
      <x:c r="P75" s="23" t="n">
        <x:v>3</x:v>
      </x:c>
      <x:c r="Q75" s="23" t="n">
        <x:v>4</x:v>
      </x:c>
      <x:c r="R75" s="23" t="n">
        <x:v>8</x:v>
      </x:c>
    </x:row>
    <x:row r="76">
      <x:c r="A76" s="15" t="n">
        <x:v>42339</x:v>
      </x:c>
      <x:c r="B76" s="23"/>
      <x:c r="C76" s="23" t="n">
        <x:v>5</x:v>
      </x:c>
      <x:c r="D76" s="23" t="n">
        <x:v>2</x:v>
      </x:c>
      <x:c r="E76" s="23" t="n">
        <x:v>2</x:v>
      </x:c>
      <x:c r="F76" s="23" t="n">
        <x:v>5</x:v>
      </x:c>
      <x:c r="G76" s="23" t="n">
        <x:v>4</x:v>
      </x:c>
      <x:c r="H76" s="23" t="n">
        <x:v>2</x:v>
      </x:c>
      <x:c r="I76" s="23" t="n">
        <x:v>2</x:v>
      </x:c>
      <x:c r="J76" s="23" t="n">
        <x:v>2</x:v>
      </x:c>
      <x:c r="K76" s="23" t="n">
        <x:v>6</x:v>
      </x:c>
      <x:c r="L76" s="23" t="n">
        <x:v>4</x:v>
      </x:c>
      <x:c r="M76" s="23" t="n">
        <x:v>3</x:v>
      </x:c>
      <x:c r="N76" s="23" t="n">
        <x:v>6</x:v>
      </x:c>
      <x:c r="O76" s="23" t="n">
        <x:v>1</x:v>
      </x:c>
      <x:c r="P76" s="23" t="n">
        <x:v>3</x:v>
      </x:c>
      <x:c r="Q76" s="23" t="n">
        <x:v>3</x:v>
      </x:c>
      <x:c r="R76" s="23" t="n">
        <x:v>7</x:v>
      </x:c>
    </x:row>
    <x:row r="77">
      <x:c r="A77" s="15" t="n">
        <x:v>42370</x:v>
      </x:c>
      <x:c r="B77" s="23"/>
      <x:c r="C77" s="23" t="n">
        <x:v>5</x:v>
      </x:c>
      <x:c r="D77" s="23" t="n">
        <x:v>2</x:v>
      </x:c>
      <x:c r="E77" s="23" t="n">
        <x:v>2</x:v>
      </x:c>
      <x:c r="F77" s="23" t="n">
        <x:v>5</x:v>
      </x:c>
      <x:c r="G77" s="23" t="n">
        <x:v>4</x:v>
      </x:c>
      <x:c r="H77" s="23" t="n">
        <x:v>2</x:v>
      </x:c>
      <x:c r="I77" s="23" t="n">
        <x:v>2</x:v>
      </x:c>
      <x:c r="J77" s="23" t="n">
        <x:v>2</x:v>
      </x:c>
      <x:c r="K77" s="23" t="n">
        <x:v>6</x:v>
      </x:c>
      <x:c r="L77" s="23" t="n">
        <x:v>4</x:v>
      </x:c>
      <x:c r="M77" s="23" t="n">
        <x:v>3</x:v>
      </x:c>
      <x:c r="N77" s="23" t="n">
        <x:v>6</x:v>
      </x:c>
      <x:c r="O77" s="23" t="n">
        <x:v>1</x:v>
      </x:c>
      <x:c r="P77" s="23" t="n">
        <x:v>3</x:v>
      </x:c>
      <x:c r="Q77" s="23" t="n">
        <x:v>3</x:v>
      </x:c>
      <x:c r="R77" s="23" t="n">
        <x:v>7</x:v>
      </x:c>
    </x:row>
    <x:row r="78">
      <x:c r="A78" s="15" t="n">
        <x:v>42401</x:v>
      </x:c>
      <x:c r="B78" s="23"/>
      <x:c r="C78" s="23" t="n">
        <x:v>5</x:v>
      </x:c>
      <x:c r="D78" s="23" t="n">
        <x:v>2</x:v>
      </x:c>
      <x:c r="E78" s="23" t="n">
        <x:v>2</x:v>
      </x:c>
      <x:c r="F78" s="23" t="n">
        <x:v>5</x:v>
      </x:c>
      <x:c r="G78" s="23" t="n">
        <x:v>4</x:v>
      </x:c>
      <x:c r="H78" s="23" t="n">
        <x:v>2</x:v>
      </x:c>
      <x:c r="I78" s="23" t="n">
        <x:v>2</x:v>
      </x:c>
      <x:c r="J78" s="23" t="n">
        <x:v>2</x:v>
      </x:c>
      <x:c r="K78" s="23" t="n">
        <x:v>6</x:v>
      </x:c>
      <x:c r="L78" s="23" t="n">
        <x:v>4</x:v>
      </x:c>
      <x:c r="M78" s="23" t="n">
        <x:v>3</x:v>
      </x:c>
      <x:c r="N78" s="23" t="n">
        <x:v>6</x:v>
      </x:c>
      <x:c r="O78" s="23" t="n">
        <x:v>1</x:v>
      </x:c>
      <x:c r="P78" s="23" t="n">
        <x:v>3</x:v>
      </x:c>
      <x:c r="Q78" s="23" t="n">
        <x:v>3</x:v>
      </x:c>
      <x:c r="R78" s="23" t="n">
        <x:v>7</x:v>
      </x:c>
    </x:row>
    <x:row r="79">
      <x:c r="A79" s="15" t="n">
        <x:v>42430</x:v>
      </x:c>
      <x:c r="B79" s="23"/>
      <x:c r="C79" s="23" t="n">
        <x:v>5</x:v>
      </x:c>
      <x:c r="D79" s="23" t="n">
        <x:v>2</x:v>
      </x:c>
      <x:c r="E79" s="23" t="n">
        <x:v>2</x:v>
      </x:c>
      <x:c r="F79" s="23" t="n">
        <x:v>5</x:v>
      </x:c>
      <x:c r="G79" s="23" t="n">
        <x:v>4</x:v>
      </x:c>
      <x:c r="H79" s="23" t="n">
        <x:v>2</x:v>
      </x:c>
      <x:c r="I79" s="23" t="n">
        <x:v>2</x:v>
      </x:c>
      <x:c r="J79" s="23" t="n">
        <x:v>2</x:v>
      </x:c>
      <x:c r="K79" s="23" t="n">
        <x:v>6</x:v>
      </x:c>
      <x:c r="L79" s="23" t="n">
        <x:v>4</x:v>
      </x:c>
      <x:c r="M79" s="23" t="n">
        <x:v>3</x:v>
      </x:c>
      <x:c r="N79" s="23" t="n">
        <x:v>6</x:v>
      </x:c>
      <x:c r="O79" s="23" t="n">
        <x:v>1</x:v>
      </x:c>
      <x:c r="P79" s="23" t="n">
        <x:v>3</x:v>
      </x:c>
      <x:c r="Q79" s="23" t="n">
        <x:v>3</x:v>
      </x:c>
      <x:c r="R79" s="23" t="n">
        <x:v>7</x:v>
      </x:c>
    </x:row>
    <x:row r="80">
      <x:c r="A80" s="15" t="n">
        <x:v>42461</x:v>
      </x:c>
      <x:c r="B80" s="23"/>
      <x:c r="C80" s="23" t="n">
        <x:v>5</x:v>
      </x:c>
      <x:c r="D80" s="23" t="n">
        <x:v>2</x:v>
      </x:c>
      <x:c r="E80" s="23" t="n">
        <x:v>2</x:v>
      </x:c>
      <x:c r="F80" s="23" t="n">
        <x:v>5</x:v>
      </x:c>
      <x:c r="G80" s="23" t="n">
        <x:v>4</x:v>
      </x:c>
      <x:c r="H80" s="23" t="n">
        <x:v>2</x:v>
      </x:c>
      <x:c r="I80" s="23" t="n">
        <x:v>2</x:v>
      </x:c>
      <x:c r="J80" s="23" t="n">
        <x:v>2</x:v>
      </x:c>
      <x:c r="K80" s="23" t="n">
        <x:v>6</x:v>
      </x:c>
      <x:c r="L80" s="23" t="n">
        <x:v>4</x:v>
      </x:c>
      <x:c r="M80" s="23" t="n">
        <x:v>3</x:v>
      </x:c>
      <x:c r="N80" s="23" t="n">
        <x:v>6</x:v>
      </x:c>
      <x:c r="O80" s="23" t="n">
        <x:v>1</x:v>
      </x:c>
      <x:c r="P80" s="23" t="n">
        <x:v>3</x:v>
      </x:c>
      <x:c r="Q80" s="23" t="n">
        <x:v>3</x:v>
      </x:c>
      <x:c r="R80" s="23" t="n">
        <x:v>7</x:v>
      </x:c>
    </x:row>
    <x:row r="81">
      <x:c r="A81" s="15" t="n">
        <x:v>42491</x:v>
      </x:c>
      <x:c r="B81" s="23"/>
      <x:c r="C81" s="23" t="n">
        <x:v>5</x:v>
      </x:c>
      <x:c r="D81" s="23" t="n">
        <x:v>2</x:v>
      </x:c>
      <x:c r="E81" s="23" t="n">
        <x:v>2</x:v>
      </x:c>
      <x:c r="F81" s="23" t="n">
        <x:v>5</x:v>
      </x:c>
      <x:c r="G81" s="23" t="n">
        <x:v>4</x:v>
      </x:c>
      <x:c r="H81" s="23" t="n">
        <x:v>2</x:v>
      </x:c>
      <x:c r="I81" s="23" t="n">
        <x:v>2</x:v>
      </x:c>
      <x:c r="J81" s="23" t="n">
        <x:v>2</x:v>
      </x:c>
      <x:c r="K81" s="23" t="n">
        <x:v>6</x:v>
      </x:c>
      <x:c r="L81" s="23" t="n">
        <x:v>4</x:v>
      </x:c>
      <x:c r="M81" s="23" t="n">
        <x:v>3</x:v>
      </x:c>
      <x:c r="N81" s="23" t="n">
        <x:v>5</x:v>
      </x:c>
      <x:c r="O81" s="23" t="n">
        <x:v>1</x:v>
      </x:c>
      <x:c r="P81" s="23" t="n">
        <x:v>2</x:v>
      </x:c>
      <x:c r="Q81" s="23" t="n">
        <x:v>3</x:v>
      </x:c>
      <x:c r="R81" s="23" t="n">
        <x:v>7</x:v>
      </x:c>
    </x:row>
    <x:row r="82">
      <x:c r="A82" s="15" t="n">
        <x:v>42522</x:v>
      </x:c>
      <x:c r="B82" s="23"/>
      <x:c r="C82" s="23" t="n">
        <x:v>5</x:v>
      </x:c>
      <x:c r="D82" s="23" t="n">
        <x:v>2</x:v>
      </x:c>
      <x:c r="E82" s="23" t="n">
        <x:v>2</x:v>
      </x:c>
      <x:c r="F82" s="23" t="n">
        <x:v>5</x:v>
      </x:c>
      <x:c r="G82" s="23" t="n">
        <x:v>4</x:v>
      </x:c>
      <x:c r="H82" s="23" t="n">
        <x:v>2</x:v>
      </x:c>
      <x:c r="I82" s="23" t="n">
        <x:v>2</x:v>
      </x:c>
      <x:c r="J82" s="23" t="n">
        <x:v>2</x:v>
      </x:c>
      <x:c r="K82" s="23" t="n">
        <x:v>6</x:v>
      </x:c>
      <x:c r="L82" s="23" t="n">
        <x:v>4</x:v>
      </x:c>
      <x:c r="M82" s="23" t="n">
        <x:v>3</x:v>
      </x:c>
      <x:c r="N82" s="23" t="n">
        <x:v>5</x:v>
      </x:c>
      <x:c r="O82" s="23" t="n">
        <x:v>1</x:v>
      </x:c>
      <x:c r="P82" s="23" t="n">
        <x:v>2</x:v>
      </x:c>
      <x:c r="Q82" s="23" t="n">
        <x:v>3</x:v>
      </x:c>
      <x:c r="R82" s="23" t="n">
        <x:v>7</x:v>
      </x:c>
    </x:row>
    <x:row r="83">
      <x:c r="A83" s="15" t="n">
        <x:v>42552</x:v>
      </x:c>
      <x:c r="B83" s="23"/>
      <x:c r="C83" s="23" t="n">
        <x:v>5</x:v>
      </x:c>
      <x:c r="D83" s="23" t="n">
        <x:v>2</x:v>
      </x:c>
      <x:c r="E83" s="23" t="n">
        <x:v>2</x:v>
      </x:c>
      <x:c r="F83" s="23" t="n">
        <x:v>5</x:v>
      </x:c>
      <x:c r="G83" s="23" t="n">
        <x:v>4</x:v>
      </x:c>
      <x:c r="H83" s="23" t="n">
        <x:v>2</x:v>
      </x:c>
      <x:c r="I83" s="23" t="n">
        <x:v>2</x:v>
      </x:c>
      <x:c r="J83" s="23" t="n">
        <x:v>2</x:v>
      </x:c>
      <x:c r="K83" s="23" t="n">
        <x:v>6</x:v>
      </x:c>
      <x:c r="L83" s="23" t="n">
        <x:v>4</x:v>
      </x:c>
      <x:c r="M83" s="23" t="n">
        <x:v>3</x:v>
      </x:c>
      <x:c r="N83" s="23" t="n">
        <x:v>5</x:v>
      </x:c>
      <x:c r="O83" s="23" t="n">
        <x:v>1</x:v>
      </x:c>
      <x:c r="P83" s="23" t="n">
        <x:v>2</x:v>
      </x:c>
      <x:c r="Q83" s="23" t="n">
        <x:v>3</x:v>
      </x:c>
      <x:c r="R83" s="23" t="n">
        <x:v>7</x:v>
      </x:c>
    </x:row>
    <x:row r="84">
      <x:c r="A84" s="15" t="n">
        <x:v>42583</x:v>
      </x:c>
      <x:c r="B84" s="23"/>
      <x:c r="C84" s="23" t="n">
        <x:v>5</x:v>
      </x:c>
      <x:c r="D84" s="23" t="n">
        <x:v>2</x:v>
      </x:c>
      <x:c r="E84" s="23" t="n">
        <x:v>2</x:v>
      </x:c>
      <x:c r="F84" s="23" t="n">
        <x:v>5</x:v>
      </x:c>
      <x:c r="G84" s="23" t="n">
        <x:v>4</x:v>
      </x:c>
      <x:c r="H84" s="23" t="n">
        <x:v>2</x:v>
      </x:c>
      <x:c r="I84" s="23" t="n">
        <x:v>2</x:v>
      </x:c>
      <x:c r="J84" s="23" t="n">
        <x:v>2</x:v>
      </x:c>
      <x:c r="K84" s="23" t="n">
        <x:v>6</x:v>
      </x:c>
      <x:c r="L84" s="23" t="n">
        <x:v>4</x:v>
      </x:c>
      <x:c r="M84" s="23" t="n">
        <x:v>3</x:v>
      </x:c>
      <x:c r="N84" s="23" t="n">
        <x:v>5</x:v>
      </x:c>
      <x:c r="O84" s="23" t="n">
        <x:v>1</x:v>
      </x:c>
      <x:c r="P84" s="23" t="n">
        <x:v>2</x:v>
      </x:c>
      <x:c r="Q84" s="23" t="n">
        <x:v>3</x:v>
      </x:c>
      <x:c r="R84" s="23" t="n">
        <x:v>7</x:v>
      </x:c>
    </x:row>
    <x:row r="85">
      <x:c r="A85" s="15" t="n">
        <x:v>42614</x:v>
      </x:c>
      <x:c r="B85" s="23"/>
      <x:c r="C85" s="23" t="n">
        <x:v>5</x:v>
      </x:c>
      <x:c r="D85" s="23" t="n">
        <x:v>2</x:v>
      </x:c>
      <x:c r="E85" s="23" t="n">
        <x:v>2</x:v>
      </x:c>
      <x:c r="F85" s="23" t="n">
        <x:v>5</x:v>
      </x:c>
      <x:c r="G85" s="23" t="n">
        <x:v>4</x:v>
      </x:c>
      <x:c r="H85" s="23" t="n">
        <x:v>2</x:v>
      </x:c>
      <x:c r="I85" s="23" t="n">
        <x:v>2</x:v>
      </x:c>
      <x:c r="J85" s="23" t="n">
        <x:v>2</x:v>
      </x:c>
      <x:c r="K85" s="23" t="n">
        <x:v>6</x:v>
      </x:c>
      <x:c r="L85" s="23" t="n">
        <x:v>4</x:v>
      </x:c>
      <x:c r="M85" s="23" t="n">
        <x:v>3</x:v>
      </x:c>
      <x:c r="N85" s="23" t="n">
        <x:v>5</x:v>
      </x:c>
      <x:c r="O85" s="23" t="n">
        <x:v>1</x:v>
      </x:c>
      <x:c r="P85" s="23" t="n">
        <x:v>2</x:v>
      </x:c>
      <x:c r="Q85" s="23" t="n">
        <x:v>3</x:v>
      </x:c>
      <x:c r="R85" s="23" t="n">
        <x:v>6</x:v>
      </x:c>
    </x:row>
    <x:row r="86">
      <x:c r="A86" s="15" t="n">
        <x:v>42644</x:v>
      </x:c>
      <x:c r="B86" s="23"/>
      <x:c r="C86" s="23" t="n">
        <x:v>5</x:v>
      </x:c>
      <x:c r="D86" s="23" t="n">
        <x:v>2</x:v>
      </x:c>
      <x:c r="E86" s="23" t="n">
        <x:v>2</x:v>
      </x:c>
      <x:c r="F86" s="23" t="n">
        <x:v>5</x:v>
      </x:c>
      <x:c r="G86" s="23" t="n">
        <x:v>4</x:v>
      </x:c>
      <x:c r="H86" s="23" t="n">
        <x:v>2</x:v>
      </x:c>
      <x:c r="I86" s="23" t="n">
        <x:v>2</x:v>
      </x:c>
      <x:c r="J86" s="23" t="n">
        <x:v>2</x:v>
      </x:c>
      <x:c r="K86" s="23" t="n">
        <x:v>6</x:v>
      </x:c>
      <x:c r="L86" s="23" t="n">
        <x:v>4</x:v>
      </x:c>
      <x:c r="M86" s="23" t="n">
        <x:v>3</x:v>
      </x:c>
      <x:c r="N86" s="23" t="n">
        <x:v>5</x:v>
      </x:c>
      <x:c r="O86" s="23" t="n">
        <x:v>1</x:v>
      </x:c>
      <x:c r="P86" s="23" t="n">
        <x:v>2</x:v>
      </x:c>
      <x:c r="Q86" s="23" t="n">
        <x:v>3</x:v>
      </x:c>
      <x:c r="R86" s="23" t="n">
        <x:v>6</x:v>
      </x:c>
    </x:row>
    <x:row r="87">
      <x:c r="A87" s="15" t="n">
        <x:v>42675</x:v>
      </x:c>
      <x:c r="B87" s="23"/>
      <x:c r="C87" s="23" t="n">
        <x:v>5</x:v>
      </x:c>
      <x:c r="D87" s="23" t="n">
        <x:v>2</x:v>
      </x:c>
      <x:c r="E87" s="23" t="n">
        <x:v>2</x:v>
      </x:c>
      <x:c r="F87" s="23" t="n">
        <x:v>5</x:v>
      </x:c>
      <x:c r="G87" s="23" t="n">
        <x:v>4</x:v>
      </x:c>
      <x:c r="H87" s="23" t="n">
        <x:v>2</x:v>
      </x:c>
      <x:c r="I87" s="23" t="n">
        <x:v>2</x:v>
      </x:c>
      <x:c r="J87" s="23" t="n">
        <x:v>2</x:v>
      </x:c>
      <x:c r="K87" s="23" t="n">
        <x:v>6</x:v>
      </x:c>
      <x:c r="L87" s="23" t="n">
        <x:v>4</x:v>
      </x:c>
      <x:c r="M87" s="23" t="n">
        <x:v>3</x:v>
      </x:c>
      <x:c r="N87" s="23" t="n">
        <x:v>5</x:v>
      </x:c>
      <x:c r="O87" s="23" t="n">
        <x:v>1</x:v>
      </x:c>
      <x:c r="P87" s="23" t="n">
        <x:v>2</x:v>
      </x:c>
      <x:c r="Q87" s="23" t="n">
        <x:v>3</x:v>
      </x:c>
      <x:c r="R87" s="23" t="n">
        <x:v>6</x:v>
      </x:c>
    </x:row>
    <x:row r="88">
      <x:c r="A88" s="15" t="n">
        <x:v>42705</x:v>
      </x:c>
      <x:c r="B88" s="23"/>
      <x:c r="C88" s="23" t="n">
        <x:v>5</x:v>
      </x:c>
      <x:c r="D88" s="23" t="n">
        <x:v>2</x:v>
      </x:c>
      <x:c r="E88" s="23" t="n">
        <x:v>2</x:v>
      </x:c>
      <x:c r="F88" s="23" t="n">
        <x:v>5</x:v>
      </x:c>
      <x:c r="G88" s="23" t="n">
        <x:v>4</x:v>
      </x:c>
      <x:c r="H88" s="23" t="n">
        <x:v>2</x:v>
      </x:c>
      <x:c r="I88" s="23" t="n">
        <x:v>2</x:v>
      </x:c>
      <x:c r="J88" s="23" t="n">
        <x:v>2</x:v>
      </x:c>
      <x:c r="K88" s="23" t="n">
        <x:v>6</x:v>
      </x:c>
      <x:c r="L88" s="23" t="n">
        <x:v>4</x:v>
      </x:c>
      <x:c r="M88" s="23" t="n">
        <x:v>3</x:v>
      </x:c>
      <x:c r="N88" s="23" t="n">
        <x:v>5</x:v>
      </x:c>
      <x:c r="O88" s="23" t="n">
        <x:v>1</x:v>
      </x:c>
      <x:c r="P88" s="23" t="n">
        <x:v>2</x:v>
      </x:c>
      <x:c r="Q88" s="23" t="n">
        <x:v>3</x:v>
      </x:c>
      <x:c r="R88" s="23" t="n">
        <x:v>7</x:v>
      </x:c>
    </x:row>
    <x:row r="89">
      <x:c r="A89" s="15" t="n">
        <x:v>42736</x:v>
      </x:c>
      <x:c r="B89" s="23"/>
      <x:c r="C89" s="23" t="n">
        <x:v>5</x:v>
      </x:c>
      <x:c r="D89" s="23" t="n">
        <x:v>2</x:v>
      </x:c>
      <x:c r="E89" s="23" t="n">
        <x:v>2</x:v>
      </x:c>
      <x:c r="F89" s="23" t="n">
        <x:v>5</x:v>
      </x:c>
      <x:c r="G89" s="23" t="n">
        <x:v>4</x:v>
      </x:c>
      <x:c r="H89" s="23" t="n">
        <x:v>2</x:v>
      </x:c>
      <x:c r="I89" s="23" t="n">
        <x:v>2</x:v>
      </x:c>
      <x:c r="J89" s="23" t="n">
        <x:v>2</x:v>
      </x:c>
      <x:c r="K89" s="23" t="n">
        <x:v>6</x:v>
      </x:c>
      <x:c r="L89" s="23" t="n">
        <x:v>4</x:v>
      </x:c>
      <x:c r="M89" s="23" t="n">
        <x:v>3</x:v>
      </x:c>
      <x:c r="N89" s="23" t="n">
        <x:v>5</x:v>
      </x:c>
      <x:c r="O89" s="23" t="n">
        <x:v>1</x:v>
      </x:c>
      <x:c r="P89" s="23" t="n">
        <x:v>2</x:v>
      </x:c>
      <x:c r="Q89" s="23" t="n">
        <x:v>3</x:v>
      </x:c>
      <x:c r="R89" s="23" t="n">
        <x:v>7</x:v>
      </x:c>
    </x:row>
    <x:row r="90">
      <x:c r="A90" s="15" t="n">
        <x:v>42767</x:v>
      </x:c>
      <x:c r="B90" s="23"/>
      <x:c r="C90" s="23" t="n">
        <x:v>5</x:v>
      </x:c>
      <x:c r="D90" s="23" t="n">
        <x:v>2</x:v>
      </x:c>
      <x:c r="E90" s="23" t="n">
        <x:v>2</x:v>
      </x:c>
      <x:c r="F90" s="23" t="n">
        <x:v>5</x:v>
      </x:c>
      <x:c r="G90" s="23" t="n">
        <x:v>4</x:v>
      </x:c>
      <x:c r="H90" s="23" t="n">
        <x:v>2</x:v>
      </x:c>
      <x:c r="I90" s="23" t="n">
        <x:v>2</x:v>
      </x:c>
      <x:c r="J90" s="23" t="n">
        <x:v>2</x:v>
      </x:c>
      <x:c r="K90" s="23" t="n">
        <x:v>6</x:v>
      </x:c>
      <x:c r="L90" s="23" t="n">
        <x:v>4</x:v>
      </x:c>
      <x:c r="M90" s="23" t="n">
        <x:v>3</x:v>
      </x:c>
      <x:c r="N90" s="23" t="n">
        <x:v>5</x:v>
      </x:c>
      <x:c r="O90" s="23" t="n">
        <x:v>1</x:v>
      </x:c>
      <x:c r="P90" s="23" t="n">
        <x:v>2</x:v>
      </x:c>
      <x:c r="Q90" s="23" t="n">
        <x:v>3</x:v>
      </x:c>
      <x:c r="R90" s="23" t="n">
        <x:v>7</x:v>
      </x:c>
    </x:row>
    <x:row r="91">
      <x:c r="A91" s="15" t="n">
        <x:v>42795</x:v>
      </x:c>
      <x:c r="B91" s="23"/>
      <x:c r="C91" s="23" t="n">
        <x:v>5</x:v>
      </x:c>
      <x:c r="D91" s="23" t="n">
        <x:v>2</x:v>
      </x:c>
      <x:c r="E91" s="23" t="n">
        <x:v>2</x:v>
      </x:c>
      <x:c r="F91" s="23" t="n">
        <x:v>4</x:v>
      </x:c>
      <x:c r="G91" s="23" t="n">
        <x:v>4</x:v>
      </x:c>
      <x:c r="H91" s="23" t="n">
        <x:v>2</x:v>
      </x:c>
      <x:c r="I91" s="23" t="n">
        <x:v>2</x:v>
      </x:c>
      <x:c r="J91" s="23" t="n">
        <x:v>2</x:v>
      </x:c>
      <x:c r="K91" s="23" t="n">
        <x:v>6</x:v>
      </x:c>
      <x:c r="L91" s="23" t="n">
        <x:v>4</x:v>
      </x:c>
      <x:c r="M91" s="23" t="n">
        <x:v>3</x:v>
      </x:c>
      <x:c r="N91" s="23" t="n">
        <x:v>5</x:v>
      </x:c>
      <x:c r="O91" s="23" t="n">
        <x:v>1</x:v>
      </x:c>
      <x:c r="P91" s="23" t="n">
        <x:v>2</x:v>
      </x:c>
      <x:c r="Q91" s="23" t="n">
        <x:v>4</x:v>
      </x:c>
      <x:c r="R91" s="23" t="n">
        <x:v>7</x:v>
      </x:c>
    </x:row>
    <x:row r="92">
      <x:c r="A92" s="15" t="n">
        <x:v>42826</x:v>
      </x:c>
      <x:c r="B92" s="23"/>
      <x:c r="C92" s="23" t="n">
        <x:v>5</x:v>
      </x:c>
      <x:c r="D92" s="23" t="n">
        <x:v>2</x:v>
      </x:c>
      <x:c r="E92" s="23" t="n">
        <x:v>2</x:v>
      </x:c>
      <x:c r="F92" s="23" t="n">
        <x:v>4</x:v>
      </x:c>
      <x:c r="G92" s="23" t="n">
        <x:v>4</x:v>
      </x:c>
      <x:c r="H92" s="23" t="n">
        <x:v>2</x:v>
      </x:c>
      <x:c r="I92" s="23" t="n">
        <x:v>2</x:v>
      </x:c>
      <x:c r="J92" s="23" t="n">
        <x:v>2</x:v>
      </x:c>
      <x:c r="K92" s="23" t="n">
        <x:v>6</x:v>
      </x:c>
      <x:c r="L92" s="23" t="n">
        <x:v>4</x:v>
      </x:c>
      <x:c r="M92" s="23" t="n">
        <x:v>3</x:v>
      </x:c>
      <x:c r="N92" s="23" t="n">
        <x:v>5</x:v>
      </x:c>
      <x:c r="O92" s="23" t="n">
        <x:v>1</x:v>
      </x:c>
      <x:c r="P92" s="23" t="n">
        <x:v>3</x:v>
      </x:c>
      <x:c r="Q92" s="23" t="n">
        <x:v>4</x:v>
      </x:c>
      <x:c r="R92" s="23" t="n">
        <x:v>7</x:v>
      </x:c>
    </x:row>
    <x:row r="93">
      <x:c r="A93" s="15" t="n">
        <x:v>42856</x:v>
      </x:c>
      <x:c r="B93" s="23"/>
      <x:c r="C93" s="23" t="n">
        <x:v>5</x:v>
      </x:c>
      <x:c r="D93" s="23" t="n">
        <x:v>2</x:v>
      </x:c>
      <x:c r="E93" s="23" t="n">
        <x:v>2</x:v>
      </x:c>
      <x:c r="F93" s="23" t="n">
        <x:v>4</x:v>
      </x:c>
      <x:c r="G93" s="23" t="n">
        <x:v>4</x:v>
      </x:c>
      <x:c r="H93" s="23" t="n">
        <x:v>2</x:v>
      </x:c>
      <x:c r="I93" s="23" t="n">
        <x:v>2</x:v>
      </x:c>
      <x:c r="J93" s="23" t="n">
        <x:v>2</x:v>
      </x:c>
      <x:c r="K93" s="23" t="n">
        <x:v>6</x:v>
      </x:c>
      <x:c r="L93" s="23" t="n">
        <x:v>4</x:v>
      </x:c>
      <x:c r="M93" s="23" t="n">
        <x:v>3</x:v>
      </x:c>
      <x:c r="N93" s="23" t="n">
        <x:v>5</x:v>
      </x:c>
      <x:c r="O93" s="23" t="n">
        <x:v>1</x:v>
      </x:c>
      <x:c r="P93" s="23" t="n">
        <x:v>3</x:v>
      </x:c>
      <x:c r="Q93" s="23" t="n">
        <x:v>4</x:v>
      </x:c>
      <x:c r="R93" s="23" t="n">
        <x:v>8</x:v>
      </x:c>
    </x:row>
    <x:row r="94">
      <x:c r="A94" s="15" t="n">
        <x:v>42887</x:v>
      </x:c>
      <x:c r="B94" s="23"/>
      <x:c r="C94" s="23" t="n">
        <x:v>5</x:v>
      </x:c>
      <x:c r="D94" s="23" t="n">
        <x:v>2</x:v>
      </x:c>
      <x:c r="E94" s="23" t="n">
        <x:v>2</x:v>
      </x:c>
      <x:c r="F94" s="23" t="n">
        <x:v>4</x:v>
      </x:c>
      <x:c r="G94" s="23" t="n">
        <x:v>4</x:v>
      </x:c>
      <x:c r="H94" s="23" t="n">
        <x:v>2</x:v>
      </x:c>
      <x:c r="I94" s="23" t="n">
        <x:v>2</x:v>
      </x:c>
      <x:c r="J94" s="23" t="n">
        <x:v>2</x:v>
      </x:c>
      <x:c r="K94" s="23" t="n">
        <x:v>6</x:v>
      </x:c>
      <x:c r="L94" s="23" t="n">
        <x:v>4</x:v>
      </x:c>
      <x:c r="M94" s="23" t="n">
        <x:v>3</x:v>
      </x:c>
      <x:c r="N94" s="23" t="n">
        <x:v>5</x:v>
      </x:c>
      <x:c r="O94" s="23" t="n">
        <x:v>1</x:v>
      </x:c>
      <x:c r="P94" s="23" t="n">
        <x:v>3</x:v>
      </x:c>
      <x:c r="Q94" s="23" t="n">
        <x:v>4</x:v>
      </x:c>
      <x:c r="R94" s="23" t="n">
        <x:v>8</x:v>
      </x:c>
    </x:row>
    <x:row r="95">
      <x:c r="A95" s="15" t="n">
        <x:v>42917</x:v>
      </x:c>
      <x:c r="B95" s="23"/>
      <x:c r="C95" s="23" t="n">
        <x:v>5</x:v>
      </x:c>
      <x:c r="D95" s="23" t="n">
        <x:v>2</x:v>
      </x:c>
      <x:c r="E95" s="23" t="n">
        <x:v>2</x:v>
      </x:c>
      <x:c r="F95" s="23" t="n">
        <x:v>4</x:v>
      </x:c>
      <x:c r="G95" s="23" t="n">
        <x:v>4</x:v>
      </x:c>
      <x:c r="H95" s="23" t="n">
        <x:v>2</x:v>
      </x:c>
      <x:c r="I95" s="23" t="n">
        <x:v>2</x:v>
      </x:c>
      <x:c r="J95" s="23" t="n">
        <x:v>2</x:v>
      </x:c>
      <x:c r="K95" s="23" t="n">
        <x:v>6</x:v>
      </x:c>
      <x:c r="L95" s="23" t="n">
        <x:v>4</x:v>
      </x:c>
      <x:c r="M95" s="23" t="n">
        <x:v>3</x:v>
      </x:c>
      <x:c r="N95" s="23" t="n">
        <x:v>5</x:v>
      </x:c>
      <x:c r="O95" s="23" t="n">
        <x:v>1</x:v>
      </x:c>
      <x:c r="P95" s="23" t="n">
        <x:v>3</x:v>
      </x:c>
      <x:c r="Q95" s="23" t="n">
        <x:v>4</x:v>
      </x:c>
      <x:c r="R95" s="23" t="n">
        <x:v>8</x:v>
      </x:c>
    </x:row>
    <x:row r="96">
      <x:c r="A96" s="15" t="n">
        <x:v>42948</x:v>
      </x:c>
      <x:c r="B96" s="23"/>
      <x:c r="C96" s="23" t="n">
        <x:v>5</x:v>
      </x:c>
      <x:c r="D96" s="23" t="n">
        <x:v>2</x:v>
      </x:c>
      <x:c r="E96" s="23" t="n">
        <x:v>2</x:v>
      </x:c>
      <x:c r="F96" s="23" t="n">
        <x:v>4</x:v>
      </x:c>
      <x:c r="G96" s="23" t="n">
        <x:v>4</x:v>
      </x:c>
      <x:c r="H96" s="23" t="n">
        <x:v>2</x:v>
      </x:c>
      <x:c r="I96" s="23" t="n">
        <x:v>2</x:v>
      </x:c>
      <x:c r="J96" s="23" t="n">
        <x:v>2</x:v>
      </x:c>
      <x:c r="K96" s="23" t="n">
        <x:v>6</x:v>
      </x:c>
      <x:c r="L96" s="23" t="n">
        <x:v>4</x:v>
      </x:c>
      <x:c r="M96" s="23" t="n">
        <x:v>3</x:v>
      </x:c>
      <x:c r="N96" s="23" t="n">
        <x:v>5</x:v>
      </x:c>
      <x:c r="O96" s="23" t="n">
        <x:v>1</x:v>
      </x:c>
      <x:c r="P96" s="23" t="n">
        <x:v>3</x:v>
      </x:c>
      <x:c r="Q96" s="23" t="n">
        <x:v>4</x:v>
      </x:c>
      <x:c r="R96" s="23" t="n">
        <x:v>8</x:v>
      </x:c>
    </x:row>
    <x:row r="97">
      <x:c r="A97" s="15" t="n">
        <x:v>42979</x:v>
      </x:c>
      <x:c r="B97" s="23"/>
      <x:c r="C97" s="23" t="n">
        <x:v>5</x:v>
      </x:c>
      <x:c r="D97" s="23" t="n">
        <x:v>2</x:v>
      </x:c>
      <x:c r="E97" s="23" t="n">
        <x:v>2</x:v>
      </x:c>
      <x:c r="F97" s="23" t="n">
        <x:v>4</x:v>
      </x:c>
      <x:c r="G97" s="23" t="n">
        <x:v>4</x:v>
      </x:c>
      <x:c r="H97" s="23" t="n">
        <x:v>2</x:v>
      </x:c>
      <x:c r="I97" s="23" t="n">
        <x:v>2</x:v>
      </x:c>
      <x:c r="J97" s="23" t="n">
        <x:v>2</x:v>
      </x:c>
      <x:c r="K97" s="23" t="n">
        <x:v>6</x:v>
      </x:c>
      <x:c r="L97" s="23" t="n">
        <x:v>4</x:v>
      </x:c>
      <x:c r="M97" s="23" t="n">
        <x:v>3</x:v>
      </x:c>
      <x:c r="N97" s="23" t="n">
        <x:v>5</x:v>
      </x:c>
      <x:c r="O97" s="23" t="n">
        <x:v>1</x:v>
      </x:c>
      <x:c r="P97" s="23" t="n">
        <x:v>3</x:v>
      </x:c>
      <x:c r="Q97" s="23" t="n">
        <x:v>4</x:v>
      </x:c>
      <x:c r="R97" s="23" t="n">
        <x:v>9</x:v>
      </x:c>
    </x:row>
    <x:row r="98">
      <x:c r="A98" s="15" t="n">
        <x:v>43009</x:v>
      </x:c>
      <x:c r="B98" s="23"/>
      <x:c r="C98" s="23" t="n">
        <x:v>5</x:v>
      </x:c>
      <x:c r="D98" s="23" t="n">
        <x:v>2</x:v>
      </x:c>
      <x:c r="E98" s="23" t="n">
        <x:v>2</x:v>
      </x:c>
      <x:c r="F98" s="23" t="n">
        <x:v>4</x:v>
      </x:c>
      <x:c r="G98" s="23" t="n">
        <x:v>4</x:v>
      </x:c>
      <x:c r="H98" s="23" t="n">
        <x:v>2</x:v>
      </x:c>
      <x:c r="I98" s="23" t="n">
        <x:v>2</x:v>
      </x:c>
      <x:c r="J98" s="23" t="n">
        <x:v>2</x:v>
      </x:c>
      <x:c r="K98" s="23" t="n">
        <x:v>6</x:v>
      </x:c>
      <x:c r="L98" s="23" t="n">
        <x:v>4</x:v>
      </x:c>
      <x:c r="M98" s="23" t="n">
        <x:v>3</x:v>
      </x:c>
      <x:c r="N98" s="23" t="n">
        <x:v>5</x:v>
      </x:c>
      <x:c r="O98" s="23" t="n">
        <x:v>1</x:v>
      </x:c>
      <x:c r="P98" s="23" t="n">
        <x:v>3</x:v>
      </x:c>
      <x:c r="Q98" s="23" t="n">
        <x:v>4</x:v>
      </x:c>
      <x:c r="R98" s="23" t="n">
        <x:v>9</x:v>
      </x:c>
    </x:row>
    <x:row r="99">
      <x:c r="A99" s="15" t="n">
        <x:v>43040</x:v>
      </x:c>
      <x:c r="B99" s="23"/>
      <x:c r="C99" s="23" t="n">
        <x:v>5</x:v>
      </x:c>
      <x:c r="D99" s="23" t="n">
        <x:v>2</x:v>
      </x:c>
      <x:c r="E99" s="23" t="n">
        <x:v>2</x:v>
      </x:c>
      <x:c r="F99" s="23" t="n">
        <x:v>4</x:v>
      </x:c>
      <x:c r="G99" s="23" t="n">
        <x:v>4</x:v>
      </x:c>
      <x:c r="H99" s="23" t="n">
        <x:v>2</x:v>
      </x:c>
      <x:c r="I99" s="23" t="n">
        <x:v>2</x:v>
      </x:c>
      <x:c r="J99" s="23" t="n">
        <x:v>2</x:v>
      </x:c>
      <x:c r="K99" s="23" t="n">
        <x:v>6</x:v>
      </x:c>
      <x:c r="L99" s="23" t="n">
        <x:v>4</x:v>
      </x:c>
      <x:c r="M99" s="23" t="n">
        <x:v>3</x:v>
      </x:c>
      <x:c r="N99" s="23" t="n">
        <x:v>5</x:v>
      </x:c>
      <x:c r="O99" s="23" t="n">
        <x:v>1</x:v>
      </x:c>
      <x:c r="P99" s="23" t="n">
        <x:v>3</x:v>
      </x:c>
      <x:c r="Q99" s="23" t="n">
        <x:v>4</x:v>
      </x:c>
      <x:c r="R99" s="23" t="n">
        <x:v>9</x:v>
      </x:c>
    </x:row>
    <x:row r="100">
      <x:c r="A100" s="15" t="n">
        <x:v>43070</x:v>
      </x:c>
      <x:c r="B100" s="23"/>
      <x:c r="C100" s="23" t="n">
        <x:v>5</x:v>
      </x:c>
      <x:c r="D100" s="23" t="n">
        <x:v>2</x:v>
      </x:c>
      <x:c r="E100" s="23" t="n">
        <x:v>2</x:v>
      </x:c>
      <x:c r="F100" s="23" t="n">
        <x:v>4</x:v>
      </x:c>
      <x:c r="G100" s="23" t="n">
        <x:v>4</x:v>
      </x:c>
      <x:c r="H100" s="23" t="n">
        <x:v>3</x:v>
      </x:c>
      <x:c r="I100" s="23" t="n">
        <x:v>2</x:v>
      </x:c>
      <x:c r="J100" s="23" t="n">
        <x:v>3</x:v>
      </x:c>
      <x:c r="K100" s="23" t="n">
        <x:v>6</x:v>
      </x:c>
      <x:c r="L100" s="23" t="n">
        <x:v>4</x:v>
      </x:c>
      <x:c r="M100" s="23" t="n">
        <x:v>3</x:v>
      </x:c>
      <x:c r="N100" s="23" t="n">
        <x:v>7</x:v>
      </x:c>
      <x:c r="O100" s="23" t="n">
        <x:v>1</x:v>
      </x:c>
      <x:c r="P100" s="23" t="n">
        <x:v>3</x:v>
      </x:c>
      <x:c r="Q100" s="23" t="n">
        <x:v>4</x:v>
      </x:c>
      <x:c r="R100" s="23" t="n">
        <x:v>9</x:v>
      </x:c>
    </x:row>
    <x:row r="101">
      <x:c r="A101" s="15" t="n">
        <x:v>43101</x:v>
      </x:c>
      <x:c r="B101" s="23"/>
      <x:c r="C101" s="23" t="n">
        <x:v>5</x:v>
      </x:c>
      <x:c r="D101" s="23" t="n">
        <x:v>2</x:v>
      </x:c>
      <x:c r="E101" s="23" t="n">
        <x:v>2</x:v>
      </x:c>
      <x:c r="F101" s="23" t="n">
        <x:v>4</x:v>
      </x:c>
      <x:c r="G101" s="23" t="n">
        <x:v>4</x:v>
      </x:c>
      <x:c r="H101" s="23" t="n">
        <x:v>3</x:v>
      </x:c>
      <x:c r="I101" s="23" t="n">
        <x:v>2</x:v>
      </x:c>
      <x:c r="J101" s="23" t="n">
        <x:v>3</x:v>
      </x:c>
      <x:c r="K101" s="23" t="n">
        <x:v>6</x:v>
      </x:c>
      <x:c r="L101" s="23" t="n">
        <x:v>4</x:v>
      </x:c>
      <x:c r="M101" s="23" t="n">
        <x:v>3</x:v>
      </x:c>
      <x:c r="N101" s="23" t="n">
        <x:v>6</x:v>
      </x:c>
      <x:c r="O101" s="23" t="n">
        <x:v>2</x:v>
      </x:c>
      <x:c r="P101" s="23" t="n">
        <x:v>3</x:v>
      </x:c>
      <x:c r="Q101" s="23" t="n">
        <x:v>4</x:v>
      </x:c>
      <x:c r="R101" s="23" t="n">
        <x:v>8</x:v>
      </x:c>
    </x:row>
    <x:row r="102">
      <x:c r="A102" s="15" t="n">
        <x:v>43132</x:v>
      </x:c>
      <x:c r="B102" s="23"/>
      <x:c r="C102" s="23" t="n">
        <x:v>5</x:v>
      </x:c>
      <x:c r="D102" s="23" t="n">
        <x:v>2</x:v>
      </x:c>
      <x:c r="E102" s="23" t="n">
        <x:v>2</x:v>
      </x:c>
      <x:c r="F102" s="23" t="n">
        <x:v>4</x:v>
      </x:c>
      <x:c r="G102" s="23" t="n">
        <x:v>4</x:v>
      </x:c>
      <x:c r="H102" s="23" t="n">
        <x:v>3</x:v>
      </x:c>
      <x:c r="I102" s="23" t="n">
        <x:v>2</x:v>
      </x:c>
      <x:c r="J102" s="23" t="n">
        <x:v>3</x:v>
      </x:c>
      <x:c r="K102" s="23" t="n">
        <x:v>6</x:v>
      </x:c>
      <x:c r="L102" s="23" t="n">
        <x:v>4</x:v>
      </x:c>
      <x:c r="M102" s="23" t="n">
        <x:v>3</x:v>
      </x:c>
      <x:c r="N102" s="23" t="n">
        <x:v>6</x:v>
      </x:c>
      <x:c r="O102" s="23" t="n">
        <x:v>2</x:v>
      </x:c>
      <x:c r="P102" s="23" t="n">
        <x:v>3</x:v>
      </x:c>
      <x:c r="Q102" s="23" t="n">
        <x:v>4</x:v>
      </x:c>
      <x:c r="R102" s="23" t="n">
        <x:v>8</x:v>
      </x:c>
    </x:row>
    <x:row r="103">
      <x:c r="A103" s="15" t="n">
        <x:v>43160</x:v>
      </x:c>
      <x:c r="B103" s="23"/>
      <x:c r="C103" s="23" t="n">
        <x:v>5</x:v>
      </x:c>
      <x:c r="D103" s="23" t="n">
        <x:v>2</x:v>
      </x:c>
      <x:c r="E103" s="23" t="n">
        <x:v>2</x:v>
      </x:c>
      <x:c r="F103" s="23" t="n">
        <x:v>4</x:v>
      </x:c>
      <x:c r="G103" s="23" t="n">
        <x:v>4</x:v>
      </x:c>
      <x:c r="H103" s="23" t="n">
        <x:v>3</x:v>
      </x:c>
      <x:c r="I103" s="23" t="n">
        <x:v>2</x:v>
      </x:c>
      <x:c r="J103" s="23" t="n">
        <x:v>3</x:v>
      </x:c>
      <x:c r="K103" s="23" t="n">
        <x:v>6</x:v>
      </x:c>
      <x:c r="L103" s="23" t="n">
        <x:v>4</x:v>
      </x:c>
      <x:c r="M103" s="23" t="n">
        <x:v>3</x:v>
      </x:c>
      <x:c r="N103" s="23" t="n">
        <x:v>6</x:v>
      </x:c>
      <x:c r="O103" s="23" t="n">
        <x:v>2</x:v>
      </x:c>
      <x:c r="P103" s="23" t="n">
        <x:v>3</x:v>
      </x:c>
      <x:c r="Q103" s="23" t="n">
        <x:v>4</x:v>
      </x:c>
      <x:c r="R103" s="23" t="n">
        <x:v>9</x:v>
      </x:c>
    </x:row>
    <x:row r="104">
      <x:c r="A104" s="15" t="n">
        <x:v>43191</x:v>
      </x:c>
      <x:c r="B104" s="23"/>
      <x:c r="C104" s="23" t="n">
        <x:v>5</x:v>
      </x:c>
      <x:c r="D104" s="23" t="n">
        <x:v>2</x:v>
      </x:c>
      <x:c r="E104" s="23" t="n">
        <x:v>2</x:v>
      </x:c>
      <x:c r="F104" s="23" t="n">
        <x:v>4</x:v>
      </x:c>
      <x:c r="G104" s="23" t="n">
        <x:v>4</x:v>
      </x:c>
      <x:c r="H104" s="23" t="n">
        <x:v>3</x:v>
      </x:c>
      <x:c r="I104" s="23" t="n">
        <x:v>2</x:v>
      </x:c>
      <x:c r="J104" s="23" t="n">
        <x:v>3</x:v>
      </x:c>
      <x:c r="K104" s="23" t="n">
        <x:v>5</x:v>
      </x:c>
      <x:c r="L104" s="23" t="n">
        <x:v>4</x:v>
      </x:c>
      <x:c r="M104" s="23" t="n">
        <x:v>3</x:v>
      </x:c>
      <x:c r="N104" s="23" t="n">
        <x:v>6</x:v>
      </x:c>
      <x:c r="O104" s="23" t="n">
        <x:v>2</x:v>
      </x:c>
      <x:c r="P104" s="23" t="n">
        <x:v>3</x:v>
      </x:c>
      <x:c r="Q104" s="23" t="n">
        <x:v>4</x:v>
      </x:c>
      <x:c r="R104" s="23" t="n">
        <x:v>9</x:v>
      </x:c>
    </x:row>
    <x:row r="105">
      <x:c r="A105" s="15" t="n">
        <x:v>43221</x:v>
      </x:c>
      <x:c r="B105" s="23"/>
      <x:c r="C105" s="23" t="n">
        <x:v>5</x:v>
      </x:c>
      <x:c r="D105" s="23" t="n">
        <x:v>2</x:v>
      </x:c>
      <x:c r="E105" s="23" t="n">
        <x:v>2</x:v>
      </x:c>
      <x:c r="F105" s="23" t="n">
        <x:v>4</x:v>
      </x:c>
      <x:c r="G105" s="23" t="n">
        <x:v>4</x:v>
      </x:c>
      <x:c r="H105" s="23" t="n">
        <x:v>3</x:v>
      </x:c>
      <x:c r="I105" s="23" t="n">
        <x:v>2</x:v>
      </x:c>
      <x:c r="J105" s="23" t="n">
        <x:v>3</x:v>
      </x:c>
      <x:c r="K105" s="23" t="n">
        <x:v>5</x:v>
      </x:c>
      <x:c r="L105" s="23" t="n">
        <x:v>4</x:v>
      </x:c>
      <x:c r="M105" s="23" t="n">
        <x:v>3</x:v>
      </x:c>
      <x:c r="N105" s="23" t="n">
        <x:v>8</x:v>
      </x:c>
      <x:c r="O105" s="23" t="n">
        <x:v>2</x:v>
      </x:c>
      <x:c r="P105" s="23" t="n">
        <x:v>3</x:v>
      </x:c>
      <x:c r="Q105" s="23" t="n">
        <x:v>5</x:v>
      </x:c>
      <x:c r="R105" s="23" t="n">
        <x:v>9</x:v>
      </x:c>
    </x:row>
    <x:row r="106">
      <x:c r="A106" s="15" t="n">
        <x:v>43252</x:v>
      </x:c>
      <x:c r="B106" s="23"/>
      <x:c r="C106" s="23" t="n">
        <x:v>5</x:v>
      </x:c>
      <x:c r="D106" s="23" t="n">
        <x:v>2</x:v>
      </x:c>
      <x:c r="E106" s="23" t="n">
        <x:v>2</x:v>
      </x:c>
      <x:c r="F106" s="23" t="n">
        <x:v>4</x:v>
      </x:c>
      <x:c r="G106" s="23" t="n">
        <x:v>4</x:v>
      </x:c>
      <x:c r="H106" s="23" t="n">
        <x:v>3</x:v>
      </x:c>
      <x:c r="I106" s="23" t="n">
        <x:v>2</x:v>
      </x:c>
      <x:c r="J106" s="23" t="n">
        <x:v>3</x:v>
      </x:c>
      <x:c r="K106" s="23" t="n">
        <x:v>5</x:v>
      </x:c>
      <x:c r="L106" s="23" t="n">
        <x:v>4</x:v>
      </x:c>
      <x:c r="M106" s="23" t="n">
        <x:v>3</x:v>
      </x:c>
      <x:c r="N106" s="23" t="n">
        <x:v>8</x:v>
      </x:c>
      <x:c r="O106" s="23" t="n">
        <x:v>2</x:v>
      </x:c>
      <x:c r="P106" s="23" t="n">
        <x:v>3</x:v>
      </x:c>
      <x:c r="Q106" s="23" t="n">
        <x:v>5</x:v>
      </x:c>
      <x:c r="R106" s="23" t="n">
        <x:v>8</x:v>
      </x:c>
    </x:row>
    <x:row r="107">
      <x:c r="A107" s="15" t="n">
        <x:v>43282</x:v>
      </x:c>
      <x:c r="B107" s="23"/>
      <x:c r="C107" s="23" t="n">
        <x:v>5</x:v>
      </x:c>
      <x:c r="D107" s="23" t="n">
        <x:v>2</x:v>
      </x:c>
      <x:c r="E107" s="23" t="n">
        <x:v>2</x:v>
      </x:c>
      <x:c r="F107" s="23" t="n">
        <x:v>4</x:v>
      </x:c>
      <x:c r="G107" s="23" t="n">
        <x:v>4</x:v>
      </x:c>
      <x:c r="H107" s="23" t="n">
        <x:v>3</x:v>
      </x:c>
      <x:c r="I107" s="23" t="n">
        <x:v>2</x:v>
      </x:c>
      <x:c r="J107" s="23" t="n">
        <x:v>3</x:v>
      </x:c>
      <x:c r="K107" s="23" t="n">
        <x:v>5</x:v>
      </x:c>
      <x:c r="L107" s="23" t="n">
        <x:v>4</x:v>
      </x:c>
      <x:c r="M107" s="23" t="n">
        <x:v>3</x:v>
      </x:c>
      <x:c r="N107" s="23" t="n">
        <x:v>8</x:v>
      </x:c>
      <x:c r="O107" s="23" t="n">
        <x:v>2</x:v>
      </x:c>
      <x:c r="P107" s="23" t="n">
        <x:v>3</x:v>
      </x:c>
      <x:c r="Q107" s="23" t="n">
        <x:v>5</x:v>
      </x:c>
      <x:c r="R107" s="23" t="n">
        <x:v>8</x:v>
      </x:c>
    </x:row>
    <x:row r="108">
      <x:c r="A108" s="15" t="n">
        <x:v>43313</x:v>
      </x:c>
      <x:c r="B108" s="23"/>
      <x:c r="C108" s="23" t="n">
        <x:v>5</x:v>
      </x:c>
      <x:c r="D108" s="23" t="n">
        <x:v>2</x:v>
      </x:c>
      <x:c r="E108" s="23" t="n">
        <x:v>2</x:v>
      </x:c>
      <x:c r="F108" s="23" t="n">
        <x:v>4</x:v>
      </x:c>
      <x:c r="G108" s="23" t="n">
        <x:v>4</x:v>
      </x:c>
      <x:c r="H108" s="23" t="n">
        <x:v>3</x:v>
      </x:c>
      <x:c r="I108" s="23" t="n">
        <x:v>2</x:v>
      </x:c>
      <x:c r="J108" s="23" t="n">
        <x:v>3</x:v>
      </x:c>
      <x:c r="K108" s="23" t="n">
        <x:v>5</x:v>
      </x:c>
      <x:c r="L108" s="23" t="n">
        <x:v>4</x:v>
      </x:c>
      <x:c r="M108" s="23" t="n">
        <x:v>3</x:v>
      </x:c>
      <x:c r="N108" s="23" t="n">
        <x:v>8</x:v>
      </x:c>
      <x:c r="O108" s="23" t="n">
        <x:v>2</x:v>
      </x:c>
      <x:c r="P108" s="23" t="n">
        <x:v>3</x:v>
      </x:c>
      <x:c r="Q108" s="23" t="n">
        <x:v>5</x:v>
      </x:c>
      <x:c r="R108" s="23" t="n">
        <x:v>8</x:v>
      </x:c>
    </x:row>
    <x:row r="109">
      <x:c r="A109" s="15" t="n">
        <x:v>43344</x:v>
      </x:c>
      <x:c r="B109" s="23"/>
      <x:c r="C109" s="23" t="n">
        <x:v>5</x:v>
      </x:c>
      <x:c r="D109" s="23" t="n">
        <x:v>2</x:v>
      </x:c>
      <x:c r="E109" s="23" t="n">
        <x:v>2</x:v>
      </x:c>
      <x:c r="F109" s="23" t="n">
        <x:v>4</x:v>
      </x:c>
      <x:c r="G109" s="23" t="n">
        <x:v>4</x:v>
      </x:c>
      <x:c r="H109" s="23" t="n">
        <x:v>3</x:v>
      </x:c>
      <x:c r="I109" s="23" t="n">
        <x:v>2</x:v>
      </x:c>
      <x:c r="J109" s="23" t="n">
        <x:v>3</x:v>
      </x:c>
      <x:c r="K109" s="23" t="n">
        <x:v>5</x:v>
      </x:c>
      <x:c r="L109" s="23" t="n">
        <x:v>4</x:v>
      </x:c>
      <x:c r="M109" s="23" t="n">
        <x:v>3</x:v>
      </x:c>
      <x:c r="N109" s="23" t="n">
        <x:v>8</x:v>
      </x:c>
      <x:c r="O109" s="23" t="n">
        <x:v>1</x:v>
      </x:c>
      <x:c r="P109" s="23" t="n">
        <x:v>3</x:v>
      </x:c>
      <x:c r="Q109" s="23" t="n">
        <x:v>5</x:v>
      </x:c>
      <x:c r="R109" s="23" t="n">
        <x:v>8</x:v>
      </x:c>
    </x:row>
    <x:row r="110">
      <x:c r="A110" s="15" t="n">
        <x:v>43374</x:v>
      </x:c>
      <x:c r="B110" s="23"/>
      <x:c r="C110" s="23" t="n">
        <x:v>5</x:v>
      </x:c>
      <x:c r="D110" s="23" t="n">
        <x:v>2</x:v>
      </x:c>
      <x:c r="E110" s="23" t="n">
        <x:v>2</x:v>
      </x:c>
      <x:c r="F110" s="23" t="n">
        <x:v>4</x:v>
      </x:c>
      <x:c r="G110" s="23" t="n">
        <x:v>4</x:v>
      </x:c>
      <x:c r="H110" s="23" t="n">
        <x:v>3</x:v>
      </x:c>
      <x:c r="I110" s="23" t="n">
        <x:v>2</x:v>
      </x:c>
      <x:c r="J110" s="23" t="n">
        <x:v>3</x:v>
      </x:c>
      <x:c r="K110" s="23" t="n">
        <x:v>5</x:v>
      </x:c>
      <x:c r="L110" s="23" t="n">
        <x:v>4</x:v>
      </x:c>
      <x:c r="M110" s="23" t="n">
        <x:v>3</x:v>
      </x:c>
      <x:c r="N110" s="23" t="n">
        <x:v>8</x:v>
      </x:c>
      <x:c r="O110" s="23" t="n">
        <x:v>1</x:v>
      </x:c>
      <x:c r="P110" s="23" t="n">
        <x:v>3</x:v>
      </x:c>
      <x:c r="Q110" s="23" t="n">
        <x:v>5</x:v>
      </x:c>
      <x:c r="R110" s="23" t="n">
        <x:v>8</x:v>
      </x:c>
    </x:row>
    <x:row r="111">
      <x:c r="A111" s="15" t="n">
        <x:v>43405</x:v>
      </x:c>
      <x:c r="B111" s="23"/>
      <x:c r="C111" s="23" t="n">
        <x:v>5</x:v>
      </x:c>
      <x:c r="D111" s="23" t="n">
        <x:v>2</x:v>
      </x:c>
      <x:c r="E111" s="23" t="n">
        <x:v>2</x:v>
      </x:c>
      <x:c r="F111" s="23" t="n">
        <x:v>4</x:v>
      </x:c>
      <x:c r="G111" s="23" t="n">
        <x:v>4</x:v>
      </x:c>
      <x:c r="H111" s="23" t="n">
        <x:v>3</x:v>
      </x:c>
      <x:c r="I111" s="23" t="n">
        <x:v>2</x:v>
      </x:c>
      <x:c r="J111" s="23" t="n">
        <x:v>3</x:v>
      </x:c>
      <x:c r="K111" s="23" t="n">
        <x:v>5</x:v>
      </x:c>
      <x:c r="L111" s="23" t="n">
        <x:v>4</x:v>
      </x:c>
      <x:c r="M111" s="23" t="n">
        <x:v>3</x:v>
      </x:c>
      <x:c r="N111" s="23" t="n">
        <x:v>8</x:v>
      </x:c>
      <x:c r="O111" s="23" t="n">
        <x:v>1</x:v>
      </x:c>
      <x:c r="P111" s="23" t="n">
        <x:v>3</x:v>
      </x:c>
      <x:c r="Q111" s="23" t="n">
        <x:v>5</x:v>
      </x:c>
      <x:c r="R111" s="23" t="n">
        <x:v>8</x:v>
      </x:c>
    </x:row>
    <x:row r="112">
      <x:c r="A112" s="15" t="n">
        <x:v>43435</x:v>
      </x:c>
      <x:c r="B112" s="23"/>
      <x:c r="C112" s="23" t="n">
        <x:v>5</x:v>
      </x:c>
      <x:c r="D112" s="23" t="n">
        <x:v>2</x:v>
      </x:c>
      <x:c r="E112" s="23" t="n">
        <x:v>2</x:v>
      </x:c>
      <x:c r="F112" s="23" t="n">
        <x:v>4</x:v>
      </x:c>
      <x:c r="G112" s="23" t="n">
        <x:v>4</x:v>
      </x:c>
      <x:c r="H112" s="23" t="n">
        <x:v>3</x:v>
      </x:c>
      <x:c r="I112" s="23" t="n">
        <x:v>2</x:v>
      </x:c>
      <x:c r="J112" s="23" t="n">
        <x:v>3</x:v>
      </x:c>
      <x:c r="K112" s="23" t="n">
        <x:v>5</x:v>
      </x:c>
      <x:c r="L112" s="23" t="n">
        <x:v>4</x:v>
      </x:c>
      <x:c r="M112" s="23" t="n">
        <x:v>3</x:v>
      </x:c>
      <x:c r="N112" s="23" t="n">
        <x:v>8</x:v>
      </x:c>
      <x:c r="O112" s="23" t="n">
        <x:v>1</x:v>
      </x:c>
      <x:c r="P112" s="23" t="n">
        <x:v>3</x:v>
      </x:c>
      <x:c r="Q112" s="23" t="n">
        <x:v>5</x:v>
      </x:c>
      <x:c r="R112" s="23" t="n">
        <x:v>8</x:v>
      </x:c>
    </x:row>
    <x:row r="113">
      <x:c r="A113" s="15" t="n">
        <x:v>43466</x:v>
      </x:c>
      <x:c r="B113" s="23"/>
      <x:c r="C113" s="23" t="n">
        <x:v>5</x:v>
      </x:c>
      <x:c r="D113" s="23" t="n">
        <x:v>2</x:v>
      </x:c>
      <x:c r="E113" s="23" t="n">
        <x:v>2</x:v>
      </x:c>
      <x:c r="F113" s="23" t="n">
        <x:v>4</x:v>
      </x:c>
      <x:c r="G113" s="23" t="n">
        <x:v>4</x:v>
      </x:c>
      <x:c r="H113" s="23" t="n">
        <x:v>3</x:v>
      </x:c>
      <x:c r="I113" s="23" t="n">
        <x:v>2</x:v>
      </x:c>
      <x:c r="J113" s="23" t="n">
        <x:v>4</x:v>
      </x:c>
      <x:c r="K113" s="23" t="n">
        <x:v>4</x:v>
      </x:c>
      <x:c r="L113" s="23" t="n">
        <x:v>5</x:v>
      </x:c>
      <x:c r="M113" s="23" t="n">
        <x:v>2</x:v>
      </x:c>
      <x:c r="N113" s="23" t="n">
        <x:v>8</x:v>
      </x:c>
      <x:c r="O113" s="23" t="n">
        <x:v>1</x:v>
      </x:c>
      <x:c r="P113" s="23" t="n">
        <x:v>3</x:v>
      </x:c>
      <x:c r="Q113" s="23" t="n">
        <x:v>5</x:v>
      </x:c>
      <x:c r="R113" s="23" t="n">
        <x:v>7</x:v>
      </x:c>
    </x:row>
    <x:row r="114">
      <x:c r="A114" s="15" t="n">
        <x:v>43497</x:v>
      </x:c>
      <x:c r="B114" s="23"/>
      <x:c r="C114" s="23" t="n">
        <x:v>5</x:v>
      </x:c>
      <x:c r="D114" s="23" t="n">
        <x:v>2</x:v>
      </x:c>
      <x:c r="E114" s="23" t="n">
        <x:v>2</x:v>
      </x:c>
      <x:c r="F114" s="23" t="n">
        <x:v>3</x:v>
      </x:c>
      <x:c r="G114" s="23" t="n">
        <x:v>4</x:v>
      </x:c>
      <x:c r="H114" s="23" t="n">
        <x:v>3</x:v>
      </x:c>
      <x:c r="I114" s="23" t="n">
        <x:v>2</x:v>
      </x:c>
      <x:c r="J114" s="23" t="n">
        <x:v>4</x:v>
      </x:c>
      <x:c r="K114" s="23" t="n">
        <x:v>4</x:v>
      </x:c>
      <x:c r="L114" s="23" t="n">
        <x:v>5</x:v>
      </x:c>
      <x:c r="M114" s="23" t="n">
        <x:v>2</x:v>
      </x:c>
      <x:c r="N114" s="23" t="n">
        <x:v>8</x:v>
      </x:c>
      <x:c r="O114" s="23" t="n">
        <x:v>1</x:v>
      </x:c>
      <x:c r="P114" s="23" t="n">
        <x:v>3</x:v>
      </x:c>
      <x:c r="Q114" s="23" t="n">
        <x:v>5</x:v>
      </x:c>
      <x:c r="R114" s="23" t="n">
        <x:v>7</x:v>
      </x:c>
    </x:row>
    <x:row r="115">
      <x:c r="A115" s="15" t="n">
        <x:v>43525</x:v>
      </x:c>
      <x:c r="B115" s="23"/>
      <x:c r="C115" s="23" t="n">
        <x:v>5</x:v>
      </x:c>
      <x:c r="D115" s="23" t="n">
        <x:v>2</x:v>
      </x:c>
      <x:c r="E115" s="23" t="n">
        <x:v>2</x:v>
      </x:c>
      <x:c r="F115" s="23" t="n">
        <x:v>3</x:v>
      </x:c>
      <x:c r="G115" s="23" t="n">
        <x:v>4</x:v>
      </x:c>
      <x:c r="H115" s="23" t="n">
        <x:v>3</x:v>
      </x:c>
      <x:c r="I115" s="23" t="n">
        <x:v>2</x:v>
      </x:c>
      <x:c r="J115" s="23" t="n">
        <x:v>4</x:v>
      </x:c>
      <x:c r="K115" s="23" t="n">
        <x:v>5</x:v>
      </x:c>
      <x:c r="L115" s="23" t="n">
        <x:v>5</x:v>
      </x:c>
      <x:c r="M115" s="23" t="n">
        <x:v>2</x:v>
      </x:c>
      <x:c r="N115" s="23" t="n">
        <x:v>8</x:v>
      </x:c>
      <x:c r="O115" s="23" t="n">
        <x:v>1</x:v>
      </x:c>
      <x:c r="P115" s="23" t="n">
        <x:v>3</x:v>
      </x:c>
      <x:c r="Q115" s="23" t="n">
        <x:v>5</x:v>
      </x:c>
      <x:c r="R115" s="23" t="n">
        <x:v>7</x:v>
      </x:c>
    </x:row>
    <x:row r="116">
      <x:c r="A116" s="15" t="n">
        <x:v>43556</x:v>
      </x:c>
      <x:c r="B116" s="23"/>
      <x:c r="C116" s="23" t="n">
        <x:v>5</x:v>
      </x:c>
      <x:c r="D116" s="23" t="n">
        <x:v>2</x:v>
      </x:c>
      <x:c r="E116" s="23" t="n">
        <x:v>2</x:v>
      </x:c>
      <x:c r="F116" s="23" t="n">
        <x:v>3</x:v>
      </x:c>
      <x:c r="G116" s="23" t="n">
        <x:v>4</x:v>
      </x:c>
      <x:c r="H116" s="23" t="n">
        <x:v>3</x:v>
      </x:c>
      <x:c r="I116" s="23" t="n">
        <x:v>2</x:v>
      </x:c>
      <x:c r="J116" s="23" t="n">
        <x:v>4</x:v>
      </x:c>
      <x:c r="K116" s="23" t="n">
        <x:v>5</x:v>
      </x:c>
      <x:c r="L116" s="23" t="n">
        <x:v>5</x:v>
      </x:c>
      <x:c r="M116" s="23" t="n">
        <x:v>2</x:v>
      </x:c>
      <x:c r="N116" s="23" t="n">
        <x:v>8</x:v>
      </x:c>
      <x:c r="O116" s="23" t="n">
        <x:v>1</x:v>
      </x:c>
      <x:c r="P116" s="23" t="n">
        <x:v>3</x:v>
      </x:c>
      <x:c r="Q116" s="23" t="n">
        <x:v>5</x:v>
      </x:c>
      <x:c r="R116" s="23" t="n">
        <x:v>7</x:v>
      </x:c>
    </x:row>
    <x:row r="117">
      <x:c r="A117" s="15" t="n">
        <x:v>43586</x:v>
      </x:c>
      <x:c r="B117" s="23"/>
      <x:c r="C117" s="23" t="n">
        <x:v>5</x:v>
      </x:c>
      <x:c r="D117" s="23" t="n">
        <x:v>2</x:v>
      </x:c>
      <x:c r="E117" s="23" t="n">
        <x:v>2</x:v>
      </x:c>
      <x:c r="F117" s="23" t="n">
        <x:v>5</x:v>
      </x:c>
      <x:c r="G117" s="23" t="n">
        <x:v>4</x:v>
      </x:c>
      <x:c r="H117" s="23" t="n">
        <x:v>3</x:v>
      </x:c>
      <x:c r="I117" s="23" t="n">
        <x:v>2</x:v>
      </x:c>
      <x:c r="J117" s="23" t="n">
        <x:v>3</x:v>
      </x:c>
      <x:c r="K117" s="23" t="n">
        <x:v>5</x:v>
      </x:c>
      <x:c r="L117" s="23" t="n">
        <x:v>5</x:v>
      </x:c>
      <x:c r="M117" s="23" t="n">
        <x:v>2</x:v>
      </x:c>
      <x:c r="N117" s="23" t="n">
        <x:v>8</x:v>
      </x:c>
      <x:c r="O117" s="23" t="n">
        <x:v>1</x:v>
      </x:c>
      <x:c r="P117" s="23" t="n">
        <x:v>3</x:v>
      </x:c>
      <x:c r="Q117" s="23" t="n">
        <x:v>6</x:v>
      </x:c>
      <x:c r="R117" s="23" t="n">
        <x:v>7</x:v>
      </x:c>
    </x:row>
    <x:row r="118">
      <x:c r="A118" s="15" t="n">
        <x:v>43617</x:v>
      </x:c>
      <x:c r="B118" s="23"/>
      <x:c r="C118" s="23" t="n">
        <x:v>5</x:v>
      </x:c>
      <x:c r="D118" s="23" t="n">
        <x:v>2</x:v>
      </x:c>
      <x:c r="E118" s="23" t="n">
        <x:v>2</x:v>
      </x:c>
      <x:c r="F118" s="23" t="n">
        <x:v>5</x:v>
      </x:c>
      <x:c r="G118" s="23" t="n">
        <x:v>4</x:v>
      </x:c>
      <x:c r="H118" s="23" t="n">
        <x:v>3</x:v>
      </x:c>
      <x:c r="I118" s="23" t="n">
        <x:v>2</x:v>
      </x:c>
      <x:c r="J118" s="23" t="n">
        <x:v>3</x:v>
      </x:c>
      <x:c r="K118" s="23" t="n">
        <x:v>5</x:v>
      </x:c>
      <x:c r="L118" s="23" t="n">
        <x:v>5</x:v>
      </x:c>
      <x:c r="M118" s="23" t="n">
        <x:v>2</x:v>
      </x:c>
      <x:c r="N118" s="23" t="n">
        <x:v>8</x:v>
      </x:c>
      <x:c r="O118" s="23" t="n">
        <x:v>1</x:v>
      </x:c>
      <x:c r="P118" s="23" t="n">
        <x:v>3</x:v>
      </x:c>
      <x:c r="Q118" s="23" t="n">
        <x:v>6</x:v>
      </x:c>
      <x:c r="R118" s="23" t="n">
        <x:v>7</x:v>
      </x:c>
    </x:row>
    <x:row r="119">
      <x:c r="A119" s="15" t="n">
        <x:v>43647</x:v>
      </x:c>
      <x:c r="B119" s="23"/>
      <x:c r="C119" s="23" t="n">
        <x:v>5</x:v>
      </x:c>
      <x:c r="D119" s="23" t="n">
        <x:v>2</x:v>
      </x:c>
      <x:c r="E119" s="23" t="n">
        <x:v>2</x:v>
      </x:c>
      <x:c r="F119" s="23" t="n">
        <x:v>5</x:v>
      </x:c>
      <x:c r="G119" s="23" t="n">
        <x:v>4</x:v>
      </x:c>
      <x:c r="H119" s="23" t="n">
        <x:v>3</x:v>
      </x:c>
      <x:c r="I119" s="23" t="n">
        <x:v>2</x:v>
      </x:c>
      <x:c r="J119" s="23" t="n">
        <x:v>3</x:v>
      </x:c>
      <x:c r="K119" s="23" t="n">
        <x:v>5</x:v>
      </x:c>
      <x:c r="L119" s="23" t="n">
        <x:v>5</x:v>
      </x:c>
      <x:c r="M119" s="23" t="n">
        <x:v>2</x:v>
      </x:c>
      <x:c r="N119" s="23" t="n">
        <x:v>8</x:v>
      </x:c>
      <x:c r="O119" s="23" t="n">
        <x:v>1</x:v>
      </x:c>
      <x:c r="P119" s="23" t="n">
        <x:v>3</x:v>
      </x:c>
      <x:c r="Q119" s="23" t="n">
        <x:v>6</x:v>
      </x:c>
      <x:c r="R119" s="23" t="n">
        <x:v>7</x:v>
      </x:c>
    </x:row>
    <x:row r="120">
      <x:c r="A120" s="15" t="n">
        <x:v>43678</x:v>
      </x:c>
      <x:c r="B120" s="23"/>
      <x:c r="C120" s="23" t="n">
        <x:v>5</x:v>
      </x:c>
      <x:c r="D120" s="23" t="n">
        <x:v>2</x:v>
      </x:c>
      <x:c r="E120" s="23" t="n">
        <x:v>2</x:v>
      </x:c>
      <x:c r="F120" s="23" t="n">
        <x:v>5</x:v>
      </x:c>
      <x:c r="G120" s="23" t="n">
        <x:v>4</x:v>
      </x:c>
      <x:c r="H120" s="23" t="n">
        <x:v>3</x:v>
      </x:c>
      <x:c r="I120" s="23" t="n">
        <x:v>2</x:v>
      </x:c>
      <x:c r="J120" s="23" t="n">
        <x:v>3</x:v>
      </x:c>
      <x:c r="K120" s="23" t="n">
        <x:v>5</x:v>
      </x:c>
      <x:c r="L120" s="23" t="n">
        <x:v>5</x:v>
      </x:c>
      <x:c r="M120" s="23" t="n">
        <x:v>2</x:v>
      </x:c>
      <x:c r="N120" s="23" t="n">
        <x:v>8</x:v>
      </x:c>
      <x:c r="O120" s="23" t="n">
        <x:v>1</x:v>
      </x:c>
      <x:c r="P120" s="23" t="n">
        <x:v>3</x:v>
      </x:c>
      <x:c r="Q120" s="23" t="n">
        <x:v>6</x:v>
      </x:c>
      <x:c r="R120" s="23" t="n">
        <x:v>7</x:v>
      </x:c>
    </x:row>
    <x:row r="121">
      <x:c r="A121" s="15" t="n">
        <x:v>43709</x:v>
      </x:c>
      <x:c r="B121" s="23"/>
      <x:c r="C121" s="23" t="n">
        <x:v>6</x:v>
      </x:c>
      <x:c r="D121" s="23" t="n">
        <x:v>2</x:v>
      </x:c>
      <x:c r="E121" s="23" t="n">
        <x:v>2</x:v>
      </x:c>
      <x:c r="F121" s="23" t="n">
        <x:v>5</x:v>
      </x:c>
      <x:c r="G121" s="23" t="n">
        <x:v>4</x:v>
      </x:c>
      <x:c r="H121" s="23" t="n">
        <x:v>4</x:v>
      </x:c>
      <x:c r="I121" s="23" t="n">
        <x:v>2</x:v>
      </x:c>
      <x:c r="J121" s="23" t="n">
        <x:v>3</x:v>
      </x:c>
      <x:c r="K121" s="23" t="n">
        <x:v>5</x:v>
      </x:c>
      <x:c r="L121" s="23" t="n">
        <x:v>5</x:v>
      </x:c>
      <x:c r="M121" s="23" t="n">
        <x:v>2</x:v>
      </x:c>
      <x:c r="N121" s="23" t="n">
        <x:v>8</x:v>
      </x:c>
      <x:c r="O121" s="23" t="n">
        <x:v>1</x:v>
      </x:c>
      <x:c r="P121" s="23" t="n">
        <x:v>3</x:v>
      </x:c>
      <x:c r="Q121" s="23" t="n">
        <x:v>6</x:v>
      </x:c>
      <x:c r="R121" s="23" t="n">
        <x:v>7</x:v>
      </x:c>
    </x:row>
    <x:row r="122">
      <x:c r="A122" s="15" t="n">
        <x:v>43739</x:v>
      </x:c>
      <x:c r="B122" s="23"/>
      <x:c r="C122" s="23" t="n">
        <x:v>6</x:v>
      </x:c>
      <x:c r="D122" s="23" t="n">
        <x:v>2</x:v>
      </x:c>
      <x:c r="E122" s="23" t="n">
        <x:v>2</x:v>
      </x:c>
      <x:c r="F122" s="23" t="n">
        <x:v>5</x:v>
      </x:c>
      <x:c r="G122" s="23" t="n">
        <x:v>4</x:v>
      </x:c>
      <x:c r="H122" s="23" t="n">
        <x:v>4</x:v>
      </x:c>
      <x:c r="I122" s="23" t="n">
        <x:v>2</x:v>
      </x:c>
      <x:c r="J122" s="23" t="n">
        <x:v>3</x:v>
      </x:c>
      <x:c r="K122" s="23" t="n">
        <x:v>5</x:v>
      </x:c>
      <x:c r="L122" s="23" t="n">
        <x:v>5</x:v>
      </x:c>
      <x:c r="M122" s="23" t="n">
        <x:v>2</x:v>
      </x:c>
      <x:c r="N122" s="23" t="n">
        <x:v>8</x:v>
      </x:c>
      <x:c r="O122" s="23" t="n">
        <x:v>1</x:v>
      </x:c>
      <x:c r="P122" s="23" t="n">
        <x:v>3</x:v>
      </x:c>
      <x:c r="Q122" s="23" t="n">
        <x:v>6</x:v>
      </x:c>
      <x:c r="R122" s="23" t="n">
        <x:v>7</x:v>
      </x:c>
    </x:row>
    <x:row r="123">
      <x:c r="A123" s="15" t="n">
        <x:v>43770</x:v>
      </x:c>
      <x:c r="B123" s="23"/>
      <x:c r="C123" s="23" t="n">
        <x:v>6</x:v>
      </x:c>
      <x:c r="D123" s="23" t="n">
        <x:v>2</x:v>
      </x:c>
      <x:c r="E123" s="23" t="n">
        <x:v>2</x:v>
      </x:c>
      <x:c r="F123" s="23" t="n">
        <x:v>5</x:v>
      </x:c>
      <x:c r="G123" s="23" t="n">
        <x:v>4</x:v>
      </x:c>
      <x:c r="H123" s="23" t="n">
        <x:v>4</x:v>
      </x:c>
      <x:c r="I123" s="23" t="n">
        <x:v>2</x:v>
      </x:c>
      <x:c r="J123" s="23" t="n">
        <x:v>3</x:v>
      </x:c>
      <x:c r="K123" s="23" t="n">
        <x:v>5</x:v>
      </x:c>
      <x:c r="L123" s="23" t="n">
        <x:v>5</x:v>
      </x:c>
      <x:c r="M123" s="23" t="n">
        <x:v>2</x:v>
      </x:c>
      <x:c r="N123" s="23" t="n">
        <x:v>8</x:v>
      </x:c>
      <x:c r="O123" s="23" t="n">
        <x:v>1</x:v>
      </x:c>
      <x:c r="P123" s="23" t="n">
        <x:v>3</x:v>
      </x:c>
      <x:c r="Q123" s="23" t="n">
        <x:v>6</x:v>
      </x:c>
      <x:c r="R123" s="23" t="n">
        <x:v>7</x:v>
      </x:c>
    </x:row>
    <x:row r="124">
      <x:c r="A124" s="15" t="n">
        <x:v>43800</x:v>
      </x:c>
      <x:c r="B124" s="23"/>
      <x:c r="C124" s="23" t="n">
        <x:v>6</x:v>
      </x:c>
      <x:c r="D124" s="23" t="n">
        <x:v>2</x:v>
      </x:c>
      <x:c r="E124" s="23" t="n">
        <x:v>2</x:v>
      </x:c>
      <x:c r="F124" s="23" t="n">
        <x:v>5</x:v>
      </x:c>
      <x:c r="G124" s="23" t="n">
        <x:v>4</x:v>
      </x:c>
      <x:c r="H124" s="23" t="n">
        <x:v>4</x:v>
      </x:c>
      <x:c r="I124" s="23" t="n">
        <x:v>2</x:v>
      </x:c>
      <x:c r="J124" s="23" t="n">
        <x:v>3</x:v>
      </x:c>
      <x:c r="K124" s="23" t="n">
        <x:v>5</x:v>
      </x:c>
      <x:c r="L124" s="23" t="n">
        <x:v>5</x:v>
      </x:c>
      <x:c r="M124" s="23" t="n">
        <x:v>2</x:v>
      </x:c>
      <x:c r="N124" s="23" t="n">
        <x:v>9</x:v>
      </x:c>
      <x:c r="O124" s="23" t="n">
        <x:v>1</x:v>
      </x:c>
      <x:c r="P124" s="23" t="n">
        <x:v>3</x:v>
      </x:c>
      <x:c r="Q124" s="23" t="n">
        <x:v>6</x:v>
      </x:c>
      <x:c r="R124" s="23" t="n">
        <x:v>7</x:v>
      </x:c>
    </x:row>
    <x:row r="125">
      <x:c r="A125" s="15" t="n">
        <x:v>43831</x:v>
      </x:c>
      <x:c r="B125" s="23"/>
      <x:c r="C125" s="23" t="n">
        <x:v>6</x:v>
      </x:c>
      <x:c r="D125" s="23" t="n">
        <x:v>2</x:v>
      </x:c>
      <x:c r="E125" s="23" t="n">
        <x:v>2</x:v>
      </x:c>
      <x:c r="F125" s="23" t="n">
        <x:v>6</x:v>
      </x:c>
      <x:c r="G125" s="23" t="n">
        <x:v>4</x:v>
      </x:c>
      <x:c r="H125" s="23" t="n">
        <x:v>6</x:v>
      </x:c>
      <x:c r="I125" s="23" t="n">
        <x:v>2</x:v>
      </x:c>
      <x:c r="J125" s="23" t="n">
        <x:v>3</x:v>
      </x:c>
      <x:c r="K125" s="23" t="n">
        <x:v>5</x:v>
      </x:c>
      <x:c r="L125" s="23" t="n">
        <x:v>5</x:v>
      </x:c>
      <x:c r="M125" s="23" t="n">
        <x:v>2</x:v>
      </x:c>
      <x:c r="N125" s="23" t="n">
        <x:v>11</x:v>
      </x:c>
      <x:c r="O125" s="23" t="n">
        <x:v>1</x:v>
      </x:c>
      <x:c r="P125" s="23" t="n">
        <x:v>4</x:v>
      </x:c>
      <x:c r="Q125" s="23" t="n">
        <x:v>6</x:v>
      </x:c>
      <x:c r="R125" s="23" t="n">
        <x:v>7</x:v>
      </x:c>
    </x:row>
    <x:row r="126">
      <x:c r="A126" s="15" t="n">
        <x:v>43862</x:v>
      </x:c>
      <x:c r="B126" s="23"/>
      <x:c r="C126" s="23" t="n">
        <x:v>6</x:v>
      </x:c>
      <x:c r="D126" s="23" t="n">
        <x:v>2</x:v>
      </x:c>
      <x:c r="E126" s="23" t="n">
        <x:v>2</x:v>
      </x:c>
      <x:c r="F126" s="23" t="n">
        <x:v>6</x:v>
      </x:c>
      <x:c r="G126" s="23" t="n">
        <x:v>4</x:v>
      </x:c>
      <x:c r="H126" s="23" t="n">
        <x:v>6</x:v>
      </x:c>
      <x:c r="I126" s="23" t="n">
        <x:v>2</x:v>
      </x:c>
      <x:c r="J126" s="23" t="n">
        <x:v>3</x:v>
      </x:c>
      <x:c r="K126" s="23" t="n">
        <x:v>5</x:v>
      </x:c>
      <x:c r="L126" s="23" t="n">
        <x:v>5</x:v>
      </x:c>
      <x:c r="M126" s="23" t="n">
        <x:v>2</x:v>
      </x:c>
      <x:c r="N126" s="23" t="n">
        <x:v>11</x:v>
      </x:c>
      <x:c r="O126" s="23" t="n">
        <x:v>1</x:v>
      </x:c>
      <x:c r="P126" s="23" t="n">
        <x:v>4</x:v>
      </x:c>
      <x:c r="Q126" s="23" t="n">
        <x:v>6</x:v>
      </x:c>
      <x:c r="R126" s="23" t="n">
        <x:v>7</x:v>
      </x:c>
    </x:row>
    <x:row r="127">
      <x:c r="A127" s="15" t="n">
        <x:v>43891</x:v>
      </x:c>
      <x:c r="B127" s="23"/>
      <x:c r="C127" s="23" t="n">
        <x:v>6</x:v>
      </x:c>
      <x:c r="D127" s="23" t="n">
        <x:v>2</x:v>
      </x:c>
      <x:c r="E127" s="23" t="n">
        <x:v>2</x:v>
      </x:c>
      <x:c r="F127" s="23" t="n">
        <x:v>6</x:v>
      </x:c>
      <x:c r="G127" s="23" t="n">
        <x:v>4</x:v>
      </x:c>
      <x:c r="H127" s="23" t="n">
        <x:v>6</x:v>
      </x:c>
      <x:c r="I127" s="23" t="n">
        <x:v>2</x:v>
      </x:c>
      <x:c r="J127" s="23" t="n">
        <x:v>3</x:v>
      </x:c>
      <x:c r="K127" s="23" t="n">
        <x:v>5</x:v>
      </x:c>
      <x:c r="L127" s="23" t="n">
        <x:v>5</x:v>
      </x:c>
      <x:c r="M127" s="23" t="n">
        <x:v>2</x:v>
      </x:c>
      <x:c r="N127" s="23" t="n">
        <x:v>11</x:v>
      </x:c>
      <x:c r="O127" s="23" t="n">
        <x:v>1</x:v>
      </x:c>
      <x:c r="P127" s="23" t="n">
        <x:v>4</x:v>
      </x:c>
      <x:c r="Q127" s="23" t="n">
        <x:v>6</x:v>
      </x:c>
      <x:c r="R127" s="23" t="n">
        <x:v>7</x:v>
      </x:c>
    </x:row>
    <x:row r="128">
      <x:c r="A128" s="15" t="n">
        <x:v>43922</x:v>
      </x:c>
      <x:c r="B128" s="23"/>
      <x:c r="C128" s="23" t="n">
        <x:v>6</x:v>
      </x:c>
      <x:c r="D128" s="23" t="n">
        <x:v>2</x:v>
      </x:c>
      <x:c r="E128" s="23" t="n">
        <x:v>2</x:v>
      </x:c>
      <x:c r="F128" s="23" t="n">
        <x:v>6</x:v>
      </x:c>
      <x:c r="G128" s="23" t="n">
        <x:v>4</x:v>
      </x:c>
      <x:c r="H128" s="23" t="n">
        <x:v>6</x:v>
      </x:c>
      <x:c r="I128" s="23" t="n">
        <x:v>2</x:v>
      </x:c>
      <x:c r="J128" s="23" t="n">
        <x:v>3</x:v>
      </x:c>
      <x:c r="K128" s="23" t="n">
        <x:v>6</x:v>
      </x:c>
      <x:c r="L128" s="23" t="n">
        <x:v>5</x:v>
      </x:c>
      <x:c r="M128" s="23" t="n">
        <x:v>2</x:v>
      </x:c>
      <x:c r="N128" s="23" t="n">
        <x:v>11</x:v>
      </x:c>
      <x:c r="O128" s="23" t="n">
        <x:v>1</x:v>
      </x:c>
      <x:c r="P128" s="23" t="n">
        <x:v>4</x:v>
      </x:c>
      <x:c r="Q128" s="23" t="n">
        <x:v>6</x:v>
      </x:c>
      <x:c r="R128" s="23" t="n">
        <x:v>7</x:v>
      </x:c>
    </x:row>
    <x:row r="129">
      <x:c r="A129" s="15" t="n">
        <x:v>43952</x:v>
      </x:c>
      <x:c r="B129" s="23"/>
      <x:c r="C129" s="23" t="n">
        <x:v>6</x:v>
      </x:c>
      <x:c r="D129" s="23" t="n">
        <x:v>2</x:v>
      </x:c>
      <x:c r="E129" s="23" t="n">
        <x:v>2</x:v>
      </x:c>
      <x:c r="F129" s="23" t="n">
        <x:v>6</x:v>
      </x:c>
      <x:c r="G129" s="23" t="n">
        <x:v>5</x:v>
      </x:c>
      <x:c r="H129" s="23" t="n">
        <x:v>6</x:v>
      </x:c>
      <x:c r="I129" s="23" t="n">
        <x:v>2</x:v>
      </x:c>
      <x:c r="J129" s="23" t="n">
        <x:v>3</x:v>
      </x:c>
      <x:c r="K129" s="23" t="n">
        <x:v>6</x:v>
      </x:c>
      <x:c r="L129" s="23" t="n">
        <x:v>5</x:v>
      </x:c>
      <x:c r="M129" s="23" t="n">
        <x:v>2</x:v>
      </x:c>
      <x:c r="N129" s="23" t="n">
        <x:v>11</x:v>
      </x:c>
      <x:c r="O129" s="23" t="n">
        <x:v>1</x:v>
      </x:c>
      <x:c r="P129" s="23" t="n">
        <x:v>3</x:v>
      </x:c>
      <x:c r="Q129" s="23" t="n">
        <x:v>6</x:v>
      </x:c>
      <x:c r="R129" s="23" t="n">
        <x:v>9</x:v>
      </x:c>
    </x:row>
    <x:row r="130">
      <x:c r="A130" s="15" t="n">
        <x:v>43983</x:v>
      </x:c>
      <x:c r="B130" s="23"/>
      <x:c r="C130" s="23" t="n">
        <x:v>6</x:v>
      </x:c>
      <x:c r="D130" s="23" t="n">
        <x:v>2</x:v>
      </x:c>
      <x:c r="E130" s="23" t="n">
        <x:v>2</x:v>
      </x:c>
      <x:c r="F130" s="23" t="n">
        <x:v>6</x:v>
      </x:c>
      <x:c r="G130" s="23" t="n">
        <x:v>5</x:v>
      </x:c>
      <x:c r="H130" s="23" t="n">
        <x:v>6</x:v>
      </x:c>
      <x:c r="I130" s="23" t="n">
        <x:v>2</x:v>
      </x:c>
      <x:c r="J130" s="23" t="n">
        <x:v>3</x:v>
      </x:c>
      <x:c r="K130" s="23" t="n">
        <x:v>6</x:v>
      </x:c>
      <x:c r="L130" s="23" t="n">
        <x:v>5</x:v>
      </x:c>
      <x:c r="M130" s="23" t="n">
        <x:v>2</x:v>
      </x:c>
      <x:c r="N130" s="23" t="n">
        <x:v>11</x:v>
      </x:c>
      <x:c r="O130" s="23" t="n">
        <x:v>1</x:v>
      </x:c>
      <x:c r="P130" s="23" t="n">
        <x:v>3</x:v>
      </x:c>
      <x:c r="Q130" s="23" t="n">
        <x:v>6</x:v>
      </x:c>
      <x:c r="R130" s="23" t="n">
        <x:v>9</x:v>
      </x:c>
    </x:row>
    <x:row r="131">
      <x:c r="A131" s="15" t="n">
        <x:v>44013</x:v>
      </x:c>
      <x:c r="B131" s="23"/>
      <x:c r="C131" s="23" t="n">
        <x:v>6</x:v>
      </x:c>
      <x:c r="D131" s="23" t="n">
        <x:v>2</x:v>
      </x:c>
      <x:c r="E131" s="23" t="n">
        <x:v>2</x:v>
      </x:c>
      <x:c r="F131" s="23" t="n">
        <x:v>6</x:v>
      </x:c>
      <x:c r="G131" s="23" t="n">
        <x:v>5</x:v>
      </x:c>
      <x:c r="H131" s="23" t="n">
        <x:v>6</x:v>
      </x:c>
      <x:c r="I131" s="23" t="n">
        <x:v>2</x:v>
      </x:c>
      <x:c r="J131" s="23" t="n">
        <x:v>3</x:v>
      </x:c>
      <x:c r="K131" s="23" t="n">
        <x:v>5</x:v>
      </x:c>
      <x:c r="L131" s="23" t="n">
        <x:v>5</x:v>
      </x:c>
      <x:c r="M131" s="23" t="n">
        <x:v>2</x:v>
      </x:c>
      <x:c r="N131" s="23" t="n">
        <x:v>10</x:v>
      </x:c>
      <x:c r="O131" s="23" t="n">
        <x:v>1</x:v>
      </x:c>
      <x:c r="P131" s="23" t="n">
        <x:v>3</x:v>
      </x:c>
      <x:c r="Q131" s="23" t="n">
        <x:v>6</x:v>
      </x:c>
      <x:c r="R131" s="23" t="n">
        <x:v>9</x:v>
      </x:c>
    </x:row>
    <x:row r="132">
      <x:c r="A132" s="15" t="n">
        <x:v>44044</x:v>
      </x:c>
      <x:c r="B132" s="23"/>
      <x:c r="C132" s="23" t="n">
        <x:v>6</x:v>
      </x:c>
      <x:c r="D132" s="23" t="n">
        <x:v>2</x:v>
      </x:c>
      <x:c r="E132" s="23" t="n">
        <x:v>2</x:v>
      </x:c>
      <x:c r="F132" s="23" t="n">
        <x:v>6</x:v>
      </x:c>
      <x:c r="G132" s="23" t="n">
        <x:v>5</x:v>
      </x:c>
      <x:c r="H132" s="23" t="n">
        <x:v>6</x:v>
      </x:c>
      <x:c r="I132" s="23" t="n">
        <x:v>2</x:v>
      </x:c>
      <x:c r="J132" s="23" t="n">
        <x:v>3</x:v>
      </x:c>
      <x:c r="K132" s="23" t="n">
        <x:v>5</x:v>
      </x:c>
      <x:c r="L132" s="23" t="n">
        <x:v>5</x:v>
      </x:c>
      <x:c r="M132" s="23" t="n">
        <x:v>2</x:v>
      </x:c>
      <x:c r="N132" s="23" t="n">
        <x:v>10</x:v>
      </x:c>
      <x:c r="O132" s="23" t="n">
        <x:v>1</x:v>
      </x:c>
      <x:c r="P132" s="23" t="n">
        <x:v>3</x:v>
      </x:c>
      <x:c r="Q132" s="23" t="n">
        <x:v>6</x:v>
      </x:c>
      <x:c r="R132" s="23" t="n">
        <x:v>9</x:v>
      </x:c>
    </x:row>
    <x:row r="133">
      <x:c r="A133" s="15" t="n">
        <x:v>44075</x:v>
      </x:c>
      <x:c r="B133" s="23"/>
      <x:c r="C133" s="23" t="n">
        <x:v>6</x:v>
      </x:c>
      <x:c r="D133" s="23" t="n">
        <x:v>2</x:v>
      </x:c>
      <x:c r="E133" s="23" t="n">
        <x:v>2</x:v>
      </x:c>
      <x:c r="F133" s="23" t="n">
        <x:v>6</x:v>
      </x:c>
      <x:c r="G133" s="23" t="n">
        <x:v>5</x:v>
      </x:c>
      <x:c r="H133" s="23" t="n">
        <x:v>6</x:v>
      </x:c>
      <x:c r="I133" s="23" t="n">
        <x:v>3</x:v>
      </x:c>
      <x:c r="J133" s="23" t="n">
        <x:v>3</x:v>
      </x:c>
      <x:c r="K133" s="23" t="n">
        <x:v>5</x:v>
      </x:c>
      <x:c r="L133" s="23" t="n">
        <x:v>6</x:v>
      </x:c>
      <x:c r="M133" s="23" t="n">
        <x:v>2</x:v>
      </x:c>
      <x:c r="N133" s="23" t="n">
        <x:v>10</x:v>
      </x:c>
      <x:c r="O133" s="23" t="n">
        <x:v>1</x:v>
      </x:c>
      <x:c r="P133" s="23" t="n">
        <x:v>3</x:v>
      </x:c>
      <x:c r="Q133" s="23" t="n">
        <x:v>6</x:v>
      </x:c>
      <x:c r="R133" s="23" t="n">
        <x:v>9</x:v>
      </x:c>
    </x:row>
    <x:row r="134">
      <x:c r="A134" s="15" t="n">
        <x:v>44105</x:v>
      </x:c>
      <x:c r="B134" s="23"/>
      <x:c r="C134" s="23" t="n">
        <x:v>6</x:v>
      </x:c>
      <x:c r="D134" s="23" t="n">
        <x:v>2</x:v>
      </x:c>
      <x:c r="E134" s="23" t="n">
        <x:v>2</x:v>
      </x:c>
      <x:c r="F134" s="23" t="n">
        <x:v>6</x:v>
      </x:c>
      <x:c r="G134" s="23" t="n">
        <x:v>5</x:v>
      </x:c>
      <x:c r="H134" s="23" t="n">
        <x:v>6</x:v>
      </x:c>
      <x:c r="I134" s="23" t="n">
        <x:v>3</x:v>
      </x:c>
      <x:c r="J134" s="23" t="n">
        <x:v>3</x:v>
      </x:c>
      <x:c r="K134" s="23" t="n">
        <x:v>4</x:v>
      </x:c>
      <x:c r="L134" s="23" t="n">
        <x:v>6</x:v>
      </x:c>
      <x:c r="M134" s="23" t="n">
        <x:v>2</x:v>
      </x:c>
      <x:c r="N134" s="23" t="n">
        <x:v>10</x:v>
      </x:c>
      <x:c r="O134" s="23" t="n">
        <x:v>1</x:v>
      </x:c>
      <x:c r="P134" s="23" t="n">
        <x:v>3</x:v>
      </x:c>
      <x:c r="Q134" s="23" t="n">
        <x:v>6</x:v>
      </x:c>
      <x:c r="R134" s="23" t="n">
        <x:v>9</x:v>
      </x:c>
    </x:row>
    <x:row r="135">
      <x:c r="A135" s="15" t="n">
        <x:v>44136</x:v>
      </x:c>
      <x:c r="B135" s="23"/>
      <x:c r="C135" s="23" t="n">
        <x:v>6</x:v>
      </x:c>
      <x:c r="D135" s="23" t="n">
        <x:v>2</x:v>
      </x:c>
      <x:c r="E135" s="23" t="n">
        <x:v>2</x:v>
      </x:c>
      <x:c r="F135" s="23" t="n">
        <x:v>6</x:v>
      </x:c>
      <x:c r="G135" s="23" t="n">
        <x:v>5</x:v>
      </x:c>
      <x:c r="H135" s="23" t="n">
        <x:v>6</x:v>
      </x:c>
      <x:c r="I135" s="23" t="n">
        <x:v>3</x:v>
      </x:c>
      <x:c r="J135" s="23" t="n">
        <x:v>3</x:v>
      </x:c>
      <x:c r="K135" s="23" t="n">
        <x:v>4</x:v>
      </x:c>
      <x:c r="L135" s="23" t="n">
        <x:v>6</x:v>
      </x:c>
      <x:c r="M135" s="23" t="n">
        <x:v>2</x:v>
      </x:c>
      <x:c r="N135" s="23" t="n">
        <x:v>11</x:v>
      </x:c>
      <x:c r="O135" s="23" t="n">
        <x:v>1</x:v>
      </x:c>
      <x:c r="P135" s="23" t="n">
        <x:v>2</x:v>
      </x:c>
      <x:c r="Q135" s="23" t="n">
        <x:v>6</x:v>
      </x:c>
      <x:c r="R135" s="23" t="n">
        <x:v>9</x:v>
      </x:c>
    </x:row>
    <x:row r="136">
      <x:c r="A136" s="15" t="n">
        <x:v>44166</x:v>
      </x:c>
      <x:c r="B136" s="23"/>
      <x:c r="C136" s="23" t="n">
        <x:v>6</x:v>
      </x:c>
      <x:c r="D136" s="23" t="n">
        <x:v>2</x:v>
      </x:c>
      <x:c r="E136" s="23" t="n">
        <x:v>2</x:v>
      </x:c>
      <x:c r="F136" s="23" t="n">
        <x:v>6</x:v>
      </x:c>
      <x:c r="G136" s="23" t="n">
        <x:v>5</x:v>
      </x:c>
      <x:c r="H136" s="23" t="n">
        <x:v>6</x:v>
      </x:c>
      <x:c r="I136" s="23" t="n">
        <x:v>3</x:v>
      </x:c>
      <x:c r="J136" s="23" t="n">
        <x:v>4</x:v>
      </x:c>
      <x:c r="K136" s="23" t="n">
        <x:v>4</x:v>
      </x:c>
      <x:c r="L136" s="23" t="n">
        <x:v>6</x:v>
      </x:c>
      <x:c r="M136" s="23" t="n">
        <x:v>2</x:v>
      </x:c>
      <x:c r="N136" s="23" t="n">
        <x:v>11</x:v>
      </x:c>
      <x:c r="O136" s="23" t="n">
        <x:v>1</x:v>
      </x:c>
      <x:c r="P136" s="23" t="n">
        <x:v>2</x:v>
      </x:c>
      <x:c r="Q136" s="23" t="n">
        <x:v>7</x:v>
      </x:c>
      <x:c r="R136" s="23" t="n">
        <x:v>11</x:v>
      </x:c>
    </x:row>
    <x:row r="137">
      <x:c r="A137" s="15" t="n">
        <x:v>44197</x:v>
      </x:c>
      <x:c r="B137" s="23"/>
      <x:c r="C137" s="23" t="n">
        <x:v>6</x:v>
      </x:c>
      <x:c r="D137" s="23" t="n">
        <x:v>2</x:v>
      </x:c>
      <x:c r="E137" s="23" t="n">
        <x:v>2</x:v>
      </x:c>
      <x:c r="F137" s="23" t="n">
        <x:v>6</x:v>
      </x:c>
      <x:c r="G137" s="23" t="n">
        <x:v>5</x:v>
      </x:c>
      <x:c r="H137" s="23" t="n">
        <x:v>6</x:v>
      </x:c>
      <x:c r="I137" s="23" t="n">
        <x:v>3</x:v>
      </x:c>
      <x:c r="J137" s="23" t="n">
        <x:v>4</x:v>
      </x:c>
      <x:c r="K137" s="23" t="n">
        <x:v>6</x:v>
      </x:c>
      <x:c r="L137" s="23" t="n">
        <x:v>6</x:v>
      </x:c>
      <x:c r="M137" s="23" t="n">
        <x:v>2</x:v>
      </x:c>
      <x:c r="N137" s="23" t="n">
        <x:v>11</x:v>
      </x:c>
      <x:c r="O137" s="23" t="n">
        <x:v>1</x:v>
      </x:c>
      <x:c r="P137" s="23" t="n">
        <x:v>2</x:v>
      </x:c>
      <x:c r="Q137" s="23" t="n">
        <x:v>7</x:v>
      </x:c>
      <x:c r="R137" s="23" t="n">
        <x:v>11</x:v>
      </x:c>
    </x:row>
    <x:row r="138">
      <x:c r="A138" s="15" t="n">
        <x:v>44228</x:v>
      </x:c>
      <x:c r="B138" s="23"/>
      <x:c r="C138" s="23" t="n">
        <x:v>6</x:v>
      </x:c>
      <x:c r="D138" s="23" t="n">
        <x:v>2</x:v>
      </x:c>
      <x:c r="E138" s="23" t="n">
        <x:v>2</x:v>
      </x:c>
      <x:c r="F138" s="23" t="n">
        <x:v>6</x:v>
      </x:c>
      <x:c r="G138" s="23" t="n">
        <x:v>5</x:v>
      </x:c>
      <x:c r="H138" s="23" t="n">
        <x:v>6</x:v>
      </x:c>
      <x:c r="I138" s="23" t="n">
        <x:v>3</x:v>
      </x:c>
      <x:c r="J138" s="23" t="n">
        <x:v>4</x:v>
      </x:c>
      <x:c r="K138" s="23" t="n">
        <x:v>6</x:v>
      </x:c>
      <x:c r="L138" s="23" t="n">
        <x:v>6</x:v>
      </x:c>
      <x:c r="M138" s="23" t="n">
        <x:v>2</x:v>
      </x:c>
      <x:c r="N138" s="23" t="n">
        <x:v>11</x:v>
      </x:c>
      <x:c r="O138" s="23" t="n">
        <x:v>1</x:v>
      </x:c>
      <x:c r="P138" s="23" t="n">
        <x:v>2</x:v>
      </x:c>
      <x:c r="Q138" s="23" t="n">
        <x:v>7</x:v>
      </x:c>
      <x:c r="R138" s="23" t="n">
        <x:v>11</x:v>
      </x:c>
    </x:row>
    <x:row r="139">
      <x:c r="A139" s="15" t="n">
        <x:v>44256</x:v>
      </x:c>
      <x:c r="B139" s="23"/>
      <x:c r="C139" s="23" t="n">
        <x:v>6</x:v>
      </x:c>
      <x:c r="D139" s="23" t="n">
        <x:v>2</x:v>
      </x:c>
      <x:c r="E139" s="23" t="n">
        <x:v>2</x:v>
      </x:c>
      <x:c r="F139" s="23" t="n">
        <x:v>6</x:v>
      </x:c>
      <x:c r="G139" s="23" t="n">
        <x:v>5</x:v>
      </x:c>
      <x:c r="H139" s="23" t="n">
        <x:v>6</x:v>
      </x:c>
      <x:c r="I139" s="23" t="n">
        <x:v>3</x:v>
      </x:c>
      <x:c r="J139" s="23" t="n">
        <x:v>4</x:v>
      </x:c>
      <x:c r="K139" s="23" t="n">
        <x:v>6</x:v>
      </x:c>
      <x:c r="L139" s="23" t="n">
        <x:v>6</x:v>
      </x:c>
      <x:c r="M139" s="23" t="n">
        <x:v>2</x:v>
      </x:c>
      <x:c r="N139" s="23" t="n">
        <x:v>11</x:v>
      </x:c>
      <x:c r="O139" s="23" t="n">
        <x:v>1</x:v>
      </x:c>
      <x:c r="P139" s="23" t="n">
        <x:v>2</x:v>
      </x:c>
      <x:c r="Q139" s="23" t="n">
        <x:v>7</x:v>
      </x:c>
      <x:c r="R139" s="23" t="n">
        <x:v>11</x:v>
      </x:c>
    </x:row>
    <x:row r="140">
      <x:c r="A140" s="15" t="n">
        <x:v>44287</x:v>
      </x:c>
      <x:c r="B140" s="23"/>
      <x:c r="C140" s="23" t="n">
        <x:v>6</x:v>
      </x:c>
      <x:c r="D140" s="23" t="n">
        <x:v>2</x:v>
      </x:c>
      <x:c r="E140" s="23" t="n">
        <x:v>2</x:v>
      </x:c>
      <x:c r="F140" s="23" t="n">
        <x:v>6</x:v>
      </x:c>
      <x:c r="G140" s="23" t="n">
        <x:v>5</x:v>
      </x:c>
      <x:c r="H140" s="23" t="n">
        <x:v>6</x:v>
      </x:c>
      <x:c r="I140" s="23" t="n">
        <x:v>3</x:v>
      </x:c>
      <x:c r="J140" s="23" t="n">
        <x:v>4</x:v>
      </x:c>
      <x:c r="K140" s="23" t="n">
        <x:v>5</x:v>
      </x:c>
      <x:c r="L140" s="23" t="n">
        <x:v>6</x:v>
      </x:c>
      <x:c r="M140" s="23" t="n">
        <x:v>2</x:v>
      </x:c>
      <x:c r="N140" s="23" t="n">
        <x:v>11</x:v>
      </x:c>
      <x:c r="O140" s="23" t="n">
        <x:v>1</x:v>
      </x:c>
      <x:c r="P140" s="23" t="n">
        <x:v>2</x:v>
      </x:c>
      <x:c r="Q140" s="23" t="n">
        <x:v>7</x:v>
      </x:c>
      <x:c r="R140" s="23" t="n">
        <x:v>11</x:v>
      </x:c>
    </x:row>
    <x:row r="141">
      <x:c r="A141" s="15" t="n">
        <x:v>44317</x:v>
      </x:c>
      <x:c r="B141" s="23"/>
      <x:c r="C141" s="23" t="n">
        <x:v>7</x:v>
      </x:c>
      <x:c r="D141" s="23" t="n">
        <x:v>2</x:v>
      </x:c>
      <x:c r="E141" s="23" t="n">
        <x:v>2</x:v>
      </x:c>
      <x:c r="F141" s="23" t="n">
        <x:v>6</x:v>
      </x:c>
      <x:c r="G141" s="23" t="n">
        <x:v>4</x:v>
      </x:c>
      <x:c r="H141" s="23" t="n">
        <x:v>6</x:v>
      </x:c>
      <x:c r="I141" s="23" t="n">
        <x:v>3</x:v>
      </x:c>
      <x:c r="J141" s="23" t="n">
        <x:v>4</x:v>
      </x:c>
      <x:c r="K141" s="23" t="n">
        <x:v>5</x:v>
      </x:c>
      <x:c r="L141" s="23" t="n">
        <x:v>6</x:v>
      </x:c>
      <x:c r="M141" s="23" t="n">
        <x:v>2</x:v>
      </x:c>
      <x:c r="N141" s="23" t="n">
        <x:v>11</x:v>
      </x:c>
      <x:c r="O141" s="23" t="n">
        <x:v>1</x:v>
      </x:c>
      <x:c r="P141" s="23" t="n">
        <x:v>3</x:v>
      </x:c>
      <x:c r="Q141" s="23" t="n">
        <x:v>7</x:v>
      </x:c>
      <x:c r="R141" s="23" t="n">
        <x:v>11</x:v>
      </x:c>
    </x:row>
    <x:row r="142">
      <x:c r="A142" s="15" t="n">
        <x:v>44348</x:v>
      </x:c>
      <x:c r="B142" s="23"/>
      <x:c r="C142" s="23" t="n">
        <x:v>7</x:v>
      </x:c>
      <x:c r="D142" s="23" t="n">
        <x:v>2</x:v>
      </x:c>
      <x:c r="E142" s="23" t="n">
        <x:v>2</x:v>
      </x:c>
      <x:c r="F142" s="23" t="n">
        <x:v>6</x:v>
      </x:c>
      <x:c r="G142" s="23" t="n">
        <x:v>5</x:v>
      </x:c>
      <x:c r="H142" s="23" t="n">
        <x:v>6</x:v>
      </x:c>
      <x:c r="I142" s="23" t="n">
        <x:v>3</x:v>
      </x:c>
      <x:c r="J142" s="23" t="n">
        <x:v>4</x:v>
      </x:c>
      <x:c r="K142" s="23" t="n">
        <x:v>4</x:v>
      </x:c>
      <x:c r="L142" s="23" t="n">
        <x:v>6</x:v>
      </x:c>
      <x:c r="M142" s="23" t="n">
        <x:v>2</x:v>
      </x:c>
      <x:c r="N142" s="23" t="n">
        <x:v>11</x:v>
      </x:c>
      <x:c r="O142" s="23" t="n">
        <x:v>1</x:v>
      </x:c>
      <x:c r="P142" s="23" t="n">
        <x:v>3</x:v>
      </x:c>
      <x:c r="Q142" s="23" t="n">
        <x:v>7</x:v>
      </x:c>
      <x:c r="R142" s="23" t="n">
        <x:v>11</x:v>
      </x:c>
    </x:row>
    <x:row r="143">
      <x:c r="A143" s="15" t="n">
        <x:v>44378</x:v>
      </x:c>
      <x:c r="B143" s="23"/>
      <x:c r="C143" s="23" t="n">
        <x:v>7</x:v>
      </x:c>
      <x:c r="D143" s="23" t="n">
        <x:v>2</x:v>
      </x:c>
      <x:c r="E143" s="23" t="n">
        <x:v>2</x:v>
      </x:c>
      <x:c r="F143" s="23" t="n">
        <x:v>6</x:v>
      </x:c>
      <x:c r="G143" s="23" t="n">
        <x:v>5</x:v>
      </x:c>
      <x:c r="H143" s="23" t="n">
        <x:v>6</x:v>
      </x:c>
      <x:c r="I143" s="23" t="n">
        <x:v>3</x:v>
      </x:c>
      <x:c r="J143" s="23" t="n">
        <x:v>4</x:v>
      </x:c>
      <x:c r="K143" s="23" t="n">
        <x:v>4</x:v>
      </x:c>
      <x:c r="L143" s="23" t="n">
        <x:v>6</x:v>
      </x:c>
      <x:c r="M143" s="23" t="n">
        <x:v>2</x:v>
      </x:c>
      <x:c r="N143" s="23" t="n">
        <x:v>11</x:v>
      </x:c>
      <x:c r="O143" s="23" t="n">
        <x:v>1</x:v>
      </x:c>
      <x:c r="P143" s="23" t="n">
        <x:v>2</x:v>
      </x:c>
      <x:c r="Q143" s="23" t="n">
        <x:v>7</x:v>
      </x:c>
      <x:c r="R143" s="23" t="n">
        <x:v>11</x:v>
      </x:c>
    </x:row>
    <x:row r="144">
      <x:c r="A144" s="15" t="n">
        <x:v>44409</x:v>
      </x:c>
      <x:c r="B144" s="23"/>
      <x:c r="C144" s="23" t="n">
        <x:v>7</x:v>
      </x:c>
      <x:c r="D144" s="23" t="n">
        <x:v>2</x:v>
      </x:c>
      <x:c r="E144" s="23" t="n">
        <x:v>2</x:v>
      </x:c>
      <x:c r="F144" s="23" t="n">
        <x:v>6</x:v>
      </x:c>
      <x:c r="G144" s="23" t="n">
        <x:v>5</x:v>
      </x:c>
      <x:c r="H144" s="23" t="n">
        <x:v>6</x:v>
      </x:c>
      <x:c r="I144" s="23" t="n">
        <x:v>3</x:v>
      </x:c>
      <x:c r="J144" s="23" t="n">
        <x:v>4</x:v>
      </x:c>
      <x:c r="K144" s="23" t="n">
        <x:v>4</x:v>
      </x:c>
      <x:c r="L144" s="23" t="n">
        <x:v>6</x:v>
      </x:c>
      <x:c r="M144" s="23" t="n">
        <x:v>2</x:v>
      </x:c>
      <x:c r="N144" s="23" t="n">
        <x:v>12</x:v>
      </x:c>
      <x:c r="O144" s="23" t="n">
        <x:v>1</x:v>
      </x:c>
      <x:c r="P144" s="23" t="n">
        <x:v>2</x:v>
      </x:c>
      <x:c r="Q144" s="23" t="n">
        <x:v>7</x:v>
      </x:c>
      <x:c r="R144" s="23" t="n">
        <x:v>10</x:v>
      </x:c>
    </x:row>
    <x:row r="145">
      <x:c r="A145" s="15" t="n">
        <x:v>44440</x:v>
      </x:c>
      <x:c r="B145" s="23"/>
      <x:c r="C145" s="23" t="n">
        <x:v>9</x:v>
      </x:c>
      <x:c r="D145" s="23" t="n">
        <x:v>2</x:v>
      </x:c>
      <x:c r="E145" s="23" t="n">
        <x:v>2</x:v>
      </x:c>
      <x:c r="F145" s="23" t="n">
        <x:v>7</x:v>
      </x:c>
      <x:c r="G145" s="23" t="n">
        <x:v>5</x:v>
      </x:c>
      <x:c r="H145" s="23" t="n">
        <x:v>7</x:v>
      </x:c>
      <x:c r="I145" s="23" t="n">
        <x:v>3</x:v>
      </x:c>
      <x:c r="J145" s="23" t="n">
        <x:v>4</x:v>
      </x:c>
      <x:c r="K145" s="23" t="n">
        <x:v>6</x:v>
      </x:c>
      <x:c r="L145" s="23" t="n">
        <x:v>6</x:v>
      </x:c>
      <x:c r="M145" s="23" t="n">
        <x:v>3</x:v>
      </x:c>
      <x:c r="N145" s="23" t="n">
        <x:v>13</x:v>
      </x:c>
      <x:c r="O145" s="23" t="n">
        <x:v>1</x:v>
      </x:c>
      <x:c r="P145" s="23" t="n">
        <x:v>3</x:v>
      </x:c>
      <x:c r="Q145" s="23" t="n">
        <x:v>7</x:v>
      </x:c>
      <x:c r="R145" s="23" t="n">
        <x:v>11</x:v>
      </x:c>
    </x:row>
    <x:row r="146">
      <x:c r="A146" s="15" t="n">
        <x:v>44470</x:v>
      </x:c>
      <x:c r="B146" s="23"/>
      <x:c r="C146" s="23" t="n">
        <x:v>9</x:v>
      </x:c>
      <x:c r="D146" s="23" t="n">
        <x:v>2</x:v>
      </x:c>
      <x:c r="E146" s="23" t="n">
        <x:v>2</x:v>
      </x:c>
      <x:c r="F146" s="23" t="n">
        <x:v>7</x:v>
      </x:c>
      <x:c r="G146" s="23" t="n">
        <x:v>5</x:v>
      </x:c>
      <x:c r="H146" s="23" t="n">
        <x:v>7</x:v>
      </x:c>
      <x:c r="I146" s="23" t="n">
        <x:v>3</x:v>
      </x:c>
      <x:c r="J146" s="23" t="n">
        <x:v>4</x:v>
      </x:c>
      <x:c r="K146" s="23" t="n">
        <x:v>4</x:v>
      </x:c>
      <x:c r="L146" s="23" t="n">
        <x:v>6</x:v>
      </x:c>
      <x:c r="M146" s="23" t="n">
        <x:v>3</x:v>
      </x:c>
      <x:c r="N146" s="23" t="n">
        <x:v>12</x:v>
      </x:c>
      <x:c r="O146" s="23" t="n">
        <x:v>1</x:v>
      </x:c>
      <x:c r="P146" s="23" t="n">
        <x:v>3</x:v>
      </x:c>
      <x:c r="Q146" s="23" t="n">
        <x:v>7</x:v>
      </x:c>
      <x:c r="R146" s="23" t="n">
        <x:v>11</x:v>
      </x:c>
    </x:row>
    <x:row r="147">
      <x:c r="A147" s="15" t="n">
        <x:v>44501</x:v>
      </x:c>
      <x:c r="B147" s="23"/>
      <x:c r="C147" s="23" t="n">
        <x:v>9</x:v>
      </x:c>
      <x:c r="D147" s="23" t="n">
        <x:v>2</x:v>
      </x:c>
      <x:c r="E147" s="23" t="n">
        <x:v>2</x:v>
      </x:c>
      <x:c r="F147" s="23" t="n">
        <x:v>8</x:v>
      </x:c>
      <x:c r="G147" s="23" t="n">
        <x:v>5</x:v>
      </x:c>
      <x:c r="H147" s="23" t="n">
        <x:v>7</x:v>
      </x:c>
      <x:c r="I147" s="23" t="n">
        <x:v>3</x:v>
      </x:c>
      <x:c r="J147" s="23" t="n">
        <x:v>3</x:v>
      </x:c>
      <x:c r="K147" s="23" t="n">
        <x:v>4</x:v>
      </x:c>
      <x:c r="L147" s="23" t="n">
        <x:v>6</x:v>
      </x:c>
      <x:c r="M147" s="23" t="n">
        <x:v>3</x:v>
      </x:c>
      <x:c r="N147" s="23" t="n">
        <x:v>13</x:v>
      </x:c>
      <x:c r="O147" s="23" t="n">
        <x:v>1</x:v>
      </x:c>
      <x:c r="P147" s="23" t="n">
        <x:v>3</x:v>
      </x:c>
      <x:c r="Q147" s="23" t="n">
        <x:v>7</x:v>
      </x:c>
      <x:c r="R147" s="23" t="n">
        <x:v>11</x:v>
      </x:c>
    </x:row>
    <x:row r="148">
      <x:c r="A148" s="15" t="n">
        <x:v>44531</x:v>
      </x:c>
      <x:c r="B148" s="23"/>
      <x:c r="C148" s="23" t="n">
        <x:v>9</x:v>
      </x:c>
      <x:c r="D148" s="23" t="n">
        <x:v>2</x:v>
      </x:c>
      <x:c r="E148" s="23" t="n">
        <x:v>2</x:v>
      </x:c>
      <x:c r="F148" s="23" t="n">
        <x:v>8</x:v>
      </x:c>
      <x:c r="G148" s="23" t="n">
        <x:v>5</x:v>
      </x:c>
      <x:c r="H148" s="23" t="n">
        <x:v>7</x:v>
      </x:c>
      <x:c r="I148" s="23" t="n">
        <x:v>3</x:v>
      </x:c>
      <x:c r="J148" s="23" t="n">
        <x:v>4</x:v>
      </x:c>
      <x:c r="K148" s="23" t="n">
        <x:v>4</x:v>
      </x:c>
      <x:c r="L148" s="23" t="n">
        <x:v>6</x:v>
      </x:c>
      <x:c r="M148" s="23" t="n">
        <x:v>3</x:v>
      </x:c>
      <x:c r="N148" s="23" t="n">
        <x:v>14</x:v>
      </x:c>
      <x:c r="O148" s="23" t="n">
        <x:v>1</x:v>
      </x:c>
      <x:c r="P148" s="23" t="n">
        <x:v>3</x:v>
      </x:c>
      <x:c r="Q148" s="23" t="n">
        <x:v>7</x:v>
      </x:c>
      <x:c r="R148" s="23" t="n">
        <x:v>11</x:v>
      </x:c>
    </x:row>
    <x:row r="149">
      <x:c r="A149" s="15" t="n">
        <x:v>44562</x:v>
      </x:c>
      <x:c r="B149" s="23"/>
      <x:c r="C149" s="23" t="n">
        <x:v>8</x:v>
      </x:c>
      <x:c r="D149" s="23" t="n">
        <x:v>2</x:v>
      </x:c>
      <x:c r="E149" s="23" t="n">
        <x:v>2</x:v>
      </x:c>
      <x:c r="F149" s="23" t="n">
        <x:v>7</x:v>
      </x:c>
      <x:c r="G149" s="23" t="n">
        <x:v>5</x:v>
      </x:c>
      <x:c r="H149" s="23" t="n">
        <x:v>7</x:v>
      </x:c>
      <x:c r="I149" s="23" t="n">
        <x:v>3</x:v>
      </x:c>
      <x:c r="J149" s="23" t="n">
        <x:v>4</x:v>
      </x:c>
      <x:c r="K149" s="23" t="n">
        <x:v>6</x:v>
      </x:c>
      <x:c r="L149" s="23" t="n">
        <x:v>7</x:v>
      </x:c>
      <x:c r="M149" s="23" t="n">
        <x:v>3</x:v>
      </x:c>
      <x:c r="N149" s="23" t="n">
        <x:v>13</x:v>
      </x:c>
      <x:c r="O149" s="23" t="n">
        <x:v>1</x:v>
      </x:c>
      <x:c r="P149" s="23" t="n">
        <x:v>4</x:v>
      </x:c>
      <x:c r="Q149" s="23" t="n">
        <x:v>7</x:v>
      </x:c>
      <x:c r="R149" s="23" t="n">
        <x:v>11</x:v>
      </x:c>
    </x:row>
    <x:row r="150">
      <x:c r="A150" s="15" t="n">
        <x:v>44593</x:v>
      </x:c>
      <x:c r="B150" s="23"/>
      <x:c r="C150" s="23" t="n">
        <x:v>8</x:v>
      </x:c>
      <x:c r="D150" s="23" t="n">
        <x:v>2</x:v>
      </x:c>
      <x:c r="E150" s="23" t="n">
        <x:v>2</x:v>
      </x:c>
      <x:c r="F150" s="23" t="n">
        <x:v>7</x:v>
      </x:c>
      <x:c r="G150" s="23" t="n">
        <x:v>5</x:v>
      </x:c>
      <x:c r="H150" s="23" t="n">
        <x:v>6</x:v>
      </x:c>
      <x:c r="I150" s="23" t="n">
        <x:v>3</x:v>
      </x:c>
      <x:c r="J150" s="23" t="n">
        <x:v>4</x:v>
      </x:c>
      <x:c r="K150" s="23" t="n">
        <x:v>6</x:v>
      </x:c>
      <x:c r="L150" s="23" t="n">
        <x:v>7</x:v>
      </x:c>
      <x:c r="M150" s="23" t="n">
        <x:v>3</x:v>
      </x:c>
      <x:c r="N150" s="23" t="n">
        <x:v>13</x:v>
      </x:c>
      <x:c r="O150" s="23" t="n">
        <x:v>1</x:v>
      </x:c>
      <x:c r="P150" s="23" t="n">
        <x:v>4</x:v>
      </x:c>
      <x:c r="Q150" s="23" t="n">
        <x:v>7</x:v>
      </x:c>
      <x:c r="R150" s="23" t="n">
        <x:v>11</x:v>
      </x:c>
    </x:row>
    <x:row r="151">
      <x:c r="A151" s="15" t="n">
        <x:v>44621</x:v>
      </x:c>
      <x:c r="B151" s="23"/>
      <x:c r="C151" s="23" t="n">
        <x:v>8</x:v>
      </x:c>
      <x:c r="D151" s="23" t="n">
        <x:v>2</x:v>
      </x:c>
      <x:c r="E151" s="23" t="n">
        <x:v>2</x:v>
      </x:c>
      <x:c r="F151" s="23" t="n">
        <x:v>7</x:v>
      </x:c>
      <x:c r="G151" s="23" t="n">
        <x:v>5</x:v>
      </x:c>
      <x:c r="H151" s="23" t="n">
        <x:v>6</x:v>
      </x:c>
      <x:c r="I151" s="23" t="n">
        <x:v>3</x:v>
      </x:c>
      <x:c r="J151" s="23" t="n">
        <x:v>4</x:v>
      </x:c>
      <x:c r="K151" s="23" t="n">
        <x:v>6</x:v>
      </x:c>
      <x:c r="L151" s="23" t="n">
        <x:v>7</x:v>
      </x:c>
      <x:c r="M151" s="23" t="n">
        <x:v>3</x:v>
      </x:c>
      <x:c r="N151" s="23" t="n">
        <x:v>13</x:v>
      </x:c>
      <x:c r="O151" s="23" t="n">
        <x:v>1</x:v>
      </x:c>
      <x:c r="P151" s="23" t="n">
        <x:v>4</x:v>
      </x:c>
      <x:c r="Q151" s="23" t="n">
        <x:v>7</x:v>
      </x:c>
      <x:c r="R151" s="23" t="n">
        <x:v>11</x:v>
      </x:c>
    </x:row>
    <x:row r="152">
      <x:c r="A152" s="15" t="n">
        <x:v>44652</x:v>
      </x:c>
      <x:c r="B152" s="23"/>
      <x:c r="C152" s="23" t="n">
        <x:v>8</x:v>
      </x:c>
      <x:c r="D152" s="23" t="n">
        <x:v>2</x:v>
      </x:c>
      <x:c r="E152" s="23" t="n">
        <x:v>2</x:v>
      </x:c>
      <x:c r="F152" s="23" t="n">
        <x:v>7</x:v>
      </x:c>
      <x:c r="G152" s="23" t="n">
        <x:v>5</x:v>
      </x:c>
      <x:c r="H152" s="23" t="n">
        <x:v>6</x:v>
      </x:c>
      <x:c r="I152" s="23" t="n">
        <x:v>3</x:v>
      </x:c>
      <x:c r="J152" s="23" t="n">
        <x:v>4</x:v>
      </x:c>
      <x:c r="K152" s="23" t="n">
        <x:v>6</x:v>
      </x:c>
      <x:c r="L152" s="23" t="n">
        <x:v>7</x:v>
      </x:c>
      <x:c r="M152" s="23" t="n">
        <x:v>3</x:v>
      </x:c>
      <x:c r="N152" s="23" t="n">
        <x:v>13</x:v>
      </x:c>
      <x:c r="O152" s="23" t="n">
        <x:v>1</x:v>
      </x:c>
      <x:c r="P152" s="23" t="n">
        <x:v>4</x:v>
      </x:c>
      <x:c r="Q152" s="23" t="n">
        <x:v>7</x:v>
      </x:c>
      <x:c r="R152" s="23" t="n">
        <x:v>11</x:v>
      </x:c>
    </x:row>
    <x:row r="153">
      <x:c r="A153" s="15" t="n">
        <x:v>44682</x:v>
      </x:c>
      <x:c r="B153" s="23" t="n">
        <x:v>1</x:v>
      </x:c>
      <x:c r="C153" s="23" t="n">
        <x:v>8</x:v>
      </x:c>
      <x:c r="D153" s="23" t="n">
        <x:v>2</x:v>
      </x:c>
      <x:c r="E153" s="23" t="n">
        <x:v>2</x:v>
      </x:c>
      <x:c r="F153" s="23" t="n">
        <x:v>7</x:v>
      </x:c>
      <x:c r="G153" s="23" t="n">
        <x:v>5</x:v>
      </x:c>
      <x:c r="H153" s="23" t="n">
        <x:v>6</x:v>
      </x:c>
      <x:c r="I153" s="23" t="n">
        <x:v>3</x:v>
      </x:c>
      <x:c r="J153" s="23" t="n">
        <x:v>4</x:v>
      </x:c>
      <x:c r="K153" s="23" t="n">
        <x:v>6</x:v>
      </x:c>
      <x:c r="L153" s="23" t="n">
        <x:v>7</x:v>
      </x:c>
      <x:c r="M153" s="23" t="n">
        <x:v>3</x:v>
      </x:c>
      <x:c r="N153" s="23" t="n">
        <x:v>13</x:v>
      </x:c>
      <x:c r="O153" s="23" t="n">
        <x:v>1</x:v>
      </x:c>
      <x:c r="P153" s="23" t="n">
        <x:v>4</x:v>
      </x:c>
      <x:c r="Q153" s="23" t="n">
        <x:v>7</x:v>
      </x:c>
      <x:c r="R153" s="23" t="n">
        <x:v>11</x:v>
      </x:c>
    </x:row>
    <x:row r="154">
      <x:c r="A154" s="15" t="n">
        <x:v>44713</x:v>
      </x:c>
      <x:c r="B154" s="23" t="n">
        <x:v>1</x:v>
      </x:c>
      <x:c r="C154" s="23" t="n">
        <x:v>7</x:v>
      </x:c>
      <x:c r="D154" s="23" t="n">
        <x:v>2</x:v>
      </x:c>
      <x:c r="E154" s="23" t="n">
        <x:v>2</x:v>
      </x:c>
      <x:c r="F154" s="23" t="n">
        <x:v>7</x:v>
      </x:c>
      <x:c r="G154" s="23" t="n">
        <x:v>5</x:v>
      </x:c>
      <x:c r="H154" s="23" t="n">
        <x:v>6</x:v>
      </x:c>
      <x:c r="I154" s="23" t="n">
        <x:v>3</x:v>
      </x:c>
      <x:c r="J154" s="23" t="n">
        <x:v>4</x:v>
      </x:c>
      <x:c r="K154" s="23" t="n">
        <x:v>6</x:v>
      </x:c>
      <x:c r="L154" s="23" t="n">
        <x:v>7</x:v>
      </x:c>
      <x:c r="M154" s="23" t="n">
        <x:v>3</x:v>
      </x:c>
      <x:c r="N154" s="23" t="n">
        <x:v>13</x:v>
      </x:c>
      <x:c r="O154" s="23" t="n">
        <x:v>1</x:v>
      </x:c>
      <x:c r="P154" s="23" t="n">
        <x:v>4</x:v>
      </x:c>
      <x:c r="Q154" s="23" t="n">
        <x:v>7</x:v>
      </x:c>
      <x:c r="R154" s="23" t="n">
        <x:v>11</x:v>
      </x:c>
    </x:row>
    <x:row r="155">
      <x:c r="A155" s="15" t="n">
        <x:v>44743</x:v>
      </x:c>
      <x:c r="B155" s="23" t="n">
        <x:v>1</x:v>
      </x:c>
      <x:c r="C155" s="23" t="n">
        <x:v>7</x:v>
      </x:c>
      <x:c r="D155" s="23" t="n">
        <x:v>2</x:v>
      </x:c>
      <x:c r="E155" s="23" t="n">
        <x:v>2</x:v>
      </x:c>
      <x:c r="F155" s="23" t="n">
        <x:v>7</x:v>
      </x:c>
      <x:c r="G155" s="23" t="n">
        <x:v>5</x:v>
      </x:c>
      <x:c r="H155" s="23" t="n">
        <x:v>6</x:v>
      </x:c>
      <x:c r="I155" s="23" t="n">
        <x:v>3</x:v>
      </x:c>
      <x:c r="J155" s="23" t="n">
        <x:v>4</x:v>
      </x:c>
      <x:c r="K155" s="23" t="n">
        <x:v>6</x:v>
      </x:c>
      <x:c r="L155" s="23" t="n">
        <x:v>7</x:v>
      </x:c>
      <x:c r="M155" s="23" t="n">
        <x:v>3</x:v>
      </x:c>
      <x:c r="N155" s="23" t="n">
        <x:v>13</x:v>
      </x:c>
      <x:c r="O155" s="23" t="n">
        <x:v>1</x:v>
      </x:c>
      <x:c r="P155" s="23" t="n">
        <x:v>4</x:v>
      </x:c>
      <x:c r="Q155" s="23" t="n">
        <x:v>6</x:v>
      </x:c>
      <x:c r="R155" s="23" t="n">
        <x:v>11</x:v>
      </x:c>
    </x:row>
    <x:row r="156">
      <x:c r="A156" s="15" t="n">
        <x:v>44774</x:v>
      </x:c>
      <x:c r="B156" s="23" t="n">
        <x:v>1</x:v>
      </x:c>
      <x:c r="C156" s="23" t="n">
        <x:v>7</x:v>
      </x:c>
      <x:c r="D156" s="23" t="n">
        <x:v>2</x:v>
      </x:c>
      <x:c r="E156" s="23" t="n">
        <x:v>2</x:v>
      </x:c>
      <x:c r="F156" s="23" t="n">
        <x:v>7</x:v>
      </x:c>
      <x:c r="G156" s="23" t="n">
        <x:v>5</x:v>
      </x:c>
      <x:c r="H156" s="23" t="n">
        <x:v>6</x:v>
      </x:c>
      <x:c r="I156" s="23" t="n">
        <x:v>3</x:v>
      </x:c>
      <x:c r="J156" s="23" t="n">
        <x:v>4</x:v>
      </x:c>
      <x:c r="K156" s="23" t="n">
        <x:v>6</x:v>
      </x:c>
      <x:c r="L156" s="23" t="n">
        <x:v>7</x:v>
      </x:c>
      <x:c r="M156" s="23" t="n">
        <x:v>3</x:v>
      </x:c>
      <x:c r="N156" s="23" t="n">
        <x:v>13</x:v>
      </x:c>
      <x:c r="O156" s="23" t="n">
        <x:v>1</x:v>
      </x:c>
      <x:c r="P156" s="23" t="n">
        <x:v>4</x:v>
      </x:c>
      <x:c r="Q156" s="23" t="n">
        <x:v>6</x:v>
      </x:c>
      <x:c r="R156" s="23" t="n">
        <x:v>11</x:v>
      </x:c>
    </x:row>
    <x:row r="157">
      <x:c r="A157" s="15" t="n">
        <x:v>44805</x:v>
      </x:c>
      <x:c r="B157" s="23" t="n">
        <x:v>3</x:v>
      </x:c>
      <x:c r="C157" s="23" t="n">
        <x:v>7</x:v>
      </x:c>
      <x:c r="D157" s="23" t="n">
        <x:v>2</x:v>
      </x:c>
      <x:c r="E157" s="23" t="n">
        <x:v>2</x:v>
      </x:c>
      <x:c r="F157" s="23" t="n">
        <x:v>7</x:v>
      </x:c>
      <x:c r="G157" s="23" t="n">
        <x:v>5</x:v>
      </x:c>
      <x:c r="H157" s="23" t="n">
        <x:v>6</x:v>
      </x:c>
      <x:c r="I157" s="23" t="n">
        <x:v>3</x:v>
      </x:c>
      <x:c r="J157" s="23" t="n">
        <x:v>3</x:v>
      </x:c>
      <x:c r="K157" s="23" t="n">
        <x:v>6</x:v>
      </x:c>
      <x:c r="L157" s="23" t="n">
        <x:v>7</x:v>
      </x:c>
      <x:c r="M157" s="23" t="n">
        <x:v>3</x:v>
      </x:c>
      <x:c r="N157" s="23" t="n">
        <x:v>14</x:v>
      </x:c>
      <x:c r="O157" s="23" t="n">
        <x:v>1</x:v>
      </x:c>
      <x:c r="P157" s="23" t="n">
        <x:v>4</x:v>
      </x:c>
      <x:c r="Q157" s="23" t="n">
        <x:v>6</x:v>
      </x:c>
      <x:c r="R157" s="23" t="n">
        <x:v>11</x:v>
      </x:c>
    </x:row>
    <x:row r="158">
      <x:c r="A158" s="15" t="n">
        <x:v>44835</x:v>
      </x:c>
      <x:c r="B158" s="23" t="n">
        <x:v>3</x:v>
      </x:c>
      <x:c r="C158" s="23" t="n">
        <x:v>7</x:v>
      </x:c>
      <x:c r="D158" s="23" t="n">
        <x:v>2</x:v>
      </x:c>
      <x:c r="E158" s="23" t="n">
        <x:v>2</x:v>
      </x:c>
      <x:c r="F158" s="23" t="n">
        <x:v>7</x:v>
      </x:c>
      <x:c r="G158" s="23" t="n">
        <x:v>5</x:v>
      </x:c>
      <x:c r="H158" s="23" t="n">
        <x:v>6</x:v>
      </x:c>
      <x:c r="I158" s="23" t="n">
        <x:v>3</x:v>
      </x:c>
      <x:c r="J158" s="23" t="n">
        <x:v>3</x:v>
      </x:c>
      <x:c r="K158" s="23" t="n">
        <x:v>7</x:v>
      </x:c>
      <x:c r="L158" s="23" t="n">
        <x:v>7</x:v>
      </x:c>
      <x:c r="M158" s="23" t="n">
        <x:v>3</x:v>
      </x:c>
      <x:c r="N158" s="23" t="n">
        <x:v>14</x:v>
      </x:c>
      <x:c r="O158" s="23" t="n">
        <x:v>1</x:v>
      </x:c>
      <x:c r="P158" s="23" t="n">
        <x:v>4</x:v>
      </x:c>
      <x:c r="Q158" s="23" t="n">
        <x:v>6</x:v>
      </x:c>
      <x:c r="R158" s="23" t="n">
        <x:v>11</x:v>
      </x:c>
    </x:row>
    <x:row r="159">
      <x:c r="A159" s="15" t="n">
        <x:v>44866</x:v>
      </x:c>
      <x:c r="B159" s="23" t="n">
        <x:v>3</x:v>
      </x:c>
      <x:c r="C159" s="23" t="n">
        <x:v>7</x:v>
      </x:c>
      <x:c r="D159" s="23" t="n">
        <x:v>2</x:v>
      </x:c>
      <x:c r="E159" s="23" t="n">
        <x:v>2</x:v>
      </x:c>
      <x:c r="F159" s="23" t="n">
        <x:v>7</x:v>
      </x:c>
      <x:c r="G159" s="23" t="n">
        <x:v>5</x:v>
      </x:c>
      <x:c r="H159" s="23" t="n">
        <x:v>6</x:v>
      </x:c>
      <x:c r="I159" s="23" t="n">
        <x:v>3</x:v>
      </x:c>
      <x:c r="J159" s="23" t="n">
        <x:v>3</x:v>
      </x:c>
      <x:c r="K159" s="23" t="n">
        <x:v>7</x:v>
      </x:c>
      <x:c r="L159" s="23" t="n">
        <x:v>7</x:v>
      </x:c>
      <x:c r="M159" s="23" t="n">
        <x:v>3</x:v>
      </x:c>
      <x:c r="N159" s="23" t="n">
        <x:v>14</x:v>
      </x:c>
      <x:c r="O159" s="23" t="n">
        <x:v>1</x:v>
      </x:c>
      <x:c r="P159" s="23" t="n">
        <x:v>4</x:v>
      </x:c>
      <x:c r="Q159" s="23" t="n">
        <x:v>6</x:v>
      </x:c>
      <x:c r="R159" s="23" t="n">
        <x:v>11</x:v>
      </x:c>
    </x:row>
    <x:row r="160">
      <x:c r="A160" s="15" t="n">
        <x:v>44896</x:v>
      </x:c>
      <x:c r="B160" s="23" t="n">
        <x:v>3</x:v>
      </x:c>
      <x:c r="C160" s="23" t="n">
        <x:v>7</x:v>
      </x:c>
      <x:c r="D160" s="23" t="n">
        <x:v>2</x:v>
      </x:c>
      <x:c r="E160" s="23" t="n">
        <x:v>2</x:v>
      </x:c>
      <x:c r="F160" s="23" t="n">
        <x:v>7</x:v>
      </x:c>
      <x:c r="G160" s="23" t="n">
        <x:v>5</x:v>
      </x:c>
      <x:c r="H160" s="23" t="n">
        <x:v>5</x:v>
      </x:c>
      <x:c r="I160" s="23" t="n">
        <x:v>3</x:v>
      </x:c>
      <x:c r="J160" s="23" t="n">
        <x:v>3</x:v>
      </x:c>
      <x:c r="K160" s="23" t="n">
        <x:v>7</x:v>
      </x:c>
      <x:c r="L160" s="23" t="n">
        <x:v>7</x:v>
      </x:c>
      <x:c r="M160" s="23" t="n">
        <x:v>3</x:v>
      </x:c>
      <x:c r="N160" s="23" t="n">
        <x:v>14</x:v>
      </x:c>
      <x:c r="O160" s="23" t="n">
        <x:v>1</x:v>
      </x:c>
      <x:c r="P160" s="23" t="n">
        <x:v>4</x:v>
      </x:c>
      <x:c r="Q160" s="23" t="n">
        <x:v>6</x:v>
      </x:c>
      <x:c r="R160" s="23" t="n">
        <x:v>11</x:v>
      </x:c>
    </x:row>
    <x:row r="161">
      <x:c r="A161" s="15" t="n">
        <x:v>44927</x:v>
      </x:c>
      <x:c r="B161" s="23" t="n">
        <x:v>3</x:v>
      </x:c>
      <x:c r="C161" s="23" t="n">
        <x:v>7</x:v>
      </x:c>
      <x:c r="D161" s="23" t="n">
        <x:v>2</x:v>
      </x:c>
      <x:c r="E161" s="23" t="n">
        <x:v>2</x:v>
      </x:c>
      <x:c r="F161" s="23" t="n">
        <x:v>5</x:v>
      </x:c>
      <x:c r="G161" s="23" t="n">
        <x:v>4</x:v>
      </x:c>
      <x:c r="H161" s="23" t="n">
        <x:v>5</x:v>
      </x:c>
      <x:c r="I161" s="23" t="n">
        <x:v>3</x:v>
      </x:c>
      <x:c r="J161" s="23" t="n">
        <x:v>3</x:v>
      </x:c>
      <x:c r="K161" s="23" t="n">
        <x:v>6</x:v>
      </x:c>
      <x:c r="L161" s="23" t="n">
        <x:v>7</x:v>
      </x:c>
      <x:c r="M161" s="23" t="n">
        <x:v>3</x:v>
      </x:c>
      <x:c r="N161" s="23" t="n">
        <x:v>13</x:v>
      </x:c>
      <x:c r="O161" s="23" t="n">
        <x:v>1</x:v>
      </x:c>
      <x:c r="P161" s="23" t="n">
        <x:v>3</x:v>
      </x:c>
      <x:c r="Q161" s="23" t="n">
        <x:v>6</x:v>
      </x:c>
      <x:c r="R161" s="23" t="n">
        <x:v>11</x:v>
      </x:c>
    </x:row>
    <x:row r="162">
      <x:c r="A162" s="15" t="n">
        <x:v>44958</x:v>
      </x:c>
      <x:c r="B162" s="23" t="n">
        <x:v>3</x:v>
      </x:c>
      <x:c r="C162" s="23" t="n">
        <x:v>7</x:v>
      </x:c>
      <x:c r="D162" s="23" t="n">
        <x:v>2</x:v>
      </x:c>
      <x:c r="E162" s="23" t="n">
        <x:v>2</x:v>
      </x:c>
      <x:c r="F162" s="23" t="n">
        <x:v>5</x:v>
      </x:c>
      <x:c r="G162" s="23" t="n">
        <x:v>4</x:v>
      </x:c>
      <x:c r="H162" s="23" t="n">
        <x:v>5</x:v>
      </x:c>
      <x:c r="I162" s="23" t="n">
        <x:v>3</x:v>
      </x:c>
      <x:c r="J162" s="23" t="n">
        <x:v>3</x:v>
      </x:c>
      <x:c r="K162" s="23" t="n">
        <x:v>6</x:v>
      </x:c>
      <x:c r="L162" s="23" t="n">
        <x:v>7</x:v>
      </x:c>
      <x:c r="M162" s="23" t="n">
        <x:v>3</x:v>
      </x:c>
      <x:c r="N162" s="23" t="n">
        <x:v>13</x:v>
      </x:c>
      <x:c r="O162" s="23" t="n">
        <x:v>1</x:v>
      </x:c>
      <x:c r="P162" s="23" t="n">
        <x:v>3</x:v>
      </x:c>
      <x:c r="Q162" s="23" t="n">
        <x:v>6</x:v>
      </x:c>
      <x:c r="R162" s="23" t="n">
        <x:v>11</x:v>
      </x:c>
    </x:row>
    <x:row r="163">
      <x:c r="A163" s="15" t="n">
        <x:v>44986</x:v>
      </x:c>
      <x:c r="B163" s="23" t="n">
        <x:v>3</x:v>
      </x:c>
      <x:c r="C163" s="23" t="n">
        <x:v>7</x:v>
      </x:c>
      <x:c r="D163" s="23" t="n">
        <x:v>2</x:v>
      </x:c>
      <x:c r="E163" s="23" t="n">
        <x:v>2</x:v>
      </x:c>
      <x:c r="F163" s="23" t="n">
        <x:v>5</x:v>
      </x:c>
      <x:c r="G163" s="23" t="n">
        <x:v>4</x:v>
      </x:c>
      <x:c r="H163" s="23" t="n">
        <x:v>5</x:v>
      </x:c>
      <x:c r="I163" s="23" t="n">
        <x:v>3</x:v>
      </x:c>
      <x:c r="J163" s="23" t="n">
        <x:v>3</x:v>
      </x:c>
      <x:c r="K163" s="23" t="n">
        <x:v>6</x:v>
      </x:c>
      <x:c r="L163" s="23" t="n">
        <x:v>7</x:v>
      </x:c>
      <x:c r="M163" s="23" t="n">
        <x:v>3</x:v>
      </x:c>
      <x:c r="N163" s="23" t="n">
        <x:v>13</x:v>
      </x:c>
      <x:c r="O163" s="23" t="n">
        <x:v>1</x:v>
      </x:c>
      <x:c r="P163" s="23" t="n">
        <x:v>3</x:v>
      </x:c>
      <x:c r="Q163" s="23" t="n">
        <x:v>6</x:v>
      </x:c>
      <x:c r="R163" s="23" t="n">
        <x:v>10</x:v>
      </x:c>
    </x:row>
    <x:row r="164">
      <x:c r="A164" s="15" t="n">
        <x:v>45017</x:v>
      </x:c>
      <x:c r="B164" s="23" t="n">
        <x:v>3</x:v>
      </x:c>
      <x:c r="C164" s="23" t="n">
        <x:v>7</x:v>
      </x:c>
      <x:c r="D164" s="23" t="n">
        <x:v>2</x:v>
      </x:c>
      <x:c r="E164" s="23" t="n">
        <x:v>2</x:v>
      </x:c>
      <x:c r="F164" s="23" t="n">
        <x:v>5</x:v>
      </x:c>
      <x:c r="G164" s="23" t="n">
        <x:v>4</x:v>
      </x:c>
      <x:c r="H164" s="23" t="n">
        <x:v>5</x:v>
      </x:c>
      <x:c r="I164" s="23" t="n">
        <x:v>3</x:v>
      </x:c>
      <x:c r="J164" s="23" t="n">
        <x:v>3</x:v>
      </x:c>
      <x:c r="K164" s="23" t="n">
        <x:v>7</x:v>
      </x:c>
      <x:c r="L164" s="23" t="n">
        <x:v>7</x:v>
      </x:c>
      <x:c r="M164" s="23" t="n">
        <x:v>3</x:v>
      </x:c>
      <x:c r="N164" s="23" t="n">
        <x:v>13</x:v>
      </x:c>
      <x:c r="O164" s="23" t="n">
        <x:v>1</x:v>
      </x:c>
      <x:c r="P164" s="23" t="n">
        <x:v>3</x:v>
      </x:c>
      <x:c r="Q164" s="23" t="n">
        <x:v>6</x:v>
      </x:c>
      <x:c r="R164" s="23" t="n">
        <x:v>11</x:v>
      </x:c>
    </x:row>
    <x:row r="165">
      <x:c r="A165" s="15" t="n">
        <x:v>45047</x:v>
      </x:c>
      <x:c r="B165" s="23" t="n">
        <x:v>3</x:v>
      </x:c>
      <x:c r="C165" s="23" t="n">
        <x:v>6</x:v>
      </x:c>
      <x:c r="D165" s="23" t="n">
        <x:v>2</x:v>
      </x:c>
      <x:c r="E165" s="23" t="n">
        <x:v>2</x:v>
      </x:c>
      <x:c r="F165" s="23" t="n">
        <x:v>6</x:v>
      </x:c>
      <x:c r="G165" s="23" t="n">
        <x:v>4</x:v>
      </x:c>
      <x:c r="H165" s="23" t="n">
        <x:v>4</x:v>
      </x:c>
      <x:c r="I165" s="23" t="n">
        <x:v>3</x:v>
      </x:c>
      <x:c r="J165" s="23" t="n">
        <x:v>3</x:v>
      </x:c>
      <x:c r="K165" s="23" t="n">
        <x:v>7</x:v>
      </x:c>
      <x:c r="L165" s="23" t="n">
        <x:v>7</x:v>
      </x:c>
      <x:c r="M165" s="23" t="n">
        <x:v>3</x:v>
      </x:c>
      <x:c r="N165" s="23" t="n">
        <x:v>13</x:v>
      </x:c>
      <x:c r="O165" s="23" t="n">
        <x:v>1</x:v>
      </x:c>
      <x:c r="P165" s="23" t="n">
        <x:v>3</x:v>
      </x:c>
      <x:c r="Q165" s="23" t="n">
        <x:v>5</x:v>
      </x:c>
      <x:c r="R165" s="23" t="n">
        <x:v>11</x:v>
      </x:c>
    </x:row>
    <x:row r="166">
      <x:c r="A166" s="15" t="n">
        <x:v>45078</x:v>
      </x:c>
      <x:c r="B166" s="23" t="n">
        <x:v>3</x:v>
      </x:c>
      <x:c r="C166" s="23" t="n">
        <x:v>6</x:v>
      </x:c>
      <x:c r="D166" s="23" t="n">
        <x:v>2</x:v>
      </x:c>
      <x:c r="E166" s="23" t="n">
        <x:v>2</x:v>
      </x:c>
      <x:c r="F166" s="23" t="n">
        <x:v>6</x:v>
      </x:c>
      <x:c r="G166" s="23" t="n">
        <x:v>4</x:v>
      </x:c>
      <x:c r="H166" s="23" t="n">
        <x:v>4</x:v>
      </x:c>
      <x:c r="I166" s="23" t="n">
        <x:v>3</x:v>
      </x:c>
      <x:c r="J166" s="23" t="n">
        <x:v>3</x:v>
      </x:c>
      <x:c r="K166" s="23" t="n">
        <x:v>7</x:v>
      </x:c>
      <x:c r="L166" s="23" t="n">
        <x:v>7</x:v>
      </x:c>
      <x:c r="M166" s="23" t="n">
        <x:v>3</x:v>
      </x:c>
      <x:c r="N166" s="23" t="n">
        <x:v>13</x:v>
      </x:c>
      <x:c r="O166" s="23" t="n">
        <x:v>1</x:v>
      </x:c>
      <x:c r="P166" s="23" t="n">
        <x:v>3</x:v>
      </x:c>
      <x:c r="Q166" s="23" t="n">
        <x:v>5</x:v>
      </x:c>
      <x:c r="R166" s="23" t="n">
        <x:v>11</x:v>
      </x:c>
    </x:row>
    <x:row r="167">
      <x:c r="A167" s="15" t="n">
        <x:v>45108</x:v>
      </x:c>
      <x:c r="B167" s="23" t="n">
        <x:v>3</x:v>
      </x:c>
      <x:c r="C167" s="23" t="n">
        <x:v>6</x:v>
      </x:c>
      <x:c r="D167" s="23" t="n">
        <x:v>2</x:v>
      </x:c>
      <x:c r="E167" s="23" t="n">
        <x:v>2</x:v>
      </x:c>
      <x:c r="F167" s="23" t="n">
        <x:v>6</x:v>
      </x:c>
      <x:c r="G167" s="23" t="n">
        <x:v>4</x:v>
      </x:c>
      <x:c r="H167" s="23" t="n">
        <x:v>4</x:v>
      </x:c>
      <x:c r="I167" s="23" t="n">
        <x:v>3</x:v>
      </x:c>
      <x:c r="J167" s="23" t="n">
        <x:v>3</x:v>
      </x:c>
      <x:c r="K167" s="23" t="n">
        <x:v>7</x:v>
      </x:c>
      <x:c r="L167" s="23" t="n">
        <x:v>7</x:v>
      </x:c>
      <x:c r="M167" s="23" t="n">
        <x:v>3</x:v>
      </x:c>
      <x:c r="N167" s="23" t="n">
        <x:v>13</x:v>
      </x:c>
      <x:c r="O167" s="23" t="n">
        <x:v>1</x:v>
      </x:c>
      <x:c r="P167" s="23" t="n">
        <x:v>3</x:v>
      </x:c>
      <x:c r="Q167" s="23" t="n">
        <x:v>5</x:v>
      </x:c>
      <x:c r="R167" s="23" t="n">
        <x:v>10</x:v>
      </x:c>
    </x:row>
    <x:row r="168">
      <x:c r="A168" s="15" t="n">
        <x:v>45139</x:v>
      </x:c>
      <x:c r="B168" s="23" t="n">
        <x:v>3</x:v>
      </x:c>
      <x:c r="C168" s="23" t="n">
        <x:v>6</x:v>
      </x:c>
      <x:c r="D168" s="23" t="n">
        <x:v>2</x:v>
      </x:c>
      <x:c r="E168" s="23" t="n">
        <x:v>2</x:v>
      </x:c>
      <x:c r="F168" s="23" t="n">
        <x:v>6</x:v>
      </x:c>
      <x:c r="G168" s="23" t="n">
        <x:v>4</x:v>
      </x:c>
      <x:c r="H168" s="23" t="n">
        <x:v>4</x:v>
      </x:c>
      <x:c r="I168" s="23" t="n">
        <x:v>3</x:v>
      </x:c>
      <x:c r="J168" s="23" t="n">
        <x:v>3</x:v>
      </x:c>
      <x:c r="K168" s="23" t="n">
        <x:v>7</x:v>
      </x:c>
      <x:c r="L168" s="23" t="n">
        <x:v>7</x:v>
      </x:c>
      <x:c r="M168" s="23" t="n">
        <x:v>3</x:v>
      </x:c>
      <x:c r="N168" s="23" t="n">
        <x:v>13</x:v>
      </x:c>
      <x:c r="O168" s="23" t="n">
        <x:v>1</x:v>
      </x:c>
      <x:c r="P168" s="23" t="n">
        <x:v>3</x:v>
      </x:c>
      <x:c r="Q168" s="23" t="n">
        <x:v>5</x:v>
      </x:c>
      <x:c r="R168" s="23" t="n">
        <x:v>10</x:v>
      </x:c>
    </x:row>
    <x:row r="169">
      <x:c r="A169" s="15" t="n">
        <x:v>45170</x:v>
      </x:c>
      <x:c r="B169" s="23" t="n">
        <x:v>3</x:v>
      </x:c>
      <x:c r="C169" s="23" t="n">
        <x:v>6</x:v>
      </x:c>
      <x:c r="D169" s="23" t="n">
        <x:v>2</x:v>
      </x:c>
      <x:c r="E169" s="23" t="n">
        <x:v>2</x:v>
      </x:c>
      <x:c r="F169" s="23" t="n">
        <x:v>5</x:v>
      </x:c>
      <x:c r="G169" s="23" t="n">
        <x:v>4</x:v>
      </x:c>
      <x:c r="H169" s="23" t="n">
        <x:v>4</x:v>
      </x:c>
      <x:c r="I169" s="23" t="n">
        <x:v>3</x:v>
      </x:c>
      <x:c r="J169" s="23" t="n">
        <x:v>3</x:v>
      </x:c>
      <x:c r="K169" s="23" t="n">
        <x:v>7</x:v>
      </x:c>
      <x:c r="L169" s="23" t="n">
        <x:v>8</x:v>
      </x:c>
      <x:c r="M169" s="23" t="n">
        <x:v>3</x:v>
      </x:c>
      <x:c r="N169" s="23" t="n">
        <x:v>13</x:v>
      </x:c>
      <x:c r="O169" s="23" t="n">
        <x:v>1</x:v>
      </x:c>
      <x:c r="P169" s="23" t="n">
        <x:v>3</x:v>
      </x:c>
      <x:c r="Q169" s="23" t="n">
        <x:v>6</x:v>
      </x:c>
      <x:c r="R169" s="23" t="n">
        <x:v>10</x:v>
      </x:c>
    </x:row>
    <x:row r="170">
      <x:c r="A170" s="15" t="n">
        <x:v>45200</x:v>
      </x:c>
      <x:c r="B170" s="23" t="n">
        <x:v>3</x:v>
      </x:c>
      <x:c r="C170" s="23" t="n">
        <x:v>6</x:v>
      </x:c>
      <x:c r="D170" s="23" t="n">
        <x:v>2</x:v>
      </x:c>
      <x:c r="E170" s="23" t="n">
        <x:v>2</x:v>
      </x:c>
      <x:c r="F170" s="23" t="n">
        <x:v>5</x:v>
      </x:c>
      <x:c r="G170" s="23" t="n">
        <x:v>4</x:v>
      </x:c>
      <x:c r="H170" s="23" t="n">
        <x:v>4</x:v>
      </x:c>
      <x:c r="I170" s="23" t="n">
        <x:v>3</x:v>
      </x:c>
      <x:c r="J170" s="23" t="n">
        <x:v>3</x:v>
      </x:c>
      <x:c r="K170" s="23" t="n">
        <x:v>7</x:v>
      </x:c>
      <x:c r="L170" s="23" t="n">
        <x:v>8</x:v>
      </x:c>
      <x:c r="M170" s="23" t="n">
        <x:v>3</x:v>
      </x:c>
      <x:c r="N170" s="23" t="n">
        <x:v>13</x:v>
      </x:c>
      <x:c r="O170" s="23" t="n">
        <x:v>1</x:v>
      </x:c>
      <x:c r="P170" s="23" t="n">
        <x:v>3</x:v>
      </x:c>
      <x:c r="Q170" s="23" t="n">
        <x:v>6</x:v>
      </x:c>
      <x:c r="R170" s="23" t="n">
        <x:v>10</x:v>
      </x:c>
    </x:row>
    <x:row r="171">
      <x:c r="A171" s="15" t="n">
        <x:v>45231</x:v>
      </x:c>
      <x:c r="B171" s="23" t="n">
        <x:v>3</x:v>
      </x:c>
      <x:c r="C171" s="23" t="n">
        <x:v>6</x:v>
      </x:c>
      <x:c r="D171" s="23" t="n">
        <x:v>2</x:v>
      </x:c>
      <x:c r="E171" s="23" t="n">
        <x:v>2</x:v>
      </x:c>
      <x:c r="F171" s="23" t="n">
        <x:v>5</x:v>
      </x:c>
      <x:c r="G171" s="23" t="n">
        <x:v>4</x:v>
      </x:c>
      <x:c r="H171" s="23" t="n">
        <x:v>4</x:v>
      </x:c>
      <x:c r="I171" s="23" t="n">
        <x:v>3</x:v>
      </x:c>
      <x:c r="J171" s="23" t="n">
        <x:v>3</x:v>
      </x:c>
      <x:c r="K171" s="23" t="n">
        <x:v>7</x:v>
      </x:c>
      <x:c r="L171" s="23" t="n">
        <x:v>8</x:v>
      </x:c>
      <x:c r="M171" s="23" t="n">
        <x:v>3</x:v>
      </x:c>
      <x:c r="N171" s="23" t="n">
        <x:v>13</x:v>
      </x:c>
      <x:c r="O171" s="23" t="n">
        <x:v>1</x:v>
      </x:c>
      <x:c r="P171" s="23" t="n">
        <x:v>3</x:v>
      </x:c>
      <x:c r="Q171" s="23" t="n">
        <x:v>6</x:v>
      </x:c>
      <x:c r="R171" s="23" t="n">
        <x:v>10</x:v>
      </x:c>
    </x:row>
    <x:row r="172">
      <x:c r="A172" s="15" t="n">
        <x:v>45261</x:v>
      </x:c>
      <x:c r="B172" s="23" t="n">
        <x:v>3</x:v>
      </x:c>
      <x:c r="C172" s="23" t="n">
        <x:v>6</x:v>
      </x:c>
      <x:c r="D172" s="23" t="n">
        <x:v>2</x:v>
      </x:c>
      <x:c r="E172" s="23" t="n">
        <x:v>2</x:v>
      </x:c>
      <x:c r="F172" s="23" t="n">
        <x:v>5</x:v>
      </x:c>
      <x:c r="G172" s="23" t="n">
        <x:v>4</x:v>
      </x:c>
      <x:c r="H172" s="23" t="n">
        <x:v>4</x:v>
      </x:c>
      <x:c r="I172" s="23" t="n">
        <x:v>3</x:v>
      </x:c>
      <x:c r="J172" s="23" t="n">
        <x:v>3</x:v>
      </x:c>
      <x:c r="K172" s="23" t="n">
        <x:v>7</x:v>
      </x:c>
      <x:c r="L172" s="23" t="n">
        <x:v>8</x:v>
      </x:c>
      <x:c r="M172" s="23" t="n">
        <x:v>3</x:v>
      </x:c>
      <x:c r="N172" s="23" t="n">
        <x:v>13</x:v>
      </x:c>
      <x:c r="O172" s="23" t="n">
        <x:v>1</x:v>
      </x:c>
      <x:c r="P172" s="23" t="n">
        <x:v>3</x:v>
      </x:c>
      <x:c r="Q172" s="23" t="n">
        <x:v>6</x:v>
      </x:c>
      <x:c r="R172" s="23" t="n">
        <x:v>10</x:v>
      </x:c>
    </x:row>
    <x:row r="173">
      <x:c r="A173" s="15" t="n">
        <x:v>45292</x:v>
      </x:c>
      <x:c r="B173" s="23" t="n">
        <x:v>3</x:v>
      </x:c>
      <x:c r="C173" s="23" t="n">
        <x:v>6</x:v>
      </x:c>
      <x:c r="D173" s="23" t="n">
        <x:v>2</x:v>
      </x:c>
      <x:c r="E173" s="23" t="n">
        <x:v>2</x:v>
      </x:c>
      <x:c r="F173" s="23" t="n">
        <x:v>5</x:v>
      </x:c>
      <x:c r="G173" s="23" t="n">
        <x:v>4</x:v>
      </x:c>
      <x:c r="H173" s="23" t="n">
        <x:v>4</x:v>
      </x:c>
      <x:c r="I173" s="23" t="n">
        <x:v>3</x:v>
      </x:c>
      <x:c r="J173" s="23" t="n">
        <x:v>3</x:v>
      </x:c>
      <x:c r="K173" s="23" t="n">
        <x:v>6</x:v>
      </x:c>
      <x:c r="L173" s="23" t="n">
        <x:v>8</x:v>
      </x:c>
      <x:c r="M173" s="23" t="n">
        <x:v>3</x:v>
      </x:c>
      <x:c r="N173" s="23" t="n">
        <x:v>13</x:v>
      </x:c>
      <x:c r="O173" s="23" t="n">
        <x:v>1</x:v>
      </x:c>
      <x:c r="P173" s="23" t="n">
        <x:v>3</x:v>
      </x:c>
      <x:c r="Q173" s="23" t="n">
        <x:v>5</x:v>
      </x:c>
      <x:c r="R173" s="23" t="n">
        <x:v>11</x:v>
      </x:c>
    </x:row>
    <x:row r="174">
      <x:c r="A174" s="15" t="n">
        <x:v>45323</x:v>
      </x:c>
      <x:c r="B174" s="23" t="n">
        <x:v>3</x:v>
      </x:c>
      <x:c r="C174" s="23" t="n">
        <x:v>6</x:v>
      </x:c>
      <x:c r="D174" s="23" t="n">
        <x:v>2</x:v>
      </x:c>
      <x:c r="E174" s="23" t="n">
        <x:v>2</x:v>
      </x:c>
      <x:c r="F174" s="23" t="n">
        <x:v>5</x:v>
      </x:c>
      <x:c r="G174" s="23" t="n">
        <x:v>4</x:v>
      </x:c>
      <x:c r="H174" s="23" t="n">
        <x:v>4</x:v>
      </x:c>
      <x:c r="I174" s="23" t="n">
        <x:v>3</x:v>
      </x:c>
      <x:c r="J174" s="23" t="n">
        <x:v>3</x:v>
      </x:c>
      <x:c r="K174" s="23" t="n">
        <x:v>6</x:v>
      </x:c>
      <x:c r="L174" s="23" t="n">
        <x:v>8</x:v>
      </x:c>
      <x:c r="M174" s="23" t="n">
        <x:v>3</x:v>
      </x:c>
      <x:c r="N174" s="23" t="n">
        <x:v>13</x:v>
      </x:c>
      <x:c r="O174" s="23" t="n">
        <x:v>1</x:v>
      </x:c>
      <x:c r="P174" s="23" t="n">
        <x:v>3</x:v>
      </x:c>
      <x:c r="Q174" s="23" t="n">
        <x:v>5</x:v>
      </x:c>
      <x:c r="R174" s="23" t="n">
        <x:v>11</x:v>
      </x:c>
    </x:row>
    <x:row r="175">
      <x:c r="A175" s="15" t="n">
        <x:v>45352</x:v>
      </x:c>
      <x:c r="B175" s="23" t="n">
        <x:v>3</x:v>
      </x:c>
      <x:c r="C175" s="23" t="n">
        <x:v>6</x:v>
      </x:c>
      <x:c r="D175" s="23" t="n">
        <x:v>2</x:v>
      </x:c>
      <x:c r="E175" s="23" t="n">
        <x:v>2</x:v>
      </x:c>
      <x:c r="F175" s="23" t="n">
        <x:v>5</x:v>
      </x:c>
      <x:c r="G175" s="23" t="n">
        <x:v>4</x:v>
      </x:c>
      <x:c r="H175" s="23" t="n">
        <x:v>4</x:v>
      </x:c>
      <x:c r="I175" s="23" t="n">
        <x:v>3</x:v>
      </x:c>
      <x:c r="J175" s="23" t="n">
        <x:v>3</x:v>
      </x:c>
      <x:c r="K175" s="23" t="n">
        <x:v>6</x:v>
      </x:c>
      <x:c r="L175" s="23" t="n">
        <x:v>8</x:v>
      </x:c>
      <x:c r="M175" s="23" t="n">
        <x:v>3</x:v>
      </x:c>
      <x:c r="N175" s="23" t="n">
        <x:v>13</x:v>
      </x:c>
      <x:c r="O175" s="23" t="n">
        <x:v>1</x:v>
      </x:c>
      <x:c r="P175" s="23" t="n">
        <x:v>3</x:v>
      </x:c>
      <x:c r="Q175" s="23" t="n">
        <x:v>5</x:v>
      </x:c>
      <x:c r="R175" s="23" t="n">
        <x:v>11</x:v>
      </x:c>
    </x:row>
    <x:row r="176">
      <x:c r="A176" s="15" t="n">
        <x:v>45383</x:v>
      </x:c>
      <x:c r="B176" s="23" t="n">
        <x:v>3</x:v>
      </x:c>
      <x:c r="C176" s="23" t="n">
        <x:v>6</x:v>
      </x:c>
      <x:c r="D176" s="23" t="n">
        <x:v>2</x:v>
      </x:c>
      <x:c r="E176" s="23" t="n">
        <x:v>2</x:v>
      </x:c>
      <x:c r="F176" s="23" t="n">
        <x:v>5</x:v>
      </x:c>
      <x:c r="G176" s="23" t="n">
        <x:v>4</x:v>
      </x:c>
      <x:c r="H176" s="23" t="n">
        <x:v>4</x:v>
      </x:c>
      <x:c r="I176" s="23" t="n">
        <x:v>3</x:v>
      </x:c>
      <x:c r="J176" s="23" t="n">
        <x:v>3</x:v>
      </x:c>
      <x:c r="K176" s="23" t="n">
        <x:v>7</x:v>
      </x:c>
      <x:c r="L176" s="23" t="n">
        <x:v>8</x:v>
      </x:c>
      <x:c r="M176" s="23" t="n">
        <x:v>3</x:v>
      </x:c>
      <x:c r="N176" s="23" t="n">
        <x:v>13</x:v>
      </x:c>
      <x:c r="O176" s="23" t="n">
        <x:v>1</x:v>
      </x:c>
      <x:c r="P176" s="23" t="n">
        <x:v>3</x:v>
      </x:c>
      <x:c r="Q176" s="23" t="n">
        <x:v>5</x:v>
      </x:c>
      <x:c r="R176" s="23" t="n">
        <x:v>11</x:v>
      </x:c>
    </x:row>
    <x:row r="177">
      <x:c r="A177" s="15" t="n">
        <x:v>45413</x:v>
      </x:c>
      <x:c r="B177" s="23" t="n">
        <x:v>3</x:v>
      </x:c>
      <x:c r="C177" s="23" t="n">
        <x:v>6</x:v>
      </x:c>
      <x:c r="D177" s="23" t="n">
        <x:v>2</x:v>
      </x:c>
      <x:c r="E177" s="23" t="n">
        <x:v>2</x:v>
      </x:c>
      <x:c r="F177" s="23" t="n">
        <x:v>5</x:v>
      </x:c>
      <x:c r="G177" s="23" t="n">
        <x:v>4</x:v>
      </x:c>
      <x:c r="H177" s="23" t="n">
        <x:v>4</x:v>
      </x:c>
      <x:c r="I177" s="23" t="n">
        <x:v>3</x:v>
      </x:c>
      <x:c r="J177" s="23" t="n">
        <x:v>3</x:v>
      </x:c>
      <x:c r="K177" s="23" t="n">
        <x:v>7</x:v>
      </x:c>
      <x:c r="L177" s="23" t="n">
        <x:v>8</x:v>
      </x:c>
      <x:c r="M177" s="23" t="n">
        <x:v>3</x:v>
      </x:c>
      <x:c r="N177" s="23" t="n">
        <x:v>13</x:v>
      </x:c>
      <x:c r="O177" s="23" t="n">
        <x:v>1</x:v>
      </x:c>
      <x:c r="P177" s="23" t="n">
        <x:v>3</x:v>
      </x:c>
      <x:c r="Q177" s="23" t="n">
        <x:v>5</x:v>
      </x:c>
      <x:c r="R177" s="23" t="n">
        <x:v>11</x:v>
      </x:c>
    </x:row>
    <x:row r="178">
      <x:c r="A178" s="15" t="n">
        <x:v>45444</x:v>
      </x:c>
      <x:c r="B178" s="23" t="n">
        <x:v>3</x:v>
      </x:c>
      <x:c r="C178" s="23" t="n">
        <x:v>6</x:v>
      </x:c>
      <x:c r="D178" s="23" t="n">
        <x:v>2</x:v>
      </x:c>
      <x:c r="E178" s="23" t="n">
        <x:v>2</x:v>
      </x:c>
      <x:c r="F178" s="23" t="n">
        <x:v>5</x:v>
      </x:c>
      <x:c r="G178" s="23" t="n">
        <x:v>4</x:v>
      </x:c>
      <x:c r="H178" s="23" t="n">
        <x:v>4</x:v>
      </x:c>
      <x:c r="I178" s="23" t="n">
        <x:v>3</x:v>
      </x:c>
      <x:c r="J178" s="23" t="n">
        <x:v>3</x:v>
      </x:c>
      <x:c r="K178" s="23" t="n">
        <x:v>7</x:v>
      </x:c>
      <x:c r="L178" s="23" t="n">
        <x:v>8</x:v>
      </x:c>
      <x:c r="M178" s="23" t="n">
        <x:v>3</x:v>
      </x:c>
      <x:c r="N178" s="23" t="n">
        <x:v>13</x:v>
      </x:c>
      <x:c r="O178" s="23" t="n">
        <x:v>1</x:v>
      </x:c>
      <x:c r="P178" s="23" t="n">
        <x:v>3</x:v>
      </x:c>
      <x:c r="Q178" s="23" t="n">
        <x:v>5</x:v>
      </x:c>
      <x:c r="R178" s="23" t="n">
        <x:v>11</x:v>
      </x:c>
    </x:row>
    <x:row r="179">
      <x:c r="A179" s="15" t="n">
        <x:v>45474</x:v>
      </x:c>
      <x:c r="B179" s="23" t="n">
        <x:v>3</x:v>
      </x:c>
      <x:c r="C179" s="23" t="n">
        <x:v>6</x:v>
      </x:c>
      <x:c r="D179" s="23" t="n">
        <x:v>2</x:v>
      </x:c>
      <x:c r="E179" s="23" t="n">
        <x:v>2</x:v>
      </x:c>
      <x:c r="F179" s="23" t="n">
        <x:v>5</x:v>
      </x:c>
      <x:c r="G179" s="23" t="n">
        <x:v>4</x:v>
      </x:c>
      <x:c r="H179" s="23" t="n">
        <x:v>4</x:v>
      </x:c>
      <x:c r="I179" s="23" t="n">
        <x:v>3</x:v>
      </x:c>
      <x:c r="J179" s="23" t="n">
        <x:v>3</x:v>
      </x:c>
      <x:c r="K179" s="23" t="n">
        <x:v>7</x:v>
      </x:c>
      <x:c r="L179" s="23" t="n">
        <x:v>8</x:v>
      </x:c>
      <x:c r="M179" s="23" t="n">
        <x:v>3</x:v>
      </x:c>
      <x:c r="N179" s="23" t="n">
        <x:v>13</x:v>
      </x:c>
      <x:c r="O179" s="23" t="n">
        <x:v>1</x:v>
      </x:c>
      <x:c r="P179" s="23" t="n">
        <x:v>3</x:v>
      </x:c>
      <x:c r="Q179" s="23" t="n">
        <x:v>5</x:v>
      </x:c>
      <x:c r="R179" s="23" t="n">
        <x:v>11</x:v>
      </x:c>
    </x:row>
    <x:row r="180">
      <x:c r="A180" s="15" t="n">
        <x:v>45505</x:v>
      </x:c>
      <x:c r="B180" s="23" t="n">
        <x:v>3</x:v>
      </x:c>
      <x:c r="C180" s="23" t="n">
        <x:v>6</x:v>
      </x:c>
      <x:c r="D180" s="23" t="n">
        <x:v>2</x:v>
      </x:c>
      <x:c r="E180" s="23" t="n">
        <x:v>2</x:v>
      </x:c>
      <x:c r="F180" s="23" t="n">
        <x:v>4</x:v>
      </x:c>
      <x:c r="G180" s="23" t="n">
        <x:v>4</x:v>
      </x:c>
      <x:c r="H180" s="23" t="n">
        <x:v>4</x:v>
      </x:c>
      <x:c r="I180" s="23" t="n">
        <x:v>3</x:v>
      </x:c>
      <x:c r="J180" s="23" t="n">
        <x:v>3</x:v>
      </x:c>
      <x:c r="K180" s="23" t="n">
        <x:v>7</x:v>
      </x:c>
      <x:c r="L180" s="23" t="n">
        <x:v>8</x:v>
      </x:c>
      <x:c r="M180" s="23" t="n">
        <x:v>3</x:v>
      </x:c>
      <x:c r="N180" s="23" t="n">
        <x:v>12</x:v>
      </x:c>
      <x:c r="O180" s="23" t="n">
        <x:v>1</x:v>
      </x:c>
      <x:c r="P180" s="23" t="n">
        <x:v>3</x:v>
      </x:c>
      <x:c r="Q180" s="23" t="n">
        <x:v>5</x:v>
      </x:c>
      <x:c r="R180" s="23" t="n">
        <x:v>11</x:v>
      </x:c>
    </x:row>
    <x:row r="181">
      <x:c r="A181" s="15" t="n">
        <x:v>45536</x:v>
      </x:c>
      <x:c r="B181" s="23" t="n">
        <x:v>3</x:v>
      </x:c>
      <x:c r="C181" s="23" t="n">
        <x:v>6</x:v>
      </x:c>
      <x:c r="D181" s="23" t="n">
        <x:v>2</x:v>
      </x:c>
      <x:c r="E181" s="23" t="n">
        <x:v>2</x:v>
      </x:c>
      <x:c r="F181" s="23" t="n">
        <x:v>5</x:v>
      </x:c>
      <x:c r="G181" s="23" t="n">
        <x:v>4</x:v>
      </x:c>
      <x:c r="H181" s="23" t="n">
        <x:v>4</x:v>
      </x:c>
      <x:c r="I181" s="23" t="n">
        <x:v>3</x:v>
      </x:c>
      <x:c r="J181" s="23" t="n">
        <x:v>3</x:v>
      </x:c>
      <x:c r="K181" s="23" t="n">
        <x:v>7</x:v>
      </x:c>
      <x:c r="L181" s="23" t="n">
        <x:v>8</x:v>
      </x:c>
      <x:c r="M181" s="23" t="n">
        <x:v>2</x:v>
      </x:c>
      <x:c r="N181" s="23" t="n">
        <x:v>12</x:v>
      </x:c>
      <x:c r="O181" s="23" t="n">
        <x:v>1</x:v>
      </x:c>
      <x:c r="P181" s="23" t="n">
        <x:v>3</x:v>
      </x:c>
      <x:c r="Q181" s="23" t="n">
        <x:v>6</x:v>
      </x:c>
      <x:c r="R181" s="23" t="n">
        <x:v>12</x:v>
      </x:c>
    </x:row>
    <x:row r="182">
      <x:c r="A182" s="15" t="n">
        <x:v>45566</x:v>
      </x:c>
      <x:c r="B182" s="23" t="n">
        <x:v>3</x:v>
      </x:c>
      <x:c r="C182" s="23" t="n">
        <x:v>6</x:v>
      </x:c>
      <x:c r="D182" s="23" t="n">
        <x:v>2</x:v>
      </x:c>
      <x:c r="E182" s="23" t="n">
        <x:v>2</x:v>
      </x:c>
      <x:c r="F182" s="23" t="n">
        <x:v>5</x:v>
      </x:c>
      <x:c r="G182" s="23" t="n">
        <x:v>4</x:v>
      </x:c>
      <x:c r="H182" s="23" t="n">
        <x:v>4</x:v>
      </x:c>
      <x:c r="I182" s="23" t="n">
        <x:v>3</x:v>
      </x:c>
      <x:c r="J182" s="23" t="n">
        <x:v>3</x:v>
      </x:c>
      <x:c r="K182" s="23" t="n">
        <x:v>7</x:v>
      </x:c>
      <x:c r="L182" s="23" t="n">
        <x:v>8</x:v>
      </x:c>
      <x:c r="M182" s="23" t="n">
        <x:v>2</x:v>
      </x:c>
      <x:c r="N182" s="23" t="n">
        <x:v>12</x:v>
      </x:c>
      <x:c r="O182" s="23" t="n">
        <x:v>1</x:v>
      </x:c>
      <x:c r="P182" s="23" t="n">
        <x:v>3</x:v>
      </x:c>
      <x:c r="Q182" s="23" t="n">
        <x:v>6</x:v>
      </x:c>
      <x:c r="R182" s="23" t="n">
        <x:v>12</x:v>
      </x:c>
    </x:row>
    <x:row r="183">
      <x:c r="A183" s="15" t="n">
        <x:v>45597</x:v>
      </x:c>
      <x:c r="B183" s="23" t="n">
        <x:v>3</x:v>
      </x:c>
      <x:c r="C183" s="23" t="n">
        <x:v>6</x:v>
      </x:c>
      <x:c r="D183" s="23" t="n">
        <x:v>2</x:v>
      </x:c>
      <x:c r="E183" s="23" t="n">
        <x:v>2</x:v>
      </x:c>
      <x:c r="F183" s="23" t="n">
        <x:v>5</x:v>
      </x:c>
      <x:c r="G183" s="23" t="n">
        <x:v>4</x:v>
      </x:c>
      <x:c r="H183" s="23" t="n">
        <x:v>4</x:v>
      </x:c>
      <x:c r="I183" s="23" t="n">
        <x:v>3</x:v>
      </x:c>
      <x:c r="J183" s="23" t="n">
        <x:v>3</x:v>
      </x:c>
      <x:c r="K183" s="23" t="n">
        <x:v>7</x:v>
      </x:c>
      <x:c r="L183" s="23" t="n">
        <x:v>8</x:v>
      </x:c>
      <x:c r="M183" s="23" t="n">
        <x:v>2</x:v>
      </x:c>
      <x:c r="N183" s="23" t="n">
        <x:v>12</x:v>
      </x:c>
      <x:c r="O183" s="23" t="n">
        <x:v>1</x:v>
      </x:c>
      <x:c r="P183" s="23" t="n">
        <x:v>3</x:v>
      </x:c>
      <x:c r="Q183" s="23" t="n">
        <x:v>6</x:v>
      </x:c>
      <x:c r="R183" s="23" t="n">
        <x:v>12</x:v>
      </x:c>
    </x:row>
    <x:row r="184">
      <x:c r="A184" s="15" t="n">
        <x:v>45627</x:v>
      </x:c>
      <x:c r="B184" s="23" t="n">
        <x:v>3</x:v>
      </x:c>
      <x:c r="C184" s="23" t="n">
        <x:v>6</x:v>
      </x:c>
      <x:c r="D184" s="23" t="n">
        <x:v>2</x:v>
      </x:c>
      <x:c r="E184" s="23" t="n">
        <x:v>2</x:v>
      </x:c>
      <x:c r="F184" s="23" t="n">
        <x:v>5</x:v>
      </x:c>
      <x:c r="G184" s="23" t="n">
        <x:v>5</x:v>
      </x:c>
      <x:c r="H184" s="23" t="n">
        <x:v>4</x:v>
      </x:c>
      <x:c r="I184" s="23" t="n">
        <x:v>3</x:v>
      </x:c>
      <x:c r="J184" s="23" t="n">
        <x:v>3</x:v>
      </x:c>
      <x:c r="K184" s="23" t="n">
        <x:v>6</x:v>
      </x:c>
      <x:c r="L184" s="23" t="n">
        <x:v>8</x:v>
      </x:c>
      <x:c r="M184" s="23" t="n">
        <x:v>2</x:v>
      </x:c>
      <x:c r="N184" s="23" t="n">
        <x:v>12</x:v>
      </x:c>
      <x:c r="O184" s="23" t="n">
        <x:v>1</x:v>
      </x:c>
      <x:c r="P184" s="23" t="n">
        <x:v>3</x:v>
      </x:c>
      <x:c r="Q184" s="23" t="n">
        <x:v>6</x:v>
      </x:c>
      <x:c r="R184" s="23" t="n">
        <x:v>12</x:v>
      </x:c>
    </x:row>
    <x:row r="185">
      <x:c r="A185" s="15" t="n">
        <x:v>45658</x:v>
      </x:c>
      <x:c r="B185" s="23" t="n">
        <x:v>3</x:v>
      </x:c>
      <x:c r="C185" s="23" t="n">
        <x:v>6</x:v>
      </x:c>
      <x:c r="D185" s="23" t="n">
        <x:v>3</x:v>
      </x:c>
      <x:c r="E185" s="23" t="n">
        <x:v>2</x:v>
      </x:c>
      <x:c r="F185" s="23" t="n">
        <x:v>6</x:v>
      </x:c>
      <x:c r="G185" s="23" t="n">
        <x:v>4</x:v>
      </x:c>
      <x:c r="H185" s="23" t="n">
        <x:v>4</x:v>
      </x:c>
      <x:c r="I185" s="23" t="n">
        <x:v>2</x:v>
      </x:c>
      <x:c r="J185" s="23" t="n">
        <x:v>3</x:v>
      </x:c>
      <x:c r="K185" s="23" t="n">
        <x:v>6</x:v>
      </x:c>
      <x:c r="L185" s="23" t="n">
        <x:v>8</x:v>
      </x:c>
      <x:c r="M185" s="23" t="n">
        <x:v>2</x:v>
      </x:c>
      <x:c r="N185" s="23" t="n">
        <x:v>11</x:v>
      </x:c>
      <x:c r="O185" s="23" t="n">
        <x:v>1</x:v>
      </x:c>
      <x:c r="P185" s="23" t="n">
        <x:v>3</x:v>
      </x:c>
      <x:c r="Q185" s="23" t="n">
        <x:v>6</x:v>
      </x:c>
      <x:c r="R185" s="23" t="n">
        <x:v>12</x:v>
      </x:c>
    </x:row>
    <x:row r="186">
      <x:c r="A186" s="15" t="n">
        <x:v>45689</x:v>
      </x:c>
      <x:c r="B186" s="23" t="n">
        <x:v>3</x:v>
      </x:c>
      <x:c r="C186" s="23" t="n">
        <x:v>6</x:v>
      </x:c>
      <x:c r="D186" s="23" t="n">
        <x:v>3</x:v>
      </x:c>
      <x:c r="E186" s="23" t="n">
        <x:v>2</x:v>
      </x:c>
      <x:c r="F186" s="23" t="n">
        <x:v>6</x:v>
      </x:c>
      <x:c r="G186" s="23" t="n">
        <x:v>4</x:v>
      </x:c>
      <x:c r="H186" s="23" t="n">
        <x:v>4</x:v>
      </x:c>
      <x:c r="I186" s="23" t="n">
        <x:v>2</x:v>
      </x:c>
      <x:c r="J186" s="23" t="n">
        <x:v>3</x:v>
      </x:c>
      <x:c r="K186" s="23" t="n">
        <x:v>6</x:v>
      </x:c>
      <x:c r="L186" s="23" t="n">
        <x:v>8</x:v>
      </x:c>
      <x:c r="M186" s="23" t="n">
        <x:v>2</x:v>
      </x:c>
      <x:c r="N186" s="23" t="n">
        <x:v>11</x:v>
      </x:c>
      <x:c r="O186" s="23" t="n">
        <x:v>1</x:v>
      </x:c>
      <x:c r="P186" s="23" t="n">
        <x:v>3</x:v>
      </x:c>
      <x:c r="Q186" s="23" t="n">
        <x:v>6</x:v>
      </x:c>
      <x:c r="R186" s="23" t="n">
        <x:v>12</x:v>
      </x:c>
    </x:row>
    <x:row r="187">
      <x:c r="A187" s="15" t="n">
        <x:v>45717</x:v>
      </x:c>
      <x:c r="B187" s="23" t="n">
        <x:v>3</x:v>
      </x:c>
      <x:c r="C187" s="23" t="n">
        <x:v>6</x:v>
      </x:c>
      <x:c r="D187" s="23" t="n">
        <x:v>3</x:v>
      </x:c>
      <x:c r="E187" s="23" t="n">
        <x:v>2</x:v>
      </x:c>
      <x:c r="F187" s="23" t="n">
        <x:v>6</x:v>
      </x:c>
      <x:c r="G187" s="23" t="n">
        <x:v>4</x:v>
      </x:c>
      <x:c r="H187" s="23" t="n">
        <x:v>4</x:v>
      </x:c>
      <x:c r="I187" s="23" t="n">
        <x:v>2</x:v>
      </x:c>
      <x:c r="J187" s="23" t="n">
        <x:v>3</x:v>
      </x:c>
      <x:c r="K187" s="23" t="n">
        <x:v>6</x:v>
      </x:c>
      <x:c r="L187" s="23" t="n">
        <x:v>8</x:v>
      </x:c>
      <x:c r="M187" s="23" t="n">
        <x:v>2</x:v>
      </x:c>
      <x:c r="N187" s="23" t="n">
        <x:v>11</x:v>
      </x:c>
      <x:c r="O187" s="23" t="n">
        <x:v>1</x:v>
      </x:c>
      <x:c r="P187" s="23" t="n">
        <x:v>3</x:v>
      </x:c>
      <x:c r="Q187" s="23" t="n">
        <x:v>6</x:v>
      </x:c>
      <x:c r="R187" s="23" t="n">
        <x:v>12</x:v>
      </x:c>
    </x:row>
    <x:row r="188">
      <x:c r="A188" s="15" t="n">
        <x:v>45748</x:v>
      </x:c>
      <x:c r="B188" s="23" t="n">
        <x:v>3</x:v>
      </x:c>
      <x:c r="C188" s="23" t="n">
        <x:v>6</x:v>
      </x:c>
      <x:c r="D188" s="23" t="n">
        <x:v>3</x:v>
      </x:c>
      <x:c r="E188" s="23" t="n">
        <x:v>2</x:v>
      </x:c>
      <x:c r="F188" s="23" t="n">
        <x:v>6</x:v>
      </x:c>
      <x:c r="G188" s="23" t="n">
        <x:v>4</x:v>
      </x:c>
      <x:c r="H188" s="23" t="n">
        <x:v>4</x:v>
      </x:c>
      <x:c r="I188" s="23" t="n">
        <x:v>2</x:v>
      </x:c>
      <x:c r="J188" s="23" t="n">
        <x:v>3</x:v>
      </x:c>
      <x:c r="K188" s="23" t="n">
        <x:v>7</x:v>
      </x:c>
      <x:c r="L188" s="23" t="n">
        <x:v>8</x:v>
      </x:c>
      <x:c r="M188" s="23" t="n">
        <x:v>2</x:v>
      </x:c>
      <x:c r="N188" s="23" t="n">
        <x:v>11</x:v>
      </x:c>
      <x:c r="O188" s="23" t="n">
        <x:v>1</x:v>
      </x:c>
      <x:c r="P188" s="23" t="n">
        <x:v>3</x:v>
      </x:c>
      <x:c r="Q188" s="23" t="n">
        <x:v>6</x:v>
      </x:c>
      <x:c r="R188" s="23" t="n">
        <x:v>12</x:v>
      </x:c>
    </x:row>
    <x:row r="189">
      <x:c r="A189" s="15" t="n">
        <x:v>45778</x:v>
      </x:c>
      <x:c r="B189" s="23" t="n">
        <x:v>3</x:v>
      </x:c>
      <x:c r="C189" s="23" t="n">
        <x:v>6</x:v>
      </x:c>
      <x:c r="D189" s="23" t="n">
        <x:v>3</x:v>
      </x:c>
      <x:c r="E189" s="23" t="n">
        <x:v>2</x:v>
      </x:c>
      <x:c r="F189" s="23" t="n">
        <x:v>6</x:v>
      </x:c>
      <x:c r="G189" s="23" t="n">
        <x:v>4</x:v>
      </x:c>
      <x:c r="H189" s="23" t="n">
        <x:v>4</x:v>
      </x:c>
      <x:c r="I189" s="23" t="n">
        <x:v>3</x:v>
      </x:c>
      <x:c r="J189" s="23" t="n">
        <x:v>3</x:v>
      </x:c>
      <x:c r="K189" s="23" t="n">
        <x:v>7</x:v>
      </x:c>
      <x:c r="L189" s="23" t="n">
        <x:v>8</x:v>
      </x:c>
      <x:c r="M189" s="23" t="n">
        <x:v>2</x:v>
      </x:c>
      <x:c r="N189" s="23" t="n">
        <x:v>11</x:v>
      </x:c>
      <x:c r="O189" s="23" t="n">
        <x:v>1</x:v>
      </x:c>
      <x:c r="P189" s="23" t="n">
        <x:v>2</x:v>
      </x:c>
      <x:c r="Q189" s="23" t="n">
        <x:v>5</x:v>
      </x:c>
      <x:c r="R189" s="23" t="n">
        <x:v>12</x:v>
      </x:c>
    </x:row>
    <x:row r="190">
      <x:c r="A190" s="15" t="n">
        <x:v>45809</x:v>
      </x:c>
      <x:c r="B190" s="23" t="n">
        <x:v>3</x:v>
      </x:c>
      <x:c r="C190" s="23" t="n">
        <x:v>6</x:v>
      </x:c>
      <x:c r="D190" s="23" t="n">
        <x:v>3</x:v>
      </x:c>
      <x:c r="E190" s="23" t="n">
        <x:v>2</x:v>
      </x:c>
      <x:c r="F190" s="23" t="n">
        <x:v>6</x:v>
      </x:c>
      <x:c r="G190" s="23" t="n">
        <x:v>4</x:v>
      </x:c>
      <x:c r="H190" s="23" t="n">
        <x:v>4</x:v>
      </x:c>
      <x:c r="I190" s="23" t="n">
        <x:v>3</x:v>
      </x:c>
      <x:c r="J190" s="23" t="n">
        <x:v>3</x:v>
      </x:c>
      <x:c r="K190" s="23" t="n">
        <x:v>7</x:v>
      </x:c>
      <x:c r="L190" s="23" t="n">
        <x:v>8</x:v>
      </x:c>
      <x:c r="M190" s="23" t="n">
        <x:v>2</x:v>
      </x:c>
      <x:c r="N190" s="23" t="n">
        <x:v>11</x:v>
      </x:c>
      <x:c r="O190" s="23" t="n">
        <x:v>1</x:v>
      </x:c>
      <x:c r="P190" s="23" t="n">
        <x:v>2</x:v>
      </x:c>
      <x:c r="Q190" s="23" t="n">
        <x:v>5</x:v>
      </x:c>
      <x:c r="R190" s="23" t="n">
        <x:v>12</x:v>
      </x:c>
    </x:row>
    <x:row r="191">
      <x:c r="A191" s="15" t="n">
        <x:v>45839</x:v>
      </x:c>
      <x:c r="B191" s="23" t="n">
        <x:v>3</x:v>
      </x:c>
      <x:c r="C191" s="23" t="n">
        <x:v>6</x:v>
      </x:c>
      <x:c r="D191" s="23" t="n">
        <x:v>3</x:v>
      </x:c>
      <x:c r="E191" s="23" t="n">
        <x:v>2</x:v>
      </x:c>
      <x:c r="F191" s="23" t="n">
        <x:v>6</x:v>
      </x:c>
      <x:c r="G191" s="23" t="n">
        <x:v>4</x:v>
      </x:c>
      <x:c r="H191" s="23" t="n">
        <x:v>4</x:v>
      </x:c>
      <x:c r="I191" s="23" t="n">
        <x:v>3</x:v>
      </x:c>
      <x:c r="J191" s="23" t="n">
        <x:v>3</x:v>
      </x:c>
      <x:c r="K191" s="23" t="n">
        <x:v>7</x:v>
      </x:c>
      <x:c r="L191" s="23" t="n">
        <x:v>8</x:v>
      </x:c>
      <x:c r="M191" s="23" t="n">
        <x:v>2</x:v>
      </x:c>
      <x:c r="N191" s="23" t="n">
        <x:v>11</x:v>
      </x:c>
      <x:c r="O191" s="23" t="n">
        <x:v>1</x:v>
      </x:c>
      <x:c r="P191" s="23" t="n">
        <x:v>2</x:v>
      </x:c>
      <x:c r="Q191" s="23" t="n">
        <x:v>5</x:v>
      </x:c>
      <x:c r="R191" s="23" t="n">
        <x:v>12</x:v>
      </x:c>
    </x:row>
    <x:row r="192">
      <x:c r="A192" s="15" t="n">
        <x:v>45870</x:v>
      </x:c>
      <x:c r="B192" s="23" t="n">
        <x:v>3</x:v>
      </x:c>
      <x:c r="C192" s="23" t="n">
        <x:v>6</x:v>
      </x:c>
      <x:c r="D192" s="23" t="n">
        <x:v>3</x:v>
      </x:c>
      <x:c r="E192" s="23" t="n">
        <x:v>2</x:v>
      </x:c>
      <x:c r="F192" s="23" t="n">
        <x:v>6</x:v>
      </x:c>
      <x:c r="G192" s="23" t="n">
        <x:v>4</x:v>
      </x:c>
      <x:c r="H192" s="23" t="n">
        <x:v>4</x:v>
      </x:c>
      <x:c r="I192" s="23" t="n">
        <x:v>3</x:v>
      </x:c>
      <x:c r="J192" s="23" t="n">
        <x:v>3</x:v>
      </x:c>
      <x:c r="K192" s="23" t="n">
        <x:v>7</x:v>
      </x:c>
      <x:c r="L192" s="23" t="n">
        <x:v>8</x:v>
      </x:c>
      <x:c r="M192" s="23" t="n">
        <x:v>2</x:v>
      </x:c>
      <x:c r="N192" s="23" t="n">
        <x:v>11</x:v>
      </x:c>
      <x:c r="O192" s="23" t="n">
        <x:v>1</x:v>
      </x:c>
      <x:c r="P192" s="23" t="n">
        <x:v>2</x:v>
      </x:c>
      <x:c r="Q192" s="23" t="n">
        <x:v>5</x:v>
      </x:c>
      <x:c r="R192" s="23" t="n">
        <x:v>12</x:v>
      </x:c>
    </x:row>
    <x:row r="193">
      <x:c r="A193" s="15" t="n">
        <x:v>45901</x:v>
      </x:c>
      <x:c r="B193" s="23" t="n">
        <x:v>2</x:v>
      </x:c>
      <x:c r="C193" s="23" t="n">
        <x:v>6</x:v>
      </x:c>
      <x:c r="D193" s="23" t="n">
        <x:v>3</x:v>
      </x:c>
      <x:c r="E193" s="23" t="n">
        <x:v>2</x:v>
      </x:c>
      <x:c r="F193" s="23" t="n">
        <x:v>6</x:v>
      </x:c>
      <x:c r="G193" s="23" t="n">
        <x:v>3</x:v>
      </x:c>
      <x:c r="H193" s="23" t="n">
        <x:v>4</x:v>
      </x:c>
      <x:c r="I193" s="23" t="n">
        <x:v>4</x:v>
      </x:c>
      <x:c r="J193" s="23" t="n">
        <x:v>3</x:v>
      </x:c>
      <x:c r="K193" s="23" t="n">
        <x:v>7</x:v>
      </x:c>
      <x:c r="L193" s="23" t="n">
        <x:v>8</x:v>
      </x:c>
      <x:c r="M193" s="23" t="n">
        <x:v>2</x:v>
      </x:c>
      <x:c r="N193" s="23" t="n">
        <x:v>11</x:v>
      </x:c>
      <x:c r="O193" s="23" t="n">
        <x:v>1</x:v>
      </x:c>
      <x:c r="P193" s="23" t="n">
        <x:v>2</x:v>
      </x:c>
      <x:c r="Q193" s="23" t="n">
        <x:v>4</x:v>
      </x:c>
      <x:c r="R193" s="23" t="n">
        <x:v>12</x:v>
      </x:c>
    </x:row>
    <x:row r="194">
      <x:c r="A194" s="15" t="n">
        <x:v>45931</x:v>
      </x:c>
      <x:c r="B194" s="23" t="n">
        <x:v>2</x:v>
      </x:c>
      <x:c r="C194" s="23" t="n">
        <x:v>6</x:v>
      </x:c>
      <x:c r="D194" s="23" t="n">
        <x:v>3</x:v>
      </x:c>
      <x:c r="E194" s="23" t="n">
        <x:v>2</x:v>
      </x:c>
      <x:c r="F194" s="23" t="n">
        <x:v>6</x:v>
      </x:c>
      <x:c r="G194" s="23" t="n">
        <x:v>3</x:v>
      </x:c>
      <x:c r="H194" s="23" t="n">
        <x:v>4</x:v>
      </x:c>
      <x:c r="I194" s="23" t="n">
        <x:v>4</x:v>
      </x:c>
      <x:c r="J194" s="23" t="n">
        <x:v>3</x:v>
      </x:c>
      <x:c r="K194" s="23" t="n">
        <x:v>7</x:v>
      </x:c>
      <x:c r="L194" s="23" t="n">
        <x:v>8</x:v>
      </x:c>
      <x:c r="M194" s="23" t="n">
        <x:v>2</x:v>
      </x:c>
      <x:c r="N194" s="23" t="n">
        <x:v>11</x:v>
      </x:c>
      <x:c r="O194" s="23" t="n">
        <x:v>1</x:v>
      </x:c>
      <x:c r="P194" s="23" t="n">
        <x:v>2</x:v>
      </x:c>
      <x:c r="Q194" s="23" t="n">
        <x:v>4</x:v>
      </x:c>
      <x:c r="R194" s="23" t="n">
        <x:v>12</x:v>
      </x:c>
    </x:row>
    <x:row r="195">
      <x:c r="A195" s="15" t="n">
        <x:v>45962</x:v>
      </x:c>
      <x:c r="B195" s="23" t="n">
        <x:v>2</x:v>
      </x:c>
      <x:c r="C195" s="23" t="n">
        <x:v>6</x:v>
      </x:c>
      <x:c r="D195" s="23" t="n">
        <x:v>3</x:v>
      </x:c>
      <x:c r="E195" s="23" t="n">
        <x:v>2</x:v>
      </x:c>
      <x:c r="F195" s="23" t="n">
        <x:v>6</x:v>
      </x:c>
      <x:c r="G195" s="23" t="n">
        <x:v>3</x:v>
      </x:c>
      <x:c r="H195" s="23" t="n">
        <x:v>4</x:v>
      </x:c>
      <x:c r="I195" s="23" t="n">
        <x:v>4</x:v>
      </x:c>
      <x:c r="J195" s="23" t="n">
        <x:v>3</x:v>
      </x:c>
      <x:c r="K195" s="23" t="n">
        <x:v>7</x:v>
      </x:c>
      <x:c r="L195" s="23" t="n">
        <x:v>8</x:v>
      </x:c>
      <x:c r="M195" s="23" t="n">
        <x:v>2</x:v>
      </x:c>
      <x:c r="N195" s="23" t="n">
        <x:v>11</x:v>
      </x:c>
      <x:c r="O195" s="23" t="n">
        <x:v>1</x:v>
      </x:c>
      <x:c r="P195" s="23" t="n">
        <x:v>2</x:v>
      </x:c>
      <x:c r="Q195" s="23" t="n">
        <x:v>4</x:v>
      </x:c>
      <x:c r="R195" s="23" t="n">
        <x:v>11</x:v>
      </x:c>
    </x:row>
    <x:row r="196">
      <x:c r="A196" s="15" t="n">
        <x:v>45992</x:v>
      </x:c>
      <x:c r="B196" s="23" t="n">
        <x:v>2</x:v>
      </x:c>
      <x:c r="C196" s="23" t="n">
        <x:v>6</x:v>
      </x:c>
      <x:c r="D196" s="23" t="n">
        <x:v>3</x:v>
      </x:c>
      <x:c r="E196" s="23" t="n">
        <x:v>2</x:v>
      </x:c>
      <x:c r="F196" s="23" t="n">
        <x:v>6</x:v>
      </x:c>
      <x:c r="G196" s="23" t="n">
        <x:v>3</x:v>
      </x:c>
      <x:c r="H196" s="23" t="n">
        <x:v>4</x:v>
      </x:c>
      <x:c r="I196" s="23" t="n">
        <x:v>4</x:v>
      </x:c>
      <x:c r="J196" s="23" t="n">
        <x:v>3</x:v>
      </x:c>
      <x:c r="K196" s="23" t="n">
        <x:v>6</x:v>
      </x:c>
      <x:c r="L196" s="23" t="n">
        <x:v>8</x:v>
      </x:c>
      <x:c r="M196" s="23" t="n">
        <x:v>2</x:v>
      </x:c>
      <x:c r="N196" s="23" t="n">
        <x:v>11</x:v>
      </x:c>
      <x:c r="O196" s="23" t="n">
        <x:v>1</x:v>
      </x:c>
      <x:c r="P196" s="23" t="n">
        <x:v>2</x:v>
      </x:c>
      <x:c r="Q196" s="23" t="n">
        <x:v>4</x:v>
      </x:c>
      <x:c r="R196" s="23" t="n">
        <x:v>12</x:v>
      </x:c>
    </x:row>
    <x:row r="197">
      <x:c r="A197" s="15" t="n">
        <x:v>46023</x:v>
      </x:c>
      <x:c r="B197" s="23" t="n">
        <x:v>2</x:v>
      </x:c>
      <x:c r="C197" s="23" t="n">
        <x:v>6</x:v>
      </x:c>
      <x:c r="D197" s="23" t="n">
        <x:v>3</x:v>
      </x:c>
      <x:c r="E197" s="23" t="n">
        <x:v>2</x:v>
      </x:c>
      <x:c r="F197" s="23" t="n">
        <x:v>6</x:v>
      </x:c>
      <x:c r="G197" s="23" t="n">
        <x:v>3</x:v>
      </x:c>
      <x:c r="H197" s="23" t="n">
        <x:v>4</x:v>
      </x:c>
      <x:c r="I197" s="23" t="n">
        <x:v>4</x:v>
      </x:c>
      <x:c r="J197" s="23" t="n">
        <x:v>3</x:v>
      </x:c>
      <x:c r="K197" s="23" t="n">
        <x:v>6</x:v>
      </x:c>
      <x:c r="L197" s="23" t="n">
        <x:v>8</x:v>
      </x:c>
      <x:c r="M197" s="23" t="n">
        <x:v>2</x:v>
      </x:c>
      <x:c r="N197" s="23" t="n">
        <x:v>10</x:v>
      </x:c>
      <x:c r="O197" s="23" t="n">
        <x:v>2</x:v>
      </x:c>
      <x:c r="P197" s="23" t="n">
        <x:v>2</x:v>
      </x:c>
      <x:c r="Q197" s="23" t="n">
        <x:v>4</x:v>
      </x:c>
      <x:c r="R197" s="23" t="n">
        <x:v>12</x:v>
      </x:c>
    </x:row>
    <x:row r="198">
      <x:c r="A198" s="15" t="n">
        <x:v>46054</x:v>
      </x:c>
      <x:c r="B198" s="23" t="n">
        <x:v>2</x:v>
      </x:c>
      <x:c r="C198" s="23" t="n">
        <x:v>6</x:v>
      </x:c>
      <x:c r="D198" s="23" t="n">
        <x:v>3</x:v>
      </x:c>
      <x:c r="E198" s="23" t="n">
        <x:v>2</x:v>
      </x:c>
      <x:c r="F198" s="23" t="n">
        <x:v>6</x:v>
      </x:c>
      <x:c r="G198" s="23" t="n">
        <x:v>3</x:v>
      </x:c>
      <x:c r="H198" s="23" t="n">
        <x:v>4</x:v>
      </x:c>
      <x:c r="I198" s="23" t="n">
        <x:v>4</x:v>
      </x:c>
      <x:c r="J198" s="23" t="n">
        <x:v>3</x:v>
      </x:c>
      <x:c r="K198" s="23" t="n">
        <x:v>6</x:v>
      </x:c>
      <x:c r="L198" s="23" t="n">
        <x:v>8</x:v>
      </x:c>
      <x:c r="M198" s="23" t="n">
        <x:v>2</x:v>
      </x:c>
      <x:c r="N198" s="23" t="n">
        <x:v>10</x:v>
      </x:c>
      <x:c r="O198" s="23" t="n">
        <x:v>2</x:v>
      </x:c>
      <x:c r="P198" s="23" t="n">
        <x:v>2</x:v>
      </x:c>
      <x:c r="Q198" s="23" t="n">
        <x:v>4</x:v>
      </x:c>
      <x:c r="R198" s="23" t="n">
        <x:v>12</x:v>
      </x:c>
    </x:row>
    <x:row r="199">
      <x:c r="A199" s="15" t="n">
        <x:v>46082</x:v>
      </x:c>
      <x:c r="B199" s="23" t="n">
        <x:v>1</x:v>
      </x:c>
      <x:c r="C199" s="23" t="n">
        <x:v>6</x:v>
      </x:c>
      <x:c r="D199" s="23" t="n">
        <x:v>3</x:v>
      </x:c>
      <x:c r="E199" s="23" t="n">
        <x:v>2</x:v>
      </x:c>
      <x:c r="F199" s="23" t="n">
        <x:v>6</x:v>
      </x:c>
      <x:c r="G199" s="23" t="n">
        <x:v>3</x:v>
      </x:c>
      <x:c r="H199" s="23" t="n">
        <x:v>4</x:v>
      </x:c>
      <x:c r="I199" s="23" t="n">
        <x:v>4</x:v>
      </x:c>
      <x:c r="J199" s="23" t="n">
        <x:v>3</x:v>
      </x:c>
      <x:c r="K199" s="23" t="n">
        <x:v>6</x:v>
      </x:c>
      <x:c r="L199" s="23" t="n">
        <x:v>8</x:v>
      </x:c>
      <x:c r="M199" s="23" t="n">
        <x:v>2</x:v>
      </x:c>
      <x:c r="N199" s="23" t="n">
        <x:v>9</x:v>
      </x:c>
      <x:c r="O199" s="23" t="n">
        <x:v>2</x:v>
      </x:c>
      <x:c r="P199" s="23" t="n">
        <x:v>2</x:v>
      </x:c>
      <x:c r="Q199" s="23" t="n">
        <x:v>4</x:v>
      </x:c>
      <x:c r="R199" s="23" t="n">
        <x:v>12</x:v>
      </x:c>
    </x:row>
    <x:row r="200">
      <x:c r="A200" s="15" t="n">
        <x:v>46113</x:v>
      </x:c>
      <x:c r="B200" s="23" t="n">
        <x:v>1</x:v>
      </x:c>
      <x:c r="C200" s="23" t="n">
        <x:v>6</x:v>
      </x:c>
      <x:c r="D200" s="23" t="n">
        <x:v>3</x:v>
      </x:c>
      <x:c r="E200" s="23" t="n">
        <x:v>2</x:v>
      </x:c>
      <x:c r="F200" s="23" t="n">
        <x:v>6</x:v>
      </x:c>
      <x:c r="G200" s="23" t="n">
        <x:v>3</x:v>
      </x:c>
      <x:c r="H200" s="23" t="n">
        <x:v>4</x:v>
      </x:c>
      <x:c r="I200" s="23" t="n">
        <x:v>4</x:v>
      </x:c>
      <x:c r="J200" s="23" t="n">
        <x:v>3</x:v>
      </x:c>
      <x:c r="K200" s="23" t="n">
        <x:v>6</x:v>
      </x:c>
      <x:c r="L200" s="23" t="n">
        <x:v>8</x:v>
      </x:c>
      <x:c r="M200" s="23" t="n">
        <x:v>2</x:v>
      </x:c>
      <x:c r="N200" s="23" t="n">
        <x:v>9</x:v>
      </x:c>
      <x:c r="O200" s="23" t="n">
        <x:v>2</x:v>
      </x:c>
      <x:c r="P200" s="23" t="n">
        <x:v>2</x:v>
      </x:c>
      <x:c r="Q200" s="23" t="n">
        <x:v>4</x:v>
      </x:c>
      <x:c r="R200" s="23" t="n">
        <x:v>12</x:v>
      </x:c>
    </x:row>
    <x:row r="201">
      <x:c r="A201" s="15" t="n">
        <x:v>46143</x:v>
      </x:c>
      <x:c r="B201" s="23" t="n">
        <x:v>1</x:v>
      </x:c>
      <x:c r="C201" s="23" t="n">
        <x:v>6</x:v>
      </x:c>
      <x:c r="D201" s="23" t="n">
        <x:v>3</x:v>
      </x:c>
      <x:c r="E201" s="23" t="n">
        <x:v>2</x:v>
      </x:c>
      <x:c r="F201" s="23" t="n">
        <x:v>5</x:v>
      </x:c>
      <x:c r="G201" s="23" t="n">
        <x:v>3</x:v>
      </x:c>
      <x:c r="H201" s="23" t="n">
        <x:v>4</x:v>
      </x:c>
      <x:c r="I201" s="23" t="n">
        <x:v>4</x:v>
      </x:c>
      <x:c r="J201" s="23" t="n">
        <x:v>3</x:v>
      </x:c>
      <x:c r="K201" s="23" t="n">
        <x:v>6</x:v>
      </x:c>
      <x:c r="L201" s="23" t="n">
        <x:v>8</x:v>
      </x:c>
      <x:c r="M201" s="23" t="n">
        <x:v>2</x:v>
      </x:c>
      <x:c r="N201" s="23" t="n">
        <x:v>9</x:v>
      </x:c>
      <x:c r="O201" s="23" t="n">
        <x:v>2</x:v>
      </x:c>
      <x:c r="P201" s="23" t="n">
        <x:v>2</x:v>
      </x:c>
      <x:c r="Q201" s="23" t="n">
        <x:v>4</x:v>
      </x:c>
      <x:c r="R201" s="23" t="n">
        <x:v>12</x:v>
      </x:c>
    </x:row>
    <x:row r="202">
      <x:c r="A202" s="15" t="n">
        <x:v>46174</x:v>
      </x:c>
      <x:c r="B202" s="23" t="n">
        <x:v>1</x:v>
      </x:c>
      <x:c r="C202" s="23" t="n">
        <x:v>6</x:v>
      </x:c>
      <x:c r="D202" s="23" t="n">
        <x:v>3</x:v>
      </x:c>
      <x:c r="E202" s="23" t="n">
        <x:v>2</x:v>
      </x:c>
      <x:c r="F202" s="23" t="n">
        <x:v>5</x:v>
      </x:c>
      <x:c r="G202" s="23" t="n">
        <x:v>3</x:v>
      </x:c>
      <x:c r="H202" s="23" t="n">
        <x:v>4</x:v>
      </x:c>
      <x:c r="I202" s="23" t="n">
        <x:v>4</x:v>
      </x:c>
      <x:c r="J202" s="23" t="n">
        <x:v>3</x:v>
      </x:c>
      <x:c r="K202" s="23" t="n">
        <x:v>7</x:v>
      </x:c>
      <x:c r="L202" s="23" t="n">
        <x:v>8</x:v>
      </x:c>
      <x:c r="M202" s="23" t="n">
        <x:v>2</x:v>
      </x:c>
      <x:c r="N202" s="23" t="n">
        <x:v>9</x:v>
      </x:c>
      <x:c r="O202" s="23" t="n">
        <x:v>2</x:v>
      </x:c>
      <x:c r="P202" s="23" t="n">
        <x:v>2</x:v>
      </x:c>
      <x:c r="Q202" s="23" t="n">
        <x:v>4</x:v>
      </x:c>
      <x:c r="R202" s="23" t="n">
        <x:v>11</x:v>
      </x:c>
    </x:row>
    <x:row r="203">
      <x:c r="A203" s="15" t="n">
        <x:v>46204</x:v>
      </x:c>
      <x:c r="B203" s="23" t="n">
        <x:v>1</x:v>
      </x:c>
      <x:c r="C203" s="23" t="n">
        <x:v>6</x:v>
      </x:c>
      <x:c r="D203" s="23" t="n">
        <x:v>3</x:v>
      </x:c>
      <x:c r="E203" s="23" t="n">
        <x:v>2</x:v>
      </x:c>
      <x:c r="F203" s="23" t="n">
        <x:v>5</x:v>
      </x:c>
      <x:c r="G203" s="23" t="n">
        <x:v>3</x:v>
      </x:c>
      <x:c r="H203" s="23" t="n">
        <x:v>4</x:v>
      </x:c>
      <x:c r="I203" s="23" t="n">
        <x:v>4</x:v>
      </x:c>
      <x:c r="J203" s="23" t="n">
        <x:v>3</x:v>
      </x:c>
      <x:c r="K203" s="23" t="n">
        <x:v>7</x:v>
      </x:c>
      <x:c r="L203" s="23" t="n">
        <x:v>8</x:v>
      </x:c>
      <x:c r="M203" s="23" t="n">
        <x:v>2</x:v>
      </x:c>
      <x:c r="N203" s="23" t="n">
        <x:v>9</x:v>
      </x:c>
      <x:c r="O203" s="23" t="n">
        <x:v>2</x:v>
      </x:c>
      <x:c r="P203" s="23" t="n">
        <x:v>2</x:v>
      </x:c>
      <x:c r="Q203" s="23" t="n">
        <x:v>4</x:v>
      </x:c>
      <x:c r="R203" s="23" t="n">
        <x:v>11</x:v>
      </x:c>
    </x:row>
  </x:sheetData>
  <x:mergeCells>
    <x:mergeCell ref="A1:R1"/>
    <x:mergeCell ref="A2:R2"/>
  </x:mergeCells>
  <x:pageMargins left="0.7" right="0.7" top="0.75" bottom="0.75" header="0.3" footer="0.3"/>
  <x:tableParts count="1">
    <x:tablePart xmlns:r="http://schemas.openxmlformats.org/officeDocument/2006/relationships" r:id="R3044bf3aa491441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</x:cols>
  <x:sheetData>
    <x:row r="1" ht="27" customHeight="1">
      <x:c r="A1" s="3" t="str">
        <x:v>Cobertura da revisão em 3 meses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2" ht="30" customHeight="1">
      <x:c r="A2" s="7" t="str">
        <x:v>Número de empresas comuns às duas pontas da janela t-3/t, por setor e mês.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</x:row>
    <x:row r="4" ht="31" customHeight="1">
      <x:c r="A4" s="11" t="str">
        <x:v>Mês</x:v>
      </x:c>
      <x:c r="B4" s="11" t="str">
        <x:v>Agribusiness</x:v>
      </x:c>
      <x:c r="C4" s="11" t="str">
        <x:v>Banks</x:v>
      </x:c>
      <x:c r="D4" s="11" t="str">
        <x:v>Capital Goods</x:v>
      </x:c>
      <x:c r="E4" s="11" t="str">
        <x:v>Education</x:v>
      </x:c>
      <x:c r="F4" s="11" t="str">
        <x:v>Financials Non-Banks</x:v>
      </x:c>
      <x:c r="G4" s="11" t="str">
        <x:v>Food &amp; Beverages</x:v>
      </x:c>
      <x:c r="H4" s="11" t="str">
        <x:v>Health Care</x:v>
      </x:c>
      <x:c r="I4" s="11" t="str">
        <x:v>Homebuilders</x:v>
      </x:c>
      <x:c r="J4" s="11" t="str">
        <x:v>Income Properties</x:v>
      </x:c>
      <x:c r="K4" s="11" t="str">
        <x:v>Metals &amp; Mining</x:v>
      </x:c>
      <x:c r="L4" s="11" t="str">
        <x:v>Oil, Gas &amp; Petrochemicals</x:v>
      </x:c>
      <x:c r="M4" s="11" t="str">
        <x:v>Pulp &amp; Paper</x:v>
      </x:c>
      <x:c r="N4" s="11" t="str">
        <x:v>Retail</x:v>
      </x:c>
      <x:c r="O4" s="11" t="str">
        <x:v>Sanitation</x:v>
      </x:c>
      <x:c r="P4" s="11" t="str">
        <x:v>TMT</x:v>
      </x:c>
      <x:c r="Q4" s="11" t="str">
        <x:v>Transportation</x:v>
      </x:c>
      <x:c r="R4" s="11" t="str">
        <x:v>Utilities &amp; Energy</x:v>
      </x:c>
    </x:row>
    <x:row r="5">
      <x:c r="A5" s="15" t="n">
        <x:v>40269</x:v>
      </x:c>
      <x:c r="B5" s="23"/>
      <x:c r="C5" s="23" t="n">
        <x:v>3</x:v>
      </x:c>
      <x:c r="D5" s="23" t="n">
        <x:v>1</x:v>
      </x:c>
      <x:c r="E5" s="23"/>
      <x:c r="F5" s="23" t="n">
        <x:v>3</x:v>
      </x:c>
      <x:c r="G5" s="23" t="n">
        <x:v>3</x:v>
      </x:c>
      <x:c r="H5" s="23"/>
      <x:c r="I5" s="23" t="n">
        <x:v>5</x:v>
      </x:c>
      <x:c r="J5" s="23"/>
      <x:c r="K5" s="23" t="n">
        <x:v>7</x:v>
      </x:c>
      <x:c r="L5" s="23" t="n">
        <x:v>5</x:v>
      </x:c>
      <x:c r="M5" s="23" t="n">
        <x:v>2</x:v>
      </x:c>
      <x:c r="N5" s="23" t="n">
        <x:v>5</x:v>
      </x:c>
      <x:c r="O5" s="23" t="n">
        <x:v>1</x:v>
      </x:c>
      <x:c r="P5" s="23" t="n">
        <x:v>7</x:v>
      </x:c>
      <x:c r="Q5" s="23" t="n">
        <x:v>5</x:v>
      </x:c>
      <x:c r="R5" s="23" t="n">
        <x:v>8</x:v>
      </x:c>
    </x:row>
    <x:row r="6">
      <x:c r="A6" s="15" t="n">
        <x:v>40299</x:v>
      </x:c>
      <x:c r="B6" s="23"/>
      <x:c r="C6" s="23" t="n">
        <x:v>3</x:v>
      </x:c>
      <x:c r="D6" s="23" t="n">
        <x:v>1</x:v>
      </x:c>
      <x:c r="E6" s="23"/>
      <x:c r="F6" s="23" t="n">
        <x:v>3</x:v>
      </x:c>
      <x:c r="G6" s="23" t="n">
        <x:v>3</x:v>
      </x:c>
      <x:c r="H6" s="23"/>
      <x:c r="I6" s="23" t="n">
        <x:v>5</x:v>
      </x:c>
      <x:c r="J6" s="23"/>
      <x:c r="K6" s="23" t="n">
        <x:v>7</x:v>
      </x:c>
      <x:c r="L6" s="23" t="n">
        <x:v>5</x:v>
      </x:c>
      <x:c r="M6" s="23" t="n">
        <x:v>2</x:v>
      </x:c>
      <x:c r="N6" s="23" t="n">
        <x:v>5</x:v>
      </x:c>
      <x:c r="O6" s="23" t="n">
        <x:v>1</x:v>
      </x:c>
      <x:c r="P6" s="23" t="n">
        <x:v>7</x:v>
      </x:c>
      <x:c r="Q6" s="23" t="n">
        <x:v>5</x:v>
      </x:c>
      <x:c r="R6" s="23" t="n">
        <x:v>8</x:v>
      </x:c>
    </x:row>
    <x:row r="7">
      <x:c r="A7" s="15" t="n">
        <x:v>40330</x:v>
      </x:c>
      <x:c r="B7" s="23"/>
      <x:c r="C7" s="23" t="n">
        <x:v>3</x:v>
      </x:c>
      <x:c r="D7" s="23" t="n">
        <x:v>1</x:v>
      </x:c>
      <x:c r="E7" s="23"/>
      <x:c r="F7" s="23" t="n">
        <x:v>3</x:v>
      </x:c>
      <x:c r="G7" s="23" t="n">
        <x:v>3</x:v>
      </x:c>
      <x:c r="H7" s="23"/>
      <x:c r="I7" s="23" t="n">
        <x:v>5</x:v>
      </x:c>
      <x:c r="J7" s="23"/>
      <x:c r="K7" s="23" t="n">
        <x:v>7</x:v>
      </x:c>
      <x:c r="L7" s="23" t="n">
        <x:v>5</x:v>
      </x:c>
      <x:c r="M7" s="23" t="n">
        <x:v>2</x:v>
      </x:c>
      <x:c r="N7" s="23" t="n">
        <x:v>5</x:v>
      </x:c>
      <x:c r="O7" s="23" t="n">
        <x:v>1</x:v>
      </x:c>
      <x:c r="P7" s="23" t="n">
        <x:v>7</x:v>
      </x:c>
      <x:c r="Q7" s="23" t="n">
        <x:v>5</x:v>
      </x:c>
      <x:c r="R7" s="23" t="n">
        <x:v>8</x:v>
      </x:c>
    </x:row>
    <x:row r="8">
      <x:c r="A8" s="15" t="n">
        <x:v>40360</x:v>
      </x:c>
      <x:c r="B8" s="23"/>
      <x:c r="C8" s="23" t="n">
        <x:v>3</x:v>
      </x:c>
      <x:c r="D8" s="23" t="n">
        <x:v>1</x:v>
      </x:c>
      <x:c r="E8" s="23"/>
      <x:c r="F8" s="23" t="n">
        <x:v>3</x:v>
      </x:c>
      <x:c r="G8" s="23" t="n">
        <x:v>3</x:v>
      </x:c>
      <x:c r="H8" s="23"/>
      <x:c r="I8" s="23" t="n">
        <x:v>5</x:v>
      </x:c>
      <x:c r="J8" s="23"/>
      <x:c r="K8" s="23" t="n">
        <x:v>8</x:v>
      </x:c>
      <x:c r="L8" s="23" t="n">
        <x:v>5</x:v>
      </x:c>
      <x:c r="M8" s="23" t="n">
        <x:v>2</x:v>
      </x:c>
      <x:c r="N8" s="23" t="n">
        <x:v>5</x:v>
      </x:c>
      <x:c r="O8" s="23" t="n">
        <x:v>1</x:v>
      </x:c>
      <x:c r="P8" s="23" t="n">
        <x:v>7</x:v>
      </x:c>
      <x:c r="Q8" s="23" t="n">
        <x:v>5</x:v>
      </x:c>
      <x:c r="R8" s="23" t="n">
        <x:v>8</x:v>
      </x:c>
    </x:row>
    <x:row r="9">
      <x:c r="A9" s="15" t="n">
        <x:v>40391</x:v>
      </x:c>
      <x:c r="B9" s="23"/>
      <x:c r="C9" s="23" t="n">
        <x:v>3</x:v>
      </x:c>
      <x:c r="D9" s="23" t="n">
        <x:v>1</x:v>
      </x:c>
      <x:c r="E9" s="23"/>
      <x:c r="F9" s="23" t="n">
        <x:v>4</x:v>
      </x:c>
      <x:c r="G9" s="23" t="n">
        <x:v>3</x:v>
      </x:c>
      <x:c r="H9" s="23"/>
      <x:c r="I9" s="23" t="n">
        <x:v>5</x:v>
      </x:c>
      <x:c r="J9" s="23"/>
      <x:c r="K9" s="23" t="n">
        <x:v>8</x:v>
      </x:c>
      <x:c r="L9" s="23" t="n">
        <x:v>5</x:v>
      </x:c>
      <x:c r="M9" s="23" t="n">
        <x:v>2</x:v>
      </x:c>
      <x:c r="N9" s="23" t="n">
        <x:v>5</x:v>
      </x:c>
      <x:c r="O9" s="23" t="n">
        <x:v>1</x:v>
      </x:c>
      <x:c r="P9" s="23" t="n">
        <x:v>7</x:v>
      </x:c>
      <x:c r="Q9" s="23" t="n">
        <x:v>5</x:v>
      </x:c>
      <x:c r="R9" s="23" t="n">
        <x:v>8</x:v>
      </x:c>
    </x:row>
    <x:row r="10">
      <x:c r="A10" s="15" t="n">
        <x:v>40422</x:v>
      </x:c>
      <x:c r="B10" s="23"/>
      <x:c r="C10" s="23" t="n">
        <x:v>3</x:v>
      </x:c>
      <x:c r="D10" s="23" t="n">
        <x:v>1</x:v>
      </x:c>
      <x:c r="E10" s="23"/>
      <x:c r="F10" s="23" t="n">
        <x:v>4</x:v>
      </x:c>
      <x:c r="G10" s="23" t="n">
        <x:v>3</x:v>
      </x:c>
      <x:c r="H10" s="23"/>
      <x:c r="I10" s="23" t="n">
        <x:v>5</x:v>
      </x:c>
      <x:c r="J10" s="23"/>
      <x:c r="K10" s="23" t="n">
        <x:v>8</x:v>
      </x:c>
      <x:c r="L10" s="23" t="n">
        <x:v>5</x:v>
      </x:c>
      <x:c r="M10" s="23" t="n">
        <x:v>2</x:v>
      </x:c>
      <x:c r="N10" s="23" t="n">
        <x:v>5</x:v>
      </x:c>
      <x:c r="O10" s="23" t="n">
        <x:v>1</x:v>
      </x:c>
      <x:c r="P10" s="23" t="n">
        <x:v>8</x:v>
      </x:c>
      <x:c r="Q10" s="23" t="n">
        <x:v>5</x:v>
      </x:c>
      <x:c r="R10" s="23" t="n">
        <x:v>8</x:v>
      </x:c>
    </x:row>
    <x:row r="11">
      <x:c r="A11" s="15" t="n">
        <x:v>40452</x:v>
      </x:c>
      <x:c r="B11" s="23"/>
      <x:c r="C11" s="23" t="n">
        <x:v>3</x:v>
      </x:c>
      <x:c r="D11" s="23" t="n">
        <x:v>1</x:v>
      </x:c>
      <x:c r="E11" s="23"/>
      <x:c r="F11" s="23" t="n">
        <x:v>4</x:v>
      </x:c>
      <x:c r="G11" s="23" t="n">
        <x:v>3</x:v>
      </x:c>
      <x:c r="H11" s="23"/>
      <x:c r="I11" s="23" t="n">
        <x:v>5</x:v>
      </x:c>
      <x:c r="J11" s="23"/>
      <x:c r="K11" s="23" t="n">
        <x:v>8</x:v>
      </x:c>
      <x:c r="L11" s="23" t="n">
        <x:v>5</x:v>
      </x:c>
      <x:c r="M11" s="23" t="n">
        <x:v>2</x:v>
      </x:c>
      <x:c r="N11" s="23" t="n">
        <x:v>5</x:v>
      </x:c>
      <x:c r="O11" s="23" t="n">
        <x:v>1</x:v>
      </x:c>
      <x:c r="P11" s="23" t="n">
        <x:v>7</x:v>
      </x:c>
      <x:c r="Q11" s="23" t="n">
        <x:v>4</x:v>
      </x:c>
      <x:c r="R11" s="23" t="n">
        <x:v>8</x:v>
      </x:c>
    </x:row>
    <x:row r="12">
      <x:c r="A12" s="15" t="n">
        <x:v>40483</x:v>
      </x:c>
      <x:c r="B12" s="23"/>
      <x:c r="C12" s="23" t="n">
        <x:v>3</x:v>
      </x:c>
      <x:c r="D12" s="23" t="n">
        <x:v>1</x:v>
      </x:c>
      <x:c r="E12" s="23"/>
      <x:c r="F12" s="23" t="n">
        <x:v>4</x:v>
      </x:c>
      <x:c r="G12" s="23" t="n">
        <x:v>3</x:v>
      </x:c>
      <x:c r="H12" s="23"/>
      <x:c r="I12" s="23" t="n">
        <x:v>5</x:v>
      </x:c>
      <x:c r="J12" s="23"/>
      <x:c r="K12" s="23" t="n">
        <x:v>8</x:v>
      </x:c>
      <x:c r="L12" s="23" t="n">
        <x:v>5</x:v>
      </x:c>
      <x:c r="M12" s="23" t="n">
        <x:v>2</x:v>
      </x:c>
      <x:c r="N12" s="23" t="n">
        <x:v>5</x:v>
      </x:c>
      <x:c r="O12" s="23" t="n">
        <x:v>1</x:v>
      </x:c>
      <x:c r="P12" s="23" t="n">
        <x:v>7</x:v>
      </x:c>
      <x:c r="Q12" s="23" t="n">
        <x:v>4</x:v>
      </x:c>
      <x:c r="R12" s="23" t="n">
        <x:v>8</x:v>
      </x:c>
    </x:row>
    <x:row r="13">
      <x:c r="A13" s="15" t="n">
        <x:v>40513</x:v>
      </x:c>
      <x:c r="B13" s="23"/>
      <x:c r="C13" s="23" t="n">
        <x:v>4</x:v>
      </x:c>
      <x:c r="D13" s="23" t="n">
        <x:v>1</x:v>
      </x:c>
      <x:c r="E13" s="23"/>
      <x:c r="F13" s="23" t="n">
        <x:v>4</x:v>
      </x:c>
      <x:c r="G13" s="23" t="n">
        <x:v>5</x:v>
      </x:c>
      <x:c r="H13" s="23"/>
      <x:c r="I13" s="23" t="n">
        <x:v>6</x:v>
      </x:c>
      <x:c r="J13" s="23"/>
      <x:c r="K13" s="23" t="n">
        <x:v>8</x:v>
      </x:c>
      <x:c r="L13" s="23" t="n">
        <x:v>5</x:v>
      </x:c>
      <x:c r="M13" s="23" t="n">
        <x:v>2</x:v>
      </x:c>
      <x:c r="N13" s="23" t="n">
        <x:v>5</x:v>
      </x:c>
      <x:c r="O13" s="23" t="n">
        <x:v>1</x:v>
      </x:c>
      <x:c r="P13" s="23" t="n">
        <x:v>7</x:v>
      </x:c>
      <x:c r="Q13" s="23" t="n">
        <x:v>4</x:v>
      </x:c>
      <x:c r="R13" s="23" t="n">
        <x:v>8</x:v>
      </x:c>
    </x:row>
    <x:row r="14">
      <x:c r="A14" s="15" t="n">
        <x:v>40544</x:v>
      </x:c>
      <x:c r="B14" s="23"/>
      <x:c r="C14" s="23" t="n">
        <x:v>4</x:v>
      </x:c>
      <x:c r="D14" s="23" t="n">
        <x:v>1</x:v>
      </x:c>
      <x:c r="E14" s="23"/>
      <x:c r="F14" s="23" t="n">
        <x:v>4</x:v>
      </x:c>
      <x:c r="G14" s="23" t="n">
        <x:v>5</x:v>
      </x:c>
      <x:c r="H14" s="23"/>
      <x:c r="I14" s="23" t="n">
        <x:v>6</x:v>
      </x:c>
      <x:c r="J14" s="23"/>
      <x:c r="K14" s="23" t="n">
        <x:v>7</x:v>
      </x:c>
      <x:c r="L14" s="23" t="n">
        <x:v>5</x:v>
      </x:c>
      <x:c r="M14" s="23" t="n">
        <x:v>2</x:v>
      </x:c>
      <x:c r="N14" s="23" t="n">
        <x:v>5</x:v>
      </x:c>
      <x:c r="O14" s="23" t="n">
        <x:v>1</x:v>
      </x:c>
      <x:c r="P14" s="23" t="n">
        <x:v>7</x:v>
      </x:c>
      <x:c r="Q14" s="23" t="n">
        <x:v>5</x:v>
      </x:c>
      <x:c r="R14" s="23" t="n">
        <x:v>8</x:v>
      </x:c>
    </x:row>
    <x:row r="15">
      <x:c r="A15" s="15" t="n">
        <x:v>40575</x:v>
      </x:c>
      <x:c r="B15" s="23"/>
      <x:c r="C15" s="23" t="n">
        <x:v>4</x:v>
      </x:c>
      <x:c r="D15" s="23" t="n">
        <x:v>1</x:v>
      </x:c>
      <x:c r="E15" s="23"/>
      <x:c r="F15" s="23" t="n">
        <x:v>4</x:v>
      </x:c>
      <x:c r="G15" s="23" t="n">
        <x:v>5</x:v>
      </x:c>
      <x:c r="H15" s="23"/>
      <x:c r="I15" s="23" t="n">
        <x:v>6</x:v>
      </x:c>
      <x:c r="J15" s="23"/>
      <x:c r="K15" s="23" t="n">
        <x:v>7</x:v>
      </x:c>
      <x:c r="L15" s="23" t="n">
        <x:v>5</x:v>
      </x:c>
      <x:c r="M15" s="23" t="n">
        <x:v>2</x:v>
      </x:c>
      <x:c r="N15" s="23" t="n">
        <x:v>5</x:v>
      </x:c>
      <x:c r="O15" s="23" t="n">
        <x:v>1</x:v>
      </x:c>
      <x:c r="P15" s="23" t="n">
        <x:v>7</x:v>
      </x:c>
      <x:c r="Q15" s="23" t="n">
        <x:v>5</x:v>
      </x:c>
      <x:c r="R15" s="23" t="n">
        <x:v>8</x:v>
      </x:c>
    </x:row>
    <x:row r="16">
      <x:c r="A16" s="15" t="n">
        <x:v>40603</x:v>
      </x:c>
      <x:c r="B16" s="23"/>
      <x:c r="C16" s="23" t="n">
        <x:v>4</x:v>
      </x:c>
      <x:c r="D16" s="23" t="n">
        <x:v>1</x:v>
      </x:c>
      <x:c r="E16" s="23"/>
      <x:c r="F16" s="23" t="n">
        <x:v>4</x:v>
      </x:c>
      <x:c r="G16" s="23" t="n">
        <x:v>5</x:v>
      </x:c>
      <x:c r="H16" s="23"/>
      <x:c r="I16" s="23" t="n">
        <x:v>6</x:v>
      </x:c>
      <x:c r="J16" s="23"/>
      <x:c r="K16" s="23" t="n">
        <x:v>8</x:v>
      </x:c>
      <x:c r="L16" s="23" t="n">
        <x:v>5</x:v>
      </x:c>
      <x:c r="M16" s="23" t="n">
        <x:v>2</x:v>
      </x:c>
      <x:c r="N16" s="23" t="n">
        <x:v>5</x:v>
      </x:c>
      <x:c r="O16" s="23" t="n">
        <x:v>1</x:v>
      </x:c>
      <x:c r="P16" s="23" t="n">
        <x:v>7</x:v>
      </x:c>
      <x:c r="Q16" s="23" t="n">
        <x:v>5</x:v>
      </x:c>
      <x:c r="R16" s="23" t="n">
        <x:v>9</x:v>
      </x:c>
    </x:row>
    <x:row r="17">
      <x:c r="A17" s="15" t="n">
        <x:v>40634</x:v>
      </x:c>
      <x:c r="B17" s="23"/>
      <x:c r="C17" s="23" t="n">
        <x:v>4</x:v>
      </x:c>
      <x:c r="D17" s="23" t="n">
        <x:v>1</x:v>
      </x:c>
      <x:c r="E17" s="23"/>
      <x:c r="F17" s="23" t="n">
        <x:v>4</x:v>
      </x:c>
      <x:c r="G17" s="23" t="n">
        <x:v>5</x:v>
      </x:c>
      <x:c r="H17" s="23" t="n">
        <x:v>1</x:v>
      </x:c>
      <x:c r="I17" s="23" t="n">
        <x:v>6</x:v>
      </x:c>
      <x:c r="J17" s="23"/>
      <x:c r="K17" s="23" t="n">
        <x:v>7</x:v>
      </x:c>
      <x:c r="L17" s="23" t="n">
        <x:v>5</x:v>
      </x:c>
      <x:c r="M17" s="23" t="n">
        <x:v>2</x:v>
      </x:c>
      <x:c r="N17" s="23" t="n">
        <x:v>5</x:v>
      </x:c>
      <x:c r="O17" s="23" t="n">
        <x:v>1</x:v>
      </x:c>
      <x:c r="P17" s="23" t="n">
        <x:v>7</x:v>
      </x:c>
      <x:c r="Q17" s="23" t="n">
        <x:v>5</x:v>
      </x:c>
      <x:c r="R17" s="23" t="n">
        <x:v>9</x:v>
      </x:c>
    </x:row>
    <x:row r="18">
      <x:c r="A18" s="15" t="n">
        <x:v>40664</x:v>
      </x:c>
      <x:c r="B18" s="23"/>
      <x:c r="C18" s="23" t="n">
        <x:v>4</x:v>
      </x:c>
      <x:c r="D18" s="23" t="n">
        <x:v>1</x:v>
      </x:c>
      <x:c r="E18" s="23"/>
      <x:c r="F18" s="23" t="n">
        <x:v>4</x:v>
      </x:c>
      <x:c r="G18" s="23" t="n">
        <x:v>5</x:v>
      </x:c>
      <x:c r="H18" s="23" t="n">
        <x:v>1</x:v>
      </x:c>
      <x:c r="I18" s="23" t="n">
        <x:v>6</x:v>
      </x:c>
      <x:c r="J18" s="23"/>
      <x:c r="K18" s="23" t="n">
        <x:v>7</x:v>
      </x:c>
      <x:c r="L18" s="23" t="n">
        <x:v>5</x:v>
      </x:c>
      <x:c r="M18" s="23" t="n">
        <x:v>2</x:v>
      </x:c>
      <x:c r="N18" s="23" t="n">
        <x:v>5</x:v>
      </x:c>
      <x:c r="O18" s="23" t="n">
        <x:v>1</x:v>
      </x:c>
      <x:c r="P18" s="23" t="n">
        <x:v>7</x:v>
      </x:c>
      <x:c r="Q18" s="23" t="n">
        <x:v>5</x:v>
      </x:c>
      <x:c r="R18" s="23" t="n">
        <x:v>9</x:v>
      </x:c>
    </x:row>
    <x:row r="19">
      <x:c r="A19" s="15" t="n">
        <x:v>40695</x:v>
      </x:c>
      <x:c r="B19" s="23"/>
      <x:c r="C19" s="23" t="n">
        <x:v>4</x:v>
      </x:c>
      <x:c r="D19" s="23" t="n">
        <x:v>1</x:v>
      </x:c>
      <x:c r="E19" s="23"/>
      <x:c r="F19" s="23" t="n">
        <x:v>4</x:v>
      </x:c>
      <x:c r="G19" s="23" t="n">
        <x:v>5</x:v>
      </x:c>
      <x:c r="H19" s="23" t="n">
        <x:v>1</x:v>
      </x:c>
      <x:c r="I19" s="23" t="n">
        <x:v>6</x:v>
      </x:c>
      <x:c r="J19" s="23"/>
      <x:c r="K19" s="23" t="n">
        <x:v>8</x:v>
      </x:c>
      <x:c r="L19" s="23" t="n">
        <x:v>5</x:v>
      </x:c>
      <x:c r="M19" s="23" t="n">
        <x:v>2</x:v>
      </x:c>
      <x:c r="N19" s="23" t="n">
        <x:v>5</x:v>
      </x:c>
      <x:c r="O19" s="23" t="n">
        <x:v>1</x:v>
      </x:c>
      <x:c r="P19" s="23" t="n">
        <x:v>6</x:v>
      </x:c>
      <x:c r="Q19" s="23" t="n">
        <x:v>5</x:v>
      </x:c>
      <x:c r="R19" s="23" t="n">
        <x:v>9</x:v>
      </x:c>
    </x:row>
    <x:row r="20">
      <x:c r="A20" s="15" t="n">
        <x:v>40725</x:v>
      </x:c>
      <x:c r="B20" s="23"/>
      <x:c r="C20" s="23" t="n">
        <x:v>4</x:v>
      </x:c>
      <x:c r="D20" s="23" t="n">
        <x:v>1</x:v>
      </x:c>
      <x:c r="E20" s="23"/>
      <x:c r="F20" s="23" t="n">
        <x:v>4</x:v>
      </x:c>
      <x:c r="G20" s="23" t="n">
        <x:v>5</x:v>
      </x:c>
      <x:c r="H20" s="23" t="n">
        <x:v>1</x:v>
      </x:c>
      <x:c r="I20" s="23" t="n">
        <x:v>6</x:v>
      </x:c>
      <x:c r="J20" s="23"/>
      <x:c r="K20" s="23" t="n">
        <x:v>8</x:v>
      </x:c>
      <x:c r="L20" s="23" t="n">
        <x:v>5</x:v>
      </x:c>
      <x:c r="M20" s="23" t="n">
        <x:v>2</x:v>
      </x:c>
      <x:c r="N20" s="23" t="n">
        <x:v>5</x:v>
      </x:c>
      <x:c r="O20" s="23" t="n">
        <x:v>1</x:v>
      </x:c>
      <x:c r="P20" s="23" t="n">
        <x:v>6</x:v>
      </x:c>
      <x:c r="Q20" s="23" t="n">
        <x:v>5</x:v>
      </x:c>
      <x:c r="R20" s="23" t="n">
        <x:v>9</x:v>
      </x:c>
    </x:row>
    <x:row r="21">
      <x:c r="A21" s="15" t="n">
        <x:v>40756</x:v>
      </x:c>
      <x:c r="B21" s="23"/>
      <x:c r="C21" s="23" t="n">
        <x:v>4</x:v>
      </x:c>
      <x:c r="D21" s="23" t="n">
        <x:v>1</x:v>
      </x:c>
      <x:c r="E21" s="23"/>
      <x:c r="F21" s="23" t="n">
        <x:v>4</x:v>
      </x:c>
      <x:c r="G21" s="23" t="n">
        <x:v>5</x:v>
      </x:c>
      <x:c r="H21" s="23" t="n">
        <x:v>1</x:v>
      </x:c>
      <x:c r="I21" s="23" t="n">
        <x:v>6</x:v>
      </x:c>
      <x:c r="J21" s="23"/>
      <x:c r="K21" s="23" t="n">
        <x:v>8</x:v>
      </x:c>
      <x:c r="L21" s="23" t="n">
        <x:v>4</x:v>
      </x:c>
      <x:c r="M21" s="23" t="n">
        <x:v>2</x:v>
      </x:c>
      <x:c r="N21" s="23" t="n">
        <x:v>5</x:v>
      </x:c>
      <x:c r="O21" s="23" t="n">
        <x:v>1</x:v>
      </x:c>
      <x:c r="P21" s="23" t="n">
        <x:v>5</x:v>
      </x:c>
      <x:c r="Q21" s="23" t="n">
        <x:v>5</x:v>
      </x:c>
      <x:c r="R21" s="23" t="n">
        <x:v>9</x:v>
      </x:c>
    </x:row>
    <x:row r="22">
      <x:c r="A22" s="15" t="n">
        <x:v>40787</x:v>
      </x:c>
      <x:c r="B22" s="23"/>
      <x:c r="C22" s="23" t="n">
        <x:v>4</x:v>
      </x:c>
      <x:c r="D22" s="23" t="n">
        <x:v>1</x:v>
      </x:c>
      <x:c r="E22" s="23"/>
      <x:c r="F22" s="23" t="n">
        <x:v>4</x:v>
      </x:c>
      <x:c r="G22" s="23" t="n">
        <x:v>5</x:v>
      </x:c>
      <x:c r="H22" s="23" t="n">
        <x:v>1</x:v>
      </x:c>
      <x:c r="I22" s="23" t="n">
        <x:v>6</x:v>
      </x:c>
      <x:c r="J22" s="23"/>
      <x:c r="K22" s="23" t="n">
        <x:v>8</x:v>
      </x:c>
      <x:c r="L22" s="23" t="n">
        <x:v>4</x:v>
      </x:c>
      <x:c r="M22" s="23" t="n">
        <x:v>2</x:v>
      </x:c>
      <x:c r="N22" s="23" t="n">
        <x:v>5</x:v>
      </x:c>
      <x:c r="O22" s="23" t="n">
        <x:v>1</x:v>
      </x:c>
      <x:c r="P22" s="23" t="n">
        <x:v>5</x:v>
      </x:c>
      <x:c r="Q22" s="23" t="n">
        <x:v>5</x:v>
      </x:c>
      <x:c r="R22" s="23" t="n">
        <x:v>9</x:v>
      </x:c>
    </x:row>
    <x:row r="23">
      <x:c r="A23" s="15" t="n">
        <x:v>40817</x:v>
      </x:c>
      <x:c r="B23" s="23"/>
      <x:c r="C23" s="23" t="n">
        <x:v>4</x:v>
      </x:c>
      <x:c r="D23" s="23" t="n">
        <x:v>1</x:v>
      </x:c>
      <x:c r="E23" s="23"/>
      <x:c r="F23" s="23" t="n">
        <x:v>4</x:v>
      </x:c>
      <x:c r="G23" s="23" t="n">
        <x:v>5</x:v>
      </x:c>
      <x:c r="H23" s="23" t="n">
        <x:v>1</x:v>
      </x:c>
      <x:c r="I23" s="23" t="n">
        <x:v>6</x:v>
      </x:c>
      <x:c r="J23" s="23"/>
      <x:c r="K23" s="23" t="n">
        <x:v>8</x:v>
      </x:c>
      <x:c r="L23" s="23" t="n">
        <x:v>4</x:v>
      </x:c>
      <x:c r="M23" s="23" t="n">
        <x:v>2</x:v>
      </x:c>
      <x:c r="N23" s="23" t="n">
        <x:v>5</x:v>
      </x:c>
      <x:c r="O23" s="23" t="n">
        <x:v>1</x:v>
      </x:c>
      <x:c r="P23" s="23" t="n">
        <x:v>5</x:v>
      </x:c>
      <x:c r="Q23" s="23" t="n">
        <x:v>5</x:v>
      </x:c>
      <x:c r="R23" s="23" t="n">
        <x:v>9</x:v>
      </x:c>
    </x:row>
    <x:row r="24">
      <x:c r="A24" s="15" t="n">
        <x:v>40848</x:v>
      </x:c>
      <x:c r="B24" s="23"/>
      <x:c r="C24" s="23" t="n">
        <x:v>4</x:v>
      </x:c>
      <x:c r="D24" s="23" t="n">
        <x:v>1</x:v>
      </x:c>
      <x:c r="E24" s="23"/>
      <x:c r="F24" s="23" t="n">
        <x:v>4</x:v>
      </x:c>
      <x:c r="G24" s="23" t="n">
        <x:v>5</x:v>
      </x:c>
      <x:c r="H24" s="23" t="n">
        <x:v>1</x:v>
      </x:c>
      <x:c r="I24" s="23" t="n">
        <x:v>6</x:v>
      </x:c>
      <x:c r="J24" s="23"/>
      <x:c r="K24" s="23" t="n">
        <x:v>8</x:v>
      </x:c>
      <x:c r="L24" s="23" t="n">
        <x:v>5</x:v>
      </x:c>
      <x:c r="M24" s="23" t="n">
        <x:v>2</x:v>
      </x:c>
      <x:c r="N24" s="23" t="n">
        <x:v>5</x:v>
      </x:c>
      <x:c r="O24" s="23" t="n">
        <x:v>1</x:v>
      </x:c>
      <x:c r="P24" s="23" t="n">
        <x:v>5</x:v>
      </x:c>
      <x:c r="Q24" s="23" t="n">
        <x:v>5</x:v>
      </x:c>
      <x:c r="R24" s="23" t="n">
        <x:v>9</x:v>
      </x:c>
    </x:row>
    <x:row r="25">
      <x:c r="A25" s="15" t="n">
        <x:v>40878</x:v>
      </x:c>
      <x:c r="B25" s="23"/>
      <x:c r="C25" s="23" t="n">
        <x:v>4</x:v>
      </x:c>
      <x:c r="D25" s="23" t="n">
        <x:v>1</x:v>
      </x:c>
      <x:c r="E25" s="23"/>
      <x:c r="F25" s="23" t="n">
        <x:v>4</x:v>
      </x:c>
      <x:c r="G25" s="23" t="n">
        <x:v>5</x:v>
      </x:c>
      <x:c r="H25" s="23" t="n">
        <x:v>1</x:v>
      </x:c>
      <x:c r="I25" s="23" t="n">
        <x:v>6</x:v>
      </x:c>
      <x:c r="J25" s="23" t="n">
        <x:v>1</x:v>
      </x:c>
      <x:c r="K25" s="23" t="n">
        <x:v>8</x:v>
      </x:c>
      <x:c r="L25" s="23" t="n">
        <x:v>5</x:v>
      </x:c>
      <x:c r="M25" s="23" t="n">
        <x:v>2</x:v>
      </x:c>
      <x:c r="N25" s="23" t="n">
        <x:v>6</x:v>
      </x:c>
      <x:c r="O25" s="23" t="n">
        <x:v>1</x:v>
      </x:c>
      <x:c r="P25" s="23" t="n">
        <x:v>5</x:v>
      </x:c>
      <x:c r="Q25" s="23" t="n">
        <x:v>5</x:v>
      </x:c>
      <x:c r="R25" s="23" t="n">
        <x:v>9</x:v>
      </x:c>
    </x:row>
    <x:row r="26">
      <x:c r="A26" s="15" t="n">
        <x:v>40909</x:v>
      </x:c>
      <x:c r="B26" s="23"/>
      <x:c r="C26" s="23" t="n">
        <x:v>4</x:v>
      </x:c>
      <x:c r="D26" s="23" t="n">
        <x:v>1</x:v>
      </x:c>
      <x:c r="E26" s="23"/>
      <x:c r="F26" s="23" t="n">
        <x:v>4</x:v>
      </x:c>
      <x:c r="G26" s="23" t="n">
        <x:v>4</x:v>
      </x:c>
      <x:c r="H26" s="23" t="n">
        <x:v>1</x:v>
      </x:c>
      <x:c r="I26" s="23" t="n">
        <x:v>6</x:v>
      </x:c>
      <x:c r="J26" s="23" t="n">
        <x:v>1</x:v>
      </x:c>
      <x:c r="K26" s="23" t="n">
        <x:v>8</x:v>
      </x:c>
      <x:c r="L26" s="23" t="n">
        <x:v>5</x:v>
      </x:c>
      <x:c r="M26" s="23" t="n">
        <x:v>2</x:v>
      </x:c>
      <x:c r="N26" s="23" t="n">
        <x:v>6</x:v>
      </x:c>
      <x:c r="O26" s="23" t="n">
        <x:v>1</x:v>
      </x:c>
      <x:c r="P26" s="23" t="n">
        <x:v>5</x:v>
      </x:c>
      <x:c r="Q26" s="23" t="n">
        <x:v>5</x:v>
      </x:c>
      <x:c r="R26" s="23" t="n">
        <x:v>9</x:v>
      </x:c>
    </x:row>
    <x:row r="27">
      <x:c r="A27" s="15" t="n">
        <x:v>40940</x:v>
      </x:c>
      <x:c r="B27" s="23"/>
      <x:c r="C27" s="23" t="n">
        <x:v>4</x:v>
      </x:c>
      <x:c r="D27" s="23" t="n">
        <x:v>1</x:v>
      </x:c>
      <x:c r="E27" s="23"/>
      <x:c r="F27" s="23" t="n">
        <x:v>4</x:v>
      </x:c>
      <x:c r="G27" s="23" t="n">
        <x:v>4</x:v>
      </x:c>
      <x:c r="H27" s="23" t="n">
        <x:v>1</x:v>
      </x:c>
      <x:c r="I27" s="23" t="n">
        <x:v>6</x:v>
      </x:c>
      <x:c r="J27" s="23" t="n">
        <x:v>1</x:v>
      </x:c>
      <x:c r="K27" s="23" t="n">
        <x:v>8</x:v>
      </x:c>
      <x:c r="L27" s="23" t="n">
        <x:v>5</x:v>
      </x:c>
      <x:c r="M27" s="23" t="n">
        <x:v>2</x:v>
      </x:c>
      <x:c r="N27" s="23" t="n">
        <x:v>6</x:v>
      </x:c>
      <x:c r="O27" s="23" t="n">
        <x:v>1</x:v>
      </x:c>
      <x:c r="P27" s="23" t="n">
        <x:v>5</x:v>
      </x:c>
      <x:c r="Q27" s="23" t="n">
        <x:v>5</x:v>
      </x:c>
      <x:c r="R27" s="23" t="n">
        <x:v>9</x:v>
      </x:c>
    </x:row>
    <x:row r="28">
      <x:c r="A28" s="15" t="n">
        <x:v>40969</x:v>
      </x:c>
      <x:c r="B28" s="23"/>
      <x:c r="C28" s="23" t="n">
        <x:v>4</x:v>
      </x:c>
      <x:c r="D28" s="23" t="n">
        <x:v>1</x:v>
      </x:c>
      <x:c r="E28" s="23"/>
      <x:c r="F28" s="23" t="n">
        <x:v>4</x:v>
      </x:c>
      <x:c r="G28" s="23" t="n">
        <x:v>4</x:v>
      </x:c>
      <x:c r="H28" s="23" t="n">
        <x:v>1</x:v>
      </x:c>
      <x:c r="I28" s="23" t="n">
        <x:v>6</x:v>
      </x:c>
      <x:c r="J28" s="23" t="n">
        <x:v>1</x:v>
      </x:c>
      <x:c r="K28" s="23" t="n">
        <x:v>8</x:v>
      </x:c>
      <x:c r="L28" s="23" t="n">
        <x:v>5</x:v>
      </x:c>
      <x:c r="M28" s="23" t="n">
        <x:v>2</x:v>
      </x:c>
      <x:c r="N28" s="23" t="n">
        <x:v>6</x:v>
      </x:c>
      <x:c r="O28" s="23" t="n">
        <x:v>1</x:v>
      </x:c>
      <x:c r="P28" s="23" t="n">
        <x:v>5</x:v>
      </x:c>
      <x:c r="Q28" s="23" t="n">
        <x:v>5</x:v>
      </x:c>
      <x:c r="R28" s="23" t="n">
        <x:v>9</x:v>
      </x:c>
    </x:row>
    <x:row r="29">
      <x:c r="A29" s="15" t="n">
        <x:v>41000</x:v>
      </x:c>
      <x:c r="B29" s="23"/>
      <x:c r="C29" s="23" t="n">
        <x:v>4</x:v>
      </x:c>
      <x:c r="D29" s="23" t="n">
        <x:v>1</x:v>
      </x:c>
      <x:c r="E29" s="23"/>
      <x:c r="F29" s="23" t="n">
        <x:v>4</x:v>
      </x:c>
      <x:c r="G29" s="23" t="n">
        <x:v>4</x:v>
      </x:c>
      <x:c r="H29" s="23" t="n">
        <x:v>2</x:v>
      </x:c>
      <x:c r="I29" s="23" t="n">
        <x:v>6</x:v>
      </x:c>
      <x:c r="J29" s="23" t="n">
        <x:v>1</x:v>
      </x:c>
      <x:c r="K29" s="23" t="n">
        <x:v>8</x:v>
      </x:c>
      <x:c r="L29" s="23" t="n">
        <x:v>4</x:v>
      </x:c>
      <x:c r="M29" s="23" t="n">
        <x:v>2</x:v>
      </x:c>
      <x:c r="N29" s="23" t="n">
        <x:v>6</x:v>
      </x:c>
      <x:c r="O29" s="23" t="n">
        <x:v>1</x:v>
      </x:c>
      <x:c r="P29" s="23" t="n">
        <x:v>3</x:v>
      </x:c>
      <x:c r="Q29" s="23" t="n">
        <x:v>6</x:v>
      </x:c>
      <x:c r="R29" s="23" t="n">
        <x:v>9</x:v>
      </x:c>
    </x:row>
    <x:row r="30">
      <x:c r="A30" s="15" t="n">
        <x:v>41030</x:v>
      </x:c>
      <x:c r="B30" s="23"/>
      <x:c r="C30" s="23" t="n">
        <x:v>4</x:v>
      </x:c>
      <x:c r="D30" s="23" t="n">
        <x:v>1</x:v>
      </x:c>
      <x:c r="E30" s="23"/>
      <x:c r="F30" s="23" t="n">
        <x:v>4</x:v>
      </x:c>
      <x:c r="G30" s="23" t="n">
        <x:v>4</x:v>
      </x:c>
      <x:c r="H30" s="23" t="n">
        <x:v>2</x:v>
      </x:c>
      <x:c r="I30" s="23" t="n">
        <x:v>6</x:v>
      </x:c>
      <x:c r="J30" s="23" t="n">
        <x:v>1</x:v>
      </x:c>
      <x:c r="K30" s="23" t="n">
        <x:v>8</x:v>
      </x:c>
      <x:c r="L30" s="23" t="n">
        <x:v>4</x:v>
      </x:c>
      <x:c r="M30" s="23" t="n">
        <x:v>2</x:v>
      </x:c>
      <x:c r="N30" s="23" t="n">
        <x:v>6</x:v>
      </x:c>
      <x:c r="O30" s="23" t="n">
        <x:v>1</x:v>
      </x:c>
      <x:c r="P30" s="23" t="n">
        <x:v>3</x:v>
      </x:c>
      <x:c r="Q30" s="23" t="n">
        <x:v>6</x:v>
      </x:c>
      <x:c r="R30" s="23" t="n">
        <x:v>9</x:v>
      </x:c>
    </x:row>
    <x:row r="31">
      <x:c r="A31" s="15" t="n">
        <x:v>41061</x:v>
      </x:c>
      <x:c r="B31" s="23"/>
      <x:c r="C31" s="23" t="n">
        <x:v>4</x:v>
      </x:c>
      <x:c r="D31" s="23" t="n">
        <x:v>1</x:v>
      </x:c>
      <x:c r="E31" s="23"/>
      <x:c r="F31" s="23" t="n">
        <x:v>4</x:v>
      </x:c>
      <x:c r="G31" s="23" t="n">
        <x:v>4</x:v>
      </x:c>
      <x:c r="H31" s="23" t="n">
        <x:v>2</x:v>
      </x:c>
      <x:c r="I31" s="23" t="n">
        <x:v>6</x:v>
      </x:c>
      <x:c r="J31" s="23" t="n">
        <x:v>1</x:v>
      </x:c>
      <x:c r="K31" s="23" t="n">
        <x:v>8</x:v>
      </x:c>
      <x:c r="L31" s="23" t="n">
        <x:v>4</x:v>
      </x:c>
      <x:c r="M31" s="23" t="n">
        <x:v>2</x:v>
      </x:c>
      <x:c r="N31" s="23" t="n">
        <x:v>6</x:v>
      </x:c>
      <x:c r="O31" s="23" t="n">
        <x:v>1</x:v>
      </x:c>
      <x:c r="P31" s="23" t="n">
        <x:v>3</x:v>
      </x:c>
      <x:c r="Q31" s="23" t="n">
        <x:v>5</x:v>
      </x:c>
      <x:c r="R31" s="23" t="n">
        <x:v>9</x:v>
      </x:c>
    </x:row>
    <x:row r="32">
      <x:c r="A32" s="15" t="n">
        <x:v>41091</x:v>
      </x:c>
      <x:c r="B32" s="23"/>
      <x:c r="C32" s="23" t="n">
        <x:v>4</x:v>
      </x:c>
      <x:c r="D32" s="23" t="n">
        <x:v>1</x:v>
      </x:c>
      <x:c r="E32" s="23"/>
      <x:c r="F32" s="23" t="n">
        <x:v>4</x:v>
      </x:c>
      <x:c r="G32" s="23" t="n">
        <x:v>4</x:v>
      </x:c>
      <x:c r="H32" s="23" t="n">
        <x:v>2</x:v>
      </x:c>
      <x:c r="I32" s="23" t="n">
        <x:v>6</x:v>
      </x:c>
      <x:c r="J32" s="23" t="n">
        <x:v>1</x:v>
      </x:c>
      <x:c r="K32" s="23" t="n">
        <x:v>8</x:v>
      </x:c>
      <x:c r="L32" s="23" t="n">
        <x:v>4</x:v>
      </x:c>
      <x:c r="M32" s="23" t="n">
        <x:v>2</x:v>
      </x:c>
      <x:c r="N32" s="23" t="n">
        <x:v>6</x:v>
      </x:c>
      <x:c r="O32" s="23" t="n">
        <x:v>1</x:v>
      </x:c>
      <x:c r="P32" s="23" t="n">
        <x:v>4</x:v>
      </x:c>
      <x:c r="Q32" s="23" t="n">
        <x:v>5</x:v>
      </x:c>
      <x:c r="R32" s="23" t="n">
        <x:v>9</x:v>
      </x:c>
    </x:row>
    <x:row r="33">
      <x:c r="A33" s="15" t="n">
        <x:v>41122</x:v>
      </x:c>
      <x:c r="B33" s="23"/>
      <x:c r="C33" s="23" t="n">
        <x:v>4</x:v>
      </x:c>
      <x:c r="D33" s="23" t="n">
        <x:v>1</x:v>
      </x:c>
      <x:c r="E33" s="23"/>
      <x:c r="F33" s="23" t="n">
        <x:v>4</x:v>
      </x:c>
      <x:c r="G33" s="23" t="n">
        <x:v>4</x:v>
      </x:c>
      <x:c r="H33" s="23" t="n">
        <x:v>2</x:v>
      </x:c>
      <x:c r="I33" s="23" t="n">
        <x:v>6</x:v>
      </x:c>
      <x:c r="J33" s="23" t="n">
        <x:v>1</x:v>
      </x:c>
      <x:c r="K33" s="23" t="n">
        <x:v>8</x:v>
      </x:c>
      <x:c r="L33" s="23" t="n">
        <x:v>4</x:v>
      </x:c>
      <x:c r="M33" s="23" t="n">
        <x:v>2</x:v>
      </x:c>
      <x:c r="N33" s="23" t="n">
        <x:v>6</x:v>
      </x:c>
      <x:c r="O33" s="23" t="n">
        <x:v>1</x:v>
      </x:c>
      <x:c r="P33" s="23" t="n">
        <x:v>4</x:v>
      </x:c>
      <x:c r="Q33" s="23" t="n">
        <x:v>5</x:v>
      </x:c>
      <x:c r="R33" s="23" t="n">
        <x:v>9</x:v>
      </x:c>
    </x:row>
    <x:row r="34">
      <x:c r="A34" s="15" t="n">
        <x:v>41153</x:v>
      </x:c>
      <x:c r="B34" s="23"/>
      <x:c r="C34" s="23" t="n">
        <x:v>4</x:v>
      </x:c>
      <x:c r="D34" s="23" t="n">
        <x:v>1</x:v>
      </x:c>
      <x:c r="E34" s="23"/>
      <x:c r="F34" s="23" t="n">
        <x:v>3</x:v>
      </x:c>
      <x:c r="G34" s="23" t="n">
        <x:v>4</x:v>
      </x:c>
      <x:c r="H34" s="23" t="n">
        <x:v>2</x:v>
      </x:c>
      <x:c r="I34" s="23" t="n">
        <x:v>6</x:v>
      </x:c>
      <x:c r="J34" s="23" t="n">
        <x:v>1</x:v>
      </x:c>
      <x:c r="K34" s="23" t="n">
        <x:v>8</x:v>
      </x:c>
      <x:c r="L34" s="23" t="n">
        <x:v>4</x:v>
      </x:c>
      <x:c r="M34" s="23" t="n">
        <x:v>2</x:v>
      </x:c>
      <x:c r="N34" s="23" t="n">
        <x:v>6</x:v>
      </x:c>
      <x:c r="O34" s="23" t="n">
        <x:v>1</x:v>
      </x:c>
      <x:c r="P34" s="23" t="n">
        <x:v>4</x:v>
      </x:c>
      <x:c r="Q34" s="23" t="n">
        <x:v>5</x:v>
      </x:c>
      <x:c r="R34" s="23" t="n">
        <x:v>9</x:v>
      </x:c>
    </x:row>
    <x:row r="35">
      <x:c r="A35" s="15" t="n">
        <x:v>41183</x:v>
      </x:c>
      <x:c r="B35" s="23"/>
      <x:c r="C35" s="23" t="n">
        <x:v>4</x:v>
      </x:c>
      <x:c r="D35" s="23" t="n">
        <x:v>1</x:v>
      </x:c>
      <x:c r="E35" s="23"/>
      <x:c r="F35" s="23" t="n">
        <x:v>3</x:v>
      </x:c>
      <x:c r="G35" s="23" t="n">
        <x:v>4</x:v>
      </x:c>
      <x:c r="H35" s="23" t="n">
        <x:v>2</x:v>
      </x:c>
      <x:c r="I35" s="23" t="n">
        <x:v>6</x:v>
      </x:c>
      <x:c r="J35" s="23" t="n">
        <x:v>1</x:v>
      </x:c>
      <x:c r="K35" s="23" t="n">
        <x:v>8</x:v>
      </x:c>
      <x:c r="L35" s="23" t="n">
        <x:v>4</x:v>
      </x:c>
      <x:c r="M35" s="23" t="n">
        <x:v>2</x:v>
      </x:c>
      <x:c r="N35" s="23" t="n">
        <x:v>6</x:v>
      </x:c>
      <x:c r="O35" s="23" t="n">
        <x:v>1</x:v>
      </x:c>
      <x:c r="P35" s="23" t="n">
        <x:v>4</x:v>
      </x:c>
      <x:c r="Q35" s="23" t="n">
        <x:v>5</x:v>
      </x:c>
      <x:c r="R35" s="23" t="n">
        <x:v>9</x:v>
      </x:c>
    </x:row>
    <x:row r="36">
      <x:c r="A36" s="15" t="n">
        <x:v>41214</x:v>
      </x:c>
      <x:c r="B36" s="23"/>
      <x:c r="C36" s="23" t="n">
        <x:v>4</x:v>
      </x:c>
      <x:c r="D36" s="23" t="n">
        <x:v>1</x:v>
      </x:c>
      <x:c r="E36" s="23"/>
      <x:c r="F36" s="23" t="n">
        <x:v>3</x:v>
      </x:c>
      <x:c r="G36" s="23" t="n">
        <x:v>4</x:v>
      </x:c>
      <x:c r="H36" s="23" t="n">
        <x:v>2</x:v>
      </x:c>
      <x:c r="I36" s="23" t="n">
        <x:v>6</x:v>
      </x:c>
      <x:c r="J36" s="23" t="n">
        <x:v>1</x:v>
      </x:c>
      <x:c r="K36" s="23" t="n">
        <x:v>8</x:v>
      </x:c>
      <x:c r="L36" s="23" t="n">
        <x:v>4</x:v>
      </x:c>
      <x:c r="M36" s="23" t="n">
        <x:v>2</x:v>
      </x:c>
      <x:c r="N36" s="23" t="n">
        <x:v>6</x:v>
      </x:c>
      <x:c r="O36" s="23" t="n">
        <x:v>1</x:v>
      </x:c>
      <x:c r="P36" s="23" t="n">
        <x:v>4</x:v>
      </x:c>
      <x:c r="Q36" s="23" t="n">
        <x:v>5</x:v>
      </x:c>
      <x:c r="R36" s="23" t="n">
        <x:v>9</x:v>
      </x:c>
    </x:row>
    <x:row r="37">
      <x:c r="A37" s="15" t="n">
        <x:v>41244</x:v>
      </x:c>
      <x:c r="B37" s="23"/>
      <x:c r="C37" s="23" t="n">
        <x:v>4</x:v>
      </x:c>
      <x:c r="D37" s="23" t="n">
        <x:v>1</x:v>
      </x:c>
      <x:c r="E37" s="23"/>
      <x:c r="F37" s="23" t="n">
        <x:v>4</x:v>
      </x:c>
      <x:c r="G37" s="23" t="n">
        <x:v>4</x:v>
      </x:c>
      <x:c r="H37" s="23" t="n">
        <x:v>2</x:v>
      </x:c>
      <x:c r="I37" s="23" t="n">
        <x:v>6</x:v>
      </x:c>
      <x:c r="J37" s="23" t="n">
        <x:v>1</x:v>
      </x:c>
      <x:c r="K37" s="23" t="n">
        <x:v>8</x:v>
      </x:c>
      <x:c r="L37" s="23" t="n">
        <x:v>4</x:v>
      </x:c>
      <x:c r="M37" s="23" t="n">
        <x:v>3</x:v>
      </x:c>
      <x:c r="N37" s="23" t="n">
        <x:v>6</x:v>
      </x:c>
      <x:c r="O37" s="23" t="n">
        <x:v>1</x:v>
      </x:c>
      <x:c r="P37" s="23" t="n">
        <x:v>4</x:v>
      </x:c>
      <x:c r="Q37" s="23" t="n">
        <x:v>5</x:v>
      </x:c>
      <x:c r="R37" s="23" t="n">
        <x:v>9</x:v>
      </x:c>
    </x:row>
    <x:row r="38">
      <x:c r="A38" s="15" t="n">
        <x:v>41275</x:v>
      </x:c>
      <x:c r="B38" s="23"/>
      <x:c r="C38" s="23" t="n">
        <x:v>4</x:v>
      </x:c>
      <x:c r="D38" s="23" t="n">
        <x:v>1</x:v>
      </x:c>
      <x:c r="E38" s="23"/>
      <x:c r="F38" s="23" t="n">
        <x:v>4</x:v>
      </x:c>
      <x:c r="G38" s="23" t="n">
        <x:v>4</x:v>
      </x:c>
      <x:c r="H38" s="23" t="n">
        <x:v>2</x:v>
      </x:c>
      <x:c r="I38" s="23" t="n">
        <x:v>6</x:v>
      </x:c>
      <x:c r="J38" s="23" t="n">
        <x:v>1</x:v>
      </x:c>
      <x:c r="K38" s="23" t="n">
        <x:v>8</x:v>
      </x:c>
      <x:c r="L38" s="23" t="n">
        <x:v>4</x:v>
      </x:c>
      <x:c r="M38" s="23" t="n">
        <x:v>3</x:v>
      </x:c>
      <x:c r="N38" s="23" t="n">
        <x:v>6</x:v>
      </x:c>
      <x:c r="O38" s="23" t="n">
        <x:v>1</x:v>
      </x:c>
      <x:c r="P38" s="23" t="n">
        <x:v>4</x:v>
      </x:c>
      <x:c r="Q38" s="23" t="n">
        <x:v>5</x:v>
      </x:c>
      <x:c r="R38" s="23" t="n">
        <x:v>9</x:v>
      </x:c>
    </x:row>
    <x:row r="39">
      <x:c r="A39" s="15" t="n">
        <x:v>41306</x:v>
      </x:c>
      <x:c r="B39" s="23"/>
      <x:c r="C39" s="23" t="n">
        <x:v>4</x:v>
      </x:c>
      <x:c r="D39" s="23" t="n">
        <x:v>1</x:v>
      </x:c>
      <x:c r="E39" s="23"/>
      <x:c r="F39" s="23" t="n">
        <x:v>4</x:v>
      </x:c>
      <x:c r="G39" s="23" t="n">
        <x:v>4</x:v>
      </x:c>
      <x:c r="H39" s="23" t="n">
        <x:v>2</x:v>
      </x:c>
      <x:c r="I39" s="23" t="n">
        <x:v>6</x:v>
      </x:c>
      <x:c r="J39" s="23" t="n">
        <x:v>1</x:v>
      </x:c>
      <x:c r="K39" s="23" t="n">
        <x:v>8</x:v>
      </x:c>
      <x:c r="L39" s="23" t="n">
        <x:v>4</x:v>
      </x:c>
      <x:c r="M39" s="23" t="n">
        <x:v>3</x:v>
      </x:c>
      <x:c r="N39" s="23" t="n">
        <x:v>6</x:v>
      </x:c>
      <x:c r="O39" s="23" t="n">
        <x:v>1</x:v>
      </x:c>
      <x:c r="P39" s="23" t="n">
        <x:v>4</x:v>
      </x:c>
      <x:c r="Q39" s="23" t="n">
        <x:v>5</x:v>
      </x:c>
      <x:c r="R39" s="23" t="n">
        <x:v>7</x:v>
      </x:c>
    </x:row>
    <x:row r="40">
      <x:c r="A40" s="15" t="n">
        <x:v>41334</x:v>
      </x:c>
      <x:c r="B40" s="23"/>
      <x:c r="C40" s="23" t="n">
        <x:v>4</x:v>
      </x:c>
      <x:c r="D40" s="23" t="n">
        <x:v>1</x:v>
      </x:c>
      <x:c r="E40" s="23"/>
      <x:c r="F40" s="23" t="n">
        <x:v>4</x:v>
      </x:c>
      <x:c r="G40" s="23" t="n">
        <x:v>4</x:v>
      </x:c>
      <x:c r="H40" s="23" t="n">
        <x:v>2</x:v>
      </x:c>
      <x:c r="I40" s="23" t="n">
        <x:v>6</x:v>
      </x:c>
      <x:c r="J40" s="23" t="n">
        <x:v>1</x:v>
      </x:c>
      <x:c r="K40" s="23" t="n">
        <x:v>8</x:v>
      </x:c>
      <x:c r="L40" s="23" t="n">
        <x:v>4</x:v>
      </x:c>
      <x:c r="M40" s="23" t="n">
        <x:v>3</x:v>
      </x:c>
      <x:c r="N40" s="23" t="n">
        <x:v>6</x:v>
      </x:c>
      <x:c r="O40" s="23" t="n">
        <x:v>1</x:v>
      </x:c>
      <x:c r="P40" s="23" t="n">
        <x:v>4</x:v>
      </x:c>
      <x:c r="Q40" s="23" t="n">
        <x:v>5</x:v>
      </x:c>
      <x:c r="R40" s="23" t="n">
        <x:v>9</x:v>
      </x:c>
    </x:row>
    <x:row r="41">
      <x:c r="A41" s="15" t="n">
        <x:v>41365</x:v>
      </x:c>
      <x:c r="B41" s="23"/>
      <x:c r="C41" s="23" t="n">
        <x:v>4</x:v>
      </x:c>
      <x:c r="D41" s="23" t="n">
        <x:v>1</x:v>
      </x:c>
      <x:c r="E41" s="23"/>
      <x:c r="F41" s="23" t="n">
        <x:v>4</x:v>
      </x:c>
      <x:c r="G41" s="23" t="n">
        <x:v>4</x:v>
      </x:c>
      <x:c r="H41" s="23" t="n">
        <x:v>2</x:v>
      </x:c>
      <x:c r="I41" s="23" t="n">
        <x:v>6</x:v>
      </x:c>
      <x:c r="J41" s="23" t="n">
        <x:v>1</x:v>
      </x:c>
      <x:c r="K41" s="23" t="n">
        <x:v>8</x:v>
      </x:c>
      <x:c r="L41" s="23" t="n">
        <x:v>4</x:v>
      </x:c>
      <x:c r="M41" s="23" t="n">
        <x:v>3</x:v>
      </x:c>
      <x:c r="N41" s="23" t="n">
        <x:v>6</x:v>
      </x:c>
      <x:c r="O41" s="23" t="n">
        <x:v>1</x:v>
      </x:c>
      <x:c r="P41" s="23" t="n">
        <x:v>4</x:v>
      </x:c>
      <x:c r="Q41" s="23" t="n">
        <x:v>5</x:v>
      </x:c>
      <x:c r="R41" s="23" t="n">
        <x:v>10</x:v>
      </x:c>
    </x:row>
    <x:row r="42">
      <x:c r="A42" s="15" t="n">
        <x:v>41395</x:v>
      </x:c>
      <x:c r="B42" s="23"/>
      <x:c r="C42" s="23" t="n">
        <x:v>4</x:v>
      </x:c>
      <x:c r="D42" s="23" t="n">
        <x:v>1</x:v>
      </x:c>
      <x:c r="E42" s="23"/>
      <x:c r="F42" s="23" t="n">
        <x:v>4</x:v>
      </x:c>
      <x:c r="G42" s="23" t="n">
        <x:v>4</x:v>
      </x:c>
      <x:c r="H42" s="23" t="n">
        <x:v>2</x:v>
      </x:c>
      <x:c r="I42" s="23" t="n">
        <x:v>6</x:v>
      </x:c>
      <x:c r="J42" s="23" t="n">
        <x:v>1</x:v>
      </x:c>
      <x:c r="K42" s="23" t="n">
        <x:v>8</x:v>
      </x:c>
      <x:c r="L42" s="23" t="n">
        <x:v>4</x:v>
      </x:c>
      <x:c r="M42" s="23" t="n">
        <x:v>3</x:v>
      </x:c>
      <x:c r="N42" s="23" t="n">
        <x:v>6</x:v>
      </x:c>
      <x:c r="O42" s="23" t="n">
        <x:v>1</x:v>
      </x:c>
      <x:c r="P42" s="23" t="n">
        <x:v>4</x:v>
      </x:c>
      <x:c r="Q42" s="23" t="n">
        <x:v>5</x:v>
      </x:c>
      <x:c r="R42" s="23" t="n">
        <x:v>8</x:v>
      </x:c>
    </x:row>
    <x:row r="43">
      <x:c r="A43" s="15" t="n">
        <x:v>41426</x:v>
      </x:c>
      <x:c r="B43" s="23"/>
      <x:c r="C43" s="23" t="n">
        <x:v>4</x:v>
      </x:c>
      <x:c r="D43" s="23" t="n">
        <x:v>1</x:v>
      </x:c>
      <x:c r="E43" s="23"/>
      <x:c r="F43" s="23" t="n">
        <x:v>4</x:v>
      </x:c>
      <x:c r="G43" s="23" t="n">
        <x:v>4</x:v>
      </x:c>
      <x:c r="H43" s="23" t="n">
        <x:v>2</x:v>
      </x:c>
      <x:c r="I43" s="23" t="n">
        <x:v>6</x:v>
      </x:c>
      <x:c r="J43" s="23" t="n">
        <x:v>1</x:v>
      </x:c>
      <x:c r="K43" s="23" t="n">
        <x:v>8</x:v>
      </x:c>
      <x:c r="L43" s="23" t="n">
        <x:v>4</x:v>
      </x:c>
      <x:c r="M43" s="23" t="n">
        <x:v>3</x:v>
      </x:c>
      <x:c r="N43" s="23" t="n">
        <x:v>6</x:v>
      </x:c>
      <x:c r="O43" s="23" t="n">
        <x:v>1</x:v>
      </x:c>
      <x:c r="P43" s="23" t="n">
        <x:v>4</x:v>
      </x:c>
      <x:c r="Q43" s="23" t="n">
        <x:v>5</x:v>
      </x:c>
      <x:c r="R43" s="23" t="n">
        <x:v>10</x:v>
      </x:c>
    </x:row>
    <x:row r="44">
      <x:c r="A44" s="15" t="n">
        <x:v>41456</x:v>
      </x:c>
      <x:c r="B44" s="23"/>
      <x:c r="C44" s="23" t="n">
        <x:v>4</x:v>
      </x:c>
      <x:c r="D44" s="23" t="n">
        <x:v>1</x:v>
      </x:c>
      <x:c r="E44" s="23"/>
      <x:c r="F44" s="23" t="n">
        <x:v>4</x:v>
      </x:c>
      <x:c r="G44" s="23" t="n">
        <x:v>4</x:v>
      </x:c>
      <x:c r="H44" s="23" t="n">
        <x:v>2</x:v>
      </x:c>
      <x:c r="I44" s="23" t="n">
        <x:v>6</x:v>
      </x:c>
      <x:c r="J44" s="23" t="n">
        <x:v>1</x:v>
      </x:c>
      <x:c r="K44" s="23" t="n">
        <x:v>8</x:v>
      </x:c>
      <x:c r="L44" s="23" t="n">
        <x:v>4</x:v>
      </x:c>
      <x:c r="M44" s="23" t="n">
        <x:v>3</x:v>
      </x:c>
      <x:c r="N44" s="23" t="n">
        <x:v>6</x:v>
      </x:c>
      <x:c r="O44" s="23" t="n">
        <x:v>1</x:v>
      </x:c>
      <x:c r="P44" s="23" t="n">
        <x:v>4</x:v>
      </x:c>
      <x:c r="Q44" s="23" t="n">
        <x:v>5</x:v>
      </x:c>
      <x:c r="R44" s="23" t="n">
        <x:v>10</x:v>
      </x:c>
    </x:row>
    <x:row r="45">
      <x:c r="A45" s="15" t="n">
        <x:v>41487</x:v>
      </x:c>
      <x:c r="B45" s="23" t="n">
        <x:v>1</x:v>
      </x:c>
      <x:c r="C45" s="23" t="n">
        <x:v>5</x:v>
      </x:c>
      <x:c r="D45" s="23" t="n">
        <x:v>1</x:v>
      </x:c>
      <x:c r="E45" s="23"/>
      <x:c r="F45" s="23" t="n">
        <x:v>4</x:v>
      </x:c>
      <x:c r="G45" s="23" t="n">
        <x:v>4</x:v>
      </x:c>
      <x:c r="H45" s="23" t="n">
        <x:v>2</x:v>
      </x:c>
      <x:c r="I45" s="23" t="n">
        <x:v>6</x:v>
      </x:c>
      <x:c r="J45" s="23" t="n">
        <x:v>2</x:v>
      </x:c>
      <x:c r="K45" s="23" t="n">
        <x:v>8</x:v>
      </x:c>
      <x:c r="L45" s="23" t="n">
        <x:v>4</x:v>
      </x:c>
      <x:c r="M45" s="23" t="n">
        <x:v>3</x:v>
      </x:c>
      <x:c r="N45" s="23" t="n">
        <x:v>6</x:v>
      </x:c>
      <x:c r="O45" s="23" t="n">
        <x:v>1</x:v>
      </x:c>
      <x:c r="P45" s="23" t="n">
        <x:v>4</x:v>
      </x:c>
      <x:c r="Q45" s="23" t="n">
        <x:v>5</x:v>
      </x:c>
      <x:c r="R45" s="23" t="n">
        <x:v>10</x:v>
      </x:c>
    </x:row>
    <x:row r="46">
      <x:c r="A46" s="15" t="n">
        <x:v>41518</x:v>
      </x:c>
      <x:c r="B46" s="23" t="n">
        <x:v>1</x:v>
      </x:c>
      <x:c r="C46" s="23" t="n">
        <x:v>5</x:v>
      </x:c>
      <x:c r="D46" s="23" t="n">
        <x:v>1</x:v>
      </x:c>
      <x:c r="E46" s="23"/>
      <x:c r="F46" s="23" t="n">
        <x:v>4</x:v>
      </x:c>
      <x:c r="G46" s="23" t="n">
        <x:v>4</x:v>
      </x:c>
      <x:c r="H46" s="23" t="n">
        <x:v>2</x:v>
      </x:c>
      <x:c r="I46" s="23" t="n">
        <x:v>6</x:v>
      </x:c>
      <x:c r="J46" s="23" t="n">
        <x:v>2</x:v>
      </x:c>
      <x:c r="K46" s="23" t="n">
        <x:v>8</x:v>
      </x:c>
      <x:c r="L46" s="23" t="n">
        <x:v>4</x:v>
      </x:c>
      <x:c r="M46" s="23" t="n">
        <x:v>3</x:v>
      </x:c>
      <x:c r="N46" s="23" t="n">
        <x:v>6</x:v>
      </x:c>
      <x:c r="O46" s="23" t="n">
        <x:v>1</x:v>
      </x:c>
      <x:c r="P46" s="23" t="n">
        <x:v>4</x:v>
      </x:c>
      <x:c r="Q46" s="23" t="n">
        <x:v>5</x:v>
      </x:c>
      <x:c r="R46" s="23" t="n">
        <x:v>10</x:v>
      </x:c>
    </x:row>
    <x:row r="47">
      <x:c r="A47" s="15" t="n">
        <x:v>41548</x:v>
      </x:c>
      <x:c r="B47" s="23" t="n">
        <x:v>1</x:v>
      </x:c>
      <x:c r="C47" s="23" t="n">
        <x:v>5</x:v>
      </x:c>
      <x:c r="D47" s="23" t="n">
        <x:v>1</x:v>
      </x:c>
      <x:c r="E47" s="23"/>
      <x:c r="F47" s="23" t="n">
        <x:v>4</x:v>
      </x:c>
      <x:c r="G47" s="23" t="n">
        <x:v>4</x:v>
      </x:c>
      <x:c r="H47" s="23" t="n">
        <x:v>2</x:v>
      </x:c>
      <x:c r="I47" s="23" t="n">
        <x:v>6</x:v>
      </x:c>
      <x:c r="J47" s="23" t="n">
        <x:v>2</x:v>
      </x:c>
      <x:c r="K47" s="23" t="n">
        <x:v>8</x:v>
      </x:c>
      <x:c r="L47" s="23" t="n">
        <x:v>4</x:v>
      </x:c>
      <x:c r="M47" s="23" t="n">
        <x:v>3</x:v>
      </x:c>
      <x:c r="N47" s="23" t="n">
        <x:v>6</x:v>
      </x:c>
      <x:c r="O47" s="23" t="n">
        <x:v>1</x:v>
      </x:c>
      <x:c r="P47" s="23" t="n">
        <x:v>4</x:v>
      </x:c>
      <x:c r="Q47" s="23" t="n">
        <x:v>5</x:v>
      </x:c>
      <x:c r="R47" s="23" t="n">
        <x:v>10</x:v>
      </x:c>
    </x:row>
    <x:row r="48">
      <x:c r="A48" s="15" t="n">
        <x:v>41579</x:v>
      </x:c>
      <x:c r="B48" s="23" t="n">
        <x:v>1</x:v>
      </x:c>
      <x:c r="C48" s="23" t="n">
        <x:v>5</x:v>
      </x:c>
      <x:c r="D48" s="23" t="n">
        <x:v>1</x:v>
      </x:c>
      <x:c r="E48" s="23"/>
      <x:c r="F48" s="23" t="n">
        <x:v>4</x:v>
      </x:c>
      <x:c r="G48" s="23" t="n">
        <x:v>4</x:v>
      </x:c>
      <x:c r="H48" s="23" t="n">
        <x:v>2</x:v>
      </x:c>
      <x:c r="I48" s="23" t="n">
        <x:v>6</x:v>
      </x:c>
      <x:c r="J48" s="23" t="n">
        <x:v>2</x:v>
      </x:c>
      <x:c r="K48" s="23" t="n">
        <x:v>8</x:v>
      </x:c>
      <x:c r="L48" s="23" t="n">
        <x:v>4</x:v>
      </x:c>
      <x:c r="M48" s="23" t="n">
        <x:v>3</x:v>
      </x:c>
      <x:c r="N48" s="23" t="n">
        <x:v>6</x:v>
      </x:c>
      <x:c r="O48" s="23" t="n">
        <x:v>1</x:v>
      </x:c>
      <x:c r="P48" s="23" t="n">
        <x:v>4</x:v>
      </x:c>
      <x:c r="Q48" s="23" t="n">
        <x:v>5</x:v>
      </x:c>
      <x:c r="R48" s="23" t="n">
        <x:v>10</x:v>
      </x:c>
    </x:row>
    <x:row r="49">
      <x:c r="A49" s="15" t="n">
        <x:v>41609</x:v>
      </x:c>
      <x:c r="B49" s="23" t="n">
        <x:v>1</x:v>
      </x:c>
      <x:c r="C49" s="23" t="n">
        <x:v>5</x:v>
      </x:c>
      <x:c r="D49" s="23" t="n">
        <x:v>1</x:v>
      </x:c>
      <x:c r="E49" s="23" t="n">
        <x:v>2</x:v>
      </x:c>
      <x:c r="F49" s="23" t="n">
        <x:v>4</x:v>
      </x:c>
      <x:c r="G49" s="23" t="n">
        <x:v>4</x:v>
      </x:c>
      <x:c r="H49" s="23" t="n">
        <x:v>2</x:v>
      </x:c>
      <x:c r="I49" s="23" t="n">
        <x:v>6</x:v>
      </x:c>
      <x:c r="J49" s="23" t="n">
        <x:v>2</x:v>
      </x:c>
      <x:c r="K49" s="23" t="n">
        <x:v>8</x:v>
      </x:c>
      <x:c r="L49" s="23" t="n">
        <x:v>4</x:v>
      </x:c>
      <x:c r="M49" s="23" t="n">
        <x:v>3</x:v>
      </x:c>
      <x:c r="N49" s="23" t="n">
        <x:v>6</x:v>
      </x:c>
      <x:c r="O49" s="23" t="n">
        <x:v>1</x:v>
      </x:c>
      <x:c r="P49" s="23" t="n">
        <x:v>4</x:v>
      </x:c>
      <x:c r="Q49" s="23" t="n">
        <x:v>5</x:v>
      </x:c>
      <x:c r="R49" s="23" t="n">
        <x:v>10</x:v>
      </x:c>
    </x:row>
    <x:row r="50">
      <x:c r="A50" s="15" t="n">
        <x:v>41640</x:v>
      </x:c>
      <x:c r="B50" s="23"/>
      <x:c r="C50" s="23" t="n">
        <x:v>5</x:v>
      </x:c>
      <x:c r="D50" s="23" t="n">
        <x:v>1</x:v>
      </x:c>
      <x:c r="E50" s="23" t="n">
        <x:v>2</x:v>
      </x:c>
      <x:c r="F50" s="23" t="n">
        <x:v>4</x:v>
      </x:c>
      <x:c r="G50" s="23" t="n">
        <x:v>4</x:v>
      </x:c>
      <x:c r="H50" s="23" t="n">
        <x:v>2</x:v>
      </x:c>
      <x:c r="I50" s="23" t="n">
        <x:v>6</x:v>
      </x:c>
      <x:c r="J50" s="23" t="n">
        <x:v>2</x:v>
      </x:c>
      <x:c r="K50" s="23" t="n">
        <x:v>6</x:v>
      </x:c>
      <x:c r="L50" s="23" t="n">
        <x:v>4</x:v>
      </x:c>
      <x:c r="M50" s="23" t="n">
        <x:v>3</x:v>
      </x:c>
      <x:c r="N50" s="23" t="n">
        <x:v>5</x:v>
      </x:c>
      <x:c r="O50" s="23" t="n">
        <x:v>1</x:v>
      </x:c>
      <x:c r="P50" s="23" t="n">
        <x:v>3</x:v>
      </x:c>
      <x:c r="Q50" s="23" t="n">
        <x:v>5</x:v>
      </x:c>
      <x:c r="R50" s="23" t="n">
        <x:v>9</x:v>
      </x:c>
    </x:row>
    <x:row r="51">
      <x:c r="A51" s="15" t="n">
        <x:v>41671</x:v>
      </x:c>
      <x:c r="B51" s="23"/>
      <x:c r="C51" s="23" t="n">
        <x:v>5</x:v>
      </x:c>
      <x:c r="D51" s="23" t="n">
        <x:v>1</x:v>
      </x:c>
      <x:c r="E51" s="23" t="n">
        <x:v>2</x:v>
      </x:c>
      <x:c r="F51" s="23" t="n">
        <x:v>4</x:v>
      </x:c>
      <x:c r="G51" s="23" t="n">
        <x:v>4</x:v>
      </x:c>
      <x:c r="H51" s="23" t="n">
        <x:v>2</x:v>
      </x:c>
      <x:c r="I51" s="23" t="n">
        <x:v>6</x:v>
      </x:c>
      <x:c r="J51" s="23" t="n">
        <x:v>2</x:v>
      </x:c>
      <x:c r="K51" s="23" t="n">
        <x:v>6</x:v>
      </x:c>
      <x:c r="L51" s="23" t="n">
        <x:v>4</x:v>
      </x:c>
      <x:c r="M51" s="23" t="n">
        <x:v>3</x:v>
      </x:c>
      <x:c r="N51" s="23" t="n">
        <x:v>5</x:v>
      </x:c>
      <x:c r="O51" s="23" t="n">
        <x:v>1</x:v>
      </x:c>
      <x:c r="P51" s="23" t="n">
        <x:v>3</x:v>
      </x:c>
      <x:c r="Q51" s="23" t="n">
        <x:v>5</x:v>
      </x:c>
      <x:c r="R51" s="23" t="n">
        <x:v>7</x:v>
      </x:c>
    </x:row>
    <x:row r="52">
      <x:c r="A52" s="15" t="n">
        <x:v>41699</x:v>
      </x:c>
      <x:c r="B52" s="23"/>
      <x:c r="C52" s="23" t="n">
        <x:v>5</x:v>
      </x:c>
      <x:c r="D52" s="23" t="n">
        <x:v>1</x:v>
      </x:c>
      <x:c r="E52" s="23" t="n">
        <x:v>2</x:v>
      </x:c>
      <x:c r="F52" s="23" t="n">
        <x:v>4</x:v>
      </x:c>
      <x:c r="G52" s="23" t="n">
        <x:v>4</x:v>
      </x:c>
      <x:c r="H52" s="23" t="n">
        <x:v>2</x:v>
      </x:c>
      <x:c r="I52" s="23" t="n">
        <x:v>6</x:v>
      </x:c>
      <x:c r="J52" s="23" t="n">
        <x:v>2</x:v>
      </x:c>
      <x:c r="K52" s="23" t="n">
        <x:v>5</x:v>
      </x:c>
      <x:c r="L52" s="23" t="n">
        <x:v>4</x:v>
      </x:c>
      <x:c r="M52" s="23" t="n">
        <x:v>3</x:v>
      </x:c>
      <x:c r="N52" s="23" t="n">
        <x:v>5</x:v>
      </x:c>
      <x:c r="O52" s="23" t="n">
        <x:v>1</x:v>
      </x:c>
      <x:c r="P52" s="23" t="n">
        <x:v>3</x:v>
      </x:c>
      <x:c r="Q52" s="23" t="n">
        <x:v>5</x:v>
      </x:c>
      <x:c r="R52" s="23" t="n">
        <x:v>7</x:v>
      </x:c>
    </x:row>
    <x:row r="53">
      <x:c r="A53" s="15" t="n">
        <x:v>41730</x:v>
      </x:c>
      <x:c r="B53" s="23"/>
      <x:c r="C53" s="23" t="n">
        <x:v>5</x:v>
      </x:c>
      <x:c r="D53" s="23" t="n">
        <x:v>1</x:v>
      </x:c>
      <x:c r="E53" s="23" t="n">
        <x:v>3</x:v>
      </x:c>
      <x:c r="F53" s="23" t="n">
        <x:v>5</x:v>
      </x:c>
      <x:c r="G53" s="23" t="n">
        <x:v>4</x:v>
      </x:c>
      <x:c r="H53" s="23" t="n">
        <x:v>3</x:v>
      </x:c>
      <x:c r="I53" s="23" t="n">
        <x:v>6</x:v>
      </x:c>
      <x:c r="J53" s="23" t="n">
        <x:v>2</x:v>
      </x:c>
      <x:c r="K53" s="23" t="n">
        <x:v>6</x:v>
      </x:c>
      <x:c r="L53" s="23" t="n">
        <x:v>4</x:v>
      </x:c>
      <x:c r="M53" s="23" t="n">
        <x:v>3</x:v>
      </x:c>
      <x:c r="N53" s="23" t="n">
        <x:v>5</x:v>
      </x:c>
      <x:c r="O53" s="23" t="n">
        <x:v>1</x:v>
      </x:c>
      <x:c r="P53" s="23" t="n">
        <x:v>3</x:v>
      </x:c>
      <x:c r="Q53" s="23" t="n">
        <x:v>6</x:v>
      </x:c>
      <x:c r="R53" s="23" t="n">
        <x:v>8</x:v>
      </x:c>
    </x:row>
    <x:row r="54">
      <x:c r="A54" s="15" t="n">
        <x:v>41760</x:v>
      </x:c>
      <x:c r="B54" s="23"/>
      <x:c r="C54" s="23" t="n">
        <x:v>5</x:v>
      </x:c>
      <x:c r="D54" s="23" t="n">
        <x:v>1</x:v>
      </x:c>
      <x:c r="E54" s="23" t="n">
        <x:v>3</x:v>
      </x:c>
      <x:c r="F54" s="23" t="n">
        <x:v>5</x:v>
      </x:c>
      <x:c r="G54" s="23" t="n">
        <x:v>4</x:v>
      </x:c>
      <x:c r="H54" s="23" t="n">
        <x:v>2</x:v>
      </x:c>
      <x:c r="I54" s="23" t="n">
        <x:v>7</x:v>
      </x:c>
      <x:c r="J54" s="23" t="n">
        <x:v>2</x:v>
      </x:c>
      <x:c r="K54" s="23" t="n">
        <x:v>6</x:v>
      </x:c>
      <x:c r="L54" s="23" t="n">
        <x:v>4</x:v>
      </x:c>
      <x:c r="M54" s="23" t="n">
        <x:v>4</x:v>
      </x:c>
      <x:c r="N54" s="23" t="n">
        <x:v>5</x:v>
      </x:c>
      <x:c r="O54" s="23" t="n">
        <x:v>1</x:v>
      </x:c>
      <x:c r="P54" s="23" t="n">
        <x:v>3</x:v>
      </x:c>
      <x:c r="Q54" s="23" t="n">
        <x:v>5</x:v>
      </x:c>
      <x:c r="R54" s="23" t="n">
        <x:v>8</x:v>
      </x:c>
    </x:row>
    <x:row r="55">
      <x:c r="A55" s="15" t="n">
        <x:v>41791</x:v>
      </x:c>
      <x:c r="B55" s="23"/>
      <x:c r="C55" s="23" t="n">
        <x:v>5</x:v>
      </x:c>
      <x:c r="D55" s="23" t="n">
        <x:v>1</x:v>
      </x:c>
      <x:c r="E55" s="23" t="n">
        <x:v>3</x:v>
      </x:c>
      <x:c r="F55" s="23" t="n">
        <x:v>5</x:v>
      </x:c>
      <x:c r="G55" s="23" t="n">
        <x:v>4</x:v>
      </x:c>
      <x:c r="H55" s="23" t="n">
        <x:v>2</x:v>
      </x:c>
      <x:c r="I55" s="23" t="n">
        <x:v>6</x:v>
      </x:c>
      <x:c r="J55" s="23" t="n">
        <x:v>2</x:v>
      </x:c>
      <x:c r="K55" s="23" t="n">
        <x:v>5</x:v>
      </x:c>
      <x:c r="L55" s="23" t="n">
        <x:v>4</x:v>
      </x:c>
      <x:c r="M55" s="23" t="n">
        <x:v>4</x:v>
      </x:c>
      <x:c r="N55" s="23" t="n">
        <x:v>5</x:v>
      </x:c>
      <x:c r="O55" s="23" t="n">
        <x:v>1</x:v>
      </x:c>
      <x:c r="P55" s="23" t="n">
        <x:v>3</x:v>
      </x:c>
      <x:c r="Q55" s="23" t="n">
        <x:v>5</x:v>
      </x:c>
      <x:c r="R55" s="23" t="n">
        <x:v>8</x:v>
      </x:c>
    </x:row>
    <x:row r="56">
      <x:c r="A56" s="15" t="n">
        <x:v>41821</x:v>
      </x:c>
      <x:c r="B56" s="23"/>
      <x:c r="C56" s="23" t="n">
        <x:v>5</x:v>
      </x:c>
      <x:c r="D56" s="23" t="n">
        <x:v>1</x:v>
      </x:c>
      <x:c r="E56" s="23" t="n">
        <x:v>2</x:v>
      </x:c>
      <x:c r="F56" s="23" t="n">
        <x:v>5</x:v>
      </x:c>
      <x:c r="G56" s="23" t="n">
        <x:v>4</x:v>
      </x:c>
      <x:c r="H56" s="23" t="n">
        <x:v>2</x:v>
      </x:c>
      <x:c r="I56" s="23" t="n">
        <x:v>6</x:v>
      </x:c>
      <x:c r="J56" s="23" t="n">
        <x:v>2</x:v>
      </x:c>
      <x:c r="K56" s="23" t="n">
        <x:v>6</x:v>
      </x:c>
      <x:c r="L56" s="23" t="n">
        <x:v>4</x:v>
      </x:c>
      <x:c r="M56" s="23" t="n">
        <x:v>4</x:v>
      </x:c>
      <x:c r="N56" s="23" t="n">
        <x:v>5</x:v>
      </x:c>
      <x:c r="O56" s="23" t="n">
        <x:v>1</x:v>
      </x:c>
      <x:c r="P56" s="23" t="n">
        <x:v>3</x:v>
      </x:c>
      <x:c r="Q56" s="23" t="n">
        <x:v>5</x:v>
      </x:c>
      <x:c r="R56" s="23" t="n">
        <x:v>8</x:v>
      </x:c>
    </x:row>
    <x:row r="57">
      <x:c r="A57" s="15" t="n">
        <x:v>41852</x:v>
      </x:c>
      <x:c r="B57" s="23"/>
      <x:c r="C57" s="23" t="n">
        <x:v>5</x:v>
      </x:c>
      <x:c r="D57" s="23" t="n">
        <x:v>1</x:v>
      </x:c>
      <x:c r="E57" s="23" t="n">
        <x:v>2</x:v>
      </x:c>
      <x:c r="F57" s="23" t="n">
        <x:v>5</x:v>
      </x:c>
      <x:c r="G57" s="23" t="n">
        <x:v>4</x:v>
      </x:c>
      <x:c r="H57" s="23" t="n">
        <x:v>2</x:v>
      </x:c>
      <x:c r="I57" s="23" t="n">
        <x:v>7</x:v>
      </x:c>
      <x:c r="J57" s="23" t="n">
        <x:v>2</x:v>
      </x:c>
      <x:c r="K57" s="23" t="n">
        <x:v>7</x:v>
      </x:c>
      <x:c r="L57" s="23" t="n">
        <x:v>4</x:v>
      </x:c>
      <x:c r="M57" s="23" t="n">
        <x:v>4</x:v>
      </x:c>
      <x:c r="N57" s="23" t="n">
        <x:v>5</x:v>
      </x:c>
      <x:c r="O57" s="23" t="n">
        <x:v>1</x:v>
      </x:c>
      <x:c r="P57" s="23" t="n">
        <x:v>3</x:v>
      </x:c>
      <x:c r="Q57" s="23" t="n">
        <x:v>5</x:v>
      </x:c>
      <x:c r="R57" s="23" t="n">
        <x:v>10</x:v>
      </x:c>
    </x:row>
    <x:row r="58">
      <x:c r="A58" s="15" t="n">
        <x:v>41883</x:v>
      </x:c>
      <x:c r="B58" s="23"/>
      <x:c r="C58" s="23" t="n">
        <x:v>5</x:v>
      </x:c>
      <x:c r="D58" s="23" t="n">
        <x:v>1</x:v>
      </x:c>
      <x:c r="E58" s="23" t="n">
        <x:v>2</x:v>
      </x:c>
      <x:c r="F58" s="23" t="n">
        <x:v>5</x:v>
      </x:c>
      <x:c r="G58" s="23" t="n">
        <x:v>4</x:v>
      </x:c>
      <x:c r="H58" s="23" t="n">
        <x:v>2</x:v>
      </x:c>
      <x:c r="I58" s="23" t="n">
        <x:v>6</x:v>
      </x:c>
      <x:c r="J58" s="23" t="n">
        <x:v>2</x:v>
      </x:c>
      <x:c r="K58" s="23" t="n">
        <x:v>6</x:v>
      </x:c>
      <x:c r="L58" s="23" t="n">
        <x:v>4</x:v>
      </x:c>
      <x:c r="M58" s="23" t="n">
        <x:v>4</x:v>
      </x:c>
      <x:c r="N58" s="23" t="n">
        <x:v>5</x:v>
      </x:c>
      <x:c r="O58" s="23" t="n">
        <x:v>1</x:v>
      </x:c>
      <x:c r="P58" s="23" t="n">
        <x:v>3</x:v>
      </x:c>
      <x:c r="Q58" s="23" t="n">
        <x:v>5</x:v>
      </x:c>
      <x:c r="R58" s="23" t="n">
        <x:v>10</x:v>
      </x:c>
    </x:row>
    <x:row r="59">
      <x:c r="A59" s="15" t="n">
        <x:v>41913</x:v>
      </x:c>
      <x:c r="B59" s="23"/>
      <x:c r="C59" s="23" t="n">
        <x:v>5</x:v>
      </x:c>
      <x:c r="D59" s="23" t="n">
        <x:v>1</x:v>
      </x:c>
      <x:c r="E59" s="23" t="n">
        <x:v>2</x:v>
      </x:c>
      <x:c r="F59" s="23" t="n">
        <x:v>5</x:v>
      </x:c>
      <x:c r="G59" s="23" t="n">
        <x:v>4</x:v>
      </x:c>
      <x:c r="H59" s="23" t="n">
        <x:v>2</x:v>
      </x:c>
      <x:c r="I59" s="23" t="n">
        <x:v>6</x:v>
      </x:c>
      <x:c r="J59" s="23" t="n">
        <x:v>2</x:v>
      </x:c>
      <x:c r="K59" s="23" t="n">
        <x:v>6</x:v>
      </x:c>
      <x:c r="L59" s="23" t="n">
        <x:v>4</x:v>
      </x:c>
      <x:c r="M59" s="23" t="n">
        <x:v>4</x:v>
      </x:c>
      <x:c r="N59" s="23" t="n">
        <x:v>5</x:v>
      </x:c>
      <x:c r="O59" s="23" t="n">
        <x:v>1</x:v>
      </x:c>
      <x:c r="P59" s="23" t="n">
        <x:v>3</x:v>
      </x:c>
      <x:c r="Q59" s="23" t="n">
        <x:v>5</x:v>
      </x:c>
      <x:c r="R59" s="23" t="n">
        <x:v>10</x:v>
      </x:c>
    </x:row>
    <x:row r="60">
      <x:c r="A60" s="15" t="n">
        <x:v>41944</x:v>
      </x:c>
      <x:c r="B60" s="23"/>
      <x:c r="C60" s="23" t="n">
        <x:v>5</x:v>
      </x:c>
      <x:c r="D60" s="23" t="n">
        <x:v>1</x:v>
      </x:c>
      <x:c r="E60" s="23" t="n">
        <x:v>2</x:v>
      </x:c>
      <x:c r="F60" s="23" t="n">
        <x:v>5</x:v>
      </x:c>
      <x:c r="G60" s="23" t="n">
        <x:v>4</x:v>
      </x:c>
      <x:c r="H60" s="23" t="n">
        <x:v>2</x:v>
      </x:c>
      <x:c r="I60" s="23" t="n">
        <x:v>6</x:v>
      </x:c>
      <x:c r="J60" s="23" t="n">
        <x:v>2</x:v>
      </x:c>
      <x:c r="K60" s="23" t="n">
        <x:v>6</x:v>
      </x:c>
      <x:c r="L60" s="23" t="n">
        <x:v>4</x:v>
      </x:c>
      <x:c r="M60" s="23" t="n">
        <x:v>4</x:v>
      </x:c>
      <x:c r="N60" s="23" t="n">
        <x:v>5</x:v>
      </x:c>
      <x:c r="O60" s="23" t="n">
        <x:v>1</x:v>
      </x:c>
      <x:c r="P60" s="23" t="n">
        <x:v>3</x:v>
      </x:c>
      <x:c r="Q60" s="23" t="n">
        <x:v>5</x:v>
      </x:c>
      <x:c r="R60" s="23" t="n">
        <x:v>10</x:v>
      </x:c>
    </x:row>
    <x:row r="61">
      <x:c r="A61" s="15" t="n">
        <x:v>41974</x:v>
      </x:c>
      <x:c r="B61" s="23"/>
      <x:c r="C61" s="23" t="n">
        <x:v>5</x:v>
      </x:c>
      <x:c r="D61" s="23" t="n">
        <x:v>2</x:v>
      </x:c>
      <x:c r="E61" s="23" t="n">
        <x:v>2</x:v>
      </x:c>
      <x:c r="F61" s="23" t="n">
        <x:v>5</x:v>
      </x:c>
      <x:c r="G61" s="23" t="n">
        <x:v>4</x:v>
      </x:c>
      <x:c r="H61" s="23" t="n">
        <x:v>2</x:v>
      </x:c>
      <x:c r="I61" s="23" t="n">
        <x:v>6</x:v>
      </x:c>
      <x:c r="J61" s="23" t="n">
        <x:v>2</x:v>
      </x:c>
      <x:c r="K61" s="23" t="n">
        <x:v>6</x:v>
      </x:c>
      <x:c r="L61" s="23" t="n">
        <x:v>4</x:v>
      </x:c>
      <x:c r="M61" s="23" t="n">
        <x:v>4</x:v>
      </x:c>
      <x:c r="N61" s="23" t="n">
        <x:v>5</x:v>
      </x:c>
      <x:c r="O61" s="23" t="n">
        <x:v>1</x:v>
      </x:c>
      <x:c r="P61" s="23" t="n">
        <x:v>3</x:v>
      </x:c>
      <x:c r="Q61" s="23" t="n">
        <x:v>5</x:v>
      </x:c>
      <x:c r="R61" s="23" t="n">
        <x:v>10</x:v>
      </x:c>
    </x:row>
    <x:row r="62">
      <x:c r="A62" s="15" t="n">
        <x:v>42005</x:v>
      </x:c>
      <x:c r="B62" s="23"/>
      <x:c r="C62" s="23" t="n">
        <x:v>5</x:v>
      </x:c>
      <x:c r="D62" s="23" t="n">
        <x:v>2</x:v>
      </x:c>
      <x:c r="E62" s="23" t="n">
        <x:v>2</x:v>
      </x:c>
      <x:c r="F62" s="23" t="n">
        <x:v>5</x:v>
      </x:c>
      <x:c r="G62" s="23" t="n">
        <x:v>4</x:v>
      </x:c>
      <x:c r="H62" s="23" t="n">
        <x:v>2</x:v>
      </x:c>
      <x:c r="I62" s="23" t="n">
        <x:v>5</x:v>
      </x:c>
      <x:c r="J62" s="23" t="n">
        <x:v>2</x:v>
      </x:c>
      <x:c r="K62" s="23" t="n">
        <x:v>6</x:v>
      </x:c>
      <x:c r="L62" s="23" t="n">
        <x:v>4</x:v>
      </x:c>
      <x:c r="M62" s="23" t="n">
        <x:v>4</x:v>
      </x:c>
      <x:c r="N62" s="23" t="n">
        <x:v>5</x:v>
      </x:c>
      <x:c r="O62" s="23" t="n">
        <x:v>1</x:v>
      </x:c>
      <x:c r="P62" s="23" t="n">
        <x:v>3</x:v>
      </x:c>
      <x:c r="Q62" s="23" t="n">
        <x:v>5</x:v>
      </x:c>
      <x:c r="R62" s="23" t="n">
        <x:v>9</x:v>
      </x:c>
    </x:row>
    <x:row r="63">
      <x:c r="A63" s="15" t="n">
        <x:v>42036</x:v>
      </x:c>
      <x:c r="B63" s="23"/>
      <x:c r="C63" s="23" t="n">
        <x:v>5</x:v>
      </x:c>
      <x:c r="D63" s="23" t="n">
        <x:v>2</x:v>
      </x:c>
      <x:c r="E63" s="23" t="n">
        <x:v>2</x:v>
      </x:c>
      <x:c r="F63" s="23" t="n">
        <x:v>5</x:v>
      </x:c>
      <x:c r="G63" s="23" t="n">
        <x:v>4</x:v>
      </x:c>
      <x:c r="H63" s="23" t="n">
        <x:v>2</x:v>
      </x:c>
      <x:c r="I63" s="23" t="n">
        <x:v>5</x:v>
      </x:c>
      <x:c r="J63" s="23" t="n">
        <x:v>2</x:v>
      </x:c>
      <x:c r="K63" s="23" t="n">
        <x:v>6</x:v>
      </x:c>
      <x:c r="L63" s="23" t="n">
        <x:v>4</x:v>
      </x:c>
      <x:c r="M63" s="23" t="n">
        <x:v>4</x:v>
      </x:c>
      <x:c r="N63" s="23" t="n">
        <x:v>5</x:v>
      </x:c>
      <x:c r="O63" s="23" t="n">
        <x:v>1</x:v>
      </x:c>
      <x:c r="P63" s="23" t="n">
        <x:v>3</x:v>
      </x:c>
      <x:c r="Q63" s="23" t="n">
        <x:v>5</x:v>
      </x:c>
      <x:c r="R63" s="23" t="n">
        <x:v>9</x:v>
      </x:c>
    </x:row>
    <x:row r="64">
      <x:c r="A64" s="15" t="n">
        <x:v>42064</x:v>
      </x:c>
      <x:c r="B64" s="23"/>
      <x:c r="C64" s="23" t="n">
        <x:v>5</x:v>
      </x:c>
      <x:c r="D64" s="23" t="n">
        <x:v>2</x:v>
      </x:c>
      <x:c r="E64" s="23" t="n">
        <x:v>2</x:v>
      </x:c>
      <x:c r="F64" s="23" t="n">
        <x:v>5</x:v>
      </x:c>
      <x:c r="G64" s="23" t="n">
        <x:v>4</x:v>
      </x:c>
      <x:c r="H64" s="23" t="n">
        <x:v>2</x:v>
      </x:c>
      <x:c r="I64" s="23" t="n">
        <x:v>5</x:v>
      </x:c>
      <x:c r="J64" s="23" t="n">
        <x:v>2</x:v>
      </x:c>
      <x:c r="K64" s="23" t="n">
        <x:v>4</x:v>
      </x:c>
      <x:c r="L64" s="23" t="n">
        <x:v>4</x:v>
      </x:c>
      <x:c r="M64" s="23" t="n">
        <x:v>4</x:v>
      </x:c>
      <x:c r="N64" s="23" t="n">
        <x:v>5</x:v>
      </x:c>
      <x:c r="O64" s="23" t="n">
        <x:v>1</x:v>
      </x:c>
      <x:c r="P64" s="23" t="n">
        <x:v>3</x:v>
      </x:c>
      <x:c r="Q64" s="23" t="n">
        <x:v>5</x:v>
      </x:c>
      <x:c r="R64" s="23" t="n">
        <x:v>9</x:v>
      </x:c>
    </x:row>
    <x:row r="65">
      <x:c r="A65" s="15" t="n">
        <x:v>42095</x:v>
      </x:c>
      <x:c r="B65" s="23"/>
      <x:c r="C65" s="23" t="n">
        <x:v>5</x:v>
      </x:c>
      <x:c r="D65" s="23" t="n">
        <x:v>2</x:v>
      </x:c>
      <x:c r="E65" s="23" t="n">
        <x:v>2</x:v>
      </x:c>
      <x:c r="F65" s="23" t="n">
        <x:v>5</x:v>
      </x:c>
      <x:c r="G65" s="23" t="n">
        <x:v>4</x:v>
      </x:c>
      <x:c r="H65" s="23" t="n">
        <x:v>2</x:v>
      </x:c>
      <x:c r="I65" s="23" t="n">
        <x:v>5</x:v>
      </x:c>
      <x:c r="J65" s="23" t="n">
        <x:v>3</x:v>
      </x:c>
      <x:c r="K65" s="23" t="n">
        <x:v>5</x:v>
      </x:c>
      <x:c r="L65" s="23" t="n">
        <x:v>4</x:v>
      </x:c>
      <x:c r="M65" s="23" t="n">
        <x:v>4</x:v>
      </x:c>
      <x:c r="N65" s="23" t="n">
        <x:v>5</x:v>
      </x:c>
      <x:c r="O65" s="23" t="n">
        <x:v>1</x:v>
      </x:c>
      <x:c r="P65" s="23" t="n">
        <x:v>3</x:v>
      </x:c>
      <x:c r="Q65" s="23" t="n">
        <x:v>4</x:v>
      </x:c>
      <x:c r="R65" s="23" t="n">
        <x:v>9</x:v>
      </x:c>
    </x:row>
    <x:row r="66">
      <x:c r="A66" s="15" t="n">
        <x:v>42125</x:v>
      </x:c>
      <x:c r="B66" s="23"/>
      <x:c r="C66" s="23" t="n">
        <x:v>5</x:v>
      </x:c>
      <x:c r="D66" s="23" t="n">
        <x:v>2</x:v>
      </x:c>
      <x:c r="E66" s="23" t="n">
        <x:v>2</x:v>
      </x:c>
      <x:c r="F66" s="23" t="n">
        <x:v>5</x:v>
      </x:c>
      <x:c r="G66" s="23" t="n">
        <x:v>4</x:v>
      </x:c>
      <x:c r="H66" s="23" t="n">
        <x:v>2</x:v>
      </x:c>
      <x:c r="I66" s="23" t="n">
        <x:v>3</x:v>
      </x:c>
      <x:c r="J66" s="23" t="n">
        <x:v>3</x:v>
      </x:c>
      <x:c r="K66" s="23" t="n">
        <x:v>5</x:v>
      </x:c>
      <x:c r="L66" s="23" t="n">
        <x:v>4</x:v>
      </x:c>
      <x:c r="M66" s="23" t="n">
        <x:v>4</x:v>
      </x:c>
      <x:c r="N66" s="23" t="n">
        <x:v>5</x:v>
      </x:c>
      <x:c r="O66" s="23" t="n">
        <x:v>1</x:v>
      </x:c>
      <x:c r="P66" s="23" t="n">
        <x:v>3</x:v>
      </x:c>
      <x:c r="Q66" s="23" t="n">
        <x:v>4</x:v>
      </x:c>
      <x:c r="R66" s="23" t="n">
        <x:v>8</x:v>
      </x:c>
    </x:row>
    <x:row r="67">
      <x:c r="A67" s="15" t="n">
        <x:v>42156</x:v>
      </x:c>
      <x:c r="B67" s="23"/>
      <x:c r="C67" s="23" t="n">
        <x:v>5</x:v>
      </x:c>
      <x:c r="D67" s="23" t="n">
        <x:v>2</x:v>
      </x:c>
      <x:c r="E67" s="23" t="n">
        <x:v>2</x:v>
      </x:c>
      <x:c r="F67" s="23" t="n">
        <x:v>5</x:v>
      </x:c>
      <x:c r="G67" s="23" t="n">
        <x:v>4</x:v>
      </x:c>
      <x:c r="H67" s="23" t="n">
        <x:v>2</x:v>
      </x:c>
      <x:c r="I67" s="23" t="n">
        <x:v>3</x:v>
      </x:c>
      <x:c r="J67" s="23" t="n">
        <x:v>3</x:v>
      </x:c>
      <x:c r="K67" s="23" t="n">
        <x:v>4</x:v>
      </x:c>
      <x:c r="L67" s="23" t="n">
        <x:v>4</x:v>
      </x:c>
      <x:c r="M67" s="23" t="n">
        <x:v>4</x:v>
      </x:c>
      <x:c r="N67" s="23" t="n">
        <x:v>5</x:v>
      </x:c>
      <x:c r="O67" s="23" t="n">
        <x:v>1</x:v>
      </x:c>
      <x:c r="P67" s="23" t="n">
        <x:v>3</x:v>
      </x:c>
      <x:c r="Q67" s="23" t="n">
        <x:v>4</x:v>
      </x:c>
      <x:c r="R67" s="23" t="n">
        <x:v>8</x:v>
      </x:c>
    </x:row>
    <x:row r="68">
      <x:c r="A68" s="15" t="n">
        <x:v>42186</x:v>
      </x:c>
      <x:c r="B68" s="23"/>
      <x:c r="C68" s="23" t="n">
        <x:v>5</x:v>
      </x:c>
      <x:c r="D68" s="23" t="n">
        <x:v>2</x:v>
      </x:c>
      <x:c r="E68" s="23" t="n">
        <x:v>2</x:v>
      </x:c>
      <x:c r="F68" s="23" t="n">
        <x:v>5</x:v>
      </x:c>
      <x:c r="G68" s="23" t="n">
        <x:v>4</x:v>
      </x:c>
      <x:c r="H68" s="23" t="n">
        <x:v>2</x:v>
      </x:c>
      <x:c r="I68" s="23" t="n">
        <x:v>3</x:v>
      </x:c>
      <x:c r="J68" s="23" t="n">
        <x:v>3</x:v>
      </x:c>
      <x:c r="K68" s="23" t="n">
        <x:v>5</x:v>
      </x:c>
      <x:c r="L68" s="23" t="n">
        <x:v>4</x:v>
      </x:c>
      <x:c r="M68" s="23" t="n">
        <x:v>4</x:v>
      </x:c>
      <x:c r="N68" s="23" t="n">
        <x:v>5</x:v>
      </x:c>
      <x:c r="O68" s="23" t="n">
        <x:v>1</x:v>
      </x:c>
      <x:c r="P68" s="23" t="n">
        <x:v>3</x:v>
      </x:c>
      <x:c r="Q68" s="23" t="n">
        <x:v>4</x:v>
      </x:c>
      <x:c r="R68" s="23" t="n">
        <x:v>8</x:v>
      </x:c>
    </x:row>
    <x:row r="69">
      <x:c r="A69" s="15" t="n">
        <x:v>42217</x:v>
      </x:c>
      <x:c r="B69" s="23"/>
      <x:c r="C69" s="23" t="n">
        <x:v>5</x:v>
      </x:c>
      <x:c r="D69" s="23" t="n">
        <x:v>2</x:v>
      </x:c>
      <x:c r="E69" s="23" t="n">
        <x:v>2</x:v>
      </x:c>
      <x:c r="F69" s="23" t="n">
        <x:v>5</x:v>
      </x:c>
      <x:c r="G69" s="23" t="n">
        <x:v>4</x:v>
      </x:c>
      <x:c r="H69" s="23" t="n">
        <x:v>2</x:v>
      </x:c>
      <x:c r="I69" s="23" t="n">
        <x:v>3</x:v>
      </x:c>
      <x:c r="J69" s="23" t="n">
        <x:v>3</x:v>
      </x:c>
      <x:c r="K69" s="23" t="n">
        <x:v>5</x:v>
      </x:c>
      <x:c r="L69" s="23" t="n">
        <x:v>4</x:v>
      </x:c>
      <x:c r="M69" s="23" t="n">
        <x:v>4</x:v>
      </x:c>
      <x:c r="N69" s="23" t="n">
        <x:v>5</x:v>
      </x:c>
      <x:c r="O69" s="23" t="n">
        <x:v>1</x:v>
      </x:c>
      <x:c r="P69" s="23" t="n">
        <x:v>3</x:v>
      </x:c>
      <x:c r="Q69" s="23" t="n">
        <x:v>4</x:v>
      </x:c>
      <x:c r="R69" s="23" t="n">
        <x:v>8</x:v>
      </x:c>
    </x:row>
    <x:row r="70">
      <x:c r="A70" s="15" t="n">
        <x:v>42248</x:v>
      </x:c>
      <x:c r="B70" s="23"/>
      <x:c r="C70" s="23" t="n">
        <x:v>5</x:v>
      </x:c>
      <x:c r="D70" s="23" t="n">
        <x:v>1</x:v>
      </x:c>
      <x:c r="E70" s="23" t="n">
        <x:v>2</x:v>
      </x:c>
      <x:c r="F70" s="23" t="n">
        <x:v>5</x:v>
      </x:c>
      <x:c r="G70" s="23" t="n">
        <x:v>4</x:v>
      </x:c>
      <x:c r="H70" s="23" t="n">
        <x:v>2</x:v>
      </x:c>
      <x:c r="I70" s="23" t="n">
        <x:v>2</x:v>
      </x:c>
      <x:c r="J70" s="23" t="n">
        <x:v>3</x:v>
      </x:c>
      <x:c r="K70" s="23" t="n">
        <x:v>5</x:v>
      </x:c>
      <x:c r="L70" s="23" t="n">
        <x:v>4</x:v>
      </x:c>
      <x:c r="M70" s="23" t="n">
        <x:v>3</x:v>
      </x:c>
      <x:c r="N70" s="23" t="n">
        <x:v>5</x:v>
      </x:c>
      <x:c r="O70" s="23" t="n">
        <x:v>1</x:v>
      </x:c>
      <x:c r="P70" s="23" t="n">
        <x:v>3</x:v>
      </x:c>
      <x:c r="Q70" s="23" t="n">
        <x:v>4</x:v>
      </x:c>
      <x:c r="R70" s="23" t="n">
        <x:v>7</x:v>
      </x:c>
    </x:row>
    <x:row r="71">
      <x:c r="A71" s="15" t="n">
        <x:v>42278</x:v>
      </x:c>
      <x:c r="B71" s="23"/>
      <x:c r="C71" s="23" t="n">
        <x:v>5</x:v>
      </x:c>
      <x:c r="D71" s="23" t="n">
        <x:v>1</x:v>
      </x:c>
      <x:c r="E71" s="23" t="n">
        <x:v>2</x:v>
      </x:c>
      <x:c r="F71" s="23" t="n">
        <x:v>5</x:v>
      </x:c>
      <x:c r="G71" s="23" t="n">
        <x:v>3</x:v>
      </x:c>
      <x:c r="H71" s="23" t="n">
        <x:v>2</x:v>
      </x:c>
      <x:c r="I71" s="23" t="n">
        <x:v>2</x:v>
      </x:c>
      <x:c r="J71" s="23" t="n">
        <x:v>3</x:v>
      </x:c>
      <x:c r="K71" s="23" t="n">
        <x:v>6</x:v>
      </x:c>
      <x:c r="L71" s="23" t="n">
        <x:v>4</x:v>
      </x:c>
      <x:c r="M71" s="23" t="n">
        <x:v>3</x:v>
      </x:c>
      <x:c r="N71" s="23" t="n">
        <x:v>5</x:v>
      </x:c>
      <x:c r="O71" s="23" t="n">
        <x:v>1</x:v>
      </x:c>
      <x:c r="P71" s="23" t="n">
        <x:v>2</x:v>
      </x:c>
      <x:c r="Q71" s="23" t="n">
        <x:v>4</x:v>
      </x:c>
      <x:c r="R71" s="23" t="n">
        <x:v>7</x:v>
      </x:c>
    </x:row>
    <x:row r="72">
      <x:c r="A72" s="15" t="n">
        <x:v>42309</x:v>
      </x:c>
      <x:c r="B72" s="23"/>
      <x:c r="C72" s="23" t="n">
        <x:v>5</x:v>
      </x:c>
      <x:c r="D72" s="23" t="n">
        <x:v>1</x:v>
      </x:c>
      <x:c r="E72" s="23" t="n">
        <x:v>2</x:v>
      </x:c>
      <x:c r="F72" s="23" t="n">
        <x:v>5</x:v>
      </x:c>
      <x:c r="G72" s="23" t="n">
        <x:v>3</x:v>
      </x:c>
      <x:c r="H72" s="23" t="n">
        <x:v>2</x:v>
      </x:c>
      <x:c r="I72" s="23" t="n">
        <x:v>2</x:v>
      </x:c>
      <x:c r="J72" s="23" t="n">
        <x:v>3</x:v>
      </x:c>
      <x:c r="K72" s="23" t="n">
        <x:v>6</x:v>
      </x:c>
      <x:c r="L72" s="23" t="n">
        <x:v>4</x:v>
      </x:c>
      <x:c r="M72" s="23" t="n">
        <x:v>3</x:v>
      </x:c>
      <x:c r="N72" s="23" t="n">
        <x:v>5</x:v>
      </x:c>
      <x:c r="O72" s="23" t="n">
        <x:v>1</x:v>
      </x:c>
      <x:c r="P72" s="23" t="n">
        <x:v>2</x:v>
      </x:c>
      <x:c r="Q72" s="23" t="n">
        <x:v>4</x:v>
      </x:c>
      <x:c r="R72" s="23" t="n">
        <x:v>7</x:v>
      </x:c>
    </x:row>
    <x:row r="73">
      <x:c r="A73" s="15" t="n">
        <x:v>42339</x:v>
      </x:c>
      <x:c r="B73" s="23"/>
      <x:c r="C73" s="23" t="n">
        <x:v>5</x:v>
      </x:c>
      <x:c r="D73" s="23" t="n">
        <x:v>1</x:v>
      </x:c>
      <x:c r="E73" s="23" t="n">
        <x:v>2</x:v>
      </x:c>
      <x:c r="F73" s="23" t="n">
        <x:v>5</x:v>
      </x:c>
      <x:c r="G73" s="23" t="n">
        <x:v>3</x:v>
      </x:c>
      <x:c r="H73" s="23" t="n">
        <x:v>2</x:v>
      </x:c>
      <x:c r="I73" s="23" t="n">
        <x:v>2</x:v>
      </x:c>
      <x:c r="J73" s="23" t="n">
        <x:v>2</x:v>
      </x:c>
      <x:c r="K73" s="23" t="n">
        <x:v>6</x:v>
      </x:c>
      <x:c r="L73" s="23" t="n">
        <x:v>4</x:v>
      </x:c>
      <x:c r="M73" s="23" t="n">
        <x:v>3</x:v>
      </x:c>
      <x:c r="N73" s="23" t="n">
        <x:v>6</x:v>
      </x:c>
      <x:c r="O73" s="23" t="n">
        <x:v>1</x:v>
      </x:c>
      <x:c r="P73" s="23" t="n">
        <x:v>2</x:v>
      </x:c>
      <x:c r="Q73" s="23" t="n">
        <x:v>3</x:v>
      </x:c>
      <x:c r="R73" s="23" t="n">
        <x:v>7</x:v>
      </x:c>
    </x:row>
    <x:row r="74">
      <x:c r="A74" s="15" t="n">
        <x:v>42370</x:v>
      </x:c>
      <x:c r="B74" s="23"/>
      <x:c r="C74" s="23" t="n">
        <x:v>5</x:v>
      </x:c>
      <x:c r="D74" s="23" t="n">
        <x:v>1</x:v>
      </x:c>
      <x:c r="E74" s="23" t="n">
        <x:v>2</x:v>
      </x:c>
      <x:c r="F74" s="23" t="n">
        <x:v>5</x:v>
      </x:c>
      <x:c r="G74" s="23" t="n">
        <x:v>3</x:v>
      </x:c>
      <x:c r="H74" s="23" t="n">
        <x:v>2</x:v>
      </x:c>
      <x:c r="I74" s="23" t="n">
        <x:v>2</x:v>
      </x:c>
      <x:c r="J74" s="23" t="n">
        <x:v>2</x:v>
      </x:c>
      <x:c r="K74" s="23" t="n">
        <x:v>6</x:v>
      </x:c>
      <x:c r="L74" s="23" t="n">
        <x:v>4</x:v>
      </x:c>
      <x:c r="M74" s="23" t="n">
        <x:v>3</x:v>
      </x:c>
      <x:c r="N74" s="23" t="n">
        <x:v>6</x:v>
      </x:c>
      <x:c r="O74" s="23" t="n">
        <x:v>1</x:v>
      </x:c>
      <x:c r="P74" s="23" t="n">
        <x:v>3</x:v>
      </x:c>
      <x:c r="Q74" s="23" t="n">
        <x:v>3</x:v>
      </x:c>
      <x:c r="R74" s="23" t="n">
        <x:v>7</x:v>
      </x:c>
    </x:row>
    <x:row r="75">
      <x:c r="A75" s="15" t="n">
        <x:v>42401</x:v>
      </x:c>
      <x:c r="B75" s="23"/>
      <x:c r="C75" s="23" t="n">
        <x:v>5</x:v>
      </x:c>
      <x:c r="D75" s="23" t="n">
        <x:v>1</x:v>
      </x:c>
      <x:c r="E75" s="23" t="n">
        <x:v>2</x:v>
      </x:c>
      <x:c r="F75" s="23" t="n">
        <x:v>5</x:v>
      </x:c>
      <x:c r="G75" s="23" t="n">
        <x:v>3</x:v>
      </x:c>
      <x:c r="H75" s="23" t="n">
        <x:v>2</x:v>
      </x:c>
      <x:c r="I75" s="23" t="n">
        <x:v>2</x:v>
      </x:c>
      <x:c r="J75" s="23" t="n">
        <x:v>2</x:v>
      </x:c>
      <x:c r="K75" s="23" t="n">
        <x:v>6</x:v>
      </x:c>
      <x:c r="L75" s="23" t="n">
        <x:v>4</x:v>
      </x:c>
      <x:c r="M75" s="23" t="n">
        <x:v>3</x:v>
      </x:c>
      <x:c r="N75" s="23" t="n">
        <x:v>6</x:v>
      </x:c>
      <x:c r="O75" s="23" t="n">
        <x:v>1</x:v>
      </x:c>
      <x:c r="P75" s="23" t="n">
        <x:v>3</x:v>
      </x:c>
      <x:c r="Q75" s="23" t="n">
        <x:v>3</x:v>
      </x:c>
      <x:c r="R75" s="23" t="n">
        <x:v>7</x:v>
      </x:c>
    </x:row>
    <x:row r="76">
      <x:c r="A76" s="15" t="n">
        <x:v>42430</x:v>
      </x:c>
      <x:c r="B76" s="23"/>
      <x:c r="C76" s="23" t="n">
        <x:v>5</x:v>
      </x:c>
      <x:c r="D76" s="23" t="n">
        <x:v>2</x:v>
      </x:c>
      <x:c r="E76" s="23" t="n">
        <x:v>2</x:v>
      </x:c>
      <x:c r="F76" s="23" t="n">
        <x:v>5</x:v>
      </x:c>
      <x:c r="G76" s="23" t="n">
        <x:v>4</x:v>
      </x:c>
      <x:c r="H76" s="23" t="n">
        <x:v>2</x:v>
      </x:c>
      <x:c r="I76" s="23" t="n">
        <x:v>2</x:v>
      </x:c>
      <x:c r="J76" s="23" t="n">
        <x:v>2</x:v>
      </x:c>
      <x:c r="K76" s="23" t="n">
        <x:v>6</x:v>
      </x:c>
      <x:c r="L76" s="23" t="n">
        <x:v>4</x:v>
      </x:c>
      <x:c r="M76" s="23" t="n">
        <x:v>3</x:v>
      </x:c>
      <x:c r="N76" s="23" t="n">
        <x:v>6</x:v>
      </x:c>
      <x:c r="O76" s="23" t="n">
        <x:v>1</x:v>
      </x:c>
      <x:c r="P76" s="23" t="n">
        <x:v>3</x:v>
      </x:c>
      <x:c r="Q76" s="23" t="n">
        <x:v>3</x:v>
      </x:c>
      <x:c r="R76" s="23" t="n">
        <x:v>7</x:v>
      </x:c>
    </x:row>
    <x:row r="77">
      <x:c r="A77" s="15" t="n">
        <x:v>42461</x:v>
      </x:c>
      <x:c r="B77" s="23"/>
      <x:c r="C77" s="23" t="n">
        <x:v>5</x:v>
      </x:c>
      <x:c r="D77" s="23" t="n">
        <x:v>2</x:v>
      </x:c>
      <x:c r="E77" s="23" t="n">
        <x:v>2</x:v>
      </x:c>
      <x:c r="F77" s="23" t="n">
        <x:v>5</x:v>
      </x:c>
      <x:c r="G77" s="23" t="n">
        <x:v>4</x:v>
      </x:c>
      <x:c r="H77" s="23" t="n">
        <x:v>2</x:v>
      </x:c>
      <x:c r="I77" s="23" t="n">
        <x:v>2</x:v>
      </x:c>
      <x:c r="J77" s="23" t="n">
        <x:v>2</x:v>
      </x:c>
      <x:c r="K77" s="23" t="n">
        <x:v>6</x:v>
      </x:c>
      <x:c r="L77" s="23" t="n">
        <x:v>4</x:v>
      </x:c>
      <x:c r="M77" s="23" t="n">
        <x:v>3</x:v>
      </x:c>
      <x:c r="N77" s="23" t="n">
        <x:v>6</x:v>
      </x:c>
      <x:c r="O77" s="23" t="n">
        <x:v>1</x:v>
      </x:c>
      <x:c r="P77" s="23" t="n">
        <x:v>3</x:v>
      </x:c>
      <x:c r="Q77" s="23" t="n">
        <x:v>3</x:v>
      </x:c>
      <x:c r="R77" s="23" t="n">
        <x:v>7</x:v>
      </x:c>
    </x:row>
    <x:row r="78">
      <x:c r="A78" s="15" t="n">
        <x:v>42491</x:v>
      </x:c>
      <x:c r="B78" s="23"/>
      <x:c r="C78" s="23" t="n">
        <x:v>5</x:v>
      </x:c>
      <x:c r="D78" s="23" t="n">
        <x:v>2</x:v>
      </x:c>
      <x:c r="E78" s="23" t="n">
        <x:v>2</x:v>
      </x:c>
      <x:c r="F78" s="23" t="n">
        <x:v>5</x:v>
      </x:c>
      <x:c r="G78" s="23" t="n">
        <x:v>4</x:v>
      </x:c>
      <x:c r="H78" s="23" t="n">
        <x:v>2</x:v>
      </x:c>
      <x:c r="I78" s="23" t="n">
        <x:v>2</x:v>
      </x:c>
      <x:c r="J78" s="23" t="n">
        <x:v>2</x:v>
      </x:c>
      <x:c r="K78" s="23" t="n">
        <x:v>6</x:v>
      </x:c>
      <x:c r="L78" s="23" t="n">
        <x:v>4</x:v>
      </x:c>
      <x:c r="M78" s="23" t="n">
        <x:v>3</x:v>
      </x:c>
      <x:c r="N78" s="23" t="n">
        <x:v>5</x:v>
      </x:c>
      <x:c r="O78" s="23" t="n">
        <x:v>1</x:v>
      </x:c>
      <x:c r="P78" s="23" t="n">
        <x:v>2</x:v>
      </x:c>
      <x:c r="Q78" s="23" t="n">
        <x:v>3</x:v>
      </x:c>
      <x:c r="R78" s="23" t="n">
        <x:v>7</x:v>
      </x:c>
    </x:row>
    <x:row r="79">
      <x:c r="A79" s="15" t="n">
        <x:v>42522</x:v>
      </x:c>
      <x:c r="B79" s="23"/>
      <x:c r="C79" s="23" t="n">
        <x:v>5</x:v>
      </x:c>
      <x:c r="D79" s="23" t="n">
        <x:v>2</x:v>
      </x:c>
      <x:c r="E79" s="23" t="n">
        <x:v>2</x:v>
      </x:c>
      <x:c r="F79" s="23" t="n">
        <x:v>5</x:v>
      </x:c>
      <x:c r="G79" s="23" t="n">
        <x:v>4</x:v>
      </x:c>
      <x:c r="H79" s="23" t="n">
        <x:v>2</x:v>
      </x:c>
      <x:c r="I79" s="23" t="n">
        <x:v>2</x:v>
      </x:c>
      <x:c r="J79" s="23" t="n">
        <x:v>2</x:v>
      </x:c>
      <x:c r="K79" s="23" t="n">
        <x:v>6</x:v>
      </x:c>
      <x:c r="L79" s="23" t="n">
        <x:v>4</x:v>
      </x:c>
      <x:c r="M79" s="23" t="n">
        <x:v>3</x:v>
      </x:c>
      <x:c r="N79" s="23" t="n">
        <x:v>5</x:v>
      </x:c>
      <x:c r="O79" s="23" t="n">
        <x:v>1</x:v>
      </x:c>
      <x:c r="P79" s="23" t="n">
        <x:v>2</x:v>
      </x:c>
      <x:c r="Q79" s="23" t="n">
        <x:v>3</x:v>
      </x:c>
      <x:c r="R79" s="23" t="n">
        <x:v>7</x:v>
      </x:c>
    </x:row>
    <x:row r="80">
      <x:c r="A80" s="15" t="n">
        <x:v>42552</x:v>
      </x:c>
      <x:c r="B80" s="23"/>
      <x:c r="C80" s="23" t="n">
        <x:v>5</x:v>
      </x:c>
      <x:c r="D80" s="23" t="n">
        <x:v>2</x:v>
      </x:c>
      <x:c r="E80" s="23" t="n">
        <x:v>2</x:v>
      </x:c>
      <x:c r="F80" s="23" t="n">
        <x:v>5</x:v>
      </x:c>
      <x:c r="G80" s="23" t="n">
        <x:v>4</x:v>
      </x:c>
      <x:c r="H80" s="23" t="n">
        <x:v>2</x:v>
      </x:c>
      <x:c r="I80" s="23" t="n">
        <x:v>2</x:v>
      </x:c>
      <x:c r="J80" s="23" t="n">
        <x:v>2</x:v>
      </x:c>
      <x:c r="K80" s="23" t="n">
        <x:v>6</x:v>
      </x:c>
      <x:c r="L80" s="23" t="n">
        <x:v>4</x:v>
      </x:c>
      <x:c r="M80" s="23" t="n">
        <x:v>3</x:v>
      </x:c>
      <x:c r="N80" s="23" t="n">
        <x:v>5</x:v>
      </x:c>
      <x:c r="O80" s="23" t="n">
        <x:v>1</x:v>
      </x:c>
      <x:c r="P80" s="23" t="n">
        <x:v>2</x:v>
      </x:c>
      <x:c r="Q80" s="23" t="n">
        <x:v>3</x:v>
      </x:c>
      <x:c r="R80" s="23" t="n">
        <x:v>7</x:v>
      </x:c>
    </x:row>
    <x:row r="81">
      <x:c r="A81" s="15" t="n">
        <x:v>42583</x:v>
      </x:c>
      <x:c r="B81" s="23"/>
      <x:c r="C81" s="23" t="n">
        <x:v>5</x:v>
      </x:c>
      <x:c r="D81" s="23" t="n">
        <x:v>2</x:v>
      </x:c>
      <x:c r="E81" s="23" t="n">
        <x:v>2</x:v>
      </x:c>
      <x:c r="F81" s="23" t="n">
        <x:v>5</x:v>
      </x:c>
      <x:c r="G81" s="23" t="n">
        <x:v>4</x:v>
      </x:c>
      <x:c r="H81" s="23" t="n">
        <x:v>2</x:v>
      </x:c>
      <x:c r="I81" s="23" t="n">
        <x:v>2</x:v>
      </x:c>
      <x:c r="J81" s="23" t="n">
        <x:v>2</x:v>
      </x:c>
      <x:c r="K81" s="23" t="n">
        <x:v>6</x:v>
      </x:c>
      <x:c r="L81" s="23" t="n">
        <x:v>4</x:v>
      </x:c>
      <x:c r="M81" s="23" t="n">
        <x:v>3</x:v>
      </x:c>
      <x:c r="N81" s="23" t="n">
        <x:v>5</x:v>
      </x:c>
      <x:c r="O81" s="23" t="n">
        <x:v>1</x:v>
      </x:c>
      <x:c r="P81" s="23" t="n">
        <x:v>2</x:v>
      </x:c>
      <x:c r="Q81" s="23" t="n">
        <x:v>3</x:v>
      </x:c>
      <x:c r="R81" s="23" t="n">
        <x:v>7</x:v>
      </x:c>
    </x:row>
    <x:row r="82">
      <x:c r="A82" s="15" t="n">
        <x:v>42614</x:v>
      </x:c>
      <x:c r="B82" s="23"/>
      <x:c r="C82" s="23" t="n">
        <x:v>5</x:v>
      </x:c>
      <x:c r="D82" s="23" t="n">
        <x:v>2</x:v>
      </x:c>
      <x:c r="E82" s="23" t="n">
        <x:v>2</x:v>
      </x:c>
      <x:c r="F82" s="23" t="n">
        <x:v>5</x:v>
      </x:c>
      <x:c r="G82" s="23" t="n">
        <x:v>4</x:v>
      </x:c>
      <x:c r="H82" s="23" t="n">
        <x:v>2</x:v>
      </x:c>
      <x:c r="I82" s="23" t="n">
        <x:v>2</x:v>
      </x:c>
      <x:c r="J82" s="23" t="n">
        <x:v>2</x:v>
      </x:c>
      <x:c r="K82" s="23" t="n">
        <x:v>6</x:v>
      </x:c>
      <x:c r="L82" s="23" t="n">
        <x:v>4</x:v>
      </x:c>
      <x:c r="M82" s="23" t="n">
        <x:v>3</x:v>
      </x:c>
      <x:c r="N82" s="23" t="n">
        <x:v>5</x:v>
      </x:c>
      <x:c r="O82" s="23" t="n">
        <x:v>1</x:v>
      </x:c>
      <x:c r="P82" s="23" t="n">
        <x:v>2</x:v>
      </x:c>
      <x:c r="Q82" s="23" t="n">
        <x:v>3</x:v>
      </x:c>
      <x:c r="R82" s="23" t="n">
        <x:v>6</x:v>
      </x:c>
    </x:row>
    <x:row r="83">
      <x:c r="A83" s="15" t="n">
        <x:v>42644</x:v>
      </x:c>
      <x:c r="B83" s="23"/>
      <x:c r="C83" s="23" t="n">
        <x:v>5</x:v>
      </x:c>
      <x:c r="D83" s="23" t="n">
        <x:v>2</x:v>
      </x:c>
      <x:c r="E83" s="23" t="n">
        <x:v>2</x:v>
      </x:c>
      <x:c r="F83" s="23" t="n">
        <x:v>5</x:v>
      </x:c>
      <x:c r="G83" s="23" t="n">
        <x:v>4</x:v>
      </x:c>
      <x:c r="H83" s="23" t="n">
        <x:v>2</x:v>
      </x:c>
      <x:c r="I83" s="23" t="n">
        <x:v>2</x:v>
      </x:c>
      <x:c r="J83" s="23" t="n">
        <x:v>2</x:v>
      </x:c>
      <x:c r="K83" s="23" t="n">
        <x:v>6</x:v>
      </x:c>
      <x:c r="L83" s="23" t="n">
        <x:v>4</x:v>
      </x:c>
      <x:c r="M83" s="23" t="n">
        <x:v>3</x:v>
      </x:c>
      <x:c r="N83" s="23" t="n">
        <x:v>5</x:v>
      </x:c>
      <x:c r="O83" s="23" t="n">
        <x:v>1</x:v>
      </x:c>
      <x:c r="P83" s="23" t="n">
        <x:v>2</x:v>
      </x:c>
      <x:c r="Q83" s="23" t="n">
        <x:v>3</x:v>
      </x:c>
      <x:c r="R83" s="23" t="n">
        <x:v>6</x:v>
      </x:c>
    </x:row>
    <x:row r="84">
      <x:c r="A84" s="15" t="n">
        <x:v>42675</x:v>
      </x:c>
      <x:c r="B84" s="23"/>
      <x:c r="C84" s="23" t="n">
        <x:v>5</x:v>
      </x:c>
      <x:c r="D84" s="23" t="n">
        <x:v>2</x:v>
      </x:c>
      <x:c r="E84" s="23" t="n">
        <x:v>2</x:v>
      </x:c>
      <x:c r="F84" s="23" t="n">
        <x:v>5</x:v>
      </x:c>
      <x:c r="G84" s="23" t="n">
        <x:v>4</x:v>
      </x:c>
      <x:c r="H84" s="23" t="n">
        <x:v>2</x:v>
      </x:c>
      <x:c r="I84" s="23" t="n">
        <x:v>2</x:v>
      </x:c>
      <x:c r="J84" s="23" t="n">
        <x:v>2</x:v>
      </x:c>
      <x:c r="K84" s="23" t="n">
        <x:v>6</x:v>
      </x:c>
      <x:c r="L84" s="23" t="n">
        <x:v>4</x:v>
      </x:c>
      <x:c r="M84" s="23" t="n">
        <x:v>3</x:v>
      </x:c>
      <x:c r="N84" s="23" t="n">
        <x:v>5</x:v>
      </x:c>
      <x:c r="O84" s="23" t="n">
        <x:v>1</x:v>
      </x:c>
      <x:c r="P84" s="23" t="n">
        <x:v>2</x:v>
      </x:c>
      <x:c r="Q84" s="23" t="n">
        <x:v>3</x:v>
      </x:c>
      <x:c r="R84" s="23" t="n">
        <x:v>6</x:v>
      </x:c>
    </x:row>
    <x:row r="85">
      <x:c r="A85" s="15" t="n">
        <x:v>42705</x:v>
      </x:c>
      <x:c r="B85" s="23"/>
      <x:c r="C85" s="23" t="n">
        <x:v>5</x:v>
      </x:c>
      <x:c r="D85" s="23" t="n">
        <x:v>2</x:v>
      </x:c>
      <x:c r="E85" s="23" t="n">
        <x:v>2</x:v>
      </x:c>
      <x:c r="F85" s="23" t="n">
        <x:v>5</x:v>
      </x:c>
      <x:c r="G85" s="23" t="n">
        <x:v>4</x:v>
      </x:c>
      <x:c r="H85" s="23" t="n">
        <x:v>2</x:v>
      </x:c>
      <x:c r="I85" s="23" t="n">
        <x:v>2</x:v>
      </x:c>
      <x:c r="J85" s="23" t="n">
        <x:v>2</x:v>
      </x:c>
      <x:c r="K85" s="23" t="n">
        <x:v>6</x:v>
      </x:c>
      <x:c r="L85" s="23" t="n">
        <x:v>4</x:v>
      </x:c>
      <x:c r="M85" s="23" t="n">
        <x:v>3</x:v>
      </x:c>
      <x:c r="N85" s="23" t="n">
        <x:v>5</x:v>
      </x:c>
      <x:c r="O85" s="23" t="n">
        <x:v>1</x:v>
      </x:c>
      <x:c r="P85" s="23" t="n">
        <x:v>2</x:v>
      </x:c>
      <x:c r="Q85" s="23" t="n">
        <x:v>3</x:v>
      </x:c>
      <x:c r="R85" s="23" t="n">
        <x:v>6</x:v>
      </x:c>
    </x:row>
    <x:row r="86">
      <x:c r="A86" s="15" t="n">
        <x:v>42736</x:v>
      </x:c>
      <x:c r="B86" s="23"/>
      <x:c r="C86" s="23" t="n">
        <x:v>5</x:v>
      </x:c>
      <x:c r="D86" s="23" t="n">
        <x:v>2</x:v>
      </x:c>
      <x:c r="E86" s="23" t="n">
        <x:v>2</x:v>
      </x:c>
      <x:c r="F86" s="23" t="n">
        <x:v>5</x:v>
      </x:c>
      <x:c r="G86" s="23" t="n">
        <x:v>4</x:v>
      </x:c>
      <x:c r="H86" s="23" t="n">
        <x:v>2</x:v>
      </x:c>
      <x:c r="I86" s="23" t="n">
        <x:v>2</x:v>
      </x:c>
      <x:c r="J86" s="23" t="n">
        <x:v>2</x:v>
      </x:c>
      <x:c r="K86" s="23" t="n">
        <x:v>6</x:v>
      </x:c>
      <x:c r="L86" s="23" t="n">
        <x:v>4</x:v>
      </x:c>
      <x:c r="M86" s="23" t="n">
        <x:v>3</x:v>
      </x:c>
      <x:c r="N86" s="23" t="n">
        <x:v>5</x:v>
      </x:c>
      <x:c r="O86" s="23" t="n">
        <x:v>1</x:v>
      </x:c>
      <x:c r="P86" s="23" t="n">
        <x:v>2</x:v>
      </x:c>
      <x:c r="Q86" s="23" t="n">
        <x:v>3</x:v>
      </x:c>
      <x:c r="R86" s="23" t="n">
        <x:v>6</x:v>
      </x:c>
    </x:row>
    <x:row r="87">
      <x:c r="A87" s="15" t="n">
        <x:v>42767</x:v>
      </x:c>
      <x:c r="B87" s="23"/>
      <x:c r="C87" s="23" t="n">
        <x:v>5</x:v>
      </x:c>
      <x:c r="D87" s="23" t="n">
        <x:v>2</x:v>
      </x:c>
      <x:c r="E87" s="23" t="n">
        <x:v>2</x:v>
      </x:c>
      <x:c r="F87" s="23" t="n">
        <x:v>5</x:v>
      </x:c>
      <x:c r="G87" s="23" t="n">
        <x:v>4</x:v>
      </x:c>
      <x:c r="H87" s="23" t="n">
        <x:v>2</x:v>
      </x:c>
      <x:c r="I87" s="23" t="n">
        <x:v>2</x:v>
      </x:c>
      <x:c r="J87" s="23" t="n">
        <x:v>2</x:v>
      </x:c>
      <x:c r="K87" s="23" t="n">
        <x:v>6</x:v>
      </x:c>
      <x:c r="L87" s="23" t="n">
        <x:v>4</x:v>
      </x:c>
      <x:c r="M87" s="23" t="n">
        <x:v>3</x:v>
      </x:c>
      <x:c r="N87" s="23" t="n">
        <x:v>5</x:v>
      </x:c>
      <x:c r="O87" s="23" t="n">
        <x:v>1</x:v>
      </x:c>
      <x:c r="P87" s="23" t="n">
        <x:v>2</x:v>
      </x:c>
      <x:c r="Q87" s="23" t="n">
        <x:v>3</x:v>
      </x:c>
      <x:c r="R87" s="23" t="n">
        <x:v>6</x:v>
      </x:c>
    </x:row>
    <x:row r="88">
      <x:c r="A88" s="15" t="n">
        <x:v>42795</x:v>
      </x:c>
      <x:c r="B88" s="23"/>
      <x:c r="C88" s="23" t="n">
        <x:v>5</x:v>
      </x:c>
      <x:c r="D88" s="23" t="n">
        <x:v>2</x:v>
      </x:c>
      <x:c r="E88" s="23" t="n">
        <x:v>2</x:v>
      </x:c>
      <x:c r="F88" s="23" t="n">
        <x:v>4</x:v>
      </x:c>
      <x:c r="G88" s="23" t="n">
        <x:v>4</x:v>
      </x:c>
      <x:c r="H88" s="23" t="n">
        <x:v>2</x:v>
      </x:c>
      <x:c r="I88" s="23" t="n">
        <x:v>2</x:v>
      </x:c>
      <x:c r="J88" s="23" t="n">
        <x:v>2</x:v>
      </x:c>
      <x:c r="K88" s="23" t="n">
        <x:v>6</x:v>
      </x:c>
      <x:c r="L88" s="23" t="n">
        <x:v>4</x:v>
      </x:c>
      <x:c r="M88" s="23" t="n">
        <x:v>3</x:v>
      </x:c>
      <x:c r="N88" s="23" t="n">
        <x:v>5</x:v>
      </x:c>
      <x:c r="O88" s="23" t="n">
        <x:v>1</x:v>
      </x:c>
      <x:c r="P88" s="23" t="n">
        <x:v>2</x:v>
      </x:c>
      <x:c r="Q88" s="23" t="n">
        <x:v>3</x:v>
      </x:c>
      <x:c r="R88" s="23" t="n">
        <x:v>7</x:v>
      </x:c>
    </x:row>
    <x:row r="89">
      <x:c r="A89" s="15" t="n">
        <x:v>42826</x:v>
      </x:c>
      <x:c r="B89" s="23"/>
      <x:c r="C89" s="23" t="n">
        <x:v>5</x:v>
      </x:c>
      <x:c r="D89" s="23" t="n">
        <x:v>2</x:v>
      </x:c>
      <x:c r="E89" s="23" t="n">
        <x:v>2</x:v>
      </x:c>
      <x:c r="F89" s="23" t="n">
        <x:v>4</x:v>
      </x:c>
      <x:c r="G89" s="23" t="n">
        <x:v>4</x:v>
      </x:c>
      <x:c r="H89" s="23" t="n">
        <x:v>2</x:v>
      </x:c>
      <x:c r="I89" s="23" t="n">
        <x:v>2</x:v>
      </x:c>
      <x:c r="J89" s="23" t="n">
        <x:v>2</x:v>
      </x:c>
      <x:c r="K89" s="23" t="n">
        <x:v>6</x:v>
      </x:c>
      <x:c r="L89" s="23" t="n">
        <x:v>4</x:v>
      </x:c>
      <x:c r="M89" s="23" t="n">
        <x:v>3</x:v>
      </x:c>
      <x:c r="N89" s="23" t="n">
        <x:v>5</x:v>
      </x:c>
      <x:c r="O89" s="23" t="n">
        <x:v>1</x:v>
      </x:c>
      <x:c r="P89" s="23" t="n">
        <x:v>2</x:v>
      </x:c>
      <x:c r="Q89" s="23" t="n">
        <x:v>3</x:v>
      </x:c>
      <x:c r="R89" s="23" t="n">
        <x:v>7</x:v>
      </x:c>
    </x:row>
    <x:row r="90">
      <x:c r="A90" s="15" t="n">
        <x:v>42856</x:v>
      </x:c>
      <x:c r="B90" s="23"/>
      <x:c r="C90" s="23" t="n">
        <x:v>5</x:v>
      </x:c>
      <x:c r="D90" s="23" t="n">
        <x:v>2</x:v>
      </x:c>
      <x:c r="E90" s="23" t="n">
        <x:v>2</x:v>
      </x:c>
      <x:c r="F90" s="23" t="n">
        <x:v>4</x:v>
      </x:c>
      <x:c r="G90" s="23" t="n">
        <x:v>4</x:v>
      </x:c>
      <x:c r="H90" s="23" t="n">
        <x:v>2</x:v>
      </x:c>
      <x:c r="I90" s="23" t="n">
        <x:v>2</x:v>
      </x:c>
      <x:c r="J90" s="23" t="n">
        <x:v>2</x:v>
      </x:c>
      <x:c r="K90" s="23" t="n">
        <x:v>6</x:v>
      </x:c>
      <x:c r="L90" s="23" t="n">
        <x:v>4</x:v>
      </x:c>
      <x:c r="M90" s="23" t="n">
        <x:v>3</x:v>
      </x:c>
      <x:c r="N90" s="23" t="n">
        <x:v>5</x:v>
      </x:c>
      <x:c r="O90" s="23" t="n">
        <x:v>1</x:v>
      </x:c>
      <x:c r="P90" s="23" t="n">
        <x:v>2</x:v>
      </x:c>
      <x:c r="Q90" s="23" t="n">
        <x:v>3</x:v>
      </x:c>
      <x:c r="R90" s="23" t="n">
        <x:v>7</x:v>
      </x:c>
    </x:row>
    <x:row r="91">
      <x:c r="A91" s="15" t="n">
        <x:v>42887</x:v>
      </x:c>
      <x:c r="B91" s="23"/>
      <x:c r="C91" s="23" t="n">
        <x:v>5</x:v>
      </x:c>
      <x:c r="D91" s="23" t="n">
        <x:v>2</x:v>
      </x:c>
      <x:c r="E91" s="23" t="n">
        <x:v>2</x:v>
      </x:c>
      <x:c r="F91" s="23" t="n">
        <x:v>4</x:v>
      </x:c>
      <x:c r="G91" s="23" t="n">
        <x:v>4</x:v>
      </x:c>
      <x:c r="H91" s="23" t="n">
        <x:v>2</x:v>
      </x:c>
      <x:c r="I91" s="23" t="n">
        <x:v>2</x:v>
      </x:c>
      <x:c r="J91" s="23" t="n">
        <x:v>2</x:v>
      </x:c>
      <x:c r="K91" s="23" t="n">
        <x:v>6</x:v>
      </x:c>
      <x:c r="L91" s="23" t="n">
        <x:v>4</x:v>
      </x:c>
      <x:c r="M91" s="23" t="n">
        <x:v>3</x:v>
      </x:c>
      <x:c r="N91" s="23" t="n">
        <x:v>5</x:v>
      </x:c>
      <x:c r="O91" s="23" t="n">
        <x:v>1</x:v>
      </x:c>
      <x:c r="P91" s="23" t="n">
        <x:v>2</x:v>
      </x:c>
      <x:c r="Q91" s="23" t="n">
        <x:v>4</x:v>
      </x:c>
      <x:c r="R91" s="23" t="n">
        <x:v>7</x:v>
      </x:c>
    </x:row>
    <x:row r="92">
      <x:c r="A92" s="15" t="n">
        <x:v>42917</x:v>
      </x:c>
      <x:c r="B92" s="23"/>
      <x:c r="C92" s="23" t="n">
        <x:v>5</x:v>
      </x:c>
      <x:c r="D92" s="23" t="n">
        <x:v>2</x:v>
      </x:c>
      <x:c r="E92" s="23" t="n">
        <x:v>2</x:v>
      </x:c>
      <x:c r="F92" s="23" t="n">
        <x:v>4</x:v>
      </x:c>
      <x:c r="G92" s="23" t="n">
        <x:v>4</x:v>
      </x:c>
      <x:c r="H92" s="23" t="n">
        <x:v>2</x:v>
      </x:c>
      <x:c r="I92" s="23" t="n">
        <x:v>2</x:v>
      </x:c>
      <x:c r="J92" s="23" t="n">
        <x:v>2</x:v>
      </x:c>
      <x:c r="K92" s="23" t="n">
        <x:v>6</x:v>
      </x:c>
      <x:c r="L92" s="23" t="n">
        <x:v>4</x:v>
      </x:c>
      <x:c r="M92" s="23" t="n">
        <x:v>3</x:v>
      </x:c>
      <x:c r="N92" s="23" t="n">
        <x:v>5</x:v>
      </x:c>
      <x:c r="O92" s="23" t="n">
        <x:v>1</x:v>
      </x:c>
      <x:c r="P92" s="23" t="n">
        <x:v>3</x:v>
      </x:c>
      <x:c r="Q92" s="23" t="n">
        <x:v>4</x:v>
      </x:c>
      <x:c r="R92" s="23" t="n">
        <x:v>7</x:v>
      </x:c>
    </x:row>
    <x:row r="93">
      <x:c r="A93" s="15" t="n">
        <x:v>42948</x:v>
      </x:c>
      <x:c r="B93" s="23"/>
      <x:c r="C93" s="23" t="n">
        <x:v>5</x:v>
      </x:c>
      <x:c r="D93" s="23" t="n">
        <x:v>2</x:v>
      </x:c>
      <x:c r="E93" s="23" t="n">
        <x:v>2</x:v>
      </x:c>
      <x:c r="F93" s="23" t="n">
        <x:v>4</x:v>
      </x:c>
      <x:c r="G93" s="23" t="n">
        <x:v>4</x:v>
      </x:c>
      <x:c r="H93" s="23" t="n">
        <x:v>2</x:v>
      </x:c>
      <x:c r="I93" s="23" t="n">
        <x:v>2</x:v>
      </x:c>
      <x:c r="J93" s="23" t="n">
        <x:v>2</x:v>
      </x:c>
      <x:c r="K93" s="23" t="n">
        <x:v>6</x:v>
      </x:c>
      <x:c r="L93" s="23" t="n">
        <x:v>4</x:v>
      </x:c>
      <x:c r="M93" s="23" t="n">
        <x:v>3</x:v>
      </x:c>
      <x:c r="N93" s="23" t="n">
        <x:v>5</x:v>
      </x:c>
      <x:c r="O93" s="23" t="n">
        <x:v>1</x:v>
      </x:c>
      <x:c r="P93" s="23" t="n">
        <x:v>3</x:v>
      </x:c>
      <x:c r="Q93" s="23" t="n">
        <x:v>4</x:v>
      </x:c>
      <x:c r="R93" s="23" t="n">
        <x:v>8</x:v>
      </x:c>
    </x:row>
    <x:row r="94">
      <x:c r="A94" s="15" t="n">
        <x:v>42979</x:v>
      </x:c>
      <x:c r="B94" s="23"/>
      <x:c r="C94" s="23" t="n">
        <x:v>5</x:v>
      </x:c>
      <x:c r="D94" s="23" t="n">
        <x:v>2</x:v>
      </x:c>
      <x:c r="E94" s="23" t="n">
        <x:v>2</x:v>
      </x:c>
      <x:c r="F94" s="23" t="n">
        <x:v>4</x:v>
      </x:c>
      <x:c r="G94" s="23" t="n">
        <x:v>4</x:v>
      </x:c>
      <x:c r="H94" s="23" t="n">
        <x:v>2</x:v>
      </x:c>
      <x:c r="I94" s="23" t="n">
        <x:v>2</x:v>
      </x:c>
      <x:c r="J94" s="23" t="n">
        <x:v>2</x:v>
      </x:c>
      <x:c r="K94" s="23" t="n">
        <x:v>6</x:v>
      </x:c>
      <x:c r="L94" s="23" t="n">
        <x:v>4</x:v>
      </x:c>
      <x:c r="M94" s="23" t="n">
        <x:v>3</x:v>
      </x:c>
      <x:c r="N94" s="23" t="n">
        <x:v>5</x:v>
      </x:c>
      <x:c r="O94" s="23" t="n">
        <x:v>1</x:v>
      </x:c>
      <x:c r="P94" s="23" t="n">
        <x:v>3</x:v>
      </x:c>
      <x:c r="Q94" s="23" t="n">
        <x:v>4</x:v>
      </x:c>
      <x:c r="R94" s="23" t="n">
        <x:v>8</x:v>
      </x:c>
    </x:row>
    <x:row r="95">
      <x:c r="A95" s="15" t="n">
        <x:v>43009</x:v>
      </x:c>
      <x:c r="B95" s="23"/>
      <x:c r="C95" s="23" t="n">
        <x:v>5</x:v>
      </x:c>
      <x:c r="D95" s="23" t="n">
        <x:v>2</x:v>
      </x:c>
      <x:c r="E95" s="23" t="n">
        <x:v>2</x:v>
      </x:c>
      <x:c r="F95" s="23" t="n">
        <x:v>4</x:v>
      </x:c>
      <x:c r="G95" s="23" t="n">
        <x:v>4</x:v>
      </x:c>
      <x:c r="H95" s="23" t="n">
        <x:v>2</x:v>
      </x:c>
      <x:c r="I95" s="23" t="n">
        <x:v>2</x:v>
      </x:c>
      <x:c r="J95" s="23" t="n">
        <x:v>2</x:v>
      </x:c>
      <x:c r="K95" s="23" t="n">
        <x:v>6</x:v>
      </x:c>
      <x:c r="L95" s="23" t="n">
        <x:v>4</x:v>
      </x:c>
      <x:c r="M95" s="23" t="n">
        <x:v>3</x:v>
      </x:c>
      <x:c r="N95" s="23" t="n">
        <x:v>5</x:v>
      </x:c>
      <x:c r="O95" s="23" t="n">
        <x:v>1</x:v>
      </x:c>
      <x:c r="P95" s="23" t="n">
        <x:v>3</x:v>
      </x:c>
      <x:c r="Q95" s="23" t="n">
        <x:v>4</x:v>
      </x:c>
      <x:c r="R95" s="23" t="n">
        <x:v>8</x:v>
      </x:c>
    </x:row>
    <x:row r="96">
      <x:c r="A96" s="15" t="n">
        <x:v>43040</x:v>
      </x:c>
      <x:c r="B96" s="23"/>
      <x:c r="C96" s="23" t="n">
        <x:v>5</x:v>
      </x:c>
      <x:c r="D96" s="23" t="n">
        <x:v>2</x:v>
      </x:c>
      <x:c r="E96" s="23" t="n">
        <x:v>2</x:v>
      </x:c>
      <x:c r="F96" s="23" t="n">
        <x:v>4</x:v>
      </x:c>
      <x:c r="G96" s="23" t="n">
        <x:v>4</x:v>
      </x:c>
      <x:c r="H96" s="23" t="n">
        <x:v>2</x:v>
      </x:c>
      <x:c r="I96" s="23" t="n">
        <x:v>2</x:v>
      </x:c>
      <x:c r="J96" s="23" t="n">
        <x:v>2</x:v>
      </x:c>
      <x:c r="K96" s="23" t="n">
        <x:v>6</x:v>
      </x:c>
      <x:c r="L96" s="23" t="n">
        <x:v>4</x:v>
      </x:c>
      <x:c r="M96" s="23" t="n">
        <x:v>2</x:v>
      </x:c>
      <x:c r="N96" s="23" t="n">
        <x:v>5</x:v>
      </x:c>
      <x:c r="O96" s="23" t="n">
        <x:v>1</x:v>
      </x:c>
      <x:c r="P96" s="23" t="n">
        <x:v>3</x:v>
      </x:c>
      <x:c r="Q96" s="23" t="n">
        <x:v>4</x:v>
      </x:c>
      <x:c r="R96" s="23" t="n">
        <x:v>8</x:v>
      </x:c>
    </x:row>
    <x:row r="97">
      <x:c r="A97" s="15" t="n">
        <x:v>43070</x:v>
      </x:c>
      <x:c r="B97" s="23"/>
      <x:c r="C97" s="23" t="n">
        <x:v>5</x:v>
      </x:c>
      <x:c r="D97" s="23" t="n">
        <x:v>2</x:v>
      </x:c>
      <x:c r="E97" s="23" t="n">
        <x:v>2</x:v>
      </x:c>
      <x:c r="F97" s="23" t="n">
        <x:v>4</x:v>
      </x:c>
      <x:c r="G97" s="23" t="n">
        <x:v>4</x:v>
      </x:c>
      <x:c r="H97" s="23" t="n">
        <x:v>2</x:v>
      </x:c>
      <x:c r="I97" s="23" t="n">
        <x:v>2</x:v>
      </x:c>
      <x:c r="J97" s="23" t="n">
        <x:v>2</x:v>
      </x:c>
      <x:c r="K97" s="23" t="n">
        <x:v>6</x:v>
      </x:c>
      <x:c r="L97" s="23" t="n">
        <x:v>4</x:v>
      </x:c>
      <x:c r="M97" s="23" t="n">
        <x:v>2</x:v>
      </x:c>
      <x:c r="N97" s="23" t="n">
        <x:v>5</x:v>
      </x:c>
      <x:c r="O97" s="23" t="n">
        <x:v>1</x:v>
      </x:c>
      <x:c r="P97" s="23" t="n">
        <x:v>3</x:v>
      </x:c>
      <x:c r="Q97" s="23" t="n">
        <x:v>4</x:v>
      </x:c>
      <x:c r="R97" s="23" t="n">
        <x:v>9</x:v>
      </x:c>
    </x:row>
    <x:row r="98">
      <x:c r="A98" s="15" t="n">
        <x:v>43101</x:v>
      </x:c>
      <x:c r="B98" s="23"/>
      <x:c r="C98" s="23" t="n">
        <x:v>5</x:v>
      </x:c>
      <x:c r="D98" s="23" t="n">
        <x:v>2</x:v>
      </x:c>
      <x:c r="E98" s="23" t="n">
        <x:v>2</x:v>
      </x:c>
      <x:c r="F98" s="23" t="n">
        <x:v>4</x:v>
      </x:c>
      <x:c r="G98" s="23" t="n">
        <x:v>4</x:v>
      </x:c>
      <x:c r="H98" s="23" t="n">
        <x:v>2</x:v>
      </x:c>
      <x:c r="I98" s="23" t="n">
        <x:v>2</x:v>
      </x:c>
      <x:c r="J98" s="23" t="n">
        <x:v>2</x:v>
      </x:c>
      <x:c r="K98" s="23" t="n">
        <x:v>6</x:v>
      </x:c>
      <x:c r="L98" s="23" t="n">
        <x:v>4</x:v>
      </x:c>
      <x:c r="M98" s="23" t="n">
        <x:v>2</x:v>
      </x:c>
      <x:c r="N98" s="23" t="n">
        <x:v>4</x:v>
      </x:c>
      <x:c r="O98" s="23" t="n">
        <x:v>1</x:v>
      </x:c>
      <x:c r="P98" s="23" t="n">
        <x:v>3</x:v>
      </x:c>
      <x:c r="Q98" s="23" t="n">
        <x:v>4</x:v>
      </x:c>
      <x:c r="R98" s="23" t="n">
        <x:v>8</x:v>
      </x:c>
    </x:row>
    <x:row r="99">
      <x:c r="A99" s="15" t="n">
        <x:v>43132</x:v>
      </x:c>
      <x:c r="B99" s="23"/>
      <x:c r="C99" s="23" t="n">
        <x:v>5</x:v>
      </x:c>
      <x:c r="D99" s="23" t="n">
        <x:v>2</x:v>
      </x:c>
      <x:c r="E99" s="23" t="n">
        <x:v>2</x:v>
      </x:c>
      <x:c r="F99" s="23" t="n">
        <x:v>4</x:v>
      </x:c>
      <x:c r="G99" s="23" t="n">
        <x:v>4</x:v>
      </x:c>
      <x:c r="H99" s="23" t="n">
        <x:v>2</x:v>
      </x:c>
      <x:c r="I99" s="23" t="n">
        <x:v>2</x:v>
      </x:c>
      <x:c r="J99" s="23" t="n">
        <x:v>2</x:v>
      </x:c>
      <x:c r="K99" s="23" t="n">
        <x:v>6</x:v>
      </x:c>
      <x:c r="L99" s="23" t="n">
        <x:v>4</x:v>
      </x:c>
      <x:c r="M99" s="23" t="n">
        <x:v>3</x:v>
      </x:c>
      <x:c r="N99" s="23" t="n">
        <x:v>4</x:v>
      </x:c>
      <x:c r="O99" s="23" t="n">
        <x:v>1</x:v>
      </x:c>
      <x:c r="P99" s="23" t="n">
        <x:v>3</x:v>
      </x:c>
      <x:c r="Q99" s="23" t="n">
        <x:v>4</x:v>
      </x:c>
      <x:c r="R99" s="23" t="n">
        <x:v>8</x:v>
      </x:c>
    </x:row>
    <x:row r="100">
      <x:c r="A100" s="15" t="n">
        <x:v>43160</x:v>
      </x:c>
      <x:c r="B100" s="23"/>
      <x:c r="C100" s="23" t="n">
        <x:v>5</x:v>
      </x:c>
      <x:c r="D100" s="23" t="n">
        <x:v>2</x:v>
      </x:c>
      <x:c r="E100" s="23" t="n">
        <x:v>2</x:v>
      </x:c>
      <x:c r="F100" s="23" t="n">
        <x:v>4</x:v>
      </x:c>
      <x:c r="G100" s="23" t="n">
        <x:v>4</x:v>
      </x:c>
      <x:c r="H100" s="23" t="n">
        <x:v>3</x:v>
      </x:c>
      <x:c r="I100" s="23" t="n">
        <x:v>2</x:v>
      </x:c>
      <x:c r="J100" s="23" t="n">
        <x:v>3</x:v>
      </x:c>
      <x:c r="K100" s="23" t="n">
        <x:v>6</x:v>
      </x:c>
      <x:c r="L100" s="23" t="n">
        <x:v>4</x:v>
      </x:c>
      <x:c r="M100" s="23" t="n">
        <x:v>3</x:v>
      </x:c>
      <x:c r="N100" s="23" t="n">
        <x:v>6</x:v>
      </x:c>
      <x:c r="O100" s="23" t="n">
        <x:v>1</x:v>
      </x:c>
      <x:c r="P100" s="23" t="n">
        <x:v>3</x:v>
      </x:c>
      <x:c r="Q100" s="23" t="n">
        <x:v>4</x:v>
      </x:c>
      <x:c r="R100" s="23" t="n">
        <x:v>9</x:v>
      </x:c>
    </x:row>
    <x:row r="101">
      <x:c r="A101" s="15" t="n">
        <x:v>43191</x:v>
      </x:c>
      <x:c r="B101" s="23"/>
      <x:c r="C101" s="23" t="n">
        <x:v>5</x:v>
      </x:c>
      <x:c r="D101" s="23" t="n">
        <x:v>2</x:v>
      </x:c>
      <x:c r="E101" s="23" t="n">
        <x:v>2</x:v>
      </x:c>
      <x:c r="F101" s="23" t="n">
        <x:v>4</x:v>
      </x:c>
      <x:c r="G101" s="23" t="n">
        <x:v>4</x:v>
      </x:c>
      <x:c r="H101" s="23" t="n">
        <x:v>3</x:v>
      </x:c>
      <x:c r="I101" s="23" t="n">
        <x:v>2</x:v>
      </x:c>
      <x:c r="J101" s="23" t="n">
        <x:v>3</x:v>
      </x:c>
      <x:c r="K101" s="23" t="n">
        <x:v>5</x:v>
      </x:c>
      <x:c r="L101" s="23" t="n">
        <x:v>4</x:v>
      </x:c>
      <x:c r="M101" s="23" t="n">
        <x:v>3</x:v>
      </x:c>
      <x:c r="N101" s="23" t="n">
        <x:v>6</x:v>
      </x:c>
      <x:c r="O101" s="23" t="n">
        <x:v>2</x:v>
      </x:c>
      <x:c r="P101" s="23" t="n">
        <x:v>3</x:v>
      </x:c>
      <x:c r="Q101" s="23" t="n">
        <x:v>4</x:v>
      </x:c>
      <x:c r="R101" s="23" t="n">
        <x:v>8</x:v>
      </x:c>
    </x:row>
    <x:row r="102">
      <x:c r="A102" s="15" t="n">
        <x:v>43221</x:v>
      </x:c>
      <x:c r="B102" s="23"/>
      <x:c r="C102" s="23" t="n">
        <x:v>5</x:v>
      </x:c>
      <x:c r="D102" s="23" t="n">
        <x:v>2</x:v>
      </x:c>
      <x:c r="E102" s="23" t="n">
        <x:v>2</x:v>
      </x:c>
      <x:c r="F102" s="23" t="n">
        <x:v>4</x:v>
      </x:c>
      <x:c r="G102" s="23" t="n">
        <x:v>4</x:v>
      </x:c>
      <x:c r="H102" s="23" t="n">
        <x:v>3</x:v>
      </x:c>
      <x:c r="I102" s="23" t="n">
        <x:v>2</x:v>
      </x:c>
      <x:c r="J102" s="23" t="n">
        <x:v>3</x:v>
      </x:c>
      <x:c r="K102" s="23" t="n">
        <x:v>5</x:v>
      </x:c>
      <x:c r="L102" s="23" t="n">
        <x:v>4</x:v>
      </x:c>
      <x:c r="M102" s="23" t="n">
        <x:v>3</x:v>
      </x:c>
      <x:c r="N102" s="23" t="n">
        <x:v>6</x:v>
      </x:c>
      <x:c r="O102" s="23" t="n">
        <x:v>2</x:v>
      </x:c>
      <x:c r="P102" s="23" t="n">
        <x:v>3</x:v>
      </x:c>
      <x:c r="Q102" s="23" t="n">
        <x:v>4</x:v>
      </x:c>
      <x:c r="R102" s="23" t="n">
        <x:v>8</x:v>
      </x:c>
    </x:row>
    <x:row r="103">
      <x:c r="A103" s="15" t="n">
        <x:v>43252</x:v>
      </x:c>
      <x:c r="B103" s="23"/>
      <x:c r="C103" s="23" t="n">
        <x:v>5</x:v>
      </x:c>
      <x:c r="D103" s="23" t="n">
        <x:v>2</x:v>
      </x:c>
      <x:c r="E103" s="23" t="n">
        <x:v>2</x:v>
      </x:c>
      <x:c r="F103" s="23" t="n">
        <x:v>4</x:v>
      </x:c>
      <x:c r="G103" s="23" t="n">
        <x:v>4</x:v>
      </x:c>
      <x:c r="H103" s="23" t="n">
        <x:v>3</x:v>
      </x:c>
      <x:c r="I103" s="23" t="n">
        <x:v>2</x:v>
      </x:c>
      <x:c r="J103" s="23" t="n">
        <x:v>3</x:v>
      </x:c>
      <x:c r="K103" s="23" t="n">
        <x:v>5</x:v>
      </x:c>
      <x:c r="L103" s="23" t="n">
        <x:v>4</x:v>
      </x:c>
      <x:c r="M103" s="23" t="n">
        <x:v>3</x:v>
      </x:c>
      <x:c r="N103" s="23" t="n">
        <x:v>6</x:v>
      </x:c>
      <x:c r="O103" s="23" t="n">
        <x:v>2</x:v>
      </x:c>
      <x:c r="P103" s="23" t="n">
        <x:v>3</x:v>
      </x:c>
      <x:c r="Q103" s="23" t="n">
        <x:v>4</x:v>
      </x:c>
      <x:c r="R103" s="23" t="n">
        <x:v>8</x:v>
      </x:c>
    </x:row>
    <x:row r="104">
      <x:c r="A104" s="15" t="n">
        <x:v>43282</x:v>
      </x:c>
      <x:c r="B104" s="23"/>
      <x:c r="C104" s="23" t="n">
        <x:v>5</x:v>
      </x:c>
      <x:c r="D104" s="23" t="n">
        <x:v>2</x:v>
      </x:c>
      <x:c r="E104" s="23" t="n">
        <x:v>2</x:v>
      </x:c>
      <x:c r="F104" s="23" t="n">
        <x:v>4</x:v>
      </x:c>
      <x:c r="G104" s="23" t="n">
        <x:v>4</x:v>
      </x:c>
      <x:c r="H104" s="23" t="n">
        <x:v>3</x:v>
      </x:c>
      <x:c r="I104" s="23" t="n">
        <x:v>2</x:v>
      </x:c>
      <x:c r="J104" s="23" t="n">
        <x:v>3</x:v>
      </x:c>
      <x:c r="K104" s="23" t="n">
        <x:v>5</x:v>
      </x:c>
      <x:c r="L104" s="23" t="n">
        <x:v>4</x:v>
      </x:c>
      <x:c r="M104" s="23" t="n">
        <x:v>3</x:v>
      </x:c>
      <x:c r="N104" s="23" t="n">
        <x:v>6</x:v>
      </x:c>
      <x:c r="O104" s="23" t="n">
        <x:v>2</x:v>
      </x:c>
      <x:c r="P104" s="23" t="n">
        <x:v>3</x:v>
      </x:c>
      <x:c r="Q104" s="23" t="n">
        <x:v>4</x:v>
      </x:c>
      <x:c r="R104" s="23" t="n">
        <x:v>8</x:v>
      </x:c>
    </x:row>
    <x:row r="105">
      <x:c r="A105" s="15" t="n">
        <x:v>43313</x:v>
      </x:c>
      <x:c r="B105" s="23"/>
      <x:c r="C105" s="23" t="n">
        <x:v>5</x:v>
      </x:c>
      <x:c r="D105" s="23" t="n">
        <x:v>2</x:v>
      </x:c>
      <x:c r="E105" s="23" t="n">
        <x:v>2</x:v>
      </x:c>
      <x:c r="F105" s="23" t="n">
        <x:v>4</x:v>
      </x:c>
      <x:c r="G105" s="23" t="n">
        <x:v>4</x:v>
      </x:c>
      <x:c r="H105" s="23" t="n">
        <x:v>3</x:v>
      </x:c>
      <x:c r="I105" s="23" t="n">
        <x:v>2</x:v>
      </x:c>
      <x:c r="J105" s="23" t="n">
        <x:v>3</x:v>
      </x:c>
      <x:c r="K105" s="23" t="n">
        <x:v>5</x:v>
      </x:c>
      <x:c r="L105" s="23" t="n">
        <x:v>4</x:v>
      </x:c>
      <x:c r="M105" s="23" t="n">
        <x:v>3</x:v>
      </x:c>
      <x:c r="N105" s="23" t="n">
        <x:v>8</x:v>
      </x:c>
      <x:c r="O105" s="23" t="n">
        <x:v>2</x:v>
      </x:c>
      <x:c r="P105" s="23" t="n">
        <x:v>3</x:v>
      </x:c>
      <x:c r="Q105" s="23" t="n">
        <x:v>5</x:v>
      </x:c>
      <x:c r="R105" s="23" t="n">
        <x:v>8</x:v>
      </x:c>
    </x:row>
    <x:row r="106">
      <x:c r="A106" s="15" t="n">
        <x:v>43344</x:v>
      </x:c>
      <x:c r="B106" s="23"/>
      <x:c r="C106" s="23" t="n">
        <x:v>5</x:v>
      </x:c>
      <x:c r="D106" s="23" t="n">
        <x:v>2</x:v>
      </x:c>
      <x:c r="E106" s="23" t="n">
        <x:v>2</x:v>
      </x:c>
      <x:c r="F106" s="23" t="n">
        <x:v>4</x:v>
      </x:c>
      <x:c r="G106" s="23" t="n">
        <x:v>4</x:v>
      </x:c>
      <x:c r="H106" s="23" t="n">
        <x:v>3</x:v>
      </x:c>
      <x:c r="I106" s="23" t="n">
        <x:v>2</x:v>
      </x:c>
      <x:c r="J106" s="23" t="n">
        <x:v>3</x:v>
      </x:c>
      <x:c r="K106" s="23" t="n">
        <x:v>5</x:v>
      </x:c>
      <x:c r="L106" s="23" t="n">
        <x:v>4</x:v>
      </x:c>
      <x:c r="M106" s="23" t="n">
        <x:v>3</x:v>
      </x:c>
      <x:c r="N106" s="23" t="n">
        <x:v>8</x:v>
      </x:c>
      <x:c r="O106" s="23" t="n">
        <x:v>1</x:v>
      </x:c>
      <x:c r="P106" s="23" t="n">
        <x:v>3</x:v>
      </x:c>
      <x:c r="Q106" s="23" t="n">
        <x:v>5</x:v>
      </x:c>
      <x:c r="R106" s="23" t="n">
        <x:v>8</x:v>
      </x:c>
    </x:row>
    <x:row r="107">
      <x:c r="A107" s="15" t="n">
        <x:v>43374</x:v>
      </x:c>
      <x:c r="B107" s="23"/>
      <x:c r="C107" s="23" t="n">
        <x:v>5</x:v>
      </x:c>
      <x:c r="D107" s="23" t="n">
        <x:v>2</x:v>
      </x:c>
      <x:c r="E107" s="23" t="n">
        <x:v>2</x:v>
      </x:c>
      <x:c r="F107" s="23" t="n">
        <x:v>4</x:v>
      </x:c>
      <x:c r="G107" s="23" t="n">
        <x:v>4</x:v>
      </x:c>
      <x:c r="H107" s="23" t="n">
        <x:v>3</x:v>
      </x:c>
      <x:c r="I107" s="23" t="n">
        <x:v>2</x:v>
      </x:c>
      <x:c r="J107" s="23" t="n">
        <x:v>3</x:v>
      </x:c>
      <x:c r="K107" s="23" t="n">
        <x:v>5</x:v>
      </x:c>
      <x:c r="L107" s="23" t="n">
        <x:v>4</x:v>
      </x:c>
      <x:c r="M107" s="23" t="n">
        <x:v>3</x:v>
      </x:c>
      <x:c r="N107" s="23" t="n">
        <x:v>8</x:v>
      </x:c>
      <x:c r="O107" s="23" t="n">
        <x:v>1</x:v>
      </x:c>
      <x:c r="P107" s="23" t="n">
        <x:v>3</x:v>
      </x:c>
      <x:c r="Q107" s="23" t="n">
        <x:v>5</x:v>
      </x:c>
      <x:c r="R107" s="23" t="n">
        <x:v>8</x:v>
      </x:c>
    </x:row>
    <x:row r="108">
      <x:c r="A108" s="15" t="n">
        <x:v>43405</x:v>
      </x:c>
      <x:c r="B108" s="23"/>
      <x:c r="C108" s="23" t="n">
        <x:v>5</x:v>
      </x:c>
      <x:c r="D108" s="23" t="n">
        <x:v>2</x:v>
      </x:c>
      <x:c r="E108" s="23" t="n">
        <x:v>2</x:v>
      </x:c>
      <x:c r="F108" s="23" t="n">
        <x:v>4</x:v>
      </x:c>
      <x:c r="G108" s="23" t="n">
        <x:v>4</x:v>
      </x:c>
      <x:c r="H108" s="23" t="n">
        <x:v>3</x:v>
      </x:c>
      <x:c r="I108" s="23" t="n">
        <x:v>2</x:v>
      </x:c>
      <x:c r="J108" s="23" t="n">
        <x:v>3</x:v>
      </x:c>
      <x:c r="K108" s="23" t="n">
        <x:v>5</x:v>
      </x:c>
      <x:c r="L108" s="23" t="n">
        <x:v>4</x:v>
      </x:c>
      <x:c r="M108" s="23" t="n">
        <x:v>3</x:v>
      </x:c>
      <x:c r="N108" s="23" t="n">
        <x:v>7</x:v>
      </x:c>
      <x:c r="O108" s="23" t="n">
        <x:v>1</x:v>
      </x:c>
      <x:c r="P108" s="23" t="n">
        <x:v>3</x:v>
      </x:c>
      <x:c r="Q108" s="23" t="n">
        <x:v>5</x:v>
      </x:c>
      <x:c r="R108" s="23" t="n">
        <x:v>8</x:v>
      </x:c>
    </x:row>
    <x:row r="109">
      <x:c r="A109" s="15" t="n">
        <x:v>43435</x:v>
      </x:c>
      <x:c r="B109" s="23"/>
      <x:c r="C109" s="23" t="n">
        <x:v>5</x:v>
      </x:c>
      <x:c r="D109" s="23" t="n">
        <x:v>2</x:v>
      </x:c>
      <x:c r="E109" s="23" t="n">
        <x:v>2</x:v>
      </x:c>
      <x:c r="F109" s="23" t="n">
        <x:v>4</x:v>
      </x:c>
      <x:c r="G109" s="23" t="n">
        <x:v>4</x:v>
      </x:c>
      <x:c r="H109" s="23" t="n">
        <x:v>3</x:v>
      </x:c>
      <x:c r="I109" s="23" t="n">
        <x:v>2</x:v>
      </x:c>
      <x:c r="J109" s="23" t="n">
        <x:v>3</x:v>
      </x:c>
      <x:c r="K109" s="23" t="n">
        <x:v>5</x:v>
      </x:c>
      <x:c r="L109" s="23" t="n">
        <x:v>4</x:v>
      </x:c>
      <x:c r="M109" s="23" t="n">
        <x:v>3</x:v>
      </x:c>
      <x:c r="N109" s="23" t="n">
        <x:v>7</x:v>
      </x:c>
      <x:c r="O109" s="23" t="n">
        <x:v>1</x:v>
      </x:c>
      <x:c r="P109" s="23" t="n">
        <x:v>3</x:v>
      </x:c>
      <x:c r="Q109" s="23" t="n">
        <x:v>5</x:v>
      </x:c>
      <x:c r="R109" s="23" t="n">
        <x:v>8</x:v>
      </x:c>
    </x:row>
    <x:row r="110">
      <x:c r="A110" s="15" t="n">
        <x:v>43466</x:v>
      </x:c>
      <x:c r="B110" s="23"/>
      <x:c r="C110" s="23" t="n">
        <x:v>5</x:v>
      </x:c>
      <x:c r="D110" s="23" t="n">
        <x:v>2</x:v>
      </x:c>
      <x:c r="E110" s="23" t="n">
        <x:v>2</x:v>
      </x:c>
      <x:c r="F110" s="23" t="n">
        <x:v>4</x:v>
      </x:c>
      <x:c r="G110" s="23" t="n">
        <x:v>4</x:v>
      </x:c>
      <x:c r="H110" s="23" t="n">
        <x:v>3</x:v>
      </x:c>
      <x:c r="I110" s="23" t="n">
        <x:v>2</x:v>
      </x:c>
      <x:c r="J110" s="23" t="n">
        <x:v>3</x:v>
      </x:c>
      <x:c r="K110" s="23" t="n">
        <x:v>4</x:v>
      </x:c>
      <x:c r="L110" s="23" t="n">
        <x:v>4</x:v>
      </x:c>
      <x:c r="M110" s="23" t="n">
        <x:v>2</x:v>
      </x:c>
      <x:c r="N110" s="23" t="n">
        <x:v>7</x:v>
      </x:c>
      <x:c r="O110" s="23" t="n">
        <x:v>1</x:v>
      </x:c>
      <x:c r="P110" s="23" t="n">
        <x:v>3</x:v>
      </x:c>
      <x:c r="Q110" s="23" t="n">
        <x:v>5</x:v>
      </x:c>
      <x:c r="R110" s="23" t="n">
        <x:v>7</x:v>
      </x:c>
    </x:row>
    <x:row r="111">
      <x:c r="A111" s="15" t="n">
        <x:v>43497</x:v>
      </x:c>
      <x:c r="B111" s="23"/>
      <x:c r="C111" s="23" t="n">
        <x:v>5</x:v>
      </x:c>
      <x:c r="D111" s="23" t="n">
        <x:v>2</x:v>
      </x:c>
      <x:c r="E111" s="23" t="n">
        <x:v>2</x:v>
      </x:c>
      <x:c r="F111" s="23" t="n">
        <x:v>3</x:v>
      </x:c>
      <x:c r="G111" s="23" t="n">
        <x:v>4</x:v>
      </x:c>
      <x:c r="H111" s="23" t="n">
        <x:v>3</x:v>
      </x:c>
      <x:c r="I111" s="23" t="n">
        <x:v>2</x:v>
      </x:c>
      <x:c r="J111" s="23" t="n">
        <x:v>3</x:v>
      </x:c>
      <x:c r="K111" s="23" t="n">
        <x:v>4</x:v>
      </x:c>
      <x:c r="L111" s="23" t="n">
        <x:v>4</x:v>
      </x:c>
      <x:c r="M111" s="23" t="n">
        <x:v>2</x:v>
      </x:c>
      <x:c r="N111" s="23" t="n">
        <x:v>8</x:v>
      </x:c>
      <x:c r="O111" s="23" t="n">
        <x:v>1</x:v>
      </x:c>
      <x:c r="P111" s="23" t="n">
        <x:v>3</x:v>
      </x:c>
      <x:c r="Q111" s="23" t="n">
        <x:v>5</x:v>
      </x:c>
      <x:c r="R111" s="23" t="n">
        <x:v>7</x:v>
      </x:c>
    </x:row>
    <x:row r="112">
      <x:c r="A112" s="15" t="n">
        <x:v>43525</x:v>
      </x:c>
      <x:c r="B112" s="23"/>
      <x:c r="C112" s="23" t="n">
        <x:v>5</x:v>
      </x:c>
      <x:c r="D112" s="23" t="n">
        <x:v>2</x:v>
      </x:c>
      <x:c r="E112" s="23" t="n">
        <x:v>2</x:v>
      </x:c>
      <x:c r="F112" s="23" t="n">
        <x:v>3</x:v>
      </x:c>
      <x:c r="G112" s="23" t="n">
        <x:v>4</x:v>
      </x:c>
      <x:c r="H112" s="23" t="n">
        <x:v>3</x:v>
      </x:c>
      <x:c r="I112" s="23" t="n">
        <x:v>2</x:v>
      </x:c>
      <x:c r="J112" s="23" t="n">
        <x:v>3</x:v>
      </x:c>
      <x:c r="K112" s="23" t="n">
        <x:v>5</x:v>
      </x:c>
      <x:c r="L112" s="23" t="n">
        <x:v>4</x:v>
      </x:c>
      <x:c r="M112" s="23" t="n">
        <x:v>2</x:v>
      </x:c>
      <x:c r="N112" s="23" t="n">
        <x:v>8</x:v>
      </x:c>
      <x:c r="O112" s="23" t="n">
        <x:v>1</x:v>
      </x:c>
      <x:c r="P112" s="23" t="n">
        <x:v>3</x:v>
      </x:c>
      <x:c r="Q112" s="23" t="n">
        <x:v>5</x:v>
      </x:c>
      <x:c r="R112" s="23" t="n">
        <x:v>7</x:v>
      </x:c>
    </x:row>
    <x:row r="113">
      <x:c r="A113" s="15" t="n">
        <x:v>43556</x:v>
      </x:c>
      <x:c r="B113" s="23"/>
      <x:c r="C113" s="23" t="n">
        <x:v>5</x:v>
      </x:c>
      <x:c r="D113" s="23" t="n">
        <x:v>2</x:v>
      </x:c>
      <x:c r="E113" s="23" t="n">
        <x:v>2</x:v>
      </x:c>
      <x:c r="F113" s="23" t="n">
        <x:v>3</x:v>
      </x:c>
      <x:c r="G113" s="23" t="n">
        <x:v>4</x:v>
      </x:c>
      <x:c r="H113" s="23" t="n">
        <x:v>3</x:v>
      </x:c>
      <x:c r="I113" s="23" t="n">
        <x:v>2</x:v>
      </x:c>
      <x:c r="J113" s="23" t="n">
        <x:v>4</x:v>
      </x:c>
      <x:c r="K113" s="23" t="n">
        <x:v>4</x:v>
      </x:c>
      <x:c r="L113" s="23" t="n">
        <x:v>5</x:v>
      </x:c>
      <x:c r="M113" s="23" t="n">
        <x:v>2</x:v>
      </x:c>
      <x:c r="N113" s="23" t="n">
        <x:v>8</x:v>
      </x:c>
      <x:c r="O113" s="23" t="n">
        <x:v>1</x:v>
      </x:c>
      <x:c r="P113" s="23" t="n">
        <x:v>3</x:v>
      </x:c>
      <x:c r="Q113" s="23" t="n">
        <x:v>5</x:v>
      </x:c>
      <x:c r="R113" s="23" t="n">
        <x:v>7</x:v>
      </x:c>
    </x:row>
    <x:row r="114">
      <x:c r="A114" s="15" t="n">
        <x:v>43586</x:v>
      </x:c>
      <x:c r="B114" s="23"/>
      <x:c r="C114" s="23" t="n">
        <x:v>5</x:v>
      </x:c>
      <x:c r="D114" s="23" t="n">
        <x:v>2</x:v>
      </x:c>
      <x:c r="E114" s="23" t="n">
        <x:v>2</x:v>
      </x:c>
      <x:c r="F114" s="23" t="n">
        <x:v>3</x:v>
      </x:c>
      <x:c r="G114" s="23" t="n">
        <x:v>4</x:v>
      </x:c>
      <x:c r="H114" s="23" t="n">
        <x:v>3</x:v>
      </x:c>
      <x:c r="I114" s="23" t="n">
        <x:v>2</x:v>
      </x:c>
      <x:c r="J114" s="23" t="n">
        <x:v>3</x:v>
      </x:c>
      <x:c r="K114" s="23" t="n">
        <x:v>4</x:v>
      </x:c>
      <x:c r="L114" s="23" t="n">
        <x:v>5</x:v>
      </x:c>
      <x:c r="M114" s="23" t="n">
        <x:v>2</x:v>
      </x:c>
      <x:c r="N114" s="23" t="n">
        <x:v>8</x:v>
      </x:c>
      <x:c r="O114" s="23" t="n">
        <x:v>1</x:v>
      </x:c>
      <x:c r="P114" s="23" t="n">
        <x:v>3</x:v>
      </x:c>
      <x:c r="Q114" s="23" t="n">
        <x:v>5</x:v>
      </x:c>
      <x:c r="R114" s="23" t="n">
        <x:v>7</x:v>
      </x:c>
    </x:row>
    <x:row r="115">
      <x:c r="A115" s="15" t="n">
        <x:v>43617</x:v>
      </x:c>
      <x:c r="B115" s="23"/>
      <x:c r="C115" s="23" t="n">
        <x:v>5</x:v>
      </x:c>
      <x:c r="D115" s="23" t="n">
        <x:v>2</x:v>
      </x:c>
      <x:c r="E115" s="23" t="n">
        <x:v>2</x:v>
      </x:c>
      <x:c r="F115" s="23" t="n">
        <x:v>3</x:v>
      </x:c>
      <x:c r="G115" s="23" t="n">
        <x:v>4</x:v>
      </x:c>
      <x:c r="H115" s="23" t="n">
        <x:v>3</x:v>
      </x:c>
      <x:c r="I115" s="23" t="n">
        <x:v>2</x:v>
      </x:c>
      <x:c r="J115" s="23" t="n">
        <x:v>3</x:v>
      </x:c>
      <x:c r="K115" s="23" t="n">
        <x:v>5</x:v>
      </x:c>
      <x:c r="L115" s="23" t="n">
        <x:v>5</x:v>
      </x:c>
      <x:c r="M115" s="23" t="n">
        <x:v>2</x:v>
      </x:c>
      <x:c r="N115" s="23" t="n">
        <x:v>8</x:v>
      </x:c>
      <x:c r="O115" s="23" t="n">
        <x:v>1</x:v>
      </x:c>
      <x:c r="P115" s="23" t="n">
        <x:v>3</x:v>
      </x:c>
      <x:c r="Q115" s="23" t="n">
        <x:v>5</x:v>
      </x:c>
      <x:c r="R115" s="23" t="n">
        <x:v>7</x:v>
      </x:c>
    </x:row>
    <x:row r="116">
      <x:c r="A116" s="15" t="n">
        <x:v>43647</x:v>
      </x:c>
      <x:c r="B116" s="23"/>
      <x:c r="C116" s="23" t="n">
        <x:v>5</x:v>
      </x:c>
      <x:c r="D116" s="23" t="n">
        <x:v>2</x:v>
      </x:c>
      <x:c r="E116" s="23" t="n">
        <x:v>2</x:v>
      </x:c>
      <x:c r="F116" s="23" t="n">
        <x:v>3</x:v>
      </x:c>
      <x:c r="G116" s="23" t="n">
        <x:v>4</x:v>
      </x:c>
      <x:c r="H116" s="23" t="n">
        <x:v>3</x:v>
      </x:c>
      <x:c r="I116" s="23" t="n">
        <x:v>2</x:v>
      </x:c>
      <x:c r="J116" s="23" t="n">
        <x:v>3</x:v>
      </x:c>
      <x:c r="K116" s="23" t="n">
        <x:v>5</x:v>
      </x:c>
      <x:c r="L116" s="23" t="n">
        <x:v>5</x:v>
      </x:c>
      <x:c r="M116" s="23" t="n">
        <x:v>2</x:v>
      </x:c>
      <x:c r="N116" s="23" t="n">
        <x:v>8</x:v>
      </x:c>
      <x:c r="O116" s="23" t="n">
        <x:v>1</x:v>
      </x:c>
      <x:c r="P116" s="23" t="n">
        <x:v>3</x:v>
      </x:c>
      <x:c r="Q116" s="23" t="n">
        <x:v>5</x:v>
      </x:c>
      <x:c r="R116" s="23" t="n">
        <x:v>7</x:v>
      </x:c>
    </x:row>
    <x:row r="117">
      <x:c r="A117" s="15" t="n">
        <x:v>43678</x:v>
      </x:c>
      <x:c r="B117" s="23"/>
      <x:c r="C117" s="23" t="n">
        <x:v>5</x:v>
      </x:c>
      <x:c r="D117" s="23" t="n">
        <x:v>2</x:v>
      </x:c>
      <x:c r="E117" s="23" t="n">
        <x:v>2</x:v>
      </x:c>
      <x:c r="F117" s="23" t="n">
        <x:v>5</x:v>
      </x:c>
      <x:c r="G117" s="23" t="n">
        <x:v>4</x:v>
      </x:c>
      <x:c r="H117" s="23" t="n">
        <x:v>3</x:v>
      </x:c>
      <x:c r="I117" s="23" t="n">
        <x:v>2</x:v>
      </x:c>
      <x:c r="J117" s="23" t="n">
        <x:v>3</x:v>
      </x:c>
      <x:c r="K117" s="23" t="n">
        <x:v>5</x:v>
      </x:c>
      <x:c r="L117" s="23" t="n">
        <x:v>5</x:v>
      </x:c>
      <x:c r="M117" s="23" t="n">
        <x:v>2</x:v>
      </x:c>
      <x:c r="N117" s="23" t="n">
        <x:v>8</x:v>
      </x:c>
      <x:c r="O117" s="23" t="n">
        <x:v>1</x:v>
      </x:c>
      <x:c r="P117" s="23" t="n">
        <x:v>3</x:v>
      </x:c>
      <x:c r="Q117" s="23" t="n">
        <x:v>6</x:v>
      </x:c>
      <x:c r="R117" s="23" t="n">
        <x:v>7</x:v>
      </x:c>
    </x:row>
    <x:row r="118">
      <x:c r="A118" s="15" t="n">
        <x:v>43709</x:v>
      </x:c>
      <x:c r="B118" s="23"/>
      <x:c r="C118" s="23" t="n">
        <x:v>5</x:v>
      </x:c>
      <x:c r="D118" s="23" t="n">
        <x:v>2</x:v>
      </x:c>
      <x:c r="E118" s="23" t="n">
        <x:v>2</x:v>
      </x:c>
      <x:c r="F118" s="23" t="n">
        <x:v>5</x:v>
      </x:c>
      <x:c r="G118" s="23" t="n">
        <x:v>4</x:v>
      </x:c>
      <x:c r="H118" s="23" t="n">
        <x:v>3</x:v>
      </x:c>
      <x:c r="I118" s="23" t="n">
        <x:v>2</x:v>
      </x:c>
      <x:c r="J118" s="23" t="n">
        <x:v>3</x:v>
      </x:c>
      <x:c r="K118" s="23" t="n">
        <x:v>5</x:v>
      </x:c>
      <x:c r="L118" s="23" t="n">
        <x:v>5</x:v>
      </x:c>
      <x:c r="M118" s="23" t="n">
        <x:v>2</x:v>
      </x:c>
      <x:c r="N118" s="23" t="n">
        <x:v>8</x:v>
      </x:c>
      <x:c r="O118" s="23" t="n">
        <x:v>1</x:v>
      </x:c>
      <x:c r="P118" s="23" t="n">
        <x:v>3</x:v>
      </x:c>
      <x:c r="Q118" s="23" t="n">
        <x:v>6</x:v>
      </x:c>
      <x:c r="R118" s="23" t="n">
        <x:v>7</x:v>
      </x:c>
    </x:row>
    <x:row r="119">
      <x:c r="A119" s="15" t="n">
        <x:v>43739</x:v>
      </x:c>
      <x:c r="B119" s="23"/>
      <x:c r="C119" s="23" t="n">
        <x:v>5</x:v>
      </x:c>
      <x:c r="D119" s="23" t="n">
        <x:v>2</x:v>
      </x:c>
      <x:c r="E119" s="23" t="n">
        <x:v>2</x:v>
      </x:c>
      <x:c r="F119" s="23" t="n">
        <x:v>5</x:v>
      </x:c>
      <x:c r="G119" s="23" t="n">
        <x:v>4</x:v>
      </x:c>
      <x:c r="H119" s="23" t="n">
        <x:v>3</x:v>
      </x:c>
      <x:c r="I119" s="23" t="n">
        <x:v>2</x:v>
      </x:c>
      <x:c r="J119" s="23" t="n">
        <x:v>3</x:v>
      </x:c>
      <x:c r="K119" s="23" t="n">
        <x:v>5</x:v>
      </x:c>
      <x:c r="L119" s="23" t="n">
        <x:v>5</x:v>
      </x:c>
      <x:c r="M119" s="23" t="n">
        <x:v>2</x:v>
      </x:c>
      <x:c r="N119" s="23" t="n">
        <x:v>8</x:v>
      </x:c>
      <x:c r="O119" s="23" t="n">
        <x:v>1</x:v>
      </x:c>
      <x:c r="P119" s="23" t="n">
        <x:v>3</x:v>
      </x:c>
      <x:c r="Q119" s="23" t="n">
        <x:v>6</x:v>
      </x:c>
      <x:c r="R119" s="23" t="n">
        <x:v>7</x:v>
      </x:c>
    </x:row>
    <x:row r="120">
      <x:c r="A120" s="15" t="n">
        <x:v>43770</x:v>
      </x:c>
      <x:c r="B120" s="23"/>
      <x:c r="C120" s="23" t="n">
        <x:v>5</x:v>
      </x:c>
      <x:c r="D120" s="23" t="n">
        <x:v>2</x:v>
      </x:c>
      <x:c r="E120" s="23" t="n">
        <x:v>2</x:v>
      </x:c>
      <x:c r="F120" s="23" t="n">
        <x:v>5</x:v>
      </x:c>
      <x:c r="G120" s="23" t="n">
        <x:v>4</x:v>
      </x:c>
      <x:c r="H120" s="23" t="n">
        <x:v>3</x:v>
      </x:c>
      <x:c r="I120" s="23" t="n">
        <x:v>2</x:v>
      </x:c>
      <x:c r="J120" s="23" t="n">
        <x:v>3</x:v>
      </x:c>
      <x:c r="K120" s="23" t="n">
        <x:v>5</x:v>
      </x:c>
      <x:c r="L120" s="23" t="n">
        <x:v>5</x:v>
      </x:c>
      <x:c r="M120" s="23" t="n">
        <x:v>2</x:v>
      </x:c>
      <x:c r="N120" s="23" t="n">
        <x:v>8</x:v>
      </x:c>
      <x:c r="O120" s="23" t="n">
        <x:v>1</x:v>
      </x:c>
      <x:c r="P120" s="23" t="n">
        <x:v>3</x:v>
      </x:c>
      <x:c r="Q120" s="23" t="n">
        <x:v>6</x:v>
      </x:c>
      <x:c r="R120" s="23" t="n">
        <x:v>7</x:v>
      </x:c>
    </x:row>
    <x:row r="121">
      <x:c r="A121" s="15" t="n">
        <x:v>43800</x:v>
      </x:c>
      <x:c r="B121" s="23"/>
      <x:c r="C121" s="23" t="n">
        <x:v>6</x:v>
      </x:c>
      <x:c r="D121" s="23" t="n">
        <x:v>2</x:v>
      </x:c>
      <x:c r="E121" s="23" t="n">
        <x:v>2</x:v>
      </x:c>
      <x:c r="F121" s="23" t="n">
        <x:v>5</x:v>
      </x:c>
      <x:c r="G121" s="23" t="n">
        <x:v>4</x:v>
      </x:c>
      <x:c r="H121" s="23" t="n">
        <x:v>4</x:v>
      </x:c>
      <x:c r="I121" s="23" t="n">
        <x:v>2</x:v>
      </x:c>
      <x:c r="J121" s="23" t="n">
        <x:v>3</x:v>
      </x:c>
      <x:c r="K121" s="23" t="n">
        <x:v>5</x:v>
      </x:c>
      <x:c r="L121" s="23" t="n">
        <x:v>5</x:v>
      </x:c>
      <x:c r="M121" s="23" t="n">
        <x:v>2</x:v>
      </x:c>
      <x:c r="N121" s="23" t="n">
        <x:v>8</x:v>
      </x:c>
      <x:c r="O121" s="23" t="n">
        <x:v>1</x:v>
      </x:c>
      <x:c r="P121" s="23" t="n">
        <x:v>3</x:v>
      </x:c>
      <x:c r="Q121" s="23" t="n">
        <x:v>6</x:v>
      </x:c>
      <x:c r="R121" s="23" t="n">
        <x:v>7</x:v>
      </x:c>
    </x:row>
    <x:row r="122">
      <x:c r="A122" s="15" t="n">
        <x:v>43831</x:v>
      </x:c>
      <x:c r="B122" s="23"/>
      <x:c r="C122" s="23" t="n">
        <x:v>6</x:v>
      </x:c>
      <x:c r="D122" s="23" t="n">
        <x:v>2</x:v>
      </x:c>
      <x:c r="E122" s="23" t="n">
        <x:v>2</x:v>
      </x:c>
      <x:c r="F122" s="23" t="n">
        <x:v>5</x:v>
      </x:c>
      <x:c r="G122" s="23" t="n">
        <x:v>4</x:v>
      </x:c>
      <x:c r="H122" s="23" t="n">
        <x:v>4</x:v>
      </x:c>
      <x:c r="I122" s="23" t="n">
        <x:v>2</x:v>
      </x:c>
      <x:c r="J122" s="23" t="n">
        <x:v>3</x:v>
      </x:c>
      <x:c r="K122" s="23" t="n">
        <x:v>5</x:v>
      </x:c>
      <x:c r="L122" s="23" t="n">
        <x:v>5</x:v>
      </x:c>
      <x:c r="M122" s="23" t="n">
        <x:v>2</x:v>
      </x:c>
      <x:c r="N122" s="23" t="n">
        <x:v>8</x:v>
      </x:c>
      <x:c r="O122" s="23" t="n">
        <x:v>1</x:v>
      </x:c>
      <x:c r="P122" s="23" t="n">
        <x:v>3</x:v>
      </x:c>
      <x:c r="Q122" s="23" t="n">
        <x:v>6</x:v>
      </x:c>
      <x:c r="R122" s="23" t="n">
        <x:v>7</x:v>
      </x:c>
    </x:row>
    <x:row r="123">
      <x:c r="A123" s="15" t="n">
        <x:v>43862</x:v>
      </x:c>
      <x:c r="B123" s="23"/>
      <x:c r="C123" s="23" t="n">
        <x:v>6</x:v>
      </x:c>
      <x:c r="D123" s="23" t="n">
        <x:v>2</x:v>
      </x:c>
      <x:c r="E123" s="23" t="n">
        <x:v>2</x:v>
      </x:c>
      <x:c r="F123" s="23" t="n">
        <x:v>5</x:v>
      </x:c>
      <x:c r="G123" s="23" t="n">
        <x:v>4</x:v>
      </x:c>
      <x:c r="H123" s="23" t="n">
        <x:v>4</x:v>
      </x:c>
      <x:c r="I123" s="23" t="n">
        <x:v>2</x:v>
      </x:c>
      <x:c r="J123" s="23" t="n">
        <x:v>3</x:v>
      </x:c>
      <x:c r="K123" s="23" t="n">
        <x:v>5</x:v>
      </x:c>
      <x:c r="L123" s="23" t="n">
        <x:v>5</x:v>
      </x:c>
      <x:c r="M123" s="23" t="n">
        <x:v>2</x:v>
      </x:c>
      <x:c r="N123" s="23" t="n">
        <x:v>8</x:v>
      </x:c>
      <x:c r="O123" s="23" t="n">
        <x:v>1</x:v>
      </x:c>
      <x:c r="P123" s="23" t="n">
        <x:v>3</x:v>
      </x:c>
      <x:c r="Q123" s="23" t="n">
        <x:v>6</x:v>
      </x:c>
      <x:c r="R123" s="23" t="n">
        <x:v>7</x:v>
      </x:c>
    </x:row>
    <x:row r="124">
      <x:c r="A124" s="15" t="n">
        <x:v>43891</x:v>
      </x:c>
      <x:c r="B124" s="23"/>
      <x:c r="C124" s="23" t="n">
        <x:v>6</x:v>
      </x:c>
      <x:c r="D124" s="23" t="n">
        <x:v>2</x:v>
      </x:c>
      <x:c r="E124" s="23" t="n">
        <x:v>2</x:v>
      </x:c>
      <x:c r="F124" s="23" t="n">
        <x:v>5</x:v>
      </x:c>
      <x:c r="G124" s="23" t="n">
        <x:v>4</x:v>
      </x:c>
      <x:c r="H124" s="23" t="n">
        <x:v>4</x:v>
      </x:c>
      <x:c r="I124" s="23" t="n">
        <x:v>2</x:v>
      </x:c>
      <x:c r="J124" s="23" t="n">
        <x:v>3</x:v>
      </x:c>
      <x:c r="K124" s="23" t="n">
        <x:v>5</x:v>
      </x:c>
      <x:c r="L124" s="23" t="n">
        <x:v>5</x:v>
      </x:c>
      <x:c r="M124" s="23" t="n">
        <x:v>2</x:v>
      </x:c>
      <x:c r="N124" s="23" t="n">
        <x:v>8</x:v>
      </x:c>
      <x:c r="O124" s="23" t="n">
        <x:v>1</x:v>
      </x:c>
      <x:c r="P124" s="23" t="n">
        <x:v>3</x:v>
      </x:c>
      <x:c r="Q124" s="23" t="n">
        <x:v>6</x:v>
      </x:c>
      <x:c r="R124" s="23" t="n">
        <x:v>7</x:v>
      </x:c>
    </x:row>
    <x:row r="125">
      <x:c r="A125" s="15" t="n">
        <x:v>43922</x:v>
      </x:c>
      <x:c r="B125" s="23"/>
      <x:c r="C125" s="23" t="n">
        <x:v>6</x:v>
      </x:c>
      <x:c r="D125" s="23" t="n">
        <x:v>2</x:v>
      </x:c>
      <x:c r="E125" s="23" t="n">
        <x:v>2</x:v>
      </x:c>
      <x:c r="F125" s="23" t="n">
        <x:v>6</x:v>
      </x:c>
      <x:c r="G125" s="23" t="n">
        <x:v>4</x:v>
      </x:c>
      <x:c r="H125" s="23" t="n">
        <x:v>6</x:v>
      </x:c>
      <x:c r="I125" s="23" t="n">
        <x:v>2</x:v>
      </x:c>
      <x:c r="J125" s="23" t="n">
        <x:v>3</x:v>
      </x:c>
      <x:c r="K125" s="23" t="n">
        <x:v>5</x:v>
      </x:c>
      <x:c r="L125" s="23" t="n">
        <x:v>5</x:v>
      </x:c>
      <x:c r="M125" s="23" t="n">
        <x:v>2</x:v>
      </x:c>
      <x:c r="N125" s="23" t="n">
        <x:v>10</x:v>
      </x:c>
      <x:c r="O125" s="23" t="n">
        <x:v>1</x:v>
      </x:c>
      <x:c r="P125" s="23" t="n">
        <x:v>4</x:v>
      </x:c>
      <x:c r="Q125" s="23" t="n">
        <x:v>6</x:v>
      </x:c>
      <x:c r="R125" s="23" t="n">
        <x:v>7</x:v>
      </x:c>
    </x:row>
    <x:row r="126">
      <x:c r="A126" s="15" t="n">
        <x:v>43952</x:v>
      </x:c>
      <x:c r="B126" s="23"/>
      <x:c r="C126" s="23" t="n">
        <x:v>6</x:v>
      </x:c>
      <x:c r="D126" s="23" t="n">
        <x:v>2</x:v>
      </x:c>
      <x:c r="E126" s="23" t="n">
        <x:v>2</x:v>
      </x:c>
      <x:c r="F126" s="23" t="n">
        <x:v>6</x:v>
      </x:c>
      <x:c r="G126" s="23" t="n">
        <x:v>4</x:v>
      </x:c>
      <x:c r="H126" s="23" t="n">
        <x:v>6</x:v>
      </x:c>
      <x:c r="I126" s="23" t="n">
        <x:v>2</x:v>
      </x:c>
      <x:c r="J126" s="23" t="n">
        <x:v>3</x:v>
      </x:c>
      <x:c r="K126" s="23" t="n">
        <x:v>5</x:v>
      </x:c>
      <x:c r="L126" s="23" t="n">
        <x:v>5</x:v>
      </x:c>
      <x:c r="M126" s="23" t="n">
        <x:v>2</x:v>
      </x:c>
      <x:c r="N126" s="23" t="n">
        <x:v>10</x:v>
      </x:c>
      <x:c r="O126" s="23" t="n">
        <x:v>1</x:v>
      </x:c>
      <x:c r="P126" s="23" t="n">
        <x:v>3</x:v>
      </x:c>
      <x:c r="Q126" s="23" t="n">
        <x:v>6</x:v>
      </x:c>
      <x:c r="R126" s="23" t="n">
        <x:v>7</x:v>
      </x:c>
    </x:row>
    <x:row r="127">
      <x:c r="A127" s="15" t="n">
        <x:v>43983</x:v>
      </x:c>
      <x:c r="B127" s="23"/>
      <x:c r="C127" s="23" t="n">
        <x:v>6</x:v>
      </x:c>
      <x:c r="D127" s="23" t="n">
        <x:v>2</x:v>
      </x:c>
      <x:c r="E127" s="23" t="n">
        <x:v>2</x:v>
      </x:c>
      <x:c r="F127" s="23" t="n">
        <x:v>6</x:v>
      </x:c>
      <x:c r="G127" s="23" t="n">
        <x:v>4</x:v>
      </x:c>
      <x:c r="H127" s="23" t="n">
        <x:v>6</x:v>
      </x:c>
      <x:c r="I127" s="23" t="n">
        <x:v>2</x:v>
      </x:c>
      <x:c r="J127" s="23" t="n">
        <x:v>3</x:v>
      </x:c>
      <x:c r="K127" s="23" t="n">
        <x:v>5</x:v>
      </x:c>
      <x:c r="L127" s="23" t="n">
        <x:v>5</x:v>
      </x:c>
      <x:c r="M127" s="23" t="n">
        <x:v>2</x:v>
      </x:c>
      <x:c r="N127" s="23" t="n">
        <x:v>11</x:v>
      </x:c>
      <x:c r="O127" s="23" t="n">
        <x:v>1</x:v>
      </x:c>
      <x:c r="P127" s="23" t="n">
        <x:v>3</x:v>
      </x:c>
      <x:c r="Q127" s="23" t="n">
        <x:v>6</x:v>
      </x:c>
      <x:c r="R127" s="23" t="n">
        <x:v>7</x:v>
      </x:c>
    </x:row>
    <x:row r="128">
      <x:c r="A128" s="15" t="n">
        <x:v>44013</x:v>
      </x:c>
      <x:c r="B128" s="23"/>
      <x:c r="C128" s="23" t="n">
        <x:v>6</x:v>
      </x:c>
      <x:c r="D128" s="23" t="n">
        <x:v>2</x:v>
      </x:c>
      <x:c r="E128" s="23" t="n">
        <x:v>2</x:v>
      </x:c>
      <x:c r="F128" s="23" t="n">
        <x:v>6</x:v>
      </x:c>
      <x:c r="G128" s="23" t="n">
        <x:v>4</x:v>
      </x:c>
      <x:c r="H128" s="23" t="n">
        <x:v>6</x:v>
      </x:c>
      <x:c r="I128" s="23" t="n">
        <x:v>2</x:v>
      </x:c>
      <x:c r="J128" s="23" t="n">
        <x:v>3</x:v>
      </x:c>
      <x:c r="K128" s="23" t="n">
        <x:v>5</x:v>
      </x:c>
      <x:c r="L128" s="23" t="n">
        <x:v>5</x:v>
      </x:c>
      <x:c r="M128" s="23" t="n">
        <x:v>2</x:v>
      </x:c>
      <x:c r="N128" s="23" t="n">
        <x:v>10</x:v>
      </x:c>
      <x:c r="O128" s="23" t="n">
        <x:v>1</x:v>
      </x:c>
      <x:c r="P128" s="23" t="n">
        <x:v>3</x:v>
      </x:c>
      <x:c r="Q128" s="23" t="n">
        <x:v>6</x:v>
      </x:c>
      <x:c r="R128" s="23" t="n">
        <x:v>7</x:v>
      </x:c>
    </x:row>
    <x:row r="129">
      <x:c r="A129" s="15" t="n">
        <x:v>44044</x:v>
      </x:c>
      <x:c r="B129" s="23"/>
      <x:c r="C129" s="23" t="n">
        <x:v>6</x:v>
      </x:c>
      <x:c r="D129" s="23" t="n">
        <x:v>2</x:v>
      </x:c>
      <x:c r="E129" s="23" t="n">
        <x:v>2</x:v>
      </x:c>
      <x:c r="F129" s="23" t="n">
        <x:v>6</x:v>
      </x:c>
      <x:c r="G129" s="23" t="n">
        <x:v>5</x:v>
      </x:c>
      <x:c r="H129" s="23" t="n">
        <x:v>6</x:v>
      </x:c>
      <x:c r="I129" s="23" t="n">
        <x:v>2</x:v>
      </x:c>
      <x:c r="J129" s="23" t="n">
        <x:v>3</x:v>
      </x:c>
      <x:c r="K129" s="23" t="n">
        <x:v>5</x:v>
      </x:c>
      <x:c r="L129" s="23" t="n">
        <x:v>5</x:v>
      </x:c>
      <x:c r="M129" s="23" t="n">
        <x:v>2</x:v>
      </x:c>
      <x:c r="N129" s="23" t="n">
        <x:v>10</x:v>
      </x:c>
      <x:c r="O129" s="23" t="n">
        <x:v>1</x:v>
      </x:c>
      <x:c r="P129" s="23" t="n">
        <x:v>3</x:v>
      </x:c>
      <x:c r="Q129" s="23" t="n">
        <x:v>6</x:v>
      </x:c>
      <x:c r="R129" s="23" t="n">
        <x:v>9</x:v>
      </x:c>
    </x:row>
    <x:row r="130">
      <x:c r="A130" s="15" t="n">
        <x:v>44075</x:v>
      </x:c>
      <x:c r="B130" s="23"/>
      <x:c r="C130" s="23" t="n">
        <x:v>6</x:v>
      </x:c>
      <x:c r="D130" s="23" t="n">
        <x:v>2</x:v>
      </x:c>
      <x:c r="E130" s="23" t="n">
        <x:v>2</x:v>
      </x:c>
      <x:c r="F130" s="23" t="n">
        <x:v>6</x:v>
      </x:c>
      <x:c r="G130" s="23" t="n">
        <x:v>5</x:v>
      </x:c>
      <x:c r="H130" s="23" t="n">
        <x:v>6</x:v>
      </x:c>
      <x:c r="I130" s="23" t="n">
        <x:v>2</x:v>
      </x:c>
      <x:c r="J130" s="23" t="n">
        <x:v>3</x:v>
      </x:c>
      <x:c r="K130" s="23" t="n">
        <x:v>5</x:v>
      </x:c>
      <x:c r="L130" s="23" t="n">
        <x:v>5</x:v>
      </x:c>
      <x:c r="M130" s="23" t="n">
        <x:v>2</x:v>
      </x:c>
      <x:c r="N130" s="23" t="n">
        <x:v>10</x:v>
      </x:c>
      <x:c r="O130" s="23" t="n">
        <x:v>1</x:v>
      </x:c>
      <x:c r="P130" s="23" t="n">
        <x:v>3</x:v>
      </x:c>
      <x:c r="Q130" s="23" t="n">
        <x:v>6</x:v>
      </x:c>
      <x:c r="R130" s="23" t="n">
        <x:v>9</x:v>
      </x:c>
    </x:row>
    <x:row r="131">
      <x:c r="A131" s="15" t="n">
        <x:v>44105</x:v>
      </x:c>
      <x:c r="B131" s="23"/>
      <x:c r="C131" s="23" t="n">
        <x:v>6</x:v>
      </x:c>
      <x:c r="D131" s="23" t="n">
        <x:v>2</x:v>
      </x:c>
      <x:c r="E131" s="23" t="n">
        <x:v>2</x:v>
      </x:c>
      <x:c r="F131" s="23" t="n">
        <x:v>6</x:v>
      </x:c>
      <x:c r="G131" s="23" t="n">
        <x:v>5</x:v>
      </x:c>
      <x:c r="H131" s="23" t="n">
        <x:v>6</x:v>
      </x:c>
      <x:c r="I131" s="23" t="n">
        <x:v>2</x:v>
      </x:c>
      <x:c r="J131" s="23" t="n">
        <x:v>3</x:v>
      </x:c>
      <x:c r="K131" s="23" t="n">
        <x:v>4</x:v>
      </x:c>
      <x:c r="L131" s="23" t="n">
        <x:v>5</x:v>
      </x:c>
      <x:c r="M131" s="23" t="n">
        <x:v>2</x:v>
      </x:c>
      <x:c r="N131" s="23" t="n">
        <x:v>10</x:v>
      </x:c>
      <x:c r="O131" s="23" t="n">
        <x:v>1</x:v>
      </x:c>
      <x:c r="P131" s="23" t="n">
        <x:v>3</x:v>
      </x:c>
      <x:c r="Q131" s="23" t="n">
        <x:v>6</x:v>
      </x:c>
      <x:c r="R131" s="23" t="n">
        <x:v>9</x:v>
      </x:c>
    </x:row>
    <x:row r="132">
      <x:c r="A132" s="15" t="n">
        <x:v>44136</x:v>
      </x:c>
      <x:c r="B132" s="23"/>
      <x:c r="C132" s="23" t="n">
        <x:v>6</x:v>
      </x:c>
      <x:c r="D132" s="23" t="n">
        <x:v>2</x:v>
      </x:c>
      <x:c r="E132" s="23" t="n">
        <x:v>2</x:v>
      </x:c>
      <x:c r="F132" s="23" t="n">
        <x:v>6</x:v>
      </x:c>
      <x:c r="G132" s="23" t="n">
        <x:v>5</x:v>
      </x:c>
      <x:c r="H132" s="23" t="n">
        <x:v>6</x:v>
      </x:c>
      <x:c r="I132" s="23" t="n">
        <x:v>2</x:v>
      </x:c>
      <x:c r="J132" s="23" t="n">
        <x:v>3</x:v>
      </x:c>
      <x:c r="K132" s="23" t="n">
        <x:v>4</x:v>
      </x:c>
      <x:c r="L132" s="23" t="n">
        <x:v>5</x:v>
      </x:c>
      <x:c r="M132" s="23" t="n">
        <x:v>2</x:v>
      </x:c>
      <x:c r="N132" s="23" t="n">
        <x:v>10</x:v>
      </x:c>
      <x:c r="O132" s="23" t="n">
        <x:v>1</x:v>
      </x:c>
      <x:c r="P132" s="23" t="n">
        <x:v>2</x:v>
      </x:c>
      <x:c r="Q132" s="23" t="n">
        <x:v>6</x:v>
      </x:c>
      <x:c r="R132" s="23" t="n">
        <x:v>9</x:v>
      </x:c>
    </x:row>
    <x:row r="133">
      <x:c r="A133" s="15" t="n">
        <x:v>44166</x:v>
      </x:c>
      <x:c r="B133" s="23"/>
      <x:c r="C133" s="23" t="n">
        <x:v>6</x:v>
      </x:c>
      <x:c r="D133" s="23" t="n">
        <x:v>2</x:v>
      </x:c>
      <x:c r="E133" s="23" t="n">
        <x:v>2</x:v>
      </x:c>
      <x:c r="F133" s="23" t="n">
        <x:v>6</x:v>
      </x:c>
      <x:c r="G133" s="23" t="n">
        <x:v>5</x:v>
      </x:c>
      <x:c r="H133" s="23" t="n">
        <x:v>6</x:v>
      </x:c>
      <x:c r="I133" s="23" t="n">
        <x:v>3</x:v>
      </x:c>
      <x:c r="J133" s="23" t="n">
        <x:v>3</x:v>
      </x:c>
      <x:c r="K133" s="23" t="n">
        <x:v>4</x:v>
      </x:c>
      <x:c r="L133" s="23" t="n">
        <x:v>6</x:v>
      </x:c>
      <x:c r="M133" s="23" t="n">
        <x:v>2</x:v>
      </x:c>
      <x:c r="N133" s="23" t="n">
        <x:v>10</x:v>
      </x:c>
      <x:c r="O133" s="23" t="n">
        <x:v>1</x:v>
      </x:c>
      <x:c r="P133" s="23" t="n">
        <x:v>2</x:v>
      </x:c>
      <x:c r="Q133" s="23" t="n">
        <x:v>6</x:v>
      </x:c>
      <x:c r="R133" s="23" t="n">
        <x:v>9</x:v>
      </x:c>
    </x:row>
    <x:row r="134">
      <x:c r="A134" s="15" t="n">
        <x:v>44197</x:v>
      </x:c>
      <x:c r="B134" s="23"/>
      <x:c r="C134" s="23" t="n">
        <x:v>6</x:v>
      </x:c>
      <x:c r="D134" s="23" t="n">
        <x:v>2</x:v>
      </x:c>
      <x:c r="E134" s="23" t="n">
        <x:v>2</x:v>
      </x:c>
      <x:c r="F134" s="23" t="n">
        <x:v>6</x:v>
      </x:c>
      <x:c r="G134" s="23" t="n">
        <x:v>5</x:v>
      </x:c>
      <x:c r="H134" s="23" t="n">
        <x:v>6</x:v>
      </x:c>
      <x:c r="I134" s="23" t="n">
        <x:v>3</x:v>
      </x:c>
      <x:c r="J134" s="23" t="n">
        <x:v>3</x:v>
      </x:c>
      <x:c r="K134" s="23" t="n">
        <x:v>4</x:v>
      </x:c>
      <x:c r="L134" s="23" t="n">
        <x:v>6</x:v>
      </x:c>
      <x:c r="M134" s="23" t="n">
        <x:v>2</x:v>
      </x:c>
      <x:c r="N134" s="23" t="n">
        <x:v>10</x:v>
      </x:c>
      <x:c r="O134" s="23" t="n">
        <x:v>1</x:v>
      </x:c>
      <x:c r="P134" s="23" t="n">
        <x:v>2</x:v>
      </x:c>
      <x:c r="Q134" s="23" t="n">
        <x:v>6</x:v>
      </x:c>
      <x:c r="R134" s="23" t="n">
        <x:v>9</x:v>
      </x:c>
    </x:row>
    <x:row r="135">
      <x:c r="A135" s="15" t="n">
        <x:v>44228</x:v>
      </x:c>
      <x:c r="B135" s="23"/>
      <x:c r="C135" s="23" t="n">
        <x:v>6</x:v>
      </x:c>
      <x:c r="D135" s="23" t="n">
        <x:v>2</x:v>
      </x:c>
      <x:c r="E135" s="23" t="n">
        <x:v>2</x:v>
      </x:c>
      <x:c r="F135" s="23" t="n">
        <x:v>6</x:v>
      </x:c>
      <x:c r="G135" s="23" t="n">
        <x:v>5</x:v>
      </x:c>
      <x:c r="H135" s="23" t="n">
        <x:v>6</x:v>
      </x:c>
      <x:c r="I135" s="23" t="n">
        <x:v>3</x:v>
      </x:c>
      <x:c r="J135" s="23" t="n">
        <x:v>3</x:v>
      </x:c>
      <x:c r="K135" s="23" t="n">
        <x:v>4</x:v>
      </x:c>
      <x:c r="L135" s="23" t="n">
        <x:v>6</x:v>
      </x:c>
      <x:c r="M135" s="23" t="n">
        <x:v>2</x:v>
      </x:c>
      <x:c r="N135" s="23" t="n">
        <x:v>11</x:v>
      </x:c>
      <x:c r="O135" s="23" t="n">
        <x:v>1</x:v>
      </x:c>
      <x:c r="P135" s="23" t="n">
        <x:v>2</x:v>
      </x:c>
      <x:c r="Q135" s="23" t="n">
        <x:v>6</x:v>
      </x:c>
      <x:c r="R135" s="23" t="n">
        <x:v>9</x:v>
      </x:c>
    </x:row>
    <x:row r="136">
      <x:c r="A136" s="15" t="n">
        <x:v>44256</x:v>
      </x:c>
      <x:c r="B136" s="23"/>
      <x:c r="C136" s="23" t="n">
        <x:v>6</x:v>
      </x:c>
      <x:c r="D136" s="23" t="n">
        <x:v>2</x:v>
      </x:c>
      <x:c r="E136" s="23" t="n">
        <x:v>2</x:v>
      </x:c>
      <x:c r="F136" s="23" t="n">
        <x:v>6</x:v>
      </x:c>
      <x:c r="G136" s="23" t="n">
        <x:v>5</x:v>
      </x:c>
      <x:c r="H136" s="23" t="n">
        <x:v>6</x:v>
      </x:c>
      <x:c r="I136" s="23" t="n">
        <x:v>3</x:v>
      </x:c>
      <x:c r="J136" s="23" t="n">
        <x:v>4</x:v>
      </x:c>
      <x:c r="K136" s="23" t="n">
        <x:v>4</x:v>
      </x:c>
      <x:c r="L136" s="23" t="n">
        <x:v>6</x:v>
      </x:c>
      <x:c r="M136" s="23" t="n">
        <x:v>2</x:v>
      </x:c>
      <x:c r="N136" s="23" t="n">
        <x:v>10</x:v>
      </x:c>
      <x:c r="O136" s="23" t="n">
        <x:v>1</x:v>
      </x:c>
      <x:c r="P136" s="23" t="n">
        <x:v>2</x:v>
      </x:c>
      <x:c r="Q136" s="23" t="n">
        <x:v>7</x:v>
      </x:c>
      <x:c r="R136" s="23" t="n">
        <x:v>11</x:v>
      </x:c>
    </x:row>
    <x:row r="137">
      <x:c r="A137" s="15" t="n">
        <x:v>44287</x:v>
      </x:c>
      <x:c r="B137" s="23"/>
      <x:c r="C137" s="23" t="n">
        <x:v>6</x:v>
      </x:c>
      <x:c r="D137" s="23" t="n">
        <x:v>2</x:v>
      </x:c>
      <x:c r="E137" s="23" t="n">
        <x:v>2</x:v>
      </x:c>
      <x:c r="F137" s="23" t="n">
        <x:v>6</x:v>
      </x:c>
      <x:c r="G137" s="23" t="n">
        <x:v>5</x:v>
      </x:c>
      <x:c r="H137" s="23" t="n">
        <x:v>6</x:v>
      </x:c>
      <x:c r="I137" s="23" t="n">
        <x:v>3</x:v>
      </x:c>
      <x:c r="J137" s="23" t="n">
        <x:v>4</x:v>
      </x:c>
      <x:c r="K137" s="23" t="n">
        <x:v>5</x:v>
      </x:c>
      <x:c r="L137" s="23" t="n">
        <x:v>6</x:v>
      </x:c>
      <x:c r="M137" s="23" t="n">
        <x:v>2</x:v>
      </x:c>
      <x:c r="N137" s="23" t="n">
        <x:v>10</x:v>
      </x:c>
      <x:c r="O137" s="23" t="n">
        <x:v>1</x:v>
      </x:c>
      <x:c r="P137" s="23" t="n">
        <x:v>2</x:v>
      </x:c>
      <x:c r="Q137" s="23" t="n">
        <x:v>7</x:v>
      </x:c>
      <x:c r="R137" s="23" t="n">
        <x:v>11</x:v>
      </x:c>
    </x:row>
    <x:row r="138">
      <x:c r="A138" s="15" t="n">
        <x:v>44317</x:v>
      </x:c>
      <x:c r="B138" s="23"/>
      <x:c r="C138" s="23" t="n">
        <x:v>6</x:v>
      </x:c>
      <x:c r="D138" s="23" t="n">
        <x:v>2</x:v>
      </x:c>
      <x:c r="E138" s="23" t="n">
        <x:v>2</x:v>
      </x:c>
      <x:c r="F138" s="23" t="n">
        <x:v>6</x:v>
      </x:c>
      <x:c r="G138" s="23" t="n">
        <x:v>4</x:v>
      </x:c>
      <x:c r="H138" s="23" t="n">
        <x:v>6</x:v>
      </x:c>
      <x:c r="I138" s="23" t="n">
        <x:v>3</x:v>
      </x:c>
      <x:c r="J138" s="23" t="n">
        <x:v>4</x:v>
      </x:c>
      <x:c r="K138" s="23" t="n">
        <x:v>5</x:v>
      </x:c>
      <x:c r="L138" s="23" t="n">
        <x:v>6</x:v>
      </x:c>
      <x:c r="M138" s="23" t="n">
        <x:v>2</x:v>
      </x:c>
      <x:c r="N138" s="23" t="n">
        <x:v>10</x:v>
      </x:c>
      <x:c r="O138" s="23" t="n">
        <x:v>1</x:v>
      </x:c>
      <x:c r="P138" s="23" t="n">
        <x:v>2</x:v>
      </x:c>
      <x:c r="Q138" s="23" t="n">
        <x:v>7</x:v>
      </x:c>
      <x:c r="R138" s="23" t="n">
        <x:v>11</x:v>
      </x:c>
    </x:row>
    <x:row r="139">
      <x:c r="A139" s="15" t="n">
        <x:v>44348</x:v>
      </x:c>
      <x:c r="B139" s="23"/>
      <x:c r="C139" s="23" t="n">
        <x:v>6</x:v>
      </x:c>
      <x:c r="D139" s="23" t="n">
        <x:v>2</x:v>
      </x:c>
      <x:c r="E139" s="23" t="n">
        <x:v>2</x:v>
      </x:c>
      <x:c r="F139" s="23" t="n">
        <x:v>6</x:v>
      </x:c>
      <x:c r="G139" s="23" t="n">
        <x:v>5</x:v>
      </x:c>
      <x:c r="H139" s="23" t="n">
        <x:v>6</x:v>
      </x:c>
      <x:c r="I139" s="23" t="n">
        <x:v>3</x:v>
      </x:c>
      <x:c r="J139" s="23" t="n">
        <x:v>4</x:v>
      </x:c>
      <x:c r="K139" s="23" t="n">
        <x:v>4</x:v>
      </x:c>
      <x:c r="L139" s="23" t="n">
        <x:v>6</x:v>
      </x:c>
      <x:c r="M139" s="23" t="n">
        <x:v>2</x:v>
      </x:c>
      <x:c r="N139" s="23" t="n">
        <x:v>11</x:v>
      </x:c>
      <x:c r="O139" s="23" t="n">
        <x:v>1</x:v>
      </x:c>
      <x:c r="P139" s="23" t="n">
        <x:v>2</x:v>
      </x:c>
      <x:c r="Q139" s="23" t="n">
        <x:v>7</x:v>
      </x:c>
      <x:c r="R139" s="23" t="n">
        <x:v>11</x:v>
      </x:c>
    </x:row>
    <x:row r="140">
      <x:c r="A140" s="15" t="n">
        <x:v>44378</x:v>
      </x:c>
      <x:c r="B140" s="23"/>
      <x:c r="C140" s="23" t="n">
        <x:v>6</x:v>
      </x:c>
      <x:c r="D140" s="23" t="n">
        <x:v>2</x:v>
      </x:c>
      <x:c r="E140" s="23" t="n">
        <x:v>2</x:v>
      </x:c>
      <x:c r="F140" s="23" t="n">
        <x:v>6</x:v>
      </x:c>
      <x:c r="G140" s="23" t="n">
        <x:v>5</x:v>
      </x:c>
      <x:c r="H140" s="23" t="n">
        <x:v>6</x:v>
      </x:c>
      <x:c r="I140" s="23" t="n">
        <x:v>3</x:v>
      </x:c>
      <x:c r="J140" s="23" t="n">
        <x:v>4</x:v>
      </x:c>
      <x:c r="K140" s="23" t="n">
        <x:v>4</x:v>
      </x:c>
      <x:c r="L140" s="23" t="n">
        <x:v>6</x:v>
      </x:c>
      <x:c r="M140" s="23" t="n">
        <x:v>2</x:v>
      </x:c>
      <x:c r="N140" s="23" t="n">
        <x:v>11</x:v>
      </x:c>
      <x:c r="O140" s="23" t="n">
        <x:v>1</x:v>
      </x:c>
      <x:c r="P140" s="23" t="n">
        <x:v>2</x:v>
      </x:c>
      <x:c r="Q140" s="23" t="n">
        <x:v>7</x:v>
      </x:c>
      <x:c r="R140" s="23" t="n">
        <x:v>11</x:v>
      </x:c>
    </x:row>
    <x:row r="141">
      <x:c r="A141" s="15" t="n">
        <x:v>44409</x:v>
      </x:c>
      <x:c r="B141" s="23"/>
      <x:c r="C141" s="23" t="n">
        <x:v>7</x:v>
      </x:c>
      <x:c r="D141" s="23" t="n">
        <x:v>2</x:v>
      </x:c>
      <x:c r="E141" s="23" t="n">
        <x:v>2</x:v>
      </x:c>
      <x:c r="F141" s="23" t="n">
        <x:v>6</x:v>
      </x:c>
      <x:c r="G141" s="23" t="n">
        <x:v>4</x:v>
      </x:c>
      <x:c r="H141" s="23" t="n">
        <x:v>6</x:v>
      </x:c>
      <x:c r="I141" s="23" t="n">
        <x:v>3</x:v>
      </x:c>
      <x:c r="J141" s="23" t="n">
        <x:v>4</x:v>
      </x:c>
      <x:c r="K141" s="23" t="n">
        <x:v>4</x:v>
      </x:c>
      <x:c r="L141" s="23" t="n">
        <x:v>6</x:v>
      </x:c>
      <x:c r="M141" s="23" t="n">
        <x:v>2</x:v>
      </x:c>
      <x:c r="N141" s="23" t="n">
        <x:v>11</x:v>
      </x:c>
      <x:c r="O141" s="23" t="n">
        <x:v>1</x:v>
      </x:c>
      <x:c r="P141" s="23" t="n">
        <x:v>2</x:v>
      </x:c>
      <x:c r="Q141" s="23" t="n">
        <x:v>7</x:v>
      </x:c>
      <x:c r="R141" s="23" t="n">
        <x:v>10</x:v>
      </x:c>
    </x:row>
    <x:row r="142">
      <x:c r="A142" s="15" t="n">
        <x:v>44440</x:v>
      </x:c>
      <x:c r="B142" s="23"/>
      <x:c r="C142" s="23" t="n">
        <x:v>7</x:v>
      </x:c>
      <x:c r="D142" s="23" t="n">
        <x:v>2</x:v>
      </x:c>
      <x:c r="E142" s="23" t="n">
        <x:v>2</x:v>
      </x:c>
      <x:c r="F142" s="23" t="n">
        <x:v>6</x:v>
      </x:c>
      <x:c r="G142" s="23" t="n">
        <x:v>5</x:v>
      </x:c>
      <x:c r="H142" s="23" t="n">
        <x:v>6</x:v>
      </x:c>
      <x:c r="I142" s="23" t="n">
        <x:v>3</x:v>
      </x:c>
      <x:c r="J142" s="23" t="n">
        <x:v>4</x:v>
      </x:c>
      <x:c r="K142" s="23" t="n">
        <x:v>4</x:v>
      </x:c>
      <x:c r="L142" s="23" t="n">
        <x:v>6</x:v>
      </x:c>
      <x:c r="M142" s="23" t="n">
        <x:v>2</x:v>
      </x:c>
      <x:c r="N142" s="23" t="n">
        <x:v>10</x:v>
      </x:c>
      <x:c r="O142" s="23" t="n">
        <x:v>1</x:v>
      </x:c>
      <x:c r="P142" s="23" t="n">
        <x:v>3</x:v>
      </x:c>
      <x:c r="Q142" s="23" t="n">
        <x:v>7</x:v>
      </x:c>
      <x:c r="R142" s="23" t="n">
        <x:v>11</x:v>
      </x:c>
    </x:row>
    <x:row r="143">
      <x:c r="A143" s="15" t="n">
        <x:v>44470</x:v>
      </x:c>
      <x:c r="B143" s="23"/>
      <x:c r="C143" s="23" t="n">
        <x:v>7</x:v>
      </x:c>
      <x:c r="D143" s="23" t="n">
        <x:v>2</x:v>
      </x:c>
      <x:c r="E143" s="23" t="n">
        <x:v>2</x:v>
      </x:c>
      <x:c r="F143" s="23" t="n">
        <x:v>5</x:v>
      </x:c>
      <x:c r="G143" s="23" t="n">
        <x:v>5</x:v>
      </x:c>
      <x:c r="H143" s="23" t="n">
        <x:v>6</x:v>
      </x:c>
      <x:c r="I143" s="23" t="n">
        <x:v>3</x:v>
      </x:c>
      <x:c r="J143" s="23" t="n">
        <x:v>4</x:v>
      </x:c>
      <x:c r="K143" s="23" t="n">
        <x:v>4</x:v>
      </x:c>
      <x:c r="L143" s="23" t="n">
        <x:v>6</x:v>
      </x:c>
      <x:c r="M143" s="23" t="n">
        <x:v>2</x:v>
      </x:c>
      <x:c r="N143" s="23" t="n">
        <x:v>10</x:v>
      </x:c>
      <x:c r="O143" s="23" t="n">
        <x:v>1</x:v>
      </x:c>
      <x:c r="P143" s="23" t="n">
        <x:v>2</x:v>
      </x:c>
      <x:c r="Q143" s="23" t="n">
        <x:v>7</x:v>
      </x:c>
      <x:c r="R143" s="23" t="n">
        <x:v>11</x:v>
      </x:c>
    </x:row>
    <x:row r="144">
      <x:c r="A144" s="15" t="n">
        <x:v>44501</x:v>
      </x:c>
      <x:c r="B144" s="23"/>
      <x:c r="C144" s="23" t="n">
        <x:v>7</x:v>
      </x:c>
      <x:c r="D144" s="23" t="n">
        <x:v>2</x:v>
      </x:c>
      <x:c r="E144" s="23" t="n">
        <x:v>2</x:v>
      </x:c>
      <x:c r="F144" s="23" t="n">
        <x:v>6</x:v>
      </x:c>
      <x:c r="G144" s="23" t="n">
        <x:v>5</x:v>
      </x:c>
      <x:c r="H144" s="23" t="n">
        <x:v>6</x:v>
      </x:c>
      <x:c r="I144" s="23" t="n">
        <x:v>3</x:v>
      </x:c>
      <x:c r="J144" s="23" t="n">
        <x:v>3</x:v>
      </x:c>
      <x:c r="K144" s="23" t="n">
        <x:v>4</x:v>
      </x:c>
      <x:c r="L144" s="23" t="n">
        <x:v>6</x:v>
      </x:c>
      <x:c r="M144" s="23" t="n">
        <x:v>2</x:v>
      </x:c>
      <x:c r="N144" s="23" t="n">
        <x:v>11</x:v>
      </x:c>
      <x:c r="O144" s="23" t="n">
        <x:v>1</x:v>
      </x:c>
      <x:c r="P144" s="23" t="n">
        <x:v>2</x:v>
      </x:c>
      <x:c r="Q144" s="23" t="n">
        <x:v>7</x:v>
      </x:c>
      <x:c r="R144" s="23" t="n">
        <x:v>10</x:v>
      </x:c>
    </x:row>
    <x:row r="145">
      <x:c r="A145" s="15" t="n">
        <x:v>44531</x:v>
      </x:c>
      <x:c r="B145" s="23"/>
      <x:c r="C145" s="23" t="n">
        <x:v>9</x:v>
      </x:c>
      <x:c r="D145" s="23" t="n">
        <x:v>2</x:v>
      </x:c>
      <x:c r="E145" s="23" t="n">
        <x:v>2</x:v>
      </x:c>
      <x:c r="F145" s="23" t="n">
        <x:v>7</x:v>
      </x:c>
      <x:c r="G145" s="23" t="n">
        <x:v>5</x:v>
      </x:c>
      <x:c r="H145" s="23" t="n">
        <x:v>7</x:v>
      </x:c>
      <x:c r="I145" s="23" t="n">
        <x:v>3</x:v>
      </x:c>
      <x:c r="J145" s="23" t="n">
        <x:v>3</x:v>
      </x:c>
      <x:c r="K145" s="23" t="n">
        <x:v>4</x:v>
      </x:c>
      <x:c r="L145" s="23" t="n">
        <x:v>6</x:v>
      </x:c>
      <x:c r="M145" s="23" t="n">
        <x:v>3</x:v>
      </x:c>
      <x:c r="N145" s="23" t="n">
        <x:v>13</x:v>
      </x:c>
      <x:c r="O145" s="23" t="n">
        <x:v>1</x:v>
      </x:c>
      <x:c r="P145" s="23" t="n">
        <x:v>3</x:v>
      </x:c>
      <x:c r="Q145" s="23" t="n">
        <x:v>7</x:v>
      </x:c>
      <x:c r="R145" s="23" t="n">
        <x:v>11</x:v>
      </x:c>
    </x:row>
    <x:row r="146">
      <x:c r="A146" s="15" t="n">
        <x:v>44562</x:v>
      </x:c>
      <x:c r="B146" s="23"/>
      <x:c r="C146" s="23" t="n">
        <x:v>8</x:v>
      </x:c>
      <x:c r="D146" s="23" t="n">
        <x:v>2</x:v>
      </x:c>
      <x:c r="E146" s="23" t="n">
        <x:v>2</x:v>
      </x:c>
      <x:c r="F146" s="23" t="n">
        <x:v>6</x:v>
      </x:c>
      <x:c r="G146" s="23" t="n">
        <x:v>5</x:v>
      </x:c>
      <x:c r="H146" s="23" t="n">
        <x:v>7</x:v>
      </x:c>
      <x:c r="I146" s="23" t="n">
        <x:v>3</x:v>
      </x:c>
      <x:c r="J146" s="23" t="n">
        <x:v>3</x:v>
      </x:c>
      <x:c r="K146" s="23" t="n">
        <x:v>4</x:v>
      </x:c>
      <x:c r="L146" s="23" t="n">
        <x:v>6</x:v>
      </x:c>
      <x:c r="M146" s="23" t="n">
        <x:v>3</x:v>
      </x:c>
      <x:c r="N146" s="23" t="n">
        <x:v>11</x:v>
      </x:c>
      <x:c r="O146" s="23" t="n">
        <x:v>1</x:v>
      </x:c>
      <x:c r="P146" s="23" t="n">
        <x:v>3</x:v>
      </x:c>
      <x:c r="Q146" s="23" t="n">
        <x:v>7</x:v>
      </x:c>
      <x:c r="R146" s="23" t="n">
        <x:v>11</x:v>
      </x:c>
    </x:row>
    <x:row r="147">
      <x:c r="A147" s="15" t="n">
        <x:v>44593</x:v>
      </x:c>
      <x:c r="B147" s="23"/>
      <x:c r="C147" s="23" t="n">
        <x:v>8</x:v>
      </x:c>
      <x:c r="D147" s="23" t="n">
        <x:v>2</x:v>
      </x:c>
      <x:c r="E147" s="23" t="n">
        <x:v>2</x:v>
      </x:c>
      <x:c r="F147" s="23" t="n">
        <x:v>7</x:v>
      </x:c>
      <x:c r="G147" s="23" t="n">
        <x:v>5</x:v>
      </x:c>
      <x:c r="H147" s="23" t="n">
        <x:v>6</x:v>
      </x:c>
      <x:c r="I147" s="23" t="n">
        <x:v>3</x:v>
      </x:c>
      <x:c r="J147" s="23" t="n">
        <x:v>3</x:v>
      </x:c>
      <x:c r="K147" s="23" t="n">
        <x:v>4</x:v>
      </x:c>
      <x:c r="L147" s="23" t="n">
        <x:v>6</x:v>
      </x:c>
      <x:c r="M147" s="23" t="n">
        <x:v>3</x:v>
      </x:c>
      <x:c r="N147" s="23" t="n">
        <x:v>12</x:v>
      </x:c>
      <x:c r="O147" s="23" t="n">
        <x:v>1</x:v>
      </x:c>
      <x:c r="P147" s="23" t="n">
        <x:v>3</x:v>
      </x:c>
      <x:c r="Q147" s="23" t="n">
        <x:v>7</x:v>
      </x:c>
      <x:c r="R147" s="23" t="n">
        <x:v>11</x:v>
      </x:c>
    </x:row>
    <x:row r="148">
      <x:c r="A148" s="15" t="n">
        <x:v>44621</x:v>
      </x:c>
      <x:c r="B148" s="23"/>
      <x:c r="C148" s="23" t="n">
        <x:v>8</x:v>
      </x:c>
      <x:c r="D148" s="23" t="n">
        <x:v>2</x:v>
      </x:c>
      <x:c r="E148" s="23" t="n">
        <x:v>2</x:v>
      </x:c>
      <x:c r="F148" s="23" t="n">
        <x:v>7</x:v>
      </x:c>
      <x:c r="G148" s="23" t="n">
        <x:v>5</x:v>
      </x:c>
      <x:c r="H148" s="23" t="n">
        <x:v>6</x:v>
      </x:c>
      <x:c r="I148" s="23" t="n">
        <x:v>3</x:v>
      </x:c>
      <x:c r="J148" s="23" t="n">
        <x:v>4</x:v>
      </x:c>
      <x:c r="K148" s="23" t="n">
        <x:v>4</x:v>
      </x:c>
      <x:c r="L148" s="23" t="n">
        <x:v>6</x:v>
      </x:c>
      <x:c r="M148" s="23" t="n">
        <x:v>3</x:v>
      </x:c>
      <x:c r="N148" s="23" t="n">
        <x:v>13</x:v>
      </x:c>
      <x:c r="O148" s="23" t="n">
        <x:v>1</x:v>
      </x:c>
      <x:c r="P148" s="23" t="n">
        <x:v>3</x:v>
      </x:c>
      <x:c r="Q148" s="23" t="n">
        <x:v>7</x:v>
      </x:c>
      <x:c r="R148" s="23" t="n">
        <x:v>11</x:v>
      </x:c>
    </x:row>
    <x:row r="149">
      <x:c r="A149" s="15" t="n">
        <x:v>44652</x:v>
      </x:c>
      <x:c r="B149" s="23"/>
      <x:c r="C149" s="23" t="n">
        <x:v>8</x:v>
      </x:c>
      <x:c r="D149" s="23" t="n">
        <x:v>2</x:v>
      </x:c>
      <x:c r="E149" s="23" t="n">
        <x:v>2</x:v>
      </x:c>
      <x:c r="F149" s="23" t="n">
        <x:v>7</x:v>
      </x:c>
      <x:c r="G149" s="23" t="n">
        <x:v>5</x:v>
      </x:c>
      <x:c r="H149" s="23" t="n">
        <x:v>6</x:v>
      </x:c>
      <x:c r="I149" s="23" t="n">
        <x:v>3</x:v>
      </x:c>
      <x:c r="J149" s="23" t="n">
        <x:v>4</x:v>
      </x:c>
      <x:c r="K149" s="23" t="n">
        <x:v>6</x:v>
      </x:c>
      <x:c r="L149" s="23" t="n">
        <x:v>7</x:v>
      </x:c>
      <x:c r="M149" s="23" t="n">
        <x:v>3</x:v>
      </x:c>
      <x:c r="N149" s="23" t="n">
        <x:v>13</x:v>
      </x:c>
      <x:c r="O149" s="23" t="n">
        <x:v>1</x:v>
      </x:c>
      <x:c r="P149" s="23" t="n">
        <x:v>4</x:v>
      </x:c>
      <x:c r="Q149" s="23" t="n">
        <x:v>7</x:v>
      </x:c>
      <x:c r="R149" s="23" t="n">
        <x:v>11</x:v>
      </x:c>
    </x:row>
    <x:row r="150">
      <x:c r="A150" s="15" t="n">
        <x:v>44682</x:v>
      </x:c>
      <x:c r="B150" s="23"/>
      <x:c r="C150" s="23" t="n">
        <x:v>8</x:v>
      </x:c>
      <x:c r="D150" s="23" t="n">
        <x:v>2</x:v>
      </x:c>
      <x:c r="E150" s="23" t="n">
        <x:v>2</x:v>
      </x:c>
      <x:c r="F150" s="23" t="n">
        <x:v>7</x:v>
      </x:c>
      <x:c r="G150" s="23" t="n">
        <x:v>5</x:v>
      </x:c>
      <x:c r="H150" s="23" t="n">
        <x:v>6</x:v>
      </x:c>
      <x:c r="I150" s="23" t="n">
        <x:v>3</x:v>
      </x:c>
      <x:c r="J150" s="23" t="n">
        <x:v>4</x:v>
      </x:c>
      <x:c r="K150" s="23" t="n">
        <x:v>6</x:v>
      </x:c>
      <x:c r="L150" s="23" t="n">
        <x:v>7</x:v>
      </x:c>
      <x:c r="M150" s="23" t="n">
        <x:v>3</x:v>
      </x:c>
      <x:c r="N150" s="23" t="n">
        <x:v>13</x:v>
      </x:c>
      <x:c r="O150" s="23" t="n">
        <x:v>1</x:v>
      </x:c>
      <x:c r="P150" s="23" t="n">
        <x:v>4</x:v>
      </x:c>
      <x:c r="Q150" s="23" t="n">
        <x:v>7</x:v>
      </x:c>
      <x:c r="R150" s="23" t="n">
        <x:v>11</x:v>
      </x:c>
    </x:row>
    <x:row r="151">
      <x:c r="A151" s="15" t="n">
        <x:v>44713</x:v>
      </x:c>
      <x:c r="B151" s="23"/>
      <x:c r="C151" s="23" t="n">
        <x:v>7</x:v>
      </x:c>
      <x:c r="D151" s="23" t="n">
        <x:v>2</x:v>
      </x:c>
      <x:c r="E151" s="23" t="n">
        <x:v>2</x:v>
      </x:c>
      <x:c r="F151" s="23" t="n">
        <x:v>7</x:v>
      </x:c>
      <x:c r="G151" s="23" t="n">
        <x:v>5</x:v>
      </x:c>
      <x:c r="H151" s="23" t="n">
        <x:v>6</x:v>
      </x:c>
      <x:c r="I151" s="23" t="n">
        <x:v>3</x:v>
      </x:c>
      <x:c r="J151" s="23" t="n">
        <x:v>4</x:v>
      </x:c>
      <x:c r="K151" s="23" t="n">
        <x:v>6</x:v>
      </x:c>
      <x:c r="L151" s="23" t="n">
        <x:v>7</x:v>
      </x:c>
      <x:c r="M151" s="23" t="n">
        <x:v>3</x:v>
      </x:c>
      <x:c r="N151" s="23" t="n">
        <x:v>13</x:v>
      </x:c>
      <x:c r="O151" s="23" t="n">
        <x:v>1</x:v>
      </x:c>
      <x:c r="P151" s="23" t="n">
        <x:v>4</x:v>
      </x:c>
      <x:c r="Q151" s="23" t="n">
        <x:v>7</x:v>
      </x:c>
      <x:c r="R151" s="23" t="n">
        <x:v>11</x:v>
      </x:c>
    </x:row>
    <x:row r="152">
      <x:c r="A152" s="15" t="n">
        <x:v>44743</x:v>
      </x:c>
      <x:c r="B152" s="23"/>
      <x:c r="C152" s="23" t="n">
        <x:v>7</x:v>
      </x:c>
      <x:c r="D152" s="23" t="n">
        <x:v>2</x:v>
      </x:c>
      <x:c r="E152" s="23" t="n">
        <x:v>2</x:v>
      </x:c>
      <x:c r="F152" s="23" t="n">
        <x:v>7</x:v>
      </x:c>
      <x:c r="G152" s="23" t="n">
        <x:v>5</x:v>
      </x:c>
      <x:c r="H152" s="23" t="n">
        <x:v>6</x:v>
      </x:c>
      <x:c r="I152" s="23" t="n">
        <x:v>3</x:v>
      </x:c>
      <x:c r="J152" s="23" t="n">
        <x:v>4</x:v>
      </x:c>
      <x:c r="K152" s="23" t="n">
        <x:v>6</x:v>
      </x:c>
      <x:c r="L152" s="23" t="n">
        <x:v>7</x:v>
      </x:c>
      <x:c r="M152" s="23" t="n">
        <x:v>3</x:v>
      </x:c>
      <x:c r="N152" s="23" t="n">
        <x:v>13</x:v>
      </x:c>
      <x:c r="O152" s="23" t="n">
        <x:v>1</x:v>
      </x:c>
      <x:c r="P152" s="23" t="n">
        <x:v>4</x:v>
      </x:c>
      <x:c r="Q152" s="23" t="n">
        <x:v>6</x:v>
      </x:c>
      <x:c r="R152" s="23" t="n">
        <x:v>11</x:v>
      </x:c>
    </x:row>
    <x:row r="153">
      <x:c r="A153" s="15" t="n">
        <x:v>44774</x:v>
      </x:c>
      <x:c r="B153" s="23" t="n">
        <x:v>1</x:v>
      </x:c>
      <x:c r="C153" s="23" t="n">
        <x:v>7</x:v>
      </x:c>
      <x:c r="D153" s="23" t="n">
        <x:v>2</x:v>
      </x:c>
      <x:c r="E153" s="23" t="n">
        <x:v>2</x:v>
      </x:c>
      <x:c r="F153" s="23" t="n">
        <x:v>7</x:v>
      </x:c>
      <x:c r="G153" s="23" t="n">
        <x:v>5</x:v>
      </x:c>
      <x:c r="H153" s="23" t="n">
        <x:v>6</x:v>
      </x:c>
      <x:c r="I153" s="23" t="n">
        <x:v>3</x:v>
      </x:c>
      <x:c r="J153" s="23" t="n">
        <x:v>4</x:v>
      </x:c>
      <x:c r="K153" s="23" t="n">
        <x:v>6</x:v>
      </x:c>
      <x:c r="L153" s="23" t="n">
        <x:v>7</x:v>
      </x:c>
      <x:c r="M153" s="23" t="n">
        <x:v>3</x:v>
      </x:c>
      <x:c r="N153" s="23" t="n">
        <x:v>13</x:v>
      </x:c>
      <x:c r="O153" s="23" t="n">
        <x:v>1</x:v>
      </x:c>
      <x:c r="P153" s="23" t="n">
        <x:v>4</x:v>
      </x:c>
      <x:c r="Q153" s="23" t="n">
        <x:v>6</x:v>
      </x:c>
      <x:c r="R153" s="23" t="n">
        <x:v>11</x:v>
      </x:c>
    </x:row>
    <x:row r="154">
      <x:c r="A154" s="15" t="n">
        <x:v>44805</x:v>
      </x:c>
      <x:c r="B154" s="23" t="n">
        <x:v>1</x:v>
      </x:c>
      <x:c r="C154" s="23" t="n">
        <x:v>7</x:v>
      </x:c>
      <x:c r="D154" s="23" t="n">
        <x:v>2</x:v>
      </x:c>
      <x:c r="E154" s="23" t="n">
        <x:v>2</x:v>
      </x:c>
      <x:c r="F154" s="23" t="n">
        <x:v>7</x:v>
      </x:c>
      <x:c r="G154" s="23" t="n">
        <x:v>5</x:v>
      </x:c>
      <x:c r="H154" s="23" t="n">
        <x:v>6</x:v>
      </x:c>
      <x:c r="I154" s="23" t="n">
        <x:v>3</x:v>
      </x:c>
      <x:c r="J154" s="23" t="n">
        <x:v>3</x:v>
      </x:c>
      <x:c r="K154" s="23" t="n">
        <x:v>6</x:v>
      </x:c>
      <x:c r="L154" s="23" t="n">
        <x:v>7</x:v>
      </x:c>
      <x:c r="M154" s="23" t="n">
        <x:v>3</x:v>
      </x:c>
      <x:c r="N154" s="23" t="n">
        <x:v>13</x:v>
      </x:c>
      <x:c r="O154" s="23" t="n">
        <x:v>1</x:v>
      </x:c>
      <x:c r="P154" s="23" t="n">
        <x:v>4</x:v>
      </x:c>
      <x:c r="Q154" s="23" t="n">
        <x:v>6</x:v>
      </x:c>
      <x:c r="R154" s="23" t="n">
        <x:v>11</x:v>
      </x:c>
    </x:row>
    <x:row r="155">
      <x:c r="A155" s="15" t="n">
        <x:v>44835</x:v>
      </x:c>
      <x:c r="B155" s="23" t="n">
        <x:v>1</x:v>
      </x:c>
      <x:c r="C155" s="23" t="n">
        <x:v>7</x:v>
      </x:c>
      <x:c r="D155" s="23" t="n">
        <x:v>2</x:v>
      </x:c>
      <x:c r="E155" s="23" t="n">
        <x:v>2</x:v>
      </x:c>
      <x:c r="F155" s="23" t="n">
        <x:v>7</x:v>
      </x:c>
      <x:c r="G155" s="23" t="n">
        <x:v>5</x:v>
      </x:c>
      <x:c r="H155" s="23" t="n">
        <x:v>6</x:v>
      </x:c>
      <x:c r="I155" s="23" t="n">
        <x:v>3</x:v>
      </x:c>
      <x:c r="J155" s="23" t="n">
        <x:v>3</x:v>
      </x:c>
      <x:c r="K155" s="23" t="n">
        <x:v>6</x:v>
      </x:c>
      <x:c r="L155" s="23" t="n">
        <x:v>7</x:v>
      </x:c>
      <x:c r="M155" s="23" t="n">
        <x:v>3</x:v>
      </x:c>
      <x:c r="N155" s="23" t="n">
        <x:v>13</x:v>
      </x:c>
      <x:c r="O155" s="23" t="n">
        <x:v>1</x:v>
      </x:c>
      <x:c r="P155" s="23" t="n">
        <x:v>4</x:v>
      </x:c>
      <x:c r="Q155" s="23" t="n">
        <x:v>6</x:v>
      </x:c>
      <x:c r="R155" s="23" t="n">
        <x:v>11</x:v>
      </x:c>
    </x:row>
    <x:row r="156">
      <x:c r="A156" s="15" t="n">
        <x:v>44866</x:v>
      </x:c>
      <x:c r="B156" s="23" t="n">
        <x:v>1</x:v>
      </x:c>
      <x:c r="C156" s="23" t="n">
        <x:v>7</x:v>
      </x:c>
      <x:c r="D156" s="23" t="n">
        <x:v>2</x:v>
      </x:c>
      <x:c r="E156" s="23" t="n">
        <x:v>2</x:v>
      </x:c>
      <x:c r="F156" s="23" t="n">
        <x:v>7</x:v>
      </x:c>
      <x:c r="G156" s="23" t="n">
        <x:v>5</x:v>
      </x:c>
      <x:c r="H156" s="23" t="n">
        <x:v>6</x:v>
      </x:c>
      <x:c r="I156" s="23" t="n">
        <x:v>3</x:v>
      </x:c>
      <x:c r="J156" s="23" t="n">
        <x:v>3</x:v>
      </x:c>
      <x:c r="K156" s="23" t="n">
        <x:v>6</x:v>
      </x:c>
      <x:c r="L156" s="23" t="n">
        <x:v>7</x:v>
      </x:c>
      <x:c r="M156" s="23" t="n">
        <x:v>3</x:v>
      </x:c>
      <x:c r="N156" s="23" t="n">
        <x:v>13</x:v>
      </x:c>
      <x:c r="O156" s="23" t="n">
        <x:v>1</x:v>
      </x:c>
      <x:c r="P156" s="23" t="n">
        <x:v>4</x:v>
      </x:c>
      <x:c r="Q156" s="23" t="n">
        <x:v>6</x:v>
      </x:c>
      <x:c r="R156" s="23" t="n">
        <x:v>11</x:v>
      </x:c>
    </x:row>
    <x:row r="157">
      <x:c r="A157" s="15" t="n">
        <x:v>44896</x:v>
      </x:c>
      <x:c r="B157" s="23" t="n">
        <x:v>3</x:v>
      </x:c>
      <x:c r="C157" s="23" t="n">
        <x:v>7</x:v>
      </x:c>
      <x:c r="D157" s="23" t="n">
        <x:v>2</x:v>
      </x:c>
      <x:c r="E157" s="23" t="n">
        <x:v>2</x:v>
      </x:c>
      <x:c r="F157" s="23" t="n">
        <x:v>7</x:v>
      </x:c>
      <x:c r="G157" s="23" t="n">
        <x:v>5</x:v>
      </x:c>
      <x:c r="H157" s="23" t="n">
        <x:v>5</x:v>
      </x:c>
      <x:c r="I157" s="23" t="n">
        <x:v>3</x:v>
      </x:c>
      <x:c r="J157" s="23" t="n">
        <x:v>3</x:v>
      </x:c>
      <x:c r="K157" s="23" t="n">
        <x:v>6</x:v>
      </x:c>
      <x:c r="L157" s="23" t="n">
        <x:v>7</x:v>
      </x:c>
      <x:c r="M157" s="23" t="n">
        <x:v>3</x:v>
      </x:c>
      <x:c r="N157" s="23" t="n">
        <x:v>14</x:v>
      </x:c>
      <x:c r="O157" s="23" t="n">
        <x:v>1</x:v>
      </x:c>
      <x:c r="P157" s="23" t="n">
        <x:v>4</x:v>
      </x:c>
      <x:c r="Q157" s="23" t="n">
        <x:v>6</x:v>
      </x:c>
      <x:c r="R157" s="23" t="n">
        <x:v>11</x:v>
      </x:c>
    </x:row>
    <x:row r="158">
      <x:c r="A158" s="15" t="n">
        <x:v>44927</x:v>
      </x:c>
      <x:c r="B158" s="23" t="n">
        <x:v>3</x:v>
      </x:c>
      <x:c r="C158" s="23" t="n">
        <x:v>7</x:v>
      </x:c>
      <x:c r="D158" s="23" t="n">
        <x:v>2</x:v>
      </x:c>
      <x:c r="E158" s="23" t="n">
        <x:v>2</x:v>
      </x:c>
      <x:c r="F158" s="23" t="n">
        <x:v>5</x:v>
      </x:c>
      <x:c r="G158" s="23" t="n">
        <x:v>4</x:v>
      </x:c>
      <x:c r="H158" s="23" t="n">
        <x:v>5</x:v>
      </x:c>
      <x:c r="I158" s="23" t="n">
        <x:v>3</x:v>
      </x:c>
      <x:c r="J158" s="23" t="n">
        <x:v>2</x:v>
      </x:c>
      <x:c r="K158" s="23" t="n">
        <x:v>6</x:v>
      </x:c>
      <x:c r="L158" s="23" t="n">
        <x:v>7</x:v>
      </x:c>
      <x:c r="M158" s="23" t="n">
        <x:v>3</x:v>
      </x:c>
      <x:c r="N158" s="23" t="n">
        <x:v>13</x:v>
      </x:c>
      <x:c r="O158" s="23" t="n">
        <x:v>1</x:v>
      </x:c>
      <x:c r="P158" s="23" t="n">
        <x:v>3</x:v>
      </x:c>
      <x:c r="Q158" s="23" t="n">
        <x:v>6</x:v>
      </x:c>
      <x:c r="R158" s="23" t="n">
        <x:v>11</x:v>
      </x:c>
    </x:row>
    <x:row r="159">
      <x:c r="A159" s="15" t="n">
        <x:v>44958</x:v>
      </x:c>
      <x:c r="B159" s="23" t="n">
        <x:v>3</x:v>
      </x:c>
      <x:c r="C159" s="23" t="n">
        <x:v>7</x:v>
      </x:c>
      <x:c r="D159" s="23" t="n">
        <x:v>2</x:v>
      </x:c>
      <x:c r="E159" s="23" t="n">
        <x:v>2</x:v>
      </x:c>
      <x:c r="F159" s="23" t="n">
        <x:v>5</x:v>
      </x:c>
      <x:c r="G159" s="23" t="n">
        <x:v>4</x:v>
      </x:c>
      <x:c r="H159" s="23" t="n">
        <x:v>5</x:v>
      </x:c>
      <x:c r="I159" s="23" t="n">
        <x:v>3</x:v>
      </x:c>
      <x:c r="J159" s="23" t="n">
        <x:v>2</x:v>
      </x:c>
      <x:c r="K159" s="23" t="n">
        <x:v>6</x:v>
      </x:c>
      <x:c r="L159" s="23" t="n">
        <x:v>7</x:v>
      </x:c>
      <x:c r="M159" s="23" t="n">
        <x:v>3</x:v>
      </x:c>
      <x:c r="N159" s="23" t="n">
        <x:v>13</x:v>
      </x:c>
      <x:c r="O159" s="23" t="n">
        <x:v>1</x:v>
      </x:c>
      <x:c r="P159" s="23" t="n">
        <x:v>3</x:v>
      </x:c>
      <x:c r="Q159" s="23" t="n">
        <x:v>6</x:v>
      </x:c>
      <x:c r="R159" s="23" t="n">
        <x:v>11</x:v>
      </x:c>
    </x:row>
    <x:row r="160">
      <x:c r="A160" s="15" t="n">
        <x:v>44986</x:v>
      </x:c>
      <x:c r="B160" s="23" t="n">
        <x:v>3</x:v>
      </x:c>
      <x:c r="C160" s="23" t="n">
        <x:v>7</x:v>
      </x:c>
      <x:c r="D160" s="23" t="n">
        <x:v>2</x:v>
      </x:c>
      <x:c r="E160" s="23" t="n">
        <x:v>2</x:v>
      </x:c>
      <x:c r="F160" s="23" t="n">
        <x:v>5</x:v>
      </x:c>
      <x:c r="G160" s="23" t="n">
        <x:v>4</x:v>
      </x:c>
      <x:c r="H160" s="23" t="n">
        <x:v>5</x:v>
      </x:c>
      <x:c r="I160" s="23" t="n">
        <x:v>3</x:v>
      </x:c>
      <x:c r="J160" s="23" t="n">
        <x:v>2</x:v>
      </x:c>
      <x:c r="K160" s="23" t="n">
        <x:v>6</x:v>
      </x:c>
      <x:c r="L160" s="23" t="n">
        <x:v>7</x:v>
      </x:c>
      <x:c r="M160" s="23" t="n">
        <x:v>3</x:v>
      </x:c>
      <x:c r="N160" s="23" t="n">
        <x:v>13</x:v>
      </x:c>
      <x:c r="O160" s="23" t="n">
        <x:v>1</x:v>
      </x:c>
      <x:c r="P160" s="23" t="n">
        <x:v>3</x:v>
      </x:c>
      <x:c r="Q160" s="23" t="n">
        <x:v>6</x:v>
      </x:c>
      <x:c r="R160" s="23" t="n">
        <x:v>10</x:v>
      </x:c>
    </x:row>
    <x:row r="161">
      <x:c r="A161" s="15" t="n">
        <x:v>45017</x:v>
      </x:c>
      <x:c r="B161" s="23" t="n">
        <x:v>3</x:v>
      </x:c>
      <x:c r="C161" s="23" t="n">
        <x:v>7</x:v>
      </x:c>
      <x:c r="D161" s="23" t="n">
        <x:v>2</x:v>
      </x:c>
      <x:c r="E161" s="23" t="n">
        <x:v>2</x:v>
      </x:c>
      <x:c r="F161" s="23" t="n">
        <x:v>5</x:v>
      </x:c>
      <x:c r="G161" s="23" t="n">
        <x:v>4</x:v>
      </x:c>
      <x:c r="H161" s="23" t="n">
        <x:v>5</x:v>
      </x:c>
      <x:c r="I161" s="23" t="n">
        <x:v>3</x:v>
      </x:c>
      <x:c r="J161" s="23" t="n">
        <x:v>3</x:v>
      </x:c>
      <x:c r="K161" s="23" t="n">
        <x:v>6</x:v>
      </x:c>
      <x:c r="L161" s="23" t="n">
        <x:v>7</x:v>
      </x:c>
      <x:c r="M161" s="23" t="n">
        <x:v>3</x:v>
      </x:c>
      <x:c r="N161" s="23" t="n">
        <x:v>13</x:v>
      </x:c>
      <x:c r="O161" s="23" t="n">
        <x:v>1</x:v>
      </x:c>
      <x:c r="P161" s="23" t="n">
        <x:v>3</x:v>
      </x:c>
      <x:c r="Q161" s="23" t="n">
        <x:v>6</x:v>
      </x:c>
      <x:c r="R161" s="23" t="n">
        <x:v>11</x:v>
      </x:c>
    </x:row>
    <x:row r="162">
      <x:c r="A162" s="15" t="n">
        <x:v>45047</x:v>
      </x:c>
      <x:c r="B162" s="23" t="n">
        <x:v>3</x:v>
      </x:c>
      <x:c r="C162" s="23" t="n">
        <x:v>6</x:v>
      </x:c>
      <x:c r="D162" s="23" t="n">
        <x:v>2</x:v>
      </x:c>
      <x:c r="E162" s="23" t="n">
        <x:v>2</x:v>
      </x:c>
      <x:c r="F162" s="23" t="n">
        <x:v>5</x:v>
      </x:c>
      <x:c r="G162" s="23" t="n">
        <x:v>4</x:v>
      </x:c>
      <x:c r="H162" s="23" t="n">
        <x:v>4</x:v>
      </x:c>
      <x:c r="I162" s="23" t="n">
        <x:v>3</x:v>
      </x:c>
      <x:c r="J162" s="23" t="n">
        <x:v>3</x:v>
      </x:c>
      <x:c r="K162" s="23" t="n">
        <x:v>6</x:v>
      </x:c>
      <x:c r="L162" s="23" t="n">
        <x:v>7</x:v>
      </x:c>
      <x:c r="M162" s="23" t="n">
        <x:v>3</x:v>
      </x:c>
      <x:c r="N162" s="23" t="n">
        <x:v>13</x:v>
      </x:c>
      <x:c r="O162" s="23" t="n">
        <x:v>1</x:v>
      </x:c>
      <x:c r="P162" s="23" t="n">
        <x:v>3</x:v>
      </x:c>
      <x:c r="Q162" s="23" t="n">
        <x:v>5</x:v>
      </x:c>
      <x:c r="R162" s="23" t="n">
        <x:v>11</x:v>
      </x:c>
    </x:row>
    <x:row r="163">
      <x:c r="A163" s="15" t="n">
        <x:v>45078</x:v>
      </x:c>
      <x:c r="B163" s="23" t="n">
        <x:v>3</x:v>
      </x:c>
      <x:c r="C163" s="23" t="n">
        <x:v>6</x:v>
      </x:c>
      <x:c r="D163" s="23" t="n">
        <x:v>2</x:v>
      </x:c>
      <x:c r="E163" s="23" t="n">
        <x:v>2</x:v>
      </x:c>
      <x:c r="F163" s="23" t="n">
        <x:v>5</x:v>
      </x:c>
      <x:c r="G163" s="23" t="n">
        <x:v>4</x:v>
      </x:c>
      <x:c r="H163" s="23" t="n">
        <x:v>4</x:v>
      </x:c>
      <x:c r="I163" s="23" t="n">
        <x:v>3</x:v>
      </x:c>
      <x:c r="J163" s="23" t="n">
        <x:v>3</x:v>
      </x:c>
      <x:c r="K163" s="23" t="n">
        <x:v>6</x:v>
      </x:c>
      <x:c r="L163" s="23" t="n">
        <x:v>7</x:v>
      </x:c>
      <x:c r="M163" s="23" t="n">
        <x:v>3</x:v>
      </x:c>
      <x:c r="N163" s="23" t="n">
        <x:v>13</x:v>
      </x:c>
      <x:c r="O163" s="23" t="n">
        <x:v>1</x:v>
      </x:c>
      <x:c r="P163" s="23" t="n">
        <x:v>3</x:v>
      </x:c>
      <x:c r="Q163" s="23" t="n">
        <x:v>5</x:v>
      </x:c>
      <x:c r="R163" s="23" t="n">
        <x:v>10</x:v>
      </x:c>
    </x:row>
    <x:row r="164">
      <x:c r="A164" s="15" t="n">
        <x:v>45108</x:v>
      </x:c>
      <x:c r="B164" s="23" t="n">
        <x:v>3</x:v>
      </x:c>
      <x:c r="C164" s="23" t="n">
        <x:v>6</x:v>
      </x:c>
      <x:c r="D164" s="23" t="n">
        <x:v>2</x:v>
      </x:c>
      <x:c r="E164" s="23" t="n">
        <x:v>2</x:v>
      </x:c>
      <x:c r="F164" s="23" t="n">
        <x:v>5</x:v>
      </x:c>
      <x:c r="G164" s="23" t="n">
        <x:v>4</x:v>
      </x:c>
      <x:c r="H164" s="23" t="n">
        <x:v>4</x:v>
      </x:c>
      <x:c r="I164" s="23" t="n">
        <x:v>3</x:v>
      </x:c>
      <x:c r="J164" s="23" t="n">
        <x:v>3</x:v>
      </x:c>
      <x:c r="K164" s="23" t="n">
        <x:v>7</x:v>
      </x:c>
      <x:c r="L164" s="23" t="n">
        <x:v>7</x:v>
      </x:c>
      <x:c r="M164" s="23" t="n">
        <x:v>3</x:v>
      </x:c>
      <x:c r="N164" s="23" t="n">
        <x:v>13</x:v>
      </x:c>
      <x:c r="O164" s="23" t="n">
        <x:v>1</x:v>
      </x:c>
      <x:c r="P164" s="23" t="n">
        <x:v>3</x:v>
      </x:c>
      <x:c r="Q164" s="23" t="n">
        <x:v>5</x:v>
      </x:c>
      <x:c r="R164" s="23" t="n">
        <x:v>10</x:v>
      </x:c>
    </x:row>
    <x:row r="165">
      <x:c r="A165" s="15" t="n">
        <x:v>45139</x:v>
      </x:c>
      <x:c r="B165" s="23" t="n">
        <x:v>3</x:v>
      </x:c>
      <x:c r="C165" s="23" t="n">
        <x:v>6</x:v>
      </x:c>
      <x:c r="D165" s="23" t="n">
        <x:v>2</x:v>
      </x:c>
      <x:c r="E165" s="23" t="n">
        <x:v>2</x:v>
      </x:c>
      <x:c r="F165" s="23" t="n">
        <x:v>6</x:v>
      </x:c>
      <x:c r="G165" s="23" t="n">
        <x:v>4</x:v>
      </x:c>
      <x:c r="H165" s="23" t="n">
        <x:v>4</x:v>
      </x:c>
      <x:c r="I165" s="23" t="n">
        <x:v>3</x:v>
      </x:c>
      <x:c r="J165" s="23" t="n">
        <x:v>3</x:v>
      </x:c>
      <x:c r="K165" s="23" t="n">
        <x:v>7</x:v>
      </x:c>
      <x:c r="L165" s="23" t="n">
        <x:v>7</x:v>
      </x:c>
      <x:c r="M165" s="23" t="n">
        <x:v>3</x:v>
      </x:c>
      <x:c r="N165" s="23" t="n">
        <x:v>13</x:v>
      </x:c>
      <x:c r="O165" s="23" t="n">
        <x:v>1</x:v>
      </x:c>
      <x:c r="P165" s="23" t="n">
        <x:v>3</x:v>
      </x:c>
      <x:c r="Q165" s="23" t="n">
        <x:v>5</x:v>
      </x:c>
      <x:c r="R165" s="23" t="n">
        <x:v>10</x:v>
      </x:c>
    </x:row>
    <x:row r="166">
      <x:c r="A166" s="15" t="n">
        <x:v>45170</x:v>
      </x:c>
      <x:c r="B166" s="23" t="n">
        <x:v>3</x:v>
      </x:c>
      <x:c r="C166" s="23" t="n">
        <x:v>6</x:v>
      </x:c>
      <x:c r="D166" s="23" t="n">
        <x:v>2</x:v>
      </x:c>
      <x:c r="E166" s="23" t="n">
        <x:v>2</x:v>
      </x:c>
      <x:c r="F166" s="23" t="n">
        <x:v>5</x:v>
      </x:c>
      <x:c r="G166" s="23" t="n">
        <x:v>4</x:v>
      </x:c>
      <x:c r="H166" s="23" t="n">
        <x:v>4</x:v>
      </x:c>
      <x:c r="I166" s="23" t="n">
        <x:v>3</x:v>
      </x:c>
      <x:c r="J166" s="23" t="n">
        <x:v>3</x:v>
      </x:c>
      <x:c r="K166" s="23" t="n">
        <x:v>7</x:v>
      </x:c>
      <x:c r="L166" s="23" t="n">
        <x:v>7</x:v>
      </x:c>
      <x:c r="M166" s="23" t="n">
        <x:v>3</x:v>
      </x:c>
      <x:c r="N166" s="23" t="n">
        <x:v>13</x:v>
      </x:c>
      <x:c r="O166" s="23" t="n">
        <x:v>1</x:v>
      </x:c>
      <x:c r="P166" s="23" t="n">
        <x:v>3</x:v>
      </x:c>
      <x:c r="Q166" s="23" t="n">
        <x:v>5</x:v>
      </x:c>
      <x:c r="R166" s="23" t="n">
        <x:v>10</x:v>
      </x:c>
    </x:row>
    <x:row r="167">
      <x:c r="A167" s="15" t="n">
        <x:v>45200</x:v>
      </x:c>
      <x:c r="B167" s="23" t="n">
        <x:v>3</x:v>
      </x:c>
      <x:c r="C167" s="23" t="n">
        <x:v>6</x:v>
      </x:c>
      <x:c r="D167" s="23" t="n">
        <x:v>2</x:v>
      </x:c>
      <x:c r="E167" s="23" t="n">
        <x:v>2</x:v>
      </x:c>
      <x:c r="F167" s="23" t="n">
        <x:v>5</x:v>
      </x:c>
      <x:c r="G167" s="23" t="n">
        <x:v>4</x:v>
      </x:c>
      <x:c r="H167" s="23" t="n">
        <x:v>4</x:v>
      </x:c>
      <x:c r="I167" s="23" t="n">
        <x:v>3</x:v>
      </x:c>
      <x:c r="J167" s="23" t="n">
        <x:v>3</x:v>
      </x:c>
      <x:c r="K167" s="23" t="n">
        <x:v>7</x:v>
      </x:c>
      <x:c r="L167" s="23" t="n">
        <x:v>7</x:v>
      </x:c>
      <x:c r="M167" s="23" t="n">
        <x:v>3</x:v>
      </x:c>
      <x:c r="N167" s="23" t="n">
        <x:v>13</x:v>
      </x:c>
      <x:c r="O167" s="23" t="n">
        <x:v>1</x:v>
      </x:c>
      <x:c r="P167" s="23" t="n">
        <x:v>3</x:v>
      </x:c>
      <x:c r="Q167" s="23" t="n">
        <x:v>5</x:v>
      </x:c>
      <x:c r="R167" s="23" t="n">
        <x:v>10</x:v>
      </x:c>
    </x:row>
    <x:row r="168">
      <x:c r="A168" s="15" t="n">
        <x:v>45231</x:v>
      </x:c>
      <x:c r="B168" s="23" t="n">
        <x:v>3</x:v>
      </x:c>
      <x:c r="C168" s="23" t="n">
        <x:v>6</x:v>
      </x:c>
      <x:c r="D168" s="23" t="n">
        <x:v>2</x:v>
      </x:c>
      <x:c r="E168" s="23" t="n">
        <x:v>2</x:v>
      </x:c>
      <x:c r="F168" s="23" t="n">
        <x:v>5</x:v>
      </x:c>
      <x:c r="G168" s="23" t="n">
        <x:v>4</x:v>
      </x:c>
      <x:c r="H168" s="23" t="n">
        <x:v>4</x:v>
      </x:c>
      <x:c r="I168" s="23" t="n">
        <x:v>3</x:v>
      </x:c>
      <x:c r="J168" s="23" t="n">
        <x:v>3</x:v>
      </x:c>
      <x:c r="K168" s="23" t="n">
        <x:v>7</x:v>
      </x:c>
      <x:c r="L168" s="23" t="n">
        <x:v>7</x:v>
      </x:c>
      <x:c r="M168" s="23" t="n">
        <x:v>3</x:v>
      </x:c>
      <x:c r="N168" s="23" t="n">
        <x:v>13</x:v>
      </x:c>
      <x:c r="O168" s="23" t="n">
        <x:v>1</x:v>
      </x:c>
      <x:c r="P168" s="23" t="n">
        <x:v>3</x:v>
      </x:c>
      <x:c r="Q168" s="23" t="n">
        <x:v>5</x:v>
      </x:c>
      <x:c r="R168" s="23" t="n">
        <x:v>10</x:v>
      </x:c>
    </x:row>
    <x:row r="169">
      <x:c r="A169" s="15" t="n">
        <x:v>45261</x:v>
      </x:c>
      <x:c r="B169" s="23" t="n">
        <x:v>3</x:v>
      </x:c>
      <x:c r="C169" s="23" t="n">
        <x:v>6</x:v>
      </x:c>
      <x:c r="D169" s="23" t="n">
        <x:v>2</x:v>
      </x:c>
      <x:c r="E169" s="23" t="n">
        <x:v>2</x:v>
      </x:c>
      <x:c r="F169" s="23" t="n">
        <x:v>5</x:v>
      </x:c>
      <x:c r="G169" s="23" t="n">
        <x:v>4</x:v>
      </x:c>
      <x:c r="H169" s="23" t="n">
        <x:v>4</x:v>
      </x:c>
      <x:c r="I169" s="23" t="n">
        <x:v>3</x:v>
      </x:c>
      <x:c r="J169" s="23" t="n">
        <x:v>3</x:v>
      </x:c>
      <x:c r="K169" s="23" t="n">
        <x:v>7</x:v>
      </x:c>
      <x:c r="L169" s="23" t="n">
        <x:v>8</x:v>
      </x:c>
      <x:c r="M169" s="23" t="n">
        <x:v>3</x:v>
      </x:c>
      <x:c r="N169" s="23" t="n">
        <x:v>13</x:v>
      </x:c>
      <x:c r="O169" s="23" t="n">
        <x:v>1</x:v>
      </x:c>
      <x:c r="P169" s="23" t="n">
        <x:v>3</x:v>
      </x:c>
      <x:c r="Q169" s="23" t="n">
        <x:v>6</x:v>
      </x:c>
      <x:c r="R169" s="23" t="n">
        <x:v>10</x:v>
      </x:c>
    </x:row>
    <x:row r="170">
      <x:c r="A170" s="15" t="n">
        <x:v>45292</x:v>
      </x:c>
      <x:c r="B170" s="23" t="n">
        <x:v>3</x:v>
      </x:c>
      <x:c r="C170" s="23" t="n">
        <x:v>6</x:v>
      </x:c>
      <x:c r="D170" s="23" t="n">
        <x:v>2</x:v>
      </x:c>
      <x:c r="E170" s="23" t="n">
        <x:v>2</x:v>
      </x:c>
      <x:c r="F170" s="23" t="n">
        <x:v>5</x:v>
      </x:c>
      <x:c r="G170" s="23" t="n">
        <x:v>4</x:v>
      </x:c>
      <x:c r="H170" s="23" t="n">
        <x:v>4</x:v>
      </x:c>
      <x:c r="I170" s="23" t="n">
        <x:v>3</x:v>
      </x:c>
      <x:c r="J170" s="23" t="n">
        <x:v>3</x:v>
      </x:c>
      <x:c r="K170" s="23" t="n">
        <x:v>6</x:v>
      </x:c>
      <x:c r="L170" s="23" t="n">
        <x:v>8</x:v>
      </x:c>
      <x:c r="M170" s="23" t="n">
        <x:v>3</x:v>
      </x:c>
      <x:c r="N170" s="23" t="n">
        <x:v>13</x:v>
      </x:c>
      <x:c r="O170" s="23" t="n">
        <x:v>1</x:v>
      </x:c>
      <x:c r="P170" s="23" t="n">
        <x:v>3</x:v>
      </x:c>
      <x:c r="Q170" s="23" t="n">
        <x:v>5</x:v>
      </x:c>
      <x:c r="R170" s="23" t="n">
        <x:v>10</x:v>
      </x:c>
    </x:row>
    <x:row r="171">
      <x:c r="A171" s="15" t="n">
        <x:v>45323</x:v>
      </x:c>
      <x:c r="B171" s="23" t="n">
        <x:v>3</x:v>
      </x:c>
      <x:c r="C171" s="23" t="n">
        <x:v>6</x:v>
      </x:c>
      <x:c r="D171" s="23" t="n">
        <x:v>2</x:v>
      </x:c>
      <x:c r="E171" s="23" t="n">
        <x:v>2</x:v>
      </x:c>
      <x:c r="F171" s="23" t="n">
        <x:v>5</x:v>
      </x:c>
      <x:c r="G171" s="23" t="n">
        <x:v>4</x:v>
      </x:c>
      <x:c r="H171" s="23" t="n">
        <x:v>4</x:v>
      </x:c>
      <x:c r="I171" s="23" t="n">
        <x:v>3</x:v>
      </x:c>
      <x:c r="J171" s="23" t="n">
        <x:v>3</x:v>
      </x:c>
      <x:c r="K171" s="23" t="n">
        <x:v>6</x:v>
      </x:c>
      <x:c r="L171" s="23" t="n">
        <x:v>8</x:v>
      </x:c>
      <x:c r="M171" s="23" t="n">
        <x:v>3</x:v>
      </x:c>
      <x:c r="N171" s="23" t="n">
        <x:v>13</x:v>
      </x:c>
      <x:c r="O171" s="23" t="n">
        <x:v>1</x:v>
      </x:c>
      <x:c r="P171" s="23" t="n">
        <x:v>3</x:v>
      </x:c>
      <x:c r="Q171" s="23" t="n">
        <x:v>5</x:v>
      </x:c>
      <x:c r="R171" s="23" t="n">
        <x:v>10</x:v>
      </x:c>
    </x:row>
    <x:row r="172">
      <x:c r="A172" s="15" t="n">
        <x:v>45352</x:v>
      </x:c>
      <x:c r="B172" s="23" t="n">
        <x:v>3</x:v>
      </x:c>
      <x:c r="C172" s="23" t="n">
        <x:v>6</x:v>
      </x:c>
      <x:c r="D172" s="23" t="n">
        <x:v>2</x:v>
      </x:c>
      <x:c r="E172" s="23" t="n">
        <x:v>2</x:v>
      </x:c>
      <x:c r="F172" s="23" t="n">
        <x:v>5</x:v>
      </x:c>
      <x:c r="G172" s="23" t="n">
        <x:v>4</x:v>
      </x:c>
      <x:c r="H172" s="23" t="n">
        <x:v>4</x:v>
      </x:c>
      <x:c r="I172" s="23" t="n">
        <x:v>3</x:v>
      </x:c>
      <x:c r="J172" s="23" t="n">
        <x:v>3</x:v>
      </x:c>
      <x:c r="K172" s="23" t="n">
        <x:v>6</x:v>
      </x:c>
      <x:c r="L172" s="23" t="n">
        <x:v>8</x:v>
      </x:c>
      <x:c r="M172" s="23" t="n">
        <x:v>3</x:v>
      </x:c>
      <x:c r="N172" s="23" t="n">
        <x:v>13</x:v>
      </x:c>
      <x:c r="O172" s="23" t="n">
        <x:v>1</x:v>
      </x:c>
      <x:c r="P172" s="23" t="n">
        <x:v>3</x:v>
      </x:c>
      <x:c r="Q172" s="23" t="n">
        <x:v>5</x:v>
      </x:c>
      <x:c r="R172" s="23" t="n">
        <x:v>10</x:v>
      </x:c>
    </x:row>
    <x:row r="173">
      <x:c r="A173" s="15" t="n">
        <x:v>45383</x:v>
      </x:c>
      <x:c r="B173" s="23" t="n">
        <x:v>3</x:v>
      </x:c>
      <x:c r="C173" s="23" t="n">
        <x:v>6</x:v>
      </x:c>
      <x:c r="D173" s="23" t="n">
        <x:v>2</x:v>
      </x:c>
      <x:c r="E173" s="23" t="n">
        <x:v>2</x:v>
      </x:c>
      <x:c r="F173" s="23" t="n">
        <x:v>5</x:v>
      </x:c>
      <x:c r="G173" s="23" t="n">
        <x:v>4</x:v>
      </x:c>
      <x:c r="H173" s="23" t="n">
        <x:v>4</x:v>
      </x:c>
      <x:c r="I173" s="23" t="n">
        <x:v>3</x:v>
      </x:c>
      <x:c r="J173" s="23" t="n">
        <x:v>3</x:v>
      </x:c>
      <x:c r="K173" s="23" t="n">
        <x:v>6</x:v>
      </x:c>
      <x:c r="L173" s="23" t="n">
        <x:v>8</x:v>
      </x:c>
      <x:c r="M173" s="23" t="n">
        <x:v>3</x:v>
      </x:c>
      <x:c r="N173" s="23" t="n">
        <x:v>13</x:v>
      </x:c>
      <x:c r="O173" s="23" t="n">
        <x:v>1</x:v>
      </x:c>
      <x:c r="P173" s="23" t="n">
        <x:v>3</x:v>
      </x:c>
      <x:c r="Q173" s="23" t="n">
        <x:v>5</x:v>
      </x:c>
      <x:c r="R173" s="23" t="n">
        <x:v>11</x:v>
      </x:c>
    </x:row>
    <x:row r="174">
      <x:c r="A174" s="15" t="n">
        <x:v>45413</x:v>
      </x:c>
      <x:c r="B174" s="23" t="n">
        <x:v>3</x:v>
      </x:c>
      <x:c r="C174" s="23" t="n">
        <x:v>6</x:v>
      </x:c>
      <x:c r="D174" s="23" t="n">
        <x:v>2</x:v>
      </x:c>
      <x:c r="E174" s="23" t="n">
        <x:v>2</x:v>
      </x:c>
      <x:c r="F174" s="23" t="n">
        <x:v>5</x:v>
      </x:c>
      <x:c r="G174" s="23" t="n">
        <x:v>4</x:v>
      </x:c>
      <x:c r="H174" s="23" t="n">
        <x:v>4</x:v>
      </x:c>
      <x:c r="I174" s="23" t="n">
        <x:v>3</x:v>
      </x:c>
      <x:c r="J174" s="23" t="n">
        <x:v>3</x:v>
      </x:c>
      <x:c r="K174" s="23" t="n">
        <x:v>6</x:v>
      </x:c>
      <x:c r="L174" s="23" t="n">
        <x:v>8</x:v>
      </x:c>
      <x:c r="M174" s="23" t="n">
        <x:v>3</x:v>
      </x:c>
      <x:c r="N174" s="23" t="n">
        <x:v>12</x:v>
      </x:c>
      <x:c r="O174" s="23" t="n">
        <x:v>1</x:v>
      </x:c>
      <x:c r="P174" s="23" t="n">
        <x:v>3</x:v>
      </x:c>
      <x:c r="Q174" s="23" t="n">
        <x:v>5</x:v>
      </x:c>
      <x:c r="R174" s="23" t="n">
        <x:v>11</x:v>
      </x:c>
    </x:row>
    <x:row r="175">
      <x:c r="A175" s="15" t="n">
        <x:v>45444</x:v>
      </x:c>
      <x:c r="B175" s="23" t="n">
        <x:v>3</x:v>
      </x:c>
      <x:c r="C175" s="23" t="n">
        <x:v>6</x:v>
      </x:c>
      <x:c r="D175" s="23" t="n">
        <x:v>2</x:v>
      </x:c>
      <x:c r="E175" s="23" t="n">
        <x:v>2</x:v>
      </x:c>
      <x:c r="F175" s="23" t="n">
        <x:v>5</x:v>
      </x:c>
      <x:c r="G175" s="23" t="n">
        <x:v>4</x:v>
      </x:c>
      <x:c r="H175" s="23" t="n">
        <x:v>4</x:v>
      </x:c>
      <x:c r="I175" s="23" t="n">
        <x:v>3</x:v>
      </x:c>
      <x:c r="J175" s="23" t="n">
        <x:v>3</x:v>
      </x:c>
      <x:c r="K175" s="23" t="n">
        <x:v>6</x:v>
      </x:c>
      <x:c r="L175" s="23" t="n">
        <x:v>8</x:v>
      </x:c>
      <x:c r="M175" s="23" t="n">
        <x:v>3</x:v>
      </x:c>
      <x:c r="N175" s="23" t="n">
        <x:v>12</x:v>
      </x:c>
      <x:c r="O175" s="23" t="n">
        <x:v>1</x:v>
      </x:c>
      <x:c r="P175" s="23" t="n">
        <x:v>3</x:v>
      </x:c>
      <x:c r="Q175" s="23" t="n">
        <x:v>5</x:v>
      </x:c>
      <x:c r="R175" s="23" t="n">
        <x:v>11</x:v>
      </x:c>
    </x:row>
    <x:row r="176">
      <x:c r="A176" s="15" t="n">
        <x:v>45474</x:v>
      </x:c>
      <x:c r="B176" s="23" t="n">
        <x:v>3</x:v>
      </x:c>
      <x:c r="C176" s="23" t="n">
        <x:v>6</x:v>
      </x:c>
      <x:c r="D176" s="23" t="n">
        <x:v>2</x:v>
      </x:c>
      <x:c r="E176" s="23" t="n">
        <x:v>2</x:v>
      </x:c>
      <x:c r="F176" s="23" t="n">
        <x:v>5</x:v>
      </x:c>
      <x:c r="G176" s="23" t="n">
        <x:v>4</x:v>
      </x:c>
      <x:c r="H176" s="23" t="n">
        <x:v>4</x:v>
      </x:c>
      <x:c r="I176" s="23" t="n">
        <x:v>3</x:v>
      </x:c>
      <x:c r="J176" s="23" t="n">
        <x:v>3</x:v>
      </x:c>
      <x:c r="K176" s="23" t="n">
        <x:v>7</x:v>
      </x:c>
      <x:c r="L176" s="23" t="n">
        <x:v>8</x:v>
      </x:c>
      <x:c r="M176" s="23" t="n">
        <x:v>3</x:v>
      </x:c>
      <x:c r="N176" s="23" t="n">
        <x:v>12</x:v>
      </x:c>
      <x:c r="O176" s="23" t="n">
        <x:v>1</x:v>
      </x:c>
      <x:c r="P176" s="23" t="n">
        <x:v>3</x:v>
      </x:c>
      <x:c r="Q176" s="23" t="n">
        <x:v>5</x:v>
      </x:c>
      <x:c r="R176" s="23" t="n">
        <x:v>11</x:v>
      </x:c>
    </x:row>
    <x:row r="177">
      <x:c r="A177" s="15" t="n">
        <x:v>45505</x:v>
      </x:c>
      <x:c r="B177" s="23" t="n">
        <x:v>3</x:v>
      </x:c>
      <x:c r="C177" s="23" t="n">
        <x:v>6</x:v>
      </x:c>
      <x:c r="D177" s="23" t="n">
        <x:v>2</x:v>
      </x:c>
      <x:c r="E177" s="23" t="n">
        <x:v>2</x:v>
      </x:c>
      <x:c r="F177" s="23" t="n">
        <x:v>4</x:v>
      </x:c>
      <x:c r="G177" s="23" t="n">
        <x:v>4</x:v>
      </x:c>
      <x:c r="H177" s="23" t="n">
        <x:v>4</x:v>
      </x:c>
      <x:c r="I177" s="23" t="n">
        <x:v>3</x:v>
      </x:c>
      <x:c r="J177" s="23" t="n">
        <x:v>3</x:v>
      </x:c>
      <x:c r="K177" s="23" t="n">
        <x:v>7</x:v>
      </x:c>
      <x:c r="L177" s="23" t="n">
        <x:v>8</x:v>
      </x:c>
      <x:c r="M177" s="23" t="n">
        <x:v>3</x:v>
      </x:c>
      <x:c r="N177" s="23" t="n">
        <x:v>12</x:v>
      </x:c>
      <x:c r="O177" s="23" t="n">
        <x:v>1</x:v>
      </x:c>
      <x:c r="P177" s="23" t="n">
        <x:v>3</x:v>
      </x:c>
      <x:c r="Q177" s="23" t="n">
        <x:v>5</x:v>
      </x:c>
      <x:c r="R177" s="23" t="n">
        <x:v>11</x:v>
      </x:c>
    </x:row>
    <x:row r="178">
      <x:c r="A178" s="15" t="n">
        <x:v>45536</x:v>
      </x:c>
      <x:c r="B178" s="23" t="n">
        <x:v>3</x:v>
      </x:c>
      <x:c r="C178" s="23" t="n">
        <x:v>6</x:v>
      </x:c>
      <x:c r="D178" s="23" t="n">
        <x:v>2</x:v>
      </x:c>
      <x:c r="E178" s="23" t="n">
        <x:v>2</x:v>
      </x:c>
      <x:c r="F178" s="23" t="n">
        <x:v>4</x:v>
      </x:c>
      <x:c r="G178" s="23" t="n">
        <x:v>4</x:v>
      </x:c>
      <x:c r="H178" s="23" t="n">
        <x:v>4</x:v>
      </x:c>
      <x:c r="I178" s="23" t="n">
        <x:v>3</x:v>
      </x:c>
      <x:c r="J178" s="23" t="n">
        <x:v>3</x:v>
      </x:c>
      <x:c r="K178" s="23" t="n">
        <x:v>7</x:v>
      </x:c>
      <x:c r="L178" s="23" t="n">
        <x:v>8</x:v>
      </x:c>
      <x:c r="M178" s="23" t="n">
        <x:v>2</x:v>
      </x:c>
      <x:c r="N178" s="23" t="n">
        <x:v>12</x:v>
      </x:c>
      <x:c r="O178" s="23" t="n">
        <x:v>1</x:v>
      </x:c>
      <x:c r="P178" s="23" t="n">
        <x:v>3</x:v>
      </x:c>
      <x:c r="Q178" s="23" t="n">
        <x:v>5</x:v>
      </x:c>
      <x:c r="R178" s="23" t="n">
        <x:v>11</x:v>
      </x:c>
    </x:row>
    <x:row r="179">
      <x:c r="A179" s="15" t="n">
        <x:v>45566</x:v>
      </x:c>
      <x:c r="B179" s="23" t="n">
        <x:v>3</x:v>
      </x:c>
      <x:c r="C179" s="23" t="n">
        <x:v>6</x:v>
      </x:c>
      <x:c r="D179" s="23" t="n">
        <x:v>2</x:v>
      </x:c>
      <x:c r="E179" s="23" t="n">
        <x:v>2</x:v>
      </x:c>
      <x:c r="F179" s="23" t="n">
        <x:v>4</x:v>
      </x:c>
      <x:c r="G179" s="23" t="n">
        <x:v>4</x:v>
      </x:c>
      <x:c r="H179" s="23" t="n">
        <x:v>4</x:v>
      </x:c>
      <x:c r="I179" s="23" t="n">
        <x:v>3</x:v>
      </x:c>
      <x:c r="J179" s="23" t="n">
        <x:v>3</x:v>
      </x:c>
      <x:c r="K179" s="23" t="n">
        <x:v>7</x:v>
      </x:c>
      <x:c r="L179" s="23" t="n">
        <x:v>8</x:v>
      </x:c>
      <x:c r="M179" s="23" t="n">
        <x:v>2</x:v>
      </x:c>
      <x:c r="N179" s="23" t="n">
        <x:v>12</x:v>
      </x:c>
      <x:c r="O179" s="23" t="n">
        <x:v>1</x:v>
      </x:c>
      <x:c r="P179" s="23" t="n">
        <x:v>3</x:v>
      </x:c>
      <x:c r="Q179" s="23" t="n">
        <x:v>5</x:v>
      </x:c>
      <x:c r="R179" s="23" t="n">
        <x:v>11</x:v>
      </x:c>
    </x:row>
    <x:row r="180">
      <x:c r="A180" s="15" t="n">
        <x:v>45597</x:v>
      </x:c>
      <x:c r="B180" s="23" t="n">
        <x:v>3</x:v>
      </x:c>
      <x:c r="C180" s="23" t="n">
        <x:v>6</x:v>
      </x:c>
      <x:c r="D180" s="23" t="n">
        <x:v>2</x:v>
      </x:c>
      <x:c r="E180" s="23" t="n">
        <x:v>2</x:v>
      </x:c>
      <x:c r="F180" s="23" t="n">
        <x:v>4</x:v>
      </x:c>
      <x:c r="G180" s="23" t="n">
        <x:v>4</x:v>
      </x:c>
      <x:c r="H180" s="23" t="n">
        <x:v>4</x:v>
      </x:c>
      <x:c r="I180" s="23" t="n">
        <x:v>3</x:v>
      </x:c>
      <x:c r="J180" s="23" t="n">
        <x:v>3</x:v>
      </x:c>
      <x:c r="K180" s="23" t="n">
        <x:v>7</x:v>
      </x:c>
      <x:c r="L180" s="23" t="n">
        <x:v>8</x:v>
      </x:c>
      <x:c r="M180" s="23" t="n">
        <x:v>2</x:v>
      </x:c>
      <x:c r="N180" s="23" t="n">
        <x:v>12</x:v>
      </x:c>
      <x:c r="O180" s="23" t="n">
        <x:v>1</x:v>
      </x:c>
      <x:c r="P180" s="23" t="n">
        <x:v>3</x:v>
      </x:c>
      <x:c r="Q180" s="23" t="n">
        <x:v>5</x:v>
      </x:c>
      <x:c r="R180" s="23" t="n">
        <x:v>11</x:v>
      </x:c>
    </x:row>
    <x:row r="181">
      <x:c r="A181" s="15" t="n">
        <x:v>45627</x:v>
      </x:c>
      <x:c r="B181" s="23" t="n">
        <x:v>3</x:v>
      </x:c>
      <x:c r="C181" s="23" t="n">
        <x:v>6</x:v>
      </x:c>
      <x:c r="D181" s="23" t="n">
        <x:v>2</x:v>
      </x:c>
      <x:c r="E181" s="23" t="n">
        <x:v>2</x:v>
      </x:c>
      <x:c r="F181" s="23" t="n">
        <x:v>5</x:v>
      </x:c>
      <x:c r="G181" s="23" t="n">
        <x:v>4</x:v>
      </x:c>
      <x:c r="H181" s="23" t="n">
        <x:v>4</x:v>
      </x:c>
      <x:c r="I181" s="23" t="n">
        <x:v>3</x:v>
      </x:c>
      <x:c r="J181" s="23" t="n">
        <x:v>3</x:v>
      </x:c>
      <x:c r="K181" s="23" t="n">
        <x:v>6</x:v>
      </x:c>
      <x:c r="L181" s="23" t="n">
        <x:v>8</x:v>
      </x:c>
      <x:c r="M181" s="23" t="n">
        <x:v>2</x:v>
      </x:c>
      <x:c r="N181" s="23" t="n">
        <x:v>12</x:v>
      </x:c>
      <x:c r="O181" s="23" t="n">
        <x:v>1</x:v>
      </x:c>
      <x:c r="P181" s="23" t="n">
        <x:v>3</x:v>
      </x:c>
      <x:c r="Q181" s="23" t="n">
        <x:v>6</x:v>
      </x:c>
      <x:c r="R181" s="23" t="n">
        <x:v>12</x:v>
      </x:c>
    </x:row>
    <x:row r="182">
      <x:c r="A182" s="15" t="n">
        <x:v>45658</x:v>
      </x:c>
      <x:c r="B182" s="23" t="n">
        <x:v>3</x:v>
      </x:c>
      <x:c r="C182" s="23" t="n">
        <x:v>6</x:v>
      </x:c>
      <x:c r="D182" s="23" t="n">
        <x:v>2</x:v>
      </x:c>
      <x:c r="E182" s="23" t="n">
        <x:v>2</x:v>
      </x:c>
      <x:c r="F182" s="23" t="n">
        <x:v>5</x:v>
      </x:c>
      <x:c r="G182" s="23" t="n">
        <x:v>4</x:v>
      </x:c>
      <x:c r="H182" s="23" t="n">
        <x:v>4</x:v>
      </x:c>
      <x:c r="I182" s="23" t="n">
        <x:v>2</x:v>
      </x:c>
      <x:c r="J182" s="23" t="n">
        <x:v>3</x:v>
      </x:c>
      <x:c r="K182" s="23" t="n">
        <x:v>6</x:v>
      </x:c>
      <x:c r="L182" s="23" t="n">
        <x:v>8</x:v>
      </x:c>
      <x:c r="M182" s="23" t="n">
        <x:v>2</x:v>
      </x:c>
      <x:c r="N182" s="23" t="n">
        <x:v>11</x:v>
      </x:c>
      <x:c r="O182" s="23" t="n">
        <x:v>1</x:v>
      </x:c>
      <x:c r="P182" s="23" t="n">
        <x:v>3</x:v>
      </x:c>
      <x:c r="Q182" s="23" t="n">
        <x:v>6</x:v>
      </x:c>
      <x:c r="R182" s="23" t="n">
        <x:v>12</x:v>
      </x:c>
    </x:row>
    <x:row r="183">
      <x:c r="A183" s="15" t="n">
        <x:v>45689</x:v>
      </x:c>
      <x:c r="B183" s="23" t="n">
        <x:v>3</x:v>
      </x:c>
      <x:c r="C183" s="23" t="n">
        <x:v>6</x:v>
      </x:c>
      <x:c r="D183" s="23" t="n">
        <x:v>2</x:v>
      </x:c>
      <x:c r="E183" s="23" t="n">
        <x:v>2</x:v>
      </x:c>
      <x:c r="F183" s="23" t="n">
        <x:v>5</x:v>
      </x:c>
      <x:c r="G183" s="23" t="n">
        <x:v>4</x:v>
      </x:c>
      <x:c r="H183" s="23" t="n">
        <x:v>4</x:v>
      </x:c>
      <x:c r="I183" s="23" t="n">
        <x:v>2</x:v>
      </x:c>
      <x:c r="J183" s="23" t="n">
        <x:v>3</x:v>
      </x:c>
      <x:c r="K183" s="23" t="n">
        <x:v>6</x:v>
      </x:c>
      <x:c r="L183" s="23" t="n">
        <x:v>8</x:v>
      </x:c>
      <x:c r="M183" s="23" t="n">
        <x:v>2</x:v>
      </x:c>
      <x:c r="N183" s="23" t="n">
        <x:v>11</x:v>
      </x:c>
      <x:c r="O183" s="23" t="n">
        <x:v>1</x:v>
      </x:c>
      <x:c r="P183" s="23" t="n">
        <x:v>3</x:v>
      </x:c>
      <x:c r="Q183" s="23" t="n">
        <x:v>6</x:v>
      </x:c>
      <x:c r="R183" s="23" t="n">
        <x:v>12</x:v>
      </x:c>
    </x:row>
    <x:row r="184">
      <x:c r="A184" s="15" t="n">
        <x:v>45717</x:v>
      </x:c>
      <x:c r="B184" s="23" t="n">
        <x:v>3</x:v>
      </x:c>
      <x:c r="C184" s="23" t="n">
        <x:v>6</x:v>
      </x:c>
      <x:c r="D184" s="23" t="n">
        <x:v>2</x:v>
      </x:c>
      <x:c r="E184" s="23" t="n">
        <x:v>2</x:v>
      </x:c>
      <x:c r="F184" s="23" t="n">
        <x:v>5</x:v>
      </x:c>
      <x:c r="G184" s="23" t="n">
        <x:v>4</x:v>
      </x:c>
      <x:c r="H184" s="23" t="n">
        <x:v>4</x:v>
      </x:c>
      <x:c r="I184" s="23" t="n">
        <x:v>2</x:v>
      </x:c>
      <x:c r="J184" s="23" t="n">
        <x:v>3</x:v>
      </x:c>
      <x:c r="K184" s="23" t="n">
        <x:v>6</x:v>
      </x:c>
      <x:c r="L184" s="23" t="n">
        <x:v>8</x:v>
      </x:c>
      <x:c r="M184" s="23" t="n">
        <x:v>2</x:v>
      </x:c>
      <x:c r="N184" s="23" t="n">
        <x:v>11</x:v>
      </x:c>
      <x:c r="O184" s="23" t="n">
        <x:v>1</x:v>
      </x:c>
      <x:c r="P184" s="23" t="n">
        <x:v>3</x:v>
      </x:c>
      <x:c r="Q184" s="23" t="n">
        <x:v>6</x:v>
      </x:c>
      <x:c r="R184" s="23" t="n">
        <x:v>12</x:v>
      </x:c>
    </x:row>
    <x:row r="185">
      <x:c r="A185" s="15" t="n">
        <x:v>45748</x:v>
      </x:c>
      <x:c r="B185" s="23" t="n">
        <x:v>3</x:v>
      </x:c>
      <x:c r="C185" s="23" t="n">
        <x:v>6</x:v>
      </x:c>
      <x:c r="D185" s="23" t="n">
        <x:v>3</x:v>
      </x:c>
      <x:c r="E185" s="23" t="n">
        <x:v>2</x:v>
      </x:c>
      <x:c r="F185" s="23" t="n">
        <x:v>6</x:v>
      </x:c>
      <x:c r="G185" s="23" t="n">
        <x:v>4</x:v>
      </x:c>
      <x:c r="H185" s="23" t="n">
        <x:v>4</x:v>
      </x:c>
      <x:c r="I185" s="23" t="n">
        <x:v>2</x:v>
      </x:c>
      <x:c r="J185" s="23" t="n">
        <x:v>3</x:v>
      </x:c>
      <x:c r="K185" s="23" t="n">
        <x:v>6</x:v>
      </x:c>
      <x:c r="L185" s="23" t="n">
        <x:v>8</x:v>
      </x:c>
      <x:c r="M185" s="23" t="n">
        <x:v>2</x:v>
      </x:c>
      <x:c r="N185" s="23" t="n">
        <x:v>11</x:v>
      </x:c>
      <x:c r="O185" s="23" t="n">
        <x:v>1</x:v>
      </x:c>
      <x:c r="P185" s="23" t="n">
        <x:v>3</x:v>
      </x:c>
      <x:c r="Q185" s="23" t="n">
        <x:v>6</x:v>
      </x:c>
      <x:c r="R185" s="23" t="n">
        <x:v>12</x:v>
      </x:c>
    </x:row>
    <x:row r="186">
      <x:c r="A186" s="15" t="n">
        <x:v>45778</x:v>
      </x:c>
      <x:c r="B186" s="23" t="n">
        <x:v>3</x:v>
      </x:c>
      <x:c r="C186" s="23" t="n">
        <x:v>6</x:v>
      </x:c>
      <x:c r="D186" s="23" t="n">
        <x:v>3</x:v>
      </x:c>
      <x:c r="E186" s="23" t="n">
        <x:v>2</x:v>
      </x:c>
      <x:c r="F186" s="23" t="n">
        <x:v>6</x:v>
      </x:c>
      <x:c r="G186" s="23" t="n">
        <x:v>4</x:v>
      </x:c>
      <x:c r="H186" s="23" t="n">
        <x:v>4</x:v>
      </x:c>
      <x:c r="I186" s="23" t="n">
        <x:v>2</x:v>
      </x:c>
      <x:c r="J186" s="23" t="n">
        <x:v>3</x:v>
      </x:c>
      <x:c r="K186" s="23" t="n">
        <x:v>6</x:v>
      </x:c>
      <x:c r="L186" s="23" t="n">
        <x:v>8</x:v>
      </x:c>
      <x:c r="M186" s="23" t="n">
        <x:v>2</x:v>
      </x:c>
      <x:c r="N186" s="23" t="n">
        <x:v>10</x:v>
      </x:c>
      <x:c r="O186" s="23" t="n">
        <x:v>1</x:v>
      </x:c>
      <x:c r="P186" s="23" t="n">
        <x:v>2</x:v>
      </x:c>
      <x:c r="Q186" s="23" t="n">
        <x:v>5</x:v>
      </x:c>
      <x:c r="R186" s="23" t="n">
        <x:v>12</x:v>
      </x:c>
    </x:row>
    <x:row r="187">
      <x:c r="A187" s="15" t="n">
        <x:v>45809</x:v>
      </x:c>
      <x:c r="B187" s="23" t="n">
        <x:v>3</x:v>
      </x:c>
      <x:c r="C187" s="23" t="n">
        <x:v>6</x:v>
      </x:c>
      <x:c r="D187" s="23" t="n">
        <x:v>3</x:v>
      </x:c>
      <x:c r="E187" s="23" t="n">
        <x:v>2</x:v>
      </x:c>
      <x:c r="F187" s="23" t="n">
        <x:v>6</x:v>
      </x:c>
      <x:c r="G187" s="23" t="n">
        <x:v>4</x:v>
      </x:c>
      <x:c r="H187" s="23" t="n">
        <x:v>4</x:v>
      </x:c>
      <x:c r="I187" s="23" t="n">
        <x:v>2</x:v>
      </x:c>
      <x:c r="J187" s="23" t="n">
        <x:v>3</x:v>
      </x:c>
      <x:c r="K187" s="23" t="n">
        <x:v>6</x:v>
      </x:c>
      <x:c r="L187" s="23" t="n">
        <x:v>8</x:v>
      </x:c>
      <x:c r="M187" s="23" t="n">
        <x:v>2</x:v>
      </x:c>
      <x:c r="N187" s="23" t="n">
        <x:v>10</x:v>
      </x:c>
      <x:c r="O187" s="23" t="n">
        <x:v>1</x:v>
      </x:c>
      <x:c r="P187" s="23" t="n">
        <x:v>2</x:v>
      </x:c>
      <x:c r="Q187" s="23" t="n">
        <x:v>5</x:v>
      </x:c>
      <x:c r="R187" s="23" t="n">
        <x:v>12</x:v>
      </x:c>
    </x:row>
    <x:row r="188">
      <x:c r="A188" s="15" t="n">
        <x:v>45839</x:v>
      </x:c>
      <x:c r="B188" s="23" t="n">
        <x:v>3</x:v>
      </x:c>
      <x:c r="C188" s="23" t="n">
        <x:v>6</x:v>
      </x:c>
      <x:c r="D188" s="23" t="n">
        <x:v>3</x:v>
      </x:c>
      <x:c r="E188" s="23" t="n">
        <x:v>2</x:v>
      </x:c>
      <x:c r="F188" s="23" t="n">
        <x:v>6</x:v>
      </x:c>
      <x:c r="G188" s="23" t="n">
        <x:v>4</x:v>
      </x:c>
      <x:c r="H188" s="23" t="n">
        <x:v>4</x:v>
      </x:c>
      <x:c r="I188" s="23" t="n">
        <x:v>2</x:v>
      </x:c>
      <x:c r="J188" s="23" t="n">
        <x:v>3</x:v>
      </x:c>
      <x:c r="K188" s="23" t="n">
        <x:v>7</x:v>
      </x:c>
      <x:c r="L188" s="23" t="n">
        <x:v>8</x:v>
      </x:c>
      <x:c r="M188" s="23" t="n">
        <x:v>2</x:v>
      </x:c>
      <x:c r="N188" s="23" t="n">
        <x:v>9</x:v>
      </x:c>
      <x:c r="O188" s="23" t="n">
        <x:v>1</x:v>
      </x:c>
      <x:c r="P188" s="23" t="n">
        <x:v>2</x:v>
      </x:c>
      <x:c r="Q188" s="23" t="n">
        <x:v>5</x:v>
      </x:c>
      <x:c r="R188" s="23" t="n">
        <x:v>12</x:v>
      </x:c>
    </x:row>
    <x:row r="189">
      <x:c r="A189" s="15" t="n">
        <x:v>45870</x:v>
      </x:c>
      <x:c r="B189" s="23" t="n">
        <x:v>3</x:v>
      </x:c>
      <x:c r="C189" s="23" t="n">
        <x:v>6</x:v>
      </x:c>
      <x:c r="D189" s="23" t="n">
        <x:v>3</x:v>
      </x:c>
      <x:c r="E189" s="23" t="n">
        <x:v>2</x:v>
      </x:c>
      <x:c r="F189" s="23" t="n">
        <x:v>6</x:v>
      </x:c>
      <x:c r="G189" s="23" t="n">
        <x:v>4</x:v>
      </x:c>
      <x:c r="H189" s="23" t="n">
        <x:v>4</x:v>
      </x:c>
      <x:c r="I189" s="23" t="n">
        <x:v>3</x:v>
      </x:c>
      <x:c r="J189" s="23" t="n">
        <x:v>3</x:v>
      </x:c>
      <x:c r="K189" s="23" t="n">
        <x:v>7</x:v>
      </x:c>
      <x:c r="L189" s="23" t="n">
        <x:v>8</x:v>
      </x:c>
      <x:c r="M189" s="23" t="n">
        <x:v>2</x:v>
      </x:c>
      <x:c r="N189" s="23" t="n">
        <x:v>10</x:v>
      </x:c>
      <x:c r="O189" s="23" t="n">
        <x:v>1</x:v>
      </x:c>
      <x:c r="P189" s="23" t="n">
        <x:v>2</x:v>
      </x:c>
      <x:c r="Q189" s="23" t="n">
        <x:v>5</x:v>
      </x:c>
      <x:c r="R189" s="23" t="n">
        <x:v>12</x:v>
      </x:c>
    </x:row>
    <x:row r="190">
      <x:c r="A190" s="15" t="n">
        <x:v>45901</x:v>
      </x:c>
      <x:c r="B190" s="23" t="n">
        <x:v>2</x:v>
      </x:c>
      <x:c r="C190" s="23" t="n">
        <x:v>6</x:v>
      </x:c>
      <x:c r="D190" s="23" t="n">
        <x:v>3</x:v>
      </x:c>
      <x:c r="E190" s="23" t="n">
        <x:v>2</x:v>
      </x:c>
      <x:c r="F190" s="23" t="n">
        <x:v>6</x:v>
      </x:c>
      <x:c r="G190" s="23" t="n">
        <x:v>3</x:v>
      </x:c>
      <x:c r="H190" s="23" t="n">
        <x:v>4</x:v>
      </x:c>
      <x:c r="I190" s="23" t="n">
        <x:v>3</x:v>
      </x:c>
      <x:c r="J190" s="23" t="n">
        <x:v>3</x:v>
      </x:c>
      <x:c r="K190" s="23" t="n">
        <x:v>7</x:v>
      </x:c>
      <x:c r="L190" s="23" t="n">
        <x:v>8</x:v>
      </x:c>
      <x:c r="M190" s="23" t="n">
        <x:v>2</x:v>
      </x:c>
      <x:c r="N190" s="23" t="n">
        <x:v>9</x:v>
      </x:c>
      <x:c r="O190" s="23" t="n">
        <x:v>1</x:v>
      </x:c>
      <x:c r="P190" s="23" t="n">
        <x:v>2</x:v>
      </x:c>
      <x:c r="Q190" s="23" t="n">
        <x:v>4</x:v>
      </x:c>
      <x:c r="R190" s="23" t="n">
        <x:v>12</x:v>
      </x:c>
    </x:row>
    <x:row r="191">
      <x:c r="A191" s="15" t="n">
        <x:v>45931</x:v>
      </x:c>
      <x:c r="B191" s="23" t="n">
        <x:v>2</x:v>
      </x:c>
      <x:c r="C191" s="23" t="n">
        <x:v>6</x:v>
      </x:c>
      <x:c r="D191" s="23" t="n">
        <x:v>3</x:v>
      </x:c>
      <x:c r="E191" s="23" t="n">
        <x:v>2</x:v>
      </x:c>
      <x:c r="F191" s="23" t="n">
        <x:v>6</x:v>
      </x:c>
      <x:c r="G191" s="23" t="n">
        <x:v>3</x:v>
      </x:c>
      <x:c r="H191" s="23" t="n">
        <x:v>4</x:v>
      </x:c>
      <x:c r="I191" s="23" t="n">
        <x:v>3</x:v>
      </x:c>
      <x:c r="J191" s="23" t="n">
        <x:v>3</x:v>
      </x:c>
      <x:c r="K191" s="23" t="n">
        <x:v>7</x:v>
      </x:c>
      <x:c r="L191" s="23" t="n">
        <x:v>8</x:v>
      </x:c>
      <x:c r="M191" s="23" t="n">
        <x:v>2</x:v>
      </x:c>
      <x:c r="N191" s="23" t="n">
        <x:v>10</x:v>
      </x:c>
      <x:c r="O191" s="23" t="n">
        <x:v>1</x:v>
      </x:c>
      <x:c r="P191" s="23" t="n">
        <x:v>2</x:v>
      </x:c>
      <x:c r="Q191" s="23" t="n">
        <x:v>4</x:v>
      </x:c>
      <x:c r="R191" s="23" t="n">
        <x:v>12</x:v>
      </x:c>
    </x:row>
    <x:row r="192">
      <x:c r="A192" s="15" t="n">
        <x:v>45962</x:v>
      </x:c>
      <x:c r="B192" s="23" t="n">
        <x:v>2</x:v>
      </x:c>
      <x:c r="C192" s="23" t="n">
        <x:v>6</x:v>
      </x:c>
      <x:c r="D192" s="23" t="n">
        <x:v>3</x:v>
      </x:c>
      <x:c r="E192" s="23" t="n">
        <x:v>2</x:v>
      </x:c>
      <x:c r="F192" s="23" t="n">
        <x:v>6</x:v>
      </x:c>
      <x:c r="G192" s="23" t="n">
        <x:v>3</x:v>
      </x:c>
      <x:c r="H192" s="23" t="n">
        <x:v>4</x:v>
      </x:c>
      <x:c r="I192" s="23" t="n">
        <x:v>3</x:v>
      </x:c>
      <x:c r="J192" s="23" t="n">
        <x:v>3</x:v>
      </x:c>
      <x:c r="K192" s="23" t="n">
        <x:v>7</x:v>
      </x:c>
      <x:c r="L192" s="23" t="n">
        <x:v>8</x:v>
      </x:c>
      <x:c r="M192" s="23" t="n">
        <x:v>2</x:v>
      </x:c>
      <x:c r="N192" s="23" t="n">
        <x:v>10</x:v>
      </x:c>
      <x:c r="O192" s="23" t="n">
        <x:v>1</x:v>
      </x:c>
      <x:c r="P192" s="23" t="n">
        <x:v>2</x:v>
      </x:c>
      <x:c r="Q192" s="23" t="n">
        <x:v>4</x:v>
      </x:c>
      <x:c r="R192" s="23" t="n">
        <x:v>11</x:v>
      </x:c>
    </x:row>
    <x:row r="193">
      <x:c r="A193" s="15" t="n">
        <x:v>45992</x:v>
      </x:c>
      <x:c r="B193" s="23" t="n">
        <x:v>2</x:v>
      </x:c>
      <x:c r="C193" s="23" t="n">
        <x:v>6</x:v>
      </x:c>
      <x:c r="D193" s="23" t="n">
        <x:v>3</x:v>
      </x:c>
      <x:c r="E193" s="23" t="n">
        <x:v>2</x:v>
      </x:c>
      <x:c r="F193" s="23" t="n">
        <x:v>6</x:v>
      </x:c>
      <x:c r="G193" s="23" t="n">
        <x:v>3</x:v>
      </x:c>
      <x:c r="H193" s="23" t="n">
        <x:v>4</x:v>
      </x:c>
      <x:c r="I193" s="23" t="n">
        <x:v>4</x:v>
      </x:c>
      <x:c r="J193" s="23" t="n">
        <x:v>3</x:v>
      </x:c>
      <x:c r="K193" s="23" t="n">
        <x:v>6</x:v>
      </x:c>
      <x:c r="L193" s="23" t="n">
        <x:v>8</x:v>
      </x:c>
      <x:c r="M193" s="23" t="n">
        <x:v>2</x:v>
      </x:c>
      <x:c r="N193" s="23" t="n">
        <x:v>11</x:v>
      </x:c>
      <x:c r="O193" s="23" t="n">
        <x:v>1</x:v>
      </x:c>
      <x:c r="P193" s="23" t="n">
        <x:v>2</x:v>
      </x:c>
      <x:c r="Q193" s="23" t="n">
        <x:v>4</x:v>
      </x:c>
      <x:c r="R193" s="23" t="n">
        <x:v>11</x:v>
      </x:c>
    </x:row>
    <x:row r="194">
      <x:c r="A194" s="15" t="n">
        <x:v>46023</x:v>
      </x:c>
      <x:c r="B194" s="23" t="n">
        <x:v>2</x:v>
      </x:c>
      <x:c r="C194" s="23" t="n">
        <x:v>6</x:v>
      </x:c>
      <x:c r="D194" s="23" t="n">
        <x:v>3</x:v>
      </x:c>
      <x:c r="E194" s="23" t="n">
        <x:v>2</x:v>
      </x:c>
      <x:c r="F194" s="23" t="n">
        <x:v>6</x:v>
      </x:c>
      <x:c r="G194" s="23" t="n">
        <x:v>3</x:v>
      </x:c>
      <x:c r="H194" s="23" t="n">
        <x:v>4</x:v>
      </x:c>
      <x:c r="I194" s="23" t="n">
        <x:v>4</x:v>
      </x:c>
      <x:c r="J194" s="23" t="n">
        <x:v>3</x:v>
      </x:c>
      <x:c r="K194" s="23" t="n">
        <x:v>6</x:v>
      </x:c>
      <x:c r="L194" s="23" t="n">
        <x:v>8</x:v>
      </x:c>
      <x:c r="M194" s="23" t="n">
        <x:v>2</x:v>
      </x:c>
      <x:c r="N194" s="23" t="n">
        <x:v>10</x:v>
      </x:c>
      <x:c r="O194" s="23" t="n">
        <x:v>1</x:v>
      </x:c>
      <x:c r="P194" s="23" t="n">
        <x:v>2</x:v>
      </x:c>
      <x:c r="Q194" s="23" t="n">
        <x:v>4</x:v>
      </x:c>
      <x:c r="R194" s="23" t="n">
        <x:v>11</x:v>
      </x:c>
    </x:row>
    <x:row r="195">
      <x:c r="A195" s="15" t="n">
        <x:v>46054</x:v>
      </x:c>
      <x:c r="B195" s="23" t="n">
        <x:v>2</x:v>
      </x:c>
      <x:c r="C195" s="23" t="n">
        <x:v>6</x:v>
      </x:c>
      <x:c r="D195" s="23" t="n">
        <x:v>3</x:v>
      </x:c>
      <x:c r="E195" s="23" t="n">
        <x:v>2</x:v>
      </x:c>
      <x:c r="F195" s="23" t="n">
        <x:v>6</x:v>
      </x:c>
      <x:c r="G195" s="23" t="n">
        <x:v>3</x:v>
      </x:c>
      <x:c r="H195" s="23" t="n">
        <x:v>4</x:v>
      </x:c>
      <x:c r="I195" s="23" t="n">
        <x:v>4</x:v>
      </x:c>
      <x:c r="J195" s="23" t="n">
        <x:v>3</x:v>
      </x:c>
      <x:c r="K195" s="23" t="n">
        <x:v>6</x:v>
      </x:c>
      <x:c r="L195" s="23" t="n">
        <x:v>8</x:v>
      </x:c>
      <x:c r="M195" s="23" t="n">
        <x:v>2</x:v>
      </x:c>
      <x:c r="N195" s="23" t="n">
        <x:v>10</x:v>
      </x:c>
      <x:c r="O195" s="23" t="n">
        <x:v>1</x:v>
      </x:c>
      <x:c r="P195" s="23" t="n">
        <x:v>2</x:v>
      </x:c>
      <x:c r="Q195" s="23" t="n">
        <x:v>4</x:v>
      </x:c>
      <x:c r="R195" s="23" t="n">
        <x:v>11</x:v>
      </x:c>
    </x:row>
    <x:row r="196">
      <x:c r="A196" s="15" t="n">
        <x:v>46082</x:v>
      </x:c>
      <x:c r="B196" s="23" t="n">
        <x:v>1</x:v>
      </x:c>
      <x:c r="C196" s="23" t="n">
        <x:v>6</x:v>
      </x:c>
      <x:c r="D196" s="23" t="n">
        <x:v>3</x:v>
      </x:c>
      <x:c r="E196" s="23" t="n">
        <x:v>2</x:v>
      </x:c>
      <x:c r="F196" s="23" t="n">
        <x:v>6</x:v>
      </x:c>
      <x:c r="G196" s="23" t="n">
        <x:v>3</x:v>
      </x:c>
      <x:c r="H196" s="23" t="n">
        <x:v>4</x:v>
      </x:c>
      <x:c r="I196" s="23" t="n">
        <x:v>4</x:v>
      </x:c>
      <x:c r="J196" s="23" t="n">
        <x:v>3</x:v>
      </x:c>
      <x:c r="K196" s="23" t="n">
        <x:v>6</x:v>
      </x:c>
      <x:c r="L196" s="23" t="n">
        <x:v>8</x:v>
      </x:c>
      <x:c r="M196" s="23" t="n">
        <x:v>2</x:v>
      </x:c>
      <x:c r="N196" s="23" t="n">
        <x:v>9</x:v>
      </x:c>
      <x:c r="O196" s="23" t="n">
        <x:v>1</x:v>
      </x:c>
      <x:c r="P196" s="23" t="n">
        <x:v>2</x:v>
      </x:c>
      <x:c r="Q196" s="23" t="n">
        <x:v>4</x:v>
      </x:c>
      <x:c r="R196" s="23" t="n">
        <x:v>12</x:v>
      </x:c>
    </x:row>
    <x:row r="197">
      <x:c r="A197" s="15" t="n">
        <x:v>46113</x:v>
      </x:c>
      <x:c r="B197" s="23" t="n">
        <x:v>1</x:v>
      </x:c>
      <x:c r="C197" s="23" t="n">
        <x:v>6</x:v>
      </x:c>
      <x:c r="D197" s="23" t="n">
        <x:v>3</x:v>
      </x:c>
      <x:c r="E197" s="23" t="n">
        <x:v>2</x:v>
      </x:c>
      <x:c r="F197" s="23" t="n">
        <x:v>6</x:v>
      </x:c>
      <x:c r="G197" s="23" t="n">
        <x:v>3</x:v>
      </x:c>
      <x:c r="H197" s="23" t="n">
        <x:v>4</x:v>
      </x:c>
      <x:c r="I197" s="23" t="n">
        <x:v>4</x:v>
      </x:c>
      <x:c r="J197" s="23" t="n">
        <x:v>3</x:v>
      </x:c>
      <x:c r="K197" s="23" t="n">
        <x:v>6</x:v>
      </x:c>
      <x:c r="L197" s="23" t="n">
        <x:v>8</x:v>
      </x:c>
      <x:c r="M197" s="23" t="n">
        <x:v>2</x:v>
      </x:c>
      <x:c r="N197" s="23" t="n">
        <x:v>9</x:v>
      </x:c>
      <x:c r="O197" s="23" t="n">
        <x:v>2</x:v>
      </x:c>
      <x:c r="P197" s="23" t="n">
        <x:v>2</x:v>
      </x:c>
      <x:c r="Q197" s="23" t="n">
        <x:v>4</x:v>
      </x:c>
      <x:c r="R197" s="23" t="n">
        <x:v>12</x:v>
      </x:c>
    </x:row>
    <x:row r="198">
      <x:c r="A198" s="15" t="n">
        <x:v>46143</x:v>
      </x:c>
      <x:c r="B198" s="23" t="n">
        <x:v>1</x:v>
      </x:c>
      <x:c r="C198" s="23" t="n">
        <x:v>6</x:v>
      </x:c>
      <x:c r="D198" s="23" t="n">
        <x:v>3</x:v>
      </x:c>
      <x:c r="E198" s="23" t="n">
        <x:v>2</x:v>
      </x:c>
      <x:c r="F198" s="23" t="n">
        <x:v>5</x:v>
      </x:c>
      <x:c r="G198" s="23" t="n">
        <x:v>3</x:v>
      </x:c>
      <x:c r="H198" s="23" t="n">
        <x:v>4</x:v>
      </x:c>
      <x:c r="I198" s="23" t="n">
        <x:v>4</x:v>
      </x:c>
      <x:c r="J198" s="23" t="n">
        <x:v>3</x:v>
      </x:c>
      <x:c r="K198" s="23" t="n">
        <x:v>6</x:v>
      </x:c>
      <x:c r="L198" s="23" t="n">
        <x:v>8</x:v>
      </x:c>
      <x:c r="M198" s="23" t="n">
        <x:v>2</x:v>
      </x:c>
      <x:c r="N198" s="23" t="n">
        <x:v>9</x:v>
      </x:c>
      <x:c r="O198" s="23" t="n">
        <x:v>2</x:v>
      </x:c>
      <x:c r="P198" s="23" t="n">
        <x:v>2</x:v>
      </x:c>
      <x:c r="Q198" s="23" t="n">
        <x:v>4</x:v>
      </x:c>
      <x:c r="R198" s="23" t="n">
        <x:v>12</x:v>
      </x:c>
    </x:row>
    <x:row r="199">
      <x:c r="A199" s="15" t="n">
        <x:v>46174</x:v>
      </x:c>
      <x:c r="B199" s="23" t="n">
        <x:v>1</x:v>
      </x:c>
      <x:c r="C199" s="23" t="n">
        <x:v>6</x:v>
      </x:c>
      <x:c r="D199" s="23" t="n">
        <x:v>3</x:v>
      </x:c>
      <x:c r="E199" s="23" t="n">
        <x:v>2</x:v>
      </x:c>
      <x:c r="F199" s="23" t="n">
        <x:v>5</x:v>
      </x:c>
      <x:c r="G199" s="23" t="n">
        <x:v>3</x:v>
      </x:c>
      <x:c r="H199" s="23" t="n">
        <x:v>4</x:v>
      </x:c>
      <x:c r="I199" s="23" t="n">
        <x:v>4</x:v>
      </x:c>
      <x:c r="J199" s="23" t="n">
        <x:v>3</x:v>
      </x:c>
      <x:c r="K199" s="23" t="n">
        <x:v>6</x:v>
      </x:c>
      <x:c r="L199" s="23" t="n">
        <x:v>8</x:v>
      </x:c>
      <x:c r="M199" s="23" t="n">
        <x:v>2</x:v>
      </x:c>
      <x:c r="N199" s="23" t="n">
        <x:v>9</x:v>
      </x:c>
      <x:c r="O199" s="23" t="n">
        <x:v>2</x:v>
      </x:c>
      <x:c r="P199" s="23" t="n">
        <x:v>2</x:v>
      </x:c>
      <x:c r="Q199" s="23" t="n">
        <x:v>4</x:v>
      </x:c>
      <x:c r="R199" s="23" t="n">
        <x:v>11</x:v>
      </x:c>
    </x:row>
    <x:row r="200">
      <x:c r="A200" s="15" t="n">
        <x:v>46204</x:v>
      </x:c>
      <x:c r="B200" s="23" t="n">
        <x:v>1</x:v>
      </x:c>
      <x:c r="C200" s="23" t="n">
        <x:v>6</x:v>
      </x:c>
      <x:c r="D200" s="23" t="n">
        <x:v>3</x:v>
      </x:c>
      <x:c r="E200" s="23" t="n">
        <x:v>2</x:v>
      </x:c>
      <x:c r="F200" s="23" t="n">
        <x:v>5</x:v>
      </x:c>
      <x:c r="G200" s="23" t="n">
        <x:v>3</x:v>
      </x:c>
      <x:c r="H200" s="23" t="n">
        <x:v>4</x:v>
      </x:c>
      <x:c r="I200" s="23" t="n">
        <x:v>4</x:v>
      </x:c>
      <x:c r="J200" s="23" t="n">
        <x:v>3</x:v>
      </x:c>
      <x:c r="K200" s="23" t="n">
        <x:v>6</x:v>
      </x:c>
      <x:c r="L200" s="23" t="n">
        <x:v>8</x:v>
      </x:c>
      <x:c r="M200" s="23" t="n">
        <x:v>2</x:v>
      </x:c>
      <x:c r="N200" s="23" t="n">
        <x:v>9</x:v>
      </x:c>
      <x:c r="O200" s="23" t="n">
        <x:v>2</x:v>
      </x:c>
      <x:c r="P200" s="23" t="n">
        <x:v>2</x:v>
      </x:c>
      <x:c r="Q200" s="23" t="n">
        <x:v>4</x:v>
      </x:c>
      <x:c r="R200" s="23" t="n">
        <x:v>11</x:v>
      </x:c>
    </x:row>
  </x:sheetData>
  <x:mergeCells>
    <x:mergeCell ref="A1:R1"/>
    <x:mergeCell ref="A2:R2"/>
  </x:mergeCells>
  <x:pageMargins left="0.7" right="0.7" top="0.75" bottom="0.75" header="0.3" footer="0.3"/>
  <x:tableParts count="1">
    <x:tablePart xmlns:r="http://schemas.openxmlformats.org/officeDocument/2006/relationships" r:id="R9e530c859a924e5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30" hidden="0" customWidth="1"/>
    <x:col min="3" max="3" width="23" hidden="0" customWidth="1"/>
    <x:col min="4" max="4" width="23" hidden="0" customWidth="1"/>
    <x:col min="5" max="5" width="17" hidden="0" customWidth="1"/>
    <x:col min="6" max="6" width="17" hidden="0" customWidth="1"/>
  </x:cols>
  <x:sheetData>
    <x:row r="1" ht="27" customHeight="1">
      <x:c r="A1" s="3" t="str">
        <x:v>Detalhe da revisão em 3 meses</x:v>
      </x:c>
      <x:c r="B1" s="3"/>
      <x:c r="C1" s="3"/>
      <x:c r="D1" s="3"/>
      <x:c r="E1" s="3"/>
      <x:c r="F1" s="3"/>
    </x:row>
    <x:row r="2" ht="30" customHeight="1">
      <x:c r="A2" s="7" t="str">
        <x:v>Abertura longa da cesta constante: nível inicial, nível final, revisão e número de empresas comuns.</x:v>
      </x:c>
      <x:c r="B2" s="7"/>
      <x:c r="C2" s="7"/>
      <x:c r="D2" s="7"/>
      <x:c r="E2" s="7"/>
      <x:c r="F2" s="7"/>
    </x:row>
    <x:row r="4" ht="31" customHeight="1">
      <x:c r="A4" s="11" t="str">
        <x:v>Mês</x:v>
      </x:c>
      <x:c r="B4" s="11" t="str">
        <x:v>Setor XP</x:v>
      </x:c>
      <x:c r="C4" s="11" t="str">
        <x:v>Earnings t-3 (cesta constante)</x:v>
      </x:c>
      <x:c r="D4" s="11" t="str">
        <x:v>Earnings t (cesta constante)</x:v>
      </x:c>
      <x:c r="E4" s="11" t="str">
        <x:v>Revisão 3M</x:v>
      </x:c>
      <x:c r="F4" s="11" t="str">
        <x:v>Empresas comuns</x:v>
      </x:c>
    </x:row>
    <x:row r="5">
      <x:c r="A5" s="15" t="n">
        <x:v>40269</x:v>
      </x:c>
      <x:c r="B5" s="13" t="str">
        <x:v>Banks</x:v>
      </x:c>
      <x:c r="C5" s="16" t="n">
        <x:v>29941.245202937</x:v>
      </x:c>
      <x:c r="D5" s="16" t="n">
        <x:v>31467.0077966027</x:v>
      </x:c>
      <x:c r="E5" s="16" t="n">
        <x:v>1525.7625936657</x:v>
      </x:c>
      <x:c r="F5" s="23" t="n">
        <x:v>3</x:v>
      </x:c>
    </x:row>
    <x:row r="6">
      <x:c r="A6" s="15" t="n">
        <x:v>40269</x:v>
      </x:c>
      <x:c r="B6" s="13" t="str">
        <x:v>Capital Goods</x:v>
      </x:c>
      <x:c r="C6" s="16" t="n">
        <x:v>473.9679300384</x:v>
      </x:c>
      <x:c r="D6" s="16" t="n">
        <x:v>421.388761863</x:v>
      </x:c>
      <x:c r="E6" s="16" t="n">
        <x:v>-52.5791681753</x:v>
      </x:c>
      <x:c r="F6" s="23" t="n">
        <x:v>1</x:v>
      </x:c>
    </x:row>
    <x:row r="7">
      <x:c r="A7" s="15" t="n">
        <x:v>40269</x:v>
      </x:c>
      <x:c r="B7" s="13" t="str">
        <x:v>Financials Non-Banks</x:v>
      </x:c>
      <x:c r="C7" s="16" t="n">
        <x:v>8094.3565543452</x:v>
      </x:c>
      <x:c r="D7" s="16" t="n">
        <x:v>7973.4487127671</x:v>
      </x:c>
      <x:c r="E7" s="16" t="n">
        <x:v>-120.9078415781</x:v>
      </x:c>
      <x:c r="F7" s="23" t="n">
        <x:v>3</x:v>
      </x:c>
    </x:row>
    <x:row r="8">
      <x:c r="A8" s="15" t="n">
        <x:v>40269</x:v>
      </x:c>
      <x:c r="B8" s="13" t="str">
        <x:v>Food &amp; Beverages</x:v>
      </x:c>
      <x:c r="C8" s="16" t="n">
        <x:v>8687.1721984</x:v>
      </x:c>
      <x:c r="D8" s="16" t="n">
        <x:v>8902.8423408219</x:v>
      </x:c>
      <x:c r="E8" s="16" t="n">
        <x:v>215.6701424219</x:v>
      </x:c>
      <x:c r="F8" s="23" t="n">
        <x:v>3</x:v>
      </x:c>
    </x:row>
    <x:row r="9">
      <x:c r="A9" s="15" t="n">
        <x:v>40269</x:v>
      </x:c>
      <x:c r="B9" s="13" t="str">
        <x:v>Homebuilders</x:v>
      </x:c>
      <x:c r="C9" s="16" t="n">
        <x:v>2739.7816986301</x:v>
      </x:c>
      <x:c r="D9" s="16" t="n">
        <x:v>3034.2514779178</x:v>
      </x:c>
      <x:c r="E9" s="16" t="n">
        <x:v>294.4697792877</x:v>
      </x:c>
      <x:c r="F9" s="23" t="n">
        <x:v>5</x:v>
      </x:c>
    </x:row>
    <x:row r="10">
      <x:c r="A10" s="15" t="n">
        <x:v>40269</x:v>
      </x:c>
      <x:c r="B10" s="13" t="str">
        <x:v>Metals &amp; Mining</x:v>
      </x:c>
      <x:c r="C10" s="16" t="n">
        <x:v>28808.565714937</x:v>
      </x:c>
      <x:c r="D10" s="16" t="n">
        <x:v>38166.8067123288</x:v>
      </x:c>
      <x:c r="E10" s="16" t="n">
        <x:v>9358.2409973918</x:v>
      </x:c>
      <x:c r="F10" s="23" t="n">
        <x:v>7</x:v>
      </x:c>
    </x:row>
    <x:row r="11">
      <x:c r="A11" s="15" t="n">
        <x:v>40269</x:v>
      </x:c>
      <x:c r="B11" s="13" t="str">
        <x:v>Oil, Gas &amp; Petrochemicals</x:v>
      </x:c>
      <x:c r="C11" s="16" t="n">
        <x:v>32806.3822180822</x:v>
      </x:c>
      <x:c r="D11" s="16" t="n">
        <x:v>33707.0426873425</x:v>
      </x:c>
      <x:c r="E11" s="16" t="n">
        <x:v>900.6604692603</x:v>
      </x:c>
      <x:c r="F11" s="23" t="n">
        <x:v>5</x:v>
      </x:c>
    </x:row>
    <x:row r="12">
      <x:c r="A12" s="15" t="n">
        <x:v>40269</x:v>
      </x:c>
      <x:c r="B12" s="13" t="str">
        <x:v>Pulp &amp; Paper</x:v>
      </x:c>
      <x:c r="C12" s="16" t="n">
        <x:v>1379.1992876712</x:v>
      </x:c>
      <x:c r="D12" s="16" t="n">
        <x:v>1367.5061260274</x:v>
      </x:c>
      <x:c r="E12" s="16" t="n">
        <x:v>-11.6931616438</x:v>
      </x:c>
      <x:c r="F12" s="23" t="n">
        <x:v>2</x:v>
      </x:c>
    </x:row>
    <x:row r="13">
      <x:c r="A13" s="15" t="n">
        <x:v>40269</x:v>
      </x:c>
      <x:c r="B13" s="13" t="str">
        <x:v>Retail</x:v>
      </x:c>
      <x:c r="C13" s="16" t="n">
        <x:v>2104.4189426849</x:v>
      </x:c>
      <x:c r="D13" s="16" t="n">
        <x:v>2236.5977644932</x:v>
      </x:c>
      <x:c r="E13" s="16" t="n">
        <x:v>132.1788218082</x:v>
      </x:c>
      <x:c r="F13" s="23" t="n">
        <x:v>5</x:v>
      </x:c>
    </x:row>
    <x:row r="14">
      <x:c r="A14" s="15" t="n">
        <x:v>40269</x:v>
      </x:c>
      <x:c r="B14" s="13" t="str">
        <x:v>Sanitation</x:v>
      </x:c>
      <x:c r="C14" s="16" t="n">
        <x:v>1195.5191460822</x:v>
      </x:c>
      <x:c r="D14" s="16" t="n">
        <x:v>1256.3420440548</x:v>
      </x:c>
      <x:c r="E14" s="16" t="n">
        <x:v>60.8228979726</x:v>
      </x:c>
      <x:c r="F14" s="23" t="n">
        <x:v>1</x:v>
      </x:c>
    </x:row>
    <x:row r="15">
      <x:c r="A15" s="15" t="n">
        <x:v>40269</x:v>
      </x:c>
      <x:c r="B15" s="13" t="str">
        <x:v>TMT</x:v>
      </x:c>
      <x:c r="C15" s="16" t="n">
        <x:v>8128.6082135671</x:v>
      </x:c>
      <x:c r="D15" s="16" t="n">
        <x:v>8480.1385560548</x:v>
      </x:c>
      <x:c r="E15" s="16" t="n">
        <x:v>351.5303424877</x:v>
      </x:c>
      <x:c r="F15" s="23" t="n">
        <x:v>7</x:v>
      </x:c>
    </x:row>
    <x:row r="16">
      <x:c r="A16" s="15" t="n">
        <x:v>40269</x:v>
      </x:c>
      <x:c r="B16" s="13" t="str">
        <x:v>Transportation</x:v>
      </x:c>
      <x:c r="C16" s="16" t="n">
        <x:v>1884.1942421918</x:v>
      </x:c>
      <x:c r="D16" s="16" t="n">
        <x:v>1725.5175379726</x:v>
      </x:c>
      <x:c r="E16" s="16" t="n">
        <x:v>-158.6767042192</x:v>
      </x:c>
      <x:c r="F16" s="23" t="n">
        <x:v>5</x:v>
      </x:c>
    </x:row>
    <x:row r="17">
      <x:c r="A17" s="15" t="n">
        <x:v>40269</x:v>
      </x:c>
      <x:c r="B17" s="13" t="str">
        <x:v>Utilities &amp; Energy</x:v>
      </x:c>
      <x:c r="C17" s="16" t="n">
        <x:v>12362.2169079233</x:v>
      </x:c>
      <x:c r="D17" s="16" t="n">
        <x:v>12827.4988826301</x:v>
      </x:c>
      <x:c r="E17" s="16" t="n">
        <x:v>465.2819747068</x:v>
      </x:c>
      <x:c r="F17" s="23" t="n">
        <x:v>8</x:v>
      </x:c>
    </x:row>
    <x:row r="18">
      <x:c r="A18" s="15" t="n">
        <x:v>40299</x:v>
      </x:c>
      <x:c r="B18" s="13" t="str">
        <x:v>Banks</x:v>
      </x:c>
      <x:c r="C18" s="16" t="n">
        <x:v>30765.5592889863</x:v>
      </x:c>
      <x:c r="D18" s="16" t="n">
        <x:v>32634.9319210082</x:v>
      </x:c>
      <x:c r="E18" s="16" t="n">
        <x:v>1869.3726320219</x:v>
      </x:c>
      <x:c r="F18" s="23" t="n">
        <x:v>3</x:v>
      </x:c>
    </x:row>
    <x:row r="19">
      <x:c r="A19" s="15" t="n">
        <x:v>40299</x:v>
      </x:c>
      <x:c r="B19" s="13" t="str">
        <x:v>Capital Goods</x:v>
      </x:c>
      <x:c r="C19" s="16" t="n">
        <x:v>434.6130191781</x:v>
      </x:c>
      <x:c r="D19" s="16" t="n">
        <x:v>439.3563174575</x:v>
      </x:c>
      <x:c r="E19" s="16" t="n">
        <x:v>4.7432982795</x:v>
      </x:c>
      <x:c r="F19" s="23" t="n">
        <x:v>1</x:v>
      </x:c>
    </x:row>
    <x:row r="20">
      <x:c r="A20" s="15" t="n">
        <x:v>40299</x:v>
      </x:c>
      <x:c r="B20" s="13" t="str">
        <x:v>Financials Non-Banks</x:v>
      </x:c>
      <x:c r="C20" s="16" t="n">
        <x:v>8251.4789491726</x:v>
      </x:c>
      <x:c r="D20" s="16" t="n">
        <x:v>8231.967104</x:v>
      </x:c>
      <x:c r="E20" s="16" t="n">
        <x:v>-19.5118451726</x:v>
      </x:c>
      <x:c r="F20" s="23" t="n">
        <x:v>3</x:v>
      </x:c>
    </x:row>
    <x:row r="21">
      <x:c r="A21" s="15" t="n">
        <x:v>40299</x:v>
      </x:c>
      <x:c r="B21" s="13" t="str">
        <x:v>Food &amp; Beverages</x:v>
      </x:c>
      <x:c r="C21" s="16" t="n">
        <x:v>8797.7035951342</x:v>
      </x:c>
      <x:c r="D21" s="16" t="n">
        <x:v>8984.570738674</x:v>
      </x:c>
      <x:c r="E21" s="16" t="n">
        <x:v>186.8671435397</x:v>
      </x:c>
      <x:c r="F21" s="23" t="n">
        <x:v>3</x:v>
      </x:c>
    </x:row>
    <x:row r="22">
      <x:c r="A22" s="15" t="n">
        <x:v>40299</x:v>
      </x:c>
      <x:c r="B22" s="13" t="str">
        <x:v>Homebuilders</x:v>
      </x:c>
      <x:c r="C22" s="16" t="n">
        <x:v>2890.4251486685</x:v>
      </x:c>
      <x:c r="D22" s="16" t="n">
        <x:v>3114.5704722411</x:v>
      </x:c>
      <x:c r="E22" s="16" t="n">
        <x:v>224.1453235726</x:v>
      </x:c>
      <x:c r="F22" s="23" t="n">
        <x:v>5</x:v>
      </x:c>
    </x:row>
    <x:row r="23">
      <x:c r="A23" s="15" t="n">
        <x:v>40299</x:v>
      </x:c>
      <x:c r="B23" s="13" t="str">
        <x:v>Metals &amp; Mining</x:v>
      </x:c>
      <x:c r="C23" s="16" t="n">
        <x:v>29401.7463137534</x:v>
      </x:c>
      <x:c r="D23" s="16" t="n">
        <x:v>42908.7191043507</x:v>
      </x:c>
      <x:c r="E23" s="16" t="n">
        <x:v>13506.9727905973</x:v>
      </x:c>
      <x:c r="F23" s="23" t="n">
        <x:v>7</x:v>
      </x:c>
    </x:row>
    <x:row r="24">
      <x:c r="A24" s="15" t="n">
        <x:v>40299</x:v>
      </x:c>
      <x:c r="B24" s="13" t="str">
        <x:v>Oil, Gas &amp; Petrochemicals</x:v>
      </x:c>
      <x:c r="C24" s="16" t="n">
        <x:v>32017.4699301699</x:v>
      </x:c>
      <x:c r="D24" s="16" t="n">
        <x:v>34263.8263954411</x:v>
      </x:c>
      <x:c r="E24" s="16" t="n">
        <x:v>2246.3564652712</x:v>
      </x:c>
      <x:c r="F24" s="23" t="n">
        <x:v>5</x:v>
      </x:c>
    </x:row>
    <x:row r="25">
      <x:c r="A25" s="15" t="n">
        <x:v>40299</x:v>
      </x:c>
      <x:c r="B25" s="13" t="str">
        <x:v>Pulp &amp; Paper</x:v>
      </x:c>
      <x:c r="C25" s="16" t="n">
        <x:v>1297.5718354411</x:v>
      </x:c>
      <x:c r="D25" s="16" t="n">
        <x:v>1439.8704241973</x:v>
      </x:c>
      <x:c r="E25" s="16" t="n">
        <x:v>142.2985887562</x:v>
      </x:c>
      <x:c r="F25" s="23" t="n">
        <x:v>2</x:v>
      </x:c>
    </x:row>
    <x:row r="26">
      <x:c r="A26" s="15" t="n">
        <x:v>40299</x:v>
      </x:c>
      <x:c r="B26" s="13" t="str">
        <x:v>Retail</x:v>
      </x:c>
      <x:c r="C26" s="16" t="n">
        <x:v>2141.7684772384</x:v>
      </x:c>
      <x:c r="D26" s="16" t="n">
        <x:v>2282.8594542027</x:v>
      </x:c>
      <x:c r="E26" s="16" t="n">
        <x:v>141.0909769644</x:v>
      </x:c>
      <x:c r="F26" s="23" t="n">
        <x:v>5</x:v>
      </x:c>
    </x:row>
    <x:row r="27">
      <x:c r="A27" s="15" t="n">
        <x:v>40299</x:v>
      </x:c>
      <x:c r="B27" s="13" t="str">
        <x:v>Sanitation</x:v>
      </x:c>
      <x:c r="C27" s="16" t="n">
        <x:v>1200.0120817973</x:v>
      </x:c>
      <x:c r="D27" s="16" t="n">
        <x:v>1215.4365233096</x:v>
      </x:c>
      <x:c r="E27" s="16" t="n">
        <x:v>15.4244415123</x:v>
      </x:c>
      <x:c r="F27" s="23" t="n">
        <x:v>1</x:v>
      </x:c>
    </x:row>
    <x:row r="28">
      <x:c r="A28" s="15" t="n">
        <x:v>40299</x:v>
      </x:c>
      <x:c r="B28" s="13" t="str">
        <x:v>TMT</x:v>
      </x:c>
      <x:c r="C28" s="16" t="n">
        <x:v>8335.4059134247</x:v>
      </x:c>
      <x:c r="D28" s="16" t="n">
        <x:v>8404.896281074</x:v>
      </x:c>
      <x:c r="E28" s="16" t="n">
        <x:v>69.4903676493</x:v>
      </x:c>
      <x:c r="F28" s="23" t="n">
        <x:v>7</x:v>
      </x:c>
    </x:row>
    <x:row r="29">
      <x:c r="A29" s="15" t="n">
        <x:v>40299</x:v>
      </x:c>
      <x:c r="B29" s="13" t="str">
        <x:v>Transportation</x:v>
      </x:c>
      <x:c r="C29" s="16" t="n">
        <x:v>1891.7373273425</x:v>
      </x:c>
      <x:c r="D29" s="16" t="n">
        <x:v>1669.5337415014</x:v>
      </x:c>
      <x:c r="E29" s="16" t="n">
        <x:v>-222.2035858411</x:v>
      </x:c>
      <x:c r="F29" s="23" t="n">
        <x:v>5</x:v>
      </x:c>
    </x:row>
    <x:row r="30">
      <x:c r="A30" s="15" t="n">
        <x:v>40299</x:v>
      </x:c>
      <x:c r="B30" s="13" t="str">
        <x:v>Utilities &amp; Energy</x:v>
      </x:c>
      <x:c r="C30" s="16" t="n">
        <x:v>12058.9860457206</x:v>
      </x:c>
      <x:c r="D30" s="16" t="n">
        <x:v>12946.7047217096</x:v>
      </x:c>
      <x:c r="E30" s="16" t="n">
        <x:v>887.718675989</x:v>
      </x:c>
      <x:c r="F30" s="23" t="n">
        <x:v>8</x:v>
      </x:c>
    </x:row>
    <x:row r="31">
      <x:c r="A31" s="15" t="n">
        <x:v>40330</x:v>
      </x:c>
      <x:c r="B31" s="13" t="str">
        <x:v>Banks</x:v>
      </x:c>
      <x:c r="C31" s="16" t="n">
        <x:v>31300.5841604383</x:v>
      </x:c>
      <x:c r="D31" s="16" t="n">
        <x:v>33014.4242645918</x:v>
      </x:c>
      <x:c r="E31" s="16" t="n">
        <x:v>1713.8401041535</x:v>
      </x:c>
      <x:c r="F31" s="23" t="n">
        <x:v>3</x:v>
      </x:c>
    </x:row>
    <x:row r="32">
      <x:c r="A32" s="15" t="n">
        <x:v>40330</x:v>
      </x:c>
      <x:c r="B32" s="13" t="str">
        <x:v>Capital Goods</x:v>
      </x:c>
      <x:c r="C32" s="16" t="n">
        <x:v>430.7729529863</x:v>
      </x:c>
      <x:c r="D32" s="16" t="n">
        <x:v>466.1829244493</x:v>
      </x:c>
      <x:c r="E32" s="16" t="n">
        <x:v>35.409971463</x:v>
      </x:c>
      <x:c r="F32" s="23" t="n">
        <x:v>1</x:v>
      </x:c>
    </x:row>
    <x:row r="33">
      <x:c r="A33" s="15" t="n">
        <x:v>40330</x:v>
      </x:c>
      <x:c r="B33" s="13" t="str">
        <x:v>Financials Non-Banks</x:v>
      </x:c>
      <x:c r="C33" s="16" t="n">
        <x:v>8377.2226069041</x:v>
      </x:c>
      <x:c r="D33" s="16" t="n">
        <x:v>8372.0752166575</x:v>
      </x:c>
      <x:c r="E33" s="16" t="n">
        <x:v>-5.1473902466</x:v>
      </x:c>
      <x:c r="F33" s="23" t="n">
        <x:v>3</x:v>
      </x:c>
    </x:row>
    <x:row r="34">
      <x:c r="A34" s="15" t="n">
        <x:v>40330</x:v>
      </x:c>
      <x:c r="B34" s="13" t="str">
        <x:v>Food &amp; Beverages</x:v>
      </x:c>
      <x:c r="C34" s="16" t="n">
        <x:v>8829.412242411</x:v>
      </x:c>
      <x:c r="D34" s="16" t="n">
        <x:v>9104.2019671671</x:v>
      </x:c>
      <x:c r="E34" s="16" t="n">
        <x:v>274.7897247562</x:v>
      </x:c>
      <x:c r="F34" s="23" t="n">
        <x:v>3</x:v>
      </x:c>
    </x:row>
    <x:row r="35">
      <x:c r="A35" s="15" t="n">
        <x:v>40330</x:v>
      </x:c>
      <x:c r="B35" s="13" t="str">
        <x:v>Homebuilders</x:v>
      </x:c>
      <x:c r="C35" s="16" t="n">
        <x:v>2972.6143250411</x:v>
      </x:c>
      <x:c r="D35" s="16" t="n">
        <x:v>3216.6931856658</x:v>
      </x:c>
      <x:c r="E35" s="16" t="n">
        <x:v>244.0788606247</x:v>
      </x:c>
      <x:c r="F35" s="23" t="n">
        <x:v>5</x:v>
      </x:c>
    </x:row>
    <x:row r="36">
      <x:c r="A36" s="15" t="n">
        <x:v>40330</x:v>
      </x:c>
      <x:c r="B36" s="13" t="str">
        <x:v>Metals &amp; Mining</x:v>
      </x:c>
      <x:c r="C36" s="16" t="n">
        <x:v>35222.4075006576</x:v>
      </x:c>
      <x:c r="D36" s="16" t="n">
        <x:v>44956.7003462137</x:v>
      </x:c>
      <x:c r="E36" s="16" t="n">
        <x:v>9734.2928455562</x:v>
      </x:c>
      <x:c r="F36" s="23" t="n">
        <x:v>7</x:v>
      </x:c>
    </x:row>
    <x:row r="37">
      <x:c r="A37" s="15" t="n">
        <x:v>40330</x:v>
      </x:c>
      <x:c r="B37" s="13" t="str">
        <x:v>Oil, Gas &amp; Petrochemicals</x:v>
      </x:c>
      <x:c r="C37" s="16" t="n">
        <x:v>32819.4816648767</x:v>
      </x:c>
      <x:c r="D37" s="16" t="n">
        <x:v>34846.825197589</x:v>
      </x:c>
      <x:c r="E37" s="16" t="n">
        <x:v>2027.3435327123</x:v>
      </x:c>
      <x:c r="F37" s="23" t="n">
        <x:v>5</x:v>
      </x:c>
    </x:row>
    <x:row r="38">
      <x:c r="A38" s="15" t="n">
        <x:v>40330</x:v>
      </x:c>
      <x:c r="B38" s="13" t="str">
        <x:v>Pulp &amp; Paper</x:v>
      </x:c>
      <x:c r="C38" s="16" t="n">
        <x:v>1363.7042169863</x:v>
      </x:c>
      <x:c r="D38" s="16" t="n">
        <x:v>1388.2533137534</x:v>
      </x:c>
      <x:c r="E38" s="16" t="n">
        <x:v>24.5490967671</x:v>
      </x:c>
      <x:c r="F38" s="23" t="n">
        <x:v>2</x:v>
      </x:c>
    </x:row>
    <x:row r="39">
      <x:c r="A39" s="15" t="n">
        <x:v>40330</x:v>
      </x:c>
      <x:c r="B39" s="13" t="str">
        <x:v>Retail</x:v>
      </x:c>
      <x:c r="C39" s="16" t="n">
        <x:v>2194.585369863</x:v>
      </x:c>
      <x:c r="D39" s="16" t="n">
        <x:v>2278.0390499068</x:v>
      </x:c>
      <x:c r="E39" s="16" t="n">
        <x:v>83.4536800438</x:v>
      </x:c>
      <x:c r="F39" s="23" t="n">
        <x:v>5</x:v>
      </x:c>
    </x:row>
    <x:row r="40">
      <x:c r="A40" s="15" t="n">
        <x:v>40330</x:v>
      </x:c>
      <x:c r="B40" s="13" t="str">
        <x:v>Sanitation</x:v>
      </x:c>
      <x:c r="C40" s="16" t="n">
        <x:v>1196.9363252603</x:v>
      </x:c>
      <x:c r="D40" s="16" t="n">
        <x:v>1275.7167763288</x:v>
      </x:c>
      <x:c r="E40" s="16" t="n">
        <x:v>78.7804510685</x:v>
      </x:c>
      <x:c r="F40" s="23" t="n">
        <x:v>1</x:v>
      </x:c>
    </x:row>
    <x:row r="41">
      <x:c r="A41" s="15" t="n">
        <x:v>40330</x:v>
      </x:c>
      <x:c r="B41" s="13" t="str">
        <x:v>TMT</x:v>
      </x:c>
      <x:c r="C41" s="16" t="n">
        <x:v>8303.2653212055</x:v>
      </x:c>
      <x:c r="D41" s="16" t="n">
        <x:v>8844.8599637918</x:v>
      </x:c>
      <x:c r="E41" s="16" t="n">
        <x:v>541.5946425863</x:v>
      </x:c>
      <x:c r="F41" s="23" t="n">
        <x:v>7</x:v>
      </x:c>
    </x:row>
    <x:row r="42">
      <x:c r="A42" s="15" t="n">
        <x:v>40330</x:v>
      </x:c>
      <x:c r="B42" s="13" t="str">
        <x:v>Transportation</x:v>
      </x:c>
      <x:c r="C42" s="16" t="n">
        <x:v>1753.8385326027</x:v>
      </x:c>
      <x:c r="D42" s="16" t="n">
        <x:v>1691.4610708164</x:v>
      </x:c>
      <x:c r="E42" s="16" t="n">
        <x:v>-62.3774617863</x:v>
      </x:c>
      <x:c r="F42" s="23" t="n">
        <x:v>5</x:v>
      </x:c>
    </x:row>
    <x:row r="43">
      <x:c r="A43" s="15" t="n">
        <x:v>40330</x:v>
      </x:c>
      <x:c r="B43" s="13" t="str">
        <x:v>Utilities &amp; Energy</x:v>
      </x:c>
      <x:c r="C43" s="16" t="n">
        <x:v>13199.3798724384</x:v>
      </x:c>
      <x:c r="D43" s="16" t="n">
        <x:v>12581.5961682411</x:v>
      </x:c>
      <x:c r="E43" s="16" t="n">
        <x:v>-617.7837041973</x:v>
      </x:c>
      <x:c r="F43" s="23" t="n">
        <x:v>8</x:v>
      </x:c>
    </x:row>
    <x:row r="44">
      <x:c r="A44" s="15" t="n">
        <x:v>40360</x:v>
      </x:c>
      <x:c r="B44" s="13" t="str">
        <x:v>Banks</x:v>
      </x:c>
      <x:c r="C44" s="16" t="n">
        <x:v>31467.0077966027</x:v>
      </x:c>
      <x:c r="D44" s="16" t="n">
        <x:v>33704.7471707178</x:v>
      </x:c>
      <x:c r="E44" s="16" t="n">
        <x:v>2237.7393741151</x:v>
      </x:c>
      <x:c r="F44" s="23" t="n">
        <x:v>3</x:v>
      </x:c>
    </x:row>
    <x:row r="45">
      <x:c r="A45" s="15" t="n">
        <x:v>40360</x:v>
      </x:c>
      <x:c r="B45" s="13" t="str">
        <x:v>Capital Goods</x:v>
      </x:c>
      <x:c r="C45" s="16" t="n">
        <x:v>421.388761863</x:v>
      </x:c>
      <x:c r="D45" s="16" t="n">
        <x:v>477.8009571945</x:v>
      </x:c>
      <x:c r="E45" s="16" t="n">
        <x:v>56.4121953315</x:v>
      </x:c>
      <x:c r="F45" s="23" t="n">
        <x:v>1</x:v>
      </x:c>
    </x:row>
    <x:row r="46">
      <x:c r="A46" s="15" t="n">
        <x:v>40360</x:v>
      </x:c>
      <x:c r="B46" s="13" t="str">
        <x:v>Financials Non-Banks</x:v>
      </x:c>
      <x:c r="C46" s="16" t="n">
        <x:v>7973.4487127671</x:v>
      </x:c>
      <x:c r="D46" s="16" t="n">
        <x:v>8602.3707511233</x:v>
      </x:c>
      <x:c r="E46" s="16" t="n">
        <x:v>628.9220383562</x:v>
      </x:c>
      <x:c r="F46" s="23" t="n">
        <x:v>3</x:v>
      </x:c>
    </x:row>
    <x:row r="47">
      <x:c r="A47" s="15" t="n">
        <x:v>40360</x:v>
      </x:c>
      <x:c r="B47" s="13" t="str">
        <x:v>Food &amp; Beverages</x:v>
      </x:c>
      <x:c r="C47" s="16" t="n">
        <x:v>8902.8423408219</x:v>
      </x:c>
      <x:c r="D47" s="16" t="n">
        <x:v>9408.4751089973</x:v>
      </x:c>
      <x:c r="E47" s="16" t="n">
        <x:v>505.6327681753</x:v>
      </x:c>
      <x:c r="F47" s="23" t="n">
        <x:v>3</x:v>
      </x:c>
    </x:row>
    <x:row r="48">
      <x:c r="A48" s="15" t="n">
        <x:v>40360</x:v>
      </x:c>
      <x:c r="B48" s="13" t="str">
        <x:v>Homebuilders</x:v>
      </x:c>
      <x:c r="C48" s="16" t="n">
        <x:v>3034.2514779178</x:v>
      </x:c>
      <x:c r="D48" s="16" t="n">
        <x:v>3372.893772274</x:v>
      </x:c>
      <x:c r="E48" s="16" t="n">
        <x:v>338.6422943562</x:v>
      </x:c>
      <x:c r="F48" s="23" t="n">
        <x:v>5</x:v>
      </x:c>
    </x:row>
    <x:row r="49">
      <x:c r="A49" s="15" t="n">
        <x:v>40360</x:v>
      </x:c>
      <x:c r="B49" s="13" t="str">
        <x:v>Metals &amp; Mining</x:v>
      </x:c>
      <x:c r="C49" s="16" t="n">
        <x:v>39070.6491566028</x:v>
      </x:c>
      <x:c r="D49" s="16" t="n">
        <x:v>47296.6689899835</x:v>
      </x:c>
      <x:c r="E49" s="16" t="n">
        <x:v>8226.0198333807</x:v>
      </x:c>
      <x:c r="F49" s="23" t="n">
        <x:v>8</x:v>
      </x:c>
    </x:row>
    <x:row r="50">
      <x:c r="A50" s="15" t="n">
        <x:v>40360</x:v>
      </x:c>
      <x:c r="B50" s="13" t="str">
        <x:v>Oil, Gas &amp; Petrochemicals</x:v>
      </x:c>
      <x:c r="C50" s="16" t="n">
        <x:v>33707.0426873425</x:v>
      </x:c>
      <x:c r="D50" s="16" t="n">
        <x:v>35399.4038512877</x:v>
      </x:c>
      <x:c r="E50" s="16" t="n">
        <x:v>1692.3611639452</x:v>
      </x:c>
      <x:c r="F50" s="23" t="n">
        <x:v>5</x:v>
      </x:c>
    </x:row>
    <x:row r="51">
      <x:c r="A51" s="15" t="n">
        <x:v>40360</x:v>
      </x:c>
      <x:c r="B51" s="13" t="str">
        <x:v>Pulp &amp; Paper</x:v>
      </x:c>
      <x:c r="C51" s="16" t="n">
        <x:v>1367.5061260274</x:v>
      </x:c>
      <x:c r="D51" s="16" t="n">
        <x:v>1349.5207892164</x:v>
      </x:c>
      <x:c r="E51" s="16" t="n">
        <x:v>-17.985336811</x:v>
      </x:c>
      <x:c r="F51" s="23" t="n">
        <x:v>2</x:v>
      </x:c>
    </x:row>
    <x:row r="52">
      <x:c r="A52" s="15" t="n">
        <x:v>40360</x:v>
      </x:c>
      <x:c r="B52" s="13" t="str">
        <x:v>Retail</x:v>
      </x:c>
      <x:c r="C52" s="16" t="n">
        <x:v>2236.5977644932</x:v>
      </x:c>
      <x:c r="D52" s="16" t="n">
        <x:v>2287.9950456329</x:v>
      </x:c>
      <x:c r="E52" s="16" t="n">
        <x:v>51.3972811397</x:v>
      </x:c>
      <x:c r="F52" s="23" t="n">
        <x:v>5</x:v>
      </x:c>
    </x:row>
    <x:row r="53">
      <x:c r="A53" s="15" t="n">
        <x:v>40360</x:v>
      </x:c>
      <x:c r="B53" s="13" t="str">
        <x:v>Sanitation</x:v>
      </x:c>
      <x:c r="C53" s="16" t="n">
        <x:v>1256.3420440548</x:v>
      </x:c>
      <x:c r="D53" s="16" t="n">
        <x:v>1281.4310112438</x:v>
      </x:c>
      <x:c r="E53" s="16" t="n">
        <x:v>25.088967189</x:v>
      </x:c>
      <x:c r="F53" s="23" t="n">
        <x:v>1</x:v>
      </x:c>
    </x:row>
    <x:row r="54">
      <x:c r="A54" s="15" t="n">
        <x:v>40360</x:v>
      </x:c>
      <x:c r="B54" s="13" t="str">
        <x:v>TMT</x:v>
      </x:c>
      <x:c r="C54" s="16" t="n">
        <x:v>8480.1385560548</x:v>
      </x:c>
      <x:c r="D54" s="16" t="n">
        <x:v>8701.2312497096</x:v>
      </x:c>
      <x:c r="E54" s="16" t="n">
        <x:v>221.0926936548</x:v>
      </x:c>
      <x:c r="F54" s="23" t="n">
        <x:v>7</x:v>
      </x:c>
    </x:row>
    <x:row r="55">
      <x:c r="A55" s="15" t="n">
        <x:v>40360</x:v>
      </x:c>
      <x:c r="B55" s="13" t="str">
        <x:v>Transportation</x:v>
      </x:c>
      <x:c r="C55" s="16" t="n">
        <x:v>1725.5175379726</x:v>
      </x:c>
      <x:c r="D55" s="16" t="n">
        <x:v>1727.1627191233</x:v>
      </x:c>
      <x:c r="E55" s="16" t="n">
        <x:v>1.6451811507</x:v>
      </x:c>
      <x:c r="F55" s="23" t="n">
        <x:v>5</x:v>
      </x:c>
    </x:row>
    <x:row r="56">
      <x:c r="A56" s="15" t="n">
        <x:v>40360</x:v>
      </x:c>
      <x:c r="B56" s="13" t="str">
        <x:v>Utilities &amp; Energy</x:v>
      </x:c>
      <x:c r="C56" s="16" t="n">
        <x:v>12827.4988826301</x:v>
      </x:c>
      <x:c r="D56" s="16" t="n">
        <x:v>13198.2393454466</x:v>
      </x:c>
      <x:c r="E56" s="16" t="n">
        <x:v>370.7404628164</x:v>
      </x:c>
      <x:c r="F56" s="23" t="n">
        <x:v>8</x:v>
      </x:c>
    </x:row>
    <x:row r="57">
      <x:c r="A57" s="15" t="n">
        <x:v>40391</x:v>
      </x:c>
      <x:c r="B57" s="13" t="str">
        <x:v>Banks</x:v>
      </x:c>
      <x:c r="C57" s="16" t="n">
        <x:v>32634.9319210082</x:v>
      </x:c>
      <x:c r="D57" s="16" t="n">
        <x:v>34326.4510990028</x:v>
      </x:c>
      <x:c r="E57" s="16" t="n">
        <x:v>1691.5191779946</x:v>
      </x:c>
      <x:c r="F57" s="23" t="n">
        <x:v>3</x:v>
      </x:c>
    </x:row>
    <x:row r="58">
      <x:c r="A58" s="15" t="n">
        <x:v>40391</x:v>
      </x:c>
      <x:c r="B58" s="13" t="str">
        <x:v>Capital Goods</x:v>
      </x:c>
      <x:c r="C58" s="16" t="n">
        <x:v>439.3563174575</x:v>
      </x:c>
      <x:c r="D58" s="16" t="n">
        <x:v>521.7848137644</x:v>
      </x:c>
      <x:c r="E58" s="16" t="n">
        <x:v>82.4284963069</x:v>
      </x:c>
      <x:c r="F58" s="23" t="n">
        <x:v>1</x:v>
      </x:c>
    </x:row>
    <x:row r="59">
      <x:c r="A59" s="15" t="n">
        <x:v>40391</x:v>
      </x:c>
      <x:c r="B59" s="13" t="str">
        <x:v>Financials Non-Banks</x:v>
      </x:c>
      <x:c r="C59" s="16" t="n">
        <x:v>10074.4149037589</x:v>
      </x:c>
      <x:c r="D59" s="16" t="n">
        <x:v>10412.5270899726</x:v>
      </x:c>
      <x:c r="E59" s="16" t="n">
        <x:v>338.1121862137</x:v>
      </x:c>
      <x:c r="F59" s="23" t="n">
        <x:v>4</x:v>
      </x:c>
    </x:row>
    <x:row r="60">
      <x:c r="A60" s="15" t="n">
        <x:v>40391</x:v>
      </x:c>
      <x:c r="B60" s="13" t="str">
        <x:v>Food &amp; Beverages</x:v>
      </x:c>
      <x:c r="C60" s="16" t="n">
        <x:v>8984.570738674</x:v>
      </x:c>
      <x:c r="D60" s="16" t="n">
        <x:v>9569.7662111562</x:v>
      </x:c>
      <x:c r="E60" s="16" t="n">
        <x:v>585.1954724822</x:v>
      </x:c>
      <x:c r="F60" s="23" t="n">
        <x:v>3</x:v>
      </x:c>
    </x:row>
    <x:row r="61">
      <x:c r="A61" s="15" t="n">
        <x:v>40391</x:v>
      </x:c>
      <x:c r="B61" s="13" t="str">
        <x:v>Homebuilders</x:v>
      </x:c>
      <x:c r="C61" s="16" t="n">
        <x:v>3114.5704722411</x:v>
      </x:c>
      <x:c r="D61" s="16" t="n">
        <x:v>3520.6832553205</x:v>
      </x:c>
      <x:c r="E61" s="16" t="n">
        <x:v>406.1127830795</x:v>
      </x:c>
      <x:c r="F61" s="23" t="n">
        <x:v>5</x:v>
      </x:c>
    </x:row>
    <x:row r="62">
      <x:c r="A62" s="15" t="n">
        <x:v>40391</x:v>
      </x:c>
      <x:c r="B62" s="13" t="str">
        <x:v>Metals &amp; Mining</x:v>
      </x:c>
      <x:c r="C62" s="16" t="n">
        <x:v>43790.6916883288</x:v>
      </x:c>
      <x:c r="D62" s="16" t="n">
        <x:v>50334.6966282959</x:v>
      </x:c>
      <x:c r="E62" s="16" t="n">
        <x:v>6544.0049399671</x:v>
      </x:c>
      <x:c r="F62" s="23" t="n">
        <x:v>8</x:v>
      </x:c>
    </x:row>
    <x:row r="63">
      <x:c r="A63" s="15" t="n">
        <x:v>40391</x:v>
      </x:c>
      <x:c r="B63" s="13" t="str">
        <x:v>Oil, Gas &amp; Petrochemicals</x:v>
      </x:c>
      <x:c r="C63" s="16" t="n">
        <x:v>34263.8263954411</x:v>
      </x:c>
      <x:c r="D63" s="16" t="n">
        <x:v>35715.2801287014</x:v>
      </x:c>
      <x:c r="E63" s="16" t="n">
        <x:v>1451.4537332604</x:v>
      </x:c>
      <x:c r="F63" s="23" t="n">
        <x:v>5</x:v>
      </x:c>
    </x:row>
    <x:row r="64">
      <x:c r="A64" s="15" t="n">
        <x:v>40391</x:v>
      </x:c>
      <x:c r="B64" s="13" t="str">
        <x:v>Pulp &amp; Paper</x:v>
      </x:c>
      <x:c r="C64" s="16" t="n">
        <x:v>1439.8704241973</x:v>
      </x:c>
      <x:c r="D64" s="16" t="n">
        <x:v>1300.0250743233</x:v>
      </x:c>
      <x:c r="E64" s="16" t="n">
        <x:v>-139.845349874</x:v>
      </x:c>
      <x:c r="F64" s="23" t="n">
        <x:v>2</x:v>
      </x:c>
    </x:row>
    <x:row r="65">
      <x:c r="A65" s="15" t="n">
        <x:v>40391</x:v>
      </x:c>
      <x:c r="B65" s="13" t="str">
        <x:v>Retail</x:v>
      </x:c>
      <x:c r="C65" s="16" t="n">
        <x:v>2282.8594542027</x:v>
      </x:c>
      <x:c r="D65" s="16" t="n">
        <x:v>2326.4594596822</x:v>
      </x:c>
      <x:c r="E65" s="16" t="n">
        <x:v>43.6000054795</x:v>
      </x:c>
      <x:c r="F65" s="23" t="n">
        <x:v>5</x:v>
      </x:c>
    </x:row>
    <x:row r="66">
      <x:c r="A66" s="15" t="n">
        <x:v>40391</x:v>
      </x:c>
      <x:c r="B66" s="13" t="str">
        <x:v>Sanitation</x:v>
      </x:c>
      <x:c r="C66" s="16" t="n">
        <x:v>1215.4365233096</x:v>
      </x:c>
      <x:c r="D66" s="16" t="n">
        <x:v>1296.9770250521</x:v>
      </x:c>
      <x:c r="E66" s="16" t="n">
        <x:v>81.5405017425</x:v>
      </x:c>
      <x:c r="F66" s="23" t="n">
        <x:v>1</x:v>
      </x:c>
    </x:row>
    <x:row r="67">
      <x:c r="A67" s="15" t="n">
        <x:v>40391</x:v>
      </x:c>
      <x:c r="B67" s="13" t="str">
        <x:v>TMT</x:v>
      </x:c>
      <x:c r="C67" s="16" t="n">
        <x:v>8404.896281074</x:v>
      </x:c>
      <x:c r="D67" s="16" t="n">
        <x:v>8898.3055275836</x:v>
      </x:c>
      <x:c r="E67" s="16" t="n">
        <x:v>493.4092465096</x:v>
      </x:c>
      <x:c r="F67" s="23" t="n">
        <x:v>7</x:v>
      </x:c>
    </x:row>
    <x:row r="68">
      <x:c r="A68" s="15" t="n">
        <x:v>40391</x:v>
      </x:c>
      <x:c r="B68" s="13" t="str">
        <x:v>Transportation</x:v>
      </x:c>
      <x:c r="C68" s="16" t="n">
        <x:v>1669.5337415014</x:v>
      </x:c>
      <x:c r="D68" s="16" t="n">
        <x:v>1704.800090389</x:v>
      </x:c>
      <x:c r="E68" s="16" t="n">
        <x:v>35.2663488877</x:v>
      </x:c>
      <x:c r="F68" s="23" t="n">
        <x:v>5</x:v>
      </x:c>
    </x:row>
    <x:row r="69">
      <x:c r="A69" s="15" t="n">
        <x:v>40391</x:v>
      </x:c>
      <x:c r="B69" s="13" t="str">
        <x:v>Utilities &amp; Energy</x:v>
      </x:c>
      <x:c r="C69" s="16" t="n">
        <x:v>12946.7047217096</x:v>
      </x:c>
      <x:c r="D69" s="16" t="n">
        <x:v>13197.2959803616</x:v>
      </x:c>
      <x:c r="E69" s="16" t="n">
        <x:v>250.591258652</x:v>
      </x:c>
      <x:c r="F69" s="23" t="n">
        <x:v>8</x:v>
      </x:c>
    </x:row>
    <x:row r="70">
      <x:c r="A70" s="15" t="n">
        <x:v>40422</x:v>
      </x:c>
      <x:c r="B70" s="13" t="str">
        <x:v>Banks</x:v>
      </x:c>
      <x:c r="C70" s="16" t="n">
        <x:v>33014.4242645918</x:v>
      </x:c>
      <x:c r="D70" s="16" t="n">
        <x:v>35111.5058190028</x:v>
      </x:c>
      <x:c r="E70" s="16" t="n">
        <x:v>2097.081554411</x:v>
      </x:c>
      <x:c r="F70" s="23" t="n">
        <x:v>3</x:v>
      </x:c>
    </x:row>
    <x:row r="71">
      <x:c r="A71" s="15" t="n">
        <x:v>40422</x:v>
      </x:c>
      <x:c r="B71" s="13" t="str">
        <x:v>Capital Goods</x:v>
      </x:c>
      <x:c r="C71" s="16" t="n">
        <x:v>466.1829244493</x:v>
      </x:c>
      <x:c r="D71" s="16" t="n">
        <x:v>531.9687671233</x:v>
      </x:c>
      <x:c r="E71" s="16" t="n">
        <x:v>65.785842674</x:v>
      </x:c>
      <x:c r="F71" s="23" t="n">
        <x:v>1</x:v>
      </x:c>
    </x:row>
    <x:row r="72">
      <x:c r="A72" s="15" t="n">
        <x:v>40422</x:v>
      </x:c>
      <x:c r="B72" s="13" t="str">
        <x:v>Financials Non-Banks</x:v>
      </x:c>
      <x:c r="C72" s="16" t="n">
        <x:v>10227.1357482082</x:v>
      </x:c>
      <x:c r="D72" s="16" t="n">
        <x:v>10586.1530841425</x:v>
      </x:c>
      <x:c r="E72" s="16" t="n">
        <x:v>359.0173359342</x:v>
      </x:c>
      <x:c r="F72" s="23" t="n">
        <x:v>4</x:v>
      </x:c>
    </x:row>
    <x:row r="73">
      <x:c r="A73" s="15" t="n">
        <x:v>40422</x:v>
      </x:c>
      <x:c r="B73" s="13" t="str">
        <x:v>Food &amp; Beverages</x:v>
      </x:c>
      <x:c r="C73" s="16" t="n">
        <x:v>9104.2019671671</x:v>
      </x:c>
      <x:c r="D73" s="16" t="n">
        <x:v>9811.1698197041</x:v>
      </x:c>
      <x:c r="E73" s="16" t="n">
        <x:v>706.967852537</x:v>
      </x:c>
      <x:c r="F73" s="23" t="n">
        <x:v>3</x:v>
      </x:c>
    </x:row>
    <x:row r="74">
      <x:c r="A74" s="15" t="n">
        <x:v>40422</x:v>
      </x:c>
      <x:c r="B74" s="13" t="str">
        <x:v>Homebuilders</x:v>
      </x:c>
      <x:c r="C74" s="16" t="n">
        <x:v>3216.6931856658</x:v>
      </x:c>
      <x:c r="D74" s="16" t="n">
        <x:v>3674.4935132055</x:v>
      </x:c>
      <x:c r="E74" s="16" t="n">
        <x:v>457.8003275397</x:v>
      </x:c>
      <x:c r="F74" s="23" t="n">
        <x:v>5</x:v>
      </x:c>
    </x:row>
    <x:row r="75">
      <x:c r="A75" s="15" t="n">
        <x:v>40422</x:v>
      </x:c>
      <x:c r="B75" s="13" t="str">
        <x:v>Metals &amp; Mining</x:v>
      </x:c>
      <x:c r="C75" s="16" t="n">
        <x:v>45817.5085492603</x:v>
      </x:c>
      <x:c r="D75" s="16" t="n">
        <x:v>50363.7680742137</x:v>
      </x:c>
      <x:c r="E75" s="16" t="n">
        <x:v>4546.2595249534</x:v>
      </x:c>
      <x:c r="F75" s="23" t="n">
        <x:v>8</x:v>
      </x:c>
    </x:row>
    <x:row r="76">
      <x:c r="A76" s="15" t="n">
        <x:v>40422</x:v>
      </x:c>
      <x:c r="B76" s="13" t="str">
        <x:v>Oil, Gas &amp; Petrochemicals</x:v>
      </x:c>
      <x:c r="C76" s="16" t="n">
        <x:v>34846.825197589</x:v>
      </x:c>
      <x:c r="D76" s="16" t="n">
        <x:v>36114.3054428931</x:v>
      </x:c>
      <x:c r="E76" s="16" t="n">
        <x:v>1267.4802453041</x:v>
      </x:c>
      <x:c r="F76" s="23" t="n">
        <x:v>5</x:v>
      </x:c>
    </x:row>
    <x:row r="77">
      <x:c r="A77" s="15" t="n">
        <x:v>40422</x:v>
      </x:c>
      <x:c r="B77" s="13" t="str">
        <x:v>Pulp &amp; Paper</x:v>
      </x:c>
      <x:c r="C77" s="16" t="n">
        <x:v>1388.2533137534</x:v>
      </x:c>
      <x:c r="D77" s="16" t="n">
        <x:v>1340.4185059068</x:v>
      </x:c>
      <x:c r="E77" s="16" t="n">
        <x:v>-47.8348078466</x:v>
      </x:c>
      <x:c r="F77" s="23" t="n">
        <x:v>2</x:v>
      </x:c>
    </x:row>
    <x:row r="78">
      <x:c r="A78" s="15" t="n">
        <x:v>40422</x:v>
      </x:c>
      <x:c r="B78" s="13" t="str">
        <x:v>Retail</x:v>
      </x:c>
      <x:c r="C78" s="16" t="n">
        <x:v>2278.0390499068</x:v>
      </x:c>
      <x:c r="D78" s="16" t="n">
        <x:v>2287.3854648767</x:v>
      </x:c>
      <x:c r="E78" s="16" t="n">
        <x:v>9.3464149699</x:v>
      </x:c>
      <x:c r="F78" s="23" t="n">
        <x:v>5</x:v>
      </x:c>
    </x:row>
    <x:row r="79">
      <x:c r="A79" s="15" t="n">
        <x:v>40422</x:v>
      </x:c>
      <x:c r="B79" s="13" t="str">
        <x:v>Sanitation</x:v>
      </x:c>
      <x:c r="C79" s="16" t="n">
        <x:v>1275.7167763288</x:v>
      </x:c>
      <x:c r="D79" s="16" t="n">
        <x:v>1299.5556748274</x:v>
      </x:c>
      <x:c r="E79" s="16" t="n">
        <x:v>23.8388984986</x:v>
      </x:c>
      <x:c r="F79" s="23" t="n">
        <x:v>1</x:v>
      </x:c>
    </x:row>
    <x:row r="80">
      <x:c r="A80" s="15" t="n">
        <x:v>40422</x:v>
      </x:c>
      <x:c r="B80" s="13" t="str">
        <x:v>TMT</x:v>
      </x:c>
      <x:c r="C80" s="16" t="n">
        <x:v>10060.3695210959</x:v>
      </x:c>
      <x:c r="D80" s="16" t="n">
        <x:v>10677.9417822685</x:v>
      </x:c>
      <x:c r="E80" s="16" t="n">
        <x:v>617.5722611726</x:v>
      </x:c>
      <x:c r="F80" s="23" t="n">
        <x:v>8</x:v>
      </x:c>
    </x:row>
    <x:row r="81">
      <x:c r="A81" s="15" t="n">
        <x:v>40422</x:v>
      </x:c>
      <x:c r="B81" s="13" t="str">
        <x:v>Transportation</x:v>
      </x:c>
      <x:c r="C81" s="16" t="n">
        <x:v>1691.4610708164</x:v>
      </x:c>
      <x:c r="D81" s="16" t="n">
        <x:v>1784.9855679123</x:v>
      </x:c>
      <x:c r="E81" s="16" t="n">
        <x:v>93.5244970959</x:v>
      </x:c>
      <x:c r="F81" s="23" t="n">
        <x:v>5</x:v>
      </x:c>
    </x:row>
    <x:row r="82">
      <x:c r="A82" s="15" t="n">
        <x:v>40422</x:v>
      </x:c>
      <x:c r="B82" s="13" t="str">
        <x:v>Utilities &amp; Energy</x:v>
      </x:c>
      <x:c r="C82" s="16" t="n">
        <x:v>12581.5961682411</x:v>
      </x:c>
      <x:c r="D82" s="16" t="n">
        <x:v>13404.6372970959</x:v>
      </x:c>
      <x:c r="E82" s="16" t="n">
        <x:v>823.0411288548</x:v>
      </x:c>
      <x:c r="F82" s="23" t="n">
        <x:v>8</x:v>
      </x:c>
    </x:row>
    <x:row r="83">
      <x:c r="A83" s="15" t="n">
        <x:v>40452</x:v>
      </x:c>
      <x:c r="B83" s="13" t="str">
        <x:v>Banks</x:v>
      </x:c>
      <x:c r="C83" s="16" t="n">
        <x:v>33704.7471707178</x:v>
      </x:c>
      <x:c r="D83" s="16" t="n">
        <x:v>36003.3226022575</x:v>
      </x:c>
      <x:c r="E83" s="16" t="n">
        <x:v>2298.5754315397</x:v>
      </x:c>
      <x:c r="F83" s="23" t="n">
        <x:v>3</x:v>
      </x:c>
    </x:row>
    <x:row r="84">
      <x:c r="A84" s="15" t="n">
        <x:v>40452</x:v>
      </x:c>
      <x:c r="B84" s="13" t="str">
        <x:v>Capital Goods</x:v>
      </x:c>
      <x:c r="C84" s="16" t="n">
        <x:v>477.8009571945</x:v>
      </x:c>
      <x:c r="D84" s="16" t="n">
        <x:v>544.6915068493</x:v>
      </x:c>
      <x:c r="E84" s="16" t="n">
        <x:v>66.8905496548</x:v>
      </x:c>
      <x:c r="F84" s="23" t="n">
        <x:v>1</x:v>
      </x:c>
    </x:row>
    <x:row r="85">
      <x:c r="A85" s="15" t="n">
        <x:v>40452</x:v>
      </x:c>
      <x:c r="B85" s="13" t="str">
        <x:v>Financials Non-Banks</x:v>
      </x:c>
      <x:c r="C85" s="16" t="n">
        <x:v>10426.1174524493</x:v>
      </x:c>
      <x:c r="D85" s="16" t="n">
        <x:v>10563.5576905644</x:v>
      </x:c>
      <x:c r="E85" s="16" t="n">
        <x:v>137.4402381151</x:v>
      </x:c>
      <x:c r="F85" s="23" t="n">
        <x:v>4</x:v>
      </x:c>
    </x:row>
    <x:row r="86">
      <x:c r="A86" s="15" t="n">
        <x:v>40452</x:v>
      </x:c>
      <x:c r="B86" s="13" t="str">
        <x:v>Food &amp; Beverages</x:v>
      </x:c>
      <x:c r="C86" s="16" t="n">
        <x:v>9408.4751089973</x:v>
      </x:c>
      <x:c r="D86" s="16" t="n">
        <x:v>9911.6190660384</x:v>
      </x:c>
      <x:c r="E86" s="16" t="n">
        <x:v>503.1439570411</x:v>
      </x:c>
      <x:c r="F86" s="23" t="n">
        <x:v>3</x:v>
      </x:c>
    </x:row>
    <x:row r="87">
      <x:c r="A87" s="15" t="n">
        <x:v>40452</x:v>
      </x:c>
      <x:c r="B87" s="13" t="str">
        <x:v>Homebuilders</x:v>
      </x:c>
      <x:c r="C87" s="16" t="n">
        <x:v>3372.893772274</x:v>
      </x:c>
      <x:c r="D87" s="16" t="n">
        <x:v>3834.0467723397</x:v>
      </x:c>
      <x:c r="E87" s="16" t="n">
        <x:v>461.1530000657</x:v>
      </x:c>
      <x:c r="F87" s="23" t="n">
        <x:v>5</x:v>
      </x:c>
    </x:row>
    <x:row r="88">
      <x:c r="A88" s="15" t="n">
        <x:v>40452</x:v>
      </x:c>
      <x:c r="B88" s="13" t="str">
        <x:v>Metals &amp; Mining</x:v>
      </x:c>
      <x:c r="C88" s="16" t="n">
        <x:v>47296.6689899835</x:v>
      </x:c>
      <x:c r="D88" s="16" t="n">
        <x:v>50149.5018773809</x:v>
      </x:c>
      <x:c r="E88" s="16" t="n">
        <x:v>2852.8328873973</x:v>
      </x:c>
      <x:c r="F88" s="23" t="n">
        <x:v>8</x:v>
      </x:c>
    </x:row>
    <x:row r="89">
      <x:c r="A89" s="15" t="n">
        <x:v>40452</x:v>
      </x:c>
      <x:c r="B89" s="13" t="str">
        <x:v>Oil, Gas &amp; Petrochemicals</x:v>
      </x:c>
      <x:c r="C89" s="16" t="n">
        <x:v>35399.4038512877</x:v>
      </x:c>
      <x:c r="D89" s="16" t="n">
        <x:v>37109.8290335562</x:v>
      </x:c>
      <x:c r="E89" s="16" t="n">
        <x:v>1710.4251822685</x:v>
      </x:c>
      <x:c r="F89" s="23" t="n">
        <x:v>5</x:v>
      </x:c>
    </x:row>
    <x:row r="90">
      <x:c r="A90" s="15" t="n">
        <x:v>40452</x:v>
      </x:c>
      <x:c r="B90" s="13" t="str">
        <x:v>Pulp &amp; Paper</x:v>
      </x:c>
      <x:c r="C90" s="16" t="n">
        <x:v>1349.5207892164</x:v>
      </x:c>
      <x:c r="D90" s="16" t="n">
        <x:v>1238.060576526</x:v>
      </x:c>
      <x:c r="E90" s="16" t="n">
        <x:v>-111.4602126904</x:v>
      </x:c>
      <x:c r="F90" s="23" t="n">
        <x:v>2</x:v>
      </x:c>
    </x:row>
    <x:row r="91">
      <x:c r="A91" s="15" t="n">
        <x:v>40452</x:v>
      </x:c>
      <x:c r="B91" s="13" t="str">
        <x:v>Retail</x:v>
      </x:c>
      <x:c r="C91" s="16" t="n">
        <x:v>2287.9950456329</x:v>
      </x:c>
      <x:c r="D91" s="16" t="n">
        <x:v>2326.9078263014</x:v>
      </x:c>
      <x:c r="E91" s="16" t="n">
        <x:v>38.9127806685</x:v>
      </x:c>
      <x:c r="F91" s="23" t="n">
        <x:v>5</x:v>
      </x:c>
    </x:row>
    <x:row r="92">
      <x:c r="A92" s="15" t="n">
        <x:v>40452</x:v>
      </x:c>
      <x:c r="B92" s="13" t="str">
        <x:v>Sanitation</x:v>
      </x:c>
      <x:c r="C92" s="16" t="n">
        <x:v>1281.4310112438</x:v>
      </x:c>
      <x:c r="D92" s="16" t="n">
        <x:v>1333.308289052</x:v>
      </x:c>
      <x:c r="E92" s="16" t="n">
        <x:v>51.8772778082</x:v>
      </x:c>
      <x:c r="F92" s="23" t="n">
        <x:v>1</x:v>
      </x:c>
    </x:row>
    <x:row r="93">
      <x:c r="A93" s="15" t="n">
        <x:v>40452</x:v>
      </x:c>
      <x:c r="B93" s="13" t="str">
        <x:v>TMT</x:v>
      </x:c>
      <x:c r="C93" s="16" t="n">
        <x:v>9343.0065593863</x:v>
      </x:c>
      <x:c r="D93" s="16" t="n">
        <x:v>10295.6066451288</x:v>
      </x:c>
      <x:c r="E93" s="16" t="n">
        <x:v>952.6000857425</x:v>
      </x:c>
      <x:c r="F93" s="23" t="n">
        <x:v>7</x:v>
      </x:c>
    </x:row>
    <x:row r="94">
      <x:c r="A94" s="15" t="n">
        <x:v>40452</x:v>
      </x:c>
      <x:c r="B94" s="13" t="str">
        <x:v>Transportation</x:v>
      </x:c>
      <x:c r="C94" s="16" t="n">
        <x:v>1460.9258548603</x:v>
      </x:c>
      <x:c r="D94" s="16" t="n">
        <x:v>1636.9253938411</x:v>
      </x:c>
      <x:c r="E94" s="16" t="n">
        <x:v>175.9995389808</x:v>
      </x:c>
      <x:c r="F94" s="23" t="n">
        <x:v>4</x:v>
      </x:c>
    </x:row>
    <x:row r="95">
      <x:c r="A95" s="15" t="n">
        <x:v>40452</x:v>
      </x:c>
      <x:c r="B95" s="13" t="str">
        <x:v>Utilities &amp; Energy</x:v>
      </x:c>
      <x:c r="C95" s="16" t="n">
        <x:v>13198.2393454466</x:v>
      </x:c>
      <x:c r="D95" s="16" t="n">
        <x:v>13517.348697337</x:v>
      </x:c>
      <x:c r="E95" s="16" t="n">
        <x:v>319.1093518904</x:v>
      </x:c>
      <x:c r="F95" s="23" t="n">
        <x:v>8</x:v>
      </x:c>
    </x:row>
    <x:row r="96">
      <x:c r="A96" s="15" t="n">
        <x:v>40483</x:v>
      </x:c>
      <x:c r="B96" s="13" t="str">
        <x:v>Banks</x:v>
      </x:c>
      <x:c r="C96" s="16" t="n">
        <x:v>34326.4510990028</x:v>
      </x:c>
      <x:c r="D96" s="16" t="n">
        <x:v>36711.928298959</x:v>
      </x:c>
      <x:c r="E96" s="16" t="n">
        <x:v>2385.4771999562</x:v>
      </x:c>
      <x:c r="F96" s="23" t="n">
        <x:v>3</x:v>
      </x:c>
    </x:row>
    <x:row r="97">
      <x:c r="A97" s="15" t="n">
        <x:v>40483</x:v>
      </x:c>
      <x:c r="B97" s="13" t="str">
        <x:v>Capital Goods</x:v>
      </x:c>
      <x:c r="C97" s="16" t="n">
        <x:v>521.7848137644</x:v>
      </x:c>
      <x:c r="D97" s="16" t="n">
        <x:v>549.2405479452</x:v>
      </x:c>
      <x:c r="E97" s="16" t="n">
        <x:v>27.4557341808</x:v>
      </x:c>
      <x:c r="F97" s="23" t="n">
        <x:v>1</x:v>
      </x:c>
    </x:row>
    <x:row r="98">
      <x:c r="A98" s="15" t="n">
        <x:v>40483</x:v>
      </x:c>
      <x:c r="B98" s="13" t="str">
        <x:v>Financials Non-Banks</x:v>
      </x:c>
      <x:c r="C98" s="16" t="n">
        <x:v>10412.5270899726</x:v>
      </x:c>
      <x:c r="D98" s="16" t="n">
        <x:v>10602.9131583123</x:v>
      </x:c>
      <x:c r="E98" s="16" t="n">
        <x:v>190.3860683397</x:v>
      </x:c>
      <x:c r="F98" s="23" t="n">
        <x:v>4</x:v>
      </x:c>
    </x:row>
    <x:row r="99">
      <x:c r="A99" s="15" t="n">
        <x:v>40483</x:v>
      </x:c>
      <x:c r="B99" s="13" t="str">
        <x:v>Food &amp; Beverages</x:v>
      </x:c>
      <x:c r="C99" s="16" t="n">
        <x:v>9569.7662111562</x:v>
      </x:c>
      <x:c r="D99" s="16" t="n">
        <x:v>10270.1483437589</x:v>
      </x:c>
      <x:c r="E99" s="16" t="n">
        <x:v>700.3821326027</x:v>
      </x:c>
      <x:c r="F99" s="23" t="n">
        <x:v>3</x:v>
      </x:c>
    </x:row>
    <x:row r="100">
      <x:c r="A100" s="15" t="n">
        <x:v>40483</x:v>
      </x:c>
      <x:c r="B100" s="13" t="str">
        <x:v>Homebuilders</x:v>
      </x:c>
      <x:c r="C100" s="16" t="n">
        <x:v>3520.6832553205</x:v>
      </x:c>
      <x:c r="D100" s="16" t="n">
        <x:v>3893.3488161315</x:v>
      </x:c>
      <x:c r="E100" s="16" t="n">
        <x:v>372.665560811</x:v>
      </x:c>
      <x:c r="F100" s="23" t="n">
        <x:v>5</x:v>
      </x:c>
    </x:row>
    <x:row r="101">
      <x:c r="A101" s="15" t="n">
        <x:v>40483</x:v>
      </x:c>
      <x:c r="B101" s="13" t="str">
        <x:v>Metals &amp; Mining</x:v>
      </x:c>
      <x:c r="C101" s="16" t="n">
        <x:v>50334.6966282959</x:v>
      </x:c>
      <x:c r="D101" s="16" t="n">
        <x:v>51616.9820141753</x:v>
      </x:c>
      <x:c r="E101" s="16" t="n">
        <x:v>1282.2853858794</x:v>
      </x:c>
      <x:c r="F101" s="23" t="n">
        <x:v>8</x:v>
      </x:c>
    </x:row>
    <x:row r="102">
      <x:c r="A102" s="15" t="n">
        <x:v>40483</x:v>
      </x:c>
      <x:c r="B102" s="13" t="str">
        <x:v>Oil, Gas &amp; Petrochemicals</x:v>
      </x:c>
      <x:c r="C102" s="16" t="n">
        <x:v>35715.2801287014</x:v>
      </x:c>
      <x:c r="D102" s="16" t="n">
        <x:v>37417.6675818082</x:v>
      </x:c>
      <x:c r="E102" s="16" t="n">
        <x:v>1702.3874531068</x:v>
      </x:c>
      <x:c r="F102" s="23" t="n">
        <x:v>5</x:v>
      </x:c>
    </x:row>
    <x:row r="103">
      <x:c r="A103" s="15" t="n">
        <x:v>40483</x:v>
      </x:c>
      <x:c r="B103" s="13" t="str">
        <x:v>Pulp &amp; Paper</x:v>
      </x:c>
      <x:c r="C103" s="16" t="n">
        <x:v>1300.0250743233</x:v>
      </x:c>
      <x:c r="D103" s="16" t="n">
        <x:v>1190.9293648658</x:v>
      </x:c>
      <x:c r="E103" s="16" t="n">
        <x:v>-109.0957094575</x:v>
      </x:c>
      <x:c r="F103" s="23" t="n">
        <x:v>2</x:v>
      </x:c>
    </x:row>
    <x:row r="104">
      <x:c r="A104" s="15" t="n">
        <x:v>40483</x:v>
      </x:c>
      <x:c r="B104" s="13" t="str">
        <x:v>Retail</x:v>
      </x:c>
      <x:c r="C104" s="16" t="n">
        <x:v>2326.4594596822</x:v>
      </x:c>
      <x:c r="D104" s="16" t="n">
        <x:v>2389.5652308493</x:v>
      </x:c>
      <x:c r="E104" s="16" t="n">
        <x:v>63.1057711671</x:v>
      </x:c>
      <x:c r="F104" s="23" t="n">
        <x:v>5</x:v>
      </x:c>
    </x:row>
    <x:row r="105">
      <x:c r="A105" s="15" t="n">
        <x:v>40483</x:v>
      </x:c>
      <x:c r="B105" s="13" t="str">
        <x:v>Sanitation</x:v>
      </x:c>
      <x:c r="C105" s="16" t="n">
        <x:v>1296.9770250521</x:v>
      </x:c>
      <x:c r="D105" s="16" t="n">
        <x:v>1371.337765874</x:v>
      </x:c>
      <x:c r="E105" s="16" t="n">
        <x:v>74.3607408219</x:v>
      </x:c>
      <x:c r="F105" s="23" t="n">
        <x:v>1</x:v>
      </x:c>
    </x:row>
    <x:row r="106">
      <x:c r="A106" s="15" t="n">
        <x:v>40483</x:v>
      </x:c>
      <x:c r="B106" s="13" t="str">
        <x:v>TMT</x:v>
      </x:c>
      <x:c r="C106" s="16" t="n">
        <x:v>9754.3316827178</x:v>
      </x:c>
      <x:c r="D106" s="16" t="n">
        <x:v>10603.0484892055</x:v>
      </x:c>
      <x:c r="E106" s="16" t="n">
        <x:v>848.7168064877</x:v>
      </x:c>
      <x:c r="F106" s="23" t="n">
        <x:v>7</x:v>
      </x:c>
    </x:row>
    <x:row r="107">
      <x:c r="A107" s="15" t="n">
        <x:v>40483</x:v>
      </x:c>
      <x:c r="B107" s="13" t="str">
        <x:v>Transportation</x:v>
      </x:c>
      <x:c r="C107" s="16" t="n">
        <x:v>1460.6403371836</x:v>
      </x:c>
      <x:c r="D107" s="16" t="n">
        <x:v>1657.2285054904</x:v>
      </x:c>
      <x:c r="E107" s="16" t="n">
        <x:v>196.5881683068</x:v>
      </x:c>
      <x:c r="F107" s="23" t="n">
        <x:v>4</x:v>
      </x:c>
    </x:row>
    <x:row r="108">
      <x:c r="A108" s="15" t="n">
        <x:v>40483</x:v>
      </x:c>
      <x:c r="B108" s="13" t="str">
        <x:v>Utilities &amp; Energy</x:v>
      </x:c>
      <x:c r="C108" s="16" t="n">
        <x:v>13197.2959803616</x:v>
      </x:c>
      <x:c r="D108" s="16" t="n">
        <x:v>13723.1169476384</x:v>
      </x:c>
      <x:c r="E108" s="16" t="n">
        <x:v>525.8209672767</x:v>
      </x:c>
      <x:c r="F108" s="23" t="n">
        <x:v>8</x:v>
      </x:c>
    </x:row>
    <x:row r="109">
      <x:c r="A109" s="15" t="n">
        <x:v>40513</x:v>
      </x:c>
      <x:c r="B109" s="13" t="str">
        <x:v>Banks</x:v>
      </x:c>
      <x:c r="C109" s="16" t="n">
        <x:v>43119.1628407234</x:v>
      </x:c>
      <x:c r="D109" s="16" t="n">
        <x:v>45119.640064</x:v>
      </x:c>
      <x:c r="E109" s="16" t="n">
        <x:v>2000.4772232766</x:v>
      </x:c>
      <x:c r="F109" s="23" t="n">
        <x:v>4</x:v>
      </x:c>
    </x:row>
    <x:row r="110">
      <x:c r="A110" s="15" t="n">
        <x:v>40513</x:v>
      </x:c>
      <x:c r="B110" s="13" t="str">
        <x:v>Capital Goods</x:v>
      </x:c>
      <x:c r="C110" s="16" t="n">
        <x:v>531.9687671233</x:v>
      </x:c>
      <x:c r="D110" s="16" t="n">
        <x:v>560.300032</x:v>
      </x:c>
      <x:c r="E110" s="16" t="n">
        <x:v>28.3312648767</x:v>
      </x:c>
      <x:c r="F110" s="23" t="n">
        <x:v>1</x:v>
      </x:c>
    </x:row>
    <x:row r="111">
      <x:c r="A111" s="15" t="n">
        <x:v>40513</x:v>
      </x:c>
      <x:c r="B111" s="13" t="str">
        <x:v>Financials Non-Banks</x:v>
      </x:c>
      <x:c r="C111" s="16" t="n">
        <x:v>10586.1530841425</x:v>
      </x:c>
      <x:c r="D111" s="16" t="n">
        <x:v>10683.130112</x:v>
      </x:c>
      <x:c r="E111" s="16" t="n">
        <x:v>96.9770278575</x:v>
      </x:c>
      <x:c r="F111" s="23" t="n">
        <x:v>4</x:v>
      </x:c>
    </x:row>
    <x:row r="112">
      <x:c r="A112" s="15" t="n">
        <x:v>40513</x:v>
      </x:c>
      <x:c r="B112" s="13" t="str">
        <x:v>Food &amp; Beverages</x:v>
      </x:c>
      <x:c r="C112" s="16" t="n">
        <x:v>11348.1862540274</x:v>
      </x:c>
      <x:c r="D112" s="16" t="n">
        <x:v>12227.144832</x:v>
      </x:c>
      <x:c r="E112" s="16" t="n">
        <x:v>878.9585779726</x:v>
      </x:c>
      <x:c r="F112" s="23" t="n">
        <x:v>5</x:v>
      </x:c>
    </x:row>
    <x:row r="113">
      <x:c r="A113" s="15" t="n">
        <x:v>40513</x:v>
      </x:c>
      <x:c r="B113" s="13" t="str">
        <x:v>Homebuilders</x:v>
      </x:c>
      <x:c r="C113" s="16" t="n">
        <x:v>4113.0572197699</x:v>
      </x:c>
      <x:c r="D113" s="16" t="n">
        <x:v>4524.430944</x:v>
      </x:c>
      <x:c r="E113" s="16" t="n">
        <x:v>411.3737242301</x:v>
      </x:c>
      <x:c r="F113" s="23" t="n">
        <x:v>6</x:v>
      </x:c>
    </x:row>
    <x:row r="114">
      <x:c r="A114" s="15" t="n">
        <x:v>40513</x:v>
      </x:c>
      <x:c r="B114" s="13" t="str">
        <x:v>Metals &amp; Mining</x:v>
      </x:c>
      <x:c r="C114" s="16" t="n">
        <x:v>50363.7680742137</x:v>
      </x:c>
      <x:c r="D114" s="16" t="n">
        <x:v>52419.160736</x:v>
      </x:c>
      <x:c r="E114" s="16" t="n">
        <x:v>2055.3926617863</x:v>
      </x:c>
      <x:c r="F114" s="23" t="n">
        <x:v>8</x:v>
      </x:c>
    </x:row>
    <x:row r="115">
      <x:c r="A115" s="15" t="n">
        <x:v>40513</x:v>
      </x:c>
      <x:c r="B115" s="13" t="str">
        <x:v>Oil, Gas &amp; Petrochemicals</x:v>
      </x:c>
      <x:c r="C115" s="16" t="n">
        <x:v>36114.3054428931</x:v>
      </x:c>
      <x:c r="D115" s="16" t="n">
        <x:v>38745.765184</x:v>
      </x:c>
      <x:c r="E115" s="16" t="n">
        <x:v>2631.4597411069</x:v>
      </x:c>
      <x:c r="F115" s="23" t="n">
        <x:v>5</x:v>
      </x:c>
    </x:row>
    <x:row r="116">
      <x:c r="A116" s="15" t="n">
        <x:v>40513</x:v>
      </x:c>
      <x:c r="B116" s="13" t="str">
        <x:v>Pulp &amp; Paper</x:v>
      </x:c>
      <x:c r="C116" s="16" t="n">
        <x:v>1340.4185059068</x:v>
      </x:c>
      <x:c r="D116" s="16" t="n">
        <x:v>1116.38896</x:v>
      </x:c>
      <x:c r="E116" s="16" t="n">
        <x:v>-224.0295459068</x:v>
      </x:c>
      <x:c r="F116" s="23" t="n">
        <x:v>2</x:v>
      </x:c>
    </x:row>
    <x:row r="117">
      <x:c r="A117" s="15" t="n">
        <x:v>40513</x:v>
      </x:c>
      <x:c r="B117" s="13" t="str">
        <x:v>Retail</x:v>
      </x:c>
      <x:c r="C117" s="16" t="n">
        <x:v>2287.3854648767</x:v>
      </x:c>
      <x:c r="D117" s="16" t="n">
        <x:v>2431.81088</x:v>
      </x:c>
      <x:c r="E117" s="16" t="n">
        <x:v>144.4254151233</x:v>
      </x:c>
      <x:c r="F117" s="23" t="n">
        <x:v>5</x:v>
      </x:c>
    </x:row>
    <x:row r="118">
      <x:c r="A118" s="15" t="n">
        <x:v>40513</x:v>
      </x:c>
      <x:c r="B118" s="13" t="str">
        <x:v>Sanitation</x:v>
      </x:c>
      <x:c r="C118" s="16" t="n">
        <x:v>1299.5556748274</x:v>
      </x:c>
      <x:c r="D118" s="16" t="n">
        <x:v>1378.550016</x:v>
      </x:c>
      <x:c r="E118" s="16" t="n">
        <x:v>78.9943411726</x:v>
      </x:c>
      <x:c r="F118" s="23" t="n">
        <x:v>1</x:v>
      </x:c>
    </x:row>
    <x:row r="119">
      <x:c r="A119" s="15" t="n">
        <x:v>40513</x:v>
      </x:c>
      <x:c r="B119" s="13" t="str">
        <x:v>TMT</x:v>
      </x:c>
      <x:c r="C119" s="16" t="n">
        <x:v>10252.7554602082</x:v>
      </x:c>
      <x:c r="D119" s="16" t="n">
        <x:v>10907.42208</x:v>
      </x:c>
      <x:c r="E119" s="16" t="n">
        <x:v>654.6666197918</x:v>
      </x:c>
      <x:c r="F119" s="23" t="n">
        <x:v>7</x:v>
      </x:c>
    </x:row>
    <x:row r="120">
      <x:c r="A120" s="15" t="n">
        <x:v>40513</x:v>
      </x:c>
      <x:c r="B120" s="13" t="str">
        <x:v>Transportation</x:v>
      </x:c>
      <x:c r="C120" s="16" t="n">
        <x:v>1518.4550376329</x:v>
      </x:c>
      <x:c r="D120" s="16" t="n">
        <x:v>1696.696704</x:v>
      </x:c>
      <x:c r="E120" s="16" t="n">
        <x:v>178.2416663671</x:v>
      </x:c>
      <x:c r="F120" s="23" t="n">
        <x:v>4</x:v>
      </x:c>
    </x:row>
    <x:row r="121">
      <x:c r="A121" s="15" t="n">
        <x:v>40513</x:v>
      </x:c>
      <x:c r="B121" s="13" t="str">
        <x:v>Utilities &amp; Energy</x:v>
      </x:c>
      <x:c r="C121" s="16" t="n">
        <x:v>13404.6372970959</x:v>
      </x:c>
      <x:c r="D121" s="16" t="n">
        <x:v>13677.795968</x:v>
      </x:c>
      <x:c r="E121" s="16" t="n">
        <x:v>273.1586709041</x:v>
      </x:c>
      <x:c r="F121" s="23" t="n">
        <x:v>8</x:v>
      </x:c>
    </x:row>
    <x:row r="122">
      <x:c r="A122" s="15" t="n">
        <x:v>40544</x:v>
      </x:c>
      <x:c r="B122" s="13" t="str">
        <x:v>Banks</x:v>
      </x:c>
      <x:c r="C122" s="16" t="n">
        <x:v>43756.2974165917</x:v>
      </x:c>
      <x:c r="D122" s="16" t="n">
        <x:v>46150.7566401749</x:v>
      </x:c>
      <x:c r="E122" s="16" t="n">
        <x:v>2394.4592235831</x:v>
      </x:c>
      <x:c r="F122" s="23" t="n">
        <x:v>4</x:v>
      </x:c>
    </x:row>
    <x:row r="123">
      <x:c r="A123" s="15" t="n">
        <x:v>40544</x:v>
      </x:c>
      <x:c r="B123" s="13" t="str">
        <x:v>Capital Goods</x:v>
      </x:c>
      <x:c r="C123" s="16" t="n">
        <x:v>544.6915068493</x:v>
      </x:c>
      <x:c r="D123" s="16" t="n">
        <x:v>569.3679933552</x:v>
      </x:c>
      <x:c r="E123" s="16" t="n">
        <x:v>24.6764865059</x:v>
      </x:c>
      <x:c r="F123" s="23" t="n">
        <x:v>1</x:v>
      </x:c>
    </x:row>
    <x:row r="124">
      <x:c r="A124" s="15" t="n">
        <x:v>40544</x:v>
      </x:c>
      <x:c r="B124" s="13" t="str">
        <x:v>Financials Non-Banks</x:v>
      </x:c>
      <x:c r="C124" s="16" t="n">
        <x:v>10563.5576905644</x:v>
      </x:c>
      <x:c r="D124" s="16" t="n">
        <x:v>10794.1638980546</x:v>
      </x:c>
      <x:c r="E124" s="16" t="n">
        <x:v>230.6062074902</x:v>
      </x:c>
      <x:c r="F124" s="23" t="n">
        <x:v>4</x:v>
      </x:c>
    </x:row>
    <x:row r="125">
      <x:c r="A125" s="15" t="n">
        <x:v>40544</x:v>
      </x:c>
      <x:c r="B125" s="13" t="str">
        <x:v>Food &amp; Beverages</x:v>
      </x:c>
      <x:c r="C125" s="16" t="n">
        <x:v>11515.1854388603</x:v>
      </x:c>
      <x:c r="D125" s="16" t="n">
        <x:v>12423.1056061202</x:v>
      </x:c>
      <x:c r="E125" s="16" t="n">
        <x:v>907.9201672599</x:v>
      </x:c>
      <x:c r="F125" s="23" t="n">
        <x:v>5</x:v>
      </x:c>
    </x:row>
    <x:row r="126">
      <x:c r="A126" s="15" t="n">
        <x:v>40544</x:v>
      </x:c>
      <x:c r="B126" s="13" t="str">
        <x:v>Homebuilders</x:v>
      </x:c>
      <x:c r="C126" s="16" t="n">
        <x:v>4292.3282725699</x:v>
      </x:c>
      <x:c r="D126" s="16" t="n">
        <x:v>4646.7642010929</x:v>
      </x:c>
      <x:c r="E126" s="16" t="n">
        <x:v>354.435928523</x:v>
      </x:c>
      <x:c r="F126" s="23" t="n">
        <x:v>6</x:v>
      </x:c>
    </x:row>
    <x:row r="127">
      <x:c r="A127" s="15" t="n">
        <x:v>40544</x:v>
      </x:c>
      <x:c r="B127" s="13" t="str">
        <x:v>Metals &amp; Mining</x:v>
      </x:c>
      <x:c r="C127" s="16" t="n">
        <x:v>49374.0566774247</x:v>
      </x:c>
      <x:c r="D127" s="16" t="n">
        <x:v>51095.0653378798</x:v>
      </x:c>
      <x:c r="E127" s="16" t="n">
        <x:v>1721.0086604551</x:v>
      </x:c>
      <x:c r="F127" s="23" t="n">
        <x:v>7</x:v>
      </x:c>
    </x:row>
    <x:row r="128">
      <x:c r="A128" s="15" t="n">
        <x:v>40544</x:v>
      </x:c>
      <x:c r="B128" s="13" t="str">
        <x:v>Oil, Gas &amp; Petrochemicals</x:v>
      </x:c>
      <x:c r="C128" s="16" t="n">
        <x:v>37109.8290335562</x:v>
      </x:c>
      <x:c r="D128" s="16" t="n">
        <x:v>39410.0513166339</x:v>
      </x:c>
      <x:c r="E128" s="16" t="n">
        <x:v>2300.2222830777</x:v>
      </x:c>
      <x:c r="F128" s="23" t="n">
        <x:v>5</x:v>
      </x:c>
    </x:row>
    <x:row r="129">
      <x:c r="A129" s="15" t="n">
        <x:v>40544</x:v>
      </x:c>
      <x:c r="B129" s="13" t="str">
        <x:v>Pulp &amp; Paper</x:v>
      </x:c>
      <x:c r="C129" s="16" t="n">
        <x:v>1238.060576526</x:v>
      </x:c>
      <x:c r="D129" s="16" t="n">
        <x:v>1070.9670957814</x:v>
      </x:c>
      <x:c r="E129" s="16" t="n">
        <x:v>-167.0934807446</x:v>
      </x:c>
      <x:c r="F129" s="23" t="n">
        <x:v>2</x:v>
      </x:c>
    </x:row>
    <x:row r="130">
      <x:c r="A130" s="15" t="n">
        <x:v>40544</x:v>
      </x:c>
      <x:c r="B130" s="13" t="str">
        <x:v>Retail</x:v>
      </x:c>
      <x:c r="C130" s="16" t="n">
        <x:v>2326.9078263014</x:v>
      </x:c>
      <x:c r="D130" s="16" t="n">
        <x:v>2486.9269387978</x:v>
      </x:c>
      <x:c r="E130" s="16" t="n">
        <x:v>160.0191124964</x:v>
      </x:c>
      <x:c r="F130" s="23" t="n">
        <x:v>5</x:v>
      </x:c>
    </x:row>
    <x:row r="131">
      <x:c r="A131" s="15" t="n">
        <x:v>40544</x:v>
      </x:c>
      <x:c r="B131" s="13" t="str">
        <x:v>Sanitation</x:v>
      </x:c>
      <x:c r="C131" s="16" t="n">
        <x:v>1333.308289052</x:v>
      </x:c>
      <x:c r="D131" s="16" t="n">
        <x:v>1365.3597705792</x:v>
      </x:c>
      <x:c r="E131" s="16" t="n">
        <x:v>32.0514815272</x:v>
      </x:c>
      <x:c r="F131" s="23" t="n">
        <x:v>1</x:v>
      </x:c>
    </x:row>
    <x:row r="132">
      <x:c r="A132" s="15" t="n">
        <x:v>40544</x:v>
      </x:c>
      <x:c r="B132" s="13" t="str">
        <x:v>TMT</x:v>
      </x:c>
      <x:c r="C132" s="16" t="n">
        <x:v>10295.6066451288</x:v>
      </x:c>
      <x:c r="D132" s="16" t="n">
        <x:v>11158.9282049399</x:v>
      </x:c>
      <x:c r="E132" s="16" t="n">
        <x:v>863.3215598111</x:v>
      </x:c>
      <x:c r="F132" s="23" t="n">
        <x:v>7</x:v>
      </x:c>
    </x:row>
    <x:row r="133">
      <x:c r="A133" s="15" t="n">
        <x:v>40544</x:v>
      </x:c>
      <x:c r="B133" s="13" t="str">
        <x:v>Transportation</x:v>
      </x:c>
      <x:c r="C133" s="16" t="n">
        <x:v>1891.0013390466</x:v>
      </x:c>
      <x:c r="D133" s="16" t="n">
        <x:v>2074.0844444809</x:v>
      </x:c>
      <x:c r="E133" s="16" t="n">
        <x:v>183.0831054343</x:v>
      </x:c>
      <x:c r="F133" s="23" t="n">
        <x:v>5</x:v>
      </x:c>
    </x:row>
    <x:row r="134">
      <x:c r="A134" s="15" t="n">
        <x:v>40544</x:v>
      </x:c>
      <x:c r="B134" s="13" t="str">
        <x:v>Utilities &amp; Energy</x:v>
      </x:c>
      <x:c r="C134" s="16" t="n">
        <x:v>13517.348697337</x:v>
      </x:c>
      <x:c r="D134" s="16" t="n">
        <x:v>14069.1198268852</x:v>
      </x:c>
      <x:c r="E134" s="16" t="n">
        <x:v>551.7711295483</x:v>
      </x:c>
      <x:c r="F134" s="23" t="n">
        <x:v>8</x:v>
      </x:c>
    </x:row>
    <x:row r="135">
      <x:c r="A135" s="15" t="n">
        <x:v>40575</x:v>
      </x:c>
      <x:c r="B135" s="13" t="str">
        <x:v>Banks</x:v>
      </x:c>
      <x:c r="C135" s="16" t="n">
        <x:v>44733.8313545645</x:v>
      </x:c>
      <x:c r="D135" s="16" t="n">
        <x:v>46575.9274135083</x:v>
      </x:c>
      <x:c r="E135" s="16" t="n">
        <x:v>1842.0960589438</x:v>
      </x:c>
      <x:c r="F135" s="23" t="n">
        <x:v>4</x:v>
      </x:c>
    </x:row>
    <x:row r="136">
      <x:c r="A136" s="15" t="n">
        <x:v>40575</x:v>
      </x:c>
      <x:c r="B136" s="13" t="str">
        <x:v>Capital Goods</x:v>
      </x:c>
      <x:c r="C136" s="16" t="n">
        <x:v>549.2405479452</x:v>
      </x:c>
      <x:c r="D136" s="16" t="n">
        <x:v>566.1094620328</x:v>
      </x:c>
      <x:c r="E136" s="16" t="n">
        <x:v>16.8689140876</x:v>
      </x:c>
      <x:c r="F136" s="23" t="n">
        <x:v>1</x:v>
      </x:c>
    </x:row>
    <x:row r="137">
      <x:c r="A137" s="15" t="n">
        <x:v>40575</x:v>
      </x:c>
      <x:c r="B137" s="13" t="str">
        <x:v>Financials Non-Banks</x:v>
      </x:c>
      <x:c r="C137" s="16" t="n">
        <x:v>10602.9131583123</x:v>
      </x:c>
      <x:c r="D137" s="16" t="n">
        <x:v>10801.8926814426</x:v>
      </x:c>
      <x:c r="E137" s="16" t="n">
        <x:v>198.9795231303</x:v>
      </x:c>
      <x:c r="F137" s="23" t="n">
        <x:v>4</x:v>
      </x:c>
    </x:row>
    <x:row r="138">
      <x:c r="A138" s="15" t="n">
        <x:v>40575</x:v>
      </x:c>
      <x:c r="B138" s="13" t="str">
        <x:v>Food &amp; Beverages</x:v>
      </x:c>
      <x:c r="C138" s="16" t="n">
        <x:v>11978.3604515069</x:v>
      </x:c>
      <x:c r="D138" s="16" t="n">
        <x:v>12638.7682775082</x:v>
      </x:c>
      <x:c r="E138" s="16" t="n">
        <x:v>660.4078260013</x:v>
      </x:c>
      <x:c r="F138" s="23" t="n">
        <x:v>5</x:v>
      </x:c>
    </x:row>
    <x:row r="139">
      <x:c r="A139" s="15" t="n">
        <x:v>40575</x:v>
      </x:c>
      <x:c r="B139" s="13" t="str">
        <x:v>Homebuilders</x:v>
      </x:c>
      <x:c r="C139" s="16" t="n">
        <x:v>4368.7940302904</x:v>
      </x:c>
      <x:c r="D139" s="16" t="n">
        <x:v>4749.2789277377</x:v>
      </x:c>
      <x:c r="E139" s="16" t="n">
        <x:v>380.4848974473</x:v>
      </x:c>
      <x:c r="F139" s="23" t="n">
        <x:v>6</x:v>
      </x:c>
    </x:row>
    <x:row r="140">
      <x:c r="A140" s="15" t="n">
        <x:v>40575</x:v>
      </x:c>
      <x:c r="B140" s="13" t="str">
        <x:v>Metals &amp; Mining</x:v>
      </x:c>
      <x:c r="C140" s="16" t="n">
        <x:v>49972.5573859232</x:v>
      </x:c>
      <x:c r="D140" s="16" t="n">
        <x:v>52370.7414121968</x:v>
      </x:c>
      <x:c r="E140" s="16" t="n">
        <x:v>2398.1840262735</x:v>
      </x:c>
      <x:c r="F140" s="23" t="n">
        <x:v>7</x:v>
      </x:c>
    </x:row>
    <x:row r="141">
      <x:c r="A141" s="15" t="n">
        <x:v>40575</x:v>
      </x:c>
      <x:c r="B141" s="13" t="str">
        <x:v>Oil, Gas &amp; Petrochemicals</x:v>
      </x:c>
      <x:c r="C141" s="16" t="n">
        <x:v>37417.6675818082</x:v>
      </x:c>
      <x:c r="D141" s="16" t="n">
        <x:v>39370.8175622296</x:v>
      </x:c>
      <x:c r="E141" s="16" t="n">
        <x:v>1953.1499804214</x:v>
      </x:c>
      <x:c r="F141" s="23" t="n">
        <x:v>5</x:v>
      </x:c>
    </x:row>
    <x:row r="142">
      <x:c r="A142" s="15" t="n">
        <x:v>40575</x:v>
      </x:c>
      <x:c r="B142" s="13" t="str">
        <x:v>Pulp &amp; Paper</x:v>
      </x:c>
      <x:c r="C142" s="16" t="n">
        <x:v>1190.9293648658</x:v>
      </x:c>
      <x:c r="D142" s="16" t="n">
        <x:v>913.2206531148</x:v>
      </x:c>
      <x:c r="E142" s="16" t="n">
        <x:v>-277.708711751</x:v>
      </x:c>
      <x:c r="F142" s="23" t="n">
        <x:v>2</x:v>
      </x:c>
    </x:row>
    <x:row r="143">
      <x:c r="A143" s="15" t="n">
        <x:v>40575</x:v>
      </x:c>
      <x:c r="B143" s="13" t="str">
        <x:v>Retail</x:v>
      </x:c>
      <x:c r="C143" s="16" t="n">
        <x:v>2389.5652308493</x:v>
      </x:c>
      <x:c r="D143" s="16" t="n">
        <x:v>2557.4285028197</x:v>
      </x:c>
      <x:c r="E143" s="16" t="n">
        <x:v>167.8632719704</x:v>
      </x:c>
      <x:c r="F143" s="23" t="n">
        <x:v>5</x:v>
      </x:c>
    </x:row>
    <x:row r="144">
      <x:c r="A144" s="15" t="n">
        <x:v>40575</x:v>
      </x:c>
      <x:c r="B144" s="13" t="str">
        <x:v>Sanitation</x:v>
      </x:c>
      <x:c r="C144" s="16" t="n">
        <x:v>1371.337765874</x:v>
      </x:c>
      <x:c r="D144" s="16" t="n">
        <x:v>1370.8457778361</x:v>
      </x:c>
      <x:c r="E144" s="16" t="n">
        <x:v>-0.4919880379</x:v>
      </x:c>
      <x:c r="F144" s="23" t="n">
        <x:v>1</x:v>
      </x:c>
    </x:row>
    <x:row r="145">
      <x:c r="A145" s="15" t="n">
        <x:v>40575</x:v>
      </x:c>
      <x:c r="B145" s="13" t="str">
        <x:v>TMT</x:v>
      </x:c>
      <x:c r="C145" s="16" t="n">
        <x:v>10603.0484892055</x:v>
      </x:c>
      <x:c r="D145" s="16" t="n">
        <x:v>11303.8793316721</x:v>
      </x:c>
      <x:c r="E145" s="16" t="n">
        <x:v>700.8308424667</x:v>
      </x:c>
      <x:c r="F145" s="23" t="n">
        <x:v>7</x:v>
      </x:c>
    </x:row>
    <x:row r="146">
      <x:c r="A146" s="15" t="n">
        <x:v>40575</x:v>
      </x:c>
      <x:c r="B146" s="13" t="str">
        <x:v>Transportation</x:v>
      </x:c>
      <x:c r="C146" s="16" t="n">
        <x:v>1918.0497109699</x:v>
      </x:c>
      <x:c r="D146" s="16" t="n">
        <x:v>2113.8351213115</x:v>
      </x:c>
      <x:c r="E146" s="16" t="n">
        <x:v>195.7854103416</x:v>
      </x:c>
      <x:c r="F146" s="23" t="n">
        <x:v>5</x:v>
      </x:c>
    </x:row>
    <x:row r="147">
      <x:c r="A147" s="15" t="n">
        <x:v>40575</x:v>
      </x:c>
      <x:c r="B147" s="13" t="str">
        <x:v>Utilities &amp; Energy</x:v>
      </x:c>
      <x:c r="C147" s="16" t="n">
        <x:v>13723.1169476384</x:v>
      </x:c>
      <x:c r="D147" s="16" t="n">
        <x:v>14756.3237224918</x:v>
      </x:c>
      <x:c r="E147" s="16" t="n">
        <x:v>1033.2067748534</x:v>
      </x:c>
      <x:c r="F147" s="23" t="n">
        <x:v>8</x:v>
      </x:c>
    </x:row>
    <x:row r="148">
      <x:c r="A148" s="15" t="n">
        <x:v>40603</x:v>
      </x:c>
      <x:c r="B148" s="13" t="str">
        <x:v>Banks</x:v>
      </x:c>
      <x:c r="C148" s="16" t="n">
        <x:v>45119.640064</x:v>
      </x:c>
      <x:c r="D148" s="16" t="n">
        <x:v>47035.7247608306</x:v>
      </x:c>
      <x:c r="E148" s="16" t="n">
        <x:v>1916.0846968306</x:v>
      </x:c>
      <x:c r="F148" s="23" t="n">
        <x:v>4</x:v>
      </x:c>
    </x:row>
    <x:row r="149">
      <x:c r="A149" s="15" t="n">
        <x:v>40603</x:v>
      </x:c>
      <x:c r="B149" s="13" t="str">
        <x:v>Capital Goods</x:v>
      </x:c>
      <x:c r="C149" s="16" t="n">
        <x:v>560.300032</x:v>
      </x:c>
      <x:c r="D149" s="16" t="n">
        <x:v>563.7587290055</x:v>
      </x:c>
      <x:c r="E149" s="16" t="n">
        <x:v>3.4586970055</x:v>
      </x:c>
      <x:c r="F149" s="23" t="n">
        <x:v>1</x:v>
      </x:c>
    </x:row>
    <x:row r="150">
      <x:c r="A150" s="15" t="n">
        <x:v>40603</x:v>
      </x:c>
      <x:c r="B150" s="13" t="str">
        <x:v>Financials Non-Banks</x:v>
      </x:c>
      <x:c r="C150" s="16" t="n">
        <x:v>10683.130112</x:v>
      </x:c>
      <x:c r="D150" s="16" t="n">
        <x:v>10721.5380063825</x:v>
      </x:c>
      <x:c r="E150" s="16" t="n">
        <x:v>38.4078943825</x:v>
      </x:c>
      <x:c r="F150" s="23" t="n">
        <x:v>4</x:v>
      </x:c>
    </x:row>
    <x:row r="151">
      <x:c r="A151" s="15" t="n">
        <x:v>40603</x:v>
      </x:c>
      <x:c r="B151" s="13" t="str">
        <x:v>Food &amp; Beverages</x:v>
      </x:c>
      <x:c r="C151" s="16" t="n">
        <x:v>12227.144832</x:v>
      </x:c>
      <x:c r="D151" s="16" t="n">
        <x:v>13048.0028425792</x:v>
      </x:c>
      <x:c r="E151" s="16" t="n">
        <x:v>820.8580105792</x:v>
      </x:c>
      <x:c r="F151" s="23" t="n">
        <x:v>5</x:v>
      </x:c>
    </x:row>
    <x:row r="152">
      <x:c r="A152" s="15" t="n">
        <x:v>40603</x:v>
      </x:c>
      <x:c r="B152" s="13" t="str">
        <x:v>Homebuilders</x:v>
      </x:c>
      <x:c r="C152" s="16" t="n">
        <x:v>4524.430944</x:v>
      </x:c>
      <x:c r="D152" s="16" t="n">
        <x:v>4693.7559543607</x:v>
      </x:c>
      <x:c r="E152" s="16" t="n">
        <x:v>169.3250103607</x:v>
      </x:c>
      <x:c r="F152" s="23" t="n">
        <x:v>6</x:v>
      </x:c>
    </x:row>
    <x:row r="153">
      <x:c r="A153" s="15" t="n">
        <x:v>40603</x:v>
      </x:c>
      <x:c r="B153" s="13" t="str">
        <x:v>Metals &amp; Mining</x:v>
      </x:c>
      <x:c r="C153" s="16" t="n">
        <x:v>52419.160736</x:v>
      </x:c>
      <x:c r="D153" s="16" t="n">
        <x:v>55706.2366948197</x:v>
      </x:c>
      <x:c r="E153" s="16" t="n">
        <x:v>3287.0759588197</x:v>
      </x:c>
      <x:c r="F153" s="23" t="n">
        <x:v>8</x:v>
      </x:c>
    </x:row>
    <x:row r="154">
      <x:c r="A154" s="15" t="n">
        <x:v>40603</x:v>
      </x:c>
      <x:c r="B154" s="13" t="str">
        <x:v>Oil, Gas &amp; Petrochemicals</x:v>
      </x:c>
      <x:c r="C154" s="16" t="n">
        <x:v>38745.765184</x:v>
      </x:c>
      <x:c r="D154" s="16" t="n">
        <x:v>39905.3716116284</x:v>
      </x:c>
      <x:c r="E154" s="16" t="n">
        <x:v>1159.6064276284</x:v>
      </x:c>
      <x:c r="F154" s="23" t="n">
        <x:v>5</x:v>
      </x:c>
    </x:row>
    <x:row r="155">
      <x:c r="A155" s="15" t="n">
        <x:v>40603</x:v>
      </x:c>
      <x:c r="B155" s="13" t="str">
        <x:v>Pulp &amp; Paper</x:v>
      </x:c>
      <x:c r="C155" s="16" t="n">
        <x:v>1116.38896</x:v>
      </x:c>
      <x:c r="D155" s="16" t="n">
        <x:v>1045.7879883716</x:v>
      </x:c>
      <x:c r="E155" s="16" t="n">
        <x:v>-70.6009716284</x:v>
      </x:c>
      <x:c r="F155" s="23" t="n">
        <x:v>2</x:v>
      </x:c>
    </x:row>
    <x:row r="156">
      <x:c r="A156" s="15" t="n">
        <x:v>40603</x:v>
      </x:c>
      <x:c r="B156" s="13" t="str">
        <x:v>Retail</x:v>
      </x:c>
      <x:c r="C156" s="16" t="n">
        <x:v>2431.81088</x:v>
      </x:c>
      <x:c r="D156" s="16" t="n">
        <x:v>2561.2280346667</x:v>
      </x:c>
      <x:c r="E156" s="16" t="n">
        <x:v>129.4171546667</x:v>
      </x:c>
      <x:c r="F156" s="23" t="n">
        <x:v>5</x:v>
      </x:c>
    </x:row>
    <x:row r="157">
      <x:c r="A157" s="15" t="n">
        <x:v>40603</x:v>
      </x:c>
      <x:c r="B157" s="13" t="str">
        <x:v>Sanitation</x:v>
      </x:c>
      <x:c r="C157" s="16" t="n">
        <x:v>1378.550016</x:v>
      </x:c>
      <x:c r="D157" s="16" t="n">
        <x:v>1366.240343082</x:v>
      </x:c>
      <x:c r="E157" s="16" t="n">
        <x:v>-12.309672918</x:v>
      </x:c>
      <x:c r="F157" s="23" t="n">
        <x:v>1</x:v>
      </x:c>
    </x:row>
    <x:row r="158">
      <x:c r="A158" s="15" t="n">
        <x:v>40603</x:v>
      </x:c>
      <x:c r="B158" s="13" t="str">
        <x:v>TMT</x:v>
      </x:c>
      <x:c r="C158" s="16" t="n">
        <x:v>10907.42208</x:v>
      </x:c>
      <x:c r="D158" s="16" t="n">
        <x:v>11060.7123812022</x:v>
      </x:c>
      <x:c r="E158" s="16" t="n">
        <x:v>153.2903012022</x:v>
      </x:c>
      <x:c r="F158" s="23" t="n">
        <x:v>7</x:v>
      </x:c>
    </x:row>
    <x:row r="159">
      <x:c r="A159" s="15" t="n">
        <x:v>40603</x:v>
      </x:c>
      <x:c r="B159" s="13" t="str">
        <x:v>Transportation</x:v>
      </x:c>
      <x:c r="C159" s="16" t="n">
        <x:v>1968.029696</x:v>
      </x:c>
      <x:c r="D159" s="16" t="n">
        <x:v>2159.1927339891</x:v>
      </x:c>
      <x:c r="E159" s="16" t="n">
        <x:v>191.1630379891</x:v>
      </x:c>
      <x:c r="F159" s="23" t="n">
        <x:v>5</x:v>
      </x:c>
    </x:row>
    <x:row r="160">
      <x:c r="A160" s="15" t="n">
        <x:v>40603</x:v>
      </x:c>
      <x:c r="B160" s="13" t="str">
        <x:v>Utilities &amp; Energy</x:v>
      </x:c>
      <x:c r="C160" s="16" t="n">
        <x:v>14321.22496</x:v>
      </x:c>
      <x:c r="D160" s="16" t="n">
        <x:v>15142.3329320219</x:v>
      </x:c>
      <x:c r="E160" s="16" t="n">
        <x:v>821.1079720219</x:v>
      </x:c>
      <x:c r="F160" s="23" t="n">
        <x:v>9</x:v>
      </x:c>
    </x:row>
    <x:row r="161">
      <x:c r="A161" s="15" t="n">
        <x:v>40634</x:v>
      </x:c>
      <x:c r="B161" s="13" t="str">
        <x:v>Banks</x:v>
      </x:c>
      <x:c r="C161" s="16" t="n">
        <x:v>46150.7566401749</x:v>
      </x:c>
      <x:c r="D161" s="16" t="n">
        <x:v>47070.5850334426</x:v>
      </x:c>
      <x:c r="E161" s="16" t="n">
        <x:v>919.8283932677</x:v>
      </x:c>
      <x:c r="F161" s="23" t="n">
        <x:v>4</x:v>
      </x:c>
    </x:row>
    <x:row r="162">
      <x:c r="A162" s="15" t="n">
        <x:v>40634</x:v>
      </x:c>
      <x:c r="B162" s="13" t="str">
        <x:v>Capital Goods</x:v>
      </x:c>
      <x:c r="C162" s="16" t="n">
        <x:v>569.3679933552</x:v>
      </x:c>
      <x:c r="D162" s="16" t="n">
        <x:v>584.1664781639</x:v>
      </x:c>
      <x:c r="E162" s="16" t="n">
        <x:v>14.7984848087</x:v>
      </x:c>
      <x:c r="F162" s="23" t="n">
        <x:v>1</x:v>
      </x:c>
    </x:row>
    <x:row r="163">
      <x:c r="A163" s="15" t="n">
        <x:v>40634</x:v>
      </x:c>
      <x:c r="B163" s="13" t="str">
        <x:v>Financials Non-Banks</x:v>
      </x:c>
      <x:c r="C163" s="16" t="n">
        <x:v>10794.1638980546</x:v>
      </x:c>
      <x:c r="D163" s="16" t="n">
        <x:v>10666.4524317377</x:v>
      </x:c>
      <x:c r="E163" s="16" t="n">
        <x:v>-127.7114663169</x:v>
      </x:c>
      <x:c r="F163" s="23" t="n">
        <x:v>4</x:v>
      </x:c>
    </x:row>
    <x:row r="164">
      <x:c r="A164" s="15" t="n">
        <x:v>40634</x:v>
      </x:c>
      <x:c r="B164" s="13" t="str">
        <x:v>Food &amp; Beverages</x:v>
      </x:c>
      <x:c r="C164" s="16" t="n">
        <x:v>12423.1056061202</x:v>
      </x:c>
      <x:c r="D164" s="16" t="n">
        <x:v>13113.6819611803</x:v>
      </x:c>
      <x:c r="E164" s="16" t="n">
        <x:v>690.5763550601</x:v>
      </x:c>
      <x:c r="F164" s="23" t="n">
        <x:v>5</x:v>
      </x:c>
    </x:row>
    <x:row r="165">
      <x:c r="A165" s="15" t="n">
        <x:v>40634</x:v>
      </x:c>
      <x:c r="B165" s="13" t="str">
        <x:v>Health Care</x:v>
      </x:c>
      <x:c r="C165" s="16" t="n">
        <x:v>554.6545479344</x:v>
      </x:c>
      <x:c r="D165" s="16" t="n">
        <x:v>561.7207984262</x:v>
      </x:c>
      <x:c r="E165" s="16" t="n">
        <x:v>7.0662504918</x:v>
      </x:c>
      <x:c r="F165" s="23" t="n">
        <x:v>1</x:v>
      </x:c>
    </x:row>
    <x:row r="166">
      <x:c r="A166" s="15" t="n">
        <x:v>40634</x:v>
      </x:c>
      <x:c r="B166" s="13" t="str">
        <x:v>Homebuilders</x:v>
      </x:c>
      <x:c r="C166" s="16" t="n">
        <x:v>4646.7642010929</x:v>
      </x:c>
      <x:c r="D166" s="16" t="n">
        <x:v>4678.4716343607</x:v>
      </x:c>
      <x:c r="E166" s="16" t="n">
        <x:v>31.7074332678</x:v>
      </x:c>
      <x:c r="F166" s="23" t="n">
        <x:v>6</x:v>
      </x:c>
    </x:row>
    <x:row r="167">
      <x:c r="A167" s="15" t="n">
        <x:v>40634</x:v>
      </x:c>
      <x:c r="B167" s="13" t="str">
        <x:v>Metals &amp; Mining</x:v>
      </x:c>
      <x:c r="C167" s="16" t="n">
        <x:v>51095.0653378798</x:v>
      </x:c>
      <x:c r="D167" s="16" t="n">
        <x:v>54552.9832786885</x:v>
      </x:c>
      <x:c r="E167" s="16" t="n">
        <x:v>3457.9179408087</x:v>
      </x:c>
      <x:c r="F167" s="23" t="n">
        <x:v>7</x:v>
      </x:c>
    </x:row>
    <x:row r="168">
      <x:c r="A168" s="15" t="n">
        <x:v>40634</x:v>
      </x:c>
      <x:c r="B168" s="13" t="str">
        <x:v>Oil, Gas &amp; Petrochemicals</x:v>
      </x:c>
      <x:c r="C168" s="16" t="n">
        <x:v>39410.0513166339</x:v>
      </x:c>
      <x:c r="D168" s="16" t="n">
        <x:v>39425.1383921312</x:v>
      </x:c>
      <x:c r="E168" s="16" t="n">
        <x:v>15.0870754973</x:v>
      </x:c>
      <x:c r="F168" s="23" t="n">
        <x:v>5</x:v>
      </x:c>
    </x:row>
    <x:row r="169">
      <x:c r="A169" s="15" t="n">
        <x:v>40634</x:v>
      </x:c>
      <x:c r="B169" s="13" t="str">
        <x:v>Pulp &amp; Paper</x:v>
      </x:c>
      <x:c r="C169" s="16" t="n">
        <x:v>1070.9670957814</x:v>
      </x:c>
      <x:c r="D169" s="16" t="n">
        <x:v>1041.3502352787</x:v>
      </x:c>
      <x:c r="E169" s="16" t="n">
        <x:v>-29.6168605027</x:v>
      </x:c>
      <x:c r="F169" s="23" t="n">
        <x:v>2</x:v>
      </x:c>
    </x:row>
    <x:row r="170">
      <x:c r="A170" s="15" t="n">
        <x:v>40634</x:v>
      </x:c>
      <x:c r="B170" s="13" t="str">
        <x:v>Retail</x:v>
      </x:c>
      <x:c r="C170" s="16" t="n">
        <x:v>2486.9269387978</x:v>
      </x:c>
      <x:c r="D170" s="16" t="n">
        <x:v>2625.5718253115</x:v>
      </x:c>
      <x:c r="E170" s="16" t="n">
        <x:v>138.6448865137</x:v>
      </x:c>
      <x:c r="F170" s="23" t="n">
        <x:v>5</x:v>
      </x:c>
    </x:row>
    <x:row r="171">
      <x:c r="A171" s="15" t="n">
        <x:v>40634</x:v>
      </x:c>
      <x:c r="B171" s="13" t="str">
        <x:v>Sanitation</x:v>
      </x:c>
      <x:c r="C171" s="16" t="n">
        <x:v>1365.3597705792</x:v>
      </x:c>
      <x:c r="D171" s="16" t="n">
        <x:v>1369.005928918</x:v>
      </x:c>
      <x:c r="E171" s="16" t="n">
        <x:v>3.6461583388</x:v>
      </x:c>
      <x:c r="F171" s="23" t="n">
        <x:v>1</x:v>
      </x:c>
    </x:row>
    <x:row r="172">
      <x:c r="A172" s="15" t="n">
        <x:v>40634</x:v>
      </x:c>
      <x:c r="B172" s="13" t="str">
        <x:v>TMT</x:v>
      </x:c>
      <x:c r="C172" s="16" t="n">
        <x:v>11158.9282049399</x:v>
      </x:c>
      <x:c r="D172" s="16" t="n">
        <x:v>11021.078754623</x:v>
      </x:c>
      <x:c r="E172" s="16" t="n">
        <x:v>-137.8494503169</x:v>
      </x:c>
      <x:c r="F172" s="23" t="n">
        <x:v>7</x:v>
      </x:c>
    </x:row>
    <x:row r="173">
      <x:c r="A173" s="15" t="n">
        <x:v>40634</x:v>
      </x:c>
      <x:c r="B173" s="13" t="str">
        <x:v>Transportation</x:v>
      </x:c>
      <x:c r="C173" s="16" t="n">
        <x:v>2074.0844444809</x:v>
      </x:c>
      <x:c r="D173" s="16" t="n">
        <x:v>2232.6836592131</x:v>
      </x:c>
      <x:c r="E173" s="16" t="n">
        <x:v>158.5992147322</x:v>
      </x:c>
      <x:c r="F173" s="23" t="n">
        <x:v>5</x:v>
      </x:c>
    </x:row>
    <x:row r="174">
      <x:c r="A174" s="15" t="n">
        <x:v>40634</x:v>
      </x:c>
      <x:c r="B174" s="13" t="str">
        <x:v>Utilities &amp; Energy</x:v>
      </x:c>
      <x:c r="C174" s="16" t="n">
        <x:v>14711.1471492896</x:v>
      </x:c>
      <x:c r="D174" s="16" t="n">
        <x:v>15125.0712047213</x:v>
      </x:c>
      <x:c r="E174" s="16" t="n">
        <x:v>413.9240554317</x:v>
      </x:c>
      <x:c r="F174" s="23" t="n">
        <x:v>9</x:v>
      </x:c>
    </x:row>
    <x:row r="175">
      <x:c r="A175" s="15" t="n">
        <x:v>40664</x:v>
      </x:c>
      <x:c r="B175" s="13" t="str">
        <x:v>Banks</x:v>
      </x:c>
      <x:c r="C175" s="16" t="n">
        <x:v>46575.9274135083</x:v>
      </x:c>
      <x:c r="D175" s="16" t="n">
        <x:v>48018.0632452895</x:v>
      </x:c>
      <x:c r="E175" s="16" t="n">
        <x:v>1442.1358317813</x:v>
      </x:c>
      <x:c r="F175" s="23" t="n">
        <x:v>4</x:v>
      </x:c>
    </x:row>
    <x:row r="176">
      <x:c r="A176" s="15" t="n">
        <x:v>40664</x:v>
      </x:c>
      <x:c r="B176" s="13" t="str">
        <x:v>Capital Goods</x:v>
      </x:c>
      <x:c r="C176" s="16" t="n">
        <x:v>566.1094620328</x:v>
      </x:c>
      <x:c r="D176" s="16" t="n">
        <x:v>596.3349085027</x:v>
      </x:c>
      <x:c r="E176" s="16" t="n">
        <x:v>30.2254464699</x:v>
      </x:c>
      <x:c r="F176" s="23" t="n">
        <x:v>1</x:v>
      </x:c>
    </x:row>
    <x:row r="177">
      <x:c r="A177" s="15" t="n">
        <x:v>40664</x:v>
      </x:c>
      <x:c r="B177" s="13" t="str">
        <x:v>Financials Non-Banks</x:v>
      </x:c>
      <x:c r="C177" s="16" t="n">
        <x:v>10801.8926814426</x:v>
      </x:c>
      <x:c r="D177" s="16" t="n">
        <x:v>10922.0275011147</x:v>
      </x:c>
      <x:c r="E177" s="16" t="n">
        <x:v>120.1348196721</x:v>
      </x:c>
      <x:c r="F177" s="23" t="n">
        <x:v>4</x:v>
      </x:c>
    </x:row>
    <x:row r="178">
      <x:c r="A178" s="15" t="n">
        <x:v>40664</x:v>
      </x:c>
      <x:c r="B178" s="13" t="str">
        <x:v>Food &amp; Beverages</x:v>
      </x:c>
      <x:c r="C178" s="16" t="n">
        <x:v>12638.7682775082</x:v>
      </x:c>
      <x:c r="D178" s="16" t="n">
        <x:v>13566.3224349727</x:v>
      </x:c>
      <x:c r="E178" s="16" t="n">
        <x:v>927.5541574645</x:v>
      </x:c>
      <x:c r="F178" s="23" t="n">
        <x:v>5</x:v>
      </x:c>
    </x:row>
    <x:row r="179">
      <x:c r="A179" s="15" t="n">
        <x:v>40664</x:v>
      </x:c>
      <x:c r="B179" s="13" t="str">
        <x:v>Health Care</x:v>
      </x:c>
      <x:c r="C179" s="16" t="n">
        <x:v>554.5053686557</x:v>
      </x:c>
      <x:c r="D179" s="16" t="n">
        <x:v>553.0475275191</x:v>
      </x:c>
      <x:c r="E179" s="16" t="n">
        <x:v>-1.4578411366</x:v>
      </x:c>
      <x:c r="F179" s="23" t="n">
        <x:v>1</x:v>
      </x:c>
    </x:row>
    <x:row r="180">
      <x:c r="A180" s="15" t="n">
        <x:v>40664</x:v>
      </x:c>
      <x:c r="B180" s="13" t="str">
        <x:v>Homebuilders</x:v>
      </x:c>
      <x:c r="C180" s="16" t="n">
        <x:v>4749.2789277377</x:v>
      </x:c>
      <x:c r="D180" s="16" t="n">
        <x:v>4724.9918036284</x:v>
      </x:c>
      <x:c r="E180" s="16" t="n">
        <x:v>-24.2871241093</x:v>
      </x:c>
      <x:c r="F180" s="23" t="n">
        <x:v>6</x:v>
      </x:c>
    </x:row>
    <x:row r="181">
      <x:c r="A181" s="15" t="n">
        <x:v>40664</x:v>
      </x:c>
      <x:c r="B181" s="13" t="str">
        <x:v>Metals &amp; Mining</x:v>
      </x:c>
      <x:c r="C181" s="16" t="n">
        <x:v>52370.7414121968</x:v>
      </x:c>
      <x:c r="D181" s="16" t="n">
        <x:v>53408.5239552349</x:v>
      </x:c>
      <x:c r="E181" s="16" t="n">
        <x:v>1037.7825430382</x:v>
      </x:c>
      <x:c r="F181" s="23" t="n">
        <x:v>7</x:v>
      </x:c>
    </x:row>
    <x:row r="182">
      <x:c r="A182" s="15" t="n">
        <x:v>40664</x:v>
      </x:c>
      <x:c r="B182" s="13" t="str">
        <x:v>Oil, Gas &amp; Petrochemicals</x:v>
      </x:c>
      <x:c r="C182" s="16" t="n">
        <x:v>39370.8175622296</x:v>
      </x:c>
      <x:c r="D182" s="16" t="n">
        <x:v>39687.1672384699</x:v>
      </x:c>
      <x:c r="E182" s="16" t="n">
        <x:v>316.3496762404</x:v>
      </x:c>
      <x:c r="F182" s="23" t="n">
        <x:v>5</x:v>
      </x:c>
    </x:row>
    <x:row r="183">
      <x:c r="A183" s="15" t="n">
        <x:v>40664</x:v>
      </x:c>
      <x:c r="B183" s="13" t="str">
        <x:v>Pulp &amp; Paper</x:v>
      </x:c>
      <x:c r="C183" s="16" t="n">
        <x:v>913.2206531148</x:v>
      </x:c>
      <x:c r="D183" s="16" t="n">
        <x:v>1142.0701099016</x:v>
      </x:c>
      <x:c r="E183" s="16" t="n">
        <x:v>228.8494567869</x:v>
      </x:c>
      <x:c r="F183" s="23" t="n">
        <x:v>2</x:v>
      </x:c>
    </x:row>
    <x:row r="184">
      <x:c r="A184" s="15" t="n">
        <x:v>40664</x:v>
      </x:c>
      <x:c r="B184" s="13" t="str">
        <x:v>Retail</x:v>
      </x:c>
      <x:c r="C184" s="16" t="n">
        <x:v>2557.4285028197</x:v>
      </x:c>
      <x:c r="D184" s="16" t="n">
        <x:v>2730.1423731585</x:v>
      </x:c>
      <x:c r="E184" s="16" t="n">
        <x:v>172.7138703388</x:v>
      </x:c>
      <x:c r="F184" s="23" t="n">
        <x:v>5</x:v>
      </x:c>
    </x:row>
    <x:row r="185">
      <x:c r="A185" s="15" t="n">
        <x:v>40664</x:v>
      </x:c>
      <x:c r="B185" s="13" t="str">
        <x:v>Sanitation</x:v>
      </x:c>
      <x:c r="C185" s="16" t="n">
        <x:v>1370.8457778361</x:v>
      </x:c>
      <x:c r="D185" s="16" t="n">
        <x:v>1376.0270464699</x:v>
      </x:c>
      <x:c r="E185" s="16" t="n">
        <x:v>5.1812686339</x:v>
      </x:c>
      <x:c r="F185" s="23" t="n">
        <x:v>1</x:v>
      </x:c>
    </x:row>
    <x:row r="186">
      <x:c r="A186" s="15" t="n">
        <x:v>40664</x:v>
      </x:c>
      <x:c r="B186" s="13" t="str">
        <x:v>TMT</x:v>
      </x:c>
      <x:c r="C186" s="16" t="n">
        <x:v>11303.8793316721</x:v>
      </x:c>
      <x:c r="D186" s="16" t="n">
        <x:v>11132.7991438689</x:v>
      </x:c>
      <x:c r="E186" s="16" t="n">
        <x:v>-171.0801878033</x:v>
      </x:c>
      <x:c r="F186" s="23" t="n">
        <x:v>7</x:v>
      </x:c>
    </x:row>
    <x:row r="187">
      <x:c r="A187" s="15" t="n">
        <x:v>40664</x:v>
      </x:c>
      <x:c r="B187" s="13" t="str">
        <x:v>Transportation</x:v>
      </x:c>
      <x:c r="C187" s="16" t="n">
        <x:v>2113.8351213115</x:v>
      </x:c>
      <x:c r="D187" s="16" t="n">
        <x:v>2213.8900546667</x:v>
      </x:c>
      <x:c r="E187" s="16" t="n">
        <x:v>100.0549333552</x:v>
      </x:c>
      <x:c r="F187" s="23" t="n">
        <x:v>5</x:v>
      </x:c>
    </x:row>
    <x:row r="188">
      <x:c r="A188" s="15" t="n">
        <x:v>40664</x:v>
      </x:c>
      <x:c r="B188" s="13" t="str">
        <x:v>Utilities &amp; Energy</x:v>
      </x:c>
      <x:c r="C188" s="16" t="n">
        <x:v>15400.8015391475</x:v>
      </x:c>
      <x:c r="D188" s="16" t="n">
        <x:v>14978.4333957596</x:v>
      </x:c>
      <x:c r="E188" s="16" t="n">
        <x:v>-422.368143388</x:v>
      </x:c>
      <x:c r="F188" s="23" t="n">
        <x:v>9</x:v>
      </x:c>
    </x:row>
    <x:row r="189">
      <x:c r="A189" s="15" t="n">
        <x:v>40695</x:v>
      </x:c>
      <x:c r="B189" s="13" t="str">
        <x:v>Banks</x:v>
      </x:c>
      <x:c r="C189" s="16" t="n">
        <x:v>47035.7247608306</x:v>
      </x:c>
      <x:c r="D189" s="16" t="n">
        <x:v>48812.4176786886</x:v>
      </x:c>
      <x:c r="E189" s="16" t="n">
        <x:v>1776.692917858</x:v>
      </x:c>
      <x:c r="F189" s="23" t="n">
        <x:v>4</x:v>
      </x:c>
    </x:row>
    <x:row r="190">
      <x:c r="A190" s="15" t="n">
        <x:v>40695</x:v>
      </x:c>
      <x:c r="B190" s="13" t="str">
        <x:v>Capital Goods</x:v>
      </x:c>
      <x:c r="C190" s="16" t="n">
        <x:v>563.7587290055</x:v>
      </x:c>
      <x:c r="D190" s="16" t="n">
        <x:v>630.0183865355</x:v>
      </x:c>
      <x:c r="E190" s="16" t="n">
        <x:v>66.2596575301</x:v>
      </x:c>
      <x:c r="F190" s="23" t="n">
        <x:v>1</x:v>
      </x:c>
    </x:row>
    <x:row r="191">
      <x:c r="A191" s="15" t="n">
        <x:v>40695</x:v>
      </x:c>
      <x:c r="B191" s="13" t="str">
        <x:v>Financials Non-Banks</x:v>
      </x:c>
      <x:c r="C191" s="16" t="n">
        <x:v>10721.5380063825</x:v>
      </x:c>
      <x:c r="D191" s="16" t="n">
        <x:v>11076.627102776</x:v>
      </x:c>
      <x:c r="E191" s="16" t="n">
        <x:v>355.0890963934</x:v>
      </x:c>
      <x:c r="F191" s="23" t="n">
        <x:v>4</x:v>
      </x:c>
    </x:row>
    <x:row r="192">
      <x:c r="A192" s="15" t="n">
        <x:v>40695</x:v>
      </x:c>
      <x:c r="B192" s="13" t="str">
        <x:v>Food &amp; Beverages</x:v>
      </x:c>
      <x:c r="C192" s="16" t="n">
        <x:v>13048.0028425792</x:v>
      </x:c>
      <x:c r="D192" s="16" t="n">
        <x:v>13751.1895451803</x:v>
      </x:c>
      <x:c r="E192" s="16" t="n">
        <x:v>703.1867026011</x:v>
      </x:c>
      <x:c r="F192" s="23" t="n">
        <x:v>5</x:v>
      </x:c>
    </x:row>
    <x:row r="193">
      <x:c r="A193" s="15" t="n">
        <x:v>40695</x:v>
      </x:c>
      <x:c r="B193" s="13" t="str">
        <x:v>Health Care</x:v>
      </x:c>
      <x:c r="C193" s="16" t="n">
        <x:v>549.8488248306</x:v>
      </x:c>
      <x:c r="D193" s="16" t="n">
        <x:v>525.4246025792</x:v>
      </x:c>
      <x:c r="E193" s="16" t="n">
        <x:v>-24.4242222514</x:v>
      </x:c>
      <x:c r="F193" s="23" t="n">
        <x:v>1</x:v>
      </x:c>
    </x:row>
    <x:row r="194">
      <x:c r="A194" s="15" t="n">
        <x:v>40695</x:v>
      </x:c>
      <x:c r="B194" s="13" t="str">
        <x:v>Homebuilders</x:v>
      </x:c>
      <x:c r="C194" s="16" t="n">
        <x:v>4693.7559543607</x:v>
      </x:c>
      <x:c r="D194" s="16" t="n">
        <x:v>4733.3431903825</x:v>
      </x:c>
      <x:c r="E194" s="16" t="n">
        <x:v>39.5872360219</x:v>
      </x:c>
      <x:c r="F194" s="23" t="n">
        <x:v>6</x:v>
      </x:c>
    </x:row>
    <x:row r="195">
      <x:c r="A195" s="15" t="n">
        <x:v>40695</x:v>
      </x:c>
      <x:c r="B195" s="13" t="str">
        <x:v>Metals &amp; Mining</x:v>
      </x:c>
      <x:c r="C195" s="16" t="n">
        <x:v>55706.2366948197</x:v>
      </x:c>
      <x:c r="D195" s="16" t="n">
        <x:v>55267.1978827541</x:v>
      </x:c>
      <x:c r="E195" s="16" t="n">
        <x:v>-439.0388120655</x:v>
      </x:c>
      <x:c r="F195" s="23" t="n">
        <x:v>8</x:v>
      </x:c>
    </x:row>
    <x:row r="196">
      <x:c r="A196" s="15" t="n">
        <x:v>40695</x:v>
      </x:c>
      <x:c r="B196" s="13" t="str">
        <x:v>Oil, Gas &amp; Petrochemicals</x:v>
      </x:c>
      <x:c r="C196" s="16" t="n">
        <x:v>39905.3716116284</x:v>
      </x:c>
      <x:c r="D196" s="16" t="n">
        <x:v>41246.6845128744</x:v>
      </x:c>
      <x:c r="E196" s="16" t="n">
        <x:v>1341.312901246</x:v>
      </x:c>
      <x:c r="F196" s="23" t="n">
        <x:v>5</x:v>
      </x:c>
    </x:row>
    <x:row r="197">
      <x:c r="A197" s="15" t="n">
        <x:v>40695</x:v>
      </x:c>
      <x:c r="B197" s="13" t="str">
        <x:v>Pulp &amp; Paper</x:v>
      </x:c>
      <x:c r="C197" s="16" t="n">
        <x:v>1045.7879883716</x:v>
      </x:c>
      <x:c r="D197" s="16" t="n">
        <x:v>1101.8725420765</x:v>
      </x:c>
      <x:c r="E197" s="16" t="n">
        <x:v>56.0845537049</x:v>
      </x:c>
      <x:c r="F197" s="23" t="n">
        <x:v>2</x:v>
      </x:c>
    </x:row>
    <x:row r="198">
      <x:c r="A198" s="15" t="n">
        <x:v>40695</x:v>
      </x:c>
      <x:c r="B198" s="13" t="str">
        <x:v>Retail</x:v>
      </x:c>
      <x:c r="C198" s="16" t="n">
        <x:v>2561.2280346667</x:v>
      </x:c>
      <x:c r="D198" s="16" t="n">
        <x:v>2777.2487184262</x:v>
      </x:c>
      <x:c r="E198" s="16" t="n">
        <x:v>216.0206837596</x:v>
      </x:c>
      <x:c r="F198" s="23" t="n">
        <x:v>5</x:v>
      </x:c>
    </x:row>
    <x:row r="199">
      <x:c r="A199" s="15" t="n">
        <x:v>40695</x:v>
      </x:c>
      <x:c r="B199" s="13" t="str">
        <x:v>Sanitation</x:v>
      </x:c>
      <x:c r="C199" s="16" t="n">
        <x:v>1366.240343082</x:v>
      </x:c>
      <x:c r="D199" s="16" t="n">
        <x:v>1393.2553939235</x:v>
      </x:c>
      <x:c r="E199" s="16" t="n">
        <x:v>27.0150508415</x:v>
      </x:c>
      <x:c r="F199" s="23" t="n">
        <x:v>1</x:v>
      </x:c>
    </x:row>
    <x:row r="200">
      <x:c r="A200" s="15" t="n">
        <x:v>40695</x:v>
      </x:c>
      <x:c r="B200" s="13" t="str">
        <x:v>TMT</x:v>
      </x:c>
      <x:c r="C200" s="16" t="n">
        <x:v>8910.6194532022</x:v>
      </x:c>
      <x:c r="D200" s="16" t="n">
        <x:v>10623.4269558907</x:v>
      </x:c>
      <x:c r="E200" s="16" t="n">
        <x:v>1712.8075026885</x:v>
      </x:c>
      <x:c r="F200" s="23" t="n">
        <x:v>6</x:v>
      </x:c>
    </x:row>
    <x:row r="201">
      <x:c r="A201" s="15" t="n">
        <x:v>40695</x:v>
      </x:c>
      <x:c r="B201" s="13" t="str">
        <x:v>Transportation</x:v>
      </x:c>
      <x:c r="C201" s="16" t="n">
        <x:v>2159.1927339891</x:v>
      </x:c>
      <x:c r="D201" s="16" t="n">
        <x:v>2195.3397930492</x:v>
      </x:c>
      <x:c r="E201" s="16" t="n">
        <x:v>36.1470590601</x:v>
      </x:c>
      <x:c r="F201" s="23" t="n">
        <x:v>5</x:v>
      </x:c>
    </x:row>
    <x:row r="202">
      <x:c r="A202" s="15" t="n">
        <x:v>40695</x:v>
      </x:c>
      <x:c r="B202" s="13" t="str">
        <x:v>Utilities &amp; Energy</x:v>
      </x:c>
      <x:c r="C202" s="16" t="n">
        <x:v>15142.3329320219</x:v>
      </x:c>
      <x:c r="D202" s="16" t="n">
        <x:v>15318.4347771803</x:v>
      </x:c>
      <x:c r="E202" s="16" t="n">
        <x:v>176.1018451585</x:v>
      </x:c>
      <x:c r="F202" s="23" t="n">
        <x:v>9</x:v>
      </x:c>
    </x:row>
    <x:row r="203">
      <x:c r="A203" s="15" t="n">
        <x:v>40725</x:v>
      </x:c>
      <x:c r="B203" s="13" t="str">
        <x:v>Banks</x:v>
      </x:c>
      <x:c r="C203" s="16" t="n">
        <x:v>47070.5850334426</x:v>
      </x:c>
      <x:c r="D203" s="16" t="n">
        <x:v>48624.3929180327</x:v>
      </x:c>
      <x:c r="E203" s="16" t="n">
        <x:v>1553.8078845902</x:v>
      </x:c>
      <x:c r="F203" s="23" t="n">
        <x:v>4</x:v>
      </x:c>
    </x:row>
    <x:row r="204">
      <x:c r="A204" s="15" t="n">
        <x:v>40725</x:v>
      </x:c>
      <x:c r="B204" s="13" t="str">
        <x:v>Capital Goods</x:v>
      </x:c>
      <x:c r="C204" s="16" t="n">
        <x:v>584.1664781639</x:v>
      </x:c>
      <x:c r="D204" s="16" t="n">
        <x:v>662.5609542295</x:v>
      </x:c>
      <x:c r="E204" s="16" t="n">
        <x:v>78.3944760656</x:v>
      </x:c>
      <x:c r="F204" s="23" t="n">
        <x:v>1</x:v>
      </x:c>
    </x:row>
    <x:row r="205">
      <x:c r="A205" s="15" t="n">
        <x:v>40725</x:v>
      </x:c>
      <x:c r="B205" s="13" t="str">
        <x:v>Financials Non-Banks</x:v>
      </x:c>
      <x:c r="C205" s="16" t="n">
        <x:v>10666.4524317377</x:v>
      </x:c>
      <x:c r="D205" s="16" t="n">
        <x:v>10538.3050449836</x:v>
      </x:c>
      <x:c r="E205" s="16" t="n">
        <x:v>-128.1473867541</x:v>
      </x:c>
      <x:c r="F205" s="23" t="n">
        <x:v>4</x:v>
      </x:c>
    </x:row>
    <x:row r="206">
      <x:c r="A206" s="15" t="n">
        <x:v>40725</x:v>
      </x:c>
      <x:c r="B206" s="13" t="str">
        <x:v>Food &amp; Beverages</x:v>
      </x:c>
      <x:c r="C206" s="16" t="n">
        <x:v>13113.6819611803</x:v>
      </x:c>
      <x:c r="D206" s="16" t="n">
        <x:v>14055.7094221639</x:v>
      </x:c>
      <x:c r="E206" s="16" t="n">
        <x:v>942.0274609836</x:v>
      </x:c>
      <x:c r="F206" s="23" t="n">
        <x:v>5</x:v>
      </x:c>
    </x:row>
    <x:row r="207">
      <x:c r="A207" s="15" t="n">
        <x:v>40725</x:v>
      </x:c>
      <x:c r="B207" s="13" t="str">
        <x:v>Health Care</x:v>
      </x:c>
      <x:c r="C207" s="16" t="n">
        <x:v>561.7207984262</x:v>
      </x:c>
      <x:c r="D207" s="16" t="n">
        <x:v>545.8681822076</x:v>
      </x:c>
      <x:c r="E207" s="16" t="n">
        <x:v>-15.8526162186</x:v>
      </x:c>
      <x:c r="F207" s="23" t="n">
        <x:v>1</x:v>
      </x:c>
    </x:row>
    <x:row r="208">
      <x:c r="A208" s="15" t="n">
        <x:v>40725</x:v>
      </x:c>
      <x:c r="B208" s="13" t="str">
        <x:v>Homebuilders</x:v>
      </x:c>
      <x:c r="C208" s="16" t="n">
        <x:v>4678.4716343607</x:v>
      </x:c>
      <x:c r="D208" s="16" t="n">
        <x:v>4698.5268803497</x:v>
      </x:c>
      <x:c r="E208" s="16" t="n">
        <x:v>20.0552459891</x:v>
      </x:c>
      <x:c r="F208" s="23" t="n">
        <x:v>6</x:v>
      </x:c>
    </x:row>
    <x:row r="209">
      <x:c r="A209" s="15" t="n">
        <x:v>40725</x:v>
      </x:c>
      <x:c r="B209" s="13" t="str">
        <x:v>Metals &amp; Mining</x:v>
      </x:c>
      <x:c r="C209" s="16" t="n">
        <x:v>56921.3767213115</x:v>
      </x:c>
      <x:c r="D209" s="16" t="n">
        <x:v>54077.1488866448</x:v>
      </x:c>
      <x:c r="E209" s="16" t="n">
        <x:v>-2844.2278346667</x:v>
      </x:c>
      <x:c r="F209" s="23" t="n">
        <x:v>8</x:v>
      </x:c>
    </x:row>
    <x:row r="210">
      <x:c r="A210" s="15" t="n">
        <x:v>40725</x:v>
      </x:c>
      <x:c r="B210" s="13" t="str">
        <x:v>Oil, Gas &amp; Petrochemicals</x:v>
      </x:c>
      <x:c r="C210" s="16" t="n">
        <x:v>39425.1383921312</x:v>
      </x:c>
      <x:c r="D210" s="16" t="n">
        <x:v>42248.6439403716</x:v>
      </x:c>
      <x:c r="E210" s="16" t="n">
        <x:v>2823.5055482404</x:v>
      </x:c>
      <x:c r="F210" s="23" t="n">
        <x:v>5</x:v>
      </x:c>
    </x:row>
    <x:row r="211">
      <x:c r="A211" s="15" t="n">
        <x:v>40725</x:v>
      </x:c>
      <x:c r="B211" s="13" t="str">
        <x:v>Pulp &amp; Paper</x:v>
      </x:c>
      <x:c r="C211" s="16" t="n">
        <x:v>1041.3502352787</x:v>
      </x:c>
      <x:c r="D211" s="16" t="n">
        <x:v>869.171223082</x:v>
      </x:c>
      <x:c r="E211" s="16" t="n">
        <x:v>-172.1790121967</x:v>
      </x:c>
      <x:c r="F211" s="23" t="n">
        <x:v>2</x:v>
      </x:c>
    </x:row>
    <x:row r="212">
      <x:c r="A212" s="15" t="n">
        <x:v>40725</x:v>
      </x:c>
      <x:c r="B212" s="13" t="str">
        <x:v>Retail</x:v>
      </x:c>
      <x:c r="C212" s="16" t="n">
        <x:v>2625.5718253115</x:v>
      </x:c>
      <x:c r="D212" s="16" t="n">
        <x:v>2762.8337931148</x:v>
      </x:c>
      <x:c r="E212" s="16" t="n">
        <x:v>137.2619678033</x:v>
      </x:c>
      <x:c r="F212" s="23" t="n">
        <x:v>5</x:v>
      </x:c>
    </x:row>
    <x:row r="213">
      <x:c r="A213" s="15" t="n">
        <x:v>40725</x:v>
      </x:c>
      <x:c r="B213" s="13" t="str">
        <x:v>Sanitation</x:v>
      </x:c>
      <x:c r="C213" s="16" t="n">
        <x:v>1369.005928918</x:v>
      </x:c>
      <x:c r="D213" s="16" t="n">
        <x:v>1373.2225070164</x:v>
      </x:c>
      <x:c r="E213" s="16" t="n">
        <x:v>4.2165780984</x:v>
      </x:c>
      <x:c r="F213" s="23" t="n">
        <x:v>1</x:v>
      </x:c>
    </x:row>
    <x:row r="214">
      <x:c r="A214" s="15" t="n">
        <x:v>40725</x:v>
      </x:c>
      <x:c r="B214" s="13" t="str">
        <x:v>TMT</x:v>
      </x:c>
      <x:c r="C214" s="16" t="n">
        <x:v>8779.061224918</x:v>
      </x:c>
      <x:c r="D214" s="16" t="n">
        <x:v>11401.5989480219</x:v>
      </x:c>
      <x:c r="E214" s="16" t="n">
        <x:v>2622.5377231038</x:v>
      </x:c>
      <x:c r="F214" s="23" t="n">
        <x:v>6</x:v>
      </x:c>
    </x:row>
    <x:row r="215">
      <x:c r="A215" s="15" t="n">
        <x:v>40725</x:v>
      </x:c>
      <x:c r="B215" s="13" t="str">
        <x:v>Transportation</x:v>
      </x:c>
      <x:c r="C215" s="16" t="n">
        <x:v>2232.6836592131</x:v>
      </x:c>
      <x:c r="D215" s="16" t="n">
        <x:v>1832.6437772678</x:v>
      </x:c>
      <x:c r="E215" s="16" t="n">
        <x:v>-400.0398819454</x:v>
      </x:c>
      <x:c r="F215" s="23" t="n">
        <x:v>5</x:v>
      </x:c>
    </x:row>
    <x:row r="216">
      <x:c r="A216" s="15" t="n">
        <x:v>40725</x:v>
      </x:c>
      <x:c r="B216" s="13" t="str">
        <x:v>Utilities &amp; Energy</x:v>
      </x:c>
      <x:c r="C216" s="16" t="n">
        <x:v>15125.0712047213</x:v>
      </x:c>
      <x:c r="D216" s="16" t="n">
        <x:v>15506.8441864044</x:v>
      </x:c>
      <x:c r="E216" s="16" t="n">
        <x:v>381.772981683</x:v>
      </x:c>
      <x:c r="F216" s="23" t="n">
        <x:v>9</x:v>
      </x:c>
    </x:row>
    <x:row r="217">
      <x:c r="A217" s="15" t="n">
        <x:v>40756</x:v>
      </x:c>
      <x:c r="B217" s="13" t="str">
        <x:v>Banks</x:v>
      </x:c>
      <x:c r="C217" s="16" t="n">
        <x:v>48018.0632452895</x:v>
      </x:c>
      <x:c r="D217" s="16" t="n">
        <x:v>48195.9098026666</x:v>
      </x:c>
      <x:c r="E217" s="16" t="n">
        <x:v>177.8465573771</x:v>
      </x:c>
      <x:c r="F217" s="23" t="n">
        <x:v>4</x:v>
      </x:c>
    </x:row>
    <x:row r="218">
      <x:c r="A218" s="15" t="n">
        <x:v>40756</x:v>
      </x:c>
      <x:c r="B218" s="13" t="str">
        <x:v>Capital Goods</x:v>
      </x:c>
      <x:c r="C218" s="16" t="n">
        <x:v>596.3349085027</x:v>
      </x:c>
      <x:c r="D218" s="16" t="n">
        <x:v>679.2303573333</x:v>
      </x:c>
      <x:c r="E218" s="16" t="n">
        <x:v>82.8954488306</x:v>
      </x:c>
      <x:c r="F218" s="23" t="n">
        <x:v>1</x:v>
      </x:c>
    </x:row>
    <x:row r="219">
      <x:c r="A219" s="15" t="n">
        <x:v>40756</x:v>
      </x:c>
      <x:c r="B219" s="13" t="str">
        <x:v>Financials Non-Banks</x:v>
      </x:c>
      <x:c r="C219" s="16" t="n">
        <x:v>10922.0275011147</x:v>
      </x:c>
      <x:c r="D219" s="16" t="n">
        <x:v>10224.2400426667</x:v>
      </x:c>
      <x:c r="E219" s="16" t="n">
        <x:v>-697.7874584481</x:v>
      </x:c>
      <x:c r="F219" s="23" t="n">
        <x:v>4</x:v>
      </x:c>
    </x:row>
    <x:row r="220">
      <x:c r="A220" s="15" t="n">
        <x:v>40756</x:v>
      </x:c>
      <x:c r="B220" s="13" t="str">
        <x:v>Food &amp; Beverages</x:v>
      </x:c>
      <x:c r="C220" s="16" t="n">
        <x:v>13566.3224349727</x:v>
      </x:c>
      <x:c r="D220" s="16" t="n">
        <x:v>14198.667408</x:v>
      </x:c>
      <x:c r="E220" s="16" t="n">
        <x:v>632.3449730273</x:v>
      </x:c>
      <x:c r="F220" s="23" t="n">
        <x:v>5</x:v>
      </x:c>
    </x:row>
    <x:row r="221">
      <x:c r="A221" s="15" t="n">
        <x:v>40756</x:v>
      </x:c>
      <x:c r="B221" s="13" t="str">
        <x:v>Health Care</x:v>
      </x:c>
      <x:c r="C221" s="16" t="n">
        <x:v>553.0475275191</x:v>
      </x:c>
      <x:c r="D221" s="16" t="n">
        <x:v>438.4706773333</x:v>
      </x:c>
      <x:c r="E221" s="16" t="n">
        <x:v>-114.5768501858</x:v>
      </x:c>
      <x:c r="F221" s="23" t="n">
        <x:v>1</x:v>
      </x:c>
    </x:row>
    <x:row r="222">
      <x:c r="A222" s="15" t="n">
        <x:v>40756</x:v>
      </x:c>
      <x:c r="B222" s="13" t="str">
        <x:v>Homebuilders</x:v>
      </x:c>
      <x:c r="C222" s="16" t="n">
        <x:v>4724.9918036284</x:v>
      </x:c>
      <x:c r="D222" s="16" t="n">
        <x:v>4629.5655893333</x:v>
      </x:c>
      <x:c r="E222" s="16" t="n">
        <x:v>-95.4262142951</x:v>
      </x:c>
      <x:c r="F222" s="23" t="n">
        <x:v>6</x:v>
      </x:c>
    </x:row>
    <x:row r="223">
      <x:c r="A223" s="15" t="n">
        <x:v>40756</x:v>
      </x:c>
      <x:c r="B223" s="13" t="str">
        <x:v>Metals &amp; Mining</x:v>
      </x:c>
      <x:c r="C223" s="16" t="n">
        <x:v>55879.9857732896</x:v>
      </x:c>
      <x:c r="D223" s="16" t="n">
        <x:v>52214.3845013334</x:v>
      </x:c>
      <x:c r="E223" s="16" t="n">
        <x:v>-3665.6012719562</x:v>
      </x:c>
      <x:c r="F223" s="23" t="n">
        <x:v>8</x:v>
      </x:c>
    </x:row>
    <x:row r="224">
      <x:c r="A224" s="15" t="n">
        <x:v>40756</x:v>
      </x:c>
      <x:c r="B224" s="13" t="str">
        <x:v>Oil, Gas &amp; Petrochemicals</x:v>
      </x:c>
      <x:c r="C224" s="16" t="n">
        <x:v>38807.0466768087</x:v>
      </x:c>
      <x:c r="D224" s="16" t="n">
        <x:v>42570.479084</x:v>
      </x:c>
      <x:c r="E224" s="16" t="n">
        <x:v>3763.4324071912</x:v>
      </x:c>
      <x:c r="F224" s="23" t="n">
        <x:v>4</x:v>
      </x:c>
    </x:row>
    <x:row r="225">
      <x:c r="A225" s="15" t="n">
        <x:v>40756</x:v>
      </x:c>
      <x:c r="B225" s="13" t="str">
        <x:v>Pulp &amp; Paper</x:v>
      </x:c>
      <x:c r="C225" s="16" t="n">
        <x:v>1142.0701099016</x:v>
      </x:c>
      <x:c r="D225" s="16" t="n">
        <x:v>530.8686613333</x:v>
      </x:c>
      <x:c r="E225" s="16" t="n">
        <x:v>-611.2014485683</x:v>
      </x:c>
      <x:c r="F225" s="23" t="n">
        <x:v>2</x:v>
      </x:c>
    </x:row>
    <x:row r="226">
      <x:c r="A226" s="15" t="n">
        <x:v>40756</x:v>
      </x:c>
      <x:c r="B226" s="13" t="str">
        <x:v>Retail</x:v>
      </x:c>
      <x:c r="C226" s="16" t="n">
        <x:v>2730.1423731585</x:v>
      </x:c>
      <x:c r="D226" s="16" t="n">
        <x:v>2761.1864333333</x:v>
      </x:c>
      <x:c r="E226" s="16" t="n">
        <x:v>31.0440601749</x:v>
      </x:c>
      <x:c r="F226" s="23" t="n">
        <x:v>5</x:v>
      </x:c>
    </x:row>
    <x:row r="227">
      <x:c r="A227" s="15" t="n">
        <x:v>40756</x:v>
      </x:c>
      <x:c r="B227" s="13" t="str">
        <x:v>Sanitation</x:v>
      </x:c>
      <x:c r="C227" s="16" t="n">
        <x:v>1376.0270464699</x:v>
      </x:c>
      <x:c r="D227" s="16" t="n">
        <x:v>1389.9433813333</x:v>
      </x:c>
      <x:c r="E227" s="16" t="n">
        <x:v>13.9163348634</x:v>
      </x:c>
      <x:c r="F227" s="23" t="n">
        <x:v>1</x:v>
      </x:c>
    </x:row>
    <x:row r="228">
      <x:c r="A228" s="15" t="n">
        <x:v>40756</x:v>
      </x:c>
      <x:c r="B228" s="13" t="str">
        <x:v>TMT</x:v>
      </x:c>
      <x:c r="C228" s="16" t="n">
        <x:v>7620.7257120874</x:v>
      </x:c>
      <x:c r="D228" s="16" t="n">
        <x:v>10210.0500053333</x:v>
      </x:c>
      <x:c r="E228" s="16" t="n">
        <x:v>2589.3242932459</x:v>
      </x:c>
      <x:c r="F228" s="23" t="n">
        <x:v>5</x:v>
      </x:c>
    </x:row>
    <x:row r="229">
      <x:c r="A229" s="15" t="n">
        <x:v>40756</x:v>
      </x:c>
      <x:c r="B229" s="13" t="str">
        <x:v>Transportation</x:v>
      </x:c>
      <x:c r="C229" s="16" t="n">
        <x:v>2213.8900546667</x:v>
      </x:c>
      <x:c r="D229" s="16" t="n">
        <x:v>1641.7990453333</x:v>
      </x:c>
      <x:c r="E229" s="16" t="n">
        <x:v>-572.0910093333</x:v>
      </x:c>
      <x:c r="F229" s="23" t="n">
        <x:v>5</x:v>
      </x:c>
    </x:row>
    <x:row r="230">
      <x:c r="A230" s="15" t="n">
        <x:v>40756</x:v>
      </x:c>
      <x:c r="B230" s="13" t="str">
        <x:v>Utilities &amp; Energy</x:v>
      </x:c>
      <x:c r="C230" s="16" t="n">
        <x:v>14978.4333957596</x:v>
      </x:c>
      <x:c r="D230" s="16" t="n">
        <x:v>16076.50208</x:v>
      </x:c>
      <x:c r="E230" s="16" t="n">
        <x:v>1098.0686842405</x:v>
      </x:c>
      <x:c r="F230" s="23" t="n">
        <x:v>9</x:v>
      </x:c>
    </x:row>
    <x:row r="231">
      <x:c r="A231" s="15" t="n">
        <x:v>40787</x:v>
      </x:c>
      <x:c r="B231" s="13" t="str">
        <x:v>Banks</x:v>
      </x:c>
      <x:c r="C231" s="16" t="n">
        <x:v>48812.4176786886</x:v>
      </x:c>
      <x:c r="D231" s="16" t="n">
        <x:v>48244.8121145355</x:v>
      </x:c>
      <x:c r="E231" s="16" t="n">
        <x:v>-567.6055641531</x:v>
      </x:c>
      <x:c r="F231" s="23" t="n">
        <x:v>4</x:v>
      </x:c>
    </x:row>
    <x:row r="232">
      <x:c r="A232" s="15" t="n">
        <x:v>40787</x:v>
      </x:c>
      <x:c r="B232" s="13" t="str">
        <x:v>Capital Goods</x:v>
      </x:c>
      <x:c r="C232" s="16" t="n">
        <x:v>630.0183865355</x:v>
      </x:c>
      <x:c r="D232" s="16" t="n">
        <x:v>701.4316194973</x:v>
      </x:c>
      <x:c r="E232" s="16" t="n">
        <x:v>71.4132329617</x:v>
      </x:c>
      <x:c r="F232" s="23" t="n">
        <x:v>1</x:v>
      </x:c>
    </x:row>
    <x:row r="233">
      <x:c r="A233" s="15" t="n">
        <x:v>40787</x:v>
      </x:c>
      <x:c r="B233" s="13" t="str">
        <x:v>Financials Non-Banks</x:v>
      </x:c>
      <x:c r="C233" s="16" t="n">
        <x:v>11076.627102776</x:v>
      </x:c>
      <x:c r="D233" s="16" t="n">
        <x:v>10172.7844455519</x:v>
      </x:c>
      <x:c r="E233" s="16" t="n">
        <x:v>-903.8426572241</x:v>
      </x:c>
      <x:c r="F233" s="23" t="n">
        <x:v>4</x:v>
      </x:c>
    </x:row>
    <x:row r="234">
      <x:c r="A234" s="15" t="n">
        <x:v>40787</x:v>
      </x:c>
      <x:c r="B234" s="13" t="str">
        <x:v>Food &amp; Beverages</x:v>
      </x:c>
      <x:c r="C234" s="16" t="n">
        <x:v>13751.1895451803</x:v>
      </x:c>
      <x:c r="D234" s="16" t="n">
        <x:v>14551.3261104481</x:v>
      </x:c>
      <x:c r="E234" s="16" t="n">
        <x:v>800.1365652678</x:v>
      </x:c>
      <x:c r="F234" s="23" t="n">
        <x:v>5</x:v>
      </x:c>
    </x:row>
    <x:row r="235">
      <x:c r="A235" s="15" t="n">
        <x:v>40787</x:v>
      </x:c>
      <x:c r="B235" s="13" t="str">
        <x:v>Health Care</x:v>
      </x:c>
      <x:c r="C235" s="16" t="n">
        <x:v>525.4246025792</x:v>
      </x:c>
      <x:c r="D235" s="16" t="n">
        <x:v>403.3323367869</x:v>
      </x:c>
      <x:c r="E235" s="16" t="n">
        <x:v>-122.0922657924</x:v>
      </x:c>
      <x:c r="F235" s="23" t="n">
        <x:v>1</x:v>
      </x:c>
    </x:row>
    <x:row r="236">
      <x:c r="A236" s="15" t="n">
        <x:v>40787</x:v>
      </x:c>
      <x:c r="B236" s="13" t="str">
        <x:v>Homebuilders</x:v>
      </x:c>
      <x:c r="C236" s="16" t="n">
        <x:v>4733.3431903825</x:v>
      </x:c>
      <x:c r="D236" s="16" t="n">
        <x:v>4718.3458182295</x:v>
      </x:c>
      <x:c r="E236" s="16" t="n">
        <x:v>-14.997372153</x:v>
      </x:c>
      <x:c r="F236" s="23" t="n">
        <x:v>6</x:v>
      </x:c>
    </x:row>
    <x:row r="237">
      <x:c r="A237" s="15" t="n">
        <x:v>40787</x:v>
      </x:c>
      <x:c r="B237" s="13" t="str">
        <x:v>Metals &amp; Mining</x:v>
      </x:c>
      <x:c r="C237" s="16" t="n">
        <x:v>55267.1978827541</x:v>
      </x:c>
      <x:c r="D237" s="16" t="n">
        <x:v>52538.3444229945</x:v>
      </x:c>
      <x:c r="E237" s="16" t="n">
        <x:v>-2728.8534597596</x:v>
      </x:c>
      <x:c r="F237" s="23" t="n">
        <x:v>8</x:v>
      </x:c>
    </x:row>
    <x:row r="238">
      <x:c r="A238" s="15" t="n">
        <x:v>40787</x:v>
      </x:c>
      <x:c r="B238" s="13" t="str">
        <x:v>Oil, Gas &amp; Petrochemicals</x:v>
      </x:c>
      <x:c r="C238" s="16" t="n">
        <x:v>40363.399695388</x:v>
      </x:c>
      <x:c r="D238" s="16" t="n">
        <x:v>43148.0266911475</x:v>
      </x:c>
      <x:c r="E238" s="16" t="n">
        <x:v>2784.6269957595</x:v>
      </x:c>
      <x:c r="F238" s="23" t="n">
        <x:v>4</x:v>
      </x:c>
    </x:row>
    <x:row r="239">
      <x:c r="A239" s="15" t="n">
        <x:v>40787</x:v>
      </x:c>
      <x:c r="B239" s="13" t="str">
        <x:v>Pulp &amp; Paper</x:v>
      </x:c>
      <x:c r="C239" s="16" t="n">
        <x:v>1101.8725420765</x:v>
      </x:c>
      <x:c r="D239" s="16" t="n">
        <x:v>568.3938325683</x:v>
      </x:c>
      <x:c r="E239" s="16" t="n">
        <x:v>-533.4787095082</x:v>
      </x:c>
      <x:c r="F239" s="23" t="n">
        <x:v>2</x:v>
      </x:c>
    </x:row>
    <x:row r="240">
      <x:c r="A240" s="15" t="n">
        <x:v>40787</x:v>
      </x:c>
      <x:c r="B240" s="13" t="str">
        <x:v>Retail</x:v>
      </x:c>
      <x:c r="C240" s="16" t="n">
        <x:v>2777.2487184262</x:v>
      </x:c>
      <x:c r="D240" s="16" t="n">
        <x:v>2785.3404486557</x:v>
      </x:c>
      <x:c r="E240" s="16" t="n">
        <x:v>8.0917302295</x:v>
      </x:c>
      <x:c r="F240" s="23" t="n">
        <x:v>5</x:v>
      </x:c>
    </x:row>
    <x:row r="241">
      <x:c r="A241" s="15" t="n">
        <x:v>40787</x:v>
      </x:c>
      <x:c r="B241" s="13" t="str">
        <x:v>Sanitation</x:v>
      </x:c>
      <x:c r="C241" s="16" t="n">
        <x:v>1393.2553939235</x:v>
      </x:c>
      <x:c r="D241" s="16" t="n">
        <x:v>1423.4639038251</x:v>
      </x:c>
      <x:c r="E241" s="16" t="n">
        <x:v>30.2085099016</x:v>
      </x:c>
      <x:c r="F241" s="23" t="n">
        <x:v>1</x:v>
      </x:c>
    </x:row>
    <x:row r="242">
      <x:c r="A242" s="15" t="n">
        <x:v>40787</x:v>
      </x:c>
      <x:c r="B242" s="13" t="str">
        <x:v>TMT</x:v>
      </x:c>
      <x:c r="C242" s="16" t="n">
        <x:v>9339.5300161749</x:v>
      </x:c>
      <x:c r="D242" s="16" t="n">
        <x:v>10085.8592594536</x:v>
      </x:c>
      <x:c r="E242" s="16" t="n">
        <x:v>746.3292432787</x:v>
      </x:c>
      <x:c r="F242" s="23" t="n">
        <x:v>5</x:v>
      </x:c>
    </x:row>
    <x:row r="243">
      <x:c r="A243" s="15" t="n">
        <x:v>40787</x:v>
      </x:c>
      <x:c r="B243" s="13" t="str">
        <x:v>Transportation</x:v>
      </x:c>
      <x:c r="C243" s="16" t="n">
        <x:v>2195.3397930492</x:v>
      </x:c>
      <x:c r="D243" s="16" t="n">
        <x:v>1626.1305502076</x:v>
      </x:c>
      <x:c r="E243" s="16" t="n">
        <x:v>-569.2092428415</x:v>
      </x:c>
      <x:c r="F243" s="23" t="n">
        <x:v>5</x:v>
      </x:c>
    </x:row>
    <x:row r="244">
      <x:c r="A244" s="15" t="n">
        <x:v>40787</x:v>
      </x:c>
      <x:c r="B244" s="13" t="str">
        <x:v>Utilities &amp; Energy</x:v>
      </x:c>
      <x:c r="C244" s="16" t="n">
        <x:v>15318.4347771803</x:v>
      </x:c>
      <x:c r="D244" s="16" t="n">
        <x:v>15665.8018678907</x:v>
      </x:c>
      <x:c r="E244" s="16" t="n">
        <x:v>347.3670907104</x:v>
      </x:c>
      <x:c r="F244" s="23" t="n">
        <x:v>9</x:v>
      </x:c>
    </x:row>
    <x:row r="245">
      <x:c r="A245" s="15" t="n">
        <x:v>40817</x:v>
      </x:c>
      <x:c r="B245" s="13" t="str">
        <x:v>Banks</x:v>
      </x:c>
      <x:c r="C245" s="16" t="n">
        <x:v>48624.3929180327</x:v>
      </x:c>
      <x:c r="D245" s="16" t="n">
        <x:v>47843.566592</x:v>
      </x:c>
      <x:c r="E245" s="16" t="n">
        <x:v>-780.8263260327</x:v>
      </x:c>
      <x:c r="F245" s="23" t="n">
        <x:v>4</x:v>
      </x:c>
    </x:row>
    <x:row r="246">
      <x:c r="A246" s="15" t="n">
        <x:v>40817</x:v>
      </x:c>
      <x:c r="B246" s="13" t="str">
        <x:v>Capital Goods</x:v>
      </x:c>
      <x:c r="C246" s="16" t="n">
        <x:v>662.5609542295</x:v>
      </x:c>
      <x:c r="D246" s="16" t="n">
        <x:v>780.7004906667</x:v>
      </x:c>
      <x:c r="E246" s="16" t="n">
        <x:v>118.1395364372</x:v>
      </x:c>
      <x:c r="F246" s="23" t="n">
        <x:v>1</x:v>
      </x:c>
    </x:row>
    <x:row r="247">
      <x:c r="A247" s="15" t="n">
        <x:v>40817</x:v>
      </x:c>
      <x:c r="B247" s="13" t="str">
        <x:v>Financials Non-Banks</x:v>
      </x:c>
      <x:c r="C247" s="16" t="n">
        <x:v>10538.3050449836</x:v>
      </x:c>
      <x:c r="D247" s="16" t="n">
        <x:v>10371.0350933333</x:v>
      </x:c>
      <x:c r="E247" s="16" t="n">
        <x:v>-167.2699516503</x:v>
      </x:c>
      <x:c r="F247" s="23" t="n">
        <x:v>4</x:v>
      </x:c>
    </x:row>
    <x:row r="248">
      <x:c r="A248" s="15" t="n">
        <x:v>40817</x:v>
      </x:c>
      <x:c r="B248" s="13" t="str">
        <x:v>Food &amp; Beverages</x:v>
      </x:c>
      <x:c r="C248" s="16" t="n">
        <x:v>14055.7094221639</x:v>
      </x:c>
      <x:c r="D248" s="16" t="n">
        <x:v>14894.4087833333</x:v>
      </x:c>
      <x:c r="E248" s="16" t="n">
        <x:v>838.6993611694</x:v>
      </x:c>
      <x:c r="F248" s="23" t="n">
        <x:v>5</x:v>
      </x:c>
    </x:row>
    <x:row r="249">
      <x:c r="A249" s="15" t="n">
        <x:v>40817</x:v>
      </x:c>
      <x:c r="B249" s="13" t="str">
        <x:v>Health Care</x:v>
      </x:c>
      <x:c r="C249" s="16" t="n">
        <x:v>545.8681822076</x:v>
      </x:c>
      <x:c r="D249" s="16" t="n">
        <x:v>383.61716</x:v>
      </x:c>
      <x:c r="E249" s="16" t="n">
        <x:v>-162.2510222076</x:v>
      </x:c>
      <x:c r="F249" s="23" t="n">
        <x:v>1</x:v>
      </x:c>
    </x:row>
    <x:row r="250">
      <x:c r="A250" s="15" t="n">
        <x:v>40817</x:v>
      </x:c>
      <x:c r="B250" s="13" t="str">
        <x:v>Homebuilders</x:v>
      </x:c>
      <x:c r="C250" s="16" t="n">
        <x:v>4698.5268803497</x:v>
      </x:c>
      <x:c r="D250" s="16" t="n">
        <x:v>4403.55032</x:v>
      </x:c>
      <x:c r="E250" s="16" t="n">
        <x:v>-294.9765603497</x:v>
      </x:c>
      <x:c r="F250" s="23" t="n">
        <x:v>6</x:v>
      </x:c>
    </x:row>
    <x:row r="251">
      <x:c r="A251" s="15" t="n">
        <x:v>40817</x:v>
      </x:c>
      <x:c r="B251" s="13" t="str">
        <x:v>Metals &amp; Mining</x:v>
      </x:c>
      <x:c r="C251" s="16" t="n">
        <x:v>54077.1488866448</x:v>
      </x:c>
      <x:c r="D251" s="16" t="n">
        <x:v>52296.7375253333</x:v>
      </x:c>
      <x:c r="E251" s="16" t="n">
        <x:v>-1780.4113613115</x:v>
      </x:c>
      <x:c r="F251" s="23" t="n">
        <x:v>8</x:v>
      </x:c>
    </x:row>
    <x:row r="252">
      <x:c r="A252" s="15" t="n">
        <x:v>40817</x:v>
      </x:c>
      <x:c r="B252" s="13" t="str">
        <x:v>Oil, Gas &amp; Petrochemicals</x:v>
      </x:c>
      <x:c r="C252" s="16" t="n">
        <x:v>41343.5598760219</x:v>
      </x:c>
      <x:c r="D252" s="16" t="n">
        <x:v>42180.8371599121</x:v>
      </x:c>
      <x:c r="E252" s="16" t="n">
        <x:v>837.2772838902</x:v>
      </x:c>
      <x:c r="F252" s="23" t="n">
        <x:v>4</x:v>
      </x:c>
    </x:row>
    <x:row r="253">
      <x:c r="A253" s="15" t="n">
        <x:v>40817</x:v>
      </x:c>
      <x:c r="B253" s="13" t="str">
        <x:v>Pulp &amp; Paper</x:v>
      </x:c>
      <x:c r="C253" s="16" t="n">
        <x:v>869.171223082</x:v>
      </x:c>
      <x:c r="D253" s="16" t="n">
        <x:v>553.5241813333</x:v>
      </x:c>
      <x:c r="E253" s="16" t="n">
        <x:v>-315.6470417486</x:v>
      </x:c>
      <x:c r="F253" s="23" t="n">
        <x:v>2</x:v>
      </x:c>
    </x:row>
    <x:row r="254">
      <x:c r="A254" s="15" t="n">
        <x:v>40817</x:v>
      </x:c>
      <x:c r="B254" s="13" t="str">
        <x:v>Retail</x:v>
      </x:c>
      <x:c r="C254" s="16" t="n">
        <x:v>2762.8337931148</x:v>
      </x:c>
      <x:c r="D254" s="16" t="n">
        <x:v>2756.5549543333</x:v>
      </x:c>
      <x:c r="E254" s="16" t="n">
        <x:v>-6.2788387814</x:v>
      </x:c>
      <x:c r="F254" s="23" t="n">
        <x:v>5</x:v>
      </x:c>
    </x:row>
    <x:row r="255">
      <x:c r="A255" s="15" t="n">
        <x:v>40817</x:v>
      </x:c>
      <x:c r="B255" s="13" t="str">
        <x:v>Sanitation</x:v>
      </x:c>
      <x:c r="C255" s="16" t="n">
        <x:v>1373.2225070164</x:v>
      </x:c>
      <x:c r="D255" s="16" t="n">
        <x:v>1443.0082986667</x:v>
      </x:c>
      <x:c r="E255" s="16" t="n">
        <x:v>69.7857916503</x:v>
      </x:c>
      <x:c r="F255" s="23" t="n">
        <x:v>1</x:v>
      </x:c>
    </x:row>
    <x:row r="256">
      <x:c r="A256" s="15" t="n">
        <x:v>40817</x:v>
      </x:c>
      <x:c r="B256" s="13" t="str">
        <x:v>TMT</x:v>
      </x:c>
      <x:c r="C256" s="16" t="n">
        <x:v>10090.1395693115</x:v>
      </x:c>
      <x:c r="D256" s="16" t="n">
        <x:v>10091.3682826667</x:v>
      </x:c>
      <x:c r="E256" s="16" t="n">
        <x:v>1.2287133552</x:v>
      </x:c>
      <x:c r="F256" s="23" t="n">
        <x:v>5</x:v>
      </x:c>
    </x:row>
    <x:row r="257">
      <x:c r="A257" s="15" t="n">
        <x:v>40817</x:v>
      </x:c>
      <x:c r="B257" s="13" t="str">
        <x:v>Transportation</x:v>
      </x:c>
      <x:c r="C257" s="16" t="n">
        <x:v>1832.6437772678</x:v>
      </x:c>
      <x:c r="D257" s="16" t="n">
        <x:v>1634.9866266667</x:v>
      </x:c>
      <x:c r="E257" s="16" t="n">
        <x:v>-197.6571506011</x:v>
      </x:c>
      <x:c r="F257" s="23" t="n">
        <x:v>5</x:v>
      </x:c>
    </x:row>
    <x:row r="258">
      <x:c r="A258" s="15" t="n">
        <x:v>40817</x:v>
      </x:c>
      <x:c r="B258" s="13" t="str">
        <x:v>Utilities &amp; Energy</x:v>
      </x:c>
      <x:c r="C258" s="16" t="n">
        <x:v>15506.8441864044</x:v>
      </x:c>
      <x:c r="D258" s="16" t="n">
        <x:v>15357.564128</x:v>
      </x:c>
      <x:c r="E258" s="16" t="n">
        <x:v>-149.2800584044</x:v>
      </x:c>
      <x:c r="F258" s="23" t="n">
        <x:v>9</x:v>
      </x:c>
    </x:row>
    <x:row r="259">
      <x:c r="A259" s="15" t="n">
        <x:v>40848</x:v>
      </x:c>
      <x:c r="B259" s="13" t="str">
        <x:v>Banks</x:v>
      </x:c>
      <x:c r="C259" s="16" t="n">
        <x:v>48195.9098026666</x:v>
      </x:c>
      <x:c r="D259" s="16" t="n">
        <x:v>48285.6030454208</x:v>
      </x:c>
      <x:c r="E259" s="16" t="n">
        <x:v>89.6932427542</x:v>
      </x:c>
      <x:c r="F259" s="23" t="n">
        <x:v>4</x:v>
      </x:c>
    </x:row>
    <x:row r="260">
      <x:c r="A260" s="15" t="n">
        <x:v>40848</x:v>
      </x:c>
      <x:c r="B260" s="13" t="str">
        <x:v>Capital Goods</x:v>
      </x:c>
      <x:c r="C260" s="16" t="n">
        <x:v>679.2303573333</x:v>
      </x:c>
      <x:c r="D260" s="16" t="n">
        <x:v>798.6844037596</x:v>
      </x:c>
      <x:c r="E260" s="16" t="n">
        <x:v>119.4540464262</x:v>
      </x:c>
      <x:c r="F260" s="23" t="n">
        <x:v>1</x:v>
      </x:c>
    </x:row>
    <x:row r="261">
      <x:c r="A261" s="15" t="n">
        <x:v>40848</x:v>
      </x:c>
      <x:c r="B261" s="13" t="str">
        <x:v>Financials Non-Banks</x:v>
      </x:c>
      <x:c r="C261" s="16" t="n">
        <x:v>10224.2400426667</x:v>
      </x:c>
      <x:c r="D261" s="16" t="n">
        <x:v>10612.4957156721</x:v>
      </x:c>
      <x:c r="E261" s="16" t="n">
        <x:v>388.2556730055</x:v>
      </x:c>
      <x:c r="F261" s="23" t="n">
        <x:v>4</x:v>
      </x:c>
    </x:row>
    <x:row r="262">
      <x:c r="A262" s="15" t="n">
        <x:v>40848</x:v>
      </x:c>
      <x:c r="B262" s="13" t="str">
        <x:v>Food &amp; Beverages</x:v>
      </x:c>
      <x:c r="C262" s="16" t="n">
        <x:v>14198.667408</x:v>
      </x:c>
      <x:c r="D262" s="16" t="n">
        <x:v>15080.626535541</x:v>
      </x:c>
      <x:c r="E262" s="16" t="n">
        <x:v>881.959127541</x:v>
      </x:c>
      <x:c r="F262" s="23" t="n">
        <x:v>5</x:v>
      </x:c>
    </x:row>
    <x:row r="263">
      <x:c r="A263" s="15" t="n">
        <x:v>40848</x:v>
      </x:c>
      <x:c r="B263" s="13" t="str">
        <x:v>Health Care</x:v>
      </x:c>
      <x:c r="C263" s="16" t="n">
        <x:v>438.4706773333</x:v>
      </x:c>
      <x:c r="D263" s="16" t="n">
        <x:v>292.5145780328</x:v>
      </x:c>
      <x:c r="E263" s="16" t="n">
        <x:v>-145.9560993005</x:v>
      </x:c>
      <x:c r="F263" s="23" t="n">
        <x:v>1</x:v>
      </x:c>
    </x:row>
    <x:row r="264">
      <x:c r="A264" s="15" t="n">
        <x:v>40848</x:v>
      </x:c>
      <x:c r="B264" s="13" t="str">
        <x:v>Homebuilders</x:v>
      </x:c>
      <x:c r="C264" s="16" t="n">
        <x:v>4629.5655893333</x:v>
      </x:c>
      <x:c r="D264" s="16" t="n">
        <x:v>4337.8536333115</x:v>
      </x:c>
      <x:c r="E264" s="16" t="n">
        <x:v>-291.7119560218</x:v>
      </x:c>
      <x:c r="F264" s="23" t="n">
        <x:v>6</x:v>
      </x:c>
    </x:row>
    <x:row r="265">
      <x:c r="A265" s="15" t="n">
        <x:v>40848</x:v>
      </x:c>
      <x:c r="B265" s="13" t="str">
        <x:v>Metals &amp; Mining</x:v>
      </x:c>
      <x:c r="C265" s="16" t="n">
        <x:v>52214.3845013334</x:v>
      </x:c>
      <x:c r="D265" s="16" t="n">
        <x:v>50877.1994895738</x:v>
      </x:c>
      <x:c r="E265" s="16" t="n">
        <x:v>-1337.1850117596</x:v>
      </x:c>
      <x:c r="F265" s="23" t="n">
        <x:v>8</x:v>
      </x:c>
    </x:row>
    <x:row r="266">
      <x:c r="A266" s="15" t="n">
        <x:v>40848</x:v>
      </x:c>
      <x:c r="B266" s="13" t="str">
        <x:v>Oil, Gas &amp; Petrochemicals</x:v>
      </x:c>
      <x:c r="C266" s="16" t="n">
        <x:v>43500.4124173333</x:v>
      </x:c>
      <x:c r="D266" s="16" t="n">
        <x:v>44217.4169989061</x:v>
      </x:c>
      <x:c r="E266" s="16" t="n">
        <x:v>717.0045815728</x:v>
      </x:c>
      <x:c r="F266" s="23" t="n">
        <x:v>5</x:v>
      </x:c>
    </x:row>
    <x:row r="267">
      <x:c r="A267" s="15" t="n">
        <x:v>40848</x:v>
      </x:c>
      <x:c r="B267" s="13" t="str">
        <x:v>Pulp &amp; Paper</x:v>
      </x:c>
      <x:c r="C267" s="16" t="n">
        <x:v>530.8686613333</x:v>
      </x:c>
      <x:c r="D267" s="16" t="n">
        <x:v>455.9968316503</x:v>
      </x:c>
      <x:c r="E267" s="16" t="n">
        <x:v>-74.8718296831</x:v>
      </x:c>
      <x:c r="F267" s="23" t="n">
        <x:v>2</x:v>
      </x:c>
    </x:row>
    <x:row r="268">
      <x:c r="A268" s="15" t="n">
        <x:v>40848</x:v>
      </x:c>
      <x:c r="B268" s="13" t="str">
        <x:v>Retail</x:v>
      </x:c>
      <x:c r="C268" s="16" t="n">
        <x:v>2761.1864333333</x:v>
      </x:c>
      <x:c r="D268" s="16" t="n">
        <x:v>2776.675493235</x:v>
      </x:c>
      <x:c r="E268" s="16" t="n">
        <x:v>15.4890599016</x:v>
      </x:c>
      <x:c r="F268" s="23" t="n">
        <x:v>5</x:v>
      </x:c>
    </x:row>
    <x:row r="269">
      <x:c r="A269" s="15" t="n">
        <x:v>40848</x:v>
      </x:c>
      <x:c r="B269" s="13" t="str">
        <x:v>Sanitation</x:v>
      </x:c>
      <x:c r="C269" s="16" t="n">
        <x:v>1389.9433813333</x:v>
      </x:c>
      <x:c r="D269" s="16" t="n">
        <x:v>1462.2475729836</x:v>
      </x:c>
      <x:c r="E269" s="16" t="n">
        <x:v>72.3041916503</x:v>
      </x:c>
      <x:c r="F269" s="23" t="n">
        <x:v>1</x:v>
      </x:c>
    </x:row>
    <x:row r="270">
      <x:c r="A270" s="15" t="n">
        <x:v>40848</x:v>
      </x:c>
      <x:c r="B270" s="13" t="str">
        <x:v>TMT</x:v>
      </x:c>
      <x:c r="C270" s="16" t="n">
        <x:v>10210.0500053333</x:v>
      </x:c>
      <x:c r="D270" s="16" t="n">
        <x:v>10404.0837104262</x:v>
      </x:c>
      <x:c r="E270" s="16" t="n">
        <x:v>194.0337050929</x:v>
      </x:c>
      <x:c r="F270" s="23" t="n">
        <x:v>5</x:v>
      </x:c>
    </x:row>
    <x:row r="271">
      <x:c r="A271" s="15" t="n">
        <x:v>40848</x:v>
      </x:c>
      <x:c r="B271" s="13" t="str">
        <x:v>Transportation</x:v>
      </x:c>
      <x:c r="C271" s="16" t="n">
        <x:v>1641.7990453333</x:v>
      </x:c>
      <x:c r="D271" s="16" t="n">
        <x:v>1733.3907796721</x:v>
      </x:c>
      <x:c r="E271" s="16" t="n">
        <x:v>91.5917343388</x:v>
      </x:c>
      <x:c r="F271" s="23" t="n">
        <x:v>5</x:v>
      </x:c>
    </x:row>
    <x:row r="272">
      <x:c r="A272" s="15" t="n">
        <x:v>40848</x:v>
      </x:c>
      <x:c r="B272" s="13" t="str">
        <x:v>Utilities &amp; Energy</x:v>
      </x:c>
      <x:c r="C272" s="16" t="n">
        <x:v>16076.50208</x:v>
      </x:c>
      <x:c r="D272" s="16" t="n">
        <x:v>15194.8291446557</x:v>
      </x:c>
      <x:c r="E272" s="16" t="n">
        <x:v>-881.6729353443</x:v>
      </x:c>
      <x:c r="F272" s="23" t="n">
        <x:v>9</x:v>
      </x:c>
    </x:row>
    <x:row r="273">
      <x:c r="A273" s="15" t="n">
        <x:v>40878</x:v>
      </x:c>
      <x:c r="B273" s="13" t="str">
        <x:v>Banks</x:v>
      </x:c>
      <x:c r="C273" s="16" t="n">
        <x:v>48244.8121145355</x:v>
      </x:c>
      <x:c r="D273" s="16" t="n">
        <x:v>47864.6701366558</x:v>
      </x:c>
      <x:c r="E273" s="16" t="n">
        <x:v>-380.1419778797</x:v>
      </x:c>
      <x:c r="F273" s="23" t="n">
        <x:v>4</x:v>
      </x:c>
    </x:row>
    <x:row r="274">
      <x:c r="A274" s="15" t="n">
        <x:v>40878</x:v>
      </x:c>
      <x:c r="B274" s="13" t="str">
        <x:v>Capital Goods</x:v>
      </x:c>
      <x:c r="C274" s="16" t="n">
        <x:v>701.4316194973</x:v>
      </x:c>
      <x:c r="D274" s="16" t="n">
        <x:v>819.3617070164</x:v>
      </x:c>
      <x:c r="E274" s="16" t="n">
        <x:v>117.9300875191</x:v>
      </x:c>
      <x:c r="F274" s="23" t="n">
        <x:v>1</x:v>
      </x:c>
    </x:row>
    <x:row r="275">
      <x:c r="A275" s="15" t="n">
        <x:v>40878</x:v>
      </x:c>
      <x:c r="B275" s="13" t="str">
        <x:v>Financials Non-Banks</x:v>
      </x:c>
      <x:c r="C275" s="16" t="n">
        <x:v>10172.7844455519</x:v>
      </x:c>
      <x:c r="D275" s="16" t="n">
        <x:v>10817.6752143388</x:v>
      </x:c>
      <x:c r="E275" s="16" t="n">
        <x:v>644.8907687869</x:v>
      </x:c>
      <x:c r="F275" s="23" t="n">
        <x:v>4</x:v>
      </x:c>
    </x:row>
    <x:row r="276">
      <x:c r="A276" s="15" t="n">
        <x:v>40878</x:v>
      </x:c>
      <x:c r="B276" s="13" t="str">
        <x:v>Food &amp; Beverages</x:v>
      </x:c>
      <x:c r="C276" s="16" t="n">
        <x:v>14551.3261104481</x:v>
      </x:c>
      <x:c r="D276" s="16" t="n">
        <x:v>15323.7082929617</x:v>
      </x:c>
      <x:c r="E276" s="16" t="n">
        <x:v>772.3821825137</x:v>
      </x:c>
      <x:c r="F276" s="23" t="n">
        <x:v>5</x:v>
      </x:c>
    </x:row>
    <x:row r="277">
      <x:c r="A277" s="15" t="n">
        <x:v>40878</x:v>
      </x:c>
      <x:c r="B277" s="13" t="str">
        <x:v>Health Care</x:v>
      </x:c>
      <x:c r="C277" s="16" t="n">
        <x:v>403.3323367869</x:v>
      </x:c>
      <x:c r="D277" s="16" t="n">
        <x:v>293.7991712295</x:v>
      </x:c>
      <x:c r="E277" s="16" t="n">
        <x:v>-109.5331655574</x:v>
      </x:c>
      <x:c r="F277" s="23" t="n">
        <x:v>1</x:v>
      </x:c>
    </x:row>
    <x:row r="278">
      <x:c r="A278" s="15" t="n">
        <x:v>40878</x:v>
      </x:c>
      <x:c r="B278" s="13" t="str">
        <x:v>Homebuilders</x:v>
      </x:c>
      <x:c r="C278" s="16" t="n">
        <x:v>4718.3458182295</x:v>
      </x:c>
      <x:c r="D278" s="16" t="n">
        <x:v>4407.5276594535</x:v>
      </x:c>
      <x:c r="E278" s="16" t="n">
        <x:v>-310.818158776</x:v>
      </x:c>
      <x:c r="F278" s="23" t="n">
        <x:v>6</x:v>
      </x:c>
    </x:row>
    <x:row r="279">
      <x:c r="A279" s="15" t="n">
        <x:v>40878</x:v>
      </x:c>
      <x:c r="B279" s="13" t="str">
        <x:v>Income Properties</x:v>
      </x:c>
      <x:c r="C279" s="16" t="n">
        <x:v>460.5195633661</x:v>
      </x:c>
      <x:c r="D279" s="16" t="n">
        <x:v>485.7447106448</x:v>
      </x:c>
      <x:c r="E279" s="16" t="n">
        <x:v>25.2251472787</x:v>
      </x:c>
      <x:c r="F279" s="23" t="n">
        <x:v>1</x:v>
      </x:c>
    </x:row>
    <x:row r="280">
      <x:c r="A280" s="15" t="n">
        <x:v>40878</x:v>
      </x:c>
      <x:c r="B280" s="13" t="str">
        <x:v>Metals &amp; Mining</x:v>
      </x:c>
      <x:c r="C280" s="16" t="n">
        <x:v>52538.3444229945</x:v>
      </x:c>
      <x:c r="D280" s="16" t="n">
        <x:v>49360.5308252677</x:v>
      </x:c>
      <x:c r="E280" s="16" t="n">
        <x:v>-3177.8135977268</x:v>
      </x:c>
      <x:c r="F280" s="23" t="n">
        <x:v>8</x:v>
      </x:c>
    </x:row>
    <x:row r="281">
      <x:c r="A281" s="15" t="n">
        <x:v>40878</x:v>
      </x:c>
      <x:c r="B281" s="13" t="str">
        <x:v>Oil, Gas &amp; Petrochemicals</x:v>
      </x:c>
      <x:c r="C281" s="16" t="n">
        <x:v>44099.2071277814</x:v>
      </x:c>
      <x:c r="D281" s="16" t="n">
        <x:v>43362.6596352211</x:v>
      </x:c>
      <x:c r="E281" s="16" t="n">
        <x:v>-736.5474925603</x:v>
      </x:c>
      <x:c r="F281" s="23" t="n">
        <x:v>5</x:v>
      </x:c>
    </x:row>
    <x:row r="282">
      <x:c r="A282" s="15" t="n">
        <x:v>40878</x:v>
      </x:c>
      <x:c r="B282" s="13" t="str">
        <x:v>Pulp &amp; Paper</x:v>
      </x:c>
      <x:c r="C282" s="16" t="n">
        <x:v>568.3938325683</x:v>
      </x:c>
      <x:c r="D282" s="16" t="n">
        <x:v>349.9285314208</x:v>
      </x:c>
      <x:c r="E282" s="16" t="n">
        <x:v>-218.4653011475</x:v>
      </x:c>
      <x:c r="F282" s="23" t="n">
        <x:v>2</x:v>
      </x:c>
    </x:row>
    <x:row r="283">
      <x:c r="A283" s="15" t="n">
        <x:v>40878</x:v>
      </x:c>
      <x:c r="B283" s="13" t="str">
        <x:v>Retail</x:v>
      </x:c>
      <x:c r="C283" s="16" t="n">
        <x:v>3121.7655976831</x:v>
      </x:c>
      <x:c r="D283" s="16" t="n">
        <x:v>3212.2311453115</x:v>
      </x:c>
      <x:c r="E283" s="16" t="n">
        <x:v>90.4655476284</x:v>
      </x:c>
      <x:c r="F283" s="23" t="n">
        <x:v>6</x:v>
      </x:c>
    </x:row>
    <x:row r="284">
      <x:c r="A284" s="15" t="n">
        <x:v>40878</x:v>
      </x:c>
      <x:c r="B284" s="13" t="str">
        <x:v>Sanitation</x:v>
      </x:c>
      <x:c r="C284" s="16" t="n">
        <x:v>1423.4639038251</x:v>
      </x:c>
      <x:c r="D284" s="16" t="n">
        <x:v>1482.1951139672</x:v>
      </x:c>
      <x:c r="E284" s="16" t="n">
        <x:v>58.7312101421</x:v>
      </x:c>
      <x:c r="F284" s="23" t="n">
        <x:v>1</x:v>
      </x:c>
    </x:row>
    <x:row r="285">
      <x:c r="A285" s="15" t="n">
        <x:v>40878</x:v>
      </x:c>
      <x:c r="B285" s="13" t="str">
        <x:v>TMT</x:v>
      </x:c>
      <x:c r="C285" s="16" t="n">
        <x:v>10085.8592594536</x:v>
      </x:c>
      <x:c r="D285" s="16" t="n">
        <x:v>10549.001969224</x:v>
      </x:c>
      <x:c r="E285" s="16" t="n">
        <x:v>463.1427097705</x:v>
      </x:c>
      <x:c r="F285" s="23" t="n">
        <x:v>5</x:v>
      </x:c>
    </x:row>
    <x:row r="286">
      <x:c r="A286" s="15" t="n">
        <x:v>40878</x:v>
      </x:c>
      <x:c r="B286" s="13" t="str">
        <x:v>Transportation</x:v>
      </x:c>
      <x:c r="C286" s="16" t="n">
        <x:v>1626.1305502076</x:v>
      </x:c>
      <x:c r="D286" s="16" t="n">
        <x:v>1863.4704254863</x:v>
      </x:c>
      <x:c r="E286" s="16" t="n">
        <x:v>237.3398752787</x:v>
      </x:c>
      <x:c r="F286" s="23" t="n">
        <x:v>5</x:v>
      </x:c>
    </x:row>
    <x:row r="287">
      <x:c r="A287" s="15" t="n">
        <x:v>40878</x:v>
      </x:c>
      <x:c r="B287" s="13" t="str">
        <x:v>Utilities &amp; Energy</x:v>
      </x:c>
      <x:c r="C287" s="16" t="n">
        <x:v>15665.8018678907</x:v>
      </x:c>
      <x:c r="D287" s="16" t="n">
        <x:v>15137.4347126557</x:v>
      </x:c>
      <x:c r="E287" s="16" t="n">
        <x:v>-528.367155235</x:v>
      </x:c>
      <x:c r="F287" s="23" t="n">
        <x:v>9</x:v>
      </x:c>
    </x:row>
    <x:row r="288">
      <x:c r="A288" s="15" t="n">
        <x:v>40909</x:v>
      </x:c>
      <x:c r="B288" s="13" t="str">
        <x:v>Banks</x:v>
      </x:c>
      <x:c r="C288" s="16" t="n">
        <x:v>47843.566592</x:v>
      </x:c>
      <x:c r="D288" s="16" t="n">
        <x:v>47667.9176837261</x:v>
      </x:c>
      <x:c r="E288" s="16" t="n">
        <x:v>-175.6489082739</x:v>
      </x:c>
      <x:c r="F288" s="23" t="n">
        <x:v>4</x:v>
      </x:c>
    </x:row>
    <x:row r="289">
      <x:c r="A289" s="15" t="n">
        <x:v>40909</x:v>
      </x:c>
      <x:c r="B289" s="13" t="str">
        <x:v>Capital Goods</x:v>
      </x:c>
      <x:c r="C289" s="16" t="n">
        <x:v>780.7004906667</x:v>
      </x:c>
      <x:c r="D289" s="16" t="n">
        <x:v>813.6378012055</x:v>
      </x:c>
      <x:c r="E289" s="16" t="n">
        <x:v>32.9373105388</x:v>
      </x:c>
      <x:c r="F289" s="23" t="n">
        <x:v>1</x:v>
      </x:c>
    </x:row>
    <x:row r="290">
      <x:c r="A290" s="15" t="n">
        <x:v>40909</x:v>
      </x:c>
      <x:c r="B290" s="13" t="str">
        <x:v>Financials Non-Banks</x:v>
      </x:c>
      <x:c r="C290" s="16" t="n">
        <x:v>10371.0350933333</x:v>
      </x:c>
      <x:c r="D290" s="16" t="n">
        <x:v>11019.1661027945</x:v>
      </x:c>
      <x:c r="E290" s="16" t="n">
        <x:v>648.1310094612</x:v>
      </x:c>
      <x:c r="F290" s="23" t="n">
        <x:v>4</x:v>
      </x:c>
    </x:row>
    <x:row r="291">
      <x:c r="A291" s="15" t="n">
        <x:v>40909</x:v>
      </x:c>
      <x:c r="B291" s="13" t="str">
        <x:v>Food &amp; Beverages</x:v>
      </x:c>
      <x:c r="C291" s="16" t="n">
        <x:v>13208.7421166667</x:v>
      </x:c>
      <x:c r="D291" s="16" t="n">
        <x:v>13742.8089988493</x:v>
      </x:c>
      <x:c r="E291" s="16" t="n">
        <x:v>534.0668821826</x:v>
      </x:c>
      <x:c r="F291" s="23" t="n">
        <x:v>4</x:v>
      </x:c>
    </x:row>
    <x:row r="292">
      <x:c r="A292" s="15" t="n">
        <x:v>40909</x:v>
      </x:c>
      <x:c r="B292" s="13" t="str">
        <x:v>Health Care</x:v>
      </x:c>
      <x:c r="C292" s="16" t="n">
        <x:v>383.61716</x:v>
      </x:c>
      <x:c r="D292" s="16" t="n">
        <x:v>308.8779739178</x:v>
      </x:c>
      <x:c r="E292" s="16" t="n">
        <x:v>-74.7391860822</x:v>
      </x:c>
      <x:c r="F292" s="23" t="n">
        <x:v>1</x:v>
      </x:c>
    </x:row>
    <x:row r="293">
      <x:c r="A293" s="15" t="n">
        <x:v>40909</x:v>
      </x:c>
      <x:c r="B293" s="13" t="str">
        <x:v>Homebuilders</x:v>
      </x:c>
      <x:c r="C293" s="16" t="n">
        <x:v>4403.55032</x:v>
      </x:c>
      <x:c r="D293" s="16" t="n">
        <x:v>4307.2405843288</x:v>
      </x:c>
      <x:c r="E293" s="16" t="n">
        <x:v>-96.3097356712</x:v>
      </x:c>
      <x:c r="F293" s="23" t="n">
        <x:v>6</x:v>
      </x:c>
    </x:row>
    <x:row r="294">
      <x:c r="A294" s="15" t="n">
        <x:v>40909</x:v>
      </x:c>
      <x:c r="B294" s="13" t="str">
        <x:v>Income Properties</x:v>
      </x:c>
      <x:c r="C294" s="16" t="n">
        <x:v>475.9303413333</x:v>
      </x:c>
      <x:c r="D294" s="16" t="n">
        <x:v>486.6882275068</x:v>
      </x:c>
      <x:c r="E294" s="16" t="n">
        <x:v>10.7578861735</x:v>
      </x:c>
      <x:c r="F294" s="23" t="n">
        <x:v>1</x:v>
      </x:c>
    </x:row>
    <x:row r="295">
      <x:c r="A295" s="15" t="n">
        <x:v>40909</x:v>
      </x:c>
      <x:c r="B295" s="13" t="str">
        <x:v>Metals &amp; Mining</x:v>
      </x:c>
      <x:c r="C295" s="16" t="n">
        <x:v>52296.7375253333</x:v>
      </x:c>
      <x:c r="D295" s="16" t="n">
        <x:v>47599.3782220274</x:v>
      </x:c>
      <x:c r="E295" s="16" t="n">
        <x:v>-4697.3593033059</x:v>
      </x:c>
      <x:c r="F295" s="23" t="n">
        <x:v>8</x:v>
      </x:c>
    </x:row>
    <x:row r="296">
      <x:c r="A296" s="15" t="n">
        <x:v>40909</x:v>
      </x:c>
      <x:c r="B296" s="13" t="str">
        <x:v>Oil, Gas &amp; Petrochemicals</x:v>
      </x:c>
      <x:c r="C296" s="16" t="n">
        <x:v>43136.6703119121</x:v>
      </x:c>
      <x:c r="D296" s="16" t="n">
        <x:v>43008.4923006301</x:v>
      </x:c>
      <x:c r="E296" s="16" t="n">
        <x:v>-128.178011282</x:v>
      </x:c>
      <x:c r="F296" s="23" t="n">
        <x:v>5</x:v>
      </x:c>
    </x:row>
    <x:row r="297">
      <x:c r="A297" s="15" t="n">
        <x:v>40909</x:v>
      </x:c>
      <x:c r="B297" s="13" t="str">
        <x:v>Pulp &amp; Paper</x:v>
      </x:c>
      <x:c r="C297" s="16" t="n">
        <x:v>553.5241813333</x:v>
      </x:c>
      <x:c r="D297" s="16" t="n">
        <x:v>343.4343899178</x:v>
      </x:c>
      <x:c r="E297" s="16" t="n">
        <x:v>-210.0897914155</x:v>
      </x:c>
      <x:c r="F297" s="23" t="n">
        <x:v>2</x:v>
      </x:c>
    </x:row>
    <x:row r="298">
      <x:c r="A298" s="15" t="n">
        <x:v>40909</x:v>
      </x:c>
      <x:c r="B298" s="13" t="str">
        <x:v>Retail</x:v>
      </x:c>
      <x:c r="C298" s="16" t="n">
        <x:v>3112.6022716667</x:v>
      </x:c>
      <x:c r="D298" s="16" t="n">
        <x:v>3263.1562836164</x:v>
      </x:c>
      <x:c r="E298" s="16" t="n">
        <x:v>150.5540119498</x:v>
      </x:c>
      <x:c r="F298" s="23" t="n">
        <x:v>6</x:v>
      </x:c>
    </x:row>
    <x:row r="299">
      <x:c r="A299" s="15" t="n">
        <x:v>40909</x:v>
      </x:c>
      <x:c r="B299" s="13" t="str">
        <x:v>Sanitation</x:v>
      </x:c>
      <x:c r="C299" s="16" t="n">
        <x:v>1443.0082986667</x:v>
      </x:c>
      <x:c r="D299" s="16" t="n">
        <x:v>1561.8409749041</x:v>
      </x:c>
      <x:c r="E299" s="16" t="n">
        <x:v>118.8326762374</x:v>
      </x:c>
      <x:c r="F299" s="23" t="n">
        <x:v>1</x:v>
      </x:c>
    </x:row>
    <x:row r="300">
      <x:c r="A300" s="15" t="n">
        <x:v>40909</x:v>
      </x:c>
      <x:c r="B300" s="13" t="str">
        <x:v>TMT</x:v>
      </x:c>
      <x:c r="C300" s="16" t="n">
        <x:v>10091.3682826667</x:v>
      </x:c>
      <x:c r="D300" s="16" t="n">
        <x:v>10416.4095175891</x:v>
      </x:c>
      <x:c r="E300" s="16" t="n">
        <x:v>325.0412349224</x:v>
      </x:c>
      <x:c r="F300" s="23" t="n">
        <x:v>5</x:v>
      </x:c>
    </x:row>
    <x:row r="301">
      <x:c r="A301" s="15" t="n">
        <x:v>40909</x:v>
      </x:c>
      <x:c r="B301" s="13" t="str">
        <x:v>Transportation</x:v>
      </x:c>
      <x:c r="C301" s="16" t="n">
        <x:v>1634.9866266667</x:v>
      </x:c>
      <x:c r="D301" s="16" t="n">
        <x:v>1939.1856511781</x:v>
      </x:c>
      <x:c r="E301" s="16" t="n">
        <x:v>304.1990245114</x:v>
      </x:c>
      <x:c r="F301" s="23" t="n">
        <x:v>5</x:v>
      </x:c>
    </x:row>
    <x:row r="302">
      <x:c r="A302" s="15" t="n">
        <x:v>40909</x:v>
      </x:c>
      <x:c r="B302" s="13" t="str">
        <x:v>Utilities &amp; Energy</x:v>
      </x:c>
      <x:c r="C302" s="16" t="n">
        <x:v>15357.564128</x:v>
      </x:c>
      <x:c r="D302" s="16" t="n">
        <x:v>15516.1911465206</x:v>
      </x:c>
      <x:c r="E302" s="16" t="n">
        <x:v>158.6270185206</x:v>
      </x:c>
      <x:c r="F302" s="23" t="n">
        <x:v>9</x:v>
      </x:c>
    </x:row>
    <x:row r="303">
      <x:c r="A303" s="15" t="n">
        <x:v>40940</x:v>
      </x:c>
      <x:c r="B303" s="13" t="str">
        <x:v>Banks</x:v>
      </x:c>
      <x:c r="C303" s="16" t="n">
        <x:v>48285.6030454208</x:v>
      </x:c>
      <x:c r="D303" s="16" t="n">
        <x:v>48039.7144512877</x:v>
      </x:c>
      <x:c r="E303" s="16" t="n">
        <x:v>-245.8885941331</x:v>
      </x:c>
      <x:c r="F303" s="23" t="n">
        <x:v>4</x:v>
      </x:c>
    </x:row>
    <x:row r="304">
      <x:c r="A304" s="15" t="n">
        <x:v>40940</x:v>
      </x:c>
      <x:c r="B304" s="13" t="str">
        <x:v>Capital Goods</x:v>
      </x:c>
      <x:c r="C304" s="16" t="n">
        <x:v>798.6844037596</x:v>
      </x:c>
      <x:c r="D304" s="16" t="n">
        <x:v>781.0521072219</x:v>
      </x:c>
      <x:c r="E304" s="16" t="n">
        <x:v>-17.6322965376</x:v>
      </x:c>
      <x:c r="F304" s="23" t="n">
        <x:v>1</x:v>
      </x:c>
    </x:row>
    <x:row r="305">
      <x:c r="A305" s="15" t="n">
        <x:v>40940</x:v>
      </x:c>
      <x:c r="B305" s="13" t="str">
        <x:v>Financials Non-Banks</x:v>
      </x:c>
      <x:c r="C305" s="16" t="n">
        <x:v>10612.4957156721</x:v>
      </x:c>
      <x:c r="D305" s="16" t="n">
        <x:v>11296.3562190904</x:v>
      </x:c>
      <x:c r="E305" s="16" t="n">
        <x:v>683.8605034183</x:v>
      </x:c>
      <x:c r="F305" s="23" t="n">
        <x:v>4</x:v>
      </x:c>
    </x:row>
    <x:row r="306">
      <x:c r="A306" s="15" t="n">
        <x:v>40940</x:v>
      </x:c>
      <x:c r="B306" s="13" t="str">
        <x:v>Food &amp; Beverages</x:v>
      </x:c>
      <x:c r="C306" s="16" t="n">
        <x:v>13374.1401967432</x:v>
      </x:c>
      <x:c r="D306" s="16" t="n">
        <x:v>13970.3416185424</x:v>
      </x:c>
      <x:c r="E306" s="16" t="n">
        <x:v>596.2014217993</x:v>
      </x:c>
      <x:c r="F306" s="23" t="n">
        <x:v>4</x:v>
      </x:c>
    </x:row>
    <x:row r="307">
      <x:c r="A307" s="15" t="n">
        <x:v>40940</x:v>
      </x:c>
      <x:c r="B307" s="13" t="str">
        <x:v>Health Care</x:v>
      </x:c>
      <x:c r="C307" s="16" t="n">
        <x:v>292.5145780328</x:v>
      </x:c>
      <x:c r="D307" s="16" t="n">
        <x:v>322.2111878137</x:v>
      </x:c>
      <x:c r="E307" s="16" t="n">
        <x:v>29.6966097809</x:v>
      </x:c>
      <x:c r="F307" s="23" t="n">
        <x:v>1</x:v>
      </x:c>
    </x:row>
    <x:row r="308">
      <x:c r="A308" s="15" t="n">
        <x:v>40940</x:v>
      </x:c>
      <x:c r="B308" s="13" t="str">
        <x:v>Homebuilders</x:v>
      </x:c>
      <x:c r="C308" s="16" t="n">
        <x:v>4337.8536333115</x:v>
      </x:c>
      <x:c r="D308" s="16" t="n">
        <x:v>4123.8153657863</x:v>
      </x:c>
      <x:c r="E308" s="16" t="n">
        <x:v>-214.0382675252</x:v>
      </x:c>
      <x:c r="F308" s="23" t="n">
        <x:v>6</x:v>
      </x:c>
    </x:row>
    <x:row r="309">
      <x:c r="A309" s="15" t="n">
        <x:v>40940</x:v>
      </x:c>
      <x:c r="B309" s="13" t="str">
        <x:v>Income Properties</x:v>
      </x:c>
      <x:c r="C309" s="16" t="n">
        <x:v>485.3912752787</x:v>
      </x:c>
      <x:c r="D309" s="16" t="n">
        <x:v>495.145517589</x:v>
      </x:c>
      <x:c r="E309" s="16" t="n">
        <x:v>9.7542423104</x:v>
      </x:c>
      <x:c r="F309" s="23" t="n">
        <x:v>1</x:v>
      </x:c>
    </x:row>
    <x:row r="310">
      <x:c r="A310" s="15" t="n">
        <x:v>40940</x:v>
      </x:c>
      <x:c r="B310" s="13" t="str">
        <x:v>Metals &amp; Mining</x:v>
      </x:c>
      <x:c r="C310" s="16" t="n">
        <x:v>50877.1994895738</x:v>
      </x:c>
      <x:c r="D310" s="16" t="n">
        <x:v>43546.5760674192</x:v>
      </x:c>
      <x:c r="E310" s="16" t="n">
        <x:v>-7330.6234221546</x:v>
      </x:c>
      <x:c r="F310" s="23" t="n">
        <x:v>8</x:v>
      </x:c>
    </x:row>
    <x:row r="311">
      <x:c r="A311" s="15" t="n">
        <x:v>40940</x:v>
      </x:c>
      <x:c r="B311" s="13" t="str">
        <x:v>Oil, Gas &amp; Petrochemicals</x:v>
      </x:c>
      <x:c r="C311" s="16" t="n">
        <x:v>44217.4169989061</x:v>
      </x:c>
      <x:c r="D311" s="16" t="n">
        <x:v>40889.567195489</x:v>
      </x:c>
      <x:c r="E311" s="16" t="n">
        <x:v>-3327.8498034171</x:v>
      </x:c>
      <x:c r="F311" s="23" t="n">
        <x:v>5</x:v>
      </x:c>
    </x:row>
    <x:row r="312">
      <x:c r="A312" s="15" t="n">
        <x:v>40940</x:v>
      </x:c>
      <x:c r="B312" s="13" t="str">
        <x:v>Pulp &amp; Paper</x:v>
      </x:c>
      <x:c r="C312" s="16" t="n">
        <x:v>455.9968316503</x:v>
      </x:c>
      <x:c r="D312" s="16" t="n">
        <x:v>261.1009436932</x:v>
      </x:c>
      <x:c r="E312" s="16" t="n">
        <x:v>-194.8958879571</x:v>
      </x:c>
      <x:c r="F312" s="23" t="n">
        <x:v>2</x:v>
      </x:c>
    </x:row>
    <x:row r="313">
      <x:c r="A313" s="15" t="n">
        <x:v>40940</x:v>
      </x:c>
      <x:c r="B313" s="13" t="str">
        <x:v>Retail</x:v>
      </x:c>
      <x:c r="C313" s="16" t="n">
        <x:v>3141.0778302842</x:v>
      </x:c>
      <x:c r="D313" s="16" t="n">
        <x:v>3294.1503538849</x:v>
      </x:c>
      <x:c r="E313" s="16" t="n">
        <x:v>153.0725236008</x:v>
      </x:c>
      <x:c r="F313" s="23" t="n">
        <x:v>6</x:v>
      </x:c>
    </x:row>
    <x:row r="314">
      <x:c r="A314" s="15" t="n">
        <x:v>40940</x:v>
      </x:c>
      <x:c r="B314" s="13" t="str">
        <x:v>Sanitation</x:v>
      </x:c>
      <x:c r="C314" s="16" t="n">
        <x:v>1462.2475729836</x:v>
      </x:c>
      <x:c r="D314" s="16" t="n">
        <x:v>1630.0933895014</x:v>
      </x:c>
      <x:c r="E314" s="16" t="n">
        <x:v>167.8458165178</x:v>
      </x:c>
      <x:c r="F314" s="23" t="n">
        <x:v>1</x:v>
      </x:c>
    </x:row>
    <x:row r="315">
      <x:c r="A315" s="15" t="n">
        <x:v>40940</x:v>
      </x:c>
      <x:c r="B315" s="13" t="str">
        <x:v>TMT</x:v>
      </x:c>
      <x:c r="C315" s="16" t="n">
        <x:v>10404.0837104262</x:v>
      </x:c>
      <x:c r="D315" s="16" t="n">
        <x:v>10173.7573489973</x:v>
      </x:c>
      <x:c r="E315" s="16" t="n">
        <x:v>-230.326361429</x:v>
      </x:c>
      <x:c r="F315" s="23" t="n">
        <x:v>5</x:v>
      </x:c>
    </x:row>
    <x:row r="316">
      <x:c r="A316" s="15" t="n">
        <x:v>40940</x:v>
      </x:c>
      <x:c r="B316" s="13" t="str">
        <x:v>Transportation</x:v>
      </x:c>
      <x:c r="C316" s="16" t="n">
        <x:v>1733.3907796721</x:v>
      </x:c>
      <x:c r="D316" s="16" t="n">
        <x:v>1985.5988485699</x:v>
      </x:c>
      <x:c r="E316" s="16" t="n">
        <x:v>252.2080688977</x:v>
      </x:c>
      <x:c r="F316" s="23" t="n">
        <x:v>5</x:v>
      </x:c>
    </x:row>
    <x:row r="317">
      <x:c r="A317" s="15" t="n">
        <x:v>40940</x:v>
      </x:c>
      <x:c r="B317" s="13" t="str">
        <x:v>Utilities &amp; Energy</x:v>
      </x:c>
      <x:c r="C317" s="16" t="n">
        <x:v>15194.8291446557</x:v>
      </x:c>
      <x:c r="D317" s="16" t="n">
        <x:v>15639.3812992877</x:v>
      </x:c>
      <x:c r="E317" s="16" t="n">
        <x:v>444.5521546319</x:v>
      </x:c>
      <x:c r="F317" s="23" t="n">
        <x:v>9</x:v>
      </x:c>
    </x:row>
    <x:row r="318">
      <x:c r="A318" s="15" t="n">
        <x:v>40969</x:v>
      </x:c>
      <x:c r="B318" s="13" t="str">
        <x:v>Banks</x:v>
      </x:c>
      <x:c r="C318" s="16" t="n">
        <x:v>47864.6701366558</x:v>
      </x:c>
      <x:c r="D318" s="16" t="n">
        <x:v>48595.1398715617</x:v>
      </x:c>
      <x:c r="E318" s="16" t="n">
        <x:v>730.4697349059</x:v>
      </x:c>
      <x:c r="F318" s="23" t="n">
        <x:v>4</x:v>
      </x:c>
    </x:row>
    <x:row r="319">
      <x:c r="A319" s="15" t="n">
        <x:v>40969</x:v>
      </x:c>
      <x:c r="B319" s="13" t="str">
        <x:v>Capital Goods</x:v>
      </x:c>
      <x:c r="C319" s="16" t="n">
        <x:v>819.3617070164</x:v>
      </x:c>
      <x:c r="D319" s="16" t="n">
        <x:v>828.0582208877</x:v>
      </x:c>
      <x:c r="E319" s="16" t="n">
        <x:v>8.6965138713</x:v>
      </x:c>
      <x:c r="F319" s="23" t="n">
        <x:v>1</x:v>
      </x:c>
    </x:row>
    <x:row r="320">
      <x:c r="A320" s="15" t="n">
        <x:v>40969</x:v>
      </x:c>
      <x:c r="B320" s="13" t="str">
        <x:v>Financials Non-Banks</x:v>
      </x:c>
      <x:c r="C320" s="16" t="n">
        <x:v>10817.6752143388</x:v>
      </x:c>
      <x:c r="D320" s="16" t="n">
        <x:v>11427.9787362192</x:v>
      </x:c>
      <x:c r="E320" s="16" t="n">
        <x:v>610.3035218804</x:v>
      </x:c>
      <x:c r="F320" s="23" t="n">
        <x:v>4</x:v>
      </x:c>
    </x:row>
    <x:row r="321">
      <x:c r="A321" s="15" t="n">
        <x:v>40969</x:v>
      </x:c>
      <x:c r="B321" s="13" t="str">
        <x:v>Food &amp; Beverages</x:v>
      </x:c>
      <x:c r="C321" s="16" t="n">
        <x:v>13596.4022820328</x:v>
      </x:c>
      <x:c r="D321" s="16" t="n">
        <x:v>14719.9006673534</x:v>
      </x:c>
      <x:c r="E321" s="16" t="n">
        <x:v>1123.4983853207</x:v>
      </x:c>
      <x:c r="F321" s="23" t="n">
        <x:v>4</x:v>
      </x:c>
    </x:row>
    <x:row r="322">
      <x:c r="A322" s="15" t="n">
        <x:v>40969</x:v>
      </x:c>
      <x:c r="B322" s="13" t="str">
        <x:v>Health Care</x:v>
      </x:c>
      <x:c r="C322" s="16" t="n">
        <x:v>293.7991712295</x:v>
      </x:c>
      <x:c r="D322" s="16" t="n">
        <x:v>324.3913624548</x:v>
      </x:c>
      <x:c r="E322" s="16" t="n">
        <x:v>30.5921912253</x:v>
      </x:c>
      <x:c r="F322" s="23" t="n">
        <x:v>1</x:v>
      </x:c>
    </x:row>
    <x:row r="323">
      <x:c r="A323" s="15" t="n">
        <x:v>40969</x:v>
      </x:c>
      <x:c r="B323" s="13" t="str">
        <x:v>Homebuilders</x:v>
      </x:c>
      <x:c r="C323" s="16" t="n">
        <x:v>4407.5276594535</x:v>
      </x:c>
      <x:c r="D323" s="16" t="n">
        <x:v>4166.378259463</x:v>
      </x:c>
      <x:c r="E323" s="16" t="n">
        <x:v>-241.1493999905</x:v>
      </x:c>
      <x:c r="F323" s="23" t="n">
        <x:v>6</x:v>
      </x:c>
    </x:row>
    <x:row r="324">
      <x:c r="A324" s="15" t="n">
        <x:v>40969</x:v>
      </x:c>
      <x:c r="B324" s="13" t="str">
        <x:v>Income Properties</x:v>
      </x:c>
      <x:c r="C324" s="16" t="n">
        <x:v>485.7447106448</x:v>
      </x:c>
      <x:c r="D324" s="16" t="n">
        <x:v>508.2415005808</x:v>
      </x:c>
      <x:c r="E324" s="16" t="n">
        <x:v>22.496789936</x:v>
      </x:c>
      <x:c r="F324" s="23" t="n">
        <x:v>1</x:v>
      </x:c>
    </x:row>
    <x:row r="325">
      <x:c r="A325" s="15" t="n">
        <x:v>40969</x:v>
      </x:c>
      <x:c r="B325" s="13" t="str">
        <x:v>Metals &amp; Mining</x:v>
      </x:c>
      <x:c r="C325" s="16" t="n">
        <x:v>49360.5308252677</x:v>
      </x:c>
      <x:c r="D325" s="16" t="n">
        <x:v>43314.3436044274</x:v>
      </x:c>
      <x:c r="E325" s="16" t="n">
        <x:v>-6046.1872208403</x:v>
      </x:c>
      <x:c r="F325" s="23" t="n">
        <x:v>8</x:v>
      </x:c>
    </x:row>
    <x:row r="326">
      <x:c r="A326" s="15" t="n">
        <x:v>40969</x:v>
      </x:c>
      <x:c r="B326" s="13" t="str">
        <x:v>Oil, Gas &amp; Petrochemicals</x:v>
      </x:c>
      <x:c r="C326" s="16" t="n">
        <x:v>43362.6596352211</x:v>
      </x:c>
      <x:c r="D326" s="16" t="n">
        <x:v>40442.7332083192</x:v>
      </x:c>
      <x:c r="E326" s="16" t="n">
        <x:v>-2919.9264269019</x:v>
      </x:c>
      <x:c r="F326" s="23" t="n">
        <x:v>5</x:v>
      </x:c>
    </x:row>
    <x:row r="327">
      <x:c r="A327" s="15" t="n">
        <x:v>40969</x:v>
      </x:c>
      <x:c r="B327" s="13" t="str">
        <x:v>Pulp &amp; Paper</x:v>
      </x:c>
      <x:c r="C327" s="16" t="n">
        <x:v>349.9285314208</x:v>
      </x:c>
      <x:c r="D327" s="16" t="n">
        <x:v>190.8094303562</x:v>
      </x:c>
      <x:c r="E327" s="16" t="n">
        <x:v>-159.1191010646</x:v>
      </x:c>
      <x:c r="F327" s="23" t="n">
        <x:v>2</x:v>
      </x:c>
    </x:row>
    <x:row r="328">
      <x:c r="A328" s="15" t="n">
        <x:v>40969</x:v>
      </x:c>
      <x:c r="B328" s="13" t="str">
        <x:v>Retail</x:v>
      </x:c>
      <x:c r="C328" s="16" t="n">
        <x:v>3212.2311453115</x:v>
      </x:c>
      <x:c r="D328" s="16" t="n">
        <x:v>3349.9708112877</x:v>
      </x:c>
      <x:c r="E328" s="16" t="n">
        <x:v>137.7396659762</x:v>
      </x:c>
      <x:c r="F328" s="23" t="n">
        <x:v>6</x:v>
      </x:c>
    </x:row>
    <x:row r="329">
      <x:c r="A329" s="15" t="n">
        <x:v>40969</x:v>
      </x:c>
      <x:c r="B329" s="13" t="str">
        <x:v>Sanitation</x:v>
      </x:c>
      <x:c r="C329" s="16" t="n">
        <x:v>1482.1951139672</x:v>
      </x:c>
      <x:c r="D329" s="16" t="n">
        <x:v>1667.1211670795</x:v>
      </x:c>
      <x:c r="E329" s="16" t="n">
        <x:v>184.9260531122</x:v>
      </x:c>
      <x:c r="F329" s="23" t="n">
        <x:v>1</x:v>
      </x:c>
    </x:row>
    <x:row r="330">
      <x:c r="A330" s="15" t="n">
        <x:v>40969</x:v>
      </x:c>
      <x:c r="B330" s="13" t="str">
        <x:v>TMT</x:v>
      </x:c>
      <x:c r="C330" s="16" t="n">
        <x:v>10549.001969224</x:v>
      </x:c>
      <x:c r="D330" s="16" t="n">
        <x:v>10293.4294212384</x:v>
      </x:c>
      <x:c r="E330" s="16" t="n">
        <x:v>-255.5725479857</x:v>
      </x:c>
      <x:c r="F330" s="23" t="n">
        <x:v>5</x:v>
      </x:c>
    </x:row>
    <x:row r="331">
      <x:c r="A331" s="15" t="n">
        <x:v>40969</x:v>
      </x:c>
      <x:c r="B331" s="13" t="str">
        <x:v>Transportation</x:v>
      </x:c>
      <x:c r="C331" s="16" t="n">
        <x:v>1863.4704254863</x:v>
      </x:c>
      <x:c r="D331" s="16" t="n">
        <x:v>2018.8032608</x:v>
      </x:c>
      <x:c r="E331" s="16" t="n">
        <x:v>155.3328353137</x:v>
      </x:c>
      <x:c r="F331" s="23" t="n">
        <x:v>5</x:v>
      </x:c>
    </x:row>
    <x:row r="332">
      <x:c r="A332" s="15" t="n">
        <x:v>40969</x:v>
      </x:c>
      <x:c r="B332" s="13" t="str">
        <x:v>Utilities &amp; Energy</x:v>
      </x:c>
      <x:c r="C332" s="16" t="n">
        <x:v>15137.4347126557</x:v>
      </x:c>
      <x:c r="D332" s="16" t="n">
        <x:v>15554.9984674192</x:v>
      </x:c>
      <x:c r="E332" s="16" t="n">
        <x:v>417.5637547634</x:v>
      </x:c>
      <x:c r="F332" s="23" t="n">
        <x:v>9</x:v>
      </x:c>
    </x:row>
    <x:row r="333">
      <x:c r="A333" s="15" t="n">
        <x:v>41000</x:v>
      </x:c>
      <x:c r="B333" s="13" t="str">
        <x:v>Banks</x:v>
      </x:c>
      <x:c r="C333" s="16" t="n">
        <x:v>47667.9176837261</x:v>
      </x:c>
      <x:c r="D333" s="16" t="n">
        <x:v>48132.2215592328</x:v>
      </x:c>
      <x:c r="E333" s="16" t="n">
        <x:v>464.3038755068</x:v>
      </x:c>
      <x:c r="F333" s="23" t="n">
        <x:v>4</x:v>
      </x:c>
    </x:row>
    <x:row r="334">
      <x:c r="A334" s="15" t="n">
        <x:v>41000</x:v>
      </x:c>
      <x:c r="B334" s="13" t="str">
        <x:v>Capital Goods</x:v>
      </x:c>
      <x:c r="C334" s="16" t="n">
        <x:v>813.6378012055</x:v>
      </x:c>
      <x:c r="D334" s="16" t="n">
        <x:v>922.8173667945</x:v>
      </x:c>
      <x:c r="E334" s="16" t="n">
        <x:v>109.179565589</x:v>
      </x:c>
      <x:c r="F334" s="23" t="n">
        <x:v>1</x:v>
      </x:c>
    </x:row>
    <x:row r="335">
      <x:c r="A335" s="15" t="n">
        <x:v>41000</x:v>
      </x:c>
      <x:c r="B335" s="13" t="str">
        <x:v>Financials Non-Banks</x:v>
      </x:c>
      <x:c r="C335" s="16" t="n">
        <x:v>11019.1661027945</x:v>
      </x:c>
      <x:c r="D335" s="16" t="n">
        <x:v>11469.075257863</x:v>
      </x:c>
      <x:c r="E335" s="16" t="n">
        <x:v>449.9091550685</x:v>
      </x:c>
      <x:c r="F335" s="23" t="n">
        <x:v>4</x:v>
      </x:c>
    </x:row>
    <x:row r="336">
      <x:c r="A336" s="15" t="n">
        <x:v>41000</x:v>
      </x:c>
      <x:c r="B336" s="13" t="str">
        <x:v>Food &amp; Beverages</x:v>
      </x:c>
      <x:c r="C336" s="16" t="n">
        <x:v>13742.8089988493</x:v>
      </x:c>
      <x:c r="D336" s="16" t="n">
        <x:v>14227.7357867397</x:v>
      </x:c>
      <x:c r="E336" s="16" t="n">
        <x:v>484.9267878904</x:v>
      </x:c>
      <x:c r="F336" s="23" t="n">
        <x:v>4</x:v>
      </x:c>
    </x:row>
    <x:row r="337">
      <x:c r="A337" s="15" t="n">
        <x:v>41000</x:v>
      </x:c>
      <x:c r="B337" s="13" t="str">
        <x:v>Health Care</x:v>
      </x:c>
      <x:c r="C337" s="16" t="n">
        <x:v>622.4507480548</x:v>
      </x:c>
      <x:c r="D337" s="16" t="n">
        <x:v>639.0607754521</x:v>
      </x:c>
      <x:c r="E337" s="16" t="n">
        <x:v>16.6100273973</x:v>
      </x:c>
      <x:c r="F337" s="23" t="n">
        <x:v>2</x:v>
      </x:c>
    </x:row>
    <x:row r="338">
      <x:c r="A338" s="15" t="n">
        <x:v>41000</x:v>
      </x:c>
      <x:c r="B338" s="13" t="str">
        <x:v>Homebuilders</x:v>
      </x:c>
      <x:c r="C338" s="16" t="n">
        <x:v>4307.2405843288</x:v>
      </x:c>
      <x:c r="D338" s="16" t="n">
        <x:v>4023.4506139178</x:v>
      </x:c>
      <x:c r="E338" s="16" t="n">
        <x:v>-283.789970411</x:v>
      </x:c>
      <x:c r="F338" s="23" t="n">
        <x:v>6</x:v>
      </x:c>
    </x:row>
    <x:row r="339">
      <x:c r="A339" s="15" t="n">
        <x:v>41000</x:v>
      </x:c>
      <x:c r="B339" s="13" t="str">
        <x:v>Income Properties</x:v>
      </x:c>
      <x:c r="C339" s="16" t="n">
        <x:v>486.6882275068</x:v>
      </x:c>
      <x:c r="D339" s="16" t="n">
        <x:v>499.7701834521</x:v>
      </x:c>
      <x:c r="E339" s="16" t="n">
        <x:v>13.0819559452</x:v>
      </x:c>
      <x:c r="F339" s="23" t="n">
        <x:v>1</x:v>
      </x:c>
    </x:row>
    <x:row r="340">
      <x:c r="A340" s="15" t="n">
        <x:v>41000</x:v>
      </x:c>
      <x:c r="B340" s="13" t="str">
        <x:v>Metals &amp; Mining</x:v>
      </x:c>
      <x:c r="C340" s="16" t="n">
        <x:v>47599.3782220274</x:v>
      </x:c>
      <x:c r="D340" s="16" t="n">
        <x:v>43007.497425863</x:v>
      </x:c>
      <x:c r="E340" s="16" t="n">
        <x:v>-4591.8807961644</x:v>
      </x:c>
      <x:c r="F340" s="23" t="n">
        <x:v>8</x:v>
      </x:c>
    </x:row>
    <x:row r="341">
      <x:c r="A341" s="15" t="n">
        <x:v>41000</x:v>
      </x:c>
      <x:c r="B341" s="13" t="str">
        <x:v>Oil, Gas &amp; Petrochemicals</x:v>
      </x:c>
      <x:c r="C341" s="16" t="n">
        <x:v>42437.7419866301</x:v>
      </x:c>
      <x:c r="D341" s="16" t="n">
        <x:v>39002.3683791781</x:v>
      </x:c>
      <x:c r="E341" s="16" t="n">
        <x:v>-3435.373607452</x:v>
      </x:c>
      <x:c r="F341" s="23" t="n">
        <x:v>4</x:v>
      </x:c>
    </x:row>
    <x:row r="342">
      <x:c r="A342" s="15" t="n">
        <x:v>41000</x:v>
      </x:c>
      <x:c r="B342" s="13" t="str">
        <x:v>Pulp &amp; Paper</x:v>
      </x:c>
      <x:c r="C342" s="16" t="n">
        <x:v>343.4343899178</x:v>
      </x:c>
      <x:c r="D342" s="16" t="n">
        <x:v>250.3325288767</x:v>
      </x:c>
      <x:c r="E342" s="16" t="n">
        <x:v>-93.1018610411</x:v>
      </x:c>
      <x:c r="F342" s="23" t="n">
        <x:v>2</x:v>
      </x:c>
    </x:row>
    <x:row r="343">
      <x:c r="A343" s="15" t="n">
        <x:v>41000</x:v>
      </x:c>
      <x:c r="B343" s="13" t="str">
        <x:v>Retail</x:v>
      </x:c>
      <x:c r="C343" s="16" t="n">
        <x:v>3263.1562836164</x:v>
      </x:c>
      <x:c r="D343" s="16" t="n">
        <x:v>3383.8094179178</x:v>
      </x:c>
      <x:c r="E343" s="16" t="n">
        <x:v>120.6531343014</x:v>
      </x:c>
      <x:c r="F343" s="23" t="n">
        <x:v>6</x:v>
      </x:c>
    </x:row>
    <x:row r="344">
      <x:c r="A344" s="15" t="n">
        <x:v>41000</x:v>
      </x:c>
      <x:c r="B344" s="13" t="str">
        <x:v>Sanitation</x:v>
      </x:c>
      <x:c r="C344" s="16" t="n">
        <x:v>1561.8409749041</x:v>
      </x:c>
      <x:c r="D344" s="16" t="n">
        <x:v>1706.794520548</x:v>
      </x:c>
      <x:c r="E344" s="16" t="n">
        <x:v>144.9535456438</x:v>
      </x:c>
      <x:c r="F344" s="23" t="n">
        <x:v>1</x:v>
      </x:c>
    </x:row>
    <x:row r="345">
      <x:c r="A345" s="15" t="n">
        <x:v>41000</x:v>
      </x:c>
      <x:c r="B345" s="13" t="str">
        <x:v>TMT</x:v>
      </x:c>
      <x:c r="C345" s="16" t="n">
        <x:v>8372.2916190685</x:v>
      </x:c>
      <x:c r="D345" s="16" t="n">
        <x:v>7775.4712311233</x:v>
      </x:c>
      <x:c r="E345" s="16" t="n">
        <x:v>-596.8203879452</x:v>
      </x:c>
      <x:c r="F345" s="23" t="n">
        <x:v>3</x:v>
      </x:c>
    </x:row>
    <x:row r="346">
      <x:c r="A346" s="15" t="n">
        <x:v>41000</x:v>
      </x:c>
      <x:c r="B346" s="13" t="str">
        <x:v>Transportation</x:v>
      </x:c>
      <x:c r="C346" s="16" t="n">
        <x:v>2298.9550363836</x:v>
      </x:c>
      <x:c r="D346" s="16" t="n">
        <x:v>2339.8650120548</x:v>
      </x:c>
      <x:c r="E346" s="16" t="n">
        <x:v>40.9099756712</x:v>
      </x:c>
      <x:c r="F346" s="23" t="n">
        <x:v>6</x:v>
      </x:c>
    </x:row>
    <x:row r="347">
      <x:c r="A347" s="15" t="n">
        <x:v>41000</x:v>
      </x:c>
      <x:c r="B347" s="13" t="str">
        <x:v>Utilities &amp; Energy</x:v>
      </x:c>
      <x:c r="C347" s="16" t="n">
        <x:v>15516.1911465206</x:v>
      </x:c>
      <x:c r="D347" s="16" t="n">
        <x:v>16085.6332611507</x:v>
      </x:c>
      <x:c r="E347" s="16" t="n">
        <x:v>569.4421146301</x:v>
      </x:c>
      <x:c r="F347" s="23" t="n">
        <x:v>9</x:v>
      </x:c>
    </x:row>
    <x:row r="348">
      <x:c r="A348" s="15" t="n">
        <x:v>41030</x:v>
      </x:c>
      <x:c r="B348" s="13" t="str">
        <x:v>Banks</x:v>
      </x:c>
      <x:c r="C348" s="16" t="n">
        <x:v>48039.7144512877</x:v>
      </x:c>
      <x:c r="D348" s="16" t="n">
        <x:v>47860.1413084932</x:v>
      </x:c>
      <x:c r="E348" s="16" t="n">
        <x:v>-179.5731427945</x:v>
      </x:c>
      <x:c r="F348" s="23" t="n">
        <x:v>4</x:v>
      </x:c>
    </x:row>
    <x:row r="349">
      <x:c r="A349" s="15" t="n">
        <x:v>41030</x:v>
      </x:c>
      <x:c r="B349" s="13" t="str">
        <x:v>Capital Goods</x:v>
      </x:c>
      <x:c r="C349" s="16" t="n">
        <x:v>781.0521072219</x:v>
      </x:c>
      <x:c r="D349" s="16" t="n">
        <x:v>958.0304987178</x:v>
      </x:c>
      <x:c r="E349" s="16" t="n">
        <x:v>176.9783914959</x:v>
      </x:c>
      <x:c r="F349" s="23" t="n">
        <x:v>1</x:v>
      </x:c>
    </x:row>
    <x:row r="350">
      <x:c r="A350" s="15" t="n">
        <x:v>41030</x:v>
      </x:c>
      <x:c r="B350" s="13" t="str">
        <x:v>Financials Non-Banks</x:v>
      </x:c>
      <x:c r="C350" s="16" t="n">
        <x:v>11296.3562190904</x:v>
      </x:c>
      <x:c r="D350" s="16" t="n">
        <x:v>11059.335008789</x:v>
      </x:c>
      <x:c r="E350" s="16" t="n">
        <x:v>-237.0212103014</x:v>
      </x:c>
      <x:c r="F350" s="23" t="n">
        <x:v>4</x:v>
      </x:c>
    </x:row>
    <x:row r="351">
      <x:c r="A351" s="15" t="n">
        <x:v>41030</x:v>
      </x:c>
      <x:c r="B351" s="13" t="str">
        <x:v>Food &amp; Beverages</x:v>
      </x:c>
      <x:c r="C351" s="16" t="n">
        <x:v>13970.3416185424</x:v>
      </x:c>
      <x:c r="D351" s="16" t="n">
        <x:v>14350.7797697315</x:v>
      </x:c>
      <x:c r="E351" s="16" t="n">
        <x:v>380.4381511891</x:v>
      </x:c>
      <x:c r="F351" s="23" t="n">
        <x:v>4</x:v>
      </x:c>
    </x:row>
    <x:row r="352">
      <x:c r="A352" s="15" t="n">
        <x:v>41030</x:v>
      </x:c>
      <x:c r="B352" s="13" t="str">
        <x:v>Health Care</x:v>
      </x:c>
      <x:c r="C352" s="16" t="n">
        <x:v>630.4949231342</x:v>
      </x:c>
      <x:c r="D352" s="16" t="n">
        <x:v>593.3003264877</x:v>
      </x:c>
      <x:c r="E352" s="16" t="n">
        <x:v>-37.1945966466</x:v>
      </x:c>
      <x:c r="F352" s="23" t="n">
        <x:v>2</x:v>
      </x:c>
    </x:row>
    <x:row r="353">
      <x:c r="A353" s="15" t="n">
        <x:v>41030</x:v>
      </x:c>
      <x:c r="B353" s="13" t="str">
        <x:v>Homebuilders</x:v>
      </x:c>
      <x:c r="C353" s="16" t="n">
        <x:v>4123.8153657863</x:v>
      </x:c>
      <x:c r="D353" s="16" t="n">
        <x:v>3672.1191416986</x:v>
      </x:c>
      <x:c r="E353" s="16" t="n">
        <x:v>-451.6962240877</x:v>
      </x:c>
      <x:c r="F353" s="23" t="n">
        <x:v>6</x:v>
      </x:c>
    </x:row>
    <x:row r="354">
      <x:c r="A354" s="15" t="n">
        <x:v>41030</x:v>
      </x:c>
      <x:c r="B354" s="13" t="str">
        <x:v>Income Properties</x:v>
      </x:c>
      <x:c r="C354" s="16" t="n">
        <x:v>495.145517589</x:v>
      </x:c>
      <x:c r="D354" s="16" t="n">
        <x:v>508.7625258082</x:v>
      </x:c>
      <x:c r="E354" s="16" t="n">
        <x:v>13.6170082192</x:v>
      </x:c>
      <x:c r="F354" s="23" t="n">
        <x:v>1</x:v>
      </x:c>
    </x:row>
    <x:row r="355">
      <x:c r="A355" s="15" t="n">
        <x:v>41030</x:v>
      </x:c>
      <x:c r="B355" s="13" t="str">
        <x:v>Metals &amp; Mining</x:v>
      </x:c>
      <x:c r="C355" s="16" t="n">
        <x:v>43546.5760674192</x:v>
      </x:c>
      <x:c r="D355" s="16" t="n">
        <x:v>43150.3878473643</x:v>
      </x:c>
      <x:c r="E355" s="16" t="n">
        <x:v>-396.1882200548</x:v>
      </x:c>
      <x:c r="F355" s="23" t="n">
        <x:v>8</x:v>
      </x:c>
    </x:row>
    <x:row r="356">
      <x:c r="A356" s="15" t="n">
        <x:v>41030</x:v>
      </x:c>
      <x:c r="B356" s="13" t="str">
        <x:v>Oil, Gas &amp; Petrochemicals</x:v>
      </x:c>
      <x:c r="C356" s="16" t="n">
        <x:v>40367.902573589</x:v>
      </x:c>
      <x:c r="D356" s="16" t="n">
        <x:v>38628.0325595178</x:v>
      </x:c>
      <x:c r="E356" s="16" t="n">
        <x:v>-1739.8700140712</x:v>
      </x:c>
      <x:c r="F356" s="23" t="n">
        <x:v>4</x:v>
      </x:c>
    </x:row>
    <x:row r="357">
      <x:c r="A357" s="15" t="n">
        <x:v>41030</x:v>
      </x:c>
      <x:c r="B357" s="13" t="str">
        <x:v>Pulp &amp; Paper</x:v>
      </x:c>
      <x:c r="C357" s="16" t="n">
        <x:v>261.1009436932</x:v>
      </x:c>
      <x:c r="D357" s="16" t="n">
        <x:v>246.3428720219</x:v>
      </x:c>
      <x:c r="E357" s="16" t="n">
        <x:v>-14.7580716712</x:v>
      </x:c>
      <x:c r="F357" s="23" t="n">
        <x:v>2</x:v>
      </x:c>
    </x:row>
    <x:row r="358">
      <x:c r="A358" s="15" t="n">
        <x:v>41030</x:v>
      </x:c>
      <x:c r="B358" s="13" t="str">
        <x:v>Retail</x:v>
      </x:c>
      <x:c r="C358" s="16" t="n">
        <x:v>3294.1503538849</x:v>
      </x:c>
      <x:c r="D358" s="16" t="n">
        <x:v>3354.847107989</x:v>
      </x:c>
      <x:c r="E358" s="16" t="n">
        <x:v>60.6967541041</x:v>
      </x:c>
      <x:c r="F358" s="23" t="n">
        <x:v>6</x:v>
      </x:c>
    </x:row>
    <x:row r="359">
      <x:c r="A359" s="15" t="n">
        <x:v>41030</x:v>
      </x:c>
      <x:c r="B359" s="13" t="str">
        <x:v>Sanitation</x:v>
      </x:c>
      <x:c r="C359" s="16" t="n">
        <x:v>1630.0933895014</x:v>
      </x:c>
      <x:c r="D359" s="16" t="n">
        <x:v>1735.4054719123</x:v>
      </x:c>
      <x:c r="E359" s="16" t="n">
        <x:v>105.312082411</x:v>
      </x:c>
      <x:c r="F359" s="23" t="n">
        <x:v>1</x:v>
      </x:c>
    </x:row>
    <x:row r="360">
      <x:c r="A360" s="15" t="n">
        <x:v>41030</x:v>
      </x:c>
      <x:c r="B360" s="13" t="str">
        <x:v>TMT</x:v>
      </x:c>
      <x:c r="C360" s="16" t="n">
        <x:v>8147.6656384</x:v>
      </x:c>
      <x:c r="D360" s="16" t="n">
        <x:v>7689.9083456877</x:v>
      </x:c>
      <x:c r="E360" s="16" t="n">
        <x:v>-457.7572927123</x:v>
      </x:c>
      <x:c r="F360" s="23" t="n">
        <x:v>3</x:v>
      </x:c>
    </x:row>
    <x:row r="361">
      <x:c r="A361" s="15" t="n">
        <x:v>41030</x:v>
      </x:c>
      <x:c r="B361" s="13" t="str">
        <x:v>Transportation</x:v>
      </x:c>
      <x:c r="C361" s="16" t="n">
        <x:v>2352.9772976658</x:v>
      </x:c>
      <x:c r="D361" s="16" t="n">
        <x:v>2314.5695565151</x:v>
      </x:c>
      <x:c r="E361" s="16" t="n">
        <x:v>-38.4077411507</x:v>
      </x:c>
      <x:c r="F361" s="23" t="n">
        <x:v>6</x:v>
      </x:c>
    </x:row>
    <x:row r="362">
      <x:c r="A362" s="15" t="n">
        <x:v>41030</x:v>
      </x:c>
      <x:c r="B362" s="13" t="str">
        <x:v>Utilities &amp; Energy</x:v>
      </x:c>
      <x:c r="C362" s="16" t="n">
        <x:v>15639.3812992877</x:v>
      </x:c>
      <x:c r="D362" s="16" t="n">
        <x:v>16372.9201804274</x:v>
      </x:c>
      <x:c r="E362" s="16" t="n">
        <x:v>733.5388811397</x:v>
      </x:c>
      <x:c r="F362" s="23" t="n">
        <x:v>9</x:v>
      </x:c>
    </x:row>
    <x:row r="363">
      <x:c r="A363" s="15" t="n">
        <x:v>41061</x:v>
      </x:c>
      <x:c r="B363" s="13" t="str">
        <x:v>Banks</x:v>
      </x:c>
      <x:c r="C363" s="16" t="n">
        <x:v>48595.1398715617</x:v>
      </x:c>
      <x:c r="D363" s="16" t="n">
        <x:v>47610.9317049863</x:v>
      </x:c>
      <x:c r="E363" s="16" t="n">
        <x:v>-984.2081665754</x:v>
      </x:c>
      <x:c r="F363" s="23" t="n">
        <x:v>4</x:v>
      </x:c>
    </x:row>
    <x:row r="364">
      <x:c r="A364" s="15" t="n">
        <x:v>41061</x:v>
      </x:c>
      <x:c r="B364" s="13" t="str">
        <x:v>Capital Goods</x:v>
      </x:c>
      <x:c r="C364" s="16" t="n">
        <x:v>828.0582208877</x:v>
      </x:c>
      <x:c r="D364" s="16" t="n">
        <x:v>986.561612274</x:v>
      </x:c>
      <x:c r="E364" s="16" t="n">
        <x:v>158.5033913863</x:v>
      </x:c>
      <x:c r="F364" s="23" t="n">
        <x:v>1</x:v>
      </x:c>
    </x:row>
    <x:row r="365">
      <x:c r="A365" s="15" t="n">
        <x:v>41061</x:v>
      </x:c>
      <x:c r="B365" s="13" t="str">
        <x:v>Financials Non-Banks</x:v>
      </x:c>
      <x:c r="C365" s="16" t="n">
        <x:v>11427.9787362192</x:v>
      </x:c>
      <x:c r="D365" s="16" t="n">
        <x:v>10984.3823710685</x:v>
      </x:c>
      <x:c r="E365" s="16" t="n">
        <x:v>-443.5963651507</x:v>
      </x:c>
      <x:c r="F365" s="23" t="n">
        <x:v>4</x:v>
      </x:c>
    </x:row>
    <x:row r="366">
      <x:c r="A366" s="15" t="n">
        <x:v>41061</x:v>
      </x:c>
      <x:c r="B366" s="13" t="str">
        <x:v>Food &amp; Beverages</x:v>
      </x:c>
      <x:c r="C366" s="16" t="n">
        <x:v>14719.9006673534</x:v>
      </x:c>
      <x:c r="D366" s="16" t="n">
        <x:v>14283.4353969315</x:v>
      </x:c>
      <x:c r="E366" s="16" t="n">
        <x:v>-436.465270422</x:v>
      </x:c>
      <x:c r="F366" s="23" t="n">
        <x:v>4</x:v>
      </x:c>
    </x:row>
    <x:row r="367">
      <x:c r="A367" s="15" t="n">
        <x:v>41061</x:v>
      </x:c>
      <x:c r="B367" s="13" t="str">
        <x:v>Health Care</x:v>
      </x:c>
      <x:c r="C367" s="16" t="n">
        <x:v>633.2620961315</x:v>
      </x:c>
      <x:c r="D367" s="16" t="n">
        <x:v>581.2461545205</x:v>
      </x:c>
      <x:c r="E367" s="16" t="n">
        <x:v>-52.015941611</x:v>
      </x:c>
      <x:c r="F367" s="23" t="n">
        <x:v>2</x:v>
      </x:c>
    </x:row>
    <x:row r="368">
      <x:c r="A368" s="15" t="n">
        <x:v>41061</x:v>
      </x:c>
      <x:c r="B368" s="13" t="str">
        <x:v>Homebuilders</x:v>
      </x:c>
      <x:c r="C368" s="16" t="n">
        <x:v>4166.378259463</x:v>
      </x:c>
      <x:c r="D368" s="16" t="n">
        <x:v>3285.1030713973</x:v>
      </x:c>
      <x:c r="E368" s="16" t="n">
        <x:v>-881.2751880658</x:v>
      </x:c>
      <x:c r="F368" s="23" t="n">
        <x:v>6</x:v>
      </x:c>
    </x:row>
    <x:row r="369">
      <x:c r="A369" s="15" t="n">
        <x:v>41061</x:v>
      </x:c>
      <x:c r="B369" s="13" t="str">
        <x:v>Income Properties</x:v>
      </x:c>
      <x:c r="C369" s="16" t="n">
        <x:v>508.2415005808</x:v>
      </x:c>
      <x:c r="D369" s="16" t="n">
        <x:v>522.4744933699</x:v>
      </x:c>
      <x:c r="E369" s="16" t="n">
        <x:v>14.232992789</x:v>
      </x:c>
      <x:c r="F369" s="23" t="n">
        <x:v>1</x:v>
      </x:c>
    </x:row>
    <x:row r="370">
      <x:c r="A370" s="15" t="n">
        <x:v>41061</x:v>
      </x:c>
      <x:c r="B370" s="13" t="str">
        <x:v>Metals &amp; Mining</x:v>
      </x:c>
      <x:c r="C370" s="16" t="n">
        <x:v>43314.3436044274</x:v>
      </x:c>
      <x:c r="D370" s="16" t="n">
        <x:v>43252.0826958904</x:v>
      </x:c>
      <x:c r="E370" s="16" t="n">
        <x:v>-62.2609085371</x:v>
      </x:c>
      <x:c r="F370" s="23" t="n">
        <x:v>8</x:v>
      </x:c>
    </x:row>
    <x:row r="371">
      <x:c r="A371" s="15" t="n">
        <x:v>41061</x:v>
      </x:c>
      <x:c r="B371" s="13" t="str">
        <x:v>Oil, Gas &amp; Petrochemicals</x:v>
      </x:c>
      <x:c r="C371" s="16" t="n">
        <x:v>39974.0396770192</x:v>
      </x:c>
      <x:c r="D371" s="16" t="n">
        <x:v>36604.5130257534</x:v>
      </x:c>
      <x:c r="E371" s="16" t="n">
        <x:v>-3369.5266512658</x:v>
      </x:c>
      <x:c r="F371" s="23" t="n">
        <x:v>4</x:v>
      </x:c>
    </x:row>
    <x:row r="372">
      <x:c r="A372" s="15" t="n">
        <x:v>41061</x:v>
      </x:c>
      <x:c r="B372" s="13" t="str">
        <x:v>Pulp &amp; Paper</x:v>
      </x:c>
      <x:c r="C372" s="16" t="n">
        <x:v>190.8094303562</x:v>
      </x:c>
      <x:c r="D372" s="16" t="n">
        <x:v>250.4508466849</x:v>
      </x:c>
      <x:c r="E372" s="16" t="n">
        <x:v>59.6414163288</x:v>
      </x:c>
      <x:c r="F372" s="23" t="n">
        <x:v>2</x:v>
      </x:c>
    </x:row>
    <x:row r="373">
      <x:c r="A373" s="15" t="n">
        <x:v>41061</x:v>
      </x:c>
      <x:c r="B373" s="13" t="str">
        <x:v>Retail</x:v>
      </x:c>
      <x:c r="C373" s="16" t="n">
        <x:v>3349.9708112877</x:v>
      </x:c>
      <x:c r="D373" s="16" t="n">
        <x:v>3394.5275955616</x:v>
      </x:c>
      <x:c r="E373" s="16" t="n">
        <x:v>44.556784274</x:v>
      </x:c>
      <x:c r="F373" s="23" t="n">
        <x:v>6</x:v>
      </x:c>
    </x:row>
    <x:row r="374">
      <x:c r="A374" s="15" t="n">
        <x:v>41061</x:v>
      </x:c>
      <x:c r="B374" s="13" t="str">
        <x:v>Sanitation</x:v>
      </x:c>
      <x:c r="C374" s="16" t="n">
        <x:v>1667.1211670795</x:v>
      </x:c>
      <x:c r="D374" s="16" t="n">
        <x:v>1746.8823215342</x:v>
      </x:c>
      <x:c r="E374" s="16" t="n">
        <x:v>79.7611544548</x:v>
      </x:c>
      <x:c r="F374" s="23" t="n">
        <x:v>1</x:v>
      </x:c>
    </x:row>
    <x:row r="375">
      <x:c r="A375" s="15" t="n">
        <x:v>41061</x:v>
      </x:c>
      <x:c r="B375" s="13" t="str">
        <x:v>TMT</x:v>
      </x:c>
      <x:c r="C375" s="16" t="n">
        <x:v>8205.0397696</x:v>
      </x:c>
      <x:c r="D375" s="16" t="n">
        <x:v>7554.4111009315</x:v>
      </x:c>
      <x:c r="E375" s="16" t="n">
        <x:v>-650.6286686685</x:v>
      </x:c>
      <x:c r="F375" s="23" t="n">
        <x:v>3</x:v>
      </x:c>
    </x:row>
    <x:row r="376">
      <x:c r="A376" s="15" t="n">
        <x:v>41061</x:v>
      </x:c>
      <x:c r="B376" s="13" t="str">
        <x:v>Transportation</x:v>
      </x:c>
      <x:c r="C376" s="16" t="n">
        <x:v>2080.6929776658</x:v>
      </x:c>
      <x:c r="D376" s="16" t="n">
        <x:v>2058.3938433973</x:v>
      </x:c>
      <x:c r="E376" s="16" t="n">
        <x:v>-22.2991342685</x:v>
      </x:c>
      <x:c r="F376" s="23" t="n">
        <x:v>5</x:v>
      </x:c>
    </x:row>
    <x:row r="377">
      <x:c r="A377" s="15" t="n">
        <x:v>41061</x:v>
      </x:c>
      <x:c r="B377" s="13" t="str">
        <x:v>Utilities &amp; Energy</x:v>
      </x:c>
      <x:c r="C377" s="16" t="n">
        <x:v>15554.9984674192</x:v>
      </x:c>
      <x:c r="D377" s="16" t="n">
        <x:v>16334.7591153973</x:v>
      </x:c>
      <x:c r="E377" s="16" t="n">
        <x:v>779.7606479781</x:v>
      </x:c>
      <x:c r="F377" s="23" t="n">
        <x:v>9</x:v>
      </x:c>
    </x:row>
    <x:row r="378">
      <x:c r="A378" s="15" t="n">
        <x:v>41091</x:v>
      </x:c>
      <x:c r="B378" s="13" t="str">
        <x:v>Banks</x:v>
      </x:c>
      <x:c r="C378" s="16" t="n">
        <x:v>48132.2215592328</x:v>
      </x:c>
      <x:c r="D378" s="16" t="n">
        <x:v>46930.6956996383</x:v>
      </x:c>
      <x:c r="E378" s="16" t="n">
        <x:v>-1201.5258595945</x:v>
      </x:c>
      <x:c r="F378" s="23" t="n">
        <x:v>4</x:v>
      </x:c>
    </x:row>
    <x:row r="379">
      <x:c r="A379" s="15" t="n">
        <x:v>41091</x:v>
      </x:c>
      <x:c r="B379" s="13" t="str">
        <x:v>Capital Goods</x:v>
      </x:c>
      <x:c r="C379" s="16" t="n">
        <x:v>922.8173667945</x:v>
      </x:c>
      <x:c r="D379" s="16" t="n">
        <x:v>1024.6139153534</x:v>
      </x:c>
      <x:c r="E379" s="16" t="n">
        <x:v>101.7965485589</x:v>
      </x:c>
      <x:c r="F379" s="23" t="n">
        <x:v>1</x:v>
      </x:c>
    </x:row>
    <x:row r="380">
      <x:c r="A380" s="15" t="n">
        <x:v>41091</x:v>
      </x:c>
      <x:c r="B380" s="13" t="str">
        <x:v>Financials Non-Banks</x:v>
      </x:c>
      <x:c r="C380" s="16" t="n">
        <x:v>11469.075257863</x:v>
      </x:c>
      <x:c r="D380" s="16" t="n">
        <x:v>11014.7683443726</x:v>
      </x:c>
      <x:c r="E380" s="16" t="n">
        <x:v>-454.3069134904</x:v>
      </x:c>
      <x:c r="F380" s="23" t="n">
        <x:v>4</x:v>
      </x:c>
    </x:row>
    <x:row r="381">
      <x:c r="A381" s="15" t="n">
        <x:v>41091</x:v>
      </x:c>
      <x:c r="B381" s="13" t="str">
        <x:v>Food &amp; Beverages</x:v>
      </x:c>
      <x:c r="C381" s="16" t="n">
        <x:v>14227.7357867397</x:v>
      </x:c>
      <x:c r="D381" s="16" t="n">
        <x:v>14338.6400846685</x:v>
      </x:c>
      <x:c r="E381" s="16" t="n">
        <x:v>110.9042979288</x:v>
      </x:c>
      <x:c r="F381" s="23" t="n">
        <x:v>4</x:v>
      </x:c>
    </x:row>
    <x:row r="382">
      <x:c r="A382" s="15" t="n">
        <x:v>41091</x:v>
      </x:c>
      <x:c r="B382" s="13" t="str">
        <x:v>Health Care</x:v>
      </x:c>
      <x:c r="C382" s="16" t="n">
        <x:v>639.0607754521</x:v>
      </x:c>
      <x:c r="D382" s="16" t="n">
        <x:v>595.3501485589</x:v>
      </x:c>
      <x:c r="E382" s="16" t="n">
        <x:v>-43.7106268932</x:v>
      </x:c>
      <x:c r="F382" s="23" t="n">
        <x:v>2</x:v>
      </x:c>
    </x:row>
    <x:row r="383">
      <x:c r="A383" s="15" t="n">
        <x:v>41091</x:v>
      </x:c>
      <x:c r="B383" s="13" t="str">
        <x:v>Homebuilders</x:v>
      </x:c>
      <x:c r="C383" s="16" t="n">
        <x:v>4023.4506139178</x:v>
      </x:c>
      <x:c r="D383" s="16" t="n">
        <x:v>3112.0052190247</x:v>
      </x:c>
      <x:c r="E383" s="16" t="n">
        <x:v>-911.4453948932</x:v>
      </x:c>
      <x:c r="F383" s="23" t="n">
        <x:v>6</x:v>
      </x:c>
    </x:row>
    <x:row r="384">
      <x:c r="A384" s="15" t="n">
        <x:v>41091</x:v>
      </x:c>
      <x:c r="B384" s="13" t="str">
        <x:v>Income Properties</x:v>
      </x:c>
      <x:c r="C384" s="16" t="n">
        <x:v>499.7701834521</x:v>
      </x:c>
      <x:c r="D384" s="16" t="n">
        <x:v>495.2098428493</x:v>
      </x:c>
      <x:c r="E384" s="16" t="n">
        <x:v>-4.5603406027</x:v>
      </x:c>
      <x:c r="F384" s="23" t="n">
        <x:v>1</x:v>
      </x:c>
    </x:row>
    <x:row r="385">
      <x:c r="A385" s="15" t="n">
        <x:v>41091</x:v>
      </x:c>
      <x:c r="B385" s="13" t="str">
        <x:v>Metals &amp; Mining</x:v>
      </x:c>
      <x:c r="C385" s="16" t="n">
        <x:v>43007.497425863</x:v>
      </x:c>
      <x:c r="D385" s="16" t="n">
        <x:v>39037.4879033918</x:v>
      </x:c>
      <x:c r="E385" s="16" t="n">
        <x:v>-3970.0095224712</x:v>
      </x:c>
      <x:c r="F385" s="23" t="n">
        <x:v>8</x:v>
      </x:c>
    </x:row>
    <x:row r="386">
      <x:c r="A386" s="15" t="n">
        <x:v>41091</x:v>
      </x:c>
      <x:c r="B386" s="13" t="str">
        <x:v>Oil, Gas &amp; Petrochemicals</x:v>
      </x:c>
      <x:c r="C386" s="16" t="n">
        <x:v>39002.3683791781</x:v>
      </x:c>
      <x:c r="D386" s="16" t="n">
        <x:v>36483.3079460384</x:v>
      </x:c>
      <x:c r="E386" s="16" t="n">
        <x:v>-2519.0604331397</x:v>
      </x:c>
      <x:c r="F386" s="23" t="n">
        <x:v>4</x:v>
      </x:c>
    </x:row>
    <x:row r="387">
      <x:c r="A387" s="15" t="n">
        <x:v>41091</x:v>
      </x:c>
      <x:c r="B387" s="13" t="str">
        <x:v>Pulp &amp; Paper</x:v>
      </x:c>
      <x:c r="C387" s="16" t="n">
        <x:v>250.3325288767</x:v>
      </x:c>
      <x:c r="D387" s="16" t="n">
        <x:v>361.7167509041</x:v>
      </x:c>
      <x:c r="E387" s="16" t="n">
        <x:v>111.3842220274</x:v>
      </x:c>
      <x:c r="F387" s="23" t="n">
        <x:v>2</x:v>
      </x:c>
    </x:row>
    <x:row r="388">
      <x:c r="A388" s="15" t="n">
        <x:v>41091</x:v>
      </x:c>
      <x:c r="B388" s="13" t="str">
        <x:v>Retail</x:v>
      </x:c>
      <x:c r="C388" s="16" t="n">
        <x:v>3383.8094179178</x:v>
      </x:c>
      <x:c r="D388" s="16" t="n">
        <x:v>3444.6970065973</x:v>
      </x:c>
      <x:c r="E388" s="16" t="n">
        <x:v>60.8875886795</x:v>
      </x:c>
      <x:c r="F388" s="23" t="n">
        <x:v>6</x:v>
      </x:c>
    </x:row>
    <x:row r="389">
      <x:c r="A389" s="15" t="n">
        <x:v>41091</x:v>
      </x:c>
      <x:c r="B389" s="13" t="str">
        <x:v>Sanitation</x:v>
      </x:c>
      <x:c r="C389" s="16" t="n">
        <x:v>1706.794520548</x:v>
      </x:c>
      <x:c r="D389" s="16" t="n">
        <x:v>1781.6093853808</x:v>
      </x:c>
      <x:c r="E389" s="16" t="n">
        <x:v>74.8148648329</x:v>
      </x:c>
      <x:c r="F389" s="23" t="n">
        <x:v>1</x:v>
      </x:c>
    </x:row>
    <x:row r="390">
      <x:c r="A390" s="15" t="n">
        <x:v>41091</x:v>
      </x:c>
      <x:c r="B390" s="13" t="str">
        <x:v>TMT</x:v>
      </x:c>
      <x:c r="C390" s="16" t="n">
        <x:v>8556.2613076164</x:v>
      </x:c>
      <x:c r="D390" s="16" t="n">
        <x:v>8258.4280716274</x:v>
      </x:c>
      <x:c r="E390" s="16" t="n">
        <x:v>-297.833235989</x:v>
      </x:c>
      <x:c r="F390" s="23" t="n">
        <x:v>4</x:v>
      </x:c>
    </x:row>
    <x:row r="391">
      <x:c r="A391" s="15" t="n">
        <x:v>41091</x:v>
      </x:c>
      <x:c r="B391" s="13" t="str">
        <x:v>Transportation</x:v>
      </x:c>
      <x:c r="C391" s="16" t="n">
        <x:v>2030.5109158356</x:v>
      </x:c>
      <x:c r="D391" s="16" t="n">
        <x:v>2129.2906677699</x:v>
      </x:c>
      <x:c r="E391" s="16" t="n">
        <x:v>98.7797519342</x:v>
      </x:c>
      <x:c r="F391" s="23" t="n">
        <x:v>5</x:v>
      </x:c>
    </x:row>
    <x:row r="392">
      <x:c r="A392" s="15" t="n">
        <x:v>41091</x:v>
      </x:c>
      <x:c r="B392" s="13" t="str">
        <x:v>Utilities &amp; Energy</x:v>
      </x:c>
      <x:c r="C392" s="16" t="n">
        <x:v>16085.6332611507</x:v>
      </x:c>
      <x:c r="D392" s="16" t="n">
        <x:v>16372.5418734466</x:v>
      </x:c>
      <x:c r="E392" s="16" t="n">
        <x:v>286.9086122959</x:v>
      </x:c>
      <x:c r="F392" s="23" t="n">
        <x:v>9</x:v>
      </x:c>
    </x:row>
    <x:row r="393">
      <x:c r="A393" s="15" t="n">
        <x:v>41122</x:v>
      </x:c>
      <x:c r="B393" s="13" t="str">
        <x:v>Banks</x:v>
      </x:c>
      <x:c r="C393" s="16" t="n">
        <x:v>47860.1413084932</x:v>
      </x:c>
      <x:c r="D393" s="16" t="n">
        <x:v>46916.8604258192</x:v>
      </x:c>
      <x:c r="E393" s="16" t="n">
        <x:v>-943.280882674</x:v>
      </x:c>
      <x:c r="F393" s="23" t="n">
        <x:v>4</x:v>
      </x:c>
    </x:row>
    <x:row r="394">
      <x:c r="A394" s="15" t="n">
        <x:v>41122</x:v>
      </x:c>
      <x:c r="B394" s="13" t="str">
        <x:v>Capital Goods</x:v>
      </x:c>
      <x:c r="C394" s="16" t="n">
        <x:v>958.0304987178</x:v>
      </x:c>
      <x:c r="D394" s="16" t="n">
        <x:v>1024.506463737</x:v>
      </x:c>
      <x:c r="E394" s="16" t="n">
        <x:v>66.4759650192</x:v>
      </x:c>
      <x:c r="F394" s="23" t="n">
        <x:v>1</x:v>
      </x:c>
    </x:row>
    <x:row r="395">
      <x:c r="A395" s="15" t="n">
        <x:v>41122</x:v>
      </x:c>
      <x:c r="B395" s="13" t="str">
        <x:v>Financials Non-Banks</x:v>
      </x:c>
      <x:c r="C395" s="16" t="n">
        <x:v>11059.335008789</x:v>
      </x:c>
      <x:c r="D395" s="16" t="n">
        <x:v>11090.7746033972</x:v>
      </x:c>
      <x:c r="E395" s="16" t="n">
        <x:v>31.4395946082</x:v>
      </x:c>
      <x:c r="F395" s="23" t="n">
        <x:v>4</x:v>
      </x:c>
    </x:row>
    <x:row r="396">
      <x:c r="A396" s="15" t="n">
        <x:v>41122</x:v>
      </x:c>
      <x:c r="B396" s="13" t="str">
        <x:v>Food &amp; Beverages</x:v>
      </x:c>
      <x:c r="C396" s="16" t="n">
        <x:v>14350.7797697315</x:v>
      </x:c>
      <x:c r="D396" s="16" t="n">
        <x:v>14356.7503491069</x:v>
      </x:c>
      <x:c r="E396" s="16" t="n">
        <x:v>5.9705793753</x:v>
      </x:c>
      <x:c r="F396" s="23" t="n">
        <x:v>4</x:v>
      </x:c>
    </x:row>
    <x:row r="397">
      <x:c r="A397" s="15" t="n">
        <x:v>41122</x:v>
      </x:c>
      <x:c r="B397" s="13" t="str">
        <x:v>Health Care</x:v>
      </x:c>
      <x:c r="C397" s="16" t="n">
        <x:v>593.3003264877</x:v>
      </x:c>
      <x:c r="D397" s="16" t="n">
        <x:v>569.7296105205</x:v>
      </x:c>
      <x:c r="E397" s="16" t="n">
        <x:v>-23.5707159671</x:v>
      </x:c>
      <x:c r="F397" s="23" t="n">
        <x:v>2</x:v>
      </x:c>
    </x:row>
    <x:row r="398">
      <x:c r="A398" s="15" t="n">
        <x:v>41122</x:v>
      </x:c>
      <x:c r="B398" s="13" t="str">
        <x:v>Homebuilders</x:v>
      </x:c>
      <x:c r="C398" s="16" t="n">
        <x:v>3672.1191416986</x:v>
      </x:c>
      <x:c r="D398" s="16" t="n">
        <x:v>2885.1122890521</x:v>
      </x:c>
      <x:c r="E398" s="16" t="n">
        <x:v>-787.0068526466</x:v>
      </x:c>
      <x:c r="F398" s="23" t="n">
        <x:v>6</x:v>
      </x:c>
    </x:row>
    <x:row r="399">
      <x:c r="A399" s="15" t="n">
        <x:v>41122</x:v>
      </x:c>
      <x:c r="B399" s="13" t="str">
        <x:v>Income Properties</x:v>
      </x:c>
      <x:c r="C399" s="16" t="n">
        <x:v>508.7625258082</x:v>
      </x:c>
      <x:c r="D399" s="16" t="n">
        <x:v>536.0638379836</x:v>
      </x:c>
      <x:c r="E399" s="16" t="n">
        <x:v>27.3013121753</x:v>
      </x:c>
      <x:c r="F399" s="23" t="n">
        <x:v>1</x:v>
      </x:c>
    </x:row>
    <x:row r="400">
      <x:c r="A400" s="15" t="n">
        <x:v>41122</x:v>
      </x:c>
      <x:c r="B400" s="13" t="str">
        <x:v>Metals &amp; Mining</x:v>
      </x:c>
      <x:c r="C400" s="16" t="n">
        <x:v>43150.3878473643</x:v>
      </x:c>
      <x:c r="D400" s="16" t="n">
        <x:v>36458.7651257424</x:v>
      </x:c>
      <x:c r="E400" s="16" t="n">
        <x:v>-6691.6227216219</x:v>
      </x:c>
      <x:c r="F400" s="23" t="n">
        <x:v>8</x:v>
      </x:c>
    </x:row>
    <x:row r="401">
      <x:c r="A401" s="15" t="n">
        <x:v>41122</x:v>
      </x:c>
      <x:c r="B401" s="13" t="str">
        <x:v>Oil, Gas &amp; Petrochemicals</x:v>
      </x:c>
      <x:c r="C401" s="16" t="n">
        <x:v>38628.0325595178</x:v>
      </x:c>
      <x:c r="D401" s="16" t="n">
        <x:v>35458.7025226739</x:v>
      </x:c>
      <x:c r="E401" s="16" t="n">
        <x:v>-3169.3300368438</x:v>
      </x:c>
      <x:c r="F401" s="23" t="n">
        <x:v>4</x:v>
      </x:c>
    </x:row>
    <x:row r="402">
      <x:c r="A402" s="15" t="n">
        <x:v>41122</x:v>
      </x:c>
      <x:c r="B402" s="13" t="str">
        <x:v>Pulp &amp; Paper</x:v>
      </x:c>
      <x:c r="C402" s="16" t="n">
        <x:v>246.3428720219</x:v>
      </x:c>
      <x:c r="D402" s="16" t="n">
        <x:v>370.6876603616</x:v>
      </x:c>
      <x:c r="E402" s="16" t="n">
        <x:v>124.3447883397</x:v>
      </x:c>
      <x:c r="F402" s="23" t="n">
        <x:v>2</x:v>
      </x:c>
    </x:row>
    <x:row r="403">
      <x:c r="A403" s="15" t="n">
        <x:v>41122</x:v>
      </x:c>
      <x:c r="B403" s="13" t="str">
        <x:v>Retail</x:v>
      </x:c>
      <x:c r="C403" s="16" t="n">
        <x:v>3354.847107989</x:v>
      </x:c>
      <x:c r="D403" s="16" t="n">
        <x:v>3474.0031723397</x:v>
      </x:c>
      <x:c r="E403" s="16" t="n">
        <x:v>119.1560643507</x:v>
      </x:c>
      <x:c r="F403" s="23" t="n">
        <x:v>6</x:v>
      </x:c>
    </x:row>
    <x:row r="404">
      <x:c r="A404" s="15" t="n">
        <x:v>41122</x:v>
      </x:c>
      <x:c r="B404" s="13" t="str">
        <x:v>Sanitation</x:v>
      </x:c>
      <x:c r="C404" s="16" t="n">
        <x:v>1735.4054719123</x:v>
      </x:c>
      <x:c r="D404" s="16" t="n">
        <x:v>1847.8678303562</x:v>
      </x:c>
      <x:c r="E404" s="16" t="n">
        <x:v>112.4623584438</x:v>
      </x:c>
      <x:c r="F404" s="23" t="n">
        <x:v>1</x:v>
      </x:c>
    </x:row>
    <x:row r="405">
      <x:c r="A405" s="15" t="n">
        <x:v>41122</x:v>
      </x:c>
      <x:c r="B405" s="13" t="str">
        <x:v>TMT</x:v>
      </x:c>
      <x:c r="C405" s="16" t="n">
        <x:v>8439.8034274192</x:v>
      </x:c>
      <x:c r="D405" s="16" t="n">
        <x:v>7874.2652735123</x:v>
      </x:c>
      <x:c r="E405" s="16" t="n">
        <x:v>-565.5381539068</x:v>
      </x:c>
      <x:c r="F405" s="23" t="n">
        <x:v>4</x:v>
      </x:c>
    </x:row>
    <x:row r="406">
      <x:c r="A406" s="15" t="n">
        <x:v>41122</x:v>
      </x:c>
      <x:c r="B406" s="13" t="str">
        <x:v>Transportation</x:v>
      </x:c>
      <x:c r="C406" s="16" t="n">
        <x:v>2067.2467619945</x:v>
      </x:c>
      <x:c r="D406" s="16" t="n">
        <x:v>2035.5931782137</x:v>
      </x:c>
      <x:c r="E406" s="16" t="n">
        <x:v>-31.6535837808</x:v>
      </x:c>
      <x:c r="F406" s="23" t="n">
        <x:v>5</x:v>
      </x:c>
    </x:row>
    <x:row r="407">
      <x:c r="A407" s="15" t="n">
        <x:v>41122</x:v>
      </x:c>
      <x:c r="B407" s="13" t="str">
        <x:v>Utilities &amp; Energy</x:v>
      </x:c>
      <x:c r="C407" s="16" t="n">
        <x:v>16372.9201804274</x:v>
      </x:c>
      <x:c r="D407" s="16" t="n">
        <x:v>16765.8263633973</x:v>
      </x:c>
      <x:c r="E407" s="16" t="n">
        <x:v>392.9061829699</x:v>
      </x:c>
      <x:c r="F407" s="23" t="n">
        <x:v>9</x:v>
      </x:c>
    </x:row>
    <x:row r="408">
      <x:c r="A408" s="15" t="n">
        <x:v>41153</x:v>
      </x:c>
      <x:c r="B408" s="13" t="str">
        <x:v>Banks</x:v>
      </x:c>
      <x:c r="C408" s="16" t="n">
        <x:v>47610.9317049863</x:v>
      </x:c>
      <x:c r="D408" s="16" t="n">
        <x:v>47003.0003929425</x:v>
      </x:c>
      <x:c r="E408" s="16" t="n">
        <x:v>-607.9313120439</x:v>
      </x:c>
      <x:c r="F408" s="23" t="n">
        <x:v>4</x:v>
      </x:c>
    </x:row>
    <x:row r="409">
      <x:c r="A409" s="15" t="n">
        <x:v>41153</x:v>
      </x:c>
      <x:c r="B409" s="13" t="str">
        <x:v>Capital Goods</x:v>
      </x:c>
      <x:c r="C409" s="16" t="n">
        <x:v>986.561612274</x:v>
      </x:c>
      <x:c r="D409" s="16" t="n">
        <x:v>1012.3052529973</x:v>
      </x:c>
      <x:c r="E409" s="16" t="n">
        <x:v>25.7436407233</x:v>
      </x:c>
      <x:c r="F409" s="23" t="n">
        <x:v>1</x:v>
      </x:c>
    </x:row>
    <x:row r="410">
      <x:c r="A410" s="15" t="n">
        <x:v>41153</x:v>
      </x:c>
      <x:c r="B410" s="13" t="str">
        <x:v>Financials Non-Banks</x:v>
      </x:c>
      <x:c r="C410" s="16" t="n">
        <x:v>9352.5956506301</x:v>
      </x:c>
      <x:c r="D410" s="16" t="n">
        <x:v>9361.5753570192</x:v>
      </x:c>
      <x:c r="E410" s="16" t="n">
        <x:v>8.979706389</x:v>
      </x:c>
      <x:c r="F410" s="23" t="n">
        <x:v>3</x:v>
      </x:c>
    </x:row>
    <x:row r="411">
      <x:c r="A411" s="15" t="n">
        <x:v>41153</x:v>
      </x:c>
      <x:c r="B411" s="13" t="str">
        <x:v>Food &amp; Beverages</x:v>
      </x:c>
      <x:c r="C411" s="16" t="n">
        <x:v>14283.4353969315</x:v>
      </x:c>
      <x:c r="D411" s="16" t="n">
        <x:v>14235.8509056</x:v>
      </x:c>
      <x:c r="E411" s="16" t="n">
        <x:v>-47.5844913315</x:v>
      </x:c>
      <x:c r="F411" s="23" t="n">
        <x:v>4</x:v>
      </x:c>
    </x:row>
    <x:row r="412">
      <x:c r="A412" s="15" t="n">
        <x:v>41153</x:v>
      </x:c>
      <x:c r="B412" s="13" t="str">
        <x:v>Health Care</x:v>
      </x:c>
      <x:c r="C412" s="16" t="n">
        <x:v>581.2461545205</x:v>
      </x:c>
      <x:c r="D412" s="16" t="n">
        <x:v>579.3083703233</x:v>
      </x:c>
      <x:c r="E412" s="16" t="n">
        <x:v>-1.9377841973</x:v>
      </x:c>
      <x:c r="F412" s="23" t="n">
        <x:v>2</x:v>
      </x:c>
    </x:row>
    <x:row r="413">
      <x:c r="A413" s="15" t="n">
        <x:v>41153</x:v>
      </x:c>
      <x:c r="B413" s="13" t="str">
        <x:v>Homebuilders</x:v>
      </x:c>
      <x:c r="C413" s="16" t="n">
        <x:v>3285.1030713973</x:v>
      </x:c>
      <x:c r="D413" s="16" t="n">
        <x:v>2844.2139424219</x:v>
      </x:c>
      <x:c r="E413" s="16" t="n">
        <x:v>-440.8891289753</x:v>
      </x:c>
      <x:c r="F413" s="23" t="n">
        <x:v>6</x:v>
      </x:c>
    </x:row>
    <x:row r="414">
      <x:c r="A414" s="15" t="n">
        <x:v>41153</x:v>
      </x:c>
      <x:c r="B414" s="13" t="str">
        <x:v>Income Properties</x:v>
      </x:c>
      <x:c r="C414" s="16" t="n">
        <x:v>522.4744933699</x:v>
      </x:c>
      <x:c r="D414" s="16" t="n">
        <x:v>531.4847659836</x:v>
      </x:c>
      <x:c r="E414" s="16" t="n">
        <x:v>9.0102726137</x:v>
      </x:c>
      <x:c r="F414" s="23" t="n">
        <x:v>1</x:v>
      </x:c>
    </x:row>
    <x:row r="415">
      <x:c r="A415" s="15" t="n">
        <x:v>41153</x:v>
      </x:c>
      <x:c r="B415" s="13" t="str">
        <x:v>Metals &amp; Mining</x:v>
      </x:c>
      <x:c r="C415" s="16" t="n">
        <x:v>43252.0826958904</x:v>
      </x:c>
      <x:c r="D415" s="16" t="n">
        <x:v>33148.2930944438</x:v>
      </x:c>
      <x:c r="E415" s="16" t="n">
        <x:v>-10103.7896014466</x:v>
      </x:c>
      <x:c r="F415" s="23" t="n">
        <x:v>8</x:v>
      </x:c>
    </x:row>
    <x:row r="416">
      <x:c r="A416" s="15" t="n">
        <x:v>41153</x:v>
      </x:c>
      <x:c r="B416" s="13" t="str">
        <x:v>Oil, Gas &amp; Petrochemicals</x:v>
      </x:c>
      <x:c r="C416" s="16" t="n">
        <x:v>36604.5130257534</x:v>
      </x:c>
      <x:c r="D416" s="16" t="n">
        <x:v>35995.2472177315</x:v>
      </x:c>
      <x:c r="E416" s="16" t="n">
        <x:v>-609.2658080219</x:v>
      </x:c>
      <x:c r="F416" s="23" t="n">
        <x:v>4</x:v>
      </x:c>
    </x:row>
    <x:row r="417">
      <x:c r="A417" s="15" t="n">
        <x:v>41153</x:v>
      </x:c>
      <x:c r="B417" s="13" t="str">
        <x:v>Pulp &amp; Paper</x:v>
      </x:c>
      <x:c r="C417" s="16" t="n">
        <x:v>250.4508466849</x:v>
      </x:c>
      <x:c r="D417" s="16" t="n">
        <x:v>447.049907989</x:v>
      </x:c>
      <x:c r="E417" s="16" t="n">
        <x:v>196.5990613041</x:v>
      </x:c>
      <x:c r="F417" s="23" t="n">
        <x:v>2</x:v>
      </x:c>
    </x:row>
    <x:row r="418">
      <x:c r="A418" s="15" t="n">
        <x:v>41153</x:v>
      </x:c>
      <x:c r="B418" s="13" t="str">
        <x:v>Retail</x:v>
      </x:c>
      <x:c r="C418" s="16" t="n">
        <x:v>3394.5275955616</x:v>
      </x:c>
      <x:c r="D418" s="16" t="n">
        <x:v>3472.5791211836</x:v>
      </x:c>
      <x:c r="E418" s="16" t="n">
        <x:v>78.0515256219</x:v>
      </x:c>
      <x:c r="F418" s="23" t="n">
        <x:v>6</x:v>
      </x:c>
    </x:row>
    <x:row r="419">
      <x:c r="A419" s="15" t="n">
        <x:v>41153</x:v>
      </x:c>
      <x:c r="B419" s="13" t="str">
        <x:v>Sanitation</x:v>
      </x:c>
      <x:c r="C419" s="16" t="n">
        <x:v>1746.8823215342</x:v>
      </x:c>
      <x:c r="D419" s="16" t="n">
        <x:v>1786.5876360767</x:v>
      </x:c>
      <x:c r="E419" s="16" t="n">
        <x:v>39.7053145425</x:v>
      </x:c>
      <x:c r="F419" s="23" t="n">
        <x:v>1</x:v>
      </x:c>
    </x:row>
    <x:row r="420">
      <x:c r="A420" s="15" t="n">
        <x:v>41153</x:v>
      </x:c>
      <x:c r="B420" s="13" t="str">
        <x:v>TMT</x:v>
      </x:c>
      <x:c r="C420" s="16" t="n">
        <x:v>8202.9511241644</x:v>
      </x:c>
      <x:c r="D420" s="16" t="n">
        <x:v>7866.2476694794</x:v>
      </x:c>
      <x:c r="E420" s="16" t="n">
        <x:v>-336.7034546849</x:v>
      </x:c>
      <x:c r="F420" s="23" t="n">
        <x:v>4</x:v>
      </x:c>
    </x:row>
    <x:row r="421">
      <x:c r="A421" s="15" t="n">
        <x:v>41153</x:v>
      </x:c>
      <x:c r="B421" s="13" t="str">
        <x:v>Transportation</x:v>
      </x:c>
      <x:c r="C421" s="16" t="n">
        <x:v>2058.3938433973</x:v>
      </x:c>
      <x:c r="D421" s="16" t="n">
        <x:v>1985.8028814247</x:v>
      </x:c>
      <x:c r="E421" s="16" t="n">
        <x:v>-72.5909619726</x:v>
      </x:c>
      <x:c r="F421" s="23" t="n">
        <x:v>5</x:v>
      </x:c>
    </x:row>
    <x:row r="422">
      <x:c r="A422" s="15" t="n">
        <x:v>41153</x:v>
      </x:c>
      <x:c r="B422" s="13" t="str">
        <x:v>Utilities &amp; Energy</x:v>
      </x:c>
      <x:c r="C422" s="16" t="n">
        <x:v>16334.7591153973</x:v>
      </x:c>
      <x:c r="D422" s="16" t="n">
        <x:v>16306.4533099836</x:v>
      </x:c>
      <x:c r="E422" s="16" t="n">
        <x:v>-28.3058054137</x:v>
      </x:c>
      <x:c r="F422" s="23" t="n">
        <x:v>9</x:v>
      </x:c>
    </x:row>
    <x:row r="423">
      <x:c r="A423" s="15" t="n">
        <x:v>41183</x:v>
      </x:c>
      <x:c r="B423" s="13" t="str">
        <x:v>Banks</x:v>
      </x:c>
      <x:c r="C423" s="16" t="n">
        <x:v>46930.6956996383</x:v>
      </x:c>
      <x:c r="D423" s="16" t="n">
        <x:v>46674.4425878795</x:v>
      </x:c>
      <x:c r="E423" s="16" t="n">
        <x:v>-256.2531117588</x:v>
      </x:c>
      <x:c r="F423" s="23" t="n">
        <x:v>4</x:v>
      </x:c>
    </x:row>
    <x:row r="424">
      <x:c r="A424" s="15" t="n">
        <x:v>41183</x:v>
      </x:c>
      <x:c r="B424" s="13" t="str">
        <x:v>Capital Goods</x:v>
      </x:c>
      <x:c r="C424" s="16" t="n">
        <x:v>1024.6139153534</x:v>
      </x:c>
      <x:c r="D424" s="16" t="n">
        <x:v>997.3926952329</x:v>
      </x:c>
      <x:c r="E424" s="16" t="n">
        <x:v>-27.2212201205</x:v>
      </x:c>
      <x:c r="F424" s="23" t="n">
        <x:v>1</x:v>
      </x:c>
    </x:row>
    <x:row r="425">
      <x:c r="A425" s="15" t="n">
        <x:v>41183</x:v>
      </x:c>
      <x:c r="B425" s="13" t="str">
        <x:v>Financials Non-Banks</x:v>
      </x:c>
      <x:c r="C425" s="16" t="n">
        <x:v>9367.2324011836</x:v>
      </x:c>
      <x:c r="D425" s="16" t="n">
        <x:v>9302.2484192438</x:v>
      </x:c>
      <x:c r="E425" s="16" t="n">
        <x:v>-64.9839819397</x:v>
      </x:c>
      <x:c r="F425" s="23" t="n">
        <x:v>3</x:v>
      </x:c>
    </x:row>
    <x:row r="426">
      <x:c r="A426" s="15" t="n">
        <x:v>41183</x:v>
      </x:c>
      <x:c r="B426" s="13" t="str">
        <x:v>Food &amp; Beverages</x:v>
      </x:c>
      <x:c r="C426" s="16" t="n">
        <x:v>14338.6400846685</x:v>
      </x:c>
      <x:c r="D426" s="16" t="n">
        <x:v>14460.7970211945</x:v>
      </x:c>
      <x:c r="E426" s="16" t="n">
        <x:v>122.1569365261</x:v>
      </x:c>
      <x:c r="F426" s="23" t="n">
        <x:v>4</x:v>
      </x:c>
    </x:row>
    <x:row r="427">
      <x:c r="A427" s="15" t="n">
        <x:v>41183</x:v>
      </x:c>
      <x:c r="B427" s="13" t="str">
        <x:v>Health Care</x:v>
      </x:c>
      <x:c r="C427" s="16" t="n">
        <x:v>595.3501485589</x:v>
      </x:c>
      <x:c r="D427" s="16" t="n">
        <x:v>588.7986244384</x:v>
      </x:c>
      <x:c r="E427" s="16" t="n">
        <x:v>-6.5515241205</x:v>
      </x:c>
      <x:c r="F427" s="23" t="n">
        <x:v>2</x:v>
      </x:c>
    </x:row>
    <x:row r="428">
      <x:c r="A428" s="15" t="n">
        <x:v>41183</x:v>
      </x:c>
      <x:c r="B428" s="13" t="str">
        <x:v>Homebuilders</x:v>
      </x:c>
      <x:c r="C428" s="16" t="n">
        <x:v>3112.0052190247</x:v>
      </x:c>
      <x:c r="D428" s="16" t="n">
        <x:v>2805.8298375671</x:v>
      </x:c>
      <x:c r="E428" s="16" t="n">
        <x:v>-306.1753814575</x:v>
      </x:c>
      <x:c r="F428" s="23" t="n">
        <x:v>6</x:v>
      </x:c>
    </x:row>
    <x:row r="429">
      <x:c r="A429" s="15" t="n">
        <x:v>41183</x:v>
      </x:c>
      <x:c r="B429" s="13" t="str">
        <x:v>Income Properties</x:v>
      </x:c>
      <x:c r="C429" s="16" t="n">
        <x:v>495.2098428493</x:v>
      </x:c>
      <x:c r="D429" s="16" t="n">
        <x:v>550.4699807562</x:v>
      </x:c>
      <x:c r="E429" s="16" t="n">
        <x:v>55.2601379068</x:v>
      </x:c>
      <x:c r="F429" s="23" t="n">
        <x:v>1</x:v>
      </x:c>
    </x:row>
    <x:row r="430">
      <x:c r="A430" s="15" t="n">
        <x:v>41183</x:v>
      </x:c>
      <x:c r="B430" s="13" t="str">
        <x:v>Metals &amp; Mining</x:v>
      </x:c>
      <x:c r="C430" s="16" t="n">
        <x:v>39037.4879033918</x:v>
      </x:c>
      <x:c r="D430" s="16" t="n">
        <x:v>30674.5606358795</x:v>
      </x:c>
      <x:c r="E430" s="16" t="n">
        <x:v>-8362.9272675124</x:v>
      </x:c>
      <x:c r="F430" s="23" t="n">
        <x:v>8</x:v>
      </x:c>
    </x:row>
    <x:row r="431">
      <x:c r="A431" s="15" t="n">
        <x:v>41183</x:v>
      </x:c>
      <x:c r="B431" s="13" t="str">
        <x:v>Oil, Gas &amp; Petrochemicals</x:v>
      </x:c>
      <x:c r="C431" s="16" t="n">
        <x:v>36483.3079460384</x:v>
      </x:c>
      <x:c r="D431" s="16" t="n">
        <x:v>35082.9657631562</x:v>
      </x:c>
      <x:c r="E431" s="16" t="n">
        <x:v>-1400.3421828822</x:v>
      </x:c>
      <x:c r="F431" s="23" t="n">
        <x:v>4</x:v>
      </x:c>
    </x:row>
    <x:row r="432">
      <x:c r="A432" s="15" t="n">
        <x:v>41183</x:v>
      </x:c>
      <x:c r="B432" s="13" t="str">
        <x:v>Pulp &amp; Paper</x:v>
      </x:c>
      <x:c r="C432" s="16" t="n">
        <x:v>361.7167509041</x:v>
      </x:c>
      <x:c r="D432" s="16" t="n">
        <x:v>500.9853141041</x:v>
      </x:c>
      <x:c r="E432" s="16" t="n">
        <x:v>139.2685632</x:v>
      </x:c>
      <x:c r="F432" s="23" t="n">
        <x:v>2</x:v>
      </x:c>
    </x:row>
    <x:row r="433">
      <x:c r="A433" s="15" t="n">
        <x:v>41183</x:v>
      </x:c>
      <x:c r="B433" s="13" t="str">
        <x:v>Retail</x:v>
      </x:c>
      <x:c r="C433" s="16" t="n">
        <x:v>3444.6970065973</x:v>
      </x:c>
      <x:c r="D433" s="16" t="n">
        <x:v>3503.9411335452</x:v>
      </x:c>
      <x:c r="E433" s="16" t="n">
        <x:v>59.2441269479</x:v>
      </x:c>
      <x:c r="F433" s="23" t="n">
        <x:v>6</x:v>
      </x:c>
    </x:row>
    <x:row r="434">
      <x:c r="A434" s="15" t="n">
        <x:v>41183</x:v>
      </x:c>
      <x:c r="B434" s="13" t="str">
        <x:v>Sanitation</x:v>
      </x:c>
      <x:c r="C434" s="16" t="n">
        <x:v>1781.6093853808</x:v>
      </x:c>
      <x:c r="D434" s="16" t="n">
        <x:v>1802.3730316274</x:v>
      </x:c>
      <x:c r="E434" s="16" t="n">
        <x:v>20.7636462466</x:v>
      </x:c>
      <x:c r="F434" s="23" t="n">
        <x:v>1</x:v>
      </x:c>
    </x:row>
    <x:row r="435">
      <x:c r="A435" s="15" t="n">
        <x:v>41183</x:v>
      </x:c>
      <x:c r="B435" s="13" t="str">
        <x:v>TMT</x:v>
      </x:c>
      <x:c r="C435" s="16" t="n">
        <x:v>8258.4280716274</x:v>
      </x:c>
      <x:c r="D435" s="16" t="n">
        <x:v>7996.2463775562</x:v>
      </x:c>
      <x:c r="E435" s="16" t="n">
        <x:v>-262.1816940712</x:v>
      </x:c>
      <x:c r="F435" s="23" t="n">
        <x:v>4</x:v>
      </x:c>
    </x:row>
    <x:row r="436">
      <x:c r="A436" s="15" t="n">
        <x:v>41183</x:v>
      </x:c>
      <x:c r="B436" s="13" t="str">
        <x:v>Transportation</x:v>
      </x:c>
      <x:c r="C436" s="16" t="n">
        <x:v>2129.2906677699</x:v>
      </x:c>
      <x:c r="D436" s="16" t="n">
        <x:v>2062.006777074</x:v>
      </x:c>
      <x:c r="E436" s="16" t="n">
        <x:v>-67.2838906959</x:v>
      </x:c>
      <x:c r="F436" s="23" t="n">
        <x:v>5</x:v>
      </x:c>
    </x:row>
    <x:row r="437">
      <x:c r="A437" s="15" t="n">
        <x:v>41183</x:v>
      </x:c>
      <x:c r="B437" s="13" t="str">
        <x:v>Utilities &amp; Energy</x:v>
      </x:c>
      <x:c r="C437" s="16" t="n">
        <x:v>16372.5418734466</x:v>
      </x:c>
      <x:c r="D437" s="16" t="n">
        <x:v>16287.7849778849</x:v>
      </x:c>
      <x:c r="E437" s="16" t="n">
        <x:v>-84.7568955616</x:v>
      </x:c>
      <x:c r="F437" s="23" t="n">
        <x:v>9</x:v>
      </x:c>
    </x:row>
    <x:row r="438">
      <x:c r="A438" s="15" t="n">
        <x:v>41214</x:v>
      </x:c>
      <x:c r="B438" s="13" t="str">
        <x:v>Banks</x:v>
      </x:c>
      <x:c r="C438" s="16" t="n">
        <x:v>46916.8604258192</x:v>
      </x:c>
      <x:c r="D438" s="16" t="n">
        <x:v>45902.5552959123</x:v>
      </x:c>
      <x:c r="E438" s="16" t="n">
        <x:v>-1014.3051299069</x:v>
      </x:c>
      <x:c r="F438" s="23" t="n">
        <x:v>4</x:v>
      </x:c>
    </x:row>
    <x:row r="439">
      <x:c r="A439" s="15" t="n">
        <x:v>41214</x:v>
      </x:c>
      <x:c r="B439" s="13" t="str">
        <x:v>Capital Goods</x:v>
      </x:c>
      <x:c r="C439" s="16" t="n">
        <x:v>1024.506463737</x:v>
      </x:c>
      <x:c r="D439" s="16" t="n">
        <x:v>1020.131813874</x:v>
      </x:c>
      <x:c r="E439" s="16" t="n">
        <x:v>-4.374649863</x:v>
      </x:c>
      <x:c r="F439" s="23" t="n">
        <x:v>1</x:v>
      </x:c>
    </x:row>
    <x:row r="440">
      <x:c r="A440" s="15" t="n">
        <x:v>41214</x:v>
      </x:c>
      <x:c r="B440" s="13" t="str">
        <x:v>Financials Non-Banks</x:v>
      </x:c>
      <x:c r="C440" s="16" t="n">
        <x:v>9439.3275623452</x:v>
      </x:c>
      <x:c r="D440" s="16" t="n">
        <x:v>9404.9976470794</x:v>
      </x:c>
      <x:c r="E440" s="16" t="n">
        <x:v>-34.3299152657</x:v>
      </x:c>
      <x:c r="F440" s="23" t="n">
        <x:v>3</x:v>
      </x:c>
    </x:row>
    <x:row r="441">
      <x:c r="A441" s="15" t="n">
        <x:v>41214</x:v>
      </x:c>
      <x:c r="B441" s="13" t="str">
        <x:v>Food &amp; Beverages</x:v>
      </x:c>
      <x:c r="C441" s="16" t="n">
        <x:v>14356.7503491069</x:v>
      </x:c>
      <x:c r="D441" s="16" t="n">
        <x:v>14550.6279153095</x:v>
      </x:c>
      <x:c r="E441" s="16" t="n">
        <x:v>193.8775662027</x:v>
      </x:c>
      <x:c r="F441" s="23" t="n">
        <x:v>4</x:v>
      </x:c>
    </x:row>
    <x:row r="442">
      <x:c r="A442" s="15" t="n">
        <x:v>41214</x:v>
      </x:c>
      <x:c r="B442" s="13" t="str">
        <x:v>Health Care</x:v>
      </x:c>
      <x:c r="C442" s="16" t="n">
        <x:v>569.7296105205</x:v>
      </x:c>
      <x:c r="D442" s="16" t="n">
        <x:v>594.6707911014</x:v>
      </x:c>
      <x:c r="E442" s="16" t="n">
        <x:v>24.9411805808</x:v>
      </x:c>
      <x:c r="F442" s="23" t="n">
        <x:v>2</x:v>
      </x:c>
    </x:row>
    <x:row r="443">
      <x:c r="A443" s="15" t="n">
        <x:v>41214</x:v>
      </x:c>
      <x:c r="B443" s="13" t="str">
        <x:v>Homebuilders</x:v>
      </x:c>
      <x:c r="C443" s="16" t="n">
        <x:v>2885.1122890521</x:v>
      </x:c>
      <x:c r="D443" s="16" t="n">
        <x:v>2825.9002293808</x:v>
      </x:c>
      <x:c r="E443" s="16" t="n">
        <x:v>-59.2120596712</x:v>
      </x:c>
      <x:c r="F443" s="23" t="n">
        <x:v>6</x:v>
      </x:c>
    </x:row>
    <x:row r="444">
      <x:c r="A444" s="15" t="n">
        <x:v>41214</x:v>
      </x:c>
      <x:c r="B444" s="13" t="str">
        <x:v>Income Properties</x:v>
      </x:c>
      <x:c r="C444" s="16" t="n">
        <x:v>536.0638379836</x:v>
      </x:c>
      <x:c r="D444" s="16" t="n">
        <x:v>564.6154920329</x:v>
      </x:c>
      <x:c r="E444" s="16" t="n">
        <x:v>28.5516540493</x:v>
      </x:c>
      <x:c r="F444" s="23" t="n">
        <x:v>1</x:v>
      </x:c>
    </x:row>
    <x:row r="445">
      <x:c r="A445" s="15" t="n">
        <x:v>41214</x:v>
      </x:c>
      <x:c r="B445" s="13" t="str">
        <x:v>Metals &amp; Mining</x:v>
      </x:c>
      <x:c r="C445" s="16" t="n">
        <x:v>36458.7651257424</x:v>
      </x:c>
      <x:c r="D445" s="16" t="n">
        <x:v>30353.5955080109</x:v>
      </x:c>
      <x:c r="E445" s="16" t="n">
        <x:v>-6105.1696177315</x:v>
      </x:c>
      <x:c r="F445" s="23" t="n">
        <x:v>8</x:v>
      </x:c>
    </x:row>
    <x:row r="446">
      <x:c r="A446" s="15" t="n">
        <x:v>41214</x:v>
      </x:c>
      <x:c r="B446" s="13" t="str">
        <x:v>Oil, Gas &amp; Petrochemicals</x:v>
      </x:c>
      <x:c r="C446" s="16" t="n">
        <x:v>35458.7025226739</x:v>
      </x:c>
      <x:c r="D446" s="16" t="n">
        <x:v>34522.7870606028</x:v>
      </x:c>
      <x:c r="E446" s="16" t="n">
        <x:v>-935.9154620712</x:v>
      </x:c>
      <x:c r="F446" s="23" t="n">
        <x:v>4</x:v>
      </x:c>
    </x:row>
    <x:row r="447">
      <x:c r="A447" s="15" t="n">
        <x:v>41214</x:v>
      </x:c>
      <x:c r="B447" s="13" t="str">
        <x:v>Pulp &amp; Paper</x:v>
      </x:c>
      <x:c r="C447" s="16" t="n">
        <x:v>370.6876603616</x:v>
      </x:c>
      <x:c r="D447" s="16" t="n">
        <x:v>552.8384406795</x:v>
      </x:c>
      <x:c r="E447" s="16" t="n">
        <x:v>182.1507803178</x:v>
      </x:c>
      <x:c r="F447" s="23" t="n">
        <x:v>2</x:v>
      </x:c>
    </x:row>
    <x:row r="448">
      <x:c r="A448" s="15" t="n">
        <x:v>41214</x:v>
      </x:c>
      <x:c r="B448" s="13" t="str">
        <x:v>Retail</x:v>
      </x:c>
      <x:c r="C448" s="16" t="n">
        <x:v>3474.0031723397</x:v>
      </x:c>
      <x:c r="D448" s="16" t="n">
        <x:v>3584.6302619178</x:v>
      </x:c>
      <x:c r="E448" s="16" t="n">
        <x:v>110.6270895781</x:v>
      </x:c>
      <x:c r="F448" s="23" t="n">
        <x:v>6</x:v>
      </x:c>
    </x:row>
    <x:row r="449">
      <x:c r="A449" s="15" t="n">
        <x:v>41214</x:v>
      </x:c>
      <x:c r="B449" s="13" t="str">
        <x:v>Sanitation</x:v>
      </x:c>
      <x:c r="C449" s="16" t="n">
        <x:v>1847.8678303562</x:v>
      </x:c>
      <x:c r="D449" s="16" t="n">
        <x:v>1890.5226464438</x:v>
      </x:c>
      <x:c r="E449" s="16" t="n">
        <x:v>42.6548160877</x:v>
      </x:c>
      <x:c r="F449" s="23" t="n">
        <x:v>1</x:v>
      </x:c>
    </x:row>
    <x:row r="450">
      <x:c r="A450" s="15" t="n">
        <x:v>41214</x:v>
      </x:c>
      <x:c r="B450" s="13" t="str">
        <x:v>TMT</x:v>
      </x:c>
      <x:c r="C450" s="16" t="n">
        <x:v>7874.2652735123</x:v>
      </x:c>
      <x:c r="D450" s="16" t="n">
        <x:v>7985.5740559781</x:v>
      </x:c>
      <x:c r="E450" s="16" t="n">
        <x:v>111.3087824658</x:v>
      </x:c>
      <x:c r="F450" s="23" t="n">
        <x:v>4</x:v>
      </x:c>
    </x:row>
    <x:row r="451">
      <x:c r="A451" s="15" t="n">
        <x:v>41214</x:v>
      </x:c>
      <x:c r="B451" s="13" t="str">
        <x:v>Transportation</x:v>
      </x:c>
      <x:c r="C451" s="16" t="n">
        <x:v>2035.5931782137</x:v>
      </x:c>
      <x:c r="D451" s="16" t="n">
        <x:v>2046.8247739836</x:v>
      </x:c>
      <x:c r="E451" s="16" t="n">
        <x:v>11.2315957699</x:v>
      </x:c>
      <x:c r="F451" s="23" t="n">
        <x:v>5</x:v>
      </x:c>
    </x:row>
    <x:row r="452">
      <x:c r="A452" s="15" t="n">
        <x:v>41214</x:v>
      </x:c>
      <x:c r="B452" s="13" t="str">
        <x:v>Utilities &amp; Energy</x:v>
      </x:c>
      <x:c r="C452" s="16" t="n">
        <x:v>16765.8263633973</x:v>
      </x:c>
      <x:c r="D452" s="16" t="n">
        <x:v>11994.2407867616</x:v>
      </x:c>
      <x:c r="E452" s="16" t="n">
        <x:v>-4771.5855766356</x:v>
      </x:c>
      <x:c r="F452" s="23" t="n">
        <x:v>9</x:v>
      </x:c>
    </x:row>
    <x:row r="453">
      <x:c r="A453" s="15" t="n">
        <x:v>41244</x:v>
      </x:c>
      <x:c r="B453" s="13" t="str">
        <x:v>Banks</x:v>
      </x:c>
      <x:c r="C453" s="16" t="n">
        <x:v>47003.0003929425</x:v>
      </x:c>
      <x:c r="D453" s="16" t="n">
        <x:v>46737.89952</x:v>
      </x:c>
      <x:c r="E453" s="16" t="n">
        <x:v>-265.1008729425</x:v>
      </x:c>
      <x:c r="F453" s="23" t="n">
        <x:v>4</x:v>
      </x:c>
    </x:row>
    <x:row r="454">
      <x:c r="A454" s="15" t="n">
        <x:v>41244</x:v>
      </x:c>
      <x:c r="B454" s="13" t="str">
        <x:v>Capital Goods</x:v>
      </x:c>
      <x:c r="C454" s="16" t="n">
        <x:v>1012.3052529973</x:v>
      </x:c>
      <x:c r="D454" s="16" t="n">
        <x:v>1010.750016</x:v>
      </x:c>
      <x:c r="E454" s="16" t="n">
        <x:v>-1.5552369973</x:v>
      </x:c>
      <x:c r="F454" s="23" t="n">
        <x:v>1</x:v>
      </x:c>
    </x:row>
    <x:row r="455">
      <x:c r="A455" s="15" t="n">
        <x:v>41244</x:v>
      </x:c>
      <x:c r="B455" s="13" t="str">
        <x:v>Financials Non-Banks</x:v>
      </x:c>
      <x:c r="C455" s="16" t="n">
        <x:v>9770.4374006356</x:v>
      </x:c>
      <x:c r="D455" s="16" t="n">
        <x:v>10241.940096</x:v>
      </x:c>
      <x:c r="E455" s="16" t="n">
        <x:v>471.5026953644</x:v>
      </x:c>
      <x:c r="F455" s="23" t="n">
        <x:v>4</x:v>
      </x:c>
    </x:row>
    <x:row r="456">
      <x:c r="A456" s="15" t="n">
        <x:v>41244</x:v>
      </x:c>
      <x:c r="B456" s="13" t="str">
        <x:v>Food &amp; Beverages</x:v>
      </x:c>
      <x:c r="C456" s="16" t="n">
        <x:v>14235.8509056</x:v>
      </x:c>
      <x:c r="D456" s="16" t="n">
        <x:v>14721.348576</x:v>
      </x:c>
      <x:c r="E456" s="16" t="n">
        <x:v>485.4976704</x:v>
      </x:c>
      <x:c r="F456" s="23" t="n">
        <x:v>4</x:v>
      </x:c>
    </x:row>
    <x:row r="457">
      <x:c r="A457" s="15" t="n">
        <x:v>41244</x:v>
      </x:c>
      <x:c r="B457" s="13" t="str">
        <x:v>Health Care</x:v>
      </x:c>
      <x:c r="C457" s="16" t="n">
        <x:v>579.3083703233</x:v>
      </x:c>
      <x:c r="D457" s="16" t="n">
        <x:v>623.877984</x:v>
      </x:c>
      <x:c r="E457" s="16" t="n">
        <x:v>44.5696136767</x:v>
      </x:c>
      <x:c r="F457" s="23" t="n">
        <x:v>2</x:v>
      </x:c>
    </x:row>
    <x:row r="458">
      <x:c r="A458" s="15" t="n">
        <x:v>41244</x:v>
      </x:c>
      <x:c r="B458" s="13" t="str">
        <x:v>Homebuilders</x:v>
      </x:c>
      <x:c r="C458" s="16" t="n">
        <x:v>2844.2139424219</x:v>
      </x:c>
      <x:c r="D458" s="16" t="n">
        <x:v>2881.014016</x:v>
      </x:c>
      <x:c r="E458" s="16" t="n">
        <x:v>36.8000735781</x:v>
      </x:c>
      <x:c r="F458" s="23" t="n">
        <x:v>6</x:v>
      </x:c>
    </x:row>
    <x:row r="459">
      <x:c r="A459" s="15" t="n">
        <x:v>41244</x:v>
      </x:c>
      <x:c r="B459" s="13" t="str">
        <x:v>Income Properties</x:v>
      </x:c>
      <x:c r="C459" s="16" t="n">
        <x:v>531.4847659836</x:v>
      </x:c>
      <x:c r="D459" s="16" t="n">
        <x:v>576.286016</x:v>
      </x:c>
      <x:c r="E459" s="16" t="n">
        <x:v>44.8012500164</x:v>
      </x:c>
      <x:c r="F459" s="23" t="n">
        <x:v>1</x:v>
      </x:c>
    </x:row>
    <x:row r="460">
      <x:c r="A460" s="15" t="n">
        <x:v>41244</x:v>
      </x:c>
      <x:c r="B460" s="13" t="str">
        <x:v>Metals &amp; Mining</x:v>
      </x:c>
      <x:c r="C460" s="16" t="n">
        <x:v>33148.2930944438</x:v>
      </x:c>
      <x:c r="D460" s="16" t="n">
        <x:v>30791.512824</x:v>
      </x:c>
      <x:c r="E460" s="16" t="n">
        <x:v>-2356.7802704438</x:v>
      </x:c>
      <x:c r="F460" s="23" t="n">
        <x:v>8</x:v>
      </x:c>
    </x:row>
    <x:row r="461">
      <x:c r="A461" s="15" t="n">
        <x:v>41244</x:v>
      </x:c>
      <x:c r="B461" s="13" t="str">
        <x:v>Oil, Gas &amp; Petrochemicals</x:v>
      </x:c>
      <x:c r="C461" s="16" t="n">
        <x:v>35995.2472177315</x:v>
      </x:c>
      <x:c r="D461" s="16" t="n">
        <x:v>35096.126016</x:v>
      </x:c>
      <x:c r="E461" s="16" t="n">
        <x:v>-899.1212017315</x:v>
      </x:c>
      <x:c r="F461" s="23" t="n">
        <x:v>4</x:v>
      </x:c>
    </x:row>
    <x:row r="462">
      <x:c r="A462" s="15" t="n">
        <x:v>41244</x:v>
      </x:c>
      <x:c r="B462" s="13" t="str">
        <x:v>Pulp &amp; Paper</x:v>
      </x:c>
      <x:c r="C462" s="16" t="n">
        <x:v>456.1467151781</x:v>
      </x:c>
      <x:c r="D462" s="16" t="n">
        <x:v>660.87145</x:v>
      </x:c>
      <x:c r="E462" s="16" t="n">
        <x:v>204.7247348219</x:v>
      </x:c>
      <x:c r="F462" s="23" t="n">
        <x:v>3</x:v>
      </x:c>
    </x:row>
    <x:row r="463">
      <x:c r="A463" s="15" t="n">
        <x:v>41244</x:v>
      </x:c>
      <x:c r="B463" s="13" t="str">
        <x:v>Retail</x:v>
      </x:c>
      <x:c r="C463" s="16" t="n">
        <x:v>3472.5791211836</x:v>
      </x:c>
      <x:c r="D463" s="16" t="n">
        <x:v>3616.079476</x:v>
      </x:c>
      <x:c r="E463" s="16" t="n">
        <x:v>143.5003548164</x:v>
      </x:c>
      <x:c r="F463" s="23" t="n">
        <x:v>6</x:v>
      </x:c>
    </x:row>
    <x:row r="464">
      <x:c r="A464" s="15" t="n">
        <x:v>41244</x:v>
      </x:c>
      <x:c r="B464" s="13" t="str">
        <x:v>Sanitation</x:v>
      </x:c>
      <x:c r="C464" s="16" t="n">
        <x:v>1786.5876360767</x:v>
      </x:c>
      <x:c r="D464" s="16" t="n">
        <x:v>1926</x:v>
      </x:c>
      <x:c r="E464" s="16" t="n">
        <x:v>139.4123639233</x:v>
      </x:c>
      <x:c r="F464" s="23" t="n">
        <x:v>1</x:v>
      </x:c>
    </x:row>
    <x:row r="465">
      <x:c r="A465" s="15" t="n">
        <x:v>41244</x:v>
      </x:c>
      <x:c r="B465" s="13" t="str">
        <x:v>TMT</x:v>
      </x:c>
      <x:c r="C465" s="16" t="n">
        <x:v>7866.2476694794</x:v>
      </x:c>
      <x:c r="D465" s="16" t="n">
        <x:v>8017.280256</x:v>
      </x:c>
      <x:c r="E465" s="16" t="n">
        <x:v>151.0325865206</x:v>
      </x:c>
      <x:c r="F465" s="23" t="n">
        <x:v>4</x:v>
      </x:c>
    </x:row>
    <x:row r="466">
      <x:c r="A466" s="15" t="n">
        <x:v>41244</x:v>
      </x:c>
      <x:c r="B466" s="13" t="str">
        <x:v>Transportation</x:v>
      </x:c>
      <x:c r="C466" s="16" t="n">
        <x:v>1985.8028814247</x:v>
      </x:c>
      <x:c r="D466" s="16" t="n">
        <x:v>2145.255362</x:v>
      </x:c>
      <x:c r="E466" s="16" t="n">
        <x:v>159.4524805753</x:v>
      </x:c>
      <x:c r="F466" s="23" t="n">
        <x:v>5</x:v>
      </x:c>
    </x:row>
    <x:row r="467">
      <x:c r="A467" s="15" t="n">
        <x:v>41244</x:v>
      </x:c>
      <x:c r="B467" s="13" t="str">
        <x:v>Utilities &amp; Energy</x:v>
      </x:c>
      <x:c r="C467" s="16" t="n">
        <x:v>16306.4533099836</x:v>
      </x:c>
      <x:c r="D467" s="16" t="n">
        <x:v>12954.086848</x:v>
      </x:c>
      <x:c r="E467" s="16" t="n">
        <x:v>-3352.3664619836</x:v>
      </x:c>
      <x:c r="F467" s="23" t="n">
        <x:v>9</x:v>
      </x:c>
    </x:row>
    <x:row r="468">
      <x:c r="A468" s="15" t="n">
        <x:v>41275</x:v>
      </x:c>
      <x:c r="B468" s="13" t="str">
        <x:v>Banks</x:v>
      </x:c>
      <x:c r="C468" s="16" t="n">
        <x:v>46674.4425878795</x:v>
      </x:c>
      <x:c r="D468" s="16" t="n">
        <x:v>45836.0053956383</x:v>
      </x:c>
      <x:c r="E468" s="16" t="n">
        <x:v>-838.4371922412</x:v>
      </x:c>
      <x:c r="F468" s="23" t="n">
        <x:v>4</x:v>
      </x:c>
    </x:row>
    <x:row r="469">
      <x:c r="A469" s="15" t="n">
        <x:v>41275</x:v>
      </x:c>
      <x:c r="B469" s="13" t="str">
        <x:v>Capital Goods</x:v>
      </x:c>
      <x:c r="C469" s="16" t="n">
        <x:v>997.3926952329</x:v>
      </x:c>
      <x:c r="D469" s="16" t="n">
        <x:v>934.8307822466</x:v>
      </x:c>
      <x:c r="E469" s="16" t="n">
        <x:v>-62.5619129863</x:v>
      </x:c>
      <x:c r="F469" s="23" t="n">
        <x:v>1</x:v>
      </x:c>
    </x:row>
    <x:row r="470">
      <x:c r="A470" s="15" t="n">
        <x:v>41275</x:v>
      </x:c>
      <x:c r="B470" s="13" t="str">
        <x:v>Financials Non-Banks</x:v>
      </x:c>
      <x:c r="C470" s="16" t="n">
        <x:v>9715.4483634849</x:v>
      </x:c>
      <x:c r="D470" s="16" t="n">
        <x:v>10391.0094944438</x:v>
      </x:c>
      <x:c r="E470" s="16" t="n">
        <x:v>675.5611309589</x:v>
      </x:c>
      <x:c r="F470" s="23" t="n">
        <x:v>4</x:v>
      </x:c>
    </x:row>
    <x:row r="471">
      <x:c r="A471" s="15" t="n">
        <x:v>41275</x:v>
      </x:c>
      <x:c r="B471" s="13" t="str">
        <x:v>Food &amp; Beverages</x:v>
      </x:c>
      <x:c r="C471" s="16" t="n">
        <x:v>14460.7970211945</x:v>
      </x:c>
      <x:c r="D471" s="16" t="n">
        <x:v>15102.5246498192</x:v>
      </x:c>
      <x:c r="E471" s="16" t="n">
        <x:v>641.7276286247</x:v>
      </x:c>
      <x:c r="F471" s="23" t="n">
        <x:v>4</x:v>
      </x:c>
    </x:row>
    <x:row r="472">
      <x:c r="A472" s="15" t="n">
        <x:v>41275</x:v>
      </x:c>
      <x:c r="B472" s="13" t="str">
        <x:v>Health Care</x:v>
      </x:c>
      <x:c r="C472" s="16" t="n">
        <x:v>588.7986244384</x:v>
      </x:c>
      <x:c r="D472" s="16" t="n">
        <x:v>633.5676159562</x:v>
      </x:c>
      <x:c r="E472" s="16" t="n">
        <x:v>44.7689915178</x:v>
      </x:c>
      <x:c r="F472" s="23" t="n">
        <x:v>2</x:v>
      </x:c>
    </x:row>
    <x:row r="473">
      <x:c r="A473" s="15" t="n">
        <x:v>41275</x:v>
      </x:c>
      <x:c r="B473" s="13" t="str">
        <x:v>Homebuilders</x:v>
      </x:c>
      <x:c r="C473" s="16" t="n">
        <x:v>2805.8298375671</x:v>
      </x:c>
      <x:c r="D473" s="16" t="n">
        <x:v>2797.5795014137</x:v>
      </x:c>
      <x:c r="E473" s="16" t="n">
        <x:v>-8.2503361534</x:v>
      </x:c>
      <x:c r="F473" s="23" t="n">
        <x:v>6</x:v>
      </x:c>
    </x:row>
    <x:row r="474">
      <x:c r="A474" s="15" t="n">
        <x:v>41275</x:v>
      </x:c>
      <x:c r="B474" s="13" t="str">
        <x:v>Income Properties</x:v>
      </x:c>
      <x:c r="C474" s="16" t="n">
        <x:v>550.4699807562</x:v>
      </x:c>
      <x:c r="D474" s="16" t="n">
        <x:v>584.341791737</x:v>
      </x:c>
      <x:c r="E474" s="16" t="n">
        <x:v>33.8718109808</x:v>
      </x:c>
      <x:c r="F474" s="23" t="n">
        <x:v>1</x:v>
      </x:c>
    </x:row>
    <x:row r="475">
      <x:c r="A475" s="15" t="n">
        <x:v>41275</x:v>
      </x:c>
      <x:c r="B475" s="13" t="str">
        <x:v>Metals &amp; Mining</x:v>
      </x:c>
      <x:c r="C475" s="16" t="n">
        <x:v>30674.5606358795</x:v>
      </x:c>
      <x:c r="D475" s="16" t="n">
        <x:v>29537.0153975233</x:v>
      </x:c>
      <x:c r="E475" s="16" t="n">
        <x:v>-1137.5452383562</x:v>
      </x:c>
      <x:c r="F475" s="23" t="n">
        <x:v>8</x:v>
      </x:c>
    </x:row>
    <x:row r="476">
      <x:c r="A476" s="15" t="n">
        <x:v>41275</x:v>
      </x:c>
      <x:c r="B476" s="13" t="str">
        <x:v>Oil, Gas &amp; Petrochemicals</x:v>
      </x:c>
      <x:c r="C476" s="16" t="n">
        <x:v>35082.9657631562</x:v>
      </x:c>
      <x:c r="D476" s="16" t="n">
        <x:v>35831.1092916603</x:v>
      </x:c>
      <x:c r="E476" s="16" t="n">
        <x:v>748.1435285041</x:v>
      </x:c>
      <x:c r="F476" s="23" t="n">
        <x:v>4</x:v>
      </x:c>
    </x:row>
    <x:row r="477">
      <x:c r="A477" s="15" t="n">
        <x:v>41275</x:v>
      </x:c>
      <x:c r="B477" s="13" t="str">
        <x:v>Pulp &amp; Paper</x:v>
      </x:c>
      <x:c r="C477" s="16" t="n">
        <x:v>513.7124543781</x:v>
      </x:c>
      <x:c r="D477" s="16" t="n">
        <x:v>838.1697537753</x:v>
      </x:c>
      <x:c r="E477" s="16" t="n">
        <x:v>324.4572993973</x:v>
      </x:c>
      <x:c r="F477" s="23" t="n">
        <x:v>3</x:v>
      </x:c>
    </x:row>
    <x:row r="478">
      <x:c r="A478" s="15" t="n">
        <x:v>41275</x:v>
      </x:c>
      <x:c r="B478" s="13" t="str">
        <x:v>Retail</x:v>
      </x:c>
      <x:c r="C478" s="16" t="n">
        <x:v>3503.9411335452</x:v>
      </x:c>
      <x:c r="D478" s="16" t="n">
        <x:v>3634.4579742356</x:v>
      </x:c>
      <x:c r="E478" s="16" t="n">
        <x:v>130.5168406904</x:v>
      </x:c>
      <x:c r="F478" s="23" t="n">
        <x:v>6</x:v>
      </x:c>
    </x:row>
    <x:row r="479">
      <x:c r="A479" s="15" t="n">
        <x:v>41275</x:v>
      </x:c>
      <x:c r="B479" s="13" t="str">
        <x:v>Sanitation</x:v>
      </x:c>
      <x:c r="C479" s="16" t="n">
        <x:v>1802.3730316274</x:v>
      </x:c>
      <x:c r="D479" s="16" t="n">
        <x:v>2081.8614229918</x:v>
      </x:c>
      <x:c r="E479" s="16" t="n">
        <x:v>279.4883913644</x:v>
      </x:c>
      <x:c r="F479" s="23" t="n">
        <x:v>1</x:v>
      </x:c>
    </x:row>
    <x:row r="480">
      <x:c r="A480" s="15" t="n">
        <x:v>41275</x:v>
      </x:c>
      <x:c r="B480" s="13" t="str">
        <x:v>TMT</x:v>
      </x:c>
      <x:c r="C480" s="16" t="n">
        <x:v>7996.2463775562</x:v>
      </x:c>
      <x:c r="D480" s="16" t="n">
        <x:v>7960.6003554192</x:v>
      </x:c>
      <x:c r="E480" s="16" t="n">
        <x:v>-35.646022137</x:v>
      </x:c>
      <x:c r="F480" s="23" t="n">
        <x:v>4</x:v>
      </x:c>
    </x:row>
    <x:row r="481">
      <x:c r="A481" s="15" t="n">
        <x:v>41275</x:v>
      </x:c>
      <x:c r="B481" s="13" t="str">
        <x:v>Transportation</x:v>
      </x:c>
      <x:c r="C481" s="16" t="n">
        <x:v>2062.006777074</x:v>
      </x:c>
      <x:c r="D481" s="16" t="n">
        <x:v>2209.908779463</x:v>
      </x:c>
      <x:c r="E481" s="16" t="n">
        <x:v>147.902002389</x:v>
      </x:c>
      <x:c r="F481" s="23" t="n">
        <x:v>5</x:v>
      </x:c>
    </x:row>
    <x:row r="482">
      <x:c r="A482" s="15" t="n">
        <x:v>41275</x:v>
      </x:c>
      <x:c r="B482" s="13" t="str">
        <x:v>Utilities &amp; Energy</x:v>
      </x:c>
      <x:c r="C482" s="16" t="n">
        <x:v>16287.7849778849</x:v>
      </x:c>
      <x:c r="D482" s="16" t="n">
        <x:v>8620.9894419069</x:v>
      </x:c>
      <x:c r="E482" s="16" t="n">
        <x:v>-7666.7955359781</x:v>
      </x:c>
      <x:c r="F482" s="23" t="n">
        <x:v>9</x:v>
      </x:c>
    </x:row>
    <x:row r="483">
      <x:c r="A483" s="15" t="n">
        <x:v>41306</x:v>
      </x:c>
      <x:c r="B483" s="13" t="str">
        <x:v>Banks</x:v>
      </x:c>
      <x:c r="C483" s="16" t="n">
        <x:v>45902.5552959123</x:v>
      </x:c>
      <x:c r="D483" s="16" t="n">
        <x:v>45670.9390476273</x:v>
      </x:c>
      <x:c r="E483" s="16" t="n">
        <x:v>-231.616248285</x:v>
      </x:c>
      <x:c r="F483" s="23" t="n">
        <x:v>4</x:v>
      </x:c>
    </x:row>
    <x:row r="484">
      <x:c r="A484" s="15" t="n">
        <x:v>41306</x:v>
      </x:c>
      <x:c r="B484" s="13" t="str">
        <x:v>Capital Goods</x:v>
      </x:c>
      <x:c r="C484" s="16" t="n">
        <x:v>1020.131813874</x:v>
      </x:c>
      <x:c r="D484" s="16" t="n">
        <x:v>982.4542267616</x:v>
      </x:c>
      <x:c r="E484" s="16" t="n">
        <x:v>-37.6775871123</x:v>
      </x:c>
      <x:c r="F484" s="23" t="n">
        <x:v>1</x:v>
      </x:c>
    </x:row>
    <x:row r="485">
      <x:c r="A485" s="15" t="n">
        <x:v>41306</x:v>
      </x:c>
      <x:c r="B485" s="13" t="str">
        <x:v>Financials Non-Banks</x:v>
      </x:c>
      <x:c r="C485" s="16" t="n">
        <x:v>9821.9686242192</x:v>
      </x:c>
      <x:c r="D485" s="16" t="n">
        <x:v>10603.7234897534</x:v>
      </x:c>
      <x:c r="E485" s="16" t="n">
        <x:v>781.7548655342</x:v>
      </x:c>
      <x:c r="F485" s="23" t="n">
        <x:v>4</x:v>
      </x:c>
    </x:row>
    <x:row r="486">
      <x:c r="A486" s="15" t="n">
        <x:v>41306</x:v>
      </x:c>
      <x:c r="B486" s="13" t="str">
        <x:v>Food &amp; Beverages</x:v>
      </x:c>
      <x:c r="C486" s="16" t="n">
        <x:v>14550.6279153095</x:v>
      </x:c>
      <x:c r="D486" s="16" t="n">
        <x:v>15440.7236082849</x:v>
      </x:c>
      <x:c r="E486" s="16" t="n">
        <x:v>890.0956929754</x:v>
      </x:c>
      <x:c r="F486" s="23" t="n">
        <x:v>4</x:v>
      </x:c>
    </x:row>
    <x:row r="487">
      <x:c r="A487" s="15" t="n">
        <x:v>41306</x:v>
      </x:c>
      <x:c r="B487" s="13" t="str">
        <x:v>Health Care</x:v>
      </x:c>
      <x:c r="C487" s="16" t="n">
        <x:v>594.6707911014</x:v>
      </x:c>
      <x:c r="D487" s="16" t="n">
        <x:v>641.4818795836</x:v>
      </x:c>
      <x:c r="E487" s="16" t="n">
        <x:v>46.8110884822</x:v>
      </x:c>
      <x:c r="F487" s="23" t="n">
        <x:v>2</x:v>
      </x:c>
    </x:row>
    <x:row r="488">
      <x:c r="A488" s="15" t="n">
        <x:v>41306</x:v>
      </x:c>
      <x:c r="B488" s="13" t="str">
        <x:v>Homebuilders</x:v>
      </x:c>
      <x:c r="C488" s="16" t="n">
        <x:v>2825.9002293808</x:v>
      </x:c>
      <x:c r="D488" s="16" t="n">
        <x:v>2569.3743714192</x:v>
      </x:c>
      <x:c r="E488" s="16" t="n">
        <x:v>-256.5258579616</x:v>
      </x:c>
      <x:c r="F488" s="23" t="n">
        <x:v>6</x:v>
      </x:c>
    </x:row>
    <x:row r="489">
      <x:c r="A489" s="15" t="n">
        <x:v>41306</x:v>
      </x:c>
      <x:c r="B489" s="13" t="str">
        <x:v>Income Properties</x:v>
      </x:c>
      <x:c r="C489" s="16" t="n">
        <x:v>564.6154920329</x:v>
      </x:c>
      <x:c r="D489" s="16" t="n">
        <x:v>594.9695768548</x:v>
      </x:c>
      <x:c r="E489" s="16" t="n">
        <x:v>30.3540848219</x:v>
      </x:c>
      <x:c r="F489" s="23" t="n">
        <x:v>1</x:v>
      </x:c>
    </x:row>
    <x:row r="490">
      <x:c r="A490" s="15" t="n">
        <x:v>41306</x:v>
      </x:c>
      <x:c r="B490" s="13" t="str">
        <x:v>Metals &amp; Mining</x:v>
      </x:c>
      <x:c r="C490" s="16" t="n">
        <x:v>30353.5955080109</x:v>
      </x:c>
      <x:c r="D490" s="16" t="n">
        <x:v>30967.9644605808</x:v>
      </x:c>
      <x:c r="E490" s="16" t="n">
        <x:v>614.3689525699</x:v>
      </x:c>
      <x:c r="F490" s="23" t="n">
        <x:v>8</x:v>
      </x:c>
    </x:row>
    <x:row r="491">
      <x:c r="A491" s="15" t="n">
        <x:v>41306</x:v>
      </x:c>
      <x:c r="B491" s="13" t="str">
        <x:v>Oil, Gas &amp; Petrochemicals</x:v>
      </x:c>
      <x:c r="C491" s="16" t="n">
        <x:v>34522.7870606028</x:v>
      </x:c>
      <x:c r="D491" s="16" t="n">
        <x:v>32708.8983178521</x:v>
      </x:c>
      <x:c r="E491" s="16" t="n">
        <x:v>-1813.8887427507</x:v>
      </x:c>
      <x:c r="F491" s="23" t="n">
        <x:v>4</x:v>
      </x:c>
    </x:row>
    <x:row r="492">
      <x:c r="A492" s="15" t="n">
        <x:v>41306</x:v>
      </x:c>
      <x:c r="B492" s="13" t="str">
        <x:v>Pulp &amp; Paper</x:v>
      </x:c>
      <x:c r="C492" s="16" t="n">
        <x:v>543.9224464877</x:v>
      </x:c>
      <x:c r="D492" s="16" t="n">
        <x:v>817.2000565479</x:v>
      </x:c>
      <x:c r="E492" s="16" t="n">
        <x:v>273.2776100603</x:v>
      </x:c>
      <x:c r="F492" s="23" t="n">
        <x:v>3</x:v>
      </x:c>
    </x:row>
    <x:row r="493">
      <x:c r="A493" s="15" t="n">
        <x:v>41306</x:v>
      </x:c>
      <x:c r="B493" s="13" t="str">
        <x:v>Retail</x:v>
      </x:c>
      <x:c r="C493" s="16" t="n">
        <x:v>3584.6302619178</x:v>
      </x:c>
      <x:c r="D493" s="16" t="n">
        <x:v>3673.2443215014</x:v>
      </x:c>
      <x:c r="E493" s="16" t="n">
        <x:v>88.6140595836</x:v>
      </x:c>
      <x:c r="F493" s="23" t="n">
        <x:v>6</x:v>
      </x:c>
    </x:row>
    <x:row r="494">
      <x:c r="A494" s="15" t="n">
        <x:v>41306</x:v>
      </x:c>
      <x:c r="B494" s="13" t="str">
        <x:v>Sanitation</x:v>
      </x:c>
      <x:c r="C494" s="16" t="n">
        <x:v>1890.5226464438</x:v>
      </x:c>
      <x:c r="D494" s="16" t="n">
        <x:v>2132.6291154411</x:v>
      </x:c>
      <x:c r="E494" s="16" t="n">
        <x:v>242.1064689973</x:v>
      </x:c>
      <x:c r="F494" s="23" t="n">
        <x:v>1</x:v>
      </x:c>
    </x:row>
    <x:row r="495">
      <x:c r="A495" s="15" t="n">
        <x:v>41306</x:v>
      </x:c>
      <x:c r="B495" s="13" t="str">
        <x:v>TMT</x:v>
      </x:c>
      <x:c r="C495" s="16" t="n">
        <x:v>7985.5740559781</x:v>
      </x:c>
      <x:c r="D495" s="16" t="n">
        <x:v>8199.3543262685</x:v>
      </x:c>
      <x:c r="E495" s="16" t="n">
        <x:v>213.7802702904</x:v>
      </x:c>
      <x:c r="F495" s="23" t="n">
        <x:v>4</x:v>
      </x:c>
    </x:row>
    <x:row r="496">
      <x:c r="A496" s="15" t="n">
        <x:v>41306</x:v>
      </x:c>
      <x:c r="B496" s="13" t="str">
        <x:v>Transportation</x:v>
      </x:c>
      <x:c r="C496" s="16" t="n">
        <x:v>2046.8247739836</x:v>
      </x:c>
      <x:c r="D496" s="16" t="n">
        <x:v>2234.5120951123</x:v>
      </x:c>
      <x:c r="E496" s="16" t="n">
        <x:v>187.6873211288</x:v>
      </x:c>
      <x:c r="F496" s="23" t="n">
        <x:v>5</x:v>
      </x:c>
    </x:row>
    <x:row r="497">
      <x:c r="A497" s="15" t="n">
        <x:v>41306</x:v>
      </x:c>
      <x:c r="B497" s="13" t="str">
        <x:v>Utilities &amp; Energy</x:v>
      </x:c>
      <x:c r="C497" s="16" t="n">
        <x:v>7114.6338989589</x:v>
      </x:c>
      <x:c r="D497" s="16" t="n">
        <x:v>7151.9639148712</x:v>
      </x:c>
      <x:c r="E497" s="16" t="n">
        <x:v>37.3300159123</x:v>
      </x:c>
      <x:c r="F497" s="23" t="n">
        <x:v>7</x:v>
      </x:c>
    </x:row>
    <x:row r="498">
      <x:c r="A498" s="15" t="n">
        <x:v>41334</x:v>
      </x:c>
      <x:c r="B498" s="13" t="str">
        <x:v>Banks</x:v>
      </x:c>
      <x:c r="C498" s="16" t="n">
        <x:v>46737.89952</x:v>
      </x:c>
      <x:c r="D498" s="16" t="n">
        <x:v>46538.5008212165</x:v>
      </x:c>
      <x:c r="E498" s="16" t="n">
        <x:v>-199.3986987835</x:v>
      </x:c>
      <x:c r="F498" s="23" t="n">
        <x:v>4</x:v>
      </x:c>
    </x:row>
    <x:row r="499">
      <x:c r="A499" s="15" t="n">
        <x:v>41334</x:v>
      </x:c>
      <x:c r="B499" s="13" t="str">
        <x:v>Capital Goods</x:v>
      </x:c>
      <x:c r="C499" s="16" t="n">
        <x:v>1010.750016</x:v>
      </x:c>
      <x:c r="D499" s="16" t="n">
        <x:v>997.8018002411</x:v>
      </x:c>
      <x:c r="E499" s="16" t="n">
        <x:v>-12.9482157589</x:v>
      </x:c>
      <x:c r="F499" s="23" t="n">
        <x:v>1</x:v>
      </x:c>
    </x:row>
    <x:row r="500">
      <x:c r="A500" s="15" t="n">
        <x:v>41334</x:v>
      </x:c>
      <x:c r="B500" s="13" t="str">
        <x:v>Financials Non-Banks</x:v>
      </x:c>
      <x:c r="C500" s="16" t="n">
        <x:v>10241.940096</x:v>
      </x:c>
      <x:c r="D500" s="16" t="n">
        <x:v>10748.0369556164</x:v>
      </x:c>
      <x:c r="E500" s="16" t="n">
        <x:v>506.0968596164</x:v>
      </x:c>
      <x:c r="F500" s="23" t="n">
        <x:v>4</x:v>
      </x:c>
    </x:row>
    <x:row r="501">
      <x:c r="A501" s="15" t="n">
        <x:v>41334</x:v>
      </x:c>
      <x:c r="B501" s="13" t="str">
        <x:v>Food &amp; Beverages</x:v>
      </x:c>
      <x:c r="C501" s="16" t="n">
        <x:v>14721.348576</x:v>
      </x:c>
      <x:c r="D501" s="16" t="n">
        <x:v>15760.7856662795</x:v>
      </x:c>
      <x:c r="E501" s="16" t="n">
        <x:v>1039.4370902795</x:v>
      </x:c>
      <x:c r="F501" s="23" t="n">
        <x:v>4</x:v>
      </x:c>
    </x:row>
    <x:row r="502">
      <x:c r="A502" s="15" t="n">
        <x:v>41334</x:v>
      </x:c>
      <x:c r="B502" s="13" t="str">
        <x:v>Health Care</x:v>
      </x:c>
      <x:c r="C502" s="16" t="n">
        <x:v>623.877984</x:v>
      </x:c>
      <x:c r="D502" s="16" t="n">
        <x:v>641.6239976329</x:v>
      </x:c>
      <x:c r="E502" s="16" t="n">
        <x:v>17.7460136329</x:v>
      </x:c>
      <x:c r="F502" s="23" t="n">
        <x:v>2</x:v>
      </x:c>
    </x:row>
    <x:row r="503">
      <x:c r="A503" s="15" t="n">
        <x:v>41334</x:v>
      </x:c>
      <x:c r="B503" s="13" t="str">
        <x:v>Homebuilders</x:v>
      </x:c>
      <x:c r="C503" s="16" t="n">
        <x:v>2881.014016</x:v>
      </x:c>
      <x:c r="D503" s="16" t="n">
        <x:v>2565.1632199014</x:v>
      </x:c>
      <x:c r="E503" s="16" t="n">
        <x:v>-315.8507960986</x:v>
      </x:c>
      <x:c r="F503" s="23" t="n">
        <x:v>6</x:v>
      </x:c>
    </x:row>
    <x:row r="504">
      <x:c r="A504" s="15" t="n">
        <x:v>41334</x:v>
      </x:c>
      <x:c r="B504" s="13" t="str">
        <x:v>Income Properties</x:v>
      </x:c>
      <x:c r="C504" s="16" t="n">
        <x:v>576.286016</x:v>
      </x:c>
      <x:c r="D504" s="16" t="n">
        <x:v>603.661562389</x:v>
      </x:c>
      <x:c r="E504" s="16" t="n">
        <x:v>27.375546389</x:v>
      </x:c>
      <x:c r="F504" s="23" t="n">
        <x:v>1</x:v>
      </x:c>
    </x:row>
    <x:row r="505">
      <x:c r="A505" s="15" t="n">
        <x:v>41334</x:v>
      </x:c>
      <x:c r="B505" s="13" t="str">
        <x:v>Metals &amp; Mining</x:v>
      </x:c>
      <x:c r="C505" s="16" t="n">
        <x:v>30791.512824</x:v>
      </x:c>
      <x:c r="D505" s="16" t="n">
        <x:v>29949.4240118356</x:v>
      </x:c>
      <x:c r="E505" s="16" t="n">
        <x:v>-842.0888121644</x:v>
      </x:c>
      <x:c r="F505" s="23" t="n">
        <x:v>8</x:v>
      </x:c>
    </x:row>
    <x:row r="506">
      <x:c r="A506" s="15" t="n">
        <x:v>41334</x:v>
      </x:c>
      <x:c r="B506" s="13" t="str">
        <x:v>Oil, Gas &amp; Petrochemicals</x:v>
      </x:c>
      <x:c r="C506" s="16" t="n">
        <x:v>35096.126016</x:v>
      </x:c>
      <x:c r="D506" s="16" t="n">
        <x:v>33395.7096795178</x:v>
      </x:c>
      <x:c r="E506" s="16" t="n">
        <x:v>-1700.4163364822</x:v>
      </x:c>
      <x:c r="F506" s="23" t="n">
        <x:v>4</x:v>
      </x:c>
    </x:row>
    <x:row r="507">
      <x:c r="A507" s="15" t="n">
        <x:v>41334</x:v>
      </x:c>
      <x:c r="B507" s="13" t="str">
        <x:v>Pulp &amp; Paper</x:v>
      </x:c>
      <x:c r="C507" s="16" t="n">
        <x:v>660.87145</x:v>
      </x:c>
      <x:c r="D507" s="16" t="n">
        <x:v>972.2302679671</x:v>
      </x:c>
      <x:c r="E507" s="16" t="n">
        <x:v>311.3588179671</x:v>
      </x:c>
      <x:c r="F507" s="23" t="n">
        <x:v>3</x:v>
      </x:c>
    </x:row>
    <x:row r="508">
      <x:c r="A508" s="15" t="n">
        <x:v>41334</x:v>
      </x:c>
      <x:c r="B508" s="13" t="str">
        <x:v>Retail</x:v>
      </x:c>
      <x:c r="C508" s="16" t="n">
        <x:v>3616.079476</x:v>
      </x:c>
      <x:c r="D508" s="16" t="n">
        <x:v>3652.0633389589</x:v>
      </x:c>
      <x:c r="E508" s="16" t="n">
        <x:v>35.9838629589</x:v>
      </x:c>
      <x:c r="F508" s="23" t="n">
        <x:v>6</x:v>
      </x:c>
    </x:row>
    <x:row r="509">
      <x:c r="A509" s="15" t="n">
        <x:v>41334</x:v>
      </x:c>
      <x:c r="B509" s="13" t="str">
        <x:v>Sanitation</x:v>
      </x:c>
      <x:c r="C509" s="16" t="n">
        <x:v>1926</x:v>
      </x:c>
      <x:c r="D509" s="16" t="n">
        <x:v>2190.8095901808</x:v>
      </x:c>
      <x:c r="E509" s="16" t="n">
        <x:v>264.8095901808</x:v>
      </x:c>
      <x:c r="F509" s="23" t="n">
        <x:v>1</x:v>
      </x:c>
    </x:row>
    <x:row r="510">
      <x:c r="A510" s="15" t="n">
        <x:v>41334</x:v>
      </x:c>
      <x:c r="B510" s="13" t="str">
        <x:v>TMT</x:v>
      </x:c>
      <x:c r="C510" s="16" t="n">
        <x:v>8017.280256</x:v>
      </x:c>
      <x:c r="D510" s="16" t="n">
        <x:v>8095.0750362301</x:v>
      </x:c>
      <x:c r="E510" s="16" t="n">
        <x:v>77.7947802301</x:v>
      </x:c>
      <x:c r="F510" s="23" t="n">
        <x:v>4</x:v>
      </x:c>
    </x:row>
    <x:row r="511">
      <x:c r="A511" s="15" t="n">
        <x:v>41334</x:v>
      </x:c>
      <x:c r="B511" s="13" t="str">
        <x:v>Transportation</x:v>
      </x:c>
      <x:c r="C511" s="16" t="n">
        <x:v>2145.255362</x:v>
      </x:c>
      <x:c r="D511" s="16" t="n">
        <x:v>2247.1817100712</x:v>
      </x:c>
      <x:c r="E511" s="16" t="n">
        <x:v>101.9263480712</x:v>
      </x:c>
      <x:c r="F511" s="23" t="n">
        <x:v>5</x:v>
      </x:c>
    </x:row>
    <x:row r="512">
      <x:c r="A512" s="15" t="n">
        <x:v>41334</x:v>
      </x:c>
      <x:c r="B512" s="13" t="str">
        <x:v>Utilities &amp; Energy</x:v>
      </x:c>
      <x:c r="C512" s="16" t="n">
        <x:v>12954.086848</x:v>
      </x:c>
      <x:c r="D512" s="16" t="n">
        <x:v>10092.5217649753</x:v>
      </x:c>
      <x:c r="E512" s="16" t="n">
        <x:v>-2861.5650830247</x:v>
      </x:c>
      <x:c r="F512" s="23" t="n">
        <x:v>9</x:v>
      </x:c>
    </x:row>
    <x:row r="513">
      <x:c r="A513" s="15" t="n">
        <x:v>41365</x:v>
      </x:c>
      <x:c r="B513" s="13" t="str">
        <x:v>Banks</x:v>
      </x:c>
      <x:c r="C513" s="16" t="n">
        <x:v>45836.0053956383</x:v>
      </x:c>
      <x:c r="D513" s="16" t="n">
        <x:v>47043.5162616986</x:v>
      </x:c>
      <x:c r="E513" s="16" t="n">
        <x:v>1207.5108660603</x:v>
      </x:c>
      <x:c r="F513" s="23" t="n">
        <x:v>4</x:v>
      </x:c>
    </x:row>
    <x:row r="514">
      <x:c r="A514" s="15" t="n">
        <x:v>41365</x:v>
      </x:c>
      <x:c r="B514" s="13" t="str">
        <x:v>Capital Goods</x:v>
      </x:c>
      <x:c r="C514" s="16" t="n">
        <x:v>934.8307822466</x:v>
      </x:c>
      <x:c r="D514" s="16" t="n">
        <x:v>1011.8118268493</x:v>
      </x:c>
      <x:c r="E514" s="16" t="n">
        <x:v>76.9810446027</x:v>
      </x:c>
      <x:c r="F514" s="23" t="n">
        <x:v>1</x:v>
      </x:c>
    </x:row>
    <x:row r="515">
      <x:c r="A515" s="15" t="n">
        <x:v>41365</x:v>
      </x:c>
      <x:c r="B515" s="13" t="str">
        <x:v>Financials Non-Banks</x:v>
      </x:c>
      <x:c r="C515" s="16" t="n">
        <x:v>10391.0094944438</x:v>
      </x:c>
      <x:c r="D515" s="16" t="n">
        <x:v>11009.6777635069</x:v>
      </x:c>
      <x:c r="E515" s="16" t="n">
        <x:v>618.668269063</x:v>
      </x:c>
      <x:c r="F515" s="23" t="n">
        <x:v>4</x:v>
      </x:c>
    </x:row>
    <x:row r="516">
      <x:c r="A516" s="15" t="n">
        <x:v>41365</x:v>
      </x:c>
      <x:c r="B516" s="13" t="str">
        <x:v>Food &amp; Beverages</x:v>
      </x:c>
      <x:c r="C516" s="16" t="n">
        <x:v>15102.5246498192</x:v>
      </x:c>
      <x:c r="D516" s="16" t="n">
        <x:v>15720.3947585753</x:v>
      </x:c>
      <x:c r="E516" s="16" t="n">
        <x:v>617.8701087561</x:v>
      </x:c>
      <x:c r="F516" s="23" t="n">
        <x:v>4</x:v>
      </x:c>
    </x:row>
    <x:row r="517">
      <x:c r="A517" s="15" t="n">
        <x:v>41365</x:v>
      </x:c>
      <x:c r="B517" s="13" t="str">
        <x:v>Health Care</x:v>
      </x:c>
      <x:c r="C517" s="16" t="n">
        <x:v>633.5676159562</x:v>
      </x:c>
      <x:c r="D517" s="16" t="n">
        <x:v>626.9049534247</x:v>
      </x:c>
      <x:c r="E517" s="16" t="n">
        <x:v>-6.6626625315</x:v>
      </x:c>
      <x:c r="F517" s="23" t="n">
        <x:v>2</x:v>
      </x:c>
    </x:row>
    <x:row r="518">
      <x:c r="A518" s="15" t="n">
        <x:v>41365</x:v>
      </x:c>
      <x:c r="B518" s="13" t="str">
        <x:v>Homebuilders</x:v>
      </x:c>
      <x:c r="C518" s="16" t="n">
        <x:v>2797.5795014137</x:v>
      </x:c>
      <x:c r="D518" s="16" t="n">
        <x:v>2422.2923370959</x:v>
      </x:c>
      <x:c r="E518" s="16" t="n">
        <x:v>-375.2871643178</x:v>
      </x:c>
      <x:c r="F518" s="23" t="n">
        <x:v>6</x:v>
      </x:c>
    </x:row>
    <x:row r="519">
      <x:c r="A519" s="15" t="n">
        <x:v>41365</x:v>
      </x:c>
      <x:c r="B519" s="13" t="str">
        <x:v>Income Properties</x:v>
      </x:c>
      <x:c r="C519" s="16" t="n">
        <x:v>584.341791737</x:v>
      </x:c>
      <x:c r="D519" s="16" t="n">
        <x:v>625.8535504658</x:v>
      </x:c>
      <x:c r="E519" s="16" t="n">
        <x:v>41.5117587288</x:v>
      </x:c>
      <x:c r="F519" s="23" t="n">
        <x:v>1</x:v>
      </x:c>
    </x:row>
    <x:row r="520">
      <x:c r="A520" s="15" t="n">
        <x:v>41365</x:v>
      </x:c>
      <x:c r="B520" s="13" t="str">
        <x:v>Metals &amp; Mining</x:v>
      </x:c>
      <x:c r="C520" s="16" t="n">
        <x:v>29537.0153975233</x:v>
      </x:c>
      <x:c r="D520" s="16" t="n">
        <x:v>30647.8805860821</x:v>
      </x:c>
      <x:c r="E520" s="16" t="n">
        <x:v>1110.8651885588</x:v>
      </x:c>
      <x:c r="F520" s="23" t="n">
        <x:v>8</x:v>
      </x:c>
    </x:row>
    <x:row r="521">
      <x:c r="A521" s="15" t="n">
        <x:v>41365</x:v>
      </x:c>
      <x:c r="B521" s="13" t="str">
        <x:v>Oil, Gas &amp; Petrochemicals</x:v>
      </x:c>
      <x:c r="C521" s="16" t="n">
        <x:v>35831.1092916603</x:v>
      </x:c>
      <x:c r="D521" s="16" t="n">
        <x:v>34557.7169332602</x:v>
      </x:c>
      <x:c r="E521" s="16" t="n">
        <x:v>-1273.3923584</x:v>
      </x:c>
      <x:c r="F521" s="23" t="n">
        <x:v>4</x:v>
      </x:c>
    </x:row>
    <x:row r="522">
      <x:c r="A522" s="15" t="n">
        <x:v>41365</x:v>
      </x:c>
      <x:c r="B522" s="13" t="str">
        <x:v>Pulp &amp; Paper</x:v>
      </x:c>
      <x:c r="C522" s="16" t="n">
        <x:v>838.1697537753</x:v>
      </x:c>
      <x:c r="D522" s="16" t="n">
        <x:v>976.2303875068</x:v>
      </x:c>
      <x:c r="E522" s="16" t="n">
        <x:v>138.0606337315</x:v>
      </x:c>
      <x:c r="F522" s="23" t="n">
        <x:v>3</x:v>
      </x:c>
    </x:row>
    <x:row r="523">
      <x:c r="A523" s="15" t="n">
        <x:v>41365</x:v>
      </x:c>
      <x:c r="B523" s="13" t="str">
        <x:v>Retail</x:v>
      </x:c>
      <x:c r="C523" s="16" t="n">
        <x:v>3634.4579742356</x:v>
      </x:c>
      <x:c r="D523" s="16" t="n">
        <x:v>3651.6551009315</x:v>
      </x:c>
      <x:c r="E523" s="16" t="n">
        <x:v>17.1971266959</x:v>
      </x:c>
      <x:c r="F523" s="23" t="n">
        <x:v>6</x:v>
      </x:c>
    </x:row>
    <x:row r="524">
      <x:c r="A524" s="15" t="n">
        <x:v>41365</x:v>
      </x:c>
      <x:c r="B524" s="13" t="str">
        <x:v>Sanitation</x:v>
      </x:c>
      <x:c r="C524" s="16" t="n">
        <x:v>2081.8614229918</x:v>
      </x:c>
      <x:c r="D524" s="16" t="n">
        <x:v>2195.3037518904</x:v>
      </x:c>
      <x:c r="E524" s="16" t="n">
        <x:v>113.4423288986</x:v>
      </x:c>
      <x:c r="F524" s="23" t="n">
        <x:v>1</x:v>
      </x:c>
    </x:row>
    <x:row r="525">
      <x:c r="A525" s="15" t="n">
        <x:v>41365</x:v>
      </x:c>
      <x:c r="B525" s="13" t="str">
        <x:v>TMT</x:v>
      </x:c>
      <x:c r="C525" s="16" t="n">
        <x:v>7960.6003554192</x:v>
      </x:c>
      <x:c r="D525" s="16" t="n">
        <x:v>7975.8692383562</x:v>
      </x:c>
      <x:c r="E525" s="16" t="n">
        <x:v>15.268882937</x:v>
      </x:c>
      <x:c r="F525" s="23" t="n">
        <x:v>4</x:v>
      </x:c>
    </x:row>
    <x:row r="526">
      <x:c r="A526" s="15" t="n">
        <x:v>41365</x:v>
      </x:c>
      <x:c r="B526" s="13" t="str">
        <x:v>Transportation</x:v>
      </x:c>
      <x:c r="C526" s="16" t="n">
        <x:v>2209.908779463</x:v>
      </x:c>
      <x:c r="D526" s="16" t="n">
        <x:v>2320.5305804931</x:v>
      </x:c>
      <x:c r="E526" s="16" t="n">
        <x:v>110.6218010301</x:v>
      </x:c>
      <x:c r="F526" s="23" t="n">
        <x:v>5</x:v>
      </x:c>
    </x:row>
    <x:row r="527">
      <x:c r="A527" s="15" t="n">
        <x:v>41365</x:v>
      </x:c>
      <x:c r="B527" s="13" t="str">
        <x:v>Utilities &amp; Energy</x:v>
      </x:c>
      <x:c r="C527" s="16" t="n">
        <x:v>9138.9942350685</x:v>
      </x:c>
      <x:c r="D527" s="16" t="n">
        <x:v>10266.9929457534</x:v>
      </x:c>
      <x:c r="E527" s="16" t="n">
        <x:v>1127.9987106849</x:v>
      </x:c>
      <x:c r="F527" s="23" t="n">
        <x:v>10</x:v>
      </x:c>
    </x:row>
    <x:row r="528">
      <x:c r="A528" s="15" t="n">
        <x:v>41395</x:v>
      </x:c>
      <x:c r="B528" s="13" t="str">
        <x:v>Banks</x:v>
      </x:c>
      <x:c r="C528" s="16" t="n">
        <x:v>45670.9390476273</x:v>
      </x:c>
      <x:c r="D528" s="16" t="n">
        <x:v>46739.273081337</x:v>
      </x:c>
      <x:c r="E528" s="16" t="n">
        <x:v>1068.3340337097</x:v>
      </x:c>
      <x:c r="F528" s="23" t="n">
        <x:v>4</x:v>
      </x:c>
    </x:row>
    <x:row r="529">
      <x:c r="A529" s="15" t="n">
        <x:v>41395</x:v>
      </x:c>
      <x:c r="B529" s="13" t="str">
        <x:v>Capital Goods</x:v>
      </x:c>
      <x:c r="C529" s="16" t="n">
        <x:v>982.4542267616</x:v>
      </x:c>
      <x:c r="D529" s="16" t="n">
        <x:v>1001.7587382356</x:v>
      </x:c>
      <x:c r="E529" s="16" t="n">
        <x:v>19.304511474</x:v>
      </x:c>
      <x:c r="F529" s="23" t="n">
        <x:v>1</x:v>
      </x:c>
    </x:row>
    <x:row r="530">
      <x:c r="A530" s="15" t="n">
        <x:v>41395</x:v>
      </x:c>
      <x:c r="B530" s="13" t="str">
        <x:v>Financials Non-Banks</x:v>
      </x:c>
      <x:c r="C530" s="16" t="n">
        <x:v>10603.7234897534</x:v>
      </x:c>
      <x:c r="D530" s="16" t="n">
        <x:v>11006.181682937</x:v>
      </x:c>
      <x:c r="E530" s="16" t="n">
        <x:v>402.4581931836</x:v>
      </x:c>
      <x:c r="F530" s="23" t="n">
        <x:v>4</x:v>
      </x:c>
    </x:row>
    <x:row r="531">
      <x:c r="A531" s="15" t="n">
        <x:v>41395</x:v>
      </x:c>
      <x:c r="B531" s="13" t="str">
        <x:v>Food &amp; Beverages</x:v>
      </x:c>
      <x:c r="C531" s="16" t="n">
        <x:v>15440.7236082849</x:v>
      </x:c>
      <x:c r="D531" s="16" t="n">
        <x:v>15847.5435089534</x:v>
      </x:c>
      <x:c r="E531" s="16" t="n">
        <x:v>406.8199006685</x:v>
      </x:c>
      <x:c r="F531" s="23" t="n">
        <x:v>4</x:v>
      </x:c>
    </x:row>
    <x:row r="532">
      <x:c r="A532" s="15" t="n">
        <x:v>41395</x:v>
      </x:c>
      <x:c r="B532" s="13" t="str">
        <x:v>Health Care</x:v>
      </x:c>
      <x:c r="C532" s="16" t="n">
        <x:v>641.4818795836</x:v>
      </x:c>
      <x:c r="D532" s="16" t="n">
        <x:v>632.8235511233</x:v>
      </x:c>
      <x:c r="E532" s="16" t="n">
        <x:v>-8.6583284603</x:v>
      </x:c>
      <x:c r="F532" s="23" t="n">
        <x:v>2</x:v>
      </x:c>
    </x:row>
    <x:row r="533">
      <x:c r="A533" s="15" t="n">
        <x:v>41395</x:v>
      </x:c>
      <x:c r="B533" s="13" t="str">
        <x:v>Homebuilders</x:v>
      </x:c>
      <x:c r="C533" s="16" t="n">
        <x:v>2569.3743714192</x:v>
      </x:c>
      <x:c r="D533" s="16" t="n">
        <x:v>2196.9935324055</x:v>
      </x:c>
      <x:c r="E533" s="16" t="n">
        <x:v>-372.3808390137</x:v>
      </x:c>
      <x:c r="F533" s="23" t="n">
        <x:v>6</x:v>
      </x:c>
    </x:row>
    <x:row r="534">
      <x:c r="A534" s="15" t="n">
        <x:v>41395</x:v>
      </x:c>
      <x:c r="B534" s="13" t="str">
        <x:v>Income Properties</x:v>
      </x:c>
      <x:c r="C534" s="16" t="n">
        <x:v>594.9695768548</x:v>
      </x:c>
      <x:c r="D534" s="16" t="n">
        <x:v>588.8739526137</x:v>
      </x:c>
      <x:c r="E534" s="16" t="n">
        <x:v>-6.0956242411</x:v>
      </x:c>
      <x:c r="F534" s="23" t="n">
        <x:v>1</x:v>
      </x:c>
    </x:row>
    <x:row r="535">
      <x:c r="A535" s="15" t="n">
        <x:v>41395</x:v>
      </x:c>
      <x:c r="B535" s="13" t="str">
        <x:v>Metals &amp; Mining</x:v>
      </x:c>
      <x:c r="C535" s="16" t="n">
        <x:v>30967.9644605808</x:v>
      </x:c>
      <x:c r="D535" s="16" t="n">
        <x:v>29457.3804934466</x:v>
      </x:c>
      <x:c r="E535" s="16" t="n">
        <x:v>-1510.5839671342</x:v>
      </x:c>
      <x:c r="F535" s="23" t="n">
        <x:v>8</x:v>
      </x:c>
    </x:row>
    <x:row r="536">
      <x:c r="A536" s="15" t="n">
        <x:v>41395</x:v>
      </x:c>
      <x:c r="B536" s="13" t="str">
        <x:v>Oil, Gas &amp; Petrochemicals</x:v>
      </x:c>
      <x:c r="C536" s="16" t="n">
        <x:v>32708.8983178521</x:v>
      </x:c>
      <x:c r="D536" s="16" t="n">
        <x:v>35464.116336011</x:v>
      </x:c>
      <x:c r="E536" s="16" t="n">
        <x:v>2755.2180181589</x:v>
      </x:c>
      <x:c r="F536" s="23" t="n">
        <x:v>4</x:v>
      </x:c>
    </x:row>
    <x:row r="537">
      <x:c r="A537" s="15" t="n">
        <x:v>41395</x:v>
      </x:c>
      <x:c r="B537" s="13" t="str">
        <x:v>Pulp &amp; Paper</x:v>
      </x:c>
      <x:c r="C537" s="16" t="n">
        <x:v>817.2000565479</x:v>
      </x:c>
      <x:c r="D537" s="16" t="n">
        <x:v>1056.4630718247</x:v>
      </x:c>
      <x:c r="E537" s="16" t="n">
        <x:v>239.2630152767</x:v>
      </x:c>
      <x:c r="F537" s="23" t="n">
        <x:v>3</x:v>
      </x:c>
    </x:row>
    <x:row r="538">
      <x:c r="A538" s="15" t="n">
        <x:v>41395</x:v>
      </x:c>
      <x:c r="B538" s="13" t="str">
        <x:v>Retail</x:v>
      </x:c>
      <x:c r="C538" s="16" t="n">
        <x:v>3673.2443215014</x:v>
      </x:c>
      <x:c r="D538" s="16" t="n">
        <x:v>3651.4469472</x:v>
      </x:c>
      <x:c r="E538" s="16" t="n">
        <x:v>-21.7973743014</x:v>
      </x:c>
      <x:c r="F538" s="23" t="n">
        <x:v>6</x:v>
      </x:c>
    </x:row>
    <x:row r="539">
      <x:c r="A539" s="15" t="n">
        <x:v>41395</x:v>
      </x:c>
      <x:c r="B539" s="13" t="str">
        <x:v>Sanitation</x:v>
      </x:c>
      <x:c r="C539" s="16" t="n">
        <x:v>2132.6291154411</x:v>
      </x:c>
      <x:c r="D539" s="16" t="n">
        <x:v>2189.1169350137</x:v>
      </x:c>
      <x:c r="E539" s="16" t="n">
        <x:v>56.4878195726</x:v>
      </x:c>
      <x:c r="F539" s="23" t="n">
        <x:v>1</x:v>
      </x:c>
    </x:row>
    <x:row r="540">
      <x:c r="A540" s="15" t="n">
        <x:v>41395</x:v>
      </x:c>
      <x:c r="B540" s="13" t="str">
        <x:v>TMT</x:v>
      </x:c>
      <x:c r="C540" s="16" t="n">
        <x:v>8199.3543262685</x:v>
      </x:c>
      <x:c r="D540" s="16" t="n">
        <x:v>8241.723763726</x:v>
      </x:c>
      <x:c r="E540" s="16" t="n">
        <x:v>42.3694374575</x:v>
      </x:c>
      <x:c r="F540" s="23" t="n">
        <x:v>4</x:v>
      </x:c>
    </x:row>
    <x:row r="541">
      <x:c r="A541" s="15" t="n">
        <x:v>41395</x:v>
      </x:c>
      <x:c r="B541" s="13" t="str">
        <x:v>Transportation</x:v>
      </x:c>
      <x:c r="C541" s="16" t="n">
        <x:v>2234.5120951123</x:v>
      </x:c>
      <x:c r="D541" s="16" t="n">
        <x:v>2441.364803726</x:v>
      </x:c>
      <x:c r="E541" s="16" t="n">
        <x:v>206.8527086137</x:v>
      </x:c>
      <x:c r="F541" s="23" t="n">
        <x:v>5</x:v>
      </x:c>
    </x:row>
    <x:row r="542">
      <x:c r="A542" s="15" t="n">
        <x:v>41395</x:v>
      </x:c>
      <x:c r="B542" s="13" t="str">
        <x:v>Utilities &amp; Energy</x:v>
      </x:c>
      <x:c r="C542" s="16" t="n">
        <x:v>7699.3488422575</x:v>
      </x:c>
      <x:c r="D542" s="16" t="n">
        <x:v>7936.2394121206</x:v>
      </x:c>
      <x:c r="E542" s="16" t="n">
        <x:v>236.890569863</x:v>
      </x:c>
      <x:c r="F542" s="23" t="n">
        <x:v>8</x:v>
      </x:c>
    </x:row>
    <x:row r="543">
      <x:c r="A543" s="15" t="n">
        <x:v>41426</x:v>
      </x:c>
      <x:c r="B543" s="13" t="str">
        <x:v>Banks</x:v>
      </x:c>
      <x:c r="C543" s="16" t="n">
        <x:v>46538.5008212165</x:v>
      </x:c>
      <x:c r="D543" s="16" t="n">
        <x:v>46947.895937052</x:v>
      </x:c>
      <x:c r="E543" s="16" t="n">
        <x:v>409.3951158355</x:v>
      </x:c>
      <x:c r="F543" s="23" t="n">
        <x:v>4</x:v>
      </x:c>
    </x:row>
    <x:row r="544">
      <x:c r="A544" s="15" t="n">
        <x:v>41426</x:v>
      </x:c>
      <x:c r="B544" s="13" t="str">
        <x:v>Capital Goods</x:v>
      </x:c>
      <x:c r="C544" s="16" t="n">
        <x:v>997.8018002411</x:v>
      </x:c>
      <x:c r="D544" s="16" t="n">
        <x:v>1055.4580455452</x:v>
      </x:c>
      <x:c r="E544" s="16" t="n">
        <x:v>57.6562453041</x:v>
      </x:c>
      <x:c r="F544" s="23" t="n">
        <x:v>1</x:v>
      </x:c>
    </x:row>
    <x:row r="545">
      <x:c r="A545" s="15" t="n">
        <x:v>41426</x:v>
      </x:c>
      <x:c r="B545" s="13" t="str">
        <x:v>Financials Non-Banks</x:v>
      </x:c>
      <x:c r="C545" s="16" t="n">
        <x:v>10748.0369556164</x:v>
      </x:c>
      <x:c r="D545" s="16" t="n">
        <x:v>11100.4533404932</x:v>
      </x:c>
      <x:c r="E545" s="16" t="n">
        <x:v>352.4163848767</x:v>
      </x:c>
      <x:c r="F545" s="23" t="n">
        <x:v>4</x:v>
      </x:c>
    </x:row>
    <x:row r="546">
      <x:c r="A546" s="15" t="n">
        <x:v>41426</x:v>
      </x:c>
      <x:c r="B546" s="13" t="str">
        <x:v>Food &amp; Beverages</x:v>
      </x:c>
      <x:c r="C546" s="16" t="n">
        <x:v>15760.7856662795</x:v>
      </x:c>
      <x:c r="D546" s="16" t="n">
        <x:v>16121.5240277041</x:v>
      </x:c>
      <x:c r="E546" s="16" t="n">
        <x:v>360.7383614247</x:v>
      </x:c>
      <x:c r="F546" s="23" t="n">
        <x:v>4</x:v>
      </x:c>
    </x:row>
    <x:row r="547">
      <x:c r="A547" s="15" t="n">
        <x:v>41426</x:v>
      </x:c>
      <x:c r="B547" s="13" t="str">
        <x:v>Health Care</x:v>
      </x:c>
      <x:c r="C547" s="16" t="n">
        <x:v>641.6239976329</x:v>
      </x:c>
      <x:c r="D547" s="16" t="n">
        <x:v>623.1164397589</x:v>
      </x:c>
      <x:c r="E547" s="16" t="n">
        <x:v>-18.507557874</x:v>
      </x:c>
      <x:c r="F547" s="23" t="n">
        <x:v>2</x:v>
      </x:c>
    </x:row>
    <x:row r="548">
      <x:c r="A548" s="15" t="n">
        <x:v>41426</x:v>
      </x:c>
      <x:c r="B548" s="13" t="str">
        <x:v>Homebuilders</x:v>
      </x:c>
      <x:c r="C548" s="16" t="n">
        <x:v>2565.1632199014</x:v>
      </x:c>
      <x:c r="D548" s="16" t="n">
        <x:v>2223.4467398575</x:v>
      </x:c>
      <x:c r="E548" s="16" t="n">
        <x:v>-341.7164800438</x:v>
      </x:c>
      <x:c r="F548" s="23" t="n">
        <x:v>6</x:v>
      </x:c>
    </x:row>
    <x:row r="549">
      <x:c r="A549" s="15" t="n">
        <x:v>41426</x:v>
      </x:c>
      <x:c r="B549" s="13" t="str">
        <x:v>Income Properties</x:v>
      </x:c>
      <x:c r="C549" s="16" t="n">
        <x:v>603.661562389</x:v>
      </x:c>
      <x:c r="D549" s="16" t="n">
        <x:v>590.5141603945</x:v>
      </x:c>
      <x:c r="E549" s="16" t="n">
        <x:v>-13.1474019945</x:v>
      </x:c>
      <x:c r="F549" s="23" t="n">
        <x:v>1</x:v>
      </x:c>
    </x:row>
    <x:row r="550">
      <x:c r="A550" s="15" t="n">
        <x:v>41426</x:v>
      </x:c>
      <x:c r="B550" s="13" t="str">
        <x:v>Metals &amp; Mining</x:v>
      </x:c>
      <x:c r="C550" s="16" t="n">
        <x:v>29949.4240118356</x:v>
      </x:c>
      <x:c r="D550" s="16" t="n">
        <x:v>29234.5413822904</x:v>
      </x:c>
      <x:c r="E550" s="16" t="n">
        <x:v>-714.8826295452</x:v>
      </x:c>
      <x:c r="F550" s="23" t="n">
        <x:v>8</x:v>
      </x:c>
    </x:row>
    <x:row r="551">
      <x:c r="A551" s="15" t="n">
        <x:v>41426</x:v>
      </x:c>
      <x:c r="B551" s="13" t="str">
        <x:v>Oil, Gas &amp; Petrochemicals</x:v>
      </x:c>
      <x:c r="C551" s="16" t="n">
        <x:v>33395.7096795178</x:v>
      </x:c>
      <x:c r="D551" s="16" t="n">
        <x:v>33961.3117797918</x:v>
      </x:c>
      <x:c r="E551" s="16" t="n">
        <x:v>565.602100274</x:v>
      </x:c>
      <x:c r="F551" s="23" t="n">
        <x:v>4</x:v>
      </x:c>
    </x:row>
    <x:row r="552">
      <x:c r="A552" s="15" t="n">
        <x:v>41426</x:v>
      </x:c>
      <x:c r="B552" s="13" t="str">
        <x:v>Pulp &amp; Paper</x:v>
      </x:c>
      <x:c r="C552" s="16" t="n">
        <x:v>972.2302679671</x:v>
      </x:c>
      <x:c r="D552" s="16" t="n">
        <x:v>1058.6192128877</x:v>
      </x:c>
      <x:c r="E552" s="16" t="n">
        <x:v>86.3889449205</x:v>
      </x:c>
      <x:c r="F552" s="23" t="n">
        <x:v>3</x:v>
      </x:c>
    </x:row>
    <x:row r="553">
      <x:c r="A553" s="15" t="n">
        <x:v>41426</x:v>
      </x:c>
      <x:c r="B553" s="13" t="str">
        <x:v>Retail</x:v>
      </x:c>
      <x:c r="C553" s="16" t="n">
        <x:v>3652.0633389589</x:v>
      </x:c>
      <x:c r="D553" s="16" t="n">
        <x:v>3669.3196677041</x:v>
      </x:c>
      <x:c r="E553" s="16" t="n">
        <x:v>17.2563287452</x:v>
      </x:c>
      <x:c r="F553" s="23" t="n">
        <x:v>6</x:v>
      </x:c>
    </x:row>
    <x:row r="554">
      <x:c r="A554" s="15" t="n">
        <x:v>41426</x:v>
      </x:c>
      <x:c r="B554" s="13" t="str">
        <x:v>Sanitation</x:v>
      </x:c>
      <x:c r="C554" s="16" t="n">
        <x:v>2190.8095901808</x:v>
      </x:c>
      <x:c r="D554" s="16" t="n">
        <x:v>2201.8328779397</x:v>
      </x:c>
      <x:c r="E554" s="16" t="n">
        <x:v>11.0232877589</x:v>
      </x:c>
      <x:c r="F554" s="23" t="n">
        <x:v>1</x:v>
      </x:c>
    </x:row>
    <x:row r="555">
      <x:c r="A555" s="15" t="n">
        <x:v>41426</x:v>
      </x:c>
      <x:c r="B555" s="13" t="str">
        <x:v>TMT</x:v>
      </x:c>
      <x:c r="C555" s="16" t="n">
        <x:v>8095.0750362301</x:v>
      </x:c>
      <x:c r="D555" s="16" t="n">
        <x:v>8315.4584540932</x:v>
      </x:c>
      <x:c r="E555" s="16" t="n">
        <x:v>220.383417863</x:v>
      </x:c>
      <x:c r="F555" s="23" t="n">
        <x:v>4</x:v>
      </x:c>
    </x:row>
    <x:row r="556">
      <x:c r="A556" s="15" t="n">
        <x:v>41426</x:v>
      </x:c>
      <x:c r="B556" s="13" t="str">
        <x:v>Transportation</x:v>
      </x:c>
      <x:c r="C556" s="16" t="n">
        <x:v>2247.1817100712</x:v>
      </x:c>
      <x:c r="D556" s="16" t="n">
        <x:v>2450.5037243616</x:v>
      </x:c>
      <x:c r="E556" s="16" t="n">
        <x:v>203.3220142904</x:v>
      </x:c>
      <x:c r="F556" s="23" t="n">
        <x:v>5</x:v>
      </x:c>
    </x:row>
    <x:row r="557">
      <x:c r="A557" s="15" t="n">
        <x:v>41426</x:v>
      </x:c>
      <x:c r="B557" s="13" t="str">
        <x:v>Utilities &amp; Energy</x:v>
      </x:c>
      <x:c r="C557" s="16" t="n">
        <x:v>10651.084786389</x:v>
      </x:c>
      <x:c r="D557" s="16" t="n">
        <x:v>11228.0337398795</x:v>
      </x:c>
      <x:c r="E557" s="16" t="n">
        <x:v>576.9489534904</x:v>
      </x:c>
      <x:c r="F557" s="23" t="n">
        <x:v>10</x:v>
      </x:c>
    </x:row>
    <x:row r="558">
      <x:c r="A558" s="15" t="n">
        <x:v>41456</x:v>
      </x:c>
      <x:c r="B558" s="13" t="str">
        <x:v>Banks</x:v>
      </x:c>
      <x:c r="C558" s="16" t="n">
        <x:v>47043.5162616986</x:v>
      </x:c>
      <x:c r="D558" s="16" t="n">
        <x:v>46900.8173883616</x:v>
      </x:c>
      <x:c r="E558" s="16" t="n">
        <x:v>-142.698873337</x:v>
      </x:c>
      <x:c r="F558" s="23" t="n">
        <x:v>4</x:v>
      </x:c>
    </x:row>
    <x:row r="559">
      <x:c r="A559" s="15" t="n">
        <x:v>41456</x:v>
      </x:c>
      <x:c r="B559" s="13" t="str">
        <x:v>Capital Goods</x:v>
      </x:c>
      <x:c r="C559" s="16" t="n">
        <x:v>1011.8118268493</x:v>
      </x:c>
      <x:c r="D559" s="16" t="n">
        <x:v>1024.1120045589</x:v>
      </x:c>
      <x:c r="E559" s="16" t="n">
        <x:v>12.3001777096</x:v>
      </x:c>
      <x:c r="F559" s="23" t="n">
        <x:v>1</x:v>
      </x:c>
    </x:row>
    <x:row r="560">
      <x:c r="A560" s="15" t="n">
        <x:v>41456</x:v>
      </x:c>
      <x:c r="B560" s="13" t="str">
        <x:v>Financials Non-Banks</x:v>
      </x:c>
      <x:c r="C560" s="16" t="n">
        <x:v>11009.6777635069</x:v>
      </x:c>
      <x:c r="D560" s="16" t="n">
        <x:v>11080.9875618192</x:v>
      </x:c>
      <x:c r="E560" s="16" t="n">
        <x:v>71.3097983123</x:v>
      </x:c>
      <x:c r="F560" s="23" t="n">
        <x:v>4</x:v>
      </x:c>
    </x:row>
    <x:row r="561">
      <x:c r="A561" s="15" t="n">
        <x:v>41456</x:v>
      </x:c>
      <x:c r="B561" s="13" t="str">
        <x:v>Food &amp; Beverages</x:v>
      </x:c>
      <x:c r="C561" s="16" t="n">
        <x:v>15720.3947585753</x:v>
      </x:c>
      <x:c r="D561" s="16" t="n">
        <x:v>16490.6551712877</x:v>
      </x:c>
      <x:c r="E561" s="16" t="n">
        <x:v>770.2604127123</x:v>
      </x:c>
      <x:c r="F561" s="23" t="n">
        <x:v>4</x:v>
      </x:c>
    </x:row>
    <x:row r="562">
      <x:c r="A562" s="15" t="n">
        <x:v>41456</x:v>
      </x:c>
      <x:c r="B562" s="13" t="str">
        <x:v>Health Care</x:v>
      </x:c>
      <x:c r="C562" s="16" t="n">
        <x:v>626.9049534247</x:v>
      </x:c>
      <x:c r="D562" s="16" t="n">
        <x:v>635.2880022795</x:v>
      </x:c>
      <x:c r="E562" s="16" t="n">
        <x:v>8.3830488548</x:v>
      </x:c>
      <x:c r="F562" s="23" t="n">
        <x:v>2</x:v>
      </x:c>
    </x:row>
    <x:row r="563">
      <x:c r="A563" s="15" t="n">
        <x:v>41456</x:v>
      </x:c>
      <x:c r="B563" s="13" t="str">
        <x:v>Homebuilders</x:v>
      </x:c>
      <x:c r="C563" s="16" t="n">
        <x:v>2422.2923370959</x:v>
      </x:c>
      <x:c r="D563" s="16" t="n">
        <x:v>2220.6658398247</x:v>
      </x:c>
      <x:c r="E563" s="16" t="n">
        <x:v>-201.6264972712</x:v>
      </x:c>
      <x:c r="F563" s="23" t="n">
        <x:v>6</x:v>
      </x:c>
    </x:row>
    <x:row r="564">
      <x:c r="A564" s="15" t="n">
        <x:v>41456</x:v>
      </x:c>
      <x:c r="B564" s="13" t="str">
        <x:v>Income Properties</x:v>
      </x:c>
      <x:c r="C564" s="16" t="n">
        <x:v>625.8535504658</x:v>
      </x:c>
      <x:c r="D564" s="16" t="n">
        <x:v>550.2737205479</x:v>
      </x:c>
      <x:c r="E564" s="16" t="n">
        <x:v>-75.5798299178</x:v>
      </x:c>
      <x:c r="F564" s="23" t="n">
        <x:v>1</x:v>
      </x:c>
    </x:row>
    <x:row r="565">
      <x:c r="A565" s="15" t="n">
        <x:v>41456</x:v>
      </x:c>
      <x:c r="B565" s="13" t="str">
        <x:v>Metals &amp; Mining</x:v>
      </x:c>
      <x:c r="C565" s="16" t="n">
        <x:v>30647.8805860821</x:v>
      </x:c>
      <x:c r="D565" s="16" t="n">
        <x:v>28933.7096239781</x:v>
      </x:c>
      <x:c r="E565" s="16" t="n">
        <x:v>-1714.170962104</x:v>
      </x:c>
      <x:c r="F565" s="23" t="n">
        <x:v>8</x:v>
      </x:c>
    </x:row>
    <x:row r="566">
      <x:c r="A566" s="15" t="n">
        <x:v>41456</x:v>
      </x:c>
      <x:c r="B566" s="13" t="str">
        <x:v>Oil, Gas &amp; Petrochemicals</x:v>
      </x:c>
      <x:c r="C566" s="16" t="n">
        <x:v>34557.7169332602</x:v>
      </x:c>
      <x:c r="D566" s="16" t="n">
        <x:v>31736.8295939506</x:v>
      </x:c>
      <x:c r="E566" s="16" t="n">
        <x:v>-2820.8873393096</x:v>
      </x:c>
      <x:c r="F566" s="23" t="n">
        <x:v>4</x:v>
      </x:c>
    </x:row>
    <x:row r="567">
      <x:c r="A567" s="15" t="n">
        <x:v>41456</x:v>
      </x:c>
      <x:c r="B567" s="13" t="str">
        <x:v>Pulp &amp; Paper</x:v>
      </x:c>
      <x:c r="C567" s="16" t="n">
        <x:v>976.2303875068</x:v>
      </x:c>
      <x:c r="D567" s="16" t="n">
        <x:v>890.0640015671</x:v>
      </x:c>
      <x:c r="E567" s="16" t="n">
        <x:v>-86.1663859397</x:v>
      </x:c>
      <x:c r="F567" s="23" t="n">
        <x:v>3</x:v>
      </x:c>
    </x:row>
    <x:row r="568">
      <x:c r="A568" s="15" t="n">
        <x:v>41456</x:v>
      </x:c>
      <x:c r="B568" s="13" t="str">
        <x:v>Retail</x:v>
      </x:c>
      <x:c r="C568" s="16" t="n">
        <x:v>3651.6551009315</x:v>
      </x:c>
      <x:c r="D568" s="16" t="n">
        <x:v>3652.653948274</x:v>
      </x:c>
      <x:c r="E568" s="16" t="n">
        <x:v>0.9988473425</x:v>
      </x:c>
      <x:c r="F568" s="23" t="n">
        <x:v>6</x:v>
      </x:c>
    </x:row>
    <x:row r="569">
      <x:c r="A569" s="15" t="n">
        <x:v>41456</x:v>
      </x:c>
      <x:c r="B569" s="13" t="str">
        <x:v>Sanitation</x:v>
      </x:c>
      <x:c r="C569" s="16" t="n">
        <x:v>2195.3037518904</x:v>
      </x:c>
      <x:c r="D569" s="16" t="n">
        <x:v>2134.0918759452</x:v>
      </x:c>
      <x:c r="E569" s="16" t="n">
        <x:v>-61.2118759452</x:v>
      </x:c>
      <x:c r="F569" s="23" t="n">
        <x:v>1</x:v>
      </x:c>
    </x:row>
    <x:row r="570">
      <x:c r="A570" s="15" t="n">
        <x:v>41456</x:v>
      </x:c>
      <x:c r="B570" s="13" t="str">
        <x:v>TMT</x:v>
      </x:c>
      <x:c r="C570" s="16" t="n">
        <x:v>7975.8692383562</x:v>
      </x:c>
      <x:c r="D570" s="16" t="n">
        <x:v>8237.1305815671</x:v>
      </x:c>
      <x:c r="E570" s="16" t="n">
        <x:v>261.261343211</x:v>
      </x:c>
      <x:c r="F570" s="23" t="n">
        <x:v>4</x:v>
      </x:c>
    </x:row>
    <x:row r="571">
      <x:c r="A571" s="15" t="n">
        <x:v>41456</x:v>
      </x:c>
      <x:c r="B571" s="13" t="str">
        <x:v>Transportation</x:v>
      </x:c>
      <x:c r="C571" s="16" t="n">
        <x:v>2320.5305804931</x:v>
      </x:c>
      <x:c r="D571" s="16" t="n">
        <x:v>2402.5314617863</x:v>
      </x:c>
      <x:c r="E571" s="16" t="n">
        <x:v>82.0008812932</x:v>
      </x:c>
      <x:c r="F571" s="23" t="n">
        <x:v>5</x:v>
      </x:c>
    </x:row>
    <x:row r="572">
      <x:c r="A572" s="15" t="n">
        <x:v>41456</x:v>
      </x:c>
      <x:c r="B572" s="13" t="str">
        <x:v>Utilities &amp; Energy</x:v>
      </x:c>
      <x:c r="C572" s="16" t="n">
        <x:v>10266.9929457534</x:v>
      </x:c>
      <x:c r="D572" s="16" t="n">
        <x:v>11377.0313521315</x:v>
      </x:c>
      <x:c r="E572" s="16" t="n">
        <x:v>1110.0384063781</x:v>
      </x:c>
      <x:c r="F572" s="23" t="n">
        <x:v>10</x:v>
      </x:c>
    </x:row>
    <x:row r="573">
      <x:c r="A573" s="15" t="n">
        <x:v>41487</x:v>
      </x:c>
      <x:c r="B573" s="13" t="str">
        <x:v>Agribusiness</x:v>
      </x:c>
      <x:c r="C573" s="16" t="n">
        <x:v>-7.8873972603</x:v>
      </x:c>
      <x:c r="D573" s="16" t="n">
        <x:v>-16.0257534247</x:v>
      </x:c>
      <x:c r="E573" s="16" t="n">
        <x:v>-8.1383561644</x:v>
      </x:c>
      <x:c r="F573" s="23" t="n">
        <x:v>1</x:v>
      </x:c>
    </x:row>
    <x:row r="574">
      <x:c r="A574" s="15" t="n">
        <x:v>41487</x:v>
      </x:c>
      <x:c r="B574" s="13" t="str">
        <x:v>Banks</x:v>
      </x:c>
      <x:c r="C574" s="16" t="n">
        <x:v>59933.3615601973</x:v>
      </x:c>
      <x:c r="D574" s="16" t="n">
        <x:v>60026.8757777535</x:v>
      </x:c>
      <x:c r="E574" s="16" t="n">
        <x:v>93.5142175562</x:v>
      </x:c>
      <x:c r="F574" s="23" t="n">
        <x:v>5</x:v>
      </x:c>
    </x:row>
    <x:row r="575">
      <x:c r="A575" s="15" t="n">
        <x:v>41487</x:v>
      </x:c>
      <x:c r="B575" s="13" t="str">
        <x:v>Capital Goods</x:v>
      </x:c>
      <x:c r="C575" s="16" t="n">
        <x:v>1001.7587382356</x:v>
      </x:c>
      <x:c r="D575" s="16" t="n">
        <x:v>1050.060941326</x:v>
      </x:c>
      <x:c r="E575" s="16" t="n">
        <x:v>48.3022030904</x:v>
      </x:c>
      <x:c r="F575" s="23" t="n">
        <x:v>1</x:v>
      </x:c>
    </x:row>
    <x:row r="576">
      <x:c r="A576" s="15" t="n">
        <x:v>41487</x:v>
      </x:c>
      <x:c r="B576" s="13" t="str">
        <x:v>Financials Non-Banks</x:v>
      </x:c>
      <x:c r="C576" s="16" t="n">
        <x:v>11006.181682937</x:v>
      </x:c>
      <x:c r="D576" s="16" t="n">
        <x:v>11442.1153952438</x:v>
      </x:c>
      <x:c r="E576" s="16" t="n">
        <x:v>435.9337123068</x:v>
      </x:c>
      <x:c r="F576" s="23" t="n">
        <x:v>4</x:v>
      </x:c>
    </x:row>
    <x:row r="577">
      <x:c r="A577" s="15" t="n">
        <x:v>41487</x:v>
      </x:c>
      <x:c r="B577" s="13" t="str">
        <x:v>Food &amp; Beverages</x:v>
      </x:c>
      <x:c r="C577" s="16" t="n">
        <x:v>15847.5435089534</x:v>
      </x:c>
      <x:c r="D577" s="16" t="n">
        <x:v>16677.314175737</x:v>
      </x:c>
      <x:c r="E577" s="16" t="n">
        <x:v>829.7706667836</x:v>
      </x:c>
      <x:c r="F577" s="23" t="n">
        <x:v>4</x:v>
      </x:c>
    </x:row>
    <x:row r="578">
      <x:c r="A578" s="15" t="n">
        <x:v>41487</x:v>
      </x:c>
      <x:c r="B578" s="13" t="str">
        <x:v>Health Care</x:v>
      </x:c>
      <x:c r="C578" s="16" t="n">
        <x:v>632.8235511233</x:v>
      </x:c>
      <x:c r="D578" s="16" t="n">
        <x:v>636.8551180274</x:v>
      </x:c>
      <x:c r="E578" s="16" t="n">
        <x:v>4.0315669041</x:v>
      </x:c>
      <x:c r="F578" s="23" t="n">
        <x:v>2</x:v>
      </x:c>
    </x:row>
    <x:row r="579">
      <x:c r="A579" s="15" t="n">
        <x:v>41487</x:v>
      </x:c>
      <x:c r="B579" s="13" t="str">
        <x:v>Homebuilders</x:v>
      </x:c>
      <x:c r="C579" s="16" t="n">
        <x:v>2196.9935324055</x:v>
      </x:c>
      <x:c r="D579" s="16" t="n">
        <x:v>2156.6222557808</x:v>
      </x:c>
      <x:c r="E579" s="16" t="n">
        <x:v>-40.3712766247</x:v>
      </x:c>
      <x:c r="F579" s="23" t="n">
        <x:v>6</x:v>
      </x:c>
    </x:row>
    <x:row r="580">
      <x:c r="A580" s="15" t="n">
        <x:v>41487</x:v>
      </x:c>
      <x:c r="B580" s="13" t="str">
        <x:v>Income Properties</x:v>
      </x:c>
      <x:c r="C580" s="16" t="n">
        <x:v>985.2388402849</x:v>
      </x:c>
      <x:c r="D580" s="16" t="n">
        <x:v>942.3244110027</x:v>
      </x:c>
      <x:c r="E580" s="16" t="n">
        <x:v>-42.9144292822</x:v>
      </x:c>
      <x:c r="F580" s="23" t="n">
        <x:v>2</x:v>
      </x:c>
    </x:row>
    <x:row r="581">
      <x:c r="A581" s="15" t="n">
        <x:v>41487</x:v>
      </x:c>
      <x:c r="B581" s="13" t="str">
        <x:v>Metals &amp; Mining</x:v>
      </x:c>
      <x:c r="C581" s="16" t="n">
        <x:v>29457.3804934466</x:v>
      </x:c>
      <x:c r="D581" s="16" t="n">
        <x:v>28934.9030786192</x:v>
      </x:c>
      <x:c r="E581" s="16" t="n">
        <x:v>-522.4774148274</x:v>
      </x:c>
      <x:c r="F581" s="23" t="n">
        <x:v>8</x:v>
      </x:c>
    </x:row>
    <x:row r="582">
      <x:c r="A582" s="15" t="n">
        <x:v>41487</x:v>
      </x:c>
      <x:c r="B582" s="13" t="str">
        <x:v>Oil, Gas &amp; Petrochemicals</x:v>
      </x:c>
      <x:c r="C582" s="16" t="n">
        <x:v>35464.116336011</x:v>
      </x:c>
      <x:c r="D582" s="16" t="n">
        <x:v>32615.9561577206</x:v>
      </x:c>
      <x:c r="E582" s="16" t="n">
        <x:v>-2848.1601782904</x:v>
      </x:c>
      <x:c r="F582" s="23" t="n">
        <x:v>4</x:v>
      </x:c>
    </x:row>
    <x:row r="583">
      <x:c r="A583" s="15" t="n">
        <x:v>41487</x:v>
      </x:c>
      <x:c r="B583" s="13" t="str">
        <x:v>Pulp &amp; Paper</x:v>
      </x:c>
      <x:c r="C583" s="16" t="n">
        <x:v>1056.4630718247</x:v>
      </x:c>
      <x:c r="D583" s="16" t="n">
        <x:v>920.1146126904</x:v>
      </x:c>
      <x:c r="E583" s="16" t="n">
        <x:v>-136.3484591342</x:v>
      </x:c>
      <x:c r="F583" s="23" t="n">
        <x:v>3</x:v>
      </x:c>
    </x:row>
    <x:row r="584">
      <x:c r="A584" s="15" t="n">
        <x:v>41487</x:v>
      </x:c>
      <x:c r="B584" s="13" t="str">
        <x:v>Retail</x:v>
      </x:c>
      <x:c r="C584" s="16" t="n">
        <x:v>3651.4469472</x:v>
      </x:c>
      <x:c r="D584" s="16" t="n">
        <x:v>3684.3895122411</x:v>
      </x:c>
      <x:c r="E584" s="16" t="n">
        <x:v>32.9425650411</x:v>
      </x:c>
      <x:c r="F584" s="23" t="n">
        <x:v>6</x:v>
      </x:c>
    </x:row>
    <x:row r="585">
      <x:c r="A585" s="15" t="n">
        <x:v>41487</x:v>
      </x:c>
      <x:c r="B585" s="13" t="str">
        <x:v>Sanitation</x:v>
      </x:c>
      <x:c r="C585" s="16" t="n">
        <x:v>2189.1169350137</x:v>
      </x:c>
      <x:c r="D585" s="16" t="n">
        <x:v>2067.6507314849</x:v>
      </x:c>
      <x:c r="E585" s="16" t="n">
        <x:v>-121.4662035288</x:v>
      </x:c>
      <x:c r="F585" s="23" t="n">
        <x:v>1</x:v>
      </x:c>
    </x:row>
    <x:row r="586">
      <x:c r="A586" s="15" t="n">
        <x:v>41487</x:v>
      </x:c>
      <x:c r="B586" s="13" t="str">
        <x:v>TMT</x:v>
      </x:c>
      <x:c r="C586" s="16" t="n">
        <x:v>8241.723763726</x:v>
      </x:c>
      <x:c r="D586" s="16" t="n">
        <x:v>8253.1180140712</x:v>
      </x:c>
      <x:c r="E586" s="16" t="n">
        <x:v>11.3942503452</x:v>
      </x:c>
      <x:c r="F586" s="23" t="n">
        <x:v>4</x:v>
      </x:c>
    </x:row>
    <x:row r="587">
      <x:c r="A587" s="15" t="n">
        <x:v>41487</x:v>
      </x:c>
      <x:c r="B587" s="13" t="str">
        <x:v>Transportation</x:v>
      </x:c>
      <x:c r="C587" s="16" t="n">
        <x:v>2441.364803726</x:v>
      </x:c>
      <x:c r="D587" s="16" t="n">
        <x:v>2289.133169074</x:v>
      </x:c>
      <x:c r="E587" s="16" t="n">
        <x:v>-152.2316346521</x:v>
      </x:c>
      <x:c r="F587" s="23" t="n">
        <x:v>5</x:v>
      </x:c>
    </x:row>
    <x:row r="588">
      <x:c r="A588" s="15" t="n">
        <x:v>41487</x:v>
      </x:c>
      <x:c r="B588" s="13" t="str">
        <x:v>Utilities &amp; Energy</x:v>
      </x:c>
      <x:c r="C588" s="16" t="n">
        <x:v>10107.2805609644</x:v>
      </x:c>
      <x:c r="D588" s="16" t="n">
        <x:v>11328.6838696658</x:v>
      </x:c>
      <x:c r="E588" s="16" t="n">
        <x:v>1221.4033087014</x:v>
      </x:c>
      <x:c r="F588" s="23" t="n">
        <x:v>10</x:v>
      </x:c>
    </x:row>
    <x:row r="589">
      <x:c r="A589" s="15" t="n">
        <x:v>41518</x:v>
      </x:c>
      <x:c r="B589" s="13" t="str">
        <x:v>Agribusiness</x:v>
      </x:c>
      <x:c r="C589" s="16" t="n">
        <x:v>-4.1208219178</x:v>
      </x:c>
      <x:c r="D589" s="16" t="n">
        <x:v>-9.2269863014</x:v>
      </x:c>
      <x:c r="E589" s="16" t="n">
        <x:v>-5.1061643836</x:v>
      </x:c>
      <x:c r="F589" s="23" t="n">
        <x:v>1</x:v>
      </x:c>
    </x:row>
    <x:row r="590">
      <x:c r="A590" s="15" t="n">
        <x:v>41518</x:v>
      </x:c>
      <x:c r="B590" s="13" t="str">
        <x:v>Banks</x:v>
      </x:c>
      <x:c r="C590" s="16" t="n">
        <x:v>60359.8389205917</x:v>
      </x:c>
      <x:c r="D590" s="16" t="n">
        <x:v>59802.1185746411</x:v>
      </x:c>
      <x:c r="E590" s="16" t="n">
        <x:v>-557.7203459506</x:v>
      </x:c>
      <x:c r="F590" s="23" t="n">
        <x:v>5</x:v>
      </x:c>
    </x:row>
    <x:row r="591">
      <x:c r="A591" s="15" t="n">
        <x:v>41518</x:v>
      </x:c>
      <x:c r="B591" s="13" t="str">
        <x:v>Capital Goods</x:v>
      </x:c>
      <x:c r="C591" s="16" t="n">
        <x:v>1055.4580455452</x:v>
      </x:c>
      <x:c r="D591" s="16" t="n">
        <x:v>1142.5362873863</x:v>
      </x:c>
      <x:c r="E591" s="16" t="n">
        <x:v>87.0782418411</x:v>
      </x:c>
      <x:c r="F591" s="23" t="n">
        <x:v>1</x:v>
      </x:c>
    </x:row>
    <x:row r="592">
      <x:c r="A592" s="15" t="n">
        <x:v>41518</x:v>
      </x:c>
      <x:c r="B592" s="13" t="str">
        <x:v>Financials Non-Banks</x:v>
      </x:c>
      <x:c r="C592" s="16" t="n">
        <x:v>11100.4533404932</x:v>
      </x:c>
      <x:c r="D592" s="16" t="n">
        <x:v>11528.529356011</x:v>
      </x:c>
      <x:c r="E592" s="16" t="n">
        <x:v>428.0760155178</x:v>
      </x:c>
      <x:c r="F592" s="23" t="n">
        <x:v>4</x:v>
      </x:c>
    </x:row>
    <x:row r="593">
      <x:c r="A593" s="15" t="n">
        <x:v>41518</x:v>
      </x:c>
      <x:c r="B593" s="13" t="str">
        <x:v>Food &amp; Beverages</x:v>
      </x:c>
      <x:c r="C593" s="16" t="n">
        <x:v>16121.5240277041</x:v>
      </x:c>
      <x:c r="D593" s="16" t="n">
        <x:v>16835.6607246904</x:v>
      </x:c>
      <x:c r="E593" s="16" t="n">
        <x:v>714.1366969862</x:v>
      </x:c>
      <x:c r="F593" s="23" t="n">
        <x:v>4</x:v>
      </x:c>
    </x:row>
    <x:row r="594">
      <x:c r="A594" s="15" t="n">
        <x:v>41518</x:v>
      </x:c>
      <x:c r="B594" s="13" t="str">
        <x:v>Health Care</x:v>
      </x:c>
      <x:c r="C594" s="16" t="n">
        <x:v>623.1164397589</x:v>
      </x:c>
      <x:c r="D594" s="16" t="n">
        <x:v>652.0754670466</x:v>
      </x:c>
      <x:c r="E594" s="16" t="n">
        <x:v>28.9590272877</x:v>
      </x:c>
      <x:c r="F594" s="23" t="n">
        <x:v>2</x:v>
      </x:c>
    </x:row>
    <x:row r="595">
      <x:c r="A595" s="15" t="n">
        <x:v>41518</x:v>
      </x:c>
      <x:c r="B595" s="13" t="str">
        <x:v>Homebuilders</x:v>
      </x:c>
      <x:c r="C595" s="16" t="n">
        <x:v>2223.4467398575</x:v>
      </x:c>
      <x:c r="D595" s="16" t="n">
        <x:v>2063.2518217863</x:v>
      </x:c>
      <x:c r="E595" s="16" t="n">
        <x:v>-160.1949180712</x:v>
      </x:c>
      <x:c r="F595" s="23" t="n">
        <x:v>6</x:v>
      </x:c>
    </x:row>
    <x:row r="596">
      <x:c r="A596" s="15" t="n">
        <x:v>41518</x:v>
      </x:c>
      <x:c r="B596" s="13" t="str">
        <x:v>Income Properties</x:v>
      </x:c>
      <x:c r="C596" s="16" t="n">
        <x:v>974.8812836822</x:v>
      </x:c>
      <x:c r="D596" s="16" t="n">
        <x:v>952.4023212712</x:v>
      </x:c>
      <x:c r="E596" s="16" t="n">
        <x:v>-22.478962411</x:v>
      </x:c>
      <x:c r="F596" s="23" t="n">
        <x:v>2</x:v>
      </x:c>
    </x:row>
    <x:row r="597">
      <x:c r="A597" s="15" t="n">
        <x:v>41518</x:v>
      </x:c>
      <x:c r="B597" s="13" t="str">
        <x:v>Metals &amp; Mining</x:v>
      </x:c>
      <x:c r="C597" s="16" t="n">
        <x:v>29234.5413822904</x:v>
      </x:c>
      <x:c r="D597" s="16" t="n">
        <x:v>29717.4868895123</x:v>
      </x:c>
      <x:c r="E597" s="16" t="n">
        <x:v>482.9455072219</x:v>
      </x:c>
      <x:c r="F597" s="23" t="n">
        <x:v>8</x:v>
      </x:c>
    </x:row>
    <x:row r="598">
      <x:c r="A598" s="15" t="n">
        <x:v>41518</x:v>
      </x:c>
      <x:c r="B598" s="13" t="str">
        <x:v>Oil, Gas &amp; Petrochemicals</x:v>
      </x:c>
      <x:c r="C598" s="16" t="n">
        <x:v>33961.3117797918</x:v>
      </x:c>
      <x:c r="D598" s="16" t="n">
        <x:v>31286.2255680877</x:v>
      </x:c>
      <x:c r="E598" s="16" t="n">
        <x:v>-2675.0862117041</x:v>
      </x:c>
      <x:c r="F598" s="23" t="n">
        <x:v>4</x:v>
      </x:c>
    </x:row>
    <x:row r="599">
      <x:c r="A599" s="15" t="n">
        <x:v>41518</x:v>
      </x:c>
      <x:c r="B599" s="13" t="str">
        <x:v>Pulp &amp; Paper</x:v>
      </x:c>
      <x:c r="C599" s="16" t="n">
        <x:v>1058.6192128877</x:v>
      </x:c>
      <x:c r="D599" s="16" t="n">
        <x:v>1031.480710663</x:v>
      </x:c>
      <x:c r="E599" s="16" t="n">
        <x:v>-27.1385022247</x:v>
      </x:c>
      <x:c r="F599" s="23" t="n">
        <x:v>3</x:v>
      </x:c>
    </x:row>
    <x:row r="600">
      <x:c r="A600" s="15" t="n">
        <x:v>41518</x:v>
      </x:c>
      <x:c r="B600" s="13" t="str">
        <x:v>Retail</x:v>
      </x:c>
      <x:c r="C600" s="16" t="n">
        <x:v>3669.3196677041</x:v>
      </x:c>
      <x:c r="D600" s="16" t="n">
        <x:v>3738.1133907726</x:v>
      </x:c>
      <x:c r="E600" s="16" t="n">
        <x:v>68.7937230685</x:v>
      </x:c>
      <x:c r="F600" s="23" t="n">
        <x:v>6</x:v>
      </x:c>
    </x:row>
    <x:row r="601">
      <x:c r="A601" s="15" t="n">
        <x:v>41518</x:v>
      </x:c>
      <x:c r="B601" s="13" t="str">
        <x:v>Sanitation</x:v>
      </x:c>
      <x:c r="C601" s="16" t="n">
        <x:v>2201.8328779397</x:v>
      </x:c>
      <x:c r="D601" s="16" t="n">
        <x:v>1948.0359143452</x:v>
      </x:c>
      <x:c r="E601" s="16" t="n">
        <x:v>-253.7969635945</x:v>
      </x:c>
      <x:c r="F601" s="23" t="n">
        <x:v>1</x:v>
      </x:c>
    </x:row>
    <x:row r="602">
      <x:c r="A602" s="15" t="n">
        <x:v>41518</x:v>
      </x:c>
      <x:c r="B602" s="13" t="str">
        <x:v>TMT</x:v>
      </x:c>
      <x:c r="C602" s="16" t="n">
        <x:v>8315.4584540932</x:v>
      </x:c>
      <x:c r="D602" s="16" t="n">
        <x:v>7496.5520201644</x:v>
      </x:c>
      <x:c r="E602" s="16" t="n">
        <x:v>-818.9064339288</x:v>
      </x:c>
      <x:c r="F602" s="23" t="n">
        <x:v>4</x:v>
      </x:c>
    </x:row>
    <x:row r="603">
      <x:c r="A603" s="15" t="n">
        <x:v>41518</x:v>
      </x:c>
      <x:c r="B603" s="13" t="str">
        <x:v>Transportation</x:v>
      </x:c>
      <x:c r="C603" s="16" t="n">
        <x:v>2450.5037243616</x:v>
      </x:c>
      <x:c r="D603" s="16" t="n">
        <x:v>2339.8794858082</x:v>
      </x:c>
      <x:c r="E603" s="16" t="n">
        <x:v>-110.6242385534</x:v>
      </x:c>
      <x:c r="F603" s="23" t="n">
        <x:v>5</x:v>
      </x:c>
    </x:row>
    <x:row r="604">
      <x:c r="A604" s="15" t="n">
        <x:v>41518</x:v>
      </x:c>
      <x:c r="B604" s="13" t="str">
        <x:v>Utilities &amp; Energy</x:v>
      </x:c>
      <x:c r="C604" s="16" t="n">
        <x:v>11228.0337398795</x:v>
      </x:c>
      <x:c r="D604" s="16" t="n">
        <x:v>11554.7756844712</x:v>
      </x:c>
      <x:c r="E604" s="16" t="n">
        <x:v>326.7419445918</x:v>
      </x:c>
      <x:c r="F604" s="23" t="n">
        <x:v>10</x:v>
      </x:c>
    </x:row>
    <x:row r="605">
      <x:c r="A605" s="15" t="n">
        <x:v>41548</x:v>
      </x:c>
      <x:c r="B605" s="13" t="str">
        <x:v>Agribusiness</x:v>
      </x:c>
      <x:c r="C605" s="16" t="n">
        <x:v>-18.5750684932</x:v>
      </x:c>
      <x:c r="D605" s="16" t="n">
        <x:v>-2.4282191781</x:v>
      </x:c>
      <x:c r="E605" s="16" t="n">
        <x:v>16.1468493151</x:v>
      </x:c>
      <x:c r="F605" s="23" t="n">
        <x:v>1</x:v>
      </x:c>
    </x:row>
    <x:row r="606">
      <x:c r="A606" s="15" t="n">
        <x:v>41548</x:v>
      </x:c>
      <x:c r="B606" s="13" t="str">
        <x:v>Banks</x:v>
      </x:c>
      <x:c r="C606" s="16" t="n">
        <x:v>60270.2313991013</x:v>
      </x:c>
      <x:c r="D606" s="16" t="n">
        <x:v>60289.0872060492</x:v>
      </x:c>
      <x:c r="E606" s="16" t="n">
        <x:v>18.855806948</x:v>
      </x:c>
      <x:c r="F606" s="23" t="n">
        <x:v>5</x:v>
      </x:c>
    </x:row>
    <x:row r="607">
      <x:c r="A607" s="15" t="n">
        <x:v>41548</x:v>
      </x:c>
      <x:c r="B607" s="13" t="str">
        <x:v>Capital Goods</x:v>
      </x:c>
      <x:c r="C607" s="16" t="n">
        <x:v>1024.1120045589</x:v>
      </x:c>
      <x:c r="D607" s="16" t="n">
        <x:v>993.9345662247</x:v>
      </x:c>
      <x:c r="E607" s="16" t="n">
        <x:v>-30.1774383342</x:v>
      </x:c>
      <x:c r="F607" s="23" t="n">
        <x:v>1</x:v>
      </x:c>
    </x:row>
    <x:row r="608">
      <x:c r="A608" s="15" t="n">
        <x:v>41548</x:v>
      </x:c>
      <x:c r="B608" s="13" t="str">
        <x:v>Financials Non-Banks</x:v>
      </x:c>
      <x:c r="C608" s="16" t="n">
        <x:v>11080.9875618192</x:v>
      </x:c>
      <x:c r="D608" s="16" t="n">
        <x:v>11473.0003915397</x:v>
      </x:c>
      <x:c r="E608" s="16" t="n">
        <x:v>392.0128297206</x:v>
      </x:c>
      <x:c r="F608" s="23" t="n">
        <x:v>4</x:v>
      </x:c>
    </x:row>
    <x:row r="609">
      <x:c r="A609" s="15" t="n">
        <x:v>41548</x:v>
      </x:c>
      <x:c r="B609" s="13" t="str">
        <x:v>Food &amp; Beverages</x:v>
      </x:c>
      <x:c r="C609" s="16" t="n">
        <x:v>16490.6551712877</x:v>
      </x:c>
      <x:c r="D609" s="16" t="n">
        <x:v>16685.173075726</x:v>
      </x:c>
      <x:c r="E609" s="16" t="n">
        <x:v>194.5179044384</x:v>
      </x:c>
      <x:c r="F609" s="23" t="n">
        <x:v>4</x:v>
      </x:c>
    </x:row>
    <x:row r="610">
      <x:c r="A610" s="15" t="n">
        <x:v>41548</x:v>
      </x:c>
      <x:c r="B610" s="13" t="str">
        <x:v>Health Care</x:v>
      </x:c>
      <x:c r="C610" s="16" t="n">
        <x:v>635.2880022795</x:v>
      </x:c>
      <x:c r="D610" s="16" t="n">
        <x:v>663.4747628932</x:v>
      </x:c>
      <x:c r="E610" s="16" t="n">
        <x:v>28.1867606137</x:v>
      </x:c>
      <x:c r="F610" s="23" t="n">
        <x:v>2</x:v>
      </x:c>
    </x:row>
    <x:row r="611">
      <x:c r="A611" s="15" t="n">
        <x:v>41548</x:v>
      </x:c>
      <x:c r="B611" s="13" t="str">
        <x:v>Homebuilders</x:v>
      </x:c>
      <x:c r="C611" s="16" t="n">
        <x:v>2220.6658398247</x:v>
      </x:c>
      <x:c r="D611" s="16" t="n">
        <x:v>2018.9679996329</x:v>
      </x:c>
      <x:c r="E611" s="16" t="n">
        <x:v>-201.6978401918</x:v>
      </x:c>
      <x:c r="F611" s="23" t="n">
        <x:v>6</x:v>
      </x:c>
    </x:row>
    <x:row r="612">
      <x:c r="A612" s="15" t="n">
        <x:v>41548</x:v>
      </x:c>
      <x:c r="B612" s="13" t="str">
        <x:v>Income Properties</x:v>
      </x:c>
      <x:c r="C612" s="16" t="n">
        <x:v>943.9079671233</x:v>
      </x:c>
      <x:c r="D612" s="16" t="n">
        <x:v>918.0033953315</x:v>
      </x:c>
      <x:c r="E612" s="16" t="n">
        <x:v>-25.9045717918</x:v>
      </x:c>
      <x:c r="F612" s="23" t="n">
        <x:v>2</x:v>
      </x:c>
    </x:row>
    <x:row r="613">
      <x:c r="A613" s="15" t="n">
        <x:v>41548</x:v>
      </x:c>
      <x:c r="B613" s="13" t="str">
        <x:v>Metals &amp; Mining</x:v>
      </x:c>
      <x:c r="C613" s="16" t="n">
        <x:v>28933.7096239781</x:v>
      </x:c>
      <x:c r="D613" s="16" t="n">
        <x:v>29309.8403014959</x:v>
      </x:c>
      <x:c r="E613" s="16" t="n">
        <x:v>376.1306775178</x:v>
      </x:c>
      <x:c r="F613" s="23" t="n">
        <x:v>8</x:v>
      </x:c>
    </x:row>
    <x:row r="614">
      <x:c r="A614" s="15" t="n">
        <x:v>41548</x:v>
      </x:c>
      <x:c r="B614" s="13" t="str">
        <x:v>Oil, Gas &amp; Petrochemicals</x:v>
      </x:c>
      <x:c r="C614" s="16" t="n">
        <x:v>31736.8295939506</x:v>
      </x:c>
      <x:c r="D614" s="16" t="n">
        <x:v>28990.0033674521</x:v>
      </x:c>
      <x:c r="E614" s="16" t="n">
        <x:v>-2746.8262264986</x:v>
      </x:c>
      <x:c r="F614" s="23" t="n">
        <x:v>4</x:v>
      </x:c>
    </x:row>
    <x:row r="615">
      <x:c r="A615" s="15" t="n">
        <x:v>41548</x:v>
      </x:c>
      <x:c r="B615" s="13" t="str">
        <x:v>Pulp &amp; Paper</x:v>
      </x:c>
      <x:c r="C615" s="16" t="n">
        <x:v>890.0640015671</x:v>
      </x:c>
      <x:c r="D615" s="16" t="n">
        <x:v>1047.5651879452</x:v>
      </x:c>
      <x:c r="E615" s="16" t="n">
        <x:v>157.5011863781</x:v>
      </x:c>
      <x:c r="F615" s="23" t="n">
        <x:v>3</x:v>
      </x:c>
    </x:row>
    <x:row r="616">
      <x:c r="A616" s="15" t="n">
        <x:v>41548</x:v>
      </x:c>
      <x:c r="B616" s="13" t="str">
        <x:v>Retail</x:v>
      </x:c>
      <x:c r="C616" s="16" t="n">
        <x:v>3652.653948274</x:v>
      </x:c>
      <x:c r="D616" s="16" t="n">
        <x:v>3678.7366503452</x:v>
      </x:c>
      <x:c r="E616" s="16" t="n">
        <x:v>26.0827020712</x:v>
      </x:c>
      <x:c r="F616" s="23" t="n">
        <x:v>6</x:v>
      </x:c>
    </x:row>
    <x:row r="617">
      <x:c r="A617" s="15" t="n">
        <x:v>41548</x:v>
      </x:c>
      <x:c r="B617" s="13" t="str">
        <x:v>Sanitation</x:v>
      </x:c>
      <x:c r="C617" s="16" t="n">
        <x:v>2134.0918759452</x:v>
      </x:c>
      <x:c r="D617" s="16" t="n">
        <x:v>1960.7139832986</x:v>
      </x:c>
      <x:c r="E617" s="16" t="n">
        <x:v>-173.3778926466</x:v>
      </x:c>
      <x:c r="F617" s="23" t="n">
        <x:v>1</x:v>
      </x:c>
    </x:row>
    <x:row r="618">
      <x:c r="A618" s="15" t="n">
        <x:v>41548</x:v>
      </x:c>
      <x:c r="B618" s="13" t="str">
        <x:v>TMT</x:v>
      </x:c>
      <x:c r="C618" s="16" t="n">
        <x:v>8237.1305815671</x:v>
      </x:c>
      <x:c r="D618" s="16" t="n">
        <x:v>6890.3808291068</x:v>
      </x:c>
      <x:c r="E618" s="16" t="n">
        <x:v>-1346.7497524603</x:v>
      </x:c>
      <x:c r="F618" s="23" t="n">
        <x:v>4</x:v>
      </x:c>
    </x:row>
    <x:row r="619">
      <x:c r="A619" s="15" t="n">
        <x:v>41548</x:v>
      </x:c>
      <x:c r="B619" s="13" t="str">
        <x:v>Transportation</x:v>
      </x:c>
      <x:c r="C619" s="16" t="n">
        <x:v>2402.5314617863</x:v>
      </x:c>
      <x:c r="D619" s="16" t="n">
        <x:v>2390.1591275616</x:v>
      </x:c>
      <x:c r="E619" s="16" t="n">
        <x:v>-12.3723342247</x:v>
      </x:c>
      <x:c r="F619" s="23" t="n">
        <x:v>5</x:v>
      </x:c>
    </x:row>
    <x:row r="620">
      <x:c r="A620" s="15" t="n">
        <x:v>41548</x:v>
      </x:c>
      <x:c r="B620" s="13" t="str">
        <x:v>Utilities &amp; Energy</x:v>
      </x:c>
      <x:c r="C620" s="16" t="n">
        <x:v>11377.0313521315</x:v>
      </x:c>
      <x:c r="D620" s="16" t="n">
        <x:v>11557.6039577425</x:v>
      </x:c>
      <x:c r="E620" s="16" t="n">
        <x:v>180.572605611</x:v>
      </x:c>
      <x:c r="F620" s="23" t="n">
        <x:v>10</x:v>
      </x:c>
    </x:row>
    <x:row r="621">
      <x:c r="A621" s="15" t="n">
        <x:v>41579</x:v>
      </x:c>
      <x:c r="B621" s="13" t="str">
        <x:v>Agribusiness</x:v>
      </x:c>
      <x:c r="C621" s="16" t="n">
        <x:v>-16.0257534247</x:v>
      </x:c>
      <x:c r="D621" s="16" t="n">
        <x:v>-5.2375342466</x:v>
      </x:c>
      <x:c r="E621" s="16" t="n">
        <x:v>10.7882191781</x:v>
      </x:c>
      <x:c r="F621" s="23" t="n">
        <x:v>1</x:v>
      </x:c>
    </x:row>
    <x:row r="622">
      <x:c r="A622" s="15" t="n">
        <x:v>41579</x:v>
      </x:c>
      <x:c r="B622" s="13" t="str">
        <x:v>Banks</x:v>
      </x:c>
      <x:c r="C622" s="16" t="n">
        <x:v>60026.8757777535</x:v>
      </x:c>
      <x:c r="D622" s="16" t="n">
        <x:v>60486.3186158466</x:v>
      </x:c>
      <x:c r="E622" s="16" t="n">
        <x:v>459.4428380931</x:v>
      </x:c>
      <x:c r="F622" s="23" t="n">
        <x:v>5</x:v>
      </x:c>
    </x:row>
    <x:row r="623">
      <x:c r="A623" s="15" t="n">
        <x:v>41579</x:v>
      </x:c>
      <x:c r="B623" s="13" t="str">
        <x:v>Capital Goods</x:v>
      </x:c>
      <x:c r="C623" s="16" t="n">
        <x:v>1050.060941326</x:v>
      </x:c>
      <x:c r="D623" s="16" t="n">
        <x:v>967.4302577973</x:v>
      </x:c>
      <x:c r="E623" s="16" t="n">
        <x:v>-82.6306835288</x:v>
      </x:c>
      <x:c r="F623" s="23" t="n">
        <x:v>1</x:v>
      </x:c>
    </x:row>
    <x:row r="624">
      <x:c r="A624" s="15" t="n">
        <x:v>41579</x:v>
      </x:c>
      <x:c r="B624" s="13" t="str">
        <x:v>Financials Non-Banks</x:v>
      </x:c>
      <x:c r="C624" s="16" t="n">
        <x:v>11442.1153952438</x:v>
      </x:c>
      <x:c r="D624" s="16" t="n">
        <x:v>11849.7098959781</x:v>
      </x:c>
      <x:c r="E624" s="16" t="n">
        <x:v>407.5945007343</x:v>
      </x:c>
      <x:c r="F624" s="23" t="n">
        <x:v>4</x:v>
      </x:c>
    </x:row>
    <x:row r="625">
      <x:c r="A625" s="15" t="n">
        <x:v>41579</x:v>
      </x:c>
      <x:c r="B625" s="13" t="str">
        <x:v>Food &amp; Beverages</x:v>
      </x:c>
      <x:c r="C625" s="16" t="n">
        <x:v>16677.314175737</x:v>
      </x:c>
      <x:c r="D625" s="16" t="n">
        <x:v>16945.1626793206</x:v>
      </x:c>
      <x:c r="E625" s="16" t="n">
        <x:v>267.8485035836</x:v>
      </x:c>
      <x:c r="F625" s="23" t="n">
        <x:v>4</x:v>
      </x:c>
    </x:row>
    <x:row r="626">
      <x:c r="A626" s="15" t="n">
        <x:v>41579</x:v>
      </x:c>
      <x:c r="B626" s="13" t="str">
        <x:v>Health Care</x:v>
      </x:c>
      <x:c r="C626" s="16" t="n">
        <x:v>636.8551180274</x:v>
      </x:c>
      <x:c r="D626" s="16" t="n">
        <x:v>670.5533860822</x:v>
      </x:c>
      <x:c r="E626" s="16" t="n">
        <x:v>33.6982680548</x:v>
      </x:c>
      <x:c r="F626" s="23" t="n">
        <x:v>2</x:v>
      </x:c>
    </x:row>
    <x:row r="627">
      <x:c r="A627" s="15" t="n">
        <x:v>41579</x:v>
      </x:c>
      <x:c r="B627" s="13" t="str">
        <x:v>Homebuilders</x:v>
      </x:c>
      <x:c r="C627" s="16" t="n">
        <x:v>2156.6222557808</x:v>
      </x:c>
      <x:c r="D627" s="16" t="n">
        <x:v>1875.2324227397</x:v>
      </x:c>
      <x:c r="E627" s="16" t="n">
        <x:v>-281.3898330411</x:v>
      </x:c>
      <x:c r="F627" s="23" t="n">
        <x:v>6</x:v>
      </x:c>
    </x:row>
    <x:row r="628">
      <x:c r="A628" s="15" t="n">
        <x:v>41579</x:v>
      </x:c>
      <x:c r="B628" s="13" t="str">
        <x:v>Income Properties</x:v>
      </x:c>
      <x:c r="C628" s="16" t="n">
        <x:v>942.3244110027</x:v>
      </x:c>
      <x:c r="D628" s="16" t="n">
        <x:v>930.5483918027</x:v>
      </x:c>
      <x:c r="E628" s="16" t="n">
        <x:v>-11.7760192</x:v>
      </x:c>
      <x:c r="F628" s="23" t="n">
        <x:v>2</x:v>
      </x:c>
    </x:row>
    <x:row r="629">
      <x:c r="A629" s="15" t="n">
        <x:v>41579</x:v>
      </x:c>
      <x:c r="B629" s="13" t="str">
        <x:v>Metals &amp; Mining</x:v>
      </x:c>
      <x:c r="C629" s="16" t="n">
        <x:v>28934.9030786192</x:v>
      </x:c>
      <x:c r="D629" s="16" t="n">
        <x:v>31909.7879353863</x:v>
      </x:c>
      <x:c r="E629" s="16" t="n">
        <x:v>2974.8848567671</x:v>
      </x:c>
      <x:c r="F629" s="23" t="n">
        <x:v>8</x:v>
      </x:c>
    </x:row>
    <x:row r="630">
      <x:c r="A630" s="15" t="n">
        <x:v>41579</x:v>
      </x:c>
      <x:c r="B630" s="13" t="str">
        <x:v>Oil, Gas &amp; Petrochemicals</x:v>
      </x:c>
      <x:c r="C630" s="16" t="n">
        <x:v>34483.2146986083</x:v>
      </x:c>
      <x:c r="D630" s="16" t="n">
        <x:v>32997.0663246904</x:v>
      </x:c>
      <x:c r="E630" s="16" t="n">
        <x:v>-1486.1483739179</x:v>
      </x:c>
      <x:c r="F630" s="23" t="n">
        <x:v>4</x:v>
      </x:c>
    </x:row>
    <x:row r="631">
      <x:c r="A631" s="15" t="n">
        <x:v>41579</x:v>
      </x:c>
      <x:c r="B631" s="13" t="str">
        <x:v>Pulp &amp; Paper</x:v>
      </x:c>
      <x:c r="C631" s="16" t="n">
        <x:v>920.1146126904</x:v>
      </x:c>
      <x:c r="D631" s="16" t="n">
        <x:v>1184.0892970959</x:v>
      </x:c>
      <x:c r="E631" s="16" t="n">
        <x:v>263.9746844055</x:v>
      </x:c>
      <x:c r="F631" s="23" t="n">
        <x:v>3</x:v>
      </x:c>
    </x:row>
    <x:row r="632">
      <x:c r="A632" s="15" t="n">
        <x:v>41579</x:v>
      </x:c>
      <x:c r="B632" s="13" t="str">
        <x:v>Retail</x:v>
      </x:c>
      <x:c r="C632" s="16" t="n">
        <x:v>3684.3895122411</x:v>
      </x:c>
      <x:c r="D632" s="16" t="n">
        <x:v>3682.6399590575</x:v>
      </x:c>
      <x:c r="E632" s="16" t="n">
        <x:v>-1.7495531836</x:v>
      </x:c>
      <x:c r="F632" s="23" t="n">
        <x:v>6</x:v>
      </x:c>
    </x:row>
    <x:row r="633">
      <x:c r="A633" s="15" t="n">
        <x:v>41579</x:v>
      </x:c>
      <x:c r="B633" s="13" t="str">
        <x:v>Sanitation</x:v>
      </x:c>
      <x:c r="C633" s="16" t="n">
        <x:v>2067.6507314849</x:v>
      </x:c>
      <x:c r="D633" s="16" t="n">
        <x:v>1947.1585027507</x:v>
      </x:c>
      <x:c r="E633" s="16" t="n">
        <x:v>-120.4922287342</x:v>
      </x:c>
      <x:c r="F633" s="23" t="n">
        <x:v>1</x:v>
      </x:c>
    </x:row>
    <x:row r="634">
      <x:c r="A634" s="15" t="n">
        <x:v>41579</x:v>
      </x:c>
      <x:c r="B634" s="13" t="str">
        <x:v>TMT</x:v>
      </x:c>
      <x:c r="C634" s="16" t="n">
        <x:v>8253.1180140712</x:v>
      </x:c>
      <x:c r="D634" s="16" t="n">
        <x:v>6607.3244887671</x:v>
      </x:c>
      <x:c r="E634" s="16" t="n">
        <x:v>-1645.7935253041</x:v>
      </x:c>
      <x:c r="F634" s="23" t="n">
        <x:v>4</x:v>
      </x:c>
    </x:row>
    <x:row r="635">
      <x:c r="A635" s="15" t="n">
        <x:v>41579</x:v>
      </x:c>
      <x:c r="B635" s="13" t="str">
        <x:v>Transportation</x:v>
      </x:c>
      <x:c r="C635" s="16" t="n">
        <x:v>2289.133169074</x:v>
      </x:c>
      <x:c r="D635" s="16" t="n">
        <x:v>2395.5748893151</x:v>
      </x:c>
      <x:c r="E635" s="16" t="n">
        <x:v>106.4417202411</x:v>
      </x:c>
      <x:c r="F635" s="23" t="n">
        <x:v>5</x:v>
      </x:c>
    </x:row>
    <x:row r="636">
      <x:c r="A636" s="15" t="n">
        <x:v>41579</x:v>
      </x:c>
      <x:c r="B636" s="13" t="str">
        <x:v>Utilities &amp; Energy</x:v>
      </x:c>
      <x:c r="C636" s="16" t="n">
        <x:v>11328.6838696658</x:v>
      </x:c>
      <x:c r="D636" s="16" t="n">
        <x:v>11708.8757145425</x:v>
      </x:c>
      <x:c r="E636" s="16" t="n">
        <x:v>380.1918448767</x:v>
      </x:c>
      <x:c r="F636" s="23" t="n">
        <x:v>10</x:v>
      </x:c>
    </x:row>
    <x:row r="637">
      <x:c r="A637" s="15" t="n">
        <x:v>41609</x:v>
      </x:c>
      <x:c r="B637" s="13" t="str">
        <x:v>Agribusiness</x:v>
      </x:c>
      <x:c r="C637" s="16" t="n">
        <x:v>-9.2269863014</x:v>
      </x:c>
      <x:c r="D637" s="16" t="n">
        <x:v>32.7333</x:v>
      </x:c>
      <x:c r="E637" s="16" t="n">
        <x:v>41.9602863014</x:v>
      </x:c>
      <x:c r="F637" s="23" t="n">
        <x:v>1</x:v>
      </x:c>
    </x:row>
    <x:row r="638">
      <x:c r="A638" s="15" t="n">
        <x:v>41609</x:v>
      </x:c>
      <x:c r="B638" s="13" t="str">
        <x:v>Banks</x:v>
      </x:c>
      <x:c r="C638" s="16" t="n">
        <x:v>59802.1185746411</x:v>
      </x:c>
      <x:c r="D638" s="16" t="n">
        <x:v>60963.500032</x:v>
      </x:c>
      <x:c r="E638" s="16" t="n">
        <x:v>1161.3814573589</x:v>
      </x:c>
      <x:c r="F638" s="23" t="n">
        <x:v>5</x:v>
      </x:c>
    </x:row>
    <x:row r="639">
      <x:c r="A639" s="15" t="n">
        <x:v>41609</x:v>
      </x:c>
      <x:c r="B639" s="13" t="str">
        <x:v>Capital Goods</x:v>
      </x:c>
      <x:c r="C639" s="16" t="n">
        <x:v>1142.5362873863</x:v>
      </x:c>
      <x:c r="D639" s="16" t="n">
        <x:v>971</x:v>
      </x:c>
      <x:c r="E639" s="16" t="n">
        <x:v>-171.5362873863</x:v>
      </x:c>
      <x:c r="F639" s="23" t="n">
        <x:v>1</x:v>
      </x:c>
    </x:row>
    <x:row r="640">
      <x:c r="A640" s="15" t="n">
        <x:v>41609</x:v>
      </x:c>
      <x:c r="B640" s="13" t="str">
        <x:v>Education</x:v>
      </x:c>
      <x:c r="C640" s="16" t="n">
        <x:v>853.8405016548</x:v>
      </x:c>
      <x:c r="D640" s="16" t="n">
        <x:v>949.339008</x:v>
      </x:c>
      <x:c r="E640" s="16" t="n">
        <x:v>95.4985063452</x:v>
      </x:c>
      <x:c r="F640" s="23" t="n">
        <x:v>2</x:v>
      </x:c>
    </x:row>
    <x:row r="641">
      <x:c r="A641" s="15" t="n">
        <x:v>41609</x:v>
      </x:c>
      <x:c r="B641" s="13" t="str">
        <x:v>Financials Non-Banks</x:v>
      </x:c>
      <x:c r="C641" s="16" t="n">
        <x:v>11528.529356011</x:v>
      </x:c>
      <x:c r="D641" s="16" t="n">
        <x:v>11947.263296</x:v>
      </x:c>
      <x:c r="E641" s="16" t="n">
        <x:v>418.733939989</x:v>
      </x:c>
      <x:c r="F641" s="23" t="n">
        <x:v>4</x:v>
      </x:c>
    </x:row>
    <x:row r="642">
      <x:c r="A642" s="15" t="n">
        <x:v>41609</x:v>
      </x:c>
      <x:c r="B642" s="13" t="str">
        <x:v>Food &amp; Beverages</x:v>
      </x:c>
      <x:c r="C642" s="16" t="n">
        <x:v>16835.6607246904</x:v>
      </x:c>
      <x:c r="D642" s="16" t="n">
        <x:v>17142.81328</x:v>
      </x:c>
      <x:c r="E642" s="16" t="n">
        <x:v>307.1525553096</x:v>
      </x:c>
      <x:c r="F642" s="23" t="n">
        <x:v>4</x:v>
      </x:c>
    </x:row>
    <x:row r="643">
      <x:c r="A643" s="15" t="n">
        <x:v>41609</x:v>
      </x:c>
      <x:c r="B643" s="13" t="str">
        <x:v>Health Care</x:v>
      </x:c>
      <x:c r="C643" s="16" t="n">
        <x:v>652.0754670466</x:v>
      </x:c>
      <x:c r="D643" s="16" t="n">
        <x:v>661.416</x:v>
      </x:c>
      <x:c r="E643" s="16" t="n">
        <x:v>9.3405329534</x:v>
      </x:c>
      <x:c r="F643" s="23" t="n">
        <x:v>2</x:v>
      </x:c>
    </x:row>
    <x:row r="644">
      <x:c r="A644" s="15" t="n">
        <x:v>41609</x:v>
      </x:c>
      <x:c r="B644" s="13" t="str">
        <x:v>Homebuilders</x:v>
      </x:c>
      <x:c r="C644" s="16" t="n">
        <x:v>2063.2518217863</x:v>
      </x:c>
      <x:c r="D644" s="16" t="n">
        <x:v>1760.530032</x:v>
      </x:c>
      <x:c r="E644" s="16" t="n">
        <x:v>-302.7217897863</x:v>
      </x:c>
      <x:c r="F644" s="23" t="n">
        <x:v>6</x:v>
      </x:c>
    </x:row>
    <x:row r="645">
      <x:c r="A645" s="15" t="n">
        <x:v>41609</x:v>
      </x:c>
      <x:c r="B645" s="13" t="str">
        <x:v>Income Properties</x:v>
      </x:c>
      <x:c r="C645" s="16" t="n">
        <x:v>952.4023212712</x:v>
      </x:c>
      <x:c r="D645" s="16" t="n">
        <x:v>916.999968</x:v>
      </x:c>
      <x:c r="E645" s="16" t="n">
        <x:v>-35.4023532712</x:v>
      </x:c>
      <x:c r="F645" s="23" t="n">
        <x:v>2</x:v>
      </x:c>
    </x:row>
    <x:row r="646">
      <x:c r="A646" s="15" t="n">
        <x:v>41609</x:v>
      </x:c>
      <x:c r="B646" s="13" t="str">
        <x:v>Metals &amp; Mining</x:v>
      </x:c>
      <x:c r="C646" s="16" t="n">
        <x:v>29717.4868895123</x:v>
      </x:c>
      <x:c r="D646" s="16" t="n">
        <x:v>32366.121664</x:v>
      </x:c>
      <x:c r="E646" s="16" t="n">
        <x:v>2648.6347744877</x:v>
      </x:c>
      <x:c r="F646" s="23" t="n">
        <x:v>8</x:v>
      </x:c>
    </x:row>
    <x:row r="647">
      <x:c r="A647" s="15" t="n">
        <x:v>41609</x:v>
      </x:c>
      <x:c r="B647" s="13" t="str">
        <x:v>Oil, Gas &amp; Petrochemicals</x:v>
      </x:c>
      <x:c r="C647" s="16" t="n">
        <x:v>33371.782910422</x:v>
      </x:c>
      <x:c r="D647" s="16" t="n">
        <x:v>34431.94912</x:v>
      </x:c>
      <x:c r="E647" s="16" t="n">
        <x:v>1060.166209578</x:v>
      </x:c>
      <x:c r="F647" s="23" t="n">
        <x:v>4</x:v>
      </x:c>
    </x:row>
    <x:row r="648">
      <x:c r="A648" s="15" t="n">
        <x:v>41609</x:v>
      </x:c>
      <x:c r="B648" s="13" t="str">
        <x:v>Pulp &amp; Paper</x:v>
      </x:c>
      <x:c r="C648" s="16" t="n">
        <x:v>1031.480710663</x:v>
      </x:c>
      <x:c r="D648" s="16" t="n">
        <x:v>1277.541984</x:v>
      </x:c>
      <x:c r="E648" s="16" t="n">
        <x:v>246.061273337</x:v>
      </x:c>
      <x:c r="F648" s="23" t="n">
        <x:v>3</x:v>
      </x:c>
    </x:row>
    <x:row r="649">
      <x:c r="A649" s="15" t="n">
        <x:v>41609</x:v>
      </x:c>
      <x:c r="B649" s="13" t="str">
        <x:v>Retail</x:v>
      </x:c>
      <x:c r="C649" s="16" t="n">
        <x:v>3738.1133907726</x:v>
      </x:c>
      <x:c r="D649" s="16" t="n">
        <x:v>3616.556928</x:v>
      </x:c>
      <x:c r="E649" s="16" t="n">
        <x:v>-121.5564627726</x:v>
      </x:c>
      <x:c r="F649" s="23" t="n">
        <x:v>6</x:v>
      </x:c>
    </x:row>
    <x:row r="650">
      <x:c r="A650" s="15" t="n">
        <x:v>41609</x:v>
      </x:c>
      <x:c r="B650" s="13" t="str">
        <x:v>Sanitation</x:v>
      </x:c>
      <x:c r="C650" s="16" t="n">
        <x:v>1948.0359143452</x:v>
      </x:c>
      <x:c r="D650" s="16" t="n">
        <x:v>1972.999936</x:v>
      </x:c>
      <x:c r="E650" s="16" t="n">
        <x:v>24.9640216548</x:v>
      </x:c>
      <x:c r="F650" s="23" t="n">
        <x:v>1</x:v>
      </x:c>
    </x:row>
    <x:row r="651">
      <x:c r="A651" s="15" t="n">
        <x:v>41609</x:v>
      </x:c>
      <x:c r="B651" s="13" t="str">
        <x:v>TMT</x:v>
      </x:c>
      <x:c r="C651" s="16" t="n">
        <x:v>7496.5520201644</x:v>
      </x:c>
      <x:c r="D651" s="16" t="n">
        <x:v>6474.658048</x:v>
      </x:c>
      <x:c r="E651" s="16" t="n">
        <x:v>-1021.8939721644</x:v>
      </x:c>
      <x:c r="F651" s="23" t="n">
        <x:v>4</x:v>
      </x:c>
    </x:row>
    <x:row r="652">
      <x:c r="A652" s="15" t="n">
        <x:v>41609</x:v>
      </x:c>
      <x:c r="B652" s="13" t="str">
        <x:v>Transportation</x:v>
      </x:c>
      <x:c r="C652" s="16" t="n">
        <x:v>2339.8794858082</x:v>
      </x:c>
      <x:c r="D652" s="16" t="n">
        <x:v>2510.193624</x:v>
      </x:c>
      <x:c r="E652" s="16" t="n">
        <x:v>170.3141381918</x:v>
      </x:c>
      <x:c r="F652" s="23" t="n">
        <x:v>5</x:v>
      </x:c>
    </x:row>
    <x:row r="653">
      <x:c r="A653" s="15" t="n">
        <x:v>41609</x:v>
      </x:c>
      <x:c r="B653" s="13" t="str">
        <x:v>Utilities &amp; Energy</x:v>
      </x:c>
      <x:c r="C653" s="16" t="n">
        <x:v>11554.7756844712</x:v>
      </x:c>
      <x:c r="D653" s="16" t="n">
        <x:v>12125.642144</x:v>
      </x:c>
      <x:c r="E653" s="16" t="n">
        <x:v>570.8664595288</x:v>
      </x:c>
      <x:c r="F653" s="23" t="n">
        <x:v>10</x:v>
      </x:c>
    </x:row>
    <x:row r="654">
      <x:c r="A654" s="15" t="n">
        <x:v>41640</x:v>
      </x:c>
      <x:c r="B654" s="13" t="str">
        <x:v>Banks</x:v>
      </x:c>
      <x:c r="C654" s="16" t="n">
        <x:v>60289.0872060492</x:v>
      </x:c>
      <x:c r="D654" s="16" t="n">
        <x:v>61824.4334507837</x:v>
      </x:c>
      <x:c r="E654" s="16" t="n">
        <x:v>1535.3462447345</x:v>
      </x:c>
      <x:c r="F654" s="23" t="n">
        <x:v>5</x:v>
      </x:c>
    </x:row>
    <x:row r="655">
      <x:c r="A655" s="15" t="n">
        <x:v>41640</x:v>
      </x:c>
      <x:c r="B655" s="13" t="str">
        <x:v>Capital Goods</x:v>
      </x:c>
      <x:c r="C655" s="16" t="n">
        <x:v>993.9345662247</x:v>
      </x:c>
      <x:c r="D655" s="16" t="n">
        <x:v>989.3954219836</x:v>
      </x:c>
      <x:c r="E655" s="16" t="n">
        <x:v>-4.5391442411</x:v>
      </x:c>
      <x:c r="F655" s="23" t="n">
        <x:v>1</x:v>
      </x:c>
    </x:row>
    <x:row r="656">
      <x:c r="A656" s="15" t="n">
        <x:v>41640</x:v>
      </x:c>
      <x:c r="B656" s="13" t="str">
        <x:v>Education</x:v>
      </x:c>
      <x:c r="C656" s="16" t="n">
        <x:v>866.316416</x:v>
      </x:c>
      <x:c r="D656" s="16" t="n">
        <x:v>966.8206528</x:v>
      </x:c>
      <x:c r="E656" s="16" t="n">
        <x:v>100.5042368</x:v>
      </x:c>
      <x:c r="F656" s="23" t="n">
        <x:v>2</x:v>
      </x:c>
    </x:row>
    <x:row r="657">
      <x:c r="A657" s="15" t="n">
        <x:v>41640</x:v>
      </x:c>
      <x:c r="B657" s="13" t="str">
        <x:v>Financials Non-Banks</x:v>
      </x:c>
      <x:c r="C657" s="16" t="n">
        <x:v>11473.0003915397</x:v>
      </x:c>
      <x:c r="D657" s="16" t="n">
        <x:v>12008.9885747726</x:v>
      </x:c>
      <x:c r="E657" s="16" t="n">
        <x:v>535.9881832329</x:v>
      </x:c>
      <x:c r="F657" s="23" t="n">
        <x:v>4</x:v>
      </x:c>
    </x:row>
    <x:row r="658">
      <x:c r="A658" s="15" t="n">
        <x:v>41640</x:v>
      </x:c>
      <x:c r="B658" s="13" t="str">
        <x:v>Food &amp; Beverages</x:v>
      </x:c>
      <x:c r="C658" s="16" t="n">
        <x:v>16685.173075726</x:v>
      </x:c>
      <x:c r="D658" s="16" t="n">
        <x:v>17177.0882796712</x:v>
      </x:c>
      <x:c r="E658" s="16" t="n">
        <x:v>491.9152039451</x:v>
      </x:c>
      <x:c r="F658" s="23" t="n">
        <x:v>4</x:v>
      </x:c>
    </x:row>
    <x:row r="659">
      <x:c r="A659" s="15" t="n">
        <x:v>41640</x:v>
      </x:c>
      <x:c r="B659" s="13" t="str">
        <x:v>Health Care</x:v>
      </x:c>
      <x:c r="C659" s="16" t="n">
        <x:v>663.4747628932</x:v>
      </x:c>
      <x:c r="D659" s="16" t="n">
        <x:v>672.5201892822</x:v>
      </x:c>
      <x:c r="E659" s="16" t="n">
        <x:v>9.045426389</x:v>
      </x:c>
      <x:c r="F659" s="23" t="n">
        <x:v>2</x:v>
      </x:c>
    </x:row>
    <x:row r="660">
      <x:c r="A660" s="15" t="n">
        <x:v>41640</x:v>
      </x:c>
      <x:c r="B660" s="13" t="str">
        <x:v>Homebuilders</x:v>
      </x:c>
      <x:c r="C660" s="16" t="n">
        <x:v>2018.9679996329</x:v>
      </x:c>
      <x:c r="D660" s="16" t="n">
        <x:v>1622.2786891397</x:v>
      </x:c>
      <x:c r="E660" s="16" t="n">
        <x:v>-396.6893104932</x:v>
      </x:c>
      <x:c r="F660" s="23" t="n">
        <x:v>6</x:v>
      </x:c>
    </x:row>
    <x:row r="661">
      <x:c r="A661" s="15" t="n">
        <x:v>41640</x:v>
      </x:c>
      <x:c r="B661" s="13" t="str">
        <x:v>Income Properties</x:v>
      </x:c>
      <x:c r="C661" s="16" t="n">
        <x:v>918.0033953315</x:v>
      </x:c>
      <x:c r="D661" s="16" t="n">
        <x:v>915.7649312438</x:v>
      </x:c>
      <x:c r="E661" s="16" t="n">
        <x:v>-2.2384640877</x:v>
      </x:c>
      <x:c r="F661" s="23" t="n">
        <x:v>2</x:v>
      </x:c>
    </x:row>
    <x:row r="662">
      <x:c r="A662" s="15" t="n">
        <x:v>41640</x:v>
      </x:c>
      <x:c r="B662" s="13" t="str">
        <x:v>Metals &amp; Mining</x:v>
      </x:c>
      <x:c r="C662" s="16" t="n">
        <x:v>28998.6649601288</x:v>
      </x:c>
      <x:c r="D662" s="16" t="n">
        <x:v>32425.636191737</x:v>
      </x:c>
      <x:c r="E662" s="16" t="n">
        <x:v>3426.9712316082</x:v>
      </x:c>
      <x:c r="F662" s="23" t="n">
        <x:v>6</x:v>
      </x:c>
    </x:row>
    <x:row r="663">
      <x:c r="A663" s="15" t="n">
        <x:v>41640</x:v>
      </x:c>
      <x:c r="B663" s="13" t="str">
        <x:v>Oil, Gas &amp; Petrochemicals</x:v>
      </x:c>
      <x:c r="C663" s="16" t="n">
        <x:v>30883.5441867397</x:v>
      </x:c>
      <x:c r="D663" s="16" t="n">
        <x:v>33545.2292415123</x:v>
      </x:c>
      <x:c r="E663" s="16" t="n">
        <x:v>2661.6850547726</x:v>
      </x:c>
      <x:c r="F663" s="23" t="n">
        <x:v>4</x:v>
      </x:c>
    </x:row>
    <x:row r="664">
      <x:c r="A664" s="15" t="n">
        <x:v>41640</x:v>
      </x:c>
      <x:c r="B664" s="13" t="str">
        <x:v>Pulp &amp; Paper</x:v>
      </x:c>
      <x:c r="C664" s="16" t="n">
        <x:v>1047.5651879452</x:v>
      </x:c>
      <x:c r="D664" s="16" t="n">
        <x:v>1501.6711809753</x:v>
      </x:c>
      <x:c r="E664" s="16" t="n">
        <x:v>454.1059930301</x:v>
      </x:c>
      <x:c r="F664" s="23" t="n">
        <x:v>3</x:v>
      </x:c>
    </x:row>
    <x:row r="665">
      <x:c r="A665" s="15" t="n">
        <x:v>41640</x:v>
      </x:c>
      <x:c r="B665" s="13" t="str">
        <x:v>Retail</x:v>
      </x:c>
      <x:c r="C665" s="16" t="n">
        <x:v>3802.9271804493</x:v>
      </x:c>
      <x:c r="D665" s="16" t="n">
        <x:v>3778.3750840986</x:v>
      </x:c>
      <x:c r="E665" s="16" t="n">
        <x:v>-24.5520963507</x:v>
      </x:c>
      <x:c r="F665" s="23" t="n">
        <x:v>5</x:v>
      </x:c>
    </x:row>
    <x:row r="666">
      <x:c r="A666" s="15" t="n">
        <x:v>41640</x:v>
      </x:c>
      <x:c r="B666" s="13" t="str">
        <x:v>Sanitation</x:v>
      </x:c>
      <x:c r="C666" s="16" t="n">
        <x:v>1960.7139832986</x:v>
      </x:c>
      <x:c r="D666" s="16" t="n">
        <x:v>2078.6152041206</x:v>
      </x:c>
      <x:c r="E666" s="16" t="n">
        <x:v>117.9012208219</x:v>
      </x:c>
      <x:c r="F666" s="23" t="n">
        <x:v>1</x:v>
      </x:c>
    </x:row>
    <x:row r="667">
      <x:c r="A667" s="15" t="n">
        <x:v>41640</x:v>
      </x:c>
      <x:c r="B667" s="13" t="str">
        <x:v>TMT</x:v>
      </x:c>
      <x:c r="C667" s="16" t="n">
        <x:v>6360.6601896329</x:v>
      </x:c>
      <x:c r="D667" s="16" t="n">
        <x:v>6048.5830267616</x:v>
      </x:c>
      <x:c r="E667" s="16" t="n">
        <x:v>-312.0771628712</x:v>
      </x:c>
      <x:c r="F667" s="23" t="n">
        <x:v>3</x:v>
      </x:c>
    </x:row>
    <x:row r="668">
      <x:c r="A668" s="15" t="n">
        <x:v>41640</x:v>
      </x:c>
      <x:c r="B668" s="13" t="str">
        <x:v>Transportation</x:v>
      </x:c>
      <x:c r="C668" s="16" t="n">
        <x:v>2390.1591275616</x:v>
      </x:c>
      <x:c r="D668" s="16" t="n">
        <x:v>2384.8202136986</x:v>
      </x:c>
      <x:c r="E668" s="16" t="n">
        <x:v>-5.338913863</x:v>
      </x:c>
      <x:c r="F668" s="23" t="n">
        <x:v>5</x:v>
      </x:c>
    </x:row>
    <x:row r="669">
      <x:c r="A669" s="15" t="n">
        <x:v>41640</x:v>
      </x:c>
      <x:c r="B669" s="13" t="str">
        <x:v>Utilities &amp; Energy</x:v>
      </x:c>
      <x:c r="C669" s="16" t="n">
        <x:v>11205.3864234959</x:v>
      </x:c>
      <x:c r="D669" s="16" t="n">
        <x:v>10219.9091686575</x:v>
      </x:c>
      <x:c r="E669" s="16" t="n">
        <x:v>-985.4772548384</x:v>
      </x:c>
      <x:c r="F669" s="23" t="n">
        <x:v>9</x:v>
      </x:c>
    </x:row>
    <x:row r="670">
      <x:c r="A670" s="15" t="n">
        <x:v>41671</x:v>
      </x:c>
      <x:c r="B670" s="13" t="str">
        <x:v>Banks</x:v>
      </x:c>
      <x:c r="C670" s="16" t="n">
        <x:v>60486.3186158466</x:v>
      </x:c>
      <x:c r="D670" s="16" t="n">
        <x:v>63188.3029111233</x:v>
      </x:c>
      <x:c r="E670" s="16" t="n">
        <x:v>2701.9842952767</x:v>
      </x:c>
      <x:c r="F670" s="23" t="n">
        <x:v>5</x:v>
      </x:c>
    </x:row>
    <x:row r="671">
      <x:c r="A671" s="15" t="n">
        <x:v>41671</x:v>
      </x:c>
      <x:c r="B671" s="13" t="str">
        <x:v>Capital Goods</x:v>
      </x:c>
      <x:c r="C671" s="16" t="n">
        <x:v>967.4302577973</x:v>
      </x:c>
      <x:c r="D671" s="16" t="n">
        <x:v>1057.3745639452</x:v>
      </x:c>
      <x:c r="E671" s="16" t="n">
        <x:v>89.9443061479</x:v>
      </x:c>
      <x:c r="F671" s="23" t="n">
        <x:v>1</x:v>
      </x:c>
    </x:row>
    <x:row r="672">
      <x:c r="A672" s="15" t="n">
        <x:v>41671</x:v>
      </x:c>
      <x:c r="B672" s="13" t="str">
        <x:v>Education</x:v>
      </x:c>
      <x:c r="C672" s="16" t="n">
        <x:v>927.1365479452</x:v>
      </x:c>
      <x:c r="D672" s="16" t="n">
        <x:v>1019.3907207014</x:v>
      </x:c>
      <x:c r="E672" s="16" t="n">
        <x:v>92.2541727562</x:v>
      </x:c>
      <x:c r="F672" s="23" t="n">
        <x:v>2</x:v>
      </x:c>
    </x:row>
    <x:row r="673">
      <x:c r="A673" s="15" t="n">
        <x:v>41671</x:v>
      </x:c>
      <x:c r="B673" s="13" t="str">
        <x:v>Financials Non-Banks</x:v>
      </x:c>
      <x:c r="C673" s="16" t="n">
        <x:v>11849.7098959781</x:v>
      </x:c>
      <x:c r="D673" s="16" t="n">
        <x:v>12062.4302949699</x:v>
      </x:c>
      <x:c r="E673" s="16" t="n">
        <x:v>212.7203989918</x:v>
      </x:c>
      <x:c r="F673" s="23" t="n">
        <x:v>4</x:v>
      </x:c>
    </x:row>
    <x:row r="674">
      <x:c r="A674" s="15" t="n">
        <x:v>41671</x:v>
      </x:c>
      <x:c r="B674" s="13" t="str">
        <x:v>Food &amp; Beverages</x:v>
      </x:c>
      <x:c r="C674" s="16" t="n">
        <x:v>16945.1626793206</x:v>
      </x:c>
      <x:c r="D674" s="16" t="n">
        <x:v>17268.9306116384</x:v>
      </x:c>
      <x:c r="E674" s="16" t="n">
        <x:v>323.7679323178</x:v>
      </x:c>
      <x:c r="F674" s="23" t="n">
        <x:v>4</x:v>
      </x:c>
    </x:row>
    <x:row r="675">
      <x:c r="A675" s="15" t="n">
        <x:v>41671</x:v>
      </x:c>
      <x:c r="B675" s="13" t="str">
        <x:v>Health Care</x:v>
      </x:c>
      <x:c r="C675" s="16" t="n">
        <x:v>670.5533860822</x:v>
      </x:c>
      <x:c r="D675" s="16" t="n">
        <x:v>663.9491356932</x:v>
      </x:c>
      <x:c r="E675" s="16" t="n">
        <x:v>-6.604250389</x:v>
      </x:c>
      <x:c r="F675" s="23" t="n">
        <x:v>2</x:v>
      </x:c>
    </x:row>
    <x:row r="676">
      <x:c r="A676" s="15" t="n">
        <x:v>41671</x:v>
      </x:c>
      <x:c r="B676" s="13" t="str">
        <x:v>Homebuilders</x:v>
      </x:c>
      <x:c r="C676" s="16" t="n">
        <x:v>1875.2324227397</x:v>
      </x:c>
      <x:c r="D676" s="16" t="n">
        <x:v>1686.8315513863</x:v>
      </x:c>
      <x:c r="E676" s="16" t="n">
        <x:v>-188.4008713534</x:v>
      </x:c>
      <x:c r="F676" s="23" t="n">
        <x:v>6</x:v>
      </x:c>
    </x:row>
    <x:row r="677">
      <x:c r="A677" s="15" t="n">
        <x:v>41671</x:v>
      </x:c>
      <x:c r="B677" s="13" t="str">
        <x:v>Income Properties</x:v>
      </x:c>
      <x:c r="C677" s="16" t="n">
        <x:v>930.5483918027</x:v>
      </x:c>
      <x:c r="D677" s="16" t="n">
        <x:v>867.7188612384</x:v>
      </x:c>
      <x:c r="E677" s="16" t="n">
        <x:v>-62.8295305644</x:v>
      </x:c>
      <x:c r="F677" s="23" t="n">
        <x:v>2</x:v>
      </x:c>
    </x:row>
    <x:row r="678">
      <x:c r="A678" s="15" t="n">
        <x:v>41671</x:v>
      </x:c>
      <x:c r="B678" s="13" t="str">
        <x:v>Metals &amp; Mining</x:v>
      </x:c>
      <x:c r="C678" s="16" t="n">
        <x:v>31461.0097455343</x:v>
      </x:c>
      <x:c r="D678" s="16" t="n">
        <x:v>32029.0557355836</x:v>
      </x:c>
      <x:c r="E678" s="16" t="n">
        <x:v>568.0459900493</x:v>
      </x:c>
      <x:c r="F678" s="23" t="n">
        <x:v>6</x:v>
      </x:c>
    </x:row>
    <x:row r="679">
      <x:c r="A679" s="15" t="n">
        <x:v>41671</x:v>
      </x:c>
      <x:c r="B679" s="13" t="str">
        <x:v>Oil, Gas &amp; Petrochemicals</x:v>
      </x:c>
      <x:c r="C679" s="16" t="n">
        <x:v>32997.0663246904</x:v>
      </x:c>
      <x:c r="D679" s="16" t="n">
        <x:v>32566.8072567233</x:v>
      </x:c>
      <x:c r="E679" s="16" t="n">
        <x:v>-430.2590679671</x:v>
      </x:c>
      <x:c r="F679" s="23" t="n">
        <x:v>4</x:v>
      </x:c>
    </x:row>
    <x:row r="680">
      <x:c r="A680" s="15" t="n">
        <x:v>41671</x:v>
      </x:c>
      <x:c r="B680" s="13" t="str">
        <x:v>Pulp &amp; Paper</x:v>
      </x:c>
      <x:c r="C680" s="16" t="n">
        <x:v>1184.0892970959</x:v>
      </x:c>
      <x:c r="D680" s="16" t="n">
        <x:v>1517.7676427397</x:v>
      </x:c>
      <x:c r="E680" s="16" t="n">
        <x:v>333.6783456438</x:v>
      </x:c>
      <x:c r="F680" s="23" t="n">
        <x:v>3</x:v>
      </x:c>
    </x:row>
    <x:row r="681">
      <x:c r="A681" s="15" t="n">
        <x:v>41671</x:v>
      </x:c>
      <x:c r="B681" s="13" t="str">
        <x:v>Retail</x:v>
      </x:c>
      <x:c r="C681" s="16" t="n">
        <x:v>3815.9309515397</x:v>
      </x:c>
      <x:c r="D681" s="16" t="n">
        <x:v>3812.7894740164</x:v>
      </x:c>
      <x:c r="E681" s="16" t="n">
        <x:v>-3.1414775233</x:v>
      </x:c>
      <x:c r="F681" s="23" t="n">
        <x:v>5</x:v>
      </x:c>
    </x:row>
    <x:row r="682">
      <x:c r="A682" s="15" t="n">
        <x:v>41671</x:v>
      </x:c>
      <x:c r="B682" s="13" t="str">
        <x:v>Sanitation</x:v>
      </x:c>
      <x:c r="C682" s="16" t="n">
        <x:v>1947.1585027507</x:v>
      </x:c>
      <x:c r="D682" s="16" t="n">
        <x:v>2034.4151004932</x:v>
      </x:c>
      <x:c r="E682" s="16" t="n">
        <x:v>87.2565977425</x:v>
      </x:c>
      <x:c r="F682" s="23" t="n">
        <x:v>1</x:v>
      </x:c>
    </x:row>
    <x:row r="683">
      <x:c r="A683" s="15" t="n">
        <x:v>41671</x:v>
      </x:c>
      <x:c r="B683" s="13" t="str">
        <x:v>TMT</x:v>
      </x:c>
      <x:c r="C683" s="16" t="n">
        <x:v>6168.4218851068</x:v>
      </x:c>
      <x:c r="D683" s="16" t="n">
        <x:v>6200.0623300384</x:v>
      </x:c>
      <x:c r="E683" s="16" t="n">
        <x:v>31.6404449315</x:v>
      </x:c>
      <x:c r="F683" s="23" t="n">
        <x:v>3</x:v>
      </x:c>
    </x:row>
    <x:row r="684">
      <x:c r="A684" s="15" t="n">
        <x:v>41671</x:v>
      </x:c>
      <x:c r="B684" s="13" t="str">
        <x:v>Transportation</x:v>
      </x:c>
      <x:c r="C684" s="16" t="n">
        <x:v>2395.5748893151</x:v>
      </x:c>
      <x:c r="D684" s="16" t="n">
        <x:v>2232.7463333918</x:v>
      </x:c>
      <x:c r="E684" s="16" t="n">
        <x:v>-162.8285559233</x:v>
      </x:c>
      <x:c r="F684" s="23" t="n">
        <x:v>5</x:v>
      </x:c>
    </x:row>
    <x:row r="685">
      <x:c r="A685" s="15" t="n">
        <x:v>41671</x:v>
      </x:c>
      <x:c r="B685" s="13" t="str">
        <x:v>Utilities &amp; Energy</x:v>
      </x:c>
      <x:c r="C685" s="16" t="n">
        <x:v>7061.761804537</x:v>
      </x:c>
      <x:c r="D685" s="16" t="n">
        <x:v>7552.7307119342</x:v>
      </x:c>
      <x:c r="E685" s="16" t="n">
        <x:v>490.9689073973</x:v>
      </x:c>
      <x:c r="F685" s="23" t="n">
        <x:v>7</x:v>
      </x:c>
    </x:row>
    <x:row r="686">
      <x:c r="A686" s="15" t="n">
        <x:v>41699</x:v>
      </x:c>
      <x:c r="B686" s="13" t="str">
        <x:v>Banks</x:v>
      </x:c>
      <x:c r="C686" s="16" t="n">
        <x:v>60963.500032</x:v>
      </x:c>
      <x:c r="D686" s="16" t="n">
        <x:v>63468.3627519999</x:v>
      </x:c>
      <x:c r="E686" s="16" t="n">
        <x:v>2504.8627199999</x:v>
      </x:c>
      <x:c r="F686" s="23" t="n">
        <x:v>5</x:v>
      </x:c>
    </x:row>
    <x:row r="687">
      <x:c r="A687" s="15" t="n">
        <x:v>41699</x:v>
      </x:c>
      <x:c r="B687" s="13" t="str">
        <x:v>Capital Goods</x:v>
      </x:c>
      <x:c r="C687" s="16" t="n">
        <x:v>971</x:v>
      </x:c>
      <x:c r="D687" s="16" t="n">
        <x:v>1052.1636865753</x:v>
      </x:c>
      <x:c r="E687" s="16" t="n">
        <x:v>81.1636865753</x:v>
      </x:c>
      <x:c r="F687" s="23" t="n">
        <x:v>1</x:v>
      </x:c>
    </x:row>
    <x:row r="688">
      <x:c r="A688" s="15" t="n">
        <x:v>41699</x:v>
      </x:c>
      <x:c r="B688" s="13" t="str">
        <x:v>Education</x:v>
      </x:c>
      <x:c r="C688" s="16" t="n">
        <x:v>949.339008</x:v>
      </x:c>
      <x:c r="D688" s="16" t="n">
        <x:v>1088.7295132055</x:v>
      </x:c>
      <x:c r="E688" s="16" t="n">
        <x:v>139.3905052055</x:v>
      </x:c>
      <x:c r="F688" s="23" t="n">
        <x:v>2</x:v>
      </x:c>
    </x:row>
    <x:row r="689">
      <x:c r="A689" s="15" t="n">
        <x:v>41699</x:v>
      </x:c>
      <x:c r="B689" s="13" t="str">
        <x:v>Financials Non-Banks</x:v>
      </x:c>
      <x:c r="C689" s="16" t="n">
        <x:v>11947.263296</x:v>
      </x:c>
      <x:c r="D689" s="16" t="n">
        <x:v>12139.1125400548</x:v>
      </x:c>
      <x:c r="E689" s="16" t="n">
        <x:v>191.8492440548</x:v>
      </x:c>
      <x:c r="F689" s="23" t="n">
        <x:v>4</x:v>
      </x:c>
    </x:row>
    <x:row r="690">
      <x:c r="A690" s="15" t="n">
        <x:v>41699</x:v>
      </x:c>
      <x:c r="B690" s="13" t="str">
        <x:v>Food &amp; Beverages</x:v>
      </x:c>
      <x:c r="C690" s="16" t="n">
        <x:v>17142.81328</x:v>
      </x:c>
      <x:c r="D690" s="16" t="n">
        <x:v>17586.5462423013</x:v>
      </x:c>
      <x:c r="E690" s="16" t="n">
        <x:v>443.7329623013</x:v>
      </x:c>
      <x:c r="F690" s="23" t="n">
        <x:v>4</x:v>
      </x:c>
    </x:row>
    <x:row r="691">
      <x:c r="A691" s="15" t="n">
        <x:v>41699</x:v>
      </x:c>
      <x:c r="B691" s="13" t="str">
        <x:v>Health Care</x:v>
      </x:c>
      <x:c r="C691" s="16" t="n">
        <x:v>661.416</x:v>
      </x:c>
      <x:c r="D691" s="16" t="n">
        <x:v>682.4395441096</x:v>
      </x:c>
      <x:c r="E691" s="16" t="n">
        <x:v>21.0235441096</x:v>
      </x:c>
      <x:c r="F691" s="23" t="n">
        <x:v>2</x:v>
      </x:c>
    </x:row>
    <x:row r="692">
      <x:c r="A692" s="15" t="n">
        <x:v>41699</x:v>
      </x:c>
      <x:c r="B692" s="13" t="str">
        <x:v>Homebuilders</x:v>
      </x:c>
      <x:c r="C692" s="16" t="n">
        <x:v>1760.530032</x:v>
      </x:c>
      <x:c r="D692" s="16" t="n">
        <x:v>1712.9768938082</x:v>
      </x:c>
      <x:c r="E692" s="16" t="n">
        <x:v>-47.5531381918</x:v>
      </x:c>
      <x:c r="F692" s="23" t="n">
        <x:v>6</x:v>
      </x:c>
    </x:row>
    <x:row r="693">
      <x:c r="A693" s="15" t="n">
        <x:v>41699</x:v>
      </x:c>
      <x:c r="B693" s="13" t="str">
        <x:v>Income Properties</x:v>
      </x:c>
      <x:c r="C693" s="16" t="n">
        <x:v>916.999968</x:v>
      </x:c>
      <x:c r="D693" s="16" t="n">
        <x:v>841.7157694247</x:v>
      </x:c>
      <x:c r="E693" s="16" t="n">
        <x:v>-75.2841985753</x:v>
      </x:c>
      <x:c r="F693" s="23" t="n">
        <x:v>2</x:v>
      </x:c>
    </x:row>
    <x:row r="694">
      <x:c r="A694" s="15" t="n">
        <x:v>41699</x:v>
      </x:c>
      <x:c r="B694" s="13" t="str">
        <x:v>Metals &amp; Mining</x:v>
      </x:c>
      <x:c r="C694" s="16" t="n">
        <x:v>30454.459648</x:v>
      </x:c>
      <x:c r="D694" s="16" t="n">
        <x:v>30491.2693137534</x:v>
      </x:c>
      <x:c r="E694" s="16" t="n">
        <x:v>36.8096657534</x:v>
      </x:c>
      <x:c r="F694" s="23" t="n">
        <x:v>5</x:v>
      </x:c>
    </x:row>
    <x:row r="695">
      <x:c r="A695" s="15" t="n">
        <x:v>41699</x:v>
      </x:c>
      <x:c r="B695" s="13" t="str">
        <x:v>Oil, Gas &amp; Petrochemicals</x:v>
      </x:c>
      <x:c r="C695" s="16" t="n">
        <x:v>34431.94912</x:v>
      </x:c>
      <x:c r="D695" s="16" t="n">
        <x:v>33999.5105315068</x:v>
      </x:c>
      <x:c r="E695" s="16" t="n">
        <x:v>-432.4385884932</x:v>
      </x:c>
      <x:c r="F695" s="23" t="n">
        <x:v>4</x:v>
      </x:c>
    </x:row>
    <x:row r="696">
      <x:c r="A696" s="15" t="n">
        <x:v>41699</x:v>
      </x:c>
      <x:c r="B696" s="13" t="str">
        <x:v>Pulp &amp; Paper</x:v>
      </x:c>
      <x:c r="C696" s="16" t="n">
        <x:v>1277.541984</x:v>
      </x:c>
      <x:c r="D696" s="16" t="n">
        <x:v>1600.012089863</x:v>
      </x:c>
      <x:c r="E696" s="16" t="n">
        <x:v>322.470105863</x:v>
      </x:c>
      <x:c r="F696" s="23" t="n">
        <x:v>3</x:v>
      </x:c>
    </x:row>
    <x:row r="697">
      <x:c r="A697" s="15" t="n">
        <x:v>41699</x:v>
      </x:c>
      <x:c r="B697" s="13" t="str">
        <x:v>Retail</x:v>
      </x:c>
      <x:c r="C697" s="16" t="n">
        <x:v>3754.096928</x:v>
      </x:c>
      <x:c r="D697" s="16" t="n">
        <x:v>3894.6882288219</x:v>
      </x:c>
      <x:c r="E697" s="16" t="n">
        <x:v>140.5913008219</x:v>
      </x:c>
      <x:c r="F697" s="23" t="n">
        <x:v>5</x:v>
      </x:c>
    </x:row>
    <x:row r="698">
      <x:c r="A698" s="15" t="n">
        <x:v>41699</x:v>
      </x:c>
      <x:c r="B698" s="13" t="str">
        <x:v>Sanitation</x:v>
      </x:c>
      <x:c r="C698" s="16" t="n">
        <x:v>1972.999936</x:v>
      </x:c>
      <x:c r="D698" s="16" t="n">
        <x:v>1822.5097100274</x:v>
      </x:c>
      <x:c r="E698" s="16" t="n">
        <x:v>-150.4902259726</x:v>
      </x:c>
      <x:c r="F698" s="23" t="n">
        <x:v>1</x:v>
      </x:c>
    </x:row>
    <x:row r="699">
      <x:c r="A699" s="15" t="n">
        <x:v>41699</x:v>
      </x:c>
      <x:c r="B699" s="13" t="str">
        <x:v>TMT</x:v>
      </x:c>
      <x:c r="C699" s="16" t="n">
        <x:v>6125.229056</x:v>
      </x:c>
      <x:c r="D699" s="16" t="n">
        <x:v>6048.229196274</x:v>
      </x:c>
      <x:c r="E699" s="16" t="n">
        <x:v>-76.999859726</x:v>
      </x:c>
      <x:c r="F699" s="23" t="n">
        <x:v>3</x:v>
      </x:c>
    </x:row>
    <x:row r="700">
      <x:c r="A700" s="15" t="n">
        <x:v>41699</x:v>
      </x:c>
      <x:c r="B700" s="13" t="str">
        <x:v>Transportation</x:v>
      </x:c>
      <x:c r="C700" s="16" t="n">
        <x:v>2510.193624</x:v>
      </x:c>
      <x:c r="D700" s="16" t="n">
        <x:v>2356.1909429041</x:v>
      </x:c>
      <x:c r="E700" s="16" t="n">
        <x:v>-154.0026810959</x:v>
      </x:c>
      <x:c r="F700" s="23" t="n">
        <x:v>5</x:v>
      </x:c>
    </x:row>
    <x:row r="701">
      <x:c r="A701" s="15" t="n">
        <x:v>41699</x:v>
      </x:c>
      <x:c r="B701" s="13" t="str">
        <x:v>Utilities &amp; Energy</x:v>
      </x:c>
      <x:c r="C701" s="16" t="n">
        <x:v>7291.242016</x:v>
      </x:c>
      <x:c r="D701" s="16" t="n">
        <x:v>7631.4551947397</x:v>
      </x:c>
      <x:c r="E701" s="16" t="n">
        <x:v>340.2131787397</x:v>
      </x:c>
      <x:c r="F701" s="23" t="n">
        <x:v>7</x:v>
      </x:c>
    </x:row>
    <x:row r="702">
      <x:c r="A702" s="15" t="n">
        <x:v>41730</x:v>
      </x:c>
      <x:c r="B702" s="13" t="str">
        <x:v>Banks</x:v>
      </x:c>
      <x:c r="C702" s="16" t="n">
        <x:v>61824.4334507837</x:v>
      </x:c>
      <x:c r="D702" s="16" t="n">
        <x:v>64043.06962937</x:v>
      </x:c>
      <x:c r="E702" s="16" t="n">
        <x:v>2218.6361785863</x:v>
      </x:c>
      <x:c r="F702" s="23" t="n">
        <x:v>5</x:v>
      </x:c>
    </x:row>
    <x:row r="703">
      <x:c r="A703" s="15" t="n">
        <x:v>41730</x:v>
      </x:c>
      <x:c r="B703" s="13" t="str">
        <x:v>Capital Goods</x:v>
      </x:c>
      <x:c r="C703" s="16" t="n">
        <x:v>989.3954219836</x:v>
      </x:c>
      <x:c r="D703" s="16" t="n">
        <x:v>1017.5177924384</x:v>
      </x:c>
      <x:c r="E703" s="16" t="n">
        <x:v>28.1223704548</x:v>
      </x:c>
      <x:c r="F703" s="23" t="n">
        <x:v>1</x:v>
      </x:c>
    </x:row>
    <x:row r="704">
      <x:c r="A704" s="15" t="n">
        <x:v>41730</x:v>
      </x:c>
      <x:c r="B704" s="13" t="str">
        <x:v>Education</x:v>
      </x:c>
      <x:c r="C704" s="16" t="n">
        <x:v>1330.2689468493</x:v>
      </x:c>
      <x:c r="D704" s="16" t="n">
        <x:v>1612.4270356164</x:v>
      </x:c>
      <x:c r="E704" s="16" t="n">
        <x:v>282.1580887671</x:v>
      </x:c>
      <x:c r="F704" s="23" t="n">
        <x:v>3</x:v>
      </x:c>
    </x:row>
    <x:row r="705">
      <x:c r="A705" s="15" t="n">
        <x:v>41730</x:v>
      </x:c>
      <x:c r="B705" s="13" t="str">
        <x:v>Financials Non-Banks</x:v>
      </x:c>
      <x:c r="C705" s="16" t="n">
        <x:v>14865.8402026082</x:v>
      </x:c>
      <x:c r="D705" s="16" t="n">
        <x:v>15573.7404265205</x:v>
      </x:c>
      <x:c r="E705" s="16" t="n">
        <x:v>707.9002239123</x:v>
      </x:c>
      <x:c r="F705" s="23" t="n">
        <x:v>5</x:v>
      </x:c>
    </x:row>
    <x:row r="706">
      <x:c r="A706" s="15" t="n">
        <x:v>41730</x:v>
      </x:c>
      <x:c r="B706" s="13" t="str">
        <x:v>Food &amp; Beverages</x:v>
      </x:c>
      <x:c r="C706" s="16" t="n">
        <x:v>17177.0882796712</x:v>
      </x:c>
      <x:c r="D706" s="16" t="n">
        <x:v>17533.9591868493</x:v>
      </x:c>
      <x:c r="E706" s="16" t="n">
        <x:v>356.8709071781</x:v>
      </x:c>
      <x:c r="F706" s="23" t="n">
        <x:v>4</x:v>
      </x:c>
    </x:row>
    <x:row r="707">
      <x:c r="A707" s="15" t="n">
        <x:v>41730</x:v>
      </x:c>
      <x:c r="B707" s="13" t="str">
        <x:v>Health Care</x:v>
      </x:c>
      <x:c r="C707" s="16" t="n">
        <x:v>942.4988723726</x:v>
      </x:c>
      <x:c r="D707" s="16" t="n">
        <x:v>983.4465201096</x:v>
      </x:c>
      <x:c r="E707" s="16" t="n">
        <x:v>40.947647737</x:v>
      </x:c>
      <x:c r="F707" s="23" t="n">
        <x:v>3</x:v>
      </x:c>
    </x:row>
    <x:row r="708">
      <x:c r="A708" s="15" t="n">
        <x:v>41730</x:v>
      </x:c>
      <x:c r="B708" s="13" t="str">
        <x:v>Homebuilders</x:v>
      </x:c>
      <x:c r="C708" s="16" t="n">
        <x:v>1887.7292644822</x:v>
      </x:c>
      <x:c r="D708" s="16" t="n">
        <x:v>1919.3404672329</x:v>
      </x:c>
      <x:c r="E708" s="16" t="n">
        <x:v>31.6112027507</x:v>
      </x:c>
      <x:c r="F708" s="23" t="n">
        <x:v>6</x:v>
      </x:c>
    </x:row>
    <x:row r="709">
      <x:c r="A709" s="15" t="n">
        <x:v>41730</x:v>
      </x:c>
      <x:c r="B709" s="13" t="str">
        <x:v>Income Properties</x:v>
      </x:c>
      <x:c r="C709" s="16" t="n">
        <x:v>915.7649312438</x:v>
      </x:c>
      <x:c r="D709" s="16" t="n">
        <x:v>851.9000438356</x:v>
      </x:c>
      <x:c r="E709" s="16" t="n">
        <x:v>-63.8648874082</x:v>
      </x:c>
      <x:c r="F709" s="23" t="n">
        <x:v>2</x:v>
      </x:c>
    </x:row>
    <x:row r="710">
      <x:c r="A710" s="15" t="n">
        <x:v>41730</x:v>
      </x:c>
      <x:c r="B710" s="13" t="str">
        <x:v>Metals &amp; Mining</x:v>
      </x:c>
      <x:c r="C710" s="16" t="n">
        <x:v>32425.636191737</x:v>
      </x:c>
      <x:c r="D710" s="16" t="n">
        <x:v>30531.6149514521</x:v>
      </x:c>
      <x:c r="E710" s="16" t="n">
        <x:v>-1894.021240285</x:v>
      </x:c>
      <x:c r="F710" s="23" t="n">
        <x:v>6</x:v>
      </x:c>
    </x:row>
    <x:row r="711">
      <x:c r="A711" s="15" t="n">
        <x:v>41730</x:v>
      </x:c>
      <x:c r="B711" s="13" t="str">
        <x:v>Oil, Gas &amp; Petrochemicals</x:v>
      </x:c>
      <x:c r="C711" s="16" t="n">
        <x:v>33545.2292415123</x:v>
      </x:c>
      <x:c r="D711" s="16" t="n">
        <x:v>34065.9689065206</x:v>
      </x:c>
      <x:c r="E711" s="16" t="n">
        <x:v>520.7396650083</x:v>
      </x:c>
      <x:c r="F711" s="23" t="n">
        <x:v>4</x:v>
      </x:c>
    </x:row>
    <x:row r="712">
      <x:c r="A712" s="15" t="n">
        <x:v>41730</x:v>
      </x:c>
      <x:c r="B712" s="13" t="str">
        <x:v>Pulp &amp; Paper</x:v>
      </x:c>
      <x:c r="C712" s="16" t="n">
        <x:v>1501.6711809753</x:v>
      </x:c>
      <x:c r="D712" s="16" t="n">
        <x:v>1533.6266191781</x:v>
      </x:c>
      <x:c r="E712" s="16" t="n">
        <x:v>31.9554382027</x:v>
      </x:c>
      <x:c r="F712" s="23" t="n">
        <x:v>3</x:v>
      </x:c>
    </x:row>
    <x:row r="713">
      <x:c r="A713" s="15" t="n">
        <x:v>41730</x:v>
      </x:c>
      <x:c r="B713" s="13" t="str">
        <x:v>Retail</x:v>
      </x:c>
      <x:c r="C713" s="16" t="n">
        <x:v>3778.3750840986</x:v>
      </x:c>
      <x:c r="D713" s="16" t="n">
        <x:v>3906.6182246575</x:v>
      </x:c>
      <x:c r="E713" s="16" t="n">
        <x:v>128.2431405589</x:v>
      </x:c>
      <x:c r="F713" s="23" t="n">
        <x:v>5</x:v>
      </x:c>
    </x:row>
    <x:row r="714">
      <x:c r="A714" s="15" t="n">
        <x:v>41730</x:v>
      </x:c>
      <x:c r="B714" s="13" t="str">
        <x:v>Sanitation</x:v>
      </x:c>
      <x:c r="C714" s="16" t="n">
        <x:v>2078.6152041206</x:v>
      </x:c>
      <x:c r="D714" s="16" t="n">
        <x:v>1672.5161801644</x:v>
      </x:c>
      <x:c r="E714" s="16" t="n">
        <x:v>-406.0990239562</x:v>
      </x:c>
      <x:c r="F714" s="23" t="n">
        <x:v>1</x:v>
      </x:c>
    </x:row>
    <x:row r="715">
      <x:c r="A715" s="15" t="n">
        <x:v>41730</x:v>
      </x:c>
      <x:c r="B715" s="13" t="str">
        <x:v>TMT</x:v>
      </x:c>
      <x:c r="C715" s="16" t="n">
        <x:v>6048.5830267616</x:v>
      </x:c>
      <x:c r="D715" s="16" t="n">
        <x:v>6169.1056534795</x:v>
      </x:c>
      <x:c r="E715" s="16" t="n">
        <x:v>120.5226267178</x:v>
      </x:c>
      <x:c r="F715" s="23" t="n">
        <x:v>3</x:v>
      </x:c>
    </x:row>
    <x:row r="716">
      <x:c r="A716" s="15" t="n">
        <x:v>41730</x:v>
      </x:c>
      <x:c r="B716" s="13" t="str">
        <x:v>Transportation</x:v>
      </x:c>
      <x:c r="C716" s="16" t="n">
        <x:v>2882.2774766904</x:v>
      </x:c>
      <x:c r="D716" s="16" t="n">
        <x:v>2888.0686962192</x:v>
      </x:c>
      <x:c r="E716" s="16" t="n">
        <x:v>5.7912195288</x:v>
      </x:c>
      <x:c r="F716" s="23" t="n">
        <x:v>6</x:v>
      </x:c>
    </x:row>
    <x:row r="717">
      <x:c r="A717" s="15" t="n">
        <x:v>41730</x:v>
      </x:c>
      <x:c r="B717" s="13" t="str">
        <x:v>Utilities &amp; Energy</x:v>
      </x:c>
      <x:c r="C717" s="16" t="n">
        <x:v>9179.5013575014</x:v>
      </x:c>
      <x:c r="D717" s="16" t="n">
        <x:v>9393.4625459726</x:v>
      </x:c>
      <x:c r="E717" s="16" t="n">
        <x:v>213.9611884712</x:v>
      </x:c>
      <x:c r="F717" s="23" t="n">
        <x:v>8</x:v>
      </x:c>
    </x:row>
    <x:row r="718">
      <x:c r="A718" s="15" t="n">
        <x:v>41760</x:v>
      </x:c>
      <x:c r="B718" s="13" t="str">
        <x:v>Banks</x:v>
      </x:c>
      <x:c r="C718" s="16" t="n">
        <x:v>63188.3029111233</x:v>
      </x:c>
      <x:c r="D718" s="16" t="n">
        <x:v>65057.5097056438</x:v>
      </x:c>
      <x:c r="E718" s="16" t="n">
        <x:v>1869.2067945205</x:v>
      </x:c>
      <x:c r="F718" s="23" t="n">
        <x:v>5</x:v>
      </x:c>
    </x:row>
    <x:row r="719">
      <x:c r="A719" s="15" t="n">
        <x:v>41760</x:v>
      </x:c>
      <x:c r="B719" s="13" t="str">
        <x:v>Capital Goods</x:v>
      </x:c>
      <x:c r="C719" s="16" t="n">
        <x:v>1057.3745639452</x:v>
      </x:c>
      <x:c r="D719" s="16" t="n">
        <x:v>1062.174208</x:v>
      </x:c>
      <x:c r="E719" s="16" t="n">
        <x:v>4.7996440548</x:v>
      </x:c>
      <x:c r="F719" s="23" t="n">
        <x:v>1</x:v>
      </x:c>
    </x:row>
    <x:row r="720">
      <x:c r="A720" s="15" t="n">
        <x:v>41760</x:v>
      </x:c>
      <x:c r="B720" s="13" t="str">
        <x:v>Education</x:v>
      </x:c>
      <x:c r="C720" s="16" t="n">
        <x:v>1416.4654193973</x:v>
      </x:c>
      <x:c r="D720" s="16" t="n">
        <x:v>1685.904524274</x:v>
      </x:c>
      <x:c r="E720" s="16" t="n">
        <x:v>269.4391048767</x:v>
      </x:c>
      <x:c r="F720" s="23" t="n">
        <x:v>3</x:v>
      </x:c>
    </x:row>
    <x:row r="721">
      <x:c r="A721" s="15" t="n">
        <x:v>41760</x:v>
      </x:c>
      <x:c r="B721" s="13" t="str">
        <x:v>Financials Non-Banks</x:v>
      </x:c>
      <x:c r="C721" s="16" t="n">
        <x:v>15064.9312326137</x:v>
      </x:c>
      <x:c r="D721" s="16" t="n">
        <x:v>15907.9415487123</x:v>
      </x:c>
      <x:c r="E721" s="16" t="n">
        <x:v>843.0103160986</x:v>
      </x:c>
      <x:c r="F721" s="23" t="n">
        <x:v>5</x:v>
      </x:c>
    </x:row>
    <x:row r="722">
      <x:c r="A722" s="15" t="n">
        <x:v>41760</x:v>
      </x:c>
      <x:c r="B722" s="13" t="str">
        <x:v>Food &amp; Beverages</x:v>
      </x:c>
      <x:c r="C722" s="16" t="n">
        <x:v>17268.9306116384</x:v>
      </x:c>
      <x:c r="D722" s="16" t="n">
        <x:v>17390.5426540274</x:v>
      </x:c>
      <x:c r="E722" s="16" t="n">
        <x:v>121.612042389</x:v>
      </x:c>
      <x:c r="F722" s="23" t="n">
        <x:v>4</x:v>
      </x:c>
    </x:row>
    <x:row r="723">
      <x:c r="A723" s="15" t="n">
        <x:v>41760</x:v>
      </x:c>
      <x:c r="B723" s="13" t="str">
        <x:v>Health Care</x:v>
      </x:c>
      <x:c r="C723" s="16" t="n">
        <x:v>738.2509601315</x:v>
      </x:c>
      <x:c r="D723" s="16" t="n">
        <x:v>812.505638137</x:v>
      </x:c>
      <x:c r="E723" s="16" t="n">
        <x:v>74.2546780055</x:v>
      </x:c>
      <x:c r="F723" s="23" t="n">
        <x:v>2</x:v>
      </x:c>
    </x:row>
    <x:row r="724">
      <x:c r="A724" s="15" t="n">
        <x:v>41760</x:v>
      </x:c>
      <x:c r="B724" s="13" t="str">
        <x:v>Homebuilders</x:v>
      </x:c>
      <x:c r="C724" s="16" t="n">
        <x:v>2028.564154126</x:v>
      </x:c>
      <x:c r="D724" s="16" t="n">
        <x:v>1995.4400293699</x:v>
      </x:c>
      <x:c r="E724" s="16" t="n">
        <x:v>-33.1241247562</x:v>
      </x:c>
      <x:c r="F724" s="23" t="n">
        <x:v>7</x:v>
      </x:c>
    </x:row>
    <x:row r="725">
      <x:c r="A725" s="15" t="n">
        <x:v>41760</x:v>
      </x:c>
      <x:c r="B725" s="13" t="str">
        <x:v>Income Properties</x:v>
      </x:c>
      <x:c r="C725" s="16" t="n">
        <x:v>867.7188612384</x:v>
      </x:c>
      <x:c r="D725" s="16" t="n">
        <x:v>883.5266108493</x:v>
      </x:c>
      <x:c r="E725" s="16" t="n">
        <x:v>15.807749611</x:v>
      </x:c>
      <x:c r="F725" s="23" t="n">
        <x:v>2</x:v>
      </x:c>
    </x:row>
    <x:row r="726">
      <x:c r="A726" s="15" t="n">
        <x:v>41760</x:v>
      </x:c>
      <x:c r="B726" s="13" t="str">
        <x:v>Metals &amp; Mining</x:v>
      </x:c>
      <x:c r="C726" s="16" t="n">
        <x:v>32029.0557355836</x:v>
      </x:c>
      <x:c r="D726" s="16" t="n">
        <x:v>28918.649618411</x:v>
      </x:c>
      <x:c r="E726" s="16" t="n">
        <x:v>-3110.4061171726</x:v>
      </x:c>
      <x:c r="F726" s="23" t="n">
        <x:v>6</x:v>
      </x:c>
    </x:row>
    <x:row r="727">
      <x:c r="A727" s="15" t="n">
        <x:v>41760</x:v>
      </x:c>
      <x:c r="B727" s="13" t="str">
        <x:v>Oil, Gas &amp; Petrochemicals</x:v>
      </x:c>
      <x:c r="C727" s="16" t="n">
        <x:v>32566.8072567233</x:v>
      </x:c>
      <x:c r="D727" s="16" t="n">
        <x:v>33086.7518860274</x:v>
      </x:c>
      <x:c r="E727" s="16" t="n">
        <x:v>519.9446293041</x:v>
      </x:c>
      <x:c r="F727" s="23" t="n">
        <x:v>4</x:v>
      </x:c>
    </x:row>
    <x:row r="728">
      <x:c r="A728" s="15" t="n">
        <x:v>41760</x:v>
      </x:c>
      <x:c r="B728" s="13" t="str">
        <x:v>Pulp &amp; Paper</x:v>
      </x:c>
      <x:c r="C728" s="16" t="n">
        <x:v>2101.4443550685</x:v>
      </x:c>
      <x:c r="D728" s="16" t="n">
        <x:v>2159.9464793425</x:v>
      </x:c>
      <x:c r="E728" s="16" t="n">
        <x:v>58.502124274</x:v>
      </x:c>
      <x:c r="F728" s="23" t="n">
        <x:v>4</x:v>
      </x:c>
    </x:row>
    <x:row r="729">
      <x:c r="A729" s="15" t="n">
        <x:v>41760</x:v>
      </x:c>
      <x:c r="B729" s="13" t="str">
        <x:v>Retail</x:v>
      </x:c>
      <x:c r="C729" s="16" t="n">
        <x:v>3812.7894740164</x:v>
      </x:c>
      <x:c r="D729" s="16" t="n">
        <x:v>3903.5620536986</x:v>
      </x:c>
      <x:c r="E729" s="16" t="n">
        <x:v>90.7725796822</x:v>
      </x:c>
      <x:c r="F729" s="23" t="n">
        <x:v>5</x:v>
      </x:c>
    </x:row>
    <x:row r="730">
      <x:c r="A730" s="15" t="n">
        <x:v>41760</x:v>
      </x:c>
      <x:c r="B730" s="13" t="str">
        <x:v>Sanitation</x:v>
      </x:c>
      <x:c r="C730" s="16" t="n">
        <x:v>2034.4151004932</x:v>
      </x:c>
      <x:c r="D730" s="16" t="n">
        <x:v>1688.8013764384</x:v>
      </x:c>
      <x:c r="E730" s="16" t="n">
        <x:v>-345.6137240548</x:v>
      </x:c>
      <x:c r="F730" s="23" t="n">
        <x:v>1</x:v>
      </x:c>
    </x:row>
    <x:row r="731">
      <x:c r="A731" s="15" t="n">
        <x:v>41760</x:v>
      </x:c>
      <x:c r="B731" s="13" t="str">
        <x:v>TMT</x:v>
      </x:c>
      <x:c r="C731" s="16" t="n">
        <x:v>6200.0623300384</x:v>
      </x:c>
      <x:c r="D731" s="16" t="n">
        <x:v>5833.6489652603</x:v>
      </x:c>
      <x:c r="E731" s="16" t="n">
        <x:v>-366.4133647781</x:v>
      </x:c>
      <x:c r="F731" s="23" t="n">
        <x:v>3</x:v>
      </x:c>
    </x:row>
    <x:row r="732">
      <x:c r="A732" s="15" t="n">
        <x:v>41760</x:v>
      </x:c>
      <x:c r="B732" s="13" t="str">
        <x:v>Transportation</x:v>
      </x:c>
      <x:c r="C732" s="16" t="n">
        <x:v>2858.7370344548</x:v>
      </x:c>
      <x:c r="D732" s="16" t="n">
        <x:v>2891.3640199452</x:v>
      </x:c>
      <x:c r="E732" s="16" t="n">
        <x:v>32.6269854904</x:v>
      </x:c>
      <x:c r="F732" s="23" t="n">
        <x:v>5</x:v>
      </x:c>
    </x:row>
    <x:row r="733">
      <x:c r="A733" s="15" t="n">
        <x:v>41760</x:v>
      </x:c>
      <x:c r="B733" s="13" t="str">
        <x:v>Utilities &amp; Energy</x:v>
      </x:c>
      <x:c r="C733" s="16" t="n">
        <x:v>9329.6027769863</x:v>
      </x:c>
      <x:c r="D733" s="16" t="n">
        <x:v>9672.0248542466</x:v>
      </x:c>
      <x:c r="E733" s="16" t="n">
        <x:v>342.4220772603</x:v>
      </x:c>
      <x:c r="F733" s="23" t="n">
        <x:v>8</x:v>
      </x:c>
    </x:row>
    <x:row r="734">
      <x:c r="A734" s="15" t="n">
        <x:v>41791</x:v>
      </x:c>
      <x:c r="B734" s="13" t="str">
        <x:v>Banks</x:v>
      </x:c>
      <x:c r="C734" s="16" t="n">
        <x:v>63468.3627519999</x:v>
      </x:c>
      <x:c r="D734" s="16" t="n">
        <x:v>65813.5918577972</x:v>
      </x:c>
      <x:c r="E734" s="16" t="n">
        <x:v>2345.2291057973</x:v>
      </x:c>
      <x:c r="F734" s="23" t="n">
        <x:v>5</x:v>
      </x:c>
    </x:row>
    <x:row r="735">
      <x:c r="A735" s="15" t="n">
        <x:v>41791</x:v>
      </x:c>
      <x:c r="B735" s="13" t="str">
        <x:v>Capital Goods</x:v>
      </x:c>
      <x:c r="C735" s="16" t="n">
        <x:v>1052.1636865753</x:v>
      </x:c>
      <x:c r="D735" s="16" t="n">
        <x:v>1079.5650135671</x:v>
      </x:c>
      <x:c r="E735" s="16" t="n">
        <x:v>27.4013269918</x:v>
      </x:c>
      <x:c r="F735" s="23" t="n">
        <x:v>1</x:v>
      </x:c>
    </x:row>
    <x:row r="736">
      <x:c r="A736" s="15" t="n">
        <x:v>41791</x:v>
      </x:c>
      <x:c r="B736" s="13" t="str">
        <x:v>Education</x:v>
      </x:c>
      <x:c r="C736" s="16" t="n">
        <x:v>1506.8769008219</x:v>
      </x:c>
      <x:c r="D736" s="16" t="n">
        <x:v>1751.4324179288</x:v>
      </x:c>
      <x:c r="E736" s="16" t="n">
        <x:v>244.5555171068</x:v>
      </x:c>
      <x:c r="F736" s="23" t="n">
        <x:v>3</x:v>
      </x:c>
    </x:row>
    <x:row r="737">
      <x:c r="A737" s="15" t="n">
        <x:v>41791</x:v>
      </x:c>
      <x:c r="B737" s="13" t="str">
        <x:v>Financials Non-Banks</x:v>
      </x:c>
      <x:c r="C737" s="16" t="n">
        <x:v>15219.5557672329</x:v>
      </x:c>
      <x:c r="D737" s="16" t="n">
        <x:v>16368.4643236822</x:v>
      </x:c>
      <x:c r="E737" s="16" t="n">
        <x:v>1148.9085564493</x:v>
      </x:c>
      <x:c r="F737" s="23" t="n">
        <x:v>5</x:v>
      </x:c>
    </x:row>
    <x:row r="738">
      <x:c r="A738" s="15" t="n">
        <x:v>41791</x:v>
      </x:c>
      <x:c r="B738" s="13" t="str">
        <x:v>Food &amp; Beverages</x:v>
      </x:c>
      <x:c r="C738" s="16" t="n">
        <x:v>17586.5462423013</x:v>
      </x:c>
      <x:c r="D738" s="16" t="n">
        <x:v>17545.5371175452</x:v>
      </x:c>
      <x:c r="E738" s="16" t="n">
        <x:v>-41.0091247561</x:v>
      </x:c>
      <x:c r="F738" s="23" t="n">
        <x:v>4</x:v>
      </x:c>
    </x:row>
    <x:row r="739">
      <x:c r="A739" s="15" t="n">
        <x:v>41791</x:v>
      </x:c>
      <x:c r="B739" s="13" t="str">
        <x:v>Health Care</x:v>
      </x:c>
      <x:c r="C739" s="16" t="n">
        <x:v>780.1098084384</x:v>
      </x:c>
      <x:c r="D739" s="16" t="n">
        <x:v>856.0472365589</x:v>
      </x:c>
      <x:c r="E739" s="16" t="n">
        <x:v>75.9374281205</x:v>
      </x:c>
      <x:c r="F739" s="23" t="n">
        <x:v>2</x:v>
      </x:c>
    </x:row>
    <x:row r="740">
      <x:c r="A740" s="15" t="n">
        <x:v>41791</x:v>
      </x:c>
      <x:c r="B740" s="13" t="str">
        <x:v>Homebuilders</x:v>
      </x:c>
      <x:c r="C740" s="16" t="n">
        <x:v>1977.2316883288</x:v>
      </x:c>
      <x:c r="D740" s="16" t="n">
        <x:v>1902.9674624548</x:v>
      </x:c>
      <x:c r="E740" s="16" t="n">
        <x:v>-74.264225874</x:v>
      </x:c>
      <x:c r="F740" s="23" t="n">
        <x:v>6</x:v>
      </x:c>
    </x:row>
    <x:row r="741">
      <x:c r="A741" s="15" t="n">
        <x:v>41791</x:v>
      </x:c>
      <x:c r="B741" s="13" t="str">
        <x:v>Income Properties</x:v>
      </x:c>
      <x:c r="C741" s="16" t="n">
        <x:v>841.7157694247</x:v>
      </x:c>
      <x:c r="D741" s="16" t="n">
        <x:v>823.2656211288</x:v>
      </x:c>
      <x:c r="E741" s="16" t="n">
        <x:v>-18.4501482959</x:v>
      </x:c>
      <x:c r="F741" s="23" t="n">
        <x:v>2</x:v>
      </x:c>
    </x:row>
    <x:row r="742">
      <x:c r="A742" s="15" t="n">
        <x:v>41791</x:v>
      </x:c>
      <x:c r="B742" s="13" t="str">
        <x:v>Metals &amp; Mining</x:v>
      </x:c>
      <x:c r="C742" s="16" t="n">
        <x:v>30491.2693137534</x:v>
      </x:c>
      <x:c r="D742" s="16" t="n">
        <x:v>25949.3028693918</x:v>
      </x:c>
      <x:c r="E742" s="16" t="n">
        <x:v>-4541.9664443616</x:v>
      </x:c>
      <x:c r="F742" s="23" t="n">
        <x:v>5</x:v>
      </x:c>
    </x:row>
    <x:row r="743">
      <x:c r="A743" s="15" t="n">
        <x:v>41791</x:v>
      </x:c>
      <x:c r="B743" s="13" t="str">
        <x:v>Oil, Gas &amp; Petrochemicals</x:v>
      </x:c>
      <x:c r="C743" s="16" t="n">
        <x:v>33999.5105315068</x:v>
      </x:c>
      <x:c r="D743" s="16" t="n">
        <x:v>33597.386573852</x:v>
      </x:c>
      <x:c r="E743" s="16" t="n">
        <x:v>-402.1239576548</x:v>
      </x:c>
      <x:c r="F743" s="23" t="n">
        <x:v>4</x:v>
      </x:c>
    </x:row>
    <x:row r="744">
      <x:c r="A744" s="15" t="n">
        <x:v>41791</x:v>
      </x:c>
      <x:c r="B744" s="13" t="str">
        <x:v>Pulp &amp; Paper</x:v>
      </x:c>
      <x:c r="C744" s="16" t="n">
        <x:v>2108.8596865753</x:v>
      </x:c>
      <x:c r="D744" s="16" t="n">
        <x:v>2146.8780964822</x:v>
      </x:c>
      <x:c r="E744" s="16" t="n">
        <x:v>38.0184099069</x:v>
      </x:c>
      <x:c r="F744" s="23" t="n">
        <x:v>4</x:v>
      </x:c>
    </x:row>
    <x:row r="745">
      <x:c r="A745" s="15" t="n">
        <x:v>41791</x:v>
      </x:c>
      <x:c r="B745" s="13" t="str">
        <x:v>Retail</x:v>
      </x:c>
      <x:c r="C745" s="16" t="n">
        <x:v>3894.6882288219</x:v>
      </x:c>
      <x:c r="D745" s="16" t="n">
        <x:v>3940.3821475069</x:v>
      </x:c>
      <x:c r="E745" s="16" t="n">
        <x:v>45.6939186849</x:v>
      </x:c>
      <x:c r="F745" s="23" t="n">
        <x:v>5</x:v>
      </x:c>
    </x:row>
    <x:row r="746">
      <x:c r="A746" s="15" t="n">
        <x:v>41791</x:v>
      </x:c>
      <x:c r="B746" s="13" t="str">
        <x:v>Sanitation</x:v>
      </x:c>
      <x:c r="C746" s="16" t="n">
        <x:v>1822.5097100274</x:v>
      </x:c>
      <x:c r="D746" s="16" t="n">
        <x:v>1726.4149942356</x:v>
      </x:c>
      <x:c r="E746" s="16" t="n">
        <x:v>-96.0947157918</x:v>
      </x:c>
      <x:c r="F746" s="23" t="n">
        <x:v>1</x:v>
      </x:c>
    </x:row>
    <x:row r="747">
      <x:c r="A747" s="15" t="n">
        <x:v>41791</x:v>
      </x:c>
      <x:c r="B747" s="13" t="str">
        <x:v>TMT</x:v>
      </x:c>
      <x:c r="C747" s="16" t="n">
        <x:v>6048.229196274</x:v>
      </x:c>
      <x:c r="D747" s="16" t="n">
        <x:v>5541.6855596712</x:v>
      </x:c>
      <x:c r="E747" s="16" t="n">
        <x:v>-506.5436366027</x:v>
      </x:c>
      <x:c r="F747" s="23" t="n">
        <x:v>3</x:v>
      </x:c>
    </x:row>
    <x:row r="748">
      <x:c r="A748" s="15" t="n">
        <x:v>41791</x:v>
      </x:c>
      <x:c r="B748" s="13" t="str">
        <x:v>Transportation</x:v>
      </x:c>
      <x:c r="C748" s="16" t="n">
        <x:v>2922.1416199452</x:v>
      </x:c>
      <x:c r="D748" s="16" t="n">
        <x:v>2903.4071141041</x:v>
      </x:c>
      <x:c r="E748" s="16" t="n">
        <x:v>-18.7345058411</x:v>
      </x:c>
      <x:c r="F748" s="23" t="n">
        <x:v>5</x:v>
      </x:c>
    </x:row>
    <x:row r="749">
      <x:c r="A749" s="15" t="n">
        <x:v>41791</x:v>
      </x:c>
      <x:c r="B749" s="13" t="str">
        <x:v>Utilities &amp; Energy</x:v>
      </x:c>
      <x:c r="C749" s="16" t="n">
        <x:v>9387.4229948493</x:v>
      </x:c>
      <x:c r="D749" s="16" t="n">
        <x:v>9590.7798148603</x:v>
      </x:c>
      <x:c r="E749" s="16" t="n">
        <x:v>203.356820011</x:v>
      </x:c>
      <x:c r="F749" s="23" t="n">
        <x:v>8</x:v>
      </x:c>
    </x:row>
    <x:row r="750">
      <x:c r="A750" s="15" t="n">
        <x:v>41821</x:v>
      </x:c>
      <x:c r="B750" s="13" t="str">
        <x:v>Banks</x:v>
      </x:c>
      <x:c r="C750" s="16" t="n">
        <x:v>64043.06962937</x:v>
      </x:c>
      <x:c r="D750" s="16" t="n">
        <x:v>67230.2951241643</x:v>
      </x:c>
      <x:c r="E750" s="16" t="n">
        <x:v>3187.2254947943</x:v>
      </x:c>
      <x:c r="F750" s="23" t="n">
        <x:v>5</x:v>
      </x:c>
    </x:row>
    <x:row r="751">
      <x:c r="A751" s="15" t="n">
        <x:v>41821</x:v>
      </x:c>
      <x:c r="B751" s="13" t="str">
        <x:v>Capital Goods</x:v>
      </x:c>
      <x:c r="C751" s="16" t="n">
        <x:v>1017.5177924384</x:v>
      </x:c>
      <x:c r="D751" s="16" t="n">
        <x:v>1076.5630499068</x:v>
      </x:c>
      <x:c r="E751" s="16" t="n">
        <x:v>59.0452574685</x:v>
      </x:c>
      <x:c r="F751" s="23" t="n">
        <x:v>1</x:v>
      </x:c>
    </x:row>
    <x:row r="752">
      <x:c r="A752" s="15" t="n">
        <x:v>41821</x:v>
      </x:c>
      <x:c r="B752" s="13" t="str">
        <x:v>Education</x:v>
      </x:c>
      <x:c r="C752" s="16" t="n">
        <x:v>1309.0963423562</x:v>
      </x:c>
      <x:c r="D752" s="16" t="n">
        <x:v>1584.8098333808</x:v>
      </x:c>
      <x:c r="E752" s="16" t="n">
        <x:v>275.7134910247</x:v>
      </x:c>
      <x:c r="F752" s="23" t="n">
        <x:v>2</x:v>
      </x:c>
    </x:row>
    <x:row r="753">
      <x:c r="A753" s="15" t="n">
        <x:v>41821</x:v>
      </x:c>
      <x:c r="B753" s="13" t="str">
        <x:v>Financials Non-Banks</x:v>
      </x:c>
      <x:c r="C753" s="16" t="n">
        <x:v>15573.7404265205</x:v>
      </x:c>
      <x:c r="D753" s="16" t="n">
        <x:v>16482.217184789</x:v>
      </x:c>
      <x:c r="E753" s="16" t="n">
        <x:v>908.4767582685</x:v>
      </x:c>
      <x:c r="F753" s="23" t="n">
        <x:v>5</x:v>
      </x:c>
    </x:row>
    <x:row r="754">
      <x:c r="A754" s="15" t="n">
        <x:v>41821</x:v>
      </x:c>
      <x:c r="B754" s="13" t="str">
        <x:v>Food &amp; Beverages</x:v>
      </x:c>
      <x:c r="C754" s="16" t="n">
        <x:v>17533.9591868493</x:v>
      </x:c>
      <x:c r="D754" s="16" t="n">
        <x:v>17592.6774593315</x:v>
      </x:c>
      <x:c r="E754" s="16" t="n">
        <x:v>58.7182724822</x:v>
      </x:c>
      <x:c r="F754" s="23" t="n">
        <x:v>4</x:v>
      </x:c>
    </x:row>
    <x:row r="755">
      <x:c r="A755" s="15" t="n">
        <x:v>41821</x:v>
      </x:c>
      <x:c r="B755" s="13" t="str">
        <x:v>Health Care</x:v>
      </x:c>
      <x:c r="C755" s="16" t="n">
        <x:v>793.6932076712</x:v>
      </x:c>
      <x:c r="D755" s="16" t="n">
        <x:v>845.9382817315</x:v>
      </x:c>
      <x:c r="E755" s="16" t="n">
        <x:v>52.2450740603</x:v>
      </x:c>
      <x:c r="F755" s="23" t="n">
        <x:v>2</x:v>
      </x:c>
    </x:row>
    <x:row r="756">
      <x:c r="A756" s="15" t="n">
        <x:v>41821</x:v>
      </x:c>
      <x:c r="B756" s="13" t="str">
        <x:v>Homebuilders</x:v>
      </x:c>
      <x:c r="C756" s="16" t="n">
        <x:v>1919.3404672329</x:v>
      </x:c>
      <x:c r="D756" s="16" t="n">
        <x:v>1759.0801119726</x:v>
      </x:c>
      <x:c r="E756" s="16" t="n">
        <x:v>-160.2603552603</x:v>
      </x:c>
      <x:c r="F756" s="23" t="n">
        <x:v>6</x:v>
      </x:c>
    </x:row>
    <x:row r="757">
      <x:c r="A757" s="15" t="n">
        <x:v>41821</x:v>
      </x:c>
      <x:c r="B757" s="13" t="str">
        <x:v>Income Properties</x:v>
      </x:c>
      <x:c r="C757" s="16" t="n">
        <x:v>851.9000438356</x:v>
      </x:c>
      <x:c r="D757" s="16" t="n">
        <x:v>762.4854130849</x:v>
      </x:c>
      <x:c r="E757" s="16" t="n">
        <x:v>-89.4146307507</x:v>
      </x:c>
      <x:c r="F757" s="23" t="n">
        <x:v>2</x:v>
      </x:c>
    </x:row>
    <x:row r="758">
      <x:c r="A758" s="15" t="n">
        <x:v>41821</x:v>
      </x:c>
      <x:c r="B758" s="13" t="str">
        <x:v>Metals &amp; Mining</x:v>
      </x:c>
      <x:c r="C758" s="16" t="n">
        <x:v>30531.6149514521</x:v>
      </x:c>
      <x:c r="D758" s="16" t="n">
        <x:v>25587.2677616219</x:v>
      </x:c>
      <x:c r="E758" s="16" t="n">
        <x:v>-4944.3471898302</x:v>
      </x:c>
      <x:c r="F758" s="23" t="n">
        <x:v>6</x:v>
      </x:c>
    </x:row>
    <x:row r="759">
      <x:c r="A759" s="15" t="n">
        <x:v>41821</x:v>
      </x:c>
      <x:c r="B759" s="13" t="str">
        <x:v>Oil, Gas &amp; Petrochemicals</x:v>
      </x:c>
      <x:c r="C759" s="16" t="n">
        <x:v>34065.9689065206</x:v>
      </x:c>
      <x:c r="D759" s="16" t="n">
        <x:v>32561.0088977534</x:v>
      </x:c>
      <x:c r="E759" s="16" t="n">
        <x:v>-1504.9600087672</x:v>
      </x:c>
      <x:c r="F759" s="23" t="n">
        <x:v>4</x:v>
      </x:c>
    </x:row>
    <x:row r="760">
      <x:c r="A760" s="15" t="n">
        <x:v>41821</x:v>
      </x:c>
      <x:c r="B760" s="13" t="str">
        <x:v>Pulp &amp; Paper</x:v>
      </x:c>
      <x:c r="C760" s="16" t="n">
        <x:v>2150.1266432877</x:v>
      </x:c>
      <x:c r="D760" s="16" t="n">
        <x:v>2060.8601663123</x:v>
      </x:c>
      <x:c r="E760" s="16" t="n">
        <x:v>-89.2664769753</x:v>
      </x:c>
      <x:c r="F760" s="23" t="n">
        <x:v>4</x:v>
      </x:c>
    </x:row>
    <x:row r="761">
      <x:c r="A761" s="15" t="n">
        <x:v>41821</x:v>
      </x:c>
      <x:c r="B761" s="13" t="str">
        <x:v>Retail</x:v>
      </x:c>
      <x:c r="C761" s="16" t="n">
        <x:v>3906.6182246575</x:v>
      </x:c>
      <x:c r="D761" s="16" t="n">
        <x:v>3967.782745863</x:v>
      </x:c>
      <x:c r="E761" s="16" t="n">
        <x:v>61.1645212055</x:v>
      </x:c>
      <x:c r="F761" s="23" t="n">
        <x:v>5</x:v>
      </x:c>
    </x:row>
    <x:row r="762">
      <x:c r="A762" s="15" t="n">
        <x:v>41821</x:v>
      </x:c>
      <x:c r="B762" s="13" t="str">
        <x:v>Sanitation</x:v>
      </x:c>
      <x:c r="C762" s="16" t="n">
        <x:v>1672.5161801644</x:v>
      </x:c>
      <x:c r="D762" s="16" t="n">
        <x:v>1588.1061814356</x:v>
      </x:c>
      <x:c r="E762" s="16" t="n">
        <x:v>-84.4099987288</x:v>
      </x:c>
      <x:c r="F762" s="23" t="n">
        <x:v>1</x:v>
      </x:c>
    </x:row>
    <x:row r="763">
      <x:c r="A763" s="15" t="n">
        <x:v>41821</x:v>
      </x:c>
      <x:c r="B763" s="13" t="str">
        <x:v>TMT</x:v>
      </x:c>
      <x:c r="C763" s="16" t="n">
        <x:v>6169.1056534795</x:v>
      </x:c>
      <x:c r="D763" s="16" t="n">
        <x:v>5612.9497489534</x:v>
      </x:c>
      <x:c r="E763" s="16" t="n">
        <x:v>-556.155904526</x:v>
      </x:c>
      <x:c r="F763" s="23" t="n">
        <x:v>3</x:v>
      </x:c>
    </x:row>
    <x:row r="764">
      <x:c r="A764" s="15" t="n">
        <x:v>41821</x:v>
      </x:c>
      <x:c r="B764" s="13" t="str">
        <x:v>Transportation</x:v>
      </x:c>
      <x:c r="C764" s="16" t="n">
        <x:v>2942.548148274</x:v>
      </x:c>
      <x:c r="D764" s="16" t="n">
        <x:v>2864.3041593425</x:v>
      </x:c>
      <x:c r="E764" s="16" t="n">
        <x:v>-78.2439889315</x:v>
      </x:c>
      <x:c r="F764" s="23" t="n">
        <x:v>5</x:v>
      </x:c>
    </x:row>
    <x:row r="765">
      <x:c r="A765" s="15" t="n">
        <x:v>41821</x:v>
      </x:c>
      <x:c r="B765" s="13" t="str">
        <x:v>Utilities &amp; Energy</x:v>
      </x:c>
      <x:c r="C765" s="16" t="n">
        <x:v>9393.4625459726</x:v>
      </x:c>
      <x:c r="D765" s="16" t="n">
        <x:v>9362.1843196932</x:v>
      </x:c>
      <x:c r="E765" s="16" t="n">
        <x:v>-31.2782262794</x:v>
      </x:c>
      <x:c r="F765" s="23" t="n">
        <x:v>8</x:v>
      </x:c>
    </x:row>
    <x:row r="766">
      <x:c r="A766" s="15" t="n">
        <x:v>41852</x:v>
      </x:c>
      <x:c r="B766" s="13" t="str">
        <x:v>Banks</x:v>
      </x:c>
      <x:c r="C766" s="16" t="n">
        <x:v>65057.5097056438</x:v>
      </x:c>
      <x:c r="D766" s="16" t="n">
        <x:v>69670.6719253042</x:v>
      </x:c>
      <x:c r="E766" s="16" t="n">
        <x:v>4613.1622196604</x:v>
      </x:c>
      <x:c r="F766" s="23" t="n">
        <x:v>5</x:v>
      </x:c>
    </x:row>
    <x:row r="767">
      <x:c r="A767" s="15" t="n">
        <x:v>41852</x:v>
      </x:c>
      <x:c r="B767" s="13" t="str">
        <x:v>Capital Goods</x:v>
      </x:c>
      <x:c r="C767" s="16" t="n">
        <x:v>1062.174208</x:v>
      </x:c>
      <x:c r="D767" s="16" t="n">
        <x:v>1102.874220011</x:v>
      </x:c>
      <x:c r="E767" s="16" t="n">
        <x:v>40.700012011</x:v>
      </x:c>
      <x:c r="F767" s="23" t="n">
        <x:v>1</x:v>
      </x:c>
    </x:row>
    <x:row r="768">
      <x:c r="A768" s="15" t="n">
        <x:v>41852</x:v>
      </x:c>
      <x:c r="B768" s="13" t="str">
        <x:v>Education</x:v>
      </x:c>
      <x:c r="C768" s="16" t="n">
        <x:v>1384.4364878904</x:v>
      </x:c>
      <x:c r="D768" s="16" t="n">
        <x:v>1800.6568072767</x:v>
      </x:c>
      <x:c r="E768" s="16" t="n">
        <x:v>416.2203193863</x:v>
      </x:c>
      <x:c r="F768" s="23" t="n">
        <x:v>2</x:v>
      </x:c>
    </x:row>
    <x:row r="769">
      <x:c r="A769" s="15" t="n">
        <x:v>41852</x:v>
      </x:c>
      <x:c r="B769" s="13" t="str">
        <x:v>Financials Non-Banks</x:v>
      </x:c>
      <x:c r="C769" s="16" t="n">
        <x:v>15907.9415487123</x:v>
      </x:c>
      <x:c r="D769" s="16" t="n">
        <x:v>17054.3777306301</x:v>
      </x:c>
      <x:c r="E769" s="16" t="n">
        <x:v>1146.4361819178</x:v>
      </x:c>
      <x:c r="F769" s="23" t="n">
        <x:v>5</x:v>
      </x:c>
    </x:row>
    <x:row r="770">
      <x:c r="A770" s="15" t="n">
        <x:v>41852</x:v>
      </x:c>
      <x:c r="B770" s="13" t="str">
        <x:v>Food &amp; Beverages</x:v>
      </x:c>
      <x:c r="C770" s="16" t="n">
        <x:v>17390.5426540274</x:v>
      </x:c>
      <x:c r="D770" s="16" t="n">
        <x:v>17477.2083171946</x:v>
      </x:c>
      <x:c r="E770" s="16" t="n">
        <x:v>86.6656631672</x:v>
      </x:c>
      <x:c r="F770" s="23" t="n">
        <x:v>4</x:v>
      </x:c>
    </x:row>
    <x:row r="771">
      <x:c r="A771" s="15" t="n">
        <x:v>41852</x:v>
      </x:c>
      <x:c r="B771" s="13" t="str">
        <x:v>Health Care</x:v>
      </x:c>
      <x:c r="C771" s="16" t="n">
        <x:v>812.505638137</x:v>
      </x:c>
      <x:c r="D771" s="16" t="n">
        <x:v>865.9672651397</x:v>
      </x:c>
      <x:c r="E771" s="16" t="n">
        <x:v>53.4616270027</x:v>
      </x:c>
      <x:c r="F771" s="23" t="n">
        <x:v>2</x:v>
      </x:c>
    </x:row>
    <x:row r="772">
      <x:c r="A772" s="15" t="n">
        <x:v>41852</x:v>
      </x:c>
      <x:c r="B772" s="13" t="str">
        <x:v>Homebuilders</x:v>
      </x:c>
      <x:c r="C772" s="16" t="n">
        <x:v>1995.4400293699</x:v>
      </x:c>
      <x:c r="D772" s="16" t="n">
        <x:v>1756.4241344877</x:v>
      </x:c>
      <x:c r="E772" s="16" t="n">
        <x:v>-239.0158948822</x:v>
      </x:c>
      <x:c r="F772" s="23" t="n">
        <x:v>7</x:v>
      </x:c>
    </x:row>
    <x:row r="773">
      <x:c r="A773" s="15" t="n">
        <x:v>41852</x:v>
      </x:c>
      <x:c r="B773" s="13" t="str">
        <x:v>Income Properties</x:v>
      </x:c>
      <x:c r="C773" s="16" t="n">
        <x:v>883.5266108493</x:v>
      </x:c>
      <x:c r="D773" s="16" t="n">
        <x:v>783.1692820164</x:v>
      </x:c>
      <x:c r="E773" s="16" t="n">
        <x:v>-100.3573288329</x:v>
      </x:c>
      <x:c r="F773" s="23" t="n">
        <x:v>2</x:v>
      </x:c>
    </x:row>
    <x:row r="774">
      <x:c r="A774" s="15" t="n">
        <x:v>41852</x:v>
      </x:c>
      <x:c r="B774" s="13" t="str">
        <x:v>Metals &amp; Mining</x:v>
      </x:c>
      <x:c r="C774" s="16" t="n">
        <x:v>28964.2866047124</x:v>
      </x:c>
      <x:c r="D774" s="16" t="n">
        <x:v>24620.3999520439</x:v>
      </x:c>
      <x:c r="E774" s="16" t="n">
        <x:v>-4343.8866526685</x:v>
      </x:c>
      <x:c r="F774" s="23" t="n">
        <x:v>7</x:v>
      </x:c>
    </x:row>
    <x:row r="775">
      <x:c r="A775" s="15" t="n">
        <x:v>41852</x:v>
      </x:c>
      <x:c r="B775" s="13" t="str">
        <x:v>Oil, Gas &amp; Petrochemicals</x:v>
      </x:c>
      <x:c r="C775" s="16" t="n">
        <x:v>33086.7518860274</x:v>
      </x:c>
      <x:c r="D775" s="16" t="n">
        <x:v>32777.1954894904</x:v>
      </x:c>
      <x:c r="E775" s="16" t="n">
        <x:v>-309.556396537</x:v>
      </x:c>
      <x:c r="F775" s="23" t="n">
        <x:v>4</x:v>
      </x:c>
    </x:row>
    <x:row r="776">
      <x:c r="A776" s="15" t="n">
        <x:v>41852</x:v>
      </x:c>
      <x:c r="B776" s="13" t="str">
        <x:v>Pulp &amp; Paper</x:v>
      </x:c>
      <x:c r="C776" s="16" t="n">
        <x:v>2159.9464793425</x:v>
      </x:c>
      <x:c r="D776" s="16" t="n">
        <x:v>1950.8678795836</x:v>
      </x:c>
      <x:c r="E776" s="16" t="n">
        <x:v>-209.0785997589</x:v>
      </x:c>
      <x:c r="F776" s="23" t="n">
        <x:v>4</x:v>
      </x:c>
    </x:row>
    <x:row r="777">
      <x:c r="A777" s="15" t="n">
        <x:v>41852</x:v>
      </x:c>
      <x:c r="B777" s="13" t="str">
        <x:v>Retail</x:v>
      </x:c>
      <x:c r="C777" s="16" t="n">
        <x:v>3903.5620536986</x:v>
      </x:c>
      <x:c r="D777" s="16" t="n">
        <x:v>4011.9695585315</x:v>
      </x:c>
      <x:c r="E777" s="16" t="n">
        <x:v>108.4075048329</x:v>
      </x:c>
      <x:c r="F777" s="23" t="n">
        <x:v>5</x:v>
      </x:c>
    </x:row>
    <x:row r="778">
      <x:c r="A778" s="15" t="n">
        <x:v>41852</x:v>
      </x:c>
      <x:c r="B778" s="13" t="str">
        <x:v>Sanitation</x:v>
      </x:c>
      <x:c r="C778" s="16" t="n">
        <x:v>1688.8013764384</x:v>
      </x:c>
      <x:c r="D778" s="16" t="n">
        <x:v>1597.5616438356</x:v>
      </x:c>
      <x:c r="E778" s="16" t="n">
        <x:v>-91.2397326027</x:v>
      </x:c>
      <x:c r="F778" s="23" t="n">
        <x:v>1</x:v>
      </x:c>
    </x:row>
    <x:row r="779">
      <x:c r="A779" s="15" t="n">
        <x:v>41852</x:v>
      </x:c>
      <x:c r="B779" s="13" t="str">
        <x:v>TMT</x:v>
      </x:c>
      <x:c r="C779" s="16" t="n">
        <x:v>5833.6489652603</x:v>
      </x:c>
      <x:c r="D779" s="16" t="n">
        <x:v>5578.0373773589</x:v>
      </x:c>
      <x:c r="E779" s="16" t="n">
        <x:v>-255.6115879014</x:v>
      </x:c>
      <x:c r="F779" s="23" t="n">
        <x:v>3</x:v>
      </x:c>
    </x:row>
    <x:row r="780">
      <x:c r="A780" s="15" t="n">
        <x:v>41852</x:v>
      </x:c>
      <x:c r="B780" s="13" t="str">
        <x:v>Transportation</x:v>
      </x:c>
      <x:c r="C780" s="16" t="n">
        <x:v>2891.3640199452</x:v>
      </x:c>
      <x:c r="D780" s="16" t="n">
        <x:v>2837.5121713753</x:v>
      </x:c>
      <x:c r="E780" s="16" t="n">
        <x:v>-53.8518485699</x:v>
      </x:c>
      <x:c r="F780" s="23" t="n">
        <x:v>5</x:v>
      </x:c>
    </x:row>
    <x:row r="781">
      <x:c r="A781" s="15" t="n">
        <x:v>41852</x:v>
      </x:c>
      <x:c r="B781" s="13" t="str">
        <x:v>Utilities &amp; Energy</x:v>
      </x:c>
      <x:c r="C781" s="16" t="n">
        <x:v>11789.202910137</x:v>
      </x:c>
      <x:c r="D781" s="16" t="n">
        <x:v>12741.9325654685</x:v>
      </x:c>
      <x:c r="E781" s="16" t="n">
        <x:v>952.7296553315</x:v>
      </x:c>
      <x:c r="F781" s="23" t="n">
        <x:v>10</x:v>
      </x:c>
    </x:row>
    <x:row r="782">
      <x:c r="A782" s="15" t="n">
        <x:v>41883</x:v>
      </x:c>
      <x:c r="B782" s="13" t="str">
        <x:v>Banks</x:v>
      </x:c>
      <x:c r="C782" s="16" t="n">
        <x:v>65813.5918577972</x:v>
      </x:c>
      <x:c r="D782" s="16" t="n">
        <x:v>71091.5903095232</x:v>
      </x:c>
      <x:c r="E782" s="16" t="n">
        <x:v>5277.998451726</x:v>
      </x:c>
      <x:c r="F782" s="23" t="n">
        <x:v>5</x:v>
      </x:c>
    </x:row>
    <x:row r="783">
      <x:c r="A783" s="15" t="n">
        <x:v>41883</x:v>
      </x:c>
      <x:c r="B783" s="13" t="str">
        <x:v>Capital Goods</x:v>
      </x:c>
      <x:c r="C783" s="16" t="n">
        <x:v>1079.5650135671</x:v>
      </x:c>
      <x:c r="D783" s="16" t="n">
        <x:v>1150.3860318685</x:v>
      </x:c>
      <x:c r="E783" s="16" t="n">
        <x:v>70.8210183014</x:v>
      </x:c>
      <x:c r="F783" s="23" t="n">
        <x:v>1</x:v>
      </x:c>
    </x:row>
    <x:row r="784">
      <x:c r="A784" s="15" t="n">
        <x:v>41883</x:v>
      </x:c>
      <x:c r="B784" s="13" t="str">
        <x:v>Education</x:v>
      </x:c>
      <x:c r="C784" s="16" t="n">
        <x:v>1427.4423767671</x:v>
      </x:c>
      <x:c r="D784" s="16" t="n">
        <x:v>1983.6250767781</x:v>
      </x:c>
      <x:c r="E784" s="16" t="n">
        <x:v>556.182700011</x:v>
      </x:c>
      <x:c r="F784" s="23" t="n">
        <x:v>2</x:v>
      </x:c>
    </x:row>
    <x:row r="785">
      <x:c r="A785" s="15" t="n">
        <x:v>41883</x:v>
      </x:c>
      <x:c r="B785" s="13" t="str">
        <x:v>Financials Non-Banks</x:v>
      </x:c>
      <x:c r="C785" s="16" t="n">
        <x:v>16368.4643236822</x:v>
      </x:c>
      <x:c r="D785" s="16" t="n">
        <x:v>17473.5313292274</x:v>
      </x:c>
      <x:c r="E785" s="16" t="n">
        <x:v>1105.0670055452</x:v>
      </x:c>
      <x:c r="F785" s="23" t="n">
        <x:v>5</x:v>
      </x:c>
    </x:row>
    <x:row r="786">
      <x:c r="A786" s="15" t="n">
        <x:v>41883</x:v>
      </x:c>
      <x:c r="B786" s="13" t="str">
        <x:v>Food &amp; Beverages</x:v>
      </x:c>
      <x:c r="C786" s="16" t="n">
        <x:v>17545.5371175452</x:v>
      </x:c>
      <x:c r="D786" s="16" t="n">
        <x:v>17638.8290783123</x:v>
      </x:c>
      <x:c r="E786" s="16" t="n">
        <x:v>93.2919607671</x:v>
      </x:c>
      <x:c r="F786" s="23" t="n">
        <x:v>4</x:v>
      </x:c>
    </x:row>
    <x:row r="787">
      <x:c r="A787" s="15" t="n">
        <x:v>41883</x:v>
      </x:c>
      <x:c r="B787" s="13" t="str">
        <x:v>Health Care</x:v>
      </x:c>
      <x:c r="C787" s="16" t="n">
        <x:v>856.0472365589</x:v>
      </x:c>
      <x:c r="D787" s="16" t="n">
        <x:v>878.4080604932</x:v>
      </x:c>
      <x:c r="E787" s="16" t="n">
        <x:v>22.3608239342</x:v>
      </x:c>
      <x:c r="F787" s="23" t="n">
        <x:v>2</x:v>
      </x:c>
    </x:row>
    <x:row r="788">
      <x:c r="A788" s="15" t="n">
        <x:v>41883</x:v>
      </x:c>
      <x:c r="B788" s="13" t="str">
        <x:v>Homebuilders</x:v>
      </x:c>
      <x:c r="C788" s="16" t="n">
        <x:v>1902.9674624548</x:v>
      </x:c>
      <x:c r="D788" s="16" t="n">
        <x:v>1758.6313481644</x:v>
      </x:c>
      <x:c r="E788" s="16" t="n">
        <x:v>-144.3361142904</x:v>
      </x:c>
      <x:c r="F788" s="23" t="n">
        <x:v>6</x:v>
      </x:c>
    </x:row>
    <x:row r="789">
      <x:c r="A789" s="15" t="n">
        <x:v>41883</x:v>
      </x:c>
      <x:c r="B789" s="13" t="str">
        <x:v>Income Properties</x:v>
      </x:c>
      <x:c r="C789" s="16" t="n">
        <x:v>823.2656211288</x:v>
      </x:c>
      <x:c r="D789" s="16" t="n">
        <x:v>773.0797493918</x:v>
      </x:c>
      <x:c r="E789" s="16" t="n">
        <x:v>-50.185871737</x:v>
      </x:c>
      <x:c r="F789" s="23" t="n">
        <x:v>2</x:v>
      </x:c>
    </x:row>
    <x:row r="790">
      <x:c r="A790" s="15" t="n">
        <x:v>41883</x:v>
      </x:c>
      <x:c r="B790" s="13" t="str">
        <x:v>Metals &amp; Mining</x:v>
      </x:c>
      <x:c r="C790" s="16" t="n">
        <x:v>26801.7165841534</x:v>
      </x:c>
      <x:c r="D790" s="16" t="n">
        <x:v>23478.8965184</x:v>
      </x:c>
      <x:c r="E790" s="16" t="n">
        <x:v>-3322.8200657534</x:v>
      </x:c>
      <x:c r="F790" s="23" t="n">
        <x:v>6</x:v>
      </x:c>
    </x:row>
    <x:row r="791">
      <x:c r="A791" s="15" t="n">
        <x:v>41883</x:v>
      </x:c>
      <x:c r="B791" s="13" t="str">
        <x:v>Oil, Gas &amp; Petrochemicals</x:v>
      </x:c>
      <x:c r="C791" s="16" t="n">
        <x:v>33597.386573852</x:v>
      </x:c>
      <x:c r="D791" s="16" t="n">
        <x:v>33280.9422023891</x:v>
      </x:c>
      <x:c r="E791" s="16" t="n">
        <x:v>-316.4443714629</x:v>
      </x:c>
      <x:c r="F791" s="23" t="n">
        <x:v>4</x:v>
      </x:c>
    </x:row>
    <x:row r="792">
      <x:c r="A792" s="15" t="n">
        <x:v>41883</x:v>
      </x:c>
      <x:c r="B792" s="13" t="str">
        <x:v>Pulp &amp; Paper</x:v>
      </x:c>
      <x:c r="C792" s="16" t="n">
        <x:v>2146.8780964822</x:v>
      </x:c>
      <x:c r="D792" s="16" t="n">
        <x:v>1954.7957035397</x:v>
      </x:c>
      <x:c r="E792" s="16" t="n">
        <x:v>-192.0823929425</x:v>
      </x:c>
      <x:c r="F792" s="23" t="n">
        <x:v>4</x:v>
      </x:c>
    </x:row>
    <x:row r="793">
      <x:c r="A793" s="15" t="n">
        <x:v>41883</x:v>
      </x:c>
      <x:c r="B793" s="13" t="str">
        <x:v>Retail</x:v>
      </x:c>
      <x:c r="C793" s="16" t="n">
        <x:v>3940.3821475069</x:v>
      </x:c>
      <x:c r="D793" s="16" t="n">
        <x:v>4026.9041265973</x:v>
      </x:c>
      <x:c r="E793" s="16" t="n">
        <x:v>86.5219790904</x:v>
      </x:c>
      <x:c r="F793" s="23" t="n">
        <x:v>5</x:v>
      </x:c>
    </x:row>
    <x:row r="794">
      <x:c r="A794" s="15" t="n">
        <x:v>41883</x:v>
      </x:c>
      <x:c r="B794" s="13" t="str">
        <x:v>Sanitation</x:v>
      </x:c>
      <x:c r="C794" s="16" t="n">
        <x:v>1726.4149942356</x:v>
      </x:c>
      <x:c r="D794" s="16" t="n">
        <x:v>1636.7424154301</x:v>
      </x:c>
      <x:c r="E794" s="16" t="n">
        <x:v>-89.6725788055</x:v>
      </x:c>
      <x:c r="F794" s="23" t="n">
        <x:v>1</x:v>
      </x:c>
    </x:row>
    <x:row r="795">
      <x:c r="A795" s="15" t="n">
        <x:v>41883</x:v>
      </x:c>
      <x:c r="B795" s="13" t="str">
        <x:v>TMT</x:v>
      </x:c>
      <x:c r="C795" s="16" t="n">
        <x:v>5541.6855596712</x:v>
      </x:c>
      <x:c r="D795" s="16" t="n">
        <x:v>5645.6134684055</x:v>
      </x:c>
      <x:c r="E795" s="16" t="n">
        <x:v>103.9279087342</x:v>
      </x:c>
      <x:c r="F795" s="23" t="n">
        <x:v>3</x:v>
      </x:c>
    </x:row>
    <x:row r="796">
      <x:c r="A796" s="15" t="n">
        <x:v>41883</x:v>
      </x:c>
      <x:c r="B796" s="13" t="str">
        <x:v>Transportation</x:v>
      </x:c>
      <x:c r="C796" s="16" t="n">
        <x:v>2903.4071141041</x:v>
      </x:c>
      <x:c r="D796" s="16" t="n">
        <x:v>2738.8635940822</x:v>
      </x:c>
      <x:c r="E796" s="16" t="n">
        <x:v>-164.5435200219</x:v>
      </x:c>
      <x:c r="F796" s="23" t="n">
        <x:v>5</x:v>
      </x:c>
    </x:row>
    <x:row r="797">
      <x:c r="A797" s="15" t="n">
        <x:v>41883</x:v>
      </x:c>
      <x:c r="B797" s="13" t="str">
        <x:v>Utilities &amp; Energy</x:v>
      </x:c>
      <x:c r="C797" s="16" t="n">
        <x:v>11775.9880023014</x:v>
      </x:c>
      <x:c r="D797" s="16" t="n">
        <x:v>11818.9169070027</x:v>
      </x:c>
      <x:c r="E797" s="16" t="n">
        <x:v>42.9289047014</x:v>
      </x:c>
      <x:c r="F797" s="23" t="n">
        <x:v>10</x:v>
      </x:c>
    </x:row>
    <x:row r="798">
      <x:c r="A798" s="15" t="n">
        <x:v>41913</x:v>
      </x:c>
      <x:c r="B798" s="13" t="str">
        <x:v>Banks</x:v>
      </x:c>
      <x:c r="C798" s="16" t="n">
        <x:v>67230.2951241643</x:v>
      </x:c>
      <x:c r="D798" s="16" t="n">
        <x:v>72244.1823119781</x:v>
      </x:c>
      <x:c r="E798" s="16" t="n">
        <x:v>5013.8871878138</x:v>
      </x:c>
      <x:c r="F798" s="23" t="n">
        <x:v>5</x:v>
      </x:c>
    </x:row>
    <x:row r="799">
      <x:c r="A799" s="15" t="n">
        <x:v>41913</x:v>
      </x:c>
      <x:c r="B799" s="13" t="str">
        <x:v>Capital Goods</x:v>
      </x:c>
      <x:c r="C799" s="16" t="n">
        <x:v>1076.5630499068</x:v>
      </x:c>
      <x:c r="D799" s="16" t="n">
        <x:v>1216.697791474</x:v>
      </x:c>
      <x:c r="E799" s="16" t="n">
        <x:v>140.1347415671</x:v>
      </x:c>
      <x:c r="F799" s="23" t="n">
        <x:v>1</x:v>
      </x:c>
    </x:row>
    <x:row r="800">
      <x:c r="A800" s="15" t="n">
        <x:v>41913</x:v>
      </x:c>
      <x:c r="B800" s="13" t="str">
        <x:v>Education</x:v>
      </x:c>
      <x:c r="C800" s="16" t="n">
        <x:v>1584.8098333808</x:v>
      </x:c>
      <x:c r="D800" s="16" t="n">
        <x:v>2058.6478716493</x:v>
      </x:c>
      <x:c r="E800" s="16" t="n">
        <x:v>473.8380382685</x:v>
      </x:c>
      <x:c r="F800" s="23" t="n">
        <x:v>2</x:v>
      </x:c>
    </x:row>
    <x:row r="801">
      <x:c r="A801" s="15" t="n">
        <x:v>41913</x:v>
      </x:c>
      <x:c r="B801" s="13" t="str">
        <x:v>Financials Non-Banks</x:v>
      </x:c>
      <x:c r="C801" s="16" t="n">
        <x:v>16482.217184789</x:v>
      </x:c>
      <x:c r="D801" s="16" t="n">
        <x:v>17958.4644433534</x:v>
      </x:c>
      <x:c r="E801" s="16" t="n">
        <x:v>1476.2472585644</x:v>
      </x:c>
      <x:c r="F801" s="23" t="n">
        <x:v>5</x:v>
      </x:c>
    </x:row>
    <x:row r="802">
      <x:c r="A802" s="15" t="n">
        <x:v>41913</x:v>
      </x:c>
      <x:c r="B802" s="13" t="str">
        <x:v>Food &amp; Beverages</x:v>
      </x:c>
      <x:c r="C802" s="16" t="n">
        <x:v>17592.6774593315</x:v>
      </x:c>
      <x:c r="D802" s="16" t="n">
        <x:v>17799.1266554849</x:v>
      </x:c>
      <x:c r="E802" s="16" t="n">
        <x:v>206.4491961534</x:v>
      </x:c>
      <x:c r="F802" s="23" t="n">
        <x:v>4</x:v>
      </x:c>
    </x:row>
    <x:row r="803">
      <x:c r="A803" s="15" t="n">
        <x:v>41913</x:v>
      </x:c>
      <x:c r="B803" s="13" t="str">
        <x:v>Health Care</x:v>
      </x:c>
      <x:c r="C803" s="16" t="n">
        <x:v>845.9382817315</x:v>
      </x:c>
      <x:c r="D803" s="16" t="n">
        <x:v>869.8586738849</x:v>
      </x:c>
      <x:c r="E803" s="16" t="n">
        <x:v>23.9203921534</x:v>
      </x:c>
      <x:c r="F803" s="23" t="n">
        <x:v>2</x:v>
      </x:c>
    </x:row>
    <x:row r="804">
      <x:c r="A804" s="15" t="n">
        <x:v>41913</x:v>
      </x:c>
      <x:c r="B804" s="13" t="str">
        <x:v>Homebuilders</x:v>
      </x:c>
      <x:c r="C804" s="16" t="n">
        <x:v>1759.0801119726</x:v>
      </x:c>
      <x:c r="D804" s="16" t="n">
        <x:v>1543.8519910027</x:v>
      </x:c>
      <x:c r="E804" s="16" t="n">
        <x:v>-215.2281209699</x:v>
      </x:c>
      <x:c r="F804" s="23" t="n">
        <x:v>6</x:v>
      </x:c>
    </x:row>
    <x:row r="805">
      <x:c r="A805" s="15" t="n">
        <x:v>41913</x:v>
      </x:c>
      <x:c r="B805" s="13" t="str">
        <x:v>Income Properties</x:v>
      </x:c>
      <x:c r="C805" s="16" t="n">
        <x:v>762.4854130849</x:v>
      </x:c>
      <x:c r="D805" s="16" t="n">
        <x:v>752.1545577205</x:v>
      </x:c>
      <x:c r="E805" s="16" t="n">
        <x:v>-10.3308553644</x:v>
      </x:c>
      <x:c r="F805" s="23" t="n">
        <x:v>2</x:v>
      </x:c>
    </x:row>
    <x:row r="806">
      <x:c r="A806" s="15" t="n">
        <x:v>41913</x:v>
      </x:c>
      <x:c r="B806" s="13" t="str">
        <x:v>Metals &amp; Mining</x:v>
      </x:c>
      <x:c r="C806" s="16" t="n">
        <x:v>25587.2677616219</x:v>
      </x:c>
      <x:c r="D806" s="16" t="n">
        <x:v>19249.210029852</x:v>
      </x:c>
      <x:c r="E806" s="16" t="n">
        <x:v>-6338.0577317698</x:v>
      </x:c>
      <x:c r="F806" s="23" t="n">
        <x:v>6</x:v>
      </x:c>
    </x:row>
    <x:row r="807">
      <x:c r="A807" s="15" t="n">
        <x:v>41913</x:v>
      </x:c>
      <x:c r="B807" s="13" t="str">
        <x:v>Oil, Gas &amp; Petrochemicals</x:v>
      </x:c>
      <x:c r="C807" s="16" t="n">
        <x:v>32561.0088977534</x:v>
      </x:c>
      <x:c r="D807" s="16" t="n">
        <x:v>31965.8068262575</x:v>
      </x:c>
      <x:c r="E807" s="16" t="n">
        <x:v>-595.2020714959</x:v>
      </x:c>
      <x:c r="F807" s="23" t="n">
        <x:v>4</x:v>
      </x:c>
    </x:row>
    <x:row r="808">
      <x:c r="A808" s="15" t="n">
        <x:v>41913</x:v>
      </x:c>
      <x:c r="B808" s="13" t="str">
        <x:v>Pulp &amp; Paper</x:v>
      </x:c>
      <x:c r="C808" s="16" t="n">
        <x:v>2060.8601663123</x:v>
      </x:c>
      <x:c r="D808" s="16" t="n">
        <x:v>2004.986495737</x:v>
      </x:c>
      <x:c r="E808" s="16" t="n">
        <x:v>-55.8736705753</x:v>
      </x:c>
      <x:c r="F808" s="23" t="n">
        <x:v>4</x:v>
      </x:c>
    </x:row>
    <x:row r="809">
      <x:c r="A809" s="15" t="n">
        <x:v>41913</x:v>
      </x:c>
      <x:c r="B809" s="13" t="str">
        <x:v>Retail</x:v>
      </x:c>
      <x:c r="C809" s="16" t="n">
        <x:v>3967.782745863</x:v>
      </x:c>
      <x:c r="D809" s="16" t="n">
        <x:v>4107.0426954521</x:v>
      </x:c>
      <x:c r="E809" s="16" t="n">
        <x:v>139.259949589</x:v>
      </x:c>
      <x:c r="F809" s="23" t="n">
        <x:v>5</x:v>
      </x:c>
    </x:row>
    <x:row r="810">
      <x:c r="A810" s="15" t="n">
        <x:v>41913</x:v>
      </x:c>
      <x:c r="B810" s="13" t="str">
        <x:v>Sanitation</x:v>
      </x:c>
      <x:c r="C810" s="16" t="n">
        <x:v>1588.1061814356</x:v>
      </x:c>
      <x:c r="D810" s="16" t="n">
        <x:v>1657.7497880548</x:v>
      </x:c>
      <x:c r="E810" s="16" t="n">
        <x:v>69.6436066192</x:v>
      </x:c>
      <x:c r="F810" s="23" t="n">
        <x:v>1</x:v>
      </x:c>
    </x:row>
    <x:row r="811">
      <x:c r="A811" s="15" t="n">
        <x:v>41913</x:v>
      </x:c>
      <x:c r="B811" s="13" t="str">
        <x:v>TMT</x:v>
      </x:c>
      <x:c r="C811" s="16" t="n">
        <x:v>5612.9497489534</x:v>
      </x:c>
      <x:c r="D811" s="16" t="n">
        <x:v>5650.5141823123</x:v>
      </x:c>
      <x:c r="E811" s="16" t="n">
        <x:v>37.5644333589</x:v>
      </x:c>
      <x:c r="F811" s="23" t="n">
        <x:v>3</x:v>
      </x:c>
    </x:row>
    <x:row r="812">
      <x:c r="A812" s="15" t="n">
        <x:v>41913</x:v>
      </x:c>
      <x:c r="B812" s="13" t="str">
        <x:v>Transportation</x:v>
      </x:c>
      <x:c r="C812" s="16" t="n">
        <x:v>2864.3041593425</x:v>
      </x:c>
      <x:c r="D812" s="16" t="n">
        <x:v>2747.3907947397</x:v>
      </x:c>
      <x:c r="E812" s="16" t="n">
        <x:v>-116.9133646027</x:v>
      </x:c>
      <x:c r="F812" s="23" t="n">
        <x:v>5</x:v>
      </x:c>
    </x:row>
    <x:row r="813">
      <x:c r="A813" s="15" t="n">
        <x:v>41913</x:v>
      </x:c>
      <x:c r="B813" s="13" t="str">
        <x:v>Utilities &amp; Energy</x:v>
      </x:c>
      <x:c r="C813" s="16" t="n">
        <x:v>12955.2637180932</x:v>
      </x:c>
      <x:c r="D813" s="16" t="n">
        <x:v>11274.3362714301</x:v>
      </x:c>
      <x:c r="E813" s="16" t="n">
        <x:v>-1680.927446663</x:v>
      </x:c>
      <x:c r="F813" s="23" t="n">
        <x:v>10</x:v>
      </x:c>
    </x:row>
    <x:row r="814">
      <x:c r="A814" s="15" t="n">
        <x:v>41944</x:v>
      </x:c>
      <x:c r="B814" s="13" t="str">
        <x:v>Banks</x:v>
      </x:c>
      <x:c r="C814" s="16" t="n">
        <x:v>69670.6719253042</x:v>
      </x:c>
      <x:c r="D814" s="16" t="n">
        <x:v>73121.3576430465</x:v>
      </x:c>
      <x:c r="E814" s="16" t="n">
        <x:v>3450.6857177423</x:v>
      </x:c>
      <x:c r="F814" s="23" t="n">
        <x:v>5</x:v>
      </x:c>
    </x:row>
    <x:row r="815">
      <x:c r="A815" s="15" t="n">
        <x:v>41944</x:v>
      </x:c>
      <x:c r="B815" s="13" t="str">
        <x:v>Capital Goods</x:v>
      </x:c>
      <x:c r="C815" s="16" t="n">
        <x:v>1102.874220011</x:v>
      </x:c>
      <x:c r="D815" s="16" t="n">
        <x:v>1254.0153393096</x:v>
      </x:c>
      <x:c r="E815" s="16" t="n">
        <x:v>151.1411192986</x:v>
      </x:c>
      <x:c r="F815" s="23" t="n">
        <x:v>1</x:v>
      </x:c>
    </x:row>
    <x:row r="816">
      <x:c r="A816" s="15" t="n">
        <x:v>41944</x:v>
      </x:c>
      <x:c r="B816" s="13" t="str">
        <x:v>Education</x:v>
      </x:c>
      <x:c r="C816" s="16" t="n">
        <x:v>1800.6568072767</x:v>
      </x:c>
      <x:c r="D816" s="16" t="n">
        <x:v>2158.9253935342</x:v>
      </x:c>
      <x:c r="E816" s="16" t="n">
        <x:v>358.2685862575</x:v>
      </x:c>
      <x:c r="F816" s="23" t="n">
        <x:v>2</x:v>
      </x:c>
    </x:row>
    <x:row r="817">
      <x:c r="A817" s="15" t="n">
        <x:v>41944</x:v>
      </x:c>
      <x:c r="B817" s="13" t="str">
        <x:v>Financials Non-Banks</x:v>
      </x:c>
      <x:c r="C817" s="16" t="n">
        <x:v>17054.3777306301</x:v>
      </x:c>
      <x:c r="D817" s="16" t="n">
        <x:v>17887.5639990356</x:v>
      </x:c>
      <x:c r="E817" s="16" t="n">
        <x:v>833.1862684055</x:v>
      </x:c>
      <x:c r="F817" s="23" t="n">
        <x:v>5</x:v>
      </x:c>
    </x:row>
    <x:row r="818">
      <x:c r="A818" s="15" t="n">
        <x:v>41944</x:v>
      </x:c>
      <x:c r="B818" s="13" t="str">
        <x:v>Food &amp; Beverages</x:v>
      </x:c>
      <x:c r="C818" s="16" t="n">
        <x:v>17477.2083171946</x:v>
      </x:c>
      <x:c r="D818" s="16" t="n">
        <x:v>18036.2093415452</x:v>
      </x:c>
      <x:c r="E818" s="16" t="n">
        <x:v>559.0010243506</x:v>
      </x:c>
      <x:c r="F818" s="23" t="n">
        <x:v>4</x:v>
      </x:c>
    </x:row>
    <x:row r="819">
      <x:c r="A819" s="15" t="n">
        <x:v>41944</x:v>
      </x:c>
      <x:c r="B819" s="13" t="str">
        <x:v>Health Care</x:v>
      </x:c>
      <x:c r="C819" s="16" t="n">
        <x:v>865.9672651397</x:v>
      </x:c>
      <x:c r="D819" s="16" t="n">
        <x:v>892.1894557808</x:v>
      </x:c>
      <x:c r="E819" s="16" t="n">
        <x:v>26.2221906411</x:v>
      </x:c>
      <x:c r="F819" s="23" t="n">
        <x:v>2</x:v>
      </x:c>
    </x:row>
    <x:row r="820">
      <x:c r="A820" s="15" t="n">
        <x:v>41944</x:v>
      </x:c>
      <x:c r="B820" s="13" t="str">
        <x:v>Homebuilders</x:v>
      </x:c>
      <x:c r="C820" s="16" t="n">
        <x:v>1708.1200248986</x:v>
      </x:c>
      <x:c r="D820" s="16" t="n">
        <x:v>1490.8176283616</x:v>
      </x:c>
      <x:c r="E820" s="16" t="n">
        <x:v>-217.302396537</x:v>
      </x:c>
      <x:c r="F820" s="23" t="n">
        <x:v>6</x:v>
      </x:c>
    </x:row>
    <x:row r="821">
      <x:c r="A821" s="15" t="n">
        <x:v>41944</x:v>
      </x:c>
      <x:c r="B821" s="13" t="str">
        <x:v>Income Properties</x:v>
      </x:c>
      <x:c r="C821" s="16" t="n">
        <x:v>783.1692820164</x:v>
      </x:c>
      <x:c r="D821" s="16" t="n">
        <x:v>733.5574701589</x:v>
      </x:c>
      <x:c r="E821" s="16" t="n">
        <x:v>-49.6118118575</x:v>
      </x:c>
      <x:c r="F821" s="23" t="n">
        <x:v>2</x:v>
      </x:c>
    </x:row>
    <x:row r="822">
      <x:c r="A822" s="15" t="n">
        <x:v>41944</x:v>
      </x:c>
      <x:c r="B822" s="13" t="str">
        <x:v>Metals &amp; Mining</x:v>
      </x:c>
      <x:c r="C822" s="16" t="n">
        <x:v>24597.8007739617</x:v>
      </x:c>
      <x:c r="D822" s="16" t="n">
        <x:v>17886.2407253918</x:v>
      </x:c>
      <x:c r="E822" s="16" t="n">
        <x:v>-6711.5600485699</x:v>
      </x:c>
      <x:c r="F822" s="23" t="n">
        <x:v>6</x:v>
      </x:c>
    </x:row>
    <x:row r="823">
      <x:c r="A823" s="15" t="n">
        <x:v>41944</x:v>
      </x:c>
      <x:c r="B823" s="13" t="str">
        <x:v>Oil, Gas &amp; Petrochemicals</x:v>
      </x:c>
      <x:c r="C823" s="16" t="n">
        <x:v>32777.1954894904</x:v>
      </x:c>
      <x:c r="D823" s="16" t="n">
        <x:v>31106.589368811</x:v>
      </x:c>
      <x:c r="E823" s="16" t="n">
        <x:v>-1670.6061206794</x:v>
      </x:c>
      <x:c r="F823" s="23" t="n">
        <x:v>4</x:v>
      </x:c>
    </x:row>
    <x:row r="824">
      <x:c r="A824" s="15" t="n">
        <x:v>41944</x:v>
      </x:c>
      <x:c r="B824" s="13" t="str">
        <x:v>Pulp &amp; Paper</x:v>
      </x:c>
      <x:c r="C824" s="16" t="n">
        <x:v>1950.8678795836</x:v>
      </x:c>
      <x:c r="D824" s="16" t="n">
        <x:v>2125.8655780164</x:v>
      </x:c>
      <x:c r="E824" s="16" t="n">
        <x:v>174.9976984329</x:v>
      </x:c>
      <x:c r="F824" s="23" t="n">
        <x:v>4</x:v>
      </x:c>
    </x:row>
    <x:row r="825">
      <x:c r="A825" s="15" t="n">
        <x:v>41944</x:v>
      </x:c>
      <x:c r="B825" s="13" t="str">
        <x:v>Retail</x:v>
      </x:c>
      <x:c r="C825" s="16" t="n">
        <x:v>4011.9695585315</x:v>
      </x:c>
      <x:c r="D825" s="16" t="n">
        <x:v>4127.1805711781</x:v>
      </x:c>
      <x:c r="E825" s="16" t="n">
        <x:v>115.2110126466</x:v>
      </x:c>
      <x:c r="F825" s="23" t="n">
        <x:v>5</x:v>
      </x:c>
    </x:row>
    <x:row r="826">
      <x:c r="A826" s="15" t="n">
        <x:v>41944</x:v>
      </x:c>
      <x:c r="B826" s="13" t="str">
        <x:v>Sanitation</x:v>
      </x:c>
      <x:c r="C826" s="16" t="n">
        <x:v>1597.5616438356</x:v>
      </x:c>
      <x:c r="D826" s="16" t="n">
        <x:v>1549.9631661589</x:v>
      </x:c>
      <x:c r="E826" s="16" t="n">
        <x:v>-47.5984776767</x:v>
      </x:c>
      <x:c r="F826" s="23" t="n">
        <x:v>1</x:v>
      </x:c>
    </x:row>
    <x:row r="827">
      <x:c r="A827" s="15" t="n">
        <x:v>41944</x:v>
      </x:c>
      <x:c r="B827" s="13" t="str">
        <x:v>TMT</x:v>
      </x:c>
      <x:c r="C827" s="16" t="n">
        <x:v>5578.0373773589</x:v>
      </x:c>
      <x:c r="D827" s="16" t="n">
        <x:v>5775.5195597151</x:v>
      </x:c>
      <x:c r="E827" s="16" t="n">
        <x:v>197.4821823562</x:v>
      </x:c>
      <x:c r="F827" s="23" t="n">
        <x:v>3</x:v>
      </x:c>
    </x:row>
    <x:row r="828">
      <x:c r="A828" s="15" t="n">
        <x:v>41944</x:v>
      </x:c>
      <x:c r="B828" s="13" t="str">
        <x:v>Transportation</x:v>
      </x:c>
      <x:c r="C828" s="16" t="n">
        <x:v>2837.5121713753</x:v>
      </x:c>
      <x:c r="D828" s="16" t="n">
        <x:v>2608.3727403397</x:v>
      </x:c>
      <x:c r="E828" s="16" t="n">
        <x:v>-229.1394310356</x:v>
      </x:c>
      <x:c r="F828" s="23" t="n">
        <x:v>5</x:v>
      </x:c>
    </x:row>
    <x:row r="829">
      <x:c r="A829" s="15" t="n">
        <x:v>41944</x:v>
      </x:c>
      <x:c r="B829" s="13" t="str">
        <x:v>Utilities &amp; Energy</x:v>
      </x:c>
      <x:c r="C829" s="16" t="n">
        <x:v>12741.9325654685</x:v>
      </x:c>
      <x:c r="D829" s="16" t="n">
        <x:v>10906.1059144767</x:v>
      </x:c>
      <x:c r="E829" s="16" t="n">
        <x:v>-1835.8266509918</x:v>
      </x:c>
      <x:c r="F829" s="23" t="n">
        <x:v>10</x:v>
      </x:c>
    </x:row>
    <x:row r="830">
      <x:c r="A830" s="15" t="n">
        <x:v>41974</x:v>
      </x:c>
      <x:c r="B830" s="13" t="str">
        <x:v>Banks</x:v>
      </x:c>
      <x:c r="C830" s="16" t="n">
        <x:v>71091.5903095232</x:v>
      </x:c>
      <x:c r="D830" s="16" t="n">
        <x:v>74193.699328</x:v>
      </x:c>
      <x:c r="E830" s="16" t="n">
        <x:v>3102.1090184768</x:v>
      </x:c>
      <x:c r="F830" s="23" t="n">
        <x:v>5</x:v>
      </x:c>
    </x:row>
    <x:row r="831">
      <x:c r="A831" s="15" t="n">
        <x:v>41974</x:v>
      </x:c>
      <x:c r="B831" s="13" t="str">
        <x:v>Capital Goods</x:v>
      </x:c>
      <x:c r="C831" s="16" t="n">
        <x:v>1421.9562313644</x:v>
      </x:c>
      <x:c r="D831" s="16" t="n">
        <x:v>1534.415008</x:v>
      </x:c>
      <x:c r="E831" s="16" t="n">
        <x:v>112.4587766356</x:v>
      </x:c>
      <x:c r="F831" s="23" t="n">
        <x:v>2</x:v>
      </x:c>
    </x:row>
    <x:row r="832">
      <x:c r="A832" s="15" t="n">
        <x:v>41974</x:v>
      </x:c>
      <x:c r="B832" s="13" t="str">
        <x:v>Education</x:v>
      </x:c>
      <x:c r="C832" s="16" t="n">
        <x:v>1983.6250767781</x:v>
      </x:c>
      <x:c r="D832" s="16" t="n">
        <x:v>2210.052992</x:v>
      </x:c>
      <x:c r="E832" s="16" t="n">
        <x:v>226.4279152219</x:v>
      </x:c>
      <x:c r="F832" s="23" t="n">
        <x:v>2</x:v>
      </x:c>
    </x:row>
    <x:row r="833">
      <x:c r="A833" s="15" t="n">
        <x:v>41974</x:v>
      </x:c>
      <x:c r="B833" s="13" t="str">
        <x:v>Financials Non-Banks</x:v>
      </x:c>
      <x:c r="C833" s="16" t="n">
        <x:v>17473.5313292274</x:v>
      </x:c>
      <x:c r="D833" s="16" t="n">
        <x:v>17848.766112</x:v>
      </x:c>
      <x:c r="E833" s="16" t="n">
        <x:v>375.2347827726</x:v>
      </x:c>
      <x:c r="F833" s="23" t="n">
        <x:v>5</x:v>
      </x:c>
    </x:row>
    <x:row r="834">
      <x:c r="A834" s="15" t="n">
        <x:v>41974</x:v>
      </x:c>
      <x:c r="B834" s="13" t="str">
        <x:v>Food &amp; Beverages</x:v>
      </x:c>
      <x:c r="C834" s="16" t="n">
        <x:v>17638.8290783123</x:v>
      </x:c>
      <x:c r="D834" s="16" t="n">
        <x:v>18159.670144</x:v>
      </x:c>
      <x:c r="E834" s="16" t="n">
        <x:v>520.8410656877</x:v>
      </x:c>
      <x:c r="F834" s="23" t="n">
        <x:v>4</x:v>
      </x:c>
    </x:row>
    <x:row r="835">
      <x:c r="A835" s="15" t="n">
        <x:v>41974</x:v>
      </x:c>
      <x:c r="B835" s="13" t="str">
        <x:v>Health Care</x:v>
      </x:c>
      <x:c r="C835" s="16" t="n">
        <x:v>878.4080604932</x:v>
      </x:c>
      <x:c r="D835" s="16" t="n">
        <x:v>923.403968</x:v>
      </x:c>
      <x:c r="E835" s="16" t="n">
        <x:v>44.9959075069</x:v>
      </x:c>
      <x:c r="F835" s="23" t="n">
        <x:v>2</x:v>
      </x:c>
    </x:row>
    <x:row r="836">
      <x:c r="A836" s="15" t="n">
        <x:v>41974</x:v>
      </x:c>
      <x:c r="B836" s="13" t="str">
        <x:v>Homebuilders</x:v>
      </x:c>
      <x:c r="C836" s="16" t="n">
        <x:v>1758.6313481644</x:v>
      </x:c>
      <x:c r="D836" s="16" t="n">
        <x:v>1476.2048</x:v>
      </x:c>
      <x:c r="E836" s="16" t="n">
        <x:v>-282.4265481644</x:v>
      </x:c>
      <x:c r="F836" s="23" t="n">
        <x:v>6</x:v>
      </x:c>
    </x:row>
    <x:row r="837">
      <x:c r="A837" s="15" t="n">
        <x:v>41974</x:v>
      </x:c>
      <x:c r="B837" s="13" t="str">
        <x:v>Income Properties</x:v>
      </x:c>
      <x:c r="C837" s="16" t="n">
        <x:v>773.0797493918</x:v>
      </x:c>
      <x:c r="D837" s="16" t="n">
        <x:v>674.958016</x:v>
      </x:c>
      <x:c r="E837" s="16" t="n">
        <x:v>-98.1217333918</x:v>
      </x:c>
      <x:c r="F837" s="23" t="n">
        <x:v>2</x:v>
      </x:c>
    </x:row>
    <x:row r="838">
      <x:c r="A838" s="15" t="n">
        <x:v>41974</x:v>
      </x:c>
      <x:c r="B838" s="13" t="str">
        <x:v>Metals &amp; Mining</x:v>
      </x:c>
      <x:c r="C838" s="16" t="n">
        <x:v>23478.8965184</x:v>
      </x:c>
      <x:c r="D838" s="16" t="n">
        <x:v>14554.771248</x:v>
      </x:c>
      <x:c r="E838" s="16" t="n">
        <x:v>-8924.1252704</x:v>
      </x:c>
      <x:c r="F838" s="23" t="n">
        <x:v>6</x:v>
      </x:c>
    </x:row>
    <x:row r="839">
      <x:c r="A839" s="15" t="n">
        <x:v>41974</x:v>
      </x:c>
      <x:c r="B839" s="13" t="str">
        <x:v>Oil, Gas &amp; Petrochemicals</x:v>
      </x:c>
      <x:c r="C839" s="16" t="n">
        <x:v>33280.9422023891</x:v>
      </x:c>
      <x:c r="D839" s="16" t="n">
        <x:v>27478.50048</x:v>
      </x:c>
      <x:c r="E839" s="16" t="n">
        <x:v>-5802.4417223891</x:v>
      </x:c>
      <x:c r="F839" s="23" t="n">
        <x:v>4</x:v>
      </x:c>
    </x:row>
    <x:row r="840">
      <x:c r="A840" s="15" t="n">
        <x:v>41974</x:v>
      </x:c>
      <x:c r="B840" s="13" t="str">
        <x:v>Pulp &amp; Paper</x:v>
      </x:c>
      <x:c r="C840" s="16" t="n">
        <x:v>1954.7957035397</x:v>
      </x:c>
      <x:c r="D840" s="16" t="n">
        <x:v>2171.261984</x:v>
      </x:c>
      <x:c r="E840" s="16" t="n">
        <x:v>216.4662804603</x:v>
      </x:c>
      <x:c r="F840" s="23" t="n">
        <x:v>4</x:v>
      </x:c>
    </x:row>
    <x:row r="841">
      <x:c r="A841" s="15" t="n">
        <x:v>41974</x:v>
      </x:c>
      <x:c r="B841" s="13" t="str">
        <x:v>Retail</x:v>
      </x:c>
      <x:c r="C841" s="16" t="n">
        <x:v>4026.9041265973</x:v>
      </x:c>
      <x:c r="D841" s="16" t="n">
        <x:v>4132.807936</x:v>
      </x:c>
      <x:c r="E841" s="16" t="n">
        <x:v>105.9038094027</x:v>
      </x:c>
      <x:c r="F841" s="23" t="n">
        <x:v>5</x:v>
      </x:c>
    </x:row>
    <x:row r="842">
      <x:c r="A842" s="15" t="n">
        <x:v>41974</x:v>
      </x:c>
      <x:c r="B842" s="13" t="str">
        <x:v>Sanitation</x:v>
      </x:c>
      <x:c r="C842" s="16" t="n">
        <x:v>1636.7424154301</x:v>
      </x:c>
      <x:c r="D842" s="16" t="n">
        <x:v>1379.139968</x:v>
      </x:c>
      <x:c r="E842" s="16" t="n">
        <x:v>-257.6024474301</x:v>
      </x:c>
      <x:c r="F842" s="23" t="n">
        <x:v>1</x:v>
      </x:c>
    </x:row>
    <x:row r="843">
      <x:c r="A843" s="15" t="n">
        <x:v>41974</x:v>
      </x:c>
      <x:c r="B843" s="13" t="str">
        <x:v>TMT</x:v>
      </x:c>
      <x:c r="C843" s="16" t="n">
        <x:v>5645.6134684055</x:v>
      </x:c>
      <x:c r="D843" s="16" t="n">
        <x:v>6013.210016</x:v>
      </x:c>
      <x:c r="E843" s="16" t="n">
        <x:v>367.5965475945</x:v>
      </x:c>
      <x:c r="F843" s="23" t="n">
        <x:v>3</x:v>
      </x:c>
    </x:row>
    <x:row r="844">
      <x:c r="A844" s="15" t="n">
        <x:v>41974</x:v>
      </x:c>
      <x:c r="B844" s="13" t="str">
        <x:v>Transportation</x:v>
      </x:c>
      <x:c r="C844" s="16" t="n">
        <x:v>2738.8635940822</x:v>
      </x:c>
      <x:c r="D844" s="16" t="n">
        <x:v>2627.645808</x:v>
      </x:c>
      <x:c r="E844" s="16" t="n">
        <x:v>-111.2177860822</x:v>
      </x:c>
      <x:c r="F844" s="23" t="n">
        <x:v>5</x:v>
      </x:c>
    </x:row>
    <x:row r="845">
      <x:c r="A845" s="15" t="n">
        <x:v>41974</x:v>
      </x:c>
      <x:c r="B845" s="13" t="str">
        <x:v>Utilities &amp; Energy</x:v>
      </x:c>
      <x:c r="C845" s="16" t="n">
        <x:v>11818.9169070027</x:v>
      </x:c>
      <x:c r="D845" s="16" t="n">
        <x:v>8166.36068</x:v>
      </x:c>
      <x:c r="E845" s="16" t="n">
        <x:v>-3652.5562270027</x:v>
      </x:c>
      <x:c r="F845" s="23" t="n">
        <x:v>10</x:v>
      </x:c>
    </x:row>
    <x:row r="846">
      <x:c r="A846" s="15" t="n">
        <x:v>42005</x:v>
      </x:c>
      <x:c r="B846" s="13" t="str">
        <x:v>Banks</x:v>
      </x:c>
      <x:c r="C846" s="16" t="n">
        <x:v>72244.1823119781</x:v>
      </x:c>
      <x:c r="D846" s="16" t="n">
        <x:v>75209.026455082</x:v>
      </x:c>
      <x:c r="E846" s="16" t="n">
        <x:v>2964.8441431039</x:v>
      </x:c>
      <x:c r="F846" s="23" t="n">
        <x:v>5</x:v>
      </x:c>
    </x:row>
    <x:row r="847">
      <x:c r="A847" s="15" t="n">
        <x:v>42005</x:v>
      </x:c>
      <x:c r="B847" s="13" t="str">
        <x:v>Capital Goods</x:v>
      </x:c>
      <x:c r="C847" s="16" t="n">
        <x:v>1489.938956011</x:v>
      </x:c>
      <x:c r="D847" s="16" t="n">
        <x:v>1526.9509060109</x:v>
      </x:c>
      <x:c r="E847" s="16" t="n">
        <x:v>37.01195</x:v>
      </x:c>
      <x:c r="F847" s="23" t="n">
        <x:v>2</x:v>
      </x:c>
    </x:row>
    <x:row r="848">
      <x:c r="A848" s="15" t="n">
        <x:v>42005</x:v>
      </x:c>
      <x:c r="B848" s="13" t="str">
        <x:v>Education</x:v>
      </x:c>
      <x:c r="C848" s="16" t="n">
        <x:v>2058.6478716493</x:v>
      </x:c>
      <x:c r="D848" s="16" t="n">
        <x:v>2281.1623783169</x:v>
      </x:c>
      <x:c r="E848" s="16" t="n">
        <x:v>222.5145066676</x:v>
      </x:c>
      <x:c r="F848" s="23" t="n">
        <x:v>2</x:v>
      </x:c>
    </x:row>
    <x:row r="849">
      <x:c r="A849" s="15" t="n">
        <x:v>42005</x:v>
      </x:c>
      <x:c r="B849" s="13" t="str">
        <x:v>Financials Non-Banks</x:v>
      </x:c>
      <x:c r="C849" s="16" t="n">
        <x:v>17958.4644433534</x:v>
      </x:c>
      <x:c r="D849" s="16" t="n">
        <x:v>17926.2352606776</x:v>
      </x:c>
      <x:c r="E849" s="16" t="n">
        <x:v>-32.2291826758</x:v>
      </x:c>
      <x:c r="F849" s="23" t="n">
        <x:v>5</x:v>
      </x:c>
    </x:row>
    <x:row r="850">
      <x:c r="A850" s="15" t="n">
        <x:v>42005</x:v>
      </x:c>
      <x:c r="B850" s="13" t="str">
        <x:v>Food &amp; Beverages</x:v>
      </x:c>
      <x:c r="C850" s="16" t="n">
        <x:v>17799.1266554849</x:v>
      </x:c>
      <x:c r="D850" s="16" t="n">
        <x:v>18142.496882623</x:v>
      </x:c>
      <x:c r="E850" s="16" t="n">
        <x:v>343.3702271381</x:v>
      </x:c>
      <x:c r="F850" s="23" t="n">
        <x:v>4</x:v>
      </x:c>
    </x:row>
    <x:row r="851">
      <x:c r="A851" s="15" t="n">
        <x:v>42005</x:v>
      </x:c>
      <x:c r="B851" s="13" t="str">
        <x:v>Health Care</x:v>
      </x:c>
      <x:c r="C851" s="16" t="n">
        <x:v>869.8586738849</x:v>
      </x:c>
      <x:c r="D851" s="16" t="n">
        <x:v>936.6597503825</x:v>
      </x:c>
      <x:c r="E851" s="16" t="n">
        <x:v>66.8010764976</x:v>
      </x:c>
      <x:c r="F851" s="23" t="n">
        <x:v>2</x:v>
      </x:c>
    </x:row>
    <x:row r="852">
      <x:c r="A852" s="15" t="n">
        <x:v>42005</x:v>
      </x:c>
      <x:c r="B852" s="13" t="str">
        <x:v>Homebuilders</x:v>
      </x:c>
      <x:c r="C852" s="16" t="n">
        <x:v>1567.0678301808</x:v>
      </x:c>
      <x:c r="D852" s="16" t="n">
        <x:v>1455.6748745574</x:v>
      </x:c>
      <x:c r="E852" s="16" t="n">
        <x:v>-111.3929556234</x:v>
      </x:c>
      <x:c r="F852" s="23" t="n">
        <x:v>5</x:v>
      </x:c>
    </x:row>
    <x:row r="853">
      <x:c r="A853" s="15" t="n">
        <x:v>42005</x:v>
      </x:c>
      <x:c r="B853" s="13" t="str">
        <x:v>Income Properties</x:v>
      </x:c>
      <x:c r="C853" s="16" t="n">
        <x:v>752.1545577205</x:v>
      </x:c>
      <x:c r="D853" s="16" t="n">
        <x:v>667.1606354536</x:v>
      </x:c>
      <x:c r="E853" s="16" t="n">
        <x:v>-84.993922267</x:v>
      </x:c>
      <x:c r="F853" s="23" t="n">
        <x:v>2</x:v>
      </x:c>
    </x:row>
    <x:row r="854">
      <x:c r="A854" s="15" t="n">
        <x:v>42005</x:v>
      </x:c>
      <x:c r="B854" s="13" t="str">
        <x:v>Metals &amp; Mining</x:v>
      </x:c>
      <x:c r="C854" s="16" t="n">
        <x:v>19249.210029852</x:v>
      </x:c>
      <x:c r="D854" s="16" t="n">
        <x:v>11822.0928020984</x:v>
      </x:c>
      <x:c r="E854" s="16" t="n">
        <x:v>-7427.1172277537</x:v>
      </x:c>
      <x:c r="F854" s="23" t="n">
        <x:v>6</x:v>
      </x:c>
    </x:row>
    <x:row r="855">
      <x:c r="A855" s="15" t="n">
        <x:v>42005</x:v>
      </x:c>
      <x:c r="B855" s="13" t="str">
        <x:v>Oil, Gas &amp; Petrochemicals</x:v>
      </x:c>
      <x:c r="C855" s="16" t="n">
        <x:v>31965.8068262575</x:v>
      </x:c>
      <x:c r="D855" s="16" t="n">
        <x:v>23738.774056918</x:v>
      </x:c>
      <x:c r="E855" s="16" t="n">
        <x:v>-8227.0327693395</x:v>
      </x:c>
      <x:c r="F855" s="23" t="n">
        <x:v>4</x:v>
      </x:c>
    </x:row>
    <x:row r="856">
      <x:c r="A856" s="15" t="n">
        <x:v>42005</x:v>
      </x:c>
      <x:c r="B856" s="13" t="str">
        <x:v>Pulp &amp; Paper</x:v>
      </x:c>
      <x:c r="C856" s="16" t="n">
        <x:v>2004.986495737</x:v>
      </x:c>
      <x:c r="D856" s="16" t="n">
        <x:v>2133.6506567869</x:v>
      </x:c>
      <x:c r="E856" s="16" t="n">
        <x:v>128.6641610499</x:v>
      </x:c>
      <x:c r="F856" s="23" t="n">
        <x:v>4</x:v>
      </x:c>
    </x:row>
    <x:row r="857">
      <x:c r="A857" s="15" t="n">
        <x:v>42005</x:v>
      </x:c>
      <x:c r="B857" s="13" t="str">
        <x:v>Retail</x:v>
      </x:c>
      <x:c r="C857" s="16" t="n">
        <x:v>4107.0426954521</x:v>
      </x:c>
      <x:c r="D857" s="16" t="n">
        <x:v>4043.7533982951</x:v>
      </x:c>
      <x:c r="E857" s="16" t="n">
        <x:v>-63.289297157</x:v>
      </x:c>
      <x:c r="F857" s="23" t="n">
        <x:v>5</x:v>
      </x:c>
    </x:row>
    <x:row r="858">
      <x:c r="A858" s="15" t="n">
        <x:v>42005</x:v>
      </x:c>
      <x:c r="B858" s="13" t="str">
        <x:v>Sanitation</x:v>
      </x:c>
      <x:c r="C858" s="16" t="n">
        <x:v>1657.7497880548</x:v>
      </x:c>
      <x:c r="D858" s="16" t="n">
        <x:v>1074.9059668634</x:v>
      </x:c>
      <x:c r="E858" s="16" t="n">
        <x:v>-582.8438211914</x:v>
      </x:c>
      <x:c r="F858" s="23" t="n">
        <x:v>1</x:v>
      </x:c>
    </x:row>
    <x:row r="859">
      <x:c r="A859" s="15" t="n">
        <x:v>42005</x:v>
      </x:c>
      <x:c r="B859" s="13" t="str">
        <x:v>TMT</x:v>
      </x:c>
      <x:c r="C859" s="16" t="n">
        <x:v>5650.5141823123</x:v>
      </x:c>
      <x:c r="D859" s="16" t="n">
        <x:v>5939.7016701202</x:v>
      </x:c>
      <x:c r="E859" s="16" t="n">
        <x:v>289.1874878079</x:v>
      </x:c>
      <x:c r="F859" s="23" t="n">
        <x:v>3</x:v>
      </x:c>
    </x:row>
    <x:row r="860">
      <x:c r="A860" s="15" t="n">
        <x:v>42005</x:v>
      </x:c>
      <x:c r="B860" s="13" t="str">
        <x:v>Transportation</x:v>
      </x:c>
      <x:c r="C860" s="16" t="n">
        <x:v>2747.3907947397</x:v>
      </x:c>
      <x:c r="D860" s="16" t="n">
        <x:v>2589.2957973552</x:v>
      </x:c>
      <x:c r="E860" s="16" t="n">
        <x:v>-158.0949973845</x:v>
      </x:c>
      <x:c r="F860" s="23" t="n">
        <x:v>5</x:v>
      </x:c>
    </x:row>
    <x:row r="861">
      <x:c r="A861" s="15" t="n">
        <x:v>42005</x:v>
      </x:c>
      <x:c r="B861" s="13" t="str">
        <x:v>Utilities &amp; Energy</x:v>
      </x:c>
      <x:c r="C861" s="16" t="n">
        <x:v>11289.634315748</x:v>
      </x:c>
      <x:c r="D861" s="16" t="n">
        <x:v>7296.3556010492</x:v>
      </x:c>
      <x:c r="E861" s="16" t="n">
        <x:v>-3993.2787146988</x:v>
      </x:c>
      <x:c r="F861" s="23" t="n">
        <x:v>9</x:v>
      </x:c>
    </x:row>
    <x:row r="862">
      <x:c r="A862" s="15" t="n">
        <x:v>42036</x:v>
      </x:c>
      <x:c r="B862" s="13" t="str">
        <x:v>Banks</x:v>
      </x:c>
      <x:c r="C862" s="16" t="n">
        <x:v>73121.3576430465</x:v>
      </x:c>
      <x:c r="D862" s="16" t="n">
        <x:v>75989.4628945138</x:v>
      </x:c>
      <x:c r="E862" s="16" t="n">
        <x:v>2868.1052514673</x:v>
      </x:c>
      <x:c r="F862" s="23" t="n">
        <x:v>5</x:v>
      </x:c>
    </x:row>
    <x:row r="863">
      <x:c r="A863" s="15" t="n">
        <x:v>42036</x:v>
      </x:c>
      <x:c r="B863" s="13" t="str">
        <x:v>Capital Goods</x:v>
      </x:c>
      <x:c r="C863" s="16" t="n">
        <x:v>1524.5681411068</x:v>
      </x:c>
      <x:c r="D863" s="16" t="n">
        <x:v>1568.889079388</x:v>
      </x:c>
      <x:c r="E863" s="16" t="n">
        <x:v>44.3209382811</x:v>
      </x:c>
      <x:c r="F863" s="23" t="n">
        <x:v>2</x:v>
      </x:c>
    </x:row>
    <x:row r="864">
      <x:c r="A864" s="15" t="n">
        <x:v>42036</x:v>
      </x:c>
      <x:c r="B864" s="13" t="str">
        <x:v>Education</x:v>
      </x:c>
      <x:c r="C864" s="16" t="n">
        <x:v>2158.9253935342</x:v>
      </x:c>
      <x:c r="D864" s="16" t="n">
        <x:v>2251.0049918251</x:v>
      </x:c>
      <x:c r="E864" s="16" t="n">
        <x:v>92.0795982909</x:v>
      </x:c>
      <x:c r="F864" s="23" t="n">
        <x:v>2</x:v>
      </x:c>
    </x:row>
    <x:row r="865">
      <x:c r="A865" s="15" t="n">
        <x:v>42036</x:v>
      </x:c>
      <x:c r="B865" s="13" t="str">
        <x:v>Financials Non-Banks</x:v>
      </x:c>
      <x:c r="C865" s="16" t="n">
        <x:v>17887.5639990356</x:v>
      </x:c>
      <x:c r="D865" s="16" t="n">
        <x:v>18155.8699850492</x:v>
      </x:c>
      <x:c r="E865" s="16" t="n">
        <x:v>268.3059860136</x:v>
      </x:c>
      <x:c r="F865" s="23" t="n">
        <x:v>5</x:v>
      </x:c>
    </x:row>
    <x:row r="866">
      <x:c r="A866" s="15" t="n">
        <x:v>42036</x:v>
      </x:c>
      <x:c r="B866" s="13" t="str">
        <x:v>Food &amp; Beverages</x:v>
      </x:c>
      <x:c r="C866" s="16" t="n">
        <x:v>18036.2093415452</x:v>
      </x:c>
      <x:c r="D866" s="16" t="n">
        <x:v>18276.7122180546</x:v>
      </x:c>
      <x:c r="E866" s="16" t="n">
        <x:v>240.5028765094</x:v>
      </x:c>
      <x:c r="F866" s="23" t="n">
        <x:v>4</x:v>
      </x:c>
    </x:row>
    <x:row r="867">
      <x:c r="A867" s="15" t="n">
        <x:v>42036</x:v>
      </x:c>
      <x:c r="B867" s="13" t="str">
        <x:v>Health Care</x:v>
      </x:c>
      <x:c r="C867" s="16" t="n">
        <x:v>892.1894557808</x:v>
      </x:c>
      <x:c r="D867" s="16" t="n">
        <x:v>955.0903060109</x:v>
      </x:c>
      <x:c r="E867" s="16" t="n">
        <x:v>62.9008502301</x:v>
      </x:c>
      <x:c r="F867" s="23" t="n">
        <x:v>2</x:v>
      </x:c>
    </x:row>
    <x:row r="868">
      <x:c r="A868" s="15" t="n">
        <x:v>42036</x:v>
      </x:c>
      <x:c r="B868" s="13" t="str">
        <x:v>Homebuilders</x:v>
      </x:c>
      <x:c r="C868" s="16" t="n">
        <x:v>1534.1281763068</x:v>
      </x:c>
      <x:c r="D868" s="16" t="n">
        <x:v>1377.500063541</x:v>
      </x:c>
      <x:c r="E868" s="16" t="n">
        <x:v>-156.6281127659</x:v>
      </x:c>
      <x:c r="F868" s="23" t="n">
        <x:v>5</x:v>
      </x:c>
    </x:row>
    <x:row r="869">
      <x:c r="A869" s="15" t="n">
        <x:v>42036</x:v>
      </x:c>
      <x:c r="B869" s="13" t="str">
        <x:v>Income Properties</x:v>
      </x:c>
      <x:c r="C869" s="16" t="n">
        <x:v>733.5574701589</x:v>
      </x:c>
      <x:c r="D869" s="16" t="n">
        <x:v>676.7473672131</x:v>
      </x:c>
      <x:c r="E869" s="16" t="n">
        <x:v>-56.8101029458</x:v>
      </x:c>
      <x:c r="F869" s="23" t="n">
        <x:v>2</x:v>
      </x:c>
    </x:row>
    <x:row r="870">
      <x:c r="A870" s="15" t="n">
        <x:v>42036</x:v>
      </x:c>
      <x:c r="B870" s="13" t="str">
        <x:v>Metals &amp; Mining</x:v>
      </x:c>
      <x:c r="C870" s="16" t="n">
        <x:v>17886.2407253918</x:v>
      </x:c>
      <x:c r="D870" s="16" t="n">
        <x:v>10351.9644678907</x:v>
      </x:c>
      <x:c r="E870" s="16" t="n">
        <x:v>-7534.2762575011</x:v>
      </x:c>
      <x:c r="F870" s="23" t="n">
        <x:v>6</x:v>
      </x:c>
    </x:row>
    <x:row r="871">
      <x:c r="A871" s="15" t="n">
        <x:v>42036</x:v>
      </x:c>
      <x:c r="B871" s="13" t="str">
        <x:v>Oil, Gas &amp; Petrochemicals</x:v>
      </x:c>
      <x:c r="C871" s="16" t="n">
        <x:v>31106.589368811</x:v>
      </x:c>
      <x:c r="D871" s="16" t="n">
        <x:v>23248.8931598688</x:v>
      </x:c>
      <x:c r="E871" s="16" t="n">
        <x:v>-7857.6962089422</x:v>
      </x:c>
      <x:c r="F871" s="23" t="n">
        <x:v>4</x:v>
      </x:c>
    </x:row>
    <x:row r="872">
      <x:c r="A872" s="15" t="n">
        <x:v>42036</x:v>
      </x:c>
      <x:c r="B872" s="13" t="str">
        <x:v>Pulp &amp; Paper</x:v>
      </x:c>
      <x:c r="C872" s="16" t="n">
        <x:v>2125.8655780164</x:v>
      </x:c>
      <x:c r="D872" s="16" t="n">
        <x:v>1949.8839544481</x:v>
      </x:c>
      <x:c r="E872" s="16" t="n">
        <x:v>-175.9816235684</x:v>
      </x:c>
      <x:c r="F872" s="23" t="n">
        <x:v>4</x:v>
      </x:c>
    </x:row>
    <x:row r="873">
      <x:c r="A873" s="15" t="n">
        <x:v>42036</x:v>
      </x:c>
      <x:c r="B873" s="13" t="str">
        <x:v>Retail</x:v>
      </x:c>
      <x:c r="C873" s="16" t="n">
        <x:v>4127.1805711781</x:v>
      </x:c>
      <x:c r="D873" s="16" t="n">
        <x:v>4096.9812077814</x:v>
      </x:c>
      <x:c r="E873" s="16" t="n">
        <x:v>-30.1993633967</x:v>
      </x:c>
      <x:c r="F873" s="23" t="n">
        <x:v>5</x:v>
      </x:c>
    </x:row>
    <x:row r="874">
      <x:c r="A874" s="15" t="n">
        <x:v>42036</x:v>
      </x:c>
      <x:c r="B874" s="13" t="str">
        <x:v>Sanitation</x:v>
      </x:c>
      <x:c r="C874" s="16" t="n">
        <x:v>1549.9631661589</x:v>
      </x:c>
      <x:c r="D874" s="16" t="n">
        <x:v>848.8482761093</x:v>
      </x:c>
      <x:c r="E874" s="16" t="n">
        <x:v>-701.1148900496</x:v>
      </x:c>
      <x:c r="F874" s="23" t="n">
        <x:v>1</x:v>
      </x:c>
    </x:row>
    <x:row r="875">
      <x:c r="A875" s="15" t="n">
        <x:v>42036</x:v>
      </x:c>
      <x:c r="B875" s="13" t="str">
        <x:v>TMT</x:v>
      </x:c>
      <x:c r="C875" s="16" t="n">
        <x:v>5775.5195597151</x:v>
      </x:c>
      <x:c r="D875" s="16" t="n">
        <x:v>4645.8014211148</x:v>
      </x:c>
      <x:c r="E875" s="16" t="n">
        <x:v>-1129.7181386003</x:v>
      </x:c>
      <x:c r="F875" s="23" t="n">
        <x:v>3</x:v>
      </x:c>
    </x:row>
    <x:row r="876">
      <x:c r="A876" s="15" t="n">
        <x:v>42036</x:v>
      </x:c>
      <x:c r="B876" s="13" t="str">
        <x:v>Transportation</x:v>
      </x:c>
      <x:c r="C876" s="16" t="n">
        <x:v>2608.3727403397</x:v>
      </x:c>
      <x:c r="D876" s="16" t="n">
        <x:v>2558.2944800765</x:v>
      </x:c>
      <x:c r="E876" s="16" t="n">
        <x:v>-50.0782602632</x:v>
      </x:c>
      <x:c r="F876" s="23" t="n">
        <x:v>5</x:v>
      </x:c>
    </x:row>
    <x:row r="877">
      <x:c r="A877" s="15" t="n">
        <x:v>42036</x:v>
      </x:c>
      <x:c r="B877" s="13" t="str">
        <x:v>Utilities &amp; Energy</x:v>
      </x:c>
      <x:c r="C877" s="16" t="n">
        <x:v>10899.0813141041</x:v>
      </x:c>
      <x:c r="D877" s="16" t="n">
        <x:v>6708.6961868415</x:v>
      </x:c>
      <x:c r="E877" s="16" t="n">
        <x:v>-4190.3851272626</x:v>
      </x:c>
      <x:c r="F877" s="23" t="n">
        <x:v>9</x:v>
      </x:c>
    </x:row>
    <x:row r="878">
      <x:c r="A878" s="15" t="n">
        <x:v>42064</x:v>
      </x:c>
      <x:c r="B878" s="13" t="str">
        <x:v>Banks</x:v>
      </x:c>
      <x:c r="C878" s="16" t="n">
        <x:v>74193.699328</x:v>
      </x:c>
      <x:c r="D878" s="16" t="n">
        <x:v>76841.0680795629</x:v>
      </x:c>
      <x:c r="E878" s="16" t="n">
        <x:v>2647.3687515629</x:v>
      </x:c>
      <x:c r="F878" s="23" t="n">
        <x:v>5</x:v>
      </x:c>
    </x:row>
    <x:row r="879">
      <x:c r="A879" s="15" t="n">
        <x:v>42064</x:v>
      </x:c>
      <x:c r="B879" s="13" t="str">
        <x:v>Capital Goods</x:v>
      </x:c>
      <x:c r="C879" s="16" t="n">
        <x:v>1534.415008</x:v>
      </x:c>
      <x:c r="D879" s="16" t="n">
        <x:v>1418.5749909508</x:v>
      </x:c>
      <x:c r="E879" s="16" t="n">
        <x:v>-115.8400170492</x:v>
      </x:c>
      <x:c r="F879" s="23" t="n">
        <x:v>2</x:v>
      </x:c>
    </x:row>
    <x:row r="880">
      <x:c r="A880" s="15" t="n">
        <x:v>42064</x:v>
      </x:c>
      <x:c r="B880" s="13" t="str">
        <x:v>Education</x:v>
      </x:c>
      <x:c r="C880" s="16" t="n">
        <x:v>2210.052992</x:v>
      </x:c>
      <x:c r="D880" s="16" t="n">
        <x:v>2179.2812357596</x:v>
      </x:c>
      <x:c r="E880" s="16" t="n">
        <x:v>-30.7717562404</x:v>
      </x:c>
      <x:c r="F880" s="23" t="n">
        <x:v>2</x:v>
      </x:c>
    </x:row>
    <x:row r="881">
      <x:c r="A881" s="15" t="n">
        <x:v>42064</x:v>
      </x:c>
      <x:c r="B881" s="13" t="str">
        <x:v>Financials Non-Banks</x:v>
      </x:c>
      <x:c r="C881" s="16" t="n">
        <x:v>17848.766112</x:v>
      </x:c>
      <x:c r="D881" s="16" t="n">
        <x:v>18370.1554038033</x:v>
      </x:c>
      <x:c r="E881" s="16" t="n">
        <x:v>521.3892918033</x:v>
      </x:c>
      <x:c r="F881" s="23" t="n">
        <x:v>5</x:v>
      </x:c>
    </x:row>
    <x:row r="882">
      <x:c r="A882" s="15" t="n">
        <x:v>42064</x:v>
      </x:c>
      <x:c r="B882" s="13" t="str">
        <x:v>Food &amp; Beverages</x:v>
      </x:c>
      <x:c r="C882" s="16" t="n">
        <x:v>18159.670144</x:v>
      </x:c>
      <x:c r="D882" s="16" t="n">
        <x:v>18467.7236806558</x:v>
      </x:c>
      <x:c r="E882" s="16" t="n">
        <x:v>308.0535366558</x:v>
      </x:c>
      <x:c r="F882" s="23" t="n">
        <x:v>4</x:v>
      </x:c>
    </x:row>
    <x:row r="883">
      <x:c r="A883" s="15" t="n">
        <x:v>42064</x:v>
      </x:c>
      <x:c r="B883" s="13" t="str">
        <x:v>Health Care</x:v>
      </x:c>
      <x:c r="C883" s="16" t="n">
        <x:v>923.403968</x:v>
      </x:c>
      <x:c r="D883" s="16" t="n">
        <x:v>967.1159172896</x:v>
      </x:c>
      <x:c r="E883" s="16" t="n">
        <x:v>43.7119492896</x:v>
      </x:c>
      <x:c r="F883" s="23" t="n">
        <x:v>2</x:v>
      </x:c>
    </x:row>
    <x:row r="884">
      <x:c r="A884" s="15" t="n">
        <x:v>42064</x:v>
      </x:c>
      <x:c r="B884" s="13" t="str">
        <x:v>Homebuilders</x:v>
      </x:c>
      <x:c r="C884" s="16" t="n">
        <x:v>1543.371504</x:v>
      </x:c>
      <x:c r="D884" s="16" t="n">
        <x:v>1366.6344209563</x:v>
      </x:c>
      <x:c r="E884" s="16" t="n">
        <x:v>-176.7370830437</x:v>
      </x:c>
      <x:c r="F884" s="23" t="n">
        <x:v>5</x:v>
      </x:c>
    </x:row>
    <x:row r="885">
      <x:c r="A885" s="15" t="n">
        <x:v>42064</x:v>
      </x:c>
      <x:c r="B885" s="13" t="str">
        <x:v>Income Properties</x:v>
      </x:c>
      <x:c r="C885" s="16" t="n">
        <x:v>674.958016</x:v>
      </x:c>
      <x:c r="D885" s="16" t="n">
        <x:v>674.8390342295</x:v>
      </x:c>
      <x:c r="E885" s="16" t="n">
        <x:v>-0.1189817705</x:v>
      </x:c>
      <x:c r="F885" s="23" t="n">
        <x:v>2</x:v>
      </x:c>
    </x:row>
    <x:row r="886">
      <x:c r="A886" s="15" t="n">
        <x:v>42064</x:v>
      </x:c>
      <x:c r="B886" s="13" t="str">
        <x:v>Metals &amp; Mining</x:v>
      </x:c>
      <x:c r="C886" s="16" t="n">
        <x:v>13312.771216</x:v>
      </x:c>
      <x:c r="D886" s="16" t="n">
        <x:v>5837.2495794536</x:v>
      </x:c>
      <x:c r="E886" s="16" t="n">
        <x:v>-7475.5216365464</x:v>
      </x:c>
      <x:c r="F886" s="23" t="n">
        <x:v>4</x:v>
      </x:c>
    </x:row>
    <x:row r="887">
      <x:c r="A887" s="15" t="n">
        <x:v>42064</x:v>
      </x:c>
      <x:c r="B887" s="13" t="str">
        <x:v>Oil, Gas &amp; Petrochemicals</x:v>
      </x:c>
      <x:c r="C887" s="16" t="n">
        <x:v>27478.50048</x:v>
      </x:c>
      <x:c r="D887" s="16" t="n">
        <x:v>21346.2445959345</x:v>
      </x:c>
      <x:c r="E887" s="16" t="n">
        <x:v>-6132.2558840655</x:v>
      </x:c>
      <x:c r="F887" s="23" t="n">
        <x:v>4</x:v>
      </x:c>
    </x:row>
    <x:row r="888">
      <x:c r="A888" s="15" t="n">
        <x:v>42064</x:v>
      </x:c>
      <x:c r="B888" s="13" t="str">
        <x:v>Pulp &amp; Paper</x:v>
      </x:c>
      <x:c r="C888" s="16" t="n">
        <x:v>2171.261984</x:v>
      </x:c>
      <x:c r="D888" s="16" t="n">
        <x:v>1928.1564670164</x:v>
      </x:c>
      <x:c r="E888" s="16" t="n">
        <x:v>-243.1055169836</x:v>
      </x:c>
      <x:c r="F888" s="23" t="n">
        <x:v>4</x:v>
      </x:c>
    </x:row>
    <x:row r="889">
      <x:c r="A889" s="15" t="n">
        <x:v>42064</x:v>
      </x:c>
      <x:c r="B889" s="13" t="str">
        <x:v>Retail</x:v>
      </x:c>
      <x:c r="C889" s="16" t="n">
        <x:v>4132.807936</x:v>
      </x:c>
      <x:c r="D889" s="16" t="n">
        <x:v>4035.1098816175</x:v>
      </x:c>
      <x:c r="E889" s="16" t="n">
        <x:v>-97.6980543825</x:v>
      </x:c>
      <x:c r="F889" s="23" t="n">
        <x:v>5</x:v>
      </x:c>
    </x:row>
    <x:row r="890">
      <x:c r="A890" s="15" t="n">
        <x:v>42064</x:v>
      </x:c>
      <x:c r="B890" s="13" t="str">
        <x:v>Sanitation</x:v>
      </x:c>
      <x:c r="C890" s="16" t="n">
        <x:v>1379.139968</x:v>
      </x:c>
      <x:c r="D890" s="16" t="n">
        <x:v>910.862252765</x:v>
      </x:c>
      <x:c r="E890" s="16" t="n">
        <x:v>-468.277715235</x:v>
      </x:c>
      <x:c r="F890" s="23" t="n">
        <x:v>1</x:v>
      </x:c>
    </x:row>
    <x:row r="891">
      <x:c r="A891" s="15" t="n">
        <x:v>42064</x:v>
      </x:c>
      <x:c r="B891" s="13" t="str">
        <x:v>TMT</x:v>
      </x:c>
      <x:c r="C891" s="16" t="n">
        <x:v>6013.210016</x:v>
      </x:c>
      <x:c r="D891" s="16" t="n">
        <x:v>4605.7329185574</x:v>
      </x:c>
      <x:c r="E891" s="16" t="n">
        <x:v>-1407.4770974426</x:v>
      </x:c>
      <x:c r="F891" s="23" t="n">
        <x:v>3</x:v>
      </x:c>
    </x:row>
    <x:row r="892">
      <x:c r="A892" s="15" t="n">
        <x:v>42064</x:v>
      </x:c>
      <x:c r="B892" s="13" t="str">
        <x:v>Transportation</x:v>
      </x:c>
      <x:c r="C892" s="16" t="n">
        <x:v>2627.645808</x:v>
      </x:c>
      <x:c r="D892" s="16" t="n">
        <x:v>2231.7859402295</x:v>
      </x:c>
      <x:c r="E892" s="16" t="n">
        <x:v>-395.8598677705</x:v>
      </x:c>
      <x:c r="F892" s="23" t="n">
        <x:v>5</x:v>
      </x:c>
    </x:row>
    <x:row r="893">
      <x:c r="A893" s="15" t="n">
        <x:v>42064</x:v>
      </x:c>
      <x:c r="B893" s="13" t="str">
        <x:v>Utilities &amp; Energy</x:v>
      </x:c>
      <x:c r="C893" s="16" t="n">
        <x:v>8130.68288</x:v>
      </x:c>
      <x:c r="D893" s="16" t="n">
        <x:v>6690.7868611148</x:v>
      </x:c>
      <x:c r="E893" s="16" t="n">
        <x:v>-1439.8960188852</x:v>
      </x:c>
      <x:c r="F893" s="23" t="n">
        <x:v>9</x:v>
      </x:c>
    </x:row>
    <x:row r="894">
      <x:c r="A894" s="15" t="n">
        <x:v>42095</x:v>
      </x:c>
      <x:c r="B894" s="13" t="str">
        <x:v>Banks</x:v>
      </x:c>
      <x:c r="C894" s="16" t="n">
        <x:v>75209.026455082</x:v>
      </x:c>
      <x:c r="D894" s="16" t="n">
        <x:v>77734.2556439782</x:v>
      </x:c>
      <x:c r="E894" s="16" t="n">
        <x:v>2525.2291888962</x:v>
      </x:c>
      <x:c r="F894" s="23" t="n">
        <x:v>5</x:v>
      </x:c>
    </x:row>
    <x:row r="895">
      <x:c r="A895" s="15" t="n">
        <x:v>42095</x:v>
      </x:c>
      <x:c r="B895" s="13" t="str">
        <x:v>Capital Goods</x:v>
      </x:c>
      <x:c r="C895" s="16" t="n">
        <x:v>1526.9509060109</x:v>
      </x:c>
      <x:c r="D895" s="16" t="n">
        <x:v>1397.9093091148</x:v>
      </x:c>
      <x:c r="E895" s="16" t="n">
        <x:v>-129.0415968962</x:v>
      </x:c>
      <x:c r="F895" s="23" t="n">
        <x:v>2</x:v>
      </x:c>
    </x:row>
    <x:row r="896">
      <x:c r="A896" s="15" t="n">
        <x:v>42095</x:v>
      </x:c>
      <x:c r="B896" s="13" t="str">
        <x:v>Education</x:v>
      </x:c>
      <x:c r="C896" s="16" t="n">
        <x:v>2281.1623783169</x:v>
      </x:c>
      <x:c r="D896" s="16" t="n">
        <x:v>2131.208289224</x:v>
      </x:c>
      <x:c r="E896" s="16" t="n">
        <x:v>-149.9540890929</x:v>
      </x:c>
      <x:c r="F896" s="23" t="n">
        <x:v>2</x:v>
      </x:c>
    </x:row>
    <x:row r="897">
      <x:c r="A897" s="15" t="n">
        <x:v>42095</x:v>
      </x:c>
      <x:c r="B897" s="13" t="str">
        <x:v>Financials Non-Banks</x:v>
      </x:c>
      <x:c r="C897" s="16" t="n">
        <x:v>17926.2352606776</x:v>
      </x:c>
      <x:c r="D897" s="16" t="n">
        <x:v>18172.7088129399</x:v>
      </x:c>
      <x:c r="E897" s="16" t="n">
        <x:v>246.4735522623</x:v>
      </x:c>
      <x:c r="F897" s="23" t="n">
        <x:v>5</x:v>
      </x:c>
    </x:row>
    <x:row r="898">
      <x:c r="A898" s="15" t="n">
        <x:v>42095</x:v>
      </x:c>
      <x:c r="B898" s="13" t="str">
        <x:v>Food &amp; Beverages</x:v>
      </x:c>
      <x:c r="C898" s="16" t="n">
        <x:v>18142.496882623</x:v>
      </x:c>
      <x:c r="D898" s="16" t="n">
        <x:v>18636.6095678688</x:v>
      </x:c>
      <x:c r="E898" s="16" t="n">
        <x:v>494.1126852458</x:v>
      </x:c>
      <x:c r="F898" s="23" t="n">
        <x:v>4</x:v>
      </x:c>
    </x:row>
    <x:row r="899">
      <x:c r="A899" s="15" t="n">
        <x:v>42095</x:v>
      </x:c>
      <x:c r="B899" s="13" t="str">
        <x:v>Health Care</x:v>
      </x:c>
      <x:c r="C899" s="16" t="n">
        <x:v>936.6597503825</x:v>
      </x:c>
      <x:c r="D899" s="16" t="n">
        <x:v>953.450085071</x:v>
      </x:c>
      <x:c r="E899" s="16" t="n">
        <x:v>16.7903346885</x:v>
      </x:c>
      <x:c r="F899" s="23" t="n">
        <x:v>2</x:v>
      </x:c>
    </x:row>
    <x:row r="900">
      <x:c r="A900" s="15" t="n">
        <x:v>42095</x:v>
      </x:c>
      <x:c r="B900" s="13" t="str">
        <x:v>Homebuilders</x:v>
      </x:c>
      <x:c r="C900" s="16" t="n">
        <x:v>1455.6748745574</x:v>
      </x:c>
      <x:c r="D900" s="16" t="n">
        <x:v>1273.3905812077</x:v>
      </x:c>
      <x:c r="E900" s="16" t="n">
        <x:v>-182.2842933497</x:v>
      </x:c>
      <x:c r="F900" s="23" t="n">
        <x:v>5</x:v>
      </x:c>
    </x:row>
    <x:row r="901">
      <x:c r="A901" s="15" t="n">
        <x:v>42095</x:v>
      </x:c>
      <x:c r="B901" s="13" t="str">
        <x:v>Income Properties</x:v>
      </x:c>
      <x:c r="C901" s="16" t="n">
        <x:v>1051.6101099891</x:v>
      </x:c>
      <x:c r="D901" s="16" t="n">
        <x:v>1082.8091285246</x:v>
      </x:c>
      <x:c r="E901" s="16" t="n">
        <x:v>31.1990185355</x:v>
      </x:c>
      <x:c r="F901" s="23" t="n">
        <x:v>3</x:v>
      </x:c>
    </x:row>
    <x:row r="902">
      <x:c r="A902" s="15" t="n">
        <x:v>42095</x:v>
      </x:c>
      <x:c r="B902" s="13" t="str">
        <x:v>Metals &amp; Mining</x:v>
      </x:c>
      <x:c r="C902" s="16" t="n">
        <x:v>11202.017694776</x:v>
      </x:c>
      <x:c r="D902" s="16" t="n">
        <x:v>-961.4579515301</x:v>
      </x:c>
      <x:c r="E902" s="16" t="n">
        <x:v>-12163.475646306</x:v>
      </x:c>
      <x:c r="F902" s="23" t="n">
        <x:v>5</x:v>
      </x:c>
    </x:row>
    <x:row r="903">
      <x:c r="A903" s="15" t="n">
        <x:v>42095</x:v>
      </x:c>
      <x:c r="B903" s="13" t="str">
        <x:v>Oil, Gas &amp; Petrochemicals</x:v>
      </x:c>
      <x:c r="C903" s="16" t="n">
        <x:v>23738.774056918</x:v>
      </x:c>
      <x:c r="D903" s="16" t="n">
        <x:v>19622.6444466011</x:v>
      </x:c>
      <x:c r="E903" s="16" t="n">
        <x:v>-4116.1296103169</x:v>
      </x:c>
      <x:c r="F903" s="23" t="n">
        <x:v>4</x:v>
      </x:c>
    </x:row>
    <x:row r="904">
      <x:c r="A904" s="15" t="n">
        <x:v>42095</x:v>
      </x:c>
      <x:c r="B904" s="13" t="str">
        <x:v>Pulp &amp; Paper</x:v>
      </x:c>
      <x:c r="C904" s="16" t="n">
        <x:v>2133.6506567869</x:v>
      </x:c>
      <x:c r="D904" s="16" t="n">
        <x:v>1742.3071087213</x:v>
      </x:c>
      <x:c r="E904" s="16" t="n">
        <x:v>-391.3435480656</x:v>
      </x:c>
      <x:c r="F904" s="23" t="n">
        <x:v>4</x:v>
      </x:c>
    </x:row>
    <x:row r="905">
      <x:c r="A905" s="15" t="n">
        <x:v>42095</x:v>
      </x:c>
      <x:c r="B905" s="13" t="str">
        <x:v>Retail</x:v>
      </x:c>
      <x:c r="C905" s="16" t="n">
        <x:v>4043.7533982951</x:v>
      </x:c>
      <x:c r="D905" s="16" t="n">
        <x:v>4117.8698756721</x:v>
      </x:c>
      <x:c r="E905" s="16" t="n">
        <x:v>74.1164773771</x:v>
      </x:c>
      <x:c r="F905" s="23" t="n">
        <x:v>5</x:v>
      </x:c>
    </x:row>
    <x:row r="906">
      <x:c r="A906" s="15" t="n">
        <x:v>42095</x:v>
      </x:c>
      <x:c r="B906" s="13" t="str">
        <x:v>Sanitation</x:v>
      </x:c>
      <x:c r="C906" s="16" t="n">
        <x:v>1074.9059668634</x:v>
      </x:c>
      <x:c r="D906" s="16" t="n">
        <x:v>1013.5367312787</x:v>
      </x:c>
      <x:c r="E906" s="16" t="n">
        <x:v>-61.3692355847</x:v>
      </x:c>
      <x:c r="F906" s="23" t="n">
        <x:v>1</x:v>
      </x:c>
    </x:row>
    <x:row r="907">
      <x:c r="A907" s="15" t="n">
        <x:v>42095</x:v>
      </x:c>
      <x:c r="B907" s="13" t="str">
        <x:v>TMT</x:v>
      </x:c>
      <x:c r="C907" s="16" t="n">
        <x:v>5939.7016701202</x:v>
      </x:c>
      <x:c r="D907" s="16" t="n">
        <x:v>4724.9565270382</x:v>
      </x:c>
      <x:c r="E907" s="16" t="n">
        <x:v>-1214.745143082</x:v>
      </x:c>
      <x:c r="F907" s="23" t="n">
        <x:v>3</x:v>
      </x:c>
    </x:row>
    <x:row r="908">
      <x:c r="A908" s="15" t="n">
        <x:v>42095</x:v>
      </x:c>
      <x:c r="B908" s="13" t="str">
        <x:v>Transportation</x:v>
      </x:c>
      <x:c r="C908" s="16" t="n">
        <x:v>2363.6705036284</x:v>
      </x:c>
      <x:c r="D908" s="16" t="n">
        <x:v>1506.8965631475</x:v>
      </x:c>
      <x:c r="E908" s="16" t="n">
        <x:v>-856.7739404809</x:v>
      </x:c>
      <x:c r="F908" s="23" t="n">
        <x:v>4</x:v>
      </x:c>
    </x:row>
    <x:row r="909">
      <x:c r="A909" s="15" t="n">
        <x:v>42095</x:v>
      </x:c>
      <x:c r="B909" s="13" t="str">
        <x:v>Utilities &amp; Energy</x:v>
      </x:c>
      <x:c r="C909" s="16" t="n">
        <x:v>7296.3556010492</x:v>
      </x:c>
      <x:c r="D909" s="16" t="n">
        <x:v>6897.5808165246</x:v>
      </x:c>
      <x:c r="E909" s="16" t="n">
        <x:v>-398.7747845246</x:v>
      </x:c>
      <x:c r="F909" s="23" t="n">
        <x:v>9</x:v>
      </x:c>
    </x:row>
    <x:row r="910">
      <x:c r="A910" s="15" t="n">
        <x:v>42125</x:v>
      </x:c>
      <x:c r="B910" s="13" t="str">
        <x:v>Banks</x:v>
      </x:c>
      <x:c r="C910" s="16" t="n">
        <x:v>75989.4628945138</x:v>
      </x:c>
      <x:c r="D910" s="16" t="n">
        <x:v>78632.8367506886</x:v>
      </x:c>
      <x:c r="E910" s="16" t="n">
        <x:v>2643.3738561748</x:v>
      </x:c>
      <x:c r="F910" s="23" t="n">
        <x:v>5</x:v>
      </x:c>
    </x:row>
    <x:row r="911">
      <x:c r="A911" s="15" t="n">
        <x:v>42125</x:v>
      </x:c>
      <x:c r="B911" s="13" t="str">
        <x:v>Capital Goods</x:v>
      </x:c>
      <x:c r="C911" s="16" t="n">
        <x:v>1568.889079388</x:v>
      </x:c>
      <x:c r="D911" s="16" t="n">
        <x:v>1374.6535868852</x:v>
      </x:c>
      <x:c r="E911" s="16" t="n">
        <x:v>-194.2354925027</x:v>
      </x:c>
      <x:c r="F911" s="23" t="n">
        <x:v>2</x:v>
      </x:c>
    </x:row>
    <x:row r="912">
      <x:c r="A912" s="15" t="n">
        <x:v>42125</x:v>
      </x:c>
      <x:c r="B912" s="13" t="str">
        <x:v>Education</x:v>
      </x:c>
      <x:c r="C912" s="16" t="n">
        <x:v>2251.0049918251</x:v>
      </x:c>
      <x:c r="D912" s="16" t="n">
        <x:v>2125.7282717377</x:v>
      </x:c>
      <x:c r="E912" s="16" t="n">
        <x:v>-125.2767200874</x:v>
      </x:c>
      <x:c r="F912" s="23" t="n">
        <x:v>2</x:v>
      </x:c>
    </x:row>
    <x:row r="913">
      <x:c r="A913" s="15" t="n">
        <x:v>42125</x:v>
      </x:c>
      <x:c r="B913" s="13" t="str">
        <x:v>Financials Non-Banks</x:v>
      </x:c>
      <x:c r="C913" s="16" t="n">
        <x:v>18155.8699850492</x:v>
      </x:c>
      <x:c r="D913" s="16" t="n">
        <x:v>18404.9802554754</x:v>
      </x:c>
      <x:c r="E913" s="16" t="n">
        <x:v>249.1102704262</x:v>
      </x:c>
      <x:c r="F913" s="23" t="n">
        <x:v>5</x:v>
      </x:c>
    </x:row>
    <x:row r="914">
      <x:c r="A914" s="15" t="n">
        <x:v>42125</x:v>
      </x:c>
      <x:c r="B914" s="13" t="str">
        <x:v>Food &amp; Beverages</x:v>
      </x:c>
      <x:c r="C914" s="16" t="n">
        <x:v>18276.7122180546</x:v>
      </x:c>
      <x:c r="D914" s="16" t="n">
        <x:v>18705.8884385574</x:v>
      </x:c>
      <x:c r="E914" s="16" t="n">
        <x:v>429.1762205028</x:v>
      </x:c>
      <x:c r="F914" s="23" t="n">
        <x:v>4</x:v>
      </x:c>
    </x:row>
    <x:row r="915">
      <x:c r="A915" s="15" t="n">
        <x:v>42125</x:v>
      </x:c>
      <x:c r="B915" s="13" t="str">
        <x:v>Health Care</x:v>
      </x:c>
      <x:c r="C915" s="16" t="n">
        <x:v>955.0903060109</x:v>
      </x:c>
      <x:c r="D915" s="16" t="n">
        <x:v>952.6331981639</x:v>
      </x:c>
      <x:c r="E915" s="16" t="n">
        <x:v>-2.457107847</x:v>
      </x:c>
      <x:c r="F915" s="23" t="n">
        <x:v>2</x:v>
      </x:c>
    </x:row>
    <x:row r="916">
      <x:c r="A916" s="15" t="n">
        <x:v>42125</x:v>
      </x:c>
      <x:c r="B916" s="13" t="str">
        <x:v>Homebuilders</x:v>
      </x:c>
      <x:c r="C916" s="16" t="n">
        <x:v>1332.0862224699</x:v>
      </x:c>
      <x:c r="D916" s="16" t="n">
        <x:v>1235.016533377</x:v>
      </x:c>
      <x:c r="E916" s="16" t="n">
        <x:v>-97.0696890929</x:v>
      </x:c>
      <x:c r="F916" s="23" t="n">
        <x:v>3</x:v>
      </x:c>
    </x:row>
    <x:row r="917">
      <x:c r="A917" s="15" t="n">
        <x:v>42125</x:v>
      </x:c>
      <x:c r="B917" s="13" t="str">
        <x:v>Income Properties</x:v>
      </x:c>
      <x:c r="C917" s="16" t="n">
        <x:v>1068.8433959781</x:v>
      </x:c>
      <x:c r="D917" s="16" t="n">
        <x:v>1066.003095082</x:v>
      </x:c>
      <x:c r="E917" s="16" t="n">
        <x:v>-2.8403008962</x:v>
      </x:c>
      <x:c r="F917" s="23" t="n">
        <x:v>3</x:v>
      </x:c>
    </x:row>
    <x:row r="918">
      <x:c r="A918" s="15" t="n">
        <x:v>42125</x:v>
      </x:c>
      <x:c r="B918" s="13" t="str">
        <x:v>Metals &amp; Mining</x:v>
      </x:c>
      <x:c r="C918" s="16" t="n">
        <x:v>9716.0150411803</x:v>
      </x:c>
      <x:c r="D918" s="16" t="n">
        <x:v>28.3553655738</x:v>
      </x:c>
      <x:c r="E918" s="16" t="n">
        <x:v>-9687.6596756066</x:v>
      </x:c>
      <x:c r="F918" s="23" t="n">
        <x:v>5</x:v>
      </x:c>
    </x:row>
    <x:row r="919">
      <x:c r="A919" s="15" t="n">
        <x:v>42125</x:v>
      </x:c>
      <x:c r="B919" s="13" t="str">
        <x:v>Oil, Gas &amp; Petrochemicals</x:v>
      </x:c>
      <x:c r="C919" s="16" t="n">
        <x:v>23248.8931598688</x:v>
      </x:c>
      <x:c r="D919" s="16" t="n">
        <x:v>21938.5803037377</x:v>
      </x:c>
      <x:c r="E919" s="16" t="n">
        <x:v>-1310.3128561311</x:v>
      </x:c>
      <x:c r="F919" s="23" t="n">
        <x:v>4</x:v>
      </x:c>
    </x:row>
    <x:row r="920">
      <x:c r="A920" s="15" t="n">
        <x:v>42125</x:v>
      </x:c>
      <x:c r="B920" s="13" t="str">
        <x:v>Pulp &amp; Paper</x:v>
      </x:c>
      <x:c r="C920" s="16" t="n">
        <x:v>1949.8839544481</x:v>
      </x:c>
      <x:c r="D920" s="16" t="n">
        <x:v>2109.4732516721</x:v>
      </x:c>
      <x:c r="E920" s="16" t="n">
        <x:v>159.589297224</x:v>
      </x:c>
      <x:c r="F920" s="23" t="n">
        <x:v>4</x:v>
      </x:c>
    </x:row>
    <x:row r="921">
      <x:c r="A921" s="15" t="n">
        <x:v>42125</x:v>
      </x:c>
      <x:c r="B921" s="13" t="str">
        <x:v>Retail</x:v>
      </x:c>
      <x:c r="C921" s="16" t="n">
        <x:v>4096.9812077814</x:v>
      </x:c>
      <x:c r="D921" s="16" t="n">
        <x:v>4058.2708831475</x:v>
      </x:c>
      <x:c r="E921" s="16" t="n">
        <x:v>-38.7103246339</x:v>
      </x:c>
      <x:c r="F921" s="23" t="n">
        <x:v>5</x:v>
      </x:c>
    </x:row>
    <x:row r="922">
      <x:c r="A922" s="15" t="n">
        <x:v>42125</x:v>
      </x:c>
      <x:c r="B922" s="13" t="str">
        <x:v>Sanitation</x:v>
      </x:c>
      <x:c r="C922" s="16" t="n">
        <x:v>848.8482761093</x:v>
      </x:c>
      <x:c r="D922" s="16" t="n">
        <x:v>1148.071371541</x:v>
      </x:c>
      <x:c r="E922" s="16" t="n">
        <x:v>299.2230954317</x:v>
      </x:c>
      <x:c r="F922" s="23" t="n">
        <x:v>1</x:v>
      </x:c>
    </x:row>
    <x:row r="923">
      <x:c r="A923" s="15" t="n">
        <x:v>42125</x:v>
      </x:c>
      <x:c r="B923" s="13" t="str">
        <x:v>TMT</x:v>
      </x:c>
      <x:c r="C923" s="16" t="n">
        <x:v>4645.8014211148</x:v>
      </x:c>
      <x:c r="D923" s="16" t="n">
        <x:v>4982.1545463607</x:v>
      </x:c>
      <x:c r="E923" s="16" t="n">
        <x:v>336.3531252459</x:v>
      </x:c>
      <x:c r="F923" s="23" t="n">
        <x:v>3</x:v>
      </x:c>
    </x:row>
    <x:row r="924">
      <x:c r="A924" s="15" t="n">
        <x:v>42125</x:v>
      </x:c>
      <x:c r="B924" s="13" t="str">
        <x:v>Transportation</x:v>
      </x:c>
      <x:c r="C924" s="16" t="n">
        <x:v>2347.1227642295</x:v>
      </x:c>
      <x:c r="D924" s="16" t="n">
        <x:v>1446.540381377</x:v>
      </x:c>
      <x:c r="E924" s="16" t="n">
        <x:v>-900.5823828525</x:v>
      </x:c>
      <x:c r="F924" s="23" t="n">
        <x:v>4</x:v>
      </x:c>
    </x:row>
    <x:row r="925">
      <x:c r="A925" s="15" t="n">
        <x:v>42125</x:v>
      </x:c>
      <x:c r="B925" s="13" t="str">
        <x:v>Utilities &amp; Energy</x:v>
      </x:c>
      <x:c r="C925" s="16" t="n">
        <x:v>6182.0442451585</x:v>
      </x:c>
      <x:c r="D925" s="16" t="n">
        <x:v>6688.487543082</x:v>
      </x:c>
      <x:c r="E925" s="16" t="n">
        <x:v>506.4432979235</x:v>
      </x:c>
      <x:c r="F925" s="23" t="n">
        <x:v>8</x:v>
      </x:c>
    </x:row>
    <x:row r="926">
      <x:c r="A926" s="15" t="n">
        <x:v>42156</x:v>
      </x:c>
      <x:c r="B926" s="13" t="str">
        <x:v>Banks</x:v>
      </x:c>
      <x:c r="C926" s="16" t="n">
        <x:v>76841.0680795629</x:v>
      </x:c>
      <x:c r="D926" s="16" t="n">
        <x:v>79024.1193099891</x:v>
      </x:c>
      <x:c r="E926" s="16" t="n">
        <x:v>2183.0512304261</x:v>
      </x:c>
      <x:c r="F926" s="23" t="n">
        <x:v>5</x:v>
      </x:c>
    </x:row>
    <x:row r="927">
      <x:c r="A927" s="15" t="n">
        <x:v>42156</x:v>
      </x:c>
      <x:c r="B927" s="13" t="str">
        <x:v>Capital Goods</x:v>
      </x:c>
      <x:c r="C927" s="16" t="n">
        <x:v>1418.5749909508</x:v>
      </x:c>
      <x:c r="D927" s="16" t="n">
        <x:v>1412.1191633661</x:v>
      </x:c>
      <x:c r="E927" s="16" t="n">
        <x:v>-6.4558275847</x:v>
      </x:c>
      <x:c r="F927" s="23" t="n">
        <x:v>2</x:v>
      </x:c>
    </x:row>
    <x:row r="928">
      <x:c r="A928" s="15" t="n">
        <x:v>42156</x:v>
      </x:c>
      <x:c r="B928" s="13" t="str">
        <x:v>Education</x:v>
      </x:c>
      <x:c r="C928" s="16" t="n">
        <x:v>2179.2812357596</x:v>
      </x:c>
      <x:c r="D928" s="16" t="n">
        <x:v>2153.1937514317</x:v>
      </x:c>
      <x:c r="E928" s="16" t="n">
        <x:v>-26.0874843279</x:v>
      </x:c>
      <x:c r="F928" s="23" t="n">
        <x:v>2</x:v>
      </x:c>
    </x:row>
    <x:row r="929">
      <x:c r="A929" s="15" t="n">
        <x:v>42156</x:v>
      </x:c>
      <x:c r="B929" s="13" t="str">
        <x:v>Financials Non-Banks</x:v>
      </x:c>
      <x:c r="C929" s="16" t="n">
        <x:v>18370.1554038033</x:v>
      </x:c>
      <x:c r="D929" s="16" t="n">
        <x:v>18841.3995299672</x:v>
      </x:c>
      <x:c r="E929" s="16" t="n">
        <x:v>471.2441261639</x:v>
      </x:c>
      <x:c r="F929" s="23" t="n">
        <x:v>5</x:v>
      </x:c>
    </x:row>
    <x:row r="930">
      <x:c r="A930" s="15" t="n">
        <x:v>42156</x:v>
      </x:c>
      <x:c r="B930" s="13" t="str">
        <x:v>Food &amp; Beverages</x:v>
      </x:c>
      <x:c r="C930" s="16" t="n">
        <x:v>18467.7236806558</x:v>
      </x:c>
      <x:c r="D930" s="16" t="n">
        <x:v>19157.4795225136</x:v>
      </x:c>
      <x:c r="E930" s="16" t="n">
        <x:v>689.7558418579</x:v>
      </x:c>
      <x:c r="F930" s="23" t="n">
        <x:v>4</x:v>
      </x:c>
    </x:row>
    <x:row r="931">
      <x:c r="A931" s="15" t="n">
        <x:v>42156</x:v>
      </x:c>
      <x:c r="B931" s="13" t="str">
        <x:v>Health Care</x:v>
      </x:c>
      <x:c r="C931" s="16" t="n">
        <x:v>967.1159172896</x:v>
      </x:c>
      <x:c r="D931" s="16" t="n">
        <x:v>938.5831106448</x:v>
      </x:c>
      <x:c r="E931" s="16" t="n">
        <x:v>-28.5328066448</x:v>
      </x:c>
      <x:c r="F931" s="23" t="n">
        <x:v>2</x:v>
      </x:c>
    </x:row>
    <x:row r="932">
      <x:c r="A932" s="15" t="n">
        <x:v>42156</x:v>
      </x:c>
      <x:c r="B932" s="13" t="str">
        <x:v>Homebuilders</x:v>
      </x:c>
      <x:c r="C932" s="16" t="n">
        <x:v>1304.1154640984</x:v>
      </x:c>
      <x:c r="D932" s="16" t="n">
        <x:v>1243.2070243497</x:v>
      </x:c>
      <x:c r="E932" s="16" t="n">
        <x:v>-60.9084397486</x:v>
      </x:c>
      <x:c r="F932" s="23" t="n">
        <x:v>3</x:v>
      </x:c>
    </x:row>
    <x:row r="933">
      <x:c r="A933" s="15" t="n">
        <x:v>42156</x:v>
      </x:c>
      <x:c r="B933" s="13" t="str">
        <x:v>Income Properties</x:v>
      </x:c>
      <x:c r="C933" s="16" t="n">
        <x:v>1064.9838429727</x:v>
      </x:c>
      <x:c r="D933" s="16" t="n">
        <x:v>1048.4301366557</x:v>
      </x:c>
      <x:c r="E933" s="16" t="n">
        <x:v>-16.5537063169</x:v>
      </x:c>
      <x:c r="F933" s="23" t="n">
        <x:v>3</x:v>
      </x:c>
    </x:row>
    <x:row r="934">
      <x:c r="A934" s="15" t="n">
        <x:v>42156</x:v>
      </x:c>
      <x:c r="B934" s="13" t="str">
        <x:v>Metals &amp; Mining</x:v>
      </x:c>
      <x:c r="C934" s="16" t="n">
        <x:v>5837.2495794536</x:v>
      </x:c>
      <x:c r="D934" s="16" t="n">
        <x:v>1088.2736920656</x:v>
      </x:c>
      <x:c r="E934" s="16" t="n">
        <x:v>-4748.975887388</x:v>
      </x:c>
      <x:c r="F934" s="23" t="n">
        <x:v>4</x:v>
      </x:c>
    </x:row>
    <x:row r="935">
      <x:c r="A935" s="15" t="n">
        <x:v>42156</x:v>
      </x:c>
      <x:c r="B935" s="13" t="str">
        <x:v>Oil, Gas &amp; Petrochemicals</x:v>
      </x:c>
      <x:c r="C935" s="16" t="n">
        <x:v>21346.2445959345</x:v>
      </x:c>
      <x:c r="D935" s="16" t="n">
        <x:v>22690.7810052896</x:v>
      </x:c>
      <x:c r="E935" s="16" t="n">
        <x:v>1344.5364093552</x:v>
      </x:c>
      <x:c r="F935" s="23" t="n">
        <x:v>4</x:v>
      </x:c>
    </x:row>
    <x:row r="936">
      <x:c r="A936" s="15" t="n">
        <x:v>42156</x:v>
      </x:c>
      <x:c r="B936" s="13" t="str">
        <x:v>Pulp &amp; Paper</x:v>
      </x:c>
      <x:c r="C936" s="16" t="n">
        <x:v>1928.1564670164</x:v>
      </x:c>
      <x:c r="D936" s="16" t="n">
        <x:v>2358.0533611366</x:v>
      </x:c>
      <x:c r="E936" s="16" t="n">
        <x:v>429.8968941202</x:v>
      </x:c>
      <x:c r="F936" s="23" t="n">
        <x:v>4</x:v>
      </x:c>
    </x:row>
    <x:row r="937">
      <x:c r="A937" s="15" t="n">
        <x:v>42156</x:v>
      </x:c>
      <x:c r="B937" s="13" t="str">
        <x:v>Retail</x:v>
      </x:c>
      <x:c r="C937" s="16" t="n">
        <x:v>4035.1098816175</x:v>
      </x:c>
      <x:c r="D937" s="16" t="n">
        <x:v>3875.3251749071</x:v>
      </x:c>
      <x:c r="E937" s="16" t="n">
        <x:v>-159.7847067104</x:v>
      </x:c>
      <x:c r="F937" s="23" t="n">
        <x:v>5</x:v>
      </x:c>
    </x:row>
    <x:row r="938">
      <x:c r="A938" s="15" t="n">
        <x:v>42156</x:v>
      </x:c>
      <x:c r="B938" s="13" t="str">
        <x:v>Sanitation</x:v>
      </x:c>
      <x:c r="C938" s="16" t="n">
        <x:v>910.862252765</x:v>
      </x:c>
      <x:c r="D938" s="16" t="n">
        <x:v>1111.3579394098</x:v>
      </x:c>
      <x:c r="E938" s="16" t="n">
        <x:v>200.4956866448</x:v>
      </x:c>
      <x:c r="F938" s="23" t="n">
        <x:v>1</x:v>
      </x:c>
    </x:row>
    <x:row r="939">
      <x:c r="A939" s="15" t="n">
        <x:v>42156</x:v>
      </x:c>
      <x:c r="B939" s="13" t="str">
        <x:v>TMT</x:v>
      </x:c>
      <x:c r="C939" s="16" t="n">
        <x:v>4605.7329185574</x:v>
      </x:c>
      <x:c r="D939" s="16" t="n">
        <x:v>5515.7914715628</x:v>
      </x:c>
      <x:c r="E939" s="16" t="n">
        <x:v>910.0585530055</x:v>
      </x:c>
      <x:c r="F939" s="23" t="n">
        <x:v>3</x:v>
      </x:c>
    </x:row>
    <x:row r="940">
      <x:c r="A940" s="15" t="n">
        <x:v>42156</x:v>
      </x:c>
      <x:c r="B940" s="13" t="str">
        <x:v>Transportation</x:v>
      </x:c>
      <x:c r="C940" s="16" t="n">
        <x:v>1982.5044451475</x:v>
      </x:c>
      <x:c r="D940" s="16" t="n">
        <x:v>1557.456056918</x:v>
      </x:c>
      <x:c r="E940" s="16" t="n">
        <x:v>-425.0483882295</x:v>
      </x:c>
      <x:c r="F940" s="23" t="n">
        <x:v>4</x:v>
      </x:c>
    </x:row>
    <x:row r="941">
      <x:c r="A941" s="15" t="n">
        <x:v>42156</x:v>
      </x:c>
      <x:c r="B941" s="13" t="str">
        <x:v>Utilities &amp; Energy</x:v>
      </x:c>
      <x:c r="C941" s="16" t="n">
        <x:v>6290.4997769617</x:v>
      </x:c>
      <x:c r="D941" s="16" t="n">
        <x:v>6328.2192529836</x:v>
      </x:c>
      <x:c r="E941" s="16" t="n">
        <x:v>37.7194760219</x:v>
      </x:c>
      <x:c r="F941" s="23" t="n">
        <x:v>8</x:v>
      </x:c>
    </x:row>
    <x:row r="942">
      <x:c r="A942" s="15" t="n">
        <x:v>42186</x:v>
      </x:c>
      <x:c r="B942" s="13" t="str">
        <x:v>Banks</x:v>
      </x:c>
      <x:c r="C942" s="16" t="n">
        <x:v>77734.2556439782</x:v>
      </x:c>
      <x:c r="D942" s="16" t="n">
        <x:v>79415.2780170492</x:v>
      </x:c>
      <x:c r="E942" s="16" t="n">
        <x:v>1681.022373071</x:v>
      </x:c>
      <x:c r="F942" s="23" t="n">
        <x:v>5</x:v>
      </x:c>
    </x:row>
    <x:row r="943">
      <x:c r="A943" s="15" t="n">
        <x:v>42186</x:v>
      </x:c>
      <x:c r="B943" s="13" t="str">
        <x:v>Capital Goods</x:v>
      </x:c>
      <x:c r="C943" s="16" t="n">
        <x:v>1397.9093091148</x:v>
      </x:c>
      <x:c r="D943" s="16" t="n">
        <x:v>1512.6876379016</x:v>
      </x:c>
      <x:c r="E943" s="16" t="n">
        <x:v>114.7783287869</x:v>
      </x:c>
      <x:c r="F943" s="23" t="n">
        <x:v>2</x:v>
      </x:c>
    </x:row>
    <x:row r="944">
      <x:c r="A944" s="15" t="n">
        <x:v>42186</x:v>
      </x:c>
      <x:c r="B944" s="13" t="str">
        <x:v>Education</x:v>
      </x:c>
      <x:c r="C944" s="16" t="n">
        <x:v>2131.208289224</x:v>
      </x:c>
      <x:c r="D944" s="16" t="n">
        <x:v>2118.072365377</x:v>
      </x:c>
      <x:c r="E944" s="16" t="n">
        <x:v>-13.135923847</x:v>
      </x:c>
      <x:c r="F944" s="23" t="n">
        <x:v>2</x:v>
      </x:c>
    </x:row>
    <x:row r="945">
      <x:c r="A945" s="15" t="n">
        <x:v>42186</x:v>
      </x:c>
      <x:c r="B945" s="13" t="str">
        <x:v>Financials Non-Banks</x:v>
      </x:c>
      <x:c r="C945" s="16" t="n">
        <x:v>18172.7088129399</x:v>
      </x:c>
      <x:c r="D945" s="16" t="n">
        <x:v>19017.6248493115</x:v>
      </x:c>
      <x:c r="E945" s="16" t="n">
        <x:v>844.9160363716</x:v>
      </x:c>
      <x:c r="F945" s="23" t="n">
        <x:v>5</x:v>
      </x:c>
    </x:row>
    <x:row r="946">
      <x:c r="A946" s="15" t="n">
        <x:v>42186</x:v>
      </x:c>
      <x:c r="B946" s="13" t="str">
        <x:v>Food &amp; Beverages</x:v>
      </x:c>
      <x:c r="C946" s="16" t="n">
        <x:v>18636.6095678688</x:v>
      </x:c>
      <x:c r="D946" s="16" t="n">
        <x:v>19401.7821210492</x:v>
      </x:c>
      <x:c r="E946" s="16" t="n">
        <x:v>765.1725531803</x:v>
      </x:c>
      <x:c r="F946" s="23" t="n">
        <x:v>4</x:v>
      </x:c>
    </x:row>
    <x:row r="947">
      <x:c r="A947" s="15" t="n">
        <x:v>42186</x:v>
      </x:c>
      <x:c r="B947" s="13" t="str">
        <x:v>Health Care</x:v>
      </x:c>
      <x:c r="C947" s="16" t="n">
        <x:v>953.450085071</x:v>
      </x:c>
      <x:c r="D947" s="16" t="n">
        <x:v>939.7692542951</x:v>
      </x:c>
      <x:c r="E947" s="16" t="n">
        <x:v>-13.680830776</x:v>
      </x:c>
      <x:c r="F947" s="23" t="n">
        <x:v>2</x:v>
      </x:c>
    </x:row>
    <x:row r="948">
      <x:c r="A948" s="15" t="n">
        <x:v>42186</x:v>
      </x:c>
      <x:c r="B948" s="13" t="str">
        <x:v>Homebuilders</x:v>
      </x:c>
      <x:c r="C948" s="16" t="n">
        <x:v>1253.456018235</x:v>
      </x:c>
      <x:c r="D948" s="16" t="n">
        <x:v>1259.2211448525</x:v>
      </x:c>
      <x:c r="E948" s="16" t="n">
        <x:v>5.7651266175</x:v>
      </x:c>
      <x:c r="F948" s="23" t="n">
        <x:v>3</x:v>
      </x:c>
    </x:row>
    <x:row r="949">
      <x:c r="A949" s="15" t="n">
        <x:v>42186</x:v>
      </x:c>
      <x:c r="B949" s="13" t="str">
        <x:v>Income Properties</x:v>
      </x:c>
      <x:c r="C949" s="16" t="n">
        <x:v>1082.8091285246</x:v>
      </x:c>
      <x:c r="D949" s="16" t="n">
        <x:v>1015.845004459</x:v>
      </x:c>
      <x:c r="E949" s="16" t="n">
        <x:v>-66.9641240656</x:v>
      </x:c>
      <x:c r="F949" s="23" t="n">
        <x:v>3</x:v>
      </x:c>
    </x:row>
    <x:row r="950">
      <x:c r="A950" s="15" t="n">
        <x:v>42186</x:v>
      </x:c>
      <x:c r="B950" s="13" t="str">
        <x:v>Metals &amp; Mining</x:v>
      </x:c>
      <x:c r="C950" s="16" t="n">
        <x:v>-961.4579515301</x:v>
      </x:c>
      <x:c r="D950" s="16" t="n">
        <x:v>1189.0778570492</x:v>
      </x:c>
      <x:c r="E950" s="16" t="n">
        <x:v>2150.5358085792</x:v>
      </x:c>
      <x:c r="F950" s="23" t="n">
        <x:v>5</x:v>
      </x:c>
    </x:row>
    <x:row r="951">
      <x:c r="A951" s="15" t="n">
        <x:v>42186</x:v>
      </x:c>
      <x:c r="B951" s="13" t="str">
        <x:v>Oil, Gas &amp; Petrochemicals</x:v>
      </x:c>
      <x:c r="C951" s="16" t="n">
        <x:v>19622.6444466011</x:v>
      </x:c>
      <x:c r="D951" s="16" t="n">
        <x:v>23142.776075541</x:v>
      </x:c>
      <x:c r="E951" s="16" t="n">
        <x:v>3520.13162894</x:v>
      </x:c>
      <x:c r="F951" s="23" t="n">
        <x:v>4</x:v>
      </x:c>
    </x:row>
    <x:row r="952">
      <x:c r="A952" s="15" t="n">
        <x:v>42186</x:v>
      </x:c>
      <x:c r="B952" s="13" t="str">
        <x:v>Pulp &amp; Paper</x:v>
      </x:c>
      <x:c r="C952" s="16" t="n">
        <x:v>1742.3071087213</x:v>
      </x:c>
      <x:c r="D952" s="16" t="n">
        <x:v>2537.7137891148</x:v>
      </x:c>
      <x:c r="E952" s="16" t="n">
        <x:v>795.4066803934</x:v>
      </x:c>
      <x:c r="F952" s="23" t="n">
        <x:v>4</x:v>
      </x:c>
    </x:row>
    <x:row r="953">
      <x:c r="A953" s="15" t="n">
        <x:v>42186</x:v>
      </x:c>
      <x:c r="B953" s="13" t="str">
        <x:v>Retail</x:v>
      </x:c>
      <x:c r="C953" s="16" t="n">
        <x:v>4117.8698756721</x:v>
      </x:c>
      <x:c r="D953" s="16" t="n">
        <x:v>3681.5468579672</x:v>
      </x:c>
      <x:c r="E953" s="16" t="n">
        <x:v>-436.3230177049</x:v>
      </x:c>
      <x:c r="F953" s="23" t="n">
        <x:v>5</x:v>
      </x:c>
    </x:row>
    <x:row r="954">
      <x:c r="A954" s="15" t="n">
        <x:v>42186</x:v>
      </x:c>
      <x:c r="B954" s="13" t="str">
        <x:v>Sanitation</x:v>
      </x:c>
      <x:c r="C954" s="16" t="n">
        <x:v>1013.5367312787</x:v>
      </x:c>
      <x:c r="D954" s="16" t="n">
        <x:v>1139.5698386885</x:v>
      </x:c>
      <x:c r="E954" s="16" t="n">
        <x:v>126.0331074098</x:v>
      </x:c>
      <x:c r="F954" s="23" t="n">
        <x:v>1</x:v>
      </x:c>
    </x:row>
    <x:row r="955">
      <x:c r="A955" s="15" t="n">
        <x:v>42186</x:v>
      </x:c>
      <x:c r="B955" s="13" t="str">
        <x:v>TMT</x:v>
      </x:c>
      <x:c r="C955" s="16" t="n">
        <x:v>4724.9565270382</x:v>
      </x:c>
      <x:c r="D955" s="16" t="n">
        <x:v>5680.1677786229</x:v>
      </x:c>
      <x:c r="E955" s="16" t="n">
        <x:v>955.2112515847</x:v>
      </x:c>
      <x:c r="F955" s="23" t="n">
        <x:v>3</x:v>
      </x:c>
    </x:row>
    <x:row r="956">
      <x:c r="A956" s="15" t="n">
        <x:v>42186</x:v>
      </x:c>
      <x:c r="B956" s="13" t="str">
        <x:v>Transportation</x:v>
      </x:c>
      <x:c r="C956" s="16" t="n">
        <x:v>1506.8965631475</x:v>
      </x:c>
      <x:c r="D956" s="16" t="n">
        <x:v>1620.3352291148</x:v>
      </x:c>
      <x:c r="E956" s="16" t="n">
        <x:v>113.4386659672</x:v>
      </x:c>
      <x:c r="F956" s="23" t="n">
        <x:v>4</x:v>
      </x:c>
    </x:row>
    <x:row r="957">
      <x:c r="A957" s="15" t="n">
        <x:v>42186</x:v>
      </x:c>
      <x:c r="B957" s="13" t="str">
        <x:v>Utilities &amp; Energy</x:v>
      </x:c>
      <x:c r="C957" s="16" t="n">
        <x:v>6491.7276797377</x:v>
      </x:c>
      <x:c r="D957" s="16" t="n">
        <x:v>7424.1520689836</x:v>
      </x:c>
      <x:c r="E957" s="16" t="n">
        <x:v>932.4243892459</x:v>
      </x:c>
      <x:c r="F957" s="23" t="n">
        <x:v>8</x:v>
      </x:c>
    </x:row>
    <x:row r="958">
      <x:c r="A958" s="15" t="n">
        <x:v>42217</x:v>
      </x:c>
      <x:c r="B958" s="13" t="str">
        <x:v>Banks</x:v>
      </x:c>
      <x:c r="C958" s="16" t="n">
        <x:v>78632.8367506886</x:v>
      </x:c>
      <x:c r="D958" s="16" t="n">
        <x:v>80308.4455253333</x:v>
      </x:c>
      <x:c r="E958" s="16" t="n">
        <x:v>1675.6087746447</x:v>
      </x:c>
      <x:c r="F958" s="23" t="n">
        <x:v>5</x:v>
      </x:c>
    </x:row>
    <x:row r="959">
      <x:c r="A959" s="15" t="n">
        <x:v>42217</x:v>
      </x:c>
      <x:c r="B959" s="13" t="str">
        <x:v>Capital Goods</x:v>
      </x:c>
      <x:c r="C959" s="16" t="n">
        <x:v>1374.6535868852</x:v>
      </x:c>
      <x:c r="D959" s="16" t="n">
        <x:v>1506.222976</x:v>
      </x:c>
      <x:c r="E959" s="16" t="n">
        <x:v>131.5693891148</x:v>
      </x:c>
      <x:c r="F959" s="23" t="n">
        <x:v>2</x:v>
      </x:c>
    </x:row>
    <x:row r="960">
      <x:c r="A960" s="15" t="n">
        <x:v>42217</x:v>
      </x:c>
      <x:c r="B960" s="13" t="str">
        <x:v>Education</x:v>
      </x:c>
      <x:c r="C960" s="16" t="n">
        <x:v>2125.7282717377</x:v>
      </x:c>
      <x:c r="D960" s="16" t="n">
        <x:v>2130.620672</x:v>
      </x:c>
      <x:c r="E960" s="16" t="n">
        <x:v>4.8924002623</x:v>
      </x:c>
      <x:c r="F960" s="23" t="n">
        <x:v>2</x:v>
      </x:c>
    </x:row>
    <x:row r="961">
      <x:c r="A961" s="15" t="n">
        <x:v>42217</x:v>
      </x:c>
      <x:c r="B961" s="13" t="str">
        <x:v>Financials Non-Banks</x:v>
      </x:c>
      <x:c r="C961" s="16" t="n">
        <x:v>18404.9802554754</x:v>
      </x:c>
      <x:c r="D961" s="16" t="n">
        <x:v>19229.40192</x:v>
      </x:c>
      <x:c r="E961" s="16" t="n">
        <x:v>824.4216645246</x:v>
      </x:c>
      <x:c r="F961" s="23" t="n">
        <x:v>5</x:v>
      </x:c>
    </x:row>
    <x:row r="962">
      <x:c r="A962" s="15" t="n">
        <x:v>42217</x:v>
      </x:c>
      <x:c r="B962" s="13" t="str">
        <x:v>Food &amp; Beverages</x:v>
      </x:c>
      <x:c r="C962" s="16" t="n">
        <x:v>18705.8884385574</x:v>
      </x:c>
      <x:c r="D962" s="16" t="n">
        <x:v>19747.0634986666</x:v>
      </x:c>
      <x:c r="E962" s="16" t="n">
        <x:v>1041.1750601093</x:v>
      </x:c>
      <x:c r="F962" s="23" t="n">
        <x:v>4</x:v>
      </x:c>
    </x:row>
    <x:row r="963">
      <x:c r="A963" s="15" t="n">
        <x:v>42217</x:v>
      </x:c>
      <x:c r="B963" s="13" t="str">
        <x:v>Health Care</x:v>
      </x:c>
      <x:c r="C963" s="16" t="n">
        <x:v>952.6331981639</x:v>
      </x:c>
      <x:c r="D963" s="16" t="n">
        <x:v>940.0096746667</x:v>
      </x:c>
      <x:c r="E963" s="16" t="n">
        <x:v>-12.6235234973</x:v>
      </x:c>
      <x:c r="F963" s="23" t="n">
        <x:v>2</x:v>
      </x:c>
    </x:row>
    <x:row r="964">
      <x:c r="A964" s="15" t="n">
        <x:v>42217</x:v>
      </x:c>
      <x:c r="B964" s="13" t="str">
        <x:v>Homebuilders</x:v>
      </x:c>
      <x:c r="C964" s="16" t="n">
        <x:v>1235.016533377</x:v>
      </x:c>
      <x:c r="D964" s="16" t="n">
        <x:v>1230.4183106667</x:v>
      </x:c>
      <x:c r="E964" s="16" t="n">
        <x:v>-4.5982227104</x:v>
      </x:c>
      <x:c r="F964" s="23" t="n">
        <x:v>3</x:v>
      </x:c>
    </x:row>
    <x:row r="965">
      <x:c r="A965" s="15" t="n">
        <x:v>42217</x:v>
      </x:c>
      <x:c r="B965" s="13" t="str">
        <x:v>Income Properties</x:v>
      </x:c>
      <x:c r="C965" s="16" t="n">
        <x:v>1066.003095082</x:v>
      </x:c>
      <x:c r="D965" s="16" t="n">
        <x:v>1049.374</x:v>
      </x:c>
      <x:c r="E965" s="16" t="n">
        <x:v>-16.629095082</x:v>
      </x:c>
      <x:c r="F965" s="23" t="n">
        <x:v>3</x:v>
      </x:c>
    </x:row>
    <x:row r="966">
      <x:c r="A966" s="15" t="n">
        <x:v>42217</x:v>
      </x:c>
      <x:c r="B966" s="13" t="str">
        <x:v>Metals &amp; Mining</x:v>
      </x:c>
      <x:c r="C966" s="16" t="n">
        <x:v>28.3553655738</x:v>
      </x:c>
      <x:c r="D966" s="16" t="n">
        <x:v>1423.7813013333</x:v>
      </x:c>
      <x:c r="E966" s="16" t="n">
        <x:v>1395.4259357596</x:v>
      </x:c>
      <x:c r="F966" s="23" t="n">
        <x:v>5</x:v>
      </x:c>
    </x:row>
    <x:row r="967">
      <x:c r="A967" s="15" t="n">
        <x:v>42217</x:v>
      </x:c>
      <x:c r="B967" s="13" t="str">
        <x:v>Oil, Gas &amp; Petrochemicals</x:v>
      </x:c>
      <x:c r="C967" s="16" t="n">
        <x:v>21938.5803037377</x:v>
      </x:c>
      <x:c r="D967" s="16" t="n">
        <x:v>22051.1546026666</x:v>
      </x:c>
      <x:c r="E967" s="16" t="n">
        <x:v>112.5742989289</x:v>
      </x:c>
      <x:c r="F967" s="23" t="n">
        <x:v>4</x:v>
      </x:c>
    </x:row>
    <x:row r="968">
      <x:c r="A968" s="15" t="n">
        <x:v>42217</x:v>
      </x:c>
      <x:c r="B968" s="13" t="str">
        <x:v>Pulp &amp; Paper</x:v>
      </x:c>
      <x:c r="C968" s="16" t="n">
        <x:v>2109.4732516721</x:v>
      </x:c>
      <x:c r="D968" s="16" t="n">
        <x:v>2837.8379146667</x:v>
      </x:c>
      <x:c r="E968" s="16" t="n">
        <x:v>728.3646629945</x:v>
      </x:c>
      <x:c r="F968" s="23" t="n">
        <x:v>4</x:v>
      </x:c>
    </x:row>
    <x:row r="969">
      <x:c r="A969" s="15" t="n">
        <x:v>42217</x:v>
      </x:c>
      <x:c r="B969" s="13" t="str">
        <x:v>Retail</x:v>
      </x:c>
      <x:c r="C969" s="16" t="n">
        <x:v>4058.2708831475</x:v>
      </x:c>
      <x:c r="D969" s="16" t="n">
        <x:v>3618.5029333333</x:v>
      </x:c>
      <x:c r="E969" s="16" t="n">
        <x:v>-439.7679498142</x:v>
      </x:c>
      <x:c r="F969" s="23" t="n">
        <x:v>5</x:v>
      </x:c>
    </x:row>
    <x:row r="970">
      <x:c r="A970" s="15" t="n">
        <x:v>42217</x:v>
      </x:c>
      <x:c r="B970" s="13" t="str">
        <x:v>Sanitation</x:v>
      </x:c>
      <x:c r="C970" s="16" t="n">
        <x:v>1148.071371541</x:v>
      </x:c>
      <x:c r="D970" s="16" t="n">
        <x:v>981.7599786667</x:v>
      </x:c>
      <x:c r="E970" s="16" t="n">
        <x:v>-166.3113928743</x:v>
      </x:c>
      <x:c r="F970" s="23" t="n">
        <x:v>1</x:v>
      </x:c>
    </x:row>
    <x:row r="971">
      <x:c r="A971" s="15" t="n">
        <x:v>42217</x:v>
      </x:c>
      <x:c r="B971" s="13" t="str">
        <x:v>TMT</x:v>
      </x:c>
      <x:c r="C971" s="16" t="n">
        <x:v>4982.1545463607</x:v>
      </x:c>
      <x:c r="D971" s="16" t="n">
        <x:v>5277.5467093333</x:v>
      </x:c>
      <x:c r="E971" s="16" t="n">
        <x:v>295.3921629727</x:v>
      </x:c>
      <x:c r="F971" s="23" t="n">
        <x:v>3</x:v>
      </x:c>
    </x:row>
    <x:row r="972">
      <x:c r="A972" s="15" t="n">
        <x:v>42217</x:v>
      </x:c>
      <x:c r="B972" s="13" t="str">
        <x:v>Transportation</x:v>
      </x:c>
      <x:c r="C972" s="16" t="n">
        <x:v>1446.540381377</x:v>
      </x:c>
      <x:c r="D972" s="16" t="n">
        <x:v>1418.8720426667</x:v>
      </x:c>
      <x:c r="E972" s="16" t="n">
        <x:v>-27.6683387104</x:v>
      </x:c>
      <x:c r="F972" s="23" t="n">
        <x:v>4</x:v>
      </x:c>
    </x:row>
    <x:row r="973">
      <x:c r="A973" s="15" t="n">
        <x:v>42217</x:v>
      </x:c>
      <x:c r="B973" s="13" t="str">
        <x:v>Utilities &amp; Energy</x:v>
      </x:c>
      <x:c r="C973" s="16" t="n">
        <x:v>6688.487543082</x:v>
      </x:c>
      <x:c r="D973" s="16" t="n">
        <x:v>7768.0256213333</x:v>
      </x:c>
      <x:c r="E973" s="16" t="n">
        <x:v>1079.5380782514</x:v>
      </x:c>
      <x:c r="F973" s="23" t="n">
        <x:v>8</x:v>
      </x:c>
    </x:row>
    <x:row r="974">
      <x:c r="A974" s="15" t="n">
        <x:v>42248</x:v>
      </x:c>
      <x:c r="B974" s="13" t="str">
        <x:v>Banks</x:v>
      </x:c>
      <x:c r="C974" s="16" t="n">
        <x:v>79024.1193099891</x:v>
      </x:c>
      <x:c r="D974" s="16" t="n">
        <x:v>79906.0251194754</x:v>
      </x:c>
      <x:c r="E974" s="16" t="n">
        <x:v>881.9058094864</x:v>
      </x:c>
      <x:c r="F974" s="23" t="n">
        <x:v>5</x:v>
      </x:c>
    </x:row>
    <x:row r="975">
      <x:c r="A975" s="15" t="n">
        <x:v>42248</x:v>
      </x:c>
      <x:c r="B975" s="13" t="str">
        <x:v>Capital Goods</x:v>
      </x:c>
      <x:c r="C975" s="16" t="n">
        <x:v>1181.236901071</x:v>
      </x:c>
      <x:c r="D975" s="16" t="n">
        <x:v>1378.8249033443</x:v>
      </x:c>
      <x:c r="E975" s="16" t="n">
        <x:v>197.5880022732</x:v>
      </x:c>
      <x:c r="F975" s="23" t="n">
        <x:v>1</x:v>
      </x:c>
    </x:row>
    <x:row r="976">
      <x:c r="A976" s="15" t="n">
        <x:v>42248</x:v>
      </x:c>
      <x:c r="B976" s="13" t="str">
        <x:v>Education</x:v>
      </x:c>
      <x:c r="C976" s="16" t="n">
        <x:v>2153.1937514317</x:v>
      </x:c>
      <x:c r="D976" s="16" t="n">
        <x:v>2200.9565433006</x:v>
      </x:c>
      <x:c r="E976" s="16" t="n">
        <x:v>47.7627918689</x:v>
      </x:c>
      <x:c r="F976" s="23" t="n">
        <x:v>2</x:v>
      </x:c>
    </x:row>
    <x:row r="977">
      <x:c r="A977" s="15" t="n">
        <x:v>42248</x:v>
      </x:c>
      <x:c r="B977" s="13" t="str">
        <x:v>Financials Non-Banks</x:v>
      </x:c>
      <x:c r="C977" s="16" t="n">
        <x:v>18841.3995299672</x:v>
      </x:c>
      <x:c r="D977" s="16" t="n">
        <x:v>19373.2842551257</x:v>
      </x:c>
      <x:c r="E977" s="16" t="n">
        <x:v>531.8847251585</x:v>
      </x:c>
      <x:c r="F977" s="23" t="n">
        <x:v>5</x:v>
      </x:c>
    </x:row>
    <x:row r="978">
      <x:c r="A978" s="15" t="n">
        <x:v>42248</x:v>
      </x:c>
      <x:c r="B978" s="13" t="str">
        <x:v>Food &amp; Beverages</x:v>
      </x:c>
      <x:c r="C978" s="16" t="n">
        <x:v>19157.4795225136</x:v>
      </x:c>
      <x:c r="D978" s="16" t="n">
        <x:v>19973.0391445683</x:v>
      </x:c>
      <x:c r="E978" s="16" t="n">
        <x:v>815.5596220547</x:v>
      </x:c>
      <x:c r="F978" s="23" t="n">
        <x:v>4</x:v>
      </x:c>
    </x:row>
    <x:row r="979">
      <x:c r="A979" s="15" t="n">
        <x:v>42248</x:v>
      </x:c>
      <x:c r="B979" s="13" t="str">
        <x:v>Health Care</x:v>
      </x:c>
      <x:c r="C979" s="16" t="n">
        <x:v>938.5831106448</x:v>
      </x:c>
      <x:c r="D979" s="16" t="n">
        <x:v>954.9518737486</x:v>
      </x:c>
      <x:c r="E979" s="16" t="n">
        <x:v>16.3687631038</x:v>
      </x:c>
      <x:c r="F979" s="23" t="n">
        <x:v>2</x:v>
      </x:c>
    </x:row>
    <x:row r="980">
      <x:c r="A980" s="15" t="n">
        <x:v>42248</x:v>
      </x:c>
      <x:c r="B980" s="13" t="str">
        <x:v>Homebuilders</x:v>
      </x:c>
      <x:c r="C980" s="16" t="n">
        <x:v>1206.262663694</x:v>
      </x:c>
      <x:c r="D980" s="16" t="n">
        <x:v>1105.6299229727</x:v>
      </x:c>
      <x:c r="E980" s="16" t="n">
        <x:v>-100.6327407213</x:v>
      </x:c>
      <x:c r="F980" s="23" t="n">
        <x:v>2</x:v>
      </x:c>
    </x:row>
    <x:row r="981">
      <x:c r="A981" s="15" t="n">
        <x:v>42248</x:v>
      </x:c>
      <x:c r="B981" s="13" t="str">
        <x:v>Income Properties</x:v>
      </x:c>
      <x:c r="C981" s="16" t="n">
        <x:v>1048.4301366557</x:v>
      </x:c>
      <x:c r="D981" s="16" t="n">
        <x:v>1042.5682300328</x:v>
      </x:c>
      <x:c r="E981" s="16" t="n">
        <x:v>-5.861906623</x:v>
      </x:c>
      <x:c r="F981" s="23" t="n">
        <x:v>3</x:v>
      </x:c>
    </x:row>
    <x:row r="982">
      <x:c r="A982" s="15" t="n">
        <x:v>42248</x:v>
      </x:c>
      <x:c r="B982" s="13" t="str">
        <x:v>Metals &amp; Mining</x:v>
      </x:c>
      <x:c r="C982" s="16" t="n">
        <x:v>571.5742385137</x:v>
      </x:c>
      <x:c r="D982" s="16" t="n">
        <x:v>530.9833940984</x:v>
      </x:c>
      <x:c r="E982" s="16" t="n">
        <x:v>-40.5908444153</x:v>
      </x:c>
      <x:c r="F982" s="23" t="n">
        <x:v>5</x:v>
      </x:c>
    </x:row>
    <x:row r="983">
      <x:c r="A983" s="15" t="n">
        <x:v>42248</x:v>
      </x:c>
      <x:c r="B983" s="13" t="str">
        <x:v>Oil, Gas &amp; Petrochemicals</x:v>
      </x:c>
      <x:c r="C983" s="16" t="n">
        <x:v>22690.7810052896</x:v>
      </x:c>
      <x:c r="D983" s="16" t="n">
        <x:v>19572.1820765027</x:v>
      </x:c>
      <x:c r="E983" s="16" t="n">
        <x:v>-3118.5989287869</x:v>
      </x:c>
      <x:c r="F983" s="23" t="n">
        <x:v>4</x:v>
      </x:c>
    </x:row>
    <x:row r="984">
      <x:c r="A984" s="15" t="n">
        <x:v>42248</x:v>
      </x:c>
      <x:c r="B984" s="13" t="str">
        <x:v>Pulp &amp; Paper</x:v>
      </x:c>
      <x:c r="C984" s="16" t="n">
        <x:v>1924.9943666011</x:v>
      </x:c>
      <x:c r="D984" s="16" t="n">
        <x:v>3084.3175246339</x:v>
      </x:c>
      <x:c r="E984" s="16" t="n">
        <x:v>1159.3231580328</x:v>
      </x:c>
      <x:c r="F984" s="23" t="n">
        <x:v>3</x:v>
      </x:c>
    </x:row>
    <x:row r="985">
      <x:c r="A985" s="15" t="n">
        <x:v>42248</x:v>
      </x:c>
      <x:c r="B985" s="13" t="str">
        <x:v>Retail</x:v>
      </x:c>
      <x:c r="C985" s="16" t="n">
        <x:v>3875.3251749071</x:v>
      </x:c>
      <x:c r="D985" s="16" t="n">
        <x:v>3468.9695747322</x:v>
      </x:c>
      <x:c r="E985" s="16" t="n">
        <x:v>-406.3556001749</x:v>
      </x:c>
      <x:c r="F985" s="23" t="n">
        <x:v>5</x:v>
      </x:c>
    </x:row>
    <x:row r="986">
      <x:c r="A986" s="15" t="n">
        <x:v>42248</x:v>
      </x:c>
      <x:c r="B986" s="13" t="str">
        <x:v>Sanitation</x:v>
      </x:c>
      <x:c r="C986" s="16" t="n">
        <x:v>1111.3579394098</x:v>
      </x:c>
      <x:c r="D986" s="16" t="n">
        <x:v>1041.3904996721</x:v>
      </x:c>
      <x:c r="E986" s="16" t="n">
        <x:v>-69.9674397377</x:v>
      </x:c>
      <x:c r="F986" s="23" t="n">
        <x:v>1</x:v>
      </x:c>
    </x:row>
    <x:row r="987">
      <x:c r="A987" s="15" t="n">
        <x:v>42248</x:v>
      </x:c>
      <x:c r="B987" s="13" t="str">
        <x:v>TMT</x:v>
      </x:c>
      <x:c r="C987" s="16" t="n">
        <x:v>5515.7914715628</x:v>
      </x:c>
      <x:c r="D987" s="16" t="n">
        <x:v>5228.8879041749</x:v>
      </x:c>
      <x:c r="E987" s="16" t="n">
        <x:v>-286.903567388</x:v>
      </x:c>
      <x:c r="F987" s="23" t="n">
        <x:v>3</x:v>
      </x:c>
    </x:row>
    <x:row r="988">
      <x:c r="A988" s="15" t="n">
        <x:v>42248</x:v>
      </x:c>
      <x:c r="B988" s="13" t="str">
        <x:v>Transportation</x:v>
      </x:c>
      <x:c r="C988" s="16" t="n">
        <x:v>1557.456056918</x:v>
      </x:c>
      <x:c r="D988" s="16" t="n">
        <x:v>1174.3205915628</x:v>
      </x:c>
      <x:c r="E988" s="16" t="n">
        <x:v>-383.1354653552</x:v>
      </x:c>
      <x:c r="F988" s="23" t="n">
        <x:v>4</x:v>
      </x:c>
    </x:row>
    <x:row r="989">
      <x:c r="A989" s="15" t="n">
        <x:v>42248</x:v>
      </x:c>
      <x:c r="B989" s="13" t="str">
        <x:v>Utilities &amp; Energy</x:v>
      </x:c>
      <x:c r="C989" s="16" t="n">
        <x:v>6455.0389572896</x:v>
      </x:c>
      <x:c r="D989" s="16" t="n">
        <x:v>7430.3572570929</x:v>
      </x:c>
      <x:c r="E989" s="16" t="n">
        <x:v>975.3182998033</x:v>
      </x:c>
      <x:c r="F989" s="23" t="n">
        <x:v>7</x:v>
      </x:c>
    </x:row>
    <x:row r="990">
      <x:c r="A990" s="15" t="n">
        <x:v>42278</x:v>
      </x:c>
      <x:c r="B990" s="13" t="str">
        <x:v>Banks</x:v>
      </x:c>
      <x:c r="C990" s="16" t="n">
        <x:v>79415.2780170492</x:v>
      </x:c>
      <x:c r="D990" s="16" t="n">
        <x:v>75689.2651492021</x:v>
      </x:c>
      <x:c r="E990" s="16" t="n">
        <x:v>-3726.0128678471</x:v>
      </x:c>
      <x:c r="F990" s="23" t="n">
        <x:v>5</x:v>
      </x:c>
    </x:row>
    <x:row r="991">
      <x:c r="A991" s="15" t="n">
        <x:v>42278</x:v>
      </x:c>
      <x:c r="B991" s="13" t="str">
        <x:v>Capital Goods</x:v>
      </x:c>
      <x:c r="C991" s="16" t="n">
        <x:v>1277.9666706885</x:v>
      </x:c>
      <x:c r="D991" s="16" t="n">
        <x:v>1501.9863599563</x:v>
      </x:c>
      <x:c r="E991" s="16" t="n">
        <x:v>224.0196892678</x:v>
      </x:c>
      <x:c r="F991" s="23" t="n">
        <x:v>1</x:v>
      </x:c>
    </x:row>
    <x:row r="992">
      <x:c r="A992" s="15" t="n">
        <x:v>42278</x:v>
      </x:c>
      <x:c r="B992" s="13" t="str">
        <x:v>Education</x:v>
      </x:c>
      <x:c r="C992" s="16" t="n">
        <x:v>2118.072365377</x:v>
      </x:c>
      <x:c r="D992" s="16" t="n">
        <x:v>2251.1679452678</x:v>
      </x:c>
      <x:c r="E992" s="16" t="n">
        <x:v>133.0955798907</x:v>
      </x:c>
      <x:c r="F992" s="23" t="n">
        <x:v>2</x:v>
      </x:c>
    </x:row>
    <x:row r="993">
      <x:c r="A993" s="15" t="n">
        <x:v>42278</x:v>
      </x:c>
      <x:c r="B993" s="13" t="str">
        <x:v>Financials Non-Banks</x:v>
      </x:c>
      <x:c r="C993" s="16" t="n">
        <x:v>19017.6248493115</x:v>
      </x:c>
      <x:c r="D993" s="16" t="n">
        <x:v>19216.5975840874</x:v>
      </x:c>
      <x:c r="E993" s="16" t="n">
        <x:v>198.972734776</x:v>
      </x:c>
      <x:c r="F993" s="23" t="n">
        <x:v>5</x:v>
      </x:c>
    </x:row>
    <x:row r="994">
      <x:c r="A994" s="15" t="n">
        <x:v>42278</x:v>
      </x:c>
      <x:c r="B994" s="13" t="str">
        <x:v>Food &amp; Beverages</x:v>
      </x:c>
      <x:c r="C994" s="16" t="n">
        <x:v>17725.2378933771</x:v>
      </x:c>
      <x:c r="D994" s="16" t="n">
        <x:v>18707.3127251585</x:v>
      </x:c>
      <x:c r="E994" s="16" t="n">
        <x:v>982.0748317814</x:v>
      </x:c>
      <x:c r="F994" s="23" t="n">
        <x:v>3</x:v>
      </x:c>
    </x:row>
    <x:row r="995">
      <x:c r="A995" s="15" t="n">
        <x:v>42278</x:v>
      </x:c>
      <x:c r="B995" s="13" t="str">
        <x:v>Health Care</x:v>
      </x:c>
      <x:c r="C995" s="16" t="n">
        <x:v>939.7692542951</x:v>
      </x:c>
      <x:c r="D995" s="16" t="n">
        <x:v>940.4862499672</x:v>
      </x:c>
      <x:c r="E995" s="16" t="n">
        <x:v>0.7169956721</x:v>
      </x:c>
      <x:c r="F995" s="23" t="n">
        <x:v>2</x:v>
      </x:c>
    </x:row>
    <x:row r="996">
      <x:c r="A996" s="15" t="n">
        <x:v>42278</x:v>
      </x:c>
      <x:c r="B996" s="13" t="str">
        <x:v>Homebuilders</x:v>
      </x:c>
      <x:c r="C996" s="16" t="n">
        <x:v>1205.6055923934</x:v>
      </x:c>
      <x:c r="D996" s="16" t="n">
        <x:v>1021.9271471913</x:v>
      </x:c>
      <x:c r="E996" s="16" t="n">
        <x:v>-183.6784452022</x:v>
      </x:c>
      <x:c r="F996" s="23" t="n">
        <x:v>2</x:v>
      </x:c>
    </x:row>
    <x:row r="997">
      <x:c r="A997" s="15" t="n">
        <x:v>42278</x:v>
      </x:c>
      <x:c r="B997" s="13" t="str">
        <x:v>Income Properties</x:v>
      </x:c>
      <x:c r="C997" s="16" t="n">
        <x:v>1015.845004459</x:v>
      </x:c>
      <x:c r="D997" s="16" t="n">
        <x:v>1003.0495318033</x:v>
      </x:c>
      <x:c r="E997" s="16" t="n">
        <x:v>-12.7954726557</x:v>
      </x:c>
      <x:c r="F997" s="23" t="n">
        <x:v>3</x:v>
      </x:c>
    </x:row>
    <x:row r="998">
      <x:c r="A998" s="15" t="n">
        <x:v>42278</x:v>
      </x:c>
      <x:c r="B998" s="13" t="str">
        <x:v>Metals &amp; Mining</x:v>
      </x:c>
      <x:c r="C998" s="16" t="n">
        <x:v>1325.1024472131</x:v>
      </x:c>
      <x:c r="D998" s="16" t="n">
        <x:v>1581.007688918</x:v>
      </x:c>
      <x:c r="E998" s="16" t="n">
        <x:v>255.9052417049</x:v>
      </x:c>
      <x:c r="F998" s="23" t="n">
        <x:v>6</x:v>
      </x:c>
    </x:row>
    <x:row r="999">
      <x:c r="A999" s="15" t="n">
        <x:v>42278</x:v>
      </x:c>
      <x:c r="B999" s="13" t="str">
        <x:v>Oil, Gas &amp; Petrochemicals</x:v>
      </x:c>
      <x:c r="C999" s="16" t="n">
        <x:v>23142.776075541</x:v>
      </x:c>
      <x:c r="D999" s="16" t="n">
        <x:v>20013.1305302732</x:v>
      </x:c>
      <x:c r="E999" s="16" t="n">
        <x:v>-3129.6455452678</x:v>
      </x:c>
      <x:c r="F999" s="23" t="n">
        <x:v>4</x:v>
      </x:c>
    </x:row>
    <x:row r="1000">
      <x:c r="A1000" s="15" t="n">
        <x:v>42278</x:v>
      </x:c>
      <x:c r="B1000" s="13" t="str">
        <x:v>Pulp &amp; Paper</x:v>
      </x:c>
      <x:c r="C1000" s="16" t="n">
        <x:v>2151.108568918</x:v>
      </x:c>
      <x:c r="D1000" s="16" t="n">
        <x:v>4713.4723561967</x:v>
      </x:c>
      <x:c r="E1000" s="16" t="n">
        <x:v>2562.3637872787</x:v>
      </x:c>
      <x:c r="F1000" s="23" t="n">
        <x:v>3</x:v>
      </x:c>
    </x:row>
    <x:row r="1001">
      <x:c r="A1001" s="15" t="n">
        <x:v>42278</x:v>
      </x:c>
      <x:c r="B1001" s="13" t="str">
        <x:v>Retail</x:v>
      </x:c>
      <x:c r="C1001" s="16" t="n">
        <x:v>3681.5468579672</x:v>
      </x:c>
      <x:c r="D1001" s="16" t="n">
        <x:v>3342.0938476066</x:v>
      </x:c>
      <x:c r="E1001" s="16" t="n">
        <x:v>-339.4530103607</x:v>
      </x:c>
      <x:c r="F1001" s="23" t="n">
        <x:v>5</x:v>
      </x:c>
    </x:row>
    <x:row r="1002">
      <x:c r="A1002" s="15" t="n">
        <x:v>42278</x:v>
      </x:c>
      <x:c r="B1002" s="13" t="str">
        <x:v>Sanitation</x:v>
      </x:c>
      <x:c r="C1002" s="16" t="n">
        <x:v>1139.5698386885</x:v>
      </x:c>
      <x:c r="D1002" s="16" t="n">
        <x:v>1069.6123275191</x:v>
      </x:c>
      <x:c r="E1002" s="16" t="n">
        <x:v>-69.9575111694</x:v>
      </x:c>
      <x:c r="F1002" s="23" t="n">
        <x:v>1</x:v>
      </x:c>
    </x:row>
    <x:row r="1003">
      <x:c r="A1003" s="15" t="n">
        <x:v>42278</x:v>
      </x:c>
      <x:c r="B1003" s="13" t="str">
        <x:v>TMT</x:v>
      </x:c>
      <x:c r="C1003" s="16" t="n">
        <x:v>6389.8328739672</x:v>
      </x:c>
      <x:c r="D1003" s="16" t="n">
        <x:v>6169.9769991694</x:v>
      </x:c>
      <x:c r="E1003" s="16" t="n">
        <x:v>-219.8558747978</x:v>
      </x:c>
      <x:c r="F1003" s="23" t="n">
        <x:v>2</x:v>
      </x:c>
    </x:row>
    <x:row r="1004">
      <x:c r="A1004" s="15" t="n">
        <x:v>42278</x:v>
      </x:c>
      <x:c r="B1004" s="13" t="str">
        <x:v>Transportation</x:v>
      </x:c>
      <x:c r="C1004" s="16" t="n">
        <x:v>1620.3352291148</x:v>
      </x:c>
      <x:c r="D1004" s="16" t="n">
        <x:v>1072.7801071913</x:v>
      </x:c>
      <x:c r="E1004" s="16" t="n">
        <x:v>-547.5551219235</x:v>
      </x:c>
      <x:c r="F1004" s="23" t="n">
        <x:v>4</x:v>
      </x:c>
    </x:row>
    <x:row r="1005">
      <x:c r="A1005" s="15" t="n">
        <x:v>42278</x:v>
      </x:c>
      <x:c r="B1005" s="13" t="str">
        <x:v>Utilities &amp; Energy</x:v>
      </x:c>
      <x:c r="C1005" s="16" t="n">
        <x:v>7090.1028886557</x:v>
      </x:c>
      <x:c r="D1005" s="16" t="n">
        <x:v>7438.0366022295</x:v>
      </x:c>
      <x:c r="E1005" s="16" t="n">
        <x:v>347.9337135738</x:v>
      </x:c>
      <x:c r="F1005" s="23" t="n">
        <x:v>7</x:v>
      </x:c>
    </x:row>
    <x:row r="1006">
      <x:c r="A1006" s="15" t="n">
        <x:v>42309</x:v>
      </x:c>
      <x:c r="B1006" s="13" t="str">
        <x:v>Banks</x:v>
      </x:c>
      <x:c r="C1006" s="16" t="n">
        <x:v>80308.4455253333</x:v>
      </x:c>
      <x:c r="D1006" s="16" t="n">
        <x:v>73536.4485763498</x:v>
      </x:c>
      <x:c r="E1006" s="16" t="n">
        <x:v>-6771.9969489835</x:v>
      </x:c>
      <x:c r="F1006" s="23" t="n">
        <x:v>5</x:v>
      </x:c>
    </x:row>
    <x:row r="1007">
      <x:c r="A1007" s="15" t="n">
        <x:v>42309</x:v>
      </x:c>
      <x:c r="B1007" s="13" t="str">
        <x:v>Capital Goods</x:v>
      </x:c>
      <x:c r="C1007" s="16" t="n">
        <x:v>1296.57664</x:v>
      </x:c>
      <x:c r="D1007" s="16" t="n">
        <x:v>1548.0634233006</x:v>
      </x:c>
      <x:c r="E1007" s="16" t="n">
        <x:v>251.4867833006</x:v>
      </x:c>
      <x:c r="F1007" s="23" t="n">
        <x:v>1</x:v>
      </x:c>
    </x:row>
    <x:row r="1008">
      <x:c r="A1008" s="15" t="n">
        <x:v>42309</x:v>
      </x:c>
      <x:c r="B1008" s="13" t="str">
        <x:v>Education</x:v>
      </x:c>
      <x:c r="C1008" s="16" t="n">
        <x:v>2130.620672</x:v>
      </x:c>
      <x:c r="D1008" s="16" t="n">
        <x:v>2270.8442415738</x:v>
      </x:c>
      <x:c r="E1008" s="16" t="n">
        <x:v>140.2235695738</x:v>
      </x:c>
      <x:c r="F1008" s="23" t="n">
        <x:v>2</x:v>
      </x:c>
    </x:row>
    <x:row r="1009">
      <x:c r="A1009" s="15" t="n">
        <x:v>42309</x:v>
      </x:c>
      <x:c r="B1009" s="13" t="str">
        <x:v>Financials Non-Banks</x:v>
      </x:c>
      <x:c r="C1009" s="16" t="n">
        <x:v>19229.40192</x:v>
      </x:c>
      <x:c r="D1009" s="16" t="n">
        <x:v>19227.6785703169</x:v>
      </x:c>
      <x:c r="E1009" s="16" t="n">
        <x:v>-1.7233496831</x:v>
      </x:c>
      <x:c r="F1009" s="23" t="n">
        <x:v>5</x:v>
      </x:c>
    </x:row>
    <x:row r="1010">
      <x:c r="A1010" s="15" t="n">
        <x:v>42309</x:v>
      </x:c>
      <x:c r="B1010" s="13" t="str">
        <x:v>Food &amp; Beverages</x:v>
      </x:c>
      <x:c r="C1010" s="16" t="n">
        <x:v>18039.2301546666</x:v>
      </x:c>
      <x:c r="D1010" s="16" t="n">
        <x:v>18672.0840962186</x:v>
      </x:c>
      <x:c r="E1010" s="16" t="n">
        <x:v>632.8539415519</x:v>
      </x:c>
      <x:c r="F1010" s="23" t="n">
        <x:v>3</x:v>
      </x:c>
    </x:row>
    <x:row r="1011">
      <x:c r="A1011" s="15" t="n">
        <x:v>42309</x:v>
      </x:c>
      <x:c r="B1011" s="13" t="str">
        <x:v>Health Care</x:v>
      </x:c>
      <x:c r="C1011" s="16" t="n">
        <x:v>940.0096746667</x:v>
      </x:c>
      <x:c r="D1011" s="16" t="n">
        <x:v>955.1415812896</x:v>
      </x:c>
      <x:c r="E1011" s="16" t="n">
        <x:v>15.131906623</x:v>
      </x:c>
      <x:c r="F1011" s="23" t="n">
        <x:v>2</x:v>
      </x:c>
    </x:row>
    <x:row r="1012">
      <x:c r="A1012" s="15" t="n">
        <x:v>42309</x:v>
      </x:c>
      <x:c r="B1012" s="13" t="str">
        <x:v>Homebuilders</x:v>
      </x:c>
      <x:c r="C1012" s="16" t="n">
        <x:v>1162.869344</x:v>
      </x:c>
      <x:c r="D1012" s="16" t="n">
        <x:v>982.6340857705</x:v>
      </x:c>
      <x:c r="E1012" s="16" t="n">
        <x:v>-180.2352582295</x:v>
      </x:c>
      <x:c r="F1012" s="23" t="n">
        <x:v>2</x:v>
      </x:c>
    </x:row>
    <x:row r="1013">
      <x:c r="A1013" s="15" t="n">
        <x:v>42309</x:v>
      </x:c>
      <x:c r="B1013" s="13" t="str">
        <x:v>Income Properties</x:v>
      </x:c>
      <x:c r="C1013" s="16" t="n">
        <x:v>1049.374</x:v>
      </x:c>
      <x:c r="D1013" s="16" t="n">
        <x:v>1014.8181635628</x:v>
      </x:c>
      <x:c r="E1013" s="16" t="n">
        <x:v>-34.5558364372</x:v>
      </x:c>
      <x:c r="F1013" s="23" t="n">
        <x:v>3</x:v>
      </x:c>
    </x:row>
    <x:row r="1014">
      <x:c r="A1014" s="15" t="n">
        <x:v>42309</x:v>
      </x:c>
      <x:c r="B1014" s="13" t="str">
        <x:v>Metals &amp; Mining</x:v>
      </x:c>
      <x:c r="C1014" s="16" t="n">
        <x:v>1158.947968</x:v>
      </x:c>
      <x:c r="D1014" s="16" t="n">
        <x:v>1657.3484066448</x:v>
      </x:c>
      <x:c r="E1014" s="16" t="n">
        <x:v>498.4004386448</x:v>
      </x:c>
      <x:c r="F1014" s="23" t="n">
        <x:v>6</x:v>
      </x:c>
    </x:row>
    <x:row r="1015">
      <x:c r="A1015" s="15" t="n">
        <x:v>42309</x:v>
      </x:c>
      <x:c r="B1015" s="13" t="str">
        <x:v>Oil, Gas &amp; Petrochemicals</x:v>
      </x:c>
      <x:c r="C1015" s="16" t="n">
        <x:v>22051.1546026666</x:v>
      </x:c>
      <x:c r="D1015" s="16" t="n">
        <x:v>20243.7973166339</x:v>
      </x:c>
      <x:c r="E1015" s="16" t="n">
        <x:v>-1807.3572860327</x:v>
      </x:c>
      <x:c r="F1015" s="23" t="n">
        <x:v>4</x:v>
      </x:c>
    </x:row>
    <x:row r="1016">
      <x:c r="A1016" s="15" t="n">
        <x:v>42309</x:v>
      </x:c>
      <x:c r="B1016" s="13" t="str">
        <x:v>Pulp &amp; Paper</x:v>
      </x:c>
      <x:c r="C1016" s="16" t="n">
        <x:v>2472.9492533333</x:v>
      </x:c>
      <x:c r="D1016" s="16" t="n">
        <x:v>5739.439632612</x:v>
      </x:c>
      <x:c r="E1016" s="16" t="n">
        <x:v>3266.4903792787</x:v>
      </x:c>
      <x:c r="F1016" s="23" t="n">
        <x:v>3</x:v>
      </x:c>
    </x:row>
    <x:row r="1017">
      <x:c r="A1017" s="15" t="n">
        <x:v>42309</x:v>
      </x:c>
      <x:c r="B1017" s="13" t="str">
        <x:v>Retail</x:v>
      </x:c>
      <x:c r="C1017" s="16" t="n">
        <x:v>3618.5029333333</x:v>
      </x:c>
      <x:c r="D1017" s="16" t="n">
        <x:v>3100.2942466011</x:v>
      </x:c>
      <x:c r="E1017" s="16" t="n">
        <x:v>-518.2086867322</x:v>
      </x:c>
      <x:c r="F1017" s="23" t="n">
        <x:v>5</x:v>
      </x:c>
    </x:row>
    <x:row r="1018">
      <x:c r="A1018" s="15" t="n">
        <x:v>42309</x:v>
      </x:c>
      <x:c r="B1018" s="13" t="str">
        <x:v>Sanitation</x:v>
      </x:c>
      <x:c r="C1018" s="16" t="n">
        <x:v>981.7599786667</x:v>
      </x:c>
      <x:c r="D1018" s="16" t="n">
        <x:v>958.2743773552</x:v>
      </x:c>
      <x:c r="E1018" s="16" t="n">
        <x:v>-23.4856013115</x:v>
      </x:c>
      <x:c r="F1018" s="23" t="n">
        <x:v>1</x:v>
      </x:c>
    </x:row>
    <x:row r="1019">
      <x:c r="A1019" s="15" t="n">
        <x:v>42309</x:v>
      </x:c>
      <x:c r="B1019" s="13" t="str">
        <x:v>TMT</x:v>
      </x:c>
      <x:c r="C1019" s="16" t="n">
        <x:v>6281.6667306667</x:v>
      </x:c>
      <x:c r="D1019" s="16" t="n">
        <x:v>6097.5932282404</x:v>
      </x:c>
      <x:c r="E1019" s="16" t="n">
        <x:v>-184.0735024262</x:v>
      </x:c>
      <x:c r="F1019" s="23" t="n">
        <x:v>2</x:v>
      </x:c>
    </x:row>
    <x:row r="1020">
      <x:c r="A1020" s="15" t="n">
        <x:v>42309</x:v>
      </x:c>
      <x:c r="B1020" s="13" t="str">
        <x:v>Transportation</x:v>
      </x:c>
      <x:c r="C1020" s="16" t="n">
        <x:v>1418.8720426667</x:v>
      </x:c>
      <x:c r="D1020" s="16" t="n">
        <x:v>941.4902202404</x:v>
      </x:c>
      <x:c r="E1020" s="16" t="n">
        <x:v>-477.3818224262</x:v>
      </x:c>
      <x:c r="F1020" s="23" t="n">
        <x:v>4</x:v>
      </x:c>
    </x:row>
    <x:row r="1021">
      <x:c r="A1021" s="15" t="n">
        <x:v>42309</x:v>
      </x:c>
      <x:c r="B1021" s="13" t="str">
        <x:v>Utilities &amp; Energy</x:v>
      </x:c>
      <x:c r="C1021" s="16" t="n">
        <x:v>7261.3589546667</x:v>
      </x:c>
      <x:c r="D1021" s="16" t="n">
        <x:v>7345.131324153</x:v>
      </x:c>
      <x:c r="E1021" s="16" t="n">
        <x:v>83.7723694863</x:v>
      </x:c>
      <x:c r="F1021" s="23" t="n">
        <x:v>7</x:v>
      </x:c>
    </x:row>
    <x:row r="1022">
      <x:c r="A1022" s="15" t="n">
        <x:v>42339</x:v>
      </x:c>
      <x:c r="B1022" s="13" t="str">
        <x:v>Banks</x:v>
      </x:c>
      <x:c r="C1022" s="16" t="n">
        <x:v>79906.0251194754</x:v>
      </x:c>
      <x:c r="D1022" s="16" t="n">
        <x:v>72745.15968</x:v>
      </x:c>
      <x:c r="E1022" s="16" t="n">
        <x:v>-7160.8654394754</x:v>
      </x:c>
      <x:c r="F1022" s="23" t="n">
        <x:v>5</x:v>
      </x:c>
    </x:row>
    <x:row r="1023">
      <x:c r="A1023" s="15" t="n">
        <x:v>42339</x:v>
      </x:c>
      <x:c r="B1023" s="13" t="str">
        <x:v>Capital Goods</x:v>
      </x:c>
      <x:c r="C1023" s="16" t="n">
        <x:v>1378.8249033443</x:v>
      </x:c>
      <x:c r="D1023" s="16" t="n">
        <x:v>1585.500032</x:v>
      </x:c>
      <x:c r="E1023" s="16" t="n">
        <x:v>206.6751286557</x:v>
      </x:c>
      <x:c r="F1023" s="23" t="n">
        <x:v>1</x:v>
      </x:c>
    </x:row>
    <x:row r="1024">
      <x:c r="A1024" s="15" t="n">
        <x:v>42339</x:v>
      </x:c>
      <x:c r="B1024" s="13" t="str">
        <x:v>Education</x:v>
      </x:c>
      <x:c r="C1024" s="16" t="n">
        <x:v>2200.9565433006</x:v>
      </x:c>
      <x:c r="D1024" s="16" t="n">
        <x:v>2292.199936</x:v>
      </x:c>
      <x:c r="E1024" s="16" t="n">
        <x:v>91.2433926994</x:v>
      </x:c>
      <x:c r="F1024" s="23" t="n">
        <x:v>2</x:v>
      </x:c>
    </x:row>
    <x:row r="1025">
      <x:c r="A1025" s="15" t="n">
        <x:v>42339</x:v>
      </x:c>
      <x:c r="B1025" s="13" t="str">
        <x:v>Financials Non-Banks</x:v>
      </x:c>
      <x:c r="C1025" s="16" t="n">
        <x:v>19373.2842551257</x:v>
      </x:c>
      <x:c r="D1025" s="16" t="n">
        <x:v>19090.212032</x:v>
      </x:c>
      <x:c r="E1025" s="16" t="n">
        <x:v>-283.0722231257</x:v>
      </x:c>
      <x:c r="F1025" s="23" t="n">
        <x:v>5</x:v>
      </x:c>
    </x:row>
    <x:row r="1026">
      <x:c r="A1026" s="15" t="n">
        <x:v>42339</x:v>
      </x:c>
      <x:c r="B1026" s="13" t="str">
        <x:v>Food &amp; Beverages</x:v>
      </x:c>
      <x:c r="C1026" s="16" t="n">
        <x:v>18255.3902254864</x:v>
      </x:c>
      <x:c r="D1026" s="16" t="n">
        <x:v>19000.179008</x:v>
      </x:c>
      <x:c r="E1026" s="16" t="n">
        <x:v>744.7887825136</x:v>
      </x:c>
      <x:c r="F1026" s="23" t="n">
        <x:v>3</x:v>
      </x:c>
    </x:row>
    <x:row r="1027">
      <x:c r="A1027" s="15" t="n">
        <x:v>42339</x:v>
      </x:c>
      <x:c r="B1027" s="13" t="str">
        <x:v>Health Care</x:v>
      </x:c>
      <x:c r="C1027" s="16" t="n">
        <x:v>954.9518737486</x:v>
      </x:c>
      <x:c r="D1027" s="16" t="n">
        <x:v>1015.622016</x:v>
      </x:c>
      <x:c r="E1027" s="16" t="n">
        <x:v>60.6701422514</x:v>
      </x:c>
      <x:c r="F1027" s="23" t="n">
        <x:v>2</x:v>
      </x:c>
    </x:row>
    <x:row r="1028">
      <x:c r="A1028" s="15" t="n">
        <x:v>42339</x:v>
      </x:c>
      <x:c r="B1028" s="13" t="str">
        <x:v>Homebuilders</x:v>
      </x:c>
      <x:c r="C1028" s="16" t="n">
        <x:v>1105.6299229727</x:v>
      </x:c>
      <x:c r="D1028" s="16" t="n">
        <x:v>977.442048</x:v>
      </x:c>
      <x:c r="E1028" s="16" t="n">
        <x:v>-128.1878749727</x:v>
      </x:c>
      <x:c r="F1028" s="23" t="n">
        <x:v>2</x:v>
      </x:c>
    </x:row>
    <x:row r="1029">
      <x:c r="A1029" s="15" t="n">
        <x:v>42339</x:v>
      </x:c>
      <x:c r="B1029" s="13" t="str">
        <x:v>Income Properties</x:v>
      </x:c>
      <x:c r="C1029" s="16" t="n">
        <x:v>838.5189076284</x:v>
      </x:c>
      <x:c r="D1029" s="16" t="n">
        <x:v>784.5</x:v>
      </x:c>
      <x:c r="E1029" s="16" t="n">
        <x:v>-54.0189076284</x:v>
      </x:c>
      <x:c r="F1029" s="23" t="n">
        <x:v>2</x:v>
      </x:c>
    </x:row>
    <x:row r="1030">
      <x:c r="A1030" s="15" t="n">
        <x:v>42339</x:v>
      </x:c>
      <x:c r="B1030" s="13" t="str">
        <x:v>Metals &amp; Mining</x:v>
      </x:c>
      <x:c r="C1030" s="16" t="n">
        <x:v>282.2473204809</x:v>
      </x:c>
      <x:c r="D1030" s="16" t="n">
        <x:v>2341.566176</x:v>
      </x:c>
      <x:c r="E1030" s="16" t="n">
        <x:v>2059.3188555191</x:v>
      </x:c>
      <x:c r="F1030" s="23" t="n">
        <x:v>6</x:v>
      </x:c>
    </x:row>
    <x:row r="1031">
      <x:c r="A1031" s="15" t="n">
        <x:v>42339</x:v>
      </x:c>
      <x:c r="B1031" s="13" t="str">
        <x:v>Oil, Gas &amp; Petrochemicals</x:v>
      </x:c>
      <x:c r="C1031" s="16" t="n">
        <x:v>19572.1820765027</x:v>
      </x:c>
      <x:c r="D1031" s="16" t="n">
        <x:v>19818.227392</x:v>
      </x:c>
      <x:c r="E1031" s="16" t="n">
        <x:v>246.0453154973</x:v>
      </x:c>
      <x:c r="F1031" s="23" t="n">
        <x:v>4</x:v>
      </x:c>
    </x:row>
    <x:row r="1032">
      <x:c r="A1032" s="15" t="n">
        <x:v>42339</x:v>
      </x:c>
      <x:c r="B1032" s="13" t="str">
        <x:v>Pulp &amp; Paper</x:v>
      </x:c>
      <x:c r="C1032" s="16" t="n">
        <x:v>3084.3175246339</x:v>
      </x:c>
      <x:c r="D1032" s="16" t="n">
        <x:v>6397.650176</x:v>
      </x:c>
      <x:c r="E1032" s="16" t="n">
        <x:v>3313.3326513661</x:v>
      </x:c>
      <x:c r="F1032" s="23" t="n">
        <x:v>3</x:v>
      </x:c>
    </x:row>
    <x:row r="1033">
      <x:c r="A1033" s="15" t="n">
        <x:v>42339</x:v>
      </x:c>
      <x:c r="B1033" s="13" t="str">
        <x:v>Retail</x:v>
      </x:c>
      <x:c r="C1033" s="16" t="n">
        <x:v>3904.2725916503</x:v>
      </x:c>
      <x:c r="D1033" s="16" t="n">
        <x:v>3506.160032</x:v>
      </x:c>
      <x:c r="E1033" s="16" t="n">
        <x:v>-398.1125596503</x:v>
      </x:c>
      <x:c r="F1033" s="23" t="n">
        <x:v>6</x:v>
      </x:c>
    </x:row>
    <x:row r="1034">
      <x:c r="A1034" s="15" t="n">
        <x:v>42339</x:v>
      </x:c>
      <x:c r="B1034" s="13" t="str">
        <x:v>Sanitation</x:v>
      </x:c>
      <x:c r="C1034" s="16" t="n">
        <x:v>1041.3904996721</x:v>
      </x:c>
      <x:c r="D1034" s="16" t="n">
        <x:v>1078.88</x:v>
      </x:c>
      <x:c r="E1034" s="16" t="n">
        <x:v>37.4895003279</x:v>
      </x:c>
      <x:c r="F1034" s="23" t="n">
        <x:v>1</x:v>
      </x:c>
    </x:row>
    <x:row r="1035">
      <x:c r="A1035" s="15" t="n">
        <x:v>42339</x:v>
      </x:c>
      <x:c r="B1035" s="13" t="str">
        <x:v>TMT</x:v>
      </x:c>
      <x:c r="C1035" s="16" t="n">
        <x:v>6237.1612404809</x:v>
      </x:c>
      <x:c r="D1035" s="16" t="n">
        <x:v>6064.089984</x:v>
      </x:c>
      <x:c r="E1035" s="16" t="n">
        <x:v>-173.0712564809</x:v>
      </x:c>
      <x:c r="F1035" s="23" t="n">
        <x:v>2</x:v>
      </x:c>
    </x:row>
    <x:row r="1036">
      <x:c r="A1036" s="15" t="n">
        <x:v>42339</x:v>
      </x:c>
      <x:c r="B1036" s="13" t="str">
        <x:v>Transportation</x:v>
      </x:c>
      <x:c r="C1036" s="16" t="n">
        <x:v>1991.2948765027</x:v>
      </x:c>
      <x:c r="D1036" s="16" t="n">
        <x:v>1919.722976</x:v>
      </x:c>
      <x:c r="E1036" s="16" t="n">
        <x:v>-71.5719005027</x:v>
      </x:c>
      <x:c r="F1036" s="23" t="n">
        <x:v>3</x:v>
      </x:c>
    </x:row>
    <x:row r="1037">
      <x:c r="A1037" s="15" t="n">
        <x:v>42339</x:v>
      </x:c>
      <x:c r="B1037" s="13" t="str">
        <x:v>Utilities &amp; Energy</x:v>
      </x:c>
      <x:c r="C1037" s="16" t="n">
        <x:v>7279.8463520874</x:v>
      </x:c>
      <x:c r="D1037" s="16" t="n">
        <x:v>6924.601024</x:v>
      </x:c>
      <x:c r="E1037" s="16" t="n">
        <x:v>-355.2453280874</x:v>
      </x:c>
      <x:c r="F1037" s="23" t="n">
        <x:v>7</x:v>
      </x:c>
    </x:row>
    <x:row r="1038">
      <x:c r="A1038" s="15" t="n">
        <x:v>42370</x:v>
      </x:c>
      <x:c r="B1038" s="13" t="str">
        <x:v>Banks</x:v>
      </x:c>
      <x:c r="C1038" s="16" t="n">
        <x:v>75689.2651492021</x:v>
      </x:c>
      <x:c r="D1038" s="16" t="n">
        <x:v>72299.9038849754</x:v>
      </x:c>
      <x:c r="E1038" s="16" t="n">
        <x:v>-3389.3612642267</x:v>
      </x:c>
      <x:c r="F1038" s="23" t="n">
        <x:v>5</x:v>
      </x:c>
    </x:row>
    <x:row r="1039">
      <x:c r="A1039" s="15" t="n">
        <x:v>42370</x:v>
      </x:c>
      <x:c r="B1039" s="13" t="str">
        <x:v>Capital Goods</x:v>
      </x:c>
      <x:c r="C1039" s="16" t="n">
        <x:v>1501.9863599563</x:v>
      </x:c>
      <x:c r="D1039" s="16" t="n">
        <x:v>1609.2725630247</x:v>
      </x:c>
      <x:c r="E1039" s="16" t="n">
        <x:v>107.2862030684</x:v>
      </x:c>
      <x:c r="F1039" s="23" t="n">
        <x:v>1</x:v>
      </x:c>
    </x:row>
    <x:row r="1040">
      <x:c r="A1040" s="15" t="n">
        <x:v>42370</x:v>
      </x:c>
      <x:c r="B1040" s="13" t="str">
        <x:v>Education</x:v>
      </x:c>
      <x:c r="C1040" s="16" t="n">
        <x:v>2251.1679452678</x:v>
      </x:c>
      <x:c r="D1040" s="16" t="n">
        <x:v>2357.9950848</x:v>
      </x:c>
      <x:c r="E1040" s="16" t="n">
        <x:v>106.8271395322</x:v>
      </x:c>
      <x:c r="F1040" s="23" t="n">
        <x:v>2</x:v>
      </x:c>
    </x:row>
    <x:row r="1041">
      <x:c r="A1041" s="15" t="n">
        <x:v>42370</x:v>
      </x:c>
      <x:c r="B1041" s="13" t="str">
        <x:v>Financials Non-Banks</x:v>
      </x:c>
      <x:c r="C1041" s="16" t="n">
        <x:v>19216.5975840874</x:v>
      </x:c>
      <x:c r="D1041" s="16" t="n">
        <x:v>19269.8681275616</x:v>
      </x:c>
      <x:c r="E1041" s="16" t="n">
        <x:v>53.2705434742</x:v>
      </x:c>
      <x:c r="F1041" s="23" t="n">
        <x:v>5</x:v>
      </x:c>
    </x:row>
    <x:row r="1042">
      <x:c r="A1042" s="15" t="n">
        <x:v>42370</x:v>
      </x:c>
      <x:c r="B1042" s="13" t="str">
        <x:v>Food &amp; Beverages</x:v>
      </x:c>
      <x:c r="C1042" s="16" t="n">
        <x:v>18707.3127251585</x:v>
      </x:c>
      <x:c r="D1042" s="16" t="n">
        <x:v>19224.0466878247</x:v>
      </x:c>
      <x:c r="E1042" s="16" t="n">
        <x:v>516.7339626662</x:v>
      </x:c>
      <x:c r="F1042" s="23" t="n">
        <x:v>3</x:v>
      </x:c>
    </x:row>
    <x:row r="1043">
      <x:c r="A1043" s="15" t="n">
        <x:v>42370</x:v>
      </x:c>
      <x:c r="B1043" s="13" t="str">
        <x:v>Health Care</x:v>
      </x:c>
      <x:c r="C1043" s="16" t="n">
        <x:v>940.4862499672</x:v>
      </x:c>
      <x:c r="D1043" s="16" t="n">
        <x:v>1018.6197797699</x:v>
      </x:c>
      <x:c r="E1043" s="16" t="n">
        <x:v>78.1335298026</x:v>
      </x:c>
      <x:c r="F1043" s="23" t="n">
        <x:v>2</x:v>
      </x:c>
    </x:row>
    <x:row r="1044">
      <x:c r="A1044" s="15" t="n">
        <x:v>42370</x:v>
      </x:c>
      <x:c r="B1044" s="13" t="str">
        <x:v>Homebuilders</x:v>
      </x:c>
      <x:c r="C1044" s="16" t="n">
        <x:v>1021.9271471913</x:v>
      </x:c>
      <x:c r="D1044" s="16" t="n">
        <x:v>983.922284537</x:v>
      </x:c>
      <x:c r="E1044" s="16" t="n">
        <x:v>-38.0048626543</x:v>
      </x:c>
      <x:c r="F1044" s="23" t="n">
        <x:v>2</x:v>
      </x:c>
    </x:row>
    <x:row r="1045">
      <x:c r="A1045" s="15" t="n">
        <x:v>42370</x:v>
      </x:c>
      <x:c r="B1045" s="13" t="str">
        <x:v>Income Properties</x:v>
      </x:c>
      <x:c r="C1045" s="16" t="n">
        <x:v>805.9916151257</x:v>
      </x:c>
      <x:c r="D1045" s="16" t="n">
        <x:v>779.0778116384</x:v>
      </x:c>
      <x:c r="E1045" s="16" t="n">
        <x:v>-26.9138034873</x:v>
      </x:c>
      <x:c r="F1045" s="23" t="n">
        <x:v>2</x:v>
      </x:c>
    </x:row>
    <x:row r="1046">
      <x:c r="A1046" s="15" t="n">
        <x:v>42370</x:v>
      </x:c>
      <x:c r="B1046" s="13" t="str">
        <x:v>Metals &amp; Mining</x:v>
      </x:c>
      <x:c r="C1046" s="16" t="n">
        <x:v>1581.007688918</x:v>
      </x:c>
      <x:c r="D1046" s="16" t="n">
        <x:v>-1347.3148556274</x:v>
      </x:c>
      <x:c r="E1046" s="16" t="n">
        <x:v>-2928.3225445454</x:v>
      </x:c>
      <x:c r="F1046" s="23" t="n">
        <x:v>6</x:v>
      </x:c>
    </x:row>
    <x:row r="1047">
      <x:c r="A1047" s="15" t="n">
        <x:v>42370</x:v>
      </x:c>
      <x:c r="B1047" s="13" t="str">
        <x:v>Oil, Gas &amp; Petrochemicals</x:v>
      </x:c>
      <x:c r="C1047" s="16" t="n">
        <x:v>20013.1305302732</x:v>
      </x:c>
      <x:c r="D1047" s="16" t="n">
        <x:v>16055.9722625753</x:v>
      </x:c>
      <x:c r="E1047" s="16" t="n">
        <x:v>-3957.1582676978</x:v>
      </x:c>
      <x:c r="F1047" s="23" t="n">
        <x:v>4</x:v>
      </x:c>
    </x:row>
    <x:row r="1048">
      <x:c r="A1048" s="15" t="n">
        <x:v>42370</x:v>
      </x:c>
      <x:c r="B1048" s="13" t="str">
        <x:v>Pulp &amp; Paper</x:v>
      </x:c>
      <x:c r="C1048" s="16" t="n">
        <x:v>4713.4723561967</x:v>
      </x:c>
      <x:c r="D1048" s="16" t="n">
        <x:v>6013.9893567123</x:v>
      </x:c>
      <x:c r="E1048" s="16" t="n">
        <x:v>1300.5170005156</x:v>
      </x:c>
      <x:c r="F1048" s="23" t="n">
        <x:v>3</x:v>
      </x:c>
    </x:row>
    <x:row r="1049">
      <x:c r="A1049" s="15" t="n">
        <x:v>42370</x:v>
      </x:c>
      <x:c r="B1049" s="13" t="str">
        <x:v>Retail</x:v>
      </x:c>
      <x:c r="C1049" s="16" t="n">
        <x:v>3789.7798971803</x:v>
      </x:c>
      <x:c r="D1049" s="16" t="n">
        <x:v>3399.8102967233</x:v>
      </x:c>
      <x:c r="E1049" s="16" t="n">
        <x:v>-389.969600457</x:v>
      </x:c>
      <x:c r="F1049" s="23" t="n">
        <x:v>6</x:v>
      </x:c>
    </x:row>
    <x:row r="1050">
      <x:c r="A1050" s="15" t="n">
        <x:v>42370</x:v>
      </x:c>
      <x:c r="B1050" s="13" t="str">
        <x:v>Sanitation</x:v>
      </x:c>
      <x:c r="C1050" s="16" t="n">
        <x:v>1069.6123275191</x:v>
      </x:c>
      <x:c r="D1050" s="16" t="n">
        <x:v>1367.8522385534</x:v>
      </x:c>
      <x:c r="E1050" s="16" t="n">
        <x:v>298.2399110343</x:v>
      </x:c>
      <x:c r="F1050" s="23" t="n">
        <x:v>1</x:v>
      </x:c>
    </x:row>
    <x:row r="1051">
      <x:c r="A1051" s="15" t="n">
        <x:v>42370</x:v>
      </x:c>
      <x:c r="B1051" s="13" t="str">
        <x:v>TMT</x:v>
      </x:c>
      <x:c r="C1051" s="16" t="n">
        <x:v>5182.2178451585</x:v>
      </x:c>
      <x:c r="D1051" s="16" t="n">
        <x:v>4093.2699621699</x:v>
      </x:c>
      <x:c r="E1051" s="16" t="n">
        <x:v>-1088.9478829886</x:v>
      </x:c>
      <x:c r="F1051" s="23" t="n">
        <x:v>3</x:v>
      </x:c>
    </x:row>
    <x:row r="1052">
      <x:c r="A1052" s="15" t="n">
        <x:v>42370</x:v>
      </x:c>
      <x:c r="B1052" s="13" t="str">
        <x:v>Transportation</x:v>
      </x:c>
      <x:c r="C1052" s="16" t="n">
        <x:v>1927.6183959781</x:v>
      </x:c>
      <x:c r="D1052" s="16" t="n">
        <x:v>1831.1803010192</x:v>
      </x:c>
      <x:c r="E1052" s="16" t="n">
        <x:v>-96.438094959</x:v>
      </x:c>
      <x:c r="F1052" s="23" t="n">
        <x:v>3</x:v>
      </x:c>
    </x:row>
    <x:row r="1053">
      <x:c r="A1053" s="15" t="n">
        <x:v>42370</x:v>
      </x:c>
      <x:c r="B1053" s="13" t="str">
        <x:v>Utilities &amp; Energy</x:v>
      </x:c>
      <x:c r="C1053" s="16" t="n">
        <x:v>7180.1852296394</x:v>
      </x:c>
      <x:c r="D1053" s="16" t="n">
        <x:v>7056.7421869589</x:v>
      </x:c>
      <x:c r="E1053" s="16" t="n">
        <x:v>-123.4430426805</x:v>
      </x:c>
      <x:c r="F1053" s="23" t="n">
        <x:v>7</x:v>
      </x:c>
    </x:row>
    <x:row r="1054">
      <x:c r="A1054" s="15" t="n">
        <x:v>42401</x:v>
      </x:c>
      <x:c r="B1054" s="13" t="str">
        <x:v>Banks</x:v>
      </x:c>
      <x:c r="C1054" s="16" t="n">
        <x:v>73536.4485763498</x:v>
      </x:c>
      <x:c r="D1054" s="16" t="n">
        <x:v>71603.9885753864</x:v>
      </x:c>
      <x:c r="E1054" s="16" t="n">
        <x:v>-1932.4600009634</x:v>
      </x:c>
      <x:c r="F1054" s="23" t="n">
        <x:v>5</x:v>
      </x:c>
    </x:row>
    <x:row r="1055">
      <x:c r="A1055" s="15" t="n">
        <x:v>42401</x:v>
      </x:c>
      <x:c r="B1055" s="13" t="str">
        <x:v>Capital Goods</x:v>
      </x:c>
      <x:c r="C1055" s="16" t="n">
        <x:v>1548.0634233006</x:v>
      </x:c>
      <x:c r="D1055" s="16" t="n">
        <x:v>1617.0097502685</x:v>
      </x:c>
      <x:c r="E1055" s="16" t="n">
        <x:v>68.9463269679</x:v>
      </x:c>
      <x:c r="F1055" s="23" t="n">
        <x:v>1</x:v>
      </x:c>
    </x:row>
    <x:row r="1056">
      <x:c r="A1056" s="15" t="n">
        <x:v>42401</x:v>
      </x:c>
      <x:c r="B1056" s="13" t="str">
        <x:v>Education</x:v>
      </x:c>
      <x:c r="C1056" s="16" t="n">
        <x:v>2270.8442415738</x:v>
      </x:c>
      <x:c r="D1056" s="16" t="n">
        <x:v>2429.2674977315</x:v>
      </x:c>
      <x:c r="E1056" s="16" t="n">
        <x:v>158.4232561577</x:v>
      </x:c>
      <x:c r="F1056" s="23" t="n">
        <x:v>2</x:v>
      </x:c>
    </x:row>
    <x:row r="1057">
      <x:c r="A1057" s="15" t="n">
        <x:v>42401</x:v>
      </x:c>
      <x:c r="B1057" s="13" t="str">
        <x:v>Financials Non-Banks</x:v>
      </x:c>
      <x:c r="C1057" s="16" t="n">
        <x:v>19227.6785703169</x:v>
      </x:c>
      <x:c r="D1057" s="16" t="n">
        <x:v>18640.8224950356</x:v>
      </x:c>
      <x:c r="E1057" s="16" t="n">
        <x:v>-586.8560752813</x:v>
      </x:c>
      <x:c r="F1057" s="23" t="n">
        <x:v>5</x:v>
      </x:c>
    </x:row>
    <x:row r="1058">
      <x:c r="A1058" s="15" t="n">
        <x:v>42401</x:v>
      </x:c>
      <x:c r="B1058" s="13" t="str">
        <x:v>Food &amp; Beverages</x:v>
      </x:c>
      <x:c r="C1058" s="16" t="n">
        <x:v>18672.0840962186</x:v>
      </x:c>
      <x:c r="D1058" s="16" t="n">
        <x:v>18827.0688043835</x:v>
      </x:c>
      <x:c r="E1058" s="16" t="n">
        <x:v>154.9847081649</x:v>
      </x:c>
      <x:c r="F1058" s="23" t="n">
        <x:v>3</x:v>
      </x:c>
    </x:row>
    <x:row r="1059">
      <x:c r="A1059" s="15" t="n">
        <x:v>42401</x:v>
      </x:c>
      <x:c r="B1059" s="13" t="str">
        <x:v>Health Care</x:v>
      </x:c>
      <x:c r="C1059" s="16" t="n">
        <x:v>955.1415812896</x:v>
      </x:c>
      <x:c r="D1059" s="16" t="n">
        <x:v>1074.7800380493</x:v>
      </x:c>
      <x:c r="E1059" s="16" t="n">
        <x:v>119.6384567597</x:v>
      </x:c>
      <x:c r="F1059" s="23" t="n">
        <x:v>2</x:v>
      </x:c>
    </x:row>
    <x:row r="1060">
      <x:c r="A1060" s="15" t="n">
        <x:v>42401</x:v>
      </x:c>
      <x:c r="B1060" s="13" t="str">
        <x:v>Homebuilders</x:v>
      </x:c>
      <x:c r="C1060" s="16" t="n">
        <x:v>982.6340857705</x:v>
      </x:c>
      <x:c r="D1060" s="16" t="n">
        <x:v>1000.5745309808</x:v>
      </x:c>
      <x:c r="E1060" s="16" t="n">
        <x:v>17.9404452103</x:v>
      </x:c>
      <x:c r="F1060" s="23" t="n">
        <x:v>2</x:v>
      </x:c>
    </x:row>
    <x:row r="1061">
      <x:c r="A1061" s="15" t="n">
        <x:v>42401</x:v>
      </x:c>
      <x:c r="B1061" s="13" t="str">
        <x:v>Income Properties</x:v>
      </x:c>
      <x:c r="C1061" s="16" t="n">
        <x:v>808.2567136175</x:v>
      </x:c>
      <x:c r="D1061" s="16" t="n">
        <x:v>766.4664117479</x:v>
      </x:c>
      <x:c r="E1061" s="16" t="n">
        <x:v>-41.7903018695</x:v>
      </x:c>
      <x:c r="F1061" s="23" t="n">
        <x:v>2</x:v>
      </x:c>
    </x:row>
    <x:row r="1062">
      <x:c r="A1062" s="15" t="n">
        <x:v>42401</x:v>
      </x:c>
      <x:c r="B1062" s="13" t="str">
        <x:v>Metals &amp; Mining</x:v>
      </x:c>
      <x:c r="C1062" s="16" t="n">
        <x:v>1657.3484066448</x:v>
      </x:c>
      <x:c r="D1062" s="16" t="n">
        <x:v>-3226.198879737</x:v>
      </x:c>
      <x:c r="E1062" s="16" t="n">
        <x:v>-4883.5472863818</x:v>
      </x:c>
      <x:c r="F1062" s="23" t="n">
        <x:v>6</x:v>
      </x:c>
    </x:row>
    <x:row r="1063">
      <x:c r="A1063" s="15" t="n">
        <x:v>42401</x:v>
      </x:c>
      <x:c r="B1063" s="13" t="str">
        <x:v>Oil, Gas &amp; Petrochemicals</x:v>
      </x:c>
      <x:c r="C1063" s="16" t="n">
        <x:v>20243.7973166339</x:v>
      </x:c>
      <x:c r="D1063" s="16" t="n">
        <x:v>15806.2236209096</x:v>
      </x:c>
      <x:c r="E1063" s="16" t="n">
        <x:v>-4437.5736957243</x:v>
      </x:c>
      <x:c r="F1063" s="23" t="n">
        <x:v>4</x:v>
      </x:c>
    </x:row>
    <x:row r="1064">
      <x:c r="A1064" s="15" t="n">
        <x:v>42401</x:v>
      </x:c>
      <x:c r="B1064" s="13" t="str">
        <x:v>Pulp &amp; Paper</x:v>
      </x:c>
      <x:c r="C1064" s="16" t="n">
        <x:v>5739.439632612</x:v>
      </x:c>
      <x:c r="D1064" s="16" t="n">
        <x:v>5866.9005206794</x:v>
      </x:c>
      <x:c r="E1064" s="16" t="n">
        <x:v>127.4608880674</x:v>
      </x:c>
      <x:c r="F1064" s="23" t="n">
        <x:v>3</x:v>
      </x:c>
    </x:row>
    <x:row r="1065">
      <x:c r="A1065" s="15" t="n">
        <x:v>42401</x:v>
      </x:c>
      <x:c r="B1065" s="13" t="str">
        <x:v>Retail</x:v>
      </x:c>
      <x:c r="C1065" s="16" t="n">
        <x:v>3566.6492267978</x:v>
      </x:c>
      <x:c r="D1065" s="16" t="n">
        <x:v>3239.495935737</x:v>
      </x:c>
      <x:c r="E1065" s="16" t="n">
        <x:v>-327.1532910608</x:v>
      </x:c>
      <x:c r="F1065" s="23" t="n">
        <x:v>6</x:v>
      </x:c>
    </x:row>
    <x:row r="1066">
      <x:c r="A1066" s="15" t="n">
        <x:v>42401</x:v>
      </x:c>
      <x:c r="B1066" s="13" t="str">
        <x:v>Sanitation</x:v>
      </x:c>
      <x:c r="C1066" s="16" t="n">
        <x:v>958.2743773552</x:v>
      </x:c>
      <x:c r="D1066" s="16" t="n">
        <x:v>1462.7757539945</x:v>
      </x:c>
      <x:c r="E1066" s="16" t="n">
        <x:v>504.5013766393</x:v>
      </x:c>
      <x:c r="F1066" s="23" t="n">
        <x:v>1</x:v>
      </x:c>
    </x:row>
    <x:row r="1067">
      <x:c r="A1067" s="15" t="n">
        <x:v>42401</x:v>
      </x:c>
      <x:c r="B1067" s="13" t="str">
        <x:v>TMT</x:v>
      </x:c>
      <x:c r="C1067" s="16" t="n">
        <x:v>5002.5677251147</x:v>
      </x:c>
      <x:c r="D1067" s="16" t="n">
        <x:v>3931.8797031452</x:v>
      </x:c>
      <x:c r="E1067" s="16" t="n">
        <x:v>-1070.6880219695</x:v>
      </x:c>
      <x:c r="F1067" s="23" t="n">
        <x:v>3</x:v>
      </x:c>
    </x:row>
    <x:row r="1068">
      <x:c r="A1068" s="15" t="n">
        <x:v>42401</x:v>
      </x:c>
      <x:c r="B1068" s="13" t="str">
        <x:v>Transportation</x:v>
      </x:c>
      <x:c r="C1068" s="16" t="n">
        <x:v>1916.9674935956</x:v>
      </x:c>
      <x:c r="D1068" s="16" t="n">
        <x:v>1797.2192587397</x:v>
      </x:c>
      <x:c r="E1068" s="16" t="n">
        <x:v>-119.7482348559</x:v>
      </x:c>
      <x:c r="F1068" s="23" t="n">
        <x:v>3</x:v>
      </x:c>
    </x:row>
    <x:row r="1069">
      <x:c r="A1069" s="15" t="n">
        <x:v>42401</x:v>
      </x:c>
      <x:c r="B1069" s="13" t="str">
        <x:v>Utilities &amp; Energy</x:v>
      </x:c>
      <x:c r="C1069" s="16" t="n">
        <x:v>7043.6112873443</x:v>
      </x:c>
      <x:c r="D1069" s="16" t="n">
        <x:v>6834.9217219507</x:v>
      </x:c>
      <x:c r="E1069" s="16" t="n">
        <x:v>-208.6895653936</x:v>
      </x:c>
      <x:c r="F1069" s="23" t="n">
        <x:v>7</x:v>
      </x:c>
    </x:row>
    <x:row r="1070">
      <x:c r="A1070" s="15" t="n">
        <x:v>42430</x:v>
      </x:c>
      <x:c r="B1070" s="13" t="str">
        <x:v>Banks</x:v>
      </x:c>
      <x:c r="C1070" s="16" t="n">
        <x:v>72745.15968</x:v>
      </x:c>
      <x:c r="D1070" s="16" t="n">
        <x:v>70727.9825358903</x:v>
      </x:c>
      <x:c r="E1070" s="16" t="n">
        <x:v>-2017.1771441097</x:v>
      </x:c>
      <x:c r="F1070" s="23" t="n">
        <x:v>5</x:v>
      </x:c>
    </x:row>
    <x:row r="1071">
      <x:c r="A1071" s="15" t="n">
        <x:v>42430</x:v>
      </x:c>
      <x:c r="B1071" s="13" t="str">
        <x:v>Capital Goods</x:v>
      </x:c>
      <x:c r="C1071" s="16" t="n">
        <x:v>2888.280064</x:v>
      </x:c>
      <x:c r="D1071" s="16" t="n">
        <x:v>2717.5615228493</x:v>
      </x:c>
      <x:c r="E1071" s="16" t="n">
        <x:v>-170.7185411507</x:v>
      </x:c>
      <x:c r="F1071" s="23" t="n">
        <x:v>2</x:v>
      </x:c>
    </x:row>
    <x:row r="1072">
      <x:c r="A1072" s="15" t="n">
        <x:v>42430</x:v>
      </x:c>
      <x:c r="B1072" s="13" t="str">
        <x:v>Education</x:v>
      </x:c>
      <x:c r="C1072" s="16" t="n">
        <x:v>2292.199936</x:v>
      </x:c>
      <x:c r="D1072" s="16" t="n">
        <x:v>2442.9058016438</x:v>
      </x:c>
      <x:c r="E1072" s="16" t="n">
        <x:v>150.7058656438</x:v>
      </x:c>
      <x:c r="F1072" s="23" t="n">
        <x:v>2</x:v>
      </x:c>
    </x:row>
    <x:row r="1073">
      <x:c r="A1073" s="15" t="n">
        <x:v>42430</x:v>
      </x:c>
      <x:c r="B1073" s="13" t="str">
        <x:v>Financials Non-Banks</x:v>
      </x:c>
      <x:c r="C1073" s="16" t="n">
        <x:v>19090.212032</x:v>
      </x:c>
      <x:c r="D1073" s="16" t="n">
        <x:v>18387.6601915616</x:v>
      </x:c>
      <x:c r="E1073" s="16" t="n">
        <x:v>-702.5518404384</x:v>
      </x:c>
      <x:c r="F1073" s="23" t="n">
        <x:v>5</x:v>
      </x:c>
    </x:row>
    <x:row r="1074">
      <x:c r="A1074" s="15" t="n">
        <x:v>42430</x:v>
      </x:c>
      <x:c r="B1074" s="13" t="str">
        <x:v>Food &amp; Beverages</x:v>
      </x:c>
      <x:c r="C1074" s="16" t="n">
        <x:v>23838.378816</x:v>
      </x:c>
      <x:c r="D1074" s="16" t="n">
        <x:v>23096.1294384657</x:v>
      </x:c>
      <x:c r="E1074" s="16" t="n">
        <x:v>-742.2493775343</x:v>
      </x:c>
      <x:c r="F1074" s="23" t="n">
        <x:v>4</x:v>
      </x:c>
    </x:row>
    <x:row r="1075">
      <x:c r="A1075" s="15" t="n">
        <x:v>42430</x:v>
      </x:c>
      <x:c r="B1075" s="13" t="str">
        <x:v>Health Care</x:v>
      </x:c>
      <x:c r="C1075" s="16" t="n">
        <x:v>1015.622016</x:v>
      </x:c>
      <x:c r="D1075" s="16" t="n">
        <x:v>1114.7056341918</x:v>
      </x:c>
      <x:c r="E1075" s="16" t="n">
        <x:v>99.0836181918</x:v>
      </x:c>
      <x:c r="F1075" s="23" t="n">
        <x:v>2</x:v>
      </x:c>
    </x:row>
    <x:row r="1076">
      <x:c r="A1076" s="15" t="n">
        <x:v>42430</x:v>
      </x:c>
      <x:c r="B1076" s="13" t="str">
        <x:v>Homebuilders</x:v>
      </x:c>
      <x:c r="C1076" s="16" t="n">
        <x:v>977.442048</x:v>
      </x:c>
      <x:c r="D1076" s="16" t="n">
        <x:v>980.0999623014</x:v>
      </x:c>
      <x:c r="E1076" s="16" t="n">
        <x:v>2.6579143014</x:v>
      </x:c>
      <x:c r="F1076" s="23" t="n">
        <x:v>2</x:v>
      </x:c>
    </x:row>
    <x:row r="1077">
      <x:c r="A1077" s="15" t="n">
        <x:v>42430</x:v>
      </x:c>
      <x:c r="B1077" s="13" t="str">
        <x:v>Income Properties</x:v>
      </x:c>
      <x:c r="C1077" s="16" t="n">
        <x:v>784.5</x:v>
      </x:c>
      <x:c r="D1077" s="16" t="n">
        <x:v>795.7448670685</x:v>
      </x:c>
      <x:c r="E1077" s="16" t="n">
        <x:v>11.2448670685</x:v>
      </x:c>
      <x:c r="F1077" s="23" t="n">
        <x:v>2</x:v>
      </x:c>
    </x:row>
    <x:row r="1078">
      <x:c r="A1078" s="15" t="n">
        <x:v>42430</x:v>
      </x:c>
      <x:c r="B1078" s="13" t="str">
        <x:v>Metals &amp; Mining</x:v>
      </x:c>
      <x:c r="C1078" s="16" t="n">
        <x:v>2341.566176</x:v>
      </x:c>
      <x:c r="D1078" s="16" t="n">
        <x:v>-846.9799353425</x:v>
      </x:c>
      <x:c r="E1078" s="16" t="n">
        <x:v>-3188.5461113425</x:v>
      </x:c>
      <x:c r="F1078" s="23" t="n">
        <x:v>6</x:v>
      </x:c>
    </x:row>
    <x:row r="1079">
      <x:c r="A1079" s="15" t="n">
        <x:v>42430</x:v>
      </x:c>
      <x:c r="B1079" s="13" t="str">
        <x:v>Oil, Gas &amp; Petrochemicals</x:v>
      </x:c>
      <x:c r="C1079" s="16" t="n">
        <x:v>19818.227392</x:v>
      </x:c>
      <x:c r="D1079" s="16" t="n">
        <x:v>12531.1567640548</x:v>
      </x:c>
      <x:c r="E1079" s="16" t="n">
        <x:v>-7287.0706279452</x:v>
      </x:c>
      <x:c r="F1079" s="23" t="n">
        <x:v>4</x:v>
      </x:c>
    </x:row>
    <x:row r="1080">
      <x:c r="A1080" s="15" t="n">
        <x:v>42430</x:v>
      </x:c>
      <x:c r="B1080" s="13" t="str">
        <x:v>Pulp &amp; Paper</x:v>
      </x:c>
      <x:c r="C1080" s="16" t="n">
        <x:v>6397.650176</x:v>
      </x:c>
      <x:c r="D1080" s="16" t="n">
        <x:v>5913.4526649863</x:v>
      </x:c>
      <x:c r="E1080" s="16" t="n">
        <x:v>-484.1975110137</x:v>
      </x:c>
      <x:c r="F1080" s="23" t="n">
        <x:v>3</x:v>
      </x:c>
    </x:row>
    <x:row r="1081">
      <x:c r="A1081" s="15" t="n">
        <x:v>42430</x:v>
      </x:c>
      <x:c r="B1081" s="13" t="str">
        <x:v>Retail</x:v>
      </x:c>
      <x:c r="C1081" s="16" t="n">
        <x:v>3506.160032</x:v>
      </x:c>
      <x:c r="D1081" s="16" t="n">
        <x:v>3201.2164317808</x:v>
      </x:c>
      <x:c r="E1081" s="16" t="n">
        <x:v>-304.9436002192</x:v>
      </x:c>
      <x:c r="F1081" s="23" t="n">
        <x:v>6</x:v>
      </x:c>
    </x:row>
    <x:row r="1082">
      <x:c r="A1082" s="15" t="n">
        <x:v>42430</x:v>
      </x:c>
      <x:c r="B1082" s="13" t="str">
        <x:v>Sanitation</x:v>
      </x:c>
      <x:c r="C1082" s="16" t="n">
        <x:v>1078.88</x:v>
      </x:c>
      <x:c r="D1082" s="16" t="n">
        <x:v>1624.1312087671</x:v>
      </x:c>
      <x:c r="E1082" s="16" t="n">
        <x:v>545.2512087671</x:v>
      </x:c>
      <x:c r="F1082" s="23" t="n">
        <x:v>1</x:v>
      </x:c>
    </x:row>
    <x:row r="1083">
      <x:c r="A1083" s="15" t="n">
        <x:v>42430</x:v>
      </x:c>
      <x:c r="B1083" s="13" t="str">
        <x:v>TMT</x:v>
      </x:c>
      <x:c r="C1083" s="16" t="n">
        <x:v>4790.230016</x:v>
      </x:c>
      <x:c r="D1083" s="16" t="n">
        <x:v>4072.3631438904</x:v>
      </x:c>
      <x:c r="E1083" s="16" t="n">
        <x:v>-717.8668721096</x:v>
      </x:c>
      <x:c r="F1083" s="23" t="n">
        <x:v>3</x:v>
      </x:c>
    </x:row>
    <x:row r="1084">
      <x:c r="A1084" s="15" t="n">
        <x:v>42430</x:v>
      </x:c>
      <x:c r="B1084" s="13" t="str">
        <x:v>Transportation</x:v>
      </x:c>
      <x:c r="C1084" s="16" t="n">
        <x:v>1919.722976</x:v>
      </x:c>
      <x:c r="D1084" s="16" t="n">
        <x:v>1913.2691075069</x:v>
      </x:c>
      <x:c r="E1084" s="16" t="n">
        <x:v>-6.4538684931</x:v>
      </x:c>
      <x:c r="F1084" s="23" t="n">
        <x:v>3</x:v>
      </x:c>
    </x:row>
    <x:row r="1085">
      <x:c r="A1085" s="15" t="n">
        <x:v>42430</x:v>
      </x:c>
      <x:c r="B1085" s="13" t="str">
        <x:v>Utilities &amp; Energy</x:v>
      </x:c>
      <x:c r="C1085" s="16" t="n">
        <x:v>6924.601024</x:v>
      </x:c>
      <x:c r="D1085" s="16" t="n">
        <x:v>6765.3458972055</x:v>
      </x:c>
      <x:c r="E1085" s="16" t="n">
        <x:v>-159.2551267945</x:v>
      </x:c>
      <x:c r="F1085" s="23" t="n">
        <x:v>7</x:v>
      </x:c>
    </x:row>
    <x:row r="1086">
      <x:c r="A1086" s="15" t="n">
        <x:v>42461</x:v>
      </x:c>
      <x:c r="B1086" s="13" t="str">
        <x:v>Banks</x:v>
      </x:c>
      <x:c r="C1086" s="16" t="n">
        <x:v>72299.9038849754</x:v>
      </x:c>
      <x:c r="D1086" s="16" t="n">
        <x:v>70450.4787252602</x:v>
      </x:c>
      <x:c r="E1086" s="16" t="n">
        <x:v>-1849.4251597152</x:v>
      </x:c>
      <x:c r="F1086" s="23" t="n">
        <x:v>5</x:v>
      </x:c>
    </x:row>
    <x:row r="1087">
      <x:c r="A1087" s="15" t="n">
        <x:v>42461</x:v>
      </x:c>
      <x:c r="B1087" s="13" t="str">
        <x:v>Capital Goods</x:v>
      </x:c>
      <x:c r="C1087" s="16" t="n">
        <x:v>2929.0121517589</x:v>
      </x:c>
      <x:c r="D1087" s="16" t="n">
        <x:v>2604.9207345096</x:v>
      </x:c>
      <x:c r="E1087" s="16" t="n">
        <x:v>-324.0914172493</x:v>
      </x:c>
      <x:c r="F1087" s="23" t="n">
        <x:v>2</x:v>
      </x:c>
    </x:row>
    <x:row r="1088">
      <x:c r="A1088" s="15" t="n">
        <x:v>42461</x:v>
      </x:c>
      <x:c r="B1088" s="13" t="str">
        <x:v>Education</x:v>
      </x:c>
      <x:c r="C1088" s="16" t="n">
        <x:v>2357.9950848</x:v>
      </x:c>
      <x:c r="D1088" s="16" t="n">
        <x:v>2456.7411457753</x:v>
      </x:c>
      <x:c r="E1088" s="16" t="n">
        <x:v>98.7460609753</x:v>
      </x:c>
      <x:c r="F1088" s="23" t="n">
        <x:v>2</x:v>
      </x:c>
    </x:row>
    <x:row r="1089">
      <x:c r="A1089" s="15" t="n">
        <x:v>42461</x:v>
      </x:c>
      <x:c r="B1089" s="13" t="str">
        <x:v>Financials Non-Banks</x:v>
      </x:c>
      <x:c r="C1089" s="16" t="n">
        <x:v>19269.8681275616</x:v>
      </x:c>
      <x:c r="D1089" s="16" t="n">
        <x:v>18426.0205827507</x:v>
      </x:c>
      <x:c r="E1089" s="16" t="n">
        <x:v>-843.847544811</x:v>
      </x:c>
      <x:c r="F1089" s="23" t="n">
        <x:v>5</x:v>
      </x:c>
    </x:row>
    <x:row r="1090">
      <x:c r="A1090" s="15" t="n">
        <x:v>42461</x:v>
      </x:c>
      <x:c r="B1090" s="13" t="str">
        <x:v>Food &amp; Beverages</x:v>
      </x:c>
      <x:c r="C1090" s="16" t="n">
        <x:v>23824.9032610192</x:v>
      </x:c>
      <x:c r="D1090" s="16" t="n">
        <x:v>22558.852953863</x:v>
      </x:c>
      <x:c r="E1090" s="16" t="n">
        <x:v>-1266.0503071562</x:v>
      </x:c>
      <x:c r="F1090" s="23" t="n">
        <x:v>4</x:v>
      </x:c>
    </x:row>
    <x:row r="1091">
      <x:c r="A1091" s="15" t="n">
        <x:v>42461</x:v>
      </x:c>
      <x:c r="B1091" s="13" t="str">
        <x:v>Health Care</x:v>
      </x:c>
      <x:c r="C1091" s="16" t="n">
        <x:v>1018.6197797699</x:v>
      </x:c>
      <x:c r="D1091" s="16" t="n">
        <x:v>1175.5231129425</x:v>
      </x:c>
      <x:c r="E1091" s="16" t="n">
        <x:v>156.9033331726</x:v>
      </x:c>
      <x:c r="F1091" s="23" t="n">
        <x:v>2</x:v>
      </x:c>
    </x:row>
    <x:row r="1092">
      <x:c r="A1092" s="15" t="n">
        <x:v>42461</x:v>
      </x:c>
      <x:c r="B1092" s="13" t="str">
        <x:v>Homebuilders</x:v>
      </x:c>
      <x:c r="C1092" s="16" t="n">
        <x:v>983.922284537</x:v>
      </x:c>
      <x:c r="D1092" s="16" t="n">
        <x:v>1002.7649699068</x:v>
      </x:c>
      <x:c r="E1092" s="16" t="n">
        <x:v>18.8426853699</x:v>
      </x:c>
      <x:c r="F1092" s="23" t="n">
        <x:v>2</x:v>
      </x:c>
    </x:row>
    <x:row r="1093">
      <x:c r="A1093" s="15" t="n">
        <x:v>42461</x:v>
      </x:c>
      <x:c r="B1093" s="13" t="str">
        <x:v>Income Properties</x:v>
      </x:c>
      <x:c r="C1093" s="16" t="n">
        <x:v>779.0778116384</x:v>
      </x:c>
      <x:c r="D1093" s="16" t="n">
        <x:v>830.697906937</x:v>
      </x:c>
      <x:c r="E1093" s="16" t="n">
        <x:v>51.6200952986</x:v>
      </x:c>
      <x:c r="F1093" s="23" t="n">
        <x:v>2</x:v>
      </x:c>
    </x:row>
    <x:row r="1094">
      <x:c r="A1094" s="15" t="n">
        <x:v>42461</x:v>
      </x:c>
      <x:c r="B1094" s="13" t="str">
        <x:v>Metals &amp; Mining</x:v>
      </x:c>
      <x:c r="C1094" s="16" t="n">
        <x:v>-1347.3148556274</x:v>
      </x:c>
      <x:c r="D1094" s="16" t="n">
        <x:v>-140.8804816657</x:v>
      </x:c>
      <x:c r="E1094" s="16" t="n">
        <x:v>1206.4343739616</x:v>
      </x:c>
      <x:c r="F1094" s="23" t="n">
        <x:v>6</x:v>
      </x:c>
    </x:row>
    <x:row r="1095">
      <x:c r="A1095" s="15" t="n">
        <x:v>42461</x:v>
      </x:c>
      <x:c r="B1095" s="13" t="str">
        <x:v>Oil, Gas &amp; Petrochemicals</x:v>
      </x:c>
      <x:c r="C1095" s="16" t="n">
        <x:v>16055.9722625753</x:v>
      </x:c>
      <x:c r="D1095" s="16" t="n">
        <x:v>12547.4325679342</x:v>
      </x:c>
      <x:c r="E1095" s="16" t="n">
        <x:v>-3508.5396946411</x:v>
      </x:c>
      <x:c r="F1095" s="23" t="n">
        <x:v>4</x:v>
      </x:c>
    </x:row>
    <x:row r="1096">
      <x:c r="A1096" s="15" t="n">
        <x:v>42461</x:v>
      </x:c>
      <x:c r="B1096" s="13" t="str">
        <x:v>Pulp &amp; Paper</x:v>
      </x:c>
      <x:c r="C1096" s="16" t="n">
        <x:v>6013.9893567123</x:v>
      </x:c>
      <x:c r="D1096" s="16" t="n">
        <x:v>5028.9430247452</x:v>
      </x:c>
      <x:c r="E1096" s="16" t="n">
        <x:v>-985.0463319671</x:v>
      </x:c>
      <x:c r="F1096" s="23" t="n">
        <x:v>3</x:v>
      </x:c>
    </x:row>
    <x:row r="1097">
      <x:c r="A1097" s="15" t="n">
        <x:v>42461</x:v>
      </x:c>
      <x:c r="B1097" s="13" t="str">
        <x:v>Retail</x:v>
      </x:c>
      <x:c r="C1097" s="16" t="n">
        <x:v>3399.8102967233</x:v>
      </x:c>
      <x:c r="D1097" s="16" t="n">
        <x:v>3182.7688871452</x:v>
      </x:c>
      <x:c r="E1097" s="16" t="n">
        <x:v>-217.0414095781</x:v>
      </x:c>
      <x:c r="F1097" s="23" t="n">
        <x:v>6</x:v>
      </x:c>
    </x:row>
    <x:row r="1098">
      <x:c r="A1098" s="15" t="n">
        <x:v>42461</x:v>
      </x:c>
      <x:c r="B1098" s="13" t="str">
        <x:v>Sanitation</x:v>
      </x:c>
      <x:c r="C1098" s="16" t="n">
        <x:v>1367.8522385534</x:v>
      </x:c>
      <x:c r="D1098" s="16" t="n">
        <x:v>1788.123354126</x:v>
      </x:c>
      <x:c r="E1098" s="16" t="n">
        <x:v>420.2711155726</x:v>
      </x:c>
      <x:c r="F1098" s="23" t="n">
        <x:v>1</x:v>
      </x:c>
    </x:row>
    <x:row r="1099">
      <x:c r="A1099" s="15" t="n">
        <x:v>42461</x:v>
      </x:c>
      <x:c r="B1099" s="13" t="str">
        <x:v>TMT</x:v>
      </x:c>
      <x:c r="C1099" s="16" t="n">
        <x:v>4093.2699621699</x:v>
      </x:c>
      <x:c r="D1099" s="16" t="n">
        <x:v>4006.4221176986</x:v>
      </x:c>
      <x:c r="E1099" s="16" t="n">
        <x:v>-86.8478444712</x:v>
      </x:c>
      <x:c r="F1099" s="23" t="n">
        <x:v>3</x:v>
      </x:c>
    </x:row>
    <x:row r="1100">
      <x:c r="A1100" s="15" t="n">
        <x:v>42461</x:v>
      </x:c>
      <x:c r="B1100" s="13" t="str">
        <x:v>Transportation</x:v>
      </x:c>
      <x:c r="C1100" s="16" t="n">
        <x:v>1831.1803010192</x:v>
      </x:c>
      <x:c r="D1100" s="16" t="n">
        <x:v>1930.8619626959</x:v>
      </x:c>
      <x:c r="E1100" s="16" t="n">
        <x:v>99.6816616767</x:v>
      </x:c>
      <x:c r="F1100" s="23" t="n">
        <x:v>3</x:v>
      </x:c>
    </x:row>
    <x:row r="1101">
      <x:c r="A1101" s="15" t="n">
        <x:v>42461</x:v>
      </x:c>
      <x:c r="B1101" s="13" t="str">
        <x:v>Utilities &amp; Energy</x:v>
      </x:c>
      <x:c r="C1101" s="16" t="n">
        <x:v>7056.7421869589</x:v>
      </x:c>
      <x:c r="D1101" s="16" t="n">
        <x:v>6978.4657271233</x:v>
      </x:c>
      <x:c r="E1101" s="16" t="n">
        <x:v>-78.2764598356</x:v>
      </x:c>
      <x:c r="F1101" s="23" t="n">
        <x:v>7</x:v>
      </x:c>
    </x:row>
    <x:row r="1102">
      <x:c r="A1102" s="15" t="n">
        <x:v>42491</x:v>
      </x:c>
      <x:c r="B1102" s="13" t="str">
        <x:v>Banks</x:v>
      </x:c>
      <x:c r="C1102" s="16" t="n">
        <x:v>71603.9885753864</x:v>
      </x:c>
      <x:c r="D1102" s="16" t="n">
        <x:v>70174.6017630684</x:v>
      </x:c>
      <x:c r="E1102" s="16" t="n">
        <x:v>-1429.386812318</x:v>
      </x:c>
      <x:c r="F1102" s="23" t="n">
        <x:v>5</x:v>
      </x:c>
    </x:row>
    <x:row r="1103">
      <x:c r="A1103" s="15" t="n">
        <x:v>42491</x:v>
      </x:c>
      <x:c r="B1103" s="13" t="str">
        <x:v>Capital Goods</x:v>
      </x:c>
      <x:c r="C1103" s="16" t="n">
        <x:v>2888.197362674</x:v>
      </x:c>
      <x:c r="D1103" s="16" t="n">
        <x:v>2566.5453718794</x:v>
      </x:c>
      <x:c r="E1103" s="16" t="n">
        <x:v>-321.6519907945</x:v>
      </x:c>
      <x:c r="F1103" s="23" t="n">
        <x:v>2</x:v>
      </x:c>
    </x:row>
    <x:row r="1104">
      <x:c r="A1104" s="15" t="n">
        <x:v>42491</x:v>
      </x:c>
      <x:c r="B1104" s="13" t="str">
        <x:v>Education</x:v>
      </x:c>
      <x:c r="C1104" s="16" t="n">
        <x:v>2429.2674977315</x:v>
      </x:c>
      <x:c r="D1104" s="16" t="n">
        <x:v>2429.3172204712</x:v>
      </x:c>
      <x:c r="E1104" s="16" t="n">
        <x:v>0.0497227397</x:v>
      </x:c>
      <x:c r="F1104" s="23" t="n">
        <x:v>2</x:v>
      </x:c>
    </x:row>
    <x:row r="1105">
      <x:c r="A1105" s="15" t="n">
        <x:v>42491</x:v>
      </x:c>
      <x:c r="B1105" s="13" t="str">
        <x:v>Financials Non-Banks</x:v>
      </x:c>
      <x:c r="C1105" s="16" t="n">
        <x:v>18640.8224950356</x:v>
      </x:c>
      <x:c r="D1105" s="16" t="n">
        <x:v>18809.4736347178</x:v>
      </x:c>
      <x:c r="E1105" s="16" t="n">
        <x:v>168.6511396822</x:v>
      </x:c>
      <x:c r="F1105" s="23" t="n">
        <x:v>5</x:v>
      </x:c>
    </x:row>
    <x:row r="1106">
      <x:c r="A1106" s="15" t="n">
        <x:v>42491</x:v>
      </x:c>
      <x:c r="B1106" s="13" t="str">
        <x:v>Food &amp; Beverages</x:v>
      </x:c>
      <x:c r="C1106" s="16" t="n">
        <x:v>23464.0900963945</x:v>
      </x:c>
      <x:c r="D1106" s="16" t="n">
        <x:v>21818.9105578959</x:v>
      </x:c>
      <x:c r="E1106" s="16" t="n">
        <x:v>-1645.1795384986</x:v>
      </x:c>
      <x:c r="F1106" s="23" t="n">
        <x:v>4</x:v>
      </x:c>
    </x:row>
    <x:row r="1107">
      <x:c r="A1107" s="15" t="n">
        <x:v>42491</x:v>
      </x:c>
      <x:c r="B1107" s="13" t="str">
        <x:v>Health Care</x:v>
      </x:c>
      <x:c r="C1107" s="16" t="n">
        <x:v>1074.7800380493</x:v>
      </x:c>
      <x:c r="D1107" s="16" t="n">
        <x:v>1233.8244952548</x:v>
      </x:c>
      <x:c r="E1107" s="16" t="n">
        <x:v>159.0444572055</x:v>
      </x:c>
      <x:c r="F1107" s="23" t="n">
        <x:v>2</x:v>
      </x:c>
    </x:row>
    <x:row r="1108">
      <x:c r="A1108" s="15" t="n">
        <x:v>42491</x:v>
      </x:c>
      <x:c r="B1108" s="13" t="str">
        <x:v>Homebuilders</x:v>
      </x:c>
      <x:c r="C1108" s="16" t="n">
        <x:v>1000.5745309808</x:v>
      </x:c>
      <x:c r="D1108" s="16" t="n">
        <x:v>955.2194607342</x:v>
      </x:c>
      <x:c r="E1108" s="16" t="n">
        <x:v>-45.3550702466</x:v>
      </x:c>
      <x:c r="F1108" s="23" t="n">
        <x:v>2</x:v>
      </x:c>
    </x:row>
    <x:row r="1109">
      <x:c r="A1109" s="15" t="n">
        <x:v>42491</x:v>
      </x:c>
      <x:c r="B1109" s="13" t="str">
        <x:v>Income Properties</x:v>
      </x:c>
      <x:c r="C1109" s="16" t="n">
        <x:v>766.4664117479</x:v>
      </x:c>
      <x:c r="D1109" s="16" t="n">
        <x:v>828.8497882301</x:v>
      </x:c>
      <x:c r="E1109" s="16" t="n">
        <x:v>62.3833764822</x:v>
      </x:c>
      <x:c r="F1109" s="23" t="n">
        <x:v>2</x:v>
      </x:c>
    </x:row>
    <x:row r="1110">
      <x:c r="A1110" s="15" t="n">
        <x:v>42491</x:v>
      </x:c>
      <x:c r="B1110" s="13" t="str">
        <x:v>Metals &amp; Mining</x:v>
      </x:c>
      <x:c r="C1110" s="16" t="n">
        <x:v>-3226.198879737</x:v>
      </x:c>
      <x:c r="D1110" s="16" t="n">
        <x:v>3522.7701610959</x:v>
      </x:c>
      <x:c r="E1110" s="16" t="n">
        <x:v>6748.9690408329</x:v>
      </x:c>
      <x:c r="F1110" s="23" t="n">
        <x:v>6</x:v>
      </x:c>
    </x:row>
    <x:row r="1111">
      <x:c r="A1111" s="15" t="n">
        <x:v>42491</x:v>
      </x:c>
      <x:c r="B1111" s="13" t="str">
        <x:v>Oil, Gas &amp; Petrochemicals</x:v>
      </x:c>
      <x:c r="C1111" s="16" t="n">
        <x:v>15806.2236209096</x:v>
      </x:c>
      <x:c r="D1111" s="16" t="n">
        <x:v>13867.7530827397</x:v>
      </x:c>
      <x:c r="E1111" s="16" t="n">
        <x:v>-1938.4705381699</x:v>
      </x:c>
      <x:c r="F1111" s="23" t="n">
        <x:v>4</x:v>
      </x:c>
    </x:row>
    <x:row r="1112">
      <x:c r="A1112" s="15" t="n">
        <x:v>42491</x:v>
      </x:c>
      <x:c r="B1112" s="13" t="str">
        <x:v>Pulp &amp; Paper</x:v>
      </x:c>
      <x:c r="C1112" s="16" t="n">
        <x:v>5866.9005206794</x:v>
      </x:c>
      <x:c r="D1112" s="16" t="n">
        <x:v>4832.8653115616</x:v>
      </x:c>
      <x:c r="E1112" s="16" t="n">
        <x:v>-1034.0352091178</x:v>
      </x:c>
      <x:c r="F1112" s="23" t="n">
        <x:v>3</x:v>
      </x:c>
    </x:row>
    <x:row r="1113">
      <x:c r="A1113" s="15" t="n">
        <x:v>42491</x:v>
      </x:c>
      <x:c r="B1113" s="13" t="str">
        <x:v>Retail</x:v>
      </x:c>
      <x:c r="C1113" s="16" t="n">
        <x:v>3001.8241041534</x:v>
      </x:c>
      <x:c r="D1113" s="16" t="n">
        <x:v>2960.9995421808</x:v>
      </x:c>
      <x:c r="E1113" s="16" t="n">
        <x:v>-40.8245619726</x:v>
      </x:c>
      <x:c r="F1113" s="23" t="n">
        <x:v>5</x:v>
      </x:c>
    </x:row>
    <x:row r="1114">
      <x:c r="A1114" s="15" t="n">
        <x:v>42491</x:v>
      </x:c>
      <x:c r="B1114" s="13" t="str">
        <x:v>Sanitation</x:v>
      </x:c>
      <x:c r="C1114" s="16" t="n">
        <x:v>1462.7757539945</x:v>
      </x:c>
      <x:c r="D1114" s="16" t="n">
        <x:v>2124.5955598027</x:v>
      </x:c>
      <x:c r="E1114" s="16" t="n">
        <x:v>661.8198058082</x:v>
      </x:c>
      <x:c r="F1114" s="23" t="n">
        <x:v>1</x:v>
      </x:c>
    </x:row>
    <x:row r="1115">
      <x:c r="A1115" s="15" t="n">
        <x:v>42491</x:v>
      </x:c>
      <x:c r="B1115" s="13" t="str">
        <x:v>TMT</x:v>
      </x:c>
      <x:c r="C1115" s="16" t="n">
        <x:v>5810.9165901151</x:v>
      </x:c>
      <x:c r="D1115" s="16" t="n">
        <x:v>5766.8715006247</x:v>
      </x:c>
      <x:c r="E1115" s="16" t="n">
        <x:v>-44.0450894904</x:v>
      </x:c>
      <x:c r="F1115" s="23" t="n">
        <x:v>2</x:v>
      </x:c>
    </x:row>
    <x:row r="1116">
      <x:c r="A1116" s="15" t="n">
        <x:v>42491</x:v>
      </x:c>
      <x:c r="B1116" s="13" t="str">
        <x:v>Transportation</x:v>
      </x:c>
      <x:c r="C1116" s="16" t="n">
        <x:v>1797.2192587397</x:v>
      </x:c>
      <x:c r="D1116" s="16" t="n">
        <x:v>2050.1544844274</x:v>
      </x:c>
      <x:c r="E1116" s="16" t="n">
        <x:v>252.9352256877</x:v>
      </x:c>
      <x:c r="F1116" s="23" t="n">
        <x:v>3</x:v>
      </x:c>
    </x:row>
    <x:row r="1117">
      <x:c r="A1117" s="15" t="n">
        <x:v>42491</x:v>
      </x:c>
      <x:c r="B1117" s="13" t="str">
        <x:v>Utilities &amp; Energy</x:v>
      </x:c>
      <x:c r="C1117" s="16" t="n">
        <x:v>6834.9217219507</x:v>
      </x:c>
      <x:c r="D1117" s="16" t="n">
        <x:v>6889.3790631452</x:v>
      </x:c>
      <x:c r="E1117" s="16" t="n">
        <x:v>54.4573411945</x:v>
      </x:c>
      <x:c r="F1117" s="23" t="n">
        <x:v>7</x:v>
      </x:c>
    </x:row>
    <x:row r="1118">
      <x:c r="A1118" s="15" t="n">
        <x:v>42522</x:v>
      </x:c>
      <x:c r="B1118" s="13" t="str">
        <x:v>Banks</x:v>
      </x:c>
      <x:c r="C1118" s="16" t="n">
        <x:v>70727.9825358903</x:v>
      </x:c>
      <x:c r="D1118" s="16" t="n">
        <x:v>69706.8927354739</x:v>
      </x:c>
      <x:c r="E1118" s="16" t="n">
        <x:v>-1021.0898004164</x:v>
      </x:c>
      <x:c r="F1118" s="23" t="n">
        <x:v>5</x:v>
      </x:c>
    </x:row>
    <x:row r="1119">
      <x:c r="A1119" s="15" t="n">
        <x:v>42522</x:v>
      </x:c>
      <x:c r="B1119" s="13" t="str">
        <x:v>Capital Goods</x:v>
      </x:c>
      <x:c r="C1119" s="16" t="n">
        <x:v>2717.5615228493</x:v>
      </x:c>
      <x:c r="D1119" s="16" t="n">
        <x:v>2579.1345990137</x:v>
      </x:c>
      <x:c r="E1119" s="16" t="n">
        <x:v>-138.4269238356</x:v>
      </x:c>
      <x:c r="F1119" s="23" t="n">
        <x:v>2</x:v>
      </x:c>
    </x:row>
    <x:row r="1120">
      <x:c r="A1120" s="15" t="n">
        <x:v>42522</x:v>
      </x:c>
      <x:c r="B1120" s="13" t="str">
        <x:v>Education</x:v>
      </x:c>
      <x:c r="C1120" s="16" t="n">
        <x:v>2442.9058016438</x:v>
      </x:c>
      <x:c r="D1120" s="16" t="n">
        <x:v>2469.026706411</x:v>
      </x:c>
      <x:c r="E1120" s="16" t="n">
        <x:v>26.1209047671</x:v>
      </x:c>
      <x:c r="F1120" s="23" t="n">
        <x:v>2</x:v>
      </x:c>
    </x:row>
    <x:row r="1121">
      <x:c r="A1121" s="15" t="n">
        <x:v>42522</x:v>
      </x:c>
      <x:c r="B1121" s="13" t="str">
        <x:v>Financials Non-Banks</x:v>
      </x:c>
      <x:c r="C1121" s="16" t="n">
        <x:v>18387.6601915616</x:v>
      </x:c>
      <x:c r="D1121" s="16" t="n">
        <x:v>18848.0704980164</x:v>
      </x:c>
      <x:c r="E1121" s="16" t="n">
        <x:v>460.4103064548</x:v>
      </x:c>
      <x:c r="F1121" s="23" t="n">
        <x:v>5</x:v>
      </x:c>
    </x:row>
    <x:row r="1122">
      <x:c r="A1122" s="15" t="n">
        <x:v>42522</x:v>
      </x:c>
      <x:c r="B1122" s="13" t="str">
        <x:v>Food &amp; Beverages</x:v>
      </x:c>
      <x:c r="C1122" s="16" t="n">
        <x:v>23096.1294384657</x:v>
      </x:c>
      <x:c r="D1122" s="16" t="n">
        <x:v>21558.7830137863</x:v>
      </x:c>
      <x:c r="E1122" s="16" t="n">
        <x:v>-1537.3464246795</x:v>
      </x:c>
      <x:c r="F1122" s="23" t="n">
        <x:v>4</x:v>
      </x:c>
    </x:row>
    <x:row r="1123">
      <x:c r="A1123" s="15" t="n">
        <x:v>42522</x:v>
      </x:c>
      <x:c r="B1123" s="13" t="str">
        <x:v>Health Care</x:v>
      </x:c>
      <x:c r="C1123" s="16" t="n">
        <x:v>1114.7056341918</x:v>
      </x:c>
      <x:c r="D1123" s="16" t="n">
        <x:v>1263.1039890411</x:v>
      </x:c>
      <x:c r="E1123" s="16" t="n">
        <x:v>148.3983548493</x:v>
      </x:c>
      <x:c r="F1123" s="23" t="n">
        <x:v>2</x:v>
      </x:c>
    </x:row>
    <x:row r="1124">
      <x:c r="A1124" s="15" t="n">
        <x:v>42522</x:v>
      </x:c>
      <x:c r="B1124" s="13" t="str">
        <x:v>Homebuilders</x:v>
      </x:c>
      <x:c r="C1124" s="16" t="n">
        <x:v>980.0999623014</x:v>
      </x:c>
      <x:c r="D1124" s="16" t="n">
        <x:v>958.5741661808</x:v>
      </x:c>
      <x:c r="E1124" s="16" t="n">
        <x:v>-21.5257961205</x:v>
      </x:c>
      <x:c r="F1124" s="23" t="n">
        <x:v>2</x:v>
      </x:c>
    </x:row>
    <x:row r="1125">
      <x:c r="A1125" s="15" t="n">
        <x:v>42522</x:v>
      </x:c>
      <x:c r="B1125" s="13" t="str">
        <x:v>Income Properties</x:v>
      </x:c>
      <x:c r="C1125" s="16" t="n">
        <x:v>795.7448670685</x:v>
      </x:c>
      <x:c r="D1125" s="16" t="n">
        <x:v>839.0069738959</x:v>
      </x:c>
      <x:c r="E1125" s="16" t="n">
        <x:v>43.2621068274</x:v>
      </x:c>
      <x:c r="F1125" s="23" t="n">
        <x:v>2</x:v>
      </x:c>
    </x:row>
    <x:row r="1126">
      <x:c r="A1126" s="15" t="n">
        <x:v>42522</x:v>
      </x:c>
      <x:c r="B1126" s="13" t="str">
        <x:v>Metals &amp; Mining</x:v>
      </x:c>
      <x:c r="C1126" s="16" t="n">
        <x:v>-846.9799353425</x:v>
      </x:c>
      <x:c r="D1126" s="16" t="n">
        <x:v>4444.2645620164</x:v>
      </x:c>
      <x:c r="E1126" s="16" t="n">
        <x:v>5291.2444973589</x:v>
      </x:c>
      <x:c r="F1126" s="23" t="n">
        <x:v>6</x:v>
      </x:c>
    </x:row>
    <x:row r="1127">
      <x:c r="A1127" s="15" t="n">
        <x:v>42522</x:v>
      </x:c>
      <x:c r="B1127" s="13" t="str">
        <x:v>Oil, Gas &amp; Petrochemicals</x:v>
      </x:c>
      <x:c r="C1127" s="16" t="n">
        <x:v>12531.1567640548</x:v>
      </x:c>
      <x:c r="D1127" s="16" t="n">
        <x:v>15179.0689970849</x:v>
      </x:c>
      <x:c r="E1127" s="16" t="n">
        <x:v>2647.9122330301</x:v>
      </x:c>
      <x:c r="F1127" s="23" t="n">
        <x:v>4</x:v>
      </x:c>
    </x:row>
    <x:row r="1128">
      <x:c r="A1128" s="15" t="n">
        <x:v>42522</x:v>
      </x:c>
      <x:c r="B1128" s="13" t="str">
        <x:v>Pulp &amp; Paper</x:v>
      </x:c>
      <x:c r="C1128" s="16" t="n">
        <x:v>5913.4526649863</x:v>
      </x:c>
      <x:c r="D1128" s="16" t="n">
        <x:v>4814.228723726</x:v>
      </x:c>
      <x:c r="E1128" s="16" t="n">
        <x:v>-1099.2239412603</x:v>
      </x:c>
      <x:c r="F1128" s="23" t="n">
        <x:v>3</x:v>
      </x:c>
    </x:row>
    <x:row r="1129">
      <x:c r="A1129" s="15" t="n">
        <x:v>42522</x:v>
      </x:c>
      <x:c r="B1129" s="13" t="str">
        <x:v>Retail</x:v>
      </x:c>
      <x:c r="C1129" s="16" t="n">
        <x:v>2966.5791715068</x:v>
      </x:c>
      <x:c r="D1129" s="16" t="n">
        <x:v>2903.8611254356</x:v>
      </x:c>
      <x:c r="E1129" s="16" t="n">
        <x:v>-62.7180460712</x:v>
      </x:c>
      <x:c r="F1129" s="23" t="n">
        <x:v>5</x:v>
      </x:c>
    </x:row>
    <x:row r="1130">
      <x:c r="A1130" s="15" t="n">
        <x:v>42522</x:v>
      </x:c>
      <x:c r="B1130" s="13" t="str">
        <x:v>Sanitation</x:v>
      </x:c>
      <x:c r="C1130" s="16" t="n">
        <x:v>1624.1312087671</x:v>
      </x:c>
      <x:c r="D1130" s="16" t="n">
        <x:v>2131.7329793753</x:v>
      </x:c>
      <x:c r="E1130" s="16" t="n">
        <x:v>507.6017706082</x:v>
      </x:c>
      <x:c r="F1130" s="23" t="n">
        <x:v>1</x:v>
      </x:c>
    </x:row>
    <x:row r="1131">
      <x:c r="A1131" s="15" t="n">
        <x:v>42522</x:v>
      </x:c>
      <x:c r="B1131" s="13" t="str">
        <x:v>TMT</x:v>
      </x:c>
      <x:c r="C1131" s="16" t="n">
        <x:v>5834.6711452055</x:v>
      </x:c>
      <x:c r="D1131" s="16" t="n">
        <x:v>5700.7669323397</x:v>
      </x:c>
      <x:c r="E1131" s="16" t="n">
        <x:v>-133.9042128657</x:v>
      </x:c>
      <x:c r="F1131" s="23" t="n">
        <x:v>2</x:v>
      </x:c>
    </x:row>
    <x:row r="1132">
      <x:c r="A1132" s="15" t="n">
        <x:v>42522</x:v>
      </x:c>
      <x:c r="B1132" s="13" t="str">
        <x:v>Transportation</x:v>
      </x:c>
      <x:c r="C1132" s="16" t="n">
        <x:v>1913.2691075069</x:v>
      </x:c>
      <x:c r="D1132" s="16" t="n">
        <x:v>2049.2193376438</x:v>
      </x:c>
      <x:c r="E1132" s="16" t="n">
        <x:v>135.950230137</x:v>
      </x:c>
      <x:c r="F1132" s="23" t="n">
        <x:v>3</x:v>
      </x:c>
    </x:row>
    <x:row r="1133">
      <x:c r="A1133" s="15" t="n">
        <x:v>42522</x:v>
      </x:c>
      <x:c r="B1133" s="13" t="str">
        <x:v>Utilities &amp; Energy</x:v>
      </x:c>
      <x:c r="C1133" s="16" t="n">
        <x:v>6765.3458972055</x:v>
      </x:c>
      <x:c r="D1133" s="16" t="n">
        <x:v>6819.2735143452</x:v>
      </x:c>
      <x:c r="E1133" s="16" t="n">
        <x:v>53.9276171397</x:v>
      </x:c>
      <x:c r="F1133" s="23" t="n">
        <x:v>7</x:v>
      </x:c>
    </x:row>
    <x:row r="1134">
      <x:c r="A1134" s="15" t="n">
        <x:v>42552</x:v>
      </x:c>
      <x:c r="B1134" s="13" t="str">
        <x:v>Banks</x:v>
      </x:c>
      <x:c r="C1134" s="16" t="n">
        <x:v>70450.4787252602</x:v>
      </x:c>
      <x:c r="D1134" s="16" t="n">
        <x:v>69711.650935233</x:v>
      </x:c>
      <x:c r="E1134" s="16" t="n">
        <x:v>-738.8277900273</x:v>
      </x:c>
      <x:c r="F1134" s="23" t="n">
        <x:v>5</x:v>
      </x:c>
    </x:row>
    <x:row r="1135">
      <x:c r="A1135" s="15" t="n">
        <x:v>42552</x:v>
      </x:c>
      <x:c r="B1135" s="13" t="str">
        <x:v>Capital Goods</x:v>
      </x:c>
      <x:c r="C1135" s="16" t="n">
        <x:v>2604.9207345096</x:v>
      </x:c>
      <x:c r="D1135" s="16" t="n">
        <x:v>2359.3201990137</x:v>
      </x:c>
      <x:c r="E1135" s="16" t="n">
        <x:v>-245.6005354959</x:v>
      </x:c>
      <x:c r="F1135" s="23" t="n">
        <x:v>2</x:v>
      </x:c>
    </x:row>
    <x:row r="1136">
      <x:c r="A1136" s="15" t="n">
        <x:v>42552</x:v>
      </x:c>
      <x:c r="B1136" s="13" t="str">
        <x:v>Education</x:v>
      </x:c>
      <x:c r="C1136" s="16" t="n">
        <x:v>2456.7411457753</x:v>
      </x:c>
      <x:c r="D1136" s="16" t="n">
        <x:v>2493.0636300274</x:v>
      </x:c>
      <x:c r="E1136" s="16" t="n">
        <x:v>36.3224842521</x:v>
      </x:c>
      <x:c r="F1136" s="23" t="n">
        <x:v>2</x:v>
      </x:c>
    </x:row>
    <x:row r="1137">
      <x:c r="A1137" s="15" t="n">
        <x:v>42552</x:v>
      </x:c>
      <x:c r="B1137" s="13" t="str">
        <x:v>Financials Non-Banks</x:v>
      </x:c>
      <x:c r="C1137" s="16" t="n">
        <x:v>18426.0205827507</x:v>
      </x:c>
      <x:c r="D1137" s="16" t="n">
        <x:v>18741.6260804384</x:v>
      </x:c>
      <x:c r="E1137" s="16" t="n">
        <x:v>315.6054976877</x:v>
      </x:c>
      <x:c r="F1137" s="23" t="n">
        <x:v>5</x:v>
      </x:c>
    </x:row>
    <x:row r="1138">
      <x:c r="A1138" s="15" t="n">
        <x:v>42552</x:v>
      </x:c>
      <x:c r="B1138" s="13" t="str">
        <x:v>Food &amp; Beverages</x:v>
      </x:c>
      <x:c r="C1138" s="16" t="n">
        <x:v>22558.852953863</x:v>
      </x:c>
      <x:c r="D1138" s="16" t="n">
        <x:v>21537.9271728219</x:v>
      </x:c>
      <x:c r="E1138" s="16" t="n">
        <x:v>-1020.9257810411</x:v>
      </x:c>
      <x:c r="F1138" s="23" t="n">
        <x:v>4</x:v>
      </x:c>
    </x:row>
    <x:row r="1139">
      <x:c r="A1139" s="15" t="n">
        <x:v>42552</x:v>
      </x:c>
      <x:c r="B1139" s="13" t="str">
        <x:v>Health Care</x:v>
      </x:c>
      <x:c r="C1139" s="16" t="n">
        <x:v>1175.5231129425</x:v>
      </x:c>
      <x:c r="D1139" s="16" t="n">
        <x:v>1283.3526356164</x:v>
      </x:c>
      <x:c r="E1139" s="16" t="n">
        <x:v>107.829522674</x:v>
      </x:c>
      <x:c r="F1139" s="23" t="n">
        <x:v>2</x:v>
      </x:c>
    </x:row>
    <x:row r="1140">
      <x:c r="A1140" s="15" t="n">
        <x:v>42552</x:v>
      </x:c>
      <x:c r="B1140" s="13" t="str">
        <x:v>Homebuilders</x:v>
      </x:c>
      <x:c r="C1140" s="16" t="n">
        <x:v>1002.7649699068</x:v>
      </x:c>
      <x:c r="D1140" s="16" t="n">
        <x:v>970.8335456438</x:v>
      </x:c>
      <x:c r="E1140" s="16" t="n">
        <x:v>-31.931424263</x:v>
      </x:c>
      <x:c r="F1140" s="23" t="n">
        <x:v>2</x:v>
      </x:c>
    </x:row>
    <x:row r="1141">
      <x:c r="A1141" s="15" t="n">
        <x:v>42552</x:v>
      </x:c>
      <x:c r="B1141" s="13" t="str">
        <x:v>Income Properties</x:v>
      </x:c>
      <x:c r="C1141" s="16" t="n">
        <x:v>830.697906937</x:v>
      </x:c>
      <x:c r="D1141" s="16" t="n">
        <x:v>822.5504052603</x:v>
      </x:c>
      <x:c r="E1141" s="16" t="n">
        <x:v>-8.1475016767</x:v>
      </x:c>
      <x:c r="F1141" s="23" t="n">
        <x:v>2</x:v>
      </x:c>
    </x:row>
    <x:row r="1142">
      <x:c r="A1142" s="15" t="n">
        <x:v>42552</x:v>
      </x:c>
      <x:c r="B1142" s="13" t="str">
        <x:v>Metals &amp; Mining</x:v>
      </x:c>
      <x:c r="C1142" s="16" t="n">
        <x:v>-140.8804816657</x:v>
      </x:c>
      <x:c r="D1142" s="16" t="n">
        <x:v>4087.8990770959</x:v>
      </x:c>
      <x:c r="E1142" s="16" t="n">
        <x:v>4228.7795587616</x:v>
      </x:c>
      <x:c r="F1142" s="23" t="n">
        <x:v>6</x:v>
      </x:c>
    </x:row>
    <x:row r="1143">
      <x:c r="A1143" s="15" t="n">
        <x:v>42552</x:v>
      </x:c>
      <x:c r="B1143" s="13" t="str">
        <x:v>Oil, Gas &amp; Petrochemicals</x:v>
      </x:c>
      <x:c r="C1143" s="16" t="n">
        <x:v>12547.4325679342</x:v>
      </x:c>
      <x:c r="D1143" s="16" t="n">
        <x:v>17029.3769152877</x:v>
      </x:c>
      <x:c r="E1143" s="16" t="n">
        <x:v>4481.9443473535</x:v>
      </x:c>
      <x:c r="F1143" s="23" t="n">
        <x:v>4</x:v>
      </x:c>
    </x:row>
    <x:row r="1144">
      <x:c r="A1144" s="15" t="n">
        <x:v>42552</x:v>
      </x:c>
      <x:c r="B1144" s="13" t="str">
        <x:v>Pulp &amp; Paper</x:v>
      </x:c>
      <x:c r="C1144" s="16" t="n">
        <x:v>5028.9430247452</x:v>
      </x:c>
      <x:c r="D1144" s="16" t="n">
        <x:v>4552.1749383014</x:v>
      </x:c>
      <x:c r="E1144" s="16" t="n">
        <x:v>-476.7680864438</x:v>
      </x:c>
      <x:c r="F1144" s="23" t="n">
        <x:v>3</x:v>
      </x:c>
    </x:row>
    <x:row r="1145">
      <x:c r="A1145" s="15" t="n">
        <x:v>42552</x:v>
      </x:c>
      <x:c r="B1145" s="13" t="str">
        <x:v>Retail</x:v>
      </x:c>
      <x:c r="C1145" s="16" t="n">
        <x:v>2951.7842733589</x:v>
      </x:c>
      <x:c r="D1145" s="16" t="n">
        <x:v>2907.9920981918</x:v>
      </x:c>
      <x:c r="E1145" s="16" t="n">
        <x:v>-43.7921751671</x:v>
      </x:c>
      <x:c r="F1145" s="23" t="n">
        <x:v>5</x:v>
      </x:c>
    </x:row>
    <x:row r="1146">
      <x:c r="A1146" s="15" t="n">
        <x:v>42552</x:v>
      </x:c>
      <x:c r="B1146" s="13" t="str">
        <x:v>Sanitation</x:v>
      </x:c>
      <x:c r="C1146" s="16" t="n">
        <x:v>1788.123354126</x:v>
      </x:c>
      <x:c r="D1146" s="16" t="n">
        <x:v>2130.326854137</x:v>
      </x:c>
      <x:c r="E1146" s="16" t="n">
        <x:v>342.203500011</x:v>
      </x:c>
      <x:c r="F1146" s="23" t="n">
        <x:v>1</x:v>
      </x:c>
    </x:row>
    <x:row r="1147">
      <x:c r="A1147" s="15" t="n">
        <x:v>42552</x:v>
      </x:c>
      <x:c r="B1147" s="13" t="str">
        <x:v>TMT</x:v>
      </x:c>
      <x:c r="C1147" s="16" t="n">
        <x:v>5872.0432896</x:v>
      </x:c>
      <x:c r="D1147" s="16" t="n">
        <x:v>5460.0891660274</x:v>
      </x:c>
      <x:c r="E1147" s="16" t="n">
        <x:v>-411.9541235726</x:v>
      </x:c>
      <x:c r="F1147" s="23" t="n">
        <x:v>2</x:v>
      </x:c>
    </x:row>
    <x:row r="1148">
      <x:c r="A1148" s="15" t="n">
        <x:v>42552</x:v>
      </x:c>
      <x:c r="B1148" s="13" t="str">
        <x:v>Transportation</x:v>
      </x:c>
      <x:c r="C1148" s="16" t="n">
        <x:v>1930.8619626959</x:v>
      </x:c>
      <x:c r="D1148" s="16" t="n">
        <x:v>2096.1610812055</x:v>
      </x:c>
      <x:c r="E1148" s="16" t="n">
        <x:v>165.2991185096</x:v>
      </x:c>
      <x:c r="F1148" s="23" t="n">
        <x:v>3</x:v>
      </x:c>
    </x:row>
    <x:row r="1149">
      <x:c r="A1149" s="15" t="n">
        <x:v>42552</x:v>
      </x:c>
      <x:c r="B1149" s="13" t="str">
        <x:v>Utilities &amp; Energy</x:v>
      </x:c>
      <x:c r="C1149" s="16" t="n">
        <x:v>6978.4657271233</x:v>
      </x:c>
      <x:c r="D1149" s="16" t="n">
        <x:v>6975.4357961644</x:v>
      </x:c>
      <x:c r="E1149" s="16" t="n">
        <x:v>-3.0299309589</x:v>
      </x:c>
      <x:c r="F1149" s="23" t="n">
        <x:v>7</x:v>
      </x:c>
    </x:row>
    <x:row r="1150">
      <x:c r="A1150" s="15" t="n">
        <x:v>42583</x:v>
      </x:c>
      <x:c r="B1150" s="13" t="str">
        <x:v>Banks</x:v>
      </x:c>
      <x:c r="C1150" s="16" t="n">
        <x:v>70174.6017630684</x:v>
      </x:c>
      <x:c r="D1150" s="16" t="n">
        <x:v>70487.6621417206</x:v>
      </x:c>
      <x:c r="E1150" s="16" t="n">
        <x:v>313.0603786522</x:v>
      </x:c>
      <x:c r="F1150" s="23" t="n">
        <x:v>5</x:v>
      </x:c>
    </x:row>
    <x:row r="1151">
      <x:c r="A1151" s="15" t="n">
        <x:v>42583</x:v>
      </x:c>
      <x:c r="B1151" s="13" t="str">
        <x:v>Capital Goods</x:v>
      </x:c>
      <x:c r="C1151" s="16" t="n">
        <x:v>2566.5453718794</x:v>
      </x:c>
      <x:c r="D1151" s="16" t="n">
        <x:v>2240.4553258082</x:v>
      </x:c>
      <x:c r="E1151" s="16" t="n">
        <x:v>-326.0900460712</x:v>
      </x:c>
      <x:c r="F1151" s="23" t="n">
        <x:v>2</x:v>
      </x:c>
    </x:row>
    <x:row r="1152">
      <x:c r="A1152" s="15" t="n">
        <x:v>42583</x:v>
      </x:c>
      <x:c r="B1152" s="13" t="str">
        <x:v>Education</x:v>
      </x:c>
      <x:c r="C1152" s="16" t="n">
        <x:v>2429.3172204712</x:v>
      </x:c>
      <x:c r="D1152" s="16" t="n">
        <x:v>2505.9591981589</x:v>
      </x:c>
      <x:c r="E1152" s="16" t="n">
        <x:v>76.6419776877</x:v>
      </x:c>
      <x:c r="F1152" s="23" t="n">
        <x:v>2</x:v>
      </x:c>
    </x:row>
    <x:row r="1153">
      <x:c r="A1153" s="15" t="n">
        <x:v>42583</x:v>
      </x:c>
      <x:c r="B1153" s="13" t="str">
        <x:v>Financials Non-Banks</x:v>
      </x:c>
      <x:c r="C1153" s="16" t="n">
        <x:v>18809.4736347178</x:v>
      </x:c>
      <x:c r="D1153" s="16" t="n">
        <x:v>18738.7464956493</x:v>
      </x:c>
      <x:c r="E1153" s="16" t="n">
        <x:v>-70.7271390685</x:v>
      </x:c>
      <x:c r="F1153" s="23" t="n">
        <x:v>5</x:v>
      </x:c>
    </x:row>
    <x:row r="1154">
      <x:c r="A1154" s="15" t="n">
        <x:v>42583</x:v>
      </x:c>
      <x:c r="B1154" s="13" t="str">
        <x:v>Food &amp; Beverages</x:v>
      </x:c>
      <x:c r="C1154" s="16" t="n">
        <x:v>21818.9105578959</x:v>
      </x:c>
      <x:c r="D1154" s="16" t="n">
        <x:v>20574.0679650411</x:v>
      </x:c>
      <x:c r="E1154" s="16" t="n">
        <x:v>-1244.8425928548</x:v>
      </x:c>
      <x:c r="F1154" s="23" t="n">
        <x:v>4</x:v>
      </x:c>
    </x:row>
    <x:row r="1155">
      <x:c r="A1155" s="15" t="n">
        <x:v>42583</x:v>
      </x:c>
      <x:c r="B1155" s="13" t="str">
        <x:v>Health Care</x:v>
      </x:c>
      <x:c r="C1155" s="16" t="n">
        <x:v>1233.8244952548</x:v>
      </x:c>
      <x:c r="D1155" s="16" t="n">
        <x:v>1292.337234937</x:v>
      </x:c>
      <x:c r="E1155" s="16" t="n">
        <x:v>58.5127396822</x:v>
      </x:c>
      <x:c r="F1155" s="23" t="n">
        <x:v>2</x:v>
      </x:c>
    </x:row>
    <x:row r="1156">
      <x:c r="A1156" s="15" t="n">
        <x:v>42583</x:v>
      </x:c>
      <x:c r="B1156" s="13" t="str">
        <x:v>Homebuilders</x:v>
      </x:c>
      <x:c r="C1156" s="16" t="n">
        <x:v>955.2194607342</x:v>
      </x:c>
      <x:c r="D1156" s="16" t="n">
        <x:v>966.9895836055</x:v>
      </x:c>
      <x:c r="E1156" s="16" t="n">
        <x:v>11.7701228712</x:v>
      </x:c>
      <x:c r="F1156" s="23" t="n">
        <x:v>2</x:v>
      </x:c>
    </x:row>
    <x:row r="1157">
      <x:c r="A1157" s="15" t="n">
        <x:v>42583</x:v>
      </x:c>
      <x:c r="B1157" s="13" t="str">
        <x:v>Income Properties</x:v>
      </x:c>
      <x:c r="C1157" s="16" t="n">
        <x:v>828.8497882301</x:v>
      </x:c>
      <x:c r="D1157" s="16" t="n">
        <x:v>816.5406411397</x:v>
      </x:c>
      <x:c r="E1157" s="16" t="n">
        <x:v>-12.3091470904</x:v>
      </x:c>
      <x:c r="F1157" s="23" t="n">
        <x:v>2</x:v>
      </x:c>
    </x:row>
    <x:row r="1158">
      <x:c r="A1158" s="15" t="n">
        <x:v>42583</x:v>
      </x:c>
      <x:c r="B1158" s="13" t="str">
        <x:v>Metals &amp; Mining</x:v>
      </x:c>
      <x:c r="C1158" s="16" t="n">
        <x:v>3522.7701610959</x:v>
      </x:c>
      <x:c r="D1158" s="16" t="n">
        <x:v>5161.454511737</x:v>
      </x:c>
      <x:c r="E1158" s="16" t="n">
        <x:v>1638.6843506411</x:v>
      </x:c>
      <x:c r="F1158" s="23" t="n">
        <x:v>6</x:v>
      </x:c>
    </x:row>
    <x:row r="1159">
      <x:c r="A1159" s="15" t="n">
        <x:v>42583</x:v>
      </x:c>
      <x:c r="B1159" s="13" t="str">
        <x:v>Oil, Gas &amp; Petrochemicals</x:v>
      </x:c>
      <x:c r="C1159" s="16" t="n">
        <x:v>13867.7530827397</x:v>
      </x:c>
      <x:c r="D1159" s="16" t="n">
        <x:v>19332.5142051069</x:v>
      </x:c>
      <x:c r="E1159" s="16" t="n">
        <x:v>5464.7611223671</x:v>
      </x:c>
      <x:c r="F1159" s="23" t="n">
        <x:v>4</x:v>
      </x:c>
    </x:row>
    <x:row r="1160">
      <x:c r="A1160" s="15" t="n">
        <x:v>42583</x:v>
      </x:c>
      <x:c r="B1160" s="13" t="str">
        <x:v>Pulp &amp; Paper</x:v>
      </x:c>
      <x:c r="C1160" s="16" t="n">
        <x:v>4832.8653115616</x:v>
      </x:c>
      <x:c r="D1160" s="16" t="n">
        <x:v>3817.4981321644</x:v>
      </x:c>
      <x:c r="E1160" s="16" t="n">
        <x:v>-1015.3671793973</x:v>
      </x:c>
      <x:c r="F1160" s="23" t="n">
        <x:v>3</x:v>
      </x:c>
    </x:row>
    <x:row r="1161">
      <x:c r="A1161" s="15" t="n">
        <x:v>42583</x:v>
      </x:c>
      <x:c r="B1161" s="13" t="str">
        <x:v>Retail</x:v>
      </x:c>
      <x:c r="C1161" s="16" t="n">
        <x:v>2960.9995421808</x:v>
      </x:c>
      <x:c r="D1161" s="16" t="n">
        <x:v>2991.6207534466</x:v>
      </x:c>
      <x:c r="E1161" s="16" t="n">
        <x:v>30.6212112658</x:v>
      </x:c>
      <x:c r="F1161" s="23" t="n">
        <x:v>5</x:v>
      </x:c>
    </x:row>
    <x:row r="1162">
      <x:c r="A1162" s="15" t="n">
        <x:v>42583</x:v>
      </x:c>
      <x:c r="B1162" s="13" t="str">
        <x:v>Sanitation</x:v>
      </x:c>
      <x:c r="C1162" s="16" t="n">
        <x:v>2124.5955598027</x:v>
      </x:c>
      <x:c r="D1162" s="16" t="n">
        <x:v>2331.2142770849</x:v>
      </x:c>
      <x:c r="E1162" s="16" t="n">
        <x:v>206.6187172822</x:v>
      </x:c>
      <x:c r="F1162" s="23" t="n">
        <x:v>1</x:v>
      </x:c>
    </x:row>
    <x:row r="1163">
      <x:c r="A1163" s="15" t="n">
        <x:v>42583</x:v>
      </x:c>
      <x:c r="B1163" s="13" t="str">
        <x:v>TMT</x:v>
      </x:c>
      <x:c r="C1163" s="16" t="n">
        <x:v>5766.8715006247</x:v>
      </x:c>
      <x:c r="D1163" s="16" t="n">
        <x:v>5462.721018389</x:v>
      </x:c>
      <x:c r="E1163" s="16" t="n">
        <x:v>-304.1504822356</x:v>
      </x:c>
      <x:c r="F1163" s="23" t="n">
        <x:v>2</x:v>
      </x:c>
    </x:row>
    <x:row r="1164">
      <x:c r="A1164" s="15" t="n">
        <x:v>42583</x:v>
      </x:c>
      <x:c r="B1164" s="13" t="str">
        <x:v>Transportation</x:v>
      </x:c>
      <x:c r="C1164" s="16" t="n">
        <x:v>2050.1544844274</x:v>
      </x:c>
      <x:c r="D1164" s="16" t="n">
        <x:v>2144.9757223452</x:v>
      </x:c>
      <x:c r="E1164" s="16" t="n">
        <x:v>94.8212379178</x:v>
      </x:c>
      <x:c r="F1164" s="23" t="n">
        <x:v>3</x:v>
      </x:c>
    </x:row>
    <x:row r="1165">
      <x:c r="A1165" s="15" t="n">
        <x:v>42583</x:v>
      </x:c>
      <x:c r="B1165" s="13" t="str">
        <x:v>Utilities &amp; Energy</x:v>
      </x:c>
      <x:c r="C1165" s="16" t="n">
        <x:v>6889.3790631452</x:v>
      </x:c>
      <x:c r="D1165" s="16" t="n">
        <x:v>7094.8678252712</x:v>
      </x:c>
      <x:c r="E1165" s="16" t="n">
        <x:v>205.488762126</x:v>
      </x:c>
      <x:c r="F1165" s="23" t="n">
        <x:v>7</x:v>
      </x:c>
    </x:row>
    <x:row r="1166">
      <x:c r="A1166" s="15" t="n">
        <x:v>42614</x:v>
      </x:c>
      <x:c r="B1166" s="13" t="str">
        <x:v>Banks</x:v>
      </x:c>
      <x:c r="C1166" s="16" t="n">
        <x:v>69706.8927354739</x:v>
      </x:c>
      <x:c r="D1166" s="16" t="n">
        <x:v>71004.463394367</x:v>
      </x:c>
      <x:c r="E1166" s="16" t="n">
        <x:v>1297.5706588931</x:v>
      </x:c>
      <x:c r="F1166" s="23" t="n">
        <x:v>5</x:v>
      </x:c>
    </x:row>
    <x:row r="1167">
      <x:c r="A1167" s="15" t="n">
        <x:v>42614</x:v>
      </x:c>
      <x:c r="B1167" s="13" t="str">
        <x:v>Capital Goods</x:v>
      </x:c>
      <x:c r="C1167" s="16" t="n">
        <x:v>2579.1345990137</x:v>
      </x:c>
      <x:c r="D1167" s="16" t="n">
        <x:v>2275.9618702027</x:v>
      </x:c>
      <x:c r="E1167" s="16" t="n">
        <x:v>-303.172728811</x:v>
      </x:c>
      <x:c r="F1167" s="23" t="n">
        <x:v>2</x:v>
      </x:c>
    </x:row>
    <x:row r="1168">
      <x:c r="A1168" s="15" t="n">
        <x:v>42614</x:v>
      </x:c>
      <x:c r="B1168" s="13" t="str">
        <x:v>Education</x:v>
      </x:c>
      <x:c r="C1168" s="16" t="n">
        <x:v>2469.026706411</x:v>
      </x:c>
      <x:c r="D1168" s="16" t="n">
        <x:v>2596.5608142904</x:v>
      </x:c>
      <x:c r="E1168" s="16" t="n">
        <x:v>127.5341078794</x:v>
      </x:c>
      <x:c r="F1168" s="23" t="n">
        <x:v>2</x:v>
      </x:c>
    </x:row>
    <x:row r="1169">
      <x:c r="A1169" s="15" t="n">
        <x:v>42614</x:v>
      </x:c>
      <x:c r="B1169" s="13" t="str">
        <x:v>Financials Non-Banks</x:v>
      </x:c>
      <x:c r="C1169" s="16" t="n">
        <x:v>18848.0704980164</x:v>
      </x:c>
      <x:c r="D1169" s="16" t="n">
        <x:v>18782.625671189</x:v>
      </x:c>
      <x:c r="E1169" s="16" t="n">
        <x:v>-65.4448268274</x:v>
      </x:c>
      <x:c r="F1169" s="23" t="n">
        <x:v>5</x:v>
      </x:c>
    </x:row>
    <x:row r="1170">
      <x:c r="A1170" s="15" t="n">
        <x:v>42614</x:v>
      </x:c>
      <x:c r="B1170" s="13" t="str">
        <x:v>Food &amp; Beverages</x:v>
      </x:c>
      <x:c r="C1170" s="16" t="n">
        <x:v>21558.7830137863</x:v>
      </x:c>
      <x:c r="D1170" s="16" t="n">
        <x:v>20830.9190692822</x:v>
      </x:c>
      <x:c r="E1170" s="16" t="n">
        <x:v>-727.8639445041</x:v>
      </x:c>
      <x:c r="F1170" s="23" t="n">
        <x:v>4</x:v>
      </x:c>
    </x:row>
    <x:row r="1171">
      <x:c r="A1171" s="15" t="n">
        <x:v>42614</x:v>
      </x:c>
      <x:c r="B1171" s="13" t="str">
        <x:v>Health Care</x:v>
      </x:c>
      <x:c r="C1171" s="16" t="n">
        <x:v>1263.1039890411</x:v>
      </x:c>
      <x:c r="D1171" s="16" t="n">
        <x:v>1316.0982738411</x:v>
      </x:c>
      <x:c r="E1171" s="16" t="n">
        <x:v>52.9942848</x:v>
      </x:c>
      <x:c r="F1171" s="23" t="n">
        <x:v>2</x:v>
      </x:c>
    </x:row>
    <x:row r="1172">
      <x:c r="A1172" s="15" t="n">
        <x:v>42614</x:v>
      </x:c>
      <x:c r="B1172" s="13" t="str">
        <x:v>Homebuilders</x:v>
      </x:c>
      <x:c r="C1172" s="16" t="n">
        <x:v>958.5741661808</x:v>
      </x:c>
      <x:c r="D1172" s="16" t="n">
        <x:v>976.8665034521</x:v>
      </x:c>
      <x:c r="E1172" s="16" t="n">
        <x:v>18.2923372712</x:v>
      </x:c>
      <x:c r="F1172" s="23" t="n">
        <x:v>2</x:v>
      </x:c>
    </x:row>
    <x:row r="1173">
      <x:c r="A1173" s="15" t="n">
        <x:v>42614</x:v>
      </x:c>
      <x:c r="B1173" s="13" t="str">
        <x:v>Income Properties</x:v>
      </x:c>
      <x:c r="C1173" s="16" t="n">
        <x:v>839.0069738959</x:v>
      </x:c>
      <x:c r="D1173" s="16" t="n">
        <x:v>787.9125016548</x:v>
      </x:c>
      <x:c r="E1173" s="16" t="n">
        <x:v>-51.0944722411</x:v>
      </x:c>
      <x:c r="F1173" s="23" t="n">
        <x:v>2</x:v>
      </x:c>
    </x:row>
    <x:row r="1174">
      <x:c r="A1174" s="15" t="n">
        <x:v>42614</x:v>
      </x:c>
      <x:c r="B1174" s="13" t="str">
        <x:v>Metals &amp; Mining</x:v>
      </x:c>
      <x:c r="C1174" s="16" t="n">
        <x:v>4444.2645620164</x:v>
      </x:c>
      <x:c r="D1174" s="16" t="n">
        <x:v>7064.3482841425</x:v>
      </x:c>
      <x:c r="E1174" s="16" t="n">
        <x:v>2620.083722126</x:v>
      </x:c>
      <x:c r="F1174" s="23" t="n">
        <x:v>6</x:v>
      </x:c>
    </x:row>
    <x:row r="1175">
      <x:c r="A1175" s="15" t="n">
        <x:v>42614</x:v>
      </x:c>
      <x:c r="B1175" s="13" t="str">
        <x:v>Oil, Gas &amp; Petrochemicals</x:v>
      </x:c>
      <x:c r="C1175" s="16" t="n">
        <x:v>15179.0689970849</x:v>
      </x:c>
      <x:c r="D1175" s="16" t="n">
        <x:v>18670.7219676932</x:v>
      </x:c>
      <x:c r="E1175" s="16" t="n">
        <x:v>3491.6529706082</x:v>
      </x:c>
      <x:c r="F1175" s="23" t="n">
        <x:v>4</x:v>
      </x:c>
    </x:row>
    <x:row r="1176">
      <x:c r="A1176" s="15" t="n">
        <x:v>42614</x:v>
      </x:c>
      <x:c r="B1176" s="13" t="str">
        <x:v>Pulp &amp; Paper</x:v>
      </x:c>
      <x:c r="C1176" s="16" t="n">
        <x:v>4814.228723726</x:v>
      </x:c>
      <x:c r="D1176" s="16" t="n">
        <x:v>4782.2807064548</x:v>
      </x:c>
      <x:c r="E1176" s="16" t="n">
        <x:v>-31.9480172712</x:v>
      </x:c>
      <x:c r="F1176" s="23" t="n">
        <x:v>3</x:v>
      </x:c>
    </x:row>
    <x:row r="1177">
      <x:c r="A1177" s="15" t="n">
        <x:v>42614</x:v>
      </x:c>
      <x:c r="B1177" s="13" t="str">
        <x:v>Retail</x:v>
      </x:c>
      <x:c r="C1177" s="16" t="n">
        <x:v>2903.8611254356</x:v>
      </x:c>
      <x:c r="D1177" s="16" t="n">
        <x:v>2972.0280553205</x:v>
      </x:c>
      <x:c r="E1177" s="16" t="n">
        <x:v>68.1669298849</x:v>
      </x:c>
      <x:c r="F1177" s="23" t="n">
        <x:v>5</x:v>
      </x:c>
    </x:row>
    <x:row r="1178">
      <x:c r="A1178" s="15" t="n">
        <x:v>42614</x:v>
      </x:c>
      <x:c r="B1178" s="13" t="str">
        <x:v>Sanitation</x:v>
      </x:c>
      <x:c r="C1178" s="16" t="n">
        <x:v>2131.7329793753</x:v>
      </x:c>
      <x:c r="D1178" s="16" t="n">
        <x:v>2370.0980862247</x:v>
      </x:c>
      <x:c r="E1178" s="16" t="n">
        <x:v>238.3651068493</x:v>
      </x:c>
      <x:c r="F1178" s="23" t="n">
        <x:v>1</x:v>
      </x:c>
    </x:row>
    <x:row r="1179">
      <x:c r="A1179" s="15" t="n">
        <x:v>42614</x:v>
      </x:c>
      <x:c r="B1179" s="13" t="str">
        <x:v>TMT</x:v>
      </x:c>
      <x:c r="C1179" s="16" t="n">
        <x:v>5700.7669323397</x:v>
      </x:c>
      <x:c r="D1179" s="16" t="n">
        <x:v>5584.4671703671</x:v>
      </x:c>
      <x:c r="E1179" s="16" t="n">
        <x:v>-116.2997619726</x:v>
      </x:c>
      <x:c r="F1179" s="23" t="n">
        <x:v>2</x:v>
      </x:c>
    </x:row>
    <x:row r="1180">
      <x:c r="A1180" s="15" t="n">
        <x:v>42614</x:v>
      </x:c>
      <x:c r="B1180" s="13" t="str">
        <x:v>Transportation</x:v>
      </x:c>
      <x:c r="C1180" s="16" t="n">
        <x:v>2049.2193376438</x:v>
      </x:c>
      <x:c r="D1180" s="16" t="n">
        <x:v>2183.0715904877</x:v>
      </x:c>
      <x:c r="E1180" s="16" t="n">
        <x:v>133.8522528438</x:v>
      </x:c>
      <x:c r="F1180" s="23" t="n">
        <x:v>3</x:v>
      </x:c>
    </x:row>
    <x:row r="1181">
      <x:c r="A1181" s="15" t="n">
        <x:v>42614</x:v>
      </x:c>
      <x:c r="B1181" s="13" t="str">
        <x:v>Utilities &amp; Energy</x:v>
      </x:c>
      <x:c r="C1181" s="16" t="n">
        <x:v>6448.5351581808</x:v>
      </x:c>
      <x:c r="D1181" s="16" t="n">
        <x:v>6998.5726111562</x:v>
      </x:c>
      <x:c r="E1181" s="16" t="n">
        <x:v>550.0374529753</x:v>
      </x:c>
      <x:c r="F1181" s="23" t="n">
        <x:v>6</x:v>
      </x:c>
    </x:row>
    <x:row r="1182">
      <x:c r="A1182" s="15" t="n">
        <x:v>42644</x:v>
      </x:c>
      <x:c r="B1182" s="13" t="str">
        <x:v>Banks</x:v>
      </x:c>
      <x:c r="C1182" s="16" t="n">
        <x:v>69711.650935233</x:v>
      </x:c>
      <x:c r="D1182" s="16" t="n">
        <x:v>72840.6002519672</x:v>
      </x:c>
      <x:c r="E1182" s="16" t="n">
        <x:v>3128.9493167342</x:v>
      </x:c>
      <x:c r="F1182" s="23" t="n">
        <x:v>5</x:v>
      </x:c>
    </x:row>
    <x:row r="1183">
      <x:c r="A1183" s="15" t="n">
        <x:v>42644</x:v>
      </x:c>
      <x:c r="B1183" s="13" t="str">
        <x:v>Capital Goods</x:v>
      </x:c>
      <x:c r="C1183" s="16" t="n">
        <x:v>2359.3201990137</x:v>
      </x:c>
      <x:c r="D1183" s="16" t="n">
        <x:v>2300.9243306082</x:v>
      </x:c>
      <x:c r="E1183" s="16" t="n">
        <x:v>-58.3958684055</x:v>
      </x:c>
      <x:c r="F1183" s="23" t="n">
        <x:v>2</x:v>
      </x:c>
    </x:row>
    <x:row r="1184">
      <x:c r="A1184" s="15" t="n">
        <x:v>42644</x:v>
      </x:c>
      <x:c r="B1184" s="13" t="str">
        <x:v>Education</x:v>
      </x:c>
      <x:c r="C1184" s="16" t="n">
        <x:v>2493.0636300274</x:v>
      </x:c>
      <x:c r="D1184" s="16" t="n">
        <x:v>2678.9263791342</x:v>
      </x:c>
      <x:c r="E1184" s="16" t="n">
        <x:v>185.8627491069</x:v>
      </x:c>
      <x:c r="F1184" s="23" t="n">
        <x:v>2</x:v>
      </x:c>
    </x:row>
    <x:row r="1185">
      <x:c r="A1185" s="15" t="n">
        <x:v>42644</x:v>
      </x:c>
      <x:c r="B1185" s="13" t="str">
        <x:v>Financials Non-Banks</x:v>
      </x:c>
      <x:c r="C1185" s="16" t="n">
        <x:v>18741.6260804384</x:v>
      </x:c>
      <x:c r="D1185" s="16" t="n">
        <x:v>19072.8699977644</x:v>
      </x:c>
      <x:c r="E1185" s="16" t="n">
        <x:v>331.243917326</x:v>
      </x:c>
      <x:c r="F1185" s="23" t="n">
        <x:v>5</x:v>
      </x:c>
    </x:row>
    <x:row r="1186">
      <x:c r="A1186" s="15" t="n">
        <x:v>42644</x:v>
      </x:c>
      <x:c r="B1186" s="13" t="str">
        <x:v>Food &amp; Beverages</x:v>
      </x:c>
      <x:c r="C1186" s="16" t="n">
        <x:v>21537.9271728219</x:v>
      </x:c>
      <x:c r="D1186" s="16" t="n">
        <x:v>19872.8273314192</x:v>
      </x:c>
      <x:c r="E1186" s="16" t="n">
        <x:v>-1665.0998414027</x:v>
      </x:c>
      <x:c r="F1186" s="23" t="n">
        <x:v>4</x:v>
      </x:c>
    </x:row>
    <x:row r="1187">
      <x:c r="A1187" s="15" t="n">
        <x:v>42644</x:v>
      </x:c>
      <x:c r="B1187" s="13" t="str">
        <x:v>Health Care</x:v>
      </x:c>
      <x:c r="C1187" s="16" t="n">
        <x:v>1283.3526356164</x:v>
      </x:c>
      <x:c r="D1187" s="16" t="n">
        <x:v>1315.4829784548</x:v>
      </x:c>
      <x:c r="E1187" s="16" t="n">
        <x:v>32.1303428384</x:v>
      </x:c>
      <x:c r="F1187" s="23" t="n">
        <x:v>2</x:v>
      </x:c>
    </x:row>
    <x:row r="1188">
      <x:c r="A1188" s="15" t="n">
        <x:v>42644</x:v>
      </x:c>
      <x:c r="B1188" s="13" t="str">
        <x:v>Homebuilders</x:v>
      </x:c>
      <x:c r="C1188" s="16" t="n">
        <x:v>970.8335456438</x:v>
      </x:c>
      <x:c r="D1188" s="16" t="n">
        <x:v>942.6964629479</x:v>
      </x:c>
      <x:c r="E1188" s="16" t="n">
        <x:v>-28.1370826959</x:v>
      </x:c>
      <x:c r="F1188" s="23" t="n">
        <x:v>2</x:v>
      </x:c>
    </x:row>
    <x:row r="1189">
      <x:c r="A1189" s="15" t="n">
        <x:v>42644</x:v>
      </x:c>
      <x:c r="B1189" s="13" t="str">
        <x:v>Income Properties</x:v>
      </x:c>
      <x:c r="C1189" s="16" t="n">
        <x:v>822.5504052603</x:v>
      </x:c>
      <x:c r="D1189" s="16" t="n">
        <x:v>745.0009424658</x:v>
      </x:c>
      <x:c r="E1189" s="16" t="n">
        <x:v>-77.5494627945</x:v>
      </x:c>
      <x:c r="F1189" s="23" t="n">
        <x:v>2</x:v>
      </x:c>
    </x:row>
    <x:row r="1190">
      <x:c r="A1190" s="15" t="n">
        <x:v>42644</x:v>
      </x:c>
      <x:c r="B1190" s="13" t="str">
        <x:v>Metals &amp; Mining</x:v>
      </x:c>
      <x:c r="C1190" s="16" t="n">
        <x:v>4087.8990770959</x:v>
      </x:c>
      <x:c r="D1190" s="16" t="n">
        <x:v>6842.5062745425</x:v>
      </x:c>
      <x:c r="E1190" s="16" t="n">
        <x:v>2754.6071974466</x:v>
      </x:c>
      <x:c r="F1190" s="23" t="n">
        <x:v>6</x:v>
      </x:c>
    </x:row>
    <x:row r="1191">
      <x:c r="A1191" s="15" t="n">
        <x:v>42644</x:v>
      </x:c>
      <x:c r="B1191" s="13" t="str">
        <x:v>Oil, Gas &amp; Petrochemicals</x:v>
      </x:c>
      <x:c r="C1191" s="16" t="n">
        <x:v>17029.3769152877</x:v>
      </x:c>
      <x:c r="D1191" s="16" t="n">
        <x:v>18976.7939054465</x:v>
      </x:c>
      <x:c r="E1191" s="16" t="n">
        <x:v>1947.4169901589</x:v>
      </x:c>
      <x:c r="F1191" s="23" t="n">
        <x:v>4</x:v>
      </x:c>
    </x:row>
    <x:row r="1192">
      <x:c r="A1192" s="15" t="n">
        <x:v>42644</x:v>
      </x:c>
      <x:c r="B1192" s="13" t="str">
        <x:v>Pulp &amp; Paper</x:v>
      </x:c>
      <x:c r="C1192" s="16" t="n">
        <x:v>4552.1749383014</x:v>
      </x:c>
      <x:c r="D1192" s="16" t="n">
        <x:v>3274.9844718466</x:v>
      </x:c>
      <x:c r="E1192" s="16" t="n">
        <x:v>-1277.1904664548</x:v>
      </x:c>
      <x:c r="F1192" s="23" t="n">
        <x:v>3</x:v>
      </x:c>
    </x:row>
    <x:row r="1193">
      <x:c r="A1193" s="15" t="n">
        <x:v>42644</x:v>
      </x:c>
      <x:c r="B1193" s="13" t="str">
        <x:v>Retail</x:v>
      </x:c>
      <x:c r="C1193" s="16" t="n">
        <x:v>2907.9920981918</x:v>
      </x:c>
      <x:c r="D1193" s="16" t="n">
        <x:v>3002.4983860986</x:v>
      </x:c>
      <x:c r="E1193" s="16" t="n">
        <x:v>94.5062879068</x:v>
      </x:c>
      <x:c r="F1193" s="23" t="n">
        <x:v>5</x:v>
      </x:c>
    </x:row>
    <x:row r="1194">
      <x:c r="A1194" s="15" t="n">
        <x:v>42644</x:v>
      </x:c>
      <x:c r="B1194" s="13" t="str">
        <x:v>Sanitation</x:v>
      </x:c>
      <x:c r="C1194" s="16" t="n">
        <x:v>2130.326854137</x:v>
      </x:c>
      <x:c r="D1194" s="16" t="n">
        <x:v>2370.018554389</x:v>
      </x:c>
      <x:c r="E1194" s="16" t="n">
        <x:v>239.6917002521</x:v>
      </x:c>
      <x:c r="F1194" s="23" t="n">
        <x:v>1</x:v>
      </x:c>
    </x:row>
    <x:row r="1195">
      <x:c r="A1195" s="15" t="n">
        <x:v>42644</x:v>
      </x:c>
      <x:c r="B1195" s="13" t="str">
        <x:v>TMT</x:v>
      </x:c>
      <x:c r="C1195" s="16" t="n">
        <x:v>5460.0891660274</x:v>
      </x:c>
      <x:c r="D1195" s="16" t="n">
        <x:v>5566.7409835836</x:v>
      </x:c>
      <x:c r="E1195" s="16" t="n">
        <x:v>106.6518175562</x:v>
      </x:c>
      <x:c r="F1195" s="23" t="n">
        <x:v>2</x:v>
      </x:c>
    </x:row>
    <x:row r="1196">
      <x:c r="A1196" s="15" t="n">
        <x:v>42644</x:v>
      </x:c>
      <x:c r="B1196" s="13" t="str">
        <x:v>Transportation</x:v>
      </x:c>
      <x:c r="C1196" s="16" t="n">
        <x:v>2096.1610812055</x:v>
      </x:c>
      <x:c r="D1196" s="16" t="n">
        <x:v>2198.4697956822</x:v>
      </x:c>
      <x:c r="E1196" s="16" t="n">
        <x:v>102.3087144767</x:v>
      </x:c>
      <x:c r="F1196" s="23" t="n">
        <x:v>3</x:v>
      </x:c>
    </x:row>
    <x:row r="1197">
      <x:c r="A1197" s="15" t="n">
        <x:v>42644</x:v>
      </x:c>
      <x:c r="B1197" s="13" t="str">
        <x:v>Utilities &amp; Energy</x:v>
      </x:c>
      <x:c r="C1197" s="16" t="n">
        <x:v>6643.9031820274</x:v>
      </x:c>
      <x:c r="D1197" s="16" t="n">
        <x:v>7315.6746776548</x:v>
      </x:c>
      <x:c r="E1197" s="16" t="n">
        <x:v>671.7714956274</x:v>
      </x:c>
      <x:c r="F1197" s="23" t="n">
        <x:v>6</x:v>
      </x:c>
    </x:row>
    <x:row r="1198">
      <x:c r="A1198" s="15" t="n">
        <x:v>42675</x:v>
      </x:c>
      <x:c r="B1198" s="13" t="str">
        <x:v>Banks</x:v>
      </x:c>
      <x:c r="C1198" s="16" t="n">
        <x:v>70487.6621417206</x:v>
      </x:c>
      <x:c r="D1198" s="16" t="n">
        <x:v>76431.6392307726</x:v>
      </x:c>
      <x:c r="E1198" s="16" t="n">
        <x:v>5943.977089052</x:v>
      </x:c>
      <x:c r="F1198" s="23" t="n">
        <x:v>5</x:v>
      </x:c>
    </x:row>
    <x:row r="1199">
      <x:c r="A1199" s="15" t="n">
        <x:v>42675</x:v>
      </x:c>
      <x:c r="B1199" s="13" t="str">
        <x:v>Capital Goods</x:v>
      </x:c>
      <x:c r="C1199" s="16" t="n">
        <x:v>2240.4553258082</x:v>
      </x:c>
      <x:c r="D1199" s="16" t="n">
        <x:v>2318.1042875616</x:v>
      </x:c>
      <x:c r="E1199" s="16" t="n">
        <x:v>77.6489617534</x:v>
      </x:c>
      <x:c r="F1199" s="23" t="n">
        <x:v>2</x:v>
      </x:c>
    </x:row>
    <x:row r="1200">
      <x:c r="A1200" s="15" t="n">
        <x:v>42675</x:v>
      </x:c>
      <x:c r="B1200" s="13" t="str">
        <x:v>Education</x:v>
      </x:c>
      <x:c r="C1200" s="16" t="n">
        <x:v>2505.9591981589</x:v>
      </x:c>
      <x:c r="D1200" s="16" t="n">
        <x:v>2698.3608321753</x:v>
      </x:c>
      <x:c r="E1200" s="16" t="n">
        <x:v>192.4016340164</x:v>
      </x:c>
      <x:c r="F1200" s="23" t="n">
        <x:v>2</x:v>
      </x:c>
    </x:row>
    <x:row r="1201">
      <x:c r="A1201" s="15" t="n">
        <x:v>42675</x:v>
      </x:c>
      <x:c r="B1201" s="13" t="str">
        <x:v>Financials Non-Banks</x:v>
      </x:c>
      <x:c r="C1201" s="16" t="n">
        <x:v>18738.7464956493</x:v>
      </x:c>
      <x:c r="D1201" s="16" t="n">
        <x:v>20047.7072241973</x:v>
      </x:c>
      <x:c r="E1201" s="16" t="n">
        <x:v>1308.960728548</x:v>
      </x:c>
      <x:c r="F1201" s="23" t="n">
        <x:v>5</x:v>
      </x:c>
    </x:row>
    <x:row r="1202">
      <x:c r="A1202" s="15" t="n">
        <x:v>42675</x:v>
      </x:c>
      <x:c r="B1202" s="13" t="str">
        <x:v>Food &amp; Beverages</x:v>
      </x:c>
      <x:c r="C1202" s="16" t="n">
        <x:v>20574.0679650411</x:v>
      </x:c>
      <x:c r="D1202" s="16" t="n">
        <x:v>19880.6147630466</x:v>
      </x:c>
      <x:c r="E1202" s="16" t="n">
        <x:v>-693.4532019945</x:v>
      </x:c>
      <x:c r="F1202" s="23" t="n">
        <x:v>4</x:v>
      </x:c>
    </x:row>
    <x:row r="1203">
      <x:c r="A1203" s="15" t="n">
        <x:v>42675</x:v>
      </x:c>
      <x:c r="B1203" s="13" t="str">
        <x:v>Health Care</x:v>
      </x:c>
      <x:c r="C1203" s="16" t="n">
        <x:v>1292.337234937</x:v>
      </x:c>
      <x:c r="D1203" s="16" t="n">
        <x:v>1322.9387670795</x:v>
      </x:c>
      <x:c r="E1203" s="16" t="n">
        <x:v>30.6015321425</x:v>
      </x:c>
      <x:c r="F1203" s="23" t="n">
        <x:v>2</x:v>
      </x:c>
    </x:row>
    <x:row r="1204">
      <x:c r="A1204" s="15" t="n">
        <x:v>42675</x:v>
      </x:c>
      <x:c r="B1204" s="13" t="str">
        <x:v>Homebuilders</x:v>
      </x:c>
      <x:c r="C1204" s="16" t="n">
        <x:v>966.9895836055</x:v>
      </x:c>
      <x:c r="D1204" s="16" t="n">
        <x:v>942.315251989</x:v>
      </x:c>
      <x:c r="E1204" s="16" t="n">
        <x:v>-24.6743316164</x:v>
      </x:c>
      <x:c r="F1204" s="23" t="n">
        <x:v>2</x:v>
      </x:c>
    </x:row>
    <x:row r="1205">
      <x:c r="A1205" s="15" t="n">
        <x:v>42675</x:v>
      </x:c>
      <x:c r="B1205" s="13" t="str">
        <x:v>Income Properties</x:v>
      </x:c>
      <x:c r="C1205" s="16" t="n">
        <x:v>816.5406411397</x:v>
      </x:c>
      <x:c r="D1205" s="16" t="n">
        <x:v>742.2810189151</x:v>
      </x:c>
      <x:c r="E1205" s="16" t="n">
        <x:v>-74.2596222247</x:v>
      </x:c>
      <x:c r="F1205" s="23" t="n">
        <x:v>2</x:v>
      </x:c>
    </x:row>
    <x:row r="1206">
      <x:c r="A1206" s="15" t="n">
        <x:v>42675</x:v>
      </x:c>
      <x:c r="B1206" s="13" t="str">
        <x:v>Metals &amp; Mining</x:v>
      </x:c>
      <x:c r="C1206" s="16" t="n">
        <x:v>5161.454511737</x:v>
      </x:c>
      <x:c r="D1206" s="16" t="n">
        <x:v>8029.1273467616</x:v>
      </x:c>
      <x:c r="E1206" s="16" t="n">
        <x:v>2867.6728350246</x:v>
      </x:c>
      <x:c r="F1206" s="23" t="n">
        <x:v>6</x:v>
      </x:c>
    </x:row>
    <x:row r="1207">
      <x:c r="A1207" s="15" t="n">
        <x:v>42675</x:v>
      </x:c>
      <x:c r="B1207" s="13" t="str">
        <x:v>Oil, Gas &amp; Petrochemicals</x:v>
      </x:c>
      <x:c r="C1207" s="16" t="n">
        <x:v>19332.5142051069</x:v>
      </x:c>
      <x:c r="D1207" s="16" t="n">
        <x:v>19121.5660514849</x:v>
      </x:c>
      <x:c r="E1207" s="16" t="n">
        <x:v>-210.9481536219</x:v>
      </x:c>
      <x:c r="F1207" s="23" t="n">
        <x:v>4</x:v>
      </x:c>
    </x:row>
    <x:row r="1208">
      <x:c r="A1208" s="15" t="n">
        <x:v>42675</x:v>
      </x:c>
      <x:c r="B1208" s="13" t="str">
        <x:v>Pulp &amp; Paper</x:v>
      </x:c>
      <x:c r="C1208" s="16" t="n">
        <x:v>3817.4981321644</x:v>
      </x:c>
      <x:c r="D1208" s="16" t="n">
        <x:v>2334.6906711671</x:v>
      </x:c>
      <x:c r="E1208" s="16" t="n">
        <x:v>-1482.8074609973</x:v>
      </x:c>
      <x:c r="F1208" s="23" t="n">
        <x:v>3</x:v>
      </x:c>
    </x:row>
    <x:row r="1209">
      <x:c r="A1209" s="15" t="n">
        <x:v>42675</x:v>
      </x:c>
      <x:c r="B1209" s="13" t="str">
        <x:v>Retail</x:v>
      </x:c>
      <x:c r="C1209" s="16" t="n">
        <x:v>2991.6207534466</x:v>
      </x:c>
      <x:c r="D1209" s="16" t="n">
        <x:v>2952.5054265425</x:v>
      </x:c>
      <x:c r="E1209" s="16" t="n">
        <x:v>-39.1153269041</x:v>
      </x:c>
      <x:c r="F1209" s="23" t="n">
        <x:v>5</x:v>
      </x:c>
    </x:row>
    <x:row r="1210">
      <x:c r="A1210" s="15" t="n">
        <x:v>42675</x:v>
      </x:c>
      <x:c r="B1210" s="13" t="str">
        <x:v>Sanitation</x:v>
      </x:c>
      <x:c r="C1210" s="16" t="n">
        <x:v>2331.2142770849</x:v>
      </x:c>
      <x:c r="D1210" s="16" t="n">
        <x:v>2416.5253926575</x:v>
      </x:c>
      <x:c r="E1210" s="16" t="n">
        <x:v>85.3111155726</x:v>
      </x:c>
      <x:c r="F1210" s="23" t="n">
        <x:v>1</x:v>
      </x:c>
    </x:row>
    <x:row r="1211">
      <x:c r="A1211" s="15" t="n">
        <x:v>42675</x:v>
      </x:c>
      <x:c r="B1211" s="13" t="str">
        <x:v>TMT</x:v>
      </x:c>
      <x:c r="C1211" s="16" t="n">
        <x:v>5462.721018389</x:v>
      </x:c>
      <x:c r="D1211" s="16" t="n">
        <x:v>5683.524858389</x:v>
      </x:c>
      <x:c r="E1211" s="16" t="n">
        <x:v>220.80384</x:v>
      </x:c>
      <x:c r="F1211" s="23" t="n">
        <x:v>2</x:v>
      </x:c>
    </x:row>
    <x:row r="1212">
      <x:c r="A1212" s="15" t="n">
        <x:v>42675</x:v>
      </x:c>
      <x:c r="B1212" s="13" t="str">
        <x:v>Transportation</x:v>
      </x:c>
      <x:c r="C1212" s="16" t="n">
        <x:v>2144.9757223452</x:v>
      </x:c>
      <x:c r="D1212" s="16" t="n">
        <x:v>2114.6001862137</x:v>
      </x:c>
      <x:c r="E1212" s="16" t="n">
        <x:v>-30.3755361315</x:v>
      </x:c>
      <x:c r="F1212" s="23" t="n">
        <x:v>3</x:v>
      </x:c>
    </x:row>
    <x:row r="1213">
      <x:c r="A1213" s="15" t="n">
        <x:v>42675</x:v>
      </x:c>
      <x:c r="B1213" s="13" t="str">
        <x:v>Utilities &amp; Energy</x:v>
      </x:c>
      <x:c r="C1213" s="16" t="n">
        <x:v>6791.9835761973</x:v>
      </x:c>
      <x:c r="D1213" s="16" t="n">
        <x:v>7383.7902839233</x:v>
      </x:c>
      <x:c r="E1213" s="16" t="n">
        <x:v>591.806707726</x:v>
      </x:c>
      <x:c r="F1213" s="23" t="n">
        <x:v>6</x:v>
      </x:c>
    </x:row>
    <x:row r="1214">
      <x:c r="A1214" s="15" t="n">
        <x:v>42705</x:v>
      </x:c>
      <x:c r="B1214" s="13" t="str">
        <x:v>Banks</x:v>
      </x:c>
      <x:c r="C1214" s="16" t="n">
        <x:v>71004.463394367</x:v>
      </x:c>
      <x:c r="D1214" s="16" t="n">
        <x:v>77720.588536285</x:v>
      </x:c>
      <x:c r="E1214" s="16" t="n">
        <x:v>6716.125141918</x:v>
      </x:c>
      <x:c r="F1214" s="23" t="n">
        <x:v>5</x:v>
      </x:c>
    </x:row>
    <x:row r="1215">
      <x:c r="A1215" s="15" t="n">
        <x:v>42705</x:v>
      </x:c>
      <x:c r="B1215" s="13" t="str">
        <x:v>Capital Goods</x:v>
      </x:c>
      <x:c r="C1215" s="16" t="n">
        <x:v>2275.9618702027</x:v>
      </x:c>
      <x:c r="D1215" s="16" t="n">
        <x:v>2349.2057421151</x:v>
      </x:c>
      <x:c r="E1215" s="16" t="n">
        <x:v>73.2438719123</x:v>
      </x:c>
      <x:c r="F1215" s="23" t="n">
        <x:v>2</x:v>
      </x:c>
    </x:row>
    <x:row r="1216">
      <x:c r="A1216" s="15" t="n">
        <x:v>42705</x:v>
      </x:c>
      <x:c r="B1216" s="13" t="str">
        <x:v>Education</x:v>
      </x:c>
      <x:c r="C1216" s="16" t="n">
        <x:v>2596.5608142904</x:v>
      </x:c>
      <x:c r="D1216" s="16" t="n">
        <x:v>2710.8199433644</x:v>
      </x:c>
      <x:c r="E1216" s="16" t="n">
        <x:v>114.259129074</x:v>
      </x:c>
      <x:c r="F1216" s="23" t="n">
        <x:v>2</x:v>
      </x:c>
    </x:row>
    <x:row r="1217">
      <x:c r="A1217" s="15" t="n">
        <x:v>42705</x:v>
      </x:c>
      <x:c r="B1217" s="13" t="str">
        <x:v>Financials Non-Banks</x:v>
      </x:c>
      <x:c r="C1217" s="16" t="n">
        <x:v>18782.625671189</x:v>
      </x:c>
      <x:c r="D1217" s="16" t="n">
        <x:v>20088.1630639342</x:v>
      </x:c>
      <x:c r="E1217" s="16" t="n">
        <x:v>1305.5373927452</x:v>
      </x:c>
      <x:c r="F1217" s="23" t="n">
        <x:v>5</x:v>
      </x:c>
    </x:row>
    <x:row r="1218">
      <x:c r="A1218" s="15" t="n">
        <x:v>42705</x:v>
      </x:c>
      <x:c r="B1218" s="13" t="str">
        <x:v>Food &amp; Beverages</x:v>
      </x:c>
      <x:c r="C1218" s="16" t="n">
        <x:v>20830.9190692822</x:v>
      </x:c>
      <x:c r="D1218" s="16" t="n">
        <x:v>20142.4597802958</x:v>
      </x:c>
      <x:c r="E1218" s="16" t="n">
        <x:v>-688.4592889864</x:v>
      </x:c>
      <x:c r="F1218" s="23" t="n">
        <x:v>4</x:v>
      </x:c>
    </x:row>
    <x:row r="1219">
      <x:c r="A1219" s="15" t="n">
        <x:v>42705</x:v>
      </x:c>
      <x:c r="B1219" s="13" t="str">
        <x:v>Health Care</x:v>
      </x:c>
      <x:c r="C1219" s="16" t="n">
        <x:v>1316.0982738411</x:v>
      </x:c>
      <x:c r="D1219" s="16" t="n">
        <x:v>1350.213862926</x:v>
      </x:c>
      <x:c r="E1219" s="16" t="n">
        <x:v>34.1155890849</x:v>
      </x:c>
      <x:c r="F1219" s="23" t="n">
        <x:v>2</x:v>
      </x:c>
    </x:row>
    <x:row r="1220">
      <x:c r="A1220" s="15" t="n">
        <x:v>42705</x:v>
      </x:c>
      <x:c r="B1220" s="13" t="str">
        <x:v>Homebuilders</x:v>
      </x:c>
      <x:c r="C1220" s="16" t="n">
        <x:v>976.8665034521</x:v>
      </x:c>
      <x:c r="D1220" s="16" t="n">
        <x:v>874.8411078137</x:v>
      </x:c>
      <x:c r="E1220" s="16" t="n">
        <x:v>-102.0253956384</x:v>
      </x:c>
      <x:c r="F1220" s="23" t="n">
        <x:v>2</x:v>
      </x:c>
    </x:row>
    <x:row r="1221">
      <x:c r="A1221" s="15" t="n">
        <x:v>42705</x:v>
      </x:c>
      <x:c r="B1221" s="13" t="str">
        <x:v>Income Properties</x:v>
      </x:c>
      <x:c r="C1221" s="16" t="n">
        <x:v>787.9125016548</x:v>
      </x:c>
      <x:c r="D1221" s="16" t="n">
        <x:v>747.7176358575</x:v>
      </x:c>
      <x:c r="E1221" s="16" t="n">
        <x:v>-40.1948657973</x:v>
      </x:c>
      <x:c r="F1221" s="23" t="n">
        <x:v>2</x:v>
      </x:c>
    </x:row>
    <x:row r="1222">
      <x:c r="A1222" s="15" t="n">
        <x:v>42705</x:v>
      </x:c>
      <x:c r="B1222" s="13" t="str">
        <x:v>Metals &amp; Mining</x:v>
      </x:c>
      <x:c r="C1222" s="16" t="n">
        <x:v>7064.3482841425</x:v>
      </x:c>
      <x:c r="D1222" s="16" t="n">
        <x:v>13573.634388515</x:v>
      </x:c>
      <x:c r="E1222" s="16" t="n">
        <x:v>6509.2861043726</x:v>
      </x:c>
      <x:c r="F1222" s="23" t="n">
        <x:v>6</x:v>
      </x:c>
    </x:row>
    <x:row r="1223">
      <x:c r="A1223" s="15" t="n">
        <x:v>42705</x:v>
      </x:c>
      <x:c r="B1223" s="13" t="str">
        <x:v>Oil, Gas &amp; Petrochemicals</x:v>
      </x:c>
      <x:c r="C1223" s="16" t="n">
        <x:v>18670.7219676932</x:v>
      </x:c>
      <x:c r="D1223" s="16" t="n">
        <x:v>19997.4939479671</x:v>
      </x:c>
      <x:c r="E1223" s="16" t="n">
        <x:v>1326.771980274</x:v>
      </x:c>
      <x:c r="F1223" s="23" t="n">
        <x:v>4</x:v>
      </x:c>
    </x:row>
    <x:row r="1224">
      <x:c r="A1224" s="15" t="n">
        <x:v>42705</x:v>
      </x:c>
      <x:c r="B1224" s="13" t="str">
        <x:v>Pulp &amp; Paper</x:v>
      </x:c>
      <x:c r="C1224" s="16" t="n">
        <x:v>4782.2807064548</x:v>
      </x:c>
      <x:c r="D1224" s="16" t="n">
        <x:v>2249.4425614027</x:v>
      </x:c>
      <x:c r="E1224" s="16" t="n">
        <x:v>-2532.838145052</x:v>
      </x:c>
      <x:c r="F1224" s="23" t="n">
        <x:v>3</x:v>
      </x:c>
    </x:row>
    <x:row r="1225">
      <x:c r="A1225" s="15" t="n">
        <x:v>42705</x:v>
      </x:c>
      <x:c r="B1225" s="13" t="str">
        <x:v>Retail</x:v>
      </x:c>
      <x:c r="C1225" s="16" t="n">
        <x:v>2972.0280553205</x:v>
      </x:c>
      <x:c r="D1225" s="16" t="n">
        <x:v>2966.3006292603</x:v>
      </x:c>
      <x:c r="E1225" s="16" t="n">
        <x:v>-5.7274260603</x:v>
      </x:c>
      <x:c r="F1225" s="23" t="n">
        <x:v>5</x:v>
      </x:c>
    </x:row>
    <x:row r="1226">
      <x:c r="A1226" s="15" t="n">
        <x:v>42705</x:v>
      </x:c>
      <x:c r="B1226" s="13" t="str">
        <x:v>Sanitation</x:v>
      </x:c>
      <x:c r="C1226" s="16" t="n">
        <x:v>2370.0980862247</x:v>
      </x:c>
      <x:c r="D1226" s="16" t="n">
        <x:v>2352.9983698411</x:v>
      </x:c>
      <x:c r="E1226" s="16" t="n">
        <x:v>-17.0997163836</x:v>
      </x:c>
      <x:c r="F1226" s="23" t="n">
        <x:v>1</x:v>
      </x:c>
    </x:row>
    <x:row r="1227">
      <x:c r="A1227" s="15" t="n">
        <x:v>42705</x:v>
      </x:c>
      <x:c r="B1227" s="13" t="str">
        <x:v>TMT</x:v>
      </x:c>
      <x:c r="C1227" s="16" t="n">
        <x:v>5584.4671703671</x:v>
      </x:c>
      <x:c r="D1227" s="16" t="n">
        <x:v>5931.8481216877</x:v>
      </x:c>
      <x:c r="E1227" s="16" t="n">
        <x:v>347.3809513206</x:v>
      </x:c>
      <x:c r="F1227" s="23" t="n">
        <x:v>2</x:v>
      </x:c>
    </x:row>
    <x:row r="1228">
      <x:c r="A1228" s="15" t="n">
        <x:v>42705</x:v>
      </x:c>
      <x:c r="B1228" s="13" t="str">
        <x:v>Transportation</x:v>
      </x:c>
      <x:c r="C1228" s="16" t="n">
        <x:v>2183.0715904877</x:v>
      </x:c>
      <x:c r="D1228" s="16" t="n">
        <x:v>2095.2069142794</x:v>
      </x:c>
      <x:c r="E1228" s="16" t="n">
        <x:v>-87.8646762082</x:v>
      </x:c>
      <x:c r="F1228" s="23" t="n">
        <x:v>3</x:v>
      </x:c>
    </x:row>
    <x:row r="1229">
      <x:c r="A1229" s="15" t="n">
        <x:v>42705</x:v>
      </x:c>
      <x:c r="B1229" s="13" t="str">
        <x:v>Utilities &amp; Energy</x:v>
      </x:c>
      <x:c r="C1229" s="16" t="n">
        <x:v>6998.5726111562</x:v>
      </x:c>
      <x:c r="D1229" s="16" t="n">
        <x:v>7540.2001932274</x:v>
      </x:c>
      <x:c r="E1229" s="16" t="n">
        <x:v>541.6275820712</x:v>
      </x:c>
      <x:c r="F1229" s="23" t="n">
        <x:v>6</x:v>
      </x:c>
    </x:row>
    <x:row r="1230">
      <x:c r="A1230" s="15" t="n">
        <x:v>42736</x:v>
      </x:c>
      <x:c r="B1230" s="13" t="str">
        <x:v>Banks</x:v>
      </x:c>
      <x:c r="C1230" s="16" t="n">
        <x:v>72840.6002519672</x:v>
      </x:c>
      <x:c r="D1230" s="16" t="n">
        <x:v>80010.0950310575</x:v>
      </x:c>
      <x:c r="E1230" s="16" t="n">
        <x:v>7169.4947790904</x:v>
      </x:c>
      <x:c r="F1230" s="23" t="n">
        <x:v>5</x:v>
      </x:c>
    </x:row>
    <x:row r="1231">
      <x:c r="A1231" s="15" t="n">
        <x:v>42736</x:v>
      </x:c>
      <x:c r="B1231" s="13" t="str">
        <x:v>Capital Goods</x:v>
      </x:c>
      <x:c r="C1231" s="16" t="n">
        <x:v>2300.9243306082</x:v>
      </x:c>
      <x:c r="D1231" s="16" t="n">
        <x:v>2360.8565474192</x:v>
      </x:c>
      <x:c r="E1231" s="16" t="n">
        <x:v>59.932216811</x:v>
      </x:c>
      <x:c r="F1231" s="23" t="n">
        <x:v>2</x:v>
      </x:c>
    </x:row>
    <x:row r="1232">
      <x:c r="A1232" s="15" t="n">
        <x:v>42736</x:v>
      </x:c>
      <x:c r="B1232" s="13" t="str">
        <x:v>Education</x:v>
      </x:c>
      <x:c r="C1232" s="16" t="n">
        <x:v>2678.9263791342</x:v>
      </x:c>
      <x:c r="D1232" s="16" t="n">
        <x:v>2735.5010272438</x:v>
      </x:c>
      <x:c r="E1232" s="16" t="n">
        <x:v>56.5746481096</x:v>
      </x:c>
      <x:c r="F1232" s="23" t="n">
        <x:v>2</x:v>
      </x:c>
    </x:row>
    <x:row r="1233">
      <x:c r="A1233" s="15" t="n">
        <x:v>42736</x:v>
      </x:c>
      <x:c r="B1233" s="13" t="str">
        <x:v>Financials Non-Banks</x:v>
      </x:c>
      <x:c r="C1233" s="16" t="n">
        <x:v>19072.8699977644</x:v>
      </x:c>
      <x:c r="D1233" s="16" t="n">
        <x:v>19741.0139698849</x:v>
      </x:c>
      <x:c r="E1233" s="16" t="n">
        <x:v>668.1439721206</x:v>
      </x:c>
      <x:c r="F1233" s="23" t="n">
        <x:v>5</x:v>
      </x:c>
    </x:row>
    <x:row r="1234">
      <x:c r="A1234" s="15" t="n">
        <x:v>42736</x:v>
      </x:c>
      <x:c r="B1234" s="13" t="str">
        <x:v>Food &amp; Beverages</x:v>
      </x:c>
      <x:c r="C1234" s="16" t="n">
        <x:v>19872.8273314192</x:v>
      </x:c>
      <x:c r="D1234" s="16" t="n">
        <x:v>20213.1786230356</x:v>
      </x:c>
      <x:c r="E1234" s="16" t="n">
        <x:v>340.3512916164</x:v>
      </x:c>
      <x:c r="F1234" s="23" t="n">
        <x:v>4</x:v>
      </x:c>
    </x:row>
    <x:row r="1235">
      <x:c r="A1235" s="15" t="n">
        <x:v>42736</x:v>
      </x:c>
      <x:c r="B1235" s="13" t="str">
        <x:v>Health Care</x:v>
      </x:c>
      <x:c r="C1235" s="16" t="n">
        <x:v>1315.4829784548</x:v>
      </x:c>
      <x:c r="D1235" s="16" t="n">
        <x:v>1382.370296811</x:v>
      </x:c>
      <x:c r="E1235" s="16" t="n">
        <x:v>66.8873183562</x:v>
      </x:c>
      <x:c r="F1235" s="23" t="n">
        <x:v>2</x:v>
      </x:c>
    </x:row>
    <x:row r="1236">
      <x:c r="A1236" s="15" t="n">
        <x:v>42736</x:v>
      </x:c>
      <x:c r="B1236" s="13" t="str">
        <x:v>Homebuilders</x:v>
      </x:c>
      <x:c r="C1236" s="16" t="n">
        <x:v>942.6964629479</x:v>
      </x:c>
      <x:c r="D1236" s="16" t="n">
        <x:v>814.9868011836</x:v>
      </x:c>
      <x:c r="E1236" s="16" t="n">
        <x:v>-127.7096617644</x:v>
      </x:c>
      <x:c r="F1236" s="23" t="n">
        <x:v>2</x:v>
      </x:c>
    </x:row>
    <x:row r="1237">
      <x:c r="A1237" s="15" t="n">
        <x:v>42736</x:v>
      </x:c>
      <x:c r="B1237" s="13" t="str">
        <x:v>Income Properties</x:v>
      </x:c>
      <x:c r="C1237" s="16" t="n">
        <x:v>745.0009424658</x:v>
      </x:c>
      <x:c r="D1237" s="16" t="n">
        <x:v>774.5225098521</x:v>
      </x:c>
      <x:c r="E1237" s="16" t="n">
        <x:v>29.5215673863</x:v>
      </x:c>
      <x:c r="F1237" s="23" t="n">
        <x:v>2</x:v>
      </x:c>
    </x:row>
    <x:row r="1238">
      <x:c r="A1238" s="15" t="n">
        <x:v>42736</x:v>
      </x:c>
      <x:c r="B1238" s="13" t="str">
        <x:v>Metals &amp; Mining</x:v>
      </x:c>
      <x:c r="C1238" s="16" t="n">
        <x:v>6842.5062745425</x:v>
      </x:c>
      <x:c r="D1238" s="16" t="n">
        <x:v>16848.9025313917</x:v>
      </x:c>
      <x:c r="E1238" s="16" t="n">
        <x:v>10006.3962568493</x:v>
      </x:c>
      <x:c r="F1238" s="23" t="n">
        <x:v>6</x:v>
      </x:c>
    </x:row>
    <x:row r="1239">
      <x:c r="A1239" s="15" t="n">
        <x:v>42736</x:v>
      </x:c>
      <x:c r="B1239" s="13" t="str">
        <x:v>Oil, Gas &amp; Petrochemicals</x:v>
      </x:c>
      <x:c r="C1239" s="16" t="n">
        <x:v>18976.7939054465</x:v>
      </x:c>
      <x:c r="D1239" s="16" t="n">
        <x:v>22320.5600739946</x:v>
      </x:c>
      <x:c r="E1239" s="16" t="n">
        <x:v>3343.766168548</x:v>
      </x:c>
      <x:c r="F1239" s="23" t="n">
        <x:v>4</x:v>
      </x:c>
    </x:row>
    <x:row r="1240">
      <x:c r="A1240" s="15" t="n">
        <x:v>42736</x:v>
      </x:c>
      <x:c r="B1240" s="13" t="str">
        <x:v>Pulp &amp; Paper</x:v>
      </x:c>
      <x:c r="C1240" s="16" t="n">
        <x:v>3274.9844718466</x:v>
      </x:c>
      <x:c r="D1240" s="16" t="n">
        <x:v>2209.4220105644</x:v>
      </x:c>
      <x:c r="E1240" s="16" t="n">
        <x:v>-1065.5624612822</x:v>
      </x:c>
      <x:c r="F1240" s="23" t="n">
        <x:v>3</x:v>
      </x:c>
    </x:row>
    <x:row r="1241">
      <x:c r="A1241" s="15" t="n">
        <x:v>42736</x:v>
      </x:c>
      <x:c r="B1241" s="13" t="str">
        <x:v>Retail</x:v>
      </x:c>
      <x:c r="C1241" s="16" t="n">
        <x:v>3002.4983860986</x:v>
      </x:c>
      <x:c r="D1241" s="16" t="n">
        <x:v>2940.0576168329</x:v>
      </x:c>
      <x:c r="E1241" s="16" t="n">
        <x:v>-62.4407692658</x:v>
      </x:c>
      <x:c r="F1241" s="23" t="n">
        <x:v>5</x:v>
      </x:c>
    </x:row>
    <x:row r="1242">
      <x:c r="A1242" s="15" t="n">
        <x:v>42736</x:v>
      </x:c>
      <x:c r="B1242" s="13" t="str">
        <x:v>Sanitation</x:v>
      </x:c>
      <x:c r="C1242" s="16" t="n">
        <x:v>2370.018554389</x:v>
      </x:c>
      <x:c r="D1242" s="16" t="n">
        <x:v>2442.6819443726</x:v>
      </x:c>
      <x:c r="E1242" s="16" t="n">
        <x:v>72.6633899836</x:v>
      </x:c>
      <x:c r="F1242" s="23" t="n">
        <x:v>1</x:v>
      </x:c>
    </x:row>
    <x:row r="1243">
      <x:c r="A1243" s="15" t="n">
        <x:v>42736</x:v>
      </x:c>
      <x:c r="B1243" s="13" t="str">
        <x:v>TMT</x:v>
      </x:c>
      <x:c r="C1243" s="16" t="n">
        <x:v>5566.7409835836</x:v>
      </x:c>
      <x:c r="D1243" s="16" t="n">
        <x:v>6013.8402097096</x:v>
      </x:c>
      <x:c r="E1243" s="16" t="n">
        <x:v>447.099226126</x:v>
      </x:c>
      <x:c r="F1243" s="23" t="n">
        <x:v>2</x:v>
      </x:c>
    </x:row>
    <x:row r="1244">
      <x:c r="A1244" s="15" t="n">
        <x:v>42736</x:v>
      </x:c>
      <x:c r="B1244" s="13" t="str">
        <x:v>Transportation</x:v>
      </x:c>
      <x:c r="C1244" s="16" t="n">
        <x:v>2198.4697956822</x:v>
      </x:c>
      <x:c r="D1244" s="16" t="n">
        <x:v>2217.9451317479</x:v>
      </x:c>
      <x:c r="E1244" s="16" t="n">
        <x:v>19.4753360657</x:v>
      </x:c>
      <x:c r="F1244" s="23" t="n">
        <x:v>3</x:v>
      </x:c>
    </x:row>
    <x:row r="1245">
      <x:c r="A1245" s="15" t="n">
        <x:v>42736</x:v>
      </x:c>
      <x:c r="B1245" s="13" t="str">
        <x:v>Utilities &amp; Energy</x:v>
      </x:c>
      <x:c r="C1245" s="16" t="n">
        <x:v>7315.6746776548</x:v>
      </x:c>
      <x:c r="D1245" s="16" t="n">
        <x:v>7545.8012682521</x:v>
      </x:c>
      <x:c r="E1245" s="16" t="n">
        <x:v>230.1265905973</x:v>
      </x:c>
      <x:c r="F1245" s="23" t="n">
        <x:v>6</x:v>
      </x:c>
    </x:row>
    <x:row r="1246">
      <x:c r="A1246" s="15" t="n">
        <x:v>42767</x:v>
      </x:c>
      <x:c r="B1246" s="13" t="str">
        <x:v>Banks</x:v>
      </x:c>
      <x:c r="C1246" s="16" t="n">
        <x:v>76431.6392307726</x:v>
      </x:c>
      <x:c r="D1246" s="16" t="n">
        <x:v>80498.6657244932</x:v>
      </x:c>
      <x:c r="E1246" s="16" t="n">
        <x:v>4067.0264937206</x:v>
      </x:c>
      <x:c r="F1246" s="23" t="n">
        <x:v>5</x:v>
      </x:c>
    </x:row>
    <x:row r="1247">
      <x:c r="A1247" s="15" t="n">
        <x:v>42767</x:v>
      </x:c>
      <x:c r="B1247" s="13" t="str">
        <x:v>Capital Goods</x:v>
      </x:c>
      <x:c r="C1247" s="16" t="n">
        <x:v>2318.1042875616</x:v>
      </x:c>
      <x:c r="D1247" s="16" t="n">
        <x:v>2360.1330773918</x:v>
      </x:c>
      <x:c r="E1247" s="16" t="n">
        <x:v>42.0287898301</x:v>
      </x:c>
      <x:c r="F1247" s="23" t="n">
        <x:v>2</x:v>
      </x:c>
    </x:row>
    <x:row r="1248">
      <x:c r="A1248" s="15" t="n">
        <x:v>42767</x:v>
      </x:c>
      <x:c r="B1248" s="13" t="str">
        <x:v>Education</x:v>
      </x:c>
      <x:c r="C1248" s="16" t="n">
        <x:v>2698.3608321753</x:v>
      </x:c>
      <x:c r="D1248" s="16" t="n">
        <x:v>2702.9468512438</x:v>
      </x:c>
      <x:c r="E1248" s="16" t="n">
        <x:v>4.5860190685</x:v>
      </x:c>
      <x:c r="F1248" s="23" t="n">
        <x:v>2</x:v>
      </x:c>
    </x:row>
    <x:row r="1249">
      <x:c r="A1249" s="15" t="n">
        <x:v>42767</x:v>
      </x:c>
      <x:c r="B1249" s="13" t="str">
        <x:v>Financials Non-Banks</x:v>
      </x:c>
      <x:c r="C1249" s="16" t="n">
        <x:v>20047.7072241973</x:v>
      </x:c>
      <x:c r="D1249" s="16" t="n">
        <x:v>20189.8793856</x:v>
      </x:c>
      <x:c r="E1249" s="16" t="n">
        <x:v>142.1721614027</x:v>
      </x:c>
      <x:c r="F1249" s="23" t="n">
        <x:v>5</x:v>
      </x:c>
    </x:row>
    <x:row r="1250">
      <x:c r="A1250" s="15" t="n">
        <x:v>42767</x:v>
      </x:c>
      <x:c r="B1250" s="13" t="str">
        <x:v>Food &amp; Beverages</x:v>
      </x:c>
      <x:c r="C1250" s="16" t="n">
        <x:v>19880.6147630466</x:v>
      </x:c>
      <x:c r="D1250" s="16" t="n">
        <x:v>20163.0968282301</x:v>
      </x:c>
      <x:c r="E1250" s="16" t="n">
        <x:v>282.4820651836</x:v>
      </x:c>
      <x:c r="F1250" s="23" t="n">
        <x:v>4</x:v>
      </x:c>
    </x:row>
    <x:row r="1251">
      <x:c r="A1251" s="15" t="n">
        <x:v>42767</x:v>
      </x:c>
      <x:c r="B1251" s="13" t="str">
        <x:v>Health Care</x:v>
      </x:c>
      <x:c r="C1251" s="16" t="n">
        <x:v>1322.9387670795</x:v>
      </x:c>
      <x:c r="D1251" s="16" t="n">
        <x:v>1388.0782197479</x:v>
      </x:c>
      <x:c r="E1251" s="16" t="n">
        <x:v>65.1394526685</x:v>
      </x:c>
      <x:c r="F1251" s="23" t="n">
        <x:v>2</x:v>
      </x:c>
    </x:row>
    <x:row r="1252">
      <x:c r="A1252" s="15" t="n">
        <x:v>42767</x:v>
      </x:c>
      <x:c r="B1252" s="13" t="str">
        <x:v>Homebuilders</x:v>
      </x:c>
      <x:c r="C1252" s="16" t="n">
        <x:v>942.315251989</x:v>
      </x:c>
      <x:c r="D1252" s="16" t="n">
        <x:v>837.4010659945</x:v>
      </x:c>
      <x:c r="E1252" s="16" t="n">
        <x:v>-104.9141859945</x:v>
      </x:c>
      <x:c r="F1252" s="23" t="n">
        <x:v>2</x:v>
      </x:c>
    </x:row>
    <x:row r="1253">
      <x:c r="A1253" s="15" t="n">
        <x:v>42767</x:v>
      </x:c>
      <x:c r="B1253" s="13" t="str">
        <x:v>Income Properties</x:v>
      </x:c>
      <x:c r="C1253" s="16" t="n">
        <x:v>742.2810189151</x:v>
      </x:c>
      <x:c r="D1253" s="16" t="n">
        <x:v>806.0020257315</x:v>
      </x:c>
      <x:c r="E1253" s="16" t="n">
        <x:v>63.7210068164</x:v>
      </x:c>
      <x:c r="F1253" s="23" t="n">
        <x:v>2</x:v>
      </x:c>
    </x:row>
    <x:row r="1254">
      <x:c r="A1254" s="15" t="n">
        <x:v>42767</x:v>
      </x:c>
      <x:c r="B1254" s="13" t="str">
        <x:v>Metals &amp; Mining</x:v>
      </x:c>
      <x:c r="C1254" s="16" t="n">
        <x:v>8029.1273467616</x:v>
      </x:c>
      <x:c r="D1254" s="16" t="n">
        <x:v>19771.8959911671</x:v>
      </x:c>
      <x:c r="E1254" s="16" t="n">
        <x:v>11742.7686444055</x:v>
      </x:c>
      <x:c r="F1254" s="23" t="n">
        <x:v>6</x:v>
      </x:c>
    </x:row>
    <x:row r="1255">
      <x:c r="A1255" s="15" t="n">
        <x:v>42767</x:v>
      </x:c>
      <x:c r="B1255" s="13" t="str">
        <x:v>Oil, Gas &amp; Petrochemicals</x:v>
      </x:c>
      <x:c r="C1255" s="16" t="n">
        <x:v>19121.5660514849</x:v>
      </x:c>
      <x:c r="D1255" s="16" t="n">
        <x:v>23215.1048377864</x:v>
      </x:c>
      <x:c r="E1255" s="16" t="n">
        <x:v>4093.5387863014</x:v>
      </x:c>
      <x:c r="F1255" s="23" t="n">
        <x:v>4</x:v>
      </x:c>
    </x:row>
    <x:row r="1256">
      <x:c r="A1256" s="15" t="n">
        <x:v>42767</x:v>
      </x:c>
      <x:c r="B1256" s="13" t="str">
        <x:v>Pulp &amp; Paper</x:v>
      </x:c>
      <x:c r="C1256" s="16" t="n">
        <x:v>2334.6906711671</x:v>
      </x:c>
      <x:c r="D1256" s="16" t="n">
        <x:v>2044.7419562082</x:v>
      </x:c>
      <x:c r="E1256" s="16" t="n">
        <x:v>-289.9487149589</x:v>
      </x:c>
      <x:c r="F1256" s="23" t="n">
        <x:v>3</x:v>
      </x:c>
    </x:row>
    <x:row r="1257">
      <x:c r="A1257" s="15" t="n">
        <x:v>42767</x:v>
      </x:c>
      <x:c r="B1257" s="13" t="str">
        <x:v>Retail</x:v>
      </x:c>
      <x:c r="C1257" s="16" t="n">
        <x:v>2952.5054265425</x:v>
      </x:c>
      <x:c r="D1257" s="16" t="n">
        <x:v>3059.146783737</x:v>
      </x:c>
      <x:c r="E1257" s="16" t="n">
        <x:v>106.6413571945</x:v>
      </x:c>
      <x:c r="F1257" s="23" t="n">
        <x:v>5</x:v>
      </x:c>
    </x:row>
    <x:row r="1258">
      <x:c r="A1258" s="15" t="n">
        <x:v>42767</x:v>
      </x:c>
      <x:c r="B1258" s="13" t="str">
        <x:v>Sanitation</x:v>
      </x:c>
      <x:c r="C1258" s="16" t="n">
        <x:v>2416.5253926575</x:v>
      </x:c>
      <x:c r="D1258" s="16" t="n">
        <x:v>2484.2426592438</x:v>
      </x:c>
      <x:c r="E1258" s="16" t="n">
        <x:v>67.7172665863</x:v>
      </x:c>
      <x:c r="F1258" s="23" t="n">
        <x:v>1</x:v>
      </x:c>
    </x:row>
    <x:row r="1259">
      <x:c r="A1259" s="15" t="n">
        <x:v>42767</x:v>
      </x:c>
      <x:c r="B1259" s="13" t="str">
        <x:v>TMT</x:v>
      </x:c>
      <x:c r="C1259" s="16" t="n">
        <x:v>5683.524858389</x:v>
      </x:c>
      <x:c r="D1259" s="16" t="n">
        <x:v>6144.3740261699</x:v>
      </x:c>
      <x:c r="E1259" s="16" t="n">
        <x:v>460.8491677808</x:v>
      </x:c>
      <x:c r="F1259" s="23" t="n">
        <x:v>2</x:v>
      </x:c>
    </x:row>
    <x:row r="1260">
      <x:c r="A1260" s="15" t="n">
        <x:v>42767</x:v>
      </x:c>
      <x:c r="B1260" s="13" t="str">
        <x:v>Transportation</x:v>
      </x:c>
      <x:c r="C1260" s="16" t="n">
        <x:v>2114.6001862137</x:v>
      </x:c>
      <x:c r="D1260" s="16" t="n">
        <x:v>2353.3595993425</x:v>
      </x:c>
      <x:c r="E1260" s="16" t="n">
        <x:v>238.7594131288</x:v>
      </x:c>
      <x:c r="F1260" s="23" t="n">
        <x:v>3</x:v>
      </x:c>
    </x:row>
    <x:row r="1261">
      <x:c r="A1261" s="15" t="n">
        <x:v>42767</x:v>
      </x:c>
      <x:c r="B1261" s="13" t="str">
        <x:v>Utilities &amp; Energy</x:v>
      </x:c>
      <x:c r="C1261" s="16" t="n">
        <x:v>7383.7902839233</x:v>
      </x:c>
      <x:c r="D1261" s="16" t="n">
        <x:v>7371.0600300712</x:v>
      </x:c>
      <x:c r="E1261" s="16" t="n">
        <x:v>-12.7302538521</x:v>
      </x:c>
      <x:c r="F1261" s="23" t="n">
        <x:v>6</x:v>
      </x:c>
    </x:row>
    <x:row r="1262">
      <x:c r="A1262" s="15" t="n">
        <x:v>42795</x:v>
      </x:c>
      <x:c r="B1262" s="13" t="str">
        <x:v>Banks</x:v>
      </x:c>
      <x:c r="C1262" s="16" t="n">
        <x:v>77720.588536285</x:v>
      </x:c>
      <x:c r="D1262" s="16" t="n">
        <x:v>81506.8847202192</x:v>
      </x:c>
      <x:c r="E1262" s="16" t="n">
        <x:v>3786.2961839341</x:v>
      </x:c>
      <x:c r="F1262" s="23" t="n">
        <x:v>5</x:v>
      </x:c>
    </x:row>
    <x:row r="1263">
      <x:c r="A1263" s="15" t="n">
        <x:v>42795</x:v>
      </x:c>
      <x:c r="B1263" s="13" t="str">
        <x:v>Capital Goods</x:v>
      </x:c>
      <x:c r="C1263" s="16" t="n">
        <x:v>2349.2057421151</x:v>
      </x:c>
      <x:c r="D1263" s="16" t="n">
        <x:v>2344.6013176986</x:v>
      </x:c>
      <x:c r="E1263" s="16" t="n">
        <x:v>-4.6044244164</x:v>
      </x:c>
      <x:c r="F1263" s="23" t="n">
        <x:v>2</x:v>
      </x:c>
    </x:row>
    <x:row r="1264">
      <x:c r="A1264" s="15" t="n">
        <x:v>42795</x:v>
      </x:c>
      <x:c r="B1264" s="13" t="str">
        <x:v>Education</x:v>
      </x:c>
      <x:c r="C1264" s="16" t="n">
        <x:v>2710.8199433644</x:v>
      </x:c>
      <x:c r="D1264" s="16" t="n">
        <x:v>2661.6431075068</x:v>
      </x:c>
      <x:c r="E1264" s="16" t="n">
        <x:v>-49.1768358575</x:v>
      </x:c>
      <x:c r="F1264" s="23" t="n">
        <x:v>2</x:v>
      </x:c>
    </x:row>
    <x:row r="1265">
      <x:c r="A1265" s="15" t="n">
        <x:v>42795</x:v>
      </x:c>
      <x:c r="B1265" s="13" t="str">
        <x:v>Financials Non-Banks</x:v>
      </x:c>
      <x:c r="C1265" s="16" t="n">
        <x:v>19416.6082535452</x:v>
      </x:c>
      <x:c r="D1265" s="16" t="n">
        <x:v>19492.6773689863</x:v>
      </x:c>
      <x:c r="E1265" s="16" t="n">
        <x:v>76.0691154411</x:v>
      </x:c>
      <x:c r="F1265" s="23" t="n">
        <x:v>4</x:v>
      </x:c>
    </x:row>
    <x:row r="1266">
      <x:c r="A1266" s="15" t="n">
        <x:v>42795</x:v>
      </x:c>
      <x:c r="B1266" s="13" t="str">
        <x:v>Food &amp; Beverages</x:v>
      </x:c>
      <x:c r="C1266" s="16" t="n">
        <x:v>20142.4597802958</x:v>
      </x:c>
      <x:c r="D1266" s="16" t="n">
        <x:v>19728.8931457534</x:v>
      </x:c>
      <x:c r="E1266" s="16" t="n">
        <x:v>-413.5666345425</x:v>
      </x:c>
      <x:c r="F1266" s="23" t="n">
        <x:v>4</x:v>
      </x:c>
    </x:row>
    <x:row r="1267">
      <x:c r="A1267" s="15" t="n">
        <x:v>42795</x:v>
      </x:c>
      <x:c r="B1267" s="13" t="str">
        <x:v>Health Care</x:v>
      </x:c>
      <x:c r="C1267" s="16" t="n">
        <x:v>1350.213862926</x:v>
      </x:c>
      <x:c r="D1267" s="16" t="n">
        <x:v>1399.4006890959</x:v>
      </x:c>
      <x:c r="E1267" s="16" t="n">
        <x:v>49.1868261699</x:v>
      </x:c>
      <x:c r="F1267" s="23" t="n">
        <x:v>2</x:v>
      </x:c>
    </x:row>
    <x:row r="1268">
      <x:c r="A1268" s="15" t="n">
        <x:v>42795</x:v>
      </x:c>
      <x:c r="B1268" s="13" t="str">
        <x:v>Homebuilders</x:v>
      </x:c>
      <x:c r="C1268" s="16" t="n">
        <x:v>874.8411078137</x:v>
      </x:c>
      <x:c r="D1268" s="16" t="n">
        <x:v>867.0314167671</x:v>
      </x:c>
      <x:c r="E1268" s="16" t="n">
        <x:v>-7.8096910466</x:v>
      </x:c>
      <x:c r="F1268" s="23" t="n">
        <x:v>2</x:v>
      </x:c>
    </x:row>
    <x:row r="1269">
      <x:c r="A1269" s="15" t="n">
        <x:v>42795</x:v>
      </x:c>
      <x:c r="B1269" s="13" t="str">
        <x:v>Income Properties</x:v>
      </x:c>
      <x:c r="C1269" s="16" t="n">
        <x:v>747.7176358575</x:v>
      </x:c>
      <x:c r="D1269" s="16" t="n">
        <x:v>834.2586047123</x:v>
      </x:c>
      <x:c r="E1269" s="16" t="n">
        <x:v>86.5409688548</x:v>
      </x:c>
      <x:c r="F1269" s="23" t="n">
        <x:v>2</x:v>
      </x:c>
    </x:row>
    <x:row r="1270">
      <x:c r="A1270" s="15" t="n">
        <x:v>42795</x:v>
      </x:c>
      <x:c r="B1270" s="13" t="str">
        <x:v>Metals &amp; Mining</x:v>
      </x:c>
      <x:c r="C1270" s="16" t="n">
        <x:v>13573.634388515</x:v>
      </x:c>
      <x:c r="D1270" s="16" t="n">
        <x:v>24663.8786448219</x:v>
      </x:c>
      <x:c r="E1270" s="16" t="n">
        <x:v>11090.2442563069</x:v>
      </x:c>
      <x:c r="F1270" s="23" t="n">
        <x:v>6</x:v>
      </x:c>
    </x:row>
    <x:row r="1271">
      <x:c r="A1271" s="15" t="n">
        <x:v>42795</x:v>
      </x:c>
      <x:c r="B1271" s="13" t="str">
        <x:v>Oil, Gas &amp; Petrochemicals</x:v>
      </x:c>
      <x:c r="C1271" s="16" t="n">
        <x:v>19997.4939479671</x:v>
      </x:c>
      <x:c r="D1271" s="16" t="n">
        <x:v>22747.3523813699</x:v>
      </x:c>
      <x:c r="E1271" s="16" t="n">
        <x:v>2749.8584334027</x:v>
      </x:c>
      <x:c r="F1271" s="23" t="n">
        <x:v>4</x:v>
      </x:c>
    </x:row>
    <x:row r="1272">
      <x:c r="A1272" s="15" t="n">
        <x:v>42795</x:v>
      </x:c>
      <x:c r="B1272" s="13" t="str">
        <x:v>Pulp &amp; Paper</x:v>
      </x:c>
      <x:c r="C1272" s="16" t="n">
        <x:v>2249.4425614027</x:v>
      </x:c>
      <x:c r="D1272" s="16" t="n">
        <x:v>2326.9051484931</x:v>
      </x:c>
      <x:c r="E1272" s="16" t="n">
        <x:v>77.4625870904</x:v>
      </x:c>
      <x:c r="F1272" s="23" t="n">
        <x:v>3</x:v>
      </x:c>
    </x:row>
    <x:row r="1273">
      <x:c r="A1273" s="15" t="n">
        <x:v>42795</x:v>
      </x:c>
      <x:c r="B1273" s="13" t="str">
        <x:v>Retail</x:v>
      </x:c>
      <x:c r="C1273" s="16" t="n">
        <x:v>2966.3006292603</x:v>
      </x:c>
      <x:c r="D1273" s="16" t="n">
        <x:v>3143.7498358356</x:v>
      </x:c>
      <x:c r="E1273" s="16" t="n">
        <x:v>177.4492065753</x:v>
      </x:c>
      <x:c r="F1273" s="23" t="n">
        <x:v>5</x:v>
      </x:c>
    </x:row>
    <x:row r="1274">
      <x:c r="A1274" s="15" t="n">
        <x:v>42795</x:v>
      </x:c>
      <x:c r="B1274" s="13" t="str">
        <x:v>Sanitation</x:v>
      </x:c>
      <x:c r="C1274" s="16" t="n">
        <x:v>2352.9983698411</x:v>
      </x:c>
      <x:c r="D1274" s="16" t="n">
        <x:v>2612.9301286575</x:v>
      </x:c>
      <x:c r="E1274" s="16" t="n">
        <x:v>259.9317588164</x:v>
      </x:c>
      <x:c r="F1274" s="23" t="n">
        <x:v>1</x:v>
      </x:c>
    </x:row>
    <x:row r="1275">
      <x:c r="A1275" s="15" t="n">
        <x:v>42795</x:v>
      </x:c>
      <x:c r="B1275" s="13" t="str">
        <x:v>TMT</x:v>
      </x:c>
      <x:c r="C1275" s="16" t="n">
        <x:v>5931.8481216877</x:v>
      </x:c>
      <x:c r="D1275" s="16" t="n">
        <x:v>6277.6531892603</x:v>
      </x:c>
      <x:c r="E1275" s="16" t="n">
        <x:v>345.8050675726</x:v>
      </x:c>
      <x:c r="F1275" s="23" t="n">
        <x:v>2</x:v>
      </x:c>
    </x:row>
    <x:row r="1276">
      <x:c r="A1276" s="15" t="n">
        <x:v>42795</x:v>
      </x:c>
      <x:c r="B1276" s="13" t="str">
        <x:v>Transportation</x:v>
      </x:c>
      <x:c r="C1276" s="16" t="n">
        <x:v>2095.2069142794</x:v>
      </x:c>
      <x:c r="D1276" s="16" t="n">
        <x:v>2504.880729863</x:v>
      </x:c>
      <x:c r="E1276" s="16" t="n">
        <x:v>409.6738155836</x:v>
      </x:c>
      <x:c r="F1276" s="23" t="n">
        <x:v>3</x:v>
      </x:c>
    </x:row>
    <x:row r="1277">
      <x:c r="A1277" s="15" t="n">
        <x:v>42795</x:v>
      </x:c>
      <x:c r="B1277" s="13" t="str">
        <x:v>Utilities &amp; Energy</x:v>
      </x:c>
      <x:c r="C1277" s="16" t="n">
        <x:v>8473.1960830246</x:v>
      </x:c>
      <x:c r="D1277" s="16" t="n">
        <x:v>10747.3408946849</x:v>
      </x:c>
      <x:c r="E1277" s="16" t="n">
        <x:v>2274.1448116603</x:v>
      </x:c>
      <x:c r="F1277" s="23" t="n">
        <x:v>7</x:v>
      </x:c>
    </x:row>
    <x:row r="1278">
      <x:c r="A1278" s="15" t="n">
        <x:v>42826</x:v>
      </x:c>
      <x:c r="B1278" s="13" t="str">
        <x:v>Banks</x:v>
      </x:c>
      <x:c r="C1278" s="16" t="n">
        <x:v>80010.0950310575</x:v>
      </x:c>
      <x:c r="D1278" s="16" t="n">
        <x:v>81692.9245871343</x:v>
      </x:c>
      <x:c r="E1278" s="16" t="n">
        <x:v>1682.8295560767</x:v>
      </x:c>
      <x:c r="F1278" s="23" t="n">
        <x:v>5</x:v>
      </x:c>
    </x:row>
    <x:row r="1279">
      <x:c r="A1279" s="15" t="n">
        <x:v>42826</x:v>
      </x:c>
      <x:c r="B1279" s="13" t="str">
        <x:v>Capital Goods</x:v>
      </x:c>
      <x:c r="C1279" s="16" t="n">
        <x:v>2360.8565474192</x:v>
      </x:c>
      <x:c r="D1279" s="16" t="n">
        <x:v>2406.8199122411</x:v>
      </x:c>
      <x:c r="E1279" s="16" t="n">
        <x:v>45.9633648219</x:v>
      </x:c>
      <x:c r="F1279" s="23" t="n">
        <x:v>2</x:v>
      </x:c>
    </x:row>
    <x:row r="1280">
      <x:c r="A1280" s="15" t="n">
        <x:v>42826</x:v>
      </x:c>
      <x:c r="B1280" s="13" t="str">
        <x:v>Education</x:v>
      </x:c>
      <x:c r="C1280" s="16" t="n">
        <x:v>2735.5010272438</x:v>
      </x:c>
      <x:c r="D1280" s="16" t="n">
        <x:v>2617.4265969973</x:v>
      </x:c>
      <x:c r="E1280" s="16" t="n">
        <x:v>-118.0744302466</x:v>
      </x:c>
      <x:c r="F1280" s="23" t="n">
        <x:v>2</x:v>
      </x:c>
    </x:row>
    <x:row r="1281">
      <x:c r="A1281" s="15" t="n">
        <x:v>42826</x:v>
      </x:c>
      <x:c r="B1281" s="13" t="str">
        <x:v>Financials Non-Banks</x:v>
      </x:c>
      <x:c r="C1281" s="16" t="n">
        <x:v>19044.7641361534</x:v>
      </x:c>
      <x:c r="D1281" s="16" t="n">
        <x:v>19191.2280053479</x:v>
      </x:c>
      <x:c r="E1281" s="16" t="n">
        <x:v>146.4638691945</x:v>
      </x:c>
      <x:c r="F1281" s="23" t="n">
        <x:v>4</x:v>
      </x:c>
    </x:row>
    <x:row r="1282">
      <x:c r="A1282" s="15" t="n">
        <x:v>42826</x:v>
      </x:c>
      <x:c r="B1282" s="13" t="str">
        <x:v>Food &amp; Beverages</x:v>
      </x:c>
      <x:c r="C1282" s="16" t="n">
        <x:v>20213.1786230356</x:v>
      </x:c>
      <x:c r="D1282" s="16" t="n">
        <x:v>19221.8973971288</x:v>
      </x:c>
      <x:c r="E1282" s="16" t="n">
        <x:v>-991.2812259068</x:v>
      </x:c>
      <x:c r="F1282" s="23" t="n">
        <x:v>4</x:v>
      </x:c>
    </x:row>
    <x:row r="1283">
      <x:c r="A1283" s="15" t="n">
        <x:v>42826</x:v>
      </x:c>
      <x:c r="B1283" s="13" t="str">
        <x:v>Health Care</x:v>
      </x:c>
      <x:c r="C1283" s="16" t="n">
        <x:v>1382.370296811</x:v>
      </x:c>
      <x:c r="D1283" s="16" t="n">
        <x:v>1416.3807314411</x:v>
      </x:c>
      <x:c r="E1283" s="16" t="n">
        <x:v>34.0104346301</x:v>
      </x:c>
      <x:c r="F1283" s="23" t="n">
        <x:v>2</x:v>
      </x:c>
    </x:row>
    <x:row r="1284">
      <x:c r="A1284" s="15" t="n">
        <x:v>42826</x:v>
      </x:c>
      <x:c r="B1284" s="13" t="str">
        <x:v>Homebuilders</x:v>
      </x:c>
      <x:c r="C1284" s="16" t="n">
        <x:v>814.9868011836</x:v>
      </x:c>
      <x:c r="D1284" s="16" t="n">
        <x:v>892.2962001534</x:v>
      </x:c>
      <x:c r="E1284" s="16" t="n">
        <x:v>77.3093989699</x:v>
      </x:c>
      <x:c r="F1284" s="23" t="n">
        <x:v>2</x:v>
      </x:c>
    </x:row>
    <x:row r="1285">
      <x:c r="A1285" s="15" t="n">
        <x:v>42826</x:v>
      </x:c>
      <x:c r="B1285" s="13" t="str">
        <x:v>Income Properties</x:v>
      </x:c>
      <x:c r="C1285" s="16" t="n">
        <x:v>774.5225098521</x:v>
      </x:c>
      <x:c r="D1285" s="16" t="n">
        <x:v>849.3743346849</x:v>
      </x:c>
      <x:c r="E1285" s="16" t="n">
        <x:v>74.8518248329</x:v>
      </x:c>
      <x:c r="F1285" s="23" t="n">
        <x:v>2</x:v>
      </x:c>
    </x:row>
    <x:row r="1286">
      <x:c r="A1286" s="15" t="n">
        <x:v>42826</x:v>
      </x:c>
      <x:c r="B1286" s="13" t="str">
        <x:v>Metals &amp; Mining</x:v>
      </x:c>
      <x:c r="C1286" s="16" t="n">
        <x:v>16848.9025313917</x:v>
      </x:c>
      <x:c r="D1286" s="16" t="n">
        <x:v>23669.3037387397</x:v>
      </x:c>
      <x:c r="E1286" s="16" t="n">
        <x:v>6820.401207348</x:v>
      </x:c>
      <x:c r="F1286" s="23" t="n">
        <x:v>6</x:v>
      </x:c>
    </x:row>
    <x:row r="1287">
      <x:c r="A1287" s="15" t="n">
        <x:v>42826</x:v>
      </x:c>
      <x:c r="B1287" s="13" t="str">
        <x:v>Oil, Gas &amp; Petrochemicals</x:v>
      </x:c>
      <x:c r="C1287" s="16" t="n">
        <x:v>22320.5600739946</x:v>
      </x:c>
      <x:c r="D1287" s="16" t="n">
        <x:v>21013.271897074</x:v>
      </x:c>
      <x:c r="E1287" s="16" t="n">
        <x:v>-1307.2881769206</x:v>
      </x:c>
      <x:c r="F1287" s="23" t="n">
        <x:v>4</x:v>
      </x:c>
    </x:row>
    <x:row r="1288">
      <x:c r="A1288" s="15" t="n">
        <x:v>42826</x:v>
      </x:c>
      <x:c r="B1288" s="13" t="str">
        <x:v>Pulp &amp; Paper</x:v>
      </x:c>
      <x:c r="C1288" s="16" t="n">
        <x:v>2209.4220105644</x:v>
      </x:c>
      <x:c r="D1288" s="16" t="n">
        <x:v>2701.7439312658</x:v>
      </x:c>
      <x:c r="E1288" s="16" t="n">
        <x:v>492.3219207014</x:v>
      </x:c>
      <x:c r="F1288" s="23" t="n">
        <x:v>3</x:v>
      </x:c>
    </x:row>
    <x:row r="1289">
      <x:c r="A1289" s="15" t="n">
        <x:v>42826</x:v>
      </x:c>
      <x:c r="B1289" s="13" t="str">
        <x:v>Retail</x:v>
      </x:c>
      <x:c r="C1289" s="16" t="n">
        <x:v>2940.0576168329</x:v>
      </x:c>
      <x:c r="D1289" s="16" t="n">
        <x:v>3230.0862125589</x:v>
      </x:c>
      <x:c r="E1289" s="16" t="n">
        <x:v>290.028595726</x:v>
      </x:c>
      <x:c r="F1289" s="23" t="n">
        <x:v>5</x:v>
      </x:c>
    </x:row>
    <x:row r="1290">
      <x:c r="A1290" s="15" t="n">
        <x:v>42826</x:v>
      </x:c>
      <x:c r="B1290" s="13" t="str">
        <x:v>Sanitation</x:v>
      </x:c>
      <x:c r="C1290" s="16" t="n">
        <x:v>2442.6819443726</x:v>
      </x:c>
      <x:c r="D1290" s="16" t="n">
        <x:v>2747.7270962849</x:v>
      </x:c>
      <x:c r="E1290" s="16" t="n">
        <x:v>305.0451519123</x:v>
      </x:c>
      <x:c r="F1290" s="23" t="n">
        <x:v>1</x:v>
      </x:c>
    </x:row>
    <x:row r="1291">
      <x:c r="A1291" s="15" t="n">
        <x:v>42826</x:v>
      </x:c>
      <x:c r="B1291" s="13" t="str">
        <x:v>TMT</x:v>
      </x:c>
      <x:c r="C1291" s="16" t="n">
        <x:v>6013.8402097096</x:v>
      </x:c>
      <x:c r="D1291" s="16" t="n">
        <x:v>6339.8313952438</x:v>
      </x:c>
      <x:c r="E1291" s="16" t="n">
        <x:v>325.9911855342</x:v>
      </x:c>
      <x:c r="F1291" s="23" t="n">
        <x:v>2</x:v>
      </x:c>
    </x:row>
    <x:row r="1292">
      <x:c r="A1292" s="15" t="n">
        <x:v>42826</x:v>
      </x:c>
      <x:c r="B1292" s="13" t="str">
        <x:v>Transportation</x:v>
      </x:c>
      <x:c r="C1292" s="16" t="n">
        <x:v>2217.9451317479</x:v>
      </x:c>
      <x:c r="D1292" s="16" t="n">
        <x:v>2566.6340748274</x:v>
      </x:c>
      <x:c r="E1292" s="16" t="n">
        <x:v>348.6889430795</x:v>
      </x:c>
      <x:c r="F1292" s="23" t="n">
        <x:v>3</x:v>
      </x:c>
    </x:row>
    <x:row r="1293">
      <x:c r="A1293" s="15" t="n">
        <x:v>42826</x:v>
      </x:c>
      <x:c r="B1293" s="13" t="str">
        <x:v>Utilities &amp; Energy</x:v>
      </x:c>
      <x:c r="C1293" s="16" t="n">
        <x:v>8744.0505670137</x:v>
      </x:c>
      <x:c r="D1293" s="16" t="n">
        <x:v>10520.9834227726</x:v>
      </x:c>
      <x:c r="E1293" s="16" t="n">
        <x:v>1776.9328557589</x:v>
      </x:c>
      <x:c r="F1293" s="23" t="n">
        <x:v>7</x:v>
      </x:c>
    </x:row>
    <x:row r="1294">
      <x:c r="A1294" s="15" t="n">
        <x:v>42856</x:v>
      </x:c>
      <x:c r="B1294" s="13" t="str">
        <x:v>Banks</x:v>
      </x:c>
      <x:c r="C1294" s="16" t="n">
        <x:v>80498.6657244932</x:v>
      </x:c>
      <x:c r="D1294" s="16" t="n">
        <x:v>82322.6493657425</x:v>
      </x:c>
      <x:c r="E1294" s="16" t="n">
        <x:v>1823.9836412493</x:v>
      </x:c>
      <x:c r="F1294" s="23" t="n">
        <x:v>5</x:v>
      </x:c>
    </x:row>
    <x:row r="1295">
      <x:c r="A1295" s="15" t="n">
        <x:v>42856</x:v>
      </x:c>
      <x:c r="B1295" s="13" t="str">
        <x:v>Capital Goods</x:v>
      </x:c>
      <x:c r="C1295" s="16" t="n">
        <x:v>2360.1330773918</x:v>
      </x:c>
      <x:c r="D1295" s="16" t="n">
        <x:v>2370.2276771069</x:v>
      </x:c>
      <x:c r="E1295" s="16" t="n">
        <x:v>10.0945997151</x:v>
      </x:c>
      <x:c r="F1295" s="23" t="n">
        <x:v>2</x:v>
      </x:c>
    </x:row>
    <x:row r="1296">
      <x:c r="A1296" s="15" t="n">
        <x:v>42856</x:v>
      </x:c>
      <x:c r="B1296" s="13" t="str">
        <x:v>Education</x:v>
      </x:c>
      <x:c r="C1296" s="16" t="n">
        <x:v>2702.9468512438</x:v>
      </x:c>
      <x:c r="D1296" s="16" t="n">
        <x:v>2672.871494926</x:v>
      </x:c>
      <x:c r="E1296" s="16" t="n">
        <x:v>-30.0753563178</x:v>
      </x:c>
      <x:c r="F1296" s="23" t="n">
        <x:v>2</x:v>
      </x:c>
    </x:row>
    <x:row r="1297">
      <x:c r="A1297" s="15" t="n">
        <x:v>42856</x:v>
      </x:c>
      <x:c r="B1297" s="13" t="str">
        <x:v>Financials Non-Banks</x:v>
      </x:c>
      <x:c r="C1297" s="16" t="n">
        <x:v>19488.2567031233</x:v>
      </x:c>
      <x:c r="D1297" s="16" t="n">
        <x:v>18729.0885751233</x:v>
      </x:c>
      <x:c r="E1297" s="16" t="n">
        <x:v>-759.168128</x:v>
      </x:c>
      <x:c r="F1297" s="23" t="n">
        <x:v>4</x:v>
      </x:c>
    </x:row>
    <x:row r="1298">
      <x:c r="A1298" s="15" t="n">
        <x:v>42856</x:v>
      </x:c>
      <x:c r="B1298" s="13" t="str">
        <x:v>Food &amp; Beverages</x:v>
      </x:c>
      <x:c r="C1298" s="16" t="n">
        <x:v>20163.0968282301</x:v>
      </x:c>
      <x:c r="D1298" s="16" t="n">
        <x:v>17875.7963123946</x:v>
      </x:c>
      <x:c r="E1298" s="16" t="n">
        <x:v>-2287.3005158356</x:v>
      </x:c>
      <x:c r="F1298" s="23" t="n">
        <x:v>4</x:v>
      </x:c>
    </x:row>
    <x:row r="1299">
      <x:c r="A1299" s="15" t="n">
        <x:v>42856</x:v>
      </x:c>
      <x:c r="B1299" s="13" t="str">
        <x:v>Health Care</x:v>
      </x:c>
      <x:c r="C1299" s="16" t="n">
        <x:v>1388.0782197479</x:v>
      </x:c>
      <x:c r="D1299" s="16" t="n">
        <x:v>1465.8490543342</x:v>
      </x:c>
      <x:c r="E1299" s="16" t="n">
        <x:v>77.7708345863</x:v>
      </x:c>
      <x:c r="F1299" s="23" t="n">
        <x:v>2</x:v>
      </x:c>
    </x:row>
    <x:row r="1300">
      <x:c r="A1300" s="15" t="n">
        <x:v>42856</x:v>
      </x:c>
      <x:c r="B1300" s="13" t="str">
        <x:v>Homebuilders</x:v>
      </x:c>
      <x:c r="C1300" s="16" t="n">
        <x:v>837.4010659945</x:v>
      </x:c>
      <x:c r="D1300" s="16" t="n">
        <x:v>905.3332790356</x:v>
      </x:c>
      <x:c r="E1300" s="16" t="n">
        <x:v>67.9322130411</x:v>
      </x:c>
      <x:c r="F1300" s="23" t="n">
        <x:v>2</x:v>
      </x:c>
    </x:row>
    <x:row r="1301">
      <x:c r="A1301" s="15" t="n">
        <x:v>42856</x:v>
      </x:c>
      <x:c r="B1301" s="13" t="str">
        <x:v>Income Properties</x:v>
      </x:c>
      <x:c r="C1301" s="16" t="n">
        <x:v>806.0020257315</x:v>
      </x:c>
      <x:c r="D1301" s="16" t="n">
        <x:v>872.3404747397</x:v>
      </x:c>
      <x:c r="E1301" s="16" t="n">
        <x:v>66.3384490082</x:v>
      </x:c>
      <x:c r="F1301" s="23" t="n">
        <x:v>2</x:v>
      </x:c>
    </x:row>
    <x:row r="1302">
      <x:c r="A1302" s="15" t="n">
        <x:v>42856</x:v>
      </x:c>
      <x:c r="B1302" s="13" t="str">
        <x:v>Metals &amp; Mining</x:v>
      </x:c>
      <x:c r="C1302" s="16" t="n">
        <x:v>19771.8959911671</x:v>
      </x:c>
      <x:c r="D1302" s="16" t="n">
        <x:v>23978.1937953315</x:v>
      </x:c>
      <x:c r="E1302" s="16" t="n">
        <x:v>4206.2978041644</x:v>
      </x:c>
      <x:c r="F1302" s="23" t="n">
        <x:v>6</x:v>
      </x:c>
    </x:row>
    <x:row r="1303">
      <x:c r="A1303" s="15" t="n">
        <x:v>42856</x:v>
      </x:c>
      <x:c r="B1303" s="13" t="str">
        <x:v>Oil, Gas &amp; Petrochemicals</x:v>
      </x:c>
      <x:c r="C1303" s="16" t="n">
        <x:v>23215.1048377864</x:v>
      </x:c>
      <x:c r="D1303" s="16" t="n">
        <x:v>24615.8679709808</x:v>
      </x:c>
      <x:c r="E1303" s="16" t="n">
        <x:v>1400.7631331945</x:v>
      </x:c>
      <x:c r="F1303" s="23" t="n">
        <x:v>4</x:v>
      </x:c>
    </x:row>
    <x:row r="1304">
      <x:c r="A1304" s="15" t="n">
        <x:v>42856</x:v>
      </x:c>
      <x:c r="B1304" s="13" t="str">
        <x:v>Pulp &amp; Paper</x:v>
      </x:c>
      <x:c r="C1304" s="16" t="n">
        <x:v>2044.7419562082</x:v>
      </x:c>
      <x:c r="D1304" s="16" t="n">
        <x:v>3005.4085179616</x:v>
      </x:c>
      <x:c r="E1304" s="16" t="n">
        <x:v>960.6665617534</x:v>
      </x:c>
      <x:c r="F1304" s="23" t="n">
        <x:v>3</x:v>
      </x:c>
    </x:row>
    <x:row r="1305">
      <x:c r="A1305" s="15" t="n">
        <x:v>42856</x:v>
      </x:c>
      <x:c r="B1305" s="13" t="str">
        <x:v>Retail</x:v>
      </x:c>
      <x:c r="C1305" s="16" t="n">
        <x:v>3059.146783737</x:v>
      </x:c>
      <x:c r="D1305" s="16" t="n">
        <x:v>3359.7618293479</x:v>
      </x:c>
      <x:c r="E1305" s="16" t="n">
        <x:v>300.615045611</x:v>
      </x:c>
      <x:c r="F1305" s="23" t="n">
        <x:v>5</x:v>
      </x:c>
    </x:row>
    <x:row r="1306">
      <x:c r="A1306" s="15" t="n">
        <x:v>42856</x:v>
      </x:c>
      <x:c r="B1306" s="13" t="str">
        <x:v>Sanitation</x:v>
      </x:c>
      <x:c r="C1306" s="16" t="n">
        <x:v>2484.2426592438</x:v>
      </x:c>
      <x:c r="D1306" s="16" t="n">
        <x:v>2754.2557169973</x:v>
      </x:c>
      <x:c r="E1306" s="16" t="n">
        <x:v>270.0130577534</x:v>
      </x:c>
      <x:c r="F1306" s="23" t="n">
        <x:v>1</x:v>
      </x:c>
    </x:row>
    <x:row r="1307">
      <x:c r="A1307" s="15" t="n">
        <x:v>42856</x:v>
      </x:c>
      <x:c r="B1307" s="13" t="str">
        <x:v>TMT</x:v>
      </x:c>
      <x:c r="C1307" s="16" t="n">
        <x:v>6144.3740261699</x:v>
      </x:c>
      <x:c r="D1307" s="16" t="n">
        <x:v>6508.2045324274</x:v>
      </x:c>
      <x:c r="E1307" s="16" t="n">
        <x:v>363.8305062575</x:v>
      </x:c>
      <x:c r="F1307" s="23" t="n">
        <x:v>2</x:v>
      </x:c>
    </x:row>
    <x:row r="1308">
      <x:c r="A1308" s="15" t="n">
        <x:v>42856</x:v>
      </x:c>
      <x:c r="B1308" s="13" t="str">
        <x:v>Transportation</x:v>
      </x:c>
      <x:c r="C1308" s="16" t="n">
        <x:v>2353.3595993425</x:v>
      </x:c>
      <x:c r="D1308" s="16" t="n">
        <x:v>2689.9655174137</x:v>
      </x:c>
      <x:c r="E1308" s="16" t="n">
        <x:v>336.6059180712</x:v>
      </x:c>
      <x:c r="F1308" s="23" t="n">
        <x:v>3</x:v>
      </x:c>
    </x:row>
    <x:row r="1309">
      <x:c r="A1309" s="15" t="n">
        <x:v>42856</x:v>
      </x:c>
      <x:c r="B1309" s="13" t="str">
        <x:v>Utilities &amp; Energy</x:v>
      </x:c>
      <x:c r="C1309" s="16" t="n">
        <x:v>10115.7710788383</x:v>
      </x:c>
      <x:c r="D1309" s="16" t="n">
        <x:v>9117.705325063</x:v>
      </x:c>
      <x:c r="E1309" s="16" t="n">
        <x:v>-998.0657537753</x:v>
      </x:c>
      <x:c r="F1309" s="23" t="n">
        <x:v>7</x:v>
      </x:c>
    </x:row>
    <x:row r="1310">
      <x:c r="A1310" s="15" t="n">
        <x:v>42887</x:v>
      </x:c>
      <x:c r="B1310" s="13" t="str">
        <x:v>Banks</x:v>
      </x:c>
      <x:c r="C1310" s="16" t="n">
        <x:v>81506.8847202192</x:v>
      </x:c>
      <x:c r="D1310" s="16" t="n">
        <x:v>83559.8155018521</x:v>
      </x:c>
      <x:c r="E1310" s="16" t="n">
        <x:v>2052.9307816329</x:v>
      </x:c>
      <x:c r="F1310" s="23" t="n">
        <x:v>5</x:v>
      </x:c>
    </x:row>
    <x:row r="1311">
      <x:c r="A1311" s="15" t="n">
        <x:v>42887</x:v>
      </x:c>
      <x:c r="B1311" s="13" t="str">
        <x:v>Capital Goods</x:v>
      </x:c>
      <x:c r="C1311" s="16" t="n">
        <x:v>2344.6013176986</x:v>
      </x:c>
      <x:c r="D1311" s="16" t="n">
        <x:v>2372.5378307507</x:v>
      </x:c>
      <x:c r="E1311" s="16" t="n">
        <x:v>27.9365130521</x:v>
      </x:c>
      <x:c r="F1311" s="23" t="n">
        <x:v>2</x:v>
      </x:c>
    </x:row>
    <x:row r="1312">
      <x:c r="A1312" s="15" t="n">
        <x:v>42887</x:v>
      </x:c>
      <x:c r="B1312" s="13" t="str">
        <x:v>Education</x:v>
      </x:c>
      <x:c r="C1312" s="16" t="n">
        <x:v>2661.6431075068</x:v>
      </x:c>
      <x:c r="D1312" s="16" t="n">
        <x:v>2654.3313073973</x:v>
      </x:c>
      <x:c r="E1312" s="16" t="n">
        <x:v>-7.3118001096</x:v>
      </x:c>
      <x:c r="F1312" s="23" t="n">
        <x:v>2</x:v>
      </x:c>
    </x:row>
    <x:row r="1313">
      <x:c r="A1313" s="15" t="n">
        <x:v>42887</x:v>
      </x:c>
      <x:c r="B1313" s="13" t="str">
        <x:v>Financials Non-Banks</x:v>
      </x:c>
      <x:c r="C1313" s="16" t="n">
        <x:v>19492.6773689863</x:v>
      </x:c>
      <x:c r="D1313" s="16" t="n">
        <x:v>18775.2055527452</x:v>
      </x:c>
      <x:c r="E1313" s="16" t="n">
        <x:v>-717.4718162411</x:v>
      </x:c>
      <x:c r="F1313" s="23" t="n">
        <x:v>4</x:v>
      </x:c>
    </x:row>
    <x:row r="1314">
      <x:c r="A1314" s="15" t="n">
        <x:v>42887</x:v>
      </x:c>
      <x:c r="B1314" s="13" t="str">
        <x:v>Food &amp; Beverages</x:v>
      </x:c>
      <x:c r="C1314" s="16" t="n">
        <x:v>19728.8931457534</x:v>
      </x:c>
      <x:c r="D1314" s="16" t="n">
        <x:v>18207.3805554849</x:v>
      </x:c>
      <x:c r="E1314" s="16" t="n">
        <x:v>-1521.5125902685</x:v>
      </x:c>
      <x:c r="F1314" s="23" t="n">
        <x:v>4</x:v>
      </x:c>
    </x:row>
    <x:row r="1315">
      <x:c r="A1315" s="15" t="n">
        <x:v>42887</x:v>
      </x:c>
      <x:c r="B1315" s="13" t="str">
        <x:v>Health Care</x:v>
      </x:c>
      <x:c r="C1315" s="16" t="n">
        <x:v>1399.4006890959</x:v>
      </x:c>
      <x:c r="D1315" s="16" t="n">
        <x:v>1483.1833035397</x:v>
      </x:c>
      <x:c r="E1315" s="16" t="n">
        <x:v>83.7826144438</x:v>
      </x:c>
      <x:c r="F1315" s="23" t="n">
        <x:v>2</x:v>
      </x:c>
    </x:row>
    <x:row r="1316">
      <x:c r="A1316" s="15" t="n">
        <x:v>42887</x:v>
      </x:c>
      <x:c r="B1316" s="13" t="str">
        <x:v>Homebuilders</x:v>
      </x:c>
      <x:c r="C1316" s="16" t="n">
        <x:v>867.0314167671</x:v>
      </x:c>
      <x:c r="D1316" s="16" t="n">
        <x:v>915.6733771397</x:v>
      </x:c>
      <x:c r="E1316" s="16" t="n">
        <x:v>48.6419603726</x:v>
      </x:c>
      <x:c r="F1316" s="23" t="n">
        <x:v>2</x:v>
      </x:c>
    </x:row>
    <x:row r="1317">
      <x:c r="A1317" s="15" t="n">
        <x:v>42887</x:v>
      </x:c>
      <x:c r="B1317" s="13" t="str">
        <x:v>Income Properties</x:v>
      </x:c>
      <x:c r="C1317" s="16" t="n">
        <x:v>834.2586047123</x:v>
      </x:c>
      <x:c r="D1317" s="16" t="n">
        <x:v>937.0564383562</x:v>
      </x:c>
      <x:c r="E1317" s="16" t="n">
        <x:v>102.7978336438</x:v>
      </x:c>
      <x:c r="F1317" s="23" t="n">
        <x:v>2</x:v>
      </x:c>
    </x:row>
    <x:row r="1318">
      <x:c r="A1318" s="15" t="n">
        <x:v>42887</x:v>
      </x:c>
      <x:c r="B1318" s="13" t="str">
        <x:v>Metals &amp; Mining</x:v>
      </x:c>
      <x:c r="C1318" s="16" t="n">
        <x:v>24663.8786448219</x:v>
      </x:c>
      <x:c r="D1318" s="16" t="n">
        <x:v>21995.0001305425</x:v>
      </x:c>
      <x:c r="E1318" s="16" t="n">
        <x:v>-2668.8785142794</x:v>
      </x:c>
      <x:c r="F1318" s="23" t="n">
        <x:v>6</x:v>
      </x:c>
    </x:row>
    <x:row r="1319">
      <x:c r="A1319" s="15" t="n">
        <x:v>42887</x:v>
      </x:c>
      <x:c r="B1319" s="13" t="str">
        <x:v>Oil, Gas &amp; Petrochemicals</x:v>
      </x:c>
      <x:c r="C1319" s="16" t="n">
        <x:v>22747.3523813699</x:v>
      </x:c>
      <x:c r="D1319" s="16" t="n">
        <x:v>23885.1441779726</x:v>
      </x:c>
      <x:c r="E1319" s="16" t="n">
        <x:v>1137.7917966027</x:v>
      </x:c>
      <x:c r="F1319" s="23" t="n">
        <x:v>4</x:v>
      </x:c>
    </x:row>
    <x:row r="1320">
      <x:c r="A1320" s="15" t="n">
        <x:v>42887</x:v>
      </x:c>
      <x:c r="B1320" s="13" t="str">
        <x:v>Pulp &amp; Paper</x:v>
      </x:c>
      <x:c r="C1320" s="16" t="n">
        <x:v>2326.9051484931</x:v>
      </x:c>
      <x:c r="D1320" s="16" t="n">
        <x:v>3536.4982422794</x:v>
      </x:c>
      <x:c r="E1320" s="16" t="n">
        <x:v>1209.5930937863</x:v>
      </x:c>
      <x:c r="F1320" s="23" t="n">
        <x:v>3</x:v>
      </x:c>
    </x:row>
    <x:row r="1321">
      <x:c r="A1321" s="15" t="n">
        <x:v>42887</x:v>
      </x:c>
      <x:c r="B1321" s="13" t="str">
        <x:v>Retail</x:v>
      </x:c>
      <x:c r="C1321" s="16" t="n">
        <x:v>3143.7498358356</x:v>
      </x:c>
      <x:c r="D1321" s="16" t="n">
        <x:v>3496.8044426521</x:v>
      </x:c>
      <x:c r="E1321" s="16" t="n">
        <x:v>353.0546068164</x:v>
      </x:c>
      <x:c r="F1321" s="23" t="n">
        <x:v>5</x:v>
      </x:c>
    </x:row>
    <x:row r="1322">
      <x:c r="A1322" s="15" t="n">
        <x:v>42887</x:v>
      </x:c>
      <x:c r="B1322" s="13" t="str">
        <x:v>Sanitation</x:v>
      </x:c>
      <x:c r="C1322" s="16" t="n">
        <x:v>2612.9301286575</x:v>
      </x:c>
      <x:c r="D1322" s="16" t="n">
        <x:v>2891.7506195288</x:v>
      </x:c>
      <x:c r="E1322" s="16" t="n">
        <x:v>278.8204908712</x:v>
      </x:c>
      <x:c r="F1322" s="23" t="n">
        <x:v>1</x:v>
      </x:c>
    </x:row>
    <x:row r="1323">
      <x:c r="A1323" s="15" t="n">
        <x:v>42887</x:v>
      </x:c>
      <x:c r="B1323" s="13" t="str">
        <x:v>TMT</x:v>
      </x:c>
      <x:c r="C1323" s="16" t="n">
        <x:v>6277.6531892603</x:v>
      </x:c>
      <x:c r="D1323" s="16" t="n">
        <x:v>6603.7034282082</x:v>
      </x:c>
      <x:c r="E1323" s="16" t="n">
        <x:v>326.0502389479</x:v>
      </x:c>
      <x:c r="F1323" s="23" t="n">
        <x:v>2</x:v>
      </x:c>
    </x:row>
    <x:row r="1324">
      <x:c r="A1324" s="15" t="n">
        <x:v>42887</x:v>
      </x:c>
      <x:c r="B1324" s="13" t="str">
        <x:v>Transportation</x:v>
      </x:c>
      <x:c r="C1324" s="16" t="n">
        <x:v>2661.5478257534</x:v>
      </x:c>
      <x:c r="D1324" s="16" t="n">
        <x:v>2879.9094624438</x:v>
      </x:c>
      <x:c r="E1324" s="16" t="n">
        <x:v>218.3616366904</x:v>
      </x:c>
      <x:c r="F1324" s="23" t="n">
        <x:v>4</x:v>
      </x:c>
    </x:row>
    <x:row r="1325">
      <x:c r="A1325" s="15" t="n">
        <x:v>42887</x:v>
      </x:c>
      <x:c r="B1325" s="13" t="str">
        <x:v>Utilities &amp; Energy</x:v>
      </x:c>
      <x:c r="C1325" s="16" t="n">
        <x:v>10747.3408946849</x:v>
      </x:c>
      <x:c r="D1325" s="16" t="n">
        <x:v>11526.1282977315</x:v>
      </x:c>
      <x:c r="E1325" s="16" t="n">
        <x:v>778.7874030466</x:v>
      </x:c>
      <x:c r="F1325" s="23" t="n">
        <x:v>7</x:v>
      </x:c>
    </x:row>
    <x:row r="1326">
      <x:c r="A1326" s="15" t="n">
        <x:v>42917</x:v>
      </x:c>
      <x:c r="B1326" s="13" t="str">
        <x:v>Banks</x:v>
      </x:c>
      <x:c r="C1326" s="16" t="n">
        <x:v>81692.9245871343</x:v>
      </x:c>
      <x:c r="D1326" s="16" t="n">
        <x:v>84484.106924537</x:v>
      </x:c>
      <x:c r="E1326" s="16" t="n">
        <x:v>2791.1823374027</x:v>
      </x:c>
      <x:c r="F1326" s="23" t="n">
        <x:v>5</x:v>
      </x:c>
    </x:row>
    <x:row r="1327">
      <x:c r="A1327" s="15" t="n">
        <x:v>42917</x:v>
      </x:c>
      <x:c r="B1327" s="13" t="str">
        <x:v>Capital Goods</x:v>
      </x:c>
      <x:c r="C1327" s="16" t="n">
        <x:v>2406.8199122411</x:v>
      </x:c>
      <x:c r="D1327" s="16" t="n">
        <x:v>2409.0997602192</x:v>
      </x:c>
      <x:c r="E1327" s="16" t="n">
        <x:v>2.2798479781</x:v>
      </x:c>
      <x:c r="F1327" s="23" t="n">
        <x:v>2</x:v>
      </x:c>
    </x:row>
    <x:row r="1328">
      <x:c r="A1328" s="15" t="n">
        <x:v>42917</x:v>
      </x:c>
      <x:c r="B1328" s="13" t="str">
        <x:v>Education</x:v>
      </x:c>
      <x:c r="C1328" s="16" t="n">
        <x:v>2617.4265969973</x:v>
      </x:c>
      <x:c r="D1328" s="16" t="n">
        <x:v>2684.0290283836</x:v>
      </x:c>
      <x:c r="E1328" s="16" t="n">
        <x:v>66.6024313863</x:v>
      </x:c>
      <x:c r="F1328" s="23" t="n">
        <x:v>2</x:v>
      </x:c>
    </x:row>
    <x:row r="1329">
      <x:c r="A1329" s="15" t="n">
        <x:v>42917</x:v>
      </x:c>
      <x:c r="B1329" s="13" t="str">
        <x:v>Financials Non-Banks</x:v>
      </x:c>
      <x:c r="C1329" s="16" t="n">
        <x:v>19191.2280053479</x:v>
      </x:c>
      <x:c r="D1329" s="16" t="n">
        <x:v>19009.876140537</x:v>
      </x:c>
      <x:c r="E1329" s="16" t="n">
        <x:v>-181.351864811</x:v>
      </x:c>
      <x:c r="F1329" s="23" t="n">
        <x:v>4</x:v>
      </x:c>
    </x:row>
    <x:row r="1330">
      <x:c r="A1330" s="15" t="n">
        <x:v>42917</x:v>
      </x:c>
      <x:c r="B1330" s="13" t="str">
        <x:v>Food &amp; Beverages</x:v>
      </x:c>
      <x:c r="C1330" s="16" t="n">
        <x:v>19221.8973971288</x:v>
      </x:c>
      <x:c r="D1330" s="16" t="n">
        <x:v>17560.2526816438</x:v>
      </x:c>
      <x:c r="E1330" s="16" t="n">
        <x:v>-1661.6447154849</x:v>
      </x:c>
      <x:c r="F1330" s="23" t="n">
        <x:v>4</x:v>
      </x:c>
    </x:row>
    <x:row r="1331">
      <x:c r="A1331" s="15" t="n">
        <x:v>42917</x:v>
      </x:c>
      <x:c r="B1331" s="13" t="str">
        <x:v>Health Care</x:v>
      </x:c>
      <x:c r="C1331" s="16" t="n">
        <x:v>1416.3807314411</x:v>
      </x:c>
      <x:c r="D1331" s="16" t="n">
        <x:v>1504.908639211</x:v>
      </x:c>
      <x:c r="E1331" s="16" t="n">
        <x:v>88.5279077699</x:v>
      </x:c>
      <x:c r="F1331" s="23" t="n">
        <x:v>2</x:v>
      </x:c>
    </x:row>
    <x:row r="1332">
      <x:c r="A1332" s="15" t="n">
        <x:v>42917</x:v>
      </x:c>
      <x:c r="B1332" s="13" t="str">
        <x:v>Homebuilders</x:v>
      </x:c>
      <x:c r="C1332" s="16" t="n">
        <x:v>892.2962001534</x:v>
      </x:c>
      <x:c r="D1332" s="16" t="n">
        <x:v>869.2578392329</x:v>
      </x:c>
      <x:c r="E1332" s="16" t="n">
        <x:v>-23.0383609205</x:v>
      </x:c>
      <x:c r="F1332" s="23" t="n">
        <x:v>2</x:v>
      </x:c>
    </x:row>
    <x:row r="1333">
      <x:c r="A1333" s="15" t="n">
        <x:v>42917</x:v>
      </x:c>
      <x:c r="B1333" s="13" t="str">
        <x:v>Income Properties</x:v>
      </x:c>
      <x:c r="C1333" s="16" t="n">
        <x:v>849.3743346849</x:v>
      </x:c>
      <x:c r="D1333" s="16" t="n">
        <x:v>970.9616624219</x:v>
      </x:c>
      <x:c r="E1333" s="16" t="n">
        <x:v>121.587327737</x:v>
      </x:c>
      <x:c r="F1333" s="23" t="n">
        <x:v>2</x:v>
      </x:c>
    </x:row>
    <x:row r="1334">
      <x:c r="A1334" s="15" t="n">
        <x:v>42917</x:v>
      </x:c>
      <x:c r="B1334" s="13" t="str">
        <x:v>Metals &amp; Mining</x:v>
      </x:c>
      <x:c r="C1334" s="16" t="n">
        <x:v>23669.3037387397</x:v>
      </x:c>
      <x:c r="D1334" s="16" t="n">
        <x:v>20643.6932533479</x:v>
      </x:c>
      <x:c r="E1334" s="16" t="n">
        <x:v>-3025.6104853918</x:v>
      </x:c>
      <x:c r="F1334" s="23" t="n">
        <x:v>6</x:v>
      </x:c>
    </x:row>
    <x:row r="1335">
      <x:c r="A1335" s="15" t="n">
        <x:v>42917</x:v>
      </x:c>
      <x:c r="B1335" s="13" t="str">
        <x:v>Oil, Gas &amp; Petrochemicals</x:v>
      </x:c>
      <x:c r="C1335" s="16" t="n">
        <x:v>21013.271897074</x:v>
      </x:c>
      <x:c r="D1335" s="16" t="n">
        <x:v>24521.454693348</x:v>
      </x:c>
      <x:c r="E1335" s="16" t="n">
        <x:v>3508.182796274</x:v>
      </x:c>
      <x:c r="F1335" s="23" t="n">
        <x:v>4</x:v>
      </x:c>
    </x:row>
    <x:row r="1336">
      <x:c r="A1336" s="15" t="n">
        <x:v>42917</x:v>
      </x:c>
      <x:c r="B1336" s="13" t="str">
        <x:v>Pulp &amp; Paper</x:v>
      </x:c>
      <x:c r="C1336" s="16" t="n">
        <x:v>2701.7439312658</x:v>
      </x:c>
      <x:c r="D1336" s="16" t="n">
        <x:v>3653.9497440438</x:v>
      </x:c>
      <x:c r="E1336" s="16" t="n">
        <x:v>952.2058127781</x:v>
      </x:c>
      <x:c r="F1336" s="23" t="n">
        <x:v>3</x:v>
      </x:c>
    </x:row>
    <x:row r="1337">
      <x:c r="A1337" s="15" t="n">
        <x:v>42917</x:v>
      </x:c>
      <x:c r="B1337" s="13" t="str">
        <x:v>Retail</x:v>
      </x:c>
      <x:c r="C1337" s="16" t="n">
        <x:v>3230.0862125589</x:v>
      </x:c>
      <x:c r="D1337" s="16" t="n">
        <x:v>3557.4253853808</x:v>
      </x:c>
      <x:c r="E1337" s="16" t="n">
        <x:v>327.3391728219</x:v>
      </x:c>
      <x:c r="F1337" s="23" t="n">
        <x:v>5</x:v>
      </x:c>
    </x:row>
    <x:row r="1338">
      <x:c r="A1338" s="15" t="n">
        <x:v>42917</x:v>
      </x:c>
      <x:c r="B1338" s="13" t="str">
        <x:v>Sanitation</x:v>
      </x:c>
      <x:c r="C1338" s="16" t="n">
        <x:v>2747.7270962849</x:v>
      </x:c>
      <x:c r="D1338" s="16" t="n">
        <x:v>2830.5405489096</x:v>
      </x:c>
      <x:c r="E1338" s="16" t="n">
        <x:v>82.8134526247</x:v>
      </x:c>
      <x:c r="F1338" s="23" t="n">
        <x:v>1</x:v>
      </x:c>
    </x:row>
    <x:row r="1339">
      <x:c r="A1339" s="15" t="n">
        <x:v>42917</x:v>
      </x:c>
      <x:c r="B1339" s="13" t="str">
        <x:v>TMT</x:v>
      </x:c>
      <x:c r="C1339" s="16" t="n">
        <x:v>6911.661126137</x:v>
      </x:c>
      <x:c r="D1339" s="16" t="n">
        <x:v>7227.816236537</x:v>
      </x:c>
      <x:c r="E1339" s="16" t="n">
        <x:v>316.1551104</x:v>
      </x:c>
      <x:c r="F1339" s="23" t="n">
        <x:v>3</x:v>
      </x:c>
    </x:row>
    <x:row r="1340">
      <x:c r="A1340" s="15" t="n">
        <x:v>42917</x:v>
      </x:c>
      <x:c r="B1340" s="13" t="str">
        <x:v>Transportation</x:v>
      </x:c>
      <x:c r="C1340" s="16" t="n">
        <x:v>2719.5917486466</x:v>
      </x:c>
      <x:c r="D1340" s="16" t="n">
        <x:v>3049.9779630904</x:v>
      </x:c>
      <x:c r="E1340" s="16" t="n">
        <x:v>330.3862144438</x:v>
      </x:c>
      <x:c r="F1340" s="23" t="n">
        <x:v>4</x:v>
      </x:c>
    </x:row>
    <x:row r="1341">
      <x:c r="A1341" s="15" t="n">
        <x:v>42917</x:v>
      </x:c>
      <x:c r="B1341" s="13" t="str">
        <x:v>Utilities &amp; Energy</x:v>
      </x:c>
      <x:c r="C1341" s="16" t="n">
        <x:v>10520.9834227726</x:v>
      </x:c>
      <x:c r="D1341" s="16" t="n">
        <x:v>11341.6525638137</x:v>
      </x:c>
      <x:c r="E1341" s="16" t="n">
        <x:v>820.6691410411</x:v>
      </x:c>
      <x:c r="F1341" s="23" t="n">
        <x:v>7</x:v>
      </x:c>
    </x:row>
    <x:row r="1342">
      <x:c r="A1342" s="15" t="n">
        <x:v>42948</x:v>
      </x:c>
      <x:c r="B1342" s="13" t="str">
        <x:v>Banks</x:v>
      </x:c>
      <x:c r="C1342" s="16" t="n">
        <x:v>82322.6493657425</x:v>
      </x:c>
      <x:c r="D1342" s="16" t="n">
        <x:v>85472.2934587615</x:v>
      </x:c>
      <x:c r="E1342" s="16" t="n">
        <x:v>3149.6440930191</x:v>
      </x:c>
      <x:c r="F1342" s="23" t="n">
        <x:v>5</x:v>
      </x:c>
    </x:row>
    <x:row r="1343">
      <x:c r="A1343" s="15" t="n">
        <x:v>42948</x:v>
      </x:c>
      <x:c r="B1343" s="13" t="str">
        <x:v>Capital Goods</x:v>
      </x:c>
      <x:c r="C1343" s="16" t="n">
        <x:v>2370.2276771069</x:v>
      </x:c>
      <x:c r="D1343" s="16" t="n">
        <x:v>2325.6995871562</x:v>
      </x:c>
      <x:c r="E1343" s="16" t="n">
        <x:v>-44.5280899507</x:v>
      </x:c>
      <x:c r="F1343" s="23" t="n">
        <x:v>2</x:v>
      </x:c>
    </x:row>
    <x:row r="1344">
      <x:c r="A1344" s="15" t="n">
        <x:v>42948</x:v>
      </x:c>
      <x:c r="B1344" s="13" t="str">
        <x:v>Education</x:v>
      </x:c>
      <x:c r="C1344" s="16" t="n">
        <x:v>2672.871494926</x:v>
      </x:c>
      <x:c r="D1344" s="16" t="n">
        <x:v>2804.0540417753</x:v>
      </x:c>
      <x:c r="E1344" s="16" t="n">
        <x:v>131.1825468493</x:v>
      </x:c>
      <x:c r="F1344" s="23" t="n">
        <x:v>2</x:v>
      </x:c>
    </x:row>
    <x:row r="1345">
      <x:c r="A1345" s="15" t="n">
        <x:v>42948</x:v>
      </x:c>
      <x:c r="B1345" s="13" t="str">
        <x:v>Financials Non-Banks</x:v>
      </x:c>
      <x:c r="C1345" s="16" t="n">
        <x:v>18729.0885751233</x:v>
      </x:c>
      <x:c r="D1345" s="16" t="n">
        <x:v>18970.6597046356</x:v>
      </x:c>
      <x:c r="E1345" s="16" t="n">
        <x:v>241.5711295123</x:v>
      </x:c>
      <x:c r="F1345" s="23" t="n">
        <x:v>4</x:v>
      </x:c>
    </x:row>
    <x:row r="1346">
      <x:c r="A1346" s="15" t="n">
        <x:v>42948</x:v>
      </x:c>
      <x:c r="B1346" s="13" t="str">
        <x:v>Food &amp; Beverages</x:v>
      </x:c>
      <x:c r="C1346" s="16" t="n">
        <x:v>17875.7963123946</x:v>
      </x:c>
      <x:c r="D1346" s="16" t="n">
        <x:v>17710.6977565808</x:v>
      </x:c>
      <x:c r="E1346" s="16" t="n">
        <x:v>-165.0985558137</x:v>
      </x:c>
      <x:c r="F1346" s="23" t="n">
        <x:v>4</x:v>
      </x:c>
    </x:row>
    <x:row r="1347">
      <x:c r="A1347" s="15" t="n">
        <x:v>42948</x:v>
      </x:c>
      <x:c r="B1347" s="13" t="str">
        <x:v>Health Care</x:v>
      </x:c>
      <x:c r="C1347" s="16" t="n">
        <x:v>1465.8490543342</x:v>
      </x:c>
      <x:c r="D1347" s="16" t="n">
        <x:v>1551.1794356603</x:v>
      </x:c>
      <x:c r="E1347" s="16" t="n">
        <x:v>85.330381326</x:v>
      </x:c>
      <x:c r="F1347" s="23" t="n">
        <x:v>2</x:v>
      </x:c>
    </x:row>
    <x:row r="1348">
      <x:c r="A1348" s="15" t="n">
        <x:v>42948</x:v>
      </x:c>
      <x:c r="B1348" s="13" t="str">
        <x:v>Homebuilders</x:v>
      </x:c>
      <x:c r="C1348" s="16" t="n">
        <x:v>905.3332790356</x:v>
      </x:c>
      <x:c r="D1348" s="16" t="n">
        <x:v>889.5138103671</x:v>
      </x:c>
      <x:c r="E1348" s="16" t="n">
        <x:v>-15.8194686685</x:v>
      </x:c>
      <x:c r="F1348" s="23" t="n">
        <x:v>2</x:v>
      </x:c>
    </x:row>
    <x:row r="1349">
      <x:c r="A1349" s="15" t="n">
        <x:v>42948</x:v>
      </x:c>
      <x:c r="B1349" s="13" t="str">
        <x:v>Income Properties</x:v>
      </x:c>
      <x:c r="C1349" s="16" t="n">
        <x:v>872.3404747397</x:v>
      </x:c>
      <x:c r="D1349" s="16" t="n">
        <x:v>997.7168767123</x:v>
      </x:c>
      <x:c r="E1349" s="16" t="n">
        <x:v>125.3764019726</x:v>
      </x:c>
      <x:c r="F1349" s="23" t="n">
        <x:v>2</x:v>
      </x:c>
    </x:row>
    <x:row r="1350">
      <x:c r="A1350" s="15" t="n">
        <x:v>42948</x:v>
      </x:c>
      <x:c r="B1350" s="13" t="str">
        <x:v>Metals &amp; Mining</x:v>
      </x:c>
      <x:c r="C1350" s="16" t="n">
        <x:v>23978.1937953315</x:v>
      </x:c>
      <x:c r="D1350" s="16" t="n">
        <x:v>21132.211902378</x:v>
      </x:c>
      <x:c r="E1350" s="16" t="n">
        <x:v>-2845.9818929535</x:v>
      </x:c>
      <x:c r="F1350" s="23" t="n">
        <x:v>6</x:v>
      </x:c>
    </x:row>
    <x:row r="1351">
      <x:c r="A1351" s="15" t="n">
        <x:v>42948</x:v>
      </x:c>
      <x:c r="B1351" s="13" t="str">
        <x:v>Oil, Gas &amp; Petrochemicals</x:v>
      </x:c>
      <x:c r="C1351" s="16" t="n">
        <x:v>24615.8679709808</x:v>
      </x:c>
      <x:c r="D1351" s="16" t="n">
        <x:v>23163.1421485589</x:v>
      </x:c>
      <x:c r="E1351" s="16" t="n">
        <x:v>-1452.7258224219</x:v>
      </x:c>
      <x:c r="F1351" s="23" t="n">
        <x:v>4</x:v>
      </x:c>
    </x:row>
    <x:row r="1352">
      <x:c r="A1352" s="15" t="n">
        <x:v>42948</x:v>
      </x:c>
      <x:c r="B1352" s="13" t="str">
        <x:v>Pulp &amp; Paper</x:v>
      </x:c>
      <x:c r="C1352" s="16" t="n">
        <x:v>3005.4085179616</x:v>
      </x:c>
      <x:c r="D1352" s="16" t="n">
        <x:v>3967.3291313096</x:v>
      </x:c>
      <x:c r="E1352" s="16" t="n">
        <x:v>961.920613348</x:v>
      </x:c>
      <x:c r="F1352" s="23" t="n">
        <x:v>3</x:v>
      </x:c>
    </x:row>
    <x:row r="1353">
      <x:c r="A1353" s="15" t="n">
        <x:v>42948</x:v>
      </x:c>
      <x:c r="B1353" s="13" t="str">
        <x:v>Retail</x:v>
      </x:c>
      <x:c r="C1353" s="16" t="n">
        <x:v>3359.7618293479</x:v>
      </x:c>
      <x:c r="D1353" s="16" t="n">
        <x:v>3621.2483359562</x:v>
      </x:c>
      <x:c r="E1353" s="16" t="n">
        <x:v>261.4865066082</x:v>
      </x:c>
      <x:c r="F1353" s="23" t="n">
        <x:v>5</x:v>
      </x:c>
    </x:row>
    <x:row r="1354">
      <x:c r="A1354" s="15" t="n">
        <x:v>42948</x:v>
      </x:c>
      <x:c r="B1354" s="13" t="str">
        <x:v>Sanitation</x:v>
      </x:c>
      <x:c r="C1354" s="16" t="n">
        <x:v>2754.2557169973</x:v>
      </x:c>
      <x:c r="D1354" s="16" t="n">
        <x:v>2802.7355844384</x:v>
      </x:c>
      <x:c r="E1354" s="16" t="n">
        <x:v>48.4798674411</x:v>
      </x:c>
      <x:c r="F1354" s="23" t="n">
        <x:v>1</x:v>
      </x:c>
    </x:row>
    <x:row r="1355">
      <x:c r="A1355" s="15" t="n">
        <x:v>42948</x:v>
      </x:c>
      <x:c r="B1355" s="13" t="str">
        <x:v>TMT</x:v>
      </x:c>
      <x:c r="C1355" s="16" t="n">
        <x:v>7085.1092753534</x:v>
      </x:c>
      <x:c r="D1355" s="16" t="n">
        <x:v>7342.9442479342</x:v>
      </x:c>
      <x:c r="E1355" s="16" t="n">
        <x:v>257.8349725808</x:v>
      </x:c>
      <x:c r="F1355" s="23" t="n">
        <x:v>3</x:v>
      </x:c>
    </x:row>
    <x:row r="1356">
      <x:c r="A1356" s="15" t="n">
        <x:v>42948</x:v>
      </x:c>
      <x:c r="B1356" s="13" t="str">
        <x:v>Transportation</x:v>
      </x:c>
      <x:c r="C1356" s="16" t="n">
        <x:v>2810.0525568658</x:v>
      </x:c>
      <x:c r="D1356" s="16" t="n">
        <x:v>3102.2912961753</x:v>
      </x:c>
      <x:c r="E1356" s="16" t="n">
        <x:v>292.2387393096</x:v>
      </x:c>
      <x:c r="F1356" s="23" t="n">
        <x:v>4</x:v>
      </x:c>
    </x:row>
    <x:row r="1357">
      <x:c r="A1357" s="15" t="n">
        <x:v>42948</x:v>
      </x:c>
      <x:c r="B1357" s="13" t="str">
        <x:v>Utilities &amp; Energy</x:v>
      </x:c>
      <x:c r="C1357" s="16" t="n">
        <x:v>10606.6011889973</x:v>
      </x:c>
      <x:c r="D1357" s="16" t="n">
        <x:v>15369.8661141041</x:v>
      </x:c>
      <x:c r="E1357" s="16" t="n">
        <x:v>4763.2649251068</x:v>
      </x:c>
      <x:c r="F1357" s="23" t="n">
        <x:v>8</x:v>
      </x:c>
    </x:row>
    <x:row r="1358">
      <x:c r="A1358" s="15" t="n">
        <x:v>42979</x:v>
      </x:c>
      <x:c r="B1358" s="13" t="str">
        <x:v>Banks</x:v>
      </x:c>
      <x:c r="C1358" s="16" t="n">
        <x:v>83559.8155018521</x:v>
      </x:c>
      <x:c r="D1358" s="16" t="n">
        <x:v>84358.0175794848</x:v>
      </x:c>
      <x:c r="E1358" s="16" t="n">
        <x:v>798.2020776328</x:v>
      </x:c>
      <x:c r="F1358" s="23" t="n">
        <x:v>5</x:v>
      </x:c>
    </x:row>
    <x:row r="1359">
      <x:c r="A1359" s="15" t="n">
        <x:v>42979</x:v>
      </x:c>
      <x:c r="B1359" s="13" t="str">
        <x:v>Capital Goods</x:v>
      </x:c>
      <x:c r="C1359" s="16" t="n">
        <x:v>2372.5378307507</x:v>
      </x:c>
      <x:c r="D1359" s="16" t="n">
        <x:v>2320.0854538521</x:v>
      </x:c>
      <x:c r="E1359" s="16" t="n">
        <x:v>-52.4523768986</x:v>
      </x:c>
      <x:c r="F1359" s="23" t="n">
        <x:v>2</x:v>
      </x:c>
    </x:row>
    <x:row r="1360">
      <x:c r="A1360" s="15" t="n">
        <x:v>42979</x:v>
      </x:c>
      <x:c r="B1360" s="13" t="str">
        <x:v>Education</x:v>
      </x:c>
      <x:c r="C1360" s="16" t="n">
        <x:v>2654.3313073973</x:v>
      </x:c>
      <x:c r="D1360" s="16" t="n">
        <x:v>2825.2754853699</x:v>
      </x:c>
      <x:c r="E1360" s="16" t="n">
        <x:v>170.9441779726</x:v>
      </x:c>
      <x:c r="F1360" s="23" t="n">
        <x:v>2</x:v>
      </x:c>
    </x:row>
    <x:row r="1361">
      <x:c r="A1361" s="15" t="n">
        <x:v>42979</x:v>
      </x:c>
      <x:c r="B1361" s="13" t="str">
        <x:v>Financials Non-Banks</x:v>
      </x:c>
      <x:c r="C1361" s="16" t="n">
        <x:v>18775.2055527452</x:v>
      </x:c>
      <x:c r="D1361" s="16" t="n">
        <x:v>19091.6166147507</x:v>
      </x:c>
      <x:c r="E1361" s="16" t="n">
        <x:v>316.4110620055</x:v>
      </x:c>
      <x:c r="F1361" s="23" t="n">
        <x:v>4</x:v>
      </x:c>
    </x:row>
    <x:row r="1362">
      <x:c r="A1362" s="15" t="n">
        <x:v>42979</x:v>
      </x:c>
      <x:c r="B1362" s="13" t="str">
        <x:v>Food &amp; Beverages</x:v>
      </x:c>
      <x:c r="C1362" s="16" t="n">
        <x:v>18207.3805554849</x:v>
      </x:c>
      <x:c r="D1362" s="16" t="n">
        <x:v>18052.6277172603</x:v>
      </x:c>
      <x:c r="E1362" s="16" t="n">
        <x:v>-154.7528382246</x:v>
      </x:c>
      <x:c r="F1362" s="23" t="n">
        <x:v>4</x:v>
      </x:c>
    </x:row>
    <x:row r="1363">
      <x:c r="A1363" s="15" t="n">
        <x:v>42979</x:v>
      </x:c>
      <x:c r="B1363" s="13" t="str">
        <x:v>Health Care</x:v>
      </x:c>
      <x:c r="C1363" s="16" t="n">
        <x:v>1483.1833035397</x:v>
      </x:c>
      <x:c r="D1363" s="16" t="n">
        <x:v>1527.0033115178</x:v>
      </x:c>
      <x:c r="E1363" s="16" t="n">
        <x:v>43.8200079781</x:v>
      </x:c>
      <x:c r="F1363" s="23" t="n">
        <x:v>2</x:v>
      </x:c>
    </x:row>
    <x:row r="1364">
      <x:c r="A1364" s="15" t="n">
        <x:v>42979</x:v>
      </x:c>
      <x:c r="B1364" s="13" t="str">
        <x:v>Homebuilders</x:v>
      </x:c>
      <x:c r="C1364" s="16" t="n">
        <x:v>915.6733771397</x:v>
      </x:c>
      <x:c r="D1364" s="16" t="n">
        <x:v>857.7354111123</x:v>
      </x:c>
      <x:c r="E1364" s="16" t="n">
        <x:v>-57.9379660274</x:v>
      </x:c>
      <x:c r="F1364" s="23" t="n">
        <x:v>2</x:v>
      </x:c>
    </x:row>
    <x:row r="1365">
      <x:c r="A1365" s="15" t="n">
        <x:v>42979</x:v>
      </x:c>
      <x:c r="B1365" s="13" t="str">
        <x:v>Income Properties</x:v>
      </x:c>
      <x:c r="C1365" s="16" t="n">
        <x:v>937.0564383562</x:v>
      </x:c>
      <x:c r="D1365" s="16" t="n">
        <x:v>991.2982837479</x:v>
      </x:c>
      <x:c r="E1365" s="16" t="n">
        <x:v>54.2418453918</x:v>
      </x:c>
      <x:c r="F1365" s="23" t="n">
        <x:v>2</x:v>
      </x:c>
    </x:row>
    <x:row r="1366">
      <x:c r="A1366" s="15" t="n">
        <x:v>42979</x:v>
      </x:c>
      <x:c r="B1366" s="13" t="str">
        <x:v>Metals &amp; Mining</x:v>
      </x:c>
      <x:c r="C1366" s="16" t="n">
        <x:v>21995.0001305425</x:v>
      </x:c>
      <x:c r="D1366" s="16" t="n">
        <x:v>22000.8638512657</x:v>
      </x:c>
      <x:c r="E1366" s="16" t="n">
        <x:v>5.8637207232</x:v>
      </x:c>
      <x:c r="F1366" s="23" t="n">
        <x:v>6</x:v>
      </x:c>
    </x:row>
    <x:row r="1367">
      <x:c r="A1367" s="15" t="n">
        <x:v>42979</x:v>
      </x:c>
      <x:c r="B1367" s="13" t="str">
        <x:v>Oil, Gas &amp; Petrochemicals</x:v>
      </x:c>
      <x:c r="C1367" s="16" t="n">
        <x:v>23885.1441779726</x:v>
      </x:c>
      <x:c r="D1367" s="16" t="n">
        <x:v>22597.5223713315</x:v>
      </x:c>
      <x:c r="E1367" s="16" t="n">
        <x:v>-1287.6218066411</x:v>
      </x:c>
      <x:c r="F1367" s="23" t="n">
        <x:v>4</x:v>
      </x:c>
    </x:row>
    <x:row r="1368">
      <x:c r="A1368" s="15" t="n">
        <x:v>42979</x:v>
      </x:c>
      <x:c r="B1368" s="13" t="str">
        <x:v>Pulp &amp; Paper</x:v>
      </x:c>
      <x:c r="C1368" s="16" t="n">
        <x:v>3536.4982422794</x:v>
      </x:c>
      <x:c r="D1368" s="16" t="n">
        <x:v>4545.5509272548</x:v>
      </x:c>
      <x:c r="E1368" s="16" t="n">
        <x:v>1009.0526849753</x:v>
      </x:c>
      <x:c r="F1368" s="23" t="n">
        <x:v>3</x:v>
      </x:c>
    </x:row>
    <x:row r="1369">
      <x:c r="A1369" s="15" t="n">
        <x:v>42979</x:v>
      </x:c>
      <x:c r="B1369" s="13" t="str">
        <x:v>Retail</x:v>
      </x:c>
      <x:c r="C1369" s="16" t="n">
        <x:v>3496.8044426521</x:v>
      </x:c>
      <x:c r="D1369" s="16" t="n">
        <x:v>3697.2407368767</x:v>
      </x:c>
      <x:c r="E1369" s="16" t="n">
        <x:v>200.4362942247</x:v>
      </x:c>
      <x:c r="F1369" s="23" t="n">
        <x:v>5</x:v>
      </x:c>
    </x:row>
    <x:row r="1370">
      <x:c r="A1370" s="15" t="n">
        <x:v>42979</x:v>
      </x:c>
      <x:c r="B1370" s="13" t="str">
        <x:v>Sanitation</x:v>
      </x:c>
      <x:c r="C1370" s="16" t="n">
        <x:v>2891.7506195288</x:v>
      </x:c>
      <x:c r="D1370" s="16" t="n">
        <x:v>2840.2369543014</x:v>
      </x:c>
      <x:c r="E1370" s="16" t="n">
        <x:v>-51.5136652274</x:v>
      </x:c>
      <x:c r="F1370" s="23" t="n">
        <x:v>1</x:v>
      </x:c>
    </x:row>
    <x:row r="1371">
      <x:c r="A1371" s="15" t="n">
        <x:v>42979</x:v>
      </x:c>
      <x:c r="B1371" s="13" t="str">
        <x:v>TMT</x:v>
      </x:c>
      <x:c r="C1371" s="16" t="n">
        <x:v>7189.8190446466</x:v>
      </x:c>
      <x:c r="D1371" s="16" t="n">
        <x:v>7332.3325543452</x:v>
      </x:c>
      <x:c r="E1371" s="16" t="n">
        <x:v>142.5135096986</x:v>
      </x:c>
      <x:c r="F1371" s="23" t="n">
        <x:v>3</x:v>
      </x:c>
    </x:row>
    <x:row r="1372">
      <x:c r="A1372" s="15" t="n">
        <x:v>42979</x:v>
      </x:c>
      <x:c r="B1372" s="13" t="str">
        <x:v>Transportation</x:v>
      </x:c>
      <x:c r="C1372" s="16" t="n">
        <x:v>2879.9094624438</x:v>
      </x:c>
      <x:c r="D1372" s="16" t="n">
        <x:v>3135.9699989041</x:v>
      </x:c>
      <x:c r="E1372" s="16" t="n">
        <x:v>256.0605364603</x:v>
      </x:c>
      <x:c r="F1372" s="23" t="n">
        <x:v>4</x:v>
      </x:c>
    </x:row>
    <x:row r="1373">
      <x:c r="A1373" s="15" t="n">
        <x:v>42979</x:v>
      </x:c>
      <x:c r="B1373" s="13" t="str">
        <x:v>Utilities &amp; Energy</x:v>
      </x:c>
      <x:c r="C1373" s="16" t="n">
        <x:v>15450.4570487233</x:v>
      </x:c>
      <x:c r="D1373" s="16" t="n">
        <x:v>15795.0434235616</x:v>
      </x:c>
      <x:c r="E1373" s="16" t="n">
        <x:v>344.5863748384</x:v>
      </x:c>
      <x:c r="F1373" s="23" t="n">
        <x:v>8</x:v>
      </x:c>
    </x:row>
    <x:row r="1374">
      <x:c r="A1374" s="15" t="n">
        <x:v>43009</x:v>
      </x:c>
      <x:c r="B1374" s="13" t="str">
        <x:v>Banks</x:v>
      </x:c>
      <x:c r="C1374" s="16" t="n">
        <x:v>84484.106924537</x:v>
      </x:c>
      <x:c r="D1374" s="16" t="n">
        <x:v>86383.3775959672</x:v>
      </x:c>
      <x:c r="E1374" s="16" t="n">
        <x:v>1899.2706714302</x:v>
      </x:c>
      <x:c r="F1374" s="23" t="n">
        <x:v>5</x:v>
      </x:c>
    </x:row>
    <x:row r="1375">
      <x:c r="A1375" s="15" t="n">
        <x:v>43009</x:v>
      </x:c>
      <x:c r="B1375" s="13" t="str">
        <x:v>Capital Goods</x:v>
      </x:c>
      <x:c r="C1375" s="16" t="n">
        <x:v>2409.0997602192</x:v>
      </x:c>
      <x:c r="D1375" s="16" t="n">
        <x:v>2150.5547958356</x:v>
      </x:c>
      <x:c r="E1375" s="16" t="n">
        <x:v>-258.5449643836</x:v>
      </x:c>
      <x:c r="F1375" s="23" t="n">
        <x:v>2</x:v>
      </x:c>
    </x:row>
    <x:row r="1376">
      <x:c r="A1376" s="15" t="n">
        <x:v>43009</x:v>
      </x:c>
      <x:c r="B1376" s="13" t="str">
        <x:v>Education</x:v>
      </x:c>
      <x:c r="C1376" s="16" t="n">
        <x:v>2684.0290283836</x:v>
      </x:c>
      <x:c r="D1376" s="16" t="n">
        <x:v>2871.5288183233</x:v>
      </x:c>
      <x:c r="E1376" s="16" t="n">
        <x:v>187.4997899397</x:v>
      </x:c>
      <x:c r="F1376" s="23" t="n">
        <x:v>2</x:v>
      </x:c>
    </x:row>
    <x:row r="1377">
      <x:c r="A1377" s="15" t="n">
        <x:v>43009</x:v>
      </x:c>
      <x:c r="B1377" s="13" t="str">
        <x:v>Financials Non-Banks</x:v>
      </x:c>
      <x:c r="C1377" s="16" t="n">
        <x:v>19009.876140537</x:v>
      </x:c>
      <x:c r="D1377" s="16" t="n">
        <x:v>19035.5540935891</x:v>
      </x:c>
      <x:c r="E1377" s="16" t="n">
        <x:v>25.6779530521</x:v>
      </x:c>
      <x:c r="F1377" s="23" t="n">
        <x:v>4</x:v>
      </x:c>
    </x:row>
    <x:row r="1378">
      <x:c r="A1378" s="15" t="n">
        <x:v>43009</x:v>
      </x:c>
      <x:c r="B1378" s="13" t="str">
        <x:v>Food &amp; Beverages</x:v>
      </x:c>
      <x:c r="C1378" s="16" t="n">
        <x:v>17560.2526816438</x:v>
      </x:c>
      <x:c r="D1378" s="16" t="n">
        <x:v>18340.9640572932</x:v>
      </x:c>
      <x:c r="E1378" s="16" t="n">
        <x:v>780.7113756494</x:v>
      </x:c>
      <x:c r="F1378" s="23" t="n">
        <x:v>4</x:v>
      </x:c>
    </x:row>
    <x:row r="1379">
      <x:c r="A1379" s="15" t="n">
        <x:v>43009</x:v>
      </x:c>
      <x:c r="B1379" s="13" t="str">
        <x:v>Health Care</x:v>
      </x:c>
      <x:c r="C1379" s="16" t="n">
        <x:v>1504.908639211</x:v>
      </x:c>
      <x:c r="D1379" s="16" t="n">
        <x:v>1554.8096129753</x:v>
      </x:c>
      <x:c r="E1379" s="16" t="n">
        <x:v>49.9009737644</x:v>
      </x:c>
      <x:c r="F1379" s="23" t="n">
        <x:v>2</x:v>
      </x:c>
    </x:row>
    <x:row r="1380">
      <x:c r="A1380" s="15" t="n">
        <x:v>43009</x:v>
      </x:c>
      <x:c r="B1380" s="13" t="str">
        <x:v>Homebuilders</x:v>
      </x:c>
      <x:c r="C1380" s="16" t="n">
        <x:v>869.2578392329</x:v>
      </x:c>
      <x:c r="D1380" s="16" t="n">
        <x:v>881.2889846137</x:v>
      </x:c>
      <x:c r="E1380" s="16" t="n">
        <x:v>12.0311453808</x:v>
      </x:c>
      <x:c r="F1380" s="23" t="n">
        <x:v>2</x:v>
      </x:c>
    </x:row>
    <x:row r="1381">
      <x:c r="A1381" s="15" t="n">
        <x:v>43009</x:v>
      </x:c>
      <x:c r="B1381" s="13" t="str">
        <x:v>Income Properties</x:v>
      </x:c>
      <x:c r="C1381" s="16" t="n">
        <x:v>970.9616624219</x:v>
      </x:c>
      <x:c r="D1381" s="16" t="n">
        <x:v>1015.1501731945</x:v>
      </x:c>
      <x:c r="E1381" s="16" t="n">
        <x:v>44.1885107726</x:v>
      </x:c>
      <x:c r="F1381" s="23" t="n">
        <x:v>2</x:v>
      </x:c>
    </x:row>
    <x:row r="1382">
      <x:c r="A1382" s="15" t="n">
        <x:v>43009</x:v>
      </x:c>
      <x:c r="B1382" s="13" t="str">
        <x:v>Metals &amp; Mining</x:v>
      </x:c>
      <x:c r="C1382" s="16" t="n">
        <x:v>20643.6932533479</x:v>
      </x:c>
      <x:c r="D1382" s="16" t="n">
        <x:v>22238.738201074</x:v>
      </x:c>
      <x:c r="E1382" s="16" t="n">
        <x:v>1595.0449477261</x:v>
      </x:c>
      <x:c r="F1382" s="23" t="n">
        <x:v>6</x:v>
      </x:c>
    </x:row>
    <x:row r="1383">
      <x:c r="A1383" s="15" t="n">
        <x:v>43009</x:v>
      </x:c>
      <x:c r="B1383" s="13" t="str">
        <x:v>Oil, Gas &amp; Petrochemicals</x:v>
      </x:c>
      <x:c r="C1383" s="16" t="n">
        <x:v>24521.454693348</x:v>
      </x:c>
      <x:c r="D1383" s="16" t="n">
        <x:v>22079.3723847891</x:v>
      </x:c>
      <x:c r="E1383" s="16" t="n">
        <x:v>-2442.0823085589</x:v>
      </x:c>
      <x:c r="F1383" s="23" t="n">
        <x:v>4</x:v>
      </x:c>
    </x:row>
    <x:row r="1384">
      <x:c r="A1384" s="15" t="n">
        <x:v>43009</x:v>
      </x:c>
      <x:c r="B1384" s="13" t="str">
        <x:v>Pulp &amp; Paper</x:v>
      </x:c>
      <x:c r="C1384" s="16" t="n">
        <x:v>3653.9497440438</x:v>
      </x:c>
      <x:c r="D1384" s="16" t="n">
        <x:v>5000.7625608767</x:v>
      </x:c>
      <x:c r="E1384" s="16" t="n">
        <x:v>1346.8128168329</x:v>
      </x:c>
      <x:c r="F1384" s="23" t="n">
        <x:v>3</x:v>
      </x:c>
    </x:row>
    <x:row r="1385">
      <x:c r="A1385" s="15" t="n">
        <x:v>43009</x:v>
      </x:c>
      <x:c r="B1385" s="13" t="str">
        <x:v>Retail</x:v>
      </x:c>
      <x:c r="C1385" s="16" t="n">
        <x:v>3557.4253853808</x:v>
      </x:c>
      <x:c r="D1385" s="16" t="n">
        <x:v>3836.1391502904</x:v>
      </x:c>
      <x:c r="E1385" s="16" t="n">
        <x:v>278.7137649096</x:v>
      </x:c>
      <x:c r="F1385" s="23" t="n">
        <x:v>5</x:v>
      </x:c>
    </x:row>
    <x:row r="1386">
      <x:c r="A1386" s="15" t="n">
        <x:v>43009</x:v>
      </x:c>
      <x:c r="B1386" s="13" t="str">
        <x:v>Sanitation</x:v>
      </x:c>
      <x:c r="C1386" s="16" t="n">
        <x:v>2830.5405489096</x:v>
      </x:c>
      <x:c r="D1386" s="16" t="n">
        <x:v>2776.3752013151</x:v>
      </x:c>
      <x:c r="E1386" s="16" t="n">
        <x:v>-54.1653475945</x:v>
      </x:c>
      <x:c r="F1386" s="23" t="n">
        <x:v>1</x:v>
      </x:c>
    </x:row>
    <x:row r="1387">
      <x:c r="A1387" s="15" t="n">
        <x:v>43009</x:v>
      </x:c>
      <x:c r="B1387" s="13" t="str">
        <x:v>TMT</x:v>
      </x:c>
      <x:c r="C1387" s="16" t="n">
        <x:v>7227.816236537</x:v>
      </x:c>
      <x:c r="D1387" s="16" t="n">
        <x:v>7503.8830320219</x:v>
      </x:c>
      <x:c r="E1387" s="16" t="n">
        <x:v>276.0667954849</x:v>
      </x:c>
      <x:c r="F1387" s="23" t="n">
        <x:v>3</x:v>
      </x:c>
    </x:row>
    <x:row r="1388">
      <x:c r="A1388" s="15" t="n">
        <x:v>43009</x:v>
      </x:c>
      <x:c r="B1388" s="13" t="str">
        <x:v>Transportation</x:v>
      </x:c>
      <x:c r="C1388" s="16" t="n">
        <x:v>3049.9779630904</x:v>
      </x:c>
      <x:c r="D1388" s="16" t="n">
        <x:v>3340.6356712329</x:v>
      </x:c>
      <x:c r="E1388" s="16" t="n">
        <x:v>290.6577081425</x:v>
      </x:c>
      <x:c r="F1388" s="23" t="n">
        <x:v>4</x:v>
      </x:c>
    </x:row>
    <x:row r="1389">
      <x:c r="A1389" s="15" t="n">
        <x:v>43009</x:v>
      </x:c>
      <x:c r="B1389" s="13" t="str">
        <x:v>Utilities &amp; Energy</x:v>
      </x:c>
      <x:c r="C1389" s="16" t="n">
        <x:v>15098.4456875836</x:v>
      </x:c>
      <x:c r="D1389" s="16" t="n">
        <x:v>16114.8597354959</x:v>
      </x:c>
      <x:c r="E1389" s="16" t="n">
        <x:v>1016.4140479123</x:v>
      </x:c>
      <x:c r="F1389" s="23" t="n">
        <x:v>8</x:v>
      </x:c>
    </x:row>
    <x:row r="1390">
      <x:c r="A1390" s="15" t="n">
        <x:v>43040</x:v>
      </x:c>
      <x:c r="B1390" s="13" t="str">
        <x:v>Banks</x:v>
      </x:c>
      <x:c r="C1390" s="16" t="n">
        <x:v>85472.2934587615</x:v>
      </x:c>
      <x:c r="D1390" s="16" t="n">
        <x:v>86749.5943153974</x:v>
      </x:c>
      <x:c r="E1390" s="16" t="n">
        <x:v>1277.3008566358</x:v>
      </x:c>
      <x:c r="F1390" s="23" t="n">
        <x:v>5</x:v>
      </x:c>
    </x:row>
    <x:row r="1391">
      <x:c r="A1391" s="15" t="n">
        <x:v>43040</x:v>
      </x:c>
      <x:c r="B1391" s="13" t="str">
        <x:v>Capital Goods</x:v>
      </x:c>
      <x:c r="C1391" s="16" t="n">
        <x:v>2325.6995871562</x:v>
      </x:c>
      <x:c r="D1391" s="16" t="n">
        <x:v>2086.6902762959</x:v>
      </x:c>
      <x:c r="E1391" s="16" t="n">
        <x:v>-239.0093108603</x:v>
      </x:c>
      <x:c r="F1391" s="23" t="n">
        <x:v>2</x:v>
      </x:c>
    </x:row>
    <x:row r="1392">
      <x:c r="A1392" s="15" t="n">
        <x:v>43040</x:v>
      </x:c>
      <x:c r="B1392" s="13" t="str">
        <x:v>Education</x:v>
      </x:c>
      <x:c r="C1392" s="16" t="n">
        <x:v>2804.0540417753</x:v>
      </x:c>
      <x:c r="D1392" s="16" t="n">
        <x:v>2892.2234357479</x:v>
      </x:c>
      <x:c r="E1392" s="16" t="n">
        <x:v>88.1693939726</x:v>
      </x:c>
      <x:c r="F1392" s="23" t="n">
        <x:v>2</x:v>
      </x:c>
    </x:row>
    <x:row r="1393">
      <x:c r="A1393" s="15" t="n">
        <x:v>43040</x:v>
      </x:c>
      <x:c r="B1393" s="13" t="str">
        <x:v>Financials Non-Banks</x:v>
      </x:c>
      <x:c r="C1393" s="16" t="n">
        <x:v>18970.6597046356</x:v>
      </x:c>
      <x:c r="D1393" s="16" t="n">
        <x:v>19346.7319278466</x:v>
      </x:c>
      <x:c r="E1393" s="16" t="n">
        <x:v>376.072223211</x:v>
      </x:c>
      <x:c r="F1393" s="23" t="n">
        <x:v>4</x:v>
      </x:c>
    </x:row>
    <x:row r="1394">
      <x:c r="A1394" s="15" t="n">
        <x:v>43040</x:v>
      </x:c>
      <x:c r="B1394" s="13" t="str">
        <x:v>Food &amp; Beverages</x:v>
      </x:c>
      <x:c r="C1394" s="16" t="n">
        <x:v>17710.6977565808</x:v>
      </x:c>
      <x:c r="D1394" s="16" t="n">
        <x:v>18576.5625423781</x:v>
      </x:c>
      <x:c r="E1394" s="16" t="n">
        <x:v>865.8647857972</x:v>
      </x:c>
      <x:c r="F1394" s="23" t="n">
        <x:v>4</x:v>
      </x:c>
    </x:row>
    <x:row r="1395">
      <x:c r="A1395" s="15" t="n">
        <x:v>43040</x:v>
      </x:c>
      <x:c r="B1395" s="13" t="str">
        <x:v>Health Care</x:v>
      </x:c>
      <x:c r="C1395" s="16" t="n">
        <x:v>1551.1794356603</x:v>
      </x:c>
      <x:c r="D1395" s="16" t="n">
        <x:v>1590.4049380822</x:v>
      </x:c>
      <x:c r="E1395" s="16" t="n">
        <x:v>39.2255024219</x:v>
      </x:c>
      <x:c r="F1395" s="23" t="n">
        <x:v>2</x:v>
      </x:c>
    </x:row>
    <x:row r="1396">
      <x:c r="A1396" s="15" t="n">
        <x:v>43040</x:v>
      </x:c>
      <x:c r="B1396" s="13" t="str">
        <x:v>Homebuilders</x:v>
      </x:c>
      <x:c r="C1396" s="16" t="n">
        <x:v>889.5138103671</x:v>
      </x:c>
      <x:c r="D1396" s="16" t="n">
        <x:v>908.5724223342</x:v>
      </x:c>
      <x:c r="E1396" s="16" t="n">
        <x:v>19.0586119671</x:v>
      </x:c>
      <x:c r="F1396" s="23" t="n">
        <x:v>2</x:v>
      </x:c>
    </x:row>
    <x:row r="1397">
      <x:c r="A1397" s="15" t="n">
        <x:v>43040</x:v>
      </x:c>
      <x:c r="B1397" s="13" t="str">
        <x:v>Income Properties</x:v>
      </x:c>
      <x:c r="C1397" s="16" t="n">
        <x:v>997.7168767123</x:v>
      </x:c>
      <x:c r="D1397" s="16" t="n">
        <x:v>1048.8423856219</x:v>
      </x:c>
      <x:c r="E1397" s="16" t="n">
        <x:v>51.1255089096</x:v>
      </x:c>
      <x:c r="F1397" s="23" t="n">
        <x:v>2</x:v>
      </x:c>
    </x:row>
    <x:row r="1398">
      <x:c r="A1398" s="15" t="n">
        <x:v>43040</x:v>
      </x:c>
      <x:c r="B1398" s="13" t="str">
        <x:v>Metals &amp; Mining</x:v>
      </x:c>
      <x:c r="C1398" s="16" t="n">
        <x:v>21132.211902378</x:v>
      </x:c>
      <x:c r="D1398" s="16" t="n">
        <x:v>23936.7465857753</x:v>
      </x:c>
      <x:c r="E1398" s="16" t="n">
        <x:v>2804.5346833973</x:v>
      </x:c>
      <x:c r="F1398" s="23" t="n">
        <x:v>6</x:v>
      </x:c>
    </x:row>
    <x:row r="1399">
      <x:c r="A1399" s="15" t="n">
        <x:v>43040</x:v>
      </x:c>
      <x:c r="B1399" s="13" t="str">
        <x:v>Oil, Gas &amp; Petrochemicals</x:v>
      </x:c>
      <x:c r="C1399" s="16" t="n">
        <x:v>23163.1421485589</x:v>
      </x:c>
      <x:c r="D1399" s="16" t="n">
        <x:v>22597.8715237699</x:v>
      </x:c>
      <x:c r="E1399" s="16" t="n">
        <x:v>-565.2706247891</x:v>
      </x:c>
      <x:c r="F1399" s="23" t="n">
        <x:v>4</x:v>
      </x:c>
    </x:row>
    <x:row r="1400">
      <x:c r="A1400" s="15" t="n">
        <x:v>43040</x:v>
      </x:c>
      <x:c r="B1400" s="13" t="str">
        <x:v>Pulp &amp; Paper</x:v>
      </x:c>
      <x:c r="C1400" s="16" t="n">
        <x:v>2476.4586327671</x:v>
      </x:c>
      <x:c r="D1400" s="16" t="n">
        <x:v>3379.261229589</x:v>
      </x:c>
      <x:c r="E1400" s="16" t="n">
        <x:v>902.8025968219</x:v>
      </x:c>
      <x:c r="F1400" s="23" t="n">
        <x:v>2</x:v>
      </x:c>
    </x:row>
    <x:row r="1401">
      <x:c r="A1401" s="15" t="n">
        <x:v>43040</x:v>
      </x:c>
      <x:c r="B1401" s="13" t="str">
        <x:v>Retail</x:v>
      </x:c>
      <x:c r="C1401" s="16" t="n">
        <x:v>3621.2483359562</x:v>
      </x:c>
      <x:c r="D1401" s="16" t="n">
        <x:v>3842.2418182137</x:v>
      </x:c>
      <x:c r="E1401" s="16" t="n">
        <x:v>220.9934822575</x:v>
      </x:c>
      <x:c r="F1401" s="23" t="n">
        <x:v>5</x:v>
      </x:c>
    </x:row>
    <x:row r="1402">
      <x:c r="A1402" s="15" t="n">
        <x:v>43040</x:v>
      </x:c>
      <x:c r="B1402" s="13" t="str">
        <x:v>Sanitation</x:v>
      </x:c>
      <x:c r="C1402" s="16" t="n">
        <x:v>2802.7355844384</x:v>
      </x:c>
      <x:c r="D1402" s="16" t="n">
        <x:v>2846.6948530849</x:v>
      </x:c>
      <x:c r="E1402" s="16" t="n">
        <x:v>43.9592686466</x:v>
      </x:c>
      <x:c r="F1402" s="23" t="n">
        <x:v>1</x:v>
      </x:c>
    </x:row>
    <x:row r="1403">
      <x:c r="A1403" s="15" t="n">
        <x:v>43040</x:v>
      </x:c>
      <x:c r="B1403" s="13" t="str">
        <x:v>TMT</x:v>
      </x:c>
      <x:c r="C1403" s="16" t="n">
        <x:v>7342.9442479342</x:v>
      </x:c>
      <x:c r="D1403" s="16" t="n">
        <x:v>7671.4206204493</x:v>
      </x:c>
      <x:c r="E1403" s="16" t="n">
        <x:v>328.4763725151</x:v>
      </x:c>
      <x:c r="F1403" s="23" t="n">
        <x:v>3</x:v>
      </x:c>
    </x:row>
    <x:row r="1404">
      <x:c r="A1404" s="15" t="n">
        <x:v>43040</x:v>
      </x:c>
      <x:c r="B1404" s="13" t="str">
        <x:v>Transportation</x:v>
      </x:c>
      <x:c r="C1404" s="16" t="n">
        <x:v>3102.2912961753</x:v>
      </x:c>
      <x:c r="D1404" s="16" t="n">
        <x:v>3539.3860366904</x:v>
      </x:c>
      <x:c r="E1404" s="16" t="n">
        <x:v>437.0947405151</x:v>
      </x:c>
      <x:c r="F1404" s="23" t="n">
        <x:v>4</x:v>
      </x:c>
    </x:row>
    <x:row r="1405">
      <x:c r="A1405" s="15" t="n">
        <x:v>43040</x:v>
      </x:c>
      <x:c r="B1405" s="13" t="str">
        <x:v>Utilities &amp; Energy</x:v>
      </x:c>
      <x:c r="C1405" s="16" t="n">
        <x:v>15369.8661141041</x:v>
      </x:c>
      <x:c r="D1405" s="16" t="n">
        <x:v>16503.9492955178</x:v>
      </x:c>
      <x:c r="E1405" s="16" t="n">
        <x:v>1134.0831814137</x:v>
      </x:c>
      <x:c r="F1405" s="23" t="n">
        <x:v>8</x:v>
      </x:c>
    </x:row>
    <x:row r="1406">
      <x:c r="A1406" s="15" t="n">
        <x:v>43070</x:v>
      </x:c>
      <x:c r="B1406" s="13" t="str">
        <x:v>Banks</x:v>
      </x:c>
      <x:c r="C1406" s="16" t="n">
        <x:v>84358.0175794848</x:v>
      </x:c>
      <x:c r="D1406" s="16" t="n">
        <x:v>86641.7146080438</x:v>
      </x:c>
      <x:c r="E1406" s="16" t="n">
        <x:v>2283.6970285589</x:v>
      </x:c>
      <x:c r="F1406" s="23" t="n">
        <x:v>5</x:v>
      </x:c>
    </x:row>
    <x:row r="1407">
      <x:c r="A1407" s="15" t="n">
        <x:v>43070</x:v>
      </x:c>
      <x:c r="B1407" s="13" t="str">
        <x:v>Capital Goods</x:v>
      </x:c>
      <x:c r="C1407" s="16" t="n">
        <x:v>2320.0854538521</x:v>
      </x:c>
      <x:c r="D1407" s="16" t="n">
        <x:v>1953.4770826521</x:v>
      </x:c>
      <x:c r="E1407" s="16" t="n">
        <x:v>-366.6083712</x:v>
      </x:c>
      <x:c r="F1407" s="23" t="n">
        <x:v>2</x:v>
      </x:c>
    </x:row>
    <x:row r="1408">
      <x:c r="A1408" s="15" t="n">
        <x:v>43070</x:v>
      </x:c>
      <x:c r="B1408" s="13" t="str">
        <x:v>Education</x:v>
      </x:c>
      <x:c r="C1408" s="16" t="n">
        <x:v>2825.2754853699</x:v>
      </x:c>
      <x:c r="D1408" s="16" t="n">
        <x:v>2954.6682976438</x:v>
      </x:c>
      <x:c r="E1408" s="16" t="n">
        <x:v>129.392812274</x:v>
      </x:c>
      <x:c r="F1408" s="23" t="n">
        <x:v>2</x:v>
      </x:c>
    </x:row>
    <x:row r="1409">
      <x:c r="A1409" s="15" t="n">
        <x:v>43070</x:v>
      </x:c>
      <x:c r="B1409" s="13" t="str">
        <x:v>Financials Non-Banks</x:v>
      </x:c>
      <x:c r="C1409" s="16" t="n">
        <x:v>19091.6166147507</x:v>
      </x:c>
      <x:c r="D1409" s="16" t="n">
        <x:v>19648.1840822356</x:v>
      </x:c>
      <x:c r="E1409" s="16" t="n">
        <x:v>556.5674674849</x:v>
      </x:c>
      <x:c r="F1409" s="23" t="n">
        <x:v>4</x:v>
      </x:c>
    </x:row>
    <x:row r="1410">
      <x:c r="A1410" s="15" t="n">
        <x:v>43070</x:v>
      </x:c>
      <x:c r="B1410" s="13" t="str">
        <x:v>Food &amp; Beverages</x:v>
      </x:c>
      <x:c r="C1410" s="16" t="n">
        <x:v>18052.6277172603</x:v>
      </x:c>
      <x:c r="D1410" s="16" t="n">
        <x:v>19174.4582958465</x:v>
      </x:c>
      <x:c r="E1410" s="16" t="n">
        <x:v>1121.8305785862</x:v>
      </x:c>
      <x:c r="F1410" s="23" t="n">
        <x:v>4</x:v>
      </x:c>
    </x:row>
    <x:row r="1411">
      <x:c r="A1411" s="15" t="n">
        <x:v>43070</x:v>
      </x:c>
      <x:c r="B1411" s="13" t="str">
        <x:v>Health Care</x:v>
      </x:c>
      <x:c r="C1411" s="16" t="n">
        <x:v>1527.0033115178</x:v>
      </x:c>
      <x:c r="D1411" s="16" t="n">
        <x:v>1654.0449590356</x:v>
      </x:c>
      <x:c r="E1411" s="16" t="n">
        <x:v>127.0416475178</x:v>
      </x:c>
      <x:c r="F1411" s="23" t="n">
        <x:v>2</x:v>
      </x:c>
    </x:row>
    <x:row r="1412">
      <x:c r="A1412" s="15" t="n">
        <x:v>43070</x:v>
      </x:c>
      <x:c r="B1412" s="13" t="str">
        <x:v>Homebuilders</x:v>
      </x:c>
      <x:c r="C1412" s="16" t="n">
        <x:v>857.7354111123</x:v>
      </x:c>
      <x:c r="D1412" s="16" t="n">
        <x:v>948.3189278247</x:v>
      </x:c>
      <x:c r="E1412" s="16" t="n">
        <x:v>90.5835167123</x:v>
      </x:c>
      <x:c r="F1412" s="23" t="n">
        <x:v>2</x:v>
      </x:c>
    </x:row>
    <x:row r="1413">
      <x:c r="A1413" s="15" t="n">
        <x:v>43070</x:v>
      </x:c>
      <x:c r="B1413" s="13" t="str">
        <x:v>Income Properties</x:v>
      </x:c>
      <x:c r="C1413" s="16" t="n">
        <x:v>991.2982837479</x:v>
      </x:c>
      <x:c r="D1413" s="16" t="n">
        <x:v>1059.2111503781</x:v>
      </x:c>
      <x:c r="E1413" s="16" t="n">
        <x:v>67.9128666301</x:v>
      </x:c>
      <x:c r="F1413" s="23" t="n">
        <x:v>2</x:v>
      </x:c>
    </x:row>
    <x:row r="1414">
      <x:c r="A1414" s="15" t="n">
        <x:v>43070</x:v>
      </x:c>
      <x:c r="B1414" s="13" t="str">
        <x:v>Metals &amp; Mining</x:v>
      </x:c>
      <x:c r="C1414" s="16" t="n">
        <x:v>22000.8638512657</x:v>
      </x:c>
      <x:c r="D1414" s="16" t="n">
        <x:v>26095.1186290849</x:v>
      </x:c>
      <x:c r="E1414" s="16" t="n">
        <x:v>4094.2547778192</x:v>
      </x:c>
      <x:c r="F1414" s="23" t="n">
        <x:v>6</x:v>
      </x:c>
    </x:row>
    <x:row r="1415">
      <x:c r="A1415" s="15" t="n">
        <x:v>43070</x:v>
      </x:c>
      <x:c r="B1415" s="13" t="str">
        <x:v>Oil, Gas &amp; Petrochemicals</x:v>
      </x:c>
      <x:c r="C1415" s="16" t="n">
        <x:v>22597.5223713315</x:v>
      </x:c>
      <x:c r="D1415" s="16" t="n">
        <x:v>24320.5653724932</x:v>
      </x:c>
      <x:c r="E1415" s="16" t="n">
        <x:v>1723.0430011617</x:v>
      </x:c>
      <x:c r="F1415" s="23" t="n">
        <x:v>4</x:v>
      </x:c>
    </x:row>
    <x:row r="1416">
      <x:c r="A1416" s="15" t="n">
        <x:v>43070</x:v>
      </x:c>
      <x:c r="B1416" s="13" t="str">
        <x:v>Pulp &amp; Paper</x:v>
      </x:c>
      <x:c r="C1416" s="16" t="n">
        <x:v>2846.1317214685</x:v>
      </x:c>
      <x:c r="D1416" s="16" t="n">
        <x:v>3504.1316059178</x:v>
      </x:c>
      <x:c r="E1416" s="16" t="n">
        <x:v>657.9998844493</x:v>
      </x:c>
      <x:c r="F1416" s="23" t="n">
        <x:v>2</x:v>
      </x:c>
    </x:row>
    <x:row r="1417">
      <x:c r="A1417" s="15" t="n">
        <x:v>43070</x:v>
      </x:c>
      <x:c r="B1417" s="13" t="str">
        <x:v>Retail</x:v>
      </x:c>
      <x:c r="C1417" s="16" t="n">
        <x:v>3697.2407368767</x:v>
      </x:c>
      <x:c r="D1417" s="16" t="n">
        <x:v>4061.6377165151</x:v>
      </x:c>
      <x:c r="E1417" s="16" t="n">
        <x:v>364.3969796384</x:v>
      </x:c>
      <x:c r="F1417" s="23" t="n">
        <x:v>5</x:v>
      </x:c>
    </x:row>
    <x:row r="1418">
      <x:c r="A1418" s="15" t="n">
        <x:v>43070</x:v>
      </x:c>
      <x:c r="B1418" s="13" t="str">
        <x:v>Sanitation</x:v>
      </x:c>
      <x:c r="C1418" s="16" t="n">
        <x:v>2840.2369543014</x:v>
      </x:c>
      <x:c r="D1418" s="16" t="n">
        <x:v>2825.0730327671</x:v>
      </x:c>
      <x:c r="E1418" s="16" t="n">
        <x:v>-15.1639215343</x:v>
      </x:c>
      <x:c r="F1418" s="23" t="n">
        <x:v>1</x:v>
      </x:c>
    </x:row>
    <x:row r="1419">
      <x:c r="A1419" s="15" t="n">
        <x:v>43070</x:v>
      </x:c>
      <x:c r="B1419" s="13" t="str">
        <x:v>TMT</x:v>
      </x:c>
      <x:c r="C1419" s="16" t="n">
        <x:v>7332.3325543452</x:v>
      </x:c>
      <x:c r="D1419" s="16" t="n">
        <x:v>7789.0037854685</x:v>
      </x:c>
      <x:c r="E1419" s="16" t="n">
        <x:v>456.6712311233</x:v>
      </x:c>
      <x:c r="F1419" s="23" t="n">
        <x:v>3</x:v>
      </x:c>
    </x:row>
    <x:row r="1420">
      <x:c r="A1420" s="15" t="n">
        <x:v>43070</x:v>
      </x:c>
      <x:c r="B1420" s="13" t="str">
        <x:v>Transportation</x:v>
      </x:c>
      <x:c r="C1420" s="16" t="n">
        <x:v>3135.9699989041</x:v>
      </x:c>
      <x:c r="D1420" s="16" t="n">
        <x:v>3650.7444334466</x:v>
      </x:c>
      <x:c r="E1420" s="16" t="n">
        <x:v>514.7744345425</x:v>
      </x:c>
      <x:c r="F1420" s="23" t="n">
        <x:v>4</x:v>
      </x:c>
    </x:row>
    <x:row r="1421">
      <x:c r="A1421" s="15" t="n">
        <x:v>43070</x:v>
      </x:c>
      <x:c r="B1421" s="13" t="str">
        <x:v>Utilities &amp; Energy</x:v>
      </x:c>
      <x:c r="C1421" s="16" t="n">
        <x:v>16642.4643519123</x:v>
      </x:c>
      <x:c r="D1421" s="16" t="n">
        <x:v>17620.6905201973</x:v>
      </x:c>
      <x:c r="E1421" s="16" t="n">
        <x:v>978.2261682849</x:v>
      </x:c>
      <x:c r="F1421" s="23" t="n">
        <x:v>9</x:v>
      </x:c>
    </x:row>
    <x:row r="1422">
      <x:c r="A1422" s="15" t="n">
        <x:v>43101</x:v>
      </x:c>
      <x:c r="B1422" s="13" t="str">
        <x:v>Banks</x:v>
      </x:c>
      <x:c r="C1422" s="16" t="n">
        <x:v>86383.3775959672</x:v>
      </x:c>
      <x:c r="D1422" s="16" t="n">
        <x:v>88862.2983785205</x:v>
      </x:c>
      <x:c r="E1422" s="16" t="n">
        <x:v>2478.9207825533</x:v>
      </x:c>
      <x:c r="F1422" s="23" t="n">
        <x:v>5</x:v>
      </x:c>
    </x:row>
    <x:row r="1423">
      <x:c r="A1423" s="15" t="n">
        <x:v>43101</x:v>
      </x:c>
      <x:c r="B1423" s="13" t="str">
        <x:v>Capital Goods</x:v>
      </x:c>
      <x:c r="C1423" s="16" t="n">
        <x:v>2150.5547958356</x:v>
      </x:c>
      <x:c r="D1423" s="16" t="n">
        <x:v>2003.1412660603</x:v>
      </x:c>
      <x:c r="E1423" s="16" t="n">
        <x:v>-147.4135297754</x:v>
      </x:c>
      <x:c r="F1423" s="23" t="n">
        <x:v>2</x:v>
      </x:c>
    </x:row>
    <x:row r="1424">
      <x:c r="A1424" s="15" t="n">
        <x:v>43101</x:v>
      </x:c>
      <x:c r="B1424" s="13" t="str">
        <x:v>Education</x:v>
      </x:c>
      <x:c r="C1424" s="16" t="n">
        <x:v>2871.5288183233</x:v>
      </x:c>
      <x:c r="D1424" s="16" t="n">
        <x:v>2977.1155140384</x:v>
      </x:c>
      <x:c r="E1424" s="16" t="n">
        <x:v>105.5866957151</x:v>
      </x:c>
      <x:c r="F1424" s="23" t="n">
        <x:v>2</x:v>
      </x:c>
    </x:row>
    <x:row r="1425">
      <x:c r="A1425" s="15" t="n">
        <x:v>43101</x:v>
      </x:c>
      <x:c r="B1425" s="13" t="str">
        <x:v>Financials Non-Banks</x:v>
      </x:c>
      <x:c r="C1425" s="16" t="n">
        <x:v>19035.5540935891</x:v>
      </x:c>
      <x:c r="D1425" s="16" t="n">
        <x:v>20058.9485420712</x:v>
      </x:c>
      <x:c r="E1425" s="16" t="n">
        <x:v>1023.3944484822</x:v>
      </x:c>
      <x:c r="F1425" s="23" t="n">
        <x:v>4</x:v>
      </x:c>
    </x:row>
    <x:row r="1426">
      <x:c r="A1426" s="15" t="n">
        <x:v>43101</x:v>
      </x:c>
      <x:c r="B1426" s="13" t="str">
        <x:v>Food &amp; Beverages</x:v>
      </x:c>
      <x:c r="C1426" s="16" t="n">
        <x:v>18340.9640572932</x:v>
      </x:c>
      <x:c r="D1426" s="16" t="n">
        <x:v>19457.0309963397</x:v>
      </x:c>
      <x:c r="E1426" s="16" t="n">
        <x:v>1116.0669390465</x:v>
      </x:c>
      <x:c r="F1426" s="23" t="n">
        <x:v>4</x:v>
      </x:c>
    </x:row>
    <x:row r="1427">
      <x:c r="A1427" s="15" t="n">
        <x:v>43101</x:v>
      </x:c>
      <x:c r="B1427" s="13" t="str">
        <x:v>Health Care</x:v>
      </x:c>
      <x:c r="C1427" s="16" t="n">
        <x:v>1554.8096129753</x:v>
      </x:c>
      <x:c r="D1427" s="16" t="n">
        <x:v>1652.3569027507</x:v>
      </x:c>
      <x:c r="E1427" s="16" t="n">
        <x:v>97.5472897753</x:v>
      </x:c>
      <x:c r="F1427" s="23" t="n">
        <x:v>2</x:v>
      </x:c>
    </x:row>
    <x:row r="1428">
      <x:c r="A1428" s="15" t="n">
        <x:v>43101</x:v>
      </x:c>
      <x:c r="B1428" s="13" t="str">
        <x:v>Homebuilders</x:v>
      </x:c>
      <x:c r="C1428" s="16" t="n">
        <x:v>881.2889846137</x:v>
      </x:c>
      <x:c r="D1428" s="16" t="n">
        <x:v>974.1715740055</x:v>
      </x:c>
      <x:c r="E1428" s="16" t="n">
        <x:v>92.8825893918</x:v>
      </x:c>
      <x:c r="F1428" s="23" t="n">
        <x:v>2</x:v>
      </x:c>
    </x:row>
    <x:row r="1429">
      <x:c r="A1429" s="15" t="n">
        <x:v>43101</x:v>
      </x:c>
      <x:c r="B1429" s="13" t="str">
        <x:v>Income Properties</x:v>
      </x:c>
      <x:c r="C1429" s="16" t="n">
        <x:v>1015.1501731945</x:v>
      </x:c>
      <x:c r="D1429" s="16" t="n">
        <x:v>1070.5301342685</x:v>
      </x:c>
      <x:c r="E1429" s="16" t="n">
        <x:v>55.379961074</x:v>
      </x:c>
      <x:c r="F1429" s="23" t="n">
        <x:v>2</x:v>
      </x:c>
    </x:row>
    <x:row r="1430">
      <x:c r="A1430" s="15" t="n">
        <x:v>43101</x:v>
      </x:c>
      <x:c r="B1430" s="13" t="str">
        <x:v>Metals &amp; Mining</x:v>
      </x:c>
      <x:c r="C1430" s="16" t="n">
        <x:v>22238.738201074</x:v>
      </x:c>
      <x:c r="D1430" s="16" t="n">
        <x:v>28012.3324263452</x:v>
      </x:c>
      <x:c r="E1430" s="16" t="n">
        <x:v>5773.5942252712</x:v>
      </x:c>
      <x:c r="F1430" s="23" t="n">
        <x:v>6</x:v>
      </x:c>
    </x:row>
    <x:row r="1431">
      <x:c r="A1431" s="15" t="n">
        <x:v>43101</x:v>
      </x:c>
      <x:c r="B1431" s="13" t="str">
        <x:v>Oil, Gas &amp; Petrochemicals</x:v>
      </x:c>
      <x:c r="C1431" s="16" t="n">
        <x:v>22079.3723847891</x:v>
      </x:c>
      <x:c r="D1431" s="16" t="n">
        <x:v>26753.3172764055</x:v>
      </x:c>
      <x:c r="E1431" s="16" t="n">
        <x:v>4673.9448916164</x:v>
      </x:c>
      <x:c r="F1431" s="23" t="n">
        <x:v>4</x:v>
      </x:c>
    </x:row>
    <x:row r="1432">
      <x:c r="A1432" s="15" t="n">
        <x:v>43101</x:v>
      </x:c>
      <x:c r="B1432" s="13" t="str">
        <x:v>Pulp &amp; Paper</x:v>
      </x:c>
      <x:c r="C1432" s="16" t="n">
        <x:v>3115.1473888438</x:v>
      </x:c>
      <x:c r="D1432" s="16" t="n">
        <x:v>4286.6411534027</x:v>
      </x:c>
      <x:c r="E1432" s="16" t="n">
        <x:v>1171.4937645589</x:v>
      </x:c>
      <x:c r="F1432" s="23" t="n">
        <x:v>2</x:v>
      </x:c>
    </x:row>
    <x:row r="1433">
      <x:c r="A1433" s="15" t="n">
        <x:v>43101</x:v>
      </x:c>
      <x:c r="B1433" s="13" t="str">
        <x:v>Retail</x:v>
      </x:c>
      <x:c r="C1433" s="16" t="n">
        <x:v>3201.1194638904</x:v>
      </x:c>
      <x:c r="D1433" s="16" t="n">
        <x:v>3375.5905397479</x:v>
      </x:c>
      <x:c r="E1433" s="16" t="n">
        <x:v>174.4710758575</x:v>
      </x:c>
      <x:c r="F1433" s="23" t="n">
        <x:v>4</x:v>
      </x:c>
    </x:row>
    <x:row r="1434">
      <x:c r="A1434" s="15" t="n">
        <x:v>43101</x:v>
      </x:c>
      <x:c r="B1434" s="13" t="str">
        <x:v>Sanitation</x:v>
      </x:c>
      <x:c r="C1434" s="16" t="n">
        <x:v>2776.3752013151</x:v>
      </x:c>
      <x:c r="D1434" s="16" t="n">
        <x:v>2843.0674249644</x:v>
      </x:c>
      <x:c r="E1434" s="16" t="n">
        <x:v>66.6922236493</x:v>
      </x:c>
      <x:c r="F1434" s="23" t="n">
        <x:v>1</x:v>
      </x:c>
    </x:row>
    <x:row r="1435">
      <x:c r="A1435" s="15" t="n">
        <x:v>43101</x:v>
      </x:c>
      <x:c r="B1435" s="13" t="str">
        <x:v>TMT</x:v>
      </x:c>
      <x:c r="C1435" s="16" t="n">
        <x:v>7503.8830320219</x:v>
      </x:c>
      <x:c r="D1435" s="16" t="n">
        <x:v>7912.4988039014</x:v>
      </x:c>
      <x:c r="E1435" s="16" t="n">
        <x:v>408.6157718795</x:v>
      </x:c>
      <x:c r="F1435" s="23" t="n">
        <x:v>3</x:v>
      </x:c>
    </x:row>
    <x:row r="1436">
      <x:c r="A1436" s="15" t="n">
        <x:v>43101</x:v>
      </x:c>
      <x:c r="B1436" s="13" t="str">
        <x:v>Transportation</x:v>
      </x:c>
      <x:c r="C1436" s="16" t="n">
        <x:v>3340.6356712329</x:v>
      </x:c>
      <x:c r="D1436" s="16" t="n">
        <x:v>3819.0127005808</x:v>
      </x:c>
      <x:c r="E1436" s="16" t="n">
        <x:v>478.3770293479</x:v>
      </x:c>
      <x:c r="F1436" s="23" t="n">
        <x:v>4</x:v>
      </x:c>
    </x:row>
    <x:row r="1437">
      <x:c r="A1437" s="15" t="n">
        <x:v>43101</x:v>
      </x:c>
      <x:c r="B1437" s="13" t="str">
        <x:v>Utilities &amp; Energy</x:v>
      </x:c>
      <x:c r="C1437" s="16" t="n">
        <x:v>15453.0201803397</x:v>
      </x:c>
      <x:c r="D1437" s="16" t="n">
        <x:v>16333.5052661479</x:v>
      </x:c>
      <x:c r="E1437" s="16" t="n">
        <x:v>880.4850858082</x:v>
      </x:c>
      <x:c r="F1437" s="23" t="n">
        <x:v>8</x:v>
      </x:c>
    </x:row>
    <x:row r="1438">
      <x:c r="A1438" s="15" t="n">
        <x:v>43132</x:v>
      </x:c>
      <x:c r="B1438" s="13" t="str">
        <x:v>Banks</x:v>
      </x:c>
      <x:c r="C1438" s="16" t="n">
        <x:v>86749.5943153974</x:v>
      </x:c>
      <x:c r="D1438" s="16" t="n">
        <x:v>93055.2310264988</x:v>
      </x:c>
      <x:c r="E1438" s="16" t="n">
        <x:v>6305.6367111014</x:v>
      </x:c>
      <x:c r="F1438" s="23" t="n">
        <x:v>5</x:v>
      </x:c>
    </x:row>
    <x:row r="1439">
      <x:c r="A1439" s="15" t="n">
        <x:v>43132</x:v>
      </x:c>
      <x:c r="B1439" s="13" t="str">
        <x:v>Capital Goods</x:v>
      </x:c>
      <x:c r="C1439" s="16" t="n">
        <x:v>2086.6902762959</x:v>
      </x:c>
      <x:c r="D1439" s="16" t="n">
        <x:v>2068.5043491068</x:v>
      </x:c>
      <x:c r="E1439" s="16" t="n">
        <x:v>-18.185927189</x:v>
      </x:c>
      <x:c r="F1439" s="23" t="n">
        <x:v>2</x:v>
      </x:c>
    </x:row>
    <x:row r="1440">
      <x:c r="A1440" s="15" t="n">
        <x:v>43132</x:v>
      </x:c>
      <x:c r="B1440" s="13" t="str">
        <x:v>Education</x:v>
      </x:c>
      <x:c r="C1440" s="16" t="n">
        <x:v>2892.2234357479</x:v>
      </x:c>
      <x:c r="D1440" s="16" t="n">
        <x:v>2953.3470755069</x:v>
      </x:c>
      <x:c r="E1440" s="16" t="n">
        <x:v>61.1236397589</x:v>
      </x:c>
      <x:c r="F1440" s="23" t="n">
        <x:v>2</x:v>
      </x:c>
    </x:row>
    <x:row r="1441">
      <x:c r="A1441" s="15" t="n">
        <x:v>43132</x:v>
      </x:c>
      <x:c r="B1441" s="13" t="str">
        <x:v>Financials Non-Banks</x:v>
      </x:c>
      <x:c r="C1441" s="16" t="n">
        <x:v>19346.7319278466</x:v>
      </x:c>
      <x:c r="D1441" s="16" t="n">
        <x:v>20204.4834472329</x:v>
      </x:c>
      <x:c r="E1441" s="16" t="n">
        <x:v>857.7515193863</x:v>
      </x:c>
      <x:c r="F1441" s="23" t="n">
        <x:v>4</x:v>
      </x:c>
    </x:row>
    <x:row r="1442">
      <x:c r="A1442" s="15" t="n">
        <x:v>43132</x:v>
      </x:c>
      <x:c r="B1442" s="13" t="str">
        <x:v>Food &amp; Beverages</x:v>
      </x:c>
      <x:c r="C1442" s="16" t="n">
        <x:v>18576.5625423781</x:v>
      </x:c>
      <x:c r="D1442" s="16" t="n">
        <x:v>19238.0420816219</x:v>
      </x:c>
      <x:c r="E1442" s="16" t="n">
        <x:v>661.4795392438</x:v>
      </x:c>
      <x:c r="F1442" s="23" t="n">
        <x:v>4</x:v>
      </x:c>
    </x:row>
    <x:row r="1443">
      <x:c r="A1443" s="15" t="n">
        <x:v>43132</x:v>
      </x:c>
      <x:c r="B1443" s="13" t="str">
        <x:v>Health Care</x:v>
      </x:c>
      <x:c r="C1443" s="16" t="n">
        <x:v>1590.4049380822</x:v>
      </x:c>
      <x:c r="D1443" s="16" t="n">
        <x:v>1677.0487453808</x:v>
      </x:c>
      <x:c r="E1443" s="16" t="n">
        <x:v>86.6438072986</x:v>
      </x:c>
      <x:c r="F1443" s="23" t="n">
        <x:v>2</x:v>
      </x:c>
    </x:row>
    <x:row r="1444">
      <x:c r="A1444" s="15" t="n">
        <x:v>43132</x:v>
      </x:c>
      <x:c r="B1444" s="13" t="str">
        <x:v>Homebuilders</x:v>
      </x:c>
      <x:c r="C1444" s="16" t="n">
        <x:v>908.5724223342</x:v>
      </x:c>
      <x:c r="D1444" s="16" t="n">
        <x:v>997.0248300712</x:v>
      </x:c>
      <x:c r="E1444" s="16" t="n">
        <x:v>88.452407737</x:v>
      </x:c>
      <x:c r="F1444" s="23" t="n">
        <x:v>2</x:v>
      </x:c>
    </x:row>
    <x:row r="1445">
      <x:c r="A1445" s="15" t="n">
        <x:v>43132</x:v>
      </x:c>
      <x:c r="B1445" s="13" t="str">
        <x:v>Income Properties</x:v>
      </x:c>
      <x:c r="C1445" s="16" t="n">
        <x:v>1048.8423856219</x:v>
      </x:c>
      <x:c r="D1445" s="16" t="n">
        <x:v>1071.1366056329</x:v>
      </x:c>
      <x:c r="E1445" s="16" t="n">
        <x:v>22.294220011</x:v>
      </x:c>
      <x:c r="F1445" s="23" t="n">
        <x:v>2</x:v>
      </x:c>
    </x:row>
    <x:row r="1446">
      <x:c r="A1446" s="15" t="n">
        <x:v>43132</x:v>
      </x:c>
      <x:c r="B1446" s="13" t="str">
        <x:v>Metals &amp; Mining</x:v>
      </x:c>
      <x:c r="C1446" s="16" t="n">
        <x:v>23936.7465857753</x:v>
      </x:c>
      <x:c r="D1446" s="16" t="n">
        <x:v>28974.6366765589</x:v>
      </x:c>
      <x:c r="E1446" s="16" t="n">
        <x:v>5037.8900907836</x:v>
      </x:c>
      <x:c r="F1446" s="23" t="n">
        <x:v>6</x:v>
      </x:c>
    </x:row>
    <x:row r="1447">
      <x:c r="A1447" s="15" t="n">
        <x:v>43132</x:v>
      </x:c>
      <x:c r="B1447" s="13" t="str">
        <x:v>Oil, Gas &amp; Petrochemicals</x:v>
      </x:c>
      <x:c r="C1447" s="16" t="n">
        <x:v>22597.8715237699</x:v>
      </x:c>
      <x:c r="D1447" s="16" t="n">
        <x:v>30621.9183931616</x:v>
      </x:c>
      <x:c r="E1447" s="16" t="n">
        <x:v>8024.0468693918</x:v>
      </x:c>
      <x:c r="F1447" s="23" t="n">
        <x:v>4</x:v>
      </x:c>
    </x:row>
    <x:row r="1448">
      <x:c r="A1448" s="15" t="n">
        <x:v>43132</x:v>
      </x:c>
      <x:c r="B1448" s="13" t="str">
        <x:v>Pulp &amp; Paper</x:v>
      </x:c>
      <x:c r="C1448" s="16" t="n">
        <x:v>5181.065152526</x:v>
      </x:c>
      <x:c r="D1448" s="16" t="n">
        <x:v>6278.1323246466</x:v>
      </x:c>
      <x:c r="E1448" s="16" t="n">
        <x:v>1097.0671721205</x:v>
      </x:c>
      <x:c r="F1448" s="23" t="n">
        <x:v>3</x:v>
      </x:c>
    </x:row>
    <x:row r="1449">
      <x:c r="A1449" s="15" t="n">
        <x:v>43132</x:v>
      </x:c>
      <x:c r="B1449" s="13" t="str">
        <x:v>Retail</x:v>
      </x:c>
      <x:c r="C1449" s="16" t="n">
        <x:v>3225.8555608548</x:v>
      </x:c>
      <x:c r="D1449" s="16" t="n">
        <x:v>3422.9486048438</x:v>
      </x:c>
      <x:c r="E1449" s="16" t="n">
        <x:v>197.093043989</x:v>
      </x:c>
      <x:c r="F1449" s="23" t="n">
        <x:v>4</x:v>
      </x:c>
    </x:row>
    <x:row r="1450">
      <x:c r="A1450" s="15" t="n">
        <x:v>43132</x:v>
      </x:c>
      <x:c r="B1450" s="13" t="str">
        <x:v>Sanitation</x:v>
      </x:c>
      <x:c r="C1450" s="16" t="n">
        <x:v>2846.6948530849</x:v>
      </x:c>
      <x:c r="D1450" s="16" t="n">
        <x:v>2873.9460222247</x:v>
      </x:c>
      <x:c r="E1450" s="16" t="n">
        <x:v>27.2511691397</x:v>
      </x:c>
      <x:c r="F1450" s="23" t="n">
        <x:v>1</x:v>
      </x:c>
    </x:row>
    <x:row r="1451">
      <x:c r="A1451" s="15" t="n">
        <x:v>43132</x:v>
      </x:c>
      <x:c r="B1451" s="13" t="str">
        <x:v>TMT</x:v>
      </x:c>
      <x:c r="C1451" s="16" t="n">
        <x:v>7671.4206204493</x:v>
      </x:c>
      <x:c r="D1451" s="16" t="n">
        <x:v>8068.0149016548</x:v>
      </x:c>
      <x:c r="E1451" s="16" t="n">
        <x:v>396.5942812055</x:v>
      </x:c>
      <x:c r="F1451" s="23" t="n">
        <x:v>3</x:v>
      </x:c>
    </x:row>
    <x:row r="1452">
      <x:c r="A1452" s="15" t="n">
        <x:v>43132</x:v>
      </x:c>
      <x:c r="B1452" s="13" t="str">
        <x:v>Transportation</x:v>
      </x:c>
      <x:c r="C1452" s="16" t="n">
        <x:v>3539.3860366904</x:v>
      </x:c>
      <x:c r="D1452" s="16" t="n">
        <x:v>3686.5226857205</x:v>
      </x:c>
      <x:c r="E1452" s="16" t="n">
        <x:v>147.1366490301</x:v>
      </x:c>
      <x:c r="F1452" s="23" t="n">
        <x:v>4</x:v>
      </x:c>
    </x:row>
    <x:row r="1453">
      <x:c r="A1453" s="15" t="n">
        <x:v>43132</x:v>
      </x:c>
      <x:c r="B1453" s="13" t="str">
        <x:v>Utilities &amp; Energy</x:v>
      </x:c>
      <x:c r="C1453" s="16" t="n">
        <x:v>15810.3514732712</x:v>
      </x:c>
      <x:c r="D1453" s="16" t="n">
        <x:v>16597.5431876383</x:v>
      </x:c>
      <x:c r="E1453" s="16" t="n">
        <x:v>787.1917143671</x:v>
      </x:c>
      <x:c r="F1453" s="23" t="n">
        <x:v>8</x:v>
      </x:c>
    </x:row>
    <x:row r="1454">
      <x:c r="A1454" s="15" t="n">
        <x:v>43160</x:v>
      </x:c>
      <x:c r="B1454" s="13" t="str">
        <x:v>Banks</x:v>
      </x:c>
      <x:c r="C1454" s="16" t="n">
        <x:v>86641.7146080438</x:v>
      </x:c>
      <x:c r="D1454" s="16" t="n">
        <x:v>94468.4042548604</x:v>
      </x:c>
      <x:c r="E1454" s="16" t="n">
        <x:v>7826.6896468166</x:v>
      </x:c>
      <x:c r="F1454" s="23" t="n">
        <x:v>5</x:v>
      </x:c>
    </x:row>
    <x:row r="1455">
      <x:c r="A1455" s="15" t="n">
        <x:v>43160</x:v>
      </x:c>
      <x:c r="B1455" s="13" t="str">
        <x:v>Capital Goods</x:v>
      </x:c>
      <x:c r="C1455" s="16" t="n">
        <x:v>1953.4770826521</x:v>
      </x:c>
      <x:c r="D1455" s="16" t="n">
        <x:v>2117.1842198794</x:v>
      </x:c>
      <x:c r="E1455" s="16" t="n">
        <x:v>163.7071372274</x:v>
      </x:c>
      <x:c r="F1455" s="23" t="n">
        <x:v>2</x:v>
      </x:c>
    </x:row>
    <x:row r="1456">
      <x:c r="A1456" s="15" t="n">
        <x:v>43160</x:v>
      </x:c>
      <x:c r="B1456" s="13" t="str">
        <x:v>Education</x:v>
      </x:c>
      <x:c r="C1456" s="16" t="n">
        <x:v>2954.6682976438</x:v>
      </x:c>
      <x:c r="D1456" s="16" t="n">
        <x:v>2979.0613249753</x:v>
      </x:c>
      <x:c r="E1456" s="16" t="n">
        <x:v>24.3930273315</x:v>
      </x:c>
      <x:c r="F1456" s="23" t="n">
        <x:v>2</x:v>
      </x:c>
    </x:row>
    <x:row r="1457">
      <x:c r="A1457" s="15" t="n">
        <x:v>43160</x:v>
      </x:c>
      <x:c r="B1457" s="13" t="str">
        <x:v>Financials Non-Banks</x:v>
      </x:c>
      <x:c r="C1457" s="16" t="n">
        <x:v>19648.1840822356</x:v>
      </x:c>
      <x:c r="D1457" s="16" t="n">
        <x:v>20970.876761074</x:v>
      </x:c>
      <x:c r="E1457" s="16" t="n">
        <x:v>1322.6926788383</x:v>
      </x:c>
      <x:c r="F1457" s="23" t="n">
        <x:v>4</x:v>
      </x:c>
    </x:row>
    <x:row r="1458">
      <x:c r="A1458" s="15" t="n">
        <x:v>43160</x:v>
      </x:c>
      <x:c r="B1458" s="13" t="str">
        <x:v>Food &amp; Beverages</x:v>
      </x:c>
      <x:c r="C1458" s="16" t="n">
        <x:v>19174.4582958465</x:v>
      </x:c>
      <x:c r="D1458" s="16" t="n">
        <x:v>19222.3163944328</x:v>
      </x:c>
      <x:c r="E1458" s="16" t="n">
        <x:v>47.8580985863</x:v>
      </x:c>
      <x:c r="F1458" s="23" t="n">
        <x:v>4</x:v>
      </x:c>
    </x:row>
    <x:row r="1459">
      <x:c r="A1459" s="15" t="n">
        <x:v>43160</x:v>
      </x:c>
      <x:c r="B1459" s="13" t="str">
        <x:v>Health Care</x:v>
      </x:c>
      <x:c r="C1459" s="16" t="n">
        <x:v>2044.457036274</x:v>
      </x:c>
      <x:c r="D1459" s="16" t="n">
        <x:v>2058.1225384329</x:v>
      </x:c>
      <x:c r="E1459" s="16" t="n">
        <x:v>13.6655021589</x:v>
      </x:c>
      <x:c r="F1459" s="23" t="n">
        <x:v>3</x:v>
      </x:c>
    </x:row>
    <x:row r="1460">
      <x:c r="A1460" s="15" t="n">
        <x:v>43160</x:v>
      </x:c>
      <x:c r="B1460" s="13" t="str">
        <x:v>Homebuilders</x:v>
      </x:c>
      <x:c r="C1460" s="16" t="n">
        <x:v>948.3189278247</x:v>
      </x:c>
      <x:c r="D1460" s="16" t="n">
        <x:v>1031.1064177096</x:v>
      </x:c>
      <x:c r="E1460" s="16" t="n">
        <x:v>82.7874898849</x:v>
      </x:c>
      <x:c r="F1460" s="23" t="n">
        <x:v>2</x:v>
      </x:c>
    </x:row>
    <x:row r="1461">
      <x:c r="A1461" s="15" t="n">
        <x:v>43160</x:v>
      </x:c>
      <x:c r="B1461" s="13" t="str">
        <x:v>Income Properties</x:v>
      </x:c>
      <x:c r="C1461" s="16" t="n">
        <x:v>1327.4464268274</x:v>
      </x:c>
      <x:c r="D1461" s="16" t="n">
        <x:v>1347.8964575562</x:v>
      </x:c>
      <x:c r="E1461" s="16" t="n">
        <x:v>20.4500307288</x:v>
      </x:c>
      <x:c r="F1461" s="23" t="n">
        <x:v>3</x:v>
      </x:c>
    </x:row>
    <x:row r="1462">
      <x:c r="A1462" s="15" t="n">
        <x:v>43160</x:v>
      </x:c>
      <x:c r="B1462" s="13" t="str">
        <x:v>Metals &amp; Mining</x:v>
      </x:c>
      <x:c r="C1462" s="16" t="n">
        <x:v>26095.1186290849</x:v>
      </x:c>
      <x:c r="D1462" s="16" t="n">
        <x:v>31635.1082273315</x:v>
      </x:c>
      <x:c r="E1462" s="16" t="n">
        <x:v>5539.9895982466</x:v>
      </x:c>
      <x:c r="F1462" s="23" t="n">
        <x:v>6</x:v>
      </x:c>
    </x:row>
    <x:row r="1463">
      <x:c r="A1463" s="15" t="n">
        <x:v>43160</x:v>
      </x:c>
      <x:c r="B1463" s="13" t="str">
        <x:v>Oil, Gas &amp; Petrochemicals</x:v>
      </x:c>
      <x:c r="C1463" s="16" t="n">
        <x:v>24320.5653724932</x:v>
      </x:c>
      <x:c r="D1463" s="16" t="n">
        <x:v>32085.1322929095</x:v>
      </x:c>
      <x:c r="E1463" s="16" t="n">
        <x:v>7764.5669204164</x:v>
      </x:c>
      <x:c r="F1463" s="23" t="n">
        <x:v>4</x:v>
      </x:c>
    </x:row>
    <x:row r="1464">
      <x:c r="A1464" s="15" t="n">
        <x:v>43160</x:v>
      </x:c>
      <x:c r="B1464" s="13" t="str">
        <x:v>Pulp &amp; Paper</x:v>
      </x:c>
      <x:c r="C1464" s="16" t="n">
        <x:v>5439.1773276931</x:v>
      </x:c>
      <x:c r="D1464" s="16" t="n">
        <x:v>6663.7262588493</x:v>
      </x:c>
      <x:c r="E1464" s="16" t="n">
        <x:v>1224.5489311562</x:v>
      </x:c>
      <x:c r="F1464" s="23" t="n">
        <x:v>3</x:v>
      </x:c>
    </x:row>
    <x:row r="1465">
      <x:c r="A1465" s="15" t="n">
        <x:v>43160</x:v>
      </x:c>
      <x:c r="B1465" s="13" t="str">
        <x:v>Retail</x:v>
      </x:c>
      <x:c r="C1465" s="16" t="n">
        <x:v>4495.8681552658</x:v>
      </x:c>
      <x:c r="D1465" s="16" t="n">
        <x:v>4668.3931693589</x:v>
      </x:c>
      <x:c r="E1465" s="16" t="n">
        <x:v>172.5250140932</x:v>
      </x:c>
      <x:c r="F1465" s="23" t="n">
        <x:v>6</x:v>
      </x:c>
    </x:row>
    <x:row r="1466">
      <x:c r="A1466" s="15" t="n">
        <x:v>43160</x:v>
      </x:c>
      <x:c r="B1466" s="13" t="str">
        <x:v>Sanitation</x:v>
      </x:c>
      <x:c r="C1466" s="16" t="n">
        <x:v>2825.0730327671</x:v>
      </x:c>
      <x:c r="D1466" s="16" t="n">
        <x:v>2978.1183326685</x:v>
      </x:c>
      <x:c r="E1466" s="16" t="n">
        <x:v>153.0452999014</x:v>
      </x:c>
      <x:c r="F1466" s="23" t="n">
        <x:v>1</x:v>
      </x:c>
    </x:row>
    <x:row r="1467">
      <x:c r="A1467" s="15" t="n">
        <x:v>43160</x:v>
      </x:c>
      <x:c r="B1467" s="13" t="str">
        <x:v>TMT</x:v>
      </x:c>
      <x:c r="C1467" s="16" t="n">
        <x:v>7789.0037854685</x:v>
      </x:c>
      <x:c r="D1467" s="16" t="n">
        <x:v>8158.2001744657</x:v>
      </x:c>
      <x:c r="E1467" s="16" t="n">
        <x:v>369.1963889973</x:v>
      </x:c>
      <x:c r="F1467" s="23" t="n">
        <x:v>3</x:v>
      </x:c>
    </x:row>
    <x:row r="1468">
      <x:c r="A1468" s="15" t="n">
        <x:v>43160</x:v>
      </x:c>
      <x:c r="B1468" s="13" t="str">
        <x:v>Transportation</x:v>
      </x:c>
      <x:c r="C1468" s="16" t="n">
        <x:v>3650.7444334466</x:v>
      </x:c>
      <x:c r="D1468" s="16" t="n">
        <x:v>3721.5367508164</x:v>
      </x:c>
      <x:c r="E1468" s="16" t="n">
        <x:v>70.7923173699</x:v>
      </x:c>
      <x:c r="F1468" s="23" t="n">
        <x:v>4</x:v>
      </x:c>
    </x:row>
    <x:row r="1469">
      <x:c r="A1469" s="15" t="n">
        <x:v>43160</x:v>
      </x:c>
      <x:c r="B1469" s="13" t="str">
        <x:v>Utilities &amp; Energy</x:v>
      </x:c>
      <x:c r="C1469" s="16" t="n">
        <x:v>17620.6905201973</x:v>
      </x:c>
      <x:c r="D1469" s="16" t="n">
        <x:v>14210.8605238356</x:v>
      </x:c>
      <x:c r="E1469" s="16" t="n">
        <x:v>-3409.8299963617</x:v>
      </x:c>
      <x:c r="F1469" s="23" t="n">
        <x:v>9</x:v>
      </x:c>
    </x:row>
    <x:row r="1470">
      <x:c r="A1470" s="15" t="n">
        <x:v>43191</x:v>
      </x:c>
      <x:c r="B1470" s="13" t="str">
        <x:v>Banks</x:v>
      </x:c>
      <x:c r="C1470" s="16" t="n">
        <x:v>88862.2983785205</x:v>
      </x:c>
      <x:c r="D1470" s="16" t="n">
        <x:v>95663.3934132602</x:v>
      </x:c>
      <x:c r="E1470" s="16" t="n">
        <x:v>6801.0950347397</x:v>
      </x:c>
      <x:c r="F1470" s="23" t="n">
        <x:v>5</x:v>
      </x:c>
    </x:row>
    <x:row r="1471">
      <x:c r="A1471" s="15" t="n">
        <x:v>43191</x:v>
      </x:c>
      <x:c r="B1471" s="13" t="str">
        <x:v>Capital Goods</x:v>
      </x:c>
      <x:c r="C1471" s="16" t="n">
        <x:v>2003.1412660603</x:v>
      </x:c>
      <x:c r="D1471" s="16" t="n">
        <x:v>2166.3801372055</x:v>
      </x:c>
      <x:c r="E1471" s="16" t="n">
        <x:v>163.2388711452</x:v>
      </x:c>
      <x:c r="F1471" s="23" t="n">
        <x:v>2</x:v>
      </x:c>
    </x:row>
    <x:row r="1472">
      <x:c r="A1472" s="15" t="n">
        <x:v>43191</x:v>
      </x:c>
      <x:c r="B1472" s="13" t="str">
        <x:v>Education</x:v>
      </x:c>
      <x:c r="C1472" s="16" t="n">
        <x:v>2977.1155140384</x:v>
      </x:c>
      <x:c r="D1472" s="16" t="n">
        <x:v>2929.1873122192</x:v>
      </x:c>
      <x:c r="E1472" s="16" t="n">
        <x:v>-47.9282018192</x:v>
      </x:c>
      <x:c r="F1472" s="23" t="n">
        <x:v>2</x:v>
      </x:c>
    </x:row>
    <x:row r="1473">
      <x:c r="A1473" s="15" t="n">
        <x:v>43191</x:v>
      </x:c>
      <x:c r="B1473" s="13" t="str">
        <x:v>Financials Non-Banks</x:v>
      </x:c>
      <x:c r="C1473" s="16" t="n">
        <x:v>20058.9485420712</x:v>
      </x:c>
      <x:c r="D1473" s="16" t="n">
        <x:v>20921.0485269041</x:v>
      </x:c>
      <x:c r="E1473" s="16" t="n">
        <x:v>862.0999848329</x:v>
      </x:c>
      <x:c r="F1473" s="23" t="n">
        <x:v>4</x:v>
      </x:c>
    </x:row>
    <x:row r="1474">
      <x:c r="A1474" s="15" t="n">
        <x:v>43191</x:v>
      </x:c>
      <x:c r="B1474" s="13" t="str">
        <x:v>Food &amp; Beverages</x:v>
      </x:c>
      <x:c r="C1474" s="16" t="n">
        <x:v>19457.0309963397</x:v>
      </x:c>
      <x:c r="D1474" s="16" t="n">
        <x:v>19170.7876528219</x:v>
      </x:c>
      <x:c r="E1474" s="16" t="n">
        <x:v>-286.2433435178</x:v>
      </x:c>
      <x:c r="F1474" s="23" t="n">
        <x:v>4</x:v>
      </x:c>
    </x:row>
    <x:row r="1475">
      <x:c r="A1475" s="15" t="n">
        <x:v>43191</x:v>
      </x:c>
      <x:c r="B1475" s="13" t="str">
        <x:v>Health Care</x:v>
      </x:c>
      <x:c r="C1475" s="16" t="n">
        <x:v>2050.3021082301</x:v>
      </x:c>
      <x:c r="D1475" s="16" t="n">
        <x:v>2078.0956870137</x:v>
      </x:c>
      <x:c r="E1475" s="16" t="n">
        <x:v>27.7935787836</x:v>
      </x:c>
      <x:c r="F1475" s="23" t="n">
        <x:v>3</x:v>
      </x:c>
    </x:row>
    <x:row r="1476">
      <x:c r="A1476" s="15" t="n">
        <x:v>43191</x:v>
      </x:c>
      <x:c r="B1476" s="13" t="str">
        <x:v>Homebuilders</x:v>
      </x:c>
      <x:c r="C1476" s="16" t="n">
        <x:v>974.1715740055</x:v>
      </x:c>
      <x:c r="D1476" s="16" t="n">
        <x:v>1052.5248512877</x:v>
      </x:c>
      <x:c r="E1476" s="16" t="n">
        <x:v>78.3532772822</x:v>
      </x:c>
      <x:c r="F1476" s="23" t="n">
        <x:v>2</x:v>
      </x:c>
    </x:row>
    <x:row r="1477">
      <x:c r="A1477" s="15" t="n">
        <x:v>43191</x:v>
      </x:c>
      <x:c r="B1477" s="13" t="str">
        <x:v>Income Properties</x:v>
      </x:c>
      <x:c r="C1477" s="16" t="n">
        <x:v>1346.1435422685</x:v>
      </x:c>
      <x:c r="D1477" s="16" t="n">
        <x:v>1354.1922270685</x:v>
      </x:c>
      <x:c r="E1477" s="16" t="n">
        <x:v>8.0486848</x:v>
      </x:c>
      <x:c r="F1477" s="23" t="n">
        <x:v>3</x:v>
      </x:c>
    </x:row>
    <x:row r="1478">
      <x:c r="A1478" s="15" t="n">
        <x:v>43191</x:v>
      </x:c>
      <x:c r="B1478" s="13" t="str">
        <x:v>Metals &amp; Mining</x:v>
      </x:c>
      <x:c r="C1478" s="16" t="n">
        <x:v>26860.5735222356</x:v>
      </x:c>
      <x:c r="D1478" s="16" t="n">
        <x:v>30159.8818989589</x:v>
      </x:c>
      <x:c r="E1478" s="16" t="n">
        <x:v>3299.3083767234</x:v>
      </x:c>
      <x:c r="F1478" s="23" t="n">
        <x:v>5</x:v>
      </x:c>
    </x:row>
    <x:row r="1479">
      <x:c r="A1479" s="15" t="n">
        <x:v>43191</x:v>
      </x:c>
      <x:c r="B1479" s="13" t="str">
        <x:v>Oil, Gas &amp; Petrochemicals</x:v>
      </x:c>
      <x:c r="C1479" s="16" t="n">
        <x:v>26753.3172764055</x:v>
      </x:c>
      <x:c r="D1479" s="16" t="n">
        <x:v>34040.7341852055</x:v>
      </x:c>
      <x:c r="E1479" s="16" t="n">
        <x:v>7287.4169088</x:v>
      </x:c>
      <x:c r="F1479" s="23" t="n">
        <x:v>4</x:v>
      </x:c>
    </x:row>
    <x:row r="1480">
      <x:c r="A1480" s="15" t="n">
        <x:v>43191</x:v>
      </x:c>
      <x:c r="B1480" s="13" t="str">
        <x:v>Pulp &amp; Paper</x:v>
      </x:c>
      <x:c r="C1480" s="16" t="n">
        <x:v>6526.3551845699</x:v>
      </x:c>
      <x:c r="D1480" s="16" t="n">
        <x:v>7787.2490143562</x:v>
      </x:c>
      <x:c r="E1480" s="16" t="n">
        <x:v>1260.8938297863</x:v>
      </x:c>
      <x:c r="F1480" s="23" t="n">
        <x:v>3</x:v>
      </x:c>
    </x:row>
    <x:row r="1481">
      <x:c r="A1481" s="15" t="n">
        <x:v>43191</x:v>
      </x:c>
      <x:c r="B1481" s="13" t="str">
        <x:v>Retail</x:v>
      </x:c>
      <x:c r="C1481" s="16" t="n">
        <x:v>4496.340774926</x:v>
      </x:c>
      <x:c r="D1481" s="16" t="n">
        <x:v>4746.2513481644</x:v>
      </x:c>
      <x:c r="E1481" s="16" t="n">
        <x:v>249.9105732384</x:v>
      </x:c>
      <x:c r="F1481" s="23" t="n">
        <x:v>6</x:v>
      </x:c>
    </x:row>
    <x:row r="1482">
      <x:c r="A1482" s="15" t="n">
        <x:v>43191</x:v>
      </x:c>
      <x:c r="B1482" s="13" t="str">
        <x:v>Sanitation</x:v>
      </x:c>
      <x:c r="C1482" s="16" t="n">
        <x:v>3838.5194797589</x:v>
      </x:c>
      <x:c r="D1482" s="16" t="n">
        <x:v>3929.2808267397</x:v>
      </x:c>
      <x:c r="E1482" s="16" t="n">
        <x:v>90.7613469808</x:v>
      </x:c>
      <x:c r="F1482" s="23" t="n">
        <x:v>2</x:v>
      </x:c>
    </x:row>
    <x:row r="1483">
      <x:c r="A1483" s="15" t="n">
        <x:v>43191</x:v>
      </x:c>
      <x:c r="B1483" s="13" t="str">
        <x:v>TMT</x:v>
      </x:c>
      <x:c r="C1483" s="16" t="n">
        <x:v>7912.4988039014</x:v>
      </x:c>
      <x:c r="D1483" s="16" t="n">
        <x:v>8051.1800688219</x:v>
      </x:c>
      <x:c r="E1483" s="16" t="n">
        <x:v>138.6812649205</x:v>
      </x:c>
      <x:c r="F1483" s="23" t="n">
        <x:v>3</x:v>
      </x:c>
    </x:row>
    <x:row r="1484">
      <x:c r="A1484" s="15" t="n">
        <x:v>43191</x:v>
      </x:c>
      <x:c r="B1484" s="13" t="str">
        <x:v>Transportation</x:v>
      </x:c>
      <x:c r="C1484" s="16" t="n">
        <x:v>3819.0127005808</x:v>
      </x:c>
      <x:c r="D1484" s="16" t="n">
        <x:v>3848.0104530411</x:v>
      </x:c>
      <x:c r="E1484" s="16" t="n">
        <x:v>28.9977524603</x:v>
      </x:c>
      <x:c r="F1484" s="23" t="n">
        <x:v>4</x:v>
      </x:c>
    </x:row>
    <x:row r="1485">
      <x:c r="A1485" s="15" t="n">
        <x:v>43191</x:v>
      </x:c>
      <x:c r="B1485" s="13" t="str">
        <x:v>Utilities &amp; Energy</x:v>
      </x:c>
      <x:c r="C1485" s="16" t="n">
        <x:v>16333.5052661479</x:v>
      </x:c>
      <x:c r="D1485" s="16" t="n">
        <x:v>13517.2060686027</x:v>
      </x:c>
      <x:c r="E1485" s="16" t="n">
        <x:v>-2816.2991975452</x:v>
      </x:c>
      <x:c r="F1485" s="23" t="n">
        <x:v>8</x:v>
      </x:c>
    </x:row>
    <x:row r="1486">
      <x:c r="A1486" s="15" t="n">
        <x:v>43221</x:v>
      </x:c>
      <x:c r="B1486" s="13" t="str">
        <x:v>Banks</x:v>
      </x:c>
      <x:c r="C1486" s="16" t="n">
        <x:v>93055.2310264988</x:v>
      </x:c>
      <x:c r="D1486" s="16" t="n">
        <x:v>97657.2710042302</x:v>
      </x:c>
      <x:c r="E1486" s="16" t="n">
        <x:v>4602.0399777314</x:v>
      </x:c>
      <x:c r="F1486" s="23" t="n">
        <x:v>5</x:v>
      </x:c>
    </x:row>
    <x:row r="1487">
      <x:c r="A1487" s="15" t="n">
        <x:v>43221</x:v>
      </x:c>
      <x:c r="B1487" s="13" t="str">
        <x:v>Capital Goods</x:v>
      </x:c>
      <x:c r="C1487" s="16" t="n">
        <x:v>2068.5043491068</x:v>
      </x:c>
      <x:c r="D1487" s="16" t="n">
        <x:v>2226.4565216438</x:v>
      </x:c>
      <x:c r="E1487" s="16" t="n">
        <x:v>157.952172537</x:v>
      </x:c>
      <x:c r="F1487" s="23" t="n">
        <x:v>2</x:v>
      </x:c>
    </x:row>
    <x:row r="1488">
      <x:c r="A1488" s="15" t="n">
        <x:v>43221</x:v>
      </x:c>
      <x:c r="B1488" s="13" t="str">
        <x:v>Education</x:v>
      </x:c>
      <x:c r="C1488" s="16" t="n">
        <x:v>2953.3470755069</x:v>
      </x:c>
      <x:c r="D1488" s="16" t="n">
        <x:v>2913.1038122082</x:v>
      </x:c>
      <x:c r="E1488" s="16" t="n">
        <x:v>-40.2432632986</x:v>
      </x:c>
      <x:c r="F1488" s="23" t="n">
        <x:v>2</x:v>
      </x:c>
    </x:row>
    <x:row r="1489">
      <x:c r="A1489" s="15" t="n">
        <x:v>43221</x:v>
      </x:c>
      <x:c r="B1489" s="13" t="str">
        <x:v>Financials Non-Banks</x:v>
      </x:c>
      <x:c r="C1489" s="16" t="n">
        <x:v>20204.4834472329</x:v>
      </x:c>
      <x:c r="D1489" s="16" t="n">
        <x:v>21022.7707679562</x:v>
      </x:c>
      <x:c r="E1489" s="16" t="n">
        <x:v>818.2873207233</x:v>
      </x:c>
      <x:c r="F1489" s="23" t="n">
        <x:v>4</x:v>
      </x:c>
    </x:row>
    <x:row r="1490">
      <x:c r="A1490" s="15" t="n">
        <x:v>43221</x:v>
      </x:c>
      <x:c r="B1490" s="13" t="str">
        <x:v>Food &amp; Beverages</x:v>
      </x:c>
      <x:c r="C1490" s="16" t="n">
        <x:v>19238.0420816219</x:v>
      </x:c>
      <x:c r="D1490" s="16" t="n">
        <x:v>18807.1178579288</x:v>
      </x:c>
      <x:c r="E1490" s="16" t="n">
        <x:v>-430.9242236931</x:v>
      </x:c>
      <x:c r="F1490" s="23" t="n">
        <x:v>4</x:v>
      </x:c>
    </x:row>
    <x:row r="1491">
      <x:c r="A1491" s="15" t="n">
        <x:v>43221</x:v>
      </x:c>
      <x:c r="B1491" s="13" t="str">
        <x:v>Health Care</x:v>
      </x:c>
      <x:c r="C1491" s="16" t="n">
        <x:v>2074.2004709699</x:v>
      </x:c>
      <x:c r="D1491" s="16" t="n">
        <x:v>2117.0733578521</x:v>
      </x:c>
      <x:c r="E1491" s="16" t="n">
        <x:v>42.8728868822</x:v>
      </x:c>
      <x:c r="F1491" s="23" t="n">
        <x:v>3</x:v>
      </x:c>
    </x:row>
    <x:row r="1492">
      <x:c r="A1492" s="15" t="n">
        <x:v>43221</x:v>
      </x:c>
      <x:c r="B1492" s="13" t="str">
        <x:v>Homebuilders</x:v>
      </x:c>
      <x:c r="C1492" s="16" t="n">
        <x:v>997.0248300712</x:v>
      </x:c>
      <x:c r="D1492" s="16" t="n">
        <x:v>1052.5368397151</x:v>
      </x:c>
      <x:c r="E1492" s="16" t="n">
        <x:v>55.5120096438</x:v>
      </x:c>
      <x:c r="F1492" s="23" t="n">
        <x:v>2</x:v>
      </x:c>
    </x:row>
    <x:row r="1493">
      <x:c r="A1493" s="15" t="n">
        <x:v>43221</x:v>
      </x:c>
      <x:c r="B1493" s="13" t="str">
        <x:v>Income Properties</x:v>
      </x:c>
      <x:c r="C1493" s="16" t="n">
        <x:v>1348.9615752767</x:v>
      </x:c>
      <x:c r="D1493" s="16" t="n">
        <x:v>1393.8508158247</x:v>
      </x:c>
      <x:c r="E1493" s="16" t="n">
        <x:v>44.8892405479</x:v>
      </x:c>
      <x:c r="F1493" s="23" t="n">
        <x:v>3</x:v>
      </x:c>
    </x:row>
    <x:row r="1494">
      <x:c r="A1494" s="15" t="n">
        <x:v>43221</x:v>
      </x:c>
      <x:c r="B1494" s="13" t="str">
        <x:v>Metals &amp; Mining</x:v>
      </x:c>
      <x:c r="C1494" s="16" t="n">
        <x:v>27222.9325669699</x:v>
      </x:c>
      <x:c r="D1494" s="16" t="n">
        <x:v>31928.2107811069</x:v>
      </x:c>
      <x:c r="E1494" s="16" t="n">
        <x:v>4705.278214137</x:v>
      </x:c>
      <x:c r="F1494" s="23" t="n">
        <x:v>5</x:v>
      </x:c>
    </x:row>
    <x:row r="1495">
      <x:c r="A1495" s="15" t="n">
        <x:v>43221</x:v>
      </x:c>
      <x:c r="B1495" s="13" t="str">
        <x:v>Oil, Gas &amp; Petrochemicals</x:v>
      </x:c>
      <x:c r="C1495" s="16" t="n">
        <x:v>30621.9183931616</x:v>
      </x:c>
      <x:c r="D1495" s="16" t="n">
        <x:v>37255.4078916383</x:v>
      </x:c>
      <x:c r="E1495" s="16" t="n">
        <x:v>6633.4894984767</x:v>
      </x:c>
      <x:c r="F1495" s="23" t="n">
        <x:v>4</x:v>
      </x:c>
    </x:row>
    <x:row r="1496">
      <x:c r="A1496" s="15" t="n">
        <x:v>43221</x:v>
      </x:c>
      <x:c r="B1496" s="13" t="str">
        <x:v>Pulp &amp; Paper</x:v>
      </x:c>
      <x:c r="C1496" s="16" t="n">
        <x:v>6278.1323246466</x:v>
      </x:c>
      <x:c r="D1496" s="16" t="n">
        <x:v>8915.5958103671</x:v>
      </x:c>
      <x:c r="E1496" s="16" t="n">
        <x:v>2637.4634857205</x:v>
      </x:c>
      <x:c r="F1496" s="23" t="n">
        <x:v>3</x:v>
      </x:c>
    </x:row>
    <x:row r="1497">
      <x:c r="A1497" s="15" t="n">
        <x:v>43221</x:v>
      </x:c>
      <x:c r="B1497" s="13" t="str">
        <x:v>Retail</x:v>
      </x:c>
      <x:c r="C1497" s="16" t="n">
        <x:v>4552.9359459945</x:v>
      </x:c>
      <x:c r="D1497" s="16" t="n">
        <x:v>4907.2862307945</x:v>
      </x:c>
      <x:c r="E1497" s="16" t="n">
        <x:v>354.3502848</x:v>
      </x:c>
      <x:c r="F1497" s="23" t="n">
        <x:v>6</x:v>
      </x:c>
    </x:row>
    <x:row r="1498">
      <x:c r="A1498" s="15" t="n">
        <x:v>43221</x:v>
      </x:c>
      <x:c r="B1498" s="13" t="str">
        <x:v>Sanitation</x:v>
      </x:c>
      <x:c r="C1498" s="16" t="n">
        <x:v>3778.5535456438</x:v>
      </x:c>
      <x:c r="D1498" s="16" t="n">
        <x:v>3773.0923930301</x:v>
      </x:c>
      <x:c r="E1498" s="16" t="n">
        <x:v>-5.4611526137</x:v>
      </x:c>
      <x:c r="F1498" s="23" t="n">
        <x:v>2</x:v>
      </x:c>
    </x:row>
    <x:row r="1499">
      <x:c r="A1499" s="15" t="n">
        <x:v>43221</x:v>
      </x:c>
      <x:c r="B1499" s="13" t="str">
        <x:v>TMT</x:v>
      </x:c>
      <x:c r="C1499" s="16" t="n">
        <x:v>8068.0149016548</x:v>
      </x:c>
      <x:c r="D1499" s="16" t="n">
        <x:v>8156.941383189</x:v>
      </x:c>
      <x:c r="E1499" s="16" t="n">
        <x:v>88.9264815342</x:v>
      </x:c>
      <x:c r="F1499" s="23" t="n">
        <x:v>3</x:v>
      </x:c>
    </x:row>
    <x:row r="1500">
      <x:c r="A1500" s="15" t="n">
        <x:v>43221</x:v>
      </x:c>
      <x:c r="B1500" s="13" t="str">
        <x:v>Transportation</x:v>
      </x:c>
      <x:c r="C1500" s="16" t="n">
        <x:v>3686.5226857205</x:v>
      </x:c>
      <x:c r="D1500" s="16" t="n">
        <x:v>3882.8947378849</x:v>
      </x:c>
      <x:c r="E1500" s="16" t="n">
        <x:v>196.3720521644</x:v>
      </x:c>
      <x:c r="F1500" s="23" t="n">
        <x:v>4</x:v>
      </x:c>
    </x:row>
    <x:row r="1501">
      <x:c r="A1501" s="15" t="n">
        <x:v>43221</x:v>
      </x:c>
      <x:c r="B1501" s="13" t="str">
        <x:v>Utilities &amp; Energy</x:v>
      </x:c>
      <x:c r="C1501" s="16" t="n">
        <x:v>16597.5431876383</x:v>
      </x:c>
      <x:c r="D1501" s="16" t="n">
        <x:v>18280.844198926</x:v>
      </x:c>
      <x:c r="E1501" s="16" t="n">
        <x:v>1683.3010112877</x:v>
      </x:c>
      <x:c r="F1501" s="23" t="n">
        <x:v>8</x:v>
      </x:c>
    </x:row>
    <x:row r="1502">
      <x:c r="A1502" s="15" t="n">
        <x:v>43252</x:v>
      </x:c>
      <x:c r="B1502" s="13" t="str">
        <x:v>Banks</x:v>
      </x:c>
      <x:c r="C1502" s="16" t="n">
        <x:v>94468.4042548604</x:v>
      </x:c>
      <x:c r="D1502" s="16" t="n">
        <x:v>97889.7813952878</x:v>
      </x:c>
      <x:c r="E1502" s="16" t="n">
        <x:v>3421.3771404274</x:v>
      </x:c>
      <x:c r="F1502" s="23" t="n">
        <x:v>5</x:v>
      </x:c>
    </x:row>
    <x:row r="1503">
      <x:c r="A1503" s="15" t="n">
        <x:v>43252</x:v>
      </x:c>
      <x:c r="B1503" s="13" t="str">
        <x:v>Capital Goods</x:v>
      </x:c>
      <x:c r="C1503" s="16" t="n">
        <x:v>2117.1842198794</x:v>
      </x:c>
      <x:c r="D1503" s="16" t="n">
        <x:v>2288.8826029589</x:v>
      </x:c>
      <x:c r="E1503" s="16" t="n">
        <x:v>171.6983830795</x:v>
      </x:c>
      <x:c r="F1503" s="23" t="n">
        <x:v>2</x:v>
      </x:c>
    </x:row>
    <x:row r="1504">
      <x:c r="A1504" s="15" t="n">
        <x:v>43252</x:v>
      </x:c>
      <x:c r="B1504" s="13" t="str">
        <x:v>Education</x:v>
      </x:c>
      <x:c r="C1504" s="16" t="n">
        <x:v>2979.0613249753</x:v>
      </x:c>
      <x:c r="D1504" s="16" t="n">
        <x:v>2810.6101286575</x:v>
      </x:c>
      <x:c r="E1504" s="16" t="n">
        <x:v>-168.4511963178</x:v>
      </x:c>
      <x:c r="F1504" s="23" t="n">
        <x:v>2</x:v>
      </x:c>
    </x:row>
    <x:row r="1505">
      <x:c r="A1505" s="15" t="n">
        <x:v>43252</x:v>
      </x:c>
      <x:c r="B1505" s="13" t="str">
        <x:v>Financials Non-Banks</x:v>
      </x:c>
      <x:c r="C1505" s="16" t="n">
        <x:v>20970.876761074</x:v>
      </x:c>
      <x:c r="D1505" s="16" t="n">
        <x:v>20950.3062128219</x:v>
      </x:c>
      <x:c r="E1505" s="16" t="n">
        <x:v>-20.570548252</x:v>
      </x:c>
      <x:c r="F1505" s="23" t="n">
        <x:v>4</x:v>
      </x:c>
    </x:row>
    <x:row r="1506">
      <x:c r="A1506" s="15" t="n">
        <x:v>43252</x:v>
      </x:c>
      <x:c r="B1506" s="13" t="str">
        <x:v>Food &amp; Beverages</x:v>
      </x:c>
      <x:c r="C1506" s="16" t="n">
        <x:v>19222.3163944328</x:v>
      </x:c>
      <x:c r="D1506" s="16" t="n">
        <x:v>18170.1690934247</x:v>
      </x:c>
      <x:c r="E1506" s="16" t="n">
        <x:v>-1052.1473010082</x:v>
      </x:c>
      <x:c r="F1506" s="23" t="n">
        <x:v>4</x:v>
      </x:c>
    </x:row>
    <x:row r="1507">
      <x:c r="A1507" s="15" t="n">
        <x:v>43252</x:v>
      </x:c>
      <x:c r="B1507" s="13" t="str">
        <x:v>Health Care</x:v>
      </x:c>
      <x:c r="C1507" s="16" t="n">
        <x:v>2058.1225384329</x:v>
      </x:c>
      <x:c r="D1507" s="16" t="n">
        <x:v>2127.2688118356</x:v>
      </x:c>
      <x:c r="E1507" s="16" t="n">
        <x:v>69.1462734027</x:v>
      </x:c>
      <x:c r="F1507" s="23" t="n">
        <x:v>3</x:v>
      </x:c>
    </x:row>
    <x:row r="1508">
      <x:c r="A1508" s="15" t="n">
        <x:v>43252</x:v>
      </x:c>
      <x:c r="B1508" s="13" t="str">
        <x:v>Homebuilders</x:v>
      </x:c>
      <x:c r="C1508" s="16" t="n">
        <x:v>1031.1064177096</x:v>
      </x:c>
      <x:c r="D1508" s="16" t="n">
        <x:v>1056.1765301918</x:v>
      </x:c>
      <x:c r="E1508" s="16" t="n">
        <x:v>25.0701124822</x:v>
      </x:c>
      <x:c r="F1508" s="23" t="n">
        <x:v>2</x:v>
      </x:c>
    </x:row>
    <x:row r="1509">
      <x:c r="A1509" s="15" t="n">
        <x:v>43252</x:v>
      </x:c>
      <x:c r="B1509" s="13" t="str">
        <x:v>Income Properties</x:v>
      </x:c>
      <x:c r="C1509" s="16" t="n">
        <x:v>1347.8964575562</x:v>
      </x:c>
      <x:c r="D1509" s="16" t="n">
        <x:v>1421.4469527671</x:v>
      </x:c>
      <x:c r="E1509" s="16" t="n">
        <x:v>73.550495211</x:v>
      </x:c>
      <x:c r="F1509" s="23" t="n">
        <x:v>3</x:v>
      </x:c>
    </x:row>
    <x:row r="1510">
      <x:c r="A1510" s="15" t="n">
        <x:v>43252</x:v>
      </x:c>
      <x:c r="B1510" s="13" t="str">
        <x:v>Metals &amp; Mining</x:v>
      </x:c>
      <x:c r="C1510" s="16" t="n">
        <x:v>29862.1986382904</x:v>
      </x:c>
      <x:c r="D1510" s="16" t="n">
        <x:v>33085.5053264657</x:v>
      </x:c>
      <x:c r="E1510" s="16" t="n">
        <x:v>3223.3066881753</x:v>
      </x:c>
      <x:c r="F1510" s="23" t="n">
        <x:v>5</x:v>
      </x:c>
    </x:row>
    <x:row r="1511">
      <x:c r="A1511" s="15" t="n">
        <x:v>43252</x:v>
      </x:c>
      <x:c r="B1511" s="13" t="str">
        <x:v>Oil, Gas &amp; Petrochemicals</x:v>
      </x:c>
      <x:c r="C1511" s="16" t="n">
        <x:v>32085.1322929095</x:v>
      </x:c>
      <x:c r="D1511" s="16" t="n">
        <x:v>38050.0347651507</x:v>
      </x:c>
      <x:c r="E1511" s="16" t="n">
        <x:v>5964.9024722412</x:v>
      </x:c>
      <x:c r="F1511" s="23" t="n">
        <x:v>4</x:v>
      </x:c>
    </x:row>
    <x:row r="1512">
      <x:c r="A1512" s="15" t="n">
        <x:v>43252</x:v>
      </x:c>
      <x:c r="B1512" s="13" t="str">
        <x:v>Pulp &amp; Paper</x:v>
      </x:c>
      <x:c r="C1512" s="16" t="n">
        <x:v>6663.7262588493</x:v>
      </x:c>
      <x:c r="D1512" s="16" t="n">
        <x:v>9601.6677970411</x:v>
      </x:c>
      <x:c r="E1512" s="16" t="n">
        <x:v>2937.9415381918</x:v>
      </x:c>
      <x:c r="F1512" s="23" t="n">
        <x:v>3</x:v>
      </x:c>
    </x:row>
    <x:row r="1513">
      <x:c r="A1513" s="15" t="n">
        <x:v>43252</x:v>
      </x:c>
      <x:c r="B1513" s="13" t="str">
        <x:v>Retail</x:v>
      </x:c>
      <x:c r="C1513" s="16" t="n">
        <x:v>4668.3931693589</x:v>
      </x:c>
      <x:c r="D1513" s="16" t="n">
        <x:v>4910.3232210411</x:v>
      </x:c>
      <x:c r="E1513" s="16" t="n">
        <x:v>241.9300516822</x:v>
      </x:c>
      <x:c r="F1513" s="23" t="n">
        <x:v>6</x:v>
      </x:c>
    </x:row>
    <x:row r="1514">
      <x:c r="A1514" s="15" t="n">
        <x:v>43252</x:v>
      </x:c>
      <x:c r="B1514" s="13" t="str">
        <x:v>Sanitation</x:v>
      </x:c>
      <x:c r="C1514" s="16" t="n">
        <x:v>3894.6025710466</x:v>
      </x:c>
      <x:c r="D1514" s="16" t="n">
        <x:v>3604.9847636164</x:v>
      </x:c>
      <x:c r="E1514" s="16" t="n">
        <x:v>-289.6178074301</x:v>
      </x:c>
      <x:c r="F1514" s="23" t="n">
        <x:v>2</x:v>
      </x:c>
    </x:row>
    <x:row r="1515">
      <x:c r="A1515" s="15" t="n">
        <x:v>43252</x:v>
      </x:c>
      <x:c r="B1515" s="13" t="str">
        <x:v>TMT</x:v>
      </x:c>
      <x:c r="C1515" s="16" t="n">
        <x:v>8158.2001744657</x:v>
      </x:c>
      <x:c r="D1515" s="16" t="n">
        <x:v>8268.3690993973</x:v>
      </x:c>
      <x:c r="E1515" s="16" t="n">
        <x:v>110.1689249315</x:v>
      </x:c>
      <x:c r="F1515" s="23" t="n">
        <x:v>3</x:v>
      </x:c>
    </x:row>
    <x:row r="1516">
      <x:c r="A1516" s="15" t="n">
        <x:v>43252</x:v>
      </x:c>
      <x:c r="B1516" s="13" t="str">
        <x:v>Transportation</x:v>
      </x:c>
      <x:c r="C1516" s="16" t="n">
        <x:v>3721.5367508164</x:v>
      </x:c>
      <x:c r="D1516" s="16" t="n">
        <x:v>3915.7477909041</x:v>
      </x:c>
      <x:c r="E1516" s="16" t="n">
        <x:v>194.2110400877</x:v>
      </x:c>
      <x:c r="F1516" s="23" t="n">
        <x:v>4</x:v>
      </x:c>
    </x:row>
    <x:row r="1517">
      <x:c r="A1517" s="15" t="n">
        <x:v>43252</x:v>
      </x:c>
      <x:c r="B1517" s="13" t="str">
        <x:v>Utilities &amp; Energy</x:v>
      </x:c>
      <x:c r="C1517" s="16" t="n">
        <x:v>12802.9701128767</x:v>
      </x:c>
      <x:c r="D1517" s="16" t="n">
        <x:v>17985.126515726</x:v>
      </x:c>
      <x:c r="E1517" s="16" t="n">
        <x:v>5182.1564028493</x:v>
      </x:c>
      <x:c r="F1517" s="23" t="n">
        <x:v>8</x:v>
      </x:c>
    </x:row>
    <x:row r="1518">
      <x:c r="A1518" s="15" t="n">
        <x:v>43282</x:v>
      </x:c>
      <x:c r="B1518" s="13" t="str">
        <x:v>Banks</x:v>
      </x:c>
      <x:c r="C1518" s="16" t="n">
        <x:v>95663.3934132602</x:v>
      </x:c>
      <x:c r="D1518" s="16" t="n">
        <x:v>99336.57731577</x:v>
      </x:c>
      <x:c r="E1518" s="16" t="n">
        <x:v>3673.1839025098</x:v>
      </x:c>
      <x:c r="F1518" s="23" t="n">
        <x:v>5</x:v>
      </x:c>
    </x:row>
    <x:row r="1519">
      <x:c r="A1519" s="15" t="n">
        <x:v>43282</x:v>
      </x:c>
      <x:c r="B1519" s="13" t="str">
        <x:v>Capital Goods</x:v>
      </x:c>
      <x:c r="C1519" s="16" t="n">
        <x:v>2166.3801372055</x:v>
      </x:c>
      <x:c r="D1519" s="16" t="n">
        <x:v>2396.3128788164</x:v>
      </x:c>
      <x:c r="E1519" s="16" t="n">
        <x:v>229.932741611</x:v>
      </x:c>
      <x:c r="F1519" s="23" t="n">
        <x:v>2</x:v>
      </x:c>
    </x:row>
    <x:row r="1520">
      <x:c r="A1520" s="15" t="n">
        <x:v>43282</x:v>
      </x:c>
      <x:c r="B1520" s="13" t="str">
        <x:v>Education</x:v>
      </x:c>
      <x:c r="C1520" s="16" t="n">
        <x:v>2929.1873122192</x:v>
      </x:c>
      <x:c r="D1520" s="16" t="n">
        <x:v>2843.8624936329</x:v>
      </x:c>
      <x:c r="E1520" s="16" t="n">
        <x:v>-85.3248185863</x:v>
      </x:c>
      <x:c r="F1520" s="23" t="n">
        <x:v>2</x:v>
      </x:c>
    </x:row>
    <x:row r="1521">
      <x:c r="A1521" s="15" t="n">
        <x:v>43282</x:v>
      </x:c>
      <x:c r="B1521" s="13" t="str">
        <x:v>Financials Non-Banks</x:v>
      </x:c>
      <x:c r="C1521" s="16" t="n">
        <x:v>20921.0485269041</x:v>
      </x:c>
      <x:c r="D1521" s="16" t="n">
        <x:v>21809.2631839562</x:v>
      </x:c>
      <x:c r="E1521" s="16" t="n">
        <x:v>888.214657052</x:v>
      </x:c>
      <x:c r="F1521" s="23" t="n">
        <x:v>4</x:v>
      </x:c>
    </x:row>
    <x:row r="1522">
      <x:c r="A1522" s="15" t="n">
        <x:v>43282</x:v>
      </x:c>
      <x:c r="B1522" s="13" t="str">
        <x:v>Food &amp; Beverages</x:v>
      </x:c>
      <x:c r="C1522" s="16" t="n">
        <x:v>19170.7876528219</x:v>
      </x:c>
      <x:c r="D1522" s="16" t="n">
        <x:v>18033.7892000329</x:v>
      </x:c>
      <x:c r="E1522" s="16" t="n">
        <x:v>-1136.998452789</x:v>
      </x:c>
      <x:c r="F1522" s="23" t="n">
        <x:v>4</x:v>
      </x:c>
    </x:row>
    <x:row r="1523">
      <x:c r="A1523" s="15" t="n">
        <x:v>43282</x:v>
      </x:c>
      <x:c r="B1523" s="13" t="str">
        <x:v>Health Care</x:v>
      </x:c>
      <x:c r="C1523" s="16" t="n">
        <x:v>2078.0956870137</x:v>
      </x:c>
      <x:c r="D1523" s="16" t="n">
        <x:v>2142.8495644055</x:v>
      </x:c>
      <x:c r="E1523" s="16" t="n">
        <x:v>64.7538773918</x:v>
      </x:c>
      <x:c r="F1523" s="23" t="n">
        <x:v>3</x:v>
      </x:c>
    </x:row>
    <x:row r="1524">
      <x:c r="A1524" s="15" t="n">
        <x:v>43282</x:v>
      </x:c>
      <x:c r="B1524" s="13" t="str">
        <x:v>Homebuilders</x:v>
      </x:c>
      <x:c r="C1524" s="16" t="n">
        <x:v>1052.5248512877</x:v>
      </x:c>
      <x:c r="D1524" s="16" t="n">
        <x:v>1079.220605326</x:v>
      </x:c>
      <x:c r="E1524" s="16" t="n">
        <x:v>26.6957540384</x:v>
      </x:c>
      <x:c r="F1524" s="23" t="n">
        <x:v>2</x:v>
      </x:c>
    </x:row>
    <x:row r="1525">
      <x:c r="A1525" s="15" t="n">
        <x:v>43282</x:v>
      </x:c>
      <x:c r="B1525" s="13" t="str">
        <x:v>Income Properties</x:v>
      </x:c>
      <x:c r="C1525" s="16" t="n">
        <x:v>1354.1922270685</x:v>
      </x:c>
      <x:c r="D1525" s="16" t="n">
        <x:v>1420.928377074</x:v>
      </x:c>
      <x:c r="E1525" s="16" t="n">
        <x:v>66.7361500055</x:v>
      </x:c>
      <x:c r="F1525" s="23" t="n">
        <x:v>3</x:v>
      </x:c>
    </x:row>
    <x:row r="1526">
      <x:c r="A1526" s="15" t="n">
        <x:v>43282</x:v>
      </x:c>
      <x:c r="B1526" s="13" t="str">
        <x:v>Metals &amp; Mining</x:v>
      </x:c>
      <x:c r="C1526" s="16" t="n">
        <x:v>30159.8818989589</x:v>
      </x:c>
      <x:c r="D1526" s="16" t="n">
        <x:v>34548.3534344767</x:v>
      </x:c>
      <x:c r="E1526" s="16" t="n">
        <x:v>4388.4715355178</x:v>
      </x:c>
      <x:c r="F1526" s="23" t="n">
        <x:v>5</x:v>
      </x:c>
    </x:row>
    <x:row r="1527">
      <x:c r="A1527" s="15" t="n">
        <x:v>43282</x:v>
      </x:c>
      <x:c r="B1527" s="13" t="str">
        <x:v>Oil, Gas &amp; Petrochemicals</x:v>
      </x:c>
      <x:c r="C1527" s="16" t="n">
        <x:v>34040.7341852055</x:v>
      </x:c>
      <x:c r="D1527" s="16" t="n">
        <x:v>39527.7178616987</x:v>
      </x:c>
      <x:c r="E1527" s="16" t="n">
        <x:v>5486.9836764932</x:v>
      </x:c>
      <x:c r="F1527" s="23" t="n">
        <x:v>4</x:v>
      </x:c>
    </x:row>
    <x:row r="1528">
      <x:c r="A1528" s="15" t="n">
        <x:v>43282</x:v>
      </x:c>
      <x:c r="B1528" s="13" t="str">
        <x:v>Pulp &amp; Paper</x:v>
      </x:c>
      <x:c r="C1528" s="16" t="n">
        <x:v>7787.2490143562</x:v>
      </x:c>
      <x:c r="D1528" s="16" t="n">
        <x:v>9259.8514907178</x:v>
      </x:c>
      <x:c r="E1528" s="16" t="n">
        <x:v>1472.6024763616</x:v>
      </x:c>
      <x:c r="F1528" s="23" t="n">
        <x:v>3</x:v>
      </x:c>
    </x:row>
    <x:row r="1529">
      <x:c r="A1529" s="15" t="n">
        <x:v>43282</x:v>
      </x:c>
      <x:c r="B1529" s="13" t="str">
        <x:v>Retail</x:v>
      </x:c>
      <x:c r="C1529" s="16" t="n">
        <x:v>4746.2513481644</x:v>
      </x:c>
      <x:c r="D1529" s="16" t="n">
        <x:v>4967.2487916712</x:v>
      </x:c>
      <x:c r="E1529" s="16" t="n">
        <x:v>220.9974435069</x:v>
      </x:c>
      <x:c r="F1529" s="23" t="n">
        <x:v>6</x:v>
      </x:c>
    </x:row>
    <x:row r="1530">
      <x:c r="A1530" s="15" t="n">
        <x:v>43282</x:v>
      </x:c>
      <x:c r="B1530" s="13" t="str">
        <x:v>Sanitation</x:v>
      </x:c>
      <x:c r="C1530" s="16" t="n">
        <x:v>3929.2808267397</x:v>
      </x:c>
      <x:c r="D1530" s="16" t="n">
        <x:v>3622.4718656877</x:v>
      </x:c>
      <x:c r="E1530" s="16" t="n">
        <x:v>-306.8089610521</x:v>
      </x:c>
      <x:c r="F1530" s="23" t="n">
        <x:v>2</x:v>
      </x:c>
    </x:row>
    <x:row r="1531">
      <x:c r="A1531" s="15" t="n">
        <x:v>43282</x:v>
      </x:c>
      <x:c r="B1531" s="13" t="str">
        <x:v>TMT</x:v>
      </x:c>
      <x:c r="C1531" s="16" t="n">
        <x:v>8051.1800688219</x:v>
      </x:c>
      <x:c r="D1531" s="16" t="n">
        <x:v>8449.5035919781</x:v>
      </x:c>
      <x:c r="E1531" s="16" t="n">
        <x:v>398.3235231562</x:v>
      </x:c>
      <x:c r="F1531" s="23" t="n">
        <x:v>3</x:v>
      </x:c>
    </x:row>
    <x:row r="1532">
      <x:c r="A1532" s="15" t="n">
        <x:v>43282</x:v>
      </x:c>
      <x:c r="B1532" s="13" t="str">
        <x:v>Transportation</x:v>
      </x:c>
      <x:c r="C1532" s="16" t="n">
        <x:v>3848.0104530411</x:v>
      </x:c>
      <x:c r="D1532" s="16" t="n">
        <x:v>3921.3585712219</x:v>
      </x:c>
      <x:c r="E1532" s="16" t="n">
        <x:v>73.3481181808</x:v>
      </x:c>
      <x:c r="F1532" s="23" t="n">
        <x:v>4</x:v>
      </x:c>
    </x:row>
    <x:row r="1533">
      <x:c r="A1533" s="15" t="n">
        <x:v>43282</x:v>
      </x:c>
      <x:c r="B1533" s="13" t="str">
        <x:v>Utilities &amp; Energy</x:v>
      </x:c>
      <x:c r="C1533" s="16" t="n">
        <x:v>13517.2060686027</x:v>
      </x:c>
      <x:c r="D1533" s="16" t="n">
        <x:v>18293.5098862466</x:v>
      </x:c>
      <x:c r="E1533" s="16" t="n">
        <x:v>4776.3038176438</x:v>
      </x:c>
      <x:c r="F1533" s="23" t="n">
        <x:v>8</x:v>
      </x:c>
    </x:row>
    <x:row r="1534">
      <x:c r="A1534" s="15" t="n">
        <x:v>43313</x:v>
      </x:c>
      <x:c r="B1534" s="13" t="str">
        <x:v>Banks</x:v>
      </x:c>
      <x:c r="C1534" s="16" t="n">
        <x:v>97657.2710042302</x:v>
      </x:c>
      <x:c r="D1534" s="16" t="n">
        <x:v>100762.5366766466</x:v>
      </x:c>
      <x:c r="E1534" s="16" t="n">
        <x:v>3105.2656724164</x:v>
      </x:c>
      <x:c r="F1534" s="23" t="n">
        <x:v>5</x:v>
      </x:c>
    </x:row>
    <x:row r="1535">
      <x:c r="A1535" s="15" t="n">
        <x:v>43313</x:v>
      </x:c>
      <x:c r="B1535" s="13" t="str">
        <x:v>Capital Goods</x:v>
      </x:c>
      <x:c r="C1535" s="16" t="n">
        <x:v>2226.4565216438</x:v>
      </x:c>
      <x:c r="D1535" s="16" t="n">
        <x:v>2270.8149737205</x:v>
      </x:c>
      <x:c r="E1535" s="16" t="n">
        <x:v>44.3584520767</x:v>
      </x:c>
      <x:c r="F1535" s="23" t="n">
        <x:v>2</x:v>
      </x:c>
    </x:row>
    <x:row r="1536">
      <x:c r="A1536" s="15" t="n">
        <x:v>43313</x:v>
      </x:c>
      <x:c r="B1536" s="13" t="str">
        <x:v>Education</x:v>
      </x:c>
      <x:c r="C1536" s="16" t="n">
        <x:v>2913.1038122082</x:v>
      </x:c>
      <x:c r="D1536" s="16" t="n">
        <x:v>2847.4970304877</x:v>
      </x:c>
      <x:c r="E1536" s="16" t="n">
        <x:v>-65.6067817205</x:v>
      </x:c>
      <x:c r="F1536" s="23" t="n">
        <x:v>2</x:v>
      </x:c>
    </x:row>
    <x:row r="1537">
      <x:c r="A1537" s="15" t="n">
        <x:v>43313</x:v>
      </x:c>
      <x:c r="B1537" s="13" t="str">
        <x:v>Financials Non-Banks</x:v>
      </x:c>
      <x:c r="C1537" s="16" t="n">
        <x:v>21022.7707679562</x:v>
      </x:c>
      <x:c r="D1537" s="16" t="n">
        <x:v>21977.0331662028</x:v>
      </x:c>
      <x:c r="E1537" s="16" t="n">
        <x:v>954.2623982466</x:v>
      </x:c>
      <x:c r="F1537" s="23" t="n">
        <x:v>4</x:v>
      </x:c>
    </x:row>
    <x:row r="1538">
      <x:c r="A1538" s="15" t="n">
        <x:v>43313</x:v>
      </x:c>
      <x:c r="B1538" s="13" t="str">
        <x:v>Food &amp; Beverages</x:v>
      </x:c>
      <x:c r="C1538" s="16" t="n">
        <x:v>18807.1178579288</x:v>
      </x:c>
      <x:c r="D1538" s="16" t="n">
        <x:v>18085.7639918466</x:v>
      </x:c>
      <x:c r="E1538" s="16" t="n">
        <x:v>-721.3538660822</x:v>
      </x:c>
      <x:c r="F1538" s="23" t="n">
        <x:v>4</x:v>
      </x:c>
    </x:row>
    <x:row r="1539">
      <x:c r="A1539" s="15" t="n">
        <x:v>43313</x:v>
      </x:c>
      <x:c r="B1539" s="13" t="str">
        <x:v>Health Care</x:v>
      </x:c>
      <x:c r="C1539" s="16" t="n">
        <x:v>2117.0733578521</x:v>
      </x:c>
      <x:c r="D1539" s="16" t="n">
        <x:v>2178.5537571945</x:v>
      </x:c>
      <x:c r="E1539" s="16" t="n">
        <x:v>61.4803993425</x:v>
      </x:c>
      <x:c r="F1539" s="23" t="n">
        <x:v>3</x:v>
      </x:c>
    </x:row>
    <x:row r="1540">
      <x:c r="A1540" s="15" t="n">
        <x:v>43313</x:v>
      </x:c>
      <x:c r="B1540" s="13" t="str">
        <x:v>Homebuilders</x:v>
      </x:c>
      <x:c r="C1540" s="16" t="n">
        <x:v>1052.5368397151</x:v>
      </x:c>
      <x:c r="D1540" s="16" t="n">
        <x:v>1093.4920662795</x:v>
      </x:c>
      <x:c r="E1540" s="16" t="n">
        <x:v>40.9552265644</x:v>
      </x:c>
      <x:c r="F1540" s="23" t="n">
        <x:v>2</x:v>
      </x:c>
    </x:row>
    <x:row r="1541">
      <x:c r="A1541" s="15" t="n">
        <x:v>43313</x:v>
      </x:c>
      <x:c r="B1541" s="13" t="str">
        <x:v>Income Properties</x:v>
      </x:c>
      <x:c r="C1541" s="16" t="n">
        <x:v>1393.8508158247</x:v>
      </x:c>
      <x:c r="D1541" s="16" t="n">
        <x:v>1437.0153211616</x:v>
      </x:c>
      <x:c r="E1541" s="16" t="n">
        <x:v>43.164505337</x:v>
      </x:c>
      <x:c r="F1541" s="23" t="n">
        <x:v>3</x:v>
      </x:c>
    </x:row>
    <x:row r="1542">
      <x:c r="A1542" s="15" t="n">
        <x:v>43313</x:v>
      </x:c>
      <x:c r="B1542" s="13" t="str">
        <x:v>Metals &amp; Mining</x:v>
      </x:c>
      <x:c r="C1542" s="16" t="n">
        <x:v>31928.2107811069</x:v>
      </x:c>
      <x:c r="D1542" s="16" t="n">
        <x:v>35444.6264816219</x:v>
      </x:c>
      <x:c r="E1542" s="16" t="n">
        <x:v>3516.415700515</x:v>
      </x:c>
      <x:c r="F1542" s="23" t="n">
        <x:v>5</x:v>
      </x:c>
    </x:row>
    <x:row r="1543">
      <x:c r="A1543" s="15" t="n">
        <x:v>43313</x:v>
      </x:c>
      <x:c r="B1543" s="13" t="str">
        <x:v>Oil, Gas &amp; Petrochemicals</x:v>
      </x:c>
      <x:c r="C1543" s="16" t="n">
        <x:v>37255.4078916383</x:v>
      </x:c>
      <x:c r="D1543" s="16" t="n">
        <x:v>42602.1654945315</x:v>
      </x:c>
      <x:c r="E1543" s="16" t="n">
        <x:v>5346.7576028931</x:v>
      </x:c>
      <x:c r="F1543" s="23" t="n">
        <x:v>4</x:v>
      </x:c>
    </x:row>
    <x:row r="1544">
      <x:c r="A1544" s="15" t="n">
        <x:v>43313</x:v>
      </x:c>
      <x:c r="B1544" s="13" t="str">
        <x:v>Pulp &amp; Paper</x:v>
      </x:c>
      <x:c r="C1544" s="16" t="n">
        <x:v>8915.5958103671</x:v>
      </x:c>
      <x:c r="D1544" s="16" t="n">
        <x:v>9160.0859637479</x:v>
      </x:c>
      <x:c r="E1544" s="16" t="n">
        <x:v>244.4901533808</x:v>
      </x:c>
      <x:c r="F1544" s="23" t="n">
        <x:v>3</x:v>
      </x:c>
    </x:row>
    <x:row r="1545">
      <x:c r="A1545" s="15" t="n">
        <x:v>43313</x:v>
      </x:c>
      <x:c r="B1545" s="13" t="str">
        <x:v>Retail</x:v>
      </x:c>
      <x:c r="C1545" s="16" t="n">
        <x:v>5223.8836343562</x:v>
      </x:c>
      <x:c r="D1545" s="16" t="n">
        <x:v>5429.0900762301</x:v>
      </x:c>
      <x:c r="E1545" s="16" t="n">
        <x:v>205.206441874</x:v>
      </x:c>
      <x:c r="F1545" s="23" t="n">
        <x:v>8</x:v>
      </x:c>
    </x:row>
    <x:row r="1546">
      <x:c r="A1546" s="15" t="n">
        <x:v>43313</x:v>
      </x:c>
      <x:c r="B1546" s="13" t="str">
        <x:v>Sanitation</x:v>
      </x:c>
      <x:c r="C1546" s="16" t="n">
        <x:v>3773.0923930301</x:v>
      </x:c>
      <x:c r="D1546" s="16" t="n">
        <x:v>3684.0487708055</x:v>
      </x:c>
      <x:c r="E1546" s="16" t="n">
        <x:v>-89.0436222246</x:v>
      </x:c>
      <x:c r="F1546" s="23" t="n">
        <x:v>2</x:v>
      </x:c>
    </x:row>
    <x:row r="1547">
      <x:c r="A1547" s="15" t="n">
        <x:v>43313</x:v>
      </x:c>
      <x:c r="B1547" s="13" t="str">
        <x:v>TMT</x:v>
      </x:c>
      <x:c r="C1547" s="16" t="n">
        <x:v>8156.941383189</x:v>
      </x:c>
      <x:c r="D1547" s="16" t="n">
        <x:v>8458.4149044603</x:v>
      </x:c>
      <x:c r="E1547" s="16" t="n">
        <x:v>301.4735212712</x:v>
      </x:c>
      <x:c r="F1547" s="23" t="n">
        <x:v>3</x:v>
      </x:c>
    </x:row>
    <x:row r="1548">
      <x:c r="A1548" s="15" t="n">
        <x:v>43313</x:v>
      </x:c>
      <x:c r="B1548" s="13" t="str">
        <x:v>Transportation</x:v>
      </x:c>
      <x:c r="C1548" s="16" t="n">
        <x:v>4167.8486672219</x:v>
      </x:c>
      <x:c r="D1548" s="16" t="n">
        <x:v>3964.9365846795</x:v>
      </x:c>
      <x:c r="E1548" s="16" t="n">
        <x:v>-202.9120825425</x:v>
      </x:c>
      <x:c r="F1548" s="23" t="n">
        <x:v>5</x:v>
      </x:c>
    </x:row>
    <x:row r="1549">
      <x:c r="A1549" s="15" t="n">
        <x:v>43313</x:v>
      </x:c>
      <x:c r="B1549" s="13" t="str">
        <x:v>Utilities &amp; Energy</x:v>
      </x:c>
      <x:c r="C1549" s="16" t="n">
        <x:v>18280.844198926</x:v>
      </x:c>
      <x:c r="D1549" s="16" t="n">
        <x:v>18942.8805902028</x:v>
      </x:c>
      <x:c r="E1549" s="16" t="n">
        <x:v>662.0363912767</x:v>
      </x:c>
      <x:c r="F1549" s="23" t="n">
        <x:v>8</x:v>
      </x:c>
    </x:row>
    <x:row r="1550">
      <x:c r="A1550" s="15" t="n">
        <x:v>43344</x:v>
      </x:c>
      <x:c r="B1550" s="13" t="str">
        <x:v>Banks</x:v>
      </x:c>
      <x:c r="C1550" s="16" t="n">
        <x:v>97889.7813952878</x:v>
      </x:c>
      <x:c r="D1550" s="16" t="n">
        <x:v>101834.1836884165</x:v>
      </x:c>
      <x:c r="E1550" s="16" t="n">
        <x:v>3944.4022931287</x:v>
      </x:c>
      <x:c r="F1550" s="23" t="n">
        <x:v>5</x:v>
      </x:c>
    </x:row>
    <x:row r="1551">
      <x:c r="A1551" s="15" t="n">
        <x:v>43344</x:v>
      </x:c>
      <x:c r="B1551" s="13" t="str">
        <x:v>Capital Goods</x:v>
      </x:c>
      <x:c r="C1551" s="16" t="n">
        <x:v>2288.8826029589</x:v>
      </x:c>
      <x:c r="D1551" s="16" t="n">
        <x:v>2350.0023218849</x:v>
      </x:c>
      <x:c r="E1551" s="16" t="n">
        <x:v>61.119718926</x:v>
      </x:c>
      <x:c r="F1551" s="23" t="n">
        <x:v>2</x:v>
      </x:c>
    </x:row>
    <x:row r="1552">
      <x:c r="A1552" s="15" t="n">
        <x:v>43344</x:v>
      </x:c>
      <x:c r="B1552" s="13" t="str">
        <x:v>Education</x:v>
      </x:c>
      <x:c r="C1552" s="16" t="n">
        <x:v>2810.6101286575</x:v>
      </x:c>
      <x:c r="D1552" s="16" t="n">
        <x:v>2789.1732648329</x:v>
      </x:c>
      <x:c r="E1552" s="16" t="n">
        <x:v>-21.4368638247</x:v>
      </x:c>
      <x:c r="F1552" s="23" t="n">
        <x:v>2</x:v>
      </x:c>
    </x:row>
    <x:row r="1553">
      <x:c r="A1553" s="15" t="n">
        <x:v>43344</x:v>
      </x:c>
      <x:c r="B1553" s="13" t="str">
        <x:v>Financials Non-Banks</x:v>
      </x:c>
      <x:c r="C1553" s="16" t="n">
        <x:v>20950.3062128219</x:v>
      </x:c>
      <x:c r="D1553" s="16" t="n">
        <x:v>22084.9222228164</x:v>
      </x:c>
      <x:c r="E1553" s="16" t="n">
        <x:v>1134.6160099945</x:v>
      </x:c>
      <x:c r="F1553" s="23" t="n">
        <x:v>4</x:v>
      </x:c>
    </x:row>
    <x:row r="1554">
      <x:c r="A1554" s="15" t="n">
        <x:v>43344</x:v>
      </x:c>
      <x:c r="B1554" s="13" t="str">
        <x:v>Food &amp; Beverages</x:v>
      </x:c>
      <x:c r="C1554" s="16" t="n">
        <x:v>18170.1690934247</x:v>
      </x:c>
      <x:c r="D1554" s="16" t="n">
        <x:v>18251.9523184219</x:v>
      </x:c>
      <x:c r="E1554" s="16" t="n">
        <x:v>81.7832249973</x:v>
      </x:c>
      <x:c r="F1554" s="23" t="n">
        <x:v>4</x:v>
      </x:c>
    </x:row>
    <x:row r="1555">
      <x:c r="A1555" s="15" t="n">
        <x:v>43344</x:v>
      </x:c>
      <x:c r="B1555" s="13" t="str">
        <x:v>Health Care</x:v>
      </x:c>
      <x:c r="C1555" s="16" t="n">
        <x:v>2127.2688118356</x:v>
      </x:c>
      <x:c r="D1555" s="16" t="n">
        <x:v>2184.5984876712</x:v>
      </x:c>
      <x:c r="E1555" s="16" t="n">
        <x:v>57.3296758356</x:v>
      </x:c>
      <x:c r="F1555" s="23" t="n">
        <x:v>3</x:v>
      </x:c>
    </x:row>
    <x:row r="1556">
      <x:c r="A1556" s="15" t="n">
        <x:v>43344</x:v>
      </x:c>
      <x:c r="B1556" s="13" t="str">
        <x:v>Homebuilders</x:v>
      </x:c>
      <x:c r="C1556" s="16" t="n">
        <x:v>1056.1765301918</x:v>
      </x:c>
      <x:c r="D1556" s="16" t="n">
        <x:v>1107.6822787507</x:v>
      </x:c>
      <x:c r="E1556" s="16" t="n">
        <x:v>51.5057485589</x:v>
      </x:c>
      <x:c r="F1556" s="23" t="n">
        <x:v>2</x:v>
      </x:c>
    </x:row>
    <x:row r="1557">
      <x:c r="A1557" s="15" t="n">
        <x:v>43344</x:v>
      </x:c>
      <x:c r="B1557" s="13" t="str">
        <x:v>Income Properties</x:v>
      </x:c>
      <x:c r="C1557" s="16" t="n">
        <x:v>1421.4469527671</x:v>
      </x:c>
      <x:c r="D1557" s="16" t="n">
        <x:v>1422.024306411</x:v>
      </x:c>
      <x:c r="E1557" s="16" t="n">
        <x:v>0.5773536438</x:v>
      </x:c>
      <x:c r="F1557" s="23" t="n">
        <x:v>3</x:v>
      </x:c>
    </x:row>
    <x:row r="1558">
      <x:c r="A1558" s="15" t="n">
        <x:v>43344</x:v>
      </x:c>
      <x:c r="B1558" s="13" t="str">
        <x:v>Metals &amp; Mining</x:v>
      </x:c>
      <x:c r="C1558" s="16" t="n">
        <x:v>33085.5053264657</x:v>
      </x:c>
      <x:c r="D1558" s="16" t="n">
        <x:v>39506.4287612493</x:v>
      </x:c>
      <x:c r="E1558" s="16" t="n">
        <x:v>6420.9234347836</x:v>
      </x:c>
      <x:c r="F1558" s="23" t="n">
        <x:v>5</x:v>
      </x:c>
    </x:row>
    <x:row r="1559">
      <x:c r="A1559" s="15" t="n">
        <x:v>43344</x:v>
      </x:c>
      <x:c r="B1559" s="13" t="str">
        <x:v>Oil, Gas &amp; Petrochemicals</x:v>
      </x:c>
      <x:c r="C1559" s="16" t="n">
        <x:v>38050.0347651507</x:v>
      </x:c>
      <x:c r="D1559" s="16" t="n">
        <x:v>45568.8054759452</x:v>
      </x:c>
      <x:c r="E1559" s="16" t="n">
        <x:v>7518.7707107945</x:v>
      </x:c>
      <x:c r="F1559" s="23" t="n">
        <x:v>4</x:v>
      </x:c>
    </x:row>
    <x:row r="1560">
      <x:c r="A1560" s="15" t="n">
        <x:v>43344</x:v>
      </x:c>
      <x:c r="B1560" s="13" t="str">
        <x:v>Pulp &amp; Paper</x:v>
      </x:c>
      <x:c r="C1560" s="16" t="n">
        <x:v>9601.6677970411</x:v>
      </x:c>
      <x:c r="D1560" s="16" t="n">
        <x:v>9370.1739691836</x:v>
      </x:c>
      <x:c r="E1560" s="16" t="n">
        <x:v>-231.4938278575</x:v>
      </x:c>
      <x:c r="F1560" s="23" t="n">
        <x:v>3</x:v>
      </x:c>
    </x:row>
    <x:row r="1561">
      <x:c r="A1561" s="15" t="n">
        <x:v>43344</x:v>
      </x:c>
      <x:c r="B1561" s="13" t="str">
        <x:v>Retail</x:v>
      </x:c>
      <x:c r="C1561" s="16" t="n">
        <x:v>5241.5093525479</x:v>
      </x:c>
      <x:c r="D1561" s="16" t="n">
        <x:v>5346.0936023671</x:v>
      </x:c>
      <x:c r="E1561" s="16" t="n">
        <x:v>104.5842498192</x:v>
      </x:c>
      <x:c r="F1561" s="23" t="n">
        <x:v>8</x:v>
      </x:c>
    </x:row>
    <x:row r="1562">
      <x:c r="A1562" s="15" t="n">
        <x:v>43344</x:v>
      </x:c>
      <x:c r="B1562" s="13" t="str">
        <x:v>Sanitation</x:v>
      </x:c>
      <x:c r="C1562" s="16" t="n">
        <x:v>2709.761024</x:v>
      </x:c>
      <x:c r="D1562" s="16" t="n">
        <x:v>2819.1531744438</x:v>
      </x:c>
      <x:c r="E1562" s="16" t="n">
        <x:v>109.3921504438</x:v>
      </x:c>
      <x:c r="F1562" s="23" t="n">
        <x:v>1</x:v>
      </x:c>
    </x:row>
    <x:row r="1563">
      <x:c r="A1563" s="15" t="n">
        <x:v>43344</x:v>
      </x:c>
      <x:c r="B1563" s="13" t="str">
        <x:v>TMT</x:v>
      </x:c>
      <x:c r="C1563" s="16" t="n">
        <x:v>8268.3690993973</x:v>
      </x:c>
      <x:c r="D1563" s="16" t="n">
        <x:v>8516.7084896438</x:v>
      </x:c>
      <x:c r="E1563" s="16" t="n">
        <x:v>248.3393902466</x:v>
      </x:c>
      <x:c r="F1563" s="23" t="n">
        <x:v>3</x:v>
      </x:c>
    </x:row>
    <x:row r="1564">
      <x:c r="A1564" s="15" t="n">
        <x:v>43344</x:v>
      </x:c>
      <x:c r="B1564" s="13" t="str">
        <x:v>Transportation</x:v>
      </x:c>
      <x:c r="C1564" s="16" t="n">
        <x:v>4186.6989950137</x:v>
      </x:c>
      <x:c r="D1564" s="16" t="n">
        <x:v>4027.3306020822</x:v>
      </x:c>
      <x:c r="E1564" s="16" t="n">
        <x:v>-159.3683929315</x:v>
      </x:c>
      <x:c r="F1564" s="23" t="n">
        <x:v>5</x:v>
      </x:c>
    </x:row>
    <x:row r="1565">
      <x:c r="A1565" s="15" t="n">
        <x:v>43344</x:v>
      </x:c>
      <x:c r="B1565" s="13" t="str">
        <x:v>Utilities &amp; Energy</x:v>
      </x:c>
      <x:c r="C1565" s="16" t="n">
        <x:v>17985.126515726</x:v>
      </x:c>
      <x:c r="D1565" s="16" t="n">
        <x:v>19318.7298137425</x:v>
      </x:c>
      <x:c r="E1565" s="16" t="n">
        <x:v>1333.6032980164</x:v>
      </x:c>
      <x:c r="F1565" s="23" t="n">
        <x:v>8</x:v>
      </x:c>
    </x:row>
    <x:row r="1566">
      <x:c r="A1566" s="15" t="n">
        <x:v>43374</x:v>
      </x:c>
      <x:c r="B1566" s="13" t="str">
        <x:v>Banks</x:v>
      </x:c>
      <x:c r="C1566" s="16" t="n">
        <x:v>99336.57731577</x:v>
      </x:c>
      <x:c r="D1566" s="16" t="n">
        <x:v>100896.3928709262</x:v>
      </x:c>
      <x:c r="E1566" s="16" t="n">
        <x:v>1559.8155551562</x:v>
      </x:c>
      <x:c r="F1566" s="23" t="n">
        <x:v>5</x:v>
      </x:c>
    </x:row>
    <x:row r="1567">
      <x:c r="A1567" s="15" t="n">
        <x:v>43374</x:v>
      </x:c>
      <x:c r="B1567" s="13" t="str">
        <x:v>Capital Goods</x:v>
      </x:c>
      <x:c r="C1567" s="16" t="n">
        <x:v>2396.3128788164</x:v>
      </x:c>
      <x:c r="D1567" s="16" t="n">
        <x:v>2346.5397883616</x:v>
      </x:c>
      <x:c r="E1567" s="16" t="n">
        <x:v>-49.7730904548</x:v>
      </x:c>
      <x:c r="F1567" s="23" t="n">
        <x:v>2</x:v>
      </x:c>
    </x:row>
    <x:row r="1568">
      <x:c r="A1568" s="15" t="n">
        <x:v>43374</x:v>
      </x:c>
      <x:c r="B1568" s="13" t="str">
        <x:v>Education</x:v>
      </x:c>
      <x:c r="C1568" s="16" t="n">
        <x:v>2843.8624936329</x:v>
      </x:c>
      <x:c r="D1568" s="16" t="n">
        <x:v>2766.0066510904</x:v>
      </x:c>
      <x:c r="E1568" s="16" t="n">
        <x:v>-77.8558425425</x:v>
      </x:c>
      <x:c r="F1568" s="23" t="n">
        <x:v>2</x:v>
      </x:c>
    </x:row>
    <x:row r="1569">
      <x:c r="A1569" s="15" t="n">
        <x:v>43374</x:v>
      </x:c>
      <x:c r="B1569" s="13" t="str">
        <x:v>Financials Non-Banks</x:v>
      </x:c>
      <x:c r="C1569" s="16" t="n">
        <x:v>21809.2631839562</x:v>
      </x:c>
      <x:c r="D1569" s="16" t="n">
        <x:v>21787.2260103014</x:v>
      </x:c>
      <x:c r="E1569" s="16" t="n">
        <x:v>-22.0371736548</x:v>
      </x:c>
      <x:c r="F1569" s="23" t="n">
        <x:v>4</x:v>
      </x:c>
    </x:row>
    <x:row r="1570">
      <x:c r="A1570" s="15" t="n">
        <x:v>43374</x:v>
      </x:c>
      <x:c r="B1570" s="13" t="str">
        <x:v>Food &amp; Beverages</x:v>
      </x:c>
      <x:c r="C1570" s="16" t="n">
        <x:v>18033.7892000329</x:v>
      </x:c>
      <x:c r="D1570" s="16" t="n">
        <x:v>17265.2046635836</x:v>
      </x:c>
      <x:c r="E1570" s="16" t="n">
        <x:v>-768.5845364493</x:v>
      </x:c>
      <x:c r="F1570" s="23" t="n">
        <x:v>4</x:v>
      </x:c>
    </x:row>
    <x:row r="1571">
      <x:c r="A1571" s="15" t="n">
        <x:v>43374</x:v>
      </x:c>
      <x:c r="B1571" s="13" t="str">
        <x:v>Health Care</x:v>
      </x:c>
      <x:c r="C1571" s="16" t="n">
        <x:v>2142.8495644055</x:v>
      </x:c>
      <x:c r="D1571" s="16" t="n">
        <x:v>2148.7047791342</x:v>
      </x:c>
      <x:c r="E1571" s="16" t="n">
        <x:v>5.8552147288</x:v>
      </x:c>
      <x:c r="F1571" s="23" t="n">
        <x:v>3</x:v>
      </x:c>
    </x:row>
    <x:row r="1572">
      <x:c r="A1572" s="15" t="n">
        <x:v>43374</x:v>
      </x:c>
      <x:c r="B1572" s="13" t="str">
        <x:v>Homebuilders</x:v>
      </x:c>
      <x:c r="C1572" s="16" t="n">
        <x:v>1079.220605326</x:v>
      </x:c>
      <x:c r="D1572" s="16" t="n">
        <x:v>1123.3125184877</x:v>
      </x:c>
      <x:c r="E1572" s="16" t="n">
        <x:v>44.0919131616</x:v>
      </x:c>
      <x:c r="F1572" s="23" t="n">
        <x:v>2</x:v>
      </x:c>
    </x:row>
    <x:row r="1573">
      <x:c r="A1573" s="15" t="n">
        <x:v>43374</x:v>
      </x:c>
      <x:c r="B1573" s="13" t="str">
        <x:v>Income Properties</x:v>
      </x:c>
      <x:c r="C1573" s="16" t="n">
        <x:v>1420.928377074</x:v>
      </x:c>
      <x:c r="D1573" s="16" t="n">
        <x:v>1432.7253376</x:v>
      </x:c>
      <x:c r="E1573" s="16" t="n">
        <x:v>11.796960526</x:v>
      </x:c>
      <x:c r="F1573" s="23" t="n">
        <x:v>3</x:v>
      </x:c>
    </x:row>
    <x:row r="1574">
      <x:c r="A1574" s="15" t="n">
        <x:v>43374</x:v>
      </x:c>
      <x:c r="B1574" s="13" t="str">
        <x:v>Metals &amp; Mining</x:v>
      </x:c>
      <x:c r="C1574" s="16" t="n">
        <x:v>34548.3534344767</x:v>
      </x:c>
      <x:c r="D1574" s="16" t="n">
        <x:v>39872.9560910904</x:v>
      </x:c>
      <x:c r="E1574" s="16" t="n">
        <x:v>5324.6026566137</x:v>
      </x:c>
      <x:c r="F1574" s="23" t="n">
        <x:v>5</x:v>
      </x:c>
    </x:row>
    <x:row r="1575">
      <x:c r="A1575" s="15" t="n">
        <x:v>43374</x:v>
      </x:c>
      <x:c r="B1575" s="13" t="str">
        <x:v>Oil, Gas &amp; Petrochemicals</x:v>
      </x:c>
      <x:c r="C1575" s="16" t="n">
        <x:v>39527.7178616987</x:v>
      </x:c>
      <x:c r="D1575" s="16" t="n">
        <x:v>51718.2513825315</x:v>
      </x:c>
      <x:c r="E1575" s="16" t="n">
        <x:v>12190.5335208329</x:v>
      </x:c>
      <x:c r="F1575" s="23" t="n">
        <x:v>4</x:v>
      </x:c>
    </x:row>
    <x:row r="1576">
      <x:c r="A1576" s="15" t="n">
        <x:v>43374</x:v>
      </x:c>
      <x:c r="B1576" s="13" t="str">
        <x:v>Pulp &amp; Paper</x:v>
      </x:c>
      <x:c r="C1576" s="16" t="n">
        <x:v>9259.8514907178</x:v>
      </x:c>
      <x:c r="D1576" s="16" t="n">
        <x:v>10550.7548082849</x:v>
      </x:c>
      <x:c r="E1576" s="16" t="n">
        <x:v>1290.9033175671</x:v>
      </x:c>
      <x:c r="F1576" s="23" t="n">
        <x:v>3</x:v>
      </x:c>
    </x:row>
    <x:row r="1577">
      <x:c r="A1577" s="15" t="n">
        <x:v>43374</x:v>
      </x:c>
      <x:c r="B1577" s="13" t="str">
        <x:v>Retail</x:v>
      </x:c>
      <x:c r="C1577" s="16" t="n">
        <x:v>5313.1160492055</x:v>
      </x:c>
      <x:c r="D1577" s="16" t="n">
        <x:v>5177.9922654685</x:v>
      </x:c>
      <x:c r="E1577" s="16" t="n">
        <x:v>-135.123783737</x:v>
      </x:c>
      <x:c r="F1577" s="23" t="n">
        <x:v>8</x:v>
      </x:c>
    </x:row>
    <x:row r="1578">
      <x:c r="A1578" s="15" t="n">
        <x:v>43374</x:v>
      </x:c>
      <x:c r="B1578" s="13" t="str">
        <x:v>Sanitation</x:v>
      </x:c>
      <x:c r="C1578" s="16" t="n">
        <x:v>2728.8882947507</x:v>
      </x:c>
      <x:c r="D1578" s="16" t="n">
        <x:v>2860.8892458082</x:v>
      </x:c>
      <x:c r="E1578" s="16" t="n">
        <x:v>132.0009510575</x:v>
      </x:c>
      <x:c r="F1578" s="23" t="n">
        <x:v>1</x:v>
      </x:c>
    </x:row>
    <x:row r="1579">
      <x:c r="A1579" s="15" t="n">
        <x:v>43374</x:v>
      </x:c>
      <x:c r="B1579" s="13" t="str">
        <x:v>TMT</x:v>
      </x:c>
      <x:c r="C1579" s="16" t="n">
        <x:v>8449.5035919781</x:v>
      </x:c>
      <x:c r="D1579" s="16" t="n">
        <x:v>8467.3616275288</x:v>
      </x:c>
      <x:c r="E1579" s="16" t="n">
        <x:v>17.8580355507</x:v>
      </x:c>
      <x:c r="F1579" s="23" t="n">
        <x:v>3</x:v>
      </x:c>
    </x:row>
    <x:row r="1580">
      <x:c r="A1580" s="15" t="n">
        <x:v>43374</x:v>
      </x:c>
      <x:c r="B1580" s="13" t="str">
        <x:v>Transportation</x:v>
      </x:c>
      <x:c r="C1580" s="16" t="n">
        <x:v>4137.2644953425</x:v>
      </x:c>
      <x:c r="D1580" s="16" t="n">
        <x:v>3975.6420679014</x:v>
      </x:c>
      <x:c r="E1580" s="16" t="n">
        <x:v>-161.6224274411</x:v>
      </x:c>
      <x:c r="F1580" s="23" t="n">
        <x:v>5</x:v>
      </x:c>
    </x:row>
    <x:row r="1581">
      <x:c r="A1581" s="15" t="n">
        <x:v>43374</x:v>
      </x:c>
      <x:c r="B1581" s="13" t="str">
        <x:v>Utilities &amp; Energy</x:v>
      </x:c>
      <x:c r="C1581" s="16" t="n">
        <x:v>18293.5098862466</x:v>
      </x:c>
      <x:c r="D1581" s="16" t="n">
        <x:v>16663.9278858521</x:v>
      </x:c>
      <x:c r="E1581" s="16" t="n">
        <x:v>-1629.5820003945</x:v>
      </x:c>
      <x:c r="F1581" s="23" t="n">
        <x:v>8</x:v>
      </x:c>
    </x:row>
    <x:row r="1582">
      <x:c r="A1582" s="15" t="n">
        <x:v>43405</x:v>
      </x:c>
      <x:c r="B1582" s="13" t="str">
        <x:v>Banks</x:v>
      </x:c>
      <x:c r="C1582" s="16" t="n">
        <x:v>100762.5366766466</x:v>
      </x:c>
      <x:c r="D1582" s="16" t="n">
        <x:v>102725.2904945972</x:v>
      </x:c>
      <x:c r="E1582" s="16" t="n">
        <x:v>1962.7538179506</x:v>
      </x:c>
      <x:c r="F1582" s="23" t="n">
        <x:v>5</x:v>
      </x:c>
    </x:row>
    <x:row r="1583">
      <x:c r="A1583" s="15" t="n">
        <x:v>43405</x:v>
      </x:c>
      <x:c r="B1583" s="13" t="str">
        <x:v>Capital Goods</x:v>
      </x:c>
      <x:c r="C1583" s="16" t="n">
        <x:v>2270.8149737205</x:v>
      </x:c>
      <x:c r="D1583" s="16" t="n">
        <x:v>2444.6443711562</x:v>
      </x:c>
      <x:c r="E1583" s="16" t="n">
        <x:v>173.8293974356</x:v>
      </x:c>
      <x:c r="F1583" s="23" t="n">
        <x:v>2</x:v>
      </x:c>
    </x:row>
    <x:row r="1584">
      <x:c r="A1584" s="15" t="n">
        <x:v>43405</x:v>
      </x:c>
      <x:c r="B1584" s="13" t="str">
        <x:v>Education</x:v>
      </x:c>
      <x:c r="C1584" s="16" t="n">
        <x:v>2847.4970304877</x:v>
      </x:c>
      <x:c r="D1584" s="16" t="n">
        <x:v>2702.4280523397</x:v>
      </x:c>
      <x:c r="E1584" s="16" t="n">
        <x:v>-145.068978148</x:v>
      </x:c>
      <x:c r="F1584" s="23" t="n">
        <x:v>2</x:v>
      </x:c>
    </x:row>
    <x:row r="1585">
      <x:c r="A1585" s="15" t="n">
        <x:v>43405</x:v>
      </x:c>
      <x:c r="B1585" s="13" t="str">
        <x:v>Financials Non-Banks</x:v>
      </x:c>
      <x:c r="C1585" s="16" t="n">
        <x:v>21977.0331662028</x:v>
      </x:c>
      <x:c r="D1585" s="16" t="n">
        <x:v>21811.1703025972</x:v>
      </x:c>
      <x:c r="E1585" s="16" t="n">
        <x:v>-165.8628636056</x:v>
      </x:c>
      <x:c r="F1585" s="23" t="n">
        <x:v>4</x:v>
      </x:c>
    </x:row>
    <x:row r="1586">
      <x:c r="A1586" s="15" t="n">
        <x:v>43405</x:v>
      </x:c>
      <x:c r="B1586" s="13" t="str">
        <x:v>Food &amp; Beverages</x:v>
      </x:c>
      <x:c r="C1586" s="16" t="n">
        <x:v>18085.7639918466</x:v>
      </x:c>
      <x:c r="D1586" s="16" t="n">
        <x:v>17825.2344654466</x:v>
      </x:c>
      <x:c r="E1586" s="16" t="n">
        <x:v>-260.5295264</x:v>
      </x:c>
      <x:c r="F1586" s="23" t="n">
        <x:v>4</x:v>
      </x:c>
    </x:row>
    <x:row r="1587">
      <x:c r="A1587" s="15" t="n">
        <x:v>43405</x:v>
      </x:c>
      <x:c r="B1587" s="13" t="str">
        <x:v>Health Care</x:v>
      </x:c>
      <x:c r="C1587" s="16" t="n">
        <x:v>2178.5537571945</x:v>
      </x:c>
      <x:c r="D1587" s="16" t="n">
        <x:v>2116.2826732712</x:v>
      </x:c>
      <x:c r="E1587" s="16" t="n">
        <x:v>-62.2710839233</x:v>
      </x:c>
      <x:c r="F1587" s="23" t="n">
        <x:v>3</x:v>
      </x:c>
    </x:row>
    <x:row r="1588">
      <x:c r="A1588" s="15" t="n">
        <x:v>43405</x:v>
      </x:c>
      <x:c r="B1588" s="13" t="str">
        <x:v>Homebuilders</x:v>
      </x:c>
      <x:c r="C1588" s="16" t="n">
        <x:v>1093.4920662795</x:v>
      </x:c>
      <x:c r="D1588" s="16" t="n">
        <x:v>1150.118138126</x:v>
      </x:c>
      <x:c r="E1588" s="16" t="n">
        <x:v>56.6260718466</x:v>
      </x:c>
      <x:c r="F1588" s="23" t="n">
        <x:v>2</x:v>
      </x:c>
    </x:row>
    <x:row r="1589">
      <x:c r="A1589" s="15" t="n">
        <x:v>43405</x:v>
      </x:c>
      <x:c r="B1589" s="13" t="str">
        <x:v>Income Properties</x:v>
      </x:c>
      <x:c r="C1589" s="16" t="n">
        <x:v>1437.0153211616</x:v>
      </x:c>
      <x:c r="D1589" s="16" t="n">
        <x:v>1455.2506727452</x:v>
      </x:c>
      <x:c r="E1589" s="16" t="n">
        <x:v>18.2353515836</x:v>
      </x:c>
      <x:c r="F1589" s="23" t="n">
        <x:v>3</x:v>
      </x:c>
    </x:row>
    <x:row r="1590">
      <x:c r="A1590" s="15" t="n">
        <x:v>43405</x:v>
      </x:c>
      <x:c r="B1590" s="13" t="str">
        <x:v>Metals &amp; Mining</x:v>
      </x:c>
      <x:c r="C1590" s="16" t="n">
        <x:v>35444.6264816219</x:v>
      </x:c>
      <x:c r="D1590" s="16" t="n">
        <x:v>40219.6804004822</x:v>
      </x:c>
      <x:c r="E1590" s="16" t="n">
        <x:v>4775.0539188603</x:v>
      </x:c>
      <x:c r="F1590" s="23" t="n">
        <x:v>5</x:v>
      </x:c>
    </x:row>
    <x:row r="1591">
      <x:c r="A1591" s="15" t="n">
        <x:v>43405</x:v>
      </x:c>
      <x:c r="B1591" s="13" t="str">
        <x:v>Oil, Gas &amp; Petrochemicals</x:v>
      </x:c>
      <x:c r="C1591" s="16" t="n">
        <x:v>42602.1654945315</x:v>
      </x:c>
      <x:c r="D1591" s="16" t="n">
        <x:v>49859.0223940384</x:v>
      </x:c>
      <x:c r="E1591" s="16" t="n">
        <x:v>7256.8568995069</x:v>
      </x:c>
      <x:c r="F1591" s="23" t="n">
        <x:v>4</x:v>
      </x:c>
    </x:row>
    <x:row r="1592">
      <x:c r="A1592" s="15" t="n">
        <x:v>43405</x:v>
      </x:c>
      <x:c r="B1592" s="13" t="str">
        <x:v>Pulp &amp; Paper</x:v>
      </x:c>
      <x:c r="C1592" s="16" t="n">
        <x:v>9160.0859637479</x:v>
      </x:c>
      <x:c r="D1592" s="16" t="n">
        <x:v>10613.9760810082</x:v>
      </x:c>
      <x:c r="E1592" s="16" t="n">
        <x:v>1453.8901172603</x:v>
      </x:c>
      <x:c r="F1592" s="23" t="n">
        <x:v>3</x:v>
      </x:c>
    </x:row>
    <x:row r="1593">
      <x:c r="A1593" s="15" t="n">
        <x:v>43405</x:v>
      </x:c>
      <x:c r="B1593" s="13" t="str">
        <x:v>Retail</x:v>
      </x:c>
      <x:c r="C1593" s="16" t="n">
        <x:v>4739.1393860384</x:v>
      </x:c>
      <x:c r="D1593" s="16" t="n">
        <x:v>4645.1471084712</x:v>
      </x:c>
      <x:c r="E1593" s="16" t="n">
        <x:v>-93.9922775671</x:v>
      </x:c>
      <x:c r="F1593" s="23" t="n">
        <x:v>7</x:v>
      </x:c>
    </x:row>
    <x:row r="1594">
      <x:c r="A1594" s="15" t="n">
        <x:v>43405</x:v>
      </x:c>
      <x:c r="B1594" s="13" t="str">
        <x:v>Sanitation</x:v>
      </x:c>
      <x:c r="C1594" s="16" t="n">
        <x:v>2792.3138286466</x:v>
      </x:c>
      <x:c r="D1594" s="16" t="n">
        <x:v>2879.1976139397</x:v>
      </x:c>
      <x:c r="E1594" s="16" t="n">
        <x:v>86.8837852932</x:v>
      </x:c>
      <x:c r="F1594" s="23" t="n">
        <x:v>1</x:v>
      </x:c>
    </x:row>
    <x:row r="1595">
      <x:c r="A1595" s="15" t="n">
        <x:v>43405</x:v>
      </x:c>
      <x:c r="B1595" s="13" t="str">
        <x:v>TMT</x:v>
      </x:c>
      <x:c r="C1595" s="16" t="n">
        <x:v>8458.4149044603</x:v>
      </x:c>
      <x:c r="D1595" s="16" t="n">
        <x:v>8479.5633932274</x:v>
      </x:c>
      <x:c r="E1595" s="16" t="n">
        <x:v>21.1484887671</x:v>
      </x:c>
      <x:c r="F1595" s="23" t="n">
        <x:v>3</x:v>
      </x:c>
    </x:row>
    <x:row r="1596">
      <x:c r="A1596" s="15" t="n">
        <x:v>43405</x:v>
      </x:c>
      <x:c r="B1596" s="13" t="str">
        <x:v>Transportation</x:v>
      </x:c>
      <x:c r="C1596" s="16" t="n">
        <x:v>3964.9365846795</x:v>
      </x:c>
      <x:c r="D1596" s="16" t="n">
        <x:v>4216.2068628164</x:v>
      </x:c>
      <x:c r="E1596" s="16" t="n">
        <x:v>251.270278137</x:v>
      </x:c>
      <x:c r="F1596" s="23" t="n">
        <x:v>5</x:v>
      </x:c>
    </x:row>
    <x:row r="1597">
      <x:c r="A1597" s="15" t="n">
        <x:v>43405</x:v>
      </x:c>
      <x:c r="B1597" s="13" t="str">
        <x:v>Utilities &amp; Energy</x:v>
      </x:c>
      <x:c r="C1597" s="16" t="n">
        <x:v>18942.8805902028</x:v>
      </x:c>
      <x:c r="D1597" s="16" t="n">
        <x:v>13501.5470309698</x:v>
      </x:c>
      <x:c r="E1597" s="16" t="n">
        <x:v>-5441.3335592329</x:v>
      </x:c>
      <x:c r="F1597" s="23" t="n">
        <x:v>8</x:v>
      </x:c>
    </x:row>
    <x:row r="1598">
      <x:c r="A1598" s="15" t="n">
        <x:v>43435</x:v>
      </x:c>
      <x:c r="B1598" s="13" t="str">
        <x:v>Banks</x:v>
      </x:c>
      <x:c r="C1598" s="16" t="n">
        <x:v>101834.1836884165</x:v>
      </x:c>
      <x:c r="D1598" s="16" t="n">
        <x:v>106746.50112</x:v>
      </x:c>
      <x:c r="E1598" s="16" t="n">
        <x:v>4912.3174315835</x:v>
      </x:c>
      <x:c r="F1598" s="23" t="n">
        <x:v>5</x:v>
      </x:c>
    </x:row>
    <x:row r="1599">
      <x:c r="A1599" s="15" t="n">
        <x:v>43435</x:v>
      </x:c>
      <x:c r="B1599" s="13" t="str">
        <x:v>Capital Goods</x:v>
      </x:c>
      <x:c r="C1599" s="16" t="n">
        <x:v>2350.0023218849</x:v>
      </x:c>
      <x:c r="D1599" s="16" t="n">
        <x:v>2545.92704</x:v>
      </x:c>
      <x:c r="E1599" s="16" t="n">
        <x:v>195.9247181151</x:v>
      </x:c>
      <x:c r="F1599" s="23" t="n">
        <x:v>2</x:v>
      </x:c>
    </x:row>
    <x:row r="1600">
      <x:c r="A1600" s="15" t="n">
        <x:v>43435</x:v>
      </x:c>
      <x:c r="B1600" s="13" t="str">
        <x:v>Education</x:v>
      </x:c>
      <x:c r="C1600" s="16" t="n">
        <x:v>2789.1732648329</x:v>
      </x:c>
      <x:c r="D1600" s="16" t="n">
        <x:v>2644.890048</x:v>
      </x:c>
      <x:c r="E1600" s="16" t="n">
        <x:v>-144.2832168329</x:v>
      </x:c>
      <x:c r="F1600" s="23" t="n">
        <x:v>2</x:v>
      </x:c>
    </x:row>
    <x:row r="1601">
      <x:c r="A1601" s="15" t="n">
        <x:v>43435</x:v>
      </x:c>
      <x:c r="B1601" s="13" t="str">
        <x:v>Financials Non-Banks</x:v>
      </x:c>
      <x:c r="C1601" s="16" t="n">
        <x:v>22084.9222228164</x:v>
      </x:c>
      <x:c r="D1601" s="16" t="n">
        <x:v>21911.10016</x:v>
      </x:c>
      <x:c r="E1601" s="16" t="n">
        <x:v>-173.8220628164</x:v>
      </x:c>
      <x:c r="F1601" s="23" t="n">
        <x:v>4</x:v>
      </x:c>
    </x:row>
    <x:row r="1602">
      <x:c r="A1602" s="15" t="n">
        <x:v>43435</x:v>
      </x:c>
      <x:c r="B1602" s="13" t="str">
        <x:v>Food &amp; Beverages</x:v>
      </x:c>
      <x:c r="C1602" s="16" t="n">
        <x:v>18251.9523184219</x:v>
      </x:c>
      <x:c r="D1602" s="16" t="n">
        <x:v>18362.877452</x:v>
      </x:c>
      <x:c r="E1602" s="16" t="n">
        <x:v>110.9251335781</x:v>
      </x:c>
      <x:c r="F1602" s="23" t="n">
        <x:v>4</x:v>
      </x:c>
    </x:row>
    <x:row r="1603">
      <x:c r="A1603" s="15" t="n">
        <x:v>43435</x:v>
      </x:c>
      <x:c r="B1603" s="13" t="str">
        <x:v>Health Care</x:v>
      </x:c>
      <x:c r="C1603" s="16" t="n">
        <x:v>2184.5984876712</x:v>
      </x:c>
      <x:c r="D1603" s="16" t="n">
        <x:v>2083.41504</x:v>
      </x:c>
      <x:c r="E1603" s="16" t="n">
        <x:v>-101.1834476712</x:v>
      </x:c>
      <x:c r="F1603" s="23" t="n">
        <x:v>3</x:v>
      </x:c>
    </x:row>
    <x:row r="1604">
      <x:c r="A1604" s="15" t="n">
        <x:v>43435</x:v>
      </x:c>
      <x:c r="B1604" s="13" t="str">
        <x:v>Homebuilders</x:v>
      </x:c>
      <x:c r="C1604" s="16" t="n">
        <x:v>1107.6822787507</x:v>
      </x:c>
      <x:c r="D1604" s="16" t="n">
        <x:v>1149.736032</x:v>
      </x:c>
      <x:c r="E1604" s="16" t="n">
        <x:v>42.0537532493</x:v>
      </x:c>
      <x:c r="F1604" s="23" t="n">
        <x:v>2</x:v>
      </x:c>
    </x:row>
    <x:row r="1605">
      <x:c r="A1605" s="15" t="n">
        <x:v>43435</x:v>
      </x:c>
      <x:c r="B1605" s="13" t="str">
        <x:v>Income Properties</x:v>
      </x:c>
      <x:c r="C1605" s="16" t="n">
        <x:v>1422.024306411</x:v>
      </x:c>
      <x:c r="D1605" s="16" t="n">
        <x:v>1438.29104</x:v>
      </x:c>
      <x:c r="E1605" s="16" t="n">
        <x:v>16.266733589</x:v>
      </x:c>
      <x:c r="F1605" s="23" t="n">
        <x:v>3</x:v>
      </x:c>
    </x:row>
    <x:row r="1606">
      <x:c r="A1606" s="15" t="n">
        <x:v>43435</x:v>
      </x:c>
      <x:c r="B1606" s="13" t="str">
        <x:v>Metals &amp; Mining</x:v>
      </x:c>
      <x:c r="C1606" s="16" t="n">
        <x:v>39506.4287612493</x:v>
      </x:c>
      <x:c r="D1606" s="16" t="n">
        <x:v>41090.498112</x:v>
      </x:c>
      <x:c r="E1606" s="16" t="n">
        <x:v>1584.0693507507</x:v>
      </x:c>
      <x:c r="F1606" s="23" t="n">
        <x:v>5</x:v>
      </x:c>
    </x:row>
    <x:row r="1607">
      <x:c r="A1607" s="15" t="n">
        <x:v>43435</x:v>
      </x:c>
      <x:c r="B1607" s="13" t="str">
        <x:v>Oil, Gas &amp; Petrochemicals</x:v>
      </x:c>
      <x:c r="C1607" s="16" t="n">
        <x:v>45568.8054759452</x:v>
      </x:c>
      <x:c r="D1607" s="16" t="n">
        <x:v>46601.868672</x:v>
      </x:c>
      <x:c r="E1607" s="16" t="n">
        <x:v>1033.0631960548</x:v>
      </x:c>
      <x:c r="F1607" s="23" t="n">
        <x:v>4</x:v>
      </x:c>
    </x:row>
    <x:row r="1608">
      <x:c r="A1608" s="15" t="n">
        <x:v>43435</x:v>
      </x:c>
      <x:c r="B1608" s="13" t="str">
        <x:v>Pulp &amp; Paper</x:v>
      </x:c>
      <x:c r="C1608" s="16" t="n">
        <x:v>9370.1739691836</x:v>
      </x:c>
      <x:c r="D1608" s="16" t="n">
        <x:v>13348.49024</x:v>
      </x:c>
      <x:c r="E1608" s="16" t="n">
        <x:v>3978.3162708164</x:v>
      </x:c>
      <x:c r="F1608" s="23" t="n">
        <x:v>3</x:v>
      </x:c>
    </x:row>
    <x:row r="1609">
      <x:c r="A1609" s="15" t="n">
        <x:v>43435</x:v>
      </x:c>
      <x:c r="B1609" s="13" t="str">
        <x:v>Retail</x:v>
      </x:c>
      <x:c r="C1609" s="16" t="n">
        <x:v>4680.7785172164</x:v>
      </x:c>
      <x:c r="D1609" s="16" t="n">
        <x:v>4619.024928</x:v>
      </x:c>
      <x:c r="E1609" s="16" t="n">
        <x:v>-61.7535892164</x:v>
      </x:c>
      <x:c r="F1609" s="23" t="n">
        <x:v>7</x:v>
      </x:c>
    </x:row>
    <x:row r="1610">
      <x:c r="A1610" s="15" t="n">
        <x:v>43435</x:v>
      </x:c>
      <x:c r="B1610" s="13" t="str">
        <x:v>Sanitation</x:v>
      </x:c>
      <x:c r="C1610" s="16" t="n">
        <x:v>2819.1531744438</x:v>
      </x:c>
      <x:c r="D1610" s="16" t="n">
        <x:v>2922.200064</x:v>
      </x:c>
      <x:c r="E1610" s="16" t="n">
        <x:v>103.0468895562</x:v>
      </x:c>
      <x:c r="F1610" s="23" t="n">
        <x:v>1</x:v>
      </x:c>
    </x:row>
    <x:row r="1611">
      <x:c r="A1611" s="15" t="n">
        <x:v>43435</x:v>
      </x:c>
      <x:c r="B1611" s="13" t="str">
        <x:v>TMT</x:v>
      </x:c>
      <x:c r="C1611" s="16" t="n">
        <x:v>8516.7084896438</x:v>
      </x:c>
      <x:c r="D1611" s="16" t="n">
        <x:v>8280.930176</x:v>
      </x:c>
      <x:c r="E1611" s="16" t="n">
        <x:v>-235.7783136438</x:v>
      </x:c>
      <x:c r="F1611" s="23" t="n">
        <x:v>3</x:v>
      </x:c>
    </x:row>
    <x:row r="1612">
      <x:c r="A1612" s="15" t="n">
        <x:v>43435</x:v>
      </x:c>
      <x:c r="B1612" s="13" t="str">
        <x:v>Transportation</x:v>
      </x:c>
      <x:c r="C1612" s="16" t="n">
        <x:v>4027.3306020822</x:v>
      </x:c>
      <x:c r="D1612" s="16" t="n">
        <x:v>4363.08704</x:v>
      </x:c>
      <x:c r="E1612" s="16" t="n">
        <x:v>335.7564379178</x:v>
      </x:c>
      <x:c r="F1612" s="23" t="n">
        <x:v>5</x:v>
      </x:c>
    </x:row>
    <x:row r="1613">
      <x:c r="A1613" s="15" t="n">
        <x:v>43435</x:v>
      </x:c>
      <x:c r="B1613" s="13" t="str">
        <x:v>Utilities &amp; Energy</x:v>
      </x:c>
      <x:c r="C1613" s="16" t="n">
        <x:v>19318.7298137425</x:v>
      </x:c>
      <x:c r="D1613" s="16" t="n">
        <x:v>13465.450048</x:v>
      </x:c>
      <x:c r="E1613" s="16" t="n">
        <x:v>-5853.2797657425</x:v>
      </x:c>
      <x:c r="F1613" s="23" t="n">
        <x:v>8</x:v>
      </x:c>
    </x:row>
    <x:row r="1614">
      <x:c r="A1614" s="15" t="n">
        <x:v>43466</x:v>
      </x:c>
      <x:c r="B1614" s="13" t="str">
        <x:v>Banks</x:v>
      </x:c>
      <x:c r="C1614" s="16" t="n">
        <x:v>100896.3928709262</x:v>
      </x:c>
      <x:c r="D1614" s="16" t="n">
        <x:v>106158.0739119563</x:v>
      </x:c>
      <x:c r="E1614" s="16" t="n">
        <x:v>5261.6810410301</x:v>
      </x:c>
      <x:c r="F1614" s="23" t="n">
        <x:v>5</x:v>
      </x:c>
    </x:row>
    <x:row r="1615">
      <x:c r="A1615" s="15" t="n">
        <x:v>43466</x:v>
      </x:c>
      <x:c r="B1615" s="13" t="str">
        <x:v>Capital Goods</x:v>
      </x:c>
      <x:c r="C1615" s="16" t="n">
        <x:v>2346.5397883616</x:v>
      </x:c>
      <x:c r="D1615" s="16" t="n">
        <x:v>1766.7594749727</x:v>
      </x:c>
      <x:c r="E1615" s="16" t="n">
        <x:v>-579.780313389</x:v>
      </x:c>
      <x:c r="F1615" s="23" t="n">
        <x:v>2</x:v>
      </x:c>
    </x:row>
    <x:row r="1616">
      <x:c r="A1616" s="15" t="n">
        <x:v>43466</x:v>
      </x:c>
      <x:c r="B1616" s="13" t="str">
        <x:v>Education</x:v>
      </x:c>
      <x:c r="C1616" s="16" t="n">
        <x:v>2766.0066510904</x:v>
      </x:c>
      <x:c r="D1616" s="16" t="n">
        <x:v>2623.0757340328</x:v>
      </x:c>
      <x:c r="E1616" s="16" t="n">
        <x:v>-142.9309170576</x:v>
      </x:c>
      <x:c r="F1616" s="23" t="n">
        <x:v>2</x:v>
      </x:c>
    </x:row>
    <x:row r="1617">
      <x:c r="A1617" s="15" t="n">
        <x:v>43466</x:v>
      </x:c>
      <x:c r="B1617" s="13" t="str">
        <x:v>Financials Non-Banks</x:v>
      </x:c>
      <x:c r="C1617" s="16" t="n">
        <x:v>21787.2260103014</x:v>
      </x:c>
      <x:c r="D1617" s="16" t="n">
        <x:v>21594.8091201749</x:v>
      </x:c>
      <x:c r="E1617" s="16" t="n">
        <x:v>-192.4168901265</x:v>
      </x:c>
      <x:c r="F1617" s="23" t="n">
        <x:v>4</x:v>
      </x:c>
    </x:row>
    <x:row r="1618">
      <x:c r="A1618" s="15" t="n">
        <x:v>43466</x:v>
      </x:c>
      <x:c r="B1618" s="13" t="str">
        <x:v>Food &amp; Beverages</x:v>
      </x:c>
      <x:c r="C1618" s="16" t="n">
        <x:v>17265.2046635836</x:v>
      </x:c>
      <x:c r="D1618" s="16" t="n">
        <x:v>18810.3928695956</x:v>
      </x:c>
      <x:c r="E1618" s="16" t="n">
        <x:v>1545.1882060121</x:v>
      </x:c>
      <x:c r="F1618" s="23" t="n">
        <x:v>4</x:v>
      </x:c>
    </x:row>
    <x:row r="1619">
      <x:c r="A1619" s="15" t="n">
        <x:v>43466</x:v>
      </x:c>
      <x:c r="B1619" s="13" t="str">
        <x:v>Health Care</x:v>
      </x:c>
      <x:c r="C1619" s="16" t="n">
        <x:v>2148.7047791342</x:v>
      </x:c>
      <x:c r="D1619" s="16" t="n">
        <x:v>2082.0812983607</x:v>
      </x:c>
      <x:c r="E1619" s="16" t="n">
        <x:v>-66.6234807736</x:v>
      </x:c>
      <x:c r="F1619" s="23" t="n">
        <x:v>3</x:v>
      </x:c>
    </x:row>
    <x:row r="1620">
      <x:c r="A1620" s="15" t="n">
        <x:v>43466</x:v>
      </x:c>
      <x:c r="B1620" s="13" t="str">
        <x:v>Homebuilders</x:v>
      </x:c>
      <x:c r="C1620" s="16" t="n">
        <x:v>1123.3125184877</x:v>
      </x:c>
      <x:c r="D1620" s="16" t="n">
        <x:v>1112.8406767213</x:v>
      </x:c>
      <x:c r="E1620" s="16" t="n">
        <x:v>-10.4718417664</x:v>
      </x:c>
      <x:c r="F1620" s="23" t="n">
        <x:v>2</x:v>
      </x:c>
    </x:row>
    <x:row r="1621">
      <x:c r="A1621" s="15" t="n">
        <x:v>43466</x:v>
      </x:c>
      <x:c r="B1621" s="13" t="str">
        <x:v>Income Properties</x:v>
      </x:c>
      <x:c r="C1621" s="16" t="n">
        <x:v>1432.7253376</x:v>
      </x:c>
      <x:c r="D1621" s="16" t="n">
        <x:v>1462.2755721093</x:v>
      </x:c>
      <x:c r="E1621" s="16" t="n">
        <x:v>29.5502345093</x:v>
      </x:c>
      <x:c r="F1621" s="23" t="n">
        <x:v>3</x:v>
      </x:c>
    </x:row>
    <x:row r="1622">
      <x:c r="A1622" s="15" t="n">
        <x:v>43466</x:v>
      </x:c>
      <x:c r="B1622" s="13" t="str">
        <x:v>Metals &amp; Mining</x:v>
      </x:c>
      <x:c r="C1622" s="16" t="n">
        <x:v>39134.6547212274</x:v>
      </x:c>
      <x:c r="D1622" s="16" t="n">
        <x:v>39161.2326546885</x:v>
      </x:c>
      <x:c r="E1622" s="16" t="n">
        <x:v>26.5779334611</x:v>
      </x:c>
      <x:c r="F1622" s="23" t="n">
        <x:v>4</x:v>
      </x:c>
    </x:row>
    <x:row r="1623">
      <x:c r="A1623" s="15" t="n">
        <x:v>43466</x:v>
      </x:c>
      <x:c r="B1623" s="13" t="str">
        <x:v>Oil, Gas &amp; Petrochemicals</x:v>
      </x:c>
      <x:c r="C1623" s="16" t="n">
        <x:v>51718.2513825315</x:v>
      </x:c>
      <x:c r="D1623" s="16" t="n">
        <x:v>43871.2708259672</x:v>
      </x:c>
      <x:c r="E1623" s="16" t="n">
        <x:v>-7846.9805565644</x:v>
      </x:c>
      <x:c r="F1623" s="23" t="n">
        <x:v>4</x:v>
      </x:c>
    </x:row>
    <x:row r="1624">
      <x:c r="A1624" s="15" t="n">
        <x:v>43466</x:v>
      </x:c>
      <x:c r="B1624" s="13" t="str">
        <x:v>Pulp &amp; Paper</x:v>
      </x:c>
      <x:c r="C1624" s="16" t="n">
        <x:v>5761.7303474849</x:v>
      </x:c>
      <x:c r="D1624" s="16" t="n">
        <x:v>8686.5393954973</x:v>
      </x:c>
      <x:c r="E1624" s="16" t="n">
        <x:v>2924.8090480123</x:v>
      </x:c>
      <x:c r="F1624" s="23" t="n">
        <x:v>2</x:v>
      </x:c>
    </x:row>
    <x:row r="1625">
      <x:c r="A1625" s="15" t="n">
        <x:v>43466</x:v>
      </x:c>
      <x:c r="B1625" s="13" t="str">
        <x:v>Retail</x:v>
      </x:c>
      <x:c r="C1625" s="16" t="n">
        <x:v>4637.0900345863</x:v>
      </x:c>
      <x:c r="D1625" s="16" t="n">
        <x:v>4819.5293645464</x:v>
      </x:c>
      <x:c r="E1625" s="16" t="n">
        <x:v>182.4393299602</x:v>
      </x:c>
      <x:c r="F1625" s="23" t="n">
        <x:v>7</x:v>
      </x:c>
    </x:row>
    <x:row r="1626">
      <x:c r="A1626" s="15" t="n">
        <x:v>43466</x:v>
      </x:c>
      <x:c r="B1626" s="13" t="str">
        <x:v>Sanitation</x:v>
      </x:c>
      <x:c r="C1626" s="16" t="n">
        <x:v>2860.8892458082</x:v>
      </x:c>
      <x:c r="D1626" s="16" t="n">
        <x:v>3121.5516243934</x:v>
      </x:c>
      <x:c r="E1626" s="16" t="n">
        <x:v>260.6623785852</x:v>
      </x:c>
      <x:c r="F1626" s="23" t="n">
        <x:v>1</x:v>
      </x:c>
    </x:row>
    <x:row r="1627">
      <x:c r="A1627" s="15" t="n">
        <x:v>43466</x:v>
      </x:c>
      <x:c r="B1627" s="13" t="str">
        <x:v>TMT</x:v>
      </x:c>
      <x:c r="C1627" s="16" t="n">
        <x:v>8467.3616275288</x:v>
      </x:c>
      <x:c r="D1627" s="16" t="n">
        <x:v>8348.2665362186</x:v>
      </x:c>
      <x:c r="E1627" s="16" t="n">
        <x:v>-119.0950913102</x:v>
      </x:c>
      <x:c r="F1627" s="23" t="n">
        <x:v>3</x:v>
      </x:c>
    </x:row>
    <x:row r="1628">
      <x:c r="A1628" s="15" t="n">
        <x:v>43466</x:v>
      </x:c>
      <x:c r="B1628" s="13" t="str">
        <x:v>Transportation</x:v>
      </x:c>
      <x:c r="C1628" s="16" t="n">
        <x:v>3975.6420679014</x:v>
      </x:c>
      <x:c r="D1628" s="16" t="n">
        <x:v>4610.9892917158</x:v>
      </x:c>
      <x:c r="E1628" s="16" t="n">
        <x:v>635.3472238145</x:v>
      </x:c>
      <x:c r="F1628" s="23" t="n">
        <x:v>5</x:v>
      </x:c>
    </x:row>
    <x:row r="1629">
      <x:c r="A1629" s="15" t="n">
        <x:v>43466</x:v>
      </x:c>
      <x:c r="B1629" s="13" t="str">
        <x:v>Utilities &amp; Energy</x:v>
      </x:c>
      <x:c r="C1629" s="16" t="n">
        <x:v>15175.3897770082</x:v>
      </x:c>
      <x:c r="D1629" s="16" t="n">
        <x:v>18238.3518968306</x:v>
      </x:c>
      <x:c r="E1629" s="16" t="n">
        <x:v>3062.9621198224</x:v>
      </x:c>
      <x:c r="F1629" s="23" t="n">
        <x:v>7</x:v>
      </x:c>
    </x:row>
    <x:row r="1630">
      <x:c r="A1630" s="15" t="n">
        <x:v>43497</x:v>
      </x:c>
      <x:c r="B1630" s="13" t="str">
        <x:v>Banks</x:v>
      </x:c>
      <x:c r="C1630" s="16" t="n">
        <x:v>102725.2904945972</x:v>
      </x:c>
      <x:c r="D1630" s="16" t="n">
        <x:v>106876.6068333114</x:v>
      </x:c>
      <x:c r="E1630" s="16" t="n">
        <x:v>4151.3163387142</x:v>
      </x:c>
      <x:c r="F1630" s="23" t="n">
        <x:v>5</x:v>
      </x:c>
    </x:row>
    <x:row r="1631">
      <x:c r="A1631" s="15" t="n">
        <x:v>43497</x:v>
      </x:c>
      <x:c r="B1631" s="13" t="str">
        <x:v>Capital Goods</x:v>
      </x:c>
      <x:c r="C1631" s="16" t="n">
        <x:v>2444.6443711562</x:v>
      </x:c>
      <x:c r="D1631" s="16" t="n">
        <x:v>1866.8731522623</x:v>
      </x:c>
      <x:c r="E1631" s="16" t="n">
        <x:v>-577.7712188939</x:v>
      </x:c>
      <x:c r="F1631" s="23" t="n">
        <x:v>2</x:v>
      </x:c>
    </x:row>
    <x:row r="1632">
      <x:c r="A1632" s="15" t="n">
        <x:v>43497</x:v>
      </x:c>
      <x:c r="B1632" s="13" t="str">
        <x:v>Education</x:v>
      </x:c>
      <x:c r="C1632" s="16" t="n">
        <x:v>2702.4280523397</x:v>
      </x:c>
      <x:c r="D1632" s="16" t="n">
        <x:v>2648.122647082</x:v>
      </x:c>
      <x:c r="E1632" s="16" t="n">
        <x:v>-54.3054052578</x:v>
      </x:c>
      <x:c r="F1632" s="23" t="n">
        <x:v>2</x:v>
      </x:c>
    </x:row>
    <x:row r="1633">
      <x:c r="A1633" s="15" t="n">
        <x:v>43497</x:v>
      </x:c>
      <x:c r="B1633" s="13" t="str">
        <x:v>Financials Non-Banks</x:v>
      </x:c>
      <x:c r="C1633" s="16" t="n">
        <x:v>10161.7621679342</x:v>
      </x:c>
      <x:c r="D1633" s="16" t="n">
        <x:v>9799.2190782951</x:v>
      </x:c>
      <x:c r="E1633" s="16" t="n">
        <x:v>-362.5430896392</x:v>
      </x:c>
      <x:c r="F1633" s="23" t="n">
        <x:v>3</x:v>
      </x:c>
    </x:row>
    <x:row r="1634">
      <x:c r="A1634" s="15" t="n">
        <x:v>43497</x:v>
      </x:c>
      <x:c r="B1634" s="13" t="str">
        <x:v>Food &amp; Beverages</x:v>
      </x:c>
      <x:c r="C1634" s="16" t="n">
        <x:v>17825.2344654466</x:v>
      </x:c>
      <x:c r="D1634" s="16" t="n">
        <x:v>18124.4135910164</x:v>
      </x:c>
      <x:c r="E1634" s="16" t="n">
        <x:v>299.1791255698</x:v>
      </x:c>
      <x:c r="F1634" s="23" t="n">
        <x:v>4</x:v>
      </x:c>
    </x:row>
    <x:row r="1635">
      <x:c r="A1635" s="15" t="n">
        <x:v>43497</x:v>
      </x:c>
      <x:c r="B1635" s="13" t="str">
        <x:v>Health Care</x:v>
      </x:c>
      <x:c r="C1635" s="16" t="n">
        <x:v>2116.2826732712</x:v>
      </x:c>
      <x:c r="D1635" s="16" t="n">
        <x:v>2102.1433788852</x:v>
      </x:c>
      <x:c r="E1635" s="16" t="n">
        <x:v>-14.139294386</x:v>
      </x:c>
      <x:c r="F1635" s="23" t="n">
        <x:v>3</x:v>
      </x:c>
    </x:row>
    <x:row r="1636">
      <x:c r="A1636" s="15" t="n">
        <x:v>43497</x:v>
      </x:c>
      <x:c r="B1636" s="13" t="str">
        <x:v>Homebuilders</x:v>
      </x:c>
      <x:c r="C1636" s="16" t="n">
        <x:v>1150.118138126</x:v>
      </x:c>
      <x:c r="D1636" s="16" t="n">
        <x:v>1159.4943060984</x:v>
      </x:c>
      <x:c r="E1636" s="16" t="n">
        <x:v>9.3761679723</x:v>
      </x:c>
      <x:c r="F1636" s="23" t="n">
        <x:v>2</x:v>
      </x:c>
    </x:row>
    <x:row r="1637">
      <x:c r="A1637" s="15" t="n">
        <x:v>43497</x:v>
      </x:c>
      <x:c r="B1637" s="13" t="str">
        <x:v>Income Properties</x:v>
      </x:c>
      <x:c r="C1637" s="16" t="n">
        <x:v>1455.2506727452</x:v>
      </x:c>
      <x:c r="D1637" s="16" t="n">
        <x:v>1447.8393264262</x:v>
      </x:c>
      <x:c r="E1637" s="16" t="n">
        <x:v>-7.411346319</x:v>
      </x:c>
      <x:c r="F1637" s="23" t="n">
        <x:v>3</x:v>
      </x:c>
    </x:row>
    <x:row r="1638">
      <x:c r="A1638" s="15" t="n">
        <x:v>43497</x:v>
      </x:c>
      <x:c r="B1638" s="13" t="str">
        <x:v>Metals &amp; Mining</x:v>
      </x:c>
      <x:c r="C1638" s="16" t="n">
        <x:v>39505.6256059617</x:v>
      </x:c>
      <x:c r="D1638" s="16" t="n">
        <x:v>40582.5076312131</x:v>
      </x:c>
      <x:c r="E1638" s="16" t="n">
        <x:v>1076.8820252514</x:v>
      </x:c>
      <x:c r="F1638" s="23" t="n">
        <x:v>4</x:v>
      </x:c>
    </x:row>
    <x:row r="1639">
      <x:c r="A1639" s="15" t="n">
        <x:v>43497</x:v>
      </x:c>
      <x:c r="B1639" s="13" t="str">
        <x:v>Oil, Gas &amp; Petrochemicals</x:v>
      </x:c>
      <x:c r="C1639" s="16" t="n">
        <x:v>49859.0223940384</x:v>
      </x:c>
      <x:c r="D1639" s="16" t="n">
        <x:v>46642.4801657705</x:v>
      </x:c>
      <x:c r="E1639" s="16" t="n">
        <x:v>-3216.5422282679</x:v>
      </x:c>
      <x:c r="F1639" s="23" t="n">
        <x:v>4</x:v>
      </x:c>
    </x:row>
    <x:row r="1640">
      <x:c r="A1640" s="15" t="n">
        <x:v>43497</x:v>
      </x:c>
      <x:c r="B1640" s="13" t="str">
        <x:v>Pulp &amp; Paper</x:v>
      </x:c>
      <x:c r="C1640" s="16" t="n">
        <x:v>5571.3159078575</x:v>
      </x:c>
      <x:c r="D1640" s="16" t="n">
        <x:v>8665.6602921967</x:v>
      </x:c>
      <x:c r="E1640" s="16" t="n">
        <x:v>3094.3443843392</x:v>
      </x:c>
      <x:c r="F1640" s="23" t="n">
        <x:v>2</x:v>
      </x:c>
    </x:row>
    <x:row r="1641">
      <x:c r="A1641" s="15" t="n">
        <x:v>43497</x:v>
      </x:c>
      <x:c r="B1641" s="13" t="str">
        <x:v>Retail</x:v>
      </x:c>
      <x:c r="C1641" s="16" t="n">
        <x:v>5203.4173146301</x:v>
      </x:c>
      <x:c r="D1641" s="16" t="n">
        <x:v>5125.6249870164</x:v>
      </x:c>
      <x:c r="E1641" s="16" t="n">
        <x:v>-77.7923276138</x:v>
      </x:c>
      <x:c r="F1641" s="23" t="n">
        <x:v>8</x:v>
      </x:c>
    </x:row>
    <x:row r="1642">
      <x:c r="A1642" s="15" t="n">
        <x:v>43497</x:v>
      </x:c>
      <x:c r="B1642" s="13" t="str">
        <x:v>Sanitation</x:v>
      </x:c>
      <x:c r="C1642" s="16" t="n">
        <x:v>2879.1976139397</x:v>
      </x:c>
      <x:c r="D1642" s="16" t="n">
        <x:v>3092.7382074754</x:v>
      </x:c>
      <x:c r="E1642" s="16" t="n">
        <x:v>213.5405935357</x:v>
      </x:c>
      <x:c r="F1642" s="23" t="n">
        <x:v>1</x:v>
      </x:c>
    </x:row>
    <x:row r="1643">
      <x:c r="A1643" s="15" t="n">
        <x:v>43497</x:v>
      </x:c>
      <x:c r="B1643" s="13" t="str">
        <x:v>TMT</x:v>
      </x:c>
      <x:c r="C1643" s="16" t="n">
        <x:v>8479.5633932274</x:v>
      </x:c>
      <x:c r="D1643" s="16" t="n">
        <x:v>8456.489716459</x:v>
      </x:c>
      <x:c r="E1643" s="16" t="n">
        <x:v>-23.0736767684</x:v>
      </x:c>
      <x:c r="F1643" s="23" t="n">
        <x:v>3</x:v>
      </x:c>
    </x:row>
    <x:row r="1644">
      <x:c r="A1644" s="15" t="n">
        <x:v>43497</x:v>
      </x:c>
      <x:c r="B1644" s="13" t="str">
        <x:v>Transportation</x:v>
      </x:c>
      <x:c r="C1644" s="16" t="n">
        <x:v>4216.2068628164</x:v>
      </x:c>
      <x:c r="D1644" s="16" t="n">
        <x:v>4837.1256886557</x:v>
      </x:c>
      <x:c r="E1644" s="16" t="n">
        <x:v>620.9188258393</x:v>
      </x:c>
      <x:c r="F1644" s="23" t="n">
        <x:v>5</x:v>
      </x:c>
    </x:row>
    <x:row r="1645">
      <x:c r="A1645" s="15" t="n">
        <x:v>43497</x:v>
      </x:c>
      <x:c r="B1645" s="13" t="str">
        <x:v>Utilities &amp; Energy</x:v>
      </x:c>
      <x:c r="C1645" s="16" t="n">
        <x:v>11982.0609450082</x:v>
      </x:c>
      <x:c r="D1645" s="16" t="n">
        <x:v>18285.3182751475</x:v>
      </x:c>
      <x:c r="E1645" s="16" t="n">
        <x:v>6303.2573301393</x:v>
      </x:c>
      <x:c r="F1645" s="23" t="n">
        <x:v>7</x:v>
      </x:c>
    </x:row>
    <x:row r="1646">
      <x:c r="A1646" s="15" t="n">
        <x:v>43525</x:v>
      </x:c>
      <x:c r="B1646" s="13" t="str">
        <x:v>Banks</x:v>
      </x:c>
      <x:c r="C1646" s="16" t="n">
        <x:v>106746.50112</x:v>
      </x:c>
      <x:c r="D1646" s="16" t="n">
        <x:v>109231.2562402624</x:v>
      </x:c>
      <x:c r="E1646" s="16" t="n">
        <x:v>2484.7551202624</x:v>
      </x:c>
      <x:c r="F1646" s="23" t="n">
        <x:v>5</x:v>
      </x:c>
    </x:row>
    <x:row r="1647">
      <x:c r="A1647" s="15" t="n">
        <x:v>43525</x:v>
      </x:c>
      <x:c r="B1647" s="13" t="str">
        <x:v>Capital Goods</x:v>
      </x:c>
      <x:c r="C1647" s="16" t="n">
        <x:v>2545.92704</x:v>
      </x:c>
      <x:c r="D1647" s="16" t="n">
        <x:v>1916.2881908197</x:v>
      </x:c>
      <x:c r="E1647" s="16" t="n">
        <x:v>-629.6388491803</x:v>
      </x:c>
      <x:c r="F1647" s="23" t="n">
        <x:v>2</x:v>
      </x:c>
    </x:row>
    <x:row r="1648">
      <x:c r="A1648" s="15" t="n">
        <x:v>43525</x:v>
      </x:c>
      <x:c r="B1648" s="13" t="str">
        <x:v>Education</x:v>
      </x:c>
      <x:c r="C1648" s="16" t="n">
        <x:v>2644.890048</x:v>
      </x:c>
      <x:c r="D1648" s="16" t="n">
        <x:v>2611.0331394098</x:v>
      </x:c>
      <x:c r="E1648" s="16" t="n">
        <x:v>-33.8569085902</x:v>
      </x:c>
      <x:c r="F1648" s="23" t="n">
        <x:v>2</x:v>
      </x:c>
    </x:row>
    <x:row r="1649">
      <x:c r="A1649" s="15" t="n">
        <x:v>43525</x:v>
      </x:c>
      <x:c r="B1649" s="13" t="str">
        <x:v>Financials Non-Banks</x:v>
      </x:c>
      <x:c r="C1649" s="16" t="n">
        <x:v>10107.099904</x:v>
      </x:c>
      <x:c r="D1649" s="16" t="n">
        <x:v>10017.8840215082</x:v>
      </x:c>
      <x:c r="E1649" s="16" t="n">
        <x:v>-89.2158824918</x:v>
      </x:c>
      <x:c r="F1649" s="23" t="n">
        <x:v>3</x:v>
      </x:c>
    </x:row>
    <x:row r="1650">
      <x:c r="A1650" s="15" t="n">
        <x:v>43525</x:v>
      </x:c>
      <x:c r="B1650" s="13" t="str">
        <x:v>Food &amp; Beverages</x:v>
      </x:c>
      <x:c r="C1650" s="16" t="n">
        <x:v>18362.877452</x:v>
      </x:c>
      <x:c r="D1650" s="16" t="n">
        <x:v>18049.3805538798</x:v>
      </x:c>
      <x:c r="E1650" s="16" t="n">
        <x:v>-313.4968981202</x:v>
      </x:c>
      <x:c r="F1650" s="23" t="n">
        <x:v>4</x:v>
      </x:c>
    </x:row>
    <x:row r="1651">
      <x:c r="A1651" s="15" t="n">
        <x:v>43525</x:v>
      </x:c>
      <x:c r="B1651" s="13" t="str">
        <x:v>Health Care</x:v>
      </x:c>
      <x:c r="C1651" s="16" t="n">
        <x:v>2083.41504</x:v>
      </x:c>
      <x:c r="D1651" s="16" t="n">
        <x:v>2099.3546089618</x:v>
      </x:c>
      <x:c r="E1651" s="16" t="n">
        <x:v>15.9395689618</x:v>
      </x:c>
      <x:c r="F1651" s="23" t="n">
        <x:v>3</x:v>
      </x:c>
    </x:row>
    <x:row r="1652">
      <x:c r="A1652" s="15" t="n">
        <x:v>43525</x:v>
      </x:c>
      <x:c r="B1652" s="13" t="str">
        <x:v>Homebuilders</x:v>
      </x:c>
      <x:c r="C1652" s="16" t="n">
        <x:v>1149.736032</x:v>
      </x:c>
      <x:c r="D1652" s="16" t="n">
        <x:v>1167.7053895519</x:v>
      </x:c>
      <x:c r="E1652" s="16" t="n">
        <x:v>17.9693575519</x:v>
      </x:c>
      <x:c r="F1652" s="23" t="n">
        <x:v>2</x:v>
      </x:c>
    </x:row>
    <x:row r="1653">
      <x:c r="A1653" s="15" t="n">
        <x:v>43525</x:v>
      </x:c>
      <x:c r="B1653" s="13" t="str">
        <x:v>Income Properties</x:v>
      </x:c>
      <x:c r="C1653" s="16" t="n">
        <x:v>1438.29104</x:v>
      </x:c>
      <x:c r="D1653" s="16" t="n">
        <x:v>1467.5574830164</x:v>
      </x:c>
      <x:c r="E1653" s="16" t="n">
        <x:v>29.2664430164</x:v>
      </x:c>
      <x:c r="F1653" s="23" t="n">
        <x:v>3</x:v>
      </x:c>
    </x:row>
    <x:row r="1654">
      <x:c r="A1654" s="15" t="n">
        <x:v>43525</x:v>
      </x:c>
      <x:c r="B1654" s="13" t="str">
        <x:v>Metals &amp; Mining</x:v>
      </x:c>
      <x:c r="C1654" s="16" t="n">
        <x:v>41090.498112</x:v>
      </x:c>
      <x:c r="D1654" s="16" t="n">
        <x:v>44689.4478261858</x:v>
      </x:c>
      <x:c r="E1654" s="16" t="n">
        <x:v>3598.9497141858</x:v>
      </x:c>
      <x:c r="F1654" s="23" t="n">
        <x:v>5</x:v>
      </x:c>
    </x:row>
    <x:row r="1655">
      <x:c r="A1655" s="15" t="n">
        <x:v>43525</x:v>
      </x:c>
      <x:c r="B1655" s="13" t="str">
        <x:v>Oil, Gas &amp; Petrochemicals</x:v>
      </x:c>
      <x:c r="C1655" s="16" t="n">
        <x:v>46601.868672</x:v>
      </x:c>
      <x:c r="D1655" s="16" t="n">
        <x:v>45528.1689218798</x:v>
      </x:c>
      <x:c r="E1655" s="16" t="n">
        <x:v>-1073.6997501202</x:v>
      </x:c>
      <x:c r="F1655" s="23" t="n">
        <x:v>4</x:v>
      </x:c>
    </x:row>
    <x:row r="1656">
      <x:c r="A1656" s="15" t="n">
        <x:v>43525</x:v>
      </x:c>
      <x:c r="B1656" s="13" t="str">
        <x:v>Pulp &amp; Paper</x:v>
      </x:c>
      <x:c r="C1656" s="16" t="n">
        <x:v>8078.040064</x:v>
      </x:c>
      <x:c r="D1656" s="16" t="n">
        <x:v>8618.3153524809</x:v>
      </x:c>
      <x:c r="E1656" s="16" t="n">
        <x:v>540.2752884809</x:v>
      </x:c>
      <x:c r="F1656" s="23" t="n">
        <x:v>2</x:v>
      </x:c>
    </x:row>
    <x:row r="1657">
      <x:c r="A1657" s="15" t="n">
        <x:v>43525</x:v>
      </x:c>
      <x:c r="B1657" s="13" t="str">
        <x:v>Retail</x:v>
      </x:c>
      <x:c r="C1657" s="16" t="n">
        <x:v>5144.246944</x:v>
      </x:c>
      <x:c r="D1657" s="16" t="n">
        <x:v>5168.4486653115</x:v>
      </x:c>
      <x:c r="E1657" s="16" t="n">
        <x:v>24.2017213115</x:v>
      </x:c>
      <x:c r="F1657" s="23" t="n">
        <x:v>8</x:v>
      </x:c>
    </x:row>
    <x:row r="1658">
      <x:c r="A1658" s="15" t="n">
        <x:v>43525</x:v>
      </x:c>
      <x:c r="B1658" s="13" t="str">
        <x:v>Sanitation</x:v>
      </x:c>
      <x:c r="C1658" s="16" t="n">
        <x:v>2922.200064</x:v>
      </x:c>
      <x:c r="D1658" s="16" t="n">
        <x:v>3188.2490327432</x:v>
      </x:c>
      <x:c r="E1658" s="16" t="n">
        <x:v>266.0489687432</x:v>
      </x:c>
      <x:c r="F1658" s="23" t="n">
        <x:v>1</x:v>
      </x:c>
    </x:row>
    <x:row r="1659">
      <x:c r="A1659" s="15" t="n">
        <x:v>43525</x:v>
      </x:c>
      <x:c r="B1659" s="13" t="str">
        <x:v>TMT</x:v>
      </x:c>
      <x:c r="C1659" s="16" t="n">
        <x:v>8280.930176</x:v>
      </x:c>
      <x:c r="D1659" s="16" t="n">
        <x:v>8411.867440612</x:v>
      </x:c>
      <x:c r="E1659" s="16" t="n">
        <x:v>130.937264612</x:v>
      </x:c>
      <x:c r="F1659" s="23" t="n">
        <x:v>3</x:v>
      </x:c>
    </x:row>
    <x:row r="1660">
      <x:c r="A1660" s="15" t="n">
        <x:v>43525</x:v>
      </x:c>
      <x:c r="B1660" s="13" t="str">
        <x:v>Transportation</x:v>
      </x:c>
      <x:c r="C1660" s="16" t="n">
        <x:v>4363.08704</x:v>
      </x:c>
      <x:c r="D1660" s="16" t="n">
        <x:v>4887.4018743607</x:v>
      </x:c>
      <x:c r="E1660" s="16" t="n">
        <x:v>524.3148343607</x:v>
      </x:c>
      <x:c r="F1660" s="23" t="n">
        <x:v>5</x:v>
      </x:c>
    </x:row>
    <x:row r="1661">
      <x:c r="A1661" s="15" t="n">
        <x:v>43525</x:v>
      </x:c>
      <x:c r="B1661" s="13" t="str">
        <x:v>Utilities &amp; Energy</x:v>
      </x:c>
      <x:c r="C1661" s="16" t="n">
        <x:v>12011.150016</x:v>
      </x:c>
      <x:c r="D1661" s="16" t="n">
        <x:v>21860.6805378798</x:v>
      </x:c>
      <x:c r="E1661" s="16" t="n">
        <x:v>9849.5305218798</x:v>
      </x:c>
      <x:c r="F1661" s="23" t="n">
        <x:v>7</x:v>
      </x:c>
    </x:row>
    <x:row r="1662">
      <x:c r="A1662" s="15" t="n">
        <x:v>43556</x:v>
      </x:c>
      <x:c r="B1662" s="13" t="str">
        <x:v>Banks</x:v>
      </x:c>
      <x:c r="C1662" s="16" t="n">
        <x:v>106158.0739119563</x:v>
      </x:c>
      <x:c r="D1662" s="16" t="n">
        <x:v>111611.6018976175</x:v>
      </x:c>
      <x:c r="E1662" s="16" t="n">
        <x:v>5453.5279856612</x:v>
      </x:c>
      <x:c r="F1662" s="23" t="n">
        <x:v>5</x:v>
      </x:c>
    </x:row>
    <x:row r="1663">
      <x:c r="A1663" s="15" t="n">
        <x:v>43556</x:v>
      </x:c>
      <x:c r="B1663" s="13" t="str">
        <x:v>Capital Goods</x:v>
      </x:c>
      <x:c r="C1663" s="16" t="n">
        <x:v>1766.7594749727</x:v>
      </x:c>
      <x:c r="D1663" s="16" t="n">
        <x:v>1967.191107541</x:v>
      </x:c>
      <x:c r="E1663" s="16" t="n">
        <x:v>200.4316325683</x:v>
      </x:c>
      <x:c r="F1663" s="23" t="n">
        <x:v>2</x:v>
      </x:c>
    </x:row>
    <x:row r="1664">
      <x:c r="A1664" s="15" t="n">
        <x:v>43556</x:v>
      </x:c>
      <x:c r="B1664" s="13" t="str">
        <x:v>Education</x:v>
      </x:c>
      <x:c r="C1664" s="16" t="n">
        <x:v>2623.0757340328</x:v>
      </x:c>
      <x:c r="D1664" s="16" t="n">
        <x:v>2535.8560082186</x:v>
      </x:c>
      <x:c r="E1664" s="16" t="n">
        <x:v>-87.2197258142</x:v>
      </x:c>
      <x:c r="F1664" s="23" t="n">
        <x:v>2</x:v>
      </x:c>
    </x:row>
    <x:row r="1665">
      <x:c r="A1665" s="15" t="n">
        <x:v>43556</x:v>
      </x:c>
      <x:c r="B1665" s="13" t="str">
        <x:v>Financials Non-Banks</x:v>
      </x:c>
      <x:c r="C1665" s="16" t="n">
        <x:v>9951.3665748634</x:v>
      </x:c>
      <x:c r="D1665" s="16" t="n">
        <x:v>9773.4146839781</x:v>
      </x:c>
      <x:c r="E1665" s="16" t="n">
        <x:v>-177.9518908852</x:v>
      </x:c>
      <x:c r="F1665" s="23" t="n">
        <x:v>3</x:v>
      </x:c>
    </x:row>
    <x:row r="1666">
      <x:c r="A1666" s="15" t="n">
        <x:v>43556</x:v>
      </x:c>
      <x:c r="B1666" s="13" t="str">
        <x:v>Food &amp; Beverages</x:v>
      </x:c>
      <x:c r="C1666" s="16" t="n">
        <x:v>18810.3928695956</x:v>
      </x:c>
      <x:c r="D1666" s="16" t="n">
        <x:v>19155.0672588634</x:v>
      </x:c>
      <x:c r="E1666" s="16" t="n">
        <x:v>344.6743892678</x:v>
      </x:c>
      <x:c r="F1666" s="23" t="n">
        <x:v>4</x:v>
      </x:c>
    </x:row>
    <x:row r="1667">
      <x:c r="A1667" s="15" t="n">
        <x:v>43556</x:v>
      </x:c>
      <x:c r="B1667" s="13" t="str">
        <x:v>Health Care</x:v>
      </x:c>
      <x:c r="C1667" s="16" t="n">
        <x:v>2082.0812983607</x:v>
      </x:c>
      <x:c r="D1667" s="16" t="n">
        <x:v>2112.9337234536</x:v>
      </x:c>
      <x:c r="E1667" s="16" t="n">
        <x:v>30.8524250929</x:v>
      </x:c>
      <x:c r="F1667" s="23" t="n">
        <x:v>3</x:v>
      </x:c>
    </x:row>
    <x:row r="1668">
      <x:c r="A1668" s="15" t="n">
        <x:v>43556</x:v>
      </x:c>
      <x:c r="B1668" s="13" t="str">
        <x:v>Homebuilders</x:v>
      </x:c>
      <x:c r="C1668" s="16" t="n">
        <x:v>1112.8406767213</x:v>
      </x:c>
      <x:c r="D1668" s="16" t="n">
        <x:v>1203.0873386667</x:v>
      </x:c>
      <x:c r="E1668" s="16" t="n">
        <x:v>90.2466619454</x:v>
      </x:c>
      <x:c r="F1668" s="23" t="n">
        <x:v>2</x:v>
      </x:c>
    </x:row>
    <x:row r="1669">
      <x:c r="A1669" s="15" t="n">
        <x:v>43556</x:v>
      </x:c>
      <x:c r="B1669" s="13" t="str">
        <x:v>Income Properties</x:v>
      </x:c>
      <x:c r="C1669" s="16" t="n">
        <x:v>1522.5821294863</x:v>
      </x:c>
      <x:c r="D1669" s="16" t="n">
        <x:v>1535.4965272568</x:v>
      </x:c>
      <x:c r="E1669" s="16" t="n">
        <x:v>12.9143977705</x:v>
      </x:c>
      <x:c r="F1669" s="23" t="n">
        <x:v>4</x:v>
      </x:c>
    </x:row>
    <x:row r="1670">
      <x:c r="A1670" s="15" t="n">
        <x:v>43556</x:v>
      </x:c>
      <x:c r="B1670" s="13" t="str">
        <x:v>Metals &amp; Mining</x:v>
      </x:c>
      <x:c r="C1670" s="16" t="n">
        <x:v>39161.2326546885</x:v>
      </x:c>
      <x:c r="D1670" s="16" t="n">
        <x:v>42241.601424612</x:v>
      </x:c>
      <x:c r="E1670" s="16" t="n">
        <x:v>3080.3687699235</x:v>
      </x:c>
      <x:c r="F1670" s="23" t="n">
        <x:v>4</x:v>
      </x:c>
    </x:row>
    <x:row r="1671">
      <x:c r="A1671" s="15" t="n">
        <x:v>43556</x:v>
      </x:c>
      <x:c r="B1671" s="13" t="str">
        <x:v>Oil, Gas &amp; Petrochemicals</x:v>
      </x:c>
      <x:c r="C1671" s="16" t="n">
        <x:v>45898.6246309071</x:v>
      </x:c>
      <x:c r="D1671" s="16" t="n">
        <x:v>46685.8806396503</x:v>
      </x:c>
      <x:c r="E1671" s="16" t="n">
        <x:v>787.2560087432</x:v>
      </x:c>
      <x:c r="F1671" s="23" t="n">
        <x:v>5</x:v>
      </x:c>
    </x:row>
    <x:row r="1672">
      <x:c r="A1672" s="15" t="n">
        <x:v>43556</x:v>
      </x:c>
      <x:c r="B1672" s="13" t="str">
        <x:v>Pulp &amp; Paper</x:v>
      </x:c>
      <x:c r="C1672" s="16" t="n">
        <x:v>8686.5393954973</x:v>
      </x:c>
      <x:c r="D1672" s="16" t="n">
        <x:v>9085.9441416393</x:v>
      </x:c>
      <x:c r="E1672" s="16" t="n">
        <x:v>399.4047461421</x:v>
      </x:c>
      <x:c r="F1672" s="23" t="n">
        <x:v>2</x:v>
      </x:c>
    </x:row>
    <x:row r="1673">
      <x:c r="A1673" s="15" t="n">
        <x:v>43556</x:v>
      </x:c>
      <x:c r="B1673" s="13" t="str">
        <x:v>Retail</x:v>
      </x:c>
      <x:c r="C1673" s="16" t="n">
        <x:v>5252.852531847</x:v>
      </x:c>
      <x:c r="D1673" s="16" t="n">
        <x:v>5269.2547318033</x:v>
      </x:c>
      <x:c r="E1673" s="16" t="n">
        <x:v>16.4021999563</x:v>
      </x:c>
      <x:c r="F1673" s="23" t="n">
        <x:v>8</x:v>
      </x:c>
    </x:row>
    <x:row r="1674">
      <x:c r="A1674" s="15" t="n">
        <x:v>43556</x:v>
      </x:c>
      <x:c r="B1674" s="13" t="str">
        <x:v>Sanitation</x:v>
      </x:c>
      <x:c r="C1674" s="16" t="n">
        <x:v>3121.5516243934</x:v>
      </x:c>
      <x:c r="D1674" s="16" t="n">
        <x:v>3171.4024085683</x:v>
      </x:c>
      <x:c r="E1674" s="16" t="n">
        <x:v>49.8507841749</x:v>
      </x:c>
      <x:c r="F1674" s="23" t="n">
        <x:v>1</x:v>
      </x:c>
    </x:row>
    <x:row r="1675">
      <x:c r="A1675" s="15" t="n">
        <x:v>43556</x:v>
      </x:c>
      <x:c r="B1675" s="13" t="str">
        <x:v>TMT</x:v>
      </x:c>
      <x:c r="C1675" s="16" t="n">
        <x:v>8348.2665362186</x:v>
      </x:c>
      <x:c r="D1675" s="16" t="n">
        <x:v>8465.1633570273</x:v>
      </x:c>
      <x:c r="E1675" s="16" t="n">
        <x:v>116.8968208087</x:v>
      </x:c>
      <x:c r="F1675" s="23" t="n">
        <x:v>3</x:v>
      </x:c>
    </x:row>
    <x:row r="1676">
      <x:c r="A1676" s="15" t="n">
        <x:v>43556</x:v>
      </x:c>
      <x:c r="B1676" s="13" t="str">
        <x:v>Transportation</x:v>
      </x:c>
      <x:c r="C1676" s="16" t="n">
        <x:v>4610.9892917158</x:v>
      </x:c>
      <x:c r="D1676" s="16" t="n">
        <x:v>4883.6041663825</x:v>
      </x:c>
      <x:c r="E1676" s="16" t="n">
        <x:v>272.6148746667</x:v>
      </x:c>
      <x:c r="F1676" s="23" t="n">
        <x:v>5</x:v>
      </x:c>
    </x:row>
    <x:row r="1677">
      <x:c r="A1677" s="15" t="n">
        <x:v>43556</x:v>
      </x:c>
      <x:c r="B1677" s="13" t="str">
        <x:v>Utilities &amp; Energy</x:v>
      </x:c>
      <x:c r="C1677" s="16" t="n">
        <x:v>18238.3518968306</x:v>
      </x:c>
      <x:c r="D1677" s="16" t="n">
        <x:v>21230.4842706885</x:v>
      </x:c>
      <x:c r="E1677" s="16" t="n">
        <x:v>2992.1323738579</x:v>
      </x:c>
      <x:c r="F1677" s="23" t="n">
        <x:v>7</x:v>
      </x:c>
    </x:row>
    <x:row r="1678">
      <x:c r="A1678" s="15" t="n">
        <x:v>43586</x:v>
      </x:c>
      <x:c r="B1678" s="13" t="str">
        <x:v>Banks</x:v>
      </x:c>
      <x:c r="C1678" s="16" t="n">
        <x:v>106876.6068333114</x:v>
      </x:c>
      <x:c r="D1678" s="16" t="n">
        <x:v>115101.6029055302</x:v>
      </x:c>
      <x:c r="E1678" s="16" t="n">
        <x:v>8224.9960722188</x:v>
      </x:c>
      <x:c r="F1678" s="23" t="n">
        <x:v>5</x:v>
      </x:c>
    </x:row>
    <x:row r="1679">
      <x:c r="A1679" s="15" t="n">
        <x:v>43586</x:v>
      </x:c>
      <x:c r="B1679" s="13" t="str">
        <x:v>Capital Goods</x:v>
      </x:c>
      <x:c r="C1679" s="16" t="n">
        <x:v>1866.8731522623</x:v>
      </x:c>
      <x:c r="D1679" s="16" t="n">
        <x:v>2060.523031694</x:v>
      </x:c>
      <x:c r="E1679" s="16" t="n">
        <x:v>193.6498794317</x:v>
      </x:c>
      <x:c r="F1679" s="23" t="n">
        <x:v>2</x:v>
      </x:c>
    </x:row>
    <x:row r="1680">
      <x:c r="A1680" s="15" t="n">
        <x:v>43586</x:v>
      </x:c>
      <x:c r="B1680" s="13" t="str">
        <x:v>Education</x:v>
      </x:c>
      <x:c r="C1680" s="16" t="n">
        <x:v>2648.122647082</x:v>
      </x:c>
      <x:c r="D1680" s="16" t="n">
        <x:v>2559.1594281967</x:v>
      </x:c>
      <x:c r="E1680" s="16" t="n">
        <x:v>-88.9632188852</x:v>
      </x:c>
      <x:c r="F1680" s="23" t="n">
        <x:v>2</x:v>
      </x:c>
    </x:row>
    <x:row r="1681">
      <x:c r="A1681" s="15" t="n">
        <x:v>43586</x:v>
      </x:c>
      <x:c r="B1681" s="13" t="str">
        <x:v>Financials Non-Banks</x:v>
      </x:c>
      <x:c r="C1681" s="16" t="n">
        <x:v>9799.2190782951</x:v>
      </x:c>
      <x:c r="D1681" s="16" t="n">
        <x:v>9502.2899465792</x:v>
      </x:c>
      <x:c r="E1681" s="16" t="n">
        <x:v>-296.9291317158</x:v>
      </x:c>
      <x:c r="F1681" s="23" t="n">
        <x:v>3</x:v>
      </x:c>
    </x:row>
    <x:row r="1682">
      <x:c r="A1682" s="15" t="n">
        <x:v>43586</x:v>
      </x:c>
      <x:c r="B1682" s="13" t="str">
        <x:v>Food &amp; Beverages</x:v>
      </x:c>
      <x:c r="C1682" s="16" t="n">
        <x:v>18124.4135910164</x:v>
      </x:c>
      <x:c r="D1682" s="16" t="n">
        <x:v>19117.3640146885</x:v>
      </x:c>
      <x:c r="E1682" s="16" t="n">
        <x:v>992.9504236721</x:v>
      </x:c>
      <x:c r="F1682" s="23" t="n">
        <x:v>4</x:v>
      </x:c>
    </x:row>
    <x:row r="1683">
      <x:c r="A1683" s="15" t="n">
        <x:v>43586</x:v>
      </x:c>
      <x:c r="B1683" s="13" t="str">
        <x:v>Health Care</x:v>
      </x:c>
      <x:c r="C1683" s="16" t="n">
        <x:v>2102.1433788852</x:v>
      </x:c>
      <x:c r="D1683" s="16" t="n">
        <x:v>2164.8404551694</x:v>
      </x:c>
      <x:c r="E1683" s="16" t="n">
        <x:v>62.6970762841</x:v>
      </x:c>
      <x:c r="F1683" s="23" t="n">
        <x:v>3</x:v>
      </x:c>
    </x:row>
    <x:row r="1684">
      <x:c r="A1684" s="15" t="n">
        <x:v>43586</x:v>
      </x:c>
      <x:c r="B1684" s="13" t="str">
        <x:v>Homebuilders</x:v>
      </x:c>
      <x:c r="C1684" s="16" t="n">
        <x:v>1159.4943060984</x:v>
      </x:c>
      <x:c r="D1684" s="16" t="n">
        <x:v>1217.5510448962</x:v>
      </x:c>
      <x:c r="E1684" s="16" t="n">
        <x:v>58.0567387978</x:v>
      </x:c>
      <x:c r="F1684" s="23" t="n">
        <x:v>2</x:v>
      </x:c>
    </x:row>
    <x:row r="1685">
      <x:c r="A1685" s="15" t="n">
        <x:v>43586</x:v>
      </x:c>
      <x:c r="B1685" s="13" t="str">
        <x:v>Income Properties</x:v>
      </x:c>
      <x:c r="C1685" s="16" t="n">
        <x:v>1447.8393264262</x:v>
      </x:c>
      <x:c r="D1685" s="16" t="n">
        <x:v>1461.3730558251</x:v>
      </x:c>
      <x:c r="E1685" s="16" t="n">
        <x:v>13.5337293989</x:v>
      </x:c>
      <x:c r="F1685" s="23" t="n">
        <x:v>3</x:v>
      </x:c>
    </x:row>
    <x:row r="1686">
      <x:c r="A1686" s="15" t="n">
        <x:v>43586</x:v>
      </x:c>
      <x:c r="B1686" s="13" t="str">
        <x:v>Metals &amp; Mining</x:v>
      </x:c>
      <x:c r="C1686" s="16" t="n">
        <x:v>40582.5076312131</x:v>
      </x:c>
      <x:c r="D1686" s="16" t="n">
        <x:v>39647.8825064918</x:v>
      </x:c>
      <x:c r="E1686" s="16" t="n">
        <x:v>-934.6251247213</x:v>
      </x:c>
      <x:c r="F1686" s="23" t="n">
        <x:v>4</x:v>
      </x:c>
    </x:row>
    <x:row r="1687">
      <x:c r="A1687" s="15" t="n">
        <x:v>43586</x:v>
      </x:c>
      <x:c r="B1687" s="13" t="str">
        <x:v>Oil, Gas &amp; Petrochemicals</x:v>
      </x:c>
      <x:c r="C1687" s="16" t="n">
        <x:v>48569.8752398688</x:v>
      </x:c>
      <x:c r="D1687" s="16" t="n">
        <x:v>47280.6167774427</x:v>
      </x:c>
      <x:c r="E1687" s="16" t="n">
        <x:v>-1289.2584624262</x:v>
      </x:c>
      <x:c r="F1687" s="23" t="n">
        <x:v>5</x:v>
      </x:c>
    </x:row>
    <x:row r="1688">
      <x:c r="A1688" s="15" t="n">
        <x:v>43586</x:v>
      </x:c>
      <x:c r="B1688" s="13" t="str">
        <x:v>Pulp &amp; Paper</x:v>
      </x:c>
      <x:c r="C1688" s="16" t="n">
        <x:v>8665.6602921967</x:v>
      </x:c>
      <x:c r="D1688" s="16" t="n">
        <x:v>7776.9053146229</x:v>
      </x:c>
      <x:c r="E1688" s="16" t="n">
        <x:v>-888.7549775738</x:v>
      </x:c>
      <x:c r="F1688" s="23" t="n">
        <x:v>2</x:v>
      </x:c>
    </x:row>
    <x:row r="1689">
      <x:c r="A1689" s="15" t="n">
        <x:v>43586</x:v>
      </x:c>
      <x:c r="B1689" s="13" t="str">
        <x:v>Retail</x:v>
      </x:c>
      <x:c r="C1689" s="16" t="n">
        <x:v>5125.6249870164</x:v>
      </x:c>
      <x:c r="D1689" s="16" t="n">
        <x:v>5312.0235128306</x:v>
      </x:c>
      <x:c r="E1689" s="16" t="n">
        <x:v>186.3985258142</x:v>
      </x:c>
      <x:c r="F1689" s="23" t="n">
        <x:v>8</x:v>
      </x:c>
    </x:row>
    <x:row r="1690">
      <x:c r="A1690" s="15" t="n">
        <x:v>43586</x:v>
      </x:c>
      <x:c r="B1690" s="13" t="str">
        <x:v>Sanitation</x:v>
      </x:c>
      <x:c r="C1690" s="16" t="n">
        <x:v>3092.7382074754</x:v>
      </x:c>
      <x:c r="D1690" s="16" t="n">
        <x:v>3084.2459922186</x:v>
      </x:c>
      <x:c r="E1690" s="16" t="n">
        <x:v>-8.4922152568</x:v>
      </x:c>
      <x:c r="F1690" s="23" t="n">
        <x:v>1</x:v>
      </x:c>
    </x:row>
    <x:row r="1691">
      <x:c r="A1691" s="15" t="n">
        <x:v>43586</x:v>
      </x:c>
      <x:c r="B1691" s="13" t="str">
        <x:v>TMT</x:v>
      </x:c>
      <x:c r="C1691" s="16" t="n">
        <x:v>8456.489716459</x:v>
      </x:c>
      <x:c r="D1691" s="16" t="n">
        <x:v>8334.4864328743</x:v>
      </x:c>
      <x:c r="E1691" s="16" t="n">
        <x:v>-122.0032835847</x:v>
      </x:c>
      <x:c r="F1691" s="23" t="n">
        <x:v>3</x:v>
      </x:c>
    </x:row>
    <x:row r="1692">
      <x:c r="A1692" s="15" t="n">
        <x:v>43586</x:v>
      </x:c>
      <x:c r="B1692" s="13" t="str">
        <x:v>Transportation</x:v>
      </x:c>
      <x:c r="C1692" s="16" t="n">
        <x:v>4837.1256886557</x:v>
      </x:c>
      <x:c r="D1692" s="16" t="n">
        <x:v>4934.1954418361</x:v>
      </x:c>
      <x:c r="E1692" s="16" t="n">
        <x:v>97.0697531803</x:v>
      </x:c>
      <x:c r="F1692" s="23" t="n">
        <x:v>5</x:v>
      </x:c>
    </x:row>
    <x:row r="1693">
      <x:c r="A1693" s="15" t="n">
        <x:v>43586</x:v>
      </x:c>
      <x:c r="B1693" s="13" t="str">
        <x:v>Utilities &amp; Energy</x:v>
      </x:c>
      <x:c r="C1693" s="16" t="n">
        <x:v>18285.3182751475</x:v>
      </x:c>
      <x:c r="D1693" s="16" t="n">
        <x:v>21579.2370864262</x:v>
      </x:c>
      <x:c r="E1693" s="16" t="n">
        <x:v>3293.9188112787</x:v>
      </x:c>
      <x:c r="F1693" s="23" t="n">
        <x:v>7</x:v>
      </x:c>
    </x:row>
    <x:row r="1694">
      <x:c r="A1694" s="15" t="n">
        <x:v>43617</x:v>
      </x:c>
      <x:c r="B1694" s="13" t="str">
        <x:v>Banks</x:v>
      </x:c>
      <x:c r="C1694" s="16" t="n">
        <x:v>109231.2562402624</x:v>
      </x:c>
      <x:c r="D1694" s="16" t="n">
        <x:v>115468.267822164</x:v>
      </x:c>
      <x:c r="E1694" s="16" t="n">
        <x:v>6237.0115819016</x:v>
      </x:c>
      <x:c r="F1694" s="23" t="n">
        <x:v>5</x:v>
      </x:c>
    </x:row>
    <x:row r="1695">
      <x:c r="A1695" s="15" t="n">
        <x:v>43617</x:v>
      </x:c>
      <x:c r="B1695" s="13" t="str">
        <x:v>Capital Goods</x:v>
      </x:c>
      <x:c r="C1695" s="16" t="n">
        <x:v>1916.2881908197</x:v>
      </x:c>
      <x:c r="D1695" s="16" t="n">
        <x:v>2201.6477765246</x:v>
      </x:c>
      <x:c r="E1695" s="16" t="n">
        <x:v>285.3595857049</x:v>
      </x:c>
      <x:c r="F1695" s="23" t="n">
        <x:v>2</x:v>
      </x:c>
    </x:row>
    <x:row r="1696">
      <x:c r="A1696" s="15" t="n">
        <x:v>43617</x:v>
      </x:c>
      <x:c r="B1696" s="13" t="str">
        <x:v>Education</x:v>
      </x:c>
      <x:c r="C1696" s="16" t="n">
        <x:v>2611.0331394098</x:v>
      </x:c>
      <x:c r="D1696" s="16" t="n">
        <x:v>2306.712151082</x:v>
      </x:c>
      <x:c r="E1696" s="16" t="n">
        <x:v>-304.3209883279</x:v>
      </x:c>
      <x:c r="F1696" s="23" t="n">
        <x:v>2</x:v>
      </x:c>
    </x:row>
    <x:row r="1697">
      <x:c r="A1697" s="15" t="n">
        <x:v>43617</x:v>
      </x:c>
      <x:c r="B1697" s="13" t="str">
        <x:v>Financials Non-Banks</x:v>
      </x:c>
      <x:c r="C1697" s="16" t="n">
        <x:v>10017.8840215082</x:v>
      </x:c>
      <x:c r="D1697" s="16" t="n">
        <x:v>9463.5118751475</x:v>
      </x:c>
      <x:c r="E1697" s="16" t="n">
        <x:v>-554.3721463607</x:v>
      </x:c>
      <x:c r="F1697" s="23" t="n">
        <x:v>3</x:v>
      </x:c>
    </x:row>
    <x:row r="1698">
      <x:c r="A1698" s="15" t="n">
        <x:v>43617</x:v>
      </x:c>
      <x:c r="B1698" s="13" t="str">
        <x:v>Food &amp; Beverages</x:v>
      </x:c>
      <x:c r="C1698" s="16" t="n">
        <x:v>18049.3805538798</x:v>
      </x:c>
      <x:c r="D1698" s="16" t="n">
        <x:v>19506.8649398032</x:v>
      </x:c>
      <x:c r="E1698" s="16" t="n">
        <x:v>1457.4843859234</x:v>
      </x:c>
      <x:c r="F1698" s="23" t="n">
        <x:v>4</x:v>
      </x:c>
    </x:row>
    <x:row r="1699">
      <x:c r="A1699" s="15" t="n">
        <x:v>43617</x:v>
      </x:c>
      <x:c r="B1699" s="13" t="str">
        <x:v>Health Care</x:v>
      </x:c>
      <x:c r="C1699" s="16" t="n">
        <x:v>2099.3546089618</x:v>
      </x:c>
      <x:c r="D1699" s="16" t="n">
        <x:v>2139.0351721967</x:v>
      </x:c>
      <x:c r="E1699" s="16" t="n">
        <x:v>39.680563235</x:v>
      </x:c>
      <x:c r="F1699" s="23" t="n">
        <x:v>3</x:v>
      </x:c>
    </x:row>
    <x:row r="1700">
      <x:c r="A1700" s="15" t="n">
        <x:v>43617</x:v>
      </x:c>
      <x:c r="B1700" s="13" t="str">
        <x:v>Homebuilders</x:v>
      </x:c>
      <x:c r="C1700" s="16" t="n">
        <x:v>1167.7053895519</x:v>
      </x:c>
      <x:c r="D1700" s="16" t="n">
        <x:v>1232.3136556066</x:v>
      </x:c>
      <x:c r="E1700" s="16" t="n">
        <x:v>64.6082660546</x:v>
      </x:c>
      <x:c r="F1700" s="23" t="n">
        <x:v>2</x:v>
      </x:c>
    </x:row>
    <x:row r="1701">
      <x:c r="A1701" s="15" t="n">
        <x:v>43617</x:v>
      </x:c>
      <x:c r="B1701" s="13" t="str">
        <x:v>Income Properties</x:v>
      </x:c>
      <x:c r="C1701" s="16" t="n">
        <x:v>1467.5574830164</x:v>
      </x:c>
      <x:c r="D1701" s="16" t="n">
        <x:v>1471.4392708197</x:v>
      </x:c>
      <x:c r="E1701" s="16" t="n">
        <x:v>3.8817878033</x:v>
      </x:c>
      <x:c r="F1701" s="23" t="n">
        <x:v>3</x:v>
      </x:c>
    </x:row>
    <x:row r="1702">
      <x:c r="A1702" s="15" t="n">
        <x:v>43617</x:v>
      </x:c>
      <x:c r="B1702" s="13" t="str">
        <x:v>Metals &amp; Mining</x:v>
      </x:c>
      <x:c r="C1702" s="16" t="n">
        <x:v>44689.4478261858</x:v>
      </x:c>
      <x:c r="D1702" s="16" t="n">
        <x:v>41155.9459913443</x:v>
      </x:c>
      <x:c r="E1702" s="16" t="n">
        <x:v>-3533.5018348415</x:v>
      </x:c>
      <x:c r="F1702" s="23" t="n">
        <x:v>5</x:v>
      </x:c>
    </x:row>
    <x:row r="1703">
      <x:c r="A1703" s="15" t="n">
        <x:v>43617</x:v>
      </x:c>
      <x:c r="B1703" s="13" t="str">
        <x:v>Oil, Gas &amp; Petrochemicals</x:v>
      </x:c>
      <x:c r="C1703" s="16" t="n">
        <x:v>47653.1261044809</x:v>
      </x:c>
      <x:c r="D1703" s="16" t="n">
        <x:v>48177.9776335738</x:v>
      </x:c>
      <x:c r="E1703" s="16" t="n">
        <x:v>524.8515290928</x:v>
      </x:c>
      <x:c r="F1703" s="23" t="n">
        <x:v>5</x:v>
      </x:c>
    </x:row>
    <x:row r="1704">
      <x:c r="A1704" s="15" t="n">
        <x:v>43617</x:v>
      </x:c>
      <x:c r="B1704" s="13" t="str">
        <x:v>Pulp &amp; Paper</x:v>
      </x:c>
      <x:c r="C1704" s="16" t="n">
        <x:v>8618.3153524809</x:v>
      </x:c>
      <x:c r="D1704" s="16" t="n">
        <x:v>5441.2840257049</x:v>
      </x:c>
      <x:c r="E1704" s="16" t="n">
        <x:v>-3177.0313267759</x:v>
      </x:c>
      <x:c r="F1704" s="23" t="n">
        <x:v>2</x:v>
      </x:c>
    </x:row>
    <x:row r="1705">
      <x:c r="A1705" s="15" t="n">
        <x:v>43617</x:v>
      </x:c>
      <x:c r="B1705" s="13" t="str">
        <x:v>Retail</x:v>
      </x:c>
      <x:c r="C1705" s="16" t="n">
        <x:v>5168.4486653115</x:v>
      </x:c>
      <x:c r="D1705" s="16" t="n">
        <x:v>5391.488107541</x:v>
      </x:c>
      <x:c r="E1705" s="16" t="n">
        <x:v>223.0394422295</x:v>
      </x:c>
      <x:c r="F1705" s="23" t="n">
        <x:v>8</x:v>
      </x:c>
    </x:row>
    <x:row r="1706">
      <x:c r="A1706" s="15" t="n">
        <x:v>43617</x:v>
      </x:c>
      <x:c r="B1706" s="13" t="str">
        <x:v>Sanitation</x:v>
      </x:c>
      <x:c r="C1706" s="16" t="n">
        <x:v>3188.2490327432</x:v>
      </x:c>
      <x:c r="D1706" s="16" t="n">
        <x:v>3062.2624020984</x:v>
      </x:c>
      <x:c r="E1706" s="16" t="n">
        <x:v>-125.9866306448</x:v>
      </x:c>
      <x:c r="F1706" s="23" t="n">
        <x:v>1</x:v>
      </x:c>
    </x:row>
    <x:row r="1707">
      <x:c r="A1707" s="15" t="n">
        <x:v>43617</x:v>
      </x:c>
      <x:c r="B1707" s="13" t="str">
        <x:v>TMT</x:v>
      </x:c>
      <x:c r="C1707" s="16" t="n">
        <x:v>8411.867440612</x:v>
      </x:c>
      <x:c r="D1707" s="16" t="n">
        <x:v>8115.7549104262</x:v>
      </x:c>
      <x:c r="E1707" s="16" t="n">
        <x:v>-296.1125301858</x:v>
      </x:c>
      <x:c r="F1707" s="23" t="n">
        <x:v>3</x:v>
      </x:c>
    </x:row>
    <x:row r="1708">
      <x:c r="A1708" s="15" t="n">
        <x:v>43617</x:v>
      </x:c>
      <x:c r="B1708" s="13" t="str">
        <x:v>Transportation</x:v>
      </x:c>
      <x:c r="C1708" s="16" t="n">
        <x:v>4887.4018743607</x:v>
      </x:c>
      <x:c r="D1708" s="16" t="n">
        <x:v>5202.6614457705</x:v>
      </x:c>
      <x:c r="E1708" s="16" t="n">
        <x:v>315.2595714098</x:v>
      </x:c>
      <x:c r="F1708" s="23" t="n">
        <x:v>5</x:v>
      </x:c>
    </x:row>
    <x:row r="1709">
      <x:c r="A1709" s="15" t="n">
        <x:v>43617</x:v>
      </x:c>
      <x:c r="B1709" s="13" t="str">
        <x:v>Utilities &amp; Energy</x:v>
      </x:c>
      <x:c r="C1709" s="16" t="n">
        <x:v>21860.6805378798</x:v>
      </x:c>
      <x:c r="D1709" s="16" t="n">
        <x:v>22023.7521846557</x:v>
      </x:c>
      <x:c r="E1709" s="16" t="n">
        <x:v>163.071646776</x:v>
      </x:c>
      <x:c r="F1709" s="23" t="n">
        <x:v>7</x:v>
      </x:c>
    </x:row>
    <x:row r="1710">
      <x:c r="A1710" s="15" t="n">
        <x:v>43647</x:v>
      </x:c>
      <x:c r="B1710" s="13" t="str">
        <x:v>Banks</x:v>
      </x:c>
      <x:c r="C1710" s="16" t="n">
        <x:v>111611.6018976175</x:v>
      </x:c>
      <x:c r="D1710" s="16" t="n">
        <x:v>115022.5931666885</x:v>
      </x:c>
      <x:c r="E1710" s="16" t="n">
        <x:v>3410.991269071</x:v>
      </x:c>
      <x:c r="F1710" s="23" t="n">
        <x:v>5</x:v>
      </x:c>
    </x:row>
    <x:row r="1711">
      <x:c r="A1711" s="15" t="n">
        <x:v>43647</x:v>
      </x:c>
      <x:c r="B1711" s="13" t="str">
        <x:v>Capital Goods</x:v>
      </x:c>
      <x:c r="C1711" s="16" t="n">
        <x:v>1967.191107541</x:v>
      </x:c>
      <x:c r="D1711" s="16" t="n">
        <x:v>2297.7687698361</x:v>
      </x:c>
      <x:c r="E1711" s="16" t="n">
        <x:v>330.5776622951</x:v>
      </x:c>
      <x:c r="F1711" s="23" t="n">
        <x:v>2</x:v>
      </x:c>
    </x:row>
    <x:row r="1712">
      <x:c r="A1712" s="15" t="n">
        <x:v>43647</x:v>
      </x:c>
      <x:c r="B1712" s="13" t="str">
        <x:v>Education</x:v>
      </x:c>
      <x:c r="C1712" s="16" t="n">
        <x:v>2535.8560082186</x:v>
      </x:c>
      <x:c r="D1712" s="16" t="n">
        <x:v>2250.7250948197</x:v>
      </x:c>
      <x:c r="E1712" s="16" t="n">
        <x:v>-285.1309133989</x:v>
      </x:c>
      <x:c r="F1712" s="23" t="n">
        <x:v>2</x:v>
      </x:c>
    </x:row>
    <x:row r="1713">
      <x:c r="A1713" s="15" t="n">
        <x:v>43647</x:v>
      </x:c>
      <x:c r="B1713" s="13" t="str">
        <x:v>Financials Non-Banks</x:v>
      </x:c>
      <x:c r="C1713" s="16" t="n">
        <x:v>9773.4146839781</x:v>
      </x:c>
      <x:c r="D1713" s="16" t="n">
        <x:v>9367.8490208525</x:v>
      </x:c>
      <x:c r="E1713" s="16" t="n">
        <x:v>-405.5656631257</x:v>
      </x:c>
      <x:c r="F1713" s="23" t="n">
        <x:v>3</x:v>
      </x:c>
    </x:row>
    <x:row r="1714">
      <x:c r="A1714" s="15" t="n">
        <x:v>43647</x:v>
      </x:c>
      <x:c r="B1714" s="13" t="str">
        <x:v>Food &amp; Beverages</x:v>
      </x:c>
      <x:c r="C1714" s="16" t="n">
        <x:v>19155.0672588634</x:v>
      </x:c>
      <x:c r="D1714" s="16" t="n">
        <x:v>19965.6739499016</x:v>
      </x:c>
      <x:c r="E1714" s="16" t="n">
        <x:v>810.6066910382</x:v>
      </x:c>
      <x:c r="F1714" s="23" t="n">
        <x:v>4</x:v>
      </x:c>
    </x:row>
    <x:row r="1715">
      <x:c r="A1715" s="15" t="n">
        <x:v>43647</x:v>
      </x:c>
      <x:c r="B1715" s="13" t="str">
        <x:v>Health Care</x:v>
      </x:c>
      <x:c r="C1715" s="16" t="n">
        <x:v>2112.9337234536</x:v>
      </x:c>
      <x:c r="D1715" s="16" t="n">
        <x:v>2152.2672519344</x:v>
      </x:c>
      <x:c r="E1715" s="16" t="n">
        <x:v>39.3335284809</x:v>
      </x:c>
      <x:c r="F1715" s="23" t="n">
        <x:v>3</x:v>
      </x:c>
    </x:row>
    <x:row r="1716">
      <x:c r="A1716" s="15" t="n">
        <x:v>43647</x:v>
      </x:c>
      <x:c r="B1716" s="13" t="str">
        <x:v>Homebuilders</x:v>
      </x:c>
      <x:c r="C1716" s="16" t="n">
        <x:v>1203.0873386667</x:v>
      </x:c>
      <x:c r="D1716" s="16" t="n">
        <x:v>1253.0112658361</x:v>
      </x:c>
      <x:c r="E1716" s="16" t="n">
        <x:v>49.9239271694</x:v>
      </x:c>
      <x:c r="F1716" s="23" t="n">
        <x:v>2</x:v>
      </x:c>
    </x:row>
    <x:row r="1717">
      <x:c r="A1717" s="15" t="n">
        <x:v>43647</x:v>
      </x:c>
      <x:c r="B1717" s="13" t="str">
        <x:v>Income Properties</x:v>
      </x:c>
      <x:c r="C1717" s="16" t="n">
        <x:v>1469.8996693333</x:v>
      </x:c>
      <x:c r="D1717" s="16" t="n">
        <x:v>1479.1476456393</x:v>
      </x:c>
      <x:c r="E1717" s="16" t="n">
        <x:v>9.247976306</x:v>
      </x:c>
      <x:c r="F1717" s="23" t="n">
        <x:v>3</x:v>
      </x:c>
    </x:row>
    <x:row r="1718">
      <x:c r="A1718" s="15" t="n">
        <x:v>43647</x:v>
      </x:c>
      <x:c r="B1718" s="13" t="str">
        <x:v>Metals &amp; Mining</x:v>
      </x:c>
      <x:c r="C1718" s="16" t="n">
        <x:v>44557.1123324153</x:v>
      </x:c>
      <x:c r="D1718" s="16" t="n">
        <x:v>43254.9211761312</x:v>
      </x:c>
      <x:c r="E1718" s="16" t="n">
        <x:v>-1302.1911562841</x:v>
      </x:c>
      <x:c r="F1718" s="23" t="n">
        <x:v>5</x:v>
      </x:c>
    </x:row>
    <x:row r="1719">
      <x:c r="A1719" s="15" t="n">
        <x:v>43647</x:v>
      </x:c>
      <x:c r="B1719" s="13" t="str">
        <x:v>Oil, Gas &amp; Petrochemicals</x:v>
      </x:c>
      <x:c r="C1719" s="16" t="n">
        <x:v>46685.8806396503</x:v>
      </x:c>
      <x:c r="D1719" s="16" t="n">
        <x:v>47963.4319045246</x:v>
      </x:c>
      <x:c r="E1719" s="16" t="n">
        <x:v>1277.5512648743</x:v>
      </x:c>
      <x:c r="F1719" s="23" t="n">
        <x:v>5</x:v>
      </x:c>
    </x:row>
    <x:row r="1720">
      <x:c r="A1720" s="15" t="n">
        <x:v>43647</x:v>
      </x:c>
      <x:c r="B1720" s="13" t="str">
        <x:v>Pulp &amp; Paper</x:v>
      </x:c>
      <x:c r="C1720" s="16" t="n">
        <x:v>9085.9441416393</x:v>
      </x:c>
      <x:c r="D1720" s="16" t="n">
        <x:v>5236.5794827541</x:v>
      </x:c>
      <x:c r="E1720" s="16" t="n">
        <x:v>-3849.3646588852</x:v>
      </x:c>
      <x:c r="F1720" s="23" t="n">
        <x:v>2</x:v>
      </x:c>
    </x:row>
    <x:row r="1721">
      <x:c r="A1721" s="15" t="n">
        <x:v>43647</x:v>
      </x:c>
      <x:c r="B1721" s="13" t="str">
        <x:v>Retail</x:v>
      </x:c>
      <x:c r="C1721" s="16" t="n">
        <x:v>5269.2547318033</x:v>
      </x:c>
      <x:c r="D1721" s="16" t="n">
        <x:v>5453.5095811148</x:v>
      </x:c>
      <x:c r="E1721" s="16" t="n">
        <x:v>184.2548493115</x:v>
      </x:c>
      <x:c r="F1721" s="23" t="n">
        <x:v>8</x:v>
      </x:c>
    </x:row>
    <x:row r="1722">
      <x:c r="A1722" s="15" t="n">
        <x:v>43647</x:v>
      </x:c>
      <x:c r="B1722" s="13" t="str">
        <x:v>Sanitation</x:v>
      </x:c>
      <x:c r="C1722" s="16" t="n">
        <x:v>3171.4024085683</x:v>
      </x:c>
      <x:c r="D1722" s="16" t="n">
        <x:v>3063.2803630164</x:v>
      </x:c>
      <x:c r="E1722" s="16" t="n">
        <x:v>-108.1220455519</x:v>
      </x:c>
      <x:c r="F1722" s="23" t="n">
        <x:v>1</x:v>
      </x:c>
    </x:row>
    <x:row r="1723">
      <x:c r="A1723" s="15" t="n">
        <x:v>43647</x:v>
      </x:c>
      <x:c r="B1723" s="13" t="str">
        <x:v>TMT</x:v>
      </x:c>
      <x:c r="C1723" s="16" t="n">
        <x:v>8465.1633570273</x:v>
      </x:c>
      <x:c r="D1723" s="16" t="n">
        <x:v>8281.5217342951</x:v>
      </x:c>
      <x:c r="E1723" s="16" t="n">
        <x:v>-183.6416227322</x:v>
      </x:c>
      <x:c r="F1723" s="23" t="n">
        <x:v>3</x:v>
      </x:c>
    </x:row>
    <x:row r="1724">
      <x:c r="A1724" s="15" t="n">
        <x:v>43647</x:v>
      </x:c>
      <x:c r="B1724" s="13" t="str">
        <x:v>Transportation</x:v>
      </x:c>
      <x:c r="C1724" s="16" t="n">
        <x:v>4883.6041663825</x:v>
      </x:c>
      <x:c r="D1724" s="16" t="n">
        <x:v>5563.6652700328</x:v>
      </x:c>
      <x:c r="E1724" s="16" t="n">
        <x:v>680.0611036503</x:v>
      </x:c>
      <x:c r="F1724" s="23" t="n">
        <x:v>5</x:v>
      </x:c>
    </x:row>
    <x:row r="1725">
      <x:c r="A1725" s="15" t="n">
        <x:v>43647</x:v>
      </x:c>
      <x:c r="B1725" s="13" t="str">
        <x:v>Utilities &amp; Energy</x:v>
      </x:c>
      <x:c r="C1725" s="16" t="n">
        <x:v>21230.4842706885</x:v>
      </x:c>
      <x:c r="D1725" s="16" t="n">
        <x:v>19000.2217704918</x:v>
      </x:c>
      <x:c r="E1725" s="16" t="n">
        <x:v>-2230.2625001967</x:v>
      </x:c>
      <x:c r="F1725" s="23" t="n">
        <x:v>7</x:v>
      </x:c>
    </x:row>
    <x:row r="1726">
      <x:c r="A1726" s="15" t="n">
        <x:v>43678</x:v>
      </x:c>
      <x:c r="B1726" s="13" t="str">
        <x:v>Banks</x:v>
      </x:c>
      <x:c r="C1726" s="16" t="n">
        <x:v>115101.6029055302</x:v>
      </x:c>
      <x:c r="D1726" s="16" t="n">
        <x:v>118083.9375234098</x:v>
      </x:c>
      <x:c r="E1726" s="16" t="n">
        <x:v>2982.3346178796</x:v>
      </x:c>
      <x:c r="F1726" s="23" t="n">
        <x:v>5</x:v>
      </x:c>
    </x:row>
    <x:row r="1727">
      <x:c r="A1727" s="15" t="n">
        <x:v>43678</x:v>
      </x:c>
      <x:c r="B1727" s="13" t="str">
        <x:v>Capital Goods</x:v>
      </x:c>
      <x:c r="C1727" s="16" t="n">
        <x:v>2060.523031694</x:v>
      </x:c>
      <x:c r="D1727" s="16" t="n">
        <x:v>2437.8131965902</x:v>
      </x:c>
      <x:c r="E1727" s="16" t="n">
        <x:v>377.2901648962</x:v>
      </x:c>
      <x:c r="F1727" s="23" t="n">
        <x:v>2</x:v>
      </x:c>
    </x:row>
    <x:row r="1728">
      <x:c r="A1728" s="15" t="n">
        <x:v>43678</x:v>
      </x:c>
      <x:c r="B1728" s="13" t="str">
        <x:v>Education</x:v>
      </x:c>
      <x:c r="C1728" s="16" t="n">
        <x:v>2559.1594281967</x:v>
      </x:c>
      <x:c r="D1728" s="16" t="n">
        <x:v>2276.1401951475</x:v>
      </x:c>
      <x:c r="E1728" s="16" t="n">
        <x:v>-283.0192330492</x:v>
      </x:c>
      <x:c r="F1728" s="23" t="n">
        <x:v>2</x:v>
      </x:c>
    </x:row>
    <x:row r="1729">
      <x:c r="A1729" s="15" t="n">
        <x:v>43678</x:v>
      </x:c>
      <x:c r="B1729" s="13" t="str">
        <x:v>Financials Non-Banks</x:v>
      </x:c>
      <x:c r="C1729" s="16" t="n">
        <x:v>21705.5743398469</x:v>
      </x:c>
      <x:c r="D1729" s="16" t="n">
        <x:v>22188.5736215082</x:v>
      </x:c>
      <x:c r="E1729" s="16" t="n">
        <x:v>482.9992816613</x:v>
      </x:c>
      <x:c r="F1729" s="23" t="n">
        <x:v>5</x:v>
      </x:c>
    </x:row>
    <x:row r="1730">
      <x:c r="A1730" s="15" t="n">
        <x:v>43678</x:v>
      </x:c>
      <x:c r="B1730" s="13" t="str">
        <x:v>Food &amp; Beverages</x:v>
      </x:c>
      <x:c r="C1730" s="16" t="n">
        <x:v>19117.3640146885</x:v>
      </x:c>
      <x:c r="D1730" s="16" t="n">
        <x:v>21082.6326135081</x:v>
      </x:c>
      <x:c r="E1730" s="16" t="n">
        <x:v>1965.2685988196</x:v>
      </x:c>
      <x:c r="F1730" s="23" t="n">
        <x:v>4</x:v>
      </x:c>
    </x:row>
    <x:row r="1731">
      <x:c r="A1731" s="15" t="n">
        <x:v>43678</x:v>
      </x:c>
      <x:c r="B1731" s="13" t="str">
        <x:v>Health Care</x:v>
      </x:c>
      <x:c r="C1731" s="16" t="n">
        <x:v>2164.8404551694</x:v>
      </x:c>
      <x:c r="D1731" s="16" t="n">
        <x:v>2168.6187032131</x:v>
      </x:c>
      <x:c r="E1731" s="16" t="n">
        <x:v>3.7782480437</x:v>
      </x:c>
      <x:c r="F1731" s="23" t="n">
        <x:v>3</x:v>
      </x:c>
    </x:row>
    <x:row r="1732">
      <x:c r="A1732" s="15" t="n">
        <x:v>43678</x:v>
      </x:c>
      <x:c r="B1732" s="13" t="str">
        <x:v>Homebuilders</x:v>
      </x:c>
      <x:c r="C1732" s="16" t="n">
        <x:v>1217.5510448962</x:v>
      </x:c>
      <x:c r="D1732" s="16" t="n">
        <x:v>1268.2781384918</x:v>
      </x:c>
      <x:c r="E1732" s="16" t="n">
        <x:v>50.7270935956</x:v>
      </x:c>
      <x:c r="F1732" s="23" t="n">
        <x:v>2</x:v>
      </x:c>
    </x:row>
    <x:row r="1733">
      <x:c r="A1733" s="15" t="n">
        <x:v>43678</x:v>
      </x:c>
      <x:c r="B1733" s="13" t="str">
        <x:v>Income Properties</x:v>
      </x:c>
      <x:c r="C1733" s="16" t="n">
        <x:v>1461.3730558251</x:v>
      </x:c>
      <x:c r="D1733" s="16" t="n">
        <x:v>1502.8702735738</x:v>
      </x:c>
      <x:c r="E1733" s="16" t="n">
        <x:v>41.4972177486</x:v>
      </x:c>
      <x:c r="F1733" s="23" t="n">
        <x:v>3</x:v>
      </x:c>
    </x:row>
    <x:row r="1734">
      <x:c r="A1734" s="15" t="n">
        <x:v>43678</x:v>
      </x:c>
      <x:c r="B1734" s="13" t="str">
        <x:v>Metals &amp; Mining</x:v>
      </x:c>
      <x:c r="C1734" s="16" t="n">
        <x:v>41988.8879443934</x:v>
      </x:c>
      <x:c r="D1734" s="16" t="n">
        <x:v>42199.9669980328</x:v>
      </x:c>
      <x:c r="E1734" s="16" t="n">
        <x:v>211.0790536393</x:v>
      </x:c>
      <x:c r="F1734" s="23" t="n">
        <x:v>5</x:v>
      </x:c>
    </x:row>
    <x:row r="1735">
      <x:c r="A1735" s="15" t="n">
        <x:v>43678</x:v>
      </x:c>
      <x:c r="B1735" s="13" t="str">
        <x:v>Oil, Gas &amp; Petrochemicals</x:v>
      </x:c>
      <x:c r="C1735" s="16" t="n">
        <x:v>47280.6167774427</x:v>
      </x:c>
      <x:c r="D1735" s="16" t="n">
        <x:v>43250.4023548852</x:v>
      </x:c>
      <x:c r="E1735" s="16" t="n">
        <x:v>-4030.2144225574</x:v>
      </x:c>
      <x:c r="F1735" s="23" t="n">
        <x:v>5</x:v>
      </x:c>
    </x:row>
    <x:row r="1736">
      <x:c r="A1736" s="15" t="n">
        <x:v>43678</x:v>
      </x:c>
      <x:c r="B1736" s="13" t="str">
        <x:v>Pulp &amp; Paper</x:v>
      </x:c>
      <x:c r="C1736" s="16" t="n">
        <x:v>7776.9053146229</x:v>
      </x:c>
      <x:c r="D1736" s="16" t="n">
        <x:v>4667.3596957377</x:v>
      </x:c>
      <x:c r="E1736" s="16" t="n">
        <x:v>-3109.5456188852</x:v>
      </x:c>
      <x:c r="F1736" s="23" t="n">
        <x:v>2</x:v>
      </x:c>
    </x:row>
    <x:row r="1737">
      <x:c r="A1737" s="15" t="n">
        <x:v>43678</x:v>
      </x:c>
      <x:c r="B1737" s="13" t="str">
        <x:v>Retail</x:v>
      </x:c>
      <x:c r="C1737" s="16" t="n">
        <x:v>5312.0235128306</x:v>
      </x:c>
      <x:c r="D1737" s="16" t="n">
        <x:v>5515.1635079344</x:v>
      </x:c>
      <x:c r="E1737" s="16" t="n">
        <x:v>203.1399951038</x:v>
      </x:c>
      <x:c r="F1737" s="23" t="n">
        <x:v>8</x:v>
      </x:c>
    </x:row>
    <x:row r="1738">
      <x:c r="A1738" s="15" t="n">
        <x:v>43678</x:v>
      </x:c>
      <x:c r="B1738" s="13" t="str">
        <x:v>Sanitation</x:v>
      </x:c>
      <x:c r="C1738" s="16" t="n">
        <x:v>3084.2459922186</x:v>
      </x:c>
      <x:c r="D1738" s="16" t="n">
        <x:v>3016.8215144918</x:v>
      </x:c>
      <x:c r="E1738" s="16" t="n">
        <x:v>-67.4244777268</x:v>
      </x:c>
      <x:c r="F1738" s="23" t="n">
        <x:v>1</x:v>
      </x:c>
    </x:row>
    <x:row r="1739">
      <x:c r="A1739" s="15" t="n">
        <x:v>43678</x:v>
      </x:c>
      <x:c r="B1739" s="13" t="str">
        <x:v>TMT</x:v>
      </x:c>
      <x:c r="C1739" s="16" t="n">
        <x:v>8334.4864328743</x:v>
      </x:c>
      <x:c r="D1739" s="16" t="n">
        <x:v>8468.2772836721</x:v>
      </x:c>
      <x:c r="E1739" s="16" t="n">
        <x:v>133.7908507978</x:v>
      </x:c>
      <x:c r="F1739" s="23" t="n">
        <x:v>3</x:v>
      </x:c>
    </x:row>
    <x:row r="1740">
      <x:c r="A1740" s="15" t="n">
        <x:v>43678</x:v>
      </x:c>
      <x:c r="B1740" s="13" t="str">
        <x:v>Transportation</x:v>
      </x:c>
      <x:c r="C1740" s="16" t="n">
        <x:v>5781.4889063169</x:v>
      </x:c>
      <x:c r="D1740" s="16" t="n">
        <x:v>6877.6113017705</x:v>
      </x:c>
      <x:c r="E1740" s="16" t="n">
        <x:v>1096.1223954536</x:v>
      </x:c>
      <x:c r="F1740" s="23" t="n">
        <x:v>6</x:v>
      </x:c>
    </x:row>
    <x:row r="1741">
      <x:c r="A1741" s="15" t="n">
        <x:v>43678</x:v>
      </x:c>
      <x:c r="B1741" s="13" t="str">
        <x:v>Utilities &amp; Energy</x:v>
      </x:c>
      <x:c r="C1741" s="16" t="n">
        <x:v>21579.2370864262</x:v>
      </x:c>
      <x:c r="D1741" s="16" t="n">
        <x:v>22261.7645613115</x:v>
      </x:c>
      <x:c r="E1741" s="16" t="n">
        <x:v>682.5274748853</x:v>
      </x:c>
      <x:c r="F1741" s="23" t="n">
        <x:v>7</x:v>
      </x:c>
    </x:row>
    <x:row r="1742">
      <x:c r="A1742" s="15" t="n">
        <x:v>43709</x:v>
      </x:c>
      <x:c r="B1742" s="13" t="str">
        <x:v>Banks</x:v>
      </x:c>
      <x:c r="C1742" s="16" t="n">
        <x:v>115468.267822164</x:v>
      </x:c>
      <x:c r="D1742" s="16" t="n">
        <x:v>118862.8148067321</x:v>
      </x:c>
      <x:c r="E1742" s="16" t="n">
        <x:v>3394.5469845681</x:v>
      </x:c>
      <x:c r="F1742" s="23" t="n">
        <x:v>5</x:v>
      </x:c>
    </x:row>
    <x:row r="1743">
      <x:c r="A1743" s="15" t="n">
        <x:v>43709</x:v>
      </x:c>
      <x:c r="B1743" s="13" t="str">
        <x:v>Capital Goods</x:v>
      </x:c>
      <x:c r="C1743" s="16" t="n">
        <x:v>2201.6477765246</x:v>
      </x:c>
      <x:c r="D1743" s="16" t="n">
        <x:v>2553.8827600437</x:v>
      </x:c>
      <x:c r="E1743" s="16" t="n">
        <x:v>352.2349835191</x:v>
      </x:c>
      <x:c r="F1743" s="23" t="n">
        <x:v>2</x:v>
      </x:c>
    </x:row>
    <x:row r="1744">
      <x:c r="A1744" s="15" t="n">
        <x:v>43709</x:v>
      </x:c>
      <x:c r="B1744" s="13" t="str">
        <x:v>Education</x:v>
      </x:c>
      <x:c r="C1744" s="16" t="n">
        <x:v>2306.712151082</x:v>
      </x:c>
      <x:c r="D1744" s="16" t="n">
        <x:v>2252.3481900765</x:v>
      </x:c>
      <x:c r="E1744" s="16" t="n">
        <x:v>-54.3639610055</x:v>
      </x:c>
      <x:c r="F1744" s="23" t="n">
        <x:v>2</x:v>
      </x:c>
    </x:row>
    <x:row r="1745">
      <x:c r="A1745" s="15" t="n">
        <x:v>43709</x:v>
      </x:c>
      <x:c r="B1745" s="13" t="str">
        <x:v>Financials Non-Banks</x:v>
      </x:c>
      <x:c r="C1745" s="16" t="n">
        <x:v>21451.8916721311</x:v>
      </x:c>
      <x:c r="D1745" s="16" t="n">
        <x:v>22350.4493282623</x:v>
      </x:c>
      <x:c r="E1745" s="16" t="n">
        <x:v>898.5576561312</x:v>
      </x:c>
      <x:c r="F1745" s="23" t="n">
        <x:v>5</x:v>
      </x:c>
    </x:row>
    <x:row r="1746">
      <x:c r="A1746" s="15" t="n">
        <x:v>43709</x:v>
      </x:c>
      <x:c r="B1746" s="13" t="str">
        <x:v>Food &amp; Beverages</x:v>
      </x:c>
      <x:c r="C1746" s="16" t="n">
        <x:v>19506.8649398032</x:v>
      </x:c>
      <x:c r="D1746" s="16" t="n">
        <x:v>22062.9670197158</x:v>
      </x:c>
      <x:c r="E1746" s="16" t="n">
        <x:v>2556.1020799126</x:v>
      </x:c>
      <x:c r="F1746" s="23" t="n">
        <x:v>4</x:v>
      </x:c>
    </x:row>
    <x:row r="1747">
      <x:c r="A1747" s="15" t="n">
        <x:v>43709</x:v>
      </x:c>
      <x:c r="B1747" s="13" t="str">
        <x:v>Health Care</x:v>
      </x:c>
      <x:c r="C1747" s="16" t="n">
        <x:v>2139.0351721967</x:v>
      </x:c>
      <x:c r="D1747" s="16" t="n">
        <x:v>2158.1809570273</x:v>
      </x:c>
      <x:c r="E1747" s="16" t="n">
        <x:v>19.1457848306</x:v>
      </x:c>
      <x:c r="F1747" s="23" t="n">
        <x:v>3</x:v>
      </x:c>
    </x:row>
    <x:row r="1748">
      <x:c r="A1748" s="15" t="n">
        <x:v>43709</x:v>
      </x:c>
      <x:c r="B1748" s="13" t="str">
        <x:v>Homebuilders</x:v>
      </x:c>
      <x:c r="C1748" s="16" t="n">
        <x:v>1232.3136556066</x:v>
      </x:c>
      <x:c r="D1748" s="16" t="n">
        <x:v>1290.2329225792</x:v>
      </x:c>
      <x:c r="E1748" s="16" t="n">
        <x:v>57.9192669727</x:v>
      </x:c>
      <x:c r="F1748" s="23" t="n">
        <x:v>2</x:v>
      </x:c>
    </x:row>
    <x:row r="1749">
      <x:c r="A1749" s="15" t="n">
        <x:v>43709</x:v>
      </x:c>
      <x:c r="B1749" s="13" t="str">
        <x:v>Income Properties</x:v>
      </x:c>
      <x:c r="C1749" s="16" t="n">
        <x:v>1471.4392708197</x:v>
      </x:c>
      <x:c r="D1749" s="16" t="n">
        <x:v>1511.2830461202</x:v>
      </x:c>
      <x:c r="E1749" s="16" t="n">
        <x:v>39.8437753005</x:v>
      </x:c>
      <x:c r="F1749" s="23" t="n">
        <x:v>3</x:v>
      </x:c>
    </x:row>
    <x:row r="1750">
      <x:c r="A1750" s="15" t="n">
        <x:v>43709</x:v>
      </x:c>
      <x:c r="B1750" s="13" t="str">
        <x:v>Metals &amp; Mining</x:v>
      </x:c>
      <x:c r="C1750" s="16" t="n">
        <x:v>41155.9459913443</x:v>
      </x:c>
      <x:c r="D1750" s="16" t="n">
        <x:v>42440.619690317</x:v>
      </x:c>
      <x:c r="E1750" s="16" t="n">
        <x:v>1284.6736989727</x:v>
      </x:c>
      <x:c r="F1750" s="23" t="n">
        <x:v>5</x:v>
      </x:c>
    </x:row>
    <x:row r="1751">
      <x:c r="A1751" s="15" t="n">
        <x:v>43709</x:v>
      </x:c>
      <x:c r="B1751" s="13" t="str">
        <x:v>Oil, Gas &amp; Petrochemicals</x:v>
      </x:c>
      <x:c r="C1751" s="16" t="n">
        <x:v>48177.9776335738</x:v>
      </x:c>
      <x:c r="D1751" s="16" t="n">
        <x:v>42968.0798685028</x:v>
      </x:c>
      <x:c r="E1751" s="16" t="n">
        <x:v>-5209.897765071</x:v>
      </x:c>
      <x:c r="F1751" s="23" t="n">
        <x:v>5</x:v>
      </x:c>
    </x:row>
    <x:row r="1752">
      <x:c r="A1752" s="15" t="n">
        <x:v>43709</x:v>
      </x:c>
      <x:c r="B1752" s="13" t="str">
        <x:v>Pulp &amp; Paper</x:v>
      </x:c>
      <x:c r="C1752" s="16" t="n">
        <x:v>5441.2840257049</x:v>
      </x:c>
      <x:c r="D1752" s="16" t="n">
        <x:v>2300.7026962186</x:v>
      </x:c>
      <x:c r="E1752" s="16" t="n">
        <x:v>-3140.5813294863</x:v>
      </x:c>
      <x:c r="F1752" s="23" t="n">
        <x:v>2</x:v>
      </x:c>
    </x:row>
    <x:row r="1753">
      <x:c r="A1753" s="15" t="n">
        <x:v>43709</x:v>
      </x:c>
      <x:c r="B1753" s="13" t="str">
        <x:v>Retail</x:v>
      </x:c>
      <x:c r="C1753" s="16" t="n">
        <x:v>5391.488107541</x:v>
      </x:c>
      <x:c r="D1753" s="16" t="n">
        <x:v>5518.4562455082</x:v>
      </x:c>
      <x:c r="E1753" s="16" t="n">
        <x:v>126.9681379672</x:v>
      </x:c>
      <x:c r="F1753" s="23" t="n">
        <x:v>8</x:v>
      </x:c>
    </x:row>
    <x:row r="1754">
      <x:c r="A1754" s="15" t="n">
        <x:v>43709</x:v>
      </x:c>
      <x:c r="B1754" s="13" t="str">
        <x:v>Sanitation</x:v>
      </x:c>
      <x:c r="C1754" s="16" t="n">
        <x:v>3062.2624020984</x:v>
      </x:c>
      <x:c r="D1754" s="16" t="n">
        <x:v>3001.1642530273</x:v>
      </x:c>
      <x:c r="E1754" s="16" t="n">
        <x:v>-61.098149071</x:v>
      </x:c>
      <x:c r="F1754" s="23" t="n">
        <x:v>1</x:v>
      </x:c>
    </x:row>
    <x:row r="1755">
      <x:c r="A1755" s="15" t="n">
        <x:v>43709</x:v>
      </x:c>
      <x:c r="B1755" s="13" t="str">
        <x:v>TMT</x:v>
      </x:c>
      <x:c r="C1755" s="16" t="n">
        <x:v>8115.7549104262</x:v>
      </x:c>
      <x:c r="D1755" s="16" t="n">
        <x:v>8408.6043184262</x:v>
      </x:c>
      <x:c r="E1755" s="16" t="n">
        <x:v>292.849408</x:v>
      </x:c>
      <x:c r="F1755" s="23" t="n">
        <x:v>3</x:v>
      </x:c>
    </x:row>
    <x:row r="1756">
      <x:c r="A1756" s="15" t="n">
        <x:v>43709</x:v>
      </x:c>
      <x:c r="B1756" s="13" t="str">
        <x:v>Transportation</x:v>
      </x:c>
      <x:c r="C1756" s="16" t="n">
        <x:v>6113.5942006557</x:v>
      </x:c>
      <x:c r="D1756" s="16" t="n">
        <x:v>6749.486336</x:v>
      </x:c>
      <x:c r="E1756" s="16" t="n">
        <x:v>635.8921353442</x:v>
      </x:c>
      <x:c r="F1756" s="23" t="n">
        <x:v>6</x:v>
      </x:c>
    </x:row>
    <x:row r="1757">
      <x:c r="A1757" s="15" t="n">
        <x:v>43709</x:v>
      </x:c>
      <x:c r="B1757" s="13" t="str">
        <x:v>Utilities &amp; Energy</x:v>
      </x:c>
      <x:c r="C1757" s="16" t="n">
        <x:v>22023.7521846557</x:v>
      </x:c>
      <x:c r="D1757" s="16" t="n">
        <x:v>20791.4738119344</x:v>
      </x:c>
      <x:c r="E1757" s="16" t="n">
        <x:v>-1232.2783727213</x:v>
      </x:c>
      <x:c r="F1757" s="23" t="n">
        <x:v>7</x:v>
      </x:c>
    </x:row>
    <x:row r="1758">
      <x:c r="A1758" s="15" t="n">
        <x:v>43739</x:v>
      </x:c>
      <x:c r="B1758" s="13" t="str">
        <x:v>Banks</x:v>
      </x:c>
      <x:c r="C1758" s="16" t="n">
        <x:v>115022.5931666885</x:v>
      </x:c>
      <x:c r="D1758" s="16" t="n">
        <x:v>119632.1662293334</x:v>
      </x:c>
      <x:c r="E1758" s="16" t="n">
        <x:v>4609.5730626449</x:v>
      </x:c>
      <x:c r="F1758" s="23" t="n">
        <x:v>5</x:v>
      </x:c>
    </x:row>
    <x:row r="1759">
      <x:c r="A1759" s="15" t="n">
        <x:v>43739</x:v>
      </x:c>
      <x:c r="B1759" s="13" t="str">
        <x:v>Capital Goods</x:v>
      </x:c>
      <x:c r="C1759" s="16" t="n">
        <x:v>2297.7687698361</x:v>
      </x:c>
      <x:c r="D1759" s="16" t="n">
        <x:v>2646.6269893333</x:v>
      </x:c>
      <x:c r="E1759" s="16" t="n">
        <x:v>348.8582194973</x:v>
      </x:c>
      <x:c r="F1759" s="23" t="n">
        <x:v>2</x:v>
      </x:c>
    </x:row>
    <x:row r="1760">
      <x:c r="A1760" s="15" t="n">
        <x:v>43739</x:v>
      </x:c>
      <x:c r="B1760" s="13" t="str">
        <x:v>Education</x:v>
      </x:c>
      <x:c r="C1760" s="16" t="n">
        <x:v>2250.7250948197</x:v>
      </x:c>
      <x:c r="D1760" s="16" t="n">
        <x:v>2154.3336746667</x:v>
      </x:c>
      <x:c r="E1760" s="16" t="n">
        <x:v>-96.391420153</x:v>
      </x:c>
      <x:c r="F1760" s="23" t="n">
        <x:v>2</x:v>
      </x:c>
    </x:row>
    <x:row r="1761">
      <x:c r="A1761" s="15" t="n">
        <x:v>43739</x:v>
      </x:c>
      <x:c r="B1761" s="13" t="str">
        <x:v>Financials Non-Banks</x:v>
      </x:c>
      <x:c r="C1761" s="16" t="n">
        <x:v>21643.551028459</x:v>
      </x:c>
      <x:c r="D1761" s="16" t="n">
        <x:v>22629.985408</x:v>
      </x:c>
      <x:c r="E1761" s="16" t="n">
        <x:v>986.434379541</x:v>
      </x:c>
      <x:c r="F1761" s="23" t="n">
        <x:v>5</x:v>
      </x:c>
    </x:row>
    <x:row r="1762">
      <x:c r="A1762" s="15" t="n">
        <x:v>43739</x:v>
      </x:c>
      <x:c r="B1762" s="13" t="str">
        <x:v>Food &amp; Beverages</x:v>
      </x:c>
      <x:c r="C1762" s="16" t="n">
        <x:v>19965.6739499016</x:v>
      </x:c>
      <x:c r="D1762" s="16" t="n">
        <x:v>22811.1445813334</x:v>
      </x:c>
      <x:c r="E1762" s="16" t="n">
        <x:v>2845.4706314317</x:v>
      </x:c>
      <x:c r="F1762" s="23" t="n">
        <x:v>4</x:v>
      </x:c>
    </x:row>
    <x:row r="1763">
      <x:c r="A1763" s="15" t="n">
        <x:v>43739</x:v>
      </x:c>
      <x:c r="B1763" s="13" t="str">
        <x:v>Health Care</x:v>
      </x:c>
      <x:c r="C1763" s="16" t="n">
        <x:v>2152.2672519344</x:v>
      </x:c>
      <x:c r="D1763" s="16" t="n">
        <x:v>2174.3286773333</x:v>
      </x:c>
      <x:c r="E1763" s="16" t="n">
        <x:v>22.0614253989</x:v>
      </x:c>
      <x:c r="F1763" s="23" t="n">
        <x:v>3</x:v>
      </x:c>
    </x:row>
    <x:row r="1764">
      <x:c r="A1764" s="15" t="n">
        <x:v>43739</x:v>
      </x:c>
      <x:c r="B1764" s="13" t="str">
        <x:v>Homebuilders</x:v>
      </x:c>
      <x:c r="C1764" s="16" t="n">
        <x:v>1253.0112658361</x:v>
      </x:c>
      <x:c r="D1764" s="16" t="n">
        <x:v>1297.9861493333</x:v>
      </x:c>
      <x:c r="E1764" s="16" t="n">
        <x:v>44.9748834973</x:v>
      </x:c>
      <x:c r="F1764" s="23" t="n">
        <x:v>2</x:v>
      </x:c>
    </x:row>
    <x:row r="1765">
      <x:c r="A1765" s="15" t="n">
        <x:v>43739</x:v>
      </x:c>
      <x:c r="B1765" s="13" t="str">
        <x:v>Income Properties</x:v>
      </x:c>
      <x:c r="C1765" s="16" t="n">
        <x:v>1479.1476456393</x:v>
      </x:c>
      <x:c r="D1765" s="16" t="n">
        <x:v>1540.106688</x:v>
      </x:c>
      <x:c r="E1765" s="16" t="n">
        <x:v>60.9590423607</x:v>
      </x:c>
      <x:c r="F1765" s="23" t="n">
        <x:v>3</x:v>
      </x:c>
    </x:row>
    <x:row r="1766">
      <x:c r="A1766" s="15" t="n">
        <x:v>43739</x:v>
      </x:c>
      <x:c r="B1766" s="13" t="str">
        <x:v>Metals &amp; Mining</x:v>
      </x:c>
      <x:c r="C1766" s="16" t="n">
        <x:v>43254.9211761312</x:v>
      </x:c>
      <x:c r="D1766" s="16" t="n">
        <x:v>40490.517088</x:v>
      </x:c>
      <x:c r="E1766" s="16" t="n">
        <x:v>-2764.4040881311</x:v>
      </x:c>
      <x:c r="F1766" s="23" t="n">
        <x:v>5</x:v>
      </x:c>
    </x:row>
    <x:row r="1767">
      <x:c r="A1767" s="15" t="n">
        <x:v>43739</x:v>
      </x:c>
      <x:c r="B1767" s="13" t="str">
        <x:v>Oil, Gas &amp; Petrochemicals</x:v>
      </x:c>
      <x:c r="C1767" s="16" t="n">
        <x:v>47963.4319045246</x:v>
      </x:c>
      <x:c r="D1767" s="16" t="n">
        <x:v>40249.0222293334</x:v>
      </x:c>
      <x:c r="E1767" s="16" t="n">
        <x:v>-7714.4096751912</x:v>
      </x:c>
      <x:c r="F1767" s="23" t="n">
        <x:v>5</x:v>
      </x:c>
    </x:row>
    <x:row r="1768">
      <x:c r="A1768" s="15" t="n">
        <x:v>43739</x:v>
      </x:c>
      <x:c r="B1768" s="13" t="str">
        <x:v>Pulp &amp; Paper</x:v>
      </x:c>
      <x:c r="C1768" s="16" t="n">
        <x:v>5236.5794827541</x:v>
      </x:c>
      <x:c r="D1768" s="16" t="n">
        <x:v>2838.271068</x:v>
      </x:c>
      <x:c r="E1768" s="16" t="n">
        <x:v>-2398.3084147541</x:v>
      </x:c>
      <x:c r="F1768" s="23" t="n">
        <x:v>2</x:v>
      </x:c>
    </x:row>
    <x:row r="1769">
      <x:c r="A1769" s="15" t="n">
        <x:v>43739</x:v>
      </x:c>
      <x:c r="B1769" s="13" t="str">
        <x:v>Retail</x:v>
      </x:c>
      <x:c r="C1769" s="16" t="n">
        <x:v>5453.5095811148</x:v>
      </x:c>
      <x:c r="D1769" s="16" t="n">
        <x:v>5543.0707733333</x:v>
      </x:c>
      <x:c r="E1769" s="16" t="n">
        <x:v>89.5611922186</x:v>
      </x:c>
      <x:c r="F1769" s="23" t="n">
        <x:v>8</x:v>
      </x:c>
    </x:row>
    <x:row r="1770">
      <x:c r="A1770" s="15" t="n">
        <x:v>43739</x:v>
      </x:c>
      <x:c r="B1770" s="13" t="str">
        <x:v>Sanitation</x:v>
      </x:c>
      <x:c r="C1770" s="16" t="n">
        <x:v>3063.2803630164</x:v>
      </x:c>
      <x:c r="D1770" s="16" t="n">
        <x:v>2899.7915733333</x:v>
      </x:c>
      <x:c r="E1770" s="16" t="n">
        <x:v>-163.4887896831</x:v>
      </x:c>
      <x:c r="F1770" s="23" t="n">
        <x:v>1</x:v>
      </x:c>
    </x:row>
    <x:row r="1771">
      <x:c r="A1771" s="15" t="n">
        <x:v>43739</x:v>
      </x:c>
      <x:c r="B1771" s="13" t="str">
        <x:v>TMT</x:v>
      </x:c>
      <x:c r="C1771" s="16" t="n">
        <x:v>8281.5217342951</x:v>
      </x:c>
      <x:c r="D1771" s="16" t="n">
        <x:v>8505.6332053333</x:v>
      </x:c>
      <x:c r="E1771" s="16" t="n">
        <x:v>224.1114710383</x:v>
      </x:c>
      <x:c r="F1771" s="23" t="n">
        <x:v>3</x:v>
      </x:c>
    </x:row>
    <x:row r="1772">
      <x:c r="A1772" s="15" t="n">
        <x:v>43739</x:v>
      </x:c>
      <x:c r="B1772" s="13" t="str">
        <x:v>Transportation</x:v>
      </x:c>
      <x:c r="C1772" s="16" t="n">
        <x:v>6553.3470379016</x:v>
      </x:c>
      <x:c r="D1772" s="16" t="n">
        <x:v>6682.0133066667</x:v>
      </x:c>
      <x:c r="E1772" s="16" t="n">
        <x:v>128.666268765</x:v>
      </x:c>
      <x:c r="F1772" s="23" t="n">
        <x:v>6</x:v>
      </x:c>
    </x:row>
    <x:row r="1773">
      <x:c r="A1773" s="15" t="n">
        <x:v>43739</x:v>
      </x:c>
      <x:c r="B1773" s="13" t="str">
        <x:v>Utilities &amp; Energy</x:v>
      </x:c>
      <x:c r="C1773" s="16" t="n">
        <x:v>19000.2217704918</x:v>
      </x:c>
      <x:c r="D1773" s="16" t="n">
        <x:v>21052.481344</x:v>
      </x:c>
      <x:c r="E1773" s="16" t="n">
        <x:v>2052.2595735082</x:v>
      </x:c>
      <x:c r="F1773" s="23" t="n">
        <x:v>7</x:v>
      </x:c>
    </x:row>
    <x:row r="1774">
      <x:c r="A1774" s="15" t="n">
        <x:v>43770</x:v>
      </x:c>
      <x:c r="B1774" s="13" t="str">
        <x:v>Banks</x:v>
      </x:c>
      <x:c r="C1774" s="16" t="n">
        <x:v>118083.9375234098</x:v>
      </x:c>
      <x:c r="D1774" s="16" t="n">
        <x:v>119846.4657598252</x:v>
      </x:c>
      <x:c r="E1774" s="16" t="n">
        <x:v>1762.5282364154</x:v>
      </x:c>
      <x:c r="F1774" s="23" t="n">
        <x:v>5</x:v>
      </x:c>
    </x:row>
    <x:row r="1775">
      <x:c r="A1775" s="15" t="n">
        <x:v>43770</x:v>
      </x:c>
      <x:c r="B1775" s="13" t="str">
        <x:v>Capital Goods</x:v>
      </x:c>
      <x:c r="C1775" s="16" t="n">
        <x:v>2437.8131965902</x:v>
      </x:c>
      <x:c r="D1775" s="16" t="n">
        <x:v>2635.8785454863</x:v>
      </x:c>
      <x:c r="E1775" s="16" t="n">
        <x:v>198.0653488962</x:v>
      </x:c>
      <x:c r="F1775" s="23" t="n">
        <x:v>2</x:v>
      </x:c>
    </x:row>
    <x:row r="1776">
      <x:c r="A1776" s="15" t="n">
        <x:v>43770</x:v>
      </x:c>
      <x:c r="B1776" s="13" t="str">
        <x:v>Education</x:v>
      </x:c>
      <x:c r="C1776" s="16" t="n">
        <x:v>2276.1401951475</x:v>
      </x:c>
      <x:c r="D1776" s="16" t="n">
        <x:v>2178.1123819016</x:v>
      </x:c>
      <x:c r="E1776" s="16" t="n">
        <x:v>-98.0278132459</x:v>
      </x:c>
      <x:c r="F1776" s="23" t="n">
        <x:v>2</x:v>
      </x:c>
    </x:row>
    <x:row r="1777">
      <x:c r="A1777" s="15" t="n">
        <x:v>43770</x:v>
      </x:c>
      <x:c r="B1777" s="13" t="str">
        <x:v>Financials Non-Banks</x:v>
      </x:c>
      <x:c r="C1777" s="16" t="n">
        <x:v>22188.5736215082</x:v>
      </x:c>
      <x:c r="D1777" s="16" t="n">
        <x:v>22719.6224895301</x:v>
      </x:c>
      <x:c r="E1777" s="16" t="n">
        <x:v>531.0488680219</x:v>
      </x:c>
      <x:c r="F1777" s="23" t="n">
        <x:v>5</x:v>
      </x:c>
    </x:row>
    <x:row r="1778">
      <x:c r="A1778" s="15" t="n">
        <x:v>43770</x:v>
      </x:c>
      <x:c r="B1778" s="13" t="str">
        <x:v>Food &amp; Beverages</x:v>
      </x:c>
      <x:c r="C1778" s="16" t="n">
        <x:v>21082.6326135081</x:v>
      </x:c>
      <x:c r="D1778" s="16" t="n">
        <x:v>23381.1448669727</x:v>
      </x:c>
      <x:c r="E1778" s="16" t="n">
        <x:v>2298.5122534645</x:v>
      </x:c>
      <x:c r="F1778" s="23" t="n">
        <x:v>4</x:v>
      </x:c>
    </x:row>
    <x:row r="1779">
      <x:c r="A1779" s="15" t="n">
        <x:v>43770</x:v>
      </x:c>
      <x:c r="B1779" s="13" t="str">
        <x:v>Health Care</x:v>
      </x:c>
      <x:c r="C1779" s="16" t="n">
        <x:v>2168.6187032131</x:v>
      </x:c>
      <x:c r="D1779" s="16" t="n">
        <x:v>2183.1378792568</x:v>
      </x:c>
      <x:c r="E1779" s="16" t="n">
        <x:v>14.5191760437</x:v>
      </x:c>
      <x:c r="F1779" s="23" t="n">
        <x:v>3</x:v>
      </x:c>
    </x:row>
    <x:row r="1780">
      <x:c r="A1780" s="15" t="n">
        <x:v>43770</x:v>
      </x:c>
      <x:c r="B1780" s="13" t="str">
        <x:v>Homebuilders</x:v>
      </x:c>
      <x:c r="C1780" s="16" t="n">
        <x:v>1268.2781384918</x:v>
      </x:c>
      <x:c r="D1780" s="16" t="n">
        <x:v>1287.615759388</x:v>
      </x:c>
      <x:c r="E1780" s="16" t="n">
        <x:v>19.3376208962</x:v>
      </x:c>
      <x:c r="F1780" s="23" t="n">
        <x:v>2</x:v>
      </x:c>
    </x:row>
    <x:row r="1781">
      <x:c r="A1781" s="15" t="n">
        <x:v>43770</x:v>
      </x:c>
      <x:c r="B1781" s="13" t="str">
        <x:v>Income Properties</x:v>
      </x:c>
      <x:c r="C1781" s="16" t="n">
        <x:v>1502.8702735738</x:v>
      </x:c>
      <x:c r="D1781" s="16" t="n">
        <x:v>1565.370497224</x:v>
      </x:c>
      <x:c r="E1781" s="16" t="n">
        <x:v>62.5002236503</x:v>
      </x:c>
      <x:c r="F1781" s="23" t="n">
        <x:v>3</x:v>
      </x:c>
    </x:row>
    <x:row r="1782">
      <x:c r="A1782" s="15" t="n">
        <x:v>43770</x:v>
      </x:c>
      <x:c r="B1782" s="13" t="str">
        <x:v>Metals &amp; Mining</x:v>
      </x:c>
      <x:c r="C1782" s="16" t="n">
        <x:v>42199.9669980328</x:v>
      </x:c>
      <x:c r="D1782" s="16" t="n">
        <x:v>41337.7995292678</x:v>
      </x:c>
      <x:c r="E1782" s="16" t="n">
        <x:v>-862.167468765</x:v>
      </x:c>
      <x:c r="F1782" s="23" t="n">
        <x:v>5</x:v>
      </x:c>
    </x:row>
    <x:row r="1783">
      <x:c r="A1783" s="15" t="n">
        <x:v>43770</x:v>
      </x:c>
      <x:c r="B1783" s="13" t="str">
        <x:v>Oil, Gas &amp; Petrochemicals</x:v>
      </x:c>
      <x:c r="C1783" s="16" t="n">
        <x:v>43250.4023548852</x:v>
      </x:c>
      <x:c r="D1783" s="16" t="n">
        <x:v>42126.2463237596</x:v>
      </x:c>
      <x:c r="E1783" s="16" t="n">
        <x:v>-1124.1560311256</x:v>
      </x:c>
      <x:c r="F1783" s="23" t="n">
        <x:v>5</x:v>
      </x:c>
    </x:row>
    <x:row r="1784">
      <x:c r="A1784" s="15" t="n">
        <x:v>43770</x:v>
      </x:c>
      <x:c r="B1784" s="13" t="str">
        <x:v>Pulp &amp; Paper</x:v>
      </x:c>
      <x:c r="C1784" s="16" t="n">
        <x:v>4667.3596957377</x:v>
      </x:c>
      <x:c r="D1784" s="16" t="n">
        <x:v>2010.5318085246</x:v>
      </x:c>
      <x:c r="E1784" s="16" t="n">
        <x:v>-2656.8278872131</x:v>
      </x:c>
      <x:c r="F1784" s="23" t="n">
        <x:v>2</x:v>
      </x:c>
    </x:row>
    <x:row r="1785">
      <x:c r="A1785" s="15" t="n">
        <x:v>43770</x:v>
      </x:c>
      <x:c r="B1785" s="13" t="str">
        <x:v>Retail</x:v>
      </x:c>
      <x:c r="C1785" s="16" t="n">
        <x:v>5515.1635079344</x:v>
      </x:c>
      <x:c r="D1785" s="16" t="n">
        <x:v>5712.6395179016</x:v>
      </x:c>
      <x:c r="E1785" s="16" t="n">
        <x:v>197.4760099672</x:v>
      </x:c>
      <x:c r="F1785" s="23" t="n">
        <x:v>8</x:v>
      </x:c>
    </x:row>
    <x:row r="1786">
      <x:c r="A1786" s="15" t="n">
        <x:v>43770</x:v>
      </x:c>
      <x:c r="B1786" s="13" t="str">
        <x:v>Sanitation</x:v>
      </x:c>
      <x:c r="C1786" s="16" t="n">
        <x:v>3016.8215144918</x:v>
      </x:c>
      <x:c r="D1786" s="16" t="n">
        <x:v>2797.037944306</x:v>
      </x:c>
      <x:c r="E1786" s="16" t="n">
        <x:v>-219.7835701858</x:v>
      </x:c>
      <x:c r="F1786" s="23" t="n">
        <x:v>1</x:v>
      </x:c>
    </x:row>
    <x:row r="1787">
      <x:c r="A1787" s="15" t="n">
        <x:v>43770</x:v>
      </x:c>
      <x:c r="B1787" s="13" t="str">
        <x:v>TMT</x:v>
      </x:c>
      <x:c r="C1787" s="16" t="n">
        <x:v>8468.2772836721</x:v>
      </x:c>
      <x:c r="D1787" s="16" t="n">
        <x:v>8495.741082929</x:v>
      </x:c>
      <x:c r="E1787" s="16" t="n">
        <x:v>27.4637992568</x:v>
      </x:c>
      <x:c r="F1787" s="23" t="n">
        <x:v>3</x:v>
      </x:c>
    </x:row>
    <x:row r="1788">
      <x:c r="A1788" s="15" t="n">
        <x:v>43770</x:v>
      </x:c>
      <x:c r="B1788" s="13" t="str">
        <x:v>Transportation</x:v>
      </x:c>
      <x:c r="C1788" s="16" t="n">
        <x:v>6877.6113017705</x:v>
      </x:c>
      <x:c r="D1788" s="16" t="n">
        <x:v>6834.7902251366</x:v>
      </x:c>
      <x:c r="E1788" s="16" t="n">
        <x:v>-42.8210766339</x:v>
      </x:c>
      <x:c r="F1788" s="23" t="n">
        <x:v>6</x:v>
      </x:c>
    </x:row>
    <x:row r="1789">
      <x:c r="A1789" s="15" t="n">
        <x:v>43770</x:v>
      </x:c>
      <x:c r="B1789" s="13" t="str">
        <x:v>Utilities &amp; Energy</x:v>
      </x:c>
      <x:c r="C1789" s="16" t="n">
        <x:v>22261.7645613115</x:v>
      </x:c>
      <x:c r="D1789" s="16" t="n">
        <x:v>18940.2029488962</x:v>
      </x:c>
      <x:c r="E1789" s="16" t="n">
        <x:v>-3321.5616124153</x:v>
      </x:c>
      <x:c r="F1789" s="23" t="n">
        <x:v>7</x:v>
      </x:c>
    </x:row>
    <x:row r="1790">
      <x:c r="A1790" s="15" t="n">
        <x:v>43800</x:v>
      </x:c>
      <x:c r="B1790" s="13" t="str">
        <x:v>Banks</x:v>
      </x:c>
      <x:c r="C1790" s="16" t="n">
        <x:v>122690.4107030381</x:v>
      </x:c>
      <x:c r="D1790" s="16" t="n">
        <x:v>124803.652608</x:v>
      </x:c>
      <x:c r="E1790" s="16" t="n">
        <x:v>2113.2419049619</x:v>
      </x:c>
      <x:c r="F1790" s="23" t="n">
        <x:v>6</x:v>
      </x:c>
    </x:row>
    <x:row r="1791">
      <x:c r="A1791" s="15" t="n">
        <x:v>43800</x:v>
      </x:c>
      <x:c r="B1791" s="13" t="str">
        <x:v>Capital Goods</x:v>
      </x:c>
      <x:c r="C1791" s="16" t="n">
        <x:v>2553.8827600437</x:v>
      </x:c>
      <x:c r="D1791" s="16" t="n">
        <x:v>2771.359936</x:v>
      </x:c>
      <x:c r="E1791" s="16" t="n">
        <x:v>217.4771759563</x:v>
      </x:c>
      <x:c r="F1791" s="23" t="n">
        <x:v>2</x:v>
      </x:c>
    </x:row>
    <x:row r="1792">
      <x:c r="A1792" s="15" t="n">
        <x:v>43800</x:v>
      </x:c>
      <x:c r="B1792" s="13" t="str">
        <x:v>Education</x:v>
      </x:c>
      <x:c r="C1792" s="16" t="n">
        <x:v>2252.3481900765</x:v>
      </x:c>
      <x:c r="D1792" s="16" t="n">
        <x:v>2058.529984</x:v>
      </x:c>
      <x:c r="E1792" s="16" t="n">
        <x:v>-193.8182060765</x:v>
      </x:c>
      <x:c r="F1792" s="23" t="n">
        <x:v>2</x:v>
      </x:c>
    </x:row>
    <x:row r="1793">
      <x:c r="A1793" s="15" t="n">
        <x:v>43800</x:v>
      </x:c>
      <x:c r="B1793" s="13" t="str">
        <x:v>Financials Non-Banks</x:v>
      </x:c>
      <x:c r="C1793" s="16" t="n">
        <x:v>22350.4493282623</x:v>
      </x:c>
      <x:c r="D1793" s="16" t="n">
        <x:v>22871.080192</x:v>
      </x:c>
      <x:c r="E1793" s="16" t="n">
        <x:v>520.6308637377</x:v>
      </x:c>
      <x:c r="F1793" s="23" t="n">
        <x:v>5</x:v>
      </x:c>
    </x:row>
    <x:row r="1794">
      <x:c r="A1794" s="15" t="n">
        <x:v>43800</x:v>
      </x:c>
      <x:c r="B1794" s="13" t="str">
        <x:v>Food &amp; Beverages</x:v>
      </x:c>
      <x:c r="C1794" s="16" t="n">
        <x:v>22062.9670197158</x:v>
      </x:c>
      <x:c r="D1794" s="16" t="n">
        <x:v>23918.227072</x:v>
      </x:c>
      <x:c r="E1794" s="16" t="n">
        <x:v>1855.2600522842</x:v>
      </x:c>
      <x:c r="F1794" s="23" t="n">
        <x:v>4</x:v>
      </x:c>
    </x:row>
    <x:row r="1795">
      <x:c r="A1795" s="15" t="n">
        <x:v>43800</x:v>
      </x:c>
      <x:c r="B1795" s="13" t="str">
        <x:v>Health Care</x:v>
      </x:c>
      <x:c r="C1795" s="16" t="n">
        <x:v>2914.6406445464</x:v>
      </x:c>
      <x:c r="D1795" s="16" t="n">
        <x:v>2981.564928</x:v>
      </x:c>
      <x:c r="E1795" s="16" t="n">
        <x:v>66.9242834536</x:v>
      </x:c>
      <x:c r="F1795" s="23" t="n">
        <x:v>4</x:v>
      </x:c>
    </x:row>
    <x:row r="1796">
      <x:c r="A1796" s="15" t="n">
        <x:v>43800</x:v>
      </x:c>
      <x:c r="B1796" s="13" t="str">
        <x:v>Homebuilders</x:v>
      </x:c>
      <x:c r="C1796" s="16" t="n">
        <x:v>1290.2329225792</x:v>
      </x:c>
      <x:c r="D1796" s="16" t="n">
        <x:v>1288.696</x:v>
      </x:c>
      <x:c r="E1796" s="16" t="n">
        <x:v>-1.5369225792</x:v>
      </x:c>
      <x:c r="F1796" s="23" t="n">
        <x:v>2</x:v>
      </x:c>
    </x:row>
    <x:row r="1797">
      <x:c r="A1797" s="15" t="n">
        <x:v>43800</x:v>
      </x:c>
      <x:c r="B1797" s="13" t="str">
        <x:v>Income Properties</x:v>
      </x:c>
      <x:c r="C1797" s="16" t="n">
        <x:v>1511.2830461202</x:v>
      </x:c>
      <x:c r="D1797" s="16" t="n">
        <x:v>1522.854016</x:v>
      </x:c>
      <x:c r="E1797" s="16" t="n">
        <x:v>11.5709698798</x:v>
      </x:c>
      <x:c r="F1797" s="23" t="n">
        <x:v>3</x:v>
      </x:c>
    </x:row>
    <x:row r="1798">
      <x:c r="A1798" s="15" t="n">
        <x:v>43800</x:v>
      </x:c>
      <x:c r="B1798" s="13" t="str">
        <x:v>Metals &amp; Mining</x:v>
      </x:c>
      <x:c r="C1798" s="16" t="n">
        <x:v>42440.619690317</x:v>
      </x:c>
      <x:c r="D1798" s="16" t="n">
        <x:v>42948.038464</x:v>
      </x:c>
      <x:c r="E1798" s="16" t="n">
        <x:v>507.418773683</x:v>
      </x:c>
      <x:c r="F1798" s="23" t="n">
        <x:v>5</x:v>
      </x:c>
    </x:row>
    <x:row r="1799">
      <x:c r="A1799" s="15" t="n">
        <x:v>43800</x:v>
      </x:c>
      <x:c r="B1799" s="13" t="str">
        <x:v>Oil, Gas &amp; Petrochemicals</x:v>
      </x:c>
      <x:c r="C1799" s="16" t="n">
        <x:v>42968.0798685028</x:v>
      </x:c>
      <x:c r="D1799" s="16" t="n">
        <x:v>41071.262868</x:v>
      </x:c>
      <x:c r="E1799" s="16" t="n">
        <x:v>-1896.8170005028</x:v>
      </x:c>
      <x:c r="F1799" s="23" t="n">
        <x:v>5</x:v>
      </x:c>
    </x:row>
    <x:row r="1800">
      <x:c r="A1800" s="15" t="n">
        <x:v>43800</x:v>
      </x:c>
      <x:c r="B1800" s="13" t="str">
        <x:v>Pulp &amp; Paper</x:v>
      </x:c>
      <x:c r="C1800" s="16" t="n">
        <x:v>2300.7026962186</x:v>
      </x:c>
      <x:c r="D1800" s="16" t="n">
        <x:v>2349.878944</x:v>
      </x:c>
      <x:c r="E1800" s="16" t="n">
        <x:v>49.1762477814</x:v>
      </x:c>
      <x:c r="F1800" s="23" t="n">
        <x:v>2</x:v>
      </x:c>
    </x:row>
    <x:row r="1801">
      <x:c r="A1801" s="15" t="n">
        <x:v>43800</x:v>
      </x:c>
      <x:c r="B1801" s="13" t="str">
        <x:v>Retail</x:v>
      </x:c>
      <x:c r="C1801" s="16" t="n">
        <x:v>5518.4562455082</x:v>
      </x:c>
      <x:c r="D1801" s="16" t="n">
        <x:v>5865.187728</x:v>
      </x:c>
      <x:c r="E1801" s="16" t="n">
        <x:v>346.7314824918</x:v>
      </x:c>
      <x:c r="F1801" s="23" t="n">
        <x:v>8</x:v>
      </x:c>
    </x:row>
    <x:row r="1802">
      <x:c r="A1802" s="15" t="n">
        <x:v>43800</x:v>
      </x:c>
      <x:c r="B1802" s="13" t="str">
        <x:v>Sanitation</x:v>
      </x:c>
      <x:c r="C1802" s="16" t="n">
        <x:v>3001.1642530273</x:v>
      </x:c>
      <x:c r="D1802" s="16" t="n">
        <x:v>2778.220032</x:v>
      </x:c>
      <x:c r="E1802" s="16" t="n">
        <x:v>-222.9442210273</x:v>
      </x:c>
      <x:c r="F1802" s="23" t="n">
        <x:v>1</x:v>
      </x:c>
    </x:row>
    <x:row r="1803">
      <x:c r="A1803" s="15" t="n">
        <x:v>43800</x:v>
      </x:c>
      <x:c r="B1803" s="13" t="str">
        <x:v>TMT</x:v>
      </x:c>
      <x:c r="C1803" s="16" t="n">
        <x:v>8408.6043184262</x:v>
      </x:c>
      <x:c r="D1803" s="16" t="n">
        <x:v>8522.692992</x:v>
      </x:c>
      <x:c r="E1803" s="16" t="n">
        <x:v>114.0886735738</x:v>
      </x:c>
      <x:c r="F1803" s="23" t="n">
        <x:v>3</x:v>
      </x:c>
    </x:row>
    <x:row r="1804">
      <x:c r="A1804" s="15" t="n">
        <x:v>43800</x:v>
      </x:c>
      <x:c r="B1804" s="13" t="str">
        <x:v>Transportation</x:v>
      </x:c>
      <x:c r="C1804" s="16" t="n">
        <x:v>6749.486336</x:v>
      </x:c>
      <x:c r="D1804" s="16" t="n">
        <x:v>7020.17312</x:v>
      </x:c>
      <x:c r="E1804" s="16" t="n">
        <x:v>270.686784</x:v>
      </x:c>
      <x:c r="F1804" s="23" t="n">
        <x:v>6</x:v>
      </x:c>
    </x:row>
    <x:row r="1805">
      <x:c r="A1805" s="15" t="n">
        <x:v>43800</x:v>
      </x:c>
      <x:c r="B1805" s="13" t="str">
        <x:v>Utilities &amp; Energy</x:v>
      </x:c>
      <x:c r="C1805" s="16" t="n">
        <x:v>20791.4738119344</x:v>
      </x:c>
      <x:c r="D1805" s="16" t="n">
        <x:v>18832.885568</x:v>
      </x:c>
      <x:c r="E1805" s="16" t="n">
        <x:v>-1958.5882439344</x:v>
      </x:c>
      <x:c r="F1805" s="23" t="n">
        <x:v>7</x:v>
      </x:c>
    </x:row>
    <x:row r="1806">
      <x:c r="A1806" s="15" t="n">
        <x:v>43831</x:v>
      </x:c>
      <x:c r="B1806" s="13" t="str">
        <x:v>Banks</x:v>
      </x:c>
      <x:c r="C1806" s="16" t="n">
        <x:v>123510.5530026667</x:v>
      </x:c>
      <x:c r="D1806" s="16" t="n">
        <x:v>124550.9984964383</x:v>
      </x:c>
      <x:c r="E1806" s="16" t="n">
        <x:v>1040.4454937716</x:v>
      </x:c>
      <x:c r="F1806" s="23" t="n">
        <x:v>6</x:v>
      </x:c>
    </x:row>
    <x:row r="1807">
      <x:c r="A1807" s="15" t="n">
        <x:v>43831</x:v>
      </x:c>
      <x:c r="B1807" s="13" t="str">
        <x:v>Capital Goods</x:v>
      </x:c>
      <x:c r="C1807" s="16" t="n">
        <x:v>2646.6269893333</x:v>
      </x:c>
      <x:c r="D1807" s="16" t="n">
        <x:v>2476.3393832329</x:v>
      </x:c>
      <x:c r="E1807" s="16" t="n">
        <x:v>-170.2876061005</x:v>
      </x:c>
      <x:c r="F1807" s="23" t="n">
        <x:v>2</x:v>
      </x:c>
    </x:row>
    <x:row r="1808">
      <x:c r="A1808" s="15" t="n">
        <x:v>43831</x:v>
      </x:c>
      <x:c r="B1808" s="13" t="str">
        <x:v>Education</x:v>
      </x:c>
      <x:c r="C1808" s="16" t="n">
        <x:v>2154.3336746667</x:v>
      </x:c>
      <x:c r="D1808" s="16" t="n">
        <x:v>2017.9605856438</x:v>
      </x:c>
      <x:c r="E1808" s="16" t="n">
        <x:v>-136.3730890228</x:v>
      </x:c>
      <x:c r="F1808" s="23" t="n">
        <x:v>2</x:v>
      </x:c>
    </x:row>
    <x:row r="1809">
      <x:c r="A1809" s="15" t="n">
        <x:v>43831</x:v>
      </x:c>
      <x:c r="B1809" s="13" t="str">
        <x:v>Financials Non-Banks</x:v>
      </x:c>
      <x:c r="C1809" s="16" t="n">
        <x:v>22629.985408</x:v>
      </x:c>
      <x:c r="D1809" s="16" t="n">
        <x:v>22940.4120758356</x:v>
      </x:c>
      <x:c r="E1809" s="16" t="n">
        <x:v>310.4266678356</x:v>
      </x:c>
      <x:c r="F1809" s="23" t="n">
        <x:v>5</x:v>
      </x:c>
    </x:row>
    <x:row r="1810">
      <x:c r="A1810" s="15" t="n">
        <x:v>43831</x:v>
      </x:c>
      <x:c r="B1810" s="13" t="str">
        <x:v>Food &amp; Beverages</x:v>
      </x:c>
      <x:c r="C1810" s="16" t="n">
        <x:v>22811.1445813334</x:v>
      </x:c>
      <x:c r="D1810" s="16" t="n">
        <x:v>22707.9942093151</x:v>
      </x:c>
      <x:c r="E1810" s="16" t="n">
        <x:v>-103.1503720183</x:v>
      </x:c>
      <x:c r="F1810" s="23" t="n">
        <x:v>4</x:v>
      </x:c>
    </x:row>
    <x:row r="1811">
      <x:c r="A1811" s="15" t="n">
        <x:v>43831</x:v>
      </x:c>
      <x:c r="B1811" s="13" t="str">
        <x:v>Health Care</x:v>
      </x:c>
      <x:c r="C1811" s="16" t="n">
        <x:v>2925.032496</x:v>
      </x:c>
      <x:c r="D1811" s="16" t="n">
        <x:v>3003.6467690959</x:v>
      </x:c>
      <x:c r="E1811" s="16" t="n">
        <x:v>78.6142730959</x:v>
      </x:c>
      <x:c r="F1811" s="23" t="n">
        <x:v>4</x:v>
      </x:c>
    </x:row>
    <x:row r="1812">
      <x:c r="A1812" s="15" t="n">
        <x:v>43831</x:v>
      </x:c>
      <x:c r="B1812" s="13" t="str">
        <x:v>Homebuilders</x:v>
      </x:c>
      <x:c r="C1812" s="16" t="n">
        <x:v>1297.9861493333</x:v>
      </x:c>
      <x:c r="D1812" s="16" t="n">
        <x:v>1354.7318426301</x:v>
      </x:c>
      <x:c r="E1812" s="16" t="n">
        <x:v>56.7456932968</x:v>
      </x:c>
      <x:c r="F1812" s="23" t="n">
        <x:v>2</x:v>
      </x:c>
    </x:row>
    <x:row r="1813">
      <x:c r="A1813" s="15" t="n">
        <x:v>43831</x:v>
      </x:c>
      <x:c r="B1813" s="13" t="str">
        <x:v>Income Properties</x:v>
      </x:c>
      <x:c r="C1813" s="16" t="n">
        <x:v>1540.106688</x:v>
      </x:c>
      <x:c r="D1813" s="16" t="n">
        <x:v>1588.4844764932</x:v>
      </x:c>
      <x:c r="E1813" s="16" t="n">
        <x:v>48.3777884932</x:v>
      </x:c>
      <x:c r="F1813" s="23" t="n">
        <x:v>3</x:v>
      </x:c>
    </x:row>
    <x:row r="1814">
      <x:c r="A1814" s="15" t="n">
        <x:v>43831</x:v>
      </x:c>
      <x:c r="B1814" s="13" t="str">
        <x:v>Metals &amp; Mining</x:v>
      </x:c>
      <x:c r="C1814" s="16" t="n">
        <x:v>40490.517088</x:v>
      </x:c>
      <x:c r="D1814" s="16" t="n">
        <x:v>43680.9077049863</x:v>
      </x:c>
      <x:c r="E1814" s="16" t="n">
        <x:v>3190.3906169863</x:v>
      </x:c>
      <x:c r="F1814" s="23" t="n">
        <x:v>5</x:v>
      </x:c>
    </x:row>
    <x:row r="1815">
      <x:c r="A1815" s="15" t="n">
        <x:v>43831</x:v>
      </x:c>
      <x:c r="B1815" s="13" t="str">
        <x:v>Oil, Gas &amp; Petrochemicals</x:v>
      </x:c>
      <x:c r="C1815" s="16" t="n">
        <x:v>40249.0222293334</x:v>
      </x:c>
      <x:c r="D1815" s="16" t="n">
        <x:v>41482.8921819178</x:v>
      </x:c>
      <x:c r="E1815" s="16" t="n">
        <x:v>1233.8699525844</x:v>
      </x:c>
      <x:c r="F1815" s="23" t="n">
        <x:v>5</x:v>
      </x:c>
    </x:row>
    <x:row r="1816">
      <x:c r="A1816" s="15" t="n">
        <x:v>43831</x:v>
      </x:c>
      <x:c r="B1816" s="13" t="str">
        <x:v>Pulp &amp; Paper</x:v>
      </x:c>
      <x:c r="C1816" s="16" t="n">
        <x:v>2838.271068</x:v>
      </x:c>
      <x:c r="D1816" s="16" t="n">
        <x:v>2259.1821632877</x:v>
      </x:c>
      <x:c r="E1816" s="16" t="n">
        <x:v>-579.0889047123</x:v>
      </x:c>
      <x:c r="F1816" s="23" t="n">
        <x:v>2</x:v>
      </x:c>
    </x:row>
    <x:row r="1817">
      <x:c r="A1817" s="15" t="n">
        <x:v>43831</x:v>
      </x:c>
      <x:c r="B1817" s="13" t="str">
        <x:v>Retail</x:v>
      </x:c>
      <x:c r="C1817" s="16" t="n">
        <x:v>5543.0707733333</x:v>
      </x:c>
      <x:c r="D1817" s="16" t="n">
        <x:v>5850.0628817534</x:v>
      </x:c>
      <x:c r="E1817" s="16" t="n">
        <x:v>306.9921084201</x:v>
      </x:c>
      <x:c r="F1817" s="23" t="n">
        <x:v>8</x:v>
      </x:c>
    </x:row>
    <x:row r="1818">
      <x:c r="A1818" s="15" t="n">
        <x:v>43831</x:v>
      </x:c>
      <x:c r="B1818" s="13" t="str">
        <x:v>Sanitation</x:v>
      </x:c>
      <x:c r="C1818" s="16" t="n">
        <x:v>2899.7915733333</x:v>
      </x:c>
      <x:c r="D1818" s="16" t="n">
        <x:v>2733.4274980822</x:v>
      </x:c>
      <x:c r="E1818" s="16" t="n">
        <x:v>-166.3640752511</x:v>
      </x:c>
      <x:c r="F1818" s="23" t="n">
        <x:v>1</x:v>
      </x:c>
    </x:row>
    <x:row r="1819">
      <x:c r="A1819" s="15" t="n">
        <x:v>43831</x:v>
      </x:c>
      <x:c r="B1819" s="13" t="str">
        <x:v>TMT</x:v>
      </x:c>
      <x:c r="C1819" s="16" t="n">
        <x:v>8505.6332053333</x:v>
      </x:c>
      <x:c r="D1819" s="16" t="n">
        <x:v>8469.0334676164</x:v>
      </x:c>
      <x:c r="E1819" s="16" t="n">
        <x:v>-36.5997377169</x:v>
      </x:c>
      <x:c r="F1819" s="23" t="n">
        <x:v>3</x:v>
      </x:c>
    </x:row>
    <x:row r="1820">
      <x:c r="A1820" s="15" t="n">
        <x:v>43831</x:v>
      </x:c>
      <x:c r="B1820" s="13" t="str">
        <x:v>Transportation</x:v>
      </x:c>
      <x:c r="C1820" s="16" t="n">
        <x:v>6682.0133066667</x:v>
      </x:c>
      <x:c r="D1820" s="16" t="n">
        <x:v>7283.0878167671</x:v>
      </x:c>
      <x:c r="E1820" s="16" t="n">
        <x:v>601.0745101005</x:v>
      </x:c>
      <x:c r="F1820" s="23" t="n">
        <x:v>6</x:v>
      </x:c>
    </x:row>
    <x:row r="1821">
      <x:c r="A1821" s="15" t="n">
        <x:v>43831</x:v>
      </x:c>
      <x:c r="B1821" s="13" t="str">
        <x:v>Utilities &amp; Energy</x:v>
      </x:c>
      <x:c r="C1821" s="16" t="n">
        <x:v>21052.481344</x:v>
      </x:c>
      <x:c r="D1821" s="16" t="n">
        <x:v>19747.0610998356</x:v>
      </x:c>
      <x:c r="E1821" s="16" t="n">
        <x:v>-1305.4202441644</x:v>
      </x:c>
      <x:c r="F1821" s="23" t="n">
        <x:v>7</x:v>
      </x:c>
    </x:row>
    <x:row r="1822">
      <x:c r="A1822" s="15" t="n">
        <x:v>43862</x:v>
      </x:c>
      <x:c r="B1822" s="13" t="str">
        <x:v>Banks</x:v>
      </x:c>
      <x:c r="C1822" s="16" t="n">
        <x:v>123896.2512003498</x:v>
      </x:c>
      <x:c r="D1822" s="16" t="n">
        <x:v>124681.2474136548</x:v>
      </x:c>
      <x:c r="E1822" s="16" t="n">
        <x:v>784.996213305</x:v>
      </x:c>
      <x:c r="F1822" s="23" t="n">
        <x:v>6</x:v>
      </x:c>
    </x:row>
    <x:row r="1823">
      <x:c r="A1823" s="15" t="n">
        <x:v>43862</x:v>
      </x:c>
      <x:c r="B1823" s="13" t="str">
        <x:v>Capital Goods</x:v>
      </x:c>
      <x:c r="C1823" s="16" t="n">
        <x:v>2635.8785454863</x:v>
      </x:c>
      <x:c r="D1823" s="16" t="n">
        <x:v>2644.5426107616</x:v>
      </x:c>
      <x:c r="E1823" s="16" t="n">
        <x:v>8.6640652753</x:v>
      </x:c>
      <x:c r="F1823" s="23" t="n">
        <x:v>2</x:v>
      </x:c>
    </x:row>
    <x:row r="1824">
      <x:c r="A1824" s="15" t="n">
        <x:v>43862</x:v>
      </x:c>
      <x:c r="B1824" s="13" t="str">
        <x:v>Education</x:v>
      </x:c>
      <x:c r="C1824" s="16" t="n">
        <x:v>2178.1123819016</x:v>
      </x:c>
      <x:c r="D1824" s="16" t="n">
        <x:v>1849.2168661918</x:v>
      </x:c>
      <x:c r="E1824" s="16" t="n">
        <x:v>-328.8955157099</x:v>
      </x:c>
      <x:c r="F1824" s="23" t="n">
        <x:v>2</x:v>
      </x:c>
    </x:row>
    <x:row r="1825">
      <x:c r="A1825" s="15" t="n">
        <x:v>43862</x:v>
      </x:c>
      <x:c r="B1825" s="13" t="str">
        <x:v>Financials Non-Banks</x:v>
      </x:c>
      <x:c r="C1825" s="16" t="n">
        <x:v>22719.6224895301</x:v>
      </x:c>
      <x:c r="D1825" s="16" t="n">
        <x:v>22237.035333085</x:v>
      </x:c>
      <x:c r="E1825" s="16" t="n">
        <x:v>-482.5871564451</x:v>
      </x:c>
      <x:c r="F1825" s="23" t="n">
        <x:v>5</x:v>
      </x:c>
    </x:row>
    <x:row r="1826">
      <x:c r="A1826" s="15" t="n">
        <x:v>43862</x:v>
      </x:c>
      <x:c r="B1826" s="13" t="str">
        <x:v>Food &amp; Beverages</x:v>
      </x:c>
      <x:c r="C1826" s="16" t="n">
        <x:v>23381.1448669727</x:v>
      </x:c>
      <x:c r="D1826" s="16" t="n">
        <x:v>22387.9678565698</x:v>
      </x:c>
      <x:c r="E1826" s="16" t="n">
        <x:v>-993.1770104028</x:v>
      </x:c>
      <x:c r="F1826" s="23" t="n">
        <x:v>4</x:v>
      </x:c>
    </x:row>
    <x:row r="1827">
      <x:c r="A1827" s="15" t="n">
        <x:v>43862</x:v>
      </x:c>
      <x:c r="B1827" s="13" t="str">
        <x:v>Health Care</x:v>
      </x:c>
      <x:c r="C1827" s="16" t="n">
        <x:v>2960.368766776</x:v>
      </x:c>
      <x:c r="D1827" s="16" t="n">
        <x:v>3078.948384789</x:v>
      </x:c>
      <x:c r="E1827" s="16" t="n">
        <x:v>118.5796180131</x:v>
      </x:c>
      <x:c r="F1827" s="23" t="n">
        <x:v>4</x:v>
      </x:c>
    </x:row>
    <x:row r="1828">
      <x:c r="A1828" s="15" t="n">
        <x:v>43862</x:v>
      </x:c>
      <x:c r="B1828" s="13" t="str">
        <x:v>Homebuilders</x:v>
      </x:c>
      <x:c r="C1828" s="16" t="n">
        <x:v>1287.615759388</x:v>
      </x:c>
      <x:c r="D1828" s="16" t="n">
        <x:v>1390.7670826082</x:v>
      </x:c>
      <x:c r="E1828" s="16" t="n">
        <x:v>103.1513232202</x:v>
      </x:c>
      <x:c r="F1828" s="23" t="n">
        <x:v>2</x:v>
      </x:c>
    </x:row>
    <x:row r="1829">
      <x:c r="A1829" s="15" t="n">
        <x:v>43862</x:v>
      </x:c>
      <x:c r="B1829" s="13" t="str">
        <x:v>Income Properties</x:v>
      </x:c>
      <x:c r="C1829" s="16" t="n">
        <x:v>1565.370497224</x:v>
      </x:c>
      <x:c r="D1829" s="16" t="n">
        <x:v>1673.7597311123</x:v>
      </x:c>
      <x:c r="E1829" s="16" t="n">
        <x:v>108.3892338883</x:v>
      </x:c>
      <x:c r="F1829" s="23" t="n">
        <x:v>3</x:v>
      </x:c>
    </x:row>
    <x:row r="1830">
      <x:c r="A1830" s="15" t="n">
        <x:v>43862</x:v>
      </x:c>
      <x:c r="B1830" s="13" t="str">
        <x:v>Metals &amp; Mining</x:v>
      </x:c>
      <x:c r="C1830" s="16" t="n">
        <x:v>41337.7995292678</x:v>
      </x:c>
      <x:c r="D1830" s="16" t="n">
        <x:v>43571.2626361863</x:v>
      </x:c>
      <x:c r="E1830" s="16" t="n">
        <x:v>2233.4631069185</x:v>
      </x:c>
      <x:c r="F1830" s="23" t="n">
        <x:v>5</x:v>
      </x:c>
    </x:row>
    <x:row r="1831">
      <x:c r="A1831" s="15" t="n">
        <x:v>43862</x:v>
      </x:c>
      <x:c r="B1831" s="13" t="str">
        <x:v>Oil, Gas &amp; Petrochemicals</x:v>
      </x:c>
      <x:c r="C1831" s="16" t="n">
        <x:v>42126.2463237596</x:v>
      </x:c>
      <x:c r="D1831" s="16" t="n">
        <x:v>41450.4468688658</x:v>
      </x:c>
      <x:c r="E1831" s="16" t="n">
        <x:v>-675.7994548938</x:v>
      </x:c>
      <x:c r="F1831" s="23" t="n">
        <x:v>5</x:v>
      </x:c>
    </x:row>
    <x:row r="1832">
      <x:c r="A1832" s="15" t="n">
        <x:v>43862</x:v>
      </x:c>
      <x:c r="B1832" s="13" t="str">
        <x:v>Pulp &amp; Paper</x:v>
      </x:c>
      <x:c r="C1832" s="16" t="n">
        <x:v>2010.5318085246</x:v>
      </x:c>
      <x:c r="D1832" s="16" t="n">
        <x:v>2547.2479182904</x:v>
      </x:c>
      <x:c r="E1832" s="16" t="n">
        <x:v>536.7161097658</x:v>
      </x:c>
      <x:c r="F1832" s="23" t="n">
        <x:v>2</x:v>
      </x:c>
    </x:row>
    <x:row r="1833">
      <x:c r="A1833" s="15" t="n">
        <x:v>43862</x:v>
      </x:c>
      <x:c r="B1833" s="13" t="str">
        <x:v>Retail</x:v>
      </x:c>
      <x:c r="C1833" s="16" t="n">
        <x:v>5712.6395179016</x:v>
      </x:c>
      <x:c r="D1833" s="16" t="n">
        <x:v>5908.0918993973</x:v>
      </x:c>
      <x:c r="E1833" s="16" t="n">
        <x:v>195.4523814956</x:v>
      </x:c>
      <x:c r="F1833" s="23" t="n">
        <x:v>8</x:v>
      </x:c>
    </x:row>
    <x:row r="1834">
      <x:c r="A1834" s="15" t="n">
        <x:v>43862</x:v>
      </x:c>
      <x:c r="B1834" s="13" t="str">
        <x:v>Sanitation</x:v>
      </x:c>
      <x:c r="C1834" s="16" t="n">
        <x:v>2797.037944306</x:v>
      </x:c>
      <x:c r="D1834" s="16" t="n">
        <x:v>2830.5446217644</x:v>
      </x:c>
      <x:c r="E1834" s="16" t="n">
        <x:v>33.5066774584</x:v>
      </x:c>
      <x:c r="F1834" s="23" t="n">
        <x:v>1</x:v>
      </x:c>
    </x:row>
    <x:row r="1835">
      <x:c r="A1835" s="15" t="n">
        <x:v>43862</x:v>
      </x:c>
      <x:c r="B1835" s="13" t="str">
        <x:v>TMT</x:v>
      </x:c>
      <x:c r="C1835" s="16" t="n">
        <x:v>8495.741082929</x:v>
      </x:c>
      <x:c r="D1835" s="16" t="n">
        <x:v>8340.1967552877</x:v>
      </x:c>
      <x:c r="E1835" s="16" t="n">
        <x:v>-155.5443276413</x:v>
      </x:c>
      <x:c r="F1835" s="23" t="n">
        <x:v>3</x:v>
      </x:c>
    </x:row>
    <x:row r="1836">
      <x:c r="A1836" s="15" t="n">
        <x:v>43862</x:v>
      </x:c>
      <x:c r="B1836" s="13" t="str">
        <x:v>Transportation</x:v>
      </x:c>
      <x:c r="C1836" s="16" t="n">
        <x:v>6834.7902251366</x:v>
      </x:c>
      <x:c r="D1836" s="16" t="n">
        <x:v>7494.5645179617</x:v>
      </x:c>
      <x:c r="E1836" s="16" t="n">
        <x:v>659.774292825</x:v>
      </x:c>
      <x:c r="F1836" s="23" t="n">
        <x:v>6</x:v>
      </x:c>
    </x:row>
    <x:row r="1837">
      <x:c r="A1837" s="15" t="n">
        <x:v>43862</x:v>
      </x:c>
      <x:c r="B1837" s="13" t="str">
        <x:v>Utilities &amp; Energy</x:v>
      </x:c>
      <x:c r="C1837" s="16" t="n">
        <x:v>18940.2029488962</x:v>
      </x:c>
      <x:c r="D1837" s="16" t="n">
        <x:v>21267.4473203726</x:v>
      </x:c>
      <x:c r="E1837" s="16" t="n">
        <x:v>2327.2443714764</x:v>
      </x:c>
      <x:c r="F1837" s="23" t="n">
        <x:v>7</x:v>
      </x:c>
    </x:row>
    <x:row r="1838">
      <x:c r="A1838" s="15" t="n">
        <x:v>43891</x:v>
      </x:c>
      <x:c r="B1838" s="13" t="str">
        <x:v>Banks</x:v>
      </x:c>
      <x:c r="C1838" s="16" t="n">
        <x:v>124803.652608</x:v>
      </x:c>
      <x:c r="D1838" s="16" t="n">
        <x:v>120517.0141422467</x:v>
      </x:c>
      <x:c r="E1838" s="16" t="n">
        <x:v>-4286.6384657533</x:v>
      </x:c>
      <x:c r="F1838" s="23" t="n">
        <x:v>6</x:v>
      </x:c>
    </x:row>
    <x:row r="1839">
      <x:c r="A1839" s="15" t="n">
        <x:v>43891</x:v>
      </x:c>
      <x:c r="B1839" s="13" t="str">
        <x:v>Capital Goods</x:v>
      </x:c>
      <x:c r="C1839" s="16" t="n">
        <x:v>2771.359936</x:v>
      </x:c>
      <x:c r="D1839" s="16" t="n">
        <x:v>2240.8526193973</x:v>
      </x:c>
      <x:c r="E1839" s="16" t="n">
        <x:v>-530.5073166027</x:v>
      </x:c>
      <x:c r="F1839" s="23" t="n">
        <x:v>2</x:v>
      </x:c>
    </x:row>
    <x:row r="1840">
      <x:c r="A1840" s="15" t="n">
        <x:v>43891</x:v>
      </x:c>
      <x:c r="B1840" s="13" t="str">
        <x:v>Education</x:v>
      </x:c>
      <x:c r="C1840" s="16" t="n">
        <x:v>2058.529984</x:v>
      </x:c>
      <x:c r="D1840" s="16" t="n">
        <x:v>1794.6690332055</x:v>
      </x:c>
      <x:c r="E1840" s="16" t="n">
        <x:v>-263.8609507945</x:v>
      </x:c>
      <x:c r="F1840" s="23" t="n">
        <x:v>2</x:v>
      </x:c>
    </x:row>
    <x:row r="1841">
      <x:c r="A1841" s="15" t="n">
        <x:v>43891</x:v>
      </x:c>
      <x:c r="B1841" s="13" t="str">
        <x:v>Financials Non-Banks</x:v>
      </x:c>
      <x:c r="C1841" s="16" t="n">
        <x:v>22871.080192</x:v>
      </x:c>
      <x:c r="D1841" s="16" t="n">
        <x:v>21659.0939037808</x:v>
      </x:c>
      <x:c r="E1841" s="16" t="n">
        <x:v>-1211.9862882192</x:v>
      </x:c>
      <x:c r="F1841" s="23" t="n">
        <x:v>5</x:v>
      </x:c>
    </x:row>
    <x:row r="1842">
      <x:c r="A1842" s="15" t="n">
        <x:v>43891</x:v>
      </x:c>
      <x:c r="B1842" s="13" t="str">
        <x:v>Food &amp; Beverages</x:v>
      </x:c>
      <x:c r="C1842" s="16" t="n">
        <x:v>23918.227072</x:v>
      </x:c>
      <x:c r="D1842" s="16" t="n">
        <x:v>18472.9226384657</x:v>
      </x:c>
      <x:c r="E1842" s="16" t="n">
        <x:v>-5445.3044335343</x:v>
      </x:c>
      <x:c r="F1842" s="23" t="n">
        <x:v>4</x:v>
      </x:c>
    </x:row>
    <x:row r="1843">
      <x:c r="A1843" s="15" t="n">
        <x:v>43891</x:v>
      </x:c>
      <x:c r="B1843" s="13" t="str">
        <x:v>Health Care</x:v>
      </x:c>
      <x:c r="C1843" s="16" t="n">
        <x:v>2981.564928</x:v>
      </x:c>
      <x:c r="D1843" s="16" t="n">
        <x:v>3065.7683563836</x:v>
      </x:c>
      <x:c r="E1843" s="16" t="n">
        <x:v>84.2034283836</x:v>
      </x:c>
      <x:c r="F1843" s="23" t="n">
        <x:v>4</x:v>
      </x:c>
    </x:row>
    <x:row r="1844">
      <x:c r="A1844" s="15" t="n">
        <x:v>43891</x:v>
      </x:c>
      <x:c r="B1844" s="13" t="str">
        <x:v>Homebuilders</x:v>
      </x:c>
      <x:c r="C1844" s="16" t="n">
        <x:v>1288.696</x:v>
      </x:c>
      <x:c r="D1844" s="16" t="n">
        <x:v>1099.1189545205</x:v>
      </x:c>
      <x:c r="E1844" s="16" t="n">
        <x:v>-189.5770454795</x:v>
      </x:c>
      <x:c r="F1844" s="23" t="n">
        <x:v>2</x:v>
      </x:c>
    </x:row>
    <x:row r="1845">
      <x:c r="A1845" s="15" t="n">
        <x:v>43891</x:v>
      </x:c>
      <x:c r="B1845" s="13" t="str">
        <x:v>Income Properties</x:v>
      </x:c>
      <x:c r="C1845" s="16" t="n">
        <x:v>1522.854016</x:v>
      </x:c>
      <x:c r="D1845" s="16" t="n">
        <x:v>1214.3708475616</x:v>
      </x:c>
      <x:c r="E1845" s="16" t="n">
        <x:v>-308.4831684384</x:v>
      </x:c>
      <x:c r="F1845" s="23" t="n">
        <x:v>3</x:v>
      </x:c>
    </x:row>
    <x:row r="1846">
      <x:c r="A1846" s="15" t="n">
        <x:v>43891</x:v>
      </x:c>
      <x:c r="B1846" s="13" t="str">
        <x:v>Metals &amp; Mining</x:v>
      </x:c>
      <x:c r="C1846" s="16" t="n">
        <x:v>42948.038464</x:v>
      </x:c>
      <x:c r="D1846" s="16" t="n">
        <x:v>41673.0859313973</x:v>
      </x:c>
      <x:c r="E1846" s="16" t="n">
        <x:v>-1274.9525326027</x:v>
      </x:c>
      <x:c r="F1846" s="23" t="n">
        <x:v>5</x:v>
      </x:c>
    </x:row>
    <x:row r="1847">
      <x:c r="A1847" s="15" t="n">
        <x:v>43891</x:v>
      </x:c>
      <x:c r="B1847" s="13" t="str">
        <x:v>Oil, Gas &amp; Petrochemicals</x:v>
      </x:c>
      <x:c r="C1847" s="16" t="n">
        <x:v>41071.262868</x:v>
      </x:c>
      <x:c r="D1847" s="16" t="n">
        <x:v>17038.3655443288</x:v>
      </x:c>
      <x:c r="E1847" s="16" t="n">
        <x:v>-24032.8973236712</x:v>
      </x:c>
      <x:c r="F1847" s="23" t="n">
        <x:v>5</x:v>
      </x:c>
    </x:row>
    <x:row r="1848">
      <x:c r="A1848" s="15" t="n">
        <x:v>43891</x:v>
      </x:c>
      <x:c r="B1848" s="13" t="str">
        <x:v>Pulp &amp; Paper</x:v>
      </x:c>
      <x:c r="C1848" s="16" t="n">
        <x:v>2349.878944</x:v>
      </x:c>
      <x:c r="D1848" s="16" t="n">
        <x:v>740.8638573151</x:v>
      </x:c>
      <x:c r="E1848" s="16" t="n">
        <x:v>-1609.0150866849</x:v>
      </x:c>
      <x:c r="F1848" s="23" t="n">
        <x:v>2</x:v>
      </x:c>
    </x:row>
    <x:row r="1849">
      <x:c r="A1849" s="15" t="n">
        <x:v>43891</x:v>
      </x:c>
      <x:c r="B1849" s="13" t="str">
        <x:v>Retail</x:v>
      </x:c>
      <x:c r="C1849" s="16" t="n">
        <x:v>5342.791696</x:v>
      </x:c>
      <x:c r="D1849" s="16" t="n">
        <x:v>5114.1829475068</x:v>
      </x:c>
      <x:c r="E1849" s="16" t="n">
        <x:v>-228.6087484932</x:v>
      </x:c>
      <x:c r="F1849" s="23" t="n">
        <x:v>8</x:v>
      </x:c>
    </x:row>
    <x:row r="1850">
      <x:c r="A1850" s="15" t="n">
        <x:v>43891</x:v>
      </x:c>
      <x:c r="B1850" s="13" t="str">
        <x:v>Sanitation</x:v>
      </x:c>
      <x:c r="C1850" s="16" t="n">
        <x:v>2778.220032</x:v>
      </x:c>
      <x:c r="D1850" s="16" t="n">
        <x:v>2939.4216924932</x:v>
      </x:c>
      <x:c r="E1850" s="16" t="n">
        <x:v>161.2016604932</x:v>
      </x:c>
      <x:c r="F1850" s="23" t="n">
        <x:v>1</x:v>
      </x:c>
    </x:row>
    <x:row r="1851">
      <x:c r="A1851" s="15" t="n">
        <x:v>43891</x:v>
      </x:c>
      <x:c r="B1851" s="13" t="str">
        <x:v>TMT</x:v>
      </x:c>
      <x:c r="C1851" s="16" t="n">
        <x:v>8522.692992</x:v>
      </x:c>
      <x:c r="D1851" s="16" t="n">
        <x:v>8175.8543526575</x:v>
      </x:c>
      <x:c r="E1851" s="16" t="n">
        <x:v>-346.8386393425</x:v>
      </x:c>
      <x:c r="F1851" s="23" t="n">
        <x:v>3</x:v>
      </x:c>
    </x:row>
    <x:row r="1852">
      <x:c r="A1852" s="15" t="n">
        <x:v>43891</x:v>
      </x:c>
      <x:c r="B1852" s="13" t="str">
        <x:v>Transportation</x:v>
      </x:c>
      <x:c r="C1852" s="16" t="n">
        <x:v>7020.17312</x:v>
      </x:c>
      <x:c r="D1852" s="16" t="n">
        <x:v>6261.5881630685</x:v>
      </x:c>
      <x:c r="E1852" s="16" t="n">
        <x:v>-758.5849569315</x:v>
      </x:c>
      <x:c r="F1852" s="23" t="n">
        <x:v>6</x:v>
      </x:c>
    </x:row>
    <x:row r="1853">
      <x:c r="A1853" s="15" t="n">
        <x:v>43891</x:v>
      </x:c>
      <x:c r="B1853" s="13" t="str">
        <x:v>Utilities &amp; Energy</x:v>
      </x:c>
      <x:c r="C1853" s="16" t="n">
        <x:v>18832.885568</x:v>
      </x:c>
      <x:c r="D1853" s="16" t="n">
        <x:v>21825.5773185754</x:v>
      </x:c>
      <x:c r="E1853" s="16" t="n">
        <x:v>2992.6917505754</x:v>
      </x:c>
      <x:c r="F1853" s="23" t="n">
        <x:v>7</x:v>
      </x:c>
    </x:row>
    <x:row r="1854">
      <x:c r="A1854" s="15" t="n">
        <x:v>43922</x:v>
      </x:c>
      <x:c r="B1854" s="13" t="str">
        <x:v>Banks</x:v>
      </x:c>
      <x:c r="C1854" s="16" t="n">
        <x:v>124550.9984964383</x:v>
      </x:c>
      <x:c r="D1854" s="16" t="n">
        <x:v>112743.4420778082</x:v>
      </x:c>
      <x:c r="E1854" s="16" t="n">
        <x:v>-11807.5564186301</x:v>
      </x:c>
      <x:c r="F1854" s="23" t="n">
        <x:v>6</x:v>
      </x:c>
    </x:row>
    <x:row r="1855">
      <x:c r="A1855" s="15" t="n">
        <x:v>43922</x:v>
      </x:c>
      <x:c r="B1855" s="13" t="str">
        <x:v>Capital Goods</x:v>
      </x:c>
      <x:c r="C1855" s="16" t="n">
        <x:v>2476.3393832329</x:v>
      </x:c>
      <x:c r="D1855" s="16" t="n">
        <x:v>874.7846873425</x:v>
      </x:c>
      <x:c r="E1855" s="16" t="n">
        <x:v>-1601.5546958904</x:v>
      </x:c>
      <x:c r="F1855" s="23" t="n">
        <x:v>2</x:v>
      </x:c>
    </x:row>
    <x:row r="1856">
      <x:c r="A1856" s="15" t="n">
        <x:v>43922</x:v>
      </x:c>
      <x:c r="B1856" s="13" t="str">
        <x:v>Education</x:v>
      </x:c>
      <x:c r="C1856" s="16" t="n">
        <x:v>2017.9605856438</x:v>
      </x:c>
      <x:c r="D1856" s="16" t="n">
        <x:v>1402.7223811507</x:v>
      </x:c>
      <x:c r="E1856" s="16" t="n">
        <x:v>-615.2382044932</x:v>
      </x:c>
      <x:c r="F1856" s="23" t="n">
        <x:v>2</x:v>
      </x:c>
    </x:row>
    <x:row r="1857">
      <x:c r="A1857" s="15" t="n">
        <x:v>43922</x:v>
      </x:c>
      <x:c r="B1857" s="13" t="str">
        <x:v>Financials Non-Banks</x:v>
      </x:c>
      <x:c r="C1857" s="16" t="n">
        <x:v>24377.2874503014</x:v>
      </x:c>
      <x:c r="D1857" s="16" t="n">
        <x:v>21894.6578340822</x:v>
      </x:c>
      <x:c r="E1857" s="16" t="n">
        <x:v>-2482.6296162192</x:v>
      </x:c>
      <x:c r="F1857" s="23" t="n">
        <x:v>6</x:v>
      </x:c>
    </x:row>
    <x:row r="1858">
      <x:c r="A1858" s="15" t="n">
        <x:v>43922</x:v>
      </x:c>
      <x:c r="B1858" s="13" t="str">
        <x:v>Food &amp; Beverages</x:v>
      </x:c>
      <x:c r="C1858" s="16" t="n">
        <x:v>22707.9942093151</x:v>
      </x:c>
      <x:c r="D1858" s="16" t="n">
        <x:v>17310.0871281096</x:v>
      </x:c>
      <x:c r="E1858" s="16" t="n">
        <x:v>-5397.9070812055</x:v>
      </x:c>
      <x:c r="F1858" s="23" t="n">
        <x:v>4</x:v>
      </x:c>
    </x:row>
    <x:row r="1859">
      <x:c r="A1859" s="15" t="n">
        <x:v>43922</x:v>
      </x:c>
      <x:c r="B1859" s="13" t="str">
        <x:v>Health Care</x:v>
      </x:c>
      <x:c r="C1859" s="16" t="n">
        <x:v>5234.2134347397</x:v>
      </x:c>
      <x:c r="D1859" s="16" t="n">
        <x:v>5228.8175644931</x:v>
      </x:c>
      <x:c r="E1859" s="16" t="n">
        <x:v>-5.3958702466</x:v>
      </x:c>
      <x:c r="F1859" s="23" t="n">
        <x:v>6</x:v>
      </x:c>
    </x:row>
    <x:row r="1860">
      <x:c r="A1860" s="15" t="n">
        <x:v>43922</x:v>
      </x:c>
      <x:c r="B1860" s="13" t="str">
        <x:v>Homebuilders</x:v>
      </x:c>
      <x:c r="C1860" s="16" t="n">
        <x:v>1354.7318426301</x:v>
      </x:c>
      <x:c r="D1860" s="16" t="n">
        <x:v>917.5261891507</x:v>
      </x:c>
      <x:c r="E1860" s="16" t="n">
        <x:v>-437.2056534795</x:v>
      </x:c>
      <x:c r="F1860" s="23" t="n">
        <x:v>2</x:v>
      </x:c>
    </x:row>
    <x:row r="1861">
      <x:c r="A1861" s="15" t="n">
        <x:v>43922</x:v>
      </x:c>
      <x:c r="B1861" s="13" t="str">
        <x:v>Income Properties</x:v>
      </x:c>
      <x:c r="C1861" s="16" t="n">
        <x:v>1588.4844764932</x:v>
      </x:c>
      <x:c r="D1861" s="16" t="n">
        <x:v>957.1738820822</x:v>
      </x:c>
      <x:c r="E1861" s="16" t="n">
        <x:v>-631.310594411</x:v>
      </x:c>
      <x:c r="F1861" s="23" t="n">
        <x:v>3</x:v>
      </x:c>
    </x:row>
    <x:row r="1862">
      <x:c r="A1862" s="15" t="n">
        <x:v>43922</x:v>
      </x:c>
      <x:c r="B1862" s="13" t="str">
        <x:v>Metals &amp; Mining</x:v>
      </x:c>
      <x:c r="C1862" s="16" t="n">
        <x:v>43680.9077049863</x:v>
      </x:c>
      <x:c r="D1862" s="16" t="n">
        <x:v>38206.8482836164</x:v>
      </x:c>
      <x:c r="E1862" s="16" t="n">
        <x:v>-5474.0594213699</x:v>
      </x:c>
      <x:c r="F1862" s="23" t="n">
        <x:v>5</x:v>
      </x:c>
    </x:row>
    <x:row r="1863">
      <x:c r="A1863" s="15" t="n">
        <x:v>43922</x:v>
      </x:c>
      <x:c r="B1863" s="13" t="str">
        <x:v>Oil, Gas &amp; Petrochemicals</x:v>
      </x:c>
      <x:c r="C1863" s="16" t="n">
        <x:v>41482.8921819178</x:v>
      </x:c>
      <x:c r="D1863" s="16" t="n">
        <x:v>10009.4020273973</x:v>
      </x:c>
      <x:c r="E1863" s="16" t="n">
        <x:v>-31473.4901545206</x:v>
      </x:c>
      <x:c r="F1863" s="23" t="n">
        <x:v>5</x:v>
      </x:c>
    </x:row>
    <x:row r="1864">
      <x:c r="A1864" s="15" t="n">
        <x:v>43922</x:v>
      </x:c>
      <x:c r="B1864" s="13" t="str">
        <x:v>Pulp &amp; Paper</x:v>
      </x:c>
      <x:c r="C1864" s="16" t="n">
        <x:v>2259.1821632877</x:v>
      </x:c>
      <x:c r="D1864" s="16" t="n">
        <x:v>-3023.9866213699</x:v>
      </x:c>
      <x:c r="E1864" s="16" t="n">
        <x:v>-5283.1687846575</x:v>
      </x:c>
      <x:c r="F1864" s="23" t="n">
        <x:v>2</x:v>
      </x:c>
    </x:row>
    <x:row r="1865">
      <x:c r="A1865" s="15" t="n">
        <x:v>43922</x:v>
      </x:c>
      <x:c r="B1865" s="13" t="str">
        <x:v>Retail</x:v>
      </x:c>
      <x:c r="C1865" s="16" t="n">
        <x:v>7888.29056</x:v>
      </x:c>
      <x:c r="D1865" s="16" t="n">
        <x:v>6900.9012992877</x:v>
      </x:c>
      <x:c r="E1865" s="16" t="n">
        <x:v>-987.3892607123</x:v>
      </x:c>
      <x:c r="F1865" s="23" t="n">
        <x:v>10</x:v>
      </x:c>
    </x:row>
    <x:row r="1866">
      <x:c r="A1866" s="15" t="n">
        <x:v>43922</x:v>
      </x:c>
      <x:c r="B1866" s="13" t="str">
        <x:v>Sanitation</x:v>
      </x:c>
      <x:c r="C1866" s="16" t="n">
        <x:v>2733.4274980822</x:v>
      </x:c>
      <x:c r="D1866" s="16" t="n">
        <x:v>2781.5395243836</x:v>
      </x:c>
      <x:c r="E1866" s="16" t="n">
        <x:v>48.1120263014</x:v>
      </x:c>
      <x:c r="F1866" s="23" t="n">
        <x:v>1</x:v>
      </x:c>
    </x:row>
    <x:row r="1867">
      <x:c r="A1867" s="15" t="n">
        <x:v>43922</x:v>
      </x:c>
      <x:c r="B1867" s="13" t="str">
        <x:v>TMT</x:v>
      </x:c>
      <x:c r="C1867" s="16" t="n">
        <x:v>8811.433036274</x:v>
      </x:c>
      <x:c r="D1867" s="16" t="n">
        <x:v>8503.4601376438</x:v>
      </x:c>
      <x:c r="E1867" s="16" t="n">
        <x:v>-307.9728986301</x:v>
      </x:c>
      <x:c r="F1867" s="23" t="n">
        <x:v>4</x:v>
      </x:c>
    </x:row>
    <x:row r="1868">
      <x:c r="A1868" s="15" t="n">
        <x:v>43922</x:v>
      </x:c>
      <x:c r="B1868" s="13" t="str">
        <x:v>Transportation</x:v>
      </x:c>
      <x:c r="C1868" s="16" t="n">
        <x:v>7283.0878167671</x:v>
      </x:c>
      <x:c r="D1868" s="16" t="n">
        <x:v>3302.4707086027</x:v>
      </x:c>
      <x:c r="E1868" s="16" t="n">
        <x:v>-3980.6171081644</x:v>
      </x:c>
      <x:c r="F1868" s="23" t="n">
        <x:v>6</x:v>
      </x:c>
    </x:row>
    <x:row r="1869">
      <x:c r="A1869" s="15" t="n">
        <x:v>43922</x:v>
      </x:c>
      <x:c r="B1869" s="13" t="str">
        <x:v>Utilities &amp; Energy</x:v>
      </x:c>
      <x:c r="C1869" s="16" t="n">
        <x:v>19747.0610998356</x:v>
      </x:c>
      <x:c r="D1869" s="16" t="n">
        <x:v>21075.9750329863</x:v>
      </x:c>
      <x:c r="E1869" s="16" t="n">
        <x:v>1328.9139331507</x:v>
      </x:c>
      <x:c r="F1869" s="23" t="n">
        <x:v>7</x:v>
      </x:c>
    </x:row>
    <x:row r="1870">
      <x:c r="A1870" s="15" t="n">
        <x:v>43952</x:v>
      </x:c>
      <x:c r="B1870" s="13" t="str">
        <x:v>Banks</x:v>
      </x:c>
      <x:c r="C1870" s="16" t="n">
        <x:v>124681.2474136548</x:v>
      </x:c>
      <x:c r="D1870" s="16" t="n">
        <x:v>103216.8266948384</x:v>
      </x:c>
      <x:c r="E1870" s="16" t="n">
        <x:v>-21464.4207188164</x:v>
      </x:c>
      <x:c r="F1870" s="23" t="n">
        <x:v>6</x:v>
      </x:c>
    </x:row>
    <x:row r="1871">
      <x:c r="A1871" s="15" t="n">
        <x:v>43952</x:v>
      </x:c>
      <x:c r="B1871" s="13" t="str">
        <x:v>Capital Goods</x:v>
      </x:c>
      <x:c r="C1871" s="16" t="n">
        <x:v>2644.5426107616</x:v>
      </x:c>
      <x:c r="D1871" s="16" t="n">
        <x:v>724.5979076384</x:v>
      </x:c>
      <x:c r="E1871" s="16" t="n">
        <x:v>-1919.9447031233</x:v>
      </x:c>
      <x:c r="F1871" s="23" t="n">
        <x:v>2</x:v>
      </x:c>
    </x:row>
    <x:row r="1872">
      <x:c r="A1872" s="15" t="n">
        <x:v>43952</x:v>
      </x:c>
      <x:c r="B1872" s="13" t="str">
        <x:v>Education</x:v>
      </x:c>
      <x:c r="C1872" s="16" t="n">
        <x:v>1849.2168661918</x:v>
      </x:c>
      <x:c r="D1872" s="16" t="n">
        <x:v>1526.2693246247</x:v>
      </x:c>
      <x:c r="E1872" s="16" t="n">
        <x:v>-322.9475415671</x:v>
      </x:c>
      <x:c r="F1872" s="23" t="n">
        <x:v>2</x:v>
      </x:c>
    </x:row>
    <x:row r="1873">
      <x:c r="A1873" s="15" t="n">
        <x:v>43952</x:v>
      </x:c>
      <x:c r="B1873" s="13" t="str">
        <x:v>Financials Non-Banks</x:v>
      </x:c>
      <x:c r="C1873" s="16" t="n">
        <x:v>23635.0316070576</x:v>
      </x:c>
      <x:c r="D1873" s="16" t="n">
        <x:v>21597.8197198904</x:v>
      </x:c>
      <x:c r="E1873" s="16" t="n">
        <x:v>-2037.2118871672</x:v>
      </x:c>
      <x:c r="F1873" s="23" t="n">
        <x:v>6</x:v>
      </x:c>
    </x:row>
    <x:row r="1874">
      <x:c r="A1874" s="15" t="n">
        <x:v>43952</x:v>
      </x:c>
      <x:c r="B1874" s="13" t="str">
        <x:v>Food &amp; Beverages</x:v>
      </x:c>
      <x:c r="C1874" s="16" t="n">
        <x:v>22387.9678565698</x:v>
      </x:c>
      <x:c r="D1874" s="16" t="n">
        <x:v>17990.2217687671</x:v>
      </x:c>
      <x:c r="E1874" s="16" t="n">
        <x:v>-4397.7460878027</x:v>
      </x:c>
      <x:c r="F1874" s="23" t="n">
        <x:v>4</x:v>
      </x:c>
    </x:row>
    <x:row r="1875">
      <x:c r="A1875" s="15" t="n">
        <x:v>43952</x:v>
      </x:c>
      <x:c r="B1875" s="13" t="str">
        <x:v>Health Care</x:v>
      </x:c>
      <x:c r="C1875" s="16" t="n">
        <x:v>5342.344018937</x:v>
      </x:c>
      <x:c r="D1875" s="16" t="n">
        <x:v>4961.024075748</x:v>
      </x:c>
      <x:c r="E1875" s="16" t="n">
        <x:v>-381.319943189</x:v>
      </x:c>
      <x:c r="F1875" s="23" t="n">
        <x:v>6</x:v>
      </x:c>
    </x:row>
    <x:row r="1876">
      <x:c r="A1876" s="15" t="n">
        <x:v>43952</x:v>
      </x:c>
      <x:c r="B1876" s="13" t="str">
        <x:v>Homebuilders</x:v>
      </x:c>
      <x:c r="C1876" s="16" t="n">
        <x:v>1390.7670826082</x:v>
      </x:c>
      <x:c r="D1876" s="16" t="n">
        <x:v>922.412690411</x:v>
      </x:c>
      <x:c r="E1876" s="16" t="n">
        <x:v>-468.3543921973</x:v>
      </x:c>
      <x:c r="F1876" s="23" t="n">
        <x:v>2</x:v>
      </x:c>
    </x:row>
    <x:row r="1877">
      <x:c r="A1877" s="15" t="n">
        <x:v>43952</x:v>
      </x:c>
      <x:c r="B1877" s="13" t="str">
        <x:v>Income Properties</x:v>
      </x:c>
      <x:c r="C1877" s="16" t="n">
        <x:v>1673.7597311123</x:v>
      </x:c>
      <x:c r="D1877" s="16" t="n">
        <x:v>995.5897258082</x:v>
      </x:c>
      <x:c r="E1877" s="16" t="n">
        <x:v>-678.1700053041</x:v>
      </x:c>
      <x:c r="F1877" s="23" t="n">
        <x:v>3</x:v>
      </x:c>
    </x:row>
    <x:row r="1878">
      <x:c r="A1878" s="15" t="n">
        <x:v>43952</x:v>
      </x:c>
      <x:c r="B1878" s="13" t="str">
        <x:v>Metals &amp; Mining</x:v>
      </x:c>
      <x:c r="C1878" s="16" t="n">
        <x:v>43571.2626361863</x:v>
      </x:c>
      <x:c r="D1878" s="16" t="n">
        <x:v>41287.9285745973</x:v>
      </x:c>
      <x:c r="E1878" s="16" t="n">
        <x:v>-2283.334061589</x:v>
      </x:c>
      <x:c r="F1878" s="23" t="n">
        <x:v>5</x:v>
      </x:c>
    </x:row>
    <x:row r="1879">
      <x:c r="A1879" s="15" t="n">
        <x:v>43952</x:v>
      </x:c>
      <x:c r="B1879" s="13" t="str">
        <x:v>Oil, Gas &amp; Petrochemicals</x:v>
      </x:c>
      <x:c r="C1879" s="16" t="n">
        <x:v>41450.4468688658</x:v>
      </x:c>
      <x:c r="D1879" s="16" t="n">
        <x:v>4498.5739844384</x:v>
      </x:c>
      <x:c r="E1879" s="16" t="n">
        <x:v>-36951.8728844274</x:v>
      </x:c>
      <x:c r="F1879" s="23" t="n">
        <x:v>5</x:v>
      </x:c>
    </x:row>
    <x:row r="1880">
      <x:c r="A1880" s="15" t="n">
        <x:v>43952</x:v>
      </x:c>
      <x:c r="B1880" s="13" t="str">
        <x:v>Pulp &amp; Paper</x:v>
      </x:c>
      <x:c r="C1880" s="16" t="n">
        <x:v>2547.2479182904</x:v>
      </x:c>
      <x:c r="D1880" s="16" t="n">
        <x:v>-6226.9624586521</x:v>
      </x:c>
      <x:c r="E1880" s="16" t="n">
        <x:v>-8774.2103769425</x:v>
      </x:c>
      <x:c r="F1880" s="23" t="n">
        <x:v>2</x:v>
      </x:c>
    </x:row>
    <x:row r="1881">
      <x:c r="A1881" s="15" t="n">
        <x:v>43952</x:v>
      </x:c>
      <x:c r="B1881" s="13" t="str">
        <x:v>Retail</x:v>
      </x:c>
      <x:c r="C1881" s="16" t="n">
        <x:v>7863.7661835836</x:v>
      </x:c>
      <x:c r="D1881" s="16" t="n">
        <x:v>7002.9246489753</x:v>
      </x:c>
      <x:c r="E1881" s="16" t="n">
        <x:v>-860.8415346082</x:v>
      </x:c>
      <x:c r="F1881" s="23" t="n">
        <x:v>10</x:v>
      </x:c>
    </x:row>
    <x:row r="1882">
      <x:c r="A1882" s="15" t="n">
        <x:v>43952</x:v>
      </x:c>
      <x:c r="B1882" s="13" t="str">
        <x:v>Sanitation</x:v>
      </x:c>
      <x:c r="C1882" s="16" t="n">
        <x:v>2830.5446217644</x:v>
      </x:c>
      <x:c r="D1882" s="16" t="n">
        <x:v>2238.8222807671</x:v>
      </x:c>
      <x:c r="E1882" s="16" t="n">
        <x:v>-591.7223409973</x:v>
      </x:c>
      <x:c r="F1882" s="23" t="n">
        <x:v>1</x:v>
      </x:c>
    </x:row>
    <x:row r="1883">
      <x:c r="A1883" s="15" t="n">
        <x:v>43952</x:v>
      </x:c>
      <x:c r="B1883" s="13" t="str">
        <x:v>TMT</x:v>
      </x:c>
      <x:c r="C1883" s="16" t="n">
        <x:v>8103.2003220164</x:v>
      </x:c>
      <x:c r="D1883" s="16" t="n">
        <x:v>7676.6540587836</x:v>
      </x:c>
      <x:c r="E1883" s="16" t="n">
        <x:v>-426.5462632329</x:v>
      </x:c>
      <x:c r="F1883" s="23" t="n">
        <x:v>3</x:v>
      </x:c>
    </x:row>
    <x:row r="1884">
      <x:c r="A1884" s="15" t="n">
        <x:v>43952</x:v>
      </x:c>
      <x:c r="B1884" s="13" t="str">
        <x:v>Transportation</x:v>
      </x:c>
      <x:c r="C1884" s="16" t="n">
        <x:v>7494.5645179617</x:v>
      </x:c>
      <x:c r="D1884" s="16" t="n">
        <x:v>-1323.1699922411</x:v>
      </x:c>
      <x:c r="E1884" s="16" t="n">
        <x:v>-8817.7345102027</x:v>
      </x:c>
      <x:c r="F1884" s="23" t="n">
        <x:v>6</x:v>
      </x:c>
    </x:row>
    <x:row r="1885">
      <x:c r="A1885" s="15" t="n">
        <x:v>43952</x:v>
      </x:c>
      <x:c r="B1885" s="13" t="str">
        <x:v>Utilities &amp; Energy</x:v>
      </x:c>
      <x:c r="C1885" s="16" t="n">
        <x:v>21267.4473203726</x:v>
      </x:c>
      <x:c r="D1885" s="16" t="n">
        <x:v>19052.1473195836</x:v>
      </x:c>
      <x:c r="E1885" s="16" t="n">
        <x:v>-2215.300000789</x:v>
      </x:c>
      <x:c r="F1885" s="23" t="n">
        <x:v>7</x:v>
      </x:c>
    </x:row>
    <x:row r="1886">
      <x:c r="A1886" s="15" t="n">
        <x:v>43983</x:v>
      </x:c>
      <x:c r="B1886" s="13" t="str">
        <x:v>Banks</x:v>
      </x:c>
      <x:c r="C1886" s="16" t="n">
        <x:v>120517.0141422467</x:v>
      </x:c>
      <x:c r="D1886" s="16" t="n">
        <x:v>93088.0652077588</x:v>
      </x:c>
      <x:c r="E1886" s="16" t="n">
        <x:v>-27428.9489344879</x:v>
      </x:c>
      <x:c r="F1886" s="23" t="n">
        <x:v>6</x:v>
      </x:c>
    </x:row>
    <x:row r="1887">
      <x:c r="A1887" s="15" t="n">
        <x:v>43983</x:v>
      </x:c>
      <x:c r="B1887" s="13" t="str">
        <x:v>Capital Goods</x:v>
      </x:c>
      <x:c r="C1887" s="16" t="n">
        <x:v>2240.8526193973</x:v>
      </x:c>
      <x:c r="D1887" s="16" t="n">
        <x:v>611.8412230137</x:v>
      </x:c>
      <x:c r="E1887" s="16" t="n">
        <x:v>-1629.0113963836</x:v>
      </x:c>
      <x:c r="F1887" s="23" t="n">
        <x:v>2</x:v>
      </x:c>
    </x:row>
    <x:row r="1888">
      <x:c r="A1888" s="15" t="n">
        <x:v>43983</x:v>
      </x:c>
      <x:c r="B1888" s="13" t="str">
        <x:v>Education</x:v>
      </x:c>
      <x:c r="C1888" s="16" t="n">
        <x:v>1794.6690332055</x:v>
      </x:c>
      <x:c r="D1888" s="16" t="n">
        <x:v>1177.8075632219</x:v>
      </x:c>
      <x:c r="E1888" s="16" t="n">
        <x:v>-616.8614699836</x:v>
      </x:c>
      <x:c r="F1888" s="23" t="n">
        <x:v>2</x:v>
      </x:c>
    </x:row>
    <x:row r="1889">
      <x:c r="A1889" s="15" t="n">
        <x:v>43983</x:v>
      </x:c>
      <x:c r="B1889" s="13" t="str">
        <x:v>Financials Non-Banks</x:v>
      </x:c>
      <x:c r="C1889" s="16" t="n">
        <x:v>22923.4172317808</x:v>
      </x:c>
      <x:c r="D1889" s="16" t="n">
        <x:v>19390.8438677041</x:v>
      </x:c>
      <x:c r="E1889" s="16" t="n">
        <x:v>-3532.5733640767</x:v>
      </x:c>
      <x:c r="F1889" s="23" t="n">
        <x:v>6</x:v>
      </x:c>
    </x:row>
    <x:row r="1890">
      <x:c r="A1890" s="15" t="n">
        <x:v>43983</x:v>
      </x:c>
      <x:c r="B1890" s="13" t="str">
        <x:v>Food &amp; Beverages</x:v>
      </x:c>
      <x:c r="C1890" s="16" t="n">
        <x:v>18472.9226384657</x:v>
      </x:c>
      <x:c r="D1890" s="16" t="n">
        <x:v>17163.6788055671</x:v>
      </x:c>
      <x:c r="E1890" s="16" t="n">
        <x:v>-1309.2438328986</x:v>
      </x:c>
      <x:c r="F1890" s="23" t="n">
        <x:v>4</x:v>
      </x:c>
    </x:row>
    <x:row r="1891">
      <x:c r="A1891" s="15" t="n">
        <x:v>43983</x:v>
      </x:c>
      <x:c r="B1891" s="13" t="str">
        <x:v>Health Care</x:v>
      </x:c>
      <x:c r="C1891" s="16" t="n">
        <x:v>5344.362144</x:v>
      </x:c>
      <x:c r="D1891" s="16" t="n">
        <x:v>5062.284415211</x:v>
      </x:c>
      <x:c r="E1891" s="16" t="n">
        <x:v>-282.077728789</x:v>
      </x:c>
      <x:c r="F1891" s="23" t="n">
        <x:v>6</x:v>
      </x:c>
    </x:row>
    <x:row r="1892">
      <x:c r="A1892" s="15" t="n">
        <x:v>43983</x:v>
      </x:c>
      <x:c r="B1892" s="13" t="str">
        <x:v>Homebuilders</x:v>
      </x:c>
      <x:c r="C1892" s="16" t="n">
        <x:v>1099.1189545205</x:v>
      </x:c>
      <x:c r="D1892" s="16" t="n">
        <x:v>953.5864600548</x:v>
      </x:c>
      <x:c r="E1892" s="16" t="n">
        <x:v>-145.5324944658</x:v>
      </x:c>
      <x:c r="F1892" s="23" t="n">
        <x:v>2</x:v>
      </x:c>
    </x:row>
    <x:row r="1893">
      <x:c r="A1893" s="15" t="n">
        <x:v>43983</x:v>
      </x:c>
      <x:c r="B1893" s="13" t="str">
        <x:v>Income Properties</x:v>
      </x:c>
      <x:c r="C1893" s="16" t="n">
        <x:v>1214.3708475616</x:v>
      </x:c>
      <x:c r="D1893" s="16" t="n">
        <x:v>1071.9813973041</x:v>
      </x:c>
      <x:c r="E1893" s="16" t="n">
        <x:v>-142.3894502575</x:v>
      </x:c>
      <x:c r="F1893" s="23" t="n">
        <x:v>3</x:v>
      </x:c>
    </x:row>
    <x:row r="1894">
      <x:c r="A1894" s="15" t="n">
        <x:v>43983</x:v>
      </x:c>
      <x:c r="B1894" s="13" t="str">
        <x:v>Metals &amp; Mining</x:v>
      </x:c>
      <x:c r="C1894" s="16" t="n">
        <x:v>41673.0859313973</x:v>
      </x:c>
      <x:c r="D1894" s="16" t="n">
        <x:v>43305.1193140603</x:v>
      </x:c>
      <x:c r="E1894" s="16" t="n">
        <x:v>1632.033382663</x:v>
      </x:c>
      <x:c r="F1894" s="23" t="n">
        <x:v>5</x:v>
      </x:c>
    </x:row>
    <x:row r="1895">
      <x:c r="A1895" s="15" t="n">
        <x:v>43983</x:v>
      </x:c>
      <x:c r="B1895" s="13" t="str">
        <x:v>Oil, Gas &amp; Petrochemicals</x:v>
      </x:c>
      <x:c r="C1895" s="16" t="n">
        <x:v>17038.3655443288</x:v>
      </x:c>
      <x:c r="D1895" s="16" t="n">
        <x:v>874.9538863343</x:v>
      </x:c>
      <x:c r="E1895" s="16" t="n">
        <x:v>-16163.4116579945</x:v>
      </x:c>
      <x:c r="F1895" s="23" t="n">
        <x:v>5</x:v>
      </x:c>
    </x:row>
    <x:row r="1896">
      <x:c r="A1896" s="15" t="n">
        <x:v>43983</x:v>
      </x:c>
      <x:c r="B1896" s="13" t="str">
        <x:v>Pulp &amp; Paper</x:v>
      </x:c>
      <x:c r="C1896" s="16" t="n">
        <x:v>740.8638573151</x:v>
      </x:c>
      <x:c r="D1896" s="16" t="n">
        <x:v>-5283.2238739288</x:v>
      </x:c>
      <x:c r="E1896" s="16" t="n">
        <x:v>-6024.0877312438</x:v>
      </x:c>
      <x:c r="F1896" s="23" t="n">
        <x:v>2</x:v>
      </x:c>
    </x:row>
    <x:row r="1897">
      <x:c r="A1897" s="15" t="n">
        <x:v>43983</x:v>
      </x:c>
      <x:c r="B1897" s="13" t="str">
        <x:v>Retail</x:v>
      </x:c>
      <x:c r="C1897" s="16" t="n">
        <x:v>8853.2507480548</x:v>
      </x:c>
      <x:c r="D1897" s="16" t="n">
        <x:v>8625.2416191014</x:v>
      </x:c>
      <x:c r="E1897" s="16" t="n">
        <x:v>-228.0091289534</x:v>
      </x:c>
      <x:c r="F1897" s="23" t="n">
        <x:v>11</x:v>
      </x:c>
    </x:row>
    <x:row r="1898">
      <x:c r="A1898" s="15" t="n">
        <x:v>43983</x:v>
      </x:c>
      <x:c r="B1898" s="13" t="str">
        <x:v>Sanitation</x:v>
      </x:c>
      <x:c r="C1898" s="16" t="n">
        <x:v>2939.4216924932</x:v>
      </x:c>
      <x:c r="D1898" s="16" t="n">
        <x:v>2288.6988687781</x:v>
      </x:c>
      <x:c r="E1898" s="16" t="n">
        <x:v>-650.7228237151</x:v>
      </x:c>
      <x:c r="F1898" s="23" t="n">
        <x:v>1</x:v>
      </x:c>
    </x:row>
    <x:row r="1899">
      <x:c r="A1899" s="15" t="n">
        <x:v>43983</x:v>
      </x:c>
      <x:c r="B1899" s="13" t="str">
        <x:v>TMT</x:v>
      </x:c>
      <x:c r="C1899" s="16" t="n">
        <x:v>7940.8794191781</x:v>
      </x:c>
      <x:c r="D1899" s="16" t="n">
        <x:v>7485.7583030356</x:v>
      </x:c>
      <x:c r="E1899" s="16" t="n">
        <x:v>-455.1211161425</x:v>
      </x:c>
      <x:c r="F1899" s="23" t="n">
        <x:v>3</x:v>
      </x:c>
    </x:row>
    <x:row r="1900">
      <x:c r="A1900" s="15" t="n">
        <x:v>43983</x:v>
      </x:c>
      <x:c r="B1900" s="13" t="str">
        <x:v>Transportation</x:v>
      </x:c>
      <x:c r="C1900" s="16" t="n">
        <x:v>6261.5881630685</x:v>
      </x:c>
      <x:c r="D1900" s="16" t="n">
        <x:v>-1143.0784199014</x:v>
      </x:c>
      <x:c r="E1900" s="16" t="n">
        <x:v>-7404.6665829699</x:v>
      </x:c>
      <x:c r="F1900" s="23" t="n">
        <x:v>6</x:v>
      </x:c>
    </x:row>
    <x:row r="1901">
      <x:c r="A1901" s="15" t="n">
        <x:v>43983</x:v>
      </x:c>
      <x:c r="B1901" s="13" t="str">
        <x:v>Utilities &amp; Energy</x:v>
      </x:c>
      <x:c r="C1901" s="16" t="n">
        <x:v>21825.5773185754</x:v>
      </x:c>
      <x:c r="D1901" s="16" t="n">
        <x:v>21475.2760153425</x:v>
      </x:c>
      <x:c r="E1901" s="16" t="n">
        <x:v>-350.3013032329</x:v>
      </x:c>
      <x:c r="F1901" s="23" t="n">
        <x:v>7</x:v>
      </x:c>
    </x:row>
    <x:row r="1902">
      <x:c r="A1902" s="15" t="n">
        <x:v>44013</x:v>
      </x:c>
      <x:c r="B1902" s="13" t="str">
        <x:v>Banks</x:v>
      </x:c>
      <x:c r="C1902" s="16" t="n">
        <x:v>112743.4420778082</x:v>
      </x:c>
      <x:c r="D1902" s="16" t="n">
        <x:v>91510.3313183563</x:v>
      </x:c>
      <x:c r="E1902" s="16" t="n">
        <x:v>-21233.1107594519</x:v>
      </x:c>
      <x:c r="F1902" s="23" t="n">
        <x:v>6</x:v>
      </x:c>
    </x:row>
    <x:row r="1903">
      <x:c r="A1903" s="15" t="n">
        <x:v>44013</x:v>
      </x:c>
      <x:c r="B1903" s="13" t="str">
        <x:v>Capital Goods</x:v>
      </x:c>
      <x:c r="C1903" s="16" t="n">
        <x:v>874.7846873425</x:v>
      </x:c>
      <x:c r="D1903" s="16" t="n">
        <x:v>1005.1954779178</x:v>
      </x:c>
      <x:c r="E1903" s="16" t="n">
        <x:v>130.4107905753</x:v>
      </x:c>
      <x:c r="F1903" s="23" t="n">
        <x:v>2</x:v>
      </x:c>
    </x:row>
    <x:row r="1904">
      <x:c r="A1904" s="15" t="n">
        <x:v>44013</x:v>
      </x:c>
      <x:c r="B1904" s="13" t="str">
        <x:v>Education</x:v>
      </x:c>
      <x:c r="C1904" s="16" t="n">
        <x:v>1402.7223811507</x:v>
      </x:c>
      <x:c r="D1904" s="16" t="n">
        <x:v>882.6968687671</x:v>
      </x:c>
      <x:c r="E1904" s="16" t="n">
        <x:v>-520.0255123836</x:v>
      </x:c>
      <x:c r="F1904" s="23" t="n">
        <x:v>2</x:v>
      </x:c>
    </x:row>
    <x:row r="1905">
      <x:c r="A1905" s="15" t="n">
        <x:v>44013</x:v>
      </x:c>
      <x:c r="B1905" s="13" t="str">
        <x:v>Financials Non-Banks</x:v>
      </x:c>
      <x:c r="C1905" s="16" t="n">
        <x:v>21894.6578340822</x:v>
      </x:c>
      <x:c r="D1905" s="16" t="n">
        <x:v>18968.9700893808</x:v>
      </x:c>
      <x:c r="E1905" s="16" t="n">
        <x:v>-2925.6877447014</x:v>
      </x:c>
      <x:c r="F1905" s="23" t="n">
        <x:v>6</x:v>
      </x:c>
    </x:row>
    <x:row r="1906">
      <x:c r="A1906" s="15" t="n">
        <x:v>44013</x:v>
      </x:c>
      <x:c r="B1906" s="13" t="str">
        <x:v>Food &amp; Beverages</x:v>
      </x:c>
      <x:c r="C1906" s="16" t="n">
        <x:v>17310.0871281096</x:v>
      </x:c>
      <x:c r="D1906" s="16" t="n">
        <x:v>17448.6674304</x:v>
      </x:c>
      <x:c r="E1906" s="16" t="n">
        <x:v>138.5803022904</x:v>
      </x:c>
      <x:c r="F1906" s="23" t="n">
        <x:v>4</x:v>
      </x:c>
    </x:row>
    <x:row r="1907">
      <x:c r="A1907" s="15" t="n">
        <x:v>44013</x:v>
      </x:c>
      <x:c r="B1907" s="13" t="str">
        <x:v>Health Care</x:v>
      </x:c>
      <x:c r="C1907" s="16" t="n">
        <x:v>5228.8175644931</x:v>
      </x:c>
      <x:c r="D1907" s="16" t="n">
        <x:v>4917.2231029479</x:v>
      </x:c>
      <x:c r="E1907" s="16" t="n">
        <x:v>-311.5944615452</x:v>
      </x:c>
      <x:c r="F1907" s="23" t="n">
        <x:v>6</x:v>
      </x:c>
    </x:row>
    <x:row r="1908">
      <x:c r="A1908" s="15" t="n">
        <x:v>44013</x:v>
      </x:c>
      <x:c r="B1908" s="13" t="str">
        <x:v>Homebuilders</x:v>
      </x:c>
      <x:c r="C1908" s="16" t="n">
        <x:v>917.5261891507</x:v>
      </x:c>
      <x:c r="D1908" s="16" t="n">
        <x:v>993.6945367671</x:v>
      </x:c>
      <x:c r="E1908" s="16" t="n">
        <x:v>76.1683476164</x:v>
      </x:c>
      <x:c r="F1908" s="23" t="n">
        <x:v>2</x:v>
      </x:c>
    </x:row>
    <x:row r="1909">
      <x:c r="A1909" s="15" t="n">
        <x:v>44013</x:v>
      </x:c>
      <x:c r="B1909" s="13" t="str">
        <x:v>Income Properties</x:v>
      </x:c>
      <x:c r="C1909" s="16" t="n">
        <x:v>957.1738820822</x:v>
      </x:c>
      <x:c r="D1909" s="16" t="n">
        <x:v>1092.2132873534</x:v>
      </x:c>
      <x:c r="E1909" s="16" t="n">
        <x:v>135.0394052712</x:v>
      </x:c>
      <x:c r="F1909" s="23" t="n">
        <x:v>3</x:v>
      </x:c>
    </x:row>
    <x:row r="1910">
      <x:c r="A1910" s="15" t="n">
        <x:v>44013</x:v>
      </x:c>
      <x:c r="B1910" s="13" t="str">
        <x:v>Metals &amp; Mining</x:v>
      </x:c>
      <x:c r="C1910" s="16" t="n">
        <x:v>38206.8482836164</x:v>
      </x:c>
      <x:c r="D1910" s="16" t="n">
        <x:v>46671.0765787178</x:v>
      </x:c>
      <x:c r="E1910" s="16" t="n">
        <x:v>8464.2282951013</x:v>
      </x:c>
      <x:c r="F1910" s="23" t="n">
        <x:v>5</x:v>
      </x:c>
    </x:row>
    <x:row r="1911">
      <x:c r="A1911" s="15" t="n">
        <x:v>44013</x:v>
      </x:c>
      <x:c r="B1911" s="13" t="str">
        <x:v>Oil, Gas &amp; Petrochemicals</x:v>
      </x:c>
      <x:c r="C1911" s="16" t="n">
        <x:v>10009.4020273973</x:v>
      </x:c>
      <x:c r="D1911" s="16" t="n">
        <x:v>4772.1410318027</x:v>
      </x:c>
      <x:c r="E1911" s="16" t="n">
        <x:v>-5237.2609955945</x:v>
      </x:c>
      <x:c r="F1911" s="23" t="n">
        <x:v>5</x:v>
      </x:c>
    </x:row>
    <x:row r="1912">
      <x:c r="A1912" s="15" t="n">
        <x:v>44013</x:v>
      </x:c>
      <x:c r="B1912" s="13" t="str">
        <x:v>Pulp &amp; Paper</x:v>
      </x:c>
      <x:c r="C1912" s="16" t="n">
        <x:v>-3023.9866213699</x:v>
      </x:c>
      <x:c r="D1912" s="16" t="n">
        <x:v>-1928.7934425425</x:v>
      </x:c>
      <x:c r="E1912" s="16" t="n">
        <x:v>1095.1931788274</x:v>
      </x:c>
      <x:c r="F1912" s="23" t="n">
        <x:v>2</x:v>
      </x:c>
    </x:row>
    <x:row r="1913">
      <x:c r="A1913" s="15" t="n">
        <x:v>44013</x:v>
      </x:c>
      <x:c r="B1913" s="13" t="str">
        <x:v>Retail</x:v>
      </x:c>
      <x:c r="C1913" s="16" t="n">
        <x:v>8013.8021207671</x:v>
      </x:c>
      <x:c r="D1913" s="16" t="n">
        <x:v>8758.6904313096</x:v>
      </x:c>
      <x:c r="E1913" s="16" t="n">
        <x:v>744.8883105425</x:v>
      </x:c>
      <x:c r="F1913" s="23" t="n">
        <x:v>10</x:v>
      </x:c>
    </x:row>
    <x:row r="1914">
      <x:c r="A1914" s="15" t="n">
        <x:v>44013</x:v>
      </x:c>
      <x:c r="B1914" s="13" t="str">
        <x:v>Sanitation</x:v>
      </x:c>
      <x:c r="C1914" s="16" t="n">
        <x:v>2781.5395243836</x:v>
      </x:c>
      <x:c r="D1914" s="16" t="n">
        <x:v>2472.0538732712</x:v>
      </x:c>
      <x:c r="E1914" s="16" t="n">
        <x:v>-309.4856511123</x:v>
      </x:c>
      <x:c r="F1914" s="23" t="n">
        <x:v>1</x:v>
      </x:c>
    </x:row>
    <x:row r="1915">
      <x:c r="A1915" s="15" t="n">
        <x:v>44013</x:v>
      </x:c>
      <x:c r="B1915" s="13" t="str">
        <x:v>TMT</x:v>
      </x:c>
      <x:c r="C1915" s="16" t="n">
        <x:v>7918.5697266849</x:v>
      </x:c>
      <x:c r="D1915" s="16" t="n">
        <x:v>7102.6296734685</x:v>
      </x:c>
      <x:c r="E1915" s="16" t="n">
        <x:v>-815.9400532164</x:v>
      </x:c>
      <x:c r="F1915" s="23" t="n">
        <x:v>3</x:v>
      </x:c>
    </x:row>
    <x:row r="1916">
      <x:c r="A1916" s="15" t="n">
        <x:v>44013</x:v>
      </x:c>
      <x:c r="B1916" s="13" t="str">
        <x:v>Transportation</x:v>
      </x:c>
      <x:c r="C1916" s="16" t="n">
        <x:v>3302.4707086027</x:v>
      </x:c>
      <x:c r="D1916" s="16" t="n">
        <x:v>-895.7303209205</x:v>
      </x:c>
      <x:c r="E1916" s="16" t="n">
        <x:v>-4198.2010295233</x:v>
      </x:c>
      <x:c r="F1916" s="23" t="n">
        <x:v>6</x:v>
      </x:c>
    </x:row>
    <x:row r="1917">
      <x:c r="A1917" s="15" t="n">
        <x:v>44013</x:v>
      </x:c>
      <x:c r="B1917" s="13" t="str">
        <x:v>Utilities &amp; Energy</x:v>
      </x:c>
      <x:c r="C1917" s="16" t="n">
        <x:v>21075.9750329863</x:v>
      </x:c>
      <x:c r="D1917" s="16" t="n">
        <x:v>21304.9950823452</x:v>
      </x:c>
      <x:c r="E1917" s="16" t="n">
        <x:v>229.0200493589</x:v>
      </x:c>
      <x:c r="F1917" s="23" t="n">
        <x:v>7</x:v>
      </x:c>
    </x:row>
    <x:row r="1918">
      <x:c r="A1918" s="15" t="n">
        <x:v>44044</x:v>
      </x:c>
      <x:c r="B1918" s="13" t="str">
        <x:v>Banks</x:v>
      </x:c>
      <x:c r="C1918" s="16" t="n">
        <x:v>103216.8266948384</x:v>
      </x:c>
      <x:c r="D1918" s="16" t="n">
        <x:v>93693.1520876713</x:v>
      </x:c>
      <x:c r="E1918" s="16" t="n">
        <x:v>-9523.6746071671</x:v>
      </x:c>
      <x:c r="F1918" s="23" t="n">
        <x:v>6</x:v>
      </x:c>
    </x:row>
    <x:row r="1919">
      <x:c r="A1919" s="15" t="n">
        <x:v>44044</x:v>
      </x:c>
      <x:c r="B1919" s="13" t="str">
        <x:v>Capital Goods</x:v>
      </x:c>
      <x:c r="C1919" s="16" t="n">
        <x:v>724.5979076384</x:v>
      </x:c>
      <x:c r="D1919" s="16" t="n">
        <x:v>722.9686738411</x:v>
      </x:c>
      <x:c r="E1919" s="16" t="n">
        <x:v>-1.6292337973</x:v>
      </x:c>
      <x:c r="F1919" s="23" t="n">
        <x:v>2</x:v>
      </x:c>
    </x:row>
    <x:row r="1920">
      <x:c r="A1920" s="15" t="n">
        <x:v>44044</x:v>
      </x:c>
      <x:c r="B1920" s="13" t="str">
        <x:v>Education</x:v>
      </x:c>
      <x:c r="C1920" s="16" t="n">
        <x:v>1526.2693246247</x:v>
      </x:c>
      <x:c r="D1920" s="16" t="n">
        <x:v>608.5671227616</x:v>
      </x:c>
      <x:c r="E1920" s="16" t="n">
        <x:v>-917.702201863</x:v>
      </x:c>
      <x:c r="F1920" s="23" t="n">
        <x:v>2</x:v>
      </x:c>
    </x:row>
    <x:row r="1921">
      <x:c r="A1921" s="15" t="n">
        <x:v>44044</x:v>
      </x:c>
      <x:c r="B1921" s="13" t="str">
        <x:v>Financials Non-Banks</x:v>
      </x:c>
      <x:c r="C1921" s="16" t="n">
        <x:v>21597.8197198904</x:v>
      </x:c>
      <x:c r="D1921" s="16" t="n">
        <x:v>18641.2988042521</x:v>
      </x:c>
      <x:c r="E1921" s="16" t="n">
        <x:v>-2956.5209156383</x:v>
      </x:c>
      <x:c r="F1921" s="23" t="n">
        <x:v>6</x:v>
      </x:c>
    </x:row>
    <x:row r="1922">
      <x:c r="A1922" s="15" t="n">
        <x:v>44044</x:v>
      </x:c>
      <x:c r="B1922" s="13" t="str">
        <x:v>Food &amp; Beverages</x:v>
      </x:c>
      <x:c r="C1922" s="16" t="n">
        <x:v>18555.7565632877</x:v>
      </x:c>
      <x:c r="D1922" s="16" t="n">
        <x:v>20456.2211931178</x:v>
      </x:c>
      <x:c r="E1922" s="16" t="n">
        <x:v>1900.4646298301</x:v>
      </x:c>
      <x:c r="F1922" s="23" t="n">
        <x:v>5</x:v>
      </x:c>
    </x:row>
    <x:row r="1923">
      <x:c r="A1923" s="15" t="n">
        <x:v>44044</x:v>
      </x:c>
      <x:c r="B1923" s="13" t="str">
        <x:v>Health Care</x:v>
      </x:c>
      <x:c r="C1923" s="16" t="n">
        <x:v>4961.024075748</x:v>
      </x:c>
      <x:c r="D1923" s="16" t="n">
        <x:v>4895.8095286356</x:v>
      </x:c>
      <x:c r="E1923" s="16" t="n">
        <x:v>-65.2145471123</x:v>
      </x:c>
      <x:c r="F1923" s="23" t="n">
        <x:v>6</x:v>
      </x:c>
    </x:row>
    <x:row r="1924">
      <x:c r="A1924" s="15" t="n">
        <x:v>44044</x:v>
      </x:c>
      <x:c r="B1924" s="13" t="str">
        <x:v>Homebuilders</x:v>
      </x:c>
      <x:c r="C1924" s="16" t="n">
        <x:v>922.412690411</x:v>
      </x:c>
      <x:c r="D1924" s="16" t="n">
        <x:v>1100.2783535342</x:v>
      </x:c>
      <x:c r="E1924" s="16" t="n">
        <x:v>177.8656631233</x:v>
      </x:c>
      <x:c r="F1924" s="23" t="n">
        <x:v>2</x:v>
      </x:c>
    </x:row>
    <x:row r="1925">
      <x:c r="A1925" s="15" t="n">
        <x:v>44044</x:v>
      </x:c>
      <x:c r="B1925" s="13" t="str">
        <x:v>Income Properties</x:v>
      </x:c>
      <x:c r="C1925" s="16" t="n">
        <x:v>995.5897258082</x:v>
      </x:c>
      <x:c r="D1925" s="16" t="n">
        <x:v>1121.3985015233</x:v>
      </x:c>
      <x:c r="E1925" s="16" t="n">
        <x:v>125.8087757151</x:v>
      </x:c>
      <x:c r="F1925" s="23" t="n">
        <x:v>3</x:v>
      </x:c>
    </x:row>
    <x:row r="1926">
      <x:c r="A1926" s="15" t="n">
        <x:v>44044</x:v>
      </x:c>
      <x:c r="B1926" s="13" t="str">
        <x:v>Metals &amp; Mining</x:v>
      </x:c>
      <x:c r="C1926" s="16" t="n">
        <x:v>41287.9285745973</x:v>
      </x:c>
      <x:c r="D1926" s="16" t="n">
        <x:v>52499.9652126685</x:v>
      </x:c>
      <x:c r="E1926" s="16" t="n">
        <x:v>11212.0366380712</x:v>
      </x:c>
      <x:c r="F1926" s="23" t="n">
        <x:v>5</x:v>
      </x:c>
    </x:row>
    <x:row r="1927">
      <x:c r="A1927" s="15" t="n">
        <x:v>44044</x:v>
      </x:c>
      <x:c r="B1927" s="13" t="str">
        <x:v>Oil, Gas &amp; Petrochemicals</x:v>
      </x:c>
      <x:c r="C1927" s="16" t="n">
        <x:v>4498.5739844384</x:v>
      </x:c>
      <x:c r="D1927" s="16" t="n">
        <x:v>10244.9852465096</x:v>
      </x:c>
      <x:c r="E1927" s="16" t="n">
        <x:v>5746.4112620712</x:v>
      </x:c>
      <x:c r="F1927" s="23" t="n">
        <x:v>5</x:v>
      </x:c>
    </x:row>
    <x:row r="1928">
      <x:c r="A1928" s="15" t="n">
        <x:v>44044</x:v>
      </x:c>
      <x:c r="B1928" s="13" t="str">
        <x:v>Pulp &amp; Paper</x:v>
      </x:c>
      <x:c r="C1928" s="16" t="n">
        <x:v>-6226.9624586521</x:v>
      </x:c>
      <x:c r="D1928" s="16" t="n">
        <x:v>-62.3554009425</x:v>
      </x:c>
      <x:c r="E1928" s="16" t="n">
        <x:v>6164.6070577096</x:v>
      </x:c>
      <x:c r="F1928" s="23" t="n">
        <x:v>2</x:v>
      </x:c>
    </x:row>
    <x:row r="1929">
      <x:c r="A1929" s="15" t="n">
        <x:v>44044</x:v>
      </x:c>
      <x:c r="B1929" s="13" t="str">
        <x:v>Retail</x:v>
      </x:c>
      <x:c r="C1929" s="16" t="n">
        <x:v>8002.1613782247</x:v>
      </x:c>
      <x:c r="D1929" s="16" t="n">
        <x:v>8247.9575328219</x:v>
      </x:c>
      <x:c r="E1929" s="16" t="n">
        <x:v>245.7961545973</x:v>
      </x:c>
      <x:c r="F1929" s="23" t="n">
        <x:v>10</x:v>
      </x:c>
    </x:row>
    <x:row r="1930">
      <x:c r="A1930" s="15" t="n">
        <x:v>44044</x:v>
      </x:c>
      <x:c r="B1930" s="13" t="str">
        <x:v>Sanitation</x:v>
      </x:c>
      <x:c r="C1930" s="16" t="n">
        <x:v>2238.8222807671</x:v>
      </x:c>
      <x:c r="D1930" s="16" t="n">
        <x:v>2714.5435037808</x:v>
      </x:c>
      <x:c r="E1930" s="16" t="n">
        <x:v>475.7212230137</x:v>
      </x:c>
      <x:c r="F1930" s="23" t="n">
        <x:v>1</x:v>
      </x:c>
    </x:row>
    <x:row r="1931">
      <x:c r="A1931" s="15" t="n">
        <x:v>44044</x:v>
      </x:c>
      <x:c r="B1931" s="13" t="str">
        <x:v>TMT</x:v>
      </x:c>
      <x:c r="C1931" s="16" t="n">
        <x:v>7676.6540587836</x:v>
      </x:c>
      <x:c r="D1931" s="16" t="n">
        <x:v>7452.7329260712</x:v>
      </x:c>
      <x:c r="E1931" s="16" t="n">
        <x:v>-223.9211327123</x:v>
      </x:c>
      <x:c r="F1931" s="23" t="n">
        <x:v>3</x:v>
      </x:c>
    </x:row>
    <x:row r="1932">
      <x:c r="A1932" s="15" t="n">
        <x:v>44044</x:v>
      </x:c>
      <x:c r="B1932" s="13" t="str">
        <x:v>Transportation</x:v>
      </x:c>
      <x:c r="C1932" s="16" t="n">
        <x:v>-1323.1699922411</x:v>
      </x:c>
      <x:c r="D1932" s="16" t="n">
        <x:v>-368.7760793425</x:v>
      </x:c>
      <x:c r="E1932" s="16" t="n">
        <x:v>954.3939128986</x:v>
      </x:c>
      <x:c r="F1932" s="23" t="n">
        <x:v>6</x:v>
      </x:c>
    </x:row>
    <x:row r="1933">
      <x:c r="A1933" s="15" t="n">
        <x:v>44044</x:v>
      </x:c>
      <x:c r="B1933" s="13" t="str">
        <x:v>Utilities &amp; Energy</x:v>
      </x:c>
      <x:c r="C1933" s="16" t="n">
        <x:v>23051.4766858521</x:v>
      </x:c>
      <x:c r="D1933" s="16" t="n">
        <x:v>28004.5881824438</x:v>
      </x:c>
      <x:c r="E1933" s="16" t="n">
        <x:v>4953.1114965918</x:v>
      </x:c>
      <x:c r="F1933" s="23" t="n">
        <x:v>9</x:v>
      </x:c>
    </x:row>
    <x:row r="1934">
      <x:c r="A1934" s="15" t="n">
        <x:v>44075</x:v>
      </x:c>
      <x:c r="B1934" s="13" t="str">
        <x:v>Banks</x:v>
      </x:c>
      <x:c r="C1934" s="16" t="n">
        <x:v>93088.0652077588</x:v>
      </x:c>
      <x:c r="D1934" s="16" t="n">
        <x:v>96583.4997942356</x:v>
      </x:c>
      <x:c r="E1934" s="16" t="n">
        <x:v>3495.4345864768</x:v>
      </x:c>
      <x:c r="F1934" s="23" t="n">
        <x:v>6</x:v>
      </x:c>
    </x:row>
    <x:row r="1935">
      <x:c r="A1935" s="15" t="n">
        <x:v>44075</x:v>
      </x:c>
      <x:c r="B1935" s="13" t="str">
        <x:v>Capital Goods</x:v>
      </x:c>
      <x:c r="C1935" s="16" t="n">
        <x:v>611.8412230137</x:v>
      </x:c>
      <x:c r="D1935" s="16" t="n">
        <x:v>1033.284998137</x:v>
      </x:c>
      <x:c r="E1935" s="16" t="n">
        <x:v>421.4437751233</x:v>
      </x:c>
      <x:c r="F1935" s="23" t="n">
        <x:v>2</x:v>
      </x:c>
    </x:row>
    <x:row r="1936">
      <x:c r="A1936" s="15" t="n">
        <x:v>44075</x:v>
      </x:c>
      <x:c r="B1936" s="13" t="str">
        <x:v>Education</x:v>
      </x:c>
      <x:c r="C1936" s="16" t="n">
        <x:v>1177.8075632219</x:v>
      </x:c>
      <x:c r="D1936" s="16" t="n">
        <x:v>692.5615780822</x:v>
      </x:c>
      <x:c r="E1936" s="16" t="n">
        <x:v>-485.2459851397</x:v>
      </x:c>
      <x:c r="F1936" s="23" t="n">
        <x:v>2</x:v>
      </x:c>
    </x:row>
    <x:row r="1937">
      <x:c r="A1937" s="15" t="n">
        <x:v>44075</x:v>
      </x:c>
      <x:c r="B1937" s="13" t="str">
        <x:v>Financials Non-Banks</x:v>
      </x:c>
      <x:c r="C1937" s="16" t="n">
        <x:v>19390.8438677041</x:v>
      </x:c>
      <x:c r="D1937" s="16" t="n">
        <x:v>18736.6561880986</x:v>
      </x:c>
      <x:c r="E1937" s="16" t="n">
        <x:v>-654.1876796055</x:v>
      </x:c>
      <x:c r="F1937" s="23" t="n">
        <x:v>6</x:v>
      </x:c>
    </x:row>
    <x:row r="1938">
      <x:c r="A1938" s="15" t="n">
        <x:v>44075</x:v>
      </x:c>
      <x:c r="B1938" s="13" t="str">
        <x:v>Food &amp; Beverages</x:v>
      </x:c>
      <x:c r="C1938" s="16" t="n">
        <x:v>17705.7053650411</x:v>
      </x:c>
      <x:c r="D1938" s="16" t="n">
        <x:v>21031.034790926</x:v>
      </x:c>
      <x:c r="E1938" s="16" t="n">
        <x:v>3325.3294258849</x:v>
      </x:c>
      <x:c r="F1938" s="23" t="n">
        <x:v>5</x:v>
      </x:c>
    </x:row>
    <x:row r="1939">
      <x:c r="A1939" s="15" t="n">
        <x:v>44075</x:v>
      </x:c>
      <x:c r="B1939" s="13" t="str">
        <x:v>Health Care</x:v>
      </x:c>
      <x:c r="C1939" s="16" t="n">
        <x:v>5062.284415211</x:v>
      </x:c>
      <x:c r="D1939" s="16" t="n">
        <x:v>5118.7980338849</x:v>
      </x:c>
      <x:c r="E1939" s="16" t="n">
        <x:v>56.513618674</x:v>
      </x:c>
      <x:c r="F1939" s="23" t="n">
        <x:v>6</x:v>
      </x:c>
    </x:row>
    <x:row r="1940">
      <x:c r="A1940" s="15" t="n">
        <x:v>44075</x:v>
      </x:c>
      <x:c r="B1940" s="13" t="str">
        <x:v>Homebuilders</x:v>
      </x:c>
      <x:c r="C1940" s="16" t="n">
        <x:v>953.5864600548</x:v>
      </x:c>
      <x:c r="D1940" s="16" t="n">
        <x:v>1129.9762954521</x:v>
      </x:c>
      <x:c r="E1940" s="16" t="n">
        <x:v>176.3898353973</x:v>
      </x:c>
      <x:c r="F1940" s="23" t="n">
        <x:v>2</x:v>
      </x:c>
    </x:row>
    <x:row r="1941">
      <x:c r="A1941" s="15" t="n">
        <x:v>44075</x:v>
      </x:c>
      <x:c r="B1941" s="13" t="str">
        <x:v>Income Properties</x:v>
      </x:c>
      <x:c r="C1941" s="16" t="n">
        <x:v>1071.9813973041</x:v>
      </x:c>
      <x:c r="D1941" s="16" t="n">
        <x:v>1030.4046575342</x:v>
      </x:c>
      <x:c r="E1941" s="16" t="n">
        <x:v>-41.5767397699</x:v>
      </x:c>
      <x:c r="F1941" s="23" t="n">
        <x:v>3</x:v>
      </x:c>
    </x:row>
    <x:row r="1942">
      <x:c r="A1942" s="15" t="n">
        <x:v>44075</x:v>
      </x:c>
      <x:c r="B1942" s="13" t="str">
        <x:v>Metals &amp; Mining</x:v>
      </x:c>
      <x:c r="C1942" s="16" t="n">
        <x:v>43305.1193140603</x:v>
      </x:c>
      <x:c r="D1942" s="16" t="n">
        <x:v>61202.4197006027</x:v>
      </x:c>
      <x:c r="E1942" s="16" t="n">
        <x:v>17897.3003865425</x:v>
      </x:c>
      <x:c r="F1942" s="23" t="n">
        <x:v>5</x:v>
      </x:c>
    </x:row>
    <x:row r="1943">
      <x:c r="A1943" s="15" t="n">
        <x:v>44075</x:v>
      </x:c>
      <x:c r="B1943" s="13" t="str">
        <x:v>Oil, Gas &amp; Petrochemicals</x:v>
      </x:c>
      <x:c r="C1943" s="16" t="n">
        <x:v>874.9538863343</x:v>
      </x:c>
      <x:c r="D1943" s="16" t="n">
        <x:v>14972.1473855123</x:v>
      </x:c>
      <x:c r="E1943" s="16" t="n">
        <x:v>14097.193499178</x:v>
      </x:c>
      <x:c r="F1943" s="23" t="n">
        <x:v>5</x:v>
      </x:c>
    </x:row>
    <x:row r="1944">
      <x:c r="A1944" s="15" t="n">
        <x:v>44075</x:v>
      </x:c>
      <x:c r="B1944" s="13" t="str">
        <x:v>Pulp &amp; Paper</x:v>
      </x:c>
      <x:c r="C1944" s="16" t="n">
        <x:v>-5283.2238739288</x:v>
      </x:c>
      <x:c r="D1944" s="16" t="n">
        <x:v>1912.0930668712</x:v>
      </x:c>
      <x:c r="E1944" s="16" t="n">
        <x:v>7195.3169408</x:v>
      </x:c>
      <x:c r="F1944" s="23" t="n">
        <x:v>2</x:v>
      </x:c>
    </x:row>
    <x:row r="1945">
      <x:c r="A1945" s="15" t="n">
        <x:v>44075</x:v>
      </x:c>
      <x:c r="B1945" s="13" t="str">
        <x:v>Retail</x:v>
      </x:c>
      <x:c r="C1945" s="16" t="n">
        <x:v>8273.901893074</x:v>
      </x:c>
      <x:c r="D1945" s="16" t="n">
        <x:v>8622.4019345534</x:v>
      </x:c>
      <x:c r="E1945" s="16" t="n">
        <x:v>348.5000414795</x:v>
      </x:c>
      <x:c r="F1945" s="23" t="n">
        <x:v>10</x:v>
      </x:c>
    </x:row>
    <x:row r="1946">
      <x:c r="A1946" s="15" t="n">
        <x:v>44075</x:v>
      </x:c>
      <x:c r="B1946" s="13" t="str">
        <x:v>Sanitation</x:v>
      </x:c>
      <x:c r="C1946" s="16" t="n">
        <x:v>2288.6988687781</x:v>
      </x:c>
      <x:c r="D1946" s="16" t="n">
        <x:v>2867.2204835069</x:v>
      </x:c>
      <x:c r="E1946" s="16" t="n">
        <x:v>578.5216147288</x:v>
      </x:c>
      <x:c r="F1946" s="23" t="n">
        <x:v>1</x:v>
      </x:c>
    </x:row>
    <x:row r="1947">
      <x:c r="A1947" s="15" t="n">
        <x:v>44075</x:v>
      </x:c>
      <x:c r="B1947" s="13" t="str">
        <x:v>TMT</x:v>
      </x:c>
      <x:c r="C1947" s="16" t="n">
        <x:v>7485.7583030356</x:v>
      </x:c>
      <x:c r="D1947" s="16" t="n">
        <x:v>7529.8594400438</x:v>
      </x:c>
      <x:c r="E1947" s="16" t="n">
        <x:v>44.1011370082</x:v>
      </x:c>
      <x:c r="F1947" s="23" t="n">
        <x:v>3</x:v>
      </x:c>
    </x:row>
    <x:row r="1948">
      <x:c r="A1948" s="15" t="n">
        <x:v>44075</x:v>
      </x:c>
      <x:c r="B1948" s="13" t="str">
        <x:v>Transportation</x:v>
      </x:c>
      <x:c r="C1948" s="16" t="n">
        <x:v>-1143.0784199014</x:v>
      </x:c>
      <x:c r="D1948" s="16" t="n">
        <x:v>459.0453522411</x:v>
      </x:c>
      <x:c r="E1948" s="16" t="n">
        <x:v>1602.1237721425</x:v>
      </x:c>
      <x:c r="F1948" s="23" t="n">
        <x:v>6</x:v>
      </x:c>
    </x:row>
    <x:row r="1949">
      <x:c r="A1949" s="15" t="n">
        <x:v>44075</x:v>
      </x:c>
      <x:c r="B1949" s="13" t="str">
        <x:v>Utilities &amp; Energy</x:v>
      </x:c>
      <x:c r="C1949" s="16" t="n">
        <x:v>25733.1018115507</x:v>
      </x:c>
      <x:c r="D1949" s="16" t="n">
        <x:v>26832.7503994739</x:v>
      </x:c>
      <x:c r="E1949" s="16" t="n">
        <x:v>1099.6485879232</x:v>
      </x:c>
      <x:c r="F1949" s="23" t="n">
        <x:v>9</x:v>
      </x:c>
    </x:row>
    <x:row r="1950">
      <x:c r="A1950" s="15" t="n">
        <x:v>44105</x:v>
      </x:c>
      <x:c r="B1950" s="13" t="str">
        <x:v>Banks</x:v>
      </x:c>
      <x:c r="C1950" s="16" t="n">
        <x:v>91510.3313183563</x:v>
      </x:c>
      <x:c r="D1950" s="16" t="n">
        <x:v>100400.1243809316</x:v>
      </x:c>
      <x:c r="E1950" s="16" t="n">
        <x:v>8889.7930625753</x:v>
      </x:c>
      <x:c r="F1950" s="23" t="n">
        <x:v>6</x:v>
      </x:c>
    </x:row>
    <x:row r="1951">
      <x:c r="A1951" s="15" t="n">
        <x:v>44105</x:v>
      </x:c>
      <x:c r="B1951" s="13" t="str">
        <x:v>Capital Goods</x:v>
      </x:c>
      <x:c r="C1951" s="16" t="n">
        <x:v>1005.1954779178</x:v>
      </x:c>
      <x:c r="D1951" s="16" t="n">
        <x:v>1382.0067787397</x:v>
      </x:c>
      <x:c r="E1951" s="16" t="n">
        <x:v>376.8113008219</x:v>
      </x:c>
      <x:c r="F1951" s="23" t="n">
        <x:v>2</x:v>
      </x:c>
    </x:row>
    <x:row r="1952">
      <x:c r="A1952" s="15" t="n">
        <x:v>44105</x:v>
      </x:c>
      <x:c r="B1952" s="13" t="str">
        <x:v>Education</x:v>
      </x:c>
      <x:c r="C1952" s="16" t="n">
        <x:v>882.6968687671</x:v>
      </x:c>
      <x:c r="D1952" s="16" t="n">
        <x:v>767.1045604822</x:v>
      </x:c>
      <x:c r="E1952" s="16" t="n">
        <x:v>-115.5923082849</x:v>
      </x:c>
      <x:c r="F1952" s="23" t="n">
        <x:v>2</x:v>
      </x:c>
    </x:row>
    <x:row r="1953">
      <x:c r="A1953" s="15" t="n">
        <x:v>44105</x:v>
      </x:c>
      <x:c r="B1953" s="13" t="str">
        <x:v>Financials Non-Banks</x:v>
      </x:c>
      <x:c r="C1953" s="16" t="n">
        <x:v>18968.9700893808</x:v>
      </x:c>
      <x:c r="D1953" s="16" t="n">
        <x:v>19075.5278385096</x:v>
      </x:c>
      <x:c r="E1953" s="16" t="n">
        <x:v>106.5577491288</x:v>
      </x:c>
      <x:c r="F1953" s="23" t="n">
        <x:v>6</x:v>
      </x:c>
    </x:row>
    <x:row r="1954">
      <x:c r="A1954" s="15" t="n">
        <x:v>44105</x:v>
      </x:c>
      <x:c r="B1954" s="13" t="str">
        <x:v>Food &amp; Beverages</x:v>
      </x:c>
      <x:c r="C1954" s="16" t="n">
        <x:v>18170.2838698082</x:v>
      </x:c>
      <x:c r="D1954" s="16" t="n">
        <x:v>22100.6103653699</x:v>
      </x:c>
      <x:c r="E1954" s="16" t="n">
        <x:v>3930.3264955617</x:v>
      </x:c>
      <x:c r="F1954" s="23" t="n">
        <x:v>5</x:v>
      </x:c>
    </x:row>
    <x:row r="1955">
      <x:c r="A1955" s="15" t="n">
        <x:v>44105</x:v>
      </x:c>
      <x:c r="B1955" s="13" t="str">
        <x:v>Health Care</x:v>
      </x:c>
      <x:c r="C1955" s="16" t="n">
        <x:v>4917.2231029479</x:v>
      </x:c>
      <x:c r="D1955" s="16" t="n">
        <x:v>5154.3627022904</x:v>
      </x:c>
      <x:c r="E1955" s="16" t="n">
        <x:v>237.1395993425</x:v>
      </x:c>
      <x:c r="F1955" s="23" t="n">
        <x:v>6</x:v>
      </x:c>
    </x:row>
    <x:row r="1956">
      <x:c r="A1956" s="15" t="n">
        <x:v>44105</x:v>
      </x:c>
      <x:c r="B1956" s="13" t="str">
        <x:v>Homebuilders</x:v>
      </x:c>
      <x:c r="C1956" s="16" t="n">
        <x:v>993.6945367671</x:v>
      </x:c>
      <x:c r="D1956" s="16" t="n">
        <x:v>1072.9050655562</x:v>
      </x:c>
      <x:c r="E1956" s="16" t="n">
        <x:v>79.210528789</x:v>
      </x:c>
      <x:c r="F1956" s="23" t="n">
        <x:v>2</x:v>
      </x:c>
    </x:row>
    <x:row r="1957">
      <x:c r="A1957" s="15" t="n">
        <x:v>44105</x:v>
      </x:c>
      <x:c r="B1957" s="13" t="str">
        <x:v>Income Properties</x:v>
      </x:c>
      <x:c r="C1957" s="16" t="n">
        <x:v>1092.2132873534</x:v>
      </x:c>
      <x:c r="D1957" s="16" t="n">
        <x:v>1213.9576561973</x:v>
      </x:c>
      <x:c r="E1957" s="16" t="n">
        <x:v>121.7443688438</x:v>
      </x:c>
      <x:c r="F1957" s="23" t="n">
        <x:v>3</x:v>
      </x:c>
    </x:row>
    <x:row r="1958">
      <x:c r="A1958" s="15" t="n">
        <x:v>44105</x:v>
      </x:c>
      <x:c r="B1958" s="13" t="str">
        <x:v>Metals &amp; Mining</x:v>
      </x:c>
      <x:c r="C1958" s="16" t="n">
        <x:v>44135.5670908493</x:v>
      </x:c>
      <x:c r="D1958" s="16" t="n">
        <x:v>68731.5139538411</x:v>
      </x:c>
      <x:c r="E1958" s="16" t="n">
        <x:v>24595.9468629919</x:v>
      </x:c>
      <x:c r="F1958" s="23" t="n">
        <x:v>4</x:v>
      </x:c>
    </x:row>
    <x:row r="1959">
      <x:c r="A1959" s="15" t="n">
        <x:v>44105</x:v>
      </x:c>
      <x:c r="B1959" s="13" t="str">
        <x:v>Oil, Gas &amp; Petrochemicals</x:v>
      </x:c>
      <x:c r="C1959" s="16" t="n">
        <x:v>4772.1410318027</x:v>
      </x:c>
      <x:c r="D1959" s="16" t="n">
        <x:v>24340.5069403178</x:v>
      </x:c>
      <x:c r="E1959" s="16" t="n">
        <x:v>19568.3659085151</x:v>
      </x:c>
      <x:c r="F1959" s="23" t="n">
        <x:v>5</x:v>
      </x:c>
    </x:row>
    <x:row r="1960">
      <x:c r="A1960" s="15" t="n">
        <x:v>44105</x:v>
      </x:c>
      <x:c r="B1960" s="13" t="str">
        <x:v>Pulp &amp; Paper</x:v>
      </x:c>
      <x:c r="C1960" s="16" t="n">
        <x:v>-1928.7934425425</x:v>
      </x:c>
      <x:c r="D1960" s="16" t="n">
        <x:v>4459.7450061151</x:v>
      </x:c>
      <x:c r="E1960" s="16" t="n">
        <x:v>6388.5384486575</x:v>
      </x:c>
      <x:c r="F1960" s="23" t="n">
        <x:v>2</x:v>
      </x:c>
    </x:row>
    <x:row r="1961">
      <x:c r="A1961" s="15" t="n">
        <x:v>44105</x:v>
      </x:c>
      <x:c r="B1961" s="13" t="str">
        <x:v>Retail</x:v>
      </x:c>
      <x:c r="C1961" s="16" t="n">
        <x:v>8758.6904313096</x:v>
      </x:c>
      <x:c r="D1961" s="16" t="n">
        <x:v>8905.0914337315</x:v>
      </x:c>
      <x:c r="E1961" s="16" t="n">
        <x:v>146.4010024219</x:v>
      </x:c>
      <x:c r="F1961" s="23" t="n">
        <x:v>10</x:v>
      </x:c>
    </x:row>
    <x:row r="1962">
      <x:c r="A1962" s="15" t="n">
        <x:v>44105</x:v>
      </x:c>
      <x:c r="B1962" s="13" t="str">
        <x:v>Sanitation</x:v>
      </x:c>
      <x:c r="C1962" s="16" t="n">
        <x:v>2472.0538732712</x:v>
      </x:c>
      <x:c r="D1962" s="16" t="n">
        <x:v>2966.8734583233</x:v>
      </x:c>
      <x:c r="E1962" s="16" t="n">
        <x:v>494.8195850521</x:v>
      </x:c>
      <x:c r="F1962" s="23" t="n">
        <x:v>1</x:v>
      </x:c>
    </x:row>
    <x:row r="1963">
      <x:c r="A1963" s="15" t="n">
        <x:v>44105</x:v>
      </x:c>
      <x:c r="B1963" s="13" t="str">
        <x:v>TMT</x:v>
      </x:c>
      <x:c r="C1963" s="16" t="n">
        <x:v>7102.6296734685</x:v>
      </x:c>
      <x:c r="D1963" s="16" t="n">
        <x:v>7718.9076343233</x:v>
      </x:c>
      <x:c r="E1963" s="16" t="n">
        <x:v>616.2779608548</x:v>
      </x:c>
      <x:c r="F1963" s="23" t="n">
        <x:v>3</x:v>
      </x:c>
    </x:row>
    <x:row r="1964">
      <x:c r="A1964" s="15" t="n">
        <x:v>44105</x:v>
      </x:c>
      <x:c r="B1964" s="13" t="str">
        <x:v>Transportation</x:v>
      </x:c>
      <x:c r="C1964" s="16" t="n">
        <x:v>-895.7303209205</x:v>
      </x:c>
      <x:c r="D1964" s="16" t="n">
        <x:v>1384.1668124055</x:v>
      </x:c>
      <x:c r="E1964" s="16" t="n">
        <x:v>2279.897133326</x:v>
      </x:c>
      <x:c r="F1964" s="23" t="n">
        <x:v>6</x:v>
      </x:c>
    </x:row>
    <x:row r="1965">
      <x:c r="A1965" s="15" t="n">
        <x:v>44105</x:v>
      </x:c>
      <x:c r="B1965" s="13" t="str">
        <x:v>Utilities &amp; Energy</x:v>
      </x:c>
      <x:c r="C1965" s="16" t="n">
        <x:v>25556.2000501479</x:v>
      </x:c>
      <x:c r="D1965" s="16" t="n">
        <x:v>26274.8495433644</x:v>
      </x:c>
      <x:c r="E1965" s="16" t="n">
        <x:v>718.6494932164</x:v>
      </x:c>
      <x:c r="F1965" s="23" t="n">
        <x:v>9</x:v>
      </x:c>
    </x:row>
    <x:row r="1966">
      <x:c r="A1966" s="15" t="n">
        <x:v>44136</x:v>
      </x:c>
      <x:c r="B1966" s="13" t="str">
        <x:v>Banks</x:v>
      </x:c>
      <x:c r="C1966" s="16" t="n">
        <x:v>93693.1520876713</x:v>
      </x:c>
      <x:c r="D1966" s="16" t="n">
        <x:v>106083.3958862903</x:v>
      </x:c>
      <x:c r="E1966" s="16" t="n">
        <x:v>12390.2437986191</x:v>
      </x:c>
      <x:c r="F1966" s="23" t="n">
        <x:v>6</x:v>
      </x:c>
    </x:row>
    <x:row r="1967">
      <x:c r="A1967" s="15" t="n">
        <x:v>44136</x:v>
      </x:c>
      <x:c r="B1967" s="13" t="str">
        <x:v>Capital Goods</x:v>
      </x:c>
      <x:c r="C1967" s="16" t="n">
        <x:v>722.9686738411</x:v>
      </x:c>
      <x:c r="D1967" s="16" t="n">
        <x:v>1797.874783737</x:v>
      </x:c>
      <x:c r="E1967" s="16" t="n">
        <x:v>1074.9061098959</x:v>
      </x:c>
      <x:c r="F1967" s="23" t="n">
        <x:v>2</x:v>
      </x:c>
    </x:row>
    <x:row r="1968">
      <x:c r="A1968" s="15" t="n">
        <x:v>44136</x:v>
      </x:c>
      <x:c r="B1968" s="13" t="str">
        <x:v>Education</x:v>
      </x:c>
      <x:c r="C1968" s="16" t="n">
        <x:v>608.5671227616</x:v>
      </x:c>
      <x:c r="D1968" s="16" t="n">
        <x:v>863.327080811</x:v>
      </x:c>
      <x:c r="E1968" s="16" t="n">
        <x:v>254.7599580493</x:v>
      </x:c>
      <x:c r="F1968" s="23" t="n">
        <x:v>2</x:v>
      </x:c>
    </x:row>
    <x:row r="1969">
      <x:c r="A1969" s="15" t="n">
        <x:v>44136</x:v>
      </x:c>
      <x:c r="B1969" s="13" t="str">
        <x:v>Financials Non-Banks</x:v>
      </x:c>
      <x:c r="C1969" s="16" t="n">
        <x:v>18641.2988042521</x:v>
      </x:c>
      <x:c r="D1969" s="16" t="n">
        <x:v>19424.6203735671</x:v>
      </x:c>
      <x:c r="E1969" s="16" t="n">
        <x:v>783.3215693151</x:v>
      </x:c>
      <x:c r="F1969" s="23" t="n">
        <x:v>6</x:v>
      </x:c>
    </x:row>
    <x:row r="1970">
      <x:c r="A1970" s="15" t="n">
        <x:v>44136</x:v>
      </x:c>
      <x:c r="B1970" s="13" t="str">
        <x:v>Food &amp; Beverages</x:v>
      </x:c>
      <x:c r="C1970" s="16" t="n">
        <x:v>20456.2211931178</x:v>
      </x:c>
      <x:c r="D1970" s="16" t="n">
        <x:v>21916.8648449753</x:v>
      </x:c>
      <x:c r="E1970" s="16" t="n">
        <x:v>1460.6436518575</x:v>
      </x:c>
      <x:c r="F1970" s="23" t="n">
        <x:v>5</x:v>
      </x:c>
    </x:row>
    <x:row r="1971">
      <x:c r="A1971" s="15" t="n">
        <x:v>44136</x:v>
      </x:c>
      <x:c r="B1971" s="13" t="str">
        <x:v>Health Care</x:v>
      </x:c>
      <x:c r="C1971" s="16" t="n">
        <x:v>4895.8095286356</x:v>
      </x:c>
      <x:c r="D1971" s="16" t="n">
        <x:v>5308.3750957589</x:v>
      </x:c>
      <x:c r="E1971" s="16" t="n">
        <x:v>412.5655671233</x:v>
      </x:c>
      <x:c r="F1971" s="23" t="n">
        <x:v>6</x:v>
      </x:c>
    </x:row>
    <x:row r="1972">
      <x:c r="A1972" s="15" t="n">
        <x:v>44136</x:v>
      </x:c>
      <x:c r="B1972" s="13" t="str">
        <x:v>Homebuilders</x:v>
      </x:c>
      <x:c r="C1972" s="16" t="n">
        <x:v>1100.2783535342</x:v>
      </x:c>
      <x:c r="D1972" s="16" t="n">
        <x:v>1446.4981591671</x:v>
      </x:c>
      <x:c r="E1972" s="16" t="n">
        <x:v>346.2198056329</x:v>
      </x:c>
      <x:c r="F1972" s="23" t="n">
        <x:v>2</x:v>
      </x:c>
    </x:row>
    <x:row r="1973">
      <x:c r="A1973" s="15" t="n">
        <x:v>44136</x:v>
      </x:c>
      <x:c r="B1973" s="13" t="str">
        <x:v>Income Properties</x:v>
      </x:c>
      <x:c r="C1973" s="16" t="n">
        <x:v>1121.3985015233</x:v>
      </x:c>
      <x:c r="D1973" s="16" t="n">
        <x:v>1276.3849495233</x:v>
      </x:c>
      <x:c r="E1973" s="16" t="n">
        <x:v>154.986448</x:v>
      </x:c>
      <x:c r="F1973" s="23" t="n">
        <x:v>3</x:v>
      </x:c>
    </x:row>
    <x:row r="1974">
      <x:c r="A1974" s="15" t="n">
        <x:v>44136</x:v>
      </x:c>
      <x:c r="B1974" s="13" t="str">
        <x:v>Metals &amp; Mining</x:v>
      </x:c>
      <x:c r="C1974" s="16" t="n">
        <x:v>49905.598195989</x:v>
      </x:c>
      <x:c r="D1974" s="16" t="n">
        <x:v>73316.0067737424</x:v>
      </x:c>
      <x:c r="E1974" s="16" t="n">
        <x:v>23410.4085777534</x:v>
      </x:c>
      <x:c r="F1974" s="23" t="n">
        <x:v>4</x:v>
      </x:c>
    </x:row>
    <x:row r="1975">
      <x:c r="A1975" s="15" t="n">
        <x:v>44136</x:v>
      </x:c>
      <x:c r="B1975" s="13" t="str">
        <x:v>Oil, Gas &amp; Petrochemicals</x:v>
      </x:c>
      <x:c r="C1975" s="16" t="n">
        <x:v>10244.9852465096</x:v>
      </x:c>
      <x:c r="D1975" s="16" t="n">
        <x:v>31925.8251491945</x:v>
      </x:c>
      <x:c r="E1975" s="16" t="n">
        <x:v>21680.8399026849</x:v>
      </x:c>
      <x:c r="F1975" s="23" t="n">
        <x:v>5</x:v>
      </x:c>
    </x:row>
    <x:row r="1976">
      <x:c r="A1976" s="15" t="n">
        <x:v>44136</x:v>
      </x:c>
      <x:c r="B1976" s="13" t="str">
        <x:v>Pulp &amp; Paper</x:v>
      </x:c>
      <x:c r="C1976" s="16" t="n">
        <x:v>-62.3554009425</x:v>
      </x:c>
      <x:c r="D1976" s="16" t="n">
        <x:v>7244.900352</x:v>
      </x:c>
      <x:c r="E1976" s="16" t="n">
        <x:v>7307.2557529425</x:v>
      </x:c>
      <x:c r="F1976" s="23" t="n">
        <x:v>2</x:v>
      </x:c>
    </x:row>
    <x:row r="1977">
      <x:c r="A1977" s="15" t="n">
        <x:v>44136</x:v>
      </x:c>
      <x:c r="B1977" s="13" t="str">
        <x:v>Retail</x:v>
      </x:c>
      <x:c r="C1977" s="16" t="n">
        <x:v>8247.9575328219</x:v>
      </x:c>
      <x:c r="D1977" s="16" t="n">
        <x:v>9341.6590567452</x:v>
      </x:c>
      <x:c r="E1977" s="16" t="n">
        <x:v>1093.7015239233</x:v>
      </x:c>
      <x:c r="F1977" s="23" t="n">
        <x:v>10</x:v>
      </x:c>
    </x:row>
    <x:row r="1978">
      <x:c r="A1978" s="15" t="n">
        <x:v>44136</x:v>
      </x:c>
      <x:c r="B1978" s="13" t="str">
        <x:v>Sanitation</x:v>
      </x:c>
      <x:c r="C1978" s="16" t="n">
        <x:v>2714.5435037808</x:v>
      </x:c>
      <x:c r="D1978" s="16" t="n">
        <x:v>2802.7002154082</x:v>
      </x:c>
      <x:c r="E1978" s="16" t="n">
        <x:v>88.1567116274</x:v>
      </x:c>
      <x:c r="F1978" s="23" t="n">
        <x:v>1</x:v>
      </x:c>
    </x:row>
    <x:row r="1979">
      <x:c r="A1979" s="15" t="n">
        <x:v>44136</x:v>
      </x:c>
      <x:c r="B1979" s="13" t="str">
        <x:v>TMT</x:v>
      </x:c>
      <x:c r="C1979" s="16" t="n">
        <x:v>2206.3632336658</x:v>
      </x:c>
      <x:c r="D1979" s="16" t="n">
        <x:v>2247.5401112548</x:v>
      </x:c>
      <x:c r="E1979" s="16" t="n">
        <x:v>41.176877589</x:v>
      </x:c>
      <x:c r="F1979" s="23" t="n">
        <x:v>2</x:v>
      </x:c>
    </x:row>
    <x:row r="1980">
      <x:c r="A1980" s="15" t="n">
        <x:v>44136</x:v>
      </x:c>
      <x:c r="B1980" s="13" t="str">
        <x:v>Transportation</x:v>
      </x:c>
      <x:c r="C1980" s="16" t="n">
        <x:v>-368.7760793425</x:v>
      </x:c>
      <x:c r="D1980" s="16" t="n">
        <x:v>1768.4454622685</x:v>
      </x:c>
      <x:c r="E1980" s="16" t="n">
        <x:v>2137.221541611</x:v>
      </x:c>
      <x:c r="F1980" s="23" t="n">
        <x:v>6</x:v>
      </x:c>
    </x:row>
    <x:row r="1981">
      <x:c r="A1981" s="15" t="n">
        <x:v>44136</x:v>
      </x:c>
      <x:c r="B1981" s="13" t="str">
        <x:v>Utilities &amp; Energy</x:v>
      </x:c>
      <x:c r="C1981" s="16" t="n">
        <x:v>28004.5881824438</x:v>
      </x:c>
      <x:c r="D1981" s="16" t="n">
        <x:v>26221.1412341479</x:v>
      </x:c>
      <x:c r="E1981" s="16" t="n">
        <x:v>-1783.4469482959</x:v>
      </x:c>
      <x:c r="F1981" s="23" t="n">
        <x:v>9</x:v>
      </x:c>
    </x:row>
    <x:row r="1982">
      <x:c r="A1982" s="15" t="n">
        <x:v>44166</x:v>
      </x:c>
      <x:c r="B1982" s="13" t="str">
        <x:v>Banks</x:v>
      </x:c>
      <x:c r="C1982" s="16" t="n">
        <x:v>96583.4997942356</x:v>
      </x:c>
      <x:c r="D1982" s="16" t="n">
        <x:v>108212.402176</x:v>
      </x:c>
      <x:c r="E1982" s="16" t="n">
        <x:v>11628.9023817644</x:v>
      </x:c>
      <x:c r="F1982" s="23" t="n">
        <x:v>6</x:v>
      </x:c>
    </x:row>
    <x:row r="1983">
      <x:c r="A1983" s="15" t="n">
        <x:v>44166</x:v>
      </x:c>
      <x:c r="B1983" s="13" t="str">
        <x:v>Capital Goods</x:v>
      </x:c>
      <x:c r="C1983" s="16" t="n">
        <x:v>1033.284998137</x:v>
      </x:c>
      <x:c r="D1983" s="16" t="n">
        <x:v>2046.88</x:v>
      </x:c>
      <x:c r="E1983" s="16" t="n">
        <x:v>1013.595001863</x:v>
      </x:c>
      <x:c r="F1983" s="23" t="n">
        <x:v>2</x:v>
      </x:c>
    </x:row>
    <x:row r="1984">
      <x:c r="A1984" s="15" t="n">
        <x:v>44166</x:v>
      </x:c>
      <x:c r="B1984" s="13" t="str">
        <x:v>Education</x:v>
      </x:c>
      <x:c r="C1984" s="16" t="n">
        <x:v>692.5615780822</x:v>
      </x:c>
      <x:c r="D1984" s="16" t="n">
        <x:v>716.4</x:v>
      </x:c>
      <x:c r="E1984" s="16" t="n">
        <x:v>23.8384219178</x:v>
      </x:c>
      <x:c r="F1984" s="23" t="n">
        <x:v>2</x:v>
      </x:c>
    </x:row>
    <x:row r="1985">
      <x:c r="A1985" s="15" t="n">
        <x:v>44166</x:v>
      </x:c>
      <x:c r="B1985" s="13" t="str">
        <x:v>Financials Non-Banks</x:v>
      </x:c>
      <x:c r="C1985" s="16" t="n">
        <x:v>18736.6561880986</x:v>
      </x:c>
      <x:c r="D1985" s="16" t="n">
        <x:v>19814.80288</x:v>
      </x:c>
      <x:c r="E1985" s="16" t="n">
        <x:v>1078.1466919014</x:v>
      </x:c>
      <x:c r="F1985" s="23" t="n">
        <x:v>6</x:v>
      </x:c>
    </x:row>
    <x:row r="1986">
      <x:c r="A1986" s="15" t="n">
        <x:v>44166</x:v>
      </x:c>
      <x:c r="B1986" s="13" t="str">
        <x:v>Food &amp; Beverages</x:v>
      </x:c>
      <x:c r="C1986" s="16" t="n">
        <x:v>21031.034790926</x:v>
      </x:c>
      <x:c r="D1986" s="16" t="n">
        <x:v>22483.200448</x:v>
      </x:c>
      <x:c r="E1986" s="16" t="n">
        <x:v>1452.165657074</x:v>
      </x:c>
      <x:c r="F1986" s="23" t="n">
        <x:v>5</x:v>
      </x:c>
    </x:row>
    <x:row r="1987">
      <x:c r="A1987" s="15" t="n">
        <x:v>44166</x:v>
      </x:c>
      <x:c r="B1987" s="13" t="str">
        <x:v>Health Care</x:v>
      </x:c>
      <x:c r="C1987" s="16" t="n">
        <x:v>5118.7980338849</x:v>
      </x:c>
      <x:c r="D1987" s="16" t="n">
        <x:v>5453.899872</x:v>
      </x:c>
      <x:c r="E1987" s="16" t="n">
        <x:v>335.1018381151</x:v>
      </x:c>
      <x:c r="F1987" s="23" t="n">
        <x:v>6</x:v>
      </x:c>
    </x:row>
    <x:row r="1988">
      <x:c r="A1988" s="15" t="n">
        <x:v>44166</x:v>
      </x:c>
      <x:c r="B1988" s="13" t="str">
        <x:v>Homebuilders</x:v>
      </x:c>
      <x:c r="C1988" s="16" t="n">
        <x:v>1611.7598570959</x:v>
      </x:c>
      <x:c r="D1988" s="16" t="n">
        <x:v>2062.046976</x:v>
      </x:c>
      <x:c r="E1988" s="16" t="n">
        <x:v>450.2871189041</x:v>
      </x:c>
      <x:c r="F1988" s="23" t="n">
        <x:v>3</x:v>
      </x:c>
    </x:row>
    <x:row r="1989">
      <x:c r="A1989" s="15" t="n">
        <x:v>44166</x:v>
      </x:c>
      <x:c r="B1989" s="13" t="str">
        <x:v>Income Properties</x:v>
      </x:c>
      <x:c r="C1989" s="16" t="n">
        <x:v>1030.4046575342</x:v>
      </x:c>
      <x:c r="D1989" s="16" t="n">
        <x:v>1283.06704</x:v>
      </x:c>
      <x:c r="E1989" s="16" t="n">
        <x:v>252.6623824658</x:v>
      </x:c>
      <x:c r="F1989" s="23" t="n">
        <x:v>3</x:v>
      </x:c>
    </x:row>
    <x:row r="1990">
      <x:c r="A1990" s="15" t="n">
        <x:v>44166</x:v>
      </x:c>
      <x:c r="B1990" s="13" t="str">
        <x:v>Metals &amp; Mining</x:v>
      </x:c>
      <x:c r="C1990" s="16" t="n">
        <x:v>58551.093785074</x:v>
      </x:c>
      <x:c r="D1990" s="16" t="n">
        <x:v>77434.369536</x:v>
      </x:c>
      <x:c r="E1990" s="16" t="n">
        <x:v>18883.275750926</x:v>
      </x:c>
      <x:c r="F1990" s="23" t="n">
        <x:v>4</x:v>
      </x:c>
    </x:row>
    <x:row r="1991">
      <x:c r="A1991" s="15" t="n">
        <x:v>44166</x:v>
      </x:c>
      <x:c r="B1991" s="13" t="str">
        <x:v>Oil, Gas &amp; Petrochemicals</x:v>
      </x:c>
      <x:c r="C1991" s="16" t="n">
        <x:v>15673.3254677041</x:v>
      </x:c>
      <x:c r="D1991" s="16" t="n">
        <x:v>42365.939456</x:v>
      </x:c>
      <x:c r="E1991" s="16" t="n">
        <x:v>26692.6139882959</x:v>
      </x:c>
      <x:c r="F1991" s="23" t="n">
        <x:v>6</x:v>
      </x:c>
    </x:row>
    <x:row r="1992">
      <x:c r="A1992" s="15" t="n">
        <x:v>44166</x:v>
      </x:c>
      <x:c r="B1992" s="13" t="str">
        <x:v>Pulp &amp; Paper</x:v>
      </x:c>
      <x:c r="C1992" s="16" t="n">
        <x:v>1912.0930668712</x:v>
      </x:c>
      <x:c r="D1992" s="16" t="n">
        <x:v>9257.880064</x:v>
      </x:c>
      <x:c r="E1992" s="16" t="n">
        <x:v>7345.7869971288</x:v>
      </x:c>
      <x:c r="F1992" s="23" t="n">
        <x:v>2</x:v>
      </x:c>
    </x:row>
    <x:row r="1993">
      <x:c r="A1993" s="15" t="n">
        <x:v>44166</x:v>
      </x:c>
      <x:c r="B1993" s="13" t="str">
        <x:v>Retail</x:v>
      </x:c>
      <x:c r="C1993" s="16" t="n">
        <x:v>8622.4019345534</x:v>
      </x:c>
      <x:c r="D1993" s="16" t="n">
        <x:v>9661.385856</x:v>
      </x:c>
      <x:c r="E1993" s="16" t="n">
        <x:v>1038.9839214466</x:v>
      </x:c>
      <x:c r="F1993" s="23" t="n">
        <x:v>10</x:v>
      </x:c>
    </x:row>
    <x:row r="1994">
      <x:c r="A1994" s="15" t="n">
        <x:v>44166</x:v>
      </x:c>
      <x:c r="B1994" s="13" t="str">
        <x:v>Sanitation</x:v>
      </x:c>
      <x:c r="C1994" s="16" t="n">
        <x:v>2867.2204835069</x:v>
      </x:c>
      <x:c r="D1994" s="16" t="n">
        <x:v>2939.830016</x:v>
      </x:c>
      <x:c r="E1994" s="16" t="n">
        <x:v>72.6095324931</x:v>
      </x:c>
      <x:c r="F1994" s="23" t="n">
        <x:v>1</x:v>
      </x:c>
    </x:row>
    <x:row r="1995">
      <x:c r="A1995" s="15" t="n">
        <x:v>44166</x:v>
      </x:c>
      <x:c r="B1995" s="13" t="str">
        <x:v>TMT</x:v>
      </x:c>
      <x:c r="C1995" s="16" t="n">
        <x:v>2247.6011567342</x:v>
      </x:c>
      <x:c r="D1995" s="16" t="n">
        <x:v>2463.110016</x:v>
      </x:c>
      <x:c r="E1995" s="16" t="n">
        <x:v>215.5088592658</x:v>
      </x:c>
      <x:c r="F1995" s="23" t="n">
        <x:v>2</x:v>
      </x:c>
    </x:row>
    <x:row r="1996">
      <x:c r="A1996" s="15" t="n">
        <x:v>44166</x:v>
      </x:c>
      <x:c r="B1996" s="13" t="str">
        <x:v>Transportation</x:v>
      </x:c>
      <x:c r="C1996" s="16" t="n">
        <x:v>459.0453522411</x:v>
      </x:c>
      <x:c r="D1996" s="16" t="n">
        <x:v>2637.539936</x:v>
      </x:c>
      <x:c r="E1996" s="16" t="n">
        <x:v>2178.4945837589</x:v>
      </x:c>
      <x:c r="F1996" s="23" t="n">
        <x:v>6</x:v>
      </x:c>
    </x:row>
    <x:row r="1997">
      <x:c r="A1997" s="15" t="n">
        <x:v>44166</x:v>
      </x:c>
      <x:c r="B1997" s="13" t="str">
        <x:v>Utilities &amp; Energy</x:v>
      </x:c>
      <x:c r="C1997" s="16" t="n">
        <x:v>26832.7503994739</x:v>
      </x:c>
      <x:c r="D1997" s="16" t="n">
        <x:v>30550.390208</x:v>
      </x:c>
      <x:c r="E1997" s="16" t="n">
        <x:v>3717.639808526</x:v>
      </x:c>
      <x:c r="F1997" s="23" t="n">
        <x:v>9</x:v>
      </x:c>
    </x:row>
    <x:row r="1998">
      <x:c r="A1998" s="15" t="n">
        <x:v>44197</x:v>
      </x:c>
      <x:c r="B1998" s="13" t="str">
        <x:v>Banks</x:v>
      </x:c>
      <x:c r="C1998" s="16" t="n">
        <x:v>100400.1243809316</x:v>
      </x:c>
      <x:c r="D1998" s="16" t="n">
        <x:v>111096.7687420494</x:v>
      </x:c>
      <x:c r="E1998" s="16" t="n">
        <x:v>10696.6443611178</x:v>
      </x:c>
      <x:c r="F1998" s="23" t="n">
        <x:v>6</x:v>
      </x:c>
    </x:row>
    <x:row r="1999">
      <x:c r="A1999" s="15" t="n">
        <x:v>44197</x:v>
      </x:c>
      <x:c r="B1999" s="13" t="str">
        <x:v>Capital Goods</x:v>
      </x:c>
      <x:c r="C1999" s="16" t="n">
        <x:v>1382.0067787397</x:v>
      </x:c>
      <x:c r="D1999" s="16" t="n">
        <x:v>2233.1917103342</x:v>
      </x:c>
      <x:c r="E1999" s="16" t="n">
        <x:v>851.1849315945</x:v>
      </x:c>
      <x:c r="F1999" s="23" t="n">
        <x:v>2</x:v>
      </x:c>
    </x:row>
    <x:row r="2000">
      <x:c r="A2000" s="15" t="n">
        <x:v>44197</x:v>
      </x:c>
      <x:c r="B2000" s="13" t="str">
        <x:v>Education</x:v>
      </x:c>
      <x:c r="C2000" s="16" t="n">
        <x:v>767.1045604822</x:v>
      </x:c>
      <x:c r="D2000" s="16" t="n">
        <x:v>675.485698411</x:v>
      </x:c>
      <x:c r="E2000" s="16" t="n">
        <x:v>-91.6188620712</x:v>
      </x:c>
      <x:c r="F2000" s="23" t="n">
        <x:v>2</x:v>
      </x:c>
    </x:row>
    <x:row r="2001">
      <x:c r="A2001" s="15" t="n">
        <x:v>44197</x:v>
      </x:c>
      <x:c r="B2001" s="13" t="str">
        <x:v>Financials Non-Banks</x:v>
      </x:c>
      <x:c r="C2001" s="16" t="n">
        <x:v>19075.5278385096</x:v>
      </x:c>
      <x:c r="D2001" s="16" t="n">
        <x:v>20788.2543209205</x:v>
      </x:c>
      <x:c r="E2001" s="16" t="n">
        <x:v>1712.726482411</x:v>
      </x:c>
      <x:c r="F2001" s="23" t="n">
        <x:v>6</x:v>
      </x:c>
    </x:row>
    <x:row r="2002">
      <x:c r="A2002" s="15" t="n">
        <x:v>44197</x:v>
      </x:c>
      <x:c r="B2002" s="13" t="str">
        <x:v>Food &amp; Beverages</x:v>
      </x:c>
      <x:c r="C2002" s="16" t="n">
        <x:v>22100.6103653699</x:v>
      </x:c>
      <x:c r="D2002" s="16" t="n">
        <x:v>22610.2313412384</x:v>
      </x:c>
      <x:c r="E2002" s="16" t="n">
        <x:v>509.6209758685</x:v>
      </x:c>
      <x:c r="F2002" s="23" t="n">
        <x:v>5</x:v>
      </x:c>
    </x:row>
    <x:row r="2003">
      <x:c r="A2003" s="15" t="n">
        <x:v>44197</x:v>
      </x:c>
      <x:c r="B2003" s="13" t="str">
        <x:v>Health Care</x:v>
      </x:c>
      <x:c r="C2003" s="16" t="n">
        <x:v>5154.3627022904</x:v>
      </x:c>
      <x:c r="D2003" s="16" t="n">
        <x:v>5585.2425664877</x:v>
      </x:c>
      <x:c r="E2003" s="16" t="n">
        <x:v>430.8798641973</x:v>
      </x:c>
      <x:c r="F2003" s="23" t="n">
        <x:v>6</x:v>
      </x:c>
    </x:row>
    <x:row r="2004">
      <x:c r="A2004" s="15" t="n">
        <x:v>44197</x:v>
      </x:c>
      <x:c r="B2004" s="13" t="str">
        <x:v>Homebuilders</x:v>
      </x:c>
      <x:c r="C2004" s="16" t="n">
        <x:v>1573.3461614466</x:v>
      </x:c>
      <x:c r="D2004" s="16" t="n">
        <x:v>2117.1952157808</x:v>
      </x:c>
      <x:c r="E2004" s="16" t="n">
        <x:v>543.8490543342</x:v>
      </x:c>
      <x:c r="F2004" s="23" t="n">
        <x:v>3</x:v>
      </x:c>
    </x:row>
    <x:row r="2005">
      <x:c r="A2005" s="15" t="n">
        <x:v>44197</x:v>
      </x:c>
      <x:c r="B2005" s="13" t="str">
        <x:v>Income Properties</x:v>
      </x:c>
      <x:c r="C2005" s="16" t="n">
        <x:v>1213.9576561973</x:v>
      </x:c>
      <x:c r="D2005" s="16" t="n">
        <x:v>1240.2260260822</x:v>
      </x:c>
      <x:c r="E2005" s="16" t="n">
        <x:v>26.2683698849</x:v>
      </x:c>
      <x:c r="F2005" s="23" t="n">
        <x:v>3</x:v>
      </x:c>
    </x:row>
    <x:row r="2006">
      <x:c r="A2006" s="15" t="n">
        <x:v>44197</x:v>
      </x:c>
      <x:c r="B2006" s="13" t="str">
        <x:v>Metals &amp; Mining</x:v>
      </x:c>
      <x:c r="C2006" s="16" t="n">
        <x:v>68731.5139538411</x:v>
      </x:c>
      <x:c r="D2006" s="16" t="n">
        <x:v>97893.4391331069</x:v>
      </x:c>
      <x:c r="E2006" s="16" t="n">
        <x:v>29161.9251792657</x:v>
      </x:c>
      <x:c r="F2006" s="23" t="n">
        <x:v>4</x:v>
      </x:c>
    </x:row>
    <x:row r="2007">
      <x:c r="A2007" s="15" t="n">
        <x:v>44197</x:v>
      </x:c>
      <x:c r="B2007" s="13" t="str">
        <x:v>Oil, Gas &amp; Petrochemicals</x:v>
      </x:c>
      <x:c r="C2007" s="16" t="n">
        <x:v>25030.1398170302</x:v>
      </x:c>
      <x:c r="D2007" s="16" t="n">
        <x:v>43580.1369270356</x:v>
      </x:c>
      <x:c r="E2007" s="16" t="n">
        <x:v>18549.9971100054</x:v>
      </x:c>
      <x:c r="F2007" s="23" t="n">
        <x:v>6</x:v>
      </x:c>
    </x:row>
    <x:row r="2008">
      <x:c r="A2008" s="15" t="n">
        <x:v>44197</x:v>
      </x:c>
      <x:c r="B2008" s="13" t="str">
        <x:v>Pulp &amp; Paper</x:v>
      </x:c>
      <x:c r="C2008" s="16" t="n">
        <x:v>4459.7450061151</x:v>
      </x:c>
      <x:c r="D2008" s="16" t="n">
        <x:v>9767.4867420932</x:v>
      </x:c>
      <x:c r="E2008" s="16" t="n">
        <x:v>5307.7417359781</x:v>
      </x:c>
      <x:c r="F2008" s="23" t="n">
        <x:v>2</x:v>
      </x:c>
    </x:row>
    <x:row r="2009">
      <x:c r="A2009" s="15" t="n">
        <x:v>44197</x:v>
      </x:c>
      <x:c r="B2009" s="13" t="str">
        <x:v>Retail</x:v>
      </x:c>
      <x:c r="C2009" s="16" t="n">
        <x:v>8905.0914337315</x:v>
      </x:c>
      <x:c r="D2009" s="16" t="n">
        <x:v>9701.1064622247</x:v>
      </x:c>
      <x:c r="E2009" s="16" t="n">
        <x:v>796.0150284932</x:v>
      </x:c>
      <x:c r="F2009" s="23" t="n">
        <x:v>10</x:v>
      </x:c>
    </x:row>
    <x:row r="2010">
      <x:c r="A2010" s="15" t="n">
        <x:v>44197</x:v>
      </x:c>
      <x:c r="B2010" s="13" t="str">
        <x:v>Sanitation</x:v>
      </x:c>
      <x:c r="C2010" s="16" t="n">
        <x:v>2966.8734583233</x:v>
      </x:c>
      <x:c r="D2010" s="16" t="n">
        <x:v>2982.4964615014</x:v>
      </x:c>
      <x:c r="E2010" s="16" t="n">
        <x:v>15.6230031781</x:v>
      </x:c>
      <x:c r="F2010" s="23" t="n">
        <x:v>1</x:v>
      </x:c>
    </x:row>
    <x:row r="2011">
      <x:c r="A2011" s="15" t="n">
        <x:v>44197</x:v>
      </x:c>
      <x:c r="B2011" s="13" t="str">
        <x:v>TMT</x:v>
      </x:c>
      <x:c r="C2011" s="16" t="n">
        <x:v>2338.6458711671</x:v>
      </x:c>
      <x:c r="D2011" s="16" t="n">
        <x:v>2427.9127114521</x:v>
      </x:c>
      <x:c r="E2011" s="16" t="n">
        <x:v>89.2668402849</x:v>
      </x:c>
      <x:c r="F2011" s="23" t="n">
        <x:v>2</x:v>
      </x:c>
    </x:row>
    <x:row r="2012">
      <x:c r="A2012" s="15" t="n">
        <x:v>44197</x:v>
      </x:c>
      <x:c r="B2012" s="13" t="str">
        <x:v>Transportation</x:v>
      </x:c>
      <x:c r="C2012" s="16" t="n">
        <x:v>1384.1668124055</x:v>
      </x:c>
      <x:c r="D2012" s="16" t="n">
        <x:v>2950.6257114521</x:v>
      </x:c>
      <x:c r="E2012" s="16" t="n">
        <x:v>1566.4588990466</x:v>
      </x:c>
      <x:c r="F2012" s="23" t="n">
        <x:v>6</x:v>
      </x:c>
    </x:row>
    <x:row r="2013">
      <x:c r="A2013" s="15" t="n">
        <x:v>44197</x:v>
      </x:c>
      <x:c r="B2013" s="13" t="str">
        <x:v>Utilities &amp; Energy</x:v>
      </x:c>
      <x:c r="C2013" s="16" t="n">
        <x:v>26274.8495433644</x:v>
      </x:c>
      <x:c r="D2013" s="16" t="n">
        <x:v>30962.4905647343</x:v>
      </x:c>
      <x:c r="E2013" s="16" t="n">
        <x:v>4687.6410213699</x:v>
      </x:c>
      <x:c r="F2013" s="23" t="n">
        <x:v>9</x:v>
      </x:c>
    </x:row>
    <x:row r="2014">
      <x:c r="A2014" s="15" t="n">
        <x:v>44228</x:v>
      </x:c>
      <x:c r="B2014" s="13" t="str">
        <x:v>Banks</x:v>
      </x:c>
      <x:c r="C2014" s="16" t="n">
        <x:v>106083.3958862903</x:v>
      </x:c>
      <x:c r="D2014" s="16" t="n">
        <x:v>115522.4187847891</x:v>
      </x:c>
      <x:c r="E2014" s="16" t="n">
        <x:v>9439.0228984988</x:v>
      </x:c>
      <x:c r="F2014" s="23" t="n">
        <x:v>6</x:v>
      </x:c>
    </x:row>
    <x:row r="2015">
      <x:c r="A2015" s="15" t="n">
        <x:v>44228</x:v>
      </x:c>
      <x:c r="B2015" s="13" t="str">
        <x:v>Capital Goods</x:v>
      </x:c>
      <x:c r="C2015" s="16" t="n">
        <x:v>1797.874783737</x:v>
      </x:c>
      <x:c r="D2015" s="16" t="n">
        <x:v>2222.6572106959</x:v>
      </x:c>
      <x:c r="E2015" s="16" t="n">
        <x:v>424.7824269589</x:v>
      </x:c>
      <x:c r="F2015" s="23" t="n">
        <x:v>2</x:v>
      </x:c>
    </x:row>
    <x:row r="2016">
      <x:c r="A2016" s="15" t="n">
        <x:v>44228</x:v>
      </x:c>
      <x:c r="B2016" s="13" t="str">
        <x:v>Education</x:v>
      </x:c>
      <x:c r="C2016" s="16" t="n">
        <x:v>863.327080811</x:v>
      </x:c>
      <x:c r="D2016" s="16" t="n">
        <x:v>730.2611241205</x:v>
      </x:c>
      <x:c r="E2016" s="16" t="n">
        <x:v>-133.0659566904</x:v>
      </x:c>
      <x:c r="F2016" s="23" t="n">
        <x:v>2</x:v>
      </x:c>
    </x:row>
    <x:row r="2017">
      <x:c r="A2017" s="15" t="n">
        <x:v>44228</x:v>
      </x:c>
      <x:c r="B2017" s="13" t="str">
        <x:v>Financials Non-Banks</x:v>
      </x:c>
      <x:c r="C2017" s="16" t="n">
        <x:v>19424.6203735671</x:v>
      </x:c>
      <x:c r="D2017" s="16" t="n">
        <x:v>20763.4367046137</x:v>
      </x:c>
      <x:c r="E2017" s="16" t="n">
        <x:v>1338.8163310466</x:v>
      </x:c>
      <x:c r="F2017" s="23" t="n">
        <x:v>6</x:v>
      </x:c>
    </x:row>
    <x:row r="2018">
      <x:c r="A2018" s="15" t="n">
        <x:v>44228</x:v>
      </x:c>
      <x:c r="B2018" s="13" t="str">
        <x:v>Food &amp; Beverages</x:v>
      </x:c>
      <x:c r="C2018" s="16" t="n">
        <x:v>21916.8648449753</x:v>
      </x:c>
      <x:c r="D2018" s="16" t="n">
        <x:v>22597.0189173479</x:v>
      </x:c>
      <x:c r="E2018" s="16" t="n">
        <x:v>680.1540723726</x:v>
      </x:c>
      <x:c r="F2018" s="23" t="n">
        <x:v>5</x:v>
      </x:c>
    </x:row>
    <x:row r="2019">
      <x:c r="A2019" s="15" t="n">
        <x:v>44228</x:v>
      </x:c>
      <x:c r="B2019" s="13" t="str">
        <x:v>Health Care</x:v>
      </x:c>
      <x:c r="C2019" s="16" t="n">
        <x:v>5308.3750957589</x:v>
      </x:c>
      <x:c r="D2019" s="16" t="n">
        <x:v>5552.0348392329</x:v>
      </x:c>
      <x:c r="E2019" s="16" t="n">
        <x:v>243.659743474</x:v>
      </x:c>
      <x:c r="F2019" s="23" t="n">
        <x:v>6</x:v>
      </x:c>
    </x:row>
    <x:row r="2020">
      <x:c r="A2020" s="15" t="n">
        <x:v>44228</x:v>
      </x:c>
      <x:c r="B2020" s="13" t="str">
        <x:v>Homebuilders</x:v>
      </x:c>
      <x:c r="C2020" s="16" t="n">
        <x:v>1978.2378851945</x:v>
      </x:c>
      <x:c r="D2020" s="16" t="n">
        <x:v>2166.8641348384</x:v>
      </x:c>
      <x:c r="E2020" s="16" t="n">
        <x:v>188.6262496438</x:v>
      </x:c>
      <x:c r="F2020" s="23" t="n">
        <x:v>3</x:v>
      </x:c>
    </x:row>
    <x:row r="2021">
      <x:c r="A2021" s="15" t="n">
        <x:v>44228</x:v>
      </x:c>
      <x:c r="B2021" s="13" t="str">
        <x:v>Income Properties</x:v>
      </x:c>
      <x:c r="C2021" s="16" t="n">
        <x:v>1276.3849495233</x:v>
      </x:c>
      <x:c r="D2021" s="16" t="n">
        <x:v>1211.6190171178</x:v>
      </x:c>
      <x:c r="E2021" s="16" t="n">
        <x:v>-64.7659324055</x:v>
      </x:c>
      <x:c r="F2021" s="23" t="n">
        <x:v>3</x:v>
      </x:c>
    </x:row>
    <x:row r="2022">
      <x:c r="A2022" s="15" t="n">
        <x:v>44228</x:v>
      </x:c>
      <x:c r="B2022" s="13" t="str">
        <x:v>Metals &amp; Mining</x:v>
      </x:c>
      <x:c r="C2022" s="16" t="n">
        <x:v>73316.0067737424</x:v>
      </x:c>
      <x:c r="D2022" s="16" t="n">
        <x:v>104273.6785008219</x:v>
      </x:c>
      <x:c r="E2022" s="16" t="n">
        <x:v>30957.6717270794</x:v>
      </x:c>
      <x:c r="F2022" s="23" t="n">
        <x:v>4</x:v>
      </x:c>
    </x:row>
    <x:row r="2023">
      <x:c r="A2023" s="15" t="n">
        <x:v>44228</x:v>
      </x:c>
      <x:c r="B2023" s="13" t="str">
        <x:v>Oil, Gas &amp; Petrochemicals</x:v>
      </x:c>
      <x:c r="C2023" s="16" t="n">
        <x:v>32660.6415875507</x:v>
      </x:c>
      <x:c r="D2023" s="16" t="n">
        <x:v>48811.8291364822</x:v>
      </x:c>
      <x:c r="E2023" s="16" t="n">
        <x:v>16151.1875489315</x:v>
      </x:c>
      <x:c r="F2023" s="23" t="n">
        <x:v>6</x:v>
      </x:c>
    </x:row>
    <x:row r="2024">
      <x:c r="A2024" s="15" t="n">
        <x:v>44228</x:v>
      </x:c>
      <x:c r="B2024" s="13" t="str">
        <x:v>Pulp &amp; Paper</x:v>
      </x:c>
      <x:c r="C2024" s="16" t="n">
        <x:v>7244.900352</x:v>
      </x:c>
      <x:c r="D2024" s="16" t="n">
        <x:v>9323.5605297096</x:v>
      </x:c>
      <x:c r="E2024" s="16" t="n">
        <x:v>2078.6601777096</x:v>
      </x:c>
      <x:c r="F2024" s="23" t="n">
        <x:v>2</x:v>
      </x:c>
    </x:row>
    <x:row r="2025">
      <x:c r="A2025" s="15" t="n">
        <x:v>44228</x:v>
      </x:c>
      <x:c r="B2025" s="13" t="str">
        <x:v>Retail</x:v>
      </x:c>
      <x:c r="C2025" s="16" t="n">
        <x:v>9254.0754951014</x:v>
      </x:c>
      <x:c r="D2025" s="16" t="n">
        <x:v>10186.7398187397</x:v>
      </x:c>
      <x:c r="E2025" s="16" t="n">
        <x:v>932.6643236384</x:v>
      </x:c>
      <x:c r="F2025" s="23" t="n">
        <x:v>11</x:v>
      </x:c>
    </x:row>
    <x:row r="2026">
      <x:c r="A2026" s="15" t="n">
        <x:v>44228</x:v>
      </x:c>
      <x:c r="B2026" s="13" t="str">
        <x:v>Sanitation</x:v>
      </x:c>
      <x:c r="C2026" s="16" t="n">
        <x:v>2802.7002154082</x:v>
      </x:c>
      <x:c r="D2026" s="16" t="n">
        <x:v>3086.4454354411</x:v>
      </x:c>
      <x:c r="E2026" s="16" t="n">
        <x:v>283.7452200329</x:v>
      </x:c>
      <x:c r="F2026" s="23" t="n">
        <x:v>1</x:v>
      </x:c>
    </x:row>
    <x:row r="2027">
      <x:c r="A2027" s="15" t="n">
        <x:v>44228</x:v>
      </x:c>
      <x:c r="B2027" s="13" t="str">
        <x:v>TMT</x:v>
      </x:c>
      <x:c r="C2027" s="16" t="n">
        <x:v>2247.5401112548</x:v>
      </x:c>
      <x:c r="D2027" s="16" t="n">
        <x:v>2515.3534234301</x:v>
      </x:c>
      <x:c r="E2027" s="16" t="n">
        <x:v>267.8133121753</x:v>
      </x:c>
      <x:c r="F2027" s="23" t="n">
        <x:v>2</x:v>
      </x:c>
    </x:row>
    <x:row r="2028">
      <x:c r="A2028" s="15" t="n">
        <x:v>44228</x:v>
      </x:c>
      <x:c r="B2028" s="13" t="str">
        <x:v>Transportation</x:v>
      </x:c>
      <x:c r="C2028" s="16" t="n">
        <x:v>1768.4454622685</x:v>
      </x:c>
      <x:c r="D2028" s="16" t="n">
        <x:v>3107.0569699945</x:v>
      </x:c>
      <x:c r="E2028" s="16" t="n">
        <x:v>1338.611507726</x:v>
      </x:c>
      <x:c r="F2028" s="23" t="n">
        <x:v>6</x:v>
      </x:c>
    </x:row>
    <x:row r="2029">
      <x:c r="A2029" s="15" t="n">
        <x:v>44228</x:v>
      </x:c>
      <x:c r="B2029" s="13" t="str">
        <x:v>Utilities &amp; Energy</x:v>
      </x:c>
      <x:c r="C2029" s="16" t="n">
        <x:v>26221.1412341479</x:v>
      </x:c>
      <x:c r="D2029" s="16" t="n">
        <x:v>31252.4190548164</x:v>
      </x:c>
      <x:c r="E2029" s="16" t="n">
        <x:v>5031.2778206685</x:v>
      </x:c>
      <x:c r="F2029" s="23" t="n">
        <x:v>9</x:v>
      </x:c>
    </x:row>
    <x:row r="2030">
      <x:c r="A2030" s="15" t="n">
        <x:v>44256</x:v>
      </x:c>
      <x:c r="B2030" s="13" t="str">
        <x:v>Banks</x:v>
      </x:c>
      <x:c r="C2030" s="16" t="n">
        <x:v>108212.402176</x:v>
      </x:c>
      <x:c r="D2030" s="16" t="n">
        <x:v>116609.345816548</x:v>
      </x:c>
      <x:c r="E2030" s="16" t="n">
        <x:v>8396.943640548</x:v>
      </x:c>
      <x:c r="F2030" s="23" t="n">
        <x:v>6</x:v>
      </x:c>
    </x:row>
    <x:row r="2031">
      <x:c r="A2031" s="15" t="n">
        <x:v>44256</x:v>
      </x:c>
      <x:c r="B2031" s="13" t="str">
        <x:v>Capital Goods</x:v>
      </x:c>
      <x:c r="C2031" s="16" t="n">
        <x:v>2046.88</x:v>
      </x:c>
      <x:c r="D2031" s="16" t="n">
        <x:v>2385.2751364384</x:v>
      </x:c>
      <x:c r="E2031" s="16" t="n">
        <x:v>338.3951364384</x:v>
      </x:c>
      <x:c r="F2031" s="23" t="n">
        <x:v>2</x:v>
      </x:c>
    </x:row>
    <x:row r="2032">
      <x:c r="A2032" s="15" t="n">
        <x:v>44256</x:v>
      </x:c>
      <x:c r="B2032" s="13" t="str">
        <x:v>Education</x:v>
      </x:c>
      <x:c r="C2032" s="16" t="n">
        <x:v>716.4</x:v>
      </x:c>
      <x:c r="D2032" s="16" t="n">
        <x:v>692.5232113973</x:v>
      </x:c>
      <x:c r="E2032" s="16" t="n">
        <x:v>-23.8767886027</x:v>
      </x:c>
      <x:c r="F2032" s="23" t="n">
        <x:v>2</x:v>
      </x:c>
    </x:row>
    <x:row r="2033">
      <x:c r="A2033" s="15" t="n">
        <x:v>44256</x:v>
      </x:c>
      <x:c r="B2033" s="13" t="str">
        <x:v>Financials Non-Banks</x:v>
      </x:c>
      <x:c r="C2033" s="16" t="n">
        <x:v>19814.80288</x:v>
      </x:c>
      <x:c r="D2033" s="16" t="n">
        <x:v>21041.1718075616</x:v>
      </x:c>
      <x:c r="E2033" s="16" t="n">
        <x:v>1226.3689275616</x:v>
      </x:c>
      <x:c r="F2033" s="23" t="n">
        <x:v>6</x:v>
      </x:c>
    </x:row>
    <x:row r="2034">
      <x:c r="A2034" s="15" t="n">
        <x:v>44256</x:v>
      </x:c>
      <x:c r="B2034" s="13" t="str">
        <x:v>Food &amp; Beverages</x:v>
      </x:c>
      <x:c r="C2034" s="16" t="n">
        <x:v>22483.200448</x:v>
      </x:c>
      <x:c r="D2034" s="16" t="n">
        <x:v>23924.4831263562</x:v>
      </x:c>
      <x:c r="E2034" s="16" t="n">
        <x:v>1441.2826783562</x:v>
      </x:c>
      <x:c r="F2034" s="23" t="n">
        <x:v>5</x:v>
      </x:c>
    </x:row>
    <x:row r="2035">
      <x:c r="A2035" s="15" t="n">
        <x:v>44256</x:v>
      </x:c>
      <x:c r="B2035" s="13" t="str">
        <x:v>Health Care</x:v>
      </x:c>
      <x:c r="C2035" s="16" t="n">
        <x:v>5453.899872</x:v>
      </x:c>
      <x:c r="D2035" s="16" t="n">
        <x:v>5613.688557589</x:v>
      </x:c>
      <x:c r="E2035" s="16" t="n">
        <x:v>159.788685589</x:v>
      </x:c>
      <x:c r="F2035" s="23" t="n">
        <x:v>6</x:v>
      </x:c>
    </x:row>
    <x:row r="2036">
      <x:c r="A2036" s="15" t="n">
        <x:v>44256</x:v>
      </x:c>
      <x:c r="B2036" s="13" t="str">
        <x:v>Homebuilders</x:v>
      </x:c>
      <x:c r="C2036" s="16" t="n">
        <x:v>2062.046976</x:v>
      </x:c>
      <x:c r="D2036" s="16" t="n">
        <x:v>2221.7671232877</x:v>
      </x:c>
      <x:c r="E2036" s="16" t="n">
        <x:v>159.7201472877</x:v>
      </x:c>
      <x:c r="F2036" s="23" t="n">
        <x:v>3</x:v>
      </x:c>
    </x:row>
    <x:row r="2037">
      <x:c r="A2037" s="15" t="n">
        <x:v>44256</x:v>
      </x:c>
      <x:c r="B2037" s="13" t="str">
        <x:v>Income Properties</x:v>
      </x:c>
      <x:c r="C2037" s="16" t="n">
        <x:v>1548.06704</x:v>
      </x:c>
      <x:c r="D2037" s="16" t="n">
        <x:v>1479.355187726</x:v>
      </x:c>
      <x:c r="E2037" s="16" t="n">
        <x:v>-68.711852274</x:v>
      </x:c>
      <x:c r="F2037" s="23" t="n">
        <x:v>4</x:v>
      </x:c>
    </x:row>
    <x:row r="2038">
      <x:c r="A2038" s="15" t="n">
        <x:v>44256</x:v>
      </x:c>
      <x:c r="B2038" s="13" t="str">
        <x:v>Metals &amp; Mining</x:v>
      </x:c>
      <x:c r="C2038" s="16" t="n">
        <x:v>77434.369536</x:v>
      </x:c>
      <x:c r="D2038" s="16" t="n">
        <x:v>123356.400324384</x:v>
      </x:c>
      <x:c r="E2038" s="16" t="n">
        <x:v>45922.030788384</x:v>
      </x:c>
      <x:c r="F2038" s="23" t="n">
        <x:v>4</x:v>
      </x:c>
    </x:row>
    <x:row r="2039">
      <x:c r="A2039" s="15" t="n">
        <x:v>44256</x:v>
      </x:c>
      <x:c r="B2039" s="13" t="str">
        <x:v>Oil, Gas &amp; Petrochemicals</x:v>
      </x:c>
      <x:c r="C2039" s="16" t="n">
        <x:v>42365.939456</x:v>
      </x:c>
      <x:c r="D2039" s="16" t="n">
        <x:v>58111.5093041096</x:v>
      </x:c>
      <x:c r="E2039" s="16" t="n">
        <x:v>15745.5698481096</x:v>
      </x:c>
      <x:c r="F2039" s="23" t="n">
        <x:v>6</x:v>
      </x:c>
    </x:row>
    <x:row r="2040">
      <x:c r="A2040" s="15" t="n">
        <x:v>44256</x:v>
      </x:c>
      <x:c r="B2040" s="13" t="str">
        <x:v>Pulp &amp; Paper</x:v>
      </x:c>
      <x:c r="C2040" s="16" t="n">
        <x:v>9257.880064</x:v>
      </x:c>
      <x:c r="D2040" s="16" t="n">
        <x:v>12532.6444046027</x:v>
      </x:c>
      <x:c r="E2040" s="16" t="n">
        <x:v>3274.7643406027</x:v>
      </x:c>
      <x:c r="F2040" s="23" t="n">
        <x:v>2</x:v>
      </x:c>
    </x:row>
    <x:row r="2041">
      <x:c r="A2041" s="15" t="n">
        <x:v>44256</x:v>
      </x:c>
      <x:c r="B2041" s="13" t="str">
        <x:v>Retail</x:v>
      </x:c>
      <x:c r="C2041" s="16" t="n">
        <x:v>9661.385856</x:v>
      </x:c>
      <x:c r="D2041" s="16" t="n">
        <x:v>9011.5447896986</x:v>
      </x:c>
      <x:c r="E2041" s="16" t="n">
        <x:v>-649.8410663014</x:v>
      </x:c>
      <x:c r="F2041" s="23" t="n">
        <x:v>10</x:v>
      </x:c>
    </x:row>
    <x:row r="2042">
      <x:c r="A2042" s="15" t="n">
        <x:v>44256</x:v>
      </x:c>
      <x:c r="B2042" s="13" t="str">
        <x:v>Sanitation</x:v>
      </x:c>
      <x:c r="C2042" s="16" t="n">
        <x:v>2939.830016</x:v>
      </x:c>
      <x:c r="D2042" s="16" t="n">
        <x:v>3130.8191456438</x:v>
      </x:c>
      <x:c r="E2042" s="16" t="n">
        <x:v>190.9891296438</x:v>
      </x:c>
      <x:c r="F2042" s="23" t="n">
        <x:v>1</x:v>
      </x:c>
    </x:row>
    <x:row r="2043">
      <x:c r="A2043" s="15" t="n">
        <x:v>44256</x:v>
      </x:c>
      <x:c r="B2043" s="13" t="str">
        <x:v>TMT</x:v>
      </x:c>
      <x:c r="C2043" s="16" t="n">
        <x:v>2463.110016</x:v>
      </x:c>
      <x:c r="D2043" s="16" t="n">
        <x:v>2664.5053553973</x:v>
      </x:c>
      <x:c r="E2043" s="16" t="n">
        <x:v>201.3953393973</x:v>
      </x:c>
      <x:c r="F2043" s="23" t="n">
        <x:v>2</x:v>
      </x:c>
    </x:row>
    <x:row r="2044">
      <x:c r="A2044" s="15" t="n">
        <x:v>44256</x:v>
      </x:c>
      <x:c r="B2044" s="13" t="str">
        <x:v>Transportation</x:v>
      </x:c>
      <x:c r="C2044" s="16" t="n">
        <x:v>3213.289952</x:v>
      </x:c>
      <x:c r="D2044" s="16" t="n">
        <x:v>2547.6317689863</x:v>
      </x:c>
      <x:c r="E2044" s="16" t="n">
        <x:v>-665.6581830137</x:v>
      </x:c>
      <x:c r="F2044" s="23" t="n">
        <x:v>7</x:v>
      </x:c>
    </x:row>
    <x:row r="2045">
      <x:c r="A2045" s="15" t="n">
        <x:v>44256</x:v>
      </x:c>
      <x:c r="B2045" s="13" t="str">
        <x:v>Utilities &amp; Energy</x:v>
      </x:c>
      <x:c r="C2045" s="16" t="n">
        <x:v>34287.590272</x:v>
      </x:c>
      <x:c r="D2045" s="16" t="n">
        <x:v>35661.9909523288</x:v>
      </x:c>
      <x:c r="E2045" s="16" t="n">
        <x:v>1374.4006803288</x:v>
      </x:c>
      <x:c r="F2045" s="23" t="n">
        <x:v>11</x:v>
      </x:c>
    </x:row>
    <x:row r="2046">
      <x:c r="A2046" s="15" t="n">
        <x:v>44287</x:v>
      </x:c>
      <x:c r="B2046" s="13" t="str">
        <x:v>Banks</x:v>
      </x:c>
      <x:c r="C2046" s="16" t="n">
        <x:v>111096.7687420494</x:v>
      </x:c>
      <x:c r="D2046" s="16" t="n">
        <x:v>116603.769414137</x:v>
      </x:c>
      <x:c r="E2046" s="16" t="n">
        <x:v>5507.0006720876</x:v>
      </x:c>
      <x:c r="F2046" s="23" t="n">
        <x:v>6</x:v>
      </x:c>
    </x:row>
    <x:row r="2047">
      <x:c r="A2047" s="15" t="n">
        <x:v>44287</x:v>
      </x:c>
      <x:c r="B2047" s="13" t="str">
        <x:v>Capital Goods</x:v>
      </x:c>
      <x:c r="C2047" s="16" t="n">
        <x:v>2233.1917103342</x:v>
      </x:c>
      <x:c r="D2047" s="16" t="n">
        <x:v>2628.6988230137</x:v>
      </x:c>
      <x:c r="E2047" s="16" t="n">
        <x:v>395.5071126794</x:v>
      </x:c>
      <x:c r="F2047" s="23" t="n">
        <x:v>2</x:v>
      </x:c>
    </x:row>
    <x:row r="2048">
      <x:c r="A2048" s="15" t="n">
        <x:v>44287</x:v>
      </x:c>
      <x:c r="B2048" s="13" t="str">
        <x:v>Education</x:v>
      </x:c>
      <x:c r="C2048" s="16" t="n">
        <x:v>675.485698411</x:v>
      </x:c>
      <x:c r="D2048" s="16" t="n">
        <x:v>664.4176667945</x:v>
      </x:c>
      <x:c r="E2048" s="16" t="n">
        <x:v>-11.0680316164</x:v>
      </x:c>
      <x:c r="F2048" s="23" t="n">
        <x:v>2</x:v>
      </x:c>
    </x:row>
    <x:row r="2049">
      <x:c r="A2049" s="15" t="n">
        <x:v>44287</x:v>
      </x:c>
      <x:c r="B2049" s="13" t="str">
        <x:v>Financials Non-Banks</x:v>
      </x:c>
      <x:c r="C2049" s="16" t="n">
        <x:v>20788.2543209205</x:v>
      </x:c>
      <x:c r="D2049" s="16" t="n">
        <x:v>21331.8973808219</x:v>
      </x:c>
      <x:c r="E2049" s="16" t="n">
        <x:v>543.6430599014</x:v>
      </x:c>
      <x:c r="F2049" s="23" t="n">
        <x:v>6</x:v>
      </x:c>
    </x:row>
    <x:row r="2050">
      <x:c r="A2050" s="15" t="n">
        <x:v>44287</x:v>
      </x:c>
      <x:c r="B2050" s="13" t="str">
        <x:v>Food &amp; Beverages</x:v>
      </x:c>
      <x:c r="C2050" s="16" t="n">
        <x:v>22610.2313412384</x:v>
      </x:c>
      <x:c r="D2050" s="16" t="n">
        <x:v>25057.8695171507</x:v>
      </x:c>
      <x:c r="E2050" s="16" t="n">
        <x:v>2447.6381759123</x:v>
      </x:c>
      <x:c r="F2050" s="23" t="n">
        <x:v>5</x:v>
      </x:c>
    </x:row>
    <x:row r="2051">
      <x:c r="A2051" s="15" t="n">
        <x:v>44287</x:v>
      </x:c>
      <x:c r="B2051" s="13" t="str">
        <x:v>Health Care</x:v>
      </x:c>
      <x:c r="C2051" s="16" t="n">
        <x:v>5585.2425664877</x:v>
      </x:c>
      <x:c r="D2051" s="16" t="n">
        <x:v>5616.7370183014</x:v>
      </x:c>
      <x:c r="E2051" s="16" t="n">
        <x:v>31.4944518137</x:v>
      </x:c>
      <x:c r="F2051" s="23" t="n">
        <x:v>6</x:v>
      </x:c>
    </x:row>
    <x:row r="2052">
      <x:c r="A2052" s="15" t="n">
        <x:v>44287</x:v>
      </x:c>
      <x:c r="B2052" s="13" t="str">
        <x:v>Homebuilders</x:v>
      </x:c>
      <x:c r="C2052" s="16" t="n">
        <x:v>2117.1952157808</x:v>
      </x:c>
      <x:c r="D2052" s="16" t="n">
        <x:v>2359.7623609863</x:v>
      </x:c>
      <x:c r="E2052" s="16" t="n">
        <x:v>242.5671452055</x:v>
      </x:c>
      <x:c r="F2052" s="23" t="n">
        <x:v>3</x:v>
      </x:c>
    </x:row>
    <x:row r="2053">
      <x:c r="A2053" s="15" t="n">
        <x:v>44287</x:v>
      </x:c>
      <x:c r="B2053" s="13" t="str">
        <x:v>Income Properties</x:v>
      </x:c>
      <x:c r="C2053" s="16" t="n">
        <x:v>1518.8917795069</x:v>
      </x:c>
      <x:c r="D2053" s="16" t="n">
        <x:v>1412.0396138082</x:v>
      </x:c>
      <x:c r="E2053" s="16" t="n">
        <x:v>-106.8521656986</x:v>
      </x:c>
      <x:c r="F2053" s="23" t="n">
        <x:v>4</x:v>
      </x:c>
    </x:row>
    <x:row r="2054">
      <x:c r="A2054" s="15" t="n">
        <x:v>44287</x:v>
      </x:c>
      <x:c r="B2054" s="13" t="str">
        <x:v>Metals &amp; Mining</x:v>
      </x:c>
      <x:c r="C2054" s="16" t="n">
        <x:v>99310.554206685</x:v>
      </x:c>
      <x:c r="D2054" s="16" t="n">
        <x:v>137589.135040877</x:v>
      </x:c>
      <x:c r="E2054" s="16" t="n">
        <x:v>38278.5808341921</x:v>
      </x:c>
      <x:c r="F2054" s="23" t="n">
        <x:v>5</x:v>
      </x:c>
    </x:row>
    <x:row r="2055">
      <x:c r="A2055" s="15" t="n">
        <x:v>44287</x:v>
      </x:c>
      <x:c r="B2055" s="13" t="str">
        <x:v>Oil, Gas &amp; Petrochemicals</x:v>
      </x:c>
      <x:c r="C2055" s="16" t="n">
        <x:v>43580.1369270356</x:v>
      </x:c>
      <x:c r="D2055" s="16" t="n">
        <x:v>74619.0399175891</x:v>
      </x:c>
      <x:c r="E2055" s="16" t="n">
        <x:v>31038.9029905535</x:v>
      </x:c>
      <x:c r="F2055" s="23" t="n">
        <x:v>6</x:v>
      </x:c>
    </x:row>
    <x:row r="2056">
      <x:c r="A2056" s="15" t="n">
        <x:v>44287</x:v>
      </x:c>
      <x:c r="B2056" s="13" t="str">
        <x:v>Pulp &amp; Paper</x:v>
      </x:c>
      <x:c r="C2056" s="16" t="n">
        <x:v>9767.4867420932</x:v>
      </x:c>
      <x:c r="D2056" s="16" t="n">
        <x:v>13907.9029724931</x:v>
      </x:c>
      <x:c r="E2056" s="16" t="n">
        <x:v>4140.4162304</x:v>
      </x:c>
      <x:c r="F2056" s="23" t="n">
        <x:v>2</x:v>
      </x:c>
    </x:row>
    <x:row r="2057">
      <x:c r="A2057" s="15" t="n">
        <x:v>44287</x:v>
      </x:c>
      <x:c r="B2057" s="13" t="str">
        <x:v>Retail</x:v>
      </x:c>
      <x:c r="C2057" s="16" t="n">
        <x:v>9701.1064622247</x:v>
      </x:c>
      <x:c r="D2057" s="16" t="n">
        <x:v>8855.601580274</x:v>
      </x:c>
      <x:c r="E2057" s="16" t="n">
        <x:v>-845.5048819507</x:v>
      </x:c>
      <x:c r="F2057" s="23" t="n">
        <x:v>10</x:v>
      </x:c>
    </x:row>
    <x:row r="2058">
      <x:c r="A2058" s="15" t="n">
        <x:v>44287</x:v>
      </x:c>
      <x:c r="B2058" s="13" t="str">
        <x:v>Sanitation</x:v>
      </x:c>
      <x:c r="C2058" s="16" t="n">
        <x:v>2982.4964615014</x:v>
      </x:c>
      <x:c r="D2058" s="16" t="n">
        <x:v>3357.376813589</x:v>
      </x:c>
      <x:c r="E2058" s="16" t="n">
        <x:v>374.8803520877</x:v>
      </x:c>
      <x:c r="F2058" s="23" t="n">
        <x:v>1</x:v>
      </x:c>
    </x:row>
    <x:row r="2059">
      <x:c r="A2059" s="15" t="n">
        <x:v>44287</x:v>
      </x:c>
      <x:c r="B2059" s="13" t="str">
        <x:v>TMT</x:v>
      </x:c>
      <x:c r="C2059" s="16" t="n">
        <x:v>2427.9127114521</x:v>
      </x:c>
      <x:c r="D2059" s="16" t="n">
        <x:v>2870.8246356164</x:v>
      </x:c>
      <x:c r="E2059" s="16" t="n">
        <x:v>442.9119241644</x:v>
      </x:c>
      <x:c r="F2059" s="23" t="n">
        <x:v>2</x:v>
      </x:c>
    </x:row>
    <x:row r="2060">
      <x:c r="A2060" s="15" t="n">
        <x:v>44287</x:v>
      </x:c>
      <x:c r="B2060" s="13" t="str">
        <x:v>Transportation</x:v>
      </x:c>
      <x:c r="C2060" s="16" t="n">
        <x:v>3547.3558385315</x:v>
      </x:c>
      <x:c r="D2060" s="16" t="n">
        <x:v>2392.6043313973</x:v>
      </x:c>
      <x:c r="E2060" s="16" t="n">
        <x:v>-1154.7515071343</x:v>
      </x:c>
      <x:c r="F2060" s="23" t="n">
        <x:v>7</x:v>
      </x:c>
    </x:row>
    <x:row r="2061">
      <x:c r="A2061" s="15" t="n">
        <x:v>44287</x:v>
      </x:c>
      <x:c r="B2061" s="13" t="str">
        <x:v>Utilities &amp; Energy</x:v>
      </x:c>
      <x:c r="C2061" s="16" t="n">
        <x:v>34381.3822271123</x:v>
      </x:c>
      <x:c r="D2061" s="16" t="n">
        <x:v>35297.8227515616</x:v>
      </x:c>
      <x:c r="E2061" s="16" t="n">
        <x:v>916.4405244493</x:v>
      </x:c>
      <x:c r="F2061" s="23" t="n">
        <x:v>11</x:v>
      </x:c>
    </x:row>
    <x:row r="2062">
      <x:c r="A2062" s="15" t="n">
        <x:v>44317</x:v>
      </x:c>
      <x:c r="B2062" s="13" t="str">
        <x:v>Banks</x:v>
      </x:c>
      <x:c r="C2062" s="16" t="n">
        <x:v>115522.4187847891</x:v>
      </x:c>
      <x:c r="D2062" s="16" t="n">
        <x:v>119841.2703870246</x:v>
      </x:c>
      <x:c r="E2062" s="16" t="n">
        <x:v>4318.8516022355</x:v>
      </x:c>
      <x:c r="F2062" s="23" t="n">
        <x:v>6</x:v>
      </x:c>
    </x:row>
    <x:row r="2063">
      <x:c r="A2063" s="15" t="n">
        <x:v>44317</x:v>
      </x:c>
      <x:c r="B2063" s="13" t="str">
        <x:v>Capital Goods</x:v>
      </x:c>
      <x:c r="C2063" s="16" t="n">
        <x:v>2222.6572106959</x:v>
      </x:c>
      <x:c r="D2063" s="16" t="n">
        <x:v>2786.484352263</x:v>
      </x:c>
      <x:c r="E2063" s="16" t="n">
        <x:v>563.8271415671</x:v>
      </x:c>
      <x:c r="F2063" s="23" t="n">
        <x:v>2</x:v>
      </x:c>
    </x:row>
    <x:row r="2064">
      <x:c r="A2064" s="15" t="n">
        <x:v>44317</x:v>
      </x:c>
      <x:c r="B2064" s="13" t="str">
        <x:v>Education</x:v>
      </x:c>
      <x:c r="C2064" s="16" t="n">
        <x:v>730.2611241205</x:v>
      </x:c>
      <x:c r="D2064" s="16" t="n">
        <x:v>605.423555726</x:v>
      </x:c>
      <x:c r="E2064" s="16" t="n">
        <x:v>-124.8375683945</x:v>
      </x:c>
      <x:c r="F2064" s="23" t="n">
        <x:v>2</x:v>
      </x:c>
    </x:row>
    <x:row r="2065">
      <x:c r="A2065" s="15" t="n">
        <x:v>44317</x:v>
      </x:c>
      <x:c r="B2065" s="13" t="str">
        <x:v>Financials Non-Banks</x:v>
      </x:c>
      <x:c r="C2065" s="16" t="n">
        <x:v>20763.4367046137</x:v>
      </x:c>
      <x:c r="D2065" s="16" t="n">
        <x:v>21383.0174414904</x:v>
      </x:c>
      <x:c r="E2065" s="16" t="n">
        <x:v>619.5807368767</x:v>
      </x:c>
      <x:c r="F2065" s="23" t="n">
        <x:v>6</x:v>
      </x:c>
    </x:row>
    <x:row r="2066">
      <x:c r="A2066" s="15" t="n">
        <x:v>44317</x:v>
      </x:c>
      <x:c r="B2066" s="13" t="str">
        <x:v>Food &amp; Beverages</x:v>
      </x:c>
      <x:c r="C2066" s="16" t="n">
        <x:v>22142.6463146082</x:v>
      </x:c>
      <x:c r="D2066" s="16" t="n">
        <x:v>24421.5904098192</x:v>
      </x:c>
      <x:c r="E2066" s="16" t="n">
        <x:v>2278.9440952109</x:v>
      </x:c>
      <x:c r="F2066" s="23" t="n">
        <x:v>4</x:v>
      </x:c>
    </x:row>
    <x:row r="2067">
      <x:c r="A2067" s="15" t="n">
        <x:v>44317</x:v>
      </x:c>
      <x:c r="B2067" s="13" t="str">
        <x:v>Health Care</x:v>
      </x:c>
      <x:c r="C2067" s="16" t="n">
        <x:v>5552.0348392329</x:v>
      </x:c>
      <x:c r="D2067" s="16" t="n">
        <x:v>5434.8546828274</x:v>
      </x:c>
      <x:c r="E2067" s="16" t="n">
        <x:v>-117.1801564055</x:v>
      </x:c>
      <x:c r="F2067" s="23" t="n">
        <x:v>6</x:v>
      </x:c>
    </x:row>
    <x:row r="2068">
      <x:c r="A2068" s="15" t="n">
        <x:v>44317</x:v>
      </x:c>
      <x:c r="B2068" s="13" t="str">
        <x:v>Homebuilders</x:v>
      </x:c>
      <x:c r="C2068" s="16" t="n">
        <x:v>2166.8641348384</x:v>
      </x:c>
      <x:c r="D2068" s="16" t="n">
        <x:v>2399.0335217973</x:v>
      </x:c>
      <x:c r="E2068" s="16" t="n">
        <x:v>232.1693869589</x:v>
      </x:c>
      <x:c r="F2068" s="23" t="n">
        <x:v>3</x:v>
      </x:c>
    </x:row>
    <x:row r="2069">
      <x:c r="A2069" s="15" t="n">
        <x:v>44317</x:v>
      </x:c>
      <x:c r="B2069" s="13" t="str">
        <x:v>Income Properties</x:v>
      </x:c>
      <x:c r="C2069" s="16" t="n">
        <x:v>1503.4792910904</x:v>
      </x:c>
      <x:c r="D2069" s="16" t="n">
        <x:v>1569.8640690849</x:v>
      </x:c>
      <x:c r="E2069" s="16" t="n">
        <x:v>66.3847779945</x:v>
      </x:c>
      <x:c r="F2069" s="23" t="n">
        <x:v>4</x:v>
      </x:c>
    </x:row>
    <x:row r="2070">
      <x:c r="A2070" s="15" t="n">
        <x:v>44317</x:v>
      </x:c>
      <x:c r="B2070" s="13" t="str">
        <x:v>Metals &amp; Mining</x:v>
      </x:c>
      <x:c r="C2070" s="16" t="n">
        <x:v>105680.2839902685</x:v>
      </x:c>
      <x:c r="D2070" s="16" t="n">
        <x:v>142282.4124040769</x:v>
      </x:c>
      <x:c r="E2070" s="16" t="n">
        <x:v>36602.1284138084</x:v>
      </x:c>
      <x:c r="F2070" s="23" t="n">
        <x:v>5</x:v>
      </x:c>
    </x:row>
    <x:row r="2071">
      <x:c r="A2071" s="15" t="n">
        <x:v>44317</x:v>
      </x:c>
      <x:c r="B2071" s="13" t="str">
        <x:v>Oil, Gas &amp; Petrochemicals</x:v>
      </x:c>
      <x:c r="C2071" s="16" t="n">
        <x:v>48811.8291364822</x:v>
      </x:c>
      <x:c r="D2071" s="16" t="n">
        <x:v>75139.5504794301</x:v>
      </x:c>
      <x:c r="E2071" s="16" t="n">
        <x:v>26327.721342948</x:v>
      </x:c>
      <x:c r="F2071" s="23" t="n">
        <x:v>6</x:v>
      </x:c>
    </x:row>
    <x:row r="2072">
      <x:c r="A2072" s="15" t="n">
        <x:v>44317</x:v>
      </x:c>
      <x:c r="B2072" s="13" t="str">
        <x:v>Pulp &amp; Paper</x:v>
      </x:c>
      <x:c r="C2072" s="16" t="n">
        <x:v>9323.5605297096</x:v>
      </x:c>
      <x:c r="D2072" s="16" t="n">
        <x:v>12959.0444158246</x:v>
      </x:c>
      <x:c r="E2072" s="16" t="n">
        <x:v>3635.483886115</x:v>
      </x:c>
      <x:c r="F2072" s="23" t="n">
        <x:v>2</x:v>
      </x:c>
    </x:row>
    <x:row r="2073">
      <x:c r="A2073" s="15" t="n">
        <x:v>44317</x:v>
      </x:c>
      <x:c r="B2073" s="13" t="str">
        <x:v>Retail</x:v>
      </x:c>
      <x:c r="C2073" s="16" t="n">
        <x:v>9880.9617365479</x:v>
      </x:c>
      <x:c r="D2073" s="16" t="n">
        <x:v>8899.7214570082</x:v>
      </x:c>
      <x:c r="E2073" s="16" t="n">
        <x:v>-981.2402795397</x:v>
      </x:c>
      <x:c r="F2073" s="23" t="n">
        <x:v>10</x:v>
      </x:c>
    </x:row>
    <x:row r="2074">
      <x:c r="A2074" s="15" t="n">
        <x:v>44317</x:v>
      </x:c>
      <x:c r="B2074" s="13" t="str">
        <x:v>Sanitation</x:v>
      </x:c>
      <x:c r="C2074" s="16" t="n">
        <x:v>3086.4454354411</x:v>
      </x:c>
      <x:c r="D2074" s="16" t="n">
        <x:v>3414.3665488657</x:v>
      </x:c>
      <x:c r="E2074" s="16" t="n">
        <x:v>327.9211134246</x:v>
      </x:c>
      <x:c r="F2074" s="23" t="n">
        <x:v>1</x:v>
      </x:c>
    </x:row>
    <x:row r="2075">
      <x:c r="A2075" s="15" t="n">
        <x:v>44317</x:v>
      </x:c>
      <x:c r="B2075" s="13" t="str">
        <x:v>TMT</x:v>
      </x:c>
      <x:c r="C2075" s="16" t="n">
        <x:v>2515.3534234301</x:v>
      </x:c>
      <x:c r="D2075" s="16" t="n">
        <x:v>2579.5020142466</x:v>
      </x:c>
      <x:c r="E2075" s="16" t="n">
        <x:v>64.1485908164</x:v>
      </x:c>
      <x:c r="F2075" s="23" t="n">
        <x:v>2</x:v>
      </x:c>
    </x:row>
    <x:row r="2076">
      <x:c r="A2076" s="15" t="n">
        <x:v>44317</x:v>
      </x:c>
      <x:c r="B2076" s="13" t="str">
        <x:v>Transportation</x:v>
      </x:c>
      <x:c r="C2076" s="16" t="n">
        <x:v>3721.2130540712</x:v>
      </x:c>
      <x:c r="D2076" s="16" t="n">
        <x:v>2522.9587185096</x:v>
      </x:c>
      <x:c r="E2076" s="16" t="n">
        <x:v>-1198.2543355616</x:v>
      </x:c>
      <x:c r="F2076" s="23" t="n">
        <x:v>7</x:v>
      </x:c>
    </x:row>
    <x:row r="2077">
      <x:c r="A2077" s="15" t="n">
        <x:v>44317</x:v>
      </x:c>
      <x:c r="B2077" s="13" t="str">
        <x:v>Utilities &amp; Energy</x:v>
      </x:c>
      <x:c r="C2077" s="16" t="n">
        <x:v>34762.9591246904</x:v>
      </x:c>
      <x:c r="D2077" s="16" t="n">
        <x:v>37117.0250606466</x:v>
      </x:c>
      <x:c r="E2077" s="16" t="n">
        <x:v>2354.0659359562</x:v>
      </x:c>
      <x:c r="F2077" s="23" t="n">
        <x:v>11</x:v>
      </x:c>
    </x:row>
    <x:row r="2078">
      <x:c r="A2078" s="15" t="n">
        <x:v>44348</x:v>
      </x:c>
      <x:c r="B2078" s="13" t="str">
        <x:v>Banks</x:v>
      </x:c>
      <x:c r="C2078" s="16" t="n">
        <x:v>116609.345816548</x:v>
      </x:c>
      <x:c r="D2078" s="16" t="n">
        <x:v>121247.8377380821</x:v>
      </x:c>
      <x:c r="E2078" s="16" t="n">
        <x:v>4638.4919215342</x:v>
      </x:c>
      <x:c r="F2078" s="23" t="n">
        <x:v>6</x:v>
      </x:c>
    </x:row>
    <x:row r="2079">
      <x:c r="A2079" s="15" t="n">
        <x:v>44348</x:v>
      </x:c>
      <x:c r="B2079" s="13" t="str">
        <x:v>Capital Goods</x:v>
      </x:c>
      <x:c r="C2079" s="16" t="n">
        <x:v>2385.2751364384</x:v>
      </x:c>
      <x:c r="D2079" s="16" t="n">
        <x:v>2952.4747772493</x:v>
      </x:c>
      <x:c r="E2079" s="16" t="n">
        <x:v>567.199640811</x:v>
      </x:c>
      <x:c r="F2079" s="23" t="n">
        <x:v>2</x:v>
      </x:c>
    </x:row>
    <x:row r="2080">
      <x:c r="A2080" s="15" t="n">
        <x:v>44348</x:v>
      </x:c>
      <x:c r="B2080" s="13" t="str">
        <x:v>Education</x:v>
      </x:c>
      <x:c r="C2080" s="16" t="n">
        <x:v>692.5232113973</x:v>
      </x:c>
      <x:c r="D2080" s="16" t="n">
        <x:v>636.4222480219</x:v>
      </x:c>
      <x:c r="E2080" s="16" t="n">
        <x:v>-56.1009633753</x:v>
      </x:c>
      <x:c r="F2080" s="23" t="n">
        <x:v>2</x:v>
      </x:c>
    </x:row>
    <x:row r="2081">
      <x:c r="A2081" s="15" t="n">
        <x:v>44348</x:v>
      </x:c>
      <x:c r="B2081" s="13" t="str">
        <x:v>Financials Non-Banks</x:v>
      </x:c>
      <x:c r="C2081" s="16" t="n">
        <x:v>21041.1718075616</x:v>
      </x:c>
      <x:c r="D2081" s="16" t="n">
        <x:v>21826.4412042521</x:v>
      </x:c>
      <x:c r="E2081" s="16" t="n">
        <x:v>785.2693966905</x:v>
      </x:c>
      <x:c r="F2081" s="23" t="n">
        <x:v>6</x:v>
      </x:c>
    </x:row>
    <x:row r="2082">
      <x:c r="A2082" s="15" t="n">
        <x:v>44348</x:v>
      </x:c>
      <x:c r="B2082" s="13" t="str">
        <x:v>Food &amp; Beverages</x:v>
      </x:c>
      <x:c r="C2082" s="16" t="n">
        <x:v>23924.4831263562</x:v>
      </x:c>
      <x:c r="D2082" s="16" t="n">
        <x:v>24991.7210535452</x:v>
      </x:c>
      <x:c r="E2082" s="16" t="n">
        <x:v>1067.237927189</x:v>
      </x:c>
      <x:c r="F2082" s="23" t="n">
        <x:v>5</x:v>
      </x:c>
    </x:row>
    <x:row r="2083">
      <x:c r="A2083" s="15" t="n">
        <x:v>44348</x:v>
      </x:c>
      <x:c r="B2083" s="13" t="str">
        <x:v>Health Care</x:v>
      </x:c>
      <x:c r="C2083" s="16" t="n">
        <x:v>5613.688557589</x:v>
      </x:c>
      <x:c r="D2083" s="16" t="n">
        <x:v>5561.0407702795</x:v>
      </x:c>
      <x:c r="E2083" s="16" t="n">
        <x:v>-52.6477873096</x:v>
      </x:c>
      <x:c r="F2083" s="23" t="n">
        <x:v>6</x:v>
      </x:c>
    </x:row>
    <x:row r="2084">
      <x:c r="A2084" s="15" t="n">
        <x:v>44348</x:v>
      </x:c>
      <x:c r="B2084" s="13" t="str">
        <x:v>Homebuilders</x:v>
      </x:c>
      <x:c r="C2084" s="16" t="n">
        <x:v>2221.7671232877</x:v>
      </x:c>
      <x:c r="D2084" s="16" t="n">
        <x:v>2402.9800547945</x:v>
      </x:c>
      <x:c r="E2084" s="16" t="n">
        <x:v>181.2129315069</x:v>
      </x:c>
      <x:c r="F2084" s="23" t="n">
        <x:v>3</x:v>
      </x:c>
    </x:row>
    <x:row r="2085">
      <x:c r="A2085" s="15" t="n">
        <x:v>44348</x:v>
      </x:c>
      <x:c r="B2085" s="13" t="str">
        <x:v>Income Properties</x:v>
      </x:c>
      <x:c r="C2085" s="16" t="n">
        <x:v>1479.355187726</x:v>
      </x:c>
      <x:c r="D2085" s="16" t="n">
        <x:v>1673.9345870904</x:v>
      </x:c>
      <x:c r="E2085" s="16" t="n">
        <x:v>194.5793993644</x:v>
      </x:c>
      <x:c r="F2085" s="23" t="n">
        <x:v>4</x:v>
      </x:c>
    </x:row>
    <x:row r="2086">
      <x:c r="A2086" s="15" t="n">
        <x:v>44348</x:v>
      </x:c>
      <x:c r="B2086" s="13" t="str">
        <x:v>Metals &amp; Mining</x:v>
      </x:c>
      <x:c r="C2086" s="16" t="n">
        <x:v>123356.400324384</x:v>
      </x:c>
      <x:c r="D2086" s="16" t="n">
        <x:v>143565.6778268057</x:v>
      </x:c>
      <x:c r="E2086" s="16" t="n">
        <x:v>20209.2775024217</x:v>
      </x:c>
      <x:c r="F2086" s="23" t="n">
        <x:v>4</x:v>
      </x:c>
    </x:row>
    <x:row r="2087">
      <x:c r="A2087" s="15" t="n">
        <x:v>44348</x:v>
      </x:c>
      <x:c r="B2087" s="13" t="str">
        <x:v>Oil, Gas &amp; Petrochemicals</x:v>
      </x:c>
      <x:c r="C2087" s="16" t="n">
        <x:v>58111.5093041096</x:v>
      </x:c>
      <x:c r="D2087" s="16" t="n">
        <x:v>84038.4930742357</x:v>
      </x:c>
      <x:c r="E2087" s="16" t="n">
        <x:v>25926.983770126</x:v>
      </x:c>
      <x:c r="F2087" s="23" t="n">
        <x:v>6</x:v>
      </x:c>
    </x:row>
    <x:row r="2088">
      <x:c r="A2088" s="15" t="n">
        <x:v>44348</x:v>
      </x:c>
      <x:c r="B2088" s="13" t="str">
        <x:v>Pulp &amp; Paper</x:v>
      </x:c>
      <x:c r="C2088" s="16" t="n">
        <x:v>12532.6444046027</x:v>
      </x:c>
      <x:c r="D2088" s="16" t="n">
        <x:v>13055.264766948</x:v>
      </x:c>
      <x:c r="E2088" s="16" t="n">
        <x:v>522.6203623453</x:v>
      </x:c>
      <x:c r="F2088" s="23" t="n">
        <x:v>2</x:v>
      </x:c>
    </x:row>
    <x:row r="2089">
      <x:c r="A2089" s="15" t="n">
        <x:v>44348</x:v>
      </x:c>
      <x:c r="B2089" s="13" t="str">
        <x:v>Retail</x:v>
      </x:c>
      <x:c r="C2089" s="16" t="n">
        <x:v>10213.4968124931</x:v>
      </x:c>
      <x:c r="D2089" s="16" t="n">
        <x:v>10199.0851248493</x:v>
      </x:c>
      <x:c r="E2089" s="16" t="n">
        <x:v>-14.4116876438</x:v>
      </x:c>
      <x:c r="F2089" s="23" t="n">
        <x:v>11</x:v>
      </x:c>
    </x:row>
    <x:row r="2090">
      <x:c r="A2090" s="15" t="n">
        <x:v>44348</x:v>
      </x:c>
      <x:c r="B2090" s="13" t="str">
        <x:v>Sanitation</x:v>
      </x:c>
      <x:c r="C2090" s="16" t="n">
        <x:v>3130.8191456438</x:v>
      </x:c>
      <x:c r="D2090" s="16" t="n">
        <x:v>3273.9078494685</x:v>
      </x:c>
      <x:c r="E2090" s="16" t="n">
        <x:v>143.0887038247</x:v>
      </x:c>
      <x:c r="F2090" s="23" t="n">
        <x:v>1</x:v>
      </x:c>
    </x:row>
    <x:row r="2091">
      <x:c r="A2091" s="15" t="n">
        <x:v>44348</x:v>
      </x:c>
      <x:c r="B2091" s="13" t="str">
        <x:v>TMT</x:v>
      </x:c>
      <x:c r="C2091" s="16" t="n">
        <x:v>2664.5053553973</x:v>
      </x:c>
      <x:c r="D2091" s="16" t="n">
        <x:v>2812.5494690192</x:v>
      </x:c>
      <x:c r="E2091" s="16" t="n">
        <x:v>148.0441136219</x:v>
      </x:c>
      <x:c r="F2091" s="23" t="n">
        <x:v>2</x:v>
      </x:c>
    </x:row>
    <x:row r="2092">
      <x:c r="A2092" s="15" t="n">
        <x:v>44348</x:v>
      </x:c>
      <x:c r="B2092" s="13" t="str">
        <x:v>Transportation</x:v>
      </x:c>
      <x:c r="C2092" s="16" t="n">
        <x:v>2547.6317689863</x:v>
      </x:c>
      <x:c r="D2092" s="16" t="n">
        <x:v>2814.3003761096</x:v>
      </x:c>
      <x:c r="E2092" s="16" t="n">
        <x:v>266.6686071233</x:v>
      </x:c>
      <x:c r="F2092" s="23" t="n">
        <x:v>7</x:v>
      </x:c>
    </x:row>
    <x:row r="2093">
      <x:c r="A2093" s="15" t="n">
        <x:v>44348</x:v>
      </x:c>
      <x:c r="B2093" s="13" t="str">
        <x:v>Utilities &amp; Energy</x:v>
      </x:c>
      <x:c r="C2093" s="16" t="n">
        <x:v>35661.9909523288</x:v>
      </x:c>
      <x:c r="D2093" s="16" t="n">
        <x:v>37992.4083603288</x:v>
      </x:c>
      <x:c r="E2093" s="16" t="n">
        <x:v>2330.417408</x:v>
      </x:c>
      <x:c r="F2093" s="23" t="n">
        <x:v>11</x:v>
      </x:c>
    </x:row>
    <x:row r="2094">
      <x:c r="A2094" s="15" t="n">
        <x:v>44378</x:v>
      </x:c>
      <x:c r="B2094" s="13" t="str">
        <x:v>Banks</x:v>
      </x:c>
      <x:c r="C2094" s="16" t="n">
        <x:v>116603.769414137</x:v>
      </x:c>
      <x:c r="D2094" s="16" t="n">
        <x:v>123176.7848384877</x:v>
      </x:c>
      <x:c r="E2094" s="16" t="n">
        <x:v>6573.0154243508</x:v>
      </x:c>
      <x:c r="F2094" s="23" t="n">
        <x:v>6</x:v>
      </x:c>
    </x:row>
    <x:row r="2095">
      <x:c r="A2095" s="15" t="n">
        <x:v>44378</x:v>
      </x:c>
      <x:c r="B2095" s="13" t="str">
        <x:v>Capital Goods</x:v>
      </x:c>
      <x:c r="C2095" s="16" t="n">
        <x:v>2628.6988230137</x:v>
      </x:c>
      <x:c r="D2095" s="16" t="n">
        <x:v>3239.328919189</x:v>
      </x:c>
      <x:c r="E2095" s="16" t="n">
        <x:v>610.6300961753</x:v>
      </x:c>
      <x:c r="F2095" s="23" t="n">
        <x:v>2</x:v>
      </x:c>
    </x:row>
    <x:row r="2096">
      <x:c r="A2096" s="15" t="n">
        <x:v>44378</x:v>
      </x:c>
      <x:c r="B2096" s="13" t="str">
        <x:v>Education</x:v>
      </x:c>
      <x:c r="C2096" s="16" t="n">
        <x:v>664.4176667945</x:v>
      </x:c>
      <x:c r="D2096" s="16" t="n">
        <x:v>728.6079125479</x:v>
      </x:c>
      <x:c r="E2096" s="16" t="n">
        <x:v>64.1902457534</x:v>
      </x:c>
      <x:c r="F2096" s="23" t="n">
        <x:v>2</x:v>
      </x:c>
    </x:row>
    <x:row r="2097">
      <x:c r="A2097" s="15" t="n">
        <x:v>44378</x:v>
      </x:c>
      <x:c r="B2097" s="13" t="str">
        <x:v>Financials Non-Banks</x:v>
      </x:c>
      <x:c r="C2097" s="16" t="n">
        <x:v>21331.8973808219</x:v>
      </x:c>
      <x:c r="D2097" s="16" t="n">
        <x:v>22358.9639927233</x:v>
      </x:c>
      <x:c r="E2097" s="16" t="n">
        <x:v>1027.0666119014</x:v>
      </x:c>
      <x:c r="F2097" s="23" t="n">
        <x:v>6</x:v>
      </x:c>
    </x:row>
    <x:row r="2098">
      <x:c r="A2098" s="15" t="n">
        <x:v>44378</x:v>
      </x:c>
      <x:c r="B2098" s="13" t="str">
        <x:v>Food &amp; Beverages</x:v>
      </x:c>
      <x:c r="C2098" s="16" t="n">
        <x:v>25057.8695171507</x:v>
      </x:c>
      <x:c r="D2098" s="16" t="n">
        <x:v>25989.1735433644</x:v>
      </x:c>
      <x:c r="E2098" s="16" t="n">
        <x:v>931.3040262138</x:v>
      </x:c>
      <x:c r="F2098" s="23" t="n">
        <x:v>5</x:v>
      </x:c>
    </x:row>
    <x:row r="2099">
      <x:c r="A2099" s="15" t="n">
        <x:v>44378</x:v>
      </x:c>
      <x:c r="B2099" s="13" t="str">
        <x:v>Health Care</x:v>
      </x:c>
      <x:c r="C2099" s="16" t="n">
        <x:v>5616.7370183014</x:v>
      </x:c>
      <x:c r="D2099" s="16" t="n">
        <x:v>5757.1873392219</x:v>
      </x:c>
      <x:c r="E2099" s="16" t="n">
        <x:v>140.4503209205</x:v>
      </x:c>
      <x:c r="F2099" s="23" t="n">
        <x:v>6</x:v>
      </x:c>
    </x:row>
    <x:row r="2100">
      <x:c r="A2100" s="15" t="n">
        <x:v>44378</x:v>
      </x:c>
      <x:c r="B2100" s="13" t="str">
        <x:v>Homebuilders</x:v>
      </x:c>
      <x:c r="C2100" s="16" t="n">
        <x:v>2359.7623609863</x:v>
      </x:c>
      <x:c r="D2100" s="16" t="n">
        <x:v>2450.5789589041</x:v>
      </x:c>
      <x:c r="E2100" s="16" t="n">
        <x:v>90.8165979178</x:v>
      </x:c>
      <x:c r="F2100" s="23" t="n">
        <x:v>3</x:v>
      </x:c>
    </x:row>
    <x:row r="2101">
      <x:c r="A2101" s="15" t="n">
        <x:v>44378</x:v>
      </x:c>
      <x:c r="B2101" s="13" t="str">
        <x:v>Income Properties</x:v>
      </x:c>
      <x:c r="C2101" s="16" t="n">
        <x:v>1412.0396138082</x:v>
      </x:c>
      <x:c r="D2101" s="16" t="n">
        <x:v>1679.5830887452</x:v>
      </x:c>
      <x:c r="E2101" s="16" t="n">
        <x:v>267.543474937</x:v>
      </x:c>
      <x:c r="F2101" s="23" t="n">
        <x:v>4</x:v>
      </x:c>
    </x:row>
    <x:row r="2102">
      <x:c r="A2102" s="15" t="n">
        <x:v>44378</x:v>
      </x:c>
      <x:c r="B2102" s="13" t="str">
        <x:v>Metals &amp; Mining</x:v>
      </x:c>
      <x:c r="C2102" s="16" t="n">
        <x:v>135506.0938590688</x:v>
      </x:c>
      <x:c r="D2102" s="16" t="n">
        <x:v>154721.4258512661</x:v>
      </x:c>
      <x:c r="E2102" s="16" t="n">
        <x:v>19215.3319921973</x:v>
      </x:c>
      <x:c r="F2102" s="23" t="n">
        <x:v>4</x:v>
      </x:c>
    </x:row>
    <x:row r="2103">
      <x:c r="A2103" s="15" t="n">
        <x:v>44378</x:v>
      </x:c>
      <x:c r="B2103" s="13" t="str">
        <x:v>Oil, Gas &amp; Petrochemicals</x:v>
      </x:c>
      <x:c r="C2103" s="16" t="n">
        <x:v>74619.0399175891</x:v>
      </x:c>
      <x:c r="D2103" s="16" t="n">
        <x:v>87110.7535009315</x:v>
      </x:c>
      <x:c r="E2103" s="16" t="n">
        <x:v>12491.7135833424</x:v>
      </x:c>
      <x:c r="F2103" s="23" t="n">
        <x:v>6</x:v>
      </x:c>
    </x:row>
    <x:row r="2104">
      <x:c r="A2104" s="15" t="n">
        <x:v>44378</x:v>
      </x:c>
      <x:c r="B2104" s="13" t="str">
        <x:v>Pulp &amp; Paper</x:v>
      </x:c>
      <x:c r="C2104" s="16" t="n">
        <x:v>13907.9029724931</x:v>
      </x:c>
      <x:c r="D2104" s="16" t="n">
        <x:v>13117.8530451287</x:v>
      </x:c>
      <x:c r="E2104" s="16" t="n">
        <x:v>-790.0499273644</x:v>
      </x:c>
      <x:c r="F2104" s="23" t="n">
        <x:v>2</x:v>
      </x:c>
    </x:row>
    <x:row r="2105">
      <x:c r="A2105" s="15" t="n">
        <x:v>44378</x:v>
      </x:c>
      <x:c r="B2105" s="13" t="str">
        <x:v>Retail</x:v>
      </x:c>
      <x:c r="C2105" s="16" t="n">
        <x:v>10135.1324287123</x:v>
      </x:c>
      <x:c r="D2105" s="16" t="n">
        <x:v>10202.0632231452</x:v>
      </x:c>
      <x:c r="E2105" s="16" t="n">
        <x:v>66.9307944329</x:v>
      </x:c>
      <x:c r="F2105" s="23" t="n">
        <x:v>11</x:v>
      </x:c>
    </x:row>
    <x:row r="2106">
      <x:c r="A2106" s="15" t="n">
        <x:v>44378</x:v>
      </x:c>
      <x:c r="B2106" s="13" t="str">
        <x:v>Sanitation</x:v>
      </x:c>
      <x:c r="C2106" s="16" t="n">
        <x:v>3357.376813589</x:v>
      </x:c>
      <x:c r="D2106" s="16" t="n">
        <x:v>3266.3928172712</x:v>
      </x:c>
      <x:c r="E2106" s="16" t="n">
        <x:v>-90.9839963178</x:v>
      </x:c>
      <x:c r="F2106" s="23" t="n">
        <x:v>1</x:v>
      </x:c>
    </x:row>
    <x:row r="2107">
      <x:c r="A2107" s="15" t="n">
        <x:v>44378</x:v>
      </x:c>
      <x:c r="B2107" s="13" t="str">
        <x:v>TMT</x:v>
      </x:c>
      <x:c r="C2107" s="16" t="n">
        <x:v>2870.8246356164</x:v>
      </x:c>
      <x:c r="D2107" s="16" t="n">
        <x:v>3020.8517388274</x:v>
      </x:c>
      <x:c r="E2107" s="16" t="n">
        <x:v>150.027103211</x:v>
      </x:c>
      <x:c r="F2107" s="23" t="n">
        <x:v>2</x:v>
      </x:c>
    </x:row>
    <x:row r="2108">
      <x:c r="A2108" s="15" t="n">
        <x:v>44378</x:v>
      </x:c>
      <x:c r="B2108" s="13" t="str">
        <x:v>Transportation</x:v>
      </x:c>
      <x:c r="C2108" s="16" t="n">
        <x:v>2392.6043313973</x:v>
      </x:c>
      <x:c r="D2108" s="16" t="n">
        <x:v>2867.7731471781</x:v>
      </x:c>
      <x:c r="E2108" s="16" t="n">
        <x:v>475.1688157808</x:v>
      </x:c>
      <x:c r="F2108" s="23" t="n">
        <x:v>7</x:v>
      </x:c>
    </x:row>
    <x:row r="2109">
      <x:c r="A2109" s="15" t="n">
        <x:v>44378</x:v>
      </x:c>
      <x:c r="B2109" s="13" t="str">
        <x:v>Utilities &amp; Energy</x:v>
      </x:c>
      <x:c r="C2109" s="16" t="n">
        <x:v>35297.8227515616</x:v>
      </x:c>
      <x:c r="D2109" s="16" t="n">
        <x:v>39387.3080351562</x:v>
      </x:c>
      <x:c r="E2109" s="16" t="n">
        <x:v>4089.4852835945</x:v>
      </x:c>
      <x:c r="F2109" s="23" t="n">
        <x:v>11</x:v>
      </x:c>
    </x:row>
    <x:row r="2110">
      <x:c r="A2110" s="15" t="n">
        <x:v>44409</x:v>
      </x:c>
      <x:c r="B2110" s="13" t="str">
        <x:v>Banks</x:v>
      </x:c>
      <x:c r="C2110" s="16" t="n">
        <x:v>120058.3407285479</x:v>
      </x:c>
      <x:c r="D2110" s="16" t="n">
        <x:v>125873.2274991341</x:v>
      </x:c>
      <x:c r="E2110" s="16" t="n">
        <x:v>5814.8867705862</x:v>
      </x:c>
      <x:c r="F2110" s="23" t="n">
        <x:v>7</x:v>
      </x:c>
    </x:row>
    <x:row r="2111">
      <x:c r="A2111" s="15" t="n">
        <x:v>44409</x:v>
      </x:c>
      <x:c r="B2111" s="13" t="str">
        <x:v>Capital Goods</x:v>
      </x:c>
      <x:c r="C2111" s="16" t="n">
        <x:v>2786.484352263</x:v>
      </x:c>
      <x:c r="D2111" s="16" t="n">
        <x:v>3626.4583940384</x:v>
      </x:c>
      <x:c r="E2111" s="16" t="n">
        <x:v>839.9740417753</x:v>
      </x:c>
      <x:c r="F2111" s="23" t="n">
        <x:v>2</x:v>
      </x:c>
    </x:row>
    <x:row r="2112">
      <x:c r="A2112" s="15" t="n">
        <x:v>44409</x:v>
      </x:c>
      <x:c r="B2112" s="13" t="str">
        <x:v>Education</x:v>
      </x:c>
      <x:c r="C2112" s="16" t="n">
        <x:v>605.423555726</x:v>
      </x:c>
      <x:c r="D2112" s="16" t="n">
        <x:v>566.1401832219</x:v>
      </x:c>
      <x:c r="E2112" s="16" t="n">
        <x:v>-39.2833725041</x:v>
      </x:c>
      <x:c r="F2112" s="23" t="n">
        <x:v>2</x:v>
      </x:c>
    </x:row>
    <x:row r="2113">
      <x:c r="A2113" s="15" t="n">
        <x:v>44409</x:v>
      </x:c>
      <x:c r="B2113" s="13" t="str">
        <x:v>Financials Non-Banks</x:v>
      </x:c>
      <x:c r="C2113" s="16" t="n">
        <x:v>21383.0174414904</x:v>
      </x:c>
      <x:c r="D2113" s="16" t="n">
        <x:v>23040.803442674</x:v>
      </x:c>
      <x:c r="E2113" s="16" t="n">
        <x:v>1657.7860011836</x:v>
      </x:c>
      <x:c r="F2113" s="23" t="n">
        <x:v>6</x:v>
      </x:c>
    </x:row>
    <x:row r="2114">
      <x:c r="A2114" s="15" t="n">
        <x:v>44409</x:v>
      </x:c>
      <x:c r="B2114" s="13" t="str">
        <x:v>Food &amp; Beverages</x:v>
      </x:c>
      <x:c r="C2114" s="16" t="n">
        <x:v>24421.5904098192</x:v>
      </x:c>
      <x:c r="D2114" s="16" t="n">
        <x:v>24639.5980659726</x:v>
      </x:c>
      <x:c r="E2114" s="16" t="n">
        <x:v>218.0076561535</x:v>
      </x:c>
      <x:c r="F2114" s="23" t="n">
        <x:v>4</x:v>
      </x:c>
    </x:row>
    <x:row r="2115">
      <x:c r="A2115" s="15" t="n">
        <x:v>44409</x:v>
      </x:c>
      <x:c r="B2115" s="13" t="str">
        <x:v>Health Care</x:v>
      </x:c>
      <x:c r="C2115" s="16" t="n">
        <x:v>5434.8546828274</x:v>
      </x:c>
      <x:c r="D2115" s="16" t="n">
        <x:v>5883.8952977534</x:v>
      </x:c>
      <x:c r="E2115" s="16" t="n">
        <x:v>449.040614926</x:v>
      </x:c>
      <x:c r="F2115" s="23" t="n">
        <x:v>6</x:v>
      </x:c>
    </x:row>
    <x:row r="2116">
      <x:c r="A2116" s="15" t="n">
        <x:v>44409</x:v>
      </x:c>
      <x:c r="B2116" s="13" t="str">
        <x:v>Homebuilders</x:v>
      </x:c>
      <x:c r="C2116" s="16" t="n">
        <x:v>2399.0335217973</x:v>
      </x:c>
      <x:c r="D2116" s="16" t="n">
        <x:v>2467.6352461151</x:v>
      </x:c>
      <x:c r="E2116" s="16" t="n">
        <x:v>68.6017243178</x:v>
      </x:c>
      <x:c r="F2116" s="23" t="n">
        <x:v>3</x:v>
      </x:c>
    </x:row>
    <x:row r="2117">
      <x:c r="A2117" s="15" t="n">
        <x:v>44409</x:v>
      </x:c>
      <x:c r="B2117" s="13" t="str">
        <x:v>Income Properties</x:v>
      </x:c>
      <x:c r="C2117" s="16" t="n">
        <x:v>1569.8640690849</x:v>
      </x:c>
      <x:c r="D2117" s="16" t="n">
        <x:v>1655.0828288</x:v>
      </x:c>
      <x:c r="E2117" s="16" t="n">
        <x:v>85.2187597151</x:v>
      </x:c>
      <x:c r="F2117" s="23" t="n">
        <x:v>4</x:v>
      </x:c>
    </x:row>
    <x:row r="2118">
      <x:c r="A2118" s="15" t="n">
        <x:v>44409</x:v>
      </x:c>
      <x:c r="B2118" s="13" t="str">
        <x:v>Metals &amp; Mining</x:v>
      </x:c>
      <x:c r="C2118" s="16" t="n">
        <x:v>140293.1356167015</x:v>
      </x:c>
      <x:c r="D2118" s="16" t="n">
        <x:v>150100.7141537318</x:v>
      </x:c>
      <x:c r="E2118" s="16" t="n">
        <x:v>9807.5785370303</x:v>
      </x:c>
      <x:c r="F2118" s="23" t="n">
        <x:v>4</x:v>
      </x:c>
    </x:row>
    <x:row r="2119">
      <x:c r="A2119" s="15" t="n">
        <x:v>44409</x:v>
      </x:c>
      <x:c r="B2119" s="13" t="str">
        <x:v>Oil, Gas &amp; Petrochemicals</x:v>
      </x:c>
      <x:c r="C2119" s="16" t="n">
        <x:v>75139.5504794301</x:v>
      </x:c>
      <x:c r="D2119" s="16" t="n">
        <x:v>91126.2962333808</x:v>
      </x:c>
      <x:c r="E2119" s="16" t="n">
        <x:v>15986.7457539507</x:v>
      </x:c>
      <x:c r="F2119" s="23" t="n">
        <x:v>6</x:v>
      </x:c>
    </x:row>
    <x:row r="2120">
      <x:c r="A2120" s="15" t="n">
        <x:v>44409</x:v>
      </x:c>
      <x:c r="B2120" s="13" t="str">
        <x:v>Pulp &amp; Paper</x:v>
      </x:c>
      <x:c r="C2120" s="16" t="n">
        <x:v>12959.0444158246</x:v>
      </x:c>
      <x:c r="D2120" s="16" t="n">
        <x:v>11674.7773369863</x:v>
      </x:c>
      <x:c r="E2120" s="16" t="n">
        <x:v>-1284.2670788383</x:v>
      </x:c>
      <x:c r="F2120" s="23" t="n">
        <x:v>2</x:v>
      </x:c>
    </x:row>
    <x:row r="2121">
      <x:c r="A2121" s="15" t="n">
        <x:v>44409</x:v>
      </x:c>
      <x:c r="B2121" s="13" t="str">
        <x:v>Retail</x:v>
      </x:c>
      <x:c r="C2121" s="16" t="n">
        <x:v>10297.6919475726</x:v>
      </x:c>
      <x:c r="D2121" s="16" t="n">
        <x:v>10796.2808764931</x:v>
      </x:c>
      <x:c r="E2121" s="16" t="n">
        <x:v>498.5889289206</x:v>
      </x:c>
      <x:c r="F2121" s="23" t="n">
        <x:v>11</x:v>
      </x:c>
    </x:row>
    <x:row r="2122">
      <x:c r="A2122" s="15" t="n">
        <x:v>44409</x:v>
      </x:c>
      <x:c r="B2122" s="13" t="str">
        <x:v>Sanitation</x:v>
      </x:c>
      <x:c r="C2122" s="16" t="n">
        <x:v>3414.3665488657</x:v>
      </x:c>
      <x:c r="D2122" s="16" t="n">
        <x:v>3142.0942595507</x:v>
      </x:c>
      <x:c r="E2122" s="16" t="n">
        <x:v>-272.2722893151</x:v>
      </x:c>
      <x:c r="F2122" s="23" t="n">
        <x:v>1</x:v>
      </x:c>
    </x:row>
    <x:row r="2123">
      <x:c r="A2123" s="15" t="n">
        <x:v>44409</x:v>
      </x:c>
      <x:c r="B2123" s="13" t="str">
        <x:v>TMT</x:v>
      </x:c>
      <x:c r="C2123" s="16" t="n">
        <x:v>2579.5020142466</x:v>
      </x:c>
      <x:c r="D2123" s="16" t="n">
        <x:v>2957.0925920438</x:v>
      </x:c>
      <x:c r="E2123" s="16" t="n">
        <x:v>377.5905777973</x:v>
      </x:c>
      <x:c r="F2123" s="23" t="n">
        <x:v>2</x:v>
      </x:c>
    </x:row>
    <x:row r="2124">
      <x:c r="A2124" s="15" t="n">
        <x:v>44409</x:v>
      </x:c>
      <x:c r="B2124" s="13" t="str">
        <x:v>Transportation</x:v>
      </x:c>
      <x:c r="C2124" s="16" t="n">
        <x:v>2522.9587185096</x:v>
      </x:c>
      <x:c r="D2124" s="16" t="n">
        <x:v>2996.7328715836</x:v>
      </x:c>
      <x:c r="E2124" s="16" t="n">
        <x:v>473.774153074</x:v>
      </x:c>
      <x:c r="F2124" s="23" t="n">
        <x:v>7</x:v>
      </x:c>
    </x:row>
    <x:row r="2125">
      <x:c r="A2125" s="15" t="n">
        <x:v>44409</x:v>
      </x:c>
      <x:c r="B2125" s="13" t="str">
        <x:v>Utilities &amp; Energy</x:v>
      </x:c>
      <x:c r="C2125" s="16" t="n">
        <x:v>34404.0716359891</x:v>
      </x:c>
      <x:c r="D2125" s="16" t="n">
        <x:v>36480.0463142575</x:v>
      </x:c>
      <x:c r="E2125" s="16" t="n">
        <x:v>2075.9746782685</x:v>
      </x:c>
      <x:c r="F2125" s="23" t="n">
        <x:v>10</x:v>
      </x:c>
    </x:row>
    <x:row r="2126">
      <x:c r="A2126" s="15" t="n">
        <x:v>44440</x:v>
      </x:c>
      <x:c r="B2126" s="13" t="str">
        <x:v>Banks</x:v>
      </x:c>
      <x:c r="C2126" s="16" t="n">
        <x:v>121524.8843134246</x:v>
      </x:c>
      <x:c r="D2126" s="16" t="n">
        <x:v>127567.8325795069</x:v>
      </x:c>
      <x:c r="E2126" s="16" t="n">
        <x:v>6042.9482660823</x:v>
      </x:c>
      <x:c r="F2126" s="23" t="n">
        <x:v>7</x:v>
      </x:c>
    </x:row>
    <x:row r="2127">
      <x:c r="A2127" s="15" t="n">
        <x:v>44440</x:v>
      </x:c>
      <x:c r="B2127" s="13" t="str">
        <x:v>Capital Goods</x:v>
      </x:c>
      <x:c r="C2127" s="16" t="n">
        <x:v>2952.4747772493</x:v>
      </x:c>
      <x:c r="D2127" s="16" t="n">
        <x:v>3654.3210924712</x:v>
      </x:c>
      <x:c r="E2127" s="16" t="n">
        <x:v>701.8463152219</x:v>
      </x:c>
      <x:c r="F2127" s="23" t="n">
        <x:v>2</x:v>
      </x:c>
    </x:row>
    <x:row r="2128">
      <x:c r="A2128" s="15" t="n">
        <x:v>44440</x:v>
      </x:c>
      <x:c r="B2128" s="13" t="str">
        <x:v>Education</x:v>
      </x:c>
      <x:c r="C2128" s="16" t="n">
        <x:v>636.4222480219</x:v>
      </x:c>
      <x:c r="D2128" s="16" t="n">
        <x:v>485.8856558027</x:v>
      </x:c>
      <x:c r="E2128" s="16" t="n">
        <x:v>-150.5365922192</x:v>
      </x:c>
      <x:c r="F2128" s="23" t="n">
        <x:v>2</x:v>
      </x:c>
    </x:row>
    <x:row r="2129">
      <x:c r="A2129" s="15" t="n">
        <x:v>44440</x:v>
      </x:c>
      <x:c r="B2129" s="13" t="str">
        <x:v>Financials Non-Banks</x:v>
      </x:c>
      <x:c r="C2129" s="16" t="n">
        <x:v>21826.4412042521</x:v>
      </x:c>
      <x:c r="D2129" s="16" t="n">
        <x:v>22702.4536759233</x:v>
      </x:c>
      <x:c r="E2129" s="16" t="n">
        <x:v>876.0124716712</x:v>
      </x:c>
      <x:c r="F2129" s="23" t="n">
        <x:v>6</x:v>
      </x:c>
    </x:row>
    <x:row r="2130">
      <x:c r="A2130" s="15" t="n">
        <x:v>44440</x:v>
      </x:c>
      <x:c r="B2130" s="13" t="str">
        <x:v>Food &amp; Beverages</x:v>
      </x:c>
      <x:c r="C2130" s="16" t="n">
        <x:v>24991.7210535452</x:v>
      </x:c>
      <x:c r="D2130" s="16" t="n">
        <x:v>28642.9145377315</x:v>
      </x:c>
      <x:c r="E2130" s="16" t="n">
        <x:v>3651.1934841863</x:v>
      </x:c>
      <x:c r="F2130" s="23" t="n">
        <x:v>5</x:v>
      </x:c>
    </x:row>
    <x:row r="2131">
      <x:c r="A2131" s="15" t="n">
        <x:v>44440</x:v>
      </x:c>
      <x:c r="B2131" s="13" t="str">
        <x:v>Health Care</x:v>
      </x:c>
      <x:c r="C2131" s="16" t="n">
        <x:v>5561.0407702795</x:v>
      </x:c>
      <x:c r="D2131" s="16" t="n">
        <x:v>6024.7903451178</x:v>
      </x:c>
      <x:c r="E2131" s="16" t="n">
        <x:v>463.7495748384</x:v>
      </x:c>
      <x:c r="F2131" s="23" t="n">
        <x:v>6</x:v>
      </x:c>
    </x:row>
    <x:row r="2132">
      <x:c r="A2132" s="15" t="n">
        <x:v>44440</x:v>
      </x:c>
      <x:c r="B2132" s="13" t="str">
        <x:v>Homebuilders</x:v>
      </x:c>
      <x:c r="C2132" s="16" t="n">
        <x:v>2402.9800547945</x:v>
      </x:c>
      <x:c r="D2132" s="16" t="n">
        <x:v>2479.477452274</x:v>
      </x:c>
      <x:c r="E2132" s="16" t="n">
        <x:v>76.4973974795</x:v>
      </x:c>
      <x:c r="F2132" s="23" t="n">
        <x:v>3</x:v>
      </x:c>
    </x:row>
    <x:row r="2133">
      <x:c r="A2133" s="15" t="n">
        <x:v>44440</x:v>
      </x:c>
      <x:c r="B2133" s="13" t="str">
        <x:v>Income Properties</x:v>
      </x:c>
      <x:c r="C2133" s="16" t="n">
        <x:v>1673.9345870904</x:v>
      </x:c>
      <x:c r="D2133" s="16" t="n">
        <x:v>1689.0218467945</x:v>
      </x:c>
      <x:c r="E2133" s="16" t="n">
        <x:v>15.0872597041</x:v>
      </x:c>
      <x:c r="F2133" s="23" t="n">
        <x:v>4</x:v>
      </x:c>
    </x:row>
    <x:row r="2134">
      <x:c r="A2134" s="15" t="n">
        <x:v>44440</x:v>
      </x:c>
      <x:c r="B2134" s="13" t="str">
        <x:v>Metals &amp; Mining</x:v>
      </x:c>
      <x:c r="C2134" s="16" t="n">
        <x:v>143565.6778268057</x:v>
      </x:c>
      <x:c r="D2134" s="16" t="n">
        <x:v>130739.2082116379</x:v>
      </x:c>
      <x:c r="E2134" s="16" t="n">
        <x:v>-12826.4696151678</x:v>
      </x:c>
      <x:c r="F2134" s="23" t="n">
        <x:v>4</x:v>
      </x:c>
    </x:row>
    <x:row r="2135">
      <x:c r="A2135" s="15" t="n">
        <x:v>44440</x:v>
      </x:c>
      <x:c r="B2135" s="13" t="str">
        <x:v>Oil, Gas &amp; Petrochemicals</x:v>
      </x:c>
      <x:c r="C2135" s="16" t="n">
        <x:v>84038.4930742357</x:v>
      </x:c>
      <x:c r="D2135" s="16" t="n">
        <x:v>94298.8426075178</x:v>
      </x:c>
      <x:c r="E2135" s="16" t="n">
        <x:v>10260.3495332822</x:v>
      </x:c>
      <x:c r="F2135" s="23" t="n">
        <x:v>6</x:v>
      </x:c>
    </x:row>
    <x:row r="2136">
      <x:c r="A2136" s="15" t="n">
        <x:v>44440</x:v>
      </x:c>
      <x:c r="B2136" s="13" t="str">
        <x:v>Pulp &amp; Paper</x:v>
      </x:c>
      <x:c r="C2136" s="16" t="n">
        <x:v>13055.264766948</x:v>
      </x:c>
      <x:c r="D2136" s="16" t="n">
        <x:v>10655.6750925151</x:v>
      </x:c>
      <x:c r="E2136" s="16" t="n">
        <x:v>-2399.5896744329</x:v>
      </x:c>
      <x:c r="F2136" s="23" t="n">
        <x:v>2</x:v>
      </x:c>
    </x:row>
    <x:row r="2137">
      <x:c r="A2137" s="15" t="n">
        <x:v>44440</x:v>
      </x:c>
      <x:c r="B2137" s="13" t="str">
        <x:v>Retail</x:v>
      </x:c>
      <x:c r="C2137" s="16" t="n">
        <x:v>10003.9769056712</x:v>
      </x:c>
      <x:c r="D2137" s="16" t="n">
        <x:v>10485.874786411</x:v>
      </x:c>
      <x:c r="E2137" s="16" t="n">
        <x:v>481.8978807397</x:v>
      </x:c>
      <x:c r="F2137" s="23" t="n">
        <x:v>10</x:v>
      </x:c>
    </x:row>
    <x:row r="2138">
      <x:c r="A2138" s="15" t="n">
        <x:v>44440</x:v>
      </x:c>
      <x:c r="B2138" s="13" t="str">
        <x:v>Sanitation</x:v>
      </x:c>
      <x:c r="C2138" s="16" t="n">
        <x:v>3273.9078494685</x:v>
      </x:c>
      <x:c r="D2138" s="16" t="n">
        <x:v>3048.7097435178</x:v>
      </x:c>
      <x:c r="E2138" s="16" t="n">
        <x:v>-225.1981059507</x:v>
      </x:c>
      <x:c r="F2138" s="23" t="n">
        <x:v>1</x:v>
      </x:c>
    </x:row>
    <x:row r="2139">
      <x:c r="A2139" s="15" t="n">
        <x:v>44440</x:v>
      </x:c>
      <x:c r="B2139" s="13" t="str">
        <x:v>TMT</x:v>
      </x:c>
      <x:c r="C2139" s="16" t="n">
        <x:v>2943.7946744986</x:v>
      </x:c>
      <x:c r="D2139" s="16" t="n">
        <x:v>3168.8231085589</x:v>
      </x:c>
      <x:c r="E2139" s="16" t="n">
        <x:v>225.0284340603</x:v>
      </x:c>
      <x:c r="F2139" s="23" t="n">
        <x:v>3</x:v>
      </x:c>
    </x:row>
    <x:row r="2140">
      <x:c r="A2140" s="15" t="n">
        <x:v>44440</x:v>
      </x:c>
      <x:c r="B2140" s="13" t="str">
        <x:v>Transportation</x:v>
      </x:c>
      <x:c r="C2140" s="16" t="n">
        <x:v>2814.3003761096</x:v>
      </x:c>
      <x:c r="D2140" s="16" t="n">
        <x:v>3384.9046922521</x:v>
      </x:c>
      <x:c r="E2140" s="16" t="n">
        <x:v>570.6043161425</x:v>
      </x:c>
      <x:c r="F2140" s="23" t="n">
        <x:v>7</x:v>
      </x:c>
    </x:row>
    <x:row r="2141">
      <x:c r="A2141" s="15" t="n">
        <x:v>44440</x:v>
      </x:c>
      <x:c r="B2141" s="13" t="str">
        <x:v>Utilities &amp; Energy</x:v>
      </x:c>
      <x:c r="C2141" s="16" t="n">
        <x:v>37992.4083603288</x:v>
      </x:c>
      <x:c r="D2141" s="16" t="n">
        <x:v>39649.1832551452</x:v>
      </x:c>
      <x:c r="E2141" s="16" t="n">
        <x:v>1656.7748948164</x:v>
      </x:c>
      <x:c r="F2141" s="23" t="n">
        <x:v>11</x:v>
      </x:c>
    </x:row>
    <x:row r="2142">
      <x:c r="A2142" s="15" t="n">
        <x:v>44470</x:v>
      </x:c>
      <x:c r="B2142" s="13" t="str">
        <x:v>Banks</x:v>
      </x:c>
      <x:c r="C2142" s="16" t="n">
        <x:v>123484.1499069809</x:v>
      </x:c>
      <x:c r="D2142" s="16" t="n">
        <x:v>128673.1334340822</x:v>
      </x:c>
      <x:c r="E2142" s="16" t="n">
        <x:v>5188.9835271013</x:v>
      </x:c>
      <x:c r="F2142" s="23" t="n">
        <x:v>7</x:v>
      </x:c>
    </x:row>
    <x:row r="2143">
      <x:c r="A2143" s="15" t="n">
        <x:v>44470</x:v>
      </x:c>
      <x:c r="B2143" s="13" t="str">
        <x:v>Capital Goods</x:v>
      </x:c>
      <x:c r="C2143" s="16" t="n">
        <x:v>3239.328919189</x:v>
      </x:c>
      <x:c r="D2143" s="16" t="n">
        <x:v>3732.1479637479</x:v>
      </x:c>
      <x:c r="E2143" s="16" t="n">
        <x:v>492.8190445589</x:v>
      </x:c>
      <x:c r="F2143" s="23" t="n">
        <x:v>2</x:v>
      </x:c>
    </x:row>
    <x:row r="2144">
      <x:c r="A2144" s="15" t="n">
        <x:v>44470</x:v>
      </x:c>
      <x:c r="B2144" s="13" t="str">
        <x:v>Education</x:v>
      </x:c>
      <x:c r="C2144" s="16" t="n">
        <x:v>728.6079125479</x:v>
      </x:c>
      <x:c r="D2144" s="16" t="n">
        <x:v>507.5140954301</x:v>
      </x:c>
      <x:c r="E2144" s="16" t="n">
        <x:v>-221.0938171178</x:v>
      </x:c>
      <x:c r="F2144" s="23" t="n">
        <x:v>2</x:v>
      </x:c>
    </x:row>
    <x:row r="2145">
      <x:c r="A2145" s="15" t="n">
        <x:v>44470</x:v>
      </x:c>
      <x:c r="B2145" s="13" t="str">
        <x:v>Financials Non-Banks</x:v>
      </x:c>
      <x:c r="C2145" s="16" t="n">
        <x:v>11903.840813063</x:v>
      </x:c>
      <x:c r="D2145" s="16" t="n">
        <x:v>12432.1797478904</x:v>
      </x:c>
      <x:c r="E2145" s="16" t="n">
        <x:v>528.3389348274</x:v>
      </x:c>
      <x:c r="F2145" s="23" t="n">
        <x:v>5</x:v>
      </x:c>
    </x:row>
    <x:row r="2146">
      <x:c r="A2146" s="15" t="n">
        <x:v>44470</x:v>
      </x:c>
      <x:c r="B2146" s="13" t="str">
        <x:v>Food &amp; Beverages</x:v>
      </x:c>
      <x:c r="C2146" s="16" t="n">
        <x:v>25989.1735433644</x:v>
      </x:c>
      <x:c r="D2146" s="16" t="n">
        <x:v>29898.5098979946</x:v>
      </x:c>
      <x:c r="E2146" s="16" t="n">
        <x:v>3909.3363546301</x:v>
      </x:c>
      <x:c r="F2146" s="23" t="n">
        <x:v>5</x:v>
      </x:c>
    </x:row>
    <x:row r="2147">
      <x:c r="A2147" s="15" t="n">
        <x:v>44470</x:v>
      </x:c>
      <x:c r="B2147" s="13" t="str">
        <x:v>Health Care</x:v>
      </x:c>
      <x:c r="C2147" s="16" t="n">
        <x:v>5757.1873392219</x:v>
      </x:c>
      <x:c r="D2147" s="16" t="n">
        <x:v>5991.4876373918</x:v>
      </x:c>
      <x:c r="E2147" s="16" t="n">
        <x:v>234.3002981699</x:v>
      </x:c>
      <x:c r="F2147" s="23" t="n">
        <x:v>6</x:v>
      </x:c>
    </x:row>
    <x:row r="2148">
      <x:c r="A2148" s="15" t="n">
        <x:v>44470</x:v>
      </x:c>
      <x:c r="B2148" s="13" t="str">
        <x:v>Homebuilders</x:v>
      </x:c>
      <x:c r="C2148" s="16" t="n">
        <x:v>2450.5789589041</x:v>
      </x:c>
      <x:c r="D2148" s="16" t="n">
        <x:v>2470.4170271562</x:v>
      </x:c>
      <x:c r="E2148" s="16" t="n">
        <x:v>19.8380682521</x:v>
      </x:c>
      <x:c r="F2148" s="23" t="n">
        <x:v>3</x:v>
      </x:c>
    </x:row>
    <x:row r="2149">
      <x:c r="A2149" s="15" t="n">
        <x:v>44470</x:v>
      </x:c>
      <x:c r="B2149" s="13" t="str">
        <x:v>Income Properties</x:v>
      </x:c>
      <x:c r="C2149" s="16" t="n">
        <x:v>1679.5830887452</x:v>
      </x:c>
      <x:c r="D2149" s="16" t="n">
        <x:v>1692.9897552658</x:v>
      </x:c>
      <x:c r="E2149" s="16" t="n">
        <x:v>13.4066665205</x:v>
      </x:c>
      <x:c r="F2149" s="23" t="n">
        <x:v>4</x:v>
      </x:c>
    </x:row>
    <x:row r="2150">
      <x:c r="A2150" s="15" t="n">
        <x:v>44470</x:v>
      </x:c>
      <x:c r="B2150" s="13" t="str">
        <x:v>Metals &amp; Mining</x:v>
      </x:c>
      <x:c r="C2150" s="16" t="n">
        <x:v>154721.4258512661</x:v>
      </x:c>
      <x:c r="D2150" s="16" t="n">
        <x:v>110129.4195557699</x:v>
      </x:c>
      <x:c r="E2150" s="16" t="n">
        <x:v>-44592.0062954962</x:v>
      </x:c>
      <x:c r="F2150" s="23" t="n">
        <x:v>4</x:v>
      </x:c>
    </x:row>
    <x:row r="2151">
      <x:c r="A2151" s="15" t="n">
        <x:v>44470</x:v>
      </x:c>
      <x:c r="B2151" s="13" t="str">
        <x:v>Oil, Gas &amp; Petrochemicals</x:v>
      </x:c>
      <x:c r="C2151" s="16" t="n">
        <x:v>87110.7535009315</x:v>
      </x:c>
      <x:c r="D2151" s="16" t="n">
        <x:v>102126.4358235179</x:v>
      </x:c>
      <x:c r="E2151" s="16" t="n">
        <x:v>15015.6823225863</x:v>
      </x:c>
      <x:c r="F2151" s="23" t="n">
        <x:v>6</x:v>
      </x:c>
    </x:row>
    <x:row r="2152">
      <x:c r="A2152" s="15" t="n">
        <x:v>44470</x:v>
      </x:c>
      <x:c r="B2152" s="13" t="str">
        <x:v>Pulp &amp; Paper</x:v>
      </x:c>
      <x:c r="C2152" s="16" t="n">
        <x:v>13117.8530451287</x:v>
      </x:c>
      <x:c r="D2152" s="16" t="n">
        <x:v>9144.360154126</x:v>
      </x:c>
      <x:c r="E2152" s="16" t="n">
        <x:v>-3973.4928910027</x:v>
      </x:c>
      <x:c r="F2152" s="23" t="n">
        <x:v>2</x:v>
      </x:c>
    </x:row>
    <x:row r="2153">
      <x:c r="A2153" s="15" t="n">
        <x:v>44470</x:v>
      </x:c>
      <x:c r="B2153" s="13" t="str">
        <x:v>Retail</x:v>
      </x:c>
      <x:c r="C2153" s="16" t="n">
        <x:v>10003.0180176658</x:v>
      </x:c>
      <x:c r="D2153" s="16" t="n">
        <x:v>10411.8446061589</x:v>
      </x:c>
      <x:c r="E2153" s="16" t="n">
        <x:v>408.8265884931</x:v>
      </x:c>
      <x:c r="F2153" s="23" t="n">
        <x:v>10</x:v>
      </x:c>
    </x:row>
    <x:row r="2154">
      <x:c r="A2154" s="15" t="n">
        <x:v>44470</x:v>
      </x:c>
      <x:c r="B2154" s="13" t="str">
        <x:v>Sanitation</x:v>
      </x:c>
      <x:c r="C2154" s="16" t="n">
        <x:v>3266.3928172712</x:v>
      </x:c>
      <x:c r="D2154" s="16" t="n">
        <x:v>3079.1661034959</x:v>
      </x:c>
      <x:c r="E2154" s="16" t="n">
        <x:v>-187.2267137753</x:v>
      </x:c>
      <x:c r="F2154" s="23" t="n">
        <x:v>1</x:v>
      </x:c>
    </x:row>
    <x:row r="2155">
      <x:c r="A2155" s="15" t="n">
        <x:v>44470</x:v>
      </x:c>
      <x:c r="B2155" s="13" t="str">
        <x:v>TMT</x:v>
      </x:c>
      <x:c r="C2155" s="16" t="n">
        <x:v>3020.8517388274</x:v>
      </x:c>
      <x:c r="D2155" s="16" t="n">
        <x:v>2964.7017740274</x:v>
      </x:c>
      <x:c r="E2155" s="16" t="n">
        <x:v>-56.1499648</x:v>
      </x:c>
      <x:c r="F2155" s="23" t="n">
        <x:v>2</x:v>
      </x:c>
    </x:row>
    <x:row r="2156">
      <x:c r="A2156" s="15" t="n">
        <x:v>44470</x:v>
      </x:c>
      <x:c r="B2156" s="13" t="str">
        <x:v>Transportation</x:v>
      </x:c>
      <x:c r="C2156" s="16" t="n">
        <x:v>2867.7731471781</x:v>
      </x:c>
      <x:c r="D2156" s="16" t="n">
        <x:v>3390.6231731726</x:v>
      </x:c>
      <x:c r="E2156" s="16" t="n">
        <x:v>522.8500259945</x:v>
      </x:c>
      <x:c r="F2156" s="23" t="n">
        <x:v>7</x:v>
      </x:c>
    </x:row>
    <x:row r="2157">
      <x:c r="A2157" s="15" t="n">
        <x:v>44470</x:v>
      </x:c>
      <x:c r="B2157" s="13" t="str">
        <x:v>Utilities &amp; Energy</x:v>
      </x:c>
      <x:c r="C2157" s="16" t="n">
        <x:v>39387.3080351562</x:v>
      </x:c>
      <x:c r="D2157" s="16" t="n">
        <x:v>39742.7590484164</x:v>
      </x:c>
      <x:c r="E2157" s="16" t="n">
        <x:v>355.4510132603</x:v>
      </x:c>
      <x:c r="F2157" s="23" t="n">
        <x:v>11</x:v>
      </x:c>
    </x:row>
    <x:row r="2158">
      <x:c r="A2158" s="15" t="n">
        <x:v>44501</x:v>
      </x:c>
      <x:c r="B2158" s="13" t="str">
        <x:v>Banks</x:v>
      </x:c>
      <x:c r="C2158" s="16" t="n">
        <x:v>125873.2274991341</x:v>
      </x:c>
      <x:c r="D2158" s="16" t="n">
        <x:v>130137.4557339835</x:v>
      </x:c>
      <x:c r="E2158" s="16" t="n">
        <x:v>4264.2282348494</x:v>
      </x:c>
      <x:c r="F2158" s="23" t="n">
        <x:v>7</x:v>
      </x:c>
    </x:row>
    <x:row r="2159">
      <x:c r="A2159" s="15" t="n">
        <x:v>44501</x:v>
      </x:c>
      <x:c r="B2159" s="13" t="str">
        <x:v>Capital Goods</x:v>
      </x:c>
      <x:c r="C2159" s="16" t="n">
        <x:v>3626.4583940384</x:v>
      </x:c>
      <x:c r="D2159" s="16" t="n">
        <x:v>4008.5411250849</x:v>
      </x:c>
      <x:c r="E2159" s="16" t="n">
        <x:v>382.0827310466</x:v>
      </x:c>
      <x:c r="F2159" s="23" t="n">
        <x:v>2</x:v>
      </x:c>
    </x:row>
    <x:row r="2160">
      <x:c r="A2160" s="15" t="n">
        <x:v>44501</x:v>
      </x:c>
      <x:c r="B2160" s="13" t="str">
        <x:v>Education</x:v>
      </x:c>
      <x:c r="C2160" s="16" t="n">
        <x:v>566.1401832219</x:v>
      </x:c>
      <x:c r="D2160" s="16" t="n">
        <x:v>148.1984620712</x:v>
      </x:c>
      <x:c r="E2160" s="16" t="n">
        <x:v>-417.9417211507</x:v>
      </x:c>
      <x:c r="F2160" s="23" t="n">
        <x:v>2</x:v>
      </x:c>
    </x:row>
    <x:row r="2161">
      <x:c r="A2161" s="15" t="n">
        <x:v>44501</x:v>
      </x:c>
      <x:c r="B2161" s="13" t="str">
        <x:v>Financials Non-Banks</x:v>
      </x:c>
      <x:c r="C2161" s="16" t="n">
        <x:v>23040.803442674</x:v>
      </x:c>
      <x:c r="D2161" s="16" t="n">
        <x:v>23415.2900815561</x:v>
      </x:c>
      <x:c r="E2161" s="16" t="n">
        <x:v>374.4866388821</x:v>
      </x:c>
      <x:c r="F2161" s="23" t="n">
        <x:v>6</x:v>
      </x:c>
    </x:row>
    <x:row r="2162">
      <x:c r="A2162" s="15" t="n">
        <x:v>44501</x:v>
      </x:c>
      <x:c r="B2162" s="13" t="str">
        <x:v>Food &amp; Beverages</x:v>
      </x:c>
      <x:c r="C2162" s="16" t="n">
        <x:v>25273.439161863</x:v>
      </x:c>
      <x:c r="D2162" s="16" t="n">
        <x:v>33189.6969873534</x:v>
      </x:c>
      <x:c r="E2162" s="16" t="n">
        <x:v>7916.2578254904</x:v>
      </x:c>
      <x:c r="F2162" s="23" t="n">
        <x:v>5</x:v>
      </x:c>
    </x:row>
    <x:row r="2163">
      <x:c r="A2163" s="15" t="n">
        <x:v>44501</x:v>
      </x:c>
      <x:c r="B2163" s="13" t="str">
        <x:v>Health Care</x:v>
      </x:c>
      <x:c r="C2163" s="16" t="n">
        <x:v>5883.8952977534</x:v>
      </x:c>
      <x:c r="D2163" s="16" t="n">
        <x:v>5836.0216693041</x:v>
      </x:c>
      <x:c r="E2163" s="16" t="n">
        <x:v>-47.8736284493</x:v>
      </x:c>
      <x:c r="F2163" s="23" t="n">
        <x:v>6</x:v>
      </x:c>
    </x:row>
    <x:row r="2164">
      <x:c r="A2164" s="15" t="n">
        <x:v>44501</x:v>
      </x:c>
      <x:c r="B2164" s="13" t="str">
        <x:v>Homebuilders</x:v>
      </x:c>
      <x:c r="C2164" s="16" t="n">
        <x:v>2467.6352461151</x:v>
      </x:c>
      <x:c r="D2164" s="16" t="n">
        <x:v>2445.605778937</x:v>
      </x:c>
      <x:c r="E2164" s="16" t="n">
        <x:v>-22.0294671781</x:v>
      </x:c>
      <x:c r="F2164" s="23" t="n">
        <x:v>3</x:v>
      </x:c>
    </x:row>
    <x:row r="2165">
      <x:c r="A2165" s="15" t="n">
        <x:v>44501</x:v>
      </x:c>
      <x:c r="B2165" s="13" t="str">
        <x:v>Income Properties</x:v>
      </x:c>
      <x:c r="C2165" s="16" t="n">
        <x:v>1360.7098943123</x:v>
      </x:c>
      <x:c r="D2165" s="16" t="n">
        <x:v>1718.9180061808</x:v>
      </x:c>
      <x:c r="E2165" s="16" t="n">
        <x:v>358.2081118685</x:v>
      </x:c>
      <x:c r="F2165" s="23" t="n">
        <x:v>3</x:v>
      </x:c>
    </x:row>
    <x:row r="2166">
      <x:c r="A2166" s="15" t="n">
        <x:v>44501</x:v>
      </x:c>
      <x:c r="B2166" s="13" t="str">
        <x:v>Metals &amp; Mining</x:v>
      </x:c>
      <x:c r="C2166" s="16" t="n">
        <x:v>150100.7141537318</x:v>
      </x:c>
      <x:c r="D2166" s="16" t="n">
        <x:v>96379.5848991561</x:v>
      </x:c>
      <x:c r="E2166" s="16" t="n">
        <x:v>-53721.1292545756</x:v>
      </x:c>
      <x:c r="F2166" s="23" t="n">
        <x:v>4</x:v>
      </x:c>
    </x:row>
    <x:row r="2167">
      <x:c r="A2167" s="15" t="n">
        <x:v>44501</x:v>
      </x:c>
      <x:c r="B2167" s="13" t="str">
        <x:v>Oil, Gas &amp; Petrochemicals</x:v>
      </x:c>
      <x:c r="C2167" s="16" t="n">
        <x:v>91126.2962333808</x:v>
      </x:c>
      <x:c r="D2167" s="16" t="n">
        <x:v>112780.0945937534</x:v>
      </x:c>
      <x:c r="E2167" s="16" t="n">
        <x:v>21653.7983603726</x:v>
      </x:c>
      <x:c r="F2167" s="23" t="n">
        <x:v>6</x:v>
      </x:c>
    </x:row>
    <x:row r="2168">
      <x:c r="A2168" s="15" t="n">
        <x:v>44501</x:v>
      </x:c>
      <x:c r="B2168" s="13" t="str">
        <x:v>Pulp &amp; Paper</x:v>
      </x:c>
      <x:c r="C2168" s="16" t="n">
        <x:v>11674.7773369863</x:v>
      </x:c>
      <x:c r="D2168" s="16" t="n">
        <x:v>7991.8206667397</x:v>
      </x:c>
      <x:c r="E2168" s="16" t="n">
        <x:v>-3682.9566702466</x:v>
      </x:c>
      <x:c r="F2168" s="23" t="n">
        <x:v>2</x:v>
      </x:c>
    </x:row>
    <x:row r="2169">
      <x:c r="A2169" s="15" t="n">
        <x:v>44501</x:v>
      </x:c>
      <x:c r="B2169" s="13" t="str">
        <x:v>Retail</x:v>
      </x:c>
      <x:c r="C2169" s="16" t="n">
        <x:v>10442.6212874521</x:v>
      </x:c>
      <x:c r="D2169" s="16" t="n">
        <x:v>8727.586415474</x:v>
      </x:c>
      <x:c r="E2169" s="16" t="n">
        <x:v>-1715.0348719781</x:v>
      </x:c>
      <x:c r="F2169" s="23" t="n">
        <x:v>11</x:v>
      </x:c>
    </x:row>
    <x:row r="2170">
      <x:c r="A2170" s="15" t="n">
        <x:v>44501</x:v>
      </x:c>
      <x:c r="B2170" s="13" t="str">
        <x:v>Sanitation</x:v>
      </x:c>
      <x:c r="C2170" s="16" t="n">
        <x:v>3142.0942595507</x:v>
      </x:c>
      <x:c r="D2170" s="16" t="n">
        <x:v>3047.4072660164</x:v>
      </x:c>
      <x:c r="E2170" s="16" t="n">
        <x:v>-94.6869935342</x:v>
      </x:c>
      <x:c r="F2170" s="23" t="n">
        <x:v>1</x:v>
      </x:c>
    </x:row>
    <x:row r="2171">
      <x:c r="A2171" s="15" t="n">
        <x:v>44501</x:v>
      </x:c>
      <x:c r="B2171" s="13" t="str">
        <x:v>TMT</x:v>
      </x:c>
      <x:c r="C2171" s="16" t="n">
        <x:v>2957.0925920438</x:v>
      </x:c>
      <x:c r="D2171" s="16" t="n">
        <x:v>2967.5603286795</x:v>
      </x:c>
      <x:c r="E2171" s="16" t="n">
        <x:v>10.4677366356</x:v>
      </x:c>
      <x:c r="F2171" s="23" t="n">
        <x:v>2</x:v>
      </x:c>
    </x:row>
    <x:row r="2172">
      <x:c r="A2172" s="15" t="n">
        <x:v>44501</x:v>
      </x:c>
      <x:c r="B2172" s="13" t="str">
        <x:v>Transportation</x:v>
      </x:c>
      <x:c r="C2172" s="16" t="n">
        <x:v>2996.7328715836</x:v>
      </x:c>
      <x:c r="D2172" s="16" t="n">
        <x:v>2751.1414496438</x:v>
      </x:c>
      <x:c r="E2172" s="16" t="n">
        <x:v>-245.5914219397</x:v>
      </x:c>
      <x:c r="F2172" s="23" t="n">
        <x:v>7</x:v>
      </x:c>
    </x:row>
    <x:row r="2173">
      <x:c r="A2173" s="15" t="n">
        <x:v>44501</x:v>
      </x:c>
      <x:c r="B2173" s="13" t="str">
        <x:v>Utilities &amp; Energy</x:v>
      </x:c>
      <x:c r="C2173" s="16" t="n">
        <x:v>36480.0463142575</x:v>
      </x:c>
      <x:c r="D2173" s="16" t="n">
        <x:v>38562.9807758027</x:v>
      </x:c>
      <x:c r="E2173" s="16" t="n">
        <x:v>2082.9344615452</x:v>
      </x:c>
      <x:c r="F2173" s="23" t="n">
        <x:v>10</x:v>
      </x:c>
    </x:row>
    <x:row r="2174">
      <x:c r="A2174" s="15" t="n">
        <x:v>44531</x:v>
      </x:c>
      <x:c r="B2174" s="13" t="str">
        <x:v>Banks</x:v>
      </x:c>
      <x:c r="C2174" s="16" t="n">
        <x:v>128871.5479254357</x:v>
      </x:c>
      <x:c r="D2174" s="16" t="n">
        <x:v>132407.499568</x:v>
      </x:c>
      <x:c r="E2174" s="16" t="n">
        <x:v>3535.9516425643</x:v>
      </x:c>
      <x:c r="F2174" s="23" t="n">
        <x:v>9</x:v>
      </x:c>
    </x:row>
    <x:row r="2175">
      <x:c r="A2175" s="15" t="n">
        <x:v>44531</x:v>
      </x:c>
      <x:c r="B2175" s="13" t="str">
        <x:v>Capital Goods</x:v>
      </x:c>
      <x:c r="C2175" s="16" t="n">
        <x:v>3654.3210924712</x:v>
      </x:c>
      <x:c r="D2175" s="16" t="n">
        <x:v>4085.58</x:v>
      </x:c>
      <x:c r="E2175" s="16" t="n">
        <x:v>431.2589075288</x:v>
      </x:c>
      <x:c r="F2175" s="23" t="n">
        <x:v>2</x:v>
      </x:c>
    </x:row>
    <x:row r="2176">
      <x:c r="A2176" s="15" t="n">
        <x:v>44531</x:v>
      </x:c>
      <x:c r="B2176" s="13" t="str">
        <x:v>Education</x:v>
      </x:c>
      <x:c r="C2176" s="16" t="n">
        <x:v>485.8856558027</x:v>
      </x:c>
      <x:c r="D2176" s="16" t="n">
        <x:v>218.499968</x:v>
      </x:c>
      <x:c r="E2176" s="16" t="n">
        <x:v>-267.3856878027</x:v>
      </x:c>
      <x:c r="F2176" s="23" t="n">
        <x:v>2</x:v>
      </x:c>
    </x:row>
    <x:row r="2177">
      <x:c r="A2177" s="15" t="n">
        <x:v>44531</x:v>
      </x:c>
      <x:c r="B2177" s="13" t="str">
        <x:v>Financials Non-Banks</x:v>
      </x:c>
      <x:c r="C2177" s="16" t="n">
        <x:v>22720.9160704439</x:v>
      </x:c>
      <x:c r="D2177" s="16" t="n">
        <x:v>23548.629832</x:v>
      </x:c>
      <x:c r="E2177" s="16" t="n">
        <x:v>827.7137615561</x:v>
      </x:c>
      <x:c r="F2177" s="23" t="n">
        <x:v>7</x:v>
      </x:c>
    </x:row>
    <x:row r="2178">
      <x:c r="A2178" s="15" t="n">
        <x:v>44531</x:v>
      </x:c>
      <x:c r="B2178" s="13" t="str">
        <x:v>Food &amp; Beverages</x:v>
      </x:c>
      <x:c r="C2178" s="16" t="n">
        <x:v>28642.9145377315</x:v>
      </x:c>
      <x:c r="D2178" s="16" t="n">
        <x:v>31218.15168</x:v>
      </x:c>
      <x:c r="E2178" s="16" t="n">
        <x:v>2575.2371422685</x:v>
      </x:c>
      <x:c r="F2178" s="23" t="n">
        <x:v>5</x:v>
      </x:c>
    </x:row>
    <x:row r="2179">
      <x:c r="A2179" s="15" t="n">
        <x:v>44531</x:v>
      </x:c>
      <x:c r="B2179" s="13" t="str">
        <x:v>Health Care</x:v>
      </x:c>
      <x:c r="C2179" s="16" t="n">
        <x:v>8740.8626942247</x:v>
      </x:c>
      <x:c r="D2179" s="16" t="n">
        <x:v>8309.192896</x:v>
      </x:c>
      <x:c r="E2179" s="16" t="n">
        <x:v>-431.6697982247</x:v>
      </x:c>
      <x:c r="F2179" s="23" t="n">
        <x:v>7</x:v>
      </x:c>
    </x:row>
    <x:row r="2180">
      <x:c r="A2180" s="15" t="n">
        <x:v>44531</x:v>
      </x:c>
      <x:c r="B2180" s="13" t="str">
        <x:v>Homebuilders</x:v>
      </x:c>
      <x:c r="C2180" s="16" t="n">
        <x:v>2479.477452274</x:v>
      </x:c>
      <x:c r="D2180" s="16" t="n">
        <x:v>2452.857024</x:v>
      </x:c>
      <x:c r="E2180" s="16" t="n">
        <x:v>-26.620428274</x:v>
      </x:c>
      <x:c r="F2180" s="23" t="n">
        <x:v>3</x:v>
      </x:c>
    </x:row>
    <x:row r="2181">
      <x:c r="A2181" s="15" t="n">
        <x:v>44531</x:v>
      </x:c>
      <x:c r="B2181" s="13" t="str">
        <x:v>Income Properties</x:v>
      </x:c>
      <x:c r="C2181" s="16" t="n">
        <x:v>1382.1232166575</x:v>
      </x:c>
      <x:c r="D2181" s="16" t="n">
        <x:v>1756.167008</x:v>
      </x:c>
      <x:c r="E2181" s="16" t="n">
        <x:v>374.0437913425</x:v>
      </x:c>
      <x:c r="F2181" s="23" t="n">
        <x:v>3</x:v>
      </x:c>
    </x:row>
    <x:row r="2182">
      <x:c r="A2182" s="15" t="n">
        <x:v>44531</x:v>
      </x:c>
      <x:c r="B2182" s="13" t="str">
        <x:v>Metals &amp; Mining</x:v>
      </x:c>
      <x:c r="C2182" s="16" t="n">
        <x:v>130739.2082116379</x:v>
      </x:c>
      <x:c r="D2182" s="16" t="n">
        <x:v>89658.94784</x:v>
      </x:c>
      <x:c r="E2182" s="16" t="n">
        <x:v>-41080.2603716379</x:v>
      </x:c>
      <x:c r="F2182" s="23" t="n">
        <x:v>4</x:v>
      </x:c>
    </x:row>
    <x:row r="2183">
      <x:c r="A2183" s="15" t="n">
        <x:v>44531</x:v>
      </x:c>
      <x:c r="B2183" s="13" t="str">
        <x:v>Oil, Gas &amp; Petrochemicals</x:v>
      </x:c>
      <x:c r="C2183" s="16" t="n">
        <x:v>94298.8426075178</x:v>
      </x:c>
      <x:c r="D2183" s="16" t="n">
        <x:v>110924.657152</x:v>
      </x:c>
      <x:c r="E2183" s="16" t="n">
        <x:v>16625.8145444822</x:v>
      </x:c>
      <x:c r="F2183" s="23" t="n">
        <x:v>6</x:v>
      </x:c>
    </x:row>
    <x:row r="2184">
      <x:c r="A2184" s="15" t="n">
        <x:v>44531</x:v>
      </x:c>
      <x:c r="B2184" s="13" t="str">
        <x:v>Pulp &amp; Paper</x:v>
      </x:c>
      <x:c r="C2184" s="16" t="n">
        <x:v>11613.5463253918</x:v>
      </x:c>
      <x:c r="D2184" s="16" t="n">
        <x:v>8535.030144</x:v>
      </x:c>
      <x:c r="E2184" s="16" t="n">
        <x:v>-3078.5161813918</x:v>
      </x:c>
      <x:c r="F2184" s="23" t="n">
        <x:v>3</x:v>
      </x:c>
    </x:row>
    <x:row r="2185">
      <x:c r="A2185" s="15" t="n">
        <x:v>44531</x:v>
      </x:c>
      <x:c r="B2185" s="13" t="str">
        <x:v>Retail</x:v>
      </x:c>
      <x:c r="C2185" s="16" t="n">
        <x:v>11304.8587227616</x:v>
      </x:c>
      <x:c r="D2185" s="16" t="n">
        <x:v>8537.698904</x:v>
      </x:c>
      <x:c r="E2185" s="16" t="n">
        <x:v>-2767.1598187616</x:v>
      </x:c>
      <x:c r="F2185" s="23" t="n">
        <x:v>13</x:v>
      </x:c>
    </x:row>
    <x:row r="2186">
      <x:c r="A2186" s="15" t="n">
        <x:v>44531</x:v>
      </x:c>
      <x:c r="B2186" s="13" t="str">
        <x:v>Sanitation</x:v>
      </x:c>
      <x:c r="C2186" s="16" t="n">
        <x:v>3048.7097435178</x:v>
      </x:c>
      <x:c r="D2186" s="16" t="n">
        <x:v>3111.500032</x:v>
      </x:c>
      <x:c r="E2186" s="16" t="n">
        <x:v>62.7902884822</x:v>
      </x:c>
      <x:c r="F2186" s="23" t="n">
        <x:v>1</x:v>
      </x:c>
    </x:row>
    <x:row r="2187">
      <x:c r="A2187" s="15" t="n">
        <x:v>44531</x:v>
      </x:c>
      <x:c r="B2187" s="13" t="str">
        <x:v>TMT</x:v>
      </x:c>
      <x:c r="C2187" s="16" t="n">
        <x:v>3168.8231085589</x:v>
      </x:c>
      <x:c r="D2187" s="16" t="n">
        <x:v>3051.421952</x:v>
      </x:c>
      <x:c r="E2187" s="16" t="n">
        <x:v>-117.4011565589</x:v>
      </x:c>
      <x:c r="F2187" s="23" t="n">
        <x:v>3</x:v>
      </x:c>
    </x:row>
    <x:row r="2188">
      <x:c r="A2188" s="15" t="n">
        <x:v>44531</x:v>
      </x:c>
      <x:c r="B2188" s="13" t="str">
        <x:v>Transportation</x:v>
      </x:c>
      <x:c r="C2188" s="16" t="n">
        <x:v>3384.9046922521</x:v>
      </x:c>
      <x:c r="D2188" s="16" t="n">
        <x:v>3342.348128</x:v>
      </x:c>
      <x:c r="E2188" s="16" t="n">
        <x:v>-42.5565642521</x:v>
      </x:c>
      <x:c r="F2188" s="23" t="n">
        <x:v>7</x:v>
      </x:c>
    </x:row>
    <x:row r="2189">
      <x:c r="A2189" s="15" t="n">
        <x:v>44531</x:v>
      </x:c>
      <x:c r="B2189" s="13" t="str">
        <x:v>Utilities &amp; Energy</x:v>
      </x:c>
      <x:c r="C2189" s="16" t="n">
        <x:v>39649.1832551452</x:v>
      </x:c>
      <x:c r="D2189" s="16" t="n">
        <x:v>39066.519424</x:v>
      </x:c>
      <x:c r="E2189" s="16" t="n">
        <x:v>-582.6638311452</x:v>
      </x:c>
      <x:c r="F2189" s="23" t="n">
        <x:v>11</x:v>
      </x:c>
    </x:row>
    <x:row r="2190">
      <x:c r="A2190" s="15" t="n">
        <x:v>44562</x:v>
      </x:c>
      <x:c r="B2190" s="13" t="str">
        <x:v>Banks</x:v>
      </x:c>
      <x:c r="C2190" s="16" t="n">
        <x:v>129731.2713710904</x:v>
      </x:c>
      <x:c r="D2190" s="16" t="n">
        <x:v>134557.599481337</x:v>
      </x:c>
      <x:c r="E2190" s="16" t="n">
        <x:v>4826.3281102466</x:v>
      </x:c>
      <x:c r="F2190" s="23" t="n">
        <x:v>8</x:v>
      </x:c>
    </x:row>
    <x:row r="2191">
      <x:c r="A2191" s="15" t="n">
        <x:v>44562</x:v>
      </x:c>
      <x:c r="B2191" s="13" t="str">
        <x:v>Capital Goods</x:v>
      </x:c>
      <x:c r="C2191" s="16" t="n">
        <x:v>3732.1479637479</x:v>
      </x:c>
      <x:c r="D2191" s="16" t="n">
        <x:v>4240.2693533808</x:v>
      </x:c>
      <x:c r="E2191" s="16" t="n">
        <x:v>508.1213896329</x:v>
      </x:c>
      <x:c r="F2191" s="23" t="n">
        <x:v>2</x:v>
      </x:c>
    </x:row>
    <x:row r="2192">
      <x:c r="A2192" s="15" t="n">
        <x:v>44562</x:v>
      </x:c>
      <x:c r="B2192" s="13" t="str">
        <x:v>Education</x:v>
      </x:c>
      <x:c r="C2192" s="16" t="n">
        <x:v>507.5140954301</x:v>
      </x:c>
      <x:c r="D2192" s="16" t="n">
        <x:v>160.0853543452</x:v>
      </x:c>
      <x:c r="E2192" s="16" t="n">
        <x:v>-347.4287410849</x:v>
      </x:c>
      <x:c r="F2192" s="23" t="n">
        <x:v>2</x:v>
      </x:c>
    </x:row>
    <x:row r="2193">
      <x:c r="A2193" s="15" t="n">
        <x:v>44562</x:v>
      </x:c>
      <x:c r="B2193" s="13" t="str">
        <x:v>Financials Non-Banks</x:v>
      </x:c>
      <x:c r="C2193" s="16" t="n">
        <x:v>12441.2085125479</x:v>
      </x:c>
      <x:c r="D2193" s="16" t="n">
        <x:v>12383.0888227288</x:v>
      </x:c>
      <x:c r="E2193" s="16" t="n">
        <x:v>-58.1196898192</x:v>
      </x:c>
      <x:c r="F2193" s="23" t="n">
        <x:v>6</x:v>
      </x:c>
    </x:row>
    <x:row r="2194">
      <x:c r="A2194" s="15" t="n">
        <x:v>44562</x:v>
      </x:c>
      <x:c r="B2194" s="13" t="str">
        <x:v>Food &amp; Beverages</x:v>
      </x:c>
      <x:c r="C2194" s="16" t="n">
        <x:v>29898.5098979946</x:v>
      </x:c>
      <x:c r="D2194" s="16" t="n">
        <x:v>30939.9070607781</x:v>
      </x:c>
      <x:c r="E2194" s="16" t="n">
        <x:v>1041.3971627835</x:v>
      </x:c>
      <x:c r="F2194" s="23" t="n">
        <x:v>5</x:v>
      </x:c>
    </x:row>
    <x:row r="2195">
      <x:c r="A2195" s="15" t="n">
        <x:v>44562</x:v>
      </x:c>
      <x:c r="B2195" s="13" t="str">
        <x:v>Health Care</x:v>
      </x:c>
      <x:c r="C2195" s="16" t="n">
        <x:v>8754.2895345973</x:v>
      </x:c>
      <x:c r="D2195" s="16" t="n">
        <x:v>8011.0499723397</x:v>
      </x:c>
      <x:c r="E2195" s="16" t="n">
        <x:v>-743.2395622575</x:v>
      </x:c>
      <x:c r="F2195" s="23" t="n">
        <x:v>7</x:v>
      </x:c>
    </x:row>
    <x:row r="2196">
      <x:c r="A2196" s="15" t="n">
        <x:v>44562</x:v>
      </x:c>
      <x:c r="B2196" s="13" t="str">
        <x:v>Homebuilders</x:v>
      </x:c>
      <x:c r="C2196" s="16" t="n">
        <x:v>2470.4170271562</x:v>
      </x:c>
      <x:c r="D2196" s="16" t="n">
        <x:v>2390.3174680548</x:v>
      </x:c>
      <x:c r="E2196" s="16" t="n">
        <x:v>-80.0995591014</x:v>
      </x:c>
      <x:c r="F2196" s="23" t="n">
        <x:v>3</x:v>
      </x:c>
    </x:row>
    <x:row r="2197">
      <x:c r="A2197" s="15" t="n">
        <x:v>44562</x:v>
      </x:c>
      <x:c r="B2197" s="13" t="str">
        <x:v>Income Properties</x:v>
      </x:c>
      <x:c r="C2197" s="16" t="n">
        <x:v>1444.9363306082</x:v>
      </x:c>
      <x:c r="D2197" s="16" t="n">
        <x:v>1810.6030988274</x:v>
      </x:c>
      <x:c r="E2197" s="16" t="n">
        <x:v>365.6667682192</x:v>
      </x:c>
      <x:c r="F2197" s="23" t="n">
        <x:v>3</x:v>
      </x:c>
    </x:row>
    <x:row r="2198">
      <x:c r="A2198" s="15" t="n">
        <x:v>44562</x:v>
      </x:c>
      <x:c r="B2198" s="13" t="str">
        <x:v>Metals &amp; Mining</x:v>
      </x:c>
      <x:c r="C2198" s="16" t="n">
        <x:v>110129.4195557699</x:v>
      </x:c>
      <x:c r="D2198" s="16" t="n">
        <x:v>93324.3161291397</x:v>
      </x:c>
      <x:c r="E2198" s="16" t="n">
        <x:v>-16805.1034266301</x:v>
      </x:c>
      <x:c r="F2198" s="23" t="n">
        <x:v>4</x:v>
      </x:c>
    </x:row>
    <x:row r="2199">
      <x:c r="A2199" s="15" t="n">
        <x:v>44562</x:v>
      </x:c>
      <x:c r="B2199" s="13" t="str">
        <x:v>Oil, Gas &amp; Petrochemicals</x:v>
      </x:c>
      <x:c r="C2199" s="16" t="n">
        <x:v>102126.4358235179</x:v>
      </x:c>
      <x:c r="D2199" s="16" t="n">
        <x:v>113251.105190926</x:v>
      </x:c>
      <x:c r="E2199" s="16" t="n">
        <x:v>11124.6693674082</x:v>
      </x:c>
      <x:c r="F2199" s="23" t="n">
        <x:v>6</x:v>
      </x:c>
    </x:row>
    <x:row r="2200">
      <x:c r="A2200" s="15" t="n">
        <x:v>44562</x:v>
      </x:c>
      <x:c r="B2200" s="13" t="str">
        <x:v>Pulp &amp; Paper</x:v>
      </x:c>
      <x:c r="C2200" s="16" t="n">
        <x:v>10124.5820608877</x:v>
      </x:c>
      <x:c r="D2200" s="16" t="n">
        <x:v>9129.8824614575</x:v>
      </x:c>
      <x:c r="E2200" s="16" t="n">
        <x:v>-994.6995994301</x:v>
      </x:c>
      <x:c r="F2200" s="23" t="n">
        <x:v>3</x:v>
      </x:c>
    </x:row>
    <x:row r="2201">
      <x:c r="A2201" s="15" t="n">
        <x:v>44562</x:v>
      </x:c>
      <x:c r="B2201" s="13" t="str">
        <x:v>Retail</x:v>
      </x:c>
      <x:c r="C2201" s="16" t="n">
        <x:v>10339.9794071233</x:v>
      </x:c>
      <x:c r="D2201" s="16" t="n">
        <x:v>7797.2021086575</x:v>
      </x:c>
      <x:c r="E2201" s="16" t="n">
        <x:v>-2542.7772984657</x:v>
      </x:c>
      <x:c r="F2201" s="23" t="n">
        <x:v>11</x:v>
      </x:c>
    </x:row>
    <x:row r="2202">
      <x:c r="A2202" s="15" t="n">
        <x:v>44562</x:v>
      </x:c>
      <x:c r="B2202" s="13" t="str">
        <x:v>Sanitation</x:v>
      </x:c>
      <x:c r="C2202" s="16" t="n">
        <x:v>3079.1661034959</x:v>
      </x:c>
      <x:c r="D2202" s="16" t="n">
        <x:v>3000.7344310356</x:v>
      </x:c>
      <x:c r="E2202" s="16" t="n">
        <x:v>-78.4316724603</x:v>
      </x:c>
      <x:c r="F2202" s="23" t="n">
        <x:v>1</x:v>
      </x:c>
    </x:row>
    <x:row r="2203">
      <x:c r="A2203" s="15" t="n">
        <x:v>44562</x:v>
      </x:c>
      <x:c r="B2203" s="13" t="str">
        <x:v>TMT</x:v>
      </x:c>
      <x:c r="C2203" s="16" t="n">
        <x:v>3152.383186126</x:v>
      </x:c>
      <x:c r="D2203" s="16" t="n">
        <x:v>3054.3627817205</x:v>
      </x:c>
      <x:c r="E2203" s="16" t="n">
        <x:v>-98.0204044055</x:v>
      </x:c>
      <x:c r="F2203" s="23" t="n">
        <x:v>3</x:v>
      </x:c>
    </x:row>
    <x:row r="2204">
      <x:c r="A2204" s="15" t="n">
        <x:v>44562</x:v>
      </x:c>
      <x:c r="B2204" s="13" t="str">
        <x:v>Transportation</x:v>
      </x:c>
      <x:c r="C2204" s="16" t="n">
        <x:v>3390.6231731726</x:v>
      </x:c>
      <x:c r="D2204" s="16" t="n">
        <x:v>3953.5253129096</x:v>
      </x:c>
      <x:c r="E2204" s="16" t="n">
        <x:v>562.902139737</x:v>
      </x:c>
      <x:c r="F2204" s="23" t="n">
        <x:v>7</x:v>
      </x:c>
    </x:row>
    <x:row r="2205">
      <x:c r="A2205" s="15" t="n">
        <x:v>44562</x:v>
      </x:c>
      <x:c r="B2205" s="13" t="str">
        <x:v>Utilities &amp; Energy</x:v>
      </x:c>
      <x:c r="C2205" s="16" t="n">
        <x:v>39742.7590484164</x:v>
      </x:c>
      <x:c r="D2205" s="16" t="n">
        <x:v>38403.0094995288</x:v>
      </x:c>
      <x:c r="E2205" s="16" t="n">
        <x:v>-1339.7495488877</x:v>
      </x:c>
      <x:c r="F2205" s="23" t="n">
        <x:v>11</x:v>
      </x:c>
    </x:row>
    <x:row r="2206">
      <x:c r="A2206" s="15" t="n">
        <x:v>44593</x:v>
      </x:c>
      <x:c r="B2206" s="13" t="str">
        <x:v>Banks</x:v>
      </x:c>
      <x:c r="C2206" s="16" t="n">
        <x:v>131246.2721430575</x:v>
      </x:c>
      <x:c r="D2206" s="16" t="n">
        <x:v>136836.4013098081</x:v>
      </x:c>
      <x:c r="E2206" s="16" t="n">
        <x:v>5590.1291667506</x:v>
      </x:c>
      <x:c r="F2206" s="23" t="n">
        <x:v>8</x:v>
      </x:c>
    </x:row>
    <x:row r="2207">
      <x:c r="A2207" s="15" t="n">
        <x:v>44593</x:v>
      </x:c>
      <x:c r="B2207" s="13" t="str">
        <x:v>Capital Goods</x:v>
      </x:c>
      <x:c r="C2207" s="16" t="n">
        <x:v>4008.5411250849</x:v>
      </x:c>
      <x:c r="D2207" s="16" t="n">
        <x:v>4056.129516011</x:v>
      </x:c>
      <x:c r="E2207" s="16" t="n">
        <x:v>47.588390926</x:v>
      </x:c>
      <x:c r="F2207" s="23" t="n">
        <x:v>2</x:v>
      </x:c>
    </x:row>
    <x:row r="2208">
      <x:c r="A2208" s="15" t="n">
        <x:v>44593</x:v>
      </x:c>
      <x:c r="B2208" s="13" t="str">
        <x:v>Education</x:v>
      </x:c>
      <x:c r="C2208" s="16" t="n">
        <x:v>148.1984620712</x:v>
      </x:c>
      <x:c r="D2208" s="16" t="n">
        <x:v>210.4938701973</x:v>
      </x:c>
      <x:c r="E2208" s="16" t="n">
        <x:v>62.295408126</x:v>
      </x:c>
      <x:c r="F2208" s="23" t="n">
        <x:v>2</x:v>
      </x:c>
    </x:row>
    <x:row r="2209">
      <x:c r="A2209" s="15" t="n">
        <x:v>44593</x:v>
      </x:c>
      <x:c r="B2209" s="13" t="str">
        <x:v>Financials Non-Banks</x:v>
      </x:c>
      <x:c r="C2209" s="16" t="n">
        <x:v>23425.9009651178</x:v>
      </x:c>
      <x:c r="D2209" s="16" t="n">
        <x:v>24585.5517888657</x:v>
      </x:c>
      <x:c r="E2209" s="16" t="n">
        <x:v>1159.650823748</x:v>
      </x:c>
      <x:c r="F2209" s="23" t="n">
        <x:v>7</x:v>
      </x:c>
    </x:row>
    <x:row r="2210">
      <x:c r="A2210" s="15" t="n">
        <x:v>44593</x:v>
      </x:c>
      <x:c r="B2210" s="13" t="str">
        <x:v>Food &amp; Beverages</x:v>
      </x:c>
      <x:c r="C2210" s="16" t="n">
        <x:v>33189.6969873534</x:v>
      </x:c>
      <x:c r="D2210" s="16" t="n">
        <x:v>32756.0588370411</x:v>
      </x:c>
      <x:c r="E2210" s="16" t="n">
        <x:v>-433.6381503123</x:v>
      </x:c>
      <x:c r="F2210" s="23" t="n">
        <x:v>5</x:v>
      </x:c>
    </x:row>
    <x:row r="2211">
      <x:c r="A2211" s="15" t="n">
        <x:v>44593</x:v>
      </x:c>
      <x:c r="B2211" s="13" t="str">
        <x:v>Health Care</x:v>
      </x:c>
      <x:c r="C2211" s="16" t="n">
        <x:v>7122.8246968986</x:v>
      </x:c>
      <x:c r="D2211" s="16" t="n">
        <x:v>7317.586949348</x:v>
      </x:c>
      <x:c r="E2211" s="16" t="n">
        <x:v>194.7622524493</x:v>
      </x:c>
      <x:c r="F2211" s="23" t="n">
        <x:v>6</x:v>
      </x:c>
    </x:row>
    <x:row r="2212">
      <x:c r="A2212" s="15" t="n">
        <x:v>44593</x:v>
      </x:c>
      <x:c r="B2212" s="13" t="str">
        <x:v>Homebuilders</x:v>
      </x:c>
      <x:c r="C2212" s="16" t="n">
        <x:v>2445.605778937</x:v>
      </x:c>
      <x:c r="D2212" s="16" t="n">
        <x:v>2304.1506284712</x:v>
      </x:c>
      <x:c r="E2212" s="16" t="n">
        <x:v>-141.4551504658</x:v>
      </x:c>
      <x:c r="F2212" s="23" t="n">
        <x:v>3</x:v>
      </x:c>
    </x:row>
    <x:row r="2213">
      <x:c r="A2213" s="15" t="n">
        <x:v>44593</x:v>
      </x:c>
      <x:c r="B2213" s="13" t="str">
        <x:v>Income Properties</x:v>
      </x:c>
      <x:c r="C2213" s="16" t="n">
        <x:v>1718.9180061808</x:v>
      </x:c>
      <x:c r="D2213" s="16" t="n">
        <x:v>1823.8879265315</x:v>
      </x:c>
      <x:c r="E2213" s="16" t="n">
        <x:v>104.9699203507</x:v>
      </x:c>
      <x:c r="F2213" s="23" t="n">
        <x:v>3</x:v>
      </x:c>
    </x:row>
    <x:row r="2214">
      <x:c r="A2214" s="15" t="n">
        <x:v>44593</x:v>
      </x:c>
      <x:c r="B2214" s="13" t="str">
        <x:v>Metals &amp; Mining</x:v>
      </x:c>
      <x:c r="C2214" s="16" t="n">
        <x:v>96379.5848991561</x:v>
      </x:c>
      <x:c r="D2214" s="16" t="n">
        <x:v>95886.3401086246</x:v>
      </x:c>
      <x:c r="E2214" s="16" t="n">
        <x:v>-493.2447905315</x:v>
      </x:c>
      <x:c r="F2214" s="23" t="n">
        <x:v>4</x:v>
      </x:c>
    </x:row>
    <x:row r="2215">
      <x:c r="A2215" s="15" t="n">
        <x:v>44593</x:v>
      </x:c>
      <x:c r="B2215" s="13" t="str">
        <x:v>Oil, Gas &amp; Petrochemicals</x:v>
      </x:c>
      <x:c r="C2215" s="16" t="n">
        <x:v>112780.0945937534</x:v>
      </x:c>
      <x:c r="D2215" s="16" t="n">
        <x:v>111491.7279021589</x:v>
      </x:c>
      <x:c r="E2215" s="16" t="n">
        <x:v>-1288.3666915945</x:v>
      </x:c>
      <x:c r="F2215" s="23" t="n">
        <x:v>6</x:v>
      </x:c>
    </x:row>
    <x:row r="2216">
      <x:c r="A2216" s="15" t="n">
        <x:v>44593</x:v>
      </x:c>
      <x:c r="B2216" s="13" t="str">
        <x:v>Pulp &amp; Paper</x:v>
      </x:c>
      <x:c r="C2216" s="16" t="n">
        <x:v>8895.4707028164</x:v>
      </x:c>
      <x:c r="D2216" s="16" t="n">
        <x:v>9600.1359004055</x:v>
      </x:c>
      <x:c r="E2216" s="16" t="n">
        <x:v>704.665197589</x:v>
      </x:c>
      <x:c r="F2216" s="23" t="n">
        <x:v>3</x:v>
      </x:c>
    </x:row>
    <x:row r="2217">
      <x:c r="A2217" s="15" t="n">
        <x:v>44593</x:v>
      </x:c>
      <x:c r="B2217" s="13" t="str">
        <x:v>Retail</x:v>
      </x:c>
      <x:c r="C2217" s="16" t="n">
        <x:v>9538.9990182137</x:v>
      </x:c>
      <x:c r="D2217" s="16" t="n">
        <x:v>8442.8890819836</x:v>
      </x:c>
      <x:c r="E2217" s="16" t="n">
        <x:v>-1096.1099362301</x:v>
      </x:c>
      <x:c r="F2217" s="23" t="n">
        <x:v>12</x:v>
      </x:c>
    </x:row>
    <x:row r="2218">
      <x:c r="A2218" s="15" t="n">
        <x:v>44593</x:v>
      </x:c>
      <x:c r="B2218" s="13" t="str">
        <x:v>Sanitation</x:v>
      </x:c>
      <x:c r="C2218" s="16" t="n">
        <x:v>3047.4072660164</x:v>
      </x:c>
      <x:c r="D2218" s="16" t="n">
        <x:v>3044.9061607452</x:v>
      </x:c>
      <x:c r="E2218" s="16" t="n">
        <x:v>-2.5011052712</x:v>
      </x:c>
      <x:c r="F2218" s="23" t="n">
        <x:v>1</x:v>
      </x:c>
    </x:row>
    <x:row r="2219">
      <x:c r="A2219" s="15" t="n">
        <x:v>44593</x:v>
      </x:c>
      <x:c r="B2219" s="13" t="str">
        <x:v>TMT</x:v>
      </x:c>
      <x:c r="C2219" s="16" t="n">
        <x:v>3110.6198492274</x:v>
      </x:c>
      <x:c r="D2219" s="16" t="n">
        <x:v>3259.824159474</x:v>
      </x:c>
      <x:c r="E2219" s="16" t="n">
        <x:v>149.2043102466</x:v>
      </x:c>
      <x:c r="F2219" s="23" t="n">
        <x:v>3</x:v>
      </x:c>
    </x:row>
    <x:row r="2220">
      <x:c r="A2220" s="15" t="n">
        <x:v>44593</x:v>
      </x:c>
      <x:c r="B2220" s="13" t="str">
        <x:v>Transportation</x:v>
      </x:c>
      <x:c r="C2220" s="16" t="n">
        <x:v>2751.1414496438</x:v>
      </x:c>
      <x:c r="D2220" s="16" t="n">
        <x:v>4068.7430459616</x:v>
      </x:c>
      <x:c r="E2220" s="16" t="n">
        <x:v>1317.6015963178</x:v>
      </x:c>
      <x:c r="F2220" s="23" t="n">
        <x:v>7</x:v>
      </x:c>
    </x:row>
    <x:row r="2221">
      <x:c r="A2221" s="15" t="n">
        <x:v>44593</x:v>
      </x:c>
      <x:c r="B2221" s="13" t="str">
        <x:v>Utilities &amp; Energy</x:v>
      </x:c>
      <x:c r="C2221" s="16" t="n">
        <x:v>40985.467366926</x:v>
      </x:c>
      <x:c r="D2221" s="16" t="n">
        <x:v>36684.19328</x:v>
      </x:c>
      <x:c r="E2221" s="16" t="n">
        <x:v>-4301.274086926</x:v>
      </x:c>
      <x:c r="F2221" s="23" t="n">
        <x:v>11</x:v>
      </x:c>
    </x:row>
    <x:row r="2222">
      <x:c r="A2222" s="15" t="n">
        <x:v>44621</x:v>
      </x:c>
      <x:c r="B2222" s="13" t="str">
        <x:v>Banks</x:v>
      </x:c>
      <x:c r="C2222" s="16" t="n">
        <x:v>132212.149568</x:v>
      </x:c>
      <x:c r="D2222" s="16" t="n">
        <x:v>139336.9816600548</x:v>
      </x:c>
      <x:c r="E2222" s="16" t="n">
        <x:v>7124.8320920548</x:v>
      </x:c>
      <x:c r="F2222" s="23" t="n">
        <x:v>8</x:v>
      </x:c>
    </x:row>
    <x:row r="2223">
      <x:c r="A2223" s="15" t="n">
        <x:v>44621</x:v>
      </x:c>
      <x:c r="B2223" s="13" t="str">
        <x:v>Capital Goods</x:v>
      </x:c>
      <x:c r="C2223" s="16" t="n">
        <x:v>4085.58</x:v>
      </x:c>
      <x:c r="D2223" s="16" t="n">
        <x:v>4022.8627660274</x:v>
      </x:c>
      <x:c r="E2223" s="16" t="n">
        <x:v>-62.7172339726</x:v>
      </x:c>
      <x:c r="F2223" s="23" t="n">
        <x:v>2</x:v>
      </x:c>
    </x:row>
    <x:row r="2224">
      <x:c r="A2224" s="15" t="n">
        <x:v>44621</x:v>
      </x:c>
      <x:c r="B2224" s="13" t="str">
        <x:v>Education</x:v>
      </x:c>
      <x:c r="C2224" s="16" t="n">
        <x:v>218.499968</x:v>
      </x:c>
      <x:c r="D2224" s="16" t="n">
        <x:v>78.3111294247</x:v>
      </x:c>
      <x:c r="E2224" s="16" t="n">
        <x:v>-140.1888385753</x:v>
      </x:c>
      <x:c r="F2224" s="23" t="n">
        <x:v>2</x:v>
      </x:c>
    </x:row>
    <x:row r="2225">
      <x:c r="A2225" s="15" t="n">
        <x:v>44621</x:v>
      </x:c>
      <x:c r="B2225" s="13" t="str">
        <x:v>Financials Non-Banks</x:v>
      </x:c>
      <x:c r="C2225" s="16" t="n">
        <x:v>23548.629832</x:v>
      </x:c>
      <x:c r="D2225" s="16" t="n">
        <x:v>24724.3153185754</x:v>
      </x:c>
      <x:c r="E2225" s="16" t="n">
        <x:v>1175.6854865754</x:v>
      </x:c>
      <x:c r="F2225" s="23" t="n">
        <x:v>7</x:v>
      </x:c>
    </x:row>
    <x:row r="2226">
      <x:c r="A2226" s="15" t="n">
        <x:v>44621</x:v>
      </x:c>
      <x:c r="B2226" s="13" t="str">
        <x:v>Food &amp; Beverages</x:v>
      </x:c>
      <x:c r="C2226" s="16" t="n">
        <x:v>31218.15168</x:v>
      </x:c>
      <x:c r="D2226" s="16" t="n">
        <x:v>32017.1729990137</x:v>
      </x:c>
      <x:c r="E2226" s="16" t="n">
        <x:v>799.0213190137</x:v>
      </x:c>
      <x:c r="F2226" s="23" t="n">
        <x:v>5</x:v>
      </x:c>
    </x:row>
    <x:row r="2227">
      <x:c r="A2227" s="15" t="n">
        <x:v>44621</x:v>
      </x:c>
      <x:c r="B2227" s="13" t="str">
        <x:v>Health Care</x:v>
      </x:c>
      <x:c r="C2227" s="16" t="n">
        <x:v>7188.362944</x:v>
      </x:c>
      <x:c r="D2227" s="16" t="n">
        <x:v>7706.4190693699</x:v>
      </x:c>
      <x:c r="E2227" s="16" t="n">
        <x:v>518.0561253699</x:v>
      </x:c>
      <x:c r="F2227" s="23" t="n">
        <x:v>6</x:v>
      </x:c>
    </x:row>
    <x:row r="2228">
      <x:c r="A2228" s="15" t="n">
        <x:v>44621</x:v>
      </x:c>
      <x:c r="B2228" s="13" t="str">
        <x:v>Homebuilders</x:v>
      </x:c>
      <x:c r="C2228" s="16" t="n">
        <x:v>2452.857024</x:v>
      </x:c>
      <x:c r="D2228" s="16" t="n">
        <x:v>2476.0885260274</x:v>
      </x:c>
      <x:c r="E2228" s="16" t="n">
        <x:v>23.2315020274</x:v>
      </x:c>
      <x:c r="F2228" s="23" t="n">
        <x:v>3</x:v>
      </x:c>
    </x:row>
    <x:row r="2229">
      <x:c r="A2229" s="15" t="n">
        <x:v>44621</x:v>
      </x:c>
      <x:c r="B2229" s="13" t="str">
        <x:v>Income Properties</x:v>
      </x:c>
      <x:c r="C2229" s="16" t="n">
        <x:v>1967.967008</x:v>
      </x:c>
      <x:c r="D2229" s="16" t="n">
        <x:v>2102.5883989041</x:v>
      </x:c>
      <x:c r="E2229" s="16" t="n">
        <x:v>134.6213909041</x:v>
      </x:c>
      <x:c r="F2229" s="23" t="n">
        <x:v>4</x:v>
      </x:c>
    </x:row>
    <x:row r="2230">
      <x:c r="A2230" s="15" t="n">
        <x:v>44621</x:v>
      </x:c>
      <x:c r="B2230" s="13" t="str">
        <x:v>Metals &amp; Mining</x:v>
      </x:c>
      <x:c r="C2230" s="16" t="n">
        <x:v>89658.94784</x:v>
      </x:c>
      <x:c r="D2230" s="16" t="n">
        <x:v>101247.6391311781</x:v>
      </x:c>
      <x:c r="E2230" s="16" t="n">
        <x:v>11588.6912911781</x:v>
      </x:c>
      <x:c r="F2230" s="23" t="n">
        <x:v>4</x:v>
      </x:c>
    </x:row>
    <x:row r="2231">
      <x:c r="A2231" s="15" t="n">
        <x:v>44621</x:v>
      </x:c>
      <x:c r="B2231" s="13" t="str">
        <x:v>Oil, Gas &amp; Petrochemicals</x:v>
      </x:c>
      <x:c r="C2231" s="16" t="n">
        <x:v>110924.657152</x:v>
      </x:c>
      <x:c r="D2231" s="16" t="n">
        <x:v>127769.5886088772</x:v>
      </x:c>
      <x:c r="E2231" s="16" t="n">
        <x:v>16844.9314568772</x:v>
      </x:c>
      <x:c r="F2231" s="23" t="n">
        <x:v>6</x:v>
      </x:c>
    </x:row>
    <x:row r="2232">
      <x:c r="A2232" s="15" t="n">
        <x:v>44621</x:v>
      </x:c>
      <x:c r="B2232" s="13" t="str">
        <x:v>Pulp &amp; Paper</x:v>
      </x:c>
      <x:c r="C2232" s="16" t="n">
        <x:v>8535.030144</x:v>
      </x:c>
      <x:c r="D2232" s="16" t="n">
        <x:v>12711.2192973151</x:v>
      </x:c>
      <x:c r="E2232" s="16" t="n">
        <x:v>4176.1891533151</x:v>
      </x:c>
      <x:c r="F2232" s="23" t="n">
        <x:v>3</x:v>
      </x:c>
    </x:row>
    <x:row r="2233">
      <x:c r="A2233" s="15" t="n">
        <x:v>44621</x:v>
      </x:c>
      <x:c r="B2233" s="13" t="str">
        <x:v>Retail</x:v>
      </x:c>
      <x:c r="C2233" s="16" t="n">
        <x:v>8810.198904</x:v>
      </x:c>
      <x:c r="D2233" s="16" t="n">
        <x:v>9093.821749589</x:v>
      </x:c>
      <x:c r="E2233" s="16" t="n">
        <x:v>283.622845589</x:v>
      </x:c>
      <x:c r="F2233" s="23" t="n">
        <x:v>13</x:v>
      </x:c>
    </x:row>
    <x:row r="2234">
      <x:c r="A2234" s="15" t="n">
        <x:v>44621</x:v>
      </x:c>
      <x:c r="B2234" s="13" t="str">
        <x:v>Sanitation</x:v>
      </x:c>
      <x:c r="C2234" s="16" t="n">
        <x:v>3111.500032</x:v>
      </x:c>
      <x:c r="D2234" s="16" t="n">
        <x:v>3088.9096661918</x:v>
      </x:c>
      <x:c r="E2234" s="16" t="n">
        <x:v>-22.5903658082</x:v>
      </x:c>
      <x:c r="F2234" s="23" t="n">
        <x:v>1</x:v>
      </x:c>
    </x:row>
    <x:row r="2235">
      <x:c r="A2235" s="15" t="n">
        <x:v>44621</x:v>
      </x:c>
      <x:c r="B2235" s="13" t="str">
        <x:v>TMT</x:v>
      </x:c>
      <x:c r="C2235" s="16" t="n">
        <x:v>3051.421952</x:v>
      </x:c>
      <x:c r="D2235" s="16" t="n">
        <x:v>3345.915018411</x:v>
      </x:c>
      <x:c r="E2235" s="16" t="n">
        <x:v>294.493066411</x:v>
      </x:c>
      <x:c r="F2235" s="23" t="n">
        <x:v>3</x:v>
      </x:c>
    </x:row>
    <x:row r="2236">
      <x:c r="A2236" s="15" t="n">
        <x:v>44621</x:v>
      </x:c>
      <x:c r="B2236" s="13" t="str">
        <x:v>Transportation</x:v>
      </x:c>
      <x:c r="C2236" s="16" t="n">
        <x:v>3342.348128</x:v>
      </x:c>
      <x:c r="D2236" s="16" t="n">
        <x:v>4021.5364047123</x:v>
      </x:c>
      <x:c r="E2236" s="16" t="n">
        <x:v>679.1882767123</x:v>
      </x:c>
      <x:c r="F2236" s="23" t="n">
        <x:v>7</x:v>
      </x:c>
    </x:row>
    <x:row r="2237">
      <x:c r="A2237" s="15" t="n">
        <x:v>44621</x:v>
      </x:c>
      <x:c r="B2237" s="13" t="str">
        <x:v>Utilities &amp; Energy</x:v>
      </x:c>
      <x:c r="C2237" s="16" t="n">
        <x:v>39066.519424</x:v>
      </x:c>
      <x:c r="D2237" s="16" t="n">
        <x:v>39087.054284274</x:v>
      </x:c>
      <x:c r="E2237" s="16" t="n">
        <x:v>20.534860274</x:v>
      </x:c>
      <x:c r="F2237" s="23" t="n">
        <x:v>11</x:v>
      </x:c>
    </x:row>
    <x:row r="2238">
      <x:c r="A2238" s="15" t="n">
        <x:v>44652</x:v>
      </x:c>
      <x:c r="B2238" s="13" t="str">
        <x:v>Banks</x:v>
      </x:c>
      <x:c r="C2238" s="16" t="n">
        <x:v>134557.599481337</x:v>
      </x:c>
      <x:c r="D2238" s="16" t="n">
        <x:v>139750.2411234191</x:v>
      </x:c>
      <x:c r="E2238" s="16" t="n">
        <x:v>5192.6416420821</x:v>
      </x:c>
      <x:c r="F2238" s="23" t="n">
        <x:v>8</x:v>
      </x:c>
    </x:row>
    <x:row r="2239">
      <x:c r="A2239" s="15" t="n">
        <x:v>44652</x:v>
      </x:c>
      <x:c r="B2239" s="13" t="str">
        <x:v>Capital Goods</x:v>
      </x:c>
      <x:c r="C2239" s="16" t="n">
        <x:v>4240.2693533808</x:v>
      </x:c>
      <x:c r="D2239" s="16" t="n">
        <x:v>4034.8972124493</x:v>
      </x:c>
      <x:c r="E2239" s="16" t="n">
        <x:v>-205.3721409315</x:v>
      </x:c>
      <x:c r="F2239" s="23" t="n">
        <x:v>2</x:v>
      </x:c>
    </x:row>
    <x:row r="2240">
      <x:c r="A2240" s="15" t="n">
        <x:v>44652</x:v>
      </x:c>
      <x:c r="B2240" s="13" t="str">
        <x:v>Education</x:v>
      </x:c>
      <x:c r="C2240" s="16" t="n">
        <x:v>160.0853543452</x:v>
      </x:c>
      <x:c r="D2240" s="16" t="n">
        <x:v>156.0249229479</x:v>
      </x:c>
      <x:c r="E2240" s="16" t="n">
        <x:v>-4.0604313973</x:v>
      </x:c>
      <x:c r="F2240" s="23" t="n">
        <x:v>2</x:v>
      </x:c>
    </x:row>
    <x:row r="2241">
      <x:c r="A2241" s="15" t="n">
        <x:v>44652</x:v>
      </x:c>
      <x:c r="B2241" s="13" t="str">
        <x:v>Financials Non-Banks</x:v>
      </x:c>
      <x:c r="C2241" s="16" t="n">
        <x:v>23448.3952349151</x:v>
      </x:c>
      <x:c r="D2241" s="16" t="n">
        <x:v>24900.1971126576</x:v>
      </x:c>
      <x:c r="E2241" s="16" t="n">
        <x:v>1451.8018777425</x:v>
      </x:c>
      <x:c r="F2241" s="23" t="n">
        <x:v>7</x:v>
      </x:c>
    </x:row>
    <x:row r="2242">
      <x:c r="A2242" s="15" t="n">
        <x:v>44652</x:v>
      </x:c>
      <x:c r="B2242" s="13" t="str">
        <x:v>Food &amp; Beverages</x:v>
      </x:c>
      <x:c r="C2242" s="16" t="n">
        <x:v>30939.9070607781</x:v>
      </x:c>
      <x:c r="D2242" s="16" t="n">
        <x:v>32783.2236491398</x:v>
      </x:c>
      <x:c r="E2242" s="16" t="n">
        <x:v>1843.3165883617</x:v>
      </x:c>
      <x:c r="F2242" s="23" t="n">
        <x:v>5</x:v>
      </x:c>
    </x:row>
    <x:row r="2243">
      <x:c r="A2243" s="15" t="n">
        <x:v>44652</x:v>
      </x:c>
      <x:c r="B2243" s="13" t="str">
        <x:v>Health Care</x:v>
      </x:c>
      <x:c r="C2243" s="16" t="n">
        <x:v>7076.1219088658</x:v>
      </x:c>
      <x:c r="D2243" s="16" t="n">
        <x:v>7707.4959339836</x:v>
      </x:c>
      <x:c r="E2243" s="16" t="n">
        <x:v>631.3740251178</x:v>
      </x:c>
      <x:c r="F2243" s="23" t="n">
        <x:v>6</x:v>
      </x:c>
    </x:row>
    <x:row r="2244">
      <x:c r="A2244" s="15" t="n">
        <x:v>44652</x:v>
      </x:c>
      <x:c r="B2244" s="13" t="str">
        <x:v>Homebuilders</x:v>
      </x:c>
      <x:c r="C2244" s="16" t="n">
        <x:v>2390.3174680548</x:v>
      </x:c>
      <x:c r="D2244" s="16" t="n">
        <x:v>2298.7664224438</x:v>
      </x:c>
      <x:c r="E2244" s="16" t="n">
        <x:v>-91.551045611</x:v>
      </x:c>
      <x:c r="F2244" s="23" t="n">
        <x:v>3</x:v>
      </x:c>
    </x:row>
    <x:row r="2245">
      <x:c r="A2245" s="15" t="n">
        <x:v>44652</x:v>
      </x:c>
      <x:c r="B2245" s="13" t="str">
        <x:v>Income Properties</x:v>
      </x:c>
      <x:c r="C2245" s="16" t="n">
        <x:v>2050.5680303342</x:v>
      </x:c>
      <x:c r="D2245" s="16" t="n">
        <x:v>2162.5036705315</x:v>
      </x:c>
      <x:c r="E2245" s="16" t="n">
        <x:v>111.9356401973</x:v>
      </x:c>
      <x:c r="F2245" s="23" t="n">
        <x:v>4</x:v>
      </x:c>
    </x:row>
    <x:row r="2246">
      <x:c r="A2246" s="15" t="n">
        <x:v>44652</x:v>
      </x:c>
      <x:c r="B2246" s="13" t="str">
        <x:v>Metals &amp; Mining</x:v>
      </x:c>
      <x:c r="C2246" s="16" t="n">
        <x:v>99807.6122154082</x:v>
      </x:c>
      <x:c r="D2246" s="16" t="n">
        <x:v>119264.7501852054</x:v>
      </x:c>
      <x:c r="E2246" s="16" t="n">
        <x:v>19457.1379697972</x:v>
      </x:c>
      <x:c r="F2246" s="23" t="n">
        <x:v>6</x:v>
      </x:c>
    </x:row>
    <x:row r="2247">
      <x:c r="A2247" s="15" t="n">
        <x:v>44652</x:v>
      </x:c>
      <x:c r="B2247" s="13" t="str">
        <x:v>Oil, Gas &amp; Petrochemicals</x:v>
      </x:c>
      <x:c r="C2247" s="16" t="n">
        <x:v>114654.154482674</x:v>
      </x:c>
      <x:c r="D2247" s="16" t="n">
        <x:v>133262.4804302902</x:v>
      </x:c>
      <x:c r="E2247" s="16" t="n">
        <x:v>18608.3259476163</x:v>
      </x:c>
      <x:c r="F2247" s="23" t="n">
        <x:v>7</x:v>
      </x:c>
    </x:row>
    <x:row r="2248">
      <x:c r="A2248" s="15" t="n">
        <x:v>44652</x:v>
      </x:c>
      <x:c r="B2248" s="13" t="str">
        <x:v>Pulp &amp; Paper</x:v>
      </x:c>
      <x:c r="C2248" s="16" t="n">
        <x:v>9129.8824614575</x:v>
      </x:c>
      <x:c r="D2248" s="16" t="n">
        <x:v>12075.6391455562</x:v>
      </x:c>
      <x:c r="E2248" s="16" t="n">
        <x:v>2945.7566840986</x:v>
      </x:c>
      <x:c r="F2248" s="23" t="n">
        <x:v>3</x:v>
      </x:c>
    </x:row>
    <x:row r="2249">
      <x:c r="A2249" s="15" t="n">
        <x:v>44652</x:v>
      </x:c>
      <x:c r="B2249" s="13" t="str">
        <x:v>Retail</x:v>
      </x:c>
      <x:c r="C2249" s="16" t="n">
        <x:v>8875.7274790466</x:v>
      </x:c>
      <x:c r="D2249" s="16" t="n">
        <x:v>9192.9136644822</x:v>
      </x:c>
      <x:c r="E2249" s="16" t="n">
        <x:v>317.1861854356</x:v>
      </x:c>
      <x:c r="F2249" s="23" t="n">
        <x:v>13</x:v>
      </x:c>
    </x:row>
    <x:row r="2250">
      <x:c r="A2250" s="15" t="n">
        <x:v>44652</x:v>
      </x:c>
      <x:c r="B2250" s="13" t="str">
        <x:v>Sanitation</x:v>
      </x:c>
      <x:c r="C2250" s="16" t="n">
        <x:v>3000.7344310356</x:v>
      </x:c>
      <x:c r="D2250" s="16" t="n">
        <x:v>3117.3256107836</x:v>
      </x:c>
      <x:c r="E2250" s="16" t="n">
        <x:v>116.5911797479</x:v>
      </x:c>
      <x:c r="F2250" s="23" t="n">
        <x:v>1</x:v>
      </x:c>
    </x:row>
    <x:row r="2251">
      <x:c r="A2251" s="15" t="n">
        <x:v>44652</x:v>
      </x:c>
      <x:c r="B2251" s="13" t="str">
        <x:v>TMT</x:v>
      </x:c>
      <x:c r="C2251" s="16" t="n">
        <x:v>3222.1189461041</x:v>
      </x:c>
      <x:c r="D2251" s="16" t="n">
        <x:v>3413.4764601425</x:v>
      </x:c>
      <x:c r="E2251" s="16" t="n">
        <x:v>191.3575140384</x:v>
      </x:c>
      <x:c r="F2251" s="23" t="n">
        <x:v>4</x:v>
      </x:c>
    </x:row>
    <x:row r="2252">
      <x:c r="A2252" s="15" t="n">
        <x:v>44652</x:v>
      </x:c>
      <x:c r="B2252" s="13" t="str">
        <x:v>Transportation</x:v>
      </x:c>
      <x:c r="C2252" s="16" t="n">
        <x:v>3953.5253129096</x:v>
      </x:c>
      <x:c r="D2252" s="16" t="n">
        <x:v>4511.3161098082</x:v>
      </x:c>
      <x:c r="E2252" s="16" t="n">
        <x:v>557.7907968986</x:v>
      </x:c>
      <x:c r="F2252" s="23" t="n">
        <x:v>7</x:v>
      </x:c>
    </x:row>
    <x:row r="2253">
      <x:c r="A2253" s="15" t="n">
        <x:v>44652</x:v>
      </x:c>
      <x:c r="B2253" s="13" t="str">
        <x:v>Utilities &amp; Energy</x:v>
      </x:c>
      <x:c r="C2253" s="16" t="n">
        <x:v>38403.0094995288</x:v>
      </x:c>
      <x:c r="D2253" s="16" t="n">
        <x:v>36281.9104087671</x:v>
      </x:c>
      <x:c r="E2253" s="16" t="n">
        <x:v>-2121.0990907617</x:v>
      </x:c>
      <x:c r="F2253" s="23" t="n">
        <x:v>11</x:v>
      </x:c>
    </x:row>
    <x:row r="2254">
      <x:c r="A2254" s="15" t="n">
        <x:v>44682</x:v>
      </x:c>
      <x:c r="B2254" s="13" t="str">
        <x:v>Banks</x:v>
      </x:c>
      <x:c r="C2254" s="16" t="n">
        <x:v>136836.4013098081</x:v>
      </x:c>
      <x:c r="D2254" s="16" t="n">
        <x:v>142934.9051183342</x:v>
      </x:c>
      <x:c r="E2254" s="16" t="n">
        <x:v>6098.5038085261</x:v>
      </x:c>
      <x:c r="F2254" s="23" t="n">
        <x:v>8</x:v>
      </x:c>
    </x:row>
    <x:row r="2255">
      <x:c r="A2255" s="15" t="n">
        <x:v>44682</x:v>
      </x:c>
      <x:c r="B2255" s="13" t="str">
        <x:v>Capital Goods</x:v>
      </x:c>
      <x:c r="C2255" s="16" t="n">
        <x:v>4056.129516011</x:v>
      </x:c>
      <x:c r="D2255" s="16" t="n">
        <x:v>4148.4299388055</x:v>
      </x:c>
      <x:c r="E2255" s="16" t="n">
        <x:v>92.3004227945</x:v>
      </x:c>
      <x:c r="F2255" s="23" t="n">
        <x:v>2</x:v>
      </x:c>
    </x:row>
    <x:row r="2256">
      <x:c r="A2256" s="15" t="n">
        <x:v>44682</x:v>
      </x:c>
      <x:c r="B2256" s="13" t="str">
        <x:v>Education</x:v>
      </x:c>
      <x:c r="C2256" s="16" t="n">
        <x:v>210.4938701973</x:v>
      </x:c>
      <x:c r="D2256" s="16" t="n">
        <x:v>161.8555223781</x:v>
      </x:c>
      <x:c r="E2256" s="16" t="n">
        <x:v>-48.6383478192</x:v>
      </x:c>
      <x:c r="F2256" s="23" t="n">
        <x:v>2</x:v>
      </x:c>
    </x:row>
    <x:row r="2257">
      <x:c r="A2257" s="15" t="n">
        <x:v>44682</x:v>
      </x:c>
      <x:c r="B2257" s="13" t="str">
        <x:v>Financials Non-Banks</x:v>
      </x:c>
      <x:c r="C2257" s="16" t="n">
        <x:v>24585.5517888657</x:v>
      </x:c>
      <x:c r="D2257" s="16" t="n">
        <x:v>25565.4612420164</x:v>
      </x:c>
      <x:c r="E2257" s="16" t="n">
        <x:v>979.9094531507</x:v>
      </x:c>
      <x:c r="F2257" s="23" t="n">
        <x:v>7</x:v>
      </x:c>
    </x:row>
    <x:row r="2258">
      <x:c r="A2258" s="15" t="n">
        <x:v>44682</x:v>
      </x:c>
      <x:c r="B2258" s="13" t="str">
        <x:v>Food &amp; Beverages</x:v>
      </x:c>
      <x:c r="C2258" s="16" t="n">
        <x:v>32756.0588370411</x:v>
      </x:c>
      <x:c r="D2258" s="16" t="n">
        <x:v>29878.3072343671</x:v>
      </x:c>
      <x:c r="E2258" s="16" t="n">
        <x:v>-2877.751602674</x:v>
      </x:c>
      <x:c r="F2258" s="23" t="n">
        <x:v>5</x:v>
      </x:c>
    </x:row>
    <x:row r="2259">
      <x:c r="A2259" s="15" t="n">
        <x:v>44682</x:v>
      </x:c>
      <x:c r="B2259" s="13" t="str">
        <x:v>Health Care</x:v>
      </x:c>
      <x:c r="C2259" s="16" t="n">
        <x:v>7317.586949348</x:v>
      </x:c>
      <x:c r="D2259" s="16" t="n">
        <x:v>7623.2405745096</x:v>
      </x:c>
      <x:c r="E2259" s="16" t="n">
        <x:v>305.6536251616</x:v>
      </x:c>
      <x:c r="F2259" s="23" t="n">
        <x:v>6</x:v>
      </x:c>
    </x:row>
    <x:row r="2260">
      <x:c r="A2260" s="15" t="n">
        <x:v>44682</x:v>
      </x:c>
      <x:c r="B2260" s="13" t="str">
        <x:v>Homebuilders</x:v>
      </x:c>
      <x:c r="C2260" s="16" t="n">
        <x:v>2304.1506284712</x:v>
      </x:c>
      <x:c r="D2260" s="16" t="n">
        <x:v>2208.7297155507</x:v>
      </x:c>
      <x:c r="E2260" s="16" t="n">
        <x:v>-95.4209129205</x:v>
      </x:c>
      <x:c r="F2260" s="23" t="n">
        <x:v>3</x:v>
      </x:c>
    </x:row>
    <x:row r="2261">
      <x:c r="A2261" s="15" t="n">
        <x:v>44682</x:v>
      </x:c>
      <x:c r="B2261" s="13" t="str">
        <x:v>Income Properties</x:v>
      </x:c>
      <x:c r="C2261" s="16" t="n">
        <x:v>2068.9695703671</x:v>
      </x:c>
      <x:c r="D2261" s="16" t="n">
        <x:v>2234.0503288986</x:v>
      </x:c>
      <x:c r="E2261" s="16" t="n">
        <x:v>165.0807585315</x:v>
      </x:c>
      <x:c r="F2261" s="23" t="n">
        <x:v>4</x:v>
      </x:c>
    </x:row>
    <x:row r="2262">
      <x:c r="A2262" s="15" t="n">
        <x:v>44682</x:v>
      </x:c>
      <x:c r="B2262" s="13" t="str">
        <x:v>Metals &amp; Mining</x:v>
      </x:c>
      <x:c r="C2262" s="16" t="n">
        <x:v>103431.5633355397</x:v>
      </x:c>
      <x:c r="D2262" s="16" t="n">
        <x:v>117038.9437369863</x:v>
      </x:c>
      <x:c r="E2262" s="16" t="n">
        <x:v>13607.3804014466</x:v>
      </x:c>
      <x:c r="F2262" s="23" t="n">
        <x:v>6</x:v>
      </x:c>
    </x:row>
    <x:row r="2263">
      <x:c r="A2263" s="15" t="n">
        <x:v>44682</x:v>
      </x:c>
      <x:c r="B2263" s="13" t="str">
        <x:v>Oil, Gas &amp; Petrochemicals</x:v>
      </x:c>
      <x:c r="C2263" s="16" t="n">
        <x:v>113044.3271588822</x:v>
      </x:c>
      <x:c r="D2263" s="16" t="n">
        <x:v>140324.9660524709</x:v>
      </x:c>
      <x:c r="E2263" s="16" t="n">
        <x:v>27280.6388935887</x:v>
      </x:c>
      <x:c r="F2263" s="23" t="n">
        <x:v>7</x:v>
      </x:c>
    </x:row>
    <x:row r="2264">
      <x:c r="A2264" s="15" t="n">
        <x:v>44682</x:v>
      </x:c>
      <x:c r="B2264" s="13" t="str">
        <x:v>Pulp &amp; Paper</x:v>
      </x:c>
      <x:c r="C2264" s="16" t="n">
        <x:v>9600.1359004055</x:v>
      </x:c>
      <x:c r="D2264" s="16" t="n">
        <x:v>11605.8413196274</x:v>
      </x:c>
      <x:c r="E2264" s="16" t="n">
        <x:v>2005.7054192219</x:v>
      </x:c>
      <x:c r="F2264" s="23" t="n">
        <x:v>3</x:v>
      </x:c>
    </x:row>
    <x:row r="2265">
      <x:c r="A2265" s="15" t="n">
        <x:v>44682</x:v>
      </x:c>
      <x:c r="B2265" s="13" t="str">
        <x:v>Retail</x:v>
      </x:c>
      <x:c r="C2265" s="16" t="n">
        <x:v>8854.6918217096</x:v>
      </x:c>
      <x:c r="D2265" s="16" t="n">
        <x:v>9274.2202209315</x:v>
      </x:c>
      <x:c r="E2265" s="16" t="n">
        <x:v>419.5283992219</x:v>
      </x:c>
      <x:c r="F2265" s="23" t="n">
        <x:v>13</x:v>
      </x:c>
    </x:row>
    <x:row r="2266">
      <x:c r="A2266" s="15" t="n">
        <x:v>44682</x:v>
      </x:c>
      <x:c r="B2266" s="13" t="str">
        <x:v>Sanitation</x:v>
      </x:c>
      <x:c r="C2266" s="16" t="n">
        <x:v>3044.9061607452</x:v>
      </x:c>
      <x:c r="D2266" s="16" t="n">
        <x:v>3258.3802403068</x:v>
      </x:c>
      <x:c r="E2266" s="16" t="n">
        <x:v>213.4740795616</x:v>
      </x:c>
      <x:c r="F2266" s="23" t="n">
        <x:v>1</x:v>
      </x:c>
    </x:row>
    <x:row r="2267">
      <x:c r="A2267" s="15" t="n">
        <x:v>44682</x:v>
      </x:c>
      <x:c r="B2267" s="13" t="str">
        <x:v>TMT</x:v>
      </x:c>
      <x:c r="C2267" s="16" t="n">
        <x:v>3431.8762142685</x:v>
      </x:c>
      <x:c r="D2267" s="16" t="n">
        <x:v>3427.8733564055</x:v>
      </x:c>
      <x:c r="E2267" s="16" t="n">
        <x:v>-4.002857863</x:v>
      </x:c>
      <x:c r="F2267" s="23" t="n">
        <x:v>4</x:v>
      </x:c>
    </x:row>
    <x:row r="2268">
      <x:c r="A2268" s="15" t="n">
        <x:v>44682</x:v>
      </x:c>
      <x:c r="B2268" s="13" t="str">
        <x:v>Transportation</x:v>
      </x:c>
      <x:c r="C2268" s="16" t="n">
        <x:v>4068.7430459616</x:v>
      </x:c>
      <x:c r="D2268" s="16" t="n">
        <x:v>5638.4875232877</x:v>
      </x:c>
      <x:c r="E2268" s="16" t="n">
        <x:v>1569.744477326</x:v>
      </x:c>
      <x:c r="F2268" s="23" t="n">
        <x:v>7</x:v>
      </x:c>
    </x:row>
    <x:row r="2269">
      <x:c r="A2269" s="15" t="n">
        <x:v>44682</x:v>
      </x:c>
      <x:c r="B2269" s="13" t="str">
        <x:v>Utilities &amp; Energy</x:v>
      </x:c>
      <x:c r="C2269" s="16" t="n">
        <x:v>36684.19328</x:v>
      </x:c>
      <x:c r="D2269" s="16" t="n">
        <x:v>39188.2961225644</x:v>
      </x:c>
      <x:c r="E2269" s="16" t="n">
        <x:v>2504.1028425644</x:v>
      </x:c>
      <x:c r="F2269" s="23" t="n">
        <x:v>11</x:v>
      </x:c>
    </x:row>
    <x:row r="2270">
      <x:c r="A2270" s="15" t="n">
        <x:v>44713</x:v>
      </x:c>
      <x:c r="B2270" s="13" t="str">
        <x:v>Banks</x:v>
      </x:c>
      <x:c r="C2270" s="16" t="n">
        <x:v>138992.4693409316</x:v>
      </x:c>
      <x:c r="D2270" s="16" t="n">
        <x:v>143563.7934711234</x:v>
      </x:c>
      <x:c r="E2270" s="16" t="n">
        <x:v>4571.3241301918</x:v>
      </x:c>
      <x:c r="F2270" s="23" t="n">
        <x:v>7</x:v>
      </x:c>
    </x:row>
    <x:row r="2271">
      <x:c r="A2271" s="15" t="n">
        <x:v>44713</x:v>
      </x:c>
      <x:c r="B2271" s="13" t="str">
        <x:v>Capital Goods</x:v>
      </x:c>
      <x:c r="C2271" s="16" t="n">
        <x:v>4022.8627660274</x:v>
      </x:c>
      <x:c r="D2271" s="16" t="n">
        <x:v>4457.5316422137</x:v>
      </x:c>
      <x:c r="E2271" s="16" t="n">
        <x:v>434.6688761863</x:v>
      </x:c>
      <x:c r="F2271" s="23" t="n">
        <x:v>2</x:v>
      </x:c>
    </x:row>
    <x:row r="2272">
      <x:c r="A2272" s="15" t="n">
        <x:v>44713</x:v>
      </x:c>
      <x:c r="B2272" s="13" t="str">
        <x:v>Education</x:v>
      </x:c>
      <x:c r="C2272" s="16" t="n">
        <x:v>78.3111294247</x:v>
      </x:c>
      <x:c r="D2272" s="16" t="n">
        <x:v>179.4341867178</x:v>
      </x:c>
      <x:c r="E2272" s="16" t="n">
        <x:v>101.1230572932</x:v>
      </x:c>
      <x:c r="F2272" s="23" t="n">
        <x:v>2</x:v>
      </x:c>
    </x:row>
    <x:row r="2273">
      <x:c r="A2273" s="15" t="n">
        <x:v>44713</x:v>
      </x:c>
      <x:c r="B2273" s="13" t="str">
        <x:v>Financials Non-Banks</x:v>
      </x:c>
      <x:c r="C2273" s="16" t="n">
        <x:v>24724.3153185754</x:v>
      </x:c>
      <x:c r="D2273" s="16" t="n">
        <x:v>31991.132120011</x:v>
      </x:c>
      <x:c r="E2273" s="16" t="n">
        <x:v>7266.8168014356</x:v>
      </x:c>
      <x:c r="F2273" s="23" t="n">
        <x:v>7</x:v>
      </x:c>
    </x:row>
    <x:row r="2274">
      <x:c r="A2274" s="15" t="n">
        <x:v>44713</x:v>
      </x:c>
      <x:c r="B2274" s="13" t="str">
        <x:v>Food &amp; Beverages</x:v>
      </x:c>
      <x:c r="C2274" s="16" t="n">
        <x:v>32017.1729990137</x:v>
      </x:c>
      <x:c r="D2274" s="16" t="n">
        <x:v>29338.6564892055</x:v>
      </x:c>
      <x:c r="E2274" s="16" t="n">
        <x:v>-2678.5165098082</x:v>
      </x:c>
      <x:c r="F2274" s="23" t="n">
        <x:v>5</x:v>
      </x:c>
    </x:row>
    <x:row r="2275">
      <x:c r="A2275" s="15" t="n">
        <x:v>44713</x:v>
      </x:c>
      <x:c r="B2275" s="13" t="str">
        <x:v>Health Care</x:v>
      </x:c>
      <x:c r="C2275" s="16" t="n">
        <x:v>7706.4190693699</x:v>
      </x:c>
      <x:c r="D2275" s="16" t="n">
        <x:v>7239.7164690411</x:v>
      </x:c>
      <x:c r="E2275" s="16" t="n">
        <x:v>-466.7026003288</x:v>
      </x:c>
      <x:c r="F2275" s="23" t="n">
        <x:v>6</x:v>
      </x:c>
    </x:row>
    <x:row r="2276">
      <x:c r="A2276" s="15" t="n">
        <x:v>44713</x:v>
      </x:c>
      <x:c r="B2276" s="13" t="str">
        <x:v>Homebuilders</x:v>
      </x:c>
      <x:c r="C2276" s="16" t="n">
        <x:v>2476.0885260274</x:v>
      </x:c>
      <x:c r="D2276" s="16" t="n">
        <x:v>2111.2152443616</x:v>
      </x:c>
      <x:c r="E2276" s="16" t="n">
        <x:v>-364.8732816658</x:v>
      </x:c>
      <x:c r="F2276" s="23" t="n">
        <x:v>3</x:v>
      </x:c>
    </x:row>
    <x:row r="2277">
      <x:c r="A2277" s="15" t="n">
        <x:v>44713</x:v>
      </x:c>
      <x:c r="B2277" s="13" t="str">
        <x:v>Income Properties</x:v>
      </x:c>
      <x:c r="C2277" s="16" t="n">
        <x:v>2102.5883989041</x:v>
      </x:c>
      <x:c r="D2277" s="16" t="n">
        <x:v>2238.7077535562</x:v>
      </x:c>
      <x:c r="E2277" s="16" t="n">
        <x:v>136.1193546521</x:v>
      </x:c>
      <x:c r="F2277" s="23" t="n">
        <x:v>4</x:v>
      </x:c>
    </x:row>
    <x:row r="2278">
      <x:c r="A2278" s="15" t="n">
        <x:v>44713</x:v>
      </x:c>
      <x:c r="B2278" s="13" t="str">
        <x:v>Metals &amp; Mining</x:v>
      </x:c>
      <x:c r="C2278" s="16" t="n">
        <x:v>109957.4612339726</x:v>
      </x:c>
      <x:c r="D2278" s="16" t="n">
        <x:v>113673.0988459836</x:v>
      </x:c>
      <x:c r="E2278" s="16" t="n">
        <x:v>3715.6376120109</x:v>
      </x:c>
      <x:c r="F2278" s="23" t="n">
        <x:v>6</x:v>
      </x:c>
    </x:row>
    <x:row r="2279">
      <x:c r="A2279" s="15" t="n">
        <x:v>44713</x:v>
      </x:c>
      <x:c r="B2279" s="13" t="str">
        <x:v>Oil, Gas &amp; Petrochemicals</x:v>
      </x:c>
      <x:c r="C2279" s="16" t="n">
        <x:v>129446.5852046032</x:v>
      </x:c>
      <x:c r="D2279" s="16" t="n">
        <x:v>148744.3826193535</x:v>
      </x:c>
      <x:c r="E2279" s="16" t="n">
        <x:v>19297.7974147503</x:v>
      </x:c>
      <x:c r="F2279" s="23" t="n">
        <x:v>7</x:v>
      </x:c>
    </x:row>
    <x:row r="2280">
      <x:c r="A2280" s="15" t="n">
        <x:v>44713</x:v>
      </x:c>
      <x:c r="B2280" s="13" t="str">
        <x:v>Pulp &amp; Paper</x:v>
      </x:c>
      <x:c r="C2280" s="16" t="n">
        <x:v>12711.2192973151</x:v>
      </x:c>
      <x:c r="D2280" s="16" t="n">
        <x:v>13321.1764827178</x:v>
      </x:c>
      <x:c r="E2280" s="16" t="n">
        <x:v>609.9571854027</x:v>
      </x:c>
      <x:c r="F2280" s="23" t="n">
        <x:v>3</x:v>
      </x:c>
    </x:row>
    <x:row r="2281">
      <x:c r="A2281" s="15" t="n">
        <x:v>44713</x:v>
      </x:c>
      <x:c r="B2281" s="13" t="str">
        <x:v>Retail</x:v>
      </x:c>
      <x:c r="C2281" s="16" t="n">
        <x:v>9093.821749589</x:v>
      </x:c>
      <x:c r="D2281" s="16" t="n">
        <x:v>9496.9090395617</x:v>
      </x:c>
      <x:c r="E2281" s="16" t="n">
        <x:v>403.0872899726</x:v>
      </x:c>
      <x:c r="F2281" s="23" t="n">
        <x:v>13</x:v>
      </x:c>
    </x:row>
    <x:row r="2282">
      <x:c r="A2282" s="15" t="n">
        <x:v>44713</x:v>
      </x:c>
      <x:c r="B2282" s="13" t="str">
        <x:v>Sanitation</x:v>
      </x:c>
      <x:c r="C2282" s="16" t="n">
        <x:v>3088.9096661918</x:v>
      </x:c>
      <x:c r="D2282" s="16" t="n">
        <x:v>3214.6316351123</x:v>
      </x:c>
      <x:c r="E2282" s="16" t="n">
        <x:v>125.7219689205</x:v>
      </x:c>
      <x:c r="F2282" s="23" t="n">
        <x:v>1</x:v>
      </x:c>
    </x:row>
    <x:row r="2283">
      <x:c r="A2283" s="15" t="n">
        <x:v>44713</x:v>
      </x:c>
      <x:c r="B2283" s="13" t="str">
        <x:v>TMT</x:v>
      </x:c>
      <x:c r="C2283" s="16" t="n">
        <x:v>3522.723237589</x:v>
      </x:c>
      <x:c r="D2283" s="16" t="n">
        <x:v>3407.8859447233</x:v>
      </x:c>
      <x:c r="E2283" s="16" t="n">
        <x:v>-114.8372928658</x:v>
      </x:c>
      <x:c r="F2283" s="23" t="n">
        <x:v>4</x:v>
      </x:c>
    </x:row>
    <x:row r="2284">
      <x:c r="A2284" s="15" t="n">
        <x:v>44713</x:v>
      </x:c>
      <x:c r="B2284" s="13" t="str">
        <x:v>Transportation</x:v>
      </x:c>
      <x:c r="C2284" s="16" t="n">
        <x:v>4021.5364047123</x:v>
      </x:c>
      <x:c r="D2284" s="16" t="n">
        <x:v>6286.9184018411</x:v>
      </x:c>
      <x:c r="E2284" s="16" t="n">
        <x:v>2265.3819971288</x:v>
      </x:c>
      <x:c r="F2284" s="23" t="n">
        <x:v>7</x:v>
      </x:c>
    </x:row>
    <x:row r="2285">
      <x:c r="A2285" s="15" t="n">
        <x:v>44713</x:v>
      </x:c>
      <x:c r="B2285" s="13" t="str">
        <x:v>Utilities &amp; Energy</x:v>
      </x:c>
      <x:c r="C2285" s="16" t="n">
        <x:v>39087.054284274</x:v>
      </x:c>
      <x:c r="D2285" s="16" t="n">
        <x:v>40251.3565489096</x:v>
      </x:c>
      <x:c r="E2285" s="16" t="n">
        <x:v>1164.3022646356</x:v>
      </x:c>
      <x:c r="F2285" s="23" t="n">
        <x:v>11</x:v>
      </x:c>
    </x:row>
    <x:row r="2286">
      <x:c r="A2286" s="15" t="n">
        <x:v>44743</x:v>
      </x:c>
      <x:c r="B2286" s="13" t="str">
        <x:v>Banks</x:v>
      </x:c>
      <x:c r="C2286" s="16" t="n">
        <x:v>139401.5446798026</x:v>
      </x:c>
      <x:c r="D2286" s="16" t="n">
        <x:v>144304.6529700822</x:v>
      </x:c>
      <x:c r="E2286" s="16" t="n">
        <x:v>4903.1082902796</x:v>
      </x:c>
      <x:c r="F2286" s="23" t="n">
        <x:v>7</x:v>
      </x:c>
    </x:row>
    <x:row r="2287">
      <x:c r="A2287" s="15" t="n">
        <x:v>44743</x:v>
      </x:c>
      <x:c r="B2287" s="13" t="str">
        <x:v>Capital Goods</x:v>
      </x:c>
      <x:c r="C2287" s="16" t="n">
        <x:v>4034.8972124493</x:v>
      </x:c>
      <x:c r="D2287" s="16" t="n">
        <x:v>4707.7390838356</x:v>
      </x:c>
      <x:c r="E2287" s="16" t="n">
        <x:v>672.8418713863</x:v>
      </x:c>
      <x:c r="F2287" s="23" t="n">
        <x:v>2</x:v>
      </x:c>
    </x:row>
    <x:row r="2288">
      <x:c r="A2288" s="15" t="n">
        <x:v>44743</x:v>
      </x:c>
      <x:c r="B2288" s="13" t="str">
        <x:v>Education</x:v>
      </x:c>
      <x:c r="C2288" s="16" t="n">
        <x:v>156.0249229479</x:v>
      </x:c>
      <x:c r="D2288" s="16" t="n">
        <x:v>164.63296</x:v>
      </x:c>
      <x:c r="E2288" s="16" t="n">
        <x:v>8.6080370521</x:v>
      </x:c>
      <x:c r="F2288" s="23" t="n">
        <x:v>2</x:v>
      </x:c>
    </x:row>
    <x:row r="2289">
      <x:c r="A2289" s="15" t="n">
        <x:v>44743</x:v>
      </x:c>
      <x:c r="B2289" s="13" t="str">
        <x:v>Financials Non-Banks</x:v>
      </x:c>
      <x:c r="C2289" s="16" t="n">
        <x:v>24900.1971126576</x:v>
      </x:c>
      <x:c r="D2289" s="16" t="n">
        <x:v>32310.4658134795</x:v>
      </x:c>
      <x:c r="E2289" s="16" t="n">
        <x:v>7410.2687008219</x:v>
      </x:c>
      <x:c r="F2289" s="23" t="n">
        <x:v>7</x:v>
      </x:c>
    </x:row>
    <x:row r="2290">
      <x:c r="A2290" s="15" t="n">
        <x:v>44743</x:v>
      </x:c>
      <x:c r="B2290" s="13" t="str">
        <x:v>Food &amp; Beverages</x:v>
      </x:c>
      <x:c r="C2290" s="16" t="n">
        <x:v>32783.2236491398</x:v>
      </x:c>
      <x:c r="D2290" s="16" t="n">
        <x:v>29497.978252274</x:v>
      </x:c>
      <x:c r="E2290" s="16" t="n">
        <x:v>-3285.2453968658</x:v>
      </x:c>
      <x:c r="F2290" s="23" t="n">
        <x:v>5</x:v>
      </x:c>
    </x:row>
    <x:row r="2291">
      <x:c r="A2291" s="15" t="n">
        <x:v>44743</x:v>
      </x:c>
      <x:c r="B2291" s="13" t="str">
        <x:v>Health Care</x:v>
      </x:c>
      <x:c r="C2291" s="16" t="n">
        <x:v>7707.4959339836</x:v>
      </x:c>
      <x:c r="D2291" s="16" t="n">
        <x:v>7292.7974404384</x:v>
      </x:c>
      <x:c r="E2291" s="16" t="n">
        <x:v>-414.6984935452</x:v>
      </x:c>
      <x:c r="F2291" s="23" t="n">
        <x:v>6</x:v>
      </x:c>
    </x:row>
    <x:row r="2292">
      <x:c r="A2292" s="15" t="n">
        <x:v>44743</x:v>
      </x:c>
      <x:c r="B2292" s="13" t="str">
        <x:v>Homebuilders</x:v>
      </x:c>
      <x:c r="C2292" s="16" t="n">
        <x:v>2298.7664224438</x:v>
      </x:c>
      <x:c r="D2292" s="16" t="n">
        <x:v>2002.8234108493</x:v>
      </x:c>
      <x:c r="E2292" s="16" t="n">
        <x:v>-295.9430115945</x:v>
      </x:c>
      <x:c r="F2292" s="23" t="n">
        <x:v>3</x:v>
      </x:c>
    </x:row>
    <x:row r="2293">
      <x:c r="A2293" s="15" t="n">
        <x:v>44743</x:v>
      </x:c>
      <x:c r="B2293" s="13" t="str">
        <x:v>Income Properties</x:v>
      </x:c>
      <x:c r="C2293" s="16" t="n">
        <x:v>2162.5036705315</x:v>
      </x:c>
      <x:c r="D2293" s="16" t="n">
        <x:v>2373.1810012055</x:v>
      </x:c>
      <x:c r="E2293" s="16" t="n">
        <x:v>210.677330674</x:v>
      </x:c>
      <x:c r="F2293" s="23" t="n">
        <x:v>4</x:v>
      </x:c>
    </x:row>
    <x:row r="2294">
      <x:c r="A2294" s="15" t="n">
        <x:v>44743</x:v>
      </x:c>
      <x:c r="B2294" s="13" t="str">
        <x:v>Metals &amp; Mining</x:v>
      </x:c>
      <x:c r="C2294" s="16" t="n">
        <x:v>119264.7501852054</x:v>
      </x:c>
      <x:c r="D2294" s="16" t="n">
        <x:v>104044.3276379178</x:v>
      </x:c>
      <x:c r="E2294" s="16" t="n">
        <x:v>-15220.4225472877</x:v>
      </x:c>
      <x:c r="F2294" s="23" t="n">
        <x:v>6</x:v>
      </x:c>
    </x:row>
    <x:row r="2295">
      <x:c r="A2295" s="15" t="n">
        <x:v>44743</x:v>
      </x:c>
      <x:c r="B2295" s="13" t="str">
        <x:v>Oil, Gas &amp; Petrochemicals</x:v>
      </x:c>
      <x:c r="C2295" s="16" t="n">
        <x:v>133262.4804302902</x:v>
      </x:c>
      <x:c r="D2295" s="16" t="n">
        <x:v>150202.0656162189</x:v>
      </x:c>
      <x:c r="E2295" s="16" t="n">
        <x:v>16939.5851859286</x:v>
      </x:c>
      <x:c r="F2295" s="23" t="n">
        <x:v>7</x:v>
      </x:c>
    </x:row>
    <x:row r="2296">
      <x:c r="A2296" s="15" t="n">
        <x:v>44743</x:v>
      </x:c>
      <x:c r="B2296" s="13" t="str">
        <x:v>Pulp &amp; Paper</x:v>
      </x:c>
      <x:c r="C2296" s="16" t="n">
        <x:v>12075.6391455562</x:v>
      </x:c>
      <x:c r="D2296" s="16" t="n">
        <x:v>12820.8855671233</x:v>
      </x:c>
      <x:c r="E2296" s="16" t="n">
        <x:v>745.2464215671</x:v>
      </x:c>
      <x:c r="F2296" s="23" t="n">
        <x:v>3</x:v>
      </x:c>
    </x:row>
    <x:row r="2297">
      <x:c r="A2297" s="15" t="n">
        <x:v>44743</x:v>
      </x:c>
      <x:c r="B2297" s="13" t="str">
        <x:v>Retail</x:v>
      </x:c>
      <x:c r="C2297" s="16" t="n">
        <x:v>9192.9136644822</x:v>
      </x:c>
      <x:c r="D2297" s="16" t="n">
        <x:v>9519.4398603836</x:v>
      </x:c>
      <x:c r="E2297" s="16" t="n">
        <x:v>326.5261959014</x:v>
      </x:c>
      <x:c r="F2297" s="23" t="n">
        <x:v>13</x:v>
      </x:c>
    </x:row>
    <x:row r="2298">
      <x:c r="A2298" s="15" t="n">
        <x:v>44743</x:v>
      </x:c>
      <x:c r="B2298" s="13" t="str">
        <x:v>Sanitation</x:v>
      </x:c>
      <x:c r="C2298" s="16" t="n">
        <x:v>3117.3256107836</x:v>
      </x:c>
      <x:c r="D2298" s="16" t="n">
        <x:v>3219.3292624658</x:v>
      </x:c>
      <x:c r="E2298" s="16" t="n">
        <x:v>102.0036516822</x:v>
      </x:c>
      <x:c r="F2298" s="23" t="n">
        <x:v>1</x:v>
      </x:c>
    </x:row>
    <x:row r="2299">
      <x:c r="A2299" s="15" t="n">
        <x:v>44743</x:v>
      </x:c>
      <x:c r="B2299" s="13" t="str">
        <x:v>TMT</x:v>
      </x:c>
      <x:c r="C2299" s="16" t="n">
        <x:v>3413.4764601425</x:v>
      </x:c>
      <x:c r="D2299" s="16" t="n">
        <x:v>3396.7536149041</x:v>
      </x:c>
      <x:c r="E2299" s="16" t="n">
        <x:v>-16.7228452384</x:v>
      </x:c>
      <x:c r="F2299" s="23" t="n">
        <x:v>4</x:v>
      </x:c>
    </x:row>
    <x:row r="2300">
      <x:c r="A2300" s="15" t="n">
        <x:v>44743</x:v>
      </x:c>
      <x:c r="B2300" s="13" t="str">
        <x:v>Transportation</x:v>
      </x:c>
      <x:c r="C2300" s="16" t="n">
        <x:v>3453.0288886795</x:v>
      </x:c>
      <x:c r="D2300" s="16" t="n">
        <x:v>5388.1881053151</x:v>
      </x:c>
      <x:c r="E2300" s="16" t="n">
        <x:v>1935.1592166356</x:v>
      </x:c>
      <x:c r="F2300" s="23" t="n">
        <x:v>6</x:v>
      </x:c>
    </x:row>
    <x:row r="2301">
      <x:c r="A2301" s="15" t="n">
        <x:v>44743</x:v>
      </x:c>
      <x:c r="B2301" s="13" t="str">
        <x:v>Utilities &amp; Energy</x:v>
      </x:c>
      <x:c r="C2301" s="16" t="n">
        <x:v>36281.9104087671</x:v>
      </x:c>
      <x:c r="D2301" s="16" t="n">
        <x:v>40012.4235160548</x:v>
      </x:c>
      <x:c r="E2301" s="16" t="n">
        <x:v>3730.5131072877</x:v>
      </x:c>
      <x:c r="F2301" s="23" t="n">
        <x:v>11</x:v>
      </x:c>
    </x:row>
    <x:row r="2302">
      <x:c r="A2302" s="15" t="n">
        <x:v>44774</x:v>
      </x:c>
      <x:c r="B2302" s="13" t="str">
        <x:v>Agribusiness</x:v>
      </x:c>
      <x:c r="C2302" s="16" t="n">
        <x:v>1384.3932850849</x:v>
      </x:c>
      <x:c r="D2302" s="16" t="n">
        <x:v>1289.2328988055</x:v>
      </x:c>
      <x:c r="E2302" s="16" t="n">
        <x:v>-95.1603862794</x:v>
      </x:c>
      <x:c r="F2302" s="23" t="n">
        <x:v>1</x:v>
      </x:c>
    </x:row>
    <x:row r="2303">
      <x:c r="A2303" s="15" t="n">
        <x:v>44774</x:v>
      </x:c>
      <x:c r="B2303" s="13" t="str">
        <x:v>Banks</x:v>
      </x:c>
      <x:c r="C2303" s="16" t="n">
        <x:v>142596.0331958356</x:v>
      </x:c>
      <x:c r="D2303" s="16" t="n">
        <x:v>148576.4888225317</x:v>
      </x:c>
      <x:c r="E2303" s="16" t="n">
        <x:v>5980.4556266961</x:v>
      </x:c>
      <x:c r="F2303" s="23" t="n">
        <x:v>7</x:v>
      </x:c>
    </x:row>
    <x:row r="2304">
      <x:c r="A2304" s="15" t="n">
        <x:v>44774</x:v>
      </x:c>
      <x:c r="B2304" s="13" t="str">
        <x:v>Capital Goods</x:v>
      </x:c>
      <x:c r="C2304" s="16" t="n">
        <x:v>4148.4299388055</x:v>
      </x:c>
      <x:c r="D2304" s="16" t="n">
        <x:v>4900.334412274</x:v>
      </x:c>
      <x:c r="E2304" s="16" t="n">
        <x:v>751.9044734685</x:v>
      </x:c>
      <x:c r="F2304" s="23" t="n">
        <x:v>2</x:v>
      </x:c>
    </x:row>
    <x:row r="2305">
      <x:c r="A2305" s="15" t="n">
        <x:v>44774</x:v>
      </x:c>
      <x:c r="B2305" s="13" t="str">
        <x:v>Education</x:v>
      </x:c>
      <x:c r="C2305" s="16" t="n">
        <x:v>161.8555223781</x:v>
      </x:c>
      <x:c r="D2305" s="16" t="n">
        <x:v>167.8431182685</x:v>
      </x:c>
      <x:c r="E2305" s="16" t="n">
        <x:v>5.9875958904</x:v>
      </x:c>
      <x:c r="F2305" s="23" t="n">
        <x:v>2</x:v>
      </x:c>
    </x:row>
    <x:row r="2306">
      <x:c r="A2306" s="15" t="n">
        <x:v>44774</x:v>
      </x:c>
      <x:c r="B2306" s="13" t="str">
        <x:v>Financials Non-Banks</x:v>
      </x:c>
      <x:c r="C2306" s="16" t="n">
        <x:v>25565.4612420164</x:v>
      </x:c>
      <x:c r="D2306" s="16" t="n">
        <x:v>26528.6396725041</x:v>
      </x:c>
      <x:c r="E2306" s="16" t="n">
        <x:v>963.1784304877</x:v>
      </x:c>
      <x:c r="F2306" s="23" t="n">
        <x:v>7</x:v>
      </x:c>
    </x:row>
    <x:row r="2307">
      <x:c r="A2307" s="15" t="n">
        <x:v>44774</x:v>
      </x:c>
      <x:c r="B2307" s="13" t="str">
        <x:v>Food &amp; Beverages</x:v>
      </x:c>
      <x:c r="C2307" s="16" t="n">
        <x:v>29878.3072343671</x:v>
      </x:c>
      <x:c r="D2307" s="16" t="n">
        <x:v>30551.947697622</x:v>
      </x:c>
      <x:c r="E2307" s="16" t="n">
        <x:v>673.6404632549</x:v>
      </x:c>
      <x:c r="F2307" s="23" t="n">
        <x:v>5</x:v>
      </x:c>
    </x:row>
    <x:row r="2308">
      <x:c r="A2308" s="15" t="n">
        <x:v>44774</x:v>
      </x:c>
      <x:c r="B2308" s="13" t="str">
        <x:v>Health Care</x:v>
      </x:c>
      <x:c r="C2308" s="16" t="n">
        <x:v>7623.2405745096</x:v>
      </x:c>
      <x:c r="D2308" s="16" t="n">
        <x:v>7238.9826488986</x:v>
      </x:c>
      <x:c r="E2308" s="16" t="n">
        <x:v>-384.257925611</x:v>
      </x:c>
      <x:c r="F2308" s="23" t="n">
        <x:v>6</x:v>
      </x:c>
    </x:row>
    <x:row r="2309">
      <x:c r="A2309" s="15" t="n">
        <x:v>44774</x:v>
      </x:c>
      <x:c r="B2309" s="13" t="str">
        <x:v>Homebuilders</x:v>
      </x:c>
      <x:c r="C2309" s="16" t="n">
        <x:v>2208.7297155507</x:v>
      </x:c>
      <x:c r="D2309" s="16" t="n">
        <x:v>1892.7274538082</x:v>
      </x:c>
      <x:c r="E2309" s="16" t="n">
        <x:v>-316.0022617425</x:v>
      </x:c>
      <x:c r="F2309" s="23" t="n">
        <x:v>3</x:v>
      </x:c>
    </x:row>
    <x:row r="2310">
      <x:c r="A2310" s="15" t="n">
        <x:v>44774</x:v>
      </x:c>
      <x:c r="B2310" s="13" t="str">
        <x:v>Income Properties</x:v>
      </x:c>
      <x:c r="C2310" s="16" t="n">
        <x:v>2234.0503288986</x:v>
      </x:c>
      <x:c r="D2310" s="16" t="n">
        <x:v>2400.1595134247</x:v>
      </x:c>
      <x:c r="E2310" s="16" t="n">
        <x:v>166.109184526</x:v>
      </x:c>
      <x:c r="F2310" s="23" t="n">
        <x:v>4</x:v>
      </x:c>
    </x:row>
    <x:row r="2311">
      <x:c r="A2311" s="15" t="n">
        <x:v>44774</x:v>
      </x:c>
      <x:c r="B2311" s="13" t="str">
        <x:v>Metals &amp; Mining</x:v>
      </x:c>
      <x:c r="C2311" s="16" t="n">
        <x:v>117038.9437369863</x:v>
      </x:c>
      <x:c r="D2311" s="16" t="n">
        <x:v>98333.9782890959</x:v>
      </x:c>
      <x:c r="E2311" s="16" t="n">
        <x:v>-18704.9654478904</x:v>
      </x:c>
      <x:c r="F2311" s="23" t="n">
        <x:v>6</x:v>
      </x:c>
    </x:row>
    <x:row r="2312">
      <x:c r="A2312" s="15" t="n">
        <x:v>44774</x:v>
      </x:c>
      <x:c r="B2312" s="13" t="str">
        <x:v>Oil, Gas &amp; Petrochemicals</x:v>
      </x:c>
      <x:c r="C2312" s="16" t="n">
        <x:v>140324.9660524709</x:v>
      </x:c>
      <x:c r="D2312" s="16" t="n">
        <x:v>156241.852271869</x:v>
      </x:c>
      <x:c r="E2312" s="16" t="n">
        <x:v>15916.8862193981</x:v>
      </x:c>
      <x:c r="F2312" s="23" t="n">
        <x:v>7</x:v>
      </x:c>
    </x:row>
    <x:row r="2313">
      <x:c r="A2313" s="15" t="n">
        <x:v>44774</x:v>
      </x:c>
      <x:c r="B2313" s="13" t="str">
        <x:v>Pulp &amp; Paper</x:v>
      </x:c>
      <x:c r="C2313" s="16" t="n">
        <x:v>11605.8413196274</x:v>
      </x:c>
      <x:c r="D2313" s="16" t="n">
        <x:v>14389.8314510027</x:v>
      </x:c>
      <x:c r="E2313" s="16" t="n">
        <x:v>2783.9901313754</x:v>
      </x:c>
      <x:c r="F2313" s="23" t="n">
        <x:v>3</x:v>
      </x:c>
    </x:row>
    <x:row r="2314">
      <x:c r="A2314" s="15" t="n">
        <x:v>44774</x:v>
      </x:c>
      <x:c r="B2314" s="13" t="str">
        <x:v>Retail</x:v>
      </x:c>
      <x:c r="C2314" s="16" t="n">
        <x:v>9274.2202209315</x:v>
      </x:c>
      <x:c r="D2314" s="16" t="n">
        <x:v>9543.9098978521</x:v>
      </x:c>
      <x:c r="E2314" s="16" t="n">
        <x:v>269.6896769206</x:v>
      </x:c>
      <x:c r="F2314" s="23" t="n">
        <x:v>13</x:v>
      </x:c>
    </x:row>
    <x:row r="2315">
      <x:c r="A2315" s="15" t="n">
        <x:v>44774</x:v>
      </x:c>
      <x:c r="B2315" s="13" t="str">
        <x:v>Sanitation</x:v>
      </x:c>
      <x:c r="C2315" s="16" t="n">
        <x:v>3258.3802403068</x:v>
      </x:c>
      <x:c r="D2315" s="16" t="n">
        <x:v>3053.3198195726</x:v>
      </x:c>
      <x:c r="E2315" s="16" t="n">
        <x:v>-205.0604207342</x:v>
      </x:c>
      <x:c r="F2315" s="23" t="n">
        <x:v>1</x:v>
      </x:c>
    </x:row>
    <x:row r="2316">
      <x:c r="A2316" s="15" t="n">
        <x:v>44774</x:v>
      </x:c>
      <x:c r="B2316" s="13" t="str">
        <x:v>TMT</x:v>
      </x:c>
      <x:c r="C2316" s="16" t="n">
        <x:v>3427.8733564055</x:v>
      </x:c>
      <x:c r="D2316" s="16" t="n">
        <x:v>3272.9441411507</x:v>
      </x:c>
      <x:c r="E2316" s="16" t="n">
        <x:v>-154.9292152548</x:v>
      </x:c>
      <x:c r="F2316" s="23" t="n">
        <x:v>4</x:v>
      </x:c>
    </x:row>
    <x:row r="2317">
      <x:c r="A2317" s="15" t="n">
        <x:v>44774</x:v>
      </x:c>
      <x:c r="B2317" s="13" t="str">
        <x:v>Transportation</x:v>
      </x:c>
      <x:c r="C2317" s="16" t="n">
        <x:v>4507.5943648877</x:v>
      </x:c>
      <x:c r="D2317" s="16" t="n">
        <x:v>5221.1379216658</x:v>
      </x:c>
      <x:c r="E2317" s="16" t="n">
        <x:v>713.5435567781</x:v>
      </x:c>
      <x:c r="F2317" s="23" t="n">
        <x:v>6</x:v>
      </x:c>
    </x:row>
    <x:row r="2318">
      <x:c r="A2318" s="15" t="n">
        <x:v>44774</x:v>
      </x:c>
      <x:c r="B2318" s="13" t="str">
        <x:v>Utilities &amp; Energy</x:v>
      </x:c>
      <x:c r="C2318" s="16" t="n">
        <x:v>39188.2961225644</x:v>
      </x:c>
      <x:c r="D2318" s="16" t="n">
        <x:v>36775.2684558027</x:v>
      </x:c>
      <x:c r="E2318" s="16" t="n">
        <x:v>-2413.0276667616</x:v>
      </x:c>
      <x:c r="F2318" s="23" t="n">
        <x:v>11</x:v>
      </x:c>
    </x:row>
    <x:row r="2319">
      <x:c r="A2319" s="15" t="n">
        <x:v>44805</x:v>
      </x:c>
      <x:c r="B2319" s="13" t="str">
        <x:v>Agribusiness</x:v>
      </x:c>
      <x:c r="C2319" s="16" t="n">
        <x:v>1370.9853411945</x:v>
      </x:c>
      <x:c r="D2319" s="16" t="n">
        <x:v>1314.4958506082</x:v>
      </x:c>
      <x:c r="E2319" s="16" t="n">
        <x:v>-56.4894905863</x:v>
      </x:c>
      <x:c r="F2319" s="23" t="n">
        <x:v>1</x:v>
      </x:c>
    </x:row>
    <x:row r="2320">
      <x:c r="A2320" s="15" t="n">
        <x:v>44805</x:v>
      </x:c>
      <x:c r="B2320" s="13" t="str">
        <x:v>Banks</x:v>
      </x:c>
      <x:c r="C2320" s="16" t="n">
        <x:v>143563.7934711234</x:v>
      </x:c>
      <x:c r="D2320" s="16" t="n">
        <x:v>150274.5541281315</x:v>
      </x:c>
      <x:c r="E2320" s="16" t="n">
        <x:v>6710.7606570081</x:v>
      </x:c>
      <x:c r="F2320" s="23" t="n">
        <x:v>7</x:v>
      </x:c>
    </x:row>
    <x:row r="2321">
      <x:c r="A2321" s="15" t="n">
        <x:v>44805</x:v>
      </x:c>
      <x:c r="B2321" s="13" t="str">
        <x:v>Capital Goods</x:v>
      </x:c>
      <x:c r="C2321" s="16" t="n">
        <x:v>4457.5316422137</x:v>
      </x:c>
      <x:c r="D2321" s="16" t="n">
        <x:v>5007.9484309041</x:v>
      </x:c>
      <x:c r="E2321" s="16" t="n">
        <x:v>550.4167886904</x:v>
      </x:c>
      <x:c r="F2321" s="23" t="n">
        <x:v>2</x:v>
      </x:c>
    </x:row>
    <x:row r="2322">
      <x:c r="A2322" s="15" t="n">
        <x:v>44805</x:v>
      </x:c>
      <x:c r="B2322" s="13" t="str">
        <x:v>Education</x:v>
      </x:c>
      <x:c r="C2322" s="16" t="n">
        <x:v>179.4341867178</x:v>
      </x:c>
      <x:c r="D2322" s="16" t="n">
        <x:v>130.7177319671</x:v>
      </x:c>
      <x:c r="E2322" s="16" t="n">
        <x:v>-48.7164547507</x:v>
      </x:c>
      <x:c r="F2322" s="23" t="n">
        <x:v>2</x:v>
      </x:c>
    </x:row>
    <x:row r="2323">
      <x:c r="A2323" s="15" t="n">
        <x:v>44805</x:v>
      </x:c>
      <x:c r="B2323" s="13" t="str">
        <x:v>Financials Non-Banks</x:v>
      </x:c>
      <x:c r="C2323" s="16" t="n">
        <x:v>31991.132120011</x:v>
      </x:c>
      <x:c r="D2323" s="16" t="n">
        <x:v>27696.3538360548</x:v>
      </x:c>
      <x:c r="E2323" s="16" t="n">
        <x:v>-4294.7782839562</x:v>
      </x:c>
      <x:c r="F2323" s="23" t="n">
        <x:v>7</x:v>
      </x:c>
    </x:row>
    <x:row r="2324">
      <x:c r="A2324" s="15" t="n">
        <x:v>44805</x:v>
      </x:c>
      <x:c r="B2324" s="13" t="str">
        <x:v>Food &amp; Beverages</x:v>
      </x:c>
      <x:c r="C2324" s="16" t="n">
        <x:v>29338.6564892055</x:v>
      </x:c>
      <x:c r="D2324" s="16" t="n">
        <x:v>30748.2726629698</x:v>
      </x:c>
      <x:c r="E2324" s="16" t="n">
        <x:v>1409.6161737643</x:v>
      </x:c>
      <x:c r="F2324" s="23" t="n">
        <x:v>5</x:v>
      </x:c>
    </x:row>
    <x:row r="2325">
      <x:c r="A2325" s="15" t="n">
        <x:v>44805</x:v>
      </x:c>
      <x:c r="B2325" s="13" t="str">
        <x:v>Health Care</x:v>
      </x:c>
      <x:c r="C2325" s="16" t="n">
        <x:v>7239.7164690411</x:v>
      </x:c>
      <x:c r="D2325" s="16" t="n">
        <x:v>7236.1672496219</x:v>
      </x:c>
      <x:c r="E2325" s="16" t="n">
        <x:v>-3.5492194192</x:v>
      </x:c>
      <x:c r="F2325" s="23" t="n">
        <x:v>6</x:v>
      </x:c>
    </x:row>
    <x:row r="2326">
      <x:c r="A2326" s="15" t="n">
        <x:v>44805</x:v>
      </x:c>
      <x:c r="B2326" s="13" t="str">
        <x:v>Homebuilders</x:v>
      </x:c>
      <x:c r="C2326" s="16" t="n">
        <x:v>2111.2152443616</x:v>
      </x:c>
      <x:c r="D2326" s="16" t="n">
        <x:v>1891.7711890411</x:v>
      </x:c>
      <x:c r="E2326" s="16" t="n">
        <x:v>-219.4440553205</x:v>
      </x:c>
      <x:c r="F2326" s="23" t="n">
        <x:v>3</x:v>
      </x:c>
    </x:row>
    <x:row r="2327">
      <x:c r="A2327" s="15" t="n">
        <x:v>44805</x:v>
      </x:c>
      <x:c r="B2327" s="13" t="str">
        <x:v>Income Properties</x:v>
      </x:c>
      <x:c r="C2327" s="16" t="n">
        <x:v>1554.9789864329</x:v>
      </x:c>
      <x:c r="D2327" s="16" t="n">
        <x:v>1703.6749248</x:v>
      </x:c>
      <x:c r="E2327" s="16" t="n">
        <x:v>148.6959383671</x:v>
      </x:c>
      <x:c r="F2327" s="23" t="n">
        <x:v>3</x:v>
      </x:c>
    </x:row>
    <x:row r="2328">
      <x:c r="A2328" s="15" t="n">
        <x:v>44805</x:v>
      </x:c>
      <x:c r="B2328" s="13" t="str">
        <x:v>Metals &amp; Mining</x:v>
      </x:c>
      <x:c r="C2328" s="16" t="n">
        <x:v>113673.0988459836</x:v>
      </x:c>
      <x:c r="D2328" s="16" t="n">
        <x:v>90303.4634646794</x:v>
      </x:c>
      <x:c r="E2328" s="16" t="n">
        <x:v>-23369.6353813041</x:v>
      </x:c>
      <x:c r="F2328" s="23" t="n">
        <x:v>6</x:v>
      </x:c>
    </x:row>
    <x:row r="2329">
      <x:c r="A2329" s="15" t="n">
        <x:v>44805</x:v>
      </x:c>
      <x:c r="B2329" s="13" t="str">
        <x:v>Oil, Gas &amp; Petrochemicals</x:v>
      </x:c>
      <x:c r="C2329" s="16" t="n">
        <x:v>148744.3826193535</x:v>
      </x:c>
      <x:c r="D2329" s="16" t="n">
        <x:v>150501.15183851</x:v>
      </x:c>
      <x:c r="E2329" s="16" t="n">
        <x:v>1756.7692191565</x:v>
      </x:c>
      <x:c r="F2329" s="23" t="n">
        <x:v>7</x:v>
      </x:c>
    </x:row>
    <x:row r="2330">
      <x:c r="A2330" s="15" t="n">
        <x:v>44805</x:v>
      </x:c>
      <x:c r="B2330" s="13" t="str">
        <x:v>Pulp &amp; Paper</x:v>
      </x:c>
      <x:c r="C2330" s="16" t="n">
        <x:v>13321.1764827178</x:v>
      </x:c>
      <x:c r="D2330" s="16" t="n">
        <x:v>12857.141963748</x:v>
      </x:c>
      <x:c r="E2330" s="16" t="n">
        <x:v>-464.0345189699</x:v>
      </x:c>
      <x:c r="F2330" s="23" t="n">
        <x:v>3</x:v>
      </x:c>
    </x:row>
    <x:row r="2331">
      <x:c r="A2331" s="15" t="n">
        <x:v>44805</x:v>
      </x:c>
      <x:c r="B2331" s="13" t="str">
        <x:v>Retail</x:v>
      </x:c>
      <x:c r="C2331" s="16" t="n">
        <x:v>9496.9090395617</x:v>
      </x:c>
      <x:c r="D2331" s="16" t="n">
        <x:v>9513.1723128658</x:v>
      </x:c>
      <x:c r="E2331" s="16" t="n">
        <x:v>16.2632733041</x:v>
      </x:c>
      <x:c r="F2331" s="23" t="n">
        <x:v>13</x:v>
      </x:c>
    </x:row>
    <x:row r="2332">
      <x:c r="A2332" s="15" t="n">
        <x:v>44805</x:v>
      </x:c>
      <x:c r="B2332" s="13" t="str">
        <x:v>Sanitation</x:v>
      </x:c>
      <x:c r="C2332" s="16" t="n">
        <x:v>3214.6316351123</x:v>
      </x:c>
      <x:c r="D2332" s="16" t="n">
        <x:v>3023.4198591123</x:v>
      </x:c>
      <x:c r="E2332" s="16" t="n">
        <x:v>-191.211776</x:v>
      </x:c>
      <x:c r="F2332" s="23" t="n">
        <x:v>1</x:v>
      </x:c>
    </x:row>
    <x:row r="2333">
      <x:c r="A2333" s="15" t="n">
        <x:v>44805</x:v>
      </x:c>
      <x:c r="B2333" s="13" t="str">
        <x:v>TMT</x:v>
      </x:c>
      <x:c r="C2333" s="16" t="n">
        <x:v>3407.8859447233</x:v>
      </x:c>
      <x:c r="D2333" s="16" t="n">
        <x:v>3306.3635634411</x:v>
      </x:c>
      <x:c r="E2333" s="16" t="n">
        <x:v>-101.5223812822</x:v>
      </x:c>
      <x:c r="F2333" s="23" t="n">
        <x:v>4</x:v>
      </x:c>
    </x:row>
    <x:row r="2334">
      <x:c r="A2334" s="15" t="n">
        <x:v>44805</x:v>
      </x:c>
      <x:c r="B2334" s="13" t="str">
        <x:v>Transportation</x:v>
      </x:c>
      <x:c r="C2334" s="16" t="n">
        <x:v>5159.7218736219</x:v>
      </x:c>
      <x:c r="D2334" s="16" t="n">
        <x:v>5745.9673738521</x:v>
      </x:c>
      <x:c r="E2334" s="16" t="n">
        <x:v>586.2455002301</x:v>
      </x:c>
      <x:c r="F2334" s="23" t="n">
        <x:v>6</x:v>
      </x:c>
    </x:row>
    <x:row r="2335">
      <x:c r="A2335" s="15" t="n">
        <x:v>44805</x:v>
      </x:c>
      <x:c r="B2335" s="13" t="str">
        <x:v>Utilities &amp; Energy</x:v>
      </x:c>
      <x:c r="C2335" s="16" t="n">
        <x:v>40251.3565489096</x:v>
      </x:c>
      <x:c r="D2335" s="16" t="n">
        <x:v>36484.9805483836</x:v>
      </x:c>
      <x:c r="E2335" s="16" t="n">
        <x:v>-3766.376000526</x:v>
      </x:c>
      <x:c r="F2335" s="23" t="n">
        <x:v>11</x:v>
      </x:c>
    </x:row>
    <x:row r="2336">
      <x:c r="A2336" s="15" t="n">
        <x:v>44835</x:v>
      </x:c>
      <x:c r="B2336" s="13" t="str">
        <x:v>Agribusiness</x:v>
      </x:c>
      <x:c r="C2336" s="16" t="n">
        <x:v>1326.7054886575</x:v>
      </x:c>
      <x:c r="D2336" s="16" t="n">
        <x:v>1311.5657054685</x:v>
      </x:c>
      <x:c r="E2336" s="16" t="n">
        <x:v>-15.139783189</x:v>
      </x:c>
      <x:c r="F2336" s="23" t="n">
        <x:v>1</x:v>
      </x:c>
    </x:row>
    <x:row r="2337">
      <x:c r="A2337" s="15" t="n">
        <x:v>44835</x:v>
      </x:c>
      <x:c r="B2337" s="13" t="str">
        <x:v>Banks</x:v>
      </x:c>
      <x:c r="C2337" s="16" t="n">
        <x:v>144304.6529700822</x:v>
      </x:c>
      <x:c r="D2337" s="16" t="n">
        <x:v>151017.8593770961</x:v>
      </x:c>
      <x:c r="E2337" s="16" t="n">
        <x:v>6713.2064070138</x:v>
      </x:c>
      <x:c r="F2337" s="23" t="n">
        <x:v>7</x:v>
      </x:c>
    </x:row>
    <x:row r="2338">
      <x:c r="A2338" s="15" t="n">
        <x:v>44835</x:v>
      </x:c>
      <x:c r="B2338" s="13" t="str">
        <x:v>Capital Goods</x:v>
      </x:c>
      <x:c r="C2338" s="16" t="n">
        <x:v>4707.7390838356</x:v>
      </x:c>
      <x:c r="D2338" s="16" t="n">
        <x:v>5289.6223623014</x:v>
      </x:c>
      <x:c r="E2338" s="16" t="n">
        <x:v>581.8832784658</x:v>
      </x:c>
      <x:c r="F2338" s="23" t="n">
        <x:v>2</x:v>
      </x:c>
    </x:row>
    <x:row r="2339">
      <x:c r="A2339" s="15" t="n">
        <x:v>44835</x:v>
      </x:c>
      <x:c r="B2339" s="13" t="str">
        <x:v>Education</x:v>
      </x:c>
      <x:c r="C2339" s="16" t="n">
        <x:v>164.63296</x:v>
      </x:c>
      <x:c r="D2339" s="16" t="n">
        <x:v>145.5024383562</x:v>
      </x:c>
      <x:c r="E2339" s="16" t="n">
        <x:v>-19.1305216438</x:v>
      </x:c>
      <x:c r="F2339" s="23" t="n">
        <x:v>2</x:v>
      </x:c>
    </x:row>
    <x:row r="2340">
      <x:c r="A2340" s="15" t="n">
        <x:v>44835</x:v>
      </x:c>
      <x:c r="B2340" s="13" t="str">
        <x:v>Financials Non-Banks</x:v>
      </x:c>
      <x:c r="C2340" s="16" t="n">
        <x:v>32310.4658134795</x:v>
      </x:c>
      <x:c r="D2340" s="16" t="n">
        <x:v>27549.4104046466</x:v>
      </x:c>
      <x:c r="E2340" s="16" t="n">
        <x:v>-4761.0554088329</x:v>
      </x:c>
      <x:c r="F2340" s="23" t="n">
        <x:v>7</x:v>
      </x:c>
    </x:row>
    <x:row r="2341">
      <x:c r="A2341" s="15" t="n">
        <x:v>44835</x:v>
      </x:c>
      <x:c r="B2341" s="13" t="str">
        <x:v>Food &amp; Beverages</x:v>
      </x:c>
      <x:c r="C2341" s="16" t="n">
        <x:v>29497.978252274</x:v>
      </x:c>
      <x:c r="D2341" s="16" t="n">
        <x:v>30729.6675115835</x:v>
      </x:c>
      <x:c r="E2341" s="16" t="n">
        <x:v>1231.6892593095</x:v>
      </x:c>
      <x:c r="F2341" s="23" t="n">
        <x:v>5</x:v>
      </x:c>
    </x:row>
    <x:row r="2342">
      <x:c r="A2342" s="15" t="n">
        <x:v>44835</x:v>
      </x:c>
      <x:c r="B2342" s="13" t="str">
        <x:v>Health Care</x:v>
      </x:c>
      <x:c r="C2342" s="16" t="n">
        <x:v>7292.7974404384</x:v>
      </x:c>
      <x:c r="D2342" s="16" t="n">
        <x:v>7300.0435950904</x:v>
      </x:c>
      <x:c r="E2342" s="16" t="n">
        <x:v>7.246154652</x:v>
      </x:c>
      <x:c r="F2342" s="23" t="n">
        <x:v>6</x:v>
      </x:c>
    </x:row>
    <x:row r="2343">
      <x:c r="A2343" s="15" t="n">
        <x:v>44835</x:v>
      </x:c>
      <x:c r="B2343" s="13" t="str">
        <x:v>Homebuilders</x:v>
      </x:c>
      <x:c r="C2343" s="16" t="n">
        <x:v>2002.8234108493</x:v>
      </x:c>
      <x:c r="D2343" s="16" t="n">
        <x:v>1883.4865481644</x:v>
      </x:c>
      <x:c r="E2343" s="16" t="n">
        <x:v>-119.3368626849</x:v>
      </x:c>
      <x:c r="F2343" s="23" t="n">
        <x:v>3</x:v>
      </x:c>
    </x:row>
    <x:row r="2344">
      <x:c r="A2344" s="15" t="n">
        <x:v>44835</x:v>
      </x:c>
      <x:c r="B2344" s="13" t="str">
        <x:v>Income Properties</x:v>
      </x:c>
      <x:c r="C2344" s="16" t="n">
        <x:v>1593.643341589</x:v>
      </x:c>
      <x:c r="D2344" s="16" t="n">
        <x:v>1736.985968526</x:v>
      </x:c>
      <x:c r="E2344" s="16" t="n">
        <x:v>143.342626937</x:v>
      </x:c>
      <x:c r="F2344" s="23" t="n">
        <x:v>3</x:v>
      </x:c>
    </x:row>
    <x:row r="2345">
      <x:c r="A2345" s="15" t="n">
        <x:v>44835</x:v>
      </x:c>
      <x:c r="B2345" s="13" t="str">
        <x:v>Metals &amp; Mining</x:v>
      </x:c>
      <x:c r="C2345" s="16" t="n">
        <x:v>104044.3276379178</x:v>
      </x:c>
      <x:c r="D2345" s="16" t="n">
        <x:v>82850.3556074959</x:v>
      </x:c>
      <x:c r="E2345" s="16" t="n">
        <x:v>-21193.9720304218</x:v>
      </x:c>
      <x:c r="F2345" s="23" t="n">
        <x:v>6</x:v>
      </x:c>
    </x:row>
    <x:row r="2346">
      <x:c r="A2346" s="15" t="n">
        <x:v>44835</x:v>
      </x:c>
      <x:c r="B2346" s="13" t="str">
        <x:v>Oil, Gas &amp; Petrochemicals</x:v>
      </x:c>
      <x:c r="C2346" s="16" t="n">
        <x:v>150202.0656162189</x:v>
      </x:c>
      <x:c r="D2346" s="16" t="n">
        <x:v>152220.1186436385</x:v>
      </x:c>
      <x:c r="E2346" s="16" t="n">
        <x:v>2018.0530274196</x:v>
      </x:c>
      <x:c r="F2346" s="23" t="n">
        <x:v>7</x:v>
      </x:c>
    </x:row>
    <x:row r="2347">
      <x:c r="A2347" s="15" t="n">
        <x:v>44835</x:v>
      </x:c>
      <x:c r="B2347" s="13" t="str">
        <x:v>Pulp &amp; Paper</x:v>
      </x:c>
      <x:c r="C2347" s="16" t="n">
        <x:v>12820.8855671233</x:v>
      </x:c>
      <x:c r="D2347" s="16" t="n">
        <x:v>12064.4037489973</x:v>
      </x:c>
      <x:c r="E2347" s="16" t="n">
        <x:v>-756.481818126</x:v>
      </x:c>
      <x:c r="F2347" s="23" t="n">
        <x:v>3</x:v>
      </x:c>
    </x:row>
    <x:row r="2348">
      <x:c r="A2348" s="15" t="n">
        <x:v>44835</x:v>
      </x:c>
      <x:c r="B2348" s="13" t="str">
        <x:v>Retail</x:v>
      </x:c>
      <x:c r="C2348" s="16" t="n">
        <x:v>9519.4398603836</x:v>
      </x:c>
      <x:c r="D2348" s="16" t="n">
        <x:v>9523.2619457753</x:v>
      </x:c>
      <x:c r="E2348" s="16" t="n">
        <x:v>3.8220853918</x:v>
      </x:c>
      <x:c r="F2348" s="23" t="n">
        <x:v>13</x:v>
      </x:c>
    </x:row>
    <x:row r="2349">
      <x:c r="A2349" s="15" t="n">
        <x:v>44835</x:v>
      </x:c>
      <x:c r="B2349" s="13" t="str">
        <x:v>Sanitation</x:v>
      </x:c>
      <x:c r="C2349" s="16" t="n">
        <x:v>3219.3292624658</x:v>
      </x:c>
      <x:c r="D2349" s="16" t="n">
        <x:v>3069.2735684384</x:v>
      </x:c>
      <x:c r="E2349" s="16" t="n">
        <x:v>-150.0556940274</x:v>
      </x:c>
      <x:c r="F2349" s="23" t="n">
        <x:v>1</x:v>
      </x:c>
    </x:row>
    <x:row r="2350">
      <x:c r="A2350" s="15" t="n">
        <x:v>44835</x:v>
      </x:c>
      <x:c r="B2350" s="13" t="str">
        <x:v>TMT</x:v>
      </x:c>
      <x:c r="C2350" s="16" t="n">
        <x:v>3396.7536149041</x:v>
      </x:c>
      <x:c r="D2350" s="16" t="n">
        <x:v>3404.7023285041</x:v>
      </x:c>
      <x:c r="E2350" s="16" t="n">
        <x:v>7.9487136</x:v>
      </x:c>
      <x:c r="F2350" s="23" t="n">
        <x:v>4</x:v>
      </x:c>
    </x:row>
    <x:row r="2351">
      <x:c r="A2351" s="15" t="n">
        <x:v>44835</x:v>
      </x:c>
      <x:c r="B2351" s="13" t="str">
        <x:v>Transportation</x:v>
      </x:c>
      <x:c r="C2351" s="16" t="n">
        <x:v>5388.1881053151</x:v>
      </x:c>
      <x:c r="D2351" s="16" t="n">
        <x:v>5509.9367085589</x:v>
      </x:c>
      <x:c r="E2351" s="16" t="n">
        <x:v>121.7486032438</x:v>
      </x:c>
      <x:c r="F2351" s="23" t="n">
        <x:v>6</x:v>
      </x:c>
    </x:row>
    <x:row r="2352">
      <x:c r="A2352" s="15" t="n">
        <x:v>44835</x:v>
      </x:c>
      <x:c r="B2352" s="13" t="str">
        <x:v>Utilities &amp; Energy</x:v>
      </x:c>
      <x:c r="C2352" s="16" t="n">
        <x:v>40012.4235160548</x:v>
      </x:c>
      <x:c r="D2352" s="16" t="n">
        <x:v>37724.2615462575</x:v>
      </x:c>
      <x:c r="E2352" s="16" t="n">
        <x:v>-2288.1619697973</x:v>
      </x:c>
      <x:c r="F2352" s="23" t="n">
        <x:v>11</x:v>
      </x:c>
    </x:row>
    <x:row r="2353">
      <x:c r="A2353" s="15" t="n">
        <x:v>44866</x:v>
      </x:c>
      <x:c r="B2353" s="13" t="str">
        <x:v>Agribusiness</x:v>
      </x:c>
      <x:c r="C2353" s="16" t="n">
        <x:v>1289.2328988055</x:v>
      </x:c>
      <x:c r="D2353" s="16" t="n">
        <x:v>1386.3832611068</x:v>
      </x:c>
      <x:c r="E2353" s="16" t="n">
        <x:v>97.1503623014</x:v>
      </x:c>
      <x:c r="F2353" s="23" t="n">
        <x:v>1</x:v>
      </x:c>
    </x:row>
    <x:row r="2354">
      <x:c r="A2354" s="15" t="n">
        <x:v>44866</x:v>
      </x:c>
      <x:c r="B2354" s="13" t="str">
        <x:v>Banks</x:v>
      </x:c>
      <x:c r="C2354" s="16" t="n">
        <x:v>148576.4888225317</x:v>
      </x:c>
      <x:c r="D2354" s="16" t="n">
        <x:v>147036.6216372603</x:v>
      </x:c>
      <x:c r="E2354" s="16" t="n">
        <x:v>-1539.8671852714</x:v>
      </x:c>
      <x:c r="F2354" s="23" t="n">
        <x:v>7</x:v>
      </x:c>
    </x:row>
    <x:row r="2355">
      <x:c r="A2355" s="15" t="n">
        <x:v>44866</x:v>
      </x:c>
      <x:c r="B2355" s="13" t="str">
        <x:v>Capital Goods</x:v>
      </x:c>
      <x:c r="C2355" s="16" t="n">
        <x:v>4900.334412274</x:v>
      </x:c>
      <x:c r="D2355" s="16" t="n">
        <x:v>5612.5645382137</x:v>
      </x:c>
      <x:c r="E2355" s="16" t="n">
        <x:v>712.2301259397</x:v>
      </x:c>
      <x:c r="F2355" s="23" t="n">
        <x:v>2</x:v>
      </x:c>
    </x:row>
    <x:row r="2356">
      <x:c r="A2356" s="15" t="n">
        <x:v>44866</x:v>
      </x:c>
      <x:c r="B2356" s="13" t="str">
        <x:v>Education</x:v>
      </x:c>
      <x:c r="C2356" s="16" t="n">
        <x:v>167.8431182685</x:v>
      </x:c>
      <x:c r="D2356" s="16" t="n">
        <x:v>181.9942305973</x:v>
      </x:c>
      <x:c r="E2356" s="16" t="n">
        <x:v>14.1511123288</x:v>
      </x:c>
      <x:c r="F2356" s="23" t="n">
        <x:v>2</x:v>
      </x:c>
    </x:row>
    <x:row r="2357">
      <x:c r="A2357" s="15" t="n">
        <x:v>44866</x:v>
      </x:c>
      <x:c r="B2357" s="13" t="str">
        <x:v>Financials Non-Banks</x:v>
      </x:c>
      <x:c r="C2357" s="16" t="n">
        <x:v>26528.6396725041</x:v>
      </x:c>
      <x:c r="D2357" s="16" t="n">
        <x:v>28175.2471289863</x:v>
      </x:c>
      <x:c r="E2357" s="16" t="n">
        <x:v>1646.6074564821</x:v>
      </x:c>
      <x:c r="F2357" s="23" t="n">
        <x:v>7</x:v>
      </x:c>
    </x:row>
    <x:row r="2358">
      <x:c r="A2358" s="15" t="n">
        <x:v>44866</x:v>
      </x:c>
      <x:c r="B2358" s="13" t="str">
        <x:v>Food &amp; Beverages</x:v>
      </x:c>
      <x:c r="C2358" s="16" t="n">
        <x:v>30551.947697622</x:v>
      </x:c>
      <x:c r="D2358" s="16" t="n">
        <x:v>30124.1116366904</x:v>
      </x:c>
      <x:c r="E2358" s="16" t="n">
        <x:v>-427.8360609316</x:v>
      </x:c>
      <x:c r="F2358" s="23" t="n">
        <x:v>5</x:v>
      </x:c>
    </x:row>
    <x:row r="2359">
      <x:c r="A2359" s="15" t="n">
        <x:v>44866</x:v>
      </x:c>
      <x:c r="B2359" s="13" t="str">
        <x:v>Health Care</x:v>
      </x:c>
      <x:c r="C2359" s="16" t="n">
        <x:v>7238.9826488986</x:v>
      </x:c>
      <x:c r="D2359" s="16" t="n">
        <x:v>7367.2272605808</x:v>
      </x:c>
      <x:c r="E2359" s="16" t="n">
        <x:v>128.2446116822</x:v>
      </x:c>
      <x:c r="F2359" s="23" t="n">
        <x:v>6</x:v>
      </x:c>
    </x:row>
    <x:row r="2360">
      <x:c r="A2360" s="15" t="n">
        <x:v>44866</x:v>
      </x:c>
      <x:c r="B2360" s="13" t="str">
        <x:v>Homebuilders</x:v>
      </x:c>
      <x:c r="C2360" s="16" t="n">
        <x:v>1892.7274538082</x:v>
      </x:c>
      <x:c r="D2360" s="16" t="n">
        <x:v>1880.6773876603</x:v>
      </x:c>
      <x:c r="E2360" s="16" t="n">
        <x:v>-12.0500661479</x:v>
      </x:c>
      <x:c r="F2360" s="23" t="n">
        <x:v>3</x:v>
      </x:c>
    </x:row>
    <x:row r="2361">
      <x:c r="A2361" s="15" t="n">
        <x:v>44866</x:v>
      </x:c>
      <x:c r="B2361" s="13" t="str">
        <x:v>Income Properties</x:v>
      </x:c>
      <x:c r="C2361" s="16" t="n">
        <x:v>1624.3107463014</x:v>
      </x:c>
      <x:c r="D2361" s="16" t="n">
        <x:v>1769.6281650849</x:v>
      </x:c>
      <x:c r="E2361" s="16" t="n">
        <x:v>145.3174187836</x:v>
      </x:c>
      <x:c r="F2361" s="23" t="n">
        <x:v>3</x:v>
      </x:c>
    </x:row>
    <x:row r="2362">
      <x:c r="A2362" s="15" t="n">
        <x:v>44866</x:v>
      </x:c>
      <x:c r="B2362" s="13" t="str">
        <x:v>Metals &amp; Mining</x:v>
      </x:c>
      <x:c r="C2362" s="16" t="n">
        <x:v>98333.9782890959</x:v>
      </x:c>
      <x:c r="D2362" s="16" t="n">
        <x:v>80359.7059808438</x:v>
      </x:c>
      <x:c r="E2362" s="16" t="n">
        <x:v>-17974.2723082521</x:v>
      </x:c>
      <x:c r="F2362" s="23" t="n">
        <x:v>6</x:v>
      </x:c>
    </x:row>
    <x:row r="2363">
      <x:c r="A2363" s="15" t="n">
        <x:v>44866</x:v>
      </x:c>
      <x:c r="B2363" s="13" t="str">
        <x:v>Oil, Gas &amp; Petrochemicals</x:v>
      </x:c>
      <x:c r="C2363" s="16" t="n">
        <x:v>156241.852271869</x:v>
      </x:c>
      <x:c r="D2363" s="16" t="n">
        <x:v>144902.8534433317</x:v>
      </x:c>
      <x:c r="E2363" s="16" t="n">
        <x:v>-11338.9988285373</x:v>
      </x:c>
      <x:c r="F2363" s="23" t="n">
        <x:v>7</x:v>
      </x:c>
    </x:row>
    <x:row r="2364">
      <x:c r="A2364" s="15" t="n">
        <x:v>44866</x:v>
      </x:c>
      <x:c r="B2364" s="13" t="str">
        <x:v>Pulp &amp; Paper</x:v>
      </x:c>
      <x:c r="C2364" s="16" t="n">
        <x:v>14389.8314510027</x:v>
      </x:c>
      <x:c r="D2364" s="16" t="n">
        <x:v>12879.883372537</x:v>
      </x:c>
      <x:c r="E2364" s="16" t="n">
        <x:v>-1509.9480784658</x:v>
      </x:c>
      <x:c r="F2364" s="23" t="n">
        <x:v>3</x:v>
      </x:c>
    </x:row>
    <x:row r="2365">
      <x:c r="A2365" s="15" t="n">
        <x:v>44866</x:v>
      </x:c>
      <x:c r="B2365" s="13" t="str">
        <x:v>Retail</x:v>
      </x:c>
      <x:c r="C2365" s="16" t="n">
        <x:v>9543.9098978521</x:v>
      </x:c>
      <x:c r="D2365" s="16" t="n">
        <x:v>9325.1061077479</x:v>
      </x:c>
      <x:c r="E2365" s="16" t="n">
        <x:v>-218.8037901041</x:v>
      </x:c>
      <x:c r="F2365" s="23" t="n">
        <x:v>13</x:v>
      </x:c>
    </x:row>
    <x:row r="2366">
      <x:c r="A2366" s="15" t="n">
        <x:v>44866</x:v>
      </x:c>
      <x:c r="B2366" s="13" t="str">
        <x:v>Sanitation</x:v>
      </x:c>
      <x:c r="C2366" s="16" t="n">
        <x:v>3053.3198195726</x:v>
      </x:c>
      <x:c r="D2366" s="16" t="n">
        <x:v>3207.0098782685</x:v>
      </x:c>
      <x:c r="E2366" s="16" t="n">
        <x:v>153.6900586959</x:v>
      </x:c>
      <x:c r="F2366" s="23" t="n">
        <x:v>1</x:v>
      </x:c>
    </x:row>
    <x:row r="2367">
      <x:c r="A2367" s="15" t="n">
        <x:v>44866</x:v>
      </x:c>
      <x:c r="B2367" s="13" t="str">
        <x:v>TMT</x:v>
      </x:c>
      <x:c r="C2367" s="16" t="n">
        <x:v>3272.9441411507</x:v>
      </x:c>
      <x:c r="D2367" s="16" t="n">
        <x:v>3543.8618590247</x:v>
      </x:c>
      <x:c r="E2367" s="16" t="n">
        <x:v>270.917717874</x:v>
      </x:c>
      <x:c r="F2367" s="23" t="n">
        <x:v>4</x:v>
      </x:c>
    </x:row>
    <x:row r="2368">
      <x:c r="A2368" s="15" t="n">
        <x:v>44866</x:v>
      </x:c>
      <x:c r="B2368" s="13" t="str">
        <x:v>Transportation</x:v>
      </x:c>
      <x:c r="C2368" s="16" t="n">
        <x:v>5221.1379216658</x:v>
      </x:c>
      <x:c r="D2368" s="16" t="n">
        <x:v>5588.0976789918</x:v>
      </x:c>
      <x:c r="E2368" s="16" t="n">
        <x:v>366.959757326</x:v>
      </x:c>
      <x:c r="F2368" s="23" t="n">
        <x:v>6</x:v>
      </x:c>
    </x:row>
    <x:row r="2369">
      <x:c r="A2369" s="15" t="n">
        <x:v>44866</x:v>
      </x:c>
      <x:c r="B2369" s="13" t="str">
        <x:v>Utilities &amp; Energy</x:v>
      </x:c>
      <x:c r="C2369" s="16" t="n">
        <x:v>36775.2684558027</x:v>
      </x:c>
      <x:c r="D2369" s="16" t="n">
        <x:v>38497.5200978411</x:v>
      </x:c>
      <x:c r="E2369" s="16" t="n">
        <x:v>1722.2516420384</x:v>
      </x:c>
      <x:c r="F2369" s="23" t="n">
        <x:v>11</x:v>
      </x:c>
    </x:row>
    <x:row r="2370">
      <x:c r="A2370" s="15" t="n">
        <x:v>44896</x:v>
      </x:c>
      <x:c r="B2370" s="13" t="str">
        <x:v>Agribusiness</x:v>
      </x:c>
      <x:c r="C2370" s="16" t="n">
        <x:v>6997.0626800727</x:v>
      </x:c>
      <x:c r="D2370" s="16" t="n">
        <x:v>7305.7618422222</x:v>
      </x:c>
      <x:c r="E2370" s="16" t="n">
        <x:v>308.6991621495</x:v>
      </x:c>
      <x:c r="F2370" s="23" t="n">
        <x:v>3</x:v>
      </x:c>
    </x:row>
    <x:row r="2371">
      <x:c r="A2371" s="15" t="n">
        <x:v>44896</x:v>
      </x:c>
      <x:c r="B2371" s="13" t="str">
        <x:v>Banks</x:v>
      </x:c>
      <x:c r="C2371" s="16" t="n">
        <x:v>150274.5541281315</x:v>
      </x:c>
      <x:c r="D2371" s="16" t="n">
        <x:v>146080.6657886685</x:v>
      </x:c>
      <x:c r="E2371" s="16" t="n">
        <x:v>-4193.888339463</x:v>
      </x:c>
      <x:c r="F2371" s="23" t="n">
        <x:v>7</x:v>
      </x:c>
    </x:row>
    <x:row r="2372">
      <x:c r="A2372" s="15" t="n">
        <x:v>44896</x:v>
      </x:c>
      <x:c r="B2372" s="13" t="str">
        <x:v>Capital Goods</x:v>
      </x:c>
      <x:c r="C2372" s="16" t="n">
        <x:v>5007.9484309041</x:v>
      </x:c>
      <x:c r="D2372" s="16" t="n">
        <x:v>5791.0248160438</x:v>
      </x:c>
      <x:c r="E2372" s="16" t="n">
        <x:v>783.0763851397</x:v>
      </x:c>
      <x:c r="F2372" s="23" t="n">
        <x:v>2</x:v>
      </x:c>
    </x:row>
    <x:row r="2373">
      <x:c r="A2373" s="15" t="n">
        <x:v>44896</x:v>
      </x:c>
      <x:c r="B2373" s="13" t="str">
        <x:v>Education</x:v>
      </x:c>
      <x:c r="C2373" s="16" t="n">
        <x:v>130.7177319671</x:v>
      </x:c>
      <x:c r="D2373" s="16" t="n">
        <x:v>179.8022841205</x:v>
      </x:c>
      <x:c r="E2373" s="16" t="n">
        <x:v>49.0845521534</x:v>
      </x:c>
      <x:c r="F2373" s="23" t="n">
        <x:v>2</x:v>
      </x:c>
    </x:row>
    <x:row r="2374">
      <x:c r="A2374" s="15" t="n">
        <x:v>44896</x:v>
      </x:c>
      <x:c r="B2374" s="13" t="str">
        <x:v>Financials Non-Banks</x:v>
      </x:c>
      <x:c r="C2374" s="16" t="n">
        <x:v>27696.3538360548</x:v>
      </x:c>
      <x:c r="D2374" s="16" t="n">
        <x:v>28873.9283697863</x:v>
      </x:c>
      <x:c r="E2374" s="16" t="n">
        <x:v>1177.5745337315</x:v>
      </x:c>
      <x:c r="F2374" s="23" t="n">
        <x:v>7</x:v>
      </x:c>
    </x:row>
    <x:row r="2375">
      <x:c r="A2375" s="15" t="n">
        <x:v>44896</x:v>
      </x:c>
      <x:c r="B2375" s="13" t="str">
        <x:v>Food &amp; Beverages</x:v>
      </x:c>
      <x:c r="C2375" s="16" t="n">
        <x:v>30748.2726629698</x:v>
      </x:c>
      <x:c r="D2375" s="16" t="n">
        <x:v>27757.6564178411</x:v>
      </x:c>
      <x:c r="E2375" s="16" t="n">
        <x:v>-2990.6162451287</x:v>
      </x:c>
      <x:c r="F2375" s="23" t="n">
        <x:v>5</x:v>
      </x:c>
    </x:row>
    <x:row r="2376">
      <x:c r="A2376" s="15" t="n">
        <x:v>44896</x:v>
      </x:c>
      <x:c r="B2376" s="13" t="str">
        <x:v>Health Care</x:v>
      </x:c>
      <x:c r="C2376" s="16" t="n">
        <x:v>6355.533784811</x:v>
      </x:c>
      <x:c r="D2376" s="16" t="n">
        <x:v>6397.5137835397</x:v>
      </x:c>
      <x:c r="E2376" s="16" t="n">
        <x:v>41.9799987288</x:v>
      </x:c>
      <x:c r="F2376" s="23" t="n">
        <x:v>5</x:v>
      </x:c>
    </x:row>
    <x:row r="2377">
      <x:c r="A2377" s="15" t="n">
        <x:v>44896</x:v>
      </x:c>
      <x:c r="B2377" s="13" t="str">
        <x:v>Homebuilders</x:v>
      </x:c>
      <x:c r="C2377" s="16" t="n">
        <x:v>1891.7711890411</x:v>
      </x:c>
      <x:c r="D2377" s="16" t="n">
        <x:v>1823.2711397699</x:v>
      </x:c>
      <x:c r="E2377" s="16" t="n">
        <x:v>-68.5000492712</x:v>
      </x:c>
      <x:c r="F2377" s="23" t="n">
        <x:v>3</x:v>
      </x:c>
    </x:row>
    <x:row r="2378">
      <x:c r="A2378" s="15" t="n">
        <x:v>44896</x:v>
      </x:c>
      <x:c r="B2378" s="13" t="str">
        <x:v>Income Properties</x:v>
      </x:c>
      <x:c r="C2378" s="16" t="n">
        <x:v>1703.6749248</x:v>
      </x:c>
      <x:c r="D2378" s="16" t="n">
        <x:v>1821.2734871233</x:v>
      </x:c>
      <x:c r="E2378" s="16" t="n">
        <x:v>117.5985623233</x:v>
      </x:c>
      <x:c r="F2378" s="23" t="n">
        <x:v>3</x:v>
      </x:c>
    </x:row>
    <x:row r="2379">
      <x:c r="A2379" s="15" t="n">
        <x:v>44896</x:v>
      </x:c>
      <x:c r="B2379" s="13" t="str">
        <x:v>Metals &amp; Mining</x:v>
      </x:c>
      <x:c r="C2379" s="16" t="n">
        <x:v>90303.4634646794</x:v>
      </x:c>
      <x:c r="D2379" s="16" t="n">
        <x:v>74171.1527424</x:v>
      </x:c>
      <x:c r="E2379" s="16" t="n">
        <x:v>-16132.3107222794</x:v>
      </x:c>
      <x:c r="F2379" s="23" t="n">
        <x:v>6</x:v>
      </x:c>
    </x:row>
    <x:row r="2380">
      <x:c r="A2380" s="15" t="n">
        <x:v>44896</x:v>
      </x:c>
      <x:c r="B2380" s="13" t="str">
        <x:v>Oil, Gas &amp; Petrochemicals</x:v>
      </x:c>
      <x:c r="C2380" s="16" t="n">
        <x:v>150501.15183851</x:v>
      </x:c>
      <x:c r="D2380" s="16" t="n">
        <x:v>126288.0917281312</x:v>
      </x:c>
      <x:c r="E2380" s="16" t="n">
        <x:v>-24213.0601103787</x:v>
      </x:c>
      <x:c r="F2380" s="23" t="n">
        <x:v>7</x:v>
      </x:c>
    </x:row>
    <x:row r="2381">
      <x:c r="A2381" s="15" t="n">
        <x:v>44896</x:v>
      </x:c>
      <x:c r="B2381" s="13" t="str">
        <x:v>Pulp &amp; Paper</x:v>
      </x:c>
      <x:c r="C2381" s="16" t="n">
        <x:v>12857.141963748</x:v>
      </x:c>
      <x:c r="D2381" s="16" t="n">
        <x:v>12460.7870092274</x:v>
      </x:c>
      <x:c r="E2381" s="16" t="n">
        <x:v>-396.3549545206</x:v>
      </x:c>
      <x:c r="F2381" s="23" t="n">
        <x:v>3</x:v>
      </x:c>
    </x:row>
    <x:row r="2382">
      <x:c r="A2382" s="15" t="n">
        <x:v>44896</x:v>
      </x:c>
      <x:c r="B2382" s="13" t="str">
        <x:v>Retail</x:v>
      </x:c>
      <x:c r="C2382" s="16" t="n">
        <x:v>9997.1764184219</x:v>
      </x:c>
      <x:c r="D2382" s="16" t="n">
        <x:v>9335.2733444822</x:v>
      </x:c>
      <x:c r="E2382" s="16" t="n">
        <x:v>-661.9030739397</x:v>
      </x:c>
      <x:c r="F2382" s="23" t="n">
        <x:v>14</x:v>
      </x:c>
    </x:row>
    <x:row r="2383">
      <x:c r="A2383" s="15" t="n">
        <x:v>44896</x:v>
      </x:c>
      <x:c r="B2383" s="13" t="str">
        <x:v>Sanitation</x:v>
      </x:c>
      <x:c r="C2383" s="16" t="n">
        <x:v>3023.4198591123</x:v>
      </x:c>
      <x:c r="D2383" s="16" t="n">
        <x:v>3313.3423419616</x:v>
      </x:c>
      <x:c r="E2383" s="16" t="n">
        <x:v>289.9224828493</x:v>
      </x:c>
      <x:c r="F2383" s="23" t="n">
        <x:v>1</x:v>
      </x:c>
    </x:row>
    <x:row r="2384">
      <x:c r="A2384" s="15" t="n">
        <x:v>44896</x:v>
      </x:c>
      <x:c r="B2384" s="13" t="str">
        <x:v>TMT</x:v>
      </x:c>
      <x:c r="C2384" s="16" t="n">
        <x:v>3306.3635634411</x:v>
      </x:c>
      <x:c r="D2384" s="16" t="n">
        <x:v>3624.0100768</x:v>
      </x:c>
      <x:c r="E2384" s="16" t="n">
        <x:v>317.6465133589</x:v>
      </x:c>
      <x:c r="F2384" s="23" t="n">
        <x:v>4</x:v>
      </x:c>
    </x:row>
    <x:row r="2385">
      <x:c r="A2385" s="15" t="n">
        <x:v>44896</x:v>
      </x:c>
      <x:c r="B2385" s="13" t="str">
        <x:v>Transportation</x:v>
      </x:c>
      <x:c r="C2385" s="16" t="n">
        <x:v>5745.9673738521</x:v>
      </x:c>
      <x:c r="D2385" s="16" t="n">
        <x:v>5318.9688104329</x:v>
      </x:c>
      <x:c r="E2385" s="16" t="n">
        <x:v>-426.9985634192</x:v>
      </x:c>
      <x:c r="F2385" s="23" t="n">
        <x:v>6</x:v>
      </x:c>
    </x:row>
    <x:row r="2386">
      <x:c r="A2386" s="15" t="n">
        <x:v>44896</x:v>
      </x:c>
      <x:c r="B2386" s="13" t="str">
        <x:v>Utilities &amp; Energy</x:v>
      </x:c>
      <x:c r="C2386" s="16" t="n">
        <x:v>36484.9805483836</x:v>
      </x:c>
      <x:c r="D2386" s="16" t="n">
        <x:v>36741.5937704329</x:v>
      </x:c>
      <x:c r="E2386" s="16" t="n">
        <x:v>256.6132220493</x:v>
      </x:c>
      <x:c r="F2386" s="23" t="n">
        <x:v>11</x:v>
      </x:c>
    </x:row>
    <x:row r="2387">
      <x:c r="A2387" s="15" t="n">
        <x:v>44927</x:v>
      </x:c>
      <x:c r="B2387" s="13" t="str">
        <x:v>Agribusiness</x:v>
      </x:c>
      <x:c r="C2387" s="16" t="n">
        <x:v>7364.5514142335</x:v>
      </x:c>
      <x:c r="D2387" s="16" t="n">
        <x:v>7160.6403836503</x:v>
      </x:c>
      <x:c r="E2387" s="16" t="n">
        <x:v>-203.9110305832</x:v>
      </x:c>
      <x:c r="F2387" s="23" t="n">
        <x:v>3</x:v>
      </x:c>
    </x:row>
    <x:row r="2388">
      <x:c r="A2388" s="15" t="n">
        <x:v>44927</x:v>
      </x:c>
      <x:c r="B2388" s="13" t="str">
        <x:v>Banks</x:v>
      </x:c>
      <x:c r="C2388" s="16" t="n">
        <x:v>151017.8593770961</x:v>
      </x:c>
      <x:c r="D2388" s="16" t="n">
        <x:v>145097.5976491366</x:v>
      </x:c>
      <x:c r="E2388" s="16" t="n">
        <x:v>-5920.2617279595</x:v>
      </x:c>
      <x:c r="F2388" s="23" t="n">
        <x:v>7</x:v>
      </x:c>
    </x:row>
    <x:row r="2389">
      <x:c r="A2389" s="15" t="n">
        <x:v>44927</x:v>
      </x:c>
      <x:c r="B2389" s="13" t="str">
        <x:v>Capital Goods</x:v>
      </x:c>
      <x:c r="C2389" s="16" t="n">
        <x:v>5289.6223623014</x:v>
      </x:c>
      <x:c r="D2389" s="16" t="n">
        <x:v>5870.8277903388</x:v>
      </x:c>
      <x:c r="E2389" s="16" t="n">
        <x:v>581.2054280374</x:v>
      </x:c>
      <x:c r="F2389" s="23" t="n">
        <x:v>2</x:v>
      </x:c>
    </x:row>
    <x:row r="2390">
      <x:c r="A2390" s="15" t="n">
        <x:v>44927</x:v>
      </x:c>
      <x:c r="B2390" s="13" t="str">
        <x:v>Education</x:v>
      </x:c>
      <x:c r="C2390" s="16" t="n">
        <x:v>145.5024383562</x:v>
      </x:c>
      <x:c r="D2390" s="16" t="n">
        <x:v>170.715987235</x:v>
      </x:c>
      <x:c r="E2390" s="16" t="n">
        <x:v>25.2135488788</x:v>
      </x:c>
      <x:c r="F2390" s="23" t="n">
        <x:v>2</x:v>
      </x:c>
    </x:row>
    <x:row r="2391">
      <x:c r="A2391" s="15" t="n">
        <x:v>44927</x:v>
      </x:c>
      <x:c r="B2391" s="13" t="str">
        <x:v>Financials Non-Banks</x:v>
      </x:c>
      <x:c r="C2391" s="16" t="n">
        <x:v>25889.9223620384</x:v>
      </x:c>
      <x:c r="D2391" s="16" t="n">
        <x:v>27107.9727720218</x:v>
      </x:c>
      <x:c r="E2391" s="16" t="n">
        <x:v>1218.0504099835</x:v>
      </x:c>
      <x:c r="F2391" s="23" t="n">
        <x:v>5</x:v>
      </x:c>
    </x:row>
    <x:row r="2392">
      <x:c r="A2392" s="15" t="n">
        <x:v>44927</x:v>
      </x:c>
      <x:c r="B2392" s="13" t="str">
        <x:v>Food &amp; Beverages</x:v>
      </x:c>
      <x:c r="C2392" s="16" t="n">
        <x:v>17779.2722416219</x:v>
      </x:c>
      <x:c r="D2392" s="16" t="n">
        <x:v>17485.6518043279</x:v>
      </x:c>
      <x:c r="E2392" s="16" t="n">
        <x:v>-293.620437294</x:v>
      </x:c>
      <x:c r="F2392" s="23" t="n">
        <x:v>4</x:v>
      </x:c>
    </x:row>
    <x:row r="2393">
      <x:c r="A2393" s="15" t="n">
        <x:v>44927</x:v>
      </x:c>
      <x:c r="B2393" s="13" t="str">
        <x:v>Health Care</x:v>
      </x:c>
      <x:c r="C2393" s="16" t="n">
        <x:v>6455.4318986082</x:v>
      </x:c>
      <x:c r="D2393" s="16" t="n">
        <x:v>5790.9694121967</x:v>
      </x:c>
      <x:c r="E2393" s="16" t="n">
        <x:v>-664.4624864115</x:v>
      </x:c>
      <x:c r="F2393" s="23" t="n">
        <x:v>5</x:v>
      </x:c>
    </x:row>
    <x:row r="2394">
      <x:c r="A2394" s="15" t="n">
        <x:v>44927</x:v>
      </x:c>
      <x:c r="B2394" s="13" t="str">
        <x:v>Homebuilders</x:v>
      </x:c>
      <x:c r="C2394" s="16" t="n">
        <x:v>1883.4865481644</x:v>
      </x:c>
      <x:c r="D2394" s="16" t="n">
        <x:v>1760.772867847</x:v>
      </x:c>
      <x:c r="E2394" s="16" t="n">
        <x:v>-122.7136803174</x:v>
      </x:c>
      <x:c r="F2394" s="23" t="n">
        <x:v>3</x:v>
      </x:c>
    </x:row>
    <x:row r="2395">
      <x:c r="A2395" s="15" t="n">
        <x:v>44927</x:v>
      </x:c>
      <x:c r="B2395" s="13" t="str">
        <x:v>Income Properties</x:v>
      </x:c>
      <x:c r="C2395" s="16" t="n">
        <x:v>1131.9775063233</x:v>
      </x:c>
      <x:c r="D2395" s="16" t="n">
        <x:v>1179.0720138142</x:v>
      </x:c>
      <x:c r="E2395" s="16" t="n">
        <x:v>47.0945074909</x:v>
      </x:c>
      <x:c r="F2395" s="23" t="n">
        <x:v>2</x:v>
      </x:c>
    </x:row>
    <x:row r="2396">
      <x:c r="A2396" s="15" t="n">
        <x:v>44927</x:v>
      </x:c>
      <x:c r="B2396" s="13" t="str">
        <x:v>Metals &amp; Mining</x:v>
      </x:c>
      <x:c r="C2396" s="16" t="n">
        <x:v>82850.3556074959</x:v>
      </x:c>
      <x:c r="D2396" s="16" t="n">
        <x:v>78655.4588964372</x:v>
      </x:c>
      <x:c r="E2396" s="16" t="n">
        <x:v>-4194.8967110588</x:v>
      </x:c>
      <x:c r="F2396" s="23" t="n">
        <x:v>6</x:v>
      </x:c>
    </x:row>
    <x:row r="2397">
      <x:c r="A2397" s="15" t="n">
        <x:v>44927</x:v>
      </x:c>
      <x:c r="B2397" s="13" t="str">
        <x:v>Oil, Gas &amp; Petrochemicals</x:v>
      </x:c>
      <x:c r="C2397" s="16" t="n">
        <x:v>152220.1186436385</x:v>
      </x:c>
      <x:c r="D2397" s="16" t="n">
        <x:v>110159.0370210273</x:v>
      </x:c>
      <x:c r="E2397" s="16" t="n">
        <x:v>-42061.0816226111</x:v>
      </x:c>
      <x:c r="F2397" s="23" t="n">
        <x:v>7</x:v>
      </x:c>
    </x:row>
    <x:row r="2398">
      <x:c r="A2398" s="15" t="n">
        <x:v>44927</x:v>
      </x:c>
      <x:c r="B2398" s="13" t="str">
        <x:v>Pulp &amp; Paper</x:v>
      </x:c>
      <x:c r="C2398" s="16" t="n">
        <x:v>12064.4037489973</x:v>
      </x:c>
      <x:c r="D2398" s="16" t="n">
        <x:v>11106.6478779454</x:v>
      </x:c>
      <x:c r="E2398" s="16" t="n">
        <x:v>-957.7558710519</x:v>
      </x:c>
      <x:c r="F2398" s="23" t="n">
        <x:v>3</x:v>
      </x:c>
    </x:row>
    <x:row r="2399">
      <x:c r="A2399" s="15" t="n">
        <x:v>44927</x:v>
      </x:c>
      <x:c r="B2399" s="13" t="str">
        <x:v>Retail</x:v>
      </x:c>
      <x:c r="C2399" s="16" t="n">
        <x:v>9701.9783455562</x:v>
      </x:c>
      <x:c r="D2399" s="16" t="n">
        <x:v>9460.7453345574</x:v>
      </x:c>
      <x:c r="E2399" s="16" t="n">
        <x:v>-241.2330109988</x:v>
      </x:c>
      <x:c r="F2399" s="23" t="n">
        <x:v>13</x:v>
      </x:c>
    </x:row>
    <x:row r="2400">
      <x:c r="A2400" s="15" t="n">
        <x:v>44927</x:v>
      </x:c>
      <x:c r="B2400" s="13" t="str">
        <x:v>Sanitation</x:v>
      </x:c>
      <x:c r="C2400" s="16" t="n">
        <x:v>3069.2735684384</x:v>
      </x:c>
      <x:c r="D2400" s="16" t="n">
        <x:v>3514.4871435191</x:v>
      </x:c>
      <x:c r="E2400" s="16" t="n">
        <x:v>445.2135750808</x:v>
      </x:c>
      <x:c r="F2400" s="23" t="n">
        <x:v>1</x:v>
      </x:c>
    </x:row>
    <x:row r="2401">
      <x:c r="A2401" s="15" t="n">
        <x:v>44927</x:v>
      </x:c>
      <x:c r="B2401" s="13" t="str">
        <x:v>TMT</x:v>
      </x:c>
      <x:c r="C2401" s="16" t="n">
        <x:v>3115.6543832986</x:v>
      </x:c>
      <x:c r="D2401" s="16" t="n">
        <x:v>3047.9791182077</x:v>
      </x:c>
      <x:c r="E2401" s="16" t="n">
        <x:v>-67.675265091</x:v>
      </x:c>
      <x:c r="F2401" s="23" t="n">
        <x:v>3</x:v>
      </x:c>
    </x:row>
    <x:row r="2402">
      <x:c r="A2402" s="15" t="n">
        <x:v>44927</x:v>
      </x:c>
      <x:c r="B2402" s="13" t="str">
        <x:v>Transportation</x:v>
      </x:c>
      <x:c r="C2402" s="16" t="n">
        <x:v>5509.9367085589</x:v>
      </x:c>
      <x:c r="D2402" s="16" t="n">
        <x:v>5628.2608367213</x:v>
      </x:c>
      <x:c r="E2402" s="16" t="n">
        <x:v>118.3241281624</x:v>
      </x:c>
      <x:c r="F2402" s="23" t="n">
        <x:v>6</x:v>
      </x:c>
    </x:row>
    <x:row r="2403">
      <x:c r="A2403" s="15" t="n">
        <x:v>44927</x:v>
      </x:c>
      <x:c r="B2403" s="13" t="str">
        <x:v>Utilities &amp; Energy</x:v>
      </x:c>
      <x:c r="C2403" s="16" t="n">
        <x:v>37724.2615462575</x:v>
      </x:c>
      <x:c r="D2403" s="16" t="n">
        <x:v>37010.1365092022</x:v>
      </x:c>
      <x:c r="E2403" s="16" t="n">
        <x:v>-714.1250370553</x:v>
      </x:c>
      <x:c r="F2403" s="23" t="n">
        <x:v>11</x:v>
      </x:c>
    </x:row>
    <x:row r="2404">
      <x:c r="A2404" s="15" t="n">
        <x:v>44958</x:v>
      </x:c>
      <x:c r="B2404" s="13" t="str">
        <x:v>Agribusiness</x:v>
      </x:c>
      <x:c r="C2404" s="16" t="n">
        <x:v>7515.6315863527</x:v>
      </x:c>
      <x:c r="D2404" s="16" t="n">
        <x:v>6923.6428843716</x:v>
      </x:c>
      <x:c r="E2404" s="16" t="n">
        <x:v>-591.9887019812</x:v>
      </x:c>
      <x:c r="F2404" s="23" t="n">
        <x:v>3</x:v>
      </x:c>
    </x:row>
    <x:row r="2405">
      <x:c r="A2405" s="15" t="n">
        <x:v>44958</x:v>
      </x:c>
      <x:c r="B2405" s="13" t="str">
        <x:v>Banks</x:v>
      </x:c>
      <x:c r="C2405" s="16" t="n">
        <x:v>147036.6216372603</x:v>
      </x:c>
      <x:c r="D2405" s="16" t="n">
        <x:v>141461.826688</x:v>
      </x:c>
      <x:c r="E2405" s="16" t="n">
        <x:v>-5574.7949492603</x:v>
      </x:c>
      <x:c r="F2405" s="23" t="n">
        <x:v>7</x:v>
      </x:c>
    </x:row>
    <x:row r="2406">
      <x:c r="A2406" s="15" t="n">
        <x:v>44958</x:v>
      </x:c>
      <x:c r="B2406" s="13" t="str">
        <x:v>Capital Goods</x:v>
      </x:c>
      <x:c r="C2406" s="16" t="n">
        <x:v>5612.5645382137</x:v>
      </x:c>
      <x:c r="D2406" s="16" t="n">
        <x:v>5959.2571446557</x:v>
      </x:c>
      <x:c r="E2406" s="16" t="n">
        <x:v>346.692606442</x:v>
      </x:c>
      <x:c r="F2406" s="23" t="n">
        <x:v>2</x:v>
      </x:c>
    </x:row>
    <x:row r="2407">
      <x:c r="A2407" s="15" t="n">
        <x:v>44958</x:v>
      </x:c>
      <x:c r="B2407" s="13" t="str">
        <x:v>Education</x:v>
      </x:c>
      <x:c r="C2407" s="16" t="n">
        <x:v>181.9942305973</x:v>
      </x:c>
      <x:c r="D2407" s="16" t="n">
        <x:v>191.7872064262</x:v>
      </x:c>
      <x:c r="E2407" s="16" t="n">
        <x:v>9.792975829</x:v>
      </x:c>
      <x:c r="F2407" s="23" t="n">
        <x:v>2</x:v>
      </x:c>
    </x:row>
    <x:row r="2408">
      <x:c r="A2408" s="15" t="n">
        <x:v>44958</x:v>
      </x:c>
      <x:c r="B2408" s="13" t="str">
        <x:v>Financials Non-Banks</x:v>
      </x:c>
      <x:c r="C2408" s="16" t="n">
        <x:v>26390.3868466849</x:v>
      </x:c>
      <x:c r="D2408" s="16" t="n">
        <x:v>27590.1533345573</x:v>
      </x:c>
      <x:c r="E2408" s="16" t="n">
        <x:v>1199.7664878724</x:v>
      </x:c>
      <x:c r="F2408" s="23" t="n">
        <x:v>5</x:v>
      </x:c>
    </x:row>
    <x:row r="2409">
      <x:c r="A2409" s="15" t="n">
        <x:v>44958</x:v>
      </x:c>
      <x:c r="B2409" s="13" t="str">
        <x:v>Food &amp; Beverages</x:v>
      </x:c>
      <x:c r="C2409" s="16" t="n">
        <x:v>17678.2801292274</x:v>
      </x:c>
      <x:c r="D2409" s="16" t="n">
        <x:v>16526.1904128525</x:v>
      </x:c>
      <x:c r="E2409" s="16" t="n">
        <x:v>-1152.0897163749</x:v>
      </x:c>
      <x:c r="F2409" s="23" t="n">
        <x:v>4</x:v>
      </x:c>
    </x:row>
    <x:row r="2410">
      <x:c r="A2410" s="15" t="n">
        <x:v>44958</x:v>
      </x:c>
      <x:c r="B2410" s="13" t="str">
        <x:v>Health Care</x:v>
      </x:c>
      <x:c r="C2410" s="16" t="n">
        <x:v>6514.5513374685</x:v>
      </x:c>
      <x:c r="D2410" s="16" t="n">
        <x:v>5823.3970691147</x:v>
      </x:c>
      <x:c r="E2410" s="16" t="n">
        <x:v>-691.1542683537</x:v>
      </x:c>
      <x:c r="F2410" s="23" t="n">
        <x:v>5</x:v>
      </x:c>
    </x:row>
    <x:row r="2411">
      <x:c r="A2411" s="15" t="n">
        <x:v>44958</x:v>
      </x:c>
      <x:c r="B2411" s="13" t="str">
        <x:v>Homebuilders</x:v>
      </x:c>
      <x:c r="C2411" s="16" t="n">
        <x:v>1880.6773876603</x:v>
      </x:c>
      <x:c r="D2411" s="16" t="n">
        <x:v>1764.0407485902</x:v>
      </x:c>
      <x:c r="E2411" s="16" t="n">
        <x:v>-116.6366390701</x:v>
      </x:c>
      <x:c r="F2411" s="23" t="n">
        <x:v>3</x:v>
      </x:c>
    </x:row>
    <x:row r="2412">
      <x:c r="A2412" s="15" t="n">
        <x:v>44958</x:v>
      </x:c>
      <x:c r="B2412" s="13" t="str">
        <x:v>Income Properties</x:v>
      </x:c>
      <x:c r="C2412" s="16" t="n">
        <x:v>1152.8015675616</x:v>
      </x:c>
      <x:c r="D2412" s="16" t="n">
        <x:v>1232.2818281967</x:v>
      </x:c>
      <x:c r="E2412" s="16" t="n">
        <x:v>79.4802606351</x:v>
      </x:c>
      <x:c r="F2412" s="23" t="n">
        <x:v>2</x:v>
      </x:c>
    </x:row>
    <x:row r="2413">
      <x:c r="A2413" s="15" t="n">
        <x:v>44958</x:v>
      </x:c>
      <x:c r="B2413" s="13" t="str">
        <x:v>Metals &amp; Mining</x:v>
      </x:c>
      <x:c r="C2413" s="16" t="n">
        <x:v>80359.7059808438</x:v>
      </x:c>
      <x:c r="D2413" s="16" t="n">
        <x:v>78483.872721836</x:v>
      </x:c>
      <x:c r="E2413" s="16" t="n">
        <x:v>-1875.8332590078</x:v>
      </x:c>
      <x:c r="F2413" s="23" t="n">
        <x:v>6</x:v>
      </x:c>
    </x:row>
    <x:row r="2414">
      <x:c r="A2414" s="15" t="n">
        <x:v>44958</x:v>
      </x:c>
      <x:c r="B2414" s="13" t="str">
        <x:v>Oil, Gas &amp; Petrochemicals</x:v>
      </x:c>
      <x:c r="C2414" s="16" t="n">
        <x:v>144902.8534433317</x:v>
      </x:c>
      <x:c r="D2414" s="16" t="n">
        <x:v>123943.5627771804</x:v>
      </x:c>
      <x:c r="E2414" s="16" t="n">
        <x:v>-20959.2906661513</x:v>
      </x:c>
      <x:c r="F2414" s="23" t="n">
        <x:v>7</x:v>
      </x:c>
    </x:row>
    <x:row r="2415">
      <x:c r="A2415" s="15" t="n">
        <x:v>44958</x:v>
      </x:c>
      <x:c r="B2415" s="13" t="str">
        <x:v>Pulp &amp; Paper</x:v>
      </x:c>
      <x:c r="C2415" s="16" t="n">
        <x:v>12879.883372537</x:v>
      </x:c>
      <x:c r="D2415" s="16" t="n">
        <x:v>10656.4638615082</x:v>
      </x:c>
      <x:c r="E2415" s="16" t="n">
        <x:v>-2223.4195110288</x:v>
      </x:c>
      <x:c r="F2415" s="23" t="n">
        <x:v>3</x:v>
      </x:c>
    </x:row>
    <x:row r="2416">
      <x:c r="A2416" s="15" t="n">
        <x:v>44958</x:v>
      </x:c>
      <x:c r="B2416" s="13" t="str">
        <x:v>Retail</x:v>
      </x:c>
      <x:c r="C2416" s="16" t="n">
        <x:v>9585.7422063781</x:v>
      </x:c>
      <x:c r="D2416" s="16" t="n">
        <x:v>9298.165664918</x:v>
      </x:c>
      <x:c r="E2416" s="16" t="n">
        <x:v>-287.57654146</x:v>
      </x:c>
      <x:c r="F2416" s="23" t="n">
        <x:v>13</x:v>
      </x:c>
    </x:row>
    <x:row r="2417">
      <x:c r="A2417" s="15" t="n">
        <x:v>44958</x:v>
      </x:c>
      <x:c r="B2417" s="13" t="str">
        <x:v>Sanitation</x:v>
      </x:c>
      <x:c r="C2417" s="16" t="n">
        <x:v>3207.0098782685</x:v>
      </x:c>
      <x:c r="D2417" s="16" t="n">
        <x:v>3617.6381356066</x:v>
      </x:c>
      <x:c r="E2417" s="16" t="n">
        <x:v>410.6282573381</x:v>
      </x:c>
      <x:c r="F2417" s="23" t="n">
        <x:v>1</x:v>
      </x:c>
    </x:row>
    <x:row r="2418">
      <x:c r="A2418" s="15" t="n">
        <x:v>44958</x:v>
      </x:c>
      <x:c r="B2418" s="13" t="str">
        <x:v>TMT</x:v>
      </x:c>
      <x:c r="C2418" s="16" t="n">
        <x:v>3248.4440508055</x:v>
      </x:c>
      <x:c r="D2418" s="16" t="n">
        <x:v>3034.9376217705</x:v>
      </x:c>
      <x:c r="E2418" s="16" t="n">
        <x:v>-213.506429035</x:v>
      </x:c>
      <x:c r="F2418" s="23" t="n">
        <x:v>3</x:v>
      </x:c>
    </x:row>
    <x:row r="2419">
      <x:c r="A2419" s="15" t="n">
        <x:v>44958</x:v>
      </x:c>
      <x:c r="B2419" s="13" t="str">
        <x:v>Transportation</x:v>
      </x:c>
      <x:c r="C2419" s="16" t="n">
        <x:v>5588.0976789918</x:v>
      </x:c>
      <x:c r="D2419" s="16" t="n">
        <x:v>5884.331956459</x:v>
      </x:c>
      <x:c r="E2419" s="16" t="n">
        <x:v>296.2342774672</x:v>
      </x:c>
      <x:c r="F2419" s="23" t="n">
        <x:v>6</x:v>
      </x:c>
    </x:row>
    <x:row r="2420">
      <x:c r="A2420" s="15" t="n">
        <x:v>44958</x:v>
      </x:c>
      <x:c r="B2420" s="13" t="str">
        <x:v>Utilities &amp; Energy</x:v>
      </x:c>
      <x:c r="C2420" s="16" t="n">
        <x:v>38497.5200978411</x:v>
      </x:c>
      <x:c r="D2420" s="16" t="n">
        <x:v>37726.029323541</x:v>
      </x:c>
      <x:c r="E2420" s="16" t="n">
        <x:v>-771.4907743001</x:v>
      </x:c>
      <x:c r="F2420" s="23" t="n">
        <x:v>11</x:v>
      </x:c>
    </x:row>
    <x:row r="2421">
      <x:c r="A2421" s="15" t="n">
        <x:v>44986</x:v>
      </x:c>
      <x:c r="B2421" s="13" t="str">
        <x:v>Agribusiness</x:v>
      </x:c>
      <x:c r="C2421" s="16" t="n">
        <x:v>7305.7618422222</x:v>
      </x:c>
      <x:c r="D2421" s="16" t="n">
        <x:v>6749.0775431694</x:v>
      </x:c>
      <x:c r="E2421" s="16" t="n">
        <x:v>-556.6842990528</x:v>
      </x:c>
      <x:c r="F2421" s="23" t="n">
        <x:v>3</x:v>
      </x:c>
    </x:row>
    <x:row r="2422">
      <x:c r="A2422" s="15" t="n">
        <x:v>44986</x:v>
      </x:c>
      <x:c r="B2422" s="13" t="str">
        <x:v>Banks</x:v>
      </x:c>
      <x:c r="C2422" s="16" t="n">
        <x:v>146080.6657886685</x:v>
      </x:c>
      <x:c r="D2422" s="16" t="n">
        <x:v>140948.2628836721</x:v>
      </x:c>
      <x:c r="E2422" s="16" t="n">
        <x:v>-5132.4029049964</x:v>
      </x:c>
      <x:c r="F2422" s="23" t="n">
        <x:v>7</x:v>
      </x:c>
    </x:row>
    <x:row r="2423">
      <x:c r="A2423" s="15" t="n">
        <x:v>44986</x:v>
      </x:c>
      <x:c r="B2423" s="13" t="str">
        <x:v>Capital Goods</x:v>
      </x:c>
      <x:c r="C2423" s="16" t="n">
        <x:v>5791.0248160438</x:v>
      </x:c>
      <x:c r="D2423" s="16" t="n">
        <x:v>6118.2660577924</x:v>
      </x:c>
      <x:c r="E2423" s="16" t="n">
        <x:v>327.2412417485</x:v>
      </x:c>
      <x:c r="F2423" s="23" t="n">
        <x:v>2</x:v>
      </x:c>
    </x:row>
    <x:row r="2424">
      <x:c r="A2424" s="15" t="n">
        <x:v>44986</x:v>
      </x:c>
      <x:c r="B2424" s="13" t="str">
        <x:v>Education</x:v>
      </x:c>
      <x:c r="C2424" s="16" t="n">
        <x:v>179.8022841205</x:v>
      </x:c>
      <x:c r="D2424" s="16" t="n">
        <x:v>233.1270946885</x:v>
      </x:c>
      <x:c r="E2424" s="16" t="n">
        <x:v>53.324810568</x:v>
      </x:c>
      <x:c r="F2424" s="23" t="n">
        <x:v>2</x:v>
      </x:c>
    </x:row>
    <x:row r="2425">
      <x:c r="A2425" s="15" t="n">
        <x:v>44986</x:v>
      </x:c>
      <x:c r="B2425" s="13" t="str">
        <x:v>Financials Non-Banks</x:v>
      </x:c>
      <x:c r="C2425" s="16" t="n">
        <x:v>27027.1421369753</x:v>
      </x:c>
      <x:c r="D2425" s="16" t="n">
        <x:v>27529.259827388</x:v>
      </x:c>
      <x:c r="E2425" s="16" t="n">
        <x:v>502.1176904127</x:v>
      </x:c>
      <x:c r="F2425" s="23" t="n">
        <x:v>5</x:v>
      </x:c>
    </x:row>
    <x:row r="2426">
      <x:c r="A2426" s="15" t="n">
        <x:v>44986</x:v>
      </x:c>
      <x:c r="B2426" s="13" t="str">
        <x:v>Food &amp; Beverages</x:v>
      </x:c>
      <x:c r="C2426" s="16" t="n">
        <x:v>17591.7966101041</x:v>
      </x:c>
      <x:c r="D2426" s="16" t="n">
        <x:v>16550.2919690164</x:v>
      </x:c>
      <x:c r="E2426" s="16" t="n">
        <x:v>-1041.5046410877</x:v>
      </x:c>
      <x:c r="F2426" s="23" t="n">
        <x:v>4</x:v>
      </x:c>
    </x:row>
    <x:row r="2427">
      <x:c r="A2427" s="15" t="n">
        <x:v>44986</x:v>
      </x:c>
      <x:c r="B2427" s="13" t="str">
        <x:v>Health Care</x:v>
      </x:c>
      <x:c r="C2427" s="16" t="n">
        <x:v>6397.5137835397</x:v>
      </x:c>
      <x:c r="D2427" s="16" t="n">
        <x:v>5491.6840198689</x:v>
      </x:c>
      <x:c r="E2427" s="16" t="n">
        <x:v>-905.8297636709</x:v>
      </x:c>
      <x:c r="F2427" s="23" t="n">
        <x:v>5</x:v>
      </x:c>
    </x:row>
    <x:row r="2428">
      <x:c r="A2428" s="15" t="n">
        <x:v>44986</x:v>
      </x:c>
      <x:c r="B2428" s="13" t="str">
        <x:v>Homebuilders</x:v>
      </x:c>
      <x:c r="C2428" s="16" t="n">
        <x:v>1823.2711397699</x:v>
      </x:c>
      <x:c r="D2428" s="16" t="n">
        <x:v>1793.9206381639</x:v>
      </x:c>
      <x:c r="E2428" s="16" t="n">
        <x:v>-29.3505016059</x:v>
      </x:c>
      <x:c r="F2428" s="23" t="n">
        <x:v>3</x:v>
      </x:c>
    </x:row>
    <x:row r="2429">
      <x:c r="A2429" s="15" t="n">
        <x:v>44986</x:v>
      </x:c>
      <x:c r="B2429" s="13" t="str">
        <x:v>Income Properties</x:v>
      </x:c>
      <x:c r="C2429" s="16" t="n">
        <x:v>1173.8821479014</x:v>
      </x:c>
      <x:c r="D2429" s="16" t="n">
        <x:v>1276.6005515191</x:v>
      </x:c>
      <x:c r="E2429" s="16" t="n">
        <x:v>102.7184036178</x:v>
      </x:c>
      <x:c r="F2429" s="23" t="n">
        <x:v>2</x:v>
      </x:c>
    </x:row>
    <x:row r="2430">
      <x:c r="A2430" s="15" t="n">
        <x:v>44986</x:v>
      </x:c>
      <x:c r="B2430" s="13" t="str">
        <x:v>Metals &amp; Mining</x:v>
      </x:c>
      <x:c r="C2430" s="16" t="n">
        <x:v>74171.1527424</x:v>
      </x:c>
      <x:c r="D2430" s="16" t="n">
        <x:v>80765.8454879126</x:v>
      </x:c>
      <x:c r="E2430" s="16" t="n">
        <x:v>6594.6927455125</x:v>
      </x:c>
      <x:c r="F2430" s="23" t="n">
        <x:v>6</x:v>
      </x:c>
    </x:row>
    <x:row r="2431">
      <x:c r="A2431" s="15" t="n">
        <x:v>44986</x:v>
      </x:c>
      <x:c r="B2431" s="13" t="str">
        <x:v>Oil, Gas &amp; Petrochemicals</x:v>
      </x:c>
      <x:c r="C2431" s="16" t="n">
        <x:v>126288.0917281312</x:v>
      </x:c>
      <x:c r="D2431" s="16" t="n">
        <x:v>117378.6764413994</x:v>
      </x:c>
      <x:c r="E2431" s="16" t="n">
        <x:v>-8909.4152867319</x:v>
      </x:c>
      <x:c r="F2431" s="23" t="n">
        <x:v>7</x:v>
      </x:c>
    </x:row>
    <x:row r="2432">
      <x:c r="A2432" s="15" t="n">
        <x:v>44986</x:v>
      </x:c>
      <x:c r="B2432" s="13" t="str">
        <x:v>Pulp &amp; Paper</x:v>
      </x:c>
      <x:c r="C2432" s="16" t="n">
        <x:v>12460.7870092274</x:v>
      </x:c>
      <x:c r="D2432" s="16" t="n">
        <x:v>11549.2584660984</x:v>
      </x:c>
      <x:c r="E2432" s="16" t="n">
        <x:v>-911.528543129</x:v>
      </x:c>
      <x:c r="F2432" s="23" t="n">
        <x:v>3</x:v>
      </x:c>
    </x:row>
    <x:row r="2433">
      <x:c r="A2433" s="15" t="n">
        <x:v>44986</x:v>
      </x:c>
      <x:c r="B2433" s="13" t="str">
        <x:v>Retail</x:v>
      </x:c>
      <x:c r="C2433" s="16" t="n">
        <x:v>9366.4139225863</x:v>
      </x:c>
      <x:c r="D2433" s="16" t="n">
        <x:v>9072.6819135519</x:v>
      </x:c>
      <x:c r="E2433" s="16" t="n">
        <x:v>-293.7320090344</x:v>
      </x:c>
      <x:c r="F2433" s="23" t="n">
        <x:v>13</x:v>
      </x:c>
    </x:row>
    <x:row r="2434">
      <x:c r="A2434" s="15" t="n">
        <x:v>44986</x:v>
      </x:c>
      <x:c r="B2434" s="13" t="str">
        <x:v>Sanitation</x:v>
      </x:c>
      <x:c r="C2434" s="16" t="n">
        <x:v>3313.3423419616</x:v>
      </x:c>
      <x:c r="D2434" s="16" t="n">
        <x:v>3671.4473519563</x:v>
      </x:c>
      <x:c r="E2434" s="16" t="n">
        <x:v>358.1050099946</x:v>
      </x:c>
      <x:c r="F2434" s="23" t="n">
        <x:v>1</x:v>
      </x:c>
    </x:row>
    <x:row r="2435">
      <x:c r="A2435" s="15" t="n">
        <x:v>44986</x:v>
      </x:c>
      <x:c r="B2435" s="13" t="str">
        <x:v>TMT</x:v>
      </x:c>
      <x:c r="C2435" s="16" t="n">
        <x:v>3322.2224055671</x:v>
      </x:c>
      <x:c r="D2435" s="16" t="n">
        <x:v>3048.6362731585</x:v>
      </x:c>
      <x:c r="E2435" s="16" t="n">
        <x:v>-273.5861324087</x:v>
      </x:c>
      <x:c r="F2435" s="23" t="n">
        <x:v>3</x:v>
      </x:c>
    </x:row>
    <x:row r="2436">
      <x:c r="A2436" s="15" t="n">
        <x:v>44986</x:v>
      </x:c>
      <x:c r="B2436" s="13" t="str">
        <x:v>Transportation</x:v>
      </x:c>
      <x:c r="C2436" s="16" t="n">
        <x:v>5318.9688104329</x:v>
      </x:c>
      <x:c r="D2436" s="16" t="n">
        <x:v>6119.3123391475</x:v>
      </x:c>
      <x:c r="E2436" s="16" t="n">
        <x:v>800.3435287147</x:v>
      </x:c>
      <x:c r="F2436" s="23" t="n">
        <x:v>6</x:v>
      </x:c>
    </x:row>
    <x:row r="2437">
      <x:c r="A2437" s="15" t="n">
        <x:v>44986</x:v>
      </x:c>
      <x:c r="B2437" s="13" t="str">
        <x:v>Utilities &amp; Energy</x:v>
      </x:c>
      <x:c r="C2437" s="16" t="n">
        <x:v>35229.0967772932</x:v>
      </x:c>
      <x:c r="D2437" s="16" t="n">
        <x:v>36146.5258993661</x:v>
      </x:c>
      <x:c r="E2437" s="16" t="n">
        <x:v>917.429122073</x:v>
      </x:c>
      <x:c r="F2437" s="23" t="n">
        <x:v>10</x:v>
      </x:c>
    </x:row>
    <x:row r="2438">
      <x:c r="A2438" s="15" t="n">
        <x:v>45017</x:v>
      </x:c>
      <x:c r="B2438" s="13" t="str">
        <x:v>Agribusiness</x:v>
      </x:c>
      <x:c r="C2438" s="16" t="n">
        <x:v>7160.6403836503</x:v>
      </x:c>
      <x:c r="D2438" s="16" t="n">
        <x:v>6418.6891301981</x:v>
      </x:c>
      <x:c r="E2438" s="16" t="n">
        <x:v>-741.9512534521</x:v>
      </x:c>
      <x:c r="F2438" s="23" t="n">
        <x:v>3</x:v>
      </x:c>
    </x:row>
    <x:row r="2439">
      <x:c r="A2439" s="15" t="n">
        <x:v>45017</x:v>
      </x:c>
      <x:c r="B2439" s="13" t="str">
        <x:v>Banks</x:v>
      </x:c>
      <x:c r="C2439" s="16" t="n">
        <x:v>145097.5976491366</x:v>
      </x:c>
      <x:c r="D2439" s="16" t="n">
        <x:v>142188.6954930709</x:v>
      </x:c>
      <x:c r="E2439" s="16" t="n">
        <x:v>-2908.9021560657</x:v>
      </x:c>
      <x:c r="F2439" s="23" t="n">
        <x:v>7</x:v>
      </x:c>
    </x:row>
    <x:row r="2440">
      <x:c r="A2440" s="15" t="n">
        <x:v>45017</x:v>
      </x:c>
      <x:c r="B2440" s="13" t="str">
        <x:v>Capital Goods</x:v>
      </x:c>
      <x:c r="C2440" s="16" t="n">
        <x:v>5870.8277903388</x:v>
      </x:c>
      <x:c r="D2440" s="16" t="n">
        <x:v>6223.8409201311</x:v>
      </x:c>
      <x:c r="E2440" s="16" t="n">
        <x:v>353.0131297923</x:v>
      </x:c>
      <x:c r="F2440" s="23" t="n">
        <x:v>2</x:v>
      </x:c>
    </x:row>
    <x:row r="2441">
      <x:c r="A2441" s="15" t="n">
        <x:v>45017</x:v>
      </x:c>
      <x:c r="B2441" s="13" t="str">
        <x:v>Education</x:v>
      </x:c>
      <x:c r="C2441" s="16" t="n">
        <x:v>170.715987235</x:v>
      </x:c>
      <x:c r="D2441" s="16" t="n">
        <x:v>227.3334564153</x:v>
      </x:c>
      <x:c r="E2441" s="16" t="n">
        <x:v>56.6174691803</x:v>
      </x:c>
      <x:c r="F2441" s="23" t="n">
        <x:v>2</x:v>
      </x:c>
    </x:row>
    <x:row r="2442">
      <x:c r="A2442" s="15" t="n">
        <x:v>45017</x:v>
      </x:c>
      <x:c r="B2442" s="13" t="str">
        <x:v>Financials Non-Banks</x:v>
      </x:c>
      <x:c r="C2442" s="16" t="n">
        <x:v>27107.9727720218</x:v>
      </x:c>
      <x:c r="D2442" s="16" t="n">
        <x:v>27746.0626908634</x:v>
      </x:c>
      <x:c r="E2442" s="16" t="n">
        <x:v>638.0899188416</x:v>
      </x:c>
      <x:c r="F2442" s="23" t="n">
        <x:v>5</x:v>
      </x:c>
    </x:row>
    <x:row r="2443">
      <x:c r="A2443" s="15" t="n">
        <x:v>45017</x:v>
      </x:c>
      <x:c r="B2443" s="13" t="str">
        <x:v>Food &amp; Beverages</x:v>
      </x:c>
      <x:c r="C2443" s="16" t="n">
        <x:v>17485.6518043279</x:v>
      </x:c>
      <x:c r="D2443" s="16" t="n">
        <x:v>16247.4225531803</x:v>
      </x:c>
      <x:c r="E2443" s="16" t="n">
        <x:v>-1238.2292511476</x:v>
      </x:c>
      <x:c r="F2443" s="23" t="n">
        <x:v>4</x:v>
      </x:c>
    </x:row>
    <x:row r="2444">
      <x:c r="A2444" s="15" t="n">
        <x:v>45017</x:v>
      </x:c>
      <x:c r="B2444" s="13" t="str">
        <x:v>Health Care</x:v>
      </x:c>
      <x:c r="C2444" s="16" t="n">
        <x:v>5790.9694121967</x:v>
      </x:c>
      <x:c r="D2444" s="16" t="n">
        <x:v>5476.6795947104</x:v>
      </x:c>
      <x:c r="E2444" s="16" t="n">
        <x:v>-314.2898174863</x:v>
      </x:c>
      <x:c r="F2444" s="23" t="n">
        <x:v>5</x:v>
      </x:c>
    </x:row>
    <x:row r="2445">
      <x:c r="A2445" s="15" t="n">
        <x:v>45017</x:v>
      </x:c>
      <x:c r="B2445" s="13" t="str">
        <x:v>Homebuilders</x:v>
      </x:c>
      <x:c r="C2445" s="16" t="n">
        <x:v>1760.772867847</x:v>
      </x:c>
      <x:c r="D2445" s="16" t="n">
        <x:v>1757.5379720219</x:v>
      </x:c>
      <x:c r="E2445" s="16" t="n">
        <x:v>-3.2348958251</x:v>
      </x:c>
      <x:c r="F2445" s="23" t="n">
        <x:v>3</x:v>
      </x:c>
    </x:row>
    <x:row r="2446">
      <x:c r="A2446" s="15" t="n">
        <x:v>45017</x:v>
      </x:c>
      <x:c r="B2446" s="13" t="str">
        <x:v>Income Properties</x:v>
      </x:c>
      <x:c r="C2446" s="16" t="n">
        <x:v>1880.6890115847</x:v>
      </x:c>
      <x:c r="D2446" s="16" t="n">
        <x:v>2016.9876314754</x:v>
      </x:c>
      <x:c r="E2446" s="16" t="n">
        <x:v>136.2986198907</x:v>
      </x:c>
      <x:c r="F2446" s="23" t="n">
        <x:v>3</x:v>
      </x:c>
    </x:row>
    <x:row r="2447">
      <x:c r="A2447" s="15" t="n">
        <x:v>45017</x:v>
      </x:c>
      <x:c r="B2447" s="13" t="str">
        <x:v>Metals &amp; Mining</x:v>
      </x:c>
      <x:c r="C2447" s="16" t="n">
        <x:v>78655.4588964372</x:v>
      </x:c>
      <x:c r="D2447" s="16" t="n">
        <x:v>73770.830978448</x:v>
      </x:c>
      <x:c r="E2447" s="16" t="n">
        <x:v>-4884.6279179891</x:v>
      </x:c>
      <x:c r="F2447" s="23" t="n">
        <x:v>6</x:v>
      </x:c>
    </x:row>
    <x:row r="2448">
      <x:c r="A2448" s="15" t="n">
        <x:v>45017</x:v>
      </x:c>
      <x:c r="B2448" s="13" t="str">
        <x:v>Oil, Gas &amp; Petrochemicals</x:v>
      </x:c>
      <x:c r="C2448" s="16" t="n">
        <x:v>110159.0370210273</x:v>
      </x:c>
      <x:c r="D2448" s="16" t="n">
        <x:v>118440.9297919997</x:v>
      </x:c>
      <x:c r="E2448" s="16" t="n">
        <x:v>8281.8927709724</x:v>
      </x:c>
      <x:c r="F2448" s="23" t="n">
        <x:v>7</x:v>
      </x:c>
    </x:row>
    <x:row r="2449">
      <x:c r="A2449" s="15" t="n">
        <x:v>45017</x:v>
      </x:c>
      <x:c r="B2449" s="13" t="str">
        <x:v>Pulp &amp; Paper</x:v>
      </x:c>
      <x:c r="C2449" s="16" t="n">
        <x:v>11106.6478779454</x:v>
      </x:c>
      <x:c r="D2449" s="16" t="n">
        <x:v>10087.7037954973</x:v>
      </x:c>
      <x:c r="E2449" s="16" t="n">
        <x:v>-1018.9440824481</x:v>
      </x:c>
      <x:c r="F2449" s="23" t="n">
        <x:v>3</x:v>
      </x:c>
    </x:row>
    <x:row r="2450">
      <x:c r="A2450" s="15" t="n">
        <x:v>45017</x:v>
      </x:c>
      <x:c r="B2450" s="13" t="str">
        <x:v>Retail</x:v>
      </x:c>
      <x:c r="C2450" s="16" t="n">
        <x:v>9460.7453345574</x:v>
      </x:c>
      <x:c r="D2450" s="16" t="n">
        <x:v>8336.8453508306</x:v>
      </x:c>
      <x:c r="E2450" s="16" t="n">
        <x:v>-1123.8999837268</x:v>
      </x:c>
      <x:c r="F2450" s="23" t="n">
        <x:v>13</x:v>
      </x:c>
    </x:row>
    <x:row r="2451">
      <x:c r="A2451" s="15" t="n">
        <x:v>45017</x:v>
      </x:c>
      <x:c r="B2451" s="13" t="str">
        <x:v>Sanitation</x:v>
      </x:c>
      <x:c r="C2451" s="16" t="n">
        <x:v>3514.4871435191</x:v>
      </x:c>
      <x:c r="D2451" s="16" t="n">
        <x:v>3631.313821377</x:v>
      </x:c>
      <x:c r="E2451" s="16" t="n">
        <x:v>116.8266778579</x:v>
      </x:c>
      <x:c r="F2451" s="23" t="n">
        <x:v>1</x:v>
      </x:c>
    </x:row>
    <x:row r="2452">
      <x:c r="A2452" s="15" t="n">
        <x:v>45017</x:v>
      </x:c>
      <x:c r="B2452" s="13" t="str">
        <x:v>TMT</x:v>
      </x:c>
      <x:c r="C2452" s="16" t="n">
        <x:v>3047.9791182077</x:v>
      </x:c>
      <x:c r="D2452" s="16" t="n">
        <x:v>3132.3028464044</x:v>
      </x:c>
      <x:c r="E2452" s="16" t="n">
        <x:v>84.3237281967</x:v>
      </x:c>
      <x:c r="F2452" s="23" t="n">
        <x:v>3</x:v>
      </x:c>
    </x:row>
    <x:row r="2453">
      <x:c r="A2453" s="15" t="n">
        <x:v>45017</x:v>
      </x:c>
      <x:c r="B2453" s="13" t="str">
        <x:v>Transportation</x:v>
      </x:c>
      <x:c r="C2453" s="16" t="n">
        <x:v>5628.2608367213</x:v>
      </x:c>
      <x:c r="D2453" s="16" t="n">
        <x:v>6187.100978929</x:v>
      </x:c>
      <x:c r="E2453" s="16" t="n">
        <x:v>558.8401422076</x:v>
      </x:c>
      <x:c r="F2453" s="23" t="n">
        <x:v>6</x:v>
      </x:c>
    </x:row>
    <x:row r="2454">
      <x:c r="A2454" s="15" t="n">
        <x:v>45017</x:v>
      </x:c>
      <x:c r="B2454" s="13" t="str">
        <x:v>Utilities &amp; Energy</x:v>
      </x:c>
      <x:c r="C2454" s="16" t="n">
        <x:v>37010.1365092022</x:v>
      </x:c>
      <x:c r="D2454" s="16" t="n">
        <x:v>37820.4402650929</x:v>
      </x:c>
      <x:c r="E2454" s="16" t="n">
        <x:v>810.3037558907</x:v>
      </x:c>
      <x:c r="F2454" s="23" t="n">
        <x:v>11</x:v>
      </x:c>
    </x:row>
    <x:row r="2455">
      <x:c r="A2455" s="15" t="n">
        <x:v>45047</x:v>
      </x:c>
      <x:c r="B2455" s="13" t="str">
        <x:v>Agribusiness</x:v>
      </x:c>
      <x:c r="C2455" s="16" t="n">
        <x:v>6923.6428843716</x:v>
      </x:c>
      <x:c r="D2455" s="16" t="n">
        <x:v>6382.1060110679</x:v>
      </x:c>
      <x:c r="E2455" s="16" t="n">
        <x:v>-541.5368733037</x:v>
      </x:c>
      <x:c r="F2455" s="23" t="n">
        <x:v>3</x:v>
      </x:c>
    </x:row>
    <x:row r="2456">
      <x:c r="A2456" s="15" t="n">
        <x:v>45047</x:v>
      </x:c>
      <x:c r="B2456" s="13" t="str">
        <x:v>Banks</x:v>
      </x:c>
      <x:c r="C2456" s="16" t="n">
        <x:v>140389.7421219672</x:v>
      </x:c>
      <x:c r="D2456" s="16" t="n">
        <x:v>140138.4255734208</x:v>
      </x:c>
      <x:c r="E2456" s="16" t="n">
        <x:v>-251.3165485464</x:v>
      </x:c>
      <x:c r="F2456" s="23" t="n">
        <x:v>6</x:v>
      </x:c>
    </x:row>
    <x:row r="2457">
      <x:c r="A2457" s="15" t="n">
        <x:v>45047</x:v>
      </x:c>
      <x:c r="B2457" s="13" t="str">
        <x:v>Capital Goods</x:v>
      </x:c>
      <x:c r="C2457" s="16" t="n">
        <x:v>5959.2571446557</x:v>
      </x:c>
      <x:c r="D2457" s="16" t="n">
        <x:v>6336.3498065137</x:v>
      </x:c>
      <x:c r="E2457" s="16" t="n">
        <x:v>377.0926618579</x:v>
      </x:c>
      <x:c r="F2457" s="23" t="n">
        <x:v>2</x:v>
      </x:c>
    </x:row>
    <x:row r="2458">
      <x:c r="A2458" s="15" t="n">
        <x:v>45047</x:v>
      </x:c>
      <x:c r="B2458" s="13" t="str">
        <x:v>Education</x:v>
      </x:c>
      <x:c r="C2458" s="16" t="n">
        <x:v>191.7872064262</x:v>
      </x:c>
      <x:c r="D2458" s="16" t="n">
        <x:v>334.3293288306</x:v>
      </x:c>
      <x:c r="E2458" s="16" t="n">
        <x:v>142.5421224044</x:v>
      </x:c>
      <x:c r="F2458" s="23" t="n">
        <x:v>2</x:v>
      </x:c>
    </x:row>
    <x:row r="2459">
      <x:c r="A2459" s="15" t="n">
        <x:v>45047</x:v>
      </x:c>
      <x:c r="B2459" s="13" t="str">
        <x:v>Financials Non-Banks</x:v>
      </x:c>
      <x:c r="C2459" s="16" t="n">
        <x:v>27590.1533345573</x:v>
      </x:c>
      <x:c r="D2459" s="16" t="n">
        <x:v>28934.6265949946</x:v>
      </x:c>
      <x:c r="E2459" s="16" t="n">
        <x:v>1344.4732604372</x:v>
      </x:c>
      <x:c r="F2459" s="23" t="n">
        <x:v>5</x:v>
      </x:c>
    </x:row>
    <x:row r="2460">
      <x:c r="A2460" s="15" t="n">
        <x:v>45047</x:v>
      </x:c>
      <x:c r="B2460" s="13" t="str">
        <x:v>Food &amp; Beverages</x:v>
      </x:c>
      <x:c r="C2460" s="16" t="n">
        <x:v>16526.1904128525</x:v>
      </x:c>
      <x:c r="D2460" s="16" t="n">
        <x:v>16766.9371897705</x:v>
      </x:c>
      <x:c r="E2460" s="16" t="n">
        <x:v>240.746776918</x:v>
      </x:c>
      <x:c r="F2460" s="23" t="n">
        <x:v>4</x:v>
      </x:c>
    </x:row>
    <x:row r="2461">
      <x:c r="A2461" s="15" t="n">
        <x:v>45047</x:v>
      </x:c>
      <x:c r="B2461" s="13" t="str">
        <x:v>Health Care</x:v>
      </x:c>
      <x:c r="C2461" s="16" t="n">
        <x:v>5644.8179556721</x:v>
      </x:c>
      <x:c r="D2461" s="16" t="n">
        <x:v>5429.7321630601</x:v>
      </x:c>
      <x:c r="E2461" s="16" t="n">
        <x:v>-215.085792612</x:v>
      </x:c>
      <x:c r="F2461" s="23" t="n">
        <x:v>4</x:v>
      </x:c>
    </x:row>
    <x:row r="2462">
      <x:c r="A2462" s="15" t="n">
        <x:v>45047</x:v>
      </x:c>
      <x:c r="B2462" s="13" t="str">
        <x:v>Homebuilders</x:v>
      </x:c>
      <x:c r="C2462" s="16" t="n">
        <x:v>1764.0407485902</x:v>
      </x:c>
      <x:c r="D2462" s="16" t="n">
        <x:v>1635.5053704044</x:v>
      </x:c>
      <x:c r="E2462" s="16" t="n">
        <x:v>-128.5353781858</x:v>
      </x:c>
      <x:c r="F2462" s="23" t="n">
        <x:v>3</x:v>
      </x:c>
    </x:row>
    <x:row r="2463">
      <x:c r="A2463" s="15" t="n">
        <x:v>45047</x:v>
      </x:c>
      <x:c r="B2463" s="13" t="str">
        <x:v>Income Properties</x:v>
      </x:c>
      <x:c r="C2463" s="16" t="n">
        <x:v>1964.7019168525</x:v>
      </x:c>
      <x:c r="D2463" s="16" t="n">
        <x:v>2519.7402129836</x:v>
      </x:c>
      <x:c r="E2463" s="16" t="n">
        <x:v>555.0382961311</x:v>
      </x:c>
      <x:c r="F2463" s="23" t="n">
        <x:v>3</x:v>
      </x:c>
    </x:row>
    <x:row r="2464">
      <x:c r="A2464" s="15" t="n">
        <x:v>45047</x:v>
      </x:c>
      <x:c r="B2464" s="13" t="str">
        <x:v>Metals &amp; Mining</x:v>
      </x:c>
      <x:c r="C2464" s="16" t="n">
        <x:v>78483.872721836</x:v>
      </x:c>
      <x:c r="D2464" s="16" t="n">
        <x:v>69046.0180137268</x:v>
      </x:c>
      <x:c r="E2464" s="16" t="n">
        <x:v>-9437.8547081093</x:v>
      </x:c>
      <x:c r="F2464" s="23" t="n">
        <x:v>6</x:v>
      </x:c>
    </x:row>
    <x:row r="2465">
      <x:c r="A2465" s="15" t="n">
        <x:v>45047</x:v>
      </x:c>
      <x:c r="B2465" s="13" t="str">
        <x:v>Oil, Gas &amp; Petrochemicals</x:v>
      </x:c>
      <x:c r="C2465" s="16" t="n">
        <x:v>123943.5627771804</x:v>
      </x:c>
      <x:c r="D2465" s="16" t="n">
        <x:v>118460.4831604807</x:v>
      </x:c>
      <x:c r="E2465" s="16" t="n">
        <x:v>-5483.0796166997</x:v>
      </x:c>
      <x:c r="F2465" s="23" t="n">
        <x:v>7</x:v>
      </x:c>
    </x:row>
    <x:row r="2466">
      <x:c r="A2466" s="15" t="n">
        <x:v>45047</x:v>
      </x:c>
      <x:c r="B2466" s="13" t="str">
        <x:v>Pulp &amp; Paper</x:v>
      </x:c>
      <x:c r="C2466" s="16" t="n">
        <x:v>10656.4638615082</x:v>
      </x:c>
      <x:c r="D2466" s="16" t="n">
        <x:v>9229.2733450492</x:v>
      </x:c>
      <x:c r="E2466" s="16" t="n">
        <x:v>-1427.190516459</x:v>
      </x:c>
      <x:c r="F2466" s="23" t="n">
        <x:v>3</x:v>
      </x:c>
    </x:row>
    <x:row r="2467">
      <x:c r="A2467" s="15" t="n">
        <x:v>45047</x:v>
      </x:c>
      <x:c r="B2467" s="13" t="str">
        <x:v>Retail</x:v>
      </x:c>
      <x:c r="C2467" s="16" t="n">
        <x:v>9298.165664918</x:v>
      </x:c>
      <x:c r="D2467" s="16" t="n">
        <x:v>7627.2612877814</x:v>
      </x:c>
      <x:c r="E2467" s="16" t="n">
        <x:v>-1670.9043771366</x:v>
      </x:c>
      <x:c r="F2467" s="23" t="n">
        <x:v>13</x:v>
      </x:c>
    </x:row>
    <x:row r="2468">
      <x:c r="A2468" s="15" t="n">
        <x:v>45047</x:v>
      </x:c>
      <x:c r="B2468" s="13" t="str">
        <x:v>Sanitation</x:v>
      </x:c>
      <x:c r="C2468" s="16" t="n">
        <x:v>3617.6381356066</x:v>
      </x:c>
      <x:c r="D2468" s="16" t="n">
        <x:v>3782.4565787978</x:v>
      </x:c>
      <x:c r="E2468" s="16" t="n">
        <x:v>164.8184431913</x:v>
      </x:c>
      <x:c r="F2468" s="23" t="n">
        <x:v>1</x:v>
      </x:c>
    </x:row>
    <x:row r="2469">
      <x:c r="A2469" s="15" t="n">
        <x:v>45047</x:v>
      </x:c>
      <x:c r="B2469" s="13" t="str">
        <x:v>TMT</x:v>
      </x:c>
      <x:c r="C2469" s="16" t="n">
        <x:v>3034.9376217705</x:v>
      </x:c>
      <x:c r="D2469" s="16" t="n">
        <x:v>3190.2634129399</x:v>
      </x:c>
      <x:c r="E2469" s="16" t="n">
        <x:v>155.3257911694</x:v>
      </x:c>
      <x:c r="F2469" s="23" t="n">
        <x:v>3</x:v>
      </x:c>
    </x:row>
    <x:row r="2470">
      <x:c r="A2470" s="15" t="n">
        <x:v>45047</x:v>
      </x:c>
      <x:c r="B2470" s="13" t="str">
        <x:v>Transportation</x:v>
      </x:c>
      <x:c r="C2470" s="16" t="n">
        <x:v>5467.8453623607</x:v>
      </x:c>
      <x:c r="D2470" s="16" t="n">
        <x:v>6231.3732596284</x:v>
      </x:c>
      <x:c r="E2470" s="16" t="n">
        <x:v>763.5278972678</x:v>
      </x:c>
      <x:c r="F2470" s="23" t="n">
        <x:v>5</x:v>
      </x:c>
    </x:row>
    <x:row r="2471">
      <x:c r="A2471" s="15" t="n">
        <x:v>45047</x:v>
      </x:c>
      <x:c r="B2471" s="13" t="str">
        <x:v>Utilities &amp; Energy</x:v>
      </x:c>
      <x:c r="C2471" s="16" t="n">
        <x:v>37726.029323541</x:v>
      </x:c>
      <x:c r="D2471" s="16" t="n">
        <x:v>40934.6211972896</x:v>
      </x:c>
      <x:c r="E2471" s="16" t="n">
        <x:v>3208.5918737486</x:v>
      </x:c>
      <x:c r="F2471" s="23" t="n">
        <x:v>11</x:v>
      </x:c>
    </x:row>
    <x:row r="2472">
      <x:c r="A2472" s="15" t="n">
        <x:v>45078</x:v>
      </x:c>
      <x:c r="B2472" s="13" t="str">
        <x:v>Agribusiness</x:v>
      </x:c>
      <x:c r="C2472" s="16" t="n">
        <x:v>6749.0775431694</x:v>
      </x:c>
      <x:c r="D2472" s="16" t="n">
        <x:v>6472.6619414747</x:v>
      </x:c>
      <x:c r="E2472" s="16" t="n">
        <x:v>-276.4156016947</x:v>
      </x:c>
      <x:c r="F2472" s="23" t="n">
        <x:v>3</x:v>
      </x:c>
    </x:row>
    <x:row r="2473">
      <x:c r="A2473" s="15" t="n">
        <x:v>45078</x:v>
      </x:c>
      <x:c r="B2473" s="13" t="str">
        <x:v>Banks</x:v>
      </x:c>
      <x:c r="C2473" s="16" t="n">
        <x:v>139844.028941989</x:v>
      </x:c>
      <x:c r="D2473" s="16" t="n">
        <x:v>142682.7168930274</x:v>
      </x:c>
      <x:c r="E2473" s="16" t="n">
        <x:v>2838.6879510384</x:v>
      </x:c>
      <x:c r="F2473" s="23" t="n">
        <x:v>6</x:v>
      </x:c>
    </x:row>
    <x:row r="2474">
      <x:c r="A2474" s="15" t="n">
        <x:v>45078</x:v>
      </x:c>
      <x:c r="B2474" s="13" t="str">
        <x:v>Capital Goods</x:v>
      </x:c>
      <x:c r="C2474" s="16" t="n">
        <x:v>6118.2660577924</x:v>
      </x:c>
      <x:c r="D2474" s="16" t="n">
        <x:v>6422.8066881749</x:v>
      </x:c>
      <x:c r="E2474" s="16" t="n">
        <x:v>304.5406303825</x:v>
      </x:c>
      <x:c r="F2474" s="23" t="n">
        <x:v>2</x:v>
      </x:c>
    </x:row>
    <x:row r="2475">
      <x:c r="A2475" s="15" t="n">
        <x:v>45078</x:v>
      </x:c>
      <x:c r="B2475" s="13" t="str">
        <x:v>Education</x:v>
      </x:c>
      <x:c r="C2475" s="16" t="n">
        <x:v>233.1270946885</x:v>
      </x:c>
      <x:c r="D2475" s="16" t="n">
        <x:v>477.5764815738</x:v>
      </x:c>
      <x:c r="E2475" s="16" t="n">
        <x:v>244.4493868852</x:v>
      </x:c>
      <x:c r="F2475" s="23" t="n">
        <x:v>2</x:v>
      </x:c>
    </x:row>
    <x:row r="2476">
      <x:c r="A2476" s="15" t="n">
        <x:v>45078</x:v>
      </x:c>
      <x:c r="B2476" s="13" t="str">
        <x:v>Financials Non-Banks</x:v>
      </x:c>
      <x:c r="C2476" s="16" t="n">
        <x:v>27529.259827388</x:v>
      </x:c>
      <x:c r="D2476" s="16" t="n">
        <x:v>29387.8450347103</x:v>
      </x:c>
      <x:c r="E2476" s="16" t="n">
        <x:v>1858.5852073223</x:v>
      </x:c>
      <x:c r="F2476" s="23" t="n">
        <x:v>5</x:v>
      </x:c>
    </x:row>
    <x:row r="2477">
      <x:c r="A2477" s="15" t="n">
        <x:v>45078</x:v>
      </x:c>
      <x:c r="B2477" s="13" t="str">
        <x:v>Food &amp; Beverages</x:v>
      </x:c>
      <x:c r="C2477" s="16" t="n">
        <x:v>16550.2919690164</x:v>
      </x:c>
      <x:c r="D2477" s="16" t="n">
        <x:v>16682.2054903606</x:v>
      </x:c>
      <x:c r="E2477" s="16" t="n">
        <x:v>131.9135213442</x:v>
      </x:c>
      <x:c r="F2477" s="23" t="n">
        <x:v>4</x:v>
      </x:c>
    </x:row>
    <x:row r="2478">
      <x:c r="A2478" s="15" t="n">
        <x:v>45078</x:v>
      </x:c>
      <x:c r="B2478" s="13" t="str">
        <x:v>Health Care</x:v>
      </x:c>
      <x:c r="C2478" s="16" t="n">
        <x:v>5337.6983065574</x:v>
      </x:c>
      <x:c r="D2478" s="16" t="n">
        <x:v>5578.4830447213</x:v>
      </x:c>
      <x:c r="E2478" s="16" t="n">
        <x:v>240.7847381639</x:v>
      </x:c>
      <x:c r="F2478" s="23" t="n">
        <x:v>4</x:v>
      </x:c>
    </x:row>
    <x:row r="2479">
      <x:c r="A2479" s="15" t="n">
        <x:v>45078</x:v>
      </x:c>
      <x:c r="B2479" s="13" t="str">
        <x:v>Homebuilders</x:v>
      </x:c>
      <x:c r="C2479" s="16" t="n">
        <x:v>1793.9206381639</x:v>
      </x:c>
      <x:c r="D2479" s="16" t="n">
        <x:v>1770.2989450492</x:v>
      </x:c>
      <x:c r="E2479" s="16" t="n">
        <x:v>-23.6216931148</x:v>
      </x:c>
      <x:c r="F2479" s="23" t="n">
        <x:v>3</x:v>
      </x:c>
    </x:row>
    <x:row r="2480">
      <x:c r="A2480" s="15" t="n">
        <x:v>45078</x:v>
      </x:c>
      <x:c r="B2480" s="13" t="str">
        <x:v>Income Properties</x:v>
      </x:c>
      <x:c r="C2480" s="16" t="n">
        <x:v>2087.5585493333</x:v>
      </x:c>
      <x:c r="D2480" s="16" t="n">
        <x:v>2515.2266180546</x:v>
      </x:c>
      <x:c r="E2480" s="16" t="n">
        <x:v>427.6680687213</x:v>
      </x:c>
      <x:c r="F2480" s="23" t="n">
        <x:v>3</x:v>
      </x:c>
    </x:row>
    <x:row r="2481">
      <x:c r="A2481" s="15" t="n">
        <x:v>45078</x:v>
      </x:c>
      <x:c r="B2481" s="13" t="str">
        <x:v>Metals &amp; Mining</x:v>
      </x:c>
      <x:c r="C2481" s="16" t="n">
        <x:v>80765.8454879126</x:v>
      </x:c>
      <x:c r="D2481" s="16" t="n">
        <x:v>64263.2980843716</x:v>
      </x:c>
      <x:c r="E2481" s="16" t="n">
        <x:v>-16502.547403541</x:v>
      </x:c>
      <x:c r="F2481" s="23" t="n">
        <x:v>6</x:v>
      </x:c>
    </x:row>
    <x:row r="2482">
      <x:c r="A2482" s="15" t="n">
        <x:v>45078</x:v>
      </x:c>
      <x:c r="B2482" s="13" t="str">
        <x:v>Oil, Gas &amp; Petrochemicals</x:v>
      </x:c>
      <x:c r="C2482" s="16" t="n">
        <x:v>117378.6764413994</x:v>
      </x:c>
      <x:c r="D2482" s="16" t="n">
        <x:v>113588.6637226665</x:v>
      </x:c>
      <x:c r="E2482" s="16" t="n">
        <x:v>-3790.0127187328</x:v>
      </x:c>
      <x:c r="F2482" s="23" t="n">
        <x:v>7</x:v>
      </x:c>
    </x:row>
    <x:row r="2483">
      <x:c r="A2483" s="15" t="n">
        <x:v>45078</x:v>
      </x:c>
      <x:c r="B2483" s="13" t="str">
        <x:v>Pulp &amp; Paper</x:v>
      </x:c>
      <x:c r="C2483" s="16" t="n">
        <x:v>11549.2584660984</x:v>
      </x:c>
      <x:c r="D2483" s="16" t="n">
        <x:v>8920.405291541</x:v>
      </x:c>
      <x:c r="E2483" s="16" t="n">
        <x:v>-2628.8531745574</x:v>
      </x:c>
      <x:c r="F2483" s="23" t="n">
        <x:v>3</x:v>
      </x:c>
    </x:row>
    <x:row r="2484">
      <x:c r="A2484" s="15" t="n">
        <x:v>45078</x:v>
      </x:c>
      <x:c r="B2484" s="13" t="str">
        <x:v>Retail</x:v>
      </x:c>
      <x:c r="C2484" s="16" t="n">
        <x:v>9072.6819135519</x:v>
      </x:c>
      <x:c r="D2484" s="16" t="n">
        <x:v>7969.1764495301</x:v>
      </x:c>
      <x:c r="E2484" s="16" t="n">
        <x:v>-1103.5054640219</x:v>
      </x:c>
      <x:c r="F2484" s="23" t="n">
        <x:v>13</x:v>
      </x:c>
    </x:row>
    <x:row r="2485">
      <x:c r="A2485" s="15" t="n">
        <x:v>45078</x:v>
      </x:c>
      <x:c r="B2485" s="13" t="str">
        <x:v>Sanitation</x:v>
      </x:c>
      <x:c r="C2485" s="16" t="n">
        <x:v>3671.4473519563</x:v>
      </x:c>
      <x:c r="D2485" s="16" t="n">
        <x:v>3893.7572301639</x:v>
      </x:c>
      <x:c r="E2485" s="16" t="n">
        <x:v>222.3098782077</x:v>
      </x:c>
      <x:c r="F2485" s="23" t="n">
        <x:v>1</x:v>
      </x:c>
    </x:row>
    <x:row r="2486">
      <x:c r="A2486" s="15" t="n">
        <x:v>45078</x:v>
      </x:c>
      <x:c r="B2486" s="13" t="str">
        <x:v>TMT</x:v>
      </x:c>
      <x:c r="C2486" s="16" t="n">
        <x:v>3048.6362731585</x:v>
      </x:c>
      <x:c r="D2486" s="16" t="n">
        <x:v>3259.5041997814</x:v>
      </x:c>
      <x:c r="E2486" s="16" t="n">
        <x:v>210.867926623</x:v>
      </x:c>
      <x:c r="F2486" s="23" t="n">
        <x:v>3</x:v>
      </x:c>
    </x:row>
    <x:row r="2487">
      <x:c r="A2487" s="15" t="n">
        <x:v>45078</x:v>
      </x:c>
      <x:c r="B2487" s="13" t="str">
        <x:v>Transportation</x:v>
      </x:c>
      <x:c r="C2487" s="16" t="n">
        <x:v>5671.8024758033</x:v>
      </x:c>
      <x:c r="D2487" s="16" t="n">
        <x:v>7170.1873605246</x:v>
      </x:c>
      <x:c r="E2487" s="16" t="n">
        <x:v>1498.3848847213</x:v>
      </x:c>
      <x:c r="F2487" s="23" t="n">
        <x:v>5</x:v>
      </x:c>
    </x:row>
    <x:row r="2488">
      <x:c r="A2488" s="15" t="n">
        <x:v>45078</x:v>
      </x:c>
      <x:c r="B2488" s="13" t="str">
        <x:v>Utilities &amp; Energy</x:v>
      </x:c>
      <x:c r="C2488" s="16" t="n">
        <x:v>36146.5258993661</x:v>
      </x:c>
      <x:c r="D2488" s="16" t="n">
        <x:v>35410.2262571366</x:v>
      </x:c>
      <x:c r="E2488" s="16" t="n">
        <x:v>-736.2996422295</x:v>
      </x:c>
      <x:c r="F2488" s="23" t="n">
        <x:v>10</x:v>
      </x:c>
    </x:row>
    <x:row r="2489">
      <x:c r="A2489" s="15" t="n">
        <x:v>45108</x:v>
      </x:c>
      <x:c r="B2489" s="13" t="str">
        <x:v>Agribusiness</x:v>
      </x:c>
      <x:c r="C2489" s="16" t="n">
        <x:v>6418.6891301981</x:v>
      </x:c>
      <x:c r="D2489" s="16" t="n">
        <x:v>6464.9825952712</x:v>
      </x:c>
      <x:c r="E2489" s="16" t="n">
        <x:v>46.293465073</x:v>
      </x:c>
      <x:c r="F2489" s="23" t="n">
        <x:v>3</x:v>
      </x:c>
    </x:row>
    <x:row r="2490">
      <x:c r="A2490" s="15" t="n">
        <x:v>45108</x:v>
      </x:c>
      <x:c r="B2490" s="13" t="str">
        <x:v>Banks</x:v>
      </x:c>
      <x:c r="C2490" s="16" t="n">
        <x:v>141071.2210017923</x:v>
      </x:c>
      <x:c r="D2490" s="16" t="n">
        <x:v>143868.952231869</x:v>
      </x:c>
      <x:c r="E2490" s="16" t="n">
        <x:v>2797.7312300767</x:v>
      </x:c>
      <x:c r="F2490" s="23" t="n">
        <x:v>6</x:v>
      </x:c>
    </x:row>
    <x:row r="2491">
      <x:c r="A2491" s="15" t="n">
        <x:v>45108</x:v>
      </x:c>
      <x:c r="B2491" s="13" t="str">
        <x:v>Capital Goods</x:v>
      </x:c>
      <x:c r="C2491" s="16" t="n">
        <x:v>6223.8409201311</x:v>
      </x:c>
      <x:c r="D2491" s="16" t="n">
        <x:v>6449.8195745574</x:v>
      </x:c>
      <x:c r="E2491" s="16" t="n">
        <x:v>225.9786544262</x:v>
      </x:c>
      <x:c r="F2491" s="23" t="n">
        <x:v>2</x:v>
      </x:c>
    </x:row>
    <x:row r="2492">
      <x:c r="A2492" s="15" t="n">
        <x:v>45108</x:v>
      </x:c>
      <x:c r="B2492" s="13" t="str">
        <x:v>Education</x:v>
      </x:c>
      <x:c r="C2492" s="16" t="n">
        <x:v>227.3334564153</x:v>
      </x:c>
      <x:c r="D2492" s="16" t="n">
        <x:v>552.0425931475</x:v>
      </x:c>
      <x:c r="E2492" s="16" t="n">
        <x:v>324.7091367322</x:v>
      </x:c>
      <x:c r="F2492" s="23" t="n">
        <x:v>2</x:v>
      </x:c>
    </x:row>
    <x:row r="2493">
      <x:c r="A2493" s="15" t="n">
        <x:v>45108</x:v>
      </x:c>
      <x:c r="B2493" s="13" t="str">
        <x:v>Financials Non-Banks</x:v>
      </x:c>
      <x:c r="C2493" s="16" t="n">
        <x:v>27746.0626908634</x:v>
      </x:c>
      <x:c r="D2493" s="16" t="n">
        <x:v>30390.7164733114</x:v>
      </x:c>
      <x:c r="E2493" s="16" t="n">
        <x:v>2644.6537824481</x:v>
      </x:c>
      <x:c r="F2493" s="23" t="n">
        <x:v>5</x:v>
      </x:c>
    </x:row>
    <x:row r="2494">
      <x:c r="A2494" s="15" t="n">
        <x:v>45108</x:v>
      </x:c>
      <x:c r="B2494" s="13" t="str">
        <x:v>Food &amp; Beverages</x:v>
      </x:c>
      <x:c r="C2494" s="16" t="n">
        <x:v>16247.4225531803</x:v>
      </x:c>
      <x:c r="D2494" s="16" t="n">
        <x:v>16774.0888838032</x:v>
      </x:c>
      <x:c r="E2494" s="16" t="n">
        <x:v>526.6663306229</x:v>
      </x:c>
      <x:c r="F2494" s="23" t="n">
        <x:v>4</x:v>
      </x:c>
    </x:row>
    <x:row r="2495">
      <x:c r="A2495" s="15" t="n">
        <x:v>45108</x:v>
      </x:c>
      <x:c r="B2495" s="13" t="str">
        <x:v>Health Care</x:v>
      </x:c>
      <x:c r="C2495" s="16" t="n">
        <x:v>5334.9670127432</x:v>
      </x:c>
      <x:c r="D2495" s="16" t="n">
        <x:v>5965.7543541639</x:v>
      </x:c>
      <x:c r="E2495" s="16" t="n">
        <x:v>630.7873414208</x:v>
      </x:c>
      <x:c r="F2495" s="23" t="n">
        <x:v>4</x:v>
      </x:c>
    </x:row>
    <x:row r="2496">
      <x:c r="A2496" s="15" t="n">
        <x:v>45108</x:v>
      </x:c>
      <x:c r="B2496" s="13" t="str">
        <x:v>Homebuilders</x:v>
      </x:c>
      <x:c r="C2496" s="16" t="n">
        <x:v>1757.5379720219</x:v>
      </x:c>
      <x:c r="D2496" s="16" t="n">
        <x:v>1873.5208878689</x:v>
      </x:c>
      <x:c r="E2496" s="16" t="n">
        <x:v>115.982915847</x:v>
      </x:c>
      <x:c r="F2496" s="23" t="n">
        <x:v>3</x:v>
      </x:c>
    </x:row>
    <x:row r="2497">
      <x:c r="A2497" s="15" t="n">
        <x:v>45108</x:v>
      </x:c>
      <x:c r="B2497" s="13" t="str">
        <x:v>Income Properties</x:v>
      </x:c>
      <x:c r="C2497" s="16" t="n">
        <x:v>2016.9876314754</x:v>
      </x:c>
      <x:c r="D2497" s="16" t="n">
        <x:v>2610.0140634754</x:v>
      </x:c>
      <x:c r="E2497" s="16" t="n">
        <x:v>593.026432</x:v>
      </x:c>
      <x:c r="F2497" s="23" t="n">
        <x:v>3</x:v>
      </x:c>
    </x:row>
    <x:row r="2498">
      <x:c r="A2498" s="15" t="n">
        <x:v>45108</x:v>
      </x:c>
      <x:c r="B2498" s="13" t="str">
        <x:v>Metals &amp; Mining</x:v>
      </x:c>
      <x:c r="C2498" s="16" t="n">
        <x:v>76498.1534052021</x:v>
      </x:c>
      <x:c r="D2498" s="16" t="n">
        <x:v>63516.6828044591</x:v>
      </x:c>
      <x:c r="E2498" s="16" t="n">
        <x:v>-12981.4706007431</x:v>
      </x:c>
      <x:c r="F2498" s="23" t="n">
        <x:v>7</x:v>
      </x:c>
    </x:row>
    <x:row r="2499">
      <x:c r="A2499" s="15" t="n">
        <x:v>45108</x:v>
      </x:c>
      <x:c r="B2499" s="13" t="str">
        <x:v>Oil, Gas &amp; Petrochemicals</x:v>
      </x:c>
      <x:c r="C2499" s="16" t="n">
        <x:v>118440.9297919997</x:v>
      </x:c>
      <x:c r="D2499" s="16" t="n">
        <x:v>113182.9305589507</x:v>
      </x:c>
      <x:c r="E2499" s="16" t="n">
        <x:v>-5257.999233049</x:v>
      </x:c>
      <x:c r="F2499" s="23" t="n">
        <x:v>7</x:v>
      </x:c>
    </x:row>
    <x:row r="2500">
      <x:c r="A2500" s="15" t="n">
        <x:v>45108</x:v>
      </x:c>
      <x:c r="B2500" s="13" t="str">
        <x:v>Pulp &amp; Paper</x:v>
      </x:c>
      <x:c r="C2500" s="16" t="n">
        <x:v>10087.7037954973</x:v>
      </x:c>
      <x:c r="D2500" s="16" t="n">
        <x:v>10012.7066352787</x:v>
      </x:c>
      <x:c r="E2500" s="16" t="n">
        <x:v>-74.9971602186</x:v>
      </x:c>
      <x:c r="F2500" s="23" t="n">
        <x:v>3</x:v>
      </x:c>
    </x:row>
    <x:row r="2501">
      <x:c r="A2501" s="15" t="n">
        <x:v>45108</x:v>
      </x:c>
      <x:c r="B2501" s="13" t="str">
        <x:v>Retail</x:v>
      </x:c>
      <x:c r="C2501" s="16" t="n">
        <x:v>8336.8453508306</x:v>
      </x:c>
      <x:c r="D2501" s="16" t="n">
        <x:v>7588.7672398689</x:v>
      </x:c>
      <x:c r="E2501" s="16" t="n">
        <x:v>-748.0781109617</x:v>
      </x:c>
      <x:c r="F2501" s="23" t="n">
        <x:v>13</x:v>
      </x:c>
    </x:row>
    <x:row r="2502">
      <x:c r="A2502" s="15" t="n">
        <x:v>45108</x:v>
      </x:c>
      <x:c r="B2502" s="13" t="str">
        <x:v>Sanitation</x:v>
      </x:c>
      <x:c r="C2502" s="16" t="n">
        <x:v>3631.313821377</x:v>
      </x:c>
      <x:c r="D2502" s="16" t="n">
        <x:v>3955.5609243279</x:v>
      </x:c>
      <x:c r="E2502" s="16" t="n">
        <x:v>324.2471029508</x:v>
      </x:c>
      <x:c r="F2502" s="23" t="n">
        <x:v>1</x:v>
      </x:c>
    </x:row>
    <x:row r="2503">
      <x:c r="A2503" s="15" t="n">
        <x:v>45108</x:v>
      </x:c>
      <x:c r="B2503" s="13" t="str">
        <x:v>TMT</x:v>
      </x:c>
      <x:c r="C2503" s="16" t="n">
        <x:v>3132.3028464044</x:v>
      </x:c>
      <x:c r="D2503" s="16" t="n">
        <x:v>3386.8102619672</x:v>
      </x:c>
      <x:c r="E2503" s="16" t="n">
        <x:v>254.5074155628</x:v>
      </x:c>
      <x:c r="F2503" s="23" t="n">
        <x:v>3</x:v>
      </x:c>
    </x:row>
    <x:row r="2504">
      <x:c r="A2504" s="15" t="n">
        <x:v>45108</x:v>
      </x:c>
      <x:c r="B2504" s="13" t="str">
        <x:v>Transportation</x:v>
      </x:c>
      <x:c r="C2504" s="16" t="n">
        <x:v>5744.7674628634</x:v>
      </x:c>
      <x:c r="D2504" s="16" t="n">
        <x:v>7110.5038903607</x:v>
      </x:c>
      <x:c r="E2504" s="16" t="n">
        <x:v>1365.7364274973</x:v>
      </x:c>
      <x:c r="F2504" s="23" t="n">
        <x:v>5</x:v>
      </x:c>
    </x:row>
    <x:row r="2505">
      <x:c r="A2505" s="15" t="n">
        <x:v>45108</x:v>
      </x:c>
      <x:c r="B2505" s="13" t="str">
        <x:v>Utilities &amp; Energy</x:v>
      </x:c>
      <x:c r="C2505" s="16" t="n">
        <x:v>36204.4402650929</x:v>
      </x:c>
      <x:c r="D2505" s="16" t="n">
        <x:v>36221.0566389508</x:v>
      </x:c>
      <x:c r="E2505" s="16" t="n">
        <x:v>16.6163738579</x:v>
      </x:c>
      <x:c r="F2505" s="23" t="n">
        <x:v>10</x:v>
      </x:c>
    </x:row>
    <x:row r="2506">
      <x:c r="A2506" s="15" t="n">
        <x:v>45139</x:v>
      </x:c>
      <x:c r="B2506" s="13" t="str">
        <x:v>Agribusiness</x:v>
      </x:c>
      <x:c r="C2506" s="16" t="n">
        <x:v>6382.1060110679</x:v>
      </x:c>
      <x:c r="D2506" s="16" t="n">
        <x:v>6217.3135662758</x:v>
      </x:c>
      <x:c r="E2506" s="16" t="n">
        <x:v>-164.7924447921</x:v>
      </x:c>
      <x:c r="F2506" s="23" t="n">
        <x:v>3</x:v>
      </x:c>
    </x:row>
    <x:row r="2507">
      <x:c r="A2507" s="15" t="n">
        <x:v>45139</x:v>
      </x:c>
      <x:c r="B2507" s="13" t="str">
        <x:v>Banks</x:v>
      </x:c>
      <x:c r="C2507" s="16" t="n">
        <x:v>140138.4255734208</x:v>
      </x:c>
      <x:c r="D2507" s="16" t="n">
        <x:v>143071.3330346667</x:v>
      </x:c>
      <x:c r="E2507" s="16" t="n">
        <x:v>2932.907461246</x:v>
      </x:c>
      <x:c r="F2507" s="23" t="n">
        <x:v>6</x:v>
      </x:c>
    </x:row>
    <x:row r="2508">
      <x:c r="A2508" s="15" t="n">
        <x:v>45139</x:v>
      </x:c>
      <x:c r="B2508" s="13" t="str">
        <x:v>Capital Goods</x:v>
      </x:c>
      <x:c r="C2508" s="16" t="n">
        <x:v>6336.3498065137</x:v>
      </x:c>
      <x:c r="D2508" s="16" t="n">
        <x:v>6524.157952</x:v>
      </x:c>
      <x:c r="E2508" s="16" t="n">
        <x:v>187.8081454863</x:v>
      </x:c>
      <x:c r="F2508" s="23" t="n">
        <x:v>2</x:v>
      </x:c>
    </x:row>
    <x:row r="2509">
      <x:c r="A2509" s="15" t="n">
        <x:v>45139</x:v>
      </x:c>
      <x:c r="B2509" s="13" t="str">
        <x:v>Education</x:v>
      </x:c>
      <x:c r="C2509" s="16" t="n">
        <x:v>334.3293288306</x:v>
      </x:c>
      <x:c r="D2509" s="16" t="n">
        <x:v>679.431344</x:v>
      </x:c>
      <x:c r="E2509" s="16" t="n">
        <x:v>345.1020151694</x:v>
      </x:c>
      <x:c r="F2509" s="23" t="n">
        <x:v>2</x:v>
      </x:c>
    </x:row>
    <x:row r="2510">
      <x:c r="A2510" s="15" t="n">
        <x:v>45139</x:v>
      </x:c>
      <x:c r="B2510" s="13" t="str">
        <x:v>Financials Non-Banks</x:v>
      </x:c>
      <x:c r="C2510" s="16" t="n">
        <x:v>29209.8815811366</x:v>
      </x:c>
      <x:c r="D2510" s="16" t="n">
        <x:v>30531.6957306666</x:v>
      </x:c>
      <x:c r="E2510" s="16" t="n">
        <x:v>1321.81414953</x:v>
      </x:c>
      <x:c r="F2510" s="23" t="n">
        <x:v>6</x:v>
      </x:c>
    </x:row>
    <x:row r="2511">
      <x:c r="A2511" s="15" t="n">
        <x:v>45139</x:v>
      </x:c>
      <x:c r="B2511" s="13" t="str">
        <x:v>Food &amp; Beverages</x:v>
      </x:c>
      <x:c r="C2511" s="16" t="n">
        <x:v>16766.9371897705</x:v>
      </x:c>
      <x:c r="D2511" s="16" t="n">
        <x:v>16182.7556586667</x:v>
      </x:c>
      <x:c r="E2511" s="16" t="n">
        <x:v>-584.1815311038</x:v>
      </x:c>
      <x:c r="F2511" s="23" t="n">
        <x:v>4</x:v>
      </x:c>
    </x:row>
    <x:row r="2512">
      <x:c r="A2512" s="15" t="n">
        <x:v>45139</x:v>
      </x:c>
      <x:c r="B2512" s="13" t="str">
        <x:v>Health Care</x:v>
      </x:c>
      <x:c r="C2512" s="16" t="n">
        <x:v>5429.7321630601</x:v>
      </x:c>
      <x:c r="D2512" s="16" t="n">
        <x:v>6355.607416</x:v>
      </x:c>
      <x:c r="E2512" s="16" t="n">
        <x:v>925.8752529399</x:v>
      </x:c>
      <x:c r="F2512" s="23" t="n">
        <x:v>4</x:v>
      </x:c>
    </x:row>
    <x:row r="2513">
      <x:c r="A2513" s="15" t="n">
        <x:v>45139</x:v>
      </x:c>
      <x:c r="B2513" s="13" t="str">
        <x:v>Homebuilders</x:v>
      </x:c>
      <x:c r="C2513" s="16" t="n">
        <x:v>1635.5053704044</x:v>
      </x:c>
      <x:c r="D2513" s="16" t="n">
        <x:v>1942.672704</x:v>
      </x:c>
      <x:c r="E2513" s="16" t="n">
        <x:v>307.1673335956</x:v>
      </x:c>
      <x:c r="F2513" s="23" t="n">
        <x:v>3</x:v>
      </x:c>
    </x:row>
    <x:row r="2514">
      <x:c r="A2514" s="15" t="n">
        <x:v>45139</x:v>
      </x:c>
      <x:c r="B2514" s="13" t="str">
        <x:v>Income Properties</x:v>
      </x:c>
      <x:c r="C2514" s="16" t="n">
        <x:v>2519.7402129836</x:v>
      </x:c>
      <x:c r="D2514" s="16" t="n">
        <x:v>2575.65168</x:v>
      </x:c>
      <x:c r="E2514" s="16" t="n">
        <x:v>55.9114670164</x:v>
      </x:c>
      <x:c r="F2514" s="23" t="n">
        <x:v>3</x:v>
      </x:c>
    </x:row>
    <x:row r="2515">
      <x:c r="A2515" s="15" t="n">
        <x:v>45139</x:v>
      </x:c>
      <x:c r="B2515" s="13" t="str">
        <x:v>Metals &amp; Mining</x:v>
      </x:c>
      <x:c r="C2515" s="16" t="n">
        <x:v>71689.1273141858</x:v>
      </x:c>
      <x:c r="D2515" s="16" t="n">
        <x:v>60530.147648</x:v>
      </x:c>
      <x:c r="E2515" s="16" t="n">
        <x:v>-11158.9796661858</x:v>
      </x:c>
      <x:c r="F2515" s="23" t="n">
        <x:v>7</x:v>
      </x:c>
    </x:row>
    <x:row r="2516">
      <x:c r="A2516" s="15" t="n">
        <x:v>45139</x:v>
      </x:c>
      <x:c r="B2516" s="13" t="str">
        <x:v>Oil, Gas &amp; Petrochemicals</x:v>
      </x:c>
      <x:c r="C2516" s="16" t="n">
        <x:v>118460.4831604807</x:v>
      </x:c>
      <x:c r="D2516" s="16" t="n">
        <x:v>117696.856170667</x:v>
      </x:c>
      <x:c r="E2516" s="16" t="n">
        <x:v>-763.6269898137</x:v>
      </x:c>
      <x:c r="F2516" s="23" t="n">
        <x:v>7</x:v>
      </x:c>
    </x:row>
    <x:row r="2517">
      <x:c r="A2517" s="15" t="n">
        <x:v>45139</x:v>
      </x:c>
      <x:c r="B2517" s="13" t="str">
        <x:v>Pulp &amp; Paper</x:v>
      </x:c>
      <x:c r="C2517" s="16" t="n">
        <x:v>9229.2733450492</x:v>
      </x:c>
      <x:c r="D2517" s="16" t="n">
        <x:v>9667.2484906667</x:v>
      </x:c>
      <x:c r="E2517" s="16" t="n">
        <x:v>437.9751456175</x:v>
      </x:c>
      <x:c r="F2517" s="23" t="n">
        <x:v>3</x:v>
      </x:c>
    </x:row>
    <x:row r="2518">
      <x:c r="A2518" s="15" t="n">
        <x:v>45139</x:v>
      </x:c>
      <x:c r="B2518" s="13" t="str">
        <x:v>Retail</x:v>
      </x:c>
      <x:c r="C2518" s="16" t="n">
        <x:v>7627.2612877814</x:v>
      </x:c>
      <x:c r="D2518" s="16" t="n">
        <x:v>7863.0582773333</x:v>
      </x:c>
      <x:c r="E2518" s="16" t="n">
        <x:v>235.7969895519</x:v>
      </x:c>
      <x:c r="F2518" s="23" t="n">
        <x:v>13</x:v>
      </x:c>
    </x:row>
    <x:row r="2519">
      <x:c r="A2519" s="15" t="n">
        <x:v>45139</x:v>
      </x:c>
      <x:c r="B2519" s="13" t="str">
        <x:v>Sanitation</x:v>
      </x:c>
      <x:c r="C2519" s="16" t="n">
        <x:v>3782.4565787978</x:v>
      </x:c>
      <x:c r="D2519" s="16" t="n">
        <x:v>4109.7632426667</x:v>
      </x:c>
      <x:c r="E2519" s="16" t="n">
        <x:v>327.3066638689</x:v>
      </x:c>
      <x:c r="F2519" s="23" t="n">
        <x:v>1</x:v>
      </x:c>
    </x:row>
    <x:row r="2520">
      <x:c r="A2520" s="15" t="n">
        <x:v>45139</x:v>
      </x:c>
      <x:c r="B2520" s="13" t="str">
        <x:v>TMT</x:v>
      </x:c>
      <x:c r="C2520" s="16" t="n">
        <x:v>3190.2634129399</x:v>
      </x:c>
      <x:c r="D2520" s="16" t="n">
        <x:v>3579.6619146667</x:v>
      </x:c>
      <x:c r="E2520" s="16" t="n">
        <x:v>389.3985017268</x:v>
      </x:c>
      <x:c r="F2520" s="23" t="n">
        <x:v>3</x:v>
      </x:c>
    </x:row>
    <x:row r="2521">
      <x:c r="A2521" s="15" t="n">
        <x:v>45139</x:v>
      </x:c>
      <x:c r="B2521" s="13" t="str">
        <x:v>Transportation</x:v>
      </x:c>
      <x:c r="C2521" s="16" t="n">
        <x:v>6231.3732596284</x:v>
      </x:c>
      <x:c r="D2521" s="16" t="n">
        <x:v>7039.7929173333</x:v>
      </x:c>
      <x:c r="E2521" s="16" t="n">
        <x:v>808.4196577049</x:v>
      </x:c>
      <x:c r="F2521" s="23" t="n">
        <x:v>5</x:v>
      </x:c>
    </x:row>
    <x:row r="2522">
      <x:c r="A2522" s="15" t="n">
        <x:v>45139</x:v>
      </x:c>
      <x:c r="B2522" s="13" t="str">
        <x:v>Utilities &amp; Energy</x:v>
      </x:c>
      <x:c r="C2522" s="16" t="n">
        <x:v>39249.2533417268</x:v>
      </x:c>
      <x:c r="D2522" s="16" t="n">
        <x:v>37579.982976</x:v>
      </x:c>
      <x:c r="E2522" s="16" t="n">
        <x:v>-1669.2703657268</x:v>
      </x:c>
      <x:c r="F2522" s="23" t="n">
        <x:v>10</x:v>
      </x:c>
    </x:row>
    <x:row r="2523">
      <x:c r="A2523" s="15" t="n">
        <x:v>45170</x:v>
      </x:c>
      <x:c r="B2523" s="13" t="str">
        <x:v>Agribusiness</x:v>
      </x:c>
      <x:c r="C2523" s="16" t="n">
        <x:v>6472.6619414747</x:v>
      </x:c>
      <x:c r="D2523" s="16" t="n">
        <x:v>6058.5538914882</x:v>
      </x:c>
      <x:c r="E2523" s="16" t="n">
        <x:v>-414.1080499865</x:v>
      </x:c>
      <x:c r="F2523" s="23" t="n">
        <x:v>3</x:v>
      </x:c>
    </x:row>
    <x:row r="2524">
      <x:c r="A2524" s="15" t="n">
        <x:v>45170</x:v>
      </x:c>
      <x:c r="B2524" s="13" t="str">
        <x:v>Banks</x:v>
      </x:c>
      <x:c r="C2524" s="16" t="n">
        <x:v>142682.7168930274</x:v>
      </x:c>
      <x:c r="D2524" s="16" t="n">
        <x:v>145120.8037392786</x:v>
      </x:c>
      <x:c r="E2524" s="16" t="n">
        <x:v>2438.0868462512</x:v>
      </x:c>
      <x:c r="F2524" s="23" t="n">
        <x:v>6</x:v>
      </x:c>
    </x:row>
    <x:row r="2525">
      <x:c r="A2525" s="15" t="n">
        <x:v>45170</x:v>
      </x:c>
      <x:c r="B2525" s="13" t="str">
        <x:v>Capital Goods</x:v>
      </x:c>
      <x:c r="C2525" s="16" t="n">
        <x:v>6422.8066881749</x:v>
      </x:c>
      <x:c r="D2525" s="16" t="n">
        <x:v>6408.536418623</x:v>
      </x:c>
      <x:c r="E2525" s="16" t="n">
        <x:v>-14.2702695519</x:v>
      </x:c>
      <x:c r="F2525" s="23" t="n">
        <x:v>2</x:v>
      </x:c>
    </x:row>
    <x:row r="2526">
      <x:c r="A2526" s="15" t="n">
        <x:v>45170</x:v>
      </x:c>
      <x:c r="B2526" s="13" t="str">
        <x:v>Education</x:v>
      </x:c>
      <x:c r="C2526" s="16" t="n">
        <x:v>477.5764815738</x:v>
      </x:c>
      <x:c r="D2526" s="16" t="n">
        <x:v>781.2644120656</x:v>
      </x:c>
      <x:c r="E2526" s="16" t="n">
        <x:v>303.6879304918</x:v>
      </x:c>
      <x:c r="F2526" s="23" t="n">
        <x:v>2</x:v>
      </x:c>
    </x:row>
    <x:row r="2527">
      <x:c r="A2527" s="15" t="n">
        <x:v>45170</x:v>
      </x:c>
      <x:c r="B2527" s="13" t="str">
        <x:v>Financials Non-Banks</x:v>
      </x:c>
      <x:c r="C2527" s="16" t="n">
        <x:v>29623.2116740546</x:v>
      </x:c>
      <x:c r="D2527" s="16" t="n">
        <x:v>30221.0744949508</x:v>
      </x:c>
      <x:c r="E2527" s="16" t="n">
        <x:v>597.8628208962</x:v>
      </x:c>
      <x:c r="F2527" s="23" t="n">
        <x:v>5</x:v>
      </x:c>
    </x:row>
    <x:row r="2528">
      <x:c r="A2528" s="15" t="n">
        <x:v>45170</x:v>
      </x:c>
      <x:c r="B2528" s="13" t="str">
        <x:v>Food &amp; Beverages</x:v>
      </x:c>
      <x:c r="C2528" s="16" t="n">
        <x:v>16682.2054903606</x:v>
      </x:c>
      <x:c r="D2528" s="16" t="n">
        <x:v>16122.3766628196</x:v>
      </x:c>
      <x:c r="E2528" s="16" t="n">
        <x:v>-559.828827541</x:v>
      </x:c>
      <x:c r="F2528" s="23" t="n">
        <x:v>4</x:v>
      </x:c>
    </x:row>
    <x:row r="2529">
      <x:c r="A2529" s="15" t="n">
        <x:v>45170</x:v>
      </x:c>
      <x:c r="B2529" s="13" t="str">
        <x:v>Health Care</x:v>
      </x:c>
      <x:c r="C2529" s="16" t="n">
        <x:v>5578.4830447213</x:v>
      </x:c>
      <x:c r="D2529" s="16" t="n">
        <x:v>6651.1707095082</x:v>
      </x:c>
      <x:c r="E2529" s="16" t="n">
        <x:v>1072.6876647869</x:v>
      </x:c>
      <x:c r="F2529" s="23" t="n">
        <x:v>4</x:v>
      </x:c>
    </x:row>
    <x:row r="2530">
      <x:c r="A2530" s="15" t="n">
        <x:v>45170</x:v>
      </x:c>
      <x:c r="B2530" s="13" t="str">
        <x:v>Homebuilders</x:v>
      </x:c>
      <x:c r="C2530" s="16" t="n">
        <x:v>1770.2989450492</x:v>
      </x:c>
      <x:c r="D2530" s="16" t="n">
        <x:v>2071.897389377</x:v>
      </x:c>
      <x:c r="E2530" s="16" t="n">
        <x:v>301.5984443279</x:v>
      </x:c>
      <x:c r="F2530" s="23" t="n">
        <x:v>3</x:v>
      </x:c>
    </x:row>
    <x:row r="2531">
      <x:c r="A2531" s="15" t="n">
        <x:v>45170</x:v>
      </x:c>
      <x:c r="B2531" s="13" t="str">
        <x:v>Income Properties</x:v>
      </x:c>
      <x:c r="C2531" s="16" t="n">
        <x:v>2515.2266180546</x:v>
      </x:c>
      <x:c r="D2531" s="16" t="n">
        <x:v>2488.9809725902</x:v>
      </x:c>
      <x:c r="E2531" s="16" t="n">
        <x:v>-26.2456454645</x:v>
      </x:c>
      <x:c r="F2531" s="23" t="n">
        <x:v>3</x:v>
      </x:c>
    </x:row>
    <x:row r="2532">
      <x:c r="A2532" s="15" t="n">
        <x:v>45170</x:v>
      </x:c>
      <x:c r="B2532" s="13" t="str">
        <x:v>Metals &amp; Mining</x:v>
      </x:c>
      <x:c r="C2532" s="16" t="n">
        <x:v>66990.3745552787</x:v>
      </x:c>
      <x:c r="D2532" s="16" t="n">
        <x:v>60105.396753836</x:v>
      </x:c>
      <x:c r="E2532" s="16" t="n">
        <x:v>-6884.9778014426</x:v>
      </x:c>
      <x:c r="F2532" s="23" t="n">
        <x:v>7</x:v>
      </x:c>
    </x:row>
    <x:row r="2533">
      <x:c r="A2533" s="15" t="n">
        <x:v>45170</x:v>
      </x:c>
      <x:c r="B2533" s="13" t="str">
        <x:v>Oil, Gas &amp; Petrochemicals</x:v>
      </x:c>
      <x:c r="C2533" s="16" t="n">
        <x:v>113588.6637226665</x:v>
      </x:c>
      <x:c r="D2533" s="16" t="n">
        <x:v>117984.4198494431</x:v>
      </x:c>
      <x:c r="E2533" s="16" t="n">
        <x:v>4395.7561267765</x:v>
      </x:c>
      <x:c r="F2533" s="23" t="n">
        <x:v>7</x:v>
      </x:c>
    </x:row>
    <x:row r="2534">
      <x:c r="A2534" s="15" t="n">
        <x:v>45170</x:v>
      </x:c>
      <x:c r="B2534" s="13" t="str">
        <x:v>Pulp &amp; Paper</x:v>
      </x:c>
      <x:c r="C2534" s="16" t="n">
        <x:v>8920.405291541</x:v>
      </x:c>
      <x:c r="D2534" s="16" t="n">
        <x:v>9516.8853683934</x:v>
      </x:c>
      <x:c r="E2534" s="16" t="n">
        <x:v>596.4800768525</x:v>
      </x:c>
      <x:c r="F2534" s="23" t="n">
        <x:v>3</x:v>
      </x:c>
    </x:row>
    <x:row r="2535">
      <x:c r="A2535" s="15" t="n">
        <x:v>45170</x:v>
      </x:c>
      <x:c r="B2535" s="13" t="str">
        <x:v>Retail</x:v>
      </x:c>
      <x:c r="C2535" s="16" t="n">
        <x:v>7969.1764495301</x:v>
      </x:c>
      <x:c r="D2535" s="16" t="n">
        <x:v>7463.9092138033</x:v>
      </x:c>
      <x:c r="E2535" s="16" t="n">
        <x:v>-505.2672357268</x:v>
      </x:c>
      <x:c r="F2535" s="23" t="n">
        <x:v>13</x:v>
      </x:c>
    </x:row>
    <x:row r="2536">
      <x:c r="A2536" s="15" t="n">
        <x:v>45170</x:v>
      </x:c>
      <x:c r="B2536" s="13" t="str">
        <x:v>Sanitation</x:v>
      </x:c>
      <x:c r="C2536" s="16" t="n">
        <x:v>3893.7572301639</x:v>
      </x:c>
      <x:c r="D2536" s="16" t="n">
        <x:v>4117.7234318688</x:v>
      </x:c>
      <x:c r="E2536" s="16" t="n">
        <x:v>223.9662017049</x:v>
      </x:c>
      <x:c r="F2536" s="23" t="n">
        <x:v>1</x:v>
      </x:c>
    </x:row>
    <x:row r="2537">
      <x:c r="A2537" s="15" t="n">
        <x:v>45170</x:v>
      </x:c>
      <x:c r="B2537" s="13" t="str">
        <x:v>TMT</x:v>
      </x:c>
      <x:c r="C2537" s="16" t="n">
        <x:v>3259.5041997814</x:v>
      </x:c>
      <x:c r="D2537" s="16" t="n">
        <x:v>3744.2127997377</x:v>
      </x:c>
      <x:c r="E2537" s="16" t="n">
        <x:v>484.7085999563</x:v>
      </x:c>
      <x:c r="F2537" s="23" t="n">
        <x:v>3</x:v>
      </x:c>
    </x:row>
    <x:row r="2538">
      <x:c r="A2538" s="15" t="n">
        <x:v>45170</x:v>
      </x:c>
      <x:c r="B2538" s="13" t="str">
        <x:v>Transportation</x:v>
      </x:c>
      <x:c r="C2538" s="16" t="n">
        <x:v>7170.1873605246</x:v>
      </x:c>
      <x:c r="D2538" s="16" t="n">
        <x:v>7480.1431522623</x:v>
      </x:c>
      <x:c r="E2538" s="16" t="n">
        <x:v>309.9557917377</x:v>
      </x:c>
      <x:c r="F2538" s="23" t="n">
        <x:v>5</x:v>
      </x:c>
    </x:row>
    <x:row r="2539">
      <x:c r="A2539" s="15" t="n">
        <x:v>45170</x:v>
      </x:c>
      <x:c r="B2539" s="13" t="str">
        <x:v>Utilities &amp; Energy</x:v>
      </x:c>
      <x:c r="C2539" s="16" t="n">
        <x:v>35410.2262571366</x:v>
      </x:c>
      <x:c r="D2539" s="16" t="n">
        <x:v>40563.5320236066</x:v>
      </x:c>
      <x:c r="E2539" s="16" t="n">
        <x:v>5153.30576647</x:v>
      </x:c>
      <x:c r="F2539" s="23" t="n">
        <x:v>10</x:v>
      </x:c>
    </x:row>
    <x:row r="2540">
      <x:c r="A2540" s="15" t="n">
        <x:v>45200</x:v>
      </x:c>
      <x:c r="B2540" s="13" t="str">
        <x:v>Agribusiness</x:v>
      </x:c>
      <x:c r="C2540" s="16" t="n">
        <x:v>6464.9825952712</x:v>
      </x:c>
      <x:c r="D2540" s="16" t="n">
        <x:v>6197.3157184877</x:v>
      </x:c>
      <x:c r="E2540" s="16" t="n">
        <x:v>-267.6668767835</x:v>
      </x:c>
      <x:c r="F2540" s="23" t="n">
        <x:v>3</x:v>
      </x:c>
    </x:row>
    <x:row r="2541">
      <x:c r="A2541" s="15" t="n">
        <x:v>45200</x:v>
      </x:c>
      <x:c r="B2541" s="13" t="str">
        <x:v>Banks</x:v>
      </x:c>
      <x:c r="C2541" s="16" t="n">
        <x:v>143868.952231869</x:v>
      </x:c>
      <x:c r="D2541" s="16" t="n">
        <x:v>147179.2508586667</x:v>
      </x:c>
      <x:c r="E2541" s="16" t="n">
        <x:v>3310.2986267977</x:v>
      </x:c>
      <x:c r="F2541" s="23" t="n">
        <x:v>6</x:v>
      </x:c>
    </x:row>
    <x:row r="2542">
      <x:c r="A2542" s="15" t="n">
        <x:v>45200</x:v>
      </x:c>
      <x:c r="B2542" s="13" t="str">
        <x:v>Capital Goods</x:v>
      </x:c>
      <x:c r="C2542" s="16" t="n">
        <x:v>6449.8195745574</x:v>
      </x:c>
      <x:c r="D2542" s="16" t="n">
        <x:v>6375.701408</x:v>
      </x:c>
      <x:c r="E2542" s="16" t="n">
        <x:v>-74.1181665574</x:v>
      </x:c>
      <x:c r="F2542" s="23" t="n">
        <x:v>2</x:v>
      </x:c>
    </x:row>
    <x:row r="2543">
      <x:c r="A2543" s="15" t="n">
        <x:v>45200</x:v>
      </x:c>
      <x:c r="B2543" s="13" t="str">
        <x:v>Education</x:v>
      </x:c>
      <x:c r="C2543" s="16" t="n">
        <x:v>552.0425931475</x:v>
      </x:c>
      <x:c r="D2543" s="16" t="n">
        <x:v>880.2043413333</x:v>
      </x:c>
      <x:c r="E2543" s="16" t="n">
        <x:v>328.1617481858</x:v>
      </x:c>
      <x:c r="F2543" s="23" t="n">
        <x:v>2</x:v>
      </x:c>
    </x:row>
    <x:row r="2544">
      <x:c r="A2544" s="15" t="n">
        <x:v>45200</x:v>
      </x:c>
      <x:c r="B2544" s="13" t="str">
        <x:v>Financials Non-Banks</x:v>
      </x:c>
      <x:c r="C2544" s="16" t="n">
        <x:v>30635.9522929836</x:v>
      </x:c>
      <x:c r="D2544" s="16" t="n">
        <x:v>30444.7018133333</x:v>
      </x:c>
      <x:c r="E2544" s="16" t="n">
        <x:v>-191.2504796502</x:v>
      </x:c>
      <x:c r="F2544" s="23" t="n">
        <x:v>5</x:v>
      </x:c>
    </x:row>
    <x:row r="2545">
      <x:c r="A2545" s="15" t="n">
        <x:v>45200</x:v>
      </x:c>
      <x:c r="B2545" s="13" t="str">
        <x:v>Food &amp; Beverages</x:v>
      </x:c>
      <x:c r="C2545" s="16" t="n">
        <x:v>16774.0888838032</x:v>
      </x:c>
      <x:c r="D2545" s="16" t="n">
        <x:v>16667.903184</x:v>
      </x:c>
      <x:c r="E2545" s="16" t="n">
        <x:v>-106.1856998032</x:v>
      </x:c>
      <x:c r="F2545" s="23" t="n">
        <x:v>4</x:v>
      </x:c>
    </x:row>
    <x:row r="2546">
      <x:c r="A2546" s="15" t="n">
        <x:v>45200</x:v>
      </x:c>
      <x:c r="B2546" s="13" t="str">
        <x:v>Health Care</x:v>
      </x:c>
      <x:c r="C2546" s="16" t="n">
        <x:v>5965.7543541639</x:v>
      </x:c>
      <x:c r="D2546" s="16" t="n">
        <x:v>6781.0866613333</x:v>
      </x:c>
      <x:c r="E2546" s="16" t="n">
        <x:v>815.3323071694</x:v>
      </x:c>
      <x:c r="F2546" s="23" t="n">
        <x:v>4</x:v>
      </x:c>
    </x:row>
    <x:row r="2547">
      <x:c r="A2547" s="15" t="n">
        <x:v>45200</x:v>
      </x:c>
      <x:c r="B2547" s="13" t="str">
        <x:v>Homebuilders</x:v>
      </x:c>
      <x:c r="C2547" s="16" t="n">
        <x:v>1873.5208878689</x:v>
      </x:c>
      <x:c r="D2547" s="16" t="n">
        <x:v>2048.7770986667</x:v>
      </x:c>
      <x:c r="E2547" s="16" t="n">
        <x:v>175.2562107978</x:v>
      </x:c>
      <x:c r="F2547" s="23" t="n">
        <x:v>3</x:v>
      </x:c>
    </x:row>
    <x:row r="2548">
      <x:c r="A2548" s="15" t="n">
        <x:v>45200</x:v>
      </x:c>
      <x:c r="B2548" s="13" t="str">
        <x:v>Income Properties</x:v>
      </x:c>
      <x:c r="C2548" s="16" t="n">
        <x:v>2610.0140634754</x:v>
      </x:c>
      <x:c r="D2548" s="16" t="n">
        <x:v>2537.7957866667</x:v>
      </x:c>
      <x:c r="E2548" s="16" t="n">
        <x:v>-72.2182768087</x:v>
      </x:c>
      <x:c r="F2548" s="23" t="n">
        <x:v>3</x:v>
      </x:c>
    </x:row>
    <x:row r="2549">
      <x:c r="A2549" s="15" t="n">
        <x:v>45200</x:v>
      </x:c>
      <x:c r="B2549" s="13" t="str">
        <x:v>Metals &amp; Mining</x:v>
      </x:c>
      <x:c r="C2549" s="16" t="n">
        <x:v>63516.6828044591</x:v>
      </x:c>
      <x:c r="D2549" s="16" t="n">
        <x:v>62010.9323833333</x:v>
      </x:c>
      <x:c r="E2549" s="16" t="n">
        <x:v>-1505.7504211257</x:v>
      </x:c>
      <x:c r="F2549" s="23" t="n">
        <x:v>7</x:v>
      </x:c>
    </x:row>
    <x:row r="2550">
      <x:c r="A2550" s="15" t="n">
        <x:v>45200</x:v>
      </x:c>
      <x:c r="B2550" s="13" t="str">
        <x:v>Oil, Gas &amp; Petrochemicals</x:v>
      </x:c>
      <x:c r="C2550" s="16" t="n">
        <x:v>113182.9305589507</x:v>
      </x:c>
      <x:c r="D2550" s="16" t="n">
        <x:v>126927.2571306667</x:v>
      </x:c>
      <x:c r="E2550" s="16" t="n">
        <x:v>13744.326571716</x:v>
      </x:c>
      <x:c r="F2550" s="23" t="n">
        <x:v>7</x:v>
      </x:c>
    </x:row>
    <x:row r="2551">
      <x:c r="A2551" s="15" t="n">
        <x:v>45200</x:v>
      </x:c>
      <x:c r="B2551" s="13" t="str">
        <x:v>Pulp &amp; Paper</x:v>
      </x:c>
      <x:c r="C2551" s="16" t="n">
        <x:v>10012.7066352787</x:v>
      </x:c>
      <x:c r="D2551" s="16" t="n">
        <x:v>8079.054528</x:v>
      </x:c>
      <x:c r="E2551" s="16" t="n">
        <x:v>-1933.6521072787</x:v>
      </x:c>
      <x:c r="F2551" s="23" t="n">
        <x:v>3</x:v>
      </x:c>
    </x:row>
    <x:row r="2552">
      <x:c r="A2552" s="15" t="n">
        <x:v>45200</x:v>
      </x:c>
      <x:c r="B2552" s="13" t="str">
        <x:v>Retail</x:v>
      </x:c>
      <x:c r="C2552" s="16" t="n">
        <x:v>7588.7672398689</x:v>
      </x:c>
      <x:c r="D2552" s="16" t="n">
        <x:v>6500.2690126667</x:v>
      </x:c>
      <x:c r="E2552" s="16" t="n">
        <x:v>-1088.4982272022</x:v>
      </x:c>
      <x:c r="F2552" s="23" t="n">
        <x:v>13</x:v>
      </x:c>
    </x:row>
    <x:row r="2553">
      <x:c r="A2553" s="15" t="n">
        <x:v>45200</x:v>
      </x:c>
      <x:c r="B2553" s="13" t="str">
        <x:v>Sanitation</x:v>
      </x:c>
      <x:c r="C2553" s="16" t="n">
        <x:v>3955.5609243279</x:v>
      </x:c>
      <x:c r="D2553" s="16" t="n">
        <x:v>4256.208512</x:v>
      </x:c>
      <x:c r="E2553" s="16" t="n">
        <x:v>300.6475876721</x:v>
      </x:c>
      <x:c r="F2553" s="23" t="n">
        <x:v>1</x:v>
      </x:c>
    </x:row>
    <x:row r="2554">
      <x:c r="A2554" s="15" t="n">
        <x:v>45200</x:v>
      </x:c>
      <x:c r="B2554" s="13" t="str">
        <x:v>TMT</x:v>
      </x:c>
      <x:c r="C2554" s="16" t="n">
        <x:v>3386.8102619672</x:v>
      </x:c>
      <x:c r="D2554" s="16" t="n">
        <x:v>3891.551054</x:v>
      </x:c>
      <x:c r="E2554" s="16" t="n">
        <x:v>504.7407920328</x:v>
      </x:c>
      <x:c r="F2554" s="23" t="n">
        <x:v>3</x:v>
      </x:c>
    </x:row>
    <x:row r="2555">
      <x:c r="A2555" s="15" t="n">
        <x:v>45200</x:v>
      </x:c>
      <x:c r="B2555" s="13" t="str">
        <x:v>Transportation</x:v>
      </x:c>
      <x:c r="C2555" s="16" t="n">
        <x:v>7110.5038903607</x:v>
      </x:c>
      <x:c r="D2555" s="16" t="n">
        <x:v>7828.0065973333</x:v>
      </x:c>
      <x:c r="E2555" s="16" t="n">
        <x:v>717.5027069727</x:v>
      </x:c>
      <x:c r="F2555" s="23" t="n">
        <x:v>5</x:v>
      </x:c>
    </x:row>
    <x:row r="2556">
      <x:c r="A2556" s="15" t="n">
        <x:v>45200</x:v>
      </x:c>
      <x:c r="B2556" s="13" t="str">
        <x:v>Utilities &amp; Energy</x:v>
      </x:c>
      <x:c r="C2556" s="16" t="n">
        <x:v>36221.0566389508</x:v>
      </x:c>
      <x:c r="D2556" s="16" t="n">
        <x:v>41785.9927573333</x:v>
      </x:c>
      <x:c r="E2556" s="16" t="n">
        <x:v>5564.9361183825</x:v>
      </x:c>
      <x:c r="F2556" s="23" t="n">
        <x:v>10</x:v>
      </x:c>
    </x:row>
    <x:row r="2557">
      <x:c r="A2557" s="15" t="n">
        <x:v>45231</x:v>
      </x:c>
      <x:c r="B2557" s="13" t="str">
        <x:v>Agribusiness</x:v>
      </x:c>
      <x:c r="C2557" s="16" t="n">
        <x:v>6217.3135662758</x:v>
      </x:c>
      <x:c r="D2557" s="16" t="n">
        <x:v>6802.2529333992</x:v>
      </x:c>
      <x:c r="E2557" s="16" t="n">
        <x:v>584.9393671234</x:v>
      </x:c>
      <x:c r="F2557" s="23" t="n">
        <x:v>3</x:v>
      </x:c>
    </x:row>
    <x:row r="2558">
      <x:c r="A2558" s="15" t="n">
        <x:v>45231</x:v>
      </x:c>
      <x:c r="B2558" s="13" t="str">
        <x:v>Banks</x:v>
      </x:c>
      <x:c r="C2558" s="16" t="n">
        <x:v>143071.3330346667</x:v>
      </x:c>
      <x:c r="D2558" s="16" t="n">
        <x:v>147041.6012366338</x:v>
      </x:c>
      <x:c r="E2558" s="16" t="n">
        <x:v>3970.2682019671</x:v>
      </x:c>
      <x:c r="F2558" s="23" t="n">
        <x:v>6</x:v>
      </x:c>
    </x:row>
    <x:row r="2559">
      <x:c r="A2559" s="15" t="n">
        <x:v>45231</x:v>
      </x:c>
      <x:c r="B2559" s="13" t="str">
        <x:v>Capital Goods</x:v>
      </x:c>
      <x:c r="C2559" s="16" t="n">
        <x:v>6524.157952</x:v>
      </x:c>
      <x:c r="D2559" s="16" t="n">
        <x:v>6536.8023599563</x:v>
      </x:c>
      <x:c r="E2559" s="16" t="n">
        <x:v>12.6444079563</x:v>
      </x:c>
      <x:c r="F2559" s="23" t="n">
        <x:v>2</x:v>
      </x:c>
    </x:row>
    <x:row r="2560">
      <x:c r="A2560" s="15" t="n">
        <x:v>45231</x:v>
      </x:c>
      <x:c r="B2560" s="13" t="str">
        <x:v>Education</x:v>
      </x:c>
      <x:c r="C2560" s="16" t="n">
        <x:v>679.431344</x:v>
      </x:c>
      <x:c r="D2560" s="16" t="n">
        <x:v>933.2426212896</x:v>
      </x:c>
      <x:c r="E2560" s="16" t="n">
        <x:v>253.8112772896</x:v>
      </x:c>
      <x:c r="F2560" s="23" t="n">
        <x:v>2</x:v>
      </x:c>
    </x:row>
    <x:row r="2561">
      <x:c r="A2561" s="15" t="n">
        <x:v>45231</x:v>
      </x:c>
      <x:c r="B2561" s="13" t="str">
        <x:v>Financials Non-Banks</x:v>
      </x:c>
      <x:c r="C2561" s="16" t="n">
        <x:v>30509.6173973333</x:v>
      </x:c>
      <x:c r="D2561" s="16" t="n">
        <x:v>30385.325831694</x:v>
      </x:c>
      <x:c r="E2561" s="16" t="n">
        <x:v>-124.2915656393</x:v>
      </x:c>
      <x:c r="F2561" s="23" t="n">
        <x:v>5</x:v>
      </x:c>
    </x:row>
    <x:row r="2562">
      <x:c r="A2562" s="15" t="n">
        <x:v>45231</x:v>
      </x:c>
      <x:c r="B2562" s="13" t="str">
        <x:v>Food &amp; Beverages</x:v>
      </x:c>
      <x:c r="C2562" s="16" t="n">
        <x:v>16182.7556586667</x:v>
      </x:c>
      <x:c r="D2562" s="16" t="n">
        <x:v>16709.9125358688</x:v>
      </x:c>
      <x:c r="E2562" s="16" t="n">
        <x:v>527.1568772021</x:v>
      </x:c>
      <x:c r="F2562" s="23" t="n">
        <x:v>4</x:v>
      </x:c>
    </x:row>
    <x:row r="2563">
      <x:c r="A2563" s="15" t="n">
        <x:v>45231</x:v>
      </x:c>
      <x:c r="B2563" s="13" t="str">
        <x:v>Health Care</x:v>
      </x:c>
      <x:c r="C2563" s="16" t="n">
        <x:v>6355.607416</x:v>
      </x:c>
      <x:c r="D2563" s="16" t="n">
        <x:v>6980.0183175519</x:v>
      </x:c>
      <x:c r="E2563" s="16" t="n">
        <x:v>624.4109015519</x:v>
      </x:c>
      <x:c r="F2563" s="23" t="n">
        <x:v>4</x:v>
      </x:c>
    </x:row>
    <x:row r="2564">
      <x:c r="A2564" s="15" t="n">
        <x:v>45231</x:v>
      </x:c>
      <x:c r="B2564" s="13" t="str">
        <x:v>Homebuilders</x:v>
      </x:c>
      <x:c r="C2564" s="16" t="n">
        <x:v>1942.672704</x:v>
      </x:c>
      <x:c r="D2564" s="16" t="n">
        <x:v>2062.3897465792</x:v>
      </x:c>
      <x:c r="E2564" s="16" t="n">
        <x:v>119.7170425792</x:v>
      </x:c>
      <x:c r="F2564" s="23" t="n">
        <x:v>3</x:v>
      </x:c>
    </x:row>
    <x:row r="2565">
      <x:c r="A2565" s="15" t="n">
        <x:v>45231</x:v>
      </x:c>
      <x:c r="B2565" s="13" t="str">
        <x:v>Income Properties</x:v>
      </x:c>
      <x:c r="C2565" s="16" t="n">
        <x:v>2575.65168</x:v>
      </x:c>
      <x:c r="D2565" s="16" t="n">
        <x:v>2478.5304036721</x:v>
      </x:c>
      <x:c r="E2565" s="16" t="n">
        <x:v>-97.1212763279</x:v>
      </x:c>
      <x:c r="F2565" s="23" t="n">
        <x:v>3</x:v>
      </x:c>
    </x:row>
    <x:row r="2566">
      <x:c r="A2566" s="15" t="n">
        <x:v>45231</x:v>
      </x:c>
      <x:c r="B2566" s="13" t="str">
        <x:v>Metals &amp; Mining</x:v>
      </x:c>
      <x:c r="C2566" s="16" t="n">
        <x:v>60530.147648</x:v>
      </x:c>
      <x:c r="D2566" s="16" t="n">
        <x:v>63961.007619847</x:v>
      </x:c>
      <x:c r="E2566" s="16" t="n">
        <x:v>3430.859971847</x:v>
      </x:c>
      <x:c r="F2566" s="23" t="n">
        <x:v>7</x:v>
      </x:c>
    </x:row>
    <x:row r="2567">
      <x:c r="A2567" s="15" t="n">
        <x:v>45231</x:v>
      </x:c>
      <x:c r="B2567" s="13" t="str">
        <x:v>Oil, Gas &amp; Petrochemicals</x:v>
      </x:c>
      <x:c r="C2567" s="16" t="n">
        <x:v>117696.856170667</x:v>
      </x:c>
      <x:c r="D2567" s="16" t="n">
        <x:v>127710.2765020326</x:v>
      </x:c>
      <x:c r="E2567" s="16" t="n">
        <x:v>10013.4203313656</x:v>
      </x:c>
      <x:c r="F2567" s="23" t="n">
        <x:v>7</x:v>
      </x:c>
    </x:row>
    <x:row r="2568">
      <x:c r="A2568" s="15" t="n">
        <x:v>45231</x:v>
      </x:c>
      <x:c r="B2568" s="13" t="str">
        <x:v>Pulp &amp; Paper</x:v>
      </x:c>
      <x:c r="C2568" s="16" t="n">
        <x:v>9667.2484906667</x:v>
      </x:c>
      <x:c r="D2568" s="16" t="n">
        <x:v>8585.117984612</x:v>
      </x:c>
      <x:c r="E2568" s="16" t="n">
        <x:v>-1082.1305060546</x:v>
      </x:c>
      <x:c r="F2568" s="23" t="n">
        <x:v>3</x:v>
      </x:c>
    </x:row>
    <x:row r="2569">
      <x:c r="A2569" s="15" t="n">
        <x:v>45231</x:v>
      </x:c>
      <x:c r="B2569" s="13" t="str">
        <x:v>Retail</x:v>
      </x:c>
      <x:c r="C2569" s="16" t="n">
        <x:v>7863.0582773333</x:v>
      </x:c>
      <x:c r="D2569" s="16" t="n">
        <x:v>6809.1197340656</x:v>
      </x:c>
      <x:c r="E2569" s="16" t="n">
        <x:v>-1053.9385432678</x:v>
      </x:c>
      <x:c r="F2569" s="23" t="n">
        <x:v>13</x:v>
      </x:c>
    </x:row>
    <x:row r="2570">
      <x:c r="A2570" s="15" t="n">
        <x:v>45231</x:v>
      </x:c>
      <x:c r="B2570" s="13" t="str">
        <x:v>Sanitation</x:v>
      </x:c>
      <x:c r="C2570" s="16" t="n">
        <x:v>4109.7632426667</x:v>
      </x:c>
      <x:c r="D2570" s="16" t="n">
        <x:v>4273.4989940109</x:v>
      </x:c>
      <x:c r="E2570" s="16" t="n">
        <x:v>163.7357513443</x:v>
      </x:c>
      <x:c r="F2570" s="23" t="n">
        <x:v>1</x:v>
      </x:c>
    </x:row>
    <x:row r="2571">
      <x:c r="A2571" s="15" t="n">
        <x:v>45231</x:v>
      </x:c>
      <x:c r="B2571" s="13" t="str">
        <x:v>TMT</x:v>
      </x:c>
      <x:c r="C2571" s="16" t="n">
        <x:v>3579.6619146667</x:v>
      </x:c>
      <x:c r="D2571" s="16" t="n">
        <x:v>4102.4544280219</x:v>
      </x:c>
      <x:c r="E2571" s="16" t="n">
        <x:v>522.7925133552</x:v>
      </x:c>
      <x:c r="F2571" s="23" t="n">
        <x:v>3</x:v>
      </x:c>
    </x:row>
    <x:row r="2572">
      <x:c r="A2572" s="15" t="n">
        <x:v>45231</x:v>
      </x:c>
      <x:c r="B2572" s="13" t="str">
        <x:v>Transportation</x:v>
      </x:c>
      <x:c r="C2572" s="16" t="n">
        <x:v>7039.7929173333</x:v>
      </x:c>
      <x:c r="D2572" s="16" t="n">
        <x:v>8378.3334531148</x:v>
      </x:c>
      <x:c r="E2572" s="16" t="n">
        <x:v>1338.5405357814</x:v>
      </x:c>
      <x:c r="F2572" s="23" t="n">
        <x:v>5</x:v>
      </x:c>
    </x:row>
    <x:row r="2573">
      <x:c r="A2573" s="15" t="n">
        <x:v>45231</x:v>
      </x:c>
      <x:c r="B2573" s="13" t="str">
        <x:v>Utilities &amp; Energy</x:v>
      </x:c>
      <x:c r="C2573" s="16" t="n">
        <x:v>37579.982976</x:v>
      </x:c>
      <x:c r="D2573" s="16" t="n">
        <x:v>41227.828856306</x:v>
      </x:c>
      <x:c r="E2573" s="16" t="n">
        <x:v>3647.845880306</x:v>
      </x:c>
      <x:c r="F2573" s="23" t="n">
        <x:v>10</x:v>
      </x:c>
    </x:row>
    <x:row r="2574">
      <x:c r="A2574" s="15" t="n">
        <x:v>45261</x:v>
      </x:c>
      <x:c r="B2574" s="13" t="str">
        <x:v>Agribusiness</x:v>
      </x:c>
      <x:c r="C2574" s="16" t="n">
        <x:v>6058.5538914882</x:v>
      </x:c>
      <x:c r="D2574" s="16" t="n">
        <x:v>6569.3204960228</x:v>
      </x:c>
      <x:c r="E2574" s="16" t="n">
        <x:v>510.7666045346</x:v>
      </x:c>
      <x:c r="F2574" s="23" t="n">
        <x:v>3</x:v>
      </x:c>
    </x:row>
    <x:row r="2575">
      <x:c r="A2575" s="15" t="n">
        <x:v>45261</x:v>
      </x:c>
      <x:c r="B2575" s="13" t="str">
        <x:v>Banks</x:v>
      </x:c>
      <x:c r="C2575" s="16" t="n">
        <x:v>145120.8037392786</x:v>
      </x:c>
      <x:c r="D2575" s="16" t="n">
        <x:v>149118.3799144919</x:v>
      </x:c>
      <x:c r="E2575" s="16" t="n">
        <x:v>3997.5761752133</x:v>
      </x:c>
      <x:c r="F2575" s="23" t="n">
        <x:v>6</x:v>
      </x:c>
    </x:row>
    <x:row r="2576">
      <x:c r="A2576" s="15" t="n">
        <x:v>45261</x:v>
      </x:c>
      <x:c r="B2576" s="13" t="str">
        <x:v>Capital Goods</x:v>
      </x:c>
      <x:c r="C2576" s="16" t="n">
        <x:v>6408.536418623</x:v>
      </x:c>
      <x:c r="D2576" s="16" t="n">
        <x:v>6544.7640232568</x:v>
      </x:c>
      <x:c r="E2576" s="16" t="n">
        <x:v>136.2276046339</x:v>
      </x:c>
      <x:c r="F2576" s="23" t="n">
        <x:v>2</x:v>
      </x:c>
    </x:row>
    <x:row r="2577">
      <x:c r="A2577" s="15" t="n">
        <x:v>45261</x:v>
      </x:c>
      <x:c r="B2577" s="13" t="str">
        <x:v>Education</x:v>
      </x:c>
      <x:c r="C2577" s="16" t="n">
        <x:v>781.2644120656</x:v>
      </x:c>
      <x:c r="D2577" s="16" t="n">
        <x:v>966.9694292022</x:v>
      </x:c>
      <x:c r="E2577" s="16" t="n">
        <x:v>185.7050171366</x:v>
      </x:c>
      <x:c r="F2577" s="23" t="n">
        <x:v>2</x:v>
      </x:c>
    </x:row>
    <x:row r="2578">
      <x:c r="A2578" s="15" t="n">
        <x:v>45261</x:v>
      </x:c>
      <x:c r="B2578" s="13" t="str">
        <x:v>Financials Non-Banks</x:v>
      </x:c>
      <x:c r="C2578" s="16" t="n">
        <x:v>30221.0744949508</x:v>
      </x:c>
      <x:c r="D2578" s="16" t="n">
        <x:v>30433.5267343388</x:v>
      </x:c>
      <x:c r="E2578" s="16" t="n">
        <x:v>212.4522393881</x:v>
      </x:c>
      <x:c r="F2578" s="23" t="n">
        <x:v>5</x:v>
      </x:c>
    </x:row>
    <x:row r="2579">
      <x:c r="A2579" s="15" t="n">
        <x:v>45261</x:v>
      </x:c>
      <x:c r="B2579" s="13" t="str">
        <x:v>Food &amp; Beverages</x:v>
      </x:c>
      <x:c r="C2579" s="16" t="n">
        <x:v>16122.3766628196</x:v>
      </x:c>
      <x:c r="D2579" s="16" t="n">
        <x:v>16923.4875666885</x:v>
      </x:c>
      <x:c r="E2579" s="16" t="n">
        <x:v>801.1109038689</x:v>
      </x:c>
      <x:c r="F2579" s="23" t="n">
        <x:v>4</x:v>
      </x:c>
    </x:row>
    <x:row r="2580">
      <x:c r="A2580" s="15" t="n">
        <x:v>45261</x:v>
      </x:c>
      <x:c r="B2580" s="13" t="str">
        <x:v>Health Care</x:v>
      </x:c>
      <x:c r="C2580" s="16" t="n">
        <x:v>6651.1707095082</x:v>
      </x:c>
      <x:c r="D2580" s="16" t="n">
        <x:v>7201.7946267978</x:v>
      </x:c>
      <x:c r="E2580" s="16" t="n">
        <x:v>550.6239172896</x:v>
      </x:c>
      <x:c r="F2580" s="23" t="n">
        <x:v>4</x:v>
      </x:c>
    </x:row>
    <x:row r="2581">
      <x:c r="A2581" s="15" t="n">
        <x:v>45261</x:v>
      </x:c>
      <x:c r="B2581" s="13" t="str">
        <x:v>Homebuilders</x:v>
      </x:c>
      <x:c r="C2581" s="16" t="n">
        <x:v>2071.897389377</x:v>
      </x:c>
      <x:c r="D2581" s="16" t="n">
        <x:v>2069.5996946011</x:v>
      </x:c>
      <x:c r="E2581" s="16" t="n">
        <x:v>-2.297694776</x:v>
      </x:c>
      <x:c r="F2581" s="23" t="n">
        <x:v>3</x:v>
      </x:c>
    </x:row>
    <x:row r="2582">
      <x:c r="A2582" s="15" t="n">
        <x:v>45261</x:v>
      </x:c>
      <x:c r="B2582" s="13" t="str">
        <x:v>Income Properties</x:v>
      </x:c>
      <x:c r="C2582" s="16" t="n">
        <x:v>2488.9809725902</x:v>
      </x:c>
      <x:c r="D2582" s="16" t="n">
        <x:v>2360.7818628197</x:v>
      </x:c>
      <x:c r="E2582" s="16" t="n">
        <x:v>-128.1991097705</x:v>
      </x:c>
      <x:c r="F2582" s="23" t="n">
        <x:v>3</x:v>
      </x:c>
    </x:row>
    <x:row r="2583">
      <x:c r="A2583" s="15" t="n">
        <x:v>45261</x:v>
      </x:c>
      <x:c r="B2583" s="13" t="str">
        <x:v>Metals &amp; Mining</x:v>
      </x:c>
      <x:c r="C2583" s="16" t="n">
        <x:v>60105.396753836</x:v>
      </x:c>
      <x:c r="D2583" s="16" t="n">
        <x:v>66743.9536803935</x:v>
      </x:c>
      <x:c r="E2583" s="16" t="n">
        <x:v>6638.5569265574</x:v>
      </x:c>
      <x:c r="F2583" s="23" t="n">
        <x:v>7</x:v>
      </x:c>
    </x:row>
    <x:row r="2584">
      <x:c r="A2584" s="15" t="n">
        <x:v>45261</x:v>
      </x:c>
      <x:c r="B2584" s="13" t="str">
        <x:v>Oil, Gas &amp; Petrochemicals</x:v>
      </x:c>
      <x:c r="C2584" s="16" t="n">
        <x:v>119530.7047134431</x:v>
      </x:c>
      <x:c r="D2584" s="16" t="n">
        <x:v>133468.1399290059</x:v>
      </x:c>
      <x:c r="E2584" s="16" t="n">
        <x:v>13937.4352155629</x:v>
      </x:c>
      <x:c r="F2584" s="23" t="n">
        <x:v>8</x:v>
      </x:c>
    </x:row>
    <x:row r="2585">
      <x:c r="A2585" s="15" t="n">
        <x:v>45261</x:v>
      </x:c>
      <x:c r="B2585" s="13" t="str">
        <x:v>Pulp &amp; Paper</x:v>
      </x:c>
      <x:c r="C2585" s="16" t="n">
        <x:v>9516.8853683934</x:v>
      </x:c>
      <x:c r="D2585" s="16" t="n">
        <x:v>8894.4222992787</x:v>
      </x:c>
      <x:c r="E2585" s="16" t="n">
        <x:v>-622.4630691148</x:v>
      </x:c>
      <x:c r="F2585" s="23" t="n">
        <x:v>3</x:v>
      </x:c>
    </x:row>
    <x:row r="2586">
      <x:c r="A2586" s="15" t="n">
        <x:v>45261</x:v>
      </x:c>
      <x:c r="B2586" s="13" t="str">
        <x:v>Retail</x:v>
      </x:c>
      <x:c r="C2586" s="16" t="n">
        <x:v>7463.9092138033</x:v>
      </x:c>
      <x:c r="D2586" s="16" t="n">
        <x:v>7017.7354336175</x:v>
      </x:c>
      <x:c r="E2586" s="16" t="n">
        <x:v>-446.1737801858</x:v>
      </x:c>
      <x:c r="F2586" s="23" t="n">
        <x:v>13</x:v>
      </x:c>
    </x:row>
    <x:row r="2587">
      <x:c r="A2587" s="15" t="n">
        <x:v>45261</x:v>
      </x:c>
      <x:c r="B2587" s="13" t="str">
        <x:v>Sanitation</x:v>
      </x:c>
      <x:c r="C2587" s="16" t="n">
        <x:v>4117.7234318688</x:v>
      </x:c>
      <x:c r="D2587" s="16" t="n">
        <x:v>4181.2965574645</x:v>
      </x:c>
      <x:c r="E2587" s="16" t="n">
        <x:v>63.5731255956</x:v>
      </x:c>
      <x:c r="F2587" s="23" t="n">
        <x:v>1</x:v>
      </x:c>
    </x:row>
    <x:row r="2588">
      <x:c r="A2588" s="15" t="n">
        <x:v>45261</x:v>
      </x:c>
      <x:c r="B2588" s="13" t="str">
        <x:v>TMT</x:v>
      </x:c>
      <x:c r="C2588" s="16" t="n">
        <x:v>3744.2127997377</x:v>
      </x:c>
      <x:c r="D2588" s="16" t="n">
        <x:v>4146.6143073443</x:v>
      </x:c>
      <x:c r="E2588" s="16" t="n">
        <x:v>402.4015076066</x:v>
      </x:c>
      <x:c r="F2588" s="23" t="n">
        <x:v>3</x:v>
      </x:c>
    </x:row>
    <x:row r="2589">
      <x:c r="A2589" s="15" t="n">
        <x:v>45261</x:v>
      </x:c>
      <x:c r="B2589" s="13" t="str">
        <x:v>Transportation</x:v>
      </x:c>
      <x:c r="C2589" s="16" t="n">
        <x:v>8529.0543165902</x:v>
      </x:c>
      <x:c r="D2589" s="16" t="n">
        <x:v>10020.01894953</x:v>
      </x:c>
      <x:c r="E2589" s="16" t="n">
        <x:v>1490.9646329399</x:v>
      </x:c>
      <x:c r="F2589" s="23" t="n">
        <x:v>6</x:v>
      </x:c>
    </x:row>
    <x:row r="2590">
      <x:c r="A2590" s="15" t="n">
        <x:v>45261</x:v>
      </x:c>
      <x:c r="B2590" s="13" t="str">
        <x:v>Utilities &amp; Energy</x:v>
      </x:c>
      <x:c r="C2590" s="16" t="n">
        <x:v>40563.5320236066</x:v>
      </x:c>
      <x:c r="D2590" s="16" t="n">
        <x:v>40776.5887209618</x:v>
      </x:c>
      <x:c r="E2590" s="16" t="n">
        <x:v>213.0566973552</x:v>
      </x:c>
      <x:c r="F2590" s="23" t="n">
        <x:v>10</x:v>
      </x:c>
    </x:row>
    <x:row r="2591">
      <x:c r="A2591" s="15" t="n">
        <x:v>45292</x:v>
      </x:c>
      <x:c r="B2591" s="13" t="str">
        <x:v>Agribusiness</x:v>
      </x:c>
      <x:c r="C2591" s="16" t="n">
        <x:v>6197.3157184877</x:v>
      </x:c>
      <x:c r="D2591" s="16" t="n">
        <x:v>6052.8973992329</x:v>
      </x:c>
      <x:c r="E2591" s="16" t="n">
        <x:v>-144.4183192548</x:v>
      </x:c>
      <x:c r="F2591" s="23" t="n">
        <x:v>3</x:v>
      </x:c>
    </x:row>
    <x:row r="2592">
      <x:c r="A2592" s="15" t="n">
        <x:v>45292</x:v>
      </x:c>
      <x:c r="B2592" s="13" t="str">
        <x:v>Banks</x:v>
      </x:c>
      <x:c r="C2592" s="16" t="n">
        <x:v>147179.2508586667</x:v>
      </x:c>
      <x:c r="D2592" s="16" t="n">
        <x:v>149325.802846685</x:v>
      </x:c>
      <x:c r="E2592" s="16" t="n">
        <x:v>2146.5519880183</x:v>
      </x:c>
      <x:c r="F2592" s="23" t="n">
        <x:v>6</x:v>
      </x:c>
    </x:row>
    <x:row r="2593">
      <x:c r="A2593" s="15" t="n">
        <x:v>45292</x:v>
      </x:c>
      <x:c r="B2593" s="13" t="str">
        <x:v>Capital Goods</x:v>
      </x:c>
      <x:c r="C2593" s="16" t="n">
        <x:v>6375.701408</x:v>
      </x:c>
      <x:c r="D2593" s="16" t="n">
        <x:v>6617.2003349041</x:v>
      </x:c>
      <x:c r="E2593" s="16" t="n">
        <x:v>241.4989269041</x:v>
      </x:c>
      <x:c r="F2593" s="23" t="n">
        <x:v>2</x:v>
      </x:c>
    </x:row>
    <x:row r="2594">
      <x:c r="A2594" s="15" t="n">
        <x:v>45292</x:v>
      </x:c>
      <x:c r="B2594" s="13" t="str">
        <x:v>Education</x:v>
      </x:c>
      <x:c r="C2594" s="16" t="n">
        <x:v>880.2043413333</x:v>
      </x:c>
      <x:c r="D2594" s="16" t="n">
        <x:v>955.9330691507</x:v>
      </x:c>
      <x:c r="E2594" s="16" t="n">
        <x:v>75.7287278173</x:v>
      </x:c>
      <x:c r="F2594" s="23" t="n">
        <x:v>2</x:v>
      </x:c>
    </x:row>
    <x:row r="2595">
      <x:c r="A2595" s="15" t="n">
        <x:v>45292</x:v>
      </x:c>
      <x:c r="B2595" s="13" t="str">
        <x:v>Financials Non-Banks</x:v>
      </x:c>
      <x:c r="C2595" s="16" t="n">
        <x:v>30444.7018133333</x:v>
      </x:c>
      <x:c r="D2595" s="16" t="n">
        <x:v>30698.6423561644</x:v>
      </x:c>
      <x:c r="E2595" s="16" t="n">
        <x:v>253.9405428311</x:v>
      </x:c>
      <x:c r="F2595" s="23" t="n">
        <x:v>5</x:v>
      </x:c>
    </x:row>
    <x:row r="2596">
      <x:c r="A2596" s="15" t="n">
        <x:v>45292</x:v>
      </x:c>
      <x:c r="B2596" s="13" t="str">
        <x:v>Food &amp; Beverages</x:v>
      </x:c>
      <x:c r="C2596" s="16" t="n">
        <x:v>16667.903184</x:v>
      </x:c>
      <x:c r="D2596" s="16" t="n">
        <x:v>16190.065708274</x:v>
      </x:c>
      <x:c r="E2596" s="16" t="n">
        <x:v>-477.837475726</x:v>
      </x:c>
      <x:c r="F2596" s="23" t="n">
        <x:v>4</x:v>
      </x:c>
    </x:row>
    <x:row r="2597">
      <x:c r="A2597" s="15" t="n">
        <x:v>45292</x:v>
      </x:c>
      <x:c r="B2597" s="13" t="str">
        <x:v>Health Care</x:v>
      </x:c>
      <x:c r="C2597" s="16" t="n">
        <x:v>6781.0866613333</x:v>
      </x:c>
      <x:c r="D2597" s="16" t="n">
        <x:v>7173.0368981918</x:v>
      </x:c>
      <x:c r="E2597" s="16" t="n">
        <x:v>391.9502368584</x:v>
      </x:c>
      <x:c r="F2597" s="23" t="n">
        <x:v>4</x:v>
      </x:c>
    </x:row>
    <x:row r="2598">
      <x:c r="A2598" s="15" t="n">
        <x:v>45292</x:v>
      </x:c>
      <x:c r="B2598" s="13" t="str">
        <x:v>Homebuilders</x:v>
      </x:c>
      <x:c r="C2598" s="16" t="n">
        <x:v>2048.7770986667</x:v>
      </x:c>
      <x:c r="D2598" s="16" t="n">
        <x:v>2062.6842779178</x:v>
      </x:c>
      <x:c r="E2598" s="16" t="n">
        <x:v>13.9071792511</x:v>
      </x:c>
      <x:c r="F2598" s="23" t="n">
        <x:v>3</x:v>
      </x:c>
    </x:row>
    <x:row r="2599">
      <x:c r="A2599" s="15" t="n">
        <x:v>45292</x:v>
      </x:c>
      <x:c r="B2599" s="13" t="str">
        <x:v>Income Properties</x:v>
      </x:c>
      <x:c r="C2599" s="16" t="n">
        <x:v>2537.7957866667</x:v>
      </x:c>
      <x:c r="D2599" s="16" t="n">
        <x:v>2366.676684274</x:v>
      </x:c>
      <x:c r="E2599" s="16" t="n">
        <x:v>-171.1191023927</x:v>
      </x:c>
      <x:c r="F2599" s="23" t="n">
        <x:v>3</x:v>
      </x:c>
    </x:row>
    <x:row r="2600">
      <x:c r="A2600" s="15" t="n">
        <x:v>45292</x:v>
      </x:c>
      <x:c r="B2600" s="13" t="str">
        <x:v>Metals &amp; Mining</x:v>
      </x:c>
      <x:c r="C2600" s="16" t="n">
        <x:v>59690.4323726666</x:v>
      </x:c>
      <x:c r="D2600" s="16" t="n">
        <x:v>67076.2600732055</x:v>
      </x:c>
      <x:c r="E2600" s="16" t="n">
        <x:v>7385.8277005389</x:v>
      </x:c>
      <x:c r="F2600" s="23" t="n">
        <x:v>6</x:v>
      </x:c>
    </x:row>
    <x:row r="2601">
      <x:c r="A2601" s="15" t="n">
        <x:v>45292</x:v>
      </x:c>
      <x:c r="B2601" s="13" t="str">
        <x:v>Oil, Gas &amp; Petrochemicals</x:v>
      </x:c>
      <x:c r="C2601" s="16" t="n">
        <x:v>128585.3087786667</x:v>
      </x:c>
      <x:c r="D2601" s="16" t="n">
        <x:v>127707.8176613698</x:v>
      </x:c>
      <x:c r="E2601" s="16" t="n">
        <x:v>-877.4911172969</x:v>
      </x:c>
      <x:c r="F2601" s="23" t="n">
        <x:v>8</x:v>
      </x:c>
    </x:row>
    <x:row r="2602">
      <x:c r="A2602" s="15" t="n">
        <x:v>45292</x:v>
      </x:c>
      <x:c r="B2602" s="13" t="str">
        <x:v>Pulp &amp; Paper</x:v>
      </x:c>
      <x:c r="C2602" s="16" t="n">
        <x:v>8079.054528</x:v>
      </x:c>
      <x:c r="D2602" s="16" t="n">
        <x:v>8561.353632</x:v>
      </x:c>
      <x:c r="E2602" s="16" t="n">
        <x:v>482.299104</x:v>
      </x:c>
      <x:c r="F2602" s="23" t="n">
        <x:v>3</x:v>
      </x:c>
    </x:row>
    <x:row r="2603">
      <x:c r="A2603" s="15" t="n">
        <x:v>45292</x:v>
      </x:c>
      <x:c r="B2603" s="13" t="str">
        <x:v>Retail</x:v>
      </x:c>
      <x:c r="C2603" s="16" t="n">
        <x:v>6500.2690126667</x:v>
      </x:c>
      <x:c r="D2603" s="16" t="n">
        <x:v>6915.7954091507</x:v>
      </x:c>
      <x:c r="E2603" s="16" t="n">
        <x:v>415.526396484</x:v>
      </x:c>
      <x:c r="F2603" s="23" t="n">
        <x:v>13</x:v>
      </x:c>
    </x:row>
    <x:row r="2604">
      <x:c r="A2604" s="15" t="n">
        <x:v>45292</x:v>
      </x:c>
      <x:c r="B2604" s="13" t="str">
        <x:v>Sanitation</x:v>
      </x:c>
      <x:c r="C2604" s="16" t="n">
        <x:v>4256.208512</x:v>
      </x:c>
      <x:c r="D2604" s="16" t="n">
        <x:v>4193.591762411</x:v>
      </x:c>
      <x:c r="E2604" s="16" t="n">
        <x:v>-62.616749589</x:v>
      </x:c>
      <x:c r="F2604" s="23" t="n">
        <x:v>1</x:v>
      </x:c>
    </x:row>
    <x:row r="2605">
      <x:c r="A2605" s="15" t="n">
        <x:v>45292</x:v>
      </x:c>
      <x:c r="B2605" s="13" t="str">
        <x:v>TMT</x:v>
      </x:c>
      <x:c r="C2605" s="16" t="n">
        <x:v>3891.551054</x:v>
      </x:c>
      <x:c r="D2605" s="16" t="n">
        <x:v>4243.6321621918</x:v>
      </x:c>
      <x:c r="E2605" s="16" t="n">
        <x:v>352.0811081918</x:v>
      </x:c>
      <x:c r="F2605" s="23" t="n">
        <x:v>3</x:v>
      </x:c>
    </x:row>
    <x:row r="2606">
      <x:c r="A2606" s="15" t="n">
        <x:v>45292</x:v>
      </x:c>
      <x:c r="B2606" s="13" t="str">
        <x:v>Transportation</x:v>
      </x:c>
      <x:c r="C2606" s="16" t="n">
        <x:v>8071.9067573333</x:v>
      </x:c>
      <x:c r="D2606" s="16" t="n">
        <x:v>9519.0572396712</x:v>
      </x:c>
      <x:c r="E2606" s="16" t="n">
        <x:v>1447.1504823379</x:v>
      </x:c>
      <x:c r="F2606" s="23" t="n">
        <x:v>5</x:v>
      </x:c>
    </x:row>
    <x:row r="2607">
      <x:c r="A2607" s="15" t="n">
        <x:v>45292</x:v>
      </x:c>
      <x:c r="B2607" s="13" t="str">
        <x:v>Utilities &amp; Energy</x:v>
      </x:c>
      <x:c r="C2607" s="16" t="n">
        <x:v>41785.9927573333</x:v>
      </x:c>
      <x:c r="D2607" s="16" t="n">
        <x:v>39397.4431228493</x:v>
      </x:c>
      <x:c r="E2607" s="16" t="n">
        <x:v>-2388.549634484</x:v>
      </x:c>
      <x:c r="F2607" s="23" t="n">
        <x:v>10</x:v>
      </x:c>
    </x:row>
    <x:row r="2608">
      <x:c r="A2608" s="15" t="n">
        <x:v>45323</x:v>
      </x:c>
      <x:c r="B2608" s="13" t="str">
        <x:v>Agribusiness</x:v>
      </x:c>
      <x:c r="C2608" s="16" t="n">
        <x:v>6802.2529333992</x:v>
      </x:c>
      <x:c r="D2608" s="16" t="n">
        <x:v>6314.8018726575</x:v>
      </x:c>
      <x:c r="E2608" s="16" t="n">
        <x:v>-487.4510607417</x:v>
      </x:c>
      <x:c r="F2608" s="23" t="n">
        <x:v>3</x:v>
      </x:c>
    </x:row>
    <x:row r="2609">
      <x:c r="A2609" s="15" t="n">
        <x:v>45323</x:v>
      </x:c>
      <x:c r="B2609" s="13" t="str">
        <x:v>Banks</x:v>
      </x:c>
      <x:c r="C2609" s="16" t="n">
        <x:v>147041.6012366338</x:v>
      </x:c>
      <x:c r="D2609" s="16" t="n">
        <x:v>145801.5004840329</x:v>
      </x:c>
      <x:c r="E2609" s="16" t="n">
        <x:v>-1240.1007526009</x:v>
      </x:c>
      <x:c r="F2609" s="23" t="n">
        <x:v>6</x:v>
      </x:c>
    </x:row>
    <x:row r="2610">
      <x:c r="A2610" s="15" t="n">
        <x:v>45323</x:v>
      </x:c>
      <x:c r="B2610" s="13" t="str">
        <x:v>Capital Goods</x:v>
      </x:c>
      <x:c r="C2610" s="16" t="n">
        <x:v>6536.8023599563</x:v>
      </x:c>
      <x:c r="D2610" s="16" t="n">
        <x:v>6679.2310952329</x:v>
      </x:c>
      <x:c r="E2610" s="16" t="n">
        <x:v>142.4287352766</x:v>
      </x:c>
      <x:c r="F2610" s="23" t="n">
        <x:v>2</x:v>
      </x:c>
    </x:row>
    <x:row r="2611">
      <x:c r="A2611" s="15" t="n">
        <x:v>45323</x:v>
      </x:c>
      <x:c r="B2611" s="13" t="str">
        <x:v>Education</x:v>
      </x:c>
      <x:c r="C2611" s="16" t="n">
        <x:v>933.2426212896</x:v>
      </x:c>
      <x:c r="D2611" s="16" t="n">
        <x:v>1005.1385242301</x:v>
      </x:c>
      <x:c r="E2611" s="16" t="n">
        <x:v>71.8959029405</x:v>
      </x:c>
      <x:c r="F2611" s="23" t="n">
        <x:v>2</x:v>
      </x:c>
    </x:row>
    <x:row r="2612">
      <x:c r="A2612" s="15" t="n">
        <x:v>45323</x:v>
      </x:c>
      <x:c r="B2612" s="13" t="str">
        <x:v>Financials Non-Banks</x:v>
      </x:c>
      <x:c r="C2612" s="16" t="n">
        <x:v>30385.325831694</x:v>
      </x:c>
      <x:c r="D2612" s="16" t="n">
        <x:v>30760.6510940055</x:v>
      </x:c>
      <x:c r="E2612" s="16" t="n">
        <x:v>375.3252623114</x:v>
      </x:c>
      <x:c r="F2612" s="23" t="n">
        <x:v>5</x:v>
      </x:c>
    </x:row>
    <x:row r="2613">
      <x:c r="A2613" s="15" t="n">
        <x:v>45323</x:v>
      </x:c>
      <x:c r="B2613" s="13" t="str">
        <x:v>Food &amp; Beverages</x:v>
      </x:c>
      <x:c r="C2613" s="16" t="n">
        <x:v>16709.9125358688</x:v>
      </x:c>
      <x:c r="D2613" s="16" t="n">
        <x:v>15254.4927073315</x:v>
      </x:c>
      <x:c r="E2613" s="16" t="n">
        <x:v>-1455.4198285373</x:v>
      </x:c>
      <x:c r="F2613" s="23" t="n">
        <x:v>4</x:v>
      </x:c>
    </x:row>
    <x:row r="2614">
      <x:c r="A2614" s="15" t="n">
        <x:v>45323</x:v>
      </x:c>
      <x:c r="B2614" s="13" t="str">
        <x:v>Health Care</x:v>
      </x:c>
      <x:c r="C2614" s="16" t="n">
        <x:v>6980.0183175519</x:v>
      </x:c>
      <x:c r="D2614" s="16" t="n">
        <x:v>7205.1139696219</x:v>
      </x:c>
      <x:c r="E2614" s="16" t="n">
        <x:v>225.09565207</x:v>
      </x:c>
      <x:c r="F2614" s="23" t="n">
        <x:v>4</x:v>
      </x:c>
    </x:row>
    <x:row r="2615">
      <x:c r="A2615" s="15" t="n">
        <x:v>45323</x:v>
      </x:c>
      <x:c r="B2615" s="13" t="str">
        <x:v>Homebuilders</x:v>
      </x:c>
      <x:c r="C2615" s="16" t="n">
        <x:v>2062.3897465792</x:v>
      </x:c>
      <x:c r="D2615" s="16" t="n">
        <x:v>1969.1590436822</x:v>
      </x:c>
      <x:c r="E2615" s="16" t="n">
        <x:v>-93.230702897</x:v>
      </x:c>
      <x:c r="F2615" s="23" t="n">
        <x:v>3</x:v>
      </x:c>
    </x:row>
    <x:row r="2616">
      <x:c r="A2616" s="15" t="n">
        <x:v>45323</x:v>
      </x:c>
      <x:c r="B2616" s="13" t="str">
        <x:v>Income Properties</x:v>
      </x:c>
      <x:c r="C2616" s="16" t="n">
        <x:v>2478.5304036721</x:v>
      </x:c>
      <x:c r="D2616" s="16" t="n">
        <x:v>2379.1598236055</x:v>
      </x:c>
      <x:c r="E2616" s="16" t="n">
        <x:v>-99.3705800667</x:v>
      </x:c>
      <x:c r="F2616" s="23" t="n">
        <x:v>3</x:v>
      </x:c>
    </x:row>
    <x:row r="2617">
      <x:c r="A2617" s="15" t="n">
        <x:v>45323</x:v>
      </x:c>
      <x:c r="B2617" s="13" t="str">
        <x:v>Metals &amp; Mining</x:v>
      </x:c>
      <x:c r="C2617" s="16" t="n">
        <x:v>61785.5540570929</x:v>
      </x:c>
      <x:c r="D2617" s="16" t="n">
        <x:v>65416.6885162082</x:v>
      </x:c>
      <x:c r="E2617" s="16" t="n">
        <x:v>3631.1344591153</x:v>
      </x:c>
      <x:c r="F2617" s="23" t="n">
        <x:v>6</x:v>
      </x:c>
    </x:row>
    <x:row r="2618">
      <x:c r="A2618" s="15" t="n">
        <x:v>45323</x:v>
      </x:c>
      <x:c r="B2618" s="13" t="str">
        <x:v>Oil, Gas &amp; Petrochemicals</x:v>
      </x:c>
      <x:c r="C2618" s="16" t="n">
        <x:v>129408.6386199779</x:v>
      </x:c>
      <x:c r="D2618" s="16" t="n">
        <x:v>127175.3983410845</x:v>
      </x:c>
      <x:c r="E2618" s="16" t="n">
        <x:v>-2233.2402788934</x:v>
      </x:c>
      <x:c r="F2618" s="23" t="n">
        <x:v>8</x:v>
      </x:c>
    </x:row>
    <x:row r="2619">
      <x:c r="A2619" s="15" t="n">
        <x:v>45323</x:v>
      </x:c>
      <x:c r="B2619" s="13" t="str">
        <x:v>Pulp &amp; Paper</x:v>
      </x:c>
      <x:c r="C2619" s="16" t="n">
        <x:v>8585.117984612</x:v>
      </x:c>
      <x:c r="D2619" s="16" t="n">
        <x:v>8178.1074432877</x:v>
      </x:c>
      <x:c r="E2619" s="16" t="n">
        <x:v>-407.0105413244</x:v>
      </x:c>
      <x:c r="F2619" s="23" t="n">
        <x:v>3</x:v>
      </x:c>
    </x:row>
    <x:row r="2620">
      <x:c r="A2620" s="15" t="n">
        <x:v>45323</x:v>
      </x:c>
      <x:c r="B2620" s="13" t="str">
        <x:v>Retail</x:v>
      </x:c>
      <x:c r="C2620" s="16" t="n">
        <x:v>6809.1197340656</x:v>
      </x:c>
      <x:c r="D2620" s="16" t="n">
        <x:v>6859.2340028055</x:v>
      </x:c>
      <x:c r="E2620" s="16" t="n">
        <x:v>50.1142687399</x:v>
      </x:c>
      <x:c r="F2620" s="23" t="n">
        <x:v>13</x:v>
      </x:c>
    </x:row>
    <x:row r="2621">
      <x:c r="A2621" s="15" t="n">
        <x:v>45323</x:v>
      </x:c>
      <x:c r="B2621" s="13" t="str">
        <x:v>Sanitation</x:v>
      </x:c>
      <x:c r="C2621" s="16" t="n">
        <x:v>4273.4989940109</x:v>
      </x:c>
      <x:c r="D2621" s="16" t="n">
        <x:v>4257.8351118027</x:v>
      </x:c>
      <x:c r="E2621" s="16" t="n">
        <x:v>-15.6638822082</x:v>
      </x:c>
      <x:c r="F2621" s="23" t="n">
        <x:v>1</x:v>
      </x:c>
    </x:row>
    <x:row r="2622">
      <x:c r="A2622" s="15" t="n">
        <x:v>45323</x:v>
      </x:c>
      <x:c r="B2622" s="13" t="str">
        <x:v>TMT</x:v>
      </x:c>
      <x:c r="C2622" s="16" t="n">
        <x:v>4102.4544280219</x:v>
      </x:c>
      <x:c r="D2622" s="16" t="n">
        <x:v>4388.9314169425</x:v>
      </x:c>
      <x:c r="E2622" s="16" t="n">
        <x:v>286.4769889206</x:v>
      </x:c>
      <x:c r="F2622" s="23" t="n">
        <x:v>3</x:v>
      </x:c>
    </x:row>
    <x:row r="2623">
      <x:c r="A2623" s="15" t="n">
        <x:v>45323</x:v>
      </x:c>
      <x:c r="B2623" s="13" t="str">
        <x:v>Transportation</x:v>
      </x:c>
      <x:c r="C2623" s="16" t="n">
        <x:v>8909.2004432787</x:v>
      </x:c>
      <x:c r="D2623" s="16" t="n">
        <x:v>9680.2125648657</x:v>
      </x:c>
      <x:c r="E2623" s="16" t="n">
        <x:v>771.0121215871</x:v>
      </x:c>
      <x:c r="F2623" s="23" t="n">
        <x:v>5</x:v>
      </x:c>
    </x:row>
    <x:row r="2624">
      <x:c r="A2624" s="15" t="n">
        <x:v>45323</x:v>
      </x:c>
      <x:c r="B2624" s="13" t="str">
        <x:v>Utilities &amp; Energy</x:v>
      </x:c>
      <x:c r="C2624" s="16" t="n">
        <x:v>41227.828856306</x:v>
      </x:c>
      <x:c r="D2624" s="16" t="n">
        <x:v>39891.878265337</x:v>
      </x:c>
      <x:c r="E2624" s="16" t="n">
        <x:v>-1335.950590969</x:v>
      </x:c>
      <x:c r="F2624" s="23" t="n">
        <x:v>10</x:v>
      </x:c>
    </x:row>
    <x:row r="2625">
      <x:c r="A2625" s="15" t="n">
        <x:v>45352</x:v>
      </x:c>
      <x:c r="B2625" s="13" t="str">
        <x:v>Agribusiness</x:v>
      </x:c>
      <x:c r="C2625" s="16" t="n">
        <x:v>6569.3204960228</x:v>
      </x:c>
      <x:c r="D2625" s="16" t="n">
        <x:v>6388.7968529534</x:v>
      </x:c>
      <x:c r="E2625" s="16" t="n">
        <x:v>-180.5236430693</x:v>
      </x:c>
      <x:c r="F2625" s="23" t="n">
        <x:v>3</x:v>
      </x:c>
    </x:row>
    <x:row r="2626">
      <x:c r="A2626" s="15" t="n">
        <x:v>45352</x:v>
      </x:c>
      <x:c r="B2626" s="13" t="str">
        <x:v>Banks</x:v>
      </x:c>
      <x:c r="C2626" s="16" t="n">
        <x:v>149118.3799144919</x:v>
      </x:c>
      <x:c r="D2626" s="16" t="n">
        <x:v>146088.8785457095</x:v>
      </x:c>
      <x:c r="E2626" s="16" t="n">
        <x:v>-3029.5013687824</x:v>
      </x:c>
      <x:c r="F2626" s="23" t="n">
        <x:v>6</x:v>
      </x:c>
    </x:row>
    <x:row r="2627">
      <x:c r="A2627" s="15" t="n">
        <x:v>45352</x:v>
      </x:c>
      <x:c r="B2627" s="13" t="str">
        <x:v>Capital Goods</x:v>
      </x:c>
      <x:c r="C2627" s="16" t="n">
        <x:v>6544.7640232568</x:v>
      </x:c>
      <x:c r="D2627" s="16" t="n">
        <x:v>6740.9991483617</x:v>
      </x:c>
      <x:c r="E2627" s="16" t="n">
        <x:v>196.2351251048</x:v>
      </x:c>
      <x:c r="F2627" s="23" t="n">
        <x:v>2</x:v>
      </x:c>
    </x:row>
    <x:row r="2628">
      <x:c r="A2628" s="15" t="n">
        <x:v>45352</x:v>
      </x:c>
      <x:c r="B2628" s="13" t="str">
        <x:v>Education</x:v>
      </x:c>
      <x:c r="C2628" s="16" t="n">
        <x:v>966.9694292022</x:v>
      </x:c>
      <x:c r="D2628" s="16" t="n">
        <x:v>943.9033557918</x:v>
      </x:c>
      <x:c r="E2628" s="16" t="n">
        <x:v>-23.0660734104</x:v>
      </x:c>
      <x:c r="F2628" s="23" t="n">
        <x:v>2</x:v>
      </x:c>
    </x:row>
    <x:row r="2629">
      <x:c r="A2629" s="15" t="n">
        <x:v>45352</x:v>
      </x:c>
      <x:c r="B2629" s="13" t="str">
        <x:v>Financials Non-Banks</x:v>
      </x:c>
      <x:c r="C2629" s="16" t="n">
        <x:v>30433.5267343388</x:v>
      </x:c>
      <x:c r="D2629" s="16" t="n">
        <x:v>31309.2608326137</x:v>
      </x:c>
      <x:c r="E2629" s="16" t="n">
        <x:v>875.7340982748</x:v>
      </x:c>
      <x:c r="F2629" s="23" t="n">
        <x:v>5</x:v>
      </x:c>
    </x:row>
    <x:row r="2630">
      <x:c r="A2630" s="15" t="n">
        <x:v>45352</x:v>
      </x:c>
      <x:c r="B2630" s="13" t="str">
        <x:v>Food &amp; Beverages</x:v>
      </x:c>
      <x:c r="C2630" s="16" t="n">
        <x:v>16923.4875666885</x:v>
      </x:c>
      <x:c r="D2630" s="16" t="n">
        <x:v>14972.5606477151</x:v>
      </x:c>
      <x:c r="E2630" s="16" t="n">
        <x:v>-1950.9269189734</x:v>
      </x:c>
      <x:c r="F2630" s="23" t="n">
        <x:v>4</x:v>
      </x:c>
    </x:row>
    <x:row r="2631">
      <x:c r="A2631" s="15" t="n">
        <x:v>45352</x:v>
      </x:c>
      <x:c r="B2631" s="13" t="str">
        <x:v>Health Care</x:v>
      </x:c>
      <x:c r="C2631" s="16" t="n">
        <x:v>7201.7946267978</x:v>
      </x:c>
      <x:c r="D2631" s="16" t="n">
        <x:v>7414.6489608767</x:v>
      </x:c>
      <x:c r="E2631" s="16" t="n">
        <x:v>212.8543340789</x:v>
      </x:c>
      <x:c r="F2631" s="23" t="n">
        <x:v>4</x:v>
      </x:c>
    </x:row>
    <x:row r="2632">
      <x:c r="A2632" s="15" t="n">
        <x:v>45352</x:v>
      </x:c>
      <x:c r="B2632" s="13" t="str">
        <x:v>Homebuilders</x:v>
      </x:c>
      <x:c r="C2632" s="16" t="n">
        <x:v>2069.5996946011</x:v>
      </x:c>
      <x:c r="D2632" s="16" t="n">
        <x:v>2069.6796652712</x:v>
      </x:c>
      <x:c r="E2632" s="16" t="n">
        <x:v>0.0799706701</x:v>
      </x:c>
      <x:c r="F2632" s="23" t="n">
        <x:v>3</x:v>
      </x:c>
    </x:row>
    <x:row r="2633">
      <x:c r="A2633" s="15" t="n">
        <x:v>45352</x:v>
      </x:c>
      <x:c r="B2633" s="13" t="str">
        <x:v>Income Properties</x:v>
      </x:c>
      <x:c r="C2633" s="16" t="n">
        <x:v>2360.7818628197</x:v>
      </x:c>
      <x:c r="D2633" s="16" t="n">
        <x:v>2449.0090146192</x:v>
      </x:c>
      <x:c r="E2633" s="16" t="n">
        <x:v>88.2271517995</x:v>
      </x:c>
      <x:c r="F2633" s="23" t="n">
        <x:v>3</x:v>
      </x:c>
    </x:row>
    <x:row r="2634">
      <x:c r="A2634" s="15" t="n">
        <x:v>45352</x:v>
      </x:c>
      <x:c r="B2634" s="13" t="str">
        <x:v>Metals &amp; Mining</x:v>
      </x:c>
      <x:c r="C2634" s="16" t="n">
        <x:v>64633.4728053771</x:v>
      </x:c>
      <x:c r="D2634" s="16" t="n">
        <x:v>64294.4983709809</x:v>
      </x:c>
      <x:c r="E2634" s="16" t="n">
        <x:v>-338.9744343962</x:v>
      </x:c>
      <x:c r="F2634" s="23" t="n">
        <x:v>6</x:v>
      </x:c>
    </x:row>
    <x:row r="2635">
      <x:c r="A2635" s="15" t="n">
        <x:v>45352</x:v>
      </x:c>
      <x:c r="B2635" s="13" t="str">
        <x:v>Oil, Gas &amp; Petrochemicals</x:v>
      </x:c>
      <x:c r="C2635" s="16" t="n">
        <x:v>133468.1399290059</x:v>
      </x:c>
      <x:c r="D2635" s="16" t="n">
        <x:v>126108.5141219945</x:v>
      </x:c>
      <x:c r="E2635" s="16" t="n">
        <x:v>-7359.6258070114</x:v>
      </x:c>
      <x:c r="F2635" s="23" t="n">
        <x:v>8</x:v>
      </x:c>
    </x:row>
    <x:row r="2636">
      <x:c r="A2636" s="15" t="n">
        <x:v>45352</x:v>
      </x:c>
      <x:c r="B2636" s="13" t="str">
        <x:v>Pulp &amp; Paper</x:v>
      </x:c>
      <x:c r="C2636" s="16" t="n">
        <x:v>8894.4222992787</x:v>
      </x:c>
      <x:c r="D2636" s="16" t="n">
        <x:v>9028.9339719452</x:v>
      </x:c>
      <x:c r="E2636" s="16" t="n">
        <x:v>134.5116726665</x:v>
      </x:c>
      <x:c r="F2636" s="23" t="n">
        <x:v>3</x:v>
      </x:c>
    </x:row>
    <x:row r="2637">
      <x:c r="A2637" s="15" t="n">
        <x:v>45352</x:v>
      </x:c>
      <x:c r="B2637" s="13" t="str">
        <x:v>Retail</x:v>
      </x:c>
      <x:c r="C2637" s="16" t="n">
        <x:v>7017.7354336175</x:v>
      </x:c>
      <x:c r="D2637" s="16" t="n">
        <x:v>7215.4768643945</x:v>
      </x:c>
      <x:c r="E2637" s="16" t="n">
        <x:v>197.741430777</x:v>
      </x:c>
      <x:c r="F2637" s="23" t="n">
        <x:v>13</x:v>
      </x:c>
    </x:row>
    <x:row r="2638">
      <x:c r="A2638" s="15" t="n">
        <x:v>45352</x:v>
      </x:c>
      <x:c r="B2638" s="13" t="str">
        <x:v>Sanitation</x:v>
      </x:c>
      <x:c r="C2638" s="16" t="n">
        <x:v>4181.2965574645</x:v>
      </x:c>
      <x:c r="D2638" s="16" t="n">
        <x:v>4368.0381138411</x:v>
      </x:c>
      <x:c r="E2638" s="16" t="n">
        <x:v>186.7415563766</x:v>
      </x:c>
      <x:c r="F2638" s="23" t="n">
        <x:v>1</x:v>
      </x:c>
    </x:row>
    <x:row r="2639">
      <x:c r="A2639" s="15" t="n">
        <x:v>45352</x:v>
      </x:c>
      <x:c r="B2639" s="13" t="str">
        <x:v>TMT</x:v>
      </x:c>
      <x:c r="C2639" s="16" t="n">
        <x:v>4146.6143073443</x:v>
      </x:c>
      <x:c r="D2639" s="16" t="n">
        <x:v>4521.1955716164</x:v>
      </x:c>
      <x:c r="E2639" s="16" t="n">
        <x:v>374.5812642722</x:v>
      </x:c>
      <x:c r="F2639" s="23" t="n">
        <x:v>3</x:v>
      </x:c>
    </x:row>
    <x:row r="2640">
      <x:c r="A2640" s="15" t="n">
        <x:v>45352</x:v>
      </x:c>
      <x:c r="B2640" s="13" t="str">
        <x:v>Transportation</x:v>
      </x:c>
      <x:c r="C2640" s="16" t="n">
        <x:v>9350.6570596721</x:v>
      </x:c>
      <x:c r="D2640" s="16" t="n">
        <x:v>9699.6407530959</x:v>
      </x:c>
      <x:c r="E2640" s="16" t="n">
        <x:v>348.9836934238</x:v>
      </x:c>
      <x:c r="F2640" s="23" t="n">
        <x:v>5</x:v>
      </x:c>
    </x:row>
    <x:row r="2641">
      <x:c r="A2641" s="15" t="n">
        <x:v>45352</x:v>
      </x:c>
      <x:c r="B2641" s="13" t="str">
        <x:v>Utilities &amp; Energy</x:v>
      </x:c>
      <x:c r="C2641" s="16" t="n">
        <x:v>40776.5887209618</x:v>
      </x:c>
      <x:c r="D2641" s="16" t="n">
        <x:v>40310.3382524493</x:v>
      </x:c>
      <x:c r="E2641" s="16" t="n">
        <x:v>-466.2504685124</x:v>
      </x:c>
      <x:c r="F2641" s="23" t="n">
        <x:v>10</x:v>
      </x:c>
    </x:row>
    <x:row r="2642">
      <x:c r="A2642" s="15" t="n">
        <x:v>45383</x:v>
      </x:c>
      <x:c r="B2642" s="13" t="str">
        <x:v>Agribusiness</x:v>
      </x:c>
      <x:c r="C2642" s="16" t="n">
        <x:v>6052.8973992329</x:v>
      </x:c>
      <x:c r="D2642" s="16" t="n">
        <x:v>6350.1114608219</x:v>
      </x:c>
      <x:c r="E2642" s="16" t="n">
        <x:v>297.214061589</x:v>
      </x:c>
      <x:c r="F2642" s="23" t="n">
        <x:v>3</x:v>
      </x:c>
    </x:row>
    <x:row r="2643">
      <x:c r="A2643" s="15" t="n">
        <x:v>45383</x:v>
      </x:c>
      <x:c r="B2643" s="13" t="str">
        <x:v>Banks</x:v>
      </x:c>
      <x:c r="C2643" s="16" t="n">
        <x:v>149325.802846685</x:v>
      </x:c>
      <x:c r="D2643" s="16" t="n">
        <x:v>147523.8961656985</x:v>
      </x:c>
      <x:c r="E2643" s="16" t="n">
        <x:v>-1801.9066809865</x:v>
      </x:c>
      <x:c r="F2643" s="23" t="n">
        <x:v>6</x:v>
      </x:c>
    </x:row>
    <x:row r="2644">
      <x:c r="A2644" s="15" t="n">
        <x:v>45383</x:v>
      </x:c>
      <x:c r="B2644" s="13" t="str">
        <x:v>Capital Goods</x:v>
      </x:c>
      <x:c r="C2644" s="16" t="n">
        <x:v>6617.2003349041</x:v>
      </x:c>
      <x:c r="D2644" s="16" t="n">
        <x:v>6863.7557979178</x:v>
      </x:c>
      <x:c r="E2644" s="16" t="n">
        <x:v>246.5554630137</x:v>
      </x:c>
      <x:c r="F2644" s="23" t="n">
        <x:v>2</x:v>
      </x:c>
    </x:row>
    <x:row r="2645">
      <x:c r="A2645" s="15" t="n">
        <x:v>45383</x:v>
      </x:c>
      <x:c r="B2645" s="13" t="str">
        <x:v>Education</x:v>
      </x:c>
      <x:c r="C2645" s="16" t="n">
        <x:v>955.9330691507</x:v>
      </x:c>
      <x:c r="D2645" s="16" t="n">
        <x:v>1015.5725799452</x:v>
      </x:c>
      <x:c r="E2645" s="16" t="n">
        <x:v>59.6395107945</x:v>
      </x:c>
      <x:c r="F2645" s="23" t="n">
        <x:v>2</x:v>
      </x:c>
    </x:row>
    <x:row r="2646">
      <x:c r="A2646" s="15" t="n">
        <x:v>45383</x:v>
      </x:c>
      <x:c r="B2646" s="13" t="str">
        <x:v>Financials Non-Banks</x:v>
      </x:c>
      <x:c r="C2646" s="16" t="n">
        <x:v>30698.6423561644</x:v>
      </x:c>
      <x:c r="D2646" s="16" t="n">
        <x:v>30903.7187743561</x:v>
      </x:c>
      <x:c r="E2646" s="16" t="n">
        <x:v>205.0764181917</x:v>
      </x:c>
      <x:c r="F2646" s="23" t="n">
        <x:v>5</x:v>
      </x:c>
    </x:row>
    <x:row r="2647">
      <x:c r="A2647" s="15" t="n">
        <x:v>45383</x:v>
      </x:c>
      <x:c r="B2647" s="13" t="str">
        <x:v>Food &amp; Beverages</x:v>
      </x:c>
      <x:c r="C2647" s="16" t="n">
        <x:v>16190.065708274</x:v>
      </x:c>
      <x:c r="D2647" s="16" t="n">
        <x:v>15880.2615153973</x:v>
      </x:c>
      <x:c r="E2647" s="16" t="n">
        <x:v>-309.8041928767</x:v>
      </x:c>
      <x:c r="F2647" s="23" t="n">
        <x:v>4</x:v>
      </x:c>
    </x:row>
    <x:row r="2648">
      <x:c r="A2648" s="15" t="n">
        <x:v>45383</x:v>
      </x:c>
      <x:c r="B2648" s="13" t="str">
        <x:v>Health Care</x:v>
      </x:c>
      <x:c r="C2648" s="16" t="n">
        <x:v>7173.0368981918</x:v>
      </x:c>
      <x:c r="D2648" s="16" t="n">
        <x:v>7286.1928328767</x:v>
      </x:c>
      <x:c r="E2648" s="16" t="n">
        <x:v>113.1559346849</x:v>
      </x:c>
      <x:c r="F2648" s="23" t="n">
        <x:v>4</x:v>
      </x:c>
    </x:row>
    <x:row r="2649">
      <x:c r="A2649" s="15" t="n">
        <x:v>45383</x:v>
      </x:c>
      <x:c r="B2649" s="13" t="str">
        <x:v>Homebuilders</x:v>
      </x:c>
      <x:c r="C2649" s="16" t="n">
        <x:v>2062.6842779178</x:v>
      </x:c>
      <x:c r="D2649" s="16" t="n">
        <x:v>2158.3674415342</x:v>
      </x:c>
      <x:c r="E2649" s="16" t="n">
        <x:v>95.6831636164</x:v>
      </x:c>
      <x:c r="F2649" s="23" t="n">
        <x:v>3</x:v>
      </x:c>
    </x:row>
    <x:row r="2650">
      <x:c r="A2650" s="15" t="n">
        <x:v>45383</x:v>
      </x:c>
      <x:c r="B2650" s="13" t="str">
        <x:v>Income Properties</x:v>
      </x:c>
      <x:c r="C2650" s="16" t="n">
        <x:v>2366.676684274</x:v>
      </x:c>
      <x:c r="D2650" s="16" t="n">
        <x:v>2425.0156453699</x:v>
      </x:c>
      <x:c r="E2650" s="16" t="n">
        <x:v>58.3389610959</x:v>
      </x:c>
      <x:c r="F2650" s="23" t="n">
        <x:v>3</x:v>
      </x:c>
    </x:row>
    <x:row r="2651">
      <x:c r="A2651" s="15" t="n">
        <x:v>45383</x:v>
      </x:c>
      <x:c r="B2651" s="13" t="str">
        <x:v>Metals &amp; Mining</x:v>
      </x:c>
      <x:c r="C2651" s="16" t="n">
        <x:v>67076.2600732055</x:v>
      </x:c>
      <x:c r="D2651" s="16" t="n">
        <x:v>58503.2039574794</x:v>
      </x:c>
      <x:c r="E2651" s="16" t="n">
        <x:v>-8573.0561157261</x:v>
      </x:c>
      <x:c r="F2651" s="23" t="n">
        <x:v>6</x:v>
      </x:c>
    </x:row>
    <x:row r="2652">
      <x:c r="A2652" s="15" t="n">
        <x:v>45383</x:v>
      </x:c>
      <x:c r="B2652" s="13" t="str">
        <x:v>Oil, Gas &amp; Petrochemicals</x:v>
      </x:c>
      <x:c r="C2652" s="16" t="n">
        <x:v>127707.8176613698</x:v>
      </x:c>
      <x:c r="D2652" s="16" t="n">
        <x:v>134441.8049315073</x:v>
      </x:c>
      <x:c r="E2652" s="16" t="n">
        <x:v>6733.9872701375</x:v>
      </x:c>
      <x:c r="F2652" s="23" t="n">
        <x:v>8</x:v>
      </x:c>
    </x:row>
    <x:row r="2653">
      <x:c r="A2653" s="15" t="n">
        <x:v>45383</x:v>
      </x:c>
      <x:c r="B2653" s="13" t="str">
        <x:v>Pulp &amp; Paper</x:v>
      </x:c>
      <x:c r="C2653" s="16" t="n">
        <x:v>8561.353632</x:v>
      </x:c>
      <x:c r="D2653" s="16" t="n">
        <x:v>9415.6977915616</x:v>
      </x:c>
      <x:c r="E2653" s="16" t="n">
        <x:v>854.3441595616</x:v>
      </x:c>
      <x:c r="F2653" s="23" t="n">
        <x:v>3</x:v>
      </x:c>
    </x:row>
    <x:row r="2654">
      <x:c r="A2654" s="15" t="n">
        <x:v>45383</x:v>
      </x:c>
      <x:c r="B2654" s="13" t="str">
        <x:v>Retail</x:v>
      </x:c>
      <x:c r="C2654" s="16" t="n">
        <x:v>6915.7954091507</x:v>
      </x:c>
      <x:c r="D2654" s="16" t="n">
        <x:v>7172.1753913425</x:v>
      </x:c>
      <x:c r="E2654" s="16" t="n">
        <x:v>256.3799821918</x:v>
      </x:c>
      <x:c r="F2654" s="23" t="n">
        <x:v>13</x:v>
      </x:c>
    </x:row>
    <x:row r="2655">
      <x:c r="A2655" s="15" t="n">
        <x:v>45383</x:v>
      </x:c>
      <x:c r="B2655" s="13" t="str">
        <x:v>Sanitation</x:v>
      </x:c>
      <x:c r="C2655" s="16" t="n">
        <x:v>4193.591762411</x:v>
      </x:c>
      <x:c r="D2655" s="16" t="n">
        <x:v>4407.9699883836</x:v>
      </x:c>
      <x:c r="E2655" s="16" t="n">
        <x:v>214.3782259726</x:v>
      </x:c>
      <x:c r="F2655" s="23" t="n">
        <x:v>1</x:v>
      </x:c>
    </x:row>
    <x:row r="2656">
      <x:c r="A2656" s="15" t="n">
        <x:v>45383</x:v>
      </x:c>
      <x:c r="B2656" s="13" t="str">
        <x:v>TMT</x:v>
      </x:c>
      <x:c r="C2656" s="16" t="n">
        <x:v>4243.6321621918</x:v>
      </x:c>
      <x:c r="D2656" s="16" t="n">
        <x:v>4577.732627726</x:v>
      </x:c>
      <x:c r="E2656" s="16" t="n">
        <x:v>334.1004655342</x:v>
      </x:c>
      <x:c r="F2656" s="23" t="n">
        <x:v>3</x:v>
      </x:c>
    </x:row>
    <x:row r="2657">
      <x:c r="A2657" s="15" t="n">
        <x:v>45383</x:v>
      </x:c>
      <x:c r="B2657" s="13" t="str">
        <x:v>Transportation</x:v>
      </x:c>
      <x:c r="C2657" s="16" t="n">
        <x:v>9519.0572396712</x:v>
      </x:c>
      <x:c r="D2657" s="16" t="n">
        <x:v>9297.1912201644</x:v>
      </x:c>
      <x:c r="E2657" s="16" t="n">
        <x:v>-221.8660195069</x:v>
      </x:c>
      <x:c r="F2657" s="23" t="n">
        <x:v>5</x:v>
      </x:c>
    </x:row>
    <x:row r="2658">
      <x:c r="A2658" s="15" t="n">
        <x:v>45383</x:v>
      </x:c>
      <x:c r="B2658" s="13" t="str">
        <x:v>Utilities &amp; Energy</x:v>
      </x:c>
      <x:c r="C2658" s="16" t="n">
        <x:v>41160.6874161096</x:v>
      </x:c>
      <x:c r="D2658" s="16" t="n">
        <x:v>42026.6974185205</x:v>
      </x:c>
      <x:c r="E2658" s="16" t="n">
        <x:v>866.010002411</x:v>
      </x:c>
      <x:c r="F2658" s="23" t="n">
        <x:v>11</x:v>
      </x:c>
    </x:row>
    <x:row r="2659">
      <x:c r="A2659" s="15" t="n">
        <x:v>45413</x:v>
      </x:c>
      <x:c r="B2659" s="13" t="str">
        <x:v>Agribusiness</x:v>
      </x:c>
      <x:c r="C2659" s="16" t="n">
        <x:v>6314.8018726575</x:v>
      </x:c>
      <x:c r="D2659" s="16" t="n">
        <x:v>6314.681735189</x:v>
      </x:c>
      <x:c r="E2659" s="16" t="n">
        <x:v>-0.1201374685</x:v>
      </x:c>
      <x:c r="F2659" s="23" t="n">
        <x:v>3</x:v>
      </x:c>
    </x:row>
    <x:row r="2660">
      <x:c r="A2660" s="15" t="n">
        <x:v>45413</x:v>
      </x:c>
      <x:c r="B2660" s="13" t="str">
        <x:v>Banks</x:v>
      </x:c>
      <x:c r="C2660" s="16" t="n">
        <x:v>145801.5004840329</x:v>
      </x:c>
      <x:c r="D2660" s="16" t="n">
        <x:v>150437.822205896</x:v>
      </x:c>
      <x:c r="E2660" s="16" t="n">
        <x:v>4636.3217218631</x:v>
      </x:c>
      <x:c r="F2660" s="23" t="n">
        <x:v>6</x:v>
      </x:c>
    </x:row>
    <x:row r="2661">
      <x:c r="A2661" s="15" t="n">
        <x:v>45413</x:v>
      </x:c>
      <x:c r="B2661" s="13" t="str">
        <x:v>Capital Goods</x:v>
      </x:c>
      <x:c r="C2661" s="16" t="n">
        <x:v>6679.2310952329</x:v>
      </x:c>
      <x:c r="D2661" s="16" t="n">
        <x:v>7207.8210742356</x:v>
      </x:c>
      <x:c r="E2661" s="16" t="n">
        <x:v>528.5899790027</x:v>
      </x:c>
      <x:c r="F2661" s="23" t="n">
        <x:v>2</x:v>
      </x:c>
    </x:row>
    <x:row r="2662">
      <x:c r="A2662" s="15" t="n">
        <x:v>45413</x:v>
      </x:c>
      <x:c r="B2662" s="13" t="str">
        <x:v>Education</x:v>
      </x:c>
      <x:c r="C2662" s="16" t="n">
        <x:v>1005.1385242301</x:v>
      </x:c>
      <x:c r="D2662" s="16" t="n">
        <x:v>921.7937704329</x:v>
      </x:c>
      <x:c r="E2662" s="16" t="n">
        <x:v>-83.3447537973</x:v>
      </x:c>
      <x:c r="F2662" s="23" t="n">
        <x:v>2</x:v>
      </x:c>
    </x:row>
    <x:row r="2663">
      <x:c r="A2663" s="15" t="n">
        <x:v>45413</x:v>
      </x:c>
      <x:c r="B2663" s="13" t="str">
        <x:v>Financials Non-Banks</x:v>
      </x:c>
      <x:c r="C2663" s="16" t="n">
        <x:v>30760.6510940055</x:v>
      </x:c>
      <x:c r="D2663" s="16" t="n">
        <x:v>31192.3035008</x:v>
      </x:c>
      <x:c r="E2663" s="16" t="n">
        <x:v>431.6524067946</x:v>
      </x:c>
      <x:c r="F2663" s="23" t="n">
        <x:v>5</x:v>
      </x:c>
    </x:row>
    <x:row r="2664">
      <x:c r="A2664" s="15" t="n">
        <x:v>45413</x:v>
      </x:c>
      <x:c r="B2664" s="13" t="str">
        <x:v>Food &amp; Beverages</x:v>
      </x:c>
      <x:c r="C2664" s="16" t="n">
        <x:v>15254.4927073315</x:v>
      </x:c>
      <x:c r="D2664" s="16" t="n">
        <x:v>17325.6084318246</x:v>
      </x:c>
      <x:c r="E2664" s="16" t="n">
        <x:v>2071.1157244931</x:v>
      </x:c>
      <x:c r="F2664" s="23" t="n">
        <x:v>4</x:v>
      </x:c>
    </x:row>
    <x:row r="2665">
      <x:c r="A2665" s="15" t="n">
        <x:v>45413</x:v>
      </x:c>
      <x:c r="B2665" s="13" t="str">
        <x:v>Health Care</x:v>
      </x:c>
      <x:c r="C2665" s="16" t="n">
        <x:v>7205.1139696219</x:v>
      </x:c>
      <x:c r="D2665" s="16" t="n">
        <x:v>7407.0528459397</x:v>
      </x:c>
      <x:c r="E2665" s="16" t="n">
        <x:v>201.9388763178</x:v>
      </x:c>
      <x:c r="F2665" s="23" t="n">
        <x:v>4</x:v>
      </x:c>
    </x:row>
    <x:row r="2666">
      <x:c r="A2666" s="15" t="n">
        <x:v>45413</x:v>
      </x:c>
      <x:c r="B2666" s="13" t="str">
        <x:v>Homebuilders</x:v>
      </x:c>
      <x:c r="C2666" s="16" t="n">
        <x:v>1969.1590436822</x:v>
      </x:c>
      <x:c r="D2666" s="16" t="n">
        <x:v>2210.6172193315</x:v>
      </x:c>
      <x:c r="E2666" s="16" t="n">
        <x:v>241.4581756493</x:v>
      </x:c>
      <x:c r="F2666" s="23" t="n">
        <x:v>3</x:v>
      </x:c>
    </x:row>
    <x:row r="2667">
      <x:c r="A2667" s="15" t="n">
        <x:v>45413</x:v>
      </x:c>
      <x:c r="B2667" s="13" t="str">
        <x:v>Income Properties</x:v>
      </x:c>
      <x:c r="C2667" s="16" t="n">
        <x:v>2379.1598236055</x:v>
      </x:c>
      <x:c r="D2667" s="16" t="n">
        <x:v>2388.5586051507</x:v>
      </x:c>
      <x:c r="E2667" s="16" t="n">
        <x:v>9.3987815452</x:v>
      </x:c>
      <x:c r="F2667" s="23" t="n">
        <x:v>3</x:v>
      </x:c>
    </x:row>
    <x:row r="2668">
      <x:c r="A2668" s="15" t="n">
        <x:v>45413</x:v>
      </x:c>
      <x:c r="B2668" s="13" t="str">
        <x:v>Metals &amp; Mining</x:v>
      </x:c>
      <x:c r="C2668" s="16" t="n">
        <x:v>65416.6885162082</x:v>
      </x:c>
      <x:c r="D2668" s="16" t="n">
        <x:v>59384.0830825206</x:v>
      </x:c>
      <x:c r="E2668" s="16" t="n">
        <x:v>-6032.6054336876</x:v>
      </x:c>
      <x:c r="F2668" s="23" t="n">
        <x:v>6</x:v>
      </x:c>
    </x:row>
    <x:row r="2669">
      <x:c r="A2669" s="15" t="n">
        <x:v>45413</x:v>
      </x:c>
      <x:c r="B2669" s="13" t="str">
        <x:v>Oil, Gas &amp; Petrochemicals</x:v>
      </x:c>
      <x:c r="C2669" s="16" t="n">
        <x:v>127175.3983410845</x:v>
      </x:c>
      <x:c r="D2669" s="16" t="n">
        <x:v>129495.4909147177</x:v>
      </x:c>
      <x:c r="E2669" s="16" t="n">
        <x:v>2320.0925736332</x:v>
      </x:c>
      <x:c r="F2669" s="23" t="n">
        <x:v>8</x:v>
      </x:c>
    </x:row>
    <x:row r="2670">
      <x:c r="A2670" s="15" t="n">
        <x:v>45413</x:v>
      </x:c>
      <x:c r="B2670" s="13" t="str">
        <x:v>Pulp &amp; Paper</x:v>
      </x:c>
      <x:c r="C2670" s="16" t="n">
        <x:v>8178.1074432877</x:v>
      </x:c>
      <x:c r="D2670" s="16" t="n">
        <x:v>10193.4810261918</x:v>
      </x:c>
      <x:c r="E2670" s="16" t="n">
        <x:v>2015.3735829041</x:v>
      </x:c>
      <x:c r="F2670" s="23" t="n">
        <x:v>3</x:v>
      </x:c>
    </x:row>
    <x:row r="2671">
      <x:c r="A2671" s="15" t="n">
        <x:v>45413</x:v>
      </x:c>
      <x:c r="B2671" s="13" t="str">
        <x:v>Retail</x:v>
      </x:c>
      <x:c r="C2671" s="16" t="n">
        <x:v>7541.9540182356</x:v>
      </x:c>
      <x:c r="D2671" s="16" t="n">
        <x:v>8074.5895757589</x:v>
      </x:c>
      <x:c r="E2671" s="16" t="n">
        <x:v>532.6355575233</x:v>
      </x:c>
      <x:c r="F2671" s="23" t="n">
        <x:v>12</x:v>
      </x:c>
    </x:row>
    <x:row r="2672">
      <x:c r="A2672" s="15" t="n">
        <x:v>45413</x:v>
      </x:c>
      <x:c r="B2672" s="13" t="str">
        <x:v>Sanitation</x:v>
      </x:c>
      <x:c r="C2672" s="16" t="n">
        <x:v>4257.8351118027</x:v>
      </x:c>
      <x:c r="D2672" s="16" t="n">
        <x:v>4429.0527919343</x:v>
      </x:c>
      <x:c r="E2672" s="16" t="n">
        <x:v>171.2176801315</x:v>
      </x:c>
      <x:c r="F2672" s="23" t="n">
        <x:v>1</x:v>
      </x:c>
    </x:row>
    <x:row r="2673">
      <x:c r="A2673" s="15" t="n">
        <x:v>45413</x:v>
      </x:c>
      <x:c r="B2673" s="13" t="str">
        <x:v>TMT</x:v>
      </x:c>
      <x:c r="C2673" s="16" t="n">
        <x:v>4388.9314169425</x:v>
      </x:c>
      <x:c r="D2673" s="16" t="n">
        <x:v>4603.8579619726</x:v>
      </x:c>
      <x:c r="E2673" s="16" t="n">
        <x:v>214.9265450301</x:v>
      </x:c>
      <x:c r="F2673" s="23" t="n">
        <x:v>3</x:v>
      </x:c>
    </x:row>
    <x:row r="2674">
      <x:c r="A2674" s="15" t="n">
        <x:v>45413</x:v>
      </x:c>
      <x:c r="B2674" s="13" t="str">
        <x:v>Transportation</x:v>
      </x:c>
      <x:c r="C2674" s="16" t="n">
        <x:v>9680.2125648657</x:v>
      </x:c>
      <x:c r="D2674" s="16" t="n">
        <x:v>8841.177991189</x:v>
      </x:c>
      <x:c r="E2674" s="16" t="n">
        <x:v>-839.0345736767</x:v>
      </x:c>
      <x:c r="F2674" s="23" t="n">
        <x:v>5</x:v>
      </x:c>
    </x:row>
    <x:row r="2675">
      <x:c r="A2675" s="15" t="n">
        <x:v>45413</x:v>
      </x:c>
      <x:c r="B2675" s="13" t="str">
        <x:v>Utilities &amp; Energy</x:v>
      </x:c>
      <x:c r="C2675" s="16" t="n">
        <x:v>41654.5584699616</x:v>
      </x:c>
      <x:c r="D2675" s="16" t="n">
        <x:v>43212.6049495671</x:v>
      </x:c>
      <x:c r="E2675" s="16" t="n">
        <x:v>1558.0464796055</x:v>
      </x:c>
      <x:c r="F2675" s="23" t="n">
        <x:v>11</x:v>
      </x:c>
    </x:row>
    <x:row r="2676">
      <x:c r="A2676" s="15" t="n">
        <x:v>45444</x:v>
      </x:c>
      <x:c r="B2676" s="13" t="str">
        <x:v>Agribusiness</x:v>
      </x:c>
      <x:c r="C2676" s="16" t="n">
        <x:v>6388.7968529534</x:v>
      </x:c>
      <x:c r="D2676" s="16" t="n">
        <x:v>5780.5966016877</x:v>
      </x:c>
      <x:c r="E2676" s="16" t="n">
        <x:v>-608.2002512658</x:v>
      </x:c>
      <x:c r="F2676" s="23" t="n">
        <x:v>3</x:v>
      </x:c>
    </x:row>
    <x:row r="2677">
      <x:c r="A2677" s="15" t="n">
        <x:v>45444</x:v>
      </x:c>
      <x:c r="B2677" s="13" t="str">
        <x:v>Banks</x:v>
      </x:c>
      <x:c r="C2677" s="16" t="n">
        <x:v>146088.8785457095</x:v>
      </x:c>
      <x:c r="D2677" s="16" t="n">
        <x:v>151347.0059505972</x:v>
      </x:c>
      <x:c r="E2677" s="16" t="n">
        <x:v>5258.1274048877</x:v>
      </x:c>
      <x:c r="F2677" s="23" t="n">
        <x:v>6</x:v>
      </x:c>
    </x:row>
    <x:row r="2678">
      <x:c r="A2678" s="15" t="n">
        <x:v>45444</x:v>
      </x:c>
      <x:c r="B2678" s="13" t="str">
        <x:v>Capital Goods</x:v>
      </x:c>
      <x:c r="C2678" s="16" t="n">
        <x:v>6740.9991483617</x:v>
      </x:c>
      <x:c r="D2678" s="16" t="n">
        <x:v>7383.1211449863</x:v>
      </x:c>
      <x:c r="E2678" s="16" t="n">
        <x:v>642.1219966246</x:v>
      </x:c>
      <x:c r="F2678" s="23" t="n">
        <x:v>2</x:v>
      </x:c>
    </x:row>
    <x:row r="2679">
      <x:c r="A2679" s="15" t="n">
        <x:v>45444</x:v>
      </x:c>
      <x:c r="B2679" s="13" t="str">
        <x:v>Education</x:v>
      </x:c>
      <x:c r="C2679" s="16" t="n">
        <x:v>943.9033557918</x:v>
      </x:c>
      <x:c r="D2679" s="16" t="n">
        <x:v>938.9403416548</x:v>
      </x:c>
      <x:c r="E2679" s="16" t="n">
        <x:v>-4.963014137</x:v>
      </x:c>
      <x:c r="F2679" s="23" t="n">
        <x:v>2</x:v>
      </x:c>
    </x:row>
    <x:row r="2680">
      <x:c r="A2680" s="15" t="n">
        <x:v>45444</x:v>
      </x:c>
      <x:c r="B2680" s="13" t="str">
        <x:v>Financials Non-Banks</x:v>
      </x:c>
      <x:c r="C2680" s="16" t="n">
        <x:v>31309.2608326137</x:v>
      </x:c>
      <x:c r="D2680" s="16" t="n">
        <x:v>31235.7304640877</x:v>
      </x:c>
      <x:c r="E2680" s="16" t="n">
        <x:v>-73.5303685259</x:v>
      </x:c>
      <x:c r="F2680" s="23" t="n">
        <x:v>5</x:v>
      </x:c>
    </x:row>
    <x:row r="2681">
      <x:c r="A2681" s="15" t="n">
        <x:v>45444</x:v>
      </x:c>
      <x:c r="B2681" s="13" t="str">
        <x:v>Food &amp; Beverages</x:v>
      </x:c>
      <x:c r="C2681" s="16" t="n">
        <x:v>14972.5606477151</x:v>
      </x:c>
      <x:c r="D2681" s="16" t="n">
        <x:v>17381.5185905972</x:v>
      </x:c>
      <x:c r="E2681" s="16" t="n">
        <x:v>2408.9579428821</x:v>
      </x:c>
      <x:c r="F2681" s="23" t="n">
        <x:v>4</x:v>
      </x:c>
    </x:row>
    <x:row r="2682">
      <x:c r="A2682" s="15" t="n">
        <x:v>45444</x:v>
      </x:c>
      <x:c r="B2682" s="13" t="str">
        <x:v>Health Care</x:v>
      </x:c>
      <x:c r="C2682" s="16" t="n">
        <x:v>7414.6489608767</x:v>
      </x:c>
      <x:c r="D2682" s="16" t="n">
        <x:v>8139.7988744767</x:v>
      </x:c>
      <x:c r="E2682" s="16" t="n">
        <x:v>725.1499136</x:v>
      </x:c>
      <x:c r="F2682" s="23" t="n">
        <x:v>4</x:v>
      </x:c>
    </x:row>
    <x:row r="2683">
      <x:c r="A2683" s="15" t="n">
        <x:v>45444</x:v>
      </x:c>
      <x:c r="B2683" s="13" t="str">
        <x:v>Homebuilders</x:v>
      </x:c>
      <x:c r="C2683" s="16" t="n">
        <x:v>2069.6796652712</x:v>
      </x:c>
      <x:c r="D2683" s="16" t="n">
        <x:v>2233.3263095233</x:v>
      </x:c>
      <x:c r="E2683" s="16" t="n">
        <x:v>163.6466442521</x:v>
      </x:c>
      <x:c r="F2683" s="23" t="n">
        <x:v>3</x:v>
      </x:c>
    </x:row>
    <x:row r="2684">
      <x:c r="A2684" s="15" t="n">
        <x:v>45444</x:v>
      </x:c>
      <x:c r="B2684" s="13" t="str">
        <x:v>Income Properties</x:v>
      </x:c>
      <x:c r="C2684" s="16" t="n">
        <x:v>2449.0090146192</x:v>
      </x:c>
      <x:c r="D2684" s="16" t="n">
        <x:v>2393.344461852</x:v>
      </x:c>
      <x:c r="E2684" s="16" t="n">
        <x:v>-55.6645527671</x:v>
      </x:c>
      <x:c r="F2684" s="23" t="n">
        <x:v>3</x:v>
      </x:c>
    </x:row>
    <x:row r="2685">
      <x:c r="A2685" s="15" t="n">
        <x:v>45444</x:v>
      </x:c>
      <x:c r="B2685" s="13" t="str">
        <x:v>Metals &amp; Mining</x:v>
      </x:c>
      <x:c r="C2685" s="16" t="n">
        <x:v>64294.4983709809</x:v>
      </x:c>
      <x:c r="D2685" s="16" t="n">
        <x:v>62891.6096354191</x:v>
      </x:c>
      <x:c r="E2685" s="16" t="n">
        <x:v>-1402.8887355617</x:v>
      </x:c>
      <x:c r="F2685" s="23" t="n">
        <x:v>6</x:v>
      </x:c>
    </x:row>
    <x:row r="2686">
      <x:c r="A2686" s="15" t="n">
        <x:v>45444</x:v>
      </x:c>
      <x:c r="B2686" s="13" t="str">
        <x:v>Oil, Gas &amp; Petrochemicals</x:v>
      </x:c>
      <x:c r="C2686" s="16" t="n">
        <x:v>126108.5141219945</x:v>
      </x:c>
      <x:c r="D2686" s="16" t="n">
        <x:v>123832.0627634854</x:v>
      </x:c>
      <x:c r="E2686" s="16" t="n">
        <x:v>-2276.4513585091</x:v>
      </x:c>
      <x:c r="F2686" s="23" t="n">
        <x:v>8</x:v>
      </x:c>
    </x:row>
    <x:row r="2687">
      <x:c r="A2687" s="15" t="n">
        <x:v>45444</x:v>
      </x:c>
      <x:c r="B2687" s="13" t="str">
        <x:v>Pulp &amp; Paper</x:v>
      </x:c>
      <x:c r="C2687" s="16" t="n">
        <x:v>9028.9339719452</x:v>
      </x:c>
      <x:c r="D2687" s="16" t="n">
        <x:v>10993.6292565918</x:v>
      </x:c>
      <x:c r="E2687" s="16" t="n">
        <x:v>1964.6952846466</x:v>
      </x:c>
      <x:c r="F2687" s="23" t="n">
        <x:v>3</x:v>
      </x:c>
    </x:row>
    <x:row r="2688">
      <x:c r="A2688" s="15" t="n">
        <x:v>45444</x:v>
      </x:c>
      <x:c r="B2688" s="13" t="str">
        <x:v>Retail</x:v>
      </x:c>
      <x:c r="C2688" s="16" t="n">
        <x:v>7759.2323473973</x:v>
      </x:c>
      <x:c r="D2688" s="16" t="n">
        <x:v>8322.4253253699</x:v>
      </x:c>
      <x:c r="E2688" s="16" t="n">
        <x:v>563.1929779726</x:v>
      </x:c>
      <x:c r="F2688" s="23" t="n">
        <x:v>12</x:v>
      </x:c>
    </x:row>
    <x:row r="2689">
      <x:c r="A2689" s="15" t="n">
        <x:v>45444</x:v>
      </x:c>
      <x:c r="B2689" s="13" t="str">
        <x:v>Sanitation</x:v>
      </x:c>
      <x:c r="C2689" s="16" t="n">
        <x:v>4368.0381138411</x:v>
      </x:c>
      <x:c r="D2689" s="16" t="n">
        <x:v>4472.5349516274</x:v>
      </x:c>
      <x:c r="E2689" s="16" t="n">
        <x:v>104.4968377863</x:v>
      </x:c>
      <x:c r="F2689" s="23" t="n">
        <x:v>1</x:v>
      </x:c>
    </x:row>
    <x:row r="2690">
      <x:c r="A2690" s="15" t="n">
        <x:v>45444</x:v>
      </x:c>
      <x:c r="B2690" s="13" t="str">
        <x:v>TMT</x:v>
      </x:c>
      <x:c r="C2690" s="16" t="n">
        <x:v>4521.1955716164</x:v>
      </x:c>
      <x:c r="D2690" s="16" t="n">
        <x:v>4641.1098985863</x:v>
      </x:c>
      <x:c r="E2690" s="16" t="n">
        <x:v>119.9143269699</x:v>
      </x:c>
      <x:c r="F2690" s="23" t="n">
        <x:v>3</x:v>
      </x:c>
    </x:row>
    <x:row r="2691">
      <x:c r="A2691" s="15" t="n">
        <x:v>45444</x:v>
      </x:c>
      <x:c r="B2691" s="13" t="str">
        <x:v>Transportation</x:v>
      </x:c>
      <x:c r="C2691" s="16" t="n">
        <x:v>9699.6407530959</x:v>
      </x:c>
      <x:c r="D2691" s="16" t="n">
        <x:v>8444.4164757041</x:v>
      </x:c>
      <x:c r="E2691" s="16" t="n">
        <x:v>-1255.2242773918</x:v>
      </x:c>
      <x:c r="F2691" s="23" t="n">
        <x:v>5</x:v>
      </x:c>
    </x:row>
    <x:row r="2692">
      <x:c r="A2692" s="15" t="n">
        <x:v>45444</x:v>
      </x:c>
      <x:c r="B2692" s="13" t="str">
        <x:v>Utilities &amp; Energy</x:v>
      </x:c>
      <x:c r="C2692" s="16" t="n">
        <x:v>42078.6881283507</x:v>
      </x:c>
      <x:c r="D2692" s="16" t="n">
        <x:v>43173.6899647123</x:v>
      </x:c>
      <x:c r="E2692" s="16" t="n">
        <x:v>1095.0018363616</x:v>
      </x:c>
      <x:c r="F2692" s="23" t="n">
        <x:v>11</x:v>
      </x:c>
    </x:row>
    <x:row r="2693">
      <x:c r="A2693" s="15" t="n">
        <x:v>45474</x:v>
      </x:c>
      <x:c r="B2693" s="13" t="str">
        <x:v>Agribusiness</x:v>
      </x:c>
      <x:c r="C2693" s="16" t="n">
        <x:v>6350.1114608219</x:v>
      </x:c>
      <x:c r="D2693" s="16" t="n">
        <x:v>5986.1854570959</x:v>
      </x:c>
      <x:c r="E2693" s="16" t="n">
        <x:v>-363.926003726</x:v>
      </x:c>
      <x:c r="F2693" s="23" t="n">
        <x:v>3</x:v>
      </x:c>
    </x:row>
    <x:row r="2694">
      <x:c r="A2694" s="15" t="n">
        <x:v>45474</x:v>
      </x:c>
      <x:c r="B2694" s="13" t="str">
        <x:v>Banks</x:v>
      </x:c>
      <x:c r="C2694" s="16" t="n">
        <x:v>147523.8961656985</x:v>
      </x:c>
      <x:c r="D2694" s="16" t="n">
        <x:v>153682.8588705316</x:v>
      </x:c>
      <x:c r="E2694" s="16" t="n">
        <x:v>6158.9627048331</x:v>
      </x:c>
      <x:c r="F2694" s="23" t="n">
        <x:v>6</x:v>
      </x:c>
    </x:row>
    <x:row r="2695">
      <x:c r="A2695" s="15" t="n">
        <x:v>45474</x:v>
      </x:c>
      <x:c r="B2695" s="13" t="str">
        <x:v>Capital Goods</x:v>
      </x:c>
      <x:c r="C2695" s="16" t="n">
        <x:v>6863.7557979178</x:v>
      </x:c>
      <x:c r="D2695" s="16" t="n">
        <x:v>7734.6079140822</x:v>
      </x:c>
      <x:c r="E2695" s="16" t="n">
        <x:v>870.8521161644</x:v>
      </x:c>
      <x:c r="F2695" s="23" t="n">
        <x:v>2</x:v>
      </x:c>
    </x:row>
    <x:row r="2696">
      <x:c r="A2696" s="15" t="n">
        <x:v>45474</x:v>
      </x:c>
      <x:c r="B2696" s="13" t="str">
        <x:v>Education</x:v>
      </x:c>
      <x:c r="C2696" s="16" t="n">
        <x:v>1015.5725799452</x:v>
      </x:c>
      <x:c r="D2696" s="16" t="n">
        <x:v>953.2090624</x:v>
      </x:c>
      <x:c r="E2696" s="16" t="n">
        <x:v>-62.3635175452</x:v>
      </x:c>
      <x:c r="F2696" s="23" t="n">
        <x:v>2</x:v>
      </x:c>
    </x:row>
    <x:row r="2697">
      <x:c r="A2697" s="15" t="n">
        <x:v>45474</x:v>
      </x:c>
      <x:c r="B2697" s="13" t="str">
        <x:v>Financials Non-Banks</x:v>
      </x:c>
      <x:c r="C2697" s="16" t="n">
        <x:v>30903.7187743561</x:v>
      </x:c>
      <x:c r="D2697" s="16" t="n">
        <x:v>31847.9655881644</x:v>
      </x:c>
      <x:c r="E2697" s="16" t="n">
        <x:v>944.2468138083</x:v>
      </x:c>
      <x:c r="F2697" s="23" t="n">
        <x:v>5</x:v>
      </x:c>
    </x:row>
    <x:row r="2698">
      <x:c r="A2698" s="15" t="n">
        <x:v>45474</x:v>
      </x:c>
      <x:c r="B2698" s="13" t="str">
        <x:v>Food &amp; Beverages</x:v>
      </x:c>
      <x:c r="C2698" s="16" t="n">
        <x:v>15880.2615153973</x:v>
      </x:c>
      <x:c r="D2698" s="16" t="n">
        <x:v>17677.9735399014</x:v>
      </x:c>
      <x:c r="E2698" s="16" t="n">
        <x:v>1797.7120245041</x:v>
      </x:c>
      <x:c r="F2698" s="23" t="n">
        <x:v>4</x:v>
      </x:c>
    </x:row>
    <x:row r="2699">
      <x:c r="A2699" s="15" t="n">
        <x:v>45474</x:v>
      </x:c>
      <x:c r="B2699" s="13" t="str">
        <x:v>Health Care</x:v>
      </x:c>
      <x:c r="C2699" s="16" t="n">
        <x:v>7286.1928328767</x:v>
      </x:c>
      <x:c r="D2699" s="16" t="n">
        <x:v>8186.9583118027</x:v>
      </x:c>
      <x:c r="E2699" s="16" t="n">
        <x:v>900.765478926</x:v>
      </x:c>
      <x:c r="F2699" s="23" t="n">
        <x:v>4</x:v>
      </x:c>
    </x:row>
    <x:row r="2700">
      <x:c r="A2700" s="15" t="n">
        <x:v>45474</x:v>
      </x:c>
      <x:c r="B2700" s="13" t="str">
        <x:v>Homebuilders</x:v>
      </x:c>
      <x:c r="C2700" s="16" t="n">
        <x:v>2158.3674415342</x:v>
      </x:c>
      <x:c r="D2700" s="16" t="n">
        <x:v>2123.9906794521</x:v>
      </x:c>
      <x:c r="E2700" s="16" t="n">
        <x:v>-34.3767620822</x:v>
      </x:c>
      <x:c r="F2700" s="23" t="n">
        <x:v>3</x:v>
      </x:c>
    </x:row>
    <x:row r="2701">
      <x:c r="A2701" s="15" t="n">
        <x:v>45474</x:v>
      </x:c>
      <x:c r="B2701" s="13" t="str">
        <x:v>Income Properties</x:v>
      </x:c>
      <x:c r="C2701" s="16" t="n">
        <x:v>2425.0156453699</x:v>
      </x:c>
      <x:c r="D2701" s="16" t="n">
        <x:v>2420.1282764274</x:v>
      </x:c>
      <x:c r="E2701" s="16" t="n">
        <x:v>-4.8873689425</x:v>
      </x:c>
      <x:c r="F2701" s="23" t="n">
        <x:v>3</x:v>
      </x:c>
    </x:row>
    <x:row r="2702">
      <x:c r="A2702" s="15" t="n">
        <x:v>45474</x:v>
      </x:c>
      <x:c r="B2702" s="13" t="str">
        <x:v>Metals &amp; Mining</x:v>
      </x:c>
      <x:c r="C2702" s="16" t="n">
        <x:v>60392.9710378082</x:v>
      </x:c>
      <x:c r="D2702" s="16" t="n">
        <x:v>66047.0878949699</x:v>
      </x:c>
      <x:c r="E2702" s="16" t="n">
        <x:v>5654.1168571617</x:v>
      </x:c>
      <x:c r="F2702" s="23" t="n">
        <x:v>7</x:v>
      </x:c>
    </x:row>
    <x:row r="2703">
      <x:c r="A2703" s="15" t="n">
        <x:v>45474</x:v>
      </x:c>
      <x:c r="B2703" s="13" t="str">
        <x:v>Oil, Gas &amp; Petrochemicals</x:v>
      </x:c>
      <x:c r="C2703" s="16" t="n">
        <x:v>134441.8049315073</x:v>
      </x:c>
      <x:c r="D2703" s="16" t="n">
        <x:v>138578.8912608435</x:v>
      </x:c>
      <x:c r="E2703" s="16" t="n">
        <x:v>4137.0863293362</x:v>
      </x:c>
      <x:c r="F2703" s="23" t="n">
        <x:v>8</x:v>
      </x:c>
    </x:row>
    <x:row r="2704">
      <x:c r="A2704" s="15" t="n">
        <x:v>45474</x:v>
      </x:c>
      <x:c r="B2704" s="13" t="str">
        <x:v>Pulp &amp; Paper</x:v>
      </x:c>
      <x:c r="C2704" s="16" t="n">
        <x:v>9415.6977915616</x:v>
      </x:c>
      <x:c r="D2704" s="16" t="n">
        <x:v>11317.2681119562</x:v>
      </x:c>
      <x:c r="E2704" s="16" t="n">
        <x:v>1901.5703203945</x:v>
      </x:c>
      <x:c r="F2704" s="23" t="n">
        <x:v>3</x:v>
      </x:c>
    </x:row>
    <x:row r="2705">
      <x:c r="A2705" s="15" t="n">
        <x:v>45474</x:v>
      </x:c>
      <x:c r="B2705" s="13" t="str">
        <x:v>Retail</x:v>
      </x:c>
      <x:c r="C2705" s="16" t="n">
        <x:v>8101.9174783562</x:v>
      </x:c>
      <x:c r="D2705" s="16" t="n">
        <x:v>8048.1707017315</x:v>
      </x:c>
      <x:c r="E2705" s="16" t="n">
        <x:v>-53.7467766247</x:v>
      </x:c>
      <x:c r="F2705" s="23" t="n">
        <x:v>12</x:v>
      </x:c>
    </x:row>
    <x:row r="2706">
      <x:c r="A2706" s="15" t="n">
        <x:v>45474</x:v>
      </x:c>
      <x:c r="B2706" s="13" t="str">
        <x:v>Sanitation</x:v>
      </x:c>
      <x:c r="C2706" s="16" t="n">
        <x:v>4407.9699883836</x:v>
      </x:c>
      <x:c r="D2706" s="16" t="n">
        <x:v>4169.1120247233</x:v>
      </x:c>
      <x:c r="E2706" s="16" t="n">
        <x:v>-238.8579636603</x:v>
      </x:c>
      <x:c r="F2706" s="23" t="n">
        <x:v>1</x:v>
      </x:c>
    </x:row>
    <x:row r="2707">
      <x:c r="A2707" s="15" t="n">
        <x:v>45474</x:v>
      </x:c>
      <x:c r="B2707" s="13" t="str">
        <x:v>TMT</x:v>
      </x:c>
      <x:c r="C2707" s="16" t="n">
        <x:v>4577.732627726</x:v>
      </x:c>
      <x:c r="D2707" s="16" t="n">
        <x:v>4569.0370632767</x:v>
      </x:c>
      <x:c r="E2707" s="16" t="n">
        <x:v>-8.6955644493</x:v>
      </x:c>
      <x:c r="F2707" s="23" t="n">
        <x:v>3</x:v>
      </x:c>
    </x:row>
    <x:row r="2708">
      <x:c r="A2708" s="15" t="n">
        <x:v>45474</x:v>
      </x:c>
      <x:c r="B2708" s="13" t="str">
        <x:v>Transportation</x:v>
      </x:c>
      <x:c r="C2708" s="16" t="n">
        <x:v>9297.1912201644</x:v>
      </x:c>
      <x:c r="D2708" s="16" t="n">
        <x:v>8894.7962657315</x:v>
      </x:c>
      <x:c r="E2708" s="16" t="n">
        <x:v>-402.3949544329</x:v>
      </x:c>
      <x:c r="F2708" s="23" t="n">
        <x:v>5</x:v>
      </x:c>
    </x:row>
    <x:row r="2709">
      <x:c r="A2709" s="15" t="n">
        <x:v>45474</x:v>
      </x:c>
      <x:c r="B2709" s="13" t="str">
        <x:v>Utilities &amp; Energy</x:v>
      </x:c>
      <x:c r="C2709" s="16" t="n">
        <x:v>42026.6974185205</x:v>
      </x:c>
      <x:c r="D2709" s="16" t="n">
        <x:v>41772.5140348493</x:v>
      </x:c>
      <x:c r="E2709" s="16" t="n">
        <x:v>-254.1833836712</x:v>
      </x:c>
      <x:c r="F2709" s="23" t="n">
        <x:v>11</x:v>
      </x:c>
    </x:row>
    <x:row r="2710">
      <x:c r="A2710" s="15" t="n">
        <x:v>45505</x:v>
      </x:c>
      <x:c r="B2710" s="13" t="str">
        <x:v>Agribusiness</x:v>
      </x:c>
      <x:c r="C2710" s="16" t="n">
        <x:v>6314.681735189</x:v>
      </x:c>
      <x:c r="D2710" s="16" t="n">
        <x:v>5588.3376580384</x:v>
      </x:c>
      <x:c r="E2710" s="16" t="n">
        <x:v>-726.3440771507</x:v>
      </x:c>
      <x:c r="F2710" s="23" t="n">
        <x:v>3</x:v>
      </x:c>
    </x:row>
    <x:row r="2711">
      <x:c r="A2711" s="15" t="n">
        <x:v>45505</x:v>
      </x:c>
      <x:c r="B2711" s="13" t="str">
        <x:v>Banks</x:v>
      </x:c>
      <x:c r="C2711" s="16" t="n">
        <x:v>150437.822205896</x:v>
      </x:c>
      <x:c r="D2711" s="16" t="n">
        <x:v>157081.2313403616</x:v>
      </x:c>
      <x:c r="E2711" s="16" t="n">
        <x:v>6643.4091344656</x:v>
      </x:c>
      <x:c r="F2711" s="23" t="n">
        <x:v>6</x:v>
      </x:c>
    </x:row>
    <x:row r="2712">
      <x:c r="A2712" s="15" t="n">
        <x:v>45505</x:v>
      </x:c>
      <x:c r="B2712" s="13" t="str">
        <x:v>Capital Goods</x:v>
      </x:c>
      <x:c r="C2712" s="16" t="n">
        <x:v>7207.8210742356</x:v>
      </x:c>
      <x:c r="D2712" s="16" t="n">
        <x:v>7990.1880670685</x:v>
      </x:c>
      <x:c r="E2712" s="16" t="n">
        <x:v>782.3669928329</x:v>
      </x:c>
      <x:c r="F2712" s="23" t="n">
        <x:v>2</x:v>
      </x:c>
    </x:row>
    <x:row r="2713">
      <x:c r="A2713" s="15" t="n">
        <x:v>45505</x:v>
      </x:c>
      <x:c r="B2713" s="13" t="str">
        <x:v>Education</x:v>
      </x:c>
      <x:c r="C2713" s="16" t="n">
        <x:v>921.7937704329</x:v>
      </x:c>
      <x:c r="D2713" s="16" t="n">
        <x:v>968.4574140493</x:v>
      </x:c>
      <x:c r="E2713" s="16" t="n">
        <x:v>46.6636436164</x:v>
      </x:c>
      <x:c r="F2713" s="23" t="n">
        <x:v>2</x:v>
      </x:c>
    </x:row>
    <x:row r="2714">
      <x:c r="A2714" s="15" t="n">
        <x:v>45505</x:v>
      </x:c>
      <x:c r="B2714" s="13" t="str">
        <x:v>Financials Non-Banks</x:v>
      </x:c>
      <x:c r="C2714" s="16" t="n">
        <x:v>29471.485637611</x:v>
      </x:c>
      <x:c r="D2714" s="16" t="n">
        <x:v>30290.2880955617</x:v>
      </x:c>
      <x:c r="E2714" s="16" t="n">
        <x:v>818.8024579507</x:v>
      </x:c>
      <x:c r="F2714" s="23" t="n">
        <x:v>4</x:v>
      </x:c>
    </x:row>
    <x:row r="2715">
      <x:c r="A2715" s="15" t="n">
        <x:v>45505</x:v>
      </x:c>
      <x:c r="B2715" s="13" t="str">
        <x:v>Food &amp; Beverages</x:v>
      </x:c>
      <x:c r="C2715" s="16" t="n">
        <x:v>17325.6084318246</x:v>
      </x:c>
      <x:c r="D2715" s="16" t="n">
        <x:v>18293.3591914959</x:v>
      </x:c>
      <x:c r="E2715" s="16" t="n">
        <x:v>967.7507596713</x:v>
      </x:c>
      <x:c r="F2715" s="23" t="n">
        <x:v>4</x:v>
      </x:c>
    </x:row>
    <x:row r="2716">
      <x:c r="A2716" s="15" t="n">
        <x:v>45505</x:v>
      </x:c>
      <x:c r="B2716" s="13" t="str">
        <x:v>Health Care</x:v>
      </x:c>
      <x:c r="C2716" s="16" t="n">
        <x:v>7407.0528459397</x:v>
      </x:c>
      <x:c r="D2716" s="16" t="n">
        <x:v>8540.6358612164</x:v>
      </x:c>
      <x:c r="E2716" s="16" t="n">
        <x:v>1133.5830152767</x:v>
      </x:c>
      <x:c r="F2716" s="23" t="n">
        <x:v>4</x:v>
      </x:c>
    </x:row>
    <x:row r="2717">
      <x:c r="A2717" s="15" t="n">
        <x:v>45505</x:v>
      </x:c>
      <x:c r="B2717" s="13" t="str">
        <x:v>Homebuilders</x:v>
      </x:c>
      <x:c r="C2717" s="16" t="n">
        <x:v>2210.6172193315</x:v>
      </x:c>
      <x:c r="D2717" s="16" t="n">
        <x:v>2229.3464469479</x:v>
      </x:c>
      <x:c r="E2717" s="16" t="n">
        <x:v>18.7292276164</x:v>
      </x:c>
      <x:c r="F2717" s="23" t="n">
        <x:v>3</x:v>
      </x:c>
    </x:row>
    <x:row r="2718">
      <x:c r="A2718" s="15" t="n">
        <x:v>45505</x:v>
      </x:c>
      <x:c r="B2718" s="13" t="str">
        <x:v>Income Properties</x:v>
      </x:c>
      <x:c r="C2718" s="16" t="n">
        <x:v>2388.5586051507</x:v>
      </x:c>
      <x:c r="D2718" s="16" t="n">
        <x:v>2416.1519715069</x:v>
      </x:c>
      <x:c r="E2718" s="16" t="n">
        <x:v>27.5933663562</x:v>
      </x:c>
      <x:c r="F2718" s="23" t="n">
        <x:v>3</x:v>
      </x:c>
    </x:row>
    <x:row r="2719">
      <x:c r="A2719" s="15" t="n">
        <x:v>45505</x:v>
      </x:c>
      <x:c r="B2719" s="13" t="str">
        <x:v>Metals &amp; Mining</x:v>
      </x:c>
      <x:c r="C2719" s="16" t="n">
        <x:v>61451.9597683726</x:v>
      </x:c>
      <x:c r="D2719" s="16" t="n">
        <x:v>63791.9900645698</x:v>
      </x:c>
      <x:c r="E2719" s="16" t="n">
        <x:v>2340.0302961972</x:v>
      </x:c>
      <x:c r="F2719" s="23" t="n">
        <x:v>7</x:v>
      </x:c>
    </x:row>
    <x:row r="2720">
      <x:c r="A2720" s="15" t="n">
        <x:v>45505</x:v>
      </x:c>
      <x:c r="B2720" s="13" t="str">
        <x:v>Oil, Gas &amp; Petrochemicals</x:v>
      </x:c>
      <x:c r="C2720" s="16" t="n">
        <x:v>129495.4909147177</x:v>
      </x:c>
      <x:c r="D2720" s="16" t="n">
        <x:v>127509.4254930416</x:v>
      </x:c>
      <x:c r="E2720" s="16" t="n">
        <x:v>-1986.0654216761</x:v>
      </x:c>
      <x:c r="F2720" s="23" t="n">
        <x:v>8</x:v>
      </x:c>
    </x:row>
    <x:row r="2721">
      <x:c r="A2721" s="15" t="n">
        <x:v>45505</x:v>
      </x:c>
      <x:c r="B2721" s="13" t="str">
        <x:v>Pulp &amp; Paper</x:v>
      </x:c>
      <x:c r="C2721" s="16" t="n">
        <x:v>10193.4810261918</x:v>
      </x:c>
      <x:c r="D2721" s="16" t="n">
        <x:v>10837.557193863</x:v>
      </x:c>
      <x:c r="E2721" s="16" t="n">
        <x:v>644.0761676712</x:v>
      </x:c>
      <x:c r="F2721" s="23" t="n">
        <x:v>3</x:v>
      </x:c>
    </x:row>
    <x:row r="2722">
      <x:c r="A2722" s="15" t="n">
        <x:v>45505</x:v>
      </x:c>
      <x:c r="B2722" s="13" t="str">
        <x:v>Retail</x:v>
      </x:c>
      <x:c r="C2722" s="16" t="n">
        <x:v>8133.1195559014</x:v>
      </x:c>
      <x:c r="D2722" s="16" t="n">
        <x:v>8205.1974953644</x:v>
      </x:c>
      <x:c r="E2722" s="16" t="n">
        <x:v>72.077939463</x:v>
      </x:c>
      <x:c r="F2722" s="23" t="n">
        <x:v>12</x:v>
      </x:c>
    </x:row>
    <x:row r="2723">
      <x:c r="A2723" s="15" t="n">
        <x:v>45505</x:v>
      </x:c>
      <x:c r="B2723" s="13" t="str">
        <x:v>Sanitation</x:v>
      </x:c>
      <x:c r="C2723" s="16" t="n">
        <x:v>4429.0527919343</x:v>
      </x:c>
      <x:c r="D2723" s="16" t="n">
        <x:v>4336.5332297644</x:v>
      </x:c>
      <x:c r="E2723" s="16" t="n">
        <x:v>-92.5195621699</x:v>
      </x:c>
      <x:c r="F2723" s="23" t="n">
        <x:v>1</x:v>
      </x:c>
    </x:row>
    <x:row r="2724">
      <x:c r="A2724" s="15" t="n">
        <x:v>45505</x:v>
      </x:c>
      <x:c r="B2724" s="13" t="str">
        <x:v>TMT</x:v>
      </x:c>
      <x:c r="C2724" s="16" t="n">
        <x:v>4603.8579619726</x:v>
      </x:c>
      <x:c r="D2724" s="16" t="n">
        <x:v>4611.6189835616</x:v>
      </x:c>
      <x:c r="E2724" s="16" t="n">
        <x:v>7.761021589</x:v>
      </x:c>
      <x:c r="F2724" s="23" t="n">
        <x:v>3</x:v>
      </x:c>
    </x:row>
    <x:row r="2725">
      <x:c r="A2725" s="15" t="n">
        <x:v>45505</x:v>
      </x:c>
      <x:c r="B2725" s="13" t="str">
        <x:v>Transportation</x:v>
      </x:c>
      <x:c r="C2725" s="16" t="n">
        <x:v>8841.177991189</x:v>
      </x:c>
      <x:c r="D2725" s="16" t="n">
        <x:v>7379.4065383452</x:v>
      </x:c>
      <x:c r="E2725" s="16" t="n">
        <x:v>-1461.7714528438</x:v>
      </x:c>
      <x:c r="F2725" s="23" t="n">
        <x:v>5</x:v>
      </x:c>
    </x:row>
    <x:row r="2726">
      <x:c r="A2726" s="15" t="n">
        <x:v>45505</x:v>
      </x:c>
      <x:c r="B2726" s="13" t="str">
        <x:v>Utilities &amp; Energy</x:v>
      </x:c>
      <x:c r="C2726" s="16" t="n">
        <x:v>43212.6049495671</x:v>
      </x:c>
      <x:c r="D2726" s="16" t="n">
        <x:v>41880.788434937</x:v>
      </x:c>
      <x:c r="E2726" s="16" t="n">
        <x:v>-1331.8165146301</x:v>
      </x:c>
      <x:c r="F2726" s="23" t="n">
        <x:v>11</x:v>
      </x:c>
    </x:row>
    <x:row r="2727">
      <x:c r="A2727" s="15" t="n">
        <x:v>45536</x:v>
      </x:c>
      <x:c r="B2727" s="13" t="str">
        <x:v>Agribusiness</x:v>
      </x:c>
      <x:c r="C2727" s="16" t="n">
        <x:v>5780.5966016877</x:v>
      </x:c>
      <x:c r="D2727" s="16" t="n">
        <x:v>5546.0920078027</x:v>
      </x:c>
      <x:c r="E2727" s="16" t="n">
        <x:v>-234.5045938849</x:v>
      </x:c>
      <x:c r="F2727" s="23" t="n">
        <x:v>3</x:v>
      </x:c>
    </x:row>
    <x:row r="2728">
      <x:c r="A2728" s="15" t="n">
        <x:v>45536</x:v>
      </x:c>
      <x:c r="B2728" s="13" t="str">
        <x:v>Banks</x:v>
      </x:c>
      <x:c r="C2728" s="16" t="n">
        <x:v>151347.0059505972</x:v>
      </x:c>
      <x:c r="D2728" s="16" t="n">
        <x:v>158776.5536459398</x:v>
      </x:c>
      <x:c r="E2728" s="16" t="n">
        <x:v>7429.5476953426</x:v>
      </x:c>
      <x:c r="F2728" s="23" t="n">
        <x:v>6</x:v>
      </x:c>
    </x:row>
    <x:row r="2729">
      <x:c r="A2729" s="15" t="n">
        <x:v>45536</x:v>
      </x:c>
      <x:c r="B2729" s="13" t="str">
        <x:v>Capital Goods</x:v>
      </x:c>
      <x:c r="C2729" s="16" t="n">
        <x:v>7383.1211449863</x:v>
      </x:c>
      <x:c r="D2729" s="16" t="n">
        <x:v>8343.7544942466</x:v>
      </x:c>
      <x:c r="E2729" s="16" t="n">
        <x:v>960.6333492603</x:v>
      </x:c>
      <x:c r="F2729" s="23" t="n">
        <x:v>2</x:v>
      </x:c>
    </x:row>
    <x:row r="2730">
      <x:c r="A2730" s="15" t="n">
        <x:v>45536</x:v>
      </x:c>
      <x:c r="B2730" s="13" t="str">
        <x:v>Education</x:v>
      </x:c>
      <x:c r="C2730" s="16" t="n">
        <x:v>938.9403416548</x:v>
      </x:c>
      <x:c r="D2730" s="16" t="n">
        <x:v>943.5587860164</x:v>
      </x:c>
      <x:c r="E2730" s="16" t="n">
        <x:v>4.6184443616</x:v>
      </x:c>
      <x:c r="F2730" s="23" t="n">
        <x:v>2</x:v>
      </x:c>
    </x:row>
    <x:row r="2731">
      <x:c r="A2731" s="15" t="n">
        <x:v>45536</x:v>
      </x:c>
      <x:c r="B2731" s="13" t="str">
        <x:v>Financials Non-Banks</x:v>
      </x:c>
      <x:c r="C2731" s="16" t="n">
        <x:v>29515.3589582905</x:v>
      </x:c>
      <x:c r="D2731" s="16" t="n">
        <x:v>30561.4033004712</x:v>
      </x:c>
      <x:c r="E2731" s="16" t="n">
        <x:v>1046.0443421808</x:v>
      </x:c>
      <x:c r="F2731" s="23" t="n">
        <x:v>4</x:v>
      </x:c>
    </x:row>
    <x:row r="2732">
      <x:c r="A2732" s="15" t="n">
        <x:v>45536</x:v>
      </x:c>
      <x:c r="B2732" s="13" t="str">
        <x:v>Food &amp; Beverages</x:v>
      </x:c>
      <x:c r="C2732" s="16" t="n">
        <x:v>17381.5185905972</x:v>
      </x:c>
      <x:c r="D2732" s="16" t="n">
        <x:v>18297.4189355836</x:v>
      </x:c>
      <x:c r="E2732" s="16" t="n">
        <x:v>915.9003449864</x:v>
      </x:c>
      <x:c r="F2732" s="23" t="n">
        <x:v>4</x:v>
      </x:c>
    </x:row>
    <x:row r="2733">
      <x:c r="A2733" s="15" t="n">
        <x:v>45536</x:v>
      </x:c>
      <x:c r="B2733" s="13" t="str">
        <x:v>Health Care</x:v>
      </x:c>
      <x:c r="C2733" s="16" t="n">
        <x:v>8139.7988744767</x:v>
      </x:c>
      <x:c r="D2733" s="16" t="n">
        <x:v>8652.3270919014</x:v>
      </x:c>
      <x:c r="E2733" s="16" t="n">
        <x:v>512.5282174247</x:v>
      </x:c>
      <x:c r="F2733" s="23" t="n">
        <x:v>4</x:v>
      </x:c>
    </x:row>
    <x:row r="2734">
      <x:c r="A2734" s="15" t="n">
        <x:v>45536</x:v>
      </x:c>
      <x:c r="B2734" s="13" t="str">
        <x:v>Homebuilders</x:v>
      </x:c>
      <x:c r="C2734" s="16" t="n">
        <x:v>2233.3263095233</x:v>
      </x:c>
      <x:c r="D2734" s="16" t="n">
        <x:v>2287.6470874301</x:v>
      </x:c>
      <x:c r="E2734" s="16" t="n">
        <x:v>54.3207779069</x:v>
      </x:c>
      <x:c r="F2734" s="23" t="n">
        <x:v>3</x:v>
      </x:c>
    </x:row>
    <x:row r="2735">
      <x:c r="A2735" s="15" t="n">
        <x:v>45536</x:v>
      </x:c>
      <x:c r="B2735" s="13" t="str">
        <x:v>Income Properties</x:v>
      </x:c>
      <x:c r="C2735" s="16" t="n">
        <x:v>2393.344461852</x:v>
      </x:c>
      <x:c r="D2735" s="16" t="n">
        <x:v>2452.5867117589</x:v>
      </x:c>
      <x:c r="E2735" s="16" t="n">
        <x:v>59.2422499068</x:v>
      </x:c>
      <x:c r="F2735" s="23" t="n">
        <x:v>3</x:v>
      </x:c>
    </x:row>
    <x:row r="2736">
      <x:c r="A2736" s="15" t="n">
        <x:v>45536</x:v>
      </x:c>
      <x:c r="B2736" s="13" t="str">
        <x:v>Metals &amp; Mining</x:v>
      </x:c>
      <x:c r="C2736" s="16" t="n">
        <x:v>64947.5959054027</x:v>
      </x:c>
      <x:c r="D2736" s="16" t="n">
        <x:v>64067.4272385753</x:v>
      </x:c>
      <x:c r="E2736" s="16" t="n">
        <x:v>-880.1686668274</x:v>
      </x:c>
      <x:c r="F2736" s="23" t="n">
        <x:v>7</x:v>
      </x:c>
    </x:row>
    <x:row r="2737">
      <x:c r="A2737" s="15" t="n">
        <x:v>45536</x:v>
      </x:c>
      <x:c r="B2737" s="13" t="str">
        <x:v>Oil, Gas &amp; Petrochemicals</x:v>
      </x:c>
      <x:c r="C2737" s="16" t="n">
        <x:v>123832.0627634854</x:v>
      </x:c>
      <x:c r="D2737" s="16" t="n">
        <x:v>118568.7485883614</x:v>
      </x:c>
      <x:c r="E2737" s="16" t="n">
        <x:v>-5263.314175124</x:v>
      </x:c>
      <x:c r="F2737" s="23" t="n">
        <x:v>8</x:v>
      </x:c>
    </x:row>
    <x:row r="2738">
      <x:c r="A2738" s="15" t="n">
        <x:v>45536</x:v>
      </x:c>
      <x:c r="B2738" s="13" t="str">
        <x:v>Pulp &amp; Paper</x:v>
      </x:c>
      <x:c r="C2738" s="16" t="n">
        <x:v>10622.4309156822</x:v>
      </x:c>
      <x:c r="D2738" s="16" t="n">
        <x:v>9999.2181472438</x:v>
      </x:c>
      <x:c r="E2738" s="16" t="n">
        <x:v>-623.2127684383</x:v>
      </x:c>
      <x:c r="F2738" s="23" t="n">
        <x:v>2</x:v>
      </x:c>
    </x:row>
    <x:row r="2739">
      <x:c r="A2739" s="15" t="n">
        <x:v>45536</x:v>
      </x:c>
      <x:c r="B2739" s="13" t="str">
        <x:v>Retail</x:v>
      </x:c>
      <x:c r="C2739" s="16" t="n">
        <x:v>8372.5426699836</x:v>
      </x:c>
      <x:c r="D2739" s="16" t="n">
        <x:v>8261.763756537</x:v>
      </x:c>
      <x:c r="E2739" s="16" t="n">
        <x:v>-110.7789134466</x:v>
      </x:c>
      <x:c r="F2739" s="23" t="n">
        <x:v>12</x:v>
      </x:c>
    </x:row>
    <x:row r="2740">
      <x:c r="A2740" s="15" t="n">
        <x:v>45536</x:v>
      </x:c>
      <x:c r="B2740" s="13" t="str">
        <x:v>Sanitation</x:v>
      </x:c>
      <x:c r="C2740" s="16" t="n">
        <x:v>4472.5349516274</x:v>
      </x:c>
      <x:c r="D2740" s="16" t="n">
        <x:v>4416.9151796603</x:v>
      </x:c>
      <x:c r="E2740" s="16" t="n">
        <x:v>-55.6197719671</x:v>
      </x:c>
      <x:c r="F2740" s="23" t="n">
        <x:v>1</x:v>
      </x:c>
    </x:row>
    <x:row r="2741">
      <x:c r="A2741" s="15" t="n">
        <x:v>45536</x:v>
      </x:c>
      <x:c r="B2741" s="13" t="str">
        <x:v>TMT</x:v>
      </x:c>
      <x:c r="C2741" s="16" t="n">
        <x:v>4641.1098985863</x:v>
      </x:c>
      <x:c r="D2741" s="16" t="n">
        <x:v>4750.9511689644</x:v>
      </x:c>
      <x:c r="E2741" s="16" t="n">
        <x:v>109.8412703781</x:v>
      </x:c>
      <x:c r="F2741" s="23" t="n">
        <x:v>3</x:v>
      </x:c>
    </x:row>
    <x:row r="2742">
      <x:c r="A2742" s="15" t="n">
        <x:v>45536</x:v>
      </x:c>
      <x:c r="B2742" s="13" t="str">
        <x:v>Transportation</x:v>
      </x:c>
      <x:c r="C2742" s="16" t="n">
        <x:v>8444.4164757041</x:v>
      </x:c>
      <x:c r="D2742" s="16" t="n">
        <x:v>7634.7071924603</x:v>
      </x:c>
      <x:c r="E2742" s="16" t="n">
        <x:v>-809.7092832438</x:v>
      </x:c>
      <x:c r="F2742" s="23" t="n">
        <x:v>5</x:v>
      </x:c>
    </x:row>
    <x:row r="2743">
      <x:c r="A2743" s="15" t="n">
        <x:v>45536</x:v>
      </x:c>
      <x:c r="B2743" s="13" t="str">
        <x:v>Utilities &amp; Energy</x:v>
      </x:c>
      <x:c r="C2743" s="16" t="n">
        <x:v>43173.6899647123</x:v>
      </x:c>
      <x:c r="D2743" s="16" t="n">
        <x:v>42178.8532883288</x:v>
      </x:c>
      <x:c r="E2743" s="16" t="n">
        <x:v>-994.8366763835</x:v>
      </x:c>
      <x:c r="F2743" s="23" t="n">
        <x:v>11</x:v>
      </x:c>
    </x:row>
    <x:row r="2744">
      <x:c r="A2744" s="15" t="n">
        <x:v>45566</x:v>
      </x:c>
      <x:c r="B2744" s="13" t="str">
        <x:v>Agribusiness</x:v>
      </x:c>
      <x:c r="C2744" s="16" t="n">
        <x:v>5986.1854570959</x:v>
      </x:c>
      <x:c r="D2744" s="16" t="n">
        <x:v>5514.9573756493</x:v>
      </x:c>
      <x:c r="E2744" s="16" t="n">
        <x:v>-471.2280814466</x:v>
      </x:c>
      <x:c r="F2744" s="23" t="n">
        <x:v>3</x:v>
      </x:c>
    </x:row>
    <x:row r="2745">
      <x:c r="A2745" s="15" t="n">
        <x:v>45566</x:v>
      </x:c>
      <x:c r="B2745" s="13" t="str">
        <x:v>Banks</x:v>
      </x:c>
      <x:c r="C2745" s="16" t="n">
        <x:v>153682.8588705316</x:v>
      </x:c>
      <x:c r="D2745" s="16" t="n">
        <x:v>160888.1926256218</x:v>
      </x:c>
      <x:c r="E2745" s="16" t="n">
        <x:v>7205.3337550902</x:v>
      </x:c>
      <x:c r="F2745" s="23" t="n">
        <x:v>6</x:v>
      </x:c>
    </x:row>
    <x:row r="2746">
      <x:c r="A2746" s="15" t="n">
        <x:v>45566</x:v>
      </x:c>
      <x:c r="B2746" s="13" t="str">
        <x:v>Capital Goods</x:v>
      </x:c>
      <x:c r="C2746" s="16" t="n">
        <x:v>7734.6079140822</x:v>
      </x:c>
      <x:c r="D2746" s="16" t="n">
        <x:v>8892.9462724384</x:v>
      </x:c>
      <x:c r="E2746" s="16" t="n">
        <x:v>1158.3383583562</x:v>
      </x:c>
      <x:c r="F2746" s="23" t="n">
        <x:v>2</x:v>
      </x:c>
    </x:row>
    <x:row r="2747">
      <x:c r="A2747" s="15" t="n">
        <x:v>45566</x:v>
      </x:c>
      <x:c r="B2747" s="13" t="str">
        <x:v>Education</x:v>
      </x:c>
      <x:c r="C2747" s="16" t="n">
        <x:v>953.2090624</x:v>
      </x:c>
      <x:c r="D2747" s="16" t="n">
        <x:v>938.3345124822</x:v>
      </x:c>
      <x:c r="E2747" s="16" t="n">
        <x:v>-14.8745499178</x:v>
      </x:c>
      <x:c r="F2747" s="23" t="n">
        <x:v>2</x:v>
      </x:c>
    </x:row>
    <x:row r="2748">
      <x:c r="A2748" s="15" t="n">
        <x:v>45566</x:v>
      </x:c>
      <x:c r="B2748" s="13" t="str">
        <x:v>Financials Non-Banks</x:v>
      </x:c>
      <x:c r="C2748" s="16" t="n">
        <x:v>29937.206098937</x:v>
      </x:c>
      <x:c r="D2748" s="16" t="n">
        <x:v>30668.5465888438</x:v>
      </x:c>
      <x:c r="E2748" s="16" t="n">
        <x:v>731.3404899068</x:v>
      </x:c>
      <x:c r="F2748" s="23" t="n">
        <x:v>4</x:v>
      </x:c>
    </x:row>
    <x:row r="2749">
      <x:c r="A2749" s="15" t="n">
        <x:v>45566</x:v>
      </x:c>
      <x:c r="B2749" s="13" t="str">
        <x:v>Food &amp; Beverages</x:v>
      </x:c>
      <x:c r="C2749" s="16" t="n">
        <x:v>17677.9735399014</x:v>
      </x:c>
      <x:c r="D2749" s="16" t="n">
        <x:v>19835.7715167562</x:v>
      </x:c>
      <x:c r="E2749" s="16" t="n">
        <x:v>2157.7979768548</x:v>
      </x:c>
      <x:c r="F2749" s="23" t="n">
        <x:v>4</x:v>
      </x:c>
    </x:row>
    <x:row r="2750">
      <x:c r="A2750" s="15" t="n">
        <x:v>45566</x:v>
      </x:c>
      <x:c r="B2750" s="13" t="str">
        <x:v>Health Care</x:v>
      </x:c>
      <x:c r="C2750" s="16" t="n">
        <x:v>8186.9583118027</x:v>
      </x:c>
      <x:c r="D2750" s="16" t="n">
        <x:v>8310.3891817206</x:v>
      </x:c>
      <x:c r="E2750" s="16" t="n">
        <x:v>123.4308699178</x:v>
      </x:c>
      <x:c r="F2750" s="23" t="n">
        <x:v>4</x:v>
      </x:c>
    </x:row>
    <x:row r="2751">
      <x:c r="A2751" s="15" t="n">
        <x:v>45566</x:v>
      </x:c>
      <x:c r="B2751" s="13" t="str">
        <x:v>Homebuilders</x:v>
      </x:c>
      <x:c r="C2751" s="16" t="n">
        <x:v>2123.9906794521</x:v>
      </x:c>
      <x:c r="D2751" s="16" t="n">
        <x:v>2350.4795668603</x:v>
      </x:c>
      <x:c r="E2751" s="16" t="n">
        <x:v>226.4888874082</x:v>
      </x:c>
      <x:c r="F2751" s="23" t="n">
        <x:v>3</x:v>
      </x:c>
    </x:row>
    <x:row r="2752">
      <x:c r="A2752" s="15" t="n">
        <x:v>45566</x:v>
      </x:c>
      <x:c r="B2752" s="13" t="str">
        <x:v>Income Properties</x:v>
      </x:c>
      <x:c r="C2752" s="16" t="n">
        <x:v>2420.1282764274</x:v>
      </x:c>
      <x:c r="D2752" s="16" t="n">
        <x:v>2446.968402411</x:v>
      </x:c>
      <x:c r="E2752" s="16" t="n">
        <x:v>26.8401259836</x:v>
      </x:c>
      <x:c r="F2752" s="23" t="n">
        <x:v>3</x:v>
      </x:c>
    </x:row>
    <x:row r="2753">
      <x:c r="A2753" s="15" t="n">
        <x:v>45566</x:v>
      </x:c>
      <x:c r="B2753" s="13" t="str">
        <x:v>Metals &amp; Mining</x:v>
      </x:c>
      <x:c r="C2753" s="16" t="n">
        <x:v>66047.0878949699</x:v>
      </x:c>
      <x:c r="D2753" s="16" t="n">
        <x:v>62478.4002748055</x:v>
      </x:c>
      <x:c r="E2753" s="16" t="n">
        <x:v>-3568.6876201644</x:v>
      </x:c>
      <x:c r="F2753" s="23" t="n">
        <x:v>7</x:v>
      </x:c>
    </x:row>
    <x:row r="2754">
      <x:c r="A2754" s="15" t="n">
        <x:v>45566</x:v>
      </x:c>
      <x:c r="B2754" s="13" t="str">
        <x:v>Oil, Gas &amp; Petrochemicals</x:v>
      </x:c>
      <x:c r="C2754" s="16" t="n">
        <x:v>138578.8912608435</x:v>
      </x:c>
      <x:c r="D2754" s="16" t="n">
        <x:v>122449.9671656331</x:v>
      </x:c>
      <x:c r="E2754" s="16" t="n">
        <x:v>-16128.9240952105</x:v>
      </x:c>
      <x:c r="F2754" s="23" t="n">
        <x:v>8</x:v>
      </x:c>
    </x:row>
    <x:row r="2755">
      <x:c r="A2755" s="15" t="n">
        <x:v>45566</x:v>
      </x:c>
      <x:c r="B2755" s="13" t="str">
        <x:v>Pulp &amp; Paper</x:v>
      </x:c>
      <x:c r="C2755" s="16" t="n">
        <x:v>11013.7986209315</x:v>
      </x:c>
      <x:c r="D2755" s="16" t="n">
        <x:v>10550.1879892164</x:v>
      </x:c>
      <x:c r="E2755" s="16" t="n">
        <x:v>-463.6106317151</x:v>
      </x:c>
      <x:c r="F2755" s="23" t="n">
        <x:v>2</x:v>
      </x:c>
    </x:row>
    <x:row r="2756">
      <x:c r="A2756" s="15" t="n">
        <x:v>45566</x:v>
      </x:c>
      <x:c r="B2756" s="13" t="str">
        <x:v>Retail</x:v>
      </x:c>
      <x:c r="C2756" s="16" t="n">
        <x:v>8118.152201874</x:v>
      </x:c>
      <x:c r="D2756" s="16" t="n">
        <x:v>8147.135076789</x:v>
      </x:c>
      <x:c r="E2756" s="16" t="n">
        <x:v>28.9828749151</x:v>
      </x:c>
      <x:c r="F2756" s="23" t="n">
        <x:v>12</x:v>
      </x:c>
    </x:row>
    <x:row r="2757">
      <x:c r="A2757" s="15" t="n">
        <x:v>45566</x:v>
      </x:c>
      <x:c r="B2757" s="13" t="str">
        <x:v>Sanitation</x:v>
      </x:c>
      <x:c r="C2757" s="16" t="n">
        <x:v>4169.1120247233</x:v>
      </x:c>
      <x:c r="D2757" s="16" t="n">
        <x:v>4637.2770268931</x:v>
      </x:c>
      <x:c r="E2757" s="16" t="n">
        <x:v>468.1650021699</x:v>
      </x:c>
      <x:c r="F2757" s="23" t="n">
        <x:v>1</x:v>
      </x:c>
    </x:row>
    <x:row r="2758">
      <x:c r="A2758" s="15" t="n">
        <x:v>45566</x:v>
      </x:c>
      <x:c r="B2758" s="13" t="str">
        <x:v>TMT</x:v>
      </x:c>
      <x:c r="C2758" s="16" t="n">
        <x:v>4569.0370632767</x:v>
      </x:c>
      <x:c r="D2758" s="16" t="n">
        <x:v>4827.6558958904</x:v>
      </x:c>
      <x:c r="E2758" s="16" t="n">
        <x:v>258.6188326137</x:v>
      </x:c>
      <x:c r="F2758" s="23" t="n">
        <x:v>3</x:v>
      </x:c>
    </x:row>
    <x:row r="2759">
      <x:c r="A2759" s="15" t="n">
        <x:v>45566</x:v>
      </x:c>
      <x:c r="B2759" s="13" t="str">
        <x:v>Transportation</x:v>
      </x:c>
      <x:c r="C2759" s="16" t="n">
        <x:v>8894.7962657315</x:v>
      </x:c>
      <x:c r="D2759" s="16" t="n">
        <x:v>8165.3487765041</x:v>
      </x:c>
      <x:c r="E2759" s="16" t="n">
        <x:v>-729.4474892274</x:v>
      </x:c>
      <x:c r="F2759" s="23" t="n">
        <x:v>5</x:v>
      </x:c>
    </x:row>
    <x:row r="2760">
      <x:c r="A2760" s="15" t="n">
        <x:v>45566</x:v>
      </x:c>
      <x:c r="B2760" s="13" t="str">
        <x:v>Utilities &amp; Energy</x:v>
      </x:c>
      <x:c r="C2760" s="16" t="n">
        <x:v>41772.5140348493</x:v>
      </x:c>
      <x:c r="D2760" s="16" t="n">
        <x:v>43675.2695401206</x:v>
      </x:c>
      <x:c r="E2760" s="16" t="n">
        <x:v>1902.7555052713</x:v>
      </x:c>
      <x:c r="F2760" s="23" t="n">
        <x:v>11</x:v>
      </x:c>
    </x:row>
    <x:row r="2761">
      <x:c r="A2761" s="15" t="n">
        <x:v>45597</x:v>
      </x:c>
      <x:c r="B2761" s="13" t="str">
        <x:v>Agribusiness</x:v>
      </x:c>
      <x:c r="C2761" s="16" t="n">
        <x:v>5588.3376580384</x:v>
      </x:c>
      <x:c r="D2761" s="16" t="n">
        <x:v>5373.9648648767</x:v>
      </x:c>
      <x:c r="E2761" s="16" t="n">
        <x:v>-214.3727931616</x:v>
      </x:c>
      <x:c r="F2761" s="23" t="n">
        <x:v>3</x:v>
      </x:c>
    </x:row>
    <x:row r="2762">
      <x:c r="A2762" s="15" t="n">
        <x:v>45597</x:v>
      </x:c>
      <x:c r="B2762" s="13" t="str">
        <x:v>Banks</x:v>
      </x:c>
      <x:c r="C2762" s="16" t="n">
        <x:v>157081.2313403616</x:v>
      </x:c>
      <x:c r="D2762" s="16" t="n">
        <x:v>162478.3732736</x:v>
      </x:c>
      <x:c r="E2762" s="16" t="n">
        <x:v>5397.1419332384</x:v>
      </x:c>
      <x:c r="F2762" s="23" t="n">
        <x:v>6</x:v>
      </x:c>
    </x:row>
    <x:row r="2763">
      <x:c r="A2763" s="15" t="n">
        <x:v>45597</x:v>
      </x:c>
      <x:c r="B2763" s="13" t="str">
        <x:v>Capital Goods</x:v>
      </x:c>
      <x:c r="C2763" s="16" t="n">
        <x:v>7990.1880670685</x:v>
      </x:c>
      <x:c r="D2763" s="16" t="n">
        <x:v>9183.8917814356</x:v>
      </x:c>
      <x:c r="E2763" s="16" t="n">
        <x:v>1193.7037143671</x:v>
      </x:c>
      <x:c r="F2763" s="23" t="n">
        <x:v>2</x:v>
      </x:c>
    </x:row>
    <x:row r="2764">
      <x:c r="A2764" s="15" t="n">
        <x:v>45597</x:v>
      </x:c>
      <x:c r="B2764" s="13" t="str">
        <x:v>Education</x:v>
      </x:c>
      <x:c r="C2764" s="16" t="n">
        <x:v>968.4574140493</x:v>
      </x:c>
      <x:c r="D2764" s="16" t="n">
        <x:v>934.1365739836</x:v>
      </x:c>
      <x:c r="E2764" s="16" t="n">
        <x:v>-34.3208400658</x:v>
      </x:c>
      <x:c r="F2764" s="23" t="n">
        <x:v>2</x:v>
      </x:c>
    </x:row>
    <x:row r="2765">
      <x:c r="A2765" s="15" t="n">
        <x:v>45597</x:v>
      </x:c>
      <x:c r="B2765" s="13" t="str">
        <x:v>Financials Non-Banks</x:v>
      </x:c>
      <x:c r="C2765" s="16" t="n">
        <x:v>30290.2880955617</x:v>
      </x:c>
      <x:c r="D2765" s="16" t="n">
        <x:v>31352.2448783781</x:v>
      </x:c>
      <x:c r="E2765" s="16" t="n">
        <x:v>1061.9567828165</x:v>
      </x:c>
      <x:c r="F2765" s="23" t="n">
        <x:v>4</x:v>
      </x:c>
    </x:row>
    <x:row r="2766">
      <x:c r="A2766" s="15" t="n">
        <x:v>45597</x:v>
      </x:c>
      <x:c r="B2766" s="13" t="str">
        <x:v>Food &amp; Beverages</x:v>
      </x:c>
      <x:c r="C2766" s="16" t="n">
        <x:v>18293.3591914959</x:v>
      </x:c>
      <x:c r="D2766" s="16" t="n">
        <x:v>19746.2868427397</x:v>
      </x:c>
      <x:c r="E2766" s="16" t="n">
        <x:v>1452.9276512438</x:v>
      </x:c>
      <x:c r="F2766" s="23" t="n">
        <x:v>4</x:v>
      </x:c>
    </x:row>
    <x:row r="2767">
      <x:c r="A2767" s="15" t="n">
        <x:v>45597</x:v>
      </x:c>
      <x:c r="B2767" s="13" t="str">
        <x:v>Health Care</x:v>
      </x:c>
      <x:c r="C2767" s="16" t="n">
        <x:v>8540.6358612164</x:v>
      </x:c>
      <x:c r="D2767" s="16" t="n">
        <x:v>8347.9350250959</x:v>
      </x:c>
      <x:c r="E2767" s="16" t="n">
        <x:v>-192.7008361205</x:v>
      </x:c>
      <x:c r="F2767" s="23" t="n">
        <x:v>4</x:v>
      </x:c>
    </x:row>
    <x:row r="2768">
      <x:c r="A2768" s="15" t="n">
        <x:v>45597</x:v>
      </x:c>
      <x:c r="B2768" s="13" t="str">
        <x:v>Homebuilders</x:v>
      </x:c>
      <x:c r="C2768" s="16" t="n">
        <x:v>2229.3464469479</x:v>
      </x:c>
      <x:c r="D2768" s="16" t="n">
        <x:v>2423.0220985863</x:v>
      </x:c>
      <x:c r="E2768" s="16" t="n">
        <x:v>193.6756516384</x:v>
      </x:c>
      <x:c r="F2768" s="23" t="n">
        <x:v>3</x:v>
      </x:c>
    </x:row>
    <x:row r="2769">
      <x:c r="A2769" s="15" t="n">
        <x:v>45597</x:v>
      </x:c>
      <x:c r="B2769" s="13" t="str">
        <x:v>Income Properties</x:v>
      </x:c>
      <x:c r="C2769" s="16" t="n">
        <x:v>2416.1519715069</x:v>
      </x:c>
      <x:c r="D2769" s="16" t="n">
        <x:v>2389.8571556822</x:v>
      </x:c>
      <x:c r="E2769" s="16" t="n">
        <x:v>-26.2948158247</x:v>
      </x:c>
      <x:c r="F2769" s="23" t="n">
        <x:v>3</x:v>
      </x:c>
    </x:row>
    <x:row r="2770">
      <x:c r="A2770" s="15" t="n">
        <x:v>45597</x:v>
      </x:c>
      <x:c r="B2770" s="13" t="str">
        <x:v>Metals &amp; Mining</x:v>
      </x:c>
      <x:c r="C2770" s="16" t="n">
        <x:v>63791.9900645698</x:v>
      </x:c>
      <x:c r="D2770" s="16" t="n">
        <x:v>62957.9680922301</x:v>
      </x:c>
      <x:c r="E2770" s="16" t="n">
        <x:v>-834.0219723397</x:v>
      </x:c>
      <x:c r="F2770" s="23" t="n">
        <x:v>7</x:v>
      </x:c>
    </x:row>
    <x:row r="2771">
      <x:c r="A2771" s="15" t="n">
        <x:v>45597</x:v>
      </x:c>
      <x:c r="B2771" s="13" t="str">
        <x:v>Oil, Gas &amp; Petrochemicals</x:v>
      </x:c>
      <x:c r="C2771" s="16" t="n">
        <x:v>127509.4254930416</x:v>
      </x:c>
      <x:c r="D2771" s="16" t="n">
        <x:v>127209.0933191891</x:v>
      </x:c>
      <x:c r="E2771" s="16" t="n">
        <x:v>-300.3321738525</x:v>
      </x:c>
      <x:c r="F2771" s="23" t="n">
        <x:v>8</x:v>
      </x:c>
    </x:row>
    <x:row r="2772">
      <x:c r="A2772" s="15" t="n">
        <x:v>45597</x:v>
      </x:c>
      <x:c r="B2772" s="13" t="str">
        <x:v>Pulp &amp; Paper</x:v>
      </x:c>
      <x:c r="C2772" s="16" t="n">
        <x:v>10477.0707448986</x:v>
      </x:c>
      <x:c r="D2772" s="16" t="n">
        <x:v>11041.4002547726</x:v>
      </x:c>
      <x:c r="E2772" s="16" t="n">
        <x:v>564.329509874</x:v>
      </x:c>
      <x:c r="F2772" s="23" t="n">
        <x:v>2</x:v>
      </x:c>
    </x:row>
    <x:row r="2773">
      <x:c r="A2773" s="15" t="n">
        <x:v>45597</x:v>
      </x:c>
      <x:c r="B2773" s="13" t="str">
        <x:v>Retail</x:v>
      </x:c>
      <x:c r="C2773" s="16" t="n">
        <x:v>8205.1974953644</x:v>
      </x:c>
      <x:c r="D2773" s="16" t="n">
        <x:v>8704.0397047233</x:v>
      </x:c>
      <x:c r="E2773" s="16" t="n">
        <x:v>498.8422093589</x:v>
      </x:c>
      <x:c r="F2773" s="23" t="n">
        <x:v>12</x:v>
      </x:c>
    </x:row>
    <x:row r="2774">
      <x:c r="A2774" s="15" t="n">
        <x:v>45597</x:v>
      </x:c>
      <x:c r="B2774" s="13" t="str">
        <x:v>Sanitation</x:v>
      </x:c>
      <x:c r="C2774" s="16" t="n">
        <x:v>4336.5332297644</x:v>
      </x:c>
      <x:c r="D2774" s="16" t="n">
        <x:v>4688.6965037589</x:v>
      </x:c>
      <x:c r="E2774" s="16" t="n">
        <x:v>352.1632739945</x:v>
      </x:c>
      <x:c r="F2774" s="23" t="n">
        <x:v>1</x:v>
      </x:c>
    </x:row>
    <x:row r="2775">
      <x:c r="A2775" s="15" t="n">
        <x:v>45597</x:v>
      </x:c>
      <x:c r="B2775" s="13" t="str">
        <x:v>TMT</x:v>
      </x:c>
      <x:c r="C2775" s="16" t="n">
        <x:v>4611.6189835616</x:v>
      </x:c>
      <x:c r="D2775" s="16" t="n">
        <x:v>4838.1416688219</x:v>
      </x:c>
      <x:c r="E2775" s="16" t="n">
        <x:v>226.5226852603</x:v>
      </x:c>
      <x:c r="F2775" s="23" t="n">
        <x:v>3</x:v>
      </x:c>
    </x:row>
    <x:row r="2776">
      <x:c r="A2776" s="15" t="n">
        <x:v>45597</x:v>
      </x:c>
      <x:c r="B2776" s="13" t="str">
        <x:v>Transportation</x:v>
      </x:c>
      <x:c r="C2776" s="16" t="n">
        <x:v>7379.4065383452</x:v>
      </x:c>
      <x:c r="D2776" s="16" t="n">
        <x:v>8820.1723984767</x:v>
      </x:c>
      <x:c r="E2776" s="16" t="n">
        <x:v>1440.7658601315</x:v>
      </x:c>
      <x:c r="F2776" s="23" t="n">
        <x:v>5</x:v>
      </x:c>
    </x:row>
    <x:row r="2777">
      <x:c r="A2777" s="15" t="n">
        <x:v>45597</x:v>
      </x:c>
      <x:c r="B2777" s="13" t="str">
        <x:v>Utilities &amp; Energy</x:v>
      </x:c>
      <x:c r="C2777" s="16" t="n">
        <x:v>41880.788434937</x:v>
      </x:c>
      <x:c r="D2777" s="16" t="n">
        <x:v>46119.5875745314</x:v>
      </x:c>
      <x:c r="E2777" s="16" t="n">
        <x:v>4238.7991395944</x:v>
      </x:c>
      <x:c r="F2777" s="23" t="n">
        <x:v>11</x:v>
      </x:c>
    </x:row>
    <x:row r="2778">
      <x:c r="A2778" s="15" t="n">
        <x:v>45627</x:v>
      </x:c>
      <x:c r="B2778" s="13" t="str">
        <x:v>Agribusiness</x:v>
      </x:c>
      <x:c r="C2778" s="16" t="n">
        <x:v>5546.0920078027</x:v>
      </x:c>
      <x:c r="D2778" s="16" t="n">
        <x:v>5079.1888850411</x:v>
      </x:c>
      <x:c r="E2778" s="16" t="n">
        <x:v>-466.9031227616</x:v>
      </x:c>
      <x:c r="F2778" s="23" t="n">
        <x:v>3</x:v>
      </x:c>
    </x:row>
    <x:row r="2779">
      <x:c r="A2779" s="15" t="n">
        <x:v>45627</x:v>
      </x:c>
      <x:c r="B2779" s="13" t="str">
        <x:v>Banks</x:v>
      </x:c>
      <x:c r="C2779" s="16" t="n">
        <x:v>158776.5536459398</x:v>
      </x:c>
      <x:c r="D2779" s="16" t="n">
        <x:v>162536.497152</x:v>
      </x:c>
      <x:c r="E2779" s="16" t="n">
        <x:v>3759.9435060602</x:v>
      </x:c>
      <x:c r="F2779" s="23" t="n">
        <x:v>6</x:v>
      </x:c>
    </x:row>
    <x:row r="2780">
      <x:c r="A2780" s="15" t="n">
        <x:v>45627</x:v>
      </x:c>
      <x:c r="B2780" s="13" t="str">
        <x:v>Capital Goods</x:v>
      </x:c>
      <x:c r="C2780" s="16" t="n">
        <x:v>8343.7544942466</x:v>
      </x:c>
      <x:c r="D2780" s="16" t="n">
        <x:v>9609.000192</x:v>
      </x:c>
      <x:c r="E2780" s="16" t="n">
        <x:v>1265.2456977534</x:v>
      </x:c>
      <x:c r="F2780" s="23" t="n">
        <x:v>2</x:v>
      </x:c>
    </x:row>
    <x:row r="2781">
      <x:c r="A2781" s="15" t="n">
        <x:v>45627</x:v>
      </x:c>
      <x:c r="B2781" s="13" t="str">
        <x:v>Education</x:v>
      </x:c>
      <x:c r="C2781" s="16" t="n">
        <x:v>943.5587860164</x:v>
      </x:c>
      <x:c r="D2781" s="16" t="n">
        <x:v>882.627008</x:v>
      </x:c>
      <x:c r="E2781" s="16" t="n">
        <x:v>-60.9317780164</x:v>
      </x:c>
      <x:c r="F2781" s="23" t="n">
        <x:v>2</x:v>
      </x:c>
    </x:row>
    <x:row r="2782">
      <x:c r="A2782" s="15" t="n">
        <x:v>45627</x:v>
      </x:c>
      <x:c r="B2782" s="13" t="str">
        <x:v>Financials Non-Banks</x:v>
      </x:c>
      <x:c r="C2782" s="16" t="n">
        <x:v>34716.7561787617</x:v>
      </x:c>
      <x:c r="D2782" s="16" t="n">
        <x:v>35257.180224</x:v>
      </x:c>
      <x:c r="E2782" s="16" t="n">
        <x:v>540.4240452383</x:v>
      </x:c>
      <x:c r="F2782" s="23" t="n">
        <x:v>5</x:v>
      </x:c>
    </x:row>
    <x:row r="2783">
      <x:c r="A2783" s="15" t="n">
        <x:v>45627</x:v>
      </x:c>
      <x:c r="B2783" s="13" t="str">
        <x:v>Food &amp; Beverages</x:v>
      </x:c>
      <x:c r="C2783" s="16" t="n">
        <x:v>18297.4189355836</x:v>
      </x:c>
      <x:c r="D2783" s="16" t="n">
        <x:v>20046.165856</x:v>
      </x:c>
      <x:c r="E2783" s="16" t="n">
        <x:v>1748.7469204164</x:v>
      </x:c>
      <x:c r="F2783" s="23" t="n">
        <x:v>4</x:v>
      </x:c>
    </x:row>
    <x:row r="2784">
      <x:c r="A2784" s="15" t="n">
        <x:v>45627</x:v>
      </x:c>
      <x:c r="B2784" s="13" t="str">
        <x:v>Health Care</x:v>
      </x:c>
      <x:c r="C2784" s="16" t="n">
        <x:v>8652.3270919014</x:v>
      </x:c>
      <x:c r="D2784" s="16" t="n">
        <x:v>8138.884992</x:v>
      </x:c>
      <x:c r="E2784" s="16" t="n">
        <x:v>-513.4420999014</x:v>
      </x:c>
      <x:c r="F2784" s="23" t="n">
        <x:v>4</x:v>
      </x:c>
    </x:row>
    <x:row r="2785">
      <x:c r="A2785" s="15" t="n">
        <x:v>45627</x:v>
      </x:c>
      <x:c r="B2785" s="13" t="str">
        <x:v>Homebuilders</x:v>
      </x:c>
      <x:c r="C2785" s="16" t="n">
        <x:v>2287.6470874301</x:v>
      </x:c>
      <x:c r="D2785" s="16" t="n">
        <x:v>2505.91504</x:v>
      </x:c>
      <x:c r="E2785" s="16" t="n">
        <x:v>218.2679525699</x:v>
      </x:c>
      <x:c r="F2785" s="23" t="n">
        <x:v>3</x:v>
      </x:c>
    </x:row>
    <x:row r="2786">
      <x:c r="A2786" s="15" t="n">
        <x:v>45627</x:v>
      </x:c>
      <x:c r="B2786" s="13" t="str">
        <x:v>Income Properties</x:v>
      </x:c>
      <x:c r="C2786" s="16" t="n">
        <x:v>2452.5867117589</x:v>
      </x:c>
      <x:c r="D2786" s="16" t="n">
        <x:v>2393.322016</x:v>
      </x:c>
      <x:c r="E2786" s="16" t="n">
        <x:v>-59.2646957589</x:v>
      </x:c>
      <x:c r="F2786" s="23" t="n">
        <x:v>3</x:v>
      </x:c>
    </x:row>
    <x:row r="2787">
      <x:c r="A2787" s="15" t="n">
        <x:v>45627</x:v>
      </x:c>
      <x:c r="B2787" s="13" t="str">
        <x:v>Metals &amp; Mining</x:v>
      </x:c>
      <x:c r="C2787" s="16" t="n">
        <x:v>61845.5532821041</x:v>
      </x:c>
      <x:c r="D2787" s="16" t="n">
        <x:v>60613.160344</x:v>
      </x:c>
      <x:c r="E2787" s="16" t="n">
        <x:v>-1232.3929381041</x:v>
      </x:c>
      <x:c r="F2787" s="23" t="n">
        <x:v>6</x:v>
      </x:c>
    </x:row>
    <x:row r="2788">
      <x:c r="A2788" s="15" t="n">
        <x:v>45627</x:v>
      </x:c>
      <x:c r="B2788" s="13" t="str">
        <x:v>Oil, Gas &amp; Petrochemicals</x:v>
      </x:c>
      <x:c r="C2788" s="16" t="n">
        <x:v>118568.7485883614</x:v>
      </x:c>
      <x:c r="D2788" s="16" t="n">
        <x:v>130005.204352</x:v>
      </x:c>
      <x:c r="E2788" s="16" t="n">
        <x:v>11436.4557636386</x:v>
      </x:c>
      <x:c r="F2788" s="23" t="n">
        <x:v>8</x:v>
      </x:c>
    </x:row>
    <x:row r="2789">
      <x:c r="A2789" s="15" t="n">
        <x:v>45627</x:v>
      </x:c>
      <x:c r="B2789" s="13" t="str">
        <x:v>Pulp &amp; Paper</x:v>
      </x:c>
      <x:c r="C2789" s="16" t="n">
        <x:v>9999.2181472438</x:v>
      </x:c>
      <x:c r="D2789" s="16" t="n">
        <x:v>11931.77984</x:v>
      </x:c>
      <x:c r="E2789" s="16" t="n">
        <x:v>1932.5616927562</x:v>
      </x:c>
      <x:c r="F2789" s="23" t="n">
        <x:v>2</x:v>
      </x:c>
    </x:row>
    <x:row r="2790">
      <x:c r="A2790" s="15" t="n">
        <x:v>45627</x:v>
      </x:c>
      <x:c r="B2790" s="13" t="str">
        <x:v>Retail</x:v>
      </x:c>
      <x:c r="C2790" s="16" t="n">
        <x:v>8261.763756537</x:v>
      </x:c>
      <x:c r="D2790" s="16" t="n">
        <x:v>8435.494</x:v>
      </x:c>
      <x:c r="E2790" s="16" t="n">
        <x:v>173.730243463</x:v>
      </x:c>
      <x:c r="F2790" s="23" t="n">
        <x:v>12</x:v>
      </x:c>
    </x:row>
    <x:row r="2791">
      <x:c r="A2791" s="15" t="n">
        <x:v>45627</x:v>
      </x:c>
      <x:c r="B2791" s="13" t="str">
        <x:v>Sanitation</x:v>
      </x:c>
      <x:c r="C2791" s="16" t="n">
        <x:v>4416.9151796603</x:v>
      </x:c>
      <x:c r="D2791" s="16" t="n">
        <x:v>4917.929984</x:v>
      </x:c>
      <x:c r="E2791" s="16" t="n">
        <x:v>501.0148043397</x:v>
      </x:c>
      <x:c r="F2791" s="23" t="n">
        <x:v>1</x:v>
      </x:c>
    </x:row>
    <x:row r="2792">
      <x:c r="A2792" s="15" t="n">
        <x:v>45627</x:v>
      </x:c>
      <x:c r="B2792" s="13" t="str">
        <x:v>TMT</x:v>
      </x:c>
      <x:c r="C2792" s="16" t="n">
        <x:v>4750.9511689644</x:v>
      </x:c>
      <x:c r="D2792" s="16" t="n">
        <x:v>4856.762912</x:v>
      </x:c>
      <x:c r="E2792" s="16" t="n">
        <x:v>105.8117430356</x:v>
      </x:c>
      <x:c r="F2792" s="23" t="n">
        <x:v>3</x:v>
      </x:c>
    </x:row>
    <x:row r="2793">
      <x:c r="A2793" s="15" t="n">
        <x:v>45627</x:v>
      </x:c>
      <x:c r="B2793" s="13" t="str">
        <x:v>Transportation</x:v>
      </x:c>
      <x:c r="C2793" s="16" t="n">
        <x:v>8472.2933444384</x:v>
      </x:c>
      <x:c r="D2793" s="16" t="n">
        <x:v>9513.47696</x:v>
      </x:c>
      <x:c r="E2793" s="16" t="n">
        <x:v>1041.1836155616</x:v>
      </x:c>
      <x:c r="F2793" s="23" t="n">
        <x:v>6</x:v>
      </x:c>
    </x:row>
    <x:row r="2794">
      <x:c r="A2794" s="15" t="n">
        <x:v>45627</x:v>
      </x:c>
      <x:c r="B2794" s="13" t="str">
        <x:v>Utilities &amp; Energy</x:v>
      </x:c>
      <x:c r="C2794" s="16" t="n">
        <x:v>42863.5934088767</x:v>
      </x:c>
      <x:c r="D2794" s="16" t="n">
        <x:v>44736.509632</x:v>
      </x:c>
      <x:c r="E2794" s="16" t="n">
        <x:v>1872.9162231233</x:v>
      </x:c>
      <x:c r="F2794" s="23" t="n">
        <x:v>12</x:v>
      </x:c>
    </x:row>
    <x:row r="2795">
      <x:c r="A2795" s="15" t="n">
        <x:v>45658</x:v>
      </x:c>
      <x:c r="B2795" s="13" t="str">
        <x:v>Agribusiness</x:v>
      </x:c>
      <x:c r="C2795" s="16" t="n">
        <x:v>5514.9573756493</x:v>
      </x:c>
      <x:c r="D2795" s="16" t="n">
        <x:v>4193.0070691068</x:v>
      </x:c>
      <x:c r="E2795" s="16" t="n">
        <x:v>-1321.9503065425</x:v>
      </x:c>
      <x:c r="F2795" s="23" t="n">
        <x:v>3</x:v>
      </x:c>
    </x:row>
    <x:row r="2796">
      <x:c r="A2796" s="15" t="n">
        <x:v>45658</x:v>
      </x:c>
      <x:c r="B2796" s="13" t="str">
        <x:v>Banks</x:v>
      </x:c>
      <x:c r="C2796" s="16" t="n">
        <x:v>160888.1926256218</x:v>
      </x:c>
      <x:c r="D2796" s="16" t="n">
        <x:v>161820.5049393096</x:v>
      </x:c>
      <x:c r="E2796" s="16" t="n">
        <x:v>932.3123136878</x:v>
      </x:c>
      <x:c r="F2796" s="23" t="n">
        <x:v>6</x:v>
      </x:c>
    </x:row>
    <x:row r="2797">
      <x:c r="A2797" s="15" t="n">
        <x:v>45658</x:v>
      </x:c>
      <x:c r="B2797" s="13" t="str">
        <x:v>Capital Goods</x:v>
      </x:c>
      <x:c r="C2797" s="16" t="n">
        <x:v>8892.9462724384</x:v>
      </x:c>
      <x:c r="D2797" s="16" t="n">
        <x:v>9871.6042141808</x:v>
      </x:c>
      <x:c r="E2797" s="16" t="n">
        <x:v>978.6579417425</x:v>
      </x:c>
      <x:c r="F2797" s="23" t="n">
        <x:v>2</x:v>
      </x:c>
    </x:row>
    <x:row r="2798">
      <x:c r="A2798" s="15" t="n">
        <x:v>45658</x:v>
      </x:c>
      <x:c r="B2798" s="13" t="str">
        <x:v>Education</x:v>
      </x:c>
      <x:c r="C2798" s="16" t="n">
        <x:v>938.3345124822</x:v>
      </x:c>
      <x:c r="D2798" s="16" t="n">
        <x:v>800.4477198027</x:v>
      </x:c>
      <x:c r="E2798" s="16" t="n">
        <x:v>-137.8867926795</x:v>
      </x:c>
      <x:c r="F2798" s="23" t="n">
        <x:v>2</x:v>
      </x:c>
    </x:row>
    <x:row r="2799">
      <x:c r="A2799" s="15" t="n">
        <x:v>45658</x:v>
      </x:c>
      <x:c r="B2799" s="13" t="str">
        <x:v>Financials Non-Banks</x:v>
      </x:c>
      <x:c r="C2799" s="16" t="n">
        <x:v>34920.5163247342</x:v>
      </x:c>
      <x:c r="D2799" s="16" t="n">
        <x:v>35855.4228038137</x:v>
      </x:c>
      <x:c r="E2799" s="16" t="n">
        <x:v>934.9064790795</x:v>
      </x:c>
      <x:c r="F2799" s="23" t="n">
        <x:v>5</x:v>
      </x:c>
    </x:row>
    <x:row r="2800">
      <x:c r="A2800" s="15" t="n">
        <x:v>45658</x:v>
      </x:c>
      <x:c r="B2800" s="13" t="str">
        <x:v>Food &amp; Beverages</x:v>
      </x:c>
      <x:c r="C2800" s="16" t="n">
        <x:v>19835.7715167562</x:v>
      </x:c>
      <x:c r="D2800" s="16" t="n">
        <x:v>19993.807187989</x:v>
      </x:c>
      <x:c r="E2800" s="16" t="n">
        <x:v>158.0356712329</x:v>
      </x:c>
      <x:c r="F2800" s="23" t="n">
        <x:v>4</x:v>
      </x:c>
    </x:row>
    <x:row r="2801">
      <x:c r="A2801" s="15" t="n">
        <x:v>45658</x:v>
      </x:c>
      <x:c r="B2801" s="13" t="str">
        <x:v>Health Care</x:v>
      </x:c>
      <x:c r="C2801" s="16" t="n">
        <x:v>8310.3891817206</x:v>
      </x:c>
      <x:c r="D2801" s="16" t="n">
        <x:v>7701.7964686027</x:v>
      </x:c>
      <x:c r="E2801" s="16" t="n">
        <x:v>-608.5927131178</x:v>
      </x:c>
      <x:c r="F2801" s="23" t="n">
        <x:v>4</x:v>
      </x:c>
    </x:row>
    <x:row r="2802">
      <x:c r="A2802" s="15" t="n">
        <x:v>45658</x:v>
      </x:c>
      <x:c r="B2802" s="13" t="str">
        <x:v>Homebuilders</x:v>
      </x:c>
      <x:c r="C2802" s="16" t="n">
        <x:v>2016.9067105753</x:v>
      </x:c>
      <x:c r="D2802" s="16" t="n">
        <x:v>2286.5366989151</x:v>
      </x:c>
      <x:c r="E2802" s="16" t="n">
        <x:v>269.6299883397</x:v>
      </x:c>
      <x:c r="F2802" s="23" t="n">
        <x:v>2</x:v>
      </x:c>
    </x:row>
    <x:row r="2803">
      <x:c r="A2803" s="15" t="n">
        <x:v>45658</x:v>
      </x:c>
      <x:c r="B2803" s="13" t="str">
        <x:v>Income Properties</x:v>
      </x:c>
      <x:c r="C2803" s="16" t="n">
        <x:v>2446.968402411</x:v>
      </x:c>
      <x:c r="D2803" s="16" t="n">
        <x:v>2359.082572274</x:v>
      </x:c>
      <x:c r="E2803" s="16" t="n">
        <x:v>-87.885830137</x:v>
      </x:c>
      <x:c r="F2803" s="23" t="n">
        <x:v>3</x:v>
      </x:c>
    </x:row>
    <x:row r="2804">
      <x:c r="A2804" s="15" t="n">
        <x:v>45658</x:v>
      </x:c>
      <x:c r="B2804" s="13" t="str">
        <x:v>Metals &amp; Mining</x:v>
      </x:c>
      <x:c r="C2804" s="16" t="n">
        <x:v>60393.2714543781</x:v>
      </x:c>
      <x:c r="D2804" s="16" t="n">
        <x:v>56527.3932571178</x:v>
      </x:c>
      <x:c r="E2804" s="16" t="n">
        <x:v>-3865.8781972603</x:v>
      </x:c>
      <x:c r="F2804" s="23" t="n">
        <x:v>6</x:v>
      </x:c>
    </x:row>
    <x:row r="2805">
      <x:c r="A2805" s="15" t="n">
        <x:v>45658</x:v>
      </x:c>
      <x:c r="B2805" s="13" t="str">
        <x:v>Oil, Gas &amp; Petrochemicals</x:v>
      </x:c>
      <x:c r="C2805" s="16" t="n">
        <x:v>122449.9671656331</x:v>
      </x:c>
      <x:c r="D2805" s="16" t="n">
        <x:v>130112.9145519338</x:v>
      </x:c>
      <x:c r="E2805" s="16" t="n">
        <x:v>7662.9473863007</x:v>
      </x:c>
      <x:c r="F2805" s="23" t="n">
        <x:v>8</x:v>
      </x:c>
    </x:row>
    <x:row r="2806">
      <x:c r="A2806" s="15" t="n">
        <x:v>45658</x:v>
      </x:c>
      <x:c r="B2806" s="13" t="str">
        <x:v>Pulp &amp; Paper</x:v>
      </x:c>
      <x:c r="C2806" s="16" t="n">
        <x:v>10550.1879892164</x:v>
      </x:c>
      <x:c r="D2806" s="16" t="n">
        <x:v>13880.2611557699</x:v>
      </x:c>
      <x:c r="E2806" s="16" t="n">
        <x:v>3330.0731665534</x:v>
      </x:c>
      <x:c r="F2806" s="23" t="n">
        <x:v>2</x:v>
      </x:c>
    </x:row>
    <x:row r="2807">
      <x:c r="A2807" s="15" t="n">
        <x:v>45658</x:v>
      </x:c>
      <x:c r="B2807" s="13" t="str">
        <x:v>Retail</x:v>
      </x:c>
      <x:c r="C2807" s="16" t="n">
        <x:v>7733.9451577973</x:v>
      </x:c>
      <x:c r="D2807" s="16" t="n">
        <x:v>7390.7235564164</x:v>
      </x:c>
      <x:c r="E2807" s="16" t="n">
        <x:v>-343.2216013808</x:v>
      </x:c>
      <x:c r="F2807" s="23" t="n">
        <x:v>11</x:v>
      </x:c>
    </x:row>
    <x:row r="2808">
      <x:c r="A2808" s="15" t="n">
        <x:v>45658</x:v>
      </x:c>
      <x:c r="B2808" s="13" t="str">
        <x:v>Sanitation</x:v>
      </x:c>
      <x:c r="C2808" s="16" t="n">
        <x:v>4637.2770268931</x:v>
      </x:c>
      <x:c r="D2808" s="16" t="n">
        <x:v>4938.3170019945</x:v>
      </x:c>
      <x:c r="E2808" s="16" t="n">
        <x:v>301.0399751014</x:v>
      </x:c>
      <x:c r="F2808" s="23" t="n">
        <x:v>1</x:v>
      </x:c>
    </x:row>
    <x:row r="2809">
      <x:c r="A2809" s="15" t="n">
        <x:v>45658</x:v>
      </x:c>
      <x:c r="B2809" s="13" t="str">
        <x:v>TMT</x:v>
      </x:c>
      <x:c r="C2809" s="16" t="n">
        <x:v>4827.6558958904</x:v>
      </x:c>
      <x:c r="D2809" s="16" t="n">
        <x:v>4886.5509462795</x:v>
      </x:c>
      <x:c r="E2809" s="16" t="n">
        <x:v>58.895050389</x:v>
      </x:c>
      <x:c r="F2809" s="23" t="n">
        <x:v>3</x:v>
      </x:c>
    </x:row>
    <x:row r="2810">
      <x:c r="A2810" s="15" t="n">
        <x:v>45658</x:v>
      </x:c>
      <x:c r="B2810" s="13" t="str">
        <x:v>Transportation</x:v>
      </x:c>
      <x:c r="C2810" s="16" t="n">
        <x:v>9026.7618570521</x:v>
      </x:c>
      <x:c r="D2810" s="16" t="n">
        <x:v>9213.4592300712</x:v>
      </x:c>
      <x:c r="E2810" s="16" t="n">
        <x:v>186.6973730192</x:v>
      </x:c>
      <x:c r="F2810" s="23" t="n">
        <x:v>6</x:v>
      </x:c>
    </x:row>
    <x:row r="2811">
      <x:c r="A2811" s="15" t="n">
        <x:v>45658</x:v>
      </x:c>
      <x:c r="B2811" s="13" t="str">
        <x:v>Utilities &amp; Energy</x:v>
      </x:c>
      <x:c r="C2811" s="16" t="n">
        <x:v>44386.6224168329</x:v>
      </x:c>
      <x:c r="D2811" s="16" t="n">
        <x:v>42329.706291726</x:v>
      </x:c>
      <x:c r="E2811" s="16" t="n">
        <x:v>-2056.9161251069</x:v>
      </x:c>
      <x:c r="F2811" s="23" t="n">
        <x:v>12</x:v>
      </x:c>
    </x:row>
    <x:row r="2812">
      <x:c r="A2812" s="15" t="n">
        <x:v>45689</x:v>
      </x:c>
      <x:c r="B2812" s="13" t="str">
        <x:v>Agribusiness</x:v>
      </x:c>
      <x:c r="C2812" s="16" t="n">
        <x:v>5373.9648648767</x:v>
      </x:c>
      <x:c r="D2812" s="16" t="n">
        <x:v>3641.256050148</x:v>
      </x:c>
      <x:c r="E2812" s="16" t="n">
        <x:v>-1732.7088147288</x:v>
      </x:c>
      <x:c r="F2812" s="23" t="n">
        <x:v>3</x:v>
      </x:c>
    </x:row>
    <x:row r="2813">
      <x:c r="A2813" s="15" t="n">
        <x:v>45689</x:v>
      </x:c>
      <x:c r="B2813" s="13" t="str">
        <x:v>Banks</x:v>
      </x:c>
      <x:c r="C2813" s="16" t="n">
        <x:v>162478.3732736</x:v>
      </x:c>
      <x:c r="D2813" s="16" t="n">
        <x:v>160832.0680020166</x:v>
      </x:c>
      <x:c r="E2813" s="16" t="n">
        <x:v>-1646.3052715834</x:v>
      </x:c>
      <x:c r="F2813" s="23" t="n">
        <x:v>6</x:v>
      </x:c>
    </x:row>
    <x:row r="2814">
      <x:c r="A2814" s="15" t="n">
        <x:v>45689</x:v>
      </x:c>
      <x:c r="B2814" s="13" t="str">
        <x:v>Capital Goods</x:v>
      </x:c>
      <x:c r="C2814" s="16" t="n">
        <x:v>9183.8917814356</x:v>
      </x:c>
      <x:c r="D2814" s="16" t="n">
        <x:v>9895.6129728877</x:v>
      </x:c>
      <x:c r="E2814" s="16" t="n">
        <x:v>711.7211914521</x:v>
      </x:c>
      <x:c r="F2814" s="23" t="n">
        <x:v>2</x:v>
      </x:c>
    </x:row>
    <x:row r="2815">
      <x:c r="A2815" s="15" t="n">
        <x:v>45689</x:v>
      </x:c>
      <x:c r="B2815" s="13" t="str">
        <x:v>Education</x:v>
      </x:c>
      <x:c r="C2815" s="16" t="n">
        <x:v>934.1365739836</x:v>
      </x:c>
      <x:c r="D2815" s="16" t="n">
        <x:v>822.2799642301</x:v>
      </x:c>
      <x:c r="E2815" s="16" t="n">
        <x:v>-111.8566097534</x:v>
      </x:c>
      <x:c r="F2815" s="23" t="n">
        <x:v>2</x:v>
      </x:c>
    </x:row>
    <x:row r="2816">
      <x:c r="A2816" s="15" t="n">
        <x:v>45689</x:v>
      </x:c>
      <x:c r="B2816" s="13" t="str">
        <x:v>Financials Non-Banks</x:v>
      </x:c>
      <x:c r="C2816" s="16" t="n">
        <x:v>35638.2068939398</x:v>
      </x:c>
      <x:c r="D2816" s="16" t="n">
        <x:v>36052.7997091069</x:v>
      </x:c>
      <x:c r="E2816" s="16" t="n">
        <x:v>414.5928151671</x:v>
      </x:c>
      <x:c r="F2816" s="23" t="n">
        <x:v>5</x:v>
      </x:c>
    </x:row>
    <x:row r="2817">
      <x:c r="A2817" s="15" t="n">
        <x:v>45689</x:v>
      </x:c>
      <x:c r="B2817" s="13" t="str">
        <x:v>Food &amp; Beverages</x:v>
      </x:c>
      <x:c r="C2817" s="16" t="n">
        <x:v>19746.2868427397</x:v>
      </x:c>
      <x:c r="D2817" s="16" t="n">
        <x:v>20036.4901199781</x:v>
      </x:c>
      <x:c r="E2817" s="16" t="n">
        <x:v>290.2032772384</x:v>
      </x:c>
      <x:c r="F2817" s="23" t="n">
        <x:v>4</x:v>
      </x:c>
    </x:row>
    <x:row r="2818">
      <x:c r="A2818" s="15" t="n">
        <x:v>45689</x:v>
      </x:c>
      <x:c r="B2818" s="13" t="str">
        <x:v>Health Care</x:v>
      </x:c>
      <x:c r="C2818" s="16" t="n">
        <x:v>8347.9350250959</x:v>
      </x:c>
      <x:c r="D2818" s="16" t="n">
        <x:v>7969.5540017096</x:v>
      </x:c>
      <x:c r="E2818" s="16" t="n">
        <x:v>-378.3810233863</x:v>
      </x:c>
      <x:c r="F2818" s="23" t="n">
        <x:v>4</x:v>
      </x:c>
    </x:row>
    <x:row r="2819">
      <x:c r="A2819" s="15" t="n">
        <x:v>45689</x:v>
      </x:c>
      <x:c r="B2819" s="13" t="str">
        <x:v>Homebuilders</x:v>
      </x:c>
      <x:c r="C2819" s="16" t="n">
        <x:v>2080.5041634192</x:v>
      </x:c>
      <x:c r="D2819" s="16" t="n">
        <x:v>2372.6530486356</x:v>
      </x:c>
      <x:c r="E2819" s="16" t="n">
        <x:v>292.1488852164</x:v>
      </x:c>
      <x:c r="F2819" s="23" t="n">
        <x:v>2</x:v>
      </x:c>
    </x:row>
    <x:row r="2820">
      <x:c r="A2820" s="15" t="n">
        <x:v>45689</x:v>
      </x:c>
      <x:c r="B2820" s="13" t="str">
        <x:v>Income Properties</x:v>
      </x:c>
      <x:c r="C2820" s="16" t="n">
        <x:v>2389.8571556822</x:v>
      </x:c>
      <x:c r="D2820" s="16" t="n">
        <x:v>2284.3343005808</x:v>
      </x:c>
      <x:c r="E2820" s="16" t="n">
        <x:v>-105.5228551014</x:v>
      </x:c>
      <x:c r="F2820" s="23" t="n">
        <x:v>3</x:v>
      </x:c>
    </x:row>
    <x:row r="2821">
      <x:c r="A2821" s="15" t="n">
        <x:v>45689</x:v>
      </x:c>
      <x:c r="B2821" s="13" t="str">
        <x:v>Metals &amp; Mining</x:v>
      </x:c>
      <x:c r="C2821" s="16" t="n">
        <x:v>60892.8722018192</x:v>
      </x:c>
      <x:c r="D2821" s="16" t="n">
        <x:v>56292.2207528329</x:v>
      </x:c>
      <x:c r="E2821" s="16" t="n">
        <x:v>-4600.6514489863</x:v>
      </x:c>
      <x:c r="F2821" s="23" t="n">
        <x:v>6</x:v>
      </x:c>
    </x:row>
    <x:row r="2822">
      <x:c r="A2822" s="15" t="n">
        <x:v>45689</x:v>
      </x:c>
      <x:c r="B2822" s="13" t="str">
        <x:v>Oil, Gas &amp; Petrochemicals</x:v>
      </x:c>
      <x:c r="C2822" s="16" t="n">
        <x:v>127209.0933191891</x:v>
      </x:c>
      <x:c r="D2822" s="16" t="n">
        <x:v>131658.027712877</x:v>
      </x:c>
      <x:c r="E2822" s="16" t="n">
        <x:v>4448.9343936879</x:v>
      </x:c>
      <x:c r="F2822" s="23" t="n">
        <x:v>8</x:v>
      </x:c>
    </x:row>
    <x:row r="2823">
      <x:c r="A2823" s="15" t="n">
        <x:v>45689</x:v>
      </x:c>
      <x:c r="B2823" s="13" t="str">
        <x:v>Pulp &amp; Paper</x:v>
      </x:c>
      <x:c r="C2823" s="16" t="n">
        <x:v>11041.4002547726</x:v>
      </x:c>
      <x:c r="D2823" s="16" t="n">
        <x:v>14181.6052960438</x:v>
      </x:c>
      <x:c r="E2823" s="16" t="n">
        <x:v>3140.2050412712</x:v>
      </x:c>
      <x:c r="F2823" s="23" t="n">
        <x:v>2</x:v>
      </x:c>
    </x:row>
    <x:row r="2824">
      <x:c r="A2824" s="15" t="n">
        <x:v>45689</x:v>
      </x:c>
      <x:c r="B2824" s="13" t="str">
        <x:v>Retail</x:v>
      </x:c>
      <x:c r="C2824" s="16" t="n">
        <x:v>8284.1134634082</x:v>
      </x:c>
      <x:c r="D2824" s="16" t="n">
        <x:v>7472.8870325699</x:v>
      </x:c>
      <x:c r="E2824" s="16" t="n">
        <x:v>-811.2264308383</x:v>
      </x:c>
      <x:c r="F2824" s="23" t="n">
        <x:v>11</x:v>
      </x:c>
    </x:row>
    <x:row r="2825">
      <x:c r="A2825" s="15" t="n">
        <x:v>45689</x:v>
      </x:c>
      <x:c r="B2825" s="13" t="str">
        <x:v>Sanitation</x:v>
      </x:c>
      <x:c r="C2825" s="16" t="n">
        <x:v>4688.6965037589</x:v>
      </x:c>
      <x:c r="D2825" s="16" t="n">
        <x:v>4980.1127178521</x:v>
      </x:c>
      <x:c r="E2825" s="16" t="n">
        <x:v>291.4162140932</x:v>
      </x:c>
      <x:c r="F2825" s="23" t="n">
        <x:v>1</x:v>
      </x:c>
    </x:row>
    <x:row r="2826">
      <x:c r="A2826" s="15" t="n">
        <x:v>45689</x:v>
      </x:c>
      <x:c r="B2826" s="13" t="str">
        <x:v>TMT</x:v>
      </x:c>
      <x:c r="C2826" s="16" t="n">
        <x:v>4838.1416688219</x:v>
      </x:c>
      <x:c r="D2826" s="16" t="n">
        <x:v>4990.9934944438</x:v>
      </x:c>
      <x:c r="E2826" s="16" t="n">
        <x:v>152.8518256219</x:v>
      </x:c>
      <x:c r="F2826" s="23" t="n">
        <x:v>3</x:v>
      </x:c>
    </x:row>
    <x:row r="2827">
      <x:c r="A2827" s="15" t="n">
        <x:v>45689</x:v>
      </x:c>
      <x:c r="B2827" s="13" t="str">
        <x:v>Transportation</x:v>
      </x:c>
      <x:c r="C2827" s="16" t="n">
        <x:v>9699.6692550247</x:v>
      </x:c>
      <x:c r="D2827" s="16" t="n">
        <x:v>9507.5650756822</x:v>
      </x:c>
      <x:c r="E2827" s="16" t="n">
        <x:v>-192.1041793425</x:v>
      </x:c>
      <x:c r="F2827" s="23" t="n">
        <x:v>6</x:v>
      </x:c>
    </x:row>
    <x:row r="2828">
      <x:c r="A2828" s="15" t="n">
        <x:v>45689</x:v>
      </x:c>
      <x:c r="B2828" s="13" t="str">
        <x:v>Utilities &amp; Energy</x:v>
      </x:c>
      <x:c r="C2828" s="16" t="n">
        <x:v>46832.3382566574</x:v>
      </x:c>
      <x:c r="D2828" s="16" t="n">
        <x:v>41770.4672035069</x:v>
      </x:c>
      <x:c r="E2828" s="16" t="n">
        <x:v>-5061.8710531506</x:v>
      </x:c>
      <x:c r="F2828" s="23" t="n">
        <x:v>12</x:v>
      </x:c>
    </x:row>
    <x:row r="2829">
      <x:c r="A2829" s="15" t="n">
        <x:v>45717</x:v>
      </x:c>
      <x:c r="B2829" s="13" t="str">
        <x:v>Agribusiness</x:v>
      </x:c>
      <x:c r="C2829" s="16" t="n">
        <x:v>5079.1888850411</x:v>
      </x:c>
      <x:c r="D2829" s="16" t="n">
        <x:v>3396.4061299726</x:v>
      </x:c>
      <x:c r="E2829" s="16" t="n">
        <x:v>-1682.7827550685</x:v>
      </x:c>
      <x:c r="F2829" s="23" t="n">
        <x:v>3</x:v>
      </x:c>
    </x:row>
    <x:row r="2830">
      <x:c r="A2830" s="15" t="n">
        <x:v>45717</x:v>
      </x:c>
      <x:c r="B2830" s="13" t="str">
        <x:v>Banks</x:v>
      </x:c>
      <x:c r="C2830" s="16" t="n">
        <x:v>162536.497152</x:v>
      </x:c>
      <x:c r="D2830" s="16" t="n">
        <x:v>162269.8528964384</x:v>
      </x:c>
      <x:c r="E2830" s="16" t="n">
        <x:v>-266.6442555616</x:v>
      </x:c>
      <x:c r="F2830" s="23" t="n">
        <x:v>6</x:v>
      </x:c>
    </x:row>
    <x:row r="2831">
      <x:c r="A2831" s="15" t="n">
        <x:v>45717</x:v>
      </x:c>
      <x:c r="B2831" s="13" t="str">
        <x:v>Capital Goods</x:v>
      </x:c>
      <x:c r="C2831" s="16" t="n">
        <x:v>9609.000192</x:v>
      </x:c>
      <x:c r="D2831" s="16" t="n">
        <x:v>10066.7546126027</x:v>
      </x:c>
      <x:c r="E2831" s="16" t="n">
        <x:v>457.7544206027</x:v>
      </x:c>
      <x:c r="F2831" s="23" t="n">
        <x:v>2</x:v>
      </x:c>
    </x:row>
    <x:row r="2832">
      <x:c r="A2832" s="15" t="n">
        <x:v>45717</x:v>
      </x:c>
      <x:c r="B2832" s="13" t="str">
        <x:v>Education</x:v>
      </x:c>
      <x:c r="C2832" s="16" t="n">
        <x:v>882.627008</x:v>
      </x:c>
      <x:c r="D2832" s="16" t="n">
        <x:v>822.5533992329</x:v>
      </x:c>
      <x:c r="E2832" s="16" t="n">
        <x:v>-60.0736087671</x:v>
      </x:c>
      <x:c r="F2832" s="23" t="n">
        <x:v>2</x:v>
      </x:c>
    </x:row>
    <x:row r="2833">
      <x:c r="A2833" s="15" t="n">
        <x:v>45717</x:v>
      </x:c>
      <x:c r="B2833" s="13" t="str">
        <x:v>Financials Non-Banks</x:v>
      </x:c>
      <x:c r="C2833" s="16" t="n">
        <x:v>35257.180224</x:v>
      </x:c>
      <x:c r="D2833" s="16" t="n">
        <x:v>36115.1261834521</x:v>
      </x:c>
      <x:c r="E2833" s="16" t="n">
        <x:v>857.9459594521</x:v>
      </x:c>
      <x:c r="F2833" s="23" t="n">
        <x:v>5</x:v>
      </x:c>
    </x:row>
    <x:row r="2834">
      <x:c r="A2834" s="15" t="n">
        <x:v>45717</x:v>
      </x:c>
      <x:c r="B2834" s="13" t="str">
        <x:v>Food &amp; Beverages</x:v>
      </x:c>
      <x:c r="C2834" s="16" t="n">
        <x:v>20046.165856</x:v>
      </x:c>
      <x:c r="D2834" s="16" t="n">
        <x:v>20179.2635156164</x:v>
      </x:c>
      <x:c r="E2834" s="16" t="n">
        <x:v>133.0976596164</x:v>
      </x:c>
      <x:c r="F2834" s="23" t="n">
        <x:v>4</x:v>
      </x:c>
    </x:row>
    <x:row r="2835">
      <x:c r="A2835" s="15" t="n">
        <x:v>45717</x:v>
      </x:c>
      <x:c r="B2835" s="13" t="str">
        <x:v>Health Care</x:v>
      </x:c>
      <x:c r="C2835" s="16" t="n">
        <x:v>8138.884992</x:v>
      </x:c>
      <x:c r="D2835" s="16" t="n">
        <x:v>8033.0570774794</x:v>
      </x:c>
      <x:c r="E2835" s="16" t="n">
        <x:v>-105.8279145206</x:v>
      </x:c>
      <x:c r="F2835" s="23" t="n">
        <x:v>4</x:v>
      </x:c>
    </x:row>
    <x:row r="2836">
      <x:c r="A2836" s="15" t="n">
        <x:v>45717</x:v>
      </x:c>
      <x:c r="B2836" s="13" t="str">
        <x:v>Homebuilders</x:v>
      </x:c>
      <x:c r="C2836" s="16" t="n">
        <x:v>2159.370048</x:v>
      </x:c>
      <x:c r="D2836" s="16" t="n">
        <x:v>2417.4509247123</x:v>
      </x:c>
      <x:c r="E2836" s="16" t="n">
        <x:v>258.0808767123</x:v>
      </x:c>
      <x:c r="F2836" s="23" t="n">
        <x:v>2</x:v>
      </x:c>
    </x:row>
    <x:row r="2837">
      <x:c r="A2837" s="15" t="n">
        <x:v>45717</x:v>
      </x:c>
      <x:c r="B2837" s="13" t="str">
        <x:v>Income Properties</x:v>
      </x:c>
      <x:c r="C2837" s="16" t="n">
        <x:v>2393.322016</x:v>
      </x:c>
      <x:c r="D2837" s="16" t="n">
        <x:v>2308.5876129315</x:v>
      </x:c>
      <x:c r="E2837" s="16" t="n">
        <x:v>-84.7344030685</x:v>
      </x:c>
      <x:c r="F2837" s="23" t="n">
        <x:v>3</x:v>
      </x:c>
    </x:row>
    <x:row r="2838">
      <x:c r="A2838" s="15" t="n">
        <x:v>45717</x:v>
      </x:c>
      <x:c r="B2838" s="13" t="str">
        <x:v>Metals &amp; Mining</x:v>
      </x:c>
      <x:c r="C2838" s="16" t="n">
        <x:v>60613.160344</x:v>
      </x:c>
      <x:c r="D2838" s="16" t="n">
        <x:v>57048.0509843288</x:v>
      </x:c>
      <x:c r="E2838" s="16" t="n">
        <x:v>-3565.1093596712</x:v>
      </x:c>
      <x:c r="F2838" s="23" t="n">
        <x:v>6</x:v>
      </x:c>
    </x:row>
    <x:row r="2839">
      <x:c r="A2839" s="15" t="n">
        <x:v>45717</x:v>
      </x:c>
      <x:c r="B2839" s="13" t="str">
        <x:v>Oil, Gas &amp; Petrochemicals</x:v>
      </x:c>
      <x:c r="C2839" s="16" t="n">
        <x:v>130005.204352</x:v>
      </x:c>
      <x:c r="D2839" s="16" t="n">
        <x:v>130007.4991921101</x:v>
      </x:c>
      <x:c r="E2839" s="16" t="n">
        <x:v>2.2948401101</x:v>
      </x:c>
      <x:c r="F2839" s="23" t="n">
        <x:v>8</x:v>
      </x:c>
    </x:row>
    <x:row r="2840">
      <x:c r="A2840" s="15" t="n">
        <x:v>45717</x:v>
      </x:c>
      <x:c r="B2840" s="13" t="str">
        <x:v>Pulp &amp; Paper</x:v>
      </x:c>
      <x:c r="C2840" s="16" t="n">
        <x:v>11931.77984</x:v>
      </x:c>
      <x:c r="D2840" s="16" t="n">
        <x:v>14240.7789483836</x:v>
      </x:c>
      <x:c r="E2840" s="16" t="n">
        <x:v>2308.9991083836</x:v>
      </x:c>
      <x:c r="F2840" s="23" t="n">
        <x:v>2</x:v>
      </x:c>
    </x:row>
    <x:row r="2841">
      <x:c r="A2841" s="15" t="n">
        <x:v>45717</x:v>
      </x:c>
      <x:c r="B2841" s="13" t="str">
        <x:v>Retail</x:v>
      </x:c>
      <x:c r="C2841" s="16" t="n">
        <x:v>7997.780016</x:v>
      </x:c>
      <x:c r="D2841" s="16" t="n">
        <x:v>7300.3862666301</x:v>
      </x:c>
      <x:c r="E2841" s="16" t="n">
        <x:v>-697.3937493699</x:v>
      </x:c>
      <x:c r="F2841" s="23" t="n">
        <x:v>11</x:v>
      </x:c>
    </x:row>
    <x:row r="2842">
      <x:c r="A2842" s="15" t="n">
        <x:v>45717</x:v>
      </x:c>
      <x:c r="B2842" s="13" t="str">
        <x:v>Sanitation</x:v>
      </x:c>
      <x:c r="C2842" s="16" t="n">
        <x:v>4917.929984</x:v>
      </x:c>
      <x:c r="D2842" s="16" t="n">
        <x:v>5079.5117834521</x:v>
      </x:c>
      <x:c r="E2842" s="16" t="n">
        <x:v>161.5817994521</x:v>
      </x:c>
      <x:c r="F2842" s="23" t="n">
        <x:v>1</x:v>
      </x:c>
    </x:row>
    <x:row r="2843">
      <x:c r="A2843" s="15" t="n">
        <x:v>45717</x:v>
      </x:c>
      <x:c r="B2843" s="13" t="str">
        <x:v>TMT</x:v>
      </x:c>
      <x:c r="C2843" s="16" t="n">
        <x:v>4856.762912</x:v>
      </x:c>
      <x:c r="D2843" s="16" t="n">
        <x:v>5122.9572850411</x:v>
      </x:c>
      <x:c r="E2843" s="16" t="n">
        <x:v>266.1943730411</x:v>
      </x:c>
      <x:c r="F2843" s="23" t="n">
        <x:v>3</x:v>
      </x:c>
    </x:row>
    <x:row r="2844">
      <x:c r="A2844" s="15" t="n">
        <x:v>45717</x:v>
      </x:c>
      <x:c r="B2844" s="13" t="str">
        <x:v>Transportation</x:v>
      </x:c>
      <x:c r="C2844" s="16" t="n">
        <x:v>9513.47696</x:v>
      </x:c>
      <x:c r="D2844" s="16" t="n">
        <x:v>9521.7612380822</x:v>
      </x:c>
      <x:c r="E2844" s="16" t="n">
        <x:v>8.2842780822</x:v>
      </x:c>
      <x:c r="F2844" s="23" t="n">
        <x:v>6</x:v>
      </x:c>
    </x:row>
    <x:row r="2845">
      <x:c r="A2845" s="15" t="n">
        <x:v>45717</x:v>
      </x:c>
      <x:c r="B2845" s="13" t="str">
        <x:v>Utilities &amp; Energy</x:v>
      </x:c>
      <x:c r="C2845" s="16" t="n">
        <x:v>44736.509632</x:v>
      </x:c>
      <x:c r="D2845" s="16" t="n">
        <x:v>42305.1330174246</x:v>
      </x:c>
      <x:c r="E2845" s="16" t="n">
        <x:v>-2431.3766145754</x:v>
      </x:c>
      <x:c r="F2845" s="23" t="n">
        <x:v>12</x:v>
      </x:c>
    </x:row>
    <x:row r="2846">
      <x:c r="A2846" s="15" t="n">
        <x:v>45748</x:v>
      </x:c>
      <x:c r="B2846" s="13" t="str">
        <x:v>Agribusiness</x:v>
      </x:c>
      <x:c r="C2846" s="16" t="n">
        <x:v>4193.0070691068</x:v>
      </x:c>
      <x:c r="D2846" s="16" t="n">
        <x:v>3216.8194270685</x:v>
      </x:c>
      <x:c r="E2846" s="16" t="n">
        <x:v>-976.1876420384</x:v>
      </x:c>
      <x:c r="F2846" s="23" t="n">
        <x:v>3</x:v>
      </x:c>
    </x:row>
    <x:row r="2847">
      <x:c r="A2847" s="15" t="n">
        <x:v>45748</x:v>
      </x:c>
      <x:c r="B2847" s="13" t="str">
        <x:v>Banks</x:v>
      </x:c>
      <x:c r="C2847" s="16" t="n">
        <x:v>161820.5049393096</x:v>
      </x:c>
      <x:c r="D2847" s="16" t="n">
        <x:v>164430.9029172601</x:v>
      </x:c>
      <x:c r="E2847" s="16" t="n">
        <x:v>2610.3979779505</x:v>
      </x:c>
      <x:c r="F2847" s="23" t="n">
        <x:v>6</x:v>
      </x:c>
    </x:row>
    <x:row r="2848">
      <x:c r="A2848" s="15" t="n">
        <x:v>45748</x:v>
      </x:c>
      <x:c r="B2848" s="13" t="str">
        <x:v>Capital Goods</x:v>
      </x:c>
      <x:c r="C2848" s="16" t="n">
        <x:v>11241.4469484712</x:v>
      </x:c>
      <x:c r="D2848" s="16" t="n">
        <x:v>11525.8204878904</x:v>
      </x:c>
      <x:c r="E2848" s="16" t="n">
        <x:v>284.3735394192</x:v>
      </x:c>
      <x:c r="F2848" s="23" t="n">
        <x:v>3</x:v>
      </x:c>
    </x:row>
    <x:row r="2849">
      <x:c r="A2849" s="15" t="n">
        <x:v>45748</x:v>
      </x:c>
      <x:c r="B2849" s="13" t="str">
        <x:v>Education</x:v>
      </x:c>
      <x:c r="C2849" s="16" t="n">
        <x:v>800.4477198027</x:v>
      </x:c>
      <x:c r="D2849" s="16" t="n">
        <x:v>946.6044225753</x:v>
      </x:c>
      <x:c r="E2849" s="16" t="n">
        <x:v>146.1567027726</x:v>
      </x:c>
      <x:c r="F2849" s="23" t="n">
        <x:v>2</x:v>
      </x:c>
    </x:row>
    <x:row r="2850">
      <x:c r="A2850" s="15" t="n">
        <x:v>45748</x:v>
      </x:c>
      <x:c r="B2850" s="13" t="str">
        <x:v>Financials Non-Banks</x:v>
      </x:c>
      <x:c r="C2850" s="16" t="n">
        <x:v>38955.5975353863</x:v>
      </x:c>
      <x:c r="D2850" s="16" t="n">
        <x:v>39763.7199167123</x:v>
      </x:c>
      <x:c r="E2850" s="16" t="n">
        <x:v>808.122381326</x:v>
      </x:c>
      <x:c r="F2850" s="23" t="n">
        <x:v>6</x:v>
      </x:c>
    </x:row>
    <x:row r="2851">
      <x:c r="A2851" s="15" t="n">
        <x:v>45748</x:v>
      </x:c>
      <x:c r="B2851" s="13" t="str">
        <x:v>Food &amp; Beverages</x:v>
      </x:c>
      <x:c r="C2851" s="16" t="n">
        <x:v>19993.807187989</x:v>
      </x:c>
      <x:c r="D2851" s="16" t="n">
        <x:v>19715.3388273973</x:v>
      </x:c>
      <x:c r="E2851" s="16" t="n">
        <x:v>-278.4683605918</x:v>
      </x:c>
      <x:c r="F2851" s="23" t="n">
        <x:v>4</x:v>
      </x:c>
    </x:row>
    <x:row r="2852">
      <x:c r="A2852" s="15" t="n">
        <x:v>45748</x:v>
      </x:c>
      <x:c r="B2852" s="13" t="str">
        <x:v>Health Care</x:v>
      </x:c>
      <x:c r="C2852" s="16" t="n">
        <x:v>7701.7964686027</x:v>
      </x:c>
      <x:c r="D2852" s="16" t="n">
        <x:v>8168.7528346301</x:v>
      </x:c>
      <x:c r="E2852" s="16" t="n">
        <x:v>466.9563660274</x:v>
      </x:c>
      <x:c r="F2852" s="23" t="n">
        <x:v>4</x:v>
      </x:c>
    </x:row>
    <x:row r="2853">
      <x:c r="A2853" s="15" t="n">
        <x:v>45748</x:v>
      </x:c>
      <x:c r="B2853" s="13" t="str">
        <x:v>Homebuilders</x:v>
      </x:c>
      <x:c r="C2853" s="16" t="n">
        <x:v>2286.5366989151</x:v>
      </x:c>
      <x:c r="D2853" s="16" t="n">
        <x:v>2425.1089201096</x:v>
      </x:c>
      <x:c r="E2853" s="16" t="n">
        <x:v>138.5722211945</x:v>
      </x:c>
      <x:c r="F2853" s="23" t="n">
        <x:v>2</x:v>
      </x:c>
    </x:row>
    <x:row r="2854">
      <x:c r="A2854" s="15" t="n">
        <x:v>45748</x:v>
      </x:c>
      <x:c r="B2854" s="13" t="str">
        <x:v>Income Properties</x:v>
      </x:c>
      <x:c r="C2854" s="16" t="n">
        <x:v>2359.082572274</x:v>
      </x:c>
      <x:c r="D2854" s="16" t="n">
        <x:v>2274.3765553973</x:v>
      </x:c>
      <x:c r="E2854" s="16" t="n">
        <x:v>-84.7060168767</x:v>
      </x:c>
      <x:c r="F2854" s="23" t="n">
        <x:v>3</x:v>
      </x:c>
    </x:row>
    <x:row r="2855">
      <x:c r="A2855" s="15" t="n">
        <x:v>45748</x:v>
      </x:c>
      <x:c r="B2855" s="13" t="str">
        <x:v>Metals &amp; Mining</x:v>
      </x:c>
      <x:c r="C2855" s="16" t="n">
        <x:v>56527.3932571178</x:v>
      </x:c>
      <x:c r="D2855" s="16" t="n">
        <x:v>53638.1622698082</x:v>
      </x:c>
      <x:c r="E2855" s="16" t="n">
        <x:v>-2889.2309873097</x:v>
      </x:c>
      <x:c r="F2855" s="23" t="n">
        <x:v>6</x:v>
      </x:c>
    </x:row>
    <x:row r="2856">
      <x:c r="A2856" s="15" t="n">
        <x:v>45748</x:v>
      </x:c>
      <x:c r="B2856" s="13" t="str">
        <x:v>Oil, Gas &amp; Petrochemicals</x:v>
      </x:c>
      <x:c r="C2856" s="16" t="n">
        <x:v>130112.9145519338</x:v>
      </x:c>
      <x:c r="D2856" s="16" t="n">
        <x:v>111458.3101422466</x:v>
      </x:c>
      <x:c r="E2856" s="16" t="n">
        <x:v>-18654.6044096872</x:v>
      </x:c>
      <x:c r="F2856" s="23" t="n">
        <x:v>8</x:v>
      </x:c>
    </x:row>
    <x:row r="2857">
      <x:c r="A2857" s="15" t="n">
        <x:v>45748</x:v>
      </x:c>
      <x:c r="B2857" s="13" t="str">
        <x:v>Pulp &amp; Paper</x:v>
      </x:c>
      <x:c r="C2857" s="16" t="n">
        <x:v>13880.2611557699</x:v>
      </x:c>
      <x:c r="D2857" s="16" t="n">
        <x:v>14303.6671333698</x:v>
      </x:c>
      <x:c r="E2857" s="16" t="n">
        <x:v>423.4059776</x:v>
      </x:c>
      <x:c r="F2857" s="23" t="n">
        <x:v>2</x:v>
      </x:c>
    </x:row>
    <x:row r="2858">
      <x:c r="A2858" s="15" t="n">
        <x:v>45748</x:v>
      </x:c>
      <x:c r="B2858" s="13" t="str">
        <x:v>Retail</x:v>
      </x:c>
      <x:c r="C2858" s="16" t="n">
        <x:v>7390.7235564164</x:v>
      </x:c>
      <x:c r="D2858" s="16" t="n">
        <x:v>7203.6631755616</x:v>
      </x:c>
      <x:c r="E2858" s="16" t="n">
        <x:v>-187.0603808548</x:v>
      </x:c>
      <x:c r="F2858" s="23" t="n">
        <x:v>11</x:v>
      </x:c>
    </x:row>
    <x:row r="2859">
      <x:c r="A2859" s="15" t="n">
        <x:v>45748</x:v>
      </x:c>
      <x:c r="B2859" s="13" t="str">
        <x:v>Sanitation</x:v>
      </x:c>
      <x:c r="C2859" s="16" t="n">
        <x:v>4938.3170019945</x:v>
      </x:c>
      <x:c r="D2859" s="16" t="n">
        <x:v>5371.981824</x:v>
      </x:c>
      <x:c r="E2859" s="16" t="n">
        <x:v>433.6648220055</x:v>
      </x:c>
      <x:c r="F2859" s="23" t="n">
        <x:v>1</x:v>
      </x:c>
    </x:row>
    <x:row r="2860">
      <x:c r="A2860" s="15" t="n">
        <x:v>45748</x:v>
      </x:c>
      <x:c r="B2860" s="13" t="str">
        <x:v>TMT</x:v>
      </x:c>
      <x:c r="C2860" s="16" t="n">
        <x:v>4886.5509462795</x:v>
      </x:c>
      <x:c r="D2860" s="16" t="n">
        <x:v>5162.5421290959</x:v>
      </x:c>
      <x:c r="E2860" s="16" t="n">
        <x:v>275.9911828164</x:v>
      </x:c>
      <x:c r="F2860" s="23" t="n">
        <x:v>3</x:v>
      </x:c>
    </x:row>
    <x:row r="2861">
      <x:c r="A2861" s="15" t="n">
        <x:v>45748</x:v>
      </x:c>
      <x:c r="B2861" s="13" t="str">
        <x:v>Transportation</x:v>
      </x:c>
      <x:c r="C2861" s="16" t="n">
        <x:v>9213.4592300712</x:v>
      </x:c>
      <x:c r="D2861" s="16" t="n">
        <x:v>9550.6672604932</x:v>
      </x:c>
      <x:c r="E2861" s="16" t="n">
        <x:v>337.2080304219</x:v>
      </x:c>
      <x:c r="F2861" s="23" t="n">
        <x:v>6</x:v>
      </x:c>
    </x:row>
    <x:row r="2862">
      <x:c r="A2862" s="15" t="n">
        <x:v>45748</x:v>
      </x:c>
      <x:c r="B2862" s="13" t="str">
        <x:v>Utilities &amp; Energy</x:v>
      </x:c>
      <x:c r="C2862" s="16" t="n">
        <x:v>42329.706291726</x:v>
      </x:c>
      <x:c r="D2862" s="16" t="n">
        <x:v>42423.9326290411</x:v>
      </x:c>
      <x:c r="E2862" s="16" t="n">
        <x:v>94.2263373151</x:v>
      </x:c>
      <x:c r="F2862" s="23" t="n">
        <x:v>12</x:v>
      </x:c>
    </x:row>
    <x:row r="2863">
      <x:c r="A2863" s="15" t="n">
        <x:v>45778</x:v>
      </x:c>
      <x:c r="B2863" s="13" t="str">
        <x:v>Agribusiness</x:v>
      </x:c>
      <x:c r="C2863" s="16" t="n">
        <x:v>3641.256050148</x:v>
      </x:c>
      <x:c r="D2863" s="16" t="n">
        <x:v>3078.3753205479</x:v>
      </x:c>
      <x:c r="E2863" s="16" t="n">
        <x:v>-562.8807296</x:v>
      </x:c>
      <x:c r="F2863" s="23" t="n">
        <x:v>3</x:v>
      </x:c>
    </x:row>
    <x:row r="2864">
      <x:c r="A2864" s="15" t="n">
        <x:v>45778</x:v>
      </x:c>
      <x:c r="B2864" s="13" t="str">
        <x:v>Banks</x:v>
      </x:c>
      <x:c r="C2864" s="16" t="n">
        <x:v>160832.0680020166</x:v>
      </x:c>
      <x:c r="D2864" s="16" t="n">
        <x:v>164419.6570406576</x:v>
      </x:c>
      <x:c r="E2864" s="16" t="n">
        <x:v>3587.589038641</x:v>
      </x:c>
      <x:c r="F2864" s="23" t="n">
        <x:v>6</x:v>
      </x:c>
    </x:row>
    <x:row r="2865">
      <x:c r="A2865" s="15" t="n">
        <x:v>45778</x:v>
      </x:c>
      <x:c r="B2865" s="13" t="str">
        <x:v>Capital Goods</x:v>
      </x:c>
      <x:c r="C2865" s="16" t="n">
        <x:v>11243.3217802521</x:v>
      </x:c>
      <x:c r="D2865" s="16" t="n">
        <x:v>11215.7726474521</x:v>
      </x:c>
      <x:c r="E2865" s="16" t="n">
        <x:v>-27.5491328</x:v>
      </x:c>
      <x:c r="F2865" s="23" t="n">
        <x:v>3</x:v>
      </x:c>
    </x:row>
    <x:row r="2866">
      <x:c r="A2866" s="15" t="n">
        <x:v>45778</x:v>
      </x:c>
      <x:c r="B2866" s="13" t="str">
        <x:v>Education</x:v>
      </x:c>
      <x:c r="C2866" s="16" t="n">
        <x:v>822.2799642301</x:v>
      </x:c>
      <x:c r="D2866" s="16" t="n">
        <x:v>1095.4098069041</x:v>
      </x:c>
      <x:c r="E2866" s="16" t="n">
        <x:v>273.129842674</x:v>
      </x:c>
      <x:c r="F2866" s="23" t="n">
        <x:v>2</x:v>
      </x:c>
    </x:row>
    <x:row r="2867">
      <x:c r="A2867" s="15" t="n">
        <x:v>45778</x:v>
      </x:c>
      <x:c r="B2867" s="13" t="str">
        <x:v>Financials Non-Banks</x:v>
      </x:c>
      <x:c r="C2867" s="16" t="n">
        <x:v>39219.8277514521</x:v>
      </x:c>
      <x:c r="D2867" s="16" t="n">
        <x:v>39812.797022685</x:v>
      </x:c>
      <x:c r="E2867" s="16" t="n">
        <x:v>592.9692712329</x:v>
      </x:c>
      <x:c r="F2867" s="23" t="n">
        <x:v>6</x:v>
      </x:c>
    </x:row>
    <x:row r="2868">
      <x:c r="A2868" s="15" t="n">
        <x:v>45778</x:v>
      </x:c>
      <x:c r="B2868" s="13" t="str">
        <x:v>Food &amp; Beverages</x:v>
      </x:c>
      <x:c r="C2868" s="16" t="n">
        <x:v>20036.4901199781</x:v>
      </x:c>
      <x:c r="D2868" s="16" t="n">
        <x:v>19671.4205139726</x:v>
      </x:c>
      <x:c r="E2868" s="16" t="n">
        <x:v>-365.0696060055</x:v>
      </x:c>
      <x:c r="F2868" s="23" t="n">
        <x:v>4</x:v>
      </x:c>
    </x:row>
    <x:row r="2869">
      <x:c r="A2869" s="15" t="n">
        <x:v>45778</x:v>
      </x:c>
      <x:c r="B2869" s="13" t="str">
        <x:v>Health Care</x:v>
      </x:c>
      <x:c r="C2869" s="16" t="n">
        <x:v>7969.5540017096</x:v>
      </x:c>
      <x:c r="D2869" s="16" t="n">
        <x:v>8422.410520548</x:v>
      </x:c>
      <x:c r="E2869" s="16" t="n">
        <x:v>452.8565188384</x:v>
      </x:c>
      <x:c r="F2869" s="23" t="n">
        <x:v>4</x:v>
      </x:c>
    </x:row>
    <x:row r="2870">
      <x:c r="A2870" s="15" t="n">
        <x:v>45778</x:v>
      </x:c>
      <x:c r="B2870" s="13" t="str">
        <x:v>Homebuilders</x:v>
      </x:c>
      <x:c r="C2870" s="16" t="n">
        <x:v>2372.6530486356</x:v>
      </x:c>
      <x:c r="D2870" s="16" t="n">
        <x:v>2430.8335329315</x:v>
      </x:c>
      <x:c r="E2870" s="16" t="n">
        <x:v>58.1804842959</x:v>
      </x:c>
      <x:c r="F2870" s="23" t="n">
        <x:v>2</x:v>
      </x:c>
    </x:row>
    <x:row r="2871">
      <x:c r="A2871" s="15" t="n">
        <x:v>45778</x:v>
      </x:c>
      <x:c r="B2871" s="13" t="str">
        <x:v>Income Properties</x:v>
      </x:c>
      <x:c r="C2871" s="16" t="n">
        <x:v>2284.3343005808</x:v>
      </x:c>
      <x:c r="D2871" s="16" t="n">
        <x:v>2392.242233863</x:v>
      </x:c>
      <x:c r="E2871" s="16" t="n">
        <x:v>107.9079332822</x:v>
      </x:c>
      <x:c r="F2871" s="23" t="n">
        <x:v>3</x:v>
      </x:c>
    </x:row>
    <x:row r="2872">
      <x:c r="A2872" s="15" t="n">
        <x:v>45778</x:v>
      </x:c>
      <x:c r="B2872" s="13" t="str">
        <x:v>Metals &amp; Mining</x:v>
      </x:c>
      <x:c r="C2872" s="16" t="n">
        <x:v>56292.2207528329</x:v>
      </x:c>
      <x:c r="D2872" s="16" t="n">
        <x:v>52073.4677133425</x:v>
      </x:c>
      <x:c r="E2872" s="16" t="n">
        <x:v>-4218.7530394904</x:v>
      </x:c>
      <x:c r="F2872" s="23" t="n">
        <x:v>6</x:v>
      </x:c>
    </x:row>
    <x:row r="2873">
      <x:c r="A2873" s="15" t="n">
        <x:v>45778</x:v>
      </x:c>
      <x:c r="B2873" s="13" t="str">
        <x:v>Oil, Gas &amp; Petrochemicals</x:v>
      </x:c>
      <x:c r="C2873" s="16" t="n">
        <x:v>131658.027712877</x:v>
      </x:c>
      <x:c r="D2873" s="16" t="n">
        <x:v>106985.393408</x:v>
      </x:c>
      <x:c r="E2873" s="16" t="n">
        <x:v>-24672.634304877</x:v>
      </x:c>
      <x:c r="F2873" s="23" t="n">
        <x:v>8</x:v>
      </x:c>
    </x:row>
    <x:row r="2874">
      <x:c r="A2874" s="15" t="n">
        <x:v>45778</x:v>
      </x:c>
      <x:c r="B2874" s="13" t="str">
        <x:v>Pulp &amp; Paper</x:v>
      </x:c>
      <x:c r="C2874" s="16" t="n">
        <x:v>14181.6052960438</x:v>
      </x:c>
      <x:c r="D2874" s="16" t="n">
        <x:v>13065.903686137</x:v>
      </x:c>
      <x:c r="E2874" s="16" t="n">
        <x:v>-1115.7016099069</x:v>
      </x:c>
      <x:c r="F2874" s="23" t="n">
        <x:v>2</x:v>
      </x:c>
    </x:row>
    <x:row r="2875">
      <x:c r="A2875" s="15" t="n">
        <x:v>45778</x:v>
      </x:c>
      <x:c r="B2875" s="13" t="str">
        <x:v>Retail</x:v>
      </x:c>
      <x:c r="C2875" s="16" t="n">
        <x:v>6118.219816263</x:v>
      </x:c>
      <x:c r="D2875" s="16" t="n">
        <x:v>6146.3535301918</x:v>
      </x:c>
      <x:c r="E2875" s="16" t="n">
        <x:v>28.1337139288</x:v>
      </x:c>
      <x:c r="F2875" s="23" t="n">
        <x:v>10</x:v>
      </x:c>
    </x:row>
    <x:row r="2876">
      <x:c r="A2876" s="15" t="n">
        <x:v>45778</x:v>
      </x:c>
      <x:c r="B2876" s="13" t="str">
        <x:v>Sanitation</x:v>
      </x:c>
      <x:c r="C2876" s="16" t="n">
        <x:v>4980.1127178521</x:v>
      </x:c>
      <x:c r="D2876" s="16" t="n">
        <x:v>5533.2163892603</x:v>
      </x:c>
      <x:c r="E2876" s="16" t="n">
        <x:v>553.1036714082</x:v>
      </x:c>
      <x:c r="F2876" s="23" t="n">
        <x:v>1</x:v>
      </x:c>
    </x:row>
    <x:row r="2877">
      <x:c r="A2877" s="15" t="n">
        <x:v>45778</x:v>
      </x:c>
      <x:c r="B2877" s="13" t="str">
        <x:v>TMT</x:v>
      </x:c>
      <x:c r="C2877" s="16" t="n">
        <x:v>4842.6639833425</x:v>
      </x:c>
      <x:c r="D2877" s="16" t="n">
        <x:v>5098.6850226849</x:v>
      </x:c>
      <x:c r="E2877" s="16" t="n">
        <x:v>256.0210393425</x:v>
      </x:c>
      <x:c r="F2877" s="23" t="n">
        <x:v>2</x:v>
      </x:c>
    </x:row>
    <x:row r="2878">
      <x:c r="A2878" s="15" t="n">
        <x:v>45778</x:v>
      </x:c>
      <x:c r="B2878" s="13" t="str">
        <x:v>Transportation</x:v>
      </x:c>
      <x:c r="C2878" s="16" t="n">
        <x:v>9477.5588371288</x:v>
      </x:c>
      <x:c r="D2878" s="16" t="n">
        <x:v>9823.2702106301</x:v>
      </x:c>
      <x:c r="E2878" s="16" t="n">
        <x:v>345.7113735014</x:v>
      </x:c>
      <x:c r="F2878" s="23" t="n">
        <x:v>5</x:v>
      </x:c>
    </x:row>
    <x:row r="2879">
      <x:c r="A2879" s="15" t="n">
        <x:v>45778</x:v>
      </x:c>
      <x:c r="B2879" s="13" t="str">
        <x:v>Utilities &amp; Energy</x:v>
      </x:c>
      <x:c r="C2879" s="16" t="n">
        <x:v>41770.4672035069</x:v>
      </x:c>
      <x:c r="D2879" s="16" t="n">
        <x:v>40727.5609750137</x:v>
      </x:c>
      <x:c r="E2879" s="16" t="n">
        <x:v>-1042.9062284932</x:v>
      </x:c>
      <x:c r="F2879" s="23" t="n">
        <x:v>12</x:v>
      </x:c>
    </x:row>
    <x:row r="2880">
      <x:c r="A2880" s="15" t="n">
        <x:v>45809</x:v>
      </x:c>
      <x:c r="B2880" s="13" t="str">
        <x:v>Agribusiness</x:v>
      </x:c>
      <x:c r="C2880" s="16" t="n">
        <x:v>3396.4061299726</x:v>
      </x:c>
      <x:c r="D2880" s="16" t="n">
        <x:v>2811.6540407233</x:v>
      </x:c>
      <x:c r="E2880" s="16" t="n">
        <x:v>-584.7520892493</x:v>
      </x:c>
      <x:c r="F2880" s="23" t="n">
        <x:v>3</x:v>
      </x:c>
    </x:row>
    <x:row r="2881">
      <x:c r="A2881" s="15" t="n">
        <x:v>45809</x:v>
      </x:c>
      <x:c r="B2881" s="13" t="str">
        <x:v>Banks</x:v>
      </x:c>
      <x:c r="C2881" s="16" t="n">
        <x:v>162269.8528964384</x:v>
      </x:c>
      <x:c r="D2881" s="16" t="n">
        <x:v>161370.5421276931</x:v>
      </x:c>
      <x:c r="E2881" s="16" t="n">
        <x:v>-899.3107687453</x:v>
      </x:c>
      <x:c r="F2881" s="23" t="n">
        <x:v>6</x:v>
      </x:c>
    </x:row>
    <x:row r="2882">
      <x:c r="A2882" s="15" t="n">
        <x:v>45809</x:v>
      </x:c>
      <x:c r="B2882" s="13" t="str">
        <x:v>Capital Goods</x:v>
      </x:c>
      <x:c r="C2882" s="16" t="n">
        <x:v>11418.132525589</x:v>
      </x:c>
      <x:c r="D2882" s="16" t="n">
        <x:v>11158.4257378192</x:v>
      </x:c>
      <x:c r="E2882" s="16" t="n">
        <x:v>-259.7067877699</x:v>
      </x:c>
      <x:c r="F2882" s="23" t="n">
        <x:v>3</x:v>
      </x:c>
    </x:row>
    <x:row r="2883">
      <x:c r="A2883" s="15" t="n">
        <x:v>45809</x:v>
      </x:c>
      <x:c r="B2883" s="13" t="str">
        <x:v>Education</x:v>
      </x:c>
      <x:c r="C2883" s="16" t="n">
        <x:v>822.5533992329</x:v>
      </x:c>
      <x:c r="D2883" s="16" t="n">
        <x:v>1125.1591622137</x:v>
      </x:c>
      <x:c r="E2883" s="16" t="n">
        <x:v>302.6057629808</x:v>
      </x:c>
      <x:c r="F2883" s="23" t="n">
        <x:v>2</x:v>
      </x:c>
    </x:row>
    <x:row r="2884">
      <x:c r="A2884" s="15" t="n">
        <x:v>45809</x:v>
      </x:c>
      <x:c r="B2884" s="13" t="str">
        <x:v>Financials Non-Banks</x:v>
      </x:c>
      <x:c r="C2884" s="16" t="n">
        <x:v>39326.313874411</x:v>
      </x:c>
      <x:c r="D2884" s="16" t="n">
        <x:v>40032.6156051288</x:v>
      </x:c>
      <x:c r="E2884" s="16" t="n">
        <x:v>706.3017307178</x:v>
      </x:c>
      <x:c r="F2884" s="23" t="n">
        <x:v>6</x:v>
      </x:c>
    </x:row>
    <x:row r="2885">
      <x:c r="A2885" s="15" t="n">
        <x:v>45809</x:v>
      </x:c>
      <x:c r="B2885" s="13" t="str">
        <x:v>Food &amp; Beverages</x:v>
      </x:c>
      <x:c r="C2885" s="16" t="n">
        <x:v>20179.2635156164</x:v>
      </x:c>
      <x:c r="D2885" s="16" t="n">
        <x:v>20141.2643778191</x:v>
      </x:c>
      <x:c r="E2885" s="16" t="n">
        <x:v>-37.9991377973</x:v>
      </x:c>
      <x:c r="F2885" s="23" t="n">
        <x:v>4</x:v>
      </x:c>
    </x:row>
    <x:row r="2886">
      <x:c r="A2886" s="15" t="n">
        <x:v>45809</x:v>
      </x:c>
      <x:c r="B2886" s="13" t="str">
        <x:v>Health Care</x:v>
      </x:c>
      <x:c r="C2886" s="16" t="n">
        <x:v>8033.0570774794</x:v>
      </x:c>
      <x:c r="D2886" s="16" t="n">
        <x:v>8746.6556836822</x:v>
      </x:c>
      <x:c r="E2886" s="16" t="n">
        <x:v>713.5986062027</x:v>
      </x:c>
      <x:c r="F2886" s="23" t="n">
        <x:v>4</x:v>
      </x:c>
    </x:row>
    <x:row r="2887">
      <x:c r="A2887" s="15" t="n">
        <x:v>45809</x:v>
      </x:c>
      <x:c r="B2887" s="13" t="str">
        <x:v>Homebuilders</x:v>
      </x:c>
      <x:c r="C2887" s="16" t="n">
        <x:v>2417.4509247123</x:v>
      </x:c>
      <x:c r="D2887" s="16" t="n">
        <x:v>2304.3635936438</x:v>
      </x:c>
      <x:c r="E2887" s="16" t="n">
        <x:v>-113.0873310685</x:v>
      </x:c>
      <x:c r="F2887" s="23" t="n">
        <x:v>2</x:v>
      </x:c>
    </x:row>
    <x:row r="2888">
      <x:c r="A2888" s="15" t="n">
        <x:v>45809</x:v>
      </x:c>
      <x:c r="B2888" s="13" t="str">
        <x:v>Income Properties</x:v>
      </x:c>
      <x:c r="C2888" s="16" t="n">
        <x:v>2308.5876129315</x:v>
      </x:c>
      <x:c r="D2888" s="16" t="n">
        <x:v>2445.3431243397</x:v>
      </x:c>
      <x:c r="E2888" s="16" t="n">
        <x:v>136.7555114082</x:v>
      </x:c>
      <x:c r="F2888" s="23" t="n">
        <x:v>3</x:v>
      </x:c>
    </x:row>
    <x:row r="2889">
      <x:c r="A2889" s="15" t="n">
        <x:v>45809</x:v>
      </x:c>
      <x:c r="B2889" s="13" t="str">
        <x:v>Metals &amp; Mining</x:v>
      </x:c>
      <x:c r="C2889" s="16" t="n">
        <x:v>57048.0509843288</x:v>
      </x:c>
      <x:c r="D2889" s="16" t="n">
        <x:v>51285.6133726685</x:v>
      </x:c>
      <x:c r="E2889" s="16" t="n">
        <x:v>-5762.4376116603</x:v>
      </x:c>
      <x:c r="F2889" s="23" t="n">
        <x:v>6</x:v>
      </x:c>
    </x:row>
    <x:row r="2890">
      <x:c r="A2890" s="15" t="n">
        <x:v>45809</x:v>
      </x:c>
      <x:c r="B2890" s="13" t="str">
        <x:v>Oil, Gas &amp; Petrochemicals</x:v>
      </x:c>
      <x:c r="C2890" s="16" t="n">
        <x:v>130007.4991921101</x:v>
      </x:c>
      <x:c r="D2890" s="16" t="n">
        <x:v>105435.5148935013</x:v>
      </x:c>
      <x:c r="E2890" s="16" t="n">
        <x:v>-24571.9842986088</x:v>
      </x:c>
      <x:c r="F2890" s="23" t="n">
        <x:v>8</x:v>
      </x:c>
    </x:row>
    <x:row r="2891">
      <x:c r="A2891" s="15" t="n">
        <x:v>45809</x:v>
      </x:c>
      <x:c r="B2891" s="13" t="str">
        <x:v>Pulp &amp; Paper</x:v>
      </x:c>
      <x:c r="C2891" s="16" t="n">
        <x:v>14240.7789483836</x:v>
      </x:c>
      <x:c r="D2891" s="16" t="n">
        <x:v>12460.6406585863</x:v>
      </x:c>
      <x:c r="E2891" s="16" t="n">
        <x:v>-1780.1382897973</x:v>
      </x:c>
      <x:c r="F2891" s="23" t="n">
        <x:v>2</x:v>
      </x:c>
    </x:row>
    <x:row r="2892">
      <x:c r="A2892" s="15" t="n">
        <x:v>45809</x:v>
      </x:c>
      <x:c r="B2892" s="13" t="str">
        <x:v>Retail</x:v>
      </x:c>
      <x:c r="C2892" s="16" t="n">
        <x:v>5860.6341149589</x:v>
      </x:c>
      <x:c r="D2892" s="16" t="n">
        <x:v>6346.5244107397</x:v>
      </x:c>
      <x:c r="E2892" s="16" t="n">
        <x:v>485.8902957808</x:v>
      </x:c>
      <x:c r="F2892" s="23" t="n">
        <x:v>10</x:v>
      </x:c>
    </x:row>
    <x:row r="2893">
      <x:c r="A2893" s="15" t="n">
        <x:v>45809</x:v>
      </x:c>
      <x:c r="B2893" s="13" t="str">
        <x:v>Sanitation</x:v>
      </x:c>
      <x:c r="C2893" s="16" t="n">
        <x:v>5079.5117834521</x:v>
      </x:c>
      <x:c r="D2893" s="16" t="n">
        <x:v>5548.4694093151</x:v>
      </x:c>
      <x:c r="E2893" s="16" t="n">
        <x:v>468.957625863</x:v>
      </x:c>
      <x:c r="F2893" s="23" t="n">
        <x:v>1</x:v>
      </x:c>
    </x:row>
    <x:row r="2894">
      <x:c r="A2894" s="15" t="n">
        <x:v>45809</x:v>
      </x:c>
      <x:c r="B2894" s="13" t="str">
        <x:v>TMT</x:v>
      </x:c>
      <x:c r="C2894" s="16" t="n">
        <x:v>4969.7905727123</x:v>
      </x:c>
      <x:c r="D2894" s="16" t="n">
        <x:v>5168.6102391233</x:v>
      </x:c>
      <x:c r="E2894" s="16" t="n">
        <x:v>198.819666411</x:v>
      </x:c>
      <x:c r="F2894" s="23" t="n">
        <x:v>2</x:v>
      </x:c>
    </x:row>
    <x:row r="2895">
      <x:c r="A2895" s="15" t="n">
        <x:v>45809</x:v>
      </x:c>
      <x:c r="B2895" s="13" t="str">
        <x:v>Transportation</x:v>
      </x:c>
      <x:c r="C2895" s="16" t="n">
        <x:v>9415.5775991233</x:v>
      </x:c>
      <x:c r="D2895" s="16" t="n">
        <x:v>9993.7356484384</x:v>
      </x:c>
      <x:c r="E2895" s="16" t="n">
        <x:v>578.1580493151</x:v>
      </x:c>
      <x:c r="F2895" s="23" t="n">
        <x:v>5</x:v>
      </x:c>
    </x:row>
    <x:row r="2896">
      <x:c r="A2896" s="15" t="n">
        <x:v>45809</x:v>
      </x:c>
      <x:c r="B2896" s="13" t="str">
        <x:v>Utilities &amp; Energy</x:v>
      </x:c>
      <x:c r="C2896" s="16" t="n">
        <x:v>42305.1330174246</x:v>
      </x:c>
      <x:c r="D2896" s="16" t="n">
        <x:v>41200.5938767123</x:v>
      </x:c>
      <x:c r="E2896" s="16" t="n">
        <x:v>-1104.5391407123</x:v>
      </x:c>
      <x:c r="F2896" s="23" t="n">
        <x:v>12</x:v>
      </x:c>
    </x:row>
    <x:row r="2897">
      <x:c r="A2897" s="15" t="n">
        <x:v>45839</x:v>
      </x:c>
      <x:c r="B2897" s="13" t="str">
        <x:v>Agribusiness</x:v>
      </x:c>
      <x:c r="C2897" s="16" t="n">
        <x:v>3216.8194270685</x:v>
      </x:c>
      <x:c r="D2897" s="16" t="n">
        <x:v>1045.2906825644</x:v>
      </x:c>
      <x:c r="E2897" s="16" t="n">
        <x:v>-2171.5287445041</x:v>
      </x:c>
      <x:c r="F2897" s="23" t="n">
        <x:v>3</x:v>
      </x:c>
    </x:row>
    <x:row r="2898">
      <x:c r="A2898" s="15" t="n">
        <x:v>45839</x:v>
      </x:c>
      <x:c r="B2898" s="13" t="str">
        <x:v>Banks</x:v>
      </x:c>
      <x:c r="C2898" s="16" t="n">
        <x:v>164430.9029172601</x:v>
      </x:c>
      <x:c r="D2898" s="16" t="n">
        <x:v>161575.7696995946</x:v>
      </x:c>
      <x:c r="E2898" s="16" t="n">
        <x:v>-2855.1332176655</x:v>
      </x:c>
      <x:c r="F2898" s="23" t="n">
        <x:v>6</x:v>
      </x:c>
    </x:row>
    <x:row r="2899">
      <x:c r="A2899" s="15" t="n">
        <x:v>45839</x:v>
      </x:c>
      <x:c r="B2899" s="13" t="str">
        <x:v>Capital Goods</x:v>
      </x:c>
      <x:c r="C2899" s="16" t="n">
        <x:v>11525.8204878904</x:v>
      </x:c>
      <x:c r="D2899" s="16" t="n">
        <x:v>10913.8848746959</x:v>
      </x:c>
      <x:c r="E2899" s="16" t="n">
        <x:v>-611.9356131945</x:v>
      </x:c>
      <x:c r="F2899" s="23" t="n">
        <x:v>3</x:v>
      </x:c>
    </x:row>
    <x:row r="2900">
      <x:c r="A2900" s="15" t="n">
        <x:v>45839</x:v>
      </x:c>
      <x:c r="B2900" s="13" t="str">
        <x:v>Education</x:v>
      </x:c>
      <x:c r="C2900" s="16" t="n">
        <x:v>946.6044225753</x:v>
      </x:c>
      <x:c r="D2900" s="16" t="n">
        <x:v>1124.9370513534</x:v>
      </x:c>
      <x:c r="E2900" s="16" t="n">
        <x:v>178.3326287781</x:v>
      </x:c>
      <x:c r="F2900" s="23" t="n">
        <x:v>2</x:v>
      </x:c>
    </x:row>
    <x:row r="2901">
      <x:c r="A2901" s="15" t="n">
        <x:v>45839</x:v>
      </x:c>
      <x:c r="B2901" s="13" t="str">
        <x:v>Financials Non-Banks</x:v>
      </x:c>
      <x:c r="C2901" s="16" t="n">
        <x:v>39763.7199167123</x:v>
      </x:c>
      <x:c r="D2901" s="16" t="n">
        <x:v>40322.3057648219</x:v>
      </x:c>
      <x:c r="E2901" s="16" t="n">
        <x:v>558.5858481096</x:v>
      </x:c>
      <x:c r="F2901" s="23" t="n">
        <x:v>6</x:v>
      </x:c>
    </x:row>
    <x:row r="2902">
      <x:c r="A2902" s="15" t="n">
        <x:v>45839</x:v>
      </x:c>
      <x:c r="B2902" s="13" t="str">
        <x:v>Food &amp; Beverages</x:v>
      </x:c>
      <x:c r="C2902" s="16" t="n">
        <x:v>19715.3388273973</x:v>
      </x:c>
      <x:c r="D2902" s="16" t="n">
        <x:v>19534.342938652</x:v>
      </x:c>
      <x:c r="E2902" s="16" t="n">
        <x:v>-180.9958887452</x:v>
      </x:c>
      <x:c r="F2902" s="23" t="n">
        <x:v>4</x:v>
      </x:c>
    </x:row>
    <x:row r="2903">
      <x:c r="A2903" s="15" t="n">
        <x:v>45839</x:v>
      </x:c>
      <x:c r="B2903" s="13" t="str">
        <x:v>Health Care</x:v>
      </x:c>
      <x:c r="C2903" s="16" t="n">
        <x:v>8168.7528346301</x:v>
      </x:c>
      <x:c r="D2903" s="16" t="n">
        <x:v>8766.7567714192</x:v>
      </x:c>
      <x:c r="E2903" s="16" t="n">
        <x:v>598.003936789</x:v>
      </x:c>
      <x:c r="F2903" s="23" t="n">
        <x:v>4</x:v>
      </x:c>
    </x:row>
    <x:row r="2904">
      <x:c r="A2904" s="15" t="n">
        <x:v>45839</x:v>
      </x:c>
      <x:c r="B2904" s="13" t="str">
        <x:v>Homebuilders</x:v>
      </x:c>
      <x:c r="C2904" s="16" t="n">
        <x:v>2425.1089201096</x:v>
      </x:c>
      <x:c r="D2904" s="16" t="n">
        <x:v>2197.4651881206</x:v>
      </x:c>
      <x:c r="E2904" s="16" t="n">
        <x:v>-227.643731989</x:v>
      </x:c>
      <x:c r="F2904" s="23" t="n">
        <x:v>2</x:v>
      </x:c>
    </x:row>
    <x:row r="2905">
      <x:c r="A2905" s="15" t="n">
        <x:v>45839</x:v>
      </x:c>
      <x:c r="B2905" s="13" t="str">
        <x:v>Income Properties</x:v>
      </x:c>
      <x:c r="C2905" s="16" t="n">
        <x:v>2274.3765553973</x:v>
      </x:c>
      <x:c r="D2905" s="16" t="n">
        <x:v>2401.9896179726</x:v>
      </x:c>
      <x:c r="E2905" s="16" t="n">
        <x:v>127.6130625753</x:v>
      </x:c>
      <x:c r="F2905" s="23" t="n">
        <x:v>3</x:v>
      </x:c>
    </x:row>
    <x:row r="2906">
      <x:c r="A2906" s="15" t="n">
        <x:v>45839</x:v>
      </x:c>
      <x:c r="B2906" s="13" t="str">
        <x:v>Metals &amp; Mining</x:v>
      </x:c>
      <x:c r="C2906" s="16" t="n">
        <x:v>55101.751289863</x:v>
      </x:c>
      <x:c r="D2906" s="16" t="n">
        <x:v>50904.7996484822</x:v>
      </x:c>
      <x:c r="E2906" s="16" t="n">
        <x:v>-4196.9516413808</x:v>
      </x:c>
      <x:c r="F2906" s="23" t="n">
        <x:v>7</x:v>
      </x:c>
    </x:row>
    <x:row r="2907">
      <x:c r="A2907" s="15" t="n">
        <x:v>45839</x:v>
      </x:c>
      <x:c r="B2907" s="13" t="str">
        <x:v>Oil, Gas &amp; Petrochemicals</x:v>
      </x:c>
      <x:c r="C2907" s="16" t="n">
        <x:v>111458.3101422466</x:v>
      </x:c>
      <x:c r="D2907" s="16" t="n">
        <x:v>100516.9889927014</x:v>
      </x:c>
      <x:c r="E2907" s="16" t="n">
        <x:v>-10941.3211495452</x:v>
      </x:c>
      <x:c r="F2907" s="23" t="n">
        <x:v>8</x:v>
      </x:c>
    </x:row>
    <x:row r="2908">
      <x:c r="A2908" s="15" t="n">
        <x:v>45839</x:v>
      </x:c>
      <x:c r="B2908" s="13" t="str">
        <x:v>Pulp &amp; Paper</x:v>
      </x:c>
      <x:c r="C2908" s="16" t="n">
        <x:v>14303.6671333698</x:v>
      </x:c>
      <x:c r="D2908" s="16" t="n">
        <x:v>11988.0406741918</x:v>
      </x:c>
      <x:c r="E2908" s="16" t="n">
        <x:v>-2315.6264591781</x:v>
      </x:c>
      <x:c r="F2908" s="23" t="n">
        <x:v>2</x:v>
      </x:c>
    </x:row>
    <x:row r="2909">
      <x:c r="A2909" s="15" t="n">
        <x:v>45839</x:v>
      </x:c>
      <x:c r="B2909" s="13" t="str">
        <x:v>Retail</x:v>
      </x:c>
      <x:c r="C2909" s="16" t="n">
        <x:v>4901.8458</x:v>
      </x:c>
      <x:c r="D2909" s="16" t="n">
        <x:v>5527.0240982356</x:v>
      </x:c>
      <x:c r="E2909" s="16" t="n">
        <x:v>625.1782982356</x:v>
      </x:c>
      <x:c r="F2909" s="23" t="n">
        <x:v>9</x:v>
      </x:c>
    </x:row>
    <x:row r="2910">
      <x:c r="A2910" s="15" t="n">
        <x:v>45839</x:v>
      </x:c>
      <x:c r="B2910" s="13" t="str">
        <x:v>Sanitation</x:v>
      </x:c>
      <x:c r="C2910" s="16" t="n">
        <x:v>5371.981824</x:v>
      </x:c>
      <x:c r="D2910" s="16" t="n">
        <x:v>5698.5131555069</x:v>
      </x:c>
      <x:c r="E2910" s="16" t="n">
        <x:v>326.5313315068</x:v>
      </x:c>
      <x:c r="F2910" s="23" t="n">
        <x:v>1</x:v>
      </x:c>
    </x:row>
    <x:row r="2911">
      <x:c r="A2911" s="15" t="n">
        <x:v>45839</x:v>
      </x:c>
      <x:c r="B2911" s="13" t="str">
        <x:v>TMT</x:v>
      </x:c>
      <x:c r="C2911" s="16" t="n">
        <x:v>5006.9276195068</x:v>
      </x:c>
      <x:c r="D2911" s="16" t="n">
        <x:v>5252.9530915068</x:v>
      </x:c>
      <x:c r="E2911" s="16" t="n">
        <x:v>246.025472</x:v>
      </x:c>
      <x:c r="F2911" s="23" t="n">
        <x:v>2</x:v>
      </x:c>
    </x:row>
    <x:row r="2912">
      <x:c r="A2912" s="15" t="n">
        <x:v>45839</x:v>
      </x:c>
      <x:c r="B2912" s="13" t="str">
        <x:v>Transportation</x:v>
      </x:c>
      <x:c r="C2912" s="16" t="n">
        <x:v>9542.3576688219</x:v>
      </x:c>
      <x:c r="D2912" s="16" t="n">
        <x:v>10000.6929365918</x:v>
      </x:c>
      <x:c r="E2912" s="16" t="n">
        <x:v>458.3352677699</x:v>
      </x:c>
      <x:c r="F2912" s="23" t="n">
        <x:v>5</x:v>
      </x:c>
    </x:row>
    <x:row r="2913">
      <x:c r="A2913" s="15" t="n">
        <x:v>45839</x:v>
      </x:c>
      <x:c r="B2913" s="13" t="str">
        <x:v>Utilities &amp; Energy</x:v>
      </x:c>
      <x:c r="C2913" s="16" t="n">
        <x:v>42423.9326290411</x:v>
      </x:c>
      <x:c r="D2913" s="16" t="n">
        <x:v>40107.3481712438</x:v>
      </x:c>
      <x:c r="E2913" s="16" t="n">
        <x:v>-2316.5844577973</x:v>
      </x:c>
      <x:c r="F2913" s="23" t="n">
        <x:v>12</x:v>
      </x:c>
    </x:row>
    <x:row r="2914">
      <x:c r="A2914" s="15" t="n">
        <x:v>45870</x:v>
      </x:c>
      <x:c r="B2914" s="13" t="str">
        <x:v>Agribusiness</x:v>
      </x:c>
      <x:c r="C2914" s="16" t="n">
        <x:v>3078.3753205479</x:v>
      </x:c>
      <x:c r="D2914" s="16" t="n">
        <x:v>147.9814640219</x:v>
      </x:c>
      <x:c r="E2914" s="16" t="n">
        <x:v>-2930.393856526</x:v>
      </x:c>
      <x:c r="F2914" s="23" t="n">
        <x:v>3</x:v>
      </x:c>
    </x:row>
    <x:row r="2915">
      <x:c r="A2915" s="15" t="n">
        <x:v>45870</x:v>
      </x:c>
      <x:c r="B2915" s="13" t="str">
        <x:v>Banks</x:v>
      </x:c>
      <x:c r="C2915" s="16" t="n">
        <x:v>164419.6570406576</x:v>
      </x:c>
      <x:c r="D2915" s="16" t="n">
        <x:v>163761.3362470575</x:v>
      </x:c>
      <x:c r="E2915" s="16" t="n">
        <x:v>-658.3207936001</x:v>
      </x:c>
      <x:c r="F2915" s="23" t="n">
        <x:v>6</x:v>
      </x:c>
    </x:row>
    <x:row r="2916">
      <x:c r="A2916" s="15" t="n">
        <x:v>45870</x:v>
      </x:c>
      <x:c r="B2916" s="13" t="str">
        <x:v>Capital Goods</x:v>
      </x:c>
      <x:c r="C2916" s="16" t="n">
        <x:v>11215.7726474521</x:v>
      </x:c>
      <x:c r="D2916" s="16" t="n">
        <x:v>10865.3220018849</x:v>
      </x:c>
      <x:c r="E2916" s="16" t="n">
        <x:v>-350.4506455671</x:v>
      </x:c>
      <x:c r="F2916" s="23" t="n">
        <x:v>3</x:v>
      </x:c>
    </x:row>
    <x:row r="2917">
      <x:c r="A2917" s="15" t="n">
        <x:v>45870</x:v>
      </x:c>
      <x:c r="B2917" s="13" t="str">
        <x:v>Education</x:v>
      </x:c>
      <x:c r="C2917" s="16" t="n">
        <x:v>1095.4098069041</x:v>
      </x:c>
      <x:c r="D2917" s="16" t="n">
        <x:v>1141.5647510795</x:v>
      </x:c>
      <x:c r="E2917" s="16" t="n">
        <x:v>46.1549441753</x:v>
      </x:c>
      <x:c r="F2917" s="23" t="n">
        <x:v>2</x:v>
      </x:c>
    </x:row>
    <x:row r="2918">
      <x:c r="A2918" s="15" t="n">
        <x:v>45870</x:v>
      </x:c>
      <x:c r="B2918" s="13" t="str">
        <x:v>Financials Non-Banks</x:v>
      </x:c>
      <x:c r="C2918" s="16" t="n">
        <x:v>39812.797022685</x:v>
      </x:c>
      <x:c r="D2918" s="16" t="n">
        <x:v>41010.3509640767</x:v>
      </x:c>
      <x:c r="E2918" s="16" t="n">
        <x:v>1197.5539413917</x:v>
      </x:c>
      <x:c r="F2918" s="23" t="n">
        <x:v>6</x:v>
      </x:c>
    </x:row>
    <x:row r="2919">
      <x:c r="A2919" s="15" t="n">
        <x:v>45870</x:v>
      </x:c>
      <x:c r="B2919" s="13" t="str">
        <x:v>Food &amp; Beverages</x:v>
      </x:c>
      <x:c r="C2919" s="16" t="n">
        <x:v>19671.4205139726</x:v>
      </x:c>
      <x:c r="D2919" s="16" t="n">
        <x:v>19463.8372644822</x:v>
      </x:c>
      <x:c r="E2919" s="16" t="n">
        <x:v>-207.5832494904</x:v>
      </x:c>
      <x:c r="F2919" s="23" t="n">
        <x:v>4</x:v>
      </x:c>
    </x:row>
    <x:row r="2920">
      <x:c r="A2920" s="15" t="n">
        <x:v>45870</x:v>
      </x:c>
      <x:c r="B2920" s="13" t="str">
        <x:v>Health Care</x:v>
      </x:c>
      <x:c r="C2920" s="16" t="n">
        <x:v>8422.410520548</x:v>
      </x:c>
      <x:c r="D2920" s="16" t="n">
        <x:v>8975.2942118575</x:v>
      </x:c>
      <x:c r="E2920" s="16" t="n">
        <x:v>552.8836913096</x:v>
      </x:c>
      <x:c r="F2920" s="23" t="n">
        <x:v>4</x:v>
      </x:c>
    </x:row>
    <x:row r="2921">
      <x:c r="A2921" s="15" t="n">
        <x:v>45870</x:v>
      </x:c>
      <x:c r="B2921" s="13" t="str">
        <x:v>Homebuilders</x:v>
      </x:c>
      <x:c r="C2921" s="16" t="n">
        <x:v>3279.8147370959</x:v>
      </x:c>
      <x:c r="D2921" s="16" t="n">
        <x:v>3181.0051598027</x:v>
      </x:c>
      <x:c r="E2921" s="16" t="n">
        <x:v>-98.8095772932</x:v>
      </x:c>
      <x:c r="F2921" s="23" t="n">
        <x:v>3</x:v>
      </x:c>
    </x:row>
    <x:row r="2922">
      <x:c r="A2922" s="15" t="n">
        <x:v>45870</x:v>
      </x:c>
      <x:c r="B2922" s="13" t="str">
        <x:v>Income Properties</x:v>
      </x:c>
      <x:c r="C2922" s="16" t="n">
        <x:v>2392.242233863</x:v>
      </x:c>
      <x:c r="D2922" s="16" t="n">
        <x:v>2460.2443816329</x:v>
      </x:c>
      <x:c r="E2922" s="16" t="n">
        <x:v>68.0021477699</x:v>
      </x:c>
      <x:c r="F2922" s="23" t="n">
        <x:v>3</x:v>
      </x:c>
    </x:row>
    <x:row r="2923">
      <x:c r="A2923" s="15" t="n">
        <x:v>45870</x:v>
      </x:c>
      <x:c r="B2923" s="13" t="str">
        <x:v>Metals &amp; Mining</x:v>
      </x:c>
      <x:c r="C2923" s="16" t="n">
        <x:v>53437.3444370685</x:v>
      </x:c>
      <x:c r="D2923" s="16" t="n">
        <x:v>51035.1546770191</x:v>
      </x:c>
      <x:c r="E2923" s="16" t="n">
        <x:v>-2402.1897600494</x:v>
      </x:c>
      <x:c r="F2923" s="23" t="n">
        <x:v>7</x:v>
      </x:c>
    </x:row>
    <x:row r="2924">
      <x:c r="A2924" s="15" t="n">
        <x:v>45870</x:v>
      </x:c>
      <x:c r="B2924" s="13" t="str">
        <x:v>Oil, Gas &amp; Petrochemicals</x:v>
      </x:c>
      <x:c r="C2924" s="16" t="n">
        <x:v>106985.393408</x:v>
      </x:c>
      <x:c r="D2924" s="16" t="n">
        <x:v>92060.8188514191</x:v>
      </x:c>
      <x:c r="E2924" s="16" t="n">
        <x:v>-14924.5745565809</x:v>
      </x:c>
      <x:c r="F2924" s="23" t="n">
        <x:v>8</x:v>
      </x:c>
    </x:row>
    <x:row r="2925">
      <x:c r="A2925" s="15" t="n">
        <x:v>45870</x:v>
      </x:c>
      <x:c r="B2925" s="13" t="str">
        <x:v>Pulp &amp; Paper</x:v>
      </x:c>
      <x:c r="C2925" s="16" t="n">
        <x:v>13065.903686137</x:v>
      </x:c>
      <x:c r="D2925" s="16" t="n">
        <x:v>11069.5911038247</x:v>
      </x:c>
      <x:c r="E2925" s="16" t="n">
        <x:v>-1996.3125823123</x:v>
      </x:c>
      <x:c r="F2925" s="23" t="n">
        <x:v>2</x:v>
      </x:c>
    </x:row>
    <x:row r="2926">
      <x:c r="A2926" s="15" t="n">
        <x:v>45870</x:v>
      </x:c>
      <x:c r="B2926" s="13" t="str">
        <x:v>Retail</x:v>
      </x:c>
      <x:c r="C2926" s="16" t="n">
        <x:v>5942.7331387397</x:v>
      </x:c>
      <x:c r="D2926" s="16" t="n">
        <x:v>6646.3122248329</x:v>
      </x:c>
      <x:c r="E2926" s="16" t="n">
        <x:v>703.5790860932</x:v>
      </x:c>
      <x:c r="F2926" s="23" t="n">
        <x:v>10</x:v>
      </x:c>
    </x:row>
    <x:row r="2927">
      <x:c r="A2927" s="15" t="n">
        <x:v>45870</x:v>
      </x:c>
      <x:c r="B2927" s="13" t="str">
        <x:v>Sanitation</x:v>
      </x:c>
      <x:c r="C2927" s="16" t="n">
        <x:v>5533.2163892603</x:v>
      </x:c>
      <x:c r="D2927" s="16" t="n">
        <x:v>5981.209061348</x:v>
      </x:c>
      <x:c r="E2927" s="16" t="n">
        <x:v>447.9926720877</x:v>
      </x:c>
      <x:c r="F2927" s="23" t="n">
        <x:v>1</x:v>
      </x:c>
    </x:row>
    <x:row r="2928">
      <x:c r="A2928" s="15" t="n">
        <x:v>45870</x:v>
      </x:c>
      <x:c r="B2928" s="13" t="str">
        <x:v>TMT</x:v>
      </x:c>
      <x:c r="C2928" s="16" t="n">
        <x:v>5098.6850226849</x:v>
      </x:c>
      <x:c r="D2928" s="16" t="n">
        <x:v>5364.7076415123</x:v>
      </x:c>
      <x:c r="E2928" s="16" t="n">
        <x:v>266.0226188274</x:v>
      </x:c>
      <x:c r="F2928" s="23" t="n">
        <x:v>2</x:v>
      </x:c>
    </x:row>
    <x:row r="2929">
      <x:c r="A2929" s="15" t="n">
        <x:v>45870</x:v>
      </x:c>
      <x:c r="B2929" s="13" t="str">
        <x:v>Transportation</x:v>
      </x:c>
      <x:c r="C2929" s="16" t="n">
        <x:v>9823.2702106301</x:v>
      </x:c>
      <x:c r="D2929" s="16" t="n">
        <x:v>10054.2488363836</x:v>
      </x:c>
      <x:c r="E2929" s="16" t="n">
        <x:v>230.9786257534</x:v>
      </x:c>
      <x:c r="F2929" s="23" t="n">
        <x:v>5</x:v>
      </x:c>
    </x:row>
    <x:row r="2930">
      <x:c r="A2930" s="15" t="n">
        <x:v>45870</x:v>
      </x:c>
      <x:c r="B2930" s="13" t="str">
        <x:v>Utilities &amp; Energy</x:v>
      </x:c>
      <x:c r="C2930" s="16" t="n">
        <x:v>40727.5609750137</x:v>
      </x:c>
      <x:c r="D2930" s="16" t="n">
        <x:v>39242.4087225534</x:v>
      </x:c>
      <x:c r="E2930" s="16" t="n">
        <x:v>-1485.1522524603</x:v>
      </x:c>
      <x:c r="F2930" s="23" t="n">
        <x:v>12</x:v>
      </x:c>
    </x:row>
    <x:row r="2931">
      <x:c r="A2931" s="15" t="n">
        <x:v>45901</x:v>
      </x:c>
      <x:c r="B2931" s="13" t="str">
        <x:v>Agribusiness</x:v>
      </x:c>
      <x:c r="C2931" s="16" t="n">
        <x:v>1954.7918551671</x:v>
      </x:c>
      <x:c r="D2931" s="16" t="n">
        <x:v>-541.9140251178</x:v>
      </x:c>
      <x:c r="E2931" s="16" t="n">
        <x:v>-2496.7058802849</x:v>
      </x:c>
      <x:c r="F2931" s="23" t="n">
        <x:v>2</x:v>
      </x:c>
    </x:row>
    <x:row r="2932">
      <x:c r="A2932" s="15" t="n">
        <x:v>45901</x:v>
      </x:c>
      <x:c r="B2932" s="13" t="str">
        <x:v>Banks</x:v>
      </x:c>
      <x:c r="C2932" s="16" t="n">
        <x:v>161370.5421276931</x:v>
      </x:c>
      <x:c r="D2932" s="16" t="n">
        <x:v>163030.2083324494</x:v>
      </x:c>
      <x:c r="E2932" s="16" t="n">
        <x:v>1659.6662047563</x:v>
      </x:c>
      <x:c r="F2932" s="23" t="n">
        <x:v>6</x:v>
      </x:c>
    </x:row>
    <x:row r="2933">
      <x:c r="A2933" s="15" t="n">
        <x:v>45901</x:v>
      </x:c>
      <x:c r="B2933" s="13" t="str">
        <x:v>Capital Goods</x:v>
      </x:c>
      <x:c r="C2933" s="16" t="n">
        <x:v>11158.4257378192</x:v>
      </x:c>
      <x:c r="D2933" s="16" t="n">
        <x:v>10913.6915336767</x:v>
      </x:c>
      <x:c r="E2933" s="16" t="n">
        <x:v>-244.7342041425</x:v>
      </x:c>
      <x:c r="F2933" s="23" t="n">
        <x:v>3</x:v>
      </x:c>
    </x:row>
    <x:row r="2934">
      <x:c r="A2934" s="15" t="n">
        <x:v>45901</x:v>
      </x:c>
      <x:c r="B2934" s="13" t="str">
        <x:v>Education</x:v>
      </x:c>
      <x:c r="C2934" s="16" t="n">
        <x:v>1125.1591622137</x:v>
      </x:c>
      <x:c r="D2934" s="16" t="n">
        <x:v>1159.4529509699</x:v>
      </x:c>
      <x:c r="E2934" s="16" t="n">
        <x:v>34.2937887562</x:v>
      </x:c>
      <x:c r="F2934" s="23" t="n">
        <x:v>2</x:v>
      </x:c>
    </x:row>
    <x:row r="2935">
      <x:c r="A2935" s="15" t="n">
        <x:v>45901</x:v>
      </x:c>
      <x:c r="B2935" s="13" t="str">
        <x:v>Financials Non-Banks</x:v>
      </x:c>
      <x:c r="C2935" s="16" t="n">
        <x:v>40032.6156051288</x:v>
      </x:c>
      <x:c r="D2935" s="16" t="n">
        <x:v>41218.9979805808</x:v>
      </x:c>
      <x:c r="E2935" s="16" t="n">
        <x:v>1186.382375452</x:v>
      </x:c>
      <x:c r="F2935" s="23" t="n">
        <x:v>6</x:v>
      </x:c>
    </x:row>
    <x:row r="2936">
      <x:c r="A2936" s="15" t="n">
        <x:v>45901</x:v>
      </x:c>
      <x:c r="B2936" s="13" t="str">
        <x:v>Food &amp; Beverages</x:v>
      </x:c>
      <x:c r="C2936" s="16" t="n">
        <x:v>16844.974621589</x:v>
      </x:c>
      <x:c r="D2936" s="16" t="n">
        <x:v>17552.4023117151</x:v>
      </x:c>
      <x:c r="E2936" s="16" t="n">
        <x:v>707.4276901261</x:v>
      </x:c>
      <x:c r="F2936" s="23" t="n">
        <x:v>3</x:v>
      </x:c>
    </x:row>
    <x:row r="2937">
      <x:c r="A2937" s="15" t="n">
        <x:v>45901</x:v>
      </x:c>
      <x:c r="B2937" s="13" t="str">
        <x:v>Health Care</x:v>
      </x:c>
      <x:c r="C2937" s="16" t="n">
        <x:v>8746.6556836822</x:v>
      </x:c>
      <x:c r="D2937" s="16" t="n">
        <x:v>9088.7358200986</x:v>
      </x:c>
      <x:c r="E2937" s="16" t="n">
        <x:v>342.0801364164</x:v>
      </x:c>
      <x:c r="F2937" s="23" t="n">
        <x:v>4</x:v>
      </x:c>
    </x:row>
    <x:row r="2938">
      <x:c r="A2938" s="15" t="n">
        <x:v>45901</x:v>
      </x:c>
      <x:c r="B2938" s="13" t="str">
        <x:v>Homebuilders</x:v>
      </x:c>
      <x:c r="C2938" s="16" t="n">
        <x:v>3191.2711809753</x:v>
      </x:c>
      <x:c r="D2938" s="16" t="n">
        <x:v>3274.8218320658</x:v>
      </x:c>
      <x:c r="E2938" s="16" t="n">
        <x:v>83.5506510904</x:v>
      </x:c>
      <x:c r="F2938" s="23" t="n">
        <x:v>3</x:v>
      </x:c>
    </x:row>
    <x:row r="2939">
      <x:c r="A2939" s="15" t="n">
        <x:v>45901</x:v>
      </x:c>
      <x:c r="B2939" s="13" t="str">
        <x:v>Income Properties</x:v>
      </x:c>
      <x:c r="C2939" s="16" t="n">
        <x:v>2445.3431243397</x:v>
      </x:c>
      <x:c r="D2939" s="16" t="n">
        <x:v>2479.7160426959</x:v>
      </x:c>
      <x:c r="E2939" s="16" t="n">
        <x:v>34.3729183562</x:v>
      </x:c>
      <x:c r="F2939" s="23" t="n">
        <x:v>3</x:v>
      </x:c>
    </x:row>
    <x:row r="2940">
      <x:c r="A2940" s="15" t="n">
        <x:v>45901</x:v>
      </x:c>
      <x:c r="B2940" s="13" t="str">
        <x:v>Metals &amp; Mining</x:v>
      </x:c>
      <x:c r="C2940" s="16" t="n">
        <x:v>52935.1668613261</x:v>
      </x:c>
      <x:c r="D2940" s="16" t="n">
        <x:v>49642.2010787398</x:v>
      </x:c>
      <x:c r="E2940" s="16" t="n">
        <x:v>-3292.9657825863</x:v>
      </x:c>
      <x:c r="F2940" s="23" t="n">
        <x:v>7</x:v>
      </x:c>
    </x:row>
    <x:row r="2941">
      <x:c r="A2941" s="15" t="n">
        <x:v>45901</x:v>
      </x:c>
      <x:c r="B2941" s="13" t="str">
        <x:v>Oil, Gas &amp; Petrochemicals</x:v>
      </x:c>
      <x:c r="C2941" s="16" t="n">
        <x:v>105435.5148935013</x:v>
      </x:c>
      <x:c r="D2941" s="16" t="n">
        <x:v>93357.9385207233</x:v>
      </x:c>
      <x:c r="E2941" s="16" t="n">
        <x:v>-12077.576372778</x:v>
      </x:c>
      <x:c r="F2941" s="23" t="n">
        <x:v>8</x:v>
      </x:c>
    </x:row>
    <x:row r="2942">
      <x:c r="A2942" s="15" t="n">
        <x:v>45901</x:v>
      </x:c>
      <x:c r="B2942" s="13" t="str">
        <x:v>Pulp &amp; Paper</x:v>
      </x:c>
      <x:c r="C2942" s="16" t="n">
        <x:v>12460.6406585863</x:v>
      </x:c>
      <x:c r="D2942" s="16" t="n">
        <x:v>10958.4827535781</x:v>
      </x:c>
      <x:c r="E2942" s="16" t="n">
        <x:v>-1502.1579050082</x:v>
      </x:c>
      <x:c r="F2942" s="23" t="n">
        <x:v>2</x:v>
      </x:c>
    </x:row>
    <x:row r="2943">
      <x:c r="A2943" s="15" t="n">
        <x:v>45901</x:v>
      </x:c>
      <x:c r="B2943" s="13" t="str">
        <x:v>Retail</x:v>
      </x:c>
      <x:c r="C2943" s="16" t="n">
        <x:v>6153.1300306411</x:v>
      </x:c>
      <x:c r="D2943" s="16" t="n">
        <x:v>6627.8074545096</x:v>
      </x:c>
      <x:c r="E2943" s="16" t="n">
        <x:v>474.6774238685</x:v>
      </x:c>
      <x:c r="F2943" s="23" t="n">
        <x:v>9</x:v>
      </x:c>
    </x:row>
    <x:row r="2944">
      <x:c r="A2944" s="15" t="n">
        <x:v>45901</x:v>
      </x:c>
      <x:c r="B2944" s="13" t="str">
        <x:v>Sanitation</x:v>
      </x:c>
      <x:c r="C2944" s="16" t="n">
        <x:v>5548.4694093151</x:v>
      </x:c>
      <x:c r="D2944" s="16" t="n">
        <x:v>6472.7490433753</x:v>
      </x:c>
      <x:c r="E2944" s="16" t="n">
        <x:v>924.2796340603</x:v>
      </x:c>
      <x:c r="F2944" s="23" t="n">
        <x:v>1</x:v>
      </x:c>
    </x:row>
    <x:row r="2945">
      <x:c r="A2945" s="15" t="n">
        <x:v>45901</x:v>
      </x:c>
      <x:c r="B2945" s="13" t="str">
        <x:v>TMT</x:v>
      </x:c>
      <x:c r="C2945" s="16" t="n">
        <x:v>5168.6102391233</x:v>
      </x:c>
      <x:c r="D2945" s="16" t="n">
        <x:v>5422.3369142356</x:v>
      </x:c>
      <x:c r="E2945" s="16" t="n">
        <x:v>253.7266751123</x:v>
      </x:c>
      <x:c r="F2945" s="23" t="n">
        <x:v>2</x:v>
      </x:c>
    </x:row>
    <x:row r="2946">
      <x:c r="A2946" s="15" t="n">
        <x:v>45901</x:v>
      </x:c>
      <x:c r="B2946" s="13" t="str">
        <x:v>Transportation</x:v>
      </x:c>
      <x:c r="C2946" s="16" t="n">
        <x:v>9120.9685412822</x:v>
      </x:c>
      <x:c r="D2946" s="16" t="n">
        <x:v>9166.5614472767</x:v>
      </x:c>
      <x:c r="E2946" s="16" t="n">
        <x:v>45.5929059945</x:v>
      </x:c>
      <x:c r="F2946" s="23" t="n">
        <x:v>4</x:v>
      </x:c>
    </x:row>
    <x:row r="2947">
      <x:c r="A2947" s="15" t="n">
        <x:v>45901</x:v>
      </x:c>
      <x:c r="B2947" s="13" t="str">
        <x:v>Utilities &amp; Energy</x:v>
      </x:c>
      <x:c r="C2947" s="16" t="n">
        <x:v>41200.5938767123</x:v>
      </x:c>
      <x:c r="D2947" s="16" t="n">
        <x:v>40423.6434200548</x:v>
      </x:c>
      <x:c r="E2947" s="16" t="n">
        <x:v>-776.9504566575</x:v>
      </x:c>
      <x:c r="F2947" s="23" t="n">
        <x:v>12</x:v>
      </x:c>
    </x:row>
    <x:row r="2948">
      <x:c r="A2948" s="15" t="n">
        <x:v>45931</x:v>
      </x:c>
      <x:c r="B2948" s="13" t="str">
        <x:v>Agribusiness</x:v>
      </x:c>
      <x:c r="C2948" s="16" t="n">
        <x:v>290.9430545534</x:v>
      </x:c>
      <x:c r="D2948" s="16" t="n">
        <x:v>-809.4748240658</x:v>
      </x:c>
      <x:c r="E2948" s="16" t="n">
        <x:v>-1100.4178786192</x:v>
      </x:c>
      <x:c r="F2948" s="23" t="n">
        <x:v>2</x:v>
      </x:c>
    </x:row>
    <x:row r="2949">
      <x:c r="A2949" s="15" t="n">
        <x:v>45931</x:v>
      </x:c>
      <x:c r="B2949" s="13" t="str">
        <x:v>Banks</x:v>
      </x:c>
      <x:c r="C2949" s="16" t="n">
        <x:v>161575.7696995946</x:v>
      </x:c>
      <x:c r="D2949" s="16" t="n">
        <x:v>166289.4976631233</x:v>
      </x:c>
      <x:c r="E2949" s="16" t="n">
        <x:v>4713.7279635287</x:v>
      </x:c>
      <x:c r="F2949" s="23" t="n">
        <x:v>6</x:v>
      </x:c>
    </x:row>
    <x:row r="2950">
      <x:c r="A2950" s="15" t="n">
        <x:v>45931</x:v>
      </x:c>
      <x:c r="B2950" s="13" t="str">
        <x:v>Capital Goods</x:v>
      </x:c>
      <x:c r="C2950" s="16" t="n">
        <x:v>10913.8848746959</x:v>
      </x:c>
      <x:c r="D2950" s="16" t="n">
        <x:v>10696.0054710356</x:v>
      </x:c>
      <x:c r="E2950" s="16" t="n">
        <x:v>-217.8794036603</x:v>
      </x:c>
      <x:c r="F2950" s="23" t="n">
        <x:v>3</x:v>
      </x:c>
    </x:row>
    <x:row r="2951">
      <x:c r="A2951" s="15" t="n">
        <x:v>45931</x:v>
      </x:c>
      <x:c r="B2951" s="13" t="str">
        <x:v>Education</x:v>
      </x:c>
      <x:c r="C2951" s="16" t="n">
        <x:v>1124.9370513534</x:v>
      </x:c>
      <x:c r="D2951" s="16" t="n">
        <x:v>1243.0589041096</x:v>
      </x:c>
      <x:c r="E2951" s="16" t="n">
        <x:v>118.1218527562</x:v>
      </x:c>
      <x:c r="F2951" s="23" t="n">
        <x:v>2</x:v>
      </x:c>
    </x:row>
    <x:row r="2952">
      <x:c r="A2952" s="15" t="n">
        <x:v>45931</x:v>
      </x:c>
      <x:c r="B2952" s="13" t="str">
        <x:v>Financials Non-Banks</x:v>
      </x:c>
      <x:c r="C2952" s="16" t="n">
        <x:v>40322.3057648219</x:v>
      </x:c>
      <x:c r="D2952" s="16" t="n">
        <x:v>41481.0243233315</x:v>
      </x:c>
      <x:c r="E2952" s="16" t="n">
        <x:v>1158.7185585096</x:v>
      </x:c>
      <x:c r="F2952" s="23" t="n">
        <x:v>6</x:v>
      </x:c>
    </x:row>
    <x:row r="2953">
      <x:c r="A2953" s="15" t="n">
        <x:v>45931</x:v>
      </x:c>
      <x:c r="B2953" s="13" t="str">
        <x:v>Food &amp; Beverages</x:v>
      </x:c>
      <x:c r="C2953" s="16" t="n">
        <x:v>16717.1802525808</x:v>
      </x:c>
      <x:c r="D2953" s="16" t="n">
        <x:v>17584.8553178302</x:v>
      </x:c>
      <x:c r="E2953" s="16" t="n">
        <x:v>867.6750652494</x:v>
      </x:c>
      <x:c r="F2953" s="23" t="n">
        <x:v>3</x:v>
      </x:c>
    </x:row>
    <x:row r="2954">
      <x:c r="A2954" s="15" t="n">
        <x:v>45931</x:v>
      </x:c>
      <x:c r="B2954" s="13" t="str">
        <x:v>Health Care</x:v>
      </x:c>
      <x:c r="C2954" s="16" t="n">
        <x:v>8766.7567714192</x:v>
      </x:c>
      <x:c r="D2954" s="16" t="n">
        <x:v>9244.7242667836</x:v>
      </x:c>
      <x:c r="E2954" s="16" t="n">
        <x:v>477.9674953644</x:v>
      </x:c>
      <x:c r="F2954" s="23" t="n">
        <x:v>4</x:v>
      </x:c>
    </x:row>
    <x:row r="2955">
      <x:c r="A2955" s="15" t="n">
        <x:v>45931</x:v>
      </x:c>
      <x:c r="B2955" s="13" t="str">
        <x:v>Homebuilders</x:v>
      </x:c>
      <x:c r="C2955" s="16" t="n">
        <x:v>3109.6391129425</x:v>
      </x:c>
      <x:c r="D2955" s="16" t="n">
        <x:v>3459.5297523726</x:v>
      </x:c>
      <x:c r="E2955" s="16" t="n">
        <x:v>349.8906394301</x:v>
      </x:c>
      <x:c r="F2955" s="23" t="n">
        <x:v>3</x:v>
      </x:c>
    </x:row>
    <x:row r="2956">
      <x:c r="A2956" s="15" t="n">
        <x:v>45931</x:v>
      </x:c>
      <x:c r="B2956" s="13" t="str">
        <x:v>Income Properties</x:v>
      </x:c>
      <x:c r="C2956" s="16" t="n">
        <x:v>2401.9896179726</x:v>
      </x:c>
      <x:c r="D2956" s="16" t="n">
        <x:v>2546.0568911781</x:v>
      </x:c>
      <x:c r="E2956" s="16" t="n">
        <x:v>144.0672732055</x:v>
      </x:c>
      <x:c r="F2956" s="23" t="n">
        <x:v>3</x:v>
      </x:c>
    </x:row>
    <x:row r="2957">
      <x:c r="A2957" s="15" t="n">
        <x:v>45931</x:v>
      </x:c>
      <x:c r="B2957" s="13" t="str">
        <x:v>Metals &amp; Mining</x:v>
      </x:c>
      <x:c r="C2957" s="16" t="n">
        <x:v>50904.7996484822</x:v>
      </x:c>
      <x:c r="D2957" s="16" t="n">
        <x:v>52137.9445509479</x:v>
      </x:c>
      <x:c r="E2957" s="16" t="n">
        <x:v>1233.1449024657</x:v>
      </x:c>
      <x:c r="F2957" s="23" t="n">
        <x:v>7</x:v>
      </x:c>
    </x:row>
    <x:row r="2958">
      <x:c r="A2958" s="15" t="n">
        <x:v>45931</x:v>
      </x:c>
      <x:c r="B2958" s="13" t="str">
        <x:v>Oil, Gas &amp; Petrochemicals</x:v>
      </x:c>
      <x:c r="C2958" s="16" t="n">
        <x:v>100516.9889927014</x:v>
      </x:c>
      <x:c r="D2958" s="16" t="n">
        <x:v>94695.8752459397</x:v>
      </x:c>
      <x:c r="E2958" s="16" t="n">
        <x:v>-5821.1137467617</x:v>
      </x:c>
      <x:c r="F2958" s="23" t="n">
        <x:v>8</x:v>
      </x:c>
    </x:row>
    <x:row r="2959">
      <x:c r="A2959" s="15" t="n">
        <x:v>45931</x:v>
      </x:c>
      <x:c r="B2959" s="13" t="str">
        <x:v>Pulp &amp; Paper</x:v>
      </x:c>
      <x:c r="C2959" s="16" t="n">
        <x:v>11988.0406741918</x:v>
      </x:c>
      <x:c r="D2959" s="16" t="n">
        <x:v>11103.1622957589</x:v>
      </x:c>
      <x:c r="E2959" s="16" t="n">
        <x:v>-884.8783784329</x:v>
      </x:c>
      <x:c r="F2959" s="23" t="n">
        <x:v>2</x:v>
      </x:c>
    </x:row>
    <x:row r="2960">
      <x:c r="A2960" s="15" t="n">
        <x:v>45931</x:v>
      </x:c>
      <x:c r="B2960" s="13" t="str">
        <x:v>Retail</x:v>
      </x:c>
      <x:c r="C2960" s="16" t="n">
        <x:v>7350.7270632767</x:v>
      </x:c>
      <x:c r="D2960" s="16" t="n">
        <x:v>7923.7537762301</x:v>
      </x:c>
      <x:c r="E2960" s="16" t="n">
        <x:v>573.0267129534</x:v>
      </x:c>
      <x:c r="F2960" s="23" t="n">
        <x:v>10</x:v>
      </x:c>
    </x:row>
    <x:row r="2961">
      <x:c r="A2961" s="15" t="n">
        <x:v>45931</x:v>
      </x:c>
      <x:c r="B2961" s="13" t="str">
        <x:v>Sanitation</x:v>
      </x:c>
      <x:c r="C2961" s="16" t="n">
        <x:v>5698.5131555069</x:v>
      </x:c>
      <x:c r="D2961" s="16" t="n">
        <x:v>6738.6258796712</x:v>
      </x:c>
      <x:c r="E2961" s="16" t="n">
        <x:v>1040.1127241644</x:v>
      </x:c>
      <x:c r="F2961" s="23" t="n">
        <x:v>1</x:v>
      </x:c>
    </x:row>
    <x:row r="2962">
      <x:c r="A2962" s="15" t="n">
        <x:v>45931</x:v>
      </x:c>
      <x:c r="B2962" s="13" t="str">
        <x:v>TMT</x:v>
      </x:c>
      <x:c r="C2962" s="16" t="n">
        <x:v>5252.9530915068</x:v>
      </x:c>
      <x:c r="D2962" s="16" t="n">
        <x:v>5529.5073348384</x:v>
      </x:c>
      <x:c r="E2962" s="16" t="n">
        <x:v>276.5542433315</x:v>
      </x:c>
      <x:c r="F2962" s="23" t="n">
        <x:v>2</x:v>
      </x:c>
    </x:row>
    <x:row r="2963">
      <x:c r="A2963" s="15" t="n">
        <x:v>45931</x:v>
      </x:c>
      <x:c r="B2963" s="13" t="str">
        <x:v>Transportation</x:v>
      </x:c>
      <x:c r="C2963" s="16" t="n">
        <x:v>9117.946374663</x:v>
      </x:c>
      <x:c r="D2963" s="16" t="n">
        <x:v>9331.3795003616</x:v>
      </x:c>
      <x:c r="E2963" s="16" t="n">
        <x:v>213.4331256986</x:v>
      </x:c>
      <x:c r="F2963" s="23" t="n">
        <x:v>4</x:v>
      </x:c>
    </x:row>
    <x:row r="2964">
      <x:c r="A2964" s="15" t="n">
        <x:v>45931</x:v>
      </x:c>
      <x:c r="B2964" s="13" t="str">
        <x:v>Utilities &amp; Energy</x:v>
      </x:c>
      <x:c r="C2964" s="16" t="n">
        <x:v>40107.3481712438</x:v>
      </x:c>
      <x:c r="D2964" s="16" t="n">
        <x:v>42682.4989977425</x:v>
      </x:c>
      <x:c r="E2964" s="16" t="n">
        <x:v>2575.1508264986</x:v>
      </x:c>
      <x:c r="F2964" s="23" t="n">
        <x:v>12</x:v>
      </x:c>
    </x:row>
    <x:row r="2965">
      <x:c r="A2965" s="15" t="n">
        <x:v>45962</x:v>
      </x:c>
      <x:c r="B2965" s="13" t="str">
        <x:v>Agribusiness</x:v>
      </x:c>
      <x:c r="C2965" s="16" t="n">
        <x:v>-515.6245111233</x:v>
      </x:c>
      <x:c r="D2965" s="16" t="n">
        <x:v>-654.295826411</x:v>
      </x:c>
      <x:c r="E2965" s="16" t="n">
        <x:v>-138.6713152877</x:v>
      </x:c>
      <x:c r="F2965" s="23" t="n">
        <x:v>2</x:v>
      </x:c>
    </x:row>
    <x:row r="2966">
      <x:c r="A2966" s="15" t="n">
        <x:v>45962</x:v>
      </x:c>
      <x:c r="B2966" s="13" t="str">
        <x:v>Banks</x:v>
      </x:c>
      <x:c r="C2966" s="16" t="n">
        <x:v>163761.3362470575</x:v>
      </x:c>
      <x:c r="D2966" s="16" t="n">
        <x:v>168814.8888253371</x:v>
      </x:c>
      <x:c r="E2966" s="16" t="n">
        <x:v>5053.5525782796</x:v>
      </x:c>
      <x:c r="F2966" s="23" t="n">
        <x:v>6</x:v>
      </x:c>
    </x:row>
    <x:row r="2967">
      <x:c r="A2967" s="15" t="n">
        <x:v>45962</x:v>
      </x:c>
      <x:c r="B2967" s="13" t="str">
        <x:v>Capital Goods</x:v>
      </x:c>
      <x:c r="C2967" s="16" t="n">
        <x:v>10865.3220018849</x:v>
      </x:c>
      <x:c r="D2967" s="16" t="n">
        <x:v>10822.9704539178</x:v>
      </x:c>
      <x:c r="E2967" s="16" t="n">
        <x:v>-42.3515479671</x:v>
      </x:c>
      <x:c r="F2967" s="23" t="n">
        <x:v>3</x:v>
      </x:c>
    </x:row>
    <x:row r="2968">
      <x:c r="A2968" s="15" t="n">
        <x:v>45962</x:v>
      </x:c>
      <x:c r="B2968" s="13" t="str">
        <x:v>Education</x:v>
      </x:c>
      <x:c r="C2968" s="16" t="n">
        <x:v>1141.5647510795</x:v>
      </x:c>
      <x:c r="D2968" s="16" t="n">
        <x:v>1252.2574742795</x:v>
      </x:c>
      <x:c r="E2968" s="16" t="n">
        <x:v>110.6927232</x:v>
      </x:c>
      <x:c r="F2968" s="23" t="n">
        <x:v>2</x:v>
      </x:c>
    </x:row>
    <x:row r="2969">
      <x:c r="A2969" s="15" t="n">
        <x:v>45962</x:v>
      </x:c>
      <x:c r="B2969" s="13" t="str">
        <x:v>Financials Non-Banks</x:v>
      </x:c>
      <x:c r="C2969" s="16" t="n">
        <x:v>41010.3509640767</x:v>
      </x:c>
      <x:c r="D2969" s="16" t="n">
        <x:v>41707.5859775124</x:v>
      </x:c>
      <x:c r="E2969" s="16" t="n">
        <x:v>697.2350134357</x:v>
      </x:c>
      <x:c r="F2969" s="23" t="n">
        <x:v>6</x:v>
      </x:c>
    </x:row>
    <x:row r="2970">
      <x:c r="A2970" s="15" t="n">
        <x:v>45962</x:v>
      </x:c>
      <x:c r="B2970" s="13" t="str">
        <x:v>Food &amp; Beverages</x:v>
      </x:c>
      <x:c r="C2970" s="16" t="n">
        <x:v>16720.6509685479</x:v>
      </x:c>
      <x:c r="D2970" s="16" t="n">
        <x:v>17036.3472284055</x:v>
      </x:c>
      <x:c r="E2970" s="16" t="n">
        <x:v>315.6962598576</x:v>
      </x:c>
      <x:c r="F2970" s="23" t="n">
        <x:v>3</x:v>
      </x:c>
    </x:row>
    <x:row r="2971">
      <x:c r="A2971" s="15" t="n">
        <x:v>45962</x:v>
      </x:c>
      <x:c r="B2971" s="13" t="str">
        <x:v>Health Care</x:v>
      </x:c>
      <x:c r="C2971" s="16" t="n">
        <x:v>8975.2942118575</x:v>
      </x:c>
      <x:c r="D2971" s="16" t="n">
        <x:v>9027.7514059397</x:v>
      </x:c>
      <x:c r="E2971" s="16" t="n">
        <x:v>52.4571940822</x:v>
      </x:c>
      <x:c r="F2971" s="23" t="n">
        <x:v>4</x:v>
      </x:c>
    </x:row>
    <x:row r="2972">
      <x:c r="A2972" s="15" t="n">
        <x:v>45962</x:v>
      </x:c>
      <x:c r="B2972" s="13" t="str">
        <x:v>Homebuilders</x:v>
      </x:c>
      <x:c r="C2972" s="16" t="n">
        <x:v>3181.0051598027</x:v>
      </x:c>
      <x:c r="D2972" s="16" t="n">
        <x:v>3634.2584046466</x:v>
      </x:c>
      <x:c r="E2972" s="16" t="n">
        <x:v>453.2532448438</x:v>
      </x:c>
      <x:c r="F2972" s="23" t="n">
        <x:v>3</x:v>
      </x:c>
    </x:row>
    <x:row r="2973">
      <x:c r="A2973" s="15" t="n">
        <x:v>45962</x:v>
      </x:c>
      <x:c r="B2973" s="13" t="str">
        <x:v>Income Properties</x:v>
      </x:c>
      <x:c r="C2973" s="16" t="n">
        <x:v>2460.2443816329</x:v>
      </x:c>
      <x:c r="D2973" s="16" t="n">
        <x:v>2550.9497188822</x:v>
      </x:c>
      <x:c r="E2973" s="16" t="n">
        <x:v>90.7053372493</x:v>
      </x:c>
      <x:c r="F2973" s="23" t="n">
        <x:v>3</x:v>
      </x:c>
    </x:row>
    <x:row r="2974">
      <x:c r="A2974" s="15" t="n">
        <x:v>45962</x:v>
      </x:c>
      <x:c r="B2974" s="13" t="str">
        <x:v>Metals &amp; Mining</x:v>
      </x:c>
      <x:c r="C2974" s="16" t="n">
        <x:v>51035.1546770191</x:v>
      </x:c>
      <x:c r="D2974" s="16" t="n">
        <x:v>54111.9524387068</x:v>
      </x:c>
      <x:c r="E2974" s="16" t="n">
        <x:v>3076.7977616877</x:v>
      </x:c>
      <x:c r="F2974" s="23" t="n">
        <x:v>7</x:v>
      </x:c>
    </x:row>
    <x:row r="2975">
      <x:c r="A2975" s="15" t="n">
        <x:v>45962</x:v>
      </x:c>
      <x:c r="B2975" s="13" t="str">
        <x:v>Oil, Gas &amp; Petrochemicals</x:v>
      </x:c>
      <x:c r="C2975" s="16" t="n">
        <x:v>92060.8188514191</x:v>
      </x:c>
      <x:c r="D2975" s="16" t="n">
        <x:v>87769.8706907178</x:v>
      </x:c>
      <x:c r="E2975" s="16" t="n">
        <x:v>-4290.9481607013</x:v>
      </x:c>
      <x:c r="F2975" s="23" t="n">
        <x:v>8</x:v>
      </x:c>
    </x:row>
    <x:row r="2976">
      <x:c r="A2976" s="15" t="n">
        <x:v>45962</x:v>
      </x:c>
      <x:c r="B2976" s="13" t="str">
        <x:v>Pulp &amp; Paper</x:v>
      </x:c>
      <x:c r="C2976" s="16" t="n">
        <x:v>11069.5911038247</x:v>
      </x:c>
      <x:c r="D2976" s="16" t="n">
        <x:v>10536.1849473754</x:v>
      </x:c>
      <x:c r="E2976" s="16" t="n">
        <x:v>-533.4061564493</x:v>
      </x:c>
      <x:c r="F2976" s="23" t="n">
        <x:v>2</x:v>
      </x:c>
    </x:row>
    <x:row r="2977">
      <x:c r="A2977" s="15" t="n">
        <x:v>45962</x:v>
      </x:c>
      <x:c r="B2977" s="13" t="str">
        <x:v>Retail</x:v>
      </x:c>
      <x:c r="C2977" s="16" t="n">
        <x:v>7694.1272037699</x:v>
      </x:c>
      <x:c r="D2977" s="16" t="n">
        <x:v>8083.2096603616</x:v>
      </x:c>
      <x:c r="E2977" s="16" t="n">
        <x:v>389.0824565918</x:v>
      </x:c>
      <x:c r="F2977" s="23" t="n">
        <x:v>10</x:v>
      </x:c>
    </x:row>
    <x:row r="2978">
      <x:c r="A2978" s="15" t="n">
        <x:v>45962</x:v>
      </x:c>
      <x:c r="B2978" s="13" t="str">
        <x:v>Sanitation</x:v>
      </x:c>
      <x:c r="C2978" s="16" t="n">
        <x:v>5981.209061348</x:v>
      </x:c>
      <x:c r="D2978" s="16" t="n">
        <x:v>6987.4664602301</x:v>
      </x:c>
      <x:c r="E2978" s="16" t="n">
        <x:v>1006.2573988822</x:v>
      </x:c>
      <x:c r="F2978" s="23" t="n">
        <x:v>1</x:v>
      </x:c>
    </x:row>
    <x:row r="2979">
      <x:c r="A2979" s="15" t="n">
        <x:v>45962</x:v>
      </x:c>
      <x:c r="B2979" s="13" t="str">
        <x:v>TMT</x:v>
      </x:c>
      <x:c r="C2979" s="16" t="n">
        <x:v>5364.7076415123</x:v>
      </x:c>
      <x:c r="D2979" s="16" t="n">
        <x:v>5556.2445145425</x:v>
      </x:c>
      <x:c r="E2979" s="16" t="n">
        <x:v>191.5368730301</x:v>
      </x:c>
      <x:c r="F2979" s="23" t="n">
        <x:v>2</x:v>
      </x:c>
    </x:row>
    <x:row r="2980">
      <x:c r="A2980" s="15" t="n">
        <x:v>45962</x:v>
      </x:c>
      <x:c r="B2980" s="13" t="str">
        <x:v>Transportation</x:v>
      </x:c>
      <x:c r="C2980" s="16" t="n">
        <x:v>9151.9516081096</x:v>
      </x:c>
      <x:c r="D2980" s="16" t="n">
        <x:v>9399.494252537</x:v>
      </x:c>
      <x:c r="E2980" s="16" t="n">
        <x:v>247.5426444274</x:v>
      </x:c>
      <x:c r="F2980" s="23" t="n">
        <x:v>4</x:v>
      </x:c>
    </x:row>
    <x:row r="2981">
      <x:c r="A2981" s="15" t="n">
        <x:v>45962</x:v>
      </x:c>
      <x:c r="B2981" s="13" t="str">
        <x:v>Utilities &amp; Energy</x:v>
      </x:c>
      <x:c r="C2981" s="16" t="n">
        <x:v>36748.7022356712</x:v>
      </x:c>
      <x:c r="D2981" s="16" t="n">
        <x:v>39486.8512499726</x:v>
      </x:c>
      <x:c r="E2981" s="16" t="n">
        <x:v>2738.1490143014</x:v>
      </x:c>
      <x:c r="F2981" s="23" t="n">
        <x:v>11</x:v>
      </x:c>
    </x:row>
    <x:row r="2982">
      <x:c r="A2982" s="15" t="n">
        <x:v>45992</x:v>
      </x:c>
      <x:c r="B2982" s="13" t="str">
        <x:v>Agribusiness</x:v>
      </x:c>
      <x:c r="C2982" s="16" t="n">
        <x:v>-541.9140251178</x:v>
      </x:c>
      <x:c r="D2982" s="16" t="n">
        <x:v>-1170.4779905753</x:v>
      </x:c>
      <x:c r="E2982" s="16" t="n">
        <x:v>-628.5639654575</x:v>
      </x:c>
      <x:c r="F2982" s="23" t="n">
        <x:v>2</x:v>
      </x:c>
    </x:row>
    <x:row r="2983">
      <x:c r="A2983" s="15" t="n">
        <x:v>45992</x:v>
      </x:c>
      <x:c r="B2983" s="13" t="str">
        <x:v>Banks</x:v>
      </x:c>
      <x:c r="C2983" s="16" t="n">
        <x:v>163030.2083324494</x:v>
      </x:c>
      <x:c r="D2983" s="16" t="n">
        <x:v>170890.999808</x:v>
      </x:c>
      <x:c r="E2983" s="16" t="n">
        <x:v>7860.7914755506</x:v>
      </x:c>
      <x:c r="F2983" s="23" t="n">
        <x:v>6</x:v>
      </x:c>
    </x:row>
    <x:row r="2984">
      <x:c r="A2984" s="15" t="n">
        <x:v>45992</x:v>
      </x:c>
      <x:c r="B2984" s="13" t="str">
        <x:v>Capital Goods</x:v>
      </x:c>
      <x:c r="C2984" s="16" t="n">
        <x:v>10913.6915336767</x:v>
      </x:c>
      <x:c r="D2984" s="16" t="n">
        <x:v>10934.009984</x:v>
      </x:c>
      <x:c r="E2984" s="16" t="n">
        <x:v>20.3184503233</x:v>
      </x:c>
      <x:c r="F2984" s="23" t="n">
        <x:v>3</x:v>
      </x:c>
    </x:row>
    <x:row r="2985">
      <x:c r="A2985" s="15" t="n">
        <x:v>45992</x:v>
      </x:c>
      <x:c r="B2985" s="13" t="str">
        <x:v>Education</x:v>
      </x:c>
      <x:c r="C2985" s="16" t="n">
        <x:v>1159.4529509699</x:v>
      </x:c>
      <x:c r="D2985" s="16" t="n">
        <x:v>1290.023008</x:v>
      </x:c>
      <x:c r="E2985" s="16" t="n">
        <x:v>130.5700570301</x:v>
      </x:c>
      <x:c r="F2985" s="23" t="n">
        <x:v>2</x:v>
      </x:c>
    </x:row>
    <x:row r="2986">
      <x:c r="A2986" s="15" t="n">
        <x:v>45992</x:v>
      </x:c>
      <x:c r="B2986" s="13" t="str">
        <x:v>Financials Non-Banks</x:v>
      </x:c>
      <x:c r="C2986" s="16" t="n">
        <x:v>41218.9979805808</x:v>
      </x:c>
      <x:c r="D2986" s="16" t="n">
        <x:v>41986.800192</x:v>
      </x:c>
      <x:c r="E2986" s="16" t="n">
        <x:v>767.8022114192</x:v>
      </x:c>
      <x:c r="F2986" s="23" t="n">
        <x:v>6</x:v>
      </x:c>
    </x:row>
    <x:row r="2987">
      <x:c r="A2987" s="15" t="n">
        <x:v>45992</x:v>
      </x:c>
      <x:c r="B2987" s="13" t="str">
        <x:v>Food &amp; Beverages</x:v>
      </x:c>
      <x:c r="C2987" s="16" t="n">
        <x:v>17552.4023117151</x:v>
      </x:c>
      <x:c r="D2987" s="16" t="n">
        <x:v>17401.97376</x:v>
      </x:c>
      <x:c r="E2987" s="16" t="n">
        <x:v>-150.4285517151</x:v>
      </x:c>
      <x:c r="F2987" s="23" t="n">
        <x:v>3</x:v>
      </x:c>
    </x:row>
    <x:row r="2988">
      <x:c r="A2988" s="15" t="n">
        <x:v>45992</x:v>
      </x:c>
      <x:c r="B2988" s="13" t="str">
        <x:v>Health Care</x:v>
      </x:c>
      <x:c r="C2988" s="16" t="n">
        <x:v>9088.7358200986</x:v>
      </x:c>
      <x:c r="D2988" s="16" t="n">
        <x:v>9079.429952</x:v>
      </x:c>
      <x:c r="E2988" s="16" t="n">
        <x:v>-9.3058680986</x:v>
      </x:c>
      <x:c r="F2988" s="23" t="n">
        <x:v>4</x:v>
      </x:c>
    </x:row>
    <x:row r="2989">
      <x:c r="A2989" s="15" t="n">
        <x:v>45992</x:v>
      </x:c>
      <x:c r="B2989" s="13" t="str">
        <x:v>Homebuilders</x:v>
      </x:c>
      <x:c r="C2989" s="16" t="n">
        <x:v>4378.425965589</x:v>
      </x:c>
      <x:c r="D2989" s="16" t="n">
        <x:v>4987.639936</x:v>
      </x:c>
      <x:c r="E2989" s="16" t="n">
        <x:v>609.213970411</x:v>
      </x:c>
      <x:c r="F2989" s="23" t="n">
        <x:v>4</x:v>
      </x:c>
    </x:row>
    <x:row r="2990">
      <x:c r="A2990" s="15" t="n">
        <x:v>45992</x:v>
      </x:c>
      <x:c r="B2990" s="13" t="str">
        <x:v>Income Properties</x:v>
      </x:c>
      <x:c r="C2990" s="16" t="n">
        <x:v>2479.7160426959</x:v>
      </x:c>
      <x:c r="D2990" s="16" t="n">
        <x:v>2688.169984</x:v>
      </x:c>
      <x:c r="E2990" s="16" t="n">
        <x:v>208.4539413041</x:v>
      </x:c>
      <x:c r="F2990" s="23" t="n">
        <x:v>3</x:v>
      </x:c>
    </x:row>
    <x:row r="2991">
      <x:c r="A2991" s="15" t="n">
        <x:v>45992</x:v>
      </x:c>
      <x:c r="B2991" s="13" t="str">
        <x:v>Metals &amp; Mining</x:v>
      </x:c>
      <x:c r="C2991" s="16" t="n">
        <x:v>47761.7161951014</x:v>
      </x:c>
      <x:c r="D2991" s="16" t="n">
        <x:v>53299.104032</x:v>
      </x:c>
      <x:c r="E2991" s="16" t="n">
        <x:v>5537.3878368986</x:v>
      </x:c>
      <x:c r="F2991" s="23" t="n">
        <x:v>6</x:v>
      </x:c>
    </x:row>
    <x:row r="2992">
      <x:c r="A2992" s="15" t="n">
        <x:v>45992</x:v>
      </x:c>
      <x:c r="B2992" s="13" t="str">
        <x:v>Oil, Gas &amp; Petrochemicals</x:v>
      </x:c>
      <x:c r="C2992" s="16" t="n">
        <x:v>93357.9385207233</x:v>
      </x:c>
      <x:c r="D2992" s="16" t="n">
        <x:v>83489.19664</x:v>
      </x:c>
      <x:c r="E2992" s="16" t="n">
        <x:v>-9868.7418807233</x:v>
      </x:c>
      <x:c r="F2992" s="23" t="n">
        <x:v>8</x:v>
      </x:c>
    </x:row>
    <x:row r="2993">
      <x:c r="A2993" s="15" t="n">
        <x:v>45992</x:v>
      </x:c>
      <x:c r="B2993" s="13" t="str">
        <x:v>Pulp &amp; Paper</x:v>
      </x:c>
      <x:c r="C2993" s="16" t="n">
        <x:v>10958.4827535781</x:v>
      </x:c>
      <x:c r="D2993" s="16" t="n">
        <x:v>9784.290048</x:v>
      </x:c>
      <x:c r="E2993" s="16" t="n">
        <x:v>-1174.1927055781</x:v>
      </x:c>
      <x:c r="F2993" s="23" t="n">
        <x:v>2</x:v>
      </x:c>
    </x:row>
    <x:row r="2994">
      <x:c r="A2994" s="15" t="n">
        <x:v>45992</x:v>
      </x:c>
      <x:c r="B2994" s="13" t="str">
        <x:v>Retail</x:v>
      </x:c>
      <x:c r="C2994" s="16" t="n">
        <x:v>8367.9688649644</x:v>
      </x:c>
      <x:c r="D2994" s="16" t="n">
        <x:v>8810.216912</x:v>
      </x:c>
      <x:c r="E2994" s="16" t="n">
        <x:v>442.2480470356</x:v>
      </x:c>
      <x:c r="F2994" s="23" t="n">
        <x:v>11</x:v>
      </x:c>
    </x:row>
    <x:row r="2995">
      <x:c r="A2995" s="15" t="n">
        <x:v>45992</x:v>
      </x:c>
      <x:c r="B2995" s="13" t="str">
        <x:v>Sanitation</x:v>
      </x:c>
      <x:c r="C2995" s="16" t="n">
        <x:v>6472.7490433753</x:v>
      </x:c>
      <x:c r="D2995" s="16" t="n">
        <x:v>6975.000064</x:v>
      </x:c>
      <x:c r="E2995" s="16" t="n">
        <x:v>502.2510206247</x:v>
      </x:c>
      <x:c r="F2995" s="23" t="n">
        <x:v>1</x:v>
      </x:c>
    </x:row>
    <x:row r="2996">
      <x:c r="A2996" s="15" t="n">
        <x:v>45992</x:v>
      </x:c>
      <x:c r="B2996" s="13" t="str">
        <x:v>TMT</x:v>
      </x:c>
      <x:c r="C2996" s="16" t="n">
        <x:v>5422.3369142356</x:v>
      </x:c>
      <x:c r="D2996" s="16" t="n">
        <x:v>5650.749952</x:v>
      </x:c>
      <x:c r="E2996" s="16" t="n">
        <x:v>228.4130377644</x:v>
      </x:c>
      <x:c r="F2996" s="23" t="n">
        <x:v>2</x:v>
      </x:c>
    </x:row>
    <x:row r="2997">
      <x:c r="A2997" s="15" t="n">
        <x:v>45992</x:v>
      </x:c>
      <x:c r="B2997" s="13" t="str">
        <x:v>Transportation</x:v>
      </x:c>
      <x:c r="C2997" s="16" t="n">
        <x:v>9166.5614472767</x:v>
      </x:c>
      <x:c r="D2997" s="16" t="n">
        <x:v>9346.262976</x:v>
      </x:c>
      <x:c r="E2997" s="16" t="n">
        <x:v>179.7015287233</x:v>
      </x:c>
      <x:c r="F2997" s="23" t="n">
        <x:v>4</x:v>
      </x:c>
    </x:row>
    <x:row r="2998">
      <x:c r="A2998" s="15" t="n">
        <x:v>45992</x:v>
      </x:c>
      <x:c r="B2998" s="13" t="str">
        <x:v>Utilities &amp; Energy</x:v>
      </x:c>
      <x:c r="C2998" s="16" t="n">
        <x:v>37856.2910677918</x:v>
      </x:c>
      <x:c r="D2998" s="16" t="n">
        <x:v>42399.522912</x:v>
      </x:c>
      <x:c r="E2998" s="16" t="n">
        <x:v>4543.2318442082</x:v>
      </x:c>
      <x:c r="F2998" s="23" t="n">
        <x:v>11</x:v>
      </x:c>
    </x:row>
    <x:row r="2999">
      <x:c r="A2999" s="15" t="n">
        <x:v>46023</x:v>
      </x:c>
      <x:c r="B2999" s="13" t="str">
        <x:v>Agribusiness</x:v>
      </x:c>
      <x:c r="C2999" s="16" t="n">
        <x:v>-809.4748240658</x:v>
      </x:c>
      <x:c r="D2999" s="16" t="n">
        <x:v>-1152.9797225205</x:v>
      </x:c>
      <x:c r="E2999" s="16" t="n">
        <x:v>-343.5048984548</x:v>
      </x:c>
      <x:c r="F2999" s="23" t="n">
        <x:v>2</x:v>
      </x:c>
    </x:row>
    <x:row r="3000">
      <x:c r="A3000" s="15" t="n">
        <x:v>46023</x:v>
      </x:c>
      <x:c r="B3000" s="13" t="str">
        <x:v>Banks</x:v>
      </x:c>
      <x:c r="C3000" s="16" t="n">
        <x:v>166289.4976631233</x:v>
      </x:c>
      <x:c r="D3000" s="16" t="n">
        <x:v>171354.7122323286</x:v>
      </x:c>
      <x:c r="E3000" s="16" t="n">
        <x:v>5065.2145692053</x:v>
      </x:c>
      <x:c r="F3000" s="23" t="n">
        <x:v>6</x:v>
      </x:c>
    </x:row>
    <x:row r="3001">
      <x:c r="A3001" s="15" t="n">
        <x:v>46023</x:v>
      </x:c>
      <x:c r="B3001" s="13" t="str">
        <x:v>Capital Goods</x:v>
      </x:c>
      <x:c r="C3001" s="16" t="n">
        <x:v>10696.0054710356</x:v>
      </x:c>
      <x:c r="D3001" s="16" t="n">
        <x:v>11093.3492216986</x:v>
      </x:c>
      <x:c r="E3001" s="16" t="n">
        <x:v>397.343750663</x:v>
      </x:c>
      <x:c r="F3001" s="23" t="n">
        <x:v>3</x:v>
      </x:c>
    </x:row>
    <x:row r="3002">
      <x:c r="A3002" s="15" t="n">
        <x:v>46023</x:v>
      </x:c>
      <x:c r="B3002" s="13" t="str">
        <x:v>Education</x:v>
      </x:c>
      <x:c r="C3002" s="16" t="n">
        <x:v>1243.0589041096</x:v>
      </x:c>
      <x:c r="D3002" s="16" t="n">
        <x:v>1397.2173755616</x:v>
      </x:c>
      <x:c r="E3002" s="16" t="n">
        <x:v>154.1584714521</x:v>
      </x:c>
      <x:c r="F3002" s="23" t="n">
        <x:v>2</x:v>
      </x:c>
    </x:row>
    <x:row r="3003">
      <x:c r="A3003" s="15" t="n">
        <x:v>46023</x:v>
      </x:c>
      <x:c r="B3003" s="13" t="str">
        <x:v>Financials Non-Banks</x:v>
      </x:c>
      <x:c r="C3003" s="16" t="n">
        <x:v>41481.0243233315</x:v>
      </x:c>
      <x:c r="D3003" s="16" t="n">
        <x:v>42158.9148151233</x:v>
      </x:c>
      <x:c r="E3003" s="16" t="n">
        <x:v>677.8904917917</x:v>
      </x:c>
      <x:c r="F3003" s="23" t="n">
        <x:v>6</x:v>
      </x:c>
    </x:row>
    <x:row r="3004">
      <x:c r="A3004" s="15" t="n">
        <x:v>46023</x:v>
      </x:c>
      <x:c r="B3004" s="13" t="str">
        <x:v>Food &amp; Beverages</x:v>
      </x:c>
      <x:c r="C3004" s="16" t="n">
        <x:v>17584.8553178302</x:v>
      </x:c>
      <x:c r="D3004" s="16" t="n">
        <x:v>17587.9913271233</x:v>
      </x:c>
      <x:c r="E3004" s="16" t="n">
        <x:v>3.1360092931</x:v>
      </x:c>
      <x:c r="F3004" s="23" t="n">
        <x:v>3</x:v>
      </x:c>
    </x:row>
    <x:row r="3005">
      <x:c r="A3005" s="15" t="n">
        <x:v>46023</x:v>
      </x:c>
      <x:c r="B3005" s="13" t="str">
        <x:v>Health Care</x:v>
      </x:c>
      <x:c r="C3005" s="16" t="n">
        <x:v>9244.7242667836</x:v>
      </x:c>
      <x:c r="D3005" s="16" t="n">
        <x:v>9056.2146130411</x:v>
      </x:c>
      <x:c r="E3005" s="16" t="n">
        <x:v>-188.5096537425</x:v>
      </x:c>
      <x:c r="F3005" s="23" t="n">
        <x:v>4</x:v>
      </x:c>
    </x:row>
    <x:row r="3006">
      <x:c r="A3006" s="15" t="n">
        <x:v>46023</x:v>
      </x:c>
      <x:c r="B3006" s="13" t="str">
        <x:v>Homebuilders</x:v>
      </x:c>
      <x:c r="C3006" s="16" t="n">
        <x:v>4611.3672688219</x:v>
      </x:c>
      <x:c r="D3006" s="16" t="n">
        <x:v>5050.8053479452</x:v>
      </x:c>
      <x:c r="E3006" s="16" t="n">
        <x:v>439.4380791233</x:v>
      </x:c>
      <x:c r="F3006" s="23" t="n">
        <x:v>4</x:v>
      </x:c>
    </x:row>
    <x:row r="3007">
      <x:c r="A3007" s="15" t="n">
        <x:v>46023</x:v>
      </x:c>
      <x:c r="B3007" s="13" t="str">
        <x:v>Income Properties</x:v>
      </x:c>
      <x:c r="C3007" s="16" t="n">
        <x:v>2546.0568911781</x:v>
      </x:c>
      <x:c r="D3007" s="16" t="n">
        <x:v>2685.8603791781</x:v>
      </x:c>
      <x:c r="E3007" s="16" t="n">
        <x:v>139.803488</x:v>
      </x:c>
      <x:c r="F3007" s="23" t="n">
        <x:v>3</x:v>
      </x:c>
    </x:row>
    <x:row r="3008">
      <x:c r="A3008" s="15" t="n">
        <x:v>46023</x:v>
      </x:c>
      <x:c r="B3008" s="13" t="str">
        <x:v>Metals &amp; Mining</x:v>
      </x:c>
      <x:c r="C3008" s="16" t="n">
        <x:v>50605.3089878137</x:v>
      </x:c>
      <x:c r="D3008" s="16" t="n">
        <x:v>56070.8504302465</x:v>
      </x:c>
      <x:c r="E3008" s="16" t="n">
        <x:v>5465.5414424328</x:v>
      </x:c>
      <x:c r="F3008" s="23" t="n">
        <x:v>6</x:v>
      </x:c>
    </x:row>
    <x:row r="3009">
      <x:c r="A3009" s="15" t="n">
        <x:v>46023</x:v>
      </x:c>
      <x:c r="B3009" s="13" t="str">
        <x:v>Oil, Gas &amp; Petrochemicals</x:v>
      </x:c>
      <x:c r="C3009" s="16" t="n">
        <x:v>94695.8752459397</x:v>
      </x:c>
      <x:c r="D3009" s="16" t="n">
        <x:v>81230.3372756164</x:v>
      </x:c>
      <x:c r="E3009" s="16" t="n">
        <x:v>-13465.5379703233</x:v>
      </x:c>
      <x:c r="F3009" s="23" t="n">
        <x:v>8</x:v>
      </x:c>
    </x:row>
    <x:row r="3010">
      <x:c r="A3010" s="15" t="n">
        <x:v>46023</x:v>
      </x:c>
      <x:c r="B3010" s="13" t="str">
        <x:v>Pulp &amp; Paper</x:v>
      </x:c>
      <x:c r="C3010" s="16" t="n">
        <x:v>11103.1622957589</x:v>
      </x:c>
      <x:c r="D3010" s="16" t="n">
        <x:v>8796.8197470685</x:v>
      </x:c>
      <x:c r="E3010" s="16" t="n">
        <x:v>-2306.3425486904</x:v>
      </x:c>
      <x:c r="F3010" s="23" t="n">
        <x:v>2</x:v>
      </x:c>
    </x:row>
    <x:row r="3011">
      <x:c r="A3011" s="15" t="n">
        <x:v>46023</x:v>
      </x:c>
      <x:c r="B3011" s="13" t="str">
        <x:v>Retail</x:v>
      </x:c>
      <x:c r="C3011" s="16" t="n">
        <x:v>8421.5860458959</x:v>
      </x:c>
      <x:c r="D3011" s="16" t="n">
        <x:v>8598.3789115616</x:v>
      </x:c>
      <x:c r="E3011" s="16" t="n">
        <x:v>176.7928656658</x:v>
      </x:c>
      <x:c r="F3011" s="23" t="n">
        <x:v>10</x:v>
      </x:c>
    </x:row>
    <x:row r="3012">
      <x:c r="A3012" s="15" t="n">
        <x:v>46023</x:v>
      </x:c>
      <x:c r="B3012" s="13" t="str">
        <x:v>Sanitation</x:v>
      </x:c>
      <x:c r="C3012" s="16" t="n">
        <x:v>6738.6258796712</x:v>
      </x:c>
      <x:c r="D3012" s="16" t="n">
        <x:v>7004.4944201644</x:v>
      </x:c>
      <x:c r="E3012" s="16" t="n">
        <x:v>265.8685404932</x:v>
      </x:c>
      <x:c r="F3012" s="23" t="n">
        <x:v>1</x:v>
      </x:c>
    </x:row>
    <x:row r="3013">
      <x:c r="A3013" s="15" t="n">
        <x:v>46023</x:v>
      </x:c>
      <x:c r="B3013" s="13" t="str">
        <x:v>TMT</x:v>
      </x:c>
      <x:c r="C3013" s="16" t="n">
        <x:v>5529.5073348384</x:v>
      </x:c>
      <x:c r="D3013" s="16" t="n">
        <x:v>5692.0688166575</x:v>
      </x:c>
      <x:c r="E3013" s="16" t="n">
        <x:v>162.5614818192</x:v>
      </x:c>
      <x:c r="F3013" s="23" t="n">
        <x:v>2</x:v>
      </x:c>
    </x:row>
    <x:row r="3014">
      <x:c r="A3014" s="15" t="n">
        <x:v>46023</x:v>
      </x:c>
      <x:c r="B3014" s="13" t="str">
        <x:v>Transportation</x:v>
      </x:c>
      <x:c r="C3014" s="16" t="n">
        <x:v>9331.3795003616</x:v>
      </x:c>
      <x:c r="D3014" s="16" t="n">
        <x:v>9475.9482862466</x:v>
      </x:c>
      <x:c r="E3014" s="16" t="n">
        <x:v>144.5687858849</x:v>
      </x:c>
      <x:c r="F3014" s="23" t="n">
        <x:v>4</x:v>
      </x:c>
    </x:row>
    <x:row r="3015">
      <x:c r="A3015" s="15" t="n">
        <x:v>46023</x:v>
      </x:c>
      <x:c r="B3015" s="13" t="str">
        <x:v>Utilities &amp; Energy</x:v>
      </x:c>
      <x:c r="C3015" s="16" t="n">
        <x:v>40150.3923884712</x:v>
      </x:c>
      <x:c r="D3015" s="16" t="n">
        <x:v>44908.4411511233</x:v>
      </x:c>
      <x:c r="E3015" s="16" t="n">
        <x:v>4758.0487626521</x:v>
      </x:c>
      <x:c r="F3015" s="23" t="n">
        <x:v>11</x:v>
      </x:c>
    </x:row>
    <x:row r="3016">
      <x:c r="A3016" s="15" t="n">
        <x:v>46054</x:v>
      </x:c>
      <x:c r="B3016" s="13" t="str">
        <x:v>Agribusiness</x:v>
      </x:c>
      <x:c r="C3016" s="16" t="n">
        <x:v>-654.295826411</x:v>
      </x:c>
      <x:c r="D3016" s="16" t="n">
        <x:v>-1908.5828748274</x:v>
      </x:c>
      <x:c r="E3016" s="16" t="n">
        <x:v>-1254.2870484164</x:v>
      </x:c>
      <x:c r="F3016" s="23" t="n">
        <x:v>2</x:v>
      </x:c>
    </x:row>
    <x:row r="3017">
      <x:c r="A3017" s="15" t="n">
        <x:v>46054</x:v>
      </x:c>
      <x:c r="B3017" s="13" t="str">
        <x:v>Banks</x:v>
      </x:c>
      <x:c r="C3017" s="16" t="n">
        <x:v>168814.8888253371</x:v>
      </x:c>
      <x:c r="D3017" s="16" t="n">
        <x:v>173295.7855463452</x:v>
      </x:c>
      <x:c r="E3017" s="16" t="n">
        <x:v>4480.8967210081</x:v>
      </x:c>
      <x:c r="F3017" s="23" t="n">
        <x:v>6</x:v>
      </x:c>
    </x:row>
    <x:row r="3018">
      <x:c r="A3018" s="15" t="n">
        <x:v>46054</x:v>
      </x:c>
      <x:c r="B3018" s="13" t="str">
        <x:v>Capital Goods</x:v>
      </x:c>
      <x:c r="C3018" s="16" t="n">
        <x:v>10822.9704539178</x:v>
      </x:c>
      <x:c r="D3018" s="16" t="n">
        <x:v>11186.272671211</x:v>
      </x:c>
      <x:c r="E3018" s="16" t="n">
        <x:v>363.3022172932</x:v>
      </x:c>
      <x:c r="F3018" s="23" t="n">
        <x:v>3</x:v>
      </x:c>
    </x:row>
    <x:row r="3019">
      <x:c r="A3019" s="15" t="n">
        <x:v>46054</x:v>
      </x:c>
      <x:c r="B3019" s="13" t="str">
        <x:v>Education</x:v>
      </x:c>
      <x:c r="C3019" s="16" t="n">
        <x:v>1252.2574742795</x:v>
      </x:c>
      <x:c r="D3019" s="16" t="n">
        <x:v>1453.2025829699</x:v>
      </x:c>
      <x:c r="E3019" s="16" t="n">
        <x:v>200.9451086904</x:v>
      </x:c>
      <x:c r="F3019" s="23" t="n">
        <x:v>2</x:v>
      </x:c>
    </x:row>
    <x:row r="3020">
      <x:c r="A3020" s="15" t="n">
        <x:v>46054</x:v>
      </x:c>
      <x:c r="B3020" s="13" t="str">
        <x:v>Financials Non-Banks</x:v>
      </x:c>
      <x:c r="C3020" s="16" t="n">
        <x:v>41707.5859775124</x:v>
      </x:c>
      <x:c r="D3020" s="16" t="n">
        <x:v>42685.6992752219</x:v>
      </x:c>
      <x:c r="E3020" s="16" t="n">
        <x:v>978.1132977096</x:v>
      </x:c>
      <x:c r="F3020" s="23" t="n">
        <x:v>6</x:v>
      </x:c>
    </x:row>
    <x:row r="3021">
      <x:c r="A3021" s="15" t="n">
        <x:v>46054</x:v>
      </x:c>
      <x:c r="B3021" s="13" t="str">
        <x:v>Food &amp; Beverages</x:v>
      </x:c>
      <x:c r="C3021" s="16" t="n">
        <x:v>17036.3472284055</x:v>
      </x:c>
      <x:c r="D3021" s="16" t="n">
        <x:v>17526.4098120767</x:v>
      </x:c>
      <x:c r="E3021" s="16" t="n">
        <x:v>490.0625836712</x:v>
      </x:c>
      <x:c r="F3021" s="23" t="n">
        <x:v>3</x:v>
      </x:c>
    </x:row>
    <x:row r="3022">
      <x:c r="A3022" s="15" t="n">
        <x:v>46054</x:v>
      </x:c>
      <x:c r="B3022" s="13" t="str">
        <x:v>Health Care</x:v>
      </x:c>
      <x:c r="C3022" s="16" t="n">
        <x:v>9027.7514059397</x:v>
      </x:c>
      <x:c r="D3022" s="16" t="n">
        <x:v>8846.5403106192</x:v>
      </x:c>
      <x:c r="E3022" s="16" t="n">
        <x:v>-181.2110953205</x:v>
      </x:c>
      <x:c r="F3022" s="23" t="n">
        <x:v>4</x:v>
      </x:c>
    </x:row>
    <x:row r="3023">
      <x:c r="A3023" s="15" t="n">
        <x:v>46054</x:v>
      </x:c>
      <x:c r="B3023" s="13" t="str">
        <x:v>Homebuilders</x:v>
      </x:c>
      <x:c r="C3023" s="16" t="n">
        <x:v>4814.957087737</x:v>
      </x:c>
      <x:c r="D3023" s="16" t="n">
        <x:v>5121.4786495123</x:v>
      </x:c>
      <x:c r="E3023" s="16" t="n">
        <x:v>306.5215617753</x:v>
      </x:c>
      <x:c r="F3023" s="23" t="n">
        <x:v>4</x:v>
      </x:c>
    </x:row>
    <x:row r="3024">
      <x:c r="A3024" s="15" t="n">
        <x:v>46054</x:v>
      </x:c>
      <x:c r="B3024" s="13" t="str">
        <x:v>Income Properties</x:v>
      </x:c>
      <x:c r="C3024" s="16" t="n">
        <x:v>2550.9497188822</x:v>
      </x:c>
      <x:c r="D3024" s="16" t="n">
        <x:v>2597.3013842411</x:v>
      </x:c>
      <x:c r="E3024" s="16" t="n">
        <x:v>46.3516653589</x:v>
      </x:c>
      <x:c r="F3024" s="23" t="n">
        <x:v>3</x:v>
      </x:c>
    </x:row>
    <x:row r="3025">
      <x:c r="A3025" s="15" t="n">
        <x:v>46054</x:v>
      </x:c>
      <x:c r="B3025" s="13" t="str">
        <x:v>Metals &amp; Mining</x:v>
      </x:c>
      <x:c r="C3025" s="16" t="n">
        <x:v>52454.7798941808</x:v>
      </x:c>
      <x:c r="D3025" s="16" t="n">
        <x:v>55275.785951474</x:v>
      </x:c>
      <x:c r="E3025" s="16" t="n">
        <x:v>2821.0060572932</x:v>
      </x:c>
      <x:c r="F3025" s="23" t="n">
        <x:v>6</x:v>
      </x:c>
    </x:row>
    <x:row r="3026">
      <x:c r="A3026" s="15" t="n">
        <x:v>46054</x:v>
      </x:c>
      <x:c r="B3026" s="13" t="str">
        <x:v>Oil, Gas &amp; Petrochemicals</x:v>
      </x:c>
      <x:c r="C3026" s="16" t="n">
        <x:v>87769.8706907178</x:v>
      </x:c>
      <x:c r="D3026" s="16" t="n">
        <x:v>89410.1106971178</x:v>
      </x:c>
      <x:c r="E3026" s="16" t="n">
        <x:v>1640.2400064</x:v>
      </x:c>
      <x:c r="F3026" s="23" t="n">
        <x:v>8</x:v>
      </x:c>
    </x:row>
    <x:row r="3027">
      <x:c r="A3027" s="15" t="n">
        <x:v>46054</x:v>
      </x:c>
      <x:c r="B3027" s="13" t="str">
        <x:v>Pulp &amp; Paper</x:v>
      </x:c>
      <x:c r="C3027" s="16" t="n">
        <x:v>10536.1849473754</x:v>
      </x:c>
      <x:c r="D3027" s="16" t="n">
        <x:v>9416.5113379068</x:v>
      </x:c>
      <x:c r="E3027" s="16" t="n">
        <x:v>-1119.6736094685</x:v>
      </x:c>
      <x:c r="F3027" s="23" t="n">
        <x:v>2</x:v>
      </x:c>
    </x:row>
    <x:row r="3028">
      <x:c r="A3028" s="15" t="n">
        <x:v>46054</x:v>
      </x:c>
      <x:c r="B3028" s="13" t="str">
        <x:v>Retail</x:v>
      </x:c>
      <x:c r="C3028" s="16" t="n">
        <x:v>8616.2187259616</x:v>
      </x:c>
      <x:c r="D3028" s="16" t="n">
        <x:v>8860.817401863</x:v>
      </x:c>
      <x:c r="E3028" s="16" t="n">
        <x:v>244.5986759014</x:v>
      </x:c>
      <x:c r="F3028" s="23" t="n">
        <x:v>10</x:v>
      </x:c>
    </x:row>
    <x:row r="3029">
      <x:c r="A3029" s="15" t="n">
        <x:v>46054</x:v>
      </x:c>
      <x:c r="B3029" s="13" t="str">
        <x:v>Sanitation</x:v>
      </x:c>
      <x:c r="C3029" s="16" t="n">
        <x:v>6987.4664602301</x:v>
      </x:c>
      <x:c r="D3029" s="16" t="n">
        <x:v>7162.4777307178</x:v>
      </x:c>
      <x:c r="E3029" s="16" t="n">
        <x:v>175.0112704877</x:v>
      </x:c>
      <x:c r="F3029" s="23" t="n">
        <x:v>1</x:v>
      </x:c>
    </x:row>
    <x:row r="3030">
      <x:c r="A3030" s="15" t="n">
        <x:v>46054</x:v>
      </x:c>
      <x:c r="B3030" s="13" t="str">
        <x:v>TMT</x:v>
      </x:c>
      <x:c r="C3030" s="16" t="n">
        <x:v>5556.2445145425</x:v>
      </x:c>
      <x:c r="D3030" s="16" t="n">
        <x:v>5778.1319964055</x:v>
      </x:c>
      <x:c r="E3030" s="16" t="n">
        <x:v>221.887481863</x:v>
      </x:c>
      <x:c r="F3030" s="23" t="n">
        <x:v>2</x:v>
      </x:c>
    </x:row>
    <x:row r="3031">
      <x:c r="A3031" s="15" t="n">
        <x:v>46054</x:v>
      </x:c>
      <x:c r="B3031" s="13" t="str">
        <x:v>Transportation</x:v>
      </x:c>
      <x:c r="C3031" s="16" t="n">
        <x:v>9399.494252537</x:v>
      </x:c>
      <x:c r="D3031" s="16" t="n">
        <x:v>9690.7177615781</x:v>
      </x:c>
      <x:c r="E3031" s="16" t="n">
        <x:v>291.2235090411</x:v>
      </x:c>
      <x:c r="F3031" s="23" t="n">
        <x:v>4</x:v>
      </x:c>
    </x:row>
    <x:row r="3032">
      <x:c r="A3032" s="15" t="n">
        <x:v>46054</x:v>
      </x:c>
      <x:c r="B3032" s="13" t="str">
        <x:v>Utilities &amp; Energy</x:v>
      </x:c>
      <x:c r="C3032" s="16" t="n">
        <x:v>39486.8512499726</x:v>
      </x:c>
      <x:c r="D3032" s="16" t="n">
        <x:v>44968.536959474</x:v>
      </x:c>
      <x:c r="E3032" s="16" t="n">
        <x:v>5481.6857095014</x:v>
      </x:c>
      <x:c r="F3032" s="23" t="n">
        <x:v>11</x:v>
      </x:c>
    </x:row>
    <x:row r="3033">
      <x:c r="A3033" s="15" t="n">
        <x:v>46082</x:v>
      </x:c>
      <x:c r="B3033" s="13" t="str">
        <x:v>Agribusiness</x:v>
      </x:c>
      <x:c r="C3033" s="16" t="n">
        <x:v>705.332992</x:v>
      </x:c>
      <x:c r="D3033" s="16" t="n">
        <x:v>761.618962411</x:v>
      </x:c>
      <x:c r="E3033" s="16" t="n">
        <x:v>56.285970411</x:v>
      </x:c>
      <x:c r="F3033" s="23" t="n">
        <x:v>1</x:v>
      </x:c>
    </x:row>
    <x:row r="3034">
      <x:c r="A3034" s="15" t="n">
        <x:v>46082</x:v>
      </x:c>
      <x:c r="B3034" s="13" t="str">
        <x:v>Banks</x:v>
      </x:c>
      <x:c r="C3034" s="16" t="n">
        <x:v>170890.999808</x:v>
      </x:c>
      <x:c r="D3034" s="16" t="n">
        <x:v>173675.3986349589</x:v>
      </x:c>
      <x:c r="E3034" s="16" t="n">
        <x:v>2784.3988269589</x:v>
      </x:c>
      <x:c r="F3034" s="23" t="n">
        <x:v>6</x:v>
      </x:c>
    </x:row>
    <x:row r="3035">
      <x:c r="A3035" s="15" t="n">
        <x:v>46082</x:v>
      </x:c>
      <x:c r="B3035" s="13" t="str">
        <x:v>Capital Goods</x:v>
      </x:c>
      <x:c r="C3035" s="16" t="n">
        <x:v>10934.009984</x:v>
      </x:c>
      <x:c r="D3035" s="16" t="n">
        <x:v>11398.7846592877</x:v>
      </x:c>
      <x:c r="E3035" s="16" t="n">
        <x:v>464.7746752877</x:v>
      </x:c>
      <x:c r="F3035" s="23" t="n">
        <x:v>3</x:v>
      </x:c>
    </x:row>
    <x:row r="3036">
      <x:c r="A3036" s="15" t="n">
        <x:v>46082</x:v>
      </x:c>
      <x:c r="B3036" s="13" t="str">
        <x:v>Education</x:v>
      </x:c>
      <x:c r="C3036" s="16" t="n">
        <x:v>1290.023008</x:v>
      </x:c>
      <x:c r="D3036" s="16" t="n">
        <x:v>1470.4354844931</x:v>
      </x:c>
      <x:c r="E3036" s="16" t="n">
        <x:v>180.4124764932</x:v>
      </x:c>
      <x:c r="F3036" s="23" t="n">
        <x:v>2</x:v>
      </x:c>
    </x:row>
    <x:row r="3037">
      <x:c r="A3037" s="15" t="n">
        <x:v>46082</x:v>
      </x:c>
      <x:c r="B3037" s="13" t="str">
        <x:v>Financials Non-Banks</x:v>
      </x:c>
      <x:c r="C3037" s="16" t="n">
        <x:v>41986.800192</x:v>
      </x:c>
      <x:c r="D3037" s="16" t="n">
        <x:v>43132.5356510685</x:v>
      </x:c>
      <x:c r="E3037" s="16" t="n">
        <x:v>1145.7354590685</x:v>
      </x:c>
      <x:c r="F3037" s="23" t="n">
        <x:v>6</x:v>
      </x:c>
    </x:row>
    <x:row r="3038">
      <x:c r="A3038" s="15" t="n">
        <x:v>46082</x:v>
      </x:c>
      <x:c r="B3038" s="13" t="str">
        <x:v>Food &amp; Beverages</x:v>
      </x:c>
      <x:c r="C3038" s="16" t="n">
        <x:v>17401.97376</x:v>
      </x:c>
      <x:c r="D3038" s="16" t="n">
        <x:v>17527.0805036713</x:v>
      </x:c>
      <x:c r="E3038" s="16" t="n">
        <x:v>125.1067436713</x:v>
      </x:c>
      <x:c r="F3038" s="23" t="n">
        <x:v>3</x:v>
      </x:c>
    </x:row>
    <x:row r="3039">
      <x:c r="A3039" s="15" t="n">
        <x:v>46082</x:v>
      </x:c>
      <x:c r="B3039" s="13" t="str">
        <x:v>Health Care</x:v>
      </x:c>
      <x:c r="C3039" s="16" t="n">
        <x:v>9079.429952</x:v>
      </x:c>
      <x:c r="D3039" s="16" t="n">
        <x:v>8635.5175636164</x:v>
      </x:c>
      <x:c r="E3039" s="16" t="n">
        <x:v>-443.9123883836</x:v>
      </x:c>
      <x:c r="F3039" s="23" t="n">
        <x:v>4</x:v>
      </x:c>
    </x:row>
    <x:row r="3040">
      <x:c r="A3040" s="15" t="n">
        <x:v>46082</x:v>
      </x:c>
      <x:c r="B3040" s="13" t="str">
        <x:v>Homebuilders</x:v>
      </x:c>
      <x:c r="C3040" s="16" t="n">
        <x:v>4987.639936</x:v>
      </x:c>
      <x:c r="D3040" s="16" t="n">
        <x:v>5220.8743311781</x:v>
      </x:c>
      <x:c r="E3040" s="16" t="n">
        <x:v>233.2343951781</x:v>
      </x:c>
      <x:c r="F3040" s="23" t="n">
        <x:v>4</x:v>
      </x:c>
    </x:row>
    <x:row r="3041">
      <x:c r="A3041" s="15" t="n">
        <x:v>46082</x:v>
      </x:c>
      <x:c r="B3041" s="13" t="str">
        <x:v>Income Properties</x:v>
      </x:c>
      <x:c r="C3041" s="16" t="n">
        <x:v>2688.169984</x:v>
      </x:c>
      <x:c r="D3041" s="16" t="n">
        <x:v>2661.4362441644</x:v>
      </x:c>
      <x:c r="E3041" s="16" t="n">
        <x:v>-26.7337398356</x:v>
      </x:c>
      <x:c r="F3041" s="23" t="n">
        <x:v>3</x:v>
      </x:c>
    </x:row>
    <x:row r="3042">
      <x:c r="A3042" s="15" t="n">
        <x:v>46082</x:v>
      </x:c>
      <x:c r="B3042" s="13" t="str">
        <x:v>Metals &amp; Mining</x:v>
      </x:c>
      <x:c r="C3042" s="16" t="n">
        <x:v>53299.104032</x:v>
      </x:c>
      <x:c r="D3042" s="16" t="n">
        <x:v>56844.8390207123</x:v>
      </x:c>
      <x:c r="E3042" s="16" t="n">
        <x:v>3545.7349887123</x:v>
      </x:c>
      <x:c r="F3042" s="23" t="n">
        <x:v>6</x:v>
      </x:c>
    </x:row>
    <x:row r="3043">
      <x:c r="A3043" s="15" t="n">
        <x:v>46082</x:v>
      </x:c>
      <x:c r="B3043" s="13" t="str">
        <x:v>Oil, Gas &amp; Petrochemicals</x:v>
      </x:c>
      <x:c r="C3043" s="16" t="n">
        <x:v>83489.19664</x:v>
      </x:c>
      <x:c r="D3043" s="16" t="n">
        <x:v>128051.9916988491</x:v>
      </x:c>
      <x:c r="E3043" s="16" t="n">
        <x:v>44562.7950588491</x:v>
      </x:c>
      <x:c r="F3043" s="23" t="n">
        <x:v>8</x:v>
      </x:c>
    </x:row>
    <x:row r="3044">
      <x:c r="A3044" s="15" t="n">
        <x:v>46082</x:v>
      </x:c>
      <x:c r="B3044" s="13" t="str">
        <x:v>Pulp &amp; Paper</x:v>
      </x:c>
      <x:c r="C3044" s="16" t="n">
        <x:v>9784.290048</x:v>
      </x:c>
      <x:c r="D3044" s="16" t="n">
        <x:v>9816.5227765479</x:v>
      </x:c>
      <x:c r="E3044" s="16" t="n">
        <x:v>32.2327285479</x:v>
      </x:c>
      <x:c r="F3044" s="23" t="n">
        <x:v>2</x:v>
      </x:c>
    </x:row>
    <x:row r="3045">
      <x:c r="A3045" s="15" t="n">
        <x:v>46082</x:v>
      </x:c>
      <x:c r="B3045" s="13" t="str">
        <x:v>Retail</x:v>
      </x:c>
      <x:c r="C3045" s="16" t="n">
        <x:v>9176.022912</x:v>
      </x:c>
      <x:c r="D3045" s="16" t="n">
        <x:v>9425.0672149041</x:v>
      </x:c>
      <x:c r="E3045" s="16" t="n">
        <x:v>249.0443029041</x:v>
      </x:c>
      <x:c r="F3045" s="23" t="n">
        <x:v>9</x:v>
      </x:c>
    </x:row>
    <x:row r="3046">
      <x:c r="A3046" s="15" t="n">
        <x:v>46082</x:v>
      </x:c>
      <x:c r="B3046" s="13" t="str">
        <x:v>Sanitation</x:v>
      </x:c>
      <x:c r="C3046" s="16" t="n">
        <x:v>6975.000064</x:v>
      </x:c>
      <x:c r="D3046" s="16" t="n">
        <x:v>7671.3008955616</x:v>
      </x:c>
      <x:c r="E3046" s="16" t="n">
        <x:v>696.3008315616</x:v>
      </x:c>
      <x:c r="F3046" s="23" t="n">
        <x:v>1</x:v>
      </x:c>
    </x:row>
    <x:row r="3047">
      <x:c r="A3047" s="15" t="n">
        <x:v>46082</x:v>
      </x:c>
      <x:c r="B3047" s="13" t="str">
        <x:v>TMT</x:v>
      </x:c>
      <x:c r="C3047" s="16" t="n">
        <x:v>5650.749952</x:v>
      </x:c>
      <x:c r="D3047" s="16" t="n">
        <x:v>5987.2421873973</x:v>
      </x:c>
      <x:c r="E3047" s="16" t="n">
        <x:v>336.4922353973</x:v>
      </x:c>
      <x:c r="F3047" s="23" t="n">
        <x:v>2</x:v>
      </x:c>
    </x:row>
    <x:row r="3048">
      <x:c r="A3048" s="15" t="n">
        <x:v>46082</x:v>
      </x:c>
      <x:c r="B3048" s="13" t="str">
        <x:v>Transportation</x:v>
      </x:c>
      <x:c r="C3048" s="16" t="n">
        <x:v>9346.262976</x:v>
      </x:c>
      <x:c r="D3048" s="16" t="n">
        <x:v>9968.1705486027</x:v>
      </x:c>
      <x:c r="E3048" s="16" t="n">
        <x:v>621.9075726027</x:v>
      </x:c>
      <x:c r="F3048" s="23" t="n">
        <x:v>4</x:v>
      </x:c>
    </x:row>
    <x:row r="3049">
      <x:c r="A3049" s="15" t="n">
        <x:v>46082</x:v>
      </x:c>
      <x:c r="B3049" s="13" t="str">
        <x:v>Utilities &amp; Energy</x:v>
      </x:c>
      <x:c r="C3049" s="16" t="n">
        <x:v>45139.352928</x:v>
      </x:c>
      <x:c r="D3049" s="16" t="n">
        <x:v>49443.7385170411</x:v>
      </x:c>
      <x:c r="E3049" s="16" t="n">
        <x:v>4304.3855890411</x:v>
      </x:c>
      <x:c r="F3049" s="23" t="n">
        <x:v>12</x:v>
      </x:c>
    </x:row>
    <x:row r="3050">
      <x:c r="A3050" s="15" t="n">
        <x:v>46113</x:v>
      </x:c>
      <x:c r="B3050" s="13" t="str">
        <x:v>Agribusiness</x:v>
      </x:c>
      <x:c r="C3050" s="16" t="n">
        <x:v>686.8037961644</x:v>
      </x:c>
      <x:c r="D3050" s="16" t="n">
        <x:v>764.8536626849</x:v>
      </x:c>
      <x:c r="E3050" s="16" t="n">
        <x:v>78.0498665205</x:v>
      </x:c>
      <x:c r="F3050" s="23" t="n">
        <x:v>1</x:v>
      </x:c>
    </x:row>
    <x:row r="3051">
      <x:c r="A3051" s="15" t="n">
        <x:v>46113</x:v>
      </x:c>
      <x:c r="B3051" s="13" t="str">
        <x:v>Banks</x:v>
      </x:c>
      <x:c r="C3051" s="16" t="n">
        <x:v>171354.7122323286</x:v>
      </x:c>
      <x:c r="D3051" s="16" t="n">
        <x:v>175578.5252190685</x:v>
      </x:c>
      <x:c r="E3051" s="16" t="n">
        <x:v>4223.8129867399</x:v>
      </x:c>
      <x:c r="F3051" s="23" t="n">
        <x:v>6</x:v>
      </x:c>
    </x:row>
    <x:row r="3052">
      <x:c r="A3052" s="15" t="n">
        <x:v>46113</x:v>
      </x:c>
      <x:c r="B3052" s="13" t="str">
        <x:v>Capital Goods</x:v>
      </x:c>
      <x:c r="C3052" s="16" t="n">
        <x:v>11093.3492216986</x:v>
      </x:c>
      <x:c r="D3052" s="16" t="n">
        <x:v>11455.768460274</x:v>
      </x:c>
      <x:c r="E3052" s="16" t="n">
        <x:v>362.4192385754</x:v>
      </x:c>
      <x:c r="F3052" s="23" t="n">
        <x:v>3</x:v>
      </x:c>
    </x:row>
    <x:row r="3053">
      <x:c r="A3053" s="15" t="n">
        <x:v>46113</x:v>
      </x:c>
      <x:c r="B3053" s="13" t="str">
        <x:v>Education</x:v>
      </x:c>
      <x:c r="C3053" s="16" t="n">
        <x:v>1397.2173755616</x:v>
      </x:c>
      <x:c r="D3053" s="16" t="n">
        <x:v>1470.6107932055</x:v>
      </x:c>
      <x:c r="E3053" s="16" t="n">
        <x:v>73.3934176438</x:v>
      </x:c>
      <x:c r="F3053" s="23" t="n">
        <x:v>2</x:v>
      </x:c>
    </x:row>
    <x:row r="3054">
      <x:c r="A3054" s="15" t="n">
        <x:v>46113</x:v>
      </x:c>
      <x:c r="B3054" s="13" t="str">
        <x:v>Financials Non-Banks</x:v>
      </x:c>
      <x:c r="C3054" s="16" t="n">
        <x:v>42158.9148151233</x:v>
      </x:c>
      <x:c r="D3054" s="16" t="n">
        <x:v>43757.369408</x:v>
      </x:c>
      <x:c r="E3054" s="16" t="n">
        <x:v>1598.4545928768</x:v>
      </x:c>
      <x:c r="F3054" s="23" t="n">
        <x:v>6</x:v>
      </x:c>
    </x:row>
    <x:row r="3055">
      <x:c r="A3055" s="15" t="n">
        <x:v>46113</x:v>
      </x:c>
      <x:c r="B3055" s="13" t="str">
        <x:v>Food &amp; Beverages</x:v>
      </x:c>
      <x:c r="C3055" s="16" t="n">
        <x:v>17587.9913271233</x:v>
      </x:c>
      <x:c r="D3055" s="16" t="n">
        <x:v>16747.614144</x:v>
      </x:c>
      <x:c r="E3055" s="16" t="n">
        <x:v>-840.3771831233</x:v>
      </x:c>
      <x:c r="F3055" s="23" t="n">
        <x:v>3</x:v>
      </x:c>
    </x:row>
    <x:row r="3056">
      <x:c r="A3056" s="15" t="n">
        <x:v>46113</x:v>
      </x:c>
      <x:c r="B3056" s="13" t="str">
        <x:v>Health Care</x:v>
      </x:c>
      <x:c r="C3056" s="16" t="n">
        <x:v>9056.2146130411</x:v>
      </x:c>
      <x:c r="D3056" s="16" t="n">
        <x:v>8797.2032600548</x:v>
      </x:c>
      <x:c r="E3056" s="16" t="n">
        <x:v>-259.0113529863</x:v>
      </x:c>
      <x:c r="F3056" s="23" t="n">
        <x:v>4</x:v>
      </x:c>
    </x:row>
    <x:row r="3057">
      <x:c r="A3057" s="15" t="n">
        <x:v>46113</x:v>
      </x:c>
      <x:c r="B3057" s="13" t="str">
        <x:v>Homebuilders</x:v>
      </x:c>
      <x:c r="C3057" s="16" t="n">
        <x:v>5050.8053479452</x:v>
      </x:c>
      <x:c r="D3057" s="16" t="n">
        <x:v>5336.8982154521</x:v>
      </x:c>
      <x:c r="E3057" s="16" t="n">
        <x:v>286.0928675068</x:v>
      </x:c>
      <x:c r="F3057" s="23" t="n">
        <x:v>4</x:v>
      </x:c>
    </x:row>
    <x:row r="3058">
      <x:c r="A3058" s="15" t="n">
        <x:v>46113</x:v>
      </x:c>
      <x:c r="B3058" s="13" t="str">
        <x:v>Income Properties</x:v>
      </x:c>
      <x:c r="C3058" s="16" t="n">
        <x:v>2685.8603791781</x:v>
      </x:c>
      <x:c r="D3058" s="16" t="n">
        <x:v>2685.8658016438</x:v>
      </x:c>
      <x:c r="E3058" s="16" t="n">
        <x:v>0.0054224658</x:v>
      </x:c>
      <x:c r="F3058" s="23" t="n">
        <x:v>3</x:v>
      </x:c>
    </x:row>
    <x:row r="3059">
      <x:c r="A3059" s="15" t="n">
        <x:v>46113</x:v>
      </x:c>
      <x:c r="B3059" s="13" t="str">
        <x:v>Metals &amp; Mining</x:v>
      </x:c>
      <x:c r="C3059" s="16" t="n">
        <x:v>56070.8504302465</x:v>
      </x:c>
      <x:c r="D3059" s="16" t="n">
        <x:v>51821.4290257534</x:v>
      </x:c>
      <x:c r="E3059" s="16" t="n">
        <x:v>-4249.4214044931</x:v>
      </x:c>
      <x:c r="F3059" s="23" t="n">
        <x:v>6</x:v>
      </x:c>
    </x:row>
    <x:row r="3060">
      <x:c r="A3060" s="15" t="n">
        <x:v>46113</x:v>
      </x:c>
      <x:c r="B3060" s="13" t="str">
        <x:v>Oil, Gas &amp; Petrochemicals</x:v>
      </x:c>
      <x:c r="C3060" s="16" t="n">
        <x:v>81230.3372756164</x:v>
      </x:c>
      <x:c r="D3060" s="16" t="n">
        <x:v>143129.8738744106</x:v>
      </x:c>
      <x:c r="E3060" s="16" t="n">
        <x:v>61899.5365987941</x:v>
      </x:c>
      <x:c r="F3060" s="23" t="n">
        <x:v>8</x:v>
      </x:c>
    </x:row>
    <x:row r="3061">
      <x:c r="A3061" s="15" t="n">
        <x:v>46113</x:v>
      </x:c>
      <x:c r="B3061" s="13" t="str">
        <x:v>Pulp &amp; Paper</x:v>
      </x:c>
      <x:c r="C3061" s="16" t="n">
        <x:v>8796.8197470685</x:v>
      </x:c>
      <x:c r="D3061" s="16" t="n">
        <x:v>9920.3916449315</x:v>
      </x:c>
      <x:c r="E3061" s="16" t="n">
        <x:v>1123.571897863</x:v>
      </x:c>
      <x:c r="F3061" s="23" t="n">
        <x:v>2</x:v>
      </x:c>
    </x:row>
    <x:row r="3062">
      <x:c r="A3062" s="15" t="n">
        <x:v>46113</x:v>
      </x:c>
      <x:c r="B3062" s="13" t="str">
        <x:v>Retail</x:v>
      </x:c>
      <x:c r="C3062" s="16" t="n">
        <x:v>9039.3480144657</x:v>
      </x:c>
      <x:c r="D3062" s="16" t="n">
        <x:v>9514.0656166575</x:v>
      </x:c>
      <x:c r="E3062" s="16" t="n">
        <x:v>474.7176021918</x:v>
      </x:c>
      <x:c r="F3062" s="23" t="n">
        <x:v>9</x:v>
      </x:c>
    </x:row>
    <x:row r="3063">
      <x:c r="A3063" s="15" t="n">
        <x:v>46113</x:v>
      </x:c>
      <x:c r="B3063" s="13" t="str">
        <x:v>Sanitation</x:v>
      </x:c>
      <x:c r="C3063" s="16" t="n">
        <x:v>8375.3677185753</x:v>
      </x:c>
      <x:c r="D3063" s="16" t="n">
        <x:v>9256.2960973151</x:v>
      </x:c>
      <x:c r="E3063" s="16" t="n">
        <x:v>880.9283787397</x:v>
      </x:c>
      <x:c r="F3063" s="23" t="n">
        <x:v>2</x:v>
      </x:c>
    </x:row>
    <x:row r="3064">
      <x:c r="A3064" s="15" t="n">
        <x:v>46113</x:v>
      </x:c>
      <x:c r="B3064" s="13" t="str">
        <x:v>TMT</x:v>
      </x:c>
      <x:c r="C3064" s="16" t="n">
        <x:v>5692.0688166575</x:v>
      </x:c>
      <x:c r="D3064" s="16" t="n">
        <x:v>6103.4130831781</x:v>
      </x:c>
      <x:c r="E3064" s="16" t="n">
        <x:v>411.3442665205</x:v>
      </x:c>
      <x:c r="F3064" s="23" t="n">
        <x:v>2</x:v>
      </x:c>
    </x:row>
    <x:row r="3065">
      <x:c r="A3065" s="15" t="n">
        <x:v>46113</x:v>
      </x:c>
      <x:c r="B3065" s="13" t="str">
        <x:v>Transportation</x:v>
      </x:c>
      <x:c r="C3065" s="16" t="n">
        <x:v>9475.9482862466</x:v>
      </x:c>
      <x:c r="D3065" s="16" t="n">
        <x:v>10004.6130520548</x:v>
      </x:c>
      <x:c r="E3065" s="16" t="n">
        <x:v>528.6647658082</x:v>
      </x:c>
      <x:c r="F3065" s="23" t="n">
        <x:v>4</x:v>
      </x:c>
    </x:row>
    <x:row r="3066">
      <x:c r="A3066" s="15" t="n">
        <x:v>46113</x:v>
      </x:c>
      <x:c r="B3066" s="13" t="str">
        <x:v>Utilities &amp; Energy</x:v>
      </x:c>
      <x:c r="C3066" s="16" t="n">
        <x:v>47679.9541198905</x:v>
      </x:c>
      <x:c r="D3066" s="16" t="n">
        <x:v>52366.1800723288</x:v>
      </x:c>
      <x:c r="E3066" s="16" t="n">
        <x:v>4686.2259524383</x:v>
      </x:c>
      <x:c r="F3066" s="23" t="n">
        <x:v>12</x:v>
      </x:c>
    </x:row>
    <x:row r="3067">
      <x:c r="A3067" s="15" t="n">
        <x:v>46143</x:v>
      </x:c>
      <x:c r="B3067" s="13" t="str">
        <x:v>Agribusiness</x:v>
      </x:c>
      <x:c r="C3067" s="16" t="n">
        <x:v>690.0421681096</x:v>
      </x:c>
      <x:c r="D3067" s="16" t="n">
        <x:v>746.0814283397</x:v>
      </x:c>
      <x:c r="E3067" s="16" t="n">
        <x:v>56.0392602301</x:v>
      </x:c>
      <x:c r="F3067" s="23" t="n">
        <x:v>1</x:v>
      </x:c>
    </x:row>
    <x:row r="3068">
      <x:c r="A3068" s="15" t="n">
        <x:v>46143</x:v>
      </x:c>
      <x:c r="B3068" s="13" t="str">
        <x:v>Banks</x:v>
      </x:c>
      <x:c r="C3068" s="16" t="n">
        <x:v>173295.7855463452</x:v>
      </x:c>
      <x:c r="D3068" s="16" t="n">
        <x:v>174778.5919670356</x:v>
      </x:c>
      <x:c r="E3068" s="16" t="n">
        <x:v>1482.8064206904</x:v>
      </x:c>
      <x:c r="F3068" s="23" t="n">
        <x:v>6</x:v>
      </x:c>
    </x:row>
    <x:row r="3069">
      <x:c r="A3069" s="15" t="n">
        <x:v>46143</x:v>
      </x:c>
      <x:c r="B3069" s="13" t="str">
        <x:v>Capital Goods</x:v>
      </x:c>
      <x:c r="C3069" s="16" t="n">
        <x:v>11186.272671211</x:v>
      </x:c>
      <x:c r="D3069" s="16" t="n">
        <x:v>10946.4959838685</x:v>
      </x:c>
      <x:c r="E3069" s="16" t="n">
        <x:v>-239.7766873425</x:v>
      </x:c>
      <x:c r="F3069" s="23" t="n">
        <x:v>3</x:v>
      </x:c>
    </x:row>
    <x:row r="3070">
      <x:c r="A3070" s="15" t="n">
        <x:v>46143</x:v>
      </x:c>
      <x:c r="B3070" s="13" t="str">
        <x:v>Education</x:v>
      </x:c>
      <x:c r="C3070" s="16" t="n">
        <x:v>1453.2025829699</x:v>
      </x:c>
      <x:c r="D3070" s="16" t="n">
        <x:v>1459.6235504219</x:v>
      </x:c>
      <x:c r="E3070" s="16" t="n">
        <x:v>6.4209674521</x:v>
      </x:c>
      <x:c r="F3070" s="23" t="n">
        <x:v>2</x:v>
      </x:c>
    </x:row>
    <x:row r="3071">
      <x:c r="A3071" s="15" t="n">
        <x:v>46143</x:v>
      </x:c>
      <x:c r="B3071" s="13" t="str">
        <x:v>Financials Non-Banks</x:v>
      </x:c>
      <x:c r="C3071" s="16" t="n">
        <x:v>42060.8371150904</x:v>
      </x:c>
      <x:c r="D3071" s="16" t="n">
        <x:v>43765.3310253589</x:v>
      </x:c>
      <x:c r="E3071" s="16" t="n">
        <x:v>1704.4939102685</x:v>
      </x:c>
      <x:c r="F3071" s="23" t="n">
        <x:v>5</x:v>
      </x:c>
    </x:row>
    <x:row r="3072">
      <x:c r="A3072" s="15" t="n">
        <x:v>46143</x:v>
      </x:c>
      <x:c r="B3072" s="13" t="str">
        <x:v>Food &amp; Beverages</x:v>
      </x:c>
      <x:c r="C3072" s="16" t="n">
        <x:v>17526.4098120767</x:v>
      </x:c>
      <x:c r="D3072" s="16" t="n">
        <x:v>17921.385657863</x:v>
      </x:c>
      <x:c r="E3072" s="16" t="n">
        <x:v>394.9758457863</x:v>
      </x:c>
      <x:c r="F3072" s="23" t="n">
        <x:v>3</x:v>
      </x:c>
    </x:row>
    <x:row r="3073">
      <x:c r="A3073" s="15" t="n">
        <x:v>46143</x:v>
      </x:c>
      <x:c r="B3073" s="13" t="str">
        <x:v>Health Care</x:v>
      </x:c>
      <x:c r="C3073" s="16" t="n">
        <x:v>8846.5403106192</x:v>
      </x:c>
      <x:c r="D3073" s="16" t="n">
        <x:v>8730.3995421808</x:v>
      </x:c>
      <x:c r="E3073" s="16" t="n">
        <x:v>-116.1407684384</x:v>
      </x:c>
      <x:c r="F3073" s="23" t="n">
        <x:v>4</x:v>
      </x:c>
    </x:row>
    <x:row r="3074">
      <x:c r="A3074" s="15" t="n">
        <x:v>46143</x:v>
      </x:c>
      <x:c r="B3074" s="13" t="str">
        <x:v>Homebuilders</x:v>
      </x:c>
      <x:c r="C3074" s="16" t="n">
        <x:v>5121.4786495123</x:v>
      </x:c>
      <x:c r="D3074" s="16" t="n">
        <x:v>5218.1040461151</x:v>
      </x:c>
      <x:c r="E3074" s="16" t="n">
        <x:v>96.6253966027</x:v>
      </x:c>
      <x:c r="F3074" s="23" t="n">
        <x:v>4</x:v>
      </x:c>
    </x:row>
    <x:row r="3075">
      <x:c r="A3075" s="15" t="n">
        <x:v>46143</x:v>
      </x:c>
      <x:c r="B3075" s="13" t="str">
        <x:v>Income Properties</x:v>
      </x:c>
      <x:c r="C3075" s="16" t="n">
        <x:v>2597.3013842411</x:v>
      </x:c>
      <x:c r="D3075" s="16" t="n">
        <x:v>2813.1891257863</x:v>
      </x:c>
      <x:c r="E3075" s="16" t="n">
        <x:v>215.8877415452</x:v>
      </x:c>
      <x:c r="F3075" s="23" t="n">
        <x:v>3</x:v>
      </x:c>
    </x:row>
    <x:row r="3076">
      <x:c r="A3076" s="15" t="n">
        <x:v>46143</x:v>
      </x:c>
      <x:c r="B3076" s="13" t="str">
        <x:v>Metals &amp; Mining</x:v>
      </x:c>
      <x:c r="C3076" s="16" t="n">
        <x:v>55275.785951474</x:v>
      </x:c>
      <x:c r="D3076" s="16" t="n">
        <x:v>51470.8016675068</x:v>
      </x:c>
      <x:c r="E3076" s="16" t="n">
        <x:v>-3804.9842839671</x:v>
      </x:c>
      <x:c r="F3076" s="23" t="n">
        <x:v>6</x:v>
      </x:c>
    </x:row>
    <x:row r="3077">
      <x:c r="A3077" s="15" t="n">
        <x:v>46143</x:v>
      </x:c>
      <x:c r="B3077" s="13" t="str">
        <x:v>Oil, Gas &amp; Petrochemicals</x:v>
      </x:c>
      <x:c r="C3077" s="16" t="n">
        <x:v>89410.1106971178</x:v>
      </x:c>
      <x:c r="D3077" s="16" t="n">
        <x:v>145662.6837430358</x:v>
      </x:c>
      <x:c r="E3077" s="16" t="n">
        <x:v>56252.573045918</x:v>
      </x:c>
      <x:c r="F3077" s="23" t="n">
        <x:v>8</x:v>
      </x:c>
    </x:row>
    <x:row r="3078">
      <x:c r="A3078" s="15" t="n">
        <x:v>46143</x:v>
      </x:c>
      <x:c r="B3078" s="13" t="str">
        <x:v>Pulp &amp; Paper</x:v>
      </x:c>
      <x:c r="C3078" s="16" t="n">
        <x:v>9416.5113379068</x:v>
      </x:c>
      <x:c r="D3078" s="16" t="n">
        <x:v>10126.8494798904</x:v>
      </x:c>
      <x:c r="E3078" s="16" t="n">
        <x:v>710.3381419836</x:v>
      </x:c>
      <x:c r="F3078" s="23" t="n">
        <x:v>2</x:v>
      </x:c>
    </x:row>
    <x:row r="3079">
      <x:c r="A3079" s="15" t="n">
        <x:v>46143</x:v>
      </x:c>
      <x:c r="B3079" s="13" t="str">
        <x:v>Retail</x:v>
      </x:c>
      <x:c r="C3079" s="16" t="n">
        <x:v>9307.2433692055</x:v>
      </x:c>
      <x:c r="D3079" s="16" t="n">
        <x:v>9496.2870347397</x:v>
      </x:c>
      <x:c r="E3079" s="16" t="n">
        <x:v>189.0436655342</x:v>
      </x:c>
      <x:c r="F3079" s="23" t="n">
        <x:v>9</x:v>
      </x:c>
    </x:row>
    <x:row r="3080">
      <x:c r="A3080" s="15" t="n">
        <x:v>46143</x:v>
      </x:c>
      <x:c r="B3080" s="13" t="str">
        <x:v>Sanitation</x:v>
      </x:c>
      <x:c r="C3080" s="16" t="n">
        <x:v>8534.1998164164</x:v>
      </x:c>
      <x:c r="D3080" s="16" t="n">
        <x:v>9173.8409650849</x:v>
      </x:c>
      <x:c r="E3080" s="16" t="n">
        <x:v>639.6411486685</x:v>
      </x:c>
      <x:c r="F3080" s="23" t="n">
        <x:v>2</x:v>
      </x:c>
    </x:row>
    <x:row r="3081">
      <x:c r="A3081" s="15" t="n">
        <x:v>46143</x:v>
      </x:c>
      <x:c r="B3081" s="13" t="str">
        <x:v>TMT</x:v>
      </x:c>
      <x:c r="C3081" s="16" t="n">
        <x:v>5778.1319964055</x:v>
      </x:c>
      <x:c r="D3081" s="16" t="n">
        <x:v>6092.8744532164</x:v>
      </x:c>
      <x:c r="E3081" s="16" t="n">
        <x:v>314.742456811</x:v>
      </x:c>
      <x:c r="F3081" s="23" t="n">
        <x:v>2</x:v>
      </x:c>
    </x:row>
    <x:row r="3082">
      <x:c r="A3082" s="15" t="n">
        <x:v>46143</x:v>
      </x:c>
      <x:c r="B3082" s="13" t="str">
        <x:v>Transportation</x:v>
      </x:c>
      <x:c r="C3082" s="16" t="n">
        <x:v>9690.7177615781</x:v>
      </x:c>
      <x:c r="D3082" s="16" t="n">
        <x:v>10212.0401756932</x:v>
      </x:c>
      <x:c r="E3082" s="16" t="n">
        <x:v>521.3224141151</x:v>
      </x:c>
      <x:c r="F3082" s="23" t="n">
        <x:v>4</x:v>
      </x:c>
    </x:row>
    <x:row r="3083">
      <x:c r="A3083" s="15" t="n">
        <x:v>46143</x:v>
      </x:c>
      <x:c r="B3083" s="13" t="str">
        <x:v>Utilities &amp; Energy</x:v>
      </x:c>
      <x:c r="C3083" s="16" t="n">
        <x:v>47920.0913441315</x:v>
      </x:c>
      <x:c r="D3083" s="16" t="n">
        <x:v>52970.3624419946</x:v>
      </x:c>
      <x:c r="E3083" s="16" t="n">
        <x:v>5050.271097863</x:v>
      </x:c>
      <x:c r="F3083" s="23" t="n">
        <x:v>12</x:v>
      </x:c>
    </x:row>
    <x:row r="3084">
      <x:c r="A3084" s="15" t="n">
        <x:v>46174</x:v>
      </x:c>
      <x:c r="B3084" s="13" t="str">
        <x:v>Agribusiness</x:v>
      </x:c>
      <x:c r="C3084" s="16" t="n">
        <x:v>761.618962411</x:v>
      </x:c>
      <x:c r="D3084" s="16" t="n">
        <x:v>695.4402531945</x:v>
      </x:c>
      <x:c r="E3084" s="16" t="n">
        <x:v>-66.1787092164</x:v>
      </x:c>
      <x:c r="F3084" s="23" t="n">
        <x:v>1</x:v>
      </x:c>
    </x:row>
    <x:row r="3085">
      <x:c r="A3085" s="15" t="n">
        <x:v>46174</x:v>
      </x:c>
      <x:c r="B3085" s="13" t="str">
        <x:v>Banks</x:v>
      </x:c>
      <x:c r="C3085" s="16" t="n">
        <x:v>173675.3986349589</x:v>
      </x:c>
      <x:c r="D3085" s="16" t="n">
        <x:v>176392.0638400878</x:v>
      </x:c>
      <x:c r="E3085" s="16" t="n">
        <x:v>2716.6652051289</x:v>
      </x:c>
      <x:c r="F3085" s="23" t="n">
        <x:v>6</x:v>
      </x:c>
    </x:row>
    <x:row r="3086">
      <x:c r="A3086" s="15" t="n">
        <x:v>46174</x:v>
      </x:c>
      <x:c r="B3086" s="13" t="str">
        <x:v>Capital Goods</x:v>
      </x:c>
      <x:c r="C3086" s="16" t="n">
        <x:v>11398.7846592877</x:v>
      </x:c>
      <x:c r="D3086" s="16" t="n">
        <x:v>11177.577683463</x:v>
      </x:c>
      <x:c r="E3086" s="16" t="n">
        <x:v>-221.2069758247</x:v>
      </x:c>
      <x:c r="F3086" s="23" t="n">
        <x:v>3</x:v>
      </x:c>
    </x:row>
    <x:row r="3087">
      <x:c r="A3087" s="15" t="n">
        <x:v>46174</x:v>
      </x:c>
      <x:c r="B3087" s="13" t="str">
        <x:v>Education</x:v>
      </x:c>
      <x:c r="C3087" s="16" t="n">
        <x:v>1470.4354844931</x:v>
      </x:c>
      <x:c r="D3087" s="16" t="n">
        <x:v>1436.3071950904</x:v>
      </x:c>
      <x:c r="E3087" s="16" t="n">
        <x:v>-34.1282894027</x:v>
      </x:c>
      <x:c r="F3087" s="23" t="n">
        <x:v>2</x:v>
      </x:c>
    </x:row>
    <x:row r="3088">
      <x:c r="A3088" s="15" t="n">
        <x:v>46174</x:v>
      </x:c>
      <x:c r="B3088" s="13" t="str">
        <x:v>Financials Non-Banks</x:v>
      </x:c>
      <x:c r="C3088" s="16" t="n">
        <x:v>42500.7959250411</x:v>
      </x:c>
      <x:c r="D3088" s="16" t="n">
        <x:v>44106.2554238246</x:v>
      </x:c>
      <x:c r="E3088" s="16" t="n">
        <x:v>1605.4594987835</x:v>
      </x:c>
      <x:c r="F3088" s="23" t="n">
        <x:v>5</x:v>
      </x:c>
    </x:row>
    <x:row r="3089">
      <x:c r="A3089" s="15" t="n">
        <x:v>46174</x:v>
      </x:c>
      <x:c r="B3089" s="13" t="str">
        <x:v>Food &amp; Beverages</x:v>
      </x:c>
      <x:c r="C3089" s="16" t="n">
        <x:v>17527.0805036713</x:v>
      </x:c>
      <x:c r="D3089" s="16" t="n">
        <x:v>17955.1506940493</x:v>
      </x:c>
      <x:c r="E3089" s="16" t="n">
        <x:v>428.0701903781</x:v>
      </x:c>
      <x:c r="F3089" s="23" t="n">
        <x:v>3</x:v>
      </x:c>
    </x:row>
    <x:row r="3090">
      <x:c r="A3090" s="15" t="n">
        <x:v>46174</x:v>
      </x:c>
      <x:c r="B3090" s="13" t="str">
        <x:v>Health Care</x:v>
      </x:c>
      <x:c r="C3090" s="16" t="n">
        <x:v>8635.5175636164</x:v>
      </x:c>
      <x:c r="D3090" s="16" t="n">
        <x:v>8930.4562816</x:v>
      </x:c>
      <x:c r="E3090" s="16" t="n">
        <x:v>294.9387179836</x:v>
      </x:c>
      <x:c r="F3090" s="23" t="n">
        <x:v>4</x:v>
      </x:c>
    </x:row>
    <x:row r="3091">
      <x:c r="A3091" s="15" t="n">
        <x:v>46174</x:v>
      </x:c>
      <x:c r="B3091" s="13" t="str">
        <x:v>Homebuilders</x:v>
      </x:c>
      <x:c r="C3091" s="16" t="n">
        <x:v>5220.8743311781</x:v>
      </x:c>
      <x:c r="D3091" s="16" t="n">
        <x:v>5111.125657074</x:v>
      </x:c>
      <x:c r="E3091" s="16" t="n">
        <x:v>-109.7486741041</x:v>
      </x:c>
      <x:c r="F3091" s="23" t="n">
        <x:v>4</x:v>
      </x:c>
    </x:row>
    <x:row r="3092">
      <x:c r="A3092" s="15" t="n">
        <x:v>46174</x:v>
      </x:c>
      <x:c r="B3092" s="13" t="str">
        <x:v>Income Properties</x:v>
      </x:c>
      <x:c r="C3092" s="16" t="n">
        <x:v>2661.4362441644</x:v>
      </x:c>
      <x:c r="D3092" s="16" t="n">
        <x:v>2889.337144811</x:v>
      </x:c>
      <x:c r="E3092" s="16" t="n">
        <x:v>227.9009006466</x:v>
      </x:c>
      <x:c r="F3092" s="23" t="n">
        <x:v>3</x:v>
      </x:c>
    </x:row>
    <x:row r="3093">
      <x:c r="A3093" s="15" t="n">
        <x:v>46174</x:v>
      </x:c>
      <x:c r="B3093" s="13" t="str">
        <x:v>Metals &amp; Mining</x:v>
      </x:c>
      <x:c r="C3093" s="16" t="n">
        <x:v>56844.8390207123</x:v>
      </x:c>
      <x:c r="D3093" s="16" t="n">
        <x:v>52674.6272676931</x:v>
      </x:c>
      <x:c r="E3093" s="16" t="n">
        <x:v>-4170.2117530192</x:v>
      </x:c>
      <x:c r="F3093" s="23" t="n">
        <x:v>6</x:v>
      </x:c>
    </x:row>
    <x:row r="3094">
      <x:c r="A3094" s="15" t="n">
        <x:v>46174</x:v>
      </x:c>
      <x:c r="B3094" s="13" t="str">
        <x:v>Oil, Gas &amp; Petrochemicals</x:v>
      </x:c>
      <x:c r="C3094" s="16" t="n">
        <x:v>128051.9916988491</x:v>
      </x:c>
      <x:c r="D3094" s="16" t="n">
        <x:v>142129.0006391232</x:v>
      </x:c>
      <x:c r="E3094" s="16" t="n">
        <x:v>14077.0089402741</x:v>
      </x:c>
      <x:c r="F3094" s="23" t="n">
        <x:v>8</x:v>
      </x:c>
    </x:row>
    <x:row r="3095">
      <x:c r="A3095" s="15" t="n">
        <x:v>46174</x:v>
      </x:c>
      <x:c r="B3095" s="13" t="str">
        <x:v>Pulp &amp; Paper</x:v>
      </x:c>
      <x:c r="C3095" s="16" t="n">
        <x:v>9816.5227765479</x:v>
      </x:c>
      <x:c r="D3095" s="16" t="n">
        <x:v>10689.1504748712</x:v>
      </x:c>
      <x:c r="E3095" s="16" t="n">
        <x:v>872.6276983233</x:v>
      </x:c>
      <x:c r="F3095" s="23" t="n">
        <x:v>2</x:v>
      </x:c>
    </x:row>
    <x:row r="3096">
      <x:c r="A3096" s="15" t="n">
        <x:v>46174</x:v>
      </x:c>
      <x:c r="B3096" s="13" t="str">
        <x:v>Retail</x:v>
      </x:c>
      <x:c r="C3096" s="16" t="n">
        <x:v>9425.0672149041</x:v>
      </x:c>
      <x:c r="D3096" s="16" t="n">
        <x:v>9451.0816905644</x:v>
      </x:c>
      <x:c r="E3096" s="16" t="n">
        <x:v>26.0144756603</x:v>
      </x:c>
      <x:c r="F3096" s="23" t="n">
        <x:v>9</x:v>
      </x:c>
    </x:row>
    <x:row r="3097">
      <x:c r="A3097" s="15" t="n">
        <x:v>46174</x:v>
      </x:c>
      <x:c r="B3097" s="13" t="str">
        <x:v>Sanitation</x:v>
      </x:c>
      <x:c r="C3097" s="16" t="n">
        <x:v>9035.5549808219</x:v>
      </x:c>
      <x:c r="D3097" s="16" t="n">
        <x:v>9245.1505912986</x:v>
      </x:c>
      <x:c r="E3097" s="16" t="n">
        <x:v>209.5956104767</x:v>
      </x:c>
      <x:c r="F3097" s="23" t="n">
        <x:v>2</x:v>
      </x:c>
    </x:row>
    <x:row r="3098">
      <x:c r="A3098" s="15" t="n">
        <x:v>46174</x:v>
      </x:c>
      <x:c r="B3098" s="13" t="str">
        <x:v>TMT</x:v>
      </x:c>
      <x:c r="C3098" s="16" t="n">
        <x:v>5987.2421873973</x:v>
      </x:c>
      <x:c r="D3098" s="16" t="n">
        <x:v>6089.9824454137</x:v>
      </x:c>
      <x:c r="E3098" s="16" t="n">
        <x:v>102.7402580164</x:v>
      </x:c>
      <x:c r="F3098" s="23" t="n">
        <x:v>2</x:v>
      </x:c>
    </x:row>
    <x:row r="3099">
      <x:c r="A3099" s="15" t="n">
        <x:v>46174</x:v>
      </x:c>
      <x:c r="B3099" s="13" t="str">
        <x:v>Transportation</x:v>
      </x:c>
      <x:c r="C3099" s="16" t="n">
        <x:v>9968.1705486027</x:v>
      </x:c>
      <x:c r="D3099" s="16" t="n">
        <x:v>10158.9886474521</x:v>
      </x:c>
      <x:c r="E3099" s="16" t="n">
        <x:v>190.8180988493</x:v>
      </x:c>
      <x:c r="F3099" s="23" t="n">
        <x:v>4</x:v>
      </x:c>
    </x:row>
    <x:row r="3100">
      <x:c r="A3100" s="15" t="n">
        <x:v>46174</x:v>
      </x:c>
      <x:c r="B3100" s="13" t="str">
        <x:v>Utilities &amp; Energy</x:v>
      </x:c>
      <x:c r="C3100" s="16" t="n">
        <x:v>36349.5587612055</x:v>
      </x:c>
      <x:c r="D3100" s="16" t="n">
        <x:v>38889.0760490083</x:v>
      </x:c>
      <x:c r="E3100" s="16" t="n">
        <x:v>2539.5172878028</x:v>
      </x:c>
      <x:c r="F3100" s="23" t="n">
        <x:v>11</x:v>
      </x:c>
    </x:row>
    <x:row r="3101">
      <x:c r="A3101" s="15" t="n">
        <x:v>46204</x:v>
      </x:c>
      <x:c r="B3101" s="13" t="str">
        <x:v>Agribusiness</x:v>
      </x:c>
      <x:c r="C3101" s="16" t="n">
        <x:v>764.8536626849</x:v>
      </x:c>
      <x:c r="D3101" s="16" t="n">
        <x:v>704.2851259616</x:v>
      </x:c>
      <x:c r="E3101" s="16" t="n">
        <x:v>-60.5685367233</x:v>
      </x:c>
      <x:c r="F3101" s="23" t="n">
        <x:v>1</x:v>
      </x:c>
    </x:row>
    <x:row r="3102">
      <x:c r="A3102" s="15" t="n">
        <x:v>46204</x:v>
      </x:c>
      <x:c r="B3102" s="13" t="str">
        <x:v>Banks</x:v>
      </x:c>
      <x:c r="C3102" s="16" t="n">
        <x:v>175578.5252190685</x:v>
      </x:c>
      <x:c r="D3102" s="16" t="n">
        <x:v>176588.986379222</x:v>
      </x:c>
      <x:c r="E3102" s="16" t="n">
        <x:v>1010.4611601535</x:v>
      </x:c>
      <x:c r="F3102" s="23" t="n">
        <x:v>6</x:v>
      </x:c>
    </x:row>
    <x:row r="3103">
      <x:c r="A3103" s="15" t="n">
        <x:v>46204</x:v>
      </x:c>
      <x:c r="B3103" s="13" t="str">
        <x:v>Capital Goods</x:v>
      </x:c>
      <x:c r="C3103" s="16" t="n">
        <x:v>11455.768460274</x:v>
      </x:c>
      <x:c r="D3103" s="16" t="n">
        <x:v>11476.3174526247</x:v>
      </x:c>
      <x:c r="E3103" s="16" t="n">
        <x:v>20.5489923507</x:v>
      </x:c>
      <x:c r="F3103" s="23" t="n">
        <x:v>3</x:v>
      </x:c>
    </x:row>
    <x:row r="3104">
      <x:c r="A3104" s="15" t="n">
        <x:v>46204</x:v>
      </x:c>
      <x:c r="B3104" s="13" t="str">
        <x:v>Education</x:v>
      </x:c>
      <x:c r="C3104" s="16" t="n">
        <x:v>1470.6107932055</x:v>
      </x:c>
      <x:c r="D3104" s="16" t="n">
        <x:v>1443.1974172932</x:v>
      </x:c>
      <x:c r="E3104" s="16" t="n">
        <x:v>-27.4133759123</x:v>
      </x:c>
      <x:c r="F3104" s="23" t="n">
        <x:v>2</x:v>
      </x:c>
    </x:row>
    <x:row r="3105">
      <x:c r="A3105" s="15" t="n">
        <x:v>46204</x:v>
      </x:c>
      <x:c r="B3105" s="13" t="str">
        <x:v>Financials Non-Banks</x:v>
      </x:c>
      <x:c r="C3105" s="16" t="n">
        <x:v>43134.5725089315</x:v>
      </x:c>
      <x:c r="D3105" s="16" t="n">
        <x:v>44233.0048554082</x:v>
      </x:c>
      <x:c r="E3105" s="16" t="n">
        <x:v>1098.4323464767</x:v>
      </x:c>
      <x:c r="F3105" s="23" t="n">
        <x:v>5</x:v>
      </x:c>
    </x:row>
    <x:row r="3106">
      <x:c r="A3106" s="15" t="n">
        <x:v>46204</x:v>
      </x:c>
      <x:c r="B3106" s="13" t="str">
        <x:v>Food &amp; Beverages</x:v>
      </x:c>
      <x:c r="C3106" s="16" t="n">
        <x:v>16747.614144</x:v>
      </x:c>
      <x:c r="D3106" s="16" t="n">
        <x:v>18373.9189546082</x:v>
      </x:c>
      <x:c r="E3106" s="16" t="n">
        <x:v>1626.3048106082</x:v>
      </x:c>
      <x:c r="F3106" s="23" t="n">
        <x:v>3</x:v>
      </x:c>
    </x:row>
    <x:row r="3107">
      <x:c r="A3107" s="15" t="n">
        <x:v>46204</x:v>
      </x:c>
      <x:c r="B3107" s="13" t="str">
        <x:v>Health Care</x:v>
      </x:c>
      <x:c r="C3107" s="16" t="n">
        <x:v>8797.2032600548</x:v>
      </x:c>
      <x:c r="D3107" s="16" t="n">
        <x:v>9155.1775224986</x:v>
      </x:c>
      <x:c r="E3107" s="16" t="n">
        <x:v>357.9742624438</x:v>
      </x:c>
      <x:c r="F3107" s="23" t="n">
        <x:v>4</x:v>
      </x:c>
    </x:row>
    <x:row r="3108">
      <x:c r="A3108" s="15" t="n">
        <x:v>46204</x:v>
      </x:c>
      <x:c r="B3108" s="13" t="str">
        <x:v>Homebuilders</x:v>
      </x:c>
      <x:c r="C3108" s="16" t="n">
        <x:v>5336.8982154521</x:v>
      </x:c>
      <x:c r="D3108" s="16" t="n">
        <x:v>5144.2270003726</x:v>
      </x:c>
      <x:c r="E3108" s="16" t="n">
        <x:v>-192.6712150794</x:v>
      </x:c>
      <x:c r="F3108" s="23" t="n">
        <x:v>4</x:v>
      </x:c>
    </x:row>
    <x:row r="3109">
      <x:c r="A3109" s="15" t="n">
        <x:v>46204</x:v>
      </x:c>
      <x:c r="B3109" s="13" t="str">
        <x:v>Income Properties</x:v>
      </x:c>
      <x:c r="C3109" s="16" t="n">
        <x:v>2685.8658016438</x:v>
      </x:c>
      <x:c r="D3109" s="16" t="n">
        <x:v>2934.6766215014</x:v>
      </x:c>
      <x:c r="E3109" s="16" t="n">
        <x:v>248.8108198575</x:v>
      </x:c>
      <x:c r="F3109" s="23" t="n">
        <x:v>3</x:v>
      </x:c>
    </x:row>
    <x:row r="3110">
      <x:c r="A3110" s="15" t="n">
        <x:v>46204</x:v>
      </x:c>
      <x:c r="B3110" s="13" t="str">
        <x:v>Metals &amp; Mining</x:v>
      </x:c>
      <x:c r="C3110" s="16" t="n">
        <x:v>51821.4290257534</x:v>
      </x:c>
      <x:c r="D3110" s="16" t="n">
        <x:v>50587.6160775013</x:v>
      </x:c>
      <x:c r="E3110" s="16" t="n">
        <x:v>-1233.8129482521</x:v>
      </x:c>
      <x:c r="F3110" s="23" t="n">
        <x:v>6</x:v>
      </x:c>
    </x:row>
    <x:row r="3111">
      <x:c r="A3111" s="15" t="n">
        <x:v>46204</x:v>
      </x:c>
      <x:c r="B3111" s="13" t="str">
        <x:v>Oil, Gas &amp; Petrochemicals</x:v>
      </x:c>
      <x:c r="C3111" s="16" t="n">
        <x:v>143129.8738744106</x:v>
      </x:c>
      <x:c r="D3111" s="16" t="n">
        <x:v>143758.5063816772</x:v>
      </x:c>
      <x:c r="E3111" s="16" t="n">
        <x:v>628.6325072666</x:v>
      </x:c>
      <x:c r="F3111" s="23" t="n">
        <x:v>8</x:v>
      </x:c>
    </x:row>
    <x:row r="3112">
      <x:c r="A3112" s="15" t="n">
        <x:v>46204</x:v>
      </x:c>
      <x:c r="B3112" s="13" t="str">
        <x:v>Pulp &amp; Paper</x:v>
      </x:c>
      <x:c r="C3112" s="16" t="n">
        <x:v>9920.3916449315</x:v>
      </x:c>
      <x:c r="D3112" s="16" t="n">
        <x:v>10123.4914952767</x:v>
      </x:c>
      <x:c r="E3112" s="16" t="n">
        <x:v>203.0998503452</x:v>
      </x:c>
      <x:c r="F3112" s="23" t="n">
        <x:v>2</x:v>
      </x:c>
    </x:row>
    <x:row r="3113">
      <x:c r="A3113" s="15" t="n">
        <x:v>46204</x:v>
      </x:c>
      <x:c r="B3113" s="13" t="str">
        <x:v>Retail</x:v>
      </x:c>
      <x:c r="C3113" s="16" t="n">
        <x:v>9514.0656166575</x:v>
      </x:c>
      <x:c r="D3113" s="16" t="n">
        <x:v>9259.9066960658</x:v>
      </x:c>
      <x:c r="E3113" s="16" t="n">
        <x:v>-254.1589205918</x:v>
      </x:c>
      <x:c r="F3113" s="23" t="n">
        <x:v>9</x:v>
      </x:c>
    </x:row>
    <x:row r="3114">
      <x:c r="A3114" s="15" t="n">
        <x:v>46204</x:v>
      </x:c>
      <x:c r="B3114" s="13" t="str">
        <x:v>Sanitation</x:v>
      </x:c>
      <x:c r="C3114" s="16" t="n">
        <x:v>9256.2960973151</x:v>
      </x:c>
      <x:c r="D3114" s="16" t="n">
        <x:v>9277.0619721644</x:v>
      </x:c>
      <x:c r="E3114" s="16" t="n">
        <x:v>20.7658748493</x:v>
      </x:c>
      <x:c r="F3114" s="23" t="n">
        <x:v>2</x:v>
      </x:c>
    </x:row>
    <x:row r="3115">
      <x:c r="A3115" s="15" t="n">
        <x:v>46204</x:v>
      </x:c>
      <x:c r="B3115" s="13" t="str">
        <x:v>TMT</x:v>
      </x:c>
      <x:c r="C3115" s="16" t="n">
        <x:v>6103.4130831781</x:v>
      </x:c>
      <x:c r="D3115" s="16" t="n">
        <x:v>5984.3049996274</x:v>
      </x:c>
      <x:c r="E3115" s="16" t="n">
        <x:v>-119.1080835507</x:v>
      </x:c>
      <x:c r="F3115" s="23" t="n">
        <x:v>2</x:v>
      </x:c>
    </x:row>
    <x:row r="3116">
      <x:c r="A3116" s="15" t="n">
        <x:v>46204</x:v>
      </x:c>
      <x:c r="B3116" s="13" t="str">
        <x:v>Transportation</x:v>
      </x:c>
      <x:c r="C3116" s="16" t="n">
        <x:v>10004.6130520548</x:v>
      </x:c>
      <x:c r="D3116" s="16" t="n">
        <x:v>10217.9176748712</x:v>
      </x:c>
      <x:c r="E3116" s="16" t="n">
        <x:v>213.3046228165</x:v>
      </x:c>
      <x:c r="F3116" s="23" t="n">
        <x:v>4</x:v>
      </x:c>
    </x:row>
    <x:row r="3117">
      <x:c r="A3117" s="15" t="n">
        <x:v>46204</x:v>
      </x:c>
      <x:c r="B3117" s="13" t="str">
        <x:v>Utilities &amp; Energy</x:v>
      </x:c>
      <x:c r="C3117" s="16" t="n">
        <x:v>37705.5991872877</x:v>
      </x:c>
      <x:c r="D3117" s="16" t="n">
        <x:v>38534.6532995506</x:v>
      </x:c>
      <x:c r="E3117" s="16" t="n">
        <x:v>829.054112263</x:v>
      </x:c>
      <x:c r="F3117" s="23" t="n">
        <x:v>11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612757fdee904e2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32" hidden="0" customWidth="1"/>
    <x:col min="3" max="3" width="16" hidden="0" customWidth="1"/>
    <x:col min="4" max="4" width="29" hidden="0" customWidth="1"/>
    <x:col min="5" max="5" width="24" hidden="0" customWidth="1"/>
    <x:col min="6" max="6" width="24" hidden="0" customWidth="1"/>
    <x:col min="7" max="7" width="38" hidden="0" customWidth="1"/>
  </x:cols>
  <x:sheetData>
    <x:row r="1" ht="27" customHeight="1">
      <x:c r="A1" s="3" t="str">
        <x:v>Base por empresa</x:v>
      </x:c>
      <x:c r="B1" s="3"/>
      <x:c r="C1" s="3"/>
      <x:c r="D1" s="3"/>
      <x:c r="E1" s="3"/>
      <x:c r="F1" s="3"/>
      <x:c r="G1" s="3"/>
    </x:row>
    <x:row r="2" ht="30" customHeight="1">
      <x:c r="A2" s="7" t="str">
        <x:v>Fonte auditável das séries consolidadas após prioridade de arquivo e deduplicação de classes ON/PN.</x:v>
      </x:c>
      <x:c r="B2" s="7"/>
      <x:c r="C2" s="7"/>
      <x:c r="D2" s="7"/>
      <x:c r="E2" s="7"/>
      <x:c r="F2" s="7"/>
      <x:c r="G2" s="7"/>
    </x:row>
    <x:row r="4" ht="31" customHeight="1">
      <x:c r="A4" s="11" t="str">
        <x:v>Mês</x:v>
      </x:c>
      <x:c r="B4" s="11" t="str">
        <x:v>Empresa Bloomberg</x:v>
      </x:c>
      <x:c r="C4" s="11" t="str">
        <x:v>Earnings</x:v>
      </x:c>
      <x:c r="D4" s="11" t="str">
        <x:v>Setor XP</x:v>
      </x:c>
      <x:c r="E4" s="11" t="str">
        <x:v>Macro setor XP</x:v>
      </x:c>
      <x:c r="F4" s="11" t="str">
        <x:v>Super setor XP</x:v>
      </x:c>
      <x:c r="G4" s="11" t="str">
        <x:v>Arquivo de origem</x:v>
      </x:c>
    </x:row>
    <x:row r="5">
      <x:c r="A5" s="15" t="n">
        <x:v>40179</x:v>
      </x:c>
      <x:c r="B5" s="13" t="str">
        <x:v>BANCO BRADESCO SA-PREF</x:v>
      </x:c>
      <x:c r="C5" s="16" t="n">
        <x:v>9060.4506518794</x:v>
      </x:c>
      <x:c r="D5" s="13" t="str">
        <x:v>Banks</x:v>
      </x:c>
      <x:c r="E5" s="13" t="str">
        <x:v>Banks</x:v>
      </x:c>
      <x:c r="F5" s="13" t="str">
        <x:v>Financials</x:v>
      </x:c>
      <x:c r="G5" s="13" t="str">
        <x:v>grid_wekqfxnd.xlsx</x:v>
      </x:c>
    </x:row>
    <x:row r="6">
      <x:c r="A6" s="15" t="n">
        <x:v>40179</x:v>
      </x:c>
      <x:c r="B6" s="13" t="str">
        <x:v>BANCO DO BRASIL S.A.</x:v>
      </x:c>
      <x:c r="C6" s="16" t="n">
        <x:v>8175.0099996055</x:v>
      </x:c>
      <x:c r="D6" s="13" t="str">
        <x:v>Banks</x:v>
      </x:c>
      <x:c r="E6" s="13" t="str">
        <x:v>Banks</x:v>
      </x:c>
      <x:c r="F6" s="13" t="str">
        <x:v>Financials</x:v>
      </x:c>
      <x:c r="G6" s="13" t="str">
        <x:v>grid_wekqfxnd.xlsx</x:v>
      </x:c>
    </x:row>
    <x:row r="7">
      <x:c r="A7" s="15" t="n">
        <x:v>40179</x:v>
      </x:c>
      <x:c r="B7" s="13" t="str">
        <x:v>ITAU UNIBANCO HOLDING S-PREF</x:v>
      </x:c>
      <x:c r="C7" s="16" t="n">
        <x:v>12705.7845514521</x:v>
      </x:c>
      <x:c r="D7" s="13" t="str">
        <x:v>Banks</x:v>
      </x:c>
      <x:c r="E7" s="13" t="str">
        <x:v>Banks</x:v>
      </x:c>
      <x:c r="F7" s="13" t="str">
        <x:v>Financials</x:v>
      </x:c>
      <x:c r="G7" s="13" t="str">
        <x:v>grid_wekqfxnd.xlsx</x:v>
      </x:c>
    </x:row>
    <x:row r="8">
      <x:c r="A8" s="15" t="n">
        <x:v>40179</x:v>
      </x:c>
      <x:c r="B8" s="13" t="str">
        <x:v>EMBRAER SA</x:v>
      </x:c>
      <x:c r="C8" s="16" t="n">
        <x:v>473.9679300384</x:v>
      </x:c>
      <x:c r="D8" s="13" t="str">
        <x:v>Capital Goods</x:v>
      </x:c>
      <x:c r="E8" s="13" t="str">
        <x:v>Capital Goods</x:v>
      </x:c>
      <x:c r="F8" s="13" t="str">
        <x:v>Deep Cyclicals</x:v>
      </x:c>
      <x:c r="G8" s="13" t="str">
        <x:v>grid_wekqfxnd.xlsx</x:v>
      </x:c>
    </x:row>
    <x:row r="9">
      <x:c r="A9" s="15" t="n">
        <x:v>40179</x:v>
      </x:c>
      <x:c r="B9" s="13" t="str">
        <x:v>B3 SA-BRASIL BOLSA BALCAO</x:v>
      </x:c>
      <x:c r="C9" s="16" t="n">
        <x:v>1532.360614926</x:v>
      </x:c>
      <x:c r="D9" s="13" t="str">
        <x:v>Financials Non-Banks</x:v>
      </x:c>
      <x:c r="E9" s="13" t="str">
        <x:v>Financials Non-Banks</x:v>
      </x:c>
      <x:c r="F9" s="13" t="str">
        <x:v>Financials</x:v>
      </x:c>
      <x:c r="G9" s="13" t="str">
        <x:v>grid_wekqfxnd.xlsx</x:v>
      </x:c>
    </x:row>
    <x:row r="10">
      <x:c r="A10" s="15" t="n">
        <x:v>40179</x:v>
      </x:c>
      <x:c r="B10" s="13" t="str">
        <x:v>ITAUSA SA</x:v>
      </x:c>
      <x:c r="C10" s="16" t="n">
        <x:v>5063.0498556493</x:v>
      </x:c>
      <x:c r="D10" s="13" t="str">
        <x:v>Financials Non-Banks</x:v>
      </x:c>
      <x:c r="E10" s="13" t="str">
        <x:v>Financials Non-Banks</x:v>
      </x:c>
      <x:c r="F10" s="13" t="str">
        <x:v>Financials</x:v>
      </x:c>
      <x:c r="G10" s="13" t="str">
        <x:v>grid_wekqfxnd.xlsx</x:v>
      </x:c>
    </x:row>
    <x:row r="11">
      <x:c r="A11" s="15" t="n">
        <x:v>40179</x:v>
      </x:c>
      <x:c r="B11" s="13" t="str">
        <x:v>REDECARD INSTITUICAO DE PAGA</x:v>
      </x:c>
      <x:c r="C11" s="16" t="n">
        <x:v>1498.9460837699</x:v>
      </x:c>
      <x:c r="D11" s="13" t="str">
        <x:v>Financials Non-Banks</x:v>
      </x:c>
      <x:c r="E11" s="13" t="str">
        <x:v>Financials Non-Banks</x:v>
      </x:c>
      <x:c r="F11" s="13" t="str">
        <x:v>Financials</x:v>
      </x:c>
      <x:c r="G11" s="13" t="str">
        <x:v>grid_wekqfxnd.xlsx</x:v>
      </x:c>
    </x:row>
    <x:row r="12">
      <x:c r="A12" s="15" t="n">
        <x:v>40179</x:v>
      </x:c>
      <x:c r="B12" s="13" t="str">
        <x:v>AMBEV SA</x:v>
      </x:c>
      <x:c r="C12" s="16" t="n">
        <x:v>6564.4179806685</x:v>
      </x:c>
      <x:c r="D12" s="13" t="str">
        <x:v>Food &amp; Beverages</x:v>
      </x:c>
      <x:c r="E12" s="13" t="str">
        <x:v>Agri, Food &amp; Beverages</x:v>
      </x:c>
      <x:c r="F12" s="13" t="str">
        <x:v>Defensives</x:v>
      </x:c>
      <x:c r="G12" s="13" t="str">
        <x:v>grid_wekqfxnd.xlsx</x:v>
      </x:c>
    </x:row>
    <x:row r="13">
      <x:c r="A13" s="15" t="n">
        <x:v>40179</x:v>
      </x:c>
      <x:c r="B13" s="13" t="str">
        <x:v>BRF SA</x:v>
      </x:c>
      <x:c r="C13" s="16" t="n">
        <x:v>686.1580828055</x:v>
      </x:c>
      <x:c r="D13" s="13" t="str">
        <x:v>Food &amp; Beverages</x:v>
      </x:c>
      <x:c r="E13" s="13" t="str">
        <x:v>Agri, Food &amp; Beverages</x:v>
      </x:c>
      <x:c r="F13" s="13" t="str">
        <x:v>Defensives</x:v>
      </x:c>
      <x:c r="G13" s="13" t="str">
        <x:v>grid_wekqfxnd.xlsx</x:v>
      </x:c>
    </x:row>
    <x:row r="14">
      <x:c r="A14" s="15" t="n">
        <x:v>40179</x:v>
      </x:c>
      <x:c r="B14" s="13" t="str">
        <x:v>SOUZA CRUZ LTDA</x:v>
      </x:c>
      <x:c r="C14" s="16" t="n">
        <x:v>1436.596134926</x:v>
      </x:c>
      <x:c r="D14" s="13" t="str">
        <x:v>Food &amp; Beverages</x:v>
      </x:c>
      <x:c r="E14" s="13" t="str">
        <x:v>Agri, Food &amp; Beverages</x:v>
      </x:c>
      <x:c r="F14" s="13" t="str">
        <x:v>Defensives</x:v>
      </x:c>
      <x:c r="G14" s="13" t="str">
        <x:v>grid_wekqfxnd.xlsx</x:v>
      </x:c>
    </x:row>
    <x:row r="15">
      <x:c r="A15" s="15" t="n">
        <x:v>40179</x:v>
      </x:c>
      <x:c r="B15" s="13" t="str">
        <x:v>CYRELA BRAZIL REALTY SA EMP</x:v>
      </x:c>
      <x:c r="C15" s="16" t="n">
        <x:v>791.3394277699</x:v>
      </x:c>
      <x:c r="D15" s="13" t="str">
        <x:v>Homebuilders</x:v>
      </x:c>
      <x:c r="E15" s="13" t="str">
        <x:v>Real Estate</x:v>
      </x:c>
      <x:c r="F15" s="13" t="str">
        <x:v>Early Cyclicals</x:v>
      </x:c>
      <x:c r="G15" s="13" t="str">
        <x:v>grid_wekqfxnd.xlsx</x:v>
      </x:c>
    </x:row>
    <x:row r="16">
      <x:c r="A16" s="15" t="n">
        <x:v>40179</x:v>
      </x:c>
      <x:c r="B16" s="13" t="str">
        <x:v>GAFISA SA</x:v>
      </x:c>
      <x:c r="C16" s="16" t="n">
        <x:v>397.7729022247</x:v>
      </x:c>
      <x:c r="D16" s="13" t="str">
        <x:v>Homebuilders</x:v>
      </x:c>
      <x:c r="E16" s="13" t="str">
        <x:v>Real Estate</x:v>
      </x:c>
      <x:c r="F16" s="13" t="str">
        <x:v>Early Cyclicals</x:v>
      </x:c>
      <x:c r="G16" s="13" t="str">
        <x:v>grid_wekqfxnd.xlsx</x:v>
      </x:c>
    </x:row>
    <x:row r="17">
      <x:c r="A17" s="15" t="n">
        <x:v>40179</x:v>
      </x:c>
      <x:c r="B17" s="13" t="str">
        <x:v>MRV ENGENHARIA</x:v>
      </x:c>
      <x:c r="C17" s="16" t="n">
        <x:v>575.8156950795</x:v>
      </x:c>
      <x:c r="D17" s="13" t="str">
        <x:v>Homebuilders</x:v>
      </x:c>
      <x:c r="E17" s="13" t="str">
        <x:v>Real Estate</x:v>
      </x:c>
      <x:c r="F17" s="13" t="str">
        <x:v>Early Cyclicals</x:v>
      </x:c>
      <x:c r="G17" s="13" t="str">
        <x:v>grid_wekqfxnd.xlsx</x:v>
      </x:c>
    </x:row>
    <x:row r="18">
      <x:c r="A18" s="15" t="n">
        <x:v>40179</x:v>
      </x:c>
      <x:c r="B18" s="13" t="str">
        <x:v>PDG REALTY SA</x:v>
      </x:c>
      <x:c r="C18" s="16" t="n">
        <x:v>597.4024255123</x:v>
      </x:c>
      <x:c r="D18" s="13" t="str">
        <x:v>Homebuilders</x:v>
      </x:c>
      <x:c r="E18" s="13" t="str">
        <x:v>Real Estate</x:v>
      </x:c>
      <x:c r="F18" s="13" t="str">
        <x:v>Early Cyclicals</x:v>
      </x:c>
      <x:c r="G18" s="13" t="str">
        <x:v>grid_wekqfxnd.xlsx</x:v>
      </x:c>
    </x:row>
    <x:row r="19">
      <x:c r="A19" s="15" t="n">
        <x:v>40179</x:v>
      </x:c>
      <x:c r="B19" s="13" t="str">
        <x:v>ROSSI RESIDENCIAL SA</x:v>
      </x:c>
      <x:c r="C19" s="16" t="n">
        <x:v>377.4512480438</x:v>
      </x:c>
      <x:c r="D19" s="13" t="str">
        <x:v>Homebuilders</x:v>
      </x:c>
      <x:c r="E19" s="13" t="str">
        <x:v>Real Estate</x:v>
      </x:c>
      <x:c r="F19" s="13" t="str">
        <x:v>Early Cyclicals</x:v>
      </x:c>
      <x:c r="G19" s="13" t="str">
        <x:v>grid_wekqfxnd.xlsx</x:v>
      </x:c>
    </x:row>
    <x:row r="20">
      <x:c r="A20" s="15" t="n">
        <x:v>40179</x:v>
      </x:c>
      <x:c r="B20" s="13" t="str">
        <x:v>CIA SIDERURGICA NACIONAL SA</x:v>
      </x:c>
      <x:c r="C20" s="16" t="n">
        <x:v>3146.6347169315</x:v>
      </x:c>
      <x:c r="D20" s="13" t="str">
        <x:v>Metals &amp; Mining</x:v>
      </x:c>
      <x:c r="E20" s="13" t="str">
        <x:v>Metals &amp; Mining</x:v>
      </x:c>
      <x:c r="F20" s="13" t="str">
        <x:v>Deep Cyclicals</x:v>
      </x:c>
      <x:c r="G20" s="13" t="str">
        <x:v>grid_wekqfxnd.xlsx</x:v>
      </x:c>
    </x:row>
    <x:row r="21">
      <x:c r="A21" s="15" t="n">
        <x:v>40179</x:v>
      </x:c>
      <x:c r="B21" s="13" t="str">
        <x:v>GERDAU SA-PREF</x:v>
      </x:c>
      <x:c r="C21" s="16" t="n">
        <x:v>2683.5142080877</x:v>
      </x:c>
      <x:c r="D21" s="13" t="str">
        <x:v>Metals &amp; Mining</x:v>
      </x:c>
      <x:c r="E21" s="13" t="str">
        <x:v>Metals &amp; Mining</x:v>
      </x:c>
      <x:c r="F21" s="13" t="str">
        <x:v>Deep Cyclicals</x:v>
      </x:c>
      <x:c r="G21" s="13" t="str">
        <x:v>grid_wekqfxnd.xlsx</x:v>
      </x:c>
    </x:row>
    <x:row r="22">
      <x:c r="A22" s="15" t="n">
        <x:v>40179</x:v>
      </x:c>
      <x:c r="B22" s="13" t="str">
        <x:v>METALURGICA GERDAU SA-PREF</x:v>
      </x:c>
      <x:c r="C22" s="16" t="n">
        <x:v>1387.7615945644</x:v>
      </x:c>
      <x:c r="D22" s="13" t="str">
        <x:v>Metals &amp; Mining</x:v>
      </x:c>
      <x:c r="E22" s="13" t="str">
        <x:v>Metals &amp; Mining</x:v>
      </x:c>
      <x:c r="F22" s="13" t="str">
        <x:v>Deep Cyclicals</x:v>
      </x:c>
      <x:c r="G22" s="13" t="str">
        <x:v>grid_wekqfxnd.xlsx</x:v>
      </x:c>
    </x:row>
    <x:row r="23">
      <x:c r="A23" s="15" t="n">
        <x:v>40179</x:v>
      </x:c>
      <x:c r="B23" s="13" t="str">
        <x:v>MMX MINERACAO E METALICOS SA</x:v>
      </x:c>
      <x:c r="C23" s="16" t="n">
        <x:v>-42.0730958904</x:v>
      </x:c>
      <x:c r="D23" s="13" t="str">
        <x:v>Metals &amp; Mining</x:v>
      </x:c>
      <x:c r="E23" s="13" t="str">
        <x:v>Metals &amp; Mining</x:v>
      </x:c>
      <x:c r="F23" s="13" t="str">
        <x:v>Deep Cyclicals</x:v>
      </x:c>
      <x:c r="G23" s="13" t="str">
        <x:v>grid_wekqfxnd.xlsx</x:v>
      </x:c>
    </x:row>
    <x:row r="24">
      <x:c r="A24" s="15" t="n">
        <x:v>40179</x:v>
      </x:c>
      <x:c r="B24" s="13" t="str">
        <x:v>USINAS SIDER MINAS GER-PF A</x:v>
      </x:c>
      <x:c r="C24" s="16" t="n">
        <x:v>2000.7706090959</x:v>
      </x:c>
      <x:c r="D24" s="13" t="str">
        <x:v>Metals &amp; Mining</x:v>
      </x:c>
      <x:c r="E24" s="13" t="str">
        <x:v>Metals &amp; Mining</x:v>
      </x:c>
      <x:c r="F24" s="13" t="str">
        <x:v>Deep Cyclicals</x:v>
      </x:c>
      <x:c r="G24" s="13" t="str">
        <x:v>grid_wekqfxnd.xlsx</x:v>
      </x:c>
    </x:row>
    <x:row r="25">
      <x:c r="A25" s="15" t="n">
        <x:v>40179</x:v>
      </x:c>
      <x:c r="B25" s="13" t="str">
        <x:v>USINAS SIDERURGICAS DE MINAS</x:v>
      </x:c>
      <x:c r="C25" s="16" t="n">
        <x:v>2000.7706090959</x:v>
      </x:c>
      <x:c r="D25" s="13" t="str">
        <x:v>Metals &amp; Mining</x:v>
      </x:c>
      <x:c r="E25" s="13" t="str">
        <x:v>Metals &amp; Mining</x:v>
      </x:c>
      <x:c r="F25" s="13" t="str">
        <x:v>Deep Cyclicals</x:v>
      </x:c>
      <x:c r="G25" s="13" t="str">
        <x:v>grid_wekqfxnd.xlsx</x:v>
      </x:c>
    </x:row>
    <x:row r="26">
      <x:c r="A26" s="15" t="n">
        <x:v>40179</x:v>
      </x:c>
      <x:c r="B26" s="13" t="str">
        <x:v>VALE SA</x:v>
      </x:c>
      <x:c r="C26" s="16" t="n">
        <x:v>17631.1870730521</x:v>
      </x:c>
      <x:c r="D26" s="13" t="str">
        <x:v>Metals &amp; Mining</x:v>
      </x:c>
      <x:c r="E26" s="13" t="str">
        <x:v>Metals &amp; Mining</x:v>
      </x:c>
      <x:c r="F26" s="13" t="str">
        <x:v>Deep Cyclicals</x:v>
      </x:c>
      <x:c r="G26" s="13" t="str">
        <x:v>grid_wekqfxnd.xlsx</x:v>
      </x:c>
    </x:row>
    <x:row r="27">
      <x:c r="A27" s="15" t="n">
        <x:v>40179</x:v>
      </x:c>
      <x:c r="B27" s="13" t="str">
        <x:v>BRASKEM SA-PREF A</x:v>
      </x:c>
      <x:c r="C27" s="16" t="n">
        <x:v>122.0893150685</x:v>
      </x:c>
      <x:c r="D27" s="13" t="str">
        <x:v>Oil, Gas &amp; Petrochemicals</x:v>
      </x:c>
      <x:c r="E27" s="13" t="str">
        <x:v>Oil, Gas &amp; Petrochemicals</x:v>
      </x:c>
      <x:c r="F27" s="13" t="str">
        <x:v>Deep Cyclicals</x:v>
      </x:c>
      <x:c r="G27" s="13" t="str">
        <x:v>grid_wekqfxnd.xlsx</x:v>
      </x:c>
    </x:row>
    <x:row r="28">
      <x:c r="A28" s="15" t="n">
        <x:v>40179</x:v>
      </x:c>
      <x:c r="B28" s="13" t="str">
        <x:v>COSAN SA</x:v>
      </x:c>
      <x:c r="C28" s="16" t="n">
        <x:v>1062.6082191781</x:v>
      </x:c>
      <x:c r="D28" s="13" t="str">
        <x:v>Oil, Gas &amp; Petrochemicals</x:v>
      </x:c>
      <x:c r="E28" s="13" t="str">
        <x:v>Oil, Gas &amp; Petrochemicals</x:v>
      </x:c>
      <x:c r="F28" s="13" t="str">
        <x:v>Deep Cyclicals</x:v>
      </x:c>
      <x:c r="G28" s="13" t="str">
        <x:v>grid_wekqfxnd.xlsx</x:v>
      </x:c>
    </x:row>
    <x:row r="29">
      <x:c r="A29" s="15" t="n">
        <x:v>40179</x:v>
      </x:c>
      <x:c r="B29" s="13" t="str">
        <x:v>OLEO E GAS PARTICIPACOES SA</x:v>
      </x:c>
      <x:c r="C29" s="16" t="n">
        <x:v>240.3312986301</x:v>
      </x:c>
      <x:c r="D29" s="13" t="str">
        <x:v>Oil, Gas &amp; Petrochemicals</x:v>
      </x:c>
      <x:c r="E29" s="13" t="str">
        <x:v>Oil, Gas &amp; Petrochemicals</x:v>
      </x:c>
      <x:c r="F29" s="13" t="str">
        <x:v>Deep Cyclicals</x:v>
      </x:c>
      <x:c r="G29" s="13" t="str">
        <x:v>grid_wekqfxnd.xlsx</x:v>
      </x:c>
    </x:row>
    <x:row r="30">
      <x:c r="A30" s="15" t="n">
        <x:v>40179</x:v>
      </x:c>
      <x:c r="B30" s="13" t="str">
        <x:v>PETROBRAS - PETROLEO BRAS</x:v>
      </x:c>
      <x:c r="C30" s="16" t="n">
        <x:v>30689.4562402192</x:v>
      </x:c>
      <x:c r="D30" s="13" t="str">
        <x:v>Oil, Gas &amp; Petrochemicals</x:v>
      </x:c>
      <x:c r="E30" s="13" t="str">
        <x:v>Oil, Gas &amp; Petrochemicals</x:v>
      </x:c>
      <x:c r="F30" s="13" t="str">
        <x:v>Deep Cyclicals</x:v>
      </x:c>
      <x:c r="G30" s="13" t="str">
        <x:v>grid_wekqfxnd.xlsx</x:v>
      </x:c>
    </x:row>
    <x:row r="31">
      <x:c r="A31" s="15" t="n">
        <x:v>40179</x:v>
      </x:c>
      <x:c r="B31" s="13" t="str">
        <x:v>ULTRAPAR PARTICIPACOES-PREF</x:v>
      </x:c>
      <x:c r="C31" s="16" t="n">
        <x:v>691.8971449863</x:v>
      </x:c>
      <x:c r="D31" s="13" t="str">
        <x:v>Oil, Gas &amp; Petrochemicals</x:v>
      </x:c>
      <x:c r="E31" s="13" t="str">
        <x:v>Oil, Gas &amp; Petrochemicals</x:v>
      </x:c>
      <x:c r="F31" s="13" t="str">
        <x:v>Deep Cyclicals</x:v>
      </x:c>
      <x:c r="G31" s="13" t="str">
        <x:v>grid_wekqfxnd.xlsx</x:v>
      </x:c>
    </x:row>
    <x:row r="32">
      <x:c r="A32" s="15" t="n">
        <x:v>40179</x:v>
      </x:c>
      <x:c r="B32" s="13" t="str">
        <x:v>DEXCO SA</x:v>
      </x:c>
      <x:c r="C32" s="16" t="n">
        <x:v>362.4150684932</x:v>
      </x:c>
      <x:c r="D32" s="13" t="str">
        <x:v>Pulp &amp; Paper</x:v>
      </x:c>
      <x:c r="E32" s="13" t="str">
        <x:v>Pulp &amp; Paper</x:v>
      </x:c>
      <x:c r="F32" s="13" t="str">
        <x:v>Deep Cyclicals</x:v>
      </x:c>
      <x:c r="G32" s="13" t="str">
        <x:v>grid_wekqfxnd.xlsx</x:v>
      </x:c>
    </x:row>
    <x:row r="33">
      <x:c r="A33" s="15" t="n">
        <x:v>40179</x:v>
      </x:c>
      <x:c r="B33" s="13" t="str">
        <x:v>FIBRIA CELULOSE S/A</x:v>
      </x:c>
      <x:c r="C33" s="16" t="n">
        <x:v>1016.7842191781</x:v>
      </x:c>
      <x:c r="D33" s="13" t="str">
        <x:v>Pulp &amp; Paper</x:v>
      </x:c>
      <x:c r="E33" s="13" t="str">
        <x:v>Pulp &amp; Paper</x:v>
      </x:c>
      <x:c r="F33" s="13" t="str">
        <x:v>Deep Cyclicals</x:v>
      </x:c>
      <x:c r="G33" s="13" t="str">
        <x:v>grid_wekqfxnd.xlsx</x:v>
      </x:c>
    </x:row>
    <x:row r="34">
      <x:c r="A34" s="15" t="n">
        <x:v>40179</x:v>
      </x:c>
      <x:c r="B34" s="13" t="str">
        <x:v>AMERICANAS SA</x:v>
      </x:c>
      <x:c r="C34" s="16" t="n">
        <x:v>158.7369884055</x:v>
      </x:c>
      <x:c r="D34" s="13" t="str">
        <x:v>Retail</x:v>
      </x:c>
      <x:c r="E34" s="13" t="str">
        <x:v>Retail</x:v>
      </x:c>
      <x:c r="F34" s="13" t="str">
        <x:v>Early Cyclicals</x:v>
      </x:c>
      <x:c r="G34" s="13" t="str">
        <x:v>grid_wekqfxnd.xlsx</x:v>
      </x:c>
    </x:row>
    <x:row r="35">
      <x:c r="A35" s="15" t="n">
        <x:v>40179</x:v>
      </x:c>
      <x:c r="B35" s="13" t="str">
        <x:v>CIA BRASILEIRA DE DIS-PREF</x:v>
      </x:c>
      <x:c r="C35" s="16" t="n">
        <x:v>707.9395152658</x:v>
      </x:c>
      <x:c r="D35" s="13" t="str">
        <x:v>Retail</x:v>
      </x:c>
      <x:c r="E35" s="13" t="str">
        <x:v>Retail</x:v>
      </x:c>
      <x:c r="F35" s="13" t="str">
        <x:v>Early Cyclicals</x:v>
      </x:c>
      <x:c r="G35" s="13" t="str">
        <x:v>grid_wekqfxnd.xlsx</x:v>
      </x:c>
    </x:row>
    <x:row r="36">
      <x:c r="A36" s="15" t="n">
        <x:v>40179</x:v>
      </x:c>
      <x:c r="B36" s="13" t="str">
        <x:v>LOJAS AMERICANAS SA-PREF</x:v>
      </x:c>
      <x:c r="C36" s="16" t="n">
        <x:v>271.505573874</x:v>
      </x:c>
      <x:c r="D36" s="13" t="str">
        <x:v>Retail</x:v>
      </x:c>
      <x:c r="E36" s="13" t="str">
        <x:v>Retail</x:v>
      </x:c>
      <x:c r="F36" s="13" t="str">
        <x:v>Early Cyclicals</x:v>
      </x:c>
      <x:c r="G36" s="13" t="str">
        <x:v>grid_wekqfxnd.xlsx</x:v>
      </x:c>
    </x:row>
    <x:row r="37">
      <x:c r="A37" s="15" t="n">
        <x:v>40179</x:v>
      </x:c>
      <x:c r="B37" s="13" t="str">
        <x:v>LOJAS RENNER S.A.</x:v>
      </x:c>
      <x:c r="C37" s="16" t="n">
        <x:v>211.5320417315</x:v>
      </x:c>
      <x:c r="D37" s="13" t="str">
        <x:v>Retail</x:v>
      </x:c>
      <x:c r="E37" s="13" t="str">
        <x:v>Retail</x:v>
      </x:c>
      <x:c r="F37" s="13" t="str">
        <x:v>Early Cyclicals</x:v>
      </x:c>
      <x:c r="G37" s="13" t="str">
        <x:v>grid_wekqfxnd.xlsx</x:v>
      </x:c>
    </x:row>
    <x:row r="38">
      <x:c r="A38" s="15" t="n">
        <x:v>40179</x:v>
      </x:c>
      <x:c r="B38" s="13" t="str">
        <x:v>NATURA COSMETICOS SA</x:v>
      </x:c>
      <x:c r="C38" s="16" t="n">
        <x:v>754.7048234082</x:v>
      </x:c>
      <x:c r="D38" s="13" t="str">
        <x:v>Retail</x:v>
      </x:c>
      <x:c r="E38" s="13" t="str">
        <x:v>Retail</x:v>
      </x:c>
      <x:c r="F38" s="13" t="str">
        <x:v>Early Cyclicals</x:v>
      </x:c>
      <x:c r="G38" s="13" t="str">
        <x:v>grid_wekqfxnd.xlsx</x:v>
      </x:c>
    </x:row>
    <x:row r="39">
      <x:c r="A39" s="15" t="n">
        <x:v>40179</x:v>
      </x:c>
      <x:c r="B39" s="13" t="str">
        <x:v>CIA SANEAMENTO BASICO DE SP</x:v>
      </x:c>
      <x:c r="C39" s="16" t="n">
        <x:v>1195.5191460822</x:v>
      </x:c>
      <x:c r="D39" s="13" t="str">
        <x:v>Sanitation</x:v>
      </x:c>
      <x:c r="E39" s="13" t="str">
        <x:v>Utilities</x:v>
      </x:c>
      <x:c r="F39" s="13" t="str">
        <x:v>Defensives</x:v>
      </x:c>
      <x:c r="G39" s="13" t="str">
        <x:v>grid_wekqfxnd.xlsx</x:v>
      </x:c>
    </x:row>
    <x:row r="40">
      <x:c r="A40" s="15" t="n">
        <x:v>40179</x:v>
      </x:c>
      <x:c r="B40" s="13" t="str">
        <x:v>NET SERVICOS DE COMUNI-PREF</x:v>
      </x:c>
      <x:c r="C40" s="16" t="n">
        <x:v>541.9134727014</x:v>
      </x:c>
      <x:c r="D40" s="13" t="str">
        <x:v>TMT</x:v>
      </x:c>
      <x:c r="E40" s="13" t="str">
        <x:v>TMT</x:v>
      </x:c>
      <x:c r="F40" s="13" t="str">
        <x:v>Early Cyclicals</x:v>
      </x:c>
      <x:c r="G40" s="13" t="str">
        <x:v>grid_wekqfxnd.xlsx</x:v>
      </x:c>
    </x:row>
    <x:row r="41">
      <x:c r="A41" s="15" t="n">
        <x:v>40179</x:v>
      </x:c>
      <x:c r="B41" s="13" t="str">
        <x:v>TELE NORTE LESTE PART</x:v>
      </x:c>
      <x:c r="C41" s="16" t="n">
        <x:v>1193.2251679562</x:v>
      </x:c>
      <x:c r="D41" s="13" t="str">
        <x:v>TMT</x:v>
      </x:c>
      <x:c r="E41" s="13" t="str">
        <x:v>TMT</x:v>
      </x:c>
      <x:c r="F41" s="13" t="str">
        <x:v>Early Cyclicals</x:v>
      </x:c>
      <x:c r="G41" s="13" t="str">
        <x:v>grid_wekqfxnd.xlsx</x:v>
      </x:c>
    </x:row>
    <x:row r="42">
      <x:c r="A42" s="15" t="n">
        <x:v>40179</x:v>
      </x:c>
      <x:c r="B42" s="13" t="str">
        <x:v>TELEFONICA BRASIL S.A.-PREF</x:v>
      </x:c>
      <x:c r="C42" s="16" t="n">
        <x:v>2376.3194157589</x:v>
      </x:c>
      <x:c r="D42" s="13" t="str">
        <x:v>TMT</x:v>
      </x:c>
      <x:c r="E42" s="13" t="str">
        <x:v>TMT</x:v>
      </x:c>
      <x:c r="F42" s="13" t="str">
        <x:v>Early Cyclicals</x:v>
      </x:c>
      <x:c r="G42" s="13" t="str">
        <x:v>grid_wekqfxnd.xlsx</x:v>
      </x:c>
    </x:row>
    <x:row r="43">
      <x:c r="A43" s="15" t="n">
        <x:v>40179</x:v>
      </x:c>
      <x:c r="B43" s="13" t="str">
        <x:v>TELEMAR NORTE LESTE SA</x:v>
      </x:c>
      <x:c r="C43" s="16" t="n">
        <x:v>1610.8004530849</x:v>
      </x:c>
      <x:c r="D43" s="13" t="str">
        <x:v>TMT</x:v>
      </x:c>
      <x:c r="E43" s="13" t="str">
        <x:v>TMT</x:v>
      </x:c>
      <x:c r="F43" s="13" t="str">
        <x:v>Early Cyclicals</x:v>
      </x:c>
      <x:c r="G43" s="13" t="str">
        <x:v>grid_wekqfxnd.xlsx</x:v>
      </x:c>
    </x:row>
    <x:row r="44">
      <x:c r="A44" s="15" t="n">
        <x:v>40179</x:v>
      </x:c>
      <x:c r="B44" s="13" t="str">
        <x:v>TIM PARTICIPACOES SA-PREF</x:v>
      </x:c>
      <x:c r="C44" s="16" t="n">
        <x:v>480.9206659507</x:v>
      </x:c>
      <x:c r="D44" s="13" t="str">
        <x:v>TMT</x:v>
      </x:c>
      <x:c r="E44" s="13" t="str">
        <x:v>TMT</x:v>
      </x:c>
      <x:c r="F44" s="13" t="str">
        <x:v>Early Cyclicals</x:v>
      </x:c>
      <x:c r="G44" s="13" t="str">
        <x:v>grid_wekqfxnd.xlsx</x:v>
      </x:c>
    </x:row>
    <x:row r="45">
      <x:c r="A45" s="15" t="n">
        <x:v>40179</x:v>
      </x:c>
      <x:c r="B45" s="13" t="str">
        <x:v>TIM SA</x:v>
      </x:c>
      <x:c r="C45" s="16" t="n">
        <x:v>480.9206659507</x:v>
      </x:c>
      <x:c r="D45" s="13" t="str">
        <x:v>TMT</x:v>
      </x:c>
      <x:c r="E45" s="13" t="str">
        <x:v>TMT</x:v>
      </x:c>
      <x:c r="F45" s="13" t="str">
        <x:v>Early Cyclicals</x:v>
      </x:c>
      <x:c r="G45" s="13" t="str">
        <x:v>grid_wekqfxnd.xlsx</x:v>
      </x:c>
    </x:row>
    <x:row r="46">
      <x:c r="A46" s="15" t="n">
        <x:v>40179</x:v>
      </x:c>
      <x:c r="B46" s="13" t="str">
        <x:v>VIVO PARTICIPACOES SA-PREF</x:v>
      </x:c>
      <x:c r="C46" s="16" t="n">
        <x:v>1444.5083721644</x:v>
      </x:c>
      <x:c r="D46" s="13" t="str">
        <x:v>TMT</x:v>
      </x:c>
      <x:c r="E46" s="13" t="str">
        <x:v>TMT</x:v>
      </x:c>
      <x:c r="F46" s="13" t="str">
        <x:v>Early Cyclicals</x:v>
      </x:c>
      <x:c r="G46" s="13" t="str">
        <x:v>grid_wekqfxnd.xlsx</x:v>
      </x:c>
    </x:row>
    <x:row r="47">
      <x:c r="A47" s="15" t="n">
        <x:v>40179</x:v>
      </x:c>
      <x:c r="B47" s="13" t="str">
        <x:v>ALL AMERICA LATINA LOGISTICA</x:v>
      </x:c>
      <x:c r="C47" s="16" t="n">
        <x:v>269.4357494356</x:v>
      </x:c>
      <x:c r="D47" s="13" t="str">
        <x:v>Transportation</x:v>
      </x:c>
      <x:c r="E47" s="13" t="str">
        <x:v>Transportation</x:v>
      </x:c>
      <x:c r="F47" s="13" t="str">
        <x:v>Deep Cyclicals</x:v>
      </x:c>
      <x:c r="G47" s="13" t="str">
        <x:v>grid_wekqfxnd.xlsx</x:v>
      </x:c>
    </x:row>
    <x:row r="48">
      <x:c r="A48" s="15" t="n">
        <x:v>40179</x:v>
      </x:c>
      <x:c r="B48" s="13" t="str">
        <x:v>GOL LINHAS AEREAS INT SA-PRE</x:v>
      </x:c>
      <x:c r="C48" s="16" t="n">
        <x:v>487.2960531288</x:v>
      </x:c>
      <x:c r="D48" s="13" t="str">
        <x:v>Transportation</x:v>
      </x:c>
      <x:c r="E48" s="13" t="str">
        <x:v>Transportation</x:v>
      </x:c>
      <x:c r="F48" s="13" t="str">
        <x:v>Deep Cyclicals</x:v>
      </x:c>
      <x:c r="G48" s="13" t="str">
        <x:v>grid_wekqfxnd.xlsx</x:v>
      </x:c>
    </x:row>
    <x:row r="49">
      <x:c r="A49" s="15" t="n">
        <x:v>40179</x:v>
      </x:c>
      <x:c r="B49" s="13" t="str">
        <x:v>MOTIVA INFRAESTRUTURA DE MOB</x:v>
      </x:c>
      <x:c r="C49" s="16" t="n">
        <x:v>923.5576432219</x:v>
      </x:c>
      <x:c r="D49" s="13" t="str">
        <x:v>Transportation</x:v>
      </x:c>
      <x:c r="E49" s="13" t="str">
        <x:v>Transportation</x:v>
      </x:c>
      <x:c r="F49" s="13" t="str">
        <x:v>Deep Cyclicals</x:v>
      </x:c>
      <x:c r="G49" s="13" t="str">
        <x:v>grid_wekqfxnd.xlsx</x:v>
      </x:c>
    </x:row>
    <x:row r="50">
      <x:c r="A50" s="15" t="n">
        <x:v>40179</x:v>
      </x:c>
      <x:c r="B50" s="13" t="str">
        <x:v>PRUMO LOGISTICA SA</x:v>
      </x:c>
      <x:c r="C50" s="16" t="n">
        <x:v>-131.0328767123</x:v>
      </x:c>
      <x:c r="D50" s="13" t="str">
        <x:v>Transportation</x:v>
      </x:c>
      <x:c r="E50" s="13" t="str">
        <x:v>Transportation</x:v>
      </x:c>
      <x:c r="F50" s="13" t="str">
        <x:v>Deep Cyclicals</x:v>
      </x:c>
      <x:c r="G50" s="13" t="str">
        <x:v>grid_wekqfxnd.xlsx</x:v>
      </x:c>
    </x:row>
    <x:row r="51">
      <x:c r="A51" s="15" t="n">
        <x:v>40179</x:v>
      </x:c>
      <x:c r="B51" s="13" t="str">
        <x:v>TAM SA-PREF</x:v>
      </x:c>
      <x:c r="C51" s="16" t="n">
        <x:v>334.9376731178</x:v>
      </x:c>
      <x:c r="D51" s="13" t="str">
        <x:v>Transportation</x:v>
      </x:c>
      <x:c r="E51" s="13" t="str">
        <x:v>Transportation</x:v>
      </x:c>
      <x:c r="F51" s="13" t="str">
        <x:v>Deep Cyclicals</x:v>
      </x:c>
      <x:c r="G51" s="13" t="str">
        <x:v>grid_wekqfxnd.xlsx</x:v>
      </x:c>
    </x:row>
    <x:row r="52">
      <x:c r="A52" s="15" t="n">
        <x:v>40179</x:v>
      </x:c>
      <x:c r="B52" s="13" t="str">
        <x:v>AXIA ENERGIA SA</x:v>
      </x:c>
      <x:c r="C52" s="16" t="n">
        <x:v>2867.8034137425</x:v>
      </x:c>
      <x:c r="D52" s="13" t="str">
        <x:v>Utilities &amp; Energy</x:v>
      </x:c>
      <x:c r="E52" s="13" t="str">
        <x:v>Utilities</x:v>
      </x:c>
      <x:c r="F52" s="13" t="str">
        <x:v>Defensives</x:v>
      </x:c>
      <x:c r="G52" s="13" t="str">
        <x:v>grid_wekqfxnd.xlsx</x:v>
      </x:c>
    </x:row>
    <x:row r="53">
      <x:c r="A53" s="15" t="n">
        <x:v>40179</x:v>
      </x:c>
      <x:c r="B53" s="13" t="str">
        <x:v>AXIA ENERGIA-PR B</x:v>
      </x:c>
      <x:c r="C53" s="16" t="n">
        <x:v>2867.8034137425</x:v>
      </x:c>
      <x:c r="D53" s="13" t="str">
        <x:v>Utilities &amp; Energy</x:v>
      </x:c>
      <x:c r="E53" s="13" t="str">
        <x:v>Utilities</x:v>
      </x:c>
      <x:c r="F53" s="13" t="str">
        <x:v>Defensives</x:v>
      </x:c>
      <x:c r="G53" s="13" t="str">
        <x:v>grid_wekqfxnd.xlsx</x:v>
      </x:c>
    </x:row>
    <x:row r="54">
      <x:c r="A54" s="15" t="n">
        <x:v>40179</x:v>
      </x:c>
      <x:c r="B54" s="13" t="str">
        <x:v>CESP - CIA ENERGETICA DE SAO</x:v>
      </x:c>
      <x:c r="C54" s="16" t="n">
        <x:v>650.8813871342</x:v>
      </x:c>
      <x:c r="D54" s="13" t="str">
        <x:v>Utilities &amp; Energy</x:v>
      </x:c>
      <x:c r="E54" s="13" t="str">
        <x:v>Utilities</x:v>
      </x:c>
      <x:c r="F54" s="13" t="str">
        <x:v>Defensives</x:v>
      </x:c>
      <x:c r="G54" s="13" t="str">
        <x:v>grid_wekqfxnd.xlsx</x:v>
      </x:c>
    </x:row>
    <x:row r="55">
      <x:c r="A55" s="15" t="n">
        <x:v>40179</x:v>
      </x:c>
      <x:c r="B55" s="13" t="str">
        <x:v>CIA ENERGETICA MINAS GER-PRF</x:v>
      </x:c>
      <x:c r="C55" s="16" t="n">
        <x:v>2075.4110078247</x:v>
      </x:c>
      <x:c r="D55" s="13" t="str">
        <x:v>Utilities &amp; Energy</x:v>
      </x:c>
      <x:c r="E55" s="13" t="str">
        <x:v>Utilities</x:v>
      </x:c>
      <x:c r="F55" s="13" t="str">
        <x:v>Defensives</x:v>
      </x:c>
      <x:c r="G55" s="13" t="str">
        <x:v>grid_wekqfxnd.xlsx</x:v>
      </x:c>
    </x:row>
    <x:row r="56">
      <x:c r="A56" s="15" t="n">
        <x:v>40179</x:v>
      </x:c>
      <x:c r="B56" s="13" t="str">
        <x:v>COMPANHIA PARANAENSE -PREF B</x:v>
      </x:c>
      <x:c r="C56" s="16" t="n">
        <x:v>1027.2022980384</x:v>
      </x:c>
      <x:c r="D56" s="13" t="str">
        <x:v>Utilities &amp; Energy</x:v>
      </x:c>
      <x:c r="E56" s="13" t="str">
        <x:v>Utilities</x:v>
      </x:c>
      <x:c r="F56" s="13" t="str">
        <x:v>Defensives</x:v>
      </x:c>
      <x:c r="G56" s="13" t="str">
        <x:v>grid_wekqfxnd.xlsx</x:v>
      </x:c>
    </x:row>
    <x:row r="57">
      <x:c r="A57" s="15" t="n">
        <x:v>40179</x:v>
      </x:c>
      <x:c r="B57" s="13" t="str">
        <x:v>CPFL ENERGIA SA</x:v>
      </x:c>
      <x:c r="C57" s="16" t="n">
        <x:v>1473.1431658959</x:v>
      </x:c>
      <x:c r="D57" s="13" t="str">
        <x:v>Utilities &amp; Energy</x:v>
      </x:c>
      <x:c r="E57" s="13" t="str">
        <x:v>Utilities</x:v>
      </x:c>
      <x:c r="F57" s="13" t="str">
        <x:v>Defensives</x:v>
      </x:c>
      <x:c r="G57" s="13" t="str">
        <x:v>grid_wekqfxnd.xlsx</x:v>
      </x:c>
    </x:row>
    <x:row r="58">
      <x:c r="A58" s="15" t="n">
        <x:v>40179</x:v>
      </x:c>
      <x:c r="B58" s="13" t="str">
        <x:v>ISA ENERGIA BRASIL SA</x:v>
      </x:c>
      <x:c r="C58" s="16" t="n">
        <x:v>845.1906367123</x:v>
      </x:c>
      <x:c r="D58" s="13" t="str">
        <x:v>Utilities &amp; Energy</x:v>
      </x:c>
      <x:c r="E58" s="13" t="str">
        <x:v>Utilities</x:v>
      </x:c>
      <x:c r="F58" s="13" t="str">
        <x:v>Defensives</x:v>
      </x:c>
      <x:c r="G58" s="13" t="str">
        <x:v>grid_wekqfxnd.xlsx</x:v>
      </x:c>
    </x:row>
    <x:row r="59">
      <x:c r="A59" s="15" t="n">
        <x:v>40179</x:v>
      </x:c>
      <x:c r="B59" s="13" t="str">
        <x:v>LIGHT SA</x:v>
      </x:c>
      <x:c r="C59" s="16" t="n">
        <x:v>554.7815848329</x:v>
      </x:c>
      <x:c r="D59" s="13" t="str">
        <x:v>Utilities &amp; Energy</x:v>
      </x:c>
      <x:c r="E59" s="13" t="str">
        <x:v>Utilities</x:v>
      </x:c>
      <x:c r="F59" s="13" t="str">
        <x:v>Defensives</x:v>
      </x:c>
      <x:c r="G59" s="13" t="str">
        <x:v>grid_wekqfxnd.xlsx</x:v>
      </x:c>
    </x:row>
    <x:row r="60">
      <x:c r="A60" s="15" t="n">
        <x:v>40210</x:v>
      </x:c>
      <x:c r="B60" s="13" t="str">
        <x:v>BANCO BRADESCO SA-PREF</x:v>
      </x:c>
      <x:c r="C60" s="16" t="n">
        <x:v>9232.5868053041</x:v>
      </x:c>
      <x:c r="D60" s="13" t="str">
        <x:v>Banks</x:v>
      </x:c>
      <x:c r="E60" s="13" t="str">
        <x:v>Banks</x:v>
      </x:c>
      <x:c r="F60" s="13" t="str">
        <x:v>Financials</x:v>
      </x:c>
      <x:c r="G60" s="13" t="str">
        <x:v>grid_wekqfxnd.xlsx</x:v>
      </x:c>
    </x:row>
    <x:row r="61">
      <x:c r="A61" s="15" t="n">
        <x:v>40210</x:v>
      </x:c>
      <x:c r="B61" s="13" t="str">
        <x:v>BANCO DO BRASIL S.A.</x:v>
      </x:c>
      <x:c r="C61" s="16" t="n">
        <x:v>8441.5203468274</x:v>
      </x:c>
      <x:c r="D61" s="13" t="str">
        <x:v>Banks</x:v>
      </x:c>
      <x:c r="E61" s="13" t="str">
        <x:v>Banks</x:v>
      </x:c>
      <x:c r="F61" s="13" t="str">
        <x:v>Financials</x:v>
      </x:c>
      <x:c r="G61" s="13" t="str">
        <x:v>grid_wekqfxnd.xlsx</x:v>
      </x:c>
    </x:row>
    <x:row r="62">
      <x:c r="A62" s="15" t="n">
        <x:v>40210</x:v>
      </x:c>
      <x:c r="B62" s="13" t="str">
        <x:v>ITAU UNIBANCO HOLDING S-PREF</x:v>
      </x:c>
      <x:c r="C62" s="16" t="n">
        <x:v>13091.4521368548</x:v>
      </x:c>
      <x:c r="D62" s="13" t="str">
        <x:v>Banks</x:v>
      </x:c>
      <x:c r="E62" s="13" t="str">
        <x:v>Banks</x:v>
      </x:c>
      <x:c r="F62" s="13" t="str">
        <x:v>Financials</x:v>
      </x:c>
      <x:c r="G62" s="13" t="str">
        <x:v>grid_wekqfxnd.xlsx</x:v>
      </x:c>
    </x:row>
    <x:row r="63">
      <x:c r="A63" s="15" t="n">
        <x:v>40210</x:v>
      </x:c>
      <x:c r="B63" s="13" t="str">
        <x:v>EMBRAER SA</x:v>
      </x:c>
      <x:c r="C63" s="16" t="n">
        <x:v>434.6130191781</x:v>
      </x:c>
      <x:c r="D63" s="13" t="str">
        <x:v>Capital Goods</x:v>
      </x:c>
      <x:c r="E63" s="13" t="str">
        <x:v>Capital Goods</x:v>
      </x:c>
      <x:c r="F63" s="13" t="str">
        <x:v>Deep Cyclicals</x:v>
      </x:c>
      <x:c r="G63" s="13" t="str">
        <x:v>grid_wekqfxnd.xlsx</x:v>
      </x:c>
    </x:row>
    <x:row r="64">
      <x:c r="A64" s="15" t="n">
        <x:v>40210</x:v>
      </x:c>
      <x:c r="B64" s="13" t="str">
        <x:v>B3 SA-BRASIL BOLSA BALCAO</x:v>
      </x:c>
      <x:c r="C64" s="16" t="n">
        <x:v>1503.0881728877</x:v>
      </x:c>
      <x:c r="D64" s="13" t="str">
        <x:v>Financials Non-Banks</x:v>
      </x:c>
      <x:c r="E64" s="13" t="str">
        <x:v>Financials Non-Banks</x:v>
      </x:c>
      <x:c r="F64" s="13" t="str">
        <x:v>Financials</x:v>
      </x:c>
      <x:c r="G64" s="13" t="str">
        <x:v>grid_wekqfxnd.xlsx</x:v>
      </x:c>
    </x:row>
    <x:row r="65">
      <x:c r="A65" s="15" t="n">
        <x:v>40210</x:v>
      </x:c>
      <x:c r="B65" s="13" t="str">
        <x:v>ITAUSA SA</x:v>
      </x:c>
      <x:c r="C65" s="16" t="n">
        <x:v>5247.0794380274</x:v>
      </x:c>
      <x:c r="D65" s="13" t="str">
        <x:v>Financials Non-Banks</x:v>
      </x:c>
      <x:c r="E65" s="13" t="str">
        <x:v>Financials Non-Banks</x:v>
      </x:c>
      <x:c r="F65" s="13" t="str">
        <x:v>Financials</x:v>
      </x:c>
      <x:c r="G65" s="13" t="str">
        <x:v>grid_wekqfxnd.xlsx</x:v>
      </x:c>
    </x:row>
    <x:row r="66">
      <x:c r="A66" s="15" t="n">
        <x:v>40210</x:v>
      </x:c>
      <x:c r="B66" s="13" t="str">
        <x:v>REDECARD INSTITUICAO DE PAGA</x:v>
      </x:c>
      <x:c r="C66" s="16" t="n">
        <x:v>1501.3113382575</x:v>
      </x:c>
      <x:c r="D66" s="13" t="str">
        <x:v>Financials Non-Banks</x:v>
      </x:c>
      <x:c r="E66" s="13" t="str">
        <x:v>Financials Non-Banks</x:v>
      </x:c>
      <x:c r="F66" s="13" t="str">
        <x:v>Financials</x:v>
      </x:c>
      <x:c r="G66" s="13" t="str">
        <x:v>grid_wekqfxnd.xlsx</x:v>
      </x:c>
    </x:row>
    <x:row r="67">
      <x:c r="A67" s="15" t="n">
        <x:v>40210</x:v>
      </x:c>
      <x:c r="B67" s="13" t="str">
        <x:v>AMBEV SA</x:v>
      </x:c>
      <x:c r="C67" s="16" t="n">
        <x:v>6674.8598243945</x:v>
      </x:c>
      <x:c r="D67" s="13" t="str">
        <x:v>Food &amp; Beverages</x:v>
      </x:c>
      <x:c r="E67" s="13" t="str">
        <x:v>Agri, Food &amp; Beverages</x:v>
      </x:c>
      <x:c r="F67" s="13" t="str">
        <x:v>Defensives</x:v>
      </x:c>
      <x:c r="G67" s="13" t="str">
        <x:v>grid_wekqfxnd.xlsx</x:v>
      </x:c>
    </x:row>
    <x:row r="68">
      <x:c r="A68" s="15" t="n">
        <x:v>40210</x:v>
      </x:c>
      <x:c r="B68" s="13" t="str">
        <x:v>BRF SA</x:v>
      </x:c>
      <x:c r="C68" s="16" t="n">
        <x:v>697.8797252384</x:v>
      </x:c>
      <x:c r="D68" s="13" t="str">
        <x:v>Food &amp; Beverages</x:v>
      </x:c>
      <x:c r="E68" s="13" t="str">
        <x:v>Agri, Food &amp; Beverages</x:v>
      </x:c>
      <x:c r="F68" s="13" t="str">
        <x:v>Defensives</x:v>
      </x:c>
      <x:c r="G68" s="13" t="str">
        <x:v>grid_wekqfxnd.xlsx</x:v>
      </x:c>
    </x:row>
    <x:row r="69">
      <x:c r="A69" s="15" t="n">
        <x:v>40210</x:v>
      </x:c>
      <x:c r="B69" s="13" t="str">
        <x:v>SOUZA CRUZ LTDA</x:v>
      </x:c>
      <x:c r="C69" s="16" t="n">
        <x:v>1424.9640455014</x:v>
      </x:c>
      <x:c r="D69" s="13" t="str">
        <x:v>Food &amp; Beverages</x:v>
      </x:c>
      <x:c r="E69" s="13" t="str">
        <x:v>Agri, Food &amp; Beverages</x:v>
      </x:c>
      <x:c r="F69" s="13" t="str">
        <x:v>Defensives</x:v>
      </x:c>
      <x:c r="G69" s="13" t="str">
        <x:v>grid_wekqfxnd.xlsx</x:v>
      </x:c>
    </x:row>
    <x:row r="70">
      <x:c r="A70" s="15" t="n">
        <x:v>40210</x:v>
      </x:c>
      <x:c r="B70" s="13" t="str">
        <x:v>CYRELA BRAZIL REALTY SA EMP</x:v>
      </x:c>
      <x:c r="C70" s="16" t="n">
        <x:v>818.5356249425</x:v>
      </x:c>
      <x:c r="D70" s="13" t="str">
        <x:v>Homebuilders</x:v>
      </x:c>
      <x:c r="E70" s="13" t="str">
        <x:v>Real Estate</x:v>
      </x:c>
      <x:c r="F70" s="13" t="str">
        <x:v>Early Cyclicals</x:v>
      </x:c>
      <x:c r="G70" s="13" t="str">
        <x:v>grid_wekqfxnd.xlsx</x:v>
      </x:c>
    </x:row>
    <x:row r="71">
      <x:c r="A71" s="15" t="n">
        <x:v>40210</x:v>
      </x:c>
      <x:c r="B71" s="13" t="str">
        <x:v>GAFISA SA</x:v>
      </x:c>
      <x:c r="C71" s="16" t="n">
        <x:v>427.7016819726</x:v>
      </x:c>
      <x:c r="D71" s="13" t="str">
        <x:v>Homebuilders</x:v>
      </x:c>
      <x:c r="E71" s="13" t="str">
        <x:v>Real Estate</x:v>
      </x:c>
      <x:c r="F71" s="13" t="str">
        <x:v>Early Cyclicals</x:v>
      </x:c>
      <x:c r="G71" s="13" t="str">
        <x:v>grid_wekqfxnd.xlsx</x:v>
      </x:c>
    </x:row>
    <x:row r="72">
      <x:c r="A72" s="15" t="n">
        <x:v>40210</x:v>
      </x:c>
      <x:c r="B72" s="13" t="str">
        <x:v>MRV ENGENHARIA</x:v>
      </x:c>
      <x:c r="C72" s="16" t="n">
        <x:v>590.9248031562</x:v>
      </x:c>
      <x:c r="D72" s="13" t="str">
        <x:v>Homebuilders</x:v>
      </x:c>
      <x:c r="E72" s="13" t="str">
        <x:v>Real Estate</x:v>
      </x:c>
      <x:c r="F72" s="13" t="str">
        <x:v>Early Cyclicals</x:v>
      </x:c>
      <x:c r="G72" s="13" t="str">
        <x:v>grid_wekqfxnd.xlsx</x:v>
      </x:c>
    </x:row>
    <x:row r="73">
      <x:c r="A73" s="15" t="n">
        <x:v>40210</x:v>
      </x:c>
      <x:c r="B73" s="13" t="str">
        <x:v>PDG REALTY SA</x:v>
      </x:c>
      <x:c r="C73" s="16" t="n">
        <x:v>628.4424725041</x:v>
      </x:c>
      <x:c r="D73" s="13" t="str">
        <x:v>Homebuilders</x:v>
      </x:c>
      <x:c r="E73" s="13" t="str">
        <x:v>Real Estate</x:v>
      </x:c>
      <x:c r="F73" s="13" t="str">
        <x:v>Early Cyclicals</x:v>
      </x:c>
      <x:c r="G73" s="13" t="str">
        <x:v>grid_wekqfxnd.xlsx</x:v>
      </x:c>
    </x:row>
    <x:row r="74">
      <x:c r="A74" s="15" t="n">
        <x:v>40210</x:v>
      </x:c>
      <x:c r="B74" s="13" t="str">
        <x:v>ROSSI RESIDENCIAL SA</x:v>
      </x:c>
      <x:c r="C74" s="16" t="n">
        <x:v>424.8205660932</x:v>
      </x:c>
      <x:c r="D74" s="13" t="str">
        <x:v>Homebuilders</x:v>
      </x:c>
      <x:c r="E74" s="13" t="str">
        <x:v>Real Estate</x:v>
      </x:c>
      <x:c r="F74" s="13" t="str">
        <x:v>Early Cyclicals</x:v>
      </x:c>
      <x:c r="G74" s="13" t="str">
        <x:v>grid_wekqfxnd.xlsx</x:v>
      </x:c>
    </x:row>
    <x:row r="75">
      <x:c r="A75" s="15" t="n">
        <x:v>40210</x:v>
      </x:c>
      <x:c r="B75" s="13" t="str">
        <x:v>CIA SIDERURGICA NACIONAL SA</x:v>
      </x:c>
      <x:c r="C75" s="16" t="n">
        <x:v>3189.2597781041</x:v>
      </x:c>
      <x:c r="D75" s="13" t="str">
        <x:v>Metals &amp; Mining</x:v>
      </x:c>
      <x:c r="E75" s="13" t="str">
        <x:v>Metals &amp; Mining</x:v>
      </x:c>
      <x:c r="F75" s="13" t="str">
        <x:v>Deep Cyclicals</x:v>
      </x:c>
      <x:c r="G75" s="13" t="str">
        <x:v>grid_wekqfxnd.xlsx</x:v>
      </x:c>
    </x:row>
    <x:row r="76">
      <x:c r="A76" s="15" t="n">
        <x:v>40210</x:v>
      </x:c>
      <x:c r="B76" s="13" t="str">
        <x:v>GERDAU SA-PREF</x:v>
      </x:c>
      <x:c r="C76" s="16" t="n">
        <x:v>2695.9470185206</x:v>
      </x:c>
      <x:c r="D76" s="13" t="str">
        <x:v>Metals &amp; Mining</x:v>
      </x:c>
      <x:c r="E76" s="13" t="str">
        <x:v>Metals &amp; Mining</x:v>
      </x:c>
      <x:c r="F76" s="13" t="str">
        <x:v>Deep Cyclicals</x:v>
      </x:c>
      <x:c r="G76" s="13" t="str">
        <x:v>grid_wekqfxnd.xlsx</x:v>
      </x:c>
    </x:row>
    <x:row r="77">
      <x:c r="A77" s="15" t="n">
        <x:v>40210</x:v>
      </x:c>
      <x:c r="B77" s="13" t="str">
        <x:v>METALURGICA GERDAU SA-PREF</x:v>
      </x:c>
      <x:c r="C77" s="16" t="n">
        <x:v>1285.0438796274</x:v>
      </x:c>
      <x:c r="D77" s="13" t="str">
        <x:v>Metals &amp; Mining</x:v>
      </x:c>
      <x:c r="E77" s="13" t="str">
        <x:v>Metals &amp; Mining</x:v>
      </x:c>
      <x:c r="F77" s="13" t="str">
        <x:v>Deep Cyclicals</x:v>
      </x:c>
      <x:c r="G77" s="13" t="str">
        <x:v>grid_wekqfxnd.xlsx</x:v>
      </x:c>
    </x:row>
    <x:row r="78">
      <x:c r="A78" s="15" t="n">
        <x:v>40210</x:v>
      </x:c>
      <x:c r="B78" s="13" t="str">
        <x:v>MMX MINERACAO E METALICOS SA</x:v>
      </x:c>
      <x:c r="C78" s="16" t="n">
        <x:v>29.4179078356</x:v>
      </x:c>
      <x:c r="D78" s="13" t="str">
        <x:v>Metals &amp; Mining</x:v>
      </x:c>
      <x:c r="E78" s="13" t="str">
        <x:v>Metals &amp; Mining</x:v>
      </x:c>
      <x:c r="F78" s="13" t="str">
        <x:v>Deep Cyclicals</x:v>
      </x:c>
      <x:c r="G78" s="13" t="str">
        <x:v>grid_wekqfxnd.xlsx</x:v>
      </x:c>
    </x:row>
    <x:row r="79">
      <x:c r="A79" s="15" t="n">
        <x:v>40210</x:v>
      </x:c>
      <x:c r="B79" s="13" t="str">
        <x:v>USINAS SIDER MINAS GER-PF A</x:v>
      </x:c>
      <x:c r="C79" s="16" t="n">
        <x:v>2076.631916011</x:v>
      </x:c>
      <x:c r="D79" s="13" t="str">
        <x:v>Metals &amp; Mining</x:v>
      </x:c>
      <x:c r="E79" s="13" t="str">
        <x:v>Metals &amp; Mining</x:v>
      </x:c>
      <x:c r="F79" s="13" t="str">
        <x:v>Deep Cyclicals</x:v>
      </x:c>
      <x:c r="G79" s="13" t="str">
        <x:v>grid_wekqfxnd.xlsx</x:v>
      </x:c>
    </x:row>
    <x:row r="80">
      <x:c r="A80" s="15" t="n">
        <x:v>40210</x:v>
      </x:c>
      <x:c r="B80" s="13" t="str">
        <x:v>USINAS SIDERURGICAS DE MINAS</x:v>
      </x:c>
      <x:c r="C80" s="16" t="n">
        <x:v>2076.631916011</x:v>
      </x:c>
      <x:c r="D80" s="13" t="str">
        <x:v>Metals &amp; Mining</x:v>
      </x:c>
      <x:c r="E80" s="13" t="str">
        <x:v>Metals &amp; Mining</x:v>
      </x:c>
      <x:c r="F80" s="13" t="str">
        <x:v>Deep Cyclicals</x:v>
      </x:c>
      <x:c r="G80" s="13" t="str">
        <x:v>grid_wekqfxnd.xlsx</x:v>
      </x:c>
    </x:row>
    <x:row r="81">
      <x:c r="A81" s="15" t="n">
        <x:v>40210</x:v>
      </x:c>
      <x:c r="B81" s="13" t="str">
        <x:v>VALE SA</x:v>
      </x:c>
      <x:c r="C81" s="16" t="n">
        <x:v>18048.8138976438</x:v>
      </x:c>
      <x:c r="D81" s="13" t="str">
        <x:v>Metals &amp; Mining</x:v>
      </x:c>
      <x:c r="E81" s="13" t="str">
        <x:v>Metals &amp; Mining</x:v>
      </x:c>
      <x:c r="F81" s="13" t="str">
        <x:v>Deep Cyclicals</x:v>
      </x:c>
      <x:c r="G81" s="13" t="str">
        <x:v>grid_wekqfxnd.xlsx</x:v>
      </x:c>
    </x:row>
    <x:row r="82">
      <x:c r="A82" s="15" t="n">
        <x:v>40210</x:v>
      </x:c>
      <x:c r="B82" s="13" t="str">
        <x:v>BRASKEM SA-PREF A</x:v>
      </x:c>
      <x:c r="C82" s="16" t="n">
        <x:v>205.4261108603</x:v>
      </x:c>
      <x:c r="D82" s="13" t="str">
        <x:v>Oil, Gas &amp; Petrochemicals</x:v>
      </x:c>
      <x:c r="E82" s="13" t="str">
        <x:v>Oil, Gas &amp; Petrochemicals</x:v>
      </x:c>
      <x:c r="F82" s="13" t="str">
        <x:v>Deep Cyclicals</x:v>
      </x:c>
      <x:c r="G82" s="13" t="str">
        <x:v>grid_wekqfxnd.xlsx</x:v>
      </x:c>
    </x:row>
    <x:row r="83">
      <x:c r="A83" s="15" t="n">
        <x:v>40210</x:v>
      </x:c>
      <x:c r="B83" s="13" t="str">
        <x:v>COSAN SA</x:v>
      </x:c>
      <x:c r="C83" s="16" t="n">
        <x:v>1067.0575342466</x:v>
      </x:c>
      <x:c r="D83" s="13" t="str">
        <x:v>Oil, Gas &amp; Petrochemicals</x:v>
      </x:c>
      <x:c r="E83" s="13" t="str">
        <x:v>Oil, Gas &amp; Petrochemicals</x:v>
      </x:c>
      <x:c r="F83" s="13" t="str">
        <x:v>Deep Cyclicals</x:v>
      </x:c>
      <x:c r="G83" s="13" t="str">
        <x:v>grid_wekqfxnd.xlsx</x:v>
      </x:c>
    </x:row>
    <x:row r="84">
      <x:c r="A84" s="15" t="n">
        <x:v>40210</x:v>
      </x:c>
      <x:c r="B84" s="13" t="str">
        <x:v>OLEO E GAS PARTICIPACOES SA</x:v>
      </x:c>
      <x:c r="C84" s="16" t="n">
        <x:v>221.1532316055</x:v>
      </x:c>
      <x:c r="D84" s="13" t="str">
        <x:v>Oil, Gas &amp; Petrochemicals</x:v>
      </x:c>
      <x:c r="E84" s="13" t="str">
        <x:v>Oil, Gas &amp; Petrochemicals</x:v>
      </x:c>
      <x:c r="F84" s="13" t="str">
        <x:v>Deep Cyclicals</x:v>
      </x:c>
      <x:c r="G84" s="13" t="str">
        <x:v>grid_wekqfxnd.xlsx</x:v>
      </x:c>
    </x:row>
    <x:row r="85">
      <x:c r="A85" s="15" t="n">
        <x:v>40210</x:v>
      </x:c>
      <x:c r="B85" s="13" t="str">
        <x:v>PETROBRAS - PETROLEO BRAS</x:v>
      </x:c>
      <x:c r="C85" s="16" t="n">
        <x:v>29840.4618688877</x:v>
      </x:c>
      <x:c r="D85" s="13" t="str">
        <x:v>Oil, Gas &amp; Petrochemicals</x:v>
      </x:c>
      <x:c r="E85" s="13" t="str">
        <x:v>Oil, Gas &amp; Petrochemicals</x:v>
      </x:c>
      <x:c r="F85" s="13" t="str">
        <x:v>Deep Cyclicals</x:v>
      </x:c>
      <x:c r="G85" s="13" t="str">
        <x:v>grid_wekqfxnd.xlsx</x:v>
      </x:c>
    </x:row>
    <x:row r="86">
      <x:c r="A86" s="15" t="n">
        <x:v>40210</x:v>
      </x:c>
      <x:c r="B86" s="13" t="str">
        <x:v>ULTRAPAR PARTICIPACOES-PREF</x:v>
      </x:c>
      <x:c r="C86" s="16" t="n">
        <x:v>683.3711845699</x:v>
      </x:c>
      <x:c r="D86" s="13" t="str">
        <x:v>Oil, Gas &amp; Petrochemicals</x:v>
      </x:c>
      <x:c r="E86" s="13" t="str">
        <x:v>Oil, Gas &amp; Petrochemicals</x:v>
      </x:c>
      <x:c r="F86" s="13" t="str">
        <x:v>Deep Cyclicals</x:v>
      </x:c>
      <x:c r="G86" s="13" t="str">
        <x:v>grid_wekqfxnd.xlsx</x:v>
      </x:c>
    </x:row>
    <x:row r="87">
      <x:c r="A87" s="15" t="n">
        <x:v>40210</x:v>
      </x:c>
      <x:c r="B87" s="13" t="str">
        <x:v>DEXCO SA</x:v>
      </x:c>
      <x:c r="C87" s="16" t="n">
        <x:v>377.6362425863</x:v>
      </x:c>
      <x:c r="D87" s="13" t="str">
        <x:v>Pulp &amp; Paper</x:v>
      </x:c>
      <x:c r="E87" s="13" t="str">
        <x:v>Pulp &amp; Paper</x:v>
      </x:c>
      <x:c r="F87" s="13" t="str">
        <x:v>Deep Cyclicals</x:v>
      </x:c>
      <x:c r="G87" s="13" t="str">
        <x:v>grid_wekqfxnd.xlsx</x:v>
      </x:c>
    </x:row>
    <x:row r="88">
      <x:c r="A88" s="15" t="n">
        <x:v>40210</x:v>
      </x:c>
      <x:c r="B88" s="13" t="str">
        <x:v>FIBRIA CELULOSE S/A</x:v>
      </x:c>
      <x:c r="C88" s="16" t="n">
        <x:v>919.9355928548</x:v>
      </x:c>
      <x:c r="D88" s="13" t="str">
        <x:v>Pulp &amp; Paper</x:v>
      </x:c>
      <x:c r="E88" s="13" t="str">
        <x:v>Pulp &amp; Paper</x:v>
      </x:c>
      <x:c r="F88" s="13" t="str">
        <x:v>Deep Cyclicals</x:v>
      </x:c>
      <x:c r="G88" s="13" t="str">
        <x:v>grid_wekqfxnd.xlsx</x:v>
      </x:c>
    </x:row>
    <x:row r="89">
      <x:c r="A89" s="15" t="n">
        <x:v>40210</x:v>
      </x:c>
      <x:c r="B89" s="13" t="str">
        <x:v>AMERICANAS SA</x:v>
      </x:c>
      <x:c r="C89" s="16" t="n">
        <x:v>154.623746674</x:v>
      </x:c>
      <x:c r="D89" s="13" t="str">
        <x:v>Retail</x:v>
      </x:c>
      <x:c r="E89" s="13" t="str">
        <x:v>Retail</x:v>
      </x:c>
      <x:c r="F89" s="13" t="str">
        <x:v>Early Cyclicals</x:v>
      </x:c>
      <x:c r="G89" s="13" t="str">
        <x:v>grid_wekqfxnd.xlsx</x:v>
      </x:c>
    </x:row>
    <x:row r="90">
      <x:c r="A90" s="15" t="n">
        <x:v>40210</x:v>
      </x:c>
      <x:c r="B90" s="13" t="str">
        <x:v>CIA BRASILEIRA DE DIS-PREF</x:v>
      </x:c>
      <x:c r="C90" s="16" t="n">
        <x:v>724.3089751671</x:v>
      </x:c>
      <x:c r="D90" s="13" t="str">
        <x:v>Retail</x:v>
      </x:c>
      <x:c r="E90" s="13" t="str">
        <x:v>Retail</x:v>
      </x:c>
      <x:c r="F90" s="13" t="str">
        <x:v>Early Cyclicals</x:v>
      </x:c>
      <x:c r="G90" s="13" t="str">
        <x:v>grid_wekqfxnd.xlsx</x:v>
      </x:c>
    </x:row>
    <x:row r="91">
      <x:c r="A91" s="15" t="n">
        <x:v>40210</x:v>
      </x:c>
      <x:c r="B91" s="13" t="str">
        <x:v>LOJAS AMERICANAS SA-PREF</x:v>
      </x:c>
      <x:c r="C91" s="16" t="n">
        <x:v>266.7653369863</x:v>
      </x:c>
      <x:c r="D91" s="13" t="str">
        <x:v>Retail</x:v>
      </x:c>
      <x:c r="E91" s="13" t="str">
        <x:v>Retail</x:v>
      </x:c>
      <x:c r="F91" s="13" t="str">
        <x:v>Early Cyclicals</x:v>
      </x:c>
      <x:c r="G91" s="13" t="str">
        <x:v>grid_wekqfxnd.xlsx</x:v>
      </x:c>
    </x:row>
    <x:row r="92">
      <x:c r="A92" s="15" t="n">
        <x:v>40210</x:v>
      </x:c>
      <x:c r="B92" s="13" t="str">
        <x:v>LOJAS RENNER S.A.</x:v>
      </x:c>
      <x:c r="C92" s="16" t="n">
        <x:v>232.1571975014</x:v>
      </x:c>
      <x:c r="D92" s="13" t="str">
        <x:v>Retail</x:v>
      </x:c>
      <x:c r="E92" s="13" t="str">
        <x:v>Retail</x:v>
      </x:c>
      <x:c r="F92" s="13" t="str">
        <x:v>Early Cyclicals</x:v>
      </x:c>
      <x:c r="G92" s="13" t="str">
        <x:v>grid_wekqfxnd.xlsx</x:v>
      </x:c>
    </x:row>
    <x:row r="93">
      <x:c r="A93" s="15" t="n">
        <x:v>40210</x:v>
      </x:c>
      <x:c r="B93" s="13" t="str">
        <x:v>NATURA COSMETICOS SA</x:v>
      </x:c>
      <x:c r="C93" s="16" t="n">
        <x:v>763.9132209096</x:v>
      </x:c>
      <x:c r="D93" s="13" t="str">
        <x:v>Retail</x:v>
      </x:c>
      <x:c r="E93" s="13" t="str">
        <x:v>Retail</x:v>
      </x:c>
      <x:c r="F93" s="13" t="str">
        <x:v>Early Cyclicals</x:v>
      </x:c>
      <x:c r="G93" s="13" t="str">
        <x:v>grid_wekqfxnd.xlsx</x:v>
      </x:c>
    </x:row>
    <x:row r="94">
      <x:c r="A94" s="15" t="n">
        <x:v>40210</x:v>
      </x:c>
      <x:c r="B94" s="13" t="str">
        <x:v>CIA SANEAMENTO BASICO DE SP</x:v>
      </x:c>
      <x:c r="C94" s="16" t="n">
        <x:v>1200.0120817973</x:v>
      </x:c>
      <x:c r="D94" s="13" t="str">
        <x:v>Sanitation</x:v>
      </x:c>
      <x:c r="E94" s="13" t="str">
        <x:v>Utilities</x:v>
      </x:c>
      <x:c r="F94" s="13" t="str">
        <x:v>Defensives</x:v>
      </x:c>
      <x:c r="G94" s="13" t="str">
        <x:v>grid_wekqfxnd.xlsx</x:v>
      </x:c>
    </x:row>
    <x:row r="95">
      <x:c r="A95" s="15" t="n">
        <x:v>40210</x:v>
      </x:c>
      <x:c r="B95" s="13" t="str">
        <x:v>NET SERVICOS DE COMUNI-PREF</x:v>
      </x:c>
      <x:c r="C95" s="16" t="n">
        <x:v>542.7374455233</x:v>
      </x:c>
      <x:c r="D95" s="13" t="str">
        <x:v>TMT</x:v>
      </x:c>
      <x:c r="E95" s="13" t="str">
        <x:v>TMT</x:v>
      </x:c>
      <x:c r="F95" s="13" t="str">
        <x:v>Early Cyclicals</x:v>
      </x:c>
      <x:c r="G95" s="13" t="str">
        <x:v>grid_wekqfxnd.xlsx</x:v>
      </x:c>
    </x:row>
    <x:row r="96">
      <x:c r="A96" s="15" t="n">
        <x:v>40210</x:v>
      </x:c>
      <x:c r="B96" s="13" t="str">
        <x:v>TELE NORTE LESTE PART</x:v>
      </x:c>
      <x:c r="C96" s="16" t="n">
        <x:v>1305.8176459397</x:v>
      </x:c>
      <x:c r="D96" s="13" t="str">
        <x:v>TMT</x:v>
      </x:c>
      <x:c r="E96" s="13" t="str">
        <x:v>TMT</x:v>
      </x:c>
      <x:c r="F96" s="13" t="str">
        <x:v>Early Cyclicals</x:v>
      </x:c>
      <x:c r="G96" s="13" t="str">
        <x:v>grid_wekqfxnd.xlsx</x:v>
      </x:c>
    </x:row>
    <x:row r="97">
      <x:c r="A97" s="15" t="n">
        <x:v>40210</x:v>
      </x:c>
      <x:c r="B97" s="13" t="str">
        <x:v>TELEFONICA BRASIL S.A.-PREF</x:v>
      </x:c>
      <x:c r="C97" s="16" t="n">
        <x:v>2346.0671873753</x:v>
      </x:c>
      <x:c r="D97" s="13" t="str">
        <x:v>TMT</x:v>
      </x:c>
      <x:c r="E97" s="13" t="str">
        <x:v>TMT</x:v>
      </x:c>
      <x:c r="F97" s="13" t="str">
        <x:v>Early Cyclicals</x:v>
      </x:c>
      <x:c r="G97" s="13" t="str">
        <x:v>grid_wekqfxnd.xlsx</x:v>
      </x:c>
    </x:row>
    <x:row r="98">
      <x:c r="A98" s="15" t="n">
        <x:v>40210</x:v>
      </x:c>
      <x:c r="B98" s="13" t="str">
        <x:v>TELEMAR NORTE LESTE SA</x:v>
      </x:c>
      <x:c r="C98" s="16" t="n">
        <x:v>1582.1008219178</x:v>
      </x:c>
      <x:c r="D98" s="13" t="str">
        <x:v>TMT</x:v>
      </x:c>
      <x:c r="E98" s="13" t="str">
        <x:v>TMT</x:v>
      </x:c>
      <x:c r="F98" s="13" t="str">
        <x:v>Early Cyclicals</x:v>
      </x:c>
      <x:c r="G98" s="13" t="str">
        <x:v>grid_wekqfxnd.xlsx</x:v>
      </x:c>
    </x:row>
    <x:row r="99">
      <x:c r="A99" s="15" t="n">
        <x:v>40210</x:v>
      </x:c>
      <x:c r="B99" s="13" t="str">
        <x:v>TIM PARTICIPACOES SA-PREF</x:v>
      </x:c>
      <x:c r="C99" s="16" t="n">
        <x:v>511.1304819726</x:v>
      </x:c>
      <x:c r="D99" s="13" t="str">
        <x:v>TMT</x:v>
      </x:c>
      <x:c r="E99" s="13" t="str">
        <x:v>TMT</x:v>
      </x:c>
      <x:c r="F99" s="13" t="str">
        <x:v>Early Cyclicals</x:v>
      </x:c>
      <x:c r="G99" s="13" t="str">
        <x:v>grid_wekqfxnd.xlsx</x:v>
      </x:c>
    </x:row>
    <x:row r="100">
      <x:c r="A100" s="15" t="n">
        <x:v>40210</x:v>
      </x:c>
      <x:c r="B100" s="13" t="str">
        <x:v>TIM SA</x:v>
      </x:c>
      <x:c r="C100" s="16" t="n">
        <x:v>511.1304819726</x:v>
      </x:c>
      <x:c r="D100" s="13" t="str">
        <x:v>TMT</x:v>
      </x:c>
      <x:c r="E100" s="13" t="str">
        <x:v>TMT</x:v>
      </x:c>
      <x:c r="F100" s="13" t="str">
        <x:v>Early Cyclicals</x:v>
      </x:c>
      <x:c r="G100" s="13" t="str">
        <x:v>grid_wekqfxnd.xlsx</x:v>
      </x:c>
    </x:row>
    <x:row r="101">
      <x:c r="A101" s="15" t="n">
        <x:v>40210</x:v>
      </x:c>
      <x:c r="B101" s="13" t="str">
        <x:v>VIVO PARTICIPACOES SA-PREF</x:v>
      </x:c>
      <x:c r="C101" s="16" t="n">
        <x:v>1536.4218487233</x:v>
      </x:c>
      <x:c r="D101" s="13" t="str">
        <x:v>TMT</x:v>
      </x:c>
      <x:c r="E101" s="13" t="str">
        <x:v>TMT</x:v>
      </x:c>
      <x:c r="F101" s="13" t="str">
        <x:v>Early Cyclicals</x:v>
      </x:c>
      <x:c r="G101" s="13" t="str">
        <x:v>grid_wekqfxnd.xlsx</x:v>
      </x:c>
    </x:row>
    <x:row r="102">
      <x:c r="A102" s="15" t="n">
        <x:v>40210</x:v>
      </x:c>
      <x:c r="B102" s="13" t="str">
        <x:v>ALL AMERICA LATINA LOGISTICA</x:v>
      </x:c>
      <x:c r="C102" s="16" t="n">
        <x:v>277.4793987507</x:v>
      </x:c>
      <x:c r="D102" s="13" t="str">
        <x:v>Transportation</x:v>
      </x:c>
      <x:c r="E102" s="13" t="str">
        <x:v>Transportation</x:v>
      </x:c>
      <x:c r="F102" s="13" t="str">
        <x:v>Deep Cyclicals</x:v>
      </x:c>
      <x:c r="G102" s="13" t="str">
        <x:v>grid_wekqfxnd.xlsx</x:v>
      </x:c>
    </x:row>
    <x:row r="103">
      <x:c r="A103" s="15" t="n">
        <x:v>40210</x:v>
      </x:c>
      <x:c r="B103" s="13" t="str">
        <x:v>GOL LINHAS AEREAS INT SA-PRE</x:v>
      </x:c>
      <x:c r="C103" s="16" t="n">
        <x:v>497.8109056</x:v>
      </x:c>
      <x:c r="D103" s="13" t="str">
        <x:v>Transportation</x:v>
      </x:c>
      <x:c r="E103" s="13" t="str">
        <x:v>Transportation</x:v>
      </x:c>
      <x:c r="F103" s="13" t="str">
        <x:v>Deep Cyclicals</x:v>
      </x:c>
      <x:c r="G103" s="13" t="str">
        <x:v>grid_wekqfxnd.xlsx</x:v>
      </x:c>
    </x:row>
    <x:row r="104">
      <x:c r="A104" s="15" t="n">
        <x:v>40210</x:v>
      </x:c>
      <x:c r="B104" s="13" t="str">
        <x:v>MOTIVA INFRAESTRUTURA DE MOB</x:v>
      </x:c>
      <x:c r="C104" s="16" t="n">
        <x:v>940.2135983342</x:v>
      </x:c>
      <x:c r="D104" s="13" t="str">
        <x:v>Transportation</x:v>
      </x:c>
      <x:c r="E104" s="13" t="str">
        <x:v>Transportation</x:v>
      </x:c>
      <x:c r="F104" s="13" t="str">
        <x:v>Deep Cyclicals</x:v>
      </x:c>
      <x:c r="G104" s="13" t="str">
        <x:v>grid_wekqfxnd.xlsx</x:v>
      </x:c>
    </x:row>
    <x:row r="105">
      <x:c r="A105" s="15" t="n">
        <x:v>40210</x:v>
      </x:c>
      <x:c r="B105" s="13" t="str">
        <x:v>PRUMO LOGISTICA SA</x:v>
      </x:c>
      <x:c r="C105" s="16" t="n">
        <x:v>-132.0301369863</x:v>
      </x:c>
      <x:c r="D105" s="13" t="str">
        <x:v>Transportation</x:v>
      </x:c>
      <x:c r="E105" s="13" t="str">
        <x:v>Transportation</x:v>
      </x:c>
      <x:c r="F105" s="13" t="str">
        <x:v>Deep Cyclicals</x:v>
      </x:c>
      <x:c r="G105" s="13" t="str">
        <x:v>grid_wekqfxnd.xlsx</x:v>
      </x:c>
    </x:row>
    <x:row r="106">
      <x:c r="A106" s="15" t="n">
        <x:v>40210</x:v>
      </x:c>
      <x:c r="B106" s="13" t="str">
        <x:v>TAM SA-PREF</x:v>
      </x:c>
      <x:c r="C106" s="16" t="n">
        <x:v>308.2635616438</x:v>
      </x:c>
      <x:c r="D106" s="13" t="str">
        <x:v>Transportation</x:v>
      </x:c>
      <x:c r="E106" s="13" t="str">
        <x:v>Transportation</x:v>
      </x:c>
      <x:c r="F106" s="13" t="str">
        <x:v>Deep Cyclicals</x:v>
      </x:c>
      <x:c r="G106" s="13" t="str">
        <x:v>grid_wekqfxnd.xlsx</x:v>
      </x:c>
    </x:row>
    <x:row r="107">
      <x:c r="A107" s="15" t="n">
        <x:v>40210</x:v>
      </x:c>
      <x:c r="B107" s="13" t="str">
        <x:v>AXIA ENERGIA SA</x:v>
      </x:c>
      <x:c r="C107" s="16" t="n">
        <x:v>2693.3695698411</x:v>
      </x:c>
      <x:c r="D107" s="13" t="str">
        <x:v>Utilities &amp; Energy</x:v>
      </x:c>
      <x:c r="E107" s="13" t="str">
        <x:v>Utilities</x:v>
      </x:c>
      <x:c r="F107" s="13" t="str">
        <x:v>Defensives</x:v>
      </x:c>
      <x:c r="G107" s="13" t="str">
        <x:v>grid_wekqfxnd.xlsx</x:v>
      </x:c>
    </x:row>
    <x:row r="108">
      <x:c r="A108" s="15" t="n">
        <x:v>40210</x:v>
      </x:c>
      <x:c r="B108" s="13" t="str">
        <x:v>AXIA ENERGIA-PR B</x:v>
      </x:c>
      <x:c r="C108" s="16" t="n">
        <x:v>2693.3695698411</x:v>
      </x:c>
      <x:c r="D108" s="13" t="str">
        <x:v>Utilities &amp; Energy</x:v>
      </x:c>
      <x:c r="E108" s="13" t="str">
        <x:v>Utilities</x:v>
      </x:c>
      <x:c r="F108" s="13" t="str">
        <x:v>Defensives</x:v>
      </x:c>
      <x:c r="G108" s="13" t="str">
        <x:v>grid_wekqfxnd.xlsx</x:v>
      </x:c>
    </x:row>
    <x:row r="109">
      <x:c r="A109" s="15" t="n">
        <x:v>40210</x:v>
      </x:c>
      <x:c r="B109" s="13" t="str">
        <x:v>CESP - CIA ENERGETICA DE SAO</x:v>
      </x:c>
      <x:c r="C109" s="16" t="n">
        <x:v>644.6529250192</x:v>
      </x:c>
      <x:c r="D109" s="13" t="str">
        <x:v>Utilities &amp; Energy</x:v>
      </x:c>
      <x:c r="E109" s="13" t="str">
        <x:v>Utilities</x:v>
      </x:c>
      <x:c r="F109" s="13" t="str">
        <x:v>Defensives</x:v>
      </x:c>
      <x:c r="G109" s="13" t="str">
        <x:v>grid_wekqfxnd.xlsx</x:v>
      </x:c>
    </x:row>
    <x:row r="110">
      <x:c r="A110" s="15" t="n">
        <x:v>40210</x:v>
      </x:c>
      <x:c r="B110" s="13" t="str">
        <x:v>CIA ENERGETICA MINAS GER-PRF</x:v>
      </x:c>
      <x:c r="C110" s="16" t="n">
        <x:v>2104.030194674</x:v>
      </x:c>
      <x:c r="D110" s="13" t="str">
        <x:v>Utilities &amp; Energy</x:v>
      </x:c>
      <x:c r="E110" s="13" t="str">
        <x:v>Utilities</x:v>
      </x:c>
      <x:c r="F110" s="13" t="str">
        <x:v>Defensives</x:v>
      </x:c>
      <x:c r="G110" s="13" t="str">
        <x:v>grid_wekqfxnd.xlsx</x:v>
      </x:c>
    </x:row>
    <x:row r="111">
      <x:c r="A111" s="15" t="n">
        <x:v>40210</x:v>
      </x:c>
      <x:c r="B111" s="13" t="str">
        <x:v>COMPANHIA PARANAENSE -PREF B</x:v>
      </x:c>
      <x:c r="C111" s="16" t="n">
        <x:v>1042.3461533808</x:v>
      </x:c>
      <x:c r="D111" s="13" t="str">
        <x:v>Utilities &amp; Energy</x:v>
      </x:c>
      <x:c r="E111" s="13" t="str">
        <x:v>Utilities</x:v>
      </x:c>
      <x:c r="F111" s="13" t="str">
        <x:v>Defensives</x:v>
      </x:c>
      <x:c r="G111" s="13" t="str">
        <x:v>grid_wekqfxnd.xlsx</x:v>
      </x:c>
    </x:row>
    <x:row r="112">
      <x:c r="A112" s="15" t="n">
        <x:v>40210</x:v>
      </x:c>
      <x:c r="B112" s="13" t="str">
        <x:v>CPFL ENERGIA SA</x:v>
      </x:c>
      <x:c r="C112" s="16" t="n">
        <x:v>1476.4767856219</x:v>
      </x:c>
      <x:c r="D112" s="13" t="str">
        <x:v>Utilities &amp; Energy</x:v>
      </x:c>
      <x:c r="E112" s="13" t="str">
        <x:v>Utilities</x:v>
      </x:c>
      <x:c r="F112" s="13" t="str">
        <x:v>Defensives</x:v>
      </x:c>
      <x:c r="G112" s="13" t="str">
        <x:v>grid_wekqfxnd.xlsx</x:v>
      </x:c>
    </x:row>
    <x:row r="113">
      <x:c r="A113" s="15" t="n">
        <x:v>40210</x:v>
      </x:c>
      <x:c r="B113" s="13" t="str">
        <x:v>ISA ENERGIA BRASIL SA</x:v>
      </x:c>
      <x:c r="C113" s="16" t="n">
        <x:v>847.1985849863</x:v>
      </x:c>
      <x:c r="D113" s="13" t="str">
        <x:v>Utilities &amp; Energy</x:v>
      </x:c>
      <x:c r="E113" s="13" t="str">
        <x:v>Utilities</x:v>
      </x:c>
      <x:c r="F113" s="13" t="str">
        <x:v>Defensives</x:v>
      </x:c>
      <x:c r="G113" s="13" t="str">
        <x:v>grid_wekqfxnd.xlsx</x:v>
      </x:c>
    </x:row>
    <x:row r="114">
      <x:c r="A114" s="15" t="n">
        <x:v>40210</x:v>
      </x:c>
      <x:c r="B114" s="13" t="str">
        <x:v>LIGHT SA</x:v>
      </x:c>
      <x:c r="C114" s="16" t="n">
        <x:v>557.5422623562</x:v>
      </x:c>
      <x:c r="D114" s="13" t="str">
        <x:v>Utilities &amp; Energy</x:v>
      </x:c>
      <x:c r="E114" s="13" t="str">
        <x:v>Utilities</x:v>
      </x:c>
      <x:c r="F114" s="13" t="str">
        <x:v>Defensives</x:v>
      </x:c>
      <x:c r="G114" s="13" t="str">
        <x:v>grid_wekqfxnd.xlsx</x:v>
      </x:c>
    </x:row>
    <x:row r="115">
      <x:c r="A115" s="15" t="n">
        <x:v>40238</x:v>
      </x:c>
      <x:c r="B115" s="13" t="str">
        <x:v>BANCO BRADESCO SA-PREF</x:v>
      </x:c>
      <x:c r="C115" s="16" t="n">
        <x:v>9469.7601613151</x:v>
      </x:c>
      <x:c r="D115" s="13" t="str">
        <x:v>Banks</x:v>
      </x:c>
      <x:c r="E115" s="13" t="str">
        <x:v>Banks</x:v>
      </x:c>
      <x:c r="F115" s="13" t="str">
        <x:v>Financials</x:v>
      </x:c>
      <x:c r="G115" s="13" t="str">
        <x:v>grid_wekqfxnd.xlsx</x:v>
      </x:c>
    </x:row>
    <x:row r="116">
      <x:c r="A116" s="15" t="n">
        <x:v>40238</x:v>
      </x:c>
      <x:c r="B116" s="13" t="str">
        <x:v>BANCO DO BRASIL S.A.</x:v>
      </x:c>
      <x:c r="C116" s="16" t="n">
        <x:v>8505.4838882192</x:v>
      </x:c>
      <x:c r="D116" s="13" t="str">
        <x:v>Banks</x:v>
      </x:c>
      <x:c r="E116" s="13" t="str">
        <x:v>Banks</x:v>
      </x:c>
      <x:c r="F116" s="13" t="str">
        <x:v>Financials</x:v>
      </x:c>
      <x:c r="G116" s="13" t="str">
        <x:v>grid_wekqfxnd.xlsx</x:v>
      </x:c>
    </x:row>
    <x:row r="117">
      <x:c r="A117" s="15" t="n">
        <x:v>40238</x:v>
      </x:c>
      <x:c r="B117" s="13" t="str">
        <x:v>ITAU UNIBANCO HOLDING S-PREF</x:v>
      </x:c>
      <x:c r="C117" s="16" t="n">
        <x:v>13325.3401109041</x:v>
      </x:c>
      <x:c r="D117" s="13" t="str">
        <x:v>Banks</x:v>
      </x:c>
      <x:c r="E117" s="13" t="str">
        <x:v>Banks</x:v>
      </x:c>
      <x:c r="F117" s="13" t="str">
        <x:v>Financials</x:v>
      </x:c>
      <x:c r="G117" s="13" t="str">
        <x:v>grid_wekqfxnd.xlsx</x:v>
      </x:c>
    </x:row>
    <x:row r="118">
      <x:c r="A118" s="15" t="n">
        <x:v>40238</x:v>
      </x:c>
      <x:c r="B118" s="13" t="str">
        <x:v>EMBRAER SA</x:v>
      </x:c>
      <x:c r="C118" s="16" t="n">
        <x:v>430.7729529863</x:v>
      </x:c>
      <x:c r="D118" s="13" t="str">
        <x:v>Capital Goods</x:v>
      </x:c>
      <x:c r="E118" s="13" t="str">
        <x:v>Capital Goods</x:v>
      </x:c>
      <x:c r="F118" s="13" t="str">
        <x:v>Deep Cyclicals</x:v>
      </x:c>
      <x:c r="G118" s="13" t="str">
        <x:v>grid_wekqfxnd.xlsx</x:v>
      </x:c>
    </x:row>
    <x:row r="119">
      <x:c r="A119" s="15" t="n">
        <x:v>40238</x:v>
      </x:c>
      <x:c r="B119" s="13" t="str">
        <x:v>B3 SA-BRASIL BOLSA BALCAO</x:v>
      </x:c>
      <x:c r="C119" s="16" t="n">
        <x:v>1482.0328924932</x:v>
      </x:c>
      <x:c r="D119" s="13" t="str">
        <x:v>Financials Non-Banks</x:v>
      </x:c>
      <x:c r="E119" s="13" t="str">
        <x:v>Financials Non-Banks</x:v>
      </x:c>
      <x:c r="F119" s="13" t="str">
        <x:v>Financials</x:v>
      </x:c>
      <x:c r="G119" s="13" t="str">
        <x:v>grid_wekqfxnd.xlsx</x:v>
      </x:c>
    </x:row>
    <x:row r="120">
      <x:c r="A120" s="15" t="n">
        <x:v>40238</x:v>
      </x:c>
      <x:c r="B120" s="13" t="str">
        <x:v>ITAUSA SA</x:v>
      </x:c>
      <x:c r="C120" s="16" t="n">
        <x:v>5387.3815355616</x:v>
      </x:c>
      <x:c r="D120" s="13" t="str">
        <x:v>Financials Non-Banks</x:v>
      </x:c>
      <x:c r="E120" s="13" t="str">
        <x:v>Financials Non-Banks</x:v>
      </x:c>
      <x:c r="F120" s="13" t="str">
        <x:v>Financials</x:v>
      </x:c>
      <x:c r="G120" s="13" t="str">
        <x:v>grid_wekqfxnd.xlsx</x:v>
      </x:c>
    </x:row>
    <x:row r="121">
      <x:c r="A121" s="15" t="n">
        <x:v>40238</x:v>
      </x:c>
      <x:c r="B121" s="13" t="str">
        <x:v>REDECARD INSTITUICAO DE PAGA</x:v>
      </x:c>
      <x:c r="C121" s="16" t="n">
        <x:v>1507.8081788493</x:v>
      </x:c>
      <x:c r="D121" s="13" t="str">
        <x:v>Financials Non-Banks</x:v>
      </x:c>
      <x:c r="E121" s="13" t="str">
        <x:v>Financials Non-Banks</x:v>
      </x:c>
      <x:c r="F121" s="13" t="str">
        <x:v>Financials</x:v>
      </x:c>
      <x:c r="G121" s="13" t="str">
        <x:v>grid_wekqfxnd.xlsx</x:v>
      </x:c>
    </x:row>
    <x:row r="122">
      <x:c r="A122" s="15" t="n">
        <x:v>40238</x:v>
      </x:c>
      <x:c r="B122" s="13" t="str">
        <x:v>AMBEV SA</x:v>
      </x:c>
      <x:c r="C122" s="16" t="n">
        <x:v>6628.6015193425</x:v>
      </x:c>
      <x:c r="D122" s="13" t="str">
        <x:v>Food &amp; Beverages</x:v>
      </x:c>
      <x:c r="E122" s="13" t="str">
        <x:v>Agri, Food &amp; Beverages</x:v>
      </x:c>
      <x:c r="F122" s="13" t="str">
        <x:v>Defensives</x:v>
      </x:c>
      <x:c r="G122" s="13" t="str">
        <x:v>grid_wekqfxnd.xlsx</x:v>
      </x:c>
    </x:row>
    <x:row r="123">
      <x:c r="A123" s="15" t="n">
        <x:v>40238</x:v>
      </x:c>
      <x:c r="B123" s="13" t="str">
        <x:v>BRF SA</x:v>
      </x:c>
      <x:c r="C123" s="16" t="n">
        <x:v>767.3361016986</x:v>
      </x:c>
      <x:c r="D123" s="13" t="str">
        <x:v>Food &amp; Beverages</x:v>
      </x:c>
      <x:c r="E123" s="13" t="str">
        <x:v>Agri, Food &amp; Beverages</x:v>
      </x:c>
      <x:c r="F123" s="13" t="str">
        <x:v>Defensives</x:v>
      </x:c>
      <x:c r="G123" s="13" t="str">
        <x:v>grid_wekqfxnd.xlsx</x:v>
      </x:c>
    </x:row>
    <x:row r="124">
      <x:c r="A124" s="15" t="n">
        <x:v>40238</x:v>
      </x:c>
      <x:c r="B124" s="13" t="str">
        <x:v>SOUZA CRUZ LTDA</x:v>
      </x:c>
      <x:c r="C124" s="16" t="n">
        <x:v>1433.4746213699</x:v>
      </x:c>
      <x:c r="D124" s="13" t="str">
        <x:v>Food &amp; Beverages</x:v>
      </x:c>
      <x:c r="E124" s="13" t="str">
        <x:v>Agri, Food &amp; Beverages</x:v>
      </x:c>
      <x:c r="F124" s="13" t="str">
        <x:v>Defensives</x:v>
      </x:c>
      <x:c r="G124" s="13" t="str">
        <x:v>grid_wekqfxnd.xlsx</x:v>
      </x:c>
    </x:row>
    <x:row r="125">
      <x:c r="A125" s="15" t="n">
        <x:v>40238</x:v>
      </x:c>
      <x:c r="B125" s="13" t="str">
        <x:v>CYRELA BRAZIL REALTY SA EMP</x:v>
      </x:c>
      <x:c r="C125" s="16" t="n">
        <x:v>836.1684427397</x:v>
      </x:c>
      <x:c r="D125" s="13" t="str">
        <x:v>Homebuilders</x:v>
      </x:c>
      <x:c r="E125" s="13" t="str">
        <x:v>Real Estate</x:v>
      </x:c>
      <x:c r="F125" s="13" t="str">
        <x:v>Early Cyclicals</x:v>
      </x:c>
      <x:c r="G125" s="13" t="str">
        <x:v>grid_wekqfxnd.xlsx</x:v>
      </x:c>
    </x:row>
    <x:row r="126">
      <x:c r="A126" s="15" t="n">
        <x:v>40238</x:v>
      </x:c>
      <x:c r="B126" s="13" t="str">
        <x:v>GAFISA SA</x:v>
      </x:c>
      <x:c r="C126" s="16" t="n">
        <x:v>432.1008276164</x:v>
      </x:c>
      <x:c r="D126" s="13" t="str">
        <x:v>Homebuilders</x:v>
      </x:c>
      <x:c r="E126" s="13" t="str">
        <x:v>Real Estate</x:v>
      </x:c>
      <x:c r="F126" s="13" t="str">
        <x:v>Early Cyclicals</x:v>
      </x:c>
      <x:c r="G126" s="13" t="str">
        <x:v>grid_wekqfxnd.xlsx</x:v>
      </x:c>
    </x:row>
    <x:row r="127">
      <x:c r="A127" s="15" t="n">
        <x:v>40238</x:v>
      </x:c>
      <x:c r="B127" s="13" t="str">
        <x:v>MRV ENGENHARIA</x:v>
      </x:c>
      <x:c r="C127" s="16" t="n">
        <x:v>609.9872078904</x:v>
      </x:c>
      <x:c r="D127" s="13" t="str">
        <x:v>Homebuilders</x:v>
      </x:c>
      <x:c r="E127" s="13" t="str">
        <x:v>Real Estate</x:v>
      </x:c>
      <x:c r="F127" s="13" t="str">
        <x:v>Early Cyclicals</x:v>
      </x:c>
      <x:c r="G127" s="13" t="str">
        <x:v>grid_wekqfxnd.xlsx</x:v>
      </x:c>
    </x:row>
    <x:row r="128">
      <x:c r="A128" s="15" t="n">
        <x:v>40238</x:v>
      </x:c>
      <x:c r="B128" s="13" t="str">
        <x:v>PDG REALTY SA</x:v>
      </x:c>
      <x:c r="C128" s="16" t="n">
        <x:v>663.9263438904</x:v>
      </x:c>
      <x:c r="D128" s="13" t="str">
        <x:v>Homebuilders</x:v>
      </x:c>
      <x:c r="E128" s="13" t="str">
        <x:v>Real Estate</x:v>
      </x:c>
      <x:c r="F128" s="13" t="str">
        <x:v>Early Cyclicals</x:v>
      </x:c>
      <x:c r="G128" s="13" t="str">
        <x:v>grid_wekqfxnd.xlsx</x:v>
      </x:c>
    </x:row>
    <x:row r="129">
      <x:c r="A129" s="15" t="n">
        <x:v>40238</x:v>
      </x:c>
      <x:c r="B129" s="13" t="str">
        <x:v>ROSSI RESIDENCIAL SA</x:v>
      </x:c>
      <x:c r="C129" s="16" t="n">
        <x:v>430.4315029041</x:v>
      </x:c>
      <x:c r="D129" s="13" t="str">
        <x:v>Homebuilders</x:v>
      </x:c>
      <x:c r="E129" s="13" t="str">
        <x:v>Real Estate</x:v>
      </x:c>
      <x:c r="F129" s="13" t="str">
        <x:v>Early Cyclicals</x:v>
      </x:c>
      <x:c r="G129" s="13" t="str">
        <x:v>grid_wekqfxnd.xlsx</x:v>
      </x:c>
    </x:row>
    <x:row r="130">
      <x:c r="A130" s="15" t="n">
        <x:v>40238</x:v>
      </x:c>
      <x:c r="B130" s="13" t="str">
        <x:v>CIA SIDERURGICA NACIONAL SA</x:v>
      </x:c>
      <x:c r="C130" s="16" t="n">
        <x:v>3687.6785166027</x:v>
      </x:c>
      <x:c r="D130" s="13" t="str">
        <x:v>Metals &amp; Mining</x:v>
      </x:c>
      <x:c r="E130" s="13" t="str">
        <x:v>Metals &amp; Mining</x:v>
      </x:c>
      <x:c r="F130" s="13" t="str">
        <x:v>Deep Cyclicals</x:v>
      </x:c>
      <x:c r="G130" s="13" t="str">
        <x:v>grid_wekqfxnd.xlsx</x:v>
      </x:c>
    </x:row>
    <x:row r="131">
      <x:c r="A131" s="15" t="n">
        <x:v>40238</x:v>
      </x:c>
      <x:c r="B131" s="13" t="str">
        <x:v>GERDAU SA-PREF</x:v>
      </x:c>
      <x:c r="C131" s="16" t="n">
        <x:v>2860.5602016438</x:v>
      </x:c>
      <x:c r="D131" s="13" t="str">
        <x:v>Metals &amp; Mining</x:v>
      </x:c>
      <x:c r="E131" s="13" t="str">
        <x:v>Metals &amp; Mining</x:v>
      </x:c>
      <x:c r="F131" s="13" t="str">
        <x:v>Deep Cyclicals</x:v>
      </x:c>
      <x:c r="G131" s="13" t="str">
        <x:v>grid_wekqfxnd.xlsx</x:v>
      </x:c>
    </x:row>
    <x:row r="132">
      <x:c r="A132" s="15" t="n">
        <x:v>40238</x:v>
      </x:c>
      <x:c r="B132" s="13" t="str">
        <x:v>METALURGICA GERDAU SA-PREF</x:v>
      </x:c>
      <x:c r="C132" s="16" t="n">
        <x:v>1061.2075143014</x:v>
      </x:c>
      <x:c r="D132" s="13" t="str">
        <x:v>Metals &amp; Mining</x:v>
      </x:c>
      <x:c r="E132" s="13" t="str">
        <x:v>Metals &amp; Mining</x:v>
      </x:c>
      <x:c r="F132" s="13" t="str">
        <x:v>Deep Cyclicals</x:v>
      </x:c>
      <x:c r="G132" s="13" t="str">
        <x:v>grid_wekqfxnd.xlsx</x:v>
      </x:c>
    </x:row>
    <x:row r="133">
      <x:c r="A133" s="15" t="n">
        <x:v>40238</x:v>
      </x:c>
      <x:c r="B133" s="13" t="str">
        <x:v>MMX MINERACAO E METALICOS SA</x:v>
      </x:c>
      <x:c r="C133" s="16" t="n">
        <x:v>77.7555273973</x:v>
      </x:c>
      <x:c r="D133" s="13" t="str">
        <x:v>Metals &amp; Mining</x:v>
      </x:c>
      <x:c r="E133" s="13" t="str">
        <x:v>Metals &amp; Mining</x:v>
      </x:c>
      <x:c r="F133" s="13" t="str">
        <x:v>Deep Cyclicals</x:v>
      </x:c>
      <x:c r="G133" s="13" t="str">
        <x:v>grid_wekqfxnd.xlsx</x:v>
      </x:c>
    </x:row>
    <x:row r="134">
      <x:c r="A134" s="15" t="n">
        <x:v>40238</x:v>
      </x:c>
      <x:c r="B134" s="13" t="str">
        <x:v>USINAS SIDER MINAS GER-PF A</x:v>
      </x:c>
      <x:c r="C134" s="16" t="n">
        <x:v>2240.1232797808</x:v>
      </x:c>
      <x:c r="D134" s="13" t="str">
        <x:v>Metals &amp; Mining</x:v>
      </x:c>
      <x:c r="E134" s="13" t="str">
        <x:v>Metals &amp; Mining</x:v>
      </x:c>
      <x:c r="F134" s="13" t="str">
        <x:v>Deep Cyclicals</x:v>
      </x:c>
      <x:c r="G134" s="13" t="str">
        <x:v>grid_wekqfxnd.xlsx</x:v>
      </x:c>
    </x:row>
    <x:row r="135">
      <x:c r="A135" s="15" t="n">
        <x:v>40238</x:v>
      </x:c>
      <x:c r="B135" s="13" t="str">
        <x:v>USINAS SIDERURGICAS DE MINAS</x:v>
      </x:c>
      <x:c r="C135" s="16" t="n">
        <x:v>2240.1232797808</x:v>
      </x:c>
      <x:c r="D135" s="13" t="str">
        <x:v>Metals &amp; Mining</x:v>
      </x:c>
      <x:c r="E135" s="13" t="str">
        <x:v>Metals &amp; Mining</x:v>
      </x:c>
      <x:c r="F135" s="13" t="str">
        <x:v>Deep Cyclicals</x:v>
      </x:c>
      <x:c r="G135" s="13" t="str">
        <x:v>grid_wekqfxnd.xlsx</x:v>
      </x:c>
    </x:row>
    <x:row r="136">
      <x:c r="A136" s="15" t="n">
        <x:v>40238</x:v>
      </x:c>
      <x:c r="B136" s="13" t="str">
        <x:v>VALE SA</x:v>
      </x:c>
      <x:c r="C136" s="16" t="n">
        <x:v>23054.9591811507</x:v>
      </x:c>
      <x:c r="D136" s="13" t="str">
        <x:v>Metals &amp; Mining</x:v>
      </x:c>
      <x:c r="E136" s="13" t="str">
        <x:v>Metals &amp; Mining</x:v>
      </x:c>
      <x:c r="F136" s="13" t="str">
        <x:v>Deep Cyclicals</x:v>
      </x:c>
      <x:c r="G136" s="13" t="str">
        <x:v>grid_wekqfxnd.xlsx</x:v>
      </x:c>
    </x:row>
    <x:row r="137">
      <x:c r="A137" s="15" t="n">
        <x:v>40238</x:v>
      </x:c>
      <x:c r="B137" s="13" t="str">
        <x:v>BRASKEM SA-PREF A</x:v>
      </x:c>
      <x:c r="C137" s="16" t="n">
        <x:v>193.9246575342</x:v>
      </x:c>
      <x:c r="D137" s="13" t="str">
        <x:v>Oil, Gas &amp; Petrochemicals</x:v>
      </x:c>
      <x:c r="E137" s="13" t="str">
        <x:v>Oil, Gas &amp; Petrochemicals</x:v>
      </x:c>
      <x:c r="F137" s="13" t="str">
        <x:v>Deep Cyclicals</x:v>
      </x:c>
      <x:c r="G137" s="13" t="str">
        <x:v>grid_wekqfxnd.xlsx</x:v>
      </x:c>
    </x:row>
    <x:row r="138">
      <x:c r="A138" s="15" t="n">
        <x:v>40238</x:v>
      </x:c>
      <x:c r="B138" s="13" t="str">
        <x:v>COSAN SA</x:v>
      </x:c>
      <x:c r="C138" s="16" t="n">
        <x:v>1072.301369863</x:v>
      </x:c>
      <x:c r="D138" s="13" t="str">
        <x:v>Oil, Gas &amp; Petrochemicals</x:v>
      </x:c>
      <x:c r="E138" s="13" t="str">
        <x:v>Oil, Gas &amp; Petrochemicals</x:v>
      </x:c>
      <x:c r="F138" s="13" t="str">
        <x:v>Deep Cyclicals</x:v>
      </x:c>
      <x:c r="G138" s="13" t="str">
        <x:v>grid_wekqfxnd.xlsx</x:v>
      </x:c>
    </x:row>
    <x:row r="139">
      <x:c r="A139" s="15" t="n">
        <x:v>40238</x:v>
      </x:c>
      <x:c r="B139" s="13" t="str">
        <x:v>OLEO E GAS PARTICIPACOES SA</x:v>
      </x:c>
      <x:c r="C139" s="16" t="n">
        <x:v>225.7663013699</x:v>
      </x:c>
      <x:c r="D139" s="13" t="str">
        <x:v>Oil, Gas &amp; Petrochemicals</x:v>
      </x:c>
      <x:c r="E139" s="13" t="str">
        <x:v>Oil, Gas &amp; Petrochemicals</x:v>
      </x:c>
      <x:c r="F139" s="13" t="str">
        <x:v>Deep Cyclicals</x:v>
      </x:c>
      <x:c r="G139" s="13" t="str">
        <x:v>grid_wekqfxnd.xlsx</x:v>
      </x:c>
    </x:row>
    <x:row r="140">
      <x:c r="A140" s="15" t="n">
        <x:v>40238</x:v>
      </x:c>
      <x:c r="B140" s="13" t="str">
        <x:v>PETROBRAS - PETROLEO BRAS</x:v>
      </x:c>
      <x:c r="C140" s="16" t="n">
        <x:v>30621.3673941918</x:v>
      </x:c>
      <x:c r="D140" s="13" t="str">
        <x:v>Oil, Gas &amp; Petrochemicals</x:v>
      </x:c>
      <x:c r="E140" s="13" t="str">
        <x:v>Oil, Gas &amp; Petrochemicals</x:v>
      </x:c>
      <x:c r="F140" s="13" t="str">
        <x:v>Deep Cyclicals</x:v>
      </x:c>
      <x:c r="G140" s="13" t="str">
        <x:v>grid_wekqfxnd.xlsx</x:v>
      </x:c>
    </x:row>
    <x:row r="141">
      <x:c r="A141" s="15" t="n">
        <x:v>40238</x:v>
      </x:c>
      <x:c r="B141" s="13" t="str">
        <x:v>ULTRAPAR PARTICIPACOES-PREF</x:v>
      </x:c>
      <x:c r="C141" s="16" t="n">
        <x:v>706.1219419178</x:v>
      </x:c>
      <x:c r="D141" s="13" t="str">
        <x:v>Oil, Gas &amp; Petrochemicals</x:v>
      </x:c>
      <x:c r="E141" s="13" t="str">
        <x:v>Oil, Gas &amp; Petrochemicals</x:v>
      </x:c>
      <x:c r="F141" s="13" t="str">
        <x:v>Deep Cyclicals</x:v>
      </x:c>
      <x:c r="G141" s="13" t="str">
        <x:v>grid_wekqfxnd.xlsx</x:v>
      </x:c>
    </x:row>
    <x:row r="142">
      <x:c r="A142" s="15" t="n">
        <x:v>40238</x:v>
      </x:c>
      <x:c r="B142" s="13" t="str">
        <x:v>DEXCO SA</x:v>
      </x:c>
      <x:c r="C142" s="16" t="n">
        <x:v>397.094361863</x:v>
      </x:c>
      <x:c r="D142" s="13" t="str">
        <x:v>Pulp &amp; Paper</x:v>
      </x:c>
      <x:c r="E142" s="13" t="str">
        <x:v>Pulp &amp; Paper</x:v>
      </x:c>
      <x:c r="F142" s="13" t="str">
        <x:v>Deep Cyclicals</x:v>
      </x:c>
      <x:c r="G142" s="13" t="str">
        <x:v>grid_wekqfxnd.xlsx</x:v>
      </x:c>
    </x:row>
    <x:row r="143">
      <x:c r="A143" s="15" t="n">
        <x:v>40238</x:v>
      </x:c>
      <x:c r="B143" s="13" t="str">
        <x:v>FIBRIA CELULOSE S/A</x:v>
      </x:c>
      <x:c r="C143" s="16" t="n">
        <x:v>966.6098551233</x:v>
      </x:c>
      <x:c r="D143" s="13" t="str">
        <x:v>Pulp &amp; Paper</x:v>
      </x:c>
      <x:c r="E143" s="13" t="str">
        <x:v>Pulp &amp; Paper</x:v>
      </x:c>
      <x:c r="F143" s="13" t="str">
        <x:v>Deep Cyclicals</x:v>
      </x:c>
      <x:c r="G143" s="13" t="str">
        <x:v>grid_wekqfxnd.xlsx</x:v>
      </x:c>
    </x:row>
    <x:row r="144">
      <x:c r="A144" s="15" t="n">
        <x:v>40238</x:v>
      </x:c>
      <x:c r="B144" s="13" t="str">
        <x:v>AMERICANAS SA</x:v>
      </x:c>
      <x:c r="C144" s="16" t="n">
        <x:v>154.529260274</x:v>
      </x:c>
      <x:c r="D144" s="13" t="str">
        <x:v>Retail</x:v>
      </x:c>
      <x:c r="E144" s="13" t="str">
        <x:v>Retail</x:v>
      </x:c>
      <x:c r="F144" s="13" t="str">
        <x:v>Early Cyclicals</x:v>
      </x:c>
      <x:c r="G144" s="13" t="str">
        <x:v>grid_wekqfxnd.xlsx</x:v>
      </x:c>
    </x:row>
    <x:row r="145">
      <x:c r="A145" s="15" t="n">
        <x:v>40238</x:v>
      </x:c>
      <x:c r="B145" s="13" t="str">
        <x:v>CIA BRASILEIRA DE DIS-PREF</x:v>
      </x:c>
      <x:c r="C145" s="16" t="n">
        <x:v>738.6906730959</x:v>
      </x:c>
      <x:c r="D145" s="13" t="str">
        <x:v>Retail</x:v>
      </x:c>
      <x:c r="E145" s="13" t="str">
        <x:v>Retail</x:v>
      </x:c>
      <x:c r="F145" s="13" t="str">
        <x:v>Early Cyclicals</x:v>
      </x:c>
      <x:c r="G145" s="13" t="str">
        <x:v>grid_wekqfxnd.xlsx</x:v>
      </x:c>
    </x:row>
    <x:row r="146">
      <x:c r="A146" s="15" t="n">
        <x:v>40238</x:v>
      </x:c>
      <x:c r="B146" s="13" t="str">
        <x:v>LOJAS AMERICANAS SA-PREF</x:v>
      </x:c>
      <x:c r="C146" s="16" t="n">
        <x:v>286.7194774795</x:v>
      </x:c>
      <x:c r="D146" s="13" t="str">
        <x:v>Retail</x:v>
      </x:c>
      <x:c r="E146" s="13" t="str">
        <x:v>Retail</x:v>
      </x:c>
      <x:c r="F146" s="13" t="str">
        <x:v>Early Cyclicals</x:v>
      </x:c>
      <x:c r="G146" s="13" t="str">
        <x:v>grid_wekqfxnd.xlsx</x:v>
      </x:c>
    </x:row>
    <x:row r="147">
      <x:c r="A147" s="15" t="n">
        <x:v>40238</x:v>
      </x:c>
      <x:c r="B147" s="13" t="str">
        <x:v>LOJAS RENNER S.A.</x:v>
      </x:c>
      <x:c r="C147" s="16" t="n">
        <x:v>239.9829532055</x:v>
      </x:c>
      <x:c r="D147" s="13" t="str">
        <x:v>Retail</x:v>
      </x:c>
      <x:c r="E147" s="13" t="str">
        <x:v>Retail</x:v>
      </x:c>
      <x:c r="F147" s="13" t="str">
        <x:v>Early Cyclicals</x:v>
      </x:c>
      <x:c r="G147" s="13" t="str">
        <x:v>grid_wekqfxnd.xlsx</x:v>
      </x:c>
    </x:row>
    <x:row r="148">
      <x:c r="A148" s="15" t="n">
        <x:v>40238</x:v>
      </x:c>
      <x:c r="B148" s="13" t="str">
        <x:v>NATURA COSMETICOS SA</x:v>
      </x:c>
      <x:c r="C148" s="16" t="n">
        <x:v>774.6630058082</x:v>
      </x:c>
      <x:c r="D148" s="13" t="str">
        <x:v>Retail</x:v>
      </x:c>
      <x:c r="E148" s="13" t="str">
        <x:v>Retail</x:v>
      </x:c>
      <x:c r="F148" s="13" t="str">
        <x:v>Early Cyclicals</x:v>
      </x:c>
      <x:c r="G148" s="13" t="str">
        <x:v>grid_wekqfxnd.xlsx</x:v>
      </x:c>
    </x:row>
    <x:row r="149">
      <x:c r="A149" s="15" t="n">
        <x:v>40238</x:v>
      </x:c>
      <x:c r="B149" s="13" t="str">
        <x:v>CIA SANEAMENTO BASICO DE SP</x:v>
      </x:c>
      <x:c r="C149" s="16" t="n">
        <x:v>1196.9363252603</x:v>
      </x:c>
      <x:c r="D149" s="13" t="str">
        <x:v>Sanitation</x:v>
      </x:c>
      <x:c r="E149" s="13" t="str">
        <x:v>Utilities</x:v>
      </x:c>
      <x:c r="F149" s="13" t="str">
        <x:v>Defensives</x:v>
      </x:c>
      <x:c r="G149" s="13" t="str">
        <x:v>grid_wekqfxnd.xlsx</x:v>
      </x:c>
    </x:row>
    <x:row r="150">
      <x:c r="A150" s="15" t="n">
        <x:v>40238</x:v>
      </x:c>
      <x:c r="B150" s="13" t="str">
        <x:v>NET SERVICOS DE COMUNI-PREF</x:v>
      </x:c>
      <x:c r="C150" s="16" t="n">
        <x:v>558.5414776986</x:v>
      </x:c>
      <x:c r="D150" s="13" t="str">
        <x:v>TMT</x:v>
      </x:c>
      <x:c r="E150" s="13" t="str">
        <x:v>TMT</x:v>
      </x:c>
      <x:c r="F150" s="13" t="str">
        <x:v>Early Cyclicals</x:v>
      </x:c>
      <x:c r="G150" s="13" t="str">
        <x:v>grid_wekqfxnd.xlsx</x:v>
      </x:c>
    </x:row>
    <x:row r="151">
      <x:c r="A151" s="15" t="n">
        <x:v>40238</x:v>
      </x:c>
      <x:c r="B151" s="13" t="str">
        <x:v>TELE NORTE LESTE PART</x:v>
      </x:c>
      <x:c r="C151" s="16" t="n">
        <x:v>1271.5632797808</x:v>
      </x:c>
      <x:c r="D151" s="13" t="str">
        <x:v>TMT</x:v>
      </x:c>
      <x:c r="E151" s="13" t="str">
        <x:v>TMT</x:v>
      </x:c>
      <x:c r="F151" s="13" t="str">
        <x:v>Early Cyclicals</x:v>
      </x:c>
      <x:c r="G151" s="13" t="str">
        <x:v>grid_wekqfxnd.xlsx</x:v>
      </x:c>
    </x:row>
    <x:row r="152">
      <x:c r="A152" s="15" t="n">
        <x:v>40238</x:v>
      </x:c>
      <x:c r="B152" s="13" t="str">
        <x:v>TELEFONICA BRASIL S.A.-PREF</x:v>
      </x:c>
      <x:c r="C152" s="16" t="n">
        <x:v>2288.1527513425</x:v>
      </x:c>
      <x:c r="D152" s="13" t="str">
        <x:v>TMT</x:v>
      </x:c>
      <x:c r="E152" s="13" t="str">
        <x:v>TMT</x:v>
      </x:c>
      <x:c r="F152" s="13" t="str">
        <x:v>Early Cyclicals</x:v>
      </x:c>
      <x:c r="G152" s="13" t="str">
        <x:v>grid_wekqfxnd.xlsx</x:v>
      </x:c>
    </x:row>
    <x:row r="153">
      <x:c r="A153" s="15" t="n">
        <x:v>40238</x:v>
      </x:c>
      <x:c r="B153" s="13" t="str">
        <x:v>TELEMAR NORTE LESTE SA</x:v>
      </x:c>
      <x:c r="C153" s="16" t="n">
        <x:v>1518.3267086027</x:v>
      </x:c>
      <x:c r="D153" s="13" t="str">
        <x:v>TMT</x:v>
      </x:c>
      <x:c r="E153" s="13" t="str">
        <x:v>TMT</x:v>
      </x:c>
      <x:c r="F153" s="13" t="str">
        <x:v>Early Cyclicals</x:v>
      </x:c>
      <x:c r="G153" s="13" t="str">
        <x:v>grid_wekqfxnd.xlsx</x:v>
      </x:c>
    </x:row>
    <x:row r="154">
      <x:c r="A154" s="15" t="n">
        <x:v>40238</x:v>
      </x:c>
      <x:c r="B154" s="13" t="str">
        <x:v>TIM PARTICIPACOES SA-PREF</x:v>
      </x:c>
      <x:c r="C154" s="16" t="n">
        <x:v>528.5561643836</x:v>
      </x:c>
      <x:c r="D154" s="13" t="str">
        <x:v>TMT</x:v>
      </x:c>
      <x:c r="E154" s="13" t="str">
        <x:v>TMT</x:v>
      </x:c>
      <x:c r="F154" s="13" t="str">
        <x:v>Early Cyclicals</x:v>
      </x:c>
      <x:c r="G154" s="13" t="str">
        <x:v>grid_wekqfxnd.xlsx</x:v>
      </x:c>
    </x:row>
    <x:row r="155">
      <x:c r="A155" s="15" t="n">
        <x:v>40238</x:v>
      </x:c>
      <x:c r="B155" s="13" t="str">
        <x:v>TIM SA</x:v>
      </x:c>
      <x:c r="C155" s="16" t="n">
        <x:v>528.5561643836</x:v>
      </x:c>
      <x:c r="D155" s="13" t="str">
        <x:v>TMT</x:v>
      </x:c>
      <x:c r="E155" s="13" t="str">
        <x:v>TMT</x:v>
      </x:c>
      <x:c r="F155" s="13" t="str">
        <x:v>Early Cyclicals</x:v>
      </x:c>
      <x:c r="G155" s="13" t="str">
        <x:v>grid_wekqfxnd.xlsx</x:v>
      </x:c>
    </x:row>
    <x:row r="156">
      <x:c r="A156" s="15" t="n">
        <x:v>40238</x:v>
      </x:c>
      <x:c r="B156" s="13" t="str">
        <x:v>VIVO PARTICIPACOES SA-PREF</x:v>
      </x:c>
      <x:c r="C156" s="16" t="n">
        <x:v>1609.5687750137</x:v>
      </x:c>
      <x:c r="D156" s="13" t="str">
        <x:v>TMT</x:v>
      </x:c>
      <x:c r="E156" s="13" t="str">
        <x:v>TMT</x:v>
      </x:c>
      <x:c r="F156" s="13" t="str">
        <x:v>Early Cyclicals</x:v>
      </x:c>
      <x:c r="G156" s="13" t="str">
        <x:v>grid_wekqfxnd.xlsx</x:v>
      </x:c>
    </x:row>
    <x:row r="157">
      <x:c r="A157" s="15" t="n">
        <x:v>40238</x:v>
      </x:c>
      <x:c r="B157" s="13" t="str">
        <x:v>ALL AMERICA LATINA LOGISTICA</x:v>
      </x:c>
      <x:c r="C157" s="16" t="n">
        <x:v>273.4379491507</x:v>
      </x:c>
      <x:c r="D157" s="13" t="str">
        <x:v>Transportation</x:v>
      </x:c>
      <x:c r="E157" s="13" t="str">
        <x:v>Transportation</x:v>
      </x:c>
      <x:c r="F157" s="13" t="str">
        <x:v>Deep Cyclicals</x:v>
      </x:c>
      <x:c r="G157" s="13" t="str">
        <x:v>grid_wekqfxnd.xlsx</x:v>
      </x:c>
    </x:row>
    <x:row r="158">
      <x:c r="A158" s="15" t="n">
        <x:v>40238</x:v>
      </x:c>
      <x:c r="B158" s="13" t="str">
        <x:v>GOL LINHAS AEREAS INT SA-PRE</x:v>
      </x:c>
      <x:c r="C158" s="16" t="n">
        <x:v>479.4003598904</x:v>
      </x:c>
      <x:c r="D158" s="13" t="str">
        <x:v>Transportation</x:v>
      </x:c>
      <x:c r="E158" s="13" t="str">
        <x:v>Transportation</x:v>
      </x:c>
      <x:c r="F158" s="13" t="str">
        <x:v>Deep Cyclicals</x:v>
      </x:c>
      <x:c r="G158" s="13" t="str">
        <x:v>grid_wekqfxnd.xlsx</x:v>
      </x:c>
    </x:row>
    <x:row r="159">
      <x:c r="A159" s="15" t="n">
        <x:v>40238</x:v>
      </x:c>
      <x:c r="B159" s="13" t="str">
        <x:v>MOTIVA INFRAESTRUTURA DE MOB</x:v>
      </x:c>
      <x:c r="C159" s="16" t="n">
        <x:v>955.8041336986</x:v>
      </x:c>
      <x:c r="D159" s="13" t="str">
        <x:v>Transportation</x:v>
      </x:c>
      <x:c r="E159" s="13" t="str">
        <x:v>Transportation</x:v>
      </x:c>
      <x:c r="F159" s="13" t="str">
        <x:v>Deep Cyclicals</x:v>
      </x:c>
      <x:c r="G159" s="13" t="str">
        <x:v>grid_wekqfxnd.xlsx</x:v>
      </x:c>
    </x:row>
    <x:row r="160">
      <x:c r="A160" s="15" t="n">
        <x:v>40238</x:v>
      </x:c>
      <x:c r="B160" s="13" t="str">
        <x:v>PRUMO LOGISTICA SA</x:v>
      </x:c>
      <x:c r="C160" s="16" t="n">
        <x:v>-243.5710334247</x:v>
      </x:c>
      <x:c r="D160" s="13" t="str">
        <x:v>Transportation</x:v>
      </x:c>
      <x:c r="E160" s="13" t="str">
        <x:v>Transportation</x:v>
      </x:c>
      <x:c r="F160" s="13" t="str">
        <x:v>Deep Cyclicals</x:v>
      </x:c>
      <x:c r="G160" s="13" t="str">
        <x:v>grid_wekqfxnd.xlsx</x:v>
      </x:c>
    </x:row>
    <x:row r="161">
      <x:c r="A161" s="15" t="n">
        <x:v>40238</x:v>
      </x:c>
      <x:c r="B161" s="13" t="str">
        <x:v>TAM SA-PREF</x:v>
      </x:c>
      <x:c r="C161" s="16" t="n">
        <x:v>288.7671232877</x:v>
      </x:c>
      <x:c r="D161" s="13" t="str">
        <x:v>Transportation</x:v>
      </x:c>
      <x:c r="E161" s="13" t="str">
        <x:v>Transportation</x:v>
      </x:c>
      <x:c r="F161" s="13" t="str">
        <x:v>Deep Cyclicals</x:v>
      </x:c>
      <x:c r="G161" s="13" t="str">
        <x:v>grid_wekqfxnd.xlsx</x:v>
      </x:c>
    </x:row>
    <x:row r="162">
      <x:c r="A162" s="15" t="n">
        <x:v>40238</x:v>
      </x:c>
      <x:c r="B162" s="13" t="str">
        <x:v>AXIA ENERGIA SA</x:v>
      </x:c>
      <x:c r="C162" s="16" t="n">
        <x:v>3241.5450161096</x:v>
      </x:c>
      <x:c r="D162" s="13" t="str">
        <x:v>Utilities &amp; Energy</x:v>
      </x:c>
      <x:c r="E162" s="13" t="str">
        <x:v>Utilities</x:v>
      </x:c>
      <x:c r="F162" s="13" t="str">
        <x:v>Defensives</x:v>
      </x:c>
      <x:c r="G162" s="13" t="str">
        <x:v>grid_wekqfxnd.xlsx</x:v>
      </x:c>
    </x:row>
    <x:row r="163">
      <x:c r="A163" s="15" t="n">
        <x:v>40238</x:v>
      </x:c>
      <x:c r="B163" s="13" t="str">
        <x:v>AXIA ENERGIA-PR B</x:v>
      </x:c>
      <x:c r="C163" s="16" t="n">
        <x:v>3241.5450161096</x:v>
      </x:c>
      <x:c r="D163" s="13" t="str">
        <x:v>Utilities &amp; Energy</x:v>
      </x:c>
      <x:c r="E163" s="13" t="str">
        <x:v>Utilities</x:v>
      </x:c>
      <x:c r="F163" s="13" t="str">
        <x:v>Defensives</x:v>
      </x:c>
      <x:c r="G163" s="13" t="str">
        <x:v>grid_wekqfxnd.xlsx</x:v>
      </x:c>
    </x:row>
    <x:row r="164">
      <x:c r="A164" s="15" t="n">
        <x:v>40238</x:v>
      </x:c>
      <x:c r="B164" s="13" t="str">
        <x:v>CESP - CIA ENERGETICA DE SAO</x:v>
      </x:c>
      <x:c r="C164" s="16" t="n">
        <x:v>650.6874678356</x:v>
      </x:c>
      <x:c r="D164" s="13" t="str">
        <x:v>Utilities &amp; Energy</x:v>
      </x:c>
      <x:c r="E164" s="13" t="str">
        <x:v>Utilities</x:v>
      </x:c>
      <x:c r="F164" s="13" t="str">
        <x:v>Defensives</x:v>
      </x:c>
      <x:c r="G164" s="13" t="str">
        <x:v>grid_wekqfxnd.xlsx</x:v>
      </x:c>
    </x:row>
    <x:row r="165">
      <x:c r="A165" s="15" t="n">
        <x:v>40238</x:v>
      </x:c>
      <x:c r="B165" s="13" t="str">
        <x:v>CIA ENERGETICA MINAS GER-PRF</x:v>
      </x:c>
      <x:c r="C165" s="16" t="n">
        <x:v>2115.1519736986</x:v>
      </x:c>
      <x:c r="D165" s="13" t="str">
        <x:v>Utilities &amp; Energy</x:v>
      </x:c>
      <x:c r="E165" s="13" t="str">
        <x:v>Utilities</x:v>
      </x:c>
      <x:c r="F165" s="13" t="str">
        <x:v>Defensives</x:v>
      </x:c>
      <x:c r="G165" s="13" t="str">
        <x:v>grid_wekqfxnd.xlsx</x:v>
      </x:c>
    </x:row>
    <x:row r="166">
      <x:c r="A166" s="15" t="n">
        <x:v>40238</x:v>
      </x:c>
      <x:c r="B166" s="13" t="str">
        <x:v>COMPANHIA PARANAENSE -PREF B</x:v>
      </x:c>
      <x:c r="C166" s="16" t="n">
        <x:v>1071.5916440548</x:v>
      </x:c>
      <x:c r="D166" s="13" t="str">
        <x:v>Utilities &amp; Energy</x:v>
      </x:c>
      <x:c r="E166" s="13" t="str">
        <x:v>Utilities</x:v>
      </x:c>
      <x:c r="F166" s="13" t="str">
        <x:v>Defensives</x:v>
      </x:c>
      <x:c r="G166" s="13" t="str">
        <x:v>grid_wekqfxnd.xlsx</x:v>
      </x:c>
    </x:row>
    <x:row r="167">
      <x:c r="A167" s="15" t="n">
        <x:v>40238</x:v>
      </x:c>
      <x:c r="B167" s="13" t="str">
        <x:v>CPFL ENERGIA SA</x:v>
      </x:c>
      <x:c r="C167" s="16" t="n">
        <x:v>1486.7622926027</x:v>
      </x:c>
      <x:c r="D167" s="13" t="str">
        <x:v>Utilities &amp; Energy</x:v>
      </x:c>
      <x:c r="E167" s="13" t="str">
        <x:v>Utilities</x:v>
      </x:c>
      <x:c r="F167" s="13" t="str">
        <x:v>Defensives</x:v>
      </x:c>
      <x:c r="G167" s="13" t="str">
        <x:v>grid_wekqfxnd.xlsx</x:v>
      </x:c>
    </x:row>
    <x:row r="168">
      <x:c r="A168" s="15" t="n">
        <x:v>40238</x:v>
      </x:c>
      <x:c r="B168" s="13" t="str">
        <x:v>ISA ENERGIA BRASIL SA</x:v>
      </x:c>
      <x:c r="C168" s="16" t="n">
        <x:v>831.2465753425</x:v>
      </x:c>
      <x:c r="D168" s="13" t="str">
        <x:v>Utilities &amp; Energy</x:v>
      </x:c>
      <x:c r="E168" s="13" t="str">
        <x:v>Utilities</x:v>
      </x:c>
      <x:c r="F168" s="13" t="str">
        <x:v>Defensives</x:v>
      </x:c>
      <x:c r="G168" s="13" t="str">
        <x:v>grid_wekqfxnd.xlsx</x:v>
      </x:c>
    </x:row>
    <x:row r="169">
      <x:c r="A169" s="15" t="n">
        <x:v>40238</x:v>
      </x:c>
      <x:c r="B169" s="13" t="str">
        <x:v>LIGHT SA</x:v>
      </x:c>
      <x:c r="C169" s="16" t="n">
        <x:v>560.8498866849</x:v>
      </x:c>
      <x:c r="D169" s="13" t="str">
        <x:v>Utilities &amp; Energy</x:v>
      </x:c>
      <x:c r="E169" s="13" t="str">
        <x:v>Utilities</x:v>
      </x:c>
      <x:c r="F169" s="13" t="str">
        <x:v>Defensives</x:v>
      </x:c>
      <x:c r="G169" s="13" t="str">
        <x:v>grid_wekqfxnd.xlsx</x:v>
      </x:c>
    </x:row>
    <x:row r="170">
      <x:c r="A170" s="15" t="n">
        <x:v>40269</x:v>
      </x:c>
      <x:c r="B170" s="13" t="str">
        <x:v>BANCO BRADESCO SA-PREF</x:v>
      </x:c>
      <x:c r="C170" s="16" t="n">
        <x:v>9498.414220274</x:v>
      </x:c>
      <x:c r="D170" s="13" t="str">
        <x:v>Banks</x:v>
      </x:c>
      <x:c r="E170" s="13" t="str">
        <x:v>Banks</x:v>
      </x:c>
      <x:c r="F170" s="13" t="str">
        <x:v>Financials</x:v>
      </x:c>
      <x:c r="G170" s="13" t="str">
        <x:v>grid_wekqfxnd.xlsx</x:v>
      </x:c>
    </x:row>
    <x:row r="171">
      <x:c r="A171" s="15" t="n">
        <x:v>40269</x:v>
      </x:c>
      <x:c r="B171" s="13" t="str">
        <x:v>BANCO DO BRASIL S.A.</x:v>
      </x:c>
      <x:c r="C171" s="16" t="n">
        <x:v>8672.9387484932</x:v>
      </x:c>
      <x:c r="D171" s="13" t="str">
        <x:v>Banks</x:v>
      </x:c>
      <x:c r="E171" s="13" t="str">
        <x:v>Banks</x:v>
      </x:c>
      <x:c r="F171" s="13" t="str">
        <x:v>Financials</x:v>
      </x:c>
      <x:c r="G171" s="13" t="str">
        <x:v>grid_wekqfxnd.xlsx</x:v>
      </x:c>
    </x:row>
    <x:row r="172">
      <x:c r="A172" s="15" t="n">
        <x:v>40269</x:v>
      </x:c>
      <x:c r="B172" s="13" t="str">
        <x:v>ITAU UNIBANCO HOLDING S-PREF</x:v>
      </x:c>
      <x:c r="C172" s="16" t="n">
        <x:v>13295.6548278356</x:v>
      </x:c>
      <x:c r="D172" s="13" t="str">
        <x:v>Banks</x:v>
      </x:c>
      <x:c r="E172" s="13" t="str">
        <x:v>Banks</x:v>
      </x:c>
      <x:c r="F172" s="13" t="str">
        <x:v>Financials</x:v>
      </x:c>
      <x:c r="G172" s="13" t="str">
        <x:v>grid_wekqfxnd.xlsx</x:v>
      </x:c>
    </x:row>
    <x:row r="173">
      <x:c r="A173" s="15" t="n">
        <x:v>40269</x:v>
      </x:c>
      <x:c r="B173" s="13" t="str">
        <x:v>EMBRAER SA</x:v>
      </x:c>
      <x:c r="C173" s="16" t="n">
        <x:v>421.388761863</x:v>
      </x:c>
      <x:c r="D173" s="13" t="str">
        <x:v>Capital Goods</x:v>
      </x:c>
      <x:c r="E173" s="13" t="str">
        <x:v>Capital Goods</x:v>
      </x:c>
      <x:c r="F173" s="13" t="str">
        <x:v>Deep Cyclicals</x:v>
      </x:c>
      <x:c r="G173" s="13" t="str">
        <x:v>grid_wekqfxnd.xlsx</x:v>
      </x:c>
    </x:row>
    <x:row r="174">
      <x:c r="A174" s="15" t="n">
        <x:v>40269</x:v>
      </x:c>
      <x:c r="B174" s="13" t="str">
        <x:v>B3 SA-BRASIL BOLSA BALCAO</x:v>
      </x:c>
      <x:c r="C174" s="16" t="n">
        <x:v>1478.2973755616</x:v>
      </x:c>
      <x:c r="D174" s="13" t="str">
        <x:v>Financials Non-Banks</x:v>
      </x:c>
      <x:c r="E174" s="13" t="str">
        <x:v>Financials Non-Banks</x:v>
      </x:c>
      <x:c r="F174" s="13" t="str">
        <x:v>Financials</x:v>
      </x:c>
      <x:c r="G174" s="13" t="str">
        <x:v>grid_wekqfxnd.xlsx</x:v>
      </x:c>
    </x:row>
    <x:row r="175">
      <x:c r="A175" s="15" t="n">
        <x:v>40269</x:v>
      </x:c>
      <x:c r="B175" s="13" t="str">
        <x:v>ITAUSA SA</x:v>
      </x:c>
      <x:c r="C175" s="16" t="n">
        <x:v>4986.970252274</x:v>
      </x:c>
      <x:c r="D175" s="13" t="str">
        <x:v>Financials Non-Banks</x:v>
      </x:c>
      <x:c r="E175" s="13" t="str">
        <x:v>Financials Non-Banks</x:v>
      </x:c>
      <x:c r="F175" s="13" t="str">
        <x:v>Financials</x:v>
      </x:c>
      <x:c r="G175" s="13" t="str">
        <x:v>grid_wekqfxnd.xlsx</x:v>
      </x:c>
    </x:row>
    <x:row r="176">
      <x:c r="A176" s="15" t="n">
        <x:v>40269</x:v>
      </x:c>
      <x:c r="B176" s="13" t="str">
        <x:v>REDECARD INSTITUICAO DE PAGA</x:v>
      </x:c>
      <x:c r="C176" s="16" t="n">
        <x:v>1508.1810849315</x:v>
      </x:c>
      <x:c r="D176" s="13" t="str">
        <x:v>Financials Non-Banks</x:v>
      </x:c>
      <x:c r="E176" s="13" t="str">
        <x:v>Financials Non-Banks</x:v>
      </x:c>
      <x:c r="F176" s="13" t="str">
        <x:v>Financials</x:v>
      </x:c>
      <x:c r="G176" s="13" t="str">
        <x:v>grid_wekqfxnd.xlsx</x:v>
      </x:c>
    </x:row>
    <x:row r="177">
      <x:c r="A177" s="15" t="n">
        <x:v>40269</x:v>
      </x:c>
      <x:c r="B177" s="13" t="str">
        <x:v>AMBEV SA</x:v>
      </x:c>
      <x:c r="C177" s="16" t="n">
        <x:v>6668.0123476164</x:v>
      </x:c>
      <x:c r="D177" s="13" t="str">
        <x:v>Food &amp; Beverages</x:v>
      </x:c>
      <x:c r="E177" s="13" t="str">
        <x:v>Agri, Food &amp; Beverages</x:v>
      </x:c>
      <x:c r="F177" s="13" t="str">
        <x:v>Defensives</x:v>
      </x:c>
      <x:c r="G177" s="13" t="str">
        <x:v>grid_wekqfxnd.xlsx</x:v>
      </x:c>
    </x:row>
    <x:row r="178">
      <x:c r="A178" s="15" t="n">
        <x:v>40269</x:v>
      </x:c>
      <x:c r="B178" s="13" t="str">
        <x:v>BRF SA</x:v>
      </x:c>
      <x:c r="C178" s="16" t="n">
        <x:v>784.4099042192</x:v>
      </x:c>
      <x:c r="D178" s="13" t="str">
        <x:v>Food &amp; Beverages</x:v>
      </x:c>
      <x:c r="E178" s="13" t="str">
        <x:v>Agri, Food &amp; Beverages</x:v>
      </x:c>
      <x:c r="F178" s="13" t="str">
        <x:v>Defensives</x:v>
      </x:c>
      <x:c r="G178" s="13" t="str">
        <x:v>grid_wekqfxnd.xlsx</x:v>
      </x:c>
    </x:row>
    <x:row r="179">
      <x:c r="A179" s="15" t="n">
        <x:v>40269</x:v>
      </x:c>
      <x:c r="B179" s="13" t="str">
        <x:v>SOUZA CRUZ LTDA</x:v>
      </x:c>
      <x:c r="C179" s="16" t="n">
        <x:v>1450.4200889863</x:v>
      </x:c>
      <x:c r="D179" s="13" t="str">
        <x:v>Food &amp; Beverages</x:v>
      </x:c>
      <x:c r="E179" s="13" t="str">
        <x:v>Agri, Food &amp; Beverages</x:v>
      </x:c>
      <x:c r="F179" s="13" t="str">
        <x:v>Defensives</x:v>
      </x:c>
      <x:c r="G179" s="13" t="str">
        <x:v>grid_wekqfxnd.xlsx</x:v>
      </x:c>
    </x:row>
    <x:row r="180">
      <x:c r="A180" s="15" t="n">
        <x:v>40269</x:v>
      </x:c>
      <x:c r="B180" s="13" t="str">
        <x:v>CYRELA BRAZIL REALTY SA EMP</x:v>
      </x:c>
      <x:c r="C180" s="16" t="n">
        <x:v>855.8242630137</x:v>
      </x:c>
      <x:c r="D180" s="13" t="str">
        <x:v>Homebuilders</x:v>
      </x:c>
      <x:c r="E180" s="13" t="str">
        <x:v>Real Estate</x:v>
      </x:c>
      <x:c r="F180" s="13" t="str">
        <x:v>Early Cyclicals</x:v>
      </x:c>
      <x:c r="G180" s="13" t="str">
        <x:v>grid_wekqfxnd.xlsx</x:v>
      </x:c>
    </x:row>
    <x:row r="181">
      <x:c r="A181" s="15" t="n">
        <x:v>40269</x:v>
      </x:c>
      <x:c r="B181" s="13" t="str">
        <x:v>GAFISA SA</x:v>
      </x:c>
      <x:c r="C181" s="16" t="n">
        <x:v>445.2705639452</x:v>
      </x:c>
      <x:c r="D181" s="13" t="str">
        <x:v>Homebuilders</x:v>
      </x:c>
      <x:c r="E181" s="13" t="str">
        <x:v>Real Estate</x:v>
      </x:c>
      <x:c r="F181" s="13" t="str">
        <x:v>Early Cyclicals</x:v>
      </x:c>
      <x:c r="G181" s="13" t="str">
        <x:v>grid_wekqfxnd.xlsx</x:v>
      </x:c>
    </x:row>
    <x:row r="182">
      <x:c r="A182" s="15" t="n">
        <x:v>40269</x:v>
      </x:c>
      <x:c r="B182" s="13" t="str">
        <x:v>MRV ENGENHARIA</x:v>
      </x:c>
      <x:c r="C182" s="16" t="n">
        <x:v>625.3495530959</x:v>
      </x:c>
      <x:c r="D182" s="13" t="str">
        <x:v>Homebuilders</x:v>
      </x:c>
      <x:c r="E182" s="13" t="str">
        <x:v>Real Estate</x:v>
      </x:c>
      <x:c r="F182" s="13" t="str">
        <x:v>Early Cyclicals</x:v>
      </x:c>
      <x:c r="G182" s="13" t="str">
        <x:v>grid_wekqfxnd.xlsx</x:v>
      </x:c>
    </x:row>
    <x:row r="183">
      <x:c r="A183" s="15" t="n">
        <x:v>40269</x:v>
      </x:c>
      <x:c r="B183" s="13" t="str">
        <x:v>PDG REALTY SA</x:v>
      </x:c>
      <x:c r="C183" s="16" t="n">
        <x:v>671.059142137</x:v>
      </x:c>
      <x:c r="D183" s="13" t="str">
        <x:v>Homebuilders</x:v>
      </x:c>
      <x:c r="E183" s="13" t="str">
        <x:v>Real Estate</x:v>
      </x:c>
      <x:c r="F183" s="13" t="str">
        <x:v>Early Cyclicals</x:v>
      </x:c>
      <x:c r="G183" s="13" t="str">
        <x:v>grid_wekqfxnd.xlsx</x:v>
      </x:c>
    </x:row>
    <x:row r="184">
      <x:c r="A184" s="15" t="n">
        <x:v>40269</x:v>
      </x:c>
      <x:c r="B184" s="13" t="str">
        <x:v>ROSSI RESIDENCIAL SA</x:v>
      </x:c>
      <x:c r="C184" s="16" t="n">
        <x:v>436.747955726</x:v>
      </x:c>
      <x:c r="D184" s="13" t="str">
        <x:v>Homebuilders</x:v>
      </x:c>
      <x:c r="E184" s="13" t="str">
        <x:v>Real Estate</x:v>
      </x:c>
      <x:c r="F184" s="13" t="str">
        <x:v>Early Cyclicals</x:v>
      </x:c>
      <x:c r="G184" s="13" t="str">
        <x:v>grid_wekqfxnd.xlsx</x:v>
      </x:c>
    </x:row>
    <x:row r="185">
      <x:c r="A185" s="15" t="n">
        <x:v>40269</x:v>
      </x:c>
      <x:c r="B185" s="13" t="str">
        <x:v>BRADESPAR SA -PREF</x:v>
      </x:c>
      <x:c r="C185" s="16" t="n">
        <x:v>903.842444274</x:v>
      </x:c>
      <x:c r="D185" s="13" t="str">
        <x:v>Metals &amp; Mining</x:v>
      </x:c>
      <x:c r="E185" s="13" t="str">
        <x:v>Metals &amp; Mining</x:v>
      </x:c>
      <x:c r="F185" s="13" t="str">
        <x:v>Deep Cyclicals</x:v>
      </x:c>
      <x:c r="G185" s="13" t="str">
        <x:v>grid_wekqfxnd.xlsx</x:v>
      </x:c>
    </x:row>
    <x:row r="186">
      <x:c r="A186" s="15" t="n">
        <x:v>40269</x:v>
      </x:c>
      <x:c r="B186" s="13" t="str">
        <x:v>CIA SIDERURGICA NACIONAL SA</x:v>
      </x:c>
      <x:c r="C186" s="16" t="n">
        <x:v>4091.9412637808</x:v>
      </x:c>
      <x:c r="D186" s="13" t="str">
        <x:v>Metals &amp; Mining</x:v>
      </x:c>
      <x:c r="E186" s="13" t="str">
        <x:v>Metals &amp; Mining</x:v>
      </x:c>
      <x:c r="F186" s="13" t="str">
        <x:v>Deep Cyclicals</x:v>
      </x:c>
      <x:c r="G186" s="13" t="str">
        <x:v>grid_wekqfxnd.xlsx</x:v>
      </x:c>
    </x:row>
    <x:row r="187">
      <x:c r="A187" s="15" t="n">
        <x:v>40269</x:v>
      </x:c>
      <x:c r="B187" s="13" t="str">
        <x:v>GERDAU SA-PREF</x:v>
      </x:c>
      <x:c r="C187" s="16" t="n">
        <x:v>3056.4211690959</x:v>
      </x:c>
      <x:c r="D187" s="13" t="str">
        <x:v>Metals &amp; Mining</x:v>
      </x:c>
      <x:c r="E187" s="13" t="str">
        <x:v>Metals &amp; Mining</x:v>
      </x:c>
      <x:c r="F187" s="13" t="str">
        <x:v>Deep Cyclicals</x:v>
      </x:c>
      <x:c r="G187" s="13" t="str">
        <x:v>grid_wekqfxnd.xlsx</x:v>
      </x:c>
    </x:row>
    <x:row r="188">
      <x:c r="A188" s="15" t="n">
        <x:v>40269</x:v>
      </x:c>
      <x:c r="B188" s="13" t="str">
        <x:v>METALURGICA GERDAU SA-PREF</x:v>
      </x:c>
      <x:c r="C188" s="16" t="n">
        <x:v>1091.9291993425</x:v>
      </x:c>
      <x:c r="D188" s="13" t="str">
        <x:v>Metals &amp; Mining</x:v>
      </x:c>
      <x:c r="E188" s="13" t="str">
        <x:v>Metals &amp; Mining</x:v>
      </x:c>
      <x:c r="F188" s="13" t="str">
        <x:v>Deep Cyclicals</x:v>
      </x:c>
      <x:c r="G188" s="13" t="str">
        <x:v>grid_wekqfxnd.xlsx</x:v>
      </x:c>
    </x:row>
    <x:row r="189">
      <x:c r="A189" s="15" t="n">
        <x:v>40269</x:v>
      </x:c>
      <x:c r="B189" s="13" t="str">
        <x:v>MMX MINERACAO E METALICOS SA</x:v>
      </x:c>
      <x:c r="C189" s="16" t="n">
        <x:v>121.6390410959</x:v>
      </x:c>
      <x:c r="D189" s="13" t="str">
        <x:v>Metals &amp; Mining</x:v>
      </x:c>
      <x:c r="E189" s="13" t="str">
        <x:v>Metals &amp; Mining</x:v>
      </x:c>
      <x:c r="F189" s="13" t="str">
        <x:v>Deep Cyclicals</x:v>
      </x:c>
      <x:c r="G189" s="13" t="str">
        <x:v>grid_wekqfxnd.xlsx</x:v>
      </x:c>
    </x:row>
    <x:row r="190">
      <x:c r="A190" s="15" t="n">
        <x:v>40269</x:v>
      </x:c>
      <x:c r="B190" s="13" t="str">
        <x:v>USINAS SIDER MINAS GER-PF A</x:v>
      </x:c>
      <x:c r="C190" s="16" t="n">
        <x:v>2360.7222128219</x:v>
      </x:c>
      <x:c r="D190" s="13" t="str">
        <x:v>Metals &amp; Mining</x:v>
      </x:c>
      <x:c r="E190" s="13" t="str">
        <x:v>Metals &amp; Mining</x:v>
      </x:c>
      <x:c r="F190" s="13" t="str">
        <x:v>Deep Cyclicals</x:v>
      </x:c>
      <x:c r="G190" s="13" t="str">
        <x:v>grid_wekqfxnd.xlsx</x:v>
      </x:c>
    </x:row>
    <x:row r="191">
      <x:c r="A191" s="15" t="n">
        <x:v>40269</x:v>
      </x:c>
      <x:c r="B191" s="13" t="str">
        <x:v>USINAS SIDERURGICAS DE MINAS</x:v>
      </x:c>
      <x:c r="C191" s="16" t="n">
        <x:v>2360.7222128219</x:v>
      </x:c>
      <x:c r="D191" s="13" t="str">
        <x:v>Metals &amp; Mining</x:v>
      </x:c>
      <x:c r="E191" s="13" t="str">
        <x:v>Metals &amp; Mining</x:v>
      </x:c>
      <x:c r="F191" s="13" t="str">
        <x:v>Deep Cyclicals</x:v>
      </x:c>
      <x:c r="G191" s="13" t="str">
        <x:v>grid_wekqfxnd.xlsx</x:v>
      </x:c>
    </x:row>
    <x:row r="192">
      <x:c r="A192" s="15" t="n">
        <x:v>40269</x:v>
      </x:c>
      <x:c r="B192" s="13" t="str">
        <x:v>VALE SA</x:v>
      </x:c>
      <x:c r="C192" s="16" t="n">
        <x:v>25083.4316133699</x:v>
      </x:c>
      <x:c r="D192" s="13" t="str">
        <x:v>Metals &amp; Mining</x:v>
      </x:c>
      <x:c r="E192" s="13" t="str">
        <x:v>Metals &amp; Mining</x:v>
      </x:c>
      <x:c r="F192" s="13" t="str">
        <x:v>Deep Cyclicals</x:v>
      </x:c>
      <x:c r="G192" s="13" t="str">
        <x:v>grid_wekqfxnd.xlsx</x:v>
      </x:c>
    </x:row>
    <x:row r="193">
      <x:c r="A193" s="15" t="n">
        <x:v>40269</x:v>
      </x:c>
      <x:c r="B193" s="13" t="str">
        <x:v>BRASKEM SA-PREF A</x:v>
      </x:c>
      <x:c r="C193" s="16" t="n">
        <x:v>194.6866027397</x:v>
      </x:c>
      <x:c r="D193" s="13" t="str">
        <x:v>Oil, Gas &amp; Petrochemicals</x:v>
      </x:c>
      <x:c r="E193" s="13" t="str">
        <x:v>Oil, Gas &amp; Petrochemicals</x:v>
      </x:c>
      <x:c r="F193" s="13" t="str">
        <x:v>Deep Cyclicals</x:v>
      </x:c>
      <x:c r="G193" s="13" t="str">
        <x:v>grid_wekqfxnd.xlsx</x:v>
      </x:c>
    </x:row>
    <x:row r="194">
      <x:c r="A194" s="15" t="n">
        <x:v>40269</x:v>
      </x:c>
      <x:c r="B194" s="13" t="str">
        <x:v>COSAN SA</x:v>
      </x:c>
      <x:c r="C194" s="16" t="n">
        <x:v>1077.0684931507</x:v>
      </x:c>
      <x:c r="D194" s="13" t="str">
        <x:v>Oil, Gas &amp; Petrochemicals</x:v>
      </x:c>
      <x:c r="E194" s="13" t="str">
        <x:v>Oil, Gas &amp; Petrochemicals</x:v>
      </x:c>
      <x:c r="F194" s="13" t="str">
        <x:v>Deep Cyclicals</x:v>
      </x:c>
      <x:c r="G194" s="13" t="str">
        <x:v>grid_wekqfxnd.xlsx</x:v>
      </x:c>
    </x:row>
    <x:row r="195">
      <x:c r="A195" s="15" t="n">
        <x:v>40269</x:v>
      </x:c>
      <x:c r="B195" s="13" t="str">
        <x:v>OLEO E GAS PARTICIPACOES SA</x:v>
      </x:c>
      <x:c r="C195" s="16" t="n">
        <x:v>281.7199561644</x:v>
      </x:c>
      <x:c r="D195" s="13" t="str">
        <x:v>Oil, Gas &amp; Petrochemicals</x:v>
      </x:c>
      <x:c r="E195" s="13" t="str">
        <x:v>Oil, Gas &amp; Petrochemicals</x:v>
      </x:c>
      <x:c r="F195" s="13" t="str">
        <x:v>Deep Cyclicals</x:v>
      </x:c>
      <x:c r="G195" s="13" t="str">
        <x:v>grid_wekqfxnd.xlsx</x:v>
      </x:c>
    </x:row>
    <x:row r="196">
      <x:c r="A196" s="15" t="n">
        <x:v>40269</x:v>
      </x:c>
      <x:c r="B196" s="13" t="str">
        <x:v>PETROBRAS - PETROLEO BRAS</x:v>
      </x:c>
      <x:c r="C196" s="16" t="n">
        <x:v>31462.0239254795</x:v>
      </x:c>
      <x:c r="D196" s="13" t="str">
        <x:v>Oil, Gas &amp; Petrochemicals</x:v>
      </x:c>
      <x:c r="E196" s="13" t="str">
        <x:v>Oil, Gas &amp; Petrochemicals</x:v>
      </x:c>
      <x:c r="F196" s="13" t="str">
        <x:v>Deep Cyclicals</x:v>
      </x:c>
      <x:c r="G196" s="13" t="str">
        <x:v>grid_wekqfxnd.xlsx</x:v>
      </x:c>
    </x:row>
    <x:row r="197">
      <x:c r="A197" s="15" t="n">
        <x:v>40269</x:v>
      </x:c>
      <x:c r="B197" s="13" t="str">
        <x:v>ULTRAPAR PARTICIPACOES-PREF</x:v>
      </x:c>
      <x:c r="C197" s="16" t="n">
        <x:v>691.5437098082</x:v>
      </x:c>
      <x:c r="D197" s="13" t="str">
        <x:v>Oil, Gas &amp; Petrochemicals</x:v>
      </x:c>
      <x:c r="E197" s="13" t="str">
        <x:v>Oil, Gas &amp; Petrochemicals</x:v>
      </x:c>
      <x:c r="F197" s="13" t="str">
        <x:v>Deep Cyclicals</x:v>
      </x:c>
      <x:c r="G197" s="13" t="str">
        <x:v>grid_wekqfxnd.xlsx</x:v>
      </x:c>
    </x:row>
    <x:row r="198">
      <x:c r="A198" s="15" t="n">
        <x:v>40269</x:v>
      </x:c>
      <x:c r="B198" s="13" t="str">
        <x:v>DEXCO SA</x:v>
      </x:c>
      <x:c r="C198" s="16" t="n">
        <x:v>419.1539866301</x:v>
      </x:c>
      <x:c r="D198" s="13" t="str">
        <x:v>Pulp &amp; Paper</x:v>
      </x:c>
      <x:c r="E198" s="13" t="str">
        <x:v>Pulp &amp; Paper</x:v>
      </x:c>
      <x:c r="F198" s="13" t="str">
        <x:v>Deep Cyclicals</x:v>
      </x:c>
      <x:c r="G198" s="13" t="str">
        <x:v>grid_wekqfxnd.xlsx</x:v>
      </x:c>
    </x:row>
    <x:row r="199">
      <x:c r="A199" s="15" t="n">
        <x:v>40269</x:v>
      </x:c>
      <x:c r="B199" s="13" t="str">
        <x:v>FIBRIA CELULOSE S/A</x:v>
      </x:c>
      <x:c r="C199" s="16" t="n">
        <x:v>948.3521393973</x:v>
      </x:c>
      <x:c r="D199" s="13" t="str">
        <x:v>Pulp &amp; Paper</x:v>
      </x:c>
      <x:c r="E199" s="13" t="str">
        <x:v>Pulp &amp; Paper</x:v>
      </x:c>
      <x:c r="F199" s="13" t="str">
        <x:v>Deep Cyclicals</x:v>
      </x:c>
      <x:c r="G199" s="13" t="str">
        <x:v>grid_wekqfxnd.xlsx</x:v>
      </x:c>
    </x:row>
    <x:row r="200">
      <x:c r="A200" s="15" t="n">
        <x:v>40269</x:v>
      </x:c>
      <x:c r="B200" s="13" t="str">
        <x:v>AMERICANAS SA</x:v>
      </x:c>
      <x:c r="C200" s="16" t="n">
        <x:v>143.8225916712</x:v>
      </x:c>
      <x:c r="D200" s="13" t="str">
        <x:v>Retail</x:v>
      </x:c>
      <x:c r="E200" s="13" t="str">
        <x:v>Retail</x:v>
      </x:c>
      <x:c r="F200" s="13" t="str">
        <x:v>Early Cyclicals</x:v>
      </x:c>
      <x:c r="G200" s="13" t="str">
        <x:v>grid_wekqfxnd.xlsx</x:v>
      </x:c>
    </x:row>
    <x:row r="201">
      <x:c r="A201" s="15" t="n">
        <x:v>40269</x:v>
      </x:c>
      <x:c r="B201" s="13" t="str">
        <x:v>CIA BRASILEIRA DE DIS-PREF</x:v>
      </x:c>
      <x:c r="C201" s="16" t="n">
        <x:v>774.7424903014</x:v>
      </x:c>
      <x:c r="D201" s="13" t="str">
        <x:v>Retail</x:v>
      </x:c>
      <x:c r="E201" s="13" t="str">
        <x:v>Retail</x:v>
      </x:c>
      <x:c r="F201" s="13" t="str">
        <x:v>Early Cyclicals</x:v>
      </x:c>
      <x:c r="G201" s="13" t="str">
        <x:v>grid_wekqfxnd.xlsx</x:v>
      </x:c>
    </x:row>
    <x:row r="202">
      <x:c r="A202" s="15" t="n">
        <x:v>40269</x:v>
      </x:c>
      <x:c r="B202" s="13" t="str">
        <x:v>LOJAS AMERICANAS SA-PREF</x:v>
      </x:c>
      <x:c r="C202" s="16" t="n">
        <x:v>287.7027914521</x:v>
      </x:c>
      <x:c r="D202" s="13" t="str">
        <x:v>Retail</x:v>
      </x:c>
      <x:c r="E202" s="13" t="str">
        <x:v>Retail</x:v>
      </x:c>
      <x:c r="F202" s="13" t="str">
        <x:v>Early Cyclicals</x:v>
      </x:c>
      <x:c r="G202" s="13" t="str">
        <x:v>grid_wekqfxnd.xlsx</x:v>
      </x:c>
    </x:row>
    <x:row r="203">
      <x:c r="A203" s="15" t="n">
        <x:v>40269</x:v>
      </x:c>
      <x:c r="B203" s="13" t="str">
        <x:v>LOJAS RENNER S.A.</x:v>
      </x:c>
      <x:c r="C203" s="16" t="n">
        <x:v>255.9568271781</x:v>
      </x:c>
      <x:c r="D203" s="13" t="str">
        <x:v>Retail</x:v>
      </x:c>
      <x:c r="E203" s="13" t="str">
        <x:v>Retail</x:v>
      </x:c>
      <x:c r="F203" s="13" t="str">
        <x:v>Early Cyclicals</x:v>
      </x:c>
      <x:c r="G203" s="13" t="str">
        <x:v>grid_wekqfxnd.xlsx</x:v>
      </x:c>
    </x:row>
    <x:row r="204">
      <x:c r="A204" s="15" t="n">
        <x:v>40269</x:v>
      </x:c>
      <x:c r="B204" s="13" t="str">
        <x:v>NATURA COSMETICOS SA</x:v>
      </x:c>
      <x:c r="C204" s="16" t="n">
        <x:v>774.3730638904</x:v>
      </x:c>
      <x:c r="D204" s="13" t="str">
        <x:v>Retail</x:v>
      </x:c>
      <x:c r="E204" s="13" t="str">
        <x:v>Retail</x:v>
      </x:c>
      <x:c r="F204" s="13" t="str">
        <x:v>Early Cyclicals</x:v>
      </x:c>
      <x:c r="G204" s="13" t="str">
        <x:v>grid_wekqfxnd.xlsx</x:v>
      </x:c>
    </x:row>
    <x:row r="205">
      <x:c r="A205" s="15" t="n">
        <x:v>40269</x:v>
      </x:c>
      <x:c r="B205" s="13" t="str">
        <x:v>CIA SANEAMENTO BASICO DE SP</x:v>
      </x:c>
      <x:c r="C205" s="16" t="n">
        <x:v>1256.3420440548</x:v>
      </x:c>
      <x:c r="D205" s="13" t="str">
        <x:v>Sanitation</x:v>
      </x:c>
      <x:c r="E205" s="13" t="str">
        <x:v>Utilities</x:v>
      </x:c>
      <x:c r="F205" s="13" t="str">
        <x:v>Defensives</x:v>
      </x:c>
      <x:c r="G205" s="13" t="str">
        <x:v>grid_wekqfxnd.xlsx</x:v>
      </x:c>
    </x:row>
    <x:row r="206">
      <x:c r="A206" s="15" t="n">
        <x:v>40269</x:v>
      </x:c>
      <x:c r="B206" s="13" t="str">
        <x:v>NET SERVICOS DE COMUNI-PREF</x:v>
      </x:c>
      <x:c r="C206" s="16" t="n">
        <x:v>537.5272797808</x:v>
      </x:c>
      <x:c r="D206" s="13" t="str">
        <x:v>TMT</x:v>
      </x:c>
      <x:c r="E206" s="13" t="str">
        <x:v>TMT</x:v>
      </x:c>
      <x:c r="F206" s="13" t="str">
        <x:v>Early Cyclicals</x:v>
      </x:c>
      <x:c r="G206" s="13" t="str">
        <x:v>grid_wekqfxnd.xlsx</x:v>
      </x:c>
    </x:row>
    <x:row r="207">
      <x:c r="A207" s="15" t="n">
        <x:v>40269</x:v>
      </x:c>
      <x:c r="B207" s="13" t="str">
        <x:v>TELE NORTE LESTE PART</x:v>
      </x:c>
      <x:c r="C207" s="16" t="n">
        <x:v>1313.7884878904</x:v>
      </x:c>
      <x:c r="D207" s="13" t="str">
        <x:v>TMT</x:v>
      </x:c>
      <x:c r="E207" s="13" t="str">
        <x:v>TMT</x:v>
      </x:c>
      <x:c r="F207" s="13" t="str">
        <x:v>Early Cyclicals</x:v>
      </x:c>
      <x:c r="G207" s="13" t="str">
        <x:v>grid_wekqfxnd.xlsx</x:v>
      </x:c>
    </x:row>
    <x:row r="208">
      <x:c r="A208" s="15" t="n">
        <x:v>40269</x:v>
      </x:c>
      <x:c r="B208" s="13" t="str">
        <x:v>TELEFONICA BRASIL S.A.-PREF</x:v>
      </x:c>
      <x:c r="C208" s="16" t="n">
        <x:v>2309.2390680548</x:v>
      </x:c>
      <x:c r="D208" s="13" t="str">
        <x:v>TMT</x:v>
      </x:c>
      <x:c r="E208" s="13" t="str">
        <x:v>TMT</x:v>
      </x:c>
      <x:c r="F208" s="13" t="str">
        <x:v>Early Cyclicals</x:v>
      </x:c>
      <x:c r="G208" s="13" t="str">
        <x:v>grid_wekqfxnd.xlsx</x:v>
      </x:c>
    </x:row>
    <x:row r="209">
      <x:c r="A209" s="15" t="n">
        <x:v>40269</x:v>
      </x:c>
      <x:c r="B209" s="13" t="str">
        <x:v>TELEMAR NORTE LESTE SA</x:v>
      </x:c>
      <x:c r="C209" s="16" t="n">
        <x:v>1516.5661966027</x:v>
      </x:c>
      <x:c r="D209" s="13" t="str">
        <x:v>TMT</x:v>
      </x:c>
      <x:c r="E209" s="13" t="str">
        <x:v>TMT</x:v>
      </x:c>
      <x:c r="F209" s="13" t="str">
        <x:v>Early Cyclicals</x:v>
      </x:c>
      <x:c r="G209" s="13" t="str">
        <x:v>grid_wekqfxnd.xlsx</x:v>
      </x:c>
    </x:row>
    <x:row r="210">
      <x:c r="A210" s="15" t="n">
        <x:v>40269</x:v>
      </x:c>
      <x:c r="B210" s="13" t="str">
        <x:v>TIM PARTICIPACOES SA-PREF</x:v>
      </x:c>
      <x:c r="C210" s="16" t="n">
        <x:v>596.7383456438</x:v>
      </x:c>
      <x:c r="D210" s="13" t="str">
        <x:v>TMT</x:v>
      </x:c>
      <x:c r="E210" s="13" t="str">
        <x:v>TMT</x:v>
      </x:c>
      <x:c r="F210" s="13" t="str">
        <x:v>Early Cyclicals</x:v>
      </x:c>
      <x:c r="G210" s="13" t="str">
        <x:v>grid_wekqfxnd.xlsx</x:v>
      </x:c>
    </x:row>
    <x:row r="211">
      <x:c r="A211" s="15" t="n">
        <x:v>40269</x:v>
      </x:c>
      <x:c r="B211" s="13" t="str">
        <x:v>TIM SA</x:v>
      </x:c>
      <x:c r="C211" s="16" t="n">
        <x:v>596.7383456438</x:v>
      </x:c>
      <x:c r="D211" s="13" t="str">
        <x:v>TMT</x:v>
      </x:c>
      <x:c r="E211" s="13" t="str">
        <x:v>TMT</x:v>
      </x:c>
      <x:c r="F211" s="13" t="str">
        <x:v>Early Cyclicals</x:v>
      </x:c>
      <x:c r="G211" s="13" t="str">
        <x:v>grid_wekqfxnd.xlsx</x:v>
      </x:c>
    </x:row>
    <x:row r="212">
      <x:c r="A212" s="15" t="n">
        <x:v>40269</x:v>
      </x:c>
      <x:c r="B212" s="13" t="str">
        <x:v>VIVO PARTICIPACOES SA-PREF</x:v>
      </x:c>
      <x:c r="C212" s="16" t="n">
        <x:v>1609.5408324384</x:v>
      </x:c>
      <x:c r="D212" s="13" t="str">
        <x:v>TMT</x:v>
      </x:c>
      <x:c r="E212" s="13" t="str">
        <x:v>TMT</x:v>
      </x:c>
      <x:c r="F212" s="13" t="str">
        <x:v>Early Cyclicals</x:v>
      </x:c>
      <x:c r="G212" s="13" t="str">
        <x:v>grid_wekqfxnd.xlsx</x:v>
      </x:c>
    </x:row>
    <x:row r="213">
      <x:c r="A213" s="15" t="n">
        <x:v>40269</x:v>
      </x:c>
      <x:c r="B213" s="13" t="str">
        <x:v>ALL AMERICA LATINA LOGISTICA</x:v>
      </x:c>
      <x:c r="C213" s="16" t="n">
        <x:v>245.1308740822</x:v>
      </x:c>
      <x:c r="D213" s="13" t="str">
        <x:v>Transportation</x:v>
      </x:c>
      <x:c r="E213" s="13" t="str">
        <x:v>Transportation</x:v>
      </x:c>
      <x:c r="F213" s="13" t="str">
        <x:v>Deep Cyclicals</x:v>
      </x:c>
      <x:c r="G213" s="13" t="str">
        <x:v>grid_wekqfxnd.xlsx</x:v>
      </x:c>
    </x:row>
    <x:row r="214">
      <x:c r="A214" s="15" t="n">
        <x:v>40269</x:v>
      </x:c>
      <x:c r="B214" s="13" t="str">
        <x:v>GOL LINHAS AEREAS INT SA-PRE</x:v>
      </x:c>
      <x:c r="C214" s="16" t="n">
        <x:v>484.7174606027</x:v>
      </x:c>
      <x:c r="D214" s="13" t="str">
        <x:v>Transportation</x:v>
      </x:c>
      <x:c r="E214" s="13" t="str">
        <x:v>Transportation</x:v>
      </x:c>
      <x:c r="F214" s="13" t="str">
        <x:v>Deep Cyclicals</x:v>
      </x:c>
      <x:c r="G214" s="13" t="str">
        <x:v>grid_wekqfxnd.xlsx</x:v>
      </x:c>
    </x:row>
    <x:row r="215">
      <x:c r="A215" s="15" t="n">
        <x:v>40269</x:v>
      </x:c>
      <x:c r="B215" s="13" t="str">
        <x:v>MOTIVA INFRAESTRUTURA DE MOB</x:v>
      </x:c>
      <x:c r="C215" s="16" t="n">
        <x:v>949.5689293151</x:v>
      </x:c>
      <x:c r="D215" s="13" t="str">
        <x:v>Transportation</x:v>
      </x:c>
      <x:c r="E215" s="13" t="str">
        <x:v>Transportation</x:v>
      </x:c>
      <x:c r="F215" s="13" t="str">
        <x:v>Deep Cyclicals</x:v>
      </x:c>
      <x:c r="G215" s="13" t="str">
        <x:v>grid_wekqfxnd.xlsx</x:v>
      </x:c>
    </x:row>
    <x:row r="216">
      <x:c r="A216" s="15" t="n">
        <x:v>40269</x:v>
      </x:c>
      <x:c r="B216" s="13" t="str">
        <x:v>PRUMO LOGISTICA SA</x:v>
      </x:c>
      <x:c r="C216" s="16" t="n">
        <x:v>-229.6575342466</x:v>
      </x:c>
      <x:c r="D216" s="13" t="str">
        <x:v>Transportation</x:v>
      </x:c>
      <x:c r="E216" s="13" t="str">
        <x:v>Transportation</x:v>
      </x:c>
      <x:c r="F216" s="13" t="str">
        <x:v>Deep Cyclicals</x:v>
      </x:c>
      <x:c r="G216" s="13" t="str">
        <x:v>grid_wekqfxnd.xlsx</x:v>
      </x:c>
    </x:row>
    <x:row r="217">
      <x:c r="A217" s="15" t="n">
        <x:v>40269</x:v>
      </x:c>
      <x:c r="B217" s="13" t="str">
        <x:v>TAM SA-PREF</x:v>
      </x:c>
      <x:c r="C217" s="16" t="n">
        <x:v>275.7578082192</x:v>
      </x:c>
      <x:c r="D217" s="13" t="str">
        <x:v>Transportation</x:v>
      </x:c>
      <x:c r="E217" s="13" t="str">
        <x:v>Transportation</x:v>
      </x:c>
      <x:c r="F217" s="13" t="str">
        <x:v>Deep Cyclicals</x:v>
      </x:c>
      <x:c r="G217" s="13" t="str">
        <x:v>grid_wekqfxnd.xlsx</x:v>
      </x:c>
    </x:row>
    <x:row r="218">
      <x:c r="A218" s="15" t="n">
        <x:v>40269</x:v>
      </x:c>
      <x:c r="B218" s="13" t="str">
        <x:v>AXIA ENERGIA SA</x:v>
      </x:c>
      <x:c r="C218" s="16" t="n">
        <x:v>3065.2366378082</x:v>
      </x:c>
      <x:c r="D218" s="13" t="str">
        <x:v>Utilities &amp; Energy</x:v>
      </x:c>
      <x:c r="E218" s="13" t="str">
        <x:v>Utilities</x:v>
      </x:c>
      <x:c r="F218" s="13" t="str">
        <x:v>Defensives</x:v>
      </x:c>
      <x:c r="G218" s="13" t="str">
        <x:v>grid_wekqfxnd.xlsx</x:v>
      </x:c>
    </x:row>
    <x:row r="219">
      <x:c r="A219" s="15" t="n">
        <x:v>40269</x:v>
      </x:c>
      <x:c r="B219" s="13" t="str">
        <x:v>AXIA ENERGIA-PR B</x:v>
      </x:c>
      <x:c r="C219" s="16" t="n">
        <x:v>3065.2366378082</x:v>
      </x:c>
      <x:c r="D219" s="13" t="str">
        <x:v>Utilities &amp; Energy</x:v>
      </x:c>
      <x:c r="E219" s="13" t="str">
        <x:v>Utilities</x:v>
      </x:c>
      <x:c r="F219" s="13" t="str">
        <x:v>Defensives</x:v>
      </x:c>
      <x:c r="G219" s="13" t="str">
        <x:v>grid_wekqfxnd.xlsx</x:v>
      </x:c>
    </x:row>
    <x:row r="220">
      <x:c r="A220" s="15" t="n">
        <x:v>40269</x:v>
      </x:c>
      <x:c r="B220" s="13" t="str">
        <x:v>CESP - CIA ENERGETICA DE SAO</x:v>
      </x:c>
      <x:c r="C220" s="16" t="n">
        <x:v>634.2500962192</x:v>
      </x:c>
      <x:c r="D220" s="13" t="str">
        <x:v>Utilities &amp; Energy</x:v>
      </x:c>
      <x:c r="E220" s="13" t="str">
        <x:v>Utilities</x:v>
      </x:c>
      <x:c r="F220" s="13" t="str">
        <x:v>Defensives</x:v>
      </x:c>
      <x:c r="G220" s="13" t="str">
        <x:v>grid_wekqfxnd.xlsx</x:v>
      </x:c>
    </x:row>
    <x:row r="221">
      <x:c r="A221" s="15" t="n">
        <x:v>40269</x:v>
      </x:c>
      <x:c r="B221" s="13" t="str">
        <x:v>CIA ENERGETICA MINAS GER-PRF</x:v>
      </x:c>
      <x:c r="C221" s="16" t="n">
        <x:v>2125.6155739178</x:v>
      </x:c>
      <x:c r="D221" s="13" t="str">
        <x:v>Utilities &amp; Energy</x:v>
      </x:c>
      <x:c r="E221" s="13" t="str">
        <x:v>Utilities</x:v>
      </x:c>
      <x:c r="F221" s="13" t="str">
        <x:v>Defensives</x:v>
      </x:c>
      <x:c r="G221" s="13" t="str">
        <x:v>grid_wekqfxnd.xlsx</x:v>
      </x:c>
    </x:row>
    <x:row r="222">
      <x:c r="A222" s="15" t="n">
        <x:v>40269</x:v>
      </x:c>
      <x:c r="B222" s="13" t="str">
        <x:v>COMPANHIA PARANAENSE -PREF B</x:v>
      </x:c>
      <x:c r="C222" s="16" t="n">
        <x:v>1065.5762963288</x:v>
      </x:c>
      <x:c r="D222" s="13" t="str">
        <x:v>Utilities &amp; Energy</x:v>
      </x:c>
      <x:c r="E222" s="13" t="str">
        <x:v>Utilities</x:v>
      </x:c>
      <x:c r="F222" s="13" t="str">
        <x:v>Defensives</x:v>
      </x:c>
      <x:c r="G222" s="13" t="str">
        <x:v>grid_wekqfxnd.xlsx</x:v>
      </x:c>
    </x:row>
    <x:row r="223">
      <x:c r="A223" s="15" t="n">
        <x:v>40269</x:v>
      </x:c>
      <x:c r="B223" s="13" t="str">
        <x:v>CPFL ENERGIA SA</x:v>
      </x:c>
      <x:c r="C223" s="16" t="n">
        <x:v>1485.3970077808</x:v>
      </x:c>
      <x:c r="D223" s="13" t="str">
        <x:v>Utilities &amp; Energy</x:v>
      </x:c>
      <x:c r="E223" s="13" t="str">
        <x:v>Utilities</x:v>
      </x:c>
      <x:c r="F223" s="13" t="str">
        <x:v>Defensives</x:v>
      </x:c>
      <x:c r="G223" s="13" t="str">
        <x:v>grid_wekqfxnd.xlsx</x:v>
      </x:c>
    </x:row>
    <x:row r="224">
      <x:c r="A224" s="15" t="n">
        <x:v>40269</x:v>
      </x:c>
      <x:c r="B224" s="13" t="str">
        <x:v>ISA ENERGIA BRASIL SA</x:v>
      </x:c>
      <x:c r="C224" s="16" t="n">
        <x:v>820.9221400548</x:v>
      </x:c>
      <x:c r="D224" s="13" t="str">
        <x:v>Utilities &amp; Energy</x:v>
      </x:c>
      <x:c r="E224" s="13" t="str">
        <x:v>Utilities</x:v>
      </x:c>
      <x:c r="F224" s="13" t="str">
        <x:v>Defensives</x:v>
      </x:c>
      <x:c r="G224" s="13" t="str">
        <x:v>grid_wekqfxnd.xlsx</x:v>
      </x:c>
    </x:row>
    <x:row r="225">
      <x:c r="A225" s="15" t="n">
        <x:v>40269</x:v>
      </x:c>
      <x:c r="B225" s="13" t="str">
        <x:v>LIGHT SA</x:v>
      </x:c>
      <x:c r="C225" s="16" t="n">
        <x:v>565.2644927123</x:v>
      </x:c>
      <x:c r="D225" s="13" t="str">
        <x:v>Utilities &amp; Energy</x:v>
      </x:c>
      <x:c r="E225" s="13" t="str">
        <x:v>Utilities</x:v>
      </x:c>
      <x:c r="F225" s="13" t="str">
        <x:v>Defensives</x:v>
      </x:c>
      <x:c r="G225" s="13" t="str">
        <x:v>grid_wekqfxnd.xlsx</x:v>
      </x:c>
    </x:row>
    <x:row r="226">
      <x:c r="A226" s="15" t="n">
        <x:v>40299</x:v>
      </x:c>
      <x:c r="B226" s="13" t="str">
        <x:v>BANCO BRADESCO SA-PREF</x:v>
      </x:c>
      <x:c r="C226" s="16" t="n">
        <x:v>9703.3825827069</x:v>
      </x:c>
      <x:c r="D226" s="13" t="str">
        <x:v>Banks</x:v>
      </x:c>
      <x:c r="E226" s="13" t="str">
        <x:v>Banks</x:v>
      </x:c>
      <x:c r="F226" s="13" t="str">
        <x:v>Financials</x:v>
      </x:c>
      <x:c r="G226" s="13" t="str">
        <x:v>grid_wekqfxnd.xlsx</x:v>
      </x:c>
    </x:row>
    <x:row r="227">
      <x:c r="A227" s="15" t="n">
        <x:v>40299</x:v>
      </x:c>
      <x:c r="B227" s="13" t="str">
        <x:v>BANCO DO BRASIL S.A.</x:v>
      </x:c>
      <x:c r="C227" s="16" t="n">
        <x:v>9118.1438723507</x:v>
      </x:c>
      <x:c r="D227" s="13" t="str">
        <x:v>Banks</x:v>
      </x:c>
      <x:c r="E227" s="13" t="str">
        <x:v>Banks</x:v>
      </x:c>
      <x:c r="F227" s="13" t="str">
        <x:v>Financials</x:v>
      </x:c>
      <x:c r="G227" s="13" t="str">
        <x:v>grid_wekqfxnd.xlsx</x:v>
      </x:c>
    </x:row>
    <x:row r="228">
      <x:c r="A228" s="15" t="n">
        <x:v>40299</x:v>
      </x:c>
      <x:c r="B228" s="13" t="str">
        <x:v>ITAU UNIBANCO HOLDING S-PREF</x:v>
      </x:c>
      <x:c r="C228" s="16" t="n">
        <x:v>13813.4054659507</x:v>
      </x:c>
      <x:c r="D228" s="13" t="str">
        <x:v>Banks</x:v>
      </x:c>
      <x:c r="E228" s="13" t="str">
        <x:v>Banks</x:v>
      </x:c>
      <x:c r="F228" s="13" t="str">
        <x:v>Financials</x:v>
      </x:c>
      <x:c r="G228" s="13" t="str">
        <x:v>grid_wekqfxnd.xlsx</x:v>
      </x:c>
    </x:row>
    <x:row r="229">
      <x:c r="A229" s="15" t="n">
        <x:v>40299</x:v>
      </x:c>
      <x:c r="B229" s="13" t="str">
        <x:v>EMBRAER SA</x:v>
      </x:c>
      <x:c r="C229" s="16" t="n">
        <x:v>439.3563174575</x:v>
      </x:c>
      <x:c r="D229" s="13" t="str">
        <x:v>Capital Goods</x:v>
      </x:c>
      <x:c r="E229" s="13" t="str">
        <x:v>Capital Goods</x:v>
      </x:c>
      <x:c r="F229" s="13" t="str">
        <x:v>Deep Cyclicals</x:v>
      </x:c>
      <x:c r="G229" s="13" t="str">
        <x:v>grid_wekqfxnd.xlsx</x:v>
      </x:c>
    </x:row>
    <x:row r="230">
      <x:c r="A230" s="15" t="n">
        <x:v>40299</x:v>
      </x:c>
      <x:c r="B230" s="13" t="str">
        <x:v>B3 SA-BRASIL BOLSA BALCAO</x:v>
      </x:c>
      <x:c r="C230" s="16" t="n">
        <x:v>1582.116005874</x:v>
      </x:c>
      <x:c r="D230" s="13" t="str">
        <x:v>Financials Non-Banks</x:v>
      </x:c>
      <x:c r="E230" s="13" t="str">
        <x:v>Financials Non-Banks</x:v>
      </x:c>
      <x:c r="F230" s="13" t="str">
        <x:v>Financials</x:v>
      </x:c>
      <x:c r="G230" s="13" t="str">
        <x:v>grid_wekqfxnd.xlsx</x:v>
      </x:c>
    </x:row>
    <x:row r="231">
      <x:c r="A231" s="15" t="n">
        <x:v>40299</x:v>
      </x:c>
      <x:c r="B231" s="13" t="str">
        <x:v>CIELO SA - INSTITUICAO DE PA</x:v>
      </x:c>
      <x:c r="C231" s="16" t="n">
        <x:v>1842.4477997589</x:v>
      </x:c>
      <x:c r="D231" s="13" t="str">
        <x:v>Financials Non-Banks</x:v>
      </x:c>
      <x:c r="E231" s="13" t="str">
        <x:v>Financials Non-Banks</x:v>
      </x:c>
      <x:c r="F231" s="13" t="str">
        <x:v>Financials</x:v>
      </x:c>
      <x:c r="G231" s="13" t="str">
        <x:v>grid_wekqfxnd.xlsx</x:v>
      </x:c>
    </x:row>
    <x:row r="232">
      <x:c r="A232" s="15" t="n">
        <x:v>40299</x:v>
      </x:c>
      <x:c r="B232" s="13" t="str">
        <x:v>ITAUSA SA</x:v>
      </x:c>
      <x:c r="C232" s="16" t="n">
        <x:v>5122.8436045151</x:v>
      </x:c>
      <x:c r="D232" s="13" t="str">
        <x:v>Financials Non-Banks</x:v>
      </x:c>
      <x:c r="E232" s="13" t="str">
        <x:v>Financials Non-Banks</x:v>
      </x:c>
      <x:c r="F232" s="13" t="str">
        <x:v>Financials</x:v>
      </x:c>
      <x:c r="G232" s="13" t="str">
        <x:v>grid_wekqfxnd.xlsx</x:v>
      </x:c>
    </x:row>
    <x:row r="233">
      <x:c r="A233" s="15" t="n">
        <x:v>40299</x:v>
      </x:c>
      <x:c r="B233" s="13" t="str">
        <x:v>REDECARD INSTITUICAO DE PAGA</x:v>
      </x:c>
      <x:c r="C233" s="16" t="n">
        <x:v>1527.007493611</x:v>
      </x:c>
      <x:c r="D233" s="13" t="str">
        <x:v>Financials Non-Banks</x:v>
      </x:c>
      <x:c r="E233" s="13" t="str">
        <x:v>Financials Non-Banks</x:v>
      </x:c>
      <x:c r="F233" s="13" t="str">
        <x:v>Financials</x:v>
      </x:c>
      <x:c r="G233" s="13" t="str">
        <x:v>grid_wekqfxnd.xlsx</x:v>
      </x:c>
    </x:row>
    <x:row r="234">
      <x:c r="A234" s="15" t="n">
        <x:v>40299</x:v>
      </x:c>
      <x:c r="B234" s="13" t="str">
        <x:v>AMBEV SA</x:v>
      </x:c>
      <x:c r="C234" s="16" t="n">
        <x:v>6821.8759644931</x:v>
      </x:c>
      <x:c r="D234" s="13" t="str">
        <x:v>Food &amp; Beverages</x:v>
      </x:c>
      <x:c r="E234" s="13" t="str">
        <x:v>Agri, Food &amp; Beverages</x:v>
      </x:c>
      <x:c r="F234" s="13" t="str">
        <x:v>Defensives</x:v>
      </x:c>
      <x:c r="G234" s="13" t="str">
        <x:v>grid_wekqfxnd.xlsx</x:v>
      </x:c>
    </x:row>
    <x:row r="235">
      <x:c r="A235" s="15" t="n">
        <x:v>40299</x:v>
      </x:c>
      <x:c r="B235" s="13" t="str">
        <x:v>BRF SA</x:v>
      </x:c>
      <x:c r="C235" s="16" t="n">
        <x:v>736.005421589</x:v>
      </x:c>
      <x:c r="D235" s="13" t="str">
        <x:v>Food &amp; Beverages</x:v>
      </x:c>
      <x:c r="E235" s="13" t="str">
        <x:v>Agri, Food &amp; Beverages</x:v>
      </x:c>
      <x:c r="F235" s="13" t="str">
        <x:v>Defensives</x:v>
      </x:c>
      <x:c r="G235" s="13" t="str">
        <x:v>grid_wekqfxnd.xlsx</x:v>
      </x:c>
    </x:row>
    <x:row r="236">
      <x:c r="A236" s="15" t="n">
        <x:v>40299</x:v>
      </x:c>
      <x:c r="B236" s="13" t="str">
        <x:v>SOUZA CRUZ LTDA</x:v>
      </x:c>
      <x:c r="C236" s="16" t="n">
        <x:v>1426.6893525918</x:v>
      </x:c>
      <x:c r="D236" s="13" t="str">
        <x:v>Food &amp; Beverages</x:v>
      </x:c>
      <x:c r="E236" s="13" t="str">
        <x:v>Agri, Food &amp; Beverages</x:v>
      </x:c>
      <x:c r="F236" s="13" t="str">
        <x:v>Defensives</x:v>
      </x:c>
      <x:c r="G236" s="13" t="str">
        <x:v>grid_wekqfxnd.xlsx</x:v>
      </x:c>
    </x:row>
    <x:row r="237">
      <x:c r="A237" s="15" t="n">
        <x:v>40299</x:v>
      </x:c>
      <x:c r="B237" s="13" t="str">
        <x:v>AGRE EMPREENDIMENTOS IMOBILI</x:v>
      </x:c>
      <x:c r="C237" s="16" t="n">
        <x:v>286.3671232877</x:v>
      </x:c>
      <x:c r="D237" s="13" t="str">
        <x:v>Homebuilders</x:v>
      </x:c>
      <x:c r="E237" s="13" t="str">
        <x:v>Real Estate</x:v>
      </x:c>
      <x:c r="F237" s="13" t="str">
        <x:v>Early Cyclicals</x:v>
      </x:c>
      <x:c r="G237" s="13" t="str">
        <x:v>grid_wekqfxnd.xlsx</x:v>
      </x:c>
    </x:row>
    <x:row r="238">
      <x:c r="A238" s="15" t="n">
        <x:v>40299</x:v>
      </x:c>
      <x:c r="B238" s="13" t="str">
        <x:v>CYRELA BRAZIL REALTY SA EMP</x:v>
      </x:c>
      <x:c r="C238" s="16" t="n">
        <x:v>865.172026389</x:v>
      </x:c>
      <x:c r="D238" s="13" t="str">
        <x:v>Homebuilders</x:v>
      </x:c>
      <x:c r="E238" s="13" t="str">
        <x:v>Real Estate</x:v>
      </x:c>
      <x:c r="F238" s="13" t="str">
        <x:v>Early Cyclicals</x:v>
      </x:c>
      <x:c r="G238" s="13" t="str">
        <x:v>grid_wekqfxnd.xlsx</x:v>
      </x:c>
    </x:row>
    <x:row r="239">
      <x:c r="A239" s="15" t="n">
        <x:v>40299</x:v>
      </x:c>
      <x:c r="B239" s="13" t="str">
        <x:v>GAFISA SA</x:v>
      </x:c>
      <x:c r="C239" s="16" t="n">
        <x:v>459.5519879014</x:v>
      </x:c>
      <x:c r="D239" s="13" t="str">
        <x:v>Homebuilders</x:v>
      </x:c>
      <x:c r="E239" s="13" t="str">
        <x:v>Real Estate</x:v>
      </x:c>
      <x:c r="F239" s="13" t="str">
        <x:v>Early Cyclicals</x:v>
      </x:c>
      <x:c r="G239" s="13" t="str">
        <x:v>grid_wekqfxnd.xlsx</x:v>
      </x:c>
    </x:row>
    <x:row r="240">
      <x:c r="A240" s="15" t="n">
        <x:v>40299</x:v>
      </x:c>
      <x:c r="B240" s="13" t="str">
        <x:v>MRV ENGENHARIA</x:v>
      </x:c>
      <x:c r="C240" s="16" t="n">
        <x:v>648.2878043178</x:v>
      </x:c>
      <x:c r="D240" s="13" t="str">
        <x:v>Homebuilders</x:v>
      </x:c>
      <x:c r="E240" s="13" t="str">
        <x:v>Real Estate</x:v>
      </x:c>
      <x:c r="F240" s="13" t="str">
        <x:v>Early Cyclicals</x:v>
      </x:c>
      <x:c r="G240" s="13" t="str">
        <x:v>grid_wekqfxnd.xlsx</x:v>
      </x:c>
    </x:row>
    <x:row r="241">
      <x:c r="A241" s="15" t="n">
        <x:v>40299</x:v>
      </x:c>
      <x:c r="B241" s="13" t="str">
        <x:v>PDG REALTY SA</x:v>
      </x:c>
      <x:c r="C241" s="16" t="n">
        <x:v>693.7852675507</x:v>
      </x:c>
      <x:c r="D241" s="13" t="str">
        <x:v>Homebuilders</x:v>
      </x:c>
      <x:c r="E241" s="13" t="str">
        <x:v>Real Estate</x:v>
      </x:c>
      <x:c r="F241" s="13" t="str">
        <x:v>Early Cyclicals</x:v>
      </x:c>
      <x:c r="G241" s="13" t="str">
        <x:v>grid_wekqfxnd.xlsx</x:v>
      </x:c>
    </x:row>
    <x:row r="242">
      <x:c r="A242" s="15" t="n">
        <x:v>40299</x:v>
      </x:c>
      <x:c r="B242" s="13" t="str">
        <x:v>ROSSI RESIDENCIAL SA</x:v>
      </x:c>
      <x:c r="C242" s="16" t="n">
        <x:v>447.7733860822</x:v>
      </x:c>
      <x:c r="D242" s="13" t="str">
        <x:v>Homebuilders</x:v>
      </x:c>
      <x:c r="E242" s="13" t="str">
        <x:v>Real Estate</x:v>
      </x:c>
      <x:c r="F242" s="13" t="str">
        <x:v>Early Cyclicals</x:v>
      </x:c>
      <x:c r="G242" s="13" t="str">
        <x:v>grid_wekqfxnd.xlsx</x:v>
      </x:c>
    </x:row>
    <x:row r="243">
      <x:c r="A243" s="15" t="n">
        <x:v>40299</x:v>
      </x:c>
      <x:c r="B243" s="13" t="str">
        <x:v>BRADESPAR SA -PREF</x:v>
      </x:c>
      <x:c r="C243" s="16" t="n">
        <x:v>881.9725839781</x:v>
      </x:c>
      <x:c r="D243" s="13" t="str">
        <x:v>Metals &amp; Mining</x:v>
      </x:c>
      <x:c r="E243" s="13" t="str">
        <x:v>Metals &amp; Mining</x:v>
      </x:c>
      <x:c r="F243" s="13" t="str">
        <x:v>Deep Cyclicals</x:v>
      </x:c>
      <x:c r="G243" s="13" t="str">
        <x:v>grid_wekqfxnd.xlsx</x:v>
      </x:c>
    </x:row>
    <x:row r="244">
      <x:c r="A244" s="15" t="n">
        <x:v>40299</x:v>
      </x:c>
      <x:c r="B244" s="13" t="str">
        <x:v>CIA SIDERURGICA NACIONAL SA</x:v>
      </x:c>
      <x:c r="C244" s="16" t="n">
        <x:v>4173.3491880329</x:v>
      </x:c>
      <x:c r="D244" s="13" t="str">
        <x:v>Metals &amp; Mining</x:v>
      </x:c>
      <x:c r="E244" s="13" t="str">
        <x:v>Metals &amp; Mining</x:v>
      </x:c>
      <x:c r="F244" s="13" t="str">
        <x:v>Deep Cyclicals</x:v>
      </x:c>
      <x:c r="G244" s="13" t="str">
        <x:v>grid_wekqfxnd.xlsx</x:v>
      </x:c>
    </x:row>
    <x:row r="245">
      <x:c r="A245" s="15" t="n">
        <x:v>40299</x:v>
      </x:c>
      <x:c r="B245" s="13" t="str">
        <x:v>GERDAU SA-PREF</x:v>
      </x:c>
      <x:c r="C245" s="16" t="n">
        <x:v>3290.0775325808</x:v>
      </x:c>
      <x:c r="D245" s="13" t="str">
        <x:v>Metals &amp; Mining</x:v>
      </x:c>
      <x:c r="E245" s="13" t="str">
        <x:v>Metals &amp; Mining</x:v>
      </x:c>
      <x:c r="F245" s="13" t="str">
        <x:v>Deep Cyclicals</x:v>
      </x:c>
      <x:c r="G245" s="13" t="str">
        <x:v>grid_wekqfxnd.xlsx</x:v>
      </x:c>
    </x:row>
    <x:row r="246">
      <x:c r="A246" s="15" t="n">
        <x:v>40299</x:v>
      </x:c>
      <x:c r="B246" s="13" t="str">
        <x:v>METALURGICA GERDAU SA-PREF</x:v>
      </x:c>
      <x:c r="C246" s="16" t="n">
        <x:v>1110.8544883726</x:v>
      </x:c>
      <x:c r="D246" s="13" t="str">
        <x:v>Metals &amp; Mining</x:v>
      </x:c>
      <x:c r="E246" s="13" t="str">
        <x:v>Metals &amp; Mining</x:v>
      </x:c>
      <x:c r="F246" s="13" t="str">
        <x:v>Deep Cyclicals</x:v>
      </x:c>
      <x:c r="G246" s="13" t="str">
        <x:v>grid_wekqfxnd.xlsx</x:v>
      </x:c>
    </x:row>
    <x:row r="247">
      <x:c r="A247" s="15" t="n">
        <x:v>40299</x:v>
      </x:c>
      <x:c r="B247" s="13" t="str">
        <x:v>MMX MINERACAO E METALICOS SA</x:v>
      </x:c>
      <x:c r="C247" s="16" t="n">
        <x:v>255.7720986301</x:v>
      </x:c>
      <x:c r="D247" s="13" t="str">
        <x:v>Metals &amp; Mining</x:v>
      </x:c>
      <x:c r="E247" s="13" t="str">
        <x:v>Metals &amp; Mining</x:v>
      </x:c>
      <x:c r="F247" s="13" t="str">
        <x:v>Deep Cyclicals</x:v>
      </x:c>
      <x:c r="G247" s="13" t="str">
        <x:v>grid_wekqfxnd.xlsx</x:v>
      </x:c>
    </x:row>
    <x:row r="248">
      <x:c r="A248" s="15" t="n">
        <x:v>40299</x:v>
      </x:c>
      <x:c r="B248" s="13" t="str">
        <x:v>USINAS SIDER MINAS GER-PF A</x:v>
      </x:c>
      <x:c r="C248" s="16" t="n">
        <x:v>2511.8632742575</x:v>
      </x:c>
      <x:c r="D248" s="13" t="str">
        <x:v>Metals &amp; Mining</x:v>
      </x:c>
      <x:c r="E248" s="13" t="str">
        <x:v>Metals &amp; Mining</x:v>
      </x:c>
      <x:c r="F248" s="13" t="str">
        <x:v>Deep Cyclicals</x:v>
      </x:c>
      <x:c r="G248" s="13" t="str">
        <x:v>grid_wekqfxnd.xlsx</x:v>
      </x:c>
    </x:row>
    <x:row r="249">
      <x:c r="A249" s="15" t="n">
        <x:v>40299</x:v>
      </x:c>
      <x:c r="B249" s="13" t="str">
        <x:v>USINAS SIDERURGICAS DE MINAS</x:v>
      </x:c>
      <x:c r="C249" s="16" t="n">
        <x:v>2511.8632742575</x:v>
      </x:c>
      <x:c r="D249" s="13" t="str">
        <x:v>Metals &amp; Mining</x:v>
      </x:c>
      <x:c r="E249" s="13" t="str">
        <x:v>Metals &amp; Mining</x:v>
      </x:c>
      <x:c r="F249" s="13" t="str">
        <x:v>Deep Cyclicals</x:v>
      </x:c>
      <x:c r="G249" s="13" t="str">
        <x:v>grid_wekqfxnd.xlsx</x:v>
      </x:c>
    </x:row>
    <x:row r="250">
      <x:c r="A250" s="15" t="n">
        <x:v>40299</x:v>
      </x:c>
      <x:c r="B250" s="13" t="str">
        <x:v>VALE SA</x:v>
      </x:c>
      <x:c r="C250" s="16" t="n">
        <x:v>29054.9392482192</x:v>
      </x:c>
      <x:c r="D250" s="13" t="str">
        <x:v>Metals &amp; Mining</x:v>
      </x:c>
      <x:c r="E250" s="13" t="str">
        <x:v>Metals &amp; Mining</x:v>
      </x:c>
      <x:c r="F250" s="13" t="str">
        <x:v>Deep Cyclicals</x:v>
      </x:c>
      <x:c r="G250" s="13" t="str">
        <x:v>grid_wekqfxnd.xlsx</x:v>
      </x:c>
    </x:row>
    <x:row r="251">
      <x:c r="A251" s="15" t="n">
        <x:v>40299</x:v>
      </x:c>
      <x:c r="B251" s="13" t="str">
        <x:v>BRASKEM SA-PREF A</x:v>
      </x:c>
      <x:c r="C251" s="16" t="n">
        <x:v>109.595890411</x:v>
      </x:c>
      <x:c r="D251" s="13" t="str">
        <x:v>Oil, Gas &amp; Petrochemicals</x:v>
      </x:c>
      <x:c r="E251" s="13" t="str">
        <x:v>Oil, Gas &amp; Petrochemicals</x:v>
      </x:c>
      <x:c r="F251" s="13" t="str">
        <x:v>Deep Cyclicals</x:v>
      </x:c>
      <x:c r="G251" s="13" t="str">
        <x:v>grid_wekqfxnd.xlsx</x:v>
      </x:c>
    </x:row>
    <x:row r="252">
      <x:c r="A252" s="15" t="n">
        <x:v>40299</x:v>
      </x:c>
      <x:c r="B252" s="13" t="str">
        <x:v>COSAN SA</x:v>
      </x:c>
      <x:c r="C252" s="16" t="n">
        <x:v>1081.994520548</x:v>
      </x:c>
      <x:c r="D252" s="13" t="str">
        <x:v>Oil, Gas &amp; Petrochemicals</x:v>
      </x:c>
      <x:c r="E252" s="13" t="str">
        <x:v>Oil, Gas &amp; Petrochemicals</x:v>
      </x:c>
      <x:c r="F252" s="13" t="str">
        <x:v>Deep Cyclicals</x:v>
      </x:c>
      <x:c r="G252" s="13" t="str">
        <x:v>grid_wekqfxnd.xlsx</x:v>
      </x:c>
    </x:row>
    <x:row r="253">
      <x:c r="A253" s="15" t="n">
        <x:v>40299</x:v>
      </x:c>
      <x:c r="B253" s="13" t="str">
        <x:v>OLEO E GAS PARTICIPACOES SA</x:v>
      </x:c>
      <x:c r="C253" s="16" t="n">
        <x:v>271.8274780932</x:v>
      </x:c>
      <x:c r="D253" s="13" t="str">
        <x:v>Oil, Gas &amp; Petrochemicals</x:v>
      </x:c>
      <x:c r="E253" s="13" t="str">
        <x:v>Oil, Gas &amp; Petrochemicals</x:v>
      </x:c>
      <x:c r="F253" s="13" t="str">
        <x:v>Deep Cyclicals</x:v>
      </x:c>
      <x:c r="G253" s="13" t="str">
        <x:v>grid_wekqfxnd.xlsx</x:v>
      </x:c>
    </x:row>
    <x:row r="254">
      <x:c r="A254" s="15" t="n">
        <x:v>40299</x:v>
      </x:c>
      <x:c r="B254" s="13" t="str">
        <x:v>PETROBRAS - PETROLEO BRAS</x:v>
      </x:c>
      <x:c r="C254" s="16" t="n">
        <x:v>32083.2421551342</x:v>
      </x:c>
      <x:c r="D254" s="13" t="str">
        <x:v>Oil, Gas &amp; Petrochemicals</x:v>
      </x:c>
      <x:c r="E254" s="13" t="str">
        <x:v>Oil, Gas &amp; Petrochemicals</x:v>
      </x:c>
      <x:c r="F254" s="13" t="str">
        <x:v>Deep Cyclicals</x:v>
      </x:c>
      <x:c r="G254" s="13" t="str">
        <x:v>grid_wekqfxnd.xlsx</x:v>
      </x:c>
    </x:row>
    <x:row r="255">
      <x:c r="A255" s="15" t="n">
        <x:v>40299</x:v>
      </x:c>
      <x:c r="B255" s="13" t="str">
        <x:v>ULTRAPAR PARTICIPACOES-PREF</x:v>
      </x:c>
      <x:c r="C255" s="16" t="n">
        <x:v>717.1663512548</x:v>
      </x:c>
      <x:c r="D255" s="13" t="str">
        <x:v>Oil, Gas &amp; Petrochemicals</x:v>
      </x:c>
      <x:c r="E255" s="13" t="str">
        <x:v>Oil, Gas &amp; Petrochemicals</x:v>
      </x:c>
      <x:c r="F255" s="13" t="str">
        <x:v>Deep Cyclicals</x:v>
      </x:c>
      <x:c r="G255" s="13" t="str">
        <x:v>grid_wekqfxnd.xlsx</x:v>
      </x:c>
    </x:row>
    <x:row r="256">
      <x:c r="A256" s="15" t="n">
        <x:v>40299</x:v>
      </x:c>
      <x:c r="B256" s="13" t="str">
        <x:v>DEXCO SA</x:v>
      </x:c>
      <x:c r="C256" s="16" t="n">
        <x:v>444.0980821918</x:v>
      </x:c>
      <x:c r="D256" s="13" t="str">
        <x:v>Pulp &amp; Paper</x:v>
      </x:c>
      <x:c r="E256" s="13" t="str">
        <x:v>Pulp &amp; Paper</x:v>
      </x:c>
      <x:c r="F256" s="13" t="str">
        <x:v>Deep Cyclicals</x:v>
      </x:c>
      <x:c r="G256" s="13" t="str">
        <x:v>grid_wekqfxnd.xlsx</x:v>
      </x:c>
    </x:row>
    <x:row r="257">
      <x:c r="A257" s="15" t="n">
        <x:v>40299</x:v>
      </x:c>
      <x:c r="B257" s="13" t="str">
        <x:v>FIBRIA CELULOSE S/A</x:v>
      </x:c>
      <x:c r="C257" s="16" t="n">
        <x:v>995.7723420055</x:v>
      </x:c>
      <x:c r="D257" s="13" t="str">
        <x:v>Pulp &amp; Paper</x:v>
      </x:c>
      <x:c r="E257" s="13" t="str">
        <x:v>Pulp &amp; Paper</x:v>
      </x:c>
      <x:c r="F257" s="13" t="str">
        <x:v>Deep Cyclicals</x:v>
      </x:c>
      <x:c r="G257" s="13" t="str">
        <x:v>grid_wekqfxnd.xlsx</x:v>
      </x:c>
    </x:row>
    <x:row r="258">
      <x:c r="A258" s="15" t="n">
        <x:v>40299</x:v>
      </x:c>
      <x:c r="B258" s="13" t="str">
        <x:v>AMERICANAS SA</x:v>
      </x:c>
      <x:c r="C258" s="16" t="n">
        <x:v>132.0508219178</x:v>
      </x:c>
      <x:c r="D258" s="13" t="str">
        <x:v>Retail</x:v>
      </x:c>
      <x:c r="E258" s="13" t="str">
        <x:v>Retail</x:v>
      </x:c>
      <x:c r="F258" s="13" t="str">
        <x:v>Early Cyclicals</x:v>
      </x:c>
      <x:c r="G258" s="13" t="str">
        <x:v>grid_wekqfxnd.xlsx</x:v>
      </x:c>
    </x:row>
    <x:row r="259">
      <x:c r="A259" s="15" t="n">
        <x:v>40299</x:v>
      </x:c>
      <x:c r="B259" s="13" t="str">
        <x:v>CIA BRASILEIRA DE DIS-PREF</x:v>
      </x:c>
      <x:c r="C259" s="16" t="n">
        <x:v>784.5218561753</x:v>
      </x:c>
      <x:c r="D259" s="13" t="str">
        <x:v>Retail</x:v>
      </x:c>
      <x:c r="E259" s="13" t="str">
        <x:v>Retail</x:v>
      </x:c>
      <x:c r="F259" s="13" t="str">
        <x:v>Early Cyclicals</x:v>
      </x:c>
      <x:c r="G259" s="13" t="str">
        <x:v>grid_wekqfxnd.xlsx</x:v>
      </x:c>
    </x:row>
    <x:row r="260">
      <x:c r="A260" s="15" t="n">
        <x:v>40299</x:v>
      </x:c>
      <x:c r="B260" s="13" t="str">
        <x:v>LOJAS AMERICANAS SA-PREF</x:v>
      </x:c>
      <x:c r="C260" s="16" t="n">
        <x:v>294.9154361863</x:v>
      </x:c>
      <x:c r="D260" s="13" t="str">
        <x:v>Retail</x:v>
      </x:c>
      <x:c r="E260" s="13" t="str">
        <x:v>Retail</x:v>
      </x:c>
      <x:c r="F260" s="13" t="str">
        <x:v>Early Cyclicals</x:v>
      </x:c>
      <x:c r="G260" s="13" t="str">
        <x:v>grid_wekqfxnd.xlsx</x:v>
      </x:c>
    </x:row>
    <x:row r="261">
      <x:c r="A261" s="15" t="n">
        <x:v>40299</x:v>
      </x:c>
      <x:c r="B261" s="13" t="str">
        <x:v>LOJAS RENNER S.A.</x:v>
      </x:c>
      <x:c r="C261" s="16" t="n">
        <x:v>267.1958454356</x:v>
      </x:c>
      <x:c r="D261" s="13" t="str">
        <x:v>Retail</x:v>
      </x:c>
      <x:c r="E261" s="13" t="str">
        <x:v>Retail</x:v>
      </x:c>
      <x:c r="F261" s="13" t="str">
        <x:v>Early Cyclicals</x:v>
      </x:c>
      <x:c r="G261" s="13" t="str">
        <x:v>grid_wekqfxnd.xlsx</x:v>
      </x:c>
    </x:row>
    <x:row r="262">
      <x:c r="A262" s="15" t="n">
        <x:v>40299</x:v>
      </x:c>
      <x:c r="B262" s="13" t="str">
        <x:v>NATURA COSMETICOS SA</x:v>
      </x:c>
      <x:c r="C262" s="16" t="n">
        <x:v>804.1754944877</x:v>
      </x:c>
      <x:c r="D262" s="13" t="str">
        <x:v>Retail</x:v>
      </x:c>
      <x:c r="E262" s="13" t="str">
        <x:v>Retail</x:v>
      </x:c>
      <x:c r="F262" s="13" t="str">
        <x:v>Early Cyclicals</x:v>
      </x:c>
      <x:c r="G262" s="13" t="str">
        <x:v>grid_wekqfxnd.xlsx</x:v>
      </x:c>
    </x:row>
    <x:row r="263">
      <x:c r="A263" s="15" t="n">
        <x:v>40299</x:v>
      </x:c>
      <x:c r="B263" s="13" t="str">
        <x:v>CIA SANEAMENTO BASICO DE SP</x:v>
      </x:c>
      <x:c r="C263" s="16" t="n">
        <x:v>1215.4365233096</x:v>
      </x:c>
      <x:c r="D263" s="13" t="str">
        <x:v>Sanitation</x:v>
      </x:c>
      <x:c r="E263" s="13" t="str">
        <x:v>Utilities</x:v>
      </x:c>
      <x:c r="F263" s="13" t="str">
        <x:v>Defensives</x:v>
      </x:c>
      <x:c r="G263" s="13" t="str">
        <x:v>grid_wekqfxnd.xlsx</x:v>
      </x:c>
    </x:row>
    <x:row r="264">
      <x:c r="A264" s="15" t="n">
        <x:v>40299</x:v>
      </x:c>
      <x:c r="B264" s="13" t="str">
        <x:v>NET SERVICOS DE COMUNI-PREF</x:v>
      </x:c>
      <x:c r="C264" s="16" t="n">
        <x:v>487.9194029589</x:v>
      </x:c>
      <x:c r="D264" s="13" t="str">
        <x:v>TMT</x:v>
      </x:c>
      <x:c r="E264" s="13" t="str">
        <x:v>TMT</x:v>
      </x:c>
      <x:c r="F264" s="13" t="str">
        <x:v>Early Cyclicals</x:v>
      </x:c>
      <x:c r="G264" s="13" t="str">
        <x:v>grid_wekqfxnd.xlsx</x:v>
      </x:c>
    </x:row>
    <x:row r="265">
      <x:c r="A265" s="15" t="n">
        <x:v>40299</x:v>
      </x:c>
      <x:c r="B265" s="13" t="str">
        <x:v>TELE NORTE LESTE PART</x:v>
      </x:c>
      <x:c r="C265" s="16" t="n">
        <x:v>1262.0479358247</x:v>
      </x:c>
      <x:c r="D265" s="13" t="str">
        <x:v>TMT</x:v>
      </x:c>
      <x:c r="E265" s="13" t="str">
        <x:v>TMT</x:v>
      </x:c>
      <x:c r="F265" s="13" t="str">
        <x:v>Early Cyclicals</x:v>
      </x:c>
      <x:c r="G265" s="13" t="str">
        <x:v>grid_wekqfxnd.xlsx</x:v>
      </x:c>
    </x:row>
    <x:row r="266">
      <x:c r="A266" s="15" t="n">
        <x:v>40299</x:v>
      </x:c>
      <x:c r="B266" s="13" t="str">
        <x:v>TELEFONICA BRASIL S.A.-PREF</x:v>
      </x:c>
      <x:c r="C266" s="16" t="n">
        <x:v>2212.3363889096</x:v>
      </x:c>
      <x:c r="D266" s="13" t="str">
        <x:v>TMT</x:v>
      </x:c>
      <x:c r="E266" s="13" t="str">
        <x:v>TMT</x:v>
      </x:c>
      <x:c r="F266" s="13" t="str">
        <x:v>Early Cyclicals</x:v>
      </x:c>
      <x:c r="G266" s="13" t="str">
        <x:v>grid_wekqfxnd.xlsx</x:v>
      </x:c>
    </x:row>
    <x:row r="267">
      <x:c r="A267" s="15" t="n">
        <x:v>40299</x:v>
      </x:c>
      <x:c r="B267" s="13" t="str">
        <x:v>TELEMAR NORTE LESTE SA</x:v>
      </x:c>
      <x:c r="C267" s="16" t="n">
        <x:v>1732.7896155178</x:v>
      </x:c>
      <x:c r="D267" s="13" t="str">
        <x:v>TMT</x:v>
      </x:c>
      <x:c r="E267" s="13" t="str">
        <x:v>TMT</x:v>
      </x:c>
      <x:c r="F267" s="13" t="str">
        <x:v>Early Cyclicals</x:v>
      </x:c>
      <x:c r="G267" s="13" t="str">
        <x:v>grid_wekqfxnd.xlsx</x:v>
      </x:c>
    </x:row>
    <x:row r="268">
      <x:c r="A268" s="15" t="n">
        <x:v>40299</x:v>
      </x:c>
      <x:c r="B268" s="13" t="str">
        <x:v>TIM PARTICIPACOES SA-PREF</x:v>
      </x:c>
      <x:c r="C268" s="16" t="n">
        <x:v>592.7117078795</x:v>
      </x:c>
      <x:c r="D268" s="13" t="str">
        <x:v>TMT</x:v>
      </x:c>
      <x:c r="E268" s="13" t="str">
        <x:v>TMT</x:v>
      </x:c>
      <x:c r="F268" s="13" t="str">
        <x:v>Early Cyclicals</x:v>
      </x:c>
      <x:c r="G268" s="13" t="str">
        <x:v>grid_wekqfxnd.xlsx</x:v>
      </x:c>
    </x:row>
    <x:row r="269">
      <x:c r="A269" s="15" t="n">
        <x:v>40299</x:v>
      </x:c>
      <x:c r="B269" s="13" t="str">
        <x:v>TIM SA</x:v>
      </x:c>
      <x:c r="C269" s="16" t="n">
        <x:v>592.7117078795</x:v>
      </x:c>
      <x:c r="D269" s="13" t="str">
        <x:v>TMT</x:v>
      </x:c>
      <x:c r="E269" s="13" t="str">
        <x:v>TMT</x:v>
      </x:c>
      <x:c r="F269" s="13" t="str">
        <x:v>Early Cyclicals</x:v>
      </x:c>
      <x:c r="G269" s="13" t="str">
        <x:v>grid_wekqfxnd.xlsx</x:v>
      </x:c>
    </x:row>
    <x:row r="270">
      <x:c r="A270" s="15" t="n">
        <x:v>40299</x:v>
      </x:c>
      <x:c r="B270" s="13" t="str">
        <x:v>VIVO PARTICIPACOES SA-PREF</x:v>
      </x:c>
      <x:c r="C270" s="16" t="n">
        <x:v>1524.3795221041</x:v>
      </x:c>
      <x:c r="D270" s="13" t="str">
        <x:v>TMT</x:v>
      </x:c>
      <x:c r="E270" s="13" t="str">
        <x:v>TMT</x:v>
      </x:c>
      <x:c r="F270" s="13" t="str">
        <x:v>Early Cyclicals</x:v>
      </x:c>
      <x:c r="G270" s="13" t="str">
        <x:v>grid_wekqfxnd.xlsx</x:v>
      </x:c>
    </x:row>
    <x:row r="271">
      <x:c r="A271" s="15" t="n">
        <x:v>40299</x:v>
      </x:c>
      <x:c r="B271" s="13" t="str">
        <x:v>ALL AMERICA LATINA LOGISTICA</x:v>
      </x:c>
      <x:c r="C271" s="16" t="n">
        <x:v>245.4660383562</x:v>
      </x:c>
      <x:c r="D271" s="13" t="str">
        <x:v>Transportation</x:v>
      </x:c>
      <x:c r="E271" s="13" t="str">
        <x:v>Transportation</x:v>
      </x:c>
      <x:c r="F271" s="13" t="str">
        <x:v>Deep Cyclicals</x:v>
      </x:c>
      <x:c r="G271" s="13" t="str">
        <x:v>grid_wekqfxnd.xlsx</x:v>
      </x:c>
    </x:row>
    <x:row r="272">
      <x:c r="A272" s="15" t="n">
        <x:v>40299</x:v>
      </x:c>
      <x:c r="B272" s="13" t="str">
        <x:v>GOL LINHAS AEREAS INT SA-PRE</x:v>
      </x:c>
      <x:c r="C272" s="16" t="n">
        <x:v>456.8451563836</x:v>
      </x:c>
      <x:c r="D272" s="13" t="str">
        <x:v>Transportation</x:v>
      </x:c>
      <x:c r="E272" s="13" t="str">
        <x:v>Transportation</x:v>
      </x:c>
      <x:c r="F272" s="13" t="str">
        <x:v>Deep Cyclicals</x:v>
      </x:c>
      <x:c r="G272" s="13" t="str">
        <x:v>grid_wekqfxnd.xlsx</x:v>
      </x:c>
    </x:row>
    <x:row r="273">
      <x:c r="A273" s="15" t="n">
        <x:v>40299</x:v>
      </x:c>
      <x:c r="B273" s="13" t="str">
        <x:v>MOTIVA INFRAESTRUTURA DE MOB</x:v>
      </x:c>
      <x:c r="C273" s="16" t="n">
        <x:v>951.0470391233</x:v>
      </x:c>
      <x:c r="D273" s="13" t="str">
        <x:v>Transportation</x:v>
      </x:c>
      <x:c r="E273" s="13" t="str">
        <x:v>Transportation</x:v>
      </x:c>
      <x:c r="F273" s="13" t="str">
        <x:v>Deep Cyclicals</x:v>
      </x:c>
      <x:c r="G273" s="13" t="str">
        <x:v>grid_wekqfxnd.xlsx</x:v>
      </x:c>
    </x:row>
    <x:row r="274">
      <x:c r="A274" s="15" t="n">
        <x:v>40299</x:v>
      </x:c>
      <x:c r="B274" s="13" t="str">
        <x:v>PRUMO LOGISTICA SA</x:v>
      </x:c>
      <x:c r="C274" s="16" t="n">
        <x:v>-234.4595608548</x:v>
      </x:c>
      <x:c r="D274" s="13" t="str">
        <x:v>Transportation</x:v>
      </x:c>
      <x:c r="E274" s="13" t="str">
        <x:v>Transportation</x:v>
      </x:c>
      <x:c r="F274" s="13" t="str">
        <x:v>Deep Cyclicals</x:v>
      </x:c>
      <x:c r="G274" s="13" t="str">
        <x:v>grid_wekqfxnd.xlsx</x:v>
      </x:c>
    </x:row>
    <x:row r="275">
      <x:c r="A275" s="15" t="n">
        <x:v>40299</x:v>
      </x:c>
      <x:c r="B275" s="13" t="str">
        <x:v>TAM SA-PREF</x:v>
      </x:c>
      <x:c r="C275" s="16" t="n">
        <x:v>250.6350684932</x:v>
      </x:c>
      <x:c r="D275" s="13" t="str">
        <x:v>Transportation</x:v>
      </x:c>
      <x:c r="E275" s="13" t="str">
        <x:v>Transportation</x:v>
      </x:c>
      <x:c r="F275" s="13" t="str">
        <x:v>Deep Cyclicals</x:v>
      </x:c>
      <x:c r="G275" s="13" t="str">
        <x:v>grid_wekqfxnd.xlsx</x:v>
      </x:c>
    </x:row>
    <x:row r="276">
      <x:c r="A276" s="15" t="n">
        <x:v>40299</x:v>
      </x:c>
      <x:c r="B276" s="13" t="str">
        <x:v>AXIA ENERGIA SA</x:v>
      </x:c>
      <x:c r="C276" s="16" t="n">
        <x:v>3155.512101874</x:v>
      </x:c>
      <x:c r="D276" s="13" t="str">
        <x:v>Utilities &amp; Energy</x:v>
      </x:c>
      <x:c r="E276" s="13" t="str">
        <x:v>Utilities</x:v>
      </x:c>
      <x:c r="F276" s="13" t="str">
        <x:v>Defensives</x:v>
      </x:c>
      <x:c r="G276" s="13" t="str">
        <x:v>grid_wekqfxnd.xlsx</x:v>
      </x:c>
    </x:row>
    <x:row r="277">
      <x:c r="A277" s="15" t="n">
        <x:v>40299</x:v>
      </x:c>
      <x:c r="B277" s="13" t="str">
        <x:v>AXIA ENERGIA-PR B</x:v>
      </x:c>
      <x:c r="C277" s="16" t="n">
        <x:v>3155.512101874</x:v>
      </x:c>
      <x:c r="D277" s="13" t="str">
        <x:v>Utilities &amp; Energy</x:v>
      </x:c>
      <x:c r="E277" s="13" t="str">
        <x:v>Utilities</x:v>
      </x:c>
      <x:c r="F277" s="13" t="str">
        <x:v>Defensives</x:v>
      </x:c>
      <x:c r="G277" s="13" t="str">
        <x:v>grid_wekqfxnd.xlsx</x:v>
      </x:c>
    </x:row>
    <x:row r="278">
      <x:c r="A278" s="15" t="n">
        <x:v>40299</x:v>
      </x:c>
      <x:c r="B278" s="13" t="str">
        <x:v>CESP - CIA ENERGETICA DE SAO</x:v>
      </x:c>
      <x:c r="C278" s="16" t="n">
        <x:v>591.7968475178</x:v>
      </x:c>
      <x:c r="D278" s="13" t="str">
        <x:v>Utilities &amp; Energy</x:v>
      </x:c>
      <x:c r="E278" s="13" t="str">
        <x:v>Utilities</x:v>
      </x:c>
      <x:c r="F278" s="13" t="str">
        <x:v>Defensives</x:v>
      </x:c>
      <x:c r="G278" s="13" t="str">
        <x:v>grid_wekqfxnd.xlsx</x:v>
      </x:c>
    </x:row>
    <x:row r="279">
      <x:c r="A279" s="15" t="n">
        <x:v>40299</x:v>
      </x:c>
      <x:c r="B279" s="13" t="str">
        <x:v>CIA ENERGETICA MINAS GER-PRF</x:v>
      </x:c>
      <x:c r="C279" s="16" t="n">
        <x:v>2094.265152526</x:v>
      </x:c>
      <x:c r="D279" s="13" t="str">
        <x:v>Utilities &amp; Energy</x:v>
      </x:c>
      <x:c r="E279" s="13" t="str">
        <x:v>Utilities</x:v>
      </x:c>
      <x:c r="F279" s="13" t="str">
        <x:v>Defensives</x:v>
      </x:c>
      <x:c r="G279" s="13" t="str">
        <x:v>grid_wekqfxnd.xlsx</x:v>
      </x:c>
    </x:row>
    <x:row r="280">
      <x:c r="A280" s="15" t="n">
        <x:v>40299</x:v>
      </x:c>
      <x:c r="B280" s="13" t="str">
        <x:v>COMPANHIA PARANAENSE -PREF B</x:v>
      </x:c>
      <x:c r="C280" s="16" t="n">
        <x:v>1071.7201776219</x:v>
      </x:c>
      <x:c r="D280" s="13" t="str">
        <x:v>Utilities &amp; Energy</x:v>
      </x:c>
      <x:c r="E280" s="13" t="str">
        <x:v>Utilities</x:v>
      </x:c>
      <x:c r="F280" s="13" t="str">
        <x:v>Defensives</x:v>
      </x:c>
      <x:c r="G280" s="13" t="str">
        <x:v>grid_wekqfxnd.xlsx</x:v>
      </x:c>
    </x:row>
    <x:row r="281">
      <x:c r="A281" s="15" t="n">
        <x:v>40299</x:v>
      </x:c>
      <x:c r="B281" s="13" t="str">
        <x:v>CPFL ENERGIA SA</x:v>
      </x:c>
      <x:c r="C281" s="16" t="n">
        <x:v>1488.7028928877</x:v>
      </x:c>
      <x:c r="D281" s="13" t="str">
        <x:v>Utilities &amp; Energy</x:v>
      </x:c>
      <x:c r="E281" s="13" t="str">
        <x:v>Utilities</x:v>
      </x:c>
      <x:c r="F281" s="13" t="str">
        <x:v>Defensives</x:v>
      </x:c>
      <x:c r="G281" s="13" t="str">
        <x:v>grid_wekqfxnd.xlsx</x:v>
      </x:c>
    </x:row>
    <x:row r="282">
      <x:c r="A282" s="15" t="n">
        <x:v>40299</x:v>
      </x:c>
      <x:c r="B282" s="13" t="str">
        <x:v>ISA ENERGIA BRASIL SA</x:v>
      </x:c>
      <x:c r="C282" s="16" t="n">
        <x:v>817.5184752219</x:v>
      </x:c>
      <x:c r="D282" s="13" t="str">
        <x:v>Utilities &amp; Energy</x:v>
      </x:c>
      <x:c r="E282" s="13" t="str">
        <x:v>Utilities</x:v>
      </x:c>
      <x:c r="F282" s="13" t="str">
        <x:v>Defensives</x:v>
      </x:c>
      <x:c r="G282" s="13" t="str">
        <x:v>grid_wekqfxnd.xlsx</x:v>
      </x:c>
    </x:row>
    <x:row r="283">
      <x:c r="A283" s="15" t="n">
        <x:v>40299</x:v>
      </x:c>
      <x:c r="B283" s="13" t="str">
        <x:v>LIGHT SA</x:v>
      </x:c>
      <x:c r="C283" s="16" t="n">
        <x:v>571.6769721863</x:v>
      </x:c>
      <x:c r="D283" s="13" t="str">
        <x:v>Utilities &amp; Energy</x:v>
      </x:c>
      <x:c r="E283" s="13" t="str">
        <x:v>Utilities</x:v>
      </x:c>
      <x:c r="F283" s="13" t="str">
        <x:v>Defensives</x:v>
      </x:c>
      <x:c r="G283" s="13" t="str">
        <x:v>grid_wekqfxnd.xlsx</x:v>
      </x:c>
    </x:row>
    <x:row r="284">
      <x:c r="A284" s="15" t="n">
        <x:v>40330</x:v>
      </x:c>
      <x:c r="B284" s="13" t="str">
        <x:v>BANCO BRADESCO SA-PREF</x:v>
      </x:c>
      <x:c r="C284" s="16" t="n">
        <x:v>9838.8481150247</x:v>
      </x:c>
      <x:c r="D284" s="13" t="str">
        <x:v>Banks</x:v>
      </x:c>
      <x:c r="E284" s="13" t="str">
        <x:v>Banks</x:v>
      </x:c>
      <x:c r="F284" s="13" t="str">
        <x:v>Financials</x:v>
      </x:c>
      <x:c r="G284" s="13" t="str">
        <x:v>grid_wekqfxnd.xlsx</x:v>
      </x:c>
    </x:row>
    <x:row r="285">
      <x:c r="A285" s="15" t="n">
        <x:v>40330</x:v>
      </x:c>
      <x:c r="B285" s="13" t="str">
        <x:v>BANCO DO BRASIL S.A.</x:v>
      </x:c>
      <x:c r="C285" s="16" t="n">
        <x:v>9220.8619183343</x:v>
      </x:c>
      <x:c r="D285" s="13" t="str">
        <x:v>Banks</x:v>
      </x:c>
      <x:c r="E285" s="13" t="str">
        <x:v>Banks</x:v>
      </x:c>
      <x:c r="F285" s="13" t="str">
        <x:v>Financials</x:v>
      </x:c>
      <x:c r="G285" s="13" t="str">
        <x:v>grid_wekqfxnd.xlsx</x:v>
      </x:c>
    </x:row>
    <x:row r="286">
      <x:c r="A286" s="15" t="n">
        <x:v>40330</x:v>
      </x:c>
      <x:c r="B286" s="13" t="str">
        <x:v>ITAU UNIBANCO HOLDING S-PREF</x:v>
      </x:c>
      <x:c r="C286" s="16" t="n">
        <x:v>13954.7142312329</x:v>
      </x:c>
      <x:c r="D286" s="13" t="str">
        <x:v>Banks</x:v>
      </x:c>
      <x:c r="E286" s="13" t="str">
        <x:v>Banks</x:v>
      </x:c>
      <x:c r="F286" s="13" t="str">
        <x:v>Financials</x:v>
      </x:c>
      <x:c r="G286" s="13" t="str">
        <x:v>grid_wekqfxnd.xlsx</x:v>
      </x:c>
    </x:row>
    <x:row r="287">
      <x:c r="A287" s="15" t="n">
        <x:v>40330</x:v>
      </x:c>
      <x:c r="B287" s="13" t="str">
        <x:v>EMBRAER SA</x:v>
      </x:c>
      <x:c r="C287" s="16" t="n">
        <x:v>466.1829244493</x:v>
      </x:c>
      <x:c r="D287" s="13" t="str">
        <x:v>Capital Goods</x:v>
      </x:c>
      <x:c r="E287" s="13" t="str">
        <x:v>Capital Goods</x:v>
      </x:c>
      <x:c r="F287" s="13" t="str">
        <x:v>Deep Cyclicals</x:v>
      </x:c>
      <x:c r="G287" s="13" t="str">
        <x:v>grid_wekqfxnd.xlsx</x:v>
      </x:c>
    </x:row>
    <x:row r="288">
      <x:c r="A288" s="15" t="n">
        <x:v>40330</x:v>
      </x:c>
      <x:c r="B288" s="13" t="str">
        <x:v>B3 SA-BRASIL BOLSA BALCAO</x:v>
      </x:c>
      <x:c r="C288" s="16" t="n">
        <x:v>1565.6741481205</x:v>
      </x:c>
      <x:c r="D288" s="13" t="str">
        <x:v>Financials Non-Banks</x:v>
      </x:c>
      <x:c r="E288" s="13" t="str">
        <x:v>Financials Non-Banks</x:v>
      </x:c>
      <x:c r="F288" s="13" t="str">
        <x:v>Financials</x:v>
      </x:c>
      <x:c r="G288" s="13" t="str">
        <x:v>grid_wekqfxnd.xlsx</x:v>
      </x:c>
    </x:row>
    <x:row r="289">
      <x:c r="A289" s="15" t="n">
        <x:v>40330</x:v>
      </x:c>
      <x:c r="B289" s="13" t="str">
        <x:v>CIELO SA - INSTITUICAO DE PA</x:v>
      </x:c>
      <x:c r="C289" s="16" t="n">
        <x:v>1855.0605315507</x:v>
      </x:c>
      <x:c r="D289" s="13" t="str">
        <x:v>Financials Non-Banks</x:v>
      </x:c>
      <x:c r="E289" s="13" t="str">
        <x:v>Financials Non-Banks</x:v>
      </x:c>
      <x:c r="F289" s="13" t="str">
        <x:v>Financials</x:v>
      </x:c>
      <x:c r="G289" s="13" t="str">
        <x:v>grid_wekqfxnd.xlsx</x:v>
      </x:c>
    </x:row>
    <x:row r="290">
      <x:c r="A290" s="15" t="n">
        <x:v>40330</x:v>
      </x:c>
      <x:c r="B290" s="13" t="str">
        <x:v>ITAUSA SA</x:v>
      </x:c>
      <x:c r="C290" s="16" t="n">
        <x:v>5267.197197326</x:v>
      </x:c>
      <x:c r="D290" s="13" t="str">
        <x:v>Financials Non-Banks</x:v>
      </x:c>
      <x:c r="E290" s="13" t="str">
        <x:v>Financials Non-Banks</x:v>
      </x:c>
      <x:c r="F290" s="13" t="str">
        <x:v>Financials</x:v>
      </x:c>
      <x:c r="G290" s="13" t="str">
        <x:v>grid_wekqfxnd.xlsx</x:v>
      </x:c>
    </x:row>
    <x:row r="291">
      <x:c r="A291" s="15" t="n">
        <x:v>40330</x:v>
      </x:c>
      <x:c r="B291" s="13" t="str">
        <x:v>REDECARD INSTITUICAO DE PAGA</x:v>
      </x:c>
      <x:c r="C291" s="16" t="n">
        <x:v>1539.203871211</x:v>
      </x:c>
      <x:c r="D291" s="13" t="str">
        <x:v>Financials Non-Banks</x:v>
      </x:c>
      <x:c r="E291" s="13" t="str">
        <x:v>Financials Non-Banks</x:v>
      </x:c>
      <x:c r="F291" s="13" t="str">
        <x:v>Financials</x:v>
      </x:c>
      <x:c r="G291" s="13" t="str">
        <x:v>grid_wekqfxnd.xlsx</x:v>
      </x:c>
    </x:row>
    <x:row r="292">
      <x:c r="A292" s="15" t="n">
        <x:v>40330</x:v>
      </x:c>
      <x:c r="B292" s="13" t="str">
        <x:v>AMBEV SA</x:v>
      </x:c>
      <x:c r="C292" s="16" t="n">
        <x:v>6893.173210126</x:v>
      </x:c>
      <x:c r="D292" s="13" t="str">
        <x:v>Food &amp; Beverages</x:v>
      </x:c>
      <x:c r="E292" s="13" t="str">
        <x:v>Agri, Food &amp; Beverages</x:v>
      </x:c>
      <x:c r="F292" s="13" t="str">
        <x:v>Defensives</x:v>
      </x:c>
      <x:c r="G292" s="13" t="str">
        <x:v>grid_wekqfxnd.xlsx</x:v>
      </x:c>
    </x:row>
    <x:row r="293">
      <x:c r="A293" s="15" t="n">
        <x:v>40330</x:v>
      </x:c>
      <x:c r="B293" s="13" t="str">
        <x:v>BRF SA</x:v>
      </x:c>
      <x:c r="C293" s="16" t="n">
        <x:v>778.0435192986</x:v>
      </x:c>
      <x:c r="D293" s="13" t="str">
        <x:v>Food &amp; Beverages</x:v>
      </x:c>
      <x:c r="E293" s="13" t="str">
        <x:v>Agri, Food &amp; Beverages</x:v>
      </x:c>
      <x:c r="F293" s="13" t="str">
        <x:v>Defensives</x:v>
      </x:c>
      <x:c r="G293" s="13" t="str">
        <x:v>grid_wekqfxnd.xlsx</x:v>
      </x:c>
    </x:row>
    <x:row r="294">
      <x:c r="A294" s="15" t="n">
        <x:v>40330</x:v>
      </x:c>
      <x:c r="B294" s="13" t="str">
        <x:v>SOUZA CRUZ LTDA</x:v>
      </x:c>
      <x:c r="C294" s="16" t="n">
        <x:v>1432.9852377425</x:v>
      </x:c>
      <x:c r="D294" s="13" t="str">
        <x:v>Food &amp; Beverages</x:v>
      </x:c>
      <x:c r="E294" s="13" t="str">
        <x:v>Agri, Food &amp; Beverages</x:v>
      </x:c>
      <x:c r="F294" s="13" t="str">
        <x:v>Defensives</x:v>
      </x:c>
      <x:c r="G294" s="13" t="str">
        <x:v>grid_wekqfxnd.xlsx</x:v>
      </x:c>
    </x:row>
    <x:row r="295">
      <x:c r="A295" s="15" t="n">
        <x:v>40330</x:v>
      </x:c>
      <x:c r="B295" s="13" t="str">
        <x:v>CYRELA BRAZIL REALTY SA EMP</x:v>
      </x:c>
      <x:c r="C295" s="16" t="n">
        <x:v>894.1580119671</x:v>
      </x:c>
      <x:c r="D295" s="13" t="str">
        <x:v>Homebuilders</x:v>
      </x:c>
      <x:c r="E295" s="13" t="str">
        <x:v>Real Estate</x:v>
      </x:c>
      <x:c r="F295" s="13" t="str">
        <x:v>Early Cyclicals</x:v>
      </x:c>
      <x:c r="G295" s="13" t="str">
        <x:v>grid_wekqfxnd.xlsx</x:v>
      </x:c>
    </x:row>
    <x:row r="296">
      <x:c r="A296" s="15" t="n">
        <x:v>40330</x:v>
      </x:c>
      <x:c r="B296" s="13" t="str">
        <x:v>GAFISA SA</x:v>
      </x:c>
      <x:c r="C296" s="16" t="n">
        <x:v>457.3714162849</x:v>
      </x:c>
      <x:c r="D296" s="13" t="str">
        <x:v>Homebuilders</x:v>
      </x:c>
      <x:c r="E296" s="13" t="str">
        <x:v>Real Estate</x:v>
      </x:c>
      <x:c r="F296" s="13" t="str">
        <x:v>Early Cyclicals</x:v>
      </x:c>
      <x:c r="G296" s="13" t="str">
        <x:v>grid_wekqfxnd.xlsx</x:v>
      </x:c>
    </x:row>
    <x:row r="297">
      <x:c r="A297" s="15" t="n">
        <x:v>40330</x:v>
      </x:c>
      <x:c r="B297" s="13" t="str">
        <x:v>MRV ENGENHARIA</x:v>
      </x:c>
      <x:c r="C297" s="16" t="n">
        <x:v>660.1304028932</x:v>
      </x:c>
      <x:c r="D297" s="13" t="str">
        <x:v>Homebuilders</x:v>
      </x:c>
      <x:c r="E297" s="13" t="str">
        <x:v>Real Estate</x:v>
      </x:c>
      <x:c r="F297" s="13" t="str">
        <x:v>Early Cyclicals</x:v>
      </x:c>
      <x:c r="G297" s="13" t="str">
        <x:v>grid_wekqfxnd.xlsx</x:v>
      </x:c>
    </x:row>
    <x:row r="298">
      <x:c r="A298" s="15" t="n">
        <x:v>40330</x:v>
      </x:c>
      <x:c r="B298" s="13" t="str">
        <x:v>PDG REALTY SA</x:v>
      </x:c>
      <x:c r="C298" s="16" t="n">
        <x:v>763.3725999342</x:v>
      </x:c>
      <x:c r="D298" s="13" t="str">
        <x:v>Homebuilders</x:v>
      </x:c>
      <x:c r="E298" s="13" t="str">
        <x:v>Real Estate</x:v>
      </x:c>
      <x:c r="F298" s="13" t="str">
        <x:v>Early Cyclicals</x:v>
      </x:c>
      <x:c r="G298" s="13" t="str">
        <x:v>grid_wekqfxnd.xlsx</x:v>
      </x:c>
    </x:row>
    <x:row r="299">
      <x:c r="A299" s="15" t="n">
        <x:v>40330</x:v>
      </x:c>
      <x:c r="B299" s="13" t="str">
        <x:v>ROSSI RESIDENCIAL SA</x:v>
      </x:c>
      <x:c r="C299" s="16" t="n">
        <x:v>441.6607545863</x:v>
      </x:c>
      <x:c r="D299" s="13" t="str">
        <x:v>Homebuilders</x:v>
      </x:c>
      <x:c r="E299" s="13" t="str">
        <x:v>Real Estate</x:v>
      </x:c>
      <x:c r="F299" s="13" t="str">
        <x:v>Early Cyclicals</x:v>
      </x:c>
      <x:c r="G299" s="13" t="str">
        <x:v>grid_wekqfxnd.xlsx</x:v>
      </x:c>
    </x:row>
    <x:row r="300">
      <x:c r="A300" s="15" t="n">
        <x:v>40330</x:v>
      </x:c>
      <x:c r="B300" s="13" t="str">
        <x:v>BRADESPAR SA -PREF</x:v>
      </x:c>
      <x:c r="C300" s="16" t="n">
        <x:v>860.8082030466</x:v>
      </x:c>
      <x:c r="D300" s="13" t="str">
        <x:v>Metals &amp; Mining</x:v>
      </x:c>
      <x:c r="E300" s="13" t="str">
        <x:v>Metals &amp; Mining</x:v>
      </x:c>
      <x:c r="F300" s="13" t="str">
        <x:v>Deep Cyclicals</x:v>
      </x:c>
      <x:c r="G300" s="13" t="str">
        <x:v>grid_wekqfxnd.xlsx</x:v>
      </x:c>
    </x:row>
    <x:row r="301">
      <x:c r="A301" s="15" t="n">
        <x:v>40330</x:v>
      </x:c>
      <x:c r="B301" s="13" t="str">
        <x:v>CIA SIDERURGICA NACIONAL SA</x:v>
      </x:c>
      <x:c r="C301" s="16" t="n">
        <x:v>4191.5969984877</x:v>
      </x:c>
      <x:c r="D301" s="13" t="str">
        <x:v>Metals &amp; Mining</x:v>
      </x:c>
      <x:c r="E301" s="13" t="str">
        <x:v>Metals &amp; Mining</x:v>
      </x:c>
      <x:c r="F301" s="13" t="str">
        <x:v>Deep Cyclicals</x:v>
      </x:c>
      <x:c r="G301" s="13" t="str">
        <x:v>grid_wekqfxnd.xlsx</x:v>
      </x:c>
    </x:row>
    <x:row r="302">
      <x:c r="A302" s="15" t="n">
        <x:v>40330</x:v>
      </x:c>
      <x:c r="B302" s="13" t="str">
        <x:v>GERDAU SA-PREF</x:v>
      </x:c>
      <x:c r="C302" s="16" t="n">
        <x:v>3315.642093063</x:v>
      </x:c>
      <x:c r="D302" s="13" t="str">
        <x:v>Metals &amp; Mining</x:v>
      </x:c>
      <x:c r="E302" s="13" t="str">
        <x:v>Metals &amp; Mining</x:v>
      </x:c>
      <x:c r="F302" s="13" t="str">
        <x:v>Deep Cyclicals</x:v>
      </x:c>
      <x:c r="G302" s="13" t="str">
        <x:v>grid_wekqfxnd.xlsx</x:v>
      </x:c>
    </x:row>
    <x:row r="303">
      <x:c r="A303" s="15" t="n">
        <x:v>40330</x:v>
      </x:c>
      <x:c r="B303" s="13" t="str">
        <x:v>METALURGICA GERDAU SA-PREF</x:v>
      </x:c>
      <x:c r="C303" s="16" t="n">
        <x:v>1016.8287512548</x:v>
      </x:c>
      <x:c r="D303" s="13" t="str">
        <x:v>Metals &amp; Mining</x:v>
      </x:c>
      <x:c r="E303" s="13" t="str">
        <x:v>Metals &amp; Mining</x:v>
      </x:c>
      <x:c r="F303" s="13" t="str">
        <x:v>Deep Cyclicals</x:v>
      </x:c>
      <x:c r="G303" s="13" t="str">
        <x:v>grid_wekqfxnd.xlsx</x:v>
      </x:c>
    </x:row>
    <x:row r="304">
      <x:c r="A304" s="15" t="n">
        <x:v>40330</x:v>
      </x:c>
      <x:c r="B304" s="13" t="str">
        <x:v>MMX MINERACAO E METALICOS SA</x:v>
      </x:c>
      <x:c r="C304" s="16" t="n">
        <x:v>267.0488754849</x:v>
      </x:c>
      <x:c r="D304" s="13" t="str">
        <x:v>Metals &amp; Mining</x:v>
      </x:c>
      <x:c r="E304" s="13" t="str">
        <x:v>Metals &amp; Mining</x:v>
      </x:c>
      <x:c r="F304" s="13" t="str">
        <x:v>Deep Cyclicals</x:v>
      </x:c>
      <x:c r="G304" s="13" t="str">
        <x:v>grid_wekqfxnd.xlsx</x:v>
      </x:c>
    </x:row>
    <x:row r="305">
      <x:c r="A305" s="15" t="n">
        <x:v>40330</x:v>
      </x:c>
      <x:c r="B305" s="13" t="str">
        <x:v>USINAS SIDER MINAS GER-PF A</x:v>
      </x:c>
      <x:c r="C305" s="16" t="n">
        <x:v>2552.272825863</x:v>
      </x:c>
      <x:c r="D305" s="13" t="str">
        <x:v>Metals &amp; Mining</x:v>
      </x:c>
      <x:c r="E305" s="13" t="str">
        <x:v>Metals &amp; Mining</x:v>
      </x:c>
      <x:c r="F305" s="13" t="str">
        <x:v>Deep Cyclicals</x:v>
      </x:c>
      <x:c r="G305" s="13" t="str">
        <x:v>grid_wekqfxnd.xlsx</x:v>
      </x:c>
    </x:row>
    <x:row r="306">
      <x:c r="A306" s="15" t="n">
        <x:v>40330</x:v>
      </x:c>
      <x:c r="B306" s="13" t="str">
        <x:v>USINAS SIDERURGICAS DE MINAS</x:v>
      </x:c>
      <x:c r="C306" s="16" t="n">
        <x:v>2552.272825863</x:v>
      </x:c>
      <x:c r="D306" s="13" t="str">
        <x:v>Metals &amp; Mining</x:v>
      </x:c>
      <x:c r="E306" s="13" t="str">
        <x:v>Metals &amp; Mining</x:v>
      </x:c>
      <x:c r="F306" s="13" t="str">
        <x:v>Deep Cyclicals</x:v>
      </x:c>
      <x:c r="G306" s="13" t="str">
        <x:v>grid_wekqfxnd.xlsx</x:v>
      </x:c>
    </x:row>
    <x:row r="307">
      <x:c r="A307" s="15" t="n">
        <x:v>40330</x:v>
      </x:c>
      <x:c r="B307" s="13" t="str">
        <x:v>VALE SA</x:v>
      </x:c>
      <x:c r="C307" s="16" t="n">
        <x:v>31061.0379761973</x:v>
      </x:c>
      <x:c r="D307" s="13" t="str">
        <x:v>Metals &amp; Mining</x:v>
      </x:c>
      <x:c r="E307" s="13" t="str">
        <x:v>Metals &amp; Mining</x:v>
      </x:c>
      <x:c r="F307" s="13" t="str">
        <x:v>Deep Cyclicals</x:v>
      </x:c>
      <x:c r="G307" s="13" t="str">
        <x:v>grid_wekqfxnd.xlsx</x:v>
      </x:c>
    </x:row>
    <x:row r="308">
      <x:c r="A308" s="15" t="n">
        <x:v>40330</x:v>
      </x:c>
      <x:c r="B308" s="13" t="str">
        <x:v>BRASKEM SA-PREF A</x:v>
      </x:c>
      <x:c r="C308" s="16" t="n">
        <x:v>184.5472012274</x:v>
      </x:c>
      <x:c r="D308" s="13" t="str">
        <x:v>Oil, Gas &amp; Petrochemicals</x:v>
      </x:c>
      <x:c r="E308" s="13" t="str">
        <x:v>Oil, Gas &amp; Petrochemicals</x:v>
      </x:c>
      <x:c r="F308" s="13" t="str">
        <x:v>Deep Cyclicals</x:v>
      </x:c>
      <x:c r="G308" s="13" t="str">
        <x:v>grid_wekqfxnd.xlsx</x:v>
      </x:c>
    </x:row>
    <x:row r="309">
      <x:c r="A309" s="15" t="n">
        <x:v>40330</x:v>
      </x:c>
      <x:c r="B309" s="13" t="str">
        <x:v>COSAN SA</x:v>
      </x:c>
      <x:c r="C309" s="16" t="n">
        <x:v>1086.7616438356</x:v>
      </x:c>
      <x:c r="D309" s="13" t="str">
        <x:v>Oil, Gas &amp; Petrochemicals</x:v>
      </x:c>
      <x:c r="E309" s="13" t="str">
        <x:v>Oil, Gas &amp; Petrochemicals</x:v>
      </x:c>
      <x:c r="F309" s="13" t="str">
        <x:v>Deep Cyclicals</x:v>
      </x:c>
      <x:c r="G309" s="13" t="str">
        <x:v>grid_wekqfxnd.xlsx</x:v>
      </x:c>
    </x:row>
    <x:row r="310">
      <x:c r="A310" s="15" t="n">
        <x:v>40330</x:v>
      </x:c>
      <x:c r="B310" s="13" t="str">
        <x:v>OLEO E GAS PARTICIPACOES SA</x:v>
      </x:c>
      <x:c r="C310" s="16" t="n">
        <x:v>274.8958944438</x:v>
      </x:c>
      <x:c r="D310" s="13" t="str">
        <x:v>Oil, Gas &amp; Petrochemicals</x:v>
      </x:c>
      <x:c r="E310" s="13" t="str">
        <x:v>Oil, Gas &amp; Petrochemicals</x:v>
      </x:c>
      <x:c r="F310" s="13" t="str">
        <x:v>Deep Cyclicals</x:v>
      </x:c>
      <x:c r="G310" s="13" t="str">
        <x:v>grid_wekqfxnd.xlsx</x:v>
      </x:c>
    </x:row>
    <x:row r="311">
      <x:c r="A311" s="15" t="n">
        <x:v>40330</x:v>
      </x:c>
      <x:c r="B311" s="13" t="str">
        <x:v>PETROBRAS - PETROLEO BRAS</x:v>
      </x:c>
      <x:c r="C311" s="16" t="n">
        <x:v>32580.9011164931</x:v>
      </x:c>
      <x:c r="D311" s="13" t="str">
        <x:v>Oil, Gas &amp; Petrochemicals</x:v>
      </x:c>
      <x:c r="E311" s="13" t="str">
        <x:v>Oil, Gas &amp; Petrochemicals</x:v>
      </x:c>
      <x:c r="F311" s="13" t="str">
        <x:v>Deep Cyclicals</x:v>
      </x:c>
      <x:c r="G311" s="13" t="str">
        <x:v>grid_wekqfxnd.xlsx</x:v>
      </x:c>
    </x:row>
    <x:row r="312">
      <x:c r="A312" s="15" t="n">
        <x:v>40330</x:v>
      </x:c>
      <x:c r="B312" s="13" t="str">
        <x:v>ULTRAPAR PARTICIPACOES-PREF</x:v>
      </x:c>
      <x:c r="C312" s="16" t="n">
        <x:v>719.719341589</x:v>
      </x:c>
      <x:c r="D312" s="13" t="str">
        <x:v>Oil, Gas &amp; Petrochemicals</x:v>
      </x:c>
      <x:c r="E312" s="13" t="str">
        <x:v>Oil, Gas &amp; Petrochemicals</x:v>
      </x:c>
      <x:c r="F312" s="13" t="str">
        <x:v>Deep Cyclicals</x:v>
      </x:c>
      <x:c r="G312" s="13" t="str">
        <x:v>grid_wekqfxnd.xlsx</x:v>
      </x:c>
    </x:row>
    <x:row r="313">
      <x:c r="A313" s="15" t="n">
        <x:v>40330</x:v>
      </x:c>
      <x:c r="B313" s="13" t="str">
        <x:v>DEXCO SA</x:v>
      </x:c>
      <x:c r="C313" s="16" t="n">
        <x:v>447.4337932274</x:v>
      </x:c>
      <x:c r="D313" s="13" t="str">
        <x:v>Pulp &amp; Paper</x:v>
      </x:c>
      <x:c r="E313" s="13" t="str">
        <x:v>Pulp &amp; Paper</x:v>
      </x:c>
      <x:c r="F313" s="13" t="str">
        <x:v>Deep Cyclicals</x:v>
      </x:c>
      <x:c r="G313" s="13" t="str">
        <x:v>grid_wekqfxnd.xlsx</x:v>
      </x:c>
    </x:row>
    <x:row r="314">
      <x:c r="A314" s="15" t="n">
        <x:v>40330</x:v>
      </x:c>
      <x:c r="B314" s="13" t="str">
        <x:v>FIBRIA CELULOSE S/A</x:v>
      </x:c>
      <x:c r="C314" s="16" t="n">
        <x:v>940.819520526</x:v>
      </x:c>
      <x:c r="D314" s="13" t="str">
        <x:v>Pulp &amp; Paper</x:v>
      </x:c>
      <x:c r="E314" s="13" t="str">
        <x:v>Pulp &amp; Paper</x:v>
      </x:c>
      <x:c r="F314" s="13" t="str">
        <x:v>Deep Cyclicals</x:v>
      </x:c>
      <x:c r="G314" s="13" t="str">
        <x:v>grid_wekqfxnd.xlsx</x:v>
      </x:c>
    </x:row>
    <x:row r="315">
      <x:c r="A315" s="15" t="n">
        <x:v>40330</x:v>
      </x:c>
      <x:c r="B315" s="13" t="str">
        <x:v>AMERICANAS SA</x:v>
      </x:c>
      <x:c r="C315" s="16" t="n">
        <x:v>117.1484437918</x:v>
      </x:c>
      <x:c r="D315" s="13" t="str">
        <x:v>Retail</x:v>
      </x:c>
      <x:c r="E315" s="13" t="str">
        <x:v>Retail</x:v>
      </x:c>
      <x:c r="F315" s="13" t="str">
        <x:v>Early Cyclicals</x:v>
      </x:c>
      <x:c r="G315" s="13" t="str">
        <x:v>grid_wekqfxnd.xlsx</x:v>
      </x:c>
    </x:row>
    <x:row r="316">
      <x:c r="A316" s="15" t="n">
        <x:v>40330</x:v>
      </x:c>
      <x:c r="B316" s="13" t="str">
        <x:v>CIA BRASILEIRA DE DIS-PREF</x:v>
      </x:c>
      <x:c r="C316" s="16" t="n">
        <x:v>787.5247382795</x:v>
      </x:c>
      <x:c r="D316" s="13" t="str">
        <x:v>Retail</x:v>
      </x:c>
      <x:c r="E316" s="13" t="str">
        <x:v>Retail</x:v>
      </x:c>
      <x:c r="F316" s="13" t="str">
        <x:v>Early Cyclicals</x:v>
      </x:c>
      <x:c r="G316" s="13" t="str">
        <x:v>grid_wekqfxnd.xlsx</x:v>
      </x:c>
    </x:row>
    <x:row r="317">
      <x:c r="A317" s="15" t="n">
        <x:v>40330</x:v>
      </x:c>
      <x:c r="B317" s="13" t="str">
        <x:v>LOJAS AMERICANAS SA-PREF</x:v>
      </x:c>
      <x:c r="C317" s="16" t="n">
        <x:v>292.1299275397</x:v>
      </x:c>
      <x:c r="D317" s="13" t="str">
        <x:v>Retail</x:v>
      </x:c>
      <x:c r="E317" s="13" t="str">
        <x:v>Retail</x:v>
      </x:c>
      <x:c r="F317" s="13" t="str">
        <x:v>Early Cyclicals</x:v>
      </x:c>
      <x:c r="G317" s="13" t="str">
        <x:v>grid_wekqfxnd.xlsx</x:v>
      </x:c>
    </x:row>
    <x:row r="318">
      <x:c r="A318" s="15" t="n">
        <x:v>40330</x:v>
      </x:c>
      <x:c r="B318" s="13" t="str">
        <x:v>LOJAS RENNER S.A.</x:v>
      </x:c>
      <x:c r="C318" s="16" t="n">
        <x:v>273.8845345315</x:v>
      </x:c>
      <x:c r="D318" s="13" t="str">
        <x:v>Retail</x:v>
      </x:c>
      <x:c r="E318" s="13" t="str">
        <x:v>Retail</x:v>
      </x:c>
      <x:c r="F318" s="13" t="str">
        <x:v>Early Cyclicals</x:v>
      </x:c>
      <x:c r="G318" s="13" t="str">
        <x:v>grid_wekqfxnd.xlsx</x:v>
      </x:c>
    </x:row>
    <x:row r="319">
      <x:c r="A319" s="15" t="n">
        <x:v>40330</x:v>
      </x:c>
      <x:c r="B319" s="13" t="str">
        <x:v>NATURA COSMETICOS SA</x:v>
      </x:c>
      <x:c r="C319" s="16" t="n">
        <x:v>807.3514057644</x:v>
      </x:c>
      <x:c r="D319" s="13" t="str">
        <x:v>Retail</x:v>
      </x:c>
      <x:c r="E319" s="13" t="str">
        <x:v>Retail</x:v>
      </x:c>
      <x:c r="F319" s="13" t="str">
        <x:v>Early Cyclicals</x:v>
      </x:c>
      <x:c r="G319" s="13" t="str">
        <x:v>grid_wekqfxnd.xlsx</x:v>
      </x:c>
    </x:row>
    <x:row r="320">
      <x:c r="A320" s="15" t="n">
        <x:v>40330</x:v>
      </x:c>
      <x:c r="B320" s="13" t="str">
        <x:v>CIA SANEAMENTO BASICO DE SP</x:v>
      </x:c>
      <x:c r="C320" s="16" t="n">
        <x:v>1275.7167763288</x:v>
      </x:c>
      <x:c r="D320" s="13" t="str">
        <x:v>Sanitation</x:v>
      </x:c>
      <x:c r="E320" s="13" t="str">
        <x:v>Utilities</x:v>
      </x:c>
      <x:c r="F320" s="13" t="str">
        <x:v>Defensives</x:v>
      </x:c>
      <x:c r="G320" s="13" t="str">
        <x:v>grid_wekqfxnd.xlsx</x:v>
      </x:c>
    </x:row>
    <x:row r="321">
      <x:c r="A321" s="15" t="n">
        <x:v>40330</x:v>
      </x:c>
      <x:c r="B321" s="13" t="str">
        <x:v>NET SERVICOS DE COMUNI-PREF</x:v>
      </x:c>
      <x:c r="C321" s="16" t="n">
        <x:v>424.5970191781</x:v>
      </x:c>
      <x:c r="D321" s="13" t="str">
        <x:v>TMT</x:v>
      </x:c>
      <x:c r="E321" s="13" t="str">
        <x:v>TMT</x:v>
      </x:c>
      <x:c r="F321" s="13" t="str">
        <x:v>Early Cyclicals</x:v>
      </x:c>
      <x:c r="G321" s="13" t="str">
        <x:v>grid_wekqfxnd.xlsx</x:v>
      </x:c>
    </x:row>
    <x:row r="322">
      <x:c r="A322" s="15" t="n">
        <x:v>40330</x:v>
      </x:c>
      <x:c r="B322" s="13" t="str">
        <x:v>OI SA-PREFERENCE</x:v>
      </x:c>
      <x:c r="C322" s="16" t="n">
        <x:v>1215.5095573041</x:v>
      </x:c>
      <x:c r="D322" s="13" t="str">
        <x:v>TMT</x:v>
      </x:c>
      <x:c r="E322" s="13" t="str">
        <x:v>TMT</x:v>
      </x:c>
      <x:c r="F322" s="13" t="str">
        <x:v>Early Cyclicals</x:v>
      </x:c>
      <x:c r="G322" s="13" t="str">
        <x:v>grid_wekqfxnd.xlsx</x:v>
      </x:c>
    </x:row>
    <x:row r="323">
      <x:c r="A323" s="15" t="n">
        <x:v>40330</x:v>
      </x:c>
      <x:c r="B323" s="13" t="str">
        <x:v>TELE NORTE LESTE PART</x:v>
      </x:c>
      <x:c r="C323" s="16" t="n">
        <x:v>1530.4683095671</x:v>
      </x:c>
      <x:c r="D323" s="13" t="str">
        <x:v>TMT</x:v>
      </x:c>
      <x:c r="E323" s="13" t="str">
        <x:v>TMT</x:v>
      </x:c>
      <x:c r="F323" s="13" t="str">
        <x:v>Early Cyclicals</x:v>
      </x:c>
      <x:c r="G323" s="13" t="str">
        <x:v>grid_wekqfxnd.xlsx</x:v>
      </x:c>
    </x:row>
    <x:row r="324">
      <x:c r="A324" s="15" t="n">
        <x:v>40330</x:v>
      </x:c>
      <x:c r="B324" s="13" t="str">
        <x:v>TELEFONICA BRASIL S.A.-PREF</x:v>
      </x:c>
      <x:c r="C324" s="16" t="n">
        <x:v>2114.343392789</x:v>
      </x:c>
      <x:c r="D324" s="13" t="str">
        <x:v>TMT</x:v>
      </x:c>
      <x:c r="E324" s="13" t="str">
        <x:v>TMT</x:v>
      </x:c>
      <x:c r="F324" s="13" t="str">
        <x:v>Early Cyclicals</x:v>
      </x:c>
      <x:c r="G324" s="13" t="str">
        <x:v>grid_wekqfxnd.xlsx</x:v>
      </x:c>
    </x:row>
    <x:row r="325">
      <x:c r="A325" s="15" t="n">
        <x:v>40330</x:v>
      </x:c>
      <x:c r="B325" s="13" t="str">
        <x:v>TELEMAR NORTE LESTE SA</x:v>
      </x:c>
      <x:c r="C325" s="16" t="n">
        <x:v>1957.3491943452</x:v>
      </x:c>
      <x:c r="D325" s="13" t="str">
        <x:v>TMT</x:v>
      </x:c>
      <x:c r="E325" s="13" t="str">
        <x:v>TMT</x:v>
      </x:c>
      <x:c r="F325" s="13" t="str">
        <x:v>Early Cyclicals</x:v>
      </x:c>
      <x:c r="G325" s="13" t="str">
        <x:v>grid_wekqfxnd.xlsx</x:v>
      </x:c>
    </x:row>
    <x:row r="326">
      <x:c r="A326" s="15" t="n">
        <x:v>40330</x:v>
      </x:c>
      <x:c r="B326" s="13" t="str">
        <x:v>TIM PARTICIPACOES SA-PREF</x:v>
      </x:c>
      <x:c r="C326" s="16" t="n">
        <x:v>641.0623351233</x:v>
      </x:c>
      <x:c r="D326" s="13" t="str">
        <x:v>TMT</x:v>
      </x:c>
      <x:c r="E326" s="13" t="str">
        <x:v>TMT</x:v>
      </x:c>
      <x:c r="F326" s="13" t="str">
        <x:v>Early Cyclicals</x:v>
      </x:c>
      <x:c r="G326" s="13" t="str">
        <x:v>grid_wekqfxnd.xlsx</x:v>
      </x:c>
    </x:row>
    <x:row r="327">
      <x:c r="A327" s="15" t="n">
        <x:v>40330</x:v>
      </x:c>
      <x:c r="B327" s="13" t="str">
        <x:v>TIM SA</x:v>
      </x:c>
      <x:c r="C327" s="16" t="n">
        <x:v>641.0623351233</x:v>
      </x:c>
      <x:c r="D327" s="13" t="str">
        <x:v>TMT</x:v>
      </x:c>
      <x:c r="E327" s="13" t="str">
        <x:v>TMT</x:v>
      </x:c>
      <x:c r="F327" s="13" t="str">
        <x:v>Early Cyclicals</x:v>
      </x:c>
      <x:c r="G327" s="13" t="str">
        <x:v>grid_wekqfxnd.xlsx</x:v>
      </x:c>
    </x:row>
    <x:row r="328">
      <x:c r="A328" s="15" t="n">
        <x:v>40330</x:v>
      </x:c>
      <x:c r="B328" s="13" t="str">
        <x:v>VIVO PARTICIPACOES SA-PREF</x:v>
      </x:c>
      <x:c r="C328" s="16" t="n">
        <x:v>1535.9773776658</x:v>
      </x:c>
      <x:c r="D328" s="13" t="str">
        <x:v>TMT</x:v>
      </x:c>
      <x:c r="E328" s="13" t="str">
        <x:v>TMT</x:v>
      </x:c>
      <x:c r="F328" s="13" t="str">
        <x:v>Early Cyclicals</x:v>
      </x:c>
      <x:c r="G328" s="13" t="str">
        <x:v>grid_wekqfxnd.xlsx</x:v>
      </x:c>
    </x:row>
    <x:row r="329">
      <x:c r="A329" s="15" t="n">
        <x:v>40330</x:v>
      </x:c>
      <x:c r="B329" s="13" t="str">
        <x:v>ALL AMERICA LATINA LOGISTICA</x:v>
      </x:c>
      <x:c r="C329" s="16" t="n">
        <x:v>264.9643783014</x:v>
      </x:c>
      <x:c r="D329" s="13" t="str">
        <x:v>Transportation</x:v>
      </x:c>
      <x:c r="E329" s="13" t="str">
        <x:v>Transportation</x:v>
      </x:c>
      <x:c r="F329" s="13" t="str">
        <x:v>Deep Cyclicals</x:v>
      </x:c>
      <x:c r="G329" s="13" t="str">
        <x:v>grid_wekqfxnd.xlsx</x:v>
      </x:c>
    </x:row>
    <x:row r="330">
      <x:c r="A330" s="15" t="n">
        <x:v>40330</x:v>
      </x:c>
      <x:c r="B330" s="13" t="str">
        <x:v>GOL LINHAS AEREAS INT SA-PRE</x:v>
      </x:c>
      <x:c r="C330" s="16" t="n">
        <x:v>464.9821426849</x:v>
      </x:c>
      <x:c r="D330" s="13" t="str">
        <x:v>Transportation</x:v>
      </x:c>
      <x:c r="E330" s="13" t="str">
        <x:v>Transportation</x:v>
      </x:c>
      <x:c r="F330" s="13" t="str">
        <x:v>Deep Cyclicals</x:v>
      </x:c>
      <x:c r="G330" s="13" t="str">
        <x:v>grid_wekqfxnd.xlsx</x:v>
      </x:c>
    </x:row>
    <x:row r="331">
      <x:c r="A331" s="15" t="n">
        <x:v>40330</x:v>
      </x:c>
      <x:c r="B331" s="13" t="str">
        <x:v>MOTIVA INFRAESTRUTURA DE MOB</x:v>
      </x:c>
      <x:c r="C331" s="16" t="n">
        <x:v>949.3726320219</x:v>
      </x:c>
      <x:c r="D331" s="13" t="str">
        <x:v>Transportation</x:v>
      </x:c>
      <x:c r="E331" s="13" t="str">
        <x:v>Transportation</x:v>
      </x:c>
      <x:c r="F331" s="13" t="str">
        <x:v>Deep Cyclicals</x:v>
      </x:c>
      <x:c r="G331" s="13" t="str">
        <x:v>grid_wekqfxnd.xlsx</x:v>
      </x:c>
    </x:row>
    <x:row r="332">
      <x:c r="A332" s="15" t="n">
        <x:v>40330</x:v>
      </x:c>
      <x:c r="B332" s="13" t="str">
        <x:v>PRUMO LOGISTICA SA</x:v>
      </x:c>
      <x:c r="C332" s="16" t="n">
        <x:v>-234.9835616438</x:v>
      </x:c>
      <x:c r="D332" s="13" t="str">
        <x:v>Transportation</x:v>
      </x:c>
      <x:c r="E332" s="13" t="str">
        <x:v>Transportation</x:v>
      </x:c>
      <x:c r="F332" s="13" t="str">
        <x:v>Deep Cyclicals</x:v>
      </x:c>
      <x:c r="G332" s="13" t="str">
        <x:v>grid_wekqfxnd.xlsx</x:v>
      </x:c>
    </x:row>
    <x:row r="333">
      <x:c r="A333" s="15" t="n">
        <x:v>40330</x:v>
      </x:c>
      <x:c r="B333" s="13" t="str">
        <x:v>TAM SA-PREF</x:v>
      </x:c>
      <x:c r="C333" s="16" t="n">
        <x:v>247.1254794521</x:v>
      </x:c>
      <x:c r="D333" s="13" t="str">
        <x:v>Transportation</x:v>
      </x:c>
      <x:c r="E333" s="13" t="str">
        <x:v>Transportation</x:v>
      </x:c>
      <x:c r="F333" s="13" t="str">
        <x:v>Deep Cyclicals</x:v>
      </x:c>
      <x:c r="G333" s="13" t="str">
        <x:v>grid_wekqfxnd.xlsx</x:v>
      </x:c>
    </x:row>
    <x:row r="334">
      <x:c r="A334" s="15" t="n">
        <x:v>40330</x:v>
      </x:c>
      <x:c r="B334" s="13" t="str">
        <x:v>AXIA ENERGIA SA</x:v>
      </x:c>
      <x:c r="C334" s="16" t="n">
        <x:v>2953.970521074</x:v>
      </x:c>
      <x:c r="D334" s="13" t="str">
        <x:v>Utilities &amp; Energy</x:v>
      </x:c>
      <x:c r="E334" s="13" t="str">
        <x:v>Utilities</x:v>
      </x:c>
      <x:c r="F334" s="13" t="str">
        <x:v>Defensives</x:v>
      </x:c>
      <x:c r="G334" s="13" t="str">
        <x:v>grid_wekqfxnd.xlsx</x:v>
      </x:c>
    </x:row>
    <x:row r="335">
      <x:c r="A335" s="15" t="n">
        <x:v>40330</x:v>
      </x:c>
      <x:c r="B335" s="13" t="str">
        <x:v>AXIA ENERGIA-PR B</x:v>
      </x:c>
      <x:c r="C335" s="16" t="n">
        <x:v>2953.970521074</x:v>
      </x:c>
      <x:c r="D335" s="13" t="str">
        <x:v>Utilities &amp; Energy</x:v>
      </x:c>
      <x:c r="E335" s="13" t="str">
        <x:v>Utilities</x:v>
      </x:c>
      <x:c r="F335" s="13" t="str">
        <x:v>Defensives</x:v>
      </x:c>
      <x:c r="G335" s="13" t="str">
        <x:v>grid_wekqfxnd.xlsx</x:v>
      </x:c>
    </x:row>
    <x:row r="336">
      <x:c r="A336" s="15" t="n">
        <x:v>40330</x:v>
      </x:c>
      <x:c r="B336" s="13" t="str">
        <x:v>CESP - CIA ENERGETICA DE SAO</x:v>
      </x:c>
      <x:c r="C336" s="16" t="n">
        <x:v>599.0009615781</x:v>
      </x:c>
      <x:c r="D336" s="13" t="str">
        <x:v>Utilities &amp; Energy</x:v>
      </x:c>
      <x:c r="E336" s="13" t="str">
        <x:v>Utilities</x:v>
      </x:c>
      <x:c r="F336" s="13" t="str">
        <x:v>Defensives</x:v>
      </x:c>
      <x:c r="G336" s="13" t="str">
        <x:v>grid_wekqfxnd.xlsx</x:v>
      </x:c>
    </x:row>
    <x:row r="337">
      <x:c r="A337" s="15" t="n">
        <x:v>40330</x:v>
      </x:c>
      <x:c r="B337" s="13" t="str">
        <x:v>CIA ENERGETICA MINAS GER-PRF</x:v>
      </x:c>
      <x:c r="C337" s="16" t="n">
        <x:v>2077.6429161206</x:v>
      </x:c>
      <x:c r="D337" s="13" t="str">
        <x:v>Utilities &amp; Energy</x:v>
      </x:c>
      <x:c r="E337" s="13" t="str">
        <x:v>Utilities</x:v>
      </x:c>
      <x:c r="F337" s="13" t="str">
        <x:v>Defensives</x:v>
      </x:c>
      <x:c r="G337" s="13" t="str">
        <x:v>grid_wekqfxnd.xlsx</x:v>
      </x:c>
    </x:row>
    <x:row r="338">
      <x:c r="A338" s="15" t="n">
        <x:v>40330</x:v>
      </x:c>
      <x:c r="B338" s="13" t="str">
        <x:v>COMPANHIA PARANAENSE -PREF B</x:v>
      </x:c>
      <x:c r="C338" s="16" t="n">
        <x:v>1100.1863013699</x:v>
      </x:c>
      <x:c r="D338" s="13" t="str">
        <x:v>Utilities &amp; Energy</x:v>
      </x:c>
      <x:c r="E338" s="13" t="str">
        <x:v>Utilities</x:v>
      </x:c>
      <x:c r="F338" s="13" t="str">
        <x:v>Defensives</x:v>
      </x:c>
      <x:c r="G338" s="13" t="str">
        <x:v>grid_wekqfxnd.xlsx</x:v>
      </x:c>
    </x:row>
    <x:row r="339">
      <x:c r="A339" s="15" t="n">
        <x:v>40330</x:v>
      </x:c>
      <x:c r="B339" s="13" t="str">
        <x:v>CPFL ENERGIA SA</x:v>
      </x:c>
      <x:c r="C339" s="16" t="n">
        <x:v>1498.9244338849</x:v>
      </x:c>
      <x:c r="D339" s="13" t="str">
        <x:v>Utilities &amp; Energy</x:v>
      </x:c>
      <x:c r="E339" s="13" t="str">
        <x:v>Utilities</x:v>
      </x:c>
      <x:c r="F339" s="13" t="str">
        <x:v>Defensives</x:v>
      </x:c>
      <x:c r="G339" s="13" t="str">
        <x:v>grid_wekqfxnd.xlsx</x:v>
      </x:c>
    </x:row>
    <x:row r="340">
      <x:c r="A340" s="15" t="n">
        <x:v>40330</x:v>
      </x:c>
      <x:c r="B340" s="13" t="str">
        <x:v>ISA ENERGIA BRASIL SA</x:v>
      </x:c>
      <x:c r="C340" s="16" t="n">
        <x:v>827.976159211</x:v>
      </x:c>
      <x:c r="D340" s="13" t="str">
        <x:v>Utilities &amp; Energy</x:v>
      </x:c>
      <x:c r="E340" s="13" t="str">
        <x:v>Utilities</x:v>
      </x:c>
      <x:c r="F340" s="13" t="str">
        <x:v>Defensives</x:v>
      </x:c>
      <x:c r="G340" s="13" t="str">
        <x:v>grid_wekqfxnd.xlsx</x:v>
      </x:c>
    </x:row>
    <x:row r="341">
      <x:c r="A341" s="15" t="n">
        <x:v>40330</x:v>
      </x:c>
      <x:c r="B341" s="13" t="str">
        <x:v>LIGHT SA</x:v>
      </x:c>
      <x:c r="C341" s="16" t="n">
        <x:v>569.9243539288</x:v>
      </x:c>
      <x:c r="D341" s="13" t="str">
        <x:v>Utilities &amp; Energy</x:v>
      </x:c>
      <x:c r="E341" s="13" t="str">
        <x:v>Utilities</x:v>
      </x:c>
      <x:c r="F341" s="13" t="str">
        <x:v>Defensives</x:v>
      </x:c>
      <x:c r="G341" s="13" t="str">
        <x:v>grid_wekqfxnd.xlsx</x:v>
      </x:c>
    </x:row>
    <x:row r="342">
      <x:c r="A342" s="15" t="n">
        <x:v>40360</x:v>
      </x:c>
      <x:c r="B342" s="13" t="str">
        <x:v>BANCO BRADESCO SA-PREF</x:v>
      </x:c>
      <x:c r="C342" s="16" t="n">
        <x:v>9908.8355131616</x:v>
      </x:c>
      <x:c r="D342" s="13" t="str">
        <x:v>Banks</x:v>
      </x:c>
      <x:c r="E342" s="13" t="str">
        <x:v>Banks</x:v>
      </x:c>
      <x:c r="F342" s="13" t="str">
        <x:v>Financials</x:v>
      </x:c>
      <x:c r="G342" s="13" t="str">
        <x:v>grid_wekqfxnd.xlsx</x:v>
      </x:c>
    </x:row>
    <x:row r="343">
      <x:c r="A343" s="15" t="n">
        <x:v>40360</x:v>
      </x:c>
      <x:c r="B343" s="13" t="str">
        <x:v>BANCO DO BRASIL S.A.</x:v>
      </x:c>
      <x:c r="C343" s="16" t="n">
        <x:v>9447.089760789</x:v>
      </x:c>
      <x:c r="D343" s="13" t="str">
        <x:v>Banks</x:v>
      </x:c>
      <x:c r="E343" s="13" t="str">
        <x:v>Banks</x:v>
      </x:c>
      <x:c r="F343" s="13" t="str">
        <x:v>Financials</x:v>
      </x:c>
      <x:c r="G343" s="13" t="str">
        <x:v>grid_wekqfxnd.xlsx</x:v>
      </x:c>
    </x:row>
    <x:row r="344">
      <x:c r="A344" s="15" t="n">
        <x:v>40360</x:v>
      </x:c>
      <x:c r="B344" s="13" t="str">
        <x:v>ITAU UNIBANCO HOLDING S-PREF</x:v>
      </x:c>
      <x:c r="C344" s="16" t="n">
        <x:v>14348.8218967671</x:v>
      </x:c>
      <x:c r="D344" s="13" t="str">
        <x:v>Banks</x:v>
      </x:c>
      <x:c r="E344" s="13" t="str">
        <x:v>Banks</x:v>
      </x:c>
      <x:c r="F344" s="13" t="str">
        <x:v>Financials</x:v>
      </x:c>
      <x:c r="G344" s="13" t="str">
        <x:v>grid_wekqfxnd.xlsx</x:v>
      </x:c>
    </x:row>
    <x:row r="345">
      <x:c r="A345" s="15" t="n">
        <x:v>40360</x:v>
      </x:c>
      <x:c r="B345" s="13" t="str">
        <x:v>EMBRAER SA</x:v>
      </x:c>
      <x:c r="C345" s="16" t="n">
        <x:v>477.8009571945</x:v>
      </x:c>
      <x:c r="D345" s="13" t="str">
        <x:v>Capital Goods</x:v>
      </x:c>
      <x:c r="E345" s="13" t="str">
        <x:v>Capital Goods</x:v>
      </x:c>
      <x:c r="F345" s="13" t="str">
        <x:v>Deep Cyclicals</x:v>
      </x:c>
      <x:c r="G345" s="13" t="str">
        <x:v>grid_wekqfxnd.xlsx</x:v>
      </x:c>
    </x:row>
    <x:row r="346">
      <x:c r="A346" s="15" t="n">
        <x:v>40360</x:v>
      </x:c>
      <x:c r="B346" s="13" t="str">
        <x:v>B3 SA-BRASIL BOLSA BALCAO</x:v>
      </x:c>
      <x:c r="C346" s="16" t="n">
        <x:v>1604.7791780822</x:v>
      </x:c>
      <x:c r="D346" s="13" t="str">
        <x:v>Financials Non-Banks</x:v>
      </x:c>
      <x:c r="E346" s="13" t="str">
        <x:v>Financials Non-Banks</x:v>
      </x:c>
      <x:c r="F346" s="13" t="str">
        <x:v>Financials</x:v>
      </x:c>
      <x:c r="G346" s="13" t="str">
        <x:v>grid_wekqfxnd.xlsx</x:v>
      </x:c>
    </x:row>
    <x:row r="347">
      <x:c r="A347" s="15" t="n">
        <x:v>40360</x:v>
      </x:c>
      <x:c r="B347" s="13" t="str">
        <x:v>CIELO SA - INSTITUICAO DE PA</x:v>
      </x:c>
      <x:c r="C347" s="16" t="n">
        <x:v>1823.746701326</x:v>
      </x:c>
      <x:c r="D347" s="13" t="str">
        <x:v>Financials Non-Banks</x:v>
      </x:c>
      <x:c r="E347" s="13" t="str">
        <x:v>Financials Non-Banks</x:v>
      </x:c>
      <x:c r="F347" s="13" t="str">
        <x:v>Financials</x:v>
      </x:c>
      <x:c r="G347" s="13" t="str">
        <x:v>grid_wekqfxnd.xlsx</x:v>
      </x:c>
    </x:row>
    <x:row r="348">
      <x:c r="A348" s="15" t="n">
        <x:v>40360</x:v>
      </x:c>
      <x:c r="B348" s="13" t="str">
        <x:v>ITAUSA SA</x:v>
      </x:c>
      <x:c r="C348" s="16" t="n">
        <x:v>5460.7416712767</x:v>
      </x:c>
      <x:c r="D348" s="13" t="str">
        <x:v>Financials Non-Banks</x:v>
      </x:c>
      <x:c r="E348" s="13" t="str">
        <x:v>Financials Non-Banks</x:v>
      </x:c>
      <x:c r="F348" s="13" t="str">
        <x:v>Financials</x:v>
      </x:c>
      <x:c r="G348" s="13" t="str">
        <x:v>grid_wekqfxnd.xlsx</x:v>
      </x:c>
    </x:row>
    <x:row r="349">
      <x:c r="A349" s="15" t="n">
        <x:v>40360</x:v>
      </x:c>
      <x:c r="B349" s="13" t="str">
        <x:v>REDECARD INSTITUICAO DE PAGA</x:v>
      </x:c>
      <x:c r="C349" s="16" t="n">
        <x:v>1536.8499017644</x:v>
      </x:c>
      <x:c r="D349" s="13" t="str">
        <x:v>Financials Non-Banks</x:v>
      </x:c>
      <x:c r="E349" s="13" t="str">
        <x:v>Financials Non-Banks</x:v>
      </x:c>
      <x:c r="F349" s="13" t="str">
        <x:v>Financials</x:v>
      </x:c>
      <x:c r="G349" s="13" t="str">
        <x:v>grid_wekqfxnd.xlsx</x:v>
      </x:c>
    </x:row>
    <x:row r="350">
      <x:c r="A350" s="15" t="n">
        <x:v>40360</x:v>
      </x:c>
      <x:c r="B350" s="13" t="str">
        <x:v>AMBEV SA</x:v>
      </x:c>
      <x:c r="C350" s="16" t="n">
        <x:v>7097.5714065534</x:v>
      </x:c>
      <x:c r="D350" s="13" t="str">
        <x:v>Food &amp; Beverages</x:v>
      </x:c>
      <x:c r="E350" s="13" t="str">
        <x:v>Agri, Food &amp; Beverages</x:v>
      </x:c>
      <x:c r="F350" s="13" t="str">
        <x:v>Defensives</x:v>
      </x:c>
      <x:c r="G350" s="13" t="str">
        <x:v>grid_wekqfxnd.xlsx</x:v>
      </x:c>
    </x:row>
    <x:row r="351">
      <x:c r="A351" s="15" t="n">
        <x:v>40360</x:v>
      </x:c>
      <x:c r="B351" s="13" t="str">
        <x:v>BRF SA</x:v>
      </x:c>
      <x:c r="C351" s="16" t="n">
        <x:v>819.8220565041</x:v>
      </x:c>
      <x:c r="D351" s="13" t="str">
        <x:v>Food &amp; Beverages</x:v>
      </x:c>
      <x:c r="E351" s="13" t="str">
        <x:v>Agri, Food &amp; Beverages</x:v>
      </x:c>
      <x:c r="F351" s="13" t="str">
        <x:v>Defensives</x:v>
      </x:c>
      <x:c r="G351" s="13" t="str">
        <x:v>grid_wekqfxnd.xlsx</x:v>
      </x:c>
    </x:row>
    <x:row r="352">
      <x:c r="A352" s="15" t="n">
        <x:v>40360</x:v>
      </x:c>
      <x:c r="B352" s="13" t="str">
        <x:v>SOUZA CRUZ LTDA</x:v>
      </x:c>
      <x:c r="C352" s="16" t="n">
        <x:v>1491.0816459397</x:v>
      </x:c>
      <x:c r="D352" s="13" t="str">
        <x:v>Food &amp; Beverages</x:v>
      </x:c>
      <x:c r="E352" s="13" t="str">
        <x:v>Agri, Food &amp; Beverages</x:v>
      </x:c>
      <x:c r="F352" s="13" t="str">
        <x:v>Defensives</x:v>
      </x:c>
      <x:c r="G352" s="13" t="str">
        <x:v>grid_wekqfxnd.xlsx</x:v>
      </x:c>
    </x:row>
    <x:row r="353">
      <x:c r="A353" s="15" t="n">
        <x:v>40360</x:v>
      </x:c>
      <x:c r="B353" s="13" t="str">
        <x:v>CYRELA BRAZIL REALTY SA EMP</x:v>
      </x:c>
      <x:c r="C353" s="16" t="n">
        <x:v>910.7992174466</x:v>
      </x:c>
      <x:c r="D353" s="13" t="str">
        <x:v>Homebuilders</x:v>
      </x:c>
      <x:c r="E353" s="13" t="str">
        <x:v>Real Estate</x:v>
      </x:c>
      <x:c r="F353" s="13" t="str">
        <x:v>Early Cyclicals</x:v>
      </x:c>
      <x:c r="G353" s="13" t="str">
        <x:v>grid_wekqfxnd.xlsx</x:v>
      </x:c>
    </x:row>
    <x:row r="354">
      <x:c r="A354" s="15" t="n">
        <x:v>40360</x:v>
      </x:c>
      <x:c r="B354" s="13" t="str">
        <x:v>GAFISA SA</x:v>
      </x:c>
      <x:c r="C354" s="16" t="n">
        <x:v>467.7010979945</x:v>
      </x:c>
      <x:c r="D354" s="13" t="str">
        <x:v>Homebuilders</x:v>
      </x:c>
      <x:c r="E354" s="13" t="str">
        <x:v>Real Estate</x:v>
      </x:c>
      <x:c r="F354" s="13" t="str">
        <x:v>Early Cyclicals</x:v>
      </x:c>
      <x:c r="G354" s="13" t="str">
        <x:v>grid_wekqfxnd.xlsx</x:v>
      </x:c>
    </x:row>
    <x:row r="355">
      <x:c r="A355" s="15" t="n">
        <x:v>40360</x:v>
      </x:c>
      <x:c r="B355" s="13" t="str">
        <x:v>MRV ENGENHARIA</x:v>
      </x:c>
      <x:c r="C355" s="16" t="n">
        <x:v>699.1528341041</x:v>
      </x:c>
      <x:c r="D355" s="13" t="str">
        <x:v>Homebuilders</x:v>
      </x:c>
      <x:c r="E355" s="13" t="str">
        <x:v>Real Estate</x:v>
      </x:c>
      <x:c r="F355" s="13" t="str">
        <x:v>Early Cyclicals</x:v>
      </x:c>
      <x:c r="G355" s="13" t="str">
        <x:v>grid_wekqfxnd.xlsx</x:v>
      </x:c>
    </x:row>
    <x:row r="356">
      <x:c r="A356" s="15" t="n">
        <x:v>40360</x:v>
      </x:c>
      <x:c r="B356" s="13" t="str">
        <x:v>PDG REALTY SA</x:v>
      </x:c>
      <x:c r="C356" s="16" t="n">
        <x:v>839.4170574904</x:v>
      </x:c>
      <x:c r="D356" s="13" t="str">
        <x:v>Homebuilders</x:v>
      </x:c>
      <x:c r="E356" s="13" t="str">
        <x:v>Real Estate</x:v>
      </x:c>
      <x:c r="F356" s="13" t="str">
        <x:v>Early Cyclicals</x:v>
      </x:c>
      <x:c r="G356" s="13" t="str">
        <x:v>grid_wekqfxnd.xlsx</x:v>
      </x:c>
    </x:row>
    <x:row r="357">
      <x:c r="A357" s="15" t="n">
        <x:v>40360</x:v>
      </x:c>
      <x:c r="B357" s="13" t="str">
        <x:v>ROSSI RESIDENCIAL SA</x:v>
      </x:c>
      <x:c r="C357" s="16" t="n">
        <x:v>455.8235652384</x:v>
      </x:c>
      <x:c r="D357" s="13" t="str">
        <x:v>Homebuilders</x:v>
      </x:c>
      <x:c r="E357" s="13" t="str">
        <x:v>Real Estate</x:v>
      </x:c>
      <x:c r="F357" s="13" t="str">
        <x:v>Early Cyclicals</x:v>
      </x:c>
      <x:c r="G357" s="13" t="str">
        <x:v>grid_wekqfxnd.xlsx</x:v>
      </x:c>
    </x:row>
    <x:row r="358">
      <x:c r="A358" s="15" t="n">
        <x:v>40360</x:v>
      </x:c>
      <x:c r="B358" s="13" t="str">
        <x:v>BRADESPAR SA -PREF</x:v>
      </x:c>
      <x:c r="C358" s="16" t="n">
        <x:v>839.6438221151</x:v>
      </x:c>
      <x:c r="D358" s="13" t="str">
        <x:v>Metals &amp; Mining</x:v>
      </x:c>
      <x:c r="E358" s="13" t="str">
        <x:v>Metals &amp; Mining</x:v>
      </x:c>
      <x:c r="F358" s="13" t="str">
        <x:v>Deep Cyclicals</x:v>
      </x:c>
      <x:c r="G358" s="13" t="str">
        <x:v>grid_wekqfxnd.xlsx</x:v>
      </x:c>
    </x:row>
    <x:row r="359">
      <x:c r="A359" s="15" t="n">
        <x:v>40360</x:v>
      </x:c>
      <x:c r="B359" s="13" t="str">
        <x:v>CIA SIDERURGICA NACIONAL SA</x:v>
      </x:c>
      <x:c r="C359" s="16" t="n">
        <x:v>4389.957702137</x:v>
      </x:c>
      <x:c r="D359" s="13" t="str">
        <x:v>Metals &amp; Mining</x:v>
      </x:c>
      <x:c r="E359" s="13" t="str">
        <x:v>Metals &amp; Mining</x:v>
      </x:c>
      <x:c r="F359" s="13" t="str">
        <x:v>Deep Cyclicals</x:v>
      </x:c>
      <x:c r="G359" s="13" t="str">
        <x:v>grid_wekqfxnd.xlsx</x:v>
      </x:c>
    </x:row>
    <x:row r="360">
      <x:c r="A360" s="15" t="n">
        <x:v>40360</x:v>
      </x:c>
      <x:c r="B360" s="13" t="str">
        <x:v>GERDAU SA-PREF</x:v>
      </x:c>
      <x:c r="C360" s="16" t="n">
        <x:v>3245.285702137</x:v>
      </x:c>
      <x:c r="D360" s="13" t="str">
        <x:v>Metals &amp; Mining</x:v>
      </x:c>
      <x:c r="E360" s="13" t="str">
        <x:v>Metals &amp; Mining</x:v>
      </x:c>
      <x:c r="F360" s="13" t="str">
        <x:v>Deep Cyclicals</x:v>
      </x:c>
      <x:c r="G360" s="13" t="str">
        <x:v>grid_wekqfxnd.xlsx</x:v>
      </x:c>
    </x:row>
    <x:row r="361">
      <x:c r="A361" s="15" t="n">
        <x:v>40360</x:v>
      </x:c>
      <x:c r="B361" s="13" t="str">
        <x:v>METALURGICA GERDAU SA-PREF</x:v>
      </x:c>
      <x:c r="C361" s="16" t="n">
        <x:v>869.8794520548</x:v>
      </x:c>
      <x:c r="D361" s="13" t="str">
        <x:v>Metals &amp; Mining</x:v>
      </x:c>
      <x:c r="E361" s="13" t="str">
        <x:v>Metals &amp; Mining</x:v>
      </x:c>
      <x:c r="F361" s="13" t="str">
        <x:v>Deep Cyclicals</x:v>
      </x:c>
      <x:c r="G361" s="13" t="str">
        <x:v>grid_wekqfxnd.xlsx</x:v>
      </x:c>
    </x:row>
    <x:row r="362">
      <x:c r="A362" s="15" t="n">
        <x:v>40360</x:v>
      </x:c>
      <x:c r="B362" s="13" t="str">
        <x:v>MMX MINERACAO E METALICOS SA</x:v>
      </x:c>
      <x:c r="C362" s="16" t="n">
        <x:v>254.1475542795</x:v>
      </x:c>
      <x:c r="D362" s="13" t="str">
        <x:v>Metals &amp; Mining</x:v>
      </x:c>
      <x:c r="E362" s="13" t="str">
        <x:v>Metals &amp; Mining</x:v>
      </x:c>
      <x:c r="F362" s="13" t="str">
        <x:v>Deep Cyclicals</x:v>
      </x:c>
      <x:c r="G362" s="13" t="str">
        <x:v>grid_wekqfxnd.xlsx</x:v>
      </x:c>
    </x:row>
    <x:row r="363">
      <x:c r="A363" s="15" t="n">
        <x:v>40360</x:v>
      </x:c>
      <x:c r="B363" s="13" t="str">
        <x:v>USINAS SIDER MINAS GER-PF A</x:v>
      </x:c>
      <x:c r="C363" s="16" t="n">
        <x:v>2557.6035299945</x:v>
      </x:c>
      <x:c r="D363" s="13" t="str">
        <x:v>Metals &amp; Mining</x:v>
      </x:c>
      <x:c r="E363" s="13" t="str">
        <x:v>Metals &amp; Mining</x:v>
      </x:c>
      <x:c r="F363" s="13" t="str">
        <x:v>Deep Cyclicals</x:v>
      </x:c>
      <x:c r="G363" s="13" t="str">
        <x:v>grid_wekqfxnd.xlsx</x:v>
      </x:c>
    </x:row>
    <x:row r="364">
      <x:c r="A364" s="15" t="n">
        <x:v>40360</x:v>
      </x:c>
      <x:c r="B364" s="13" t="str">
        <x:v>USINAS SIDERURGICAS DE MINAS</x:v>
      </x:c>
      <x:c r="C364" s="16" t="n">
        <x:v>2557.6035299945</x:v>
      </x:c>
      <x:c r="D364" s="13" t="str">
        <x:v>Metals &amp; Mining</x:v>
      </x:c>
      <x:c r="E364" s="13" t="str">
        <x:v>Metals &amp; Mining</x:v>
      </x:c>
      <x:c r="F364" s="13" t="str">
        <x:v>Deep Cyclicals</x:v>
      </x:c>
      <x:c r="G364" s="13" t="str">
        <x:v>grid_wekqfxnd.xlsx</x:v>
      </x:c>
    </x:row>
    <x:row r="365">
      <x:c r="A365" s="15" t="n">
        <x:v>40360</x:v>
      </x:c>
      <x:c r="B365" s="13" t="str">
        <x:v>VALE SA</x:v>
      </x:c>
      <x:c r="C365" s="16" t="n">
        <x:v>32582.5476972712</x:v>
      </x:c>
      <x:c r="D365" s="13" t="str">
        <x:v>Metals &amp; Mining</x:v>
      </x:c>
      <x:c r="E365" s="13" t="str">
        <x:v>Metals &amp; Mining</x:v>
      </x:c>
      <x:c r="F365" s="13" t="str">
        <x:v>Deep Cyclicals</x:v>
      </x:c>
      <x:c r="G365" s="13" t="str">
        <x:v>grid_wekqfxnd.xlsx</x:v>
      </x:c>
    </x:row>
    <x:row r="366">
      <x:c r="A366" s="15" t="n">
        <x:v>40360</x:v>
      </x:c>
      <x:c r="B366" s="13" t="str">
        <x:v>BRASKEM SA-PREF A</x:v>
      </x:c>
      <x:c r="C366" s="16" t="n">
        <x:v>180.8833164055</x:v>
      </x:c>
      <x:c r="D366" s="13" t="str">
        <x:v>Oil, Gas &amp; Petrochemicals</x:v>
      </x:c>
      <x:c r="E366" s="13" t="str">
        <x:v>Oil, Gas &amp; Petrochemicals</x:v>
      </x:c>
      <x:c r="F366" s="13" t="str">
        <x:v>Deep Cyclicals</x:v>
      </x:c>
      <x:c r="G366" s="13" t="str">
        <x:v>grid_wekqfxnd.xlsx</x:v>
      </x:c>
    </x:row>
    <x:row r="367">
      <x:c r="A367" s="15" t="n">
        <x:v>40360</x:v>
      </x:c>
      <x:c r="B367" s="13" t="str">
        <x:v>COSAN SA</x:v>
      </x:c>
      <x:c r="C367" s="16" t="n">
        <x:v>1061.5726027397</x:v>
      </x:c>
      <x:c r="D367" s="13" t="str">
        <x:v>Oil, Gas &amp; Petrochemicals</x:v>
      </x:c>
      <x:c r="E367" s="13" t="str">
        <x:v>Oil, Gas &amp; Petrochemicals</x:v>
      </x:c>
      <x:c r="F367" s="13" t="str">
        <x:v>Deep Cyclicals</x:v>
      </x:c>
      <x:c r="G367" s="13" t="str">
        <x:v>grid_wekqfxnd.xlsx</x:v>
      </x:c>
    </x:row>
    <x:row r="368">
      <x:c r="A368" s="15" t="n">
        <x:v>40360</x:v>
      </x:c>
      <x:c r="B368" s="13" t="str">
        <x:v>OLEO E GAS PARTICIPACOES SA</x:v>
      </x:c>
      <x:c r="C368" s="16" t="n">
        <x:v>277.6167728219</x:v>
      </x:c>
      <x:c r="D368" s="13" t="str">
        <x:v>Oil, Gas &amp; Petrochemicals</x:v>
      </x:c>
      <x:c r="E368" s="13" t="str">
        <x:v>Oil, Gas &amp; Petrochemicals</x:v>
      </x:c>
      <x:c r="F368" s="13" t="str">
        <x:v>Deep Cyclicals</x:v>
      </x:c>
      <x:c r="G368" s="13" t="str">
        <x:v>grid_wekqfxnd.xlsx</x:v>
      </x:c>
    </x:row>
    <x:row r="369">
      <x:c r="A369" s="15" t="n">
        <x:v>40360</x:v>
      </x:c>
      <x:c r="B369" s="13" t="str">
        <x:v>PETROBRAS - PETROLEO BRAS</x:v>
      </x:c>
      <x:c r="C369" s="16" t="n">
        <x:v>33107.7623808</x:v>
      </x:c>
      <x:c r="D369" s="13" t="str">
        <x:v>Oil, Gas &amp; Petrochemicals</x:v>
      </x:c>
      <x:c r="E369" s="13" t="str">
        <x:v>Oil, Gas &amp; Petrochemicals</x:v>
      </x:c>
      <x:c r="F369" s="13" t="str">
        <x:v>Deep Cyclicals</x:v>
      </x:c>
      <x:c r="G369" s="13" t="str">
        <x:v>grid_wekqfxnd.xlsx</x:v>
      </x:c>
    </x:row>
    <x:row r="370">
      <x:c r="A370" s="15" t="n">
        <x:v>40360</x:v>
      </x:c>
      <x:c r="B370" s="13" t="str">
        <x:v>ULTRAPAR PARTICIPACOES-PREF</x:v>
      </x:c>
      <x:c r="C370" s="16" t="n">
        <x:v>771.5687785205</x:v>
      </x:c>
      <x:c r="D370" s="13" t="str">
        <x:v>Oil, Gas &amp; Petrochemicals</x:v>
      </x:c>
      <x:c r="E370" s="13" t="str">
        <x:v>Oil, Gas &amp; Petrochemicals</x:v>
      </x:c>
      <x:c r="F370" s="13" t="str">
        <x:v>Deep Cyclicals</x:v>
      </x:c>
      <x:c r="G370" s="13" t="str">
        <x:v>grid_wekqfxnd.xlsx</x:v>
      </x:c>
    </x:row>
    <x:row r="371">
      <x:c r="A371" s="15" t="n">
        <x:v>40360</x:v>
      </x:c>
      <x:c r="B371" s="13" t="str">
        <x:v>DEXCO SA</x:v>
      </x:c>
      <x:c r="C371" s="16" t="n">
        <x:v>457.0478486795</x:v>
      </x:c>
      <x:c r="D371" s="13" t="str">
        <x:v>Pulp &amp; Paper</x:v>
      </x:c>
      <x:c r="E371" s="13" t="str">
        <x:v>Pulp &amp; Paper</x:v>
      </x:c>
      <x:c r="F371" s="13" t="str">
        <x:v>Deep Cyclicals</x:v>
      </x:c>
      <x:c r="G371" s="13" t="str">
        <x:v>grid_wekqfxnd.xlsx</x:v>
      </x:c>
    </x:row>
    <x:row r="372">
      <x:c r="A372" s="15" t="n">
        <x:v>40360</x:v>
      </x:c>
      <x:c r="B372" s="13" t="str">
        <x:v>FIBRIA CELULOSE S/A</x:v>
      </x:c>
      <x:c r="C372" s="16" t="n">
        <x:v>892.472940537</x:v>
      </x:c>
      <x:c r="D372" s="13" t="str">
        <x:v>Pulp &amp; Paper</x:v>
      </x:c>
      <x:c r="E372" s="13" t="str">
        <x:v>Pulp &amp; Paper</x:v>
      </x:c>
      <x:c r="F372" s="13" t="str">
        <x:v>Deep Cyclicals</x:v>
      </x:c>
      <x:c r="G372" s="13" t="str">
        <x:v>grid_wekqfxnd.xlsx</x:v>
      </x:c>
    </x:row>
    <x:row r="373">
      <x:c r="A373" s="15" t="n">
        <x:v>40360</x:v>
      </x:c>
      <x:c r="B373" s="13" t="str">
        <x:v>AMERICANAS SA</x:v>
      </x:c>
      <x:c r="C373" s="16" t="n">
        <x:v>113.9675238795</x:v>
      </x:c>
      <x:c r="D373" s="13" t="str">
        <x:v>Retail</x:v>
      </x:c>
      <x:c r="E373" s="13" t="str">
        <x:v>Retail</x:v>
      </x:c>
      <x:c r="F373" s="13" t="str">
        <x:v>Early Cyclicals</x:v>
      </x:c>
      <x:c r="G373" s="13" t="str">
        <x:v>grid_wekqfxnd.xlsx</x:v>
      </x:c>
    </x:row>
    <x:row r="374">
      <x:c r="A374" s="15" t="n">
        <x:v>40360</x:v>
      </x:c>
      <x:c r="B374" s="13" t="str">
        <x:v>CIA BRASILEIRA DE DIS-PREF</x:v>
      </x:c>
      <x:c r="C374" s="16" t="n">
        <x:v>764.0370766904</x:v>
      </x:c>
      <x:c r="D374" s="13" t="str">
        <x:v>Retail</x:v>
      </x:c>
      <x:c r="E374" s="13" t="str">
        <x:v>Retail</x:v>
      </x:c>
      <x:c r="F374" s="13" t="str">
        <x:v>Early Cyclicals</x:v>
      </x:c>
      <x:c r="G374" s="13" t="str">
        <x:v>grid_wekqfxnd.xlsx</x:v>
      </x:c>
    </x:row>
    <x:row r="375">
      <x:c r="A375" s="15" t="n">
        <x:v>40360</x:v>
      </x:c>
      <x:c r="B375" s="13" t="str">
        <x:v>LOJAS AMERICANAS SA-PREF</x:v>
      </x:c>
      <x:c r="C375" s="16" t="n">
        <x:v>302.6216073644</x:v>
      </x:c>
      <x:c r="D375" s="13" t="str">
        <x:v>Retail</x:v>
      </x:c>
      <x:c r="E375" s="13" t="str">
        <x:v>Retail</x:v>
      </x:c>
      <x:c r="F375" s="13" t="str">
        <x:v>Early Cyclicals</x:v>
      </x:c>
      <x:c r="G375" s="13" t="str">
        <x:v>grid_wekqfxnd.xlsx</x:v>
      </x:c>
    </x:row>
    <x:row r="376">
      <x:c r="A376" s="15" t="n">
        <x:v>40360</x:v>
      </x:c>
      <x:c r="B376" s="13" t="str">
        <x:v>LOJAS RENNER S.A.</x:v>
      </x:c>
      <x:c r="C376" s="16" t="n">
        <x:v>285.2026922959</x:v>
      </x:c>
      <x:c r="D376" s="13" t="str">
        <x:v>Retail</x:v>
      </x:c>
      <x:c r="E376" s="13" t="str">
        <x:v>Retail</x:v>
      </x:c>
      <x:c r="F376" s="13" t="str">
        <x:v>Early Cyclicals</x:v>
      </x:c>
      <x:c r="G376" s="13" t="str">
        <x:v>grid_wekqfxnd.xlsx</x:v>
      </x:c>
    </x:row>
    <x:row r="377">
      <x:c r="A377" s="15" t="n">
        <x:v>40360</x:v>
      </x:c>
      <x:c r="B377" s="13" t="str">
        <x:v>NATURA COSMETICOS SA</x:v>
      </x:c>
      <x:c r="C377" s="16" t="n">
        <x:v>822.1661454027</x:v>
      </x:c>
      <x:c r="D377" s="13" t="str">
        <x:v>Retail</x:v>
      </x:c>
      <x:c r="E377" s="13" t="str">
        <x:v>Retail</x:v>
      </x:c>
      <x:c r="F377" s="13" t="str">
        <x:v>Early Cyclicals</x:v>
      </x:c>
      <x:c r="G377" s="13" t="str">
        <x:v>grid_wekqfxnd.xlsx</x:v>
      </x:c>
    </x:row>
    <x:row r="378">
      <x:c r="A378" s="15" t="n">
        <x:v>40360</x:v>
      </x:c>
      <x:c r="B378" s="13" t="str">
        <x:v>CIA SANEAMENTO BASICO DE SP</x:v>
      </x:c>
      <x:c r="C378" s="16" t="n">
        <x:v>1281.4310112438</x:v>
      </x:c>
      <x:c r="D378" s="13" t="str">
        <x:v>Sanitation</x:v>
      </x:c>
      <x:c r="E378" s="13" t="str">
        <x:v>Utilities</x:v>
      </x:c>
      <x:c r="F378" s="13" t="str">
        <x:v>Defensives</x:v>
      </x:c>
      <x:c r="G378" s="13" t="str">
        <x:v>grid_wekqfxnd.xlsx</x:v>
      </x:c>
    </x:row>
    <x:row r="379">
      <x:c r="A379" s="15" t="n">
        <x:v>40360</x:v>
      </x:c>
      <x:c r="B379" s="13" t="str">
        <x:v>NET SERVICOS DE COMUNI-PREF</x:v>
      </x:c>
      <x:c r="C379" s="16" t="n">
        <x:v>412.3287494137</x:v>
      </x:c>
      <x:c r="D379" s="13" t="str">
        <x:v>TMT</x:v>
      </x:c>
      <x:c r="E379" s="13" t="str">
        <x:v>TMT</x:v>
      </x:c>
      <x:c r="F379" s="13" t="str">
        <x:v>Early Cyclicals</x:v>
      </x:c>
      <x:c r="G379" s="13" t="str">
        <x:v>grid_wekqfxnd.xlsx</x:v>
      </x:c>
    </x:row>
    <x:row r="380">
      <x:c r="A380" s="15" t="n">
        <x:v>40360</x:v>
      </x:c>
      <x:c r="B380" s="13" t="str">
        <x:v>OI SA-PREFERENCE</x:v>
      </x:c>
      <x:c r="C380" s="16" t="n">
        <x:v>1054.1040590904</x:v>
      </x:c>
      <x:c r="D380" s="13" t="str">
        <x:v>TMT</x:v>
      </x:c>
      <x:c r="E380" s="13" t="str">
        <x:v>TMT</x:v>
      </x:c>
      <x:c r="F380" s="13" t="str">
        <x:v>Early Cyclicals</x:v>
      </x:c>
      <x:c r="G380" s="13" t="str">
        <x:v>grid_wekqfxnd.xlsx</x:v>
      </x:c>
    </x:row>
    <x:row r="381">
      <x:c r="A381" s="15" t="n">
        <x:v>40360</x:v>
      </x:c>
      <x:c r="B381" s="13" t="str">
        <x:v>TELE NORTE LESTE PART</x:v>
      </x:c>
      <x:c r="C381" s="16" t="n">
        <x:v>1570.5860590466</x:v>
      </x:c>
      <x:c r="D381" s="13" t="str">
        <x:v>TMT</x:v>
      </x:c>
      <x:c r="E381" s="13" t="str">
        <x:v>TMT</x:v>
      </x:c>
      <x:c r="F381" s="13" t="str">
        <x:v>Early Cyclicals</x:v>
      </x:c>
      <x:c r="G381" s="13" t="str">
        <x:v>grid_wekqfxnd.xlsx</x:v>
      </x:c>
    </x:row>
    <x:row r="382">
      <x:c r="A382" s="15" t="n">
        <x:v>40360</x:v>
      </x:c>
      <x:c r="B382" s="13" t="str">
        <x:v>TELEFONICA BRASIL S.A.-PREF</x:v>
      </x:c>
      <x:c r="C382" s="16" t="n">
        <x:v>2115.493114389</x:v>
      </x:c>
      <x:c r="D382" s="13" t="str">
        <x:v>TMT</x:v>
      </x:c>
      <x:c r="E382" s="13" t="str">
        <x:v>TMT</x:v>
      </x:c>
      <x:c r="F382" s="13" t="str">
        <x:v>Early Cyclicals</x:v>
      </x:c>
      <x:c r="G382" s="13" t="str">
        <x:v>grid_wekqfxnd.xlsx</x:v>
      </x:c>
    </x:row>
    <x:row r="383">
      <x:c r="A383" s="15" t="n">
        <x:v>40360</x:v>
      </x:c>
      <x:c r="B383" s="13" t="str">
        <x:v>TELEMAR NORTE LESTE SA</x:v>
      </x:c>
      <x:c r="C383" s="16" t="n">
        <x:v>1761.814061589</x:v>
      </x:c>
      <x:c r="D383" s="13" t="str">
        <x:v>TMT</x:v>
      </x:c>
      <x:c r="E383" s="13" t="str">
        <x:v>TMT</x:v>
      </x:c>
      <x:c r="F383" s="13" t="str">
        <x:v>Early Cyclicals</x:v>
      </x:c>
      <x:c r="G383" s="13" t="str">
        <x:v>grid_wekqfxnd.xlsx</x:v>
      </x:c>
    </x:row>
    <x:row r="384">
      <x:c r="A384" s="15" t="n">
        <x:v>40360</x:v>
      </x:c>
      <x:c r="B384" s="13" t="str">
        <x:v>TIM PARTICIPACOES SA-PREF</x:v>
      </x:c>
      <x:c r="C384" s="16" t="n">
        <x:v>637.6755801425</x:v>
      </x:c>
      <x:c r="D384" s="13" t="str">
        <x:v>TMT</x:v>
      </x:c>
      <x:c r="E384" s="13" t="str">
        <x:v>TMT</x:v>
      </x:c>
      <x:c r="F384" s="13" t="str">
        <x:v>Early Cyclicals</x:v>
      </x:c>
      <x:c r="G384" s="13" t="str">
        <x:v>grid_wekqfxnd.xlsx</x:v>
      </x:c>
    </x:row>
    <x:row r="385">
      <x:c r="A385" s="15" t="n">
        <x:v>40360</x:v>
      </x:c>
      <x:c r="B385" s="13" t="str">
        <x:v>TIM SA</x:v>
      </x:c>
      <x:c r="C385" s="16" t="n">
        <x:v>637.6755801425</x:v>
      </x:c>
      <x:c r="D385" s="13" t="str">
        <x:v>TMT</x:v>
      </x:c>
      <x:c r="E385" s="13" t="str">
        <x:v>TMT</x:v>
      </x:c>
      <x:c r="F385" s="13" t="str">
        <x:v>Early Cyclicals</x:v>
      </x:c>
      <x:c r="G385" s="13" t="str">
        <x:v>grid_wekqfxnd.xlsx</x:v>
      </x:c>
    </x:row>
    <x:row r="386">
      <x:c r="A386" s="15" t="n">
        <x:v>40360</x:v>
      </x:c>
      <x:c r="B386" s="13" t="str">
        <x:v>VIVO PARTICIPACOES SA-PREF</x:v>
      </x:c>
      <x:c r="C386" s="16" t="n">
        <x:v>1565.6581049863</x:v>
      </x:c>
      <x:c r="D386" s="13" t="str">
        <x:v>TMT</x:v>
      </x:c>
      <x:c r="E386" s="13" t="str">
        <x:v>TMT</x:v>
      </x:c>
      <x:c r="F386" s="13" t="str">
        <x:v>Early Cyclicals</x:v>
      </x:c>
      <x:c r="G386" s="13" t="str">
        <x:v>grid_wekqfxnd.xlsx</x:v>
      </x:c>
    </x:row>
    <x:row r="387">
      <x:c r="A387" s="15" t="n">
        <x:v>40360</x:v>
      </x:c>
      <x:c r="B387" s="13" t="str">
        <x:v>ALL AMERICA LATINA LOGISTICA</x:v>
      </x:c>
      <x:c r="C387" s="16" t="n">
        <x:v>266.236864263</x:v>
      </x:c>
      <x:c r="D387" s="13" t="str">
        <x:v>Transportation</x:v>
      </x:c>
      <x:c r="E387" s="13" t="str">
        <x:v>Transportation</x:v>
      </x:c>
      <x:c r="F387" s="13" t="str">
        <x:v>Deep Cyclicals</x:v>
      </x:c>
      <x:c r="G387" s="13" t="str">
        <x:v>grid_wekqfxnd.xlsx</x:v>
      </x:c>
    </x:row>
    <x:row r="388">
      <x:c r="A388" s="15" t="n">
        <x:v>40360</x:v>
      </x:c>
      <x:c r="B388" s="13" t="str">
        <x:v>GOL LINHAS AEREAS INT SA-PRE</x:v>
      </x:c>
      <x:c r="C388" s="16" t="n">
        <x:v>470.4054261479</x:v>
      </x:c>
      <x:c r="D388" s="13" t="str">
        <x:v>Transportation</x:v>
      </x:c>
      <x:c r="E388" s="13" t="str">
        <x:v>Transportation</x:v>
      </x:c>
      <x:c r="F388" s="13" t="str">
        <x:v>Deep Cyclicals</x:v>
      </x:c>
      <x:c r="G388" s="13" t="str">
        <x:v>grid_wekqfxnd.xlsx</x:v>
      </x:c>
    </x:row>
    <x:row r="389">
      <x:c r="A389" s="15" t="n">
        <x:v>40360</x:v>
      </x:c>
      <x:c r="B389" s="13" t="str">
        <x:v>MOTIVA INFRAESTRUTURA DE MOB</x:v>
      </x:c>
      <x:c r="C389" s="16" t="n">
        <x:v>958.2396594849</x:v>
      </x:c>
      <x:c r="D389" s="13" t="str">
        <x:v>Transportation</x:v>
      </x:c>
      <x:c r="E389" s="13" t="str">
        <x:v>Transportation</x:v>
      </x:c>
      <x:c r="F389" s="13" t="str">
        <x:v>Deep Cyclicals</x:v>
      </x:c>
      <x:c r="G389" s="13" t="str">
        <x:v>grid_wekqfxnd.xlsx</x:v>
      </x:c>
    </x:row>
    <x:row r="390">
      <x:c r="A390" s="15" t="n">
        <x:v>40360</x:v>
      </x:c>
      <x:c r="B390" s="13" t="str">
        <x:v>PRUMO LOGISTICA SA</x:v>
      </x:c>
      <x:c r="C390" s="16" t="n">
        <x:v>-220.7499157041</x:v>
      </x:c>
      <x:c r="D390" s="13" t="str">
        <x:v>Transportation</x:v>
      </x:c>
      <x:c r="E390" s="13" t="str">
        <x:v>Transportation</x:v>
      </x:c>
      <x:c r="F390" s="13" t="str">
        <x:v>Deep Cyclicals</x:v>
      </x:c>
      <x:c r="G390" s="13" t="str">
        <x:v>grid_wekqfxnd.xlsx</x:v>
      </x:c>
    </x:row>
    <x:row r="391">
      <x:c r="A391" s="15" t="n">
        <x:v>40360</x:v>
      </x:c>
      <x:c r="B391" s="13" t="str">
        <x:v>TAM SA-PREF</x:v>
      </x:c>
      <x:c r="C391" s="16" t="n">
        <x:v>253.0306849315</x:v>
      </x:c>
      <x:c r="D391" s="13" t="str">
        <x:v>Transportation</x:v>
      </x:c>
      <x:c r="E391" s="13" t="str">
        <x:v>Transportation</x:v>
      </x:c>
      <x:c r="F391" s="13" t="str">
        <x:v>Deep Cyclicals</x:v>
      </x:c>
      <x:c r="G391" s="13" t="str">
        <x:v>grid_wekqfxnd.xlsx</x:v>
      </x:c>
    </x:row>
    <x:row r="392">
      <x:c r="A392" s="15" t="n">
        <x:v>40360</x:v>
      </x:c>
      <x:c r="B392" s="13" t="str">
        <x:v>AXIA ENERGIA SA</x:v>
      </x:c>
      <x:c r="C392" s="16" t="n">
        <x:v>3221.0169841973</x:v>
      </x:c>
      <x:c r="D392" s="13" t="str">
        <x:v>Utilities &amp; Energy</x:v>
      </x:c>
      <x:c r="E392" s="13" t="str">
        <x:v>Utilities</x:v>
      </x:c>
      <x:c r="F392" s="13" t="str">
        <x:v>Defensives</x:v>
      </x:c>
      <x:c r="G392" s="13" t="str">
        <x:v>grid_wekqfxnd.xlsx</x:v>
      </x:c>
    </x:row>
    <x:row r="393">
      <x:c r="A393" s="15" t="n">
        <x:v>40360</x:v>
      </x:c>
      <x:c r="B393" s="13" t="str">
        <x:v>AXIA ENERGIA-PR B</x:v>
      </x:c>
      <x:c r="C393" s="16" t="n">
        <x:v>3221.0169841973</x:v>
      </x:c>
      <x:c r="D393" s="13" t="str">
        <x:v>Utilities &amp; Energy</x:v>
      </x:c>
      <x:c r="E393" s="13" t="str">
        <x:v>Utilities</x:v>
      </x:c>
      <x:c r="F393" s="13" t="str">
        <x:v>Defensives</x:v>
      </x:c>
      <x:c r="G393" s="13" t="str">
        <x:v>grid_wekqfxnd.xlsx</x:v>
      </x:c>
    </x:row>
    <x:row r="394">
      <x:c r="A394" s="15" t="n">
        <x:v>40360</x:v>
      </x:c>
      <x:c r="B394" s="13" t="str">
        <x:v>CESP - CIA ENERGETICA DE SAO</x:v>
      </x:c>
      <x:c r="C394" s="16" t="n">
        <x:v>620.4065429041</x:v>
      </x:c>
      <x:c r="D394" s="13" t="str">
        <x:v>Utilities &amp; Energy</x:v>
      </x:c>
      <x:c r="E394" s="13" t="str">
        <x:v>Utilities</x:v>
      </x:c>
      <x:c r="F394" s="13" t="str">
        <x:v>Defensives</x:v>
      </x:c>
      <x:c r="G394" s="13" t="str">
        <x:v>grid_wekqfxnd.xlsx</x:v>
      </x:c>
    </x:row>
    <x:row r="395">
      <x:c r="A395" s="15" t="n">
        <x:v>40360</x:v>
      </x:c>
      <x:c r="B395" s="13" t="str">
        <x:v>CIA ENERGETICA MINAS GER-PRF</x:v>
      </x:c>
      <x:c r="C395" s="16" t="n">
        <x:v>2102.7141084931</x:v>
      </x:c>
      <x:c r="D395" s="13" t="str">
        <x:v>Utilities &amp; Energy</x:v>
      </x:c>
      <x:c r="E395" s="13" t="str">
        <x:v>Utilities</x:v>
      </x:c>
      <x:c r="F395" s="13" t="str">
        <x:v>Defensives</x:v>
      </x:c>
      <x:c r="G395" s="13" t="str">
        <x:v>grid_wekqfxnd.xlsx</x:v>
      </x:c>
    </x:row>
    <x:row r="396">
      <x:c r="A396" s="15" t="n">
        <x:v>40360</x:v>
      </x:c>
      <x:c r="B396" s="13" t="str">
        <x:v>COMPANHIA PARANAENSE -PREF B</x:v>
      </x:c>
      <x:c r="C396" s="16" t="n">
        <x:v>1147.6253517151</x:v>
      </x:c>
      <x:c r="D396" s="13" t="str">
        <x:v>Utilities &amp; Energy</x:v>
      </x:c>
      <x:c r="E396" s="13" t="str">
        <x:v>Utilities</x:v>
      </x:c>
      <x:c r="F396" s="13" t="str">
        <x:v>Defensives</x:v>
      </x:c>
      <x:c r="G396" s="13" t="str">
        <x:v>grid_wekqfxnd.xlsx</x:v>
      </x:c>
    </x:row>
    <x:row r="397">
      <x:c r="A397" s="15" t="n">
        <x:v>40360</x:v>
      </x:c>
      <x:c r="B397" s="13" t="str">
        <x:v>CPFL ENERGIA SA</x:v>
      </x:c>
      <x:c r="C397" s="16" t="n">
        <x:v>1509.5911136438</x:v>
      </x:c>
      <x:c r="D397" s="13" t="str">
        <x:v>Utilities &amp; Energy</x:v>
      </x:c>
      <x:c r="E397" s="13" t="str">
        <x:v>Utilities</x:v>
      </x:c>
      <x:c r="F397" s="13" t="str">
        <x:v>Defensives</x:v>
      </x:c>
      <x:c r="G397" s="13" t="str">
        <x:v>grid_wekqfxnd.xlsx</x:v>
      </x:c>
    </x:row>
    <x:row r="398">
      <x:c r="A398" s="15" t="n">
        <x:v>40360</x:v>
      </x:c>
      <x:c r="B398" s="13" t="str">
        <x:v>ISA ENERGIA BRASIL SA</x:v>
      </x:c>
      <x:c r="C398" s="16" t="n">
        <x:v>809.8567073315</x:v>
      </x:c>
      <x:c r="D398" s="13" t="str">
        <x:v>Utilities &amp; Energy</x:v>
      </x:c>
      <x:c r="E398" s="13" t="str">
        <x:v>Utilities</x:v>
      </x:c>
      <x:c r="F398" s="13" t="str">
        <x:v>Defensives</x:v>
      </x:c>
      <x:c r="G398" s="13" t="str">
        <x:v>grid_wekqfxnd.xlsx</x:v>
      </x:c>
    </x:row>
    <x:row r="399">
      <x:c r="A399" s="15" t="n">
        <x:v>40360</x:v>
      </x:c>
      <x:c r="B399" s="13" t="str">
        <x:v>LIGHT SA</x:v>
      </x:c>
      <x:c r="C399" s="16" t="n">
        <x:v>566.0115529644</x:v>
      </x:c>
      <x:c r="D399" s="13" t="str">
        <x:v>Utilities &amp; Energy</x:v>
      </x:c>
      <x:c r="E399" s="13" t="str">
        <x:v>Utilities</x:v>
      </x:c>
      <x:c r="F399" s="13" t="str">
        <x:v>Defensives</x:v>
      </x:c>
      <x:c r="G399" s="13" t="str">
        <x:v>grid_wekqfxnd.xlsx</x:v>
      </x:c>
    </x:row>
    <x:row r="400">
      <x:c r="A400" s="15" t="n">
        <x:v>40391</x:v>
      </x:c>
      <x:c r="B400" s="13" t="str">
        <x:v>BANCO BRADESCO SA-PREF</x:v>
      </x:c>
      <x:c r="C400" s="16" t="n">
        <x:v>10071.3633960329</x:v>
      </x:c>
      <x:c r="D400" s="13" t="str">
        <x:v>Banks</x:v>
      </x:c>
      <x:c r="E400" s="13" t="str">
        <x:v>Banks</x:v>
      </x:c>
      <x:c r="F400" s="13" t="str">
        <x:v>Financials</x:v>
      </x:c>
      <x:c r="G400" s="13" t="str">
        <x:v>grid_wekqfxnd.xlsx</x:v>
      </x:c>
    </x:row>
    <x:row r="401">
      <x:c r="A401" s="15" t="n">
        <x:v>40391</x:v>
      </x:c>
      <x:c r="B401" s="13" t="str">
        <x:v>BANCO DO BRASIL S.A.</x:v>
      </x:c>
      <x:c r="C401" s="16" t="n">
        <x:v>9817.6093646904</x:v>
      </x:c>
      <x:c r="D401" s="13" t="str">
        <x:v>Banks</x:v>
      </x:c>
      <x:c r="E401" s="13" t="str">
        <x:v>Banks</x:v>
      </x:c>
      <x:c r="F401" s="13" t="str">
        <x:v>Financials</x:v>
      </x:c>
      <x:c r="G401" s="13" t="str">
        <x:v>grid_wekqfxnd.xlsx</x:v>
      </x:c>
    </x:row>
    <x:row r="402">
      <x:c r="A402" s="15" t="n">
        <x:v>40391</x:v>
      </x:c>
      <x:c r="B402" s="13" t="str">
        <x:v>ITAU UNIBANCO HOLDING S-PREF</x:v>
      </x:c>
      <x:c r="C402" s="16" t="n">
        <x:v>14437.4783382795</x:v>
      </x:c>
      <x:c r="D402" s="13" t="str">
        <x:v>Banks</x:v>
      </x:c>
      <x:c r="E402" s="13" t="str">
        <x:v>Banks</x:v>
      </x:c>
      <x:c r="F402" s="13" t="str">
        <x:v>Financials</x:v>
      </x:c>
      <x:c r="G402" s="13" t="str">
        <x:v>grid_wekqfxnd.xlsx</x:v>
      </x:c>
    </x:row>
    <x:row r="403">
      <x:c r="A403" s="15" t="n">
        <x:v>40391</x:v>
      </x:c>
      <x:c r="B403" s="13" t="str">
        <x:v>EMBRAER SA</x:v>
      </x:c>
      <x:c r="C403" s="16" t="n">
        <x:v>521.7848137644</x:v>
      </x:c>
      <x:c r="D403" s="13" t="str">
        <x:v>Capital Goods</x:v>
      </x:c>
      <x:c r="E403" s="13" t="str">
        <x:v>Capital Goods</x:v>
      </x:c>
      <x:c r="F403" s="13" t="str">
        <x:v>Deep Cyclicals</x:v>
      </x:c>
      <x:c r="G403" s="13" t="str">
        <x:v>grid_wekqfxnd.xlsx</x:v>
      </x:c>
    </x:row>
    <x:row r="404">
      <x:c r="A404" s="15" t="n">
        <x:v>40391</x:v>
      </x:c>
      <x:c r="B404" s="13" t="str">
        <x:v>B3 SA-BRASIL BOLSA BALCAO</x:v>
      </x:c>
      <x:c r="C404" s="16" t="n">
        <x:v>1628.1510677041</x:v>
      </x:c>
      <x:c r="D404" s="13" t="str">
        <x:v>Financials Non-Banks</x:v>
      </x:c>
      <x:c r="E404" s="13" t="str">
        <x:v>Financials Non-Banks</x:v>
      </x:c>
      <x:c r="F404" s="13" t="str">
        <x:v>Financials</x:v>
      </x:c>
      <x:c r="G404" s="13" t="str">
        <x:v>grid_wekqfxnd.xlsx</x:v>
      </x:c>
    </x:row>
    <x:row r="405">
      <x:c r="A405" s="15" t="n">
        <x:v>40391</x:v>
      </x:c>
      <x:c r="B405" s="13" t="str">
        <x:v>CIELO SA - INSTITUICAO DE PA</x:v>
      </x:c>
      <x:c r="C405" s="16" t="n">
        <x:v>1865.4830251836</x:v>
      </x:c>
      <x:c r="D405" s="13" t="str">
        <x:v>Financials Non-Banks</x:v>
      </x:c>
      <x:c r="E405" s="13" t="str">
        <x:v>Financials Non-Banks</x:v>
      </x:c>
      <x:c r="F405" s="13" t="str">
        <x:v>Financials</x:v>
      </x:c>
      <x:c r="G405" s="13" t="str">
        <x:v>grid_wekqfxnd.xlsx</x:v>
      </x:c>
    </x:row>
    <x:row r="406">
      <x:c r="A406" s="15" t="n">
        <x:v>40391</x:v>
      </x:c>
      <x:c r="B406" s="13" t="str">
        <x:v>ITAUSA SA</x:v>
      </x:c>
      <x:c r="C406" s="16" t="n">
        <x:v>5390.1299627836</x:v>
      </x:c>
      <x:c r="D406" s="13" t="str">
        <x:v>Financials Non-Banks</x:v>
      </x:c>
      <x:c r="E406" s="13" t="str">
        <x:v>Financials Non-Banks</x:v>
      </x:c>
      <x:c r="F406" s="13" t="str">
        <x:v>Financials</x:v>
      </x:c>
      <x:c r="G406" s="13" t="str">
        <x:v>grid_wekqfxnd.xlsx</x:v>
      </x:c>
    </x:row>
    <x:row r="407">
      <x:c r="A407" s="15" t="n">
        <x:v>40391</x:v>
      </x:c>
      <x:c r="B407" s="13" t="str">
        <x:v>REDECARD INSTITUICAO DE PAGA</x:v>
      </x:c>
      <x:c r="C407" s="16" t="n">
        <x:v>1528.7630343014</x:v>
      </x:c>
      <x:c r="D407" s="13" t="str">
        <x:v>Financials Non-Banks</x:v>
      </x:c>
      <x:c r="E407" s="13" t="str">
        <x:v>Financials Non-Banks</x:v>
      </x:c>
      <x:c r="F407" s="13" t="str">
        <x:v>Financials</x:v>
      </x:c>
      <x:c r="G407" s="13" t="str">
        <x:v>grid_wekqfxnd.xlsx</x:v>
      </x:c>
    </x:row>
    <x:row r="408">
      <x:c r="A408" s="15" t="n">
        <x:v>40391</x:v>
      </x:c>
      <x:c r="B408" s="13" t="str">
        <x:v>AMBEV SA</x:v>
      </x:c>
      <x:c r="C408" s="16" t="n">
        <x:v>7165.1283168438</x:v>
      </x:c>
      <x:c r="D408" s="13" t="str">
        <x:v>Food &amp; Beverages</x:v>
      </x:c>
      <x:c r="E408" s="13" t="str">
        <x:v>Agri, Food &amp; Beverages</x:v>
      </x:c>
      <x:c r="F408" s="13" t="str">
        <x:v>Defensives</x:v>
      </x:c>
      <x:c r="G408" s="13" t="str">
        <x:v>grid_wekqfxnd.xlsx</x:v>
      </x:c>
    </x:row>
    <x:row r="409">
      <x:c r="A409" s="15" t="n">
        <x:v>40391</x:v>
      </x:c>
      <x:c r="B409" s="13" t="str">
        <x:v>BRF SA</x:v>
      </x:c>
      <x:c r="C409" s="16" t="n">
        <x:v>883.186917874</x:v>
      </x:c>
      <x:c r="D409" s="13" t="str">
        <x:v>Food &amp; Beverages</x:v>
      </x:c>
      <x:c r="E409" s="13" t="str">
        <x:v>Agri, Food &amp; Beverages</x:v>
      </x:c>
      <x:c r="F409" s="13" t="str">
        <x:v>Defensives</x:v>
      </x:c>
      <x:c r="G409" s="13" t="str">
        <x:v>grid_wekqfxnd.xlsx</x:v>
      </x:c>
    </x:row>
    <x:row r="410">
      <x:c r="A410" s="15" t="n">
        <x:v>40391</x:v>
      </x:c>
      <x:c r="B410" s="13" t="str">
        <x:v>SOUZA CRUZ LTDA</x:v>
      </x:c>
      <x:c r="C410" s="16" t="n">
        <x:v>1521.4509764384</x:v>
      </x:c>
      <x:c r="D410" s="13" t="str">
        <x:v>Food &amp; Beverages</x:v>
      </x:c>
      <x:c r="E410" s="13" t="str">
        <x:v>Agri, Food &amp; Beverages</x:v>
      </x:c>
      <x:c r="F410" s="13" t="str">
        <x:v>Defensives</x:v>
      </x:c>
      <x:c r="G410" s="13" t="str">
        <x:v>grid_wekqfxnd.xlsx</x:v>
      </x:c>
    </x:row>
    <x:row r="411">
      <x:c r="A411" s="15" t="n">
        <x:v>40391</x:v>
      </x:c>
      <x:c r="B411" s="13" t="str">
        <x:v>CYRELA BRAZIL REALTY SA EMP</x:v>
      </x:c>
      <x:c r="C411" s="16" t="n">
        <x:v>914.449389063</x:v>
      </x:c>
      <x:c r="D411" s="13" t="str">
        <x:v>Homebuilders</x:v>
      </x:c>
      <x:c r="E411" s="13" t="str">
        <x:v>Real Estate</x:v>
      </x:c>
      <x:c r="F411" s="13" t="str">
        <x:v>Early Cyclicals</x:v>
      </x:c>
      <x:c r="G411" s="13" t="str">
        <x:v>grid_wekqfxnd.xlsx</x:v>
      </x:c>
    </x:row>
    <x:row r="412">
      <x:c r="A412" s="15" t="n">
        <x:v>40391</x:v>
      </x:c>
      <x:c r="B412" s="13" t="str">
        <x:v>GAFISA SA</x:v>
      </x:c>
      <x:c r="C412" s="16" t="n">
        <x:v>480.9374493808</x:v>
      </x:c>
      <x:c r="D412" s="13" t="str">
        <x:v>Homebuilders</x:v>
      </x:c>
      <x:c r="E412" s="13" t="str">
        <x:v>Real Estate</x:v>
      </x:c>
      <x:c r="F412" s="13" t="str">
        <x:v>Early Cyclicals</x:v>
      </x:c>
      <x:c r="G412" s="13" t="str">
        <x:v>grid_wekqfxnd.xlsx</x:v>
      </x:c>
    </x:row>
    <x:row r="413">
      <x:c r="A413" s="15" t="n">
        <x:v>40391</x:v>
      </x:c>
      <x:c r="B413" s="13" t="str">
        <x:v>MRV ENGENHARIA</x:v>
      </x:c>
      <x:c r="C413" s="16" t="n">
        <x:v>723.8381650411</x:v>
      </x:c>
      <x:c r="D413" s="13" t="str">
        <x:v>Homebuilders</x:v>
      </x:c>
      <x:c r="E413" s="13" t="str">
        <x:v>Real Estate</x:v>
      </x:c>
      <x:c r="F413" s="13" t="str">
        <x:v>Early Cyclicals</x:v>
      </x:c>
      <x:c r="G413" s="13" t="str">
        <x:v>grid_wekqfxnd.xlsx</x:v>
      </x:c>
    </x:row>
    <x:row r="414">
      <x:c r="A414" s="15" t="n">
        <x:v>40391</x:v>
      </x:c>
      <x:c r="B414" s="13" t="str">
        <x:v>PDG REALTY SA</x:v>
      </x:c>
      <x:c r="C414" s="16" t="n">
        <x:v>937.3753424658</x:v>
      </x:c>
      <x:c r="D414" s="13" t="str">
        <x:v>Homebuilders</x:v>
      </x:c>
      <x:c r="E414" s="13" t="str">
        <x:v>Real Estate</x:v>
      </x:c>
      <x:c r="F414" s="13" t="str">
        <x:v>Early Cyclicals</x:v>
      </x:c>
      <x:c r="G414" s="13" t="str">
        <x:v>grid_wekqfxnd.xlsx</x:v>
      </x:c>
    </x:row>
    <x:row r="415">
      <x:c r="A415" s="15" t="n">
        <x:v>40391</x:v>
      </x:c>
      <x:c r="B415" s="13" t="str">
        <x:v>ROSSI RESIDENCIAL SA</x:v>
      </x:c>
      <x:c r="C415" s="16" t="n">
        <x:v>464.0829093699</x:v>
      </x:c>
      <x:c r="D415" s="13" t="str">
        <x:v>Homebuilders</x:v>
      </x:c>
      <x:c r="E415" s="13" t="str">
        <x:v>Real Estate</x:v>
      </x:c>
      <x:c r="F415" s="13" t="str">
        <x:v>Early Cyclicals</x:v>
      </x:c>
      <x:c r="G415" s="13" t="str">
        <x:v>grid_wekqfxnd.xlsx</x:v>
      </x:c>
    </x:row>
    <x:row r="416">
      <x:c r="A416" s="15" t="n">
        <x:v>40391</x:v>
      </x:c>
      <x:c r="B416" s="13" t="str">
        <x:v>BRADESPAR SA -PREF</x:v>
      </x:c>
      <x:c r="C416" s="16" t="n">
        <x:v>817.0684824548</x:v>
      </x:c>
      <x:c r="D416" s="13" t="str">
        <x:v>Metals &amp; Mining</x:v>
      </x:c>
      <x:c r="E416" s="13" t="str">
        <x:v>Metals &amp; Mining</x:v>
      </x:c>
      <x:c r="F416" s="13" t="str">
        <x:v>Deep Cyclicals</x:v>
      </x:c>
      <x:c r="G416" s="13" t="str">
        <x:v>grid_wekqfxnd.xlsx</x:v>
      </x:c>
    </x:row>
    <x:row r="417">
      <x:c r="A417" s="15" t="n">
        <x:v>40391</x:v>
      </x:c>
      <x:c r="B417" s="13" t="str">
        <x:v>CIA SIDERURGICA NACIONAL SA</x:v>
      </x:c>
      <x:c r="C417" s="16" t="n">
        <x:v>4441.8139542794</x:v>
      </x:c>
      <x:c r="D417" s="13" t="str">
        <x:v>Metals &amp; Mining</x:v>
      </x:c>
      <x:c r="E417" s="13" t="str">
        <x:v>Metals &amp; Mining</x:v>
      </x:c>
      <x:c r="F417" s="13" t="str">
        <x:v>Deep Cyclicals</x:v>
      </x:c>
      <x:c r="G417" s="13" t="str">
        <x:v>grid_wekqfxnd.xlsx</x:v>
      </x:c>
    </x:row>
    <x:row r="418">
      <x:c r="A418" s="15" t="n">
        <x:v>40391</x:v>
      </x:c>
      <x:c r="B418" s="13" t="str">
        <x:v>GERDAU SA-PREF</x:v>
      </x:c>
      <x:c r="C418" s="16" t="n">
        <x:v>3329.0043349918</x:v>
      </x:c>
      <x:c r="D418" s="13" t="str">
        <x:v>Metals &amp; Mining</x:v>
      </x:c>
      <x:c r="E418" s="13" t="str">
        <x:v>Metals &amp; Mining</x:v>
      </x:c>
      <x:c r="F418" s="13" t="str">
        <x:v>Deep Cyclicals</x:v>
      </x:c>
      <x:c r="G418" s="13" t="str">
        <x:v>grid_wekqfxnd.xlsx</x:v>
      </x:c>
    </x:row>
    <x:row r="419">
      <x:c r="A419" s="15" t="n">
        <x:v>40391</x:v>
      </x:c>
      <x:c r="B419" s="13" t="str">
        <x:v>METALURGICA GERDAU SA-PREF</x:v>
      </x:c>
      <x:c r="C419" s="16" t="n">
        <x:v>892.7616438356</x:v>
      </x:c>
      <x:c r="D419" s="13" t="str">
        <x:v>Metals &amp; Mining</x:v>
      </x:c>
      <x:c r="E419" s="13" t="str">
        <x:v>Metals &amp; Mining</x:v>
      </x:c>
      <x:c r="F419" s="13" t="str">
        <x:v>Deep Cyclicals</x:v>
      </x:c>
      <x:c r="G419" s="13" t="str">
        <x:v>grid_wekqfxnd.xlsx</x:v>
      </x:c>
    </x:row>
    <x:row r="420">
      <x:c r="A420" s="15" t="n">
        <x:v>40391</x:v>
      </x:c>
      <x:c r="B420" s="13" t="str">
        <x:v>MMX MINERACAO E METALICOS SA</x:v>
      </x:c>
      <x:c r="C420" s="16" t="n">
        <x:v>240.5763480986</x:v>
      </x:c>
      <x:c r="D420" s="13" t="str">
        <x:v>Metals &amp; Mining</x:v>
      </x:c>
      <x:c r="E420" s="13" t="str">
        <x:v>Metals &amp; Mining</x:v>
      </x:c>
      <x:c r="F420" s="13" t="str">
        <x:v>Deep Cyclicals</x:v>
      </x:c>
      <x:c r="G420" s="13" t="str">
        <x:v>grid_wekqfxnd.xlsx</x:v>
      </x:c>
    </x:row>
    <x:row r="421">
      <x:c r="A421" s="15" t="n">
        <x:v>40391</x:v>
      </x:c>
      <x:c r="B421" s="13" t="str">
        <x:v>USINAS SIDER MINAS GER-PF A</x:v>
      </x:c>
      <x:c r="C421" s="16" t="n">
        <x:v>2336.9612168767</x:v>
      </x:c>
      <x:c r="D421" s="13" t="str">
        <x:v>Metals &amp; Mining</x:v>
      </x:c>
      <x:c r="E421" s="13" t="str">
        <x:v>Metals &amp; Mining</x:v>
      </x:c>
      <x:c r="F421" s="13" t="str">
        <x:v>Deep Cyclicals</x:v>
      </x:c>
      <x:c r="G421" s="13" t="str">
        <x:v>grid_wekqfxnd.xlsx</x:v>
      </x:c>
    </x:row>
    <x:row r="422">
      <x:c r="A422" s="15" t="n">
        <x:v>40391</x:v>
      </x:c>
      <x:c r="B422" s="13" t="str">
        <x:v>USINAS SIDERURGICAS DE MINAS</x:v>
      </x:c>
      <x:c r="C422" s="16" t="n">
        <x:v>2336.9612168767</x:v>
      </x:c>
      <x:c r="D422" s="13" t="str">
        <x:v>Metals &amp; Mining</x:v>
      </x:c>
      <x:c r="E422" s="13" t="str">
        <x:v>Metals &amp; Mining</x:v>
      </x:c>
      <x:c r="F422" s="13" t="str">
        <x:v>Deep Cyclicals</x:v>
      </x:c>
      <x:c r="G422" s="13" t="str">
        <x:v>grid_wekqfxnd.xlsx</x:v>
      </x:c>
    </x:row>
    <x:row r="423">
      <x:c r="A423" s="15" t="n">
        <x:v>40391</x:v>
      </x:c>
      <x:c r="B423" s="13" t="str">
        <x:v>VALE SA</x:v>
      </x:c>
      <x:c r="C423" s="16" t="n">
        <x:v>35939.5494308822</x:v>
      </x:c>
      <x:c r="D423" s="13" t="str">
        <x:v>Metals &amp; Mining</x:v>
      </x:c>
      <x:c r="E423" s="13" t="str">
        <x:v>Metals &amp; Mining</x:v>
      </x:c>
      <x:c r="F423" s="13" t="str">
        <x:v>Deep Cyclicals</x:v>
      </x:c>
      <x:c r="G423" s="13" t="str">
        <x:v>grid_wekqfxnd.xlsx</x:v>
      </x:c>
    </x:row>
    <x:row r="424">
      <x:c r="A424" s="15" t="n">
        <x:v>40391</x:v>
      </x:c>
      <x:c r="B424" s="13" t="str">
        <x:v>BRASKEM SA-PREF A</x:v>
      </x:c>
      <x:c r="C424" s="16" t="n">
        <x:v>434.3289037151</x:v>
      </x:c>
      <x:c r="D424" s="13" t="str">
        <x:v>Oil, Gas &amp; Petrochemicals</x:v>
      </x:c>
      <x:c r="E424" s="13" t="str">
        <x:v>Oil, Gas &amp; Petrochemicals</x:v>
      </x:c>
      <x:c r="F424" s="13" t="str">
        <x:v>Deep Cyclicals</x:v>
      </x:c>
      <x:c r="G424" s="13" t="str">
        <x:v>grid_wekqfxnd.xlsx</x:v>
      </x:c>
    </x:row>
    <x:row r="425">
      <x:c r="A425" s="15" t="n">
        <x:v>40391</x:v>
      </x:c>
      <x:c r="B425" s="13" t="str">
        <x:v>COSAN SA</x:v>
      </x:c>
      <x:c r="C425" s="16" t="n">
        <x:v>1116.9233302795</x:v>
      </x:c>
      <x:c r="D425" s="13" t="str">
        <x:v>Oil, Gas &amp; Petrochemicals</x:v>
      </x:c>
      <x:c r="E425" s="13" t="str">
        <x:v>Oil, Gas &amp; Petrochemicals</x:v>
      </x:c>
      <x:c r="F425" s="13" t="str">
        <x:v>Deep Cyclicals</x:v>
      </x:c>
      <x:c r="G425" s="13" t="str">
        <x:v>grid_wekqfxnd.xlsx</x:v>
      </x:c>
    </x:row>
    <x:row r="426">
      <x:c r="A426" s="15" t="n">
        <x:v>40391</x:v>
      </x:c>
      <x:c r="B426" s="13" t="str">
        <x:v>OLEO E GAS PARTICIPACOES SA</x:v>
      </x:c>
      <x:c r="C426" s="16" t="n">
        <x:v>378.6957289205</x:v>
      </x:c>
      <x:c r="D426" s="13" t="str">
        <x:v>Oil, Gas &amp; Petrochemicals</x:v>
      </x:c>
      <x:c r="E426" s="13" t="str">
        <x:v>Oil, Gas &amp; Petrochemicals</x:v>
      </x:c>
      <x:c r="F426" s="13" t="str">
        <x:v>Deep Cyclicals</x:v>
      </x:c>
      <x:c r="G426" s="13" t="str">
        <x:v>grid_wekqfxnd.xlsx</x:v>
      </x:c>
    </x:row>
    <x:row r="427">
      <x:c r="A427" s="15" t="n">
        <x:v>40391</x:v>
      </x:c>
      <x:c r="B427" s="13" t="str">
        <x:v>PETROBRAS - PETROLEO BRAS</x:v>
      </x:c>
      <x:c r="C427" s="16" t="n">
        <x:v>32989.9049296658</x:v>
      </x:c>
      <x:c r="D427" s="13" t="str">
        <x:v>Oil, Gas &amp; Petrochemicals</x:v>
      </x:c>
      <x:c r="E427" s="13" t="str">
        <x:v>Oil, Gas &amp; Petrochemicals</x:v>
      </x:c>
      <x:c r="F427" s="13" t="str">
        <x:v>Deep Cyclicals</x:v>
      </x:c>
      <x:c r="G427" s="13" t="str">
        <x:v>grid_wekqfxnd.xlsx</x:v>
      </x:c>
    </x:row>
    <x:row r="428">
      <x:c r="A428" s="15" t="n">
        <x:v>40391</x:v>
      </x:c>
      <x:c r="B428" s="13" t="str">
        <x:v>ULTRAPAR PARTICIPACOES-PREF</x:v>
      </x:c>
      <x:c r="C428" s="16" t="n">
        <x:v>795.4272361205</x:v>
      </x:c>
      <x:c r="D428" s="13" t="str">
        <x:v>Oil, Gas &amp; Petrochemicals</x:v>
      </x:c>
      <x:c r="E428" s="13" t="str">
        <x:v>Oil, Gas &amp; Petrochemicals</x:v>
      </x:c>
      <x:c r="F428" s="13" t="str">
        <x:v>Deep Cyclicals</x:v>
      </x:c>
      <x:c r="G428" s="13" t="str">
        <x:v>grid_wekqfxnd.xlsx</x:v>
      </x:c>
    </x:row>
    <x:row r="429">
      <x:c r="A429" s="15" t="n">
        <x:v>40391</x:v>
      </x:c>
      <x:c r="B429" s="13" t="str">
        <x:v>DEXCO SA</x:v>
      </x:c>
      <x:c r="C429" s="16" t="n">
        <x:v>454.3722273315</x:v>
      </x:c>
      <x:c r="D429" s="13" t="str">
        <x:v>Pulp &amp; Paper</x:v>
      </x:c>
      <x:c r="E429" s="13" t="str">
        <x:v>Pulp &amp; Paper</x:v>
      </x:c>
      <x:c r="F429" s="13" t="str">
        <x:v>Deep Cyclicals</x:v>
      </x:c>
      <x:c r="G429" s="13" t="str">
        <x:v>grid_wekqfxnd.xlsx</x:v>
      </x:c>
    </x:row>
    <x:row r="430">
      <x:c r="A430" s="15" t="n">
        <x:v>40391</x:v>
      </x:c>
      <x:c r="B430" s="13" t="str">
        <x:v>FIBRIA CELULOSE S/A</x:v>
      </x:c>
      <x:c r="C430" s="16" t="n">
        <x:v>845.6528469918</x:v>
      </x:c>
      <x:c r="D430" s="13" t="str">
        <x:v>Pulp &amp; Paper</x:v>
      </x:c>
      <x:c r="E430" s="13" t="str">
        <x:v>Pulp &amp; Paper</x:v>
      </x:c>
      <x:c r="F430" s="13" t="str">
        <x:v>Deep Cyclicals</x:v>
      </x:c>
      <x:c r="G430" s="13" t="str">
        <x:v>grid_wekqfxnd.xlsx</x:v>
      </x:c>
    </x:row>
    <x:row r="431">
      <x:c r="A431" s="15" t="n">
        <x:v>40391</x:v>
      </x:c>
      <x:c r="B431" s="13" t="str">
        <x:v>AMERICANAS SA</x:v>
      </x:c>
      <x:c r="C431" s="16" t="n">
        <x:v>101.5174794521</x:v>
      </x:c>
      <x:c r="D431" s="13" t="str">
        <x:v>Retail</x:v>
      </x:c>
      <x:c r="E431" s="13" t="str">
        <x:v>Retail</x:v>
      </x:c>
      <x:c r="F431" s="13" t="str">
        <x:v>Early Cyclicals</x:v>
      </x:c>
      <x:c r="G431" s="13" t="str">
        <x:v>grid_wekqfxnd.xlsx</x:v>
      </x:c>
    </x:row>
    <x:row r="432">
      <x:c r="A432" s="15" t="n">
        <x:v>40391</x:v>
      </x:c>
      <x:c r="B432" s="13" t="str">
        <x:v>CIA BRASILEIRA DE DIS-PREF</x:v>
      </x:c>
      <x:c r="C432" s="16" t="n">
        <x:v>751.3595256986</x:v>
      </x:c>
      <x:c r="D432" s="13" t="str">
        <x:v>Retail</x:v>
      </x:c>
      <x:c r="E432" s="13" t="str">
        <x:v>Retail</x:v>
      </x:c>
      <x:c r="F432" s="13" t="str">
        <x:v>Early Cyclicals</x:v>
      </x:c>
      <x:c r="G432" s="13" t="str">
        <x:v>grid_wekqfxnd.xlsx</x:v>
      </x:c>
    </x:row>
    <x:row r="433">
      <x:c r="A433" s="15" t="n">
        <x:v>40391</x:v>
      </x:c>
      <x:c r="B433" s="13" t="str">
        <x:v>LOJAS AMERICANAS SA-PREF</x:v>
      </x:c>
      <x:c r="C433" s="16" t="n">
        <x:v>318.7424657534</x:v>
      </x:c>
      <x:c r="D433" s="13" t="str">
        <x:v>Retail</x:v>
      </x:c>
      <x:c r="E433" s="13" t="str">
        <x:v>Retail</x:v>
      </x:c>
      <x:c r="F433" s="13" t="str">
        <x:v>Early Cyclicals</x:v>
      </x:c>
      <x:c r="G433" s="13" t="str">
        <x:v>grid_wekqfxnd.xlsx</x:v>
      </x:c>
    </x:row>
    <x:row r="434">
      <x:c r="A434" s="15" t="n">
        <x:v>40391</x:v>
      </x:c>
      <x:c r="B434" s="13" t="str">
        <x:v>LOJAS RENNER S.A.</x:v>
      </x:c>
      <x:c r="C434" s="16" t="n">
        <x:v>309.4888190247</x:v>
      </x:c>
      <x:c r="D434" s="13" t="str">
        <x:v>Retail</x:v>
      </x:c>
      <x:c r="E434" s="13" t="str">
        <x:v>Retail</x:v>
      </x:c>
      <x:c r="F434" s="13" t="str">
        <x:v>Early Cyclicals</x:v>
      </x:c>
      <x:c r="G434" s="13" t="str">
        <x:v>grid_wekqfxnd.xlsx</x:v>
      </x:c>
    </x:row>
    <x:row r="435">
      <x:c r="A435" s="15" t="n">
        <x:v>40391</x:v>
      </x:c>
      <x:c r="B435" s="13" t="str">
        <x:v>NATURA COSMETICOS SA</x:v>
      </x:c>
      <x:c r="C435" s="16" t="n">
        <x:v>845.3511697534</x:v>
      </x:c>
      <x:c r="D435" s="13" t="str">
        <x:v>Retail</x:v>
      </x:c>
      <x:c r="E435" s="13" t="str">
        <x:v>Retail</x:v>
      </x:c>
      <x:c r="F435" s="13" t="str">
        <x:v>Early Cyclicals</x:v>
      </x:c>
      <x:c r="G435" s="13" t="str">
        <x:v>grid_wekqfxnd.xlsx</x:v>
      </x:c>
    </x:row>
    <x:row r="436">
      <x:c r="A436" s="15" t="n">
        <x:v>40391</x:v>
      </x:c>
      <x:c r="B436" s="13" t="str">
        <x:v>CIA SANEAMENTO BASICO DE SP</x:v>
      </x:c>
      <x:c r="C436" s="16" t="n">
        <x:v>1296.9770250521</x:v>
      </x:c>
      <x:c r="D436" s="13" t="str">
        <x:v>Sanitation</x:v>
      </x:c>
      <x:c r="E436" s="13" t="str">
        <x:v>Utilities</x:v>
      </x:c>
      <x:c r="F436" s="13" t="str">
        <x:v>Defensives</x:v>
      </x:c>
      <x:c r="G436" s="13" t="str">
        <x:v>grid_wekqfxnd.xlsx</x:v>
      </x:c>
    </x:row>
    <x:row r="437">
      <x:c r="A437" s="15" t="n">
        <x:v>40391</x:v>
      </x:c>
      <x:c r="B437" s="13" t="str">
        <x:v>NET SERVICOS DE COMUNI-PREF</x:v>
      </x:c>
      <x:c r="C437" s="16" t="n">
        <x:v>414.6258463562</x:v>
      </x:c>
      <x:c r="D437" s="13" t="str">
        <x:v>TMT</x:v>
      </x:c>
      <x:c r="E437" s="13" t="str">
        <x:v>TMT</x:v>
      </x:c>
      <x:c r="F437" s="13" t="str">
        <x:v>Early Cyclicals</x:v>
      </x:c>
      <x:c r="G437" s="13" t="str">
        <x:v>grid_wekqfxnd.xlsx</x:v>
      </x:c>
    </x:row>
    <x:row r="438">
      <x:c r="A438" s="15" t="n">
        <x:v>40391</x:v>
      </x:c>
      <x:c r="B438" s="13" t="str">
        <x:v>OI SA-PREFERENCE</x:v>
      </x:c>
      <x:c r="C438" s="16" t="n">
        <x:v>1270.6520014904</x:v>
      </x:c>
      <x:c r="D438" s="13" t="str">
        <x:v>TMT</x:v>
      </x:c>
      <x:c r="E438" s="13" t="str">
        <x:v>TMT</x:v>
      </x:c>
      <x:c r="F438" s="13" t="str">
        <x:v>Early Cyclicals</x:v>
      </x:c>
      <x:c r="G438" s="13" t="str">
        <x:v>grid_wekqfxnd.xlsx</x:v>
      </x:c>
    </x:row>
    <x:row r="439">
      <x:c r="A439" s="15" t="n">
        <x:v>40391</x:v>
      </x:c>
      <x:c r="B439" s="13" t="str">
        <x:v>TELE NORTE LESTE PART</x:v>
      </x:c>
      <x:c r="C439" s="16" t="n">
        <x:v>1576.084191737</x:v>
      </x:c>
      <x:c r="D439" s="13" t="str">
        <x:v>TMT</x:v>
      </x:c>
      <x:c r="E439" s="13" t="str">
        <x:v>TMT</x:v>
      </x:c>
      <x:c r="F439" s="13" t="str">
        <x:v>Early Cyclicals</x:v>
      </x:c>
      <x:c r="G439" s="13" t="str">
        <x:v>grid_wekqfxnd.xlsx</x:v>
      </x:c>
    </x:row>
    <x:row r="440">
      <x:c r="A440" s="15" t="n">
        <x:v>40391</x:v>
      </x:c>
      <x:c r="B440" s="13" t="str">
        <x:v>TELEFONICA BRASIL S.A.-PREF</x:v>
      </x:c>
      <x:c r="C440" s="16" t="n">
        <x:v>2170.841888263</x:v>
      </x:c>
      <x:c r="D440" s="13" t="str">
        <x:v>TMT</x:v>
      </x:c>
      <x:c r="E440" s="13" t="str">
        <x:v>TMT</x:v>
      </x:c>
      <x:c r="F440" s="13" t="str">
        <x:v>Early Cyclicals</x:v>
      </x:c>
      <x:c r="G440" s="13" t="str">
        <x:v>grid_wekqfxnd.xlsx</x:v>
      </x:c>
    </x:row>
    <x:row r="441">
      <x:c r="A441" s="15" t="n">
        <x:v>40391</x:v>
      </x:c>
      <x:c r="B441" s="13" t="str">
        <x:v>TELEMAR NORTE LESTE SA</x:v>
      </x:c>
      <x:c r="C441" s="16" t="n">
        <x:v>1755.9576232329</x:v>
      </x:c>
      <x:c r="D441" s="13" t="str">
        <x:v>TMT</x:v>
      </x:c>
      <x:c r="E441" s="13" t="str">
        <x:v>TMT</x:v>
      </x:c>
      <x:c r="F441" s="13" t="str">
        <x:v>Early Cyclicals</x:v>
      </x:c>
      <x:c r="G441" s="13" t="str">
        <x:v>grid_wekqfxnd.xlsx</x:v>
      </x:c>
    </x:row>
    <x:row r="442">
      <x:c r="A442" s="15" t="n">
        <x:v>40391</x:v>
      </x:c>
      <x:c r="B442" s="13" t="str">
        <x:v>TIM PARTICIPACOES SA-PREF</x:v>
      </x:c>
      <x:c r="C442" s="16" t="n">
        <x:v>686.7666058521</x:v>
      </x:c>
      <x:c r="D442" s="13" t="str">
        <x:v>TMT</x:v>
      </x:c>
      <x:c r="E442" s="13" t="str">
        <x:v>TMT</x:v>
      </x:c>
      <x:c r="F442" s="13" t="str">
        <x:v>Early Cyclicals</x:v>
      </x:c>
      <x:c r="G442" s="13" t="str">
        <x:v>grid_wekqfxnd.xlsx</x:v>
      </x:c>
    </x:row>
    <x:row r="443">
      <x:c r="A443" s="15" t="n">
        <x:v>40391</x:v>
      </x:c>
      <x:c r="B443" s="13" t="str">
        <x:v>TIM SA</x:v>
      </x:c>
      <x:c r="C443" s="16" t="n">
        <x:v>686.7666058521</x:v>
      </x:c>
      <x:c r="D443" s="13" t="str">
        <x:v>TMT</x:v>
      </x:c>
      <x:c r="E443" s="13" t="str">
        <x:v>TMT</x:v>
      </x:c>
      <x:c r="F443" s="13" t="str">
        <x:v>Early Cyclicals</x:v>
      </x:c>
      <x:c r="G443" s="13" t="str">
        <x:v>grid_wekqfxnd.xlsx</x:v>
      </x:c>
    </x:row>
    <x:row r="444">
      <x:c r="A444" s="15" t="n">
        <x:v>40391</x:v>
      </x:c>
      <x:c r="B444" s="13" t="str">
        <x:v>VIVO PARTICIPACOES SA-PREF</x:v>
      </x:c>
      <x:c r="C444" s="16" t="n">
        <x:v>1607.2627662904</x:v>
      </x:c>
      <x:c r="D444" s="13" t="str">
        <x:v>TMT</x:v>
      </x:c>
      <x:c r="E444" s="13" t="str">
        <x:v>TMT</x:v>
      </x:c>
      <x:c r="F444" s="13" t="str">
        <x:v>Early Cyclicals</x:v>
      </x:c>
      <x:c r="G444" s="13" t="str">
        <x:v>grid_wekqfxnd.xlsx</x:v>
      </x:c>
    </x:row>
    <x:row r="445">
      <x:c r="A445" s="15" t="n">
        <x:v>40391</x:v>
      </x:c>
      <x:c r="B445" s="13" t="str">
        <x:v>ALL AMERICA LATINA LOGISTICA</x:v>
      </x:c>
      <x:c r="C445" s="16" t="n">
        <x:v>244.1597532055</x:v>
      </x:c>
      <x:c r="D445" s="13" t="str">
        <x:v>Transportation</x:v>
      </x:c>
      <x:c r="E445" s="13" t="str">
        <x:v>Transportation</x:v>
      </x:c>
      <x:c r="F445" s="13" t="str">
        <x:v>Deep Cyclicals</x:v>
      </x:c>
      <x:c r="G445" s="13" t="str">
        <x:v>grid_wekqfxnd.xlsx</x:v>
      </x:c>
    </x:row>
    <x:row r="446">
      <x:c r="A446" s="15" t="n">
        <x:v>40391</x:v>
      </x:c>
      <x:c r="B446" s="13" t="str">
        <x:v>GOL LINHAS AEREAS INT SA-PRE</x:v>
      </x:c>
      <x:c r="C446" s="16" t="n">
        <x:v>443.9023504658</x:v>
      </x:c>
      <x:c r="D446" s="13" t="str">
        <x:v>Transportation</x:v>
      </x:c>
      <x:c r="E446" s="13" t="str">
        <x:v>Transportation</x:v>
      </x:c>
      <x:c r="F446" s="13" t="str">
        <x:v>Deep Cyclicals</x:v>
      </x:c>
      <x:c r="G446" s="13" t="str">
        <x:v>grid_wekqfxnd.xlsx</x:v>
      </x:c>
    </x:row>
    <x:row r="447">
      <x:c r="A447" s="15" t="n">
        <x:v>40391</x:v>
      </x:c>
      <x:c r="B447" s="13" t="str">
        <x:v>MOTIVA INFRAESTRUTURA DE MOB</x:v>
      </x:c>
      <x:c r="C447" s="16" t="n">
        <x:v>957.3960470795</x:v>
      </x:c>
      <x:c r="D447" s="13" t="str">
        <x:v>Transportation</x:v>
      </x:c>
      <x:c r="E447" s="13" t="str">
        <x:v>Transportation</x:v>
      </x:c>
      <x:c r="F447" s="13" t="str">
        <x:v>Deep Cyclicals</x:v>
      </x:c>
      <x:c r="G447" s="13" t="str">
        <x:v>grid_wekqfxnd.xlsx</x:v>
      </x:c>
    </x:row>
    <x:row r="448">
      <x:c r="A448" s="15" t="n">
        <x:v>40391</x:v>
      </x:c>
      <x:c r="B448" s="13" t="str">
        <x:v>PRUMO LOGISTICA SA</x:v>
      </x:c>
      <x:c r="C448" s="16" t="n">
        <x:v>-177.0123287671</x:v>
      </x:c>
      <x:c r="D448" s="13" t="str">
        <x:v>Transportation</x:v>
      </x:c>
      <x:c r="E448" s="13" t="str">
        <x:v>Transportation</x:v>
      </x:c>
      <x:c r="F448" s="13" t="str">
        <x:v>Deep Cyclicals</x:v>
      </x:c>
      <x:c r="G448" s="13" t="str">
        <x:v>grid_wekqfxnd.xlsx</x:v>
      </x:c>
    </x:row>
    <x:row r="449">
      <x:c r="A449" s="15" t="n">
        <x:v>40391</x:v>
      </x:c>
      <x:c r="B449" s="13" t="str">
        <x:v>TAM SA-PREF</x:v>
      </x:c>
      <x:c r="C449" s="16" t="n">
        <x:v>236.3542684055</x:v>
      </x:c>
      <x:c r="D449" s="13" t="str">
        <x:v>Transportation</x:v>
      </x:c>
      <x:c r="E449" s="13" t="str">
        <x:v>Transportation</x:v>
      </x:c>
      <x:c r="F449" s="13" t="str">
        <x:v>Deep Cyclicals</x:v>
      </x:c>
      <x:c r="G449" s="13" t="str">
        <x:v>grid_wekqfxnd.xlsx</x:v>
      </x:c>
    </x:row>
    <x:row r="450">
      <x:c r="A450" s="15" t="n">
        <x:v>40391</x:v>
      </x:c>
      <x:c r="B450" s="13" t="str">
        <x:v>AXIA ENERGIA SA</x:v>
      </x:c>
      <x:c r="C450" s="16" t="n">
        <x:v>3207.0244330959</x:v>
      </x:c>
      <x:c r="D450" s="13" t="str">
        <x:v>Utilities &amp; Energy</x:v>
      </x:c>
      <x:c r="E450" s="13" t="str">
        <x:v>Utilities</x:v>
      </x:c>
      <x:c r="F450" s="13" t="str">
        <x:v>Defensives</x:v>
      </x:c>
      <x:c r="G450" s="13" t="str">
        <x:v>grid_wekqfxnd.xlsx</x:v>
      </x:c>
    </x:row>
    <x:row r="451">
      <x:c r="A451" s="15" t="n">
        <x:v>40391</x:v>
      </x:c>
      <x:c r="B451" s="13" t="str">
        <x:v>AXIA ENERGIA-PR B</x:v>
      </x:c>
      <x:c r="C451" s="16" t="n">
        <x:v>3207.0244330959</x:v>
      </x:c>
      <x:c r="D451" s="13" t="str">
        <x:v>Utilities &amp; Energy</x:v>
      </x:c>
      <x:c r="E451" s="13" t="str">
        <x:v>Utilities</x:v>
      </x:c>
      <x:c r="F451" s="13" t="str">
        <x:v>Defensives</x:v>
      </x:c>
      <x:c r="G451" s="13" t="str">
        <x:v>grid_wekqfxnd.xlsx</x:v>
      </x:c>
    </x:row>
    <x:row r="452">
      <x:c r="A452" s="15" t="n">
        <x:v>40391</x:v>
      </x:c>
      <x:c r="B452" s="13" t="str">
        <x:v>CESP - CIA ENERGETICA DE SAO</x:v>
      </x:c>
      <x:c r="C452" s="16" t="n">
        <x:v>638.3398193096</x:v>
      </x:c>
      <x:c r="D452" s="13" t="str">
        <x:v>Utilities &amp; Energy</x:v>
      </x:c>
      <x:c r="E452" s="13" t="str">
        <x:v>Utilities</x:v>
      </x:c>
      <x:c r="F452" s="13" t="str">
        <x:v>Defensives</x:v>
      </x:c>
      <x:c r="G452" s="13" t="str">
        <x:v>grid_wekqfxnd.xlsx</x:v>
      </x:c>
    </x:row>
    <x:row r="453">
      <x:c r="A453" s="15" t="n">
        <x:v>40391</x:v>
      </x:c>
      <x:c r="B453" s="13" t="str">
        <x:v>CIA ENERGETICA MINAS GER-PRF</x:v>
      </x:c>
      <x:c r="C453" s="16" t="n">
        <x:v>2086.6858972931</x:v>
      </x:c>
      <x:c r="D453" s="13" t="str">
        <x:v>Utilities &amp; Energy</x:v>
      </x:c>
      <x:c r="E453" s="13" t="str">
        <x:v>Utilities</x:v>
      </x:c>
      <x:c r="F453" s="13" t="str">
        <x:v>Defensives</x:v>
      </x:c>
      <x:c r="G453" s="13" t="str">
        <x:v>grid_wekqfxnd.xlsx</x:v>
      </x:c>
    </x:row>
    <x:row r="454">
      <x:c r="A454" s="15" t="n">
        <x:v>40391</x:v>
      </x:c>
      <x:c r="B454" s="13" t="str">
        <x:v>COMPANHIA PARANAENSE -PREF B</x:v>
      </x:c>
      <x:c r="C454" s="16" t="n">
        <x:v>1133.9084333589</x:v>
      </x:c>
      <x:c r="D454" s="13" t="str">
        <x:v>Utilities &amp; Energy</x:v>
      </x:c>
      <x:c r="E454" s="13" t="str">
        <x:v>Utilities</x:v>
      </x:c>
      <x:c r="F454" s="13" t="str">
        <x:v>Defensives</x:v>
      </x:c>
      <x:c r="G454" s="13" t="str">
        <x:v>grid_wekqfxnd.xlsx</x:v>
      </x:c>
    </x:row>
    <x:row r="455">
      <x:c r="A455" s="15" t="n">
        <x:v>40391</x:v>
      </x:c>
      <x:c r="B455" s="13" t="str">
        <x:v>CPFL ENERGIA SA</x:v>
      </x:c>
      <x:c r="C455" s="16" t="n">
        <x:v>1552.0068432657</x:v>
      </x:c>
      <x:c r="D455" s="13" t="str">
        <x:v>Utilities &amp; Energy</x:v>
      </x:c>
      <x:c r="E455" s="13" t="str">
        <x:v>Utilities</x:v>
      </x:c>
      <x:c r="F455" s="13" t="str">
        <x:v>Defensives</x:v>
      </x:c>
      <x:c r="G455" s="13" t="str">
        <x:v>grid_wekqfxnd.xlsx</x:v>
      </x:c>
    </x:row>
    <x:row r="456">
      <x:c r="A456" s="15" t="n">
        <x:v>40391</x:v>
      </x:c>
      <x:c r="B456" s="13" t="str">
        <x:v>ISA ENERGIA BRASIL SA</x:v>
      </x:c>
      <x:c r="C456" s="16" t="n">
        <x:v>813.018630137</x:v>
      </x:c>
      <x:c r="D456" s="13" t="str">
        <x:v>Utilities &amp; Energy</x:v>
      </x:c>
      <x:c r="E456" s="13" t="str">
        <x:v>Utilities</x:v>
      </x:c>
      <x:c r="F456" s="13" t="str">
        <x:v>Defensives</x:v>
      </x:c>
      <x:c r="G456" s="13" t="str">
        <x:v>grid_wekqfxnd.xlsx</x:v>
      </x:c>
    </x:row>
    <x:row r="457">
      <x:c r="A457" s="15" t="n">
        <x:v>40391</x:v>
      </x:c>
      <x:c r="B457" s="13" t="str">
        <x:v>LIGHT SA</x:v>
      </x:c>
      <x:c r="C457" s="16" t="n">
        <x:v>559.2874908055</x:v>
      </x:c>
      <x:c r="D457" s="13" t="str">
        <x:v>Utilities &amp; Energy</x:v>
      </x:c>
      <x:c r="E457" s="13" t="str">
        <x:v>Utilities</x:v>
      </x:c>
      <x:c r="F457" s="13" t="str">
        <x:v>Defensives</x:v>
      </x:c>
      <x:c r="G457" s="13" t="str">
        <x:v>grid_wekqfxnd.xlsx</x:v>
      </x:c>
    </x:row>
    <x:row r="458">
      <x:c r="A458" s="15" t="n">
        <x:v>40422</x:v>
      </x:c>
      <x:c r="B458" s="13" t="str">
        <x:v>BANCO BRADESCO SA-PREF</x:v>
      </x:c>
      <x:c r="C458" s="16" t="n">
        <x:v>10292.2212590466</x:v>
      </x:c>
      <x:c r="D458" s="13" t="str">
        <x:v>Banks</x:v>
      </x:c>
      <x:c r="E458" s="13" t="str">
        <x:v>Banks</x:v>
      </x:c>
      <x:c r="F458" s="13" t="str">
        <x:v>Financials</x:v>
      </x:c>
      <x:c r="G458" s="13" t="str">
        <x:v>grid_wekqfxnd.xlsx</x:v>
      </x:c>
    </x:row>
    <x:row r="459">
      <x:c r="A459" s="15" t="n">
        <x:v>40422</x:v>
      </x:c>
      <x:c r="B459" s="13" t="str">
        <x:v>BANCO DO BRASIL S.A.</x:v>
      </x:c>
      <x:c r="C459" s="16" t="n">
        <x:v>10077.3809278247</x:v>
      </x:c>
      <x:c r="D459" s="13" t="str">
        <x:v>Banks</x:v>
      </x:c>
      <x:c r="E459" s="13" t="str">
        <x:v>Banks</x:v>
      </x:c>
      <x:c r="F459" s="13" t="str">
        <x:v>Financials</x:v>
      </x:c>
      <x:c r="G459" s="13" t="str">
        <x:v>grid_wekqfxnd.xlsx</x:v>
      </x:c>
    </x:row>
    <x:row r="460">
      <x:c r="A460" s="15" t="n">
        <x:v>40422</x:v>
      </x:c>
      <x:c r="B460" s="13" t="str">
        <x:v>BANCO SANTANDER  BRASIL-UNIT</x:v>
      </x:c>
      <x:c r="C460" s="16" t="n">
        <x:v>8007.6570217205</x:v>
      </x:c>
      <x:c r="D460" s="13" t="str">
        <x:v>Banks</x:v>
      </x:c>
      <x:c r="E460" s="13" t="str">
        <x:v>Banks</x:v>
      </x:c>
      <x:c r="F460" s="13" t="str">
        <x:v>Financials</x:v>
      </x:c>
      <x:c r="G460" s="13" t="str">
        <x:v>grid_wekqfxnd.xlsx</x:v>
      </x:c>
    </x:row>
    <x:row r="461">
      <x:c r="A461" s="15" t="n">
        <x:v>40422</x:v>
      </x:c>
      <x:c r="B461" s="13" t="str">
        <x:v>ITAU UNIBANCO HOLDING S-PREF</x:v>
      </x:c>
      <x:c r="C461" s="16" t="n">
        <x:v>14741.9036321315</x:v>
      </x:c>
      <x:c r="D461" s="13" t="str">
        <x:v>Banks</x:v>
      </x:c>
      <x:c r="E461" s="13" t="str">
        <x:v>Banks</x:v>
      </x:c>
      <x:c r="F461" s="13" t="str">
        <x:v>Financials</x:v>
      </x:c>
      <x:c r="G461" s="13" t="str">
        <x:v>grid_wekqfxnd.xlsx</x:v>
      </x:c>
    </x:row>
    <x:row r="462">
      <x:c r="A462" s="15" t="n">
        <x:v>40422</x:v>
      </x:c>
      <x:c r="B462" s="13" t="str">
        <x:v>EMBRAER SA</x:v>
      </x:c>
      <x:c r="C462" s="16" t="n">
        <x:v>531.9687671233</x:v>
      </x:c>
      <x:c r="D462" s="13" t="str">
        <x:v>Capital Goods</x:v>
      </x:c>
      <x:c r="E462" s="13" t="str">
        <x:v>Capital Goods</x:v>
      </x:c>
      <x:c r="F462" s="13" t="str">
        <x:v>Deep Cyclicals</x:v>
      </x:c>
      <x:c r="G462" s="13" t="str">
        <x:v>grid_wekqfxnd.xlsx</x:v>
      </x:c>
    </x:row>
    <x:row r="463">
      <x:c r="A463" s="15" t="n">
        <x:v>40422</x:v>
      </x:c>
      <x:c r="B463" s="13" t="str">
        <x:v>B3 SA-BRASIL BOLSA BALCAO</x:v>
      </x:c>
      <x:c r="C463" s="16" t="n">
        <x:v>1668.5932249425</x:v>
      </x:c>
      <x:c r="D463" s="13" t="str">
        <x:v>Financials Non-Banks</x:v>
      </x:c>
      <x:c r="E463" s="13" t="str">
        <x:v>Financials Non-Banks</x:v>
      </x:c>
      <x:c r="F463" s="13" t="str">
        <x:v>Financials</x:v>
      </x:c>
      <x:c r="G463" s="13" t="str">
        <x:v>grid_wekqfxnd.xlsx</x:v>
      </x:c>
    </x:row>
    <x:row r="464">
      <x:c r="A464" s="15" t="n">
        <x:v>40422</x:v>
      </x:c>
      <x:c r="B464" s="13" t="str">
        <x:v>CIELO SA - INSTITUICAO DE PA</x:v>
      </x:c>
      <x:c r="C464" s="16" t="n">
        <x:v>1850.1387940822</x:v>
      </x:c>
      <x:c r="D464" s="13" t="str">
        <x:v>Financials Non-Banks</x:v>
      </x:c>
      <x:c r="E464" s="13" t="str">
        <x:v>Financials Non-Banks</x:v>
      </x:c>
      <x:c r="F464" s="13" t="str">
        <x:v>Financials</x:v>
      </x:c>
      <x:c r="G464" s="13" t="str">
        <x:v>grid_wekqfxnd.xlsx</x:v>
      </x:c>
    </x:row>
    <x:row r="465">
      <x:c r="A465" s="15" t="n">
        <x:v>40422</x:v>
      </x:c>
      <x:c r="B465" s="13" t="str">
        <x:v>ITAUSA SA</x:v>
      </x:c>
      <x:c r="C465" s="16" t="n">
        <x:v>5519.3115816329</x:v>
      </x:c>
      <x:c r="D465" s="13" t="str">
        <x:v>Financials Non-Banks</x:v>
      </x:c>
      <x:c r="E465" s="13" t="str">
        <x:v>Financials Non-Banks</x:v>
      </x:c>
      <x:c r="F465" s="13" t="str">
        <x:v>Financials</x:v>
      </x:c>
      <x:c r="G465" s="13" t="str">
        <x:v>grid_wekqfxnd.xlsx</x:v>
      </x:c>
    </x:row>
    <x:row r="466">
      <x:c r="A466" s="15" t="n">
        <x:v>40422</x:v>
      </x:c>
      <x:c r="B466" s="13" t="str">
        <x:v>REDECARD INSTITUICAO DE PAGA</x:v>
      </x:c>
      <x:c r="C466" s="16" t="n">
        <x:v>1548.1094834849</x:v>
      </x:c>
      <x:c r="D466" s="13" t="str">
        <x:v>Financials Non-Banks</x:v>
      </x:c>
      <x:c r="E466" s="13" t="str">
        <x:v>Financials Non-Banks</x:v>
      </x:c>
      <x:c r="F466" s="13" t="str">
        <x:v>Financials</x:v>
      </x:c>
      <x:c r="G466" s="13" t="str">
        <x:v>grid_wekqfxnd.xlsx</x:v>
      </x:c>
    </x:row>
    <x:row r="467">
      <x:c r="A467" s="15" t="n">
        <x:v>40422</x:v>
      </x:c>
      <x:c r="B467" s="13" t="str">
        <x:v>AMBEV SA</x:v>
      </x:c>
      <x:c r="C467" s="16" t="n">
        <x:v>7378.0825494794</x:v>
      </x:c>
      <x:c r="D467" s="13" t="str">
        <x:v>Food &amp; Beverages</x:v>
      </x:c>
      <x:c r="E467" s="13" t="str">
        <x:v>Agri, Food &amp; Beverages</x:v>
      </x:c>
      <x:c r="F467" s="13" t="str">
        <x:v>Defensives</x:v>
      </x:c>
      <x:c r="G467" s="13" t="str">
        <x:v>grid_wekqfxnd.xlsx</x:v>
      </x:c>
    </x:row>
    <x:row r="468">
      <x:c r="A468" s="15" t="n">
        <x:v>40422</x:v>
      </x:c>
      <x:c r="B468" s="13" t="str">
        <x:v>BRF SA</x:v>
      </x:c>
      <x:c r="C468" s="16" t="n">
        <x:v>908.9732821918</x:v>
      </x:c>
      <x:c r="D468" s="13" t="str">
        <x:v>Food &amp; Beverages</x:v>
      </x:c>
      <x:c r="E468" s="13" t="str">
        <x:v>Agri, Food &amp; Beverages</x:v>
      </x:c>
      <x:c r="F468" s="13" t="str">
        <x:v>Defensives</x:v>
      </x:c>
      <x:c r="G468" s="13" t="str">
        <x:v>grid_wekqfxnd.xlsx</x:v>
      </x:c>
    </x:row>
    <x:row r="469">
      <x:c r="A469" s="15" t="n">
        <x:v>40422</x:v>
      </x:c>
      <x:c r="B469" s="13" t="str">
        <x:v>JBS SA</x:v>
      </x:c>
      <x:c r="C469" s="16" t="n">
        <x:v>1151.8739726027</x:v>
      </x:c>
      <x:c r="D469" s="13" t="str">
        <x:v>Food &amp; Beverages</x:v>
      </x:c>
      <x:c r="E469" s="13" t="str">
        <x:v>Agri, Food &amp; Beverages</x:v>
      </x:c>
      <x:c r="F469" s="13" t="str">
        <x:v>Defensives</x:v>
      </x:c>
      <x:c r="G469" s="13" t="str">
        <x:v>grid_wekqfxnd.xlsx</x:v>
      </x:c>
    </x:row>
    <x:row r="470">
      <x:c r="A470" s="15" t="n">
        <x:v>40422</x:v>
      </x:c>
      <x:c r="B470" s="13" t="str">
        <x:v>MBRF GLOBAL FOODS COMPANY SA</x:v>
      </x:c>
      <x:c r="C470" s="16" t="n">
        <x:v>385.1424617205</x:v>
      </x:c>
      <x:c r="D470" s="13" t="str">
        <x:v>Food &amp; Beverages</x:v>
      </x:c>
      <x:c r="E470" s="13" t="str">
        <x:v>Agri, Food &amp; Beverages</x:v>
      </x:c>
      <x:c r="F470" s="13" t="str">
        <x:v>Defensives</x:v>
      </x:c>
      <x:c r="G470" s="13" t="str">
        <x:v>grid_wekqfxnd.xlsx</x:v>
      </x:c>
    </x:row>
    <x:row r="471">
      <x:c r="A471" s="15" t="n">
        <x:v>40422</x:v>
      </x:c>
      <x:c r="B471" s="13" t="str">
        <x:v>SOUZA CRUZ LTDA</x:v>
      </x:c>
      <x:c r="C471" s="16" t="n">
        <x:v>1524.1139880329</x:v>
      </x:c>
      <x:c r="D471" s="13" t="str">
        <x:v>Food &amp; Beverages</x:v>
      </x:c>
      <x:c r="E471" s="13" t="str">
        <x:v>Agri, Food &amp; Beverages</x:v>
      </x:c>
      <x:c r="F471" s="13" t="str">
        <x:v>Defensives</x:v>
      </x:c>
      <x:c r="G471" s="13" t="str">
        <x:v>grid_wekqfxnd.xlsx</x:v>
      </x:c>
    </x:row>
    <x:row r="472">
      <x:c r="A472" s="15" t="n">
        <x:v>40422</x:v>
      </x:c>
      <x:c r="B472" s="13" t="str">
        <x:v>CYRELA BRAZIL REALTY SA EMP</x:v>
      </x:c>
      <x:c r="C472" s="16" t="n">
        <x:v>906.3736470795</x:v>
      </x:c>
      <x:c r="D472" s="13" t="str">
        <x:v>Homebuilders</x:v>
      </x:c>
      <x:c r="E472" s="13" t="str">
        <x:v>Real Estate</x:v>
      </x:c>
      <x:c r="F472" s="13" t="str">
        <x:v>Early Cyclicals</x:v>
      </x:c>
      <x:c r="G472" s="13" t="str">
        <x:v>grid_wekqfxnd.xlsx</x:v>
      </x:c>
    </x:row>
    <x:row r="473">
      <x:c r="A473" s="15" t="n">
        <x:v>40422</x:v>
      </x:c>
      <x:c r="B473" s="13" t="str">
        <x:v>GAFISA SA</x:v>
      </x:c>
      <x:c r="C473" s="16" t="n">
        <x:v>504.5021459288</x:v>
      </x:c>
      <x:c r="D473" s="13" t="str">
        <x:v>Homebuilders</x:v>
      </x:c>
      <x:c r="E473" s="13" t="str">
        <x:v>Real Estate</x:v>
      </x:c>
      <x:c r="F473" s="13" t="str">
        <x:v>Early Cyclicals</x:v>
      </x:c>
      <x:c r="G473" s="13" t="str">
        <x:v>grid_wekqfxnd.xlsx</x:v>
      </x:c>
    </x:row>
    <x:row r="474">
      <x:c r="A474" s="15" t="n">
        <x:v>40422</x:v>
      </x:c>
      <x:c r="B474" s="13" t="str">
        <x:v>MRV ENGENHARIA</x:v>
      </x:c>
      <x:c r="C474" s="16" t="n">
        <x:v>751.7099884712</x:v>
      </x:c>
      <x:c r="D474" s="13" t="str">
        <x:v>Homebuilders</x:v>
      </x:c>
      <x:c r="E474" s="13" t="str">
        <x:v>Real Estate</x:v>
      </x:c>
      <x:c r="F474" s="13" t="str">
        <x:v>Early Cyclicals</x:v>
      </x:c>
      <x:c r="G474" s="13" t="str">
        <x:v>grid_wekqfxnd.xlsx</x:v>
      </x:c>
    </x:row>
    <x:row r="475">
      <x:c r="A475" s="15" t="n">
        <x:v>40422</x:v>
      </x:c>
      <x:c r="B475" s="13" t="str">
        <x:v>PDG REALTY SA</x:v>
      </x:c>
      <x:c r="C475" s="16" t="n">
        <x:v>1034.2387904877</x:v>
      </x:c>
      <x:c r="D475" s="13" t="str">
        <x:v>Homebuilders</x:v>
      </x:c>
      <x:c r="E475" s="13" t="str">
        <x:v>Real Estate</x:v>
      </x:c>
      <x:c r="F475" s="13" t="str">
        <x:v>Early Cyclicals</x:v>
      </x:c>
      <x:c r="G475" s="13" t="str">
        <x:v>grid_wekqfxnd.xlsx</x:v>
      </x:c>
    </x:row>
    <x:row r="476">
      <x:c r="A476" s="15" t="n">
        <x:v>40422</x:v>
      </x:c>
      <x:c r="B476" s="13" t="str">
        <x:v>ROSSI RESIDENCIAL SA</x:v>
      </x:c>
      <x:c r="C476" s="16" t="n">
        <x:v>477.6689412384</x:v>
      </x:c>
      <x:c r="D476" s="13" t="str">
        <x:v>Homebuilders</x:v>
      </x:c>
      <x:c r="E476" s="13" t="str">
        <x:v>Real Estate</x:v>
      </x:c>
      <x:c r="F476" s="13" t="str">
        <x:v>Early Cyclicals</x:v>
      </x:c>
      <x:c r="G476" s="13" t="str">
        <x:v>grid_wekqfxnd.xlsx</x:v>
      </x:c>
    </x:row>
    <x:row r="477">
      <x:c r="A477" s="15" t="n">
        <x:v>40422</x:v>
      </x:c>
      <x:c r="B477" s="13" t="str">
        <x:v>TEGRA INCORPORADORA SA</x:v>
      </x:c>
      <x:c r="C477" s="16" t="n">
        <x:v>438.5637065644</x:v>
      </x:c>
      <x:c r="D477" s="13" t="str">
        <x:v>Homebuilders</x:v>
      </x:c>
      <x:c r="E477" s="13" t="str">
        <x:v>Real Estate</x:v>
      </x:c>
      <x:c r="F477" s="13" t="str">
        <x:v>Early Cyclicals</x:v>
      </x:c>
      <x:c r="G477" s="13" t="str">
        <x:v>grid_wekqfxnd.xlsx</x:v>
      </x:c>
    </x:row>
    <x:row r="478">
      <x:c r="A478" s="15" t="n">
        <x:v>40422</x:v>
      </x:c>
      <x:c r="B478" s="13" t="str">
        <x:v>BRADESPAR SA -PREF</x:v>
      </x:c>
      <x:c r="C478" s="16" t="n">
        <x:v>795.9041015233</x:v>
      </x:c>
      <x:c r="D478" s="13" t="str">
        <x:v>Metals &amp; Mining</x:v>
      </x:c>
      <x:c r="E478" s="13" t="str">
        <x:v>Metals &amp; Mining</x:v>
      </x:c>
      <x:c r="F478" s="13" t="str">
        <x:v>Deep Cyclicals</x:v>
      </x:c>
      <x:c r="G478" s="13" t="str">
        <x:v>grid_wekqfxnd.xlsx</x:v>
      </x:c>
    </x:row>
    <x:row r="479">
      <x:c r="A479" s="15" t="n">
        <x:v>40422</x:v>
      </x:c>
      <x:c r="B479" s="13" t="str">
        <x:v>CIA SIDERURGICA NACIONAL SA</x:v>
      </x:c>
      <x:c r="C479" s="16" t="n">
        <x:v>4550.5278092274</x:v>
      </x:c>
      <x:c r="D479" s="13" t="str">
        <x:v>Metals &amp; Mining</x:v>
      </x:c>
      <x:c r="E479" s="13" t="str">
        <x:v>Metals &amp; Mining</x:v>
      </x:c>
      <x:c r="F479" s="13" t="str">
        <x:v>Deep Cyclicals</x:v>
      </x:c>
      <x:c r="G479" s="13" t="str">
        <x:v>grid_wekqfxnd.xlsx</x:v>
      </x:c>
    </x:row>
    <x:row r="480">
      <x:c r="A480" s="15" t="n">
        <x:v>40422</x:v>
      </x:c>
      <x:c r="B480" s="13" t="str">
        <x:v>GERDAU SA-PREF</x:v>
      </x:c>
      <x:c r="C480" s="16" t="n">
        <x:v>3232.4334472767</x:v>
      </x:c>
      <x:c r="D480" s="13" t="str">
        <x:v>Metals &amp; Mining</x:v>
      </x:c>
      <x:c r="E480" s="13" t="str">
        <x:v>Metals &amp; Mining</x:v>
      </x:c>
      <x:c r="F480" s="13" t="str">
        <x:v>Deep Cyclicals</x:v>
      </x:c>
      <x:c r="G480" s="13" t="str">
        <x:v>grid_wekqfxnd.xlsx</x:v>
      </x:c>
    </x:row>
    <x:row r="481">
      <x:c r="A481" s="15" t="n">
        <x:v>40422</x:v>
      </x:c>
      <x:c r="B481" s="13" t="str">
        <x:v>METALURGICA GERDAU SA-PREF</x:v>
      </x:c>
      <x:c r="C481" s="16" t="n">
        <x:v>914.2136986301</x:v>
      </x:c>
      <x:c r="D481" s="13" t="str">
        <x:v>Metals &amp; Mining</x:v>
      </x:c>
      <x:c r="E481" s="13" t="str">
        <x:v>Metals &amp; Mining</x:v>
      </x:c>
      <x:c r="F481" s="13" t="str">
        <x:v>Deep Cyclicals</x:v>
      </x:c>
      <x:c r="G481" s="13" t="str">
        <x:v>grid_wekqfxnd.xlsx</x:v>
      </x:c>
    </x:row>
    <x:row r="482">
      <x:c r="A482" s="15" t="n">
        <x:v>40422</x:v>
      </x:c>
      <x:c r="B482" s="13" t="str">
        <x:v>MMX MINERACAO E METALICOS SA</x:v>
      </x:c>
      <x:c r="C482" s="16" t="n">
        <x:v>211.6411769425</x:v>
      </x:c>
      <x:c r="D482" s="13" t="str">
        <x:v>Metals &amp; Mining</x:v>
      </x:c>
      <x:c r="E482" s="13" t="str">
        <x:v>Metals &amp; Mining</x:v>
      </x:c>
      <x:c r="F482" s="13" t="str">
        <x:v>Deep Cyclicals</x:v>
      </x:c>
      <x:c r="G482" s="13" t="str">
        <x:v>grid_wekqfxnd.xlsx</x:v>
      </x:c>
    </x:row>
    <x:row r="483">
      <x:c r="A483" s="15" t="n">
        <x:v>40422</x:v>
      </x:c>
      <x:c r="B483" s="13" t="str">
        <x:v>USINAS SIDER MINAS GER-PF A</x:v>
      </x:c>
      <x:c r="C483" s="16" t="n">
        <x:v>2304.8609476384</x:v>
      </x:c>
      <x:c r="D483" s="13" t="str">
        <x:v>Metals &amp; Mining</x:v>
      </x:c>
      <x:c r="E483" s="13" t="str">
        <x:v>Metals &amp; Mining</x:v>
      </x:c>
      <x:c r="F483" s="13" t="str">
        <x:v>Deep Cyclicals</x:v>
      </x:c>
      <x:c r="G483" s="13" t="str">
        <x:v>grid_wekqfxnd.xlsx</x:v>
      </x:c>
    </x:row>
    <x:row r="484">
      <x:c r="A484" s="15" t="n">
        <x:v>40422</x:v>
      </x:c>
      <x:c r="B484" s="13" t="str">
        <x:v>USINAS SIDERURGICAS DE MINAS</x:v>
      </x:c>
      <x:c r="C484" s="16" t="n">
        <x:v>2304.8609476384</x:v>
      </x:c>
      <x:c r="D484" s="13" t="str">
        <x:v>Metals &amp; Mining</x:v>
      </x:c>
      <x:c r="E484" s="13" t="str">
        <x:v>Metals &amp; Mining</x:v>
      </x:c>
      <x:c r="F484" s="13" t="str">
        <x:v>Deep Cyclicals</x:v>
      </x:c>
      <x:c r="G484" s="13" t="str">
        <x:v>grid_wekqfxnd.xlsx</x:v>
      </x:c>
    </x:row>
    <x:row r="485">
      <x:c r="A485" s="15" t="n">
        <x:v>40422</x:v>
      </x:c>
      <x:c r="B485" s="13" t="str">
        <x:v>VALE SA</x:v>
      </x:c>
      <x:c r="C485" s="16" t="n">
        <x:v>36049.325945337</x:v>
      </x:c>
      <x:c r="D485" s="13" t="str">
        <x:v>Metals &amp; Mining</x:v>
      </x:c>
      <x:c r="E485" s="13" t="str">
        <x:v>Metals &amp; Mining</x:v>
      </x:c>
      <x:c r="F485" s="13" t="str">
        <x:v>Deep Cyclicals</x:v>
      </x:c>
      <x:c r="G485" s="13" t="str">
        <x:v>grid_wekqfxnd.xlsx</x:v>
      </x:c>
    </x:row>
    <x:row r="486">
      <x:c r="A486" s="15" t="n">
        <x:v>40422</x:v>
      </x:c>
      <x:c r="B486" s="13" t="str">
        <x:v>BRASKEM SA-PREF A</x:v>
      </x:c>
      <x:c r="C486" s="16" t="n">
        <x:v>463.2244022356</x:v>
      </x:c>
      <x:c r="D486" s="13" t="str">
        <x:v>Oil, Gas &amp; Petrochemicals</x:v>
      </x:c>
      <x:c r="E486" s="13" t="str">
        <x:v>Oil, Gas &amp; Petrochemicals</x:v>
      </x:c>
      <x:c r="F486" s="13" t="str">
        <x:v>Deep Cyclicals</x:v>
      </x:c>
      <x:c r="G486" s="13" t="str">
        <x:v>grid_wekqfxnd.xlsx</x:v>
      </x:c>
    </x:row>
    <x:row r="487">
      <x:c r="A487" s="15" t="n">
        <x:v>40422</x:v>
      </x:c>
      <x:c r="B487" s="13" t="str">
        <x:v>COSAN SA</x:v>
      </x:c>
      <x:c r="C487" s="16" t="n">
        <x:v>1153.8274451288</x:v>
      </x:c>
      <x:c r="D487" s="13" t="str">
        <x:v>Oil, Gas &amp; Petrochemicals</x:v>
      </x:c>
      <x:c r="E487" s="13" t="str">
        <x:v>Oil, Gas &amp; Petrochemicals</x:v>
      </x:c>
      <x:c r="F487" s="13" t="str">
        <x:v>Deep Cyclicals</x:v>
      </x:c>
      <x:c r="G487" s="13" t="str">
        <x:v>grid_wekqfxnd.xlsx</x:v>
      </x:c>
    </x:row>
    <x:row r="488">
      <x:c r="A488" s="15" t="n">
        <x:v>40422</x:v>
      </x:c>
      <x:c r="B488" s="13" t="str">
        <x:v>OLEO E GAS PARTICIPACOES SA</x:v>
      </x:c>
      <x:c r="C488" s="16" t="n">
        <x:v>298.6225623671</x:v>
      </x:c>
      <x:c r="D488" s="13" t="str">
        <x:v>Oil, Gas &amp; Petrochemicals</x:v>
      </x:c>
      <x:c r="E488" s="13" t="str">
        <x:v>Oil, Gas &amp; Petrochemicals</x:v>
      </x:c>
      <x:c r="F488" s="13" t="str">
        <x:v>Deep Cyclicals</x:v>
      </x:c>
      <x:c r="G488" s="13" t="str">
        <x:v>grid_wekqfxnd.xlsx</x:v>
      </x:c>
    </x:row>
    <x:row r="489">
      <x:c r="A489" s="15" t="n">
        <x:v>40422</x:v>
      </x:c>
      <x:c r="B489" s="13" t="str">
        <x:v>PETROBRAS - PETROLEO BRAS</x:v>
      </x:c>
      <x:c r="C489" s="16" t="n">
        <x:v>33394.5893930082</x:v>
      </x:c>
      <x:c r="D489" s="13" t="str">
        <x:v>Oil, Gas &amp; Petrochemicals</x:v>
      </x:c>
      <x:c r="E489" s="13" t="str">
        <x:v>Oil, Gas &amp; Petrochemicals</x:v>
      </x:c>
      <x:c r="F489" s="13" t="str">
        <x:v>Deep Cyclicals</x:v>
      </x:c>
      <x:c r="G489" s="13" t="str">
        <x:v>grid_wekqfxnd.xlsx</x:v>
      </x:c>
    </x:row>
    <x:row r="490">
      <x:c r="A490" s="15" t="n">
        <x:v>40422</x:v>
      </x:c>
      <x:c r="B490" s="13" t="str">
        <x:v>ULTRAPAR PARTICIPACOES-PREF</x:v>
      </x:c>
      <x:c r="C490" s="16" t="n">
        <x:v>804.0416401534</x:v>
      </x:c>
      <x:c r="D490" s="13" t="str">
        <x:v>Oil, Gas &amp; Petrochemicals</x:v>
      </x:c>
      <x:c r="E490" s="13" t="str">
        <x:v>Oil, Gas &amp; Petrochemicals</x:v>
      </x:c>
      <x:c r="F490" s="13" t="str">
        <x:v>Deep Cyclicals</x:v>
      </x:c>
      <x:c r="G490" s="13" t="str">
        <x:v>grid_wekqfxnd.xlsx</x:v>
      </x:c>
    </x:row>
    <x:row r="491">
      <x:c r="A491" s="15" t="n">
        <x:v>40422</x:v>
      </x:c>
      <x:c r="B491" s="13" t="str">
        <x:v>DEXCO SA</x:v>
      </x:c>
      <x:c r="C491" s="16" t="n">
        <x:v>470.990585074</x:v>
      </x:c>
      <x:c r="D491" s="13" t="str">
        <x:v>Pulp &amp; Paper</x:v>
      </x:c>
      <x:c r="E491" s="13" t="str">
        <x:v>Pulp &amp; Paper</x:v>
      </x:c>
      <x:c r="F491" s="13" t="str">
        <x:v>Deep Cyclicals</x:v>
      </x:c>
      <x:c r="G491" s="13" t="str">
        <x:v>grid_wekqfxnd.xlsx</x:v>
      </x:c>
    </x:row>
    <x:row r="492">
      <x:c r="A492" s="15" t="n">
        <x:v>40422</x:v>
      </x:c>
      <x:c r="B492" s="13" t="str">
        <x:v>FIBRIA CELULOSE S/A</x:v>
      </x:c>
      <x:c r="C492" s="16" t="n">
        <x:v>869.4279208329</x:v>
      </x:c>
      <x:c r="D492" s="13" t="str">
        <x:v>Pulp &amp; Paper</x:v>
      </x:c>
      <x:c r="E492" s="13" t="str">
        <x:v>Pulp &amp; Paper</x:v>
      </x:c>
      <x:c r="F492" s="13" t="str">
        <x:v>Deep Cyclicals</x:v>
      </x:c>
      <x:c r="G492" s="13" t="str">
        <x:v>grid_wekqfxnd.xlsx</x:v>
      </x:c>
    </x:row>
    <x:row r="493">
      <x:c r="A493" s="15" t="n">
        <x:v>40422</x:v>
      </x:c>
      <x:c r="B493" s="13" t="str">
        <x:v>AMERICANAS SA</x:v>
      </x:c>
      <x:c r="C493" s="16" t="n">
        <x:v>88.0896673973</x:v>
      </x:c>
      <x:c r="D493" s="13" t="str">
        <x:v>Retail</x:v>
      </x:c>
      <x:c r="E493" s="13" t="str">
        <x:v>Retail</x:v>
      </x:c>
      <x:c r="F493" s="13" t="str">
        <x:v>Early Cyclicals</x:v>
      </x:c>
      <x:c r="G493" s="13" t="str">
        <x:v>grid_wekqfxnd.xlsx</x:v>
      </x:c>
    </x:row>
    <x:row r="494">
      <x:c r="A494" s="15" t="n">
        <x:v>40422</x:v>
      </x:c>
      <x:c r="B494" s="13" t="str">
        <x:v>CIA BRASILEIRA DE DIS-PREF</x:v>
      </x:c>
      <x:c r="C494" s="16" t="n">
        <x:v>703.8763548055</x:v>
      </x:c>
      <x:c r="D494" s="13" t="str">
        <x:v>Retail</x:v>
      </x:c>
      <x:c r="E494" s="13" t="str">
        <x:v>Retail</x:v>
      </x:c>
      <x:c r="F494" s="13" t="str">
        <x:v>Early Cyclicals</x:v>
      </x:c>
      <x:c r="G494" s="13" t="str">
        <x:v>grid_wekqfxnd.xlsx</x:v>
      </x:c>
    </x:row>
    <x:row r="495">
      <x:c r="A495" s="15" t="n">
        <x:v>40422</x:v>
      </x:c>
      <x:c r="B495" s="13" t="str">
        <x:v>LOJAS AMERICANAS SA-PREF</x:v>
      </x:c>
      <x:c r="C495" s="16" t="n">
        <x:v>323.398438137</x:v>
      </x:c>
      <x:c r="D495" s="13" t="str">
        <x:v>Retail</x:v>
      </x:c>
      <x:c r="E495" s="13" t="str">
        <x:v>Retail</x:v>
      </x:c>
      <x:c r="F495" s="13" t="str">
        <x:v>Early Cyclicals</x:v>
      </x:c>
      <x:c r="G495" s="13" t="str">
        <x:v>grid_wekqfxnd.xlsx</x:v>
      </x:c>
    </x:row>
    <x:row r="496">
      <x:c r="A496" s="15" t="n">
        <x:v>40422</x:v>
      </x:c>
      <x:c r="B496" s="13" t="str">
        <x:v>LOJAS RENNER S.A.</x:v>
      </x:c>
      <x:c r="C496" s="16" t="n">
        <x:v>321.1989589041</x:v>
      </x:c>
      <x:c r="D496" s="13" t="str">
        <x:v>Retail</x:v>
      </x:c>
      <x:c r="E496" s="13" t="str">
        <x:v>Retail</x:v>
      </x:c>
      <x:c r="F496" s="13" t="str">
        <x:v>Early Cyclicals</x:v>
      </x:c>
      <x:c r="G496" s="13" t="str">
        <x:v>grid_wekqfxnd.xlsx</x:v>
      </x:c>
    </x:row>
    <x:row r="497">
      <x:c r="A497" s="15" t="n">
        <x:v>40422</x:v>
      </x:c>
      <x:c r="B497" s="13" t="str">
        <x:v>NATURA COSMETICOS SA</x:v>
      </x:c>
      <x:c r="C497" s="16" t="n">
        <x:v>850.8220456329</x:v>
      </x:c>
      <x:c r="D497" s="13" t="str">
        <x:v>Retail</x:v>
      </x:c>
      <x:c r="E497" s="13" t="str">
        <x:v>Retail</x:v>
      </x:c>
      <x:c r="F497" s="13" t="str">
        <x:v>Early Cyclicals</x:v>
      </x:c>
      <x:c r="G497" s="13" t="str">
        <x:v>grid_wekqfxnd.xlsx</x:v>
      </x:c>
    </x:row>
    <x:row r="498">
      <x:c r="A498" s="15" t="n">
        <x:v>40422</x:v>
      </x:c>
      <x:c r="B498" s="13" t="str">
        <x:v>CIA SANEAMENTO BASICO DE SP</x:v>
      </x:c>
      <x:c r="C498" s="16" t="n">
        <x:v>1299.5556748274</x:v>
      </x:c>
      <x:c r="D498" s="13" t="str">
        <x:v>Sanitation</x:v>
      </x:c>
      <x:c r="E498" s="13" t="str">
        <x:v>Utilities</x:v>
      </x:c>
      <x:c r="F498" s="13" t="str">
        <x:v>Defensives</x:v>
      </x:c>
      <x:c r="G498" s="13" t="str">
        <x:v>grid_wekqfxnd.xlsx</x:v>
      </x:c>
    </x:row>
    <x:row r="499">
      <x:c r="A499" s="15" t="n">
        <x:v>40422</x:v>
      </x:c>
      <x:c r="B499" s="13" t="str">
        <x:v>NET SERVICOS DE COMUNI-PREF</x:v>
      </x:c>
      <x:c r="C499" s="16" t="n">
        <x:v>425.1863220603</x:v>
      </x:c>
      <x:c r="D499" s="13" t="str">
        <x:v>TMT</x:v>
      </x:c>
      <x:c r="E499" s="13" t="str">
        <x:v>TMT</x:v>
      </x:c>
      <x:c r="F499" s="13" t="str">
        <x:v>Early Cyclicals</x:v>
      </x:c>
      <x:c r="G499" s="13" t="str">
        <x:v>grid_wekqfxnd.xlsx</x:v>
      </x:c>
    </x:row>
    <x:row r="500">
      <x:c r="A500" s="15" t="n">
        <x:v>40422</x:v>
      </x:c>
      <x:c r="B500" s="13" t="str">
        <x:v>OI SA-PREFERENCE</x:v>
      </x:c>
      <x:c r="C500" s="16" t="n">
        <x:v>1286.9670673534</x:v>
      </x:c>
      <x:c r="D500" s="13" t="str">
        <x:v>TMT</x:v>
      </x:c>
      <x:c r="E500" s="13" t="str">
        <x:v>TMT</x:v>
      </x:c>
      <x:c r="F500" s="13" t="str">
        <x:v>Early Cyclicals</x:v>
      </x:c>
      <x:c r="G500" s="13" t="str">
        <x:v>grid_wekqfxnd.xlsx</x:v>
      </x:c>
    </x:row>
    <x:row r="501">
      <x:c r="A501" s="15" t="n">
        <x:v>40422</x:v>
      </x:c>
      <x:c r="B501" s="13" t="str">
        <x:v>TELE NORTE LESTE PART</x:v>
      </x:c>
      <x:c r="C501" s="16" t="n">
        <x:v>1716.0674549479</x:v>
      </x:c>
      <x:c r="D501" s="13" t="str">
        <x:v>TMT</x:v>
      </x:c>
      <x:c r="E501" s="13" t="str">
        <x:v>TMT</x:v>
      </x:c>
      <x:c r="F501" s="13" t="str">
        <x:v>Early Cyclicals</x:v>
      </x:c>
      <x:c r="G501" s="13" t="str">
        <x:v>grid_wekqfxnd.xlsx</x:v>
      </x:c>
    </x:row>
    <x:row r="502">
      <x:c r="A502" s="15" t="n">
        <x:v>40422</x:v>
      </x:c>
      <x:c r="B502" s="13" t="str">
        <x:v>TELEFONICA BRASIL S.A.-PREF</x:v>
      </x:c>
      <x:c r="C502" s="16" t="n">
        <x:v>2128.4845038466</x:v>
      </x:c>
      <x:c r="D502" s="13" t="str">
        <x:v>TMT</x:v>
      </x:c>
      <x:c r="E502" s="13" t="str">
        <x:v>TMT</x:v>
      </x:c>
      <x:c r="F502" s="13" t="str">
        <x:v>Early Cyclicals</x:v>
      </x:c>
      <x:c r="G502" s="13" t="str">
        <x:v>grid_wekqfxnd.xlsx</x:v>
      </x:c>
    </x:row>
    <x:row r="503">
      <x:c r="A503" s="15" t="n">
        <x:v>40422</x:v>
      </x:c>
      <x:c r="B503" s="13" t="str">
        <x:v>TELEMAR NORTE LESTE SA</x:v>
      </x:c>
      <x:c r="C503" s="16" t="n">
        <x:v>2005.0911894794</x:v>
      </x:c>
      <x:c r="D503" s="13" t="str">
        <x:v>TMT</x:v>
      </x:c>
      <x:c r="E503" s="13" t="str">
        <x:v>TMT</x:v>
      </x:c>
      <x:c r="F503" s="13" t="str">
        <x:v>Early Cyclicals</x:v>
      </x:c>
      <x:c r="G503" s="13" t="str">
        <x:v>grid_wekqfxnd.xlsx</x:v>
      </x:c>
    </x:row>
    <x:row r="504">
      <x:c r="A504" s="15" t="n">
        <x:v>40422</x:v>
      </x:c>
      <x:c r="B504" s="13" t="str">
        <x:v>TIM PARTICIPACOES SA-PREF</x:v>
      </x:c>
      <x:c r="C504" s="16" t="n">
        <x:v>734.5936617205</x:v>
      </x:c>
      <x:c r="D504" s="13" t="str">
        <x:v>TMT</x:v>
      </x:c>
      <x:c r="E504" s="13" t="str">
        <x:v>TMT</x:v>
      </x:c>
      <x:c r="F504" s="13" t="str">
        <x:v>Early Cyclicals</x:v>
      </x:c>
      <x:c r="G504" s="13" t="str">
        <x:v>grid_wekqfxnd.xlsx</x:v>
      </x:c>
    </x:row>
    <x:row r="505">
      <x:c r="A505" s="15" t="n">
        <x:v>40422</x:v>
      </x:c>
      <x:c r="B505" s="13" t="str">
        <x:v>TIM SA</x:v>
      </x:c>
      <x:c r="C505" s="16" t="n">
        <x:v>734.5936617205</x:v>
      </x:c>
      <x:c r="D505" s="13" t="str">
        <x:v>TMT</x:v>
      </x:c>
      <x:c r="E505" s="13" t="str">
        <x:v>TMT</x:v>
      </x:c>
      <x:c r="F505" s="13" t="str">
        <x:v>Early Cyclicals</x:v>
      </x:c>
      <x:c r="G505" s="13" t="str">
        <x:v>grid_wekqfxnd.xlsx</x:v>
      </x:c>
    </x:row>
    <x:row r="506">
      <x:c r="A506" s="15" t="n">
        <x:v>40422</x:v>
      </x:c>
      <x:c r="B506" s="13" t="str">
        <x:v>VIVO PARTICIPACOES SA-PREF</x:v>
      </x:c>
      <x:c r="C506" s="16" t="n">
        <x:v>1646.9579211397</x:v>
      </x:c>
      <x:c r="D506" s="13" t="str">
        <x:v>TMT</x:v>
      </x:c>
      <x:c r="E506" s="13" t="str">
        <x:v>TMT</x:v>
      </x:c>
      <x:c r="F506" s="13" t="str">
        <x:v>Early Cyclicals</x:v>
      </x:c>
      <x:c r="G506" s="13" t="str">
        <x:v>grid_wekqfxnd.xlsx</x:v>
      </x:c>
    </x:row>
    <x:row r="507">
      <x:c r="A507" s="15" t="n">
        <x:v>40422</x:v>
      </x:c>
      <x:c r="B507" s="13" t="str">
        <x:v>ALL AMERICA LATINA LOGISTICA</x:v>
      </x:c>
      <x:c r="C507" s="16" t="n">
        <x:v>266.5305302795</x:v>
      </x:c>
      <x:c r="D507" s="13" t="str">
        <x:v>Transportation</x:v>
      </x:c>
      <x:c r="E507" s="13" t="str">
        <x:v>Transportation</x:v>
      </x:c>
      <x:c r="F507" s="13" t="str">
        <x:v>Deep Cyclicals</x:v>
      </x:c>
      <x:c r="G507" s="13" t="str">
        <x:v>grid_wekqfxnd.xlsx</x:v>
      </x:c>
    </x:row>
    <x:row r="508">
      <x:c r="A508" s="15" t="n">
        <x:v>40422</x:v>
      </x:c>
      <x:c r="B508" s="13" t="str">
        <x:v>GOL LINHAS AEREAS INT SA-PRE</x:v>
      </x:c>
      <x:c r="C508" s="16" t="n">
        <x:v>474.265682411</x:v>
      </x:c>
      <x:c r="D508" s="13" t="str">
        <x:v>Transportation</x:v>
      </x:c>
      <x:c r="E508" s="13" t="str">
        <x:v>Transportation</x:v>
      </x:c>
      <x:c r="F508" s="13" t="str">
        <x:v>Deep Cyclicals</x:v>
      </x:c>
      <x:c r="G508" s="13" t="str">
        <x:v>grid_wekqfxnd.xlsx</x:v>
      </x:c>
    </x:row>
    <x:row r="509">
      <x:c r="A509" s="15" t="n">
        <x:v>40422</x:v>
      </x:c>
      <x:c r="B509" s="13" t="str">
        <x:v>MOTIVA INFRAESTRUTURA DE MOB</x:v>
      </x:c>
      <x:c r="C509" s="16" t="n">
        <x:v>974.0578889644</x:v>
      </x:c>
      <x:c r="D509" s="13" t="str">
        <x:v>Transportation</x:v>
      </x:c>
      <x:c r="E509" s="13" t="str">
        <x:v>Transportation</x:v>
      </x:c>
      <x:c r="F509" s="13" t="str">
        <x:v>Deep Cyclicals</x:v>
      </x:c>
      <x:c r="G509" s="13" t="str">
        <x:v>grid_wekqfxnd.xlsx</x:v>
      </x:c>
    </x:row>
    <x:row r="510">
      <x:c r="A510" s="15" t="n">
        <x:v>40422</x:v>
      </x:c>
      <x:c r="B510" s="13" t="str">
        <x:v>PRUMO LOGISTICA SA</x:v>
      </x:c>
      <x:c r="C510" s="16" t="n">
        <x:v>-175.902739726</x:v>
      </x:c>
      <x:c r="D510" s="13" t="str">
        <x:v>Transportation</x:v>
      </x:c>
      <x:c r="E510" s="13" t="str">
        <x:v>Transportation</x:v>
      </x:c>
      <x:c r="F510" s="13" t="str">
        <x:v>Deep Cyclicals</x:v>
      </x:c>
      <x:c r="G510" s="13" t="str">
        <x:v>grid_wekqfxnd.xlsx</x:v>
      </x:c>
    </x:row>
    <x:row r="511">
      <x:c r="A511" s="15" t="n">
        <x:v>40422</x:v>
      </x:c>
      <x:c r="B511" s="13" t="str">
        <x:v>TAM SA-PREF</x:v>
      </x:c>
      <x:c r="C511" s="16" t="n">
        <x:v>246.0342059836</x:v>
      </x:c>
      <x:c r="D511" s="13" t="str">
        <x:v>Transportation</x:v>
      </x:c>
      <x:c r="E511" s="13" t="str">
        <x:v>Transportation</x:v>
      </x:c>
      <x:c r="F511" s="13" t="str">
        <x:v>Deep Cyclicals</x:v>
      </x:c>
      <x:c r="G511" s="13" t="str">
        <x:v>grid_wekqfxnd.xlsx</x:v>
      </x:c>
    </x:row>
    <x:row r="512">
      <x:c r="A512" s="15" t="n">
        <x:v>40422</x:v>
      </x:c>
      <x:c r="B512" s="13" t="str">
        <x:v>AXIA ENERGIA SA</x:v>
      </x:c>
      <x:c r="C512" s="16" t="n">
        <x:v>3335.3196768438</x:v>
      </x:c>
      <x:c r="D512" s="13" t="str">
        <x:v>Utilities &amp; Energy</x:v>
      </x:c>
      <x:c r="E512" s="13" t="str">
        <x:v>Utilities</x:v>
      </x:c>
      <x:c r="F512" s="13" t="str">
        <x:v>Defensives</x:v>
      </x:c>
      <x:c r="G512" s="13" t="str">
        <x:v>grid_wekqfxnd.xlsx</x:v>
      </x:c>
    </x:row>
    <x:row r="513">
      <x:c r="A513" s="15" t="n">
        <x:v>40422</x:v>
      </x:c>
      <x:c r="B513" s="13" t="str">
        <x:v>AXIA ENERGIA-PR B</x:v>
      </x:c>
      <x:c r="C513" s="16" t="n">
        <x:v>3335.3196768438</x:v>
      </x:c>
      <x:c r="D513" s="13" t="str">
        <x:v>Utilities &amp; Energy</x:v>
      </x:c>
      <x:c r="E513" s="13" t="str">
        <x:v>Utilities</x:v>
      </x:c>
      <x:c r="F513" s="13" t="str">
        <x:v>Defensives</x:v>
      </x:c>
      <x:c r="G513" s="13" t="str">
        <x:v>grid_wekqfxnd.xlsx</x:v>
      </x:c>
    </x:row>
    <x:row r="514">
      <x:c r="A514" s="15" t="n">
        <x:v>40422</x:v>
      </x:c>
      <x:c r="B514" s="13" t="str">
        <x:v>CESP - CIA ENERGETICA DE SAO</x:v>
      </x:c>
      <x:c r="C514" s="16" t="n">
        <x:v>630.1281855123</x:v>
      </x:c>
      <x:c r="D514" s="13" t="str">
        <x:v>Utilities &amp; Energy</x:v>
      </x:c>
      <x:c r="E514" s="13" t="str">
        <x:v>Utilities</x:v>
      </x:c>
      <x:c r="F514" s="13" t="str">
        <x:v>Defensives</x:v>
      </x:c>
      <x:c r="G514" s="13" t="str">
        <x:v>grid_wekqfxnd.xlsx</x:v>
      </x:c>
    </x:row>
    <x:row r="515">
      <x:c r="A515" s="15" t="n">
        <x:v>40422</x:v>
      </x:c>
      <x:c r="B515" s="13" t="str">
        <x:v>CIA ENERGETICA MINAS GER-PRF</x:v>
      </x:c>
      <x:c r="C515" s="16" t="n">
        <x:v>2021.8023606356</x:v>
      </x:c>
      <x:c r="D515" s="13" t="str">
        <x:v>Utilities &amp; Energy</x:v>
      </x:c>
      <x:c r="E515" s="13" t="str">
        <x:v>Utilities</x:v>
      </x:c>
      <x:c r="F515" s="13" t="str">
        <x:v>Defensives</x:v>
      </x:c>
      <x:c r="G515" s="13" t="str">
        <x:v>grid_wekqfxnd.xlsx</x:v>
      </x:c>
    </x:row>
    <x:row r="516">
      <x:c r="A516" s="15" t="n">
        <x:v>40422</x:v>
      </x:c>
      <x:c r="B516" s="13" t="str">
        <x:v>COMPANHIA PARANAENSE -PREF B</x:v>
      </x:c>
      <x:c r="C516" s="16" t="n">
        <x:v>1166.1834674849</x:v>
      </x:c>
      <x:c r="D516" s="13" t="str">
        <x:v>Utilities &amp; Energy</x:v>
      </x:c>
      <x:c r="E516" s="13" t="str">
        <x:v>Utilities</x:v>
      </x:c>
      <x:c r="F516" s="13" t="str">
        <x:v>Defensives</x:v>
      </x:c>
      <x:c r="G516" s="13" t="str">
        <x:v>grid_wekqfxnd.xlsx</x:v>
      </x:c>
    </x:row>
    <x:row r="517">
      <x:c r="A517" s="15" t="n">
        <x:v>40422</x:v>
      </x:c>
      <x:c r="B517" s="13" t="str">
        <x:v>CPFL ENERGIA SA</x:v>
      </x:c>
      <x:c r="C517" s="16" t="n">
        <x:v>1536.9584422575</x:v>
      </x:c>
      <x:c r="D517" s="13" t="str">
        <x:v>Utilities &amp; Energy</x:v>
      </x:c>
      <x:c r="E517" s="13" t="str">
        <x:v>Utilities</x:v>
      </x:c>
      <x:c r="F517" s="13" t="str">
        <x:v>Defensives</x:v>
      </x:c>
      <x:c r="G517" s="13" t="str">
        <x:v>grid_wekqfxnd.xlsx</x:v>
      </x:c>
    </x:row>
    <x:row r="518">
      <x:c r="A518" s="15" t="n">
        <x:v>40422</x:v>
      </x:c>
      <x:c r="B518" s="13" t="str">
        <x:v>ISA ENERGIA BRASIL SA</x:v>
      </x:c>
      <x:c r="C518" s="16" t="n">
        <x:v>820.7282272438</x:v>
      </x:c>
      <x:c r="D518" s="13" t="str">
        <x:v>Utilities &amp; Energy</x:v>
      </x:c>
      <x:c r="E518" s="13" t="str">
        <x:v>Utilities</x:v>
      </x:c>
      <x:c r="F518" s="13" t="str">
        <x:v>Defensives</x:v>
      </x:c>
      <x:c r="G518" s="13" t="str">
        <x:v>grid_wekqfxnd.xlsx</x:v>
      </x:c>
    </x:row>
    <x:row r="519">
      <x:c r="A519" s="15" t="n">
        <x:v>40422</x:v>
      </x:c>
      <x:c r="B519" s="13" t="str">
        <x:v>LIGHT SA</x:v>
      </x:c>
      <x:c r="C519" s="16" t="n">
        <x:v>558.197260274</x:v>
      </x:c>
      <x:c r="D519" s="13" t="str">
        <x:v>Utilities &amp; Energy</x:v>
      </x:c>
      <x:c r="E519" s="13" t="str">
        <x:v>Utilities</x:v>
      </x:c>
      <x:c r="F519" s="13" t="str">
        <x:v>Defensives</x:v>
      </x:c>
      <x:c r="G519" s="13" t="str">
        <x:v>grid_wekqfxnd.xlsx</x:v>
      </x:c>
    </x:row>
    <x:row r="520">
      <x:c r="A520" s="15" t="n">
        <x:v>40452</x:v>
      </x:c>
      <x:c r="B520" s="13" t="str">
        <x:v>BANCO BRADESCO SA-PREF</x:v>
      </x:c>
      <x:c r="C520" s="16" t="n">
        <x:v>10770.299693589</x:v>
      </x:c>
      <x:c r="D520" s="13" t="str">
        <x:v>Banks</x:v>
      </x:c>
      <x:c r="E520" s="13" t="str">
        <x:v>Banks</x:v>
      </x:c>
      <x:c r="F520" s="13" t="str">
        <x:v>Financials</x:v>
      </x:c>
      <x:c r="G520" s="13" t="str">
        <x:v>grid_wekqfxnd.xlsx</x:v>
      </x:c>
    </x:row>
    <x:row r="521">
      <x:c r="A521" s="15" t="n">
        <x:v>40452</x:v>
      </x:c>
      <x:c r="B521" s="13" t="str">
        <x:v>BANCO DO BRASIL S.A.</x:v>
      </x:c>
      <x:c r="C521" s="16" t="n">
        <x:v>10322.5326690192</x:v>
      </x:c>
      <x:c r="D521" s="13" t="str">
        <x:v>Banks</x:v>
      </x:c>
      <x:c r="E521" s="13" t="str">
        <x:v>Banks</x:v>
      </x:c>
      <x:c r="F521" s="13" t="str">
        <x:v>Financials</x:v>
      </x:c>
      <x:c r="G521" s="13" t="str">
        <x:v>grid_wekqfxnd.xlsx</x:v>
      </x:c>
    </x:row>
    <x:row r="522">
      <x:c r="A522" s="15" t="n">
        <x:v>40452</x:v>
      </x:c>
      <x:c r="B522" s="13" t="str">
        <x:v>BANCO SANTANDER  BRASIL-UNIT</x:v>
      </x:c>
      <x:c r="C522" s="16" t="n">
        <x:v>7752.9748143343</x:v>
      </x:c>
      <x:c r="D522" s="13" t="str">
        <x:v>Banks</x:v>
      </x:c>
      <x:c r="E522" s="13" t="str">
        <x:v>Banks</x:v>
      </x:c>
      <x:c r="F522" s="13" t="str">
        <x:v>Financials</x:v>
      </x:c>
      <x:c r="G522" s="13" t="str">
        <x:v>grid_wekqfxnd.xlsx</x:v>
      </x:c>
    </x:row>
    <x:row r="523">
      <x:c r="A523" s="15" t="n">
        <x:v>40452</x:v>
      </x:c>
      <x:c r="B523" s="13" t="str">
        <x:v>ITAU UNIBANCO HOLDING S-PREF</x:v>
      </x:c>
      <x:c r="C523" s="16" t="n">
        <x:v>14910.4902396493</x:v>
      </x:c>
      <x:c r="D523" s="13" t="str">
        <x:v>Banks</x:v>
      </x:c>
      <x:c r="E523" s="13" t="str">
        <x:v>Banks</x:v>
      </x:c>
      <x:c r="F523" s="13" t="str">
        <x:v>Financials</x:v>
      </x:c>
      <x:c r="G523" s="13" t="str">
        <x:v>grid_wekqfxnd.xlsx</x:v>
      </x:c>
    </x:row>
    <x:row r="524">
      <x:c r="A524" s="15" t="n">
        <x:v>40452</x:v>
      </x:c>
      <x:c r="B524" s="13" t="str">
        <x:v>EMBRAER SA</x:v>
      </x:c>
      <x:c r="C524" s="16" t="n">
        <x:v>544.6915068493</x:v>
      </x:c>
      <x:c r="D524" s="13" t="str">
        <x:v>Capital Goods</x:v>
      </x:c>
      <x:c r="E524" s="13" t="str">
        <x:v>Capital Goods</x:v>
      </x:c>
      <x:c r="F524" s="13" t="str">
        <x:v>Deep Cyclicals</x:v>
      </x:c>
      <x:c r="G524" s="13" t="str">
        <x:v>grid_wekqfxnd.xlsx</x:v>
      </x:c>
    </x:row>
    <x:row r="525">
      <x:c r="A525" s="15" t="n">
        <x:v>40452</x:v>
      </x:c>
      <x:c r="B525" s="13" t="str">
        <x:v>B3 SA-BRASIL BOLSA BALCAO</x:v>
      </x:c>
      <x:c r="C525" s="16" t="n">
        <x:v>1618.0573110356</x:v>
      </x:c>
      <x:c r="D525" s="13" t="str">
        <x:v>Financials Non-Banks</x:v>
      </x:c>
      <x:c r="E525" s="13" t="str">
        <x:v>Financials Non-Banks</x:v>
      </x:c>
      <x:c r="F525" s="13" t="str">
        <x:v>Financials</x:v>
      </x:c>
      <x:c r="G525" s="13" t="str">
        <x:v>grid_wekqfxnd.xlsx</x:v>
      </x:c>
    </x:row>
    <x:row r="526">
      <x:c r="A526" s="15" t="n">
        <x:v>40452</x:v>
      </x:c>
      <x:c r="B526" s="13" t="str">
        <x:v>CIELO SA - INSTITUICAO DE PA</x:v>
      </x:c>
      <x:c r="C526" s="16" t="n">
        <x:v>1830.0352196384</x:v>
      </x:c>
      <x:c r="D526" s="13" t="str">
        <x:v>Financials Non-Banks</x:v>
      </x:c>
      <x:c r="E526" s="13" t="str">
        <x:v>Financials Non-Banks</x:v>
      </x:c>
      <x:c r="F526" s="13" t="str">
        <x:v>Financials</x:v>
      </x:c>
      <x:c r="G526" s="13" t="str">
        <x:v>grid_wekqfxnd.xlsx</x:v>
      </x:c>
    </x:row>
    <x:row r="527">
      <x:c r="A527" s="15" t="n">
        <x:v>40452</x:v>
      </x:c>
      <x:c r="B527" s="13" t="str">
        <x:v>ITAUSA SA</x:v>
      </x:c>
      <x:c r="C527" s="16" t="n">
        <x:v>5637.3625996274</x:v>
      </x:c>
      <x:c r="D527" s="13" t="str">
        <x:v>Financials Non-Banks</x:v>
      </x:c>
      <x:c r="E527" s="13" t="str">
        <x:v>Financials Non-Banks</x:v>
      </x:c>
      <x:c r="F527" s="13" t="str">
        <x:v>Financials</x:v>
      </x:c>
      <x:c r="G527" s="13" t="str">
        <x:v>grid_wekqfxnd.xlsx</x:v>
      </x:c>
    </x:row>
    <x:row r="528">
      <x:c r="A528" s="15" t="n">
        <x:v>40452</x:v>
      </x:c>
      <x:c r="B528" s="13" t="str">
        <x:v>REDECARD INSTITUICAO DE PAGA</x:v>
      </x:c>
      <x:c r="C528" s="16" t="n">
        <x:v>1478.102560263</x:v>
      </x:c>
      <x:c r="D528" s="13" t="str">
        <x:v>Financials Non-Banks</x:v>
      </x:c>
      <x:c r="E528" s="13" t="str">
        <x:v>Financials Non-Banks</x:v>
      </x:c>
      <x:c r="F528" s="13" t="str">
        <x:v>Financials</x:v>
      </x:c>
      <x:c r="G528" s="13" t="str">
        <x:v>grid_wekqfxnd.xlsx</x:v>
      </x:c>
    </x:row>
    <x:row r="529">
      <x:c r="A529" s="15" t="n">
        <x:v>40452</x:v>
      </x:c>
      <x:c r="B529" s="13" t="str">
        <x:v>AMBEV SA</x:v>
      </x:c>
      <x:c r="C529" s="16" t="n">
        <x:v>7415.0776144658</x:v>
      </x:c>
      <x:c r="D529" s="13" t="str">
        <x:v>Food &amp; Beverages</x:v>
      </x:c>
      <x:c r="E529" s="13" t="str">
        <x:v>Agri, Food &amp; Beverages</x:v>
      </x:c>
      <x:c r="F529" s="13" t="str">
        <x:v>Defensives</x:v>
      </x:c>
      <x:c r="G529" s="13" t="str">
        <x:v>grid_wekqfxnd.xlsx</x:v>
      </x:c>
    </x:row>
    <x:row r="530">
      <x:c r="A530" s="15" t="n">
        <x:v>40452</x:v>
      </x:c>
      <x:c r="B530" s="13" t="str">
        <x:v>BRF SA</x:v>
      </x:c>
      <x:c r="C530" s="16" t="n">
        <x:v>937.7921721863</x:v>
      </x:c>
      <x:c r="D530" s="13" t="str">
        <x:v>Food &amp; Beverages</x:v>
      </x:c>
      <x:c r="E530" s="13" t="str">
        <x:v>Agri, Food &amp; Beverages</x:v>
      </x:c>
      <x:c r="F530" s="13" t="str">
        <x:v>Defensives</x:v>
      </x:c>
      <x:c r="G530" s="13" t="str">
        <x:v>grid_wekqfxnd.xlsx</x:v>
      </x:c>
    </x:row>
    <x:row r="531">
      <x:c r="A531" s="15" t="n">
        <x:v>40452</x:v>
      </x:c>
      <x:c r="B531" s="13" t="str">
        <x:v>JBS SA</x:v>
      </x:c>
      <x:c r="C531" s="16" t="n">
        <x:v>1253.4136986301</x:v>
      </x:c>
      <x:c r="D531" s="13" t="str">
        <x:v>Food &amp; Beverages</x:v>
      </x:c>
      <x:c r="E531" s="13" t="str">
        <x:v>Agri, Food &amp; Beverages</x:v>
      </x:c>
      <x:c r="F531" s="13" t="str">
        <x:v>Defensives</x:v>
      </x:c>
      <x:c r="G531" s="13" t="str">
        <x:v>grid_wekqfxnd.xlsx</x:v>
      </x:c>
    </x:row>
    <x:row r="532">
      <x:c r="A532" s="15" t="n">
        <x:v>40452</x:v>
      </x:c>
      <x:c r="B532" s="13" t="str">
        <x:v>MBRF GLOBAL FOODS COMPANY SA</x:v>
      </x:c>
      <x:c r="C532" s="16" t="n">
        <x:v>350.1526741918</x:v>
      </x:c>
      <x:c r="D532" s="13" t="str">
        <x:v>Food &amp; Beverages</x:v>
      </x:c>
      <x:c r="E532" s="13" t="str">
        <x:v>Agri, Food &amp; Beverages</x:v>
      </x:c>
      <x:c r="F532" s="13" t="str">
        <x:v>Defensives</x:v>
      </x:c>
      <x:c r="G532" s="13" t="str">
        <x:v>grid_wekqfxnd.xlsx</x:v>
      </x:c>
    </x:row>
    <x:row r="533">
      <x:c r="A533" s="15" t="n">
        <x:v>40452</x:v>
      </x:c>
      <x:c r="B533" s="13" t="str">
        <x:v>SOUZA CRUZ LTDA</x:v>
      </x:c>
      <x:c r="C533" s="16" t="n">
        <x:v>1558.7492793863</x:v>
      </x:c>
      <x:c r="D533" s="13" t="str">
        <x:v>Food &amp; Beverages</x:v>
      </x:c>
      <x:c r="E533" s="13" t="str">
        <x:v>Agri, Food &amp; Beverages</x:v>
      </x:c>
      <x:c r="F533" s="13" t="str">
        <x:v>Defensives</x:v>
      </x:c>
      <x:c r="G533" s="13" t="str">
        <x:v>grid_wekqfxnd.xlsx</x:v>
      </x:c>
    </x:row>
    <x:row r="534">
      <x:c r="A534" s="15" t="n">
        <x:v>40452</x:v>
      </x:c>
      <x:c r="B534" s="13" t="str">
        <x:v>CYRELA BRAZIL REALTY SA EMP</x:v>
      </x:c>
      <x:c r="C534" s="16" t="n">
        <x:v>925.1193266849</x:v>
      </x:c>
      <x:c r="D534" s="13" t="str">
        <x:v>Homebuilders</x:v>
      </x:c>
      <x:c r="E534" s="13" t="str">
        <x:v>Real Estate</x:v>
      </x:c>
      <x:c r="F534" s="13" t="str">
        <x:v>Early Cyclicals</x:v>
      </x:c>
      <x:c r="G534" s="13" t="str">
        <x:v>grid_wekqfxnd.xlsx</x:v>
      </x:c>
    </x:row>
    <x:row r="535">
      <x:c r="A535" s="15" t="n">
        <x:v>40452</x:v>
      </x:c>
      <x:c r="B535" s="13" t="str">
        <x:v>GAFISA SA</x:v>
      </x:c>
      <x:c r="C535" s="16" t="n">
        <x:v>519.5682664329</x:v>
      </x:c>
      <x:c r="D535" s="13" t="str">
        <x:v>Homebuilders</x:v>
      </x:c>
      <x:c r="E535" s="13" t="str">
        <x:v>Real Estate</x:v>
      </x:c>
      <x:c r="F535" s="13" t="str">
        <x:v>Early Cyclicals</x:v>
      </x:c>
      <x:c r="G535" s="13" t="str">
        <x:v>grid_wekqfxnd.xlsx</x:v>
      </x:c>
    </x:row>
    <x:row r="536">
      <x:c r="A536" s="15" t="n">
        <x:v>40452</x:v>
      </x:c>
      <x:c r="B536" s="13" t="str">
        <x:v>MRV ENGENHARIA</x:v>
      </x:c>
      <x:c r="C536" s="16" t="n">
        <x:v>768.2308397589</x:v>
      </x:c>
      <x:c r="D536" s="13" t="str">
        <x:v>Homebuilders</x:v>
      </x:c>
      <x:c r="E536" s="13" t="str">
        <x:v>Real Estate</x:v>
      </x:c>
      <x:c r="F536" s="13" t="str">
        <x:v>Early Cyclicals</x:v>
      </x:c>
      <x:c r="G536" s="13" t="str">
        <x:v>grid_wekqfxnd.xlsx</x:v>
      </x:c>
    </x:row>
    <x:row r="537">
      <x:c r="A537" s="15" t="n">
        <x:v>40452</x:v>
      </x:c>
      <x:c r="B537" s="13" t="str">
        <x:v>PDG REALTY SA</x:v>
      </x:c>
      <x:c r="C537" s="16" t="n">
        <x:v>1136.6564611507</x:v>
      </x:c>
      <x:c r="D537" s="13" t="str">
        <x:v>Homebuilders</x:v>
      </x:c>
      <x:c r="E537" s="13" t="str">
        <x:v>Real Estate</x:v>
      </x:c>
      <x:c r="F537" s="13" t="str">
        <x:v>Early Cyclicals</x:v>
      </x:c>
      <x:c r="G537" s="13" t="str">
        <x:v>grid_wekqfxnd.xlsx</x:v>
      </x:c>
    </x:row>
    <x:row r="538">
      <x:c r="A538" s="15" t="n">
        <x:v>40452</x:v>
      </x:c>
      <x:c r="B538" s="13" t="str">
        <x:v>ROSSI RESIDENCIAL SA</x:v>
      </x:c>
      <x:c r="C538" s="16" t="n">
        <x:v>484.4718783123</x:v>
      </x:c>
      <x:c r="D538" s="13" t="str">
        <x:v>Homebuilders</x:v>
      </x:c>
      <x:c r="E538" s="13" t="str">
        <x:v>Real Estate</x:v>
      </x:c>
      <x:c r="F538" s="13" t="str">
        <x:v>Early Cyclicals</x:v>
      </x:c>
      <x:c r="G538" s="13" t="str">
        <x:v>grid_wekqfxnd.xlsx</x:v>
      </x:c>
    </x:row>
    <x:row r="539">
      <x:c r="A539" s="15" t="n">
        <x:v>40452</x:v>
      </x:c>
      <x:c r="B539" s="13" t="str">
        <x:v>TEGRA INCORPORADORA SA</x:v>
      </x:c>
      <x:c r="C539" s="16" t="n">
        <x:v>458.2815002301</x:v>
      </x:c>
      <x:c r="D539" s="13" t="str">
        <x:v>Homebuilders</x:v>
      </x:c>
      <x:c r="E539" s="13" t="str">
        <x:v>Real Estate</x:v>
      </x:c>
      <x:c r="F539" s="13" t="str">
        <x:v>Early Cyclicals</x:v>
      </x:c>
      <x:c r="G539" s="13" t="str">
        <x:v>grid_wekqfxnd.xlsx</x:v>
      </x:c>
    </x:row>
    <x:row r="540">
      <x:c r="A540" s="15" t="n">
        <x:v>40452</x:v>
      </x:c>
      <x:c r="B540" s="13" t="str">
        <x:v>BRADESPAR SA -PREF</x:v>
      </x:c>
      <x:c r="C540" s="16" t="n">
        <x:v>775.4451999562</x:v>
      </x:c>
      <x:c r="D540" s="13" t="str">
        <x:v>Metals &amp; Mining</x:v>
      </x:c>
      <x:c r="E540" s="13" t="str">
        <x:v>Metals &amp; Mining</x:v>
      </x:c>
      <x:c r="F540" s="13" t="str">
        <x:v>Deep Cyclicals</x:v>
      </x:c>
      <x:c r="G540" s="13" t="str">
        <x:v>grid_wekqfxnd.xlsx</x:v>
      </x:c>
    </x:row>
    <x:row r="541">
      <x:c r="A541" s="15" t="n">
        <x:v>40452</x:v>
      </x:c>
      <x:c r="B541" s="13" t="str">
        <x:v>CIA SIDERURGICA NACIONAL SA</x:v>
      </x:c>
      <x:c r="C541" s="16" t="n">
        <x:v>4646.7462564822</x:v>
      </x:c>
      <x:c r="D541" s="13" t="str">
        <x:v>Metals &amp; Mining</x:v>
      </x:c>
      <x:c r="E541" s="13" t="str">
        <x:v>Metals &amp; Mining</x:v>
      </x:c>
      <x:c r="F541" s="13" t="str">
        <x:v>Deep Cyclicals</x:v>
      </x:c>
      <x:c r="G541" s="13" t="str">
        <x:v>grid_wekqfxnd.xlsx</x:v>
      </x:c>
    </x:row>
    <x:row r="542">
      <x:c r="A542" s="15" t="n">
        <x:v>40452</x:v>
      </x:c>
      <x:c r="B542" s="13" t="str">
        <x:v>GERDAU SA-PREF</x:v>
      </x:c>
      <x:c r="C542" s="16" t="n">
        <x:v>3072.5706415343</x:v>
      </x:c>
      <x:c r="D542" s="13" t="str">
        <x:v>Metals &amp; Mining</x:v>
      </x:c>
      <x:c r="E542" s="13" t="str">
        <x:v>Metals &amp; Mining</x:v>
      </x:c>
      <x:c r="F542" s="13" t="str">
        <x:v>Deep Cyclicals</x:v>
      </x:c>
      <x:c r="G542" s="13" t="str">
        <x:v>grid_wekqfxnd.xlsx</x:v>
      </x:c>
    </x:row>
    <x:row r="543">
      <x:c r="A543" s="15" t="n">
        <x:v>40452</x:v>
      </x:c>
      <x:c r="B543" s="13" t="str">
        <x:v>METALURGICA GERDAU SA-PREF</x:v>
      </x:c>
      <x:c r="C543" s="16" t="n">
        <x:v>483.1931562082</x:v>
      </x:c>
      <x:c r="D543" s="13" t="str">
        <x:v>Metals &amp; Mining</x:v>
      </x:c>
      <x:c r="E543" s="13" t="str">
        <x:v>Metals &amp; Mining</x:v>
      </x:c>
      <x:c r="F543" s="13" t="str">
        <x:v>Deep Cyclicals</x:v>
      </x:c>
      <x:c r="G543" s="13" t="str">
        <x:v>grid_wekqfxnd.xlsx</x:v>
      </x:c>
    </x:row>
    <x:row r="544">
      <x:c r="A544" s="15" t="n">
        <x:v>40452</x:v>
      </x:c>
      <x:c r="B544" s="13" t="str">
        <x:v>MMX MINERACAO E METALICOS SA</x:v>
      </x:c>
      <x:c r="C544" s="16" t="n">
        <x:v>211.8245080438</x:v>
      </x:c>
      <x:c r="D544" s="13" t="str">
        <x:v>Metals &amp; Mining</x:v>
      </x:c>
      <x:c r="E544" s="13" t="str">
        <x:v>Metals &amp; Mining</x:v>
      </x:c>
      <x:c r="F544" s="13" t="str">
        <x:v>Deep Cyclicals</x:v>
      </x:c>
      <x:c r="G544" s="13" t="str">
        <x:v>grid_wekqfxnd.xlsx</x:v>
      </x:c>
    </x:row>
    <x:row r="545">
      <x:c r="A545" s="15" t="n">
        <x:v>40452</x:v>
      </x:c>
      <x:c r="B545" s="13" t="str">
        <x:v>USINAS SIDER MINAS GER-PF A</x:v>
      </x:c>
      <x:c r="C545" s="16" t="n">
        <x:v>2058.9842758137</x:v>
      </x:c>
      <x:c r="D545" s="13" t="str">
        <x:v>Metals &amp; Mining</x:v>
      </x:c>
      <x:c r="E545" s="13" t="str">
        <x:v>Metals &amp; Mining</x:v>
      </x:c>
      <x:c r="F545" s="13" t="str">
        <x:v>Deep Cyclicals</x:v>
      </x:c>
      <x:c r="G545" s="13" t="str">
        <x:v>grid_wekqfxnd.xlsx</x:v>
      </x:c>
    </x:row>
    <x:row r="546">
      <x:c r="A546" s="15" t="n">
        <x:v>40452</x:v>
      </x:c>
      <x:c r="B546" s="13" t="str">
        <x:v>USINAS SIDERURGICAS DE MINAS</x:v>
      </x:c>
      <x:c r="C546" s="16" t="n">
        <x:v>2058.9842758137</x:v>
      </x:c>
      <x:c r="D546" s="13" t="str">
        <x:v>Metals &amp; Mining</x:v>
      </x:c>
      <x:c r="E546" s="13" t="str">
        <x:v>Metals &amp; Mining</x:v>
      </x:c>
      <x:c r="F546" s="13" t="str">
        <x:v>Deep Cyclicals</x:v>
      </x:c>
      <x:c r="G546" s="13" t="str">
        <x:v>grid_wekqfxnd.xlsx</x:v>
      </x:c>
    </x:row>
    <x:row r="547">
      <x:c r="A547" s="15" t="n">
        <x:v>40452</x:v>
      </x:c>
      <x:c r="B547" s="13" t="str">
        <x:v>VALE SA</x:v>
      </x:c>
      <x:c r="C547" s="16" t="n">
        <x:v>36841.7535635288</x:v>
      </x:c>
      <x:c r="D547" s="13" t="str">
        <x:v>Metals &amp; Mining</x:v>
      </x:c>
      <x:c r="E547" s="13" t="str">
        <x:v>Metals &amp; Mining</x:v>
      </x:c>
      <x:c r="F547" s="13" t="str">
        <x:v>Deep Cyclicals</x:v>
      </x:c>
      <x:c r="G547" s="13" t="str">
        <x:v>grid_wekqfxnd.xlsx</x:v>
      </x:c>
    </x:row>
    <x:row r="548">
      <x:c r="A548" s="15" t="n">
        <x:v>40452</x:v>
      </x:c>
      <x:c r="B548" s="13" t="str">
        <x:v>BRASKEM SA-PREF A</x:v>
      </x:c>
      <x:c r="C548" s="16" t="n">
        <x:v>472.8340198575</x:v>
      </x:c>
      <x:c r="D548" s="13" t="str">
        <x:v>Oil, Gas &amp; Petrochemicals</x:v>
      </x:c>
      <x:c r="E548" s="13" t="str">
        <x:v>Oil, Gas &amp; Petrochemicals</x:v>
      </x:c>
      <x:c r="F548" s="13" t="str">
        <x:v>Deep Cyclicals</x:v>
      </x:c>
      <x:c r="G548" s="13" t="str">
        <x:v>grid_wekqfxnd.xlsx</x:v>
      </x:c>
    </x:row>
    <x:row r="549">
      <x:c r="A549" s="15" t="n">
        <x:v>40452</x:v>
      </x:c>
      <x:c r="B549" s="13" t="str">
        <x:v>COSAN SA</x:v>
      </x:c>
      <x:c r="C549" s="16" t="n">
        <x:v>1189.5014228164</x:v>
      </x:c>
      <x:c r="D549" s="13" t="str">
        <x:v>Oil, Gas &amp; Petrochemicals</x:v>
      </x:c>
      <x:c r="E549" s="13" t="str">
        <x:v>Oil, Gas &amp; Petrochemicals</x:v>
      </x:c>
      <x:c r="F549" s="13" t="str">
        <x:v>Deep Cyclicals</x:v>
      </x:c>
      <x:c r="G549" s="13" t="str">
        <x:v>grid_wekqfxnd.xlsx</x:v>
      </x:c>
    </x:row>
    <x:row r="550">
      <x:c r="A550" s="15" t="n">
        <x:v>40452</x:v>
      </x:c>
      <x:c r="B550" s="13" t="str">
        <x:v>OLEO E GAS PARTICIPACOES SA</x:v>
      </x:c>
      <x:c r="C550" s="16" t="n">
        <x:v>284.5337027507</x:v>
      </x:c>
      <x:c r="D550" s="13" t="str">
        <x:v>Oil, Gas &amp; Petrochemicals</x:v>
      </x:c>
      <x:c r="E550" s="13" t="str">
        <x:v>Oil, Gas &amp; Petrochemicals</x:v>
      </x:c>
      <x:c r="F550" s="13" t="str">
        <x:v>Deep Cyclicals</x:v>
      </x:c>
      <x:c r="G550" s="13" t="str">
        <x:v>grid_wekqfxnd.xlsx</x:v>
      </x:c>
    </x:row>
    <x:row r="551">
      <x:c r="A551" s="15" t="n">
        <x:v>40452</x:v>
      </x:c>
      <x:c r="B551" s="13" t="str">
        <x:v>PETROBRAS - PETROLEO BRAS</x:v>
      </x:c>
      <x:c r="C551" s="16" t="n">
        <x:v>34355.6581011288</x:v>
      </x:c>
      <x:c r="D551" s="13" t="str">
        <x:v>Oil, Gas &amp; Petrochemicals</x:v>
      </x:c>
      <x:c r="E551" s="13" t="str">
        <x:v>Oil, Gas &amp; Petrochemicals</x:v>
      </x:c>
      <x:c r="F551" s="13" t="str">
        <x:v>Deep Cyclicals</x:v>
      </x:c>
      <x:c r="G551" s="13" t="str">
        <x:v>grid_wekqfxnd.xlsx</x:v>
      </x:c>
    </x:row>
    <x:row r="552">
      <x:c r="A552" s="15" t="n">
        <x:v>40452</x:v>
      </x:c>
      <x:c r="B552" s="13" t="str">
        <x:v>ULTRAPAR PARTICIPACOES-PREF</x:v>
      </x:c>
      <x:c r="C552" s="16" t="n">
        <x:v>807.3017870027</x:v>
      </x:c>
      <x:c r="D552" s="13" t="str">
        <x:v>Oil, Gas &amp; Petrochemicals</x:v>
      </x:c>
      <x:c r="E552" s="13" t="str">
        <x:v>Oil, Gas &amp; Petrochemicals</x:v>
      </x:c>
      <x:c r="F552" s="13" t="str">
        <x:v>Deep Cyclicals</x:v>
      </x:c>
      <x:c r="G552" s="13" t="str">
        <x:v>grid_wekqfxnd.xlsx</x:v>
      </x:c>
    </x:row>
    <x:row r="553">
      <x:c r="A553" s="15" t="n">
        <x:v>40452</x:v>
      </x:c>
      <x:c r="B553" s="13" t="str">
        <x:v>DEXCO SA</x:v>
      </x:c>
      <x:c r="C553" s="16" t="n">
        <x:v>477.8889776219</x:v>
      </x:c>
      <x:c r="D553" s="13" t="str">
        <x:v>Pulp &amp; Paper</x:v>
      </x:c>
      <x:c r="E553" s="13" t="str">
        <x:v>Pulp &amp; Paper</x:v>
      </x:c>
      <x:c r="F553" s="13" t="str">
        <x:v>Deep Cyclicals</x:v>
      </x:c>
      <x:c r="G553" s="13" t="str">
        <x:v>grid_wekqfxnd.xlsx</x:v>
      </x:c>
    </x:row>
    <x:row r="554">
      <x:c r="A554" s="15" t="n">
        <x:v>40452</x:v>
      </x:c>
      <x:c r="B554" s="13" t="str">
        <x:v>FIBRIA CELULOSE S/A</x:v>
      </x:c>
      <x:c r="C554" s="16" t="n">
        <x:v>760.1715989041</x:v>
      </x:c>
      <x:c r="D554" s="13" t="str">
        <x:v>Pulp &amp; Paper</x:v>
      </x:c>
      <x:c r="E554" s="13" t="str">
        <x:v>Pulp &amp; Paper</x:v>
      </x:c>
      <x:c r="F554" s="13" t="str">
        <x:v>Deep Cyclicals</x:v>
      </x:c>
      <x:c r="G554" s="13" t="str">
        <x:v>grid_wekqfxnd.xlsx</x:v>
      </x:c>
    </x:row>
    <x:row r="555">
      <x:c r="A555" s="15" t="n">
        <x:v>40452</x:v>
      </x:c>
      <x:c r="B555" s="13" t="str">
        <x:v>AMERICANAS SA</x:v>
      </x:c>
      <x:c r="C555" s="16" t="n">
        <x:v>92.5345917589</x:v>
      </x:c>
      <x:c r="D555" s="13" t="str">
        <x:v>Retail</x:v>
      </x:c>
      <x:c r="E555" s="13" t="str">
        <x:v>Retail</x:v>
      </x:c>
      <x:c r="F555" s="13" t="str">
        <x:v>Early Cyclicals</x:v>
      </x:c>
      <x:c r="G555" s="13" t="str">
        <x:v>grid_wekqfxnd.xlsx</x:v>
      </x:c>
    </x:row>
    <x:row r="556">
      <x:c r="A556" s="15" t="n">
        <x:v>40452</x:v>
      </x:c>
      <x:c r="B556" s="13" t="str">
        <x:v>CIA BRASILEIRA DE DIS-PREF</x:v>
      </x:c>
      <x:c r="C556" s="16" t="n">
        <x:v>720.3315982027</x:v>
      </x:c>
      <x:c r="D556" s="13" t="str">
        <x:v>Retail</x:v>
      </x:c>
      <x:c r="E556" s="13" t="str">
        <x:v>Retail</x:v>
      </x:c>
      <x:c r="F556" s="13" t="str">
        <x:v>Early Cyclicals</x:v>
      </x:c>
      <x:c r="G556" s="13" t="str">
        <x:v>grid_wekqfxnd.xlsx</x:v>
      </x:c>
    </x:row>
    <x:row r="557">
      <x:c r="A557" s="15" t="n">
        <x:v>40452</x:v>
      </x:c>
      <x:c r="B557" s="13" t="str">
        <x:v>LOJAS AMERICANAS SA-PREF</x:v>
      </x:c>
      <x:c r="C557" s="16" t="n">
        <x:v>333.0129687233</x:v>
      </x:c>
      <x:c r="D557" s="13" t="str">
        <x:v>Retail</x:v>
      </x:c>
      <x:c r="E557" s="13" t="str">
        <x:v>Retail</x:v>
      </x:c>
      <x:c r="F557" s="13" t="str">
        <x:v>Early Cyclicals</x:v>
      </x:c>
      <x:c r="G557" s="13" t="str">
        <x:v>grid_wekqfxnd.xlsx</x:v>
      </x:c>
    </x:row>
    <x:row r="558">
      <x:c r="A558" s="15" t="n">
        <x:v>40452</x:v>
      </x:c>
      <x:c r="B558" s="13" t="str">
        <x:v>LOJAS RENNER S.A.</x:v>
      </x:c>
      <x:c r="C558" s="16" t="n">
        <x:v>328.8000778521</x:v>
      </x:c>
      <x:c r="D558" s="13" t="str">
        <x:v>Retail</x:v>
      </x:c>
      <x:c r="E558" s="13" t="str">
        <x:v>Retail</x:v>
      </x:c>
      <x:c r="F558" s="13" t="str">
        <x:v>Early Cyclicals</x:v>
      </x:c>
      <x:c r="G558" s="13" t="str">
        <x:v>grid_wekqfxnd.xlsx</x:v>
      </x:c>
    </x:row>
    <x:row r="559">
      <x:c r="A559" s="15" t="n">
        <x:v>40452</x:v>
      </x:c>
      <x:c r="B559" s="13" t="str">
        <x:v>NATURA COSMETICOS SA</x:v>
      </x:c>
      <x:c r="C559" s="16" t="n">
        <x:v>852.2285897644</x:v>
      </x:c>
      <x:c r="D559" s="13" t="str">
        <x:v>Retail</x:v>
      </x:c>
      <x:c r="E559" s="13" t="str">
        <x:v>Retail</x:v>
      </x:c>
      <x:c r="F559" s="13" t="str">
        <x:v>Early Cyclicals</x:v>
      </x:c>
      <x:c r="G559" s="13" t="str">
        <x:v>grid_wekqfxnd.xlsx</x:v>
      </x:c>
    </x:row>
    <x:row r="560">
      <x:c r="A560" s="15" t="n">
        <x:v>40452</x:v>
      </x:c>
      <x:c r="B560" s="13" t="str">
        <x:v>CIA SANEAMENTO BASICO DE SP</x:v>
      </x:c>
      <x:c r="C560" s="16" t="n">
        <x:v>1333.308289052</x:v>
      </x:c>
      <x:c r="D560" s="13" t="str">
        <x:v>Sanitation</x:v>
      </x:c>
      <x:c r="E560" s="13" t="str">
        <x:v>Utilities</x:v>
      </x:c>
      <x:c r="F560" s="13" t="str">
        <x:v>Defensives</x:v>
      </x:c>
      <x:c r="G560" s="13" t="str">
        <x:v>grid_wekqfxnd.xlsx</x:v>
      </x:c>
    </x:row>
    <x:row r="561">
      <x:c r="A561" s="15" t="n">
        <x:v>40452</x:v>
      </x:c>
      <x:c r="B561" s="13" t="str">
        <x:v>OI SA-PREFERENCE</x:v>
      </x:c>
      <x:c r="C561" s="16" t="n">
        <x:v>1189.2958639343</x:v>
      </x:c>
      <x:c r="D561" s="13" t="str">
        <x:v>TMT</x:v>
      </x:c>
      <x:c r="E561" s="13" t="str">
        <x:v>TMT</x:v>
      </x:c>
      <x:c r="F561" s="13" t="str">
        <x:v>Early Cyclicals</x:v>
      </x:c>
      <x:c r="G561" s="13" t="str">
        <x:v>grid_wekqfxnd.xlsx</x:v>
      </x:c>
    </x:row>
    <x:row r="562">
      <x:c r="A562" s="15" t="n">
        <x:v>40452</x:v>
      </x:c>
      <x:c r="B562" s="13" t="str">
        <x:v>TELE NORTE LESTE PART</x:v>
      </x:c>
      <x:c r="C562" s="16" t="n">
        <x:v>1735.5835767233</x:v>
      </x:c>
      <x:c r="D562" s="13" t="str">
        <x:v>TMT</x:v>
      </x:c>
      <x:c r="E562" s="13" t="str">
        <x:v>TMT</x:v>
      </x:c>
      <x:c r="F562" s="13" t="str">
        <x:v>Early Cyclicals</x:v>
      </x:c>
      <x:c r="G562" s="13" t="str">
        <x:v>grid_wekqfxnd.xlsx</x:v>
      </x:c>
    </x:row>
    <x:row r="563">
      <x:c r="A563" s="15" t="n">
        <x:v>40452</x:v>
      </x:c>
      <x:c r="B563" s="13" t="str">
        <x:v>TELEFONICA BRASIL S.A.-PREF</x:v>
      </x:c>
      <x:c r="C563" s="16" t="n">
        <x:v>2128.4405332164</x:v>
      </x:c>
      <x:c r="D563" s="13" t="str">
        <x:v>TMT</x:v>
      </x:c>
      <x:c r="E563" s="13" t="str">
        <x:v>TMT</x:v>
      </x:c>
      <x:c r="F563" s="13" t="str">
        <x:v>Early Cyclicals</x:v>
      </x:c>
      <x:c r="G563" s="13" t="str">
        <x:v>grid_wekqfxnd.xlsx</x:v>
      </x:c>
    </x:row>
    <x:row r="564">
      <x:c r="A564" s="15" t="n">
        <x:v>40452</x:v>
      </x:c>
      <x:c r="B564" s="13" t="str">
        <x:v>TELEMAR NORTE LESTE SA</x:v>
      </x:c>
      <x:c r="C564" s="16" t="n">
        <x:v>2082.2028680767</x:v>
      </x:c>
      <x:c r="D564" s="13" t="str">
        <x:v>TMT</x:v>
      </x:c>
      <x:c r="E564" s="13" t="str">
        <x:v>TMT</x:v>
      </x:c>
      <x:c r="F564" s="13" t="str">
        <x:v>Early Cyclicals</x:v>
      </x:c>
      <x:c r="G564" s="13" t="str">
        <x:v>grid_wekqfxnd.xlsx</x:v>
      </x:c>
    </x:row>
    <x:row r="565">
      <x:c r="A565" s="15" t="n">
        <x:v>40452</x:v>
      </x:c>
      <x:c r="B565" s="13" t="str">
        <x:v>TIM PARTICIPACOES SA-PREF</x:v>
      </x:c>
      <x:c r="C565" s="16" t="n">
        <x:v>751.1555755836</x:v>
      </x:c>
      <x:c r="D565" s="13" t="str">
        <x:v>TMT</x:v>
      </x:c>
      <x:c r="E565" s="13" t="str">
        <x:v>TMT</x:v>
      </x:c>
      <x:c r="F565" s="13" t="str">
        <x:v>Early Cyclicals</x:v>
      </x:c>
      <x:c r="G565" s="13" t="str">
        <x:v>grid_wekqfxnd.xlsx</x:v>
      </x:c>
    </x:row>
    <x:row r="566">
      <x:c r="A566" s="15" t="n">
        <x:v>40452</x:v>
      </x:c>
      <x:c r="B566" s="13" t="str">
        <x:v>TIM SA</x:v>
      </x:c>
      <x:c r="C566" s="16" t="n">
        <x:v>751.1555755836</x:v>
      </x:c>
      <x:c r="D566" s="13" t="str">
        <x:v>TMT</x:v>
      </x:c>
      <x:c r="E566" s="13" t="str">
        <x:v>TMT</x:v>
      </x:c>
      <x:c r="F566" s="13" t="str">
        <x:v>Early Cyclicals</x:v>
      </x:c>
      <x:c r="G566" s="13" t="str">
        <x:v>grid_wekqfxnd.xlsx</x:v>
      </x:c>
    </x:row>
    <x:row r="567">
      <x:c r="A567" s="15" t="n">
        <x:v>40452</x:v>
      </x:c>
      <x:c r="B567" s="13" t="str">
        <x:v>VIVO PARTICIPACOES SA-PREF</x:v>
      </x:c>
      <x:c r="C567" s="16" t="n">
        <x:v>1657.772652011</x:v>
      </x:c>
      <x:c r="D567" s="13" t="str">
        <x:v>TMT</x:v>
      </x:c>
      <x:c r="E567" s="13" t="str">
        <x:v>TMT</x:v>
      </x:c>
      <x:c r="F567" s="13" t="str">
        <x:v>Early Cyclicals</x:v>
      </x:c>
      <x:c r="G567" s="13" t="str">
        <x:v>grid_wekqfxnd.xlsx</x:v>
      </x:c>
    </x:row>
    <x:row r="568">
      <x:c r="A568" s="15" t="n">
        <x:v>40452</x:v>
      </x:c>
      <x:c r="B568" s="13" t="str">
        <x:v>GOL LINHAS AEREAS INT SA-PRE</x:v>
      </x:c>
      <x:c r="C568" s="16" t="n">
        <x:v>466.9628851726</x:v>
      </x:c>
      <x:c r="D568" s="13" t="str">
        <x:v>Transportation</x:v>
      </x:c>
      <x:c r="E568" s="13" t="str">
        <x:v>Transportation</x:v>
      </x:c>
      <x:c r="F568" s="13" t="str">
        <x:v>Deep Cyclicals</x:v>
      </x:c>
      <x:c r="G568" s="13" t="str">
        <x:v>grid_wekqfxnd.xlsx</x:v>
      </x:c>
    </x:row>
    <x:row r="569">
      <x:c r="A569" s="15" t="n">
        <x:v>40452</x:v>
      </x:c>
      <x:c r="B569" s="13" t="str">
        <x:v>MOTIVA INFRAESTRUTURA DE MOB</x:v>
      </x:c>
      <x:c r="C569" s="16" t="n">
        <x:v>990.3082648548</x:v>
      </x:c>
      <x:c r="D569" s="13" t="str">
        <x:v>Transportation</x:v>
      </x:c>
      <x:c r="E569" s="13" t="str">
        <x:v>Transportation</x:v>
      </x:c>
      <x:c r="F569" s="13" t="str">
        <x:v>Deep Cyclicals</x:v>
      </x:c>
      <x:c r="G569" s="13" t="str">
        <x:v>grid_wekqfxnd.xlsx</x:v>
      </x:c>
    </x:row>
    <x:row r="570">
      <x:c r="A570" s="15" t="n">
        <x:v>40452</x:v>
      </x:c>
      <x:c r="B570" s="13" t="str">
        <x:v>PRUMO LOGISTICA SA</x:v>
      </x:c>
      <x:c r="C570" s="16" t="n">
        <x:v>-110.8710958904</x:v>
      </x:c>
      <x:c r="D570" s="13" t="str">
        <x:v>Transportation</x:v>
      </x:c>
      <x:c r="E570" s="13" t="str">
        <x:v>Transportation</x:v>
      </x:c>
      <x:c r="F570" s="13" t="str">
        <x:v>Deep Cyclicals</x:v>
      </x:c>
      <x:c r="G570" s="13" t="str">
        <x:v>grid_wekqfxnd.xlsx</x:v>
      </x:c>
    </x:row>
    <x:row r="571">
      <x:c r="A571" s="15" t="n">
        <x:v>40452</x:v>
      </x:c>
      <x:c r="B571" s="13" t="str">
        <x:v>RUMO SA</x:v>
      </x:c>
      <x:c r="C571" s="16" t="n">
        <x:v>254.0759452055</x:v>
      </x:c>
      <x:c r="D571" s="13" t="str">
        <x:v>Transportation</x:v>
      </x:c>
      <x:c r="E571" s="13" t="str">
        <x:v>Transportation</x:v>
      </x:c>
      <x:c r="F571" s="13" t="str">
        <x:v>Deep Cyclicals</x:v>
      </x:c>
      <x:c r="G571" s="13" t="str">
        <x:v>grid_wekqfxnd.xlsx</x:v>
      </x:c>
    </x:row>
    <x:row r="572">
      <x:c r="A572" s="15" t="n">
        <x:v>40452</x:v>
      </x:c>
      <x:c r="B572" s="13" t="str">
        <x:v>TAM SA-PREF</x:v>
      </x:c>
      <x:c r="C572" s="16" t="n">
        <x:v>290.5253397041</x:v>
      </x:c>
      <x:c r="D572" s="13" t="str">
        <x:v>Transportation</x:v>
      </x:c>
      <x:c r="E572" s="13" t="str">
        <x:v>Transportation</x:v>
      </x:c>
      <x:c r="F572" s="13" t="str">
        <x:v>Deep Cyclicals</x:v>
      </x:c>
      <x:c r="G572" s="13" t="str">
        <x:v>grid_wekqfxnd.xlsx</x:v>
      </x:c>
    </x:row>
    <x:row r="573">
      <x:c r="A573" s="15" t="n">
        <x:v>40452</x:v>
      </x:c>
      <x:c r="B573" s="13" t="str">
        <x:v>AXIA ENERGIA SA</x:v>
      </x:c>
      <x:c r="C573" s="16" t="n">
        <x:v>3381.1555748822</x:v>
      </x:c>
      <x:c r="D573" s="13" t="str">
        <x:v>Utilities &amp; Energy</x:v>
      </x:c>
      <x:c r="E573" s="13" t="str">
        <x:v>Utilities</x:v>
      </x:c>
      <x:c r="F573" s="13" t="str">
        <x:v>Defensives</x:v>
      </x:c>
      <x:c r="G573" s="13" t="str">
        <x:v>grid_wekqfxnd.xlsx</x:v>
      </x:c>
    </x:row>
    <x:row r="574">
      <x:c r="A574" s="15" t="n">
        <x:v>40452</x:v>
      </x:c>
      <x:c r="B574" s="13" t="str">
        <x:v>AXIA ENERGIA-PR B</x:v>
      </x:c>
      <x:c r="C574" s="16" t="n">
        <x:v>3381.1555748822</x:v>
      </x:c>
      <x:c r="D574" s="13" t="str">
        <x:v>Utilities &amp; Energy</x:v>
      </x:c>
      <x:c r="E574" s="13" t="str">
        <x:v>Utilities</x:v>
      </x:c>
      <x:c r="F574" s="13" t="str">
        <x:v>Defensives</x:v>
      </x:c>
      <x:c r="G574" s="13" t="str">
        <x:v>grid_wekqfxnd.xlsx</x:v>
      </x:c>
    </x:row>
    <x:row r="575">
      <x:c r="A575" s="15" t="n">
        <x:v>40452</x:v>
      </x:c>
      <x:c r="B575" s="13" t="str">
        <x:v>CESP - CIA ENERGETICA DE SAO</x:v>
      </x:c>
      <x:c r="C575" s="16" t="n">
        <x:v>641.1193386082</x:v>
      </x:c>
      <x:c r="D575" s="13" t="str">
        <x:v>Utilities &amp; Energy</x:v>
      </x:c>
      <x:c r="E575" s="13" t="str">
        <x:v>Utilities</x:v>
      </x:c>
      <x:c r="F575" s="13" t="str">
        <x:v>Defensives</x:v>
      </x:c>
      <x:c r="G575" s="13" t="str">
        <x:v>grid_wekqfxnd.xlsx</x:v>
      </x:c>
    </x:row>
    <x:row r="576">
      <x:c r="A576" s="15" t="n">
        <x:v>40452</x:v>
      </x:c>
      <x:c r="B576" s="13" t="str">
        <x:v>CIA ENERGETICA MINAS GER-PRF</x:v>
      </x:c>
      <x:c r="C576" s="16" t="n">
        <x:v>2032.8186073425</x:v>
      </x:c>
      <x:c r="D576" s="13" t="str">
        <x:v>Utilities &amp; Energy</x:v>
      </x:c>
      <x:c r="E576" s="13" t="str">
        <x:v>Utilities</x:v>
      </x:c>
      <x:c r="F576" s="13" t="str">
        <x:v>Defensives</x:v>
      </x:c>
      <x:c r="G576" s="13" t="str">
        <x:v>grid_wekqfxnd.xlsx</x:v>
      </x:c>
    </x:row>
    <x:row r="577">
      <x:c r="A577" s="15" t="n">
        <x:v>40452</x:v>
      </x:c>
      <x:c r="B577" s="13" t="str">
        <x:v>COMPANHIA PARANAENSE -PREF B</x:v>
      </x:c>
      <x:c r="C577" s="16" t="n">
        <x:v>1150.2295625644</x:v>
      </x:c>
      <x:c r="D577" s="13" t="str">
        <x:v>Utilities &amp; Energy</x:v>
      </x:c>
      <x:c r="E577" s="13" t="str">
        <x:v>Utilities</x:v>
      </x:c>
      <x:c r="F577" s="13" t="str">
        <x:v>Defensives</x:v>
      </x:c>
      <x:c r="G577" s="13" t="str">
        <x:v>grid_wekqfxnd.xlsx</x:v>
      </x:c>
    </x:row>
    <x:row r="578">
      <x:c r="A578" s="15" t="n">
        <x:v>40452</x:v>
      </x:c>
      <x:c r="B578" s="13" t="str">
        <x:v>CPFL ENERGIA SA</x:v>
      </x:c>
      <x:c r="C578" s="16" t="n">
        <x:v>1533.2947908384</x:v>
      </x:c>
      <x:c r="D578" s="13" t="str">
        <x:v>Utilities &amp; Energy</x:v>
      </x:c>
      <x:c r="E578" s="13" t="str">
        <x:v>Utilities</x:v>
      </x:c>
      <x:c r="F578" s="13" t="str">
        <x:v>Defensives</x:v>
      </x:c>
      <x:c r="G578" s="13" t="str">
        <x:v>grid_wekqfxnd.xlsx</x:v>
      </x:c>
    </x:row>
    <x:row r="579">
      <x:c r="A579" s="15" t="n">
        <x:v>40452</x:v>
      </x:c>
      <x:c r="B579" s="13" t="str">
        <x:v>ISA ENERGIA BRASIL SA</x:v>
      </x:c>
      <x:c r="C579" s="16" t="n">
        <x:v>831.7805269918</x:v>
      </x:c>
      <x:c r="D579" s="13" t="str">
        <x:v>Utilities &amp; Energy</x:v>
      </x:c>
      <x:c r="E579" s="13" t="str">
        <x:v>Utilities</x:v>
      </x:c>
      <x:c r="F579" s="13" t="str">
        <x:v>Defensives</x:v>
      </x:c>
      <x:c r="G579" s="13" t="str">
        <x:v>grid_wekqfxnd.xlsx</x:v>
      </x:c>
    </x:row>
    <x:row r="580">
      <x:c r="A580" s="15" t="n">
        <x:v>40452</x:v>
      </x:c>
      <x:c r="B580" s="13" t="str">
        <x:v>LIGHT SA</x:v>
      </x:c>
      <x:c r="C580" s="16" t="n">
        <x:v>565.7947212274</x:v>
      </x:c>
      <x:c r="D580" s="13" t="str">
        <x:v>Utilities &amp; Energy</x:v>
      </x:c>
      <x:c r="E580" s="13" t="str">
        <x:v>Utilities</x:v>
      </x:c>
      <x:c r="F580" s="13" t="str">
        <x:v>Defensives</x:v>
      </x:c>
      <x:c r="G580" s="13" t="str">
        <x:v>grid_wekqfxnd.xlsx</x:v>
      </x:c>
    </x:row>
    <x:row r="581">
      <x:c r="A581" s="15" t="n">
        <x:v>40483</x:v>
      </x:c>
      <x:c r="B581" s="13" t="str">
        <x:v>BANCO BRADESCO SA-PREF</x:v>
      </x:c>
      <x:c r="C581" s="16" t="n">
        <x:v>10811.2305558795</x:v>
      </x:c>
      <x:c r="D581" s="13" t="str">
        <x:v>Banks</x:v>
      </x:c>
      <x:c r="E581" s="13" t="str">
        <x:v>Banks</x:v>
      </x:c>
      <x:c r="F581" s="13" t="str">
        <x:v>Financials</x:v>
      </x:c>
      <x:c r="G581" s="13" t="str">
        <x:v>grid_wekqfxnd.xlsx</x:v>
      </x:c>
    </x:row>
    <x:row r="582">
      <x:c r="A582" s="15" t="n">
        <x:v>40483</x:v>
      </x:c>
      <x:c r="B582" s="13" t="str">
        <x:v>BANCO DO BRASIL S.A.</x:v>
      </x:c>
      <x:c r="C582" s="16" t="n">
        <x:v>10723.1817924384</x:v>
      </x:c>
      <x:c r="D582" s="13" t="str">
        <x:v>Banks</x:v>
      </x:c>
      <x:c r="E582" s="13" t="str">
        <x:v>Banks</x:v>
      </x:c>
      <x:c r="F582" s="13" t="str">
        <x:v>Financials</x:v>
      </x:c>
      <x:c r="G582" s="13" t="str">
        <x:v>grid_wekqfxnd.xlsx</x:v>
      </x:c>
    </x:row>
    <x:row r="583">
      <x:c r="A583" s="15" t="n">
        <x:v>40483</x:v>
      </x:c>
      <x:c r="B583" s="13" t="str">
        <x:v>BANCO SANTANDER  BRASIL-UNIT</x:v>
      </x:c>
      <x:c r="C583" s="16" t="n">
        <x:v>8021.9030556055</x:v>
      </x:c>
      <x:c r="D583" s="13" t="str">
        <x:v>Banks</x:v>
      </x:c>
      <x:c r="E583" s="13" t="str">
        <x:v>Banks</x:v>
      </x:c>
      <x:c r="F583" s="13" t="str">
        <x:v>Financials</x:v>
      </x:c>
      <x:c r="G583" s="13" t="str">
        <x:v>grid_wekqfxnd.xlsx</x:v>
      </x:c>
    </x:row>
    <x:row r="584">
      <x:c r="A584" s="15" t="n">
        <x:v>40483</x:v>
      </x:c>
      <x:c r="B584" s="13" t="str">
        <x:v>ITAU UNIBANCO HOLDING S-PREF</x:v>
      </x:c>
      <x:c r="C584" s="16" t="n">
        <x:v>15177.5159506411</x:v>
      </x:c>
      <x:c r="D584" s="13" t="str">
        <x:v>Banks</x:v>
      </x:c>
      <x:c r="E584" s="13" t="str">
        <x:v>Banks</x:v>
      </x:c>
      <x:c r="F584" s="13" t="str">
        <x:v>Financials</x:v>
      </x:c>
      <x:c r="G584" s="13" t="str">
        <x:v>grid_wekqfxnd.xlsx</x:v>
      </x:c>
    </x:row>
    <x:row r="585">
      <x:c r="A585" s="15" t="n">
        <x:v>40483</x:v>
      </x:c>
      <x:c r="B585" s="13" t="str">
        <x:v>EMBRAER SA</x:v>
      </x:c>
      <x:c r="C585" s="16" t="n">
        <x:v>549.2405479452</x:v>
      </x:c>
      <x:c r="D585" s="13" t="str">
        <x:v>Capital Goods</x:v>
      </x:c>
      <x:c r="E585" s="13" t="str">
        <x:v>Capital Goods</x:v>
      </x:c>
      <x:c r="F585" s="13" t="str">
        <x:v>Deep Cyclicals</x:v>
      </x:c>
      <x:c r="G585" s="13" t="str">
        <x:v>grid_wekqfxnd.xlsx</x:v>
      </x:c>
    </x:row>
    <x:row r="586">
      <x:c r="A586" s="15" t="n">
        <x:v>40483</x:v>
      </x:c>
      <x:c r="B586" s="13" t="str">
        <x:v>B3 SA-BRASIL BOLSA BALCAO</x:v>
      </x:c>
      <x:c r="C586" s="16" t="n">
        <x:v>1618.5562332931</x:v>
      </x:c>
      <x:c r="D586" s="13" t="str">
        <x:v>Financials Non-Banks</x:v>
      </x:c>
      <x:c r="E586" s="13" t="str">
        <x:v>Financials Non-Banks</x:v>
      </x:c>
      <x:c r="F586" s="13" t="str">
        <x:v>Financials</x:v>
      </x:c>
      <x:c r="G586" s="13" t="str">
        <x:v>grid_wekqfxnd.xlsx</x:v>
      </x:c>
    </x:row>
    <x:row r="587">
      <x:c r="A587" s="15" t="n">
        <x:v>40483</x:v>
      </x:c>
      <x:c r="B587" s="13" t="str">
        <x:v>CIELO SA - INSTITUICAO DE PA</x:v>
      </x:c>
      <x:c r="C587" s="16" t="n">
        <x:v>1782.2468579945</x:v>
      </x:c>
      <x:c r="D587" s="13" t="str">
        <x:v>Financials Non-Banks</x:v>
      </x:c>
      <x:c r="E587" s="13" t="str">
        <x:v>Financials Non-Banks</x:v>
      </x:c>
      <x:c r="F587" s="13" t="str">
        <x:v>Financials</x:v>
      </x:c>
      <x:c r="G587" s="13" t="str">
        <x:v>grid_wekqfxnd.xlsx</x:v>
      </x:c>
    </x:row>
    <x:row r="588">
      <x:c r="A588" s="15" t="n">
        <x:v>40483</x:v>
      </x:c>
      <x:c r="B588" s="13" t="str">
        <x:v>ITAUSA SA</x:v>
      </x:c>
      <x:c r="C588" s="16" t="n">
        <x:v>5803.973260274</x:v>
      </x:c>
      <x:c r="D588" s="13" t="str">
        <x:v>Financials Non-Banks</x:v>
      </x:c>
      <x:c r="E588" s="13" t="str">
        <x:v>Financials Non-Banks</x:v>
      </x:c>
      <x:c r="F588" s="13" t="str">
        <x:v>Financials</x:v>
      </x:c>
      <x:c r="G588" s="13" t="str">
        <x:v>grid_wekqfxnd.xlsx</x:v>
      </x:c>
    </x:row>
    <x:row r="589">
      <x:c r="A589" s="15" t="n">
        <x:v>40483</x:v>
      </x:c>
      <x:c r="B589" s="13" t="str">
        <x:v>REDECARD INSTITUICAO DE PAGA</x:v>
      </x:c>
      <x:c r="C589" s="16" t="n">
        <x:v>1398.1368067507</x:v>
      </x:c>
      <x:c r="D589" s="13" t="str">
        <x:v>Financials Non-Banks</x:v>
      </x:c>
      <x:c r="E589" s="13" t="str">
        <x:v>Financials Non-Banks</x:v>
      </x:c>
      <x:c r="F589" s="13" t="str">
        <x:v>Financials</x:v>
      </x:c>
      <x:c r="G589" s="13" t="str">
        <x:v>grid_wekqfxnd.xlsx</x:v>
      </x:c>
    </x:row>
    <x:row r="590">
      <x:c r="A590" s="15" t="n">
        <x:v>40483</x:v>
      </x:c>
      <x:c r="B590" s="13" t="str">
        <x:v>AMBEV SA</x:v>
      </x:c>
      <x:c r="C590" s="16" t="n">
        <x:v>7682.1468075836</x:v>
      </x:c>
      <x:c r="D590" s="13" t="str">
        <x:v>Food &amp; Beverages</x:v>
      </x:c>
      <x:c r="E590" s="13" t="str">
        <x:v>Agri, Food &amp; Beverages</x:v>
      </x:c>
      <x:c r="F590" s="13" t="str">
        <x:v>Defensives</x:v>
      </x:c>
      <x:c r="G590" s="13" t="str">
        <x:v>grid_wekqfxnd.xlsx</x:v>
      </x:c>
    </x:row>
    <x:row r="591">
      <x:c r="A591" s="15" t="n">
        <x:v>40483</x:v>
      </x:c>
      <x:c r="B591" s="13" t="str">
        <x:v>BRF SA</x:v>
      </x:c>
      <x:c r="C591" s="16" t="n">
        <x:v>1014.8417320329</x:v>
      </x:c>
      <x:c r="D591" s="13" t="str">
        <x:v>Food &amp; Beverages</x:v>
      </x:c>
      <x:c r="E591" s="13" t="str">
        <x:v>Agri, Food &amp; Beverages</x:v>
      </x:c>
      <x:c r="F591" s="13" t="str">
        <x:v>Defensives</x:v>
      </x:c>
      <x:c r="G591" s="13" t="str">
        <x:v>grid_wekqfxnd.xlsx</x:v>
      </x:c>
    </x:row>
    <x:row r="592">
      <x:c r="A592" s="15" t="n">
        <x:v>40483</x:v>
      </x:c>
      <x:c r="B592" s="13" t="str">
        <x:v>JBS SA</x:v>
      </x:c>
      <x:c r="C592" s="16" t="n">
        <x:v>1365.4575342466</x:v>
      </x:c>
      <x:c r="D592" s="13" t="str">
        <x:v>Food &amp; Beverages</x:v>
      </x:c>
      <x:c r="E592" s="13" t="str">
        <x:v>Agri, Food &amp; Beverages</x:v>
      </x:c>
      <x:c r="F592" s="13" t="str">
        <x:v>Defensives</x:v>
      </x:c>
      <x:c r="G592" s="13" t="str">
        <x:v>grid_wekqfxnd.xlsx</x:v>
      </x:c>
    </x:row>
    <x:row r="593">
      <x:c r="A593" s="15" t="n">
        <x:v>40483</x:v>
      </x:c>
      <x:c r="B593" s="13" t="str">
        <x:v>MBRF GLOBAL FOODS COMPANY SA</x:v>
      </x:c>
      <x:c r="C593" s="16" t="n">
        <x:v>342.7545735014</x:v>
      </x:c>
      <x:c r="D593" s="13" t="str">
        <x:v>Food &amp; Beverages</x:v>
      </x:c>
      <x:c r="E593" s="13" t="str">
        <x:v>Agri, Food &amp; Beverages</x:v>
      </x:c>
      <x:c r="F593" s="13" t="str">
        <x:v>Defensives</x:v>
      </x:c>
      <x:c r="G593" s="13" t="str">
        <x:v>grid_wekqfxnd.xlsx</x:v>
      </x:c>
    </x:row>
    <x:row r="594">
      <x:c r="A594" s="15" t="n">
        <x:v>40483</x:v>
      </x:c>
      <x:c r="B594" s="13" t="str">
        <x:v>SOUZA CRUZ LTDA</x:v>
      </x:c>
      <x:c r="C594" s="16" t="n">
        <x:v>1573.1598041425</x:v>
      </x:c>
      <x:c r="D594" s="13" t="str">
        <x:v>Food &amp; Beverages</x:v>
      </x:c>
      <x:c r="E594" s="13" t="str">
        <x:v>Agri, Food &amp; Beverages</x:v>
      </x:c>
      <x:c r="F594" s="13" t="str">
        <x:v>Defensives</x:v>
      </x:c>
      <x:c r="G594" s="13" t="str">
        <x:v>grid_wekqfxnd.xlsx</x:v>
      </x:c>
    </x:row>
    <x:row r="595">
      <x:c r="A595" s="15" t="n">
        <x:v>40483</x:v>
      </x:c>
      <x:c r="B595" s="13" t="str">
        <x:v>CYRELA BRAZIL REALTY SA EMP</x:v>
      </x:c>
      <x:c r="C595" s="16" t="n">
        <x:v>931.4113271233</x:v>
      </x:c>
      <x:c r="D595" s="13" t="str">
        <x:v>Homebuilders</x:v>
      </x:c>
      <x:c r="E595" s="13" t="str">
        <x:v>Real Estate</x:v>
      </x:c>
      <x:c r="F595" s="13" t="str">
        <x:v>Early Cyclicals</x:v>
      </x:c>
      <x:c r="G595" s="13" t="str">
        <x:v>grid_wekqfxnd.xlsx</x:v>
      </x:c>
    </x:row>
    <x:row r="596">
      <x:c r="A596" s="15" t="n">
        <x:v>40483</x:v>
      </x:c>
      <x:c r="B596" s="13" t="str">
        <x:v>GAFISA SA</x:v>
      </x:c>
      <x:c r="C596" s="16" t="n">
        <x:v>525.4337244932</x:v>
      </x:c>
      <x:c r="D596" s="13" t="str">
        <x:v>Homebuilders</x:v>
      </x:c>
      <x:c r="E596" s="13" t="str">
        <x:v>Real Estate</x:v>
      </x:c>
      <x:c r="F596" s="13" t="str">
        <x:v>Early Cyclicals</x:v>
      </x:c>
      <x:c r="G596" s="13" t="str">
        <x:v>grid_wekqfxnd.xlsx</x:v>
      </x:c>
    </x:row>
    <x:row r="597">
      <x:c r="A597" s="15" t="n">
        <x:v>40483</x:v>
      </x:c>
      <x:c r="B597" s="13" t="str">
        <x:v>MRV ENGENHARIA</x:v>
      </x:c>
      <x:c r="C597" s="16" t="n">
        <x:v>775.7130974685</x:v>
      </x:c>
      <x:c r="D597" s="13" t="str">
        <x:v>Homebuilders</x:v>
      </x:c>
      <x:c r="E597" s="13" t="str">
        <x:v>Real Estate</x:v>
      </x:c>
      <x:c r="F597" s="13" t="str">
        <x:v>Early Cyclicals</x:v>
      </x:c>
      <x:c r="G597" s="13" t="str">
        <x:v>grid_wekqfxnd.xlsx</x:v>
      </x:c>
    </x:row>
    <x:row r="598">
      <x:c r="A598" s="15" t="n">
        <x:v>40483</x:v>
      </x:c>
      <x:c r="B598" s="13" t="str">
        <x:v>PDG REALTY SA</x:v>
      </x:c>
      <x:c r="C598" s="16" t="n">
        <x:v>1174.081746937</x:v>
      </x:c>
      <x:c r="D598" s="13" t="str">
        <x:v>Homebuilders</x:v>
      </x:c>
      <x:c r="E598" s="13" t="str">
        <x:v>Real Estate</x:v>
      </x:c>
      <x:c r="F598" s="13" t="str">
        <x:v>Early Cyclicals</x:v>
      </x:c>
      <x:c r="G598" s="13" t="str">
        <x:v>grid_wekqfxnd.xlsx</x:v>
      </x:c>
    </x:row>
    <x:row r="599">
      <x:c r="A599" s="15" t="n">
        <x:v>40483</x:v>
      </x:c>
      <x:c r="B599" s="13" t="str">
        <x:v>ROSSI RESIDENCIAL SA</x:v>
      </x:c>
      <x:c r="C599" s="16" t="n">
        <x:v>486.7089201096</x:v>
      </x:c>
      <x:c r="D599" s="13" t="str">
        <x:v>Homebuilders</x:v>
      </x:c>
      <x:c r="E599" s="13" t="str">
        <x:v>Real Estate</x:v>
      </x:c>
      <x:c r="F599" s="13" t="str">
        <x:v>Early Cyclicals</x:v>
      </x:c>
      <x:c r="G599" s="13" t="str">
        <x:v>grid_wekqfxnd.xlsx</x:v>
      </x:c>
    </x:row>
    <x:row r="600">
      <x:c r="A600" s="15" t="n">
        <x:v>40483</x:v>
      </x:c>
      <x:c r="B600" s="13" t="str">
        <x:v>TEGRA INCORPORADORA SA</x:v>
      </x:c>
      <x:c r="C600" s="16" t="n">
        <x:v>475.4452141589</x:v>
      </x:c>
      <x:c r="D600" s="13" t="str">
        <x:v>Homebuilders</x:v>
      </x:c>
      <x:c r="E600" s="13" t="str">
        <x:v>Real Estate</x:v>
      </x:c>
      <x:c r="F600" s="13" t="str">
        <x:v>Early Cyclicals</x:v>
      </x:c>
      <x:c r="G600" s="13" t="str">
        <x:v>grid_wekqfxnd.xlsx</x:v>
      </x:c>
    </x:row>
    <x:row r="601">
      <x:c r="A601" s="15" t="n">
        <x:v>40483</x:v>
      </x:c>
      <x:c r="B601" s="13" t="str">
        <x:v>BRADESPAR SA -PREF</x:v>
      </x:c>
      <x:c r="C601" s="16" t="n">
        <x:v>1644.4246282521</x:v>
      </x:c>
      <x:c r="D601" s="13" t="str">
        <x:v>Metals &amp; Mining</x:v>
      </x:c>
      <x:c r="E601" s="13" t="str">
        <x:v>Metals &amp; Mining</x:v>
      </x:c>
      <x:c r="F601" s="13" t="str">
        <x:v>Deep Cyclicals</x:v>
      </x:c>
      <x:c r="G601" s="13" t="str">
        <x:v>grid_wekqfxnd.xlsx</x:v>
      </x:c>
    </x:row>
    <x:row r="602">
      <x:c r="A602" s="15" t="n">
        <x:v>40483</x:v>
      </x:c>
      <x:c r="B602" s="13" t="str">
        <x:v>CIA SIDERURGICA NACIONAL SA</x:v>
      </x:c>
      <x:c r="C602" s="16" t="n">
        <x:v>4616.0927014575</x:v>
      </x:c>
      <x:c r="D602" s="13" t="str">
        <x:v>Metals &amp; Mining</x:v>
      </x:c>
      <x:c r="E602" s="13" t="str">
        <x:v>Metals &amp; Mining</x:v>
      </x:c>
      <x:c r="F602" s="13" t="str">
        <x:v>Deep Cyclicals</x:v>
      </x:c>
      <x:c r="G602" s="13" t="str">
        <x:v>grid_wekqfxnd.xlsx</x:v>
      </x:c>
    </x:row>
    <x:row r="603">
      <x:c r="A603" s="15" t="n">
        <x:v>40483</x:v>
      </x:c>
      <x:c r="B603" s="13" t="str">
        <x:v>GERDAU SA-PREF</x:v>
      </x:c>
      <x:c r="C603" s="16" t="n">
        <x:v>2947.0338531945</x:v>
      </x:c>
      <x:c r="D603" s="13" t="str">
        <x:v>Metals &amp; Mining</x:v>
      </x:c>
      <x:c r="E603" s="13" t="str">
        <x:v>Metals &amp; Mining</x:v>
      </x:c>
      <x:c r="F603" s="13" t="str">
        <x:v>Deep Cyclicals</x:v>
      </x:c>
      <x:c r="G603" s="13" t="str">
        <x:v>grid_wekqfxnd.xlsx</x:v>
      </x:c>
    </x:row>
    <x:row r="604">
      <x:c r="A604" s="15" t="n">
        <x:v>40483</x:v>
      </x:c>
      <x:c r="B604" s="13" t="str">
        <x:v>METALURGICA GERDAU SA-PREF</x:v>
      </x:c>
      <x:c r="C604" s="16" t="n">
        <x:v>513.2342492932</x:v>
      </x:c>
      <x:c r="D604" s="13" t="str">
        <x:v>Metals &amp; Mining</x:v>
      </x:c>
      <x:c r="E604" s="13" t="str">
        <x:v>Metals &amp; Mining</x:v>
      </x:c>
      <x:c r="F604" s="13" t="str">
        <x:v>Deep Cyclicals</x:v>
      </x:c>
      <x:c r="G604" s="13" t="str">
        <x:v>grid_wekqfxnd.xlsx</x:v>
      </x:c>
    </x:row>
    <x:row r="605">
      <x:c r="A605" s="15" t="n">
        <x:v>40483</x:v>
      </x:c>
      <x:c r="B605" s="13" t="str">
        <x:v>MMX MINERACAO E METALICOS SA</x:v>
      </x:c>
      <x:c r="C605" s="16" t="n">
        <x:v>270.0302216055</x:v>
      </x:c>
      <x:c r="D605" s="13" t="str">
        <x:v>Metals &amp; Mining</x:v>
      </x:c>
      <x:c r="E605" s="13" t="str">
        <x:v>Metals &amp; Mining</x:v>
      </x:c>
      <x:c r="F605" s="13" t="str">
        <x:v>Deep Cyclicals</x:v>
      </x:c>
      <x:c r="G605" s="13" t="str">
        <x:v>grid_wekqfxnd.xlsx</x:v>
      </x:c>
    </x:row>
    <x:row r="606">
      <x:c r="A606" s="15" t="n">
        <x:v>40483</x:v>
      </x:c>
      <x:c r="B606" s="13" t="str">
        <x:v>USINAS SIDER MINAS GER-PF A</x:v>
      </x:c>
      <x:c r="C606" s="16" t="n">
        <x:v>2091.6506687123</x:v>
      </x:c>
      <x:c r="D606" s="13" t="str">
        <x:v>Metals &amp; Mining</x:v>
      </x:c>
      <x:c r="E606" s="13" t="str">
        <x:v>Metals &amp; Mining</x:v>
      </x:c>
      <x:c r="F606" s="13" t="str">
        <x:v>Deep Cyclicals</x:v>
      </x:c>
      <x:c r="G606" s="13" t="str">
        <x:v>grid_wekqfxnd.xlsx</x:v>
      </x:c>
    </x:row>
    <x:row r="607">
      <x:c r="A607" s="15" t="n">
        <x:v>40483</x:v>
      </x:c>
      <x:c r="B607" s="13" t="str">
        <x:v>USINAS SIDERURGICAS DE MINAS</x:v>
      </x:c>
      <x:c r="C607" s="16" t="n">
        <x:v>2091.6506687123</x:v>
      </x:c>
      <x:c r="D607" s="13" t="str">
        <x:v>Metals &amp; Mining</x:v>
      </x:c>
      <x:c r="E607" s="13" t="str">
        <x:v>Metals &amp; Mining</x:v>
      </x:c>
      <x:c r="F607" s="13" t="str">
        <x:v>Deep Cyclicals</x:v>
      </x:c>
      <x:c r="G607" s="13" t="str">
        <x:v>grid_wekqfxnd.xlsx</x:v>
      </x:c>
    </x:row>
    <x:row r="608">
      <x:c r="A608" s="15" t="n">
        <x:v>40483</x:v>
      </x:c>
      <x:c r="B608" s="13" t="str">
        <x:v>VALE SA</x:v>
      </x:c>
      <x:c r="C608" s="16" t="n">
        <x:v>37442.8650229479</x:v>
      </x:c>
      <x:c r="D608" s="13" t="str">
        <x:v>Metals &amp; Mining</x:v>
      </x:c>
      <x:c r="E608" s="13" t="str">
        <x:v>Metals &amp; Mining</x:v>
      </x:c>
      <x:c r="F608" s="13" t="str">
        <x:v>Deep Cyclicals</x:v>
      </x:c>
      <x:c r="G608" s="13" t="str">
        <x:v>grid_wekqfxnd.xlsx</x:v>
      </x:c>
    </x:row>
    <x:row r="609">
      <x:c r="A609" s="15" t="n">
        <x:v>40483</x:v>
      </x:c>
      <x:c r="B609" s="13" t="str">
        <x:v>BRASKEM SA-PREF A</x:v>
      </x:c>
      <x:c r="C609" s="16" t="n">
        <x:v>501.2341970411</x:v>
      </x:c>
      <x:c r="D609" s="13" t="str">
        <x:v>Oil, Gas &amp; Petrochemicals</x:v>
      </x:c>
      <x:c r="E609" s="13" t="str">
        <x:v>Oil, Gas &amp; Petrochemicals</x:v>
      </x:c>
      <x:c r="F609" s="13" t="str">
        <x:v>Deep Cyclicals</x:v>
      </x:c>
      <x:c r="G609" s="13" t="str">
        <x:v>grid_wekqfxnd.xlsx</x:v>
      </x:c>
    </x:row>
    <x:row r="610">
      <x:c r="A610" s="15" t="n">
        <x:v>40483</x:v>
      </x:c>
      <x:c r="B610" s="13" t="str">
        <x:v>COSAN SA</x:v>
      </x:c>
      <x:c r="C610" s="16" t="n">
        <x:v>1228.865811989</x:v>
      </x:c>
      <x:c r="D610" s="13" t="str">
        <x:v>Oil, Gas &amp; Petrochemicals</x:v>
      </x:c>
      <x:c r="E610" s="13" t="str">
        <x:v>Oil, Gas &amp; Petrochemicals</x:v>
      </x:c>
      <x:c r="F610" s="13" t="str">
        <x:v>Deep Cyclicals</x:v>
      </x:c>
      <x:c r="G610" s="13" t="str">
        <x:v>grid_wekqfxnd.xlsx</x:v>
      </x:c>
    </x:row>
    <x:row r="611">
      <x:c r="A611" s="15" t="n">
        <x:v>40483</x:v>
      </x:c>
      <x:c r="B611" s="13" t="str">
        <x:v>OLEO E GAS PARTICIPACOES SA</x:v>
      </x:c>
      <x:c r="C611" s="16" t="n">
        <x:v>165.5476054795</x:v>
      </x:c>
      <x:c r="D611" s="13" t="str">
        <x:v>Oil, Gas &amp; Petrochemicals</x:v>
      </x:c>
      <x:c r="E611" s="13" t="str">
        <x:v>Oil, Gas &amp; Petrochemicals</x:v>
      </x:c>
      <x:c r="F611" s="13" t="str">
        <x:v>Deep Cyclicals</x:v>
      </x:c>
      <x:c r="G611" s="13" t="str">
        <x:v>grid_wekqfxnd.xlsx</x:v>
      </x:c>
    </x:row>
    <x:row r="612">
      <x:c r="A612" s="15" t="n">
        <x:v>40483</x:v>
      </x:c>
      <x:c r="B612" s="13" t="str">
        <x:v>PETROBRAS - PETROLEO BRAS</x:v>
      </x:c>
      <x:c r="C612" s="16" t="n">
        <x:v>34706.0547022904</x:v>
      </x:c>
      <x:c r="D612" s="13" t="str">
        <x:v>Oil, Gas &amp; Petrochemicals</x:v>
      </x:c>
      <x:c r="E612" s="13" t="str">
        <x:v>Oil, Gas &amp; Petrochemicals</x:v>
      </x:c>
      <x:c r="F612" s="13" t="str">
        <x:v>Deep Cyclicals</x:v>
      </x:c>
      <x:c r="G612" s="13" t="str">
        <x:v>grid_wekqfxnd.xlsx</x:v>
      </x:c>
    </x:row>
    <x:row r="613">
      <x:c r="A613" s="15" t="n">
        <x:v>40483</x:v>
      </x:c>
      <x:c r="B613" s="13" t="str">
        <x:v>ULTRAPAR PARTICIPACOES-PREF</x:v>
      </x:c>
      <x:c r="C613" s="16" t="n">
        <x:v>815.9652650082</x:v>
      </x:c>
      <x:c r="D613" s="13" t="str">
        <x:v>Oil, Gas &amp; Petrochemicals</x:v>
      </x:c>
      <x:c r="E613" s="13" t="str">
        <x:v>Oil, Gas &amp; Petrochemicals</x:v>
      </x:c>
      <x:c r="F613" s="13" t="str">
        <x:v>Deep Cyclicals</x:v>
      </x:c>
      <x:c r="G613" s="13" t="str">
        <x:v>grid_wekqfxnd.xlsx</x:v>
      </x:c>
    </x:row>
    <x:row r="614">
      <x:c r="A614" s="15" t="n">
        <x:v>40483</x:v>
      </x:c>
      <x:c r="B614" s="13" t="str">
        <x:v>DEXCO SA</x:v>
      </x:c>
      <x:c r="C614" s="16" t="n">
        <x:v>493.5912917918</x:v>
      </x:c>
      <x:c r="D614" s="13" t="str">
        <x:v>Pulp &amp; Paper</x:v>
      </x:c>
      <x:c r="E614" s="13" t="str">
        <x:v>Pulp &amp; Paper</x:v>
      </x:c>
      <x:c r="F614" s="13" t="str">
        <x:v>Deep Cyclicals</x:v>
      </x:c>
      <x:c r="G614" s="13" t="str">
        <x:v>grid_wekqfxnd.xlsx</x:v>
      </x:c>
    </x:row>
    <x:row r="615">
      <x:c r="A615" s="15" t="n">
        <x:v>40483</x:v>
      </x:c>
      <x:c r="B615" s="13" t="str">
        <x:v>FIBRIA CELULOSE S/A</x:v>
      </x:c>
      <x:c r="C615" s="16" t="n">
        <x:v>697.338073074</x:v>
      </x:c>
      <x:c r="D615" s="13" t="str">
        <x:v>Pulp &amp; Paper</x:v>
      </x:c>
      <x:c r="E615" s="13" t="str">
        <x:v>Pulp &amp; Paper</x:v>
      </x:c>
      <x:c r="F615" s="13" t="str">
        <x:v>Deep Cyclicals</x:v>
      </x:c>
      <x:c r="G615" s="13" t="str">
        <x:v>grid_wekqfxnd.xlsx</x:v>
      </x:c>
    </x:row>
    <x:row r="616">
      <x:c r="A616" s="15" t="n">
        <x:v>40483</x:v>
      </x:c>
      <x:c r="B616" s="13" t="str">
        <x:v>AMERICANAS SA</x:v>
      </x:c>
      <x:c r="C616" s="16" t="n">
        <x:v>93.1437379836</x:v>
      </x:c>
      <x:c r="D616" s="13" t="str">
        <x:v>Retail</x:v>
      </x:c>
      <x:c r="E616" s="13" t="str">
        <x:v>Retail</x:v>
      </x:c>
      <x:c r="F616" s="13" t="str">
        <x:v>Early Cyclicals</x:v>
      </x:c>
      <x:c r="G616" s="13" t="str">
        <x:v>grid_wekqfxnd.xlsx</x:v>
      </x:c>
    </x:row>
    <x:row r="617">
      <x:c r="A617" s="15" t="n">
        <x:v>40483</x:v>
      </x:c>
      <x:c r="B617" s="13" t="str">
        <x:v>CIA BRASILEIRA DE DIS-PREF</x:v>
      </x:c>
      <x:c r="C617" s="16" t="n">
        <x:v>747.4463374027</x:v>
      </x:c>
      <x:c r="D617" s="13" t="str">
        <x:v>Retail</x:v>
      </x:c>
      <x:c r="E617" s="13" t="str">
        <x:v>Retail</x:v>
      </x:c>
      <x:c r="F617" s="13" t="str">
        <x:v>Early Cyclicals</x:v>
      </x:c>
      <x:c r="G617" s="13" t="str">
        <x:v>grid_wekqfxnd.xlsx</x:v>
      </x:c>
    </x:row>
    <x:row r="618">
      <x:c r="A618" s="15" t="n">
        <x:v>40483</x:v>
      </x:c>
      <x:c r="B618" s="13" t="str">
        <x:v>LOJAS AMERICANAS SA-PREF</x:v>
      </x:c>
      <x:c r="C618" s="16" t="n">
        <x:v>348.5477516274</x:v>
      </x:c>
      <x:c r="D618" s="13" t="str">
        <x:v>Retail</x:v>
      </x:c>
      <x:c r="E618" s="13" t="str">
        <x:v>Retail</x:v>
      </x:c>
      <x:c r="F618" s="13" t="str">
        <x:v>Early Cyclicals</x:v>
      </x:c>
      <x:c r="G618" s="13" t="str">
        <x:v>grid_wekqfxnd.xlsx</x:v>
      </x:c>
    </x:row>
    <x:row r="619">
      <x:c r="A619" s="15" t="n">
        <x:v>40483</x:v>
      </x:c>
      <x:c r="B619" s="13" t="str">
        <x:v>LOJAS RENNER S.A.</x:v>
      </x:c>
      <x:c r="C619" s="16" t="n">
        <x:v>334.8493093699</x:v>
      </x:c>
      <x:c r="D619" s="13" t="str">
        <x:v>Retail</x:v>
      </x:c>
      <x:c r="E619" s="13" t="str">
        <x:v>Retail</x:v>
      </x:c>
      <x:c r="F619" s="13" t="str">
        <x:v>Early Cyclicals</x:v>
      </x:c>
      <x:c r="G619" s="13" t="str">
        <x:v>grid_wekqfxnd.xlsx</x:v>
      </x:c>
    </x:row>
    <x:row r="620">
      <x:c r="A620" s="15" t="n">
        <x:v>40483</x:v>
      </x:c>
      <x:c r="B620" s="13" t="str">
        <x:v>NATURA COSMETICOS SA</x:v>
      </x:c>
      <x:c r="C620" s="16" t="n">
        <x:v>865.5780944658</x:v>
      </x:c>
      <x:c r="D620" s="13" t="str">
        <x:v>Retail</x:v>
      </x:c>
      <x:c r="E620" s="13" t="str">
        <x:v>Retail</x:v>
      </x:c>
      <x:c r="F620" s="13" t="str">
        <x:v>Early Cyclicals</x:v>
      </x:c>
      <x:c r="G620" s="13" t="str">
        <x:v>grid_wekqfxnd.xlsx</x:v>
      </x:c>
    </x:row>
    <x:row r="621">
      <x:c r="A621" s="15" t="n">
        <x:v>40483</x:v>
      </x:c>
      <x:c r="B621" s="13" t="str">
        <x:v>CIA SANEAMENTO BASICO DE SP</x:v>
      </x:c>
      <x:c r="C621" s="16" t="n">
        <x:v>1371.337765874</x:v>
      </x:c>
      <x:c r="D621" s="13" t="str">
        <x:v>Sanitation</x:v>
      </x:c>
      <x:c r="E621" s="13" t="str">
        <x:v>Utilities</x:v>
      </x:c>
      <x:c r="F621" s="13" t="str">
        <x:v>Defensives</x:v>
      </x:c>
      <x:c r="G621" s="13" t="str">
        <x:v>grid_wekqfxnd.xlsx</x:v>
      </x:c>
    </x:row>
    <x:row r="622">
      <x:c r="A622" s="15" t="n">
        <x:v>40483</x:v>
      </x:c>
      <x:c r="B622" s="13" t="str">
        <x:v>OI SA-PREFERENCE</x:v>
      </x:c>
      <x:c r="C622" s="16" t="n">
        <x:v>1196.0027104438</x:v>
      </x:c>
      <x:c r="D622" s="13" t="str">
        <x:v>TMT</x:v>
      </x:c>
      <x:c r="E622" s="13" t="str">
        <x:v>TMT</x:v>
      </x:c>
      <x:c r="F622" s="13" t="str">
        <x:v>Early Cyclicals</x:v>
      </x:c>
      <x:c r="G622" s="13" t="str">
        <x:v>grid_wekqfxnd.xlsx</x:v>
      </x:c>
    </x:row>
    <x:row r="623">
      <x:c r="A623" s="15" t="n">
        <x:v>40483</x:v>
      </x:c>
      <x:c r="B623" s="13" t="str">
        <x:v>TELE NORTE LESTE PART</x:v>
      </x:c>
      <x:c r="C623" s="16" t="n">
        <x:v>1743.067731463</x:v>
      </x:c>
      <x:c r="D623" s="13" t="str">
        <x:v>TMT</x:v>
      </x:c>
      <x:c r="E623" s="13" t="str">
        <x:v>TMT</x:v>
      </x:c>
      <x:c r="F623" s="13" t="str">
        <x:v>Early Cyclicals</x:v>
      </x:c>
      <x:c r="G623" s="13" t="str">
        <x:v>grid_wekqfxnd.xlsx</x:v>
      </x:c>
    </x:row>
    <x:row r="624">
      <x:c r="A624" s="15" t="n">
        <x:v>40483</x:v>
      </x:c>
      <x:c r="B624" s="13" t="str">
        <x:v>TELEFONICA BRASIL S.A.-PREF</x:v>
      </x:c>
      <x:c r="C624" s="16" t="n">
        <x:v>2172.5207194301</x:v>
      </x:c>
      <x:c r="D624" s="13" t="str">
        <x:v>TMT</x:v>
      </x:c>
      <x:c r="E624" s="13" t="str">
        <x:v>TMT</x:v>
      </x:c>
      <x:c r="F624" s="13" t="str">
        <x:v>Early Cyclicals</x:v>
      </x:c>
      <x:c r="G624" s="13" t="str">
        <x:v>grid_wekqfxnd.xlsx</x:v>
      </x:c>
    </x:row>
    <x:row r="625">
      <x:c r="A625" s="15" t="n">
        <x:v>40483</x:v>
      </x:c>
      <x:c r="B625" s="13" t="str">
        <x:v>TELEMAR NORTE LESTE SA</x:v>
      </x:c>
      <x:c r="C625" s="16" t="n">
        <x:v>2094.0007844822</x:v>
      </x:c>
      <x:c r="D625" s="13" t="str">
        <x:v>TMT</x:v>
      </x:c>
      <x:c r="E625" s="13" t="str">
        <x:v>TMT</x:v>
      </x:c>
      <x:c r="F625" s="13" t="str">
        <x:v>Early Cyclicals</x:v>
      </x:c>
      <x:c r="G625" s="13" t="str">
        <x:v>grid_wekqfxnd.xlsx</x:v>
      </x:c>
    </x:row>
    <x:row r="626">
      <x:c r="A626" s="15" t="n">
        <x:v>40483</x:v>
      </x:c>
      <x:c r="B626" s="13" t="str">
        <x:v>TIM PARTICIPACOES SA-PREF</x:v>
      </x:c>
      <x:c r="C626" s="16" t="n">
        <x:v>824.2233860384</x:v>
      </x:c>
      <x:c r="D626" s="13" t="str">
        <x:v>TMT</x:v>
      </x:c>
      <x:c r="E626" s="13" t="str">
        <x:v>TMT</x:v>
      </x:c>
      <x:c r="F626" s="13" t="str">
        <x:v>Early Cyclicals</x:v>
      </x:c>
      <x:c r="G626" s="13" t="str">
        <x:v>grid_wekqfxnd.xlsx</x:v>
      </x:c>
    </x:row>
    <x:row r="627">
      <x:c r="A627" s="15" t="n">
        <x:v>40483</x:v>
      </x:c>
      <x:c r="B627" s="13" t="str">
        <x:v>TIM SA</x:v>
      </x:c>
      <x:c r="C627" s="16" t="n">
        <x:v>824.2233860384</x:v>
      </x:c>
      <x:c r="D627" s="13" t="str">
        <x:v>TMT</x:v>
      </x:c>
      <x:c r="E627" s="13" t="str">
        <x:v>TMT</x:v>
      </x:c>
      <x:c r="F627" s="13" t="str">
        <x:v>Early Cyclicals</x:v>
      </x:c>
      <x:c r="G627" s="13" t="str">
        <x:v>grid_wekqfxnd.xlsx</x:v>
      </x:c>
    </x:row>
    <x:row r="628">
      <x:c r="A628" s="15" t="n">
        <x:v>40483</x:v>
      </x:c>
      <x:c r="B628" s="13" t="str">
        <x:v>VIVO PARTICIPACOES SA-PREF</x:v>
      </x:c>
      <x:c r="C628" s="16" t="n">
        <x:v>1749.0097713096</x:v>
      </x:c>
      <x:c r="D628" s="13" t="str">
        <x:v>TMT</x:v>
      </x:c>
      <x:c r="E628" s="13" t="str">
        <x:v>TMT</x:v>
      </x:c>
      <x:c r="F628" s="13" t="str">
        <x:v>Early Cyclicals</x:v>
      </x:c>
      <x:c r="G628" s="13" t="str">
        <x:v>grid_wekqfxnd.xlsx</x:v>
      </x:c>
    </x:row>
    <x:row r="629">
      <x:c r="A629" s="15" t="n">
        <x:v>40483</x:v>
      </x:c>
      <x:c r="B629" s="13" t="str">
        <x:v>GOL LINHAS AEREAS INT SA-PRE</x:v>
      </x:c>
      <x:c r="C629" s="16" t="n">
        <x:v>480.103308011</x:v>
      </x:c>
      <x:c r="D629" s="13" t="str">
        <x:v>Transportation</x:v>
      </x:c>
      <x:c r="E629" s="13" t="str">
        <x:v>Transportation</x:v>
      </x:c>
      <x:c r="F629" s="13" t="str">
        <x:v>Deep Cyclicals</x:v>
      </x:c>
      <x:c r="G629" s="13" t="str">
        <x:v>grid_wekqfxnd.xlsx</x:v>
      </x:c>
    </x:row>
    <x:row r="630">
      <x:c r="A630" s="15" t="n">
        <x:v>40483</x:v>
      </x:c>
      <x:c r="B630" s="13" t="str">
        <x:v>MOTIVA INFRAESTRUTURA DE MOB</x:v>
      </x:c>
      <x:c r="C630" s="16" t="n">
        <x:v>992.1556164384</x:v>
      </x:c>
      <x:c r="D630" s="13" t="str">
        <x:v>Transportation</x:v>
      </x:c>
      <x:c r="E630" s="13" t="str">
        <x:v>Transportation</x:v>
      </x:c>
      <x:c r="F630" s="13" t="str">
        <x:v>Deep Cyclicals</x:v>
      </x:c>
      <x:c r="G630" s="13" t="str">
        <x:v>grid_wekqfxnd.xlsx</x:v>
      </x:c>
    </x:row>
    <x:row r="631">
      <x:c r="A631" s="15" t="n">
        <x:v>40483</x:v>
      </x:c>
      <x:c r="B631" s="13" t="str">
        <x:v>PRUMO LOGISTICA SA</x:v>
      </x:c>
      <x:c r="C631" s="16" t="n">
        <x:v>-95.5648575342</x:v>
      </x:c>
      <x:c r="D631" s="13" t="str">
        <x:v>Transportation</x:v>
      </x:c>
      <x:c r="E631" s="13" t="str">
        <x:v>Transportation</x:v>
      </x:c>
      <x:c r="F631" s="13" t="str">
        <x:v>Deep Cyclicals</x:v>
      </x:c>
      <x:c r="G631" s="13" t="str">
        <x:v>grid_wekqfxnd.xlsx</x:v>
      </x:c>
    </x:row>
    <x:row r="632">
      <x:c r="A632" s="15" t="n">
        <x:v>40483</x:v>
      </x:c>
      <x:c r="B632" s="13" t="str">
        <x:v>RUMO SA</x:v>
      </x:c>
      <x:c r="C632" s="16" t="n">
        <x:v>260.8212054795</x:v>
      </x:c>
      <x:c r="D632" s="13" t="str">
        <x:v>Transportation</x:v>
      </x:c>
      <x:c r="E632" s="13" t="str">
        <x:v>Transportation</x:v>
      </x:c>
      <x:c r="F632" s="13" t="str">
        <x:v>Deep Cyclicals</x:v>
      </x:c>
      <x:c r="G632" s="13" t="str">
        <x:v>grid_wekqfxnd.xlsx</x:v>
      </x:c>
    </x:row>
    <x:row r="633">
      <x:c r="A633" s="15" t="n">
        <x:v>40483</x:v>
      </x:c>
      <x:c r="B633" s="13" t="str">
        <x:v>TAM SA-PREF</x:v>
      </x:c>
      <x:c r="C633" s="16" t="n">
        <x:v>280.5344385753</x:v>
      </x:c>
      <x:c r="D633" s="13" t="str">
        <x:v>Transportation</x:v>
      </x:c>
      <x:c r="E633" s="13" t="str">
        <x:v>Transportation</x:v>
      </x:c>
      <x:c r="F633" s="13" t="str">
        <x:v>Deep Cyclicals</x:v>
      </x:c>
      <x:c r="G633" s="13" t="str">
        <x:v>grid_wekqfxnd.xlsx</x:v>
      </x:c>
    </x:row>
    <x:row r="634">
      <x:c r="A634" s="15" t="n">
        <x:v>40483</x:v>
      </x:c>
      <x:c r="B634" s="13" t="str">
        <x:v>AXIA ENERGIA SA</x:v>
      </x:c>
      <x:c r="C634" s="16" t="n">
        <x:v>3450.7148645699</x:v>
      </x:c>
      <x:c r="D634" s="13" t="str">
        <x:v>Utilities &amp; Energy</x:v>
      </x:c>
      <x:c r="E634" s="13" t="str">
        <x:v>Utilities</x:v>
      </x:c>
      <x:c r="F634" s="13" t="str">
        <x:v>Defensives</x:v>
      </x:c>
      <x:c r="G634" s="13" t="str">
        <x:v>grid_wekqfxnd.xlsx</x:v>
      </x:c>
    </x:row>
    <x:row r="635">
      <x:c r="A635" s="15" t="n">
        <x:v>40483</x:v>
      </x:c>
      <x:c r="B635" s="13" t="str">
        <x:v>AXIA ENERGIA-PR B</x:v>
      </x:c>
      <x:c r="C635" s="16" t="n">
        <x:v>3450.7148645699</x:v>
      </x:c>
      <x:c r="D635" s="13" t="str">
        <x:v>Utilities &amp; Energy</x:v>
      </x:c>
      <x:c r="E635" s="13" t="str">
        <x:v>Utilities</x:v>
      </x:c>
      <x:c r="F635" s="13" t="str">
        <x:v>Defensives</x:v>
      </x:c>
      <x:c r="G635" s="13" t="str">
        <x:v>grid_wekqfxnd.xlsx</x:v>
      </x:c>
    </x:row>
    <x:row r="636">
      <x:c r="A636" s="15" t="n">
        <x:v>40483</x:v>
      </x:c>
      <x:c r="B636" s="13" t="str">
        <x:v>CESP - CIA ENERGETICA DE SAO</x:v>
      </x:c>
      <x:c r="C636" s="16" t="n">
        <x:v>639.2641625425</x:v>
      </x:c>
      <x:c r="D636" s="13" t="str">
        <x:v>Utilities &amp; Energy</x:v>
      </x:c>
      <x:c r="E636" s="13" t="str">
        <x:v>Utilities</x:v>
      </x:c>
      <x:c r="F636" s="13" t="str">
        <x:v>Defensives</x:v>
      </x:c>
      <x:c r="G636" s="13" t="str">
        <x:v>grid_wekqfxnd.xlsx</x:v>
      </x:c>
    </x:row>
    <x:row r="637">
      <x:c r="A637" s="15" t="n">
        <x:v>40483</x:v>
      </x:c>
      <x:c r="B637" s="13" t="str">
        <x:v>CIA ENERGETICA MINAS GER-PRF</x:v>
      </x:c>
      <x:c r="C637" s="16" t="n">
        <x:v>2048.7716864</x:v>
      </x:c>
      <x:c r="D637" s="13" t="str">
        <x:v>Utilities &amp; Energy</x:v>
      </x:c>
      <x:c r="E637" s="13" t="str">
        <x:v>Utilities</x:v>
      </x:c>
      <x:c r="F637" s="13" t="str">
        <x:v>Defensives</x:v>
      </x:c>
      <x:c r="G637" s="13" t="str">
        <x:v>grid_wekqfxnd.xlsx</x:v>
      </x:c>
    </x:row>
    <x:row r="638">
      <x:c r="A638" s="15" t="n">
        <x:v>40483</x:v>
      </x:c>
      <x:c r="B638" s="13" t="str">
        <x:v>COMPANHIA PARANAENSE -PREF B</x:v>
      </x:c>
      <x:c r="C638" s="16" t="n">
        <x:v>1164.7126065096</x:v>
      </x:c>
      <x:c r="D638" s="13" t="str">
        <x:v>Utilities &amp; Energy</x:v>
      </x:c>
      <x:c r="E638" s="13" t="str">
        <x:v>Utilities</x:v>
      </x:c>
      <x:c r="F638" s="13" t="str">
        <x:v>Defensives</x:v>
      </x:c>
      <x:c r="G638" s="13" t="str">
        <x:v>grid_wekqfxnd.xlsx</x:v>
      </x:c>
    </x:row>
    <x:row r="639">
      <x:c r="A639" s="15" t="n">
        <x:v>40483</x:v>
      </x:c>
      <x:c r="B639" s="13" t="str">
        <x:v>CPFL ENERGIA SA</x:v>
      </x:c>
      <x:c r="C639" s="16" t="n">
        <x:v>1553.5795996055</x:v>
      </x:c>
      <x:c r="D639" s="13" t="str">
        <x:v>Utilities &amp; Energy</x:v>
      </x:c>
      <x:c r="E639" s="13" t="str">
        <x:v>Utilities</x:v>
      </x:c>
      <x:c r="F639" s="13" t="str">
        <x:v>Defensives</x:v>
      </x:c>
      <x:c r="G639" s="13" t="str">
        <x:v>grid_wekqfxnd.xlsx</x:v>
      </x:c>
    </x:row>
    <x:row r="640">
      <x:c r="A640" s="15" t="n">
        <x:v>40483</x:v>
      </x:c>
      <x:c r="B640" s="13" t="str">
        <x:v>ISA ENERGIA BRASIL SA</x:v>
      </x:c>
      <x:c r="C640" s="16" t="n">
        <x:v>842.3495890411</x:v>
      </x:c>
      <x:c r="D640" s="13" t="str">
        <x:v>Utilities &amp; Energy</x:v>
      </x:c>
      <x:c r="E640" s="13" t="str">
        <x:v>Utilities</x:v>
      </x:c>
      <x:c r="F640" s="13" t="str">
        <x:v>Defensives</x:v>
      </x:c>
      <x:c r="G640" s="13" t="str">
        <x:v>grid_wekqfxnd.xlsx</x:v>
      </x:c>
    </x:row>
    <x:row r="641">
      <x:c r="A641" s="15" t="n">
        <x:v>40483</x:v>
      </x:c>
      <x:c r="B641" s="13" t="str">
        <x:v>LIGHT SA</x:v>
      </x:c>
      <x:c r="C641" s="16" t="n">
        <x:v>573.0095744</x:v>
      </x:c>
      <x:c r="D641" s="13" t="str">
        <x:v>Utilities &amp; Energy</x:v>
      </x:c>
      <x:c r="E641" s="13" t="str">
        <x:v>Utilities</x:v>
      </x:c>
      <x:c r="F641" s="13" t="str">
        <x:v>Defensives</x:v>
      </x:c>
      <x:c r="G641" s="13" t="str">
        <x:v>grid_wekqfxnd.xlsx</x:v>
      </x:c>
    </x:row>
    <x:row r="642">
      <x:c r="A642" s="15" t="n">
        <x:v>40513</x:v>
      </x:c>
      <x:c r="B642" s="13" t="str">
        <x:v>BANCO BRADESCO SA-PREF</x:v>
      </x:c>
      <x:c r="C642" s="16" t="n">
        <x:v>10902.4</x:v>
      </x:c>
      <x:c r="D642" s="13" t="str">
        <x:v>Banks</x:v>
      </x:c>
      <x:c r="E642" s="13" t="str">
        <x:v>Banks</x:v>
      </x:c>
      <x:c r="F642" s="13" t="str">
        <x:v>Financials</x:v>
      </x:c>
      <x:c r="G642" s="13" t="str">
        <x:v>grid_wekqfxnd.xlsx</x:v>
      </x:c>
    </x:row>
    <x:row r="643">
      <x:c r="A643" s="15" t="n">
        <x:v>40513</x:v>
      </x:c>
      <x:c r="B643" s="13" t="str">
        <x:v>BANCO DO BRASIL S.A.</x:v>
      </x:c>
      <x:c r="C643" s="16" t="n">
        <x:v>10865.999872</x:v>
      </x:c>
      <x:c r="D643" s="13" t="str">
        <x:v>Banks</x:v>
      </x:c>
      <x:c r="E643" s="13" t="str">
        <x:v>Banks</x:v>
      </x:c>
      <x:c r="F643" s="13" t="str">
        <x:v>Financials</x:v>
      </x:c>
      <x:c r="G643" s="13" t="str">
        <x:v>grid_wekqfxnd.xlsx</x:v>
      </x:c>
    </x:row>
    <x:row r="644">
      <x:c r="A644" s="15" t="n">
        <x:v>40513</x:v>
      </x:c>
      <x:c r="B644" s="13" t="str">
        <x:v>BANCO SANTANDER  BRASIL-UNIT</x:v>
      </x:c>
      <x:c r="C644" s="16" t="n">
        <x:v>7958.640128</x:v>
      </x:c>
      <x:c r="D644" s="13" t="str">
        <x:v>Banks</x:v>
      </x:c>
      <x:c r="E644" s="13" t="str">
        <x:v>Banks</x:v>
      </x:c>
      <x:c r="F644" s="13" t="str">
        <x:v>Financials</x:v>
      </x:c>
      <x:c r="G644" s="13" t="str">
        <x:v>grid_wekqfxnd.xlsx</x:v>
      </x:c>
    </x:row>
    <x:row r="645">
      <x:c r="A645" s="15" t="n">
        <x:v>40513</x:v>
      </x:c>
      <x:c r="B645" s="13" t="str">
        <x:v>ITAU UNIBANCO HOLDING S-PREF</x:v>
      </x:c>
      <x:c r="C645" s="16" t="n">
        <x:v>15392.600064</x:v>
      </x:c>
      <x:c r="D645" s="13" t="str">
        <x:v>Banks</x:v>
      </x:c>
      <x:c r="E645" s="13" t="str">
        <x:v>Banks</x:v>
      </x:c>
      <x:c r="F645" s="13" t="str">
        <x:v>Financials</x:v>
      </x:c>
      <x:c r="G645" s="13" t="str">
        <x:v>grid_wekqfxnd.xlsx</x:v>
      </x:c>
    </x:row>
    <x:row r="646">
      <x:c r="A646" s="15" t="n">
        <x:v>40513</x:v>
      </x:c>
      <x:c r="B646" s="13" t="str">
        <x:v>EMBRAER SA</x:v>
      </x:c>
      <x:c r="C646" s="16" t="n">
        <x:v>560.300032</x:v>
      </x:c>
      <x:c r="D646" s="13" t="str">
        <x:v>Capital Goods</x:v>
      </x:c>
      <x:c r="E646" s="13" t="str">
        <x:v>Capital Goods</x:v>
      </x:c>
      <x:c r="F646" s="13" t="str">
        <x:v>Deep Cyclicals</x:v>
      </x:c>
      <x:c r="G646" s="13" t="str">
        <x:v>grid_wekqfxnd.xlsx</x:v>
      </x:c>
    </x:row>
    <x:row r="647">
      <x:c r="A647" s="15" t="n">
        <x:v>40513</x:v>
      </x:c>
      <x:c r="B647" s="13" t="str">
        <x:v>B3 SA-BRASIL BOLSA BALCAO</x:v>
      </x:c>
      <x:c r="C647" s="16" t="n">
        <x:v>1612.88</x:v>
      </x:c>
      <x:c r="D647" s="13" t="str">
        <x:v>Financials Non-Banks</x:v>
      </x:c>
      <x:c r="E647" s="13" t="str">
        <x:v>Financials Non-Banks</x:v>
      </x:c>
      <x:c r="F647" s="13" t="str">
        <x:v>Financials</x:v>
      </x:c>
      <x:c r="G647" s="13" t="str">
        <x:v>grid_wekqfxnd.xlsx</x:v>
      </x:c>
    </x:row>
    <x:row r="648">
      <x:c r="A648" s="15" t="n">
        <x:v>40513</x:v>
      </x:c>
      <x:c r="B648" s="13" t="str">
        <x:v>CIELO SA - INSTITUICAO DE PA</x:v>
      </x:c>
      <x:c r="C648" s="16" t="n">
        <x:v>1765.190016</x:v>
      </x:c>
      <x:c r="D648" s="13" t="str">
        <x:v>Financials Non-Banks</x:v>
      </x:c>
      <x:c r="E648" s="13" t="str">
        <x:v>Financials Non-Banks</x:v>
      </x:c>
      <x:c r="F648" s="13" t="str">
        <x:v>Financials</x:v>
      </x:c>
      <x:c r="G648" s="13" t="str">
        <x:v>grid_wekqfxnd.xlsx</x:v>
      </x:c>
    </x:row>
    <x:row r="649">
      <x:c r="A649" s="15" t="n">
        <x:v>40513</x:v>
      </x:c>
      <x:c r="B649" s="13" t="str">
        <x:v>ITAUSA SA</x:v>
      </x:c>
      <x:c r="C649" s="16" t="n">
        <x:v>5923.330048</x:v>
      </x:c>
      <x:c r="D649" s="13" t="str">
        <x:v>Financials Non-Banks</x:v>
      </x:c>
      <x:c r="E649" s="13" t="str">
        <x:v>Financials Non-Banks</x:v>
      </x:c>
      <x:c r="F649" s="13" t="str">
        <x:v>Financials</x:v>
      </x:c>
      <x:c r="G649" s="13" t="str">
        <x:v>grid_wekqfxnd.xlsx</x:v>
      </x:c>
    </x:row>
    <x:row r="650">
      <x:c r="A650" s="15" t="n">
        <x:v>40513</x:v>
      </x:c>
      <x:c r="B650" s="13" t="str">
        <x:v>REDECARD INSTITUICAO DE PAGA</x:v>
      </x:c>
      <x:c r="C650" s="16" t="n">
        <x:v>1381.730048</x:v>
      </x:c>
      <x:c r="D650" s="13" t="str">
        <x:v>Financials Non-Banks</x:v>
      </x:c>
      <x:c r="E650" s="13" t="str">
        <x:v>Financials Non-Banks</x:v>
      </x:c>
      <x:c r="F650" s="13" t="str">
        <x:v>Financials</x:v>
      </x:c>
      <x:c r="G650" s="13" t="str">
        <x:v>grid_wekqfxnd.xlsx</x:v>
      </x:c>
    </x:row>
    <x:row r="651">
      <x:c r="A651" s="15" t="n">
        <x:v>40513</x:v>
      </x:c>
      <x:c r="B651" s="13" t="str">
        <x:v>AMBEV SA</x:v>
      </x:c>
      <x:c r="C651" s="16" t="n">
        <x:v>7763.61984</x:v>
      </x:c>
      <x:c r="D651" s="13" t="str">
        <x:v>Food &amp; Beverages</x:v>
      </x:c>
      <x:c r="E651" s="13" t="str">
        <x:v>Agri, Food &amp; Beverages</x:v>
      </x:c>
      <x:c r="F651" s="13" t="str">
        <x:v>Defensives</x:v>
      </x:c>
      <x:c r="G651" s="13" t="str">
        <x:v>grid_wekqfxnd.xlsx</x:v>
      </x:c>
    </x:row>
    <x:row r="652">
      <x:c r="A652" s="15" t="n">
        <x:v>40513</x:v>
      </x:c>
      <x:c r="B652" s="13" t="str">
        <x:v>BRF SA</x:v>
      </x:c>
      <x:c r="C652" s="16" t="n">
        <x:v>1060.4</x:v>
      </x:c>
      <x:c r="D652" s="13" t="str">
        <x:v>Food &amp; Beverages</x:v>
      </x:c>
      <x:c r="E652" s="13" t="str">
        <x:v>Agri, Food &amp; Beverages</x:v>
      </x:c>
      <x:c r="F652" s="13" t="str">
        <x:v>Defensives</x:v>
      </x:c>
      <x:c r="G652" s="13" t="str">
        <x:v>grid_wekqfxnd.xlsx</x:v>
      </x:c>
    </x:row>
    <x:row r="653">
      <x:c r="A653" s="15" t="n">
        <x:v>40513</x:v>
      </x:c>
      <x:c r="B653" s="13" t="str">
        <x:v>JBS SA</x:v>
      </x:c>
      <x:c r="C653" s="16" t="n">
        <x:v>1474</x:v>
      </x:c>
      <x:c r="D653" s="13" t="str">
        <x:v>Food &amp; Beverages</x:v>
      </x:c>
      <x:c r="E653" s="13" t="str">
        <x:v>Agri, Food &amp; Beverages</x:v>
      </x:c>
      <x:c r="F653" s="13" t="str">
        <x:v>Defensives</x:v>
      </x:c>
      <x:c r="G653" s="13" t="str">
        <x:v>grid_wekqfxnd.xlsx</x:v>
      </x:c>
    </x:row>
    <x:row r="654">
      <x:c r="A654" s="15" t="n">
        <x:v>40513</x:v>
      </x:c>
      <x:c r="B654" s="13" t="str">
        <x:v>MBRF GLOBAL FOODS COMPANY SA</x:v>
      </x:c>
      <x:c r="C654" s="16" t="n">
        <x:v>313.124992</x:v>
      </x:c>
      <x:c r="D654" s="13" t="str">
        <x:v>Food &amp; Beverages</x:v>
      </x:c>
      <x:c r="E654" s="13" t="str">
        <x:v>Agri, Food &amp; Beverages</x:v>
      </x:c>
      <x:c r="F654" s="13" t="str">
        <x:v>Defensives</x:v>
      </x:c>
      <x:c r="G654" s="13" t="str">
        <x:v>grid_wekqfxnd.xlsx</x:v>
      </x:c>
    </x:row>
    <x:row r="655">
      <x:c r="A655" s="15" t="n">
        <x:v>40513</x:v>
      </x:c>
      <x:c r="B655" s="13" t="str">
        <x:v>SOUZA CRUZ LTDA</x:v>
      </x:c>
      <x:c r="C655" s="16" t="n">
        <x:v>1616</x:v>
      </x:c>
      <x:c r="D655" s="13" t="str">
        <x:v>Food &amp; Beverages</x:v>
      </x:c>
      <x:c r="E655" s="13" t="str">
        <x:v>Agri, Food &amp; Beverages</x:v>
      </x:c>
      <x:c r="F655" s="13" t="str">
        <x:v>Defensives</x:v>
      </x:c>
      <x:c r="G655" s="13" t="str">
        <x:v>grid_wekqfxnd.xlsx</x:v>
      </x:c>
    </x:row>
    <x:row r="656">
      <x:c r="A656" s="15" t="n">
        <x:v>40513</x:v>
      </x:c>
      <x:c r="B656" s="13" t="str">
        <x:v>CYRELA BRAZIL REALTY SA EMP</x:v>
      </x:c>
      <x:c r="C656" s="16" t="n">
        <x:v>941.091008</x:v>
      </x:c>
      <x:c r="D656" s="13" t="str">
        <x:v>Homebuilders</x:v>
      </x:c>
      <x:c r="E656" s="13" t="str">
        <x:v>Real Estate</x:v>
      </x:c>
      <x:c r="F656" s="13" t="str">
        <x:v>Early Cyclicals</x:v>
      </x:c>
      <x:c r="G656" s="13" t="str">
        <x:v>grid_wekqfxnd.xlsx</x:v>
      </x:c>
    </x:row>
    <x:row r="657">
      <x:c r="A657" s="15" t="n">
        <x:v>40513</x:v>
      </x:c>
      <x:c r="B657" s="13" t="str">
        <x:v>GAFISA SA</x:v>
      </x:c>
      <x:c r="C657" s="16" t="n">
        <x:v>536.544992</x:v>
      </x:c>
      <x:c r="D657" s="13" t="str">
        <x:v>Homebuilders</x:v>
      </x:c>
      <x:c r="E657" s="13" t="str">
        <x:v>Real Estate</x:v>
      </x:c>
      <x:c r="F657" s="13" t="str">
        <x:v>Early Cyclicals</x:v>
      </x:c>
      <x:c r="G657" s="13" t="str">
        <x:v>grid_wekqfxnd.xlsx</x:v>
      </x:c>
    </x:row>
    <x:row r="658">
      <x:c r="A658" s="15" t="n">
        <x:v>40513</x:v>
      </x:c>
      <x:c r="B658" s="13" t="str">
        <x:v>MRV ENGENHARIA</x:v>
      </x:c>
      <x:c r="C658" s="16" t="n">
        <x:v>834.667008</x:v>
      </x:c>
      <x:c r="D658" s="13" t="str">
        <x:v>Homebuilders</x:v>
      </x:c>
      <x:c r="E658" s="13" t="str">
        <x:v>Real Estate</x:v>
      </x:c>
      <x:c r="F658" s="13" t="str">
        <x:v>Early Cyclicals</x:v>
      </x:c>
      <x:c r="G658" s="13" t="str">
        <x:v>grid_wekqfxnd.xlsx</x:v>
      </x:c>
    </x:row>
    <x:row r="659">
      <x:c r="A659" s="15" t="n">
        <x:v>40513</x:v>
      </x:c>
      <x:c r="B659" s="13" t="str">
        <x:v>PDG REALTY SA</x:v>
      </x:c>
      <x:c r="C659" s="16" t="n">
        <x:v>1222.919936</x:v>
      </x:c>
      <x:c r="D659" s="13" t="str">
        <x:v>Homebuilders</x:v>
      </x:c>
      <x:c r="E659" s="13" t="str">
        <x:v>Real Estate</x:v>
      </x:c>
      <x:c r="F659" s="13" t="str">
        <x:v>Early Cyclicals</x:v>
      </x:c>
      <x:c r="G659" s="13" t="str">
        <x:v>grid_wekqfxnd.xlsx</x:v>
      </x:c>
    </x:row>
    <x:row r="660">
      <x:c r="A660" s="15" t="n">
        <x:v>40513</x:v>
      </x:c>
      <x:c r="B660" s="13" t="str">
        <x:v>ROSSI RESIDENCIAL SA</x:v>
      </x:c>
      <x:c r="C660" s="16" t="n">
        <x:v>497.083008</x:v>
      </x:c>
      <x:c r="D660" s="13" t="str">
        <x:v>Homebuilders</x:v>
      </x:c>
      <x:c r="E660" s="13" t="str">
        <x:v>Real Estate</x:v>
      </x:c>
      <x:c r="F660" s="13" t="str">
        <x:v>Early Cyclicals</x:v>
      </x:c>
      <x:c r="G660" s="13" t="str">
        <x:v>grid_wekqfxnd.xlsx</x:v>
      </x:c>
    </x:row>
    <x:row r="661">
      <x:c r="A661" s="15" t="n">
        <x:v>40513</x:v>
      </x:c>
      <x:c r="B661" s="13" t="str">
        <x:v>TEGRA INCORPORADORA SA</x:v>
      </x:c>
      <x:c r="C661" s="16" t="n">
        <x:v>492.124992</x:v>
      </x:c>
      <x:c r="D661" s="13" t="str">
        <x:v>Homebuilders</x:v>
      </x:c>
      <x:c r="E661" s="13" t="str">
        <x:v>Real Estate</x:v>
      </x:c>
      <x:c r="F661" s="13" t="str">
        <x:v>Early Cyclicals</x:v>
      </x:c>
      <x:c r="G661" s="13" t="str">
        <x:v>grid_wekqfxnd.xlsx</x:v>
      </x:c>
    </x:row>
    <x:row r="662">
      <x:c r="A662" s="15" t="n">
        <x:v>40513</x:v>
      </x:c>
      <x:c r="B662" s="13" t="str">
        <x:v>BRADESPAR SA -PREF</x:v>
      </x:c>
      <x:c r="C662" s="16" t="n">
        <x:v>1690.499968</x:v>
      </x:c>
      <x:c r="D662" s="13" t="str">
        <x:v>Metals &amp; Mining</x:v>
      </x:c>
      <x:c r="E662" s="13" t="str">
        <x:v>Metals &amp; Mining</x:v>
      </x:c>
      <x:c r="F662" s="13" t="str">
        <x:v>Deep Cyclicals</x:v>
      </x:c>
      <x:c r="G662" s="13" t="str">
        <x:v>grid_wekqfxnd.xlsx</x:v>
      </x:c>
    </x:row>
    <x:row r="663">
      <x:c r="A663" s="15" t="n">
        <x:v>40513</x:v>
      </x:c>
      <x:c r="B663" s="13" t="str">
        <x:v>CIA SIDERURGICA NACIONAL SA</x:v>
      </x:c>
      <x:c r="C663" s="16" t="n">
        <x:v>4474.200064</x:v>
      </x:c>
      <x:c r="D663" s="13" t="str">
        <x:v>Metals &amp; Mining</x:v>
      </x:c>
      <x:c r="E663" s="13" t="str">
        <x:v>Metals &amp; Mining</x:v>
      </x:c>
      <x:c r="F663" s="13" t="str">
        <x:v>Deep Cyclicals</x:v>
      </x:c>
      <x:c r="G663" s="13" t="str">
        <x:v>grid_wekqfxnd.xlsx</x:v>
      </x:c>
    </x:row>
    <x:row r="664">
      <x:c r="A664" s="15" t="n">
        <x:v>40513</x:v>
      </x:c>
      <x:c r="B664" s="13" t="str">
        <x:v>GERDAU SA-PREF</x:v>
      </x:c>
      <x:c r="C664" s="16" t="n">
        <x:v>2806.000128</x:v>
      </x:c>
      <x:c r="D664" s="13" t="str">
        <x:v>Metals &amp; Mining</x:v>
      </x:c>
      <x:c r="E664" s="13" t="str">
        <x:v>Metals &amp; Mining</x:v>
      </x:c>
      <x:c r="F664" s="13" t="str">
        <x:v>Deep Cyclicals</x:v>
      </x:c>
      <x:c r="G664" s="13" t="str">
        <x:v>grid_wekqfxnd.xlsx</x:v>
      </x:c>
    </x:row>
    <x:row r="665">
      <x:c r="A665" s="15" t="n">
        <x:v>40513</x:v>
      </x:c>
      <x:c r="B665" s="13" t="str">
        <x:v>METALURGICA GERDAU SA-PREF</x:v>
      </x:c>
      <x:c r="C665" s="16" t="n">
        <x:v>627</x:v>
      </x:c>
      <x:c r="D665" s="13" t="str">
        <x:v>Metals &amp; Mining</x:v>
      </x:c>
      <x:c r="E665" s="13" t="str">
        <x:v>Metals &amp; Mining</x:v>
      </x:c>
      <x:c r="F665" s="13" t="str">
        <x:v>Deep Cyclicals</x:v>
      </x:c>
      <x:c r="G665" s="13" t="str">
        <x:v>grid_wekqfxnd.xlsx</x:v>
      </x:c>
    </x:row>
    <x:row r="666">
      <x:c r="A666" s="15" t="n">
        <x:v>40513</x:v>
      </x:c>
      <x:c r="B666" s="13" t="str">
        <x:v>MMX MINERACAO E METALICOS SA</x:v>
      </x:c>
      <x:c r="C666" s="16" t="n">
        <x:v>280.7</x:v>
      </x:c>
      <x:c r="D666" s="13" t="str">
        <x:v>Metals &amp; Mining</x:v>
      </x:c>
      <x:c r="E666" s="13" t="str">
        <x:v>Metals &amp; Mining</x:v>
      </x:c>
      <x:c r="F666" s="13" t="str">
        <x:v>Deep Cyclicals</x:v>
      </x:c>
      <x:c r="G666" s="13" t="str">
        <x:v>grid_wekqfxnd.xlsx</x:v>
      </x:c>
    </x:row>
    <x:row r="667">
      <x:c r="A667" s="15" t="n">
        <x:v>40513</x:v>
      </x:c>
      <x:c r="B667" s="13" t="str">
        <x:v>USINAS SIDER MINAS GER-PF A</x:v>
      </x:c>
      <x:c r="C667" s="16" t="n">
        <x:v>2066.530048</x:v>
      </x:c>
      <x:c r="D667" s="13" t="str">
        <x:v>Metals &amp; Mining</x:v>
      </x:c>
      <x:c r="E667" s="13" t="str">
        <x:v>Metals &amp; Mining</x:v>
      </x:c>
      <x:c r="F667" s="13" t="str">
        <x:v>Deep Cyclicals</x:v>
      </x:c>
      <x:c r="G667" s="13" t="str">
        <x:v>grid_wekqfxnd.xlsx</x:v>
      </x:c>
    </x:row>
    <x:row r="668">
      <x:c r="A668" s="15" t="n">
        <x:v>40513</x:v>
      </x:c>
      <x:c r="B668" s="13" t="str">
        <x:v>USINAS SIDERURGICAS DE MINAS</x:v>
      </x:c>
      <x:c r="C668" s="16" t="n">
        <x:v>2066.530048</x:v>
      </x:c>
      <x:c r="D668" s="13" t="str">
        <x:v>Metals &amp; Mining</x:v>
      </x:c>
      <x:c r="E668" s="13" t="str">
        <x:v>Metals &amp; Mining</x:v>
      </x:c>
      <x:c r="F668" s="13" t="str">
        <x:v>Deep Cyclicals</x:v>
      </x:c>
      <x:c r="G668" s="13" t="str">
        <x:v>grid_wekqfxnd.xlsx</x:v>
      </x:c>
    </x:row>
    <x:row r="669">
      <x:c r="A669" s="15" t="n">
        <x:v>40513</x:v>
      </x:c>
      <x:c r="B669" s="13" t="str">
        <x:v>VALE SA</x:v>
      </x:c>
      <x:c r="C669" s="16" t="n">
        <x:v>38407.70048</x:v>
      </x:c>
      <x:c r="D669" s="13" t="str">
        <x:v>Metals &amp; Mining</x:v>
      </x:c>
      <x:c r="E669" s="13" t="str">
        <x:v>Metals &amp; Mining</x:v>
      </x:c>
      <x:c r="F669" s="13" t="str">
        <x:v>Deep Cyclicals</x:v>
      </x:c>
      <x:c r="G669" s="13" t="str">
        <x:v>grid_wekqfxnd.xlsx</x:v>
      </x:c>
    </x:row>
    <x:row r="670">
      <x:c r="A670" s="15" t="n">
        <x:v>40513</x:v>
      </x:c>
      <x:c r="B670" s="13" t="str">
        <x:v>BRASKEM SA-PREF A</x:v>
      </x:c>
      <x:c r="C670" s="16" t="n">
        <x:v>561.8</x:v>
      </x:c>
      <x:c r="D670" s="13" t="str">
        <x:v>Oil, Gas &amp; Petrochemicals</x:v>
      </x:c>
      <x:c r="E670" s="13" t="str">
        <x:v>Oil, Gas &amp; Petrochemicals</x:v>
      </x:c>
      <x:c r="F670" s="13" t="str">
        <x:v>Deep Cyclicals</x:v>
      </x:c>
      <x:c r="G670" s="13" t="str">
        <x:v>grid_wekqfxnd.xlsx</x:v>
      </x:c>
    </x:row>
    <x:row r="671">
      <x:c r="A671" s="15" t="n">
        <x:v>40513</x:v>
      </x:c>
      <x:c r="B671" s="13" t="str">
        <x:v>COSAN SA</x:v>
      </x:c>
      <x:c r="C671" s="16" t="n">
        <x:v>1267.000064</x:v>
      </x:c>
      <x:c r="D671" s="13" t="str">
        <x:v>Oil, Gas &amp; Petrochemicals</x:v>
      </x:c>
      <x:c r="E671" s="13" t="str">
        <x:v>Oil, Gas &amp; Petrochemicals</x:v>
      </x:c>
      <x:c r="F671" s="13" t="str">
        <x:v>Deep Cyclicals</x:v>
      </x:c>
      <x:c r="G671" s="13" t="str">
        <x:v>grid_wekqfxnd.xlsx</x:v>
      </x:c>
    </x:row>
    <x:row r="672">
      <x:c r="A672" s="15" t="n">
        <x:v>40513</x:v>
      </x:c>
      <x:c r="B672" s="13" t="str">
        <x:v>OLEO E GAS PARTICIPACOES SA</x:v>
      </x:c>
      <x:c r="C672" s="16" t="n">
        <x:v>244</x:v>
      </x:c>
      <x:c r="D672" s="13" t="str">
        <x:v>Oil, Gas &amp; Petrochemicals</x:v>
      </x:c>
      <x:c r="E672" s="13" t="str">
        <x:v>Oil, Gas &amp; Petrochemicals</x:v>
      </x:c>
      <x:c r="F672" s="13" t="str">
        <x:v>Deep Cyclicals</x:v>
      </x:c>
      <x:c r="G672" s="13" t="str">
        <x:v>grid_wekqfxnd.xlsx</x:v>
      </x:c>
    </x:row>
    <x:row r="673">
      <x:c r="A673" s="15" t="n">
        <x:v>40513</x:v>
      </x:c>
      <x:c r="B673" s="13" t="str">
        <x:v>PETROBRAS - PETROLEO BRAS</x:v>
      </x:c>
      <x:c r="C673" s="16" t="n">
        <x:v>35806.298112</x:v>
      </x:c>
      <x:c r="D673" s="13" t="str">
        <x:v>Oil, Gas &amp; Petrochemicals</x:v>
      </x:c>
      <x:c r="E673" s="13" t="str">
        <x:v>Oil, Gas &amp; Petrochemicals</x:v>
      </x:c>
      <x:c r="F673" s="13" t="str">
        <x:v>Deep Cyclicals</x:v>
      </x:c>
      <x:c r="G673" s="13" t="str">
        <x:v>grid_wekqfxnd.xlsx</x:v>
      </x:c>
    </x:row>
    <x:row r="674">
      <x:c r="A674" s="15" t="n">
        <x:v>40513</x:v>
      </x:c>
      <x:c r="B674" s="13" t="str">
        <x:v>ULTRAPAR PARTICIPACOES-PREF</x:v>
      </x:c>
      <x:c r="C674" s="16" t="n">
        <x:v>866.667008</x:v>
      </x:c>
      <x:c r="D674" s="13" t="str">
        <x:v>Oil, Gas &amp; Petrochemicals</x:v>
      </x:c>
      <x:c r="E674" s="13" t="str">
        <x:v>Oil, Gas &amp; Petrochemicals</x:v>
      </x:c>
      <x:c r="F674" s="13" t="str">
        <x:v>Deep Cyclicals</x:v>
      </x:c>
      <x:c r="G674" s="13" t="str">
        <x:v>grid_wekqfxnd.xlsx</x:v>
      </x:c>
    </x:row>
    <x:row r="675">
      <x:c r="A675" s="15" t="n">
        <x:v>40513</x:v>
      </x:c>
      <x:c r="B675" s="13" t="str">
        <x:v>DEXCO SA</x:v>
      </x:c>
      <x:c r="C675" s="16" t="n">
        <x:v>491.888992</x:v>
      </x:c>
      <x:c r="D675" s="13" t="str">
        <x:v>Pulp &amp; Paper</x:v>
      </x:c>
      <x:c r="E675" s="13" t="str">
        <x:v>Pulp &amp; Paper</x:v>
      </x:c>
      <x:c r="F675" s="13" t="str">
        <x:v>Deep Cyclicals</x:v>
      </x:c>
      <x:c r="G675" s="13" t="str">
        <x:v>grid_wekqfxnd.xlsx</x:v>
      </x:c>
    </x:row>
    <x:row r="676">
      <x:c r="A676" s="15" t="n">
        <x:v>40513</x:v>
      </x:c>
      <x:c r="B676" s="13" t="str">
        <x:v>FIBRIA CELULOSE S/A</x:v>
      </x:c>
      <x:c r="C676" s="16" t="n">
        <x:v>624.499968</x:v>
      </x:c>
      <x:c r="D676" s="13" t="str">
        <x:v>Pulp &amp; Paper</x:v>
      </x:c>
      <x:c r="E676" s="13" t="str">
        <x:v>Pulp &amp; Paper</x:v>
      </x:c>
      <x:c r="F676" s="13" t="str">
        <x:v>Deep Cyclicals</x:v>
      </x:c>
      <x:c r="G676" s="13" t="str">
        <x:v>grid_wekqfxnd.xlsx</x:v>
      </x:c>
    </x:row>
    <x:row r="677">
      <x:c r="A677" s="15" t="n">
        <x:v>40513</x:v>
      </x:c>
      <x:c r="B677" s="13" t="str">
        <x:v>AMERICANAS SA</x:v>
      </x:c>
      <x:c r="C677" s="16" t="n">
        <x:v>89.176896</x:v>
      </x:c>
      <x:c r="D677" s="13" t="str">
        <x:v>Retail</x:v>
      </x:c>
      <x:c r="E677" s="13" t="str">
        <x:v>Retail</x:v>
      </x:c>
      <x:c r="F677" s="13" t="str">
        <x:v>Early Cyclicals</x:v>
      </x:c>
      <x:c r="G677" s="13" t="str">
        <x:v>grid_wekqfxnd.xlsx</x:v>
      </x:c>
    </x:row>
    <x:row r="678">
      <x:c r="A678" s="15" t="n">
        <x:v>40513</x:v>
      </x:c>
      <x:c r="B678" s="13" t="str">
        <x:v>CIA BRASILEIRA DE DIS-PREF</x:v>
      </x:c>
      <x:c r="C678" s="16" t="n">
        <x:v>769.4</x:v>
      </x:c>
      <x:c r="D678" s="13" t="str">
        <x:v>Retail</x:v>
      </x:c>
      <x:c r="E678" s="13" t="str">
        <x:v>Retail</x:v>
      </x:c>
      <x:c r="F678" s="13" t="str">
        <x:v>Early Cyclicals</x:v>
      </x:c>
      <x:c r="G678" s="13" t="str">
        <x:v>grid_wekqfxnd.xlsx</x:v>
      </x:c>
    </x:row>
    <x:row r="679">
      <x:c r="A679" s="15" t="n">
        <x:v>40513</x:v>
      </x:c>
      <x:c r="B679" s="13" t="str">
        <x:v>LOJAS AMERICANAS SA-PREF</x:v>
      </x:c>
      <x:c r="C679" s="16" t="n">
        <x:v>355.867008</x:v>
      </x:c>
      <x:c r="D679" s="13" t="str">
        <x:v>Retail</x:v>
      </x:c>
      <x:c r="E679" s="13" t="str">
        <x:v>Retail</x:v>
      </x:c>
      <x:c r="F679" s="13" t="str">
        <x:v>Early Cyclicals</x:v>
      </x:c>
      <x:c r="G679" s="13" t="str">
        <x:v>grid_wekqfxnd.xlsx</x:v>
      </x:c>
    </x:row>
    <x:row r="680">
      <x:c r="A680" s="15" t="n">
        <x:v>40513</x:v>
      </x:c>
      <x:c r="B680" s="13" t="str">
        <x:v>LOJAS RENNER S.A.</x:v>
      </x:c>
      <x:c r="C680" s="16" t="n">
        <x:v>340.867008</x:v>
      </x:c>
      <x:c r="D680" s="13" t="str">
        <x:v>Retail</x:v>
      </x:c>
      <x:c r="E680" s="13" t="str">
        <x:v>Retail</x:v>
      </x:c>
      <x:c r="F680" s="13" t="str">
        <x:v>Early Cyclicals</x:v>
      </x:c>
      <x:c r="G680" s="13" t="str">
        <x:v>grid_wekqfxnd.xlsx</x:v>
      </x:c>
    </x:row>
    <x:row r="681">
      <x:c r="A681" s="15" t="n">
        <x:v>40513</x:v>
      </x:c>
      <x:c r="B681" s="13" t="str">
        <x:v>NATURA COSMETICOS SA</x:v>
      </x:c>
      <x:c r="C681" s="16" t="n">
        <x:v>876.499968</x:v>
      </x:c>
      <x:c r="D681" s="13" t="str">
        <x:v>Retail</x:v>
      </x:c>
      <x:c r="E681" s="13" t="str">
        <x:v>Retail</x:v>
      </x:c>
      <x:c r="F681" s="13" t="str">
        <x:v>Early Cyclicals</x:v>
      </x:c>
      <x:c r="G681" s="13" t="str">
        <x:v>grid_wekqfxnd.xlsx</x:v>
      </x:c>
    </x:row>
    <x:row r="682">
      <x:c r="A682" s="15" t="n">
        <x:v>40513</x:v>
      </x:c>
      <x:c r="B682" s="13" t="str">
        <x:v>CIA SANEAMENTO BASICO DE SP</x:v>
      </x:c>
      <x:c r="C682" s="16" t="n">
        <x:v>1378.550016</x:v>
      </x:c>
      <x:c r="D682" s="13" t="str">
        <x:v>Sanitation</x:v>
      </x:c>
      <x:c r="E682" s="13" t="str">
        <x:v>Utilities</x:v>
      </x:c>
      <x:c r="F682" s="13" t="str">
        <x:v>Defensives</x:v>
      </x:c>
      <x:c r="G682" s="13" t="str">
        <x:v>grid_wekqfxnd.xlsx</x:v>
      </x:c>
    </x:row>
    <x:row r="683">
      <x:c r="A683" s="15" t="n">
        <x:v>40513</x:v>
      </x:c>
      <x:c r="B683" s="13" t="str">
        <x:v>OI SA-PREFERENCE</x:v>
      </x:c>
      <x:c r="C683" s="16" t="n">
        <x:v>1212.669952</x:v>
      </x:c>
      <x:c r="D683" s="13" t="str">
        <x:v>TMT</x:v>
      </x:c>
      <x:c r="E683" s="13" t="str">
        <x:v>TMT</x:v>
      </x:c>
      <x:c r="F683" s="13" t="str">
        <x:v>Early Cyclicals</x:v>
      </x:c>
      <x:c r="G683" s="13" t="str">
        <x:v>grid_wekqfxnd.xlsx</x:v>
      </x:c>
    </x:row>
    <x:row r="684">
      <x:c r="A684" s="15" t="n">
        <x:v>40513</x:v>
      </x:c>
      <x:c r="B684" s="13" t="str">
        <x:v>TELE NORTE LESTE PART</x:v>
      </x:c>
      <x:c r="C684" s="16" t="n">
        <x:v>1731.399936</x:v>
      </x:c>
      <x:c r="D684" s="13" t="str">
        <x:v>TMT</x:v>
      </x:c>
      <x:c r="E684" s="13" t="str">
        <x:v>TMT</x:v>
      </x:c>
      <x:c r="F684" s="13" t="str">
        <x:v>Early Cyclicals</x:v>
      </x:c>
      <x:c r="G684" s="13" t="str">
        <x:v>grid_wekqfxnd.xlsx</x:v>
      </x:c>
    </x:row>
    <x:row r="685">
      <x:c r="A685" s="15" t="n">
        <x:v>40513</x:v>
      </x:c>
      <x:c r="B685" s="13" t="str">
        <x:v>TELEFONICA BRASIL S.A.-PREF</x:v>
      </x:c>
      <x:c r="C685" s="16" t="n">
        <x:v>2196.400128</x:v>
      </x:c>
      <x:c r="D685" s="13" t="str">
        <x:v>TMT</x:v>
      </x:c>
      <x:c r="E685" s="13" t="str">
        <x:v>TMT</x:v>
      </x:c>
      <x:c r="F685" s="13" t="str">
        <x:v>Early Cyclicals</x:v>
      </x:c>
      <x:c r="G685" s="13" t="str">
        <x:v>grid_wekqfxnd.xlsx</x:v>
      </x:c>
    </x:row>
    <x:row r="686">
      <x:c r="A686" s="15" t="n">
        <x:v>40513</x:v>
      </x:c>
      <x:c r="B686" s="13" t="str">
        <x:v>TELEMAR NORTE LESTE SA</x:v>
      </x:c>
      <x:c r="C686" s="16" t="n">
        <x:v>2228.169984</x:v>
      </x:c>
      <x:c r="D686" s="13" t="str">
        <x:v>TMT</x:v>
      </x:c>
      <x:c r="E686" s="13" t="str">
        <x:v>TMT</x:v>
      </x:c>
      <x:c r="F686" s="13" t="str">
        <x:v>Early Cyclicals</x:v>
      </x:c>
      <x:c r="G686" s="13" t="str">
        <x:v>grid_wekqfxnd.xlsx</x:v>
      </x:c>
    </x:row>
    <x:row r="687">
      <x:c r="A687" s="15" t="n">
        <x:v>40513</x:v>
      </x:c>
      <x:c r="B687" s="13" t="str">
        <x:v>TIM PARTICIPACOES SA-PREF</x:v>
      </x:c>
      <x:c r="C687" s="16" t="n">
        <x:v>850.846016</x:v>
      </x:c>
      <x:c r="D687" s="13" t="str">
        <x:v>TMT</x:v>
      </x:c>
      <x:c r="E687" s="13" t="str">
        <x:v>TMT</x:v>
      </x:c>
      <x:c r="F687" s="13" t="str">
        <x:v>Early Cyclicals</x:v>
      </x:c>
      <x:c r="G687" s="13" t="str">
        <x:v>grid_wekqfxnd.xlsx</x:v>
      </x:c>
    </x:row>
    <x:row r="688">
      <x:c r="A688" s="15" t="n">
        <x:v>40513</x:v>
      </x:c>
      <x:c r="B688" s="13" t="str">
        <x:v>TIM SA</x:v>
      </x:c>
      <x:c r="C688" s="16" t="n">
        <x:v>850.846016</x:v>
      </x:c>
      <x:c r="D688" s="13" t="str">
        <x:v>TMT</x:v>
      </x:c>
      <x:c r="E688" s="13" t="str">
        <x:v>TMT</x:v>
      </x:c>
      <x:c r="F688" s="13" t="str">
        <x:v>Early Cyclicals</x:v>
      </x:c>
      <x:c r="G688" s="13" t="str">
        <x:v>grid_wekqfxnd.xlsx</x:v>
      </x:c>
    </x:row>
    <x:row r="689">
      <x:c r="A689" s="15" t="n">
        <x:v>40513</x:v>
      </x:c>
      <x:c r="B689" s="13" t="str">
        <x:v>VIVO PARTICIPACOES SA-PREF</x:v>
      </x:c>
      <x:c r="C689" s="16" t="n">
        <x:v>1837.090048</x:v>
      </x:c>
      <x:c r="D689" s="13" t="str">
        <x:v>TMT</x:v>
      </x:c>
      <x:c r="E689" s="13" t="str">
        <x:v>TMT</x:v>
      </x:c>
      <x:c r="F689" s="13" t="str">
        <x:v>Early Cyclicals</x:v>
      </x:c>
      <x:c r="G689" s="13" t="str">
        <x:v>grid_wekqfxnd.xlsx</x:v>
      </x:c>
    </x:row>
    <x:row r="690">
      <x:c r="A690" s="15" t="n">
        <x:v>40513</x:v>
      </x:c>
      <x:c r="B690" s="13" t="str">
        <x:v>GOL LINHAS AEREAS INT SA-PRE</x:v>
      </x:c>
      <x:c r="C690" s="16" t="n">
        <x:v>469.768992</x:v>
      </x:c>
      <x:c r="D690" s="13" t="str">
        <x:v>Transportation</x:v>
      </x:c>
      <x:c r="E690" s="13" t="str">
        <x:v>Transportation</x:v>
      </x:c>
      <x:c r="F690" s="13" t="str">
        <x:v>Deep Cyclicals</x:v>
      </x:c>
      <x:c r="G690" s="13" t="str">
        <x:v>grid_wekqfxnd.xlsx</x:v>
      </x:c>
    </x:row>
    <x:row r="691">
      <x:c r="A691" s="15" t="n">
        <x:v>40513</x:v>
      </x:c>
      <x:c r="B691" s="13" t="str">
        <x:v>MOTIVA INFRAESTRUTURA DE MOB</x:v>
      </x:c>
      <x:c r="C691" s="16" t="n">
        <x:v>1026.6</x:v>
      </x:c>
      <x:c r="D691" s="13" t="str">
        <x:v>Transportation</x:v>
      </x:c>
      <x:c r="E691" s="13" t="str">
        <x:v>Transportation</x:v>
      </x:c>
      <x:c r="F691" s="13" t="str">
        <x:v>Deep Cyclicals</x:v>
      </x:c>
      <x:c r="G691" s="13" t="str">
        <x:v>grid_wekqfxnd.xlsx</x:v>
      </x:c>
    </x:row>
    <x:row r="692">
      <x:c r="A692" s="15" t="n">
        <x:v>40513</x:v>
      </x:c>
      <x:c r="B692" s="13" t="str">
        <x:v>PRUMO LOGISTICA SA</x:v>
      </x:c>
      <x:c r="C692" s="16" t="n">
        <x:v>-68.783296</x:v>
      </x:c>
      <x:c r="D692" s="13" t="str">
        <x:v>Transportation</x:v>
      </x:c>
      <x:c r="E692" s="13" t="str">
        <x:v>Transportation</x:v>
      </x:c>
      <x:c r="F692" s="13" t="str">
        <x:v>Deep Cyclicals</x:v>
      </x:c>
      <x:c r="G692" s="13" t="str">
        <x:v>grid_wekqfxnd.xlsx</x:v>
      </x:c>
    </x:row>
    <x:row r="693">
      <x:c r="A693" s="15" t="n">
        <x:v>40513</x:v>
      </x:c>
      <x:c r="B693" s="13" t="str">
        <x:v>RUMO SA</x:v>
      </x:c>
      <x:c r="C693" s="16" t="n">
        <x:v>271.332992</x:v>
      </x:c>
      <x:c r="D693" s="13" t="str">
        <x:v>Transportation</x:v>
      </x:c>
      <x:c r="E693" s="13" t="str">
        <x:v>Transportation</x:v>
      </x:c>
      <x:c r="F693" s="13" t="str">
        <x:v>Deep Cyclicals</x:v>
      </x:c>
      <x:c r="G693" s="13" t="str">
        <x:v>grid_wekqfxnd.xlsx</x:v>
      </x:c>
    </x:row>
    <x:row r="694">
      <x:c r="A694" s="15" t="n">
        <x:v>40513</x:v>
      </x:c>
      <x:c r="B694" s="13" t="str">
        <x:v>TAM SA-PREF</x:v>
      </x:c>
      <x:c r="C694" s="16" t="n">
        <x:v>269.111008</x:v>
      </x:c>
      <x:c r="D694" s="13" t="str">
        <x:v>Transportation</x:v>
      </x:c>
      <x:c r="E694" s="13" t="str">
        <x:v>Transportation</x:v>
      </x:c>
      <x:c r="F694" s="13" t="str">
        <x:v>Deep Cyclicals</x:v>
      </x:c>
      <x:c r="G694" s="13" t="str">
        <x:v>grid_wekqfxnd.xlsx</x:v>
      </x:c>
    </x:row>
    <x:row r="695">
      <x:c r="A695" s="15" t="n">
        <x:v>40513</x:v>
      </x:c>
      <x:c r="B695" s="13" t="str">
        <x:v>AXIA ENERGIA SA</x:v>
      </x:c>
      <x:c r="C695" s="16" t="n">
        <x:v>3376.329984</x:v>
      </x:c>
      <x:c r="D695" s="13" t="str">
        <x:v>Utilities &amp; Energy</x:v>
      </x:c>
      <x:c r="E695" s="13" t="str">
        <x:v>Utilities</x:v>
      </x:c>
      <x:c r="F695" s="13" t="str">
        <x:v>Defensives</x:v>
      </x:c>
      <x:c r="G695" s="13" t="str">
        <x:v>grid_wekqfxnd.xlsx</x:v>
      </x:c>
    </x:row>
    <x:row r="696">
      <x:c r="A696" s="15" t="n">
        <x:v>40513</x:v>
      </x:c>
      <x:c r="B696" s="13" t="str">
        <x:v>AXIA ENERGIA-PR B</x:v>
      </x:c>
      <x:c r="C696" s="16" t="n">
        <x:v>3376.329984</x:v>
      </x:c>
      <x:c r="D696" s="13" t="str">
        <x:v>Utilities &amp; Energy</x:v>
      </x:c>
      <x:c r="E696" s="13" t="str">
        <x:v>Utilities</x:v>
      </x:c>
      <x:c r="F696" s="13" t="str">
        <x:v>Defensives</x:v>
      </x:c>
      <x:c r="G696" s="13" t="str">
        <x:v>grid_wekqfxnd.xlsx</x:v>
      </x:c>
    </x:row>
    <x:row r="697">
      <x:c r="A697" s="15" t="n">
        <x:v>40513</x:v>
      </x:c>
      <x:c r="B697" s="13" t="str">
        <x:v>CESP - CIA ENERGETICA DE SAO</x:v>
      </x:c>
      <x:c r="C697" s="16" t="n">
        <x:v>650.785984</x:v>
      </x:c>
      <x:c r="D697" s="13" t="str">
        <x:v>Utilities &amp; Energy</x:v>
      </x:c>
      <x:c r="E697" s="13" t="str">
        <x:v>Utilities</x:v>
      </x:c>
      <x:c r="F697" s="13" t="str">
        <x:v>Defensives</x:v>
      </x:c>
      <x:c r="G697" s="13" t="str">
        <x:v>grid_wekqfxnd.xlsx</x:v>
      </x:c>
    </x:row>
    <x:row r="698">
      <x:c r="A698" s="15" t="n">
        <x:v>40513</x:v>
      </x:c>
      <x:c r="B698" s="13" t="str">
        <x:v>CIA ENERGETICA MINAS GER-PRF</x:v>
      </x:c>
      <x:c r="C698" s="16" t="n">
        <x:v>2084.230016</x:v>
      </x:c>
      <x:c r="D698" s="13" t="str">
        <x:v>Utilities &amp; Energy</x:v>
      </x:c>
      <x:c r="E698" s="13" t="str">
        <x:v>Utilities</x:v>
      </x:c>
      <x:c r="F698" s="13" t="str">
        <x:v>Defensives</x:v>
      </x:c>
      <x:c r="G698" s="13" t="str">
        <x:v>grid_wekqfxnd.xlsx</x:v>
      </x:c>
    </x:row>
    <x:row r="699">
      <x:c r="A699" s="15" t="n">
        <x:v>40513</x:v>
      </x:c>
      <x:c r="B699" s="13" t="str">
        <x:v>COMPANHIA PARANAENSE -PREF B</x:v>
      </x:c>
      <x:c r="C699" s="16" t="n">
        <x:v>1187.769984</x:v>
      </x:c>
      <x:c r="D699" s="13" t="str">
        <x:v>Utilities &amp; Energy</x:v>
      </x:c>
      <x:c r="E699" s="13" t="str">
        <x:v>Utilities</x:v>
      </x:c>
      <x:c r="F699" s="13" t="str">
        <x:v>Defensives</x:v>
      </x:c>
      <x:c r="G699" s="13" t="str">
        <x:v>grid_wekqfxnd.xlsx</x:v>
      </x:c>
    </x:row>
    <x:row r="700">
      <x:c r="A700" s="15" t="n">
        <x:v>40513</x:v>
      </x:c>
      <x:c r="B700" s="13" t="str">
        <x:v>CPFL ENERGIA SA</x:v>
      </x:c>
      <x:c r="C700" s="16" t="n">
        <x:v>1576</x:v>
      </x:c>
      <x:c r="D700" s="13" t="str">
        <x:v>Utilities &amp; Energy</x:v>
      </x:c>
      <x:c r="E700" s="13" t="str">
        <x:v>Utilities</x:v>
      </x:c>
      <x:c r="F700" s="13" t="str">
        <x:v>Defensives</x:v>
      </x:c>
      <x:c r="G700" s="13" t="str">
        <x:v>grid_wekqfxnd.xlsx</x:v>
      </x:c>
    </x:row>
    <x:row r="701">
      <x:c r="A701" s="15" t="n">
        <x:v>40513</x:v>
      </x:c>
      <x:c r="B701" s="13" t="str">
        <x:v>ELETROPAULO METROPOLI-PREF</x:v>
      </x:c>
      <x:c r="C701" s="16" t="n">
        <x:v>643.428992</x:v>
      </x:c>
      <x:c r="D701" s="13" t="str">
        <x:v>Utilities &amp; Energy</x:v>
      </x:c>
      <x:c r="E701" s="13" t="str">
        <x:v>Utilities</x:v>
      </x:c>
      <x:c r="F701" s="13" t="str">
        <x:v>Defensives</x:v>
      </x:c>
      <x:c r="G701" s="13" t="str">
        <x:v>grid_wekqfxnd.xlsx</x:v>
      </x:c>
    </x:row>
    <x:row r="702">
      <x:c r="A702" s="15" t="n">
        <x:v>40513</x:v>
      </x:c>
      <x:c r="B702" s="13" t="str">
        <x:v>ISA ENERGIA BRASIL SA</x:v>
      </x:c>
      <x:c r="C702" s="16" t="n">
        <x:v>847.6</x:v>
      </x:c>
      <x:c r="D702" s="13" t="str">
        <x:v>Utilities &amp; Energy</x:v>
      </x:c>
      <x:c r="E702" s="13" t="str">
        <x:v>Utilities</x:v>
      </x:c>
      <x:c r="F702" s="13" t="str">
        <x:v>Defensives</x:v>
      </x:c>
      <x:c r="G702" s="13" t="str">
        <x:v>grid_wekqfxnd.xlsx</x:v>
      </x:c>
    </x:row>
    <x:row r="703">
      <x:c r="A703" s="15" t="n">
        <x:v>40513</x:v>
      </x:c>
      <x:c r="B703" s="13" t="str">
        <x:v>LIGHT SA</x:v>
      </x:c>
      <x:c r="C703" s="16" t="n">
        <x:v>578.750016</x:v>
      </x:c>
      <x:c r="D703" s="13" t="str">
        <x:v>Utilities &amp; Energy</x:v>
      </x:c>
      <x:c r="E703" s="13" t="str">
        <x:v>Utilities</x:v>
      </x:c>
      <x:c r="F703" s="13" t="str">
        <x:v>Defensives</x:v>
      </x:c>
      <x:c r="G703" s="13" t="str">
        <x:v>grid_wekqfxnd.xlsx</x:v>
      </x:c>
    </x:row>
    <x:row r="704">
      <x:c r="A704" s="15" t="n">
        <x:v>40544</x:v>
      </x:c>
      <x:c r="B704" s="13" t="str">
        <x:v>BANCO BRADESCO SA-PREF</x:v>
      </x:c>
      <x:c r="C704" s="16" t="n">
        <x:v>11262.6571946667</x:v>
      </x:c>
      <x:c r="D704" s="13" t="str">
        <x:v>Banks</x:v>
      </x:c>
      <x:c r="E704" s="13" t="str">
        <x:v>Banks</x:v>
      </x:c>
      <x:c r="F704" s="13" t="str">
        <x:v>Financials</x:v>
      </x:c>
      <x:c r="G704" s="13" t="str">
        <x:v>grid_wekqfxnd.xlsx</x:v>
      </x:c>
    </x:row>
    <x:row r="705">
      <x:c r="A705" s="15" t="n">
        <x:v>40544</x:v>
      </x:c>
      <x:c r="B705" s="13" t="str">
        <x:v>BANCO DO BRASIL S.A.</x:v>
      </x:c>
      <x:c r="C705" s="16" t="n">
        <x:v>11282.0150529399</x:v>
      </x:c>
      <x:c r="D705" s="13" t="str">
        <x:v>Banks</x:v>
      </x:c>
      <x:c r="E705" s="13" t="str">
        <x:v>Banks</x:v>
      </x:c>
      <x:c r="F705" s="13" t="str">
        <x:v>Financials</x:v>
      </x:c>
      <x:c r="G705" s="13" t="str">
        <x:v>grid_wekqfxnd.xlsx</x:v>
      </x:c>
    </x:row>
    <x:row r="706">
      <x:c r="A706" s="15" t="n">
        <x:v>40544</x:v>
      </x:c>
      <x:c r="B706" s="13" t="str">
        <x:v>BANCO SANTANDER  BRASIL-UNIT</x:v>
      </x:c>
      <x:c r="C706" s="16" t="n">
        <x:v>8148.5110529399</x:v>
      </x:c>
      <x:c r="D706" s="13" t="str">
        <x:v>Banks</x:v>
      </x:c>
      <x:c r="E706" s="13" t="str">
        <x:v>Banks</x:v>
      </x:c>
      <x:c r="F706" s="13" t="str">
        <x:v>Financials</x:v>
      </x:c>
      <x:c r="G706" s="13" t="str">
        <x:v>grid_wekqfxnd.xlsx</x:v>
      </x:c>
    </x:row>
    <x:row r="707">
      <x:c r="A707" s="15" t="n">
        <x:v>40544</x:v>
      </x:c>
      <x:c r="B707" s="13" t="str">
        <x:v>ITAU UNIBANCO HOLDING S-PREF</x:v>
      </x:c>
      <x:c r="C707" s="16" t="n">
        <x:v>15457.5733396284</x:v>
      </x:c>
      <x:c r="D707" s="13" t="str">
        <x:v>Banks</x:v>
      </x:c>
      <x:c r="E707" s="13" t="str">
        <x:v>Banks</x:v>
      </x:c>
      <x:c r="F707" s="13" t="str">
        <x:v>Financials</x:v>
      </x:c>
      <x:c r="G707" s="13" t="str">
        <x:v>grid_wekqfxnd.xlsx</x:v>
      </x:c>
    </x:row>
    <x:row r="708">
      <x:c r="A708" s="15" t="n">
        <x:v>40544</x:v>
      </x:c>
      <x:c r="B708" s="13" t="str">
        <x:v>EMBRAER SA</x:v>
      </x:c>
      <x:c r="C708" s="16" t="n">
        <x:v>569.3679933552</x:v>
      </x:c>
      <x:c r="D708" s="13" t="str">
        <x:v>Capital Goods</x:v>
      </x:c>
      <x:c r="E708" s="13" t="str">
        <x:v>Capital Goods</x:v>
      </x:c>
      <x:c r="F708" s="13" t="str">
        <x:v>Deep Cyclicals</x:v>
      </x:c>
      <x:c r="G708" s="13" t="str">
        <x:v>grid_wekqfxnd.xlsx</x:v>
      </x:c>
    </x:row>
    <x:row r="709">
      <x:c r="A709" s="15" t="n">
        <x:v>40544</x:v>
      </x:c>
      <x:c r="B709" s="13" t="str">
        <x:v>B3 SA-BRASIL BOLSA BALCAO</x:v>
      </x:c>
      <x:c r="C709" s="16" t="n">
        <x:v>1631.898872306</x:v>
      </x:c>
      <x:c r="D709" s="13" t="str">
        <x:v>Financials Non-Banks</x:v>
      </x:c>
      <x:c r="E709" s="13" t="str">
        <x:v>Financials Non-Banks</x:v>
      </x:c>
      <x:c r="F709" s="13" t="str">
        <x:v>Financials</x:v>
      </x:c>
      <x:c r="G709" s="13" t="str">
        <x:v>grid_wekqfxnd.xlsx</x:v>
      </x:c>
    </x:row>
    <x:row r="710">
      <x:c r="A710" s="15" t="n">
        <x:v>40544</x:v>
      </x:c>
      <x:c r="B710" s="13" t="str">
        <x:v>CIELO SA - INSTITUICAO DE PA</x:v>
      </x:c>
      <x:c r="C710" s="16" t="n">
        <x:v>1681.839841224</x:v>
      </x:c>
      <x:c r="D710" s="13" t="str">
        <x:v>Financials Non-Banks</x:v>
      </x:c>
      <x:c r="E710" s="13" t="str">
        <x:v>Financials Non-Banks</x:v>
      </x:c>
      <x:c r="F710" s="13" t="str">
        <x:v>Financials</x:v>
      </x:c>
      <x:c r="G710" s="13" t="str">
        <x:v>grid_wekqfxnd.xlsx</x:v>
      </x:c>
    </x:row>
    <x:row r="711">
      <x:c r="A711" s="15" t="n">
        <x:v>40544</x:v>
      </x:c>
      <x:c r="B711" s="13" t="str">
        <x:v>ITAUSA SA</x:v>
      </x:c>
      <x:c r="C711" s="16" t="n">
        <x:v>6198.0930825792</x:v>
      </x:c>
      <x:c r="D711" s="13" t="str">
        <x:v>Financials Non-Banks</x:v>
      </x:c>
      <x:c r="E711" s="13" t="str">
        <x:v>Financials Non-Banks</x:v>
      </x:c>
      <x:c r="F711" s="13" t="str">
        <x:v>Financials</x:v>
      </x:c>
      <x:c r="G711" s="13" t="str">
        <x:v>grid_wekqfxnd.xlsx</x:v>
      </x:c>
    </x:row>
    <x:row r="712">
      <x:c r="A712" s="15" t="n">
        <x:v>40544</x:v>
      </x:c>
      <x:c r="B712" s="13" t="str">
        <x:v>REDECARD INSTITUICAO DE PAGA</x:v>
      </x:c>
      <x:c r="C712" s="16" t="n">
        <x:v>1282.3321019454</x:v>
      </x:c>
      <x:c r="D712" s="13" t="str">
        <x:v>Financials Non-Banks</x:v>
      </x:c>
      <x:c r="E712" s="13" t="str">
        <x:v>Financials Non-Banks</x:v>
      </x:c>
      <x:c r="F712" s="13" t="str">
        <x:v>Financials</x:v>
      </x:c>
      <x:c r="G712" s="13" t="str">
        <x:v>grid_wekqfxnd.xlsx</x:v>
      </x:c>
    </x:row>
    <x:row r="713">
      <x:c r="A713" s="15" t="n">
        <x:v>40544</x:v>
      </x:c>
      <x:c r="B713" s="13" t="str">
        <x:v>AMBEV SA</x:v>
      </x:c>
      <x:c r="C713" s="16" t="n">
        <x:v>7849.1377759126</x:v>
      </x:c>
      <x:c r="D713" s="13" t="str">
        <x:v>Food &amp; Beverages</x:v>
      </x:c>
      <x:c r="E713" s="13" t="str">
        <x:v>Agri, Food &amp; Beverages</x:v>
      </x:c>
      <x:c r="F713" s="13" t="str">
        <x:v>Defensives</x:v>
      </x:c>
      <x:c r="G713" s="13" t="str">
        <x:v>grid_wekqfxnd.xlsx</x:v>
      </x:c>
    </x:row>
    <x:row r="714">
      <x:c r="A714" s="15" t="n">
        <x:v>40544</x:v>
      </x:c>
      <x:c r="B714" s="13" t="str">
        <x:v>BRF SA</x:v>
      </x:c>
      <x:c r="C714" s="16" t="n">
        <x:v>1135.9929362186</x:v>
      </x:c>
      <x:c r="D714" s="13" t="str">
        <x:v>Food &amp; Beverages</x:v>
      </x:c>
      <x:c r="E714" s="13" t="str">
        <x:v>Agri, Food &amp; Beverages</x:v>
      </x:c>
      <x:c r="F714" s="13" t="str">
        <x:v>Defensives</x:v>
      </x:c>
      <x:c r="G714" s="13" t="str">
        <x:v>grid_wekqfxnd.xlsx</x:v>
      </x:c>
    </x:row>
    <x:row r="715">
      <x:c r="A715" s="15" t="n">
        <x:v>40544</x:v>
      </x:c>
      <x:c r="B715" s="13" t="str">
        <x:v>JBS SA</x:v>
      </x:c>
      <x:c r="C715" s="16" t="n">
        <x:v>1496.2076502732</x:v>
      </x:c>
      <x:c r="D715" s="13" t="str">
        <x:v>Food &amp; Beverages</x:v>
      </x:c>
      <x:c r="E715" s="13" t="str">
        <x:v>Agri, Food &amp; Beverages</x:v>
      </x:c>
      <x:c r="F715" s="13" t="str">
        <x:v>Defensives</x:v>
      </x:c>
      <x:c r="G715" s="13" t="str">
        <x:v>grid_wekqfxnd.xlsx</x:v>
      </x:c>
    </x:row>
    <x:row r="716">
      <x:c r="A716" s="15" t="n">
        <x:v>40544</x:v>
      </x:c>
      <x:c r="B716" s="13" t="str">
        <x:v>MBRF GLOBAL FOODS COMPANY SA</x:v>
      </x:c>
      <x:c r="C716" s="16" t="n">
        <x:v>297.3513661202</x:v>
      </x:c>
      <x:c r="D716" s="13" t="str">
        <x:v>Food &amp; Beverages</x:v>
      </x:c>
      <x:c r="E716" s="13" t="str">
        <x:v>Agri, Food &amp; Beverages</x:v>
      </x:c>
      <x:c r="F716" s="13" t="str">
        <x:v>Defensives</x:v>
      </x:c>
      <x:c r="G716" s="13" t="str">
        <x:v>grid_wekqfxnd.xlsx</x:v>
      </x:c>
    </x:row>
    <x:row r="717">
      <x:c r="A717" s="15" t="n">
        <x:v>40544</x:v>
      </x:c>
      <x:c r="B717" s="13" t="str">
        <x:v>SOUZA CRUZ LTDA</x:v>
      </x:c>
      <x:c r="C717" s="16" t="n">
        <x:v>1644.4158775956</x:v>
      </x:c>
      <x:c r="D717" s="13" t="str">
        <x:v>Food &amp; Beverages</x:v>
      </x:c>
      <x:c r="E717" s="13" t="str">
        <x:v>Agri, Food &amp; Beverages</x:v>
      </x:c>
      <x:c r="F717" s="13" t="str">
        <x:v>Defensives</x:v>
      </x:c>
      <x:c r="G717" s="13" t="str">
        <x:v>grid_wekqfxnd.xlsx</x:v>
      </x:c>
    </x:row>
    <x:row r="718">
      <x:c r="A718" s="15" t="n">
        <x:v>40544</x:v>
      </x:c>
      <x:c r="B718" s="13" t="str">
        <x:v>HYPERA SA</x:v>
      </x:c>
      <x:c r="C718" s="16" t="n">
        <x:v>554.6545479344</x:v>
      </x:c>
      <x:c r="D718" s="13" t="str">
        <x:v>Health Care</x:v>
      </x:c>
      <x:c r="E718" s="13" t="str">
        <x:v>Health Care</x:v>
      </x:c>
      <x:c r="F718" s="13" t="str">
        <x:v>Defensives</x:v>
      </x:c>
      <x:c r="G718" s="13" t="str">
        <x:v>grid_wekqfxnd.xlsx</x:v>
      </x:c>
    </x:row>
    <x:row r="719">
      <x:c r="A719" s="15" t="n">
        <x:v>40544</x:v>
      </x:c>
      <x:c r="B719" s="13" t="str">
        <x:v>CYRELA BRAZIL REALTY SA EMP</x:v>
      </x:c>
      <x:c r="C719" s="16" t="n">
        <x:v>952.3700581421</x:v>
      </x:c>
      <x:c r="D719" s="13" t="str">
        <x:v>Homebuilders</x:v>
      </x:c>
      <x:c r="E719" s="13" t="str">
        <x:v>Real Estate</x:v>
      </x:c>
      <x:c r="F719" s="13" t="str">
        <x:v>Early Cyclicals</x:v>
      </x:c>
      <x:c r="G719" s="13" t="str">
        <x:v>grid_wekqfxnd.xlsx</x:v>
      </x:c>
    </x:row>
    <x:row r="720">
      <x:c r="A720" s="15" t="n">
        <x:v>40544</x:v>
      </x:c>
      <x:c r="B720" s="13" t="str">
        <x:v>GAFISA SA</x:v>
      </x:c>
      <x:c r="C720" s="16" t="n">
        <x:v>555.6524034098</x:v>
      </x:c>
      <x:c r="D720" s="13" t="str">
        <x:v>Homebuilders</x:v>
      </x:c>
      <x:c r="E720" s="13" t="str">
        <x:v>Real Estate</x:v>
      </x:c>
      <x:c r="F720" s="13" t="str">
        <x:v>Early Cyclicals</x:v>
      </x:c>
      <x:c r="G720" s="13" t="str">
        <x:v>grid_wekqfxnd.xlsx</x:v>
      </x:c>
    </x:row>
    <x:row r="721">
      <x:c r="A721" s="15" t="n">
        <x:v>40544</x:v>
      </x:c>
      <x:c r="B721" s="13" t="str">
        <x:v>MRV ENGENHARIA</x:v>
      </x:c>
      <x:c r="C721" s="16" t="n">
        <x:v>851.4937519563</x:v>
      </x:c>
      <x:c r="D721" s="13" t="str">
        <x:v>Homebuilders</x:v>
      </x:c>
      <x:c r="E721" s="13" t="str">
        <x:v>Real Estate</x:v>
      </x:c>
      <x:c r="F721" s="13" t="str">
        <x:v>Early Cyclicals</x:v>
      </x:c>
      <x:c r="G721" s="13" t="str">
        <x:v>grid_wekqfxnd.xlsx</x:v>
      </x:c>
    </x:row>
    <x:row r="722">
      <x:c r="A722" s="15" t="n">
        <x:v>40544</x:v>
      </x:c>
      <x:c r="B722" s="13" t="str">
        <x:v>PDG REALTY SA</x:v>
      </x:c>
      <x:c r="C722" s="16" t="n">
        <x:v>1297.5030893115</x:v>
      </x:c>
      <x:c r="D722" s="13" t="str">
        <x:v>Homebuilders</x:v>
      </x:c>
      <x:c r="E722" s="13" t="str">
        <x:v>Real Estate</x:v>
      </x:c>
      <x:c r="F722" s="13" t="str">
        <x:v>Early Cyclicals</x:v>
      </x:c>
      <x:c r="G722" s="13" t="str">
        <x:v>grid_wekqfxnd.xlsx</x:v>
      </x:c>
    </x:row>
    <x:row r="723">
      <x:c r="A723" s="15" t="n">
        <x:v>40544</x:v>
      </x:c>
      <x:c r="B723" s="13" t="str">
        <x:v>ROSSI RESIDENCIAL SA</x:v>
      </x:c>
      <x:c r="C723" s="16" t="n">
        <x:v>505.0663515628</x:v>
      </x:c>
      <x:c r="D723" s="13" t="str">
        <x:v>Homebuilders</x:v>
      </x:c>
      <x:c r="E723" s="13" t="str">
        <x:v>Real Estate</x:v>
      </x:c>
      <x:c r="F723" s="13" t="str">
        <x:v>Early Cyclicals</x:v>
      </x:c>
      <x:c r="G723" s="13" t="str">
        <x:v>grid_wekqfxnd.xlsx</x:v>
      </x:c>
    </x:row>
    <x:row r="724">
      <x:c r="A724" s="15" t="n">
        <x:v>40544</x:v>
      </x:c>
      <x:c r="B724" s="13" t="str">
        <x:v>TEGRA INCORPORADORA SA</x:v>
      </x:c>
      <x:c r="C724" s="16" t="n">
        <x:v>484.6785467104</x:v>
      </x:c>
      <x:c r="D724" s="13" t="str">
        <x:v>Homebuilders</x:v>
      </x:c>
      <x:c r="E724" s="13" t="str">
        <x:v>Real Estate</x:v>
      </x:c>
      <x:c r="F724" s="13" t="str">
        <x:v>Early Cyclicals</x:v>
      </x:c>
      <x:c r="G724" s="13" t="str">
        <x:v>grid_wekqfxnd.xlsx</x:v>
      </x:c>
    </x:row>
    <x:row r="725">
      <x:c r="A725" s="15" t="n">
        <x:v>40544</x:v>
      </x:c>
      <x:c r="B725" s="13" t="str">
        <x:v>CIA SIDERURGICA NACIONAL SA</x:v>
      </x:c>
      <x:c r="C725" s="16" t="n">
        <x:v>4483.2961916503</x:v>
      </x:c>
      <x:c r="D725" s="13" t="str">
        <x:v>Metals &amp; Mining</x:v>
      </x:c>
      <x:c r="E725" s="13" t="str">
        <x:v>Metals &amp; Mining</x:v>
      </x:c>
      <x:c r="F725" s="13" t="str">
        <x:v>Deep Cyclicals</x:v>
      </x:c>
      <x:c r="G725" s="13" t="str">
        <x:v>grid_wekqfxnd.xlsx</x:v>
      </x:c>
    </x:row>
    <x:row r="726">
      <x:c r="A726" s="15" t="n">
        <x:v>40544</x:v>
      </x:c>
      <x:c r="B726" s="13" t="str">
        <x:v>GERDAU SA-PREF</x:v>
      </x:c>
      <x:c r="C726" s="16" t="n">
        <x:v>2659.3865022951</x:v>
      </x:c>
      <x:c r="D726" s="13" t="str">
        <x:v>Metals &amp; Mining</x:v>
      </x:c>
      <x:c r="E726" s="13" t="str">
        <x:v>Metals &amp; Mining</x:v>
      </x:c>
      <x:c r="F726" s="13" t="str">
        <x:v>Deep Cyclicals</x:v>
      </x:c>
      <x:c r="G726" s="13" t="str">
        <x:v>grid_wekqfxnd.xlsx</x:v>
      </x:c>
    </x:row>
    <x:row r="727">
      <x:c r="A727" s="15" t="n">
        <x:v>40544</x:v>
      </x:c>
      <x:c r="B727" s="13" t="str">
        <x:v>METALURGICA GERDAU SA-PREF</x:v>
      </x:c>
      <x:c r="C727" s="16" t="n">
        <x:v>833.7464980984</x:v>
      </x:c>
      <x:c r="D727" s="13" t="str">
        <x:v>Metals &amp; Mining</x:v>
      </x:c>
      <x:c r="E727" s="13" t="str">
        <x:v>Metals &amp; Mining</x:v>
      </x:c>
      <x:c r="F727" s="13" t="str">
        <x:v>Deep Cyclicals</x:v>
      </x:c>
      <x:c r="G727" s="13" t="str">
        <x:v>grid_wekqfxnd.xlsx</x:v>
      </x:c>
    </x:row>
    <x:row r="728">
      <x:c r="A728" s="15" t="n">
        <x:v>40544</x:v>
      </x:c>
      <x:c r="B728" s="13" t="str">
        <x:v>MMX MINERACAO E METALICOS SA</x:v>
      </x:c>
      <x:c r="C728" s="16" t="n">
        <x:v>307.1168201093</x:v>
      </x:c>
      <x:c r="D728" s="13" t="str">
        <x:v>Metals &amp; Mining</x:v>
      </x:c>
      <x:c r="E728" s="13" t="str">
        <x:v>Metals &amp; Mining</x:v>
      </x:c>
      <x:c r="F728" s="13" t="str">
        <x:v>Deep Cyclicals</x:v>
      </x:c>
      <x:c r="G728" s="13" t="str">
        <x:v>grid_wekqfxnd.xlsx</x:v>
      </x:c>
    </x:row>
    <x:row r="729">
      <x:c r="A729" s="15" t="n">
        <x:v>40544</x:v>
      </x:c>
      <x:c r="B729" s="13" t="str">
        <x:v>USINAS SIDER MINAS GER-PF A</x:v>
      </x:c>
      <x:c r="C729" s="16" t="n">
        <x:v>1786.0376634754</x:v>
      </x:c>
      <x:c r="D729" s="13" t="str">
        <x:v>Metals &amp; Mining</x:v>
      </x:c>
      <x:c r="E729" s="13" t="str">
        <x:v>Metals &amp; Mining</x:v>
      </x:c>
      <x:c r="F729" s="13" t="str">
        <x:v>Deep Cyclicals</x:v>
      </x:c>
      <x:c r="G729" s="13" t="str">
        <x:v>grid_wekqfxnd.xlsx</x:v>
      </x:c>
    </x:row>
    <x:row r="730">
      <x:c r="A730" s="15" t="n">
        <x:v>40544</x:v>
      </x:c>
      <x:c r="B730" s="13" t="str">
        <x:v>USINAS SIDERURGICAS DE MINAS</x:v>
      </x:c>
      <x:c r="C730" s="16" t="n">
        <x:v>1786.0376634754</x:v>
      </x:c>
      <x:c r="D730" s="13" t="str">
        <x:v>Metals &amp; Mining</x:v>
      </x:c>
      <x:c r="E730" s="13" t="str">
        <x:v>Metals &amp; Mining</x:v>
      </x:c>
      <x:c r="F730" s="13" t="str">
        <x:v>Deep Cyclicals</x:v>
      </x:c>
      <x:c r="G730" s="13" t="str">
        <x:v>grid_wekqfxnd.xlsx</x:v>
      </x:c>
    </x:row>
    <x:row r="731">
      <x:c r="A731" s="15" t="n">
        <x:v>40544</x:v>
      </x:c>
      <x:c r="B731" s="13" t="str">
        <x:v>VALE SA</x:v>
      </x:c>
      <x:c r="C731" s="16" t="n">
        <x:v>39239.443998776</x:v>
      </x:c>
      <x:c r="D731" s="13" t="str">
        <x:v>Metals &amp; Mining</x:v>
      </x:c>
      <x:c r="E731" s="13" t="str">
        <x:v>Metals &amp; Mining</x:v>
      </x:c>
      <x:c r="F731" s="13" t="str">
        <x:v>Deep Cyclicals</x:v>
      </x:c>
      <x:c r="G731" s="13" t="str">
        <x:v>grid_wekqfxnd.xlsx</x:v>
      </x:c>
    </x:row>
    <x:row r="732">
      <x:c r="A732" s="15" t="n">
        <x:v>40544</x:v>
      </x:c>
      <x:c r="B732" s="13" t="str">
        <x:v>BRASKEM SA-PREF A</x:v>
      </x:c>
      <x:c r="C732" s="16" t="n">
        <x:v>996.9356590164</x:v>
      </x:c>
      <x:c r="D732" s="13" t="str">
        <x:v>Oil, Gas &amp; Petrochemicals</x:v>
      </x:c>
      <x:c r="E732" s="13" t="str">
        <x:v>Oil, Gas &amp; Petrochemicals</x:v>
      </x:c>
      <x:c r="F732" s="13" t="str">
        <x:v>Deep Cyclicals</x:v>
      </x:c>
      <x:c r="G732" s="13" t="str">
        <x:v>grid_wekqfxnd.xlsx</x:v>
      </x:c>
    </x:row>
    <x:row r="733">
      <x:c r="A733" s="15" t="n">
        <x:v>40544</x:v>
      </x:c>
      <x:c r="B733" s="13" t="str">
        <x:v>COSAN SA</x:v>
      </x:c>
      <x:c r="C733" s="16" t="n">
        <x:v>1267.000064</x:v>
      </x:c>
      <x:c r="D733" s="13" t="str">
        <x:v>Oil, Gas &amp; Petrochemicals</x:v>
      </x:c>
      <x:c r="E733" s="13" t="str">
        <x:v>Oil, Gas &amp; Petrochemicals</x:v>
      </x:c>
      <x:c r="F733" s="13" t="str">
        <x:v>Deep Cyclicals</x:v>
      </x:c>
      <x:c r="G733" s="13" t="str">
        <x:v>grid_wekqfxnd.xlsx</x:v>
      </x:c>
    </x:row>
    <x:row r="734">
      <x:c r="A734" s="15" t="n">
        <x:v>40544</x:v>
      </x:c>
      <x:c r="B734" s="13" t="str">
        <x:v>OLEO E GAS PARTICIPACOES SA</x:v>
      </x:c>
      <x:c r="C734" s="16" t="n">
        <x:v>328.2453509945</x:v>
      </x:c>
      <x:c r="D734" s="13" t="str">
        <x:v>Oil, Gas &amp; Petrochemicals</x:v>
      </x:c>
      <x:c r="E734" s="13" t="str">
        <x:v>Oil, Gas &amp; Petrochemicals</x:v>
      </x:c>
      <x:c r="F734" s="13" t="str">
        <x:v>Deep Cyclicals</x:v>
      </x:c>
      <x:c r="G734" s="13" t="str">
        <x:v>grid_wekqfxnd.xlsx</x:v>
      </x:c>
    </x:row>
    <x:row r="735">
      <x:c r="A735" s="15" t="n">
        <x:v>40544</x:v>
      </x:c>
      <x:c r="B735" s="13" t="str">
        <x:v>PETROBRAS - PETROLEO BRAS</x:v>
      </x:c>
      <x:c r="C735" s="16" t="n">
        <x:v>35954.9469880656</x:v>
      </x:c>
      <x:c r="D735" s="13" t="str">
        <x:v>Oil, Gas &amp; Petrochemicals</x:v>
      </x:c>
      <x:c r="E735" s="13" t="str">
        <x:v>Oil, Gas &amp; Petrochemicals</x:v>
      </x:c>
      <x:c r="F735" s="13" t="str">
        <x:v>Deep Cyclicals</x:v>
      </x:c>
      <x:c r="G735" s="13" t="str">
        <x:v>grid_wekqfxnd.xlsx</x:v>
      </x:c>
    </x:row>
    <x:row r="736">
      <x:c r="A736" s="15" t="n">
        <x:v>40544</x:v>
      </x:c>
      <x:c r="B736" s="13" t="str">
        <x:v>ULTRAPAR PARTICIPACOES-PREF</x:v>
      </x:c>
      <x:c r="C736" s="16" t="n">
        <x:v>862.9232545574</x:v>
      </x:c>
      <x:c r="D736" s="13" t="str">
        <x:v>Oil, Gas &amp; Petrochemicals</x:v>
      </x:c>
      <x:c r="E736" s="13" t="str">
        <x:v>Oil, Gas &amp; Petrochemicals</x:v>
      </x:c>
      <x:c r="F736" s="13" t="str">
        <x:v>Deep Cyclicals</x:v>
      </x:c>
      <x:c r="G736" s="13" t="str">
        <x:v>grid_wekqfxnd.xlsx</x:v>
      </x:c>
    </x:row>
    <x:row r="737">
      <x:c r="A737" s="15" t="n">
        <x:v>40544</x:v>
      </x:c>
      <x:c r="B737" s="13" t="str">
        <x:v>DEXCO SA</x:v>
      </x:c>
      <x:c r="C737" s="16" t="n">
        <x:v>500.4949380546</x:v>
      </x:c>
      <x:c r="D737" s="13" t="str">
        <x:v>Pulp &amp; Paper</x:v>
      </x:c>
      <x:c r="E737" s="13" t="str">
        <x:v>Pulp &amp; Paper</x:v>
      </x:c>
      <x:c r="F737" s="13" t="str">
        <x:v>Deep Cyclicals</x:v>
      </x:c>
      <x:c r="G737" s="13" t="str">
        <x:v>grid_wekqfxnd.xlsx</x:v>
      </x:c>
    </x:row>
    <x:row r="738">
      <x:c r="A738" s="15" t="n">
        <x:v>40544</x:v>
      </x:c>
      <x:c r="B738" s="13" t="str">
        <x:v>FIBRIA CELULOSE S/A</x:v>
      </x:c>
      <x:c r="C738" s="16" t="n">
        <x:v>570.4721577268</x:v>
      </x:c>
      <x:c r="D738" s="13" t="str">
        <x:v>Pulp &amp; Paper</x:v>
      </x:c>
      <x:c r="E738" s="13" t="str">
        <x:v>Pulp &amp; Paper</x:v>
      </x:c>
      <x:c r="F738" s="13" t="str">
        <x:v>Deep Cyclicals</x:v>
      </x:c>
      <x:c r="G738" s="13" t="str">
        <x:v>grid_wekqfxnd.xlsx</x:v>
      </x:c>
    </x:row>
    <x:row r="739">
      <x:c r="A739" s="15" t="n">
        <x:v>40544</x:v>
      </x:c>
      <x:c r="B739" s="13" t="str">
        <x:v>AMERICANAS SA</x:v>
      </x:c>
      <x:c r="C739" s="16" t="n">
        <x:v>93.1632579235</x:v>
      </x:c>
      <x:c r="D739" s="13" t="str">
        <x:v>Retail</x:v>
      </x:c>
      <x:c r="E739" s="13" t="str">
        <x:v>Retail</x:v>
      </x:c>
      <x:c r="F739" s="13" t="str">
        <x:v>Early Cyclicals</x:v>
      </x:c>
      <x:c r="G739" s="13" t="str">
        <x:v>grid_wekqfxnd.xlsx</x:v>
      </x:c>
    </x:row>
    <x:row r="740">
      <x:c r="A740" s="15" t="n">
        <x:v>40544</x:v>
      </x:c>
      <x:c r="B740" s="13" t="str">
        <x:v>CIA BRASILEIRA DE DIS-PREF</x:v>
      </x:c>
      <x:c r="C740" s="16" t="n">
        <x:v>788.9058437596</x:v>
      </x:c>
      <x:c r="D740" s="13" t="str">
        <x:v>Retail</x:v>
      </x:c>
      <x:c r="E740" s="13" t="str">
        <x:v>Retail</x:v>
      </x:c>
      <x:c r="F740" s="13" t="str">
        <x:v>Early Cyclicals</x:v>
      </x:c>
      <x:c r="G740" s="13" t="str">
        <x:v>grid_wekqfxnd.xlsx</x:v>
      </x:c>
    </x:row>
    <x:row r="741">
      <x:c r="A741" s="15" t="n">
        <x:v>40544</x:v>
      </x:c>
      <x:c r="B741" s="13" t="str">
        <x:v>LOJAS AMERICANAS SA-PREF</x:v>
      </x:c>
      <x:c r="C741" s="16" t="n">
        <x:v>378.6910775956</x:v>
      </x:c>
      <x:c r="D741" s="13" t="str">
        <x:v>Retail</x:v>
      </x:c>
      <x:c r="E741" s="13" t="str">
        <x:v>Retail</x:v>
      </x:c>
      <x:c r="F741" s="13" t="str">
        <x:v>Early Cyclicals</x:v>
      </x:c>
      <x:c r="G741" s="13" t="str">
        <x:v>grid_wekqfxnd.xlsx</x:v>
      </x:c>
    </x:row>
    <x:row r="742">
      <x:c r="A742" s="15" t="n">
        <x:v>40544</x:v>
      </x:c>
      <x:c r="B742" s="13" t="str">
        <x:v>LOJAS RENNER S.A.</x:v>
      </x:c>
      <x:c r="C742" s="16" t="n">
        <x:v>352.6742641311</x:v>
      </x:c>
      <x:c r="D742" s="13" t="str">
        <x:v>Retail</x:v>
      </x:c>
      <x:c r="E742" s="13" t="str">
        <x:v>Retail</x:v>
      </x:c>
      <x:c r="F742" s="13" t="str">
        <x:v>Early Cyclicals</x:v>
      </x:c>
      <x:c r="G742" s="13" t="str">
        <x:v>grid_wekqfxnd.xlsx</x:v>
      </x:c>
    </x:row>
    <x:row r="743">
      <x:c r="A743" s="15" t="n">
        <x:v>40544</x:v>
      </x:c>
      <x:c r="B743" s="13" t="str">
        <x:v>NATURA COSMETICOS SA</x:v>
      </x:c>
      <x:c r="C743" s="16" t="n">
        <x:v>873.492495388</x:v>
      </x:c>
      <x:c r="D743" s="13" t="str">
        <x:v>Retail</x:v>
      </x:c>
      <x:c r="E743" s="13" t="str">
        <x:v>Retail</x:v>
      </x:c>
      <x:c r="F743" s="13" t="str">
        <x:v>Early Cyclicals</x:v>
      </x:c>
      <x:c r="G743" s="13" t="str">
        <x:v>grid_wekqfxnd.xlsx</x:v>
      </x:c>
    </x:row>
    <x:row r="744">
      <x:c r="A744" s="15" t="n">
        <x:v>40544</x:v>
      </x:c>
      <x:c r="B744" s="13" t="str">
        <x:v>CIA SANEAMENTO BASICO DE SP</x:v>
      </x:c>
      <x:c r="C744" s="16" t="n">
        <x:v>1365.3597705792</x:v>
      </x:c>
      <x:c r="D744" s="13" t="str">
        <x:v>Sanitation</x:v>
      </x:c>
      <x:c r="E744" s="13" t="str">
        <x:v>Utilities</x:v>
      </x:c>
      <x:c r="F744" s="13" t="str">
        <x:v>Defensives</x:v>
      </x:c>
      <x:c r="G744" s="13" t="str">
        <x:v>grid_wekqfxnd.xlsx</x:v>
      </x:c>
    </x:row>
    <x:row r="745">
      <x:c r="A745" s="15" t="n">
        <x:v>40544</x:v>
      </x:c>
      <x:c r="B745" s="13" t="str">
        <x:v>OI SA-PREFERENCE</x:v>
      </x:c>
      <x:c r="C745" s="16" t="n">
        <x:v>1239.4966256612</x:v>
      </x:c>
      <x:c r="D745" s="13" t="str">
        <x:v>TMT</x:v>
      </x:c>
      <x:c r="E745" s="13" t="str">
        <x:v>TMT</x:v>
      </x:c>
      <x:c r="F745" s="13" t="str">
        <x:v>Early Cyclicals</x:v>
      </x:c>
      <x:c r="G745" s="13" t="str">
        <x:v>grid_wekqfxnd.xlsx</x:v>
      </x:c>
    </x:row>
    <x:row r="746">
      <x:c r="A746" s="15" t="n">
        <x:v>40544</x:v>
      </x:c>
      <x:c r="B746" s="13" t="str">
        <x:v>TELE NORTE LESTE PART</x:v>
      </x:c>
      <x:c r="C746" s="16" t="n">
        <x:v>1686.8955054863</x:v>
      </x:c>
      <x:c r="D746" s="13" t="str">
        <x:v>TMT</x:v>
      </x:c>
      <x:c r="E746" s="13" t="str">
        <x:v>TMT</x:v>
      </x:c>
      <x:c r="F746" s="13" t="str">
        <x:v>Early Cyclicals</x:v>
      </x:c>
      <x:c r="G746" s="13" t="str">
        <x:v>grid_wekqfxnd.xlsx</x:v>
      </x:c>
    </x:row>
    <x:row r="747">
      <x:c r="A747" s="15" t="n">
        <x:v>40544</x:v>
      </x:c>
      <x:c r="B747" s="13" t="str">
        <x:v>TELEFONICA BRASIL S.A.-PREF</x:v>
      </x:c>
      <x:c r="C747" s="16" t="n">
        <x:v>2148.507015694</x:v>
      </x:c>
      <x:c r="D747" s="13" t="str">
        <x:v>TMT</x:v>
      </x:c>
      <x:c r="E747" s="13" t="str">
        <x:v>TMT</x:v>
      </x:c>
      <x:c r="F747" s="13" t="str">
        <x:v>Early Cyclicals</x:v>
      </x:c>
      <x:c r="G747" s="13" t="str">
        <x:v>grid_wekqfxnd.xlsx</x:v>
      </x:c>
    </x:row>
    <x:row r="748">
      <x:c r="A748" s="15" t="n">
        <x:v>40544</x:v>
      </x:c>
      <x:c r="B748" s="13" t="str">
        <x:v>TELEMAR NORTE LESTE SA</x:v>
      </x:c>
      <x:c r="C748" s="16" t="n">
        <x:v>2232.801836765</x:v>
      </x:c>
      <x:c r="D748" s="13" t="str">
        <x:v>TMT</x:v>
      </x:c>
      <x:c r="E748" s="13" t="str">
        <x:v>TMT</x:v>
      </x:c>
      <x:c r="F748" s="13" t="str">
        <x:v>Early Cyclicals</x:v>
      </x:c>
      <x:c r="G748" s="13" t="str">
        <x:v>grid_wekqfxnd.xlsx</x:v>
      </x:c>
    </x:row>
    <x:row r="749">
      <x:c r="A749" s="15" t="n">
        <x:v>40544</x:v>
      </x:c>
      <x:c r="B749" s="13" t="str">
        <x:v>TIM PARTICIPACOES SA-PREF</x:v>
      </x:c>
      <x:c r="C749" s="16" t="n">
        <x:v>947.9167440437</x:v>
      </x:c>
      <x:c r="D749" s="13" t="str">
        <x:v>TMT</x:v>
      </x:c>
      <x:c r="E749" s="13" t="str">
        <x:v>TMT</x:v>
      </x:c>
      <x:c r="F749" s="13" t="str">
        <x:v>Early Cyclicals</x:v>
      </x:c>
      <x:c r="G749" s="13" t="str">
        <x:v>grid_wekqfxnd.xlsx</x:v>
      </x:c>
    </x:row>
    <x:row r="750">
      <x:c r="A750" s="15" t="n">
        <x:v>40544</x:v>
      </x:c>
      <x:c r="B750" s="13" t="str">
        <x:v>TIM SA</x:v>
      </x:c>
      <x:c r="C750" s="16" t="n">
        <x:v>947.9167440437</x:v>
      </x:c>
      <x:c r="D750" s="13" t="str">
        <x:v>TMT</x:v>
      </x:c>
      <x:c r="E750" s="13" t="str">
        <x:v>TMT</x:v>
      </x:c>
      <x:c r="F750" s="13" t="str">
        <x:v>Early Cyclicals</x:v>
      </x:c>
      <x:c r="G750" s="13" t="str">
        <x:v>grid_wekqfxnd.xlsx</x:v>
      </x:c>
    </x:row>
    <x:row r="751">
      <x:c r="A751" s="15" t="n">
        <x:v>40544</x:v>
      </x:c>
      <x:c r="B751" s="13" t="str">
        <x:v>VIVO PARTICIPACOES SA-PREF</x:v>
      </x:c>
      <x:c r="C751" s="16" t="n">
        <x:v>1955.3937332459</x:v>
      </x:c>
      <x:c r="D751" s="13" t="str">
        <x:v>TMT</x:v>
      </x:c>
      <x:c r="E751" s="13" t="str">
        <x:v>TMT</x:v>
      </x:c>
      <x:c r="F751" s="13" t="str">
        <x:v>Early Cyclicals</x:v>
      </x:c>
      <x:c r="G751" s="13" t="str">
        <x:v>grid_wekqfxnd.xlsx</x:v>
      </x:c>
    </x:row>
    <x:row r="752">
      <x:c r="A752" s="15" t="n">
        <x:v>40544</x:v>
      </x:c>
      <x:c r="B752" s="13" t="str">
        <x:v>GOL LINHAS AEREAS INT SA-PRE</x:v>
      </x:c>
      <x:c r="C752" s="16" t="n">
        <x:v>488.725922623</x:v>
      </x:c>
      <x:c r="D752" s="13" t="str">
        <x:v>Transportation</x:v>
      </x:c>
      <x:c r="E752" s="13" t="str">
        <x:v>Transportation</x:v>
      </x:c>
      <x:c r="F752" s="13" t="str">
        <x:v>Deep Cyclicals</x:v>
      </x:c>
      <x:c r="G752" s="13" t="str">
        <x:v>grid_wekqfxnd.xlsx</x:v>
      </x:c>
    </x:row>
    <x:row r="753">
      <x:c r="A753" s="15" t="n">
        <x:v>40544</x:v>
      </x:c>
      <x:c r="B753" s="13" t="str">
        <x:v>MOTIVA INFRAESTRUTURA DE MOB</x:v>
      </x:c>
      <x:c r="C753" s="16" t="n">
        <x:v>1052.1069625355</x:v>
      </x:c>
      <x:c r="D753" s="13" t="str">
        <x:v>Transportation</x:v>
      </x:c>
      <x:c r="E753" s="13" t="str">
        <x:v>Transportation</x:v>
      </x:c>
      <x:c r="F753" s="13" t="str">
        <x:v>Deep Cyclicals</x:v>
      </x:c>
      <x:c r="G753" s="13" t="str">
        <x:v>grid_wekqfxnd.xlsx</x:v>
      </x:c>
    </x:row>
    <x:row r="754">
      <x:c r="A754" s="15" t="n">
        <x:v>40544</x:v>
      </x:c>
      <x:c r="B754" s="13" t="str">
        <x:v>PRUMO LOGISTICA SA</x:v>
      </x:c>
      <x:c r="C754" s="16" t="n">
        <x:v>-65.8181907104</x:v>
      </x:c>
      <x:c r="D754" s="13" t="str">
        <x:v>Transportation</x:v>
      </x:c>
      <x:c r="E754" s="13" t="str">
        <x:v>Transportation</x:v>
      </x:c>
      <x:c r="F754" s="13" t="str">
        <x:v>Deep Cyclicals</x:v>
      </x:c>
      <x:c r="G754" s="13" t="str">
        <x:v>grid_wekqfxnd.xlsx</x:v>
      </x:c>
    </x:row>
    <x:row r="755">
      <x:c r="A755" s="15" t="n">
        <x:v>40544</x:v>
      </x:c>
      <x:c r="B755" s="13" t="str">
        <x:v>RUMO SA</x:v>
      </x:c>
      <x:c r="C755" s="16" t="n">
        <x:v>272.8402418361</x:v>
      </x:c>
      <x:c r="D755" s="13" t="str">
        <x:v>Transportation</x:v>
      </x:c>
      <x:c r="E755" s="13" t="str">
        <x:v>Transportation</x:v>
      </x:c>
      <x:c r="F755" s="13" t="str">
        <x:v>Deep Cyclicals</x:v>
      </x:c>
      <x:c r="G755" s="13" t="str">
        <x:v>grid_wekqfxnd.xlsx</x:v>
      </x:c>
    </x:row>
    <x:row r="756">
      <x:c r="A756" s="15" t="n">
        <x:v>40544</x:v>
      </x:c>
      <x:c r="B756" s="13" t="str">
        <x:v>TAM SA-PREF</x:v>
      </x:c>
      <x:c r="C756" s="16" t="n">
        <x:v>326.2295081967</x:v>
      </x:c>
      <x:c r="D756" s="13" t="str">
        <x:v>Transportation</x:v>
      </x:c>
      <x:c r="E756" s="13" t="str">
        <x:v>Transportation</x:v>
      </x:c>
      <x:c r="F756" s="13" t="str">
        <x:v>Deep Cyclicals</x:v>
      </x:c>
      <x:c r="G756" s="13" t="str">
        <x:v>grid_wekqfxnd.xlsx</x:v>
      </x:c>
    </x:row>
    <x:row r="757">
      <x:c r="A757" s="15" t="n">
        <x:v>40544</x:v>
      </x:c>
      <x:c r="B757" s="13" t="str">
        <x:v>AXIA ENERGIA SA</x:v>
      </x:c>
      <x:c r="C757" s="16" t="n">
        <x:v>3544.1215328525</x:v>
      </x:c>
      <x:c r="D757" s="13" t="str">
        <x:v>Utilities &amp; Energy</x:v>
      </x:c>
      <x:c r="E757" s="13" t="str">
        <x:v>Utilities</x:v>
      </x:c>
      <x:c r="F757" s="13" t="str">
        <x:v>Defensives</x:v>
      </x:c>
      <x:c r="G757" s="13" t="str">
        <x:v>grid_wekqfxnd.xlsx</x:v>
      </x:c>
    </x:row>
    <x:row r="758">
      <x:c r="A758" s="15" t="n">
        <x:v>40544</x:v>
      </x:c>
      <x:c r="B758" s="13" t="str">
        <x:v>AXIA ENERGIA-PR B</x:v>
      </x:c>
      <x:c r="C758" s="16" t="n">
        <x:v>3544.1215328525</x:v>
      </x:c>
      <x:c r="D758" s="13" t="str">
        <x:v>Utilities &amp; Energy</x:v>
      </x:c>
      <x:c r="E758" s="13" t="str">
        <x:v>Utilities</x:v>
      </x:c>
      <x:c r="F758" s="13" t="str">
        <x:v>Defensives</x:v>
      </x:c>
      <x:c r="G758" s="13" t="str">
        <x:v>grid_wekqfxnd.xlsx</x:v>
      </x:c>
    </x:row>
    <x:row r="759">
      <x:c r="A759" s="15" t="n">
        <x:v>40544</x:v>
      </x:c>
      <x:c r="B759" s="13" t="str">
        <x:v>CESP - CIA ENERGETICA DE SAO</x:v>
      </x:c>
      <x:c r="C759" s="16" t="n">
        <x:v>671.9337683934</x:v>
      </x:c>
      <x:c r="D759" s="13" t="str">
        <x:v>Utilities &amp; Energy</x:v>
      </x:c>
      <x:c r="E759" s="13" t="str">
        <x:v>Utilities</x:v>
      </x:c>
      <x:c r="F759" s="13" t="str">
        <x:v>Defensives</x:v>
      </x:c>
      <x:c r="G759" s="13" t="str">
        <x:v>grid_wekqfxnd.xlsx</x:v>
      </x:c>
    </x:row>
    <x:row r="760">
      <x:c r="A760" s="15" t="n">
        <x:v>40544</x:v>
      </x:c>
      <x:c r="B760" s="13" t="str">
        <x:v>CIA ENERGETICA MINAS GER-PRF</x:v>
      </x:c>
      <x:c r="C760" s="16" t="n">
        <x:v>2037.4702317814</x:v>
      </x:c>
      <x:c r="D760" s="13" t="str">
        <x:v>Utilities &amp; Energy</x:v>
      </x:c>
      <x:c r="E760" s="13" t="str">
        <x:v>Utilities</x:v>
      </x:c>
      <x:c r="F760" s="13" t="str">
        <x:v>Defensives</x:v>
      </x:c>
      <x:c r="G760" s="13" t="str">
        <x:v>grid_wekqfxnd.xlsx</x:v>
      </x:c>
    </x:row>
    <x:row r="761">
      <x:c r="A761" s="15" t="n">
        <x:v>40544</x:v>
      </x:c>
      <x:c r="B761" s="13" t="str">
        <x:v>COMPANHIA PARANAENSE -PREF B</x:v>
      </x:c>
      <x:c r="C761" s="16" t="n">
        <x:v>1223.6636593661</x:v>
      </x:c>
      <x:c r="D761" s="13" t="str">
        <x:v>Utilities &amp; Energy</x:v>
      </x:c>
      <x:c r="E761" s="13" t="str">
        <x:v>Utilities</x:v>
      </x:c>
      <x:c r="F761" s="13" t="str">
        <x:v>Defensives</x:v>
      </x:c>
      <x:c r="G761" s="13" t="str">
        <x:v>grid_wekqfxnd.xlsx</x:v>
      </x:c>
    </x:row>
    <x:row r="762">
      <x:c r="A762" s="15" t="n">
        <x:v>40544</x:v>
      </x:c>
      <x:c r="B762" s="13" t="str">
        <x:v>CPFL ENERGIA SA</x:v>
      </x:c>
      <x:c r="C762" s="16" t="n">
        <x:v>1624.6804263169</x:v>
      </x:c>
      <x:c r="D762" s="13" t="str">
        <x:v>Utilities &amp; Energy</x:v>
      </x:c>
      <x:c r="E762" s="13" t="str">
        <x:v>Utilities</x:v>
      </x:c>
      <x:c r="F762" s="13" t="str">
        <x:v>Defensives</x:v>
      </x:c>
      <x:c r="G762" s="13" t="str">
        <x:v>grid_wekqfxnd.xlsx</x:v>
      </x:c>
    </x:row>
    <x:row r="763">
      <x:c r="A763" s="15" t="n">
        <x:v>40544</x:v>
      </x:c>
      <x:c r="B763" s="13" t="str">
        <x:v>ELETROPAULO METROPOLI-PREF</x:v>
      </x:c>
      <x:c r="C763" s="16" t="n">
        <x:v>642.0273224044</x:v>
      </x:c>
      <x:c r="D763" s="13" t="str">
        <x:v>Utilities &amp; Energy</x:v>
      </x:c>
      <x:c r="E763" s="13" t="str">
        <x:v>Utilities</x:v>
      </x:c>
      <x:c r="F763" s="13" t="str">
        <x:v>Defensives</x:v>
      </x:c>
      <x:c r="G763" s="13" t="str">
        <x:v>grid_wekqfxnd.xlsx</x:v>
      </x:c>
    </x:row>
    <x:row r="764">
      <x:c r="A764" s="15" t="n">
        <x:v>40544</x:v>
      </x:c>
      <x:c r="B764" s="13" t="str">
        <x:v>ISA ENERGIA BRASIL SA</x:v>
      </x:c>
      <x:c r="C764" s="16" t="n">
        <x:v>846.0781156721</x:v>
      </x:c>
      <x:c r="D764" s="13" t="str">
        <x:v>Utilities &amp; Energy</x:v>
      </x:c>
      <x:c r="E764" s="13" t="str">
        <x:v>Utilities</x:v>
      </x:c>
      <x:c r="F764" s="13" t="str">
        <x:v>Defensives</x:v>
      </x:c>
      <x:c r="G764" s="13" t="str">
        <x:v>grid_wekqfxnd.xlsx</x:v>
      </x:c>
    </x:row>
    <x:row r="765">
      <x:c r="A765" s="15" t="n">
        <x:v>40544</x:v>
      </x:c>
      <x:c r="B765" s="13" t="str">
        <x:v>LIGHT SA</x:v>
      </x:c>
      <x:c r="C765" s="16" t="n">
        <x:v>577.0505596503</x:v>
      </x:c>
      <x:c r="D765" s="13" t="str">
        <x:v>Utilities &amp; Energy</x:v>
      </x:c>
      <x:c r="E765" s="13" t="str">
        <x:v>Utilities</x:v>
      </x:c>
      <x:c r="F765" s="13" t="str">
        <x:v>Defensives</x:v>
      </x:c>
      <x:c r="G765" s="13" t="str">
        <x:v>grid_wekqfxnd.xlsx</x:v>
      </x:c>
    </x:row>
    <x:row r="766">
      <x:c r="A766" s="15" t="n">
        <x:v>40575</x:v>
      </x:c>
      <x:c r="B766" s="13" t="str">
        <x:v>BANCO BRADESCO SA-PREF</x:v>
      </x:c>
      <x:c r="C766" s="16" t="n">
        <x:v>11597.2067965902</x:v>
      </x:c>
      <x:c r="D766" s="13" t="str">
        <x:v>Banks</x:v>
      </x:c>
      <x:c r="E766" s="13" t="str">
        <x:v>Banks</x:v>
      </x:c>
      <x:c r="F766" s="13" t="str">
        <x:v>Financials</x:v>
      </x:c>
      <x:c r="G766" s="13" t="str">
        <x:v>grid_wekqfxnd.xlsx</x:v>
      </x:c>
    </x:row>
    <x:row r="767">
      <x:c r="A767" s="15" t="n">
        <x:v>40575</x:v>
      </x:c>
      <x:c r="B767" s="13" t="str">
        <x:v>BANCO DO BRASIL S.A.</x:v>
      </x:c>
      <x:c r="C767" s="16" t="n">
        <x:v>11488.5096162623</x:v>
      </x:c>
      <x:c r="D767" s="13" t="str">
        <x:v>Banks</x:v>
      </x:c>
      <x:c r="E767" s="13" t="str">
        <x:v>Banks</x:v>
      </x:c>
      <x:c r="F767" s="13" t="str">
        <x:v>Financials</x:v>
      </x:c>
      <x:c r="G767" s="13" t="str">
        <x:v>grid_wekqfxnd.xlsx</x:v>
      </x:c>
    </x:row>
    <x:row r="768">
      <x:c r="A768" s="15" t="n">
        <x:v>40575</x:v>
      </x:c>
      <x:c r="B768" s="13" t="str">
        <x:v>BANCO SANTANDER  BRASIL-UNIT</x:v>
      </x:c>
      <x:c r="C768" s="16" t="n">
        <x:v>7771.3622368525</x:v>
      </x:c>
      <x:c r="D768" s="13" t="str">
        <x:v>Banks</x:v>
      </x:c>
      <x:c r="E768" s="13" t="str">
        <x:v>Banks</x:v>
      </x:c>
      <x:c r="F768" s="13" t="str">
        <x:v>Financials</x:v>
      </x:c>
      <x:c r="G768" s="13" t="str">
        <x:v>grid_wekqfxnd.xlsx</x:v>
      </x:c>
    </x:row>
    <x:row r="769">
      <x:c r="A769" s="15" t="n">
        <x:v>40575</x:v>
      </x:c>
      <x:c r="B769" s="13" t="str">
        <x:v>ITAU UNIBANCO HOLDING S-PREF</x:v>
      </x:c>
      <x:c r="C769" s="16" t="n">
        <x:v>15718.8487638033</x:v>
      </x:c>
      <x:c r="D769" s="13" t="str">
        <x:v>Banks</x:v>
      </x:c>
      <x:c r="E769" s="13" t="str">
        <x:v>Banks</x:v>
      </x:c>
      <x:c r="F769" s="13" t="str">
        <x:v>Financials</x:v>
      </x:c>
      <x:c r="G769" s="13" t="str">
        <x:v>grid_wekqfxnd.xlsx</x:v>
      </x:c>
    </x:row>
    <x:row r="770">
      <x:c r="A770" s="15" t="n">
        <x:v>40575</x:v>
      </x:c>
      <x:c r="B770" s="13" t="str">
        <x:v>EMBRAER SA</x:v>
      </x:c>
      <x:c r="C770" s="16" t="n">
        <x:v>566.1094620328</x:v>
      </x:c>
      <x:c r="D770" s="13" t="str">
        <x:v>Capital Goods</x:v>
      </x:c>
      <x:c r="E770" s="13" t="str">
        <x:v>Capital Goods</x:v>
      </x:c>
      <x:c r="F770" s="13" t="str">
        <x:v>Deep Cyclicals</x:v>
      </x:c>
      <x:c r="G770" s="13" t="str">
        <x:v>grid_wekqfxnd.xlsx</x:v>
      </x:c>
    </x:row>
    <x:row r="771">
      <x:c r="A771" s="15" t="n">
        <x:v>40575</x:v>
      </x:c>
      <x:c r="B771" s="13" t="str">
        <x:v>B3 SA-BRASIL BOLSA BALCAO</x:v>
      </x:c>
      <x:c r="C771" s="16" t="n">
        <x:v>1651.8122575738</x:v>
      </x:c>
      <x:c r="D771" s="13" t="str">
        <x:v>Financials Non-Banks</x:v>
      </x:c>
      <x:c r="E771" s="13" t="str">
        <x:v>Financials Non-Banks</x:v>
      </x:c>
      <x:c r="F771" s="13" t="str">
        <x:v>Financials</x:v>
      </x:c>
      <x:c r="G771" s="13" t="str">
        <x:v>grid_wekqfxnd.xlsx</x:v>
      </x:c>
    </x:row>
    <x:row r="772">
      <x:c r="A772" s="15" t="n">
        <x:v>40575</x:v>
      </x:c>
      <x:c r="B772" s="13" t="str">
        <x:v>CIELO SA - INSTITUICAO DE PA</x:v>
      </x:c>
      <x:c r="C772" s="16" t="n">
        <x:v>1619.8765093771</x:v>
      </x:c>
      <x:c r="D772" s="13" t="str">
        <x:v>Financials Non-Banks</x:v>
      </x:c>
      <x:c r="E772" s="13" t="str">
        <x:v>Financials Non-Banks</x:v>
      </x:c>
      <x:c r="F772" s="13" t="str">
        <x:v>Financials</x:v>
      </x:c>
      <x:c r="G772" s="13" t="str">
        <x:v>grid_wekqfxnd.xlsx</x:v>
      </x:c>
    </x:row>
    <x:row r="773">
      <x:c r="A773" s="15" t="n">
        <x:v>40575</x:v>
      </x:c>
      <x:c r="B773" s="13" t="str">
        <x:v>ITAUSA SA</x:v>
      </x:c>
      <x:c r="C773" s="16" t="n">
        <x:v>6304.0493618361</x:v>
      </x:c>
      <x:c r="D773" s="13" t="str">
        <x:v>Financials Non-Banks</x:v>
      </x:c>
      <x:c r="E773" s="13" t="str">
        <x:v>Financials Non-Banks</x:v>
      </x:c>
      <x:c r="F773" s="13" t="str">
        <x:v>Financials</x:v>
      </x:c>
      <x:c r="G773" s="13" t="str">
        <x:v>grid_wekqfxnd.xlsx</x:v>
      </x:c>
    </x:row>
    <x:row r="774">
      <x:c r="A774" s="15" t="n">
        <x:v>40575</x:v>
      </x:c>
      <x:c r="B774" s="13" t="str">
        <x:v>REDECARD INSTITUICAO DE PAGA</x:v>
      </x:c>
      <x:c r="C774" s="16" t="n">
        <x:v>1226.1545526557</x:v>
      </x:c>
      <x:c r="D774" s="13" t="str">
        <x:v>Financials Non-Banks</x:v>
      </x:c>
      <x:c r="E774" s="13" t="str">
        <x:v>Financials Non-Banks</x:v>
      </x:c>
      <x:c r="F774" s="13" t="str">
        <x:v>Financials</x:v>
      </x:c>
      <x:c r="G774" s="13" t="str">
        <x:v>grid_wekqfxnd.xlsx</x:v>
      </x:c>
    </x:row>
    <x:row r="775">
      <x:c r="A775" s="15" t="n">
        <x:v>40575</x:v>
      </x:c>
      <x:c r="B775" s="13" t="str">
        <x:v>AMBEV SA</x:v>
      </x:c>
      <x:c r="C775" s="16" t="n">
        <x:v>7981.4394796066</x:v>
      </x:c>
      <x:c r="D775" s="13" t="str">
        <x:v>Food &amp; Beverages</x:v>
      </x:c>
      <x:c r="E775" s="13" t="str">
        <x:v>Agri, Food &amp; Beverages</x:v>
      </x:c>
      <x:c r="F775" s="13" t="str">
        <x:v>Defensives</x:v>
      </x:c>
      <x:c r="G775" s="13" t="str">
        <x:v>grid_wekqfxnd.xlsx</x:v>
      </x:c>
    </x:row>
    <x:row r="776">
      <x:c r="A776" s="15" t="n">
        <x:v>40575</x:v>
      </x:c>
      <x:c r="B776" s="13" t="str">
        <x:v>BRF SA</x:v>
      </x:c>
      <x:c r="C776" s="16" t="n">
        <x:v>1213.9898628197</x:v>
      </x:c>
      <x:c r="D776" s="13" t="str">
        <x:v>Food &amp; Beverages</x:v>
      </x:c>
      <x:c r="E776" s="13" t="str">
        <x:v>Agri, Food &amp; Beverages</x:v>
      </x:c>
      <x:c r="F776" s="13" t="str">
        <x:v>Defensives</x:v>
      </x:c>
      <x:c r="G776" s="13" t="str">
        <x:v>grid_wekqfxnd.xlsx</x:v>
      </x:c>
    </x:row>
    <x:row r="777">
      <x:c r="A777" s="15" t="n">
        <x:v>40575</x:v>
      </x:c>
      <x:c r="B777" s="13" t="str">
        <x:v>JBS SA</x:v>
      </x:c>
      <x:c r="C777" s="16" t="n">
        <x:v>1515.6393442623</x:v>
      </x:c>
      <x:c r="D777" s="13" t="str">
        <x:v>Food &amp; Beverages</x:v>
      </x:c>
      <x:c r="E777" s="13" t="str">
        <x:v>Agri, Food &amp; Beverages</x:v>
      </x:c>
      <x:c r="F777" s="13" t="str">
        <x:v>Defensives</x:v>
      </x:c>
      <x:c r="G777" s="13" t="str">
        <x:v>grid_wekqfxnd.xlsx</x:v>
      </x:c>
    </x:row>
    <x:row r="778">
      <x:c r="A778" s="15" t="n">
        <x:v>40575</x:v>
      </x:c>
      <x:c r="B778" s="13" t="str">
        <x:v>MBRF GLOBAL FOODS COMPANY SA</x:v>
      </x:c>
      <x:c r="C778" s="16" t="n">
        <x:v>294.8661723279</x:v>
      </x:c>
      <x:c r="D778" s="13" t="str">
        <x:v>Food &amp; Beverages</x:v>
      </x:c>
      <x:c r="E778" s="13" t="str">
        <x:v>Agri, Food &amp; Beverages</x:v>
      </x:c>
      <x:c r="F778" s="13" t="str">
        <x:v>Defensives</x:v>
      </x:c>
      <x:c r="G778" s="13" t="str">
        <x:v>grid_wekqfxnd.xlsx</x:v>
      </x:c>
    </x:row>
    <x:row r="779">
      <x:c r="A779" s="15" t="n">
        <x:v>40575</x:v>
      </x:c>
      <x:c r="B779" s="13" t="str">
        <x:v>SOUZA CRUZ LTDA</x:v>
      </x:c>
      <x:c r="C779" s="16" t="n">
        <x:v>1632.8334184918</x:v>
      </x:c>
      <x:c r="D779" s="13" t="str">
        <x:v>Food &amp; Beverages</x:v>
      </x:c>
      <x:c r="E779" s="13" t="str">
        <x:v>Agri, Food &amp; Beverages</x:v>
      </x:c>
      <x:c r="F779" s="13" t="str">
        <x:v>Defensives</x:v>
      </x:c>
      <x:c r="G779" s="13" t="str">
        <x:v>grid_wekqfxnd.xlsx</x:v>
      </x:c>
    </x:row>
    <x:row r="780">
      <x:c r="A780" s="15" t="n">
        <x:v>40575</x:v>
      </x:c>
      <x:c r="B780" s="13" t="str">
        <x:v>HYPERA SA</x:v>
      </x:c>
      <x:c r="C780" s="16" t="n">
        <x:v>554.5053686557</x:v>
      </x:c>
      <x:c r="D780" s="13" t="str">
        <x:v>Health Care</x:v>
      </x:c>
      <x:c r="E780" s="13" t="str">
        <x:v>Health Care</x:v>
      </x:c>
      <x:c r="F780" s="13" t="str">
        <x:v>Defensives</x:v>
      </x:c>
      <x:c r="G780" s="13" t="str">
        <x:v>grid_wekqfxnd.xlsx</x:v>
      </x:c>
    </x:row>
    <x:row r="781">
      <x:c r="A781" s="15" t="n">
        <x:v>40575</x:v>
      </x:c>
      <x:c r="B781" s="13" t="str">
        <x:v>CYRELA BRAZIL REALTY SA EMP</x:v>
      </x:c>
      <x:c r="C781" s="16" t="n">
        <x:v>974.6484910164</x:v>
      </x:c>
      <x:c r="D781" s="13" t="str">
        <x:v>Homebuilders</x:v>
      </x:c>
      <x:c r="E781" s="13" t="str">
        <x:v>Real Estate</x:v>
      </x:c>
      <x:c r="F781" s="13" t="str">
        <x:v>Early Cyclicals</x:v>
      </x:c>
      <x:c r="G781" s="13" t="str">
        <x:v>grid_wekqfxnd.xlsx</x:v>
      </x:c>
    </x:row>
    <x:row r="782">
      <x:c r="A782" s="15" t="n">
        <x:v>40575</x:v>
      </x:c>
      <x:c r="B782" s="13" t="str">
        <x:v>GAFISA SA</x:v>
      </x:c>
      <x:c r="C782" s="16" t="n">
        <x:v>565.8094767213</x:v>
      </x:c>
      <x:c r="D782" s="13" t="str">
        <x:v>Homebuilders</x:v>
      </x:c>
      <x:c r="E782" s="13" t="str">
        <x:v>Real Estate</x:v>
      </x:c>
      <x:c r="F782" s="13" t="str">
        <x:v>Early Cyclicals</x:v>
      </x:c>
      <x:c r="G782" s="13" t="str">
        <x:v>grid_wekqfxnd.xlsx</x:v>
      </x:c>
    </x:row>
    <x:row r="783">
      <x:c r="A783" s="15" t="n">
        <x:v>40575</x:v>
      </x:c>
      <x:c r="B783" s="13" t="str">
        <x:v>MRV ENGENHARIA</x:v>
      </x:c>
      <x:c r="C783" s="16" t="n">
        <x:v>858.0450780328</x:v>
      </x:c>
      <x:c r="D783" s="13" t="str">
        <x:v>Homebuilders</x:v>
      </x:c>
      <x:c r="E783" s="13" t="str">
        <x:v>Real Estate</x:v>
      </x:c>
      <x:c r="F783" s="13" t="str">
        <x:v>Early Cyclicals</x:v>
      </x:c>
      <x:c r="G783" s="13" t="str">
        <x:v>grid_wekqfxnd.xlsx</x:v>
      </x:c>
    </x:row>
    <x:row r="784">
      <x:c r="A784" s="15" t="n">
        <x:v>40575</x:v>
      </x:c>
      <x:c r="B784" s="13" t="str">
        <x:v>PDG REALTY SA</x:v>
      </x:c>
      <x:c r="C784" s="16" t="n">
        <x:v>1324.035764459</x:v>
      </x:c>
      <x:c r="D784" s="13" t="str">
        <x:v>Homebuilders</x:v>
      </x:c>
      <x:c r="E784" s="13" t="str">
        <x:v>Real Estate</x:v>
      </x:c>
      <x:c r="F784" s="13" t="str">
        <x:v>Early Cyclicals</x:v>
      </x:c>
      <x:c r="G784" s="13" t="str">
        <x:v>grid_wekqfxnd.xlsx</x:v>
      </x:c>
    </x:row>
    <x:row r="785">
      <x:c r="A785" s="15" t="n">
        <x:v>40575</x:v>
      </x:c>
      <x:c r="B785" s="13" t="str">
        <x:v>ROSSI RESIDENCIAL SA</x:v>
      </x:c>
      <x:c r="C785" s="16" t="n">
        <x:v>520.0667771803</x:v>
      </x:c>
      <x:c r="D785" s="13" t="str">
        <x:v>Homebuilders</x:v>
      </x:c>
      <x:c r="E785" s="13" t="str">
        <x:v>Real Estate</x:v>
      </x:c>
      <x:c r="F785" s="13" t="str">
        <x:v>Early Cyclicals</x:v>
      </x:c>
      <x:c r="G785" s="13" t="str">
        <x:v>grid_wekqfxnd.xlsx</x:v>
      </x:c>
    </x:row>
    <x:row r="786">
      <x:c r="A786" s="15" t="n">
        <x:v>40575</x:v>
      </x:c>
      <x:c r="B786" s="13" t="str">
        <x:v>TEGRA INCORPORADORA SA</x:v>
      </x:c>
      <x:c r="C786" s="16" t="n">
        <x:v>506.6733403279</x:v>
      </x:c>
      <x:c r="D786" s="13" t="str">
        <x:v>Homebuilders</x:v>
      </x:c>
      <x:c r="E786" s="13" t="str">
        <x:v>Real Estate</x:v>
      </x:c>
      <x:c r="F786" s="13" t="str">
        <x:v>Early Cyclicals</x:v>
      </x:c>
      <x:c r="G786" s="13" t="str">
        <x:v>grid_wekqfxnd.xlsx</x:v>
      </x:c>
    </x:row>
    <x:row r="787">
      <x:c r="A787" s="15" t="n">
        <x:v>40575</x:v>
      </x:c>
      <x:c r="B787" s="13" t="str">
        <x:v>CIA SIDERURGICA NACIONAL SA</x:v>
      </x:c>
      <x:c r="C787" s="16" t="n">
        <x:v>4304.4132007869</x:v>
      </x:c>
      <x:c r="D787" s="13" t="str">
        <x:v>Metals &amp; Mining</x:v>
      </x:c>
      <x:c r="E787" s="13" t="str">
        <x:v>Metals &amp; Mining</x:v>
      </x:c>
      <x:c r="F787" s="13" t="str">
        <x:v>Deep Cyclicals</x:v>
      </x:c>
      <x:c r="G787" s="13" t="str">
        <x:v>grid_wekqfxnd.xlsx</x:v>
      </x:c>
    </x:row>
    <x:row r="788">
      <x:c r="A788" s="15" t="n">
        <x:v>40575</x:v>
      </x:c>
      <x:c r="B788" s="13" t="str">
        <x:v>GERDAU SA-PREF</x:v>
      </x:c>
      <x:c r="C788" s="16" t="n">
        <x:v>2705.0510646557</x:v>
      </x:c>
      <x:c r="D788" s="13" t="str">
        <x:v>Metals &amp; Mining</x:v>
      </x:c>
      <x:c r="E788" s="13" t="str">
        <x:v>Metals &amp; Mining</x:v>
      </x:c>
      <x:c r="F788" s="13" t="str">
        <x:v>Deep Cyclicals</x:v>
      </x:c>
      <x:c r="G788" s="13" t="str">
        <x:v>grid_wekqfxnd.xlsx</x:v>
      </x:c>
    </x:row>
    <x:row r="789">
      <x:c r="A789" s="15" t="n">
        <x:v>40575</x:v>
      </x:c>
      <x:c r="B789" s="13" t="str">
        <x:v>METALURGICA GERDAU SA-PREF</x:v>
      </x:c>
      <x:c r="C789" s="16" t="n">
        <x:v>997.262295082</x:v>
      </x:c>
      <x:c r="D789" s="13" t="str">
        <x:v>Metals &amp; Mining</x:v>
      </x:c>
      <x:c r="E789" s="13" t="str">
        <x:v>Metals &amp; Mining</x:v>
      </x:c>
      <x:c r="F789" s="13" t="str">
        <x:v>Deep Cyclicals</x:v>
      </x:c>
      <x:c r="G789" s="13" t="str">
        <x:v>grid_wekqfxnd.xlsx</x:v>
      </x:c>
    </x:row>
    <x:row r="790">
      <x:c r="A790" s="15" t="n">
        <x:v>40575</x:v>
      </x:c>
      <x:c r="B790" s="13" t="str">
        <x:v>MMX MINERACAO E METALICOS SA</x:v>
      </x:c>
      <x:c r="C790" s="16" t="n">
        <x:v>352.5347540984</x:v>
      </x:c>
      <x:c r="D790" s="13" t="str">
        <x:v>Metals &amp; Mining</x:v>
      </x:c>
      <x:c r="E790" s="13" t="str">
        <x:v>Metals &amp; Mining</x:v>
      </x:c>
      <x:c r="F790" s="13" t="str">
        <x:v>Deep Cyclicals</x:v>
      </x:c>
      <x:c r="G790" s="13" t="str">
        <x:v>grid_wekqfxnd.xlsx</x:v>
      </x:c>
    </x:row>
    <x:row r="791">
      <x:c r="A791" s="15" t="n">
        <x:v>40575</x:v>
      </x:c>
      <x:c r="B791" s="13" t="str">
        <x:v>USINAS SIDER MINAS GER-PF A</x:v>
      </x:c>
      <x:c r="C791" s="16" t="n">
        <x:v>1655.4896451147</x:v>
      </x:c>
      <x:c r="D791" s="13" t="str">
        <x:v>Metals &amp; Mining</x:v>
      </x:c>
      <x:c r="E791" s="13" t="str">
        <x:v>Metals &amp; Mining</x:v>
      </x:c>
      <x:c r="F791" s="13" t="str">
        <x:v>Deep Cyclicals</x:v>
      </x:c>
      <x:c r="G791" s="13" t="str">
        <x:v>grid_wekqfxnd.xlsx</x:v>
      </x:c>
    </x:row>
    <x:row r="792">
      <x:c r="A792" s="15" t="n">
        <x:v>40575</x:v>
      </x:c>
      <x:c r="B792" s="13" t="str">
        <x:v>USINAS SIDERURGICAS DE MINAS</x:v>
      </x:c>
      <x:c r="C792" s="16" t="n">
        <x:v>1655.4896451147</x:v>
      </x:c>
      <x:c r="D792" s="13" t="str">
        <x:v>Metals &amp; Mining</x:v>
      </x:c>
      <x:c r="E792" s="13" t="str">
        <x:v>Metals &amp; Mining</x:v>
      </x:c>
      <x:c r="F792" s="13" t="str">
        <x:v>Deep Cyclicals</x:v>
      </x:c>
      <x:c r="G792" s="13" t="str">
        <x:v>grid_wekqfxnd.xlsx</x:v>
      </x:c>
    </x:row>
    <x:row r="793">
      <x:c r="A793" s="15" t="n">
        <x:v>40575</x:v>
      </x:c>
      <x:c r="B793" s="13" t="str">
        <x:v>VALE SA</x:v>
      </x:c>
      <x:c r="C793" s="16" t="n">
        <x:v>40700.5008073443</x:v>
      </x:c>
      <x:c r="D793" s="13" t="str">
        <x:v>Metals &amp; Mining</x:v>
      </x:c>
      <x:c r="E793" s="13" t="str">
        <x:v>Metals &amp; Mining</x:v>
      </x:c>
      <x:c r="F793" s="13" t="str">
        <x:v>Deep Cyclicals</x:v>
      </x:c>
      <x:c r="G793" s="13" t="str">
        <x:v>grid_wekqfxnd.xlsx</x:v>
      </x:c>
    </x:row>
    <x:row r="794">
      <x:c r="A794" s="15" t="n">
        <x:v>40575</x:v>
      </x:c>
      <x:c r="B794" s="13" t="str">
        <x:v>BRASKEM SA-PREF A</x:v>
      </x:c>
      <x:c r="C794" s="16" t="n">
        <x:v>1063.9916180984</x:v>
      </x:c>
      <x:c r="D794" s="13" t="str">
        <x:v>Oil, Gas &amp; Petrochemicals</x:v>
      </x:c>
      <x:c r="E794" s="13" t="str">
        <x:v>Oil, Gas &amp; Petrochemicals</x:v>
      </x:c>
      <x:c r="F794" s="13" t="str">
        <x:v>Deep Cyclicals</x:v>
      </x:c>
      <x:c r="G794" s="13" t="str">
        <x:v>grid_wekqfxnd.xlsx</x:v>
      </x:c>
    </x:row>
    <x:row r="795">
      <x:c r="A795" s="15" t="n">
        <x:v>40575</x:v>
      </x:c>
      <x:c r="B795" s="13" t="str">
        <x:v>COSAN SA</x:v>
      </x:c>
      <x:c r="C795" s="16" t="n">
        <x:v>1264</x:v>
      </x:c>
      <x:c r="D795" s="13" t="str">
        <x:v>Oil, Gas &amp; Petrochemicals</x:v>
      </x:c>
      <x:c r="E795" s="13" t="str">
        <x:v>Oil, Gas &amp; Petrochemicals</x:v>
      </x:c>
      <x:c r="F795" s="13" t="str">
        <x:v>Deep Cyclicals</x:v>
      </x:c>
      <x:c r="G795" s="13" t="str">
        <x:v>grid_wekqfxnd.xlsx</x:v>
      </x:c>
    </x:row>
    <x:row r="796">
      <x:c r="A796" s="15" t="n">
        <x:v>40575</x:v>
      </x:c>
      <x:c r="B796" s="13" t="str">
        <x:v>OLEO E GAS PARTICIPACOES SA</x:v>
      </x:c>
      <x:c r="C796" s="16" t="n">
        <x:v>428.7967265574</x:v>
      </x:c>
      <x:c r="D796" s="13" t="str">
        <x:v>Oil, Gas &amp; Petrochemicals</x:v>
      </x:c>
      <x:c r="E796" s="13" t="str">
        <x:v>Oil, Gas &amp; Petrochemicals</x:v>
      </x:c>
      <x:c r="F796" s="13" t="str">
        <x:v>Deep Cyclicals</x:v>
      </x:c>
      <x:c r="G796" s="13" t="str">
        <x:v>grid_wekqfxnd.xlsx</x:v>
      </x:c>
    </x:row>
    <x:row r="797">
      <x:c r="A797" s="15" t="n">
        <x:v>40575</x:v>
      </x:c>
      <x:c r="B797" s="13" t="str">
        <x:v>PETROBRAS - PETROLEO BRAS</x:v>
      </x:c>
      <x:c r="C797" s="16" t="n">
        <x:v>35747.873506623</x:v>
      </x:c>
      <x:c r="D797" s="13" t="str">
        <x:v>Oil, Gas &amp; Petrochemicals</x:v>
      </x:c>
      <x:c r="E797" s="13" t="str">
        <x:v>Oil, Gas &amp; Petrochemicals</x:v>
      </x:c>
      <x:c r="F797" s="13" t="str">
        <x:v>Deep Cyclicals</x:v>
      </x:c>
      <x:c r="G797" s="13" t="str">
        <x:v>grid_wekqfxnd.xlsx</x:v>
      </x:c>
    </x:row>
    <x:row r="798">
      <x:c r="A798" s="15" t="n">
        <x:v>40575</x:v>
      </x:c>
      <x:c r="B798" s="13" t="str">
        <x:v>ULTRAPAR PARTICIPACOES-PREF</x:v>
      </x:c>
      <x:c r="C798" s="16" t="n">
        <x:v>866.1557109508</x:v>
      </x:c>
      <x:c r="D798" s="13" t="str">
        <x:v>Oil, Gas &amp; Petrochemicals</x:v>
      </x:c>
      <x:c r="E798" s="13" t="str">
        <x:v>Oil, Gas &amp; Petrochemicals</x:v>
      </x:c>
      <x:c r="F798" s="13" t="str">
        <x:v>Deep Cyclicals</x:v>
      </x:c>
      <x:c r="G798" s="13" t="str">
        <x:v>grid_wekqfxnd.xlsx</x:v>
      </x:c>
    </x:row>
    <x:row r="799">
      <x:c r="A799" s="15" t="n">
        <x:v>40575</x:v>
      </x:c>
      <x:c r="B799" s="13" t="str">
        <x:v>DEXCO SA</x:v>
      </x:c>
      <x:c r="C799" s="16" t="n">
        <x:v>511.6392225574</x:v>
      </x:c>
      <x:c r="D799" s="13" t="str">
        <x:v>Pulp &amp; Paper</x:v>
      </x:c>
      <x:c r="E799" s="13" t="str">
        <x:v>Pulp &amp; Paper</x:v>
      </x:c>
      <x:c r="F799" s="13" t="str">
        <x:v>Deep Cyclicals</x:v>
      </x:c>
      <x:c r="G799" s="13" t="str">
        <x:v>grid_wekqfxnd.xlsx</x:v>
      </x:c>
    </x:row>
    <x:row r="800">
      <x:c r="A800" s="15" t="n">
        <x:v>40575</x:v>
      </x:c>
      <x:c r="B800" s="13" t="str">
        <x:v>FIBRIA CELULOSE S/A</x:v>
      </x:c>
      <x:c r="C800" s="16" t="n">
        <x:v>401.5814305574</x:v>
      </x:c>
      <x:c r="D800" s="13" t="str">
        <x:v>Pulp &amp; Paper</x:v>
      </x:c>
      <x:c r="E800" s="13" t="str">
        <x:v>Pulp &amp; Paper</x:v>
      </x:c>
      <x:c r="F800" s="13" t="str">
        <x:v>Deep Cyclicals</x:v>
      </x:c>
      <x:c r="G800" s="13" t="str">
        <x:v>grid_wekqfxnd.xlsx</x:v>
      </x:c>
    </x:row>
    <x:row r="801">
      <x:c r="A801" s="15" t="n">
        <x:v>40575</x:v>
      </x:c>
      <x:c r="B801" s="13" t="str">
        <x:v>AMERICANAS SA</x:v>
      </x:c>
      <x:c r="C801" s="16" t="n">
        <x:v>98.7488443279</x:v>
      </x:c>
      <x:c r="D801" s="13" t="str">
        <x:v>Retail</x:v>
      </x:c>
      <x:c r="E801" s="13" t="str">
        <x:v>Retail</x:v>
      </x:c>
      <x:c r="F801" s="13" t="str">
        <x:v>Early Cyclicals</x:v>
      </x:c>
      <x:c r="G801" s="13" t="str">
        <x:v>grid_wekqfxnd.xlsx</x:v>
      </x:c>
    </x:row>
    <x:row r="802">
      <x:c r="A802" s="15" t="n">
        <x:v>40575</x:v>
      </x:c>
      <x:c r="B802" s="13" t="str">
        <x:v>CIA BRASILEIRA DE DIS-PREF</x:v>
      </x:c>
      <x:c r="C802" s="16" t="n">
        <x:v>818.5199548852</x:v>
      </x:c>
      <x:c r="D802" s="13" t="str">
        <x:v>Retail</x:v>
      </x:c>
      <x:c r="E802" s="13" t="str">
        <x:v>Retail</x:v>
      </x:c>
      <x:c r="F802" s="13" t="str">
        <x:v>Early Cyclicals</x:v>
      </x:c>
      <x:c r="G802" s="13" t="str">
        <x:v>grid_wekqfxnd.xlsx</x:v>
      </x:c>
    </x:row>
    <x:row r="803">
      <x:c r="A803" s="15" t="n">
        <x:v>40575</x:v>
      </x:c>
      <x:c r="B803" s="13" t="str">
        <x:v>LOJAS AMERICANAS SA-PREF</x:v>
      </x:c>
      <x:c r="C803" s="16" t="n">
        <x:v>395.5939331148</x:v>
      </x:c>
      <x:c r="D803" s="13" t="str">
        <x:v>Retail</x:v>
      </x:c>
      <x:c r="E803" s="13" t="str">
        <x:v>Retail</x:v>
      </x:c>
      <x:c r="F803" s="13" t="str">
        <x:v>Early Cyclicals</x:v>
      </x:c>
      <x:c r="G803" s="13" t="str">
        <x:v>grid_wekqfxnd.xlsx</x:v>
      </x:c>
    </x:row>
    <x:row r="804">
      <x:c r="A804" s="15" t="n">
        <x:v>40575</x:v>
      </x:c>
      <x:c r="B804" s="13" t="str">
        <x:v>LOJAS RENNER S.A.</x:v>
      </x:c>
      <x:c r="C804" s="16" t="n">
        <x:v>352.342272</x:v>
      </x:c>
      <x:c r="D804" s="13" t="str">
        <x:v>Retail</x:v>
      </x:c>
      <x:c r="E804" s="13" t="str">
        <x:v>Retail</x:v>
      </x:c>
      <x:c r="F804" s="13" t="str">
        <x:v>Early Cyclicals</x:v>
      </x:c>
      <x:c r="G804" s="13" t="str">
        <x:v>grid_wekqfxnd.xlsx</x:v>
      </x:c>
    </x:row>
    <x:row r="805">
      <x:c r="A805" s="15" t="n">
        <x:v>40575</x:v>
      </x:c>
      <x:c r="B805" s="13" t="str">
        <x:v>NATURA COSMETICOS SA</x:v>
      </x:c>
      <x:c r="C805" s="16" t="n">
        <x:v>892.2234984918</x:v>
      </x:c>
      <x:c r="D805" s="13" t="str">
        <x:v>Retail</x:v>
      </x:c>
      <x:c r="E805" s="13" t="str">
        <x:v>Retail</x:v>
      </x:c>
      <x:c r="F805" s="13" t="str">
        <x:v>Early Cyclicals</x:v>
      </x:c>
      <x:c r="G805" s="13" t="str">
        <x:v>grid_wekqfxnd.xlsx</x:v>
      </x:c>
    </x:row>
    <x:row r="806">
      <x:c r="A806" s="15" t="n">
        <x:v>40575</x:v>
      </x:c>
      <x:c r="B806" s="13" t="str">
        <x:v>CIA SANEAMENTO BASICO DE SP</x:v>
      </x:c>
      <x:c r="C806" s="16" t="n">
        <x:v>1370.8457778361</x:v>
      </x:c>
      <x:c r="D806" s="13" t="str">
        <x:v>Sanitation</x:v>
      </x:c>
      <x:c r="E806" s="13" t="str">
        <x:v>Utilities</x:v>
      </x:c>
      <x:c r="F806" s="13" t="str">
        <x:v>Defensives</x:v>
      </x:c>
      <x:c r="G806" s="13" t="str">
        <x:v>grid_wekqfxnd.xlsx</x:v>
      </x:c>
    </x:row>
    <x:row r="807">
      <x:c r="A807" s="15" t="n">
        <x:v>40575</x:v>
      </x:c>
      <x:c r="B807" s="13" t="str">
        <x:v>OI SA-PREFERENCE</x:v>
      </x:c>
      <x:c r="C807" s="16" t="n">
        <x:v>1254.3250738361</x:v>
      </x:c>
      <x:c r="D807" s="13" t="str">
        <x:v>TMT</x:v>
      </x:c>
      <x:c r="E807" s="13" t="str">
        <x:v>TMT</x:v>
      </x:c>
      <x:c r="F807" s="13" t="str">
        <x:v>Early Cyclicals</x:v>
      </x:c>
      <x:c r="G807" s="13" t="str">
        <x:v>grid_wekqfxnd.xlsx</x:v>
      </x:c>
    </x:row>
    <x:row r="808">
      <x:c r="A808" s="15" t="n">
        <x:v>40575</x:v>
      </x:c>
      <x:c r="B808" s="13" t="str">
        <x:v>TELE NORTE LESTE PART</x:v>
      </x:c>
      <x:c r="C808" s="16" t="n">
        <x:v>1729.5032278033</x:v>
      </x:c>
      <x:c r="D808" s="13" t="str">
        <x:v>TMT</x:v>
      </x:c>
      <x:c r="E808" s="13" t="str">
        <x:v>TMT</x:v>
      </x:c>
      <x:c r="F808" s="13" t="str">
        <x:v>Early Cyclicals</x:v>
      </x:c>
      <x:c r="G808" s="13" t="str">
        <x:v>grid_wekqfxnd.xlsx</x:v>
      </x:c>
    </x:row>
    <x:row r="809">
      <x:c r="A809" s="15" t="n">
        <x:v>40575</x:v>
      </x:c>
      <x:c r="B809" s="13" t="str">
        <x:v>TELEFONICA BRASIL S.A.-PREF</x:v>
      </x:c>
      <x:c r="C809" s="16" t="n">
        <x:v>2148.1543344262</x:v>
      </x:c>
      <x:c r="D809" s="13" t="str">
        <x:v>TMT</x:v>
      </x:c>
      <x:c r="E809" s="13" t="str">
        <x:v>TMT</x:v>
      </x:c>
      <x:c r="F809" s="13" t="str">
        <x:v>Early Cyclicals</x:v>
      </x:c>
      <x:c r="G809" s="13" t="str">
        <x:v>grid_wekqfxnd.xlsx</x:v>
      </x:c>
    </x:row>
    <x:row r="810">
      <x:c r="A810" s="15" t="n">
        <x:v>40575</x:v>
      </x:c>
      <x:c r="B810" s="13" t="str">
        <x:v>TELEMAR NORTE LESTE SA</x:v>
      </x:c>
      <x:c r="C810" s="16" t="n">
        <x:v>2234.9979740328</x:v>
      </x:c>
      <x:c r="D810" s="13" t="str">
        <x:v>TMT</x:v>
      </x:c>
      <x:c r="E810" s="13" t="str">
        <x:v>TMT</x:v>
      </x:c>
      <x:c r="F810" s="13" t="str">
        <x:v>Early Cyclicals</x:v>
      </x:c>
      <x:c r="G810" s="13" t="str">
        <x:v>grid_wekqfxnd.xlsx</x:v>
      </x:c>
    </x:row>
    <x:row r="811">
      <x:c r="A811" s="15" t="n">
        <x:v>40575</x:v>
      </x:c>
      <x:c r="B811" s="13" t="str">
        <x:v>TIM PARTICIPACOES SA-PREF</x:v>
      </x:c>
      <x:c r="C811" s="16" t="n">
        <x:v>968.8804385574</x:v>
      </x:c>
      <x:c r="D811" s="13" t="str">
        <x:v>TMT</x:v>
      </x:c>
      <x:c r="E811" s="13" t="str">
        <x:v>TMT</x:v>
      </x:c>
      <x:c r="F811" s="13" t="str">
        <x:v>Early Cyclicals</x:v>
      </x:c>
      <x:c r="G811" s="13" t="str">
        <x:v>grid_wekqfxnd.xlsx</x:v>
      </x:c>
    </x:row>
    <x:row r="812">
      <x:c r="A812" s="15" t="n">
        <x:v>40575</x:v>
      </x:c>
      <x:c r="B812" s="13" t="str">
        <x:v>TIM SA</x:v>
      </x:c>
      <x:c r="C812" s="16" t="n">
        <x:v>968.8804385574</x:v>
      </x:c>
      <x:c r="D812" s="13" t="str">
        <x:v>TMT</x:v>
      </x:c>
      <x:c r="E812" s="13" t="str">
        <x:v>TMT</x:v>
      </x:c>
      <x:c r="F812" s="13" t="str">
        <x:v>Early Cyclicals</x:v>
      </x:c>
      <x:c r="G812" s="13" t="str">
        <x:v>grid_wekqfxnd.xlsx</x:v>
      </x:c>
    </x:row>
    <x:row r="813">
      <x:c r="A813" s="15" t="n">
        <x:v>40575</x:v>
      </x:c>
      <x:c r="B813" s="13" t="str">
        <x:v>VIVO PARTICIPACOES SA-PREF</x:v>
      </x:c>
      <x:c r="C813" s="16" t="n">
        <x:v>1999.137844459</x:v>
      </x:c>
      <x:c r="D813" s="13" t="str">
        <x:v>TMT</x:v>
      </x:c>
      <x:c r="E813" s="13" t="str">
        <x:v>TMT</x:v>
      </x:c>
      <x:c r="F813" s="13" t="str">
        <x:v>Early Cyclicals</x:v>
      </x:c>
      <x:c r="G813" s="13" t="str">
        <x:v>grid_wekqfxnd.xlsx</x:v>
      </x:c>
    </x:row>
    <x:row r="814">
      <x:c r="A814" s="15" t="n">
        <x:v>40575</x:v>
      </x:c>
      <x:c r="B814" s="13" t="str">
        <x:v>GOL LINHAS AEREAS INT SA-PRE</x:v>
      </x:c>
      <x:c r="C814" s="16" t="n">
        <x:v>491.0653057049</x:v>
      </x:c>
      <x:c r="D814" s="13" t="str">
        <x:v>Transportation</x:v>
      </x:c>
      <x:c r="E814" s="13" t="str">
        <x:v>Transportation</x:v>
      </x:c>
      <x:c r="F814" s="13" t="str">
        <x:v>Deep Cyclicals</x:v>
      </x:c>
      <x:c r="G814" s="13" t="str">
        <x:v>grid_wekqfxnd.xlsx</x:v>
      </x:c>
    </x:row>
    <x:row r="815">
      <x:c r="A815" s="15" t="n">
        <x:v>40575</x:v>
      </x:c>
      <x:c r="B815" s="13" t="str">
        <x:v>MOTIVA INFRAESTRUTURA DE MOB</x:v>
      </x:c>
      <x:c r="C815" s="16" t="n">
        <x:v>1069.7426066885</x:v>
      </x:c>
      <x:c r="D815" s="13" t="str">
        <x:v>Transportation</x:v>
      </x:c>
      <x:c r="E815" s="13" t="str">
        <x:v>Transportation</x:v>
      </x:c>
      <x:c r="F815" s="13" t="str">
        <x:v>Deep Cyclicals</x:v>
      </x:c>
      <x:c r="G815" s="13" t="str">
        <x:v>grid_wekqfxnd.xlsx</x:v>
      </x:c>
    </x:row>
    <x:row r="816">
      <x:c r="A816" s="15" t="n">
        <x:v>40575</x:v>
      </x:c>
      <x:c r="B816" s="13" t="str">
        <x:v>PRUMO LOGISTICA SA</x:v>
      </x:c>
      <x:c r="C816" s="16" t="n">
        <x:v>-65.7376737049</x:v>
      </x:c>
      <x:c r="D816" s="13" t="str">
        <x:v>Transportation</x:v>
      </x:c>
      <x:c r="E816" s="13" t="str">
        <x:v>Transportation</x:v>
      </x:c>
      <x:c r="F816" s="13" t="str">
        <x:v>Deep Cyclicals</x:v>
      </x:c>
      <x:c r="G816" s="13" t="str">
        <x:v>grid_wekqfxnd.xlsx</x:v>
      </x:c>
    </x:row>
    <x:row r="817">
      <x:c r="A817" s="15" t="n">
        <x:v>40575</x:v>
      </x:c>
      <x:c r="B817" s="13" t="str">
        <x:v>RUMO SA</x:v>
      </x:c>
      <x:c r="C817" s="16" t="n">
        <x:v>285.3796393443</x:v>
      </x:c>
      <x:c r="D817" s="13" t="str">
        <x:v>Transportation</x:v>
      </x:c>
      <x:c r="E817" s="13" t="str">
        <x:v>Transportation</x:v>
      </x:c>
      <x:c r="F817" s="13" t="str">
        <x:v>Deep Cyclicals</x:v>
      </x:c>
      <x:c r="G817" s="13" t="str">
        <x:v>grid_wekqfxnd.xlsx</x:v>
      </x:c>
    </x:row>
    <x:row r="818">
      <x:c r="A818" s="15" t="n">
        <x:v>40575</x:v>
      </x:c>
      <x:c r="B818" s="13" t="str">
        <x:v>TAM SA-PREF</x:v>
      </x:c>
      <x:c r="C818" s="16" t="n">
        <x:v>333.3852432787</x:v>
      </x:c>
      <x:c r="D818" s="13" t="str">
        <x:v>Transportation</x:v>
      </x:c>
      <x:c r="E818" s="13" t="str">
        <x:v>Transportation</x:v>
      </x:c>
      <x:c r="F818" s="13" t="str">
        <x:v>Deep Cyclicals</x:v>
      </x:c>
      <x:c r="G818" s="13" t="str">
        <x:v>grid_wekqfxnd.xlsx</x:v>
      </x:c>
    </x:row>
    <x:row r="819">
      <x:c r="A819" s="15" t="n">
        <x:v>40575</x:v>
      </x:c>
      <x:c r="B819" s="13" t="str">
        <x:v>AXIA ENERGIA SA</x:v>
      </x:c>
      <x:c r="C819" s="16" t="n">
        <x:v>3808.1369012459</x:v>
      </x:c>
      <x:c r="D819" s="13" t="str">
        <x:v>Utilities &amp; Energy</x:v>
      </x:c>
      <x:c r="E819" s="13" t="str">
        <x:v>Utilities</x:v>
      </x:c>
      <x:c r="F819" s="13" t="str">
        <x:v>Defensives</x:v>
      </x:c>
      <x:c r="G819" s="13" t="str">
        <x:v>grid_wekqfxnd.xlsx</x:v>
      </x:c>
    </x:row>
    <x:row r="820">
      <x:c r="A820" s="15" t="n">
        <x:v>40575</x:v>
      </x:c>
      <x:c r="B820" s="13" t="str">
        <x:v>AXIA ENERGIA-PR B</x:v>
      </x:c>
      <x:c r="C820" s="16" t="n">
        <x:v>3808.1369012459</x:v>
      </x:c>
      <x:c r="D820" s="13" t="str">
        <x:v>Utilities &amp; Energy</x:v>
      </x:c>
      <x:c r="E820" s="13" t="str">
        <x:v>Utilities</x:v>
      </x:c>
      <x:c r="F820" s="13" t="str">
        <x:v>Defensives</x:v>
      </x:c>
      <x:c r="G820" s="13" t="str">
        <x:v>grid_wekqfxnd.xlsx</x:v>
      </x:c>
    </x:row>
    <x:row r="821">
      <x:c r="A821" s="15" t="n">
        <x:v>40575</x:v>
      </x:c>
      <x:c r="B821" s="13" t="str">
        <x:v>CESP - CIA ENERGETICA DE SAO</x:v>
      </x:c>
      <x:c r="C821" s="16" t="n">
        <x:v>685.5486499672</x:v>
      </x:c>
      <x:c r="D821" s="13" t="str">
        <x:v>Utilities &amp; Energy</x:v>
      </x:c>
      <x:c r="E821" s="13" t="str">
        <x:v>Utilities</x:v>
      </x:c>
      <x:c r="F821" s="13" t="str">
        <x:v>Defensives</x:v>
      </x:c>
      <x:c r="G821" s="13" t="str">
        <x:v>grid_wekqfxnd.xlsx</x:v>
      </x:c>
    </x:row>
    <x:row r="822">
      <x:c r="A822" s="15" t="n">
        <x:v>40575</x:v>
      </x:c>
      <x:c r="B822" s="13" t="str">
        <x:v>CIA ENERGETICA MINAS GER-PRF</x:v>
      </x:c>
      <x:c r="C822" s="16" t="n">
        <x:v>2121.2283950164</x:v>
      </x:c>
      <x:c r="D822" s="13" t="str">
        <x:v>Utilities &amp; Energy</x:v>
      </x:c>
      <x:c r="E822" s="13" t="str">
        <x:v>Utilities</x:v>
      </x:c>
      <x:c r="F822" s="13" t="str">
        <x:v>Defensives</x:v>
      </x:c>
      <x:c r="G822" s="13" t="str">
        <x:v>grid_wekqfxnd.xlsx</x:v>
      </x:c>
    </x:row>
    <x:row r="823">
      <x:c r="A823" s="15" t="n">
        <x:v>40575</x:v>
      </x:c>
      <x:c r="B823" s="13" t="str">
        <x:v>COMPANHIA PARANAENSE -PREF B</x:v>
      </x:c>
      <x:c r="C823" s="16" t="n">
        <x:v>1257.4693791475</x:v>
      </x:c>
      <x:c r="D823" s="13" t="str">
        <x:v>Utilities &amp; Energy</x:v>
      </x:c>
      <x:c r="E823" s="13" t="str">
        <x:v>Utilities</x:v>
      </x:c>
      <x:c r="F823" s="13" t="str">
        <x:v>Defensives</x:v>
      </x:c>
      <x:c r="G823" s="13" t="str">
        <x:v>grid_wekqfxnd.xlsx</x:v>
      </x:c>
    </x:row>
    <x:row r="824">
      <x:c r="A824" s="15" t="n">
        <x:v>40575</x:v>
      </x:c>
      <x:c r="B824" s="13" t="str">
        <x:v>CPFL ENERGIA SA</x:v>
      </x:c>
      <x:c r="C824" s="16" t="n">
        <x:v>1627.2545741639</x:v>
      </x:c>
      <x:c r="D824" s="13" t="str">
        <x:v>Utilities &amp; Energy</x:v>
      </x:c>
      <x:c r="E824" s="13" t="str">
        <x:v>Utilities</x:v>
      </x:c>
      <x:c r="F824" s="13" t="str">
        <x:v>Defensives</x:v>
      </x:c>
      <x:c r="G824" s="13" t="str">
        <x:v>grid_wekqfxnd.xlsx</x:v>
      </x:c>
    </x:row>
    <x:row r="825">
      <x:c r="A825" s="15" t="n">
        <x:v>40575</x:v>
      </x:c>
      <x:c r="B825" s="13" t="str">
        <x:v>ELETROPAULO METROPOLI-PREF</x:v>
      </x:c>
      <x:c r="C825" s="16" t="n">
        <x:v>644.4778166557</x:v>
      </x:c>
      <x:c r="D825" s="13" t="str">
        <x:v>Utilities &amp; Energy</x:v>
      </x:c>
      <x:c r="E825" s="13" t="str">
        <x:v>Utilities</x:v>
      </x:c>
      <x:c r="F825" s="13" t="str">
        <x:v>Defensives</x:v>
      </x:c>
      <x:c r="G825" s="13" t="str">
        <x:v>grid_wekqfxnd.xlsx</x:v>
      </x:c>
    </x:row>
    <x:row r="826">
      <x:c r="A826" s="15" t="n">
        <x:v>40575</x:v>
      </x:c>
      <x:c r="B826" s="13" t="str">
        <x:v>ISA ENERGIA BRASIL SA</x:v>
      </x:c>
      <x:c r="C826" s="16" t="n">
        <x:v>844.024331541</x:v>
      </x:c>
      <x:c r="D826" s="13" t="str">
        <x:v>Utilities &amp; Energy</x:v>
      </x:c>
      <x:c r="E826" s="13" t="str">
        <x:v>Utilities</x:v>
      </x:c>
      <x:c r="F826" s="13" t="str">
        <x:v>Defensives</x:v>
      </x:c>
      <x:c r="G826" s="13" t="str">
        <x:v>grid_wekqfxnd.xlsx</x:v>
      </x:c>
    </x:row>
    <x:row r="827">
      <x:c r="A827" s="15" t="n">
        <x:v>40575</x:v>
      </x:c>
      <x:c r="B827" s="13" t="str">
        <x:v>LIGHT SA</x:v>
      </x:c>
      <x:c r="C827" s="16" t="n">
        <x:v>604.5245901639</x:v>
      </x:c>
      <x:c r="D827" s="13" t="str">
        <x:v>Utilities &amp; Energy</x:v>
      </x:c>
      <x:c r="E827" s="13" t="str">
        <x:v>Utilities</x:v>
      </x:c>
      <x:c r="F827" s="13" t="str">
        <x:v>Defensives</x:v>
      </x:c>
      <x:c r="G827" s="13" t="str">
        <x:v>grid_wekqfxnd.xlsx</x:v>
      </x:c>
    </x:row>
    <x:row r="828">
      <x:c r="A828" s="15" t="n">
        <x:v>40603</x:v>
      </x:c>
      <x:c r="B828" s="13" t="str">
        <x:v>BANCO BRADESCO SA-PREF</x:v>
      </x:c>
      <x:c r="C828" s="16" t="n">
        <x:v>11676.2919085464</x:v>
      </x:c>
      <x:c r="D828" s="13" t="str">
        <x:v>Banks</x:v>
      </x:c>
      <x:c r="E828" s="13" t="str">
        <x:v>Banks</x:v>
      </x:c>
      <x:c r="F828" s="13" t="str">
        <x:v>Financials</x:v>
      </x:c>
      <x:c r="G828" s="13" t="str">
        <x:v>grid_wekqfxnd.xlsx</x:v>
      </x:c>
    </x:row>
    <x:row r="829">
      <x:c r="A829" s="15" t="n">
        <x:v>40603</x:v>
      </x:c>
      <x:c r="B829" s="13" t="str">
        <x:v>BANCO DO BRASIL S.A.</x:v>
      </x:c>
      <x:c r="C829" s="16" t="n">
        <x:v>11652.9981188197</x:v>
      </x:c>
      <x:c r="D829" s="13" t="str">
        <x:v>Banks</x:v>
      </x:c>
      <x:c r="E829" s="13" t="str">
        <x:v>Banks</x:v>
      </x:c>
      <x:c r="F829" s="13" t="str">
        <x:v>Financials</x:v>
      </x:c>
      <x:c r="G829" s="13" t="str">
        <x:v>grid_wekqfxnd.xlsx</x:v>
      </x:c>
    </x:row>
    <x:row r="830">
      <x:c r="A830" s="15" t="n">
        <x:v>40603</x:v>
      </x:c>
      <x:c r="B830" s="13" t="str">
        <x:v>BANCO SANTANDER  BRASIL-UNIT</x:v>
      </x:c>
      <x:c r="C830" s="16" t="n">
        <x:v>7867.3263660765</x:v>
      </x:c>
      <x:c r="D830" s="13" t="str">
        <x:v>Banks</x:v>
      </x:c>
      <x:c r="E830" s="13" t="str">
        <x:v>Banks</x:v>
      </x:c>
      <x:c r="F830" s="13" t="str">
        <x:v>Financials</x:v>
      </x:c>
      <x:c r="G830" s="13" t="str">
        <x:v>grid_wekqfxnd.xlsx</x:v>
      </x:c>
    </x:row>
    <x:row r="831">
      <x:c r="A831" s="15" t="n">
        <x:v>40603</x:v>
      </x:c>
      <x:c r="B831" s="13" t="str">
        <x:v>ITAU UNIBANCO HOLDING S-PREF</x:v>
      </x:c>
      <x:c r="C831" s="16" t="n">
        <x:v>15839.108367388</x:v>
      </x:c>
      <x:c r="D831" s="13" t="str">
        <x:v>Banks</x:v>
      </x:c>
      <x:c r="E831" s="13" t="str">
        <x:v>Banks</x:v>
      </x:c>
      <x:c r="F831" s="13" t="str">
        <x:v>Financials</x:v>
      </x:c>
      <x:c r="G831" s="13" t="str">
        <x:v>grid_wekqfxnd.xlsx</x:v>
      </x:c>
    </x:row>
    <x:row r="832">
      <x:c r="A832" s="15" t="n">
        <x:v>40603</x:v>
      </x:c>
      <x:c r="B832" s="13" t="str">
        <x:v>EMBRAER SA</x:v>
      </x:c>
      <x:c r="C832" s="16" t="n">
        <x:v>563.7587290055</x:v>
      </x:c>
      <x:c r="D832" s="13" t="str">
        <x:v>Capital Goods</x:v>
      </x:c>
      <x:c r="E832" s="13" t="str">
        <x:v>Capital Goods</x:v>
      </x:c>
      <x:c r="F832" s="13" t="str">
        <x:v>Deep Cyclicals</x:v>
      </x:c>
      <x:c r="G832" s="13" t="str">
        <x:v>grid_wekqfxnd.xlsx</x:v>
      </x:c>
    </x:row>
    <x:row r="833">
      <x:c r="A833" s="15" t="n">
        <x:v>40603</x:v>
      </x:c>
      <x:c r="B833" s="13" t="str">
        <x:v>B3 SA-BRASIL BOLSA BALCAO</x:v>
      </x:c>
      <x:c r="C833" s="16" t="n">
        <x:v>1589.873505224</x:v>
      </x:c>
      <x:c r="D833" s="13" t="str">
        <x:v>Financials Non-Banks</x:v>
      </x:c>
      <x:c r="E833" s="13" t="str">
        <x:v>Financials Non-Banks</x:v>
      </x:c>
      <x:c r="F833" s="13" t="str">
        <x:v>Financials</x:v>
      </x:c>
      <x:c r="G833" s="13" t="str">
        <x:v>grid_wekqfxnd.xlsx</x:v>
      </x:c>
    </x:row>
    <x:row r="834">
      <x:c r="A834" s="15" t="n">
        <x:v>40603</x:v>
      </x:c>
      <x:c r="B834" s="13" t="str">
        <x:v>CIELO SA - INSTITUICAO DE PA</x:v>
      </x:c>
      <x:c r="C834" s="16" t="n">
        <x:v>1586.2335986011</x:v>
      </x:c>
      <x:c r="D834" s="13" t="str">
        <x:v>Financials Non-Banks</x:v>
      </x:c>
      <x:c r="E834" s="13" t="str">
        <x:v>Financials Non-Banks</x:v>
      </x:c>
      <x:c r="F834" s="13" t="str">
        <x:v>Financials</x:v>
      </x:c>
      <x:c r="G834" s="13" t="str">
        <x:v>grid_wekqfxnd.xlsx</x:v>
      </x:c>
    </x:row>
    <x:row r="835">
      <x:c r="A835" s="15" t="n">
        <x:v>40603</x:v>
      </x:c>
      <x:c r="B835" s="13" t="str">
        <x:v>ITAUSA SA</x:v>
      </x:c>
      <x:c r="C835" s="16" t="n">
        <x:v>6323.553821377</x:v>
      </x:c>
      <x:c r="D835" s="13" t="str">
        <x:v>Financials Non-Banks</x:v>
      </x:c>
      <x:c r="E835" s="13" t="str">
        <x:v>Financials Non-Banks</x:v>
      </x:c>
      <x:c r="F835" s="13" t="str">
        <x:v>Financials</x:v>
      </x:c>
      <x:c r="G835" s="13" t="str">
        <x:v>grid_wekqfxnd.xlsx</x:v>
      </x:c>
    </x:row>
    <x:row r="836">
      <x:c r="A836" s="15" t="n">
        <x:v>40603</x:v>
      </x:c>
      <x:c r="B836" s="13" t="str">
        <x:v>REDECARD INSTITUICAO DE PAGA</x:v>
      </x:c>
      <x:c r="C836" s="16" t="n">
        <x:v>1221.8770811803</x:v>
      </x:c>
      <x:c r="D836" s="13" t="str">
        <x:v>Financials Non-Banks</x:v>
      </x:c>
      <x:c r="E836" s="13" t="str">
        <x:v>Financials Non-Banks</x:v>
      </x:c>
      <x:c r="F836" s="13" t="str">
        <x:v>Financials</x:v>
      </x:c>
      <x:c r="G836" s="13" t="str">
        <x:v>grid_wekqfxnd.xlsx</x:v>
      </x:c>
    </x:row>
    <x:row r="837">
      <x:c r="A837" s="15" t="n">
        <x:v>40603</x:v>
      </x:c>
      <x:c r="B837" s="13" t="str">
        <x:v>AMBEV SA</x:v>
      </x:c>
      <x:c r="C837" s="16" t="n">
        <x:v>8275.147805377</x:v>
      </x:c>
      <x:c r="D837" s="13" t="str">
        <x:v>Food &amp; Beverages</x:v>
      </x:c>
      <x:c r="E837" s="13" t="str">
        <x:v>Agri, Food &amp; Beverages</x:v>
      </x:c>
      <x:c r="F837" s="13" t="str">
        <x:v>Defensives</x:v>
      </x:c>
      <x:c r="G837" s="13" t="str">
        <x:v>grid_wekqfxnd.xlsx</x:v>
      </x:c>
    </x:row>
    <x:row r="838">
      <x:c r="A838" s="15" t="n">
        <x:v>40603</x:v>
      </x:c>
      <x:c r="B838" s="13" t="str">
        <x:v>BRF SA</x:v>
      </x:c>
      <x:c r="C838" s="16" t="n">
        <x:v>1294.7841210055</x:v>
      </x:c>
      <x:c r="D838" s="13" t="str">
        <x:v>Food &amp; Beverages</x:v>
      </x:c>
      <x:c r="E838" s="13" t="str">
        <x:v>Agri, Food &amp; Beverages</x:v>
      </x:c>
      <x:c r="F838" s="13" t="str">
        <x:v>Defensives</x:v>
      </x:c>
      <x:c r="G838" s="13" t="str">
        <x:v>grid_wekqfxnd.xlsx</x:v>
      </x:c>
    </x:row>
    <x:row r="839">
      <x:c r="A839" s="15" t="n">
        <x:v>40603</x:v>
      </x:c>
      <x:c r="B839" s="13" t="str">
        <x:v>JBS SA</x:v>
      </x:c>
      <x:c r="C839" s="16" t="n">
        <x:v>1537.1530054645</x:v>
      </x:c>
      <x:c r="D839" s="13" t="str">
        <x:v>Food &amp; Beverages</x:v>
      </x:c>
      <x:c r="E839" s="13" t="str">
        <x:v>Agri, Food &amp; Beverages</x:v>
      </x:c>
      <x:c r="F839" s="13" t="str">
        <x:v>Defensives</x:v>
      </x:c>
      <x:c r="G839" s="13" t="str">
        <x:v>grid_wekqfxnd.xlsx</x:v>
      </x:c>
    </x:row>
    <x:row r="840">
      <x:c r="A840" s="15" t="n">
        <x:v>40603</x:v>
      </x:c>
      <x:c r="B840" s="13" t="str">
        <x:v>MBRF GLOBAL FOODS COMPANY SA</x:v>
      </x:c>
      <x:c r="C840" s="16" t="n">
        <x:v>275.909096918</x:v>
      </x:c>
      <x:c r="D840" s="13" t="str">
        <x:v>Food &amp; Beverages</x:v>
      </x:c>
      <x:c r="E840" s="13" t="str">
        <x:v>Agri, Food &amp; Beverages</x:v>
      </x:c>
      <x:c r="F840" s="13" t="str">
        <x:v>Defensives</x:v>
      </x:c>
      <x:c r="G840" s="13" t="str">
        <x:v>grid_wekqfxnd.xlsx</x:v>
      </x:c>
    </x:row>
    <x:row r="841">
      <x:c r="A841" s="15" t="n">
        <x:v>40603</x:v>
      </x:c>
      <x:c r="B841" s="13" t="str">
        <x:v>SOUZA CRUZ LTDA</x:v>
      </x:c>
      <x:c r="C841" s="16" t="n">
        <x:v>1665.0088138142</x:v>
      </x:c>
      <x:c r="D841" s="13" t="str">
        <x:v>Food &amp; Beverages</x:v>
      </x:c>
      <x:c r="E841" s="13" t="str">
        <x:v>Agri, Food &amp; Beverages</x:v>
      </x:c>
      <x:c r="F841" s="13" t="str">
        <x:v>Defensives</x:v>
      </x:c>
      <x:c r="G841" s="13" t="str">
        <x:v>grid_wekqfxnd.xlsx</x:v>
      </x:c>
    </x:row>
    <x:row r="842">
      <x:c r="A842" s="15" t="n">
        <x:v>40603</x:v>
      </x:c>
      <x:c r="B842" s="13" t="str">
        <x:v>HYPERA SA</x:v>
      </x:c>
      <x:c r="C842" s="16" t="n">
        <x:v>549.8488248306</x:v>
      </x:c>
      <x:c r="D842" s="13" t="str">
        <x:v>Health Care</x:v>
      </x:c>
      <x:c r="E842" s="13" t="str">
        <x:v>Health Care</x:v>
      </x:c>
      <x:c r="F842" s="13" t="str">
        <x:v>Defensives</x:v>
      </x:c>
      <x:c r="G842" s="13" t="str">
        <x:v>grid_wekqfxnd.xlsx</x:v>
      </x:c>
    </x:row>
    <x:row r="843">
      <x:c r="A843" s="15" t="n">
        <x:v>40603</x:v>
      </x:c>
      <x:c r="B843" s="13" t="str">
        <x:v>CYRELA BRAZIL REALTY SA EMP</x:v>
      </x:c>
      <x:c r="C843" s="16" t="n">
        <x:v>855.4688057705</x:v>
      </x:c>
      <x:c r="D843" s="13" t="str">
        <x:v>Homebuilders</x:v>
      </x:c>
      <x:c r="E843" s="13" t="str">
        <x:v>Real Estate</x:v>
      </x:c>
      <x:c r="F843" s="13" t="str">
        <x:v>Early Cyclicals</x:v>
      </x:c>
      <x:c r="G843" s="13" t="str">
        <x:v>grid_wekqfxnd.xlsx</x:v>
      </x:c>
    </x:row>
    <x:row r="844">
      <x:c r="A844" s="15" t="n">
        <x:v>40603</x:v>
      </x:c>
      <x:c r="B844" s="13" t="str">
        <x:v>GAFISA SA</x:v>
      </x:c>
      <x:c r="C844" s="16" t="n">
        <x:v>575.9041015956</x:v>
      </x:c>
      <x:c r="D844" s="13" t="str">
        <x:v>Homebuilders</x:v>
      </x:c>
      <x:c r="E844" s="13" t="str">
        <x:v>Real Estate</x:v>
      </x:c>
      <x:c r="F844" s="13" t="str">
        <x:v>Early Cyclicals</x:v>
      </x:c>
      <x:c r="G844" s="13" t="str">
        <x:v>grid_wekqfxnd.xlsx</x:v>
      </x:c>
    </x:row>
    <x:row r="845">
      <x:c r="A845" s="15" t="n">
        <x:v>40603</x:v>
      </x:c>
      <x:c r="B845" s="13" t="str">
        <x:v>MRV ENGENHARIA</x:v>
      </x:c>
      <x:c r="C845" s="16" t="n">
        <x:v>867.3777865792</x:v>
      </x:c>
      <x:c r="D845" s="13" t="str">
        <x:v>Homebuilders</x:v>
      </x:c>
      <x:c r="E845" s="13" t="str">
        <x:v>Real Estate</x:v>
      </x:c>
      <x:c r="F845" s="13" t="str">
        <x:v>Early Cyclicals</x:v>
      </x:c>
      <x:c r="G845" s="13" t="str">
        <x:v>grid_wekqfxnd.xlsx</x:v>
      </x:c>
    </x:row>
    <x:row r="846">
      <x:c r="A846" s="15" t="n">
        <x:v>40603</x:v>
      </x:c>
      <x:c r="B846" s="13" t="str">
        <x:v>PDG REALTY SA</x:v>
      </x:c>
      <x:c r="C846" s="16" t="n">
        <x:v>1341.3143183388</x:v>
      </x:c>
      <x:c r="D846" s="13" t="str">
        <x:v>Homebuilders</x:v>
      </x:c>
      <x:c r="E846" s="13" t="str">
        <x:v>Real Estate</x:v>
      </x:c>
      <x:c r="F846" s="13" t="str">
        <x:v>Early Cyclicals</x:v>
      </x:c>
      <x:c r="G846" s="13" t="str">
        <x:v>grid_wekqfxnd.xlsx</x:v>
      </x:c>
    </x:row>
    <x:row r="847">
      <x:c r="A847" s="15" t="n">
        <x:v>40603</x:v>
      </x:c>
      <x:c r="B847" s="13" t="str">
        <x:v>ROSSI RESIDENCIAL SA</x:v>
      </x:c>
      <x:c r="C847" s="16" t="n">
        <x:v>535.0157759126</x:v>
      </x:c>
      <x:c r="D847" s="13" t="str">
        <x:v>Homebuilders</x:v>
      </x:c>
      <x:c r="E847" s="13" t="str">
        <x:v>Real Estate</x:v>
      </x:c>
      <x:c r="F847" s="13" t="str">
        <x:v>Early Cyclicals</x:v>
      </x:c>
      <x:c r="G847" s="13" t="str">
        <x:v>grid_wekqfxnd.xlsx</x:v>
      </x:c>
    </x:row>
    <x:row r="848">
      <x:c r="A848" s="15" t="n">
        <x:v>40603</x:v>
      </x:c>
      <x:c r="B848" s="13" t="str">
        <x:v>TEGRA INCORPORADORA SA</x:v>
      </x:c>
      <x:c r="C848" s="16" t="n">
        <x:v>518.6751661639</x:v>
      </x:c>
      <x:c r="D848" s="13" t="str">
        <x:v>Homebuilders</x:v>
      </x:c>
      <x:c r="E848" s="13" t="str">
        <x:v>Real Estate</x:v>
      </x:c>
      <x:c r="F848" s="13" t="str">
        <x:v>Early Cyclicals</x:v>
      </x:c>
      <x:c r="G848" s="13" t="str">
        <x:v>grid_wekqfxnd.xlsx</x:v>
      </x:c>
    </x:row>
    <x:row r="849">
      <x:c r="A849" s="15" t="n">
        <x:v>40603</x:v>
      </x:c>
      <x:c r="B849" s="13" t="str">
        <x:v>BRADESPAR SA -PREF</x:v>
      </x:c>
      <x:c r="C849" s="16" t="n">
        <x:v>2346.0306535519</x:v>
      </x:c>
      <x:c r="D849" s="13" t="str">
        <x:v>Metals &amp; Mining</x:v>
      </x:c>
      <x:c r="E849" s="13" t="str">
        <x:v>Metals &amp; Mining</x:v>
      </x:c>
      <x:c r="F849" s="13" t="str">
        <x:v>Deep Cyclicals</x:v>
      </x:c>
      <x:c r="G849" s="13" t="str">
        <x:v>grid_wekqfxnd.xlsx</x:v>
      </x:c>
    </x:row>
    <x:row r="850">
      <x:c r="A850" s="15" t="n">
        <x:v>40603</x:v>
      </x:c>
      <x:c r="B850" s="13" t="str">
        <x:v>CIA SIDERURGICA NACIONAL SA</x:v>
      </x:c>
      <x:c r="C850" s="16" t="n">
        <x:v>4055.6334338798</x:v>
      </x:c>
      <x:c r="D850" s="13" t="str">
        <x:v>Metals &amp; Mining</x:v>
      </x:c>
      <x:c r="E850" s="13" t="str">
        <x:v>Metals &amp; Mining</x:v>
      </x:c>
      <x:c r="F850" s="13" t="str">
        <x:v>Deep Cyclicals</x:v>
      </x:c>
      <x:c r="G850" s="13" t="str">
        <x:v>grid_wekqfxnd.xlsx</x:v>
      </x:c>
    </x:row>
    <x:row r="851">
      <x:c r="A851" s="15" t="n">
        <x:v>40603</x:v>
      </x:c>
      <x:c r="B851" s="13" t="str">
        <x:v>GERDAU SA-PREF</x:v>
      </x:c>
      <x:c r="C851" s="16" t="n">
        <x:v>2629.6113514317</x:v>
      </x:c>
      <x:c r="D851" s="13" t="str">
        <x:v>Metals &amp; Mining</x:v>
      </x:c>
      <x:c r="E851" s="13" t="str">
        <x:v>Metals &amp; Mining</x:v>
      </x:c>
      <x:c r="F851" s="13" t="str">
        <x:v>Deep Cyclicals</x:v>
      </x:c>
      <x:c r="G851" s="13" t="str">
        <x:v>grid_wekqfxnd.xlsx</x:v>
      </x:c>
    </x:row>
    <x:row r="852">
      <x:c r="A852" s="15" t="n">
        <x:v>40603</x:v>
      </x:c>
      <x:c r="B852" s="13" t="str">
        <x:v>METALURGICA GERDAU SA-PREF</x:v>
      </x:c>
      <x:c r="C852" s="16" t="n">
        <x:v>1045.9644808743</x:v>
      </x:c>
      <x:c r="D852" s="13" t="str">
        <x:v>Metals &amp; Mining</x:v>
      </x:c>
      <x:c r="E852" s="13" t="str">
        <x:v>Metals &amp; Mining</x:v>
      </x:c>
      <x:c r="F852" s="13" t="str">
        <x:v>Deep Cyclicals</x:v>
      </x:c>
      <x:c r="G852" s="13" t="str">
        <x:v>grid_wekqfxnd.xlsx</x:v>
      </x:c>
    </x:row>
    <x:row r="853">
      <x:c r="A853" s="15" t="n">
        <x:v>40603</x:v>
      </x:c>
      <x:c r="B853" s="13" t="str">
        <x:v>MMX MINERACAO E METALICOS SA</x:v>
      </x:c>
      <x:c r="C853" s="16" t="n">
        <x:v>353.0327067104</x:v>
      </x:c>
      <x:c r="D853" s="13" t="str">
        <x:v>Metals &amp; Mining</x:v>
      </x:c>
      <x:c r="E853" s="13" t="str">
        <x:v>Metals &amp; Mining</x:v>
      </x:c>
      <x:c r="F853" s="13" t="str">
        <x:v>Deep Cyclicals</x:v>
      </x:c>
      <x:c r="G853" s="13" t="str">
        <x:v>grid_wekqfxnd.xlsx</x:v>
      </x:c>
    </x:row>
    <x:row r="854">
      <x:c r="A854" s="15" t="n">
        <x:v>40603</x:v>
      </x:c>
      <x:c r="B854" s="13" t="str">
        <x:v>USINAS SIDER MINAS GER-PF A</x:v>
      </x:c>
      <x:c r="C854" s="16" t="n">
        <x:v>1452.950983694</x:v>
      </x:c>
      <x:c r="D854" s="13" t="str">
        <x:v>Metals &amp; Mining</x:v>
      </x:c>
      <x:c r="E854" s="13" t="str">
        <x:v>Metals &amp; Mining</x:v>
      </x:c>
      <x:c r="F854" s="13" t="str">
        <x:v>Deep Cyclicals</x:v>
      </x:c>
      <x:c r="G854" s="13" t="str">
        <x:v>grid_wekqfxnd.xlsx</x:v>
      </x:c>
    </x:row>
    <x:row r="855">
      <x:c r="A855" s="15" t="n">
        <x:v>40603</x:v>
      </x:c>
      <x:c r="B855" s="13" t="str">
        <x:v>USINAS SIDERURGICAS DE MINAS</x:v>
      </x:c>
      <x:c r="C855" s="16" t="n">
        <x:v>1452.950983694</x:v>
      </x:c>
      <x:c r="D855" s="13" t="str">
        <x:v>Metals &amp; Mining</x:v>
      </x:c>
      <x:c r="E855" s="13" t="str">
        <x:v>Metals &amp; Mining</x:v>
      </x:c>
      <x:c r="F855" s="13" t="str">
        <x:v>Deep Cyclicals</x:v>
      </x:c>
      <x:c r="G855" s="13" t="str">
        <x:v>grid_wekqfxnd.xlsx</x:v>
      </x:c>
    </x:row>
    <x:row r="856">
      <x:c r="A856" s="15" t="n">
        <x:v>40603</x:v>
      </x:c>
      <x:c r="B856" s="13" t="str">
        <x:v>VALE SA</x:v>
      </x:c>
      <x:c r="C856" s="16" t="n">
        <x:v>42370.0621009836</x:v>
      </x:c>
      <x:c r="D856" s="13" t="str">
        <x:v>Metals &amp; Mining</x:v>
      </x:c>
      <x:c r="E856" s="13" t="str">
        <x:v>Metals &amp; Mining</x:v>
      </x:c>
      <x:c r="F856" s="13" t="str">
        <x:v>Deep Cyclicals</x:v>
      </x:c>
      <x:c r="G856" s="13" t="str">
        <x:v>grid_wekqfxnd.xlsx</x:v>
      </x:c>
    </x:row>
    <x:row r="857">
      <x:c r="A857" s="15" t="n">
        <x:v>40603</x:v>
      </x:c>
      <x:c r="B857" s="13" t="str">
        <x:v>BRASKEM SA-PREF A</x:v>
      </x:c>
      <x:c r="C857" s="16" t="n">
        <x:v>1151.5253011585</x:v>
      </x:c>
      <x:c r="D857" s="13" t="str">
        <x:v>Oil, Gas &amp; Petrochemicals</x:v>
      </x:c>
      <x:c r="E857" s="13" t="str">
        <x:v>Oil, Gas &amp; Petrochemicals</x:v>
      </x:c>
      <x:c r="F857" s="13" t="str">
        <x:v>Deep Cyclicals</x:v>
      </x:c>
      <x:c r="G857" s="13" t="str">
        <x:v>grid_wekqfxnd.xlsx</x:v>
      </x:c>
    </x:row>
    <x:row r="858">
      <x:c r="A858" s="15" t="n">
        <x:v>40603</x:v>
      </x:c>
      <x:c r="B858" s="13" t="str">
        <x:v>COSAN SA</x:v>
      </x:c>
      <x:c r="C858" s="16" t="n">
        <x:v>1264</x:v>
      </x:c>
      <x:c r="D858" s="13" t="str">
        <x:v>Oil, Gas &amp; Petrochemicals</x:v>
      </x:c>
      <x:c r="E858" s="13" t="str">
        <x:v>Oil, Gas &amp; Petrochemicals</x:v>
      </x:c>
      <x:c r="F858" s="13" t="str">
        <x:v>Deep Cyclicals</x:v>
      </x:c>
      <x:c r="G858" s="13" t="str">
        <x:v>grid_wekqfxnd.xlsx</x:v>
      </x:c>
    </x:row>
    <x:row r="859">
      <x:c r="A859" s="15" t="n">
        <x:v>40603</x:v>
      </x:c>
      <x:c r="B859" s="13" t="str">
        <x:v>OLEO E GAS PARTICIPACOES SA</x:v>
      </x:c>
      <x:c r="C859" s="16" t="n">
        <x:v>470.5480874317</x:v>
      </x:c>
      <x:c r="D859" s="13" t="str">
        <x:v>Oil, Gas &amp; Petrochemicals</x:v>
      </x:c>
      <x:c r="E859" s="13" t="str">
        <x:v>Oil, Gas &amp; Petrochemicals</x:v>
      </x:c>
      <x:c r="F859" s="13" t="str">
        <x:v>Deep Cyclicals</x:v>
      </x:c>
      <x:c r="G859" s="13" t="str">
        <x:v>grid_wekqfxnd.xlsx</x:v>
      </x:c>
    </x:row>
    <x:row r="860">
      <x:c r="A860" s="15" t="n">
        <x:v>40603</x:v>
      </x:c>
      <x:c r="B860" s="13" t="str">
        <x:v>PETROBRAS - PETROLEO BRAS</x:v>
      </x:c>
      <x:c r="C860" s="16" t="n">
        <x:v>36151.9318536393</x:v>
      </x:c>
      <x:c r="D860" s="13" t="str">
        <x:v>Oil, Gas &amp; Petrochemicals</x:v>
      </x:c>
      <x:c r="E860" s="13" t="str">
        <x:v>Oil, Gas &amp; Petrochemicals</x:v>
      </x:c>
      <x:c r="F860" s="13" t="str">
        <x:v>Deep Cyclicals</x:v>
      </x:c>
      <x:c r="G860" s="13" t="str">
        <x:v>grid_wekqfxnd.xlsx</x:v>
      </x:c>
    </x:row>
    <x:row r="861">
      <x:c r="A861" s="15" t="n">
        <x:v>40603</x:v>
      </x:c>
      <x:c r="B861" s="13" t="str">
        <x:v>ULTRAPAR PARTICIPACOES-PREF</x:v>
      </x:c>
      <x:c r="C861" s="16" t="n">
        <x:v>867.3663693989</x:v>
      </x:c>
      <x:c r="D861" s="13" t="str">
        <x:v>Oil, Gas &amp; Petrochemicals</x:v>
      </x:c>
      <x:c r="E861" s="13" t="str">
        <x:v>Oil, Gas &amp; Petrochemicals</x:v>
      </x:c>
      <x:c r="F861" s="13" t="str">
        <x:v>Deep Cyclicals</x:v>
      </x:c>
      <x:c r="G861" s="13" t="str">
        <x:v>grid_wekqfxnd.xlsx</x:v>
      </x:c>
    </x:row>
    <x:row r="862">
      <x:c r="A862" s="15" t="n">
        <x:v>40603</x:v>
      </x:c>
      <x:c r="B862" s="13" t="str">
        <x:v>DEXCO SA</x:v>
      </x:c>
      <x:c r="C862" s="16" t="n">
        <x:v>519.088112612</x:v>
      </x:c>
      <x:c r="D862" s="13" t="str">
        <x:v>Pulp &amp; Paper</x:v>
      </x:c>
      <x:c r="E862" s="13" t="str">
        <x:v>Pulp &amp; Paper</x:v>
      </x:c>
      <x:c r="F862" s="13" t="str">
        <x:v>Deep Cyclicals</x:v>
      </x:c>
      <x:c r="G862" s="13" t="str">
        <x:v>grid_wekqfxnd.xlsx</x:v>
      </x:c>
    </x:row>
    <x:row r="863">
      <x:c r="A863" s="15" t="n">
        <x:v>40603</x:v>
      </x:c>
      <x:c r="B863" s="13" t="str">
        <x:v>FIBRIA CELULOSE S/A</x:v>
      </x:c>
      <x:c r="C863" s="16" t="n">
        <x:v>526.6998757596</x:v>
      </x:c>
      <x:c r="D863" s="13" t="str">
        <x:v>Pulp &amp; Paper</x:v>
      </x:c>
      <x:c r="E863" s="13" t="str">
        <x:v>Pulp &amp; Paper</x:v>
      </x:c>
      <x:c r="F863" s="13" t="str">
        <x:v>Deep Cyclicals</x:v>
      </x:c>
      <x:c r="G863" s="13" t="str">
        <x:v>grid_wekqfxnd.xlsx</x:v>
      </x:c>
    </x:row>
    <x:row r="864">
      <x:c r="A864" s="15" t="n">
        <x:v>40603</x:v>
      </x:c>
      <x:c r="B864" s="13" t="str">
        <x:v>AMERICANAS SA</x:v>
      </x:c>
      <x:c r="C864" s="16" t="n">
        <x:v>88.5346830601</x:v>
      </x:c>
      <x:c r="D864" s="13" t="str">
        <x:v>Retail</x:v>
      </x:c>
      <x:c r="E864" s="13" t="str">
        <x:v>Retail</x:v>
      </x:c>
      <x:c r="F864" s="13" t="str">
        <x:v>Early Cyclicals</x:v>
      </x:c>
      <x:c r="G864" s="13" t="str">
        <x:v>grid_wekqfxnd.xlsx</x:v>
      </x:c>
    </x:row>
    <x:row r="865">
      <x:c r="A865" s="15" t="n">
        <x:v>40603</x:v>
      </x:c>
      <x:c r="B865" s="13" t="str">
        <x:v>CIA BRASILEIRA DE DIS-PREF</x:v>
      </x:c>
      <x:c r="C865" s="16" t="n">
        <x:v>833.1230718251</x:v>
      </x:c>
      <x:c r="D865" s="13" t="str">
        <x:v>Retail</x:v>
      </x:c>
      <x:c r="E865" s="13" t="str">
        <x:v>Retail</x:v>
      </x:c>
      <x:c r="F865" s="13" t="str">
        <x:v>Early Cyclicals</x:v>
      </x:c>
      <x:c r="G865" s="13" t="str">
        <x:v>grid_wekqfxnd.xlsx</x:v>
      </x:c>
    </x:row>
    <x:row r="866">
      <x:c r="A866" s="15" t="n">
        <x:v>40603</x:v>
      </x:c>
      <x:c r="B866" s="13" t="str">
        <x:v>LOJAS AMERICANAS SA-PREF</x:v>
      </x:c>
      <x:c r="C866" s="16" t="n">
        <x:v>374.4281420765</x:v>
      </x:c>
      <x:c r="D866" s="13" t="str">
        <x:v>Retail</x:v>
      </x:c>
      <x:c r="E866" s="13" t="str">
        <x:v>Retail</x:v>
      </x:c>
      <x:c r="F866" s="13" t="str">
        <x:v>Early Cyclicals</x:v>
      </x:c>
      <x:c r="G866" s="13" t="str">
        <x:v>grid_wekqfxnd.xlsx</x:v>
      </x:c>
    </x:row>
    <x:row r="867">
      <x:c r="A867" s="15" t="n">
        <x:v>40603</x:v>
      </x:c>
      <x:c r="B867" s="13" t="str">
        <x:v>LOJAS RENNER S.A.</x:v>
      </x:c>
      <x:c r="C867" s="16" t="n">
        <x:v>359.3655643279</x:v>
      </x:c>
      <x:c r="D867" s="13" t="str">
        <x:v>Retail</x:v>
      </x:c>
      <x:c r="E867" s="13" t="str">
        <x:v>Retail</x:v>
      </x:c>
      <x:c r="F867" s="13" t="str">
        <x:v>Early Cyclicals</x:v>
      </x:c>
      <x:c r="G867" s="13" t="str">
        <x:v>grid_wekqfxnd.xlsx</x:v>
      </x:c>
    </x:row>
    <x:row r="868">
      <x:c r="A868" s="15" t="n">
        <x:v>40603</x:v>
      </x:c>
      <x:c r="B868" s="13" t="str">
        <x:v>NATURA COSMETICOS SA</x:v>
      </x:c>
      <x:c r="C868" s="16" t="n">
        <x:v>905.776573377</x:v>
      </x:c>
      <x:c r="D868" s="13" t="str">
        <x:v>Retail</x:v>
      </x:c>
      <x:c r="E868" s="13" t="str">
        <x:v>Retail</x:v>
      </x:c>
      <x:c r="F868" s="13" t="str">
        <x:v>Early Cyclicals</x:v>
      </x:c>
      <x:c r="G868" s="13" t="str">
        <x:v>grid_wekqfxnd.xlsx</x:v>
      </x:c>
    </x:row>
    <x:row r="869">
      <x:c r="A869" s="15" t="n">
        <x:v>40603</x:v>
      </x:c>
      <x:c r="B869" s="13" t="str">
        <x:v>CIA SANEAMENTO BASICO DE SP</x:v>
      </x:c>
      <x:c r="C869" s="16" t="n">
        <x:v>1366.240343082</x:v>
      </x:c>
      <x:c r="D869" s="13" t="str">
        <x:v>Sanitation</x:v>
      </x:c>
      <x:c r="E869" s="13" t="str">
        <x:v>Utilities</x:v>
      </x:c>
      <x:c r="F869" s="13" t="str">
        <x:v>Defensives</x:v>
      </x:c>
      <x:c r="G869" s="13" t="str">
        <x:v>grid_wekqfxnd.xlsx</x:v>
      </x:c>
    </x:row>
    <x:row r="870">
      <x:c r="A870" s="15" t="n">
        <x:v>40603</x:v>
      </x:c>
      <x:c r="B870" s="13" t="str">
        <x:v>OI SA-PREFERENCE</x:v>
      </x:c>
      <x:c r="C870" s="16" t="n">
        <x:v>1281.1892035847</x:v>
      </x:c>
      <x:c r="D870" s="13" t="str">
        <x:v>TMT</x:v>
      </x:c>
      <x:c r="E870" s="13" t="str">
        <x:v>TMT</x:v>
      </x:c>
      <x:c r="F870" s="13" t="str">
        <x:v>Early Cyclicals</x:v>
      </x:c>
      <x:c r="G870" s="13" t="str">
        <x:v>grid_wekqfxnd.xlsx</x:v>
      </x:c>
    </x:row>
    <x:row r="871">
      <x:c r="A871" s="15" t="n">
        <x:v>40603</x:v>
      </x:c>
      <x:c r="B871" s="13" t="str">
        <x:v>TELE NORTE LESTE PART</x:v>
      </x:c>
      <x:c r="C871" s="16" t="n">
        <x:v>1504.4686352787</x:v>
      </x:c>
      <x:c r="D871" s="13" t="str">
        <x:v>TMT</x:v>
      </x:c>
      <x:c r="E871" s="13" t="str">
        <x:v>TMT</x:v>
      </x:c>
      <x:c r="F871" s="13" t="str">
        <x:v>Early Cyclicals</x:v>
      </x:c>
      <x:c r="G871" s="13" t="str">
        <x:v>grid_wekqfxnd.xlsx</x:v>
      </x:c>
    </x:row>
    <x:row r="872">
      <x:c r="A872" s="15" t="n">
        <x:v>40603</x:v>
      </x:c>
      <x:c r="B872" s="13" t="str">
        <x:v>TELEFONICA BRASIL S.A.-PREF</x:v>
      </x:c>
      <x:c r="C872" s="16" t="n">
        <x:v>2118.0218411366</x:v>
      </x:c>
      <x:c r="D872" s="13" t="str">
        <x:v>TMT</x:v>
      </x:c>
      <x:c r="E872" s="13" t="str">
        <x:v>TMT</x:v>
      </x:c>
      <x:c r="F872" s="13" t="str">
        <x:v>Early Cyclicals</x:v>
      </x:c>
      <x:c r="G872" s="13" t="str">
        <x:v>grid_wekqfxnd.xlsx</x:v>
      </x:c>
    </x:row>
    <x:row r="873">
      <x:c r="A873" s="15" t="n">
        <x:v>40603</x:v>
      </x:c>
      <x:c r="B873" s="13" t="str">
        <x:v>TELEMAR NORTE LESTE SA</x:v>
      </x:c>
      <x:c r="C873" s="16" t="n">
        <x:v>1943.4411387104</x:v>
      </x:c>
      <x:c r="D873" s="13" t="str">
        <x:v>TMT</x:v>
      </x:c>
      <x:c r="E873" s="13" t="str">
        <x:v>TMT</x:v>
      </x:c>
      <x:c r="F873" s="13" t="str">
        <x:v>Early Cyclicals</x:v>
      </x:c>
      <x:c r="G873" s="13" t="str">
        <x:v>grid_wekqfxnd.xlsx</x:v>
      </x:c>
    </x:row>
    <x:row r="874">
      <x:c r="A874" s="15" t="n">
        <x:v>40603</x:v>
      </x:c>
      <x:c r="B874" s="13" t="str">
        <x:v>TIM PARTICIPACOES SA-PREF</x:v>
      </x:c>
      <x:c r="C874" s="16" t="n">
        <x:v>1031.7493172459</x:v>
      </x:c>
      <x:c r="D874" s="13" t="str">
        <x:v>TMT</x:v>
      </x:c>
      <x:c r="E874" s="13" t="str">
        <x:v>TMT</x:v>
      </x:c>
      <x:c r="F874" s="13" t="str">
        <x:v>Early Cyclicals</x:v>
      </x:c>
      <x:c r="G874" s="13" t="str">
        <x:v>grid_wekqfxnd.xlsx</x:v>
      </x:c>
    </x:row>
    <x:row r="875">
      <x:c r="A875" s="15" t="n">
        <x:v>40603</x:v>
      </x:c>
      <x:c r="B875" s="13" t="str">
        <x:v>TIM SA</x:v>
      </x:c>
      <x:c r="C875" s="16" t="n">
        <x:v>1031.7493172459</x:v>
      </x:c>
      <x:c r="D875" s="13" t="str">
        <x:v>TMT</x:v>
      </x:c>
      <x:c r="E875" s="13" t="str">
        <x:v>TMT</x:v>
      </x:c>
      <x:c r="F875" s="13" t="str">
        <x:v>Early Cyclicals</x:v>
      </x:c>
      <x:c r="G875" s="13" t="str">
        <x:v>grid_wekqfxnd.xlsx</x:v>
      </x:c>
    </x:row>
    <x:row r="876">
      <x:c r="A876" s="15" t="n">
        <x:v>40603</x:v>
      </x:c>
      <x:c r="B876" s="13" t="str">
        <x:v>VIVO PARTICIPACOES SA-PREF</x:v>
      </x:c>
      <x:c r="C876" s="16" t="n">
        <x:v>2150.092928</x:v>
      </x:c>
      <x:c r="D876" s="13" t="str">
        <x:v>TMT</x:v>
      </x:c>
      <x:c r="E876" s="13" t="str">
        <x:v>TMT</x:v>
      </x:c>
      <x:c r="F876" s="13" t="str">
        <x:v>Early Cyclicals</x:v>
      </x:c>
      <x:c r="G876" s="13" t="str">
        <x:v>grid_wekqfxnd.xlsx</x:v>
      </x:c>
    </x:row>
    <x:row r="877">
      <x:c r="A877" s="15" t="n">
        <x:v>40603</x:v>
      </x:c>
      <x:c r="B877" s="13" t="str">
        <x:v>GOL LINHAS AEREAS INT SA-PRE</x:v>
      </x:c>
      <x:c r="C877" s="16" t="n">
        <x:v>464.4396174863</x:v>
      </x:c>
      <x:c r="D877" s="13" t="str">
        <x:v>Transportation</x:v>
      </x:c>
      <x:c r="E877" s="13" t="str">
        <x:v>Transportation</x:v>
      </x:c>
      <x:c r="F877" s="13" t="str">
        <x:v>Deep Cyclicals</x:v>
      </x:c>
      <x:c r="G877" s="13" t="str">
        <x:v>grid_wekqfxnd.xlsx</x:v>
      </x:c>
    </x:row>
    <x:row r="878">
      <x:c r="A878" s="15" t="n">
        <x:v>40603</x:v>
      </x:c>
      <x:c r="B878" s="13" t="str">
        <x:v>MOTIVA INFRAESTRUTURA DE MOB</x:v>
      </x:c>
      <x:c r="C878" s="16" t="n">
        <x:v>1120.9000626011</x:v>
      </x:c>
      <x:c r="D878" s="13" t="str">
        <x:v>Transportation</x:v>
      </x:c>
      <x:c r="E878" s="13" t="str">
        <x:v>Transportation</x:v>
      </x:c>
      <x:c r="F878" s="13" t="str">
        <x:v>Deep Cyclicals</x:v>
      </x:c>
      <x:c r="G878" s="13" t="str">
        <x:v>grid_wekqfxnd.xlsx</x:v>
      </x:c>
    </x:row>
    <x:row r="879">
      <x:c r="A879" s="15" t="n">
        <x:v>40603</x:v>
      </x:c>
      <x:c r="B879" s="13" t="str">
        <x:v>PRUMO LOGISTICA SA</x:v>
      </x:c>
      <x:c r="C879" s="16" t="n">
        <x:v>-83.6704371585</x:v>
      </x:c>
      <x:c r="D879" s="13" t="str">
        <x:v>Transportation</x:v>
      </x:c>
      <x:c r="E879" s="13" t="str">
        <x:v>Transportation</x:v>
      </x:c>
      <x:c r="F879" s="13" t="str">
        <x:v>Deep Cyclicals</x:v>
      </x:c>
      <x:c r="G879" s="13" t="str">
        <x:v>grid_wekqfxnd.xlsx</x:v>
      </x:c>
    </x:row>
    <x:row r="880">
      <x:c r="A880" s="15" t="n">
        <x:v>40603</x:v>
      </x:c>
      <x:c r="B880" s="13" t="str">
        <x:v>RUMO SA</x:v>
      </x:c>
      <x:c r="C880" s="16" t="n">
        <x:v>319.8413311475</x:v>
      </x:c>
      <x:c r="D880" s="13" t="str">
        <x:v>Transportation</x:v>
      </x:c>
      <x:c r="E880" s="13" t="str">
        <x:v>Transportation</x:v>
      </x:c>
      <x:c r="F880" s="13" t="str">
        <x:v>Deep Cyclicals</x:v>
      </x:c>
      <x:c r="G880" s="13" t="str">
        <x:v>grid_wekqfxnd.xlsx</x:v>
      </x:c>
    </x:row>
    <x:row r="881">
      <x:c r="A881" s="15" t="n">
        <x:v>40603</x:v>
      </x:c>
      <x:c r="B881" s="13" t="str">
        <x:v>TAM SA-PREF</x:v>
      </x:c>
      <x:c r="C881" s="16" t="n">
        <x:v>337.6821599126</x:v>
      </x:c>
      <x:c r="D881" s="13" t="str">
        <x:v>Transportation</x:v>
      </x:c>
      <x:c r="E881" s="13" t="str">
        <x:v>Transportation</x:v>
      </x:c>
      <x:c r="F881" s="13" t="str">
        <x:v>Deep Cyclicals</x:v>
      </x:c>
      <x:c r="G881" s="13" t="str">
        <x:v>grid_wekqfxnd.xlsx</x:v>
      </x:c>
    </x:row>
    <x:row r="882">
      <x:c r="A882" s="15" t="n">
        <x:v>40603</x:v>
      </x:c>
      <x:c r="B882" s="13" t="str">
        <x:v>AXIA ENERGIA SA</x:v>
      </x:c>
      <x:c r="C882" s="16" t="n">
        <x:v>3659.9098977923</x:v>
      </x:c>
      <x:c r="D882" s="13" t="str">
        <x:v>Utilities &amp; Energy</x:v>
      </x:c>
      <x:c r="E882" s="13" t="str">
        <x:v>Utilities</x:v>
      </x:c>
      <x:c r="F882" s="13" t="str">
        <x:v>Defensives</x:v>
      </x:c>
      <x:c r="G882" s="13" t="str">
        <x:v>grid_wekqfxnd.xlsx</x:v>
      </x:c>
    </x:row>
    <x:row r="883">
      <x:c r="A883" s="15" t="n">
        <x:v>40603</x:v>
      </x:c>
      <x:c r="B883" s="13" t="str">
        <x:v>AXIA ENERGIA-PR B</x:v>
      </x:c>
      <x:c r="C883" s="16" t="n">
        <x:v>3659.9098977923</x:v>
      </x:c>
      <x:c r="D883" s="13" t="str">
        <x:v>Utilities &amp; Energy</x:v>
      </x:c>
      <x:c r="E883" s="13" t="str">
        <x:v>Utilities</x:v>
      </x:c>
      <x:c r="F883" s="13" t="str">
        <x:v>Defensives</x:v>
      </x:c>
      <x:c r="G883" s="13" t="str">
        <x:v>grid_wekqfxnd.xlsx</x:v>
      </x:c>
    </x:row>
    <x:row r="884">
      <x:c r="A884" s="15" t="n">
        <x:v>40603</x:v>
      </x:c>
      <x:c r="B884" s="13" t="str">
        <x:v>CESP - CIA ENERGETICA DE SAO</x:v>
      </x:c>
      <x:c r="C884" s="16" t="n">
        <x:v>699.6670896612</x:v>
      </x:c>
      <x:c r="D884" s="13" t="str">
        <x:v>Utilities &amp; Energy</x:v>
      </x:c>
      <x:c r="E884" s="13" t="str">
        <x:v>Utilities</x:v>
      </x:c>
      <x:c r="F884" s="13" t="str">
        <x:v>Defensives</x:v>
      </x:c>
      <x:c r="G884" s="13" t="str">
        <x:v>grid_wekqfxnd.xlsx</x:v>
      </x:c>
    </x:row>
    <x:row r="885">
      <x:c r="A885" s="15" t="n">
        <x:v>40603</x:v>
      </x:c>
      <x:c r="B885" s="13" t="str">
        <x:v>CIA ENERGETICA MINAS GER-PRF</x:v>
      </x:c>
      <x:c r="C885" s="16" t="n">
        <x:v>2137.5993211803</x:v>
      </x:c>
      <x:c r="D885" s="13" t="str">
        <x:v>Utilities &amp; Energy</x:v>
      </x:c>
      <x:c r="E885" s="13" t="str">
        <x:v>Utilities</x:v>
      </x:c>
      <x:c r="F885" s="13" t="str">
        <x:v>Defensives</x:v>
      </x:c>
      <x:c r="G885" s="13" t="str">
        <x:v>grid_wekqfxnd.xlsx</x:v>
      </x:c>
    </x:row>
    <x:row r="886">
      <x:c r="A886" s="15" t="n">
        <x:v>40603</x:v>
      </x:c>
      <x:c r="B886" s="13" t="str">
        <x:v>COMPANHIA PARANAENSE -PREF B</x:v>
      </x:c>
      <x:c r="C886" s="16" t="n">
        <x:v>1272.830743082</x:v>
      </x:c>
      <x:c r="D886" s="13" t="str">
        <x:v>Utilities &amp; Energy</x:v>
      </x:c>
      <x:c r="E886" s="13" t="str">
        <x:v>Utilities</x:v>
      </x:c>
      <x:c r="F886" s="13" t="str">
        <x:v>Defensives</x:v>
      </x:c>
      <x:c r="G886" s="13" t="str">
        <x:v>grid_wekqfxnd.xlsx</x:v>
      </x:c>
    </x:row>
    <x:row r="887">
      <x:c r="A887" s="15" t="n">
        <x:v>40603</x:v>
      </x:c>
      <x:c r="B887" s="13" t="str">
        <x:v>CPFL ENERGIA SA</x:v>
      </x:c>
      <x:c r="C887" s="16" t="n">
        <x:v>1632.9227628415</x:v>
      </x:c>
      <x:c r="D887" s="13" t="str">
        <x:v>Utilities &amp; Energy</x:v>
      </x:c>
      <x:c r="E887" s="13" t="str">
        <x:v>Utilities</x:v>
      </x:c>
      <x:c r="F887" s="13" t="str">
        <x:v>Defensives</x:v>
      </x:c>
      <x:c r="G887" s="13" t="str">
        <x:v>grid_wekqfxnd.xlsx</x:v>
      </x:c>
    </x:row>
    <x:row r="888">
      <x:c r="A888" s="15" t="n">
        <x:v>40603</x:v>
      </x:c>
      <x:c r="B888" s="13" t="str">
        <x:v>ELETROPAULO METROPOLI-PREF</x:v>
      </x:c>
      <x:c r="C888" s="16" t="n">
        <x:v>637.2440393443</x:v>
      </x:c>
      <x:c r="D888" s="13" t="str">
        <x:v>Utilities &amp; Energy</x:v>
      </x:c>
      <x:c r="E888" s="13" t="str">
        <x:v>Utilities</x:v>
      </x:c>
      <x:c r="F888" s="13" t="str">
        <x:v>Defensives</x:v>
      </x:c>
      <x:c r="G888" s="13" t="str">
        <x:v>grid_wekqfxnd.xlsx</x:v>
      </x:c>
    </x:row>
    <x:row r="889">
      <x:c r="A889" s="15" t="n">
        <x:v>40603</x:v>
      </x:c>
      <x:c r="B889" s="13" t="str">
        <x:v>ISA ENERGIA BRASIL SA</x:v>
      </x:c>
      <x:c r="C889" s="16" t="n">
        <x:v>836.9734469945</x:v>
      </x:c>
      <x:c r="D889" s="13" t="str">
        <x:v>Utilities &amp; Energy</x:v>
      </x:c>
      <x:c r="E889" s="13" t="str">
        <x:v>Utilities</x:v>
      </x:c>
      <x:c r="F889" s="13" t="str">
        <x:v>Defensives</x:v>
      </x:c>
      <x:c r="G889" s="13" t="str">
        <x:v>grid_wekqfxnd.xlsx</x:v>
      </x:c>
    </x:row>
    <x:row r="890">
      <x:c r="A890" s="15" t="n">
        <x:v>40603</x:v>
      </x:c>
      <x:c r="B890" s="13" t="str">
        <x:v>LIGHT SA</x:v>
      </x:c>
      <x:c r="C890" s="16" t="n">
        <x:v>605.2757333333</x:v>
      </x:c>
      <x:c r="D890" s="13" t="str">
        <x:v>Utilities &amp; Energy</x:v>
      </x:c>
      <x:c r="E890" s="13" t="str">
        <x:v>Utilities</x:v>
      </x:c>
      <x:c r="F890" s="13" t="str">
        <x:v>Defensives</x:v>
      </x:c>
      <x:c r="G890" s="13" t="str">
        <x:v>grid_wekqfxnd.xlsx</x:v>
      </x:c>
    </x:row>
    <x:row r="891">
      <x:c r="A891" s="15" t="n">
        <x:v>40634</x:v>
      </x:c>
      <x:c r="B891" s="13" t="str">
        <x:v>BANCO BRADESCO SA-PREF</x:v>
      </x:c>
      <x:c r="C891" s="16" t="n">
        <x:v>11653.7183517377</x:v>
      </x:c>
      <x:c r="D891" s="13" t="str">
        <x:v>Banks</x:v>
      </x:c>
      <x:c r="E891" s="13" t="str">
        <x:v>Banks</x:v>
      </x:c>
      <x:c r="F891" s="13" t="str">
        <x:v>Financials</x:v>
      </x:c>
      <x:c r="G891" s="13" t="str">
        <x:v>grid_wekqfxnd.xlsx</x:v>
      </x:c>
    </x:row>
    <x:row r="892">
      <x:c r="A892" s="15" t="n">
        <x:v>40634</x:v>
      </x:c>
      <x:c r="B892" s="13" t="str">
        <x:v>BANCO DO BRASIL S.A.</x:v>
      </x:c>
      <x:c r="C892" s="16" t="n">
        <x:v>11639.7458381639</x:v>
      </x:c>
      <x:c r="D892" s="13" t="str">
        <x:v>Banks</x:v>
      </x:c>
      <x:c r="E892" s="13" t="str">
        <x:v>Banks</x:v>
      </x:c>
      <x:c r="F892" s="13" t="str">
        <x:v>Financials</x:v>
      </x:c>
      <x:c r="G892" s="13" t="str">
        <x:v>grid_wekqfxnd.xlsx</x:v>
      </x:c>
    </x:row>
    <x:row r="893">
      <x:c r="A893" s="15" t="n">
        <x:v>40634</x:v>
      </x:c>
      <x:c r="B893" s="13" t="str">
        <x:v>BANCO SANTANDER  BRASIL-UNIT</x:v>
      </x:c>
      <x:c r="C893" s="16" t="n">
        <x:v>7807.6225133115</x:v>
      </x:c>
      <x:c r="D893" s="13" t="str">
        <x:v>Banks</x:v>
      </x:c>
      <x:c r="E893" s="13" t="str">
        <x:v>Banks</x:v>
      </x:c>
      <x:c r="F893" s="13" t="str">
        <x:v>Financials</x:v>
      </x:c>
      <x:c r="G893" s="13" t="str">
        <x:v>grid_wekqfxnd.xlsx</x:v>
      </x:c>
    </x:row>
    <x:row r="894">
      <x:c r="A894" s="15" t="n">
        <x:v>40634</x:v>
      </x:c>
      <x:c r="B894" s="13" t="str">
        <x:v>ITAU UNIBANCO HOLDING S-PREF</x:v>
      </x:c>
      <x:c r="C894" s="16" t="n">
        <x:v>15969.4983302295</x:v>
      </x:c>
      <x:c r="D894" s="13" t="str">
        <x:v>Banks</x:v>
      </x:c>
      <x:c r="E894" s="13" t="str">
        <x:v>Banks</x:v>
      </x:c>
      <x:c r="F894" s="13" t="str">
        <x:v>Financials</x:v>
      </x:c>
      <x:c r="G894" s="13" t="str">
        <x:v>grid_wekqfxnd.xlsx</x:v>
      </x:c>
    </x:row>
    <x:row r="895">
      <x:c r="A895" s="15" t="n">
        <x:v>40634</x:v>
      </x:c>
      <x:c r="B895" s="13" t="str">
        <x:v>EMBRAER SA</x:v>
      </x:c>
      <x:c r="C895" s="16" t="n">
        <x:v>584.1664781639</x:v>
      </x:c>
      <x:c r="D895" s="13" t="str">
        <x:v>Capital Goods</x:v>
      </x:c>
      <x:c r="E895" s="13" t="str">
        <x:v>Capital Goods</x:v>
      </x:c>
      <x:c r="F895" s="13" t="str">
        <x:v>Deep Cyclicals</x:v>
      </x:c>
      <x:c r="G895" s="13" t="str">
        <x:v>grid_wekqfxnd.xlsx</x:v>
      </x:c>
    </x:row>
    <x:row r="896">
      <x:c r="A896" s="15" t="n">
        <x:v>40634</x:v>
      </x:c>
      <x:c r="B896" s="13" t="str">
        <x:v>B3 SA-BRASIL BOLSA BALCAO</x:v>
      </x:c>
      <x:c r="C896" s="16" t="n">
        <x:v>1555.1380333115</x:v>
      </x:c>
      <x:c r="D896" s="13" t="str">
        <x:v>Financials Non-Banks</x:v>
      </x:c>
      <x:c r="E896" s="13" t="str">
        <x:v>Financials Non-Banks</x:v>
      </x:c>
      <x:c r="F896" s="13" t="str">
        <x:v>Financials</x:v>
      </x:c>
      <x:c r="G896" s="13" t="str">
        <x:v>grid_wekqfxnd.xlsx</x:v>
      </x:c>
    </x:row>
    <x:row r="897">
      <x:c r="A897" s="15" t="n">
        <x:v>40634</x:v>
      </x:c>
      <x:c r="B897" s="13" t="str">
        <x:v>CIELO SA - INSTITUICAO DE PA</x:v>
      </x:c>
      <x:c r="C897" s="16" t="n">
        <x:v>1581.1843944918</x:v>
      </x:c>
      <x:c r="D897" s="13" t="str">
        <x:v>Financials Non-Banks</x:v>
      </x:c>
      <x:c r="E897" s="13" t="str">
        <x:v>Financials Non-Banks</x:v>
      </x:c>
      <x:c r="F897" s="13" t="str">
        <x:v>Financials</x:v>
      </x:c>
      <x:c r="G897" s="13" t="str">
        <x:v>grid_wekqfxnd.xlsx</x:v>
      </x:c>
    </x:row>
    <x:row r="898">
      <x:c r="A898" s="15" t="n">
        <x:v>40634</x:v>
      </x:c>
      <x:c r="B898" s="13" t="str">
        <x:v>ITAUSA SA</x:v>
      </x:c>
      <x:c r="C898" s="16" t="n">
        <x:v>6316.9257253771</x:v>
      </x:c>
      <x:c r="D898" s="13" t="str">
        <x:v>Financials Non-Banks</x:v>
      </x:c>
      <x:c r="E898" s="13" t="str">
        <x:v>Financials Non-Banks</x:v>
      </x:c>
      <x:c r="F898" s="13" t="str">
        <x:v>Financials</x:v>
      </x:c>
      <x:c r="G898" s="13" t="str">
        <x:v>grid_wekqfxnd.xlsx</x:v>
      </x:c>
    </x:row>
    <x:row r="899">
      <x:c r="A899" s="15" t="n">
        <x:v>40634</x:v>
      </x:c>
      <x:c r="B899" s="13" t="str">
        <x:v>REDECARD INSTITUICAO DE PAGA</x:v>
      </x:c>
      <x:c r="C899" s="16" t="n">
        <x:v>1213.2042785574</x:v>
      </x:c>
      <x:c r="D899" s="13" t="str">
        <x:v>Financials Non-Banks</x:v>
      </x:c>
      <x:c r="E899" s="13" t="str">
        <x:v>Financials Non-Banks</x:v>
      </x:c>
      <x:c r="F899" s="13" t="str">
        <x:v>Financials</x:v>
      </x:c>
      <x:c r="G899" s="13" t="str">
        <x:v>grid_wekqfxnd.xlsx</x:v>
      </x:c>
    </x:row>
    <x:row r="900">
      <x:c r="A900" s="15" t="n">
        <x:v>40634</x:v>
      </x:c>
      <x:c r="B900" s="13" t="str">
        <x:v>AMBEV SA</x:v>
      </x:c>
      <x:c r="C900" s="16" t="n">
        <x:v>8337.5193809836</x:v>
      </x:c>
      <x:c r="D900" s="13" t="str">
        <x:v>Food &amp; Beverages</x:v>
      </x:c>
      <x:c r="E900" s="13" t="str">
        <x:v>Agri, Food &amp; Beverages</x:v>
      </x:c>
      <x:c r="F900" s="13" t="str">
        <x:v>Defensives</x:v>
      </x:c>
      <x:c r="G900" s="13" t="str">
        <x:v>grid_wekqfxnd.xlsx</x:v>
      </x:c>
    </x:row>
    <x:row r="901">
      <x:c r="A901" s="15" t="n">
        <x:v>40634</x:v>
      </x:c>
      <x:c r="B901" s="13" t="str">
        <x:v>BRF SA</x:v>
      </x:c>
      <x:c r="C901" s="16" t="n">
        <x:v>1344.0983711475</x:v>
      </x:c>
      <x:c r="D901" s="13" t="str">
        <x:v>Food &amp; Beverages</x:v>
      </x:c>
      <x:c r="E901" s="13" t="str">
        <x:v>Agri, Food &amp; Beverages</x:v>
      </x:c>
      <x:c r="F901" s="13" t="str">
        <x:v>Defensives</x:v>
      </x:c>
      <x:c r="G901" s="13" t="str">
        <x:v>grid_wekqfxnd.xlsx</x:v>
      </x:c>
    </x:row>
    <x:row r="902">
      <x:c r="A902" s="15" t="n">
        <x:v>40634</x:v>
      </x:c>
      <x:c r="B902" s="13" t="str">
        <x:v>JBS SA</x:v>
      </x:c>
      <x:c r="C902" s="16" t="n">
        <x:v>1557.2786885246</x:v>
      </x:c>
      <x:c r="D902" s="13" t="str">
        <x:v>Food &amp; Beverages</x:v>
      </x:c>
      <x:c r="E902" s="13" t="str">
        <x:v>Agri, Food &amp; Beverages</x:v>
      </x:c>
      <x:c r="F902" s="13" t="str">
        <x:v>Defensives</x:v>
      </x:c>
      <x:c r="G902" s="13" t="str">
        <x:v>grid_wekqfxnd.xlsx</x:v>
      </x:c>
    </x:row>
    <x:row r="903">
      <x:c r="A903" s="15" t="n">
        <x:v>40634</x:v>
      </x:c>
      <x:c r="B903" s="13" t="str">
        <x:v>MBRF GLOBAL FOODS COMPANY SA</x:v>
      </x:c>
      <x:c r="C903" s="16" t="n">
        <x:v>249.1221311475</x:v>
      </x:c>
      <x:c r="D903" s="13" t="str">
        <x:v>Food &amp; Beverages</x:v>
      </x:c>
      <x:c r="E903" s="13" t="str">
        <x:v>Agri, Food &amp; Beverages</x:v>
      </x:c>
      <x:c r="F903" s="13" t="str">
        <x:v>Defensives</x:v>
      </x:c>
      <x:c r="G903" s="13" t="str">
        <x:v>grid_wekqfxnd.xlsx</x:v>
      </x:c>
    </x:row>
    <x:row r="904">
      <x:c r="A904" s="15" t="n">
        <x:v>40634</x:v>
      </x:c>
      <x:c r="B904" s="13" t="str">
        <x:v>SOUZA CRUZ LTDA</x:v>
      </x:c>
      <x:c r="C904" s="16" t="n">
        <x:v>1625.663389377</x:v>
      </x:c>
      <x:c r="D904" s="13" t="str">
        <x:v>Food &amp; Beverages</x:v>
      </x:c>
      <x:c r="E904" s="13" t="str">
        <x:v>Agri, Food &amp; Beverages</x:v>
      </x:c>
      <x:c r="F904" s="13" t="str">
        <x:v>Defensives</x:v>
      </x:c>
      <x:c r="G904" s="13" t="str">
        <x:v>grid_wekqfxnd.xlsx</x:v>
      </x:c>
    </x:row>
    <x:row r="905">
      <x:c r="A905" s="15" t="n">
        <x:v>40634</x:v>
      </x:c>
      <x:c r="B905" s="13" t="str">
        <x:v>HYPERA SA</x:v>
      </x:c>
      <x:c r="C905" s="16" t="n">
        <x:v>561.7207984262</x:v>
      </x:c>
      <x:c r="D905" s="13" t="str">
        <x:v>Health Care</x:v>
      </x:c>
      <x:c r="E905" s="13" t="str">
        <x:v>Health Care</x:v>
      </x:c>
      <x:c r="F905" s="13" t="str">
        <x:v>Defensives</x:v>
      </x:c>
      <x:c r="G905" s="13" t="str">
        <x:v>grid_wekqfxnd.xlsx</x:v>
      </x:c>
    </x:row>
    <x:row r="906">
      <x:c r="A906" s="15" t="n">
        <x:v>40634</x:v>
      </x:c>
      <x:c r="B906" s="13" t="str">
        <x:v>CYRELA BRAZIL REALTY SA EMP</x:v>
      </x:c>
      <x:c r="C906" s="16" t="n">
        <x:v>824.4924180984</x:v>
      </x:c>
      <x:c r="D906" s="13" t="str">
        <x:v>Homebuilders</x:v>
      </x:c>
      <x:c r="E906" s="13" t="str">
        <x:v>Real Estate</x:v>
      </x:c>
      <x:c r="F906" s="13" t="str">
        <x:v>Early Cyclicals</x:v>
      </x:c>
      <x:c r="G906" s="13" t="str">
        <x:v>grid_wekqfxnd.xlsx</x:v>
      </x:c>
    </x:row>
    <x:row r="907">
      <x:c r="A907" s="15" t="n">
        <x:v>40634</x:v>
      </x:c>
      <x:c r="B907" s="13" t="str">
        <x:v>GAFISA SA</x:v>
      </x:c>
      <x:c r="C907" s="16" t="n">
        <x:v>564.9140469508</x:v>
      </x:c>
      <x:c r="D907" s="13" t="str">
        <x:v>Homebuilders</x:v>
      </x:c>
      <x:c r="E907" s="13" t="str">
        <x:v>Real Estate</x:v>
      </x:c>
      <x:c r="F907" s="13" t="str">
        <x:v>Early Cyclicals</x:v>
      </x:c>
      <x:c r="G907" s="13" t="str">
        <x:v>grid_wekqfxnd.xlsx</x:v>
      </x:c>
    </x:row>
    <x:row r="908">
      <x:c r="A908" s="15" t="n">
        <x:v>40634</x:v>
      </x:c>
      <x:c r="B908" s="13" t="str">
        <x:v>MRV ENGENHARIA</x:v>
      </x:c>
      <x:c r="C908" s="16" t="n">
        <x:v>872.5634539016</x:v>
      </x:c>
      <x:c r="D908" s="13" t="str">
        <x:v>Homebuilders</x:v>
      </x:c>
      <x:c r="E908" s="13" t="str">
        <x:v>Real Estate</x:v>
      </x:c>
      <x:c r="F908" s="13" t="str">
        <x:v>Early Cyclicals</x:v>
      </x:c>
      <x:c r="G908" s="13" t="str">
        <x:v>grid_wekqfxnd.xlsx</x:v>
      </x:c>
    </x:row>
    <x:row r="909">
      <x:c r="A909" s="15" t="n">
        <x:v>40634</x:v>
      </x:c>
      <x:c r="B909" s="13" t="str">
        <x:v>PDG REALTY SA</x:v>
      </x:c>
      <x:c r="C909" s="16" t="n">
        <x:v>1358.998376918</x:v>
      </x:c>
      <x:c r="D909" s="13" t="str">
        <x:v>Homebuilders</x:v>
      </x:c>
      <x:c r="E909" s="13" t="str">
        <x:v>Real Estate</x:v>
      </x:c>
      <x:c r="F909" s="13" t="str">
        <x:v>Early Cyclicals</x:v>
      </x:c>
      <x:c r="G909" s="13" t="str">
        <x:v>grid_wekqfxnd.xlsx</x:v>
      </x:c>
    </x:row>
    <x:row r="910">
      <x:c r="A910" s="15" t="n">
        <x:v>40634</x:v>
      </x:c>
      <x:c r="B910" s="13" t="str">
        <x:v>ROSSI RESIDENCIAL SA</x:v>
      </x:c>
      <x:c r="C910" s="16" t="n">
        <x:v>539.1485765246</x:v>
      </x:c>
      <x:c r="D910" s="13" t="str">
        <x:v>Homebuilders</x:v>
      </x:c>
      <x:c r="E910" s="13" t="str">
        <x:v>Real Estate</x:v>
      </x:c>
      <x:c r="F910" s="13" t="str">
        <x:v>Early Cyclicals</x:v>
      </x:c>
      <x:c r="G910" s="13" t="str">
        <x:v>grid_wekqfxnd.xlsx</x:v>
      </x:c>
    </x:row>
    <x:row r="911">
      <x:c r="A911" s="15" t="n">
        <x:v>40634</x:v>
      </x:c>
      <x:c r="B911" s="13" t="str">
        <x:v>TEGRA INCORPORADORA SA</x:v>
      </x:c>
      <x:c r="C911" s="16" t="n">
        <x:v>518.3547619672</x:v>
      </x:c>
      <x:c r="D911" s="13" t="str">
        <x:v>Homebuilders</x:v>
      </x:c>
      <x:c r="E911" s="13" t="str">
        <x:v>Real Estate</x:v>
      </x:c>
      <x:c r="F911" s="13" t="str">
        <x:v>Early Cyclicals</x:v>
      </x:c>
      <x:c r="G911" s="13" t="str">
        <x:v>grid_wekqfxnd.xlsx</x:v>
      </x:c>
    </x:row>
    <x:row r="912">
      <x:c r="A912" s="15" t="n">
        <x:v>40634</x:v>
      </x:c>
      <x:c r="B912" s="13" t="str">
        <x:v>BRADESPAR SA -PREF</x:v>
      </x:c>
      <x:c r="C912" s="16" t="n">
        <x:v>2368.3934426229</x:v>
      </x:c>
      <x:c r="D912" s="13" t="str">
        <x:v>Metals &amp; Mining</x:v>
      </x:c>
      <x:c r="E912" s="13" t="str">
        <x:v>Metals &amp; Mining</x:v>
      </x:c>
      <x:c r="F912" s="13" t="str">
        <x:v>Deep Cyclicals</x:v>
      </x:c>
      <x:c r="G912" s="13" t="str">
        <x:v>grid_wekqfxnd.xlsx</x:v>
      </x:c>
    </x:row>
    <x:row r="913">
      <x:c r="A913" s="15" t="n">
        <x:v>40634</x:v>
      </x:c>
      <x:c r="B913" s="13" t="str">
        <x:v>CIA SIDERURGICA NACIONAL SA</x:v>
      </x:c>
      <x:c r="C913" s="16" t="n">
        <x:v>4196.7898775082</x:v>
      </x:c>
      <x:c r="D913" s="13" t="str">
        <x:v>Metals &amp; Mining</x:v>
      </x:c>
      <x:c r="E913" s="13" t="str">
        <x:v>Metals &amp; Mining</x:v>
      </x:c>
      <x:c r="F913" s="13" t="str">
        <x:v>Deep Cyclicals</x:v>
      </x:c>
      <x:c r="G913" s="13" t="str">
        <x:v>grid_wekqfxnd.xlsx</x:v>
      </x:c>
    </x:row>
    <x:row r="914">
      <x:c r="A914" s="15" t="n">
        <x:v>40634</x:v>
      </x:c>
      <x:c r="B914" s="13" t="str">
        <x:v>GERDAU SA-PREF</x:v>
      </x:c>
      <x:c r="C914" s="16" t="n">
        <x:v>2685.904279082</x:v>
      </x:c>
      <x:c r="D914" s="13" t="str">
        <x:v>Metals &amp; Mining</x:v>
      </x:c>
      <x:c r="E914" s="13" t="str">
        <x:v>Metals &amp; Mining</x:v>
      </x:c>
      <x:c r="F914" s="13" t="str">
        <x:v>Deep Cyclicals</x:v>
      </x:c>
      <x:c r="G914" s="13" t="str">
        <x:v>grid_wekqfxnd.xlsx</x:v>
      </x:c>
    </x:row>
    <x:row r="915">
      <x:c r="A915" s="15" t="n">
        <x:v>40634</x:v>
      </x:c>
      <x:c r="B915" s="13" t="str">
        <x:v>METALURGICA GERDAU SA-PREF</x:v>
      </x:c>
      <x:c r="C915" s="16" t="n">
        <x:v>1091.5245901639</x:v>
      </x:c>
      <x:c r="D915" s="13" t="str">
        <x:v>Metals &amp; Mining</x:v>
      </x:c>
      <x:c r="E915" s="13" t="str">
        <x:v>Metals &amp; Mining</x:v>
      </x:c>
      <x:c r="F915" s="13" t="str">
        <x:v>Deep Cyclicals</x:v>
      </x:c>
      <x:c r="G915" s="13" t="str">
        <x:v>grid_wekqfxnd.xlsx</x:v>
      </x:c>
    </x:row>
    <x:row r="916">
      <x:c r="A916" s="15" t="n">
        <x:v>40634</x:v>
      </x:c>
      <x:c r="B916" s="13" t="str">
        <x:v>MMX MINERACAO E METALICOS SA</x:v>
      </x:c>
      <x:c r="C916" s="16" t="n">
        <x:v>335.6320655738</x:v>
      </x:c>
      <x:c r="D916" s="13" t="str">
        <x:v>Metals &amp; Mining</x:v>
      </x:c>
      <x:c r="E916" s="13" t="str">
        <x:v>Metals &amp; Mining</x:v>
      </x:c>
      <x:c r="F916" s="13" t="str">
        <x:v>Deep Cyclicals</x:v>
      </x:c>
      <x:c r="G916" s="13" t="str">
        <x:v>grid_wekqfxnd.xlsx</x:v>
      </x:c>
    </x:row>
    <x:row r="917">
      <x:c r="A917" s="15" t="n">
        <x:v>40634</x:v>
      </x:c>
      <x:c r="B917" s="13" t="str">
        <x:v>USINAS SIDER MINAS GER-PF A</x:v>
      </x:c>
      <x:c r="C917" s="16" t="n">
        <x:v>1350.0339451803</x:v>
      </x:c>
      <x:c r="D917" s="13" t="str">
        <x:v>Metals &amp; Mining</x:v>
      </x:c>
      <x:c r="E917" s="13" t="str">
        <x:v>Metals &amp; Mining</x:v>
      </x:c>
      <x:c r="F917" s="13" t="str">
        <x:v>Deep Cyclicals</x:v>
      </x:c>
      <x:c r="G917" s="13" t="str">
        <x:v>grid_wekqfxnd.xlsx</x:v>
      </x:c>
    </x:row>
    <x:row r="918">
      <x:c r="A918" s="15" t="n">
        <x:v>40634</x:v>
      </x:c>
      <x:c r="B918" s="13" t="str">
        <x:v>USINAS SIDERURGICAS DE MINAS</x:v>
      </x:c>
      <x:c r="C918" s="16" t="n">
        <x:v>1350.0339451803</x:v>
      </x:c>
      <x:c r="D918" s="13" t="str">
        <x:v>Metals &amp; Mining</x:v>
      </x:c>
      <x:c r="E918" s="13" t="str">
        <x:v>Metals &amp; Mining</x:v>
      </x:c>
      <x:c r="F918" s="13" t="str">
        <x:v>Deep Cyclicals</x:v>
      </x:c>
      <x:c r="G918" s="13" t="str">
        <x:v>grid_wekqfxnd.xlsx</x:v>
      </x:c>
    </x:row>
    <x:row r="919">
      <x:c r="A919" s="15" t="n">
        <x:v>40634</x:v>
      </x:c>
      <x:c r="B919" s="13" t="str">
        <x:v>VALE SA</x:v>
      </x:c>
      <x:c r="C919" s="16" t="n">
        <x:v>43543.064576</x:v>
      </x:c>
      <x:c r="D919" s="13" t="str">
        <x:v>Metals &amp; Mining</x:v>
      </x:c>
      <x:c r="E919" s="13" t="str">
        <x:v>Metals &amp; Mining</x:v>
      </x:c>
      <x:c r="F919" s="13" t="str">
        <x:v>Deep Cyclicals</x:v>
      </x:c>
      <x:c r="G919" s="13" t="str">
        <x:v>grid_wekqfxnd.xlsx</x:v>
      </x:c>
    </x:row>
    <x:row r="920">
      <x:c r="A920" s="15" t="n">
        <x:v>40634</x:v>
      </x:c>
      <x:c r="B920" s="13" t="str">
        <x:v>BRASKEM SA-PREF A</x:v>
      </x:c>
      <x:c r="C920" s="16" t="n">
        <x:v>1075.3361080656</x:v>
      </x:c>
      <x:c r="D920" s="13" t="str">
        <x:v>Oil, Gas &amp; Petrochemicals</x:v>
      </x:c>
      <x:c r="E920" s="13" t="str">
        <x:v>Oil, Gas &amp; Petrochemicals</x:v>
      </x:c>
      <x:c r="F920" s="13" t="str">
        <x:v>Deep Cyclicals</x:v>
      </x:c>
      <x:c r="G920" s="13" t="str">
        <x:v>grid_wekqfxnd.xlsx</x:v>
      </x:c>
    </x:row>
    <x:row r="921">
      <x:c r="A921" s="15" t="n">
        <x:v>40634</x:v>
      </x:c>
      <x:c r="B921" s="13" t="str">
        <x:v>COSAN SA</x:v>
      </x:c>
      <x:c r="C921" s="16" t="n">
        <x:v>564</x:v>
      </x:c>
      <x:c r="D921" s="13" t="str">
        <x:v>Oil, Gas &amp; Petrochemicals</x:v>
      </x:c>
      <x:c r="E921" s="13" t="str">
        <x:v>Oil, Gas &amp; Petrochemicals</x:v>
      </x:c>
      <x:c r="F921" s="13" t="str">
        <x:v>Deep Cyclicals</x:v>
      </x:c>
      <x:c r="G921" s="13" t="str">
        <x:v>grid_wekqfxnd.xlsx</x:v>
      </x:c>
    </x:row>
    <x:row r="922">
      <x:c r="A922" s="15" t="n">
        <x:v>40634</x:v>
      </x:c>
      <x:c r="B922" s="13" t="str">
        <x:v>OLEO E GAS PARTICIPACOES SA</x:v>
      </x:c>
      <x:c r="C922" s="16" t="n">
        <x:v>537.0228196721</x:v>
      </x:c>
      <x:c r="D922" s="13" t="str">
        <x:v>Oil, Gas &amp; Petrochemicals</x:v>
      </x:c>
      <x:c r="E922" s="13" t="str">
        <x:v>Oil, Gas &amp; Petrochemicals</x:v>
      </x:c>
      <x:c r="F922" s="13" t="str">
        <x:v>Deep Cyclicals</x:v>
      </x:c>
      <x:c r="G922" s="13" t="str">
        <x:v>grid_wekqfxnd.xlsx</x:v>
      </x:c>
    </x:row>
    <x:row r="923">
      <x:c r="A923" s="15" t="n">
        <x:v>40634</x:v>
      </x:c>
      <x:c r="B923" s="13" t="str">
        <x:v>PETROBRAS - PETROLEO BRAS</x:v>
      </x:c>
      <x:c r="C923" s="16" t="n">
        <x:v>36367.6794208525</x:v>
      </x:c>
      <x:c r="D923" s="13" t="str">
        <x:v>Oil, Gas &amp; Petrochemicals</x:v>
      </x:c>
      <x:c r="E923" s="13" t="str">
        <x:v>Oil, Gas &amp; Petrochemicals</x:v>
      </x:c>
      <x:c r="F923" s="13" t="str">
        <x:v>Deep Cyclicals</x:v>
      </x:c>
      <x:c r="G923" s="13" t="str">
        <x:v>grid_wekqfxnd.xlsx</x:v>
      </x:c>
    </x:row>
    <x:row r="924">
      <x:c r="A924" s="15" t="n">
        <x:v>40634</x:v>
      </x:c>
      <x:c r="B924" s="13" t="str">
        <x:v>ULTRAPAR PARTICIPACOES-PREF</x:v>
      </x:c>
      <x:c r="C924" s="16" t="n">
        <x:v>881.100043541</x:v>
      </x:c>
      <x:c r="D924" s="13" t="str">
        <x:v>Oil, Gas &amp; Petrochemicals</x:v>
      </x:c>
      <x:c r="E924" s="13" t="str">
        <x:v>Oil, Gas &amp; Petrochemicals</x:v>
      </x:c>
      <x:c r="F924" s="13" t="str">
        <x:v>Deep Cyclicals</x:v>
      </x:c>
      <x:c r="G924" s="13" t="str">
        <x:v>grid_wekqfxnd.xlsx</x:v>
      </x:c>
    </x:row>
    <x:row r="925">
      <x:c r="A925" s="15" t="n">
        <x:v>40634</x:v>
      </x:c>
      <x:c r="B925" s="13" t="str">
        <x:v>DEXCO SA</x:v>
      </x:c>
      <x:c r="C925" s="16" t="n">
        <x:v>526.0564291148</x:v>
      </x:c>
      <x:c r="D925" s="13" t="str">
        <x:v>Pulp &amp; Paper</x:v>
      </x:c>
      <x:c r="E925" s="13" t="str">
        <x:v>Pulp &amp; Paper</x:v>
      </x:c>
      <x:c r="F925" s="13" t="str">
        <x:v>Deep Cyclicals</x:v>
      </x:c>
      <x:c r="G925" s="13" t="str">
        <x:v>grid_wekqfxnd.xlsx</x:v>
      </x:c>
    </x:row>
    <x:row r="926">
      <x:c r="A926" s="15" t="n">
        <x:v>40634</x:v>
      </x:c>
      <x:c r="B926" s="13" t="str">
        <x:v>FIBRIA CELULOSE S/A</x:v>
      </x:c>
      <x:c r="C926" s="16" t="n">
        <x:v>515.2938061639</x:v>
      </x:c>
      <x:c r="D926" s="13" t="str">
        <x:v>Pulp &amp; Paper</x:v>
      </x:c>
      <x:c r="E926" s="13" t="str">
        <x:v>Pulp &amp; Paper</x:v>
      </x:c>
      <x:c r="F926" s="13" t="str">
        <x:v>Deep Cyclicals</x:v>
      </x:c>
      <x:c r="G926" s="13" t="str">
        <x:v>grid_wekqfxnd.xlsx</x:v>
      </x:c>
    </x:row>
    <x:row r="927">
      <x:c r="A927" s="15" t="n">
        <x:v>40634</x:v>
      </x:c>
      <x:c r="B927" s="13" t="str">
        <x:v>AMERICANAS SA</x:v>
      </x:c>
      <x:c r="C927" s="16" t="n">
        <x:v>93.8021518689</x:v>
      </x:c>
      <x:c r="D927" s="13" t="str">
        <x:v>Retail</x:v>
      </x:c>
      <x:c r="E927" s="13" t="str">
        <x:v>Retail</x:v>
      </x:c>
      <x:c r="F927" s="13" t="str">
        <x:v>Early Cyclicals</x:v>
      </x:c>
      <x:c r="G927" s="13" t="str">
        <x:v>grid_wekqfxnd.xlsx</x:v>
      </x:c>
    </x:row>
    <x:row r="928">
      <x:c r="A928" s="15" t="n">
        <x:v>40634</x:v>
      </x:c>
      <x:c r="B928" s="13" t="str">
        <x:v>CIA BRASILEIRA DE DIS-PREF</x:v>
      </x:c>
      <x:c r="C928" s="16" t="n">
        <x:v>858.9516726557</x:v>
      </x:c>
      <x:c r="D928" s="13" t="str">
        <x:v>Retail</x:v>
      </x:c>
      <x:c r="E928" s="13" t="str">
        <x:v>Retail</x:v>
      </x:c>
      <x:c r="F928" s="13" t="str">
        <x:v>Early Cyclicals</x:v>
      </x:c>
      <x:c r="G928" s="13" t="str">
        <x:v>grid_wekqfxnd.xlsx</x:v>
      </x:c>
    </x:row>
    <x:row r="929">
      <x:c r="A929" s="15" t="n">
        <x:v>40634</x:v>
      </x:c>
      <x:c r="B929" s="13" t="str">
        <x:v>LOJAS AMERICANAS SA-PREF</x:v>
      </x:c>
      <x:c r="C929" s="16" t="n">
        <x:v>383.8150819672</x:v>
      </x:c>
      <x:c r="D929" s="13" t="str">
        <x:v>Retail</x:v>
      </x:c>
      <x:c r="E929" s="13" t="str">
        <x:v>Retail</x:v>
      </x:c>
      <x:c r="F929" s="13" t="str">
        <x:v>Early Cyclicals</x:v>
      </x:c>
      <x:c r="G929" s="13" t="str">
        <x:v>grid_wekqfxnd.xlsx</x:v>
      </x:c>
    </x:row>
    <x:row r="930">
      <x:c r="A930" s="15" t="n">
        <x:v>40634</x:v>
      </x:c>
      <x:c r="B930" s="13" t="str">
        <x:v>LOJAS RENNER S.A.</x:v>
      </x:c>
      <x:c r="C930" s="16" t="n">
        <x:v>375.9542295082</x:v>
      </x:c>
      <x:c r="D930" s="13" t="str">
        <x:v>Retail</x:v>
      </x:c>
      <x:c r="E930" s="13" t="str">
        <x:v>Retail</x:v>
      </x:c>
      <x:c r="F930" s="13" t="str">
        <x:v>Early Cyclicals</x:v>
      </x:c>
      <x:c r="G930" s="13" t="str">
        <x:v>grid_wekqfxnd.xlsx</x:v>
      </x:c>
    </x:row>
    <x:row r="931">
      <x:c r="A931" s="15" t="n">
        <x:v>40634</x:v>
      </x:c>
      <x:c r="B931" s="13" t="str">
        <x:v>NATURA COSMETICOS SA</x:v>
      </x:c>
      <x:c r="C931" s="16" t="n">
        <x:v>913.0486893115</x:v>
      </x:c>
      <x:c r="D931" s="13" t="str">
        <x:v>Retail</x:v>
      </x:c>
      <x:c r="E931" s="13" t="str">
        <x:v>Retail</x:v>
      </x:c>
      <x:c r="F931" s="13" t="str">
        <x:v>Early Cyclicals</x:v>
      </x:c>
      <x:c r="G931" s="13" t="str">
        <x:v>grid_wekqfxnd.xlsx</x:v>
      </x:c>
    </x:row>
    <x:row r="932">
      <x:c r="A932" s="15" t="n">
        <x:v>40634</x:v>
      </x:c>
      <x:c r="B932" s="13" t="str">
        <x:v>CIA SANEAMENTO BASICO DE SP</x:v>
      </x:c>
      <x:c r="C932" s="16" t="n">
        <x:v>1369.005928918</x:v>
      </x:c>
      <x:c r="D932" s="13" t="str">
        <x:v>Sanitation</x:v>
      </x:c>
      <x:c r="E932" s="13" t="str">
        <x:v>Utilities</x:v>
      </x:c>
      <x:c r="F932" s="13" t="str">
        <x:v>Defensives</x:v>
      </x:c>
      <x:c r="G932" s="13" t="str">
        <x:v>grid_wekqfxnd.xlsx</x:v>
      </x:c>
    </x:row>
    <x:row r="933">
      <x:c r="A933" s="15" t="n">
        <x:v>40634</x:v>
      </x:c>
      <x:c r="B933" s="13" t="str">
        <x:v>OI SA-PREFERENCE</x:v>
      </x:c>
      <x:c r="C933" s="16" t="n">
        <x:v>1306.3201636721</x:v>
      </x:c>
      <x:c r="D933" s="13" t="str">
        <x:v>TMT</x:v>
      </x:c>
      <x:c r="E933" s="13" t="str">
        <x:v>TMT</x:v>
      </x:c>
      <x:c r="F933" s="13" t="str">
        <x:v>Early Cyclicals</x:v>
      </x:c>
      <x:c r="G933" s="13" t="str">
        <x:v>grid_wekqfxnd.xlsx</x:v>
      </x:c>
    </x:row>
    <x:row r="934">
      <x:c r="A934" s="15" t="n">
        <x:v>40634</x:v>
      </x:c>
      <x:c r="B934" s="13" t="str">
        <x:v>TELE NORTE LESTE PART</x:v>
      </x:c>
      <x:c r="C934" s="16" t="n">
        <x:v>1467.0644794754</x:v>
      </x:c>
      <x:c r="D934" s="13" t="str">
        <x:v>TMT</x:v>
      </x:c>
      <x:c r="E934" s="13" t="str">
        <x:v>TMT</x:v>
      </x:c>
      <x:c r="F934" s="13" t="str">
        <x:v>Early Cyclicals</x:v>
      </x:c>
      <x:c r="G934" s="13" t="str">
        <x:v>grid_wekqfxnd.xlsx</x:v>
      </x:c>
    </x:row>
    <x:row r="935">
      <x:c r="A935" s="15" t="n">
        <x:v>40634</x:v>
      </x:c>
      <x:c r="B935" s="13" t="str">
        <x:v>TELEFONICA BRASIL S.A.-PREF</x:v>
      </x:c>
      <x:c r="C935" s="16" t="n">
        <x:v>2063.6554093115</x:v>
      </x:c>
      <x:c r="D935" s="13" t="str">
        <x:v>TMT</x:v>
      </x:c>
      <x:c r="E935" s="13" t="str">
        <x:v>TMT</x:v>
      </x:c>
      <x:c r="F935" s="13" t="str">
        <x:v>Early Cyclicals</x:v>
      </x:c>
      <x:c r="G935" s="13" t="str">
        <x:v>grid_wekqfxnd.xlsx</x:v>
      </x:c>
    </x:row>
    <x:row r="936">
      <x:c r="A936" s="15" t="n">
        <x:v>40634</x:v>
      </x:c>
      <x:c r="B936" s="13" t="str">
        <x:v>TELEMAR NORTE LESTE SA</x:v>
      </x:c>
      <x:c r="C936" s="16" t="n">
        <x:v>1724.8459499016</x:v>
      </x:c>
      <x:c r="D936" s="13" t="str">
        <x:v>TMT</x:v>
      </x:c>
      <x:c r="E936" s="13" t="str">
        <x:v>TMT</x:v>
      </x:c>
      <x:c r="F936" s="13" t="str">
        <x:v>Early Cyclicals</x:v>
      </x:c>
      <x:c r="G936" s="13" t="str">
        <x:v>grid_wekqfxnd.xlsx</x:v>
      </x:c>
    </x:row>
    <x:row r="937">
      <x:c r="A937" s="15" t="n">
        <x:v>40634</x:v>
      </x:c>
      <x:c r="B937" s="13" t="str">
        <x:v>TIM PARTICIPACOES SA-PREF</x:v>
      </x:c>
      <x:c r="C937" s="16" t="n">
        <x:v>1108.5876112787</x:v>
      </x:c>
      <x:c r="D937" s="13" t="str">
        <x:v>TMT</x:v>
      </x:c>
      <x:c r="E937" s="13" t="str">
        <x:v>TMT</x:v>
      </x:c>
      <x:c r="F937" s="13" t="str">
        <x:v>Early Cyclicals</x:v>
      </x:c>
      <x:c r="G937" s="13" t="str">
        <x:v>grid_wekqfxnd.xlsx</x:v>
      </x:c>
    </x:row>
    <x:row r="938">
      <x:c r="A938" s="15" t="n">
        <x:v>40634</x:v>
      </x:c>
      <x:c r="B938" s="13" t="str">
        <x:v>TIM SA</x:v>
      </x:c>
      <x:c r="C938" s="16" t="n">
        <x:v>1108.5876112787</x:v>
      </x:c>
      <x:c r="D938" s="13" t="str">
        <x:v>TMT</x:v>
      </x:c>
      <x:c r="E938" s="13" t="str">
        <x:v>TMT</x:v>
      </x:c>
      <x:c r="F938" s="13" t="str">
        <x:v>Early Cyclicals</x:v>
      </x:c>
      <x:c r="G938" s="13" t="str">
        <x:v>grid_wekqfxnd.xlsx</x:v>
      </x:c>
    </x:row>
    <x:row r="939">
      <x:c r="A939" s="15" t="n">
        <x:v>40634</x:v>
      </x:c>
      <x:c r="B939" s="13" t="str">
        <x:v>VIVO PARTICIPACOES SA-PREF</x:v>
      </x:c>
      <x:c r="C939" s="16" t="n">
        <x:v>2242.0175297049</x:v>
      </x:c>
      <x:c r="D939" s="13" t="str">
        <x:v>TMT</x:v>
      </x:c>
      <x:c r="E939" s="13" t="str">
        <x:v>TMT</x:v>
      </x:c>
      <x:c r="F939" s="13" t="str">
        <x:v>Early Cyclicals</x:v>
      </x:c>
      <x:c r="G939" s="13" t="str">
        <x:v>grid_wekqfxnd.xlsx</x:v>
      </x:c>
    </x:row>
    <x:row r="940">
      <x:c r="A940" s="15" t="n">
        <x:v>40634</x:v>
      </x:c>
      <x:c r="B940" s="13" t="str">
        <x:v>GOL LINHAS AEREAS INT SA-PRE</x:v>
      </x:c>
      <x:c r="C940" s="16" t="n">
        <x:v>452.3656965246</x:v>
      </x:c>
      <x:c r="D940" s="13" t="str">
        <x:v>Transportation</x:v>
      </x:c>
      <x:c r="E940" s="13" t="str">
        <x:v>Transportation</x:v>
      </x:c>
      <x:c r="F940" s="13" t="str">
        <x:v>Deep Cyclicals</x:v>
      </x:c>
      <x:c r="G940" s="13" t="str">
        <x:v>grid_wekqfxnd.xlsx</x:v>
      </x:c>
    </x:row>
    <x:row r="941">
      <x:c r="A941" s="15" t="n">
        <x:v>40634</x:v>
      </x:c>
      <x:c r="B941" s="13" t="str">
        <x:v>MOTIVA INFRAESTRUTURA DE MOB</x:v>
      </x:c>
      <x:c r="C941" s="16" t="n">
        <x:v>1143.9326121967</x:v>
      </x:c>
      <x:c r="D941" s="13" t="str">
        <x:v>Transportation</x:v>
      </x:c>
      <x:c r="E941" s="13" t="str">
        <x:v>Transportation</x:v>
      </x:c>
      <x:c r="F941" s="13" t="str">
        <x:v>Deep Cyclicals</x:v>
      </x:c>
      <x:c r="G941" s="13" t="str">
        <x:v>grid_wekqfxnd.xlsx</x:v>
      </x:c>
    </x:row>
    <x:row r="942">
      <x:c r="A942" s="15" t="n">
        <x:v>40634</x:v>
      </x:c>
      <x:c r="B942" s="13" t="str">
        <x:v>PRUMO LOGISTICA SA</x:v>
      </x:c>
      <x:c r="C942" s="16" t="n">
        <x:v>-47.5912344262</x:v>
      </x:c>
      <x:c r="D942" s="13" t="str">
        <x:v>Transportation</x:v>
      </x:c>
      <x:c r="E942" s="13" t="str">
        <x:v>Transportation</x:v>
      </x:c>
      <x:c r="F942" s="13" t="str">
        <x:v>Deep Cyclicals</x:v>
      </x:c>
      <x:c r="G942" s="13" t="str">
        <x:v>grid_wekqfxnd.xlsx</x:v>
      </x:c>
    </x:row>
    <x:row r="943">
      <x:c r="A943" s="15" t="n">
        <x:v>40634</x:v>
      </x:c>
      <x:c r="B943" s="13" t="str">
        <x:v>RUMO SA</x:v>
      </x:c>
      <x:c r="C943" s="16" t="n">
        <x:v>350.7479401967</x:v>
      </x:c>
      <x:c r="D943" s="13" t="str">
        <x:v>Transportation</x:v>
      </x:c>
      <x:c r="E943" s="13" t="str">
        <x:v>Transportation</x:v>
      </x:c>
      <x:c r="F943" s="13" t="str">
        <x:v>Deep Cyclicals</x:v>
      </x:c>
      <x:c r="G943" s="13" t="str">
        <x:v>grid_wekqfxnd.xlsx</x:v>
      </x:c>
    </x:row>
    <x:row r="944">
      <x:c r="A944" s="15" t="n">
        <x:v>40634</x:v>
      </x:c>
      <x:c r="B944" s="13" t="str">
        <x:v>TAM SA-PREF</x:v>
      </x:c>
      <x:c r="C944" s="16" t="n">
        <x:v>333.2286447213</x:v>
      </x:c>
      <x:c r="D944" s="13" t="str">
        <x:v>Transportation</x:v>
      </x:c>
      <x:c r="E944" s="13" t="str">
        <x:v>Transportation</x:v>
      </x:c>
      <x:c r="F944" s="13" t="str">
        <x:v>Deep Cyclicals</x:v>
      </x:c>
      <x:c r="G944" s="13" t="str">
        <x:v>grid_wekqfxnd.xlsx</x:v>
      </x:c>
    </x:row>
    <x:row r="945">
      <x:c r="A945" s="15" t="n">
        <x:v>40634</x:v>
      </x:c>
      <x:c r="B945" s="13" t="str">
        <x:v>AXIA ENERGIA SA</x:v>
      </x:c>
      <x:c r="C945" s="16" t="n">
        <x:v>3624.9759223607</x:v>
      </x:c>
      <x:c r="D945" s="13" t="str">
        <x:v>Utilities &amp; Energy</x:v>
      </x:c>
      <x:c r="E945" s="13" t="str">
        <x:v>Utilities</x:v>
      </x:c>
      <x:c r="F945" s="13" t="str">
        <x:v>Defensives</x:v>
      </x:c>
      <x:c r="G945" s="13" t="str">
        <x:v>grid_wekqfxnd.xlsx</x:v>
      </x:c>
    </x:row>
    <x:row r="946">
      <x:c r="A946" s="15" t="n">
        <x:v>40634</x:v>
      </x:c>
      <x:c r="B946" s="13" t="str">
        <x:v>AXIA ENERGIA-PR B</x:v>
      </x:c>
      <x:c r="C946" s="16" t="n">
        <x:v>3624.9759223607</x:v>
      </x:c>
      <x:c r="D946" s="13" t="str">
        <x:v>Utilities &amp; Energy</x:v>
      </x:c>
      <x:c r="E946" s="13" t="str">
        <x:v>Utilities</x:v>
      </x:c>
      <x:c r="F946" s="13" t="str">
        <x:v>Defensives</x:v>
      </x:c>
      <x:c r="G946" s="13" t="str">
        <x:v>grid_wekqfxnd.xlsx</x:v>
      </x:c>
    </x:row>
    <x:row r="947">
      <x:c r="A947" s="15" t="n">
        <x:v>40634</x:v>
      </x:c>
      <x:c r="B947" s="13" t="str">
        <x:v>CESP - CIA ENERGETICA DE SAO</x:v>
      </x:c>
      <x:c r="C947" s="16" t="n">
        <x:v>722.6379100328</x:v>
      </x:c>
      <x:c r="D947" s="13" t="str">
        <x:v>Utilities &amp; Energy</x:v>
      </x:c>
      <x:c r="E947" s="13" t="str">
        <x:v>Utilities</x:v>
      </x:c>
      <x:c r="F947" s="13" t="str">
        <x:v>Defensives</x:v>
      </x:c>
      <x:c r="G947" s="13" t="str">
        <x:v>grid_wekqfxnd.xlsx</x:v>
      </x:c>
    </x:row>
    <x:row r="948">
      <x:c r="A948" s="15" t="n">
        <x:v>40634</x:v>
      </x:c>
      <x:c r="B948" s="13" t="str">
        <x:v>CIA ENERGETICA MINAS GER-PRF</x:v>
      </x:c>
      <x:c r="C948" s="16" t="n">
        <x:v>2130.7295181639</x:v>
      </x:c>
      <x:c r="D948" s="13" t="str">
        <x:v>Utilities &amp; Energy</x:v>
      </x:c>
      <x:c r="E948" s="13" t="str">
        <x:v>Utilities</x:v>
      </x:c>
      <x:c r="F948" s="13" t="str">
        <x:v>Defensives</x:v>
      </x:c>
      <x:c r="G948" s="13" t="str">
        <x:v>grid_wekqfxnd.xlsx</x:v>
      </x:c>
    </x:row>
    <x:row r="949">
      <x:c r="A949" s="15" t="n">
        <x:v>40634</x:v>
      </x:c>
      <x:c r="B949" s="13" t="str">
        <x:v>COMPANHIA PARANAENSE -PREF B</x:v>
      </x:c>
      <x:c r="C949" s="16" t="n">
        <x:v>1274.0452679344</x:v>
      </x:c>
      <x:c r="D949" s="13" t="str">
        <x:v>Utilities &amp; Energy</x:v>
      </x:c>
      <x:c r="E949" s="13" t="str">
        <x:v>Utilities</x:v>
      </x:c>
      <x:c r="F949" s="13" t="str">
        <x:v>Defensives</x:v>
      </x:c>
      <x:c r="G949" s="13" t="str">
        <x:v>grid_wekqfxnd.xlsx</x:v>
      </x:c>
    </x:row>
    <x:row r="950">
      <x:c r="A950" s="15" t="n">
        <x:v>40634</x:v>
      </x:c>
      <x:c r="B950" s="13" t="str">
        <x:v>CPFL ENERGIA SA</x:v>
      </x:c>
      <x:c r="C950" s="16" t="n">
        <x:v>1658.627863082</x:v>
      </x:c>
      <x:c r="D950" s="13" t="str">
        <x:v>Utilities &amp; Energy</x:v>
      </x:c>
      <x:c r="E950" s="13" t="str">
        <x:v>Utilities</x:v>
      </x:c>
      <x:c r="F950" s="13" t="str">
        <x:v>Defensives</x:v>
      </x:c>
      <x:c r="G950" s="13" t="str">
        <x:v>grid_wekqfxnd.xlsx</x:v>
      </x:c>
    </x:row>
    <x:row r="951">
      <x:c r="A951" s="15" t="n">
        <x:v>40634</x:v>
      </x:c>
      <x:c r="B951" s="13" t="str">
        <x:v>ELETROPAULO METROPOLI-PREF</x:v>
      </x:c>
      <x:c r="C951" s="16" t="n">
        <x:v>626.4560083934</x:v>
      </x:c>
      <x:c r="D951" s="13" t="str">
        <x:v>Utilities &amp; Energy</x:v>
      </x:c>
      <x:c r="E951" s="13" t="str">
        <x:v>Utilities</x:v>
      </x:c>
      <x:c r="F951" s="13" t="str">
        <x:v>Defensives</x:v>
      </x:c>
      <x:c r="G951" s="13" t="str">
        <x:v>grid_wekqfxnd.xlsx</x:v>
      </x:c>
    </x:row>
    <x:row r="952">
      <x:c r="A952" s="15" t="n">
        <x:v>40634</x:v>
      </x:c>
      <x:c r="B952" s="13" t="str">
        <x:v>ISA ENERGIA BRASIL SA</x:v>
      </x:c>
      <x:c r="C952" s="16" t="n">
        <x:v>839.9491965902</x:v>
      </x:c>
      <x:c r="D952" s="13" t="str">
        <x:v>Utilities &amp; Energy</x:v>
      </x:c>
      <x:c r="E952" s="13" t="str">
        <x:v>Utilities</x:v>
      </x:c>
      <x:c r="F952" s="13" t="str">
        <x:v>Defensives</x:v>
      </x:c>
      <x:c r="G952" s="13" t="str">
        <x:v>grid_wekqfxnd.xlsx</x:v>
      </x:c>
    </x:row>
    <x:row r="953">
      <x:c r="A953" s="15" t="n">
        <x:v>40634</x:v>
      </x:c>
      <x:c r="B953" s="13" t="str">
        <x:v>LIGHT SA</x:v>
      </x:c>
      <x:c r="C953" s="16" t="n">
        <x:v>622.6735958033</x:v>
      </x:c>
      <x:c r="D953" s="13" t="str">
        <x:v>Utilities &amp; Energy</x:v>
      </x:c>
      <x:c r="E953" s="13" t="str">
        <x:v>Utilities</x:v>
      </x:c>
      <x:c r="F953" s="13" t="str">
        <x:v>Defensives</x:v>
      </x:c>
      <x:c r="G953" s="13" t="str">
        <x:v>grid_wekqfxnd.xlsx</x:v>
      </x:c>
    </x:row>
    <x:row r="954">
      <x:c r="A954" s="15" t="n">
        <x:v>40664</x:v>
      </x:c>
      <x:c r="B954" s="13" t="str">
        <x:v>BANCO BRADESCO SA-PREF</x:v>
      </x:c>
      <x:c r="C954" s="16" t="n">
        <x:v>11887.3469118251</x:v>
      </x:c>
      <x:c r="D954" s="13" t="str">
        <x:v>Banks</x:v>
      </x:c>
      <x:c r="E954" s="13" t="str">
        <x:v>Banks</x:v>
      </x:c>
      <x:c r="F954" s="13" t="str">
        <x:v>Financials</x:v>
      </x:c>
      <x:c r="G954" s="13" t="str">
        <x:v>grid_wekqfxnd.xlsx</x:v>
      </x:c>
    </x:row>
    <x:row r="955">
      <x:c r="A955" s="15" t="n">
        <x:v>40664</x:v>
      </x:c>
      <x:c r="B955" s="13" t="str">
        <x:v>BANCO DO BRASIL S.A.</x:v>
      </x:c>
      <x:c r="C955" s="16" t="n">
        <x:v>11872.4347299672</x:v>
      </x:c>
      <x:c r="D955" s="13" t="str">
        <x:v>Banks</x:v>
      </x:c>
      <x:c r="E955" s="13" t="str">
        <x:v>Banks</x:v>
      </x:c>
      <x:c r="F955" s="13" t="str">
        <x:v>Financials</x:v>
      </x:c>
      <x:c r="G955" s="13" t="str">
        <x:v>grid_wekqfxnd.xlsx</x:v>
      </x:c>
    </x:row>
    <x:row r="956">
      <x:c r="A956" s="15" t="n">
        <x:v>40664</x:v>
      </x:c>
      <x:c r="B956" s="13" t="str">
        <x:v>BANCO SANTANDER  BRASIL-UNIT</x:v>
      </x:c>
      <x:c r="C956" s="16" t="n">
        <x:v>8044.6003283934</x:v>
      </x:c>
      <x:c r="D956" s="13" t="str">
        <x:v>Banks</x:v>
      </x:c>
      <x:c r="E956" s="13" t="str">
        <x:v>Banks</x:v>
      </x:c>
      <x:c r="F956" s="13" t="str">
        <x:v>Financials</x:v>
      </x:c>
      <x:c r="G956" s="13" t="str">
        <x:v>grid_wekqfxnd.xlsx</x:v>
      </x:c>
    </x:row>
    <x:row r="957">
      <x:c r="A957" s="15" t="n">
        <x:v>40664</x:v>
      </x:c>
      <x:c r="B957" s="13" t="str">
        <x:v>ITAU UNIBANCO HOLDING S-PREF</x:v>
      </x:c>
      <x:c r="C957" s="16" t="n">
        <x:v>16213.6812751038</x:v>
      </x:c>
      <x:c r="D957" s="13" t="str">
        <x:v>Banks</x:v>
      </x:c>
      <x:c r="E957" s="13" t="str">
        <x:v>Banks</x:v>
      </x:c>
      <x:c r="F957" s="13" t="str">
        <x:v>Financials</x:v>
      </x:c>
      <x:c r="G957" s="13" t="str">
        <x:v>grid_wekqfxnd.xlsx</x:v>
      </x:c>
    </x:row>
    <x:row r="958">
      <x:c r="A958" s="15" t="n">
        <x:v>40664</x:v>
      </x:c>
      <x:c r="B958" s="13" t="str">
        <x:v>EMBRAER SA</x:v>
      </x:c>
      <x:c r="C958" s="16" t="n">
        <x:v>596.3349085027</x:v>
      </x:c>
      <x:c r="D958" s="13" t="str">
        <x:v>Capital Goods</x:v>
      </x:c>
      <x:c r="E958" s="13" t="str">
        <x:v>Capital Goods</x:v>
      </x:c>
      <x:c r="F958" s="13" t="str">
        <x:v>Deep Cyclicals</x:v>
      </x:c>
      <x:c r="G958" s="13" t="str">
        <x:v>grid_wekqfxnd.xlsx</x:v>
      </x:c>
    </x:row>
    <x:row r="959">
      <x:c r="A959" s="15" t="n">
        <x:v>40664</x:v>
      </x:c>
      <x:c r="B959" s="13" t="str">
        <x:v>B3 SA-BRASIL BOLSA BALCAO</x:v>
      </x:c>
      <x:c r="C959" s="16" t="n">
        <x:v>1579.1997614863</x:v>
      </x:c>
      <x:c r="D959" s="13" t="str">
        <x:v>Financials Non-Banks</x:v>
      </x:c>
      <x:c r="E959" s="13" t="str">
        <x:v>Financials Non-Banks</x:v>
      </x:c>
      <x:c r="F959" s="13" t="str">
        <x:v>Financials</x:v>
      </x:c>
      <x:c r="G959" s="13" t="str">
        <x:v>grid_wekqfxnd.xlsx</x:v>
      </x:c>
    </x:row>
    <x:row r="960">
      <x:c r="A960" s="15" t="n">
        <x:v>40664</x:v>
      </x:c>
      <x:c r="B960" s="13" t="str">
        <x:v>CIELO SA - INSTITUICAO DE PA</x:v>
      </x:c>
      <x:c r="C960" s="16" t="n">
        <x:v>1683.0947021639</x:v>
      </x:c>
      <x:c r="D960" s="13" t="str">
        <x:v>Financials Non-Banks</x:v>
      </x:c>
      <x:c r="E960" s="13" t="str">
        <x:v>Financials Non-Banks</x:v>
      </x:c>
      <x:c r="F960" s="13" t="str">
        <x:v>Financials</x:v>
      </x:c>
      <x:c r="G960" s="13" t="str">
        <x:v>grid_wekqfxnd.xlsx</x:v>
      </x:c>
    </x:row>
    <x:row r="961">
      <x:c r="A961" s="15" t="n">
        <x:v>40664</x:v>
      </x:c>
      <x:c r="B961" s="13" t="str">
        <x:v>ITAUSA SA</x:v>
      </x:c>
      <x:c r="C961" s="16" t="n">
        <x:v>6414.1184699453</x:v>
      </x:c>
      <x:c r="D961" s="13" t="str">
        <x:v>Financials Non-Banks</x:v>
      </x:c>
      <x:c r="E961" s="13" t="str">
        <x:v>Financials Non-Banks</x:v>
      </x:c>
      <x:c r="F961" s="13" t="str">
        <x:v>Financials</x:v>
      </x:c>
      <x:c r="G961" s="13" t="str">
        <x:v>grid_wekqfxnd.xlsx</x:v>
      </x:c>
    </x:row>
    <x:row r="962">
      <x:c r="A962" s="15" t="n">
        <x:v>40664</x:v>
      </x:c>
      <x:c r="B962" s="13" t="str">
        <x:v>REDECARD INSTITUICAO DE PAGA</x:v>
      </x:c>
      <x:c r="C962" s="16" t="n">
        <x:v>1245.6145675191</x:v>
      </x:c>
      <x:c r="D962" s="13" t="str">
        <x:v>Financials Non-Banks</x:v>
      </x:c>
      <x:c r="E962" s="13" t="str">
        <x:v>Financials Non-Banks</x:v>
      </x:c>
      <x:c r="F962" s="13" t="str">
        <x:v>Financials</x:v>
      </x:c>
      <x:c r="G962" s="13" t="str">
        <x:v>grid_wekqfxnd.xlsx</x:v>
      </x:c>
    </x:row>
    <x:row r="963">
      <x:c r="A963" s="15" t="n">
        <x:v>40664</x:v>
      </x:c>
      <x:c r="B963" s="13" t="str">
        <x:v>AMBEV SA</x:v>
      </x:c>
      <x:c r="C963" s="16" t="n">
        <x:v>8520.4699236721</x:v>
      </x:c>
      <x:c r="D963" s="13" t="str">
        <x:v>Food &amp; Beverages</x:v>
      </x:c>
      <x:c r="E963" s="13" t="str">
        <x:v>Agri, Food &amp; Beverages</x:v>
      </x:c>
      <x:c r="F963" s="13" t="str">
        <x:v>Defensives</x:v>
      </x:c>
      <x:c r="G963" s="13" t="str">
        <x:v>grid_wekqfxnd.xlsx</x:v>
      </x:c>
    </x:row>
    <x:row r="964">
      <x:c r="A964" s="15" t="n">
        <x:v>40664</x:v>
      </x:c>
      <x:c r="B964" s="13" t="str">
        <x:v>BRF SA</x:v>
      </x:c>
      <x:c r="C964" s="16" t="n">
        <x:v>1568.8329281749</x:v>
      </x:c>
      <x:c r="D964" s="13" t="str">
        <x:v>Food &amp; Beverages</x:v>
      </x:c>
      <x:c r="E964" s="13" t="str">
        <x:v>Agri, Food &amp; Beverages</x:v>
      </x:c>
      <x:c r="F964" s="13" t="str">
        <x:v>Defensives</x:v>
      </x:c>
      <x:c r="G964" s="13" t="str">
        <x:v>grid_wekqfxnd.xlsx</x:v>
      </x:c>
    </x:row>
    <x:row r="965">
      <x:c r="A965" s="15" t="n">
        <x:v>40664</x:v>
      </x:c>
      <x:c r="B965" s="13" t="str">
        <x:v>JBS SA</x:v>
      </x:c>
      <x:c r="C965" s="16" t="n">
        <x:v>1579.4863387978</x:v>
      </x:c>
      <x:c r="D965" s="13" t="str">
        <x:v>Food &amp; Beverages</x:v>
      </x:c>
      <x:c r="E965" s="13" t="str">
        <x:v>Agri, Food &amp; Beverages</x:v>
      </x:c>
      <x:c r="F965" s="13" t="str">
        <x:v>Defensives</x:v>
      </x:c>
      <x:c r="G965" s="13" t="str">
        <x:v>grid_wekqfxnd.xlsx</x:v>
      </x:c>
    </x:row>
    <x:row r="966">
      <x:c r="A966" s="15" t="n">
        <x:v>40664</x:v>
      </x:c>
      <x:c r="B966" s="13" t="str">
        <x:v>MBRF GLOBAL FOODS COMPANY SA</x:v>
      </x:c>
      <x:c r="C966" s="16" t="n">
        <x:v>220.5987540984</x:v>
      </x:c>
      <x:c r="D966" s="13" t="str">
        <x:v>Food &amp; Beverages</x:v>
      </x:c>
      <x:c r="E966" s="13" t="str">
        <x:v>Agri, Food &amp; Beverages</x:v>
      </x:c>
      <x:c r="F966" s="13" t="str">
        <x:v>Defensives</x:v>
      </x:c>
      <x:c r="G966" s="13" t="str">
        <x:v>grid_wekqfxnd.xlsx</x:v>
      </x:c>
    </x:row>
    <x:row r="967">
      <x:c r="A967" s="15" t="n">
        <x:v>40664</x:v>
      </x:c>
      <x:c r="B967" s="13" t="str">
        <x:v>SOUZA CRUZ LTDA</x:v>
      </x:c>
      <x:c r="C967" s="16" t="n">
        <x:v>1676.9344902295</x:v>
      </x:c>
      <x:c r="D967" s="13" t="str">
        <x:v>Food &amp; Beverages</x:v>
      </x:c>
      <x:c r="E967" s="13" t="str">
        <x:v>Agri, Food &amp; Beverages</x:v>
      </x:c>
      <x:c r="F967" s="13" t="str">
        <x:v>Defensives</x:v>
      </x:c>
      <x:c r="G967" s="13" t="str">
        <x:v>grid_wekqfxnd.xlsx</x:v>
      </x:c>
    </x:row>
    <x:row r="968">
      <x:c r="A968" s="15" t="n">
        <x:v>40664</x:v>
      </x:c>
      <x:c r="B968" s="13" t="str">
        <x:v>HYPERA SA</x:v>
      </x:c>
      <x:c r="C968" s="16" t="n">
        <x:v>553.0475275191</x:v>
      </x:c>
      <x:c r="D968" s="13" t="str">
        <x:v>Health Care</x:v>
      </x:c>
      <x:c r="E968" s="13" t="str">
        <x:v>Health Care</x:v>
      </x:c>
      <x:c r="F968" s="13" t="str">
        <x:v>Defensives</x:v>
      </x:c>
      <x:c r="G968" s="13" t="str">
        <x:v>grid_wekqfxnd.xlsx</x:v>
      </x:c>
    </x:row>
    <x:row r="969">
      <x:c r="A969" s="15" t="n">
        <x:v>40664</x:v>
      </x:c>
      <x:c r="B969" s="13" t="str">
        <x:v>CYRELA BRAZIL REALTY SA EMP</x:v>
      </x:c>
      <x:c r="C969" s="16" t="n">
        <x:v>809.7313895519</x:v>
      </x:c>
      <x:c r="D969" s="13" t="str">
        <x:v>Homebuilders</x:v>
      </x:c>
      <x:c r="E969" s="13" t="str">
        <x:v>Real Estate</x:v>
      </x:c>
      <x:c r="F969" s="13" t="str">
        <x:v>Early Cyclicals</x:v>
      </x:c>
      <x:c r="G969" s="13" t="str">
        <x:v>grid_wekqfxnd.xlsx</x:v>
      </x:c>
    </x:row>
    <x:row r="970">
      <x:c r="A970" s="15" t="n">
        <x:v>40664</x:v>
      </x:c>
      <x:c r="B970" s="13" t="str">
        <x:v>GAFISA SA</x:v>
      </x:c>
      <x:c r="C970" s="16" t="n">
        <x:v>560.3166861639</x:v>
      </x:c>
      <x:c r="D970" s="13" t="str">
        <x:v>Homebuilders</x:v>
      </x:c>
      <x:c r="E970" s="13" t="str">
        <x:v>Real Estate</x:v>
      </x:c>
      <x:c r="F970" s="13" t="str">
        <x:v>Early Cyclicals</x:v>
      </x:c>
      <x:c r="G970" s="13" t="str">
        <x:v>grid_wekqfxnd.xlsx</x:v>
      </x:c>
    </x:row>
    <x:row r="971">
      <x:c r="A971" s="15" t="n">
        <x:v>40664</x:v>
      </x:c>
      <x:c r="B971" s="13" t="str">
        <x:v>MRV ENGENHARIA</x:v>
      </x:c>
      <x:c r="C971" s="16" t="n">
        <x:v>888.2545255519</x:v>
      </x:c>
      <x:c r="D971" s="13" t="str">
        <x:v>Homebuilders</x:v>
      </x:c>
      <x:c r="E971" s="13" t="str">
        <x:v>Real Estate</x:v>
      </x:c>
      <x:c r="F971" s="13" t="str">
        <x:v>Early Cyclicals</x:v>
      </x:c>
      <x:c r="G971" s="13" t="str">
        <x:v>grid_wekqfxnd.xlsx</x:v>
      </x:c>
    </x:row>
    <x:row r="972">
      <x:c r="A972" s="15" t="n">
        <x:v>40664</x:v>
      </x:c>
      <x:c r="B972" s="13" t="str">
        <x:v>PDG REALTY SA</x:v>
      </x:c>
      <x:c r="C972" s="16" t="n">
        <x:v>1386.9377182077</x:v>
      </x:c>
      <x:c r="D972" s="13" t="str">
        <x:v>Homebuilders</x:v>
      </x:c>
      <x:c r="E972" s="13" t="str">
        <x:v>Real Estate</x:v>
      </x:c>
      <x:c r="F972" s="13" t="str">
        <x:v>Early Cyclicals</x:v>
      </x:c>
      <x:c r="G972" s="13" t="str">
        <x:v>grid_wekqfxnd.xlsx</x:v>
      </x:c>
    </x:row>
    <x:row r="973">
      <x:c r="A973" s="15" t="n">
        <x:v>40664</x:v>
      </x:c>
      <x:c r="B973" s="13" t="str">
        <x:v>ROSSI RESIDENCIAL SA</x:v>
      </x:c>
      <x:c r="C973" s="16" t="n">
        <x:v>551.8308836721</x:v>
      </x:c>
      <x:c r="D973" s="13" t="str">
        <x:v>Homebuilders</x:v>
      </x:c>
      <x:c r="E973" s="13" t="str">
        <x:v>Real Estate</x:v>
      </x:c>
      <x:c r="F973" s="13" t="str">
        <x:v>Early Cyclicals</x:v>
      </x:c>
      <x:c r="G973" s="13" t="str">
        <x:v>grid_wekqfxnd.xlsx</x:v>
      </x:c>
    </x:row>
    <x:row r="974">
      <x:c r="A974" s="15" t="n">
        <x:v>40664</x:v>
      </x:c>
      <x:c r="B974" s="13" t="str">
        <x:v>TEGRA INCORPORADORA SA</x:v>
      </x:c>
      <x:c r="C974" s="16" t="n">
        <x:v>527.9206004809</x:v>
      </x:c>
      <x:c r="D974" s="13" t="str">
        <x:v>Homebuilders</x:v>
      </x:c>
      <x:c r="E974" s="13" t="str">
        <x:v>Real Estate</x:v>
      </x:c>
      <x:c r="F974" s="13" t="str">
        <x:v>Early Cyclicals</x:v>
      </x:c>
      <x:c r="G974" s="13" t="str">
        <x:v>grid_wekqfxnd.xlsx</x:v>
      </x:c>
    </x:row>
    <x:row r="975">
      <x:c r="A975" s="15" t="n">
        <x:v>40664</x:v>
      </x:c>
      <x:c r="B975" s="13" t="str">
        <x:v>BRADESPAR SA -PREF</x:v>
      </x:c>
      <x:c r="C975" s="16" t="n">
        <x:v>2471.4618180546</x:v>
      </x:c>
      <x:c r="D975" s="13" t="str">
        <x:v>Metals &amp; Mining</x:v>
      </x:c>
      <x:c r="E975" s="13" t="str">
        <x:v>Metals &amp; Mining</x:v>
      </x:c>
      <x:c r="F975" s="13" t="str">
        <x:v>Deep Cyclicals</x:v>
      </x:c>
      <x:c r="G975" s="13" t="str">
        <x:v>grid_wekqfxnd.xlsx</x:v>
      </x:c>
    </x:row>
    <x:row r="976">
      <x:c r="A976" s="15" t="n">
        <x:v>40664</x:v>
      </x:c>
      <x:c r="B976" s="13" t="str">
        <x:v>CIA SIDERURGICA NACIONAL SA</x:v>
      </x:c>
      <x:c r="C976" s="16" t="n">
        <x:v>4063.4923617924</x:v>
      </x:c>
      <x:c r="D976" s="13" t="str">
        <x:v>Metals &amp; Mining</x:v>
      </x:c>
      <x:c r="E976" s="13" t="str">
        <x:v>Metals &amp; Mining</x:v>
      </x:c>
      <x:c r="F976" s="13" t="str">
        <x:v>Deep Cyclicals</x:v>
      </x:c>
      <x:c r="G976" s="13" t="str">
        <x:v>grid_wekqfxnd.xlsx</x:v>
      </x:c>
    </x:row>
    <x:row r="977">
      <x:c r="A977" s="15" t="n">
        <x:v>40664</x:v>
      </x:c>
      <x:c r="B977" s="13" t="str">
        <x:v>GERDAU SA-PREF</x:v>
      </x:c>
      <x:c r="C977" s="16" t="n">
        <x:v>2623.1299972896</x:v>
      </x:c>
      <x:c r="D977" s="13" t="str">
        <x:v>Metals &amp; Mining</x:v>
      </x:c>
      <x:c r="E977" s="13" t="str">
        <x:v>Metals &amp; Mining</x:v>
      </x:c>
      <x:c r="F977" s="13" t="str">
        <x:v>Deep Cyclicals</x:v>
      </x:c>
      <x:c r="G977" s="13" t="str">
        <x:v>grid_wekqfxnd.xlsx</x:v>
      </x:c>
    </x:row>
    <x:row r="978">
      <x:c r="A978" s="15" t="n">
        <x:v>40664</x:v>
      </x:c>
      <x:c r="B978" s="13" t="str">
        <x:v>METALURGICA GERDAU SA-PREF</x:v>
      </x:c>
      <x:c r="C978" s="16" t="n">
        <x:v>1009.9583318033</x:v>
      </x:c>
      <x:c r="D978" s="13" t="str">
        <x:v>Metals &amp; Mining</x:v>
      </x:c>
      <x:c r="E978" s="13" t="str">
        <x:v>Metals &amp; Mining</x:v>
      </x:c>
      <x:c r="F978" s="13" t="str">
        <x:v>Deep Cyclicals</x:v>
      </x:c>
      <x:c r="G978" s="13" t="str">
        <x:v>grid_wekqfxnd.xlsx</x:v>
      </x:c>
    </x:row>
    <x:row r="979">
      <x:c r="A979" s="15" t="n">
        <x:v>40664</x:v>
      </x:c>
      <x:c r="B979" s="13" t="str">
        <x:v>MMX MINERACAO E METALICOS SA</x:v>
      </x:c>
      <x:c r="C979" s="16" t="n">
        <x:v>345.2693989071</x:v>
      </x:c>
      <x:c r="D979" s="13" t="str">
        <x:v>Metals &amp; Mining</x:v>
      </x:c>
      <x:c r="E979" s="13" t="str">
        <x:v>Metals &amp; Mining</x:v>
      </x:c>
      <x:c r="F979" s="13" t="str">
        <x:v>Deep Cyclicals</x:v>
      </x:c>
      <x:c r="G979" s="13" t="str">
        <x:v>grid_wekqfxnd.xlsx</x:v>
      </x:c>
    </x:row>
    <x:row r="980">
      <x:c r="A980" s="15" t="n">
        <x:v>40664</x:v>
      </x:c>
      <x:c r="B980" s="13" t="str">
        <x:v>USINAS SIDER MINAS GER-PF A</x:v>
      </x:c>
      <x:c r="C980" s="16" t="n">
        <x:v>1067.7825070164</x:v>
      </x:c>
      <x:c r="D980" s="13" t="str">
        <x:v>Metals &amp; Mining</x:v>
      </x:c>
      <x:c r="E980" s="13" t="str">
        <x:v>Metals &amp; Mining</x:v>
      </x:c>
      <x:c r="F980" s="13" t="str">
        <x:v>Deep Cyclicals</x:v>
      </x:c>
      <x:c r="G980" s="13" t="str">
        <x:v>grid_wekqfxnd.xlsx</x:v>
      </x:c>
    </x:row>
    <x:row r="981">
      <x:c r="A981" s="15" t="n">
        <x:v>40664</x:v>
      </x:c>
      <x:c r="B981" s="13" t="str">
        <x:v>USINAS SIDERURGICAS DE MINAS</x:v>
      </x:c>
      <x:c r="C981" s="16" t="n">
        <x:v>1067.7825070164</x:v>
      </x:c>
      <x:c r="D981" s="13" t="str">
        <x:v>Metals &amp; Mining</x:v>
      </x:c>
      <x:c r="E981" s="13" t="str">
        <x:v>Metals &amp; Mining</x:v>
      </x:c>
      <x:c r="F981" s="13" t="str">
        <x:v>Deep Cyclicals</x:v>
      </x:c>
      <x:c r="G981" s="13" t="str">
        <x:v>grid_wekqfxnd.xlsx</x:v>
      </x:c>
    </x:row>
    <x:row r="982">
      <x:c r="A982" s="15" t="n">
        <x:v>40664</x:v>
      </x:c>
      <x:c r="B982" s="13" t="str">
        <x:v>VALE SA</x:v>
      </x:c>
      <x:c r="C982" s="16" t="n">
        <x:v>43231.1088514098</x:v>
      </x:c>
      <x:c r="D982" s="13" t="str">
        <x:v>Metals &amp; Mining</x:v>
      </x:c>
      <x:c r="E982" s="13" t="str">
        <x:v>Metals &amp; Mining</x:v>
      </x:c>
      <x:c r="F982" s="13" t="str">
        <x:v>Deep Cyclicals</x:v>
      </x:c>
      <x:c r="G982" s="13" t="str">
        <x:v>grid_wekqfxnd.xlsx</x:v>
      </x:c>
    </x:row>
    <x:row r="983">
      <x:c r="A983" s="15" t="n">
        <x:v>40664</x:v>
      </x:c>
      <x:c r="B983" s="13" t="str">
        <x:v>BRASKEM SA-PREF A</x:v>
      </x:c>
      <x:c r="C983" s="16" t="n">
        <x:v>1155.9319046994</x:v>
      </x:c>
      <x:c r="D983" s="13" t="str">
        <x:v>Oil, Gas &amp; Petrochemicals</x:v>
      </x:c>
      <x:c r="E983" s="13" t="str">
        <x:v>Oil, Gas &amp; Petrochemicals</x:v>
      </x:c>
      <x:c r="F983" s="13" t="str">
        <x:v>Deep Cyclicals</x:v>
      </x:c>
      <x:c r="G983" s="13" t="str">
        <x:v>grid_wekqfxnd.xlsx</x:v>
      </x:c>
    </x:row>
    <x:row r="984">
      <x:c r="A984" s="15" t="n">
        <x:v>40664</x:v>
      </x:c>
      <x:c r="B984" s="13" t="str">
        <x:v>COSAN SA</x:v>
      </x:c>
      <x:c r="C984" s="16" t="n">
        <x:v>564</x:v>
      </x:c>
      <x:c r="D984" s="13" t="str">
        <x:v>Oil, Gas &amp; Petrochemicals</x:v>
      </x:c>
      <x:c r="E984" s="13" t="str">
        <x:v>Oil, Gas &amp; Petrochemicals</x:v>
      </x:c>
      <x:c r="F984" s="13" t="str">
        <x:v>Deep Cyclicals</x:v>
      </x:c>
      <x:c r="G984" s="13" t="str">
        <x:v>grid_wekqfxnd.xlsx</x:v>
      </x:c>
    </x:row>
    <x:row r="985">
      <x:c r="A985" s="15" t="n">
        <x:v>40664</x:v>
      </x:c>
      <x:c r="B985" s="13" t="str">
        <x:v>OLEO E GAS PARTICIPACOES SA</x:v>
      </x:c>
      <x:c r="C985" s="16" t="n">
        <x:v>516.7455298798</x:v>
      </x:c>
      <x:c r="D985" s="13" t="str">
        <x:v>Oil, Gas &amp; Petrochemicals</x:v>
      </x:c>
      <x:c r="E985" s="13" t="str">
        <x:v>Oil, Gas &amp; Petrochemicals</x:v>
      </x:c>
      <x:c r="F985" s="13" t="str">
        <x:v>Deep Cyclicals</x:v>
      </x:c>
      <x:c r="G985" s="13" t="str">
        <x:v>grid_wekqfxnd.xlsx</x:v>
      </x:c>
    </x:row>
    <x:row r="986">
      <x:c r="A986" s="15" t="n">
        <x:v>40664</x:v>
      </x:c>
      <x:c r="B986" s="13" t="str">
        <x:v>PETROBRAS - PETROLEO BRAS</x:v>
      </x:c>
      <x:c r="C986" s="16" t="n">
        <x:v>36570.3692422295</x:v>
      </x:c>
      <x:c r="D986" s="13" t="str">
        <x:v>Oil, Gas &amp; Petrochemicals</x:v>
      </x:c>
      <x:c r="E986" s="13" t="str">
        <x:v>Oil, Gas &amp; Petrochemicals</x:v>
      </x:c>
      <x:c r="F986" s="13" t="str">
        <x:v>Deep Cyclicals</x:v>
      </x:c>
      <x:c r="G986" s="13" t="str">
        <x:v>grid_wekqfxnd.xlsx</x:v>
      </x:c>
    </x:row>
    <x:row r="987">
      <x:c r="A987" s="15" t="n">
        <x:v>40664</x:v>
      </x:c>
      <x:c r="B987" s="13" t="str">
        <x:v>ULTRAPAR PARTICIPACOES-PREF</x:v>
      </x:c>
      <x:c r="C987" s="16" t="n">
        <x:v>880.1205616612</x:v>
      </x:c>
      <x:c r="D987" s="13" t="str">
        <x:v>Oil, Gas &amp; Petrochemicals</x:v>
      </x:c>
      <x:c r="E987" s="13" t="str">
        <x:v>Oil, Gas &amp; Petrochemicals</x:v>
      </x:c>
      <x:c r="F987" s="13" t="str">
        <x:v>Deep Cyclicals</x:v>
      </x:c>
      <x:c r="G987" s="13" t="str">
        <x:v>grid_wekqfxnd.xlsx</x:v>
      </x:c>
    </x:row>
    <x:row r="988">
      <x:c r="A988" s="15" t="n">
        <x:v>40664</x:v>
      </x:c>
      <x:c r="B988" s="13" t="str">
        <x:v>DEXCO SA</x:v>
      </x:c>
      <x:c r="C988" s="16" t="n">
        <x:v>517.9474299454</x:v>
      </x:c>
      <x:c r="D988" s="13" t="str">
        <x:v>Pulp &amp; Paper</x:v>
      </x:c>
      <x:c r="E988" s="13" t="str">
        <x:v>Pulp &amp; Paper</x:v>
      </x:c>
      <x:c r="F988" s="13" t="str">
        <x:v>Deep Cyclicals</x:v>
      </x:c>
      <x:c r="G988" s="13" t="str">
        <x:v>grid_wekqfxnd.xlsx</x:v>
      </x:c>
    </x:row>
    <x:row r="989">
      <x:c r="A989" s="15" t="n">
        <x:v>40664</x:v>
      </x:c>
      <x:c r="B989" s="13" t="str">
        <x:v>FIBRIA CELULOSE S/A</x:v>
      </x:c>
      <x:c r="C989" s="16" t="n">
        <x:v>624.1226799563</x:v>
      </x:c>
      <x:c r="D989" s="13" t="str">
        <x:v>Pulp &amp; Paper</x:v>
      </x:c>
      <x:c r="E989" s="13" t="str">
        <x:v>Pulp &amp; Paper</x:v>
      </x:c>
      <x:c r="F989" s="13" t="str">
        <x:v>Deep Cyclicals</x:v>
      </x:c>
      <x:c r="G989" s="13" t="str">
        <x:v>grid_wekqfxnd.xlsx</x:v>
      </x:c>
    </x:row>
    <x:row r="990">
      <x:c r="A990" s="15" t="n">
        <x:v>40664</x:v>
      </x:c>
      <x:c r="B990" s="13" t="str">
        <x:v>AMERICANAS SA</x:v>
      </x:c>
      <x:c r="C990" s="16" t="n">
        <x:v>101.2851220109</x:v>
      </x:c>
      <x:c r="D990" s="13" t="str">
        <x:v>Retail</x:v>
      </x:c>
      <x:c r="E990" s="13" t="str">
        <x:v>Retail</x:v>
      </x:c>
      <x:c r="F990" s="13" t="str">
        <x:v>Early Cyclicals</x:v>
      </x:c>
      <x:c r="G990" s="13" t="str">
        <x:v>grid_wekqfxnd.xlsx</x:v>
      </x:c>
    </x:row>
    <x:row r="991">
      <x:c r="A991" s="15" t="n">
        <x:v>40664</x:v>
      </x:c>
      <x:c r="B991" s="13" t="str">
        <x:v>CIA BRASILEIRA DE DIS-PREF</x:v>
      </x:c>
      <x:c r="C991" s="16" t="n">
        <x:v>901.7973704044</x:v>
      </x:c>
      <x:c r="D991" s="13" t="str">
        <x:v>Retail</x:v>
      </x:c>
      <x:c r="E991" s="13" t="str">
        <x:v>Retail</x:v>
      </x:c>
      <x:c r="F991" s="13" t="str">
        <x:v>Early Cyclicals</x:v>
      </x:c>
      <x:c r="G991" s="13" t="str">
        <x:v>grid_wekqfxnd.xlsx</x:v>
      </x:c>
    </x:row>
    <x:row r="992">
      <x:c r="A992" s="15" t="n">
        <x:v>40664</x:v>
      </x:c>
      <x:c r="B992" s="13" t="str">
        <x:v>LOJAS AMERICANAS SA-PREF</x:v>
      </x:c>
      <x:c r="C992" s="16" t="n">
        <x:v>412.8645784481</x:v>
      </x:c>
      <x:c r="D992" s="13" t="str">
        <x:v>Retail</x:v>
      </x:c>
      <x:c r="E992" s="13" t="str">
        <x:v>Retail</x:v>
      </x:c>
      <x:c r="F992" s="13" t="str">
        <x:v>Early Cyclicals</x:v>
      </x:c>
      <x:c r="G992" s="13" t="str">
        <x:v>grid_wekqfxnd.xlsx</x:v>
      </x:c>
    </x:row>
    <x:row r="993">
      <x:c r="A993" s="15" t="n">
        <x:v>40664</x:v>
      </x:c>
      <x:c r="B993" s="13" t="str">
        <x:v>LOJAS RENNER S.A.</x:v>
      </x:c>
      <x:c r="C993" s="16" t="n">
        <x:v>387.4326926339</x:v>
      </x:c>
      <x:c r="D993" s="13" t="str">
        <x:v>Retail</x:v>
      </x:c>
      <x:c r="E993" s="13" t="str">
        <x:v>Retail</x:v>
      </x:c>
      <x:c r="F993" s="13" t="str">
        <x:v>Early Cyclicals</x:v>
      </x:c>
      <x:c r="G993" s="13" t="str">
        <x:v>grid_wekqfxnd.xlsx</x:v>
      </x:c>
    </x:row>
    <x:row r="994">
      <x:c r="A994" s="15" t="n">
        <x:v>40664</x:v>
      </x:c>
      <x:c r="B994" s="13" t="str">
        <x:v>NATURA COSMETICOS SA</x:v>
      </x:c>
      <x:c r="C994" s="16" t="n">
        <x:v>926.7626096612</x:v>
      </x:c>
      <x:c r="D994" s="13" t="str">
        <x:v>Retail</x:v>
      </x:c>
      <x:c r="E994" s="13" t="str">
        <x:v>Retail</x:v>
      </x:c>
      <x:c r="F994" s="13" t="str">
        <x:v>Early Cyclicals</x:v>
      </x:c>
      <x:c r="G994" s="13" t="str">
        <x:v>grid_wekqfxnd.xlsx</x:v>
      </x:c>
    </x:row>
    <x:row r="995">
      <x:c r="A995" s="15" t="n">
        <x:v>40664</x:v>
      </x:c>
      <x:c r="B995" s="13" t="str">
        <x:v>CIA SANEAMENTO BASICO DE SP</x:v>
      </x:c>
      <x:c r="C995" s="16" t="n">
        <x:v>1376.0270464699</x:v>
      </x:c>
      <x:c r="D995" s="13" t="str">
        <x:v>Sanitation</x:v>
      </x:c>
      <x:c r="E995" s="13" t="str">
        <x:v>Utilities</x:v>
      </x:c>
      <x:c r="F995" s="13" t="str">
        <x:v>Defensives</x:v>
      </x:c>
      <x:c r="G995" s="13" t="str">
        <x:v>grid_wekqfxnd.xlsx</x:v>
      </x:c>
    </x:row>
    <x:row r="996">
      <x:c r="A996" s="15" t="n">
        <x:v>40664</x:v>
      </x:c>
      <x:c r="B996" s="13" t="str">
        <x:v>OI SA-PREFERENCE</x:v>
      </x:c>
      <x:c r="C996" s="16" t="n">
        <x:v>1253.3623536612</x:v>
      </x:c>
      <x:c r="D996" s="13" t="str">
        <x:v>TMT</x:v>
      </x:c>
      <x:c r="E996" s="13" t="str">
        <x:v>TMT</x:v>
      </x:c>
      <x:c r="F996" s="13" t="str">
        <x:v>Early Cyclicals</x:v>
      </x:c>
      <x:c r="G996" s="13" t="str">
        <x:v>grid_wekqfxnd.xlsx</x:v>
      </x:c>
    </x:row>
    <x:row r="997">
      <x:c r="A997" s="15" t="n">
        <x:v>40664</x:v>
      </x:c>
      <x:c r="B997" s="13" t="str">
        <x:v>TELE NORTE LESTE PART</x:v>
      </x:c>
      <x:c r="C997" s="16" t="n">
        <x:v>1388.4887431694</x:v>
      </x:c>
      <x:c r="D997" s="13" t="str">
        <x:v>TMT</x:v>
      </x:c>
      <x:c r="E997" s="13" t="str">
        <x:v>TMT</x:v>
      </x:c>
      <x:c r="F997" s="13" t="str">
        <x:v>Early Cyclicals</x:v>
      </x:c>
      <x:c r="G997" s="13" t="str">
        <x:v>grid_wekqfxnd.xlsx</x:v>
      </x:c>
    </x:row>
    <x:row r="998">
      <x:c r="A998" s="15" t="n">
        <x:v>40664</x:v>
      </x:c>
      <x:c r="B998" s="13" t="str">
        <x:v>TELEFONICA BRASIL S.A.-PREF</x:v>
      </x:c>
      <x:c r="C998" s="16" t="n">
        <x:v>2072.3440262295</x:v>
      </x:c>
      <x:c r="D998" s="13" t="str">
        <x:v>TMT</x:v>
      </x:c>
      <x:c r="E998" s="13" t="str">
        <x:v>TMT</x:v>
      </x:c>
      <x:c r="F998" s="13" t="str">
        <x:v>Early Cyclicals</x:v>
      </x:c>
      <x:c r="G998" s="13" t="str">
        <x:v>grid_wekqfxnd.xlsx</x:v>
      </x:c>
    </x:row>
    <x:row r="999">
      <x:c r="A999" s="15" t="n">
        <x:v>40664</x:v>
      </x:c>
      <x:c r="B999" s="13" t="str">
        <x:v>TELEMAR NORTE LESTE SA</x:v>
      </x:c>
      <x:c r="C999" s="16" t="n">
        <x:v>1692.1643275191</x:v>
      </x:c>
      <x:c r="D999" s="13" t="str">
        <x:v>TMT</x:v>
      </x:c>
      <x:c r="E999" s="13" t="str">
        <x:v>TMT</x:v>
      </x:c>
      <x:c r="F999" s="13" t="str">
        <x:v>Early Cyclicals</x:v>
      </x:c>
      <x:c r="G999" s="13" t="str">
        <x:v>grid_wekqfxnd.xlsx</x:v>
      </x:c>
    </x:row>
    <x:row r="1000">
      <x:c r="A1000" s="15" t="n">
        <x:v>40664</x:v>
      </x:c>
      <x:c r="B1000" s="13" t="str">
        <x:v>TIM PARTICIPACOES SA-PREF</x:v>
      </x:c>
      <x:c r="C1000" s="16" t="n">
        <x:v>1214.3662615082</x:v>
      </x:c>
      <x:c r="D1000" s="13" t="str">
        <x:v>TMT</x:v>
      </x:c>
      <x:c r="E1000" s="13" t="str">
        <x:v>TMT</x:v>
      </x:c>
      <x:c r="F1000" s="13" t="str">
        <x:v>Early Cyclicals</x:v>
      </x:c>
      <x:c r="G1000" s="13" t="str">
        <x:v>grid_wekqfxnd.xlsx</x:v>
      </x:c>
    </x:row>
    <x:row r="1001">
      <x:c r="A1001" s="15" t="n">
        <x:v>40664</x:v>
      </x:c>
      <x:c r="B1001" s="13" t="str">
        <x:v>TIM SA</x:v>
      </x:c>
      <x:c r="C1001" s="16" t="n">
        <x:v>1214.3662615082</x:v>
      </x:c>
      <x:c r="D1001" s="13" t="str">
        <x:v>TMT</x:v>
      </x:c>
      <x:c r="E1001" s="13" t="str">
        <x:v>TMT</x:v>
      </x:c>
      <x:c r="F1001" s="13" t="str">
        <x:v>Early Cyclicals</x:v>
      </x:c>
      <x:c r="G1001" s="13" t="str">
        <x:v>grid_wekqfxnd.xlsx</x:v>
      </x:c>
    </x:row>
    <x:row r="1002">
      <x:c r="A1002" s="15" t="n">
        <x:v>40664</x:v>
      </x:c>
      <x:c r="B1002" s="13" t="str">
        <x:v>VIVO PARTICIPACOES SA-PREF</x:v>
      </x:c>
      <x:c r="C1002" s="16" t="n">
        <x:v>2297.7071702732</x:v>
      </x:c>
      <x:c r="D1002" s="13" t="str">
        <x:v>TMT</x:v>
      </x:c>
      <x:c r="E1002" s="13" t="str">
        <x:v>TMT</x:v>
      </x:c>
      <x:c r="F1002" s="13" t="str">
        <x:v>Early Cyclicals</x:v>
      </x:c>
      <x:c r="G1002" s="13" t="str">
        <x:v>grid_wekqfxnd.xlsx</x:v>
      </x:c>
    </x:row>
    <x:row r="1003">
      <x:c r="A1003" s="15" t="n">
        <x:v>40664</x:v>
      </x:c>
      <x:c r="B1003" s="13" t="str">
        <x:v>GOL LINHAS AEREAS INT SA-PRE</x:v>
      </x:c>
      <x:c r="C1003" s="16" t="n">
        <x:v>417.1827137049</x:v>
      </x:c>
      <x:c r="D1003" s="13" t="str">
        <x:v>Transportation</x:v>
      </x:c>
      <x:c r="E1003" s="13" t="str">
        <x:v>Transportation</x:v>
      </x:c>
      <x:c r="F1003" s="13" t="str">
        <x:v>Deep Cyclicals</x:v>
      </x:c>
      <x:c r="G1003" s="13" t="str">
        <x:v>grid_wekqfxnd.xlsx</x:v>
      </x:c>
    </x:row>
    <x:row r="1004">
      <x:c r="A1004" s="15" t="n">
        <x:v>40664</x:v>
      </x:c>
      <x:c r="B1004" s="13" t="str">
        <x:v>MOTIVA INFRAESTRUTURA DE MOB</x:v>
      </x:c>
      <x:c r="C1004" s="16" t="n">
        <x:v>1163.5355058361</x:v>
      </x:c>
      <x:c r="D1004" s="13" t="str">
        <x:v>Transportation</x:v>
      </x:c>
      <x:c r="E1004" s="13" t="str">
        <x:v>Transportation</x:v>
      </x:c>
      <x:c r="F1004" s="13" t="str">
        <x:v>Deep Cyclicals</x:v>
      </x:c>
      <x:c r="G1004" s="13" t="str">
        <x:v>grid_wekqfxnd.xlsx</x:v>
      </x:c>
    </x:row>
    <x:row r="1005">
      <x:c r="A1005" s="15" t="n">
        <x:v>40664</x:v>
      </x:c>
      <x:c r="B1005" s="13" t="str">
        <x:v>PRUMO LOGISTICA SA</x:v>
      </x:c>
      <x:c r="C1005" s="16" t="n">
        <x:v>-43.8200169399</x:v>
      </x:c>
      <x:c r="D1005" s="13" t="str">
        <x:v>Transportation</x:v>
      </x:c>
      <x:c r="E1005" s="13" t="str">
        <x:v>Transportation</x:v>
      </x:c>
      <x:c r="F1005" s="13" t="str">
        <x:v>Deep Cyclicals</x:v>
      </x:c>
      <x:c r="G1005" s="13" t="str">
        <x:v>grid_wekqfxnd.xlsx</x:v>
      </x:c>
    </x:row>
    <x:row r="1006">
      <x:c r="A1006" s="15" t="n">
        <x:v>40664</x:v>
      </x:c>
      <x:c r="B1006" s="13" t="str">
        <x:v>RUMO SA</x:v>
      </x:c>
      <x:c r="C1006" s="16" t="n">
        <x:v>353.6564320874</x:v>
      </x:c>
      <x:c r="D1006" s="13" t="str">
        <x:v>Transportation</x:v>
      </x:c>
      <x:c r="E1006" s="13" t="str">
        <x:v>Transportation</x:v>
      </x:c>
      <x:c r="F1006" s="13" t="str">
        <x:v>Deep Cyclicals</x:v>
      </x:c>
      <x:c r="G1006" s="13" t="str">
        <x:v>grid_wekqfxnd.xlsx</x:v>
      </x:c>
    </x:row>
    <x:row r="1007">
      <x:c r="A1007" s="15" t="n">
        <x:v>40664</x:v>
      </x:c>
      <x:c r="B1007" s="13" t="str">
        <x:v>TAM SA-PREF</x:v>
      </x:c>
      <x:c r="C1007" s="16" t="n">
        <x:v>323.3354199781</x:v>
      </x:c>
      <x:c r="D1007" s="13" t="str">
        <x:v>Transportation</x:v>
      </x:c>
      <x:c r="E1007" s="13" t="str">
        <x:v>Transportation</x:v>
      </x:c>
      <x:c r="F1007" s="13" t="str">
        <x:v>Deep Cyclicals</x:v>
      </x:c>
      <x:c r="G1007" s="13" t="str">
        <x:v>grid_wekqfxnd.xlsx</x:v>
      </x:c>
    </x:row>
    <x:row r="1008">
      <x:c r="A1008" s="15" t="n">
        <x:v>40664</x:v>
      </x:c>
      <x:c r="B1008" s="13" t="str">
        <x:v>AXIA ENERGIA SA</x:v>
      </x:c>
      <x:c r="C1008" s="16" t="n">
        <x:v>3612.7444368087</x:v>
      </x:c>
      <x:c r="D1008" s="13" t="str">
        <x:v>Utilities &amp; Energy</x:v>
      </x:c>
      <x:c r="E1008" s="13" t="str">
        <x:v>Utilities</x:v>
      </x:c>
      <x:c r="F1008" s="13" t="str">
        <x:v>Defensives</x:v>
      </x:c>
      <x:c r="G1008" s="13" t="str">
        <x:v>grid_wekqfxnd.xlsx</x:v>
      </x:c>
    </x:row>
    <x:row r="1009">
      <x:c r="A1009" s="15" t="n">
        <x:v>40664</x:v>
      </x:c>
      <x:c r="B1009" s="13" t="str">
        <x:v>AXIA ENERGIA-PR B</x:v>
      </x:c>
      <x:c r="C1009" s="16" t="n">
        <x:v>3612.7444368087</x:v>
      </x:c>
      <x:c r="D1009" s="13" t="str">
        <x:v>Utilities &amp; Energy</x:v>
      </x:c>
      <x:c r="E1009" s="13" t="str">
        <x:v>Utilities</x:v>
      </x:c>
      <x:c r="F1009" s="13" t="str">
        <x:v>Defensives</x:v>
      </x:c>
      <x:c r="G1009" s="13" t="str">
        <x:v>grid_wekqfxnd.xlsx</x:v>
      </x:c>
    </x:row>
    <x:row r="1010">
      <x:c r="A1010" s="15" t="n">
        <x:v>40664</x:v>
      </x:c>
      <x:c r="B1010" s="13" t="str">
        <x:v>CESP - CIA ENERGETICA DE SAO</x:v>
      </x:c>
      <x:c r="C1010" s="16" t="n">
        <x:v>692.7471188634</x:v>
      </x:c>
      <x:c r="D1010" s="13" t="str">
        <x:v>Utilities &amp; Energy</x:v>
      </x:c>
      <x:c r="E1010" s="13" t="str">
        <x:v>Utilities</x:v>
      </x:c>
      <x:c r="F1010" s="13" t="str">
        <x:v>Defensives</x:v>
      </x:c>
      <x:c r="G1010" s="13" t="str">
        <x:v>grid_wekqfxnd.xlsx</x:v>
      </x:c>
    </x:row>
    <x:row r="1011">
      <x:c r="A1011" s="15" t="n">
        <x:v>40664</x:v>
      </x:c>
      <x:c r="B1011" s="13" t="str">
        <x:v>CIA ENERGETICA MINAS GER-PRF</x:v>
      </x:c>
      <x:c r="C1011" s="16" t="n">
        <x:v>2088.6917791475</x:v>
      </x:c>
      <x:c r="D1011" s="13" t="str">
        <x:v>Utilities &amp; Energy</x:v>
      </x:c>
      <x:c r="E1011" s="13" t="str">
        <x:v>Utilities</x:v>
      </x:c>
      <x:c r="F1011" s="13" t="str">
        <x:v>Defensives</x:v>
      </x:c>
      <x:c r="G1011" s="13" t="str">
        <x:v>grid_wekqfxnd.xlsx</x:v>
      </x:c>
    </x:row>
    <x:row r="1012">
      <x:c r="A1012" s="15" t="n">
        <x:v>40664</x:v>
      </x:c>
      <x:c r="B1012" s="13" t="str">
        <x:v>COMPANHIA PARANAENSE -PREF B</x:v>
      </x:c>
      <x:c r="C1012" s="16" t="n">
        <x:v>1277.5751351257</x:v>
      </x:c>
      <x:c r="D1012" s="13" t="str">
        <x:v>Utilities &amp; Energy</x:v>
      </x:c>
      <x:c r="E1012" s="13" t="str">
        <x:v>Utilities</x:v>
      </x:c>
      <x:c r="F1012" s="13" t="str">
        <x:v>Defensives</x:v>
      </x:c>
      <x:c r="G1012" s="13" t="str">
        <x:v>grid_wekqfxnd.xlsx</x:v>
      </x:c>
    </x:row>
    <x:row r="1013">
      <x:c r="A1013" s="15" t="n">
        <x:v>40664</x:v>
      </x:c>
      <x:c r="B1013" s="13" t="str">
        <x:v>CPFL ENERGIA SA</x:v>
      </x:c>
      <x:c r="C1013" s="16" t="n">
        <x:v>1643.7802372896</x:v>
      </x:c>
      <x:c r="D1013" s="13" t="str">
        <x:v>Utilities &amp; Energy</x:v>
      </x:c>
      <x:c r="E1013" s="13" t="str">
        <x:v>Utilities</x:v>
      </x:c>
      <x:c r="F1013" s="13" t="str">
        <x:v>Defensives</x:v>
      </x:c>
      <x:c r="G1013" s="13" t="str">
        <x:v>grid_wekqfxnd.xlsx</x:v>
      </x:c>
    </x:row>
    <x:row r="1014">
      <x:c r="A1014" s="15" t="n">
        <x:v>40664</x:v>
      </x:c>
      <x:c r="B1014" s="13" t="str">
        <x:v>ELETROPAULO METROPOLI-PREF</x:v>
      </x:c>
      <x:c r="C1014" s="16" t="n">
        <x:v>613.807495694</x:v>
      </x:c>
      <x:c r="D1014" s="13" t="str">
        <x:v>Utilities &amp; Energy</x:v>
      </x:c>
      <x:c r="E1014" s="13" t="str">
        <x:v>Utilities</x:v>
      </x:c>
      <x:c r="F1014" s="13" t="str">
        <x:v>Defensives</x:v>
      </x:c>
      <x:c r="G1014" s="13" t="str">
        <x:v>grid_wekqfxnd.xlsx</x:v>
      </x:c>
    </x:row>
    <x:row r="1015">
      <x:c r="A1015" s="15" t="n">
        <x:v>40664</x:v>
      </x:c>
      <x:c r="B1015" s="13" t="str">
        <x:v>ISA ENERGIA BRASIL SA</x:v>
      </x:c>
      <x:c r="C1015" s="16" t="n">
        <x:v>834.006144</x:v>
      </x:c>
      <x:c r="D1015" s="13" t="str">
        <x:v>Utilities &amp; Energy</x:v>
      </x:c>
      <x:c r="E1015" s="13" t="str">
        <x:v>Utilities</x:v>
      </x:c>
      <x:c r="F1015" s="13" t="str">
        <x:v>Defensives</x:v>
      </x:c>
      <x:c r="G1015" s="13" t="str">
        <x:v>grid_wekqfxnd.xlsx</x:v>
      </x:c>
    </x:row>
    <x:row r="1016">
      <x:c r="A1016" s="15" t="n">
        <x:v>40664</x:v>
      </x:c>
      <x:c r="B1016" s="13" t="str">
        <x:v>LIGHT SA</x:v>
      </x:c>
      <x:c r="C1016" s="16" t="n">
        <x:v>602.3366120219</x:v>
      </x:c>
      <x:c r="D1016" s="13" t="str">
        <x:v>Utilities &amp; Energy</x:v>
      </x:c>
      <x:c r="E1016" s="13" t="str">
        <x:v>Utilities</x:v>
      </x:c>
      <x:c r="F1016" s="13" t="str">
        <x:v>Defensives</x:v>
      </x:c>
      <x:c r="G1016" s="13" t="str">
        <x:v>grid_wekqfxnd.xlsx</x:v>
      </x:c>
    </x:row>
    <x:row r="1017">
      <x:c r="A1017" s="15" t="n">
        <x:v>40695</x:v>
      </x:c>
      <x:c r="B1017" s="13" t="str">
        <x:v>BANCO BRADESCO SA-PREF</x:v>
      </x:c>
      <x:c r="C1017" s="16" t="n">
        <x:v>12090.1469279126</x:v>
      </x:c>
      <x:c r="D1017" s="13" t="str">
        <x:v>Banks</x:v>
      </x:c>
      <x:c r="E1017" s="13" t="str">
        <x:v>Banks</x:v>
      </x:c>
      <x:c r="F1017" s="13" t="str">
        <x:v>Financials</x:v>
      </x:c>
      <x:c r="G1017" s="13" t="str">
        <x:v>grid_wekqfxnd.xlsx</x:v>
      </x:c>
    </x:row>
    <x:row r="1018">
      <x:c r="A1018" s="15" t="n">
        <x:v>40695</x:v>
      </x:c>
      <x:c r="B1018" s="13" t="str">
        <x:v>BANCO DO BRASIL S.A.</x:v>
      </x:c>
      <x:c r="C1018" s="16" t="n">
        <x:v>12133.1337372678</x:v>
      </x:c>
      <x:c r="D1018" s="13" t="str">
        <x:v>Banks</x:v>
      </x:c>
      <x:c r="E1018" s="13" t="str">
        <x:v>Banks</x:v>
      </x:c>
      <x:c r="F1018" s="13" t="str">
        <x:v>Financials</x:v>
      </x:c>
      <x:c r="G1018" s="13" t="str">
        <x:v>grid_wekqfxnd.xlsx</x:v>
      </x:c>
    </x:row>
    <x:row r="1019">
      <x:c r="A1019" s="15" t="n">
        <x:v>40695</x:v>
      </x:c>
      <x:c r="B1019" s="13" t="str">
        <x:v>BANCO SANTANDER  BRASIL-UNIT</x:v>
      </x:c>
      <x:c r="C1019" s="16" t="n">
        <x:v>8173.7862742732</x:v>
      </x:c>
      <x:c r="D1019" s="13" t="str">
        <x:v>Banks</x:v>
      </x:c>
      <x:c r="E1019" s="13" t="str">
        <x:v>Banks</x:v>
      </x:c>
      <x:c r="F1019" s="13" t="str">
        <x:v>Financials</x:v>
      </x:c>
      <x:c r="G1019" s="13" t="str">
        <x:v>grid_wekqfxnd.xlsx</x:v>
      </x:c>
    </x:row>
    <x:row r="1020">
      <x:c r="A1020" s="15" t="n">
        <x:v>40695</x:v>
      </x:c>
      <x:c r="B1020" s="13" t="str">
        <x:v>ITAU UNIBANCO HOLDING S-PREF</x:v>
      </x:c>
      <x:c r="C1020" s="16" t="n">
        <x:v>16415.350739235</x:v>
      </x:c>
      <x:c r="D1020" s="13" t="str">
        <x:v>Banks</x:v>
      </x:c>
      <x:c r="E1020" s="13" t="str">
        <x:v>Banks</x:v>
      </x:c>
      <x:c r="F1020" s="13" t="str">
        <x:v>Financials</x:v>
      </x:c>
      <x:c r="G1020" s="13" t="str">
        <x:v>grid_wekqfxnd.xlsx</x:v>
      </x:c>
    </x:row>
    <x:row r="1021">
      <x:c r="A1021" s="15" t="n">
        <x:v>40695</x:v>
      </x:c>
      <x:c r="B1021" s="13" t="str">
        <x:v>EMBRAER SA</x:v>
      </x:c>
      <x:c r="C1021" s="16" t="n">
        <x:v>630.0183865355</x:v>
      </x:c>
      <x:c r="D1021" s="13" t="str">
        <x:v>Capital Goods</x:v>
      </x:c>
      <x:c r="E1021" s="13" t="str">
        <x:v>Capital Goods</x:v>
      </x:c>
      <x:c r="F1021" s="13" t="str">
        <x:v>Deep Cyclicals</x:v>
      </x:c>
      <x:c r="G1021" s="13" t="str">
        <x:v>grid_wekqfxnd.xlsx</x:v>
      </x:c>
    </x:row>
    <x:row r="1022">
      <x:c r="A1022" s="15" t="n">
        <x:v>40695</x:v>
      </x:c>
      <x:c r="B1022" s="13" t="str">
        <x:v>B3 SA-BRASIL BOLSA BALCAO</x:v>
      </x:c>
      <x:c r="C1022" s="16" t="n">
        <x:v>1591.4449262514</x:v>
      </x:c>
      <x:c r="D1022" s="13" t="str">
        <x:v>Financials Non-Banks</x:v>
      </x:c>
      <x:c r="E1022" s="13" t="str">
        <x:v>Financials Non-Banks</x:v>
      </x:c>
      <x:c r="F1022" s="13" t="str">
        <x:v>Financials</x:v>
      </x:c>
      <x:c r="G1022" s="13" t="str">
        <x:v>grid_wekqfxnd.xlsx</x:v>
      </x:c>
    </x:row>
    <x:row r="1023">
      <x:c r="A1023" s="15" t="n">
        <x:v>40695</x:v>
      </x:c>
      <x:c r="B1023" s="13" t="str">
        <x:v>CIELO SA - INSTITUICAO DE PA</x:v>
      </x:c>
      <x:c r="C1023" s="16" t="n">
        <x:v>1707.3423339016</x:v>
      </x:c>
      <x:c r="D1023" s="13" t="str">
        <x:v>Financials Non-Banks</x:v>
      </x:c>
      <x:c r="E1023" s="13" t="str">
        <x:v>Financials Non-Banks</x:v>
      </x:c>
      <x:c r="F1023" s="13" t="str">
        <x:v>Financials</x:v>
      </x:c>
      <x:c r="G1023" s="13" t="str">
        <x:v>grid_wekqfxnd.xlsx</x:v>
      </x:c>
    </x:row>
    <x:row r="1024">
      <x:c r="A1024" s="15" t="n">
        <x:v>40695</x:v>
      </x:c>
      <x:c r="B1024" s="13" t="str">
        <x:v>ITAUSA SA</x:v>
      </x:c>
      <x:c r="C1024" s="16" t="n">
        <x:v>6515.456993224</x:v>
      </x:c>
      <x:c r="D1024" s="13" t="str">
        <x:v>Financials Non-Banks</x:v>
      </x:c>
      <x:c r="E1024" s="13" t="str">
        <x:v>Financials Non-Banks</x:v>
      </x:c>
      <x:c r="F1024" s="13" t="str">
        <x:v>Financials</x:v>
      </x:c>
      <x:c r="G1024" s="13" t="str">
        <x:v>grid_wekqfxnd.xlsx</x:v>
      </x:c>
    </x:row>
    <x:row r="1025">
      <x:c r="A1025" s="15" t="n">
        <x:v>40695</x:v>
      </x:c>
      <x:c r="B1025" s="13" t="str">
        <x:v>REDECARD INSTITUICAO DE PAGA</x:v>
      </x:c>
      <x:c r="C1025" s="16" t="n">
        <x:v>1262.3828493989</x:v>
      </x:c>
      <x:c r="D1025" s="13" t="str">
        <x:v>Financials Non-Banks</x:v>
      </x:c>
      <x:c r="E1025" s="13" t="str">
        <x:v>Financials Non-Banks</x:v>
      </x:c>
      <x:c r="F1025" s="13" t="str">
        <x:v>Financials</x:v>
      </x:c>
      <x:c r="G1025" s="13" t="str">
        <x:v>grid_wekqfxnd.xlsx</x:v>
      </x:c>
    </x:row>
    <x:row r="1026">
      <x:c r="A1026" s="15" t="n">
        <x:v>40695</x:v>
      </x:c>
      <x:c r="B1026" s="13" t="str">
        <x:v>AMBEV SA</x:v>
      </x:c>
      <x:c r="C1026" s="16" t="n">
        <x:v>8618.7043923934</x:v>
      </x:c>
      <x:c r="D1026" s="13" t="str">
        <x:v>Food &amp; Beverages</x:v>
      </x:c>
      <x:c r="E1026" s="13" t="str">
        <x:v>Agri, Food &amp; Beverages</x:v>
      </x:c>
      <x:c r="F1026" s="13" t="str">
        <x:v>Defensives</x:v>
      </x:c>
      <x:c r="G1026" s="13" t="str">
        <x:v>grid_wekqfxnd.xlsx</x:v>
      </x:c>
    </x:row>
    <x:row r="1027">
      <x:c r="A1027" s="15" t="n">
        <x:v>40695</x:v>
      </x:c>
      <x:c r="B1027" s="13" t="str">
        <x:v>BRF SA</x:v>
      </x:c>
      <x:c r="C1027" s="16" t="n">
        <x:v>1605.7818019672</x:v>
      </x:c>
      <x:c r="D1027" s="13" t="str">
        <x:v>Food &amp; Beverages</x:v>
      </x:c>
      <x:c r="E1027" s="13" t="str">
        <x:v>Agri, Food &amp; Beverages</x:v>
      </x:c>
      <x:c r="F1027" s="13" t="str">
        <x:v>Defensives</x:v>
      </x:c>
      <x:c r="G1027" s="13" t="str">
        <x:v>grid_wekqfxnd.xlsx</x:v>
      </x:c>
    </x:row>
    <x:row r="1028">
      <x:c r="A1028" s="15" t="n">
        <x:v>40695</x:v>
      </x:c>
      <x:c r="B1028" s="13" t="str">
        <x:v>JBS SA</x:v>
      </x:c>
      <x:c r="C1028" s="16" t="n">
        <x:v>1600.306010929</x:v>
      </x:c>
      <x:c r="D1028" s="13" t="str">
        <x:v>Food &amp; Beverages</x:v>
      </x:c>
      <x:c r="E1028" s="13" t="str">
        <x:v>Agri, Food &amp; Beverages</x:v>
      </x:c>
      <x:c r="F1028" s="13" t="str">
        <x:v>Defensives</x:v>
      </x:c>
      <x:c r="G1028" s="13" t="str">
        <x:v>grid_wekqfxnd.xlsx</x:v>
      </x:c>
    </x:row>
    <x:row r="1029">
      <x:c r="A1029" s="15" t="n">
        <x:v>40695</x:v>
      </x:c>
      <x:c r="B1029" s="13" t="str">
        <x:v>MBRF GLOBAL FOODS COMPANY SA</x:v>
      </x:c>
      <x:c r="C1029" s="16" t="n">
        <x:v>175.1061311475</x:v>
      </x:c>
      <x:c r="D1029" s="13" t="str">
        <x:v>Food &amp; Beverages</x:v>
      </x:c>
      <x:c r="E1029" s="13" t="str">
        <x:v>Agri, Food &amp; Beverages</x:v>
      </x:c>
      <x:c r="F1029" s="13" t="str">
        <x:v>Defensives</x:v>
      </x:c>
      <x:c r="G1029" s="13" t="str">
        <x:v>grid_wekqfxnd.xlsx</x:v>
      </x:c>
    </x:row>
    <x:row r="1030">
      <x:c r="A1030" s="15" t="n">
        <x:v>40695</x:v>
      </x:c>
      <x:c r="B1030" s="13" t="str">
        <x:v>SOUZA CRUZ LTDA</x:v>
      </x:c>
      <x:c r="C1030" s="16" t="n">
        <x:v>1751.2912087432</x:v>
      </x:c>
      <x:c r="D1030" s="13" t="str">
        <x:v>Food &amp; Beverages</x:v>
      </x:c>
      <x:c r="E1030" s="13" t="str">
        <x:v>Agri, Food &amp; Beverages</x:v>
      </x:c>
      <x:c r="F1030" s="13" t="str">
        <x:v>Defensives</x:v>
      </x:c>
      <x:c r="G1030" s="13" t="str">
        <x:v>grid_wekqfxnd.xlsx</x:v>
      </x:c>
    </x:row>
    <x:row r="1031">
      <x:c r="A1031" s="15" t="n">
        <x:v>40695</x:v>
      </x:c>
      <x:c r="B1031" s="13" t="str">
        <x:v>HYPERA SA</x:v>
      </x:c>
      <x:c r="C1031" s="16" t="n">
        <x:v>525.4246025792</x:v>
      </x:c>
      <x:c r="D1031" s="13" t="str">
        <x:v>Health Care</x:v>
      </x:c>
      <x:c r="E1031" s="13" t="str">
        <x:v>Health Care</x:v>
      </x:c>
      <x:c r="F1031" s="13" t="str">
        <x:v>Defensives</x:v>
      </x:c>
      <x:c r="G1031" s="13" t="str">
        <x:v>grid_wekqfxnd.xlsx</x:v>
      </x:c>
    </x:row>
    <x:row r="1032">
      <x:c r="A1032" s="15" t="n">
        <x:v>40695</x:v>
      </x:c>
      <x:c r="B1032" s="13" t="str">
        <x:v>CYRELA BRAZIL REALTY SA EMP</x:v>
      </x:c>
      <x:c r="C1032" s="16" t="n">
        <x:v>816.138639388</x:v>
      </x:c>
      <x:c r="D1032" s="13" t="str">
        <x:v>Homebuilders</x:v>
      </x:c>
      <x:c r="E1032" s="13" t="str">
        <x:v>Real Estate</x:v>
      </x:c>
      <x:c r="F1032" s="13" t="str">
        <x:v>Early Cyclicals</x:v>
      </x:c>
      <x:c r="G1032" s="13" t="str">
        <x:v>grid_wekqfxnd.xlsx</x:v>
      </x:c>
    </x:row>
    <x:row r="1033">
      <x:c r="A1033" s="15" t="n">
        <x:v>40695</x:v>
      </x:c>
      <x:c r="B1033" s="13" t="str">
        <x:v>GAFISA SA</x:v>
      </x:c>
      <x:c r="C1033" s="16" t="n">
        <x:v>560.3606697268</x:v>
      </x:c>
      <x:c r="D1033" s="13" t="str">
        <x:v>Homebuilders</x:v>
      </x:c>
      <x:c r="E1033" s="13" t="str">
        <x:v>Real Estate</x:v>
      </x:c>
      <x:c r="F1033" s="13" t="str">
        <x:v>Early Cyclicals</x:v>
      </x:c>
      <x:c r="G1033" s="13" t="str">
        <x:v>grid_wekqfxnd.xlsx</x:v>
      </x:c>
    </x:row>
    <x:row r="1034">
      <x:c r="A1034" s="15" t="n">
        <x:v>40695</x:v>
      </x:c>
      <x:c r="B1034" s="13" t="str">
        <x:v>MRV ENGENHARIA</x:v>
      </x:c>
      <x:c r="C1034" s="16" t="n">
        <x:v>886.5335683497</x:v>
      </x:c>
      <x:c r="D1034" s="13" t="str">
        <x:v>Homebuilders</x:v>
      </x:c>
      <x:c r="E1034" s="13" t="str">
        <x:v>Real Estate</x:v>
      </x:c>
      <x:c r="F1034" s="13" t="str">
        <x:v>Early Cyclicals</x:v>
      </x:c>
      <x:c r="G1034" s="13" t="str">
        <x:v>grid_wekqfxnd.xlsx</x:v>
      </x:c>
    </x:row>
    <x:row r="1035">
      <x:c r="A1035" s="15" t="n">
        <x:v>40695</x:v>
      </x:c>
      <x:c r="B1035" s="13" t="str">
        <x:v>PDG REALTY SA</x:v>
      </x:c>
      <x:c r="C1035" s="16" t="n">
        <x:v>1392.7388908415</x:v>
      </x:c>
      <x:c r="D1035" s="13" t="str">
        <x:v>Homebuilders</x:v>
      </x:c>
      <x:c r="E1035" s="13" t="str">
        <x:v>Real Estate</x:v>
      </x:c>
      <x:c r="F1035" s="13" t="str">
        <x:v>Early Cyclicals</x:v>
      </x:c>
      <x:c r="G1035" s="13" t="str">
        <x:v>grid_wekqfxnd.xlsx</x:v>
      </x:c>
    </x:row>
    <x:row r="1036">
      <x:c r="A1036" s="15" t="n">
        <x:v>40695</x:v>
      </x:c>
      <x:c r="B1036" s="13" t="str">
        <x:v>ROSSI RESIDENCIAL SA</x:v>
      </x:c>
      <x:c r="C1036" s="16" t="n">
        <x:v>545.7885135738</x:v>
      </x:c>
      <x:c r="D1036" s="13" t="str">
        <x:v>Homebuilders</x:v>
      </x:c>
      <x:c r="E1036" s="13" t="str">
        <x:v>Real Estate</x:v>
      </x:c>
      <x:c r="F1036" s="13" t="str">
        <x:v>Early Cyclicals</x:v>
      </x:c>
      <x:c r="G1036" s="13" t="str">
        <x:v>grid_wekqfxnd.xlsx</x:v>
      </x:c>
    </x:row>
    <x:row r="1037">
      <x:c r="A1037" s="15" t="n">
        <x:v>40695</x:v>
      </x:c>
      <x:c r="B1037" s="13" t="str">
        <x:v>TEGRA INCORPORADORA SA</x:v>
      </x:c>
      <x:c r="C1037" s="16" t="n">
        <x:v>531.7829085027</x:v>
      </x:c>
      <x:c r="D1037" s="13" t="str">
        <x:v>Homebuilders</x:v>
      </x:c>
      <x:c r="E1037" s="13" t="str">
        <x:v>Real Estate</x:v>
      </x:c>
      <x:c r="F1037" s="13" t="str">
        <x:v>Early Cyclicals</x:v>
      </x:c>
      <x:c r="G1037" s="13" t="str">
        <x:v>grid_wekqfxnd.xlsx</x:v>
      </x:c>
    </x:row>
    <x:row r="1038">
      <x:c r="A1038" s="15" t="n">
        <x:v>40695</x:v>
      </x:c>
      <x:c r="B1038" s="13" t="str">
        <x:v>BRADESPAR SA -PREF</x:v>
      </x:c>
      <x:c r="C1038" s="16" t="n">
        <x:v>2624.4644007869</x:v>
      </x:c>
      <x:c r="D1038" s="13" t="str">
        <x:v>Metals &amp; Mining</x:v>
      </x:c>
      <x:c r="E1038" s="13" t="str">
        <x:v>Metals &amp; Mining</x:v>
      </x:c>
      <x:c r="F1038" s="13" t="str">
        <x:v>Deep Cyclicals</x:v>
      </x:c>
      <x:c r="G1038" s="13" t="str">
        <x:v>grid_wekqfxnd.xlsx</x:v>
      </x:c>
    </x:row>
    <x:row r="1039">
      <x:c r="A1039" s="15" t="n">
        <x:v>40695</x:v>
      </x:c>
      <x:c r="B1039" s="13" t="str">
        <x:v>CIA SIDERURGICA NACIONAL SA</x:v>
      </x:c>
      <x:c r="C1039" s="16" t="n">
        <x:v>3642.8677371803</x:v>
      </x:c>
      <x:c r="D1039" s="13" t="str">
        <x:v>Metals &amp; Mining</x:v>
      </x:c>
      <x:c r="E1039" s="13" t="str">
        <x:v>Metals &amp; Mining</x:v>
      </x:c>
      <x:c r="F1039" s="13" t="str">
        <x:v>Deep Cyclicals</x:v>
      </x:c>
      <x:c r="G1039" s="13" t="str">
        <x:v>grid_wekqfxnd.xlsx</x:v>
      </x:c>
    </x:row>
    <x:row r="1040">
      <x:c r="A1040" s="15" t="n">
        <x:v>40695</x:v>
      </x:c>
      <x:c r="B1040" s="13" t="str">
        <x:v>GERDAU SA-PREF</x:v>
      </x:c>
      <x:c r="C1040" s="16" t="n">
        <x:v>2652.5472916284</x:v>
      </x:c>
      <x:c r="D1040" s="13" t="str">
        <x:v>Metals &amp; Mining</x:v>
      </x:c>
      <x:c r="E1040" s="13" t="str">
        <x:v>Metals &amp; Mining</x:v>
      </x:c>
      <x:c r="F1040" s="13" t="str">
        <x:v>Deep Cyclicals</x:v>
      </x:c>
      <x:c r="G1040" s="13" t="str">
        <x:v>grid_wekqfxnd.xlsx</x:v>
      </x:c>
    </x:row>
    <x:row r="1041">
      <x:c r="A1041" s="15" t="n">
        <x:v>40695</x:v>
      </x:c>
      <x:c r="B1041" s="13" t="str">
        <x:v>METALURGICA GERDAU SA-PREF</x:v>
      </x:c>
      <x:c r="C1041" s="16" t="n">
        <x:v>1025.8053036066</x:v>
      </x:c>
      <x:c r="D1041" s="13" t="str">
        <x:v>Metals &amp; Mining</x:v>
      </x:c>
      <x:c r="E1041" s="13" t="str">
        <x:v>Metals &amp; Mining</x:v>
      </x:c>
      <x:c r="F1041" s="13" t="str">
        <x:v>Deep Cyclicals</x:v>
      </x:c>
      <x:c r="G1041" s="13" t="str">
        <x:v>grid_wekqfxnd.xlsx</x:v>
      </x:c>
    </x:row>
    <x:row r="1042">
      <x:c r="A1042" s="15" t="n">
        <x:v>40695</x:v>
      </x:c>
      <x:c r="B1042" s="13" t="str">
        <x:v>MMX MINERACAO E METALICOS SA</x:v>
      </x:c>
      <x:c r="C1042" s="16" t="n">
        <x:v>314.5558032787</x:v>
      </x:c>
      <x:c r="D1042" s="13" t="str">
        <x:v>Metals &amp; Mining</x:v>
      </x:c>
      <x:c r="E1042" s="13" t="str">
        <x:v>Metals &amp; Mining</x:v>
      </x:c>
      <x:c r="F1042" s="13" t="str">
        <x:v>Deep Cyclicals</x:v>
      </x:c>
      <x:c r="G1042" s="13" t="str">
        <x:v>grid_wekqfxnd.xlsx</x:v>
      </x:c>
    </x:row>
    <x:row r="1043">
      <x:c r="A1043" s="15" t="n">
        <x:v>40695</x:v>
      </x:c>
      <x:c r="B1043" s="13" t="str">
        <x:v>USINAS SIDER MINAS GER-PF A</x:v>
      </x:c>
      <x:c r="C1043" s="16" t="n">
        <x:v>756.1145085902</x:v>
      </x:c>
      <x:c r="D1043" s="13" t="str">
        <x:v>Metals &amp; Mining</x:v>
      </x:c>
      <x:c r="E1043" s="13" t="str">
        <x:v>Metals &amp; Mining</x:v>
      </x:c>
      <x:c r="F1043" s="13" t="str">
        <x:v>Deep Cyclicals</x:v>
      </x:c>
      <x:c r="G1043" s="13" t="str">
        <x:v>grid_wekqfxnd.xlsx</x:v>
      </x:c>
    </x:row>
    <x:row r="1044">
      <x:c r="A1044" s="15" t="n">
        <x:v>40695</x:v>
      </x:c>
      <x:c r="B1044" s="13" t="str">
        <x:v>USINAS SIDERURGICAS DE MINAS</x:v>
      </x:c>
      <x:c r="C1044" s="16" t="n">
        <x:v>756.1145085902</x:v>
      </x:c>
      <x:c r="D1044" s="13" t="str">
        <x:v>Metals &amp; Mining</x:v>
      </x:c>
      <x:c r="E1044" s="13" t="str">
        <x:v>Metals &amp; Mining</x:v>
      </x:c>
      <x:c r="F1044" s="13" t="str">
        <x:v>Deep Cyclicals</x:v>
      </x:c>
      <x:c r="G1044" s="13" t="str">
        <x:v>grid_wekqfxnd.xlsx</x:v>
      </x:c>
    </x:row>
    <x:row r="1045">
      <x:c r="A1045" s="15" t="n">
        <x:v>40695</x:v>
      </x:c>
      <x:c r="B1045" s="13" t="str">
        <x:v>VALE SA</x:v>
      </x:c>
      <x:c r="C1045" s="16" t="n">
        <x:v>43494.7283290929</x:v>
      </x:c>
      <x:c r="D1045" s="13" t="str">
        <x:v>Metals &amp; Mining</x:v>
      </x:c>
      <x:c r="E1045" s="13" t="str">
        <x:v>Metals &amp; Mining</x:v>
      </x:c>
      <x:c r="F1045" s="13" t="str">
        <x:v>Deep Cyclicals</x:v>
      </x:c>
      <x:c r="G1045" s="13" t="str">
        <x:v>grid_wekqfxnd.xlsx</x:v>
      </x:c>
    </x:row>
    <x:row r="1046">
      <x:c r="A1046" s="15" t="n">
        <x:v>40695</x:v>
      </x:c>
      <x:c r="B1046" s="13" t="str">
        <x:v>BRASKEM SA-PREF A</x:v>
      </x:c>
      <x:c r="C1046" s="16" t="n">
        <x:v>1165.6481503825</x:v>
      </x:c>
      <x:c r="D1046" s="13" t="str">
        <x:v>Oil, Gas &amp; Petrochemicals</x:v>
      </x:c>
      <x:c r="E1046" s="13" t="str">
        <x:v>Oil, Gas &amp; Petrochemicals</x:v>
      </x:c>
      <x:c r="F1046" s="13" t="str">
        <x:v>Deep Cyclicals</x:v>
      </x:c>
      <x:c r="G1046" s="13" t="str">
        <x:v>grid_wekqfxnd.xlsx</x:v>
      </x:c>
    </x:row>
    <x:row r="1047">
      <x:c r="A1047" s="15" t="n">
        <x:v>40695</x:v>
      </x:c>
      <x:c r="B1047" s="13" t="str">
        <x:v>COSAN SA</x:v>
      </x:c>
      <x:c r="C1047" s="16" t="n">
        <x:v>564</x:v>
      </x:c>
      <x:c r="D1047" s="13" t="str">
        <x:v>Oil, Gas &amp; Petrochemicals</x:v>
      </x:c>
      <x:c r="E1047" s="13" t="str">
        <x:v>Oil, Gas &amp; Petrochemicals</x:v>
      </x:c>
      <x:c r="F1047" s="13" t="str">
        <x:v>Deep Cyclicals</x:v>
      </x:c>
      <x:c r="G1047" s="13" t="str">
        <x:v>grid_wekqfxnd.xlsx</x:v>
      </x:c>
    </x:row>
    <x:row r="1048">
      <x:c r="A1048" s="15" t="n">
        <x:v>40695</x:v>
      </x:c>
      <x:c r="B1048" s="13" t="str">
        <x:v>OLEO E GAS PARTICIPACOES SA</x:v>
      </x:c>
      <x:c r="C1048" s="16" t="n">
        <x:v>615.9597128743</x:v>
      </x:c>
      <x:c r="D1048" s="13" t="str">
        <x:v>Oil, Gas &amp; Petrochemicals</x:v>
      </x:c>
      <x:c r="E1048" s="13" t="str">
        <x:v>Oil, Gas &amp; Petrochemicals</x:v>
      </x:c>
      <x:c r="F1048" s="13" t="str">
        <x:v>Deep Cyclicals</x:v>
      </x:c>
      <x:c r="G1048" s="13" t="str">
        <x:v>grid_wekqfxnd.xlsx</x:v>
      </x:c>
    </x:row>
    <x:row r="1049">
      <x:c r="A1049" s="15" t="n">
        <x:v>40695</x:v>
      </x:c>
      <x:c r="B1049" s="13" t="str">
        <x:v>PETROBRAS - PETROLEO BRAS</x:v>
      </x:c>
      <x:c r="C1049" s="16" t="n">
        <x:v>38017.7918321312</x:v>
      </x:c>
      <x:c r="D1049" s="13" t="str">
        <x:v>Oil, Gas &amp; Petrochemicals</x:v>
      </x:c>
      <x:c r="E1049" s="13" t="str">
        <x:v>Oil, Gas &amp; Petrochemicals</x:v>
      </x:c>
      <x:c r="F1049" s="13" t="str">
        <x:v>Deep Cyclicals</x:v>
      </x:c>
      <x:c r="G1049" s="13" t="str">
        <x:v>grid_wekqfxnd.xlsx</x:v>
      </x:c>
    </x:row>
    <x:row r="1050">
      <x:c r="A1050" s="15" t="n">
        <x:v>40695</x:v>
      </x:c>
      <x:c r="B1050" s="13" t="str">
        <x:v>ULTRAPAR PARTICIPACOES-PREF</x:v>
      </x:c>
      <x:c r="C1050" s="16" t="n">
        <x:v>883.2848174863</x:v>
      </x:c>
      <x:c r="D1050" s="13" t="str">
        <x:v>Oil, Gas &amp; Petrochemicals</x:v>
      </x:c>
      <x:c r="E1050" s="13" t="str">
        <x:v>Oil, Gas &amp; Petrochemicals</x:v>
      </x:c>
      <x:c r="F1050" s="13" t="str">
        <x:v>Deep Cyclicals</x:v>
      </x:c>
      <x:c r="G1050" s="13" t="str">
        <x:v>grid_wekqfxnd.xlsx</x:v>
      </x:c>
    </x:row>
    <x:row r="1051">
      <x:c r="A1051" s="15" t="n">
        <x:v>40695</x:v>
      </x:c>
      <x:c r="B1051" s="13" t="str">
        <x:v>DEXCO SA</x:v>
      </x:c>
      <x:c r="C1051" s="16" t="n">
        <x:v>504.5592400437</x:v>
      </x:c>
      <x:c r="D1051" s="13" t="str">
        <x:v>Pulp &amp; Paper</x:v>
      </x:c>
      <x:c r="E1051" s="13" t="str">
        <x:v>Pulp &amp; Paper</x:v>
      </x:c>
      <x:c r="F1051" s="13" t="str">
        <x:v>Deep Cyclicals</x:v>
      </x:c>
      <x:c r="G1051" s="13" t="str">
        <x:v>grid_wekqfxnd.xlsx</x:v>
      </x:c>
    </x:row>
    <x:row r="1052">
      <x:c r="A1052" s="15" t="n">
        <x:v>40695</x:v>
      </x:c>
      <x:c r="B1052" s="13" t="str">
        <x:v>FIBRIA CELULOSE S/A</x:v>
      </x:c>
      <x:c r="C1052" s="16" t="n">
        <x:v>597.3133020328</x:v>
      </x:c>
      <x:c r="D1052" s="13" t="str">
        <x:v>Pulp &amp; Paper</x:v>
      </x:c>
      <x:c r="E1052" s="13" t="str">
        <x:v>Pulp &amp; Paper</x:v>
      </x:c>
      <x:c r="F1052" s="13" t="str">
        <x:v>Deep Cyclicals</x:v>
      </x:c>
      <x:c r="G1052" s="13" t="str">
        <x:v>grid_wekqfxnd.xlsx</x:v>
      </x:c>
    </x:row>
    <x:row r="1053">
      <x:c r="A1053" s="15" t="n">
        <x:v>40695</x:v>
      </x:c>
      <x:c r="B1053" s="13" t="str">
        <x:v>AMERICANAS SA</x:v>
      </x:c>
      <x:c r="C1053" s="16" t="n">
        <x:v>101.7434557377</x:v>
      </x:c>
      <x:c r="D1053" s="13" t="str">
        <x:v>Retail</x:v>
      </x:c>
      <x:c r="E1053" s="13" t="str">
        <x:v>Retail</x:v>
      </x:c>
      <x:c r="F1053" s="13" t="str">
        <x:v>Early Cyclicals</x:v>
      </x:c>
      <x:c r="G1053" s="13" t="str">
        <x:v>grid_wekqfxnd.xlsx</x:v>
      </x:c>
    </x:row>
    <x:row r="1054">
      <x:c r="A1054" s="15" t="n">
        <x:v>40695</x:v>
      </x:c>
      <x:c r="B1054" s="13" t="str">
        <x:v>CIA BRASILEIRA DE DIS-PREF</x:v>
      </x:c>
      <x:c r="C1054" s="16" t="n">
        <x:v>906.2318352787</x:v>
      </x:c>
      <x:c r="D1054" s="13" t="str">
        <x:v>Retail</x:v>
      </x:c>
      <x:c r="E1054" s="13" t="str">
        <x:v>Retail</x:v>
      </x:c>
      <x:c r="F1054" s="13" t="str">
        <x:v>Early Cyclicals</x:v>
      </x:c>
      <x:c r="G1054" s="13" t="str">
        <x:v>grid_wekqfxnd.xlsx</x:v>
      </x:c>
    </x:row>
    <x:row r="1055">
      <x:c r="A1055" s="15" t="n">
        <x:v>40695</x:v>
      </x:c>
      <x:c r="B1055" s="13" t="str">
        <x:v>LOJAS AMERICANAS SA-PREF</x:v>
      </x:c>
      <x:c r="C1055" s="16" t="n">
        <x:v>441.4252051585</x:v>
      </x:c>
      <x:c r="D1055" s="13" t="str">
        <x:v>Retail</x:v>
      </x:c>
      <x:c r="E1055" s="13" t="str">
        <x:v>Retail</x:v>
      </x:c>
      <x:c r="F1055" s="13" t="str">
        <x:v>Early Cyclicals</x:v>
      </x:c>
      <x:c r="G1055" s="13" t="str">
        <x:v>grid_wekqfxnd.xlsx</x:v>
      </x:c>
    </x:row>
    <x:row r="1056">
      <x:c r="A1056" s="15" t="n">
        <x:v>40695</x:v>
      </x:c>
      <x:c r="B1056" s="13" t="str">
        <x:v>LOJAS RENNER S.A.</x:v>
      </x:c>
      <x:c r="C1056" s="16" t="n">
        <x:v>394.7189205683</x:v>
      </x:c>
      <x:c r="D1056" s="13" t="str">
        <x:v>Retail</x:v>
      </x:c>
      <x:c r="E1056" s="13" t="str">
        <x:v>Retail</x:v>
      </x:c>
      <x:c r="F1056" s="13" t="str">
        <x:v>Early Cyclicals</x:v>
      </x:c>
      <x:c r="G1056" s="13" t="str">
        <x:v>grid_wekqfxnd.xlsx</x:v>
      </x:c>
    </x:row>
    <x:row r="1057">
      <x:c r="A1057" s="15" t="n">
        <x:v>40695</x:v>
      </x:c>
      <x:c r="B1057" s="13" t="str">
        <x:v>NATURA COSMETICOS SA</x:v>
      </x:c>
      <x:c r="C1057" s="16" t="n">
        <x:v>933.1293016831</x:v>
      </x:c>
      <x:c r="D1057" s="13" t="str">
        <x:v>Retail</x:v>
      </x:c>
      <x:c r="E1057" s="13" t="str">
        <x:v>Retail</x:v>
      </x:c>
      <x:c r="F1057" s="13" t="str">
        <x:v>Early Cyclicals</x:v>
      </x:c>
      <x:c r="G1057" s="13" t="str">
        <x:v>grid_wekqfxnd.xlsx</x:v>
      </x:c>
    </x:row>
    <x:row r="1058">
      <x:c r="A1058" s="15" t="n">
        <x:v>40695</x:v>
      </x:c>
      <x:c r="B1058" s="13" t="str">
        <x:v>CIA SANEAMENTO BASICO DE SP</x:v>
      </x:c>
      <x:c r="C1058" s="16" t="n">
        <x:v>1393.2553939235</x:v>
      </x:c>
      <x:c r="D1058" s="13" t="str">
        <x:v>Sanitation</x:v>
      </x:c>
      <x:c r="E1058" s="13" t="str">
        <x:v>Utilities</x:v>
      </x:c>
      <x:c r="F1058" s="13" t="str">
        <x:v>Defensives</x:v>
      </x:c>
      <x:c r="G1058" s="13" t="str">
        <x:v>grid_wekqfxnd.xlsx</x:v>
      </x:c>
    </x:row>
    <x:row r="1059">
      <x:c r="A1059" s="15" t="n">
        <x:v>40695</x:v>
      </x:c>
      <x:c r="B1059" s="13" t="str">
        <x:v>OI SA-PREFERENCE</x:v>
      </x:c>
      <x:c r="C1059" s="16" t="n">
        <x:v>1248.2759721967</x:v>
      </x:c>
      <x:c r="D1059" s="13" t="str">
        <x:v>TMT</x:v>
      </x:c>
      <x:c r="E1059" s="13" t="str">
        <x:v>TMT</x:v>
      </x:c>
      <x:c r="F1059" s="13" t="str">
        <x:v>Early Cyclicals</x:v>
      </x:c>
      <x:c r="G1059" s="13" t="str">
        <x:v>grid_wekqfxnd.xlsx</x:v>
      </x:c>
    </x:row>
    <x:row r="1060">
      <x:c r="A1060" s="15" t="n">
        <x:v>40695</x:v>
      </x:c>
      <x:c r="B1060" s="13" t="str">
        <x:v>TELE NORTE LESTE PART</x:v>
      </x:c>
      <x:c r="C1060" s="16" t="n">
        <x:v>1440.0774239126</x:v>
      </x:c>
      <x:c r="D1060" s="13" t="str">
        <x:v>TMT</x:v>
      </x:c>
      <x:c r="E1060" s="13" t="str">
        <x:v>TMT</x:v>
      </x:c>
      <x:c r="F1060" s="13" t="str">
        <x:v>Early Cyclicals</x:v>
      </x:c>
      <x:c r="G1060" s="13" t="str">
        <x:v>grid_wekqfxnd.xlsx</x:v>
      </x:c>
    </x:row>
    <x:row r="1061">
      <x:c r="A1061" s="15" t="n">
        <x:v>40695</x:v>
      </x:c>
      <x:c r="B1061" s="13" t="str">
        <x:v>TELEFONICA BRASIL S.A.-PREF</x:v>
      </x:c>
      <x:c r="C1061" s="16" t="n">
        <x:v>3883.6332485246</x:v>
      </x:c>
      <x:c r="D1061" s="13" t="str">
        <x:v>TMT</x:v>
      </x:c>
      <x:c r="E1061" s="13" t="str">
        <x:v>TMT</x:v>
      </x:c>
      <x:c r="F1061" s="13" t="str">
        <x:v>Early Cyclicals</x:v>
      </x:c>
      <x:c r="G1061" s="13" t="str">
        <x:v>grid_wekqfxnd.xlsx</x:v>
      </x:c>
    </x:row>
    <x:row r="1062">
      <x:c r="A1062" s="15" t="n">
        <x:v>40695</x:v>
      </x:c>
      <x:c r="B1062" s="13" t="str">
        <x:v>TELEMAR NORTE LESTE SA</x:v>
      </x:c>
      <x:c r="C1062" s="16" t="n">
        <x:v>1483.6464318251</x:v>
      </x:c>
      <x:c r="D1062" s="13" t="str">
        <x:v>TMT</x:v>
      </x:c>
      <x:c r="E1062" s="13" t="str">
        <x:v>TMT</x:v>
      </x:c>
      <x:c r="F1062" s="13" t="str">
        <x:v>Early Cyclicals</x:v>
      </x:c>
      <x:c r="G1062" s="13" t="str">
        <x:v>grid_wekqfxnd.xlsx</x:v>
      </x:c>
    </x:row>
    <x:row r="1063">
      <x:c r="A1063" s="15" t="n">
        <x:v>40695</x:v>
      </x:c>
      <x:c r="B1063" s="13" t="str">
        <x:v>TIM PARTICIPACOES SA-PREF</x:v>
      </x:c>
      <x:c r="C1063" s="16" t="n">
        <x:v>1283.8969397159</x:v>
      </x:c>
      <x:c r="D1063" s="13" t="str">
        <x:v>TMT</x:v>
      </x:c>
      <x:c r="E1063" s="13" t="str">
        <x:v>TMT</x:v>
      </x:c>
      <x:c r="F1063" s="13" t="str">
        <x:v>Early Cyclicals</x:v>
      </x:c>
      <x:c r="G1063" s="13" t="str">
        <x:v>grid_wekqfxnd.xlsx</x:v>
      </x:c>
    </x:row>
    <x:row r="1064">
      <x:c r="A1064" s="15" t="n">
        <x:v>40695</x:v>
      </x:c>
      <x:c r="B1064" s="13" t="str">
        <x:v>TIM SA</x:v>
      </x:c>
      <x:c r="C1064" s="16" t="n">
        <x:v>1283.8969397159</x:v>
      </x:c>
      <x:c r="D1064" s="13" t="str">
        <x:v>TMT</x:v>
      </x:c>
      <x:c r="E1064" s="13" t="str">
        <x:v>TMT</x:v>
      </x:c>
      <x:c r="F1064" s="13" t="str">
        <x:v>Early Cyclicals</x:v>
      </x:c>
      <x:c r="G1064" s="13" t="str">
        <x:v>grid_wekqfxnd.xlsx</x:v>
      </x:c>
    </x:row>
    <x:row r="1065">
      <x:c r="A1065" s="15" t="n">
        <x:v>40695</x:v>
      </x:c>
      <x:c r="B1065" s="13" t="str">
        <x:v>GOL LINHAS AEREAS INT SA-PRE</x:v>
      </x:c>
      <x:c r="C1065" s="16" t="n">
        <x:v>415.7981679563</x:v>
      </x:c>
      <x:c r="D1065" s="13" t="str">
        <x:v>Transportation</x:v>
      </x:c>
      <x:c r="E1065" s="13" t="str">
        <x:v>Transportation</x:v>
      </x:c>
      <x:c r="F1065" s="13" t="str">
        <x:v>Deep Cyclicals</x:v>
      </x:c>
      <x:c r="G1065" s="13" t="str">
        <x:v>grid_wekqfxnd.xlsx</x:v>
      </x:c>
    </x:row>
    <x:row r="1066">
      <x:c r="A1066" s="15" t="n">
        <x:v>40695</x:v>
      </x:c>
      <x:c r="B1066" s="13" t="str">
        <x:v>MOTIVA INFRAESTRUTURA DE MOB</x:v>
      </x:c>
      <x:c r="C1066" s="16" t="n">
        <x:v>1150.2541289617</x:v>
      </x:c>
      <x:c r="D1066" s="13" t="str">
        <x:v>Transportation</x:v>
      </x:c>
      <x:c r="E1066" s="13" t="str">
        <x:v>Transportation</x:v>
      </x:c>
      <x:c r="F1066" s="13" t="str">
        <x:v>Deep Cyclicals</x:v>
      </x:c>
      <x:c r="G1066" s="13" t="str">
        <x:v>grid_wekqfxnd.xlsx</x:v>
      </x:c>
    </x:row>
    <x:row r="1067">
      <x:c r="A1067" s="15" t="n">
        <x:v>40695</x:v>
      </x:c>
      <x:c r="B1067" s="13" t="str">
        <x:v>PRUMO LOGISTICA SA</x:v>
      </x:c>
      <x:c r="C1067" s="16" t="n">
        <x:v>-30.1326579235</x:v>
      </x:c>
      <x:c r="D1067" s="13" t="str">
        <x:v>Transportation</x:v>
      </x:c>
      <x:c r="E1067" s="13" t="str">
        <x:v>Transportation</x:v>
      </x:c>
      <x:c r="F1067" s="13" t="str">
        <x:v>Deep Cyclicals</x:v>
      </x:c>
      <x:c r="G1067" s="13" t="str">
        <x:v>grid_wekqfxnd.xlsx</x:v>
      </x:c>
    </x:row>
    <x:row r="1068">
      <x:c r="A1068" s="15" t="n">
        <x:v>40695</x:v>
      </x:c>
      <x:c r="B1068" s="13" t="str">
        <x:v>RUMO SA</x:v>
      </x:c>
      <x:c r="C1068" s="16" t="n">
        <x:v>345.804652765</x:v>
      </x:c>
      <x:c r="D1068" s="13" t="str">
        <x:v>Transportation</x:v>
      </x:c>
      <x:c r="E1068" s="13" t="str">
        <x:v>Transportation</x:v>
      </x:c>
      <x:c r="F1068" s="13" t="str">
        <x:v>Deep Cyclicals</x:v>
      </x:c>
      <x:c r="G1068" s="13" t="str">
        <x:v>grid_wekqfxnd.xlsx</x:v>
      </x:c>
    </x:row>
    <x:row r="1069">
      <x:c r="A1069" s="15" t="n">
        <x:v>40695</x:v>
      </x:c>
      <x:c r="B1069" s="13" t="str">
        <x:v>TAM SA-PREF</x:v>
      </x:c>
      <x:c r="C1069" s="16" t="n">
        <x:v>313.6155012896</x:v>
      </x:c>
      <x:c r="D1069" s="13" t="str">
        <x:v>Transportation</x:v>
      </x:c>
      <x:c r="E1069" s="13" t="str">
        <x:v>Transportation</x:v>
      </x:c>
      <x:c r="F1069" s="13" t="str">
        <x:v>Deep Cyclicals</x:v>
      </x:c>
      <x:c r="G1069" s="13" t="str">
        <x:v>grid_wekqfxnd.xlsx</x:v>
      </x:c>
    </x:row>
    <x:row r="1070">
      <x:c r="A1070" s="15" t="n">
        <x:v>40695</x:v>
      </x:c>
      <x:c r="B1070" s="13" t="str">
        <x:v>AXIA ENERGIA SA</x:v>
      </x:c>
      <x:c r="C1070" s="16" t="n">
        <x:v>3696.3628667104</x:v>
      </x:c>
      <x:c r="D1070" s="13" t="str">
        <x:v>Utilities &amp; Energy</x:v>
      </x:c>
      <x:c r="E1070" s="13" t="str">
        <x:v>Utilities</x:v>
      </x:c>
      <x:c r="F1070" s="13" t="str">
        <x:v>Defensives</x:v>
      </x:c>
      <x:c r="G1070" s="13" t="str">
        <x:v>grid_wekqfxnd.xlsx</x:v>
      </x:c>
    </x:row>
    <x:row r="1071">
      <x:c r="A1071" s="15" t="n">
        <x:v>40695</x:v>
      </x:c>
      <x:c r="B1071" s="13" t="str">
        <x:v>AXIA ENERGIA-PR B</x:v>
      </x:c>
      <x:c r="C1071" s="16" t="n">
        <x:v>3696.3628667104</x:v>
      </x:c>
      <x:c r="D1071" s="13" t="str">
        <x:v>Utilities &amp; Energy</x:v>
      </x:c>
      <x:c r="E1071" s="13" t="str">
        <x:v>Utilities</x:v>
      </x:c>
      <x:c r="F1071" s="13" t="str">
        <x:v>Defensives</x:v>
      </x:c>
      <x:c r="G1071" s="13" t="str">
        <x:v>grid_wekqfxnd.xlsx</x:v>
      </x:c>
    </x:row>
    <x:row r="1072">
      <x:c r="A1072" s="15" t="n">
        <x:v>40695</x:v>
      </x:c>
      <x:c r="B1072" s="13" t="str">
        <x:v>CESP - CIA ENERGETICA DE SAO</x:v>
      </x:c>
      <x:c r="C1072" s="16" t="n">
        <x:v>658.6703115191</x:v>
      </x:c>
      <x:c r="D1072" s="13" t="str">
        <x:v>Utilities &amp; Energy</x:v>
      </x:c>
      <x:c r="E1072" s="13" t="str">
        <x:v>Utilities</x:v>
      </x:c>
      <x:c r="F1072" s="13" t="str">
        <x:v>Defensives</x:v>
      </x:c>
      <x:c r="G1072" s="13" t="str">
        <x:v>grid_wekqfxnd.xlsx</x:v>
      </x:c>
    </x:row>
    <x:row r="1073">
      <x:c r="A1073" s="15" t="n">
        <x:v>40695</x:v>
      </x:c>
      <x:c r="B1073" s="13" t="str">
        <x:v>CIA ENERGETICA MINAS GER-PRF</x:v>
      </x:c>
      <x:c r="C1073" s="16" t="n">
        <x:v>2249.5921017705</x:v>
      </x:c>
      <x:c r="D1073" s="13" t="str">
        <x:v>Utilities &amp; Energy</x:v>
      </x:c>
      <x:c r="E1073" s="13" t="str">
        <x:v>Utilities</x:v>
      </x:c>
      <x:c r="F1073" s="13" t="str">
        <x:v>Defensives</x:v>
      </x:c>
      <x:c r="G1073" s="13" t="str">
        <x:v>grid_wekqfxnd.xlsx</x:v>
      </x:c>
    </x:row>
    <x:row r="1074">
      <x:c r="A1074" s="15" t="n">
        <x:v>40695</x:v>
      </x:c>
      <x:c r="B1074" s="13" t="str">
        <x:v>COMPANHIA PARANAENSE -PREF B</x:v>
      </x:c>
      <x:c r="C1074" s="16" t="n">
        <x:v>1305.2778449836</x:v>
      </x:c>
      <x:c r="D1074" s="13" t="str">
        <x:v>Utilities &amp; Energy</x:v>
      </x:c>
      <x:c r="E1074" s="13" t="str">
        <x:v>Utilities</x:v>
      </x:c>
      <x:c r="F1074" s="13" t="str">
        <x:v>Defensives</x:v>
      </x:c>
      <x:c r="G1074" s="13" t="str">
        <x:v>grid_wekqfxnd.xlsx</x:v>
      </x:c>
    </x:row>
    <x:row r="1075">
      <x:c r="A1075" s="15" t="n">
        <x:v>40695</x:v>
      </x:c>
      <x:c r="B1075" s="13" t="str">
        <x:v>CPFL ENERGIA SA</x:v>
      </x:c>
      <x:c r="C1075" s="16" t="n">
        <x:v>1641.9500226448</x:v>
      </x:c>
      <x:c r="D1075" s="13" t="str">
        <x:v>Utilities &amp; Energy</x:v>
      </x:c>
      <x:c r="E1075" s="13" t="str">
        <x:v>Utilities</x:v>
      </x:c>
      <x:c r="F1075" s="13" t="str">
        <x:v>Defensives</x:v>
      </x:c>
      <x:c r="G1075" s="13" t="str">
        <x:v>grid_wekqfxnd.xlsx</x:v>
      </x:c>
    </x:row>
    <x:row r="1076">
      <x:c r="A1076" s="15" t="n">
        <x:v>40695</x:v>
      </x:c>
      <x:c r="B1076" s="13" t="str">
        <x:v>ELETROPAULO METROPOLI-PREF</x:v>
      </x:c>
      <x:c r="C1076" s="16" t="n">
        <x:v>624.8861300109</x:v>
      </x:c>
      <x:c r="D1076" s="13" t="str">
        <x:v>Utilities &amp; Energy</x:v>
      </x:c>
      <x:c r="E1076" s="13" t="str">
        <x:v>Utilities</x:v>
      </x:c>
      <x:c r="F1076" s="13" t="str">
        <x:v>Defensives</x:v>
      </x:c>
      <x:c r="G1076" s="13" t="str">
        <x:v>grid_wekqfxnd.xlsx</x:v>
      </x:c>
    </x:row>
    <x:row r="1077">
      <x:c r="A1077" s="15" t="n">
        <x:v>40695</x:v>
      </x:c>
      <x:c r="B1077" s="13" t="str">
        <x:v>ISA ENERGIA BRASIL SA</x:v>
      </x:c>
      <x:c r="C1077" s="16" t="n">
        <x:v>836.002944</x:v>
      </x:c>
      <x:c r="D1077" s="13" t="str">
        <x:v>Utilities &amp; Energy</x:v>
      </x:c>
      <x:c r="E1077" s="13" t="str">
        <x:v>Utilities</x:v>
      </x:c>
      <x:c r="F1077" s="13" t="str">
        <x:v>Defensives</x:v>
      </x:c>
      <x:c r="G1077" s="13" t="str">
        <x:v>grid_wekqfxnd.xlsx</x:v>
      </x:c>
    </x:row>
    <x:row r="1078">
      <x:c r="A1078" s="15" t="n">
        <x:v>40695</x:v>
      </x:c>
      <x:c r="B1078" s="13" t="str">
        <x:v>LIGHT SA</x:v>
      </x:c>
      <x:c r="C1078" s="16" t="n">
        <x:v>609.3296888306</x:v>
      </x:c>
      <x:c r="D1078" s="13" t="str">
        <x:v>Utilities &amp; Energy</x:v>
      </x:c>
      <x:c r="E1078" s="13" t="str">
        <x:v>Utilities</x:v>
      </x:c>
      <x:c r="F1078" s="13" t="str">
        <x:v>Defensives</x:v>
      </x:c>
      <x:c r="G1078" s="13" t="str">
        <x:v>grid_wekqfxnd.xlsx</x:v>
      </x:c>
    </x:row>
    <x:row r="1079">
      <x:c r="A1079" s="15" t="n">
        <x:v>40725</x:v>
      </x:c>
      <x:c r="B1079" s="13" t="str">
        <x:v>BANCO BRADESCO SA-PREF</x:v>
      </x:c>
      <x:c r="C1079" s="16" t="n">
        <x:v>12263.1821653333</x:v>
      </x:c>
      <x:c r="D1079" s="13" t="str">
        <x:v>Banks</x:v>
      </x:c>
      <x:c r="E1079" s="13" t="str">
        <x:v>Banks</x:v>
      </x:c>
      <x:c r="F1079" s="13" t="str">
        <x:v>Financials</x:v>
      </x:c>
      <x:c r="G1079" s="13" t="str">
        <x:v>grid_wekqfxnd.xlsx</x:v>
      </x:c>
    </x:row>
    <x:row r="1080">
      <x:c r="A1080" s="15" t="n">
        <x:v>40725</x:v>
      </x:c>
      <x:c r="B1080" s="13" t="str">
        <x:v>BANCO DO BRASIL S.A.</x:v>
      </x:c>
      <x:c r="C1080" s="16" t="n">
        <x:v>12412.7578229508</x:v>
      </x:c>
      <x:c r="D1080" s="13" t="str">
        <x:v>Banks</x:v>
      </x:c>
      <x:c r="E1080" s="13" t="str">
        <x:v>Banks</x:v>
      </x:c>
      <x:c r="F1080" s="13" t="str">
        <x:v>Financials</x:v>
      </x:c>
      <x:c r="G1080" s="13" t="str">
        <x:v>grid_wekqfxnd.xlsx</x:v>
      </x:c>
    </x:row>
    <x:row r="1081">
      <x:c r="A1081" s="15" t="n">
        <x:v>40725</x:v>
      </x:c>
      <x:c r="B1081" s="13" t="str">
        <x:v>BANCO SANTANDER  BRASIL-UNIT</x:v>
      </x:c>
      <x:c r="C1081" s="16" t="n">
        <x:v>7560.0759396721</x:v>
      </x:c>
      <x:c r="D1081" s="13" t="str">
        <x:v>Banks</x:v>
      </x:c>
      <x:c r="E1081" s="13" t="str">
        <x:v>Banks</x:v>
      </x:c>
      <x:c r="F1081" s="13" t="str">
        <x:v>Financials</x:v>
      </x:c>
      <x:c r="G1081" s="13" t="str">
        <x:v>grid_wekqfxnd.xlsx</x:v>
      </x:c>
    </x:row>
    <x:row r="1082">
      <x:c r="A1082" s="15" t="n">
        <x:v>40725</x:v>
      </x:c>
      <x:c r="B1082" s="13" t="str">
        <x:v>ITAU UNIBANCO HOLDING S-PREF</x:v>
      </x:c>
      <x:c r="C1082" s="16" t="n">
        <x:v>16388.3769900765</x:v>
      </x:c>
      <x:c r="D1082" s="13" t="str">
        <x:v>Banks</x:v>
      </x:c>
      <x:c r="E1082" s="13" t="str">
        <x:v>Banks</x:v>
      </x:c>
      <x:c r="F1082" s="13" t="str">
        <x:v>Financials</x:v>
      </x:c>
      <x:c r="G1082" s="13" t="str">
        <x:v>grid_wekqfxnd.xlsx</x:v>
      </x:c>
    </x:row>
    <x:row r="1083">
      <x:c r="A1083" s="15" t="n">
        <x:v>40725</x:v>
      </x:c>
      <x:c r="B1083" s="13" t="str">
        <x:v>EMBRAER SA</x:v>
      </x:c>
      <x:c r="C1083" s="16" t="n">
        <x:v>662.5609542295</x:v>
      </x:c>
      <x:c r="D1083" s="13" t="str">
        <x:v>Capital Goods</x:v>
      </x:c>
      <x:c r="E1083" s="13" t="str">
        <x:v>Capital Goods</x:v>
      </x:c>
      <x:c r="F1083" s="13" t="str">
        <x:v>Deep Cyclicals</x:v>
      </x:c>
      <x:c r="G1083" s="13" t="str">
        <x:v>grid_wekqfxnd.xlsx</x:v>
      </x:c>
    </x:row>
    <x:row r="1084">
      <x:c r="A1084" s="15" t="n">
        <x:v>40725</x:v>
      </x:c>
      <x:c r="B1084" s="13" t="str">
        <x:v>B3 SA-BRASIL BOLSA BALCAO</x:v>
      </x:c>
      <x:c r="C1084" s="16" t="n">
        <x:v>1542.9970105355</x:v>
      </x:c>
      <x:c r="D1084" s="13" t="str">
        <x:v>Financials Non-Banks</x:v>
      </x:c>
      <x:c r="E1084" s="13" t="str">
        <x:v>Financials Non-Banks</x:v>
      </x:c>
      <x:c r="F1084" s="13" t="str">
        <x:v>Financials</x:v>
      </x:c>
      <x:c r="G1084" s="13" t="str">
        <x:v>grid_wekqfxnd.xlsx</x:v>
      </x:c>
    </x:row>
    <x:row r="1085">
      <x:c r="A1085" s="15" t="n">
        <x:v>40725</x:v>
      </x:c>
      <x:c r="B1085" s="13" t="str">
        <x:v>CIELO SA - INSTITUICAO DE PA</x:v>
      </x:c>
      <x:c r="C1085" s="16" t="n">
        <x:v>1723.7868779016</x:v>
      </x:c>
      <x:c r="D1085" s="13" t="str">
        <x:v>Financials Non-Banks</x:v>
      </x:c>
      <x:c r="E1085" s="13" t="str">
        <x:v>Financials Non-Banks</x:v>
      </x:c>
      <x:c r="F1085" s="13" t="str">
        <x:v>Financials</x:v>
      </x:c>
      <x:c r="G1085" s="13" t="str">
        <x:v>grid_wekqfxnd.xlsx</x:v>
      </x:c>
    </x:row>
    <x:row r="1086">
      <x:c r="A1086" s="15" t="n">
        <x:v>40725</x:v>
      </x:c>
      <x:c r="B1086" s="13" t="str">
        <x:v>ITAUSA SA</x:v>
      </x:c>
      <x:c r="C1086" s="16" t="n">
        <x:v>6001.5942980546</x:v>
      </x:c>
      <x:c r="D1086" s="13" t="str">
        <x:v>Financials Non-Banks</x:v>
      </x:c>
      <x:c r="E1086" s="13" t="str">
        <x:v>Financials Non-Banks</x:v>
      </x:c>
      <x:c r="F1086" s="13" t="str">
        <x:v>Financials</x:v>
      </x:c>
      <x:c r="G1086" s="13" t="str">
        <x:v>grid_wekqfxnd.xlsx</x:v>
      </x:c>
    </x:row>
    <x:row r="1087">
      <x:c r="A1087" s="15" t="n">
        <x:v>40725</x:v>
      </x:c>
      <x:c r="B1087" s="13" t="str">
        <x:v>REDECARD INSTITUICAO DE PAGA</x:v>
      </x:c>
      <x:c r="C1087" s="16" t="n">
        <x:v>1269.9268584918</x:v>
      </x:c>
      <x:c r="D1087" s="13" t="str">
        <x:v>Financials Non-Banks</x:v>
      </x:c>
      <x:c r="E1087" s="13" t="str">
        <x:v>Financials Non-Banks</x:v>
      </x:c>
      <x:c r="F1087" s="13" t="str">
        <x:v>Financials</x:v>
      </x:c>
      <x:c r="G1087" s="13" t="str">
        <x:v>grid_wekqfxnd.xlsx</x:v>
      </x:c>
    </x:row>
    <x:row r="1088">
      <x:c r="A1088" s="15" t="n">
        <x:v>40725</x:v>
      </x:c>
      <x:c r="B1088" s="13" t="str">
        <x:v>AMBEV SA</x:v>
      </x:c>
      <x:c r="C1088" s="16" t="n">
        <x:v>8853.0585138361</x:v>
      </x:c>
      <x:c r="D1088" s="13" t="str">
        <x:v>Food &amp; Beverages</x:v>
      </x:c>
      <x:c r="E1088" s="13" t="str">
        <x:v>Agri, Food &amp; Beverages</x:v>
      </x:c>
      <x:c r="F1088" s="13" t="str">
        <x:v>Defensives</x:v>
      </x:c>
      <x:c r="G1088" s="13" t="str">
        <x:v>grid_wekqfxnd.xlsx</x:v>
      </x:c>
    </x:row>
    <x:row r="1089">
      <x:c r="A1089" s="15" t="n">
        <x:v>40725</x:v>
      </x:c>
      <x:c r="B1089" s="13" t="str">
        <x:v>BRF SA</x:v>
      </x:c>
      <x:c r="C1089" s="16" t="n">
        <x:v>1645.1610932459</x:v>
      </x:c>
      <x:c r="D1089" s="13" t="str">
        <x:v>Food &amp; Beverages</x:v>
      </x:c>
      <x:c r="E1089" s="13" t="str">
        <x:v>Agri, Food &amp; Beverages</x:v>
      </x:c>
      <x:c r="F1089" s="13" t="str">
        <x:v>Defensives</x:v>
      </x:c>
      <x:c r="G1089" s="13" t="str">
        <x:v>grid_wekqfxnd.xlsx</x:v>
      </x:c>
    </x:row>
    <x:row r="1090">
      <x:c r="A1090" s="15" t="n">
        <x:v>40725</x:v>
      </x:c>
      <x:c r="B1090" s="13" t="str">
        <x:v>JBS SA</x:v>
      </x:c>
      <x:c r="C1090" s="16" t="n">
        <x:v>1620.4316939891</x:v>
      </x:c>
      <x:c r="D1090" s="13" t="str">
        <x:v>Food &amp; Beverages</x:v>
      </x:c>
      <x:c r="E1090" s="13" t="str">
        <x:v>Agri, Food &amp; Beverages</x:v>
      </x:c>
      <x:c r="F1090" s="13" t="str">
        <x:v>Defensives</x:v>
      </x:c>
      <x:c r="G1090" s="13" t="str">
        <x:v>grid_wekqfxnd.xlsx</x:v>
      </x:c>
    </x:row>
    <x:row r="1091">
      <x:c r="A1091" s="15" t="n">
        <x:v>40725</x:v>
      </x:c>
      <x:c r="B1091" s="13" t="str">
        <x:v>MBRF GLOBAL FOODS COMPANY SA</x:v>
      </x:c>
      <x:c r="C1091" s="16" t="n">
        <x:v>178.1612883934</x:v>
      </x:c>
      <x:c r="D1091" s="13" t="str">
        <x:v>Food &amp; Beverages</x:v>
      </x:c>
      <x:c r="E1091" s="13" t="str">
        <x:v>Agri, Food &amp; Beverages</x:v>
      </x:c>
      <x:c r="F1091" s="13" t="str">
        <x:v>Defensives</x:v>
      </x:c>
      <x:c r="G1091" s="13" t="str">
        <x:v>grid_wekqfxnd.xlsx</x:v>
      </x:c>
    </x:row>
    <x:row r="1092">
      <x:c r="A1092" s="15" t="n">
        <x:v>40725</x:v>
      </x:c>
      <x:c r="B1092" s="13" t="str">
        <x:v>SOUZA CRUZ LTDA</x:v>
      </x:c>
      <x:c r="C1092" s="16" t="n">
        <x:v>1758.8968326994</x:v>
      </x:c>
      <x:c r="D1092" s="13" t="str">
        <x:v>Food &amp; Beverages</x:v>
      </x:c>
      <x:c r="E1092" s="13" t="str">
        <x:v>Agri, Food &amp; Beverages</x:v>
      </x:c>
      <x:c r="F1092" s="13" t="str">
        <x:v>Defensives</x:v>
      </x:c>
      <x:c r="G1092" s="13" t="str">
        <x:v>grid_wekqfxnd.xlsx</x:v>
      </x:c>
    </x:row>
    <x:row r="1093">
      <x:c r="A1093" s="15" t="n">
        <x:v>40725</x:v>
      </x:c>
      <x:c r="B1093" s="13" t="str">
        <x:v>HYPERA SA</x:v>
      </x:c>
      <x:c r="C1093" s="16" t="n">
        <x:v>545.8681822076</x:v>
      </x:c>
      <x:c r="D1093" s="13" t="str">
        <x:v>Health Care</x:v>
      </x:c>
      <x:c r="E1093" s="13" t="str">
        <x:v>Health Care</x:v>
      </x:c>
      <x:c r="F1093" s="13" t="str">
        <x:v>Defensives</x:v>
      </x:c>
      <x:c r="G1093" s="13" t="str">
        <x:v>grid_wekqfxnd.xlsx</x:v>
      </x:c>
    </x:row>
    <x:row r="1094">
      <x:c r="A1094" s="15" t="n">
        <x:v>40725</x:v>
      </x:c>
      <x:c r="B1094" s="13" t="str">
        <x:v>CYRELA BRAZIL REALTY SA EMP</x:v>
      </x:c>
      <x:c r="C1094" s="16" t="n">
        <x:v>820.5125256393</x:v>
      </x:c>
      <x:c r="D1094" s="13" t="str">
        <x:v>Homebuilders</x:v>
      </x:c>
      <x:c r="E1094" s="13" t="str">
        <x:v>Real Estate</x:v>
      </x:c>
      <x:c r="F1094" s="13" t="str">
        <x:v>Early Cyclicals</x:v>
      </x:c>
      <x:c r="G1094" s="13" t="str">
        <x:v>grid_wekqfxnd.xlsx</x:v>
      </x:c>
    </x:row>
    <x:row r="1095">
      <x:c r="A1095" s="15" t="n">
        <x:v>40725</x:v>
      </x:c>
      <x:c r="B1095" s="13" t="str">
        <x:v>GAFISA SA</x:v>
      </x:c>
      <x:c r="C1095" s="16" t="n">
        <x:v>549.8076126776</x:v>
      </x:c>
      <x:c r="D1095" s="13" t="str">
        <x:v>Homebuilders</x:v>
      </x:c>
      <x:c r="E1095" s="13" t="str">
        <x:v>Real Estate</x:v>
      </x:c>
      <x:c r="F1095" s="13" t="str">
        <x:v>Early Cyclicals</x:v>
      </x:c>
      <x:c r="G1095" s="13" t="str">
        <x:v>grid_wekqfxnd.xlsx</x:v>
      </x:c>
    </x:row>
    <x:row r="1096">
      <x:c r="A1096" s="15" t="n">
        <x:v>40725</x:v>
      </x:c>
      <x:c r="B1096" s="13" t="str">
        <x:v>MRV ENGENHARIA</x:v>
      </x:c>
      <x:c r="C1096" s="16" t="n">
        <x:v>885.9111886339</x:v>
      </x:c>
      <x:c r="D1096" s="13" t="str">
        <x:v>Homebuilders</x:v>
      </x:c>
      <x:c r="E1096" s="13" t="str">
        <x:v>Real Estate</x:v>
      </x:c>
      <x:c r="F1096" s="13" t="str">
        <x:v>Early Cyclicals</x:v>
      </x:c>
      <x:c r="G1096" s="13" t="str">
        <x:v>grid_wekqfxnd.xlsx</x:v>
      </x:c>
    </x:row>
    <x:row r="1097">
      <x:c r="A1097" s="15" t="n">
        <x:v>40725</x:v>
      </x:c>
      <x:c r="B1097" s="13" t="str">
        <x:v>PDG REALTY SA</x:v>
      </x:c>
      <x:c r="C1097" s="16" t="n">
        <x:v>1367.7744241311</x:v>
      </x:c>
      <x:c r="D1097" s="13" t="str">
        <x:v>Homebuilders</x:v>
      </x:c>
      <x:c r="E1097" s="13" t="str">
        <x:v>Real Estate</x:v>
      </x:c>
      <x:c r="F1097" s="13" t="str">
        <x:v>Early Cyclicals</x:v>
      </x:c>
      <x:c r="G1097" s="13" t="str">
        <x:v>grid_wekqfxnd.xlsx</x:v>
      </x:c>
    </x:row>
    <x:row r="1098">
      <x:c r="A1098" s="15" t="n">
        <x:v>40725</x:v>
      </x:c>
      <x:c r="B1098" s="13" t="str">
        <x:v>ROSSI RESIDENCIAL SA</x:v>
      </x:c>
      <x:c r="C1098" s="16" t="n">
        <x:v>540.1099455301</x:v>
      </x:c>
      <x:c r="D1098" s="13" t="str">
        <x:v>Homebuilders</x:v>
      </x:c>
      <x:c r="E1098" s="13" t="str">
        <x:v>Real Estate</x:v>
      </x:c>
      <x:c r="F1098" s="13" t="str">
        <x:v>Early Cyclicals</x:v>
      </x:c>
      <x:c r="G1098" s="13" t="str">
        <x:v>grid_wekqfxnd.xlsx</x:v>
      </x:c>
    </x:row>
    <x:row r="1099">
      <x:c r="A1099" s="15" t="n">
        <x:v>40725</x:v>
      </x:c>
      <x:c r="B1099" s="13" t="str">
        <x:v>TEGRA INCORPORADORA SA</x:v>
      </x:c>
      <x:c r="C1099" s="16" t="n">
        <x:v>534.4111837377</x:v>
      </x:c>
      <x:c r="D1099" s="13" t="str">
        <x:v>Homebuilders</x:v>
      </x:c>
      <x:c r="E1099" s="13" t="str">
        <x:v>Real Estate</x:v>
      </x:c>
      <x:c r="F1099" s="13" t="str">
        <x:v>Early Cyclicals</x:v>
      </x:c>
      <x:c r="G1099" s="13" t="str">
        <x:v>grid_wekqfxnd.xlsx</x:v>
      </x:c>
    </x:row>
    <x:row r="1100">
      <x:c r="A1100" s="15" t="n">
        <x:v>40725</x:v>
      </x:c>
      <x:c r="B1100" s="13" t="str">
        <x:v>BRADESPAR SA -PREF</x:v>
      </x:c>
      <x:c r="C1100" s="16" t="n">
        <x:v>2840.796559388</x:v>
      </x:c>
      <x:c r="D1100" s="13" t="str">
        <x:v>Metals &amp; Mining</x:v>
      </x:c>
      <x:c r="E1100" s="13" t="str">
        <x:v>Metals &amp; Mining</x:v>
      </x:c>
      <x:c r="F1100" s="13" t="str">
        <x:v>Deep Cyclicals</x:v>
      </x:c>
      <x:c r="G1100" s="13" t="str">
        <x:v>grid_wekqfxnd.xlsx</x:v>
      </x:c>
    </x:row>
    <x:row r="1101">
      <x:c r="A1101" s="15" t="n">
        <x:v>40725</x:v>
      </x:c>
      <x:c r="B1101" s="13" t="str">
        <x:v>CIA SIDERURGICA NACIONAL SA</x:v>
      </x:c>
      <x:c r="C1101" s="16" t="n">
        <x:v>2881.6709784481</x:v>
      </x:c>
      <x:c r="D1101" s="13" t="str">
        <x:v>Metals &amp; Mining</x:v>
      </x:c>
      <x:c r="E1101" s="13" t="str">
        <x:v>Metals &amp; Mining</x:v>
      </x:c>
      <x:c r="F1101" s="13" t="str">
        <x:v>Deep Cyclicals</x:v>
      </x:c>
      <x:c r="G1101" s="13" t="str">
        <x:v>grid_wekqfxnd.xlsx</x:v>
      </x:c>
    </x:row>
    <x:row r="1102">
      <x:c r="A1102" s="15" t="n">
        <x:v>40725</x:v>
      </x:c>
      <x:c r="B1102" s="13" t="str">
        <x:v>GERDAU SA-PREF</x:v>
      </x:c>
      <x:c r="C1102" s="16" t="n">
        <x:v>2633.8358417486</x:v>
      </x:c>
      <x:c r="D1102" s="13" t="str">
        <x:v>Metals &amp; Mining</x:v>
      </x:c>
      <x:c r="E1102" s="13" t="str">
        <x:v>Metals &amp; Mining</x:v>
      </x:c>
      <x:c r="F1102" s="13" t="str">
        <x:v>Deep Cyclicals</x:v>
      </x:c>
      <x:c r="G1102" s="13" t="str">
        <x:v>grid_wekqfxnd.xlsx</x:v>
      </x:c>
    </x:row>
    <x:row r="1103">
      <x:c r="A1103" s="15" t="n">
        <x:v>40725</x:v>
      </x:c>
      <x:c r="B1103" s="13" t="str">
        <x:v>METALURGICA GERDAU SA-PREF</x:v>
      </x:c>
      <x:c r="C1103" s="16" t="n">
        <x:v>1041.1240430164</x:v>
      </x:c>
      <x:c r="D1103" s="13" t="str">
        <x:v>Metals &amp; Mining</x:v>
      </x:c>
      <x:c r="E1103" s="13" t="str">
        <x:v>Metals &amp; Mining</x:v>
      </x:c>
      <x:c r="F1103" s="13" t="str">
        <x:v>Deep Cyclicals</x:v>
      </x:c>
      <x:c r="G1103" s="13" t="str">
        <x:v>grid_wekqfxnd.xlsx</x:v>
      </x:c>
    </x:row>
    <x:row r="1104">
      <x:c r="A1104" s="15" t="n">
        <x:v>40725</x:v>
      </x:c>
      <x:c r="B1104" s="13" t="str">
        <x:v>MMX MINERACAO E METALICOS SA</x:v>
      </x:c>
      <x:c r="C1104" s="16" t="n">
        <x:v>301.6688707322</x:v>
      </x:c>
      <x:c r="D1104" s="13" t="str">
        <x:v>Metals &amp; Mining</x:v>
      </x:c>
      <x:c r="E1104" s="13" t="str">
        <x:v>Metals &amp; Mining</x:v>
      </x:c>
      <x:c r="F1104" s="13" t="str">
        <x:v>Deep Cyclicals</x:v>
      </x:c>
      <x:c r="G1104" s="13" t="str">
        <x:v>grid_wekqfxnd.xlsx</x:v>
      </x:c>
    </x:row>
    <x:row r="1105">
      <x:c r="A1105" s="15" t="n">
        <x:v>40725</x:v>
      </x:c>
      <x:c r="B1105" s="13" t="str">
        <x:v>USINAS SIDER MINAS GER-PF A</x:v>
      </x:c>
      <x:c r="C1105" s="16" t="n">
        <x:v>800.5359587322</x:v>
      </x:c>
      <x:c r="D1105" s="13" t="str">
        <x:v>Metals &amp; Mining</x:v>
      </x:c>
      <x:c r="E1105" s="13" t="str">
        <x:v>Metals &amp; Mining</x:v>
      </x:c>
      <x:c r="F1105" s="13" t="str">
        <x:v>Deep Cyclicals</x:v>
      </x:c>
      <x:c r="G1105" s="13" t="str">
        <x:v>grid_wekqfxnd.xlsx</x:v>
      </x:c>
    </x:row>
    <x:row r="1106">
      <x:c r="A1106" s="15" t="n">
        <x:v>40725</x:v>
      </x:c>
      <x:c r="B1106" s="13" t="str">
        <x:v>USINAS SIDERURGICAS DE MINAS</x:v>
      </x:c>
      <x:c r="C1106" s="16" t="n">
        <x:v>800.5359587322</x:v>
      </x:c>
      <x:c r="D1106" s="13" t="str">
        <x:v>Metals &amp; Mining</x:v>
      </x:c>
      <x:c r="E1106" s="13" t="str">
        <x:v>Metals &amp; Mining</x:v>
      </x:c>
      <x:c r="F1106" s="13" t="str">
        <x:v>Deep Cyclicals</x:v>
      </x:c>
      <x:c r="G1106" s="13" t="str">
        <x:v>grid_wekqfxnd.xlsx</x:v>
      </x:c>
    </x:row>
    <x:row r="1107">
      <x:c r="A1107" s="15" t="n">
        <x:v>40725</x:v>
      </x:c>
      <x:c r="B1107" s="13" t="str">
        <x:v>VALE SA</x:v>
      </x:c>
      <x:c r="C1107" s="16" t="n">
        <x:v>42776.980675847</x:v>
      </x:c>
      <x:c r="D1107" s="13" t="str">
        <x:v>Metals &amp; Mining</x:v>
      </x:c>
      <x:c r="E1107" s="13" t="str">
        <x:v>Metals &amp; Mining</x:v>
      </x:c>
      <x:c r="F1107" s="13" t="str">
        <x:v>Deep Cyclicals</x:v>
      </x:c>
      <x:c r="G1107" s="13" t="str">
        <x:v>grid_wekqfxnd.xlsx</x:v>
      </x:c>
    </x:row>
    <x:row r="1108">
      <x:c r="A1108" s="15" t="n">
        <x:v>40725</x:v>
      </x:c>
      <x:c r="B1108" s="13" t="str">
        <x:v>BRASKEM SA-PREF A</x:v>
      </x:c>
      <x:c r="C1108" s="16" t="n">
        <x:v>1238.676058929</x:v>
      </x:c>
      <x:c r="D1108" s="13" t="str">
        <x:v>Oil, Gas &amp; Petrochemicals</x:v>
      </x:c>
      <x:c r="E1108" s="13" t="str">
        <x:v>Oil, Gas &amp; Petrochemicals</x:v>
      </x:c>
      <x:c r="F1108" s="13" t="str">
        <x:v>Deep Cyclicals</x:v>
      </x:c>
      <x:c r="G1108" s="13" t="str">
        <x:v>grid_wekqfxnd.xlsx</x:v>
      </x:c>
    </x:row>
    <x:row r="1109">
      <x:c r="A1109" s="15" t="n">
        <x:v>40725</x:v>
      </x:c>
      <x:c r="B1109" s="13" t="str">
        <x:v>COSAN SA</x:v>
      </x:c>
      <x:c r="C1109" s="16" t="n">
        <x:v>564</x:v>
      </x:c>
      <x:c r="D1109" s="13" t="str">
        <x:v>Oil, Gas &amp; Petrochemicals</x:v>
      </x:c>
      <x:c r="E1109" s="13" t="str">
        <x:v>Oil, Gas &amp; Petrochemicals</x:v>
      </x:c>
      <x:c r="F1109" s="13" t="str">
        <x:v>Deep Cyclicals</x:v>
      </x:c>
      <x:c r="G1109" s="13" t="str">
        <x:v>grid_wekqfxnd.xlsx</x:v>
      </x:c>
    </x:row>
    <x:row r="1110">
      <x:c r="A1110" s="15" t="n">
        <x:v>40725</x:v>
      </x:c>
      <x:c r="B1110" s="13" t="str">
        <x:v>OLEO E GAS PARTICIPACOES SA</x:v>
      </x:c>
      <x:c r="C1110" s="16" t="n">
        <x:v>583.5786885246</x:v>
      </x:c>
      <x:c r="D1110" s="13" t="str">
        <x:v>Oil, Gas &amp; Petrochemicals</x:v>
      </x:c>
      <x:c r="E1110" s="13" t="str">
        <x:v>Oil, Gas &amp; Petrochemicals</x:v>
      </x:c>
      <x:c r="F1110" s="13" t="str">
        <x:v>Deep Cyclicals</x:v>
      </x:c>
      <x:c r="G1110" s="13" t="str">
        <x:v>grid_wekqfxnd.xlsx</x:v>
      </x:c>
    </x:row>
    <x:row r="1111">
      <x:c r="A1111" s="15" t="n">
        <x:v>40725</x:v>
      </x:c>
      <x:c r="B1111" s="13" t="str">
        <x:v>PETROBRAS - PETROLEO BRAS</x:v>
      </x:c>
      <x:c r="C1111" s="16" t="n">
        <x:v>38957.3051285683</x:v>
      </x:c>
      <x:c r="D1111" s="13" t="str">
        <x:v>Oil, Gas &amp; Petrochemicals</x:v>
      </x:c>
      <x:c r="E1111" s="13" t="str">
        <x:v>Oil, Gas &amp; Petrochemicals</x:v>
      </x:c>
      <x:c r="F1111" s="13" t="str">
        <x:v>Deep Cyclicals</x:v>
      </x:c>
      <x:c r="G1111" s="13" t="str">
        <x:v>grid_wekqfxnd.xlsx</x:v>
      </x:c>
    </x:row>
    <x:row r="1112">
      <x:c r="A1112" s="15" t="n">
        <x:v>40725</x:v>
      </x:c>
      <x:c r="B1112" s="13" t="str">
        <x:v>ULTRAPAR PARTICIPACOES-PREF</x:v>
      </x:c>
      <x:c r="C1112" s="16" t="n">
        <x:v>905.0840643497</x:v>
      </x:c>
      <x:c r="D1112" s="13" t="str">
        <x:v>Oil, Gas &amp; Petrochemicals</x:v>
      </x:c>
      <x:c r="E1112" s="13" t="str">
        <x:v>Oil, Gas &amp; Petrochemicals</x:v>
      </x:c>
      <x:c r="F1112" s="13" t="str">
        <x:v>Deep Cyclicals</x:v>
      </x:c>
      <x:c r="G1112" s="13" t="str">
        <x:v>grid_wekqfxnd.xlsx</x:v>
      </x:c>
    </x:row>
    <x:row r="1113">
      <x:c r="A1113" s="15" t="n">
        <x:v>40725</x:v>
      </x:c>
      <x:c r="B1113" s="13" t="str">
        <x:v>DEXCO SA</x:v>
      </x:c>
      <x:c r="C1113" s="16" t="n">
        <x:v>511.135742776</x:v>
      </x:c>
      <x:c r="D1113" s="13" t="str">
        <x:v>Pulp &amp; Paper</x:v>
      </x:c>
      <x:c r="E1113" s="13" t="str">
        <x:v>Pulp &amp; Paper</x:v>
      </x:c>
      <x:c r="F1113" s="13" t="str">
        <x:v>Deep Cyclicals</x:v>
      </x:c>
      <x:c r="G1113" s="13" t="str">
        <x:v>grid_wekqfxnd.xlsx</x:v>
      </x:c>
    </x:row>
    <x:row r="1114">
      <x:c r="A1114" s="15" t="n">
        <x:v>40725</x:v>
      </x:c>
      <x:c r="B1114" s="13" t="str">
        <x:v>FIBRIA CELULOSE S/A</x:v>
      </x:c>
      <x:c r="C1114" s="16" t="n">
        <x:v>358.035480306</x:v>
      </x:c>
      <x:c r="D1114" s="13" t="str">
        <x:v>Pulp &amp; Paper</x:v>
      </x:c>
      <x:c r="E1114" s="13" t="str">
        <x:v>Pulp &amp; Paper</x:v>
      </x:c>
      <x:c r="F1114" s="13" t="str">
        <x:v>Deep Cyclicals</x:v>
      </x:c>
      <x:c r="G1114" s="13" t="str">
        <x:v>grid_wekqfxnd.xlsx</x:v>
      </x:c>
    </x:row>
    <x:row r="1115">
      <x:c r="A1115" s="15" t="n">
        <x:v>40725</x:v>
      </x:c>
      <x:c r="B1115" s="13" t="str">
        <x:v>AMERICANAS SA</x:v>
      </x:c>
      <x:c r="C1115" s="16" t="n">
        <x:v>102.7269340984</x:v>
      </x:c>
      <x:c r="D1115" s="13" t="str">
        <x:v>Retail</x:v>
      </x:c>
      <x:c r="E1115" s="13" t="str">
        <x:v>Retail</x:v>
      </x:c>
      <x:c r="F1115" s="13" t="str">
        <x:v>Early Cyclicals</x:v>
      </x:c>
      <x:c r="G1115" s="13" t="str">
        <x:v>grid_wekqfxnd.xlsx</x:v>
      </x:c>
    </x:row>
    <x:row r="1116">
      <x:c r="A1116" s="15" t="n">
        <x:v>40725</x:v>
      </x:c>
      <x:c r="B1116" s="13" t="str">
        <x:v>CIA BRASILEIRA DE DIS-PREF</x:v>
      </x:c>
      <x:c r="C1116" s="16" t="n">
        <x:v>927.674895388</x:v>
      </x:c>
      <x:c r="D1116" s="13" t="str">
        <x:v>Retail</x:v>
      </x:c>
      <x:c r="E1116" s="13" t="str">
        <x:v>Retail</x:v>
      </x:c>
      <x:c r="F1116" s="13" t="str">
        <x:v>Early Cyclicals</x:v>
      </x:c>
      <x:c r="G1116" s="13" t="str">
        <x:v>grid_wekqfxnd.xlsx</x:v>
      </x:c>
    </x:row>
    <x:row r="1117">
      <x:c r="A1117" s="15" t="n">
        <x:v>40725</x:v>
      </x:c>
      <x:c r="B1117" s="13" t="str">
        <x:v>LOJAS AMERICANAS SA-PREF</x:v>
      </x:c>
      <x:c r="C1117" s="16" t="n">
        <x:v>452.830868459</x:v>
      </x:c>
      <x:c r="D1117" s="13" t="str">
        <x:v>Retail</x:v>
      </x:c>
      <x:c r="E1117" s="13" t="str">
        <x:v>Retail</x:v>
      </x:c>
      <x:c r="F1117" s="13" t="str">
        <x:v>Early Cyclicals</x:v>
      </x:c>
      <x:c r="G1117" s="13" t="str">
        <x:v>grid_wekqfxnd.xlsx</x:v>
      </x:c>
    </x:row>
    <x:row r="1118">
      <x:c r="A1118" s="15" t="n">
        <x:v>40725</x:v>
      </x:c>
      <x:c r="B1118" s="13" t="str">
        <x:v>LOJAS RENNER S.A.</x:v>
      </x:c>
      <x:c r="C1118" s="16" t="n">
        <x:v>400.8553140109</x:v>
      </x:c>
      <x:c r="D1118" s="13" t="str">
        <x:v>Retail</x:v>
      </x:c>
      <x:c r="E1118" s="13" t="str">
        <x:v>Retail</x:v>
      </x:c>
      <x:c r="F1118" s="13" t="str">
        <x:v>Early Cyclicals</x:v>
      </x:c>
      <x:c r="G1118" s="13" t="str">
        <x:v>grid_wekqfxnd.xlsx</x:v>
      </x:c>
    </x:row>
    <x:row r="1119">
      <x:c r="A1119" s="15" t="n">
        <x:v>40725</x:v>
      </x:c>
      <x:c r="B1119" s="13" t="str">
        <x:v>NATURA COSMETICOS SA</x:v>
      </x:c>
      <x:c r="C1119" s="16" t="n">
        <x:v>878.7457811585</x:v>
      </x:c>
      <x:c r="D1119" s="13" t="str">
        <x:v>Retail</x:v>
      </x:c>
      <x:c r="E1119" s="13" t="str">
        <x:v>Retail</x:v>
      </x:c>
      <x:c r="F1119" s="13" t="str">
        <x:v>Early Cyclicals</x:v>
      </x:c>
      <x:c r="G1119" s="13" t="str">
        <x:v>grid_wekqfxnd.xlsx</x:v>
      </x:c>
    </x:row>
    <x:row r="1120">
      <x:c r="A1120" s="15" t="n">
        <x:v>40725</x:v>
      </x:c>
      <x:c r="B1120" s="13" t="str">
        <x:v>CIA SANEAMENTO BASICO DE SP</x:v>
      </x:c>
      <x:c r="C1120" s="16" t="n">
        <x:v>1373.2225070164</x:v>
      </x:c>
      <x:c r="D1120" s="13" t="str">
        <x:v>Sanitation</x:v>
      </x:c>
      <x:c r="E1120" s="13" t="str">
        <x:v>Utilities</x:v>
      </x:c>
      <x:c r="F1120" s="13" t="str">
        <x:v>Defensives</x:v>
      </x:c>
      <x:c r="G1120" s="13" t="str">
        <x:v>grid_wekqfxnd.xlsx</x:v>
      </x:c>
    </x:row>
    <x:row r="1121">
      <x:c r="A1121" s="15" t="n">
        <x:v>40725</x:v>
      </x:c>
      <x:c r="B1121" s="13" t="str">
        <x:v>OI SA-PREFERENCE</x:v>
      </x:c>
      <x:c r="C1121" s="16" t="n">
        <x:v>1291.0232424918</x:v>
      </x:c>
      <x:c r="D1121" s="13" t="str">
        <x:v>TMT</x:v>
      </x:c>
      <x:c r="E1121" s="13" t="str">
        <x:v>TMT</x:v>
      </x:c>
      <x:c r="F1121" s="13" t="str">
        <x:v>Early Cyclicals</x:v>
      </x:c>
      <x:c r="G1121" s="13" t="str">
        <x:v>grid_wekqfxnd.xlsx</x:v>
      </x:c>
    </x:row>
    <x:row r="1122">
      <x:c r="A1122" s="15" t="n">
        <x:v>40725</x:v>
      </x:c>
      <x:c r="B1122" s="13" t="str">
        <x:v>TELE NORTE LESTE PART</x:v>
      </x:c>
      <x:c r="C1122" s="16" t="n">
        <x:v>993.3922794317</x:v>
      </x:c>
      <x:c r="D1122" s="13" t="str">
        <x:v>TMT</x:v>
      </x:c>
      <x:c r="E1122" s="13" t="str">
        <x:v>TMT</x:v>
      </x:c>
      <x:c r="F1122" s="13" t="str">
        <x:v>Early Cyclicals</x:v>
      </x:c>
      <x:c r="G1122" s="13" t="str">
        <x:v>grid_wekqfxnd.xlsx</x:v>
      </x:c>
    </x:row>
    <x:row r="1123">
      <x:c r="A1123" s="15" t="n">
        <x:v>40725</x:v>
      </x:c>
      <x:c r="B1123" s="13" t="str">
        <x:v>TELEFONICA BRASIL S.A.-PREF</x:v>
      </x:c>
      <x:c r="C1123" s="16" t="n">
        <x:v>4908.6994955191</x:v>
      </x:c>
      <x:c r="D1123" s="13" t="str">
        <x:v>TMT</x:v>
      </x:c>
      <x:c r="E1123" s="13" t="str">
        <x:v>TMT</x:v>
      </x:c>
      <x:c r="F1123" s="13" t="str">
        <x:v>Early Cyclicals</x:v>
      </x:c>
      <x:c r="G1123" s="13" t="str">
        <x:v>grid_wekqfxnd.xlsx</x:v>
      </x:c>
    </x:row>
    <x:row r="1124">
      <x:c r="A1124" s="15" t="n">
        <x:v>40725</x:v>
      </x:c>
      <x:c r="B1124" s="13" t="str">
        <x:v>TELEMAR NORTE LESTE SA</x:v>
      </x:c>
      <x:c r="C1124" s="16" t="n">
        <x:v>1585.5651731585</x:v>
      </x:c>
      <x:c r="D1124" s="13" t="str">
        <x:v>TMT</x:v>
      </x:c>
      <x:c r="E1124" s="13" t="str">
        <x:v>TMT</x:v>
      </x:c>
      <x:c r="F1124" s="13" t="str">
        <x:v>Early Cyclicals</x:v>
      </x:c>
      <x:c r="G1124" s="13" t="str">
        <x:v>grid_wekqfxnd.xlsx</x:v>
      </x:c>
    </x:row>
    <x:row r="1125">
      <x:c r="A1125" s="15" t="n">
        <x:v>40725</x:v>
      </x:c>
      <x:c r="B1125" s="13" t="str">
        <x:v>TIM PARTICIPACOES SA-PREF</x:v>
      </x:c>
      <x:c r="C1125" s="16" t="n">
        <x:v>1311.4593787104</x:v>
      </x:c>
      <x:c r="D1125" s="13" t="str">
        <x:v>TMT</x:v>
      </x:c>
      <x:c r="E1125" s="13" t="str">
        <x:v>TMT</x:v>
      </x:c>
      <x:c r="F1125" s="13" t="str">
        <x:v>Early Cyclicals</x:v>
      </x:c>
      <x:c r="G1125" s="13" t="str">
        <x:v>grid_wekqfxnd.xlsx</x:v>
      </x:c>
    </x:row>
    <x:row r="1126">
      <x:c r="A1126" s="15" t="n">
        <x:v>40725</x:v>
      </x:c>
      <x:c r="B1126" s="13" t="str">
        <x:v>TIM SA</x:v>
      </x:c>
      <x:c r="C1126" s="16" t="n">
        <x:v>1311.4593787104</x:v>
      </x:c>
      <x:c r="D1126" s="13" t="str">
        <x:v>TMT</x:v>
      </x:c>
      <x:c r="E1126" s="13" t="str">
        <x:v>TMT</x:v>
      </x:c>
      <x:c r="F1126" s="13" t="str">
        <x:v>Early Cyclicals</x:v>
      </x:c>
      <x:c r="G1126" s="13" t="str">
        <x:v>grid_wekqfxnd.xlsx</x:v>
      </x:c>
    </x:row>
    <x:row r="1127">
      <x:c r="A1127" s="15" t="n">
        <x:v>40725</x:v>
      </x:c>
      <x:c r="B1127" s="13" t="str">
        <x:v>GOL LINHAS AEREAS INT SA-PRE</x:v>
      </x:c>
      <x:c r="C1127" s="16" t="n">
        <x:v>218.0967942295</x:v>
      </x:c>
      <x:c r="D1127" s="13" t="str">
        <x:v>Transportation</x:v>
      </x:c>
      <x:c r="E1127" s="13" t="str">
        <x:v>Transportation</x:v>
      </x:c>
      <x:c r="F1127" s="13" t="str">
        <x:v>Deep Cyclicals</x:v>
      </x:c>
      <x:c r="G1127" s="13" t="str">
        <x:v>grid_wekqfxnd.xlsx</x:v>
      </x:c>
    </x:row>
    <x:row r="1128">
      <x:c r="A1128" s="15" t="n">
        <x:v>40725</x:v>
      </x:c>
      <x:c r="B1128" s="13" t="str">
        <x:v>MOTIVA INFRAESTRUTURA DE MOB</x:v>
      </x:c>
      <x:c r="C1128" s="16" t="n">
        <x:v>1137.5573770492</x:v>
      </x:c>
      <x:c r="D1128" s="13" t="str">
        <x:v>Transportation</x:v>
      </x:c>
      <x:c r="E1128" s="13" t="str">
        <x:v>Transportation</x:v>
      </x:c>
      <x:c r="F1128" s="13" t="str">
        <x:v>Deep Cyclicals</x:v>
      </x:c>
      <x:c r="G1128" s="13" t="str">
        <x:v>grid_wekqfxnd.xlsx</x:v>
      </x:c>
    </x:row>
    <x:row r="1129">
      <x:c r="A1129" s="15" t="n">
        <x:v>40725</x:v>
      </x:c>
      <x:c r="B1129" s="13" t="str">
        <x:v>PRUMO LOGISTICA SA</x:v>
      </x:c>
      <x:c r="C1129" s="16" t="n">
        <x:v>-66.8291803279</x:v>
      </x:c>
      <x:c r="D1129" s="13" t="str">
        <x:v>Transportation</x:v>
      </x:c>
      <x:c r="E1129" s="13" t="str">
        <x:v>Transportation</x:v>
      </x:c>
      <x:c r="F1129" s="13" t="str">
        <x:v>Deep Cyclicals</x:v>
      </x:c>
      <x:c r="G1129" s="13" t="str">
        <x:v>grid_wekqfxnd.xlsx</x:v>
      </x:c>
    </x:row>
    <x:row r="1130">
      <x:c r="A1130" s="15" t="n">
        <x:v>40725</x:v>
      </x:c>
      <x:c r="B1130" s="13" t="str">
        <x:v>RUMO SA</x:v>
      </x:c>
      <x:c r="C1130" s="16" t="n">
        <x:v>292.681692765</x:v>
      </x:c>
      <x:c r="D1130" s="13" t="str">
        <x:v>Transportation</x:v>
      </x:c>
      <x:c r="E1130" s="13" t="str">
        <x:v>Transportation</x:v>
      </x:c>
      <x:c r="F1130" s="13" t="str">
        <x:v>Deep Cyclicals</x:v>
      </x:c>
      <x:c r="G1130" s="13" t="str">
        <x:v>grid_wekqfxnd.xlsx</x:v>
      </x:c>
    </x:row>
    <x:row r="1131">
      <x:c r="A1131" s="15" t="n">
        <x:v>40725</x:v>
      </x:c>
      <x:c r="B1131" s="13" t="str">
        <x:v>TAM SA-PREF</x:v>
      </x:c>
      <x:c r="C1131" s="16" t="n">
        <x:v>251.1370935519</x:v>
      </x:c>
      <x:c r="D1131" s="13" t="str">
        <x:v>Transportation</x:v>
      </x:c>
      <x:c r="E1131" s="13" t="str">
        <x:v>Transportation</x:v>
      </x:c>
      <x:c r="F1131" s="13" t="str">
        <x:v>Deep Cyclicals</x:v>
      </x:c>
      <x:c r="G1131" s="13" t="str">
        <x:v>grid_wekqfxnd.xlsx</x:v>
      </x:c>
    </x:row>
    <x:row r="1132">
      <x:c r="A1132" s="15" t="n">
        <x:v>40725</x:v>
      </x:c>
      <x:c r="B1132" s="13" t="str">
        <x:v>AXIA ENERGIA SA</x:v>
      </x:c>
      <x:c r="C1132" s="16" t="n">
        <x:v>3808.7463561093</x:v>
      </x:c>
      <x:c r="D1132" s="13" t="str">
        <x:v>Utilities &amp; Energy</x:v>
      </x:c>
      <x:c r="E1132" s="13" t="str">
        <x:v>Utilities</x:v>
      </x:c>
      <x:c r="F1132" s="13" t="str">
        <x:v>Defensives</x:v>
      </x:c>
      <x:c r="G1132" s="13" t="str">
        <x:v>grid_wekqfxnd.xlsx</x:v>
      </x:c>
    </x:row>
    <x:row r="1133">
      <x:c r="A1133" s="15" t="n">
        <x:v>40725</x:v>
      </x:c>
      <x:c r="B1133" s="13" t="str">
        <x:v>AXIA ENERGIA-PR B</x:v>
      </x:c>
      <x:c r="C1133" s="16" t="n">
        <x:v>3808.7463561093</x:v>
      </x:c>
      <x:c r="D1133" s="13" t="str">
        <x:v>Utilities &amp; Energy</x:v>
      </x:c>
      <x:c r="E1133" s="13" t="str">
        <x:v>Utilities</x:v>
      </x:c>
      <x:c r="F1133" s="13" t="str">
        <x:v>Defensives</x:v>
      </x:c>
      <x:c r="G1133" s="13" t="str">
        <x:v>grid_wekqfxnd.xlsx</x:v>
      </x:c>
    </x:row>
    <x:row r="1134">
      <x:c r="A1134" s="15" t="n">
        <x:v>40725</x:v>
      </x:c>
      <x:c r="B1134" s="13" t="str">
        <x:v>CESP - CIA ENERGETICA DE SAO</x:v>
      </x:c>
      <x:c r="C1134" s="16" t="n">
        <x:v>603.349021377</x:v>
      </x:c>
      <x:c r="D1134" s="13" t="str">
        <x:v>Utilities &amp; Energy</x:v>
      </x:c>
      <x:c r="E1134" s="13" t="str">
        <x:v>Utilities</x:v>
      </x:c>
      <x:c r="F1134" s="13" t="str">
        <x:v>Defensives</x:v>
      </x:c>
      <x:c r="G1134" s="13" t="str">
        <x:v>grid_wekqfxnd.xlsx</x:v>
      </x:c>
    </x:row>
    <x:row r="1135">
      <x:c r="A1135" s="15" t="n">
        <x:v>40725</x:v>
      </x:c>
      <x:c r="B1135" s="13" t="str">
        <x:v>CIA ENERGETICA MINAS GER-PRF</x:v>
      </x:c>
      <x:c r="C1135" s="16" t="n">
        <x:v>2249.5706449836</x:v>
      </x:c>
      <x:c r="D1135" s="13" t="str">
        <x:v>Utilities &amp; Energy</x:v>
      </x:c>
      <x:c r="E1135" s="13" t="str">
        <x:v>Utilities</x:v>
      </x:c>
      <x:c r="F1135" s="13" t="str">
        <x:v>Defensives</x:v>
      </x:c>
      <x:c r="G1135" s="13" t="str">
        <x:v>grid_wekqfxnd.xlsx</x:v>
      </x:c>
    </x:row>
    <x:row r="1136">
      <x:c r="A1136" s="15" t="n">
        <x:v>40725</x:v>
      </x:c>
      <x:c r="B1136" s="13" t="str">
        <x:v>COMPANHIA PARANAENSE -PREF B</x:v>
      </x:c>
      <x:c r="C1136" s="16" t="n">
        <x:v>1355.3133740765</x:v>
      </x:c>
      <x:c r="D1136" s="13" t="str">
        <x:v>Utilities &amp; Energy</x:v>
      </x:c>
      <x:c r="E1136" s="13" t="str">
        <x:v>Utilities</x:v>
      </x:c>
      <x:c r="F1136" s="13" t="str">
        <x:v>Defensives</x:v>
      </x:c>
      <x:c r="G1136" s="13" t="str">
        <x:v>grid_wekqfxnd.xlsx</x:v>
      </x:c>
    </x:row>
    <x:row r="1137">
      <x:c r="A1137" s="15" t="n">
        <x:v>40725</x:v>
      </x:c>
      <x:c r="B1137" s="13" t="str">
        <x:v>CPFL ENERGIA SA</x:v>
      </x:c>
      <x:c r="C1137" s="16" t="n">
        <x:v>1644.7870237377</x:v>
      </x:c>
      <x:c r="D1137" s="13" t="str">
        <x:v>Utilities &amp; Energy</x:v>
      </x:c>
      <x:c r="E1137" s="13" t="str">
        <x:v>Utilities</x:v>
      </x:c>
      <x:c r="F1137" s="13" t="str">
        <x:v>Defensives</x:v>
      </x:c>
      <x:c r="G1137" s="13" t="str">
        <x:v>grid_wekqfxnd.xlsx</x:v>
      </x:c>
    </x:row>
    <x:row r="1138">
      <x:c r="A1138" s="15" t="n">
        <x:v>40725</x:v>
      </x:c>
      <x:c r="B1138" s="13" t="str">
        <x:v>ELETROPAULO METROPOLI-PREF</x:v>
      </x:c>
      <x:c r="C1138" s="16" t="n">
        <x:v>584.6054742732</x:v>
      </x:c>
      <x:c r="D1138" s="13" t="str">
        <x:v>Utilities &amp; Energy</x:v>
      </x:c>
      <x:c r="E1138" s="13" t="str">
        <x:v>Utilities</x:v>
      </x:c>
      <x:c r="F1138" s="13" t="str">
        <x:v>Defensives</x:v>
      </x:c>
      <x:c r="G1138" s="13" t="str">
        <x:v>grid_wekqfxnd.xlsx</x:v>
      </x:c>
    </x:row>
    <x:row r="1139">
      <x:c r="A1139" s="15" t="n">
        <x:v>40725</x:v>
      </x:c>
      <x:c r="B1139" s="13" t="str">
        <x:v>ISA ENERGIA BRASIL SA</x:v>
      </x:c>
      <x:c r="C1139" s="16" t="n">
        <x:v>827.9709665574</x:v>
      </x:c>
      <x:c r="D1139" s="13" t="str">
        <x:v>Utilities &amp; Energy</x:v>
      </x:c>
      <x:c r="E1139" s="13" t="str">
        <x:v>Utilities</x:v>
      </x:c>
      <x:c r="F1139" s="13" t="str">
        <x:v>Defensives</x:v>
      </x:c>
      <x:c r="G1139" s="13" t="str">
        <x:v>grid_wekqfxnd.xlsx</x:v>
      </x:c>
    </x:row>
    <x:row r="1140">
      <x:c r="A1140" s="15" t="n">
        <x:v>40725</x:v>
      </x:c>
      <x:c r="B1140" s="13" t="str">
        <x:v>LIGHT SA</x:v>
      </x:c>
      <x:c r="C1140" s="16" t="n">
        <x:v>623.7549691803</x:v>
      </x:c>
      <x:c r="D1140" s="13" t="str">
        <x:v>Utilities &amp; Energy</x:v>
      </x:c>
      <x:c r="E1140" s="13" t="str">
        <x:v>Utilities</x:v>
      </x:c>
      <x:c r="F1140" s="13" t="str">
        <x:v>Defensives</x:v>
      </x:c>
      <x:c r="G1140" s="13" t="str">
        <x:v>grid_wekqfxnd.xlsx</x:v>
      </x:c>
    </x:row>
    <x:row r="1141">
      <x:c r="A1141" s="15" t="n">
        <x:v>40756</x:v>
      </x:c>
      <x:c r="B1141" s="13" t="str">
        <x:v>BANCO BRADESCO SA-PREF</x:v>
      </x:c>
      <x:c r="C1141" s="16" t="n">
        <x:v>12334.600192</x:v>
      </x:c>
      <x:c r="D1141" s="13" t="str">
        <x:v>Banks</x:v>
      </x:c>
      <x:c r="E1141" s="13" t="str">
        <x:v>Banks</x:v>
      </x:c>
      <x:c r="F1141" s="13" t="str">
        <x:v>Financials</x:v>
      </x:c>
      <x:c r="G1141" s="13" t="str">
        <x:v>grid_wekqfxnd.xlsx</x:v>
      </x:c>
    </x:row>
    <x:row r="1142">
      <x:c r="A1142" s="15" t="n">
        <x:v>40756</x:v>
      </x:c>
      <x:c r="B1142" s="13" t="str">
        <x:v>BANCO DO BRASIL S.A.</x:v>
      </x:c>
      <x:c r="C1142" s="16" t="n">
        <x:v>12551.9998293333</x:v>
      </x:c>
      <x:c r="D1142" s="13" t="str">
        <x:v>Banks</x:v>
      </x:c>
      <x:c r="E1142" s="13" t="str">
        <x:v>Banks</x:v>
      </x:c>
      <x:c r="F1142" s="13" t="str">
        <x:v>Financials</x:v>
      </x:c>
      <x:c r="G1142" s="13" t="str">
        <x:v>grid_wekqfxnd.xlsx</x:v>
      </x:c>
    </x:row>
    <x:row r="1143">
      <x:c r="A1143" s="15" t="n">
        <x:v>40756</x:v>
      </x:c>
      <x:c r="B1143" s="13" t="str">
        <x:v>BANCO SANTANDER  BRASIL-UNIT</x:v>
      </x:c>
      <x:c r="C1143" s="16" t="n">
        <x:v>7386.976768</x:v>
      </x:c>
      <x:c r="D1143" s="13" t="str">
        <x:v>Banks</x:v>
      </x:c>
      <x:c r="E1143" s="13" t="str">
        <x:v>Banks</x:v>
      </x:c>
      <x:c r="F1143" s="13" t="str">
        <x:v>Financials</x:v>
      </x:c>
      <x:c r="G1143" s="13" t="str">
        <x:v>grid_wekqfxnd.xlsx</x:v>
      </x:c>
    </x:row>
    <x:row r="1144">
      <x:c r="A1144" s="15" t="n">
        <x:v>40756</x:v>
      </x:c>
      <x:c r="B1144" s="13" t="str">
        <x:v>ITAU UNIBANCO HOLDING S-PREF</x:v>
      </x:c>
      <x:c r="C1144" s="16" t="n">
        <x:v>15922.3330133333</x:v>
      </x:c>
      <x:c r="D1144" s="13" t="str">
        <x:v>Banks</x:v>
      </x:c>
      <x:c r="E1144" s="13" t="str">
        <x:v>Banks</x:v>
      </x:c>
      <x:c r="F1144" s="13" t="str">
        <x:v>Financials</x:v>
      </x:c>
      <x:c r="G1144" s="13" t="str">
        <x:v>grid_wekqfxnd.xlsx</x:v>
      </x:c>
    </x:row>
    <x:row r="1145">
      <x:c r="A1145" s="15" t="n">
        <x:v>40756</x:v>
      </x:c>
      <x:c r="B1145" s="13" t="str">
        <x:v>EMBRAER SA</x:v>
      </x:c>
      <x:c r="C1145" s="16" t="n">
        <x:v>679.2303573333</x:v>
      </x:c>
      <x:c r="D1145" s="13" t="str">
        <x:v>Capital Goods</x:v>
      </x:c>
      <x:c r="E1145" s="13" t="str">
        <x:v>Capital Goods</x:v>
      </x:c>
      <x:c r="F1145" s="13" t="str">
        <x:v>Deep Cyclicals</x:v>
      </x:c>
      <x:c r="G1145" s="13" t="str">
        <x:v>grid_wekqfxnd.xlsx</x:v>
      </x:c>
    </x:row>
    <x:row r="1146">
      <x:c r="A1146" s="15" t="n">
        <x:v>40756</x:v>
      </x:c>
      <x:c r="B1146" s="13" t="str">
        <x:v>B3 SA-BRASIL BOLSA BALCAO</x:v>
      </x:c>
      <x:c r="C1146" s="16" t="n">
        <x:v>1440.5399893333</x:v>
      </x:c>
      <x:c r="D1146" s="13" t="str">
        <x:v>Financials Non-Banks</x:v>
      </x:c>
      <x:c r="E1146" s="13" t="str">
        <x:v>Financials Non-Banks</x:v>
      </x:c>
      <x:c r="F1146" s="13" t="str">
        <x:v>Financials</x:v>
      </x:c>
      <x:c r="G1146" s="13" t="str">
        <x:v>grid_wekqfxnd.xlsx</x:v>
      </x:c>
    </x:row>
    <x:row r="1147">
      <x:c r="A1147" s="15" t="n">
        <x:v>40756</x:v>
      </x:c>
      <x:c r="B1147" s="13" t="str">
        <x:v>CIELO SA - INSTITUICAO DE PA</x:v>
      </x:c>
      <x:c r="C1147" s="16" t="n">
        <x:v>1759.176704</x:v>
      </x:c>
      <x:c r="D1147" s="13" t="str">
        <x:v>Financials Non-Banks</x:v>
      </x:c>
      <x:c r="E1147" s="13" t="str">
        <x:v>Financials Non-Banks</x:v>
      </x:c>
      <x:c r="F1147" s="13" t="str">
        <x:v>Financials</x:v>
      </x:c>
      <x:c r="G1147" s="13" t="str">
        <x:v>grid_wekqfxnd.xlsx</x:v>
      </x:c>
    </x:row>
    <x:row r="1148">
      <x:c r="A1148" s="15" t="n">
        <x:v>40756</x:v>
      </x:c>
      <x:c r="B1148" s="13" t="str">
        <x:v>ITAUSA SA</x:v>
      </x:c>
      <x:c r="C1148" s="16" t="n">
        <x:v>5687.666688</x:v>
      </x:c>
      <x:c r="D1148" s="13" t="str">
        <x:v>Financials Non-Banks</x:v>
      </x:c>
      <x:c r="E1148" s="13" t="str">
        <x:v>Financials Non-Banks</x:v>
      </x:c>
      <x:c r="F1148" s="13" t="str">
        <x:v>Financials</x:v>
      </x:c>
      <x:c r="G1148" s="13" t="str">
        <x:v>grid_wekqfxnd.xlsx</x:v>
      </x:c>
    </x:row>
    <x:row r="1149">
      <x:c r="A1149" s="15" t="n">
        <x:v>40756</x:v>
      </x:c>
      <x:c r="B1149" s="13" t="str">
        <x:v>REDECARD INSTITUICAO DE PAGA</x:v>
      </x:c>
      <x:c r="C1149" s="16" t="n">
        <x:v>1336.8566613333</x:v>
      </x:c>
      <x:c r="D1149" s="13" t="str">
        <x:v>Financials Non-Banks</x:v>
      </x:c>
      <x:c r="E1149" s="13" t="str">
        <x:v>Financials Non-Banks</x:v>
      </x:c>
      <x:c r="F1149" s="13" t="str">
        <x:v>Financials</x:v>
      </x:c>
      <x:c r="G1149" s="13" t="str">
        <x:v>grid_wekqfxnd.xlsx</x:v>
      </x:c>
    </x:row>
    <x:row r="1150">
      <x:c r="A1150" s="15" t="n">
        <x:v>40756</x:v>
      </x:c>
      <x:c r="B1150" s="13" t="str">
        <x:v>AMBEV SA</x:v>
      </x:c>
      <x:c r="C1150" s="16" t="n">
        <x:v>9076.907008</x:v>
      </x:c>
      <x:c r="D1150" s="13" t="str">
        <x:v>Food &amp; Beverages</x:v>
      </x:c>
      <x:c r="E1150" s="13" t="str">
        <x:v>Agri, Food &amp; Beverages</x:v>
      </x:c>
      <x:c r="F1150" s="13" t="str">
        <x:v>Defensives</x:v>
      </x:c>
      <x:c r="G1150" s="13" t="str">
        <x:v>grid_wekqfxnd.xlsx</x:v>
      </x:c>
    </x:row>
    <x:row r="1151">
      <x:c r="A1151" s="15" t="n">
        <x:v>40756</x:v>
      </x:c>
      <x:c r="B1151" s="13" t="str">
        <x:v>BRF SA</x:v>
      </x:c>
      <x:c r="C1151" s="16" t="n">
        <x:v>1734.883328</x:v>
      </x:c>
      <x:c r="D1151" s="13" t="str">
        <x:v>Food &amp; Beverages</x:v>
      </x:c>
      <x:c r="E1151" s="13" t="str">
        <x:v>Agri, Food &amp; Beverages</x:v>
      </x:c>
      <x:c r="F1151" s="13" t="str">
        <x:v>Defensives</x:v>
      </x:c>
      <x:c r="G1151" s="13" t="str">
        <x:v>grid_wekqfxnd.xlsx</x:v>
      </x:c>
    </x:row>
    <x:row r="1152">
      <x:c r="A1152" s="15" t="n">
        <x:v>40756</x:v>
      </x:c>
      <x:c r="B1152" s="13" t="str">
        <x:v>JBS SA</x:v>
      </x:c>
      <x:c r="C1152" s="16" t="n">
        <x:v>1643.3333333333</x:v>
      </x:c>
      <x:c r="D1152" s="13" t="str">
        <x:v>Food &amp; Beverages</x:v>
      </x:c>
      <x:c r="E1152" s="13" t="str">
        <x:v>Agri, Food &amp; Beverages</x:v>
      </x:c>
      <x:c r="F1152" s="13" t="str">
        <x:v>Defensives</x:v>
      </x:c>
      <x:c r="G1152" s="13" t="str">
        <x:v>grid_wekqfxnd.xlsx</x:v>
      </x:c>
    </x:row>
    <x:row r="1153">
      <x:c r="A1153" s="15" t="n">
        <x:v>40756</x:v>
      </x:c>
      <x:c r="B1153" s="13" t="str">
        <x:v>MBRF GLOBAL FOODS COMPANY SA</x:v>
      </x:c>
      <x:c r="C1153" s="16" t="n">
        <x:v>60.3470666667</x:v>
      </x:c>
      <x:c r="D1153" s="13" t="str">
        <x:v>Food &amp; Beverages</x:v>
      </x:c>
      <x:c r="E1153" s="13" t="str">
        <x:v>Agri, Food &amp; Beverages</x:v>
      </x:c>
      <x:c r="F1153" s="13" t="str">
        <x:v>Defensives</x:v>
      </x:c>
      <x:c r="G1153" s="13" t="str">
        <x:v>grid_wekqfxnd.xlsx</x:v>
      </x:c>
    </x:row>
    <x:row r="1154">
      <x:c r="A1154" s="15" t="n">
        <x:v>40756</x:v>
      </x:c>
      <x:c r="B1154" s="13" t="str">
        <x:v>SOUZA CRUZ LTDA</x:v>
      </x:c>
      <x:c r="C1154" s="16" t="n">
        <x:v>1683.196672</x:v>
      </x:c>
      <x:c r="D1154" s="13" t="str">
        <x:v>Food &amp; Beverages</x:v>
      </x:c>
      <x:c r="E1154" s="13" t="str">
        <x:v>Agri, Food &amp; Beverages</x:v>
      </x:c>
      <x:c r="F1154" s="13" t="str">
        <x:v>Defensives</x:v>
      </x:c>
      <x:c r="G1154" s="13" t="str">
        <x:v>grid_wekqfxnd.xlsx</x:v>
      </x:c>
    </x:row>
    <x:row r="1155">
      <x:c r="A1155" s="15" t="n">
        <x:v>40756</x:v>
      </x:c>
      <x:c r="B1155" s="13" t="str">
        <x:v>HYPERA SA</x:v>
      </x:c>
      <x:c r="C1155" s="16" t="n">
        <x:v>438.4706773333</x:v>
      </x:c>
      <x:c r="D1155" s="13" t="str">
        <x:v>Health Care</x:v>
      </x:c>
      <x:c r="E1155" s="13" t="str">
        <x:v>Health Care</x:v>
      </x:c>
      <x:c r="F1155" s="13" t="str">
        <x:v>Defensives</x:v>
      </x:c>
      <x:c r="G1155" s="13" t="str">
        <x:v>grid_wekqfxnd.xlsx</x:v>
      </x:c>
    </x:row>
    <x:row r="1156">
      <x:c r="A1156" s="15" t="n">
        <x:v>40756</x:v>
      </x:c>
      <x:c r="B1156" s="13" t="str">
        <x:v>CYRELA BRAZIL REALTY SA EMP</x:v>
      </x:c>
      <x:c r="C1156" s="16" t="n">
        <x:v>811.5109973333</x:v>
      </x:c>
      <x:c r="D1156" s="13" t="str">
        <x:v>Homebuilders</x:v>
      </x:c>
      <x:c r="E1156" s="13" t="str">
        <x:v>Real Estate</x:v>
      </x:c>
      <x:c r="F1156" s="13" t="str">
        <x:v>Early Cyclicals</x:v>
      </x:c>
      <x:c r="G1156" s="13" t="str">
        <x:v>grid_wekqfxnd.xlsx</x:v>
      </x:c>
    </x:row>
    <x:row r="1157">
      <x:c r="A1157" s="15" t="n">
        <x:v>40756</x:v>
      </x:c>
      <x:c r="B1157" s="13" t="str">
        <x:v>GAFISA SA</x:v>
      </x:c>
      <x:c r="C1157" s="16" t="n">
        <x:v>537.2379946667</x:v>
      </x:c>
      <x:c r="D1157" s="13" t="str">
        <x:v>Homebuilders</x:v>
      </x:c>
      <x:c r="E1157" s="13" t="str">
        <x:v>Real Estate</x:v>
      </x:c>
      <x:c r="F1157" s="13" t="str">
        <x:v>Early Cyclicals</x:v>
      </x:c>
      <x:c r="G1157" s="13" t="str">
        <x:v>grid_wekqfxnd.xlsx</x:v>
      </x:c>
    </x:row>
    <x:row r="1158">
      <x:c r="A1158" s="15" t="n">
        <x:v>40756</x:v>
      </x:c>
      <x:c r="B1158" s="13" t="str">
        <x:v>MRV ENGENHARIA</x:v>
      </x:c>
      <x:c r="C1158" s="16" t="n">
        <x:v>887.404992</x:v>
      </x:c>
      <x:c r="D1158" s="13" t="str">
        <x:v>Homebuilders</x:v>
      </x:c>
      <x:c r="E1158" s="13" t="str">
        <x:v>Real Estate</x:v>
      </x:c>
      <x:c r="F1158" s="13" t="str">
        <x:v>Early Cyclicals</x:v>
      </x:c>
      <x:c r="G1158" s="13" t="str">
        <x:v>grid_wekqfxnd.xlsx</x:v>
      </x:c>
    </x:row>
    <x:row r="1159">
      <x:c r="A1159" s="15" t="n">
        <x:v>40756</x:v>
      </x:c>
      <x:c r="B1159" s="13" t="str">
        <x:v>PDG REALTY SA</x:v>
      </x:c>
      <x:c r="C1159" s="16" t="n">
        <x:v>1341.2099413333</x:v>
      </x:c>
      <x:c r="D1159" s="13" t="str">
        <x:v>Homebuilders</x:v>
      </x:c>
      <x:c r="E1159" s="13" t="str">
        <x:v>Real Estate</x:v>
      </x:c>
      <x:c r="F1159" s="13" t="str">
        <x:v>Early Cyclicals</x:v>
      </x:c>
      <x:c r="G1159" s="13" t="str">
        <x:v>grid_wekqfxnd.xlsx</x:v>
      </x:c>
    </x:row>
    <x:row r="1160">
      <x:c r="A1160" s="15" t="n">
        <x:v>40756</x:v>
      </x:c>
      <x:c r="B1160" s="13" t="str">
        <x:v>ROSSI RESIDENCIAL SA</x:v>
      </x:c>
      <x:c r="C1160" s="16" t="n">
        <x:v>543.4613546667</x:v>
      </x:c>
      <x:c r="D1160" s="13" t="str">
        <x:v>Homebuilders</x:v>
      </x:c>
      <x:c r="E1160" s="13" t="str">
        <x:v>Real Estate</x:v>
      </x:c>
      <x:c r="F1160" s="13" t="str">
        <x:v>Early Cyclicals</x:v>
      </x:c>
      <x:c r="G1160" s="13" t="str">
        <x:v>grid_wekqfxnd.xlsx</x:v>
      </x:c>
    </x:row>
    <x:row r="1161">
      <x:c r="A1161" s="15" t="n">
        <x:v>40756</x:v>
      </x:c>
      <x:c r="B1161" s="13" t="str">
        <x:v>TEGRA INCORPORADORA SA</x:v>
      </x:c>
      <x:c r="C1161" s="16" t="n">
        <x:v>508.7403093333</x:v>
      </x:c>
      <x:c r="D1161" s="13" t="str">
        <x:v>Homebuilders</x:v>
      </x:c>
      <x:c r="E1161" s="13" t="str">
        <x:v>Real Estate</x:v>
      </x:c>
      <x:c r="F1161" s="13" t="str">
        <x:v>Early Cyclicals</x:v>
      </x:c>
      <x:c r="G1161" s="13" t="str">
        <x:v>grid_wekqfxnd.xlsx</x:v>
      </x:c>
    </x:row>
    <x:row r="1162">
      <x:c r="A1162" s="15" t="n">
        <x:v>40756</x:v>
      </x:c>
      <x:c r="B1162" s="13" t="str">
        <x:v>BRADESPAR SA -PREF</x:v>
      </x:c>
      <x:c r="C1162" s="16" t="n">
        <x:v>2656.8899413333</x:v>
      </x:c>
      <x:c r="D1162" s="13" t="str">
        <x:v>Metals &amp; Mining</x:v>
      </x:c>
      <x:c r="E1162" s="13" t="str">
        <x:v>Metals &amp; Mining</x:v>
      </x:c>
      <x:c r="F1162" s="13" t="str">
        <x:v>Deep Cyclicals</x:v>
      </x:c>
      <x:c r="G1162" s="13" t="str">
        <x:v>grid_wekqfxnd.xlsx</x:v>
      </x:c>
    </x:row>
    <x:row r="1163">
      <x:c r="A1163" s="15" t="n">
        <x:v>40756</x:v>
      </x:c>
      <x:c r="B1163" s="13" t="str">
        <x:v>CIA SIDERURGICA NACIONAL SA</x:v>
      </x:c>
      <x:c r="C1163" s="16" t="n">
        <x:v>2771.8533973333</x:v>
      </x:c>
      <x:c r="D1163" s="13" t="str">
        <x:v>Metals &amp; Mining</x:v>
      </x:c>
      <x:c r="E1163" s="13" t="str">
        <x:v>Metals &amp; Mining</x:v>
      </x:c>
      <x:c r="F1163" s="13" t="str">
        <x:v>Deep Cyclicals</x:v>
      </x:c>
      <x:c r="G1163" s="13" t="str">
        <x:v>grid_wekqfxnd.xlsx</x:v>
      </x:c>
    </x:row>
    <x:row r="1164">
      <x:c r="A1164" s="15" t="n">
        <x:v>40756</x:v>
      </x:c>
      <x:c r="B1164" s="13" t="str">
        <x:v>GERDAU SA-PREF</x:v>
      </x:c>
      <x:c r="C1164" s="16" t="n">
        <x:v>2294.0233813333</x:v>
      </x:c>
      <x:c r="D1164" s="13" t="str">
        <x:v>Metals &amp; Mining</x:v>
      </x:c>
      <x:c r="E1164" s="13" t="str">
        <x:v>Metals &amp; Mining</x:v>
      </x:c>
      <x:c r="F1164" s="13" t="str">
        <x:v>Deep Cyclicals</x:v>
      </x:c>
      <x:c r="G1164" s="13" t="str">
        <x:v>grid_wekqfxnd.xlsx</x:v>
      </x:c>
    </x:row>
    <x:row r="1165">
      <x:c r="A1165" s="15" t="n">
        <x:v>40756</x:v>
      </x:c>
      <x:c r="B1165" s="13" t="str">
        <x:v>METALURGICA GERDAU SA-PREF</x:v>
      </x:c>
      <x:c r="C1165" s="16" t="n">
        <x:v>819.3333333333</x:v>
      </x:c>
      <x:c r="D1165" s="13" t="str">
        <x:v>Metals &amp; Mining</x:v>
      </x:c>
      <x:c r="E1165" s="13" t="str">
        <x:v>Metals &amp; Mining</x:v>
      </x:c>
      <x:c r="F1165" s="13" t="str">
        <x:v>Deep Cyclicals</x:v>
      </x:c>
      <x:c r="G1165" s="13" t="str">
        <x:v>grid_wekqfxnd.xlsx</x:v>
      </x:c>
    </x:row>
    <x:row r="1166">
      <x:c r="A1166" s="15" t="n">
        <x:v>40756</x:v>
      </x:c>
      <x:c r="B1166" s="13" t="str">
        <x:v>MMX MINERACAO E METALICOS SA</x:v>
      </x:c>
      <x:c r="C1166" s="16" t="n">
        <x:v>303.157664</x:v>
      </x:c>
      <x:c r="D1166" s="13" t="str">
        <x:v>Metals &amp; Mining</x:v>
      </x:c>
      <x:c r="E1166" s="13" t="str">
        <x:v>Metals &amp; Mining</x:v>
      </x:c>
      <x:c r="F1166" s="13" t="str">
        <x:v>Deep Cyclicals</x:v>
      </x:c>
      <x:c r="G1166" s="13" t="str">
        <x:v>grid_wekqfxnd.xlsx</x:v>
      </x:c>
    </x:row>
    <x:row r="1167">
      <x:c r="A1167" s="15" t="n">
        <x:v>40756</x:v>
      </x:c>
      <x:c r="B1167" s="13" t="str">
        <x:v>USINAS SIDER MINAS GER-PF A</x:v>
      </x:c>
      <x:c r="C1167" s="16" t="n">
        <x:v>608.6636586667</x:v>
      </x:c>
      <x:c r="D1167" s="13" t="str">
        <x:v>Metals &amp; Mining</x:v>
      </x:c>
      <x:c r="E1167" s="13" t="str">
        <x:v>Metals &amp; Mining</x:v>
      </x:c>
      <x:c r="F1167" s="13" t="str">
        <x:v>Deep Cyclicals</x:v>
      </x:c>
      <x:c r="G1167" s="13" t="str">
        <x:v>grid_wekqfxnd.xlsx</x:v>
      </x:c>
    </x:row>
    <x:row r="1168">
      <x:c r="A1168" s="15" t="n">
        <x:v>40756</x:v>
      </x:c>
      <x:c r="B1168" s="13" t="str">
        <x:v>USINAS SIDERURGICAS DE MINAS</x:v>
      </x:c>
      <x:c r="C1168" s="16" t="n">
        <x:v>608.6636586667</x:v>
      </x:c>
      <x:c r="D1168" s="13" t="str">
        <x:v>Metals &amp; Mining</x:v>
      </x:c>
      <x:c r="E1168" s="13" t="str">
        <x:v>Metals &amp; Mining</x:v>
      </x:c>
      <x:c r="F1168" s="13" t="str">
        <x:v>Deep Cyclicals</x:v>
      </x:c>
      <x:c r="G1168" s="13" t="str">
        <x:v>grid_wekqfxnd.xlsx</x:v>
      </x:c>
    </x:row>
    <x:row r="1169">
      <x:c r="A1169" s="15" t="n">
        <x:v>40756</x:v>
      </x:c>
      <x:c r="B1169" s="13" t="str">
        <x:v>VALE SA</x:v>
      </x:c>
      <x:c r="C1169" s="16" t="n">
        <x:v>42151.7994666667</x:v>
      </x:c>
      <x:c r="D1169" s="13" t="str">
        <x:v>Metals &amp; Mining</x:v>
      </x:c>
      <x:c r="E1169" s="13" t="str">
        <x:v>Metals &amp; Mining</x:v>
      </x:c>
      <x:c r="F1169" s="13" t="str">
        <x:v>Deep Cyclicals</x:v>
      </x:c>
      <x:c r="G1169" s="13" t="str">
        <x:v>grid_wekqfxnd.xlsx</x:v>
      </x:c>
    </x:row>
    <x:row r="1170">
      <x:c r="A1170" s="15" t="n">
        <x:v>40756</x:v>
      </x:c>
      <x:c r="B1170" s="13" t="str">
        <x:v>BRASKEM SA-PREF A</x:v>
      </x:c>
      <x:c r="C1170" s="16" t="n">
        <x:v>1132.72</x:v>
      </x:c>
      <x:c r="D1170" s="13" t="str">
        <x:v>Oil, Gas &amp; Petrochemicals</x:v>
      </x:c>
      <x:c r="E1170" s="13" t="str">
        <x:v>Oil, Gas &amp; Petrochemicals</x:v>
      </x:c>
      <x:c r="F1170" s="13" t="str">
        <x:v>Deep Cyclicals</x:v>
      </x:c>
      <x:c r="G1170" s="13" t="str">
        <x:v>grid_wekqfxnd.xlsx</x:v>
      </x:c>
    </x:row>
    <x:row r="1171">
      <x:c r="A1171" s="15" t="n">
        <x:v>40756</x:v>
      </x:c>
      <x:c r="B1171" s="13" t="str">
        <x:v>COSAN SA</x:v>
      </x:c>
      <x:c r="C1171" s="16" t="n">
        <x:v>564</x:v>
      </x:c>
      <x:c r="D1171" s="13" t="str">
        <x:v>Oil, Gas &amp; Petrochemicals</x:v>
      </x:c>
      <x:c r="E1171" s="13" t="str">
        <x:v>Oil, Gas &amp; Petrochemicals</x:v>
      </x:c>
      <x:c r="F1171" s="13" t="str">
        <x:v>Deep Cyclicals</x:v>
      </x:c>
      <x:c r="G1171" s="13" t="str">
        <x:v>grid_wekqfxnd.xlsx</x:v>
      </x:c>
    </x:row>
    <x:row r="1172">
      <x:c r="A1172" s="15" t="n">
        <x:v>40756</x:v>
      </x:c>
      <x:c r="B1172" s="13" t="str">
        <x:v>OLEO E GAS PARTICIPACOES SA</x:v>
      </x:c>
      <x:c r="C1172" s="16" t="n">
        <x:v>496.7577826667</x:v>
      </x:c>
      <x:c r="D1172" s="13" t="str">
        <x:v>Oil, Gas &amp; Petrochemicals</x:v>
      </x:c>
      <x:c r="E1172" s="13" t="str">
        <x:v>Oil, Gas &amp; Petrochemicals</x:v>
      </x:c>
      <x:c r="F1172" s="13" t="str">
        <x:v>Deep Cyclicals</x:v>
      </x:c>
      <x:c r="G1172" s="13" t="str">
        <x:v>grid_wekqfxnd.xlsx</x:v>
      </x:c>
    </x:row>
    <x:row r="1173">
      <x:c r="A1173" s="15" t="n">
        <x:v>40756</x:v>
      </x:c>
      <x:c r="B1173" s="13" t="str">
        <x:v>PETROBRAS - PETROLEO BRAS</x:v>
      </x:c>
      <x:c r="C1173" s="16" t="n">
        <x:v>40377.0013013333</x:v>
      </x:c>
      <x:c r="D1173" s="13" t="str">
        <x:v>Oil, Gas &amp; Petrochemicals</x:v>
      </x:c>
      <x:c r="E1173" s="13" t="str">
        <x:v>Oil, Gas &amp; Petrochemicals</x:v>
      </x:c>
      <x:c r="F1173" s="13" t="str">
        <x:v>Deep Cyclicals</x:v>
      </x:c>
      <x:c r="G1173" s="13" t="str">
        <x:v>grid_wekqfxnd.xlsx</x:v>
      </x:c>
    </x:row>
    <x:row r="1174">
      <x:c r="A1174" s="15" t="n">
        <x:v>40756</x:v>
      </x:c>
      <x:c r="B1174" s="13" t="str">
        <x:v>ULTRAPAR PARTICIPACOES SA</x:v>
      </x:c>
      <x:c r="C1174" s="16" t="n">
        <x:v>929.9333333333</x:v>
      </x:c>
      <x:c r="D1174" s="13" t="str">
        <x:v>Oil, Gas &amp; Petrochemicals</x:v>
      </x:c>
      <x:c r="E1174" s="13" t="str">
        <x:v>Oil, Gas &amp; Petrochemicals</x:v>
      </x:c>
      <x:c r="F1174" s="13" t="str">
        <x:v>Deep Cyclicals</x:v>
      </x:c>
      <x:c r="G1174" s="13" t="str">
        <x:v>grid_wekqfxnd.xlsx</x:v>
      </x:c>
    </x:row>
    <x:row r="1175">
      <x:c r="A1175" s="15" t="n">
        <x:v>40756</x:v>
      </x:c>
      <x:c r="B1175" s="13" t="str">
        <x:v>DEXCO SA</x:v>
      </x:c>
      <x:c r="C1175" s="16" t="n">
        <x:v>434.571328</x:v>
      </x:c>
      <x:c r="D1175" s="13" t="str">
        <x:v>Pulp &amp; Paper</x:v>
      </x:c>
      <x:c r="E1175" s="13" t="str">
        <x:v>Pulp &amp; Paper</x:v>
      </x:c>
      <x:c r="F1175" s="13" t="str">
        <x:v>Deep Cyclicals</x:v>
      </x:c>
      <x:c r="G1175" s="13" t="str">
        <x:v>grid_wekqfxnd.xlsx</x:v>
      </x:c>
    </x:row>
    <x:row r="1176">
      <x:c r="A1176" s="15" t="n">
        <x:v>40756</x:v>
      </x:c>
      <x:c r="B1176" s="13" t="str">
        <x:v>FIBRIA CELULOSE S/A</x:v>
      </x:c>
      <x:c r="C1176" s="16" t="n">
        <x:v>96.2973333333</x:v>
      </x:c>
      <x:c r="D1176" s="13" t="str">
        <x:v>Pulp &amp; Paper</x:v>
      </x:c>
      <x:c r="E1176" s="13" t="str">
        <x:v>Pulp &amp; Paper</x:v>
      </x:c>
      <x:c r="F1176" s="13" t="str">
        <x:v>Deep Cyclicals</x:v>
      </x:c>
      <x:c r="G1176" s="13" t="str">
        <x:v>grid_wekqfxnd.xlsx</x:v>
      </x:c>
    </x:row>
    <x:row r="1177">
      <x:c r="A1177" s="15" t="n">
        <x:v>40756</x:v>
      </x:c>
      <x:c r="B1177" s="13" t="str">
        <x:v>AMERICANAS SA</x:v>
      </x:c>
      <x:c r="C1177" s="16" t="n">
        <x:v>97.6224333333</x:v>
      </x:c>
      <x:c r="D1177" s="13" t="str">
        <x:v>Retail</x:v>
      </x:c>
      <x:c r="E1177" s="13" t="str">
        <x:v>Retail</x:v>
      </x:c>
      <x:c r="F1177" s="13" t="str">
        <x:v>Early Cyclicals</x:v>
      </x:c>
      <x:c r="G1177" s="13" t="str">
        <x:v>grid_wekqfxnd.xlsx</x:v>
      </x:c>
    </x:row>
    <x:row r="1178">
      <x:c r="A1178" s="15" t="n">
        <x:v>40756</x:v>
      </x:c>
      <x:c r="B1178" s="13" t="str">
        <x:v>CIA BRASILEIRA DE DIS-PREF</x:v>
      </x:c>
      <x:c r="C1178" s="16" t="n">
        <x:v>939.8333226667</x:v>
      </x:c>
      <x:c r="D1178" s="13" t="str">
        <x:v>Retail</x:v>
      </x:c>
      <x:c r="E1178" s="13" t="str">
        <x:v>Retail</x:v>
      </x:c>
      <x:c r="F1178" s="13" t="str">
        <x:v>Early Cyclicals</x:v>
      </x:c>
      <x:c r="G1178" s="13" t="str">
        <x:v>grid_wekqfxnd.xlsx</x:v>
      </x:c>
    </x:row>
    <x:row r="1179">
      <x:c r="A1179" s="15" t="n">
        <x:v>40756</x:v>
      </x:c>
      <x:c r="B1179" s="13" t="str">
        <x:v>LOJAS AMERICANAS SA-PREF</x:v>
      </x:c>
      <x:c r="C1179" s="16" t="n">
        <x:v>434.0513386667</x:v>
      </x:c>
      <x:c r="D1179" s="13" t="str">
        <x:v>Retail</x:v>
      </x:c>
      <x:c r="E1179" s="13" t="str">
        <x:v>Retail</x:v>
      </x:c>
      <x:c r="F1179" s="13" t="str">
        <x:v>Early Cyclicals</x:v>
      </x:c>
      <x:c r="G1179" s="13" t="str">
        <x:v>grid_wekqfxnd.xlsx</x:v>
      </x:c>
    </x:row>
    <x:row r="1180">
      <x:c r="A1180" s="15" t="n">
        <x:v>40756</x:v>
      </x:c>
      <x:c r="B1180" s="13" t="str">
        <x:v>LOJAS RENNER S.A.</x:v>
      </x:c>
      <x:c r="C1180" s="16" t="n">
        <x:v>401.833344</x:v>
      </x:c>
      <x:c r="D1180" s="13" t="str">
        <x:v>Retail</x:v>
      </x:c>
      <x:c r="E1180" s="13" t="str">
        <x:v>Retail</x:v>
      </x:c>
      <x:c r="F1180" s="13" t="str">
        <x:v>Early Cyclicals</x:v>
      </x:c>
      <x:c r="G1180" s="13" t="str">
        <x:v>grid_wekqfxnd.xlsx</x:v>
      </x:c>
    </x:row>
    <x:row r="1181">
      <x:c r="A1181" s="15" t="n">
        <x:v>40756</x:v>
      </x:c>
      <x:c r="B1181" s="13" t="str">
        <x:v>NATURA COSMETICOS SA</x:v>
      </x:c>
      <x:c r="C1181" s="16" t="n">
        <x:v>887.8459946667</x:v>
      </x:c>
      <x:c r="D1181" s="13" t="str">
        <x:v>Retail</x:v>
      </x:c>
      <x:c r="E1181" s="13" t="str">
        <x:v>Retail</x:v>
      </x:c>
      <x:c r="F1181" s="13" t="str">
        <x:v>Early Cyclicals</x:v>
      </x:c>
      <x:c r="G1181" s="13" t="str">
        <x:v>grid_wekqfxnd.xlsx</x:v>
      </x:c>
    </x:row>
    <x:row r="1182">
      <x:c r="A1182" s="15" t="n">
        <x:v>40756</x:v>
      </x:c>
      <x:c r="B1182" s="13" t="str">
        <x:v>CIA SANEAMENTO BASICO DE SP</x:v>
      </x:c>
      <x:c r="C1182" s="16" t="n">
        <x:v>1389.9433813333</x:v>
      </x:c>
      <x:c r="D1182" s="13" t="str">
        <x:v>Sanitation</x:v>
      </x:c>
      <x:c r="E1182" s="13" t="str">
        <x:v>Utilities</x:v>
      </x:c>
      <x:c r="F1182" s="13" t="str">
        <x:v>Defensives</x:v>
      </x:c>
      <x:c r="G1182" s="13" t="str">
        <x:v>grid_wekqfxnd.xlsx</x:v>
      </x:c>
    </x:row>
    <x:row r="1183">
      <x:c r="A1183" s="15" t="n">
        <x:v>40756</x:v>
      </x:c>
      <x:c r="B1183" s="13" t="str">
        <x:v>OI SA-PREFERENCE</x:v>
      </x:c>
      <x:c r="C1183" s="16" t="n">
        <x:v>1404.666624</x:v>
      </x:c>
      <x:c r="D1183" s="13" t="str">
        <x:v>TMT</x:v>
      </x:c>
      <x:c r="E1183" s="13" t="str">
        <x:v>TMT</x:v>
      </x:c>
      <x:c r="F1183" s="13" t="str">
        <x:v>Early Cyclicals</x:v>
      </x:c>
      <x:c r="G1183" s="13" t="str">
        <x:v>grid_wekqfxnd.xlsx</x:v>
      </x:c>
    </x:row>
    <x:row r="1184">
      <x:c r="A1184" s="15" t="n">
        <x:v>40756</x:v>
      </x:c>
      <x:c r="B1184" s="13" t="str">
        <x:v>TELE NORTE LESTE PART</x:v>
      </x:c>
      <x:c r="C1184" s="16" t="n">
        <x:v>993.980032</x:v>
      </x:c>
      <x:c r="D1184" s="13" t="str">
        <x:v>TMT</x:v>
      </x:c>
      <x:c r="E1184" s="13" t="str">
        <x:v>TMT</x:v>
      </x:c>
      <x:c r="F1184" s="13" t="str">
        <x:v>Early Cyclicals</x:v>
      </x:c>
      <x:c r="G1184" s="13" t="str">
        <x:v>grid_wekqfxnd.xlsx</x:v>
      </x:c>
    </x:row>
    <x:row r="1185">
      <x:c r="A1185" s="15" t="n">
        <x:v>40756</x:v>
      </x:c>
      <x:c r="B1185" s="13" t="str">
        <x:v>TELEFONICA BRASIL S.A.-PREF</x:v>
      </x:c>
      <x:c r="C1185" s="16" t="n">
        <x:v>4856.1667413333</x:v>
      </x:c>
      <x:c r="D1185" s="13" t="str">
        <x:v>TMT</x:v>
      </x:c>
      <x:c r="E1185" s="13" t="str">
        <x:v>TMT</x:v>
      </x:c>
      <x:c r="F1185" s="13" t="str">
        <x:v>Early Cyclicals</x:v>
      </x:c>
      <x:c r="G1185" s="13" t="str">
        <x:v>grid_wekqfxnd.xlsx</x:v>
      </x:c>
    </x:row>
    <x:row r="1186">
      <x:c r="A1186" s="15" t="n">
        <x:v>40756</x:v>
      </x:c>
      <x:c r="B1186" s="13" t="str">
        <x:v>TELEMAR NORTE LESTE SA</x:v>
      </x:c>
      <x:c r="C1186" s="16" t="n">
        <x:v>1464.1466453333</x:v>
      </x:c>
      <x:c r="D1186" s="13" t="str">
        <x:v>TMT</x:v>
      </x:c>
      <x:c r="E1186" s="13" t="str">
        <x:v>TMT</x:v>
      </x:c>
      <x:c r="F1186" s="13" t="str">
        <x:v>Early Cyclicals</x:v>
      </x:c>
      <x:c r="G1186" s="13" t="str">
        <x:v>grid_wekqfxnd.xlsx</x:v>
      </x:c>
    </x:row>
    <x:row r="1187">
      <x:c r="A1187" s="15" t="n">
        <x:v>40756</x:v>
      </x:c>
      <x:c r="B1187" s="13" t="str">
        <x:v>TIM SA</x:v>
      </x:c>
      <x:c r="C1187" s="16" t="n">
        <x:v>1491.0899626667</x:v>
      </x:c>
      <x:c r="D1187" s="13" t="str">
        <x:v>TMT</x:v>
      </x:c>
      <x:c r="E1187" s="13" t="str">
        <x:v>TMT</x:v>
      </x:c>
      <x:c r="F1187" s="13" t="str">
        <x:v>Early Cyclicals</x:v>
      </x:c>
      <x:c r="G1187" s="13" t="str">
        <x:v>grid_wekqfxnd.xlsx</x:v>
      </x:c>
    </x:row>
    <x:row r="1188">
      <x:c r="A1188" s="15" t="n">
        <x:v>40756</x:v>
      </x:c>
      <x:c r="B1188" s="13" t="str">
        <x:v>GOL LINHAS AEREAS INT SA-PRE</x:v>
      </x:c>
      <x:c r="C1188" s="16" t="n">
        <x:v>89.0190346667</x:v>
      </x:c>
      <x:c r="D1188" s="13" t="str">
        <x:v>Transportation</x:v>
      </x:c>
      <x:c r="E1188" s="13" t="str">
        <x:v>Transportation</x:v>
      </x:c>
      <x:c r="F1188" s="13" t="str">
        <x:v>Deep Cyclicals</x:v>
      </x:c>
      <x:c r="G1188" s="13" t="str">
        <x:v>grid_wekqfxnd.xlsx</x:v>
      </x:c>
    </x:row>
    <x:row r="1189">
      <x:c r="A1189" s="15" t="n">
        <x:v>40756</x:v>
      </x:c>
      <x:c r="B1189" s="13" t="str">
        <x:v>MOTIVA INFRAESTRUTURA DE MOB</x:v>
      </x:c>
      <x:c r="C1189" s="16" t="n">
        <x:v>1094.666688</x:v>
      </x:c>
      <x:c r="D1189" s="13" t="str">
        <x:v>Transportation</x:v>
      </x:c>
      <x:c r="E1189" s="13" t="str">
        <x:v>Transportation</x:v>
      </x:c>
      <x:c r="F1189" s="13" t="str">
        <x:v>Deep Cyclicals</x:v>
      </x:c>
      <x:c r="G1189" s="13" t="str">
        <x:v>grid_wekqfxnd.xlsx</x:v>
      </x:c>
    </x:row>
    <x:row r="1190">
      <x:c r="A1190" s="15" t="n">
        <x:v>40756</x:v>
      </x:c>
      <x:c r="B1190" s="13" t="str">
        <x:v>PRUMO LOGISTICA SA</x:v>
      </x:c>
      <x:c r="C1190" s="16" t="n">
        <x:v>-66.7866666667</x:v>
      </x:c>
      <x:c r="D1190" s="13" t="str">
        <x:v>Transportation</x:v>
      </x:c>
      <x:c r="E1190" s="13" t="str">
        <x:v>Transportation</x:v>
      </x:c>
      <x:c r="F1190" s="13" t="str">
        <x:v>Deep Cyclicals</x:v>
      </x:c>
      <x:c r="G1190" s="13" t="str">
        <x:v>grid_wekqfxnd.xlsx</x:v>
      </x:c>
    </x:row>
    <x:row r="1191">
      <x:c r="A1191" s="15" t="n">
        <x:v>40756</x:v>
      </x:c>
      <x:c r="B1191" s="13" t="str">
        <x:v>RUMO SA</x:v>
      </x:c>
      <x:c r="C1191" s="16" t="n">
        <x:v>300.666656</x:v>
      </x:c>
      <x:c r="D1191" s="13" t="str">
        <x:v>Transportation</x:v>
      </x:c>
      <x:c r="E1191" s="13" t="str">
        <x:v>Transportation</x:v>
      </x:c>
      <x:c r="F1191" s="13" t="str">
        <x:v>Deep Cyclicals</x:v>
      </x:c>
      <x:c r="G1191" s="13" t="str">
        <x:v>grid_wekqfxnd.xlsx</x:v>
      </x:c>
    </x:row>
    <x:row r="1192">
      <x:c r="A1192" s="15" t="n">
        <x:v>40756</x:v>
      </x:c>
      <x:c r="B1192" s="13" t="str">
        <x:v>TAM SA-PREF</x:v>
      </x:c>
      <x:c r="C1192" s="16" t="n">
        <x:v>224.2333333333</x:v>
      </x:c>
      <x:c r="D1192" s="13" t="str">
        <x:v>Transportation</x:v>
      </x:c>
      <x:c r="E1192" s="13" t="str">
        <x:v>Transportation</x:v>
      </x:c>
      <x:c r="F1192" s="13" t="str">
        <x:v>Deep Cyclicals</x:v>
      </x:c>
      <x:c r="G1192" s="13" t="str">
        <x:v>grid_wekqfxnd.xlsx</x:v>
      </x:c>
    </x:row>
    <x:row r="1193">
      <x:c r="A1193" s="15" t="n">
        <x:v>40756</x:v>
      </x:c>
      <x:c r="B1193" s="13" t="str">
        <x:v>AXIA ENERGIA SA</x:v>
      </x:c>
      <x:c r="C1193" s="16" t="n">
        <x:v>4053.1199146667</x:v>
      </x:c>
      <x:c r="D1193" s="13" t="str">
        <x:v>Utilities &amp; Energy</x:v>
      </x:c>
      <x:c r="E1193" s="13" t="str">
        <x:v>Utilities</x:v>
      </x:c>
      <x:c r="F1193" s="13" t="str">
        <x:v>Defensives</x:v>
      </x:c>
      <x:c r="G1193" s="13" t="str">
        <x:v>grid_wekqfxnd.xlsx</x:v>
      </x:c>
    </x:row>
    <x:row r="1194">
      <x:c r="A1194" s="15" t="n">
        <x:v>40756</x:v>
      </x:c>
      <x:c r="B1194" s="13" t="str">
        <x:v>AXIA ENERGIA-PR B</x:v>
      </x:c>
      <x:c r="C1194" s="16" t="n">
        <x:v>4053.1199146667</x:v>
      </x:c>
      <x:c r="D1194" s="13" t="str">
        <x:v>Utilities &amp; Energy</x:v>
      </x:c>
      <x:c r="E1194" s="13" t="str">
        <x:v>Utilities</x:v>
      </x:c>
      <x:c r="F1194" s="13" t="str">
        <x:v>Defensives</x:v>
      </x:c>
      <x:c r="G1194" s="13" t="str">
        <x:v>grid_wekqfxnd.xlsx</x:v>
      </x:c>
    </x:row>
    <x:row r="1195">
      <x:c r="A1195" s="15" t="n">
        <x:v>40756</x:v>
      </x:c>
      <x:c r="B1195" s="13" t="str">
        <x:v>CESP - CIA ENERGETICA DE SAO</x:v>
      </x:c>
      <x:c r="C1195" s="16" t="n">
        <x:v>595.6036906667</x:v>
      </x:c>
      <x:c r="D1195" s="13" t="str">
        <x:v>Utilities &amp; Energy</x:v>
      </x:c>
      <x:c r="E1195" s="13" t="str">
        <x:v>Utilities</x:v>
      </x:c>
      <x:c r="F1195" s="13" t="str">
        <x:v>Defensives</x:v>
      </x:c>
      <x:c r="G1195" s="13" t="str">
        <x:v>grid_wekqfxnd.xlsx</x:v>
      </x:c>
    </x:row>
    <x:row r="1196">
      <x:c r="A1196" s="15" t="n">
        <x:v>40756</x:v>
      </x:c>
      <x:c r="B1196" s="13" t="str">
        <x:v>CIA ENERGETICA MINAS GER-PRF</x:v>
      </x:c>
      <x:c r="C1196" s="16" t="n">
        <x:v>2329.566592</x:v>
      </x:c>
      <x:c r="D1196" s="13" t="str">
        <x:v>Utilities &amp; Energy</x:v>
      </x:c>
      <x:c r="E1196" s="13" t="str">
        <x:v>Utilities</x:v>
      </x:c>
      <x:c r="F1196" s="13" t="str">
        <x:v>Defensives</x:v>
      </x:c>
      <x:c r="G1196" s="13" t="str">
        <x:v>grid_wekqfxnd.xlsx</x:v>
      </x:c>
    </x:row>
    <x:row r="1197">
      <x:c r="A1197" s="15" t="n">
        <x:v>40756</x:v>
      </x:c>
      <x:c r="B1197" s="13" t="str">
        <x:v>COMPANHIA PARANAENSE -PREF B</x:v>
      </x:c>
      <x:c r="C1197" s="16" t="n">
        <x:v>1354.7400106667</x:v>
      </x:c>
      <x:c r="D1197" s="13" t="str">
        <x:v>Utilities &amp; Energy</x:v>
      </x:c>
      <x:c r="E1197" s="13" t="str">
        <x:v>Utilities</x:v>
      </x:c>
      <x:c r="F1197" s="13" t="str">
        <x:v>Defensives</x:v>
      </x:c>
      <x:c r="G1197" s="13" t="str">
        <x:v>grid_wekqfxnd.xlsx</x:v>
      </x:c>
    </x:row>
    <x:row r="1198">
      <x:c r="A1198" s="15" t="n">
        <x:v>40756</x:v>
      </x:c>
      <x:c r="B1198" s="13" t="str">
        <x:v>CPFL ENERGIA SA</x:v>
      </x:c>
      <x:c r="C1198" s="16" t="n">
        <x:v>1590.2299733333</x:v>
      </x:c>
      <x:c r="D1198" s="13" t="str">
        <x:v>Utilities &amp; Energy</x:v>
      </x:c>
      <x:c r="E1198" s="13" t="str">
        <x:v>Utilities</x:v>
      </x:c>
      <x:c r="F1198" s="13" t="str">
        <x:v>Defensives</x:v>
      </x:c>
      <x:c r="G1198" s="13" t="str">
        <x:v>grid_wekqfxnd.xlsx</x:v>
      </x:c>
    </x:row>
    <x:row r="1199">
      <x:c r="A1199" s="15" t="n">
        <x:v>40756</x:v>
      </x:c>
      <x:c r="B1199" s="13" t="str">
        <x:v>ELETROPAULO METROPOLI-PREF</x:v>
      </x:c>
      <x:c r="C1199" s="16" t="n">
        <x:v>558.6666666667</x:v>
      </x:c>
      <x:c r="D1199" s="13" t="str">
        <x:v>Utilities &amp; Energy</x:v>
      </x:c>
      <x:c r="E1199" s="13" t="str">
        <x:v>Utilities</x:v>
      </x:c>
      <x:c r="F1199" s="13" t="str">
        <x:v>Defensives</x:v>
      </x:c>
      <x:c r="G1199" s="13" t="str">
        <x:v>grid_wekqfxnd.xlsx</x:v>
      </x:c>
    </x:row>
    <x:row r="1200">
      <x:c r="A1200" s="15" t="n">
        <x:v>40756</x:v>
      </x:c>
      <x:c r="B1200" s="13" t="str">
        <x:v>ISA ENERGIA BRASIL SA</x:v>
      </x:c>
      <x:c r="C1200" s="16" t="n">
        <x:v>920.2219946667</x:v>
      </x:c>
      <x:c r="D1200" s="13" t="str">
        <x:v>Utilities &amp; Energy</x:v>
      </x:c>
      <x:c r="E1200" s="13" t="str">
        <x:v>Utilities</x:v>
      </x:c>
      <x:c r="F1200" s="13" t="str">
        <x:v>Defensives</x:v>
      </x:c>
      <x:c r="G1200" s="13" t="str">
        <x:v>grid_wekqfxnd.xlsx</x:v>
      </x:c>
    </x:row>
    <x:row r="1201">
      <x:c r="A1201" s="15" t="n">
        <x:v>40756</x:v>
      </x:c>
      <x:c r="B1201" s="13" t="str">
        <x:v>LIGHT SA</x:v>
      </x:c>
      <x:c r="C1201" s="16" t="n">
        <x:v>621.2333226667</x:v>
      </x:c>
      <x:c r="D1201" s="13" t="str">
        <x:v>Utilities &amp; Energy</x:v>
      </x:c>
      <x:c r="E1201" s="13" t="str">
        <x:v>Utilities</x:v>
      </x:c>
      <x:c r="F1201" s="13" t="str">
        <x:v>Defensives</x:v>
      </x:c>
      <x:c r="G1201" s="13" t="str">
        <x:v>grid_wekqfxnd.xlsx</x:v>
      </x:c>
    </x:row>
    <x:row r="1202">
      <x:c r="A1202" s="15" t="n">
        <x:v>40787</x:v>
      </x:c>
      <x:c r="B1202" s="13" t="str">
        <x:v>BANCO BRADESCO SA-PREF</x:v>
      </x:c>
      <x:c r="C1202" s="16" t="n">
        <x:v>12531.1518496175</x:v>
      </x:c>
      <x:c r="D1202" s="13" t="str">
        <x:v>Banks</x:v>
      </x:c>
      <x:c r="E1202" s="13" t="str">
        <x:v>Banks</x:v>
      </x:c>
      <x:c r="F1202" s="13" t="str">
        <x:v>Financials</x:v>
      </x:c>
      <x:c r="G1202" s="13" t="str">
        <x:v>grid_wekqfxnd.xlsx</x:v>
      </x:c>
    </x:row>
    <x:row r="1203">
      <x:c r="A1203" s="15" t="n">
        <x:v>40787</x:v>
      </x:c>
      <x:c r="B1203" s="13" t="str">
        <x:v>BANCO DO BRASIL S.A.</x:v>
      </x:c>
      <x:c r="C1203" s="16" t="n">
        <x:v>12412.7161383169</x:v>
      </x:c>
      <x:c r="D1203" s="13" t="str">
        <x:v>Banks</x:v>
      </x:c>
      <x:c r="E1203" s="13" t="str">
        <x:v>Banks</x:v>
      </x:c>
      <x:c r="F1203" s="13" t="str">
        <x:v>Financials</x:v>
      </x:c>
      <x:c r="G1203" s="13" t="str">
        <x:v>grid_wekqfxnd.xlsx</x:v>
      </x:c>
    </x:row>
    <x:row r="1204">
      <x:c r="A1204" s="15" t="n">
        <x:v>40787</x:v>
      </x:c>
      <x:c r="B1204" s="13" t="str">
        <x:v>BANCO SANTANDER  BRASIL-UNIT</x:v>
      </x:c>
      <x:c r="C1204" s="16" t="n">
        <x:v>7177.3138479563</x:v>
      </x:c>
      <x:c r="D1204" s="13" t="str">
        <x:v>Banks</x:v>
      </x:c>
      <x:c r="E1204" s="13" t="str">
        <x:v>Banks</x:v>
      </x:c>
      <x:c r="F1204" s="13" t="str">
        <x:v>Financials</x:v>
      </x:c>
      <x:c r="G1204" s="13" t="str">
        <x:v>grid_wekqfxnd.xlsx</x:v>
      </x:c>
    </x:row>
    <x:row r="1205">
      <x:c r="A1205" s="15" t="n">
        <x:v>40787</x:v>
      </x:c>
      <x:c r="B1205" s="13" t="str">
        <x:v>ITAU UNIBANCO HOLDING S-PREF</x:v>
      </x:c>
      <x:c r="C1205" s="16" t="n">
        <x:v>16123.6302786448</x:v>
      </x:c>
      <x:c r="D1205" s="13" t="str">
        <x:v>Banks</x:v>
      </x:c>
      <x:c r="E1205" s="13" t="str">
        <x:v>Banks</x:v>
      </x:c>
      <x:c r="F1205" s="13" t="str">
        <x:v>Financials</x:v>
      </x:c>
      <x:c r="G1205" s="13" t="str">
        <x:v>grid_wekqfxnd.xlsx</x:v>
      </x:c>
    </x:row>
    <x:row r="1206">
      <x:c r="A1206" s="15" t="n">
        <x:v>40787</x:v>
      </x:c>
      <x:c r="B1206" s="13" t="str">
        <x:v>EMBRAER SA</x:v>
      </x:c>
      <x:c r="C1206" s="16" t="n">
        <x:v>701.4316194973</x:v>
      </x:c>
      <x:c r="D1206" s="13" t="str">
        <x:v>Capital Goods</x:v>
      </x:c>
      <x:c r="E1206" s="13" t="str">
        <x:v>Capital Goods</x:v>
      </x:c>
      <x:c r="F1206" s="13" t="str">
        <x:v>Deep Cyclicals</x:v>
      </x:c>
      <x:c r="G1206" s="13" t="str">
        <x:v>grid_wekqfxnd.xlsx</x:v>
      </x:c>
    </x:row>
    <x:row r="1207">
      <x:c r="A1207" s="15" t="n">
        <x:v>40787</x:v>
      </x:c>
      <x:c r="B1207" s="13" t="str">
        <x:v>B3 SA-BRASIL BOLSA BALCAO</x:v>
      </x:c>
      <x:c r="C1207" s="16" t="n">
        <x:v>1484.8478915847</x:v>
      </x:c>
      <x:c r="D1207" s="13" t="str">
        <x:v>Financials Non-Banks</x:v>
      </x:c>
      <x:c r="E1207" s="13" t="str">
        <x:v>Financials Non-Banks</x:v>
      </x:c>
      <x:c r="F1207" s="13" t="str">
        <x:v>Financials</x:v>
      </x:c>
      <x:c r="G1207" s="13" t="str">
        <x:v>grid_wekqfxnd.xlsx</x:v>
      </x:c>
    </x:row>
    <x:row r="1208">
      <x:c r="A1208" s="15" t="n">
        <x:v>40787</x:v>
      </x:c>
      <x:c r="B1208" s="13" t="str">
        <x:v>CIELO SA - INSTITUICAO DE PA</x:v>
      </x:c>
      <x:c r="C1208" s="16" t="n">
        <x:v>1771.9344570055</x:v>
      </x:c>
      <x:c r="D1208" s="13" t="str">
        <x:v>Financials Non-Banks</x:v>
      </x:c>
      <x:c r="E1208" s="13" t="str">
        <x:v>Financials Non-Banks</x:v>
      </x:c>
      <x:c r="F1208" s="13" t="str">
        <x:v>Financials</x:v>
      </x:c>
      <x:c r="G1208" s="13" t="str">
        <x:v>grid_wekqfxnd.xlsx</x:v>
      </x:c>
    </x:row>
    <x:row r="1209">
      <x:c r="A1209" s="15" t="n">
        <x:v>40787</x:v>
      </x:c>
      <x:c r="B1209" s="13" t="str">
        <x:v>ITAUSA SA</x:v>
      </x:c>
      <x:c r="C1209" s="16" t="n">
        <x:v>5562.7048064699</x:v>
      </x:c>
      <x:c r="D1209" s="13" t="str">
        <x:v>Financials Non-Banks</x:v>
      </x:c>
      <x:c r="E1209" s="13" t="str">
        <x:v>Financials Non-Banks</x:v>
      </x:c>
      <x:c r="F1209" s="13" t="str">
        <x:v>Financials</x:v>
      </x:c>
      <x:c r="G1209" s="13" t="str">
        <x:v>grid_wekqfxnd.xlsx</x:v>
      </x:c>
    </x:row>
    <x:row r="1210">
      <x:c r="A1210" s="15" t="n">
        <x:v>40787</x:v>
      </x:c>
      <x:c r="B1210" s="13" t="str">
        <x:v>REDECARD INSTITUICAO DE PAGA</x:v>
      </x:c>
      <x:c r="C1210" s="16" t="n">
        <x:v>1353.2972904918</x:v>
      </x:c>
      <x:c r="D1210" s="13" t="str">
        <x:v>Financials Non-Banks</x:v>
      </x:c>
      <x:c r="E1210" s="13" t="str">
        <x:v>Financials Non-Banks</x:v>
      </x:c>
      <x:c r="F1210" s="13" t="str">
        <x:v>Financials</x:v>
      </x:c>
      <x:c r="G1210" s="13" t="str">
        <x:v>grid_wekqfxnd.xlsx</x:v>
      </x:c>
    </x:row>
    <x:row r="1211">
      <x:c r="A1211" s="15" t="n">
        <x:v>40787</x:v>
      </x:c>
      <x:c r="B1211" s="13" t="str">
        <x:v>AMBEV SA</x:v>
      </x:c>
      <x:c r="C1211" s="16" t="n">
        <x:v>9425.7178187541</x:v>
      </x:c>
      <x:c r="D1211" s="13" t="str">
        <x:v>Food &amp; Beverages</x:v>
      </x:c>
      <x:c r="E1211" s="13" t="str">
        <x:v>Agri, Food &amp; Beverages</x:v>
      </x:c>
      <x:c r="F1211" s="13" t="str">
        <x:v>Defensives</x:v>
      </x:c>
      <x:c r="G1211" s="13" t="str">
        <x:v>grid_wekqfxnd.xlsx</x:v>
      </x:c>
    </x:row>
    <x:row r="1212">
      <x:c r="A1212" s="15" t="n">
        <x:v>40787</x:v>
      </x:c>
      <x:c r="B1212" s="13" t="str">
        <x:v>BRF SA</x:v>
      </x:c>
      <x:c r="C1212" s="16" t="n">
        <x:v>1853.6257615738</x:v>
      </x:c>
      <x:c r="D1212" s="13" t="str">
        <x:v>Food &amp; Beverages</x:v>
      </x:c>
      <x:c r="E1212" s="13" t="str">
        <x:v>Agri, Food &amp; Beverages</x:v>
      </x:c>
      <x:c r="F1212" s="13" t="str">
        <x:v>Defensives</x:v>
      </x:c>
      <x:c r="G1212" s="13" t="str">
        <x:v>grid_wekqfxnd.xlsx</x:v>
      </x:c>
    </x:row>
    <x:row r="1213">
      <x:c r="A1213" s="15" t="n">
        <x:v>40787</x:v>
      </x:c>
      <x:c r="B1213" s="13" t="str">
        <x:v>JBS SA</x:v>
      </x:c>
      <x:c r="C1213" s="16" t="n">
        <x:v>1664.1530054645</x:v>
      </x:c>
      <x:c r="D1213" s="13" t="str">
        <x:v>Food &amp; Beverages</x:v>
      </x:c>
      <x:c r="E1213" s="13" t="str">
        <x:v>Agri, Food &amp; Beverages</x:v>
      </x:c>
      <x:c r="F1213" s="13" t="str">
        <x:v>Defensives</x:v>
      </x:c>
      <x:c r="G1213" s="13" t="str">
        <x:v>grid_wekqfxnd.xlsx</x:v>
      </x:c>
    </x:row>
    <x:row r="1214">
      <x:c r="A1214" s="15" t="n">
        <x:v>40787</x:v>
      </x:c>
      <x:c r="B1214" s="13" t="str">
        <x:v>MBRF GLOBAL FOODS COMPANY SA</x:v>
      </x:c>
      <x:c r="C1214" s="16" t="n">
        <x:v>-54.9519601093</x:v>
      </x:c>
      <x:c r="D1214" s="13" t="str">
        <x:v>Food &amp; Beverages</x:v>
      </x:c>
      <x:c r="E1214" s="13" t="str">
        <x:v>Agri, Food &amp; Beverages</x:v>
      </x:c>
      <x:c r="F1214" s="13" t="str">
        <x:v>Defensives</x:v>
      </x:c>
      <x:c r="G1214" s="13" t="str">
        <x:v>grid_wekqfxnd.xlsx</x:v>
      </x:c>
    </x:row>
    <x:row r="1215">
      <x:c r="A1215" s="15" t="n">
        <x:v>40787</x:v>
      </x:c>
      <x:c r="B1215" s="13" t="str">
        <x:v>SOUZA CRUZ LTDA</x:v>
      </x:c>
      <x:c r="C1215" s="16" t="n">
        <x:v>1662.781484765</x:v>
      </x:c>
      <x:c r="D1215" s="13" t="str">
        <x:v>Food &amp; Beverages</x:v>
      </x:c>
      <x:c r="E1215" s="13" t="str">
        <x:v>Agri, Food &amp; Beverages</x:v>
      </x:c>
      <x:c r="F1215" s="13" t="str">
        <x:v>Defensives</x:v>
      </x:c>
      <x:c r="G1215" s="13" t="str">
        <x:v>grid_wekqfxnd.xlsx</x:v>
      </x:c>
    </x:row>
    <x:row r="1216">
      <x:c r="A1216" s="15" t="n">
        <x:v>40787</x:v>
      </x:c>
      <x:c r="B1216" s="13" t="str">
        <x:v>HYPERA SA</x:v>
      </x:c>
      <x:c r="C1216" s="16" t="n">
        <x:v>403.3323367869</x:v>
      </x:c>
      <x:c r="D1216" s="13" t="str">
        <x:v>Health Care</x:v>
      </x:c>
      <x:c r="E1216" s="13" t="str">
        <x:v>Health Care</x:v>
      </x:c>
      <x:c r="F1216" s="13" t="str">
        <x:v>Defensives</x:v>
      </x:c>
      <x:c r="G1216" s="13" t="str">
        <x:v>grid_wekqfxnd.xlsx</x:v>
      </x:c>
    </x:row>
    <x:row r="1217">
      <x:c r="A1217" s="15" t="n">
        <x:v>40787</x:v>
      </x:c>
      <x:c r="B1217" s="13" t="str">
        <x:v>CYRELA BRAZIL REALTY SA EMP</x:v>
      </x:c>
      <x:c r="C1217" s="16" t="n">
        <x:v>828.8682935956</x:v>
      </x:c>
      <x:c r="D1217" s="13" t="str">
        <x:v>Homebuilders</x:v>
      </x:c>
      <x:c r="E1217" s="13" t="str">
        <x:v>Real Estate</x:v>
      </x:c>
      <x:c r="F1217" s="13" t="str">
        <x:v>Early Cyclicals</x:v>
      </x:c>
      <x:c r="G1217" s="13" t="str">
        <x:v>grid_wekqfxnd.xlsx</x:v>
      </x:c>
    </x:row>
    <x:row r="1218">
      <x:c r="A1218" s="15" t="n">
        <x:v>40787</x:v>
      </x:c>
      <x:c r="B1218" s="13" t="str">
        <x:v>GAFISA SA</x:v>
      </x:c>
      <x:c r="C1218" s="16" t="n">
        <x:v>550.908005071</x:v>
      </x:c>
      <x:c r="D1218" s="13" t="str">
        <x:v>Homebuilders</x:v>
      </x:c>
      <x:c r="E1218" s="13" t="str">
        <x:v>Real Estate</x:v>
      </x:c>
      <x:c r="F1218" s="13" t="str">
        <x:v>Early Cyclicals</x:v>
      </x:c>
      <x:c r="G1218" s="13" t="str">
        <x:v>grid_wekqfxnd.xlsx</x:v>
      </x:c>
    </x:row>
    <x:row r="1219">
      <x:c r="A1219" s="15" t="n">
        <x:v>40787</x:v>
      </x:c>
      <x:c r="B1219" s="13" t="str">
        <x:v>MRV ENGENHARIA</x:v>
      </x:c>
      <x:c r="C1219" s="16" t="n">
        <x:v>902.8870466448</x:v>
      </x:c>
      <x:c r="D1219" s="13" t="str">
        <x:v>Homebuilders</x:v>
      </x:c>
      <x:c r="E1219" s="13" t="str">
        <x:v>Real Estate</x:v>
      </x:c>
      <x:c r="F1219" s="13" t="str">
        <x:v>Early Cyclicals</x:v>
      </x:c>
      <x:c r="G1219" s="13" t="str">
        <x:v>grid_wekqfxnd.xlsx</x:v>
      </x:c>
    </x:row>
    <x:row r="1220">
      <x:c r="A1220" s="15" t="n">
        <x:v>40787</x:v>
      </x:c>
      <x:c r="B1220" s="13" t="str">
        <x:v>PDG REALTY SA</x:v>
      </x:c>
      <x:c r="C1220" s="16" t="n">
        <x:v>1358.7267413333</x:v>
      </x:c>
      <x:c r="D1220" s="13" t="str">
        <x:v>Homebuilders</x:v>
      </x:c>
      <x:c r="E1220" s="13" t="str">
        <x:v>Real Estate</x:v>
      </x:c>
      <x:c r="F1220" s="13" t="str">
        <x:v>Early Cyclicals</x:v>
      </x:c>
      <x:c r="G1220" s="13" t="str">
        <x:v>grid_wekqfxnd.xlsx</x:v>
      </x:c>
    </x:row>
    <x:row r="1221">
      <x:c r="A1221" s="15" t="n">
        <x:v>40787</x:v>
      </x:c>
      <x:c r="B1221" s="13" t="str">
        <x:v>ROSSI RESIDENCIAL SA</x:v>
      </x:c>
      <x:c r="C1221" s="16" t="n">
        <x:v>556.3221931366</x:v>
      </x:c>
      <x:c r="D1221" s="13" t="str">
        <x:v>Homebuilders</x:v>
      </x:c>
      <x:c r="E1221" s="13" t="str">
        <x:v>Real Estate</x:v>
      </x:c>
      <x:c r="F1221" s="13" t="str">
        <x:v>Early Cyclicals</x:v>
      </x:c>
      <x:c r="G1221" s="13" t="str">
        <x:v>grid_wekqfxnd.xlsx</x:v>
      </x:c>
    </x:row>
    <x:row r="1222">
      <x:c r="A1222" s="15" t="n">
        <x:v>40787</x:v>
      </x:c>
      <x:c r="B1222" s="13" t="str">
        <x:v>TEGRA INCORPORADORA SA</x:v>
      </x:c>
      <x:c r="C1222" s="16" t="n">
        <x:v>520.6335384481</x:v>
      </x:c>
      <x:c r="D1222" s="13" t="str">
        <x:v>Homebuilders</x:v>
      </x:c>
      <x:c r="E1222" s="13" t="str">
        <x:v>Real Estate</x:v>
      </x:c>
      <x:c r="F1222" s="13" t="str">
        <x:v>Early Cyclicals</x:v>
      </x:c>
      <x:c r="G1222" s="13" t="str">
        <x:v>grid_wekqfxnd.xlsx</x:v>
      </x:c>
    </x:row>
    <x:row r="1223">
      <x:c r="A1223" s="15" t="n">
        <x:v>40787</x:v>
      </x:c>
      <x:c r="B1223" s="13" t="str">
        <x:v>BR MALLS PARTICIPACOES SA</x:v>
      </x:c>
      <x:c r="C1223" s="16" t="n">
        <x:v>460.5195633661</x:v>
      </x:c>
      <x:c r="D1223" s="13" t="str">
        <x:v>Income Properties</x:v>
      </x:c>
      <x:c r="E1223" s="13" t="str">
        <x:v>Real Estate</x:v>
      </x:c>
      <x:c r="F1223" s="13" t="str">
        <x:v>Early Cyclicals</x:v>
      </x:c>
      <x:c r="G1223" s="13" t="str">
        <x:v>grid_wekqfxnd.xlsx</x:v>
      </x:c>
    </x:row>
    <x:row r="1224">
      <x:c r="A1224" s="15" t="n">
        <x:v>40787</x:v>
      </x:c>
      <x:c r="B1224" s="13" t="str">
        <x:v>BRADESPAR SA -PREF</x:v>
      </x:c>
      <x:c r="C1224" s="16" t="n">
        <x:v>2713.9071958033</x:v>
      </x:c>
      <x:c r="D1224" s="13" t="str">
        <x:v>Metals &amp; Mining</x:v>
      </x:c>
      <x:c r="E1224" s="13" t="str">
        <x:v>Metals &amp; Mining</x:v>
      </x:c>
      <x:c r="F1224" s="13" t="str">
        <x:v>Deep Cyclicals</x:v>
      </x:c>
      <x:c r="G1224" s="13" t="str">
        <x:v>grid_wekqfxnd.xlsx</x:v>
      </x:c>
    </x:row>
    <x:row r="1225">
      <x:c r="A1225" s="15" t="n">
        <x:v>40787</x:v>
      </x:c>
      <x:c r="B1225" s="13" t="str">
        <x:v>CIA SIDERURGICA NACIONAL SA</x:v>
      </x:c>
      <x:c r="C1225" s="16" t="n">
        <x:v>2721.11573753</x:v>
      </x:c>
      <x:c r="D1225" s="13" t="str">
        <x:v>Metals &amp; Mining</x:v>
      </x:c>
      <x:c r="E1225" s="13" t="str">
        <x:v>Metals &amp; Mining</x:v>
      </x:c>
      <x:c r="F1225" s="13" t="str">
        <x:v>Deep Cyclicals</x:v>
      </x:c>
      <x:c r="G1225" s="13" t="str">
        <x:v>grid_wekqfxnd.xlsx</x:v>
      </x:c>
    </x:row>
    <x:row r="1226">
      <x:c r="A1226" s="15" t="n">
        <x:v>40787</x:v>
      </x:c>
      <x:c r="B1226" s="13" t="str">
        <x:v>GERDAU SA-PREF</x:v>
      </x:c>
      <x:c r="C1226" s="16" t="n">
        <x:v>2354.0710330055</x:v>
      </x:c>
      <x:c r="D1226" s="13" t="str">
        <x:v>Metals &amp; Mining</x:v>
      </x:c>
      <x:c r="E1226" s="13" t="str">
        <x:v>Metals &amp; Mining</x:v>
      </x:c>
      <x:c r="F1226" s="13" t="str">
        <x:v>Deep Cyclicals</x:v>
      </x:c>
      <x:c r="G1226" s="13" t="str">
        <x:v>grid_wekqfxnd.xlsx</x:v>
      </x:c>
    </x:row>
    <x:row r="1227">
      <x:c r="A1227" s="15" t="n">
        <x:v>40787</x:v>
      </x:c>
      <x:c r="B1227" s="13" t="str">
        <x:v>METALURGICA GERDAU SA-PREF</x:v>
      </x:c>
      <x:c r="C1227" s="16" t="n">
        <x:v>911.693989071</x:v>
      </x:c>
      <x:c r="D1227" s="13" t="str">
        <x:v>Metals &amp; Mining</x:v>
      </x:c>
      <x:c r="E1227" s="13" t="str">
        <x:v>Metals &amp; Mining</x:v>
      </x:c>
      <x:c r="F1227" s="13" t="str">
        <x:v>Deep Cyclicals</x:v>
      </x:c>
      <x:c r="G1227" s="13" t="str">
        <x:v>grid_wekqfxnd.xlsx</x:v>
      </x:c>
    </x:row>
    <x:row r="1228">
      <x:c r="A1228" s="15" t="n">
        <x:v>40787</x:v>
      </x:c>
      <x:c r="B1228" s="13" t="str">
        <x:v>MMX MINERACAO E METALICOS SA</x:v>
      </x:c>
      <x:c r="C1228" s="16" t="n">
        <x:v>253.9978136831</x:v>
      </x:c>
      <x:c r="D1228" s="13" t="str">
        <x:v>Metals &amp; Mining</x:v>
      </x:c>
      <x:c r="E1228" s="13" t="str">
        <x:v>Metals &amp; Mining</x:v>
      </x:c>
      <x:c r="F1228" s="13" t="str">
        <x:v>Deep Cyclicals</x:v>
      </x:c>
      <x:c r="G1228" s="13" t="str">
        <x:v>grid_wekqfxnd.xlsx</x:v>
      </x:c>
    </x:row>
    <x:row r="1229">
      <x:c r="A1229" s="15" t="n">
        <x:v>40787</x:v>
      </x:c>
      <x:c r="B1229" s="13" t="str">
        <x:v>USINAS SIDER MINAS GER-PF A</x:v>
      </x:c>
      <x:c r="C1229" s="16" t="n">
        <x:v>534.4095702732</x:v>
      </x:c>
      <x:c r="D1229" s="13" t="str">
        <x:v>Metals &amp; Mining</x:v>
      </x:c>
      <x:c r="E1229" s="13" t="str">
        <x:v>Metals &amp; Mining</x:v>
      </x:c>
      <x:c r="F1229" s="13" t="str">
        <x:v>Deep Cyclicals</x:v>
      </x:c>
      <x:c r="G1229" s="13" t="str">
        <x:v>grid_wekqfxnd.xlsx</x:v>
      </x:c>
    </x:row>
    <x:row r="1230">
      <x:c r="A1230" s="15" t="n">
        <x:v>40787</x:v>
      </x:c>
      <x:c r="B1230" s="13" t="str">
        <x:v>USINAS SIDERURGICAS DE MINAS</x:v>
      </x:c>
      <x:c r="C1230" s="16" t="n">
        <x:v>534.4095702732</x:v>
      </x:c>
      <x:c r="D1230" s="13" t="str">
        <x:v>Metals &amp; Mining</x:v>
      </x:c>
      <x:c r="E1230" s="13" t="str">
        <x:v>Metals &amp; Mining</x:v>
      </x:c>
      <x:c r="F1230" s="13" t="str">
        <x:v>Deep Cyclicals</x:v>
      </x:c>
      <x:c r="G1230" s="13" t="str">
        <x:v>grid_wekqfxnd.xlsx</x:v>
      </x:c>
    </x:row>
    <x:row r="1231">
      <x:c r="A1231" s="15" t="n">
        <x:v>40787</x:v>
      </x:c>
      <x:c r="B1231" s="13" t="str">
        <x:v>VALE SA</x:v>
      </x:c>
      <x:c r="C1231" s="16" t="n">
        <x:v>42514.7395133552</x:v>
      </x:c>
      <x:c r="D1231" s="13" t="str">
        <x:v>Metals &amp; Mining</x:v>
      </x:c>
      <x:c r="E1231" s="13" t="str">
        <x:v>Metals &amp; Mining</x:v>
      </x:c>
      <x:c r="F1231" s="13" t="str">
        <x:v>Deep Cyclicals</x:v>
      </x:c>
      <x:c r="G1231" s="13" t="str">
        <x:v>grid_wekqfxnd.xlsx</x:v>
      </x:c>
    </x:row>
    <x:row r="1232">
      <x:c r="A1232" s="15" t="n">
        <x:v>40787</x:v>
      </x:c>
      <x:c r="B1232" s="13" t="str">
        <x:v>BRASKEM SA-PREF A</x:v>
      </x:c>
      <x:c r="C1232" s="16" t="n">
        <x:v>1110.576413377</x:v>
      </x:c>
      <x:c r="D1232" s="13" t="str">
        <x:v>Oil, Gas &amp; Petrochemicals</x:v>
      </x:c>
      <x:c r="E1232" s="13" t="str">
        <x:v>Oil, Gas &amp; Petrochemicals</x:v>
      </x:c>
      <x:c r="F1232" s="13" t="str">
        <x:v>Deep Cyclicals</x:v>
      </x:c>
      <x:c r="G1232" s="13" t="str">
        <x:v>grid_wekqfxnd.xlsx</x:v>
      </x:c>
    </x:row>
    <x:row r="1233">
      <x:c r="A1233" s="15" t="n">
        <x:v>40787</x:v>
      </x:c>
      <x:c r="B1233" s="13" t="str">
        <x:v>COSAN SA</x:v>
      </x:c>
      <x:c r="C1233" s="16" t="n">
        <x:v>564</x:v>
      </x:c>
      <x:c r="D1233" s="13" t="str">
        <x:v>Oil, Gas &amp; Petrochemicals</x:v>
      </x:c>
      <x:c r="E1233" s="13" t="str">
        <x:v>Oil, Gas &amp; Petrochemicals</x:v>
      </x:c>
      <x:c r="F1233" s="13" t="str">
        <x:v>Deep Cyclicals</x:v>
      </x:c>
      <x:c r="G1233" s="13" t="str">
        <x:v>grid_wekqfxnd.xlsx</x:v>
      </x:c>
    </x:row>
    <x:row r="1234">
      <x:c r="A1234" s="15" t="n">
        <x:v>40787</x:v>
      </x:c>
      <x:c r="B1234" s="13" t="str">
        <x:v>OLEO E GAS PARTICIPACOES SA</x:v>
      </x:c>
      <x:c r="C1234" s="16" t="n">
        <x:v>617.3198464699</x:v>
      </x:c>
      <x:c r="D1234" s="13" t="str">
        <x:v>Oil, Gas &amp; Petrochemicals</x:v>
      </x:c>
      <x:c r="E1234" s="13" t="str">
        <x:v>Oil, Gas &amp; Petrochemicals</x:v>
      </x:c>
      <x:c r="F1234" s="13" t="str">
        <x:v>Deep Cyclicals</x:v>
      </x:c>
      <x:c r="G1234" s="13" t="str">
        <x:v>grid_wekqfxnd.xlsx</x:v>
      </x:c>
    </x:row>
    <x:row r="1235">
      <x:c r="A1235" s="15" t="n">
        <x:v>40787</x:v>
      </x:c>
      <x:c r="B1235" s="13" t="str">
        <x:v>PETROBRAS - PETROLEO BRAS</x:v>
      </x:c>
      <x:c r="C1235" s="16" t="n">
        <x:v>40856.1304313005</x:v>
      </x:c>
      <x:c r="D1235" s="13" t="str">
        <x:v>Oil, Gas &amp; Petrochemicals</x:v>
      </x:c>
      <x:c r="E1235" s="13" t="str">
        <x:v>Oil, Gas &amp; Petrochemicals</x:v>
      </x:c>
      <x:c r="F1235" s="13" t="str">
        <x:v>Deep Cyclicals</x:v>
      </x:c>
      <x:c r="G1235" s="13" t="str">
        <x:v>grid_wekqfxnd.xlsx</x:v>
      </x:c>
    </x:row>
    <x:row r="1236">
      <x:c r="A1236" s="15" t="n">
        <x:v>40787</x:v>
      </x:c>
      <x:c r="B1236" s="13" t="str">
        <x:v>ULTRAPAR PARTICIPACOES SA</x:v>
      </x:c>
      <x:c r="C1236" s="16" t="n">
        <x:v>951.1804366339</x:v>
      </x:c>
      <x:c r="D1236" s="13" t="str">
        <x:v>Oil, Gas &amp; Petrochemicals</x:v>
      </x:c>
      <x:c r="E1236" s="13" t="str">
        <x:v>Oil, Gas &amp; Petrochemicals</x:v>
      </x:c>
      <x:c r="F1236" s="13" t="str">
        <x:v>Deep Cyclicals</x:v>
      </x:c>
      <x:c r="G1236" s="13" t="str">
        <x:v>grid_wekqfxnd.xlsx</x:v>
      </x:c>
    </x:row>
    <x:row r="1237">
      <x:c r="A1237" s="15" t="n">
        <x:v>40787</x:v>
      </x:c>
      <x:c r="B1237" s="13" t="str">
        <x:v>DEXCO SA</x:v>
      </x:c>
      <x:c r="C1237" s="16" t="n">
        <x:v>437.7763462295</x:v>
      </x:c>
      <x:c r="D1237" s="13" t="str">
        <x:v>Pulp &amp; Paper</x:v>
      </x:c>
      <x:c r="E1237" s="13" t="str">
        <x:v>Pulp &amp; Paper</x:v>
      </x:c>
      <x:c r="F1237" s="13" t="str">
        <x:v>Deep Cyclicals</x:v>
      </x:c>
      <x:c r="G1237" s="13" t="str">
        <x:v>grid_wekqfxnd.xlsx</x:v>
      </x:c>
    </x:row>
    <x:row r="1238">
      <x:c r="A1238" s="15" t="n">
        <x:v>40787</x:v>
      </x:c>
      <x:c r="B1238" s="13" t="str">
        <x:v>FIBRIA CELULOSE S/A</x:v>
      </x:c>
      <x:c r="C1238" s="16" t="n">
        <x:v>130.6174863388</x:v>
      </x:c>
      <x:c r="D1238" s="13" t="str">
        <x:v>Pulp &amp; Paper</x:v>
      </x:c>
      <x:c r="E1238" s="13" t="str">
        <x:v>Pulp &amp; Paper</x:v>
      </x:c>
      <x:c r="F1238" s="13" t="str">
        <x:v>Deep Cyclicals</x:v>
      </x:c>
      <x:c r="G1238" s="13" t="str">
        <x:v>grid_wekqfxnd.xlsx</x:v>
      </x:c>
    </x:row>
    <x:row r="1239">
      <x:c r="A1239" s="15" t="n">
        <x:v>40787</x:v>
      </x:c>
      <x:c r="B1239" s="13" t="str">
        <x:v>AMERICANAS SA</x:v>
      </x:c>
      <x:c r="C1239" s="16" t="n">
        <x:v>66.1576601093</x:v>
      </x:c>
      <x:c r="D1239" s="13" t="str">
        <x:v>Retail</x:v>
      </x:c>
      <x:c r="E1239" s="13" t="str">
        <x:v>Retail</x:v>
      </x:c>
      <x:c r="F1239" s="13" t="str">
        <x:v>Early Cyclicals</x:v>
      </x:c>
      <x:c r="G1239" s="13" t="str">
        <x:v>grid_wekqfxnd.xlsx</x:v>
      </x:c>
    </x:row>
    <x:row r="1240">
      <x:c r="A1240" s="15" t="n">
        <x:v>40787</x:v>
      </x:c>
      <x:c r="B1240" s="13" t="str">
        <x:v>CIA BRASILEIRA DE DIS-PREF</x:v>
      </x:c>
      <x:c r="C1240" s="16" t="n">
        <x:v>978.523791388</x:v>
      </x:c>
      <x:c r="D1240" s="13" t="str">
        <x:v>Retail</x:v>
      </x:c>
      <x:c r="E1240" s="13" t="str">
        <x:v>Retail</x:v>
      </x:c>
      <x:c r="F1240" s="13" t="str">
        <x:v>Early Cyclicals</x:v>
      </x:c>
      <x:c r="G1240" s="13" t="str">
        <x:v>grid_wekqfxnd.xlsx</x:v>
      </x:c>
    </x:row>
    <x:row r="1241">
      <x:c r="A1241" s="15" t="n">
        <x:v>40787</x:v>
      </x:c>
      <x:c r="B1241" s="13" t="str">
        <x:v>CIA HERING</x:v>
      </x:c>
      <x:c r="C1241" s="16" t="n">
        <x:v>336.4251490273</x:v>
      </x:c>
      <x:c r="D1241" s="13" t="str">
        <x:v>Retail</x:v>
      </x:c>
      <x:c r="E1241" s="13" t="str">
        <x:v>Retail</x:v>
      </x:c>
      <x:c r="F1241" s="13" t="str">
        <x:v>Early Cyclicals</x:v>
      </x:c>
      <x:c r="G1241" s="13" t="str">
        <x:v>grid_wekqfxnd.xlsx</x:v>
      </x:c>
    </x:row>
    <x:row r="1242">
      <x:c r="A1242" s="15" t="n">
        <x:v>40787</x:v>
      </x:c>
      <x:c r="B1242" s="13" t="str">
        <x:v>LOJAS AMERICANAS SA-PREF</x:v>
      </x:c>
      <x:c r="C1242" s="16" t="n">
        <x:v>437.2961227541</x:v>
      </x:c>
      <x:c r="D1242" s="13" t="str">
        <x:v>Retail</x:v>
      </x:c>
      <x:c r="E1242" s="13" t="str">
        <x:v>Retail</x:v>
      </x:c>
      <x:c r="F1242" s="13" t="str">
        <x:v>Early Cyclicals</x:v>
      </x:c>
      <x:c r="G1242" s="13" t="str">
        <x:v>grid_wekqfxnd.xlsx</x:v>
      </x:c>
    </x:row>
    <x:row r="1243">
      <x:c r="A1243" s="15" t="n">
        <x:v>40787</x:v>
      </x:c>
      <x:c r="B1243" s="13" t="str">
        <x:v>LOJAS RENNER S.A.</x:v>
      </x:c>
      <x:c r="C1243" s="16" t="n">
        <x:v>410.9659925683</x:v>
      </x:c>
      <x:c r="D1243" s="13" t="str">
        <x:v>Retail</x:v>
      </x:c>
      <x:c r="E1243" s="13" t="str">
        <x:v>Retail</x:v>
      </x:c>
      <x:c r="F1243" s="13" t="str">
        <x:v>Early Cyclicals</x:v>
      </x:c>
      <x:c r="G1243" s="13" t="str">
        <x:v>grid_wekqfxnd.xlsx</x:v>
      </x:c>
    </x:row>
    <x:row r="1244">
      <x:c r="A1244" s="15" t="n">
        <x:v>40787</x:v>
      </x:c>
      <x:c r="B1244" s="13" t="str">
        <x:v>NATURA COSMETICOS SA</x:v>
      </x:c>
      <x:c r="C1244" s="16" t="n">
        <x:v>892.3968818361</x:v>
      </x:c>
      <x:c r="D1244" s="13" t="str">
        <x:v>Retail</x:v>
      </x:c>
      <x:c r="E1244" s="13" t="str">
        <x:v>Retail</x:v>
      </x:c>
      <x:c r="F1244" s="13" t="str">
        <x:v>Early Cyclicals</x:v>
      </x:c>
      <x:c r="G1244" s="13" t="str">
        <x:v>grid_wekqfxnd.xlsx</x:v>
      </x:c>
    </x:row>
    <x:row r="1245">
      <x:c r="A1245" s="15" t="n">
        <x:v>40787</x:v>
      </x:c>
      <x:c r="B1245" s="13" t="str">
        <x:v>CIA SANEAMENTO BASICO DE SP</x:v>
      </x:c>
      <x:c r="C1245" s="16" t="n">
        <x:v>1423.4639038251</x:v>
      </x:c>
      <x:c r="D1245" s="13" t="str">
        <x:v>Sanitation</x:v>
      </x:c>
      <x:c r="E1245" s="13" t="str">
        <x:v>Utilities</x:v>
      </x:c>
      <x:c r="F1245" s="13" t="str">
        <x:v>Defensives</x:v>
      </x:c>
      <x:c r="G1245" s="13" t="str">
        <x:v>grid_wekqfxnd.xlsx</x:v>
      </x:c>
    </x:row>
    <x:row r="1246">
      <x:c r="A1246" s="15" t="n">
        <x:v>40787</x:v>
      </x:c>
      <x:c r="B1246" s="13" t="str">
        <x:v>OI SA-PREFERENCE</x:v>
      </x:c>
      <x:c r="C1246" s="16" t="n">
        <x:v>1369.693989071</x:v>
      </x:c>
      <x:c r="D1246" s="13" t="str">
        <x:v>TMT</x:v>
      </x:c>
      <x:c r="E1246" s="13" t="str">
        <x:v>TMT</x:v>
      </x:c>
      <x:c r="F1246" s="13" t="str">
        <x:v>Early Cyclicals</x:v>
      </x:c>
      <x:c r="G1246" s="13" t="str">
        <x:v>grid_wekqfxnd.xlsx</x:v>
      </x:c>
    </x:row>
    <x:row r="1247">
      <x:c r="A1247" s="15" t="n">
        <x:v>40787</x:v>
      </x:c>
      <x:c r="B1247" s="13" t="str">
        <x:v>TELE NORTE LESTE PART</x:v>
      </x:c>
      <x:c r="C1247" s="16" t="n">
        <x:v>958.6234488306</x:v>
      </x:c>
      <x:c r="D1247" s="13" t="str">
        <x:v>TMT</x:v>
      </x:c>
      <x:c r="E1247" s="13" t="str">
        <x:v>TMT</x:v>
      </x:c>
      <x:c r="F1247" s="13" t="str">
        <x:v>Early Cyclicals</x:v>
      </x:c>
      <x:c r="G1247" s="13" t="str">
        <x:v>grid_wekqfxnd.xlsx</x:v>
      </x:c>
    </x:row>
    <x:row r="1248">
      <x:c r="A1248" s="15" t="n">
        <x:v>40787</x:v>
      </x:c>
      <x:c r="B1248" s="13" t="str">
        <x:v>TELEFONICA BRASIL S.A.-PREF</x:v>
      </x:c>
      <x:c r="C1248" s="16" t="n">
        <x:v>5083.3573854426</x:v>
      </x:c>
      <x:c r="D1248" s="13" t="str">
        <x:v>TMT</x:v>
      </x:c>
      <x:c r="E1248" s="13" t="str">
        <x:v>TMT</x:v>
      </x:c>
      <x:c r="F1248" s="13" t="str">
        <x:v>Early Cyclicals</x:v>
      </x:c>
      <x:c r="G1248" s="13" t="str">
        <x:v>grid_wekqfxnd.xlsx</x:v>
      </x:c>
    </x:row>
    <x:row r="1249">
      <x:c r="A1249" s="15" t="n">
        <x:v>40787</x:v>
      </x:c>
      <x:c r="B1249" s="13" t="str">
        <x:v>TELEMAR NORTE LESTE SA</x:v>
      </x:c>
      <x:c r="C1249" s="16" t="n">
        <x:v>1151.576492765</x:v>
      </x:c>
      <x:c r="D1249" s="13" t="str">
        <x:v>TMT</x:v>
      </x:c>
      <x:c r="E1249" s="13" t="str">
        <x:v>TMT</x:v>
      </x:c>
      <x:c r="F1249" s="13" t="str">
        <x:v>Early Cyclicals</x:v>
      </x:c>
      <x:c r="G1249" s="13" t="str">
        <x:v>grid_wekqfxnd.xlsx</x:v>
      </x:c>
    </x:row>
    <x:row r="1250">
      <x:c r="A1250" s="15" t="n">
        <x:v>40787</x:v>
      </x:c>
      <x:c r="B1250" s="13" t="str">
        <x:v>TIM SA</x:v>
      </x:c>
      <x:c r="C1250" s="16" t="n">
        <x:v>1522.6079433443</x:v>
      </x:c>
      <x:c r="D1250" s="13" t="str">
        <x:v>TMT</x:v>
      </x:c>
      <x:c r="E1250" s="13" t="str">
        <x:v>TMT</x:v>
      </x:c>
      <x:c r="F1250" s="13" t="str">
        <x:v>Early Cyclicals</x:v>
      </x:c>
      <x:c r="G1250" s="13" t="str">
        <x:v>grid_wekqfxnd.xlsx</x:v>
      </x:c>
    </x:row>
    <x:row r="1251">
      <x:c r="A1251" s="15" t="n">
        <x:v>40787</x:v>
      </x:c>
      <x:c r="B1251" s="13" t="str">
        <x:v>GOL LINHAS AEREAS INT SA-PRE</x:v>
      </x:c>
      <x:c r="C1251" s="16" t="n">
        <x:v>97.9308936393</x:v>
      </x:c>
      <x:c r="D1251" s="13" t="str">
        <x:v>Transportation</x:v>
      </x:c>
      <x:c r="E1251" s="13" t="str">
        <x:v>Transportation</x:v>
      </x:c>
      <x:c r="F1251" s="13" t="str">
        <x:v>Deep Cyclicals</x:v>
      </x:c>
      <x:c r="G1251" s="13" t="str">
        <x:v>grid_wekqfxnd.xlsx</x:v>
      </x:c>
    </x:row>
    <x:row r="1252">
      <x:c r="A1252" s="15" t="n">
        <x:v>40787</x:v>
      </x:c>
      <x:c r="B1252" s="13" t="str">
        <x:v>MOTIVA INFRAESTRUTURA DE MOB</x:v>
      </x:c>
      <x:c r="C1252" s="16" t="n">
        <x:v>1117.8813272131</x:v>
      </x:c>
      <x:c r="D1252" s="13" t="str">
        <x:v>Transportation</x:v>
      </x:c>
      <x:c r="E1252" s="13" t="str">
        <x:v>Transportation</x:v>
      </x:c>
      <x:c r="F1252" s="13" t="str">
        <x:v>Deep Cyclicals</x:v>
      </x:c>
      <x:c r="G1252" s="13" t="str">
        <x:v>grid_wekqfxnd.xlsx</x:v>
      </x:c>
    </x:row>
    <x:row r="1253">
      <x:c r="A1253" s="15" t="n">
        <x:v>40787</x:v>
      </x:c>
      <x:c r="B1253" s="13" t="str">
        <x:v>PRUMO LOGISTICA SA</x:v>
      </x:c>
      <x:c r="C1253" s="16" t="n">
        <x:v>-66.7997814208</x:v>
      </x:c>
      <x:c r="D1253" s="13" t="str">
        <x:v>Transportation</x:v>
      </x:c>
      <x:c r="E1253" s="13" t="str">
        <x:v>Transportation</x:v>
      </x:c>
      <x:c r="F1253" s="13" t="str">
        <x:v>Deep Cyclicals</x:v>
      </x:c>
      <x:c r="G1253" s="13" t="str">
        <x:v>grid_wekqfxnd.xlsx</x:v>
      </x:c>
    </x:row>
    <x:row r="1254">
      <x:c r="A1254" s="15" t="n">
        <x:v>40787</x:v>
      </x:c>
      <x:c r="B1254" s="13" t="str">
        <x:v>RUMO SA</x:v>
      </x:c>
      <x:c r="C1254" s="16" t="n">
        <x:v>289.855540459</x:v>
      </x:c>
      <x:c r="D1254" s="13" t="str">
        <x:v>Transportation</x:v>
      </x:c>
      <x:c r="E1254" s="13" t="str">
        <x:v>Transportation</x:v>
      </x:c>
      <x:c r="F1254" s="13" t="str">
        <x:v>Deep Cyclicals</x:v>
      </x:c>
      <x:c r="G1254" s="13" t="str">
        <x:v>grid_wekqfxnd.xlsx</x:v>
      </x:c>
    </x:row>
    <x:row r="1255">
      <x:c r="A1255" s="15" t="n">
        <x:v>40787</x:v>
      </x:c>
      <x:c r="B1255" s="13" t="str">
        <x:v>TAM SA-PREF</x:v>
      </x:c>
      <x:c r="C1255" s="16" t="n">
        <x:v>187.2625703169</x:v>
      </x:c>
      <x:c r="D1255" s="13" t="str">
        <x:v>Transportation</x:v>
      </x:c>
      <x:c r="E1255" s="13" t="str">
        <x:v>Transportation</x:v>
      </x:c>
      <x:c r="F1255" s="13" t="str">
        <x:v>Deep Cyclicals</x:v>
      </x:c>
      <x:c r="G1255" s="13" t="str">
        <x:v>grid_wekqfxnd.xlsx</x:v>
      </x:c>
    </x:row>
    <x:row r="1256">
      <x:c r="A1256" s="15" t="n">
        <x:v>40787</x:v>
      </x:c>
      <x:c r="B1256" s="13" t="str">
        <x:v>AXIA ENERGIA SA</x:v>
      </x:c>
      <x:c r="C1256" s="16" t="n">
        <x:v>3909.1437464481</x:v>
      </x:c>
      <x:c r="D1256" s="13" t="str">
        <x:v>Utilities &amp; Energy</x:v>
      </x:c>
      <x:c r="E1256" s="13" t="str">
        <x:v>Utilities</x:v>
      </x:c>
      <x:c r="F1256" s="13" t="str">
        <x:v>Defensives</x:v>
      </x:c>
      <x:c r="G1256" s="13" t="str">
        <x:v>grid_wekqfxnd.xlsx</x:v>
      </x:c>
    </x:row>
    <x:row r="1257">
      <x:c r="A1257" s="15" t="n">
        <x:v>40787</x:v>
      </x:c>
      <x:c r="B1257" s="13" t="str">
        <x:v>AXIA ENERGIA-PR B</x:v>
      </x:c>
      <x:c r="C1257" s="16" t="n">
        <x:v>3909.1437464481</x:v>
      </x:c>
      <x:c r="D1257" s="13" t="str">
        <x:v>Utilities &amp; Energy</x:v>
      </x:c>
      <x:c r="E1257" s="13" t="str">
        <x:v>Utilities</x:v>
      </x:c>
      <x:c r="F1257" s="13" t="str">
        <x:v>Defensives</x:v>
      </x:c>
      <x:c r="G1257" s="13" t="str">
        <x:v>grid_wekqfxnd.xlsx</x:v>
      </x:c>
    </x:row>
    <x:row r="1258">
      <x:c r="A1258" s="15" t="n">
        <x:v>40787</x:v>
      </x:c>
      <x:c r="B1258" s="13" t="str">
        <x:v>CESP - CIA ENERGETICA DE SAO</x:v>
      </x:c>
      <x:c r="C1258" s="16" t="n">
        <x:v>605.9925224918</x:v>
      </x:c>
      <x:c r="D1258" s="13" t="str">
        <x:v>Utilities &amp; Energy</x:v>
      </x:c>
      <x:c r="E1258" s="13" t="str">
        <x:v>Utilities</x:v>
      </x:c>
      <x:c r="F1258" s="13" t="str">
        <x:v>Defensives</x:v>
      </x:c>
      <x:c r="G1258" s="13" t="str">
        <x:v>grid_wekqfxnd.xlsx</x:v>
      </x:c>
    </x:row>
    <x:row r="1259">
      <x:c r="A1259" s="15" t="n">
        <x:v>40787</x:v>
      </x:c>
      <x:c r="B1259" s="13" t="str">
        <x:v>CIA ENERGETICA MINAS GER-PRF</x:v>
      </x:c>
      <x:c r="C1259" s="16" t="n">
        <x:v>2286.022941377</x:v>
      </x:c>
      <x:c r="D1259" s="13" t="str">
        <x:v>Utilities &amp; Energy</x:v>
      </x:c>
      <x:c r="E1259" s="13" t="str">
        <x:v>Utilities</x:v>
      </x:c>
      <x:c r="F1259" s="13" t="str">
        <x:v>Defensives</x:v>
      </x:c>
      <x:c r="G1259" s="13" t="str">
        <x:v>grid_wekqfxnd.xlsx</x:v>
      </x:c>
    </x:row>
    <x:row r="1260">
      <x:c r="A1260" s="15" t="n">
        <x:v>40787</x:v>
      </x:c>
      <x:c r="B1260" s="13" t="str">
        <x:v>COMPANHIA PARANAENSE -PREF B</x:v>
      </x:c>
      <x:c r="C1260" s="16" t="n">
        <x:v>1310.8530668415</x:v>
      </x:c>
      <x:c r="D1260" s="13" t="str">
        <x:v>Utilities &amp; Energy</x:v>
      </x:c>
      <x:c r="E1260" s="13" t="str">
        <x:v>Utilities</x:v>
      </x:c>
      <x:c r="F1260" s="13" t="str">
        <x:v>Defensives</x:v>
      </x:c>
      <x:c r="G1260" s="13" t="str">
        <x:v>grid_wekqfxnd.xlsx</x:v>
      </x:c>
    </x:row>
    <x:row r="1261">
      <x:c r="A1261" s="15" t="n">
        <x:v>40787</x:v>
      </x:c>
      <x:c r="B1261" s="13" t="str">
        <x:v>CPFL ENERGIA SA</x:v>
      </x:c>
      <x:c r="C1261" s="16" t="n">
        <x:v>1544.5972291148</x:v>
      </x:c>
      <x:c r="D1261" s="13" t="str">
        <x:v>Utilities &amp; Energy</x:v>
      </x:c>
      <x:c r="E1261" s="13" t="str">
        <x:v>Utilities</x:v>
      </x:c>
      <x:c r="F1261" s="13" t="str">
        <x:v>Defensives</x:v>
      </x:c>
      <x:c r="G1261" s="13" t="str">
        <x:v>grid_wekqfxnd.xlsx</x:v>
      </x:c>
    </x:row>
    <x:row r="1262">
      <x:c r="A1262" s="15" t="n">
        <x:v>40787</x:v>
      </x:c>
      <x:c r="B1262" s="13" t="str">
        <x:v>ELETROPAULO METROPOLI-PREF</x:v>
      </x:c>
      <x:c r="C1262" s="16" t="n">
        <x:v>610.1690502295</x:v>
      </x:c>
      <x:c r="D1262" s="13" t="str">
        <x:v>Utilities &amp; Energy</x:v>
      </x:c>
      <x:c r="E1262" s="13" t="str">
        <x:v>Utilities</x:v>
      </x:c>
      <x:c r="F1262" s="13" t="str">
        <x:v>Defensives</x:v>
      </x:c>
      <x:c r="G1262" s="13" t="str">
        <x:v>grid_wekqfxnd.xlsx</x:v>
      </x:c>
    </x:row>
    <x:row r="1263">
      <x:c r="A1263" s="15" t="n">
        <x:v>40787</x:v>
      </x:c>
      <x:c r="B1263" s="13" t="str">
        <x:v>ISA ENERGIA BRASIL SA</x:v>
      </x:c>
      <x:c r="C1263" s="16" t="n">
        <x:v>913.3224043716</x:v>
      </x:c>
      <x:c r="D1263" s="13" t="str">
        <x:v>Utilities &amp; Energy</x:v>
      </x:c>
      <x:c r="E1263" s="13" t="str">
        <x:v>Utilities</x:v>
      </x:c>
      <x:c r="F1263" s="13" t="str">
        <x:v>Defensives</x:v>
      </x:c>
      <x:c r="G1263" s="13" t="str">
        <x:v>grid_wekqfxnd.xlsx</x:v>
      </x:c>
    </x:row>
    <x:row r="1264">
      <x:c r="A1264" s="15" t="n">
        <x:v>40787</x:v>
      </x:c>
      <x:c r="B1264" s="13" t="str">
        <x:v>LIGHT SA</x:v>
      </x:c>
      <x:c r="C1264" s="16" t="n">
        <x:v>576.5571605683</x:v>
      </x:c>
      <x:c r="D1264" s="13" t="str">
        <x:v>Utilities &amp; Energy</x:v>
      </x:c>
      <x:c r="E1264" s="13" t="str">
        <x:v>Utilities</x:v>
      </x:c>
      <x:c r="F1264" s="13" t="str">
        <x:v>Defensives</x:v>
      </x:c>
      <x:c r="G1264" s="13" t="str">
        <x:v>grid_wekqfxnd.xlsx</x:v>
      </x:c>
    </x:row>
    <x:row r="1265">
      <x:c r="A1265" s="15" t="n">
        <x:v>40817</x:v>
      </x:c>
      <x:c r="B1265" s="13" t="str">
        <x:v>BANCO BRADESCO SA-PREF</x:v>
      </x:c>
      <x:c r="C1265" s="16" t="n">
        <x:v>12474.7170133333</x:v>
      </x:c>
      <x:c r="D1265" s="13" t="str">
        <x:v>Banks</x:v>
      </x:c>
      <x:c r="E1265" s="13" t="str">
        <x:v>Banks</x:v>
      </x:c>
      <x:c r="F1265" s="13" t="str">
        <x:v>Financials</x:v>
      </x:c>
      <x:c r="G1265" s="13" t="str">
        <x:v>grid_wekqfxnd.xlsx</x:v>
      </x:c>
    </x:row>
    <x:row r="1266">
      <x:c r="A1266" s="15" t="n">
        <x:v>40817</x:v>
      </x:c>
      <x:c r="B1266" s="13" t="str">
        <x:v>BANCO DO BRASIL S.A.</x:v>
      </x:c>
      <x:c r="C1266" s="16" t="n">
        <x:v>12179.6497066667</x:v>
      </x:c>
      <x:c r="D1266" s="13" t="str">
        <x:v>Banks</x:v>
      </x:c>
      <x:c r="E1266" s="13" t="str">
        <x:v>Banks</x:v>
      </x:c>
      <x:c r="F1266" s="13" t="str">
        <x:v>Financials</x:v>
      </x:c>
      <x:c r="G1266" s="13" t="str">
        <x:v>grid_wekqfxnd.xlsx</x:v>
      </x:c>
    </x:row>
    <x:row r="1267">
      <x:c r="A1267" s="15" t="n">
        <x:v>40817</x:v>
      </x:c>
      <x:c r="B1267" s="13" t="str">
        <x:v>BANCO SANTANDER  BRASIL-UNIT</x:v>
      </x:c>
      <x:c r="C1267" s="16" t="n">
        <x:v>7010.783232</x:v>
      </x:c>
      <x:c r="D1267" s="13" t="str">
        <x:v>Banks</x:v>
      </x:c>
      <x:c r="E1267" s="13" t="str">
        <x:v>Banks</x:v>
      </x:c>
      <x:c r="F1267" s="13" t="str">
        <x:v>Financials</x:v>
      </x:c>
      <x:c r="G1267" s="13" t="str">
        <x:v>grid_wekqfxnd.xlsx</x:v>
      </x:c>
    </x:row>
    <x:row r="1268">
      <x:c r="A1268" s="15" t="n">
        <x:v>40817</x:v>
      </x:c>
      <x:c r="B1268" s="13" t="str">
        <x:v>ITAU UNIBANCO HOLDING S-PREF</x:v>
      </x:c>
      <x:c r="C1268" s="16" t="n">
        <x:v>16178.41664</x:v>
      </x:c>
      <x:c r="D1268" s="13" t="str">
        <x:v>Banks</x:v>
      </x:c>
      <x:c r="E1268" s="13" t="str">
        <x:v>Banks</x:v>
      </x:c>
      <x:c r="F1268" s="13" t="str">
        <x:v>Financials</x:v>
      </x:c>
      <x:c r="G1268" s="13" t="str">
        <x:v>grid_wekqfxnd.xlsx</x:v>
      </x:c>
    </x:row>
    <x:row r="1269">
      <x:c r="A1269" s="15" t="n">
        <x:v>40817</x:v>
      </x:c>
      <x:c r="B1269" s="13" t="str">
        <x:v>EMBRAER SA</x:v>
      </x:c>
      <x:c r="C1269" s="16" t="n">
        <x:v>780.7004906667</x:v>
      </x:c>
      <x:c r="D1269" s="13" t="str">
        <x:v>Capital Goods</x:v>
      </x:c>
      <x:c r="E1269" s="13" t="str">
        <x:v>Capital Goods</x:v>
      </x:c>
      <x:c r="F1269" s="13" t="str">
        <x:v>Deep Cyclicals</x:v>
      </x:c>
      <x:c r="G1269" s="13" t="str">
        <x:v>grid_wekqfxnd.xlsx</x:v>
      </x:c>
    </x:row>
    <x:row r="1270">
      <x:c r="A1270" s="15" t="n">
        <x:v>40817</x:v>
      </x:c>
      <x:c r="B1270" s="13" t="str">
        <x:v>B3 SA-BRASIL BOLSA BALCAO</x:v>
      </x:c>
      <x:c r="C1270" s="16" t="n">
        <x:v>1477.2166826667</x:v>
      </x:c>
      <x:c r="D1270" s="13" t="str">
        <x:v>Financials Non-Banks</x:v>
      </x:c>
      <x:c r="E1270" s="13" t="str">
        <x:v>Financials Non-Banks</x:v>
      </x:c>
      <x:c r="F1270" s="13" t="str">
        <x:v>Financials</x:v>
      </x:c>
      <x:c r="G1270" s="13" t="str">
        <x:v>grid_wekqfxnd.xlsx</x:v>
      </x:c>
    </x:row>
    <x:row r="1271">
      <x:c r="A1271" s="15" t="n">
        <x:v>40817</x:v>
      </x:c>
      <x:c r="B1271" s="13" t="str">
        <x:v>CIELO SA - INSTITUICAO DE PA</x:v>
      </x:c>
      <x:c r="C1271" s="16" t="n">
        <x:v>1815.294976</x:v>
      </x:c>
      <x:c r="D1271" s="13" t="str">
        <x:v>Financials Non-Banks</x:v>
      </x:c>
      <x:c r="E1271" s="13" t="str">
        <x:v>Financials Non-Banks</x:v>
      </x:c>
      <x:c r="F1271" s="13" t="str">
        <x:v>Financials</x:v>
      </x:c>
      <x:c r="G1271" s="13" t="str">
        <x:v>grid_wekqfxnd.xlsx</x:v>
      </x:c>
    </x:row>
    <x:row r="1272">
      <x:c r="A1272" s="15" t="n">
        <x:v>40817</x:v>
      </x:c>
      <x:c r="B1272" s="13" t="str">
        <x:v>ITAUSA SA</x:v>
      </x:c>
      <x:c r="C1272" s="16" t="n">
        <x:v>5689.9167573333</x:v>
      </x:c>
      <x:c r="D1272" s="13" t="str">
        <x:v>Financials Non-Banks</x:v>
      </x:c>
      <x:c r="E1272" s="13" t="str">
        <x:v>Financials Non-Banks</x:v>
      </x:c>
      <x:c r="F1272" s="13" t="str">
        <x:v>Financials</x:v>
      </x:c>
      <x:c r="G1272" s="13" t="str">
        <x:v>grid_wekqfxnd.xlsx</x:v>
      </x:c>
    </x:row>
    <x:row r="1273">
      <x:c r="A1273" s="15" t="n">
        <x:v>40817</x:v>
      </x:c>
      <x:c r="B1273" s="13" t="str">
        <x:v>REDECARD INSTITUICAO DE PAGA</x:v>
      </x:c>
      <x:c r="C1273" s="16" t="n">
        <x:v>1388.6066773333</x:v>
      </x:c>
      <x:c r="D1273" s="13" t="str">
        <x:v>Financials Non-Banks</x:v>
      </x:c>
      <x:c r="E1273" s="13" t="str">
        <x:v>Financials Non-Banks</x:v>
      </x:c>
      <x:c r="F1273" s="13" t="str">
        <x:v>Financials</x:v>
      </x:c>
      <x:c r="G1273" s="13" t="str">
        <x:v>grid_wekqfxnd.xlsx</x:v>
      </x:c>
    </x:row>
    <x:row r="1274">
      <x:c r="A1274" s="15" t="n">
        <x:v>40817</x:v>
      </x:c>
      <x:c r="B1274" s="13" t="str">
        <x:v>AMBEV SA</x:v>
      </x:c>
      <x:c r="C1274" s="16" t="n">
        <x:v>9687.50336</x:v>
      </x:c>
      <x:c r="D1274" s="13" t="str">
        <x:v>Food &amp; Beverages</x:v>
      </x:c>
      <x:c r="E1274" s="13" t="str">
        <x:v>Agri, Food &amp; Beverages</x:v>
      </x:c>
      <x:c r="F1274" s="13" t="str">
        <x:v>Defensives</x:v>
      </x:c>
      <x:c r="G1274" s="13" t="str">
        <x:v>grid_wekqfxnd.xlsx</x:v>
      </x:c>
    </x:row>
    <x:row r="1275">
      <x:c r="A1275" s="15" t="n">
        <x:v>40817</x:v>
      </x:c>
      <x:c r="B1275" s="13" t="str">
        <x:v>BRF SA</x:v>
      </x:c>
      <x:c r="C1275" s="16" t="n">
        <x:v>1895.115008</x:v>
      </x:c>
      <x:c r="D1275" s="13" t="str">
        <x:v>Food &amp; Beverages</x:v>
      </x:c>
      <x:c r="E1275" s="13" t="str">
        <x:v>Agri, Food &amp; Beverages</x:v>
      </x:c>
      <x:c r="F1275" s="13" t="str">
        <x:v>Defensives</x:v>
      </x:c>
      <x:c r="G1275" s="13" t="str">
        <x:v>grid_wekqfxnd.xlsx</x:v>
      </x:c>
    </x:row>
    <x:row r="1276">
      <x:c r="A1276" s="15" t="n">
        <x:v>40817</x:v>
      </x:c>
      <x:c r="B1276" s="13" t="str">
        <x:v>JBS SA</x:v>
      </x:c>
      <x:c r="C1276" s="16" t="n">
        <x:v>1685.6666666667</x:v>
      </x:c>
      <x:c r="D1276" s="13" t="str">
        <x:v>Food &amp; Beverages</x:v>
      </x:c>
      <x:c r="E1276" s="13" t="str">
        <x:v>Agri, Food &amp; Beverages</x:v>
      </x:c>
      <x:c r="F1276" s="13" t="str">
        <x:v>Defensives</x:v>
      </x:c>
      <x:c r="G1276" s="13" t="str">
        <x:v>grid_wekqfxnd.xlsx</x:v>
      </x:c>
    </x:row>
    <x:row r="1277">
      <x:c r="A1277" s="15" t="n">
        <x:v>40817</x:v>
      </x:c>
      <x:c r="B1277" s="13" t="str">
        <x:v>MBRF GLOBAL FOODS COMPANY SA</x:v>
      </x:c>
      <x:c r="C1277" s="16" t="n">
        <x:v>-64.542918</x:v>
      </x:c>
      <x:c r="D1277" s="13" t="str">
        <x:v>Food &amp; Beverages</x:v>
      </x:c>
      <x:c r="E1277" s="13" t="str">
        <x:v>Agri, Food &amp; Beverages</x:v>
      </x:c>
      <x:c r="F1277" s="13" t="str">
        <x:v>Defensives</x:v>
      </x:c>
      <x:c r="G1277" s="13" t="str">
        <x:v>grid_wekqfxnd.xlsx</x:v>
      </x:c>
    </x:row>
    <x:row r="1278">
      <x:c r="A1278" s="15" t="n">
        <x:v>40817</x:v>
      </x:c>
      <x:c r="B1278" s="13" t="str">
        <x:v>SOUZA CRUZ LTDA</x:v>
      </x:c>
      <x:c r="C1278" s="16" t="n">
        <x:v>1690.6666666667</x:v>
      </x:c>
      <x:c r="D1278" s="13" t="str">
        <x:v>Food &amp; Beverages</x:v>
      </x:c>
      <x:c r="E1278" s="13" t="str">
        <x:v>Agri, Food &amp; Beverages</x:v>
      </x:c>
      <x:c r="F1278" s="13" t="str">
        <x:v>Defensives</x:v>
      </x:c>
      <x:c r="G1278" s="13" t="str">
        <x:v>grid_wekqfxnd.xlsx</x:v>
      </x:c>
    </x:row>
    <x:row r="1279">
      <x:c r="A1279" s="15" t="n">
        <x:v>40817</x:v>
      </x:c>
      <x:c r="B1279" s="13" t="str">
        <x:v>HYPERA SA</x:v>
      </x:c>
      <x:c r="C1279" s="16" t="n">
        <x:v>383.61716</x:v>
      </x:c>
      <x:c r="D1279" s="13" t="str">
        <x:v>Health Care</x:v>
      </x:c>
      <x:c r="E1279" s="13" t="str">
        <x:v>Health Care</x:v>
      </x:c>
      <x:c r="F1279" s="13" t="str">
        <x:v>Defensives</x:v>
      </x:c>
      <x:c r="G1279" s="13" t="str">
        <x:v>grid_wekqfxnd.xlsx</x:v>
      </x:c>
    </x:row>
    <x:row r="1280">
      <x:c r="A1280" s="15" t="n">
        <x:v>40817</x:v>
      </x:c>
      <x:c r="B1280" s="13" t="str">
        <x:v>CYRELA BRAZIL REALTY SA EMP</x:v>
      </x:c>
      <x:c r="C1280" s="16" t="n">
        <x:v>790.4880213333</x:v>
      </x:c>
      <x:c r="D1280" s="13" t="str">
        <x:v>Homebuilders</x:v>
      </x:c>
      <x:c r="E1280" s="13" t="str">
        <x:v>Real Estate</x:v>
      </x:c>
      <x:c r="F1280" s="13" t="str">
        <x:v>Early Cyclicals</x:v>
      </x:c>
      <x:c r="G1280" s="13" t="str">
        <x:v>grid_wekqfxnd.xlsx</x:v>
      </x:c>
    </x:row>
    <x:row r="1281">
      <x:c r="A1281" s="15" t="n">
        <x:v>40817</x:v>
      </x:c>
      <x:c r="B1281" s="13" t="str">
        <x:v>GAFISA SA</x:v>
      </x:c>
      <x:c r="C1281" s="16" t="n">
        <x:v>505.012832</x:v>
      </x:c>
      <x:c r="D1281" s="13" t="str">
        <x:v>Homebuilders</x:v>
      </x:c>
      <x:c r="E1281" s="13" t="str">
        <x:v>Real Estate</x:v>
      </x:c>
      <x:c r="F1281" s="13" t="str">
        <x:v>Early Cyclicals</x:v>
      </x:c>
      <x:c r="G1281" s="13" t="str">
        <x:v>grid_wekqfxnd.xlsx</x:v>
      </x:c>
    </x:row>
    <x:row r="1282">
      <x:c r="A1282" s="15" t="n">
        <x:v>40817</x:v>
      </x:c>
      <x:c r="B1282" s="13" t="str">
        <x:v>MRV ENGENHARIA</x:v>
      </x:c>
      <x:c r="C1282" s="16" t="n">
        <x:v>880.5123306667</x:v>
      </x:c>
      <x:c r="D1282" s="13" t="str">
        <x:v>Homebuilders</x:v>
      </x:c>
      <x:c r="E1282" s="13" t="str">
        <x:v>Real Estate</x:v>
      </x:c>
      <x:c r="F1282" s="13" t="str">
        <x:v>Early Cyclicals</x:v>
      </x:c>
      <x:c r="G1282" s="13" t="str">
        <x:v>grid_wekqfxnd.xlsx</x:v>
      </x:c>
    </x:row>
    <x:row r="1283">
      <x:c r="A1283" s="15" t="n">
        <x:v>40817</x:v>
      </x:c>
      <x:c r="B1283" s="13" t="str">
        <x:v>PDG REALTY SA</x:v>
      </x:c>
      <x:c r="C1283" s="16" t="n">
        <x:v>1252.814976</x:v>
      </x:c>
      <x:c r="D1283" s="13" t="str">
        <x:v>Homebuilders</x:v>
      </x:c>
      <x:c r="E1283" s="13" t="str">
        <x:v>Real Estate</x:v>
      </x:c>
      <x:c r="F1283" s="13" t="str">
        <x:v>Early Cyclicals</x:v>
      </x:c>
      <x:c r="G1283" s="13" t="str">
        <x:v>grid_wekqfxnd.xlsx</x:v>
      </x:c>
    </x:row>
    <x:row r="1284">
      <x:c r="A1284" s="15" t="n">
        <x:v>40817</x:v>
      </x:c>
      <x:c r="B1284" s="13" t="str">
        <x:v>ROSSI RESIDENCIAL SA</x:v>
      </x:c>
      <x:c r="C1284" s="16" t="n">
        <x:v>515.597152</x:v>
      </x:c>
      <x:c r="D1284" s="13" t="str">
        <x:v>Homebuilders</x:v>
      </x:c>
      <x:c r="E1284" s="13" t="str">
        <x:v>Real Estate</x:v>
      </x:c>
      <x:c r="F1284" s="13" t="str">
        <x:v>Early Cyclicals</x:v>
      </x:c>
      <x:c r="G1284" s="13" t="str">
        <x:v>grid_wekqfxnd.xlsx</x:v>
      </x:c>
    </x:row>
    <x:row r="1285">
      <x:c r="A1285" s="15" t="n">
        <x:v>40817</x:v>
      </x:c>
      <x:c r="B1285" s="13" t="str">
        <x:v>TEGRA INCORPORADORA SA</x:v>
      </x:c>
      <x:c r="C1285" s="16" t="n">
        <x:v>459.125008</x:v>
      </x:c>
      <x:c r="D1285" s="13" t="str">
        <x:v>Homebuilders</x:v>
      </x:c>
      <x:c r="E1285" s="13" t="str">
        <x:v>Real Estate</x:v>
      </x:c>
      <x:c r="F1285" s="13" t="str">
        <x:v>Early Cyclicals</x:v>
      </x:c>
      <x:c r="G1285" s="13" t="str">
        <x:v>grid_wekqfxnd.xlsx</x:v>
      </x:c>
    </x:row>
    <x:row r="1286">
      <x:c r="A1286" s="15" t="n">
        <x:v>40817</x:v>
      </x:c>
      <x:c r="B1286" s="13" t="str">
        <x:v>BR MALLS PARTICIPACOES SA</x:v>
      </x:c>
      <x:c r="C1286" s="16" t="n">
        <x:v>475.9303413333</x:v>
      </x:c>
      <x:c r="D1286" s="13" t="str">
        <x:v>Income Properties</x:v>
      </x:c>
      <x:c r="E1286" s="13" t="str">
        <x:v>Real Estate</x:v>
      </x:c>
      <x:c r="F1286" s="13" t="str">
        <x:v>Early Cyclicals</x:v>
      </x:c>
      <x:c r="G1286" s="13" t="str">
        <x:v>grid_wekqfxnd.xlsx</x:v>
      </x:c>
    </x:row>
    <x:row r="1287">
      <x:c r="A1287" s="15" t="n">
        <x:v>40817</x:v>
      </x:c>
      <x:c r="B1287" s="13" t="str">
        <x:v>BRADESPAR SA -PREF</x:v>
      </x:c>
      <x:c r="C1287" s="16" t="n">
        <x:v>2691.4417493333</x:v>
      </x:c>
      <x:c r="D1287" s="13" t="str">
        <x:v>Metals &amp; Mining</x:v>
      </x:c>
      <x:c r="E1287" s="13" t="str">
        <x:v>Metals &amp; Mining</x:v>
      </x:c>
      <x:c r="F1287" s="13" t="str">
        <x:v>Deep Cyclicals</x:v>
      </x:c>
      <x:c r="G1287" s="13" t="str">
        <x:v>grid_wekqfxnd.xlsx</x:v>
      </x:c>
    </x:row>
    <x:row r="1288">
      <x:c r="A1288" s="15" t="n">
        <x:v>40817</x:v>
      </x:c>
      <x:c r="B1288" s="13" t="str">
        <x:v>CIA SIDERURGICA NACIONAL SA</x:v>
      </x:c>
      <x:c r="C1288" s="16" t="n">
        <x:v>2725.3349973333</x:v>
      </x:c>
      <x:c r="D1288" s="13" t="str">
        <x:v>Metals &amp; Mining</x:v>
      </x:c>
      <x:c r="E1288" s="13" t="str">
        <x:v>Metals &amp; Mining</x:v>
      </x:c>
      <x:c r="F1288" s="13" t="str">
        <x:v>Deep Cyclicals</x:v>
      </x:c>
      <x:c r="G1288" s="13" t="str">
        <x:v>grid_wekqfxnd.xlsx</x:v>
      </x:c>
    </x:row>
    <x:row r="1289">
      <x:c r="A1289" s="15" t="n">
        <x:v>40817</x:v>
      </x:c>
      <x:c r="B1289" s="13" t="str">
        <x:v>GERDAU SA-PREF</x:v>
      </x:c>
      <x:c r="C1289" s="16" t="n">
        <x:v>2425.6084266667</x:v>
      </x:c>
      <x:c r="D1289" s="13" t="str">
        <x:v>Metals &amp; Mining</x:v>
      </x:c>
      <x:c r="E1289" s="13" t="str">
        <x:v>Metals &amp; Mining</x:v>
      </x:c>
      <x:c r="F1289" s="13" t="str">
        <x:v>Deep Cyclicals</x:v>
      </x:c>
      <x:c r="G1289" s="13" t="str">
        <x:v>grid_wekqfxnd.xlsx</x:v>
      </x:c>
    </x:row>
    <x:row r="1290">
      <x:c r="A1290" s="15" t="n">
        <x:v>40817</x:v>
      </x:c>
      <x:c r="B1290" s="13" t="str">
        <x:v>METALURGICA GERDAU SA-PREF</x:v>
      </x:c>
      <x:c r="C1290" s="16" t="n">
        <x:v>930.6666666667</x:v>
      </x:c>
      <x:c r="D1290" s="13" t="str">
        <x:v>Metals &amp; Mining</x:v>
      </x:c>
      <x:c r="E1290" s="13" t="str">
        <x:v>Metals &amp; Mining</x:v>
      </x:c>
      <x:c r="F1290" s="13" t="str">
        <x:v>Deep Cyclicals</x:v>
      </x:c>
      <x:c r="G1290" s="13" t="str">
        <x:v>grid_wekqfxnd.xlsx</x:v>
      </x:c>
    </x:row>
    <x:row r="1291">
      <x:c r="A1291" s="15" t="n">
        <x:v>40817</x:v>
      </x:c>
      <x:c r="B1291" s="13" t="str">
        <x:v>MMX MINERACAO E METALICOS SA</x:v>
      </x:c>
      <x:c r="C1291" s="16" t="n">
        <x:v>258.364</x:v>
      </x:c>
      <x:c r="D1291" s="13" t="str">
        <x:v>Metals &amp; Mining</x:v>
      </x:c>
      <x:c r="E1291" s="13" t="str">
        <x:v>Metals &amp; Mining</x:v>
      </x:c>
      <x:c r="F1291" s="13" t="str">
        <x:v>Deep Cyclicals</x:v>
      </x:c>
      <x:c r="G1291" s="13" t="str">
        <x:v>grid_wekqfxnd.xlsx</x:v>
      </x:c>
    </x:row>
    <x:row r="1292">
      <x:c r="A1292" s="15" t="n">
        <x:v>40817</x:v>
      </x:c>
      <x:c r="B1292" s="13" t="str">
        <x:v>USINAS SIDER MINAS GER-PF A</x:v>
      </x:c>
      <x:c r="C1292" s="16" t="n">
        <x:v>503.102144</x:v>
      </x:c>
      <x:c r="D1292" s="13" t="str">
        <x:v>Metals &amp; Mining</x:v>
      </x:c>
      <x:c r="E1292" s="13" t="str">
        <x:v>Metals &amp; Mining</x:v>
      </x:c>
      <x:c r="F1292" s="13" t="str">
        <x:v>Deep Cyclicals</x:v>
      </x:c>
      <x:c r="G1292" s="13" t="str">
        <x:v>grid_wekqfxnd.xlsx</x:v>
      </x:c>
    </x:row>
    <x:row r="1293">
      <x:c r="A1293" s="15" t="n">
        <x:v>40817</x:v>
      </x:c>
      <x:c r="B1293" s="13" t="str">
        <x:v>USINAS SIDERURGICAS DE MINAS</x:v>
      </x:c>
      <x:c r="C1293" s="16" t="n">
        <x:v>503.102144</x:v>
      </x:c>
      <x:c r="D1293" s="13" t="str">
        <x:v>Metals &amp; Mining</x:v>
      </x:c>
      <x:c r="E1293" s="13" t="str">
        <x:v>Metals &amp; Mining</x:v>
      </x:c>
      <x:c r="F1293" s="13" t="str">
        <x:v>Deep Cyclicals</x:v>
      </x:c>
      <x:c r="G1293" s="13" t="str">
        <x:v>grid_wekqfxnd.xlsx</x:v>
      </x:c>
    </x:row>
    <x:row r="1294">
      <x:c r="A1294" s="15" t="n">
        <x:v>40817</x:v>
      </x:c>
      <x:c r="B1294" s="13" t="str">
        <x:v>VALE SA</x:v>
      </x:c>
      <x:c r="C1294" s="16" t="n">
        <x:v>42259.1173973333</x:v>
      </x:c>
      <x:c r="D1294" s="13" t="str">
        <x:v>Metals &amp; Mining</x:v>
      </x:c>
      <x:c r="E1294" s="13" t="str">
        <x:v>Metals &amp; Mining</x:v>
      </x:c>
      <x:c r="F1294" s="13" t="str">
        <x:v>Deep Cyclicals</x:v>
      </x:c>
      <x:c r="G1294" s="13" t="str">
        <x:v>grid_wekqfxnd.xlsx</x:v>
      </x:c>
    </x:row>
    <x:row r="1295">
      <x:c r="A1295" s="15" t="n">
        <x:v>40817</x:v>
      </x:c>
      <x:c r="B1295" s="13" t="str">
        <x:v>BRASKEM SA-PREF A</x:v>
      </x:c>
      <x:c r="C1295" s="16" t="n">
        <x:v>1141.7183786667</x:v>
      </x:c>
      <x:c r="D1295" s="13" t="str">
        <x:v>Oil, Gas &amp; Petrochemicals</x:v>
      </x:c>
      <x:c r="E1295" s="13" t="str">
        <x:v>Oil, Gas &amp; Petrochemicals</x:v>
      </x:c>
      <x:c r="F1295" s="13" t="str">
        <x:v>Deep Cyclicals</x:v>
      </x:c>
      <x:c r="G1295" s="13" t="str">
        <x:v>grid_wekqfxnd.xlsx</x:v>
      </x:c>
    </x:row>
    <x:row r="1296">
      <x:c r="A1296" s="15" t="n">
        <x:v>40817</x:v>
      </x:c>
      <x:c r="B1296" s="13" t="str">
        <x:v>COSAN SA</x:v>
      </x:c>
      <x:c r="C1296" s="16" t="n">
        <x:v>807.8109679121</x:v>
      </x:c>
      <x:c r="D1296" s="13" t="str">
        <x:v>Oil, Gas &amp; Petrochemicals</x:v>
      </x:c>
      <x:c r="E1296" s="13" t="str">
        <x:v>Oil, Gas &amp; Petrochemicals</x:v>
      </x:c>
      <x:c r="F1296" s="13" t="str">
        <x:v>Deep Cyclicals</x:v>
      </x:c>
      <x:c r="G1296" s="13" t="str">
        <x:v>grid_wekqfxnd.xlsx</x:v>
      </x:c>
    </x:row>
    <x:row r="1297">
      <x:c r="A1297" s="15" t="n">
        <x:v>40817</x:v>
      </x:c>
      <x:c r="B1297" s="13" t="str">
        <x:v>OLEO E GAS PARTICIPACOES SA</x:v>
      </x:c>
      <x:c r="C1297" s="16" t="n">
        <x:v>491.1068533333</x:v>
      </x:c>
      <x:c r="D1297" s="13" t="str">
        <x:v>Oil, Gas &amp; Petrochemicals</x:v>
      </x:c>
      <x:c r="E1297" s="13" t="str">
        <x:v>Oil, Gas &amp; Petrochemicals</x:v>
      </x:c>
      <x:c r="F1297" s="13" t="str">
        <x:v>Deep Cyclicals</x:v>
      </x:c>
      <x:c r="G1297" s="13" t="str">
        <x:v>grid_wekqfxnd.xlsx</x:v>
      </x:c>
    </x:row>
    <x:row r="1298">
      <x:c r="A1298" s="15" t="n">
        <x:v>40817</x:v>
      </x:c>
      <x:c r="B1298" s="13" t="str">
        <x:v>PETROBRAS - PETROLEO BRAS</x:v>
      </x:c>
      <x:c r="C1298" s="16" t="n">
        <x:v>39740.20096</x:v>
      </x:c>
      <x:c r="D1298" s="13" t="str">
        <x:v>Oil, Gas &amp; Petrochemicals</x:v>
      </x:c>
      <x:c r="E1298" s="13" t="str">
        <x:v>Oil, Gas &amp; Petrochemicals</x:v>
      </x:c>
      <x:c r="F1298" s="13" t="str">
        <x:v>Deep Cyclicals</x:v>
      </x:c>
      <x:c r="G1298" s="13" t="str">
        <x:v>grid_wekqfxnd.xlsx</x:v>
      </x:c>
    </x:row>
    <x:row r="1299">
      <x:c r="A1299" s="15" t="n">
        <x:v>40817</x:v>
      </x:c>
      <x:c r="B1299" s="13" t="str">
        <x:v>ULTRAPAR PARTICIPACOES SA</x:v>
      </x:c>
      <x:c r="C1299" s="16" t="n">
        <x:v>955.833152</x:v>
      </x:c>
      <x:c r="D1299" s="13" t="str">
        <x:v>Oil, Gas &amp; Petrochemicals</x:v>
      </x:c>
      <x:c r="E1299" s="13" t="str">
        <x:v>Oil, Gas &amp; Petrochemicals</x:v>
      </x:c>
      <x:c r="F1299" s="13" t="str">
        <x:v>Deep Cyclicals</x:v>
      </x:c>
      <x:c r="G1299" s="13" t="str">
        <x:v>grid_wekqfxnd.xlsx</x:v>
      </x:c>
    </x:row>
    <x:row r="1300">
      <x:c r="A1300" s="15" t="n">
        <x:v>40817</x:v>
      </x:c>
      <x:c r="B1300" s="13" t="str">
        <x:v>DEXCO SA</x:v>
      </x:c>
      <x:c r="C1300" s="16" t="n">
        <x:v>438.000176</x:v>
      </x:c>
      <x:c r="D1300" s="13" t="str">
        <x:v>Pulp &amp; Paper</x:v>
      </x:c>
      <x:c r="E1300" s="13" t="str">
        <x:v>Pulp &amp; Paper</x:v>
      </x:c>
      <x:c r="F1300" s="13" t="str">
        <x:v>Deep Cyclicals</x:v>
      </x:c>
      <x:c r="G1300" s="13" t="str">
        <x:v>grid_wekqfxnd.xlsx</x:v>
      </x:c>
    </x:row>
    <x:row r="1301">
      <x:c r="A1301" s="15" t="n">
        <x:v>40817</x:v>
      </x:c>
      <x:c r="B1301" s="13" t="str">
        <x:v>FIBRIA CELULOSE S/A</x:v>
      </x:c>
      <x:c r="C1301" s="16" t="n">
        <x:v>115.5240053333</x:v>
      </x:c>
      <x:c r="D1301" s="13" t="str">
        <x:v>Pulp &amp; Paper</x:v>
      </x:c>
      <x:c r="E1301" s="13" t="str">
        <x:v>Pulp &amp; Paper</x:v>
      </x:c>
      <x:c r="F1301" s="13" t="str">
        <x:v>Deep Cyclicals</x:v>
      </x:c>
      <x:c r="G1301" s="13" t="str">
        <x:v>grid_wekqfxnd.xlsx</x:v>
      </x:c>
    </x:row>
    <x:row r="1302">
      <x:c r="A1302" s="15" t="n">
        <x:v>40817</x:v>
      </x:c>
      <x:c r="B1302" s="13" t="str">
        <x:v>AMERICANAS SA</x:v>
      </x:c>
      <x:c r="C1302" s="16" t="n">
        <x:v>61.408117</x:v>
      </x:c>
      <x:c r="D1302" s="13" t="str">
        <x:v>Retail</x:v>
      </x:c>
      <x:c r="E1302" s="13" t="str">
        <x:v>Retail</x:v>
      </x:c>
      <x:c r="F1302" s="13" t="str">
        <x:v>Early Cyclicals</x:v>
      </x:c>
      <x:c r="G1302" s="13" t="str">
        <x:v>grid_wekqfxnd.xlsx</x:v>
      </x:c>
    </x:row>
    <x:row r="1303">
      <x:c r="A1303" s="15" t="n">
        <x:v>40817</x:v>
      </x:c>
      <x:c r="B1303" s="13" t="str">
        <x:v>CIA BRASILEIRA DE DIS-PREF</x:v>
      </x:c>
      <x:c r="C1303" s="16" t="n">
        <x:v>978.7563306667</x:v>
      </x:c>
      <x:c r="D1303" s="13" t="str">
        <x:v>Retail</x:v>
      </x:c>
      <x:c r="E1303" s="13" t="str">
        <x:v>Retail</x:v>
      </x:c>
      <x:c r="F1303" s="13" t="str">
        <x:v>Early Cyclicals</x:v>
      </x:c>
      <x:c r="G1303" s="13" t="str">
        <x:v>grid_wekqfxnd.xlsx</x:v>
      </x:c>
    </x:row>
    <x:row r="1304">
      <x:c r="A1304" s="15" t="n">
        <x:v>40817</x:v>
      </x:c>
      <x:c r="B1304" s="13" t="str">
        <x:v>CIA HERING</x:v>
      </x:c>
      <x:c r="C1304" s="16" t="n">
        <x:v>356.0473173333</x:v>
      </x:c>
      <x:c r="D1304" s="13" t="str">
        <x:v>Retail</x:v>
      </x:c>
      <x:c r="E1304" s="13" t="str">
        <x:v>Retail</x:v>
      </x:c>
      <x:c r="F1304" s="13" t="str">
        <x:v>Early Cyclicals</x:v>
      </x:c>
      <x:c r="G1304" s="13" t="str">
        <x:v>grid_wekqfxnd.xlsx</x:v>
      </x:c>
    </x:row>
    <x:row r="1305">
      <x:c r="A1305" s="15" t="n">
        <x:v>40817</x:v>
      </x:c>
      <x:c r="B1305" s="13" t="str">
        <x:v>LOJAS AMERICANAS SA-PREF</x:v>
      </x:c>
      <x:c r="C1305" s="16" t="n">
        <x:v>449.384992</x:v>
      </x:c>
      <x:c r="D1305" s="13" t="str">
        <x:v>Retail</x:v>
      </x:c>
      <x:c r="E1305" s="13" t="str">
        <x:v>Retail</x:v>
      </x:c>
      <x:c r="F1305" s="13" t="str">
        <x:v>Early Cyclicals</x:v>
      </x:c>
      <x:c r="G1305" s="13" t="str">
        <x:v>grid_wekqfxnd.xlsx</x:v>
      </x:c>
    </x:row>
    <x:row r="1306">
      <x:c r="A1306" s="15" t="n">
        <x:v>40817</x:v>
      </x:c>
      <x:c r="B1306" s="13" t="str">
        <x:v>LOJAS RENNER S.A.</x:v>
      </x:c>
      <x:c r="C1306" s="16" t="n">
        <x:v>406.0308266667</x:v>
      </x:c>
      <x:c r="D1306" s="13" t="str">
        <x:v>Retail</x:v>
      </x:c>
      <x:c r="E1306" s="13" t="str">
        <x:v>Retail</x:v>
      </x:c>
      <x:c r="F1306" s="13" t="str">
        <x:v>Early Cyclicals</x:v>
      </x:c>
      <x:c r="G1306" s="13" t="str">
        <x:v>grid_wekqfxnd.xlsx</x:v>
      </x:c>
    </x:row>
    <x:row r="1307">
      <x:c r="A1307" s="15" t="n">
        <x:v>40817</x:v>
      </x:c>
      <x:c r="B1307" s="13" t="str">
        <x:v>NATURA COSMETICOS SA</x:v>
      </x:c>
      <x:c r="C1307" s="16" t="n">
        <x:v>860.974688</x:v>
      </x:c>
      <x:c r="D1307" s="13" t="str">
        <x:v>Retail</x:v>
      </x:c>
      <x:c r="E1307" s="13" t="str">
        <x:v>Retail</x:v>
      </x:c>
      <x:c r="F1307" s="13" t="str">
        <x:v>Early Cyclicals</x:v>
      </x:c>
      <x:c r="G1307" s="13" t="str">
        <x:v>grid_wekqfxnd.xlsx</x:v>
      </x:c>
    </x:row>
    <x:row r="1308">
      <x:c r="A1308" s="15" t="n">
        <x:v>40817</x:v>
      </x:c>
      <x:c r="B1308" s="13" t="str">
        <x:v>CIA SANEAMENTO BASICO DE SP</x:v>
      </x:c>
      <x:c r="C1308" s="16" t="n">
        <x:v>1443.0082986667</x:v>
      </x:c>
      <x:c r="D1308" s="13" t="str">
        <x:v>Sanitation</x:v>
      </x:c>
      <x:c r="E1308" s="13" t="str">
        <x:v>Utilities</x:v>
      </x:c>
      <x:c r="F1308" s="13" t="str">
        <x:v>Defensives</x:v>
      </x:c>
      <x:c r="G1308" s="13" t="str">
        <x:v>grid_wekqfxnd.xlsx</x:v>
      </x:c>
    </x:row>
    <x:row r="1309">
      <x:c r="A1309" s="15" t="n">
        <x:v>40817</x:v>
      </x:c>
      <x:c r="B1309" s="13" t="str">
        <x:v>OI SA-PREFERENCE</x:v>
      </x:c>
      <x:c r="C1309" s="16" t="n">
        <x:v>1388.6666666667</x:v>
      </x:c>
      <x:c r="D1309" s="13" t="str">
        <x:v>TMT</x:v>
      </x:c>
      <x:c r="E1309" s="13" t="str">
        <x:v>TMT</x:v>
      </x:c>
      <x:c r="F1309" s="13" t="str">
        <x:v>Early Cyclicals</x:v>
      </x:c>
      <x:c r="G1309" s="13" t="str">
        <x:v>grid_wekqfxnd.xlsx</x:v>
      </x:c>
    </x:row>
    <x:row r="1310">
      <x:c r="A1310" s="15" t="n">
        <x:v>40817</x:v>
      </x:c>
      <x:c r="B1310" s="13" t="str">
        <x:v>TELE NORTE LESTE PART</x:v>
      </x:c>
      <x:c r="C1310" s="16" t="n">
        <x:v>910.314832</x:v>
      </x:c>
      <x:c r="D1310" s="13" t="str">
        <x:v>TMT</x:v>
      </x:c>
      <x:c r="E1310" s="13" t="str">
        <x:v>TMT</x:v>
      </x:c>
      <x:c r="F1310" s="13" t="str">
        <x:v>Early Cyclicals</x:v>
      </x:c>
      <x:c r="G1310" s="13" t="str">
        <x:v>grid_wekqfxnd.xlsx</x:v>
      </x:c>
    </x:row>
    <x:row r="1311">
      <x:c r="A1311" s="15" t="n">
        <x:v>40817</x:v>
      </x:c>
      <x:c r="B1311" s="13" t="str">
        <x:v>TELEFONICA BRASIL S.A.-PREF</x:v>
      </x:c>
      <x:c r="C1311" s="16" t="n">
        <x:v>5086.000128</x:v>
      </x:c>
      <x:c r="D1311" s="13" t="str">
        <x:v>TMT</x:v>
      </x:c>
      <x:c r="E1311" s="13" t="str">
        <x:v>TMT</x:v>
      </x:c>
      <x:c r="F1311" s="13" t="str">
        <x:v>Early Cyclicals</x:v>
      </x:c>
      <x:c r="G1311" s="13" t="str">
        <x:v>grid_wekqfxnd.xlsx</x:v>
      </x:c>
    </x:row>
    <x:row r="1312">
      <x:c r="A1312" s="15" t="n">
        <x:v>40817</x:v>
      </x:c>
      <x:c r="B1312" s="13" t="str">
        <x:v>TELEMAR NORTE LESTE SA</x:v>
      </x:c>
      <x:c r="C1312" s="16" t="n">
        <x:v>1123.2916373333</x:v>
      </x:c>
      <x:c r="D1312" s="13" t="str">
        <x:v>TMT</x:v>
      </x:c>
      <x:c r="E1312" s="13" t="str">
        <x:v>TMT</x:v>
      </x:c>
      <x:c r="F1312" s="13" t="str">
        <x:v>Early Cyclicals</x:v>
      </x:c>
      <x:c r="G1312" s="13" t="str">
        <x:v>grid_wekqfxnd.xlsx</x:v>
      </x:c>
    </x:row>
    <x:row r="1313">
      <x:c r="A1313" s="15" t="n">
        <x:v>40817</x:v>
      </x:c>
      <x:c r="B1313" s="13" t="str">
        <x:v>TIM SA</x:v>
      </x:c>
      <x:c r="C1313" s="16" t="n">
        <x:v>1583.0950186667</x:v>
      </x:c>
      <x:c r="D1313" s="13" t="str">
        <x:v>TMT</x:v>
      </x:c>
      <x:c r="E1313" s="13" t="str">
        <x:v>TMT</x:v>
      </x:c>
      <x:c r="F1313" s="13" t="str">
        <x:v>Early Cyclicals</x:v>
      </x:c>
      <x:c r="G1313" s="13" t="str">
        <x:v>grid_wekqfxnd.xlsx</x:v>
      </x:c>
    </x:row>
    <x:row r="1314">
      <x:c r="A1314" s="15" t="n">
        <x:v>40817</x:v>
      </x:c>
      <x:c r="B1314" s="13" t="str">
        <x:v>GOL LINHAS AEREAS INT SA-PRE</x:v>
      </x:c>
      <x:c r="C1314" s="16" t="n">
        <x:v>82.5554986667</x:v>
      </x:c>
      <x:c r="D1314" s="13" t="str">
        <x:v>Transportation</x:v>
      </x:c>
      <x:c r="E1314" s="13" t="str">
        <x:v>Transportation</x:v>
      </x:c>
      <x:c r="F1314" s="13" t="str">
        <x:v>Deep Cyclicals</x:v>
      </x:c>
      <x:c r="G1314" s="13" t="str">
        <x:v>grid_wekqfxnd.xlsx</x:v>
      </x:c>
    </x:row>
    <x:row r="1315">
      <x:c r="A1315" s="15" t="n">
        <x:v>40817</x:v>
      </x:c>
      <x:c r="B1315" s="13" t="str">
        <x:v>MOTIVA INFRAESTRUTURA DE MOB</x:v>
      </x:c>
      <x:c r="C1315" s="16" t="n">
        <x:v>1154.4286293333</x:v>
      </x:c>
      <x:c r="D1315" s="13" t="str">
        <x:v>Transportation</x:v>
      </x:c>
      <x:c r="E1315" s="13" t="str">
        <x:v>Transportation</x:v>
      </x:c>
      <x:c r="F1315" s="13" t="str">
        <x:v>Deep Cyclicals</x:v>
      </x:c>
      <x:c r="G1315" s="13" t="str">
        <x:v>grid_wekqfxnd.xlsx</x:v>
      </x:c>
    </x:row>
    <x:row r="1316">
      <x:c r="A1316" s="15" t="n">
        <x:v>40817</x:v>
      </x:c>
      <x:c r="B1316" s="13" t="str">
        <x:v>PRUMO LOGISTICA SA</x:v>
      </x:c>
      <x:c r="C1316" s="16" t="n">
        <x:v>-105.8816666667</x:v>
      </x:c>
      <x:c r="D1316" s="13" t="str">
        <x:v>Transportation</x:v>
      </x:c>
      <x:c r="E1316" s="13" t="str">
        <x:v>Transportation</x:v>
      </x:c>
      <x:c r="F1316" s="13" t="str">
        <x:v>Deep Cyclicals</x:v>
      </x:c>
      <x:c r="G1316" s="13" t="str">
        <x:v>grid_wekqfxnd.xlsx</x:v>
      </x:c>
    </x:row>
    <x:row r="1317">
      <x:c r="A1317" s="15" t="n">
        <x:v>40817</x:v>
      </x:c>
      <x:c r="B1317" s="13" t="str">
        <x:v>RUMO SA</x:v>
      </x:c>
      <x:c r="C1317" s="16" t="n">
        <x:v>339.520832</x:v>
      </x:c>
      <x:c r="D1317" s="13" t="str">
        <x:v>Transportation</x:v>
      </x:c>
      <x:c r="E1317" s="13" t="str">
        <x:v>Transportation</x:v>
      </x:c>
      <x:c r="F1317" s="13" t="str">
        <x:v>Deep Cyclicals</x:v>
      </x:c>
      <x:c r="G1317" s="13" t="str">
        <x:v>grid_wekqfxnd.xlsx</x:v>
      </x:c>
    </x:row>
    <x:row r="1318">
      <x:c r="A1318" s="15" t="n">
        <x:v>40817</x:v>
      </x:c>
      <x:c r="B1318" s="13" t="str">
        <x:v>TAM SA-PREF</x:v>
      </x:c>
      <x:c r="C1318" s="16" t="n">
        <x:v>164.3633333333</x:v>
      </x:c>
      <x:c r="D1318" s="13" t="str">
        <x:v>Transportation</x:v>
      </x:c>
      <x:c r="E1318" s="13" t="str">
        <x:v>Transportation</x:v>
      </x:c>
      <x:c r="F1318" s="13" t="str">
        <x:v>Deep Cyclicals</x:v>
      </x:c>
      <x:c r="G1318" s="13" t="str">
        <x:v>grid_wekqfxnd.xlsx</x:v>
      </x:c>
    </x:row>
    <x:row r="1319">
      <x:c r="A1319" s="15" t="n">
        <x:v>40817</x:v>
      </x:c>
      <x:c r="B1319" s="13" t="str">
        <x:v>AXIA ENERGIA SA</x:v>
      </x:c>
      <x:c r="C1319" s="16" t="n">
        <x:v>3759.9332266667</x:v>
      </x:c>
      <x:c r="D1319" s="13" t="str">
        <x:v>Utilities &amp; Energy</x:v>
      </x:c>
      <x:c r="E1319" s="13" t="str">
        <x:v>Utilities</x:v>
      </x:c>
      <x:c r="F1319" s="13" t="str">
        <x:v>Defensives</x:v>
      </x:c>
      <x:c r="G1319" s="13" t="str">
        <x:v>grid_wekqfxnd.xlsx</x:v>
      </x:c>
    </x:row>
    <x:row r="1320">
      <x:c r="A1320" s="15" t="n">
        <x:v>40817</x:v>
      </x:c>
      <x:c r="B1320" s="13" t="str">
        <x:v>AXIA ENERGIA-PR B</x:v>
      </x:c>
      <x:c r="C1320" s="16" t="n">
        <x:v>3759.9332266667</x:v>
      </x:c>
      <x:c r="D1320" s="13" t="str">
        <x:v>Utilities &amp; Energy</x:v>
      </x:c>
      <x:c r="E1320" s="13" t="str">
        <x:v>Utilities</x:v>
      </x:c>
      <x:c r="F1320" s="13" t="str">
        <x:v>Defensives</x:v>
      </x:c>
      <x:c r="G1320" s="13" t="str">
        <x:v>grid_wekqfxnd.xlsx</x:v>
      </x:c>
    </x:row>
    <x:row r="1321">
      <x:c r="A1321" s="15" t="n">
        <x:v>40817</x:v>
      </x:c>
      <x:c r="B1321" s="13" t="str">
        <x:v>CESP - CIA ENERGETICA DE SAO</x:v>
      </x:c>
      <x:c r="C1321" s="16" t="n">
        <x:v>601.4720213333</x:v>
      </x:c>
      <x:c r="D1321" s="13" t="str">
        <x:v>Utilities &amp; Energy</x:v>
      </x:c>
      <x:c r="E1321" s="13" t="str">
        <x:v>Utilities</x:v>
      </x:c>
      <x:c r="F1321" s="13" t="str">
        <x:v>Defensives</x:v>
      </x:c>
      <x:c r="G1321" s="13" t="str">
        <x:v>grid_wekqfxnd.xlsx</x:v>
      </x:c>
    </x:row>
    <x:row r="1322">
      <x:c r="A1322" s="15" t="n">
        <x:v>40817</x:v>
      </x:c>
      <x:c r="B1322" s="13" t="str">
        <x:v>CIA ENERGETICA MINAS GER-PRF</x:v>
      </x:c>
      <x:c r="C1322" s="16" t="n">
        <x:v>2291.9033386667</x:v>
      </x:c>
      <x:c r="D1322" s="13" t="str">
        <x:v>Utilities &amp; Energy</x:v>
      </x:c>
      <x:c r="E1322" s="13" t="str">
        <x:v>Utilities</x:v>
      </x:c>
      <x:c r="F1322" s="13" t="str">
        <x:v>Defensives</x:v>
      </x:c>
      <x:c r="G1322" s="13" t="str">
        <x:v>grid_wekqfxnd.xlsx</x:v>
      </x:c>
    </x:row>
    <x:row r="1323">
      <x:c r="A1323" s="15" t="n">
        <x:v>40817</x:v>
      </x:c>
      <x:c r="B1323" s="13" t="str">
        <x:v>COMPANHIA PARANAENSE -PREF B</x:v>
      </x:c>
      <x:c r="C1323" s="16" t="n">
        <x:v>1303.3166933333</x:v>
      </x:c>
      <x:c r="D1323" s="13" t="str">
        <x:v>Utilities &amp; Energy</x:v>
      </x:c>
      <x:c r="E1323" s="13" t="str">
        <x:v>Utilities</x:v>
      </x:c>
      <x:c r="F1323" s="13" t="str">
        <x:v>Defensives</x:v>
      </x:c>
      <x:c r="G1323" s="13" t="str">
        <x:v>grid_wekqfxnd.xlsx</x:v>
      </x:c>
    </x:row>
    <x:row r="1324">
      <x:c r="A1324" s="15" t="n">
        <x:v>40817</x:v>
      </x:c>
      <x:c r="B1324" s="13" t="str">
        <x:v>CPFL ENERGIA SA</x:v>
      </x:c>
      <x:c r="C1324" s="16" t="n">
        <x:v>1517.211648</x:v>
      </x:c>
      <x:c r="D1324" s="13" t="str">
        <x:v>Utilities &amp; Energy</x:v>
      </x:c>
      <x:c r="E1324" s="13" t="str">
        <x:v>Utilities</x:v>
      </x:c>
      <x:c r="F1324" s="13" t="str">
        <x:v>Defensives</x:v>
      </x:c>
      <x:c r="G1324" s="13" t="str">
        <x:v>grid_wekqfxnd.xlsx</x:v>
      </x:c>
    </x:row>
    <x:row r="1325">
      <x:c r="A1325" s="15" t="n">
        <x:v>40817</x:v>
      </x:c>
      <x:c r="B1325" s="13" t="str">
        <x:v>ELETROPAULO METROPOLI-PREF</x:v>
      </x:c>
      <x:c r="C1325" s="16" t="n">
        <x:v>567.68416</x:v>
      </x:c>
      <x:c r="D1325" s="13" t="str">
        <x:v>Utilities &amp; Energy</x:v>
      </x:c>
      <x:c r="E1325" s="13" t="str">
        <x:v>Utilities</x:v>
      </x:c>
      <x:c r="F1325" s="13" t="str">
        <x:v>Defensives</x:v>
      </x:c>
      <x:c r="G1325" s="13" t="str">
        <x:v>grid_wekqfxnd.xlsx</x:v>
      </x:c>
    </x:row>
    <x:row r="1326">
      <x:c r="A1326" s="15" t="n">
        <x:v>40817</x:v>
      </x:c>
      <x:c r="B1326" s="13" t="str">
        <x:v>ISA ENERGIA BRASIL SA</x:v>
      </x:c>
      <x:c r="C1326" s="16" t="n">
        <x:v>968.291648</x:v>
      </x:c>
      <x:c r="D1326" s="13" t="str">
        <x:v>Utilities &amp; Energy</x:v>
      </x:c>
      <x:c r="E1326" s="13" t="str">
        <x:v>Utilities</x:v>
      </x:c>
      <x:c r="F1326" s="13" t="str">
        <x:v>Defensives</x:v>
      </x:c>
      <x:c r="G1326" s="13" t="str">
        <x:v>grid_wekqfxnd.xlsx</x:v>
      </x:c>
    </x:row>
    <x:row r="1327">
      <x:c r="A1327" s="15" t="n">
        <x:v>40817</x:v>
      </x:c>
      <x:c r="B1327" s="13" t="str">
        <x:v>LIGHT SA</x:v>
      </x:c>
      <x:c r="C1327" s="16" t="n">
        <x:v>587.8181653333</x:v>
      </x:c>
      <x:c r="D1327" s="13" t="str">
        <x:v>Utilities &amp; Energy</x:v>
      </x:c>
      <x:c r="E1327" s="13" t="str">
        <x:v>Utilities</x:v>
      </x:c>
      <x:c r="F1327" s="13" t="str">
        <x:v>Defensives</x:v>
      </x:c>
      <x:c r="G1327" s="13" t="str">
        <x:v>grid_wekqfxnd.xlsx</x:v>
      </x:c>
    </x:row>
    <x:row r="1328">
      <x:c r="A1328" s="15" t="n">
        <x:v>40848</x:v>
      </x:c>
      <x:c r="B1328" s="13" t="str">
        <x:v>BANCO BRADESCO SA-PREF</x:v>
      </x:c>
      <x:c r="C1328" s="16" t="n">
        <x:v>12677.530187541</x:v>
      </x:c>
      <x:c r="D1328" s="13" t="str">
        <x:v>Banks</x:v>
      </x:c>
      <x:c r="E1328" s="13" t="str">
        <x:v>Banks</x:v>
      </x:c>
      <x:c r="F1328" s="13" t="str">
        <x:v>Financials</x:v>
      </x:c>
      <x:c r="G1328" s="13" t="str">
        <x:v>grid_wekqfxnd.xlsx</x:v>
      </x:c>
    </x:row>
    <x:row r="1329">
      <x:c r="A1329" s="15" t="n">
        <x:v>40848</x:v>
      </x:c>
      <x:c r="B1329" s="13" t="str">
        <x:v>BANCO DO BRASIL S.A.</x:v>
      </x:c>
      <x:c r="C1329" s="16" t="n">
        <x:v>12167.5083820765</x:v>
      </x:c>
      <x:c r="D1329" s="13" t="str">
        <x:v>Banks</x:v>
      </x:c>
      <x:c r="E1329" s="13" t="str">
        <x:v>Banks</x:v>
      </x:c>
      <x:c r="F1329" s="13" t="str">
        <x:v>Financials</x:v>
      </x:c>
      <x:c r="G1329" s="13" t="str">
        <x:v>grid_wekqfxnd.xlsx</x:v>
      </x:c>
    </x:row>
    <x:row r="1330">
      <x:c r="A1330" s="15" t="n">
        <x:v>40848</x:v>
      </x:c>
      <x:c r="B1330" s="13" t="str">
        <x:v>BANCO SANTANDER  BRASIL-UNIT</x:v>
      </x:c>
      <x:c r="C1330" s="16" t="n">
        <x:v>7050.9061483716</x:v>
      </x:c>
      <x:c r="D1330" s="13" t="str">
        <x:v>Banks</x:v>
      </x:c>
      <x:c r="E1330" s="13" t="str">
        <x:v>Banks</x:v>
      </x:c>
      <x:c r="F1330" s="13" t="str">
        <x:v>Financials</x:v>
      </x:c>
      <x:c r="G1330" s="13" t="str">
        <x:v>grid_wekqfxnd.xlsx</x:v>
      </x:c>
    </x:row>
    <x:row r="1331">
      <x:c r="A1331" s="15" t="n">
        <x:v>40848</x:v>
      </x:c>
      <x:c r="B1331" s="13" t="str">
        <x:v>ITAU UNIBANCO HOLDING S-PREF</x:v>
      </x:c>
      <x:c r="C1331" s="16" t="n">
        <x:v>16389.6583274317</x:v>
      </x:c>
      <x:c r="D1331" s="13" t="str">
        <x:v>Banks</x:v>
      </x:c>
      <x:c r="E1331" s="13" t="str">
        <x:v>Banks</x:v>
      </x:c>
      <x:c r="F1331" s="13" t="str">
        <x:v>Financials</x:v>
      </x:c>
      <x:c r="G1331" s="13" t="str">
        <x:v>grid_wekqfxnd.xlsx</x:v>
      </x:c>
    </x:row>
    <x:row r="1332">
      <x:c r="A1332" s="15" t="n">
        <x:v>40848</x:v>
      </x:c>
      <x:c r="B1332" s="13" t="str">
        <x:v>EMBRAER SA</x:v>
      </x:c>
      <x:c r="C1332" s="16" t="n">
        <x:v>798.6844037596</x:v>
      </x:c>
      <x:c r="D1332" s="13" t="str">
        <x:v>Capital Goods</x:v>
      </x:c>
      <x:c r="E1332" s="13" t="str">
        <x:v>Capital Goods</x:v>
      </x:c>
      <x:c r="F1332" s="13" t="str">
        <x:v>Deep Cyclicals</x:v>
      </x:c>
      <x:c r="G1332" s="13" t="str">
        <x:v>grid_wekqfxnd.xlsx</x:v>
      </x:c>
    </x:row>
    <x:row r="1333">
      <x:c r="A1333" s="15" t="n">
        <x:v>40848</x:v>
      </x:c>
      <x:c r="B1333" s="13" t="str">
        <x:v>B3 SA-BRASIL BOLSA BALCAO</x:v>
      </x:c>
      <x:c r="C1333" s="16" t="n">
        <x:v>1465.8772976612</x:v>
      </x:c>
      <x:c r="D1333" s="13" t="str">
        <x:v>Financials Non-Banks</x:v>
      </x:c>
      <x:c r="E1333" s="13" t="str">
        <x:v>Financials Non-Banks</x:v>
      </x:c>
      <x:c r="F1333" s="13" t="str">
        <x:v>Financials</x:v>
      </x:c>
      <x:c r="G1333" s="13" t="str">
        <x:v>grid_wekqfxnd.xlsx</x:v>
      </x:c>
    </x:row>
    <x:row r="1334">
      <x:c r="A1334" s="15" t="n">
        <x:v>40848</x:v>
      </x:c>
      <x:c r="B1334" s="13" t="str">
        <x:v>CIELO SA - INSTITUICAO DE PA</x:v>
      </x:c>
      <x:c r="C1334" s="16" t="n">
        <x:v>1928.3163526994</x:v>
      </x:c>
      <x:c r="D1334" s="13" t="str">
        <x:v>Financials Non-Banks</x:v>
      </x:c>
      <x:c r="E1334" s="13" t="str">
        <x:v>Financials Non-Banks</x:v>
      </x:c>
      <x:c r="F1334" s="13" t="str">
        <x:v>Financials</x:v>
      </x:c>
      <x:c r="G1334" s="13" t="str">
        <x:v>grid_wekqfxnd.xlsx</x:v>
      </x:c>
    </x:row>
    <x:row r="1335">
      <x:c r="A1335" s="15" t="n">
        <x:v>40848</x:v>
      </x:c>
      <x:c r="B1335" s="13" t="str">
        <x:v>ITAUSA SA</x:v>
      </x:c>
      <x:c r="C1335" s="16" t="n">
        <x:v>5754.6884980109</x:v>
      </x:c>
      <x:c r="D1335" s="13" t="str">
        <x:v>Financials Non-Banks</x:v>
      </x:c>
      <x:c r="E1335" s="13" t="str">
        <x:v>Financials Non-Banks</x:v>
      </x:c>
      <x:c r="F1335" s="13" t="str">
        <x:v>Financials</x:v>
      </x:c>
      <x:c r="G1335" s="13" t="str">
        <x:v>grid_wekqfxnd.xlsx</x:v>
      </x:c>
    </x:row>
    <x:row r="1336">
      <x:c r="A1336" s="15" t="n">
        <x:v>40848</x:v>
      </x:c>
      <x:c r="B1336" s="13" t="str">
        <x:v>REDECARD INSTITUICAO DE PAGA</x:v>
      </x:c>
      <x:c r="C1336" s="16" t="n">
        <x:v>1463.6135673005</x:v>
      </x:c>
      <x:c r="D1336" s="13" t="str">
        <x:v>Financials Non-Banks</x:v>
      </x:c>
      <x:c r="E1336" s="13" t="str">
        <x:v>Financials Non-Banks</x:v>
      </x:c>
      <x:c r="F1336" s="13" t="str">
        <x:v>Financials</x:v>
      </x:c>
      <x:c r="G1336" s="13" t="str">
        <x:v>grid_wekqfxnd.xlsx</x:v>
      </x:c>
    </x:row>
    <x:row r="1337">
      <x:c r="A1337" s="15" t="n">
        <x:v>40848</x:v>
      </x:c>
      <x:c r="B1337" s="13" t="str">
        <x:v>AMBEV SA</x:v>
      </x:c>
      <x:c r="C1337" s="16" t="n">
        <x:v>9691.2392953005</x:v>
      </x:c>
      <x:c r="D1337" s="13" t="str">
        <x:v>Food &amp; Beverages</x:v>
      </x:c>
      <x:c r="E1337" s="13" t="str">
        <x:v>Agri, Food &amp; Beverages</x:v>
      </x:c>
      <x:c r="F1337" s="13" t="str">
        <x:v>Defensives</x:v>
      </x:c>
      <x:c r="G1337" s="13" t="str">
        <x:v>grid_wekqfxnd.xlsx</x:v>
      </x:c>
    </x:row>
    <x:row r="1338">
      <x:c r="A1338" s="15" t="n">
        <x:v>40848</x:v>
      </x:c>
      <x:c r="B1338" s="13" t="str">
        <x:v>BRF SA</x:v>
      </x:c>
      <x:c r="C1338" s="16" t="n">
        <x:v>1942.4273622732</x:v>
      </x:c>
      <x:c r="D1338" s="13" t="str">
        <x:v>Food &amp; Beverages</x:v>
      </x:c>
      <x:c r="E1338" s="13" t="str">
        <x:v>Agri, Food &amp; Beverages</x:v>
      </x:c>
      <x:c r="F1338" s="13" t="str">
        <x:v>Defensives</x:v>
      </x:c>
      <x:c r="G1338" s="13" t="str">
        <x:v>grid_wekqfxnd.xlsx</x:v>
      </x:c>
    </x:row>
    <x:row r="1339">
      <x:c r="A1339" s="15" t="n">
        <x:v>40848</x:v>
      </x:c>
      <x:c r="B1339" s="13" t="str">
        <x:v>JBS SA</x:v>
      </x:c>
      <x:c r="C1339" s="16" t="n">
        <x:v>1706.4863387978</x:v>
      </x:c>
      <x:c r="D1339" s="13" t="str">
        <x:v>Food &amp; Beverages</x:v>
      </x:c>
      <x:c r="E1339" s="13" t="str">
        <x:v>Agri, Food &amp; Beverages</x:v>
      </x:c>
      <x:c r="F1339" s="13" t="str">
        <x:v>Defensives</x:v>
      </x:c>
      <x:c r="G1339" s="13" t="str">
        <x:v>grid_wekqfxnd.xlsx</x:v>
      </x:c>
    </x:row>
    <x:row r="1340">
      <x:c r="A1340" s="15" t="n">
        <x:v>40848</x:v>
      </x:c>
      <x:c r="B1340" s="13" t="str">
        <x:v>MBRF GLOBAL FOODS COMPANY SA</x:v>
      </x:c>
      <x:c r="C1340" s="16" t="n">
        <x:v>28.1092889399</x:v>
      </x:c>
      <x:c r="D1340" s="13" t="str">
        <x:v>Food &amp; Beverages</x:v>
      </x:c>
      <x:c r="E1340" s="13" t="str">
        <x:v>Agri, Food &amp; Beverages</x:v>
      </x:c>
      <x:c r="F1340" s="13" t="str">
        <x:v>Defensives</x:v>
      </x:c>
      <x:c r="G1340" s="13" t="str">
        <x:v>grid_wekqfxnd.xlsx</x:v>
      </x:c>
    </x:row>
    <x:row r="1341">
      <x:c r="A1341" s="15" t="n">
        <x:v>40848</x:v>
      </x:c>
      <x:c r="B1341" s="13" t="str">
        <x:v>SOUZA CRUZ LTDA</x:v>
      </x:c>
      <x:c r="C1341" s="16" t="n">
        <x:v>1712.3642502295</x:v>
      </x:c>
      <x:c r="D1341" s="13" t="str">
        <x:v>Food &amp; Beverages</x:v>
      </x:c>
      <x:c r="E1341" s="13" t="str">
        <x:v>Agri, Food &amp; Beverages</x:v>
      </x:c>
      <x:c r="F1341" s="13" t="str">
        <x:v>Defensives</x:v>
      </x:c>
      <x:c r="G1341" s="13" t="str">
        <x:v>grid_wekqfxnd.xlsx</x:v>
      </x:c>
    </x:row>
    <x:row r="1342">
      <x:c r="A1342" s="15" t="n">
        <x:v>40848</x:v>
      </x:c>
      <x:c r="B1342" s="13" t="str">
        <x:v>HYPERA SA</x:v>
      </x:c>
      <x:c r="C1342" s="16" t="n">
        <x:v>292.5145780328</x:v>
      </x:c>
      <x:c r="D1342" s="13" t="str">
        <x:v>Health Care</x:v>
      </x:c>
      <x:c r="E1342" s="13" t="str">
        <x:v>Health Care</x:v>
      </x:c>
      <x:c r="F1342" s="13" t="str">
        <x:v>Defensives</x:v>
      </x:c>
      <x:c r="G1342" s="13" t="str">
        <x:v>grid_wekqfxnd.xlsx</x:v>
      </x:c>
    </x:row>
    <x:row r="1343">
      <x:c r="A1343" s="15" t="n">
        <x:v>40848</x:v>
      </x:c>
      <x:c r="B1343" s="13" t="str">
        <x:v>CYRELA BRAZIL REALTY SA EMP</x:v>
      </x:c>
      <x:c r="C1343" s="16" t="n">
        <x:v>818.1536847213</x:v>
      </x:c>
      <x:c r="D1343" s="13" t="str">
        <x:v>Homebuilders</x:v>
      </x:c>
      <x:c r="E1343" s="13" t="str">
        <x:v>Real Estate</x:v>
      </x:c>
      <x:c r="F1343" s="13" t="str">
        <x:v>Early Cyclicals</x:v>
      </x:c>
      <x:c r="G1343" s="13" t="str">
        <x:v>grid_wekqfxnd.xlsx</x:v>
      </x:c>
    </x:row>
    <x:row r="1344">
      <x:c r="A1344" s="15" t="n">
        <x:v>40848</x:v>
      </x:c>
      <x:c r="B1344" s="13" t="str">
        <x:v>GAFISA SA</x:v>
      </x:c>
      <x:c r="C1344" s="16" t="n">
        <x:v>443.876037071</x:v>
      </x:c>
      <x:c r="D1344" s="13" t="str">
        <x:v>Homebuilders</x:v>
      </x:c>
      <x:c r="E1344" s="13" t="str">
        <x:v>Real Estate</x:v>
      </x:c>
      <x:c r="F1344" s="13" t="str">
        <x:v>Early Cyclicals</x:v>
      </x:c>
      <x:c r="G1344" s="13" t="str">
        <x:v>grid_wekqfxnd.xlsx</x:v>
      </x:c>
    </x:row>
    <x:row r="1345">
      <x:c r="A1345" s="15" t="n">
        <x:v>40848</x:v>
      </x:c>
      <x:c r="B1345" s="13" t="str">
        <x:v>MRV ENGENHARIA</x:v>
      </x:c>
      <x:c r="C1345" s="16" t="n">
        <x:v>889.9035964153</x:v>
      </x:c>
      <x:c r="D1345" s="13" t="str">
        <x:v>Homebuilders</x:v>
      </x:c>
      <x:c r="E1345" s="13" t="str">
        <x:v>Real Estate</x:v>
      </x:c>
      <x:c r="F1345" s="13" t="str">
        <x:v>Early Cyclicals</x:v>
      </x:c>
      <x:c r="G1345" s="13" t="str">
        <x:v>grid_wekqfxnd.xlsx</x:v>
      </x:c>
    </x:row>
    <x:row r="1346">
      <x:c r="A1346" s="15" t="n">
        <x:v>40848</x:v>
      </x:c>
      <x:c r="B1346" s="13" t="str">
        <x:v>PDG REALTY SA</x:v>
      </x:c>
      <x:c r="C1346" s="16" t="n">
        <x:v>1237.9060142514</x:v>
      </x:c>
      <x:c r="D1346" s="13" t="str">
        <x:v>Homebuilders</x:v>
      </x:c>
      <x:c r="E1346" s="13" t="str">
        <x:v>Real Estate</x:v>
      </x:c>
      <x:c r="F1346" s="13" t="str">
        <x:v>Early Cyclicals</x:v>
      </x:c>
      <x:c r="G1346" s="13" t="str">
        <x:v>grid_wekqfxnd.xlsx</x:v>
      </x:c>
    </x:row>
    <x:row r="1347">
      <x:c r="A1347" s="15" t="n">
        <x:v>40848</x:v>
      </x:c>
      <x:c r="B1347" s="13" t="str">
        <x:v>ROSSI RESIDENCIAL SA</x:v>
      </x:c>
      <x:c r="C1347" s="16" t="n">
        <x:v>516.1529540546</x:v>
      </x:c>
      <x:c r="D1347" s="13" t="str">
        <x:v>Homebuilders</x:v>
      </x:c>
      <x:c r="E1347" s="13" t="str">
        <x:v>Real Estate</x:v>
      </x:c>
      <x:c r="F1347" s="13" t="str">
        <x:v>Early Cyclicals</x:v>
      </x:c>
      <x:c r="G1347" s="13" t="str">
        <x:v>grid_wekqfxnd.xlsx</x:v>
      </x:c>
    </x:row>
    <x:row r="1348">
      <x:c r="A1348" s="15" t="n">
        <x:v>40848</x:v>
      </x:c>
      <x:c r="B1348" s="13" t="str">
        <x:v>TEGRA INCORPORADORA SA</x:v>
      </x:c>
      <x:c r="C1348" s="16" t="n">
        <x:v>431.8613467978</x:v>
      </x:c>
      <x:c r="D1348" s="13" t="str">
        <x:v>Homebuilders</x:v>
      </x:c>
      <x:c r="E1348" s="13" t="str">
        <x:v>Real Estate</x:v>
      </x:c>
      <x:c r="F1348" s="13" t="str">
        <x:v>Early Cyclicals</x:v>
      </x:c>
      <x:c r="G1348" s="13" t="str">
        <x:v>grid_wekqfxnd.xlsx</x:v>
      </x:c>
    </x:row>
    <x:row r="1349">
      <x:c r="A1349" s="15" t="n">
        <x:v>40848</x:v>
      </x:c>
      <x:c r="B1349" s="13" t="str">
        <x:v>BR MALLS PARTICIPACOES SA</x:v>
      </x:c>
      <x:c r="C1349" s="16" t="n">
        <x:v>485.3912752787</x:v>
      </x:c>
      <x:c r="D1349" s="13" t="str">
        <x:v>Income Properties</x:v>
      </x:c>
      <x:c r="E1349" s="13" t="str">
        <x:v>Real Estate</x:v>
      </x:c>
      <x:c r="F1349" s="13" t="str">
        <x:v>Early Cyclicals</x:v>
      </x:c>
      <x:c r="G1349" s="13" t="str">
        <x:v>grid_wekqfxnd.xlsx</x:v>
      </x:c>
    </x:row>
    <x:row r="1350">
      <x:c r="A1350" s="15" t="n">
        <x:v>40848</x:v>
      </x:c>
      <x:c r="B1350" s="13" t="str">
        <x:v>BRADESPAR SA -PREF</x:v>
      </x:c>
      <x:c r="C1350" s="16" t="n">
        <x:v>2710.5671735956</x:v>
      </x:c>
      <x:c r="D1350" s="13" t="str">
        <x:v>Metals &amp; Mining</x:v>
      </x:c>
      <x:c r="E1350" s="13" t="str">
        <x:v>Metals &amp; Mining</x:v>
      </x:c>
      <x:c r="F1350" s="13" t="str">
        <x:v>Deep Cyclicals</x:v>
      </x:c>
      <x:c r="G1350" s="13" t="str">
        <x:v>grid_wekqfxnd.xlsx</x:v>
      </x:c>
    </x:row>
    <x:row r="1351">
      <x:c r="A1351" s="15" t="n">
        <x:v>40848</x:v>
      </x:c>
      <x:c r="B1351" s="13" t="str">
        <x:v>CIA SIDERURGICA NACIONAL SA</x:v>
      </x:c>
      <x:c r="C1351" s="16" t="n">
        <x:v>2673.3106101858</x:v>
      </x:c>
      <x:c r="D1351" s="13" t="str">
        <x:v>Metals &amp; Mining</x:v>
      </x:c>
      <x:c r="E1351" s="13" t="str">
        <x:v>Metals &amp; Mining</x:v>
      </x:c>
      <x:c r="F1351" s="13" t="str">
        <x:v>Deep Cyclicals</x:v>
      </x:c>
      <x:c r="G1351" s="13" t="str">
        <x:v>grid_wekqfxnd.xlsx</x:v>
      </x:c>
    </x:row>
    <x:row r="1352">
      <x:c r="A1352" s="15" t="n">
        <x:v>40848</x:v>
      </x:c>
      <x:c r="B1352" s="13" t="str">
        <x:v>GERDAU SA-PREF</x:v>
      </x:c>
      <x:c r="C1352" s="16" t="n">
        <x:v>2381.3622896612</x:v>
      </x:c>
      <x:c r="D1352" s="13" t="str">
        <x:v>Metals &amp; Mining</x:v>
      </x:c>
      <x:c r="E1352" s="13" t="str">
        <x:v>Metals &amp; Mining</x:v>
      </x:c>
      <x:c r="F1352" s="13" t="str">
        <x:v>Deep Cyclicals</x:v>
      </x:c>
      <x:c r="G1352" s="13" t="str">
        <x:v>grid_wekqfxnd.xlsx</x:v>
      </x:c>
    </x:row>
    <x:row r="1353">
      <x:c r="A1353" s="15" t="n">
        <x:v>40848</x:v>
      </x:c>
      <x:c r="B1353" s="13" t="str">
        <x:v>METALURGICA GERDAU SA-PREF</x:v>
      </x:c>
      <x:c r="C1353" s="16" t="n">
        <x:v>872.849726776</x:v>
      </x:c>
      <x:c r="D1353" s="13" t="str">
        <x:v>Metals &amp; Mining</x:v>
      </x:c>
      <x:c r="E1353" s="13" t="str">
        <x:v>Metals &amp; Mining</x:v>
      </x:c>
      <x:c r="F1353" s="13" t="str">
        <x:v>Deep Cyclicals</x:v>
      </x:c>
      <x:c r="G1353" s="13" t="str">
        <x:v>grid_wekqfxnd.xlsx</x:v>
      </x:c>
    </x:row>
    <x:row r="1354">
      <x:c r="A1354" s="15" t="n">
        <x:v>40848</x:v>
      </x:c>
      <x:c r="B1354" s="13" t="str">
        <x:v>MMX MINERACAO E METALICOS SA</x:v>
      </x:c>
      <x:c r="C1354" s="16" t="n">
        <x:v>236.0545766995</x:v>
      </x:c>
      <x:c r="D1354" s="13" t="str">
        <x:v>Metals &amp; Mining</x:v>
      </x:c>
      <x:c r="E1354" s="13" t="str">
        <x:v>Metals &amp; Mining</x:v>
      </x:c>
      <x:c r="F1354" s="13" t="str">
        <x:v>Deep Cyclicals</x:v>
      </x:c>
      <x:c r="G1354" s="13" t="str">
        <x:v>grid_wekqfxnd.xlsx</x:v>
      </x:c>
    </x:row>
    <x:row r="1355">
      <x:c r="A1355" s="15" t="n">
        <x:v>40848</x:v>
      </x:c>
      <x:c r="B1355" s="13" t="str">
        <x:v>USINAS SIDER MINAS GER-PF A</x:v>
      </x:c>
      <x:c r="C1355" s="16" t="n">
        <x:v>485.2215691803</x:v>
      </x:c>
      <x:c r="D1355" s="13" t="str">
        <x:v>Metals &amp; Mining</x:v>
      </x:c>
      <x:c r="E1355" s="13" t="str">
        <x:v>Metals &amp; Mining</x:v>
      </x:c>
      <x:c r="F1355" s="13" t="str">
        <x:v>Deep Cyclicals</x:v>
      </x:c>
      <x:c r="G1355" s="13" t="str">
        <x:v>grid_wekqfxnd.xlsx</x:v>
      </x:c>
    </x:row>
    <x:row r="1356">
      <x:c r="A1356" s="15" t="n">
        <x:v>40848</x:v>
      </x:c>
      <x:c r="B1356" s="13" t="str">
        <x:v>USINAS SIDERURGICAS DE MINAS</x:v>
      </x:c>
      <x:c r="C1356" s="16" t="n">
        <x:v>485.2215691803</x:v>
      </x:c>
      <x:c r="D1356" s="13" t="str">
        <x:v>Metals &amp; Mining</x:v>
      </x:c>
      <x:c r="E1356" s="13" t="str">
        <x:v>Metals &amp; Mining</x:v>
      </x:c>
      <x:c r="F1356" s="13" t="str">
        <x:v>Deep Cyclicals</x:v>
      </x:c>
      <x:c r="G1356" s="13" t="str">
        <x:v>grid_wekqfxnd.xlsx</x:v>
      </x:c>
    </x:row>
    <x:row r="1357">
      <x:c r="A1357" s="15" t="n">
        <x:v>40848</x:v>
      </x:c>
      <x:c r="B1357" s="13" t="str">
        <x:v>VALE SA</x:v>
      </x:c>
      <x:c r="C1357" s="16" t="n">
        <x:v>41032.6119742951</x:v>
      </x:c>
      <x:c r="D1357" s="13" t="str">
        <x:v>Metals &amp; Mining</x:v>
      </x:c>
      <x:c r="E1357" s="13" t="str">
        <x:v>Metals &amp; Mining</x:v>
      </x:c>
      <x:c r="F1357" s="13" t="str">
        <x:v>Deep Cyclicals</x:v>
      </x:c>
      <x:c r="G1357" s="13" t="str">
        <x:v>grid_wekqfxnd.xlsx</x:v>
      </x:c>
    </x:row>
    <x:row r="1358">
      <x:c r="A1358" s="15" t="n">
        <x:v>40848</x:v>
      </x:c>
      <x:c r="B1358" s="13" t="str">
        <x:v>BRASKEM SA-PREF A</x:v>
      </x:c>
      <x:c r="C1358" s="16" t="n">
        <x:v>1150.9905591257</x:v>
      </x:c>
      <x:c r="D1358" s="13" t="str">
        <x:v>Oil, Gas &amp; Petrochemicals</x:v>
      </x:c>
      <x:c r="E1358" s="13" t="str">
        <x:v>Oil, Gas &amp; Petrochemicals</x:v>
      </x:c>
      <x:c r="F1358" s="13" t="str">
        <x:v>Deep Cyclicals</x:v>
      </x:c>
      <x:c r="G1358" s="13" t="str">
        <x:v>grid_wekqfxnd.xlsx</x:v>
      </x:c>
    </x:row>
    <x:row r="1359">
      <x:c r="A1359" s="15" t="n">
        <x:v>40848</x:v>
      </x:c>
      <x:c r="B1359" s="13" t="str">
        <x:v>COSAN SA</x:v>
      </x:c>
      <x:c r="C1359" s="16" t="n">
        <x:v>1042.0219358242</x:v>
      </x:c>
      <x:c r="D1359" s="13" t="str">
        <x:v>Oil, Gas &amp; Petrochemicals</x:v>
      </x:c>
      <x:c r="E1359" s="13" t="str">
        <x:v>Oil, Gas &amp; Petrochemicals</x:v>
      </x:c>
      <x:c r="F1359" s="13" t="str">
        <x:v>Deep Cyclicals</x:v>
      </x:c>
      <x:c r="G1359" s="13" t="str">
        <x:v>grid_wekqfxnd.xlsx</x:v>
      </x:c>
    </x:row>
    <x:row r="1360">
      <x:c r="A1360" s="15" t="n">
        <x:v>40848</x:v>
      </x:c>
      <x:c r="B1360" s="13" t="str">
        <x:v>OLEO E GAS PARTICIPACOES SA</x:v>
      </x:c>
      <x:c r="C1360" s="16" t="n">
        <x:v>579.1436721311</x:v>
      </x:c>
      <x:c r="D1360" s="13" t="str">
        <x:v>Oil, Gas &amp; Petrochemicals</x:v>
      </x:c>
      <x:c r="E1360" s="13" t="str">
        <x:v>Oil, Gas &amp; Petrochemicals</x:v>
      </x:c>
      <x:c r="F1360" s="13" t="str">
        <x:v>Deep Cyclicals</x:v>
      </x:c>
      <x:c r="G1360" s="13" t="str">
        <x:v>grid_wekqfxnd.xlsx</x:v>
      </x:c>
    </x:row>
    <x:row r="1361">
      <x:c r="A1361" s="15" t="n">
        <x:v>40848</x:v>
      </x:c>
      <x:c r="B1361" s="13" t="str">
        <x:v>PETROBRAS - PETROLEO BRAS</x:v>
      </x:c>
      <x:c r="C1361" s="16" t="n">
        <x:v>40474.241505224</x:v>
      </x:c>
      <x:c r="D1361" s="13" t="str">
        <x:v>Oil, Gas &amp; Petrochemicals</x:v>
      </x:c>
      <x:c r="E1361" s="13" t="str">
        <x:v>Oil, Gas &amp; Petrochemicals</x:v>
      </x:c>
      <x:c r="F1361" s="13" t="str">
        <x:v>Deep Cyclicals</x:v>
      </x:c>
      <x:c r="G1361" s="13" t="str">
        <x:v>grid_wekqfxnd.xlsx</x:v>
      </x:c>
    </x:row>
    <x:row r="1362">
      <x:c r="A1362" s="15" t="n">
        <x:v>40848</x:v>
      </x:c>
      <x:c r="B1362" s="13" t="str">
        <x:v>ULTRAPAR PARTICIPACOES SA</x:v>
      </x:c>
      <x:c r="C1362" s="16" t="n">
        <x:v>971.0193266011</x:v>
      </x:c>
      <x:c r="D1362" s="13" t="str">
        <x:v>Oil, Gas &amp; Petrochemicals</x:v>
      </x:c>
      <x:c r="E1362" s="13" t="str">
        <x:v>Oil, Gas &amp; Petrochemicals</x:v>
      </x:c>
      <x:c r="F1362" s="13" t="str">
        <x:v>Deep Cyclicals</x:v>
      </x:c>
      <x:c r="G1362" s="13" t="str">
        <x:v>grid_wekqfxnd.xlsx</x:v>
      </x:c>
    </x:row>
    <x:row r="1363">
      <x:c r="A1363" s="15" t="n">
        <x:v>40848</x:v>
      </x:c>
      <x:c r="B1363" s="13" t="str">
        <x:v>DEXCO SA</x:v>
      </x:c>
      <x:c r="C1363" s="16" t="n">
        <x:v>418.0399395847</x:v>
      </x:c>
      <x:c r="D1363" s="13" t="str">
        <x:v>Pulp &amp; Paper</x:v>
      </x:c>
      <x:c r="E1363" s="13" t="str">
        <x:v>Pulp &amp; Paper</x:v>
      </x:c>
      <x:c r="F1363" s="13" t="str">
        <x:v>Deep Cyclicals</x:v>
      </x:c>
      <x:c r="G1363" s="13" t="str">
        <x:v>grid_wekqfxnd.xlsx</x:v>
      </x:c>
    </x:row>
    <x:row r="1364">
      <x:c r="A1364" s="15" t="n">
        <x:v>40848</x:v>
      </x:c>
      <x:c r="B1364" s="13" t="str">
        <x:v>FIBRIA CELULOSE S/A</x:v>
      </x:c>
      <x:c r="C1364" s="16" t="n">
        <x:v>37.9568920656</x:v>
      </x:c>
      <x:c r="D1364" s="13" t="str">
        <x:v>Pulp &amp; Paper</x:v>
      </x:c>
      <x:c r="E1364" s="13" t="str">
        <x:v>Pulp &amp; Paper</x:v>
      </x:c>
      <x:c r="F1364" s="13" t="str">
        <x:v>Deep Cyclicals</x:v>
      </x:c>
      <x:c r="G1364" s="13" t="str">
        <x:v>grid_wekqfxnd.xlsx</x:v>
      </x:c>
    </x:row>
    <x:row r="1365">
      <x:c r="A1365" s="15" t="n">
        <x:v>40848</x:v>
      </x:c>
      <x:c r="B1365" s="13" t="str">
        <x:v>AMERICANAS SA</x:v>
      </x:c>
      <x:c r="C1365" s="16" t="n">
        <x:v>47.1855887978</x:v>
      </x:c>
      <x:c r="D1365" s="13" t="str">
        <x:v>Retail</x:v>
      </x:c>
      <x:c r="E1365" s="13" t="str">
        <x:v>Retail</x:v>
      </x:c>
      <x:c r="F1365" s="13" t="str">
        <x:v>Early Cyclicals</x:v>
      </x:c>
      <x:c r="G1365" s="13" t="str">
        <x:v>grid_wekqfxnd.xlsx</x:v>
      </x:c>
    </x:row>
    <x:row r="1366">
      <x:c r="A1366" s="15" t="n">
        <x:v>40848</x:v>
      </x:c>
      <x:c r="B1366" s="13" t="str">
        <x:v>CIA BRASILEIRA DE DIS-PREF</x:v>
      </x:c>
      <x:c r="C1366" s="16" t="n">
        <x:v>983.5841858798</x:v>
      </x:c>
      <x:c r="D1366" s="13" t="str">
        <x:v>Retail</x:v>
      </x:c>
      <x:c r="E1366" s="13" t="str">
        <x:v>Retail</x:v>
      </x:c>
      <x:c r="F1366" s="13" t="str">
        <x:v>Early Cyclicals</x:v>
      </x:c>
      <x:c r="G1366" s="13" t="str">
        <x:v>grid_wekqfxnd.xlsx</x:v>
      </x:c>
    </x:row>
    <x:row r="1367">
      <x:c r="A1367" s="15" t="n">
        <x:v>40848</x:v>
      </x:c>
      <x:c r="B1367" s="13" t="str">
        <x:v>CIA HERING</x:v>
      </x:c>
      <x:c r="C1367" s="16" t="n">
        <x:v>364.4023370492</x:v>
      </x:c>
      <x:c r="D1367" s="13" t="str">
        <x:v>Retail</x:v>
      </x:c>
      <x:c r="E1367" s="13" t="str">
        <x:v>Retail</x:v>
      </x:c>
      <x:c r="F1367" s="13" t="str">
        <x:v>Early Cyclicals</x:v>
      </x:c>
      <x:c r="G1367" s="13" t="str">
        <x:v>grid_wekqfxnd.xlsx</x:v>
      </x:c>
    </x:row>
    <x:row r="1368">
      <x:c r="A1368" s="15" t="n">
        <x:v>40848</x:v>
      </x:c>
      <x:c r="B1368" s="13" t="str">
        <x:v>LOJAS AMERICANAS SA-PREF</x:v>
      </x:c>
      <x:c r="C1368" s="16" t="n">
        <x:v>458.1082909727</x:v>
      </x:c>
      <x:c r="D1368" s="13" t="str">
        <x:v>Retail</x:v>
      </x:c>
      <x:c r="E1368" s="13" t="str">
        <x:v>Retail</x:v>
      </x:c>
      <x:c r="F1368" s="13" t="str">
        <x:v>Early Cyclicals</x:v>
      </x:c>
      <x:c r="G1368" s="13" t="str">
        <x:v>grid_wekqfxnd.xlsx</x:v>
      </x:c>
    </x:row>
    <x:row r="1369">
      <x:c r="A1369" s="15" t="n">
        <x:v>40848</x:v>
      </x:c>
      <x:c r="B1369" s="13" t="str">
        <x:v>LOJAS RENNER S.A.</x:v>
      </x:c>
      <x:c r="C1369" s="16" t="n">
        <x:v>408.8397216175</x:v>
      </x:c>
      <x:c r="D1369" s="13" t="str">
        <x:v>Retail</x:v>
      </x:c>
      <x:c r="E1369" s="13" t="str">
        <x:v>Retail</x:v>
      </x:c>
      <x:c r="F1369" s="13" t="str">
        <x:v>Early Cyclicals</x:v>
      </x:c>
      <x:c r="G1369" s="13" t="str">
        <x:v>grid_wekqfxnd.xlsx</x:v>
      </x:c>
    </x:row>
    <x:row r="1370">
      <x:c r="A1370" s="15" t="n">
        <x:v>40848</x:v>
      </x:c>
      <x:c r="B1370" s="13" t="str">
        <x:v>NATURA COSMETICOS SA</x:v>
      </x:c>
      <x:c r="C1370" s="16" t="n">
        <x:v>878.9577059672</x:v>
      </x:c>
      <x:c r="D1370" s="13" t="str">
        <x:v>Retail</x:v>
      </x:c>
      <x:c r="E1370" s="13" t="str">
        <x:v>Retail</x:v>
      </x:c>
      <x:c r="F1370" s="13" t="str">
        <x:v>Early Cyclicals</x:v>
      </x:c>
      <x:c r="G1370" s="13" t="str">
        <x:v>grid_wekqfxnd.xlsx</x:v>
      </x:c>
    </x:row>
    <x:row r="1371">
      <x:c r="A1371" s="15" t="n">
        <x:v>40848</x:v>
      </x:c>
      <x:c r="B1371" s="13" t="str">
        <x:v>CIA SANEAMENTO BASICO DE SP</x:v>
      </x:c>
      <x:c r="C1371" s="16" t="n">
        <x:v>1462.2475729836</x:v>
      </x:c>
      <x:c r="D1371" s="13" t="str">
        <x:v>Sanitation</x:v>
      </x:c>
      <x:c r="E1371" s="13" t="str">
        <x:v>Utilities</x:v>
      </x:c>
      <x:c r="F1371" s="13" t="str">
        <x:v>Defensives</x:v>
      </x:c>
      <x:c r="G1371" s="13" t="str">
        <x:v>grid_wekqfxnd.xlsx</x:v>
      </x:c>
    </x:row>
    <x:row r="1372">
      <x:c r="A1372" s="15" t="n">
        <x:v>40848</x:v>
      </x:c>
      <x:c r="B1372" s="13" t="str">
        <x:v>OI SA-PREFERENCE</x:v>
      </x:c>
      <x:c r="C1372" s="16" t="n">
        <x:v>1407.0273224044</x:v>
      </x:c>
      <x:c r="D1372" s="13" t="str">
        <x:v>TMT</x:v>
      </x:c>
      <x:c r="E1372" s="13" t="str">
        <x:v>TMT</x:v>
      </x:c>
      <x:c r="F1372" s="13" t="str">
        <x:v>Early Cyclicals</x:v>
      </x:c>
      <x:c r="G1372" s="13" t="str">
        <x:v>grid_wekqfxnd.xlsx</x:v>
      </x:c>
    </x:row>
    <x:row r="1373">
      <x:c r="A1373" s="15" t="n">
        <x:v>40848</x:v>
      </x:c>
      <x:c r="B1373" s="13" t="str">
        <x:v>TELE NORTE LESTE PART</x:v>
      </x:c>
      <x:c r="C1373" s="16" t="n">
        <x:v>991.9614461202</x:v>
      </x:c>
      <x:c r="D1373" s="13" t="str">
        <x:v>TMT</x:v>
      </x:c>
      <x:c r="E1373" s="13" t="str">
        <x:v>TMT</x:v>
      </x:c>
      <x:c r="F1373" s="13" t="str">
        <x:v>Early Cyclicals</x:v>
      </x:c>
      <x:c r="G1373" s="13" t="str">
        <x:v>grid_wekqfxnd.xlsx</x:v>
      </x:c>
    </x:row>
    <x:row r="1374">
      <x:c r="A1374" s="15" t="n">
        <x:v>40848</x:v>
      </x:c>
      <x:c r="B1374" s="13" t="str">
        <x:v>TELEFONICA BRASIL S.A.-PREF</x:v>
      </x:c>
      <x:c r="C1374" s="16" t="n">
        <x:v>5252.3033837814</x:v>
      </x:c>
      <x:c r="D1374" s="13" t="str">
        <x:v>TMT</x:v>
      </x:c>
      <x:c r="E1374" s="13" t="str">
        <x:v>TMT</x:v>
      </x:c>
      <x:c r="F1374" s="13" t="str">
        <x:v>Early Cyclicals</x:v>
      </x:c>
      <x:c r="G1374" s="13" t="str">
        <x:v>grid_wekqfxnd.xlsx</x:v>
      </x:c>
    </x:row>
    <x:row r="1375">
      <x:c r="A1375" s="15" t="n">
        <x:v>40848</x:v>
      </x:c>
      <x:c r="B1375" s="13" t="str">
        <x:v>TELEMAR NORTE LESTE SA</x:v>
      </x:c>
      <x:c r="C1375" s="16" t="n">
        <x:v>1152.4104884809</x:v>
      </x:c>
      <x:c r="D1375" s="13" t="str">
        <x:v>TMT</x:v>
      </x:c>
      <x:c r="E1375" s="13" t="str">
        <x:v>TMT</x:v>
      </x:c>
      <x:c r="F1375" s="13" t="str">
        <x:v>Early Cyclicals</x:v>
      </x:c>
      <x:c r="G1375" s="13" t="str">
        <x:v>grid_wekqfxnd.xlsx</x:v>
      </x:c>
    </x:row>
    <x:row r="1376">
      <x:c r="A1376" s="15" t="n">
        <x:v>40848</x:v>
      </x:c>
      <x:c r="B1376" s="13" t="str">
        <x:v>TIM SA</x:v>
      </x:c>
      <x:c r="C1376" s="16" t="n">
        <x:v>1600.3810696393</x:v>
      </x:c>
      <x:c r="D1376" s="13" t="str">
        <x:v>TMT</x:v>
      </x:c>
      <x:c r="E1376" s="13" t="str">
        <x:v>TMT</x:v>
      </x:c>
      <x:c r="F1376" s="13" t="str">
        <x:v>Early Cyclicals</x:v>
      </x:c>
      <x:c r="G1376" s="13" t="str">
        <x:v>grid_wekqfxnd.xlsx</x:v>
      </x:c>
    </x:row>
    <x:row r="1377">
      <x:c r="A1377" s="15" t="n">
        <x:v>40848</x:v>
      </x:c>
      <x:c r="B1377" s="13" t="str">
        <x:v>GOL LINHAS AEREAS INT SA-PRE</x:v>
      </x:c>
      <x:c r="C1377" s="16" t="n">
        <x:v>111.4960368962</x:v>
      </x:c>
      <x:c r="D1377" s="13" t="str">
        <x:v>Transportation</x:v>
      </x:c>
      <x:c r="E1377" s="13" t="str">
        <x:v>Transportation</x:v>
      </x:c>
      <x:c r="F1377" s="13" t="str">
        <x:v>Deep Cyclicals</x:v>
      </x:c>
      <x:c r="G1377" s="13" t="str">
        <x:v>grid_wekqfxnd.xlsx</x:v>
      </x:c>
    </x:row>
    <x:row r="1378">
      <x:c r="A1378" s="15" t="n">
        <x:v>40848</x:v>
      </x:c>
      <x:c r="B1378" s="13" t="str">
        <x:v>MOTIVA INFRAESTRUTURA DE MOB</x:v>
      </x:c>
      <x:c r="C1378" s="16" t="n">
        <x:v>1215.9518940328</x:v>
      </x:c>
      <x:c r="D1378" s="13" t="str">
        <x:v>Transportation</x:v>
      </x:c>
      <x:c r="E1378" s="13" t="str">
        <x:v>Transportation</x:v>
      </x:c>
      <x:c r="F1378" s="13" t="str">
        <x:v>Deep Cyclicals</x:v>
      </x:c>
      <x:c r="G1378" s="13" t="str">
        <x:v>grid_wekqfxnd.xlsx</x:v>
      </x:c>
    </x:row>
    <x:row r="1379">
      <x:c r="A1379" s="15" t="n">
        <x:v>40848</x:v>
      </x:c>
      <x:c r="B1379" s="13" t="str">
        <x:v>PRUMO LOGISTICA SA</x:v>
      </x:c>
      <x:c r="C1379" s="16" t="n">
        <x:v>-107.6857650273</x:v>
      </x:c>
      <x:c r="D1379" s="13" t="str">
        <x:v>Transportation</x:v>
      </x:c>
      <x:c r="E1379" s="13" t="str">
        <x:v>Transportation</x:v>
      </x:c>
      <x:c r="F1379" s="13" t="str">
        <x:v>Deep Cyclicals</x:v>
      </x:c>
      <x:c r="G1379" s="13" t="str">
        <x:v>grid_wekqfxnd.xlsx</x:v>
      </x:c>
    </x:row>
    <x:row r="1380">
      <x:c r="A1380" s="15" t="n">
        <x:v>40848</x:v>
      </x:c>
      <x:c r="B1380" s="13" t="str">
        <x:v>RUMO SA</x:v>
      </x:c>
      <x:c r="C1380" s="16" t="n">
        <x:v>320.8831964153</x:v>
      </x:c>
      <x:c r="D1380" s="13" t="str">
        <x:v>Transportation</x:v>
      </x:c>
      <x:c r="E1380" s="13" t="str">
        <x:v>Transportation</x:v>
      </x:c>
      <x:c r="F1380" s="13" t="str">
        <x:v>Deep Cyclicals</x:v>
      </x:c>
      <x:c r="G1380" s="13" t="str">
        <x:v>grid_wekqfxnd.xlsx</x:v>
      </x:c>
    </x:row>
    <x:row r="1381">
      <x:c r="A1381" s="15" t="n">
        <x:v>40848</x:v>
      </x:c>
      <x:c r="B1381" s="13" t="str">
        <x:v>TAM SA-PREF</x:v>
      </x:c>
      <x:c r="C1381" s="16" t="n">
        <x:v>192.7454173552</x:v>
      </x:c>
      <x:c r="D1381" s="13" t="str">
        <x:v>Transportation</x:v>
      </x:c>
      <x:c r="E1381" s="13" t="str">
        <x:v>Transportation</x:v>
      </x:c>
      <x:c r="F1381" s="13" t="str">
        <x:v>Deep Cyclicals</x:v>
      </x:c>
      <x:c r="G1381" s="13" t="str">
        <x:v>grid_wekqfxnd.xlsx</x:v>
      </x:c>
    </x:row>
    <x:row r="1382">
      <x:c r="A1382" s="15" t="n">
        <x:v>40848</x:v>
      </x:c>
      <x:c r="B1382" s="13" t="str">
        <x:v>AXIA ENERGIA SA</x:v>
      </x:c>
      <x:c r="C1382" s="16" t="n">
        <x:v>3669.8530993661</x:v>
      </x:c>
      <x:c r="D1382" s="13" t="str">
        <x:v>Utilities &amp; Energy</x:v>
      </x:c>
      <x:c r="E1382" s="13" t="str">
        <x:v>Utilities</x:v>
      </x:c>
      <x:c r="F1382" s="13" t="str">
        <x:v>Defensives</x:v>
      </x:c>
      <x:c r="G1382" s="13" t="str">
        <x:v>grid_wekqfxnd.xlsx</x:v>
      </x:c>
    </x:row>
    <x:row r="1383">
      <x:c r="A1383" s="15" t="n">
        <x:v>40848</x:v>
      </x:c>
      <x:c r="B1383" s="13" t="str">
        <x:v>AXIA ENERGIA-PR B</x:v>
      </x:c>
      <x:c r="C1383" s="16" t="n">
        <x:v>3669.8530993661</x:v>
      </x:c>
      <x:c r="D1383" s="13" t="str">
        <x:v>Utilities &amp; Energy</x:v>
      </x:c>
      <x:c r="E1383" s="13" t="str">
        <x:v>Utilities</x:v>
      </x:c>
      <x:c r="F1383" s="13" t="str">
        <x:v>Defensives</x:v>
      </x:c>
      <x:c r="G1383" s="13" t="str">
        <x:v>grid_wekqfxnd.xlsx</x:v>
      </x:c>
    </x:row>
    <x:row r="1384">
      <x:c r="A1384" s="15" t="n">
        <x:v>40848</x:v>
      </x:c>
      <x:c r="B1384" s="13" t="str">
        <x:v>CESP - CIA ENERGETICA DE SAO</x:v>
      </x:c>
      <x:c r="C1384" s="16" t="n">
        <x:v>613.3046726995</x:v>
      </x:c>
      <x:c r="D1384" s="13" t="str">
        <x:v>Utilities &amp; Energy</x:v>
      </x:c>
      <x:c r="E1384" s="13" t="str">
        <x:v>Utilities</x:v>
      </x:c>
      <x:c r="F1384" s="13" t="str">
        <x:v>Defensives</x:v>
      </x:c>
      <x:c r="G1384" s="13" t="str">
        <x:v>grid_wekqfxnd.xlsx</x:v>
      </x:c>
    </x:row>
    <x:row r="1385">
      <x:c r="A1385" s="15" t="n">
        <x:v>40848</x:v>
      </x:c>
      <x:c r="B1385" s="13" t="str">
        <x:v>CIA ENERGETICA MINAS GER-PRF</x:v>
      </x:c>
      <x:c r="C1385" s="16" t="n">
        <x:v>2320.6297841311</x:v>
      </x:c>
      <x:c r="D1385" s="13" t="str">
        <x:v>Utilities &amp; Energy</x:v>
      </x:c>
      <x:c r="E1385" s="13" t="str">
        <x:v>Utilities</x:v>
      </x:c>
      <x:c r="F1385" s="13" t="str">
        <x:v>Defensives</x:v>
      </x:c>
      <x:c r="G1385" s="13" t="str">
        <x:v>grid_wekqfxnd.xlsx</x:v>
      </x:c>
    </x:row>
    <x:row r="1386">
      <x:c r="A1386" s="15" t="n">
        <x:v>40848</x:v>
      </x:c>
      <x:c r="B1386" s="13" t="str">
        <x:v>COMPANHIA PARANAENSE -PREF B</x:v>
      </x:c>
      <x:c r="C1386" s="16" t="n">
        <x:v>1300.6794568743</x:v>
      </x:c>
      <x:c r="D1386" s="13" t="str">
        <x:v>Utilities &amp; Energy</x:v>
      </x:c>
      <x:c r="E1386" s="13" t="str">
        <x:v>Utilities</x:v>
      </x:c>
      <x:c r="F1386" s="13" t="str">
        <x:v>Defensives</x:v>
      </x:c>
      <x:c r="G1386" s="13" t="str">
        <x:v>grid_wekqfxnd.xlsx</x:v>
      </x:c>
    </x:row>
    <x:row r="1387">
      <x:c r="A1387" s="15" t="n">
        <x:v>40848</x:v>
      </x:c>
      <x:c r="B1387" s="13" t="str">
        <x:v>CPFL ENERGIA SA</x:v>
      </x:c>
      <x:c r="C1387" s="16" t="n">
        <x:v>1526.5153479344</x:v>
      </x:c>
      <x:c r="D1387" s="13" t="str">
        <x:v>Utilities &amp; Energy</x:v>
      </x:c>
      <x:c r="E1387" s="13" t="str">
        <x:v>Utilities</x:v>
      </x:c>
      <x:c r="F1387" s="13" t="str">
        <x:v>Defensives</x:v>
      </x:c>
      <x:c r="G1387" s="13" t="str">
        <x:v>grid_wekqfxnd.xlsx</x:v>
      </x:c>
    </x:row>
    <x:row r="1388">
      <x:c r="A1388" s="15" t="n">
        <x:v>40848</x:v>
      </x:c>
      <x:c r="B1388" s="13" t="str">
        <x:v>ELETROPAULO METROPOLI-PREF</x:v>
      </x:c>
      <x:c r="C1388" s="16" t="n">
        <x:v>521.3299171148</x:v>
      </x:c>
      <x:c r="D1388" s="13" t="str">
        <x:v>Utilities &amp; Energy</x:v>
      </x:c>
      <x:c r="E1388" s="13" t="str">
        <x:v>Utilities</x:v>
      </x:c>
      <x:c r="F1388" s="13" t="str">
        <x:v>Defensives</x:v>
      </x:c>
      <x:c r="G1388" s="13" t="str">
        <x:v>grid_wekqfxnd.xlsx</x:v>
      </x:c>
    </x:row>
    <x:row r="1389">
      <x:c r="A1389" s="15" t="n">
        <x:v>40848</x:v>
      </x:c>
      <x:c r="B1389" s="13" t="str">
        <x:v>ISA ENERGIA BRASIL SA</x:v>
      </x:c>
      <x:c r="C1389" s="16" t="n">
        <x:v>981.773876459</x:v>
      </x:c>
      <x:c r="D1389" s="13" t="str">
        <x:v>Utilities &amp; Energy</x:v>
      </x:c>
      <x:c r="E1389" s="13" t="str">
        <x:v>Utilities</x:v>
      </x:c>
      <x:c r="F1389" s="13" t="str">
        <x:v>Defensives</x:v>
      </x:c>
      <x:c r="G1389" s="13" t="str">
        <x:v>grid_wekqfxnd.xlsx</x:v>
      </x:c>
    </x:row>
    <x:row r="1390">
      <x:c r="A1390" s="15" t="n">
        <x:v>40848</x:v>
      </x:c>
      <x:c r="B1390" s="13" t="str">
        <x:v>LIGHT SA</x:v>
      </x:c>
      <x:c r="C1390" s="16" t="n">
        <x:v>590.8898907104</x:v>
      </x:c>
      <x:c r="D1390" s="13" t="str">
        <x:v>Utilities &amp; Energy</x:v>
      </x:c>
      <x:c r="E1390" s="13" t="str">
        <x:v>Utilities</x:v>
      </x:c>
      <x:c r="F1390" s="13" t="str">
        <x:v>Defensives</x:v>
      </x:c>
      <x:c r="G1390" s="13" t="str">
        <x:v>grid_wekqfxnd.xlsx</x:v>
      </x:c>
    </x:row>
    <x:row r="1391">
      <x:c r="A1391" s="15" t="n">
        <x:v>40878</x:v>
      </x:c>
      <x:c r="B1391" s="13" t="str">
        <x:v>BANCO BRADESCO SA-PREF</x:v>
      </x:c>
      <x:c r="C1391" s="16" t="n">
        <x:v>12406.7426231257</x:v>
      </x:c>
      <x:c r="D1391" s="13" t="str">
        <x:v>Banks</x:v>
      </x:c>
      <x:c r="E1391" s="13" t="str">
        <x:v>Banks</x:v>
      </x:c>
      <x:c r="F1391" s="13" t="str">
        <x:v>Financials</x:v>
      </x:c>
      <x:c r="G1391" s="13" t="str">
        <x:v>grid_wekqfxnd.xlsx</x:v>
      </x:c>
    </x:row>
    <x:row r="1392">
      <x:c r="A1392" s="15" t="n">
        <x:v>40878</x:v>
      </x:c>
      <x:c r="B1392" s="13" t="str">
        <x:v>BANCO DO BRASIL S.A.</x:v>
      </x:c>
      <x:c r="C1392" s="16" t="n">
        <x:v>12002.5283483279</x:v>
      </x:c>
      <x:c r="D1392" s="13" t="str">
        <x:v>Banks</x:v>
      </x:c>
      <x:c r="E1392" s="13" t="str">
        <x:v>Banks</x:v>
      </x:c>
      <x:c r="F1392" s="13" t="str">
        <x:v>Financials</x:v>
      </x:c>
      <x:c r="G1392" s="13" t="str">
        <x:v>grid_wekqfxnd.xlsx</x:v>
      </x:c>
    </x:row>
    <x:row r="1393">
      <x:c r="A1393" s="15" t="n">
        <x:v>40878</x:v>
      </x:c>
      <x:c r="B1393" s="13" t="str">
        <x:v>BANCO SANTANDER  BRASIL-UNIT</x:v>
      </x:c>
      <x:c r="C1393" s="16" t="n">
        <x:v>6856.1679709727</x:v>
      </x:c>
      <x:c r="D1393" s="13" t="str">
        <x:v>Banks</x:v>
      </x:c>
      <x:c r="E1393" s="13" t="str">
        <x:v>Banks</x:v>
      </x:c>
      <x:c r="F1393" s="13" t="str">
        <x:v>Financials</x:v>
      </x:c>
      <x:c r="G1393" s="13" t="str">
        <x:v>grid_wekqfxnd.xlsx</x:v>
      </x:c>
    </x:row>
    <x:row r="1394">
      <x:c r="A1394" s="15" t="n">
        <x:v>40878</x:v>
      </x:c>
      <x:c r="B1394" s="13" t="str">
        <x:v>ITAU UNIBANCO HOLDING S-PREF</x:v>
      </x:c>
      <x:c r="C1394" s="16" t="n">
        <x:v>16599.2311942295</x:v>
      </x:c>
      <x:c r="D1394" s="13" t="str">
        <x:v>Banks</x:v>
      </x:c>
      <x:c r="E1394" s="13" t="str">
        <x:v>Banks</x:v>
      </x:c>
      <x:c r="F1394" s="13" t="str">
        <x:v>Financials</x:v>
      </x:c>
      <x:c r="G1394" s="13" t="str">
        <x:v>grid_wekqfxnd.xlsx</x:v>
      </x:c>
    </x:row>
    <x:row r="1395">
      <x:c r="A1395" s="15" t="n">
        <x:v>40878</x:v>
      </x:c>
      <x:c r="B1395" s="13" t="str">
        <x:v>EMBRAER SA</x:v>
      </x:c>
      <x:c r="C1395" s="16" t="n">
        <x:v>819.3617070164</x:v>
      </x:c>
      <x:c r="D1395" s="13" t="str">
        <x:v>Capital Goods</x:v>
      </x:c>
      <x:c r="E1395" s="13" t="str">
        <x:v>Capital Goods</x:v>
      </x:c>
      <x:c r="F1395" s="13" t="str">
        <x:v>Deep Cyclicals</x:v>
      </x:c>
      <x:c r="G1395" s="13" t="str">
        <x:v>grid_wekqfxnd.xlsx</x:v>
      </x:c>
    </x:row>
    <x:row r="1396">
      <x:c r="A1396" s="15" t="n">
        <x:v>40878</x:v>
      </x:c>
      <x:c r="B1396" s="13" t="str">
        <x:v>B3 SA-BRASIL BOLSA BALCAO</x:v>
      </x:c>
      <x:c r="C1396" s="16" t="n">
        <x:v>1551.0008424918</x:v>
      </x:c>
      <x:c r="D1396" s="13" t="str">
        <x:v>Financials Non-Banks</x:v>
      </x:c>
      <x:c r="E1396" s="13" t="str">
        <x:v>Financials Non-Banks</x:v>
      </x:c>
      <x:c r="F1396" s="13" t="str">
        <x:v>Financials</x:v>
      </x:c>
      <x:c r="G1396" s="13" t="str">
        <x:v>grid_wekqfxnd.xlsx</x:v>
      </x:c>
    </x:row>
    <x:row r="1397">
      <x:c r="A1397" s="15" t="n">
        <x:v>40878</x:v>
      </x:c>
      <x:c r="B1397" s="13" t="str">
        <x:v>CIELO SA - INSTITUICAO DE PA</x:v>
      </x:c>
      <x:c r="C1397" s="16" t="n">
        <x:v>1962.5177414645</x:v>
      </x:c>
      <x:c r="D1397" s="13" t="str">
        <x:v>Financials Non-Banks</x:v>
      </x:c>
      <x:c r="E1397" s="13" t="str">
        <x:v>Financials Non-Banks</x:v>
      </x:c>
      <x:c r="F1397" s="13" t="str">
        <x:v>Financials</x:v>
      </x:c>
      <x:c r="G1397" s="13" t="str">
        <x:v>grid_wekqfxnd.xlsx</x:v>
      </x:c>
    </x:row>
    <x:row r="1398">
      <x:c r="A1398" s="15" t="n">
        <x:v>40878</x:v>
      </x:c>
      <x:c r="B1398" s="13" t="str">
        <x:v>ITAUSA SA</x:v>
      </x:c>
      <x:c r="C1398" s="16" t="n">
        <x:v>5818.3770173552</x:v>
      </x:c>
      <x:c r="D1398" s="13" t="str">
        <x:v>Financials Non-Banks</x:v>
      </x:c>
      <x:c r="E1398" s="13" t="str">
        <x:v>Financials Non-Banks</x:v>
      </x:c>
      <x:c r="F1398" s="13" t="str">
        <x:v>Financials</x:v>
      </x:c>
      <x:c r="G1398" s="13" t="str">
        <x:v>grid_wekqfxnd.xlsx</x:v>
      </x:c>
    </x:row>
    <x:row r="1399">
      <x:c r="A1399" s="15" t="n">
        <x:v>40878</x:v>
      </x:c>
      <x:c r="B1399" s="13" t="str">
        <x:v>REDECARD INSTITUICAO DE PAGA</x:v>
      </x:c>
      <x:c r="C1399" s="16" t="n">
        <x:v>1485.7796130273</x:v>
      </x:c>
      <x:c r="D1399" s="13" t="str">
        <x:v>Financials Non-Banks</x:v>
      </x:c>
      <x:c r="E1399" s="13" t="str">
        <x:v>Financials Non-Banks</x:v>
      </x:c>
      <x:c r="F1399" s="13" t="str">
        <x:v>Financials</x:v>
      </x:c>
      <x:c r="G1399" s="13" t="str">
        <x:v>grid_wekqfxnd.xlsx</x:v>
      </x:c>
    </x:row>
    <x:row r="1400">
      <x:c r="A1400" s="15" t="n">
        <x:v>40878</x:v>
      </x:c>
      <x:c r="B1400" s="13" t="str">
        <x:v>AMBEV SA</x:v>
      </x:c>
      <x:c r="C1400" s="16" t="n">
        <x:v>9844.7274051148</x:v>
      </x:c>
      <x:c r="D1400" s="13" t="str">
        <x:v>Food &amp; Beverages</x:v>
      </x:c>
      <x:c r="E1400" s="13" t="str">
        <x:v>Agri, Food &amp; Beverages</x:v>
      </x:c>
      <x:c r="F1400" s="13" t="str">
        <x:v>Defensives</x:v>
      </x:c>
      <x:c r="G1400" s="13" t="str">
        <x:v>grid_wekqfxnd.xlsx</x:v>
      </x:c>
    </x:row>
    <x:row r="1401">
      <x:c r="A1401" s="15" t="n">
        <x:v>40878</x:v>
      </x:c>
      <x:c r="B1401" s="13" t="str">
        <x:v>BRF SA</x:v>
      </x:c>
      <x:c r="C1401" s="16" t="n">
        <x:v>1960.4611679126</x:v>
      </x:c>
      <x:c r="D1401" s="13" t="str">
        <x:v>Food &amp; Beverages</x:v>
      </x:c>
      <x:c r="E1401" s="13" t="str">
        <x:v>Agri, Food &amp; Beverages</x:v>
      </x:c>
      <x:c r="F1401" s="13" t="str">
        <x:v>Defensives</x:v>
      </x:c>
      <x:c r="G1401" s="13" t="str">
        <x:v>grid_wekqfxnd.xlsx</x:v>
      </x:c>
    </x:row>
    <x:row r="1402">
      <x:c r="A1402" s="15" t="n">
        <x:v>40878</x:v>
      </x:c>
      <x:c r="B1402" s="13" t="str">
        <x:v>JBS SA</x:v>
      </x:c>
      <x:c r="C1402" s="16" t="n">
        <x:v>1727.306010929</x:v>
      </x:c>
      <x:c r="D1402" s="13" t="str">
        <x:v>Food &amp; Beverages</x:v>
      </x:c>
      <x:c r="E1402" s="13" t="str">
        <x:v>Agri, Food &amp; Beverages</x:v>
      </x:c>
      <x:c r="F1402" s="13" t="str">
        <x:v>Defensives</x:v>
      </x:c>
      <x:c r="G1402" s="13" t="str">
        <x:v>grid_wekqfxnd.xlsx</x:v>
      </x:c>
    </x:row>
    <x:row r="1403">
      <x:c r="A1403" s="15" t="n">
        <x:v>40878</x:v>
      </x:c>
      <x:c r="B1403" s="13" t="str">
        <x:v>MBRF GLOBAL FOODS COMPANY SA</x:v>
      </x:c>
      <x:c r="C1403" s="16" t="n">
        <x:v>66.3019125464</x:v>
      </x:c>
      <x:c r="D1403" s="13" t="str">
        <x:v>Food &amp; Beverages</x:v>
      </x:c>
      <x:c r="E1403" s="13" t="str">
        <x:v>Agri, Food &amp; Beverages</x:v>
      </x:c>
      <x:c r="F1403" s="13" t="str">
        <x:v>Defensives</x:v>
      </x:c>
      <x:c r="G1403" s="13" t="str">
        <x:v>grid_wekqfxnd.xlsx</x:v>
      </x:c>
    </x:row>
    <x:row r="1404">
      <x:c r="A1404" s="15" t="n">
        <x:v>40878</x:v>
      </x:c>
      <x:c r="B1404" s="13" t="str">
        <x:v>SOUZA CRUZ LTDA</x:v>
      </x:c>
      <x:c r="C1404" s="16" t="n">
        <x:v>1724.911796459</x:v>
      </x:c>
      <x:c r="D1404" s="13" t="str">
        <x:v>Food &amp; Beverages</x:v>
      </x:c>
      <x:c r="E1404" s="13" t="str">
        <x:v>Agri, Food &amp; Beverages</x:v>
      </x:c>
      <x:c r="F1404" s="13" t="str">
        <x:v>Defensives</x:v>
      </x:c>
      <x:c r="G1404" s="13" t="str">
        <x:v>grid_wekqfxnd.xlsx</x:v>
      </x:c>
    </x:row>
    <x:row r="1405">
      <x:c r="A1405" s="15" t="n">
        <x:v>40878</x:v>
      </x:c>
      <x:c r="B1405" s="13" t="str">
        <x:v>HYPERA SA</x:v>
      </x:c>
      <x:c r="C1405" s="16" t="n">
        <x:v>293.7991712295</x:v>
      </x:c>
      <x:c r="D1405" s="13" t="str">
        <x:v>Health Care</x:v>
      </x:c>
      <x:c r="E1405" s="13" t="str">
        <x:v>Health Care</x:v>
      </x:c>
      <x:c r="F1405" s="13" t="str">
        <x:v>Defensives</x:v>
      </x:c>
      <x:c r="G1405" s="13" t="str">
        <x:v>grid_wekqfxnd.xlsx</x:v>
      </x:c>
    </x:row>
    <x:row r="1406">
      <x:c r="A1406" s="15" t="n">
        <x:v>40878</x:v>
      </x:c>
      <x:c r="B1406" s="13" t="str">
        <x:v>CYRELA BRAZIL REALTY SA EMP</x:v>
      </x:c>
      <x:c r="C1406" s="16" t="n">
        <x:v>841.1671882842</x:v>
      </x:c>
      <x:c r="D1406" s="13" t="str">
        <x:v>Homebuilders</x:v>
      </x:c>
      <x:c r="E1406" s="13" t="str">
        <x:v>Real Estate</x:v>
      </x:c>
      <x:c r="F1406" s="13" t="str">
        <x:v>Early Cyclicals</x:v>
      </x:c>
      <x:c r="G1406" s="13" t="str">
        <x:v>grid_wekqfxnd.xlsx</x:v>
      </x:c>
    </x:row>
    <x:row r="1407">
      <x:c r="A1407" s="15" t="n">
        <x:v>40878</x:v>
      </x:c>
      <x:c r="B1407" s="13" t="str">
        <x:v>GAFISA SA</x:v>
      </x:c>
      <x:c r="C1407" s="16" t="n">
        <x:v>453.631147541</x:v>
      </x:c>
      <x:c r="D1407" s="13" t="str">
        <x:v>Homebuilders</x:v>
      </x:c>
      <x:c r="E1407" s="13" t="str">
        <x:v>Real Estate</x:v>
      </x:c>
      <x:c r="F1407" s="13" t="str">
        <x:v>Early Cyclicals</x:v>
      </x:c>
      <x:c r="G1407" s="13" t="str">
        <x:v>grid_wekqfxnd.xlsx</x:v>
      </x:c>
    </x:row>
    <x:row r="1408">
      <x:c r="A1408" s="15" t="n">
        <x:v>40878</x:v>
      </x:c>
      <x:c r="B1408" s="13" t="str">
        <x:v>MRV ENGENHARIA</x:v>
      </x:c>
      <x:c r="C1408" s="16" t="n">
        <x:v>901.0500408306</x:v>
      </x:c>
      <x:c r="D1408" s="13" t="str">
        <x:v>Homebuilders</x:v>
      </x:c>
      <x:c r="E1408" s="13" t="str">
        <x:v>Real Estate</x:v>
      </x:c>
      <x:c r="F1408" s="13" t="str">
        <x:v>Early Cyclicals</x:v>
      </x:c>
      <x:c r="G1408" s="13" t="str">
        <x:v>grid_wekqfxnd.xlsx</x:v>
      </x:c>
    </x:row>
    <x:row r="1409">
      <x:c r="A1409" s="15" t="n">
        <x:v>40878</x:v>
      </x:c>
      <x:c r="B1409" s="13" t="str">
        <x:v>PDG REALTY SA</x:v>
      </x:c>
      <x:c r="C1409" s="16" t="n">
        <x:v>1246.2750478688</x:v>
      </x:c>
      <x:c r="D1409" s="13" t="str">
        <x:v>Homebuilders</x:v>
      </x:c>
      <x:c r="E1409" s="13" t="str">
        <x:v>Real Estate</x:v>
      </x:c>
      <x:c r="F1409" s="13" t="str">
        <x:v>Early Cyclicals</x:v>
      </x:c>
      <x:c r="G1409" s="13" t="str">
        <x:v>grid_wekqfxnd.xlsx</x:v>
      </x:c>
    </x:row>
    <x:row r="1410">
      <x:c r="A1410" s="15" t="n">
        <x:v>40878</x:v>
      </x:c>
      <x:c r="B1410" s="13" t="str">
        <x:v>ROSSI RESIDENCIAL SA</x:v>
      </x:c>
      <x:c r="C1410" s="16" t="n">
        <x:v>521.9539865355</x:v>
      </x:c>
      <x:c r="D1410" s="13" t="str">
        <x:v>Homebuilders</x:v>
      </x:c>
      <x:c r="E1410" s="13" t="str">
        <x:v>Real Estate</x:v>
      </x:c>
      <x:c r="F1410" s="13" t="str">
        <x:v>Early Cyclicals</x:v>
      </x:c>
      <x:c r="G1410" s="13" t="str">
        <x:v>grid_wekqfxnd.xlsx</x:v>
      </x:c>
    </x:row>
    <x:row r="1411">
      <x:c r="A1411" s="15" t="n">
        <x:v>40878</x:v>
      </x:c>
      <x:c r="B1411" s="13" t="str">
        <x:v>TEGRA INCORPORADORA SA</x:v>
      </x:c>
      <x:c r="C1411" s="16" t="n">
        <x:v>443.4502483934</x:v>
      </x:c>
      <x:c r="D1411" s="13" t="str">
        <x:v>Homebuilders</x:v>
      </x:c>
      <x:c r="E1411" s="13" t="str">
        <x:v>Real Estate</x:v>
      </x:c>
      <x:c r="F1411" s="13" t="str">
        <x:v>Early Cyclicals</x:v>
      </x:c>
      <x:c r="G1411" s="13" t="str">
        <x:v>grid_wekqfxnd.xlsx</x:v>
      </x:c>
    </x:row>
    <x:row r="1412">
      <x:c r="A1412" s="15" t="n">
        <x:v>40878</x:v>
      </x:c>
      <x:c r="B1412" s="13" t="str">
        <x:v>BR MALLS PARTICIPACOES SA</x:v>
      </x:c>
      <x:c r="C1412" s="16" t="n">
        <x:v>485.7447106448</x:v>
      </x:c>
      <x:c r="D1412" s="13" t="str">
        <x:v>Income Properties</x:v>
      </x:c>
      <x:c r="E1412" s="13" t="str">
        <x:v>Real Estate</x:v>
      </x:c>
      <x:c r="F1412" s="13" t="str">
        <x:v>Early Cyclicals</x:v>
      </x:c>
      <x:c r="G1412" s="13" t="str">
        <x:v>grid_wekqfxnd.xlsx</x:v>
      </x:c>
    </x:row>
    <x:row r="1413">
      <x:c r="A1413" s="15" t="n">
        <x:v>40878</x:v>
      </x:c>
      <x:c r="B1413" s="13" t="str">
        <x:v>BRADESPAR SA -PREF</x:v>
      </x:c>
      <x:c r="C1413" s="16" t="n">
        <x:v>2383.3701071038</x:v>
      </x:c>
      <x:c r="D1413" s="13" t="str">
        <x:v>Metals &amp; Mining</x:v>
      </x:c>
      <x:c r="E1413" s="13" t="str">
        <x:v>Metals &amp; Mining</x:v>
      </x:c>
      <x:c r="F1413" s="13" t="str">
        <x:v>Deep Cyclicals</x:v>
      </x:c>
      <x:c r="G1413" s="13" t="str">
        <x:v>grid_wekqfxnd.xlsx</x:v>
      </x:c>
    </x:row>
    <x:row r="1414">
      <x:c r="A1414" s="15" t="n">
        <x:v>40878</x:v>
      </x:c>
      <x:c r="B1414" s="13" t="str">
        <x:v>CIA SIDERURGICA NACIONAL SA</x:v>
      </x:c>
      <x:c r="C1414" s="16" t="n">
        <x:v>2609.8027848743</x:v>
      </x:c>
      <x:c r="D1414" s="13" t="str">
        <x:v>Metals &amp; Mining</x:v>
      </x:c>
      <x:c r="E1414" s="13" t="str">
        <x:v>Metals &amp; Mining</x:v>
      </x:c>
      <x:c r="F1414" s="13" t="str">
        <x:v>Deep Cyclicals</x:v>
      </x:c>
      <x:c r="G1414" s="13" t="str">
        <x:v>grid_wekqfxnd.xlsx</x:v>
      </x:c>
    </x:row>
    <x:row r="1415">
      <x:c r="A1415" s="15" t="n">
        <x:v>40878</x:v>
      </x:c>
      <x:c r="B1415" s="13" t="str">
        <x:v>GERDAU SA-PREF</x:v>
      </x:c>
      <x:c r="C1415" s="16" t="n">
        <x:v>2333.6741277377</x:v>
      </x:c>
      <x:c r="D1415" s="13" t="str">
        <x:v>Metals &amp; Mining</x:v>
      </x:c>
      <x:c r="E1415" s="13" t="str">
        <x:v>Metals &amp; Mining</x:v>
      </x:c>
      <x:c r="F1415" s="13" t="str">
        <x:v>Deep Cyclicals</x:v>
      </x:c>
      <x:c r="G1415" s="13" t="str">
        <x:v>grid_wekqfxnd.xlsx</x:v>
      </x:c>
    </x:row>
    <x:row r="1416">
      <x:c r="A1416" s="15" t="n">
        <x:v>40878</x:v>
      </x:c>
      <x:c r="B1416" s="13" t="str">
        <x:v>METALURGICA GERDAU SA-PREF</x:v>
      </x:c>
      <x:c r="C1416" s="16" t="n">
        <x:v>876.8661202186</x:v>
      </x:c>
      <x:c r="D1416" s="13" t="str">
        <x:v>Metals &amp; Mining</x:v>
      </x:c>
      <x:c r="E1416" s="13" t="str">
        <x:v>Metals &amp; Mining</x:v>
      </x:c>
      <x:c r="F1416" s="13" t="str">
        <x:v>Deep Cyclicals</x:v>
      </x:c>
      <x:c r="G1416" s="13" t="str">
        <x:v>grid_wekqfxnd.xlsx</x:v>
      </x:c>
    </x:row>
    <x:row r="1417">
      <x:c r="A1417" s="15" t="n">
        <x:v>40878</x:v>
      </x:c>
      <x:c r="B1417" s="13" t="str">
        <x:v>MMX MINERACAO E METALICOS SA</x:v>
      </x:c>
      <x:c r="C1417" s="16" t="n">
        <x:v>164.6607240219</x:v>
      </x:c>
      <x:c r="D1417" s="13" t="str">
        <x:v>Metals &amp; Mining</x:v>
      </x:c>
      <x:c r="E1417" s="13" t="str">
        <x:v>Metals &amp; Mining</x:v>
      </x:c>
      <x:c r="F1417" s="13" t="str">
        <x:v>Deep Cyclicals</x:v>
      </x:c>
      <x:c r="G1417" s="13" t="str">
        <x:v>grid_wekqfxnd.xlsx</x:v>
      </x:c>
    </x:row>
    <x:row r="1418">
      <x:c r="A1418" s="15" t="n">
        <x:v>40878</x:v>
      </x:c>
      <x:c r="B1418" s="13" t="str">
        <x:v>USINAS SIDER MINAS GER-PF A</x:v>
      </x:c>
      <x:c r="C1418" s="16" t="n">
        <x:v>423.9293991257</x:v>
      </x:c>
      <x:c r="D1418" s="13" t="str">
        <x:v>Metals &amp; Mining</x:v>
      </x:c>
      <x:c r="E1418" s="13" t="str">
        <x:v>Metals &amp; Mining</x:v>
      </x:c>
      <x:c r="F1418" s="13" t="str">
        <x:v>Deep Cyclicals</x:v>
      </x:c>
      <x:c r="G1418" s="13" t="str">
        <x:v>grid_wekqfxnd.xlsx</x:v>
      </x:c>
    </x:row>
    <x:row r="1419">
      <x:c r="A1419" s="15" t="n">
        <x:v>40878</x:v>
      </x:c>
      <x:c r="B1419" s="13" t="str">
        <x:v>USINAS SIDERURGICAS DE MINAS</x:v>
      </x:c>
      <x:c r="C1419" s="16" t="n">
        <x:v>423.9293991257</x:v>
      </x:c>
      <x:c r="D1419" s="13" t="str">
        <x:v>Metals &amp; Mining</x:v>
      </x:c>
      <x:c r="E1419" s="13" t="str">
        <x:v>Metals &amp; Mining</x:v>
      </x:c>
      <x:c r="F1419" s="13" t="str">
        <x:v>Deep Cyclicals</x:v>
      </x:c>
      <x:c r="G1419" s="13" t="str">
        <x:v>grid_wekqfxnd.xlsx</x:v>
      </x:c>
    </x:row>
    <x:row r="1420">
      <x:c r="A1420" s="15" t="n">
        <x:v>40878</x:v>
      </x:c>
      <x:c r="B1420" s="13" t="str">
        <x:v>VALE SA</x:v>
      </x:c>
      <x:c r="C1420" s="16" t="n">
        <x:v>40144.2981630601</x:v>
      </x:c>
      <x:c r="D1420" s="13" t="str">
        <x:v>Metals &amp; Mining</x:v>
      </x:c>
      <x:c r="E1420" s="13" t="str">
        <x:v>Metals &amp; Mining</x:v>
      </x:c>
      <x:c r="F1420" s="13" t="str">
        <x:v>Deep Cyclicals</x:v>
      </x:c>
      <x:c r="G1420" s="13" t="str">
        <x:v>grid_wekqfxnd.xlsx</x:v>
      </x:c>
    </x:row>
    <x:row r="1421">
      <x:c r="A1421" s="15" t="n">
        <x:v>40878</x:v>
      </x:c>
      <x:c r="B1421" s="13" t="str">
        <x:v>BRASKEM SA-PREF A</x:v>
      </x:c>
      <x:c r="C1421" s="16" t="n">
        <x:v>914.1733742514</x:v>
      </x:c>
      <x:c r="D1421" s="13" t="str">
        <x:v>Oil, Gas &amp; Petrochemicals</x:v>
      </x:c>
      <x:c r="E1421" s="13" t="str">
        <x:v>Oil, Gas &amp; Petrochemicals</x:v>
      </x:c>
      <x:c r="F1421" s="13" t="str">
        <x:v>Deep Cyclicals</x:v>
      </x:c>
      <x:c r="G1421" s="13" t="str">
        <x:v>grid_wekqfxnd.xlsx</x:v>
      </x:c>
    </x:row>
    <x:row r="1422">
      <x:c r="A1422" s="15" t="n">
        <x:v>40878</x:v>
      </x:c>
      <x:c r="B1422" s="13" t="str">
        <x:v>COSAN SA</x:v>
      </x:c>
      <x:c r="C1422" s="16" t="n">
        <x:v>1486.7471894505</x:v>
      </x:c>
      <x:c r="D1422" s="13" t="str">
        <x:v>Oil, Gas &amp; Petrochemicals</x:v>
      </x:c>
      <x:c r="E1422" s="13" t="str">
        <x:v>Oil, Gas &amp; Petrochemicals</x:v>
      </x:c>
      <x:c r="F1422" s="13" t="str">
        <x:v>Deep Cyclicals</x:v>
      </x:c>
      <x:c r="G1422" s="13" t="str">
        <x:v>grid_wekqfxnd.xlsx</x:v>
      </x:c>
    </x:row>
    <x:row r="1423">
      <x:c r="A1423" s="15" t="n">
        <x:v>40878</x:v>
      </x:c>
      <x:c r="B1423" s="13" t="str">
        <x:v>OLEO E GAS PARTICIPACOES SA</x:v>
      </x:c>
      <x:c r="C1423" s="16" t="n">
        <x:v>521.7831092896</x:v>
      </x:c>
      <x:c r="D1423" s="13" t="str">
        <x:v>Oil, Gas &amp; Petrochemicals</x:v>
      </x:c>
      <x:c r="E1423" s="13" t="str">
        <x:v>Oil, Gas &amp; Petrochemicals</x:v>
      </x:c>
      <x:c r="F1423" s="13" t="str">
        <x:v>Deep Cyclicals</x:v>
      </x:c>
      <x:c r="G1423" s="13" t="str">
        <x:v>grid_wekqfxnd.xlsx</x:v>
      </x:c>
    </x:row>
    <x:row r="1424">
      <x:c r="A1424" s="15" t="n">
        <x:v>40878</x:v>
      </x:c>
      <x:c r="B1424" s="13" t="str">
        <x:v>PETROBRAS - PETROLEO BRAS</x:v>
      </x:c>
      <x:c r="C1424" s="16" t="n">
        <x:v>39451.2013905137</x:v>
      </x:c>
      <x:c r="D1424" s="13" t="str">
        <x:v>Oil, Gas &amp; Petrochemicals</x:v>
      </x:c>
      <x:c r="E1424" s="13" t="str">
        <x:v>Oil, Gas &amp; Petrochemicals</x:v>
      </x:c>
      <x:c r="F1424" s="13" t="str">
        <x:v>Deep Cyclicals</x:v>
      </x:c>
      <x:c r="G1424" s="13" t="str">
        <x:v>grid_wekqfxnd.xlsx</x:v>
      </x:c>
    </x:row>
    <x:row r="1425">
      <x:c r="A1425" s="15" t="n">
        <x:v>40878</x:v>
      </x:c>
      <x:c r="B1425" s="13" t="str">
        <x:v>ULTRAPAR PARTICIPACOES SA</x:v>
      </x:c>
      <x:c r="C1425" s="16" t="n">
        <x:v>988.7545717158</x:v>
      </x:c>
      <x:c r="D1425" s="13" t="str">
        <x:v>Oil, Gas &amp; Petrochemicals</x:v>
      </x:c>
      <x:c r="E1425" s="13" t="str">
        <x:v>Oil, Gas &amp; Petrochemicals</x:v>
      </x:c>
      <x:c r="F1425" s="13" t="str">
        <x:v>Deep Cyclicals</x:v>
      </x:c>
      <x:c r="G1425" s="13" t="str">
        <x:v>grid_wekqfxnd.xlsx</x:v>
      </x:c>
    </x:row>
    <x:row r="1426">
      <x:c r="A1426" s="15" t="n">
        <x:v>40878</x:v>
      </x:c>
      <x:c r="B1426" s="13" t="str">
        <x:v>DEXCO SA</x:v>
      </x:c>
      <x:c r="C1426" s="16" t="n">
        <x:v>402.4180327869</x:v>
      </x:c>
      <x:c r="D1426" s="13" t="str">
        <x:v>Pulp &amp; Paper</x:v>
      </x:c>
      <x:c r="E1426" s="13" t="str">
        <x:v>Pulp &amp; Paper</x:v>
      </x:c>
      <x:c r="F1426" s="13" t="str">
        <x:v>Deep Cyclicals</x:v>
      </x:c>
      <x:c r="G1426" s="13" t="str">
        <x:v>grid_wekqfxnd.xlsx</x:v>
      </x:c>
    </x:row>
    <x:row r="1427">
      <x:c r="A1427" s="15" t="n">
        <x:v>40878</x:v>
      </x:c>
      <x:c r="B1427" s="13" t="str">
        <x:v>FIBRIA CELULOSE S/A</x:v>
      </x:c>
      <x:c r="C1427" s="16" t="n">
        <x:v>-52.4895013661</x:v>
      </x:c>
      <x:c r="D1427" s="13" t="str">
        <x:v>Pulp &amp; Paper</x:v>
      </x:c>
      <x:c r="E1427" s="13" t="str">
        <x:v>Pulp &amp; Paper</x:v>
      </x:c>
      <x:c r="F1427" s="13" t="str">
        <x:v>Deep Cyclicals</x:v>
      </x:c>
      <x:c r="G1427" s="13" t="str">
        <x:v>grid_wekqfxnd.xlsx</x:v>
      </x:c>
    </x:row>
    <x:row r="1428">
      <x:c r="A1428" s="15" t="n">
        <x:v>40878</x:v>
      </x:c>
      <x:c r="B1428" s="13" t="str">
        <x:v>AMERICANAS SA</x:v>
      </x:c>
      <x:c r="C1428" s="16" t="n">
        <x:v>52.6045213115</x:v>
      </x:c>
      <x:c r="D1428" s="13" t="str">
        <x:v>Retail</x:v>
      </x:c>
      <x:c r="E1428" s="13" t="str">
        <x:v>Retail</x:v>
      </x:c>
      <x:c r="F1428" s="13" t="str">
        <x:v>Early Cyclicals</x:v>
      </x:c>
      <x:c r="G1428" s="13" t="str">
        <x:v>grid_wekqfxnd.xlsx</x:v>
      </x:c>
    </x:row>
    <x:row r="1429">
      <x:c r="A1429" s="15" t="n">
        <x:v>40878</x:v>
      </x:c>
      <x:c r="B1429" s="13" t="str">
        <x:v>CIA BRASILEIRA DE DIS-PREF</x:v>
      </x:c>
      <x:c r="C1429" s="16" t="n">
        <x:v>1006.2569208306</x:v>
      </x:c>
      <x:c r="D1429" s="13" t="str">
        <x:v>Retail</x:v>
      </x:c>
      <x:c r="E1429" s="13" t="str">
        <x:v>Retail</x:v>
      </x:c>
      <x:c r="F1429" s="13" t="str">
        <x:v>Early Cyclicals</x:v>
      </x:c>
      <x:c r="G1429" s="13" t="str">
        <x:v>grid_wekqfxnd.xlsx</x:v>
      </x:c>
    </x:row>
    <x:row r="1430">
      <x:c r="A1430" s="15" t="n">
        <x:v>40878</x:v>
      </x:c>
      <x:c r="B1430" s="13" t="str">
        <x:v>CIA HERING</x:v>
      </x:c>
      <x:c r="C1430" s="16" t="n">
        <x:v>374.1407183388</x:v>
      </x:c>
      <x:c r="D1430" s="13" t="str">
        <x:v>Retail</x:v>
      </x:c>
      <x:c r="E1430" s="13" t="str">
        <x:v>Retail</x:v>
      </x:c>
      <x:c r="F1430" s="13" t="str">
        <x:v>Early Cyclicals</x:v>
      </x:c>
      <x:c r="G1430" s="13" t="str">
        <x:v>grid_wekqfxnd.xlsx</x:v>
      </x:c>
    </x:row>
    <x:row r="1431">
      <x:c r="A1431" s="15" t="n">
        <x:v>40878</x:v>
      </x:c>
      <x:c r="B1431" s="13" t="str">
        <x:v>LOJAS AMERICANAS SA-PREF</x:v>
      </x:c>
      <x:c r="C1431" s="16" t="n">
        <x:v>479.3771397596</x:v>
      </x:c>
      <x:c r="D1431" s="13" t="str">
        <x:v>Retail</x:v>
      </x:c>
      <x:c r="E1431" s="13" t="str">
        <x:v>Retail</x:v>
      </x:c>
      <x:c r="F1431" s="13" t="str">
        <x:v>Early Cyclicals</x:v>
      </x:c>
      <x:c r="G1431" s="13" t="str">
        <x:v>grid_wekqfxnd.xlsx</x:v>
      </x:c>
    </x:row>
    <x:row r="1432">
      <x:c r="A1432" s="15" t="n">
        <x:v>40878</x:v>
      </x:c>
      <x:c r="B1432" s="13" t="str">
        <x:v>LOJAS RENNER S.A.</x:v>
      </x:c>
      <x:c r="C1432" s="16" t="n">
        <x:v>412.9655851366</x:v>
      </x:c>
      <x:c r="D1432" s="13" t="str">
        <x:v>Retail</x:v>
      </x:c>
      <x:c r="E1432" s="13" t="str">
        <x:v>Retail</x:v>
      </x:c>
      <x:c r="F1432" s="13" t="str">
        <x:v>Early Cyclicals</x:v>
      </x:c>
      <x:c r="G1432" s="13" t="str">
        <x:v>grid_wekqfxnd.xlsx</x:v>
      </x:c>
    </x:row>
    <x:row r="1433">
      <x:c r="A1433" s="15" t="n">
        <x:v>40878</x:v>
      </x:c>
      <x:c r="B1433" s="13" t="str">
        <x:v>NATURA COSMETICOS SA</x:v>
      </x:c>
      <x:c r="C1433" s="16" t="n">
        <x:v>886.8862599344</x:v>
      </x:c>
      <x:c r="D1433" s="13" t="str">
        <x:v>Retail</x:v>
      </x:c>
      <x:c r="E1433" s="13" t="str">
        <x:v>Retail</x:v>
      </x:c>
      <x:c r="F1433" s="13" t="str">
        <x:v>Early Cyclicals</x:v>
      </x:c>
      <x:c r="G1433" s="13" t="str">
        <x:v>grid_wekqfxnd.xlsx</x:v>
      </x:c>
    </x:row>
    <x:row r="1434">
      <x:c r="A1434" s="15" t="n">
        <x:v>40878</x:v>
      </x:c>
      <x:c r="B1434" s="13" t="str">
        <x:v>CIA SANEAMENTO BASICO DE SP</x:v>
      </x:c>
      <x:c r="C1434" s="16" t="n">
        <x:v>1482.1951139672</x:v>
      </x:c>
      <x:c r="D1434" s="13" t="str">
        <x:v>Sanitation</x:v>
      </x:c>
      <x:c r="E1434" s="13" t="str">
        <x:v>Utilities</x:v>
      </x:c>
      <x:c r="F1434" s="13" t="str">
        <x:v>Defensives</x:v>
      </x:c>
      <x:c r="G1434" s="13" t="str">
        <x:v>grid_wekqfxnd.xlsx</x:v>
      </x:c>
    </x:row>
    <x:row r="1435">
      <x:c r="A1435" s="15" t="n">
        <x:v>40878</x:v>
      </x:c>
      <x:c r="B1435" s="13" t="str">
        <x:v>OI SA-PREFERENCE</x:v>
      </x:c>
      <x:c r="C1435" s="16" t="n">
        <x:v>1425.3879781421</x:v>
      </x:c>
      <x:c r="D1435" s="13" t="str">
        <x:v>TMT</x:v>
      </x:c>
      <x:c r="E1435" s="13" t="str">
        <x:v>TMT</x:v>
      </x:c>
      <x:c r="F1435" s="13" t="str">
        <x:v>Early Cyclicals</x:v>
      </x:c>
      <x:c r="G1435" s="13" t="str">
        <x:v>grid_wekqfxnd.xlsx</x:v>
      </x:c>
    </x:row>
    <x:row r="1436">
      <x:c r="A1436" s="15" t="n">
        <x:v>40878</x:v>
      </x:c>
      <x:c r="B1436" s="13" t="str">
        <x:v>TELE NORTE LESTE PART</x:v>
      </x:c>
      <x:c r="C1436" s="16" t="n">
        <x:v>989.3274636066</x:v>
      </x:c>
      <x:c r="D1436" s="13" t="str">
        <x:v>TMT</x:v>
      </x:c>
      <x:c r="E1436" s="13" t="str">
        <x:v>TMT</x:v>
      </x:c>
      <x:c r="F1436" s="13" t="str">
        <x:v>Early Cyclicals</x:v>
      </x:c>
      <x:c r="G1436" s="13" t="str">
        <x:v>grid_wekqfxnd.xlsx</x:v>
      </x:c>
    </x:row>
    <x:row r="1437">
      <x:c r="A1437" s="15" t="n">
        <x:v>40878</x:v>
      </x:c>
      <x:c r="B1437" s="13" t="str">
        <x:v>TELEFONICA BRASIL S.A.-PREF</x:v>
      </x:c>
      <x:c r="C1437" s="16" t="n">
        <x:v>5242.2413275628</x:v>
      </x:c>
      <x:c r="D1437" s="13" t="str">
        <x:v>TMT</x:v>
      </x:c>
      <x:c r="E1437" s="13" t="str">
        <x:v>TMT</x:v>
      </x:c>
      <x:c r="F1437" s="13" t="str">
        <x:v>Early Cyclicals</x:v>
      </x:c>
      <x:c r="G1437" s="13" t="str">
        <x:v>grid_wekqfxnd.xlsx</x:v>
      </x:c>
    </x:row>
    <x:row r="1438">
      <x:c r="A1438" s="15" t="n">
        <x:v>40878</x:v>
      </x:c>
      <x:c r="B1438" s="13" t="str">
        <x:v>TELEMAR NORTE LESTE SA</x:v>
      </x:c>
      <x:c r="C1438" s="16" t="n">
        <x:v>1212.8838702514</x:v>
      </x:c>
      <x:c r="D1438" s="13" t="str">
        <x:v>TMT</x:v>
      </x:c>
      <x:c r="E1438" s="13" t="str">
        <x:v>TMT</x:v>
      </x:c>
      <x:c r="F1438" s="13" t="str">
        <x:v>Early Cyclicals</x:v>
      </x:c>
      <x:c r="G1438" s="13" t="str">
        <x:v>grid_wekqfxnd.xlsx</x:v>
      </x:c>
    </x:row>
    <x:row r="1439">
      <x:c r="A1439" s="15" t="n">
        <x:v>40878</x:v>
      </x:c>
      <x:c r="B1439" s="13" t="str">
        <x:v>TIM SA</x:v>
      </x:c>
      <x:c r="C1439" s="16" t="n">
        <x:v>1679.1613296612</x:v>
      </x:c>
      <x:c r="D1439" s="13" t="str">
        <x:v>TMT</x:v>
      </x:c>
      <x:c r="E1439" s="13" t="str">
        <x:v>TMT</x:v>
      </x:c>
      <x:c r="F1439" s="13" t="str">
        <x:v>Early Cyclicals</x:v>
      </x:c>
      <x:c r="G1439" s="13" t="str">
        <x:v>grid_wekqfxnd.xlsx</x:v>
      </x:c>
    </x:row>
    <x:row r="1440">
      <x:c r="A1440" s="15" t="n">
        <x:v>40878</x:v>
      </x:c>
      <x:c r="B1440" s="13" t="str">
        <x:v>GOL LINHAS AEREAS INT SA-PRE</x:v>
      </x:c>
      <x:c r="C1440" s="16" t="n">
        <x:v>166.8809533552</x:v>
      </x:c>
      <x:c r="D1440" s="13" t="str">
        <x:v>Transportation</x:v>
      </x:c>
      <x:c r="E1440" s="13" t="str">
        <x:v>Transportation</x:v>
      </x:c>
      <x:c r="F1440" s="13" t="str">
        <x:v>Deep Cyclicals</x:v>
      </x:c>
      <x:c r="G1440" s="13" t="str">
        <x:v>grid_wekqfxnd.xlsx</x:v>
      </x:c>
    </x:row>
    <x:row r="1441">
      <x:c r="A1441" s="15" t="n">
        <x:v>40878</x:v>
      </x:c>
      <x:c r="B1441" s="13" t="str">
        <x:v>MOTIVA INFRAESTRUTURA DE MOB</x:v>
      </x:c>
      <x:c r="C1441" s="16" t="n">
        <x:v>1273.07528953</x:v>
      </x:c>
      <x:c r="D1441" s="13" t="str">
        <x:v>Transportation</x:v>
      </x:c>
      <x:c r="E1441" s="13" t="str">
        <x:v>Transportation</x:v>
      </x:c>
      <x:c r="F1441" s="13" t="str">
        <x:v>Deep Cyclicals</x:v>
      </x:c>
      <x:c r="G1441" s="13" t="str">
        <x:v>grid_wekqfxnd.xlsx</x:v>
      </x:c>
    </x:row>
    <x:row r="1442">
      <x:c r="A1442" s="15" t="n">
        <x:v>40878</x:v>
      </x:c>
      <x:c r="B1442" s="13" t="str">
        <x:v>PRUMO LOGISTICA SA</x:v>
      </x:c>
      <x:c r="C1442" s="16" t="n">
        <x:v>-116.1143715847</x:v>
      </x:c>
      <x:c r="D1442" s="13" t="str">
        <x:v>Transportation</x:v>
      </x:c>
      <x:c r="E1442" s="13" t="str">
        <x:v>Transportation</x:v>
      </x:c>
      <x:c r="F1442" s="13" t="str">
        <x:v>Deep Cyclicals</x:v>
      </x:c>
      <x:c r="G1442" s="13" t="str">
        <x:v>grid_wekqfxnd.xlsx</x:v>
      </x:c>
    </x:row>
    <x:row r="1443">
      <x:c r="A1443" s="15" t="n">
        <x:v>40878</x:v>
      </x:c>
      <x:c r="B1443" s="13" t="str">
        <x:v>RUMO SA</x:v>
      </x:c>
      <x:c r="C1443" s="16" t="n">
        <x:v>346.4500216393</x:v>
      </x:c>
      <x:c r="D1443" s="13" t="str">
        <x:v>Transportation</x:v>
      </x:c>
      <x:c r="E1443" s="13" t="str">
        <x:v>Transportation</x:v>
      </x:c>
      <x:c r="F1443" s="13" t="str">
        <x:v>Deep Cyclicals</x:v>
      </x:c>
      <x:c r="G1443" s="13" t="str">
        <x:v>grid_wekqfxnd.xlsx</x:v>
      </x:c>
    </x:row>
    <x:row r="1444">
      <x:c r="A1444" s="15" t="n">
        <x:v>40878</x:v>
      </x:c>
      <x:c r="B1444" s="13" t="str">
        <x:v>TAM SA-PREF</x:v>
      </x:c>
      <x:c r="C1444" s="16" t="n">
        <x:v>193.1785325464</x:v>
      </x:c>
      <x:c r="D1444" s="13" t="str">
        <x:v>Transportation</x:v>
      </x:c>
      <x:c r="E1444" s="13" t="str">
        <x:v>Transportation</x:v>
      </x:c>
      <x:c r="F1444" s="13" t="str">
        <x:v>Deep Cyclicals</x:v>
      </x:c>
      <x:c r="G1444" s="13" t="str">
        <x:v>grid_wekqfxnd.xlsx</x:v>
      </x:c>
    </x:row>
    <x:row r="1445">
      <x:c r="A1445" s="15" t="n">
        <x:v>40878</x:v>
      </x:c>
      <x:c r="B1445" s="13" t="str">
        <x:v>AXIA ENERGIA SA</x:v>
      </x:c>
      <x:c r="C1445" s="16" t="n">
        <x:v>3691.2952047213</x:v>
      </x:c>
      <x:c r="D1445" s="13" t="str">
        <x:v>Utilities &amp; Energy</x:v>
      </x:c>
      <x:c r="E1445" s="13" t="str">
        <x:v>Utilities</x:v>
      </x:c>
      <x:c r="F1445" s="13" t="str">
        <x:v>Defensives</x:v>
      </x:c>
      <x:c r="G1445" s="13" t="str">
        <x:v>grid_wekqfxnd.xlsx</x:v>
      </x:c>
    </x:row>
    <x:row r="1446">
      <x:c r="A1446" s="15" t="n">
        <x:v>40878</x:v>
      </x:c>
      <x:c r="B1446" s="13" t="str">
        <x:v>AXIA ENERGIA-PR B</x:v>
      </x:c>
      <x:c r="C1446" s="16" t="n">
        <x:v>3691.2952047213</x:v>
      </x:c>
      <x:c r="D1446" s="13" t="str">
        <x:v>Utilities &amp; Energy</x:v>
      </x:c>
      <x:c r="E1446" s="13" t="str">
        <x:v>Utilities</x:v>
      </x:c>
      <x:c r="F1446" s="13" t="str">
        <x:v>Defensives</x:v>
      </x:c>
      <x:c r="G1446" s="13" t="str">
        <x:v>grid_wekqfxnd.xlsx</x:v>
      </x:c>
    </x:row>
    <x:row r="1447">
      <x:c r="A1447" s="15" t="n">
        <x:v>40878</x:v>
      </x:c>
      <x:c r="B1447" s="13" t="str">
        <x:v>CESP - CIA ENERGETICA DE SAO</x:v>
      </x:c>
      <x:c r="C1447" s="16" t="n">
        <x:v>598.4757675191</x:v>
      </x:c>
      <x:c r="D1447" s="13" t="str">
        <x:v>Utilities &amp; Energy</x:v>
      </x:c>
      <x:c r="E1447" s="13" t="str">
        <x:v>Utilities</x:v>
      </x:c>
      <x:c r="F1447" s="13" t="str">
        <x:v>Defensives</x:v>
      </x:c>
      <x:c r="G1447" s="13" t="str">
        <x:v>grid_wekqfxnd.xlsx</x:v>
      </x:c>
    </x:row>
    <x:row r="1448">
      <x:c r="A1448" s="15" t="n">
        <x:v>40878</x:v>
      </x:c>
      <x:c r="B1448" s="13" t="str">
        <x:v>CIA ENERGETICA MINAS GER-PRF</x:v>
      </x:c>
      <x:c r="C1448" s="16" t="n">
        <x:v>2346.3428962623</x:v>
      </x:c>
      <x:c r="D1448" s="13" t="str">
        <x:v>Utilities &amp; Energy</x:v>
      </x:c>
      <x:c r="E1448" s="13" t="str">
        <x:v>Utilities</x:v>
      </x:c>
      <x:c r="F1448" s="13" t="str">
        <x:v>Defensives</x:v>
      </x:c>
      <x:c r="G1448" s="13" t="str">
        <x:v>grid_wekqfxnd.xlsx</x:v>
      </x:c>
    </x:row>
    <x:row r="1449">
      <x:c r="A1449" s="15" t="n">
        <x:v>40878</x:v>
      </x:c>
      <x:c r="B1449" s="13" t="str">
        <x:v>COMPANHIA PARANAENSE -PREF B</x:v>
      </x:c>
      <x:c r="C1449" s="16" t="n">
        <x:v>1265.0493349071</x:v>
      </x:c>
      <x:c r="D1449" s="13" t="str">
        <x:v>Utilities &amp; Energy</x:v>
      </x:c>
      <x:c r="E1449" s="13" t="str">
        <x:v>Utilities</x:v>
      </x:c>
      <x:c r="F1449" s="13" t="str">
        <x:v>Defensives</x:v>
      </x:c>
      <x:c r="G1449" s="13" t="str">
        <x:v>grid_wekqfxnd.xlsx</x:v>
      </x:c>
    </x:row>
    <x:row r="1450">
      <x:c r="A1450" s="15" t="n">
        <x:v>40878</x:v>
      </x:c>
      <x:c r="B1450" s="13" t="str">
        <x:v>CPFL ENERGIA SA</x:v>
      </x:c>
      <x:c r="C1450" s="16" t="n">
        <x:v>1529.961502776</x:v>
      </x:c>
      <x:c r="D1450" s="13" t="str">
        <x:v>Utilities &amp; Energy</x:v>
      </x:c>
      <x:c r="E1450" s="13" t="str">
        <x:v>Utilities</x:v>
      </x:c>
      <x:c r="F1450" s="13" t="str">
        <x:v>Defensives</x:v>
      </x:c>
      <x:c r="G1450" s="13" t="str">
        <x:v>grid_wekqfxnd.xlsx</x:v>
      </x:c>
    </x:row>
    <x:row r="1451">
      <x:c r="A1451" s="15" t="n">
        <x:v>40878</x:v>
      </x:c>
      <x:c r="B1451" s="13" t="str">
        <x:v>ELETROPAULO METROPOLI-PREF</x:v>
      </x:c>
      <x:c r="C1451" s="16" t="n">
        <x:v>475.1276934645</x:v>
      </x:c>
      <x:c r="D1451" s="13" t="str">
        <x:v>Utilities &amp; Energy</x:v>
      </x:c>
      <x:c r="E1451" s="13" t="str">
        <x:v>Utilities</x:v>
      </x:c>
      <x:c r="F1451" s="13" t="str">
        <x:v>Defensives</x:v>
      </x:c>
      <x:c r="G1451" s="13" t="str">
        <x:v>grid_wekqfxnd.xlsx</x:v>
      </x:c>
    </x:row>
    <x:row r="1452">
      <x:c r="A1452" s="15" t="n">
        <x:v>40878</x:v>
      </x:c>
      <x:c r="B1452" s="13" t="str">
        <x:v>ISA ENERGIA BRASIL SA</x:v>
      </x:c>
      <x:c r="C1452" s="16" t="n">
        <x:v>994.089448918</x:v>
      </x:c>
      <x:c r="D1452" s="13" t="str">
        <x:v>Utilities &amp; Energy</x:v>
      </x:c>
      <x:c r="E1452" s="13" t="str">
        <x:v>Utilities</x:v>
      </x:c>
      <x:c r="F1452" s="13" t="str">
        <x:v>Defensives</x:v>
      </x:c>
      <x:c r="G1452" s="13" t="str">
        <x:v>grid_wekqfxnd.xlsx</x:v>
      </x:c>
    </x:row>
    <x:row r="1453">
      <x:c r="A1453" s="15" t="n">
        <x:v>40878</x:v>
      </x:c>
      <x:c r="B1453" s="13" t="str">
        <x:v>LIGHT SA</x:v>
      </x:c>
      <x:c r="C1453" s="16" t="n">
        <x:v>545.7976593661</x:v>
      </x:c>
      <x:c r="D1453" s="13" t="str">
        <x:v>Utilities &amp; Energy</x:v>
      </x:c>
      <x:c r="E1453" s="13" t="str">
        <x:v>Utilities</x:v>
      </x:c>
      <x:c r="F1453" s="13" t="str">
        <x:v>Defensives</x:v>
      </x:c>
      <x:c r="G1453" s="13" t="str">
        <x:v>grid_wekqfxnd.xlsx</x:v>
      </x:c>
    </x:row>
    <x:row r="1454">
      <x:c r="A1454" s="15" t="n">
        <x:v>40909</x:v>
      </x:c>
      <x:c r="B1454" s="13" t="str">
        <x:v>BANCO BRADESCO SA-PREF</x:v>
      </x:c>
      <x:c r="C1454" s="16" t="n">
        <x:v>12483.4328127123</x:v>
      </x:c>
      <x:c r="D1454" s="13" t="str">
        <x:v>Banks</x:v>
      </x:c>
      <x:c r="E1454" s="13" t="str">
        <x:v>Banks</x:v>
      </x:c>
      <x:c r="F1454" s="13" t="str">
        <x:v>Financials</x:v>
      </x:c>
      <x:c r="G1454" s="13" t="str">
        <x:v>grid_wekqfxnd.xlsx</x:v>
      </x:c>
    </x:row>
    <x:row r="1455">
      <x:c r="A1455" s="15" t="n">
        <x:v>40909</x:v>
      </x:c>
      <x:c r="B1455" s="13" t="str">
        <x:v>BANCO DO BRASIL S.A.</x:v>
      </x:c>
      <x:c r="C1455" s="16" t="n">
        <x:v>11939.7188173151</x:v>
      </x:c>
      <x:c r="D1455" s="13" t="str">
        <x:v>Banks</x:v>
      </x:c>
      <x:c r="E1455" s="13" t="str">
        <x:v>Banks</x:v>
      </x:c>
      <x:c r="F1455" s="13" t="str">
        <x:v>Financials</x:v>
      </x:c>
      <x:c r="G1455" s="13" t="str">
        <x:v>grid_wekqfxnd.xlsx</x:v>
      </x:c>
    </x:row>
    <x:row r="1456">
      <x:c r="A1456" s="15" t="n">
        <x:v>40909</x:v>
      </x:c>
      <x:c r="B1456" s="13" t="str">
        <x:v>BANCO SANTANDER  BRASIL-UNIT</x:v>
      </x:c>
      <x:c r="C1456" s="16" t="n">
        <x:v>6603.4259463014</x:v>
      </x:c>
      <x:c r="D1456" s="13" t="str">
        <x:v>Banks</x:v>
      </x:c>
      <x:c r="E1456" s="13" t="str">
        <x:v>Banks</x:v>
      </x:c>
      <x:c r="F1456" s="13" t="str">
        <x:v>Financials</x:v>
      </x:c>
      <x:c r="G1456" s="13" t="str">
        <x:v>grid_wekqfxnd.xlsx</x:v>
      </x:c>
    </x:row>
    <x:row r="1457">
      <x:c r="A1457" s="15" t="n">
        <x:v>40909</x:v>
      </x:c>
      <x:c r="B1457" s="13" t="str">
        <x:v>ITAU UNIBANCO HOLDING S-PREF</x:v>
      </x:c>
      <x:c r="C1457" s="16" t="n">
        <x:v>16641.3401073973</x:v>
      </x:c>
      <x:c r="D1457" s="13" t="str">
        <x:v>Banks</x:v>
      </x:c>
      <x:c r="E1457" s="13" t="str">
        <x:v>Banks</x:v>
      </x:c>
      <x:c r="F1457" s="13" t="str">
        <x:v>Financials</x:v>
      </x:c>
      <x:c r="G1457" s="13" t="str">
        <x:v>grid_wekqfxnd.xlsx</x:v>
      </x:c>
    </x:row>
    <x:row r="1458">
      <x:c r="A1458" s="15" t="n">
        <x:v>40909</x:v>
      </x:c>
      <x:c r="B1458" s="13" t="str">
        <x:v>EMBRAER SA</x:v>
      </x:c>
      <x:c r="C1458" s="16" t="n">
        <x:v>813.6378012055</x:v>
      </x:c>
      <x:c r="D1458" s="13" t="str">
        <x:v>Capital Goods</x:v>
      </x:c>
      <x:c r="E1458" s="13" t="str">
        <x:v>Capital Goods</x:v>
      </x:c>
      <x:c r="F1458" s="13" t="str">
        <x:v>Deep Cyclicals</x:v>
      </x:c>
      <x:c r="G1458" s="13" t="str">
        <x:v>grid_wekqfxnd.xlsx</x:v>
      </x:c>
    </x:row>
    <x:row r="1459">
      <x:c r="A1459" s="15" t="n">
        <x:v>40909</x:v>
      </x:c>
      <x:c r="B1459" s="13" t="str">
        <x:v>B3 SA-BRASIL BOLSA BALCAO</x:v>
      </x:c>
      <x:c r="C1459" s="16" t="n">
        <x:v>1630.8857214247</x:v>
      </x:c>
      <x:c r="D1459" s="13" t="str">
        <x:v>Financials Non-Banks</x:v>
      </x:c>
      <x:c r="E1459" s="13" t="str">
        <x:v>Financials Non-Banks</x:v>
      </x:c>
      <x:c r="F1459" s="13" t="str">
        <x:v>Financials</x:v>
      </x:c>
      <x:c r="G1459" s="13" t="str">
        <x:v>grid_wekqfxnd.xlsx</x:v>
      </x:c>
    </x:row>
    <x:row r="1460">
      <x:c r="A1460" s="15" t="n">
        <x:v>40909</x:v>
      </x:c>
      <x:c r="B1460" s="13" t="str">
        <x:v>CIELO SA - INSTITUICAO DE PA</x:v>
      </x:c>
      <x:c r="C1460" s="16" t="n">
        <x:v>1982.8238062466</x:v>
      </x:c>
      <x:c r="D1460" s="13" t="str">
        <x:v>Financials Non-Banks</x:v>
      </x:c>
      <x:c r="E1460" s="13" t="str">
        <x:v>Financials Non-Banks</x:v>
      </x:c>
      <x:c r="F1460" s="13" t="str">
        <x:v>Financials</x:v>
      </x:c>
      <x:c r="G1460" s="13" t="str">
        <x:v>grid_wekqfxnd.xlsx</x:v>
      </x:c>
    </x:row>
    <x:row r="1461">
      <x:c r="A1461" s="15" t="n">
        <x:v>40909</x:v>
      </x:c>
      <x:c r="B1461" s="13" t="str">
        <x:v>ITAUSA SA</x:v>
      </x:c>
      <x:c r="C1461" s="16" t="n">
        <x:v>5887.3219576986</x:v>
      </x:c>
      <x:c r="D1461" s="13" t="str">
        <x:v>Financials Non-Banks</x:v>
      </x:c>
      <x:c r="E1461" s="13" t="str">
        <x:v>Financials Non-Banks</x:v>
      </x:c>
      <x:c r="F1461" s="13" t="str">
        <x:v>Financials</x:v>
      </x:c>
      <x:c r="G1461" s="13" t="str">
        <x:v>grid_wekqfxnd.xlsx</x:v>
      </x:c>
    </x:row>
    <x:row r="1462">
      <x:c r="A1462" s="15" t="n">
        <x:v>40909</x:v>
      </x:c>
      <x:c r="B1462" s="13" t="str">
        <x:v>REDECARD INSTITUICAO DE PAGA</x:v>
      </x:c>
      <x:c r="C1462" s="16" t="n">
        <x:v>1518.1346174247</x:v>
      </x:c>
      <x:c r="D1462" s="13" t="str">
        <x:v>Financials Non-Banks</x:v>
      </x:c>
      <x:c r="E1462" s="13" t="str">
        <x:v>Financials Non-Banks</x:v>
      </x:c>
      <x:c r="F1462" s="13" t="str">
        <x:v>Financials</x:v>
      </x:c>
      <x:c r="G1462" s="13" t="str">
        <x:v>grid_wekqfxnd.xlsx</x:v>
      </x:c>
    </x:row>
    <x:row r="1463">
      <x:c r="A1463" s="15" t="n">
        <x:v>40909</x:v>
      </x:c>
      <x:c r="B1463" s="13" t="str">
        <x:v>AMBEV SA</x:v>
      </x:c>
      <x:c r="C1463" s="16" t="n">
        <x:v>10035.3264710137</x:v>
      </x:c>
      <x:c r="D1463" s="13" t="str">
        <x:v>Food &amp; Beverages</x:v>
      </x:c>
      <x:c r="E1463" s="13" t="str">
        <x:v>Agri, Food &amp; Beverages</x:v>
      </x:c>
      <x:c r="F1463" s="13" t="str">
        <x:v>Defensives</x:v>
      </x:c>
      <x:c r="G1463" s="13" t="str">
        <x:v>grid_wekqfxnd.xlsx</x:v>
      </x:c>
    </x:row>
    <x:row r="1464">
      <x:c r="A1464" s="15" t="n">
        <x:v>40909</x:v>
      </x:c>
      <x:c r="B1464" s="13" t="str">
        <x:v>BRF SA</x:v>
      </x:c>
      <x:c r="C1464" s="16" t="n">
        <x:v>1999.5703180274</x:v>
      </x:c>
      <x:c r="D1464" s="13" t="str">
        <x:v>Food &amp; Beverages</x:v>
      </x:c>
      <x:c r="E1464" s="13" t="str">
        <x:v>Agri, Food &amp; Beverages</x:v>
      </x:c>
      <x:c r="F1464" s="13" t="str">
        <x:v>Defensives</x:v>
      </x:c>
      <x:c r="G1464" s="13" t="str">
        <x:v>grid_wekqfxnd.xlsx</x:v>
      </x:c>
    </x:row>
    <x:row r="1465">
      <x:c r="A1465" s="15" t="n">
        <x:v>40909</x:v>
      </x:c>
      <x:c r="B1465" s="13" t="str">
        <x:v>MBRF GLOBAL FOODS COMPANY SA</x:v>
      </x:c>
      <x:c r="C1465" s="16" t="n">
        <x:v>-27.9934506849</x:v>
      </x:c>
      <x:c r="D1465" s="13" t="str">
        <x:v>Food &amp; Beverages</x:v>
      </x:c>
      <x:c r="E1465" s="13" t="str">
        <x:v>Agri, Food &amp; Beverages</x:v>
      </x:c>
      <x:c r="F1465" s="13" t="str">
        <x:v>Defensives</x:v>
      </x:c>
      <x:c r="G1465" s="13" t="str">
        <x:v>grid_wekqfxnd.xlsx</x:v>
      </x:c>
    </x:row>
    <x:row r="1466">
      <x:c r="A1466" s="15" t="n">
        <x:v>40909</x:v>
      </x:c>
      <x:c r="B1466" s="13" t="str">
        <x:v>SOUZA CRUZ LTDA</x:v>
      </x:c>
      <x:c r="C1466" s="16" t="n">
        <x:v>1735.9056604931</x:v>
      </x:c>
      <x:c r="D1466" s="13" t="str">
        <x:v>Food &amp; Beverages</x:v>
      </x:c>
      <x:c r="E1466" s="13" t="str">
        <x:v>Agri, Food &amp; Beverages</x:v>
      </x:c>
      <x:c r="F1466" s="13" t="str">
        <x:v>Defensives</x:v>
      </x:c>
      <x:c r="G1466" s="13" t="str">
        <x:v>grid_wekqfxnd.xlsx</x:v>
      </x:c>
    </x:row>
    <x:row r="1467">
      <x:c r="A1467" s="15" t="n">
        <x:v>40909</x:v>
      </x:c>
      <x:c r="B1467" s="13" t="str">
        <x:v>DIAGNOSTICOS DA AMERICA SA</x:v>
      </x:c>
      <x:c r="C1467" s="16" t="n">
        <x:v>313.572774137</x:v>
      </x:c>
      <x:c r="D1467" s="13" t="str">
        <x:v>Health Care</x:v>
      </x:c>
      <x:c r="E1467" s="13" t="str">
        <x:v>Health Care</x:v>
      </x:c>
      <x:c r="F1467" s="13" t="str">
        <x:v>Defensives</x:v>
      </x:c>
      <x:c r="G1467" s="13" t="str">
        <x:v>grid_wekqfxnd.xlsx</x:v>
      </x:c>
    </x:row>
    <x:row r="1468">
      <x:c r="A1468" s="15" t="n">
        <x:v>40909</x:v>
      </x:c>
      <x:c r="B1468" s="13" t="str">
        <x:v>HYPERA SA</x:v>
      </x:c>
      <x:c r="C1468" s="16" t="n">
        <x:v>308.8779739178</x:v>
      </x:c>
      <x:c r="D1468" s="13" t="str">
        <x:v>Health Care</x:v>
      </x:c>
      <x:c r="E1468" s="13" t="str">
        <x:v>Health Care</x:v>
      </x:c>
      <x:c r="F1468" s="13" t="str">
        <x:v>Defensives</x:v>
      </x:c>
      <x:c r="G1468" s="13" t="str">
        <x:v>grid_wekqfxnd.xlsx</x:v>
      </x:c>
    </x:row>
    <x:row r="1469">
      <x:c r="A1469" s="15" t="n">
        <x:v>40909</x:v>
      </x:c>
      <x:c r="B1469" s="13" t="str">
        <x:v>CYRELA BRAZIL REALTY SA EMP</x:v>
      </x:c>
      <x:c r="C1469" s="16" t="n">
        <x:v>848.4313749041</x:v>
      </x:c>
      <x:c r="D1469" s="13" t="str">
        <x:v>Homebuilders</x:v>
      </x:c>
      <x:c r="E1469" s="13" t="str">
        <x:v>Real Estate</x:v>
      </x:c>
      <x:c r="F1469" s="13" t="str">
        <x:v>Early Cyclicals</x:v>
      </x:c>
      <x:c r="G1469" s="13" t="str">
        <x:v>grid_wekqfxnd.xlsx</x:v>
      </x:c>
    </x:row>
    <x:row r="1470">
      <x:c r="A1470" s="15" t="n">
        <x:v>40909</x:v>
      </x:c>
      <x:c r="B1470" s="13" t="str">
        <x:v>GAFISA SA</x:v>
      </x:c>
      <x:c r="C1470" s="16" t="n">
        <x:v>400.418124274</x:v>
      </x:c>
      <x:c r="D1470" s="13" t="str">
        <x:v>Homebuilders</x:v>
      </x:c>
      <x:c r="E1470" s="13" t="str">
        <x:v>Real Estate</x:v>
      </x:c>
      <x:c r="F1470" s="13" t="str">
        <x:v>Early Cyclicals</x:v>
      </x:c>
      <x:c r="G1470" s="13" t="str">
        <x:v>grid_wekqfxnd.xlsx</x:v>
      </x:c>
    </x:row>
    <x:row r="1471">
      <x:c r="A1471" s="15" t="n">
        <x:v>40909</x:v>
      </x:c>
      <x:c r="B1471" s="13" t="str">
        <x:v>MRV ENGENHARIA</x:v>
      </x:c>
      <x:c r="C1471" s="16" t="n">
        <x:v>890.4918987397</x:v>
      </x:c>
      <x:c r="D1471" s="13" t="str">
        <x:v>Homebuilders</x:v>
      </x:c>
      <x:c r="E1471" s="13" t="str">
        <x:v>Real Estate</x:v>
      </x:c>
      <x:c r="F1471" s="13" t="str">
        <x:v>Early Cyclicals</x:v>
      </x:c>
      <x:c r="G1471" s="13" t="str">
        <x:v>grid_wekqfxnd.xlsx</x:v>
      </x:c>
    </x:row>
    <x:row r="1472">
      <x:c r="A1472" s="15" t="n">
        <x:v>40909</x:v>
      </x:c>
      <x:c r="B1472" s="13" t="str">
        <x:v>PDG REALTY SA</x:v>
      </x:c>
      <x:c r="C1472" s="16" t="n">
        <x:v>1222.9108111781</x:v>
      </x:c>
      <x:c r="D1472" s="13" t="str">
        <x:v>Homebuilders</x:v>
      </x:c>
      <x:c r="E1472" s="13" t="str">
        <x:v>Real Estate</x:v>
      </x:c>
      <x:c r="F1472" s="13" t="str">
        <x:v>Early Cyclicals</x:v>
      </x:c>
      <x:c r="G1472" s="13" t="str">
        <x:v>grid_wekqfxnd.xlsx</x:v>
      </x:c>
    </x:row>
    <x:row r="1473">
      <x:c r="A1473" s="15" t="n">
        <x:v>40909</x:v>
      </x:c>
      <x:c r="B1473" s="13" t="str">
        <x:v>ROSSI RESIDENCIAL SA</x:v>
      </x:c>
      <x:c r="C1473" s="16" t="n">
        <x:v>499.5388887671</x:v>
      </x:c>
      <x:c r="D1473" s="13" t="str">
        <x:v>Homebuilders</x:v>
      </x:c>
      <x:c r="E1473" s="13" t="str">
        <x:v>Real Estate</x:v>
      </x:c>
      <x:c r="F1473" s="13" t="str">
        <x:v>Early Cyclicals</x:v>
      </x:c>
      <x:c r="G1473" s="13" t="str">
        <x:v>grid_wekqfxnd.xlsx</x:v>
      </x:c>
    </x:row>
    <x:row r="1474">
      <x:c r="A1474" s="15" t="n">
        <x:v>40909</x:v>
      </x:c>
      <x:c r="B1474" s="13" t="str">
        <x:v>TEGRA INCORPORADORA SA</x:v>
      </x:c>
      <x:c r="C1474" s="16" t="n">
        <x:v>445.4494864658</x:v>
      </x:c>
      <x:c r="D1474" s="13" t="str">
        <x:v>Homebuilders</x:v>
      </x:c>
      <x:c r="E1474" s="13" t="str">
        <x:v>Real Estate</x:v>
      </x:c>
      <x:c r="F1474" s="13" t="str">
        <x:v>Early Cyclicals</x:v>
      </x:c>
      <x:c r="G1474" s="13" t="str">
        <x:v>grid_wekqfxnd.xlsx</x:v>
      </x:c>
    </x:row>
    <x:row r="1475">
      <x:c r="A1475" s="15" t="n">
        <x:v>40909</x:v>
      </x:c>
      <x:c r="B1475" s="13" t="str">
        <x:v>BR MALLS PARTICIPACOES SA</x:v>
      </x:c>
      <x:c r="C1475" s="16" t="n">
        <x:v>486.6882275068</x:v>
      </x:c>
      <x:c r="D1475" s="13" t="str">
        <x:v>Income Properties</x:v>
      </x:c>
      <x:c r="E1475" s="13" t="str">
        <x:v>Real Estate</x:v>
      </x:c>
      <x:c r="F1475" s="13" t="str">
        <x:v>Early Cyclicals</x:v>
      </x:c>
      <x:c r="G1475" s="13" t="str">
        <x:v>grid_wekqfxnd.xlsx</x:v>
      </x:c>
    </x:row>
    <x:row r="1476">
      <x:c r="A1476" s="15" t="n">
        <x:v>40909</x:v>
      </x:c>
      <x:c r="B1476" s="13" t="str">
        <x:v>BRADESPAR SA -PREF</x:v>
      </x:c>
      <x:c r="C1476" s="16" t="n">
        <x:v>2298.2705972603</x:v>
      </x:c>
      <x:c r="D1476" s="13" t="str">
        <x:v>Metals &amp; Mining</x:v>
      </x:c>
      <x:c r="E1476" s="13" t="str">
        <x:v>Metals &amp; Mining</x:v>
      </x:c>
      <x:c r="F1476" s="13" t="str">
        <x:v>Deep Cyclicals</x:v>
      </x:c>
      <x:c r="G1476" s="13" t="str">
        <x:v>grid_wekqfxnd.xlsx</x:v>
      </x:c>
    </x:row>
    <x:row r="1477">
      <x:c r="A1477" s="15" t="n">
        <x:v>40909</x:v>
      </x:c>
      <x:c r="B1477" s="13" t="str">
        <x:v>CIA SIDERURGICA NACIONAL SA</x:v>
      </x:c>
      <x:c r="C1477" s="16" t="n">
        <x:v>2397.3521323836</x:v>
      </x:c>
      <x:c r="D1477" s="13" t="str">
        <x:v>Metals &amp; Mining</x:v>
      </x:c>
      <x:c r="E1477" s="13" t="str">
        <x:v>Metals &amp; Mining</x:v>
      </x:c>
      <x:c r="F1477" s="13" t="str">
        <x:v>Deep Cyclicals</x:v>
      </x:c>
      <x:c r="G1477" s="13" t="str">
        <x:v>grid_wekqfxnd.xlsx</x:v>
      </x:c>
    </x:row>
    <x:row r="1478">
      <x:c r="A1478" s="15" t="n">
        <x:v>40909</x:v>
      </x:c>
      <x:c r="B1478" s="13" t="str">
        <x:v>GERDAU SA-PREF</x:v>
      </x:c>
      <x:c r="C1478" s="16" t="n">
        <x:v>2458.9828593973</x:v>
      </x:c>
      <x:c r="D1478" s="13" t="str">
        <x:v>Metals &amp; Mining</x:v>
      </x:c>
      <x:c r="E1478" s="13" t="str">
        <x:v>Metals &amp; Mining</x:v>
      </x:c>
      <x:c r="F1478" s="13" t="str">
        <x:v>Deep Cyclicals</x:v>
      </x:c>
      <x:c r="G1478" s="13" t="str">
        <x:v>grid_wekqfxnd.xlsx</x:v>
      </x:c>
    </x:row>
    <x:row r="1479">
      <x:c r="A1479" s="15" t="n">
        <x:v>40909</x:v>
      </x:c>
      <x:c r="B1479" s="13" t="str">
        <x:v>METALURGICA GERDAU SA-PREF</x:v>
      </x:c>
      <x:c r="C1479" s="16" t="n">
        <x:v>898.8219151781</x:v>
      </x:c>
      <x:c r="D1479" s="13" t="str">
        <x:v>Metals &amp; Mining</x:v>
      </x:c>
      <x:c r="E1479" s="13" t="str">
        <x:v>Metals &amp; Mining</x:v>
      </x:c>
      <x:c r="F1479" s="13" t="str">
        <x:v>Deep Cyclicals</x:v>
      </x:c>
      <x:c r="G1479" s="13" t="str">
        <x:v>grid_wekqfxnd.xlsx</x:v>
      </x:c>
    </x:row>
    <x:row r="1480">
      <x:c r="A1480" s="15" t="n">
        <x:v>40909</x:v>
      </x:c>
      <x:c r="B1480" s="13" t="str">
        <x:v>MMX MINERACAO E METALICOS SA</x:v>
      </x:c>
      <x:c r="C1480" s="16" t="n">
        <x:v>196.1068506301</x:v>
      </x:c>
      <x:c r="D1480" s="13" t="str">
        <x:v>Metals &amp; Mining</x:v>
      </x:c>
      <x:c r="E1480" s="13" t="str">
        <x:v>Metals &amp; Mining</x:v>
      </x:c>
      <x:c r="F1480" s="13" t="str">
        <x:v>Deep Cyclicals</x:v>
      </x:c>
      <x:c r="G1480" s="13" t="str">
        <x:v>grid_wekqfxnd.xlsx</x:v>
      </x:c>
    </x:row>
    <x:row r="1481">
      <x:c r="A1481" s="15" t="n">
        <x:v>40909</x:v>
      </x:c>
      <x:c r="B1481" s="13" t="str">
        <x:v>USINAS SIDER MINAS GER-PF A</x:v>
      </x:c>
      <x:c r="C1481" s="16" t="n">
        <x:v>491.4561670137</x:v>
      </x:c>
      <x:c r="D1481" s="13" t="str">
        <x:v>Metals &amp; Mining</x:v>
      </x:c>
      <x:c r="E1481" s="13" t="str">
        <x:v>Metals &amp; Mining</x:v>
      </x:c>
      <x:c r="F1481" s="13" t="str">
        <x:v>Deep Cyclicals</x:v>
      </x:c>
      <x:c r="G1481" s="13" t="str">
        <x:v>grid_wekqfxnd.xlsx</x:v>
      </x:c>
    </x:row>
    <x:row r="1482">
      <x:c r="A1482" s="15" t="n">
        <x:v>40909</x:v>
      </x:c>
      <x:c r="B1482" s="13" t="str">
        <x:v>USINAS SIDERURGICAS DE MINAS</x:v>
      </x:c>
      <x:c r="C1482" s="16" t="n">
        <x:v>491.4561670137</x:v>
      </x:c>
      <x:c r="D1482" s="13" t="str">
        <x:v>Metals &amp; Mining</x:v>
      </x:c>
      <x:c r="E1482" s="13" t="str">
        <x:v>Metals &amp; Mining</x:v>
      </x:c>
      <x:c r="F1482" s="13" t="str">
        <x:v>Deep Cyclicals</x:v>
      </x:c>
      <x:c r="G1482" s="13" t="str">
        <x:v>grid_wekqfxnd.xlsx</x:v>
      </x:c>
    </x:row>
    <x:row r="1483">
      <x:c r="A1483" s="15" t="n">
        <x:v>40909</x:v>
      </x:c>
      <x:c r="B1483" s="13" t="str">
        <x:v>VALE SA</x:v>
      </x:c>
      <x:c r="C1483" s="16" t="n">
        <x:v>38366.9315331507</x:v>
      </x:c>
      <x:c r="D1483" s="13" t="str">
        <x:v>Metals &amp; Mining</x:v>
      </x:c>
      <x:c r="E1483" s="13" t="str">
        <x:v>Metals &amp; Mining</x:v>
      </x:c>
      <x:c r="F1483" s="13" t="str">
        <x:v>Deep Cyclicals</x:v>
      </x:c>
      <x:c r="G1483" s="13" t="str">
        <x:v>grid_wekqfxnd.xlsx</x:v>
      </x:c>
    </x:row>
    <x:row r="1484">
      <x:c r="A1484" s="15" t="n">
        <x:v>40909</x:v>
      </x:c>
      <x:c r="B1484" s="13" t="str">
        <x:v>BRASKEM SA-PREF A</x:v>
      </x:c>
      <x:c r="C1484" s="16" t="n">
        <x:v>845.4626033973</x:v>
      </x:c>
      <x:c r="D1484" s="13" t="str">
        <x:v>Oil, Gas &amp; Petrochemicals</x:v>
      </x:c>
      <x:c r="E1484" s="13" t="str">
        <x:v>Oil, Gas &amp; Petrochemicals</x:v>
      </x:c>
      <x:c r="F1484" s="13" t="str">
        <x:v>Deep Cyclicals</x:v>
      </x:c>
      <x:c r="G1484" s="13" t="str">
        <x:v>grid_wekqfxnd.xlsx</x:v>
      </x:c>
    </x:row>
    <x:row r="1485">
      <x:c r="A1485" s="15" t="n">
        <x:v>40909</x:v>
      </x:c>
      <x:c r="B1485" s="13" t="str">
        <x:v>COSAN SA</x:v>
      </x:c>
      <x:c r="C1485" s="16" t="n">
        <x:v>570.750314</x:v>
      </x:c>
      <x:c r="D1485" s="13" t="str">
        <x:v>Oil, Gas &amp; Petrochemicals</x:v>
      </x:c>
      <x:c r="E1485" s="13" t="str">
        <x:v>Oil, Gas &amp; Petrochemicals</x:v>
      </x:c>
      <x:c r="F1485" s="13" t="str">
        <x:v>Deep Cyclicals</x:v>
      </x:c>
      <x:c r="G1485" s="13" t="str">
        <x:v>grid_wekqfxnd.xlsx</x:v>
      </x:c>
    </x:row>
    <x:row r="1486">
      <x:c r="A1486" s="15" t="n">
        <x:v>40909</x:v>
      </x:c>
      <x:c r="B1486" s="13" t="str">
        <x:v>OLEO E GAS PARTICIPACOES SA</x:v>
      </x:c>
      <x:c r="C1486" s="16" t="n">
        <x:v>604.7213514521</x:v>
      </x:c>
      <x:c r="D1486" s="13" t="str">
        <x:v>Oil, Gas &amp; Petrochemicals</x:v>
      </x:c>
      <x:c r="E1486" s="13" t="str">
        <x:v>Oil, Gas &amp; Petrochemicals</x:v>
      </x:c>
      <x:c r="F1486" s="13" t="str">
        <x:v>Deep Cyclicals</x:v>
      </x:c>
      <x:c r="G1486" s="13" t="str">
        <x:v>grid_wekqfxnd.xlsx</x:v>
      </x:c>
    </x:row>
    <x:row r="1487">
      <x:c r="A1487" s="15" t="n">
        <x:v>40909</x:v>
      </x:c>
      <x:c r="B1487" s="13" t="str">
        <x:v>PETROBRAS - PETROLEO BRAS</x:v>
      </x:c>
      <x:c r="C1487" s="16" t="n">
        <x:v>39987.1569639452</x:v>
      </x:c>
      <x:c r="D1487" s="13" t="str">
        <x:v>Oil, Gas &amp; Petrochemicals</x:v>
      </x:c>
      <x:c r="E1487" s="13" t="str">
        <x:v>Oil, Gas &amp; Petrochemicals</x:v>
      </x:c>
      <x:c r="F1487" s="13" t="str">
        <x:v>Deep Cyclicals</x:v>
      </x:c>
      <x:c r="G1487" s="13" t="str">
        <x:v>grid_wekqfxnd.xlsx</x:v>
      </x:c>
    </x:row>
    <x:row r="1488">
      <x:c r="A1488" s="15" t="n">
        <x:v>40909</x:v>
      </x:c>
      <x:c r="B1488" s="13" t="str">
        <x:v>ULTRAPAR PARTICIPACOES SA</x:v>
      </x:c>
      <x:c r="C1488" s="16" t="n">
        <x:v>1000.4010678356</x:v>
      </x:c>
      <x:c r="D1488" s="13" t="str">
        <x:v>Oil, Gas &amp; Petrochemicals</x:v>
      </x:c>
      <x:c r="E1488" s="13" t="str">
        <x:v>Oil, Gas &amp; Petrochemicals</x:v>
      </x:c>
      <x:c r="F1488" s="13" t="str">
        <x:v>Deep Cyclicals</x:v>
      </x:c>
      <x:c r="G1488" s="13" t="str">
        <x:v>grid_wekqfxnd.xlsx</x:v>
      </x:c>
    </x:row>
    <x:row r="1489">
      <x:c r="A1489" s="15" t="n">
        <x:v>40909</x:v>
      </x:c>
      <x:c r="B1489" s="13" t="str">
        <x:v>DEXCO SA</x:v>
      </x:c>
      <x:c r="C1489" s="16" t="n">
        <x:v>404.9590474521</x:v>
      </x:c>
      <x:c r="D1489" s="13" t="str">
        <x:v>Pulp &amp; Paper</x:v>
      </x:c>
      <x:c r="E1489" s="13" t="str">
        <x:v>Pulp &amp; Paper</x:v>
      </x:c>
      <x:c r="F1489" s="13" t="str">
        <x:v>Deep Cyclicals</x:v>
      </x:c>
      <x:c r="G1489" s="13" t="str">
        <x:v>grid_wekqfxnd.xlsx</x:v>
      </x:c>
    </x:row>
    <x:row r="1490">
      <x:c r="A1490" s="15" t="n">
        <x:v>40909</x:v>
      </x:c>
      <x:c r="B1490" s="13" t="str">
        <x:v>FIBRIA CELULOSE S/A</x:v>
      </x:c>
      <x:c r="C1490" s="16" t="n">
        <x:v>-61.5246575342</x:v>
      </x:c>
      <x:c r="D1490" s="13" t="str">
        <x:v>Pulp &amp; Paper</x:v>
      </x:c>
      <x:c r="E1490" s="13" t="str">
        <x:v>Pulp &amp; Paper</x:v>
      </x:c>
      <x:c r="F1490" s="13" t="str">
        <x:v>Deep Cyclicals</x:v>
      </x:c>
      <x:c r="G1490" s="13" t="str">
        <x:v>grid_wekqfxnd.xlsx</x:v>
      </x:c>
    </x:row>
    <x:row r="1491">
      <x:c r="A1491" s="15" t="n">
        <x:v>40909</x:v>
      </x:c>
      <x:c r="B1491" s="13" t="str">
        <x:v>AMERICANAS SA</x:v>
      </x:c>
      <x:c r="C1491" s="16" t="n">
        <x:v>56.6212304658</x:v>
      </x:c>
      <x:c r="D1491" s="13" t="str">
        <x:v>Retail</x:v>
      </x:c>
      <x:c r="E1491" s="13" t="str">
        <x:v>Retail</x:v>
      </x:c>
      <x:c r="F1491" s="13" t="str">
        <x:v>Early Cyclicals</x:v>
      </x:c>
      <x:c r="G1491" s="13" t="str">
        <x:v>grid_wekqfxnd.xlsx</x:v>
      </x:c>
    </x:row>
    <x:row r="1492">
      <x:c r="A1492" s="15" t="n">
        <x:v>40909</x:v>
      </x:c>
      <x:c r="B1492" s="13" t="str">
        <x:v>CIA BRASILEIRA DE DIS-PREF</x:v>
      </x:c>
      <x:c r="C1492" s="16" t="n">
        <x:v>1034.7671180274</x:v>
      </x:c>
      <x:c r="D1492" s="13" t="str">
        <x:v>Retail</x:v>
      </x:c>
      <x:c r="E1492" s="13" t="str">
        <x:v>Retail</x:v>
      </x:c>
      <x:c r="F1492" s="13" t="str">
        <x:v>Early Cyclicals</x:v>
      </x:c>
      <x:c r="G1492" s="13" t="str">
        <x:v>grid_wekqfxnd.xlsx</x:v>
      </x:c>
    </x:row>
    <x:row r="1493">
      <x:c r="A1493" s="15" t="n">
        <x:v>40909</x:v>
      </x:c>
      <x:c r="B1493" s="13" t="str">
        <x:v>CIA HERING</x:v>
      </x:c>
      <x:c r="C1493" s="16" t="n">
        <x:v>372.9526180822</x:v>
      </x:c>
      <x:c r="D1493" s="13" t="str">
        <x:v>Retail</x:v>
      </x:c>
      <x:c r="E1493" s="13" t="str">
        <x:v>Retail</x:v>
      </x:c>
      <x:c r="F1493" s="13" t="str">
        <x:v>Early Cyclicals</x:v>
      </x:c>
      <x:c r="G1493" s="13" t="str">
        <x:v>grid_wekqfxnd.xlsx</x:v>
      </x:c>
    </x:row>
    <x:row r="1494">
      <x:c r="A1494" s="15" t="n">
        <x:v>40909</x:v>
      </x:c>
      <x:c r="B1494" s="13" t="str">
        <x:v>LOJAS AMERICANAS SA-PREF</x:v>
      </x:c>
      <x:c r="C1494" s="16" t="n">
        <x:v>487.3919745753</x:v>
      </x:c>
      <x:c r="D1494" s="13" t="str">
        <x:v>Retail</x:v>
      </x:c>
      <x:c r="E1494" s="13" t="str">
        <x:v>Retail</x:v>
      </x:c>
      <x:c r="F1494" s="13" t="str">
        <x:v>Early Cyclicals</x:v>
      </x:c>
      <x:c r="G1494" s="13" t="str">
        <x:v>grid_wekqfxnd.xlsx</x:v>
      </x:c>
    </x:row>
    <x:row r="1495">
      <x:c r="A1495" s="15" t="n">
        <x:v>40909</x:v>
      </x:c>
      <x:c r="B1495" s="13" t="str">
        <x:v>LOJAS RENNER S.A.</x:v>
      </x:c>
      <x:c r="C1495" s="16" t="n">
        <x:v>420.7671513425</x:v>
      </x:c>
      <x:c r="D1495" s="13" t="str">
        <x:v>Retail</x:v>
      </x:c>
      <x:c r="E1495" s="13" t="str">
        <x:v>Retail</x:v>
      </x:c>
      <x:c r="F1495" s="13" t="str">
        <x:v>Early Cyclicals</x:v>
      </x:c>
      <x:c r="G1495" s="13" t="str">
        <x:v>grid_wekqfxnd.xlsx</x:v>
      </x:c>
    </x:row>
    <x:row r="1496">
      <x:c r="A1496" s="15" t="n">
        <x:v>40909</x:v>
      </x:c>
      <x:c r="B1496" s="13" t="str">
        <x:v>NATURA COSMETICOS SA</x:v>
      </x:c>
      <x:c r="C1496" s="16" t="n">
        <x:v>890.6561911233</x:v>
      </x:c>
      <x:c r="D1496" s="13" t="str">
        <x:v>Retail</x:v>
      </x:c>
      <x:c r="E1496" s="13" t="str">
        <x:v>Retail</x:v>
      </x:c>
      <x:c r="F1496" s="13" t="str">
        <x:v>Early Cyclicals</x:v>
      </x:c>
      <x:c r="G1496" s="13" t="str">
        <x:v>grid_wekqfxnd.xlsx</x:v>
      </x:c>
    </x:row>
    <x:row r="1497">
      <x:c r="A1497" s="15" t="n">
        <x:v>40909</x:v>
      </x:c>
      <x:c r="B1497" s="13" t="str">
        <x:v>CIA SANEAMENTO BASICO DE SP</x:v>
      </x:c>
      <x:c r="C1497" s="16" t="n">
        <x:v>1561.8409749041</x:v>
      </x:c>
      <x:c r="D1497" s="13" t="str">
        <x:v>Sanitation</x:v>
      </x:c>
      <x:c r="E1497" s="13" t="str">
        <x:v>Utilities</x:v>
      </x:c>
      <x:c r="F1497" s="13" t="str">
        <x:v>Defensives</x:v>
      </x:c>
      <x:c r="G1497" s="13" t="str">
        <x:v>grid_wekqfxnd.xlsx</x:v>
      </x:c>
    </x:row>
    <x:row r="1498">
      <x:c r="A1498" s="15" t="n">
        <x:v>40909</x:v>
      </x:c>
      <x:c r="B1498" s="13" t="str">
        <x:v>OI SA-PREFERENCE</x:v>
      </x:c>
      <x:c r="C1498" s="16" t="n">
        <x:v>1497.165939726</x:v>
      </x:c>
      <x:c r="D1498" s="13" t="str">
        <x:v>TMT</x:v>
      </x:c>
      <x:c r="E1498" s="13" t="str">
        <x:v>TMT</x:v>
      </x:c>
      <x:c r="F1498" s="13" t="str">
        <x:v>Early Cyclicals</x:v>
      </x:c>
      <x:c r="G1498" s="13" t="str">
        <x:v>grid_wekqfxnd.xlsx</x:v>
      </x:c>
    </x:row>
    <x:row r="1499">
      <x:c r="A1499" s="15" t="n">
        <x:v>40909</x:v>
      </x:c>
      <x:c r="B1499" s="13" t="str">
        <x:v>TELE NORTE LESTE PART</x:v>
      </x:c>
      <x:c r="C1499" s="16" t="n">
        <x:v>913.4208192877</x:v>
      </x:c>
      <x:c r="D1499" s="13" t="str">
        <x:v>TMT</x:v>
      </x:c>
      <x:c r="E1499" s="13" t="str">
        <x:v>TMT</x:v>
      </x:c>
      <x:c r="F1499" s="13" t="str">
        <x:v>Early Cyclicals</x:v>
      </x:c>
      <x:c r="G1499" s="13" t="str">
        <x:v>grid_wekqfxnd.xlsx</x:v>
      </x:c>
    </x:row>
    <x:row r="1500">
      <x:c r="A1500" s="15" t="n">
        <x:v>40909</x:v>
      </x:c>
      <x:c r="B1500" s="13" t="str">
        <x:v>TELEFONICA BRASIL S.A.-PREF</x:v>
      </x:c>
      <x:c r="C1500" s="16" t="n">
        <x:v>5229.6554467945</x:v>
      </x:c>
      <x:c r="D1500" s="13" t="str">
        <x:v>TMT</x:v>
      </x:c>
      <x:c r="E1500" s="13" t="str">
        <x:v>TMT</x:v>
      </x:c>
      <x:c r="F1500" s="13" t="str">
        <x:v>Early Cyclicals</x:v>
      </x:c>
      <x:c r="G1500" s="13" t="str">
        <x:v>grid_wekqfxnd.xlsx</x:v>
      </x:c>
    </x:row>
    <x:row r="1501">
      <x:c r="A1501" s="15" t="n">
        <x:v>40909</x:v>
      </x:c>
      <x:c r="B1501" s="13" t="str">
        <x:v>TELEMAR NORTE LESTE SA</x:v>
      </x:c>
      <x:c r="C1501" s="16" t="n">
        <x:v>1130.6970792329</x:v>
      </x:c>
      <x:c r="D1501" s="13" t="str">
        <x:v>TMT</x:v>
      </x:c>
      <x:c r="E1501" s="13" t="str">
        <x:v>TMT</x:v>
      </x:c>
      <x:c r="F1501" s="13" t="str">
        <x:v>Early Cyclicals</x:v>
      </x:c>
      <x:c r="G1501" s="13" t="str">
        <x:v>grid_wekqfxnd.xlsx</x:v>
      </x:c>
    </x:row>
    <x:row r="1502">
      <x:c r="A1502" s="15" t="n">
        <x:v>40909</x:v>
      </x:c>
      <x:c r="B1502" s="13" t="str">
        <x:v>TIM SA</x:v>
      </x:c>
      <x:c r="C1502" s="16" t="n">
        <x:v>1645.4702325479</x:v>
      </x:c>
      <x:c r="D1502" s="13" t="str">
        <x:v>TMT</x:v>
      </x:c>
      <x:c r="E1502" s="13" t="str">
        <x:v>TMT</x:v>
      </x:c>
      <x:c r="F1502" s="13" t="str">
        <x:v>Early Cyclicals</x:v>
      </x:c>
      <x:c r="G1502" s="13" t="str">
        <x:v>grid_wekqfxnd.xlsx</x:v>
      </x:c>
    </x:row>
    <x:row r="1503">
      <x:c r="A1503" s="15" t="n">
        <x:v>40909</x:v>
      </x:c>
      <x:c r="B1503" s="13" t="str">
        <x:v>GOL LINHAS AEREAS INT SA-PRE</x:v>
      </x:c>
      <x:c r="C1503" s="16" t="n">
        <x:v>139.7790136986</x:v>
      </x:c>
      <x:c r="D1503" s="13" t="str">
        <x:v>Transportation</x:v>
      </x:c>
      <x:c r="E1503" s="13" t="str">
        <x:v>Transportation</x:v>
      </x:c>
      <x:c r="F1503" s="13" t="str">
        <x:v>Deep Cyclicals</x:v>
      </x:c>
      <x:c r="G1503" s="13" t="str">
        <x:v>grid_wekqfxnd.xlsx</x:v>
      </x:c>
    </x:row>
    <x:row r="1504">
      <x:c r="A1504" s="15" t="n">
        <x:v>40909</x:v>
      </x:c>
      <x:c r="B1504" s="13" t="str">
        <x:v>LOCALIZA RENT A CAR</x:v>
      </x:c>
      <x:c r="C1504" s="16" t="n">
        <x:v>359.7693852055</x:v>
      </x:c>
      <x:c r="D1504" s="13" t="str">
        <x:v>Transportation</x:v>
      </x:c>
      <x:c r="E1504" s="13" t="str">
        <x:v>Transportation</x:v>
      </x:c>
      <x:c r="F1504" s="13" t="str">
        <x:v>Deep Cyclicals</x:v>
      </x:c>
      <x:c r="G1504" s="13" t="str">
        <x:v>grid_wekqfxnd.xlsx</x:v>
      </x:c>
    </x:row>
    <x:row r="1505">
      <x:c r="A1505" s="15" t="n">
        <x:v>40909</x:v>
      </x:c>
      <x:c r="B1505" s="13" t="str">
        <x:v>MOTIVA INFRAESTRUTURA DE MOB</x:v>
      </x:c>
      <x:c r="C1505" s="16" t="n">
        <x:v>1302.7934527123</x:v>
      </x:c>
      <x:c r="D1505" s="13" t="str">
        <x:v>Transportation</x:v>
      </x:c>
      <x:c r="E1505" s="13" t="str">
        <x:v>Transportation</x:v>
      </x:c>
      <x:c r="F1505" s="13" t="str">
        <x:v>Deep Cyclicals</x:v>
      </x:c>
      <x:c r="G1505" s="13" t="str">
        <x:v>grid_wekqfxnd.xlsx</x:v>
      </x:c>
    </x:row>
    <x:row r="1506">
      <x:c r="A1506" s="15" t="n">
        <x:v>40909</x:v>
      </x:c>
      <x:c r="B1506" s="13" t="str">
        <x:v>PRUMO LOGISTICA SA</x:v>
      </x:c>
      <x:c r="C1506" s="16" t="n">
        <x:v>-108.9876849315</x:v>
      </x:c>
      <x:c r="D1506" s="13" t="str">
        <x:v>Transportation</x:v>
      </x:c>
      <x:c r="E1506" s="13" t="str">
        <x:v>Transportation</x:v>
      </x:c>
      <x:c r="F1506" s="13" t="str">
        <x:v>Deep Cyclicals</x:v>
      </x:c>
      <x:c r="G1506" s="13" t="str">
        <x:v>grid_wekqfxnd.xlsx</x:v>
      </x:c>
    </x:row>
    <x:row r="1507">
      <x:c r="A1507" s="15" t="n">
        <x:v>40909</x:v>
      </x:c>
      <x:c r="B1507" s="13" t="str">
        <x:v>RUMO SA</x:v>
      </x:c>
      <x:c r="C1507" s="16" t="n">
        <x:v>354.2912806575</x:v>
      </x:c>
      <x:c r="D1507" s="13" t="str">
        <x:v>Transportation</x:v>
      </x:c>
      <x:c r="E1507" s="13" t="str">
        <x:v>Transportation</x:v>
      </x:c>
      <x:c r="F1507" s="13" t="str">
        <x:v>Deep Cyclicals</x:v>
      </x:c>
      <x:c r="G1507" s="13" t="str">
        <x:v>grid_wekqfxnd.xlsx</x:v>
      </x:c>
    </x:row>
    <x:row r="1508">
      <x:c r="A1508" s="15" t="n">
        <x:v>40909</x:v>
      </x:c>
      <x:c r="B1508" s="13" t="str">
        <x:v>TAM SA-PREF</x:v>
      </x:c>
      <x:c r="C1508" s="16" t="n">
        <x:v>251.3095890411</x:v>
      </x:c>
      <x:c r="D1508" s="13" t="str">
        <x:v>Transportation</x:v>
      </x:c>
      <x:c r="E1508" s="13" t="str">
        <x:v>Transportation</x:v>
      </x:c>
      <x:c r="F1508" s="13" t="str">
        <x:v>Deep Cyclicals</x:v>
      </x:c>
      <x:c r="G1508" s="13" t="str">
        <x:v>grid_wekqfxnd.xlsx</x:v>
      </x:c>
    </x:row>
    <x:row r="1509">
      <x:c r="A1509" s="15" t="n">
        <x:v>40909</x:v>
      </x:c>
      <x:c r="B1509" s="13" t="str">
        <x:v>AXIA ENERGIA SA</x:v>
      </x:c>
      <x:c r="C1509" s="16" t="n">
        <x:v>3785.4072986301</x:v>
      </x:c>
      <x:c r="D1509" s="13" t="str">
        <x:v>Utilities &amp; Energy</x:v>
      </x:c>
      <x:c r="E1509" s="13" t="str">
        <x:v>Utilities</x:v>
      </x:c>
      <x:c r="F1509" s="13" t="str">
        <x:v>Defensives</x:v>
      </x:c>
      <x:c r="G1509" s="13" t="str">
        <x:v>grid_wekqfxnd.xlsx</x:v>
      </x:c>
    </x:row>
    <x:row r="1510">
      <x:c r="A1510" s="15" t="n">
        <x:v>40909</x:v>
      </x:c>
      <x:c r="B1510" s="13" t="str">
        <x:v>AXIA ENERGIA-PR B</x:v>
      </x:c>
      <x:c r="C1510" s="16" t="n">
        <x:v>3785.4072986301</x:v>
      </x:c>
      <x:c r="D1510" s="13" t="str">
        <x:v>Utilities &amp; Energy</x:v>
      </x:c>
      <x:c r="E1510" s="13" t="str">
        <x:v>Utilities</x:v>
      </x:c>
      <x:c r="F1510" s="13" t="str">
        <x:v>Defensives</x:v>
      </x:c>
      <x:c r="G1510" s="13" t="str">
        <x:v>grid_wekqfxnd.xlsx</x:v>
      </x:c>
    </x:row>
    <x:row r="1511">
      <x:c r="A1511" s="15" t="n">
        <x:v>40909</x:v>
      </x:c>
      <x:c r="B1511" s="13" t="str">
        <x:v>CESP - CIA ENERGETICA DE SAO</x:v>
      </x:c>
      <x:c r="C1511" s="16" t="n">
        <x:v>648.6222088767</x:v>
      </x:c>
      <x:c r="D1511" s="13" t="str">
        <x:v>Utilities &amp; Energy</x:v>
      </x:c>
      <x:c r="E1511" s="13" t="str">
        <x:v>Utilities</x:v>
      </x:c>
      <x:c r="F1511" s="13" t="str">
        <x:v>Defensives</x:v>
      </x:c>
      <x:c r="G1511" s="13" t="str">
        <x:v>grid_wekqfxnd.xlsx</x:v>
      </x:c>
    </x:row>
    <x:row r="1512">
      <x:c r="A1512" s="15" t="n">
        <x:v>40909</x:v>
      </x:c>
      <x:c r="B1512" s="13" t="str">
        <x:v>CIA ENERGETICA MINAS GER-PRF</x:v>
      </x:c>
      <x:c r="C1512" s="16" t="n">
        <x:v>2401.6708629041</x:v>
      </x:c>
      <x:c r="D1512" s="13" t="str">
        <x:v>Utilities &amp; Energy</x:v>
      </x:c>
      <x:c r="E1512" s="13" t="str">
        <x:v>Utilities</x:v>
      </x:c>
      <x:c r="F1512" s="13" t="str">
        <x:v>Defensives</x:v>
      </x:c>
      <x:c r="G1512" s="13" t="str">
        <x:v>grid_wekqfxnd.xlsx</x:v>
      </x:c>
    </x:row>
    <x:row r="1513">
      <x:c r="A1513" s="15" t="n">
        <x:v>40909</x:v>
      </x:c>
      <x:c r="B1513" s="13" t="str">
        <x:v>COMPANHIA PARANAENSE -PREF B</x:v>
      </x:c>
      <x:c r="C1513" s="16" t="n">
        <x:v>1274.4049902466</x:v>
      </x:c>
      <x:c r="D1513" s="13" t="str">
        <x:v>Utilities &amp; Energy</x:v>
      </x:c>
      <x:c r="E1513" s="13" t="str">
        <x:v>Utilities</x:v>
      </x:c>
      <x:c r="F1513" s="13" t="str">
        <x:v>Defensives</x:v>
      </x:c>
      <x:c r="G1513" s="13" t="str">
        <x:v>grid_wekqfxnd.xlsx</x:v>
      </x:c>
    </x:row>
    <x:row r="1514">
      <x:c r="A1514" s="15" t="n">
        <x:v>40909</x:v>
      </x:c>
      <x:c r="B1514" s="13" t="str">
        <x:v>CPFL ENERGIA SA</x:v>
      </x:c>
      <x:c r="C1514" s="16" t="n">
        <x:v>1592.509555726</x:v>
      </x:c>
      <x:c r="D1514" s="13" t="str">
        <x:v>Utilities &amp; Energy</x:v>
      </x:c>
      <x:c r="E1514" s="13" t="str">
        <x:v>Utilities</x:v>
      </x:c>
      <x:c r="F1514" s="13" t="str">
        <x:v>Defensives</x:v>
      </x:c>
      <x:c r="G1514" s="13" t="str">
        <x:v>grid_wekqfxnd.xlsx</x:v>
      </x:c>
    </x:row>
    <x:row r="1515">
      <x:c r="A1515" s="15" t="n">
        <x:v>40909</x:v>
      </x:c>
      <x:c r="B1515" s="13" t="str">
        <x:v>ELETROPAULO METROPOLI-PREF</x:v>
      </x:c>
      <x:c r="C1515" s="16" t="n">
        <x:v>469.8017801644</x:v>
      </x:c>
      <x:c r="D1515" s="13" t="str">
        <x:v>Utilities &amp; Energy</x:v>
      </x:c>
      <x:c r="E1515" s="13" t="str">
        <x:v>Utilities</x:v>
      </x:c>
      <x:c r="F1515" s="13" t="str">
        <x:v>Defensives</x:v>
      </x:c>
      <x:c r="G1515" s="13" t="str">
        <x:v>grid_wekqfxnd.xlsx</x:v>
      </x:c>
    </x:row>
    <x:row r="1516">
      <x:c r="A1516" s="15" t="n">
        <x:v>40909</x:v>
      </x:c>
      <x:c r="B1516" s="13" t="str">
        <x:v>ISA ENERGIA BRASIL SA</x:v>
      </x:c>
      <x:c r="C1516" s="16" t="n">
        <x:v>1005.616466411</x:v>
      </x:c>
      <x:c r="D1516" s="13" t="str">
        <x:v>Utilities &amp; Energy</x:v>
      </x:c>
      <x:c r="E1516" s="13" t="str">
        <x:v>Utilities</x:v>
      </x:c>
      <x:c r="F1516" s="13" t="str">
        <x:v>Defensives</x:v>
      </x:c>
      <x:c r="G1516" s="13" t="str">
        <x:v>grid_wekqfxnd.xlsx</x:v>
      </x:c>
    </x:row>
    <x:row r="1517">
      <x:c r="A1517" s="15" t="n">
        <x:v>40909</x:v>
      </x:c>
      <x:c r="B1517" s="13" t="str">
        <x:v>LIGHT SA</x:v>
      </x:c>
      <x:c r="C1517" s="16" t="n">
        <x:v>552.7506849315</x:v>
      </x:c>
      <x:c r="D1517" s="13" t="str">
        <x:v>Utilities &amp; Energy</x:v>
      </x:c>
      <x:c r="E1517" s="13" t="str">
        <x:v>Utilities</x:v>
      </x:c>
      <x:c r="F1517" s="13" t="str">
        <x:v>Defensives</x:v>
      </x:c>
      <x:c r="G1517" s="13" t="str">
        <x:v>grid_wekqfxnd.xlsx</x:v>
      </x:c>
    </x:row>
    <x:row r="1518">
      <x:c r="A1518" s="15" t="n">
        <x:v>40940</x:v>
      </x:c>
      <x:c r="B1518" s="13" t="str">
        <x:v>BANCO BRADESCO SA-PREF</x:v>
      </x:c>
      <x:c r="C1518" s="16" t="n">
        <x:v>12423.1921635945</x:v>
      </x:c>
      <x:c r="D1518" s="13" t="str">
        <x:v>Banks</x:v>
      </x:c>
      <x:c r="E1518" s="13" t="str">
        <x:v>Banks</x:v>
      </x:c>
      <x:c r="F1518" s="13" t="str">
        <x:v>Financials</x:v>
      </x:c>
      <x:c r="G1518" s="13" t="str">
        <x:v>grid_wekqfxnd.xlsx</x:v>
      </x:c>
    </x:row>
    <x:row r="1519">
      <x:c r="A1519" s="15" t="n">
        <x:v>40940</x:v>
      </x:c>
      <x:c r="B1519" s="13" t="str">
        <x:v>BANCO DO BRASIL S.A.</x:v>
      </x:c>
      <x:c r="C1519" s="16" t="n">
        <x:v>12056.2103646685</x:v>
      </x:c>
      <x:c r="D1519" s="13" t="str">
        <x:v>Banks</x:v>
      </x:c>
      <x:c r="E1519" s="13" t="str">
        <x:v>Banks</x:v>
      </x:c>
      <x:c r="F1519" s="13" t="str">
        <x:v>Financials</x:v>
      </x:c>
      <x:c r="G1519" s="13" t="str">
        <x:v>grid_wekqfxnd.xlsx</x:v>
      </x:c>
    </x:row>
    <x:row r="1520">
      <x:c r="A1520" s="15" t="n">
        <x:v>40940</x:v>
      </x:c>
      <x:c r="B1520" s="13" t="str">
        <x:v>BANCO SANTANDER  BRASIL-UNIT</x:v>
      </x:c>
      <x:c r="C1520" s="16" t="n">
        <x:v>6902.1121269479</x:v>
      </x:c>
      <x:c r="D1520" s="13" t="str">
        <x:v>Banks</x:v>
      </x:c>
      <x:c r="E1520" s="13" t="str">
        <x:v>Banks</x:v>
      </x:c>
      <x:c r="F1520" s="13" t="str">
        <x:v>Financials</x:v>
      </x:c>
      <x:c r="G1520" s="13" t="str">
        <x:v>grid_wekqfxnd.xlsx</x:v>
      </x:c>
    </x:row>
    <x:row r="1521">
      <x:c r="A1521" s="15" t="n">
        <x:v>40940</x:v>
      </x:c>
      <x:c r="B1521" s="13" t="str">
        <x:v>ITAU UNIBANCO HOLDING S-PREF</x:v>
      </x:c>
      <x:c r="C1521" s="16" t="n">
        <x:v>16658.1997960767</x:v>
      </x:c>
      <x:c r="D1521" s="13" t="str">
        <x:v>Banks</x:v>
      </x:c>
      <x:c r="E1521" s="13" t="str">
        <x:v>Banks</x:v>
      </x:c>
      <x:c r="F1521" s="13" t="str">
        <x:v>Financials</x:v>
      </x:c>
      <x:c r="G1521" s="13" t="str">
        <x:v>grid_wekqfxnd.xlsx</x:v>
      </x:c>
    </x:row>
    <x:row r="1522">
      <x:c r="A1522" s="15" t="n">
        <x:v>40940</x:v>
      </x:c>
      <x:c r="B1522" s="13" t="str">
        <x:v>EMBRAER SA</x:v>
      </x:c>
      <x:c r="C1522" s="16" t="n">
        <x:v>781.0521072219</x:v>
      </x:c>
      <x:c r="D1522" s="13" t="str">
        <x:v>Capital Goods</x:v>
      </x:c>
      <x:c r="E1522" s="13" t="str">
        <x:v>Capital Goods</x:v>
      </x:c>
      <x:c r="F1522" s="13" t="str">
        <x:v>Deep Cyclicals</x:v>
      </x:c>
      <x:c r="G1522" s="13" t="str">
        <x:v>grid_wekqfxnd.xlsx</x:v>
      </x:c>
    </x:row>
    <x:row r="1523">
      <x:c r="A1523" s="15" t="n">
        <x:v>40940</x:v>
      </x:c>
      <x:c r="B1523" s="13" t="str">
        <x:v>B3 SA-BRASIL BOLSA BALCAO</x:v>
      </x:c>
      <x:c r="C1523" s="16" t="n">
        <x:v>1685.4068813151</x:v>
      </x:c>
      <x:c r="D1523" s="13" t="str">
        <x:v>Financials Non-Banks</x:v>
      </x:c>
      <x:c r="E1523" s="13" t="str">
        <x:v>Financials Non-Banks</x:v>
      </x:c>
      <x:c r="F1523" s="13" t="str">
        <x:v>Financials</x:v>
      </x:c>
      <x:c r="G1523" s="13" t="str">
        <x:v>grid_wekqfxnd.xlsx</x:v>
      </x:c>
    </x:row>
    <x:row r="1524">
      <x:c r="A1524" s="15" t="n">
        <x:v>40940</x:v>
      </x:c>
      <x:c r="B1524" s="13" t="str">
        <x:v>CIELO SA - INSTITUICAO DE PA</x:v>
      </x:c>
      <x:c r="C1524" s="16" t="n">
        <x:v>2080.5006090521</x:v>
      </x:c>
      <x:c r="D1524" s="13" t="str">
        <x:v>Financials Non-Banks</x:v>
      </x:c>
      <x:c r="E1524" s="13" t="str">
        <x:v>Financials Non-Banks</x:v>
      </x:c>
      <x:c r="F1524" s="13" t="str">
        <x:v>Financials</x:v>
      </x:c>
      <x:c r="G1524" s="13" t="str">
        <x:v>grid_wekqfxnd.xlsx</x:v>
      </x:c>
    </x:row>
    <x:row r="1525">
      <x:c r="A1525" s="15" t="n">
        <x:v>40940</x:v>
      </x:c>
      <x:c r="B1525" s="13" t="str">
        <x:v>ITAUSA SA</x:v>
      </x:c>
      <x:c r="C1525" s="16" t="n">
        <x:v>5960.616485874</x:v>
      </x:c>
      <x:c r="D1525" s="13" t="str">
        <x:v>Financials Non-Banks</x:v>
      </x:c>
      <x:c r="E1525" s="13" t="str">
        <x:v>Financials Non-Banks</x:v>
      </x:c>
      <x:c r="F1525" s="13" t="str">
        <x:v>Financials</x:v>
      </x:c>
      <x:c r="G1525" s="13" t="str">
        <x:v>grid_wekqfxnd.xlsx</x:v>
      </x:c>
    </x:row>
    <x:row r="1526">
      <x:c r="A1526" s="15" t="n">
        <x:v>40940</x:v>
      </x:c>
      <x:c r="B1526" s="13" t="str">
        <x:v>REDECARD INSTITUICAO DE PAGA</x:v>
      </x:c>
      <x:c r="C1526" s="16" t="n">
        <x:v>1569.8322428493</x:v>
      </x:c>
      <x:c r="D1526" s="13" t="str">
        <x:v>Financials Non-Banks</x:v>
      </x:c>
      <x:c r="E1526" s="13" t="str">
        <x:v>Financials Non-Banks</x:v>
      </x:c>
      <x:c r="F1526" s="13" t="str">
        <x:v>Financials</x:v>
      </x:c>
      <x:c r="G1526" s="13" t="str">
        <x:v>grid_wekqfxnd.xlsx</x:v>
      </x:c>
    </x:row>
    <x:row r="1527">
      <x:c r="A1527" s="15" t="n">
        <x:v>40940</x:v>
      </x:c>
      <x:c r="B1527" s="13" t="str">
        <x:v>AMBEV SA</x:v>
      </x:c>
      <x:c r="C1527" s="16" t="n">
        <x:v>10130.6698653808</x:v>
      </x:c>
      <x:c r="D1527" s="13" t="str">
        <x:v>Food &amp; Beverages</x:v>
      </x:c>
      <x:c r="E1527" s="13" t="str">
        <x:v>Agri, Food &amp; Beverages</x:v>
      </x:c>
      <x:c r="F1527" s="13" t="str">
        <x:v>Defensives</x:v>
      </x:c>
      <x:c r="G1527" s="13" t="str">
        <x:v>grid_wekqfxnd.xlsx</x:v>
      </x:c>
    </x:row>
    <x:row r="1528">
      <x:c r="A1528" s="15" t="n">
        <x:v>40940</x:v>
      </x:c>
      <x:c r="B1528" s="13" t="str">
        <x:v>BRF SA</x:v>
      </x:c>
      <x:c r="C1528" s="16" t="n">
        <x:v>2024.3494680548</x:v>
      </x:c>
      <x:c r="D1528" s="13" t="str">
        <x:v>Food &amp; Beverages</x:v>
      </x:c>
      <x:c r="E1528" s="13" t="str">
        <x:v>Agri, Food &amp; Beverages</x:v>
      </x:c>
      <x:c r="F1528" s="13" t="str">
        <x:v>Defensives</x:v>
      </x:c>
      <x:c r="G1528" s="13" t="str">
        <x:v>grid_wekqfxnd.xlsx</x:v>
      </x:c>
    </x:row>
    <x:row r="1529">
      <x:c r="A1529" s="15" t="n">
        <x:v>40940</x:v>
      </x:c>
      <x:c r="B1529" s="13" t="str">
        <x:v>MBRF GLOBAL FOODS COMPANY SA</x:v>
      </x:c>
      <x:c r="C1529" s="16" t="n">
        <x:v>9.9660328767</x:v>
      </x:c>
      <x:c r="D1529" s="13" t="str">
        <x:v>Food &amp; Beverages</x:v>
      </x:c>
      <x:c r="E1529" s="13" t="str">
        <x:v>Agri, Food &amp; Beverages</x:v>
      </x:c>
      <x:c r="F1529" s="13" t="str">
        <x:v>Defensives</x:v>
      </x:c>
      <x:c r="G1529" s="13" t="str">
        <x:v>grid_wekqfxnd.xlsx</x:v>
      </x:c>
    </x:row>
    <x:row r="1530">
      <x:c r="A1530" s="15" t="n">
        <x:v>40940</x:v>
      </x:c>
      <x:c r="B1530" s="13" t="str">
        <x:v>SOUZA CRUZ LTDA</x:v>
      </x:c>
      <x:c r="C1530" s="16" t="n">
        <x:v>1805.3562522301</x:v>
      </x:c>
      <x:c r="D1530" s="13" t="str">
        <x:v>Food &amp; Beverages</x:v>
      </x:c>
      <x:c r="E1530" s="13" t="str">
        <x:v>Agri, Food &amp; Beverages</x:v>
      </x:c>
      <x:c r="F1530" s="13" t="str">
        <x:v>Defensives</x:v>
      </x:c>
      <x:c r="G1530" s="13" t="str">
        <x:v>grid_wekqfxnd.xlsx</x:v>
      </x:c>
    </x:row>
    <x:row r="1531">
      <x:c r="A1531" s="15" t="n">
        <x:v>40940</x:v>
      </x:c>
      <x:c r="B1531" s="13" t="str">
        <x:v>DIAGNOSTICOS DA AMERICA SA</x:v>
      </x:c>
      <x:c r="C1531" s="16" t="n">
        <x:v>308.2837353205</x:v>
      </x:c>
      <x:c r="D1531" s="13" t="str">
        <x:v>Health Care</x:v>
      </x:c>
      <x:c r="E1531" s="13" t="str">
        <x:v>Health Care</x:v>
      </x:c>
      <x:c r="F1531" s="13" t="str">
        <x:v>Defensives</x:v>
      </x:c>
      <x:c r="G1531" s="13" t="str">
        <x:v>grid_wekqfxnd.xlsx</x:v>
      </x:c>
    </x:row>
    <x:row r="1532">
      <x:c r="A1532" s="15" t="n">
        <x:v>40940</x:v>
      </x:c>
      <x:c r="B1532" s="13" t="str">
        <x:v>HYPERA SA</x:v>
      </x:c>
      <x:c r="C1532" s="16" t="n">
        <x:v>322.2111878137</x:v>
      </x:c>
      <x:c r="D1532" s="13" t="str">
        <x:v>Health Care</x:v>
      </x:c>
      <x:c r="E1532" s="13" t="str">
        <x:v>Health Care</x:v>
      </x:c>
      <x:c r="F1532" s="13" t="str">
        <x:v>Defensives</x:v>
      </x:c>
      <x:c r="G1532" s="13" t="str">
        <x:v>grid_wekqfxnd.xlsx</x:v>
      </x:c>
    </x:row>
    <x:row r="1533">
      <x:c r="A1533" s="15" t="n">
        <x:v>40940</x:v>
      </x:c>
      <x:c r="B1533" s="13" t="str">
        <x:v>CYRELA BRAZIL REALTY SA EMP</x:v>
      </x:c>
      <x:c r="C1533" s="16" t="n">
        <x:v>834.6501491726</x:v>
      </x:c>
      <x:c r="D1533" s="13" t="str">
        <x:v>Homebuilders</x:v>
      </x:c>
      <x:c r="E1533" s="13" t="str">
        <x:v>Real Estate</x:v>
      </x:c>
      <x:c r="F1533" s="13" t="str">
        <x:v>Early Cyclicals</x:v>
      </x:c>
      <x:c r="G1533" s="13" t="str">
        <x:v>grid_wekqfxnd.xlsx</x:v>
      </x:c>
    </x:row>
    <x:row r="1534">
      <x:c r="A1534" s="15" t="n">
        <x:v>40940</x:v>
      </x:c>
      <x:c r="B1534" s="13" t="str">
        <x:v>GAFISA SA</x:v>
      </x:c>
      <x:c r="C1534" s="16" t="n">
        <x:v>318.9694741041</x:v>
      </x:c>
      <x:c r="D1534" s="13" t="str">
        <x:v>Homebuilders</x:v>
      </x:c>
      <x:c r="E1534" s="13" t="str">
        <x:v>Real Estate</x:v>
      </x:c>
      <x:c r="F1534" s="13" t="str">
        <x:v>Early Cyclicals</x:v>
      </x:c>
      <x:c r="G1534" s="13" t="str">
        <x:v>grid_wekqfxnd.xlsx</x:v>
      </x:c>
    </x:row>
    <x:row r="1535">
      <x:c r="A1535" s="15" t="n">
        <x:v>40940</x:v>
      </x:c>
      <x:c r="B1535" s="13" t="str">
        <x:v>MRV ENGENHARIA</x:v>
      </x:c>
      <x:c r="C1535" s="16" t="n">
        <x:v>866.253254137</x:v>
      </x:c>
      <x:c r="D1535" s="13" t="str">
        <x:v>Homebuilders</x:v>
      </x:c>
      <x:c r="E1535" s="13" t="str">
        <x:v>Real Estate</x:v>
      </x:c>
      <x:c r="F1535" s="13" t="str">
        <x:v>Early Cyclicals</x:v>
      </x:c>
      <x:c r="G1535" s="13" t="str">
        <x:v>grid_wekqfxnd.xlsx</x:v>
      </x:c>
    </x:row>
    <x:row r="1536">
      <x:c r="A1536" s="15" t="n">
        <x:v>40940</x:v>
      </x:c>
      <x:c r="B1536" s="13" t="str">
        <x:v>PDG REALTY SA</x:v>
      </x:c>
      <x:c r="C1536" s="16" t="n">
        <x:v>1191.3312213918</x:v>
      </x:c>
      <x:c r="D1536" s="13" t="str">
        <x:v>Homebuilders</x:v>
      </x:c>
      <x:c r="E1536" s="13" t="str">
        <x:v>Real Estate</x:v>
      </x:c>
      <x:c r="F1536" s="13" t="str">
        <x:v>Early Cyclicals</x:v>
      </x:c>
      <x:c r="G1536" s="13" t="str">
        <x:v>grid_wekqfxnd.xlsx</x:v>
      </x:c>
    </x:row>
    <x:row r="1537">
      <x:c r="A1537" s="15" t="n">
        <x:v>40940</x:v>
      </x:c>
      <x:c r="B1537" s="13" t="str">
        <x:v>ROSSI RESIDENCIAL SA</x:v>
      </x:c>
      <x:c r="C1537" s="16" t="n">
        <x:v>467.9057299288</x:v>
      </x:c>
      <x:c r="D1537" s="13" t="str">
        <x:v>Homebuilders</x:v>
      </x:c>
      <x:c r="E1537" s="13" t="str">
        <x:v>Real Estate</x:v>
      </x:c>
      <x:c r="F1537" s="13" t="str">
        <x:v>Early Cyclicals</x:v>
      </x:c>
      <x:c r="G1537" s="13" t="str">
        <x:v>grid_wekqfxnd.xlsx</x:v>
      </x:c>
    </x:row>
    <x:row r="1538">
      <x:c r="A1538" s="15" t="n">
        <x:v>40940</x:v>
      </x:c>
      <x:c r="B1538" s="13" t="str">
        <x:v>TEGRA INCORPORADORA SA</x:v>
      </x:c>
      <x:c r="C1538" s="16" t="n">
        <x:v>444.7055370521</x:v>
      </x:c>
      <x:c r="D1538" s="13" t="str">
        <x:v>Homebuilders</x:v>
      </x:c>
      <x:c r="E1538" s="13" t="str">
        <x:v>Real Estate</x:v>
      </x:c>
      <x:c r="F1538" s="13" t="str">
        <x:v>Early Cyclicals</x:v>
      </x:c>
      <x:c r="G1538" s="13" t="str">
        <x:v>grid_wekqfxnd.xlsx</x:v>
      </x:c>
    </x:row>
    <x:row r="1539">
      <x:c r="A1539" s="15" t="n">
        <x:v>40940</x:v>
      </x:c>
      <x:c r="B1539" s="13" t="str">
        <x:v>BR MALLS PARTICIPACOES SA</x:v>
      </x:c>
      <x:c r="C1539" s="16" t="n">
        <x:v>495.145517589</x:v>
      </x:c>
      <x:c r="D1539" s="13" t="str">
        <x:v>Income Properties</x:v>
      </x:c>
      <x:c r="E1539" s="13" t="str">
        <x:v>Real Estate</x:v>
      </x:c>
      <x:c r="F1539" s="13" t="str">
        <x:v>Early Cyclicals</x:v>
      </x:c>
      <x:c r="G1539" s="13" t="str">
        <x:v>grid_wekqfxnd.xlsx</x:v>
      </x:c>
    </x:row>
    <x:row r="1540">
      <x:c r="A1540" s="15" t="n">
        <x:v>40940</x:v>
      </x:c>
      <x:c r="B1540" s="13" t="str">
        <x:v>BRADESPAR SA -PREF</x:v>
      </x:c>
      <x:c r="C1540" s="16" t="n">
        <x:v>2182.1247039123</x:v>
      </x:c>
      <x:c r="D1540" s="13" t="str">
        <x:v>Metals &amp; Mining</x:v>
      </x:c>
      <x:c r="E1540" s="13" t="str">
        <x:v>Metals &amp; Mining</x:v>
      </x:c>
      <x:c r="F1540" s="13" t="str">
        <x:v>Deep Cyclicals</x:v>
      </x:c>
      <x:c r="G1540" s="13" t="str">
        <x:v>grid_wekqfxnd.xlsx</x:v>
      </x:c>
    </x:row>
    <x:row r="1541">
      <x:c r="A1541" s="15" t="n">
        <x:v>40940</x:v>
      </x:c>
      <x:c r="B1541" s="13" t="str">
        <x:v>CIA SIDERURGICA NACIONAL SA</x:v>
      </x:c>
      <x:c r="C1541" s="16" t="n">
        <x:v>2548.3035037808</x:v>
      </x:c>
      <x:c r="D1541" s="13" t="str">
        <x:v>Metals &amp; Mining</x:v>
      </x:c>
      <x:c r="E1541" s="13" t="str">
        <x:v>Metals &amp; Mining</x:v>
      </x:c>
      <x:c r="F1541" s="13" t="str">
        <x:v>Deep Cyclicals</x:v>
      </x:c>
      <x:c r="G1541" s="13" t="str">
        <x:v>grid_wekqfxnd.xlsx</x:v>
      </x:c>
    </x:row>
    <x:row r="1542">
      <x:c r="A1542" s="15" t="n">
        <x:v>40940</x:v>
      </x:c>
      <x:c r="B1542" s="13" t="str">
        <x:v>GERDAU SA-PREF</x:v>
      </x:c>
      <x:c r="C1542" s="16" t="n">
        <x:v>2484.4477706521</x:v>
      </x:c>
      <x:c r="D1542" s="13" t="str">
        <x:v>Metals &amp; Mining</x:v>
      </x:c>
      <x:c r="E1542" s="13" t="str">
        <x:v>Metals &amp; Mining</x:v>
      </x:c>
      <x:c r="F1542" s="13" t="str">
        <x:v>Deep Cyclicals</x:v>
      </x:c>
      <x:c r="G1542" s="13" t="str">
        <x:v>grid_wekqfxnd.xlsx</x:v>
      </x:c>
    </x:row>
    <x:row r="1543">
      <x:c r="A1543" s="15" t="n">
        <x:v>40940</x:v>
      </x:c>
      <x:c r="B1543" s="13" t="str">
        <x:v>METALURGICA GERDAU SA-PREF</x:v>
      </x:c>
      <x:c r="C1543" s="16" t="n">
        <x:v>1005.8848943343</x:v>
      </x:c>
      <x:c r="D1543" s="13" t="str">
        <x:v>Metals &amp; Mining</x:v>
      </x:c>
      <x:c r="E1543" s="13" t="str">
        <x:v>Metals &amp; Mining</x:v>
      </x:c>
      <x:c r="F1543" s="13" t="str">
        <x:v>Deep Cyclicals</x:v>
      </x:c>
      <x:c r="G1543" s="13" t="str">
        <x:v>grid_wekqfxnd.xlsx</x:v>
      </x:c>
    </x:row>
    <x:row r="1544">
      <x:c r="A1544" s="15" t="n">
        <x:v>40940</x:v>
      </x:c>
      <x:c r="B1544" s="13" t="str">
        <x:v>MMX MINERACAO E METALICOS SA</x:v>
      </x:c>
      <x:c r="C1544" s="16" t="n">
        <x:v>184.1668261699</x:v>
      </x:c>
      <x:c r="D1544" s="13" t="str">
        <x:v>Metals &amp; Mining</x:v>
      </x:c>
      <x:c r="E1544" s="13" t="str">
        <x:v>Metals &amp; Mining</x:v>
      </x:c>
      <x:c r="F1544" s="13" t="str">
        <x:v>Deep Cyclicals</x:v>
      </x:c>
      <x:c r="G1544" s="13" t="str">
        <x:v>grid_wekqfxnd.xlsx</x:v>
      </x:c>
    </x:row>
    <x:row r="1545">
      <x:c r="A1545" s="15" t="n">
        <x:v>40940</x:v>
      </x:c>
      <x:c r="B1545" s="13" t="str">
        <x:v>USINAS SIDER MINAS GER-PF A</x:v>
      </x:c>
      <x:c r="C1545" s="16" t="n">
        <x:v>499.0435531397</x:v>
      </x:c>
      <x:c r="D1545" s="13" t="str">
        <x:v>Metals &amp; Mining</x:v>
      </x:c>
      <x:c r="E1545" s="13" t="str">
        <x:v>Metals &amp; Mining</x:v>
      </x:c>
      <x:c r="F1545" s="13" t="str">
        <x:v>Deep Cyclicals</x:v>
      </x:c>
      <x:c r="G1545" s="13" t="str">
        <x:v>grid_wekqfxnd.xlsx</x:v>
      </x:c>
    </x:row>
    <x:row r="1546">
      <x:c r="A1546" s="15" t="n">
        <x:v>40940</x:v>
      </x:c>
      <x:c r="B1546" s="13" t="str">
        <x:v>USINAS SIDERURGICAS DE MINAS</x:v>
      </x:c>
      <x:c r="C1546" s="16" t="n">
        <x:v>499.0435531397</x:v>
      </x:c>
      <x:c r="D1546" s="13" t="str">
        <x:v>Metals &amp; Mining</x:v>
      </x:c>
      <x:c r="E1546" s="13" t="str">
        <x:v>Metals &amp; Mining</x:v>
      </x:c>
      <x:c r="F1546" s="13" t="str">
        <x:v>Deep Cyclicals</x:v>
      </x:c>
      <x:c r="G1546" s="13" t="str">
        <x:v>grid_wekqfxnd.xlsx</x:v>
      </x:c>
    </x:row>
    <x:row r="1547">
      <x:c r="A1547" s="15" t="n">
        <x:v>40940</x:v>
      </x:c>
      <x:c r="B1547" s="13" t="str">
        <x:v>VALE SA</x:v>
      </x:c>
      <x:c r="C1547" s="16" t="n">
        <x:v>34143.5612622904</x:v>
      </x:c>
      <x:c r="D1547" s="13" t="str">
        <x:v>Metals &amp; Mining</x:v>
      </x:c>
      <x:c r="E1547" s="13" t="str">
        <x:v>Metals &amp; Mining</x:v>
      </x:c>
      <x:c r="F1547" s="13" t="str">
        <x:v>Deep Cyclicals</x:v>
      </x:c>
      <x:c r="G1547" s="13" t="str">
        <x:v>grid_wekqfxnd.xlsx</x:v>
      </x:c>
    </x:row>
    <x:row r="1548">
      <x:c r="A1548" s="15" t="n">
        <x:v>40940</x:v>
      </x:c>
      <x:c r="B1548" s="13" t="str">
        <x:v>BRASKEM SA-PREF A</x:v>
      </x:c>
      <x:c r="C1548" s="16" t="n">
        <x:v>939.4801728877</x:v>
      </x:c>
      <x:c r="D1548" s="13" t="str">
        <x:v>Oil, Gas &amp; Petrochemicals</x:v>
      </x:c>
      <x:c r="E1548" s="13" t="str">
        <x:v>Oil, Gas &amp; Petrochemicals</x:v>
      </x:c>
      <x:c r="F1548" s="13" t="str">
        <x:v>Deep Cyclicals</x:v>
      </x:c>
      <x:c r="G1548" s="13" t="str">
        <x:v>grid_wekqfxnd.xlsx</x:v>
      </x:c>
    </x:row>
    <x:row r="1549">
      <x:c r="A1549" s="15" t="n">
        <x:v>40940</x:v>
      </x:c>
      <x:c r="B1549" s="13" t="str">
        <x:v>COSAN SA</x:v>
      </x:c>
      <x:c r="C1549" s="16" t="n">
        <x:v>521.6646219</x:v>
      </x:c>
      <x:c r="D1549" s="13" t="str">
        <x:v>Oil, Gas &amp; Petrochemicals</x:v>
      </x:c>
      <x:c r="E1549" s="13" t="str">
        <x:v>Oil, Gas &amp; Petrochemicals</x:v>
      </x:c>
      <x:c r="F1549" s="13" t="str">
        <x:v>Deep Cyclicals</x:v>
      </x:c>
      <x:c r="G1549" s="13" t="str">
        <x:v>grid_wekqfxnd.xlsx</x:v>
      </x:c>
    </x:row>
    <x:row r="1550">
      <x:c r="A1550" s="15" t="n">
        <x:v>40940</x:v>
      </x:c>
      <x:c r="B1550" s="13" t="str">
        <x:v>OLEO E GAS PARTICIPACOES SA</x:v>
      </x:c>
      <x:c r="C1550" s="16" t="n">
        <x:v>780.1160177973</x:v>
      </x:c>
      <x:c r="D1550" s="13" t="str">
        <x:v>Oil, Gas &amp; Petrochemicals</x:v>
      </x:c>
      <x:c r="E1550" s="13" t="str">
        <x:v>Oil, Gas &amp; Petrochemicals</x:v>
      </x:c>
      <x:c r="F1550" s="13" t="str">
        <x:v>Deep Cyclicals</x:v>
      </x:c>
      <x:c r="G1550" s="13" t="str">
        <x:v>grid_wekqfxnd.xlsx</x:v>
      </x:c>
    </x:row>
    <x:row r="1551">
      <x:c r="A1551" s="15" t="n">
        <x:v>40940</x:v>
      </x:c>
      <x:c r="B1551" s="13" t="str">
        <x:v>PETROBRAS - PETROLEO BRAS</x:v>
      </x:c>
      <x:c r="C1551" s="16" t="n">
        <x:v>37644.5062999671</x:v>
      </x:c>
      <x:c r="D1551" s="13" t="str">
        <x:v>Oil, Gas &amp; Petrochemicals</x:v>
      </x:c>
      <x:c r="E1551" s="13" t="str">
        <x:v>Oil, Gas &amp; Petrochemicals</x:v>
      </x:c>
      <x:c r="F1551" s="13" t="str">
        <x:v>Deep Cyclicals</x:v>
      </x:c>
      <x:c r="G1551" s="13" t="str">
        <x:v>grid_wekqfxnd.xlsx</x:v>
      </x:c>
    </x:row>
    <x:row r="1552">
      <x:c r="A1552" s="15" t="n">
        <x:v>40940</x:v>
      </x:c>
      <x:c r="B1552" s="13" t="str">
        <x:v>ULTRAPAR PARTICIPACOES SA</x:v>
      </x:c>
      <x:c r="C1552" s="16" t="n">
        <x:v>1003.800082937</x:v>
      </x:c>
      <x:c r="D1552" s="13" t="str">
        <x:v>Oil, Gas &amp; Petrochemicals</x:v>
      </x:c>
      <x:c r="E1552" s="13" t="str">
        <x:v>Oil, Gas &amp; Petrochemicals</x:v>
      </x:c>
      <x:c r="F1552" s="13" t="str">
        <x:v>Deep Cyclicals</x:v>
      </x:c>
      <x:c r="G1552" s="13" t="str">
        <x:v>grid_wekqfxnd.xlsx</x:v>
      </x:c>
    </x:row>
    <x:row r="1553">
      <x:c r="A1553" s="15" t="n">
        <x:v>40940</x:v>
      </x:c>
      <x:c r="B1553" s="13" t="str">
        <x:v>DEXCO SA</x:v>
      </x:c>
      <x:c r="C1553" s="16" t="n">
        <x:v>408.1773382137</x:v>
      </x:c>
      <x:c r="D1553" s="13" t="str">
        <x:v>Pulp &amp; Paper</x:v>
      </x:c>
      <x:c r="E1553" s="13" t="str">
        <x:v>Pulp &amp; Paper</x:v>
      </x:c>
      <x:c r="F1553" s="13" t="str">
        <x:v>Deep Cyclicals</x:v>
      </x:c>
      <x:c r="G1553" s="13" t="str">
        <x:v>grid_wekqfxnd.xlsx</x:v>
      </x:c>
    </x:row>
    <x:row r="1554">
      <x:c r="A1554" s="15" t="n">
        <x:v>40940</x:v>
      </x:c>
      <x:c r="B1554" s="13" t="str">
        <x:v>FIBRIA CELULOSE S/A</x:v>
      </x:c>
      <x:c r="C1554" s="16" t="n">
        <x:v>-147.0763945205</x:v>
      </x:c>
      <x:c r="D1554" s="13" t="str">
        <x:v>Pulp &amp; Paper</x:v>
      </x:c>
      <x:c r="E1554" s="13" t="str">
        <x:v>Pulp &amp; Paper</x:v>
      </x:c>
      <x:c r="F1554" s="13" t="str">
        <x:v>Deep Cyclicals</x:v>
      </x:c>
      <x:c r="G1554" s="13" t="str">
        <x:v>grid_wekqfxnd.xlsx</x:v>
      </x:c>
    </x:row>
    <x:row r="1555">
      <x:c r="A1555" s="15" t="n">
        <x:v>40940</x:v>
      </x:c>
      <x:c r="B1555" s="13" t="str">
        <x:v>AMERICANAS SA</x:v>
      </x:c>
      <x:c r="C1555" s="16" t="n">
        <x:v>56.8620142466</x:v>
      </x:c>
      <x:c r="D1555" s="13" t="str">
        <x:v>Retail</x:v>
      </x:c>
      <x:c r="E1555" s="13" t="str">
        <x:v>Retail</x:v>
      </x:c>
      <x:c r="F1555" s="13" t="str">
        <x:v>Early Cyclicals</x:v>
      </x:c>
      <x:c r="G1555" s="13" t="str">
        <x:v>grid_wekqfxnd.xlsx</x:v>
      </x:c>
    </x:row>
    <x:row r="1556">
      <x:c r="A1556" s="15" t="n">
        <x:v>40940</x:v>
      </x:c>
      <x:c r="B1556" s="13" t="str">
        <x:v>CIA BRASILEIRA DE DIS-PREF</x:v>
      </x:c>
      <x:c r="C1556" s="16" t="n">
        <x:v>1049.3424089425</x:v>
      </x:c>
      <x:c r="D1556" s="13" t="str">
        <x:v>Retail</x:v>
      </x:c>
      <x:c r="E1556" s="13" t="str">
        <x:v>Retail</x:v>
      </x:c>
      <x:c r="F1556" s="13" t="str">
        <x:v>Early Cyclicals</x:v>
      </x:c>
      <x:c r="G1556" s="13" t="str">
        <x:v>grid_wekqfxnd.xlsx</x:v>
      </x:c>
    </x:row>
    <x:row r="1557">
      <x:c r="A1557" s="15" t="n">
        <x:v>40940</x:v>
      </x:c>
      <x:c r="B1557" s="13" t="str">
        <x:v>CIA HERING</x:v>
      </x:c>
      <x:c r="C1557" s="16" t="n">
        <x:v>379.8810958904</x:v>
      </x:c>
      <x:c r="D1557" s="13" t="str">
        <x:v>Retail</x:v>
      </x:c>
      <x:c r="E1557" s="13" t="str">
        <x:v>Retail</x:v>
      </x:c>
      <x:c r="F1557" s="13" t="str">
        <x:v>Early Cyclicals</x:v>
      </x:c>
      <x:c r="G1557" s="13" t="str">
        <x:v>grid_wekqfxnd.xlsx</x:v>
      </x:c>
    </x:row>
    <x:row r="1558">
      <x:c r="A1558" s="15" t="n">
        <x:v>40940</x:v>
      </x:c>
      <x:c r="B1558" s="13" t="str">
        <x:v>LOJAS AMERICANAS SA-PREF</x:v>
      </x:c>
      <x:c r="C1558" s="16" t="n">
        <x:v>509.1628959562</x:v>
      </x:c>
      <x:c r="D1558" s="13" t="str">
        <x:v>Retail</x:v>
      </x:c>
      <x:c r="E1558" s="13" t="str">
        <x:v>Retail</x:v>
      </x:c>
      <x:c r="F1558" s="13" t="str">
        <x:v>Early Cyclicals</x:v>
      </x:c>
      <x:c r="G1558" s="13" t="str">
        <x:v>grid_wekqfxnd.xlsx</x:v>
      </x:c>
    </x:row>
    <x:row r="1559">
      <x:c r="A1559" s="15" t="n">
        <x:v>40940</x:v>
      </x:c>
      <x:c r="B1559" s="13" t="str">
        <x:v>LOJAS RENNER S.A.</x:v>
      </x:c>
      <x:c r="C1559" s="16" t="n">
        <x:v>408.5455873753</x:v>
      </x:c>
      <x:c r="D1559" s="13" t="str">
        <x:v>Retail</x:v>
      </x:c>
      <x:c r="E1559" s="13" t="str">
        <x:v>Retail</x:v>
      </x:c>
      <x:c r="F1559" s="13" t="str">
        <x:v>Early Cyclicals</x:v>
      </x:c>
      <x:c r="G1559" s="13" t="str">
        <x:v>grid_wekqfxnd.xlsx</x:v>
      </x:c>
    </x:row>
    <x:row r="1560">
      <x:c r="A1560" s="15" t="n">
        <x:v>40940</x:v>
      </x:c>
      <x:c r="B1560" s="13" t="str">
        <x:v>NATURA COSMETICOS SA</x:v>
      </x:c>
      <x:c r="C1560" s="16" t="n">
        <x:v>890.356351474</x:v>
      </x:c>
      <x:c r="D1560" s="13" t="str">
        <x:v>Retail</x:v>
      </x:c>
      <x:c r="E1560" s="13" t="str">
        <x:v>Retail</x:v>
      </x:c>
      <x:c r="F1560" s="13" t="str">
        <x:v>Early Cyclicals</x:v>
      </x:c>
      <x:c r="G1560" s="13" t="str">
        <x:v>grid_wekqfxnd.xlsx</x:v>
      </x:c>
    </x:row>
    <x:row r="1561">
      <x:c r="A1561" s="15" t="n">
        <x:v>40940</x:v>
      </x:c>
      <x:c r="B1561" s="13" t="str">
        <x:v>CIA SANEAMENTO BASICO DE SP</x:v>
      </x:c>
      <x:c r="C1561" s="16" t="n">
        <x:v>1630.0933895014</x:v>
      </x:c>
      <x:c r="D1561" s="13" t="str">
        <x:v>Sanitation</x:v>
      </x:c>
      <x:c r="E1561" s="13" t="str">
        <x:v>Utilities</x:v>
      </x:c>
      <x:c r="F1561" s="13" t="str">
        <x:v>Defensives</x:v>
      </x:c>
      <x:c r="G1561" s="13" t="str">
        <x:v>grid_wekqfxnd.xlsx</x:v>
      </x:c>
    </x:row>
    <x:row r="1562">
      <x:c r="A1562" s="15" t="n">
        <x:v>40940</x:v>
      </x:c>
      <x:c r="B1562" s="13" t="str">
        <x:v>OI SA-PREFERENCE</x:v>
      </x:c>
      <x:c r="C1562" s="16" t="n">
        <x:v>1210.5506745863</x:v>
      </x:c>
      <x:c r="D1562" s="13" t="str">
        <x:v>TMT</x:v>
      </x:c>
      <x:c r="E1562" s="13" t="str">
        <x:v>TMT</x:v>
      </x:c>
      <x:c r="F1562" s="13" t="str">
        <x:v>Early Cyclicals</x:v>
      </x:c>
      <x:c r="G1562" s="13" t="str">
        <x:v>grid_wekqfxnd.xlsx</x:v>
      </x:c>
    </x:row>
    <x:row r="1563">
      <x:c r="A1563" s="15" t="n">
        <x:v>40940</x:v>
      </x:c>
      <x:c r="B1563" s="13" t="str">
        <x:v>TELE NORTE LESTE PART</x:v>
      </x:c>
      <x:c r="C1563" s="16" t="n">
        <x:v>877.9684083726</x:v>
      </x:c>
      <x:c r="D1563" s="13" t="str">
        <x:v>TMT</x:v>
      </x:c>
      <x:c r="E1563" s="13" t="str">
        <x:v>TMT</x:v>
      </x:c>
      <x:c r="F1563" s="13" t="str">
        <x:v>Early Cyclicals</x:v>
      </x:c>
      <x:c r="G1563" s="13" t="str">
        <x:v>grid_wekqfxnd.xlsx</x:v>
      </x:c>
    </x:row>
    <x:row r="1564">
      <x:c r="A1564" s="15" t="n">
        <x:v>40940</x:v>
      </x:c>
      <x:c r="B1564" s="13" t="str">
        <x:v>TELEFONICA BRASIL S.A.-PREF</x:v>
      </x:c>
      <x:c r="C1564" s="16" t="n">
        <x:v>5252.1723399014</x:v>
      </x:c>
      <x:c r="D1564" s="13" t="str">
        <x:v>TMT</x:v>
      </x:c>
      <x:c r="E1564" s="13" t="str">
        <x:v>TMT</x:v>
      </x:c>
      <x:c r="F1564" s="13" t="str">
        <x:v>Early Cyclicals</x:v>
      </x:c>
      <x:c r="G1564" s="13" t="str">
        <x:v>grid_wekqfxnd.xlsx</x:v>
      </x:c>
    </x:row>
    <x:row r="1565">
      <x:c r="A1565" s="15" t="n">
        <x:v>40940</x:v>
      </x:c>
      <x:c r="B1565" s="13" t="str">
        <x:v>TELEMAR NORTE LESTE SA</x:v>
      </x:c>
      <x:c r="C1565" s="16" t="n">
        <x:v>1148.1233022247</x:v>
      </x:c>
      <x:c r="D1565" s="13" t="str">
        <x:v>TMT</x:v>
      </x:c>
      <x:c r="E1565" s="13" t="str">
        <x:v>TMT</x:v>
      </x:c>
      <x:c r="F1565" s="13" t="str">
        <x:v>Early Cyclicals</x:v>
      </x:c>
      <x:c r="G1565" s="13" t="str">
        <x:v>grid_wekqfxnd.xlsx</x:v>
      </x:c>
    </x:row>
    <x:row r="1566">
      <x:c r="A1566" s="15" t="n">
        <x:v>40940</x:v>
      </x:c>
      <x:c r="B1566" s="13" t="str">
        <x:v>TIM SA</x:v>
      </x:c>
      <x:c r="C1566" s="16" t="n">
        <x:v>1684.9426239123</x:v>
      </x:c>
      <x:c r="D1566" s="13" t="str">
        <x:v>TMT</x:v>
      </x:c>
      <x:c r="E1566" s="13" t="str">
        <x:v>TMT</x:v>
      </x:c>
      <x:c r="F1566" s="13" t="str">
        <x:v>Early Cyclicals</x:v>
      </x:c>
      <x:c r="G1566" s="13" t="str">
        <x:v>grid_wekqfxnd.xlsx</x:v>
      </x:c>
    </x:row>
    <x:row r="1567">
      <x:c r="A1567" s="15" t="n">
        <x:v>40940</x:v>
      </x:c>
      <x:c r="B1567" s="13" t="str">
        <x:v>GOL LINHAS AEREAS INT SA-PRE</x:v>
      </x:c>
      <x:c r="C1567" s="16" t="n">
        <x:v>147.1753822685</x:v>
      </x:c>
      <x:c r="D1567" s="13" t="str">
        <x:v>Transportation</x:v>
      </x:c>
      <x:c r="E1567" s="13" t="str">
        <x:v>Transportation</x:v>
      </x:c>
      <x:c r="F1567" s="13" t="str">
        <x:v>Deep Cyclicals</x:v>
      </x:c>
      <x:c r="G1567" s="13" t="str">
        <x:v>grid_wekqfxnd.xlsx</x:v>
      </x:c>
    </x:row>
    <x:row r="1568">
      <x:c r="A1568" s="15" t="n">
        <x:v>40940</x:v>
      </x:c>
      <x:c r="B1568" s="13" t="str">
        <x:v>LOCALIZA RENT A CAR</x:v>
      </x:c>
      <x:c r="C1568" s="16" t="n">
        <x:v>367.3784490959</x:v>
      </x:c>
      <x:c r="D1568" s="13" t="str">
        <x:v>Transportation</x:v>
      </x:c>
      <x:c r="E1568" s="13" t="str">
        <x:v>Transportation</x:v>
      </x:c>
      <x:c r="F1568" s="13" t="str">
        <x:v>Deep Cyclicals</x:v>
      </x:c>
      <x:c r="G1568" s="13" t="str">
        <x:v>grid_wekqfxnd.xlsx</x:v>
      </x:c>
    </x:row>
    <x:row r="1569">
      <x:c r="A1569" s="15" t="n">
        <x:v>40940</x:v>
      </x:c>
      <x:c r="B1569" s="13" t="str">
        <x:v>MOTIVA INFRAESTRUTURA DE MOB</x:v>
      </x:c>
      <x:c r="C1569" s="16" t="n">
        <x:v>1328.4371196493</x:v>
      </x:c>
      <x:c r="D1569" s="13" t="str">
        <x:v>Transportation</x:v>
      </x:c>
      <x:c r="E1569" s="13" t="str">
        <x:v>Transportation</x:v>
      </x:c>
      <x:c r="F1569" s="13" t="str">
        <x:v>Deep Cyclicals</x:v>
      </x:c>
      <x:c r="G1569" s="13" t="str">
        <x:v>grid_wekqfxnd.xlsx</x:v>
      </x:c>
    </x:row>
    <x:row r="1570">
      <x:c r="A1570" s="15" t="n">
        <x:v>40940</x:v>
      </x:c>
      <x:c r="B1570" s="13" t="str">
        <x:v>PRUMO LOGISTICA SA</x:v>
      </x:c>
      <x:c r="C1570" s="16" t="n">
        <x:v>-111.3122136986</x:v>
      </x:c>
      <x:c r="D1570" s="13" t="str">
        <x:v>Transportation</x:v>
      </x:c>
      <x:c r="E1570" s="13" t="str">
        <x:v>Transportation</x:v>
      </x:c>
      <x:c r="F1570" s="13" t="str">
        <x:v>Deep Cyclicals</x:v>
      </x:c>
      <x:c r="G1570" s="13" t="str">
        <x:v>grid_wekqfxnd.xlsx</x:v>
      </x:c>
    </x:row>
    <x:row r="1571">
      <x:c r="A1571" s="15" t="n">
        <x:v>40940</x:v>
      </x:c>
      <x:c r="B1571" s="13" t="str">
        <x:v>RUMO SA</x:v>
      </x:c>
      <x:c r="C1571" s="16" t="n">
        <x:v>355.3863013699</x:v>
      </x:c>
      <x:c r="D1571" s="13" t="str">
        <x:v>Transportation</x:v>
      </x:c>
      <x:c r="E1571" s="13" t="str">
        <x:v>Transportation</x:v>
      </x:c>
      <x:c r="F1571" s="13" t="str">
        <x:v>Deep Cyclicals</x:v>
      </x:c>
      <x:c r="G1571" s="13" t="str">
        <x:v>grid_wekqfxnd.xlsx</x:v>
      </x:c>
    </x:row>
    <x:row r="1572">
      <x:c r="A1572" s="15" t="n">
        <x:v>40940</x:v>
      </x:c>
      <x:c r="B1572" s="13" t="str">
        <x:v>TAM SA-PREF</x:v>
      </x:c>
      <x:c r="C1572" s="16" t="n">
        <x:v>265.9122589808</x:v>
      </x:c>
      <x:c r="D1572" s="13" t="str">
        <x:v>Transportation</x:v>
      </x:c>
      <x:c r="E1572" s="13" t="str">
        <x:v>Transportation</x:v>
      </x:c>
      <x:c r="F1572" s="13" t="str">
        <x:v>Deep Cyclicals</x:v>
      </x:c>
      <x:c r="G1572" s="13" t="str">
        <x:v>grid_wekqfxnd.xlsx</x:v>
      </x:c>
    </x:row>
    <x:row r="1573">
      <x:c r="A1573" s="15" t="n">
        <x:v>40940</x:v>
      </x:c>
      <x:c r="B1573" s="13" t="str">
        <x:v>AXIA ENERGIA SA</x:v>
      </x:c>
      <x:c r="C1573" s="16" t="n">
        <x:v>3777.6093254137</x:v>
      </x:c>
      <x:c r="D1573" s="13" t="str">
        <x:v>Utilities &amp; Energy</x:v>
      </x:c>
      <x:c r="E1573" s="13" t="str">
        <x:v>Utilities</x:v>
      </x:c>
      <x:c r="F1573" s="13" t="str">
        <x:v>Defensives</x:v>
      </x:c>
      <x:c r="G1573" s="13" t="str">
        <x:v>grid_wekqfxnd.xlsx</x:v>
      </x:c>
    </x:row>
    <x:row r="1574">
      <x:c r="A1574" s="15" t="n">
        <x:v>40940</x:v>
      </x:c>
      <x:c r="B1574" s="13" t="str">
        <x:v>AXIA ENERGIA-PR B</x:v>
      </x:c>
      <x:c r="C1574" s="16" t="n">
        <x:v>3777.6093254137</x:v>
      </x:c>
      <x:c r="D1574" s="13" t="str">
        <x:v>Utilities &amp; Energy</x:v>
      </x:c>
      <x:c r="E1574" s="13" t="str">
        <x:v>Utilities</x:v>
      </x:c>
      <x:c r="F1574" s="13" t="str">
        <x:v>Defensives</x:v>
      </x:c>
      <x:c r="G1574" s="13" t="str">
        <x:v>grid_wekqfxnd.xlsx</x:v>
      </x:c>
    </x:row>
    <x:row r="1575">
      <x:c r="A1575" s="15" t="n">
        <x:v>40940</x:v>
      </x:c>
      <x:c r="B1575" s="13" t="str">
        <x:v>CESP - CIA ENERGETICA DE SAO</x:v>
      </x:c>
      <x:c r="C1575" s="16" t="n">
        <x:v>647.7835660274</x:v>
      </x:c>
      <x:c r="D1575" s="13" t="str">
        <x:v>Utilities &amp; Energy</x:v>
      </x:c>
      <x:c r="E1575" s="13" t="str">
        <x:v>Utilities</x:v>
      </x:c>
      <x:c r="F1575" s="13" t="str">
        <x:v>Defensives</x:v>
      </x:c>
      <x:c r="G1575" s="13" t="str">
        <x:v>grid_wekqfxnd.xlsx</x:v>
      </x:c>
    </x:row>
    <x:row r="1576">
      <x:c r="A1576" s="15" t="n">
        <x:v>40940</x:v>
      </x:c>
      <x:c r="B1576" s="13" t="str">
        <x:v>CIA ENERGETICA MINAS GER-PRF</x:v>
      </x:c>
      <x:c r="C1576" s="16" t="n">
        <x:v>2573.0896685589</x:v>
      </x:c>
      <x:c r="D1576" s="13" t="str">
        <x:v>Utilities &amp; Energy</x:v>
      </x:c>
      <x:c r="E1576" s="13" t="str">
        <x:v>Utilities</x:v>
      </x:c>
      <x:c r="F1576" s="13" t="str">
        <x:v>Defensives</x:v>
      </x:c>
      <x:c r="G1576" s="13" t="str">
        <x:v>grid_wekqfxnd.xlsx</x:v>
      </x:c>
    </x:row>
    <x:row r="1577">
      <x:c r="A1577" s="15" t="n">
        <x:v>40940</x:v>
      </x:c>
      <x:c r="B1577" s="13" t="str">
        <x:v>COMPANHIA PARANAENSE -PREF B</x:v>
      </x:c>
      <x:c r="C1577" s="16" t="n">
        <x:v>1235.3506994849</x:v>
      </x:c>
      <x:c r="D1577" s="13" t="str">
        <x:v>Utilities &amp; Energy</x:v>
      </x:c>
      <x:c r="E1577" s="13" t="str">
        <x:v>Utilities</x:v>
      </x:c>
      <x:c r="F1577" s="13" t="str">
        <x:v>Defensives</x:v>
      </x:c>
      <x:c r="G1577" s="13" t="str">
        <x:v>grid_wekqfxnd.xlsx</x:v>
      </x:c>
    </x:row>
    <x:row r="1578">
      <x:c r="A1578" s="15" t="n">
        <x:v>40940</x:v>
      </x:c>
      <x:c r="B1578" s="13" t="str">
        <x:v>CPFL ENERGIA SA</x:v>
      </x:c>
      <x:c r="C1578" s="16" t="n">
        <x:v>1548.3683629589</x:v>
      </x:c>
      <x:c r="D1578" s="13" t="str">
        <x:v>Utilities &amp; Energy</x:v>
      </x:c>
      <x:c r="E1578" s="13" t="str">
        <x:v>Utilities</x:v>
      </x:c>
      <x:c r="F1578" s="13" t="str">
        <x:v>Defensives</x:v>
      </x:c>
      <x:c r="G1578" s="13" t="str">
        <x:v>grid_wekqfxnd.xlsx</x:v>
      </x:c>
    </x:row>
    <x:row r="1579">
      <x:c r="A1579" s="15" t="n">
        <x:v>40940</x:v>
      </x:c>
      <x:c r="B1579" s="13" t="str">
        <x:v>ELETROPAULO METROPOLI-PREF</x:v>
      </x:c>
      <x:c r="C1579" s="16" t="n">
        <x:v>480.4358672658</x:v>
      </x:c>
      <x:c r="D1579" s="13" t="str">
        <x:v>Utilities &amp; Energy</x:v>
      </x:c>
      <x:c r="E1579" s="13" t="str">
        <x:v>Utilities</x:v>
      </x:c>
      <x:c r="F1579" s="13" t="str">
        <x:v>Defensives</x:v>
      </x:c>
      <x:c r="G1579" s="13" t="str">
        <x:v>grid_wekqfxnd.xlsx</x:v>
      </x:c>
    </x:row>
    <x:row r="1580">
      <x:c r="A1580" s="15" t="n">
        <x:v>40940</x:v>
      </x:c>
      <x:c r="B1580" s="13" t="str">
        <x:v>ISA ENERGIA BRASIL SA</x:v>
      </x:c>
      <x:c r="C1580" s="16" t="n">
        <x:v>1038.1824760986</x:v>
      </x:c>
      <x:c r="D1580" s="13" t="str">
        <x:v>Utilities &amp; Energy</x:v>
      </x:c>
      <x:c r="E1580" s="13" t="str">
        <x:v>Utilities</x:v>
      </x:c>
      <x:c r="F1580" s="13" t="str">
        <x:v>Defensives</x:v>
      </x:c>
      <x:c r="G1580" s="13" t="str">
        <x:v>grid_wekqfxnd.xlsx</x:v>
      </x:c>
    </x:row>
    <x:row r="1581">
      <x:c r="A1581" s="15" t="n">
        <x:v>40940</x:v>
      </x:c>
      <x:c r="B1581" s="13" t="str">
        <x:v>LIGHT SA</x:v>
      </x:c>
      <x:c r="C1581" s="16" t="n">
        <x:v>560.9520080658</x:v>
      </x:c>
      <x:c r="D1581" s="13" t="str">
        <x:v>Utilities &amp; Energy</x:v>
      </x:c>
      <x:c r="E1581" s="13" t="str">
        <x:v>Utilities</x:v>
      </x:c>
      <x:c r="F1581" s="13" t="str">
        <x:v>Defensives</x:v>
      </x:c>
      <x:c r="G1581" s="13" t="str">
        <x:v>grid_wekqfxnd.xlsx</x:v>
      </x:c>
    </x:row>
    <x:row r="1582">
      <x:c r="A1582" s="15" t="n">
        <x:v>40969</x:v>
      </x:c>
      <x:c r="B1582" s="13" t="str">
        <x:v>BANCO BRADESCO SA-PREF</x:v>
      </x:c>
      <x:c r="C1582" s="16" t="n">
        <x:v>12506.9214986521</x:v>
      </x:c>
      <x:c r="D1582" s="13" t="str">
        <x:v>Banks</x:v>
      </x:c>
      <x:c r="E1582" s="13" t="str">
        <x:v>Banks</x:v>
      </x:c>
      <x:c r="F1582" s="13" t="str">
        <x:v>Financials</x:v>
      </x:c>
      <x:c r="G1582" s="13" t="str">
        <x:v>grid_wekqfxnd.xlsx</x:v>
      </x:c>
    </x:row>
    <x:row r="1583">
      <x:c r="A1583" s="15" t="n">
        <x:v>40969</x:v>
      </x:c>
      <x:c r="B1583" s="13" t="str">
        <x:v>BANCO DO BRASIL S.A.</x:v>
      </x:c>
      <x:c r="C1583" s="16" t="n">
        <x:v>12288.1128251616</x:v>
      </x:c>
      <x:c r="D1583" s="13" t="str">
        <x:v>Banks</x:v>
      </x:c>
      <x:c r="E1583" s="13" t="str">
        <x:v>Banks</x:v>
      </x:c>
      <x:c r="F1583" s="13" t="str">
        <x:v>Financials</x:v>
      </x:c>
      <x:c r="G1583" s="13" t="str">
        <x:v>grid_wekqfxnd.xlsx</x:v>
      </x:c>
    </x:row>
    <x:row r="1584">
      <x:c r="A1584" s="15" t="n">
        <x:v>40969</x:v>
      </x:c>
      <x:c r="B1584" s="13" t="str">
        <x:v>BANCO SANTANDER  BRASIL-UNIT</x:v>
      </x:c>
      <x:c r="C1584" s="16" t="n">
        <x:v>6920.8866521425</x:v>
      </x:c>
      <x:c r="D1584" s="13" t="str">
        <x:v>Banks</x:v>
      </x:c>
      <x:c r="E1584" s="13" t="str">
        <x:v>Banks</x:v>
      </x:c>
      <x:c r="F1584" s="13" t="str">
        <x:v>Financials</x:v>
      </x:c>
      <x:c r="G1584" s="13" t="str">
        <x:v>grid_wekqfxnd.xlsx</x:v>
      </x:c>
    </x:row>
    <x:row r="1585">
      <x:c r="A1585" s="15" t="n">
        <x:v>40969</x:v>
      </x:c>
      <x:c r="B1585" s="13" t="str">
        <x:v>ITAU UNIBANCO HOLDING S-PREF</x:v>
      </x:c>
      <x:c r="C1585" s="16" t="n">
        <x:v>16879.2188956055</x:v>
      </x:c>
      <x:c r="D1585" s="13" t="str">
        <x:v>Banks</x:v>
      </x:c>
      <x:c r="E1585" s="13" t="str">
        <x:v>Banks</x:v>
      </x:c>
      <x:c r="F1585" s="13" t="str">
        <x:v>Financials</x:v>
      </x:c>
      <x:c r="G1585" s="13" t="str">
        <x:v>grid_wekqfxnd.xlsx</x:v>
      </x:c>
    </x:row>
    <x:row r="1586">
      <x:c r="A1586" s="15" t="n">
        <x:v>40969</x:v>
      </x:c>
      <x:c r="B1586" s="13" t="str">
        <x:v>EMBRAER SA</x:v>
      </x:c>
      <x:c r="C1586" s="16" t="n">
        <x:v>828.0582208877</x:v>
      </x:c>
      <x:c r="D1586" s="13" t="str">
        <x:v>Capital Goods</x:v>
      </x:c>
      <x:c r="E1586" s="13" t="str">
        <x:v>Capital Goods</x:v>
      </x:c>
      <x:c r="F1586" s="13" t="str">
        <x:v>Deep Cyclicals</x:v>
      </x:c>
      <x:c r="G1586" s="13" t="str">
        <x:v>grid_wekqfxnd.xlsx</x:v>
      </x:c>
    </x:row>
    <x:row r="1587">
      <x:c r="A1587" s="15" t="n">
        <x:v>40969</x:v>
      </x:c>
      <x:c r="B1587" s="13" t="str">
        <x:v>B3 SA-BRASIL BOLSA BALCAO</x:v>
      </x:c>
      <x:c r="C1587" s="16" t="n">
        <x:v>1722.2267248219</x:v>
      </x:c>
      <x:c r="D1587" s="13" t="str">
        <x:v>Financials Non-Banks</x:v>
      </x:c>
      <x:c r="E1587" s="13" t="str">
        <x:v>Financials Non-Banks</x:v>
      </x:c>
      <x:c r="F1587" s="13" t="str">
        <x:v>Financials</x:v>
      </x:c>
      <x:c r="G1587" s="13" t="str">
        <x:v>grid_wekqfxnd.xlsx</x:v>
      </x:c>
    </x:row>
    <x:row r="1588">
      <x:c r="A1588" s="15" t="n">
        <x:v>40969</x:v>
      </x:c>
      <x:c r="B1588" s="13" t="str">
        <x:v>CIELO SA - INSTITUICAO DE PA</x:v>
      </x:c>
      <x:c r="C1588" s="16" t="n">
        <x:v>2114.3759374027</x:v>
      </x:c>
      <x:c r="D1588" s="13" t="str">
        <x:v>Financials Non-Banks</x:v>
      </x:c>
      <x:c r="E1588" s="13" t="str">
        <x:v>Financials Non-Banks</x:v>
      </x:c>
      <x:c r="F1588" s="13" t="str">
        <x:v>Financials</x:v>
      </x:c>
      <x:c r="G1588" s="13" t="str">
        <x:v>grid_wekqfxnd.xlsx</x:v>
      </x:c>
    </x:row>
    <x:row r="1589">
      <x:c r="A1589" s="15" t="n">
        <x:v>40969</x:v>
      </x:c>
      <x:c r="B1589" s="13" t="str">
        <x:v>ITAUSA SA</x:v>
      </x:c>
      <x:c r="C1589" s="16" t="n">
        <x:v>6008.1110478904</x:v>
      </x:c>
      <x:c r="D1589" s="13" t="str">
        <x:v>Financials Non-Banks</x:v>
      </x:c>
      <x:c r="E1589" s="13" t="str">
        <x:v>Financials Non-Banks</x:v>
      </x:c>
      <x:c r="F1589" s="13" t="str">
        <x:v>Financials</x:v>
      </x:c>
      <x:c r="G1589" s="13" t="str">
        <x:v>grid_wekqfxnd.xlsx</x:v>
      </x:c>
    </x:row>
    <x:row r="1590">
      <x:c r="A1590" s="15" t="n">
        <x:v>40969</x:v>
      </x:c>
      <x:c r="B1590" s="13" t="str">
        <x:v>REDECARD INSTITUICAO DE PAGA</x:v>
      </x:c>
      <x:c r="C1590" s="16" t="n">
        <x:v>1583.2650261041</x:v>
      </x:c>
      <x:c r="D1590" s="13" t="str">
        <x:v>Financials Non-Banks</x:v>
      </x:c>
      <x:c r="E1590" s="13" t="str">
        <x:v>Financials Non-Banks</x:v>
      </x:c>
      <x:c r="F1590" s="13" t="str">
        <x:v>Financials</x:v>
      </x:c>
      <x:c r="G1590" s="13" t="str">
        <x:v>grid_wekqfxnd.xlsx</x:v>
      </x:c>
    </x:row>
    <x:row r="1591">
      <x:c r="A1591" s="15" t="n">
        <x:v>40969</x:v>
      </x:c>
      <x:c r="B1591" s="13" t="str">
        <x:v>AMBEV SA</x:v>
      </x:c>
      <x:c r="C1591" s="16" t="n">
        <x:v>10438.8093166466</x:v>
      </x:c>
      <x:c r="D1591" s="13" t="str">
        <x:v>Food &amp; Beverages</x:v>
      </x:c>
      <x:c r="E1591" s="13" t="str">
        <x:v>Agri, Food &amp; Beverages</x:v>
      </x:c>
      <x:c r="F1591" s="13" t="str">
        <x:v>Defensives</x:v>
      </x:c>
      <x:c r="G1591" s="13" t="str">
        <x:v>grid_wekqfxnd.xlsx</x:v>
      </x:c>
    </x:row>
    <x:row r="1592">
      <x:c r="A1592" s="15" t="n">
        <x:v>40969</x:v>
      </x:c>
      <x:c r="B1592" s="13" t="str">
        <x:v>BRF SA</x:v>
      </x:c>
      <x:c r="C1592" s="16" t="n">
        <x:v>2028.1532808767</x:v>
      </x:c>
      <x:c r="D1592" s="13" t="str">
        <x:v>Food &amp; Beverages</x:v>
      </x:c>
      <x:c r="E1592" s="13" t="str">
        <x:v>Agri, Food &amp; Beverages</x:v>
      </x:c>
      <x:c r="F1592" s="13" t="str">
        <x:v>Defensives</x:v>
      </x:c>
      <x:c r="G1592" s="13" t="str">
        <x:v>grid_wekqfxnd.xlsx</x:v>
      </x:c>
    </x:row>
    <x:row r="1593">
      <x:c r="A1593" s="15" t="n">
        <x:v>40969</x:v>
      </x:c>
      <x:c r="B1593" s="13" t="str">
        <x:v>MBRF GLOBAL FOODS COMPANY SA</x:v>
      </x:c>
      <x:c r="C1593" s="16" t="n">
        <x:v>32.5518254466</x:v>
      </x:c>
      <x:c r="D1593" s="13" t="str">
        <x:v>Food &amp; Beverages</x:v>
      </x:c>
      <x:c r="E1593" s="13" t="str">
        <x:v>Agri, Food &amp; Beverages</x:v>
      </x:c>
      <x:c r="F1593" s="13" t="str">
        <x:v>Defensives</x:v>
      </x:c>
      <x:c r="G1593" s="13" t="str">
        <x:v>grid_wekqfxnd.xlsx</x:v>
      </x:c>
    </x:row>
    <x:row r="1594">
      <x:c r="A1594" s="15" t="n">
        <x:v>40969</x:v>
      </x:c>
      <x:c r="B1594" s="13" t="str">
        <x:v>SOUZA CRUZ LTDA</x:v>
      </x:c>
      <x:c r="C1594" s="16" t="n">
        <x:v>2220.3862443836</x:v>
      </x:c>
      <x:c r="D1594" s="13" t="str">
        <x:v>Food &amp; Beverages</x:v>
      </x:c>
      <x:c r="E1594" s="13" t="str">
        <x:v>Agri, Food &amp; Beverages</x:v>
      </x:c>
      <x:c r="F1594" s="13" t="str">
        <x:v>Defensives</x:v>
      </x:c>
      <x:c r="G1594" s="13" t="str">
        <x:v>grid_wekqfxnd.xlsx</x:v>
      </x:c>
    </x:row>
    <x:row r="1595">
      <x:c r="A1595" s="15" t="n">
        <x:v>40969</x:v>
      </x:c>
      <x:c r="B1595" s="13" t="str">
        <x:v>DIAGNOSTICOS DA AMERICA SA</x:v>
      </x:c>
      <x:c r="C1595" s="16" t="n">
        <x:v>308.8707336767</x:v>
      </x:c>
      <x:c r="D1595" s="13" t="str">
        <x:v>Health Care</x:v>
      </x:c>
      <x:c r="E1595" s="13" t="str">
        <x:v>Health Care</x:v>
      </x:c>
      <x:c r="F1595" s="13" t="str">
        <x:v>Defensives</x:v>
      </x:c>
      <x:c r="G1595" s="13" t="str">
        <x:v>grid_wekqfxnd.xlsx</x:v>
      </x:c>
    </x:row>
    <x:row r="1596">
      <x:c r="A1596" s="15" t="n">
        <x:v>40969</x:v>
      </x:c>
      <x:c r="B1596" s="13" t="str">
        <x:v>HYPERA SA</x:v>
      </x:c>
      <x:c r="C1596" s="16" t="n">
        <x:v>324.3913624548</x:v>
      </x:c>
      <x:c r="D1596" s="13" t="str">
        <x:v>Health Care</x:v>
      </x:c>
      <x:c r="E1596" s="13" t="str">
        <x:v>Health Care</x:v>
      </x:c>
      <x:c r="F1596" s="13" t="str">
        <x:v>Defensives</x:v>
      </x:c>
      <x:c r="G1596" s="13" t="str">
        <x:v>grid_wekqfxnd.xlsx</x:v>
      </x:c>
    </x:row>
    <x:row r="1597">
      <x:c r="A1597" s="15" t="n">
        <x:v>40969</x:v>
      </x:c>
      <x:c r="B1597" s="13" t="str">
        <x:v>CYRELA BRAZIL REALTY SA EMP</x:v>
      </x:c>
      <x:c r="C1597" s="16" t="n">
        <x:v>846.2846400877</x:v>
      </x:c>
      <x:c r="D1597" s="13" t="str">
        <x:v>Homebuilders</x:v>
      </x:c>
      <x:c r="E1597" s="13" t="str">
        <x:v>Real Estate</x:v>
      </x:c>
      <x:c r="F1597" s="13" t="str">
        <x:v>Early Cyclicals</x:v>
      </x:c>
      <x:c r="G1597" s="13" t="str">
        <x:v>grid_wekqfxnd.xlsx</x:v>
      </x:c>
    </x:row>
    <x:row r="1598">
      <x:c r="A1598" s="15" t="n">
        <x:v>40969</x:v>
      </x:c>
      <x:c r="B1598" s="13" t="str">
        <x:v>GAFISA SA</x:v>
      </x:c>
      <x:c r="C1598" s="16" t="n">
        <x:v>324.8436757041</x:v>
      </x:c>
      <x:c r="D1598" s="13" t="str">
        <x:v>Homebuilders</x:v>
      </x:c>
      <x:c r="E1598" s="13" t="str">
        <x:v>Real Estate</x:v>
      </x:c>
      <x:c r="F1598" s="13" t="str">
        <x:v>Early Cyclicals</x:v>
      </x:c>
      <x:c r="G1598" s="13" t="str">
        <x:v>grid_wekqfxnd.xlsx</x:v>
      </x:c>
    </x:row>
    <x:row r="1599">
      <x:c r="A1599" s="15" t="n">
        <x:v>40969</x:v>
      </x:c>
      <x:c r="B1599" s="13" t="str">
        <x:v>MRV ENGENHARIA</x:v>
      </x:c>
      <x:c r="C1599" s="16" t="n">
        <x:v>873.6745556164</x:v>
      </x:c>
      <x:c r="D1599" s="13" t="str">
        <x:v>Homebuilders</x:v>
      </x:c>
      <x:c r="E1599" s="13" t="str">
        <x:v>Real Estate</x:v>
      </x:c>
      <x:c r="F1599" s="13" t="str">
        <x:v>Early Cyclicals</x:v>
      </x:c>
      <x:c r="G1599" s="13" t="str">
        <x:v>grid_wekqfxnd.xlsx</x:v>
      </x:c>
    </x:row>
    <x:row r="1600">
      <x:c r="A1600" s="15" t="n">
        <x:v>40969</x:v>
      </x:c>
      <x:c r="B1600" s="13" t="str">
        <x:v>PDG REALTY SA</x:v>
      </x:c>
      <x:c r="C1600" s="16" t="n">
        <x:v>1208.0410083945</x:v>
      </x:c>
      <x:c r="D1600" s="13" t="str">
        <x:v>Homebuilders</x:v>
      </x:c>
      <x:c r="E1600" s="13" t="str">
        <x:v>Real Estate</x:v>
      </x:c>
      <x:c r="F1600" s="13" t="str">
        <x:v>Early Cyclicals</x:v>
      </x:c>
      <x:c r="G1600" s="13" t="str">
        <x:v>grid_wekqfxnd.xlsx</x:v>
      </x:c>
    </x:row>
    <x:row r="1601">
      <x:c r="A1601" s="15" t="n">
        <x:v>40969</x:v>
      </x:c>
      <x:c r="B1601" s="13" t="str">
        <x:v>ROSSI RESIDENCIAL SA</x:v>
      </x:c>
      <x:c r="C1601" s="16" t="n">
        <x:v>467.632070663</x:v>
      </x:c>
      <x:c r="D1601" s="13" t="str">
        <x:v>Homebuilders</x:v>
      </x:c>
      <x:c r="E1601" s="13" t="str">
        <x:v>Real Estate</x:v>
      </x:c>
      <x:c r="F1601" s="13" t="str">
        <x:v>Early Cyclicals</x:v>
      </x:c>
      <x:c r="G1601" s="13" t="str">
        <x:v>grid_wekqfxnd.xlsx</x:v>
      </x:c>
    </x:row>
    <x:row r="1602">
      <x:c r="A1602" s="15" t="n">
        <x:v>40969</x:v>
      </x:c>
      <x:c r="B1602" s="13" t="str">
        <x:v>TEGRA INCORPORADORA SA</x:v>
      </x:c>
      <x:c r="C1602" s="16" t="n">
        <x:v>445.9023089973</x:v>
      </x:c>
      <x:c r="D1602" s="13" t="str">
        <x:v>Homebuilders</x:v>
      </x:c>
      <x:c r="E1602" s="13" t="str">
        <x:v>Real Estate</x:v>
      </x:c>
      <x:c r="F1602" s="13" t="str">
        <x:v>Early Cyclicals</x:v>
      </x:c>
      <x:c r="G1602" s="13" t="str">
        <x:v>grid_wekqfxnd.xlsx</x:v>
      </x:c>
    </x:row>
    <x:row r="1603">
      <x:c r="A1603" s="15" t="n">
        <x:v>40969</x:v>
      </x:c>
      <x:c r="B1603" s="13" t="str">
        <x:v>BR MALLS PARTICIPACOES SA</x:v>
      </x:c>
      <x:c r="C1603" s="16" t="n">
        <x:v>508.2415005808</x:v>
      </x:c>
      <x:c r="D1603" s="13" t="str">
        <x:v>Income Properties</x:v>
      </x:c>
      <x:c r="E1603" s="13" t="str">
        <x:v>Real Estate</x:v>
      </x:c>
      <x:c r="F1603" s="13" t="str">
        <x:v>Early Cyclicals</x:v>
      </x:c>
      <x:c r="G1603" s="13" t="str">
        <x:v>grid_wekqfxnd.xlsx</x:v>
      </x:c>
    </x:row>
    <x:row r="1604">
      <x:c r="A1604" s="15" t="n">
        <x:v>40969</x:v>
      </x:c>
      <x:c r="B1604" s="13" t="str">
        <x:v>BRADESPAR SA -PREF</x:v>
      </x:c>
      <x:c r="C1604" s="16" t="n">
        <x:v>2210.4247457315</x:v>
      </x:c>
      <x:c r="D1604" s="13" t="str">
        <x:v>Metals &amp; Mining</x:v>
      </x:c>
      <x:c r="E1604" s="13" t="str">
        <x:v>Metals &amp; Mining</x:v>
      </x:c>
      <x:c r="F1604" s="13" t="str">
        <x:v>Deep Cyclicals</x:v>
      </x:c>
      <x:c r="G1604" s="13" t="str">
        <x:v>grid_wekqfxnd.xlsx</x:v>
      </x:c>
    </x:row>
    <x:row r="1605">
      <x:c r="A1605" s="15" t="n">
        <x:v>40969</x:v>
      </x:c>
      <x:c r="B1605" s="13" t="str">
        <x:v>CIA SIDERURGICA NACIONAL SA</x:v>
      </x:c>
      <x:c r="C1605" s="16" t="n">
        <x:v>2893.1139619068</x:v>
      </x:c>
      <x:c r="D1605" s="13" t="str">
        <x:v>Metals &amp; Mining</x:v>
      </x:c>
      <x:c r="E1605" s="13" t="str">
        <x:v>Metals &amp; Mining</x:v>
      </x:c>
      <x:c r="F1605" s="13" t="str">
        <x:v>Deep Cyclicals</x:v>
      </x:c>
      <x:c r="G1605" s="13" t="str">
        <x:v>grid_wekqfxnd.xlsx</x:v>
      </x:c>
    </x:row>
    <x:row r="1606">
      <x:c r="A1606" s="15" t="n">
        <x:v>40969</x:v>
      </x:c>
      <x:c r="B1606" s="13" t="str">
        <x:v>GERDAU SA-PREF</x:v>
      </x:c>
      <x:c r="C1606" s="16" t="n">
        <x:v>2515.0342515726</x:v>
      </x:c>
      <x:c r="D1606" s="13" t="str">
        <x:v>Metals &amp; Mining</x:v>
      </x:c>
      <x:c r="E1606" s="13" t="str">
        <x:v>Metals &amp; Mining</x:v>
      </x:c>
      <x:c r="F1606" s="13" t="str">
        <x:v>Deep Cyclicals</x:v>
      </x:c>
      <x:c r="G1606" s="13" t="str">
        <x:v>grid_wekqfxnd.xlsx</x:v>
      </x:c>
    </x:row>
    <x:row r="1607">
      <x:c r="A1607" s="15" t="n">
        <x:v>40969</x:v>
      </x:c>
      <x:c r="B1607" s="13" t="str">
        <x:v>METALURGICA GERDAU SA-PREF</x:v>
      </x:c>
      <x:c r="C1607" s="16" t="n">
        <x:v>1039.1314670466</x:v>
      </x:c>
      <x:c r="D1607" s="13" t="str">
        <x:v>Metals &amp; Mining</x:v>
      </x:c>
      <x:c r="E1607" s="13" t="str">
        <x:v>Metals &amp; Mining</x:v>
      </x:c>
      <x:c r="F1607" s="13" t="str">
        <x:v>Deep Cyclicals</x:v>
      </x:c>
      <x:c r="G1607" s="13" t="str">
        <x:v>grid_wekqfxnd.xlsx</x:v>
      </x:c>
    </x:row>
    <x:row r="1608">
      <x:c r="A1608" s="15" t="n">
        <x:v>40969</x:v>
      </x:c>
      <x:c r="B1608" s="13" t="str">
        <x:v>MMX MINERACAO E METALICOS SA</x:v>
      </x:c>
      <x:c r="C1608" s="16" t="n">
        <x:v>123.6312328767</x:v>
      </x:c>
      <x:c r="D1608" s="13" t="str">
        <x:v>Metals &amp; Mining</x:v>
      </x:c>
      <x:c r="E1608" s="13" t="str">
        <x:v>Metals &amp; Mining</x:v>
      </x:c>
      <x:c r="F1608" s="13" t="str">
        <x:v>Deep Cyclicals</x:v>
      </x:c>
      <x:c r="G1608" s="13" t="str">
        <x:v>grid_wekqfxnd.xlsx</x:v>
      </x:c>
    </x:row>
    <x:row r="1609">
      <x:c r="A1609" s="15" t="n">
        <x:v>40969</x:v>
      </x:c>
      <x:c r="B1609" s="13" t="str">
        <x:v>USINAS SIDER MINAS GER-PF A</x:v>
      </x:c>
      <x:c r="C1609" s="16" t="n">
        <x:v>491.5994520548</x:v>
      </x:c>
      <x:c r="D1609" s="13" t="str">
        <x:v>Metals &amp; Mining</x:v>
      </x:c>
      <x:c r="E1609" s="13" t="str">
        <x:v>Metals &amp; Mining</x:v>
      </x:c>
      <x:c r="F1609" s="13" t="str">
        <x:v>Deep Cyclicals</x:v>
      </x:c>
      <x:c r="G1609" s="13" t="str">
        <x:v>grid_wekqfxnd.xlsx</x:v>
      </x:c>
    </x:row>
    <x:row r="1610">
      <x:c r="A1610" s="15" t="n">
        <x:v>40969</x:v>
      </x:c>
      <x:c r="B1610" s="13" t="str">
        <x:v>USINAS SIDERURGICAS DE MINAS</x:v>
      </x:c>
      <x:c r="C1610" s="16" t="n">
        <x:v>491.5994520548</x:v>
      </x:c>
      <x:c r="D1610" s="13" t="str">
        <x:v>Metals &amp; Mining</x:v>
      </x:c>
      <x:c r="E1610" s="13" t="str">
        <x:v>Metals &amp; Mining</x:v>
      </x:c>
      <x:c r="F1610" s="13" t="str">
        <x:v>Deep Cyclicals</x:v>
      </x:c>
      <x:c r="G1610" s="13" t="str">
        <x:v>grid_wekqfxnd.xlsx</x:v>
      </x:c>
    </x:row>
    <x:row r="1611">
      <x:c r="A1611" s="15" t="n">
        <x:v>40969</x:v>
      </x:c>
      <x:c r="B1611" s="13" t="str">
        <x:v>VALE SA</x:v>
      </x:c>
      <x:c r="C1611" s="16" t="n">
        <x:v>33549.8090411836</x:v>
      </x:c>
      <x:c r="D1611" s="13" t="str">
        <x:v>Metals &amp; Mining</x:v>
      </x:c>
      <x:c r="E1611" s="13" t="str">
        <x:v>Metals &amp; Mining</x:v>
      </x:c>
      <x:c r="F1611" s="13" t="str">
        <x:v>Deep Cyclicals</x:v>
      </x:c>
      <x:c r="G1611" s="13" t="str">
        <x:v>grid_wekqfxnd.xlsx</x:v>
      </x:c>
    </x:row>
    <x:row r="1612">
      <x:c r="A1612" s="15" t="n">
        <x:v>40969</x:v>
      </x:c>
      <x:c r="B1612" s="13" t="str">
        <x:v>BRASKEM SA-PREF A</x:v>
      </x:c>
      <x:c r="C1612" s="16" t="n">
        <x:v>807.5135573918</x:v>
      </x:c>
      <x:c r="D1612" s="13" t="str">
        <x:v>Oil, Gas &amp; Petrochemicals</x:v>
      </x:c>
      <x:c r="E1612" s="13" t="str">
        <x:v>Oil, Gas &amp; Petrochemicals</x:v>
      </x:c>
      <x:c r="F1612" s="13" t="str">
        <x:v>Deep Cyclicals</x:v>
      </x:c>
      <x:c r="G1612" s="13" t="str">
        <x:v>grid_wekqfxnd.xlsx</x:v>
      </x:c>
    </x:row>
    <x:row r="1613">
      <x:c r="A1613" s="15" t="n">
        <x:v>40969</x:v>
      </x:c>
      <x:c r="B1613" s="13" t="str">
        <x:v>COSAN SA</x:v>
      </x:c>
      <x:c r="C1613" s="16" t="n">
        <x:v>468.6935313</x:v>
      </x:c>
      <x:c r="D1613" s="13" t="str">
        <x:v>Oil, Gas &amp; Petrochemicals</x:v>
      </x:c>
      <x:c r="E1613" s="13" t="str">
        <x:v>Oil, Gas &amp; Petrochemicals</x:v>
      </x:c>
      <x:c r="F1613" s="13" t="str">
        <x:v>Deep Cyclicals</x:v>
      </x:c>
      <x:c r="G1613" s="13" t="str">
        <x:v>grid_wekqfxnd.xlsx</x:v>
      </x:c>
    </x:row>
    <x:row r="1614">
      <x:c r="A1614" s="15" t="n">
        <x:v>40969</x:v>
      </x:c>
      <x:c r="B1614" s="13" t="str">
        <x:v>OLEO E GAS PARTICIPACOES SA</x:v>
      </x:c>
      <x:c r="C1614" s="16" t="n">
        <x:v>642.0348135452</x:v>
      </x:c>
      <x:c r="D1614" s="13" t="str">
        <x:v>Oil, Gas &amp; Petrochemicals</x:v>
      </x:c>
      <x:c r="E1614" s="13" t="str">
        <x:v>Oil, Gas &amp; Petrochemicals</x:v>
      </x:c>
      <x:c r="F1614" s="13" t="str">
        <x:v>Deep Cyclicals</x:v>
      </x:c>
      <x:c r="G1614" s="13" t="str">
        <x:v>grid_wekqfxnd.xlsx</x:v>
      </x:c>
    </x:row>
    <x:row r="1615">
      <x:c r="A1615" s="15" t="n">
        <x:v>40969</x:v>
      </x:c>
      <x:c r="B1615" s="13" t="str">
        <x:v>PETROBRAS - PETROLEO BRAS</x:v>
      </x:c>
      <x:c r="C1615" s="16" t="n">
        <x:v>37489.2038677041</x:v>
      </x:c>
      <x:c r="D1615" s="13" t="str">
        <x:v>Oil, Gas &amp; Petrochemicals</x:v>
      </x:c>
      <x:c r="E1615" s="13" t="str">
        <x:v>Oil, Gas &amp; Petrochemicals</x:v>
      </x:c>
      <x:c r="F1615" s="13" t="str">
        <x:v>Deep Cyclicals</x:v>
      </x:c>
      <x:c r="G1615" s="13" t="str">
        <x:v>grid_wekqfxnd.xlsx</x:v>
      </x:c>
    </x:row>
    <x:row r="1616">
      <x:c r="A1616" s="15" t="n">
        <x:v>40969</x:v>
      </x:c>
      <x:c r="B1616" s="13" t="str">
        <x:v>ULTRAPAR PARTICIPACOES SA</x:v>
      </x:c>
      <x:c r="C1616" s="16" t="n">
        <x:v>1035.2874383781</x:v>
      </x:c>
      <x:c r="D1616" s="13" t="str">
        <x:v>Oil, Gas &amp; Petrochemicals</x:v>
      </x:c>
      <x:c r="E1616" s="13" t="str">
        <x:v>Oil, Gas &amp; Petrochemicals</x:v>
      </x:c>
      <x:c r="F1616" s="13" t="str">
        <x:v>Deep Cyclicals</x:v>
      </x:c>
      <x:c r="G1616" s="13" t="str">
        <x:v>grid_wekqfxnd.xlsx</x:v>
      </x:c>
    </x:row>
    <x:row r="1617">
      <x:c r="A1617" s="15" t="n">
        <x:v>40969</x:v>
      </x:c>
      <x:c r="B1617" s="13" t="str">
        <x:v>DEXCO SA</x:v>
      </x:c>
      <x:c r="C1617" s="16" t="n">
        <x:v>401.1960056986</x:v>
      </x:c>
      <x:c r="D1617" s="13" t="str">
        <x:v>Pulp &amp; Paper</x:v>
      </x:c>
      <x:c r="E1617" s="13" t="str">
        <x:v>Pulp &amp; Paper</x:v>
      </x:c>
      <x:c r="F1617" s="13" t="str">
        <x:v>Deep Cyclicals</x:v>
      </x:c>
      <x:c r="G1617" s="13" t="str">
        <x:v>grid_wekqfxnd.xlsx</x:v>
      </x:c>
    </x:row>
    <x:row r="1618">
      <x:c r="A1618" s="15" t="n">
        <x:v>40969</x:v>
      </x:c>
      <x:c r="B1618" s="13" t="str">
        <x:v>FIBRIA CELULOSE S/A</x:v>
      </x:c>
      <x:c r="C1618" s="16" t="n">
        <x:v>-210.3865753425</x:v>
      </x:c>
      <x:c r="D1618" s="13" t="str">
        <x:v>Pulp &amp; Paper</x:v>
      </x:c>
      <x:c r="E1618" s="13" t="str">
        <x:v>Pulp &amp; Paper</x:v>
      </x:c>
      <x:c r="F1618" s="13" t="str">
        <x:v>Deep Cyclicals</x:v>
      </x:c>
      <x:c r="G1618" s="13" t="str">
        <x:v>grid_wekqfxnd.xlsx</x:v>
      </x:c>
    </x:row>
    <x:row r="1619">
      <x:c r="A1619" s="15" t="n">
        <x:v>40969</x:v>
      </x:c>
      <x:c r="B1619" s="13" t="str">
        <x:v>AMERICANAS SA</x:v>
      </x:c>
      <x:c r="C1619" s="16" t="n">
        <x:v>62.7363556164</x:v>
      </x:c>
      <x:c r="D1619" s="13" t="str">
        <x:v>Retail</x:v>
      </x:c>
      <x:c r="E1619" s="13" t="str">
        <x:v>Retail</x:v>
      </x:c>
      <x:c r="F1619" s="13" t="str">
        <x:v>Early Cyclicals</x:v>
      </x:c>
      <x:c r="G1619" s="13" t="str">
        <x:v>grid_wekqfxnd.xlsx</x:v>
      </x:c>
    </x:row>
    <x:row r="1620">
      <x:c r="A1620" s="15" t="n">
        <x:v>40969</x:v>
      </x:c>
      <x:c r="B1620" s="13" t="str">
        <x:v>CIA BRASILEIRA DE DIS-PREF</x:v>
      </x:c>
      <x:c r="C1620" s="16" t="n">
        <x:v>1077.3585874411</x:v>
      </x:c>
      <x:c r="D1620" s="13" t="str">
        <x:v>Retail</x:v>
      </x:c>
      <x:c r="E1620" s="13" t="str">
        <x:v>Retail</x:v>
      </x:c>
      <x:c r="F1620" s="13" t="str">
        <x:v>Early Cyclicals</x:v>
      </x:c>
      <x:c r="G1620" s="13" t="str">
        <x:v>grid_wekqfxnd.xlsx</x:v>
      </x:c>
    </x:row>
    <x:row r="1621">
      <x:c r="A1621" s="15" t="n">
        <x:v>40969</x:v>
      </x:c>
      <x:c r="B1621" s="13" t="str">
        <x:v>CIA HERING</x:v>
      </x:c>
      <x:c r="C1621" s="16" t="n">
        <x:v>387.7282792329</x:v>
      </x:c>
      <x:c r="D1621" s="13" t="str">
        <x:v>Retail</x:v>
      </x:c>
      <x:c r="E1621" s="13" t="str">
        <x:v>Retail</x:v>
      </x:c>
      <x:c r="F1621" s="13" t="str">
        <x:v>Early Cyclicals</x:v>
      </x:c>
      <x:c r="G1621" s="13" t="str">
        <x:v>grid_wekqfxnd.xlsx</x:v>
      </x:c>
    </x:row>
    <x:row r="1622">
      <x:c r="A1622" s="15" t="n">
        <x:v>40969</x:v>
      </x:c>
      <x:c r="B1622" s="13" t="str">
        <x:v>LOJAS AMERICANAS SA-PREF</x:v>
      </x:c>
      <x:c r="C1622" s="16" t="n">
        <x:v>514.0818979068</x:v>
      </x:c>
      <x:c r="D1622" s="13" t="str">
        <x:v>Retail</x:v>
      </x:c>
      <x:c r="E1622" s="13" t="str">
        <x:v>Retail</x:v>
      </x:c>
      <x:c r="F1622" s="13" t="str">
        <x:v>Early Cyclicals</x:v>
      </x:c>
      <x:c r="G1622" s="13" t="str">
        <x:v>grid_wekqfxnd.xlsx</x:v>
      </x:c>
    </x:row>
    <x:row r="1623">
      <x:c r="A1623" s="15" t="n">
        <x:v>40969</x:v>
      </x:c>
      <x:c r="B1623" s="13" t="str">
        <x:v>LOJAS RENNER S.A.</x:v>
      </x:c>
      <x:c r="C1623" s="16" t="n">
        <x:v>410.0777851616</x:v>
      </x:c>
      <x:c r="D1623" s="13" t="str">
        <x:v>Retail</x:v>
      </x:c>
      <x:c r="E1623" s="13" t="str">
        <x:v>Retail</x:v>
      </x:c>
      <x:c r="F1623" s="13" t="str">
        <x:v>Early Cyclicals</x:v>
      </x:c>
      <x:c r="G1623" s="13" t="str">
        <x:v>grid_wekqfxnd.xlsx</x:v>
      </x:c>
    </x:row>
    <x:row r="1624">
      <x:c r="A1624" s="15" t="n">
        <x:v>40969</x:v>
      </x:c>
      <x:c r="B1624" s="13" t="str">
        <x:v>NATURA COSMETICOS SA</x:v>
      </x:c>
      <x:c r="C1624" s="16" t="n">
        <x:v>897.9879059288</x:v>
      </x:c>
      <x:c r="D1624" s="13" t="str">
        <x:v>Retail</x:v>
      </x:c>
      <x:c r="E1624" s="13" t="str">
        <x:v>Retail</x:v>
      </x:c>
      <x:c r="F1624" s="13" t="str">
        <x:v>Early Cyclicals</x:v>
      </x:c>
      <x:c r="G1624" s="13" t="str">
        <x:v>grid_wekqfxnd.xlsx</x:v>
      </x:c>
    </x:row>
    <x:row r="1625">
      <x:c r="A1625" s="15" t="n">
        <x:v>40969</x:v>
      </x:c>
      <x:c r="B1625" s="13" t="str">
        <x:v>CIA SANEAMENTO BASICO DE SP</x:v>
      </x:c>
      <x:c r="C1625" s="16" t="n">
        <x:v>1667.1211670795</x:v>
      </x:c>
      <x:c r="D1625" s="13" t="str">
        <x:v>Sanitation</x:v>
      </x:c>
      <x:c r="E1625" s="13" t="str">
        <x:v>Utilities</x:v>
      </x:c>
      <x:c r="F1625" s="13" t="str">
        <x:v>Defensives</x:v>
      </x:c>
      <x:c r="G1625" s="13" t="str">
        <x:v>grid_wekqfxnd.xlsx</x:v>
      </x:c>
    </x:row>
    <x:row r="1626">
      <x:c r="A1626" s="15" t="n">
        <x:v>40969</x:v>
      </x:c>
      <x:c r="B1626" s="13" t="str">
        <x:v>OI SA-PREFERENCE</x:v>
      </x:c>
      <x:c r="C1626" s="16" t="n">
        <x:v>1155.2530645918</x:v>
      </x:c>
      <x:c r="D1626" s="13" t="str">
        <x:v>TMT</x:v>
      </x:c>
      <x:c r="E1626" s="13" t="str">
        <x:v>TMT</x:v>
      </x:c>
      <x:c r="F1626" s="13" t="str">
        <x:v>Early Cyclicals</x:v>
      </x:c>
      <x:c r="G1626" s="13" t="str">
        <x:v>grid_wekqfxnd.xlsx</x:v>
      </x:c>
    </x:row>
    <x:row r="1627">
      <x:c r="A1627" s="15" t="n">
        <x:v>40969</x:v>
      </x:c>
      <x:c r="B1627" s="13" t="str">
        <x:v>TELE NORTE LESTE PART</x:v>
      </x:c>
      <x:c r="C1627" s="16" t="n">
        <x:v>965.5447201315</x:v>
      </x:c>
      <x:c r="D1627" s="13" t="str">
        <x:v>TMT</x:v>
      </x:c>
      <x:c r="E1627" s="13" t="str">
        <x:v>TMT</x:v>
      </x:c>
      <x:c r="F1627" s="13" t="str">
        <x:v>Early Cyclicals</x:v>
      </x:c>
      <x:c r="G1627" s="13" t="str">
        <x:v>grid_wekqfxnd.xlsx</x:v>
      </x:c>
    </x:row>
    <x:row r="1628">
      <x:c r="A1628" s="15" t="n">
        <x:v>40969</x:v>
      </x:c>
      <x:c r="B1628" s="13" t="str">
        <x:v>TELEFONICA BRASIL S.A.-PREF</x:v>
      </x:c>
      <x:c r="C1628" s="16" t="n">
        <x:v>5279.0477852055</x:v>
      </x:c>
      <x:c r="D1628" s="13" t="str">
        <x:v>TMT</x:v>
      </x:c>
      <x:c r="E1628" s="13" t="str">
        <x:v>TMT</x:v>
      </x:c>
      <x:c r="F1628" s="13" t="str">
        <x:v>Early Cyclicals</x:v>
      </x:c>
      <x:c r="G1628" s="13" t="str">
        <x:v>grid_wekqfxnd.xlsx</x:v>
      </x:c>
    </x:row>
    <x:row r="1629">
      <x:c r="A1629" s="15" t="n">
        <x:v>40969</x:v>
      </x:c>
      <x:c r="B1629" s="13" t="str">
        <x:v>TELEMAR NORTE LESTE SA</x:v>
      </x:c>
      <x:c r="C1629" s="16" t="n">
        <x:v>1122.8449315068</x:v>
      </x:c>
      <x:c r="D1629" s="13" t="str">
        <x:v>TMT</x:v>
      </x:c>
      <x:c r="E1629" s="13" t="str">
        <x:v>TMT</x:v>
      </x:c>
      <x:c r="F1629" s="13" t="str">
        <x:v>Early Cyclicals</x:v>
      </x:c>
      <x:c r="G1629" s="13" t="str">
        <x:v>grid_wekqfxnd.xlsx</x:v>
      </x:c>
    </x:row>
    <x:row r="1630">
      <x:c r="A1630" s="15" t="n">
        <x:v>40969</x:v>
      </x:c>
      <x:c r="B1630" s="13" t="str">
        <x:v>TIM SA</x:v>
      </x:c>
      <x:c r="C1630" s="16" t="n">
        <x:v>1770.7389198027</x:v>
      </x:c>
      <x:c r="D1630" s="13" t="str">
        <x:v>TMT</x:v>
      </x:c>
      <x:c r="E1630" s="13" t="str">
        <x:v>TMT</x:v>
      </x:c>
      <x:c r="F1630" s="13" t="str">
        <x:v>Early Cyclicals</x:v>
      </x:c>
      <x:c r="G1630" s="13" t="str">
        <x:v>grid_wekqfxnd.xlsx</x:v>
      </x:c>
    </x:row>
    <x:row r="1631">
      <x:c r="A1631" s="15" t="n">
        <x:v>40969</x:v>
      </x:c>
      <x:c r="B1631" s="13" t="str">
        <x:v>GOL LINHAS AEREAS INT SA-PRE</x:v>
      </x:c>
      <x:c r="C1631" s="16" t="n">
        <x:v>123.7435912329</x:v>
      </x:c>
      <x:c r="D1631" s="13" t="str">
        <x:v>Transportation</x:v>
      </x:c>
      <x:c r="E1631" s="13" t="str">
        <x:v>Transportation</x:v>
      </x:c>
      <x:c r="F1631" s="13" t="str">
        <x:v>Deep Cyclicals</x:v>
      </x:c>
      <x:c r="G1631" s="13" t="str">
        <x:v>grid_wekqfxnd.xlsx</x:v>
      </x:c>
    </x:row>
    <x:row r="1632">
      <x:c r="A1632" s="15" t="n">
        <x:v>40969</x:v>
      </x:c>
      <x:c r="B1632" s="13" t="str">
        <x:v>LOCALIZA RENT A CAR</x:v>
      </x:c>
      <x:c r="C1632" s="16" t="n">
        <x:v>371.5183845699</x:v>
      </x:c>
      <x:c r="D1632" s="13" t="str">
        <x:v>Transportation</x:v>
      </x:c>
      <x:c r="E1632" s="13" t="str">
        <x:v>Transportation</x:v>
      </x:c>
      <x:c r="F1632" s="13" t="str">
        <x:v>Deep Cyclicals</x:v>
      </x:c>
      <x:c r="G1632" s="13" t="str">
        <x:v>grid_wekqfxnd.xlsx</x:v>
      </x:c>
    </x:row>
    <x:row r="1633">
      <x:c r="A1633" s="15" t="n">
        <x:v>40969</x:v>
      </x:c>
      <x:c r="B1633" s="13" t="str">
        <x:v>MOTIVA INFRAESTRUTURA DE MOB</x:v>
      </x:c>
      <x:c r="C1633" s="16" t="n">
        <x:v>1345.185292274</x:v>
      </x:c>
      <x:c r="D1633" s="13" t="str">
        <x:v>Transportation</x:v>
      </x:c>
      <x:c r="E1633" s="13" t="str">
        <x:v>Transportation</x:v>
      </x:c>
      <x:c r="F1633" s="13" t="str">
        <x:v>Deep Cyclicals</x:v>
      </x:c>
      <x:c r="G1633" s="13" t="str">
        <x:v>grid_wekqfxnd.xlsx</x:v>
      </x:c>
    </x:row>
    <x:row r="1634">
      <x:c r="A1634" s="15" t="n">
        <x:v>40969</x:v>
      </x:c>
      <x:c r="B1634" s="13" t="str">
        <x:v>PRUMO LOGISTICA SA</x:v>
      </x:c>
      <x:c r="C1634" s="16" t="n">
        <x:v>-120.9379726027</x:v>
      </x:c>
      <x:c r="D1634" s="13" t="str">
        <x:v>Transportation</x:v>
      </x:c>
      <x:c r="E1634" s="13" t="str">
        <x:v>Transportation</x:v>
      </x:c>
      <x:c r="F1634" s="13" t="str">
        <x:v>Deep Cyclicals</x:v>
      </x:c>
      <x:c r="G1634" s="13" t="str">
        <x:v>grid_wekqfxnd.xlsx</x:v>
      </x:c>
    </x:row>
    <x:row r="1635">
      <x:c r="A1635" s="15" t="n">
        <x:v>40969</x:v>
      </x:c>
      <x:c r="B1635" s="13" t="str">
        <x:v>RUMO SA</x:v>
      </x:c>
      <x:c r="C1635" s="16" t="n">
        <x:v>361.1836821918</x:v>
      </x:c>
      <x:c r="D1635" s="13" t="str">
        <x:v>Transportation</x:v>
      </x:c>
      <x:c r="E1635" s="13" t="str">
        <x:v>Transportation</x:v>
      </x:c>
      <x:c r="F1635" s="13" t="str">
        <x:v>Deep Cyclicals</x:v>
      </x:c>
      <x:c r="G1635" s="13" t="str">
        <x:v>grid_wekqfxnd.xlsx</x:v>
      </x:c>
    </x:row>
    <x:row r="1636">
      <x:c r="A1636" s="15" t="n">
        <x:v>40969</x:v>
      </x:c>
      <x:c r="B1636" s="13" t="str">
        <x:v>TAM SA-PREF</x:v>
      </x:c>
      <x:c r="C1636" s="16" t="n">
        <x:v>309.6286677041</x:v>
      </x:c>
      <x:c r="D1636" s="13" t="str">
        <x:v>Transportation</x:v>
      </x:c>
      <x:c r="E1636" s="13" t="str">
        <x:v>Transportation</x:v>
      </x:c>
      <x:c r="F1636" s="13" t="str">
        <x:v>Deep Cyclicals</x:v>
      </x:c>
      <x:c r="G1636" s="13" t="str">
        <x:v>grid_wekqfxnd.xlsx</x:v>
      </x:c>
    </x:row>
    <x:row r="1637">
      <x:c r="A1637" s="15" t="n">
        <x:v>40969</x:v>
      </x:c>
      <x:c r="B1637" s="13" t="str">
        <x:v>AXIA ENERGIA SA</x:v>
      </x:c>
      <x:c r="C1637" s="16" t="n">
        <x:v>3739.874624526</x:v>
      </x:c>
      <x:c r="D1637" s="13" t="str">
        <x:v>Utilities &amp; Energy</x:v>
      </x:c>
      <x:c r="E1637" s="13" t="str">
        <x:v>Utilities</x:v>
      </x:c>
      <x:c r="F1637" s="13" t="str">
        <x:v>Defensives</x:v>
      </x:c>
      <x:c r="G1637" s="13" t="str">
        <x:v>grid_wekqfxnd.xlsx</x:v>
      </x:c>
    </x:row>
    <x:row r="1638">
      <x:c r="A1638" s="15" t="n">
        <x:v>40969</x:v>
      </x:c>
      <x:c r="B1638" s="13" t="str">
        <x:v>AXIA ENERGIA-PR B</x:v>
      </x:c>
      <x:c r="C1638" s="16" t="n">
        <x:v>3739.874624526</x:v>
      </x:c>
      <x:c r="D1638" s="13" t="str">
        <x:v>Utilities &amp; Energy</x:v>
      </x:c>
      <x:c r="E1638" s="13" t="str">
        <x:v>Utilities</x:v>
      </x:c>
      <x:c r="F1638" s="13" t="str">
        <x:v>Defensives</x:v>
      </x:c>
      <x:c r="G1638" s="13" t="str">
        <x:v>grid_wekqfxnd.xlsx</x:v>
      </x:c>
    </x:row>
    <x:row r="1639">
      <x:c r="A1639" s="15" t="n">
        <x:v>40969</x:v>
      </x:c>
      <x:c r="B1639" s="13" t="str">
        <x:v>CESP - CIA ENERGETICA DE SAO</x:v>
      </x:c>
      <x:c r="C1639" s="16" t="n">
        <x:v>684.5658115507</x:v>
      </x:c>
      <x:c r="D1639" s="13" t="str">
        <x:v>Utilities &amp; Energy</x:v>
      </x:c>
      <x:c r="E1639" s="13" t="str">
        <x:v>Utilities</x:v>
      </x:c>
      <x:c r="F1639" s="13" t="str">
        <x:v>Defensives</x:v>
      </x:c>
      <x:c r="G1639" s="13" t="str">
        <x:v>grid_wekqfxnd.xlsx</x:v>
      </x:c>
    </x:row>
    <x:row r="1640">
      <x:c r="A1640" s="15" t="n">
        <x:v>40969</x:v>
      </x:c>
      <x:c r="B1640" s="13" t="str">
        <x:v>CIA ENERGETICA MINAS GER-PRF</x:v>
      </x:c>
      <x:c r="C1640" s="16" t="n">
        <x:v>2585.3837396164</x:v>
      </x:c>
      <x:c r="D1640" s="13" t="str">
        <x:v>Utilities &amp; Energy</x:v>
      </x:c>
      <x:c r="E1640" s="13" t="str">
        <x:v>Utilities</x:v>
      </x:c>
      <x:c r="F1640" s="13" t="str">
        <x:v>Defensives</x:v>
      </x:c>
      <x:c r="G1640" s="13" t="str">
        <x:v>grid_wekqfxnd.xlsx</x:v>
      </x:c>
    </x:row>
    <x:row r="1641">
      <x:c r="A1641" s="15" t="n">
        <x:v>40969</x:v>
      </x:c>
      <x:c r="B1641" s="13" t="str">
        <x:v>COMPANHIA PARANAENSE -PREF B</x:v>
      </x:c>
      <x:c r="C1641" s="16" t="n">
        <x:v>1244.3709226082</x:v>
      </x:c>
      <x:c r="D1641" s="13" t="str">
        <x:v>Utilities &amp; Energy</x:v>
      </x:c>
      <x:c r="E1641" s="13" t="str">
        <x:v>Utilities</x:v>
      </x:c>
      <x:c r="F1641" s="13" t="str">
        <x:v>Defensives</x:v>
      </x:c>
      <x:c r="G1641" s="13" t="str">
        <x:v>grid_wekqfxnd.xlsx</x:v>
      </x:c>
    </x:row>
    <x:row r="1642">
      <x:c r="A1642" s="15" t="n">
        <x:v>40969</x:v>
      </x:c>
      <x:c r="B1642" s="13" t="str">
        <x:v>CPFL ENERGIA SA</x:v>
      </x:c>
      <x:c r="C1642" s="16" t="n">
        <x:v>1536.8832413808</x:v>
      </x:c>
      <x:c r="D1642" s="13" t="str">
        <x:v>Utilities &amp; Energy</x:v>
      </x:c>
      <x:c r="E1642" s="13" t="str">
        <x:v>Utilities</x:v>
      </x:c>
      <x:c r="F1642" s="13" t="str">
        <x:v>Defensives</x:v>
      </x:c>
      <x:c r="G1642" s="13" t="str">
        <x:v>grid_wekqfxnd.xlsx</x:v>
      </x:c>
    </x:row>
    <x:row r="1643">
      <x:c r="A1643" s="15" t="n">
        <x:v>40969</x:v>
      </x:c>
      <x:c r="B1643" s="13" t="str">
        <x:v>ELETROPAULO METROPOLI-PREF</x:v>
      </x:c>
      <x:c r="C1643" s="16" t="n">
        <x:v>464.0857311562</x:v>
      </x:c>
      <x:c r="D1643" s="13" t="str">
        <x:v>Utilities &amp; Energy</x:v>
      </x:c>
      <x:c r="E1643" s="13" t="str">
        <x:v>Utilities</x:v>
      </x:c>
      <x:c r="F1643" s="13" t="str">
        <x:v>Defensives</x:v>
      </x:c>
      <x:c r="G1643" s="13" t="str">
        <x:v>grid_wekqfxnd.xlsx</x:v>
      </x:c>
    </x:row>
    <x:row r="1644">
      <x:c r="A1644" s="15" t="n">
        <x:v>40969</x:v>
      </x:c>
      <x:c r="B1644" s="13" t="str">
        <x:v>ISA ENERGIA BRASIL SA</x:v>
      </x:c>
      <x:c r="C1644" s="16" t="n">
        <x:v>1013.1855254795</x:v>
      </x:c>
      <x:c r="D1644" s="13" t="str">
        <x:v>Utilities &amp; Energy</x:v>
      </x:c>
      <x:c r="E1644" s="13" t="str">
        <x:v>Utilities</x:v>
      </x:c>
      <x:c r="F1644" s="13" t="str">
        <x:v>Defensives</x:v>
      </x:c>
      <x:c r="G1644" s="13" t="str">
        <x:v>grid_wekqfxnd.xlsx</x:v>
      </x:c>
    </x:row>
    <x:row r="1645">
      <x:c r="A1645" s="15" t="n">
        <x:v>40969</x:v>
      </x:c>
      <x:c r="B1645" s="13" t="str">
        <x:v>LIGHT SA</x:v>
      </x:c>
      <x:c r="C1645" s="16" t="n">
        <x:v>546.7742465753</x:v>
      </x:c>
      <x:c r="D1645" s="13" t="str">
        <x:v>Utilities &amp; Energy</x:v>
      </x:c>
      <x:c r="E1645" s="13" t="str">
        <x:v>Utilities</x:v>
      </x:c>
      <x:c r="F1645" s="13" t="str">
        <x:v>Defensives</x:v>
      </x:c>
      <x:c r="G1645" s="13" t="str">
        <x:v>grid_wekqfxnd.xlsx</x:v>
      </x:c>
    </x:row>
    <x:row r="1646">
      <x:c r="A1646" s="15" t="n">
        <x:v>41000</x:v>
      </x:c>
      <x:c r="B1646" s="13" t="str">
        <x:v>BANCO BRADESCO SA-PREF</x:v>
      </x:c>
      <x:c r="C1646" s="16" t="n">
        <x:v>12706.2645128767</x:v>
      </x:c>
      <x:c r="D1646" s="13" t="str">
        <x:v>Banks</x:v>
      </x:c>
      <x:c r="E1646" s="13" t="str">
        <x:v>Banks</x:v>
      </x:c>
      <x:c r="F1646" s="13" t="str">
        <x:v>Financials</x:v>
      </x:c>
      <x:c r="G1646" s="13" t="str">
        <x:v>grid_wekqfxnd.xlsx</x:v>
      </x:c>
    </x:row>
    <x:row r="1647">
      <x:c r="A1647" s="15" t="n">
        <x:v>41000</x:v>
      </x:c>
      <x:c r="B1647" s="13" t="str">
        <x:v>BANCO DO BRASIL S.A.</x:v>
      </x:c>
      <x:c r="C1647" s="16" t="n">
        <x:v>12096.4914919452</x:v>
      </x:c>
      <x:c r="D1647" s="13" t="str">
        <x:v>Banks</x:v>
      </x:c>
      <x:c r="E1647" s="13" t="str">
        <x:v>Banks</x:v>
      </x:c>
      <x:c r="F1647" s="13" t="str">
        <x:v>Financials</x:v>
      </x:c>
      <x:c r="G1647" s="13" t="str">
        <x:v>grid_wekqfxnd.xlsx</x:v>
      </x:c>
    </x:row>
    <x:row r="1648">
      <x:c r="A1648" s="15" t="n">
        <x:v>41000</x:v>
      </x:c>
      <x:c r="B1648" s="13" t="str">
        <x:v>BANCO SANTANDER  BRASIL-UNIT</x:v>
      </x:c>
      <x:c r="C1648" s="16" t="n">
        <x:v>7087.691635726</x:v>
      </x:c>
      <x:c r="D1648" s="13" t="str">
        <x:v>Banks</x:v>
      </x:c>
      <x:c r="E1648" s="13" t="str">
        <x:v>Banks</x:v>
      </x:c>
      <x:c r="F1648" s="13" t="str">
        <x:v>Financials</x:v>
      </x:c>
      <x:c r="G1648" s="13" t="str">
        <x:v>grid_wekqfxnd.xlsx</x:v>
      </x:c>
    </x:row>
    <x:row r="1649">
      <x:c r="A1649" s="15" t="n">
        <x:v>41000</x:v>
      </x:c>
      <x:c r="B1649" s="13" t="str">
        <x:v>ITAU UNIBANCO HOLDING S-PREF</x:v>
      </x:c>
      <x:c r="C1649" s="16" t="n">
        <x:v>16241.7739186849</x:v>
      </x:c>
      <x:c r="D1649" s="13" t="str">
        <x:v>Banks</x:v>
      </x:c>
      <x:c r="E1649" s="13" t="str">
        <x:v>Banks</x:v>
      </x:c>
      <x:c r="F1649" s="13" t="str">
        <x:v>Financials</x:v>
      </x:c>
      <x:c r="G1649" s="13" t="str">
        <x:v>grid_wekqfxnd.xlsx</x:v>
      </x:c>
    </x:row>
    <x:row r="1650">
      <x:c r="A1650" s="15" t="n">
        <x:v>41000</x:v>
      </x:c>
      <x:c r="B1650" s="13" t="str">
        <x:v>EMBRAER SA</x:v>
      </x:c>
      <x:c r="C1650" s="16" t="n">
        <x:v>922.8173667945</x:v>
      </x:c>
      <x:c r="D1650" s="13" t="str">
        <x:v>Capital Goods</x:v>
      </x:c>
      <x:c r="E1650" s="13" t="str">
        <x:v>Capital Goods</x:v>
      </x:c>
      <x:c r="F1650" s="13" t="str">
        <x:v>Deep Cyclicals</x:v>
      </x:c>
      <x:c r="G1650" s="13" t="str">
        <x:v>grid_wekqfxnd.xlsx</x:v>
      </x:c>
    </x:row>
    <x:row r="1651">
      <x:c r="A1651" s="15" t="n">
        <x:v>41000</x:v>
      </x:c>
      <x:c r="B1651" s="13" t="str">
        <x:v>B3 SA-BRASIL BOLSA BALCAO</x:v>
      </x:c>
      <x:c r="C1651" s="16" t="n">
        <x:v>1775.4183189041</x:v>
      </x:c>
      <x:c r="D1651" s="13" t="str">
        <x:v>Financials Non-Banks</x:v>
      </x:c>
      <x:c r="E1651" s="13" t="str">
        <x:v>Financials Non-Banks</x:v>
      </x:c>
      <x:c r="F1651" s="13" t="str">
        <x:v>Financials</x:v>
      </x:c>
      <x:c r="G1651" s="13" t="str">
        <x:v>grid_wekqfxnd.xlsx</x:v>
      </x:c>
    </x:row>
    <x:row r="1652">
      <x:c r="A1652" s="15" t="n">
        <x:v>41000</x:v>
      </x:c>
      <x:c r="B1652" s="13" t="str">
        <x:v>CIELO SA - INSTITUICAO DE PA</x:v>
      </x:c>
      <x:c r="C1652" s="16" t="n">
        <x:v>2191.1779401644</x:v>
      </x:c>
      <x:c r="D1652" s="13" t="str">
        <x:v>Financials Non-Banks</x:v>
      </x:c>
      <x:c r="E1652" s="13" t="str">
        <x:v>Financials Non-Banks</x:v>
      </x:c>
      <x:c r="F1652" s="13" t="str">
        <x:v>Financials</x:v>
      </x:c>
      <x:c r="G1652" s="13" t="str">
        <x:v>grid_wekqfxnd.xlsx</x:v>
      </x:c>
    </x:row>
    <x:row r="1653">
      <x:c r="A1653" s="15" t="n">
        <x:v>41000</x:v>
      </x:c>
      <x:c r="B1653" s="13" t="str">
        <x:v>ITAUSA SA</x:v>
      </x:c>
      <x:c r="C1653" s="16" t="n">
        <x:v>5888.5615587945</x:v>
      </x:c>
      <x:c r="D1653" s="13" t="str">
        <x:v>Financials Non-Banks</x:v>
      </x:c>
      <x:c r="E1653" s="13" t="str">
        <x:v>Financials Non-Banks</x:v>
      </x:c>
      <x:c r="F1653" s="13" t="str">
        <x:v>Financials</x:v>
      </x:c>
      <x:c r="G1653" s="13" t="str">
        <x:v>grid_wekqfxnd.xlsx</x:v>
      </x:c>
    </x:row>
    <x:row r="1654">
      <x:c r="A1654" s="15" t="n">
        <x:v>41000</x:v>
      </x:c>
      <x:c r="B1654" s="13" t="str">
        <x:v>REDECARD INSTITUICAO DE PAGA</x:v>
      </x:c>
      <x:c r="C1654" s="16" t="n">
        <x:v>1613.91744</x:v>
      </x:c>
      <x:c r="D1654" s="13" t="str">
        <x:v>Financials Non-Banks</x:v>
      </x:c>
      <x:c r="E1654" s="13" t="str">
        <x:v>Financials Non-Banks</x:v>
      </x:c>
      <x:c r="F1654" s="13" t="str">
        <x:v>Financials</x:v>
      </x:c>
      <x:c r="G1654" s="13" t="str">
        <x:v>grid_wekqfxnd.xlsx</x:v>
      </x:c>
    </x:row>
    <x:row r="1655">
      <x:c r="A1655" s="15" t="n">
        <x:v>41000</x:v>
      </x:c>
      <x:c r="B1655" s="13" t="str">
        <x:v>AMBEV SA</x:v>
      </x:c>
      <x:c r="C1655" s="16" t="n">
        <x:v>10538.1947896986</x:v>
      </x:c>
      <x:c r="D1655" s="13" t="str">
        <x:v>Food &amp; Beverages</x:v>
      </x:c>
      <x:c r="E1655" s="13" t="str">
        <x:v>Agri, Food &amp; Beverages</x:v>
      </x:c>
      <x:c r="F1655" s="13" t="str">
        <x:v>Defensives</x:v>
      </x:c>
      <x:c r="G1655" s="13" t="str">
        <x:v>grid_wekqfxnd.xlsx</x:v>
      </x:c>
    </x:row>
    <x:row r="1656">
      <x:c r="A1656" s="15" t="n">
        <x:v>41000</x:v>
      </x:c>
      <x:c r="B1656" s="13" t="str">
        <x:v>BRF SA</x:v>
      </x:c>
      <x:c r="C1656" s="16" t="n">
        <x:v>1769.8587669041</x:v>
      </x:c>
      <x:c r="D1656" s="13" t="str">
        <x:v>Food &amp; Beverages</x:v>
      </x:c>
      <x:c r="E1656" s="13" t="str">
        <x:v>Agri, Food &amp; Beverages</x:v>
      </x:c>
      <x:c r="F1656" s="13" t="str">
        <x:v>Defensives</x:v>
      </x:c>
      <x:c r="G1656" s="13" t="str">
        <x:v>grid_wekqfxnd.xlsx</x:v>
      </x:c>
    </x:row>
    <x:row r="1657">
      <x:c r="A1657" s="15" t="n">
        <x:v>41000</x:v>
      </x:c>
      <x:c r="B1657" s="13" t="str">
        <x:v>MBRF GLOBAL FOODS COMPANY SA</x:v>
      </x:c>
      <x:c r="C1657" s="16" t="n">
        <x:v>89.2610136986</x:v>
      </x:c>
      <x:c r="D1657" s="13" t="str">
        <x:v>Food &amp; Beverages</x:v>
      </x:c>
      <x:c r="E1657" s="13" t="str">
        <x:v>Agri, Food &amp; Beverages</x:v>
      </x:c>
      <x:c r="F1657" s="13" t="str">
        <x:v>Defensives</x:v>
      </x:c>
      <x:c r="G1657" s="13" t="str">
        <x:v>grid_wekqfxnd.xlsx</x:v>
      </x:c>
    </x:row>
    <x:row r="1658">
      <x:c r="A1658" s="15" t="n">
        <x:v>41000</x:v>
      </x:c>
      <x:c r="B1658" s="13" t="str">
        <x:v>SOUZA CRUZ LTDA</x:v>
      </x:c>
      <x:c r="C1658" s="16" t="n">
        <x:v>1830.4212164384</x:v>
      </x:c>
      <x:c r="D1658" s="13" t="str">
        <x:v>Food &amp; Beverages</x:v>
      </x:c>
      <x:c r="E1658" s="13" t="str">
        <x:v>Agri, Food &amp; Beverages</x:v>
      </x:c>
      <x:c r="F1658" s="13" t="str">
        <x:v>Defensives</x:v>
      </x:c>
      <x:c r="G1658" s="13" t="str">
        <x:v>grid_wekqfxnd.xlsx</x:v>
      </x:c>
    </x:row>
    <x:row r="1659">
      <x:c r="A1659" s="15" t="n">
        <x:v>41000</x:v>
      </x:c>
      <x:c r="B1659" s="13" t="str">
        <x:v>DIAGNOSTICOS DA AMERICA SA</x:v>
      </x:c>
      <x:c r="C1659" s="16" t="n">
        <x:v>300.5487123288</x:v>
      </x:c>
      <x:c r="D1659" s="13" t="str">
        <x:v>Health Care</x:v>
      </x:c>
      <x:c r="E1659" s="13" t="str">
        <x:v>Health Care</x:v>
      </x:c>
      <x:c r="F1659" s="13" t="str">
        <x:v>Defensives</x:v>
      </x:c>
      <x:c r="G1659" s="13" t="str">
        <x:v>grid_wekqfxnd.xlsx</x:v>
      </x:c>
    </x:row>
    <x:row r="1660">
      <x:c r="A1660" s="15" t="n">
        <x:v>41000</x:v>
      </x:c>
      <x:c r="B1660" s="13" t="str">
        <x:v>HYPERA SA</x:v>
      </x:c>
      <x:c r="C1660" s="16" t="n">
        <x:v>338.5120631233</x:v>
      </x:c>
      <x:c r="D1660" s="13" t="str">
        <x:v>Health Care</x:v>
      </x:c>
      <x:c r="E1660" s="13" t="str">
        <x:v>Health Care</x:v>
      </x:c>
      <x:c r="F1660" s="13" t="str">
        <x:v>Defensives</x:v>
      </x:c>
      <x:c r="G1660" s="13" t="str">
        <x:v>grid_wekqfxnd.xlsx</x:v>
      </x:c>
    </x:row>
    <x:row r="1661">
      <x:c r="A1661" s="15" t="n">
        <x:v>41000</x:v>
      </x:c>
      <x:c r="B1661" s="13" t="str">
        <x:v>CYRELA BRAZIL REALTY SA EMP</x:v>
      </x:c>
      <x:c r="C1661" s="16" t="n">
        <x:v>866.4458739726</x:v>
      </x:c>
      <x:c r="D1661" s="13" t="str">
        <x:v>Homebuilders</x:v>
      </x:c>
      <x:c r="E1661" s="13" t="str">
        <x:v>Real Estate</x:v>
      </x:c>
      <x:c r="F1661" s="13" t="str">
        <x:v>Early Cyclicals</x:v>
      </x:c>
      <x:c r="G1661" s="13" t="str">
        <x:v>grid_wekqfxnd.xlsx</x:v>
      </x:c>
    </x:row>
    <x:row r="1662">
      <x:c r="A1662" s="15" t="n">
        <x:v>41000</x:v>
      </x:c>
      <x:c r="B1662" s="13" t="str">
        <x:v>GAFISA SA</x:v>
      </x:c>
      <x:c r="C1662" s="16" t="n">
        <x:v>300.5537424658</x:v>
      </x:c>
      <x:c r="D1662" s="13" t="str">
        <x:v>Homebuilders</x:v>
      </x:c>
      <x:c r="E1662" s="13" t="str">
        <x:v>Real Estate</x:v>
      </x:c>
      <x:c r="F1662" s="13" t="str">
        <x:v>Early Cyclicals</x:v>
      </x:c>
      <x:c r="G1662" s="13" t="str">
        <x:v>grid_wekqfxnd.xlsx</x:v>
      </x:c>
    </x:row>
    <x:row r="1663">
      <x:c r="A1663" s="15" t="n">
        <x:v>41000</x:v>
      </x:c>
      <x:c r="B1663" s="13" t="str">
        <x:v>MRV ENGENHARIA</x:v>
      </x:c>
      <x:c r="C1663" s="16" t="n">
        <x:v>860.5079811507</x:v>
      </x:c>
      <x:c r="D1663" s="13" t="str">
        <x:v>Homebuilders</x:v>
      </x:c>
      <x:c r="E1663" s="13" t="str">
        <x:v>Real Estate</x:v>
      </x:c>
      <x:c r="F1663" s="13" t="str">
        <x:v>Early Cyclicals</x:v>
      </x:c>
      <x:c r="G1663" s="13" t="str">
        <x:v>grid_wekqfxnd.xlsx</x:v>
      </x:c>
    </x:row>
    <x:row r="1664">
      <x:c r="A1664" s="15" t="n">
        <x:v>41000</x:v>
      </x:c>
      <x:c r="B1664" s="13" t="str">
        <x:v>PDG REALTY SA</x:v>
      </x:c>
      <x:c r="C1664" s="16" t="n">
        <x:v>1117.8037041096</x:v>
      </x:c>
      <x:c r="D1664" s="13" t="str">
        <x:v>Homebuilders</x:v>
      </x:c>
      <x:c r="E1664" s="13" t="str">
        <x:v>Real Estate</x:v>
      </x:c>
      <x:c r="F1664" s="13" t="str">
        <x:v>Early Cyclicals</x:v>
      </x:c>
      <x:c r="G1664" s="13" t="str">
        <x:v>grid_wekqfxnd.xlsx</x:v>
      </x:c>
    </x:row>
    <x:row r="1665">
      <x:c r="A1665" s="15" t="n">
        <x:v>41000</x:v>
      </x:c>
      <x:c r="B1665" s="13" t="str">
        <x:v>ROSSI RESIDENCIAL SA</x:v>
      </x:c>
      <x:c r="C1665" s="16" t="n">
        <x:v>446.0893808219</x:v>
      </x:c>
      <x:c r="D1665" s="13" t="str">
        <x:v>Homebuilders</x:v>
      </x:c>
      <x:c r="E1665" s="13" t="str">
        <x:v>Real Estate</x:v>
      </x:c>
      <x:c r="F1665" s="13" t="str">
        <x:v>Early Cyclicals</x:v>
      </x:c>
      <x:c r="G1665" s="13" t="str">
        <x:v>grid_wekqfxnd.xlsx</x:v>
      </x:c>
    </x:row>
    <x:row r="1666">
      <x:c r="A1666" s="15" t="n">
        <x:v>41000</x:v>
      </x:c>
      <x:c r="B1666" s="13" t="str">
        <x:v>TEGRA INCORPORADORA SA</x:v>
      </x:c>
      <x:c r="C1666" s="16" t="n">
        <x:v>432.0499313973</x:v>
      </x:c>
      <x:c r="D1666" s="13" t="str">
        <x:v>Homebuilders</x:v>
      </x:c>
      <x:c r="E1666" s="13" t="str">
        <x:v>Real Estate</x:v>
      </x:c>
      <x:c r="F1666" s="13" t="str">
        <x:v>Early Cyclicals</x:v>
      </x:c>
      <x:c r="G1666" s="13" t="str">
        <x:v>grid_wekqfxnd.xlsx</x:v>
      </x:c>
    </x:row>
    <x:row r="1667">
      <x:c r="A1667" s="15" t="n">
        <x:v>41000</x:v>
      </x:c>
      <x:c r="B1667" s="13" t="str">
        <x:v>BR MALLS PARTICIPACOES SA</x:v>
      </x:c>
      <x:c r="C1667" s="16" t="n">
        <x:v>499.7701834521</x:v>
      </x:c>
      <x:c r="D1667" s="13" t="str">
        <x:v>Income Properties</x:v>
      </x:c>
      <x:c r="E1667" s="13" t="str">
        <x:v>Real Estate</x:v>
      </x:c>
      <x:c r="F1667" s="13" t="str">
        <x:v>Early Cyclicals</x:v>
      </x:c>
      <x:c r="G1667" s="13" t="str">
        <x:v>grid_wekqfxnd.xlsx</x:v>
      </x:c>
    </x:row>
    <x:row r="1668">
      <x:c r="A1668" s="15" t="n">
        <x:v>41000</x:v>
      </x:c>
      <x:c r="B1668" s="13" t="str">
        <x:v>BRADESPAR SA -PREF</x:v>
      </x:c>
      <x:c r="C1668" s="16" t="n">
        <x:v>2163.1027340274</x:v>
      </x:c>
      <x:c r="D1668" s="13" t="str">
        <x:v>Metals &amp; Mining</x:v>
      </x:c>
      <x:c r="E1668" s="13" t="str">
        <x:v>Metals &amp; Mining</x:v>
      </x:c>
      <x:c r="F1668" s="13" t="str">
        <x:v>Deep Cyclicals</x:v>
      </x:c>
      <x:c r="G1668" s="13" t="str">
        <x:v>grid_wekqfxnd.xlsx</x:v>
      </x:c>
    </x:row>
    <x:row r="1669">
      <x:c r="A1669" s="15" t="n">
        <x:v>41000</x:v>
      </x:c>
      <x:c r="B1669" s="13" t="str">
        <x:v>CIA SIDERURGICA NACIONAL SA</x:v>
      </x:c>
      <x:c r="C1669" s="16" t="n">
        <x:v>2479.2079675616</x:v>
      </x:c>
      <x:c r="D1669" s="13" t="str">
        <x:v>Metals &amp; Mining</x:v>
      </x:c>
      <x:c r="E1669" s="13" t="str">
        <x:v>Metals &amp; Mining</x:v>
      </x:c>
      <x:c r="F1669" s="13" t="str">
        <x:v>Deep Cyclicals</x:v>
      </x:c>
      <x:c r="G1669" s="13" t="str">
        <x:v>grid_wekqfxnd.xlsx</x:v>
      </x:c>
    </x:row>
    <x:row r="1670">
      <x:c r="A1670" s="15" t="n">
        <x:v>41000</x:v>
      </x:c>
      <x:c r="B1670" s="13" t="str">
        <x:v>GERDAU SA-PREF</x:v>
      </x:c>
      <x:c r="C1670" s="16" t="n">
        <x:v>2575.4006794521</x:v>
      </x:c>
      <x:c r="D1670" s="13" t="str">
        <x:v>Metals &amp; Mining</x:v>
      </x:c>
      <x:c r="E1670" s="13" t="str">
        <x:v>Metals &amp; Mining</x:v>
      </x:c>
      <x:c r="F1670" s="13" t="str">
        <x:v>Deep Cyclicals</x:v>
      </x:c>
      <x:c r="G1670" s="13" t="str">
        <x:v>grid_wekqfxnd.xlsx</x:v>
      </x:c>
    </x:row>
    <x:row r="1671">
      <x:c r="A1671" s="15" t="n">
        <x:v>41000</x:v>
      </x:c>
      <x:c r="B1671" s="13" t="str">
        <x:v>METALURGICA GERDAU SA-PREF</x:v>
      </x:c>
      <x:c r="C1671" s="16" t="n">
        <x:v>1120.849325589</x:v>
      </x:c>
      <x:c r="D1671" s="13" t="str">
        <x:v>Metals &amp; Mining</x:v>
      </x:c>
      <x:c r="E1671" s="13" t="str">
        <x:v>Metals &amp; Mining</x:v>
      </x:c>
      <x:c r="F1671" s="13" t="str">
        <x:v>Deep Cyclicals</x:v>
      </x:c>
      <x:c r="G1671" s="13" t="str">
        <x:v>grid_wekqfxnd.xlsx</x:v>
      </x:c>
    </x:row>
    <x:row r="1672">
      <x:c r="A1672" s="15" t="n">
        <x:v>41000</x:v>
      </x:c>
      <x:c r="B1672" s="13" t="str">
        <x:v>MMX MINERACAO E METALICOS SA</x:v>
      </x:c>
      <x:c r="C1672" s="16" t="n">
        <x:v>147.4978493151</x:v>
      </x:c>
      <x:c r="D1672" s="13" t="str">
        <x:v>Metals &amp; Mining</x:v>
      </x:c>
      <x:c r="E1672" s="13" t="str">
        <x:v>Metals &amp; Mining</x:v>
      </x:c>
      <x:c r="F1672" s="13" t="str">
        <x:v>Deep Cyclicals</x:v>
      </x:c>
      <x:c r="G1672" s="13" t="str">
        <x:v>grid_wekqfxnd.xlsx</x:v>
      </x:c>
    </x:row>
    <x:row r="1673">
      <x:c r="A1673" s="15" t="n">
        <x:v>41000</x:v>
      </x:c>
      <x:c r="B1673" s="13" t="str">
        <x:v>USINAS SIDER MINAS GER-PF A</x:v>
      </x:c>
      <x:c r="C1673" s="16" t="n">
        <x:v>495.9767228493</x:v>
      </x:c>
      <x:c r="D1673" s="13" t="str">
        <x:v>Metals &amp; Mining</x:v>
      </x:c>
      <x:c r="E1673" s="13" t="str">
        <x:v>Metals &amp; Mining</x:v>
      </x:c>
      <x:c r="F1673" s="13" t="str">
        <x:v>Deep Cyclicals</x:v>
      </x:c>
      <x:c r="G1673" s="13" t="str">
        <x:v>grid_wekqfxnd.xlsx</x:v>
      </x:c>
    </x:row>
    <x:row r="1674">
      <x:c r="A1674" s="15" t="n">
        <x:v>41000</x:v>
      </x:c>
      <x:c r="B1674" s="13" t="str">
        <x:v>USINAS SIDERURGICAS DE MINAS</x:v>
      </x:c>
      <x:c r="C1674" s="16" t="n">
        <x:v>495.9767228493</x:v>
      </x:c>
      <x:c r="D1674" s="13" t="str">
        <x:v>Metals &amp; Mining</x:v>
      </x:c>
      <x:c r="E1674" s="13" t="str">
        <x:v>Metals &amp; Mining</x:v>
      </x:c>
      <x:c r="F1674" s="13" t="str">
        <x:v>Deep Cyclicals</x:v>
      </x:c>
      <x:c r="G1674" s="13" t="str">
        <x:v>grid_wekqfxnd.xlsx</x:v>
      </x:c>
    </x:row>
    <x:row r="1675">
      <x:c r="A1675" s="15" t="n">
        <x:v>41000</x:v>
      </x:c>
      <x:c r="B1675" s="13" t="str">
        <x:v>VALE SA</x:v>
      </x:c>
      <x:c r="C1675" s="16" t="n">
        <x:v>33529.4854242192</x:v>
      </x:c>
      <x:c r="D1675" s="13" t="str">
        <x:v>Metals &amp; Mining</x:v>
      </x:c>
      <x:c r="E1675" s="13" t="str">
        <x:v>Metals &amp; Mining</x:v>
      </x:c>
      <x:c r="F1675" s="13" t="str">
        <x:v>Deep Cyclicals</x:v>
      </x:c>
      <x:c r="G1675" s="13" t="str">
        <x:v>grid_wekqfxnd.xlsx</x:v>
      </x:c>
    </x:row>
    <x:row r="1676">
      <x:c r="A1676" s="15" t="n">
        <x:v>41000</x:v>
      </x:c>
      <x:c r="B1676" s="13" t="str">
        <x:v>BRASKEM SA-PREF A</x:v>
      </x:c>
      <x:c r="C1676" s="16" t="n">
        <x:v>824.1961205479</x:v>
      </x:c>
      <x:c r="D1676" s="13" t="str">
        <x:v>Oil, Gas &amp; Petrochemicals</x:v>
      </x:c>
      <x:c r="E1676" s="13" t="str">
        <x:v>Oil, Gas &amp; Petrochemicals</x:v>
      </x:c>
      <x:c r="F1676" s="13" t="str">
        <x:v>Deep Cyclicals</x:v>
      </x:c>
      <x:c r="G1676" s="13" t="str">
        <x:v>grid_wekqfxnd.xlsx</x:v>
      </x:c>
    </x:row>
    <x:row r="1677">
      <x:c r="A1677" s="15" t="n">
        <x:v>41000</x:v>
      </x:c>
      <x:c r="B1677" s="13" t="str">
        <x:v>OLEO E GAS PARTICIPACOES SA</x:v>
      </x:c>
      <x:c r="C1677" s="16" t="n">
        <x:v>612.3848789041</x:v>
      </x:c>
      <x:c r="D1677" s="13" t="str">
        <x:v>Oil, Gas &amp; Petrochemicals</x:v>
      </x:c>
      <x:c r="E1677" s="13" t="str">
        <x:v>Oil, Gas &amp; Petrochemicals</x:v>
      </x:c>
      <x:c r="F1677" s="13" t="str">
        <x:v>Deep Cyclicals</x:v>
      </x:c>
      <x:c r="G1677" s="13" t="str">
        <x:v>grid_wekqfxnd.xlsx</x:v>
      </x:c>
    </x:row>
    <x:row r="1678">
      <x:c r="A1678" s="15" t="n">
        <x:v>41000</x:v>
      </x:c>
      <x:c r="B1678" s="13" t="str">
        <x:v>PETROBRAS - PETROLEO BRAS</x:v>
      </x:c>
      <x:c r="C1678" s="16" t="n">
        <x:v>36523.2998820822</x:v>
      </x:c>
      <x:c r="D1678" s="13" t="str">
        <x:v>Oil, Gas &amp; Petrochemicals</x:v>
      </x:c>
      <x:c r="E1678" s="13" t="str">
        <x:v>Oil, Gas &amp; Petrochemicals</x:v>
      </x:c>
      <x:c r="F1678" s="13" t="str">
        <x:v>Deep Cyclicals</x:v>
      </x:c>
      <x:c r="G1678" s="13" t="str">
        <x:v>grid_wekqfxnd.xlsx</x:v>
      </x:c>
    </x:row>
    <x:row r="1679">
      <x:c r="A1679" s="15" t="n">
        <x:v>41000</x:v>
      </x:c>
      <x:c r="B1679" s="13" t="str">
        <x:v>ULTRAPAR PARTICIPACOES SA</x:v>
      </x:c>
      <x:c r="C1679" s="16" t="n">
        <x:v>1042.4874976438</x:v>
      </x:c>
      <x:c r="D1679" s="13" t="str">
        <x:v>Oil, Gas &amp; Petrochemicals</x:v>
      </x:c>
      <x:c r="E1679" s="13" t="str">
        <x:v>Oil, Gas &amp; Petrochemicals</x:v>
      </x:c>
      <x:c r="F1679" s="13" t="str">
        <x:v>Deep Cyclicals</x:v>
      </x:c>
      <x:c r="G1679" s="13" t="str">
        <x:v>grid_wekqfxnd.xlsx</x:v>
      </x:c>
    </x:row>
    <x:row r="1680">
      <x:c r="A1680" s="15" t="n">
        <x:v>41000</x:v>
      </x:c>
      <x:c r="B1680" s="13" t="str">
        <x:v>DEXCO SA</x:v>
      </x:c>
      <x:c r="C1680" s="16" t="n">
        <x:v>410.8878987397</x:v>
      </x:c>
      <x:c r="D1680" s="13" t="str">
        <x:v>Pulp &amp; Paper</x:v>
      </x:c>
      <x:c r="E1680" s="13" t="str">
        <x:v>Pulp &amp; Paper</x:v>
      </x:c>
      <x:c r="F1680" s="13" t="str">
        <x:v>Deep Cyclicals</x:v>
      </x:c>
      <x:c r="G1680" s="13" t="str">
        <x:v>grid_wekqfxnd.xlsx</x:v>
      </x:c>
    </x:row>
    <x:row r="1681">
      <x:c r="A1681" s="15" t="n">
        <x:v>41000</x:v>
      </x:c>
      <x:c r="B1681" s="13" t="str">
        <x:v>FIBRIA CELULOSE S/A</x:v>
      </x:c>
      <x:c r="C1681" s="16" t="n">
        <x:v>-160.555369863</x:v>
      </x:c>
      <x:c r="D1681" s="13" t="str">
        <x:v>Pulp &amp; Paper</x:v>
      </x:c>
      <x:c r="E1681" s="13" t="str">
        <x:v>Pulp &amp; Paper</x:v>
      </x:c>
      <x:c r="F1681" s="13" t="str">
        <x:v>Deep Cyclicals</x:v>
      </x:c>
      <x:c r="G1681" s="13" t="str">
        <x:v>grid_wekqfxnd.xlsx</x:v>
      </x:c>
    </x:row>
    <x:row r="1682">
      <x:c r="A1682" s="15" t="n">
        <x:v>41000</x:v>
      </x:c>
      <x:c r="B1682" s="13" t="str">
        <x:v>AMERICANAS SA</x:v>
      </x:c>
      <x:c r="C1682" s="16" t="n">
        <x:v>44.431009589</x:v>
      </x:c>
      <x:c r="D1682" s="13" t="str">
        <x:v>Retail</x:v>
      </x:c>
      <x:c r="E1682" s="13" t="str">
        <x:v>Retail</x:v>
      </x:c>
      <x:c r="F1682" s="13" t="str">
        <x:v>Early Cyclicals</x:v>
      </x:c>
      <x:c r="G1682" s="13" t="str">
        <x:v>grid_wekqfxnd.xlsx</x:v>
      </x:c>
    </x:row>
    <x:row r="1683">
      <x:c r="A1683" s="15" t="n">
        <x:v>41000</x:v>
      </x:c>
      <x:c r="B1683" s="13" t="str">
        <x:v>CIA BRASILEIRA DE DIS-PREF</x:v>
      </x:c>
      <x:c r="C1683" s="16" t="n">
        <x:v>1095.1056113973</x:v>
      </x:c>
      <x:c r="D1683" s="13" t="str">
        <x:v>Retail</x:v>
      </x:c>
      <x:c r="E1683" s="13" t="str">
        <x:v>Retail</x:v>
      </x:c>
      <x:c r="F1683" s="13" t="str">
        <x:v>Early Cyclicals</x:v>
      </x:c>
      <x:c r="G1683" s="13" t="str">
        <x:v>grid_wekqfxnd.xlsx</x:v>
      </x:c>
    </x:row>
    <x:row r="1684">
      <x:c r="A1684" s="15" t="n">
        <x:v>41000</x:v>
      </x:c>
      <x:c r="B1684" s="13" t="str">
        <x:v>CIA HERING</x:v>
      </x:c>
      <x:c r="C1684" s="16" t="n">
        <x:v>395.7432469041</x:v>
      </x:c>
      <x:c r="D1684" s="13" t="str">
        <x:v>Retail</x:v>
      </x:c>
      <x:c r="E1684" s="13" t="str">
        <x:v>Retail</x:v>
      </x:c>
      <x:c r="F1684" s="13" t="str">
        <x:v>Early Cyclicals</x:v>
      </x:c>
      <x:c r="G1684" s="13" t="str">
        <x:v>grid_wekqfxnd.xlsx</x:v>
      </x:c>
    </x:row>
    <x:row r="1685">
      <x:c r="A1685" s="15" t="n">
        <x:v>41000</x:v>
      </x:c>
      <x:c r="B1685" s="13" t="str">
        <x:v>LOJAS AMERICANAS SA-PREF</x:v>
      </x:c>
      <x:c r="C1685" s="16" t="n">
        <x:v>519.9420957808</x:v>
      </x:c>
      <x:c r="D1685" s="13" t="str">
        <x:v>Retail</x:v>
      </x:c>
      <x:c r="E1685" s="13" t="str">
        <x:v>Retail</x:v>
      </x:c>
      <x:c r="F1685" s="13" t="str">
        <x:v>Early Cyclicals</x:v>
      </x:c>
      <x:c r="G1685" s="13" t="str">
        <x:v>grid_wekqfxnd.xlsx</x:v>
      </x:c>
    </x:row>
    <x:row r="1686">
      <x:c r="A1686" s="15" t="n">
        <x:v>41000</x:v>
      </x:c>
      <x:c r="B1686" s="13" t="str">
        <x:v>LOJAS RENNER S.A.</x:v>
      </x:c>
      <x:c r="C1686" s="16" t="n">
        <x:v>412.0355235068</x:v>
      </x:c>
      <x:c r="D1686" s="13" t="str">
        <x:v>Retail</x:v>
      </x:c>
      <x:c r="E1686" s="13" t="str">
        <x:v>Retail</x:v>
      </x:c>
      <x:c r="F1686" s="13" t="str">
        <x:v>Early Cyclicals</x:v>
      </x:c>
      <x:c r="G1686" s="13" t="str">
        <x:v>grid_wekqfxnd.xlsx</x:v>
      </x:c>
    </x:row>
    <x:row r="1687">
      <x:c r="A1687" s="15" t="n">
        <x:v>41000</x:v>
      </x:c>
      <x:c r="B1687" s="13" t="str">
        <x:v>NATURA COSMETICOS SA</x:v>
      </x:c>
      <x:c r="C1687" s="16" t="n">
        <x:v>916.5519307397</x:v>
      </x:c>
      <x:c r="D1687" s="13" t="str">
        <x:v>Retail</x:v>
      </x:c>
      <x:c r="E1687" s="13" t="str">
        <x:v>Retail</x:v>
      </x:c>
      <x:c r="F1687" s="13" t="str">
        <x:v>Early Cyclicals</x:v>
      </x:c>
      <x:c r="G1687" s="13" t="str">
        <x:v>grid_wekqfxnd.xlsx</x:v>
      </x:c>
    </x:row>
    <x:row r="1688">
      <x:c r="A1688" s="15" t="n">
        <x:v>41000</x:v>
      </x:c>
      <x:c r="B1688" s="13" t="str">
        <x:v>CIA SANEAMENTO BASICO DE SP</x:v>
      </x:c>
      <x:c r="C1688" s="16" t="n">
        <x:v>1706.794520548</x:v>
      </x:c>
      <x:c r="D1688" s="13" t="str">
        <x:v>Sanitation</x:v>
      </x:c>
      <x:c r="E1688" s="13" t="str">
        <x:v>Utilities</x:v>
      </x:c>
      <x:c r="F1688" s="13" t="str">
        <x:v>Defensives</x:v>
      </x:c>
      <x:c r="G1688" s="13" t="str">
        <x:v>grid_wekqfxnd.xlsx</x:v>
      </x:c>
    </x:row>
    <x:row r="1689">
      <x:c r="A1689" s="15" t="n">
        <x:v>41000</x:v>
      </x:c>
      <x:c r="B1689" s="13" t="str">
        <x:v>OI S.A.</x:v>
      </x:c>
      <x:c r="C1689" s="16" t="n">
        <x:v>780.7900764932</x:v>
      </x:c>
      <x:c r="D1689" s="13" t="str">
        <x:v>TMT</x:v>
      </x:c>
      <x:c r="E1689" s="13" t="str">
        <x:v>TMT</x:v>
      </x:c>
      <x:c r="F1689" s="13" t="str">
        <x:v>Early Cyclicals</x:v>
      </x:c>
      <x:c r="G1689" s="13" t="str">
        <x:v>grid_wekqfxnd.xlsx</x:v>
      </x:c>
    </x:row>
    <x:row r="1690">
      <x:c r="A1690" s="15" t="n">
        <x:v>41000</x:v>
      </x:c>
      <x:c r="B1690" s="13" t="str">
        <x:v>OI SA-PREFERENCE</x:v>
      </x:c>
      <x:c r="C1690" s="16" t="n">
        <x:v>780.7900764932</x:v>
      </x:c>
      <x:c r="D1690" s="13" t="str">
        <x:v>TMT</x:v>
      </x:c>
      <x:c r="E1690" s="13" t="str">
        <x:v>TMT</x:v>
      </x:c>
      <x:c r="F1690" s="13" t="str">
        <x:v>Early Cyclicals</x:v>
      </x:c>
      <x:c r="G1690" s="13" t="str">
        <x:v>grid_wekqfxnd.xlsx</x:v>
      </x:c>
    </x:row>
    <x:row r="1691">
      <x:c r="A1691" s="15" t="n">
        <x:v>41000</x:v>
      </x:c>
      <x:c r="B1691" s="13" t="str">
        <x:v>TELEFONICA BRASIL S.A.-PREF</x:v>
      </x:c>
      <x:c r="C1691" s="16" t="n">
        <x:v>5224.1219822466</x:v>
      </x:c>
      <x:c r="D1691" s="13" t="str">
        <x:v>TMT</x:v>
      </x:c>
      <x:c r="E1691" s="13" t="str">
        <x:v>TMT</x:v>
      </x:c>
      <x:c r="F1691" s="13" t="str">
        <x:v>Early Cyclicals</x:v>
      </x:c>
      <x:c r="G1691" s="13" t="str">
        <x:v>grid_wekqfxnd.xlsx</x:v>
      </x:c>
    </x:row>
    <x:row r="1692">
      <x:c r="A1692" s="15" t="n">
        <x:v>41000</x:v>
      </x:c>
      <x:c r="B1692" s="13" t="str">
        <x:v>TIM SA</x:v>
      </x:c>
      <x:c r="C1692" s="16" t="n">
        <x:v>1770.5591723836</x:v>
      </x:c>
      <x:c r="D1692" s="13" t="str">
        <x:v>TMT</x:v>
      </x:c>
      <x:c r="E1692" s="13" t="str">
        <x:v>TMT</x:v>
      </x:c>
      <x:c r="F1692" s="13" t="str">
        <x:v>Early Cyclicals</x:v>
      </x:c>
      <x:c r="G1692" s="13" t="str">
        <x:v>grid_wekqfxnd.xlsx</x:v>
      </x:c>
    </x:row>
    <x:row r="1693">
      <x:c r="A1693" s="15" t="n">
        <x:v>41000</x:v>
      </x:c>
      <x:c r="B1693" s="13" t="str">
        <x:v>GOL LINHAS AEREAS INT SA-PRE</x:v>
      </x:c>
      <x:c r="C1693" s="16" t="n">
        <x:v>50.3452054795</x:v>
      </x:c>
      <x:c r="D1693" s="13" t="str">
        <x:v>Transportation</x:v>
      </x:c>
      <x:c r="E1693" s="13" t="str">
        <x:v>Transportation</x:v>
      </x:c>
      <x:c r="F1693" s="13" t="str">
        <x:v>Deep Cyclicals</x:v>
      </x:c>
      <x:c r="G1693" s="13" t="str">
        <x:v>grid_wekqfxnd.xlsx</x:v>
      </x:c>
    </x:row>
    <x:row r="1694">
      <x:c r="A1694" s="15" t="n">
        <x:v>41000</x:v>
      </x:c>
      <x:c r="B1694" s="13" t="str">
        <x:v>LOCALIZA RENT A CAR</x:v>
      </x:c>
      <x:c r="C1694" s="16" t="n">
        <x:v>377.5298713425</x:v>
      </x:c>
      <x:c r="D1694" s="13" t="str">
        <x:v>Transportation</x:v>
      </x:c>
      <x:c r="E1694" s="13" t="str">
        <x:v>Transportation</x:v>
      </x:c>
      <x:c r="F1694" s="13" t="str">
        <x:v>Deep Cyclicals</x:v>
      </x:c>
      <x:c r="G1694" s="13" t="str">
        <x:v>grid_wekqfxnd.xlsx</x:v>
      </x:c>
    </x:row>
    <x:row r="1695">
      <x:c r="A1695" s="15" t="n">
        <x:v>41000</x:v>
      </x:c>
      <x:c r="B1695" s="13" t="str">
        <x:v>MOTIVA INFRAESTRUTURA DE MOB</x:v>
      </x:c>
      <x:c r="C1695" s="16" t="n">
        <x:v>1374.1960170959</x:v>
      </x:c>
      <x:c r="D1695" s="13" t="str">
        <x:v>Transportation</x:v>
      </x:c>
      <x:c r="E1695" s="13" t="str">
        <x:v>Transportation</x:v>
      </x:c>
      <x:c r="F1695" s="13" t="str">
        <x:v>Deep Cyclicals</x:v>
      </x:c>
      <x:c r="G1695" s="13" t="str">
        <x:v>grid_wekqfxnd.xlsx</x:v>
      </x:c>
    </x:row>
    <x:row r="1696">
      <x:c r="A1696" s="15" t="n">
        <x:v>41000</x:v>
      </x:c>
      <x:c r="B1696" s="13" t="str">
        <x:v>PRUMO LOGISTICA SA</x:v>
      </x:c>
      <x:c r="C1696" s="16" t="n">
        <x:v>-123.4629178082</x:v>
      </x:c>
      <x:c r="D1696" s="13" t="str">
        <x:v>Transportation</x:v>
      </x:c>
      <x:c r="E1696" s="13" t="str">
        <x:v>Transportation</x:v>
      </x:c>
      <x:c r="F1696" s="13" t="str">
        <x:v>Deep Cyclicals</x:v>
      </x:c>
      <x:c r="G1696" s="13" t="str">
        <x:v>grid_wekqfxnd.xlsx</x:v>
      </x:c>
    </x:row>
    <x:row r="1697">
      <x:c r="A1697" s="15" t="n">
        <x:v>41000</x:v>
      </x:c>
      <x:c r="B1697" s="13" t="str">
        <x:v>RUMO SA</x:v>
      </x:c>
      <x:c r="C1697" s="16" t="n">
        <x:v>351.902739726</x:v>
      </x:c>
      <x:c r="D1697" s="13" t="str">
        <x:v>Transportation</x:v>
      </x:c>
      <x:c r="E1697" s="13" t="str">
        <x:v>Transportation</x:v>
      </x:c>
      <x:c r="F1697" s="13" t="str">
        <x:v>Deep Cyclicals</x:v>
      </x:c>
      <x:c r="G1697" s="13" t="str">
        <x:v>grid_wekqfxnd.xlsx</x:v>
      </x:c>
    </x:row>
    <x:row r="1698">
      <x:c r="A1698" s="15" t="n">
        <x:v>41000</x:v>
      </x:c>
      <x:c r="B1698" s="13" t="str">
        <x:v>TAM SA-PREF</x:v>
      </x:c>
      <x:c r="C1698" s="16" t="n">
        <x:v>309.3540962192</x:v>
      </x:c>
      <x:c r="D1698" s="13" t="str">
        <x:v>Transportation</x:v>
      </x:c>
      <x:c r="E1698" s="13" t="str">
        <x:v>Transportation</x:v>
      </x:c>
      <x:c r="F1698" s="13" t="str">
        <x:v>Deep Cyclicals</x:v>
      </x:c>
      <x:c r="G1698" s="13" t="str">
        <x:v>grid_wekqfxnd.xlsx</x:v>
      </x:c>
    </x:row>
    <x:row r="1699">
      <x:c r="A1699" s="15" t="n">
        <x:v>41000</x:v>
      </x:c>
      <x:c r="B1699" s="13" t="str">
        <x:v>AXIA ENERGIA SA</x:v>
      </x:c>
      <x:c r="C1699" s="16" t="n">
        <x:v>3934.2156519452</x:v>
      </x:c>
      <x:c r="D1699" s="13" t="str">
        <x:v>Utilities &amp; Energy</x:v>
      </x:c>
      <x:c r="E1699" s="13" t="str">
        <x:v>Utilities</x:v>
      </x:c>
      <x:c r="F1699" s="13" t="str">
        <x:v>Defensives</x:v>
      </x:c>
      <x:c r="G1699" s="13" t="str">
        <x:v>grid_wekqfxnd.xlsx</x:v>
      </x:c>
    </x:row>
    <x:row r="1700">
      <x:c r="A1700" s="15" t="n">
        <x:v>41000</x:v>
      </x:c>
      <x:c r="B1700" s="13" t="str">
        <x:v>AXIA ENERGIA-PR B</x:v>
      </x:c>
      <x:c r="C1700" s="16" t="n">
        <x:v>3934.2156519452</x:v>
      </x:c>
      <x:c r="D1700" s="13" t="str">
        <x:v>Utilities &amp; Energy</x:v>
      </x:c>
      <x:c r="E1700" s="13" t="str">
        <x:v>Utilities</x:v>
      </x:c>
      <x:c r="F1700" s="13" t="str">
        <x:v>Defensives</x:v>
      </x:c>
      <x:c r="G1700" s="13" t="str">
        <x:v>grid_wekqfxnd.xlsx</x:v>
      </x:c>
    </x:row>
    <x:row r="1701">
      <x:c r="A1701" s="15" t="n">
        <x:v>41000</x:v>
      </x:c>
      <x:c r="B1701" s="13" t="str">
        <x:v>CESP - CIA ENERGETICA DE SAO</x:v>
      </x:c>
      <x:c r="C1701" s="16" t="n">
        <x:v>693.9591951781</x:v>
      </x:c>
      <x:c r="D1701" s="13" t="str">
        <x:v>Utilities &amp; Energy</x:v>
      </x:c>
      <x:c r="E1701" s="13" t="str">
        <x:v>Utilities</x:v>
      </x:c>
      <x:c r="F1701" s="13" t="str">
        <x:v>Defensives</x:v>
      </x:c>
      <x:c r="G1701" s="13" t="str">
        <x:v>grid_wekqfxnd.xlsx</x:v>
      </x:c>
    </x:row>
    <x:row r="1702">
      <x:c r="A1702" s="15" t="n">
        <x:v>41000</x:v>
      </x:c>
      <x:c r="B1702" s="13" t="str">
        <x:v>CIA ENERGETICA MINAS GER-PRF</x:v>
      </x:c>
      <x:c r="C1702" s="16" t="n">
        <x:v>2841.0717597808</x:v>
      </x:c>
      <x:c r="D1702" s="13" t="str">
        <x:v>Utilities &amp; Energy</x:v>
      </x:c>
      <x:c r="E1702" s="13" t="str">
        <x:v>Utilities</x:v>
      </x:c>
      <x:c r="F1702" s="13" t="str">
        <x:v>Defensives</x:v>
      </x:c>
      <x:c r="G1702" s="13" t="str">
        <x:v>grid_wekqfxnd.xlsx</x:v>
      </x:c>
    </x:row>
    <x:row r="1703">
      <x:c r="A1703" s="15" t="n">
        <x:v>41000</x:v>
      </x:c>
      <x:c r="B1703" s="13" t="str">
        <x:v>COMPANHIA PARANAENSE -PREF B</x:v>
      </x:c>
      <x:c r="C1703" s="16" t="n">
        <x:v>1197.6912166575</x:v>
      </x:c>
      <x:c r="D1703" s="13" t="str">
        <x:v>Utilities &amp; Energy</x:v>
      </x:c>
      <x:c r="E1703" s="13" t="str">
        <x:v>Utilities</x:v>
      </x:c>
      <x:c r="F1703" s="13" t="str">
        <x:v>Defensives</x:v>
      </x:c>
      <x:c r="G1703" s="13" t="str">
        <x:v>grid_wekqfxnd.xlsx</x:v>
      </x:c>
    </x:row>
    <x:row r="1704">
      <x:c r="A1704" s="15" t="n">
        <x:v>41000</x:v>
      </x:c>
      <x:c r="B1704" s="13" t="str">
        <x:v>CPFL ENERGIA SA</x:v>
      </x:c>
      <x:c r="C1704" s="16" t="n">
        <x:v>1525.0856328767</x:v>
      </x:c>
      <x:c r="D1704" s="13" t="str">
        <x:v>Utilities &amp; Energy</x:v>
      </x:c>
      <x:c r="E1704" s="13" t="str">
        <x:v>Utilities</x:v>
      </x:c>
      <x:c r="F1704" s="13" t="str">
        <x:v>Defensives</x:v>
      </x:c>
      <x:c r="G1704" s="13" t="str">
        <x:v>grid_wekqfxnd.xlsx</x:v>
      </x:c>
    </x:row>
    <x:row r="1705">
      <x:c r="A1705" s="15" t="n">
        <x:v>41000</x:v>
      </x:c>
      <x:c r="B1705" s="13" t="str">
        <x:v>ELETROPAULO METROPOLI-PREF</x:v>
      </x:c>
      <x:c r="C1705" s="16" t="n">
        <x:v>419.908339726</x:v>
      </x:c>
      <x:c r="D1705" s="13" t="str">
        <x:v>Utilities &amp; Energy</x:v>
      </x:c>
      <x:c r="E1705" s="13" t="str">
        <x:v>Utilities</x:v>
      </x:c>
      <x:c r="F1705" s="13" t="str">
        <x:v>Defensives</x:v>
      </x:c>
      <x:c r="G1705" s="13" t="str">
        <x:v>grid_wekqfxnd.xlsx</x:v>
      </x:c>
    </x:row>
    <x:row r="1706">
      <x:c r="A1706" s="15" t="n">
        <x:v>41000</x:v>
      </x:c>
      <x:c r="B1706" s="13" t="str">
        <x:v>ISA ENERGIA BRASIL SA</x:v>
      </x:c>
      <x:c r="C1706" s="16" t="n">
        <x:v>1015.4808626849</x:v>
      </x:c>
      <x:c r="D1706" s="13" t="str">
        <x:v>Utilities &amp; Energy</x:v>
      </x:c>
      <x:c r="E1706" s="13" t="str">
        <x:v>Utilities</x:v>
      </x:c>
      <x:c r="F1706" s="13" t="str">
        <x:v>Defensives</x:v>
      </x:c>
      <x:c r="G1706" s="13" t="str">
        <x:v>grid_wekqfxnd.xlsx</x:v>
      </x:c>
    </x:row>
    <x:row r="1707">
      <x:c r="A1707" s="15" t="n">
        <x:v>41000</x:v>
      </x:c>
      <x:c r="B1707" s="13" t="str">
        <x:v>LIGHT SA</x:v>
      </x:c>
      <x:c r="C1707" s="16" t="n">
        <x:v>524.0049503562</x:v>
      </x:c>
      <x:c r="D1707" s="13" t="str">
        <x:v>Utilities &amp; Energy</x:v>
      </x:c>
      <x:c r="E1707" s="13" t="str">
        <x:v>Utilities</x:v>
      </x:c>
      <x:c r="F1707" s="13" t="str">
        <x:v>Defensives</x:v>
      </x:c>
      <x:c r="G1707" s="13" t="str">
        <x:v>grid_wekqfxnd.xlsx</x:v>
      </x:c>
    </x:row>
    <x:row r="1708">
      <x:c r="A1708" s="15" t="n">
        <x:v>41030</x:v>
      </x:c>
      <x:c r="B1708" s="13" t="str">
        <x:v>BANCO BRADESCO SA-PREF</x:v>
      </x:c>
      <x:c r="C1708" s="16" t="n">
        <x:v>12748.4958495562</x:v>
      </x:c>
      <x:c r="D1708" s="13" t="str">
        <x:v>Banks</x:v>
      </x:c>
      <x:c r="E1708" s="13" t="str">
        <x:v>Banks</x:v>
      </x:c>
      <x:c r="F1708" s="13" t="str">
        <x:v>Financials</x:v>
      </x:c>
      <x:c r="G1708" s="13" t="str">
        <x:v>grid_wekqfxnd.xlsx</x:v>
      </x:c>
    </x:row>
    <x:row r="1709">
      <x:c r="A1709" s="15" t="n">
        <x:v>41030</x:v>
      </x:c>
      <x:c r="B1709" s="13" t="str">
        <x:v>BANCO DO BRASIL S.A.</x:v>
      </x:c>
      <x:c r="C1709" s="16" t="n">
        <x:v>11812.9872896</x:v>
      </x:c>
      <x:c r="D1709" s="13" t="str">
        <x:v>Banks</x:v>
      </x:c>
      <x:c r="E1709" s="13" t="str">
        <x:v>Banks</x:v>
      </x:c>
      <x:c r="F1709" s="13" t="str">
        <x:v>Financials</x:v>
      </x:c>
      <x:c r="G1709" s="13" t="str">
        <x:v>grid_wekqfxnd.xlsx</x:v>
      </x:c>
    </x:row>
    <x:row r="1710">
      <x:c r="A1710" s="15" t="n">
        <x:v>41030</x:v>
      </x:c>
      <x:c r="B1710" s="13" t="str">
        <x:v>BANCO SANTANDER  BRASIL-UNIT</x:v>
      </x:c>
      <x:c r="C1710" s="16" t="n">
        <x:v>7192.5610355726</x:v>
      </x:c>
      <x:c r="D1710" s="13" t="str">
        <x:v>Banks</x:v>
      </x:c>
      <x:c r="E1710" s="13" t="str">
        <x:v>Banks</x:v>
      </x:c>
      <x:c r="F1710" s="13" t="str">
        <x:v>Financials</x:v>
      </x:c>
      <x:c r="G1710" s="13" t="str">
        <x:v>grid_wekqfxnd.xlsx</x:v>
      </x:c>
    </x:row>
    <x:row r="1711">
      <x:c r="A1711" s="15" t="n">
        <x:v>41030</x:v>
      </x:c>
      <x:c r="B1711" s="13" t="str">
        <x:v>ITAU UNIBANCO HOLDING S-PREF</x:v>
      </x:c>
      <x:c r="C1711" s="16" t="n">
        <x:v>16106.0971337644</x:v>
      </x:c>
      <x:c r="D1711" s="13" t="str">
        <x:v>Banks</x:v>
      </x:c>
      <x:c r="E1711" s="13" t="str">
        <x:v>Banks</x:v>
      </x:c>
      <x:c r="F1711" s="13" t="str">
        <x:v>Financials</x:v>
      </x:c>
      <x:c r="G1711" s="13" t="str">
        <x:v>grid_wekqfxnd.xlsx</x:v>
      </x:c>
    </x:row>
    <x:row r="1712">
      <x:c r="A1712" s="15" t="n">
        <x:v>41030</x:v>
      </x:c>
      <x:c r="B1712" s="13" t="str">
        <x:v>EMBRAER SA</x:v>
      </x:c>
      <x:c r="C1712" s="16" t="n">
        <x:v>958.0304987178</x:v>
      </x:c>
      <x:c r="D1712" s="13" t="str">
        <x:v>Capital Goods</x:v>
      </x:c>
      <x:c r="E1712" s="13" t="str">
        <x:v>Capital Goods</x:v>
      </x:c>
      <x:c r="F1712" s="13" t="str">
        <x:v>Deep Cyclicals</x:v>
      </x:c>
      <x:c r="G1712" s="13" t="str">
        <x:v>grid_wekqfxnd.xlsx</x:v>
      </x:c>
    </x:row>
    <x:row r="1713">
      <x:c r="A1713" s="15" t="n">
        <x:v>41030</x:v>
      </x:c>
      <x:c r="B1713" s="13" t="str">
        <x:v>B3 SA-BRASIL BOLSA BALCAO</x:v>
      </x:c>
      <x:c r="C1713" s="16" t="n">
        <x:v>1775.969069589</x:v>
      </x:c>
      <x:c r="D1713" s="13" t="str">
        <x:v>Financials Non-Banks</x:v>
      </x:c>
      <x:c r="E1713" s="13" t="str">
        <x:v>Financials Non-Banks</x:v>
      </x:c>
      <x:c r="F1713" s="13" t="str">
        <x:v>Financials</x:v>
      </x:c>
      <x:c r="G1713" s="13" t="str">
        <x:v>grid_wekqfxnd.xlsx</x:v>
      </x:c>
    </x:row>
    <x:row r="1714">
      <x:c r="A1714" s="15" t="n">
        <x:v>41030</x:v>
      </x:c>
      <x:c r="B1714" s="13" t="str">
        <x:v>CIELO SA - INSTITUICAO DE PA</x:v>
      </x:c>
      <x:c r="C1714" s="16" t="n">
        <x:v>2267.8736208658</x:v>
      </x:c>
      <x:c r="D1714" s="13" t="str">
        <x:v>Financials Non-Banks</x:v>
      </x:c>
      <x:c r="E1714" s="13" t="str">
        <x:v>Financials Non-Banks</x:v>
      </x:c>
      <x:c r="F1714" s="13" t="str">
        <x:v>Financials</x:v>
      </x:c>
      <x:c r="G1714" s="13" t="str">
        <x:v>grid_wekqfxnd.xlsx</x:v>
      </x:c>
    </x:row>
    <x:row r="1715">
      <x:c r="A1715" s="15" t="n">
        <x:v>41030</x:v>
      </x:c>
      <x:c r="B1715" s="13" t="str">
        <x:v>ITAUSA SA</x:v>
      </x:c>
      <x:c r="C1715" s="16" t="n">
        <x:v>5386.5754020822</x:v>
      </x:c>
      <x:c r="D1715" s="13" t="str">
        <x:v>Financials Non-Banks</x:v>
      </x:c>
      <x:c r="E1715" s="13" t="str">
        <x:v>Financials Non-Banks</x:v>
      </x:c>
      <x:c r="F1715" s="13" t="str">
        <x:v>Financials</x:v>
      </x:c>
      <x:c r="G1715" s="13" t="str">
        <x:v>grid_wekqfxnd.xlsx</x:v>
      </x:c>
    </x:row>
    <x:row r="1716">
      <x:c r="A1716" s="15" t="n">
        <x:v>41030</x:v>
      </x:c>
      <x:c r="B1716" s="13" t="str">
        <x:v>REDECARD INSTITUICAO DE PAGA</x:v>
      </x:c>
      <x:c r="C1716" s="16" t="n">
        <x:v>1628.916916252</x:v>
      </x:c>
      <x:c r="D1716" s="13" t="str">
        <x:v>Financials Non-Banks</x:v>
      </x:c>
      <x:c r="E1716" s="13" t="str">
        <x:v>Financials Non-Banks</x:v>
      </x:c>
      <x:c r="F1716" s="13" t="str">
        <x:v>Financials</x:v>
      </x:c>
      <x:c r="G1716" s="13" t="str">
        <x:v>grid_wekqfxnd.xlsx</x:v>
      </x:c>
    </x:row>
    <x:row r="1717">
      <x:c r="A1717" s="15" t="n">
        <x:v>41030</x:v>
      </x:c>
      <x:c r="B1717" s="13" t="str">
        <x:v>AMBEV SA</x:v>
      </x:c>
      <x:c r="C1717" s="16" t="n">
        <x:v>10734.2629453151</x:v>
      </x:c>
      <x:c r="D1717" s="13" t="str">
        <x:v>Food &amp; Beverages</x:v>
      </x:c>
      <x:c r="E1717" s="13" t="str">
        <x:v>Agri, Food &amp; Beverages</x:v>
      </x:c>
      <x:c r="F1717" s="13" t="str">
        <x:v>Defensives</x:v>
      </x:c>
      <x:c r="G1717" s="13" t="str">
        <x:v>grid_wekqfxnd.xlsx</x:v>
      </x:c>
    </x:row>
    <x:row r="1718">
      <x:c r="A1718" s="15" t="n">
        <x:v>41030</x:v>
      </x:c>
      <x:c r="B1718" s="13" t="str">
        <x:v>BRF SA</x:v>
      </x:c>
      <x:c r="C1718" s="16" t="n">
        <x:v>1759.9952047342</x:v>
      </x:c>
      <x:c r="D1718" s="13" t="str">
        <x:v>Food &amp; Beverages</x:v>
      </x:c>
      <x:c r="E1718" s="13" t="str">
        <x:v>Agri, Food &amp; Beverages</x:v>
      </x:c>
      <x:c r="F1718" s="13" t="str">
        <x:v>Defensives</x:v>
      </x:c>
      <x:c r="G1718" s="13" t="str">
        <x:v>grid_wekqfxnd.xlsx</x:v>
      </x:c>
    </x:row>
    <x:row r="1719">
      <x:c r="A1719" s="15" t="n">
        <x:v>41030</x:v>
      </x:c>
      <x:c r="B1719" s="13" t="str">
        <x:v>MBRF GLOBAL FOODS COMPANY SA</x:v>
      </x:c>
      <x:c r="C1719" s="16" t="n">
        <x:v>63.9138728767</x:v>
      </x:c>
      <x:c r="D1719" s="13" t="str">
        <x:v>Food &amp; Beverages</x:v>
      </x:c>
      <x:c r="E1719" s="13" t="str">
        <x:v>Agri, Food &amp; Beverages</x:v>
      </x:c>
      <x:c r="F1719" s="13" t="str">
        <x:v>Defensives</x:v>
      </x:c>
      <x:c r="G1719" s="13" t="str">
        <x:v>grid_wekqfxnd.xlsx</x:v>
      </x:c>
    </x:row>
    <x:row r="1720">
      <x:c r="A1720" s="15" t="n">
        <x:v>41030</x:v>
      </x:c>
      <x:c r="B1720" s="13" t="str">
        <x:v>SOUZA CRUZ LTDA</x:v>
      </x:c>
      <x:c r="C1720" s="16" t="n">
        <x:v>1792.6077468055</x:v>
      </x:c>
      <x:c r="D1720" s="13" t="str">
        <x:v>Food &amp; Beverages</x:v>
      </x:c>
      <x:c r="E1720" s="13" t="str">
        <x:v>Agri, Food &amp; Beverages</x:v>
      </x:c>
      <x:c r="F1720" s="13" t="str">
        <x:v>Defensives</x:v>
      </x:c>
      <x:c r="G1720" s="13" t="str">
        <x:v>grid_wekqfxnd.xlsx</x:v>
      </x:c>
    </x:row>
    <x:row r="1721">
      <x:c r="A1721" s="15" t="n">
        <x:v>41030</x:v>
      </x:c>
      <x:c r="B1721" s="13" t="str">
        <x:v>DIAGNOSTICOS DA AMERICA SA</x:v>
      </x:c>
      <x:c r="C1721" s="16" t="n">
        <x:v>275.733511189</x:v>
      </x:c>
      <x:c r="D1721" s="13" t="str">
        <x:v>Health Care</x:v>
      </x:c>
      <x:c r="E1721" s="13" t="str">
        <x:v>Health Care</x:v>
      </x:c>
      <x:c r="F1721" s="13" t="str">
        <x:v>Defensives</x:v>
      </x:c>
      <x:c r="G1721" s="13" t="str">
        <x:v>grid_wekqfxnd.xlsx</x:v>
      </x:c>
    </x:row>
    <x:row r="1722">
      <x:c r="A1722" s="15" t="n">
        <x:v>41030</x:v>
      </x:c>
      <x:c r="B1722" s="13" t="str">
        <x:v>HYPERA SA</x:v>
      </x:c>
      <x:c r="C1722" s="16" t="n">
        <x:v>317.5668152986</x:v>
      </x:c>
      <x:c r="D1722" s="13" t="str">
        <x:v>Health Care</x:v>
      </x:c>
      <x:c r="E1722" s="13" t="str">
        <x:v>Health Care</x:v>
      </x:c>
      <x:c r="F1722" s="13" t="str">
        <x:v>Defensives</x:v>
      </x:c>
      <x:c r="G1722" s="13" t="str">
        <x:v>grid_wekqfxnd.xlsx</x:v>
      </x:c>
    </x:row>
    <x:row r="1723">
      <x:c r="A1723" s="15" t="n">
        <x:v>41030</x:v>
      </x:c>
      <x:c r="B1723" s="13" t="str">
        <x:v>CYRELA BRAZIL REALTY SA EMP</x:v>
      </x:c>
      <x:c r="C1723" s="16" t="n">
        <x:v>851.8570452164</x:v>
      </x:c>
      <x:c r="D1723" s="13" t="str">
        <x:v>Homebuilders</x:v>
      </x:c>
      <x:c r="E1723" s="13" t="str">
        <x:v>Real Estate</x:v>
      </x:c>
      <x:c r="F1723" s="13" t="str">
        <x:v>Early Cyclicals</x:v>
      </x:c>
      <x:c r="G1723" s="13" t="str">
        <x:v>grid_wekqfxnd.xlsx</x:v>
      </x:c>
    </x:row>
    <x:row r="1724">
      <x:c r="A1724" s="15" t="n">
        <x:v>41030</x:v>
      </x:c>
      <x:c r="B1724" s="13" t="str">
        <x:v>GAFISA SA</x:v>
      </x:c>
      <x:c r="C1724" s="16" t="n">
        <x:v>248.0103455562</x:v>
      </x:c>
      <x:c r="D1724" s="13" t="str">
        <x:v>Homebuilders</x:v>
      </x:c>
      <x:c r="E1724" s="13" t="str">
        <x:v>Real Estate</x:v>
      </x:c>
      <x:c r="F1724" s="13" t="str">
        <x:v>Early Cyclicals</x:v>
      </x:c>
      <x:c r="G1724" s="13" t="str">
        <x:v>grid_wekqfxnd.xlsx</x:v>
      </x:c>
    </x:row>
    <x:row r="1725">
      <x:c r="A1725" s="15" t="n">
        <x:v>41030</x:v>
      </x:c>
      <x:c r="B1725" s="13" t="str">
        <x:v>MRV ENGENHARIA</x:v>
      </x:c>
      <x:c r="C1725" s="16" t="n">
        <x:v>825.0176154301</x:v>
      </x:c>
      <x:c r="D1725" s="13" t="str">
        <x:v>Homebuilders</x:v>
      </x:c>
      <x:c r="E1725" s="13" t="str">
        <x:v>Real Estate</x:v>
      </x:c>
      <x:c r="F1725" s="13" t="str">
        <x:v>Early Cyclicals</x:v>
      </x:c>
      <x:c r="G1725" s="13" t="str">
        <x:v>grid_wekqfxnd.xlsx</x:v>
      </x:c>
    </x:row>
    <x:row r="1726">
      <x:c r="A1726" s="15" t="n">
        <x:v>41030</x:v>
      </x:c>
      <x:c r="B1726" s="13" t="str">
        <x:v>PDG REALTY SA</x:v>
      </x:c>
      <x:c r="C1726" s="16" t="n">
        <x:v>874.7077979178</x:v>
      </x:c>
      <x:c r="D1726" s="13" t="str">
        <x:v>Homebuilders</x:v>
      </x:c>
      <x:c r="E1726" s="13" t="str">
        <x:v>Real Estate</x:v>
      </x:c>
      <x:c r="F1726" s="13" t="str">
        <x:v>Early Cyclicals</x:v>
      </x:c>
      <x:c r="G1726" s="13" t="str">
        <x:v>grid_wekqfxnd.xlsx</x:v>
      </x:c>
    </x:row>
    <x:row r="1727">
      <x:c r="A1727" s="15" t="n">
        <x:v>41030</x:v>
      </x:c>
      <x:c r="B1727" s="13" t="str">
        <x:v>ROSSI RESIDENCIAL SA</x:v>
      </x:c>
      <x:c r="C1727" s="16" t="n">
        <x:v>434.866540537</x:v>
      </x:c>
      <x:c r="D1727" s="13" t="str">
        <x:v>Homebuilders</x:v>
      </x:c>
      <x:c r="E1727" s="13" t="str">
        <x:v>Real Estate</x:v>
      </x:c>
      <x:c r="F1727" s="13" t="str">
        <x:v>Early Cyclicals</x:v>
      </x:c>
      <x:c r="G1727" s="13" t="str">
        <x:v>grid_wekqfxnd.xlsx</x:v>
      </x:c>
    </x:row>
    <x:row r="1728">
      <x:c r="A1728" s="15" t="n">
        <x:v>41030</x:v>
      </x:c>
      <x:c r="B1728" s="13" t="str">
        <x:v>TEGRA INCORPORADORA SA</x:v>
      </x:c>
      <x:c r="C1728" s="16" t="n">
        <x:v>437.6597970411</x:v>
      </x:c>
      <x:c r="D1728" s="13" t="str">
        <x:v>Homebuilders</x:v>
      </x:c>
      <x:c r="E1728" s="13" t="str">
        <x:v>Real Estate</x:v>
      </x:c>
      <x:c r="F1728" s="13" t="str">
        <x:v>Early Cyclicals</x:v>
      </x:c>
      <x:c r="G1728" s="13" t="str">
        <x:v>grid_wekqfxnd.xlsx</x:v>
      </x:c>
    </x:row>
    <x:row r="1729">
      <x:c r="A1729" s="15" t="n">
        <x:v>41030</x:v>
      </x:c>
      <x:c r="B1729" s="13" t="str">
        <x:v>BR MALLS PARTICIPACOES SA</x:v>
      </x:c>
      <x:c r="C1729" s="16" t="n">
        <x:v>508.7625258082</x:v>
      </x:c>
      <x:c r="D1729" s="13" t="str">
        <x:v>Income Properties</x:v>
      </x:c>
      <x:c r="E1729" s="13" t="str">
        <x:v>Real Estate</x:v>
      </x:c>
      <x:c r="F1729" s="13" t="str">
        <x:v>Early Cyclicals</x:v>
      </x:c>
      <x:c r="G1729" s="13" t="str">
        <x:v>grid_wekqfxnd.xlsx</x:v>
      </x:c>
    </x:row>
    <x:row r="1730">
      <x:c r="A1730" s="15" t="n">
        <x:v>41030</x:v>
      </x:c>
      <x:c r="B1730" s="13" t="str">
        <x:v>BRADESPAR SA -PREF</x:v>
      </x:c>
      <x:c r="C1730" s="16" t="n">
        <x:v>2156.5417819178</x:v>
      </x:c>
      <x:c r="D1730" s="13" t="str">
        <x:v>Metals &amp; Mining</x:v>
      </x:c>
      <x:c r="E1730" s="13" t="str">
        <x:v>Metals &amp; Mining</x:v>
      </x:c>
      <x:c r="F1730" s="13" t="str">
        <x:v>Deep Cyclicals</x:v>
      </x:c>
      <x:c r="G1730" s="13" t="str">
        <x:v>grid_wekqfxnd.xlsx</x:v>
      </x:c>
    </x:row>
    <x:row r="1731">
      <x:c r="A1731" s="15" t="n">
        <x:v>41030</x:v>
      </x:c>
      <x:c r="B1731" s="13" t="str">
        <x:v>CIA SIDERURGICA NACIONAL SA</x:v>
      </x:c>
      <x:c r="C1731" s="16" t="n">
        <x:v>2490.1352553206</x:v>
      </x:c>
      <x:c r="D1731" s="13" t="str">
        <x:v>Metals &amp; Mining</x:v>
      </x:c>
      <x:c r="E1731" s="13" t="str">
        <x:v>Metals &amp; Mining</x:v>
      </x:c>
      <x:c r="F1731" s="13" t="str">
        <x:v>Deep Cyclicals</x:v>
      </x:c>
      <x:c r="G1731" s="13" t="str">
        <x:v>grid_wekqfxnd.xlsx</x:v>
      </x:c>
    </x:row>
    <x:row r="1732">
      <x:c r="A1732" s="15" t="n">
        <x:v>41030</x:v>
      </x:c>
      <x:c r="B1732" s="13" t="str">
        <x:v>GERDAU SA-PREF</x:v>
      </x:c>
      <x:c r="C1732" s="16" t="n">
        <x:v>2614.4141101589</x:v>
      </x:c>
      <x:c r="D1732" s="13" t="str">
        <x:v>Metals &amp; Mining</x:v>
      </x:c>
      <x:c r="E1732" s="13" t="str">
        <x:v>Metals &amp; Mining</x:v>
      </x:c>
      <x:c r="F1732" s="13" t="str">
        <x:v>Deep Cyclicals</x:v>
      </x:c>
      <x:c r="G1732" s="13" t="str">
        <x:v>grid_wekqfxnd.xlsx</x:v>
      </x:c>
    </x:row>
    <x:row r="1733">
      <x:c r="A1733" s="15" t="n">
        <x:v>41030</x:v>
      </x:c>
      <x:c r="B1733" s="13" t="str">
        <x:v>METALURGICA GERDAU SA-PREF</x:v>
      </x:c>
      <x:c r="C1733" s="16" t="n">
        <x:v>1122.769836537</x:v>
      </x:c>
      <x:c r="D1733" s="13" t="str">
        <x:v>Metals &amp; Mining</x:v>
      </x:c>
      <x:c r="E1733" s="13" t="str">
        <x:v>Metals &amp; Mining</x:v>
      </x:c>
      <x:c r="F1733" s="13" t="str">
        <x:v>Deep Cyclicals</x:v>
      </x:c>
      <x:c r="G1733" s="13" t="str">
        <x:v>grid_wekqfxnd.xlsx</x:v>
      </x:c>
    </x:row>
    <x:row r="1734">
      <x:c r="A1734" s="15" t="n">
        <x:v>41030</x:v>
      </x:c>
      <x:c r="B1734" s="13" t="str">
        <x:v>MMX MINERACAO E METALICOS SA</x:v>
      </x:c>
      <x:c r="C1734" s="16" t="n">
        <x:v>149.8145753425</x:v>
      </x:c>
      <x:c r="D1734" s="13" t="str">
        <x:v>Metals &amp; Mining</x:v>
      </x:c>
      <x:c r="E1734" s="13" t="str">
        <x:v>Metals &amp; Mining</x:v>
      </x:c>
      <x:c r="F1734" s="13" t="str">
        <x:v>Deep Cyclicals</x:v>
      </x:c>
      <x:c r="G1734" s="13" t="str">
        <x:v>grid_wekqfxnd.xlsx</x:v>
      </x:c>
    </x:row>
    <x:row r="1735">
      <x:c r="A1735" s="15" t="n">
        <x:v>41030</x:v>
      </x:c>
      <x:c r="B1735" s="13" t="str">
        <x:v>USINAS SIDER MINAS GER-PF A</x:v>
      </x:c>
      <x:c r="C1735" s="16" t="n">
        <x:v>467.341369863</x:v>
      </x:c>
      <x:c r="D1735" s="13" t="str">
        <x:v>Metals &amp; Mining</x:v>
      </x:c>
      <x:c r="E1735" s="13" t="str">
        <x:v>Metals &amp; Mining</x:v>
      </x:c>
      <x:c r="F1735" s="13" t="str">
        <x:v>Deep Cyclicals</x:v>
      </x:c>
      <x:c r="G1735" s="13" t="str">
        <x:v>grid_wekqfxnd.xlsx</x:v>
      </x:c>
    </x:row>
    <x:row r="1736">
      <x:c r="A1736" s="15" t="n">
        <x:v>41030</x:v>
      </x:c>
      <x:c r="B1736" s="13" t="str">
        <x:v>USINAS SIDERURGICAS DE MINAS</x:v>
      </x:c>
      <x:c r="C1736" s="16" t="n">
        <x:v>467.341369863</x:v>
      </x:c>
      <x:c r="D1736" s="13" t="str">
        <x:v>Metals &amp; Mining</x:v>
      </x:c>
      <x:c r="E1736" s="13" t="str">
        <x:v>Metals &amp; Mining</x:v>
      </x:c>
      <x:c r="F1736" s="13" t="str">
        <x:v>Deep Cyclicals</x:v>
      </x:c>
      <x:c r="G1736" s="13" t="str">
        <x:v>grid_wekqfxnd.xlsx</x:v>
      </x:c>
    </x:row>
    <x:row r="1737">
      <x:c r="A1737" s="15" t="n">
        <x:v>41030</x:v>
      </x:c>
      <x:c r="B1737" s="13" t="str">
        <x:v>VALE SA</x:v>
      </x:c>
      <x:c r="C1737" s="16" t="n">
        <x:v>33682.0295483616</x:v>
      </x:c>
      <x:c r="D1737" s="13" t="str">
        <x:v>Metals &amp; Mining</x:v>
      </x:c>
      <x:c r="E1737" s="13" t="str">
        <x:v>Metals &amp; Mining</x:v>
      </x:c>
      <x:c r="F1737" s="13" t="str">
        <x:v>Deep Cyclicals</x:v>
      </x:c>
      <x:c r="G1737" s="13" t="str">
        <x:v>grid_wekqfxnd.xlsx</x:v>
      </x:c>
    </x:row>
    <x:row r="1738">
      <x:c r="A1738" s="15" t="n">
        <x:v>41030</x:v>
      </x:c>
      <x:c r="B1738" s="13" t="str">
        <x:v>BRASKEM SA-PREF A</x:v>
      </x:c>
      <x:c r="C1738" s="16" t="n">
        <x:v>788.1515143014</x:v>
      </x:c>
      <x:c r="D1738" s="13" t="str">
        <x:v>Oil, Gas &amp; Petrochemicals</x:v>
      </x:c>
      <x:c r="E1738" s="13" t="str">
        <x:v>Oil, Gas &amp; Petrochemicals</x:v>
      </x:c>
      <x:c r="F1738" s="13" t="str">
        <x:v>Deep Cyclicals</x:v>
      </x:c>
      <x:c r="G1738" s="13" t="str">
        <x:v>grid_wekqfxnd.xlsx</x:v>
      </x:c>
    </x:row>
    <x:row r="1739">
      <x:c r="A1739" s="15" t="n">
        <x:v>41030</x:v>
      </x:c>
      <x:c r="B1739" s="13" t="str">
        <x:v>OLEO E GAS PARTICIPACOES SA</x:v>
      </x:c>
      <x:c r="C1739" s="16" t="n">
        <x:v>494.4560264767</x:v>
      </x:c>
      <x:c r="D1739" s="13" t="str">
        <x:v>Oil, Gas &amp; Petrochemicals</x:v>
      </x:c>
      <x:c r="E1739" s="13" t="str">
        <x:v>Oil, Gas &amp; Petrochemicals</x:v>
      </x:c>
      <x:c r="F1739" s="13" t="str">
        <x:v>Deep Cyclicals</x:v>
      </x:c>
      <x:c r="G1739" s="13" t="str">
        <x:v>grid_wekqfxnd.xlsx</x:v>
      </x:c>
    </x:row>
    <x:row r="1740">
      <x:c r="A1740" s="15" t="n">
        <x:v>41030</x:v>
      </x:c>
      <x:c r="B1740" s="13" t="str">
        <x:v>PETROBRAS - PETROLEO BRAS</x:v>
      </x:c>
      <x:c r="C1740" s="16" t="n">
        <x:v>36257.8678264986</x:v>
      </x:c>
      <x:c r="D1740" s="13" t="str">
        <x:v>Oil, Gas &amp; Petrochemicals</x:v>
      </x:c>
      <x:c r="E1740" s="13" t="str">
        <x:v>Oil, Gas &amp; Petrochemicals</x:v>
      </x:c>
      <x:c r="F1740" s="13" t="str">
        <x:v>Deep Cyclicals</x:v>
      </x:c>
      <x:c r="G1740" s="13" t="str">
        <x:v>grid_wekqfxnd.xlsx</x:v>
      </x:c>
    </x:row>
    <x:row r="1741">
      <x:c r="A1741" s="15" t="n">
        <x:v>41030</x:v>
      </x:c>
      <x:c r="B1741" s="13" t="str">
        <x:v>ULTRAPAR PARTICIPACOES SA</x:v>
      </x:c>
      <x:c r="C1741" s="16" t="n">
        <x:v>1087.5571922411</x:v>
      </x:c>
      <x:c r="D1741" s="13" t="str">
        <x:v>Oil, Gas &amp; Petrochemicals</x:v>
      </x:c>
      <x:c r="E1741" s="13" t="str">
        <x:v>Oil, Gas &amp; Petrochemicals</x:v>
      </x:c>
      <x:c r="F1741" s="13" t="str">
        <x:v>Deep Cyclicals</x:v>
      </x:c>
      <x:c r="G1741" s="13" t="str">
        <x:v>grid_wekqfxnd.xlsx</x:v>
      </x:c>
    </x:row>
    <x:row r="1742">
      <x:c r="A1742" s="15" t="n">
        <x:v>41030</x:v>
      </x:c>
      <x:c r="B1742" s="13" t="str">
        <x:v>DEXCO SA</x:v>
      </x:c>
      <x:c r="C1742" s="16" t="n">
        <x:v>415.793952263</x:v>
      </x:c>
      <x:c r="D1742" s="13" t="str">
        <x:v>Pulp &amp; Paper</x:v>
      </x:c>
      <x:c r="E1742" s="13" t="str">
        <x:v>Pulp &amp; Paper</x:v>
      </x:c>
      <x:c r="F1742" s="13" t="str">
        <x:v>Deep Cyclicals</x:v>
      </x:c>
      <x:c r="G1742" s="13" t="str">
        <x:v>grid_wekqfxnd.xlsx</x:v>
      </x:c>
    </x:row>
    <x:row r="1743">
      <x:c r="A1743" s="15" t="n">
        <x:v>41030</x:v>
      </x:c>
      <x:c r="B1743" s="13" t="str">
        <x:v>FIBRIA CELULOSE S/A</x:v>
      </x:c>
      <x:c r="C1743" s="16" t="n">
        <x:v>-169.4510802411</x:v>
      </x:c>
      <x:c r="D1743" s="13" t="str">
        <x:v>Pulp &amp; Paper</x:v>
      </x:c>
      <x:c r="E1743" s="13" t="str">
        <x:v>Pulp &amp; Paper</x:v>
      </x:c>
      <x:c r="F1743" s="13" t="str">
        <x:v>Deep Cyclicals</x:v>
      </x:c>
      <x:c r="G1743" s="13" t="str">
        <x:v>grid_wekqfxnd.xlsx</x:v>
      </x:c>
    </x:row>
    <x:row r="1744">
      <x:c r="A1744" s="15" t="n">
        <x:v>41030</x:v>
      </x:c>
      <x:c r="B1744" s="13" t="str">
        <x:v>AMERICANAS SA</x:v>
      </x:c>
      <x:c r="C1744" s="16" t="n">
        <x:v>7.5806849315</x:v>
      </x:c>
      <x:c r="D1744" s="13" t="str">
        <x:v>Retail</x:v>
      </x:c>
      <x:c r="E1744" s="13" t="str">
        <x:v>Retail</x:v>
      </x:c>
      <x:c r="F1744" s="13" t="str">
        <x:v>Early Cyclicals</x:v>
      </x:c>
      <x:c r="G1744" s="13" t="str">
        <x:v>grid_wekqfxnd.xlsx</x:v>
      </x:c>
    </x:row>
    <x:row r="1745">
      <x:c r="A1745" s="15" t="n">
        <x:v>41030</x:v>
      </x:c>
      <x:c r="B1745" s="13" t="str">
        <x:v>CIA BRASILEIRA DE DIS-PREF</x:v>
      </x:c>
      <x:c r="C1745" s="16" t="n">
        <x:v>1095.0457652603</x:v>
      </x:c>
      <x:c r="D1745" s="13" t="str">
        <x:v>Retail</x:v>
      </x:c>
      <x:c r="E1745" s="13" t="str">
        <x:v>Retail</x:v>
      </x:c>
      <x:c r="F1745" s="13" t="str">
        <x:v>Early Cyclicals</x:v>
      </x:c>
      <x:c r="G1745" s="13" t="str">
        <x:v>grid_wekqfxnd.xlsx</x:v>
      </x:c>
    </x:row>
    <x:row r="1746">
      <x:c r="A1746" s="15" t="n">
        <x:v>41030</x:v>
      </x:c>
      <x:c r="B1746" s="13" t="str">
        <x:v>CIA HERING</x:v>
      </x:c>
      <x:c r="C1746" s="16" t="n">
        <x:v>399.5991837808</x:v>
      </x:c>
      <x:c r="D1746" s="13" t="str">
        <x:v>Retail</x:v>
      </x:c>
      <x:c r="E1746" s="13" t="str">
        <x:v>Retail</x:v>
      </x:c>
      <x:c r="F1746" s="13" t="str">
        <x:v>Early Cyclicals</x:v>
      </x:c>
      <x:c r="G1746" s="13" t="str">
        <x:v>grid_wekqfxnd.xlsx</x:v>
      </x:c>
    </x:row>
    <x:row r="1747">
      <x:c r="A1747" s="15" t="n">
        <x:v>41030</x:v>
      </x:c>
      <x:c r="B1747" s="13" t="str">
        <x:v>LOJAS AMERICANAS SA-PREF</x:v>
      </x:c>
      <x:c r="C1747" s="16" t="n">
        <x:v>508.9288970521</x:v>
      </x:c>
      <x:c r="D1747" s="13" t="str">
        <x:v>Retail</x:v>
      </x:c>
      <x:c r="E1747" s="13" t="str">
        <x:v>Retail</x:v>
      </x:c>
      <x:c r="F1747" s="13" t="str">
        <x:v>Early Cyclicals</x:v>
      </x:c>
      <x:c r="G1747" s="13" t="str">
        <x:v>grid_wekqfxnd.xlsx</x:v>
      </x:c>
    </x:row>
    <x:row r="1748">
      <x:c r="A1748" s="15" t="n">
        <x:v>41030</x:v>
      </x:c>
      <x:c r="B1748" s="13" t="str">
        <x:v>LOJAS RENNER S.A.</x:v>
      </x:c>
      <x:c r="C1748" s="16" t="n">
        <x:v>416.0645596932</x:v>
      </x:c>
      <x:c r="D1748" s="13" t="str">
        <x:v>Retail</x:v>
      </x:c>
      <x:c r="E1748" s="13" t="str">
        <x:v>Retail</x:v>
      </x:c>
      <x:c r="F1748" s="13" t="str">
        <x:v>Early Cyclicals</x:v>
      </x:c>
      <x:c r="G1748" s="13" t="str">
        <x:v>grid_wekqfxnd.xlsx</x:v>
      </x:c>
    </x:row>
    <x:row r="1749">
      <x:c r="A1749" s="15" t="n">
        <x:v>41030</x:v>
      </x:c>
      <x:c r="B1749" s="13" t="str">
        <x:v>NATURA COSMETICOS SA</x:v>
      </x:c>
      <x:c r="C1749" s="16" t="n">
        <x:v>927.6280172712</x:v>
      </x:c>
      <x:c r="D1749" s="13" t="str">
        <x:v>Retail</x:v>
      </x:c>
      <x:c r="E1749" s="13" t="str">
        <x:v>Retail</x:v>
      </x:c>
      <x:c r="F1749" s="13" t="str">
        <x:v>Early Cyclicals</x:v>
      </x:c>
      <x:c r="G1749" s="13" t="str">
        <x:v>grid_wekqfxnd.xlsx</x:v>
      </x:c>
    </x:row>
    <x:row r="1750">
      <x:c r="A1750" s="15" t="n">
        <x:v>41030</x:v>
      </x:c>
      <x:c r="B1750" s="13" t="str">
        <x:v>CIA SANEAMENTO BASICO DE SP</x:v>
      </x:c>
      <x:c r="C1750" s="16" t="n">
        <x:v>1735.4054719123</x:v>
      </x:c>
      <x:c r="D1750" s="13" t="str">
        <x:v>Sanitation</x:v>
      </x:c>
      <x:c r="E1750" s="13" t="str">
        <x:v>Utilities</x:v>
      </x:c>
      <x:c r="F1750" s="13" t="str">
        <x:v>Defensives</x:v>
      </x:c>
      <x:c r="G1750" s="13" t="str">
        <x:v>grid_wekqfxnd.xlsx</x:v>
      </x:c>
    </x:row>
    <x:row r="1751">
      <x:c r="A1751" s="15" t="n">
        <x:v>41030</x:v>
      </x:c>
      <x:c r="B1751" s="13" t="str">
        <x:v>OI S.A.</x:v>
      </x:c>
      <x:c r="C1751" s="16" t="n">
        <x:v>749.8950817315</x:v>
      </x:c>
      <x:c r="D1751" s="13" t="str">
        <x:v>TMT</x:v>
      </x:c>
      <x:c r="E1751" s="13" t="str">
        <x:v>TMT</x:v>
      </x:c>
      <x:c r="F1751" s="13" t="str">
        <x:v>Early Cyclicals</x:v>
      </x:c>
      <x:c r="G1751" s="13" t="str">
        <x:v>grid_wekqfxnd.xlsx</x:v>
      </x:c>
    </x:row>
    <x:row r="1752">
      <x:c r="A1752" s="15" t="n">
        <x:v>41030</x:v>
      </x:c>
      <x:c r="B1752" s="13" t="str">
        <x:v>OI SA-PREFERENCE</x:v>
      </x:c>
      <x:c r="C1752" s="16" t="n">
        <x:v>749.8950817315</x:v>
      </x:c>
      <x:c r="D1752" s="13" t="str">
        <x:v>TMT</x:v>
      </x:c>
      <x:c r="E1752" s="13" t="str">
        <x:v>TMT</x:v>
      </x:c>
      <x:c r="F1752" s="13" t="str">
        <x:v>Early Cyclicals</x:v>
      </x:c>
      <x:c r="G1752" s="13" t="str">
        <x:v>grid_wekqfxnd.xlsx</x:v>
      </x:c>
    </x:row>
    <x:row r="1753">
      <x:c r="A1753" s="15" t="n">
        <x:v>41030</x:v>
      </x:c>
      <x:c r="B1753" s="13" t="str">
        <x:v>TELEFONICA BRASIL S.A.-PREF</x:v>
      </x:c>
      <x:c r="C1753" s="16" t="n">
        <x:v>5141.104203748</x:v>
      </x:c>
      <x:c r="D1753" s="13" t="str">
        <x:v>TMT</x:v>
      </x:c>
      <x:c r="E1753" s="13" t="str">
        <x:v>TMT</x:v>
      </x:c>
      <x:c r="F1753" s="13" t="str">
        <x:v>Early Cyclicals</x:v>
      </x:c>
      <x:c r="G1753" s="13" t="str">
        <x:v>grid_wekqfxnd.xlsx</x:v>
      </x:c>
    </x:row>
    <x:row r="1754">
      <x:c r="A1754" s="15" t="n">
        <x:v>41030</x:v>
      </x:c>
      <x:c r="B1754" s="13" t="str">
        <x:v>TIM SA</x:v>
      </x:c>
      <x:c r="C1754" s="16" t="n">
        <x:v>1798.9090602082</x:v>
      </x:c>
      <x:c r="D1754" s="13" t="str">
        <x:v>TMT</x:v>
      </x:c>
      <x:c r="E1754" s="13" t="str">
        <x:v>TMT</x:v>
      </x:c>
      <x:c r="F1754" s="13" t="str">
        <x:v>Early Cyclicals</x:v>
      </x:c>
      <x:c r="G1754" s="13" t="str">
        <x:v>grid_wekqfxnd.xlsx</x:v>
      </x:c>
    </x:row>
    <x:row r="1755">
      <x:c r="A1755" s="15" t="n">
        <x:v>41030</x:v>
      </x:c>
      <x:c r="B1755" s="13" t="str">
        <x:v>GOL LINHAS AEREAS INT SA-PRE</x:v>
      </x:c>
      <x:c r="C1755" s="16" t="n">
        <x:v>38.7338005479</x:v>
      </x:c>
      <x:c r="D1755" s="13" t="str">
        <x:v>Transportation</x:v>
      </x:c>
      <x:c r="E1755" s="13" t="str">
        <x:v>Transportation</x:v>
      </x:c>
      <x:c r="F1755" s="13" t="str">
        <x:v>Deep Cyclicals</x:v>
      </x:c>
      <x:c r="G1755" s="13" t="str">
        <x:v>grid_wekqfxnd.xlsx</x:v>
      </x:c>
    </x:row>
    <x:row r="1756">
      <x:c r="A1756" s="15" t="n">
        <x:v>41030</x:v>
      </x:c>
      <x:c r="B1756" s="13" t="str">
        <x:v>LOCALIZA RENT A CAR</x:v>
      </x:c>
      <x:c r="C1756" s="16" t="n">
        <x:v>382.5770139178</x:v>
      </x:c>
      <x:c r="D1756" s="13" t="str">
        <x:v>Transportation</x:v>
      </x:c>
      <x:c r="E1756" s="13" t="str">
        <x:v>Transportation</x:v>
      </x:c>
      <x:c r="F1756" s="13" t="str">
        <x:v>Deep Cyclicals</x:v>
      </x:c>
      <x:c r="G1756" s="13" t="str">
        <x:v>grid_wekqfxnd.xlsx</x:v>
      </x:c>
    </x:row>
    <x:row r="1757">
      <x:c r="A1757" s="15" t="n">
        <x:v>41030</x:v>
      </x:c>
      <x:c r="B1757" s="13" t="str">
        <x:v>MOTIVA INFRAESTRUTURA DE MOB</x:v>
      </x:c>
      <x:c r="C1757" s="16" t="n">
        <x:v>1412.2438543781</x:v>
      </x:c>
      <x:c r="D1757" s="13" t="str">
        <x:v>Transportation</x:v>
      </x:c>
      <x:c r="E1757" s="13" t="str">
        <x:v>Transportation</x:v>
      </x:c>
      <x:c r="F1757" s="13" t="str">
        <x:v>Deep Cyclicals</x:v>
      </x:c>
      <x:c r="G1757" s="13" t="str">
        <x:v>grid_wekqfxnd.xlsx</x:v>
      </x:c>
    </x:row>
    <x:row r="1758">
      <x:c r="A1758" s="15" t="n">
        <x:v>41030</x:v>
      </x:c>
      <x:c r="B1758" s="13" t="str">
        <x:v>PRUMO LOGISTICA SA</x:v>
      </x:c>
      <x:c r="C1758" s="16" t="n">
        <x:v>-124.3933863014</x:v>
      </x:c>
      <x:c r="D1758" s="13" t="str">
        <x:v>Transportation</x:v>
      </x:c>
      <x:c r="E1758" s="13" t="str">
        <x:v>Transportation</x:v>
      </x:c>
      <x:c r="F1758" s="13" t="str">
        <x:v>Deep Cyclicals</x:v>
      </x:c>
      <x:c r="G1758" s="13" t="str">
        <x:v>grid_wekqfxnd.xlsx</x:v>
      </x:c>
    </x:row>
    <x:row r="1759">
      <x:c r="A1759" s="15" t="n">
        <x:v>41030</x:v>
      </x:c>
      <x:c r="B1759" s="13" t="str">
        <x:v>RUMO SA</x:v>
      </x:c>
      <x:c r="C1759" s="16" t="n">
        <x:v>358.0854794521</x:v>
      </x:c>
      <x:c r="D1759" s="13" t="str">
        <x:v>Transportation</x:v>
      </x:c>
      <x:c r="E1759" s="13" t="str">
        <x:v>Transportation</x:v>
      </x:c>
      <x:c r="F1759" s="13" t="str">
        <x:v>Deep Cyclicals</x:v>
      </x:c>
      <x:c r="G1759" s="13" t="str">
        <x:v>grid_wekqfxnd.xlsx</x:v>
      </x:c>
    </x:row>
    <x:row r="1760">
      <x:c r="A1760" s="15" t="n">
        <x:v>41030</x:v>
      </x:c>
      <x:c r="B1760" s="13" t="str">
        <x:v>TAM SA-PREF</x:v>
      </x:c>
      <x:c r="C1760" s="16" t="n">
        <x:v>247.3227945205</x:v>
      </x:c>
      <x:c r="D1760" s="13" t="str">
        <x:v>Transportation</x:v>
      </x:c>
      <x:c r="E1760" s="13" t="str">
        <x:v>Transportation</x:v>
      </x:c>
      <x:c r="F1760" s="13" t="str">
        <x:v>Deep Cyclicals</x:v>
      </x:c>
      <x:c r="G1760" s="13" t="str">
        <x:v>grid_wekqfxnd.xlsx</x:v>
      </x:c>
    </x:row>
    <x:row r="1761">
      <x:c r="A1761" s="15" t="n">
        <x:v>41030</x:v>
      </x:c>
      <x:c r="B1761" s="13" t="str">
        <x:v>AXIA ENERGIA SA</x:v>
      </x:c>
      <x:c r="C1761" s="16" t="n">
        <x:v>4007.2686409644</x:v>
      </x:c>
      <x:c r="D1761" s="13" t="str">
        <x:v>Utilities &amp; Energy</x:v>
      </x:c>
      <x:c r="E1761" s="13" t="str">
        <x:v>Utilities</x:v>
      </x:c>
      <x:c r="F1761" s="13" t="str">
        <x:v>Defensives</x:v>
      </x:c>
      <x:c r="G1761" s="13" t="str">
        <x:v>grid_wekqfxnd.xlsx</x:v>
      </x:c>
    </x:row>
    <x:row r="1762">
      <x:c r="A1762" s="15" t="n">
        <x:v>41030</x:v>
      </x:c>
      <x:c r="B1762" s="13" t="str">
        <x:v>AXIA ENERGIA-PR B</x:v>
      </x:c>
      <x:c r="C1762" s="16" t="n">
        <x:v>4007.2686409644</x:v>
      </x:c>
      <x:c r="D1762" s="13" t="str">
        <x:v>Utilities &amp; Energy</x:v>
      </x:c>
      <x:c r="E1762" s="13" t="str">
        <x:v>Utilities</x:v>
      </x:c>
      <x:c r="F1762" s="13" t="str">
        <x:v>Defensives</x:v>
      </x:c>
      <x:c r="G1762" s="13" t="str">
        <x:v>grid_wekqfxnd.xlsx</x:v>
      </x:c>
    </x:row>
    <x:row r="1763">
      <x:c r="A1763" s="15" t="n">
        <x:v>41030</x:v>
      </x:c>
      <x:c r="B1763" s="13" t="str">
        <x:v>CESP - CIA ENERGETICA DE SAO</x:v>
      </x:c>
      <x:c r="C1763" s="16" t="n">
        <x:v>725.7778519671</x:v>
      </x:c>
      <x:c r="D1763" s="13" t="str">
        <x:v>Utilities &amp; Energy</x:v>
      </x:c>
      <x:c r="E1763" s="13" t="str">
        <x:v>Utilities</x:v>
      </x:c>
      <x:c r="F1763" s="13" t="str">
        <x:v>Defensives</x:v>
      </x:c>
      <x:c r="G1763" s="13" t="str">
        <x:v>grid_wekqfxnd.xlsx</x:v>
      </x:c>
    </x:row>
    <x:row r="1764">
      <x:c r="A1764" s="15" t="n">
        <x:v>41030</x:v>
      </x:c>
      <x:c r="B1764" s="13" t="str">
        <x:v>CIA ENERGETICA MINAS GER-PRF</x:v>
      </x:c>
      <x:c r="C1764" s="16" t="n">
        <x:v>3026.1231552877</x:v>
      </x:c>
      <x:c r="D1764" s="13" t="str">
        <x:v>Utilities &amp; Energy</x:v>
      </x:c>
      <x:c r="E1764" s="13" t="str">
        <x:v>Utilities</x:v>
      </x:c>
      <x:c r="F1764" s="13" t="str">
        <x:v>Defensives</x:v>
      </x:c>
      <x:c r="G1764" s="13" t="str">
        <x:v>grid_wekqfxnd.xlsx</x:v>
      </x:c>
    </x:row>
    <x:row r="1765">
      <x:c r="A1765" s="15" t="n">
        <x:v>41030</x:v>
      </x:c>
      <x:c r="B1765" s="13" t="str">
        <x:v>COMPANHIA PARANAENSE -PREF B</x:v>
      </x:c>
      <x:c r="C1765" s="16" t="n">
        <x:v>1180.6621064767</x:v>
      </x:c>
      <x:c r="D1765" s="13" t="str">
        <x:v>Utilities &amp; Energy</x:v>
      </x:c>
      <x:c r="E1765" s="13" t="str">
        <x:v>Utilities</x:v>
      </x:c>
      <x:c r="F1765" s="13" t="str">
        <x:v>Defensives</x:v>
      </x:c>
      <x:c r="G1765" s="13" t="str">
        <x:v>grid_wekqfxnd.xlsx</x:v>
      </x:c>
    </x:row>
    <x:row r="1766">
      <x:c r="A1766" s="15" t="n">
        <x:v>41030</x:v>
      </x:c>
      <x:c r="B1766" s="13" t="str">
        <x:v>CPFL ENERGIA SA</x:v>
      </x:c>
      <x:c r="C1766" s="16" t="n">
        <x:v>1476.1066261041</x:v>
      </x:c>
      <x:c r="D1766" s="13" t="str">
        <x:v>Utilities &amp; Energy</x:v>
      </x:c>
      <x:c r="E1766" s="13" t="str">
        <x:v>Utilities</x:v>
      </x:c>
      <x:c r="F1766" s="13" t="str">
        <x:v>Defensives</x:v>
      </x:c>
      <x:c r="G1766" s="13" t="str">
        <x:v>grid_wekqfxnd.xlsx</x:v>
      </x:c>
    </x:row>
    <x:row r="1767">
      <x:c r="A1767" s="15" t="n">
        <x:v>41030</x:v>
      </x:c>
      <x:c r="B1767" s="13" t="str">
        <x:v>ELETROPAULO METROPOLI-PREF</x:v>
      </x:c>
      <x:c r="C1767" s="16" t="n">
        <x:v>407.1126677041</x:v>
      </x:c>
      <x:c r="D1767" s="13" t="str">
        <x:v>Utilities &amp; Energy</x:v>
      </x:c>
      <x:c r="E1767" s="13" t="str">
        <x:v>Utilities</x:v>
      </x:c>
      <x:c r="F1767" s="13" t="str">
        <x:v>Defensives</x:v>
      </x:c>
      <x:c r="G1767" s="13" t="str">
        <x:v>grid_wekqfxnd.xlsx</x:v>
      </x:c>
    </x:row>
    <x:row r="1768">
      <x:c r="A1768" s="15" t="n">
        <x:v>41030</x:v>
      </x:c>
      <x:c r="B1768" s="13" t="str">
        <x:v>ISA ENERGIA BRASIL SA</x:v>
      </x:c>
      <x:c r="C1768" s="16" t="n">
        <x:v>1023.0536167452</x:v>
      </x:c>
      <x:c r="D1768" s="13" t="str">
        <x:v>Utilities &amp; Energy</x:v>
      </x:c>
      <x:c r="E1768" s="13" t="str">
        <x:v>Utilities</x:v>
      </x:c>
      <x:c r="F1768" s="13" t="str">
        <x:v>Defensives</x:v>
      </x:c>
      <x:c r="G1768" s="13" t="str">
        <x:v>grid_wekqfxnd.xlsx</x:v>
      </x:c>
    </x:row>
    <x:row r="1769">
      <x:c r="A1769" s="15" t="n">
        <x:v>41030</x:v>
      </x:c>
      <x:c r="B1769" s="13" t="str">
        <x:v>LIGHT SA</x:v>
      </x:c>
      <x:c r="C1769" s="16" t="n">
        <x:v>519.5468742137</x:v>
      </x:c>
      <x:c r="D1769" s="13" t="str">
        <x:v>Utilities &amp; Energy</x:v>
      </x:c>
      <x:c r="E1769" s="13" t="str">
        <x:v>Utilities</x:v>
      </x:c>
      <x:c r="F1769" s="13" t="str">
        <x:v>Defensives</x:v>
      </x:c>
      <x:c r="G1769" s="13" t="str">
        <x:v>grid_wekqfxnd.xlsx</x:v>
      </x:c>
    </x:row>
    <x:row r="1770">
      <x:c r="A1770" s="15" t="n">
        <x:v>41061</x:v>
      </x:c>
      <x:c r="B1770" s="13" t="str">
        <x:v>BANCO BRADESCO SA-PREF</x:v>
      </x:c>
      <x:c r="C1770" s="16" t="n">
        <x:v>12765.1875068493</x:v>
      </x:c>
      <x:c r="D1770" s="13" t="str">
        <x:v>Banks</x:v>
      </x:c>
      <x:c r="E1770" s="13" t="str">
        <x:v>Banks</x:v>
      </x:c>
      <x:c r="F1770" s="13" t="str">
        <x:v>Financials</x:v>
      </x:c>
      <x:c r="G1770" s="13" t="str">
        <x:v>grid_wekqfxnd.xlsx</x:v>
      </x:c>
    </x:row>
    <x:row r="1771">
      <x:c r="A1771" s="15" t="n">
        <x:v>41061</x:v>
      </x:c>
      <x:c r="B1771" s="13" t="str">
        <x:v>BANCO DO BRASIL S.A.</x:v>
      </x:c>
      <x:c r="C1771" s="16" t="n">
        <x:v>11595.0481043288</x:v>
      </x:c>
      <x:c r="D1771" s="13" t="str">
        <x:v>Banks</x:v>
      </x:c>
      <x:c r="E1771" s="13" t="str">
        <x:v>Banks</x:v>
      </x:c>
      <x:c r="F1771" s="13" t="str">
        <x:v>Financials</x:v>
      </x:c>
      <x:c r="G1771" s="13" t="str">
        <x:v>grid_wekqfxnd.xlsx</x:v>
      </x:c>
    </x:row>
    <x:row r="1772">
      <x:c r="A1772" s="15" t="n">
        <x:v>41061</x:v>
      </x:c>
      <x:c r="B1772" s="13" t="str">
        <x:v>BANCO SANTANDER  BRASIL-UNIT</x:v>
      </x:c>
      <x:c r="C1772" s="16" t="n">
        <x:v>7335.5565168219</x:v>
      </x:c>
      <x:c r="D1772" s="13" t="str">
        <x:v>Banks</x:v>
      </x:c>
      <x:c r="E1772" s="13" t="str">
        <x:v>Banks</x:v>
      </x:c>
      <x:c r="F1772" s="13" t="str">
        <x:v>Financials</x:v>
      </x:c>
      <x:c r="G1772" s="13" t="str">
        <x:v>grid_wekqfxnd.xlsx</x:v>
      </x:c>
    </x:row>
    <x:row r="1773">
      <x:c r="A1773" s="15" t="n">
        <x:v>41061</x:v>
      </x:c>
      <x:c r="B1773" s="13" t="str">
        <x:v>ITAU UNIBANCO HOLDING S-PREF</x:v>
      </x:c>
      <x:c r="C1773" s="16" t="n">
        <x:v>15915.1395769863</x:v>
      </x:c>
      <x:c r="D1773" s="13" t="str">
        <x:v>Banks</x:v>
      </x:c>
      <x:c r="E1773" s="13" t="str">
        <x:v>Banks</x:v>
      </x:c>
      <x:c r="F1773" s="13" t="str">
        <x:v>Financials</x:v>
      </x:c>
      <x:c r="G1773" s="13" t="str">
        <x:v>grid_wekqfxnd.xlsx</x:v>
      </x:c>
    </x:row>
    <x:row r="1774">
      <x:c r="A1774" s="15" t="n">
        <x:v>41061</x:v>
      </x:c>
      <x:c r="B1774" s="13" t="str">
        <x:v>EMBRAER SA</x:v>
      </x:c>
      <x:c r="C1774" s="16" t="n">
        <x:v>986.561612274</x:v>
      </x:c>
      <x:c r="D1774" s="13" t="str">
        <x:v>Capital Goods</x:v>
      </x:c>
      <x:c r="E1774" s="13" t="str">
        <x:v>Capital Goods</x:v>
      </x:c>
      <x:c r="F1774" s="13" t="str">
        <x:v>Deep Cyclicals</x:v>
      </x:c>
      <x:c r="G1774" s="13" t="str">
        <x:v>grid_wekqfxnd.xlsx</x:v>
      </x:c>
    </x:row>
    <x:row r="1775">
      <x:c r="A1775" s="15" t="n">
        <x:v>41061</x:v>
      </x:c>
      <x:c r="B1775" s="13" t="str">
        <x:v>B3 SA-BRASIL BOLSA BALCAO</x:v>
      </x:c>
      <x:c r="C1775" s="16" t="n">
        <x:v>1789.4855031233</x:v>
      </x:c>
      <x:c r="D1775" s="13" t="str">
        <x:v>Financials Non-Banks</x:v>
      </x:c>
      <x:c r="E1775" s="13" t="str">
        <x:v>Financials Non-Banks</x:v>
      </x:c>
      <x:c r="F1775" s="13" t="str">
        <x:v>Financials</x:v>
      </x:c>
      <x:c r="G1775" s="13" t="str">
        <x:v>grid_wekqfxnd.xlsx</x:v>
      </x:c>
    </x:row>
    <x:row r="1776">
      <x:c r="A1776" s="15" t="n">
        <x:v>41061</x:v>
      </x:c>
      <x:c r="B1776" s="13" t="str">
        <x:v>CIELO SA - INSTITUICAO DE PA</x:v>
      </x:c>
      <x:c r="C1776" s="16" t="n">
        <x:v>2313.4526281644</x:v>
      </x:c>
      <x:c r="D1776" s="13" t="str">
        <x:v>Financials Non-Banks</x:v>
      </x:c>
      <x:c r="E1776" s="13" t="str">
        <x:v>Financials Non-Banks</x:v>
      </x:c>
      <x:c r="F1776" s="13" t="str">
        <x:v>Financials</x:v>
      </x:c>
      <x:c r="G1776" s="13" t="str">
        <x:v>grid_wekqfxnd.xlsx</x:v>
      </x:c>
    </x:row>
    <x:row r="1777">
      <x:c r="A1777" s="15" t="n">
        <x:v>41061</x:v>
      </x:c>
      <x:c r="B1777" s="13" t="str">
        <x:v>ITAUSA SA</x:v>
      </x:c>
      <x:c r="C1777" s="16" t="n">
        <x:v>5249.6575193425</x:v>
      </x:c>
      <x:c r="D1777" s="13" t="str">
        <x:v>Financials Non-Banks</x:v>
      </x:c>
      <x:c r="E1777" s="13" t="str">
        <x:v>Financials Non-Banks</x:v>
      </x:c>
      <x:c r="F1777" s="13" t="str">
        <x:v>Financials</x:v>
      </x:c>
      <x:c r="G1777" s="13" t="str">
        <x:v>grid_wekqfxnd.xlsx</x:v>
      </x:c>
    </x:row>
    <x:row r="1778">
      <x:c r="A1778" s="15" t="n">
        <x:v>41061</x:v>
      </x:c>
      <x:c r="B1778" s="13" t="str">
        <x:v>REDECARD INSTITUICAO DE PAGA</x:v>
      </x:c>
      <x:c r="C1778" s="16" t="n">
        <x:v>1631.7867204384</x:v>
      </x:c>
      <x:c r="D1778" s="13" t="str">
        <x:v>Financials Non-Banks</x:v>
      </x:c>
      <x:c r="E1778" s="13" t="str">
        <x:v>Financials Non-Banks</x:v>
      </x:c>
      <x:c r="F1778" s="13" t="str">
        <x:v>Financials</x:v>
      </x:c>
      <x:c r="G1778" s="13" t="str">
        <x:v>grid_wekqfxnd.xlsx</x:v>
      </x:c>
    </x:row>
    <x:row r="1779">
      <x:c r="A1779" s="15" t="n">
        <x:v>41061</x:v>
      </x:c>
      <x:c r="B1779" s="13" t="str">
        <x:v>AMBEV SA</x:v>
      </x:c>
      <x:c r="C1779" s="16" t="n">
        <x:v>10818.2009547397</x:v>
      </x:c>
      <x:c r="D1779" s="13" t="str">
        <x:v>Food &amp; Beverages</x:v>
      </x:c>
      <x:c r="E1779" s="13" t="str">
        <x:v>Agri, Food &amp; Beverages</x:v>
      </x:c>
      <x:c r="F1779" s="13" t="str">
        <x:v>Defensives</x:v>
      </x:c>
      <x:c r="G1779" s="13" t="str">
        <x:v>grid_wekqfxnd.xlsx</x:v>
      </x:c>
    </x:row>
    <x:row r="1780">
      <x:c r="A1780" s="15" t="n">
        <x:v>41061</x:v>
      </x:c>
      <x:c r="B1780" s="13" t="str">
        <x:v>BRF SA</x:v>
      </x:c>
      <x:c r="C1780" s="16" t="n">
        <x:v>1633.232441863</x:v>
      </x:c>
      <x:c r="D1780" s="13" t="str">
        <x:v>Food &amp; Beverages</x:v>
      </x:c>
      <x:c r="E1780" s="13" t="str">
        <x:v>Agri, Food &amp; Beverages</x:v>
      </x:c>
      <x:c r="F1780" s="13" t="str">
        <x:v>Defensives</x:v>
      </x:c>
      <x:c r="G1780" s="13" t="str">
        <x:v>grid_wekqfxnd.xlsx</x:v>
      </x:c>
    </x:row>
    <x:row r="1781">
      <x:c r="A1781" s="15" t="n">
        <x:v>41061</x:v>
      </x:c>
      <x:c r="B1781" s="13" t="str">
        <x:v>MBRF GLOBAL FOODS COMPANY SA</x:v>
      </x:c>
      <x:c r="C1781" s="16" t="n">
        <x:v>29.6748849315</x:v>
      </x:c>
      <x:c r="D1781" s="13" t="str">
        <x:v>Food &amp; Beverages</x:v>
      </x:c>
      <x:c r="E1781" s="13" t="str">
        <x:v>Agri, Food &amp; Beverages</x:v>
      </x:c>
      <x:c r="F1781" s="13" t="str">
        <x:v>Defensives</x:v>
      </x:c>
      <x:c r="G1781" s="13" t="str">
        <x:v>grid_wekqfxnd.xlsx</x:v>
      </x:c>
    </x:row>
    <x:row r="1782">
      <x:c r="A1782" s="15" t="n">
        <x:v>41061</x:v>
      </x:c>
      <x:c r="B1782" s="13" t="str">
        <x:v>SOUZA CRUZ LTDA</x:v>
      </x:c>
      <x:c r="C1782" s="16" t="n">
        <x:v>1802.3271153973</x:v>
      </x:c>
      <x:c r="D1782" s="13" t="str">
        <x:v>Food &amp; Beverages</x:v>
      </x:c>
      <x:c r="E1782" s="13" t="str">
        <x:v>Agri, Food &amp; Beverages</x:v>
      </x:c>
      <x:c r="F1782" s="13" t="str">
        <x:v>Defensives</x:v>
      </x:c>
      <x:c r="G1782" s="13" t="str">
        <x:v>grid_wekqfxnd.xlsx</x:v>
      </x:c>
    </x:row>
    <x:row r="1783">
      <x:c r="A1783" s="15" t="n">
        <x:v>41061</x:v>
      </x:c>
      <x:c r="B1783" s="13" t="str">
        <x:v>DIAGNOSTICOS DA AMERICA SA</x:v>
      </x:c>
      <x:c r="C1783" s="16" t="n">
        <x:v>258.6244423014</x:v>
      </x:c>
      <x:c r="D1783" s="13" t="str">
        <x:v>Health Care</x:v>
      </x:c>
      <x:c r="E1783" s="13" t="str">
        <x:v>Health Care</x:v>
      </x:c>
      <x:c r="F1783" s="13" t="str">
        <x:v>Defensives</x:v>
      </x:c>
      <x:c r="G1783" s="13" t="str">
        <x:v>grid_wekqfxnd.xlsx</x:v>
      </x:c>
    </x:row>
    <x:row r="1784">
      <x:c r="A1784" s="15" t="n">
        <x:v>41061</x:v>
      </x:c>
      <x:c r="B1784" s="13" t="str">
        <x:v>HYPERA SA</x:v>
      </x:c>
      <x:c r="C1784" s="16" t="n">
        <x:v>322.6217122192</x:v>
      </x:c>
      <x:c r="D1784" s="13" t="str">
        <x:v>Health Care</x:v>
      </x:c>
      <x:c r="E1784" s="13" t="str">
        <x:v>Health Care</x:v>
      </x:c>
      <x:c r="F1784" s="13" t="str">
        <x:v>Defensives</x:v>
      </x:c>
      <x:c r="G1784" s="13" t="str">
        <x:v>grid_wekqfxnd.xlsx</x:v>
      </x:c>
    </x:row>
    <x:row r="1785">
      <x:c r="A1785" s="15" t="n">
        <x:v>41061</x:v>
      </x:c>
      <x:c r="B1785" s="13" t="str">
        <x:v>CYRELA BRAZIL REALTY SA EMP</x:v>
      </x:c>
      <x:c r="C1785" s="16" t="n">
        <x:v>853.1150684932</x:v>
      </x:c>
      <x:c r="D1785" s="13" t="str">
        <x:v>Homebuilders</x:v>
      </x:c>
      <x:c r="E1785" s="13" t="str">
        <x:v>Real Estate</x:v>
      </x:c>
      <x:c r="F1785" s="13" t="str">
        <x:v>Early Cyclicals</x:v>
      </x:c>
      <x:c r="G1785" s="13" t="str">
        <x:v>grid_wekqfxnd.xlsx</x:v>
      </x:c>
    </x:row>
    <x:row r="1786">
      <x:c r="A1786" s="15" t="n">
        <x:v>41061</x:v>
      </x:c>
      <x:c r="B1786" s="13" t="str">
        <x:v>GAFISA SA</x:v>
      </x:c>
      <x:c r="C1786" s="16" t="n">
        <x:v>135.6452083836</x:v>
      </x:c>
      <x:c r="D1786" s="13" t="str">
        <x:v>Homebuilders</x:v>
      </x:c>
      <x:c r="E1786" s="13" t="str">
        <x:v>Real Estate</x:v>
      </x:c>
      <x:c r="F1786" s="13" t="str">
        <x:v>Early Cyclicals</x:v>
      </x:c>
      <x:c r="G1786" s="13" t="str">
        <x:v>grid_wekqfxnd.xlsx</x:v>
      </x:c>
    </x:row>
    <x:row r="1787">
      <x:c r="A1787" s="15" t="n">
        <x:v>41061</x:v>
      </x:c>
      <x:c r="B1787" s="13" t="str">
        <x:v>MRV ENGENHARIA</x:v>
      </x:c>
      <x:c r="C1787" s="16" t="n">
        <x:v>784.970931726</x:v>
      </x:c>
      <x:c r="D1787" s="13" t="str">
        <x:v>Homebuilders</x:v>
      </x:c>
      <x:c r="E1787" s="13" t="str">
        <x:v>Real Estate</x:v>
      </x:c>
      <x:c r="F1787" s="13" t="str">
        <x:v>Early Cyclicals</x:v>
      </x:c>
      <x:c r="G1787" s="13" t="str">
        <x:v>grid_wekqfxnd.xlsx</x:v>
      </x:c>
    </x:row>
    <x:row r="1788">
      <x:c r="A1788" s="15" t="n">
        <x:v>41061</x:v>
      </x:c>
      <x:c r="B1788" s="13" t="str">
        <x:v>PDG REALTY SA</x:v>
      </x:c>
      <x:c r="C1788" s="16" t="n">
        <x:v>753.4600328767</x:v>
      </x:c>
      <x:c r="D1788" s="13" t="str">
        <x:v>Homebuilders</x:v>
      </x:c>
      <x:c r="E1788" s="13" t="str">
        <x:v>Real Estate</x:v>
      </x:c>
      <x:c r="F1788" s="13" t="str">
        <x:v>Early Cyclicals</x:v>
      </x:c>
      <x:c r="G1788" s="13" t="str">
        <x:v>grid_wekqfxnd.xlsx</x:v>
      </x:c>
    </x:row>
    <x:row r="1789">
      <x:c r="A1789" s="15" t="n">
        <x:v>41061</x:v>
      </x:c>
      <x:c r="B1789" s="13" t="str">
        <x:v>ROSSI RESIDENCIAL SA</x:v>
      </x:c>
      <x:c r="C1789" s="16" t="n">
        <x:v>399.6567986849</x:v>
      </x:c>
      <x:c r="D1789" s="13" t="str">
        <x:v>Homebuilders</x:v>
      </x:c>
      <x:c r="E1789" s="13" t="str">
        <x:v>Real Estate</x:v>
      </x:c>
      <x:c r="F1789" s="13" t="str">
        <x:v>Early Cyclicals</x:v>
      </x:c>
      <x:c r="G1789" s="13" t="str">
        <x:v>grid_wekqfxnd.xlsx</x:v>
      </x:c>
    </x:row>
    <x:row r="1790">
      <x:c r="A1790" s="15" t="n">
        <x:v>41061</x:v>
      </x:c>
      <x:c r="B1790" s="13" t="str">
        <x:v>TEGRA INCORPORADORA SA</x:v>
      </x:c>
      <x:c r="C1790" s="16" t="n">
        <x:v>358.2550312329</x:v>
      </x:c>
      <x:c r="D1790" s="13" t="str">
        <x:v>Homebuilders</x:v>
      </x:c>
      <x:c r="E1790" s="13" t="str">
        <x:v>Real Estate</x:v>
      </x:c>
      <x:c r="F1790" s="13" t="str">
        <x:v>Early Cyclicals</x:v>
      </x:c>
      <x:c r="G1790" s="13" t="str">
        <x:v>grid_wekqfxnd.xlsx</x:v>
      </x:c>
    </x:row>
    <x:row r="1791">
      <x:c r="A1791" s="15" t="n">
        <x:v>41061</x:v>
      </x:c>
      <x:c r="B1791" s="13" t="str">
        <x:v>BR MALLS PARTICIPACOES SA</x:v>
      </x:c>
      <x:c r="C1791" s="16" t="n">
        <x:v>522.4744933699</x:v>
      </x:c>
      <x:c r="D1791" s="13" t="str">
        <x:v>Income Properties</x:v>
      </x:c>
      <x:c r="E1791" s="13" t="str">
        <x:v>Real Estate</x:v>
      </x:c>
      <x:c r="F1791" s="13" t="str">
        <x:v>Early Cyclicals</x:v>
      </x:c>
      <x:c r="G1791" s="13" t="str">
        <x:v>grid_wekqfxnd.xlsx</x:v>
      </x:c>
    </x:row>
    <x:row r="1792">
      <x:c r="A1792" s="15" t="n">
        <x:v>41061</x:v>
      </x:c>
      <x:c r="B1792" s="13" t="str">
        <x:v>BRADESPAR SA -PREF</x:v>
      </x:c>
      <x:c r="C1792" s="16" t="n">
        <x:v>2075.9314901918</x:v>
      </x:c>
      <x:c r="D1792" s="13" t="str">
        <x:v>Metals &amp; Mining</x:v>
      </x:c>
      <x:c r="E1792" s="13" t="str">
        <x:v>Metals &amp; Mining</x:v>
      </x:c>
      <x:c r="F1792" s="13" t="str">
        <x:v>Deep Cyclicals</x:v>
      </x:c>
      <x:c r="G1792" s="13" t="str">
        <x:v>grid_wekqfxnd.xlsx</x:v>
      </x:c>
    </x:row>
    <x:row r="1793">
      <x:c r="A1793" s="15" t="n">
        <x:v>41061</x:v>
      </x:c>
      <x:c r="B1793" s="13" t="str">
        <x:v>CIA SIDERURGICA NACIONAL SA</x:v>
      </x:c>
      <x:c r="C1793" s="16" t="n">
        <x:v>2360.4580821918</x:v>
      </x:c>
      <x:c r="D1793" s="13" t="str">
        <x:v>Metals &amp; Mining</x:v>
      </x:c>
      <x:c r="E1793" s="13" t="str">
        <x:v>Metals &amp; Mining</x:v>
      </x:c>
      <x:c r="F1793" s="13" t="str">
        <x:v>Deep Cyclicals</x:v>
      </x:c>
      <x:c r="G1793" s="13" t="str">
        <x:v>grid_wekqfxnd.xlsx</x:v>
      </x:c>
    </x:row>
    <x:row r="1794">
      <x:c r="A1794" s="15" t="n">
        <x:v>41061</x:v>
      </x:c>
      <x:c r="B1794" s="13" t="str">
        <x:v>GERDAU SA-PREF</x:v>
      </x:c>
      <x:c r="C1794" s="16" t="n">
        <x:v>2569.6010730959</x:v>
      </x:c>
      <x:c r="D1794" s="13" t="str">
        <x:v>Metals &amp; Mining</x:v>
      </x:c>
      <x:c r="E1794" s="13" t="str">
        <x:v>Metals &amp; Mining</x:v>
      </x:c>
      <x:c r="F1794" s="13" t="str">
        <x:v>Deep Cyclicals</x:v>
      </x:c>
      <x:c r="G1794" s="13" t="str">
        <x:v>grid_wekqfxnd.xlsx</x:v>
      </x:c>
    </x:row>
    <x:row r="1795">
      <x:c r="A1795" s="15" t="n">
        <x:v>41061</x:v>
      </x:c>
      <x:c r="B1795" s="13" t="str">
        <x:v>METALURGICA GERDAU SA-PREF</x:v>
      </x:c>
      <x:c r="C1795" s="16" t="n">
        <x:v>1119.2783342466</x:v>
      </x:c>
      <x:c r="D1795" s="13" t="str">
        <x:v>Metals &amp; Mining</x:v>
      </x:c>
      <x:c r="E1795" s="13" t="str">
        <x:v>Metals &amp; Mining</x:v>
      </x:c>
      <x:c r="F1795" s="13" t="str">
        <x:v>Deep Cyclicals</x:v>
      </x:c>
      <x:c r="G1795" s="13" t="str">
        <x:v>grid_wekqfxnd.xlsx</x:v>
      </x:c>
    </x:row>
    <x:row r="1796">
      <x:c r="A1796" s="15" t="n">
        <x:v>41061</x:v>
      </x:c>
      <x:c r="B1796" s="13" t="str">
        <x:v>MMX MINERACAO E METALICOS SA</x:v>
      </x:c>
      <x:c r="C1796" s="16" t="n">
        <x:v>124.5523287671</x:v>
      </x:c>
      <x:c r="D1796" s="13" t="str">
        <x:v>Metals &amp; Mining</x:v>
      </x:c>
      <x:c r="E1796" s="13" t="str">
        <x:v>Metals &amp; Mining</x:v>
      </x:c>
      <x:c r="F1796" s="13" t="str">
        <x:v>Deep Cyclicals</x:v>
      </x:c>
      <x:c r="G1796" s="13" t="str">
        <x:v>grid_wekqfxnd.xlsx</x:v>
      </x:c>
    </x:row>
    <x:row r="1797">
      <x:c r="A1797" s="15" t="n">
        <x:v>41061</x:v>
      </x:c>
      <x:c r="B1797" s="13" t="str">
        <x:v>USINAS SIDER MINAS GER-PF A</x:v>
      </x:c>
      <x:c r="C1797" s="16" t="n">
        <x:v>357.5738963288</x:v>
      </x:c>
      <x:c r="D1797" s="13" t="str">
        <x:v>Metals &amp; Mining</x:v>
      </x:c>
      <x:c r="E1797" s="13" t="str">
        <x:v>Metals &amp; Mining</x:v>
      </x:c>
      <x:c r="F1797" s="13" t="str">
        <x:v>Deep Cyclicals</x:v>
      </x:c>
      <x:c r="G1797" s="13" t="str">
        <x:v>grid_wekqfxnd.xlsx</x:v>
      </x:c>
    </x:row>
    <x:row r="1798">
      <x:c r="A1798" s="15" t="n">
        <x:v>41061</x:v>
      </x:c>
      <x:c r="B1798" s="13" t="str">
        <x:v>USINAS SIDERURGICAS DE MINAS</x:v>
      </x:c>
      <x:c r="C1798" s="16" t="n">
        <x:v>357.5738963288</x:v>
      </x:c>
      <x:c r="D1798" s="13" t="str">
        <x:v>Metals &amp; Mining</x:v>
      </x:c>
      <x:c r="E1798" s="13" t="str">
        <x:v>Metals &amp; Mining</x:v>
      </x:c>
      <x:c r="F1798" s="13" t="str">
        <x:v>Deep Cyclicals</x:v>
      </x:c>
      <x:c r="G1798" s="13" t="str">
        <x:v>grid_wekqfxnd.xlsx</x:v>
      </x:c>
    </x:row>
    <x:row r="1799">
      <x:c r="A1799" s="15" t="n">
        <x:v>41061</x:v>
      </x:c>
      <x:c r="B1799" s="13" t="str">
        <x:v>VALE SA</x:v>
      </x:c>
      <x:c r="C1799" s="16" t="n">
        <x:v>34287.1135947397</x:v>
      </x:c>
      <x:c r="D1799" s="13" t="str">
        <x:v>Metals &amp; Mining</x:v>
      </x:c>
      <x:c r="E1799" s="13" t="str">
        <x:v>Metals &amp; Mining</x:v>
      </x:c>
      <x:c r="F1799" s="13" t="str">
        <x:v>Deep Cyclicals</x:v>
      </x:c>
      <x:c r="G1799" s="13" t="str">
        <x:v>grid_wekqfxnd.xlsx</x:v>
      </x:c>
    </x:row>
    <x:row r="1800">
      <x:c r="A1800" s="15" t="n">
        <x:v>41061</x:v>
      </x:c>
      <x:c r="B1800" s="13" t="str">
        <x:v>BRASKEM SA-PREF A</x:v>
      </x:c>
      <x:c r="C1800" s="16" t="n">
        <x:v>683.5724028493</x:v>
      </x:c>
      <x:c r="D1800" s="13" t="str">
        <x:v>Oil, Gas &amp; Petrochemicals</x:v>
      </x:c>
      <x:c r="E1800" s="13" t="str">
        <x:v>Oil, Gas &amp; Petrochemicals</x:v>
      </x:c>
      <x:c r="F1800" s="13" t="str">
        <x:v>Deep Cyclicals</x:v>
      </x:c>
      <x:c r="G1800" s="13" t="str">
        <x:v>grid_wekqfxnd.xlsx</x:v>
      </x:c>
    </x:row>
    <x:row r="1801">
      <x:c r="A1801" s="15" t="n">
        <x:v>41061</x:v>
      </x:c>
      <x:c r="B1801" s="13" t="str">
        <x:v>OLEO E GAS PARTICIPACOES SA</x:v>
      </x:c>
      <x:c r="C1801" s="16" t="n">
        <x:v>-20.0129507945</x:v>
      </x:c>
      <x:c r="D1801" s="13" t="str">
        <x:v>Oil, Gas &amp; Petrochemicals</x:v>
      </x:c>
      <x:c r="E1801" s="13" t="str">
        <x:v>Oil, Gas &amp; Petrochemicals</x:v>
      </x:c>
      <x:c r="F1801" s="13" t="str">
        <x:v>Deep Cyclicals</x:v>
      </x:c>
      <x:c r="G1801" s="13" t="str">
        <x:v>grid_wekqfxnd.xlsx</x:v>
      </x:c>
    </x:row>
    <x:row r="1802">
      <x:c r="A1802" s="15" t="n">
        <x:v>41061</x:v>
      </x:c>
      <x:c r="B1802" s="13" t="str">
        <x:v>PETROBRAS - PETROLEO BRAS</x:v>
      </x:c>
      <x:c r="C1802" s="16" t="n">
        <x:v>34829.6072486575</x:v>
      </x:c>
      <x:c r="D1802" s="13" t="str">
        <x:v>Oil, Gas &amp; Petrochemicals</x:v>
      </x:c>
      <x:c r="E1802" s="13" t="str">
        <x:v>Oil, Gas &amp; Petrochemicals</x:v>
      </x:c>
      <x:c r="F1802" s="13" t="str">
        <x:v>Deep Cyclicals</x:v>
      </x:c>
      <x:c r="G1802" s="13" t="str">
        <x:v>grid_wekqfxnd.xlsx</x:v>
      </x:c>
    </x:row>
    <x:row r="1803">
      <x:c r="A1803" s="15" t="n">
        <x:v>41061</x:v>
      </x:c>
      <x:c r="B1803" s="13" t="str">
        <x:v>ULTRAPAR PARTICIPACOES SA</x:v>
      </x:c>
      <x:c r="C1803" s="16" t="n">
        <x:v>1111.3463250411</x:v>
      </x:c>
      <x:c r="D1803" s="13" t="str">
        <x:v>Oil, Gas &amp; Petrochemicals</x:v>
      </x:c>
      <x:c r="E1803" s="13" t="str">
        <x:v>Oil, Gas &amp; Petrochemicals</x:v>
      </x:c>
      <x:c r="F1803" s="13" t="str">
        <x:v>Deep Cyclicals</x:v>
      </x:c>
      <x:c r="G1803" s="13" t="str">
        <x:v>grid_wekqfxnd.xlsx</x:v>
      </x:c>
    </x:row>
    <x:row r="1804">
      <x:c r="A1804" s="15" t="n">
        <x:v>41061</x:v>
      </x:c>
      <x:c r="B1804" s="13" t="str">
        <x:v>DEXCO SA</x:v>
      </x:c>
      <x:c r="C1804" s="16" t="n">
        <x:v>419.0742110685</x:v>
      </x:c>
      <x:c r="D1804" s="13" t="str">
        <x:v>Pulp &amp; Paper</x:v>
      </x:c>
      <x:c r="E1804" s="13" t="str">
        <x:v>Pulp &amp; Paper</x:v>
      </x:c>
      <x:c r="F1804" s="13" t="str">
        <x:v>Deep Cyclicals</x:v>
      </x:c>
      <x:c r="G1804" s="13" t="str">
        <x:v>grid_wekqfxnd.xlsx</x:v>
      </x:c>
    </x:row>
    <x:row r="1805">
      <x:c r="A1805" s="15" t="n">
        <x:v>41061</x:v>
      </x:c>
      <x:c r="B1805" s="13" t="str">
        <x:v>FIBRIA CELULOSE S/A</x:v>
      </x:c>
      <x:c r="C1805" s="16" t="n">
        <x:v>-168.6233643836</x:v>
      </x:c>
      <x:c r="D1805" s="13" t="str">
        <x:v>Pulp &amp; Paper</x:v>
      </x:c>
      <x:c r="E1805" s="13" t="str">
        <x:v>Pulp &amp; Paper</x:v>
      </x:c>
      <x:c r="F1805" s="13" t="str">
        <x:v>Deep Cyclicals</x:v>
      </x:c>
      <x:c r="G1805" s="13" t="str">
        <x:v>grid_wekqfxnd.xlsx</x:v>
      </x:c>
    </x:row>
    <x:row r="1806">
      <x:c r="A1806" s="15" t="n">
        <x:v>41061</x:v>
      </x:c>
      <x:c r="B1806" s="13" t="str">
        <x:v>AMERICANAS SA</x:v>
      </x:c>
      <x:c r="C1806" s="16" t="n">
        <x:v>4.4505027397</x:v>
      </x:c>
      <x:c r="D1806" s="13" t="str">
        <x:v>Retail</x:v>
      </x:c>
      <x:c r="E1806" s="13" t="str">
        <x:v>Retail</x:v>
      </x:c>
      <x:c r="F1806" s="13" t="str">
        <x:v>Early Cyclicals</x:v>
      </x:c>
      <x:c r="G1806" s="13" t="str">
        <x:v>grid_wekqfxnd.xlsx</x:v>
      </x:c>
    </x:row>
    <x:row r="1807">
      <x:c r="A1807" s="15" t="n">
        <x:v>41061</x:v>
      </x:c>
      <x:c r="B1807" s="13" t="str">
        <x:v>CIA BRASILEIRA DE DIS-PREF</x:v>
      </x:c>
      <x:c r="C1807" s="16" t="n">
        <x:v>1129.1317909041</x:v>
      </x:c>
      <x:c r="D1807" s="13" t="str">
        <x:v>Retail</x:v>
      </x:c>
      <x:c r="E1807" s="13" t="str">
        <x:v>Retail</x:v>
      </x:c>
      <x:c r="F1807" s="13" t="str">
        <x:v>Early Cyclicals</x:v>
      </x:c>
      <x:c r="G1807" s="13" t="str">
        <x:v>grid_wekqfxnd.xlsx</x:v>
      </x:c>
    </x:row>
    <x:row r="1808">
      <x:c r="A1808" s="15" t="n">
        <x:v>41061</x:v>
      </x:c>
      <x:c r="B1808" s="13" t="str">
        <x:v>CIA HERING</x:v>
      </x:c>
      <x:c r="C1808" s="16" t="n">
        <x:v>392.826438137</x:v>
      </x:c>
      <x:c r="D1808" s="13" t="str">
        <x:v>Retail</x:v>
      </x:c>
      <x:c r="E1808" s="13" t="str">
        <x:v>Retail</x:v>
      </x:c>
      <x:c r="F1808" s="13" t="str">
        <x:v>Early Cyclicals</x:v>
      </x:c>
      <x:c r="G1808" s="13" t="str">
        <x:v>grid_wekqfxnd.xlsx</x:v>
      </x:c>
    </x:row>
    <x:row r="1809">
      <x:c r="A1809" s="15" t="n">
        <x:v>41061</x:v>
      </x:c>
      <x:c r="B1809" s="13" t="str">
        <x:v>LOJAS AMERICANAS SA-PREF</x:v>
      </x:c>
      <x:c r="C1809" s="16" t="n">
        <x:v>518.2904718904</x:v>
      </x:c>
      <x:c r="D1809" s="13" t="str">
        <x:v>Retail</x:v>
      </x:c>
      <x:c r="E1809" s="13" t="str">
        <x:v>Retail</x:v>
      </x:c>
      <x:c r="F1809" s="13" t="str">
        <x:v>Early Cyclicals</x:v>
      </x:c>
      <x:c r="G1809" s="13" t="str">
        <x:v>grid_wekqfxnd.xlsx</x:v>
      </x:c>
    </x:row>
    <x:row r="1810">
      <x:c r="A1810" s="15" t="n">
        <x:v>41061</x:v>
      </x:c>
      <x:c r="B1810" s="13" t="str">
        <x:v>LOJAS RENNER S.A.</x:v>
      </x:c>
      <x:c r="C1810" s="16" t="n">
        <x:v>413.021203726</x:v>
      </x:c>
      <x:c r="D1810" s="13" t="str">
        <x:v>Retail</x:v>
      </x:c>
      <x:c r="E1810" s="13" t="str">
        <x:v>Retail</x:v>
      </x:c>
      <x:c r="F1810" s="13" t="str">
        <x:v>Early Cyclicals</x:v>
      </x:c>
      <x:c r="G1810" s="13" t="str">
        <x:v>grid_wekqfxnd.xlsx</x:v>
      </x:c>
    </x:row>
    <x:row r="1811">
      <x:c r="A1811" s="15" t="n">
        <x:v>41061</x:v>
      </x:c>
      <x:c r="B1811" s="13" t="str">
        <x:v>NATURA COSMETICOS SA</x:v>
      </x:c>
      <x:c r="C1811" s="16" t="n">
        <x:v>936.8071881644</x:v>
      </x:c>
      <x:c r="D1811" s="13" t="str">
        <x:v>Retail</x:v>
      </x:c>
      <x:c r="E1811" s="13" t="str">
        <x:v>Retail</x:v>
      </x:c>
      <x:c r="F1811" s="13" t="str">
        <x:v>Early Cyclicals</x:v>
      </x:c>
      <x:c r="G1811" s="13" t="str">
        <x:v>grid_wekqfxnd.xlsx</x:v>
      </x:c>
    </x:row>
    <x:row r="1812">
      <x:c r="A1812" s="15" t="n">
        <x:v>41061</x:v>
      </x:c>
      <x:c r="B1812" s="13" t="str">
        <x:v>CIA SANEAMENTO BASICO DE SP</x:v>
      </x:c>
      <x:c r="C1812" s="16" t="n">
        <x:v>1746.8823215342</x:v>
      </x:c>
      <x:c r="D1812" s="13" t="str">
        <x:v>Sanitation</x:v>
      </x:c>
      <x:c r="E1812" s="13" t="str">
        <x:v>Utilities</x:v>
      </x:c>
      <x:c r="F1812" s="13" t="str">
        <x:v>Defensives</x:v>
      </x:c>
      <x:c r="G1812" s="13" t="str">
        <x:v>grid_wekqfxnd.xlsx</x:v>
      </x:c>
    </x:row>
    <x:row r="1813">
      <x:c r="A1813" s="15" t="n">
        <x:v>41061</x:v>
      </x:c>
      <x:c r="B1813" s="13" t="str">
        <x:v>OI S.A.</x:v>
      </x:c>
      <x:c r="C1813" s="16" t="n">
        <x:v>648.5400232329</x:v>
      </x:c>
      <x:c r="D1813" s="13" t="str">
        <x:v>TMT</x:v>
      </x:c>
      <x:c r="E1813" s="13" t="str">
        <x:v>TMT</x:v>
      </x:c>
      <x:c r="F1813" s="13" t="str">
        <x:v>Early Cyclicals</x:v>
      </x:c>
      <x:c r="G1813" s="13" t="str">
        <x:v>grid_wekqfxnd.xlsx</x:v>
      </x:c>
    </x:row>
    <x:row r="1814">
      <x:c r="A1814" s="15" t="n">
        <x:v>41061</x:v>
      </x:c>
      <x:c r="B1814" s="13" t="str">
        <x:v>OI SA-PREFERENCE</x:v>
      </x:c>
      <x:c r="C1814" s="16" t="n">
        <x:v>648.5400232329</x:v>
      </x:c>
      <x:c r="D1814" s="13" t="str">
        <x:v>TMT</x:v>
      </x:c>
      <x:c r="E1814" s="13" t="str">
        <x:v>TMT</x:v>
      </x:c>
      <x:c r="F1814" s="13" t="str">
        <x:v>Early Cyclicals</x:v>
      </x:c>
      <x:c r="G1814" s="13" t="str">
        <x:v>grid_wekqfxnd.xlsx</x:v>
      </x:c>
    </x:row>
    <x:row r="1815">
      <x:c r="A1815" s="15" t="n">
        <x:v>41061</x:v>
      </x:c>
      <x:c r="B1815" s="13" t="str">
        <x:v>TELEFONICA BRASIL S.A.-PREF</x:v>
      </x:c>
      <x:c r="C1815" s="16" t="n">
        <x:v>5105.2673472877</x:v>
      </x:c>
      <x:c r="D1815" s="13" t="str">
        <x:v>TMT</x:v>
      </x:c>
      <x:c r="E1815" s="13" t="str">
        <x:v>TMT</x:v>
      </x:c>
      <x:c r="F1815" s="13" t="str">
        <x:v>Early Cyclicals</x:v>
      </x:c>
      <x:c r="G1815" s="13" t="str">
        <x:v>grid_wekqfxnd.xlsx</x:v>
      </x:c>
    </x:row>
    <x:row r="1816">
      <x:c r="A1816" s="15" t="n">
        <x:v>41061</x:v>
      </x:c>
      <x:c r="B1816" s="13" t="str">
        <x:v>TIM SA</x:v>
      </x:c>
      <x:c r="C1816" s="16" t="n">
        <x:v>1800.603730411</x:v>
      </x:c>
      <x:c r="D1816" s="13" t="str">
        <x:v>TMT</x:v>
      </x:c>
      <x:c r="E1816" s="13" t="str">
        <x:v>TMT</x:v>
      </x:c>
      <x:c r="F1816" s="13" t="str">
        <x:v>Early Cyclicals</x:v>
      </x:c>
      <x:c r="G1816" s="13" t="str">
        <x:v>grid_wekqfxnd.xlsx</x:v>
      </x:c>
    </x:row>
    <x:row r="1817">
      <x:c r="A1817" s="15" t="n">
        <x:v>41061</x:v>
      </x:c>
      <x:c r="B1817" s="13" t="str">
        <x:v>GOL LINHAS AEREAS INT SA-PRE</x:v>
      </x:c>
      <x:c r="C1817" s="16" t="n">
        <x:v>18.3366383562</x:v>
      </x:c>
      <x:c r="D1817" s="13" t="str">
        <x:v>Transportation</x:v>
      </x:c>
      <x:c r="E1817" s="13" t="str">
        <x:v>Transportation</x:v>
      </x:c>
      <x:c r="F1817" s="13" t="str">
        <x:v>Deep Cyclicals</x:v>
      </x:c>
      <x:c r="G1817" s="13" t="str">
        <x:v>grid_wekqfxnd.xlsx</x:v>
      </x:c>
    </x:row>
    <x:row r="1818">
      <x:c r="A1818" s="15" t="n">
        <x:v>41061</x:v>
      </x:c>
      <x:c r="B1818" s="13" t="str">
        <x:v>LOCALIZA RENT A CAR</x:v>
      </x:c>
      <x:c r="C1818" s="16" t="n">
        <x:v>359.804</x:v>
      </x:c>
      <x:c r="D1818" s="13" t="str">
        <x:v>Transportation</x:v>
      </x:c>
      <x:c r="E1818" s="13" t="str">
        <x:v>Transportation</x:v>
      </x:c>
      <x:c r="F1818" s="13" t="str">
        <x:v>Deep Cyclicals</x:v>
      </x:c>
      <x:c r="G1818" s="13" t="str">
        <x:v>grid_wekqfxnd.xlsx</x:v>
      </x:c>
    </x:row>
    <x:row r="1819">
      <x:c r="A1819" s="15" t="n">
        <x:v>41061</x:v>
      </x:c>
      <x:c r="B1819" s="13" t="str">
        <x:v>MOTIVA INFRAESTRUTURA DE MOB</x:v>
      </x:c>
      <x:c r="C1819" s="16" t="n">
        <x:v>1453.0879368767</x:v>
      </x:c>
      <x:c r="D1819" s="13" t="str">
        <x:v>Transportation</x:v>
      </x:c>
      <x:c r="E1819" s="13" t="str">
        <x:v>Transportation</x:v>
      </x:c>
      <x:c r="F1819" s="13" t="str">
        <x:v>Deep Cyclicals</x:v>
      </x:c>
      <x:c r="G1819" s="13" t="str">
        <x:v>grid_wekqfxnd.xlsx</x:v>
      </x:c>
    </x:row>
    <x:row r="1820">
      <x:c r="A1820" s="15" t="n">
        <x:v>41061</x:v>
      </x:c>
      <x:c r="B1820" s="13" t="str">
        <x:v>PRUMO LOGISTICA SA</x:v>
      </x:c>
      <x:c r="C1820" s="16" t="n">
        <x:v>-119.6350136986</x:v>
      </x:c>
      <x:c r="D1820" s="13" t="str">
        <x:v>Transportation</x:v>
      </x:c>
      <x:c r="E1820" s="13" t="str">
        <x:v>Transportation</x:v>
      </x:c>
      <x:c r="F1820" s="13" t="str">
        <x:v>Deep Cyclicals</x:v>
      </x:c>
      <x:c r="G1820" s="13" t="str">
        <x:v>grid_wekqfxnd.xlsx</x:v>
      </x:c>
    </x:row>
    <x:row r="1821">
      <x:c r="A1821" s="15" t="n">
        <x:v>41061</x:v>
      </x:c>
      <x:c r="B1821" s="13" t="str">
        <x:v>RUMO SA</x:v>
      </x:c>
      <x:c r="C1821" s="16" t="n">
        <x:v>346.800281863</x:v>
      </x:c>
      <x:c r="D1821" s="13" t="str">
        <x:v>Transportation</x:v>
      </x:c>
      <x:c r="E1821" s="13" t="str">
        <x:v>Transportation</x:v>
      </x:c>
      <x:c r="F1821" s="13" t="str">
        <x:v>Deep Cyclicals</x:v>
      </x:c>
      <x:c r="G1821" s="13" t="str">
        <x:v>grid_wekqfxnd.xlsx</x:v>
      </x:c>
    </x:row>
    <x:row r="1822">
      <x:c r="A1822" s="15" t="n">
        <x:v>41061</x:v>
      </x:c>
      <x:c r="B1822" s="13" t="str">
        <x:v>AXIA ENERGIA SA</x:v>
      </x:c>
      <x:c r="C1822" s="16" t="n">
        <x:v>3991.2460414247</x:v>
      </x:c>
      <x:c r="D1822" s="13" t="str">
        <x:v>Utilities &amp; Energy</x:v>
      </x:c>
      <x:c r="E1822" s="13" t="str">
        <x:v>Utilities</x:v>
      </x:c>
      <x:c r="F1822" s="13" t="str">
        <x:v>Defensives</x:v>
      </x:c>
      <x:c r="G1822" s="13" t="str">
        <x:v>grid_wekqfxnd.xlsx</x:v>
      </x:c>
    </x:row>
    <x:row r="1823">
      <x:c r="A1823" s="15" t="n">
        <x:v>41061</x:v>
      </x:c>
      <x:c r="B1823" s="13" t="str">
        <x:v>AXIA ENERGIA-PR B</x:v>
      </x:c>
      <x:c r="C1823" s="16" t="n">
        <x:v>3991.2460414247</x:v>
      </x:c>
      <x:c r="D1823" s="13" t="str">
        <x:v>Utilities &amp; Energy</x:v>
      </x:c>
      <x:c r="E1823" s="13" t="str">
        <x:v>Utilities</x:v>
      </x:c>
      <x:c r="F1823" s="13" t="str">
        <x:v>Defensives</x:v>
      </x:c>
      <x:c r="G1823" s="13" t="str">
        <x:v>grid_wekqfxnd.xlsx</x:v>
      </x:c>
    </x:row>
    <x:row r="1824">
      <x:c r="A1824" s="15" t="n">
        <x:v>41061</x:v>
      </x:c>
      <x:c r="B1824" s="13" t="str">
        <x:v>CESP - CIA ENERGETICA DE SAO</x:v>
      </x:c>
      <x:c r="C1824" s="16" t="n">
        <x:v>756.8940747397</x:v>
      </x:c>
      <x:c r="D1824" s="13" t="str">
        <x:v>Utilities &amp; Energy</x:v>
      </x:c>
      <x:c r="E1824" s="13" t="str">
        <x:v>Utilities</x:v>
      </x:c>
      <x:c r="F1824" s="13" t="str">
        <x:v>Defensives</x:v>
      </x:c>
      <x:c r="G1824" s="13" t="str">
        <x:v>grid_wekqfxnd.xlsx</x:v>
      </x:c>
    </x:row>
    <x:row r="1825">
      <x:c r="A1825" s="15" t="n">
        <x:v>41061</x:v>
      </x:c>
      <x:c r="B1825" s="13" t="str">
        <x:v>CIA ENERGETICA MINAS GER-PRF</x:v>
      </x:c>
      <x:c r="C1825" s="16" t="n">
        <x:v>3041.3627546301</x:v>
      </x:c>
      <x:c r="D1825" s="13" t="str">
        <x:v>Utilities &amp; Energy</x:v>
      </x:c>
      <x:c r="E1825" s="13" t="str">
        <x:v>Utilities</x:v>
      </x:c>
      <x:c r="F1825" s="13" t="str">
        <x:v>Defensives</x:v>
      </x:c>
      <x:c r="G1825" s="13" t="str">
        <x:v>grid_wekqfxnd.xlsx</x:v>
      </x:c>
    </x:row>
    <x:row r="1826">
      <x:c r="A1826" s="15" t="n">
        <x:v>41061</x:v>
      </x:c>
      <x:c r="B1826" s="13" t="str">
        <x:v>COMPANHIA PARANAENSE -PREF B</x:v>
      </x:c>
      <x:c r="C1826" s="16" t="n">
        <x:v>1176.1450766027</x:v>
      </x:c>
      <x:c r="D1826" s="13" t="str">
        <x:v>Utilities &amp; Energy</x:v>
      </x:c>
      <x:c r="E1826" s="13" t="str">
        <x:v>Utilities</x:v>
      </x:c>
      <x:c r="F1826" s="13" t="str">
        <x:v>Defensives</x:v>
      </x:c>
      <x:c r="G1826" s="13" t="str">
        <x:v>grid_wekqfxnd.xlsx</x:v>
      </x:c>
    </x:row>
    <x:row r="1827">
      <x:c r="A1827" s="15" t="n">
        <x:v>41061</x:v>
      </x:c>
      <x:c r="B1827" s="13" t="str">
        <x:v>CPFL ENERGIA SA</x:v>
      </x:c>
      <x:c r="C1827" s="16" t="n">
        <x:v>1461.8767605479</x:v>
      </x:c>
      <x:c r="D1827" s="13" t="str">
        <x:v>Utilities &amp; Energy</x:v>
      </x:c>
      <x:c r="E1827" s="13" t="str">
        <x:v>Utilities</x:v>
      </x:c>
      <x:c r="F1827" s="13" t="str">
        <x:v>Defensives</x:v>
      </x:c>
      <x:c r="G1827" s="13" t="str">
        <x:v>grid_wekqfxnd.xlsx</x:v>
      </x:c>
    </x:row>
    <x:row r="1828">
      <x:c r="A1828" s="15" t="n">
        <x:v>41061</x:v>
      </x:c>
      <x:c r="B1828" s="13" t="str">
        <x:v>ELETROPAULO METROPOLI-PREF</x:v>
      </x:c>
      <x:c r="C1828" s="16" t="n">
        <x:v>392.0260725479</x:v>
      </x:c>
      <x:c r="D1828" s="13" t="str">
        <x:v>Utilities &amp; Energy</x:v>
      </x:c>
      <x:c r="E1828" s="13" t="str">
        <x:v>Utilities</x:v>
      </x:c>
      <x:c r="F1828" s="13" t="str">
        <x:v>Defensives</x:v>
      </x:c>
      <x:c r="G1828" s="13" t="str">
        <x:v>grid_wekqfxnd.xlsx</x:v>
      </x:c>
    </x:row>
    <x:row r="1829">
      <x:c r="A1829" s="15" t="n">
        <x:v>41061</x:v>
      </x:c>
      <x:c r="B1829" s="13" t="str">
        <x:v>ISA ENERGIA BRASIL SA</x:v>
      </x:c>
      <x:c r="C1829" s="16" t="n">
        <x:v>1028.3452054794</x:v>
      </x:c>
      <x:c r="D1829" s="13" t="str">
        <x:v>Utilities &amp; Energy</x:v>
      </x:c>
      <x:c r="E1829" s="13" t="str">
        <x:v>Utilities</x:v>
      </x:c>
      <x:c r="F1829" s="13" t="str">
        <x:v>Defensives</x:v>
      </x:c>
      <x:c r="G1829" s="13" t="str">
        <x:v>grid_wekqfxnd.xlsx</x:v>
      </x:c>
    </x:row>
    <x:row r="1830">
      <x:c r="A1830" s="15" t="n">
        <x:v>41061</x:v>
      </x:c>
      <x:c r="B1830" s="13" t="str">
        <x:v>LIGHT SA</x:v>
      </x:c>
      <x:c r="C1830" s="16" t="n">
        <x:v>495.617088</x:v>
      </x:c>
      <x:c r="D1830" s="13" t="str">
        <x:v>Utilities &amp; Energy</x:v>
      </x:c>
      <x:c r="E1830" s="13" t="str">
        <x:v>Utilities</x:v>
      </x:c>
      <x:c r="F1830" s="13" t="str">
        <x:v>Defensives</x:v>
      </x:c>
      <x:c r="G1830" s="13" t="str">
        <x:v>grid_wekqfxnd.xlsx</x:v>
      </x:c>
    </x:row>
    <x:row r="1831">
      <x:c r="A1831" s="15" t="n">
        <x:v>41091</x:v>
      </x:c>
      <x:c r="B1831" s="13" t="str">
        <x:v>BANCO BRADESCO SA-PREF</x:v>
      </x:c>
      <x:c r="C1831" s="16" t="n">
        <x:v>12721.8125220822</x:v>
      </x:c>
      <x:c r="D1831" s="13" t="str">
        <x:v>Banks</x:v>
      </x:c>
      <x:c r="E1831" s="13" t="str">
        <x:v>Banks</x:v>
      </x:c>
      <x:c r="F1831" s="13" t="str">
        <x:v>Financials</x:v>
      </x:c>
      <x:c r="G1831" s="13" t="str">
        <x:v>grid_wekqfxnd.xlsx</x:v>
      </x:c>
    </x:row>
    <x:row r="1832">
      <x:c r="A1832" s="15" t="n">
        <x:v>41091</x:v>
      </x:c>
      <x:c r="B1832" s="13" t="str">
        <x:v>BANCO DO BRASIL S.A.</x:v>
      </x:c>
      <x:c r="C1832" s="16" t="n">
        <x:v>11564.914138126</x:v>
      </x:c>
      <x:c r="D1832" s="13" t="str">
        <x:v>Banks</x:v>
      </x:c>
      <x:c r="E1832" s="13" t="str">
        <x:v>Banks</x:v>
      </x:c>
      <x:c r="F1832" s="13" t="str">
        <x:v>Financials</x:v>
      </x:c>
      <x:c r="G1832" s="13" t="str">
        <x:v>grid_wekqfxnd.xlsx</x:v>
      </x:c>
    </x:row>
    <x:row r="1833">
      <x:c r="A1833" s="15" t="n">
        <x:v>41091</x:v>
      </x:c>
      <x:c r="B1833" s="13" t="str">
        <x:v>BANCO SANTANDER  BRASIL-UNIT</x:v>
      </x:c>
      <x:c r="C1833" s="16" t="n">
        <x:v>7172.8199834301</x:v>
      </x:c>
      <x:c r="D1833" s="13" t="str">
        <x:v>Banks</x:v>
      </x:c>
      <x:c r="E1833" s="13" t="str">
        <x:v>Banks</x:v>
      </x:c>
      <x:c r="F1833" s="13" t="str">
        <x:v>Financials</x:v>
      </x:c>
      <x:c r="G1833" s="13" t="str">
        <x:v>grid_wekqfxnd.xlsx</x:v>
      </x:c>
    </x:row>
    <x:row r="1834">
      <x:c r="A1834" s="15" t="n">
        <x:v>41091</x:v>
      </x:c>
      <x:c r="B1834" s="13" t="str">
        <x:v>ITAU UNIBANCO HOLDING S-PREF</x:v>
      </x:c>
      <x:c r="C1834" s="16" t="n">
        <x:v>15471.149056</x:v>
      </x:c>
      <x:c r="D1834" s="13" t="str">
        <x:v>Banks</x:v>
      </x:c>
      <x:c r="E1834" s="13" t="str">
        <x:v>Banks</x:v>
      </x:c>
      <x:c r="F1834" s="13" t="str">
        <x:v>Financials</x:v>
      </x:c>
      <x:c r="G1834" s="13" t="str">
        <x:v>grid_wekqfxnd.xlsx</x:v>
      </x:c>
    </x:row>
    <x:row r="1835">
      <x:c r="A1835" s="15" t="n">
        <x:v>41091</x:v>
      </x:c>
      <x:c r="B1835" s="13" t="str">
        <x:v>EMBRAER SA</x:v>
      </x:c>
      <x:c r="C1835" s="16" t="n">
        <x:v>1024.6139153534</x:v>
      </x:c>
      <x:c r="D1835" s="13" t="str">
        <x:v>Capital Goods</x:v>
      </x:c>
      <x:c r="E1835" s="13" t="str">
        <x:v>Capital Goods</x:v>
      </x:c>
      <x:c r="F1835" s="13" t="str">
        <x:v>Deep Cyclicals</x:v>
      </x:c>
      <x:c r="G1835" s="13" t="str">
        <x:v>grid_wekqfxnd.xlsx</x:v>
      </x:c>
    </x:row>
    <x:row r="1836">
      <x:c r="A1836" s="15" t="n">
        <x:v>41091</x:v>
      </x:c>
      <x:c r="B1836" s="13" t="str">
        <x:v>B3 SA-BRASIL BOLSA BALCAO</x:v>
      </x:c>
      <x:c r="C1836" s="16" t="n">
        <x:v>1793.6849015233</x:v>
      </x:c>
      <x:c r="D1836" s="13" t="str">
        <x:v>Financials Non-Banks</x:v>
      </x:c>
      <x:c r="E1836" s="13" t="str">
        <x:v>Financials Non-Banks</x:v>
      </x:c>
      <x:c r="F1836" s="13" t="str">
        <x:v>Financials</x:v>
      </x:c>
      <x:c r="G1836" s="13" t="str">
        <x:v>grid_wekqfxnd.xlsx</x:v>
      </x:c>
    </x:row>
    <x:row r="1837">
      <x:c r="A1837" s="15" t="n">
        <x:v>41091</x:v>
      </x:c>
      <x:c r="B1837" s="13" t="str">
        <x:v>CIELO SA - INSTITUICAO DE PA</x:v>
      </x:c>
      <x:c r="C1837" s="16" t="n">
        <x:v>2407.825669611</x:v>
      </x:c>
      <x:c r="D1837" s="13" t="str">
        <x:v>Financials Non-Banks</x:v>
      </x:c>
      <x:c r="E1837" s="13" t="str">
        <x:v>Financials Non-Banks</x:v>
      </x:c>
      <x:c r="F1837" s="13" t="str">
        <x:v>Financials</x:v>
      </x:c>
      <x:c r="G1837" s="13" t="str">
        <x:v>grid_wekqfxnd.xlsx</x:v>
      </x:c>
    </x:row>
    <x:row r="1838">
      <x:c r="A1838" s="15" t="n">
        <x:v>41091</x:v>
      </x:c>
      <x:c r="B1838" s="13" t="str">
        <x:v>ITAUSA SA</x:v>
      </x:c>
      <x:c r="C1838" s="16" t="n">
        <x:v>5165.7218300493</x:v>
      </x:c>
      <x:c r="D1838" s="13" t="str">
        <x:v>Financials Non-Banks</x:v>
      </x:c>
      <x:c r="E1838" s="13" t="str">
        <x:v>Financials Non-Banks</x:v>
      </x:c>
      <x:c r="F1838" s="13" t="str">
        <x:v>Financials</x:v>
      </x:c>
      <x:c r="G1838" s="13" t="str">
        <x:v>grid_wekqfxnd.xlsx</x:v>
      </x:c>
    </x:row>
    <x:row r="1839">
      <x:c r="A1839" s="15" t="n">
        <x:v>41091</x:v>
      </x:c>
      <x:c r="B1839" s="13" t="str">
        <x:v>REDECARD INSTITUICAO DE PAGA</x:v>
      </x:c>
      <x:c r="C1839" s="16" t="n">
        <x:v>1647.535943189</x:v>
      </x:c>
      <x:c r="D1839" s="13" t="str">
        <x:v>Financials Non-Banks</x:v>
      </x:c>
      <x:c r="E1839" s="13" t="str">
        <x:v>Financials Non-Banks</x:v>
      </x:c>
      <x:c r="F1839" s="13" t="str">
        <x:v>Financials</x:v>
      </x:c>
      <x:c r="G1839" s="13" t="str">
        <x:v>grid_wekqfxnd.xlsx</x:v>
      </x:c>
    </x:row>
    <x:row r="1840">
      <x:c r="A1840" s="15" t="n">
        <x:v>41091</x:v>
      </x:c>
      <x:c r="B1840" s="13" t="str">
        <x:v>AMBEV SA</x:v>
      </x:c>
      <x:c r="C1840" s="16" t="n">
        <x:v>10808.8813539945</x:v>
      </x:c>
      <x:c r="D1840" s="13" t="str">
        <x:v>Food &amp; Beverages</x:v>
      </x:c>
      <x:c r="E1840" s="13" t="str">
        <x:v>Agri, Food &amp; Beverages</x:v>
      </x:c>
      <x:c r="F1840" s="13" t="str">
        <x:v>Defensives</x:v>
      </x:c>
      <x:c r="G1840" s="13" t="str">
        <x:v>grid_wekqfxnd.xlsx</x:v>
      </x:c>
    </x:row>
    <x:row r="1841">
      <x:c r="A1841" s="15" t="n">
        <x:v>41091</x:v>
      </x:c>
      <x:c r="B1841" s="13" t="str">
        <x:v>BRF SA</x:v>
      </x:c>
      <x:c r="C1841" s="16" t="n">
        <x:v>1622.2730390794</x:v>
      </x:c>
      <x:c r="D1841" s="13" t="str">
        <x:v>Food &amp; Beverages</x:v>
      </x:c>
      <x:c r="E1841" s="13" t="str">
        <x:v>Agri, Food &amp; Beverages</x:v>
      </x:c>
      <x:c r="F1841" s="13" t="str">
        <x:v>Defensives</x:v>
      </x:c>
      <x:c r="G1841" s="13" t="str">
        <x:v>grid_wekqfxnd.xlsx</x:v>
      </x:c>
    </x:row>
    <x:row r="1842">
      <x:c r="A1842" s="15" t="n">
        <x:v>41091</x:v>
      </x:c>
      <x:c r="B1842" s="13" t="str">
        <x:v>MBRF GLOBAL FOODS COMPANY SA</x:v>
      </x:c>
      <x:c r="C1842" s="16" t="n">
        <x:v>18.496139726</x:v>
      </x:c>
      <x:c r="D1842" s="13" t="str">
        <x:v>Food &amp; Beverages</x:v>
      </x:c>
      <x:c r="E1842" s="13" t="str">
        <x:v>Agri, Food &amp; Beverages</x:v>
      </x:c>
      <x:c r="F1842" s="13" t="str">
        <x:v>Defensives</x:v>
      </x:c>
      <x:c r="G1842" s="13" t="str">
        <x:v>grid_wekqfxnd.xlsx</x:v>
      </x:c>
    </x:row>
    <x:row r="1843">
      <x:c r="A1843" s="15" t="n">
        <x:v>41091</x:v>
      </x:c>
      <x:c r="B1843" s="13" t="str">
        <x:v>SOUZA CRUZ LTDA</x:v>
      </x:c>
      <x:c r="C1843" s="16" t="n">
        <x:v>1888.9895518685</x:v>
      </x:c>
      <x:c r="D1843" s="13" t="str">
        <x:v>Food &amp; Beverages</x:v>
      </x:c>
      <x:c r="E1843" s="13" t="str">
        <x:v>Agri, Food &amp; Beverages</x:v>
      </x:c>
      <x:c r="F1843" s="13" t="str">
        <x:v>Defensives</x:v>
      </x:c>
      <x:c r="G1843" s="13" t="str">
        <x:v>grid_wekqfxnd.xlsx</x:v>
      </x:c>
    </x:row>
    <x:row r="1844">
      <x:c r="A1844" s="15" t="n">
        <x:v>41091</x:v>
      </x:c>
      <x:c r="B1844" s="13" t="str">
        <x:v>DIAGNOSTICOS DA AMERICA SA</x:v>
      </x:c>
      <x:c r="C1844" s="16" t="n">
        <x:v>265.9873972603</x:v>
      </x:c>
      <x:c r="D1844" s="13" t="str">
        <x:v>Health Care</x:v>
      </x:c>
      <x:c r="E1844" s="13" t="str">
        <x:v>Health Care</x:v>
      </x:c>
      <x:c r="F1844" s="13" t="str">
        <x:v>Defensives</x:v>
      </x:c>
      <x:c r="G1844" s="13" t="str">
        <x:v>grid_wekqfxnd.xlsx</x:v>
      </x:c>
    </x:row>
    <x:row r="1845">
      <x:c r="A1845" s="15" t="n">
        <x:v>41091</x:v>
      </x:c>
      <x:c r="B1845" s="13" t="str">
        <x:v>HYPERA SA</x:v>
      </x:c>
      <x:c r="C1845" s="16" t="n">
        <x:v>329.3627512986</x:v>
      </x:c>
      <x:c r="D1845" s="13" t="str">
        <x:v>Health Care</x:v>
      </x:c>
      <x:c r="E1845" s="13" t="str">
        <x:v>Health Care</x:v>
      </x:c>
      <x:c r="F1845" s="13" t="str">
        <x:v>Defensives</x:v>
      </x:c>
      <x:c r="G1845" s="13" t="str">
        <x:v>grid_wekqfxnd.xlsx</x:v>
      </x:c>
    </x:row>
    <x:row r="1846">
      <x:c r="A1846" s="15" t="n">
        <x:v>41091</x:v>
      </x:c>
      <x:c r="B1846" s="13" t="str">
        <x:v>CYRELA BRAZIL REALTY SA EMP</x:v>
      </x:c>
      <x:c r="C1846" s="16" t="n">
        <x:v>861.7725871342</x:v>
      </x:c>
      <x:c r="D1846" s="13" t="str">
        <x:v>Homebuilders</x:v>
      </x:c>
      <x:c r="E1846" s="13" t="str">
        <x:v>Real Estate</x:v>
      </x:c>
      <x:c r="F1846" s="13" t="str">
        <x:v>Early Cyclicals</x:v>
      </x:c>
      <x:c r="G1846" s="13" t="str">
        <x:v>grid_wekqfxnd.xlsx</x:v>
      </x:c>
    </x:row>
    <x:row r="1847">
      <x:c r="A1847" s="15" t="n">
        <x:v>41091</x:v>
      </x:c>
      <x:c r="B1847" s="13" t="str">
        <x:v>GAFISA SA</x:v>
      </x:c>
      <x:c r="C1847" s="16" t="n">
        <x:v>139.647369863</x:v>
      </x:c>
      <x:c r="D1847" s="13" t="str">
        <x:v>Homebuilders</x:v>
      </x:c>
      <x:c r="E1847" s="13" t="str">
        <x:v>Real Estate</x:v>
      </x:c>
      <x:c r="F1847" s="13" t="str">
        <x:v>Early Cyclicals</x:v>
      </x:c>
      <x:c r="G1847" s="13" t="str">
        <x:v>grid_wekqfxnd.xlsx</x:v>
      </x:c>
    </x:row>
    <x:row r="1848">
      <x:c r="A1848" s="15" t="n">
        <x:v>41091</x:v>
      </x:c>
      <x:c r="B1848" s="13" t="str">
        <x:v>MRV ENGENHARIA</x:v>
      </x:c>
      <x:c r="C1848" s="16" t="n">
        <x:v>764.9980009205</x:v>
      </x:c>
      <x:c r="D1848" s="13" t="str">
        <x:v>Homebuilders</x:v>
      </x:c>
      <x:c r="E1848" s="13" t="str">
        <x:v>Real Estate</x:v>
      </x:c>
      <x:c r="F1848" s="13" t="str">
        <x:v>Early Cyclicals</x:v>
      </x:c>
      <x:c r="G1848" s="13" t="str">
        <x:v>grid_wekqfxnd.xlsx</x:v>
      </x:c>
    </x:row>
    <x:row r="1849">
      <x:c r="A1849" s="15" t="n">
        <x:v>41091</x:v>
      </x:c>
      <x:c r="B1849" s="13" t="str">
        <x:v>PDG REALTY SA</x:v>
      </x:c>
      <x:c r="C1849" s="16" t="n">
        <x:v>610.5414678795</x:v>
      </x:c>
      <x:c r="D1849" s="13" t="str">
        <x:v>Homebuilders</x:v>
      </x:c>
      <x:c r="E1849" s="13" t="str">
        <x:v>Real Estate</x:v>
      </x:c>
      <x:c r="F1849" s="13" t="str">
        <x:v>Early Cyclicals</x:v>
      </x:c>
      <x:c r="G1849" s="13" t="str">
        <x:v>grid_wekqfxnd.xlsx</x:v>
      </x:c>
    </x:row>
    <x:row r="1850">
      <x:c r="A1850" s="15" t="n">
        <x:v>41091</x:v>
      </x:c>
      <x:c r="B1850" s="13" t="str">
        <x:v>ROSSI RESIDENCIAL SA</x:v>
      </x:c>
      <x:c r="C1850" s="16" t="n">
        <x:v>395.4613611836</x:v>
      </x:c>
      <x:c r="D1850" s="13" t="str">
        <x:v>Homebuilders</x:v>
      </x:c>
      <x:c r="E1850" s="13" t="str">
        <x:v>Real Estate</x:v>
      </x:c>
      <x:c r="F1850" s="13" t="str">
        <x:v>Early Cyclicals</x:v>
      </x:c>
      <x:c r="G1850" s="13" t="str">
        <x:v>grid_wekqfxnd.xlsx</x:v>
      </x:c>
    </x:row>
    <x:row r="1851">
      <x:c r="A1851" s="15" t="n">
        <x:v>41091</x:v>
      </x:c>
      <x:c r="B1851" s="13" t="str">
        <x:v>TEGRA INCORPORADORA SA</x:v>
      </x:c>
      <x:c r="C1851" s="16" t="n">
        <x:v>339.5844320438</x:v>
      </x:c>
      <x:c r="D1851" s="13" t="str">
        <x:v>Homebuilders</x:v>
      </x:c>
      <x:c r="E1851" s="13" t="str">
        <x:v>Real Estate</x:v>
      </x:c>
      <x:c r="F1851" s="13" t="str">
        <x:v>Early Cyclicals</x:v>
      </x:c>
      <x:c r="G1851" s="13" t="str">
        <x:v>grid_wekqfxnd.xlsx</x:v>
      </x:c>
    </x:row>
    <x:row r="1852">
      <x:c r="A1852" s="15" t="n">
        <x:v>41091</x:v>
      </x:c>
      <x:c r="B1852" s="13" t="str">
        <x:v>BR MALLS PARTICIPACOES SA</x:v>
      </x:c>
      <x:c r="C1852" s="16" t="n">
        <x:v>495.2098428493</x:v>
      </x:c>
      <x:c r="D1852" s="13" t="str">
        <x:v>Income Properties</x:v>
      </x:c>
      <x:c r="E1852" s="13" t="str">
        <x:v>Real Estate</x:v>
      </x:c>
      <x:c r="F1852" s="13" t="str">
        <x:v>Early Cyclicals</x:v>
      </x:c>
      <x:c r="G1852" s="13" t="str">
        <x:v>grid_wekqfxnd.xlsx</x:v>
      </x:c>
    </x:row>
    <x:row r="1853">
      <x:c r="A1853" s="15" t="n">
        <x:v>41091</x:v>
      </x:c>
      <x:c r="B1853" s="13" t="str">
        <x:v>BRADESPAR SA -PREF</x:v>
      </x:c>
      <x:c r="C1853" s="16" t="n">
        <x:v>2012.3877032329</x:v>
      </x:c>
      <x:c r="D1853" s="13" t="str">
        <x:v>Metals &amp; Mining</x:v>
      </x:c>
      <x:c r="E1853" s="13" t="str">
        <x:v>Metals &amp; Mining</x:v>
      </x:c>
      <x:c r="F1853" s="13" t="str">
        <x:v>Deep Cyclicals</x:v>
      </x:c>
      <x:c r="G1853" s="13" t="str">
        <x:v>grid_wekqfxnd.xlsx</x:v>
      </x:c>
    </x:row>
    <x:row r="1854">
      <x:c r="A1854" s="15" t="n">
        <x:v>41091</x:v>
      </x:c>
      <x:c r="B1854" s="13" t="str">
        <x:v>CIA SIDERURGICA NACIONAL SA</x:v>
      </x:c>
      <x:c r="C1854" s="16" t="n">
        <x:v>2020.3183458192</x:v>
      </x:c>
      <x:c r="D1854" s="13" t="str">
        <x:v>Metals &amp; Mining</x:v>
      </x:c>
      <x:c r="E1854" s="13" t="str">
        <x:v>Metals &amp; Mining</x:v>
      </x:c>
      <x:c r="F1854" s="13" t="str">
        <x:v>Deep Cyclicals</x:v>
      </x:c>
      <x:c r="G1854" s="13" t="str">
        <x:v>grid_wekqfxnd.xlsx</x:v>
      </x:c>
    </x:row>
    <x:row r="1855">
      <x:c r="A1855" s="15" t="n">
        <x:v>41091</x:v>
      </x:c>
      <x:c r="B1855" s="13" t="str">
        <x:v>GERDAU SA-PREF</x:v>
      </x:c>
      <x:c r="C1855" s="16" t="n">
        <x:v>2245.2917756493</x:v>
      </x:c>
      <x:c r="D1855" s="13" t="str">
        <x:v>Metals &amp; Mining</x:v>
      </x:c>
      <x:c r="E1855" s="13" t="str">
        <x:v>Metals &amp; Mining</x:v>
      </x:c>
      <x:c r="F1855" s="13" t="str">
        <x:v>Deep Cyclicals</x:v>
      </x:c>
      <x:c r="G1855" s="13" t="str">
        <x:v>grid_wekqfxnd.xlsx</x:v>
      </x:c>
    </x:row>
    <x:row r="1856">
      <x:c r="A1856" s="15" t="n">
        <x:v>41091</x:v>
      </x:c>
      <x:c r="B1856" s="13" t="str">
        <x:v>METALURGICA GERDAU SA-PREF</x:v>
      </x:c>
      <x:c r="C1856" s="16" t="n">
        <x:v>1021.7397074411</x:v>
      </x:c>
      <x:c r="D1856" s="13" t="str">
        <x:v>Metals &amp; Mining</x:v>
      </x:c>
      <x:c r="E1856" s="13" t="str">
        <x:v>Metals &amp; Mining</x:v>
      </x:c>
      <x:c r="F1856" s="13" t="str">
        <x:v>Deep Cyclicals</x:v>
      </x:c>
      <x:c r="G1856" s="13" t="str">
        <x:v>grid_wekqfxnd.xlsx</x:v>
      </x:c>
    </x:row>
    <x:row r="1857">
      <x:c r="A1857" s="15" t="n">
        <x:v>41091</x:v>
      </x:c>
      <x:c r="B1857" s="13" t="str">
        <x:v>MMX MINERACAO E METALICOS SA</x:v>
      </x:c>
      <x:c r="C1857" s="16" t="n">
        <x:v>121.3577708767</x:v>
      </x:c>
      <x:c r="D1857" s="13" t="str">
        <x:v>Metals &amp; Mining</x:v>
      </x:c>
      <x:c r="E1857" s="13" t="str">
        <x:v>Metals &amp; Mining</x:v>
      </x:c>
      <x:c r="F1857" s="13" t="str">
        <x:v>Deep Cyclicals</x:v>
      </x:c>
      <x:c r="G1857" s="13" t="str">
        <x:v>grid_wekqfxnd.xlsx</x:v>
      </x:c>
    </x:row>
    <x:row r="1858">
      <x:c r="A1858" s="15" t="n">
        <x:v>41091</x:v>
      </x:c>
      <x:c r="B1858" s="13" t="str">
        <x:v>USINAS SIDER MINAS GER-PF A</x:v>
      </x:c>
      <x:c r="C1858" s="16" t="n">
        <x:v>204.663820011</x:v>
      </x:c>
      <x:c r="D1858" s="13" t="str">
        <x:v>Metals &amp; Mining</x:v>
      </x:c>
      <x:c r="E1858" s="13" t="str">
        <x:v>Metals &amp; Mining</x:v>
      </x:c>
      <x:c r="F1858" s="13" t="str">
        <x:v>Deep Cyclicals</x:v>
      </x:c>
      <x:c r="G1858" s="13" t="str">
        <x:v>grid_wekqfxnd.xlsx</x:v>
      </x:c>
    </x:row>
    <x:row r="1859">
      <x:c r="A1859" s="15" t="n">
        <x:v>41091</x:v>
      </x:c>
      <x:c r="B1859" s="13" t="str">
        <x:v>USINAS SIDERURGICAS DE MINAS</x:v>
      </x:c>
      <x:c r="C1859" s="16" t="n">
        <x:v>204.663820011</x:v>
      </x:c>
      <x:c r="D1859" s="13" t="str">
        <x:v>Metals &amp; Mining</x:v>
      </x:c>
      <x:c r="E1859" s="13" t="str">
        <x:v>Metals &amp; Mining</x:v>
      </x:c>
      <x:c r="F1859" s="13" t="str">
        <x:v>Deep Cyclicals</x:v>
      </x:c>
      <x:c r="G1859" s="13" t="str">
        <x:v>grid_wekqfxnd.xlsx</x:v>
      </x:c>
    </x:row>
    <x:row r="1860">
      <x:c r="A1860" s="15" t="n">
        <x:v>41091</x:v>
      </x:c>
      <x:c r="B1860" s="13" t="str">
        <x:v>VALE SA</x:v>
      </x:c>
      <x:c r="C1860" s="16" t="n">
        <x:v>31207.0649603507</x:v>
      </x:c>
      <x:c r="D1860" s="13" t="str">
        <x:v>Metals &amp; Mining</x:v>
      </x:c>
      <x:c r="E1860" s="13" t="str">
        <x:v>Metals &amp; Mining</x:v>
      </x:c>
      <x:c r="F1860" s="13" t="str">
        <x:v>Deep Cyclicals</x:v>
      </x:c>
      <x:c r="G1860" s="13" t="str">
        <x:v>grid_wekqfxnd.xlsx</x:v>
      </x:c>
    </x:row>
    <x:row r="1861">
      <x:c r="A1861" s="15" t="n">
        <x:v>41091</x:v>
      </x:c>
      <x:c r="B1861" s="13" t="str">
        <x:v>BRASKEM SA-PREF A</x:v>
      </x:c>
      <x:c r="C1861" s="16" t="n">
        <x:v>627.636647189</x:v>
      </x:c>
      <x:c r="D1861" s="13" t="str">
        <x:v>Oil, Gas &amp; Petrochemicals</x:v>
      </x:c>
      <x:c r="E1861" s="13" t="str">
        <x:v>Oil, Gas &amp; Petrochemicals</x:v>
      </x:c>
      <x:c r="F1861" s="13" t="str">
        <x:v>Deep Cyclicals</x:v>
      </x:c>
      <x:c r="G1861" s="13" t="str">
        <x:v>grid_wekqfxnd.xlsx</x:v>
      </x:c>
    </x:row>
    <x:row r="1862">
      <x:c r="A1862" s="15" t="n">
        <x:v>41091</x:v>
      </x:c>
      <x:c r="B1862" s="13" t="str">
        <x:v>OLEO E GAS PARTICIPACOES SA</x:v>
      </x:c>
      <x:c r="C1862" s="16" t="n">
        <x:v>-207.7003777315</x:v>
      </x:c>
      <x:c r="D1862" s="13" t="str">
        <x:v>Oil, Gas &amp; Petrochemicals</x:v>
      </x:c>
      <x:c r="E1862" s="13" t="str">
        <x:v>Oil, Gas &amp; Petrochemicals</x:v>
      </x:c>
      <x:c r="F1862" s="13" t="str">
        <x:v>Deep Cyclicals</x:v>
      </x:c>
      <x:c r="G1862" s="13" t="str">
        <x:v>grid_wekqfxnd.xlsx</x:v>
      </x:c>
    </x:row>
    <x:row r="1863">
      <x:c r="A1863" s="15" t="n">
        <x:v>41091</x:v>
      </x:c>
      <x:c r="B1863" s="13" t="str">
        <x:v>PETROBRAS - PETROLEO BRAS</x:v>
      </x:c>
      <x:c r="C1863" s="16" t="n">
        <x:v>34974.0734940932</x:v>
      </x:c>
      <x:c r="D1863" s="13" t="str">
        <x:v>Oil, Gas &amp; Petrochemicals</x:v>
      </x:c>
      <x:c r="E1863" s="13" t="str">
        <x:v>Oil, Gas &amp; Petrochemicals</x:v>
      </x:c>
      <x:c r="F1863" s="13" t="str">
        <x:v>Deep Cyclicals</x:v>
      </x:c>
      <x:c r="G1863" s="13" t="str">
        <x:v>grid_wekqfxnd.xlsx</x:v>
      </x:c>
    </x:row>
    <x:row r="1864">
      <x:c r="A1864" s="15" t="n">
        <x:v>41091</x:v>
      </x:c>
      <x:c r="B1864" s="13" t="str">
        <x:v>ULTRAPAR PARTICIPACOES SA</x:v>
      </x:c>
      <x:c r="C1864" s="16" t="n">
        <x:v>1089.2981824877</x:v>
      </x:c>
      <x:c r="D1864" s="13" t="str">
        <x:v>Oil, Gas &amp; Petrochemicals</x:v>
      </x:c>
      <x:c r="E1864" s="13" t="str">
        <x:v>Oil, Gas &amp; Petrochemicals</x:v>
      </x:c>
      <x:c r="F1864" s="13" t="str">
        <x:v>Deep Cyclicals</x:v>
      </x:c>
      <x:c r="G1864" s="13" t="str">
        <x:v>grid_wekqfxnd.xlsx</x:v>
      </x:c>
    </x:row>
    <x:row r="1865">
      <x:c r="A1865" s="15" t="n">
        <x:v>41091</x:v>
      </x:c>
      <x:c r="B1865" s="13" t="str">
        <x:v>DEXCO SA</x:v>
      </x:c>
      <x:c r="C1865" s="16" t="n">
        <x:v>421.2303180274</x:v>
      </x:c>
      <x:c r="D1865" s="13" t="str">
        <x:v>Pulp &amp; Paper</x:v>
      </x:c>
      <x:c r="E1865" s="13" t="str">
        <x:v>Pulp &amp; Paper</x:v>
      </x:c>
      <x:c r="F1865" s="13" t="str">
        <x:v>Deep Cyclicals</x:v>
      </x:c>
      <x:c r="G1865" s="13" t="str">
        <x:v>grid_wekqfxnd.xlsx</x:v>
      </x:c>
    </x:row>
    <x:row r="1866">
      <x:c r="A1866" s="15" t="n">
        <x:v>41091</x:v>
      </x:c>
      <x:c r="B1866" s="13" t="str">
        <x:v>FIBRIA CELULOSE S/A</x:v>
      </x:c>
      <x:c r="C1866" s="16" t="n">
        <x:v>-59.5135671233</x:v>
      </x:c>
      <x:c r="D1866" s="13" t="str">
        <x:v>Pulp &amp; Paper</x:v>
      </x:c>
      <x:c r="E1866" s="13" t="str">
        <x:v>Pulp &amp; Paper</x:v>
      </x:c>
      <x:c r="F1866" s="13" t="str">
        <x:v>Deep Cyclicals</x:v>
      </x:c>
      <x:c r="G1866" s="13" t="str">
        <x:v>grid_wekqfxnd.xlsx</x:v>
      </x:c>
    </x:row>
    <x:row r="1867">
      <x:c r="A1867" s="15" t="n">
        <x:v>41091</x:v>
      </x:c>
      <x:c r="B1867" s="13" t="str">
        <x:v>AMERICANAS SA</x:v>
      </x:c>
      <x:c r="C1867" s="16" t="n">
        <x:v>-2.6394663014</x:v>
      </x:c>
      <x:c r="D1867" s="13" t="str">
        <x:v>Retail</x:v>
      </x:c>
      <x:c r="E1867" s="13" t="str">
        <x:v>Retail</x:v>
      </x:c>
      <x:c r="F1867" s="13" t="str">
        <x:v>Early Cyclicals</x:v>
      </x:c>
      <x:c r="G1867" s="13" t="str">
        <x:v>grid_wekqfxnd.xlsx</x:v>
      </x:c>
    </x:row>
    <x:row r="1868">
      <x:c r="A1868" s="15" t="n">
        <x:v>41091</x:v>
      </x:c>
      <x:c r="B1868" s="13" t="str">
        <x:v>CIA BRASILEIRA DE DIS-PREF</x:v>
      </x:c>
      <x:c r="C1868" s="16" t="n">
        <x:v>1141.9879637918</x:v>
      </x:c>
      <x:c r="D1868" s="13" t="str">
        <x:v>Retail</x:v>
      </x:c>
      <x:c r="E1868" s="13" t="str">
        <x:v>Retail</x:v>
      </x:c>
      <x:c r="F1868" s="13" t="str">
        <x:v>Early Cyclicals</x:v>
      </x:c>
      <x:c r="G1868" s="13" t="str">
        <x:v>grid_wekqfxnd.xlsx</x:v>
      </x:c>
    </x:row>
    <x:row r="1869">
      <x:c r="A1869" s="15" t="n">
        <x:v>41091</x:v>
      </x:c>
      <x:c r="B1869" s="13" t="str">
        <x:v>CIA HERING</x:v>
      </x:c>
      <x:c r="C1869" s="16" t="n">
        <x:v>391.6390782247</x:v>
      </x:c>
      <x:c r="D1869" s="13" t="str">
        <x:v>Retail</x:v>
      </x:c>
      <x:c r="E1869" s="13" t="str">
        <x:v>Retail</x:v>
      </x:c>
      <x:c r="F1869" s="13" t="str">
        <x:v>Early Cyclicals</x:v>
      </x:c>
      <x:c r="G1869" s="13" t="str">
        <x:v>grid_wekqfxnd.xlsx</x:v>
      </x:c>
    </x:row>
    <x:row r="1870">
      <x:c r="A1870" s="15" t="n">
        <x:v>41091</x:v>
      </x:c>
      <x:c r="B1870" s="13" t="str">
        <x:v>LOJAS AMERICANAS SA-PREF</x:v>
      </x:c>
      <x:c r="C1870" s="16" t="n">
        <x:v>531.7879388932</x:v>
      </x:c>
      <x:c r="D1870" s="13" t="str">
        <x:v>Retail</x:v>
      </x:c>
      <x:c r="E1870" s="13" t="str">
        <x:v>Retail</x:v>
      </x:c>
      <x:c r="F1870" s="13" t="str">
        <x:v>Early Cyclicals</x:v>
      </x:c>
      <x:c r="G1870" s="13" t="str">
        <x:v>grid_wekqfxnd.xlsx</x:v>
      </x:c>
    </x:row>
    <x:row r="1871">
      <x:c r="A1871" s="15" t="n">
        <x:v>41091</x:v>
      </x:c>
      <x:c r="B1871" s="13" t="str">
        <x:v>LOJAS RENNER S.A.</x:v>
      </x:c>
      <x:c r="C1871" s="16" t="n">
        <x:v>413.3341513644</x:v>
      </x:c>
      <x:c r="D1871" s="13" t="str">
        <x:v>Retail</x:v>
      </x:c>
      <x:c r="E1871" s="13" t="str">
        <x:v>Retail</x:v>
      </x:c>
      <x:c r="F1871" s="13" t="str">
        <x:v>Early Cyclicals</x:v>
      </x:c>
      <x:c r="G1871" s="13" t="str">
        <x:v>grid_wekqfxnd.xlsx</x:v>
      </x:c>
    </x:row>
    <x:row r="1872">
      <x:c r="A1872" s="15" t="n">
        <x:v>41091</x:v>
      </x:c>
      <x:c r="B1872" s="13" t="str">
        <x:v>NATURA COSMETICOS SA</x:v>
      </x:c>
      <x:c r="C1872" s="16" t="n">
        <x:v>968.5873406247</x:v>
      </x:c>
      <x:c r="D1872" s="13" t="str">
        <x:v>Retail</x:v>
      </x:c>
      <x:c r="E1872" s="13" t="str">
        <x:v>Retail</x:v>
      </x:c>
      <x:c r="F1872" s="13" t="str">
        <x:v>Early Cyclicals</x:v>
      </x:c>
      <x:c r="G1872" s="13" t="str">
        <x:v>grid_wekqfxnd.xlsx</x:v>
      </x:c>
    </x:row>
    <x:row r="1873">
      <x:c r="A1873" s="15" t="n">
        <x:v>41091</x:v>
      </x:c>
      <x:c r="B1873" s="13" t="str">
        <x:v>CIA SANEAMENTO BASICO DE SP</x:v>
      </x:c>
      <x:c r="C1873" s="16" t="n">
        <x:v>1781.6093853808</x:v>
      </x:c>
      <x:c r="D1873" s="13" t="str">
        <x:v>Sanitation</x:v>
      </x:c>
      <x:c r="E1873" s="13" t="str">
        <x:v>Utilities</x:v>
      </x:c>
      <x:c r="F1873" s="13" t="str">
        <x:v>Defensives</x:v>
      </x:c>
      <x:c r="G1873" s="13" t="str">
        <x:v>grid_wekqfxnd.xlsx</x:v>
      </x:c>
    </x:row>
    <x:row r="1874">
      <x:c r="A1874" s="15" t="n">
        <x:v>41091</x:v>
      </x:c>
      <x:c r="B1874" s="13" t="str">
        <x:v>OI S.A.</x:v>
      </x:c>
      <x:c r="C1874" s="16" t="n">
        <x:v>706.1686938301</x:v>
      </x:c>
      <x:c r="D1874" s="13" t="str">
        <x:v>TMT</x:v>
      </x:c>
      <x:c r="E1874" s="13" t="str">
        <x:v>TMT</x:v>
      </x:c>
      <x:c r="F1874" s="13" t="str">
        <x:v>Early Cyclicals</x:v>
      </x:c>
      <x:c r="G1874" s="13" t="str">
        <x:v>grid_wekqfxnd.xlsx</x:v>
      </x:c>
    </x:row>
    <x:row r="1875">
      <x:c r="A1875" s="15" t="n">
        <x:v>41091</x:v>
      </x:c>
      <x:c r="B1875" s="13" t="str">
        <x:v>OI SA-PREFERENCE</x:v>
      </x:c>
      <x:c r="C1875" s="16" t="n">
        <x:v>706.1686938301</x:v>
      </x:c>
      <x:c r="D1875" s="13" t="str">
        <x:v>TMT</x:v>
      </x:c>
      <x:c r="E1875" s="13" t="str">
        <x:v>TMT</x:v>
      </x:c>
      <x:c r="F1875" s="13" t="str">
        <x:v>Early Cyclicals</x:v>
      </x:c>
      <x:c r="G1875" s="13" t="str">
        <x:v>grid_wekqfxnd.xlsx</x:v>
      </x:c>
    </x:row>
    <x:row r="1876">
      <x:c r="A1876" s="15" t="n">
        <x:v>41091</x:v>
      </x:c>
      <x:c r="B1876" s="13" t="str">
        <x:v>TELEFONICA BRASIL S.A.-PREF</x:v>
      </x:c>
      <x:c r="C1876" s="16" t="n">
        <x:v>5082.9725738082</x:v>
      </x:c>
      <x:c r="D1876" s="13" t="str">
        <x:v>TMT</x:v>
      </x:c>
      <x:c r="E1876" s="13" t="str">
        <x:v>TMT</x:v>
      </x:c>
      <x:c r="F1876" s="13" t="str">
        <x:v>Early Cyclicals</x:v>
      </x:c>
      <x:c r="G1876" s="13" t="str">
        <x:v>grid_wekqfxnd.xlsx</x:v>
      </x:c>
    </x:row>
    <x:row r="1877">
      <x:c r="A1877" s="15" t="n">
        <x:v>41091</x:v>
      </x:c>
      <x:c r="B1877" s="13" t="str">
        <x:v>TIM SA</x:v>
      </x:c>
      <x:c r="C1877" s="16" t="n">
        <x:v>1763.1181101589</x:v>
      </x:c>
      <x:c r="D1877" s="13" t="str">
        <x:v>TMT</x:v>
      </x:c>
      <x:c r="E1877" s="13" t="str">
        <x:v>TMT</x:v>
      </x:c>
      <x:c r="F1877" s="13" t="str">
        <x:v>Early Cyclicals</x:v>
      </x:c>
      <x:c r="G1877" s="13" t="str">
        <x:v>grid_wekqfxnd.xlsx</x:v>
      </x:c>
    </x:row>
    <x:row r="1878">
      <x:c r="A1878" s="15" t="n">
        <x:v>41091</x:v>
      </x:c>
      <x:c r="B1878" s="13" t="str">
        <x:v>GOL LINHAS AEREAS INT SA-PRE</x:v>
      </x:c>
      <x:c r="C1878" s="16" t="n">
        <x:v>36.4678164384</x:v>
      </x:c>
      <x:c r="D1878" s="13" t="str">
        <x:v>Transportation</x:v>
      </x:c>
      <x:c r="E1878" s="13" t="str">
        <x:v>Transportation</x:v>
      </x:c>
      <x:c r="F1878" s="13" t="str">
        <x:v>Deep Cyclicals</x:v>
      </x:c>
      <x:c r="G1878" s="13" t="str">
        <x:v>grid_wekqfxnd.xlsx</x:v>
      </x:c>
    </x:row>
    <x:row r="1879">
      <x:c r="A1879" s="15" t="n">
        <x:v>41091</x:v>
      </x:c>
      <x:c r="B1879" s="13" t="str">
        <x:v>LOCALIZA RENT A CAR</x:v>
      </x:c>
      <x:c r="C1879" s="16" t="n">
        <x:v>353.9917357589</x:v>
      </x:c>
      <x:c r="D1879" s="13" t="str">
        <x:v>Transportation</x:v>
      </x:c>
      <x:c r="E1879" s="13" t="str">
        <x:v>Transportation</x:v>
      </x:c>
      <x:c r="F1879" s="13" t="str">
        <x:v>Deep Cyclicals</x:v>
      </x:c>
      <x:c r="G1879" s="13" t="str">
        <x:v>grid_wekqfxnd.xlsx</x:v>
      </x:c>
    </x:row>
    <x:row r="1880">
      <x:c r="A1880" s="15" t="n">
        <x:v>41091</x:v>
      </x:c>
      <x:c r="B1880" s="13" t="str">
        <x:v>MOTIVA INFRAESTRUTURA DE MOB</x:v>
      </x:c>
      <x:c r="C1880" s="16" t="n">
        <x:v>1469.9965096329</x:v>
      </x:c>
      <x:c r="D1880" s="13" t="str">
        <x:v>Transportation</x:v>
      </x:c>
      <x:c r="E1880" s="13" t="str">
        <x:v>Transportation</x:v>
      </x:c>
      <x:c r="F1880" s="13" t="str">
        <x:v>Deep Cyclicals</x:v>
      </x:c>
      <x:c r="G1880" s="13" t="str">
        <x:v>grid_wekqfxnd.xlsx</x:v>
      </x:c>
    </x:row>
    <x:row r="1881">
      <x:c r="A1881" s="15" t="n">
        <x:v>41091</x:v>
      </x:c>
      <x:c r="B1881" s="13" t="str">
        <x:v>PRUMO LOGISTICA SA</x:v>
      </x:c>
      <x:c r="C1881" s="16" t="n">
        <x:v>-69.0067178082</x:v>
      </x:c>
      <x:c r="D1881" s="13" t="str">
        <x:v>Transportation</x:v>
      </x:c>
      <x:c r="E1881" s="13" t="str">
        <x:v>Transportation</x:v>
      </x:c>
      <x:c r="F1881" s="13" t="str">
        <x:v>Deep Cyclicals</x:v>
      </x:c>
      <x:c r="G1881" s="13" t="str">
        <x:v>grid_wekqfxnd.xlsx</x:v>
      </x:c>
    </x:row>
    <x:row r="1882">
      <x:c r="A1882" s="15" t="n">
        <x:v>41091</x:v>
      </x:c>
      <x:c r="B1882" s="13" t="str">
        <x:v>RUMO SA</x:v>
      </x:c>
      <x:c r="C1882" s="16" t="n">
        <x:v>337.8413237479</x:v>
      </x:c>
      <x:c r="D1882" s="13" t="str">
        <x:v>Transportation</x:v>
      </x:c>
      <x:c r="E1882" s="13" t="str">
        <x:v>Transportation</x:v>
      </x:c>
      <x:c r="F1882" s="13" t="str">
        <x:v>Deep Cyclicals</x:v>
      </x:c>
      <x:c r="G1882" s="13" t="str">
        <x:v>grid_wekqfxnd.xlsx</x:v>
      </x:c>
    </x:row>
    <x:row r="1883">
      <x:c r="A1883" s="15" t="n">
        <x:v>41091</x:v>
      </x:c>
      <x:c r="B1883" s="13" t="str">
        <x:v>AXIA ENERGIA SA</x:v>
      </x:c>
      <x:c r="C1883" s="16" t="n">
        <x:v>4062.146656789</x:v>
      </x:c>
      <x:c r="D1883" s="13" t="str">
        <x:v>Utilities &amp; Energy</x:v>
      </x:c>
      <x:c r="E1883" s="13" t="str">
        <x:v>Utilities</x:v>
      </x:c>
      <x:c r="F1883" s="13" t="str">
        <x:v>Defensives</x:v>
      </x:c>
      <x:c r="G1883" s="13" t="str">
        <x:v>grid_wekqfxnd.xlsx</x:v>
      </x:c>
    </x:row>
    <x:row r="1884">
      <x:c r="A1884" s="15" t="n">
        <x:v>41091</x:v>
      </x:c>
      <x:c r="B1884" s="13" t="str">
        <x:v>AXIA ENERGIA-PR B</x:v>
      </x:c>
      <x:c r="C1884" s="16" t="n">
        <x:v>4062.146656789</x:v>
      </x:c>
      <x:c r="D1884" s="13" t="str">
        <x:v>Utilities &amp; Energy</x:v>
      </x:c>
      <x:c r="E1884" s="13" t="str">
        <x:v>Utilities</x:v>
      </x:c>
      <x:c r="F1884" s="13" t="str">
        <x:v>Defensives</x:v>
      </x:c>
      <x:c r="G1884" s="13" t="str">
        <x:v>grid_wekqfxnd.xlsx</x:v>
      </x:c>
    </x:row>
    <x:row r="1885">
      <x:c r="A1885" s="15" t="n">
        <x:v>41091</x:v>
      </x:c>
      <x:c r="B1885" s="13" t="str">
        <x:v>CESP - CIA ENERGETICA DE SAO</x:v>
      </x:c>
      <x:c r="C1885" s="16" t="n">
        <x:v>773.0739726027</x:v>
      </x:c>
      <x:c r="D1885" s="13" t="str">
        <x:v>Utilities &amp; Energy</x:v>
      </x:c>
      <x:c r="E1885" s="13" t="str">
        <x:v>Utilities</x:v>
      </x:c>
      <x:c r="F1885" s="13" t="str">
        <x:v>Defensives</x:v>
      </x:c>
      <x:c r="G1885" s="13" t="str">
        <x:v>grid_wekqfxnd.xlsx</x:v>
      </x:c>
    </x:row>
    <x:row r="1886">
      <x:c r="A1886" s="15" t="n">
        <x:v>41091</x:v>
      </x:c>
      <x:c r="B1886" s="13" t="str">
        <x:v>CIA ENERGETICA MINAS GER-PRF</x:v>
      </x:c>
      <x:c r="C1886" s="16" t="n">
        <x:v>3019.9136284055</x:v>
      </x:c>
      <x:c r="D1886" s="13" t="str">
        <x:v>Utilities &amp; Energy</x:v>
      </x:c>
      <x:c r="E1886" s="13" t="str">
        <x:v>Utilities</x:v>
      </x:c>
      <x:c r="F1886" s="13" t="str">
        <x:v>Defensives</x:v>
      </x:c>
      <x:c r="G1886" s="13" t="str">
        <x:v>grid_wekqfxnd.xlsx</x:v>
      </x:c>
    </x:row>
    <x:row r="1887">
      <x:c r="A1887" s="15" t="n">
        <x:v>41091</x:v>
      </x:c>
      <x:c r="B1887" s="13" t="str">
        <x:v>COMPANHIA PARANAENSE -PREF B</x:v>
      </x:c>
      <x:c r="C1887" s="16" t="n">
        <x:v>1187.5361984877</x:v>
      </x:c>
      <x:c r="D1887" s="13" t="str">
        <x:v>Utilities &amp; Energy</x:v>
      </x:c>
      <x:c r="E1887" s="13" t="str">
        <x:v>Utilities</x:v>
      </x:c>
      <x:c r="F1887" s="13" t="str">
        <x:v>Defensives</x:v>
      </x:c>
      <x:c r="G1887" s="13" t="str">
        <x:v>grid_wekqfxnd.xlsx</x:v>
      </x:c>
    </x:row>
    <x:row r="1888">
      <x:c r="A1888" s="15" t="n">
        <x:v>41091</x:v>
      </x:c>
      <x:c r="B1888" s="13" t="str">
        <x:v>CPFL ENERGIA SA</x:v>
      </x:c>
      <x:c r="C1888" s="16" t="n">
        <x:v>1431.9830591123</x:v>
      </x:c>
      <x:c r="D1888" s="13" t="str">
        <x:v>Utilities &amp; Energy</x:v>
      </x:c>
      <x:c r="E1888" s="13" t="str">
        <x:v>Utilities</x:v>
      </x:c>
      <x:c r="F1888" s="13" t="str">
        <x:v>Defensives</x:v>
      </x:c>
      <x:c r="G1888" s="13" t="str">
        <x:v>grid_wekqfxnd.xlsx</x:v>
      </x:c>
    </x:row>
    <x:row r="1889">
      <x:c r="A1889" s="15" t="n">
        <x:v>41091</x:v>
      </x:c>
      <x:c r="B1889" s="13" t="str">
        <x:v>ELETROPAULO METROPOLI-PREF</x:v>
      </x:c>
      <x:c r="C1889" s="16" t="n">
        <x:v>294.7302869918</x:v>
      </x:c>
      <x:c r="D1889" s="13" t="str">
        <x:v>Utilities &amp; Energy</x:v>
      </x:c>
      <x:c r="E1889" s="13" t="str">
        <x:v>Utilities</x:v>
      </x:c>
      <x:c r="F1889" s="13" t="str">
        <x:v>Defensives</x:v>
      </x:c>
      <x:c r="G1889" s="13" t="str">
        <x:v>grid_wekqfxnd.xlsx</x:v>
      </x:c>
    </x:row>
    <x:row r="1890">
      <x:c r="A1890" s="15" t="n">
        <x:v>41091</x:v>
      </x:c>
      <x:c r="B1890" s="13" t="str">
        <x:v>ISA ENERGIA BRASIL SA</x:v>
      </x:c>
      <x:c r="C1890" s="16" t="n">
        <x:v>1035.4751056658</x:v>
      </x:c>
      <x:c r="D1890" s="13" t="str">
        <x:v>Utilities &amp; Energy</x:v>
      </x:c>
      <x:c r="E1890" s="13" t="str">
        <x:v>Utilities</x:v>
      </x:c>
      <x:c r="F1890" s="13" t="str">
        <x:v>Defensives</x:v>
      </x:c>
      <x:c r="G1890" s="13" t="str">
        <x:v>grid_wekqfxnd.xlsx</x:v>
      </x:c>
    </x:row>
    <x:row r="1891">
      <x:c r="A1891" s="15" t="n">
        <x:v>41091</x:v>
      </x:c>
      <x:c r="B1891" s="13" t="str">
        <x:v>LIGHT SA</x:v>
      </x:c>
      <x:c r="C1891" s="16" t="n">
        <x:v>505.5363086027</x:v>
      </x:c>
      <x:c r="D1891" s="13" t="str">
        <x:v>Utilities &amp; Energy</x:v>
      </x:c>
      <x:c r="E1891" s="13" t="str">
        <x:v>Utilities</x:v>
      </x:c>
      <x:c r="F1891" s="13" t="str">
        <x:v>Defensives</x:v>
      </x:c>
      <x:c r="G1891" s="13" t="str">
        <x:v>grid_wekqfxnd.xlsx</x:v>
      </x:c>
    </x:row>
    <x:row r="1892">
      <x:c r="A1892" s="15" t="n">
        <x:v>41122</x:v>
      </x:c>
      <x:c r="B1892" s="13" t="str">
        <x:v>BANCO BRADESCO SA-PREF</x:v>
      </x:c>
      <x:c r="C1892" s="16" t="n">
        <x:v>12792.0037719671</x:v>
      </x:c>
      <x:c r="D1892" s="13" t="str">
        <x:v>Banks</x:v>
      </x:c>
      <x:c r="E1892" s="13" t="str">
        <x:v>Banks</x:v>
      </x:c>
      <x:c r="F1892" s="13" t="str">
        <x:v>Financials</x:v>
      </x:c>
      <x:c r="G1892" s="13" t="str">
        <x:v>grid_wekqfxnd.xlsx</x:v>
      </x:c>
    </x:row>
    <x:row r="1893">
      <x:c r="A1893" s="15" t="n">
        <x:v>41122</x:v>
      </x:c>
      <x:c r="B1893" s="13" t="str">
        <x:v>BANCO DO BRASIL S.A.</x:v>
      </x:c>
      <x:c r="C1893" s="16" t="n">
        <x:v>11503.9090379397</x:v>
      </x:c>
      <x:c r="D1893" s="13" t="str">
        <x:v>Banks</x:v>
      </x:c>
      <x:c r="E1893" s="13" t="str">
        <x:v>Banks</x:v>
      </x:c>
      <x:c r="F1893" s="13" t="str">
        <x:v>Financials</x:v>
      </x:c>
      <x:c r="G1893" s="13" t="str">
        <x:v>grid_wekqfxnd.xlsx</x:v>
      </x:c>
    </x:row>
    <x:row r="1894">
      <x:c r="A1894" s="15" t="n">
        <x:v>41122</x:v>
      </x:c>
      <x:c r="B1894" s="13" t="str">
        <x:v>BANCO SANTANDER  BRASIL-UNIT</x:v>
      </x:c>
      <x:c r="C1894" s="16" t="n">
        <x:v>6921.8480043836</x:v>
      </x:c>
      <x:c r="D1894" s="13" t="str">
        <x:v>Banks</x:v>
      </x:c>
      <x:c r="E1894" s="13" t="str">
        <x:v>Banks</x:v>
      </x:c>
      <x:c r="F1894" s="13" t="str">
        <x:v>Financials</x:v>
      </x:c>
      <x:c r="G1894" s="13" t="str">
        <x:v>grid_wekqfxnd.xlsx</x:v>
      </x:c>
    </x:row>
    <x:row r="1895">
      <x:c r="A1895" s="15" t="n">
        <x:v>41122</x:v>
      </x:c>
      <x:c r="B1895" s="13" t="str">
        <x:v>ITAU UNIBANCO HOLDING S-PREF</x:v>
      </x:c>
      <x:c r="C1895" s="16" t="n">
        <x:v>15699.0996115288</x:v>
      </x:c>
      <x:c r="D1895" s="13" t="str">
        <x:v>Banks</x:v>
      </x:c>
      <x:c r="E1895" s="13" t="str">
        <x:v>Banks</x:v>
      </x:c>
      <x:c r="F1895" s="13" t="str">
        <x:v>Financials</x:v>
      </x:c>
      <x:c r="G1895" s="13" t="str">
        <x:v>grid_wekqfxnd.xlsx</x:v>
      </x:c>
    </x:row>
    <x:row r="1896">
      <x:c r="A1896" s="15" t="n">
        <x:v>41122</x:v>
      </x:c>
      <x:c r="B1896" s="13" t="str">
        <x:v>EMBRAER SA</x:v>
      </x:c>
      <x:c r="C1896" s="16" t="n">
        <x:v>1024.506463737</x:v>
      </x:c>
      <x:c r="D1896" s="13" t="str">
        <x:v>Capital Goods</x:v>
      </x:c>
      <x:c r="E1896" s="13" t="str">
        <x:v>Capital Goods</x:v>
      </x:c>
      <x:c r="F1896" s="13" t="str">
        <x:v>Deep Cyclicals</x:v>
      </x:c>
      <x:c r="G1896" s="13" t="str">
        <x:v>grid_wekqfxnd.xlsx</x:v>
      </x:c>
    </x:row>
    <x:row r="1897">
      <x:c r="A1897" s="15" t="n">
        <x:v>41122</x:v>
      </x:c>
      <x:c r="B1897" s="13" t="str">
        <x:v>B3 SA-BRASIL BOLSA BALCAO</x:v>
      </x:c>
      <x:c r="C1897" s="16" t="n">
        <x:v>1704.7627663781</x:v>
      </x:c>
      <x:c r="D1897" s="13" t="str">
        <x:v>Financials Non-Banks</x:v>
      </x:c>
      <x:c r="E1897" s="13" t="str">
        <x:v>Financials Non-Banks</x:v>
      </x:c>
      <x:c r="F1897" s="13" t="str">
        <x:v>Financials</x:v>
      </x:c>
      <x:c r="G1897" s="13" t="str">
        <x:v>grid_wekqfxnd.xlsx</x:v>
      </x:c>
    </x:row>
    <x:row r="1898">
      <x:c r="A1898" s="15" t="n">
        <x:v>41122</x:v>
      </x:c>
      <x:c r="B1898" s="13" t="str">
        <x:v>CIELO SA - INSTITUICAO DE PA</x:v>
      </x:c>
      <x:c r="C1898" s="16" t="n">
        <x:v>2441.882508274</x:v>
      </x:c>
      <x:c r="D1898" s="13" t="str">
        <x:v>Financials Non-Banks</x:v>
      </x:c>
      <x:c r="E1898" s="13" t="str">
        <x:v>Financials Non-Banks</x:v>
      </x:c>
      <x:c r="F1898" s="13" t="str">
        <x:v>Financials</x:v>
      </x:c>
      <x:c r="G1898" s="13" t="str">
        <x:v>grid_wekqfxnd.xlsx</x:v>
      </x:c>
    </x:row>
    <x:row r="1899">
      <x:c r="A1899" s="15" t="n">
        <x:v>41122</x:v>
      </x:c>
      <x:c r="B1899" s="13" t="str">
        <x:v>ITAUSA SA</x:v>
      </x:c>
      <x:c r="C1899" s="16" t="n">
        <x:v>5292.6822876932</x:v>
      </x:c>
      <x:c r="D1899" s="13" t="str">
        <x:v>Financials Non-Banks</x:v>
      </x:c>
      <x:c r="E1899" s="13" t="str">
        <x:v>Financials Non-Banks</x:v>
      </x:c>
      <x:c r="F1899" s="13" t="str">
        <x:v>Financials</x:v>
      </x:c>
      <x:c r="G1899" s="13" t="str">
        <x:v>grid_wekqfxnd.xlsx</x:v>
      </x:c>
    </x:row>
    <x:row r="1900">
      <x:c r="A1900" s="15" t="n">
        <x:v>41122</x:v>
      </x:c>
      <x:c r="B1900" s="13" t="str">
        <x:v>REDECARD INSTITUICAO DE PAGA</x:v>
      </x:c>
      <x:c r="C1900" s="16" t="n">
        <x:v>1651.4470410521</x:v>
      </x:c>
      <x:c r="D1900" s="13" t="str">
        <x:v>Financials Non-Banks</x:v>
      </x:c>
      <x:c r="E1900" s="13" t="str">
        <x:v>Financials Non-Banks</x:v>
      </x:c>
      <x:c r="F1900" s="13" t="str">
        <x:v>Financials</x:v>
      </x:c>
      <x:c r="G1900" s="13" t="str">
        <x:v>grid_wekqfxnd.xlsx</x:v>
      </x:c>
    </x:row>
    <x:row r="1901">
      <x:c r="A1901" s="15" t="n">
        <x:v>41122</x:v>
      </x:c>
      <x:c r="B1901" s="13" t="str">
        <x:v>AMBEV SA</x:v>
      </x:c>
      <x:c r="C1901" s="16" t="n">
        <x:v>10902.319039474</x:v>
      </x:c>
      <x:c r="D1901" s="13" t="str">
        <x:v>Food &amp; Beverages</x:v>
      </x:c>
      <x:c r="E1901" s="13" t="str">
        <x:v>Agri, Food &amp; Beverages</x:v>
      </x:c>
      <x:c r="F1901" s="13" t="str">
        <x:v>Defensives</x:v>
      </x:c>
      <x:c r="G1901" s="13" t="str">
        <x:v>grid_wekqfxnd.xlsx</x:v>
      </x:c>
    </x:row>
    <x:row r="1902">
      <x:c r="A1902" s="15" t="n">
        <x:v>41122</x:v>
      </x:c>
      <x:c r="B1902" s="13" t="str">
        <x:v>BRF SA</x:v>
      </x:c>
      <x:c r="C1902" s="16" t="n">
        <x:v>1584.2607945644</x:v>
      </x:c>
      <x:c r="D1902" s="13" t="str">
        <x:v>Food &amp; Beverages</x:v>
      </x:c>
      <x:c r="E1902" s="13" t="str">
        <x:v>Agri, Food &amp; Beverages</x:v>
      </x:c>
      <x:c r="F1902" s="13" t="str">
        <x:v>Defensives</x:v>
      </x:c>
      <x:c r="G1902" s="13" t="str">
        <x:v>grid_wekqfxnd.xlsx</x:v>
      </x:c>
    </x:row>
    <x:row r="1903">
      <x:c r="A1903" s="15" t="n">
        <x:v>41122</x:v>
      </x:c>
      <x:c r="B1903" s="13" t="str">
        <x:v>MBRF GLOBAL FOODS COMPANY SA</x:v>
      </x:c>
      <x:c r="C1903" s="16" t="n">
        <x:v>-12.4508547945</x:v>
      </x:c>
      <x:c r="D1903" s="13" t="str">
        <x:v>Food &amp; Beverages</x:v>
      </x:c>
      <x:c r="E1903" s="13" t="str">
        <x:v>Agri, Food &amp; Beverages</x:v>
      </x:c>
      <x:c r="F1903" s="13" t="str">
        <x:v>Defensives</x:v>
      </x:c>
      <x:c r="G1903" s="13" t="str">
        <x:v>grid_wekqfxnd.xlsx</x:v>
      </x:c>
    </x:row>
    <x:row r="1904">
      <x:c r="A1904" s="15" t="n">
        <x:v>41122</x:v>
      </x:c>
      <x:c r="B1904" s="13" t="str">
        <x:v>SOUZA CRUZ LTDA</x:v>
      </x:c>
      <x:c r="C1904" s="16" t="n">
        <x:v>1882.621369863</x:v>
      </x:c>
      <x:c r="D1904" s="13" t="str">
        <x:v>Food &amp; Beverages</x:v>
      </x:c>
      <x:c r="E1904" s="13" t="str">
        <x:v>Agri, Food &amp; Beverages</x:v>
      </x:c>
      <x:c r="F1904" s="13" t="str">
        <x:v>Defensives</x:v>
      </x:c>
      <x:c r="G1904" s="13" t="str">
        <x:v>grid_wekqfxnd.xlsx</x:v>
      </x:c>
    </x:row>
    <x:row r="1905">
      <x:c r="A1905" s="15" t="n">
        <x:v>41122</x:v>
      </x:c>
      <x:c r="B1905" s="13" t="str">
        <x:v>DIAGNOSTICOS DA AMERICA SA</x:v>
      </x:c>
      <x:c r="C1905" s="16" t="n">
        <x:v>233.5145148493</x:v>
      </x:c>
      <x:c r="D1905" s="13" t="str">
        <x:v>Health Care</x:v>
      </x:c>
      <x:c r="E1905" s="13" t="str">
        <x:v>Health Care</x:v>
      </x:c>
      <x:c r="F1905" s="13" t="str">
        <x:v>Defensives</x:v>
      </x:c>
      <x:c r="G1905" s="13" t="str">
        <x:v>grid_wekqfxnd.xlsx</x:v>
      </x:c>
    </x:row>
    <x:row r="1906">
      <x:c r="A1906" s="15" t="n">
        <x:v>41122</x:v>
      </x:c>
      <x:c r="B1906" s="13" t="str">
        <x:v>HYPERA SA</x:v>
      </x:c>
      <x:c r="C1906" s="16" t="n">
        <x:v>336.2150956712</x:v>
      </x:c>
      <x:c r="D1906" s="13" t="str">
        <x:v>Health Care</x:v>
      </x:c>
      <x:c r="E1906" s="13" t="str">
        <x:v>Health Care</x:v>
      </x:c>
      <x:c r="F1906" s="13" t="str">
        <x:v>Defensives</x:v>
      </x:c>
      <x:c r="G1906" s="13" t="str">
        <x:v>grid_wekqfxnd.xlsx</x:v>
      </x:c>
    </x:row>
    <x:row r="1907">
      <x:c r="A1907" s="15" t="n">
        <x:v>41122</x:v>
      </x:c>
      <x:c r="B1907" s="13" t="str">
        <x:v>CYRELA BRAZIL REALTY SA EMP</x:v>
      </x:c>
      <x:c r="C1907" s="16" t="n">
        <x:v>865.0398413151</x:v>
      </x:c>
      <x:c r="D1907" s="13" t="str">
        <x:v>Homebuilders</x:v>
      </x:c>
      <x:c r="E1907" s="13" t="str">
        <x:v>Real Estate</x:v>
      </x:c>
      <x:c r="F1907" s="13" t="str">
        <x:v>Early Cyclicals</x:v>
      </x:c>
      <x:c r="G1907" s="13" t="str">
        <x:v>grid_wekqfxnd.xlsx</x:v>
      </x:c>
    </x:row>
    <x:row r="1908">
      <x:c r="A1908" s="15" t="n">
        <x:v>41122</x:v>
      </x:c>
      <x:c r="B1908" s="13" t="str">
        <x:v>GAFISA SA</x:v>
      </x:c>
      <x:c r="C1908" s="16" t="n">
        <x:v>126.6680328767</x:v>
      </x:c>
      <x:c r="D1908" s="13" t="str">
        <x:v>Homebuilders</x:v>
      </x:c>
      <x:c r="E1908" s="13" t="str">
        <x:v>Real Estate</x:v>
      </x:c>
      <x:c r="F1908" s="13" t="str">
        <x:v>Early Cyclicals</x:v>
      </x:c>
      <x:c r="G1908" s="13" t="str">
        <x:v>grid_wekqfxnd.xlsx</x:v>
      </x:c>
    </x:row>
    <x:row r="1909">
      <x:c r="A1909" s="15" t="n">
        <x:v>41122</x:v>
      </x:c>
      <x:c r="B1909" s="13" t="str">
        <x:v>MRV ENGENHARIA</x:v>
      </x:c>
      <x:c r="C1909" s="16" t="n">
        <x:v>760.7815397699</x:v>
      </x:c>
      <x:c r="D1909" s="13" t="str">
        <x:v>Homebuilders</x:v>
      </x:c>
      <x:c r="E1909" s="13" t="str">
        <x:v>Real Estate</x:v>
      </x:c>
      <x:c r="F1909" s="13" t="str">
        <x:v>Early Cyclicals</x:v>
      </x:c>
      <x:c r="G1909" s="13" t="str">
        <x:v>grid_wekqfxnd.xlsx</x:v>
      </x:c>
    </x:row>
    <x:row r="1910">
      <x:c r="A1910" s="15" t="n">
        <x:v>41122</x:v>
      </x:c>
      <x:c r="B1910" s="13" t="str">
        <x:v>PDG REALTY SA</x:v>
      </x:c>
      <x:c r="C1910" s="16" t="n">
        <x:v>491.544351211</x:v>
      </x:c>
      <x:c r="D1910" s="13" t="str">
        <x:v>Homebuilders</x:v>
      </x:c>
      <x:c r="E1910" s="13" t="str">
        <x:v>Real Estate</x:v>
      </x:c>
      <x:c r="F1910" s="13" t="str">
        <x:v>Early Cyclicals</x:v>
      </x:c>
      <x:c r="G1910" s="13" t="str">
        <x:v>grid_wekqfxnd.xlsx</x:v>
      </x:c>
    </x:row>
    <x:row r="1911">
      <x:c r="A1911" s="15" t="n">
        <x:v>41122</x:v>
      </x:c>
      <x:c r="B1911" s="13" t="str">
        <x:v>ROSSI RESIDENCIAL SA</x:v>
      </x:c>
      <x:c r="C1911" s="16" t="n">
        <x:v>402.4773812603</x:v>
      </x:c>
      <x:c r="D1911" s="13" t="str">
        <x:v>Homebuilders</x:v>
      </x:c>
      <x:c r="E1911" s="13" t="str">
        <x:v>Real Estate</x:v>
      </x:c>
      <x:c r="F1911" s="13" t="str">
        <x:v>Early Cyclicals</x:v>
      </x:c>
      <x:c r="G1911" s="13" t="str">
        <x:v>grid_wekqfxnd.xlsx</x:v>
      </x:c>
    </x:row>
    <x:row r="1912">
      <x:c r="A1912" s="15" t="n">
        <x:v>41122</x:v>
      </x:c>
      <x:c r="B1912" s="13" t="str">
        <x:v>TEGRA INCORPORADORA SA</x:v>
      </x:c>
      <x:c r="C1912" s="16" t="n">
        <x:v>238.6011426192</x:v>
      </x:c>
      <x:c r="D1912" s="13" t="str">
        <x:v>Homebuilders</x:v>
      </x:c>
      <x:c r="E1912" s="13" t="str">
        <x:v>Real Estate</x:v>
      </x:c>
      <x:c r="F1912" s="13" t="str">
        <x:v>Early Cyclicals</x:v>
      </x:c>
      <x:c r="G1912" s="13" t="str">
        <x:v>grid_wekqfxnd.xlsx</x:v>
      </x:c>
    </x:row>
    <x:row r="1913">
      <x:c r="A1913" s="15" t="n">
        <x:v>41122</x:v>
      </x:c>
      <x:c r="B1913" s="13" t="str">
        <x:v>BR MALLS PARTICIPACOES SA</x:v>
      </x:c>
      <x:c r="C1913" s="16" t="n">
        <x:v>536.0638379836</x:v>
      </x:c>
      <x:c r="D1913" s="13" t="str">
        <x:v>Income Properties</x:v>
      </x:c>
      <x:c r="E1913" s="13" t="str">
        <x:v>Real Estate</x:v>
      </x:c>
      <x:c r="F1913" s="13" t="str">
        <x:v>Early Cyclicals</x:v>
      </x:c>
      <x:c r="G1913" s="13" t="str">
        <x:v>grid_wekqfxnd.xlsx</x:v>
      </x:c>
    </x:row>
    <x:row r="1914">
      <x:c r="A1914" s="15" t="n">
        <x:v>41122</x:v>
      </x:c>
      <x:c r="B1914" s="13" t="str">
        <x:v>BRADESPAR SA -PREF</x:v>
      </x:c>
      <x:c r="C1914" s="16" t="n">
        <x:v>1870.0874741479</x:v>
      </x:c>
      <x:c r="D1914" s="13" t="str">
        <x:v>Metals &amp; Mining</x:v>
      </x:c>
      <x:c r="E1914" s="13" t="str">
        <x:v>Metals &amp; Mining</x:v>
      </x:c>
      <x:c r="F1914" s="13" t="str">
        <x:v>Deep Cyclicals</x:v>
      </x:c>
      <x:c r="G1914" s="13" t="str">
        <x:v>grid_wekqfxnd.xlsx</x:v>
      </x:c>
    </x:row>
    <x:row r="1915">
      <x:c r="A1915" s="15" t="n">
        <x:v>41122</x:v>
      </x:c>
      <x:c r="B1915" s="13" t="str">
        <x:v>CIA SIDERURGICA NACIONAL SA</x:v>
      </x:c>
      <x:c r="C1915" s="16" t="n">
        <x:v>1725.4720631233</x:v>
      </x:c>
      <x:c r="D1915" s="13" t="str">
        <x:v>Metals &amp; Mining</x:v>
      </x:c>
      <x:c r="E1915" s="13" t="str">
        <x:v>Metals &amp; Mining</x:v>
      </x:c>
      <x:c r="F1915" s="13" t="str">
        <x:v>Deep Cyclicals</x:v>
      </x:c>
      <x:c r="G1915" s="13" t="str">
        <x:v>grid_wekqfxnd.xlsx</x:v>
      </x:c>
    </x:row>
    <x:row r="1916">
      <x:c r="A1916" s="15" t="n">
        <x:v>41122</x:v>
      </x:c>
      <x:c r="B1916" s="13" t="str">
        <x:v>GERDAU SA-PREF</x:v>
      </x:c>
      <x:c r="C1916" s="16" t="n">
        <x:v>2286.8822093151</x:v>
      </x:c>
      <x:c r="D1916" s="13" t="str">
        <x:v>Metals &amp; Mining</x:v>
      </x:c>
      <x:c r="E1916" s="13" t="str">
        <x:v>Metals &amp; Mining</x:v>
      </x:c>
      <x:c r="F1916" s="13" t="str">
        <x:v>Deep Cyclicals</x:v>
      </x:c>
      <x:c r="G1916" s="13" t="str">
        <x:v>grid_wekqfxnd.xlsx</x:v>
      </x:c>
    </x:row>
    <x:row r="1917">
      <x:c r="A1917" s="15" t="n">
        <x:v>41122</x:v>
      </x:c>
      <x:c r="B1917" s="13" t="str">
        <x:v>METALURGICA GERDAU SA-PREF</x:v>
      </x:c>
      <x:c r="C1917" s="16" t="n">
        <x:v>927.2909208548</x:v>
      </x:c>
      <x:c r="D1917" s="13" t="str">
        <x:v>Metals &amp; Mining</x:v>
      </x:c>
      <x:c r="E1917" s="13" t="str">
        <x:v>Metals &amp; Mining</x:v>
      </x:c>
      <x:c r="F1917" s="13" t="str">
        <x:v>Deep Cyclicals</x:v>
      </x:c>
      <x:c r="G1917" s="13" t="str">
        <x:v>grid_wekqfxnd.xlsx</x:v>
      </x:c>
    </x:row>
    <x:row r="1918">
      <x:c r="A1918" s="15" t="n">
        <x:v>41122</x:v>
      </x:c>
      <x:c r="B1918" s="13" t="str">
        <x:v>MMX MINERACAO E METALICOS SA</x:v>
      </x:c>
      <x:c r="C1918" s="16" t="n">
        <x:v>16.7596</x:v>
      </x:c>
      <x:c r="D1918" s="13" t="str">
        <x:v>Metals &amp; Mining</x:v>
      </x:c>
      <x:c r="E1918" s="13" t="str">
        <x:v>Metals &amp; Mining</x:v>
      </x:c>
      <x:c r="F1918" s="13" t="str">
        <x:v>Deep Cyclicals</x:v>
      </x:c>
      <x:c r="G1918" s="13" t="str">
        <x:v>grid_wekqfxnd.xlsx</x:v>
      </x:c>
    </x:row>
    <x:row r="1919">
      <x:c r="A1919" s="15" t="n">
        <x:v>41122</x:v>
      </x:c>
      <x:c r="B1919" s="13" t="str">
        <x:v>USINAS SIDER MINAS GER-PF A</x:v>
      </x:c>
      <x:c r="C1919" s="16" t="n">
        <x:v>248.1324383562</x:v>
      </x:c>
      <x:c r="D1919" s="13" t="str">
        <x:v>Metals &amp; Mining</x:v>
      </x:c>
      <x:c r="E1919" s="13" t="str">
        <x:v>Metals &amp; Mining</x:v>
      </x:c>
      <x:c r="F1919" s="13" t="str">
        <x:v>Deep Cyclicals</x:v>
      </x:c>
      <x:c r="G1919" s="13" t="str">
        <x:v>grid_wekqfxnd.xlsx</x:v>
      </x:c>
    </x:row>
    <x:row r="1920">
      <x:c r="A1920" s="15" t="n">
        <x:v>41122</x:v>
      </x:c>
      <x:c r="B1920" s="13" t="str">
        <x:v>USINAS SIDERURGICAS DE MINAS</x:v>
      </x:c>
      <x:c r="C1920" s="16" t="n">
        <x:v>248.1324383562</x:v>
      </x:c>
      <x:c r="D1920" s="13" t="str">
        <x:v>Metals &amp; Mining</x:v>
      </x:c>
      <x:c r="E1920" s="13" t="str">
        <x:v>Metals &amp; Mining</x:v>
      </x:c>
      <x:c r="F1920" s="13" t="str">
        <x:v>Deep Cyclicals</x:v>
      </x:c>
      <x:c r="G1920" s="13" t="str">
        <x:v>grid_wekqfxnd.xlsx</x:v>
      </x:c>
    </x:row>
    <x:row r="1921">
      <x:c r="A1921" s="15" t="n">
        <x:v>41122</x:v>
      </x:c>
      <x:c r="B1921" s="13" t="str">
        <x:v>VALE SA</x:v>
      </x:c>
      <x:c r="C1921" s="16" t="n">
        <x:v>29136.007981589</x:v>
      </x:c>
      <x:c r="D1921" s="13" t="str">
        <x:v>Metals &amp; Mining</x:v>
      </x:c>
      <x:c r="E1921" s="13" t="str">
        <x:v>Metals &amp; Mining</x:v>
      </x:c>
      <x:c r="F1921" s="13" t="str">
        <x:v>Deep Cyclicals</x:v>
      </x:c>
      <x:c r="G1921" s="13" t="str">
        <x:v>grid_wekqfxnd.xlsx</x:v>
      </x:c>
    </x:row>
    <x:row r="1922">
      <x:c r="A1922" s="15" t="n">
        <x:v>41122</x:v>
      </x:c>
      <x:c r="B1922" s="13" t="str">
        <x:v>BRASKEM SA-PREF A</x:v>
      </x:c>
      <x:c r="C1922" s="16" t="n">
        <x:v>354.7748134575</x:v>
      </x:c>
      <x:c r="D1922" s="13" t="str">
        <x:v>Oil, Gas &amp; Petrochemicals</x:v>
      </x:c>
      <x:c r="E1922" s="13" t="str">
        <x:v>Oil, Gas &amp; Petrochemicals</x:v>
      </x:c>
      <x:c r="F1922" s="13" t="str">
        <x:v>Deep Cyclicals</x:v>
      </x:c>
      <x:c r="G1922" s="13" t="str">
        <x:v>grid_wekqfxnd.xlsx</x:v>
      </x:c>
    </x:row>
    <x:row r="1923">
      <x:c r="A1923" s="15" t="n">
        <x:v>41122</x:v>
      </x:c>
      <x:c r="B1923" s="13" t="str">
        <x:v>OLEO E GAS PARTICIPACOES SA</x:v>
      </x:c>
      <x:c r="C1923" s="16" t="n">
        <x:v>-215.8684362301</x:v>
      </x:c>
      <x:c r="D1923" s="13" t="str">
        <x:v>Oil, Gas &amp; Petrochemicals</x:v>
      </x:c>
      <x:c r="E1923" s="13" t="str">
        <x:v>Oil, Gas &amp; Petrochemicals</x:v>
      </x:c>
      <x:c r="F1923" s="13" t="str">
        <x:v>Deep Cyclicals</x:v>
      </x:c>
      <x:c r="G1923" s="13" t="str">
        <x:v>grid_wekqfxnd.xlsx</x:v>
      </x:c>
    </x:row>
    <x:row r="1924">
      <x:c r="A1924" s="15" t="n">
        <x:v>41122</x:v>
      </x:c>
      <x:c r="B1924" s="13" t="str">
        <x:v>PETROBRAS - PETROLEO BRAS</x:v>
      </x:c>
      <x:c r="C1924" s="16" t="n">
        <x:v>34219.8296127123</x:v>
      </x:c>
      <x:c r="D1924" s="13" t="str">
        <x:v>Oil, Gas &amp; Petrochemicals</x:v>
      </x:c>
      <x:c r="E1924" s="13" t="str">
        <x:v>Oil, Gas &amp; Petrochemicals</x:v>
      </x:c>
      <x:c r="F1924" s="13" t="str">
        <x:v>Deep Cyclicals</x:v>
      </x:c>
      <x:c r="G1924" s="13" t="str">
        <x:v>grid_wekqfxnd.xlsx</x:v>
      </x:c>
    </x:row>
    <x:row r="1925">
      <x:c r="A1925" s="15" t="n">
        <x:v>41122</x:v>
      </x:c>
      <x:c r="B1925" s="13" t="str">
        <x:v>ULTRAPAR PARTICIPACOES SA</x:v>
      </x:c>
      <x:c r="C1925" s="16" t="n">
        <x:v>1099.9665327342</x:v>
      </x:c>
      <x:c r="D1925" s="13" t="str">
        <x:v>Oil, Gas &amp; Petrochemicals</x:v>
      </x:c>
      <x:c r="E1925" s="13" t="str">
        <x:v>Oil, Gas &amp; Petrochemicals</x:v>
      </x:c>
      <x:c r="F1925" s="13" t="str">
        <x:v>Deep Cyclicals</x:v>
      </x:c>
      <x:c r="G1925" s="13" t="str">
        <x:v>grid_wekqfxnd.xlsx</x:v>
      </x:c>
    </x:row>
    <x:row r="1926">
      <x:c r="A1926" s="15" t="n">
        <x:v>41122</x:v>
      </x:c>
      <x:c r="B1926" s="13" t="str">
        <x:v>DEXCO SA</x:v>
      </x:c>
      <x:c r="C1926" s="16" t="n">
        <x:v>429.5267097425</x:v>
      </x:c>
      <x:c r="D1926" s="13" t="str">
        <x:v>Pulp &amp; Paper</x:v>
      </x:c>
      <x:c r="E1926" s="13" t="str">
        <x:v>Pulp &amp; Paper</x:v>
      </x:c>
      <x:c r="F1926" s="13" t="str">
        <x:v>Deep Cyclicals</x:v>
      </x:c>
      <x:c r="G1926" s="13" t="str">
        <x:v>grid_wekqfxnd.xlsx</x:v>
      </x:c>
    </x:row>
    <x:row r="1927">
      <x:c r="A1927" s="15" t="n">
        <x:v>41122</x:v>
      </x:c>
      <x:c r="B1927" s="13" t="str">
        <x:v>FIBRIA CELULOSE S/A</x:v>
      </x:c>
      <x:c r="C1927" s="16" t="n">
        <x:v>-58.8390493808</x:v>
      </x:c>
      <x:c r="D1927" s="13" t="str">
        <x:v>Pulp &amp; Paper</x:v>
      </x:c>
      <x:c r="E1927" s="13" t="str">
        <x:v>Pulp &amp; Paper</x:v>
      </x:c>
      <x:c r="F1927" s="13" t="str">
        <x:v>Deep Cyclicals</x:v>
      </x:c>
      <x:c r="G1927" s="13" t="str">
        <x:v>grid_wekqfxnd.xlsx</x:v>
      </x:c>
    </x:row>
    <x:row r="1928">
      <x:c r="A1928" s="15" t="n">
        <x:v>41122</x:v>
      </x:c>
      <x:c r="B1928" s="13" t="str">
        <x:v>AMERICANAS SA</x:v>
      </x:c>
      <x:c r="C1928" s="16" t="n">
        <x:v>-9.1512032877</x:v>
      </x:c>
      <x:c r="D1928" s="13" t="str">
        <x:v>Retail</x:v>
      </x:c>
      <x:c r="E1928" s="13" t="str">
        <x:v>Retail</x:v>
      </x:c>
      <x:c r="F1928" s="13" t="str">
        <x:v>Early Cyclicals</x:v>
      </x:c>
      <x:c r="G1928" s="13" t="str">
        <x:v>grid_wekqfxnd.xlsx</x:v>
      </x:c>
    </x:row>
    <x:row r="1929">
      <x:c r="A1929" s="15" t="n">
        <x:v>41122</x:v>
      </x:c>
      <x:c r="B1929" s="13" t="str">
        <x:v>CIA BRASILEIRA DE DIS-PREF</x:v>
      </x:c>
      <x:c r="C1929" s="16" t="n">
        <x:v>1163.4017588603</x:v>
      </x:c>
      <x:c r="D1929" s="13" t="str">
        <x:v>Retail</x:v>
      </x:c>
      <x:c r="E1929" s="13" t="str">
        <x:v>Retail</x:v>
      </x:c>
      <x:c r="F1929" s="13" t="str">
        <x:v>Early Cyclicals</x:v>
      </x:c>
      <x:c r="G1929" s="13" t="str">
        <x:v>grid_wekqfxnd.xlsx</x:v>
      </x:c>
    </x:row>
    <x:row r="1930">
      <x:c r="A1930" s="15" t="n">
        <x:v>41122</x:v>
      </x:c>
      <x:c r="B1930" s="13" t="str">
        <x:v>CIA HERING</x:v>
      </x:c>
      <x:c r="C1930" s="16" t="n">
        <x:v>385.6992217425</x:v>
      </x:c>
      <x:c r="D1930" s="13" t="str">
        <x:v>Retail</x:v>
      </x:c>
      <x:c r="E1930" s="13" t="str">
        <x:v>Retail</x:v>
      </x:c>
      <x:c r="F1930" s="13" t="str">
        <x:v>Early Cyclicals</x:v>
      </x:c>
      <x:c r="G1930" s="13" t="str">
        <x:v>grid_wekqfxnd.xlsx</x:v>
      </x:c>
    </x:row>
    <x:row r="1931">
      <x:c r="A1931" s="15" t="n">
        <x:v>41122</x:v>
      </x:c>
      <x:c r="B1931" s="13" t="str">
        <x:v>LOJAS AMERICANAS SA-PREF</x:v>
      </x:c>
      <x:c r="C1931" s="16" t="n">
        <x:v>543.0102633205</x:v>
      </x:c>
      <x:c r="D1931" s="13" t="str">
        <x:v>Retail</x:v>
      </x:c>
      <x:c r="E1931" s="13" t="str">
        <x:v>Retail</x:v>
      </x:c>
      <x:c r="F1931" s="13" t="str">
        <x:v>Early Cyclicals</x:v>
      </x:c>
      <x:c r="G1931" s="13" t="str">
        <x:v>grid_wekqfxnd.xlsx</x:v>
      </x:c>
    </x:row>
    <x:row r="1932">
      <x:c r="A1932" s="15" t="n">
        <x:v>41122</x:v>
      </x:c>
      <x:c r="B1932" s="13" t="str">
        <x:v>LOJAS RENNER S.A.</x:v>
      </x:c>
      <x:c r="C1932" s="16" t="n">
        <x:v>409.4391780822</x:v>
      </x:c>
      <x:c r="D1932" s="13" t="str">
        <x:v>Retail</x:v>
      </x:c>
      <x:c r="E1932" s="13" t="str">
        <x:v>Retail</x:v>
      </x:c>
      <x:c r="F1932" s="13" t="str">
        <x:v>Early Cyclicals</x:v>
      </x:c>
      <x:c r="G1932" s="13" t="str">
        <x:v>grid_wekqfxnd.xlsx</x:v>
      </x:c>
    </x:row>
    <x:row r="1933">
      <x:c r="A1933" s="15" t="n">
        <x:v>41122</x:v>
      </x:c>
      <x:c r="B1933" s="13" t="str">
        <x:v>NATURA COSMETICOS SA</x:v>
      </x:c>
      <x:c r="C1933" s="16" t="n">
        <x:v>981.6039536219</x:v>
      </x:c>
      <x:c r="D1933" s="13" t="str">
        <x:v>Retail</x:v>
      </x:c>
      <x:c r="E1933" s="13" t="str">
        <x:v>Retail</x:v>
      </x:c>
      <x:c r="F1933" s="13" t="str">
        <x:v>Early Cyclicals</x:v>
      </x:c>
      <x:c r="G1933" s="13" t="str">
        <x:v>grid_wekqfxnd.xlsx</x:v>
      </x:c>
    </x:row>
    <x:row r="1934">
      <x:c r="A1934" s="15" t="n">
        <x:v>41122</x:v>
      </x:c>
      <x:c r="B1934" s="13" t="str">
        <x:v>CIA SANEAMENTO BASICO DE SP</x:v>
      </x:c>
      <x:c r="C1934" s="16" t="n">
        <x:v>1847.8678303562</x:v>
      </x:c>
      <x:c r="D1934" s="13" t="str">
        <x:v>Sanitation</x:v>
      </x:c>
      <x:c r="E1934" s="13" t="str">
        <x:v>Utilities</x:v>
      </x:c>
      <x:c r="F1934" s="13" t="str">
        <x:v>Defensives</x:v>
      </x:c>
      <x:c r="G1934" s="13" t="str">
        <x:v>grid_wekqfxnd.xlsx</x:v>
      </x:c>
    </x:row>
    <x:row r="1935">
      <x:c r="A1935" s="15" t="n">
        <x:v>41122</x:v>
      </x:c>
      <x:c r="B1935" s="13" t="str">
        <x:v>OI S.A.</x:v>
      </x:c>
      <x:c r="C1935" s="16" t="n">
        <x:v>664.0483063233</x:v>
      </x:c>
      <x:c r="D1935" s="13" t="str">
        <x:v>TMT</x:v>
      </x:c>
      <x:c r="E1935" s="13" t="str">
        <x:v>TMT</x:v>
      </x:c>
      <x:c r="F1935" s="13" t="str">
        <x:v>Early Cyclicals</x:v>
      </x:c>
      <x:c r="G1935" s="13" t="str">
        <x:v>grid_wekqfxnd.xlsx</x:v>
      </x:c>
    </x:row>
    <x:row r="1936">
      <x:c r="A1936" s="15" t="n">
        <x:v>41122</x:v>
      </x:c>
      <x:c r="B1936" s="13" t="str">
        <x:v>OI SA-PREFERENCE</x:v>
      </x:c>
      <x:c r="C1936" s="16" t="n">
        <x:v>664.0483063233</x:v>
      </x:c>
      <x:c r="D1936" s="13" t="str">
        <x:v>TMT</x:v>
      </x:c>
      <x:c r="E1936" s="13" t="str">
        <x:v>TMT</x:v>
      </x:c>
      <x:c r="F1936" s="13" t="str">
        <x:v>Early Cyclicals</x:v>
      </x:c>
      <x:c r="G1936" s="13" t="str">
        <x:v>grid_wekqfxnd.xlsx</x:v>
      </x:c>
    </x:row>
    <x:row r="1937">
      <x:c r="A1937" s="15" t="n">
        <x:v>41122</x:v>
      </x:c>
      <x:c r="B1937" s="13" t="str">
        <x:v>TELEFONICA BRASIL S.A.-PREF</x:v>
      </x:c>
      <x:c r="C1937" s="16" t="n">
        <x:v>4913.8343655452</x:v>
      </x:c>
      <x:c r="D1937" s="13" t="str">
        <x:v>TMT</x:v>
      </x:c>
      <x:c r="E1937" s="13" t="str">
        <x:v>TMT</x:v>
      </x:c>
      <x:c r="F1937" s="13" t="str">
        <x:v>Early Cyclicals</x:v>
      </x:c>
      <x:c r="G1937" s="13" t="str">
        <x:v>grid_wekqfxnd.xlsx</x:v>
      </x:c>
    </x:row>
    <x:row r="1938">
      <x:c r="A1938" s="15" t="n">
        <x:v>41122</x:v>
      </x:c>
      <x:c r="B1938" s="13" t="str">
        <x:v>TIM SA</x:v>
      </x:c>
      <x:c r="C1938" s="16" t="n">
        <x:v>1632.3342953205</x:v>
      </x:c>
      <x:c r="D1938" s="13" t="str">
        <x:v>TMT</x:v>
      </x:c>
      <x:c r="E1938" s="13" t="str">
        <x:v>TMT</x:v>
      </x:c>
      <x:c r="F1938" s="13" t="str">
        <x:v>Early Cyclicals</x:v>
      </x:c>
      <x:c r="G1938" s="13" t="str">
        <x:v>grid_wekqfxnd.xlsx</x:v>
      </x:c>
    </x:row>
    <x:row r="1939">
      <x:c r="A1939" s="15" t="n">
        <x:v>41122</x:v>
      </x:c>
      <x:c r="B1939" s="13" t="str">
        <x:v>GOL LINHAS AEREAS INT SA-PRE</x:v>
      </x:c>
      <x:c r="C1939" s="16" t="n">
        <x:v>-75.6497150685</x:v>
      </x:c>
      <x:c r="D1939" s="13" t="str">
        <x:v>Transportation</x:v>
      </x:c>
      <x:c r="E1939" s="13" t="str">
        <x:v>Transportation</x:v>
      </x:c>
      <x:c r="F1939" s="13" t="str">
        <x:v>Deep Cyclicals</x:v>
      </x:c>
      <x:c r="G1939" s="13" t="str">
        <x:v>grid_wekqfxnd.xlsx</x:v>
      </x:c>
    </x:row>
    <x:row r="1940">
      <x:c r="A1940" s="15" t="n">
        <x:v>41122</x:v>
      </x:c>
      <x:c r="B1940" s="13" t="str">
        <x:v>LOCALIZA RENT A CAR</x:v>
      </x:c>
      <x:c r="C1940" s="16" t="n">
        <x:v>364.2529919123</x:v>
      </x:c>
      <x:c r="D1940" s="13" t="str">
        <x:v>Transportation</x:v>
      </x:c>
      <x:c r="E1940" s="13" t="str">
        <x:v>Transportation</x:v>
      </x:c>
      <x:c r="F1940" s="13" t="str">
        <x:v>Deep Cyclicals</x:v>
      </x:c>
      <x:c r="G1940" s="13" t="str">
        <x:v>grid_wekqfxnd.xlsx</x:v>
      </x:c>
    </x:row>
    <x:row r="1941">
      <x:c r="A1941" s="15" t="n">
        <x:v>41122</x:v>
      </x:c>
      <x:c r="B1941" s="13" t="str">
        <x:v>MOTIVA INFRAESTRUTURA DE MOB</x:v>
      </x:c>
      <x:c r="C1941" s="16" t="n">
        <x:v>1471.3205479452</x:v>
      </x:c>
      <x:c r="D1941" s="13" t="str">
        <x:v>Transportation</x:v>
      </x:c>
      <x:c r="E1941" s="13" t="str">
        <x:v>Transportation</x:v>
      </x:c>
      <x:c r="F1941" s="13" t="str">
        <x:v>Deep Cyclicals</x:v>
      </x:c>
      <x:c r="G1941" s="13" t="str">
        <x:v>grid_wekqfxnd.xlsx</x:v>
      </x:c>
    </x:row>
    <x:row r="1942">
      <x:c r="A1942" s="15" t="n">
        <x:v>41122</x:v>
      </x:c>
      <x:c r="B1942" s="13" t="str">
        <x:v>PRUMO LOGISTICA SA</x:v>
      </x:c>
      <x:c r="C1942" s="16" t="n">
        <x:v>-69.6306246575</x:v>
      </x:c>
      <x:c r="D1942" s="13" t="str">
        <x:v>Transportation</x:v>
      </x:c>
      <x:c r="E1942" s="13" t="str">
        <x:v>Transportation</x:v>
      </x:c>
      <x:c r="F1942" s="13" t="str">
        <x:v>Deep Cyclicals</x:v>
      </x:c>
      <x:c r="G1942" s="13" t="str">
        <x:v>grid_wekqfxnd.xlsx</x:v>
      </x:c>
    </x:row>
    <x:row r="1943">
      <x:c r="A1943" s="15" t="n">
        <x:v>41122</x:v>
      </x:c>
      <x:c r="B1943" s="13" t="str">
        <x:v>RUMO SA</x:v>
      </x:c>
      <x:c r="C1943" s="16" t="n">
        <x:v>345.2999780822</x:v>
      </x:c>
      <x:c r="D1943" s="13" t="str">
        <x:v>Transportation</x:v>
      </x:c>
      <x:c r="E1943" s="13" t="str">
        <x:v>Transportation</x:v>
      </x:c>
      <x:c r="F1943" s="13" t="str">
        <x:v>Deep Cyclicals</x:v>
      </x:c>
      <x:c r="G1943" s="13" t="str">
        <x:v>grid_wekqfxnd.xlsx</x:v>
      </x:c>
    </x:row>
    <x:row r="1944">
      <x:c r="A1944" s="15" t="n">
        <x:v>41122</x:v>
      </x:c>
      <x:c r="B1944" s="13" t="str">
        <x:v>AXIA ENERGIA SA</x:v>
      </x:c>
      <x:c r="C1944" s="16" t="n">
        <x:v>4247.6030288658</x:v>
      </x:c>
      <x:c r="D1944" s="13" t="str">
        <x:v>Utilities &amp; Energy</x:v>
      </x:c>
      <x:c r="E1944" s="13" t="str">
        <x:v>Utilities</x:v>
      </x:c>
      <x:c r="F1944" s="13" t="str">
        <x:v>Defensives</x:v>
      </x:c>
      <x:c r="G1944" s="13" t="str">
        <x:v>grid_wekqfxnd.xlsx</x:v>
      </x:c>
    </x:row>
    <x:row r="1945">
      <x:c r="A1945" s="15" t="n">
        <x:v>41122</x:v>
      </x:c>
      <x:c r="B1945" s="13" t="str">
        <x:v>AXIA ENERGIA-PR B</x:v>
      </x:c>
      <x:c r="C1945" s="16" t="n">
        <x:v>4247.6030288658</x:v>
      </x:c>
      <x:c r="D1945" s="13" t="str">
        <x:v>Utilities &amp; Energy</x:v>
      </x:c>
      <x:c r="E1945" s="13" t="str">
        <x:v>Utilities</x:v>
      </x:c>
      <x:c r="F1945" s="13" t="str">
        <x:v>Defensives</x:v>
      </x:c>
      <x:c r="G1945" s="13" t="str">
        <x:v>grid_wekqfxnd.xlsx</x:v>
      </x:c>
    </x:row>
    <x:row r="1946">
      <x:c r="A1946" s="15" t="n">
        <x:v>41122</x:v>
      </x:c>
      <x:c r="B1946" s="13" t="str">
        <x:v>CESP - CIA ENERGETICA DE SAO</x:v>
      </x:c>
      <x:c r="C1946" s="16" t="n">
        <x:v>808.430880263</x:v>
      </x:c>
      <x:c r="D1946" s="13" t="str">
        <x:v>Utilities &amp; Energy</x:v>
      </x:c>
      <x:c r="E1946" s="13" t="str">
        <x:v>Utilities</x:v>
      </x:c>
      <x:c r="F1946" s="13" t="str">
        <x:v>Defensives</x:v>
      </x:c>
      <x:c r="G1946" s="13" t="str">
        <x:v>grid_wekqfxnd.xlsx</x:v>
      </x:c>
    </x:row>
    <x:row r="1947">
      <x:c r="A1947" s="15" t="n">
        <x:v>41122</x:v>
      </x:c>
      <x:c r="B1947" s="13" t="str">
        <x:v>CIA ENERGETICA MINAS GER-PRF</x:v>
      </x:c>
      <x:c r="C1947" s="16" t="n">
        <x:v>3045.6050561753</x:v>
      </x:c>
      <x:c r="D1947" s="13" t="str">
        <x:v>Utilities &amp; Energy</x:v>
      </x:c>
      <x:c r="E1947" s="13" t="str">
        <x:v>Utilities</x:v>
      </x:c>
      <x:c r="F1947" s="13" t="str">
        <x:v>Defensives</x:v>
      </x:c>
      <x:c r="G1947" s="13" t="str">
        <x:v>grid_wekqfxnd.xlsx</x:v>
      </x:c>
    </x:row>
    <x:row r="1948">
      <x:c r="A1948" s="15" t="n">
        <x:v>41122</x:v>
      </x:c>
      <x:c r="B1948" s="13" t="str">
        <x:v>COMPANHIA PARANAENSE -PREF B</x:v>
      </x:c>
      <x:c r="C1948" s="16" t="n">
        <x:v>1197.0137435178</x:v>
      </x:c>
      <x:c r="D1948" s="13" t="str">
        <x:v>Utilities &amp; Energy</x:v>
      </x:c>
      <x:c r="E1948" s="13" t="str">
        <x:v>Utilities</x:v>
      </x:c>
      <x:c r="F1948" s="13" t="str">
        <x:v>Defensives</x:v>
      </x:c>
      <x:c r="G1948" s="13" t="str">
        <x:v>grid_wekqfxnd.xlsx</x:v>
      </x:c>
    </x:row>
    <x:row r="1949">
      <x:c r="A1949" s="15" t="n">
        <x:v>41122</x:v>
      </x:c>
      <x:c r="B1949" s="13" t="str">
        <x:v>CPFL ENERGIA SA</x:v>
      </x:c>
      <x:c r="C1949" s="16" t="n">
        <x:v>1440.7949536438</x:v>
      </x:c>
      <x:c r="D1949" s="13" t="str">
        <x:v>Utilities &amp; Energy</x:v>
      </x:c>
      <x:c r="E1949" s="13" t="str">
        <x:v>Utilities</x:v>
      </x:c>
      <x:c r="F1949" s="13" t="str">
        <x:v>Defensives</x:v>
      </x:c>
      <x:c r="G1949" s="13" t="str">
        <x:v>grid_wekqfxnd.xlsx</x:v>
      </x:c>
    </x:row>
    <x:row r="1950">
      <x:c r="A1950" s="15" t="n">
        <x:v>41122</x:v>
      </x:c>
      <x:c r="B1950" s="13" t="str">
        <x:v>ELETROPAULO METROPOLI-PREF</x:v>
      </x:c>
      <x:c r="C1950" s="16" t="n">
        <x:v>245.6941781479</x:v>
      </x:c>
      <x:c r="D1950" s="13" t="str">
        <x:v>Utilities &amp; Energy</x:v>
      </x:c>
      <x:c r="E1950" s="13" t="str">
        <x:v>Utilities</x:v>
      </x:c>
      <x:c r="F1950" s="13" t="str">
        <x:v>Defensives</x:v>
      </x:c>
      <x:c r="G1950" s="13" t="str">
        <x:v>grid_wekqfxnd.xlsx</x:v>
      </x:c>
    </x:row>
    <x:row r="1951">
      <x:c r="A1951" s="15" t="n">
        <x:v>41122</x:v>
      </x:c>
      <x:c r="B1951" s="13" t="str">
        <x:v>ISA ENERGIA BRASIL SA</x:v>
      </x:c>
      <x:c r="C1951" s="16" t="n">
        <x:v>1013.6210440767</x:v>
      </x:c>
      <x:c r="D1951" s="13" t="str">
        <x:v>Utilities &amp; Energy</x:v>
      </x:c>
      <x:c r="E1951" s="13" t="str">
        <x:v>Utilities</x:v>
      </x:c>
      <x:c r="F1951" s="13" t="str">
        <x:v>Defensives</x:v>
      </x:c>
      <x:c r="G1951" s="13" t="str">
        <x:v>grid_wekqfxnd.xlsx</x:v>
      </x:c>
    </x:row>
    <x:row r="1952">
      <x:c r="A1952" s="15" t="n">
        <x:v>41122</x:v>
      </x:c>
      <x:c r="B1952" s="13" t="str">
        <x:v>LIGHT SA</x:v>
      </x:c>
      <x:c r="C1952" s="16" t="n">
        <x:v>519.4604498411</x:v>
      </x:c>
      <x:c r="D1952" s="13" t="str">
        <x:v>Utilities &amp; Energy</x:v>
      </x:c>
      <x:c r="E1952" s="13" t="str">
        <x:v>Utilities</x:v>
      </x:c>
      <x:c r="F1952" s="13" t="str">
        <x:v>Defensives</x:v>
      </x:c>
      <x:c r="G1952" s="13" t="str">
        <x:v>grid_wekqfxnd.xlsx</x:v>
      </x:c>
    </x:row>
    <x:row r="1953">
      <x:c r="A1953" s="15" t="n">
        <x:v>41153</x:v>
      </x:c>
      <x:c r="B1953" s="13" t="str">
        <x:v>BANCO BRADESCO SA-PREF</x:v>
      </x:c>
      <x:c r="C1953" s="16" t="n">
        <x:v>12801.6546970301</x:v>
      </x:c>
      <x:c r="D1953" s="13" t="str">
        <x:v>Banks</x:v>
      </x:c>
      <x:c r="E1953" s="13" t="str">
        <x:v>Banks</x:v>
      </x:c>
      <x:c r="F1953" s="13" t="str">
        <x:v>Financials</x:v>
      </x:c>
      <x:c r="G1953" s="13" t="str">
        <x:v>grid_wekqfxnd.xlsx</x:v>
      </x:c>
    </x:row>
    <x:row r="1954">
      <x:c r="A1954" s="15" t="n">
        <x:v>41153</x:v>
      </x:c>
      <x:c r="B1954" s="13" t="str">
        <x:v>BANCO DO BRASIL S.A.</x:v>
      </x:c>
      <x:c r="C1954" s="16" t="n">
        <x:v>11665.4861718795</x:v>
      </x:c>
      <x:c r="D1954" s="13" t="str">
        <x:v>Banks</x:v>
      </x:c>
      <x:c r="E1954" s="13" t="str">
        <x:v>Banks</x:v>
      </x:c>
      <x:c r="F1954" s="13" t="str">
        <x:v>Financials</x:v>
      </x:c>
      <x:c r="G1954" s="13" t="str">
        <x:v>grid_wekqfxnd.xlsx</x:v>
      </x:c>
    </x:row>
    <x:row r="1955">
      <x:c r="A1955" s="15" t="n">
        <x:v>41153</x:v>
      </x:c>
      <x:c r="B1955" s="13" t="str">
        <x:v>BANCO SANTANDER  BRASIL-UNIT</x:v>
      </x:c>
      <x:c r="C1955" s="16" t="n">
        <x:v>6818.216453611</x:v>
      </x:c>
      <x:c r="D1955" s="13" t="str">
        <x:v>Banks</x:v>
      </x:c>
      <x:c r="E1955" s="13" t="str">
        <x:v>Banks</x:v>
      </x:c>
      <x:c r="F1955" s="13" t="str">
        <x:v>Financials</x:v>
      </x:c>
      <x:c r="G1955" s="13" t="str">
        <x:v>grid_wekqfxnd.xlsx</x:v>
      </x:c>
    </x:row>
    <x:row r="1956">
      <x:c r="A1956" s="15" t="n">
        <x:v>41153</x:v>
      </x:c>
      <x:c r="B1956" s="13" t="str">
        <x:v>ITAU UNIBANCO HOLDING S-PREF</x:v>
      </x:c>
      <x:c r="C1956" s="16" t="n">
        <x:v>15717.6430704219</x:v>
      </x:c>
      <x:c r="D1956" s="13" t="str">
        <x:v>Banks</x:v>
      </x:c>
      <x:c r="E1956" s="13" t="str">
        <x:v>Banks</x:v>
      </x:c>
      <x:c r="F1956" s="13" t="str">
        <x:v>Financials</x:v>
      </x:c>
      <x:c r="G1956" s="13" t="str">
        <x:v>grid_wekqfxnd.xlsx</x:v>
      </x:c>
    </x:row>
    <x:row r="1957">
      <x:c r="A1957" s="15" t="n">
        <x:v>41153</x:v>
      </x:c>
      <x:c r="B1957" s="13" t="str">
        <x:v>EMBRAER SA</x:v>
      </x:c>
      <x:c r="C1957" s="16" t="n">
        <x:v>1012.3052529973</x:v>
      </x:c>
      <x:c r="D1957" s="13" t="str">
        <x:v>Capital Goods</x:v>
      </x:c>
      <x:c r="E1957" s="13" t="str">
        <x:v>Capital Goods</x:v>
      </x:c>
      <x:c r="F1957" s="13" t="str">
        <x:v>Deep Cyclicals</x:v>
      </x:c>
      <x:c r="G1957" s="13" t="str">
        <x:v>grid_wekqfxnd.xlsx</x:v>
      </x:c>
    </x:row>
    <x:row r="1958">
      <x:c r="A1958" s="15" t="n">
        <x:v>41153</x:v>
      </x:c>
      <x:c r="B1958" s="13" t="str">
        <x:v>B3 SA-BRASIL BOLSA BALCAO</x:v>
      </x:c>
      <x:c r="C1958" s="16" t="n">
        <x:v>1607.8111305644</x:v>
      </x:c>
      <x:c r="D1958" s="13" t="str">
        <x:v>Financials Non-Banks</x:v>
      </x:c>
      <x:c r="E1958" s="13" t="str">
        <x:v>Financials Non-Banks</x:v>
      </x:c>
      <x:c r="F1958" s="13" t="str">
        <x:v>Financials</x:v>
      </x:c>
      <x:c r="G1958" s="13" t="str">
        <x:v>grid_wekqfxnd.xlsx</x:v>
      </x:c>
    </x:row>
    <x:row r="1959">
      <x:c r="A1959" s="15" t="n">
        <x:v>41153</x:v>
      </x:c>
      <x:c r="B1959" s="13" t="str">
        <x:v>CETIP SA-MERCADOS ORGANIZADO</x:v>
      </x:c>
      <x:c r="C1959" s="16" t="n">
        <x:v>408.8620436164</x:v>
      </x:c>
      <x:c r="D1959" s="13" t="str">
        <x:v>Financials Non-Banks</x:v>
      </x:c>
      <x:c r="E1959" s="13" t="str">
        <x:v>Financials Non-Banks</x:v>
      </x:c>
      <x:c r="F1959" s="13" t="str">
        <x:v>Financials</x:v>
      </x:c>
      <x:c r="G1959" s="13" t="str">
        <x:v>grid_wekqfxnd.xlsx</x:v>
      </x:c>
    </x:row>
    <x:row r="1960">
      <x:c r="A1960" s="15" t="n">
        <x:v>41153</x:v>
      </x:c>
      <x:c r="B1960" s="13" t="str">
        <x:v>CIELO SA - INSTITUICAO DE PA</x:v>
      </x:c>
      <x:c r="C1960" s="16" t="n">
        <x:v>2451.7739260493</x:v>
      </x:c>
      <x:c r="D1960" s="13" t="str">
        <x:v>Financials Non-Banks</x:v>
      </x:c>
      <x:c r="E1960" s="13" t="str">
        <x:v>Financials Non-Banks</x:v>
      </x:c>
      <x:c r="F1960" s="13" t="str">
        <x:v>Financials</x:v>
      </x:c>
      <x:c r="G1960" s="13" t="str">
        <x:v>grid_wekqfxnd.xlsx</x:v>
      </x:c>
    </x:row>
    <x:row r="1961">
      <x:c r="A1961" s="15" t="n">
        <x:v>41153</x:v>
      </x:c>
      <x:c r="B1961" s="13" t="str">
        <x:v>ITAUSA SA</x:v>
      </x:c>
      <x:c r="C1961" s="16" t="n">
        <x:v>5301.9903004055</x:v>
      </x:c>
      <x:c r="D1961" s="13" t="str">
        <x:v>Financials Non-Banks</x:v>
      </x:c>
      <x:c r="E1961" s="13" t="str">
        <x:v>Financials Non-Banks</x:v>
      </x:c>
      <x:c r="F1961" s="13" t="str">
        <x:v>Financials</x:v>
      </x:c>
      <x:c r="G1961" s="13" t="str">
        <x:v>grid_wekqfxnd.xlsx</x:v>
      </x:c>
    </x:row>
    <x:row r="1962">
      <x:c r="A1962" s="15" t="n">
        <x:v>41153</x:v>
      </x:c>
      <x:c r="B1962" s="13" t="str">
        <x:v>AMBEV SA</x:v>
      </x:c>
      <x:c r="C1962" s="16" t="n">
        <x:v>10739.9133155945</x:v>
      </x:c>
      <x:c r="D1962" s="13" t="str">
        <x:v>Food &amp; Beverages</x:v>
      </x:c>
      <x:c r="E1962" s="13" t="str">
        <x:v>Agri, Food &amp; Beverages</x:v>
      </x:c>
      <x:c r="F1962" s="13" t="str">
        <x:v>Defensives</x:v>
      </x:c>
      <x:c r="G1962" s="13" t="str">
        <x:v>grid_wekqfxnd.xlsx</x:v>
      </x:c>
    </x:row>
    <x:row r="1963">
      <x:c r="A1963" s="15" t="n">
        <x:v>41153</x:v>
      </x:c>
      <x:c r="B1963" s="13" t="str">
        <x:v>BRF SA</x:v>
      </x:c>
      <x:c r="C1963" s="16" t="n">
        <x:v>1563.4309502247</x:v>
      </x:c>
      <x:c r="D1963" s="13" t="str">
        <x:v>Food &amp; Beverages</x:v>
      </x:c>
      <x:c r="E1963" s="13" t="str">
        <x:v>Agri, Food &amp; Beverages</x:v>
      </x:c>
      <x:c r="F1963" s="13" t="str">
        <x:v>Defensives</x:v>
      </x:c>
      <x:c r="G1963" s="13" t="str">
        <x:v>grid_wekqfxnd.xlsx</x:v>
      </x:c>
    </x:row>
    <x:row r="1964">
      <x:c r="A1964" s="15" t="n">
        <x:v>41153</x:v>
      </x:c>
      <x:c r="B1964" s="13" t="str">
        <x:v>MBRF GLOBAL FOODS COMPANY SA</x:v>
      </x:c>
      <x:c r="C1964" s="16" t="n">
        <x:v>34.880338411</x:v>
      </x:c>
      <x:c r="D1964" s="13" t="str">
        <x:v>Food &amp; Beverages</x:v>
      </x:c>
      <x:c r="E1964" s="13" t="str">
        <x:v>Agri, Food &amp; Beverages</x:v>
      </x:c>
      <x:c r="F1964" s="13" t="str">
        <x:v>Defensives</x:v>
      </x:c>
      <x:c r="G1964" s="13" t="str">
        <x:v>grid_wekqfxnd.xlsx</x:v>
      </x:c>
    </x:row>
    <x:row r="1965">
      <x:c r="A1965" s="15" t="n">
        <x:v>41153</x:v>
      </x:c>
      <x:c r="B1965" s="13" t="str">
        <x:v>SOUZA CRUZ LTDA</x:v>
      </x:c>
      <x:c r="C1965" s="16" t="n">
        <x:v>1897.6263013699</x:v>
      </x:c>
      <x:c r="D1965" s="13" t="str">
        <x:v>Food &amp; Beverages</x:v>
      </x:c>
      <x:c r="E1965" s="13" t="str">
        <x:v>Agri, Food &amp; Beverages</x:v>
      </x:c>
      <x:c r="F1965" s="13" t="str">
        <x:v>Defensives</x:v>
      </x:c>
      <x:c r="G1965" s="13" t="str">
        <x:v>grid_wekqfxnd.xlsx</x:v>
      </x:c>
    </x:row>
    <x:row r="1966">
      <x:c r="A1966" s="15" t="n">
        <x:v>41153</x:v>
      </x:c>
      <x:c r="B1966" s="13" t="str">
        <x:v>DIAGNOSTICOS DA AMERICA SA</x:v>
      </x:c>
      <x:c r="C1966" s="16" t="n">
        <x:v>220.6228735123</x:v>
      </x:c>
      <x:c r="D1966" s="13" t="str">
        <x:v>Health Care</x:v>
      </x:c>
      <x:c r="E1966" s="13" t="str">
        <x:v>Health Care</x:v>
      </x:c>
      <x:c r="F1966" s="13" t="str">
        <x:v>Defensives</x:v>
      </x:c>
      <x:c r="G1966" s="13" t="str">
        <x:v>grid_wekqfxnd.xlsx</x:v>
      </x:c>
    </x:row>
    <x:row r="1967">
      <x:c r="A1967" s="15" t="n">
        <x:v>41153</x:v>
      </x:c>
      <x:c r="B1967" s="13" t="str">
        <x:v>HYPERA SA</x:v>
      </x:c>
      <x:c r="C1967" s="16" t="n">
        <x:v>358.685496811</x:v>
      </x:c>
      <x:c r="D1967" s="13" t="str">
        <x:v>Health Care</x:v>
      </x:c>
      <x:c r="E1967" s="13" t="str">
        <x:v>Health Care</x:v>
      </x:c>
      <x:c r="F1967" s="13" t="str">
        <x:v>Defensives</x:v>
      </x:c>
      <x:c r="G1967" s="13" t="str">
        <x:v>grid_wekqfxnd.xlsx</x:v>
      </x:c>
    </x:row>
    <x:row r="1968">
      <x:c r="A1968" s="15" t="n">
        <x:v>41153</x:v>
      </x:c>
      <x:c r="B1968" s="13" t="str">
        <x:v>CYRELA BRAZIL REALTY SA EMP</x:v>
      </x:c>
      <x:c r="C1968" s="16" t="n">
        <x:v>873.4943584438</x:v>
      </x:c>
      <x:c r="D1968" s="13" t="str">
        <x:v>Homebuilders</x:v>
      </x:c>
      <x:c r="E1968" s="13" t="str">
        <x:v>Real Estate</x:v>
      </x:c>
      <x:c r="F1968" s="13" t="str">
        <x:v>Early Cyclicals</x:v>
      </x:c>
      <x:c r="G1968" s="13" t="str">
        <x:v>grid_wekqfxnd.xlsx</x:v>
      </x:c>
    </x:row>
    <x:row r="1969">
      <x:c r="A1969" s="15" t="n">
        <x:v>41153</x:v>
      </x:c>
      <x:c r="B1969" s="13" t="str">
        <x:v>GAFISA SA</x:v>
      </x:c>
      <x:c r="C1969" s="16" t="n">
        <x:v>130.400369863</x:v>
      </x:c>
      <x:c r="D1969" s="13" t="str">
        <x:v>Homebuilders</x:v>
      </x:c>
      <x:c r="E1969" s="13" t="str">
        <x:v>Real Estate</x:v>
      </x:c>
      <x:c r="F1969" s="13" t="str">
        <x:v>Early Cyclicals</x:v>
      </x:c>
      <x:c r="G1969" s="13" t="str">
        <x:v>grid_wekqfxnd.xlsx</x:v>
      </x:c>
    </x:row>
    <x:row r="1970">
      <x:c r="A1970" s="15" t="n">
        <x:v>41153</x:v>
      </x:c>
      <x:c r="B1970" s="13" t="str">
        <x:v>MRV ENGENHARIA</x:v>
      </x:c>
      <x:c r="C1970" s="16" t="n">
        <x:v>755.3565347068</x:v>
      </x:c>
      <x:c r="D1970" s="13" t="str">
        <x:v>Homebuilders</x:v>
      </x:c>
      <x:c r="E1970" s="13" t="str">
        <x:v>Real Estate</x:v>
      </x:c>
      <x:c r="F1970" s="13" t="str">
        <x:v>Early Cyclicals</x:v>
      </x:c>
      <x:c r="G1970" s="13" t="str">
        <x:v>grid_wekqfxnd.xlsx</x:v>
      </x:c>
    </x:row>
    <x:row r="1971">
      <x:c r="A1971" s="15" t="n">
        <x:v>41153</x:v>
      </x:c>
      <x:c r="B1971" s="13" t="str">
        <x:v>PDG REALTY SA</x:v>
      </x:c>
      <x:c r="C1971" s="16" t="n">
        <x:v>471.6613931397</x:v>
      </x:c>
      <x:c r="D1971" s="13" t="str">
        <x:v>Homebuilders</x:v>
      </x:c>
      <x:c r="E1971" s="13" t="str">
        <x:v>Real Estate</x:v>
      </x:c>
      <x:c r="F1971" s="13" t="str">
        <x:v>Early Cyclicals</x:v>
      </x:c>
      <x:c r="G1971" s="13" t="str">
        <x:v>grid_wekqfxnd.xlsx</x:v>
      </x:c>
    </x:row>
    <x:row r="1972">
      <x:c r="A1972" s="15" t="n">
        <x:v>41153</x:v>
      </x:c>
      <x:c r="B1972" s="13" t="str">
        <x:v>ROSSI RESIDENCIAL SA</x:v>
      </x:c>
      <x:c r="C1972" s="16" t="n">
        <x:v>401.6607417863</x:v>
      </x:c>
      <x:c r="D1972" s="13" t="str">
        <x:v>Homebuilders</x:v>
      </x:c>
      <x:c r="E1972" s="13" t="str">
        <x:v>Real Estate</x:v>
      </x:c>
      <x:c r="F1972" s="13" t="str">
        <x:v>Early Cyclicals</x:v>
      </x:c>
      <x:c r="G1972" s="13" t="str">
        <x:v>grid_wekqfxnd.xlsx</x:v>
      </x:c>
    </x:row>
    <x:row r="1973">
      <x:c r="A1973" s="15" t="n">
        <x:v>41153</x:v>
      </x:c>
      <x:c r="B1973" s="13" t="str">
        <x:v>TEGRA INCORPORADORA SA</x:v>
      </x:c>
      <x:c r="C1973" s="16" t="n">
        <x:v>211.6405444822</x:v>
      </x:c>
      <x:c r="D1973" s="13" t="str">
        <x:v>Homebuilders</x:v>
      </x:c>
      <x:c r="E1973" s="13" t="str">
        <x:v>Real Estate</x:v>
      </x:c>
      <x:c r="F1973" s="13" t="str">
        <x:v>Early Cyclicals</x:v>
      </x:c>
      <x:c r="G1973" s="13" t="str">
        <x:v>grid_wekqfxnd.xlsx</x:v>
      </x:c>
    </x:row>
    <x:row r="1974">
      <x:c r="A1974" s="15" t="n">
        <x:v>41153</x:v>
      </x:c>
      <x:c r="B1974" s="13" t="str">
        <x:v>BR MALLS PARTICIPACOES SA</x:v>
      </x:c>
      <x:c r="C1974" s="16" t="n">
        <x:v>531.4847659836</x:v>
      </x:c>
      <x:c r="D1974" s="13" t="str">
        <x:v>Income Properties</x:v>
      </x:c>
      <x:c r="E1974" s="13" t="str">
        <x:v>Real Estate</x:v>
      </x:c>
      <x:c r="F1974" s="13" t="str">
        <x:v>Early Cyclicals</x:v>
      </x:c>
      <x:c r="G1974" s="13" t="str">
        <x:v>grid_wekqfxnd.xlsx</x:v>
      </x:c>
    </x:row>
    <x:row r="1975">
      <x:c r="A1975" s="15" t="n">
        <x:v>41153</x:v>
      </x:c>
      <x:c r="B1975" s="13" t="str">
        <x:v>BRADESPAR SA -PREF</x:v>
      </x:c>
      <x:c r="C1975" s="16" t="n">
        <x:v>1530.4344533918</x:v>
      </x:c>
      <x:c r="D1975" s="13" t="str">
        <x:v>Metals &amp; Mining</x:v>
      </x:c>
      <x:c r="E1975" s="13" t="str">
        <x:v>Metals &amp; Mining</x:v>
      </x:c>
      <x:c r="F1975" s="13" t="str">
        <x:v>Deep Cyclicals</x:v>
      </x:c>
      <x:c r="G1975" s="13" t="str">
        <x:v>grid_wekqfxnd.xlsx</x:v>
      </x:c>
    </x:row>
    <x:row r="1976">
      <x:c r="A1976" s="15" t="n">
        <x:v>41153</x:v>
      </x:c>
      <x:c r="B1976" s="13" t="str">
        <x:v>CIA SIDERURGICA NACIONAL SA</x:v>
      </x:c>
      <x:c r="C1976" s="16" t="n">
        <x:v>1327.1675472658</x:v>
      </x:c>
      <x:c r="D1976" s="13" t="str">
        <x:v>Metals &amp; Mining</x:v>
      </x:c>
      <x:c r="E1976" s="13" t="str">
        <x:v>Metals &amp; Mining</x:v>
      </x:c>
      <x:c r="F1976" s="13" t="str">
        <x:v>Deep Cyclicals</x:v>
      </x:c>
      <x:c r="G1976" s="13" t="str">
        <x:v>grid_wekqfxnd.xlsx</x:v>
      </x:c>
    </x:row>
    <x:row r="1977">
      <x:c r="A1977" s="15" t="n">
        <x:v>41153</x:v>
      </x:c>
      <x:c r="B1977" s="13" t="str">
        <x:v>GERDAU SA-PREF</x:v>
      </x:c>
      <x:c r="C1977" s="16" t="n">
        <x:v>2222.1393548274</x:v>
      </x:c>
      <x:c r="D1977" s="13" t="str">
        <x:v>Metals &amp; Mining</x:v>
      </x:c>
      <x:c r="E1977" s="13" t="str">
        <x:v>Metals &amp; Mining</x:v>
      </x:c>
      <x:c r="F1977" s="13" t="str">
        <x:v>Deep Cyclicals</x:v>
      </x:c>
      <x:c r="G1977" s="13" t="str">
        <x:v>grid_wekqfxnd.xlsx</x:v>
      </x:c>
    </x:row>
    <x:row r="1978">
      <x:c r="A1978" s="15" t="n">
        <x:v>41153</x:v>
      </x:c>
      <x:c r="B1978" s="13" t="str">
        <x:v>METALURGICA GERDAU SA-PREF</x:v>
      </x:c>
      <x:c r="C1978" s="16" t="n">
        <x:v>909.1464600548</x:v>
      </x:c>
      <x:c r="D1978" s="13" t="str">
        <x:v>Metals &amp; Mining</x:v>
      </x:c>
      <x:c r="E1978" s="13" t="str">
        <x:v>Metals &amp; Mining</x:v>
      </x:c>
      <x:c r="F1978" s="13" t="str">
        <x:v>Deep Cyclicals</x:v>
      </x:c>
      <x:c r="G1978" s="13" t="str">
        <x:v>grid_wekqfxnd.xlsx</x:v>
      </x:c>
    </x:row>
    <x:row r="1979">
      <x:c r="A1979" s="15" t="n">
        <x:v>41153</x:v>
      </x:c>
      <x:c r="B1979" s="13" t="str">
        <x:v>MMX MINERACAO E METALICOS SA</x:v>
      </x:c>
      <x:c r="C1979" s="16" t="n">
        <x:v>1.8363013699</x:v>
      </x:c>
      <x:c r="D1979" s="13" t="str">
        <x:v>Metals &amp; Mining</x:v>
      </x:c>
      <x:c r="E1979" s="13" t="str">
        <x:v>Metals &amp; Mining</x:v>
      </x:c>
      <x:c r="F1979" s="13" t="str">
        <x:v>Deep Cyclicals</x:v>
      </x:c>
      <x:c r="G1979" s="13" t="str">
        <x:v>grid_wekqfxnd.xlsx</x:v>
      </x:c>
    </x:row>
    <x:row r="1980">
      <x:c r="A1980" s="15" t="n">
        <x:v>41153</x:v>
      </x:c>
      <x:c r="B1980" s="13" t="str">
        <x:v>USINAS SIDER MINAS GER-PF A</x:v>
      </x:c>
      <x:c r="C1980" s="16" t="n">
        <x:v>260.1615232877</x:v>
      </x:c>
      <x:c r="D1980" s="13" t="str">
        <x:v>Metals &amp; Mining</x:v>
      </x:c>
      <x:c r="E1980" s="13" t="str">
        <x:v>Metals &amp; Mining</x:v>
      </x:c>
      <x:c r="F1980" s="13" t="str">
        <x:v>Deep Cyclicals</x:v>
      </x:c>
      <x:c r="G1980" s="13" t="str">
        <x:v>grid_wekqfxnd.xlsx</x:v>
      </x:c>
    </x:row>
    <x:row r="1981">
      <x:c r="A1981" s="15" t="n">
        <x:v>41153</x:v>
      </x:c>
      <x:c r="B1981" s="13" t="str">
        <x:v>USINAS SIDERURGICAS DE MINAS</x:v>
      </x:c>
      <x:c r="C1981" s="16" t="n">
        <x:v>260.1615232877</x:v>
      </x:c>
      <x:c r="D1981" s="13" t="str">
        <x:v>Metals &amp; Mining</x:v>
      </x:c>
      <x:c r="E1981" s="13" t="str">
        <x:v>Metals &amp; Mining</x:v>
      </x:c>
      <x:c r="F1981" s="13" t="str">
        <x:v>Deep Cyclicals</x:v>
      </x:c>
      <x:c r="G1981" s="13" t="str">
        <x:v>grid_wekqfxnd.xlsx</x:v>
      </x:c>
    </x:row>
    <x:row r="1982">
      <x:c r="A1982" s="15" t="n">
        <x:v>41153</x:v>
      </x:c>
      <x:c r="B1982" s="13" t="str">
        <x:v>VALE SA</x:v>
      </x:c>
      <x:c r="C1982" s="16" t="n">
        <x:v>26637.2459309589</x:v>
      </x:c>
      <x:c r="D1982" s="13" t="str">
        <x:v>Metals &amp; Mining</x:v>
      </x:c>
      <x:c r="E1982" s="13" t="str">
        <x:v>Metals &amp; Mining</x:v>
      </x:c>
      <x:c r="F1982" s="13" t="str">
        <x:v>Deep Cyclicals</x:v>
      </x:c>
      <x:c r="G1982" s="13" t="str">
        <x:v>grid_wekqfxnd.xlsx</x:v>
      </x:c>
    </x:row>
    <x:row r="1983">
      <x:c r="A1983" s="15" t="n">
        <x:v>41153</x:v>
      </x:c>
      <x:c r="B1983" s="13" t="str">
        <x:v>BRASKEM SA-PREF A</x:v>
      </x:c>
      <x:c r="C1983" s="16" t="n">
        <x:v>405.1431694027</x:v>
      </x:c>
      <x:c r="D1983" s="13" t="str">
        <x:v>Oil, Gas &amp; Petrochemicals</x:v>
      </x:c>
      <x:c r="E1983" s="13" t="str">
        <x:v>Oil, Gas &amp; Petrochemicals</x:v>
      </x:c>
      <x:c r="F1983" s="13" t="str">
        <x:v>Deep Cyclicals</x:v>
      </x:c>
      <x:c r="G1983" s="13" t="str">
        <x:v>grid_wekqfxnd.xlsx</x:v>
      </x:c>
    </x:row>
    <x:row r="1984">
      <x:c r="A1984" s="15" t="n">
        <x:v>41153</x:v>
      </x:c>
      <x:c r="B1984" s="13" t="str">
        <x:v>OLEO E GAS PARTICIPACOES SA</x:v>
      </x:c>
      <x:c r="C1984" s="16" t="n">
        <x:v>-247.889860274</x:v>
      </x:c>
      <x:c r="D1984" s="13" t="str">
        <x:v>Oil, Gas &amp; Petrochemicals</x:v>
      </x:c>
      <x:c r="E1984" s="13" t="str">
        <x:v>Oil, Gas &amp; Petrochemicals</x:v>
      </x:c>
      <x:c r="F1984" s="13" t="str">
        <x:v>Deep Cyclicals</x:v>
      </x:c>
      <x:c r="G1984" s="13" t="str">
        <x:v>grid_wekqfxnd.xlsx</x:v>
      </x:c>
    </x:row>
    <x:row r="1985">
      <x:c r="A1985" s="15" t="n">
        <x:v>41153</x:v>
      </x:c>
      <x:c r="B1985" s="13" t="str">
        <x:v>PETROBRAS - PETROLEO BRAS</x:v>
      </x:c>
      <x:c r="C1985" s="16" t="n">
        <x:v>34720.848146937</x:v>
      </x:c>
      <x:c r="D1985" s="13" t="str">
        <x:v>Oil, Gas &amp; Petrochemicals</x:v>
      </x:c>
      <x:c r="E1985" s="13" t="str">
        <x:v>Oil, Gas &amp; Petrochemicals</x:v>
      </x:c>
      <x:c r="F1985" s="13" t="str">
        <x:v>Deep Cyclicals</x:v>
      </x:c>
      <x:c r="G1985" s="13" t="str">
        <x:v>grid_wekqfxnd.xlsx</x:v>
      </x:c>
    </x:row>
    <x:row r="1986">
      <x:c r="A1986" s="15" t="n">
        <x:v>41153</x:v>
      </x:c>
      <x:c r="B1986" s="13" t="str">
        <x:v>ULTRAPAR PARTICIPACOES SA</x:v>
      </x:c>
      <x:c r="C1986" s="16" t="n">
        <x:v>1117.1457616657</x:v>
      </x:c>
      <x:c r="D1986" s="13" t="str">
        <x:v>Oil, Gas &amp; Petrochemicals</x:v>
      </x:c>
      <x:c r="E1986" s="13" t="str">
        <x:v>Oil, Gas &amp; Petrochemicals</x:v>
      </x:c>
      <x:c r="F1986" s="13" t="str">
        <x:v>Deep Cyclicals</x:v>
      </x:c>
      <x:c r="G1986" s="13" t="str">
        <x:v>grid_wekqfxnd.xlsx</x:v>
      </x:c>
    </x:row>
    <x:row r="1987">
      <x:c r="A1987" s="15" t="n">
        <x:v>41153</x:v>
      </x:c>
      <x:c r="B1987" s="13" t="str">
        <x:v>DEXCO SA</x:v>
      </x:c>
      <x:c r="C1987" s="16" t="n">
        <x:v>432.5756995507</x:v>
      </x:c>
      <x:c r="D1987" s="13" t="str">
        <x:v>Pulp &amp; Paper</x:v>
      </x:c>
      <x:c r="E1987" s="13" t="str">
        <x:v>Pulp &amp; Paper</x:v>
      </x:c>
      <x:c r="F1987" s="13" t="str">
        <x:v>Deep Cyclicals</x:v>
      </x:c>
      <x:c r="G1987" s="13" t="str">
        <x:v>grid_wekqfxnd.xlsx</x:v>
      </x:c>
    </x:row>
    <x:row r="1988">
      <x:c r="A1988" s="15" t="n">
        <x:v>41153</x:v>
      </x:c>
      <x:c r="B1988" s="13" t="str">
        <x:v>FIBRIA CELULOSE S/A</x:v>
      </x:c>
      <x:c r="C1988" s="16" t="n">
        <x:v>14.4742084384</x:v>
      </x:c>
      <x:c r="D1988" s="13" t="str">
        <x:v>Pulp &amp; Paper</x:v>
      </x:c>
      <x:c r="E1988" s="13" t="str">
        <x:v>Pulp &amp; Paper</x:v>
      </x:c>
      <x:c r="F1988" s="13" t="str">
        <x:v>Deep Cyclicals</x:v>
      </x:c>
      <x:c r="G1988" s="13" t="str">
        <x:v>grid_wekqfxnd.xlsx</x:v>
      </x:c>
    </x:row>
    <x:row r="1989">
      <x:c r="A1989" s="15" t="n">
        <x:v>41153</x:v>
      </x:c>
      <x:c r="B1989" s="13" t="str">
        <x:v>SUZANO PAPEL E CELULO-PREF A</x:v>
      </x:c>
      <x:c r="C1989" s="16" t="n">
        <x:v>9.096807189</x:v>
      </x:c>
      <x:c r="D1989" s="13" t="str">
        <x:v>Pulp &amp; Paper</x:v>
      </x:c>
      <x:c r="E1989" s="13" t="str">
        <x:v>Pulp &amp; Paper</x:v>
      </x:c>
      <x:c r="F1989" s="13" t="str">
        <x:v>Deep Cyclicals</x:v>
      </x:c>
      <x:c r="G1989" s="13" t="str">
        <x:v>grid_wekqfxnd.xlsx</x:v>
      </x:c>
    </x:row>
    <x:row r="1990">
      <x:c r="A1990" s="15" t="n">
        <x:v>41153</x:v>
      </x:c>
      <x:c r="B1990" s="13" t="str">
        <x:v>AMERICANAS SA</x:v>
      </x:c>
      <x:c r="C1990" s="16" t="n">
        <x:v>-28.0272876712</x:v>
      </x:c>
      <x:c r="D1990" s="13" t="str">
        <x:v>Retail</x:v>
      </x:c>
      <x:c r="E1990" s="13" t="str">
        <x:v>Retail</x:v>
      </x:c>
      <x:c r="F1990" s="13" t="str">
        <x:v>Early Cyclicals</x:v>
      </x:c>
      <x:c r="G1990" s="13" t="str">
        <x:v>grid_wekqfxnd.xlsx</x:v>
      </x:c>
    </x:row>
    <x:row r="1991">
      <x:c r="A1991" s="15" t="n">
        <x:v>41153</x:v>
      </x:c>
      <x:c r="B1991" s="13" t="str">
        <x:v>CIA BRASILEIRA DE DIS-PREF</x:v>
      </x:c>
      <x:c r="C1991" s="16" t="n">
        <x:v>1188.3594748493</x:v>
      </x:c>
      <x:c r="D1991" s="13" t="str">
        <x:v>Retail</x:v>
      </x:c>
      <x:c r="E1991" s="13" t="str">
        <x:v>Retail</x:v>
      </x:c>
      <x:c r="F1991" s="13" t="str">
        <x:v>Early Cyclicals</x:v>
      </x:c>
      <x:c r="G1991" s="13" t="str">
        <x:v>grid_wekqfxnd.xlsx</x:v>
      </x:c>
    </x:row>
    <x:row r="1992">
      <x:c r="A1992" s="15" t="n">
        <x:v>41153</x:v>
      </x:c>
      <x:c r="B1992" s="13" t="str">
        <x:v>CIA HERING</x:v>
      </x:c>
      <x:c r="C1992" s="16" t="n">
        <x:v>385.8855815014</x:v>
      </x:c>
      <x:c r="D1992" s="13" t="str">
        <x:v>Retail</x:v>
      </x:c>
      <x:c r="E1992" s="13" t="str">
        <x:v>Retail</x:v>
      </x:c>
      <x:c r="F1992" s="13" t="str">
        <x:v>Early Cyclicals</x:v>
      </x:c>
      <x:c r="G1992" s="13" t="str">
        <x:v>grid_wekqfxnd.xlsx</x:v>
      </x:c>
    </x:row>
    <x:row r="1993">
      <x:c r="A1993" s="15" t="n">
        <x:v>41153</x:v>
      </x:c>
      <x:c r="B1993" s="13" t="str">
        <x:v>LOJAS AMERICANAS SA-PREF</x:v>
      </x:c>
      <x:c r="C1993" s="16" t="n">
        <x:v>523.5809504438</x:v>
      </x:c>
      <x:c r="D1993" s="13" t="str">
        <x:v>Retail</x:v>
      </x:c>
      <x:c r="E1993" s="13" t="str">
        <x:v>Retail</x:v>
      </x:c>
      <x:c r="F1993" s="13" t="str">
        <x:v>Early Cyclicals</x:v>
      </x:c>
      <x:c r="G1993" s="13" t="str">
        <x:v>grid_wekqfxnd.xlsx</x:v>
      </x:c>
    </x:row>
    <x:row r="1994">
      <x:c r="A1994" s="15" t="n">
        <x:v>41153</x:v>
      </x:c>
      <x:c r="B1994" s="13" t="str">
        <x:v>LOJAS RENNER S.A.</x:v>
      </x:c>
      <x:c r="C1994" s="16" t="n">
        <x:v>417.552831737</x:v>
      </x:c>
      <x:c r="D1994" s="13" t="str">
        <x:v>Retail</x:v>
      </x:c>
      <x:c r="E1994" s="13" t="str">
        <x:v>Retail</x:v>
      </x:c>
      <x:c r="F1994" s="13" t="str">
        <x:v>Early Cyclicals</x:v>
      </x:c>
      <x:c r="G1994" s="13" t="str">
        <x:v>grid_wekqfxnd.xlsx</x:v>
      </x:c>
    </x:row>
    <x:row r="1995">
      <x:c r="A1995" s="15" t="n">
        <x:v>41153</x:v>
      </x:c>
      <x:c r="B1995" s="13" t="str">
        <x:v>NATURA COSMETICOS SA</x:v>
      </x:c>
      <x:c r="C1995" s="16" t="n">
        <x:v>985.2275703233</x:v>
      </x:c>
      <x:c r="D1995" s="13" t="str">
        <x:v>Retail</x:v>
      </x:c>
      <x:c r="E1995" s="13" t="str">
        <x:v>Retail</x:v>
      </x:c>
      <x:c r="F1995" s="13" t="str">
        <x:v>Early Cyclicals</x:v>
      </x:c>
      <x:c r="G1995" s="13" t="str">
        <x:v>grid_wekqfxnd.xlsx</x:v>
      </x:c>
    </x:row>
    <x:row r="1996">
      <x:c r="A1996" s="15" t="n">
        <x:v>41153</x:v>
      </x:c>
      <x:c r="B1996" s="13" t="str">
        <x:v>CIA SANEAMENTO BASICO DE SP</x:v>
      </x:c>
      <x:c r="C1996" s="16" t="n">
        <x:v>1786.5876360767</x:v>
      </x:c>
      <x:c r="D1996" s="13" t="str">
        <x:v>Sanitation</x:v>
      </x:c>
      <x:c r="E1996" s="13" t="str">
        <x:v>Utilities</x:v>
      </x:c>
      <x:c r="F1996" s="13" t="str">
        <x:v>Defensives</x:v>
      </x:c>
      <x:c r="G1996" s="13" t="str">
        <x:v>grid_wekqfxnd.xlsx</x:v>
      </x:c>
    </x:row>
    <x:row r="1997">
      <x:c r="A1997" s="15" t="n">
        <x:v>41153</x:v>
      </x:c>
      <x:c r="B1997" s="13" t="str">
        <x:v>OI S.A.</x:v>
      </x:c>
      <x:c r="C1997" s="16" t="n">
        <x:v>644.3345776219</x:v>
      </x:c>
      <x:c r="D1997" s="13" t="str">
        <x:v>TMT</x:v>
      </x:c>
      <x:c r="E1997" s="13" t="str">
        <x:v>TMT</x:v>
      </x:c>
      <x:c r="F1997" s="13" t="str">
        <x:v>Early Cyclicals</x:v>
      </x:c>
      <x:c r="G1997" s="13" t="str">
        <x:v>grid_wekqfxnd.xlsx</x:v>
      </x:c>
    </x:row>
    <x:row r="1998">
      <x:c r="A1998" s="15" t="n">
        <x:v>41153</x:v>
      </x:c>
      <x:c r="B1998" s="13" t="str">
        <x:v>OI SA-PREFERENCE</x:v>
      </x:c>
      <x:c r="C1998" s="16" t="n">
        <x:v>644.3345776219</x:v>
      </x:c>
      <x:c r="D1998" s="13" t="str">
        <x:v>TMT</x:v>
      </x:c>
      <x:c r="E1998" s="13" t="str">
        <x:v>TMT</x:v>
      </x:c>
      <x:c r="F1998" s="13" t="str">
        <x:v>Early Cyclicals</x:v>
      </x:c>
      <x:c r="G1998" s="13" t="str">
        <x:v>grid_wekqfxnd.xlsx</x:v>
      </x:c>
    </x:row>
    <x:row r="1999">
      <x:c r="A1999" s="15" t="n">
        <x:v>41153</x:v>
      </x:c>
      <x:c r="B1999" s="13" t="str">
        <x:v>TELEFONICA BRASIL S.A.-PREF</x:v>
      </x:c>
      <x:c r="C1999" s="16" t="n">
        <x:v>4935.5930357479</x:v>
      </x:c>
      <x:c r="D1999" s="13" t="str">
        <x:v>TMT</x:v>
      </x:c>
      <x:c r="E1999" s="13" t="str">
        <x:v>TMT</x:v>
      </x:c>
      <x:c r="F1999" s="13" t="str">
        <x:v>Early Cyclicals</x:v>
      </x:c>
      <x:c r="G1999" s="13" t="str">
        <x:v>grid_wekqfxnd.xlsx</x:v>
      </x:c>
    </x:row>
    <x:row r="2000">
      <x:c r="A2000" s="15" t="n">
        <x:v>41153</x:v>
      </x:c>
      <x:c r="B2000" s="13" t="str">
        <x:v>TIM SA</x:v>
      </x:c>
      <x:c r="C2000" s="16" t="n">
        <x:v>1641.9854784877</x:v>
      </x:c>
      <x:c r="D2000" s="13" t="str">
        <x:v>TMT</x:v>
      </x:c>
      <x:c r="E2000" s="13" t="str">
        <x:v>TMT</x:v>
      </x:c>
      <x:c r="F2000" s="13" t="str">
        <x:v>Early Cyclicals</x:v>
      </x:c>
      <x:c r="G2000" s="13" t="str">
        <x:v>grid_wekqfxnd.xlsx</x:v>
      </x:c>
    </x:row>
    <x:row r="2001">
      <x:c r="A2001" s="15" t="n">
        <x:v>41153</x:v>
      </x:c>
      <x:c r="B2001" s="13" t="str">
        <x:v>GOL LINHAS AEREAS INT SA-PRE</x:v>
      </x:c>
      <x:c r="C2001" s="16" t="n">
        <x:v>-105.843879737</x:v>
      </x:c>
      <x:c r="D2001" s="13" t="str">
        <x:v>Transportation</x:v>
      </x:c>
      <x:c r="E2001" s="13" t="str">
        <x:v>Transportation</x:v>
      </x:c>
      <x:c r="F2001" s="13" t="str">
        <x:v>Deep Cyclicals</x:v>
      </x:c>
      <x:c r="G2001" s="13" t="str">
        <x:v>grid_wekqfxnd.xlsx</x:v>
      </x:c>
    </x:row>
    <x:row r="2002">
      <x:c r="A2002" s="15" t="n">
        <x:v>41153</x:v>
      </x:c>
      <x:c r="B2002" s="13" t="str">
        <x:v>LOCALIZA RENT A CAR</x:v>
      </x:c>
      <x:c r="C2002" s="16" t="n">
        <x:v>367.9960415562</x:v>
      </x:c>
      <x:c r="D2002" s="13" t="str">
        <x:v>Transportation</x:v>
      </x:c>
      <x:c r="E2002" s="13" t="str">
        <x:v>Transportation</x:v>
      </x:c>
      <x:c r="F2002" s="13" t="str">
        <x:v>Deep Cyclicals</x:v>
      </x:c>
      <x:c r="G2002" s="13" t="str">
        <x:v>grid_wekqfxnd.xlsx</x:v>
      </x:c>
    </x:row>
    <x:row r="2003">
      <x:c r="A2003" s="15" t="n">
        <x:v>41153</x:v>
      </x:c>
      <x:c r="B2003" s="13" t="str">
        <x:v>MOTIVA INFRAESTRUTURA DE MOB</x:v>
      </x:c>
      <x:c r="C2003" s="16" t="n">
        <x:v>1458.4386374137</x:v>
      </x:c>
      <x:c r="D2003" s="13" t="str">
        <x:v>Transportation</x:v>
      </x:c>
      <x:c r="E2003" s="13" t="str">
        <x:v>Transportation</x:v>
      </x:c>
      <x:c r="F2003" s="13" t="str">
        <x:v>Deep Cyclicals</x:v>
      </x:c>
      <x:c r="G2003" s="13" t="str">
        <x:v>grid_wekqfxnd.xlsx</x:v>
      </x:c>
    </x:row>
    <x:row r="2004">
      <x:c r="A2004" s="15" t="n">
        <x:v>41153</x:v>
      </x:c>
      <x:c r="B2004" s="13" t="str">
        <x:v>PRUMO LOGISTICA SA</x:v>
      </x:c>
      <x:c r="C2004" s="16" t="n">
        <x:v>-70.1941534247</x:v>
      </x:c>
      <x:c r="D2004" s="13" t="str">
        <x:v>Transportation</x:v>
      </x:c>
      <x:c r="E2004" s="13" t="str">
        <x:v>Transportation</x:v>
      </x:c>
      <x:c r="F2004" s="13" t="str">
        <x:v>Deep Cyclicals</x:v>
      </x:c>
      <x:c r="G2004" s="13" t="str">
        <x:v>grid_wekqfxnd.xlsx</x:v>
      </x:c>
    </x:row>
    <x:row r="2005">
      <x:c r="A2005" s="15" t="n">
        <x:v>41153</x:v>
      </x:c>
      <x:c r="B2005" s="13" t="str">
        <x:v>RUMO SA</x:v>
      </x:c>
      <x:c r="C2005" s="16" t="n">
        <x:v>335.4062356164</x:v>
      </x:c>
      <x:c r="D2005" s="13" t="str">
        <x:v>Transportation</x:v>
      </x:c>
      <x:c r="E2005" s="13" t="str">
        <x:v>Transportation</x:v>
      </x:c>
      <x:c r="F2005" s="13" t="str">
        <x:v>Deep Cyclicals</x:v>
      </x:c>
      <x:c r="G2005" s="13" t="str">
        <x:v>grid_wekqfxnd.xlsx</x:v>
      </x:c>
    </x:row>
    <x:row r="2006">
      <x:c r="A2006" s="15" t="n">
        <x:v>41153</x:v>
      </x:c>
      <x:c r="B2006" s="13" t="str">
        <x:v>AXIA ENERGIA SA</x:v>
      </x:c>
      <x:c r="C2006" s="16" t="n">
        <x:v>4482.4376923178</x:v>
      </x:c>
      <x:c r="D2006" s="13" t="str">
        <x:v>Utilities &amp; Energy</x:v>
      </x:c>
      <x:c r="E2006" s="13" t="str">
        <x:v>Utilities</x:v>
      </x:c>
      <x:c r="F2006" s="13" t="str">
        <x:v>Defensives</x:v>
      </x:c>
      <x:c r="G2006" s="13" t="str">
        <x:v>grid_wekqfxnd.xlsx</x:v>
      </x:c>
    </x:row>
    <x:row r="2007">
      <x:c r="A2007" s="15" t="n">
        <x:v>41153</x:v>
      </x:c>
      <x:c r="B2007" s="13" t="str">
        <x:v>AXIA ENERGIA-PR B</x:v>
      </x:c>
      <x:c r="C2007" s="16" t="n">
        <x:v>4482.4376923178</x:v>
      </x:c>
      <x:c r="D2007" s="13" t="str">
        <x:v>Utilities &amp; Energy</x:v>
      </x:c>
      <x:c r="E2007" s="13" t="str">
        <x:v>Utilities</x:v>
      </x:c>
      <x:c r="F2007" s="13" t="str">
        <x:v>Defensives</x:v>
      </x:c>
      <x:c r="G2007" s="13" t="str">
        <x:v>grid_wekqfxnd.xlsx</x:v>
      </x:c>
    </x:row>
    <x:row r="2008">
      <x:c r="A2008" s="15" t="n">
        <x:v>41153</x:v>
      </x:c>
      <x:c r="B2008" s="13" t="str">
        <x:v>CESP - CIA ENERGETICA DE SAO</x:v>
      </x:c>
      <x:c r="C2008" s="16" t="n">
        <x:v>614.1574038795</x:v>
      </x:c>
      <x:c r="D2008" s="13" t="str">
        <x:v>Utilities &amp; Energy</x:v>
      </x:c>
      <x:c r="E2008" s="13" t="str">
        <x:v>Utilities</x:v>
      </x:c>
      <x:c r="F2008" s="13" t="str">
        <x:v>Defensives</x:v>
      </x:c>
      <x:c r="G2008" s="13" t="str">
        <x:v>grid_wekqfxnd.xlsx</x:v>
      </x:c>
    </x:row>
    <x:row r="2009">
      <x:c r="A2009" s="15" t="n">
        <x:v>41153</x:v>
      </x:c>
      <x:c r="B2009" s="13" t="str">
        <x:v>CIA ENERGETICA MINAS GER-PRF</x:v>
      </x:c>
      <x:c r="C2009" s="16" t="n">
        <x:v>2792.564563463</x:v>
      </x:c>
      <x:c r="D2009" s="13" t="str">
        <x:v>Utilities &amp; Energy</x:v>
      </x:c>
      <x:c r="E2009" s="13" t="str">
        <x:v>Utilities</x:v>
      </x:c>
      <x:c r="F2009" s="13" t="str">
        <x:v>Defensives</x:v>
      </x:c>
      <x:c r="G2009" s="13" t="str">
        <x:v>grid_wekqfxnd.xlsx</x:v>
      </x:c>
    </x:row>
    <x:row r="2010">
      <x:c r="A2010" s="15" t="n">
        <x:v>41153</x:v>
      </x:c>
      <x:c r="B2010" s="13" t="str">
        <x:v>COMPANHIA PARANAENSE -PREF B</x:v>
      </x:c>
      <x:c r="C2010" s="16" t="n">
        <x:v>1096.1854639343</x:v>
      </x:c>
      <x:c r="D2010" s="13" t="str">
        <x:v>Utilities &amp; Energy</x:v>
      </x:c>
      <x:c r="E2010" s="13" t="str">
        <x:v>Utilities</x:v>
      </x:c>
      <x:c r="F2010" s="13" t="str">
        <x:v>Defensives</x:v>
      </x:c>
      <x:c r="G2010" s="13" t="str">
        <x:v>grid_wekqfxnd.xlsx</x:v>
      </x:c>
    </x:row>
    <x:row r="2011">
      <x:c r="A2011" s="15" t="n">
        <x:v>41153</x:v>
      </x:c>
      <x:c r="B2011" s="13" t="str">
        <x:v>CPFL ENERGIA SA</x:v>
      </x:c>
      <x:c r="C2011" s="16" t="n">
        <x:v>1365.0892365151</x:v>
      </x:c>
      <x:c r="D2011" s="13" t="str">
        <x:v>Utilities &amp; Energy</x:v>
      </x:c>
      <x:c r="E2011" s="13" t="str">
        <x:v>Utilities</x:v>
      </x:c>
      <x:c r="F2011" s="13" t="str">
        <x:v>Defensives</x:v>
      </x:c>
      <x:c r="G2011" s="13" t="str">
        <x:v>grid_wekqfxnd.xlsx</x:v>
      </x:c>
    </x:row>
    <x:row r="2012">
      <x:c r="A2012" s="15" t="n">
        <x:v>41153</x:v>
      </x:c>
      <x:c r="B2012" s="13" t="str">
        <x:v>ELETROPAULO METROPOLI-PREF</x:v>
      </x:c>
      <x:c r="C2012" s="16" t="n">
        <x:v>223.3115212274</x:v>
      </x:c>
      <x:c r="D2012" s="13" t="str">
        <x:v>Utilities &amp; Energy</x:v>
      </x:c>
      <x:c r="E2012" s="13" t="str">
        <x:v>Utilities</x:v>
      </x:c>
      <x:c r="F2012" s="13" t="str">
        <x:v>Defensives</x:v>
      </x:c>
      <x:c r="G2012" s="13" t="str">
        <x:v>grid_wekqfxnd.xlsx</x:v>
      </x:c>
    </x:row>
    <x:row r="2013">
      <x:c r="A2013" s="15" t="n">
        <x:v>41153</x:v>
      </x:c>
      <x:c r="B2013" s="13" t="str">
        <x:v>ISA ENERGIA BRASIL SA</x:v>
      </x:c>
      <x:c r="C2013" s="16" t="n">
        <x:v>737.1149089315</x:v>
      </x:c>
      <x:c r="D2013" s="13" t="str">
        <x:v>Utilities &amp; Energy</x:v>
      </x:c>
      <x:c r="E2013" s="13" t="str">
        <x:v>Utilities</x:v>
      </x:c>
      <x:c r="F2013" s="13" t="str">
        <x:v>Defensives</x:v>
      </x:c>
      <x:c r="G2013" s="13" t="str">
        <x:v>grid_wekqfxnd.xlsx</x:v>
      </x:c>
    </x:row>
    <x:row r="2014">
      <x:c r="A2014" s="15" t="n">
        <x:v>41153</x:v>
      </x:c>
      <x:c r="B2014" s="13" t="str">
        <x:v>LIGHT SA</x:v>
      </x:c>
      <x:c r="C2014" s="16" t="n">
        <x:v>513.1548273973</x:v>
      </x:c>
      <x:c r="D2014" s="13" t="str">
        <x:v>Utilities &amp; Energy</x:v>
      </x:c>
      <x:c r="E2014" s="13" t="str">
        <x:v>Utilities</x:v>
      </x:c>
      <x:c r="F2014" s="13" t="str">
        <x:v>Defensives</x:v>
      </x:c>
      <x:c r="G2014" s="13" t="str">
        <x:v>grid_wekqfxnd.xlsx</x:v>
      </x:c>
    </x:row>
    <x:row r="2015">
      <x:c r="A2015" s="15" t="n">
        <x:v>41183</x:v>
      </x:c>
      <x:c r="B2015" s="13" t="str">
        <x:v>BANCO BRADESCO SA-PREF</x:v>
      </x:c>
      <x:c r="C2015" s="16" t="n">
        <x:v>12773.2379648</x:v>
      </x:c>
      <x:c r="D2015" s="13" t="str">
        <x:v>Banks</x:v>
      </x:c>
      <x:c r="E2015" s="13" t="str">
        <x:v>Banks</x:v>
      </x:c>
      <x:c r="F2015" s="13" t="str">
        <x:v>Financials</x:v>
      </x:c>
      <x:c r="G2015" s="13" t="str">
        <x:v>grid_wekqfxnd.xlsx</x:v>
      </x:c>
    </x:row>
    <x:row r="2016">
      <x:c r="A2016" s="15" t="n">
        <x:v>41183</x:v>
      </x:c>
      <x:c r="B2016" s="13" t="str">
        <x:v>BANCO DO BRASIL S.A.</x:v>
      </x:c>
      <x:c r="C2016" s="16" t="n">
        <x:v>11315.7743714192</x:v>
      </x:c>
      <x:c r="D2016" s="13" t="str">
        <x:v>Banks</x:v>
      </x:c>
      <x:c r="E2016" s="13" t="str">
        <x:v>Banks</x:v>
      </x:c>
      <x:c r="F2016" s="13" t="str">
        <x:v>Financials</x:v>
      </x:c>
      <x:c r="G2016" s="13" t="str">
        <x:v>grid_wekqfxnd.xlsx</x:v>
      </x:c>
    </x:row>
    <x:row r="2017">
      <x:c r="A2017" s="15" t="n">
        <x:v>41183</x:v>
      </x:c>
      <x:c r="B2017" s="13" t="str">
        <x:v>BANCO SANTANDER  BRASIL-UNIT</x:v>
      </x:c>
      <x:c r="C2017" s="16" t="n">
        <x:v>6672.1689319452</x:v>
      </x:c>
      <x:c r="D2017" s="13" t="str">
        <x:v>Banks</x:v>
      </x:c>
      <x:c r="E2017" s="13" t="str">
        <x:v>Banks</x:v>
      </x:c>
      <x:c r="F2017" s="13" t="str">
        <x:v>Financials</x:v>
      </x:c>
      <x:c r="G2017" s="13" t="str">
        <x:v>grid_wekqfxnd.xlsx</x:v>
      </x:c>
    </x:row>
    <x:row r="2018">
      <x:c r="A2018" s="15" t="n">
        <x:v>41183</x:v>
      </x:c>
      <x:c r="B2018" s="13" t="str">
        <x:v>ITAU UNIBANCO HOLDING S-PREF</x:v>
      </x:c>
      <x:c r="C2018" s="16" t="n">
        <x:v>15913.2613197151</x:v>
      </x:c>
      <x:c r="D2018" s="13" t="str">
        <x:v>Banks</x:v>
      </x:c>
      <x:c r="E2018" s="13" t="str">
        <x:v>Banks</x:v>
      </x:c>
      <x:c r="F2018" s="13" t="str">
        <x:v>Financials</x:v>
      </x:c>
      <x:c r="G2018" s="13" t="str">
        <x:v>grid_wekqfxnd.xlsx</x:v>
      </x:c>
    </x:row>
    <x:row r="2019">
      <x:c r="A2019" s="15" t="n">
        <x:v>41183</x:v>
      </x:c>
      <x:c r="B2019" s="13" t="str">
        <x:v>EMBRAER SA</x:v>
      </x:c>
      <x:c r="C2019" s="16" t="n">
        <x:v>997.3926952329</x:v>
      </x:c>
      <x:c r="D2019" s="13" t="str">
        <x:v>Capital Goods</x:v>
      </x:c>
      <x:c r="E2019" s="13" t="str">
        <x:v>Capital Goods</x:v>
      </x:c>
      <x:c r="F2019" s="13" t="str">
        <x:v>Deep Cyclicals</x:v>
      </x:c>
      <x:c r="G2019" s="13" t="str">
        <x:v>grid_wekqfxnd.xlsx</x:v>
      </x:c>
    </x:row>
    <x:row r="2020">
      <x:c r="A2020" s="15" t="n">
        <x:v>41183</x:v>
      </x:c>
      <x:c r="B2020" s="13" t="str">
        <x:v>B3 SA-BRASIL BOLSA BALCAO</x:v>
      </x:c>
      <x:c r="C2020" s="16" t="n">
        <x:v>1564.4329710466</x:v>
      </x:c>
      <x:c r="D2020" s="13" t="str">
        <x:v>Financials Non-Banks</x:v>
      </x:c>
      <x:c r="E2020" s="13" t="str">
        <x:v>Financials Non-Banks</x:v>
      </x:c>
      <x:c r="F2020" s="13" t="str">
        <x:v>Financials</x:v>
      </x:c>
      <x:c r="G2020" s="13" t="str">
        <x:v>grid_wekqfxnd.xlsx</x:v>
      </x:c>
    </x:row>
    <x:row r="2021">
      <x:c r="A2021" s="15" t="n">
        <x:v>41183</x:v>
      </x:c>
      <x:c r="B2021" s="13" t="str">
        <x:v>CETIP SA-MERCADOS ORGANIZADO</x:v>
      </x:c>
      <x:c r="C2021" s="16" t="n">
        <x:v>413.1999442411</x:v>
      </x:c>
      <x:c r="D2021" s="13" t="str">
        <x:v>Financials Non-Banks</x:v>
      </x:c>
      <x:c r="E2021" s="13" t="str">
        <x:v>Financials Non-Banks</x:v>
      </x:c>
      <x:c r="F2021" s="13" t="str">
        <x:v>Financials</x:v>
      </x:c>
      <x:c r="G2021" s="13" t="str">
        <x:v>grid_wekqfxnd.xlsx</x:v>
      </x:c>
    </x:row>
    <x:row r="2022">
      <x:c r="A2022" s="15" t="n">
        <x:v>41183</x:v>
      </x:c>
      <x:c r="B2022" s="13" t="str">
        <x:v>CIELO SA - INSTITUICAO DE PA</x:v>
      </x:c>
      <x:c r="C2022" s="16" t="n">
        <x:v>2496.5018455671</x:v>
      </x:c>
      <x:c r="D2022" s="13" t="str">
        <x:v>Financials Non-Banks</x:v>
      </x:c>
      <x:c r="E2022" s="13" t="str">
        <x:v>Financials Non-Banks</x:v>
      </x:c>
      <x:c r="F2022" s="13" t="str">
        <x:v>Financials</x:v>
      </x:c>
      <x:c r="G2022" s="13" t="str">
        <x:v>grid_wekqfxnd.xlsx</x:v>
      </x:c>
    </x:row>
    <x:row r="2023">
      <x:c r="A2023" s="15" t="n">
        <x:v>41183</x:v>
      </x:c>
      <x:c r="B2023" s="13" t="str">
        <x:v>ITAUSA SA</x:v>
      </x:c>
      <x:c r="C2023" s="16" t="n">
        <x:v>5241.3136026301</x:v>
      </x:c>
      <x:c r="D2023" s="13" t="str">
        <x:v>Financials Non-Banks</x:v>
      </x:c>
      <x:c r="E2023" s="13" t="str">
        <x:v>Financials Non-Banks</x:v>
      </x:c>
      <x:c r="F2023" s="13" t="str">
        <x:v>Financials</x:v>
      </x:c>
      <x:c r="G2023" s="13" t="str">
        <x:v>grid_wekqfxnd.xlsx</x:v>
      </x:c>
    </x:row>
    <x:row r="2024">
      <x:c r="A2024" s="15" t="n">
        <x:v>41183</x:v>
      </x:c>
      <x:c r="B2024" s="13" t="str">
        <x:v>AMBEV SA</x:v>
      </x:c>
      <x:c r="C2024" s="16" t="n">
        <x:v>10749.1576228822</x:v>
      </x:c>
      <x:c r="D2024" s="13" t="str">
        <x:v>Food &amp; Beverages</x:v>
      </x:c>
      <x:c r="E2024" s="13" t="str">
        <x:v>Agri, Food &amp; Beverages</x:v>
      </x:c>
      <x:c r="F2024" s="13" t="str">
        <x:v>Defensives</x:v>
      </x:c>
      <x:c r="G2024" s="13" t="str">
        <x:v>grid_wekqfxnd.xlsx</x:v>
      </x:c>
    </x:row>
    <x:row r="2025">
      <x:c r="A2025" s="15" t="n">
        <x:v>41183</x:v>
      </x:c>
      <x:c r="B2025" s="13" t="str">
        <x:v>BRF SA</x:v>
      </x:c>
      <x:c r="C2025" s="16" t="n">
        <x:v>1651.9327957918</x:v>
      </x:c>
      <x:c r="D2025" s="13" t="str">
        <x:v>Food &amp; Beverages</x:v>
      </x:c>
      <x:c r="E2025" s="13" t="str">
        <x:v>Agri, Food &amp; Beverages</x:v>
      </x:c>
      <x:c r="F2025" s="13" t="str">
        <x:v>Defensives</x:v>
      </x:c>
      <x:c r="G2025" s="13" t="str">
        <x:v>grid_wekqfxnd.xlsx</x:v>
      </x:c>
    </x:row>
    <x:row r="2026">
      <x:c r="A2026" s="15" t="n">
        <x:v>41183</x:v>
      </x:c>
      <x:c r="B2026" s="13" t="str">
        <x:v>MBRF GLOBAL FOODS COMPANY SA</x:v>
      </x:c>
      <x:c r="C2026" s="16" t="n">
        <x:v>208.4429465425</x:v>
      </x:c>
      <x:c r="D2026" s="13" t="str">
        <x:v>Food &amp; Beverages</x:v>
      </x:c>
      <x:c r="E2026" s="13" t="str">
        <x:v>Agri, Food &amp; Beverages</x:v>
      </x:c>
      <x:c r="F2026" s="13" t="str">
        <x:v>Defensives</x:v>
      </x:c>
      <x:c r="G2026" s="13" t="str">
        <x:v>grid_wekqfxnd.xlsx</x:v>
      </x:c>
    </x:row>
    <x:row r="2027">
      <x:c r="A2027" s="15" t="n">
        <x:v>41183</x:v>
      </x:c>
      <x:c r="B2027" s="13" t="str">
        <x:v>SOUZA CRUZ LTDA</x:v>
      </x:c>
      <x:c r="C2027" s="16" t="n">
        <x:v>1851.2636559781</x:v>
      </x:c>
      <x:c r="D2027" s="13" t="str">
        <x:v>Food &amp; Beverages</x:v>
      </x:c>
      <x:c r="E2027" s="13" t="str">
        <x:v>Agri, Food &amp; Beverages</x:v>
      </x:c>
      <x:c r="F2027" s="13" t="str">
        <x:v>Defensives</x:v>
      </x:c>
      <x:c r="G2027" s="13" t="str">
        <x:v>grid_wekqfxnd.xlsx</x:v>
      </x:c>
    </x:row>
    <x:row r="2028">
      <x:c r="A2028" s="15" t="n">
        <x:v>41183</x:v>
      </x:c>
      <x:c r="B2028" s="13" t="str">
        <x:v>DIAGNOSTICOS DA AMERICA SA</x:v>
      </x:c>
      <x:c r="C2028" s="16" t="n">
        <x:v>215.1604931507</x:v>
      </x:c>
      <x:c r="D2028" s="13" t="str">
        <x:v>Health Care</x:v>
      </x:c>
      <x:c r="E2028" s="13" t="str">
        <x:v>Health Care</x:v>
      </x:c>
      <x:c r="F2028" s="13" t="str">
        <x:v>Defensives</x:v>
      </x:c>
      <x:c r="G2028" s="13" t="str">
        <x:v>grid_wekqfxnd.xlsx</x:v>
      </x:c>
    </x:row>
    <x:row r="2029">
      <x:c r="A2029" s="15" t="n">
        <x:v>41183</x:v>
      </x:c>
      <x:c r="B2029" s="13" t="str">
        <x:v>HYPERA SA</x:v>
      </x:c>
      <x:c r="C2029" s="16" t="n">
        <x:v>373.6381312877</x:v>
      </x:c>
      <x:c r="D2029" s="13" t="str">
        <x:v>Health Care</x:v>
      </x:c>
      <x:c r="E2029" s="13" t="str">
        <x:v>Health Care</x:v>
      </x:c>
      <x:c r="F2029" s="13" t="str">
        <x:v>Defensives</x:v>
      </x:c>
      <x:c r="G2029" s="13" t="str">
        <x:v>grid_wekqfxnd.xlsx</x:v>
      </x:c>
    </x:row>
    <x:row r="2030">
      <x:c r="A2030" s="15" t="n">
        <x:v>41183</x:v>
      </x:c>
      <x:c r="B2030" s="13" t="str">
        <x:v>CYRELA BRAZIL REALTY SA EMP</x:v>
      </x:c>
      <x:c r="C2030" s="16" t="n">
        <x:v>893.6534300055</x:v>
      </x:c>
      <x:c r="D2030" s="13" t="str">
        <x:v>Homebuilders</x:v>
      </x:c>
      <x:c r="E2030" s="13" t="str">
        <x:v>Real Estate</x:v>
      </x:c>
      <x:c r="F2030" s="13" t="str">
        <x:v>Early Cyclicals</x:v>
      </x:c>
      <x:c r="G2030" s="13" t="str">
        <x:v>grid_wekqfxnd.xlsx</x:v>
      </x:c>
    </x:row>
    <x:row r="2031">
      <x:c r="A2031" s="15" t="n">
        <x:v>41183</x:v>
      </x:c>
      <x:c r="B2031" s="13" t="str">
        <x:v>GAFISA SA</x:v>
      </x:c>
      <x:c r="C2031" s="16" t="n">
        <x:v>167.7848607342</x:v>
      </x:c>
      <x:c r="D2031" s="13" t="str">
        <x:v>Homebuilders</x:v>
      </x:c>
      <x:c r="E2031" s="13" t="str">
        <x:v>Real Estate</x:v>
      </x:c>
      <x:c r="F2031" s="13" t="str">
        <x:v>Early Cyclicals</x:v>
      </x:c>
      <x:c r="G2031" s="13" t="str">
        <x:v>grid_wekqfxnd.xlsx</x:v>
      </x:c>
    </x:row>
    <x:row r="2032">
      <x:c r="A2032" s="15" t="n">
        <x:v>41183</x:v>
      </x:c>
      <x:c r="B2032" s="13" t="str">
        <x:v>MRV ENGENHARIA</x:v>
      </x:c>
      <x:c r="C2032" s="16" t="n">
        <x:v>776.5664943342</x:v>
      </x:c>
      <x:c r="D2032" s="13" t="str">
        <x:v>Homebuilders</x:v>
      </x:c>
      <x:c r="E2032" s="13" t="str">
        <x:v>Real Estate</x:v>
      </x:c>
      <x:c r="F2032" s="13" t="str">
        <x:v>Early Cyclicals</x:v>
      </x:c>
      <x:c r="G2032" s="13" t="str">
        <x:v>grid_wekqfxnd.xlsx</x:v>
      </x:c>
    </x:row>
    <x:row r="2033">
      <x:c r="A2033" s="15" t="n">
        <x:v>41183</x:v>
      </x:c>
      <x:c r="B2033" s="13" t="str">
        <x:v>PDG REALTY SA</x:v>
      </x:c>
      <x:c r="C2033" s="16" t="n">
        <x:v>421.1067935562</x:v>
      </x:c>
      <x:c r="D2033" s="13" t="str">
        <x:v>Homebuilders</x:v>
      </x:c>
      <x:c r="E2033" s="13" t="str">
        <x:v>Real Estate</x:v>
      </x:c>
      <x:c r="F2033" s="13" t="str">
        <x:v>Early Cyclicals</x:v>
      </x:c>
      <x:c r="G2033" s="13" t="str">
        <x:v>grid_wekqfxnd.xlsx</x:v>
      </x:c>
    </x:row>
    <x:row r="2034">
      <x:c r="A2034" s="15" t="n">
        <x:v>41183</x:v>
      </x:c>
      <x:c r="B2034" s="13" t="str">
        <x:v>ROSSI RESIDENCIAL SA</x:v>
      </x:c>
      <x:c r="C2034" s="16" t="n">
        <x:v>360.0684821918</x:v>
      </x:c>
      <x:c r="D2034" s="13" t="str">
        <x:v>Homebuilders</x:v>
      </x:c>
      <x:c r="E2034" s="13" t="str">
        <x:v>Real Estate</x:v>
      </x:c>
      <x:c r="F2034" s="13" t="str">
        <x:v>Early Cyclicals</x:v>
      </x:c>
      <x:c r="G2034" s="13" t="str">
        <x:v>grid_wekqfxnd.xlsx</x:v>
      </x:c>
    </x:row>
    <x:row r="2035">
      <x:c r="A2035" s="15" t="n">
        <x:v>41183</x:v>
      </x:c>
      <x:c r="B2035" s="13" t="str">
        <x:v>TEGRA INCORPORADORA SA</x:v>
      </x:c>
      <x:c r="C2035" s="16" t="n">
        <x:v>186.6497767452</x:v>
      </x:c>
      <x:c r="D2035" s="13" t="str">
        <x:v>Homebuilders</x:v>
      </x:c>
      <x:c r="E2035" s="13" t="str">
        <x:v>Real Estate</x:v>
      </x:c>
      <x:c r="F2035" s="13" t="str">
        <x:v>Early Cyclicals</x:v>
      </x:c>
      <x:c r="G2035" s="13" t="str">
        <x:v>grid_wekqfxnd.xlsx</x:v>
      </x:c>
    </x:row>
    <x:row r="2036">
      <x:c r="A2036" s="15" t="n">
        <x:v>41183</x:v>
      </x:c>
      <x:c r="B2036" s="13" t="str">
        <x:v>BR MALLS PARTICIPACOES SA</x:v>
      </x:c>
      <x:c r="C2036" s="16" t="n">
        <x:v>550.4699807562</x:v>
      </x:c>
      <x:c r="D2036" s="13" t="str">
        <x:v>Income Properties</x:v>
      </x:c>
      <x:c r="E2036" s="13" t="str">
        <x:v>Real Estate</x:v>
      </x:c>
      <x:c r="F2036" s="13" t="str">
        <x:v>Early Cyclicals</x:v>
      </x:c>
      <x:c r="G2036" s="13" t="str">
        <x:v>grid_wekqfxnd.xlsx</x:v>
      </x:c>
    </x:row>
    <x:row r="2037">
      <x:c r="A2037" s="15" t="n">
        <x:v>41183</x:v>
      </x:c>
      <x:c r="B2037" s="13" t="str">
        <x:v>BRADESPAR SA -PREF</x:v>
      </x:c>
      <x:c r="C2037" s="16" t="n">
        <x:v>1538.2405326904</x:v>
      </x:c>
      <x:c r="D2037" s="13" t="str">
        <x:v>Metals &amp; Mining</x:v>
      </x:c>
      <x:c r="E2037" s="13" t="str">
        <x:v>Metals &amp; Mining</x:v>
      </x:c>
      <x:c r="F2037" s="13" t="str">
        <x:v>Deep Cyclicals</x:v>
      </x:c>
      <x:c r="G2037" s="13" t="str">
        <x:v>grid_wekqfxnd.xlsx</x:v>
      </x:c>
    </x:row>
    <x:row r="2038">
      <x:c r="A2038" s="15" t="n">
        <x:v>41183</x:v>
      </x:c>
      <x:c r="B2038" s="13" t="str">
        <x:v>CIA SIDERURGICA NACIONAL SA</x:v>
      </x:c>
      <x:c r="C2038" s="16" t="n">
        <x:v>1332.9589041096</x:v>
      </x:c>
      <x:c r="D2038" s="13" t="str">
        <x:v>Metals &amp; Mining</x:v>
      </x:c>
      <x:c r="E2038" s="13" t="str">
        <x:v>Metals &amp; Mining</x:v>
      </x:c>
      <x:c r="F2038" s="13" t="str">
        <x:v>Deep Cyclicals</x:v>
      </x:c>
      <x:c r="G2038" s="13" t="str">
        <x:v>grid_wekqfxnd.xlsx</x:v>
      </x:c>
    </x:row>
    <x:row r="2039">
      <x:c r="A2039" s="15" t="n">
        <x:v>41183</x:v>
      </x:c>
      <x:c r="B2039" s="13" t="str">
        <x:v>GERDAU SA-PREF</x:v>
      </x:c>
      <x:c r="C2039" s="16" t="n">
        <x:v>2270.4526027397</x:v>
      </x:c>
      <x:c r="D2039" s="13" t="str">
        <x:v>Metals &amp; Mining</x:v>
      </x:c>
      <x:c r="E2039" s="13" t="str">
        <x:v>Metals &amp; Mining</x:v>
      </x:c>
      <x:c r="F2039" s="13" t="str">
        <x:v>Deep Cyclicals</x:v>
      </x:c>
      <x:c r="G2039" s="13" t="str">
        <x:v>grid_wekqfxnd.xlsx</x:v>
      </x:c>
    </x:row>
    <x:row r="2040">
      <x:c r="A2040" s="15" t="n">
        <x:v>41183</x:v>
      </x:c>
      <x:c r="B2040" s="13" t="str">
        <x:v>METALURGICA GERDAU SA-PREF</x:v>
      </x:c>
      <x:c r="C2040" s="16" t="n">
        <x:v>934.8861860822</x:v>
      </x:c>
      <x:c r="D2040" s="13" t="str">
        <x:v>Metals &amp; Mining</x:v>
      </x:c>
      <x:c r="E2040" s="13" t="str">
        <x:v>Metals &amp; Mining</x:v>
      </x:c>
      <x:c r="F2040" s="13" t="str">
        <x:v>Deep Cyclicals</x:v>
      </x:c>
      <x:c r="G2040" s="13" t="str">
        <x:v>grid_wekqfxnd.xlsx</x:v>
      </x:c>
    </x:row>
    <x:row r="2041">
      <x:c r="A2041" s="15" t="n">
        <x:v>41183</x:v>
      </x:c>
      <x:c r="B2041" s="13" t="str">
        <x:v>MMX MINERACAO E METALICOS SA</x:v>
      </x:c>
      <x:c r="C2041" s="16" t="n">
        <x:v>-2.1725991452</x:v>
      </x:c>
      <x:c r="D2041" s="13" t="str">
        <x:v>Metals &amp; Mining</x:v>
      </x:c>
      <x:c r="E2041" s="13" t="str">
        <x:v>Metals &amp; Mining</x:v>
      </x:c>
      <x:c r="F2041" s="13" t="str">
        <x:v>Deep Cyclicals</x:v>
      </x:c>
      <x:c r="G2041" s="13" t="str">
        <x:v>grid_wekqfxnd.xlsx</x:v>
      </x:c>
    </x:row>
    <x:row r="2042">
      <x:c r="A2042" s="15" t="n">
        <x:v>41183</x:v>
      </x:c>
      <x:c r="B2042" s="13" t="str">
        <x:v>USINAS SIDER MINAS GER-PF A</x:v>
      </x:c>
      <x:c r="C2042" s="16" t="n">
        <x:v>389.1203025534</x:v>
      </x:c>
      <x:c r="D2042" s="13" t="str">
        <x:v>Metals &amp; Mining</x:v>
      </x:c>
      <x:c r="E2042" s="13" t="str">
        <x:v>Metals &amp; Mining</x:v>
      </x:c>
      <x:c r="F2042" s="13" t="str">
        <x:v>Deep Cyclicals</x:v>
      </x:c>
      <x:c r="G2042" s="13" t="str">
        <x:v>grid_wekqfxnd.xlsx</x:v>
      </x:c>
    </x:row>
    <x:row r="2043">
      <x:c r="A2043" s="15" t="n">
        <x:v>41183</x:v>
      </x:c>
      <x:c r="B2043" s="13" t="str">
        <x:v>USINAS SIDERURGICAS DE MINAS</x:v>
      </x:c>
      <x:c r="C2043" s="16" t="n">
        <x:v>389.1203025534</x:v>
      </x:c>
      <x:c r="D2043" s="13" t="str">
        <x:v>Metals &amp; Mining</x:v>
      </x:c>
      <x:c r="E2043" s="13" t="str">
        <x:v>Metals &amp; Mining</x:v>
      </x:c>
      <x:c r="F2043" s="13" t="str">
        <x:v>Deep Cyclicals</x:v>
      </x:c>
      <x:c r="G2043" s="13" t="str">
        <x:v>grid_wekqfxnd.xlsx</x:v>
      </x:c>
    </x:row>
    <x:row r="2044">
      <x:c r="A2044" s="15" t="n">
        <x:v>41183</x:v>
      </x:c>
      <x:c r="B2044" s="13" t="str">
        <x:v>VALE SA</x:v>
      </x:c>
      <x:c r="C2044" s="16" t="n">
        <x:v>23821.9544042959</x:v>
      </x:c>
      <x:c r="D2044" s="13" t="str">
        <x:v>Metals &amp; Mining</x:v>
      </x:c>
      <x:c r="E2044" s="13" t="str">
        <x:v>Metals &amp; Mining</x:v>
      </x:c>
      <x:c r="F2044" s="13" t="str">
        <x:v>Deep Cyclicals</x:v>
      </x:c>
      <x:c r="G2044" s="13" t="str">
        <x:v>grid_wekqfxnd.xlsx</x:v>
      </x:c>
    </x:row>
    <x:row r="2045">
      <x:c r="A2045" s="15" t="n">
        <x:v>41183</x:v>
      </x:c>
      <x:c r="B2045" s="13" t="str">
        <x:v>BRASKEM SA-PREF A</x:v>
      </x:c>
      <x:c r="C2045" s="16" t="n">
        <x:v>456.9575196055</x:v>
      </x:c>
      <x:c r="D2045" s="13" t="str">
        <x:v>Oil, Gas &amp; Petrochemicals</x:v>
      </x:c>
      <x:c r="E2045" s="13" t="str">
        <x:v>Oil, Gas &amp; Petrochemicals</x:v>
      </x:c>
      <x:c r="F2045" s="13" t="str">
        <x:v>Deep Cyclicals</x:v>
      </x:c>
      <x:c r="G2045" s="13" t="str">
        <x:v>grid_wekqfxnd.xlsx</x:v>
      </x:c>
    </x:row>
    <x:row r="2046">
      <x:c r="A2046" s="15" t="n">
        <x:v>41183</x:v>
      </x:c>
      <x:c r="B2046" s="13" t="str">
        <x:v>OLEO E GAS PARTICIPACOES SA</x:v>
      </x:c>
      <x:c r="C2046" s="16" t="n">
        <x:v>-194.8856533918</x:v>
      </x:c>
      <x:c r="D2046" s="13" t="str">
        <x:v>Oil, Gas &amp; Petrochemicals</x:v>
      </x:c>
      <x:c r="E2046" s="13" t="str">
        <x:v>Oil, Gas &amp; Petrochemicals</x:v>
      </x:c>
      <x:c r="F2046" s="13" t="str">
        <x:v>Deep Cyclicals</x:v>
      </x:c>
      <x:c r="G2046" s="13" t="str">
        <x:v>grid_wekqfxnd.xlsx</x:v>
      </x:c>
    </x:row>
    <x:row r="2047">
      <x:c r="A2047" s="15" t="n">
        <x:v>41183</x:v>
      </x:c>
      <x:c r="B2047" s="13" t="str">
        <x:v>PETROBRAS - PETROLEO BRAS</x:v>
      </x:c>
      <x:c r="C2047" s="16" t="n">
        <x:v>33695.8615720329</x:v>
      </x:c>
      <x:c r="D2047" s="13" t="str">
        <x:v>Oil, Gas &amp; Petrochemicals</x:v>
      </x:c>
      <x:c r="E2047" s="13" t="str">
        <x:v>Oil, Gas &amp; Petrochemicals</x:v>
      </x:c>
      <x:c r="F2047" s="13" t="str">
        <x:v>Deep Cyclicals</x:v>
      </x:c>
      <x:c r="G2047" s="13" t="str">
        <x:v>grid_wekqfxnd.xlsx</x:v>
      </x:c>
    </x:row>
    <x:row r="2048">
      <x:c r="A2048" s="15" t="n">
        <x:v>41183</x:v>
      </x:c>
      <x:c r="B2048" s="13" t="str">
        <x:v>ULTRAPAR PARTICIPACOES SA</x:v>
      </x:c>
      <x:c r="C2048" s="16" t="n">
        <x:v>1125.0323249096</x:v>
      </x:c>
      <x:c r="D2048" s="13" t="str">
        <x:v>Oil, Gas &amp; Petrochemicals</x:v>
      </x:c>
      <x:c r="E2048" s="13" t="str">
        <x:v>Oil, Gas &amp; Petrochemicals</x:v>
      </x:c>
      <x:c r="F2048" s="13" t="str">
        <x:v>Deep Cyclicals</x:v>
      </x:c>
      <x:c r="G2048" s="13" t="str">
        <x:v>grid_wekqfxnd.xlsx</x:v>
      </x:c>
    </x:row>
    <x:row r="2049">
      <x:c r="A2049" s="15" t="n">
        <x:v>41183</x:v>
      </x:c>
      <x:c r="B2049" s="13" t="str">
        <x:v>DEXCO SA</x:v>
      </x:c>
      <x:c r="C2049" s="16" t="n">
        <x:v>446.6641467616</x:v>
      </x:c>
      <x:c r="D2049" s="13" t="str">
        <x:v>Pulp &amp; Paper</x:v>
      </x:c>
      <x:c r="E2049" s="13" t="str">
        <x:v>Pulp &amp; Paper</x:v>
      </x:c>
      <x:c r="F2049" s="13" t="str">
        <x:v>Deep Cyclicals</x:v>
      </x:c>
      <x:c r="G2049" s="13" t="str">
        <x:v>grid_wekqfxnd.xlsx</x:v>
      </x:c>
    </x:row>
    <x:row r="2050">
      <x:c r="A2050" s="15" t="n">
        <x:v>41183</x:v>
      </x:c>
      <x:c r="B2050" s="13" t="str">
        <x:v>FIBRIA CELULOSE S/A</x:v>
      </x:c>
      <x:c r="C2050" s="16" t="n">
        <x:v>54.3211673425</x:v>
      </x:c>
      <x:c r="D2050" s="13" t="str">
        <x:v>Pulp &amp; Paper</x:v>
      </x:c>
      <x:c r="E2050" s="13" t="str">
        <x:v>Pulp &amp; Paper</x:v>
      </x:c>
      <x:c r="F2050" s="13" t="str">
        <x:v>Deep Cyclicals</x:v>
      </x:c>
      <x:c r="G2050" s="13" t="str">
        <x:v>grid_wekqfxnd.xlsx</x:v>
      </x:c>
    </x:row>
    <x:row r="2051">
      <x:c r="A2051" s="15" t="n">
        <x:v>41183</x:v>
      </x:c>
      <x:c r="B2051" s="13" t="str">
        <x:v>SUZANO PAPEL E CELULO-PREF A</x:v>
      </x:c>
      <x:c r="C2051" s="16" t="n">
        <x:v>12.727140274</x:v>
      </x:c>
      <x:c r="D2051" s="13" t="str">
        <x:v>Pulp &amp; Paper</x:v>
      </x:c>
      <x:c r="E2051" s="13" t="str">
        <x:v>Pulp &amp; Paper</x:v>
      </x:c>
      <x:c r="F2051" s="13" t="str">
        <x:v>Deep Cyclicals</x:v>
      </x:c>
      <x:c r="G2051" s="13" t="str">
        <x:v>grid_wekqfxnd.xlsx</x:v>
      </x:c>
    </x:row>
    <x:row r="2052">
      <x:c r="A2052" s="15" t="n">
        <x:v>41183</x:v>
      </x:c>
      <x:c r="B2052" s="13" t="str">
        <x:v>AMERICANAS SA</x:v>
      </x:c>
      <x:c r="C2052" s="16" t="n">
        <x:v>-43.542824811</x:v>
      </x:c>
      <x:c r="D2052" s="13" t="str">
        <x:v>Retail</x:v>
      </x:c>
      <x:c r="E2052" s="13" t="str">
        <x:v>Retail</x:v>
      </x:c>
      <x:c r="F2052" s="13" t="str">
        <x:v>Early Cyclicals</x:v>
      </x:c>
      <x:c r="G2052" s="13" t="str">
        <x:v>grid_wekqfxnd.xlsx</x:v>
      </x:c>
    </x:row>
    <x:row r="2053">
      <x:c r="A2053" s="15" t="n">
        <x:v>41183</x:v>
      </x:c>
      <x:c r="B2053" s="13" t="str">
        <x:v>CIA BRASILEIRA DE DIS-PREF</x:v>
      </x:c>
      <x:c r="C2053" s="16" t="n">
        <x:v>1205.6222712986</x:v>
      </x:c>
      <x:c r="D2053" s="13" t="str">
        <x:v>Retail</x:v>
      </x:c>
      <x:c r="E2053" s="13" t="str">
        <x:v>Retail</x:v>
      </x:c>
      <x:c r="F2053" s="13" t="str">
        <x:v>Early Cyclicals</x:v>
      </x:c>
      <x:c r="G2053" s="13" t="str">
        <x:v>grid_wekqfxnd.xlsx</x:v>
      </x:c>
    </x:row>
    <x:row r="2054">
      <x:c r="A2054" s="15" t="n">
        <x:v>41183</x:v>
      </x:c>
      <x:c r="B2054" s="13" t="str">
        <x:v>CIA HERING</x:v>
      </x:c>
      <x:c r="C2054" s="16" t="n">
        <x:v>375.7847714192</x:v>
      </x:c>
      <x:c r="D2054" s="13" t="str">
        <x:v>Retail</x:v>
      </x:c>
      <x:c r="E2054" s="13" t="str">
        <x:v>Retail</x:v>
      </x:c>
      <x:c r="F2054" s="13" t="str">
        <x:v>Early Cyclicals</x:v>
      </x:c>
      <x:c r="G2054" s="13" t="str">
        <x:v>grid_wekqfxnd.xlsx</x:v>
      </x:c>
    </x:row>
    <x:row r="2055">
      <x:c r="A2055" s="15" t="n">
        <x:v>41183</x:v>
      </x:c>
      <x:c r="B2055" s="13" t="str">
        <x:v>LOJAS AMERICANAS SA-PREF</x:v>
      </x:c>
      <x:c r="C2055" s="16" t="n">
        <x:v>534.0000747836</x:v>
      </x:c>
      <x:c r="D2055" s="13" t="str">
        <x:v>Retail</x:v>
      </x:c>
      <x:c r="E2055" s="13" t="str">
        <x:v>Retail</x:v>
      </x:c>
      <x:c r="F2055" s="13" t="str">
        <x:v>Early Cyclicals</x:v>
      </x:c>
      <x:c r="G2055" s="13" t="str">
        <x:v>grid_wekqfxnd.xlsx</x:v>
      </x:c>
    </x:row>
    <x:row r="2056">
      <x:c r="A2056" s="15" t="n">
        <x:v>41183</x:v>
      </x:c>
      <x:c r="B2056" s="13" t="str">
        <x:v>LOJAS RENNER S.A.</x:v>
      </x:c>
      <x:c r="C2056" s="16" t="n">
        <x:v>424.4075763726</x:v>
      </x:c>
      <x:c r="D2056" s="13" t="str">
        <x:v>Retail</x:v>
      </x:c>
      <x:c r="E2056" s="13" t="str">
        <x:v>Retail</x:v>
      </x:c>
      <x:c r="F2056" s="13" t="str">
        <x:v>Early Cyclicals</x:v>
      </x:c>
      <x:c r="G2056" s="13" t="str">
        <x:v>grid_wekqfxnd.xlsx</x:v>
      </x:c>
    </x:row>
    <x:row r="2057">
      <x:c r="A2057" s="15" t="n">
        <x:v>41183</x:v>
      </x:c>
      <x:c r="B2057" s="13" t="str">
        <x:v>NATURA COSMETICOS SA</x:v>
      </x:c>
      <x:c r="C2057" s="16" t="n">
        <x:v>1007.6692644822</x:v>
      </x:c>
      <x:c r="D2057" s="13" t="str">
        <x:v>Retail</x:v>
      </x:c>
      <x:c r="E2057" s="13" t="str">
        <x:v>Retail</x:v>
      </x:c>
      <x:c r="F2057" s="13" t="str">
        <x:v>Early Cyclicals</x:v>
      </x:c>
      <x:c r="G2057" s="13" t="str">
        <x:v>grid_wekqfxnd.xlsx</x:v>
      </x:c>
    </x:row>
    <x:row r="2058">
      <x:c r="A2058" s="15" t="n">
        <x:v>41183</x:v>
      </x:c>
      <x:c r="B2058" s="13" t="str">
        <x:v>CIA SANEAMENTO BASICO DE SP</x:v>
      </x:c>
      <x:c r="C2058" s="16" t="n">
        <x:v>1802.3730316274</x:v>
      </x:c>
      <x:c r="D2058" s="13" t="str">
        <x:v>Sanitation</x:v>
      </x:c>
      <x:c r="E2058" s="13" t="str">
        <x:v>Utilities</x:v>
      </x:c>
      <x:c r="F2058" s="13" t="str">
        <x:v>Defensives</x:v>
      </x:c>
      <x:c r="G2058" s="13" t="str">
        <x:v>grid_wekqfxnd.xlsx</x:v>
      </x:c>
    </x:row>
    <x:row r="2059">
      <x:c r="A2059" s="15" t="n">
        <x:v>41183</x:v>
      </x:c>
      <x:c r="B2059" s="13" t="str">
        <x:v>OI S.A.</x:v>
      </x:c>
      <x:c r="C2059" s="16" t="n">
        <x:v>706.1723583123</x:v>
      </x:c>
      <x:c r="D2059" s="13" t="str">
        <x:v>TMT</x:v>
      </x:c>
      <x:c r="E2059" s="13" t="str">
        <x:v>TMT</x:v>
      </x:c>
      <x:c r="F2059" s="13" t="str">
        <x:v>Early Cyclicals</x:v>
      </x:c>
      <x:c r="G2059" s="13" t="str">
        <x:v>grid_wekqfxnd.xlsx</x:v>
      </x:c>
    </x:row>
    <x:row r="2060">
      <x:c r="A2060" s="15" t="n">
        <x:v>41183</x:v>
      </x:c>
      <x:c r="B2060" s="13" t="str">
        <x:v>OI SA-PREFERENCE</x:v>
      </x:c>
      <x:c r="C2060" s="16" t="n">
        <x:v>706.1723583123</x:v>
      </x:c>
      <x:c r="D2060" s="13" t="str">
        <x:v>TMT</x:v>
      </x:c>
      <x:c r="E2060" s="13" t="str">
        <x:v>TMT</x:v>
      </x:c>
      <x:c r="F2060" s="13" t="str">
        <x:v>Early Cyclicals</x:v>
      </x:c>
      <x:c r="G2060" s="13" t="str">
        <x:v>grid_wekqfxnd.xlsx</x:v>
      </x:c>
    </x:row>
    <x:row r="2061">
      <x:c r="A2061" s="15" t="n">
        <x:v>41183</x:v>
      </x:c>
      <x:c r="B2061" s="13" t="str">
        <x:v>TELEFONICA BRASIL S.A.-PREF</x:v>
      </x:c>
      <x:c r="C2061" s="16" t="n">
        <x:v>4893.6403252603</x:v>
      </x:c>
      <x:c r="D2061" s="13" t="str">
        <x:v>TMT</x:v>
      </x:c>
      <x:c r="E2061" s="13" t="str">
        <x:v>TMT</x:v>
      </x:c>
      <x:c r="F2061" s="13" t="str">
        <x:v>Early Cyclicals</x:v>
      </x:c>
      <x:c r="G2061" s="13" t="str">
        <x:v>grid_wekqfxnd.xlsx</x:v>
      </x:c>
    </x:row>
    <x:row r="2062">
      <x:c r="A2062" s="15" t="n">
        <x:v>41183</x:v>
      </x:c>
      <x:c r="B2062" s="13" t="str">
        <x:v>TIM SA</x:v>
      </x:c>
      <x:c r="C2062" s="16" t="n">
        <x:v>1690.2613356712</x:v>
      </x:c>
      <x:c r="D2062" s="13" t="str">
        <x:v>TMT</x:v>
      </x:c>
      <x:c r="E2062" s="13" t="str">
        <x:v>TMT</x:v>
      </x:c>
      <x:c r="F2062" s="13" t="str">
        <x:v>Early Cyclicals</x:v>
      </x:c>
      <x:c r="G2062" s="13" t="str">
        <x:v>grid_wekqfxnd.xlsx</x:v>
      </x:c>
    </x:row>
    <x:row r="2063">
      <x:c r="A2063" s="15" t="n">
        <x:v>41183</x:v>
      </x:c>
      <x:c r="B2063" s="13" t="str">
        <x:v>GOL LINHAS AEREAS INT SA-PRE</x:v>
      </x:c>
      <x:c r="C2063" s="16" t="n">
        <x:v>-54.5899262247</x:v>
      </x:c>
      <x:c r="D2063" s="13" t="str">
        <x:v>Transportation</x:v>
      </x:c>
      <x:c r="E2063" s="13" t="str">
        <x:v>Transportation</x:v>
      </x:c>
      <x:c r="F2063" s="13" t="str">
        <x:v>Deep Cyclicals</x:v>
      </x:c>
      <x:c r="G2063" s="13" t="str">
        <x:v>grid_wekqfxnd.xlsx</x:v>
      </x:c>
    </x:row>
    <x:row r="2064">
      <x:c r="A2064" s="15" t="n">
        <x:v>41183</x:v>
      </x:c>
      <x:c r="B2064" s="13" t="str">
        <x:v>LOCALIZA RENT A CAR</x:v>
      </x:c>
      <x:c r="C2064" s="16" t="n">
        <x:v>363.5024810082</x:v>
      </x:c>
      <x:c r="D2064" s="13" t="str">
        <x:v>Transportation</x:v>
      </x:c>
      <x:c r="E2064" s="13" t="str">
        <x:v>Transportation</x:v>
      </x:c>
      <x:c r="F2064" s="13" t="str">
        <x:v>Deep Cyclicals</x:v>
      </x:c>
      <x:c r="G2064" s="13" t="str">
        <x:v>grid_wekqfxnd.xlsx</x:v>
      </x:c>
    </x:row>
    <x:row r="2065">
      <x:c r="A2065" s="15" t="n">
        <x:v>41183</x:v>
      </x:c>
      <x:c r="B2065" s="13" t="str">
        <x:v>MOTIVA INFRAESTRUTURA DE MOB</x:v>
      </x:c>
      <x:c r="C2065" s="16" t="n">
        <x:v>1470.5319318794</x:v>
      </x:c>
      <x:c r="D2065" s="13" t="str">
        <x:v>Transportation</x:v>
      </x:c>
      <x:c r="E2065" s="13" t="str">
        <x:v>Transportation</x:v>
      </x:c>
      <x:c r="F2065" s="13" t="str">
        <x:v>Deep Cyclicals</x:v>
      </x:c>
      <x:c r="G2065" s="13" t="str">
        <x:v>grid_wekqfxnd.xlsx</x:v>
      </x:c>
    </x:row>
    <x:row r="2066">
      <x:c r="A2066" s="15" t="n">
        <x:v>41183</x:v>
      </x:c>
      <x:c r="B2066" s="13" t="str">
        <x:v>PRUMO LOGISTICA SA</x:v>
      </x:c>
      <x:c r="C2066" s="16" t="n">
        <x:v>-70.854969863</x:v>
      </x:c>
      <x:c r="D2066" s="13" t="str">
        <x:v>Transportation</x:v>
      </x:c>
      <x:c r="E2066" s="13" t="str">
        <x:v>Transportation</x:v>
      </x:c>
      <x:c r="F2066" s="13" t="str">
        <x:v>Deep Cyclicals</x:v>
      </x:c>
      <x:c r="G2066" s="13" t="str">
        <x:v>grid_wekqfxnd.xlsx</x:v>
      </x:c>
    </x:row>
    <x:row r="2067">
      <x:c r="A2067" s="15" t="n">
        <x:v>41183</x:v>
      </x:c>
      <x:c r="B2067" s="13" t="str">
        <x:v>RUMO SA</x:v>
      </x:c>
      <x:c r="C2067" s="16" t="n">
        <x:v>353.417260274</x:v>
      </x:c>
      <x:c r="D2067" s="13" t="str">
        <x:v>Transportation</x:v>
      </x:c>
      <x:c r="E2067" s="13" t="str">
        <x:v>Transportation</x:v>
      </x:c>
      <x:c r="F2067" s="13" t="str">
        <x:v>Deep Cyclicals</x:v>
      </x:c>
      <x:c r="G2067" s="13" t="str">
        <x:v>grid_wekqfxnd.xlsx</x:v>
      </x:c>
    </x:row>
    <x:row r="2068">
      <x:c r="A2068" s="15" t="n">
        <x:v>41183</x:v>
      </x:c>
      <x:c r="B2068" s="13" t="str">
        <x:v>AXIA ENERGIA SA</x:v>
      </x:c>
      <x:c r="C2068" s="16" t="n">
        <x:v>4503.4356245041</x:v>
      </x:c>
      <x:c r="D2068" s="13" t="str">
        <x:v>Utilities &amp; Energy</x:v>
      </x:c>
      <x:c r="E2068" s="13" t="str">
        <x:v>Utilities</x:v>
      </x:c>
      <x:c r="F2068" s="13" t="str">
        <x:v>Defensives</x:v>
      </x:c>
      <x:c r="G2068" s="13" t="str">
        <x:v>grid_wekqfxnd.xlsx</x:v>
      </x:c>
    </x:row>
    <x:row r="2069">
      <x:c r="A2069" s="15" t="n">
        <x:v>41183</x:v>
      </x:c>
      <x:c r="B2069" s="13" t="str">
        <x:v>AXIA ENERGIA-PR B</x:v>
      </x:c>
      <x:c r="C2069" s="16" t="n">
        <x:v>4503.4356245041</x:v>
      </x:c>
      <x:c r="D2069" s="13" t="str">
        <x:v>Utilities &amp; Energy</x:v>
      </x:c>
      <x:c r="E2069" s="13" t="str">
        <x:v>Utilities</x:v>
      </x:c>
      <x:c r="F2069" s="13" t="str">
        <x:v>Defensives</x:v>
      </x:c>
      <x:c r="G2069" s="13" t="str">
        <x:v>grid_wekqfxnd.xlsx</x:v>
      </x:c>
    </x:row>
    <x:row r="2070">
      <x:c r="A2070" s="15" t="n">
        <x:v>41183</x:v>
      </x:c>
      <x:c r="B2070" s="13" t="str">
        <x:v>CESP - CIA ENERGETICA DE SAO</x:v>
      </x:c>
      <x:c r="C2070" s="16" t="n">
        <x:v>551.8837879233</x:v>
      </x:c>
      <x:c r="D2070" s="13" t="str">
        <x:v>Utilities &amp; Energy</x:v>
      </x:c>
      <x:c r="E2070" s="13" t="str">
        <x:v>Utilities</x:v>
      </x:c>
      <x:c r="F2070" s="13" t="str">
        <x:v>Defensives</x:v>
      </x:c>
      <x:c r="G2070" s="13" t="str">
        <x:v>grid_wekqfxnd.xlsx</x:v>
      </x:c>
    </x:row>
    <x:row r="2071">
      <x:c r="A2071" s="15" t="n">
        <x:v>41183</x:v>
      </x:c>
      <x:c r="B2071" s="13" t="str">
        <x:v>CIA ENERGETICA MINAS GER-PRF</x:v>
      </x:c>
      <x:c r="C2071" s="16" t="n">
        <x:v>2835.0817679781</x:v>
      </x:c>
      <x:c r="D2071" s="13" t="str">
        <x:v>Utilities &amp; Energy</x:v>
      </x:c>
      <x:c r="E2071" s="13" t="str">
        <x:v>Utilities</x:v>
      </x:c>
      <x:c r="F2071" s="13" t="str">
        <x:v>Defensives</x:v>
      </x:c>
      <x:c r="G2071" s="13" t="str">
        <x:v>grid_wekqfxnd.xlsx</x:v>
      </x:c>
    </x:row>
    <x:row r="2072">
      <x:c r="A2072" s="15" t="n">
        <x:v>41183</x:v>
      </x:c>
      <x:c r="B2072" s="13" t="str">
        <x:v>COMPANHIA PARANAENSE -PREF B</x:v>
      </x:c>
      <x:c r="C2072" s="16" t="n">
        <x:v>1099.6146944</x:v>
      </x:c>
      <x:c r="D2072" s="13" t="str">
        <x:v>Utilities &amp; Energy</x:v>
      </x:c>
      <x:c r="E2072" s="13" t="str">
        <x:v>Utilities</x:v>
      </x:c>
      <x:c r="F2072" s="13" t="str">
        <x:v>Defensives</x:v>
      </x:c>
      <x:c r="G2072" s="13" t="str">
        <x:v>grid_wekqfxnd.xlsx</x:v>
      </x:c>
    </x:row>
    <x:row r="2073">
      <x:c r="A2073" s="15" t="n">
        <x:v>41183</x:v>
      </x:c>
      <x:c r="B2073" s="13" t="str">
        <x:v>CPFL ENERGIA SA</x:v>
      </x:c>
      <x:c r="C2073" s="16" t="n">
        <x:v>1331.5035083397</x:v>
      </x:c>
      <x:c r="D2073" s="13" t="str">
        <x:v>Utilities &amp; Energy</x:v>
      </x:c>
      <x:c r="E2073" s="13" t="str">
        <x:v>Utilities</x:v>
      </x:c>
      <x:c r="F2073" s="13" t="str">
        <x:v>Defensives</x:v>
      </x:c>
      <x:c r="G2073" s="13" t="str">
        <x:v>grid_wekqfxnd.xlsx</x:v>
      </x:c>
    </x:row>
    <x:row r="2074">
      <x:c r="A2074" s="15" t="n">
        <x:v>41183</x:v>
      </x:c>
      <x:c r="B2074" s="13" t="str">
        <x:v>ELETROPAULO METROPOLI-PREF</x:v>
      </x:c>
      <x:c r="C2074" s="16" t="n">
        <x:v>195.5724698301</x:v>
      </x:c>
      <x:c r="D2074" s="13" t="str">
        <x:v>Utilities &amp; Energy</x:v>
      </x:c>
      <x:c r="E2074" s="13" t="str">
        <x:v>Utilities</x:v>
      </x:c>
      <x:c r="F2074" s="13" t="str">
        <x:v>Defensives</x:v>
      </x:c>
      <x:c r="G2074" s="13" t="str">
        <x:v>grid_wekqfxnd.xlsx</x:v>
      </x:c>
    </x:row>
    <x:row r="2075">
      <x:c r="A2075" s="15" t="n">
        <x:v>41183</x:v>
      </x:c>
      <x:c r="B2075" s="13" t="str">
        <x:v>ISA ENERGIA BRASIL SA</x:v>
      </x:c>
      <x:c r="C2075" s="16" t="n">
        <x:v>716.9322897534</x:v>
      </x:c>
      <x:c r="D2075" s="13" t="str">
        <x:v>Utilities &amp; Energy</x:v>
      </x:c>
      <x:c r="E2075" s="13" t="str">
        <x:v>Utilities</x:v>
      </x:c>
      <x:c r="F2075" s="13" t="str">
        <x:v>Defensives</x:v>
      </x:c>
      <x:c r="G2075" s="13" t="str">
        <x:v>grid_wekqfxnd.xlsx</x:v>
      </x:c>
    </x:row>
    <x:row r="2076">
      <x:c r="A2076" s="15" t="n">
        <x:v>41183</x:v>
      </x:c>
      <x:c r="B2076" s="13" t="str">
        <x:v>LIGHT SA</x:v>
      </x:c>
      <x:c r="C2076" s="16" t="n">
        <x:v>550.3252106521</x:v>
      </x:c>
      <x:c r="D2076" s="13" t="str">
        <x:v>Utilities &amp; Energy</x:v>
      </x:c>
      <x:c r="E2076" s="13" t="str">
        <x:v>Utilities</x:v>
      </x:c>
      <x:c r="F2076" s="13" t="str">
        <x:v>Defensives</x:v>
      </x:c>
      <x:c r="G2076" s="13" t="str">
        <x:v>grid_wekqfxnd.xlsx</x:v>
      </x:c>
    </x:row>
    <x:row r="2077">
      <x:c r="A2077" s="15" t="n">
        <x:v>41214</x:v>
      </x:c>
      <x:c r="B2077" s="13" t="str">
        <x:v>BANCO BRADESCO SA-PREF</x:v>
      </x:c>
      <x:c r="C2077" s="16" t="n">
        <x:v>12714.8227317479</x:v>
      </x:c>
      <x:c r="D2077" s="13" t="str">
        <x:v>Banks</x:v>
      </x:c>
      <x:c r="E2077" s="13" t="str">
        <x:v>Banks</x:v>
      </x:c>
      <x:c r="F2077" s="13" t="str">
        <x:v>Financials</x:v>
      </x:c>
      <x:c r="G2077" s="13" t="str">
        <x:v>grid_wekqfxnd.xlsx</x:v>
      </x:c>
    </x:row>
    <x:row r="2078">
      <x:c r="A2078" s="15" t="n">
        <x:v>41214</x:v>
      </x:c>
      <x:c r="B2078" s="13" t="str">
        <x:v>BANCO DO BRASIL S.A.</x:v>
      </x:c>
      <x:c r="C2078" s="16" t="n">
        <x:v>10826.814534137</x:v>
      </x:c>
      <x:c r="D2078" s="13" t="str">
        <x:v>Banks</x:v>
      </x:c>
      <x:c r="E2078" s="13" t="str">
        <x:v>Banks</x:v>
      </x:c>
      <x:c r="F2078" s="13" t="str">
        <x:v>Financials</x:v>
      </x:c>
      <x:c r="G2078" s="13" t="str">
        <x:v>grid_wekqfxnd.xlsx</x:v>
      </x:c>
    </x:row>
    <x:row r="2079">
      <x:c r="A2079" s="15" t="n">
        <x:v>41214</x:v>
      </x:c>
      <x:c r="B2079" s="13" t="str">
        <x:v>BANCO SANTANDER  BRASIL-UNIT</x:v>
      </x:c>
      <x:c r="C2079" s="16" t="n">
        <x:v>6508.1816134137</x:v>
      </x:c>
      <x:c r="D2079" s="13" t="str">
        <x:v>Banks</x:v>
      </x:c>
      <x:c r="E2079" s="13" t="str">
        <x:v>Banks</x:v>
      </x:c>
      <x:c r="F2079" s="13" t="str">
        <x:v>Financials</x:v>
      </x:c>
      <x:c r="G2079" s="13" t="str">
        <x:v>grid_wekqfxnd.xlsx</x:v>
      </x:c>
    </x:row>
    <x:row r="2080">
      <x:c r="A2080" s="15" t="n">
        <x:v>41214</x:v>
      </x:c>
      <x:c r="B2080" s="13" t="str">
        <x:v>ITAU UNIBANCO HOLDING S-PREF</x:v>
      </x:c>
      <x:c r="C2080" s="16" t="n">
        <x:v>15852.7364166137</x:v>
      </x:c>
      <x:c r="D2080" s="13" t="str">
        <x:v>Banks</x:v>
      </x:c>
      <x:c r="E2080" s="13" t="str">
        <x:v>Banks</x:v>
      </x:c>
      <x:c r="F2080" s="13" t="str">
        <x:v>Financials</x:v>
      </x:c>
      <x:c r="G2080" s="13" t="str">
        <x:v>grid_wekqfxnd.xlsx</x:v>
      </x:c>
    </x:row>
    <x:row r="2081">
      <x:c r="A2081" s="15" t="n">
        <x:v>41214</x:v>
      </x:c>
      <x:c r="B2081" s="13" t="str">
        <x:v>EMBRAER SA</x:v>
      </x:c>
      <x:c r="C2081" s="16" t="n">
        <x:v>1020.131813874</x:v>
      </x:c>
      <x:c r="D2081" s="13" t="str">
        <x:v>Capital Goods</x:v>
      </x:c>
      <x:c r="E2081" s="13" t="str">
        <x:v>Capital Goods</x:v>
      </x:c>
      <x:c r="F2081" s="13" t="str">
        <x:v>Deep Cyclicals</x:v>
      </x:c>
      <x:c r="G2081" s="13" t="str">
        <x:v>grid_wekqfxnd.xlsx</x:v>
      </x:c>
    </x:row>
    <x:row r="2082">
      <x:c r="A2082" s="15" t="n">
        <x:v>41214</x:v>
      </x:c>
      <x:c r="B2082" s="13" t="str">
        <x:v>B3 SA-BRASIL BOLSA BALCAO</x:v>
      </x:c>
      <x:c r="C2082" s="16" t="n">
        <x:v>1575.7159153973</x:v>
      </x:c>
      <x:c r="D2082" s="13" t="str">
        <x:v>Financials Non-Banks</x:v>
      </x:c>
      <x:c r="E2082" s="13" t="str">
        <x:v>Financials Non-Banks</x:v>
      </x:c>
      <x:c r="F2082" s="13" t="str">
        <x:v>Financials</x:v>
      </x:c>
      <x:c r="G2082" s="13" t="str">
        <x:v>grid_wekqfxnd.xlsx</x:v>
      </x:c>
    </x:row>
    <x:row r="2083">
      <x:c r="A2083" s="15" t="n">
        <x:v>41214</x:v>
      </x:c>
      <x:c r="B2083" s="13" t="str">
        <x:v>CETIP SA-MERCADOS ORGANIZADO</x:v>
      </x:c>
      <x:c r="C2083" s="16" t="n">
        <x:v>416.9709771397</x:v>
      </x:c>
      <x:c r="D2083" s="13" t="str">
        <x:v>Financials Non-Banks</x:v>
      </x:c>
      <x:c r="E2083" s="13" t="str">
        <x:v>Financials Non-Banks</x:v>
      </x:c>
      <x:c r="F2083" s="13" t="str">
        <x:v>Financials</x:v>
      </x:c>
      <x:c r="G2083" s="13" t="str">
        <x:v>grid_wekqfxnd.xlsx</x:v>
      </x:c>
    </x:row>
    <x:row r="2084">
      <x:c r="A2084" s="15" t="n">
        <x:v>41214</x:v>
      </x:c>
      <x:c r="B2084" s="13" t="str">
        <x:v>CIELO SA - INSTITUICAO DE PA</x:v>
      </x:c>
      <x:c r="C2084" s="16" t="n">
        <x:v>2549.7117331288</x:v>
      </x:c>
      <x:c r="D2084" s="13" t="str">
        <x:v>Financials Non-Banks</x:v>
      </x:c>
      <x:c r="E2084" s="13" t="str">
        <x:v>Financials Non-Banks</x:v>
      </x:c>
      <x:c r="F2084" s="13" t="str">
        <x:v>Financials</x:v>
      </x:c>
      <x:c r="G2084" s="13" t="str">
        <x:v>grid_wekqfxnd.xlsx</x:v>
      </x:c>
    </x:row>
    <x:row r="2085">
      <x:c r="A2085" s="15" t="n">
        <x:v>41214</x:v>
      </x:c>
      <x:c r="B2085" s="13" t="str">
        <x:v>ITAUSA SA</x:v>
      </x:c>
      <x:c r="C2085" s="16" t="n">
        <x:v>5279.5699985534</x:v>
      </x:c>
      <x:c r="D2085" s="13" t="str">
        <x:v>Financials Non-Banks</x:v>
      </x:c>
      <x:c r="E2085" s="13" t="str">
        <x:v>Financials Non-Banks</x:v>
      </x:c>
      <x:c r="F2085" s="13" t="str">
        <x:v>Financials</x:v>
      </x:c>
      <x:c r="G2085" s="13" t="str">
        <x:v>grid_wekqfxnd.xlsx</x:v>
      </x:c>
    </x:row>
    <x:row r="2086">
      <x:c r="A2086" s="15" t="n">
        <x:v>41214</x:v>
      </x:c>
      <x:c r="B2086" s="13" t="str">
        <x:v>AMBEV SA</x:v>
      </x:c>
      <x:c r="C2086" s="16" t="n">
        <x:v>10822.6649775342</x:v>
      </x:c>
      <x:c r="D2086" s="13" t="str">
        <x:v>Food &amp; Beverages</x:v>
      </x:c>
      <x:c r="E2086" s="13" t="str">
        <x:v>Agri, Food &amp; Beverages</x:v>
      </x:c>
      <x:c r="F2086" s="13" t="str">
        <x:v>Defensives</x:v>
      </x:c>
      <x:c r="G2086" s="13" t="str">
        <x:v>grid_wekqfxnd.xlsx</x:v>
      </x:c>
    </x:row>
    <x:row r="2087">
      <x:c r="A2087" s="15" t="n">
        <x:v>41214</x:v>
      </x:c>
      <x:c r="B2087" s="13" t="str">
        <x:v>BRF SA</x:v>
      </x:c>
      <x:c r="C2087" s="16" t="n">
        <x:v>1693.0195584</x:v>
      </x:c>
      <x:c r="D2087" s="13" t="str">
        <x:v>Food &amp; Beverages</x:v>
      </x:c>
      <x:c r="E2087" s="13" t="str">
        <x:v>Agri, Food &amp; Beverages</x:v>
      </x:c>
      <x:c r="F2087" s="13" t="str">
        <x:v>Defensives</x:v>
      </x:c>
      <x:c r="G2087" s="13" t="str">
        <x:v>grid_wekqfxnd.xlsx</x:v>
      </x:c>
    </x:row>
    <x:row r="2088">
      <x:c r="A2088" s="15" t="n">
        <x:v>41214</x:v>
      </x:c>
      <x:c r="B2088" s="13" t="str">
        <x:v>MBRF GLOBAL FOODS COMPANY SA</x:v>
      </x:c>
      <x:c r="C2088" s="16" t="n">
        <x:v>171.1454794521</x:v>
      </x:c>
      <x:c r="D2088" s="13" t="str">
        <x:v>Food &amp; Beverages</x:v>
      </x:c>
      <x:c r="E2088" s="13" t="str">
        <x:v>Agri, Food &amp; Beverages</x:v>
      </x:c>
      <x:c r="F2088" s="13" t="str">
        <x:v>Defensives</x:v>
      </x:c>
      <x:c r="G2088" s="13" t="str">
        <x:v>grid_wekqfxnd.xlsx</x:v>
      </x:c>
    </x:row>
    <x:row r="2089">
      <x:c r="A2089" s="15" t="n">
        <x:v>41214</x:v>
      </x:c>
      <x:c r="B2089" s="13" t="str">
        <x:v>SOUZA CRUZ LTDA</x:v>
      </x:c>
      <x:c r="C2089" s="16" t="n">
        <x:v>1863.7978999233</x:v>
      </x:c>
      <x:c r="D2089" s="13" t="str">
        <x:v>Food &amp; Beverages</x:v>
      </x:c>
      <x:c r="E2089" s="13" t="str">
        <x:v>Agri, Food &amp; Beverages</x:v>
      </x:c>
      <x:c r="F2089" s="13" t="str">
        <x:v>Defensives</x:v>
      </x:c>
      <x:c r="G2089" s="13" t="str">
        <x:v>grid_wekqfxnd.xlsx</x:v>
      </x:c>
    </x:row>
    <x:row r="2090">
      <x:c r="A2090" s="15" t="n">
        <x:v>41214</x:v>
      </x:c>
      <x:c r="B2090" s="13" t="str">
        <x:v>DIAGNOSTICOS DA AMERICA SA</x:v>
      </x:c>
      <x:c r="C2090" s="16" t="n">
        <x:v>200.9280128</x:v>
      </x:c>
      <x:c r="D2090" s="13" t="str">
        <x:v>Health Care</x:v>
      </x:c>
      <x:c r="E2090" s="13" t="str">
        <x:v>Health Care</x:v>
      </x:c>
      <x:c r="F2090" s="13" t="str">
        <x:v>Defensives</x:v>
      </x:c>
      <x:c r="G2090" s="13" t="str">
        <x:v>grid_wekqfxnd.xlsx</x:v>
      </x:c>
    </x:row>
    <x:row r="2091">
      <x:c r="A2091" s="15" t="n">
        <x:v>41214</x:v>
      </x:c>
      <x:c r="B2091" s="13" t="str">
        <x:v>HYPERA SA</x:v>
      </x:c>
      <x:c r="C2091" s="16" t="n">
        <x:v>393.7427783014</x:v>
      </x:c>
      <x:c r="D2091" s="13" t="str">
        <x:v>Health Care</x:v>
      </x:c>
      <x:c r="E2091" s="13" t="str">
        <x:v>Health Care</x:v>
      </x:c>
      <x:c r="F2091" s="13" t="str">
        <x:v>Defensives</x:v>
      </x:c>
      <x:c r="G2091" s="13" t="str">
        <x:v>grid_wekqfxnd.xlsx</x:v>
      </x:c>
    </x:row>
    <x:row r="2092">
      <x:c r="A2092" s="15" t="n">
        <x:v>41214</x:v>
      </x:c>
      <x:c r="B2092" s="13" t="str">
        <x:v>CYRELA BRAZIL REALTY SA EMP</x:v>
      </x:c>
      <x:c r="C2092" s="16" t="n">
        <x:v>892.4746648548</x:v>
      </x:c>
      <x:c r="D2092" s="13" t="str">
        <x:v>Homebuilders</x:v>
      </x:c>
      <x:c r="E2092" s="13" t="str">
        <x:v>Real Estate</x:v>
      </x:c>
      <x:c r="F2092" s="13" t="str">
        <x:v>Early Cyclicals</x:v>
      </x:c>
      <x:c r="G2092" s="13" t="str">
        <x:v>grid_wekqfxnd.xlsx</x:v>
      </x:c>
    </x:row>
    <x:row r="2093">
      <x:c r="A2093" s="15" t="n">
        <x:v>41214</x:v>
      </x:c>
      <x:c r="B2093" s="13" t="str">
        <x:v>GAFISA SA</x:v>
      </x:c>
      <x:c r="C2093" s="16" t="n">
        <x:v>174.6014583562</x:v>
      </x:c>
      <x:c r="D2093" s="13" t="str">
        <x:v>Homebuilders</x:v>
      </x:c>
      <x:c r="E2093" s="13" t="str">
        <x:v>Real Estate</x:v>
      </x:c>
      <x:c r="F2093" s="13" t="str">
        <x:v>Early Cyclicals</x:v>
      </x:c>
      <x:c r="G2093" s="13" t="str">
        <x:v>grid_wekqfxnd.xlsx</x:v>
      </x:c>
    </x:row>
    <x:row r="2094">
      <x:c r="A2094" s="15" t="n">
        <x:v>41214</x:v>
      </x:c>
      <x:c r="B2094" s="13" t="str">
        <x:v>MRV ENGENHARIA</x:v>
      </x:c>
      <x:c r="C2094" s="16" t="n">
        <x:v>765.2180641315</x:v>
      </x:c>
      <x:c r="D2094" s="13" t="str">
        <x:v>Homebuilders</x:v>
      </x:c>
      <x:c r="E2094" s="13" t="str">
        <x:v>Real Estate</x:v>
      </x:c>
      <x:c r="F2094" s="13" t="str">
        <x:v>Early Cyclicals</x:v>
      </x:c>
      <x:c r="G2094" s="13" t="str">
        <x:v>grid_wekqfxnd.xlsx</x:v>
      </x:c>
    </x:row>
    <x:row r="2095">
      <x:c r="A2095" s="15" t="n">
        <x:v>41214</x:v>
      </x:c>
      <x:c r="B2095" s="13" t="str">
        <x:v>PDG REALTY SA</x:v>
      </x:c>
      <x:c r="C2095" s="16" t="n">
        <x:v>426.4071436274</x:v>
      </x:c>
      <x:c r="D2095" s="13" t="str">
        <x:v>Homebuilders</x:v>
      </x:c>
      <x:c r="E2095" s="13" t="str">
        <x:v>Real Estate</x:v>
      </x:c>
      <x:c r="F2095" s="13" t="str">
        <x:v>Early Cyclicals</x:v>
      </x:c>
      <x:c r="G2095" s="13" t="str">
        <x:v>grid_wekqfxnd.xlsx</x:v>
      </x:c>
    </x:row>
    <x:row r="2096">
      <x:c r="A2096" s="15" t="n">
        <x:v>41214</x:v>
      </x:c>
      <x:c r="B2096" s="13" t="str">
        <x:v>ROSSI RESIDENCIAL SA</x:v>
      </x:c>
      <x:c r="C2096" s="16" t="n">
        <x:v>331.8663561644</x:v>
      </x:c>
      <x:c r="D2096" s="13" t="str">
        <x:v>Homebuilders</x:v>
      </x:c>
      <x:c r="E2096" s="13" t="str">
        <x:v>Real Estate</x:v>
      </x:c>
      <x:c r="F2096" s="13" t="str">
        <x:v>Early Cyclicals</x:v>
      </x:c>
      <x:c r="G2096" s="13" t="str">
        <x:v>grid_wekqfxnd.xlsx</x:v>
      </x:c>
    </x:row>
    <x:row r="2097">
      <x:c r="A2097" s="15" t="n">
        <x:v>41214</x:v>
      </x:c>
      <x:c r="B2097" s="13" t="str">
        <x:v>TEGRA INCORPORADORA SA</x:v>
      </x:c>
      <x:c r="C2097" s="16" t="n">
        <x:v>235.3325422466</x:v>
      </x:c>
      <x:c r="D2097" s="13" t="str">
        <x:v>Homebuilders</x:v>
      </x:c>
      <x:c r="E2097" s="13" t="str">
        <x:v>Real Estate</x:v>
      </x:c>
      <x:c r="F2097" s="13" t="str">
        <x:v>Early Cyclicals</x:v>
      </x:c>
      <x:c r="G2097" s="13" t="str">
        <x:v>grid_wekqfxnd.xlsx</x:v>
      </x:c>
    </x:row>
    <x:row r="2098">
      <x:c r="A2098" s="15" t="n">
        <x:v>41214</x:v>
      </x:c>
      <x:c r="B2098" s="13" t="str">
        <x:v>BR MALLS PARTICIPACOES SA</x:v>
      </x:c>
      <x:c r="C2098" s="16" t="n">
        <x:v>564.6154920329</x:v>
      </x:c>
      <x:c r="D2098" s="13" t="str">
        <x:v>Income Properties</x:v>
      </x:c>
      <x:c r="E2098" s="13" t="str">
        <x:v>Real Estate</x:v>
      </x:c>
      <x:c r="F2098" s="13" t="str">
        <x:v>Early Cyclicals</x:v>
      </x:c>
      <x:c r="G2098" s="13" t="str">
        <x:v>grid_wekqfxnd.xlsx</x:v>
      </x:c>
    </x:row>
    <x:row r="2099">
      <x:c r="A2099" s="15" t="n">
        <x:v>41214</x:v>
      </x:c>
      <x:c r="B2099" s="13" t="str">
        <x:v>BRADESPAR SA -PREF</x:v>
      </x:c>
      <x:c r="C2099" s="16" t="n">
        <x:v>1244.8548352</x:v>
      </x:c>
      <x:c r="D2099" s="13" t="str">
        <x:v>Metals &amp; Mining</x:v>
      </x:c>
      <x:c r="E2099" s="13" t="str">
        <x:v>Metals &amp; Mining</x:v>
      </x:c>
      <x:c r="F2099" s="13" t="str">
        <x:v>Deep Cyclicals</x:v>
      </x:c>
      <x:c r="G2099" s="13" t="str">
        <x:v>grid_wekqfxnd.xlsx</x:v>
      </x:c>
    </x:row>
    <x:row r="2100">
      <x:c r="A2100" s="15" t="n">
        <x:v>41214</x:v>
      </x:c>
      <x:c r="B2100" s="13" t="str">
        <x:v>CIA SIDERURGICA NACIONAL SA</x:v>
      </x:c>
      <x:c r="C2100" s="16" t="n">
        <x:v>1326.754520548</x:v>
      </x:c>
      <x:c r="D2100" s="13" t="str">
        <x:v>Metals &amp; Mining</x:v>
      </x:c>
      <x:c r="E2100" s="13" t="str">
        <x:v>Metals &amp; Mining</x:v>
      </x:c>
      <x:c r="F2100" s="13" t="str">
        <x:v>Deep Cyclicals</x:v>
      </x:c>
      <x:c r="G2100" s="13" t="str">
        <x:v>grid_wekqfxnd.xlsx</x:v>
      </x:c>
    </x:row>
    <x:row r="2101">
      <x:c r="A2101" s="15" t="n">
        <x:v>41214</x:v>
      </x:c>
      <x:c r="B2101" s="13" t="str">
        <x:v>GERDAU SA-PREF</x:v>
      </x:c>
      <x:c r="C2101" s="16" t="n">
        <x:v>2229.7781163836</x:v>
      </x:c>
      <x:c r="D2101" s="13" t="str">
        <x:v>Metals &amp; Mining</x:v>
      </x:c>
      <x:c r="E2101" s="13" t="str">
        <x:v>Metals &amp; Mining</x:v>
      </x:c>
      <x:c r="F2101" s="13" t="str">
        <x:v>Deep Cyclicals</x:v>
      </x:c>
      <x:c r="G2101" s="13" t="str">
        <x:v>grid_wekqfxnd.xlsx</x:v>
      </x:c>
    </x:row>
    <x:row r="2102">
      <x:c r="A2102" s="15" t="n">
        <x:v>41214</x:v>
      </x:c>
      <x:c r="B2102" s="13" t="str">
        <x:v>METALURGICA GERDAU SA-PREF</x:v>
      </x:c>
      <x:c r="C2102" s="16" t="n">
        <x:v>921.8123260493</x:v>
      </x:c>
      <x:c r="D2102" s="13" t="str">
        <x:v>Metals &amp; Mining</x:v>
      </x:c>
      <x:c r="E2102" s="13" t="str">
        <x:v>Metals &amp; Mining</x:v>
      </x:c>
      <x:c r="F2102" s="13" t="str">
        <x:v>Deep Cyclicals</x:v>
      </x:c>
      <x:c r="G2102" s="13" t="str">
        <x:v>grid_wekqfxnd.xlsx</x:v>
      </x:c>
    </x:row>
    <x:row r="2103">
      <x:c r="A2103" s="15" t="n">
        <x:v>41214</x:v>
      </x:c>
      <x:c r="B2103" s="13" t="str">
        <x:v>MMX MINERACAO E METALICOS SA</x:v>
      </x:c>
      <x:c r="C2103" s="16" t="n">
        <x:v>-39.2253486247</x:v>
      </x:c>
      <x:c r="D2103" s="13" t="str">
        <x:v>Metals &amp; Mining</x:v>
      </x:c>
      <x:c r="E2103" s="13" t="str">
        <x:v>Metals &amp; Mining</x:v>
      </x:c>
      <x:c r="F2103" s="13" t="str">
        <x:v>Deep Cyclicals</x:v>
      </x:c>
      <x:c r="G2103" s="13" t="str">
        <x:v>grid_wekqfxnd.xlsx</x:v>
      </x:c>
    </x:row>
    <x:row r="2104">
      <x:c r="A2104" s="15" t="n">
        <x:v>41214</x:v>
      </x:c>
      <x:c r="B2104" s="13" t="str">
        <x:v>USINAS SIDER MINAS GER-PF A</x:v>
      </x:c>
      <x:c r="C2104" s="16" t="n">
        <x:v>385.880326926</x:v>
      </x:c>
      <x:c r="D2104" s="13" t="str">
        <x:v>Metals &amp; Mining</x:v>
      </x:c>
      <x:c r="E2104" s="13" t="str">
        <x:v>Metals &amp; Mining</x:v>
      </x:c>
      <x:c r="F2104" s="13" t="str">
        <x:v>Deep Cyclicals</x:v>
      </x:c>
      <x:c r="G2104" s="13" t="str">
        <x:v>grid_wekqfxnd.xlsx</x:v>
      </x:c>
    </x:row>
    <x:row r="2105">
      <x:c r="A2105" s="15" t="n">
        <x:v>41214</x:v>
      </x:c>
      <x:c r="B2105" s="13" t="str">
        <x:v>USINAS SIDERURGICAS DE MINAS</x:v>
      </x:c>
      <x:c r="C2105" s="16" t="n">
        <x:v>385.880326926</x:v>
      </x:c>
      <x:c r="D2105" s="13" t="str">
        <x:v>Metals &amp; Mining</x:v>
      </x:c>
      <x:c r="E2105" s="13" t="str">
        <x:v>Metals &amp; Mining</x:v>
      </x:c>
      <x:c r="F2105" s="13" t="str">
        <x:v>Deep Cyclicals</x:v>
      </x:c>
      <x:c r="G2105" s="13" t="str">
        <x:v>grid_wekqfxnd.xlsx</x:v>
      </x:c>
    </x:row>
    <x:row r="2106">
      <x:c r="A2106" s="15" t="n">
        <x:v>41214</x:v>
      </x:c>
      <x:c r="B2106" s="13" t="str">
        <x:v>VALE SA</x:v>
      </x:c>
      <x:c r="C2106" s="16" t="n">
        <x:v>23897.8604046027</x:v>
      </x:c>
      <x:c r="D2106" s="13" t="str">
        <x:v>Metals &amp; Mining</x:v>
      </x:c>
      <x:c r="E2106" s="13" t="str">
        <x:v>Metals &amp; Mining</x:v>
      </x:c>
      <x:c r="F2106" s="13" t="str">
        <x:v>Deep Cyclicals</x:v>
      </x:c>
      <x:c r="G2106" s="13" t="str">
        <x:v>grid_wekqfxnd.xlsx</x:v>
      </x:c>
    </x:row>
    <x:row r="2107">
      <x:c r="A2107" s="15" t="n">
        <x:v>41214</x:v>
      </x:c>
      <x:c r="B2107" s="13" t="str">
        <x:v>BRASKEM SA-PREF A</x:v>
      </x:c>
      <x:c r="C2107" s="16" t="n">
        <x:v>591.872018937</x:v>
      </x:c>
      <x:c r="D2107" s="13" t="str">
        <x:v>Oil, Gas &amp; Petrochemicals</x:v>
      </x:c>
      <x:c r="E2107" s="13" t="str">
        <x:v>Oil, Gas &amp; Petrochemicals</x:v>
      </x:c>
      <x:c r="F2107" s="13" t="str">
        <x:v>Deep Cyclicals</x:v>
      </x:c>
      <x:c r="G2107" s="13" t="str">
        <x:v>grid_wekqfxnd.xlsx</x:v>
      </x:c>
    </x:row>
    <x:row r="2108">
      <x:c r="A2108" s="15" t="n">
        <x:v>41214</x:v>
      </x:c>
      <x:c r="B2108" s="13" t="str">
        <x:v>OLEO E GAS PARTICIPACOES SA</x:v>
      </x:c>
      <x:c r="C2108" s="16" t="n">
        <x:v>-190.9142582356</x:v>
      </x:c>
      <x:c r="D2108" s="13" t="str">
        <x:v>Oil, Gas &amp; Petrochemicals</x:v>
      </x:c>
      <x:c r="E2108" s="13" t="str">
        <x:v>Oil, Gas &amp; Petrochemicals</x:v>
      </x:c>
      <x:c r="F2108" s="13" t="str">
        <x:v>Deep Cyclicals</x:v>
      </x:c>
      <x:c r="G2108" s="13" t="str">
        <x:v>grid_wekqfxnd.xlsx</x:v>
      </x:c>
    </x:row>
    <x:row r="2109">
      <x:c r="A2109" s="15" t="n">
        <x:v>41214</x:v>
      </x:c>
      <x:c r="B2109" s="13" t="str">
        <x:v>PETROBRAS - PETROLEO BRAS</x:v>
      </x:c>
      <x:c r="C2109" s="16" t="n">
        <x:v>32995.7484459836</x:v>
      </x:c>
      <x:c r="D2109" s="13" t="str">
        <x:v>Oil, Gas &amp; Petrochemicals</x:v>
      </x:c>
      <x:c r="E2109" s="13" t="str">
        <x:v>Oil, Gas &amp; Petrochemicals</x:v>
      </x:c>
      <x:c r="F2109" s="13" t="str">
        <x:v>Deep Cyclicals</x:v>
      </x:c>
      <x:c r="G2109" s="13" t="str">
        <x:v>grid_wekqfxnd.xlsx</x:v>
      </x:c>
    </x:row>
    <x:row r="2110">
      <x:c r="A2110" s="15" t="n">
        <x:v>41214</x:v>
      </x:c>
      <x:c r="B2110" s="13" t="str">
        <x:v>ULTRAPAR PARTICIPACOES SA</x:v>
      </x:c>
      <x:c r="C2110" s="16" t="n">
        <x:v>1126.0808539178</x:v>
      </x:c>
      <x:c r="D2110" s="13" t="str">
        <x:v>Oil, Gas &amp; Petrochemicals</x:v>
      </x:c>
      <x:c r="E2110" s="13" t="str">
        <x:v>Oil, Gas &amp; Petrochemicals</x:v>
      </x:c>
      <x:c r="F2110" s="13" t="str">
        <x:v>Deep Cyclicals</x:v>
      </x:c>
      <x:c r="G2110" s="13" t="str">
        <x:v>grid_wekqfxnd.xlsx</x:v>
      </x:c>
    </x:row>
    <x:row r="2111">
      <x:c r="A2111" s="15" t="n">
        <x:v>41214</x:v>
      </x:c>
      <x:c r="B2111" s="13" t="str">
        <x:v>DEXCO SA</x:v>
      </x:c>
      <x:c r="C2111" s="16" t="n">
        <x:v>451.2380276603</x:v>
      </x:c>
      <x:c r="D2111" s="13" t="str">
        <x:v>Pulp &amp; Paper</x:v>
      </x:c>
      <x:c r="E2111" s="13" t="str">
        <x:v>Pulp &amp; Paper</x:v>
      </x:c>
      <x:c r="F2111" s="13" t="str">
        <x:v>Deep Cyclicals</x:v>
      </x:c>
      <x:c r="G2111" s="13" t="str">
        <x:v>grid_wekqfxnd.xlsx</x:v>
      </x:c>
    </x:row>
    <x:row r="2112">
      <x:c r="A2112" s="15" t="n">
        <x:v>41214</x:v>
      </x:c>
      <x:c r="B2112" s="13" t="str">
        <x:v>FIBRIA CELULOSE S/A</x:v>
      </x:c>
      <x:c r="C2112" s="16" t="n">
        <x:v>101.6004130192</x:v>
      </x:c>
      <x:c r="D2112" s="13" t="str">
        <x:v>Pulp &amp; Paper</x:v>
      </x:c>
      <x:c r="E2112" s="13" t="str">
        <x:v>Pulp &amp; Paper</x:v>
      </x:c>
      <x:c r="F2112" s="13" t="str">
        <x:v>Deep Cyclicals</x:v>
      </x:c>
      <x:c r="G2112" s="13" t="str">
        <x:v>grid_wekqfxnd.xlsx</x:v>
      </x:c>
    </x:row>
    <x:row r="2113">
      <x:c r="A2113" s="15" t="n">
        <x:v>41214</x:v>
      </x:c>
      <x:c r="B2113" s="13" t="str">
        <x:v>SUZANO PAPEL E CELULO-PREF A</x:v>
      </x:c>
      <x:c r="C2113" s="16" t="n">
        <x:v>-8.9159941918</x:v>
      </x:c>
      <x:c r="D2113" s="13" t="str">
        <x:v>Pulp &amp; Paper</x:v>
      </x:c>
      <x:c r="E2113" s="13" t="str">
        <x:v>Pulp &amp; Paper</x:v>
      </x:c>
      <x:c r="F2113" s="13" t="str">
        <x:v>Deep Cyclicals</x:v>
      </x:c>
      <x:c r="G2113" s="13" t="str">
        <x:v>grid_wekqfxnd.xlsx</x:v>
      </x:c>
    </x:row>
    <x:row r="2114">
      <x:c r="A2114" s="15" t="n">
        <x:v>41214</x:v>
      </x:c>
      <x:c r="B2114" s="13" t="str">
        <x:v>AMERICANAS SA</x:v>
      </x:c>
      <x:c r="C2114" s="16" t="n">
        <x:v>-32.5795857534</x:v>
      </x:c>
      <x:c r="D2114" s="13" t="str">
        <x:v>Retail</x:v>
      </x:c>
      <x:c r="E2114" s="13" t="str">
        <x:v>Retail</x:v>
      </x:c>
      <x:c r="F2114" s="13" t="str">
        <x:v>Early Cyclicals</x:v>
      </x:c>
      <x:c r="G2114" s="13" t="str">
        <x:v>grid_wekqfxnd.xlsx</x:v>
      </x:c>
    </x:row>
    <x:row r="2115">
      <x:c r="A2115" s="15" t="n">
        <x:v>41214</x:v>
      </x:c>
      <x:c r="B2115" s="13" t="str">
        <x:v>CIA BRASILEIRA DE DIS-PREF</x:v>
      </x:c>
      <x:c r="C2115" s="16" t="n">
        <x:v>1212.0184912658</x:v>
      </x:c>
      <x:c r="D2115" s="13" t="str">
        <x:v>Retail</x:v>
      </x:c>
      <x:c r="E2115" s="13" t="str">
        <x:v>Retail</x:v>
      </x:c>
      <x:c r="F2115" s="13" t="str">
        <x:v>Early Cyclicals</x:v>
      </x:c>
      <x:c r="G2115" s="13" t="str">
        <x:v>grid_wekqfxnd.xlsx</x:v>
      </x:c>
    </x:row>
    <x:row r="2116">
      <x:c r="A2116" s="15" t="n">
        <x:v>41214</x:v>
      </x:c>
      <x:c r="B2116" s="13" t="str">
        <x:v>CIA HERING</x:v>
      </x:c>
      <x:c r="C2116" s="16" t="n">
        <x:v>383.1514262795</x:v>
      </x:c>
      <x:c r="D2116" s="13" t="str">
        <x:v>Retail</x:v>
      </x:c>
      <x:c r="E2116" s="13" t="str">
        <x:v>Retail</x:v>
      </x:c>
      <x:c r="F2116" s="13" t="str">
        <x:v>Early Cyclicals</x:v>
      </x:c>
      <x:c r="G2116" s="13" t="str">
        <x:v>grid_wekqfxnd.xlsx</x:v>
      </x:c>
    </x:row>
    <x:row r="2117">
      <x:c r="A2117" s="15" t="n">
        <x:v>41214</x:v>
      </x:c>
      <x:c r="B2117" s="13" t="str">
        <x:v>LOJAS AMERICANAS SA-PREF</x:v>
      </x:c>
      <x:c r="C2117" s="16" t="n">
        <x:v>544.8751417863</x:v>
      </x:c>
      <x:c r="D2117" s="13" t="str">
        <x:v>Retail</x:v>
      </x:c>
      <x:c r="E2117" s="13" t="str">
        <x:v>Retail</x:v>
      </x:c>
      <x:c r="F2117" s="13" t="str">
        <x:v>Early Cyclicals</x:v>
      </x:c>
      <x:c r="G2117" s="13" t="str">
        <x:v>grid_wekqfxnd.xlsx</x:v>
      </x:c>
    </x:row>
    <x:row r="2118">
      <x:c r="A2118" s="15" t="n">
        <x:v>41214</x:v>
      </x:c>
      <x:c r="B2118" s="13" t="str">
        <x:v>LOJAS RENNER S.A.</x:v>
      </x:c>
      <x:c r="C2118" s="16" t="n">
        <x:v>437.9117774027</x:v>
      </x:c>
      <x:c r="D2118" s="13" t="str">
        <x:v>Retail</x:v>
      </x:c>
      <x:c r="E2118" s="13" t="str">
        <x:v>Retail</x:v>
      </x:c>
      <x:c r="F2118" s="13" t="str">
        <x:v>Early Cyclicals</x:v>
      </x:c>
      <x:c r="G2118" s="13" t="str">
        <x:v>grid_wekqfxnd.xlsx</x:v>
      </x:c>
    </x:row>
    <x:row r="2119">
      <x:c r="A2119" s="15" t="n">
        <x:v>41214</x:v>
      </x:c>
      <x:c r="B2119" s="13" t="str">
        <x:v>NATURA COSMETICOS SA</x:v>
      </x:c>
      <x:c r="C2119" s="16" t="n">
        <x:v>1039.253010937</x:v>
      </x:c>
      <x:c r="D2119" s="13" t="str">
        <x:v>Retail</x:v>
      </x:c>
      <x:c r="E2119" s="13" t="str">
        <x:v>Retail</x:v>
      </x:c>
      <x:c r="F2119" s="13" t="str">
        <x:v>Early Cyclicals</x:v>
      </x:c>
      <x:c r="G2119" s="13" t="str">
        <x:v>grid_wekqfxnd.xlsx</x:v>
      </x:c>
    </x:row>
    <x:row r="2120">
      <x:c r="A2120" s="15" t="n">
        <x:v>41214</x:v>
      </x:c>
      <x:c r="B2120" s="13" t="str">
        <x:v>CIA SANEAMENTO BASICO DE SP</x:v>
      </x:c>
      <x:c r="C2120" s="16" t="n">
        <x:v>1890.5226464438</x:v>
      </x:c>
      <x:c r="D2120" s="13" t="str">
        <x:v>Sanitation</x:v>
      </x:c>
      <x:c r="E2120" s="13" t="str">
        <x:v>Utilities</x:v>
      </x:c>
      <x:c r="F2120" s="13" t="str">
        <x:v>Defensives</x:v>
      </x:c>
      <x:c r="G2120" s="13" t="str">
        <x:v>grid_wekqfxnd.xlsx</x:v>
      </x:c>
    </x:row>
    <x:row r="2121">
      <x:c r="A2121" s="15" t="n">
        <x:v>41214</x:v>
      </x:c>
      <x:c r="B2121" s="13" t="str">
        <x:v>OI S.A.</x:v>
      </x:c>
      <x:c r="C2121" s="16" t="n">
        <x:v>700.4884965699</x:v>
      </x:c>
      <x:c r="D2121" s="13" t="str">
        <x:v>TMT</x:v>
      </x:c>
      <x:c r="E2121" s="13" t="str">
        <x:v>TMT</x:v>
      </x:c>
      <x:c r="F2121" s="13" t="str">
        <x:v>Early Cyclicals</x:v>
      </x:c>
      <x:c r="G2121" s="13" t="str">
        <x:v>grid_wekqfxnd.xlsx</x:v>
      </x:c>
    </x:row>
    <x:row r="2122">
      <x:c r="A2122" s="15" t="n">
        <x:v>41214</x:v>
      </x:c>
      <x:c r="B2122" s="13" t="str">
        <x:v>OI SA-PREFERENCE</x:v>
      </x:c>
      <x:c r="C2122" s="16" t="n">
        <x:v>700.4884965699</x:v>
      </x:c>
      <x:c r="D2122" s="13" t="str">
        <x:v>TMT</x:v>
      </x:c>
      <x:c r="E2122" s="13" t="str">
        <x:v>TMT</x:v>
      </x:c>
      <x:c r="F2122" s="13" t="str">
        <x:v>Early Cyclicals</x:v>
      </x:c>
      <x:c r="G2122" s="13" t="str">
        <x:v>grid_wekqfxnd.xlsx</x:v>
      </x:c>
    </x:row>
    <x:row r="2123">
      <x:c r="A2123" s="15" t="n">
        <x:v>41214</x:v>
      </x:c>
      <x:c r="B2123" s="13" t="str">
        <x:v>TELEFONICA BRASIL S.A.-PREF</x:v>
      </x:c>
      <x:c r="C2123" s="16" t="n">
        <x:v>4854.366989326</x:v>
      </x:c>
      <x:c r="D2123" s="13" t="str">
        <x:v>TMT</x:v>
      </x:c>
      <x:c r="E2123" s="13" t="str">
        <x:v>TMT</x:v>
      </x:c>
      <x:c r="F2123" s="13" t="str">
        <x:v>Early Cyclicals</x:v>
      </x:c>
      <x:c r="G2123" s="13" t="str">
        <x:v>grid_wekqfxnd.xlsx</x:v>
      </x:c>
    </x:row>
    <x:row r="2124">
      <x:c r="A2124" s="15" t="n">
        <x:v>41214</x:v>
      </x:c>
      <x:c r="B2124" s="13" t="str">
        <x:v>TIM SA</x:v>
      </x:c>
      <x:c r="C2124" s="16" t="n">
        <x:v>1730.2300735123</x:v>
      </x:c>
      <x:c r="D2124" s="13" t="str">
        <x:v>TMT</x:v>
      </x:c>
      <x:c r="E2124" s="13" t="str">
        <x:v>TMT</x:v>
      </x:c>
      <x:c r="F2124" s="13" t="str">
        <x:v>Early Cyclicals</x:v>
      </x:c>
      <x:c r="G2124" s="13" t="str">
        <x:v>grid_wekqfxnd.xlsx</x:v>
      </x:c>
    </x:row>
    <x:row r="2125">
      <x:c r="A2125" s="15" t="n">
        <x:v>41214</x:v>
      </x:c>
      <x:c r="B2125" s="13" t="str">
        <x:v>GOL LINHAS AEREAS INT SA-PRE</x:v>
      </x:c>
      <x:c r="C2125" s="16" t="n">
        <x:v>-66.7640624</x:v>
      </x:c>
      <x:c r="D2125" s="13" t="str">
        <x:v>Transportation</x:v>
      </x:c>
      <x:c r="E2125" s="13" t="str">
        <x:v>Transportation</x:v>
      </x:c>
      <x:c r="F2125" s="13" t="str">
        <x:v>Deep Cyclicals</x:v>
      </x:c>
      <x:c r="G2125" s="13" t="str">
        <x:v>grid_wekqfxnd.xlsx</x:v>
      </x:c>
    </x:row>
    <x:row r="2126">
      <x:c r="A2126" s="15" t="n">
        <x:v>41214</x:v>
      </x:c>
      <x:c r="B2126" s="13" t="str">
        <x:v>LOCALIZA RENT A CAR</x:v>
      </x:c>
      <x:c r="C2126" s="16" t="n">
        <x:v>373.4399413479</x:v>
      </x:c>
      <x:c r="D2126" s="13" t="str">
        <x:v>Transportation</x:v>
      </x:c>
      <x:c r="E2126" s="13" t="str">
        <x:v>Transportation</x:v>
      </x:c>
      <x:c r="F2126" s="13" t="str">
        <x:v>Deep Cyclicals</x:v>
      </x:c>
      <x:c r="G2126" s="13" t="str">
        <x:v>grid_wekqfxnd.xlsx</x:v>
      </x:c>
    </x:row>
    <x:row r="2127">
      <x:c r="A2127" s="15" t="n">
        <x:v>41214</x:v>
      </x:c>
      <x:c r="B2127" s="13" t="str">
        <x:v>MOTIVA INFRAESTRUTURA DE MOB</x:v>
      </x:c>
      <x:c r="C2127" s="16" t="n">
        <x:v>1469.3290155836</x:v>
      </x:c>
      <x:c r="D2127" s="13" t="str">
        <x:v>Transportation</x:v>
      </x:c>
      <x:c r="E2127" s="13" t="str">
        <x:v>Transportation</x:v>
      </x:c>
      <x:c r="F2127" s="13" t="str">
        <x:v>Deep Cyclicals</x:v>
      </x:c>
      <x:c r="G2127" s="13" t="str">
        <x:v>grid_wekqfxnd.xlsx</x:v>
      </x:c>
    </x:row>
    <x:row r="2128">
      <x:c r="A2128" s="15" t="n">
        <x:v>41214</x:v>
      </x:c>
      <x:c r="B2128" s="13" t="str">
        <x:v>PRUMO LOGISTICA SA</x:v>
      </x:c>
      <x:c r="C2128" s="16" t="n">
        <x:v>-101.6773808219</x:v>
      </x:c>
      <x:c r="D2128" s="13" t="str">
        <x:v>Transportation</x:v>
      </x:c>
      <x:c r="E2128" s="13" t="str">
        <x:v>Transportation</x:v>
      </x:c>
      <x:c r="F2128" s="13" t="str">
        <x:v>Deep Cyclicals</x:v>
      </x:c>
      <x:c r="G2128" s="13" t="str">
        <x:v>grid_wekqfxnd.xlsx</x:v>
      </x:c>
    </x:row>
    <x:row r="2129">
      <x:c r="A2129" s="15" t="n">
        <x:v>41214</x:v>
      </x:c>
      <x:c r="B2129" s="13" t="str">
        <x:v>RUMO SA</x:v>
      </x:c>
      <x:c r="C2129" s="16" t="n">
        <x:v>372.497260274</x:v>
      </x:c>
      <x:c r="D2129" s="13" t="str">
        <x:v>Transportation</x:v>
      </x:c>
      <x:c r="E2129" s="13" t="str">
        <x:v>Transportation</x:v>
      </x:c>
      <x:c r="F2129" s="13" t="str">
        <x:v>Deep Cyclicals</x:v>
      </x:c>
      <x:c r="G2129" s="13" t="str">
        <x:v>grid_wekqfxnd.xlsx</x:v>
      </x:c>
    </x:row>
    <x:row r="2130">
      <x:c r="A2130" s="15" t="n">
        <x:v>41214</x:v>
      </x:c>
      <x:c r="B2130" s="13" t="str">
        <x:v>AXIA ENERGIA SA</x:v>
      </x:c>
      <x:c r="C2130" s="16" t="n">
        <x:v>2439.8034439014</x:v>
      </x:c>
      <x:c r="D2130" s="13" t="str">
        <x:v>Utilities &amp; Energy</x:v>
      </x:c>
      <x:c r="E2130" s="13" t="str">
        <x:v>Utilities</x:v>
      </x:c>
      <x:c r="F2130" s="13" t="str">
        <x:v>Defensives</x:v>
      </x:c>
      <x:c r="G2130" s="13" t="str">
        <x:v>grid_wekqfxnd.xlsx</x:v>
      </x:c>
    </x:row>
    <x:row r="2131">
      <x:c r="A2131" s="15" t="n">
        <x:v>41214</x:v>
      </x:c>
      <x:c r="B2131" s="13" t="str">
        <x:v>AXIA ENERGIA-PR B</x:v>
      </x:c>
      <x:c r="C2131" s="16" t="n">
        <x:v>2439.8034439014</x:v>
      </x:c>
      <x:c r="D2131" s="13" t="str">
        <x:v>Utilities &amp; Energy</x:v>
      </x:c>
      <x:c r="E2131" s="13" t="str">
        <x:v>Utilities</x:v>
      </x:c>
      <x:c r="F2131" s="13" t="str">
        <x:v>Defensives</x:v>
      </x:c>
      <x:c r="G2131" s="13" t="str">
        <x:v>grid_wekqfxnd.xlsx</x:v>
      </x:c>
    </x:row>
    <x:row r="2132">
      <x:c r="A2132" s="15" t="n">
        <x:v>41214</x:v>
      </x:c>
      <x:c r="B2132" s="13" t="str">
        <x:v>CESP - CIA ENERGETICA DE SAO</x:v>
      </x:c>
      <x:c r="C2132" s="16" t="n">
        <x:v>617.3704402411</x:v>
      </x:c>
      <x:c r="D2132" s="13" t="str">
        <x:v>Utilities &amp; Energy</x:v>
      </x:c>
      <x:c r="E2132" s="13" t="str">
        <x:v>Utilities</x:v>
      </x:c>
      <x:c r="F2132" s="13" t="str">
        <x:v>Defensives</x:v>
      </x:c>
      <x:c r="G2132" s="13" t="str">
        <x:v>grid_wekqfxnd.xlsx</x:v>
      </x:c>
    </x:row>
    <x:row r="2133">
      <x:c r="A2133" s="15" t="n">
        <x:v>41214</x:v>
      </x:c>
      <x:c r="B2133" s="13" t="str">
        <x:v>CIA ENERGETICA MINAS GER-PRF</x:v>
      </x:c>
      <x:c r="C2133" s="16" t="n">
        <x:v>2651.9149925699</x:v>
      </x:c>
      <x:c r="D2133" s="13" t="str">
        <x:v>Utilities &amp; Energy</x:v>
      </x:c>
      <x:c r="E2133" s="13" t="str">
        <x:v>Utilities</x:v>
      </x:c>
      <x:c r="F2133" s="13" t="str">
        <x:v>Defensives</x:v>
      </x:c>
      <x:c r="G2133" s="13" t="str">
        <x:v>grid_wekqfxnd.xlsx</x:v>
      </x:c>
    </x:row>
    <x:row r="2134">
      <x:c r="A2134" s="15" t="n">
        <x:v>41214</x:v>
      </x:c>
      <x:c r="B2134" s="13" t="str">
        <x:v>COMPANHIA PARANAENSE -PREF B</x:v>
      </x:c>
      <x:c r="C2134" s="16" t="n">
        <x:v>1018.4932269589</x:v>
      </x:c>
      <x:c r="D2134" s="13" t="str">
        <x:v>Utilities &amp; Energy</x:v>
      </x:c>
      <x:c r="E2134" s="13" t="str">
        <x:v>Utilities</x:v>
      </x:c>
      <x:c r="F2134" s="13" t="str">
        <x:v>Defensives</x:v>
      </x:c>
      <x:c r="G2134" s="13" t="str">
        <x:v>grid_wekqfxnd.xlsx</x:v>
      </x:c>
    </x:row>
    <x:row r="2135">
      <x:c r="A2135" s="15" t="n">
        <x:v>41214</x:v>
      </x:c>
      <x:c r="B2135" s="13" t="str">
        <x:v>CPFL ENERGIA SA</x:v>
      </x:c>
      <x:c r="C2135" s="16" t="n">
        <x:v>1347.4541375123</x:v>
      </x:c>
      <x:c r="D2135" s="13" t="str">
        <x:v>Utilities &amp; Energy</x:v>
      </x:c>
      <x:c r="E2135" s="13" t="str">
        <x:v>Utilities</x:v>
      </x:c>
      <x:c r="F2135" s="13" t="str">
        <x:v>Defensives</x:v>
      </x:c>
      <x:c r="G2135" s="13" t="str">
        <x:v>grid_wekqfxnd.xlsx</x:v>
      </x:c>
    </x:row>
    <x:row r="2136">
      <x:c r="A2136" s="15" t="n">
        <x:v>41214</x:v>
      </x:c>
      <x:c r="B2136" s="13" t="str">
        <x:v>ELETROPAULO METROPOLI-PREF</x:v>
      </x:c>
      <x:c r="C2136" s="16" t="n">
        <x:v>170.5907851397</x:v>
      </x:c>
      <x:c r="D2136" s="13" t="str">
        <x:v>Utilities &amp; Energy</x:v>
      </x:c>
      <x:c r="E2136" s="13" t="str">
        <x:v>Utilities</x:v>
      </x:c>
      <x:c r="F2136" s="13" t="str">
        <x:v>Defensives</x:v>
      </x:c>
      <x:c r="G2136" s="13" t="str">
        <x:v>grid_wekqfxnd.xlsx</x:v>
      </x:c>
    </x:row>
    <x:row r="2137">
      <x:c r="A2137" s="15" t="n">
        <x:v>41214</x:v>
      </x:c>
      <x:c r="B2137" s="13" t="str">
        <x:v>ISA ENERGIA BRASIL SA</x:v>
      </x:c>
      <x:c r="C2137" s="16" t="n">
        <x:v>688.3956336219</x:v>
      </x:c>
      <x:c r="D2137" s="13" t="str">
        <x:v>Utilities &amp; Energy</x:v>
      </x:c>
      <x:c r="E2137" s="13" t="str">
        <x:v>Utilities</x:v>
      </x:c>
      <x:c r="F2137" s="13" t="str">
        <x:v>Defensives</x:v>
      </x:c>
      <x:c r="G2137" s="13" t="str">
        <x:v>grid_wekqfxnd.xlsx</x:v>
      </x:c>
    </x:row>
    <x:row r="2138">
      <x:c r="A2138" s="15" t="n">
        <x:v>41214</x:v>
      </x:c>
      <x:c r="B2138" s="13" t="str">
        <x:v>LIGHT SA</x:v>
      </x:c>
      <x:c r="C2138" s="16" t="n">
        <x:v>620.4146829151</x:v>
      </x:c>
      <x:c r="D2138" s="13" t="str">
        <x:v>Utilities &amp; Energy</x:v>
      </x:c>
      <x:c r="E2138" s="13" t="str">
        <x:v>Utilities</x:v>
      </x:c>
      <x:c r="F2138" s="13" t="str">
        <x:v>Defensives</x:v>
      </x:c>
      <x:c r="G2138" s="13" t="str">
        <x:v>grid_wekqfxnd.xlsx</x:v>
      </x:c>
    </x:row>
    <x:row r="2139">
      <x:c r="A2139" s="15" t="n">
        <x:v>41244</x:v>
      </x:c>
      <x:c r="B2139" s="13" t="str">
        <x:v>BANCO BRADESCO SA-PREF</x:v>
      </x:c>
      <x:c r="C2139" s="16" t="n">
        <x:v>12997.699584</x:v>
      </x:c>
      <x:c r="D2139" s="13" t="str">
        <x:v>Banks</x:v>
      </x:c>
      <x:c r="E2139" s="13" t="str">
        <x:v>Banks</x:v>
      </x:c>
      <x:c r="F2139" s="13" t="str">
        <x:v>Financials</x:v>
      </x:c>
      <x:c r="G2139" s="13" t="str">
        <x:v>grid_wekqfxnd.xlsx</x:v>
      </x:c>
    </x:row>
    <x:row r="2140">
      <x:c r="A2140" s="15" t="n">
        <x:v>41244</x:v>
      </x:c>
      <x:c r="B2140" s="13" t="str">
        <x:v>BANCO DO BRASIL S.A.</x:v>
      </x:c>
      <x:c r="C2140" s="16" t="n">
        <x:v>10854.800384</x:v>
      </x:c>
      <x:c r="D2140" s="13" t="str">
        <x:v>Banks</x:v>
      </x:c>
      <x:c r="E2140" s="13" t="str">
        <x:v>Banks</x:v>
      </x:c>
      <x:c r="F2140" s="13" t="str">
        <x:v>Financials</x:v>
      </x:c>
      <x:c r="G2140" s="13" t="str">
        <x:v>grid_wekqfxnd.xlsx</x:v>
      </x:c>
    </x:row>
    <x:row r="2141">
      <x:c r="A2141" s="15" t="n">
        <x:v>41244</x:v>
      </x:c>
      <x:c r="B2141" s="13" t="str">
        <x:v>BANCO SANTANDER  BRASIL-UNIT</x:v>
      </x:c>
      <x:c r="C2141" s="16" t="n">
        <x:v>6853.199872</x:v>
      </x:c>
      <x:c r="D2141" s="13" t="str">
        <x:v>Banks</x:v>
      </x:c>
      <x:c r="E2141" s="13" t="str">
        <x:v>Banks</x:v>
      </x:c>
      <x:c r="F2141" s="13" t="str">
        <x:v>Financials</x:v>
      </x:c>
      <x:c r="G2141" s="13" t="str">
        <x:v>grid_wekqfxnd.xlsx</x:v>
      </x:c>
    </x:row>
    <x:row r="2142">
      <x:c r="A2142" s="15" t="n">
        <x:v>41244</x:v>
      </x:c>
      <x:c r="B2142" s="13" t="str">
        <x:v>ITAU UNIBANCO HOLDING S-PREF</x:v>
      </x:c>
      <x:c r="C2142" s="16" t="n">
        <x:v>16032.19968</x:v>
      </x:c>
      <x:c r="D2142" s="13" t="str">
        <x:v>Banks</x:v>
      </x:c>
      <x:c r="E2142" s="13" t="str">
        <x:v>Banks</x:v>
      </x:c>
      <x:c r="F2142" s="13" t="str">
        <x:v>Financials</x:v>
      </x:c>
      <x:c r="G2142" s="13" t="str">
        <x:v>grid_wekqfxnd.xlsx</x:v>
      </x:c>
    </x:row>
    <x:row r="2143">
      <x:c r="A2143" s="15" t="n">
        <x:v>41244</x:v>
      </x:c>
      <x:c r="B2143" s="13" t="str">
        <x:v>EMBRAER SA</x:v>
      </x:c>
      <x:c r="C2143" s="16" t="n">
        <x:v>1010.750016</x:v>
      </x:c>
      <x:c r="D2143" s="13" t="str">
        <x:v>Capital Goods</x:v>
      </x:c>
      <x:c r="E2143" s="13" t="str">
        <x:v>Capital Goods</x:v>
      </x:c>
      <x:c r="F2143" s="13" t="str">
        <x:v>Deep Cyclicals</x:v>
      </x:c>
      <x:c r="G2143" s="13" t="str">
        <x:v>grid_wekqfxnd.xlsx</x:v>
      </x:c>
    </x:row>
    <x:row r="2144">
      <x:c r="A2144" s="15" t="n">
        <x:v>41244</x:v>
      </x:c>
      <x:c r="B2144" s="13" t="str">
        <x:v>B3 SA-BRASIL BOLSA BALCAO</x:v>
      </x:c>
      <x:c r="C2144" s="16" t="n">
        <x:v>1584.300032</x:v>
      </x:c>
      <x:c r="D2144" s="13" t="str">
        <x:v>Financials Non-Banks</x:v>
      </x:c>
      <x:c r="E2144" s="13" t="str">
        <x:v>Financials Non-Banks</x:v>
      </x:c>
      <x:c r="F2144" s="13" t="str">
        <x:v>Financials</x:v>
      </x:c>
      <x:c r="G2144" s="13" t="str">
        <x:v>grid_wekqfxnd.xlsx</x:v>
      </x:c>
    </x:row>
    <x:row r="2145">
      <x:c r="A2145" s="15" t="n">
        <x:v>41244</x:v>
      </x:c>
      <x:c r="B2145" s="13" t="str">
        <x:v>CETIP SA-MERCADOS ORGANIZADO</x:v>
      </x:c>
      <x:c r="C2145" s="16" t="n">
        <x:v>414</x:v>
      </x:c>
      <x:c r="D2145" s="13" t="str">
        <x:v>Financials Non-Banks</x:v>
      </x:c>
      <x:c r="E2145" s="13" t="str">
        <x:v>Financials Non-Banks</x:v>
      </x:c>
      <x:c r="F2145" s="13" t="str">
        <x:v>Financials</x:v>
      </x:c>
      <x:c r="G2145" s="13" t="str">
        <x:v>grid_wekqfxnd.xlsx</x:v>
      </x:c>
    </x:row>
    <x:row r="2146">
      <x:c r="A2146" s="15" t="n">
        <x:v>41244</x:v>
      </x:c>
      <x:c r="B2146" s="13" t="str">
        <x:v>CIELO SA - INSTITUICAO DE PA</x:v>
      </x:c>
      <x:c r="C2146" s="16" t="n">
        <x:v>2594.139904</x:v>
      </x:c>
      <x:c r="D2146" s="13" t="str">
        <x:v>Financials Non-Banks</x:v>
      </x:c>
      <x:c r="E2146" s="13" t="str">
        <x:v>Financials Non-Banks</x:v>
      </x:c>
      <x:c r="F2146" s="13" t="str">
        <x:v>Financials</x:v>
      </x:c>
      <x:c r="G2146" s="13" t="str">
        <x:v>grid_wekqfxnd.xlsx</x:v>
      </x:c>
    </x:row>
    <x:row r="2147">
      <x:c r="A2147" s="15" t="n">
        <x:v>41244</x:v>
      </x:c>
      <x:c r="B2147" s="13" t="str">
        <x:v>ITAUSA SA</x:v>
      </x:c>
      <x:c r="C2147" s="16" t="n">
        <x:v>5649.50016</x:v>
      </x:c>
      <x:c r="D2147" s="13" t="str">
        <x:v>Financials Non-Banks</x:v>
      </x:c>
      <x:c r="E2147" s="13" t="str">
        <x:v>Financials Non-Banks</x:v>
      </x:c>
      <x:c r="F2147" s="13" t="str">
        <x:v>Financials</x:v>
      </x:c>
      <x:c r="G2147" s="13" t="str">
        <x:v>grid_wekqfxnd.xlsx</x:v>
      </x:c>
    </x:row>
    <x:row r="2148">
      <x:c r="A2148" s="15" t="n">
        <x:v>41244</x:v>
      </x:c>
      <x:c r="B2148" s="13" t="str">
        <x:v>AMBEV SA</x:v>
      </x:c>
      <x:c r="C2148" s="16" t="n">
        <x:v>10860.99968</x:v>
      </x:c>
      <x:c r="D2148" s="13" t="str">
        <x:v>Food &amp; Beverages</x:v>
      </x:c>
      <x:c r="E2148" s="13" t="str">
        <x:v>Agri, Food &amp; Beverages</x:v>
      </x:c>
      <x:c r="F2148" s="13" t="str">
        <x:v>Defensives</x:v>
      </x:c>
      <x:c r="G2148" s="13" t="str">
        <x:v>grid_wekqfxnd.xlsx</x:v>
      </x:c>
    </x:row>
    <x:row r="2149">
      <x:c r="A2149" s="15" t="n">
        <x:v>41244</x:v>
      </x:c>
      <x:c r="B2149" s="13" t="str">
        <x:v>BRF SA</x:v>
      </x:c>
      <x:c r="C2149" s="16" t="n">
        <x:v>1795.219968</x:v>
      </x:c>
      <x:c r="D2149" s="13" t="str">
        <x:v>Food &amp; Beverages</x:v>
      </x:c>
      <x:c r="E2149" s="13" t="str">
        <x:v>Agri, Food &amp; Beverages</x:v>
      </x:c>
      <x:c r="F2149" s="13" t="str">
        <x:v>Defensives</x:v>
      </x:c>
      <x:c r="G2149" s="13" t="str">
        <x:v>grid_wekqfxnd.xlsx</x:v>
      </x:c>
    </x:row>
    <x:row r="2150">
      <x:c r="A2150" s="15" t="n">
        <x:v>41244</x:v>
      </x:c>
      <x:c r="B2150" s="13" t="str">
        <x:v>MBRF GLOBAL FOODS COMPANY SA</x:v>
      </x:c>
      <x:c r="C2150" s="16" t="n">
        <x:v>170.528992</x:v>
      </x:c>
      <x:c r="D2150" s="13" t="str">
        <x:v>Food &amp; Beverages</x:v>
      </x:c>
      <x:c r="E2150" s="13" t="str">
        <x:v>Agri, Food &amp; Beverages</x:v>
      </x:c>
      <x:c r="F2150" s="13" t="str">
        <x:v>Defensives</x:v>
      </x:c>
      <x:c r="G2150" s="13" t="str">
        <x:v>grid_wekqfxnd.xlsx</x:v>
      </x:c>
    </x:row>
    <x:row r="2151">
      <x:c r="A2151" s="15" t="n">
        <x:v>41244</x:v>
      </x:c>
      <x:c r="B2151" s="13" t="str">
        <x:v>SOUZA CRUZ LTDA</x:v>
      </x:c>
      <x:c r="C2151" s="16" t="n">
        <x:v>1894.599936</x:v>
      </x:c>
      <x:c r="D2151" s="13" t="str">
        <x:v>Food &amp; Beverages</x:v>
      </x:c>
      <x:c r="E2151" s="13" t="str">
        <x:v>Agri, Food &amp; Beverages</x:v>
      </x:c>
      <x:c r="F2151" s="13" t="str">
        <x:v>Defensives</x:v>
      </x:c>
      <x:c r="G2151" s="13" t="str">
        <x:v>grid_wekqfxnd.xlsx</x:v>
      </x:c>
    </x:row>
    <x:row r="2152">
      <x:c r="A2152" s="15" t="n">
        <x:v>41244</x:v>
      </x:c>
      <x:c r="B2152" s="13" t="str">
        <x:v>DIAGNOSTICOS DA AMERICA SA</x:v>
      </x:c>
      <x:c r="C2152" s="16" t="n">
        <x:v>198.332992</x:v>
      </x:c>
      <x:c r="D2152" s="13" t="str">
        <x:v>Health Care</x:v>
      </x:c>
      <x:c r="E2152" s="13" t="str">
        <x:v>Health Care</x:v>
      </x:c>
      <x:c r="F2152" s="13" t="str">
        <x:v>Defensives</x:v>
      </x:c>
      <x:c r="G2152" s="13" t="str">
        <x:v>grid_wekqfxnd.xlsx</x:v>
      </x:c>
    </x:row>
    <x:row r="2153">
      <x:c r="A2153" s="15" t="n">
        <x:v>41244</x:v>
      </x:c>
      <x:c r="B2153" s="13" t="str">
        <x:v>HYPERA SA</x:v>
      </x:c>
      <x:c r="C2153" s="16" t="n">
        <x:v>425.544992</x:v>
      </x:c>
      <x:c r="D2153" s="13" t="str">
        <x:v>Health Care</x:v>
      </x:c>
      <x:c r="E2153" s="13" t="str">
        <x:v>Health Care</x:v>
      </x:c>
      <x:c r="F2153" s="13" t="str">
        <x:v>Defensives</x:v>
      </x:c>
      <x:c r="G2153" s="13" t="str">
        <x:v>grid_wekqfxnd.xlsx</x:v>
      </x:c>
    </x:row>
    <x:row r="2154">
      <x:c r="A2154" s="15" t="n">
        <x:v>41244</x:v>
      </x:c>
      <x:c r="B2154" s="13" t="str">
        <x:v>CYRELA BRAZIL REALTY SA EMP</x:v>
      </x:c>
      <x:c r="C2154" s="16" t="n">
        <x:v>888.561984</x:v>
      </x:c>
      <x:c r="D2154" s="13" t="str">
        <x:v>Homebuilders</x:v>
      </x:c>
      <x:c r="E2154" s="13" t="str">
        <x:v>Real Estate</x:v>
      </x:c>
      <x:c r="F2154" s="13" t="str">
        <x:v>Early Cyclicals</x:v>
      </x:c>
      <x:c r="G2154" s="13" t="str">
        <x:v>grid_wekqfxnd.xlsx</x:v>
      </x:c>
    </x:row>
    <x:row r="2155">
      <x:c r="A2155" s="15" t="n">
        <x:v>41244</x:v>
      </x:c>
      <x:c r="B2155" s="13" t="str">
        <x:v>GAFISA SA</x:v>
      </x:c>
      <x:c r="C2155" s="16" t="n">
        <x:v>183.1</x:v>
      </x:c>
      <x:c r="D2155" s="13" t="str">
        <x:v>Homebuilders</x:v>
      </x:c>
      <x:c r="E2155" s="13" t="str">
        <x:v>Real Estate</x:v>
      </x:c>
      <x:c r="F2155" s="13" t="str">
        <x:v>Early Cyclicals</x:v>
      </x:c>
      <x:c r="G2155" s="13" t="str">
        <x:v>grid_wekqfxnd.xlsx</x:v>
      </x:c>
    </x:row>
    <x:row r="2156">
      <x:c r="A2156" s="15" t="n">
        <x:v>41244</x:v>
      </x:c>
      <x:c r="B2156" s="13" t="str">
        <x:v>MRV ENGENHARIA</x:v>
      </x:c>
      <x:c r="C2156" s="16" t="n">
        <x:v>770.769024</x:v>
      </x:c>
      <x:c r="D2156" s="13" t="str">
        <x:v>Homebuilders</x:v>
      </x:c>
      <x:c r="E2156" s="13" t="str">
        <x:v>Real Estate</x:v>
      </x:c>
      <x:c r="F2156" s="13" t="str">
        <x:v>Early Cyclicals</x:v>
      </x:c>
      <x:c r="G2156" s="13" t="str">
        <x:v>grid_wekqfxnd.xlsx</x:v>
      </x:c>
    </x:row>
    <x:row r="2157">
      <x:c r="A2157" s="15" t="n">
        <x:v>41244</x:v>
      </x:c>
      <x:c r="B2157" s="13" t="str">
        <x:v>PDG REALTY SA</x:v>
      </x:c>
      <x:c r="C2157" s="16" t="n">
        <x:v>450.923008</x:v>
      </x:c>
      <x:c r="D2157" s="13" t="str">
        <x:v>Homebuilders</x:v>
      </x:c>
      <x:c r="E2157" s="13" t="str">
        <x:v>Real Estate</x:v>
      </x:c>
      <x:c r="F2157" s="13" t="str">
        <x:v>Early Cyclicals</x:v>
      </x:c>
      <x:c r="G2157" s="13" t="str">
        <x:v>grid_wekqfxnd.xlsx</x:v>
      </x:c>
    </x:row>
    <x:row r="2158">
      <x:c r="A2158" s="15" t="n">
        <x:v>41244</x:v>
      </x:c>
      <x:c r="B2158" s="13" t="str">
        <x:v>ROSSI RESIDENCIAL SA</x:v>
      </x:c>
      <x:c r="C2158" s="16" t="n">
        <x:v>326.088992</x:v>
      </x:c>
      <x:c r="D2158" s="13" t="str">
        <x:v>Homebuilders</x:v>
      </x:c>
      <x:c r="E2158" s="13" t="str">
        <x:v>Real Estate</x:v>
      </x:c>
      <x:c r="F2158" s="13" t="str">
        <x:v>Early Cyclicals</x:v>
      </x:c>
      <x:c r="G2158" s="13" t="str">
        <x:v>grid_wekqfxnd.xlsx</x:v>
      </x:c>
    </x:row>
    <x:row r="2159">
      <x:c r="A2159" s="15" t="n">
        <x:v>41244</x:v>
      </x:c>
      <x:c r="B2159" s="13" t="str">
        <x:v>TEGRA INCORPORADORA SA</x:v>
      </x:c>
      <x:c r="C2159" s="16" t="n">
        <x:v>261.571008</x:v>
      </x:c>
      <x:c r="D2159" s="13" t="str">
        <x:v>Homebuilders</x:v>
      </x:c>
      <x:c r="E2159" s="13" t="str">
        <x:v>Real Estate</x:v>
      </x:c>
      <x:c r="F2159" s="13" t="str">
        <x:v>Early Cyclicals</x:v>
      </x:c>
      <x:c r="G2159" s="13" t="str">
        <x:v>grid_wekqfxnd.xlsx</x:v>
      </x:c>
    </x:row>
    <x:row r="2160">
      <x:c r="A2160" s="15" t="n">
        <x:v>41244</x:v>
      </x:c>
      <x:c r="B2160" s="13" t="str">
        <x:v>BR MALLS PARTICIPACOES SA</x:v>
      </x:c>
      <x:c r="C2160" s="16" t="n">
        <x:v>576.286016</x:v>
      </x:c>
      <x:c r="D2160" s="13" t="str">
        <x:v>Income Properties</x:v>
      </x:c>
      <x:c r="E2160" s="13" t="str">
        <x:v>Real Estate</x:v>
      </x:c>
      <x:c r="F2160" s="13" t="str">
        <x:v>Early Cyclicals</x:v>
      </x:c>
      <x:c r="G2160" s="13" t="str">
        <x:v>grid_wekqfxnd.xlsx</x:v>
      </x:c>
    </x:row>
    <x:row r="2161">
      <x:c r="A2161" s="15" t="n">
        <x:v>41244</x:v>
      </x:c>
      <x:c r="B2161" s="13" t="str">
        <x:v>BRADESPAR SA -PREF</x:v>
      </x:c>
      <x:c r="C2161" s="16" t="n">
        <x:v>1503.000064</x:v>
      </x:c>
      <x:c r="D2161" s="13" t="str">
        <x:v>Metals &amp; Mining</x:v>
      </x:c>
      <x:c r="E2161" s="13" t="str">
        <x:v>Metals &amp; Mining</x:v>
      </x:c>
      <x:c r="F2161" s="13" t="str">
        <x:v>Deep Cyclicals</x:v>
      </x:c>
      <x:c r="G2161" s="13" t="str">
        <x:v>grid_wekqfxnd.xlsx</x:v>
      </x:c>
    </x:row>
    <x:row r="2162">
      <x:c r="A2162" s="15" t="n">
        <x:v>41244</x:v>
      </x:c>
      <x:c r="B2162" s="13" t="str">
        <x:v>CIA SIDERURGICA NACIONAL SA</x:v>
      </x:c>
      <x:c r="C2162" s="16" t="n">
        <x:v>1518.599936</x:v>
      </x:c>
      <x:c r="D2162" s="13" t="str">
        <x:v>Metals &amp; Mining</x:v>
      </x:c>
      <x:c r="E2162" s="13" t="str">
        <x:v>Metals &amp; Mining</x:v>
      </x:c>
      <x:c r="F2162" s="13" t="str">
        <x:v>Deep Cyclicals</x:v>
      </x:c>
      <x:c r="G2162" s="13" t="str">
        <x:v>grid_wekqfxnd.xlsx</x:v>
      </x:c>
    </x:row>
    <x:row r="2163">
      <x:c r="A2163" s="15" t="n">
        <x:v>41244</x:v>
      </x:c>
      <x:c r="B2163" s="13" t="str">
        <x:v>GERDAU SA-PREF</x:v>
      </x:c>
      <x:c r="C2163" s="16" t="n">
        <x:v>2275.859968</x:v>
      </x:c>
      <x:c r="D2163" s="13" t="str">
        <x:v>Metals &amp; Mining</x:v>
      </x:c>
      <x:c r="E2163" s="13" t="str">
        <x:v>Metals &amp; Mining</x:v>
      </x:c>
      <x:c r="F2163" s="13" t="str">
        <x:v>Deep Cyclicals</x:v>
      </x:c>
      <x:c r="G2163" s="13" t="str">
        <x:v>grid_wekqfxnd.xlsx</x:v>
      </x:c>
    </x:row>
    <x:row r="2164">
      <x:c r="A2164" s="15" t="n">
        <x:v>41244</x:v>
      </x:c>
      <x:c r="B2164" s="13" t="str">
        <x:v>METALURGICA GERDAU SA-PREF</x:v>
      </x:c>
      <x:c r="C2164" s="16" t="n">
        <x:v>887.667008</x:v>
      </x:c>
      <x:c r="D2164" s="13" t="str">
        <x:v>Metals &amp; Mining</x:v>
      </x:c>
      <x:c r="E2164" s="13" t="str">
        <x:v>Metals &amp; Mining</x:v>
      </x:c>
      <x:c r="F2164" s="13" t="str">
        <x:v>Deep Cyclicals</x:v>
      </x:c>
      <x:c r="G2164" s="13" t="str">
        <x:v>grid_wekqfxnd.xlsx</x:v>
      </x:c>
    </x:row>
    <x:row r="2165">
      <x:c r="A2165" s="15" t="n">
        <x:v>41244</x:v>
      </x:c>
      <x:c r="B2165" s="13" t="str">
        <x:v>MMX MINERACAO E METALICOS SA</x:v>
      </x:c>
      <x:c r="C2165" s="16" t="n">
        <x:v>-30.3778</x:v>
      </x:c>
      <x:c r="D2165" s="13" t="str">
        <x:v>Metals &amp; Mining</x:v>
      </x:c>
      <x:c r="E2165" s="13" t="str">
        <x:v>Metals &amp; Mining</x:v>
      </x:c>
      <x:c r="F2165" s="13" t="str">
        <x:v>Deep Cyclicals</x:v>
      </x:c>
      <x:c r="G2165" s="13" t="str">
        <x:v>grid_wekqfxnd.xlsx</x:v>
      </x:c>
    </x:row>
    <x:row r="2166">
      <x:c r="A2166" s="15" t="n">
        <x:v>41244</x:v>
      </x:c>
      <x:c r="B2166" s="13" t="str">
        <x:v>USINAS SIDER MINAS GER-PF A</x:v>
      </x:c>
      <x:c r="C2166" s="16" t="n">
        <x:v>352.182016</x:v>
      </x:c>
      <x:c r="D2166" s="13" t="str">
        <x:v>Metals &amp; Mining</x:v>
      </x:c>
      <x:c r="E2166" s="13" t="str">
        <x:v>Metals &amp; Mining</x:v>
      </x:c>
      <x:c r="F2166" s="13" t="str">
        <x:v>Deep Cyclicals</x:v>
      </x:c>
      <x:c r="G2166" s="13" t="str">
        <x:v>grid_wekqfxnd.xlsx</x:v>
      </x:c>
    </x:row>
    <x:row r="2167">
      <x:c r="A2167" s="15" t="n">
        <x:v>41244</x:v>
      </x:c>
      <x:c r="B2167" s="13" t="str">
        <x:v>USINAS SIDERURGICAS DE MINAS</x:v>
      </x:c>
      <x:c r="C2167" s="16" t="n">
        <x:v>352.182016</x:v>
      </x:c>
      <x:c r="D2167" s="13" t="str">
        <x:v>Metals &amp; Mining</x:v>
      </x:c>
      <x:c r="E2167" s="13" t="str">
        <x:v>Metals &amp; Mining</x:v>
      </x:c>
      <x:c r="F2167" s="13" t="str">
        <x:v>Deep Cyclicals</x:v>
      </x:c>
      <x:c r="G2167" s="13" t="str">
        <x:v>grid_wekqfxnd.xlsx</x:v>
      </x:c>
    </x:row>
    <x:row r="2168">
      <x:c r="A2168" s="15" t="n">
        <x:v>41244</x:v>
      </x:c>
      <x:c r="B2168" s="13" t="str">
        <x:v>VALE SA</x:v>
      </x:c>
      <x:c r="C2168" s="16" t="n">
        <x:v>23932.399616</x:v>
      </x:c>
      <x:c r="D2168" s="13" t="str">
        <x:v>Metals &amp; Mining</x:v>
      </x:c>
      <x:c r="E2168" s="13" t="str">
        <x:v>Metals &amp; Mining</x:v>
      </x:c>
      <x:c r="F2168" s="13" t="str">
        <x:v>Deep Cyclicals</x:v>
      </x:c>
      <x:c r="G2168" s="13" t="str">
        <x:v>grid_wekqfxnd.xlsx</x:v>
      </x:c>
    </x:row>
    <x:row r="2169">
      <x:c r="A2169" s="15" t="n">
        <x:v>41244</x:v>
      </x:c>
      <x:c r="B2169" s="13" t="str">
        <x:v>BRASKEM SA-PREF A</x:v>
      </x:c>
      <x:c r="C2169" s="16" t="n">
        <x:v>580.124992</x:v>
      </x:c>
      <x:c r="D2169" s="13" t="str">
        <x:v>Oil, Gas &amp; Petrochemicals</x:v>
      </x:c>
      <x:c r="E2169" s="13" t="str">
        <x:v>Oil, Gas &amp; Petrochemicals</x:v>
      </x:c>
      <x:c r="F2169" s="13" t="str">
        <x:v>Deep Cyclicals</x:v>
      </x:c>
      <x:c r="G2169" s="13" t="str">
        <x:v>grid_wekqfxnd.xlsx</x:v>
      </x:c>
    </x:row>
    <x:row r="2170">
      <x:c r="A2170" s="15" t="n">
        <x:v>41244</x:v>
      </x:c>
      <x:c r="B2170" s="13" t="str">
        <x:v>OLEO E GAS PARTICIPACOES SA</x:v>
      </x:c>
      <x:c r="C2170" s="16" t="n">
        <x:v>-102.4</x:v>
      </x:c>
      <x:c r="D2170" s="13" t="str">
        <x:v>Oil, Gas &amp; Petrochemicals</x:v>
      </x:c>
      <x:c r="E2170" s="13" t="str">
        <x:v>Oil, Gas &amp; Petrochemicals</x:v>
      </x:c>
      <x:c r="F2170" s="13" t="str">
        <x:v>Deep Cyclicals</x:v>
      </x:c>
      <x:c r="G2170" s="13" t="str">
        <x:v>grid_wekqfxnd.xlsx</x:v>
      </x:c>
    </x:row>
    <x:row r="2171">
      <x:c r="A2171" s="15" t="n">
        <x:v>41244</x:v>
      </x:c>
      <x:c r="B2171" s="13" t="str">
        <x:v>PETROBRAS - PETROLEO BRAS</x:v>
      </x:c>
      <x:c r="C2171" s="16" t="n">
        <x:v>33487.40096</x:v>
      </x:c>
      <x:c r="D2171" s="13" t="str">
        <x:v>Oil, Gas &amp; Petrochemicals</x:v>
      </x:c>
      <x:c r="E2171" s="13" t="str">
        <x:v>Oil, Gas &amp; Petrochemicals</x:v>
      </x:c>
      <x:c r="F2171" s="13" t="str">
        <x:v>Deep Cyclicals</x:v>
      </x:c>
      <x:c r="G2171" s="13" t="str">
        <x:v>grid_wekqfxnd.xlsx</x:v>
      </x:c>
    </x:row>
    <x:row r="2172">
      <x:c r="A2172" s="15" t="n">
        <x:v>41244</x:v>
      </x:c>
      <x:c r="B2172" s="13" t="str">
        <x:v>ULTRAPAR PARTICIPACOES SA</x:v>
      </x:c>
      <x:c r="C2172" s="16" t="n">
        <x:v>1131.000064</x:v>
      </x:c>
      <x:c r="D2172" s="13" t="str">
        <x:v>Oil, Gas &amp; Petrochemicals</x:v>
      </x:c>
      <x:c r="E2172" s="13" t="str">
        <x:v>Oil, Gas &amp; Petrochemicals</x:v>
      </x:c>
      <x:c r="F2172" s="13" t="str">
        <x:v>Deep Cyclicals</x:v>
      </x:c>
      <x:c r="G2172" s="13" t="str">
        <x:v>grid_wekqfxnd.xlsx</x:v>
      </x:c>
    </x:row>
    <x:row r="2173">
      <x:c r="A2173" s="15" t="n">
        <x:v>41244</x:v>
      </x:c>
      <x:c r="B2173" s="13" t="str">
        <x:v>DEXCO SA</x:v>
      </x:c>
      <x:c r="C2173" s="16" t="n">
        <x:v>456.143008</x:v>
      </x:c>
      <x:c r="D2173" s="13" t="str">
        <x:v>Pulp &amp; Paper</x:v>
      </x:c>
      <x:c r="E2173" s="13" t="str">
        <x:v>Pulp &amp; Paper</x:v>
      </x:c>
      <x:c r="F2173" s="13" t="str">
        <x:v>Deep Cyclicals</x:v>
      </x:c>
      <x:c r="G2173" s="13" t="str">
        <x:v>grid_wekqfxnd.xlsx</x:v>
      </x:c>
    </x:row>
    <x:row r="2174">
      <x:c r="A2174" s="15" t="n">
        <x:v>41244</x:v>
      </x:c>
      <x:c r="B2174" s="13" t="str">
        <x:v>FIBRIA CELULOSE S/A</x:v>
      </x:c>
      <x:c r="C2174" s="16" t="n">
        <x:v>214.172992</x:v>
      </x:c>
      <x:c r="D2174" s="13" t="str">
        <x:v>Pulp &amp; Paper</x:v>
      </x:c>
      <x:c r="E2174" s="13" t="str">
        <x:v>Pulp &amp; Paper</x:v>
      </x:c>
      <x:c r="F2174" s="13" t="str">
        <x:v>Deep Cyclicals</x:v>
      </x:c>
      <x:c r="G2174" s="13" t="str">
        <x:v>grid_wekqfxnd.xlsx</x:v>
      </x:c>
    </x:row>
    <x:row r="2175">
      <x:c r="A2175" s="15" t="n">
        <x:v>41244</x:v>
      </x:c>
      <x:c r="B2175" s="13" t="str">
        <x:v>SUZANO PAPEL E CELULO-PREF A</x:v>
      </x:c>
      <x:c r="C2175" s="16" t="n">
        <x:v>-9.44455</x:v>
      </x:c>
      <x:c r="D2175" s="13" t="str">
        <x:v>Pulp &amp; Paper</x:v>
      </x:c>
      <x:c r="E2175" s="13" t="str">
        <x:v>Pulp &amp; Paper</x:v>
      </x:c>
      <x:c r="F2175" s="13" t="str">
        <x:v>Deep Cyclicals</x:v>
      </x:c>
      <x:c r="G2175" s="13" t="str">
        <x:v>grid_wekqfxnd.xlsx</x:v>
      </x:c>
    </x:row>
    <x:row r="2176">
      <x:c r="A2176" s="15" t="n">
        <x:v>41244</x:v>
      </x:c>
      <x:c r="B2176" s="13" t="str">
        <x:v>AMERICANAS SA</x:v>
      </x:c>
      <x:c r="C2176" s="16" t="n">
        <x:v>-34.9955</x:v>
      </x:c>
      <x:c r="D2176" s="13" t="str">
        <x:v>Retail</x:v>
      </x:c>
      <x:c r="E2176" s="13" t="str">
        <x:v>Retail</x:v>
      </x:c>
      <x:c r="F2176" s="13" t="str">
        <x:v>Early Cyclicals</x:v>
      </x:c>
      <x:c r="G2176" s="13" t="str">
        <x:v>grid_wekqfxnd.xlsx</x:v>
      </x:c>
    </x:row>
    <x:row r="2177">
      <x:c r="A2177" s="15" t="n">
        <x:v>41244</x:v>
      </x:c>
      <x:c r="B2177" s="13" t="str">
        <x:v>CIA BRASILEIRA DE DIS-PREF</x:v>
      </x:c>
      <x:c r="C2177" s="16" t="n">
        <x:v>1224.56</x:v>
      </x:c>
      <x:c r="D2177" s="13" t="str">
        <x:v>Retail</x:v>
      </x:c>
      <x:c r="E2177" s="13" t="str">
        <x:v>Retail</x:v>
      </x:c>
      <x:c r="F2177" s="13" t="str">
        <x:v>Early Cyclicals</x:v>
      </x:c>
      <x:c r="G2177" s="13" t="str">
        <x:v>grid_wekqfxnd.xlsx</x:v>
      </x:c>
    </x:row>
    <x:row r="2178">
      <x:c r="A2178" s="15" t="n">
        <x:v>41244</x:v>
      </x:c>
      <x:c r="B2178" s="13" t="str">
        <x:v>CIA HERING</x:v>
      </x:c>
      <x:c r="C2178" s="16" t="n">
        <x:v>385.384992</x:v>
      </x:c>
      <x:c r="D2178" s="13" t="str">
        <x:v>Retail</x:v>
      </x:c>
      <x:c r="E2178" s="13" t="str">
        <x:v>Retail</x:v>
      </x:c>
      <x:c r="F2178" s="13" t="str">
        <x:v>Early Cyclicals</x:v>
      </x:c>
      <x:c r="G2178" s="13" t="str">
        <x:v>grid_wekqfxnd.xlsx</x:v>
      </x:c>
    </x:row>
    <x:row r="2179">
      <x:c r="A2179" s="15" t="n">
        <x:v>41244</x:v>
      </x:c>
      <x:c r="B2179" s="13" t="str">
        <x:v>LOJAS AMERICANAS SA-PREF</x:v>
      </x:c>
      <x:c r="C2179" s="16" t="n">
        <x:v>564.777984</x:v>
      </x:c>
      <x:c r="D2179" s="13" t="str">
        <x:v>Retail</x:v>
      </x:c>
      <x:c r="E2179" s="13" t="str">
        <x:v>Retail</x:v>
      </x:c>
      <x:c r="F2179" s="13" t="str">
        <x:v>Early Cyclicals</x:v>
      </x:c>
      <x:c r="G2179" s="13" t="str">
        <x:v>grid_wekqfxnd.xlsx</x:v>
      </x:c>
    </x:row>
    <x:row r="2180">
      <x:c r="A2180" s="15" t="n">
        <x:v>41244</x:v>
      </x:c>
      <x:c r="B2180" s="13" t="str">
        <x:v>LOJAS RENNER S.A.</x:v>
      </x:c>
      <x:c r="C2180" s="16" t="n">
        <x:v>445.462016</x:v>
      </x:c>
      <x:c r="D2180" s="13" t="str">
        <x:v>Retail</x:v>
      </x:c>
      <x:c r="E2180" s="13" t="str">
        <x:v>Retail</x:v>
      </x:c>
      <x:c r="F2180" s="13" t="str">
        <x:v>Early Cyclicals</x:v>
      </x:c>
      <x:c r="G2180" s="13" t="str">
        <x:v>grid_wekqfxnd.xlsx</x:v>
      </x:c>
    </x:row>
    <x:row r="2181">
      <x:c r="A2181" s="15" t="n">
        <x:v>41244</x:v>
      </x:c>
      <x:c r="B2181" s="13" t="str">
        <x:v>NATURA COSMETICOS SA</x:v>
      </x:c>
      <x:c r="C2181" s="16" t="n">
        <x:v>1030.889984</x:v>
      </x:c>
      <x:c r="D2181" s="13" t="str">
        <x:v>Retail</x:v>
      </x:c>
      <x:c r="E2181" s="13" t="str">
        <x:v>Retail</x:v>
      </x:c>
      <x:c r="F2181" s="13" t="str">
        <x:v>Early Cyclicals</x:v>
      </x:c>
      <x:c r="G2181" s="13" t="str">
        <x:v>grid_wekqfxnd.xlsx</x:v>
      </x:c>
    </x:row>
    <x:row r="2182">
      <x:c r="A2182" s="15" t="n">
        <x:v>41244</x:v>
      </x:c>
      <x:c r="B2182" s="13" t="str">
        <x:v>CIA SANEAMENTO BASICO DE SP</x:v>
      </x:c>
      <x:c r="C2182" s="16" t="n">
        <x:v>1926</x:v>
      </x:c>
      <x:c r="D2182" s="13" t="str">
        <x:v>Sanitation</x:v>
      </x:c>
      <x:c r="E2182" s="13" t="str">
        <x:v>Utilities</x:v>
      </x:c>
      <x:c r="F2182" s="13" t="str">
        <x:v>Defensives</x:v>
      </x:c>
      <x:c r="G2182" s="13" t="str">
        <x:v>grid_wekqfxnd.xlsx</x:v>
      </x:c>
    </x:row>
    <x:row r="2183">
      <x:c r="A2183" s="15" t="n">
        <x:v>41244</x:v>
      </x:c>
      <x:c r="B2183" s="13" t="str">
        <x:v>OI S.A.</x:v>
      </x:c>
      <x:c r="C2183" s="16" t="n">
        <x:v>758.625024</x:v>
      </x:c>
      <x:c r="D2183" s="13" t="str">
        <x:v>TMT</x:v>
      </x:c>
      <x:c r="E2183" s="13" t="str">
        <x:v>TMT</x:v>
      </x:c>
      <x:c r="F2183" s="13" t="str">
        <x:v>Early Cyclicals</x:v>
      </x:c>
      <x:c r="G2183" s="13" t="str">
        <x:v>grid_wekqfxnd.xlsx</x:v>
      </x:c>
    </x:row>
    <x:row r="2184">
      <x:c r="A2184" s="15" t="n">
        <x:v>41244</x:v>
      </x:c>
      <x:c r="B2184" s="13" t="str">
        <x:v>OI SA-PREFERENCE</x:v>
      </x:c>
      <x:c r="C2184" s="16" t="n">
        <x:v>758.625024</x:v>
      </x:c>
      <x:c r="D2184" s="13" t="str">
        <x:v>TMT</x:v>
      </x:c>
      <x:c r="E2184" s="13" t="str">
        <x:v>TMT</x:v>
      </x:c>
      <x:c r="F2184" s="13" t="str">
        <x:v>Early Cyclicals</x:v>
      </x:c>
      <x:c r="G2184" s="13" t="str">
        <x:v>grid_wekqfxnd.xlsx</x:v>
      </x:c>
    </x:row>
    <x:row r="2185">
      <x:c r="A2185" s="15" t="n">
        <x:v>41244</x:v>
      </x:c>
      <x:c r="B2185" s="13" t="str">
        <x:v>TELEFONICA BRASIL S.A.-PREF</x:v>
      </x:c>
      <x:c r="C2185" s="16" t="n">
        <x:v>4750.130176</x:v>
      </x:c>
      <x:c r="D2185" s="13" t="str">
        <x:v>TMT</x:v>
      </x:c>
      <x:c r="E2185" s="13" t="str">
        <x:v>TMT</x:v>
      </x:c>
      <x:c r="F2185" s="13" t="str">
        <x:v>Early Cyclicals</x:v>
      </x:c>
      <x:c r="G2185" s="13" t="str">
        <x:v>grid_wekqfxnd.xlsx</x:v>
      </x:c>
    </x:row>
    <x:row r="2186">
      <x:c r="A2186" s="15" t="n">
        <x:v>41244</x:v>
      </x:c>
      <x:c r="B2186" s="13" t="str">
        <x:v>TIM SA</x:v>
      </x:c>
      <x:c r="C2186" s="16" t="n">
        <x:v>1749.900032</x:v>
      </x:c>
      <x:c r="D2186" s="13" t="str">
        <x:v>TMT</x:v>
      </x:c>
      <x:c r="E2186" s="13" t="str">
        <x:v>TMT</x:v>
      </x:c>
      <x:c r="F2186" s="13" t="str">
        <x:v>Early Cyclicals</x:v>
      </x:c>
      <x:c r="G2186" s="13" t="str">
        <x:v>grid_wekqfxnd.xlsx</x:v>
      </x:c>
    </x:row>
    <x:row r="2187">
      <x:c r="A2187" s="15" t="n">
        <x:v>41244</x:v>
      </x:c>
      <x:c r="B2187" s="13" t="str">
        <x:v>GOL LINHAS AEREAS INT SA-PRE</x:v>
      </x:c>
      <x:c r="C2187" s="16" t="n">
        <x:v>-6.46667</x:v>
      </x:c>
      <x:c r="D2187" s="13" t="str">
        <x:v>Transportation</x:v>
      </x:c>
      <x:c r="E2187" s="13" t="str">
        <x:v>Transportation</x:v>
      </x:c>
      <x:c r="F2187" s="13" t="str">
        <x:v>Deep Cyclicals</x:v>
      </x:c>
      <x:c r="G2187" s="13" t="str">
        <x:v>grid_wekqfxnd.xlsx</x:v>
      </x:c>
    </x:row>
    <x:row r="2188">
      <x:c r="A2188" s="15" t="n">
        <x:v>41244</x:v>
      </x:c>
      <x:c r="B2188" s="13" t="str">
        <x:v>LOCALIZA RENT A CAR</x:v>
      </x:c>
      <x:c r="C2188" s="16" t="n">
        <x:v>385.272992</x:v>
      </x:c>
      <x:c r="D2188" s="13" t="str">
        <x:v>Transportation</x:v>
      </x:c>
      <x:c r="E2188" s="13" t="str">
        <x:v>Transportation</x:v>
      </x:c>
      <x:c r="F2188" s="13" t="str">
        <x:v>Deep Cyclicals</x:v>
      </x:c>
      <x:c r="G2188" s="13" t="str">
        <x:v>grid_wekqfxnd.xlsx</x:v>
      </x:c>
    </x:row>
    <x:row r="2189">
      <x:c r="A2189" s="15" t="n">
        <x:v>41244</x:v>
      </x:c>
      <x:c r="B2189" s="13" t="str">
        <x:v>MOTIVA INFRAESTRUTURA DE MOB</x:v>
      </x:c>
      <x:c r="C2189" s="16" t="n">
        <x:v>1491.330048</x:v>
      </x:c>
      <x:c r="D2189" s="13" t="str">
        <x:v>Transportation</x:v>
      </x:c>
      <x:c r="E2189" s="13" t="str">
        <x:v>Transportation</x:v>
      </x:c>
      <x:c r="F2189" s="13" t="str">
        <x:v>Deep Cyclicals</x:v>
      </x:c>
      <x:c r="G2189" s="13" t="str">
        <x:v>grid_wekqfxnd.xlsx</x:v>
      </x:c>
    </x:row>
    <x:row r="2190">
      <x:c r="A2190" s="15" t="n">
        <x:v>41244</x:v>
      </x:c>
      <x:c r="B2190" s="13" t="str">
        <x:v>PRUMO LOGISTICA SA</x:v>
      </x:c>
      <x:c r="C2190" s="16" t="n">
        <x:v>-106.006</x:v>
      </x:c>
      <x:c r="D2190" s="13" t="str">
        <x:v>Transportation</x:v>
      </x:c>
      <x:c r="E2190" s="13" t="str">
        <x:v>Transportation</x:v>
      </x:c>
      <x:c r="F2190" s="13" t="str">
        <x:v>Deep Cyclicals</x:v>
      </x:c>
      <x:c r="G2190" s="13" t="str">
        <x:v>grid_wekqfxnd.xlsx</x:v>
      </x:c>
    </x:row>
    <x:row r="2191">
      <x:c r="A2191" s="15" t="n">
        <x:v>41244</x:v>
      </x:c>
      <x:c r="B2191" s="13" t="str">
        <x:v>RUMO SA</x:v>
      </x:c>
      <x:c r="C2191" s="16" t="n">
        <x:v>381.124992</x:v>
      </x:c>
      <x:c r="D2191" s="13" t="str">
        <x:v>Transportation</x:v>
      </x:c>
      <x:c r="E2191" s="13" t="str">
        <x:v>Transportation</x:v>
      </x:c>
      <x:c r="F2191" s="13" t="str">
        <x:v>Deep Cyclicals</x:v>
      </x:c>
      <x:c r="G2191" s="13" t="str">
        <x:v>grid_wekqfxnd.xlsx</x:v>
      </x:c>
    </x:row>
    <x:row r="2192">
      <x:c r="A2192" s="15" t="n">
        <x:v>41244</x:v>
      </x:c>
      <x:c r="B2192" s="13" t="str">
        <x:v>AXIA ENERGIA SA</x:v>
      </x:c>
      <x:c r="C2192" s="16" t="n">
        <x:v>2992.999936</x:v>
      </x:c>
      <x:c r="D2192" s="13" t="str">
        <x:v>Utilities &amp; Energy</x:v>
      </x:c>
      <x:c r="E2192" s="13" t="str">
        <x:v>Utilities</x:v>
      </x:c>
      <x:c r="F2192" s="13" t="str">
        <x:v>Defensives</x:v>
      </x:c>
      <x:c r="G2192" s="13" t="str">
        <x:v>grid_wekqfxnd.xlsx</x:v>
      </x:c>
    </x:row>
    <x:row r="2193">
      <x:c r="A2193" s="15" t="n">
        <x:v>41244</x:v>
      </x:c>
      <x:c r="B2193" s="13" t="str">
        <x:v>AXIA ENERGIA-PR B</x:v>
      </x:c>
      <x:c r="C2193" s="16" t="n">
        <x:v>2992.999936</x:v>
      </x:c>
      <x:c r="D2193" s="13" t="str">
        <x:v>Utilities &amp; Energy</x:v>
      </x:c>
      <x:c r="E2193" s="13" t="str">
        <x:v>Utilities</x:v>
      </x:c>
      <x:c r="F2193" s="13" t="str">
        <x:v>Defensives</x:v>
      </x:c>
      <x:c r="G2193" s="13" t="str">
        <x:v>grid_wekqfxnd.xlsx</x:v>
      </x:c>
    </x:row>
    <x:row r="2194">
      <x:c r="A2194" s="15" t="n">
        <x:v>41244</x:v>
      </x:c>
      <x:c r="B2194" s="13" t="str">
        <x:v>CESP - CIA ENERGETICA DE SAO</x:v>
      </x:c>
      <x:c r="C2194" s="16" t="n">
        <x:v>765</x:v>
      </x:c>
      <x:c r="D2194" s="13" t="str">
        <x:v>Utilities &amp; Energy</x:v>
      </x:c>
      <x:c r="E2194" s="13" t="str">
        <x:v>Utilities</x:v>
      </x:c>
      <x:c r="F2194" s="13" t="str">
        <x:v>Defensives</x:v>
      </x:c>
      <x:c r="G2194" s="13" t="str">
        <x:v>grid_wekqfxnd.xlsx</x:v>
      </x:c>
    </x:row>
    <x:row r="2195">
      <x:c r="A2195" s="15" t="n">
        <x:v>41244</x:v>
      </x:c>
      <x:c r="B2195" s="13" t="str">
        <x:v>CIA ENERGETICA MINAS GER-PRF</x:v>
      </x:c>
      <x:c r="C2195" s="16" t="n">
        <x:v>2569.289984</x:v>
      </x:c>
      <x:c r="D2195" s="13" t="str">
        <x:v>Utilities &amp; Energy</x:v>
      </x:c>
      <x:c r="E2195" s="13" t="str">
        <x:v>Utilities</x:v>
      </x:c>
      <x:c r="F2195" s="13" t="str">
        <x:v>Defensives</x:v>
      </x:c>
      <x:c r="G2195" s="13" t="str">
        <x:v>grid_wekqfxnd.xlsx</x:v>
      </x:c>
    </x:row>
    <x:row r="2196">
      <x:c r="A2196" s="15" t="n">
        <x:v>41244</x:v>
      </x:c>
      <x:c r="B2196" s="13" t="str">
        <x:v>COMPANHIA PARANAENSE -PREF B</x:v>
      </x:c>
      <x:c r="C2196" s="16" t="n">
        <x:v>1050.750016</x:v>
      </x:c>
      <x:c r="D2196" s="13" t="str">
        <x:v>Utilities &amp; Energy</x:v>
      </x:c>
      <x:c r="E2196" s="13" t="str">
        <x:v>Utilities</x:v>
      </x:c>
      <x:c r="F2196" s="13" t="str">
        <x:v>Defensives</x:v>
      </x:c>
      <x:c r="G2196" s="13" t="str">
        <x:v>grid_wekqfxnd.xlsx</x:v>
      </x:c>
    </x:row>
    <x:row r="2197">
      <x:c r="A2197" s="15" t="n">
        <x:v>41244</x:v>
      </x:c>
      <x:c r="B2197" s="13" t="str">
        <x:v>CPFL ENERGIA SA</x:v>
      </x:c>
      <x:c r="C2197" s="16" t="n">
        <x:v>1316.749952</x:v>
      </x:c>
      <x:c r="D2197" s="13" t="str">
        <x:v>Utilities &amp; Energy</x:v>
      </x:c>
      <x:c r="E2197" s="13" t="str">
        <x:v>Utilities</x:v>
      </x:c>
      <x:c r="F2197" s="13" t="str">
        <x:v>Defensives</x:v>
      </x:c>
      <x:c r="G2197" s="13" t="str">
        <x:v>grid_wekqfxnd.xlsx</x:v>
      </x:c>
    </x:row>
    <x:row r="2198">
      <x:c r="A2198" s="15" t="n">
        <x:v>41244</x:v>
      </x:c>
      <x:c r="B2198" s="13" t="str">
        <x:v>ELETROPAULO METROPOLI-PREF</x:v>
      </x:c>
      <x:c r="C2198" s="16" t="n">
        <x:v>152.88</x:v>
      </x:c>
      <x:c r="D2198" s="13" t="str">
        <x:v>Utilities &amp; Energy</x:v>
      </x:c>
      <x:c r="E2198" s="13" t="str">
        <x:v>Utilities</x:v>
      </x:c>
      <x:c r="F2198" s="13" t="str">
        <x:v>Defensives</x:v>
      </x:c>
      <x:c r="G2198" s="13" t="str">
        <x:v>grid_wekqfxnd.xlsx</x:v>
      </x:c>
    </x:row>
    <x:row r="2199">
      <x:c r="A2199" s="15" t="n">
        <x:v>41244</x:v>
      </x:c>
      <x:c r="B2199" s="13" t="str">
        <x:v>ISA ENERGIA BRASIL SA</x:v>
      </x:c>
      <x:c r="C2199" s="16" t="n">
        <x:v>470</x:v>
      </x:c>
      <x:c r="D2199" s="13" t="str">
        <x:v>Utilities &amp; Energy</x:v>
      </x:c>
      <x:c r="E2199" s="13" t="str">
        <x:v>Utilities</x:v>
      </x:c>
      <x:c r="F2199" s="13" t="str">
        <x:v>Defensives</x:v>
      </x:c>
      <x:c r="G2199" s="13" t="str">
        <x:v>grid_wekqfxnd.xlsx</x:v>
      </x:c>
    </x:row>
    <x:row r="2200">
      <x:c r="A2200" s="15" t="n">
        <x:v>41244</x:v>
      </x:c>
      <x:c r="B2200" s="13" t="str">
        <x:v>LIGHT SA</x:v>
      </x:c>
      <x:c r="C2200" s="16" t="n">
        <x:v>643.417024</x:v>
      </x:c>
      <x:c r="D2200" s="13" t="str">
        <x:v>Utilities &amp; Energy</x:v>
      </x:c>
      <x:c r="E2200" s="13" t="str">
        <x:v>Utilities</x:v>
      </x:c>
      <x:c r="F2200" s="13" t="str">
        <x:v>Defensives</x:v>
      </x:c>
      <x:c r="G2200" s="13" t="str">
        <x:v>grid_wekqfxnd.xlsx</x:v>
      </x:c>
    </x:row>
    <x:row r="2201">
      <x:c r="A2201" s="15" t="n">
        <x:v>41275</x:v>
      </x:c>
      <x:c r="B2201" s="13" t="str">
        <x:v>BANCO BRADESCO SA-PREF</x:v>
      </x:c>
      <x:c r="C2201" s="16" t="n">
        <x:v>12677.6894618301</x:v>
      </x:c>
      <x:c r="D2201" s="13" t="str">
        <x:v>Banks</x:v>
      </x:c>
      <x:c r="E2201" s="13" t="str">
        <x:v>Banks</x:v>
      </x:c>
      <x:c r="F2201" s="13" t="str">
        <x:v>Financials</x:v>
      </x:c>
      <x:c r="G2201" s="13" t="str">
        <x:v>grid_wekqfxnd.xlsx</x:v>
      </x:c>
    </x:row>
    <x:row r="2202">
      <x:c r="A2202" s="15" t="n">
        <x:v>41275</x:v>
      </x:c>
      <x:c r="B2202" s="13" t="str">
        <x:v>BANCO DO BRASIL S.A.</x:v>
      </x:c>
      <x:c r="C2202" s="16" t="n">
        <x:v>10843.4714062904</x:v>
      </x:c>
      <x:c r="D2202" s="13" t="str">
        <x:v>Banks</x:v>
      </x:c>
      <x:c r="E2202" s="13" t="str">
        <x:v>Banks</x:v>
      </x:c>
      <x:c r="F2202" s="13" t="str">
        <x:v>Financials</x:v>
      </x:c>
      <x:c r="G2202" s="13" t="str">
        <x:v>grid_wekqfxnd.xlsx</x:v>
      </x:c>
    </x:row>
    <x:row r="2203">
      <x:c r="A2203" s="15" t="n">
        <x:v>41275</x:v>
      </x:c>
      <x:c r="B2203" s="13" t="str">
        <x:v>BANCO SANTANDER  BRASIL-UNIT</x:v>
      </x:c>
      <x:c r="C2203" s="16" t="n">
        <x:v>6382.6854421041</x:v>
      </x:c>
      <x:c r="D2203" s="13" t="str">
        <x:v>Banks</x:v>
      </x:c>
      <x:c r="E2203" s="13" t="str">
        <x:v>Banks</x:v>
      </x:c>
      <x:c r="F2203" s="13" t="str">
        <x:v>Financials</x:v>
      </x:c>
      <x:c r="G2203" s="13" t="str">
        <x:v>grid_wekqfxnd.xlsx</x:v>
      </x:c>
    </x:row>
    <x:row r="2204">
      <x:c r="A2204" s="15" t="n">
        <x:v>41275</x:v>
      </x:c>
      <x:c r="B2204" s="13" t="str">
        <x:v>ITAU UNIBANCO HOLDING S-PREF</x:v>
      </x:c>
      <x:c r="C2204" s="16" t="n">
        <x:v>15932.1590854137</x:v>
      </x:c>
      <x:c r="D2204" s="13" t="str">
        <x:v>Banks</x:v>
      </x:c>
      <x:c r="E2204" s="13" t="str">
        <x:v>Banks</x:v>
      </x:c>
      <x:c r="F2204" s="13" t="str">
        <x:v>Financials</x:v>
      </x:c>
      <x:c r="G2204" s="13" t="str">
        <x:v>grid_wekqfxnd.xlsx</x:v>
      </x:c>
    </x:row>
    <x:row r="2205">
      <x:c r="A2205" s="15" t="n">
        <x:v>41275</x:v>
      </x:c>
      <x:c r="B2205" s="13" t="str">
        <x:v>EMBRAER SA</x:v>
      </x:c>
      <x:c r="C2205" s="16" t="n">
        <x:v>934.8307822466</x:v>
      </x:c>
      <x:c r="D2205" s="13" t="str">
        <x:v>Capital Goods</x:v>
      </x:c>
      <x:c r="E2205" s="13" t="str">
        <x:v>Capital Goods</x:v>
      </x:c>
      <x:c r="F2205" s="13" t="str">
        <x:v>Deep Cyclicals</x:v>
      </x:c>
      <x:c r="G2205" s="13" t="str">
        <x:v>grid_wekqfxnd.xlsx</x:v>
      </x:c>
    </x:row>
    <x:row r="2206">
      <x:c r="A2206" s="15" t="n">
        <x:v>41275</x:v>
      </x:c>
      <x:c r="B2206" s="13" t="str">
        <x:v>B3 SA-BRASIL BOLSA BALCAO</x:v>
      </x:c>
      <x:c r="C2206" s="16" t="n">
        <x:v>1726.2636544</x:v>
      </x:c>
      <x:c r="D2206" s="13" t="str">
        <x:v>Financials Non-Banks</x:v>
      </x:c>
      <x:c r="E2206" s="13" t="str">
        <x:v>Financials Non-Banks</x:v>
      </x:c>
      <x:c r="F2206" s="13" t="str">
        <x:v>Financials</x:v>
      </x:c>
      <x:c r="G2206" s="13" t="str">
        <x:v>grid_wekqfxnd.xlsx</x:v>
      </x:c>
    </x:row>
    <x:row r="2207">
      <x:c r="A2207" s="15" t="n">
        <x:v>41275</x:v>
      </x:c>
      <x:c r="B2207" s="13" t="str">
        <x:v>CETIP SA-MERCADOS ORGANIZADO</x:v>
      </x:c>
      <x:c r="C2207" s="16" t="n">
        <x:v>418.4459767233</x:v>
      </x:c>
      <x:c r="D2207" s="13" t="str">
        <x:v>Financials Non-Banks</x:v>
      </x:c>
      <x:c r="E2207" s="13" t="str">
        <x:v>Financials Non-Banks</x:v>
      </x:c>
      <x:c r="F2207" s="13" t="str">
        <x:v>Financials</x:v>
      </x:c>
      <x:c r="G2207" s="13" t="str">
        <x:v>grid_wekqfxnd.xlsx</x:v>
      </x:c>
    </x:row>
    <x:row r="2208">
      <x:c r="A2208" s="15" t="n">
        <x:v>41275</x:v>
      </x:c>
      <x:c r="B2208" s="13" t="str">
        <x:v>CIELO SA - INSTITUICAO DE PA</x:v>
      </x:c>
      <x:c r="C2208" s="16" t="n">
        <x:v>2582.5519875507</x:v>
      </x:c>
      <x:c r="D2208" s="13" t="str">
        <x:v>Financials Non-Banks</x:v>
      </x:c>
      <x:c r="E2208" s="13" t="str">
        <x:v>Financials Non-Banks</x:v>
      </x:c>
      <x:c r="F2208" s="13" t="str">
        <x:v>Financials</x:v>
      </x:c>
      <x:c r="G2208" s="13" t="str">
        <x:v>grid_wekqfxnd.xlsx</x:v>
      </x:c>
    </x:row>
    <x:row r="2209">
      <x:c r="A2209" s="15" t="n">
        <x:v>41275</x:v>
      </x:c>
      <x:c r="B2209" s="13" t="str">
        <x:v>ITAUSA SA</x:v>
      </x:c>
      <x:c r="C2209" s="16" t="n">
        <x:v>5663.7478757699</x:v>
      </x:c>
      <x:c r="D2209" s="13" t="str">
        <x:v>Financials Non-Banks</x:v>
      </x:c>
      <x:c r="E2209" s="13" t="str">
        <x:v>Financials Non-Banks</x:v>
      </x:c>
      <x:c r="F2209" s="13" t="str">
        <x:v>Financials</x:v>
      </x:c>
      <x:c r="G2209" s="13" t="str">
        <x:v>grid_wekqfxnd.xlsx</x:v>
      </x:c>
    </x:row>
    <x:row r="2210">
      <x:c r="A2210" s="15" t="n">
        <x:v>41275</x:v>
      </x:c>
      <x:c r="B2210" s="13" t="str">
        <x:v>AMBEV SA</x:v>
      </x:c>
      <x:c r="C2210" s="16" t="n">
        <x:v>11052.3400472548</x:v>
      </x:c>
      <x:c r="D2210" s="13" t="str">
        <x:v>Food &amp; Beverages</x:v>
      </x:c>
      <x:c r="E2210" s="13" t="str">
        <x:v>Agri, Food &amp; Beverages</x:v>
      </x:c>
      <x:c r="F2210" s="13" t="str">
        <x:v>Defensives</x:v>
      </x:c>
      <x:c r="G2210" s="13" t="str">
        <x:v>grid_wekqfxnd.xlsx</x:v>
      </x:c>
    </x:row>
    <x:row r="2211">
      <x:c r="A2211" s="15" t="n">
        <x:v>41275</x:v>
      </x:c>
      <x:c r="B2211" s="13" t="str">
        <x:v>BRF SA</x:v>
      </x:c>
      <x:c r="C2211" s="16" t="n">
        <x:v>1830.1273305425</x:v>
      </x:c>
      <x:c r="D2211" s="13" t="str">
        <x:v>Food &amp; Beverages</x:v>
      </x:c>
      <x:c r="E2211" s="13" t="str">
        <x:v>Agri, Food &amp; Beverages</x:v>
      </x:c>
      <x:c r="F2211" s="13" t="str">
        <x:v>Defensives</x:v>
      </x:c>
      <x:c r="G2211" s="13" t="str">
        <x:v>grid_wekqfxnd.xlsx</x:v>
      </x:c>
    </x:row>
    <x:row r="2212">
      <x:c r="A2212" s="15" t="n">
        <x:v>41275</x:v>
      </x:c>
      <x:c r="B2212" s="13" t="str">
        <x:v>MBRF GLOBAL FOODS COMPANY SA</x:v>
      </x:c>
      <x:c r="C2212" s="16" t="n">
        <x:v>279.5195598027</x:v>
      </x:c>
      <x:c r="D2212" s="13" t="str">
        <x:v>Food &amp; Beverages</x:v>
      </x:c>
      <x:c r="E2212" s="13" t="str">
        <x:v>Agri, Food &amp; Beverages</x:v>
      </x:c>
      <x:c r="F2212" s="13" t="str">
        <x:v>Defensives</x:v>
      </x:c>
      <x:c r="G2212" s="13" t="str">
        <x:v>grid_wekqfxnd.xlsx</x:v>
      </x:c>
    </x:row>
    <x:row r="2213">
      <x:c r="A2213" s="15" t="n">
        <x:v>41275</x:v>
      </x:c>
      <x:c r="B2213" s="13" t="str">
        <x:v>SOUZA CRUZ LTDA</x:v>
      </x:c>
      <x:c r="C2213" s="16" t="n">
        <x:v>1940.5377122192</x:v>
      </x:c>
      <x:c r="D2213" s="13" t="str">
        <x:v>Food &amp; Beverages</x:v>
      </x:c>
      <x:c r="E2213" s="13" t="str">
        <x:v>Agri, Food &amp; Beverages</x:v>
      </x:c>
      <x:c r="F2213" s="13" t="str">
        <x:v>Defensives</x:v>
      </x:c>
      <x:c r="G2213" s="13" t="str">
        <x:v>grid_wekqfxnd.xlsx</x:v>
      </x:c>
    </x:row>
    <x:row r="2214">
      <x:c r="A2214" s="15" t="n">
        <x:v>41275</x:v>
      </x:c>
      <x:c r="B2214" s="13" t="str">
        <x:v>DIAGNOSTICOS DA AMERICA SA</x:v>
      </x:c>
      <x:c r="C2214" s="16" t="n">
        <x:v>201.5253424658</x:v>
      </x:c>
      <x:c r="D2214" s="13" t="str">
        <x:v>Health Care</x:v>
      </x:c>
      <x:c r="E2214" s="13" t="str">
        <x:v>Health Care</x:v>
      </x:c>
      <x:c r="F2214" s="13" t="str">
        <x:v>Defensives</x:v>
      </x:c>
      <x:c r="G2214" s="13" t="str">
        <x:v>grid_wekqfxnd.xlsx</x:v>
      </x:c>
    </x:row>
    <x:row r="2215">
      <x:c r="A2215" s="15" t="n">
        <x:v>41275</x:v>
      </x:c>
      <x:c r="B2215" s="13" t="str">
        <x:v>HYPERA SA</x:v>
      </x:c>
      <x:c r="C2215" s="16" t="n">
        <x:v>432.0422734904</x:v>
      </x:c>
      <x:c r="D2215" s="13" t="str">
        <x:v>Health Care</x:v>
      </x:c>
      <x:c r="E2215" s="13" t="str">
        <x:v>Health Care</x:v>
      </x:c>
      <x:c r="F2215" s="13" t="str">
        <x:v>Defensives</x:v>
      </x:c>
      <x:c r="G2215" s="13" t="str">
        <x:v>grid_wekqfxnd.xlsx</x:v>
      </x:c>
    </x:row>
    <x:row r="2216">
      <x:c r="A2216" s="15" t="n">
        <x:v>41275</x:v>
      </x:c>
      <x:c r="B2216" s="13" t="str">
        <x:v>CYRELA BRAZIL REALTY SA EMP</x:v>
      </x:c>
      <x:c r="C2216" s="16" t="n">
        <x:v>882.2688580384</x:v>
      </x:c>
      <x:c r="D2216" s="13" t="str">
        <x:v>Homebuilders</x:v>
      </x:c>
      <x:c r="E2216" s="13" t="str">
        <x:v>Real Estate</x:v>
      </x:c>
      <x:c r="F2216" s="13" t="str">
        <x:v>Early Cyclicals</x:v>
      </x:c>
      <x:c r="G2216" s="13" t="str">
        <x:v>grid_wekqfxnd.xlsx</x:v>
      </x:c>
    </x:row>
    <x:row r="2217">
      <x:c r="A2217" s="15" t="n">
        <x:v>41275</x:v>
      </x:c>
      <x:c r="B2217" s="13" t="str">
        <x:v>GAFISA SA</x:v>
      </x:c>
      <x:c r="C2217" s="16" t="n">
        <x:v>192.7645207671</x:v>
      </x:c>
      <x:c r="D2217" s="13" t="str">
        <x:v>Homebuilders</x:v>
      </x:c>
      <x:c r="E2217" s="13" t="str">
        <x:v>Real Estate</x:v>
      </x:c>
      <x:c r="F2217" s="13" t="str">
        <x:v>Early Cyclicals</x:v>
      </x:c>
      <x:c r="G2217" s="13" t="str">
        <x:v>grid_wekqfxnd.xlsx</x:v>
      </x:c>
    </x:row>
    <x:row r="2218">
      <x:c r="A2218" s="15" t="n">
        <x:v>41275</x:v>
      </x:c>
      <x:c r="B2218" s="13" t="str">
        <x:v>MRV ENGENHARIA</x:v>
      </x:c>
      <x:c r="C2218" s="16" t="n">
        <x:v>707.8390463123</x:v>
      </x:c>
      <x:c r="D2218" s="13" t="str">
        <x:v>Homebuilders</x:v>
      </x:c>
      <x:c r="E2218" s="13" t="str">
        <x:v>Real Estate</x:v>
      </x:c>
      <x:c r="F2218" s="13" t="str">
        <x:v>Early Cyclicals</x:v>
      </x:c>
      <x:c r="G2218" s="13" t="str">
        <x:v>grid_wekqfxnd.xlsx</x:v>
      </x:c>
    </x:row>
    <x:row r="2219">
      <x:c r="A2219" s="15" t="n">
        <x:v>41275</x:v>
      </x:c>
      <x:c r="B2219" s="13" t="str">
        <x:v>PDG REALTY SA</x:v>
      </x:c>
      <x:c r="C2219" s="16" t="n">
        <x:v>470.6021902027</x:v>
      </x:c>
      <x:c r="D2219" s="13" t="str">
        <x:v>Homebuilders</x:v>
      </x:c>
      <x:c r="E2219" s="13" t="str">
        <x:v>Real Estate</x:v>
      </x:c>
      <x:c r="F2219" s="13" t="str">
        <x:v>Early Cyclicals</x:v>
      </x:c>
      <x:c r="G2219" s="13" t="str">
        <x:v>grid_wekqfxnd.xlsx</x:v>
      </x:c>
    </x:row>
    <x:row r="2220">
      <x:c r="A2220" s="15" t="n">
        <x:v>41275</x:v>
      </x:c>
      <x:c r="B2220" s="13" t="str">
        <x:v>ROSSI RESIDENCIAL SA</x:v>
      </x:c>
      <x:c r="C2220" s="16" t="n">
        <x:v>280.8109589041</x:v>
      </x:c>
      <x:c r="D2220" s="13" t="str">
        <x:v>Homebuilders</x:v>
      </x:c>
      <x:c r="E2220" s="13" t="str">
        <x:v>Real Estate</x:v>
      </x:c>
      <x:c r="F2220" s="13" t="str">
        <x:v>Early Cyclicals</x:v>
      </x:c>
      <x:c r="G2220" s="13" t="str">
        <x:v>grid_wekqfxnd.xlsx</x:v>
      </x:c>
    </x:row>
    <x:row r="2221">
      <x:c r="A2221" s="15" t="n">
        <x:v>41275</x:v>
      </x:c>
      <x:c r="B2221" s="13" t="str">
        <x:v>TEGRA INCORPORADORA SA</x:v>
      </x:c>
      <x:c r="C2221" s="16" t="n">
        <x:v>263.293927189</x:v>
      </x:c>
      <x:c r="D2221" s="13" t="str">
        <x:v>Homebuilders</x:v>
      </x:c>
      <x:c r="E2221" s="13" t="str">
        <x:v>Real Estate</x:v>
      </x:c>
      <x:c r="F2221" s="13" t="str">
        <x:v>Early Cyclicals</x:v>
      </x:c>
      <x:c r="G2221" s="13" t="str">
        <x:v>grid_wekqfxnd.xlsx</x:v>
      </x:c>
    </x:row>
    <x:row r="2222">
      <x:c r="A2222" s="15" t="n">
        <x:v>41275</x:v>
      </x:c>
      <x:c r="B2222" s="13" t="str">
        <x:v>BR MALLS PARTICIPACOES SA</x:v>
      </x:c>
      <x:c r="C2222" s="16" t="n">
        <x:v>584.341791737</x:v>
      </x:c>
      <x:c r="D2222" s="13" t="str">
        <x:v>Income Properties</x:v>
      </x:c>
      <x:c r="E2222" s="13" t="str">
        <x:v>Real Estate</x:v>
      </x:c>
      <x:c r="F2222" s="13" t="str">
        <x:v>Early Cyclicals</x:v>
      </x:c>
      <x:c r="G2222" s="13" t="str">
        <x:v>grid_wekqfxnd.xlsx</x:v>
      </x:c>
    </x:row>
    <x:row r="2223">
      <x:c r="A2223" s="15" t="n">
        <x:v>41275</x:v>
      </x:c>
      <x:c r="B2223" s="13" t="str">
        <x:v>BRADESPAR SA -PREF</x:v>
      </x:c>
      <x:c r="C2223" s="16" t="n">
        <x:v>1611.4109881863</x:v>
      </x:c>
      <x:c r="D2223" s="13" t="str">
        <x:v>Metals &amp; Mining</x:v>
      </x:c>
      <x:c r="E2223" s="13" t="str">
        <x:v>Metals &amp; Mining</x:v>
      </x:c>
      <x:c r="F2223" s="13" t="str">
        <x:v>Deep Cyclicals</x:v>
      </x:c>
      <x:c r="G2223" s="13" t="str">
        <x:v>grid_wekqfxnd.xlsx</x:v>
      </x:c>
    </x:row>
    <x:row r="2224">
      <x:c r="A2224" s="15" t="n">
        <x:v>41275</x:v>
      </x:c>
      <x:c r="B2224" s="13" t="str">
        <x:v>CIA SIDERURGICA NACIONAL SA</x:v>
      </x:c>
      <x:c r="C2224" s="16" t="n">
        <x:v>1463.829542926</x:v>
      </x:c>
      <x:c r="D2224" s="13" t="str">
        <x:v>Metals &amp; Mining</x:v>
      </x:c>
      <x:c r="E2224" s="13" t="str">
        <x:v>Metals &amp; Mining</x:v>
      </x:c>
      <x:c r="F2224" s="13" t="str">
        <x:v>Deep Cyclicals</x:v>
      </x:c>
      <x:c r="G2224" s="13" t="str">
        <x:v>grid_wekqfxnd.xlsx</x:v>
      </x:c>
    </x:row>
    <x:row r="2225">
      <x:c r="A2225" s="15" t="n">
        <x:v>41275</x:v>
      </x:c>
      <x:c r="B2225" s="13" t="str">
        <x:v>GERDAU SA-PREF</x:v>
      </x:c>
      <x:c r="C2225" s="16" t="n">
        <x:v>2148.8497187069</x:v>
      </x:c>
      <x:c r="D2225" s="13" t="str">
        <x:v>Metals &amp; Mining</x:v>
      </x:c>
      <x:c r="E2225" s="13" t="str">
        <x:v>Metals &amp; Mining</x:v>
      </x:c>
      <x:c r="F2225" s="13" t="str">
        <x:v>Deep Cyclicals</x:v>
      </x:c>
      <x:c r="G2225" s="13" t="str">
        <x:v>grid_wekqfxnd.xlsx</x:v>
      </x:c>
    </x:row>
    <x:row r="2226">
      <x:c r="A2226" s="15" t="n">
        <x:v>41275</x:v>
      </x:c>
      <x:c r="B2226" s="13" t="str">
        <x:v>METALURGICA GERDAU SA-PREF</x:v>
      </x:c>
      <x:c r="C2226" s="16" t="n">
        <x:v>832.7047104877</x:v>
      </x:c>
      <x:c r="D2226" s="13" t="str">
        <x:v>Metals &amp; Mining</x:v>
      </x:c>
      <x:c r="E2226" s="13" t="str">
        <x:v>Metals &amp; Mining</x:v>
      </x:c>
      <x:c r="F2226" s="13" t="str">
        <x:v>Deep Cyclicals</x:v>
      </x:c>
      <x:c r="G2226" s="13" t="str">
        <x:v>grid_wekqfxnd.xlsx</x:v>
      </x:c>
    </x:row>
    <x:row r="2227">
      <x:c r="A2227" s="15" t="n">
        <x:v>41275</x:v>
      </x:c>
      <x:c r="B2227" s="13" t="str">
        <x:v>MMX MINERACAO E METALICOS SA</x:v>
      </x:c>
      <x:c r="C2227" s="16" t="n">
        <x:v>-10.7084931507</x:v>
      </x:c>
      <x:c r="D2227" s="13" t="str">
        <x:v>Metals &amp; Mining</x:v>
      </x:c>
      <x:c r="E2227" s="13" t="str">
        <x:v>Metals &amp; Mining</x:v>
      </x:c>
      <x:c r="F2227" s="13" t="str">
        <x:v>Deep Cyclicals</x:v>
      </x:c>
      <x:c r="G2227" s="13" t="str">
        <x:v>grid_wekqfxnd.xlsx</x:v>
      </x:c>
    </x:row>
    <x:row r="2228">
      <x:c r="A2228" s="15" t="n">
        <x:v>41275</x:v>
      </x:c>
      <x:c r="B2228" s="13" t="str">
        <x:v>USINAS SIDER MINAS GER-PF A</x:v>
      </x:c>
      <x:c r="C2228" s="16" t="n">
        <x:v>407.9738339945</x:v>
      </x:c>
      <x:c r="D2228" s="13" t="str">
        <x:v>Metals &amp; Mining</x:v>
      </x:c>
      <x:c r="E2228" s="13" t="str">
        <x:v>Metals &amp; Mining</x:v>
      </x:c>
      <x:c r="F2228" s="13" t="str">
        <x:v>Deep Cyclicals</x:v>
      </x:c>
      <x:c r="G2228" s="13" t="str">
        <x:v>grid_wekqfxnd.xlsx</x:v>
      </x:c>
    </x:row>
    <x:row r="2229">
      <x:c r="A2229" s="15" t="n">
        <x:v>41275</x:v>
      </x:c>
      <x:c r="B2229" s="13" t="str">
        <x:v>USINAS SIDERURGICAS DE MINAS</x:v>
      </x:c>
      <x:c r="C2229" s="16" t="n">
        <x:v>407.9738339945</x:v>
      </x:c>
      <x:c r="D2229" s="13" t="str">
        <x:v>Metals &amp; Mining</x:v>
      </x:c>
      <x:c r="E2229" s="13" t="str">
        <x:v>Metals &amp; Mining</x:v>
      </x:c>
      <x:c r="F2229" s="13" t="str">
        <x:v>Deep Cyclicals</x:v>
      </x:c>
      <x:c r="G2229" s="13" t="str">
        <x:v>grid_wekqfxnd.xlsx</x:v>
      </x:c>
    </x:row>
    <x:row r="2230">
      <x:c r="A2230" s="15" t="n">
        <x:v>41275</x:v>
      </x:c>
      <x:c r="B2230" s="13" t="str">
        <x:v>VALE SA</x:v>
      </x:c>
      <x:c r="C2230" s="16" t="n">
        <x:v>22674.9812623781</x:v>
      </x:c>
      <x:c r="D2230" s="13" t="str">
        <x:v>Metals &amp; Mining</x:v>
      </x:c>
      <x:c r="E2230" s="13" t="str">
        <x:v>Metals &amp; Mining</x:v>
      </x:c>
      <x:c r="F2230" s="13" t="str">
        <x:v>Deep Cyclicals</x:v>
      </x:c>
      <x:c r="G2230" s="13" t="str">
        <x:v>grid_wekqfxnd.xlsx</x:v>
      </x:c>
    </x:row>
    <x:row r="2231">
      <x:c r="A2231" s="15" t="n">
        <x:v>41275</x:v>
      </x:c>
      <x:c r="B2231" s="13" t="str">
        <x:v>BRASKEM SA-PREF A</x:v>
      </x:c>
      <x:c r="C2231" s="16" t="n">
        <x:v>618.5178041863</x:v>
      </x:c>
      <x:c r="D2231" s="13" t="str">
        <x:v>Oil, Gas &amp; Petrochemicals</x:v>
      </x:c>
      <x:c r="E2231" s="13" t="str">
        <x:v>Oil, Gas &amp; Petrochemicals</x:v>
      </x:c>
      <x:c r="F2231" s="13" t="str">
        <x:v>Deep Cyclicals</x:v>
      </x:c>
      <x:c r="G2231" s="13" t="str">
        <x:v>grid_wekqfxnd.xlsx</x:v>
      </x:c>
    </x:row>
    <x:row r="2232">
      <x:c r="A2232" s="15" t="n">
        <x:v>41275</x:v>
      </x:c>
      <x:c r="B2232" s="13" t="str">
        <x:v>OLEO E GAS PARTICIPACOES SA</x:v>
      </x:c>
      <x:c r="C2232" s="16" t="n">
        <x:v>-47.3541132274</x:v>
      </x:c>
      <x:c r="D2232" s="13" t="str">
        <x:v>Oil, Gas &amp; Petrochemicals</x:v>
      </x:c>
      <x:c r="E2232" s="13" t="str">
        <x:v>Oil, Gas &amp; Petrochemicals</x:v>
      </x:c>
      <x:c r="F2232" s="13" t="str">
        <x:v>Deep Cyclicals</x:v>
      </x:c>
      <x:c r="G2232" s="13" t="str">
        <x:v>grid_wekqfxnd.xlsx</x:v>
      </x:c>
    </x:row>
    <x:row r="2233">
      <x:c r="A2233" s="15" t="n">
        <x:v>41275</x:v>
      </x:c>
      <x:c r="B2233" s="13" t="str">
        <x:v>PETROBRAS - PETROLEO BRAS</x:v>
      </x:c>
      <x:c r="C2233" s="16" t="n">
        <x:v>34123.2011797041</x:v>
      </x:c>
      <x:c r="D2233" s="13" t="str">
        <x:v>Oil, Gas &amp; Petrochemicals</x:v>
      </x:c>
      <x:c r="E2233" s="13" t="str">
        <x:v>Oil, Gas &amp; Petrochemicals</x:v>
      </x:c>
      <x:c r="F2233" s="13" t="str">
        <x:v>Deep Cyclicals</x:v>
      </x:c>
      <x:c r="G2233" s="13" t="str">
        <x:v>grid_wekqfxnd.xlsx</x:v>
      </x:c>
    </x:row>
    <x:row r="2234">
      <x:c r="A2234" s="15" t="n">
        <x:v>41275</x:v>
      </x:c>
      <x:c r="B2234" s="13" t="str">
        <x:v>ULTRAPAR PARTICIPACOES SA</x:v>
      </x:c>
      <x:c r="C2234" s="16" t="n">
        <x:v>1136.7444209973</x:v>
      </x:c>
      <x:c r="D2234" s="13" t="str">
        <x:v>Oil, Gas &amp; Petrochemicals</x:v>
      </x:c>
      <x:c r="E2234" s="13" t="str">
        <x:v>Oil, Gas &amp; Petrochemicals</x:v>
      </x:c>
      <x:c r="F2234" s="13" t="str">
        <x:v>Deep Cyclicals</x:v>
      </x:c>
      <x:c r="G2234" s="13" t="str">
        <x:v>grid_wekqfxnd.xlsx</x:v>
      </x:c>
    </x:row>
    <x:row r="2235">
      <x:c r="A2235" s="15" t="n">
        <x:v>41275</x:v>
      </x:c>
      <x:c r="B2235" s="13" t="str">
        <x:v>DEXCO SA</x:v>
      </x:c>
      <x:c r="C2235" s="16" t="n">
        <x:v>464.7432419945</x:v>
      </x:c>
      <x:c r="D2235" s="13" t="str">
        <x:v>Pulp &amp; Paper</x:v>
      </x:c>
      <x:c r="E2235" s="13" t="str">
        <x:v>Pulp &amp; Paper</x:v>
      </x:c>
      <x:c r="F2235" s="13" t="str">
        <x:v>Deep Cyclicals</x:v>
      </x:c>
      <x:c r="G2235" s="13" t="str">
        <x:v>grid_wekqfxnd.xlsx</x:v>
      </x:c>
    </x:row>
    <x:row r="2236">
      <x:c r="A2236" s="15" t="n">
        <x:v>41275</x:v>
      </x:c>
      <x:c r="B2236" s="13" t="str">
        <x:v>FIBRIA CELULOSE S/A</x:v>
      </x:c>
      <x:c r="C2236" s="16" t="n">
        <x:v>297.4182938301</x:v>
      </x:c>
      <x:c r="D2236" s="13" t="str">
        <x:v>Pulp &amp; Paper</x:v>
      </x:c>
      <x:c r="E2236" s="13" t="str">
        <x:v>Pulp &amp; Paper</x:v>
      </x:c>
      <x:c r="F2236" s="13" t="str">
        <x:v>Deep Cyclicals</x:v>
      </x:c>
      <x:c r="G2236" s="13" t="str">
        <x:v>grid_wekqfxnd.xlsx</x:v>
      </x:c>
    </x:row>
    <x:row r="2237">
      <x:c r="A2237" s="15" t="n">
        <x:v>41275</x:v>
      </x:c>
      <x:c r="B2237" s="13" t="str">
        <x:v>SUZANO PAPEL E CELULO-PREF A</x:v>
      </x:c>
      <x:c r="C2237" s="16" t="n">
        <x:v>76.0082179507</x:v>
      </x:c>
      <x:c r="D2237" s="13" t="str">
        <x:v>Pulp &amp; Paper</x:v>
      </x:c>
      <x:c r="E2237" s="13" t="str">
        <x:v>Pulp &amp; Paper</x:v>
      </x:c>
      <x:c r="F2237" s="13" t="str">
        <x:v>Deep Cyclicals</x:v>
      </x:c>
      <x:c r="G2237" s="13" t="str">
        <x:v>grid_wekqfxnd.xlsx</x:v>
      </x:c>
    </x:row>
    <x:row r="2238">
      <x:c r="A2238" s="15" t="n">
        <x:v>41275</x:v>
      </x:c>
      <x:c r="B2238" s="13" t="str">
        <x:v>AMERICANAS SA</x:v>
      </x:c>
      <x:c r="C2238" s="16" t="n">
        <x:v>-52.1137191781</x:v>
      </x:c>
      <x:c r="D2238" s="13" t="str">
        <x:v>Retail</x:v>
      </x:c>
      <x:c r="E2238" s="13" t="str">
        <x:v>Retail</x:v>
      </x:c>
      <x:c r="F2238" s="13" t="str">
        <x:v>Early Cyclicals</x:v>
      </x:c>
      <x:c r="G2238" s="13" t="str">
        <x:v>grid_wekqfxnd.xlsx</x:v>
      </x:c>
    </x:row>
    <x:row r="2239">
      <x:c r="A2239" s="15" t="n">
        <x:v>41275</x:v>
      </x:c>
      <x:c r="B2239" s="13" t="str">
        <x:v>CIA BRASILEIRA DE DIS-PREF</x:v>
      </x:c>
      <x:c r="C2239" s="16" t="n">
        <x:v>1259.6478334247</x:v>
      </x:c>
      <x:c r="D2239" s="13" t="str">
        <x:v>Retail</x:v>
      </x:c>
      <x:c r="E2239" s="13" t="str">
        <x:v>Retail</x:v>
      </x:c>
      <x:c r="F2239" s="13" t="str">
        <x:v>Early Cyclicals</x:v>
      </x:c>
      <x:c r="G2239" s="13" t="str">
        <x:v>grid_wekqfxnd.xlsx</x:v>
      </x:c>
    </x:row>
    <x:row r="2240">
      <x:c r="A2240" s="15" t="n">
        <x:v>41275</x:v>
      </x:c>
      <x:c r="B2240" s="13" t="str">
        <x:v>CIA HERING</x:v>
      </x:c>
      <x:c r="C2240" s="16" t="n">
        <x:v>370.1414061589</x:v>
      </x:c>
      <x:c r="D2240" s="13" t="str">
        <x:v>Retail</x:v>
      </x:c>
      <x:c r="E2240" s="13" t="str">
        <x:v>Retail</x:v>
      </x:c>
      <x:c r="F2240" s="13" t="str">
        <x:v>Early Cyclicals</x:v>
      </x:c>
      <x:c r="G2240" s="13" t="str">
        <x:v>grid_wekqfxnd.xlsx</x:v>
      </x:c>
    </x:row>
    <x:row r="2241">
      <x:c r="A2241" s="15" t="n">
        <x:v>41275</x:v>
      </x:c>
      <x:c r="B2241" s="13" t="str">
        <x:v>LOJAS AMERICANAS SA-PREF</x:v>
      </x:c>
      <x:c r="C2241" s="16" t="n">
        <x:v>572.3670703342</x:v>
      </x:c>
      <x:c r="D2241" s="13" t="str">
        <x:v>Retail</x:v>
      </x:c>
      <x:c r="E2241" s="13" t="str">
        <x:v>Retail</x:v>
      </x:c>
      <x:c r="F2241" s="13" t="str">
        <x:v>Early Cyclicals</x:v>
      </x:c>
      <x:c r="G2241" s="13" t="str">
        <x:v>grid_wekqfxnd.xlsx</x:v>
      </x:c>
    </x:row>
    <x:row r="2242">
      <x:c r="A2242" s="15" t="n">
        <x:v>41275</x:v>
      </x:c>
      <x:c r="B2242" s="13" t="str">
        <x:v>LOJAS RENNER S.A.</x:v>
      </x:c>
      <x:c r="C2242" s="16" t="n">
        <x:v>446.6443730411</x:v>
      </x:c>
      <x:c r="D2242" s="13" t="str">
        <x:v>Retail</x:v>
      </x:c>
      <x:c r="E2242" s="13" t="str">
        <x:v>Retail</x:v>
      </x:c>
      <x:c r="F2242" s="13" t="str">
        <x:v>Early Cyclicals</x:v>
      </x:c>
      <x:c r="G2242" s="13" t="str">
        <x:v>grid_wekqfxnd.xlsx</x:v>
      </x:c>
    </x:row>
    <x:row r="2243">
      <x:c r="A2243" s="15" t="n">
        <x:v>41275</x:v>
      </x:c>
      <x:c r="B2243" s="13" t="str">
        <x:v>NATURA COSMETICOS SA</x:v>
      </x:c>
      <x:c r="C2243" s="16" t="n">
        <x:v>1037.7710104548</x:v>
      </x:c>
      <x:c r="D2243" s="13" t="str">
        <x:v>Retail</x:v>
      </x:c>
      <x:c r="E2243" s="13" t="str">
        <x:v>Retail</x:v>
      </x:c>
      <x:c r="F2243" s="13" t="str">
        <x:v>Early Cyclicals</x:v>
      </x:c>
      <x:c r="G2243" s="13" t="str">
        <x:v>grid_wekqfxnd.xlsx</x:v>
      </x:c>
    </x:row>
    <x:row r="2244">
      <x:c r="A2244" s="15" t="n">
        <x:v>41275</x:v>
      </x:c>
      <x:c r="B2244" s="13" t="str">
        <x:v>CIA SANEAMENTO BASICO DE SP</x:v>
      </x:c>
      <x:c r="C2244" s="16" t="n">
        <x:v>2081.8614229918</x:v>
      </x:c>
      <x:c r="D2244" s="13" t="str">
        <x:v>Sanitation</x:v>
      </x:c>
      <x:c r="E2244" s="13" t="str">
        <x:v>Utilities</x:v>
      </x:c>
      <x:c r="F2244" s="13" t="str">
        <x:v>Defensives</x:v>
      </x:c>
      <x:c r="G2244" s="13" t="str">
        <x:v>grid_wekqfxnd.xlsx</x:v>
      </x:c>
    </x:row>
    <x:row r="2245">
      <x:c r="A2245" s="15" t="n">
        <x:v>41275</x:v>
      </x:c>
      <x:c r="B2245" s="13" t="str">
        <x:v>OI S.A.</x:v>
      </x:c>
      <x:c r="C2245" s="16" t="n">
        <x:v>763.4446988274</x:v>
      </x:c>
      <x:c r="D2245" s="13" t="str">
        <x:v>TMT</x:v>
      </x:c>
      <x:c r="E2245" s="13" t="str">
        <x:v>TMT</x:v>
      </x:c>
      <x:c r="F2245" s="13" t="str">
        <x:v>Early Cyclicals</x:v>
      </x:c>
      <x:c r="G2245" s="13" t="str">
        <x:v>grid_wekqfxnd.xlsx</x:v>
      </x:c>
    </x:row>
    <x:row r="2246">
      <x:c r="A2246" s="15" t="n">
        <x:v>41275</x:v>
      </x:c>
      <x:c r="B2246" s="13" t="str">
        <x:v>OI SA-PREFERENCE</x:v>
      </x:c>
      <x:c r="C2246" s="16" t="n">
        <x:v>763.4446988274</x:v>
      </x:c>
      <x:c r="D2246" s="13" t="str">
        <x:v>TMT</x:v>
      </x:c>
      <x:c r="E2246" s="13" t="str">
        <x:v>TMT</x:v>
      </x:c>
      <x:c r="F2246" s="13" t="str">
        <x:v>Early Cyclicals</x:v>
      </x:c>
      <x:c r="G2246" s="13" t="str">
        <x:v>grid_wekqfxnd.xlsx</x:v>
      </x:c>
    </x:row>
    <x:row r="2247">
      <x:c r="A2247" s="15" t="n">
        <x:v>41275</x:v>
      </x:c>
      <x:c r="B2247" s="13" t="str">
        <x:v>TELEFONICA BRASIL S.A.-PREF</x:v>
      </x:c>
      <x:c r="C2247" s="16" t="n">
        <x:v>4658.9085289206</x:v>
      </x:c>
      <x:c r="D2247" s="13" t="str">
        <x:v>TMT</x:v>
      </x:c>
      <x:c r="E2247" s="13" t="str">
        <x:v>TMT</x:v>
      </x:c>
      <x:c r="F2247" s="13" t="str">
        <x:v>Early Cyclicals</x:v>
      </x:c>
      <x:c r="G2247" s="13" t="str">
        <x:v>grid_wekqfxnd.xlsx</x:v>
      </x:c>
    </x:row>
    <x:row r="2248">
      <x:c r="A2248" s="15" t="n">
        <x:v>41275</x:v>
      </x:c>
      <x:c r="B2248" s="13" t="str">
        <x:v>TIM SA</x:v>
      </x:c>
      <x:c r="C2248" s="16" t="n">
        <x:v>1774.8024288438</x:v>
      </x:c>
      <x:c r="D2248" s="13" t="str">
        <x:v>TMT</x:v>
      </x:c>
      <x:c r="E2248" s="13" t="str">
        <x:v>TMT</x:v>
      </x:c>
      <x:c r="F2248" s="13" t="str">
        <x:v>Early Cyclicals</x:v>
      </x:c>
      <x:c r="G2248" s="13" t="str">
        <x:v>grid_wekqfxnd.xlsx</x:v>
      </x:c>
    </x:row>
    <x:row r="2249">
      <x:c r="A2249" s="15" t="n">
        <x:v>41275</x:v>
      </x:c>
      <x:c r="B2249" s="13" t="str">
        <x:v>GOL LINHAS AEREAS INT SA-PRE</x:v>
      </x:c>
      <x:c r="C2249" s="16" t="n">
        <x:v>57.2413464329</x:v>
      </x:c>
      <x:c r="D2249" s="13" t="str">
        <x:v>Transportation</x:v>
      </x:c>
      <x:c r="E2249" s="13" t="str">
        <x:v>Transportation</x:v>
      </x:c>
      <x:c r="F2249" s="13" t="str">
        <x:v>Deep Cyclicals</x:v>
      </x:c>
      <x:c r="G2249" s="13" t="str">
        <x:v>grid_wekqfxnd.xlsx</x:v>
      </x:c>
    </x:row>
    <x:row r="2250">
      <x:c r="A2250" s="15" t="n">
        <x:v>41275</x:v>
      </x:c>
      <x:c r="B2250" s="13" t="str">
        <x:v>LOCALIZA RENT A CAR</x:v>
      </x:c>
      <x:c r="C2250" s="16" t="n">
        <x:v>373.8059159671</x:v>
      </x:c>
      <x:c r="D2250" s="13" t="str">
        <x:v>Transportation</x:v>
      </x:c>
      <x:c r="E2250" s="13" t="str">
        <x:v>Transportation</x:v>
      </x:c>
      <x:c r="F2250" s="13" t="str">
        <x:v>Deep Cyclicals</x:v>
      </x:c>
      <x:c r="G2250" s="13" t="str">
        <x:v>grid_wekqfxnd.xlsx</x:v>
      </x:c>
    </x:row>
    <x:row r="2251">
      <x:c r="A2251" s="15" t="n">
        <x:v>41275</x:v>
      </x:c>
      <x:c r="B2251" s="13" t="str">
        <x:v>MOTIVA INFRAESTRUTURA DE MOB</x:v>
      </x:c>
      <x:c r="C2251" s="16" t="n">
        <x:v>1505.1301049863</x:v>
      </x:c>
      <x:c r="D2251" s="13" t="str">
        <x:v>Transportation</x:v>
      </x:c>
      <x:c r="E2251" s="13" t="str">
        <x:v>Transportation</x:v>
      </x:c>
      <x:c r="F2251" s="13" t="str">
        <x:v>Deep Cyclicals</x:v>
      </x:c>
      <x:c r="G2251" s="13" t="str">
        <x:v>grid_wekqfxnd.xlsx</x:v>
      </x:c>
    </x:row>
    <x:row r="2252">
      <x:c r="A2252" s="15" t="n">
        <x:v>41275</x:v>
      </x:c>
      <x:c r="B2252" s="13" t="str">
        <x:v>PRUMO LOGISTICA SA</x:v>
      </x:c>
      <x:c r="C2252" s="16" t="n">
        <x:v>-95.1673863014</x:v>
      </x:c>
      <x:c r="D2252" s="13" t="str">
        <x:v>Transportation</x:v>
      </x:c>
      <x:c r="E2252" s="13" t="str">
        <x:v>Transportation</x:v>
      </x:c>
      <x:c r="F2252" s="13" t="str">
        <x:v>Deep Cyclicals</x:v>
      </x:c>
      <x:c r="G2252" s="13" t="str">
        <x:v>grid_wekqfxnd.xlsx</x:v>
      </x:c>
    </x:row>
    <x:row r="2253">
      <x:c r="A2253" s="15" t="n">
        <x:v>41275</x:v>
      </x:c>
      <x:c r="B2253" s="13" t="str">
        <x:v>RUMO SA</x:v>
      </x:c>
      <x:c r="C2253" s="16" t="n">
        <x:v>368.8987983781</x:v>
      </x:c>
      <x:c r="D2253" s="13" t="str">
        <x:v>Transportation</x:v>
      </x:c>
      <x:c r="E2253" s="13" t="str">
        <x:v>Transportation</x:v>
      </x:c>
      <x:c r="F2253" s="13" t="str">
        <x:v>Deep Cyclicals</x:v>
      </x:c>
      <x:c r="G2253" s="13" t="str">
        <x:v>grid_wekqfxnd.xlsx</x:v>
      </x:c>
    </x:row>
    <x:row r="2254">
      <x:c r="A2254" s="15" t="n">
        <x:v>41275</x:v>
      </x:c>
      <x:c r="B2254" s="13" t="str">
        <x:v>AXIA ENERGIA SA</x:v>
      </x:c>
      <x:c r="C2254" s="16" t="n">
        <x:v>671.7019932055</x:v>
      </x:c>
      <x:c r="D2254" s="13" t="str">
        <x:v>Utilities &amp; Energy</x:v>
      </x:c>
      <x:c r="E2254" s="13" t="str">
        <x:v>Utilities</x:v>
      </x:c>
      <x:c r="F2254" s="13" t="str">
        <x:v>Defensives</x:v>
      </x:c>
      <x:c r="G2254" s="13" t="str">
        <x:v>grid_wekqfxnd.xlsx</x:v>
      </x:c>
    </x:row>
    <x:row r="2255">
      <x:c r="A2255" s="15" t="n">
        <x:v>41275</x:v>
      </x:c>
      <x:c r="B2255" s="13" t="str">
        <x:v>AXIA ENERGIA-PR B</x:v>
      </x:c>
      <x:c r="C2255" s="16" t="n">
        <x:v>671.7019932055</x:v>
      </x:c>
      <x:c r="D2255" s="13" t="str">
        <x:v>Utilities &amp; Energy</x:v>
      </x:c>
      <x:c r="E2255" s="13" t="str">
        <x:v>Utilities</x:v>
      </x:c>
      <x:c r="F2255" s="13" t="str">
        <x:v>Defensives</x:v>
      </x:c>
      <x:c r="G2255" s="13" t="str">
        <x:v>grid_wekqfxnd.xlsx</x:v>
      </x:c>
    </x:row>
    <x:row r="2256">
      <x:c r="A2256" s="15" t="n">
        <x:v>41275</x:v>
      </x:c>
      <x:c r="B2256" s="13" t="str">
        <x:v>CESP - CIA ENERGETICA DE SAO</x:v>
      </x:c>
      <x:c r="C2256" s="16" t="n">
        <x:v>1090.871589874</x:v>
      </x:c>
      <x:c r="D2256" s="13" t="str">
        <x:v>Utilities &amp; Energy</x:v>
      </x:c>
      <x:c r="E2256" s="13" t="str">
        <x:v>Utilities</x:v>
      </x:c>
      <x:c r="F2256" s="13" t="str">
        <x:v>Defensives</x:v>
      </x:c>
      <x:c r="G2256" s="13" t="str">
        <x:v>grid_wekqfxnd.xlsx</x:v>
      </x:c>
    </x:row>
    <x:row r="2257">
      <x:c r="A2257" s="15" t="n">
        <x:v>41275</x:v>
      </x:c>
      <x:c r="B2257" s="13" t="str">
        <x:v>CIA ENERGETICA MINAS GER-PRF</x:v>
      </x:c>
      <x:c r="C2257" s="16" t="n">
        <x:v>2661.4315730411</x:v>
      </x:c>
      <x:c r="D2257" s="13" t="str">
        <x:v>Utilities &amp; Energy</x:v>
      </x:c>
      <x:c r="E2257" s="13" t="str">
        <x:v>Utilities</x:v>
      </x:c>
      <x:c r="F2257" s="13" t="str">
        <x:v>Defensives</x:v>
      </x:c>
      <x:c r="G2257" s="13" t="str">
        <x:v>grid_wekqfxnd.xlsx</x:v>
      </x:c>
    </x:row>
    <x:row r="2258">
      <x:c r="A2258" s="15" t="n">
        <x:v>41275</x:v>
      </x:c>
      <x:c r="B2258" s="13" t="str">
        <x:v>COMPANHIA PARANAENSE -PREF B</x:v>
      </x:c>
      <x:c r="C2258" s="16" t="n">
        <x:v>1030.944</x:v>
      </x:c>
      <x:c r="D2258" s="13" t="str">
        <x:v>Utilities &amp; Energy</x:v>
      </x:c>
      <x:c r="E2258" s="13" t="str">
        <x:v>Utilities</x:v>
      </x:c>
      <x:c r="F2258" s="13" t="str">
        <x:v>Defensives</x:v>
      </x:c>
      <x:c r="G2258" s="13" t="str">
        <x:v>grid_wekqfxnd.xlsx</x:v>
      </x:c>
    </x:row>
    <x:row r="2259">
      <x:c r="A2259" s="15" t="n">
        <x:v>41275</x:v>
      </x:c>
      <x:c r="B2259" s="13" t="str">
        <x:v>CPFL ENERGIA SA</x:v>
      </x:c>
      <x:c r="C2259" s="16" t="n">
        <x:v>1294.7028010082</x:v>
      </x:c>
      <x:c r="D2259" s="13" t="str">
        <x:v>Utilities &amp; Energy</x:v>
      </x:c>
      <x:c r="E2259" s="13" t="str">
        <x:v>Utilities</x:v>
      </x:c>
      <x:c r="F2259" s="13" t="str">
        <x:v>Defensives</x:v>
      </x:c>
      <x:c r="G2259" s="13" t="str">
        <x:v>grid_wekqfxnd.xlsx</x:v>
      </x:c>
    </x:row>
    <x:row r="2260">
      <x:c r="A2260" s="15" t="n">
        <x:v>41275</x:v>
      </x:c>
      <x:c r="B2260" s="13" t="str">
        <x:v>EDP - ENERGIAS DO BRASIL SA</x:v>
      </x:c>
      <x:c r="C2260" s="16" t="n">
        <x:v>518.0047931616</x:v>
      </x:c>
      <x:c r="D2260" s="13" t="str">
        <x:v>Utilities &amp; Energy</x:v>
      </x:c>
      <x:c r="E2260" s="13" t="str">
        <x:v>Utilities</x:v>
      </x:c>
      <x:c r="F2260" s="13" t="str">
        <x:v>Defensives</x:v>
      </x:c>
      <x:c r="G2260" s="13" t="str">
        <x:v>grid_wekqfxnd.xlsx</x:v>
      </x:c>
    </x:row>
    <x:row r="2261">
      <x:c r="A2261" s="15" t="n">
        <x:v>41275</x:v>
      </x:c>
      <x:c r="B2261" s="13" t="str">
        <x:v>ELETROPAULO METROPOLI-PREF</x:v>
      </x:c>
      <x:c r="C2261" s="16" t="n">
        <x:v>110.1957566027</x:v>
      </x:c>
      <x:c r="D2261" s="13" t="str">
        <x:v>Utilities &amp; Energy</x:v>
      </x:c>
      <x:c r="E2261" s="13" t="str">
        <x:v>Utilities</x:v>
      </x:c>
      <x:c r="F2261" s="13" t="str">
        <x:v>Defensives</x:v>
      </x:c>
      <x:c r="G2261" s="13" t="str">
        <x:v>grid_wekqfxnd.xlsx</x:v>
      </x:c>
    </x:row>
    <x:row r="2262">
      <x:c r="A2262" s="15" t="n">
        <x:v>41275</x:v>
      </x:c>
      <x:c r="B2262" s="13" t="str">
        <x:v>ISA ENERGIA BRASIL SA</x:v>
      </x:c>
      <x:c r="C2262" s="16" t="n">
        <x:v>463.095480811</x:v>
      </x:c>
      <x:c r="D2262" s="13" t="str">
        <x:v>Utilities &amp; Energy</x:v>
      </x:c>
      <x:c r="E2262" s="13" t="str">
        <x:v>Utilities</x:v>
      </x:c>
      <x:c r="F2262" s="13" t="str">
        <x:v>Defensives</x:v>
      </x:c>
      <x:c r="G2262" s="13" t="str">
        <x:v>grid_wekqfxnd.xlsx</x:v>
      </x:c>
    </x:row>
    <x:row r="2263">
      <x:c r="A2263" s="15" t="n">
        <x:v>41275</x:v>
      </x:c>
      <x:c r="B2263" s="13" t="str">
        <x:v>LIGHT SA</x:v>
      </x:c>
      <x:c r="C2263" s="16" t="n">
        <x:v>626.3442541589</x:v>
      </x:c>
      <x:c r="D2263" s="13" t="str">
        <x:v>Utilities &amp; Energy</x:v>
      </x:c>
      <x:c r="E2263" s="13" t="str">
        <x:v>Utilities</x:v>
      </x:c>
      <x:c r="F2263" s="13" t="str">
        <x:v>Defensives</x:v>
      </x:c>
      <x:c r="G2263" s="13" t="str">
        <x:v>grid_wekqfxnd.xlsx</x:v>
      </x:c>
    </x:row>
    <x:row r="2264">
      <x:c r="A2264" s="15" t="n">
        <x:v>41306</x:v>
      </x:c>
      <x:c r="B2264" s="13" t="str">
        <x:v>BANCO BRADESCO SA-PREF</x:v>
      </x:c>
      <x:c r="C2264" s="16" t="n">
        <x:v>12643.3231072438</x:v>
      </x:c>
      <x:c r="D2264" s="13" t="str">
        <x:v>Banks</x:v>
      </x:c>
      <x:c r="E2264" s="13" t="str">
        <x:v>Banks</x:v>
      </x:c>
      <x:c r="F2264" s="13" t="str">
        <x:v>Financials</x:v>
      </x:c>
      <x:c r="G2264" s="13" t="str">
        <x:v>grid_wekqfxnd.xlsx</x:v>
      </x:c>
    </x:row>
    <x:row r="2265">
      <x:c r="A2265" s="15" t="n">
        <x:v>41306</x:v>
      </x:c>
      <x:c r="B2265" s="13" t="str">
        <x:v>BANCO DO BRASIL S.A.</x:v>
      </x:c>
      <x:c r="C2265" s="16" t="n">
        <x:v>10828.8783514301</x:v>
      </x:c>
      <x:c r="D2265" s="13" t="str">
        <x:v>Banks</x:v>
      </x:c>
      <x:c r="E2265" s="13" t="str">
        <x:v>Banks</x:v>
      </x:c>
      <x:c r="F2265" s="13" t="str">
        <x:v>Financials</x:v>
      </x:c>
      <x:c r="G2265" s="13" t="str">
        <x:v>grid_wekqfxnd.xlsx</x:v>
      </x:c>
    </x:row>
    <x:row r="2266">
      <x:c r="A2266" s="15" t="n">
        <x:v>41306</x:v>
      </x:c>
      <x:c r="B2266" s="13" t="str">
        <x:v>BANCO SANTANDER  BRASIL-UNIT</x:v>
      </x:c>
      <x:c r="C2266" s="16" t="n">
        <x:v>6464.5507352548</x:v>
      </x:c>
      <x:c r="D2266" s="13" t="str">
        <x:v>Banks</x:v>
      </x:c>
      <x:c r="E2266" s="13" t="str">
        <x:v>Banks</x:v>
      </x:c>
      <x:c r="F2266" s="13" t="str">
        <x:v>Financials</x:v>
      </x:c>
      <x:c r="G2266" s="13" t="str">
        <x:v>grid_wekqfxnd.xlsx</x:v>
      </x:c>
    </x:row>
    <x:row r="2267">
      <x:c r="A2267" s="15" t="n">
        <x:v>41306</x:v>
      </x:c>
      <x:c r="B2267" s="13" t="str">
        <x:v>ITAU UNIBANCO HOLDING S-PREF</x:v>
      </x:c>
      <x:c r="C2267" s="16" t="n">
        <x:v>15734.1868536986</x:v>
      </x:c>
      <x:c r="D2267" s="13" t="str">
        <x:v>Banks</x:v>
      </x:c>
      <x:c r="E2267" s="13" t="str">
        <x:v>Banks</x:v>
      </x:c>
      <x:c r="F2267" s="13" t="str">
        <x:v>Financials</x:v>
      </x:c>
      <x:c r="G2267" s="13" t="str">
        <x:v>grid_wekqfxnd.xlsx</x:v>
      </x:c>
    </x:row>
    <x:row r="2268">
      <x:c r="A2268" s="15" t="n">
        <x:v>41306</x:v>
      </x:c>
      <x:c r="B2268" s="13" t="str">
        <x:v>EMBRAER SA</x:v>
      </x:c>
      <x:c r="C2268" s="16" t="n">
        <x:v>982.4542267616</x:v>
      </x:c>
      <x:c r="D2268" s="13" t="str">
        <x:v>Capital Goods</x:v>
      </x:c>
      <x:c r="E2268" s="13" t="str">
        <x:v>Capital Goods</x:v>
      </x:c>
      <x:c r="F2268" s="13" t="str">
        <x:v>Deep Cyclicals</x:v>
      </x:c>
      <x:c r="G2268" s="13" t="str">
        <x:v>grid_wekqfxnd.xlsx</x:v>
      </x:c>
    </x:row>
    <x:row r="2269">
      <x:c r="A2269" s="15" t="n">
        <x:v>41306</x:v>
      </x:c>
      <x:c r="B2269" s="13" t="str">
        <x:v>B3 SA-BRASIL BOLSA BALCAO</x:v>
      </x:c>
      <x:c r="C2269" s="16" t="n">
        <x:v>1876.3775000548</x:v>
      </x:c>
      <x:c r="D2269" s="13" t="str">
        <x:v>Financials Non-Banks</x:v>
      </x:c>
      <x:c r="E2269" s="13" t="str">
        <x:v>Financials Non-Banks</x:v>
      </x:c>
      <x:c r="F2269" s="13" t="str">
        <x:v>Financials</x:v>
      </x:c>
      <x:c r="G2269" s="13" t="str">
        <x:v>grid_wekqfxnd.xlsx</x:v>
      </x:c>
    </x:row>
    <x:row r="2270">
      <x:c r="A2270" s="15" t="n">
        <x:v>41306</x:v>
      </x:c>
      <x:c r="B2270" s="13" t="str">
        <x:v>CETIP SA-MERCADOS ORGANIZADO</x:v>
      </x:c>
      <x:c r="C2270" s="16" t="n">
        <x:v>424.3661426849</x:v>
      </x:c>
      <x:c r="D2270" s="13" t="str">
        <x:v>Financials Non-Banks</x:v>
      </x:c>
      <x:c r="E2270" s="13" t="str">
        <x:v>Financials Non-Banks</x:v>
      </x:c>
      <x:c r="F2270" s="13" t="str">
        <x:v>Financials</x:v>
      </x:c>
      <x:c r="G2270" s="13" t="str">
        <x:v>grid_wekqfxnd.xlsx</x:v>
      </x:c>
    </x:row>
    <x:row r="2271">
      <x:c r="A2271" s="15" t="n">
        <x:v>41306</x:v>
      </x:c>
      <x:c r="B2271" s="13" t="str">
        <x:v>CIELO SA - INSTITUICAO DE PA</x:v>
      </x:c>
      <x:c r="C2271" s="16" t="n">
        <x:v>2575.3306062904</x:v>
      </x:c>
      <x:c r="D2271" s="13" t="str">
        <x:v>Financials Non-Banks</x:v>
      </x:c>
      <x:c r="E2271" s="13" t="str">
        <x:v>Financials Non-Banks</x:v>
      </x:c>
      <x:c r="F2271" s="13" t="str">
        <x:v>Financials</x:v>
      </x:c>
      <x:c r="G2271" s="13" t="str">
        <x:v>grid_wekqfxnd.xlsx</x:v>
      </x:c>
    </x:row>
    <x:row r="2272">
      <x:c r="A2272" s="15" t="n">
        <x:v>41306</x:v>
      </x:c>
      <x:c r="B2272" s="13" t="str">
        <x:v>ITAUSA SA</x:v>
      </x:c>
      <x:c r="C2272" s="16" t="n">
        <x:v>5727.6492407233</x:v>
      </x:c>
      <x:c r="D2272" s="13" t="str">
        <x:v>Financials Non-Banks</x:v>
      </x:c>
      <x:c r="E2272" s="13" t="str">
        <x:v>Financials Non-Banks</x:v>
      </x:c>
      <x:c r="F2272" s="13" t="str">
        <x:v>Financials</x:v>
      </x:c>
      <x:c r="G2272" s="13" t="str">
        <x:v>grid_wekqfxnd.xlsx</x:v>
      </x:c>
    </x:row>
    <x:row r="2273">
      <x:c r="A2273" s="15" t="n">
        <x:v>41306</x:v>
      </x:c>
      <x:c r="B2273" s="13" t="str">
        <x:v>AMBEV SA</x:v>
      </x:c>
      <x:c r="C2273" s="16" t="n">
        <x:v>11352.4848864438</x:v>
      </x:c>
      <x:c r="D2273" s="13" t="str">
        <x:v>Food &amp; Beverages</x:v>
      </x:c>
      <x:c r="E2273" s="13" t="str">
        <x:v>Agri, Food &amp; Beverages</x:v>
      </x:c>
      <x:c r="F2273" s="13" t="str">
        <x:v>Defensives</x:v>
      </x:c>
      <x:c r="G2273" s="13" t="str">
        <x:v>grid_wekqfxnd.xlsx</x:v>
      </x:c>
    </x:row>
    <x:row r="2274">
      <x:c r="A2274" s="15" t="n">
        <x:v>41306</x:v>
      </x:c>
      <x:c r="B2274" s="13" t="str">
        <x:v>BRF SA</x:v>
      </x:c>
      <x:c r="C2274" s="16" t="n">
        <x:v>1869.4680744329</x:v>
      </x:c>
      <x:c r="D2274" s="13" t="str">
        <x:v>Food &amp; Beverages</x:v>
      </x:c>
      <x:c r="E2274" s="13" t="str">
        <x:v>Agri, Food &amp; Beverages</x:v>
      </x:c>
      <x:c r="F2274" s="13" t="str">
        <x:v>Defensives</x:v>
      </x:c>
      <x:c r="G2274" s="13" t="str">
        <x:v>grid_wekqfxnd.xlsx</x:v>
      </x:c>
    </x:row>
    <x:row r="2275">
      <x:c r="A2275" s="15" t="n">
        <x:v>41306</x:v>
      </x:c>
      <x:c r="B2275" s="13" t="str">
        <x:v>MBRF GLOBAL FOODS COMPANY SA</x:v>
      </x:c>
      <x:c r="C2275" s="16" t="n">
        <x:v>278.5208629479</x:v>
      </x:c>
      <x:c r="D2275" s="13" t="str">
        <x:v>Food &amp; Beverages</x:v>
      </x:c>
      <x:c r="E2275" s="13" t="str">
        <x:v>Agri, Food &amp; Beverages</x:v>
      </x:c>
      <x:c r="F2275" s="13" t="str">
        <x:v>Defensives</x:v>
      </x:c>
      <x:c r="G2275" s="13" t="str">
        <x:v>grid_wekqfxnd.xlsx</x:v>
      </x:c>
    </x:row>
    <x:row r="2276">
      <x:c r="A2276" s="15" t="n">
        <x:v>41306</x:v>
      </x:c>
      <x:c r="B2276" s="13" t="str">
        <x:v>SOUZA CRUZ LTDA</x:v>
      </x:c>
      <x:c r="C2276" s="16" t="n">
        <x:v>1940.2497844603</x:v>
      </x:c>
      <x:c r="D2276" s="13" t="str">
        <x:v>Food &amp; Beverages</x:v>
      </x:c>
      <x:c r="E2276" s="13" t="str">
        <x:v>Agri, Food &amp; Beverages</x:v>
      </x:c>
      <x:c r="F2276" s="13" t="str">
        <x:v>Defensives</x:v>
      </x:c>
      <x:c r="G2276" s="13" t="str">
        <x:v>grid_wekqfxnd.xlsx</x:v>
      </x:c>
    </x:row>
    <x:row r="2277">
      <x:c r="A2277" s="15" t="n">
        <x:v>41306</x:v>
      </x:c>
      <x:c r="B2277" s="13" t="str">
        <x:v>DIAGNOSTICOS DA AMERICA SA</x:v>
      </x:c>
      <x:c r="C2277" s="16" t="n">
        <x:v>202.4221905534</x:v>
      </x:c>
      <x:c r="D2277" s="13" t="str">
        <x:v>Health Care</x:v>
      </x:c>
      <x:c r="E2277" s="13" t="str">
        <x:v>Health Care</x:v>
      </x:c>
      <x:c r="F2277" s="13" t="str">
        <x:v>Defensives</x:v>
      </x:c>
      <x:c r="G2277" s="13" t="str">
        <x:v>grid_wekqfxnd.xlsx</x:v>
      </x:c>
    </x:row>
    <x:row r="2278">
      <x:c r="A2278" s="15" t="n">
        <x:v>41306</x:v>
      </x:c>
      <x:c r="B2278" s="13" t="str">
        <x:v>HYPERA SA</x:v>
      </x:c>
      <x:c r="C2278" s="16" t="n">
        <x:v>439.0596890301</x:v>
      </x:c>
      <x:c r="D2278" s="13" t="str">
        <x:v>Health Care</x:v>
      </x:c>
      <x:c r="E2278" s="13" t="str">
        <x:v>Health Care</x:v>
      </x:c>
      <x:c r="F2278" s="13" t="str">
        <x:v>Defensives</x:v>
      </x:c>
      <x:c r="G2278" s="13" t="str">
        <x:v>grid_wekqfxnd.xlsx</x:v>
      </x:c>
    </x:row>
    <x:row r="2279">
      <x:c r="A2279" s="15" t="n">
        <x:v>41306</x:v>
      </x:c>
      <x:c r="B2279" s="13" t="str">
        <x:v>CYRELA BRAZIL REALTY SA EMP</x:v>
      </x:c>
      <x:c r="C2279" s="16" t="n">
        <x:v>850.0510299178</x:v>
      </x:c>
      <x:c r="D2279" s="13" t="str">
        <x:v>Homebuilders</x:v>
      </x:c>
      <x:c r="E2279" s="13" t="str">
        <x:v>Real Estate</x:v>
      </x:c>
      <x:c r="F2279" s="13" t="str">
        <x:v>Early Cyclicals</x:v>
      </x:c>
      <x:c r="G2279" s="13" t="str">
        <x:v>grid_wekqfxnd.xlsx</x:v>
      </x:c>
    </x:row>
    <x:row r="2280">
      <x:c r="A2280" s="15" t="n">
        <x:v>41306</x:v>
      </x:c>
      <x:c r="B2280" s="13" t="str">
        <x:v>GAFISA SA</x:v>
      </x:c>
      <x:c r="C2280" s="16" t="n">
        <x:v>179.9357491726</x:v>
      </x:c>
      <x:c r="D2280" s="13" t="str">
        <x:v>Homebuilders</x:v>
      </x:c>
      <x:c r="E2280" s="13" t="str">
        <x:v>Real Estate</x:v>
      </x:c>
      <x:c r="F2280" s="13" t="str">
        <x:v>Early Cyclicals</x:v>
      </x:c>
      <x:c r="G2280" s="13" t="str">
        <x:v>grid_wekqfxnd.xlsx</x:v>
      </x:c>
    </x:row>
    <x:row r="2281">
      <x:c r="A2281" s="15" t="n">
        <x:v>41306</x:v>
      </x:c>
      <x:c r="B2281" s="13" t="str">
        <x:v>MRV ENGENHARIA</x:v>
      </x:c>
      <x:c r="C2281" s="16" t="n">
        <x:v>686.415647211</x:v>
      </x:c>
      <x:c r="D2281" s="13" t="str">
        <x:v>Homebuilders</x:v>
      </x:c>
      <x:c r="E2281" s="13" t="str">
        <x:v>Real Estate</x:v>
      </x:c>
      <x:c r="F2281" s="13" t="str">
        <x:v>Early Cyclicals</x:v>
      </x:c>
      <x:c r="G2281" s="13" t="str">
        <x:v>grid_wekqfxnd.xlsx</x:v>
      </x:c>
    </x:row>
    <x:row r="2282">
      <x:c r="A2282" s="15" t="n">
        <x:v>41306</x:v>
      </x:c>
      <x:c r="B2282" s="13" t="str">
        <x:v>PDG REALTY SA</x:v>
      </x:c>
      <x:c r="C2282" s="16" t="n">
        <x:v>373.0595587507</x:v>
      </x:c>
      <x:c r="D2282" s="13" t="str">
        <x:v>Homebuilders</x:v>
      </x:c>
      <x:c r="E2282" s="13" t="str">
        <x:v>Real Estate</x:v>
      </x:c>
      <x:c r="F2282" s="13" t="str">
        <x:v>Early Cyclicals</x:v>
      </x:c>
      <x:c r="G2282" s="13" t="str">
        <x:v>grid_wekqfxnd.xlsx</x:v>
      </x:c>
    </x:row>
    <x:row r="2283">
      <x:c r="A2283" s="15" t="n">
        <x:v>41306</x:v>
      </x:c>
      <x:c r="B2283" s="13" t="str">
        <x:v>ROSSI RESIDENCIAL SA</x:v>
      </x:c>
      <x:c r="C2283" s="16" t="n">
        <x:v>221.6562658192</x:v>
      </x:c>
      <x:c r="D2283" s="13" t="str">
        <x:v>Homebuilders</x:v>
      </x:c>
      <x:c r="E2283" s="13" t="str">
        <x:v>Real Estate</x:v>
      </x:c>
      <x:c r="F2283" s="13" t="str">
        <x:v>Early Cyclicals</x:v>
      </x:c>
      <x:c r="G2283" s="13" t="str">
        <x:v>grid_wekqfxnd.xlsx</x:v>
      </x:c>
    </x:row>
    <x:row r="2284">
      <x:c r="A2284" s="15" t="n">
        <x:v>41306</x:v>
      </x:c>
      <x:c r="B2284" s="13" t="str">
        <x:v>TEGRA INCORPORADORA SA</x:v>
      </x:c>
      <x:c r="C2284" s="16" t="n">
        <x:v>258.2561205479</x:v>
      </x:c>
      <x:c r="D2284" s="13" t="str">
        <x:v>Homebuilders</x:v>
      </x:c>
      <x:c r="E2284" s="13" t="str">
        <x:v>Real Estate</x:v>
      </x:c>
      <x:c r="F2284" s="13" t="str">
        <x:v>Early Cyclicals</x:v>
      </x:c>
      <x:c r="G2284" s="13" t="str">
        <x:v>grid_wekqfxnd.xlsx</x:v>
      </x:c>
    </x:row>
    <x:row r="2285">
      <x:c r="A2285" s="15" t="n">
        <x:v>41306</x:v>
      </x:c>
      <x:c r="B2285" s="13" t="str">
        <x:v>BR MALLS PARTICIPACOES SA</x:v>
      </x:c>
      <x:c r="C2285" s="16" t="n">
        <x:v>594.9695768548</x:v>
      </x:c>
      <x:c r="D2285" s="13" t="str">
        <x:v>Income Properties</x:v>
      </x:c>
      <x:c r="E2285" s="13" t="str">
        <x:v>Real Estate</x:v>
      </x:c>
      <x:c r="F2285" s="13" t="str">
        <x:v>Early Cyclicals</x:v>
      </x:c>
      <x:c r="G2285" s="13" t="str">
        <x:v>grid_wekqfxnd.xlsx</x:v>
      </x:c>
    </x:row>
    <x:row r="2286">
      <x:c r="A2286" s="15" t="n">
        <x:v>41306</x:v>
      </x:c>
      <x:c r="B2286" s="13" t="str">
        <x:v>BRADESPAR SA -PREF</x:v>
      </x:c>
      <x:c r="C2286" s="16" t="n">
        <x:v>1259.6218641534</x:v>
      </x:c>
      <x:c r="D2286" s="13" t="str">
        <x:v>Metals &amp; Mining</x:v>
      </x:c>
      <x:c r="E2286" s="13" t="str">
        <x:v>Metals &amp; Mining</x:v>
      </x:c>
      <x:c r="F2286" s="13" t="str">
        <x:v>Deep Cyclicals</x:v>
      </x:c>
      <x:c r="G2286" s="13" t="str">
        <x:v>grid_wekqfxnd.xlsx</x:v>
      </x:c>
    </x:row>
    <x:row r="2287">
      <x:c r="A2287" s="15" t="n">
        <x:v>41306</x:v>
      </x:c>
      <x:c r="B2287" s="13" t="str">
        <x:v>CIA SIDERURGICA NACIONAL SA</x:v>
      </x:c>
      <x:c r="C2287" s="16" t="n">
        <x:v>1449.4110488548</x:v>
      </x:c>
      <x:c r="D2287" s="13" t="str">
        <x:v>Metals &amp; Mining</x:v>
      </x:c>
      <x:c r="E2287" s="13" t="str">
        <x:v>Metals &amp; Mining</x:v>
      </x:c>
      <x:c r="F2287" s="13" t="str">
        <x:v>Deep Cyclicals</x:v>
      </x:c>
      <x:c r="G2287" s="13" t="str">
        <x:v>grid_wekqfxnd.xlsx</x:v>
      </x:c>
    </x:row>
    <x:row r="2288">
      <x:c r="A2288" s="15" t="n">
        <x:v>41306</x:v>
      </x:c>
      <x:c r="B2288" s="13" t="str">
        <x:v>GERDAU SA-PREF</x:v>
      </x:c>
      <x:c r="C2288" s="16" t="n">
        <x:v>1923.8635751452</x:v>
      </x:c>
      <x:c r="D2288" s="13" t="str">
        <x:v>Metals &amp; Mining</x:v>
      </x:c>
      <x:c r="E2288" s="13" t="str">
        <x:v>Metals &amp; Mining</x:v>
      </x:c>
      <x:c r="F2288" s="13" t="str">
        <x:v>Deep Cyclicals</x:v>
      </x:c>
      <x:c r="G2288" s="13" t="str">
        <x:v>grid_wekqfxnd.xlsx</x:v>
      </x:c>
    </x:row>
    <x:row r="2289">
      <x:c r="A2289" s="15" t="n">
        <x:v>41306</x:v>
      </x:c>
      <x:c r="B2289" s="13" t="str">
        <x:v>METALURGICA GERDAU SA-PREF</x:v>
      </x:c>
      <x:c r="C2289" s="16" t="n">
        <x:v>871.2400173589</x:v>
      </x:c>
      <x:c r="D2289" s="13" t="str">
        <x:v>Metals &amp; Mining</x:v>
      </x:c>
      <x:c r="E2289" s="13" t="str">
        <x:v>Metals &amp; Mining</x:v>
      </x:c>
      <x:c r="F2289" s="13" t="str">
        <x:v>Deep Cyclicals</x:v>
      </x:c>
      <x:c r="G2289" s="13" t="str">
        <x:v>grid_wekqfxnd.xlsx</x:v>
      </x:c>
    </x:row>
    <x:row r="2290">
      <x:c r="A2290" s="15" t="n">
        <x:v>41306</x:v>
      </x:c>
      <x:c r="B2290" s="13" t="str">
        <x:v>MMX MINERACAO E METALICOS SA</x:v>
      </x:c>
      <x:c r="C2290" s="16" t="n">
        <x:v>-20.9867123288</x:v>
      </x:c>
      <x:c r="D2290" s="13" t="str">
        <x:v>Metals &amp; Mining</x:v>
      </x:c>
      <x:c r="E2290" s="13" t="str">
        <x:v>Metals &amp; Mining</x:v>
      </x:c>
      <x:c r="F2290" s="13" t="str">
        <x:v>Deep Cyclicals</x:v>
      </x:c>
      <x:c r="G2290" s="13" t="str">
        <x:v>grid_wekqfxnd.xlsx</x:v>
      </x:c>
    </x:row>
    <x:row r="2291">
      <x:c r="A2291" s="15" t="n">
        <x:v>41306</x:v>
      </x:c>
      <x:c r="B2291" s="13" t="str">
        <x:v>USINAS SIDER MINAS GER-PF A</x:v>
      </x:c>
      <x:c r="C2291" s="16" t="n">
        <x:v>434.2362366247</x:v>
      </x:c>
      <x:c r="D2291" s="13" t="str">
        <x:v>Metals &amp; Mining</x:v>
      </x:c>
      <x:c r="E2291" s="13" t="str">
        <x:v>Metals &amp; Mining</x:v>
      </x:c>
      <x:c r="F2291" s="13" t="str">
        <x:v>Deep Cyclicals</x:v>
      </x:c>
      <x:c r="G2291" s="13" t="str">
        <x:v>grid_wekqfxnd.xlsx</x:v>
      </x:c>
    </x:row>
    <x:row r="2292">
      <x:c r="A2292" s="15" t="n">
        <x:v>41306</x:v>
      </x:c>
      <x:c r="B2292" s="13" t="str">
        <x:v>USINAS SIDERURGICAS DE MINAS</x:v>
      </x:c>
      <x:c r="C2292" s="16" t="n">
        <x:v>434.2362366247</x:v>
      </x:c>
      <x:c r="D2292" s="13" t="str">
        <x:v>Metals &amp; Mining</x:v>
      </x:c>
      <x:c r="E2292" s="13" t="str">
        <x:v>Metals &amp; Mining</x:v>
      </x:c>
      <x:c r="F2292" s="13" t="str">
        <x:v>Deep Cyclicals</x:v>
      </x:c>
      <x:c r="G2292" s="13" t="str">
        <x:v>grid_wekqfxnd.xlsx</x:v>
      </x:c>
    </x:row>
    <x:row r="2293">
      <x:c r="A2293" s="15" t="n">
        <x:v>41306</x:v>
      </x:c>
      <x:c r="B2293" s="13" t="str">
        <x:v>VALE SA</x:v>
      </x:c>
      <x:c r="C2293" s="16" t="n">
        <x:v>24616.3421941479</x:v>
      </x:c>
      <x:c r="D2293" s="13" t="str">
        <x:v>Metals &amp; Mining</x:v>
      </x:c>
      <x:c r="E2293" s="13" t="str">
        <x:v>Metals &amp; Mining</x:v>
      </x:c>
      <x:c r="F2293" s="13" t="str">
        <x:v>Deep Cyclicals</x:v>
      </x:c>
      <x:c r="G2293" s="13" t="str">
        <x:v>grid_wekqfxnd.xlsx</x:v>
      </x:c>
    </x:row>
    <x:row r="2294">
      <x:c r="A2294" s="15" t="n">
        <x:v>41306</x:v>
      </x:c>
      <x:c r="B2294" s="13" t="str">
        <x:v>BRASKEM SA-PREF A</x:v>
      </x:c>
      <x:c r="C2294" s="16" t="n">
        <x:v>507.4287619507</x:v>
      </x:c>
      <x:c r="D2294" s="13" t="str">
        <x:v>Oil, Gas &amp; Petrochemicals</x:v>
      </x:c>
      <x:c r="E2294" s="13" t="str">
        <x:v>Oil, Gas &amp; Petrochemicals</x:v>
      </x:c>
      <x:c r="F2294" s="13" t="str">
        <x:v>Deep Cyclicals</x:v>
      </x:c>
      <x:c r="G2294" s="13" t="str">
        <x:v>grid_wekqfxnd.xlsx</x:v>
      </x:c>
    </x:row>
    <x:row r="2295">
      <x:c r="A2295" s="15" t="n">
        <x:v>41306</x:v>
      </x:c>
      <x:c r="B2295" s="13" t="str">
        <x:v>OLEO E GAS PARTICIPACOES SA</x:v>
      </x:c>
      <x:c r="C2295" s="16" t="n">
        <x:v>-133.6938122521</x:v>
      </x:c>
      <x:c r="D2295" s="13" t="str">
        <x:v>Oil, Gas &amp; Petrochemicals</x:v>
      </x:c>
      <x:c r="E2295" s="13" t="str">
        <x:v>Oil, Gas &amp; Petrochemicals</x:v>
      </x:c>
      <x:c r="F2295" s="13" t="str">
        <x:v>Deep Cyclicals</x:v>
      </x:c>
      <x:c r="G2295" s="13" t="str">
        <x:v>grid_wekqfxnd.xlsx</x:v>
      </x:c>
    </x:row>
    <x:row r="2296">
      <x:c r="A2296" s="15" t="n">
        <x:v>41306</x:v>
      </x:c>
      <x:c r="B2296" s="13" t="str">
        <x:v>PETROBRAS - PETROLEO BRAS</x:v>
      </x:c>
      <x:c r="C2296" s="16" t="n">
        <x:v>31132.244792811</x:v>
      </x:c>
      <x:c r="D2296" s="13" t="str">
        <x:v>Oil, Gas &amp; Petrochemicals</x:v>
      </x:c>
      <x:c r="E2296" s="13" t="str">
        <x:v>Oil, Gas &amp; Petrochemicals</x:v>
      </x:c>
      <x:c r="F2296" s="13" t="str">
        <x:v>Deep Cyclicals</x:v>
      </x:c>
      <x:c r="G2296" s="13" t="str">
        <x:v>grid_wekqfxnd.xlsx</x:v>
      </x:c>
    </x:row>
    <x:row r="2297">
      <x:c r="A2297" s="15" t="n">
        <x:v>41306</x:v>
      </x:c>
      <x:c r="B2297" s="13" t="str">
        <x:v>ULTRAPAR PARTICIPACOES SA</x:v>
      </x:c>
      <x:c r="C2297" s="16" t="n">
        <x:v>1202.9185753425</x:v>
      </x:c>
      <x:c r="D2297" s="13" t="str">
        <x:v>Oil, Gas &amp; Petrochemicals</x:v>
      </x:c>
      <x:c r="E2297" s="13" t="str">
        <x:v>Oil, Gas &amp; Petrochemicals</x:v>
      </x:c>
      <x:c r="F2297" s="13" t="str">
        <x:v>Deep Cyclicals</x:v>
      </x:c>
      <x:c r="G2297" s="13" t="str">
        <x:v>grid_wekqfxnd.xlsx</x:v>
      </x:c>
    </x:row>
    <x:row r="2298">
      <x:c r="A2298" s="15" t="n">
        <x:v>41306</x:v>
      </x:c>
      <x:c r="B2298" s="13" t="str">
        <x:v>DEXCO SA</x:v>
      </x:c>
      <x:c r="C2298" s="16" t="n">
        <x:v>500.1650700274</x:v>
      </x:c>
      <x:c r="D2298" s="13" t="str">
        <x:v>Pulp &amp; Paper</x:v>
      </x:c>
      <x:c r="E2298" s="13" t="str">
        <x:v>Pulp &amp; Paper</x:v>
      </x:c>
      <x:c r="F2298" s="13" t="str">
        <x:v>Deep Cyclicals</x:v>
      </x:c>
      <x:c r="G2298" s="13" t="str">
        <x:v>grid_wekqfxnd.xlsx</x:v>
      </x:c>
    </x:row>
    <x:row r="2299">
      <x:c r="A2299" s="15" t="n">
        <x:v>41306</x:v>
      </x:c>
      <x:c r="B2299" s="13" t="str">
        <x:v>FIBRIA CELULOSE S/A</x:v>
      </x:c>
      <x:c r="C2299" s="16" t="n">
        <x:v>198.0593631562</x:v>
      </x:c>
      <x:c r="D2299" s="13" t="str">
        <x:v>Pulp &amp; Paper</x:v>
      </x:c>
      <x:c r="E2299" s="13" t="str">
        <x:v>Pulp &amp; Paper</x:v>
      </x:c>
      <x:c r="F2299" s="13" t="str">
        <x:v>Deep Cyclicals</x:v>
      </x:c>
      <x:c r="G2299" s="13" t="str">
        <x:v>grid_wekqfxnd.xlsx</x:v>
      </x:c>
    </x:row>
    <x:row r="2300">
      <x:c r="A2300" s="15" t="n">
        <x:v>41306</x:v>
      </x:c>
      <x:c r="B2300" s="13" t="str">
        <x:v>SUZANO PAPEL E CELULO-PREF A</x:v>
      </x:c>
      <x:c r="C2300" s="16" t="n">
        <x:v>118.9756233644</x:v>
      </x:c>
      <x:c r="D2300" s="13" t="str">
        <x:v>Pulp &amp; Paper</x:v>
      </x:c>
      <x:c r="E2300" s="13" t="str">
        <x:v>Pulp &amp; Paper</x:v>
      </x:c>
      <x:c r="F2300" s="13" t="str">
        <x:v>Deep Cyclicals</x:v>
      </x:c>
      <x:c r="G2300" s="13" t="str">
        <x:v>grid_wekqfxnd.xlsx</x:v>
      </x:c>
    </x:row>
    <x:row r="2301">
      <x:c r="A2301" s="15" t="n">
        <x:v>41306</x:v>
      </x:c>
      <x:c r="B2301" s="13" t="str">
        <x:v>AMERICANAS SA</x:v>
      </x:c>
      <x:c r="C2301" s="16" t="n">
        <x:v>-48.802239726</x:v>
      </x:c>
      <x:c r="D2301" s="13" t="str">
        <x:v>Retail</x:v>
      </x:c>
      <x:c r="E2301" s="13" t="str">
        <x:v>Retail</x:v>
      </x:c>
      <x:c r="F2301" s="13" t="str">
        <x:v>Early Cyclicals</x:v>
      </x:c>
      <x:c r="G2301" s="13" t="str">
        <x:v>grid_wekqfxnd.xlsx</x:v>
      </x:c>
    </x:row>
    <x:row r="2302">
      <x:c r="A2302" s="15" t="n">
        <x:v>41306</x:v>
      </x:c>
      <x:c r="B2302" s="13" t="str">
        <x:v>CIA BRASILEIRA DE DIS-PREF</x:v>
      </x:c>
      <x:c r="C2302" s="16" t="n">
        <x:v>1275.4304161315</x:v>
      </x:c>
      <x:c r="D2302" s="13" t="str">
        <x:v>Retail</x:v>
      </x:c>
      <x:c r="E2302" s="13" t="str">
        <x:v>Retail</x:v>
      </x:c>
      <x:c r="F2302" s="13" t="str">
        <x:v>Early Cyclicals</x:v>
      </x:c>
      <x:c r="G2302" s="13" t="str">
        <x:v>grid_wekqfxnd.xlsx</x:v>
      </x:c>
    </x:row>
    <x:row r="2303">
      <x:c r="A2303" s="15" t="n">
        <x:v>41306</x:v>
      </x:c>
      <x:c r="B2303" s="13" t="str">
        <x:v>CIA HERING</x:v>
      </x:c>
      <x:c r="C2303" s="16" t="n">
        <x:v>373.5053646027</x:v>
      </x:c>
      <x:c r="D2303" s="13" t="str">
        <x:v>Retail</x:v>
      </x:c>
      <x:c r="E2303" s="13" t="str">
        <x:v>Retail</x:v>
      </x:c>
      <x:c r="F2303" s="13" t="str">
        <x:v>Early Cyclicals</x:v>
      </x:c>
      <x:c r="G2303" s="13" t="str">
        <x:v>grid_wekqfxnd.xlsx</x:v>
      </x:c>
    </x:row>
    <x:row r="2304">
      <x:c r="A2304" s="15" t="n">
        <x:v>41306</x:v>
      </x:c>
      <x:c r="B2304" s="13" t="str">
        <x:v>LOJAS AMERICANAS SA-PREF</x:v>
      </x:c>
      <x:c r="C2304" s="16" t="n">
        <x:v>583.8380943781</x:v>
      </x:c>
      <x:c r="D2304" s="13" t="str">
        <x:v>Retail</x:v>
      </x:c>
      <x:c r="E2304" s="13" t="str">
        <x:v>Retail</x:v>
      </x:c>
      <x:c r="F2304" s="13" t="str">
        <x:v>Early Cyclicals</x:v>
      </x:c>
      <x:c r="G2304" s="13" t="str">
        <x:v>grid_wekqfxnd.xlsx</x:v>
      </x:c>
    </x:row>
    <x:row r="2305">
      <x:c r="A2305" s="15" t="n">
        <x:v>41306</x:v>
      </x:c>
      <x:c r="B2305" s="13" t="str">
        <x:v>LOJAS RENNER S.A.</x:v>
      </x:c>
      <x:c r="C2305" s="16" t="n">
        <x:v>451.530079737</x:v>
      </x:c>
      <x:c r="D2305" s="13" t="str">
        <x:v>Retail</x:v>
      </x:c>
      <x:c r="E2305" s="13" t="str">
        <x:v>Retail</x:v>
      </x:c>
      <x:c r="F2305" s="13" t="str">
        <x:v>Early Cyclicals</x:v>
      </x:c>
      <x:c r="G2305" s="13" t="str">
        <x:v>grid_wekqfxnd.xlsx</x:v>
      </x:c>
    </x:row>
    <x:row r="2306">
      <x:c r="A2306" s="15" t="n">
        <x:v>41306</x:v>
      </x:c>
      <x:c r="B2306" s="13" t="str">
        <x:v>NATURA COSMETICOS SA</x:v>
      </x:c>
      <x:c r="C2306" s="16" t="n">
        <x:v>1037.7426063781</x:v>
      </x:c>
      <x:c r="D2306" s="13" t="str">
        <x:v>Retail</x:v>
      </x:c>
      <x:c r="E2306" s="13" t="str">
        <x:v>Retail</x:v>
      </x:c>
      <x:c r="F2306" s="13" t="str">
        <x:v>Early Cyclicals</x:v>
      </x:c>
      <x:c r="G2306" s="13" t="str">
        <x:v>grid_wekqfxnd.xlsx</x:v>
      </x:c>
    </x:row>
    <x:row r="2307">
      <x:c r="A2307" s="15" t="n">
        <x:v>41306</x:v>
      </x:c>
      <x:c r="B2307" s="13" t="str">
        <x:v>CIA SANEAMENTO BASICO DE SP</x:v>
      </x:c>
      <x:c r="C2307" s="16" t="n">
        <x:v>2132.6291154411</x:v>
      </x:c>
      <x:c r="D2307" s="13" t="str">
        <x:v>Sanitation</x:v>
      </x:c>
      <x:c r="E2307" s="13" t="str">
        <x:v>Utilities</x:v>
      </x:c>
      <x:c r="F2307" s="13" t="str">
        <x:v>Defensives</x:v>
      </x:c>
      <x:c r="G2307" s="13" t="str">
        <x:v>grid_wekqfxnd.xlsx</x:v>
      </x:c>
    </x:row>
    <x:row r="2308">
      <x:c r="A2308" s="15" t="n">
        <x:v>41306</x:v>
      </x:c>
      <x:c r="B2308" s="13" t="str">
        <x:v>OI S.A.</x:v>
      </x:c>
      <x:c r="C2308" s="16" t="n">
        <x:v>772.7114780055</x:v>
      </x:c>
      <x:c r="D2308" s="13" t="str">
        <x:v>TMT</x:v>
      </x:c>
      <x:c r="E2308" s="13" t="str">
        <x:v>TMT</x:v>
      </x:c>
      <x:c r="F2308" s="13" t="str">
        <x:v>Early Cyclicals</x:v>
      </x:c>
      <x:c r="G2308" s="13" t="str">
        <x:v>grid_wekqfxnd.xlsx</x:v>
      </x:c>
    </x:row>
    <x:row r="2309">
      <x:c r="A2309" s="15" t="n">
        <x:v>41306</x:v>
      </x:c>
      <x:c r="B2309" s="13" t="str">
        <x:v>OI SA-PREFERENCE</x:v>
      </x:c>
      <x:c r="C2309" s="16" t="n">
        <x:v>772.7114780055</x:v>
      </x:c>
      <x:c r="D2309" s="13" t="str">
        <x:v>TMT</x:v>
      </x:c>
      <x:c r="E2309" s="13" t="str">
        <x:v>TMT</x:v>
      </x:c>
      <x:c r="F2309" s="13" t="str">
        <x:v>Early Cyclicals</x:v>
      </x:c>
      <x:c r="G2309" s="13" t="str">
        <x:v>grid_wekqfxnd.xlsx</x:v>
      </x:c>
    </x:row>
    <x:row r="2310">
      <x:c r="A2310" s="15" t="n">
        <x:v>41306</x:v>
      </x:c>
      <x:c r="B2310" s="13" t="str">
        <x:v>TELEFONICA BRASIL S.A.-PREF</x:v>
      </x:c>
      <x:c r="C2310" s="16" t="n">
        <x:v>4917.3210420603</x:v>
      </x:c>
      <x:c r="D2310" s="13" t="str">
        <x:v>TMT</x:v>
      </x:c>
      <x:c r="E2310" s="13" t="str">
        <x:v>TMT</x:v>
      </x:c>
      <x:c r="F2310" s="13" t="str">
        <x:v>Early Cyclicals</x:v>
      </x:c>
      <x:c r="G2310" s="13" t="str">
        <x:v>grid_wekqfxnd.xlsx</x:v>
      </x:c>
    </x:row>
    <x:row r="2311">
      <x:c r="A2311" s="15" t="n">
        <x:v>41306</x:v>
      </x:c>
      <x:c r="B2311" s="13" t="str">
        <x:v>TIM SA</x:v>
      </x:c>
      <x:c r="C2311" s="16" t="n">
        <x:v>1736.6103281973</x:v>
      </x:c>
      <x:c r="D2311" s="13" t="str">
        <x:v>TMT</x:v>
      </x:c>
      <x:c r="E2311" s="13" t="str">
        <x:v>TMT</x:v>
      </x:c>
      <x:c r="F2311" s="13" t="str">
        <x:v>Early Cyclicals</x:v>
      </x:c>
      <x:c r="G2311" s="13" t="str">
        <x:v>grid_wekqfxnd.xlsx</x:v>
      </x:c>
    </x:row>
    <x:row r="2312">
      <x:c r="A2312" s="15" t="n">
        <x:v>41306</x:v>
      </x:c>
      <x:c r="B2312" s="13" t="str">
        <x:v>GOL LINHAS AEREAS INT SA-PRE</x:v>
      </x:c>
      <x:c r="C2312" s="16" t="n">
        <x:v>31.1844553096</x:v>
      </x:c>
      <x:c r="D2312" s="13" t="str">
        <x:v>Transportation</x:v>
      </x:c>
      <x:c r="E2312" s="13" t="str">
        <x:v>Transportation</x:v>
      </x:c>
      <x:c r="F2312" s="13" t="str">
        <x:v>Deep Cyclicals</x:v>
      </x:c>
      <x:c r="G2312" s="13" t="str">
        <x:v>grid_wekqfxnd.xlsx</x:v>
      </x:c>
    </x:row>
    <x:row r="2313">
      <x:c r="A2313" s="15" t="n">
        <x:v>41306</x:v>
      </x:c>
      <x:c r="B2313" s="13" t="str">
        <x:v>LOCALIZA RENT A CAR</x:v>
      </x:c>
      <x:c r="C2313" s="16" t="n">
        <x:v>381.0575342466</x:v>
      </x:c>
      <x:c r="D2313" s="13" t="str">
        <x:v>Transportation</x:v>
      </x:c>
      <x:c r="E2313" s="13" t="str">
        <x:v>Transportation</x:v>
      </x:c>
      <x:c r="F2313" s="13" t="str">
        <x:v>Deep Cyclicals</x:v>
      </x:c>
      <x:c r="G2313" s="13" t="str">
        <x:v>grid_wekqfxnd.xlsx</x:v>
      </x:c>
    </x:row>
    <x:row r="2314">
      <x:c r="A2314" s="15" t="n">
        <x:v>41306</x:v>
      </x:c>
      <x:c r="B2314" s="13" t="str">
        <x:v>MOTIVA INFRAESTRUTURA DE MOB</x:v>
      </x:c>
      <x:c r="C2314" s="16" t="n">
        <x:v>1519.8465753425</x:v>
      </x:c>
      <x:c r="D2314" s="13" t="str">
        <x:v>Transportation</x:v>
      </x:c>
      <x:c r="E2314" s="13" t="str">
        <x:v>Transportation</x:v>
      </x:c>
      <x:c r="F2314" s="13" t="str">
        <x:v>Deep Cyclicals</x:v>
      </x:c>
      <x:c r="G2314" s="13" t="str">
        <x:v>grid_wekqfxnd.xlsx</x:v>
      </x:c>
    </x:row>
    <x:row r="2315">
      <x:c r="A2315" s="15" t="n">
        <x:v>41306</x:v>
      </x:c>
      <x:c r="B2315" s="13" t="str">
        <x:v>PRUMO LOGISTICA SA</x:v>
      </x:c>
      <x:c r="C2315" s="16" t="n">
        <x:v>-98.9371452055</x:v>
      </x:c>
      <x:c r="D2315" s="13" t="str">
        <x:v>Transportation</x:v>
      </x:c>
      <x:c r="E2315" s="13" t="str">
        <x:v>Transportation</x:v>
      </x:c>
      <x:c r="F2315" s="13" t="str">
        <x:v>Deep Cyclicals</x:v>
      </x:c>
      <x:c r="G2315" s="13" t="str">
        <x:v>grid_wekqfxnd.xlsx</x:v>
      </x:c>
    </x:row>
    <x:row r="2316">
      <x:c r="A2316" s="15" t="n">
        <x:v>41306</x:v>
      </x:c>
      <x:c r="B2316" s="13" t="str">
        <x:v>RUMO SA</x:v>
      </x:c>
      <x:c r="C2316" s="16" t="n">
        <x:v>401.3606754192</x:v>
      </x:c>
      <x:c r="D2316" s="13" t="str">
        <x:v>Transportation</x:v>
      </x:c>
      <x:c r="E2316" s="13" t="str">
        <x:v>Transportation</x:v>
      </x:c>
      <x:c r="F2316" s="13" t="str">
        <x:v>Deep Cyclicals</x:v>
      </x:c>
      <x:c r="G2316" s="13" t="str">
        <x:v>grid_wekqfxnd.xlsx</x:v>
      </x:c>
    </x:row>
    <x:row r="2317">
      <x:c r="A2317" s="15" t="n">
        <x:v>41306</x:v>
      </x:c>
      <x:c r="B2317" s="13" t="str">
        <x:v>CESP - CIA ENERGETICA DE SAO</x:v>
      </x:c>
      <x:c r="C2317" s="16" t="n">
        <x:v>1123.7324663233</x:v>
      </x:c>
      <x:c r="D2317" s="13" t="str">
        <x:v>Utilities &amp; Energy</x:v>
      </x:c>
      <x:c r="E2317" s="13" t="str">
        <x:v>Utilities</x:v>
      </x:c>
      <x:c r="F2317" s="13" t="str">
        <x:v>Defensives</x:v>
      </x:c>
      <x:c r="G2317" s="13" t="str">
        <x:v>grid_wekqfxnd.xlsx</x:v>
      </x:c>
    </x:row>
    <x:row r="2318">
      <x:c r="A2318" s="15" t="n">
        <x:v>41306</x:v>
      </x:c>
      <x:c r="B2318" s="13" t="str">
        <x:v>CIA ENERGETICA MINAS GER-PRF</x:v>
      </x:c>
      <x:c r="C2318" s="16" t="n">
        <x:v>2682.6512888986</x:v>
      </x:c>
      <x:c r="D2318" s="13" t="str">
        <x:v>Utilities &amp; Energy</x:v>
      </x:c>
      <x:c r="E2318" s="13" t="str">
        <x:v>Utilities</x:v>
      </x:c>
      <x:c r="F2318" s="13" t="str">
        <x:v>Defensives</x:v>
      </x:c>
      <x:c r="G2318" s="13" t="str">
        <x:v>grid_wekqfxnd.xlsx</x:v>
      </x:c>
    </x:row>
    <x:row r="2319">
      <x:c r="A2319" s="15" t="n">
        <x:v>41306</x:v>
      </x:c>
      <x:c r="B2319" s="13" t="str">
        <x:v>COMPANHIA PARANAENSE -PREF B</x:v>
      </x:c>
      <x:c r="C2319" s="16" t="n">
        <x:v>1028.7601881425</x:v>
      </x:c>
      <x:c r="D2319" s="13" t="str">
        <x:v>Utilities &amp; Energy</x:v>
      </x:c>
      <x:c r="E2319" s="13" t="str">
        <x:v>Utilities</x:v>
      </x:c>
      <x:c r="F2319" s="13" t="str">
        <x:v>Defensives</x:v>
      </x:c>
      <x:c r="G2319" s="13" t="str">
        <x:v>grid_wekqfxnd.xlsx</x:v>
      </x:c>
    </x:row>
    <x:row r="2320">
      <x:c r="A2320" s="15" t="n">
        <x:v>41306</x:v>
      </x:c>
      <x:c r="B2320" s="13" t="str">
        <x:v>CPFL ENERGIA SA</x:v>
      </x:c>
      <x:c r="C2320" s="16" t="n">
        <x:v>1241.2898794959</x:v>
      </x:c>
      <x:c r="D2320" s="13" t="str">
        <x:v>Utilities &amp; Energy</x:v>
      </x:c>
      <x:c r="E2320" s="13" t="str">
        <x:v>Utilities</x:v>
      </x:c>
      <x:c r="F2320" s="13" t="str">
        <x:v>Defensives</x:v>
      </x:c>
      <x:c r="G2320" s="13" t="str">
        <x:v>grid_wekqfxnd.xlsx</x:v>
      </x:c>
    </x:row>
    <x:row r="2321">
      <x:c r="A2321" s="15" t="n">
        <x:v>41306</x:v>
      </x:c>
      <x:c r="B2321" s="13" t="str">
        <x:v>EDP - ENERGIAS DO BRASIL SA</x:v>
      </x:c>
      <x:c r="C2321" s="16" t="n">
        <x:v>547.3849273863</x:v>
      </x:c>
      <x:c r="D2321" s="13" t="str">
        <x:v>Utilities &amp; Energy</x:v>
      </x:c>
      <x:c r="E2321" s="13" t="str">
        <x:v>Utilities</x:v>
      </x:c>
      <x:c r="F2321" s="13" t="str">
        <x:v>Defensives</x:v>
      </x:c>
      <x:c r="G2321" s="13" t="str">
        <x:v>grid_wekqfxnd.xlsx</x:v>
      </x:c>
    </x:row>
    <x:row r="2322">
      <x:c r="A2322" s="15" t="n">
        <x:v>41306</x:v>
      </x:c>
      <x:c r="B2322" s="13" t="str">
        <x:v>ELETROPAULO METROPOLI-PREF</x:v>
      </x:c>
      <x:c r="C2322" s="16" t="n">
        <x:v>73.6728153425</x:v>
      </x:c>
      <x:c r="D2322" s="13" t="str">
        <x:v>Utilities &amp; Energy</x:v>
      </x:c>
      <x:c r="E2322" s="13" t="str">
        <x:v>Utilities</x:v>
      </x:c>
      <x:c r="F2322" s="13" t="str">
        <x:v>Defensives</x:v>
      </x:c>
      <x:c r="G2322" s="13" t="str">
        <x:v>grid_wekqfxnd.xlsx</x:v>
      </x:c>
    </x:row>
    <x:row r="2323">
      <x:c r="A2323" s="15" t="n">
        <x:v>41306</x:v>
      </x:c>
      <x:c r="B2323" s="13" t="str">
        <x:v>ISA ENERGIA BRASIL SA</x:v>
      </x:c>
      <x:c r="C2323" s="16" t="n">
        <x:v>413.1054742795</x:v>
      </x:c>
      <x:c r="D2323" s="13" t="str">
        <x:v>Utilities &amp; Energy</x:v>
      </x:c>
      <x:c r="E2323" s="13" t="str">
        <x:v>Utilities</x:v>
      </x:c>
      <x:c r="F2323" s="13" t="str">
        <x:v>Defensives</x:v>
      </x:c>
      <x:c r="G2323" s="13" t="str">
        <x:v>grid_wekqfxnd.xlsx</x:v>
      </x:c>
    </x:row>
    <x:row r="2324">
      <x:c r="A2324" s="15" t="n">
        <x:v>41306</x:v>
      </x:c>
      <x:c r="B2324" s="13" t="str">
        <x:v>LIGHT SA</x:v>
      </x:c>
      <x:c r="C2324" s="16" t="n">
        <x:v>588.751802389</x:v>
      </x:c>
      <x:c r="D2324" s="13" t="str">
        <x:v>Utilities &amp; Energy</x:v>
      </x:c>
      <x:c r="E2324" s="13" t="str">
        <x:v>Utilities</x:v>
      </x:c>
      <x:c r="F2324" s="13" t="str">
        <x:v>Defensives</x:v>
      </x:c>
      <x:c r="G2324" s="13" t="str">
        <x:v>grid_wekqfxnd.xlsx</x:v>
      </x:c>
    </x:row>
    <x:row r="2325">
      <x:c r="A2325" s="15" t="n">
        <x:v>41334</x:v>
      </x:c>
      <x:c r="B2325" s="13" t="str">
        <x:v>BANCO BRADESCO SA-PREF</x:v>
      </x:c>
      <x:c r="C2325" s="16" t="n">
        <x:v>12947.1515774247</x:v>
      </x:c>
      <x:c r="D2325" s="13" t="str">
        <x:v>Banks</x:v>
      </x:c>
      <x:c r="E2325" s="13" t="str">
        <x:v>Banks</x:v>
      </x:c>
      <x:c r="F2325" s="13" t="str">
        <x:v>Financials</x:v>
      </x:c>
      <x:c r="G2325" s="13" t="str">
        <x:v>grid_wekqfxnd.xlsx</x:v>
      </x:c>
    </x:row>
    <x:row r="2326">
      <x:c r="A2326" s="15" t="n">
        <x:v>41334</x:v>
      </x:c>
      <x:c r="B2326" s="13" t="str">
        <x:v>BANCO DO BRASIL S.A.</x:v>
      </x:c>
      <x:c r="C2326" s="16" t="n">
        <x:v>11084.6322070795</x:v>
      </x:c>
      <x:c r="D2326" s="13" t="str">
        <x:v>Banks</x:v>
      </x:c>
      <x:c r="E2326" s="13" t="str">
        <x:v>Banks</x:v>
      </x:c>
      <x:c r="F2326" s="13" t="str">
        <x:v>Financials</x:v>
      </x:c>
      <x:c r="G2326" s="13" t="str">
        <x:v>grid_wekqfxnd.xlsx</x:v>
      </x:c>
    </x:row>
    <x:row r="2327">
      <x:c r="A2327" s="15" t="n">
        <x:v>41334</x:v>
      </x:c>
      <x:c r="B2327" s="13" t="str">
        <x:v>BANCO SANTANDER  BRASIL-UNIT</x:v>
      </x:c>
      <x:c r="C2327" s="16" t="n">
        <x:v>6574.8822647233</x:v>
      </x:c>
      <x:c r="D2327" s="13" t="str">
        <x:v>Banks</x:v>
      </x:c>
      <x:c r="E2327" s="13" t="str">
        <x:v>Banks</x:v>
      </x:c>
      <x:c r="F2327" s="13" t="str">
        <x:v>Financials</x:v>
      </x:c>
      <x:c r="G2327" s="13" t="str">
        <x:v>grid_wekqfxnd.xlsx</x:v>
      </x:c>
    </x:row>
    <x:row r="2328">
      <x:c r="A2328" s="15" t="n">
        <x:v>41334</x:v>
      </x:c>
      <x:c r="B2328" s="13" t="str">
        <x:v>ITAU UNIBANCO HOLDING S-PREF</x:v>
      </x:c>
      <x:c r="C2328" s="16" t="n">
        <x:v>15931.834771989</x:v>
      </x:c>
      <x:c r="D2328" s="13" t="str">
        <x:v>Banks</x:v>
      </x:c>
      <x:c r="E2328" s="13" t="str">
        <x:v>Banks</x:v>
      </x:c>
      <x:c r="F2328" s="13" t="str">
        <x:v>Financials</x:v>
      </x:c>
      <x:c r="G2328" s="13" t="str">
        <x:v>grid_wekqfxnd.xlsx</x:v>
      </x:c>
    </x:row>
    <x:row r="2329">
      <x:c r="A2329" s="15" t="n">
        <x:v>41334</x:v>
      </x:c>
      <x:c r="B2329" s="13" t="str">
        <x:v>EMBRAER SA</x:v>
      </x:c>
      <x:c r="C2329" s="16" t="n">
        <x:v>997.8018002411</x:v>
      </x:c>
      <x:c r="D2329" s="13" t="str">
        <x:v>Capital Goods</x:v>
      </x:c>
      <x:c r="E2329" s="13" t="str">
        <x:v>Capital Goods</x:v>
      </x:c>
      <x:c r="F2329" s="13" t="str">
        <x:v>Deep Cyclicals</x:v>
      </x:c>
      <x:c r="G2329" s="13" t="str">
        <x:v>grid_wekqfxnd.xlsx</x:v>
      </x:c>
    </x:row>
    <x:row r="2330">
      <x:c r="A2330" s="15" t="n">
        <x:v>41334</x:v>
      </x:c>
      <x:c r="B2330" s="13" t="str">
        <x:v>B3 SA-BRASIL BOLSA BALCAO</x:v>
      </x:c>
      <x:c r="C2330" s="16" t="n">
        <x:v>1849.3780897315</x:v>
      </x:c>
      <x:c r="D2330" s="13" t="str">
        <x:v>Financials Non-Banks</x:v>
      </x:c>
      <x:c r="E2330" s="13" t="str">
        <x:v>Financials Non-Banks</x:v>
      </x:c>
      <x:c r="F2330" s="13" t="str">
        <x:v>Financials</x:v>
      </x:c>
      <x:c r="G2330" s="13" t="str">
        <x:v>grid_wekqfxnd.xlsx</x:v>
      </x:c>
    </x:row>
    <x:row r="2331">
      <x:c r="A2331" s="15" t="n">
        <x:v>41334</x:v>
      </x:c>
      <x:c r="B2331" s="13" t="str">
        <x:v>CETIP SA-MERCADOS ORGANIZADO</x:v>
      </x:c>
      <x:c r="C2331" s="16" t="n">
        <x:v>420.0671232877</x:v>
      </x:c>
      <x:c r="D2331" s="13" t="str">
        <x:v>Financials Non-Banks</x:v>
      </x:c>
      <x:c r="E2331" s="13" t="str">
        <x:v>Financials Non-Banks</x:v>
      </x:c>
      <x:c r="F2331" s="13" t="str">
        <x:v>Financials</x:v>
      </x:c>
      <x:c r="G2331" s="13" t="str">
        <x:v>grid_wekqfxnd.xlsx</x:v>
      </x:c>
    </x:row>
    <x:row r="2332">
      <x:c r="A2332" s="15" t="n">
        <x:v>41334</x:v>
      </x:c>
      <x:c r="B2332" s="13" t="str">
        <x:v>CIELO SA - INSTITUICAO DE PA</x:v>
      </x:c>
      <x:c r="C2332" s="16" t="n">
        <x:v>2586.4081246685</x:v>
      </x:c>
      <x:c r="D2332" s="13" t="str">
        <x:v>Financials Non-Banks</x:v>
      </x:c>
      <x:c r="E2332" s="13" t="str">
        <x:v>Financials Non-Banks</x:v>
      </x:c>
      <x:c r="F2332" s="13" t="str">
        <x:v>Financials</x:v>
      </x:c>
      <x:c r="G2332" s="13" t="str">
        <x:v>grid_wekqfxnd.xlsx</x:v>
      </x:c>
    </x:row>
    <x:row r="2333">
      <x:c r="A2333" s="15" t="n">
        <x:v>41334</x:v>
      </x:c>
      <x:c r="B2333" s="13" t="str">
        <x:v>ITAUSA SA</x:v>
      </x:c>
      <x:c r="C2333" s="16" t="n">
        <x:v>5892.1836179288</x:v>
      </x:c>
      <x:c r="D2333" s="13" t="str">
        <x:v>Financials Non-Banks</x:v>
      </x:c>
      <x:c r="E2333" s="13" t="str">
        <x:v>Financials Non-Banks</x:v>
      </x:c>
      <x:c r="F2333" s="13" t="str">
        <x:v>Financials</x:v>
      </x:c>
      <x:c r="G2333" s="13" t="str">
        <x:v>grid_wekqfxnd.xlsx</x:v>
      </x:c>
    </x:row>
    <x:row r="2334">
      <x:c r="A2334" s="15" t="n">
        <x:v>41334</x:v>
      </x:c>
      <x:c r="B2334" s="13" t="str">
        <x:v>AMBEV SA</x:v>
      </x:c>
      <x:c r="C2334" s="16" t="n">
        <x:v>11487.805580274</x:v>
      </x:c>
      <x:c r="D2334" s="13" t="str">
        <x:v>Food &amp; Beverages</x:v>
      </x:c>
      <x:c r="E2334" s="13" t="str">
        <x:v>Agri, Food &amp; Beverages</x:v>
      </x:c>
      <x:c r="F2334" s="13" t="str">
        <x:v>Defensives</x:v>
      </x:c>
      <x:c r="G2334" s="13" t="str">
        <x:v>grid_wekqfxnd.xlsx</x:v>
      </x:c>
    </x:row>
    <x:row r="2335">
      <x:c r="A2335" s="15" t="n">
        <x:v>41334</x:v>
      </x:c>
      <x:c r="B2335" s="13" t="str">
        <x:v>BRF SA</x:v>
      </x:c>
      <x:c r="C2335" s="16" t="n">
        <x:v>1934.4999146959</x:v>
      </x:c>
      <x:c r="D2335" s="13" t="str">
        <x:v>Food &amp; Beverages</x:v>
      </x:c>
      <x:c r="E2335" s="13" t="str">
        <x:v>Agri, Food &amp; Beverages</x:v>
      </x:c>
      <x:c r="F2335" s="13" t="str">
        <x:v>Defensives</x:v>
      </x:c>
      <x:c r="G2335" s="13" t="str">
        <x:v>grid_wekqfxnd.xlsx</x:v>
      </x:c>
    </x:row>
    <x:row r="2336">
      <x:c r="A2336" s="15" t="n">
        <x:v>41334</x:v>
      </x:c>
      <x:c r="B2336" s="13" t="str">
        <x:v>MBRF GLOBAL FOODS COMPANY SA</x:v>
      </x:c>
      <x:c r="C2336" s="16" t="n">
        <x:v>382.5409934027</x:v>
      </x:c>
      <x:c r="D2336" s="13" t="str">
        <x:v>Food &amp; Beverages</x:v>
      </x:c>
      <x:c r="E2336" s="13" t="str">
        <x:v>Agri, Food &amp; Beverages</x:v>
      </x:c>
      <x:c r="F2336" s="13" t="str">
        <x:v>Defensives</x:v>
      </x:c>
      <x:c r="G2336" s="13" t="str">
        <x:v>grid_wekqfxnd.xlsx</x:v>
      </x:c>
    </x:row>
    <x:row r="2337">
      <x:c r="A2337" s="15" t="n">
        <x:v>41334</x:v>
      </x:c>
      <x:c r="B2337" s="13" t="str">
        <x:v>SOUZA CRUZ LTDA</x:v>
      </x:c>
      <x:c r="C2337" s="16" t="n">
        <x:v>1955.9391779069</x:v>
      </x:c>
      <x:c r="D2337" s="13" t="str">
        <x:v>Food &amp; Beverages</x:v>
      </x:c>
      <x:c r="E2337" s="13" t="str">
        <x:v>Agri, Food &amp; Beverages</x:v>
      </x:c>
      <x:c r="F2337" s="13" t="str">
        <x:v>Defensives</x:v>
      </x:c>
      <x:c r="G2337" s="13" t="str">
        <x:v>grid_wekqfxnd.xlsx</x:v>
      </x:c>
    </x:row>
    <x:row r="2338">
      <x:c r="A2338" s="15" t="n">
        <x:v>41334</x:v>
      </x:c>
      <x:c r="B2338" s="13" t="str">
        <x:v>DIAGNOSTICOS DA AMERICA SA</x:v>
      </x:c>
      <x:c r="C2338" s="16" t="n">
        <x:v>206.8604507178</x:v>
      </x:c>
      <x:c r="D2338" s="13" t="str">
        <x:v>Health Care</x:v>
      </x:c>
      <x:c r="E2338" s="13" t="str">
        <x:v>Health Care</x:v>
      </x:c>
      <x:c r="F2338" s="13" t="str">
        <x:v>Defensives</x:v>
      </x:c>
      <x:c r="G2338" s="13" t="str">
        <x:v>grid_wekqfxnd.xlsx</x:v>
      </x:c>
    </x:row>
    <x:row r="2339">
      <x:c r="A2339" s="15" t="n">
        <x:v>41334</x:v>
      </x:c>
      <x:c r="B2339" s="13" t="str">
        <x:v>HYPERA SA</x:v>
      </x:c>
      <x:c r="C2339" s="16" t="n">
        <x:v>434.7635469151</x:v>
      </x:c>
      <x:c r="D2339" s="13" t="str">
        <x:v>Health Care</x:v>
      </x:c>
      <x:c r="E2339" s="13" t="str">
        <x:v>Health Care</x:v>
      </x:c>
      <x:c r="F2339" s="13" t="str">
        <x:v>Defensives</x:v>
      </x:c>
      <x:c r="G2339" s="13" t="str">
        <x:v>grid_wekqfxnd.xlsx</x:v>
      </x:c>
    </x:row>
    <x:row r="2340">
      <x:c r="A2340" s="15" t="n">
        <x:v>41334</x:v>
      </x:c>
      <x:c r="B2340" s="13" t="str">
        <x:v>CYRELA BRAZIL REALTY SA EMP</x:v>
      </x:c>
      <x:c r="C2340" s="16" t="n">
        <x:v>895.129069589</x:v>
      </x:c>
      <x:c r="D2340" s="13" t="str">
        <x:v>Homebuilders</x:v>
      </x:c>
      <x:c r="E2340" s="13" t="str">
        <x:v>Real Estate</x:v>
      </x:c>
      <x:c r="F2340" s="13" t="str">
        <x:v>Early Cyclicals</x:v>
      </x:c>
      <x:c r="G2340" s="13" t="str">
        <x:v>grid_wekqfxnd.xlsx</x:v>
      </x:c>
    </x:row>
    <x:row r="2341">
      <x:c r="A2341" s="15" t="n">
        <x:v>41334</x:v>
      </x:c>
      <x:c r="B2341" s="13" t="str">
        <x:v>GAFISA SA</x:v>
      </x:c>
      <x:c r="C2341" s="16" t="n">
        <x:v>189.3646322849</x:v>
      </x:c>
      <x:c r="D2341" s="13" t="str">
        <x:v>Homebuilders</x:v>
      </x:c>
      <x:c r="E2341" s="13" t="str">
        <x:v>Real Estate</x:v>
      </x:c>
      <x:c r="F2341" s="13" t="str">
        <x:v>Early Cyclicals</x:v>
      </x:c>
      <x:c r="G2341" s="13" t="str">
        <x:v>grid_wekqfxnd.xlsx</x:v>
      </x:c>
    </x:row>
    <x:row r="2342">
      <x:c r="A2342" s="15" t="n">
        <x:v>41334</x:v>
      </x:c>
      <x:c r="B2342" s="13" t="str">
        <x:v>MRV ENGENHARIA</x:v>
      </x:c>
      <x:c r="C2342" s="16" t="n">
        <x:v>604.2370291726</x:v>
      </x:c>
      <x:c r="D2342" s="13" t="str">
        <x:v>Homebuilders</x:v>
      </x:c>
      <x:c r="E2342" s="13" t="str">
        <x:v>Real Estate</x:v>
      </x:c>
      <x:c r="F2342" s="13" t="str">
        <x:v>Early Cyclicals</x:v>
      </x:c>
      <x:c r="G2342" s="13" t="str">
        <x:v>grid_wekqfxnd.xlsx</x:v>
      </x:c>
    </x:row>
    <x:row r="2343">
      <x:c r="A2343" s="15" t="n">
        <x:v>41334</x:v>
      </x:c>
      <x:c r="B2343" s="13" t="str">
        <x:v>PDG REALTY SA</x:v>
      </x:c>
      <x:c r="C2343" s="16" t="n">
        <x:v>345.6072862685</x:v>
      </x:c>
      <x:c r="D2343" s="13" t="str">
        <x:v>Homebuilders</x:v>
      </x:c>
      <x:c r="E2343" s="13" t="str">
        <x:v>Real Estate</x:v>
      </x:c>
      <x:c r="F2343" s="13" t="str">
        <x:v>Early Cyclicals</x:v>
      </x:c>
      <x:c r="G2343" s="13" t="str">
        <x:v>grid_wekqfxnd.xlsx</x:v>
      </x:c>
    </x:row>
    <x:row r="2344">
      <x:c r="A2344" s="15" t="n">
        <x:v>41334</x:v>
      </x:c>
      <x:c r="B2344" s="13" t="str">
        <x:v>ROSSI RESIDENCIAL SA</x:v>
      </x:c>
      <x:c r="C2344" s="16" t="n">
        <x:v>229.8354887014</x:v>
      </x:c>
      <x:c r="D2344" s="13" t="str">
        <x:v>Homebuilders</x:v>
      </x:c>
      <x:c r="E2344" s="13" t="str">
        <x:v>Real Estate</x:v>
      </x:c>
      <x:c r="F2344" s="13" t="str">
        <x:v>Early Cyclicals</x:v>
      </x:c>
      <x:c r="G2344" s="13" t="str">
        <x:v>grid_wekqfxnd.xlsx</x:v>
      </x:c>
    </x:row>
    <x:row r="2345">
      <x:c r="A2345" s="15" t="n">
        <x:v>41334</x:v>
      </x:c>
      <x:c r="B2345" s="13" t="str">
        <x:v>TEGRA INCORPORADORA SA</x:v>
      </x:c>
      <x:c r="C2345" s="16" t="n">
        <x:v>300.9897138849</x:v>
      </x:c>
      <x:c r="D2345" s="13" t="str">
        <x:v>Homebuilders</x:v>
      </x:c>
      <x:c r="E2345" s="13" t="str">
        <x:v>Real Estate</x:v>
      </x:c>
      <x:c r="F2345" s="13" t="str">
        <x:v>Early Cyclicals</x:v>
      </x:c>
      <x:c r="G2345" s="13" t="str">
        <x:v>grid_wekqfxnd.xlsx</x:v>
      </x:c>
    </x:row>
    <x:row r="2346">
      <x:c r="A2346" s="15" t="n">
        <x:v>41334</x:v>
      </x:c>
      <x:c r="B2346" s="13" t="str">
        <x:v>BR MALLS PARTICIPACOES SA</x:v>
      </x:c>
      <x:c r="C2346" s="16" t="n">
        <x:v>603.661562389</x:v>
      </x:c>
      <x:c r="D2346" s="13" t="str">
        <x:v>Income Properties</x:v>
      </x:c>
      <x:c r="E2346" s="13" t="str">
        <x:v>Real Estate</x:v>
      </x:c>
      <x:c r="F2346" s="13" t="str">
        <x:v>Early Cyclicals</x:v>
      </x:c>
      <x:c r="G2346" s="13" t="str">
        <x:v>grid_wekqfxnd.xlsx</x:v>
      </x:c>
    </x:row>
    <x:row r="2347">
      <x:c r="A2347" s="15" t="n">
        <x:v>41334</x:v>
      </x:c>
      <x:c r="B2347" s="13" t="str">
        <x:v>BRADESPAR SA -PREF</x:v>
      </x:c>
      <x:c r="C2347" s="16" t="n">
        <x:v>1247.1478966356</x:v>
      </x:c>
      <x:c r="D2347" s="13" t="str">
        <x:v>Metals &amp; Mining</x:v>
      </x:c>
      <x:c r="E2347" s="13" t="str">
        <x:v>Metals &amp; Mining</x:v>
      </x:c>
      <x:c r="F2347" s="13" t="str">
        <x:v>Deep Cyclicals</x:v>
      </x:c>
      <x:c r="G2347" s="13" t="str">
        <x:v>grid_wekqfxnd.xlsx</x:v>
      </x:c>
    </x:row>
    <x:row r="2348">
      <x:c r="A2348" s="15" t="n">
        <x:v>41334</x:v>
      </x:c>
      <x:c r="B2348" s="13" t="str">
        <x:v>CIA SIDERURGICA NACIONAL SA</x:v>
      </x:c>
      <x:c r="C2348" s="16" t="n">
        <x:v>1415.7158165041</x:v>
      </x:c>
      <x:c r="D2348" s="13" t="str">
        <x:v>Metals &amp; Mining</x:v>
      </x:c>
      <x:c r="E2348" s="13" t="str">
        <x:v>Metals &amp; Mining</x:v>
      </x:c>
      <x:c r="F2348" s="13" t="str">
        <x:v>Deep Cyclicals</x:v>
      </x:c>
      <x:c r="G2348" s="13" t="str">
        <x:v>grid_wekqfxnd.xlsx</x:v>
      </x:c>
    </x:row>
    <x:row r="2349">
      <x:c r="A2349" s="15" t="n">
        <x:v>41334</x:v>
      </x:c>
      <x:c r="B2349" s="13" t="str">
        <x:v>GERDAU SA-PREF</x:v>
      </x:c>
      <x:c r="C2349" s="16" t="n">
        <x:v>1775.8636824548</x:v>
      </x:c>
      <x:c r="D2349" s="13" t="str">
        <x:v>Metals &amp; Mining</x:v>
      </x:c>
      <x:c r="E2349" s="13" t="str">
        <x:v>Metals &amp; Mining</x:v>
      </x:c>
      <x:c r="F2349" s="13" t="str">
        <x:v>Deep Cyclicals</x:v>
      </x:c>
      <x:c r="G2349" s="13" t="str">
        <x:v>grid_wekqfxnd.xlsx</x:v>
      </x:c>
    </x:row>
    <x:row r="2350">
      <x:c r="A2350" s="15" t="n">
        <x:v>41334</x:v>
      </x:c>
      <x:c r="B2350" s="13" t="str">
        <x:v>METALURGICA GERDAU SA-PREF</x:v>
      </x:c>
      <x:c r="C2350" s="16" t="n">
        <x:v>828.7540788603</x:v>
      </x:c>
      <x:c r="D2350" s="13" t="str">
        <x:v>Metals &amp; Mining</x:v>
      </x:c>
      <x:c r="E2350" s="13" t="str">
        <x:v>Metals &amp; Mining</x:v>
      </x:c>
      <x:c r="F2350" s="13" t="str">
        <x:v>Deep Cyclicals</x:v>
      </x:c>
      <x:c r="G2350" s="13" t="str">
        <x:v>grid_wekqfxnd.xlsx</x:v>
      </x:c>
    </x:row>
    <x:row r="2351">
      <x:c r="A2351" s="15" t="n">
        <x:v>41334</x:v>
      </x:c>
      <x:c r="B2351" s="13" t="str">
        <x:v>MMX MINERACAO E METALICOS SA</x:v>
      </x:c>
      <x:c r="C2351" s="16" t="n">
        <x:v>-55.7386849315</x:v>
      </x:c>
      <x:c r="D2351" s="13" t="str">
        <x:v>Metals &amp; Mining</x:v>
      </x:c>
      <x:c r="E2351" s="13" t="str">
        <x:v>Metals &amp; Mining</x:v>
      </x:c>
      <x:c r="F2351" s="13" t="str">
        <x:v>Deep Cyclicals</x:v>
      </x:c>
      <x:c r="G2351" s="13" t="str">
        <x:v>grid_wekqfxnd.xlsx</x:v>
      </x:c>
    </x:row>
    <x:row r="2352">
      <x:c r="A2352" s="15" t="n">
        <x:v>41334</x:v>
      </x:c>
      <x:c r="B2352" s="13" t="str">
        <x:v>USINAS SIDER MINAS GER-PF A</x:v>
      </x:c>
      <x:c r="C2352" s="16" t="n">
        <x:v>450.2005841534</x:v>
      </x:c>
      <x:c r="D2352" s="13" t="str">
        <x:v>Metals &amp; Mining</x:v>
      </x:c>
      <x:c r="E2352" s="13" t="str">
        <x:v>Metals &amp; Mining</x:v>
      </x:c>
      <x:c r="F2352" s="13" t="str">
        <x:v>Deep Cyclicals</x:v>
      </x:c>
      <x:c r="G2352" s="13" t="str">
        <x:v>grid_wekqfxnd.xlsx</x:v>
      </x:c>
    </x:row>
    <x:row r="2353">
      <x:c r="A2353" s="15" t="n">
        <x:v>41334</x:v>
      </x:c>
      <x:c r="B2353" s="13" t="str">
        <x:v>USINAS SIDERURGICAS DE MINAS</x:v>
      </x:c>
      <x:c r="C2353" s="16" t="n">
        <x:v>450.2005841534</x:v>
      </x:c>
      <x:c r="D2353" s="13" t="str">
        <x:v>Metals &amp; Mining</x:v>
      </x:c>
      <x:c r="E2353" s="13" t="str">
        <x:v>Metals &amp; Mining</x:v>
      </x:c>
      <x:c r="F2353" s="13" t="str">
        <x:v>Deep Cyclicals</x:v>
      </x:c>
      <x:c r="G2353" s="13" t="str">
        <x:v>grid_wekqfxnd.xlsx</x:v>
      </x:c>
    </x:row>
    <x:row r="2354">
      <x:c r="A2354" s="15" t="n">
        <x:v>41334</x:v>
      </x:c>
      <x:c r="B2354" s="13" t="str">
        <x:v>VALE SA</x:v>
      </x:c>
      <x:c r="C2354" s="16" t="n">
        <x:v>23837.2800540055</x:v>
      </x:c>
      <x:c r="D2354" s="13" t="str">
        <x:v>Metals &amp; Mining</x:v>
      </x:c>
      <x:c r="E2354" s="13" t="str">
        <x:v>Metals &amp; Mining</x:v>
      </x:c>
      <x:c r="F2354" s="13" t="str">
        <x:v>Deep Cyclicals</x:v>
      </x:c>
      <x:c r="G2354" s="13" t="str">
        <x:v>grid_wekqfxnd.xlsx</x:v>
      </x:c>
    </x:row>
    <x:row r="2355">
      <x:c r="A2355" s="15" t="n">
        <x:v>41334</x:v>
      </x:c>
      <x:c r="B2355" s="13" t="str">
        <x:v>BRASKEM SA-PREF A</x:v>
      </x:c>
      <x:c r="C2355" s="16" t="n">
        <x:v>549.4191703671</x:v>
      </x:c>
      <x:c r="D2355" s="13" t="str">
        <x:v>Oil, Gas &amp; Petrochemicals</x:v>
      </x:c>
      <x:c r="E2355" s="13" t="str">
        <x:v>Oil, Gas &amp; Petrochemicals</x:v>
      </x:c>
      <x:c r="F2355" s="13" t="str">
        <x:v>Deep Cyclicals</x:v>
      </x:c>
      <x:c r="G2355" s="13" t="str">
        <x:v>grid_wekqfxnd.xlsx</x:v>
      </x:c>
    </x:row>
    <x:row r="2356">
      <x:c r="A2356" s="15" t="n">
        <x:v>41334</x:v>
      </x:c>
      <x:c r="B2356" s="13" t="str">
        <x:v>OLEO E GAS PARTICIPACOES SA</x:v>
      </x:c>
      <x:c r="C2356" s="16" t="n">
        <x:v>-232.5007002301</x:v>
      </x:c>
      <x:c r="D2356" s="13" t="str">
        <x:v>Oil, Gas &amp; Petrochemicals</x:v>
      </x:c>
      <x:c r="E2356" s="13" t="str">
        <x:v>Oil, Gas &amp; Petrochemicals</x:v>
      </x:c>
      <x:c r="F2356" s="13" t="str">
        <x:v>Deep Cyclicals</x:v>
      </x:c>
      <x:c r="G2356" s="13" t="str">
        <x:v>grid_wekqfxnd.xlsx</x:v>
      </x:c>
    </x:row>
    <x:row r="2357">
      <x:c r="A2357" s="15" t="n">
        <x:v>41334</x:v>
      </x:c>
      <x:c r="B2357" s="13" t="str">
        <x:v>PETROBRAS - PETROLEO BRAS</x:v>
      </x:c>
      <x:c r="C2357" s="16" t="n">
        <x:v>31846.887693326</x:v>
      </x:c>
      <x:c r="D2357" s="13" t="str">
        <x:v>Oil, Gas &amp; Petrochemicals</x:v>
      </x:c>
      <x:c r="E2357" s="13" t="str">
        <x:v>Oil, Gas &amp; Petrochemicals</x:v>
      </x:c>
      <x:c r="F2357" s="13" t="str">
        <x:v>Deep Cyclicals</x:v>
      </x:c>
      <x:c r="G2357" s="13" t="str">
        <x:v>grid_wekqfxnd.xlsx</x:v>
      </x:c>
    </x:row>
    <x:row r="2358">
      <x:c r="A2358" s="15" t="n">
        <x:v>41334</x:v>
      </x:c>
      <x:c r="B2358" s="13" t="str">
        <x:v>ULTRAPAR PARTICIPACOES SA</x:v>
      </x:c>
      <x:c r="C2358" s="16" t="n">
        <x:v>1231.9035160548</x:v>
      </x:c>
      <x:c r="D2358" s="13" t="str">
        <x:v>Oil, Gas &amp; Petrochemicals</x:v>
      </x:c>
      <x:c r="E2358" s="13" t="str">
        <x:v>Oil, Gas &amp; Petrochemicals</x:v>
      </x:c>
      <x:c r="F2358" s="13" t="str">
        <x:v>Deep Cyclicals</x:v>
      </x:c>
      <x:c r="G2358" s="13" t="str">
        <x:v>grid_wekqfxnd.xlsx</x:v>
      </x:c>
    </x:row>
    <x:row r="2359">
      <x:c r="A2359" s="15" t="n">
        <x:v>41334</x:v>
      </x:c>
      <x:c r="B2359" s="13" t="str">
        <x:v>DEXCO SA</x:v>
      </x:c>
      <x:c r="C2359" s="16" t="n">
        <x:v>517.9575356493</x:v>
      </x:c>
      <x:c r="D2359" s="13" t="str">
        <x:v>Pulp &amp; Paper</x:v>
      </x:c>
      <x:c r="E2359" s="13" t="str">
        <x:v>Pulp &amp; Paper</x:v>
      </x:c>
      <x:c r="F2359" s="13" t="str">
        <x:v>Deep Cyclicals</x:v>
      </x:c>
      <x:c r="G2359" s="13" t="str">
        <x:v>grid_wekqfxnd.xlsx</x:v>
      </x:c>
    </x:row>
    <x:row r="2360">
      <x:c r="A2360" s="15" t="n">
        <x:v>41334</x:v>
      </x:c>
      <x:c r="B2360" s="13" t="str">
        <x:v>FIBRIA CELULOSE S/A</x:v>
      </x:c>
      <x:c r="C2360" s="16" t="n">
        <x:v>210.9344493151</x:v>
      </x:c>
      <x:c r="D2360" s="13" t="str">
        <x:v>Pulp &amp; Paper</x:v>
      </x:c>
      <x:c r="E2360" s="13" t="str">
        <x:v>Pulp &amp; Paper</x:v>
      </x:c>
      <x:c r="F2360" s="13" t="str">
        <x:v>Deep Cyclicals</x:v>
      </x:c>
      <x:c r="G2360" s="13" t="str">
        <x:v>grid_wekqfxnd.xlsx</x:v>
      </x:c>
    </x:row>
    <x:row r="2361">
      <x:c r="A2361" s="15" t="n">
        <x:v>41334</x:v>
      </x:c>
      <x:c r="B2361" s="13" t="str">
        <x:v>SUZANO PAPEL E CELULO-PREF A</x:v>
      </x:c>
      <x:c r="C2361" s="16" t="n">
        <x:v>243.3382830027</x:v>
      </x:c>
      <x:c r="D2361" s="13" t="str">
        <x:v>Pulp &amp; Paper</x:v>
      </x:c>
      <x:c r="E2361" s="13" t="str">
        <x:v>Pulp &amp; Paper</x:v>
      </x:c>
      <x:c r="F2361" s="13" t="str">
        <x:v>Deep Cyclicals</x:v>
      </x:c>
      <x:c r="G2361" s="13" t="str">
        <x:v>grid_wekqfxnd.xlsx</x:v>
      </x:c>
    </x:row>
    <x:row r="2362">
      <x:c r="A2362" s="15" t="n">
        <x:v>41334</x:v>
      </x:c>
      <x:c r="B2362" s="13" t="str">
        <x:v>AMERICANAS SA</x:v>
      </x:c>
      <x:c r="C2362" s="16" t="n">
        <x:v>-78.9628756164</x:v>
      </x:c>
      <x:c r="D2362" s="13" t="str">
        <x:v>Retail</x:v>
      </x:c>
      <x:c r="E2362" s="13" t="str">
        <x:v>Retail</x:v>
      </x:c>
      <x:c r="F2362" s="13" t="str">
        <x:v>Early Cyclicals</x:v>
      </x:c>
      <x:c r="G2362" s="13" t="str">
        <x:v>grid_wekqfxnd.xlsx</x:v>
      </x:c>
    </x:row>
    <x:row r="2363">
      <x:c r="A2363" s="15" t="n">
        <x:v>41334</x:v>
      </x:c>
      <x:c r="B2363" s="13" t="str">
        <x:v>CIA BRASILEIRA DE DIS-PREF</x:v>
      </x:c>
      <x:c r="C2363" s="16" t="n">
        <x:v>1285.9556506301</x:v>
      </x:c>
      <x:c r="D2363" s="13" t="str">
        <x:v>Retail</x:v>
      </x:c>
      <x:c r="E2363" s="13" t="str">
        <x:v>Retail</x:v>
      </x:c>
      <x:c r="F2363" s="13" t="str">
        <x:v>Early Cyclicals</x:v>
      </x:c>
      <x:c r="G2363" s="13" t="str">
        <x:v>grid_wekqfxnd.xlsx</x:v>
      </x:c>
    </x:row>
    <x:row r="2364">
      <x:c r="A2364" s="15" t="n">
        <x:v>41334</x:v>
      </x:c>
      <x:c r="B2364" s="13" t="str">
        <x:v>CIA HERING</x:v>
      </x:c>
      <x:c r="C2364" s="16" t="n">
        <x:v>369.4532111781</x:v>
      </x:c>
      <x:c r="D2364" s="13" t="str">
        <x:v>Retail</x:v>
      </x:c>
      <x:c r="E2364" s="13" t="str">
        <x:v>Retail</x:v>
      </x:c>
      <x:c r="F2364" s="13" t="str">
        <x:v>Early Cyclicals</x:v>
      </x:c>
      <x:c r="G2364" s="13" t="str">
        <x:v>grid_wekqfxnd.xlsx</x:v>
      </x:c>
    </x:row>
    <x:row r="2365">
      <x:c r="A2365" s="15" t="n">
        <x:v>41334</x:v>
      </x:c>
      <x:c r="B2365" s="13" t="str">
        <x:v>LOJAS AMERICANAS SA-PREF</x:v>
      </x:c>
      <x:c r="C2365" s="16" t="n">
        <x:v>584.6712214795</x:v>
      </x:c>
      <x:c r="D2365" s="13" t="str">
        <x:v>Retail</x:v>
      </x:c>
      <x:c r="E2365" s="13" t="str">
        <x:v>Retail</x:v>
      </x:c>
      <x:c r="F2365" s="13" t="str">
        <x:v>Early Cyclicals</x:v>
      </x:c>
      <x:c r="G2365" s="13" t="str">
        <x:v>grid_wekqfxnd.xlsx</x:v>
      </x:c>
    </x:row>
    <x:row r="2366">
      <x:c r="A2366" s="15" t="n">
        <x:v>41334</x:v>
      </x:c>
      <x:c r="B2366" s="13" t="str">
        <x:v>LOJAS RENNER S.A.</x:v>
      </x:c>
      <x:c r="C2366" s="16" t="n">
        <x:v>455.7246251836</x:v>
      </x:c>
      <x:c r="D2366" s="13" t="str">
        <x:v>Retail</x:v>
      </x:c>
      <x:c r="E2366" s="13" t="str">
        <x:v>Retail</x:v>
      </x:c>
      <x:c r="F2366" s="13" t="str">
        <x:v>Early Cyclicals</x:v>
      </x:c>
      <x:c r="G2366" s="13" t="str">
        <x:v>grid_wekqfxnd.xlsx</x:v>
      </x:c>
    </x:row>
    <x:row r="2367">
      <x:c r="A2367" s="15" t="n">
        <x:v>41334</x:v>
      </x:c>
      <x:c r="B2367" s="13" t="str">
        <x:v>NATURA COSMETICOS SA</x:v>
      </x:c>
      <x:c r="C2367" s="16" t="n">
        <x:v>1035.2215061041</x:v>
      </x:c>
      <x:c r="D2367" s="13" t="str">
        <x:v>Retail</x:v>
      </x:c>
      <x:c r="E2367" s="13" t="str">
        <x:v>Retail</x:v>
      </x:c>
      <x:c r="F2367" s="13" t="str">
        <x:v>Early Cyclicals</x:v>
      </x:c>
      <x:c r="G2367" s="13" t="str">
        <x:v>grid_wekqfxnd.xlsx</x:v>
      </x:c>
    </x:row>
    <x:row r="2368">
      <x:c r="A2368" s="15" t="n">
        <x:v>41334</x:v>
      </x:c>
      <x:c r="B2368" s="13" t="str">
        <x:v>CIA SANEAMENTO BASICO DE SP</x:v>
      </x:c>
      <x:c r="C2368" s="16" t="n">
        <x:v>2190.8095901808</x:v>
      </x:c>
      <x:c r="D2368" s="13" t="str">
        <x:v>Sanitation</x:v>
      </x:c>
      <x:c r="E2368" s="13" t="str">
        <x:v>Utilities</x:v>
      </x:c>
      <x:c r="F2368" s="13" t="str">
        <x:v>Defensives</x:v>
      </x:c>
      <x:c r="G2368" s="13" t="str">
        <x:v>grid_wekqfxnd.xlsx</x:v>
      </x:c>
    </x:row>
    <x:row r="2369">
      <x:c r="A2369" s="15" t="n">
        <x:v>41334</x:v>
      </x:c>
      <x:c r="B2369" s="13" t="str">
        <x:v>OI S.A.</x:v>
      </x:c>
      <x:c r="C2369" s="16" t="n">
        <x:v>797.2509092822</x:v>
      </x:c>
      <x:c r="D2369" s="13" t="str">
        <x:v>TMT</x:v>
      </x:c>
      <x:c r="E2369" s="13" t="str">
        <x:v>TMT</x:v>
      </x:c>
      <x:c r="F2369" s="13" t="str">
        <x:v>Early Cyclicals</x:v>
      </x:c>
      <x:c r="G2369" s="13" t="str">
        <x:v>grid_wekqfxnd.xlsx</x:v>
      </x:c>
    </x:row>
    <x:row r="2370">
      <x:c r="A2370" s="15" t="n">
        <x:v>41334</x:v>
      </x:c>
      <x:c r="B2370" s="13" t="str">
        <x:v>OI SA-PREFERENCE</x:v>
      </x:c>
      <x:c r="C2370" s="16" t="n">
        <x:v>797.2509092822</x:v>
      </x:c>
      <x:c r="D2370" s="13" t="str">
        <x:v>TMT</x:v>
      </x:c>
      <x:c r="E2370" s="13" t="str">
        <x:v>TMT</x:v>
      </x:c>
      <x:c r="F2370" s="13" t="str">
        <x:v>Early Cyclicals</x:v>
      </x:c>
      <x:c r="G2370" s="13" t="str">
        <x:v>grid_wekqfxnd.xlsx</x:v>
      </x:c>
    </x:row>
    <x:row r="2371">
      <x:c r="A2371" s="15" t="n">
        <x:v>41334</x:v>
      </x:c>
      <x:c r="B2371" s="13" t="str">
        <x:v>TELEFONICA BRASIL S.A.-PREF</x:v>
      </x:c>
      <x:c r="C2371" s="16" t="n">
        <x:v>4783.9508984986</x:v>
      </x:c>
      <x:c r="D2371" s="13" t="str">
        <x:v>TMT</x:v>
      </x:c>
      <x:c r="E2371" s="13" t="str">
        <x:v>TMT</x:v>
      </x:c>
      <x:c r="F2371" s="13" t="str">
        <x:v>Early Cyclicals</x:v>
      </x:c>
      <x:c r="G2371" s="13" t="str">
        <x:v>grid_wekqfxnd.xlsx</x:v>
      </x:c>
    </x:row>
    <x:row r="2372">
      <x:c r="A2372" s="15" t="n">
        <x:v>41334</x:v>
      </x:c>
      <x:c r="B2372" s="13" t="str">
        <x:v>TIM SA</x:v>
      </x:c>
      <x:c r="C2372" s="16" t="n">
        <x:v>1716.6223191671</x:v>
      </x:c>
      <x:c r="D2372" s="13" t="str">
        <x:v>TMT</x:v>
      </x:c>
      <x:c r="E2372" s="13" t="str">
        <x:v>TMT</x:v>
      </x:c>
      <x:c r="F2372" s="13" t="str">
        <x:v>Early Cyclicals</x:v>
      </x:c>
      <x:c r="G2372" s="13" t="str">
        <x:v>grid_wekqfxnd.xlsx</x:v>
      </x:c>
    </x:row>
    <x:row r="2373">
      <x:c r="A2373" s="15" t="n">
        <x:v>41334</x:v>
      </x:c>
      <x:c r="B2373" s="13" t="str">
        <x:v>GOL LINHAS AEREAS INT SA-PRE</x:v>
      </x:c>
      <x:c r="C2373" s="16" t="n">
        <x:v>-32.6557616219</x:v>
      </x:c>
      <x:c r="D2373" s="13" t="str">
        <x:v>Transportation</x:v>
      </x:c>
      <x:c r="E2373" s="13" t="str">
        <x:v>Transportation</x:v>
      </x:c>
      <x:c r="F2373" s="13" t="str">
        <x:v>Deep Cyclicals</x:v>
      </x:c>
      <x:c r="G2373" s="13" t="str">
        <x:v>grid_wekqfxnd.xlsx</x:v>
      </x:c>
    </x:row>
    <x:row r="2374">
      <x:c r="A2374" s="15" t="n">
        <x:v>41334</x:v>
      </x:c>
      <x:c r="B2374" s="13" t="str">
        <x:v>LOCALIZA RENT A CAR</x:v>
      </x:c>
      <x:c r="C2374" s="16" t="n">
        <x:v>384.9435011507</x:v>
      </x:c>
      <x:c r="D2374" s="13" t="str">
        <x:v>Transportation</x:v>
      </x:c>
      <x:c r="E2374" s="13" t="str">
        <x:v>Transportation</x:v>
      </x:c>
      <x:c r="F2374" s="13" t="str">
        <x:v>Deep Cyclicals</x:v>
      </x:c>
      <x:c r="G2374" s="13" t="str">
        <x:v>grid_wekqfxnd.xlsx</x:v>
      </x:c>
    </x:row>
    <x:row r="2375">
      <x:c r="A2375" s="15" t="n">
        <x:v>41334</x:v>
      </x:c>
      <x:c r="B2375" s="13" t="str">
        <x:v>MOTIVA INFRAESTRUTURA DE MOB</x:v>
      </x:c>
      <x:c r="C2375" s="16" t="n">
        <x:v>1579.6579012384</x:v>
      </x:c>
      <x:c r="D2375" s="13" t="str">
        <x:v>Transportation</x:v>
      </x:c>
      <x:c r="E2375" s="13" t="str">
        <x:v>Transportation</x:v>
      </x:c>
      <x:c r="F2375" s="13" t="str">
        <x:v>Deep Cyclicals</x:v>
      </x:c>
      <x:c r="G2375" s="13" t="str">
        <x:v>grid_wekqfxnd.xlsx</x:v>
      </x:c>
    </x:row>
    <x:row r="2376">
      <x:c r="A2376" s="15" t="n">
        <x:v>41334</x:v>
      </x:c>
      <x:c r="B2376" s="13" t="str">
        <x:v>PRUMO LOGISTICA SA</x:v>
      </x:c>
      <x:c r="C2376" s="16" t="n">
        <x:v>-89.755030137</x:v>
      </x:c>
      <x:c r="D2376" s="13" t="str">
        <x:v>Transportation</x:v>
      </x:c>
      <x:c r="E2376" s="13" t="str">
        <x:v>Transportation</x:v>
      </x:c>
      <x:c r="F2376" s="13" t="str">
        <x:v>Deep Cyclicals</x:v>
      </x:c>
      <x:c r="G2376" s="13" t="str">
        <x:v>grid_wekqfxnd.xlsx</x:v>
      </x:c>
    </x:row>
    <x:row r="2377">
      <x:c r="A2377" s="15" t="n">
        <x:v>41334</x:v>
      </x:c>
      <x:c r="B2377" s="13" t="str">
        <x:v>RUMO SA</x:v>
      </x:c>
      <x:c r="C2377" s="16" t="n">
        <x:v>404.9910994411</x:v>
      </x:c>
      <x:c r="D2377" s="13" t="str">
        <x:v>Transportation</x:v>
      </x:c>
      <x:c r="E2377" s="13" t="str">
        <x:v>Transportation</x:v>
      </x:c>
      <x:c r="F2377" s="13" t="str">
        <x:v>Deep Cyclicals</x:v>
      </x:c>
      <x:c r="G2377" s="13" t="str">
        <x:v>grid_wekqfxnd.xlsx</x:v>
      </x:c>
    </x:row>
    <x:row r="2378">
      <x:c r="A2378" s="15" t="n">
        <x:v>41334</x:v>
      </x:c>
      <x:c r="B2378" s="13" t="str">
        <x:v>AXIA ENERGIA SA</x:v>
      </x:c>
      <x:c r="C2378" s="16" t="n">
        <x:v>1365.3616592657</x:v>
      </x:c>
      <x:c r="D2378" s="13" t="str">
        <x:v>Utilities &amp; Energy</x:v>
      </x:c>
      <x:c r="E2378" s="13" t="str">
        <x:v>Utilities</x:v>
      </x:c>
      <x:c r="F2378" s="13" t="str">
        <x:v>Defensives</x:v>
      </x:c>
      <x:c r="G2378" s="13" t="str">
        <x:v>grid_wekqfxnd.xlsx</x:v>
      </x:c>
    </x:row>
    <x:row r="2379">
      <x:c r="A2379" s="15" t="n">
        <x:v>41334</x:v>
      </x:c>
      <x:c r="B2379" s="13" t="str">
        <x:v>AXIA ENERGIA-PR B</x:v>
      </x:c>
      <x:c r="C2379" s="16" t="n">
        <x:v>1365.3616592657</x:v>
      </x:c>
      <x:c r="D2379" s="13" t="str">
        <x:v>Utilities &amp; Energy</x:v>
      </x:c>
      <x:c r="E2379" s="13" t="str">
        <x:v>Utilities</x:v>
      </x:c>
      <x:c r="F2379" s="13" t="str">
        <x:v>Defensives</x:v>
      </x:c>
      <x:c r="G2379" s="13" t="str">
        <x:v>grid_wekqfxnd.xlsx</x:v>
      </x:c>
    </x:row>
    <x:row r="2380">
      <x:c r="A2380" s="15" t="n">
        <x:v>41334</x:v>
      </x:c>
      <x:c r="B2380" s="13" t="str">
        <x:v>CESP - CIA ENERGETICA DE SAO</x:v>
      </x:c>
      <x:c r="C2380" s="16" t="n">
        <x:v>1204.1760715397</x:v>
      </x:c>
      <x:c r="D2380" s="13" t="str">
        <x:v>Utilities &amp; Energy</x:v>
      </x:c>
      <x:c r="E2380" s="13" t="str">
        <x:v>Utilities</x:v>
      </x:c>
      <x:c r="F2380" s="13" t="str">
        <x:v>Defensives</x:v>
      </x:c>
      <x:c r="G2380" s="13" t="str">
        <x:v>grid_wekqfxnd.xlsx</x:v>
      </x:c>
    </x:row>
    <x:row r="2381">
      <x:c r="A2381" s="15" t="n">
        <x:v>41334</x:v>
      </x:c>
      <x:c r="B2381" s="13" t="str">
        <x:v>CIA ENERGETICA MINAS GER-PRF</x:v>
      </x:c>
      <x:c r="C2381" s="16" t="n">
        <x:v>2857.9552620712</x:v>
      </x:c>
      <x:c r="D2381" s="13" t="str">
        <x:v>Utilities &amp; Energy</x:v>
      </x:c>
      <x:c r="E2381" s="13" t="str">
        <x:v>Utilities</x:v>
      </x:c>
      <x:c r="F2381" s="13" t="str">
        <x:v>Defensives</x:v>
      </x:c>
      <x:c r="G2381" s="13" t="str">
        <x:v>grid_wekqfxnd.xlsx</x:v>
      </x:c>
    </x:row>
    <x:row r="2382">
      <x:c r="A2382" s="15" t="n">
        <x:v>41334</x:v>
      </x:c>
      <x:c r="B2382" s="13" t="str">
        <x:v>COMPANHIA PARANAENSE -PREF B</x:v>
      </x:c>
      <x:c r="C2382" s="16" t="n">
        <x:v>1022.6945371178</x:v>
      </x:c>
      <x:c r="D2382" s="13" t="str">
        <x:v>Utilities &amp; Energy</x:v>
      </x:c>
      <x:c r="E2382" s="13" t="str">
        <x:v>Utilities</x:v>
      </x:c>
      <x:c r="F2382" s="13" t="str">
        <x:v>Defensives</x:v>
      </x:c>
      <x:c r="G2382" s="13" t="str">
        <x:v>grid_wekqfxnd.xlsx</x:v>
      </x:c>
    </x:row>
    <x:row r="2383">
      <x:c r="A2383" s="15" t="n">
        <x:v>41334</x:v>
      </x:c>
      <x:c r="B2383" s="13" t="str">
        <x:v>CPFL ENERGIA SA</x:v>
      </x:c>
      <x:c r="C2383" s="16" t="n">
        <x:v>1259.3657368548</x:v>
      </x:c>
      <x:c r="D2383" s="13" t="str">
        <x:v>Utilities &amp; Energy</x:v>
      </x:c>
      <x:c r="E2383" s="13" t="str">
        <x:v>Utilities</x:v>
      </x:c>
      <x:c r="F2383" s="13" t="str">
        <x:v>Defensives</x:v>
      </x:c>
      <x:c r="G2383" s="13" t="str">
        <x:v>grid_wekqfxnd.xlsx</x:v>
      </x:c>
    </x:row>
    <x:row r="2384">
      <x:c r="A2384" s="15" t="n">
        <x:v>41334</x:v>
      </x:c>
      <x:c r="B2384" s="13" t="str">
        <x:v>EDP - ENERGIAS DO BRASIL SA</x:v>
      </x:c>
      <x:c r="C2384" s="16" t="n">
        <x:v>558.5630214137</x:v>
      </x:c>
      <x:c r="D2384" s="13" t="str">
        <x:v>Utilities &amp; Energy</x:v>
      </x:c>
      <x:c r="E2384" s="13" t="str">
        <x:v>Utilities</x:v>
      </x:c>
      <x:c r="F2384" s="13" t="str">
        <x:v>Defensives</x:v>
      </x:c>
      <x:c r="G2384" s="13" t="str">
        <x:v>grid_wekqfxnd.xlsx</x:v>
      </x:c>
    </x:row>
    <x:row r="2385">
      <x:c r="A2385" s="15" t="n">
        <x:v>41334</x:v>
      </x:c>
      <x:c r="B2385" s="13" t="str">
        <x:v>ELETROPAULO METROPOLI-PREF</x:v>
      </x:c>
      <x:c r="C2385" s="16" t="n">
        <x:v>50.7775324712</x:v>
      </x:c>
      <x:c r="D2385" s="13" t="str">
        <x:v>Utilities &amp; Energy</x:v>
      </x:c>
      <x:c r="E2385" s="13" t="str">
        <x:v>Utilities</x:v>
      </x:c>
      <x:c r="F2385" s="13" t="str">
        <x:v>Defensives</x:v>
      </x:c>
      <x:c r="G2385" s="13" t="str">
        <x:v>grid_wekqfxnd.xlsx</x:v>
      </x:c>
    </x:row>
    <x:row r="2386">
      <x:c r="A2386" s="15" t="n">
        <x:v>41334</x:v>
      </x:c>
      <x:c r="B2386" s="13" t="str">
        <x:v>ISA ENERGIA BRASIL SA</x:v>
      </x:c>
      <x:c r="C2386" s="16" t="n">
        <x:v>425.9369785863</x:v>
      </x:c>
      <x:c r="D2386" s="13" t="str">
        <x:v>Utilities &amp; Energy</x:v>
      </x:c>
      <x:c r="E2386" s="13" t="str">
        <x:v>Utilities</x:v>
      </x:c>
      <x:c r="F2386" s="13" t="str">
        <x:v>Defensives</x:v>
      </x:c>
      <x:c r="G2386" s="13" t="str">
        <x:v>grid_wekqfxnd.xlsx</x:v>
      </x:c>
    </x:row>
    <x:row r="2387">
      <x:c r="A2387" s="15" t="n">
        <x:v>41334</x:v>
      </x:c>
      <x:c r="B2387" s="13" t="str">
        <x:v>LIGHT SA</x:v>
      </x:c>
      <x:c r="C2387" s="16" t="n">
        <x:v>540.8923278027</x:v>
      </x:c>
      <x:c r="D2387" s="13" t="str">
        <x:v>Utilities &amp; Energy</x:v>
      </x:c>
      <x:c r="E2387" s="13" t="str">
        <x:v>Utilities</x:v>
      </x:c>
      <x:c r="F2387" s="13" t="str">
        <x:v>Defensives</x:v>
      </x:c>
      <x:c r="G2387" s="13" t="str">
        <x:v>grid_wekqfxnd.xlsx</x:v>
      </x:c>
    </x:row>
    <x:row r="2388">
      <x:c r="A2388" s="15" t="n">
        <x:v>41365</x:v>
      </x:c>
      <x:c r="B2388" s="13" t="str">
        <x:v>BANCO BRADESCO SA-PREF</x:v>
      </x:c>
      <x:c r="C2388" s="16" t="n">
        <x:v>13068.2150715616</x:v>
      </x:c>
      <x:c r="D2388" s="13" t="str">
        <x:v>Banks</x:v>
      </x:c>
      <x:c r="E2388" s="13" t="str">
        <x:v>Banks</x:v>
      </x:c>
      <x:c r="F2388" s="13" t="str">
        <x:v>Financials</x:v>
      </x:c>
      <x:c r="G2388" s="13" t="str">
        <x:v>grid_wekqfxnd.xlsx</x:v>
      </x:c>
    </x:row>
    <x:row r="2389">
      <x:c r="A2389" s="15" t="n">
        <x:v>41365</x:v>
      </x:c>
      <x:c r="B2389" s="13" t="str">
        <x:v>BANCO DO BRASIL S.A.</x:v>
      </x:c>
      <x:c r="C2389" s="16" t="n">
        <x:v>11195.0248188493</x:v>
      </x:c>
      <x:c r="D2389" s="13" t="str">
        <x:v>Banks</x:v>
      </x:c>
      <x:c r="E2389" s="13" t="str">
        <x:v>Banks</x:v>
      </x:c>
      <x:c r="F2389" s="13" t="str">
        <x:v>Financials</x:v>
      </x:c>
      <x:c r="G2389" s="13" t="str">
        <x:v>grid_wekqfxnd.xlsx</x:v>
      </x:c>
    </x:row>
    <x:row r="2390">
      <x:c r="A2390" s="15" t="n">
        <x:v>41365</x:v>
      </x:c>
      <x:c r="B2390" s="13" t="str">
        <x:v>BANCO SANTANDER  BRASIL-UNIT</x:v>
      </x:c>
      <x:c r="C2390" s="16" t="n">
        <x:v>6639.5479250411</x:v>
      </x:c>
      <x:c r="D2390" s="13" t="str">
        <x:v>Banks</x:v>
      </x:c>
      <x:c r="E2390" s="13" t="str">
        <x:v>Banks</x:v>
      </x:c>
      <x:c r="F2390" s="13" t="str">
        <x:v>Financials</x:v>
      </x:c>
      <x:c r="G2390" s="13" t="str">
        <x:v>grid_wekqfxnd.xlsx</x:v>
      </x:c>
    </x:row>
    <x:row r="2391">
      <x:c r="A2391" s="15" t="n">
        <x:v>41365</x:v>
      </x:c>
      <x:c r="B2391" s="13" t="str">
        <x:v>ITAU UNIBANCO HOLDING S-PREF</x:v>
      </x:c>
      <x:c r="C2391" s="16" t="n">
        <x:v>16140.7284462466</x:v>
      </x:c>
      <x:c r="D2391" s="13" t="str">
        <x:v>Banks</x:v>
      </x:c>
      <x:c r="E2391" s="13" t="str">
        <x:v>Banks</x:v>
      </x:c>
      <x:c r="F2391" s="13" t="str">
        <x:v>Financials</x:v>
      </x:c>
      <x:c r="G2391" s="13" t="str">
        <x:v>grid_wekqfxnd.xlsx</x:v>
      </x:c>
    </x:row>
    <x:row r="2392">
      <x:c r="A2392" s="15" t="n">
        <x:v>41365</x:v>
      </x:c>
      <x:c r="B2392" s="13" t="str">
        <x:v>EMBRAER SA</x:v>
      </x:c>
      <x:c r="C2392" s="16" t="n">
        <x:v>1011.8118268493</x:v>
      </x:c>
      <x:c r="D2392" s="13" t="str">
        <x:v>Capital Goods</x:v>
      </x:c>
      <x:c r="E2392" s="13" t="str">
        <x:v>Capital Goods</x:v>
      </x:c>
      <x:c r="F2392" s="13" t="str">
        <x:v>Deep Cyclicals</x:v>
      </x:c>
      <x:c r="G2392" s="13" t="str">
        <x:v>grid_wekqfxnd.xlsx</x:v>
      </x:c>
    </x:row>
    <x:row r="2393">
      <x:c r="A2393" s="15" t="n">
        <x:v>41365</x:v>
      </x:c>
      <x:c r="B2393" s="13" t="str">
        <x:v>B3 SA-BRASIL BOLSA BALCAO</x:v>
      </x:c>
      <x:c r="C2393" s="16" t="n">
        <x:v>1805.9811068493</x:v>
      </x:c>
      <x:c r="D2393" s="13" t="str">
        <x:v>Financials Non-Banks</x:v>
      </x:c>
      <x:c r="E2393" s="13" t="str">
        <x:v>Financials Non-Banks</x:v>
      </x:c>
      <x:c r="F2393" s="13" t="str">
        <x:v>Financials</x:v>
      </x:c>
      <x:c r="G2393" s="13" t="str">
        <x:v>grid_wekqfxnd.xlsx</x:v>
      </x:c>
    </x:row>
    <x:row r="2394">
      <x:c r="A2394" s="15" t="n">
        <x:v>41365</x:v>
      </x:c>
      <x:c r="B2394" s="13" t="str">
        <x:v>CETIP SA-MERCADOS ORGANIZADO</x:v>
      </x:c>
      <x:c r="C2394" s="16" t="n">
        <x:v>439.523961863</x:v>
      </x:c>
      <x:c r="D2394" s="13" t="str">
        <x:v>Financials Non-Banks</x:v>
      </x:c>
      <x:c r="E2394" s="13" t="str">
        <x:v>Financials Non-Banks</x:v>
      </x:c>
      <x:c r="F2394" s="13" t="str">
        <x:v>Financials</x:v>
      </x:c>
      <x:c r="G2394" s="13" t="str">
        <x:v>grid_wekqfxnd.xlsx</x:v>
      </x:c>
    </x:row>
    <x:row r="2395">
      <x:c r="A2395" s="15" t="n">
        <x:v>41365</x:v>
      </x:c>
      <x:c r="B2395" s="13" t="str">
        <x:v>CIELO SA - INSTITUICAO DE PA</x:v>
      </x:c>
      <x:c r="C2395" s="16" t="n">
        <x:v>2624.782476274</x:v>
      </x:c>
      <x:c r="D2395" s="13" t="str">
        <x:v>Financials Non-Banks</x:v>
      </x:c>
      <x:c r="E2395" s="13" t="str">
        <x:v>Financials Non-Banks</x:v>
      </x:c>
      <x:c r="F2395" s="13" t="str">
        <x:v>Financials</x:v>
      </x:c>
      <x:c r="G2395" s="13" t="str">
        <x:v>grid_wekqfxnd.xlsx</x:v>
      </x:c>
    </x:row>
    <x:row r="2396">
      <x:c r="A2396" s="15" t="n">
        <x:v>41365</x:v>
      </x:c>
      <x:c r="B2396" s="13" t="str">
        <x:v>ITAUSA SA</x:v>
      </x:c>
      <x:c r="C2396" s="16" t="n">
        <x:v>6139.3902185205</x:v>
      </x:c>
      <x:c r="D2396" s="13" t="str">
        <x:v>Financials Non-Banks</x:v>
      </x:c>
      <x:c r="E2396" s="13" t="str">
        <x:v>Financials Non-Banks</x:v>
      </x:c>
      <x:c r="F2396" s="13" t="str">
        <x:v>Financials</x:v>
      </x:c>
      <x:c r="G2396" s="13" t="str">
        <x:v>grid_wekqfxnd.xlsx</x:v>
      </x:c>
    </x:row>
    <x:row r="2397">
      <x:c r="A2397" s="15" t="n">
        <x:v>41365</x:v>
      </x:c>
      <x:c r="B2397" s="13" t="str">
        <x:v>AMBEV SA</x:v>
      </x:c>
      <x:c r="C2397" s="16" t="n">
        <x:v>11448.3480968767</x:v>
      </x:c>
      <x:c r="D2397" s="13" t="str">
        <x:v>Food &amp; Beverages</x:v>
      </x:c>
      <x:c r="E2397" s="13" t="str">
        <x:v>Agri, Food &amp; Beverages</x:v>
      </x:c>
      <x:c r="F2397" s="13" t="str">
        <x:v>Defensives</x:v>
      </x:c>
      <x:c r="G2397" s="13" t="str">
        <x:v>grid_wekqfxnd.xlsx</x:v>
      </x:c>
    </x:row>
    <x:row r="2398">
      <x:c r="A2398" s="15" t="n">
        <x:v>41365</x:v>
      </x:c>
      <x:c r="B2398" s="13" t="str">
        <x:v>BRF SA</x:v>
      </x:c>
      <x:c r="C2398" s="16" t="n">
        <x:v>2015.6710172055</x:v>
      </x:c>
      <x:c r="D2398" s="13" t="str">
        <x:v>Food &amp; Beverages</x:v>
      </x:c>
      <x:c r="E2398" s="13" t="str">
        <x:v>Agri, Food &amp; Beverages</x:v>
      </x:c>
      <x:c r="F2398" s="13" t="str">
        <x:v>Defensives</x:v>
      </x:c>
      <x:c r="G2398" s="13" t="str">
        <x:v>grid_wekqfxnd.xlsx</x:v>
      </x:c>
    </x:row>
    <x:row r="2399">
      <x:c r="A2399" s="15" t="n">
        <x:v>41365</x:v>
      </x:c>
      <x:c r="B2399" s="13" t="str">
        <x:v>MBRF GLOBAL FOODS COMPANY SA</x:v>
      </x:c>
      <x:c r="C2399" s="16" t="n">
        <x:v>363.2327780822</x:v>
      </x:c>
      <x:c r="D2399" s="13" t="str">
        <x:v>Food &amp; Beverages</x:v>
      </x:c>
      <x:c r="E2399" s="13" t="str">
        <x:v>Agri, Food &amp; Beverages</x:v>
      </x:c>
      <x:c r="F2399" s="13" t="str">
        <x:v>Defensives</x:v>
      </x:c>
      <x:c r="G2399" s="13" t="str">
        <x:v>grid_wekqfxnd.xlsx</x:v>
      </x:c>
    </x:row>
    <x:row r="2400">
      <x:c r="A2400" s="15" t="n">
        <x:v>41365</x:v>
      </x:c>
      <x:c r="B2400" s="13" t="str">
        <x:v>SOUZA CRUZ LTDA</x:v>
      </x:c>
      <x:c r="C2400" s="16" t="n">
        <x:v>1893.142866411</x:v>
      </x:c>
      <x:c r="D2400" s="13" t="str">
        <x:v>Food &amp; Beverages</x:v>
      </x:c>
      <x:c r="E2400" s="13" t="str">
        <x:v>Agri, Food &amp; Beverages</x:v>
      </x:c>
      <x:c r="F2400" s="13" t="str">
        <x:v>Defensives</x:v>
      </x:c>
      <x:c r="G2400" s="13" t="str">
        <x:v>grid_wekqfxnd.xlsx</x:v>
      </x:c>
    </x:row>
    <x:row r="2401">
      <x:c r="A2401" s="15" t="n">
        <x:v>41365</x:v>
      </x:c>
      <x:c r="B2401" s="13" t="str">
        <x:v>DIAGNOSTICOS DA AMERICA SA</x:v>
      </x:c>
      <x:c r="C2401" s="16" t="n">
        <x:v>180.4168850411</x:v>
      </x:c>
      <x:c r="D2401" s="13" t="str">
        <x:v>Health Care</x:v>
      </x:c>
      <x:c r="E2401" s="13" t="str">
        <x:v>Health Care</x:v>
      </x:c>
      <x:c r="F2401" s="13" t="str">
        <x:v>Defensives</x:v>
      </x:c>
      <x:c r="G2401" s="13" t="str">
        <x:v>grid_wekqfxnd.xlsx</x:v>
      </x:c>
    </x:row>
    <x:row r="2402">
      <x:c r="A2402" s="15" t="n">
        <x:v>41365</x:v>
      </x:c>
      <x:c r="B2402" s="13" t="str">
        <x:v>HYPERA SA</x:v>
      </x:c>
      <x:c r="C2402" s="16" t="n">
        <x:v>446.4880683836</x:v>
      </x:c>
      <x:c r="D2402" s="13" t="str">
        <x:v>Health Care</x:v>
      </x:c>
      <x:c r="E2402" s="13" t="str">
        <x:v>Health Care</x:v>
      </x:c>
      <x:c r="F2402" s="13" t="str">
        <x:v>Defensives</x:v>
      </x:c>
      <x:c r="G2402" s="13" t="str">
        <x:v>grid_wekqfxnd.xlsx</x:v>
      </x:c>
    </x:row>
    <x:row r="2403">
      <x:c r="A2403" s="15" t="n">
        <x:v>41365</x:v>
      </x:c>
      <x:c r="B2403" s="13" t="str">
        <x:v>CYRELA BRAZIL REALTY SA EMP</x:v>
      </x:c>
      <x:c r="C2403" s="16" t="n">
        <x:v>873.9684576438</x:v>
      </x:c>
      <x:c r="D2403" s="13" t="str">
        <x:v>Homebuilders</x:v>
      </x:c>
      <x:c r="E2403" s="13" t="str">
        <x:v>Real Estate</x:v>
      </x:c>
      <x:c r="F2403" s="13" t="str">
        <x:v>Early Cyclicals</x:v>
      </x:c>
      <x:c r="G2403" s="13" t="str">
        <x:v>grid_wekqfxnd.xlsx</x:v>
      </x:c>
    </x:row>
    <x:row r="2404">
      <x:c r="A2404" s="15" t="n">
        <x:v>41365</x:v>
      </x:c>
      <x:c r="B2404" s="13" t="str">
        <x:v>GAFISA SA</x:v>
      </x:c>
      <x:c r="C2404" s="16" t="n">
        <x:v>194.498969863</x:v>
      </x:c>
      <x:c r="D2404" s="13" t="str">
        <x:v>Homebuilders</x:v>
      </x:c>
      <x:c r="E2404" s="13" t="str">
        <x:v>Real Estate</x:v>
      </x:c>
      <x:c r="F2404" s="13" t="str">
        <x:v>Early Cyclicals</x:v>
      </x:c>
      <x:c r="G2404" s="13" t="str">
        <x:v>grid_wekqfxnd.xlsx</x:v>
      </x:c>
    </x:row>
    <x:row r="2405">
      <x:c r="A2405" s="15" t="n">
        <x:v>41365</x:v>
      </x:c>
      <x:c r="B2405" s="13" t="str">
        <x:v>MRV ENGENHARIA</x:v>
      </x:c>
      <x:c r="C2405" s="16" t="n">
        <x:v>570.5626739726</x:v>
      </x:c>
      <x:c r="D2405" s="13" t="str">
        <x:v>Homebuilders</x:v>
      </x:c>
      <x:c r="E2405" s="13" t="str">
        <x:v>Real Estate</x:v>
      </x:c>
      <x:c r="F2405" s="13" t="str">
        <x:v>Early Cyclicals</x:v>
      </x:c>
      <x:c r="G2405" s="13" t="str">
        <x:v>grid_wekqfxnd.xlsx</x:v>
      </x:c>
    </x:row>
    <x:row r="2406">
      <x:c r="A2406" s="15" t="n">
        <x:v>41365</x:v>
      </x:c>
      <x:c r="B2406" s="13" t="str">
        <x:v>PDG REALTY SA</x:v>
      </x:c>
      <x:c r="C2406" s="16" t="n">
        <x:v>288.6480464658</x:v>
      </x:c>
      <x:c r="D2406" s="13" t="str">
        <x:v>Homebuilders</x:v>
      </x:c>
      <x:c r="E2406" s="13" t="str">
        <x:v>Real Estate</x:v>
      </x:c>
      <x:c r="F2406" s="13" t="str">
        <x:v>Early Cyclicals</x:v>
      </x:c>
      <x:c r="G2406" s="13" t="str">
        <x:v>grid_wekqfxnd.xlsx</x:v>
      </x:c>
    </x:row>
    <x:row r="2407">
      <x:c r="A2407" s="15" t="n">
        <x:v>41365</x:v>
      </x:c>
      <x:c r="B2407" s="13" t="str">
        <x:v>ROSSI RESIDENCIAL SA</x:v>
      </x:c>
      <x:c r="C2407" s="16" t="n">
        <x:v>217.7514603836</x:v>
      </x:c>
      <x:c r="D2407" s="13" t="str">
        <x:v>Homebuilders</x:v>
      </x:c>
      <x:c r="E2407" s="13" t="str">
        <x:v>Real Estate</x:v>
      </x:c>
      <x:c r="F2407" s="13" t="str">
        <x:v>Early Cyclicals</x:v>
      </x:c>
      <x:c r="G2407" s="13" t="str">
        <x:v>grid_wekqfxnd.xlsx</x:v>
      </x:c>
    </x:row>
    <x:row r="2408">
      <x:c r="A2408" s="15" t="n">
        <x:v>41365</x:v>
      </x:c>
      <x:c r="B2408" s="13" t="str">
        <x:v>TEGRA INCORPORADORA SA</x:v>
      </x:c>
      <x:c r="C2408" s="16" t="n">
        <x:v>276.8627287671</x:v>
      </x:c>
      <x:c r="D2408" s="13" t="str">
        <x:v>Homebuilders</x:v>
      </x:c>
      <x:c r="E2408" s="13" t="str">
        <x:v>Real Estate</x:v>
      </x:c>
      <x:c r="F2408" s="13" t="str">
        <x:v>Early Cyclicals</x:v>
      </x:c>
      <x:c r="G2408" s="13" t="str">
        <x:v>grid_wekqfxnd.xlsx</x:v>
      </x:c>
    </x:row>
    <x:row r="2409">
      <x:c r="A2409" s="15" t="n">
        <x:v>41365</x:v>
      </x:c>
      <x:c r="B2409" s="13" t="str">
        <x:v>BR MALLS PARTICIPACOES SA</x:v>
      </x:c>
      <x:c r="C2409" s="16" t="n">
        <x:v>625.8535504658</x:v>
      </x:c>
      <x:c r="D2409" s="13" t="str">
        <x:v>Income Properties</x:v>
      </x:c>
      <x:c r="E2409" s="13" t="str">
        <x:v>Real Estate</x:v>
      </x:c>
      <x:c r="F2409" s="13" t="str">
        <x:v>Early Cyclicals</x:v>
      </x:c>
      <x:c r="G2409" s="13" t="str">
        <x:v>grid_wekqfxnd.xlsx</x:v>
      </x:c>
    </x:row>
    <x:row r="2410">
      <x:c r="A2410" s="15" t="n">
        <x:v>41365</x:v>
      </x:c>
      <x:c r="B2410" s="13" t="str">
        <x:v>BRADESPAR SA -PREF</x:v>
      </x:c>
      <x:c r="C2410" s="16" t="n">
        <x:v>1252.3013488219</x:v>
      </x:c>
      <x:c r="D2410" s="13" t="str">
        <x:v>Metals &amp; Mining</x:v>
      </x:c>
      <x:c r="E2410" s="13" t="str">
        <x:v>Metals &amp; Mining</x:v>
      </x:c>
      <x:c r="F2410" s="13" t="str">
        <x:v>Deep Cyclicals</x:v>
      </x:c>
      <x:c r="G2410" s="13" t="str">
        <x:v>grid_wekqfxnd.xlsx</x:v>
      </x:c>
    </x:row>
    <x:row r="2411">
      <x:c r="A2411" s="15" t="n">
        <x:v>41365</x:v>
      </x:c>
      <x:c r="B2411" s="13" t="str">
        <x:v>CIA SIDERURGICA NACIONAL SA</x:v>
      </x:c>
      <x:c r="C2411" s="16" t="n">
        <x:v>1439.1164703562</x:v>
      </x:c>
      <x:c r="D2411" s="13" t="str">
        <x:v>Metals &amp; Mining</x:v>
      </x:c>
      <x:c r="E2411" s="13" t="str">
        <x:v>Metals &amp; Mining</x:v>
      </x:c>
      <x:c r="F2411" s="13" t="str">
        <x:v>Deep Cyclicals</x:v>
      </x:c>
      <x:c r="G2411" s="13" t="str">
        <x:v>grid_wekqfxnd.xlsx</x:v>
      </x:c>
    </x:row>
    <x:row r="2412">
      <x:c r="A2412" s="15" t="n">
        <x:v>41365</x:v>
      </x:c>
      <x:c r="B2412" s="13" t="str">
        <x:v>GERDAU SA-PREF</x:v>
      </x:c>
      <x:c r="C2412" s="16" t="n">
        <x:v>1897.2127772055</x:v>
      </x:c>
      <x:c r="D2412" s="13" t="str">
        <x:v>Metals &amp; Mining</x:v>
      </x:c>
      <x:c r="E2412" s="13" t="str">
        <x:v>Metals &amp; Mining</x:v>
      </x:c>
      <x:c r="F2412" s="13" t="str">
        <x:v>Deep Cyclicals</x:v>
      </x:c>
      <x:c r="G2412" s="13" t="str">
        <x:v>grid_wekqfxnd.xlsx</x:v>
      </x:c>
    </x:row>
    <x:row r="2413">
      <x:c r="A2413" s="15" t="n">
        <x:v>41365</x:v>
      </x:c>
      <x:c r="B2413" s="13" t="str">
        <x:v>METALURGICA GERDAU SA-PREF</x:v>
      </x:c>
      <x:c r="C2413" s="16" t="n">
        <x:v>865.6344740822</x:v>
      </x:c>
      <x:c r="D2413" s="13" t="str">
        <x:v>Metals &amp; Mining</x:v>
      </x:c>
      <x:c r="E2413" s="13" t="str">
        <x:v>Metals &amp; Mining</x:v>
      </x:c>
      <x:c r="F2413" s="13" t="str">
        <x:v>Deep Cyclicals</x:v>
      </x:c>
      <x:c r="G2413" s="13" t="str">
        <x:v>grid_wekqfxnd.xlsx</x:v>
      </x:c>
    </x:row>
    <x:row r="2414">
      <x:c r="A2414" s="15" t="n">
        <x:v>41365</x:v>
      </x:c>
      <x:c r="B2414" s="13" t="str">
        <x:v>MMX MINERACAO E METALICOS SA</x:v>
      </x:c>
      <x:c r="C2414" s="16" t="n">
        <x:v>-61.810957589</x:v>
      </x:c>
      <x:c r="D2414" s="13" t="str">
        <x:v>Metals &amp; Mining</x:v>
      </x:c>
      <x:c r="E2414" s="13" t="str">
        <x:v>Metals &amp; Mining</x:v>
      </x:c>
      <x:c r="F2414" s="13" t="str">
        <x:v>Deep Cyclicals</x:v>
      </x:c>
      <x:c r="G2414" s="13" t="str">
        <x:v>grid_wekqfxnd.xlsx</x:v>
      </x:c>
    </x:row>
    <x:row r="2415">
      <x:c r="A2415" s="15" t="n">
        <x:v>41365</x:v>
      </x:c>
      <x:c r="B2415" s="13" t="str">
        <x:v>USINAS SIDER MINAS GER-PF A</x:v>
      </x:c>
      <x:c r="C2415" s="16" t="n">
        <x:v>413.3409968219</x:v>
      </x:c>
      <x:c r="D2415" s="13" t="str">
        <x:v>Metals &amp; Mining</x:v>
      </x:c>
      <x:c r="E2415" s="13" t="str">
        <x:v>Metals &amp; Mining</x:v>
      </x:c>
      <x:c r="F2415" s="13" t="str">
        <x:v>Deep Cyclicals</x:v>
      </x:c>
      <x:c r="G2415" s="13" t="str">
        <x:v>grid_wekqfxnd.xlsx</x:v>
      </x:c>
    </x:row>
    <x:row r="2416">
      <x:c r="A2416" s="15" t="n">
        <x:v>41365</x:v>
      </x:c>
      <x:c r="B2416" s="13" t="str">
        <x:v>USINAS SIDERURGICAS DE MINAS</x:v>
      </x:c>
      <x:c r="C2416" s="16" t="n">
        <x:v>413.3409968219</x:v>
      </x:c>
      <x:c r="D2416" s="13" t="str">
        <x:v>Metals &amp; Mining</x:v>
      </x:c>
      <x:c r="E2416" s="13" t="str">
        <x:v>Metals &amp; Mining</x:v>
      </x:c>
      <x:c r="F2416" s="13" t="str">
        <x:v>Deep Cyclicals</x:v>
      </x:c>
      <x:c r="G2416" s="13" t="str">
        <x:v>grid_wekqfxnd.xlsx</x:v>
      </x:c>
    </x:row>
    <x:row r="2417">
      <x:c r="A2417" s="15" t="n">
        <x:v>41365</x:v>
      </x:c>
      <x:c r="B2417" s="13" t="str">
        <x:v>VALE SA</x:v>
      </x:c>
      <x:c r="C2417" s="16" t="n">
        <x:v>24428.7444795616</x:v>
      </x:c>
      <x:c r="D2417" s="13" t="str">
        <x:v>Metals &amp; Mining</x:v>
      </x:c>
      <x:c r="E2417" s="13" t="str">
        <x:v>Metals &amp; Mining</x:v>
      </x:c>
      <x:c r="F2417" s="13" t="str">
        <x:v>Deep Cyclicals</x:v>
      </x:c>
      <x:c r="G2417" s="13" t="str">
        <x:v>grid_wekqfxnd.xlsx</x:v>
      </x:c>
    </x:row>
    <x:row r="2418">
      <x:c r="A2418" s="15" t="n">
        <x:v>41365</x:v>
      </x:c>
      <x:c r="B2418" s="13" t="str">
        <x:v>BRASKEM SA-PREF A</x:v>
      </x:c>
      <x:c r="C2418" s="16" t="n">
        <x:v>892.5276458082</x:v>
      </x:c>
      <x:c r="D2418" s="13" t="str">
        <x:v>Oil, Gas &amp; Petrochemicals</x:v>
      </x:c>
      <x:c r="E2418" s="13" t="str">
        <x:v>Oil, Gas &amp; Petrochemicals</x:v>
      </x:c>
      <x:c r="F2418" s="13" t="str">
        <x:v>Deep Cyclicals</x:v>
      </x:c>
      <x:c r="G2418" s="13" t="str">
        <x:v>grid_wekqfxnd.xlsx</x:v>
      </x:c>
    </x:row>
    <x:row r="2419">
      <x:c r="A2419" s="15" t="n">
        <x:v>41365</x:v>
      </x:c>
      <x:c r="B2419" s="13" t="str">
        <x:v>OLEO E GAS PARTICIPACOES SA</x:v>
      </x:c>
      <x:c r="C2419" s="16" t="n">
        <x:v>-296.8107616438</x:v>
      </x:c>
      <x:c r="D2419" s="13" t="str">
        <x:v>Oil, Gas &amp; Petrochemicals</x:v>
      </x:c>
      <x:c r="E2419" s="13" t="str">
        <x:v>Oil, Gas &amp; Petrochemicals</x:v>
      </x:c>
      <x:c r="F2419" s="13" t="str">
        <x:v>Deep Cyclicals</x:v>
      </x:c>
      <x:c r="G2419" s="13" t="str">
        <x:v>grid_wekqfxnd.xlsx</x:v>
      </x:c>
    </x:row>
    <x:row r="2420">
      <x:c r="A2420" s="15" t="n">
        <x:v>41365</x:v>
      </x:c>
      <x:c r="B2420" s="13" t="str">
        <x:v>PETROBRAS - PETROLEO BRAS</x:v>
      </x:c>
      <x:c r="C2420" s="16" t="n">
        <x:v>32700.3210345205</x:v>
      </x:c>
      <x:c r="D2420" s="13" t="str">
        <x:v>Oil, Gas &amp; Petrochemicals</x:v>
      </x:c>
      <x:c r="E2420" s="13" t="str">
        <x:v>Oil, Gas &amp; Petrochemicals</x:v>
      </x:c>
      <x:c r="F2420" s="13" t="str">
        <x:v>Deep Cyclicals</x:v>
      </x:c>
      <x:c r="G2420" s="13" t="str">
        <x:v>grid_wekqfxnd.xlsx</x:v>
      </x:c>
    </x:row>
    <x:row r="2421">
      <x:c r="A2421" s="15" t="n">
        <x:v>41365</x:v>
      </x:c>
      <x:c r="B2421" s="13" t="str">
        <x:v>ULTRAPAR PARTICIPACOES SA</x:v>
      </x:c>
      <x:c r="C2421" s="16" t="n">
        <x:v>1261.6790145753</x:v>
      </x:c>
      <x:c r="D2421" s="13" t="str">
        <x:v>Oil, Gas &amp; Petrochemicals</x:v>
      </x:c>
      <x:c r="E2421" s="13" t="str">
        <x:v>Oil, Gas &amp; Petrochemicals</x:v>
      </x:c>
      <x:c r="F2421" s="13" t="str">
        <x:v>Deep Cyclicals</x:v>
      </x:c>
      <x:c r="G2421" s="13" t="str">
        <x:v>grid_wekqfxnd.xlsx</x:v>
      </x:c>
    </x:row>
    <x:row r="2422">
      <x:c r="A2422" s="15" t="n">
        <x:v>41365</x:v>
      </x:c>
      <x:c r="B2422" s="13" t="str">
        <x:v>DEXCO SA</x:v>
      </x:c>
      <x:c r="C2422" s="16" t="n">
        <x:v>549.6952850411</x:v>
      </x:c>
      <x:c r="D2422" s="13" t="str">
        <x:v>Pulp &amp; Paper</x:v>
      </x:c>
      <x:c r="E2422" s="13" t="str">
        <x:v>Pulp &amp; Paper</x:v>
      </x:c>
      <x:c r="F2422" s="13" t="str">
        <x:v>Deep Cyclicals</x:v>
      </x:c>
      <x:c r="G2422" s="13" t="str">
        <x:v>grid_wekqfxnd.xlsx</x:v>
      </x:c>
    </x:row>
    <x:row r="2423">
      <x:c r="A2423" s="15" t="n">
        <x:v>41365</x:v>
      </x:c>
      <x:c r="B2423" s="13" t="str">
        <x:v>FIBRIA CELULOSE S/A</x:v>
      </x:c>
      <x:c r="C2423" s="16" t="n">
        <x:v>175.9142505205</x:v>
      </x:c>
      <x:c r="D2423" s="13" t="str">
        <x:v>Pulp &amp; Paper</x:v>
      </x:c>
      <x:c r="E2423" s="13" t="str">
        <x:v>Pulp &amp; Paper</x:v>
      </x:c>
      <x:c r="F2423" s="13" t="str">
        <x:v>Deep Cyclicals</x:v>
      </x:c>
      <x:c r="G2423" s="13" t="str">
        <x:v>grid_wekqfxnd.xlsx</x:v>
      </x:c>
    </x:row>
    <x:row r="2424">
      <x:c r="A2424" s="15" t="n">
        <x:v>41365</x:v>
      </x:c>
      <x:c r="B2424" s="13" t="str">
        <x:v>SUZANO PAPEL E CELULO-PREF A</x:v>
      </x:c>
      <x:c r="C2424" s="16" t="n">
        <x:v>250.6208519452</x:v>
      </x:c>
      <x:c r="D2424" s="13" t="str">
        <x:v>Pulp &amp; Paper</x:v>
      </x:c>
      <x:c r="E2424" s="13" t="str">
        <x:v>Pulp &amp; Paper</x:v>
      </x:c>
      <x:c r="F2424" s="13" t="str">
        <x:v>Deep Cyclicals</x:v>
      </x:c>
      <x:c r="G2424" s="13" t="str">
        <x:v>grid_wekqfxnd.xlsx</x:v>
      </x:c>
    </x:row>
    <x:row r="2425">
      <x:c r="A2425" s="15" t="n">
        <x:v>41365</x:v>
      </x:c>
      <x:c r="B2425" s="13" t="str">
        <x:v>AMERICANAS SA</x:v>
      </x:c>
      <x:c r="C2425" s="16" t="n">
        <x:v>-79.8186726575</x:v>
      </x:c>
      <x:c r="D2425" s="13" t="str">
        <x:v>Retail</x:v>
      </x:c>
      <x:c r="E2425" s="13" t="str">
        <x:v>Retail</x:v>
      </x:c>
      <x:c r="F2425" s="13" t="str">
        <x:v>Early Cyclicals</x:v>
      </x:c>
      <x:c r="G2425" s="13" t="str">
        <x:v>grid_wekqfxnd.xlsx</x:v>
      </x:c>
    </x:row>
    <x:row r="2426">
      <x:c r="A2426" s="15" t="n">
        <x:v>41365</x:v>
      </x:c>
      <x:c r="B2426" s="13" t="str">
        <x:v>CIA BRASILEIRA DE DIS-PREF</x:v>
      </x:c>
      <x:c r="C2426" s="16" t="n">
        <x:v>1320.5843463014</x:v>
      </x:c>
      <x:c r="D2426" s="13" t="str">
        <x:v>Retail</x:v>
      </x:c>
      <x:c r="E2426" s="13" t="str">
        <x:v>Retail</x:v>
      </x:c>
      <x:c r="F2426" s="13" t="str">
        <x:v>Early Cyclicals</x:v>
      </x:c>
      <x:c r="G2426" s="13" t="str">
        <x:v>grid_wekqfxnd.xlsx</x:v>
      </x:c>
    </x:row>
    <x:row r="2427">
      <x:c r="A2427" s="15" t="n">
        <x:v>41365</x:v>
      </x:c>
      <x:c r="B2427" s="13" t="str">
        <x:v>CIA HERING</x:v>
      </x:c>
      <x:c r="C2427" s="16" t="n">
        <x:v>362.1566518356</x:v>
      </x:c>
      <x:c r="D2427" s="13" t="str">
        <x:v>Retail</x:v>
      </x:c>
      <x:c r="E2427" s="13" t="str">
        <x:v>Retail</x:v>
      </x:c>
      <x:c r="F2427" s="13" t="str">
        <x:v>Early Cyclicals</x:v>
      </x:c>
      <x:c r="G2427" s="13" t="str">
        <x:v>grid_wekqfxnd.xlsx</x:v>
      </x:c>
    </x:row>
    <x:row r="2428">
      <x:c r="A2428" s="15" t="n">
        <x:v>41365</x:v>
      </x:c>
      <x:c r="B2428" s="13" t="str">
        <x:v>LOJAS AMERICANAS SA-PREF</x:v>
      </x:c>
      <x:c r="C2428" s="16" t="n">
        <x:v>590.1753372055</x:v>
      </x:c>
      <x:c r="D2428" s="13" t="str">
        <x:v>Retail</x:v>
      </x:c>
      <x:c r="E2428" s="13" t="str">
        <x:v>Retail</x:v>
      </x:c>
      <x:c r="F2428" s="13" t="str">
        <x:v>Early Cyclicals</x:v>
      </x:c>
      <x:c r="G2428" s="13" t="str">
        <x:v>grid_wekqfxnd.xlsx</x:v>
      </x:c>
    </x:row>
    <x:row r="2429">
      <x:c r="A2429" s="15" t="n">
        <x:v>41365</x:v>
      </x:c>
      <x:c r="B2429" s="13" t="str">
        <x:v>LOJAS RENNER S.A.</x:v>
      </x:c>
      <x:c r="C2429" s="16" t="n">
        <x:v>457.0232276164</x:v>
      </x:c>
      <x:c r="D2429" s="13" t="str">
        <x:v>Retail</x:v>
      </x:c>
      <x:c r="E2429" s="13" t="str">
        <x:v>Retail</x:v>
      </x:c>
      <x:c r="F2429" s="13" t="str">
        <x:v>Early Cyclicals</x:v>
      </x:c>
      <x:c r="G2429" s="13" t="str">
        <x:v>grid_wekqfxnd.xlsx</x:v>
      </x:c>
    </x:row>
    <x:row r="2430">
      <x:c r="A2430" s="15" t="n">
        <x:v>41365</x:v>
      </x:c>
      <x:c r="B2430" s="13" t="str">
        <x:v>NATURA COSMETICOS SA</x:v>
      </x:c>
      <x:c r="C2430" s="16" t="n">
        <x:v>1001.5342106301</x:v>
      </x:c>
      <x:c r="D2430" s="13" t="str">
        <x:v>Retail</x:v>
      </x:c>
      <x:c r="E2430" s="13" t="str">
        <x:v>Retail</x:v>
      </x:c>
      <x:c r="F2430" s="13" t="str">
        <x:v>Early Cyclicals</x:v>
      </x:c>
      <x:c r="G2430" s="13" t="str">
        <x:v>grid_wekqfxnd.xlsx</x:v>
      </x:c>
    </x:row>
    <x:row r="2431">
      <x:c r="A2431" s="15" t="n">
        <x:v>41365</x:v>
      </x:c>
      <x:c r="B2431" s="13" t="str">
        <x:v>CIA SANEAMENTO BASICO DE SP</x:v>
      </x:c>
      <x:c r="C2431" s="16" t="n">
        <x:v>2195.3037518904</x:v>
      </x:c>
      <x:c r="D2431" s="13" t="str">
        <x:v>Sanitation</x:v>
      </x:c>
      <x:c r="E2431" s="13" t="str">
        <x:v>Utilities</x:v>
      </x:c>
      <x:c r="F2431" s="13" t="str">
        <x:v>Defensives</x:v>
      </x:c>
      <x:c r="G2431" s="13" t="str">
        <x:v>grid_wekqfxnd.xlsx</x:v>
      </x:c>
    </x:row>
    <x:row r="2432">
      <x:c r="A2432" s="15" t="n">
        <x:v>41365</x:v>
      </x:c>
      <x:c r="B2432" s="13" t="str">
        <x:v>OI S.A.</x:v>
      </x:c>
      <x:c r="C2432" s="16" t="n">
        <x:v>796.0818989589</x:v>
      </x:c>
      <x:c r="D2432" s="13" t="str">
        <x:v>TMT</x:v>
      </x:c>
      <x:c r="E2432" s="13" t="str">
        <x:v>TMT</x:v>
      </x:c>
      <x:c r="F2432" s="13" t="str">
        <x:v>Early Cyclicals</x:v>
      </x:c>
      <x:c r="G2432" s="13" t="str">
        <x:v>grid_wekqfxnd.xlsx</x:v>
      </x:c>
    </x:row>
    <x:row r="2433">
      <x:c r="A2433" s="15" t="n">
        <x:v>41365</x:v>
      </x:c>
      <x:c r="B2433" s="13" t="str">
        <x:v>OI SA-PREFERENCE</x:v>
      </x:c>
      <x:c r="C2433" s="16" t="n">
        <x:v>796.0818989589</x:v>
      </x:c>
      <x:c r="D2433" s="13" t="str">
        <x:v>TMT</x:v>
      </x:c>
      <x:c r="E2433" s="13" t="str">
        <x:v>TMT</x:v>
      </x:c>
      <x:c r="F2433" s="13" t="str">
        <x:v>Early Cyclicals</x:v>
      </x:c>
      <x:c r="G2433" s="13" t="str">
        <x:v>grid_wekqfxnd.xlsx</x:v>
      </x:c>
    </x:row>
    <x:row r="2434">
      <x:c r="A2434" s="15" t="n">
        <x:v>41365</x:v>
      </x:c>
      <x:c r="B2434" s="13" t="str">
        <x:v>TELEFONICA BRASIL S.A.-PREF</x:v>
      </x:c>
      <x:c r="C2434" s="16" t="n">
        <x:v>4700.2268475616</x:v>
      </x:c>
      <x:c r="D2434" s="13" t="str">
        <x:v>TMT</x:v>
      </x:c>
      <x:c r="E2434" s="13" t="str">
        <x:v>TMT</x:v>
      </x:c>
      <x:c r="F2434" s="13" t="str">
        <x:v>Early Cyclicals</x:v>
      </x:c>
      <x:c r="G2434" s="13" t="str">
        <x:v>grid_wekqfxnd.xlsx</x:v>
      </x:c>
    </x:row>
    <x:row r="2435">
      <x:c r="A2435" s="15" t="n">
        <x:v>41365</x:v>
      </x:c>
      <x:c r="B2435" s="13" t="str">
        <x:v>TIM SA</x:v>
      </x:c>
      <x:c r="C2435" s="16" t="n">
        <x:v>1683.4785928767</x:v>
      </x:c>
      <x:c r="D2435" s="13" t="str">
        <x:v>TMT</x:v>
      </x:c>
      <x:c r="E2435" s="13" t="str">
        <x:v>TMT</x:v>
      </x:c>
      <x:c r="F2435" s="13" t="str">
        <x:v>Early Cyclicals</x:v>
      </x:c>
      <x:c r="G2435" s="13" t="str">
        <x:v>grid_wekqfxnd.xlsx</x:v>
      </x:c>
    </x:row>
    <x:row r="2436">
      <x:c r="A2436" s="15" t="n">
        <x:v>41365</x:v>
      </x:c>
      <x:c r="B2436" s="13" t="str">
        <x:v>GOL LINHAS AEREAS INT SA-PRE</x:v>
      </x:c>
      <x:c r="C2436" s="16" t="n">
        <x:v>-15.9417835616</x:v>
      </x:c>
      <x:c r="D2436" s="13" t="str">
        <x:v>Transportation</x:v>
      </x:c>
      <x:c r="E2436" s="13" t="str">
        <x:v>Transportation</x:v>
      </x:c>
      <x:c r="F2436" s="13" t="str">
        <x:v>Deep Cyclicals</x:v>
      </x:c>
      <x:c r="G2436" s="13" t="str">
        <x:v>grid_wekqfxnd.xlsx</x:v>
      </x:c>
    </x:row>
    <x:row r="2437">
      <x:c r="A2437" s="15" t="n">
        <x:v>41365</x:v>
      </x:c>
      <x:c r="B2437" s="13" t="str">
        <x:v>LOCALIZA RENT A CAR</x:v>
      </x:c>
      <x:c r="C2437" s="16" t="n">
        <x:v>377.0308111781</x:v>
      </x:c>
      <x:c r="D2437" s="13" t="str">
        <x:v>Transportation</x:v>
      </x:c>
      <x:c r="E2437" s="13" t="str">
        <x:v>Transportation</x:v>
      </x:c>
      <x:c r="F2437" s="13" t="str">
        <x:v>Deep Cyclicals</x:v>
      </x:c>
      <x:c r="G2437" s="13" t="str">
        <x:v>grid_wekqfxnd.xlsx</x:v>
      </x:c>
    </x:row>
    <x:row r="2438">
      <x:c r="A2438" s="15" t="n">
        <x:v>41365</x:v>
      </x:c>
      <x:c r="B2438" s="13" t="str">
        <x:v>MOTIVA INFRAESTRUTURA DE MOB</x:v>
      </x:c>
      <x:c r="C2438" s="16" t="n">
        <x:v>1635.1826077808</x:v>
      </x:c>
      <x:c r="D2438" s="13" t="str">
        <x:v>Transportation</x:v>
      </x:c>
      <x:c r="E2438" s="13" t="str">
        <x:v>Transportation</x:v>
      </x:c>
      <x:c r="F2438" s="13" t="str">
        <x:v>Deep Cyclicals</x:v>
      </x:c>
      <x:c r="G2438" s="13" t="str">
        <x:v>grid_wekqfxnd.xlsx</x:v>
      </x:c>
    </x:row>
    <x:row r="2439">
      <x:c r="A2439" s="15" t="n">
        <x:v>41365</x:v>
      </x:c>
      <x:c r="B2439" s="13" t="str">
        <x:v>PRUMO LOGISTICA SA</x:v>
      </x:c>
      <x:c r="C2439" s="16" t="n">
        <x:v>-89.4244109589</x:v>
      </x:c>
      <x:c r="D2439" s="13" t="str">
        <x:v>Transportation</x:v>
      </x:c>
      <x:c r="E2439" s="13" t="str">
        <x:v>Transportation</x:v>
      </x:c>
      <x:c r="F2439" s="13" t="str">
        <x:v>Deep Cyclicals</x:v>
      </x:c>
      <x:c r="G2439" s="13" t="str">
        <x:v>grid_wekqfxnd.xlsx</x:v>
      </x:c>
    </x:row>
    <x:row r="2440">
      <x:c r="A2440" s="15" t="n">
        <x:v>41365</x:v>
      </x:c>
      <x:c r="B2440" s="13" t="str">
        <x:v>RUMO SA</x:v>
      </x:c>
      <x:c r="C2440" s="16" t="n">
        <x:v>413.6833560548</x:v>
      </x:c>
      <x:c r="D2440" s="13" t="str">
        <x:v>Transportation</x:v>
      </x:c>
      <x:c r="E2440" s="13" t="str">
        <x:v>Transportation</x:v>
      </x:c>
      <x:c r="F2440" s="13" t="str">
        <x:v>Deep Cyclicals</x:v>
      </x:c>
      <x:c r="G2440" s="13" t="str">
        <x:v>grid_wekqfxnd.xlsx</x:v>
      </x:c>
    </x:row>
    <x:row r="2441">
      <x:c r="A2441" s="15" t="n">
        <x:v>41365</x:v>
      </x:c>
      <x:c r="B2441" s="13" t="str">
        <x:v>AXIA ENERGIA SA</x:v>
      </x:c>
      <x:c r="C2441" s="16" t="n">
        <x:v>1246.0684721096</x:v>
      </x:c>
      <x:c r="D2441" s="13" t="str">
        <x:v>Utilities &amp; Energy</x:v>
      </x:c>
      <x:c r="E2441" s="13" t="str">
        <x:v>Utilities</x:v>
      </x:c>
      <x:c r="F2441" s="13" t="str">
        <x:v>Defensives</x:v>
      </x:c>
      <x:c r="G2441" s="13" t="str">
        <x:v>grid_wekqfxnd.xlsx</x:v>
      </x:c>
    </x:row>
    <x:row r="2442">
      <x:c r="A2442" s="15" t="n">
        <x:v>41365</x:v>
      </x:c>
      <x:c r="B2442" s="13" t="str">
        <x:v>AXIA ENERGIA-PR B</x:v>
      </x:c>
      <x:c r="C2442" s="16" t="n">
        <x:v>1246.0684721096</x:v>
      </x:c>
      <x:c r="D2442" s="13" t="str">
        <x:v>Utilities &amp; Energy</x:v>
      </x:c>
      <x:c r="E2442" s="13" t="str">
        <x:v>Utilities</x:v>
      </x:c>
      <x:c r="F2442" s="13" t="str">
        <x:v>Defensives</x:v>
      </x:c>
      <x:c r="G2442" s="13" t="str">
        <x:v>grid_wekqfxnd.xlsx</x:v>
      </x:c>
    </x:row>
    <x:row r="2443">
      <x:c r="A2443" s="15" t="n">
        <x:v>41365</x:v>
      </x:c>
      <x:c r="B2443" s="13" t="str">
        <x:v>CESP - CIA ENERGETICA DE SAO</x:v>
      </x:c>
      <x:c r="C2443" s="16" t="n">
        <x:v>1297.9974505206</x:v>
      </x:c>
      <x:c r="D2443" s="13" t="str">
        <x:v>Utilities &amp; Energy</x:v>
      </x:c>
      <x:c r="E2443" s="13" t="str">
        <x:v>Utilities</x:v>
      </x:c>
      <x:c r="F2443" s="13" t="str">
        <x:v>Defensives</x:v>
      </x:c>
      <x:c r="G2443" s="13" t="str">
        <x:v>grid_wekqfxnd.xlsx</x:v>
      </x:c>
    </x:row>
    <x:row r="2444">
      <x:c r="A2444" s="15" t="n">
        <x:v>41365</x:v>
      </x:c>
      <x:c r="B2444" s="13" t="str">
        <x:v>CIA ENERGETICA MINAS GER-PRF</x:v>
      </x:c>
      <x:c r="C2444" s="16" t="n">
        <x:v>2643.0318500822</x:v>
      </x:c>
      <x:c r="D2444" s="13" t="str">
        <x:v>Utilities &amp; Energy</x:v>
      </x:c>
      <x:c r="E2444" s="13" t="str">
        <x:v>Utilities</x:v>
      </x:c>
      <x:c r="F2444" s="13" t="str">
        <x:v>Defensives</x:v>
      </x:c>
      <x:c r="G2444" s="13" t="str">
        <x:v>grid_wekqfxnd.xlsx</x:v>
      </x:c>
    </x:row>
    <x:row r="2445">
      <x:c r="A2445" s="15" t="n">
        <x:v>41365</x:v>
      </x:c>
      <x:c r="B2445" s="13" t="str">
        <x:v>COMPANHIA PARANAENSE -PREF B</x:v>
      </x:c>
      <x:c r="C2445" s="16" t="n">
        <x:v>1053.8954380274</x:v>
      </x:c>
      <x:c r="D2445" s="13" t="str">
        <x:v>Utilities &amp; Energy</x:v>
      </x:c>
      <x:c r="E2445" s="13" t="str">
        <x:v>Utilities</x:v>
      </x:c>
      <x:c r="F2445" s="13" t="str">
        <x:v>Defensives</x:v>
      </x:c>
      <x:c r="G2445" s="13" t="str">
        <x:v>grid_wekqfxnd.xlsx</x:v>
      </x:c>
    </x:row>
    <x:row r="2446">
      <x:c r="A2446" s="15" t="n">
        <x:v>41365</x:v>
      </x:c>
      <x:c r="B2446" s="13" t="str">
        <x:v>CPFL ENERGIA SA</x:v>
      </x:c>
      <x:c r="C2446" s="16" t="n">
        <x:v>1258.2260164384</x:v>
      </x:c>
      <x:c r="D2446" s="13" t="str">
        <x:v>Utilities &amp; Energy</x:v>
      </x:c>
      <x:c r="E2446" s="13" t="str">
        <x:v>Utilities</x:v>
      </x:c>
      <x:c r="F2446" s="13" t="str">
        <x:v>Defensives</x:v>
      </x:c>
      <x:c r="G2446" s="13" t="str">
        <x:v>grid_wekqfxnd.xlsx</x:v>
      </x:c>
    </x:row>
    <x:row r="2447">
      <x:c r="A2447" s="15" t="n">
        <x:v>41365</x:v>
      </x:c>
      <x:c r="B2447" s="13" t="str">
        <x:v>EDP - ENERGIAS DO BRASIL SA</x:v>
      </x:c>
      <x:c r="C2447" s="16" t="n">
        <x:v>578.7079916712</x:v>
      </x:c>
      <x:c r="D2447" s="13" t="str">
        <x:v>Utilities &amp; Energy</x:v>
      </x:c>
      <x:c r="E2447" s="13" t="str">
        <x:v>Utilities</x:v>
      </x:c>
      <x:c r="F2447" s="13" t="str">
        <x:v>Defensives</x:v>
      </x:c>
      <x:c r="G2447" s="13" t="str">
        <x:v>grid_wekqfxnd.xlsx</x:v>
      </x:c>
    </x:row>
    <x:row r="2448">
      <x:c r="A2448" s="15" t="n">
        <x:v>41365</x:v>
      </x:c>
      <x:c r="B2448" s="13" t="str">
        <x:v>ELETROPAULO METROPOLI-PREF</x:v>
      </x:c>
      <x:c r="C2448" s="16" t="n">
        <x:v>45.651369863</x:v>
      </x:c>
      <x:c r="D2448" s="13" t="str">
        <x:v>Utilities &amp; Energy</x:v>
      </x:c>
      <x:c r="E2448" s="13" t="str">
        <x:v>Utilities</x:v>
      </x:c>
      <x:c r="F2448" s="13" t="str">
        <x:v>Defensives</x:v>
      </x:c>
      <x:c r="G2448" s="13" t="str">
        <x:v>grid_wekqfxnd.xlsx</x:v>
      </x:c>
    </x:row>
    <x:row r="2449">
      <x:c r="A2449" s="15" t="n">
        <x:v>41365</x:v>
      </x:c>
      <x:c r="B2449" s="13" t="str">
        <x:v>ISA ENERGIA BRASIL SA</x:v>
      </x:c>
      <x:c r="C2449" s="16" t="n">
        <x:v>345.5102684932</x:v>
      </x:c>
      <x:c r="D2449" s="13" t="str">
        <x:v>Utilities &amp; Energy</x:v>
      </x:c>
      <x:c r="E2449" s="13" t="str">
        <x:v>Utilities</x:v>
      </x:c>
      <x:c r="F2449" s="13" t="str">
        <x:v>Defensives</x:v>
      </x:c>
      <x:c r="G2449" s="13" t="str">
        <x:v>grid_wekqfxnd.xlsx</x:v>
      </x:c>
    </x:row>
    <x:row r="2450">
      <x:c r="A2450" s="15" t="n">
        <x:v>41365</x:v>
      </x:c>
      <x:c r="B2450" s="13" t="str">
        <x:v>LIGHT SA</x:v>
      </x:c>
      <x:c r="C2450" s="16" t="n">
        <x:v>551.8356164384</x:v>
      </x:c>
      <x:c r="D2450" s="13" t="str">
        <x:v>Utilities &amp; Energy</x:v>
      </x:c>
      <x:c r="E2450" s="13" t="str">
        <x:v>Utilities</x:v>
      </x:c>
      <x:c r="F2450" s="13" t="str">
        <x:v>Defensives</x:v>
      </x:c>
      <x:c r="G2450" s="13" t="str">
        <x:v>grid_wekqfxnd.xlsx</x:v>
      </x:c>
    </x:row>
    <x:row r="2451">
      <x:c r="A2451" s="15" t="n">
        <x:v>41395</x:v>
      </x:c>
      <x:c r="B2451" s="13" t="str">
        <x:v>SLC AGRICOLA CENTRO OESTE SA</x:v>
      </x:c>
      <x:c r="C2451" s="16" t="n">
        <x:v>-7.8873972603</x:v>
      </x:c>
      <x:c r="D2451" s="13" t="str">
        <x:v>Agribusiness</x:v>
      </x:c>
      <x:c r="E2451" s="13" t="str">
        <x:v>Agri, Food &amp; Beverages</x:v>
      </x:c>
      <x:c r="F2451" s="13" t="str">
        <x:v>Defensives</x:v>
      </x:c>
      <x:c r="G2451" s="13" t="str">
        <x:v>grid_wekqfxnd.xlsx</x:v>
      </x:c>
    </x:row>
    <x:row r="2452">
      <x:c r="A2452" s="15" t="n">
        <x:v>41395</x:v>
      </x:c>
      <x:c r="B2452" s="13" t="str">
        <x:v>BANCO BRADESCO S.A.</x:v>
      </x:c>
      <x:c r="C2452" s="16" t="n">
        <x:v>13194.0884788603</x:v>
      </x:c>
      <x:c r="D2452" s="13" t="str">
        <x:v>Banks</x:v>
      </x:c>
      <x:c r="E2452" s="13" t="str">
        <x:v>Banks</x:v>
      </x:c>
      <x:c r="F2452" s="13" t="str">
        <x:v>Financials</x:v>
      </x:c>
      <x:c r="G2452" s="13" t="str">
        <x:v>grid_wekqfxnd.xlsx</x:v>
      </x:c>
    </x:row>
    <x:row r="2453">
      <x:c r="A2453" s="15" t="n">
        <x:v>41395</x:v>
      </x:c>
      <x:c r="B2453" s="13" t="str">
        <x:v>BANCO BRADESCO SA-PREF</x:v>
      </x:c>
      <x:c r="C2453" s="16" t="n">
        <x:v>13194.0884788603</x:v>
      </x:c>
      <x:c r="D2453" s="13" t="str">
        <x:v>Banks</x:v>
      </x:c>
      <x:c r="E2453" s="13" t="str">
        <x:v>Banks</x:v>
      </x:c>
      <x:c r="F2453" s="13" t="str">
        <x:v>Financials</x:v>
      </x:c>
      <x:c r="G2453" s="13" t="str">
        <x:v>grid_wekqfxnd.xlsx</x:v>
      </x:c>
    </x:row>
    <x:row r="2454">
      <x:c r="A2454" s="15" t="n">
        <x:v>41395</x:v>
      </x:c>
      <x:c r="B2454" s="13" t="str">
        <x:v>BANCO DO BRASIL S.A.</x:v>
      </x:c>
      <x:c r="C2454" s="16" t="n">
        <x:v>11138.5559488877</x:v>
      </x:c>
      <x:c r="D2454" s="13" t="str">
        <x:v>Banks</x:v>
      </x:c>
      <x:c r="E2454" s="13" t="str">
        <x:v>Banks</x:v>
      </x:c>
      <x:c r="F2454" s="13" t="str">
        <x:v>Financials</x:v>
      </x:c>
      <x:c r="G2454" s="13" t="str">
        <x:v>grid_wekqfxnd.xlsx</x:v>
      </x:c>
    </x:row>
    <x:row r="2455">
      <x:c r="A2455" s="15" t="n">
        <x:v>41395</x:v>
      </x:c>
      <x:c r="B2455" s="13" t="str">
        <x:v>BANCO SANTANDER  BRASIL-UNIT</x:v>
      </x:c>
      <x:c r="C2455" s="16" t="n">
        <x:v>6257.857568263</x:v>
      </x:c>
      <x:c r="D2455" s="13" t="str">
        <x:v>Banks</x:v>
      </x:c>
      <x:c r="E2455" s="13" t="str">
        <x:v>Banks</x:v>
      </x:c>
      <x:c r="F2455" s="13" t="str">
        <x:v>Financials</x:v>
      </x:c>
      <x:c r="G2455" s="13" t="str">
        <x:v>grid_wekqfxnd.xlsx</x:v>
      </x:c>
    </x:row>
    <x:row r="2456">
      <x:c r="A2456" s="15" t="n">
        <x:v>41395</x:v>
      </x:c>
      <x:c r="B2456" s="13" t="str">
        <x:v>ITAU UNIBANCO HOLDING S-PREF</x:v>
      </x:c>
      <x:c r="C2456" s="16" t="n">
        <x:v>16148.771085326</x:v>
      </x:c>
      <x:c r="D2456" s="13" t="str">
        <x:v>Banks</x:v>
      </x:c>
      <x:c r="E2456" s="13" t="str">
        <x:v>Banks</x:v>
      </x:c>
      <x:c r="F2456" s="13" t="str">
        <x:v>Financials</x:v>
      </x:c>
      <x:c r="G2456" s="13" t="str">
        <x:v>grid_wekqfxnd.xlsx</x:v>
      </x:c>
    </x:row>
    <x:row r="2457">
      <x:c r="A2457" s="15" t="n">
        <x:v>41395</x:v>
      </x:c>
      <x:c r="B2457" s="13" t="str">
        <x:v>EMBRAER SA</x:v>
      </x:c>
      <x:c r="C2457" s="16" t="n">
        <x:v>1001.7587382356</x:v>
      </x:c>
      <x:c r="D2457" s="13" t="str">
        <x:v>Capital Goods</x:v>
      </x:c>
      <x:c r="E2457" s="13" t="str">
        <x:v>Capital Goods</x:v>
      </x:c>
      <x:c r="F2457" s="13" t="str">
        <x:v>Deep Cyclicals</x:v>
      </x:c>
      <x:c r="G2457" s="13" t="str">
        <x:v>grid_wekqfxnd.xlsx</x:v>
      </x:c>
    </x:row>
    <x:row r="2458">
      <x:c r="A2458" s="15" t="n">
        <x:v>41395</x:v>
      </x:c>
      <x:c r="B2458" s="13" t="str">
        <x:v>B3 SA-BRASIL BOLSA BALCAO</x:v>
      </x:c>
      <x:c r="C2458" s="16" t="n">
        <x:v>1700.0137815671</x:v>
      </x:c>
      <x:c r="D2458" s="13" t="str">
        <x:v>Financials Non-Banks</x:v>
      </x:c>
      <x:c r="E2458" s="13" t="str">
        <x:v>Financials Non-Banks</x:v>
      </x:c>
      <x:c r="F2458" s="13" t="str">
        <x:v>Financials</x:v>
      </x:c>
      <x:c r="G2458" s="13" t="str">
        <x:v>grid_wekqfxnd.xlsx</x:v>
      </x:c>
    </x:row>
    <x:row r="2459">
      <x:c r="A2459" s="15" t="n">
        <x:v>41395</x:v>
      </x:c>
      <x:c r="B2459" s="13" t="str">
        <x:v>CETIP SA-MERCADOS ORGANIZADO</x:v>
      </x:c>
      <x:c r="C2459" s="16" t="n">
        <x:v>442.8727444164</x:v>
      </x:c>
      <x:c r="D2459" s="13" t="str">
        <x:v>Financials Non-Banks</x:v>
      </x:c>
      <x:c r="E2459" s="13" t="str">
        <x:v>Financials Non-Banks</x:v>
      </x:c>
      <x:c r="F2459" s="13" t="str">
        <x:v>Financials</x:v>
      </x:c>
      <x:c r="G2459" s="13" t="str">
        <x:v>grid_wekqfxnd.xlsx</x:v>
      </x:c>
    </x:row>
    <x:row r="2460">
      <x:c r="A2460" s="15" t="n">
        <x:v>41395</x:v>
      </x:c>
      <x:c r="B2460" s="13" t="str">
        <x:v>CIELO SA - INSTITUICAO DE PA</x:v>
      </x:c>
      <x:c r="C2460" s="16" t="n">
        <x:v>2651.5621467178</x:v>
      </x:c>
      <x:c r="D2460" s="13" t="str">
        <x:v>Financials Non-Banks</x:v>
      </x:c>
      <x:c r="E2460" s="13" t="str">
        <x:v>Financials Non-Banks</x:v>
      </x:c>
      <x:c r="F2460" s="13" t="str">
        <x:v>Financials</x:v>
      </x:c>
      <x:c r="G2460" s="13" t="str">
        <x:v>grid_wekqfxnd.xlsx</x:v>
      </x:c>
    </x:row>
    <x:row r="2461">
      <x:c r="A2461" s="15" t="n">
        <x:v>41395</x:v>
      </x:c>
      <x:c r="B2461" s="13" t="str">
        <x:v>ITAUSA SA</x:v>
      </x:c>
      <x:c r="C2461" s="16" t="n">
        <x:v>6211.7330102356</x:v>
      </x:c>
      <x:c r="D2461" s="13" t="str">
        <x:v>Financials Non-Banks</x:v>
      </x:c>
      <x:c r="E2461" s="13" t="str">
        <x:v>Financials Non-Banks</x:v>
      </x:c>
      <x:c r="F2461" s="13" t="str">
        <x:v>Financials</x:v>
      </x:c>
      <x:c r="G2461" s="13" t="str">
        <x:v>grid_wekqfxnd.xlsx</x:v>
      </x:c>
    </x:row>
    <x:row r="2462">
      <x:c r="A2462" s="15" t="n">
        <x:v>41395</x:v>
      </x:c>
      <x:c r="B2462" s="13" t="str">
        <x:v>AMBEV SA</x:v>
      </x:c>
      <x:c r="C2462" s="16" t="n">
        <x:v>11538.4731619945</x:v>
      </x:c>
      <x:c r="D2462" s="13" t="str">
        <x:v>Food &amp; Beverages</x:v>
      </x:c>
      <x:c r="E2462" s="13" t="str">
        <x:v>Agri, Food &amp; Beverages</x:v>
      </x:c>
      <x:c r="F2462" s="13" t="str">
        <x:v>Defensives</x:v>
      </x:c>
      <x:c r="G2462" s="13" t="str">
        <x:v>grid_wekqfxnd.xlsx</x:v>
      </x:c>
    </x:row>
    <x:row r="2463">
      <x:c r="A2463" s="15" t="n">
        <x:v>41395</x:v>
      </x:c>
      <x:c r="B2463" s="13" t="str">
        <x:v>BRF SA</x:v>
      </x:c>
      <x:c r="C2463" s="16" t="n">
        <x:v>2097.1402099726</x:v>
      </x:c>
      <x:c r="D2463" s="13" t="str">
        <x:v>Food &amp; Beverages</x:v>
      </x:c>
      <x:c r="E2463" s="13" t="str">
        <x:v>Agri, Food &amp; Beverages</x:v>
      </x:c>
      <x:c r="F2463" s="13" t="str">
        <x:v>Defensives</x:v>
      </x:c>
      <x:c r="G2463" s="13" t="str">
        <x:v>grid_wekqfxnd.xlsx</x:v>
      </x:c>
    </x:row>
    <x:row r="2464">
      <x:c r="A2464" s="15" t="n">
        <x:v>41395</x:v>
      </x:c>
      <x:c r="B2464" s="13" t="str">
        <x:v>MBRF GLOBAL FOODS COMPANY SA</x:v>
      </x:c>
      <x:c r="C2464" s="16" t="n">
        <x:v>293.6638356164</x:v>
      </x:c>
      <x:c r="D2464" s="13" t="str">
        <x:v>Food &amp; Beverages</x:v>
      </x:c>
      <x:c r="E2464" s="13" t="str">
        <x:v>Agri, Food &amp; Beverages</x:v>
      </x:c>
      <x:c r="F2464" s="13" t="str">
        <x:v>Defensives</x:v>
      </x:c>
      <x:c r="G2464" s="13" t="str">
        <x:v>grid_wekqfxnd.xlsx</x:v>
      </x:c>
    </x:row>
    <x:row r="2465">
      <x:c r="A2465" s="15" t="n">
        <x:v>41395</x:v>
      </x:c>
      <x:c r="B2465" s="13" t="str">
        <x:v>SOUZA CRUZ LTDA</x:v>
      </x:c>
      <x:c r="C2465" s="16" t="n">
        <x:v>1918.2663013699</x:v>
      </x:c>
      <x:c r="D2465" s="13" t="str">
        <x:v>Food &amp; Beverages</x:v>
      </x:c>
      <x:c r="E2465" s="13" t="str">
        <x:v>Agri, Food &amp; Beverages</x:v>
      </x:c>
      <x:c r="F2465" s="13" t="str">
        <x:v>Defensives</x:v>
      </x:c>
      <x:c r="G2465" s="13" t="str">
        <x:v>grid_wekqfxnd.xlsx</x:v>
      </x:c>
    </x:row>
    <x:row r="2466">
      <x:c r="A2466" s="15" t="n">
        <x:v>41395</x:v>
      </x:c>
      <x:c r="B2466" s="13" t="str">
        <x:v>DIAGNOSTICOS DA AMERICA SA</x:v>
      </x:c>
      <x:c r="C2466" s="16" t="n">
        <x:v>179.5864166575</x:v>
      </x:c>
      <x:c r="D2466" s="13" t="str">
        <x:v>Health Care</x:v>
      </x:c>
      <x:c r="E2466" s="13" t="str">
        <x:v>Health Care</x:v>
      </x:c>
      <x:c r="F2466" s="13" t="str">
        <x:v>Defensives</x:v>
      </x:c>
      <x:c r="G2466" s="13" t="str">
        <x:v>grid_wekqfxnd.xlsx</x:v>
      </x:c>
    </x:row>
    <x:row r="2467">
      <x:c r="A2467" s="15" t="n">
        <x:v>41395</x:v>
      </x:c>
      <x:c r="B2467" s="13" t="str">
        <x:v>HYPERA SA</x:v>
      </x:c>
      <x:c r="C2467" s="16" t="n">
        <x:v>453.2371344658</x:v>
      </x:c>
      <x:c r="D2467" s="13" t="str">
        <x:v>Health Care</x:v>
      </x:c>
      <x:c r="E2467" s="13" t="str">
        <x:v>Health Care</x:v>
      </x:c>
      <x:c r="F2467" s="13" t="str">
        <x:v>Defensives</x:v>
      </x:c>
      <x:c r="G2467" s="13" t="str">
        <x:v>grid_wekqfxnd.xlsx</x:v>
      </x:c>
    </x:row>
    <x:row r="2468">
      <x:c r="A2468" s="15" t="n">
        <x:v>41395</x:v>
      </x:c>
      <x:c r="B2468" s="13" t="str">
        <x:v>CYRELA BRAZIL REALTY SA EMP</x:v>
      </x:c>
      <x:c r="C2468" s="16" t="n">
        <x:v>876.7548792986</x:v>
      </x:c>
      <x:c r="D2468" s="13" t="str">
        <x:v>Homebuilders</x:v>
      </x:c>
      <x:c r="E2468" s="13" t="str">
        <x:v>Real Estate</x:v>
      </x:c>
      <x:c r="F2468" s="13" t="str">
        <x:v>Early Cyclicals</x:v>
      </x:c>
      <x:c r="G2468" s="13" t="str">
        <x:v>grid_wekqfxnd.xlsx</x:v>
      </x:c>
    </x:row>
    <x:row r="2469">
      <x:c r="A2469" s="15" t="n">
        <x:v>41395</x:v>
      </x:c>
      <x:c r="B2469" s="13" t="str">
        <x:v>GAFISA SA</x:v>
      </x:c>
      <x:c r="C2469" s="16" t="n">
        <x:v>151.2352500164</x:v>
      </x:c>
      <x:c r="D2469" s="13" t="str">
        <x:v>Homebuilders</x:v>
      </x:c>
      <x:c r="E2469" s="13" t="str">
        <x:v>Real Estate</x:v>
      </x:c>
      <x:c r="F2469" s="13" t="str">
        <x:v>Early Cyclicals</x:v>
      </x:c>
      <x:c r="G2469" s="13" t="str">
        <x:v>grid_wekqfxnd.xlsx</x:v>
      </x:c>
    </x:row>
    <x:row r="2470">
      <x:c r="A2470" s="15" t="n">
        <x:v>41395</x:v>
      </x:c>
      <x:c r="B2470" s="13" t="str">
        <x:v>MRV ENGENHARIA</x:v>
      </x:c>
      <x:c r="C2470" s="16" t="n">
        <x:v>549.9795457753</x:v>
      </x:c>
      <x:c r="D2470" s="13" t="str">
        <x:v>Homebuilders</x:v>
      </x:c>
      <x:c r="E2470" s="13" t="str">
        <x:v>Real Estate</x:v>
      </x:c>
      <x:c r="F2470" s="13" t="str">
        <x:v>Early Cyclicals</x:v>
      </x:c>
      <x:c r="G2470" s="13" t="str">
        <x:v>grid_wekqfxnd.xlsx</x:v>
      </x:c>
    </x:row>
    <x:row r="2471">
      <x:c r="A2471" s="15" t="n">
        <x:v>41395</x:v>
      </x:c>
      <x:c r="B2471" s="13" t="str">
        <x:v>PDG REALTY SA</x:v>
      </x:c>
      <x:c r="C2471" s="16" t="n">
        <x:v>190.6592115288</x:v>
      </x:c>
      <x:c r="D2471" s="13" t="str">
        <x:v>Homebuilders</x:v>
      </x:c>
      <x:c r="E2471" s="13" t="str">
        <x:v>Real Estate</x:v>
      </x:c>
      <x:c r="F2471" s="13" t="str">
        <x:v>Early Cyclicals</x:v>
      </x:c>
      <x:c r="G2471" s="13" t="str">
        <x:v>grid_wekqfxnd.xlsx</x:v>
      </x:c>
    </x:row>
    <x:row r="2472">
      <x:c r="A2472" s="15" t="n">
        <x:v>41395</x:v>
      </x:c>
      <x:c r="B2472" s="13" t="str">
        <x:v>ROSSI RESIDENCIAL SA</x:v>
      </x:c>
      <x:c r="C2472" s="16" t="n">
        <x:v>169.9117090192</x:v>
      </x:c>
      <x:c r="D2472" s="13" t="str">
        <x:v>Homebuilders</x:v>
      </x:c>
      <x:c r="E2472" s="13" t="str">
        <x:v>Real Estate</x:v>
      </x:c>
      <x:c r="F2472" s="13" t="str">
        <x:v>Early Cyclicals</x:v>
      </x:c>
      <x:c r="G2472" s="13" t="str">
        <x:v>grid_wekqfxnd.xlsx</x:v>
      </x:c>
    </x:row>
    <x:row r="2473">
      <x:c r="A2473" s="15" t="n">
        <x:v>41395</x:v>
      </x:c>
      <x:c r="B2473" s="13" t="str">
        <x:v>TEGRA INCORPORADORA SA</x:v>
      </x:c>
      <x:c r="C2473" s="16" t="n">
        <x:v>258.4529367671</x:v>
      </x:c>
      <x:c r="D2473" s="13" t="str">
        <x:v>Homebuilders</x:v>
      </x:c>
      <x:c r="E2473" s="13" t="str">
        <x:v>Real Estate</x:v>
      </x:c>
      <x:c r="F2473" s="13" t="str">
        <x:v>Early Cyclicals</x:v>
      </x:c>
      <x:c r="G2473" s="13" t="str">
        <x:v>grid_wekqfxnd.xlsx</x:v>
      </x:c>
    </x:row>
    <x:row r="2474">
      <x:c r="A2474" s="15" t="n">
        <x:v>41395</x:v>
      </x:c>
      <x:c r="B2474" s="13" t="str">
        <x:v>BR MALLS PARTICIPACOES SA</x:v>
      </x:c>
      <x:c r="C2474" s="16" t="n">
        <x:v>588.8739526137</x:v>
      </x:c>
      <x:c r="D2474" s="13" t="str">
        <x:v>Income Properties</x:v>
      </x:c>
      <x:c r="E2474" s="13" t="str">
        <x:v>Real Estate</x:v>
      </x:c>
      <x:c r="F2474" s="13" t="str">
        <x:v>Early Cyclicals</x:v>
      </x:c>
      <x:c r="G2474" s="13" t="str">
        <x:v>grid_wekqfxnd.xlsx</x:v>
      </x:c>
    </x:row>
    <x:row r="2475">
      <x:c r="A2475" s="15" t="n">
        <x:v>41395</x:v>
      </x:c>
      <x:c r="B2475" s="13" t="str">
        <x:v>SOLID ATIVOS IMOBILIARIOS SA</x:v>
      </x:c>
      <x:c r="C2475" s="16" t="n">
        <x:v>396.3648876712</x:v>
      </x:c>
      <x:c r="D2475" s="13" t="str">
        <x:v>Income Properties</x:v>
      </x:c>
      <x:c r="E2475" s="13" t="str">
        <x:v>Real Estate</x:v>
      </x:c>
      <x:c r="F2475" s="13" t="str">
        <x:v>Early Cyclicals</x:v>
      </x:c>
      <x:c r="G2475" s="13" t="str">
        <x:v>grid_wekqfxnd.xlsx</x:v>
      </x:c>
    </x:row>
    <x:row r="2476">
      <x:c r="A2476" s="15" t="n">
        <x:v>41395</x:v>
      </x:c>
      <x:c r="B2476" s="13" t="str">
        <x:v>BRADESPAR SA -PREF</x:v>
      </x:c>
      <x:c r="C2476" s="16" t="n">
        <x:v>1272.6726347397</x:v>
      </x:c>
      <x:c r="D2476" s="13" t="str">
        <x:v>Metals &amp; Mining</x:v>
      </x:c>
      <x:c r="E2476" s="13" t="str">
        <x:v>Metals &amp; Mining</x:v>
      </x:c>
      <x:c r="F2476" s="13" t="str">
        <x:v>Deep Cyclicals</x:v>
      </x:c>
      <x:c r="G2476" s="13" t="str">
        <x:v>grid_wekqfxnd.xlsx</x:v>
      </x:c>
    </x:row>
    <x:row r="2477">
      <x:c r="A2477" s="15" t="n">
        <x:v>41395</x:v>
      </x:c>
      <x:c r="B2477" s="13" t="str">
        <x:v>CIA SIDERURGICA NACIONAL SA</x:v>
      </x:c>
      <x:c r="C2477" s="16" t="n">
        <x:v>1008.4049162521</x:v>
      </x:c>
      <x:c r="D2477" s="13" t="str">
        <x:v>Metals &amp; Mining</x:v>
      </x:c>
      <x:c r="E2477" s="13" t="str">
        <x:v>Metals &amp; Mining</x:v>
      </x:c>
      <x:c r="F2477" s="13" t="str">
        <x:v>Deep Cyclicals</x:v>
      </x:c>
      <x:c r="G2477" s="13" t="str">
        <x:v>grid_wekqfxnd.xlsx</x:v>
      </x:c>
    </x:row>
    <x:row r="2478">
      <x:c r="A2478" s="15" t="n">
        <x:v>41395</x:v>
      </x:c>
      <x:c r="B2478" s="13" t="str">
        <x:v>GERDAU SA-PREF</x:v>
      </x:c>
      <x:c r="C2478" s="16" t="n">
        <x:v>1671.5309326027</x:v>
      </x:c>
      <x:c r="D2478" s="13" t="str">
        <x:v>Metals &amp; Mining</x:v>
      </x:c>
      <x:c r="E2478" s="13" t="str">
        <x:v>Metals &amp; Mining</x:v>
      </x:c>
      <x:c r="F2478" s="13" t="str">
        <x:v>Deep Cyclicals</x:v>
      </x:c>
      <x:c r="G2478" s="13" t="str">
        <x:v>grid_wekqfxnd.xlsx</x:v>
      </x:c>
    </x:row>
    <x:row r="2479">
      <x:c r="A2479" s="15" t="n">
        <x:v>41395</x:v>
      </x:c>
      <x:c r="B2479" s="13" t="str">
        <x:v>METALURGICA GERDAU SA-PREF</x:v>
      </x:c>
      <x:c r="C2479" s="16" t="n">
        <x:v>697.0465753425</x:v>
      </x:c>
      <x:c r="D2479" s="13" t="str">
        <x:v>Metals &amp; Mining</x:v>
      </x:c>
      <x:c r="E2479" s="13" t="str">
        <x:v>Metals &amp; Mining</x:v>
      </x:c>
      <x:c r="F2479" s="13" t="str">
        <x:v>Deep Cyclicals</x:v>
      </x:c>
      <x:c r="G2479" s="13" t="str">
        <x:v>grid_wekqfxnd.xlsx</x:v>
      </x:c>
    </x:row>
    <x:row r="2480">
      <x:c r="A2480" s="15" t="n">
        <x:v>41395</x:v>
      </x:c>
      <x:c r="B2480" s="13" t="str">
        <x:v>MMX MINERACAO E METALICOS SA</x:v>
      </x:c>
      <x:c r="C2480" s="16" t="n">
        <x:v>-63.8867410959</x:v>
      </x:c>
      <x:c r="D2480" s="13" t="str">
        <x:v>Metals &amp; Mining</x:v>
      </x:c>
      <x:c r="E2480" s="13" t="str">
        <x:v>Metals &amp; Mining</x:v>
      </x:c>
      <x:c r="F2480" s="13" t="str">
        <x:v>Deep Cyclicals</x:v>
      </x:c>
      <x:c r="G2480" s="13" t="str">
        <x:v>grid_wekqfxnd.xlsx</x:v>
      </x:c>
    </x:row>
    <x:row r="2481">
      <x:c r="A2481" s="15" t="n">
        <x:v>41395</x:v>
      </x:c>
      <x:c r="B2481" s="13" t="str">
        <x:v>USINAS SIDER MINAS GER-PF A</x:v>
      </x:c>
      <x:c r="C2481" s="16" t="n">
        <x:v>391.0736914411</x:v>
      </x:c>
      <x:c r="D2481" s="13" t="str">
        <x:v>Metals &amp; Mining</x:v>
      </x:c>
      <x:c r="E2481" s="13" t="str">
        <x:v>Metals &amp; Mining</x:v>
      </x:c>
      <x:c r="F2481" s="13" t="str">
        <x:v>Deep Cyclicals</x:v>
      </x:c>
      <x:c r="G2481" s="13" t="str">
        <x:v>grid_wekqfxnd.xlsx</x:v>
      </x:c>
    </x:row>
    <x:row r="2482">
      <x:c r="A2482" s="15" t="n">
        <x:v>41395</x:v>
      </x:c>
      <x:c r="B2482" s="13" t="str">
        <x:v>USINAS SIDERURGICAS DE MINAS</x:v>
      </x:c>
      <x:c r="C2482" s="16" t="n">
        <x:v>391.0736914411</x:v>
      </x:c>
      <x:c r="D2482" s="13" t="str">
        <x:v>Metals &amp; Mining</x:v>
      </x:c>
      <x:c r="E2482" s="13" t="str">
        <x:v>Metals &amp; Mining</x:v>
      </x:c>
      <x:c r="F2482" s="13" t="str">
        <x:v>Deep Cyclicals</x:v>
      </x:c>
      <x:c r="G2482" s="13" t="str">
        <x:v>grid_wekqfxnd.xlsx</x:v>
      </x:c>
    </x:row>
    <x:row r="2483">
      <x:c r="A2483" s="15" t="n">
        <x:v>41395</x:v>
      </x:c>
      <x:c r="B2483" s="13" t="str">
        <x:v>VALE SA</x:v>
      </x:c>
      <x:c r="C2483" s="16" t="n">
        <x:v>24089.4647927233</x:v>
      </x:c>
      <x:c r="D2483" s="13" t="str">
        <x:v>Metals &amp; Mining</x:v>
      </x:c>
      <x:c r="E2483" s="13" t="str">
        <x:v>Metals &amp; Mining</x:v>
      </x:c>
      <x:c r="F2483" s="13" t="str">
        <x:v>Deep Cyclicals</x:v>
      </x:c>
      <x:c r="G2483" s="13" t="str">
        <x:v>grid_wekqfxnd.xlsx</x:v>
      </x:c>
    </x:row>
    <x:row r="2484">
      <x:c r="A2484" s="15" t="n">
        <x:v>41395</x:v>
      </x:c>
      <x:c r="B2484" s="13" t="str">
        <x:v>BRASKEM SA-PREF A</x:v>
      </x:c>
      <x:c r="C2484" s="16" t="n">
        <x:v>916.0194130411</x:v>
      </x:c>
      <x:c r="D2484" s="13" t="str">
        <x:v>Oil, Gas &amp; Petrochemicals</x:v>
      </x:c>
      <x:c r="E2484" s="13" t="str">
        <x:v>Oil, Gas &amp; Petrochemicals</x:v>
      </x:c>
      <x:c r="F2484" s="13" t="str">
        <x:v>Deep Cyclicals</x:v>
      </x:c>
      <x:c r="G2484" s="13" t="str">
        <x:v>grid_wekqfxnd.xlsx</x:v>
      </x:c>
    </x:row>
    <x:row r="2485">
      <x:c r="A2485" s="15" t="n">
        <x:v>41395</x:v>
      </x:c>
      <x:c r="B2485" s="13" t="str">
        <x:v>OLEO E GAS PARTICIPACOES SA</x:v>
      </x:c>
      <x:c r="C2485" s="16" t="n">
        <x:v>-349.9655483945</x:v>
      </x:c>
      <x:c r="D2485" s="13" t="str">
        <x:v>Oil, Gas &amp; Petrochemicals</x:v>
      </x:c>
      <x:c r="E2485" s="13" t="str">
        <x:v>Oil, Gas &amp; Petrochemicals</x:v>
      </x:c>
      <x:c r="F2485" s="13" t="str">
        <x:v>Deep Cyclicals</x:v>
      </x:c>
      <x:c r="G2485" s="13" t="str">
        <x:v>grid_wekqfxnd.xlsx</x:v>
      </x:c>
    </x:row>
    <x:row r="2486">
      <x:c r="A2486" s="15" t="n">
        <x:v>41395</x:v>
      </x:c>
      <x:c r="B2486" s="13" t="str">
        <x:v>PETROBRAS - PETROLEO BRAS</x:v>
      </x:c>
      <x:c r="C2486" s="16" t="n">
        <x:v>33619.1760243726</x:v>
      </x:c>
      <x:c r="D2486" s="13" t="str">
        <x:v>Oil, Gas &amp; Petrochemicals</x:v>
      </x:c>
      <x:c r="E2486" s="13" t="str">
        <x:v>Oil, Gas &amp; Petrochemicals</x:v>
      </x:c>
      <x:c r="F2486" s="13" t="str">
        <x:v>Deep Cyclicals</x:v>
      </x:c>
      <x:c r="G2486" s="13" t="str">
        <x:v>grid_wekqfxnd.xlsx</x:v>
      </x:c>
    </x:row>
    <x:row r="2487">
      <x:c r="A2487" s="15" t="n">
        <x:v>41395</x:v>
      </x:c>
      <x:c r="B2487" s="13" t="str">
        <x:v>ULTRAPAR PARTICIPACOES SA</x:v>
      </x:c>
      <x:c r="C2487" s="16" t="n">
        <x:v>1278.8864469918</x:v>
      </x:c>
      <x:c r="D2487" s="13" t="str">
        <x:v>Oil, Gas &amp; Petrochemicals</x:v>
      </x:c>
      <x:c r="E2487" s="13" t="str">
        <x:v>Oil, Gas &amp; Petrochemicals</x:v>
      </x:c>
      <x:c r="F2487" s="13" t="str">
        <x:v>Deep Cyclicals</x:v>
      </x:c>
      <x:c r="G2487" s="13" t="str">
        <x:v>grid_wekqfxnd.xlsx</x:v>
      </x:c>
    </x:row>
    <x:row r="2488">
      <x:c r="A2488" s="15" t="n">
        <x:v>41395</x:v>
      </x:c>
      <x:c r="B2488" s="13" t="str">
        <x:v>DEXCO SA</x:v>
      </x:c>
      <x:c r="C2488" s="16" t="n">
        <x:v>555.4435336767</x:v>
      </x:c>
      <x:c r="D2488" s="13" t="str">
        <x:v>Pulp &amp; Paper</x:v>
      </x:c>
      <x:c r="E2488" s="13" t="str">
        <x:v>Pulp &amp; Paper</x:v>
      </x:c>
      <x:c r="F2488" s="13" t="str">
        <x:v>Deep Cyclicals</x:v>
      </x:c>
      <x:c r="G2488" s="13" t="str">
        <x:v>grid_wekqfxnd.xlsx</x:v>
      </x:c>
    </x:row>
    <x:row r="2489">
      <x:c r="A2489" s="15" t="n">
        <x:v>41395</x:v>
      </x:c>
      <x:c r="B2489" s="13" t="str">
        <x:v>FIBRIA CELULOSE S/A</x:v>
      </x:c>
      <x:c r="C2489" s="16" t="n">
        <x:v>218.0566839233</x:v>
      </x:c>
      <x:c r="D2489" s="13" t="str">
        <x:v>Pulp &amp; Paper</x:v>
      </x:c>
      <x:c r="E2489" s="13" t="str">
        <x:v>Pulp &amp; Paper</x:v>
      </x:c>
      <x:c r="F2489" s="13" t="str">
        <x:v>Deep Cyclicals</x:v>
      </x:c>
      <x:c r="G2489" s="13" t="str">
        <x:v>grid_wekqfxnd.xlsx</x:v>
      </x:c>
    </x:row>
    <x:row r="2490">
      <x:c r="A2490" s="15" t="n">
        <x:v>41395</x:v>
      </x:c>
      <x:c r="B2490" s="13" t="str">
        <x:v>SUZANO PAPEL E CELULO-PREF A</x:v>
      </x:c>
      <x:c r="C2490" s="16" t="n">
        <x:v>282.9628542247</x:v>
      </x:c>
      <x:c r="D2490" s="13" t="str">
        <x:v>Pulp &amp; Paper</x:v>
      </x:c>
      <x:c r="E2490" s="13" t="str">
        <x:v>Pulp &amp; Paper</x:v>
      </x:c>
      <x:c r="F2490" s="13" t="str">
        <x:v>Deep Cyclicals</x:v>
      </x:c>
      <x:c r="G2490" s="13" t="str">
        <x:v>grid_wekqfxnd.xlsx</x:v>
      </x:c>
    </x:row>
    <x:row r="2491">
      <x:c r="A2491" s="15" t="n">
        <x:v>41395</x:v>
      </x:c>
      <x:c r="B2491" s="13" t="str">
        <x:v>AMERICANAS SA</x:v>
      </x:c>
      <x:c r="C2491" s="16" t="n">
        <x:v>-117.3855134247</x:v>
      </x:c>
      <x:c r="D2491" s="13" t="str">
        <x:v>Retail</x:v>
      </x:c>
      <x:c r="E2491" s="13" t="str">
        <x:v>Retail</x:v>
      </x:c>
      <x:c r="F2491" s="13" t="str">
        <x:v>Early Cyclicals</x:v>
      </x:c>
      <x:c r="G2491" s="13" t="str">
        <x:v>grid_wekqfxnd.xlsx</x:v>
      </x:c>
    </x:row>
    <x:row r="2492">
      <x:c r="A2492" s="15" t="n">
        <x:v>41395</x:v>
      </x:c>
      <x:c r="B2492" s="13" t="str">
        <x:v>CIA BRASILEIRA DE DIS-PREF</x:v>
      </x:c>
      <x:c r="C2492" s="16" t="n">
        <x:v>1347.7853944986</x:v>
      </x:c>
      <x:c r="D2492" s="13" t="str">
        <x:v>Retail</x:v>
      </x:c>
      <x:c r="E2492" s="13" t="str">
        <x:v>Retail</x:v>
      </x:c>
      <x:c r="F2492" s="13" t="str">
        <x:v>Early Cyclicals</x:v>
      </x:c>
      <x:c r="G2492" s="13" t="str">
        <x:v>grid_wekqfxnd.xlsx</x:v>
      </x:c>
    </x:row>
    <x:row r="2493">
      <x:c r="A2493" s="15" t="n">
        <x:v>41395</x:v>
      </x:c>
      <x:c r="B2493" s="13" t="str">
        <x:v>CIA HERING</x:v>
      </x:c>
      <x:c r="C2493" s="16" t="n">
        <x:v>366.8147945205</x:v>
      </x:c>
      <x:c r="D2493" s="13" t="str">
        <x:v>Retail</x:v>
      </x:c>
      <x:c r="E2493" s="13" t="str">
        <x:v>Retail</x:v>
      </x:c>
      <x:c r="F2493" s="13" t="str">
        <x:v>Early Cyclicals</x:v>
      </x:c>
      <x:c r="G2493" s="13" t="str">
        <x:v>grid_wekqfxnd.xlsx</x:v>
      </x:c>
    </x:row>
    <x:row r="2494">
      <x:c r="A2494" s="15" t="n">
        <x:v>41395</x:v>
      </x:c>
      <x:c r="B2494" s="13" t="str">
        <x:v>LOJAS AMERICANAS SA-PREF</x:v>
      </x:c>
      <x:c r="C2494" s="16" t="n">
        <x:v>585.998867463</x:v>
      </x:c>
      <x:c r="D2494" s="13" t="str">
        <x:v>Retail</x:v>
      </x:c>
      <x:c r="E2494" s="13" t="str">
        <x:v>Retail</x:v>
      </x:c>
      <x:c r="F2494" s="13" t="str">
        <x:v>Early Cyclicals</x:v>
      </x:c>
      <x:c r="G2494" s="13" t="str">
        <x:v>grid_wekqfxnd.xlsx</x:v>
      </x:c>
    </x:row>
    <x:row r="2495">
      <x:c r="A2495" s="15" t="n">
        <x:v>41395</x:v>
      </x:c>
      <x:c r="B2495" s="13" t="str">
        <x:v>LOJAS RENNER S.A.</x:v>
      </x:c>
      <x:c r="C2495" s="16" t="n">
        <x:v>459.7532659726</x:v>
      </x:c>
      <x:c r="D2495" s="13" t="str">
        <x:v>Retail</x:v>
      </x:c>
      <x:c r="E2495" s="13" t="str">
        <x:v>Retail</x:v>
      </x:c>
      <x:c r="F2495" s="13" t="str">
        <x:v>Early Cyclicals</x:v>
      </x:c>
      <x:c r="G2495" s="13" t="str">
        <x:v>grid_wekqfxnd.xlsx</x:v>
      </x:c>
    </x:row>
    <x:row r="2496">
      <x:c r="A2496" s="15" t="n">
        <x:v>41395</x:v>
      </x:c>
      <x:c r="B2496" s="13" t="str">
        <x:v>NATURA COSMETICOS SA</x:v>
      </x:c>
      <x:c r="C2496" s="16" t="n">
        <x:v>1008.4801381699</x:v>
      </x:c>
      <x:c r="D2496" s="13" t="str">
        <x:v>Retail</x:v>
      </x:c>
      <x:c r="E2496" s="13" t="str">
        <x:v>Retail</x:v>
      </x:c>
      <x:c r="F2496" s="13" t="str">
        <x:v>Early Cyclicals</x:v>
      </x:c>
      <x:c r="G2496" s="13" t="str">
        <x:v>grid_wekqfxnd.xlsx</x:v>
      </x:c>
    </x:row>
    <x:row r="2497">
      <x:c r="A2497" s="15" t="n">
        <x:v>41395</x:v>
      </x:c>
      <x:c r="B2497" s="13" t="str">
        <x:v>CIA SANEAMENTO BASICO DE SP</x:v>
      </x:c>
      <x:c r="C2497" s="16" t="n">
        <x:v>2189.1169350137</x:v>
      </x:c>
      <x:c r="D2497" s="13" t="str">
        <x:v>Sanitation</x:v>
      </x:c>
      <x:c r="E2497" s="13" t="str">
        <x:v>Utilities</x:v>
      </x:c>
      <x:c r="F2497" s="13" t="str">
        <x:v>Defensives</x:v>
      </x:c>
      <x:c r="G2497" s="13" t="str">
        <x:v>grid_wekqfxnd.xlsx</x:v>
      </x:c>
    </x:row>
    <x:row r="2498">
      <x:c r="A2498" s="15" t="n">
        <x:v>41395</x:v>
      </x:c>
      <x:c r="B2498" s="13" t="str">
        <x:v>OI S.A.</x:v>
      </x:c>
      <x:c r="C2498" s="16" t="n">
        <x:v>926.6595843507</x:v>
      </x:c>
      <x:c r="D2498" s="13" t="str">
        <x:v>TMT</x:v>
      </x:c>
      <x:c r="E2498" s="13" t="str">
        <x:v>TMT</x:v>
      </x:c>
      <x:c r="F2498" s="13" t="str">
        <x:v>Early Cyclicals</x:v>
      </x:c>
      <x:c r="G2498" s="13" t="str">
        <x:v>grid_wekqfxnd.xlsx</x:v>
      </x:c>
    </x:row>
    <x:row r="2499">
      <x:c r="A2499" s="15" t="n">
        <x:v>41395</x:v>
      </x:c>
      <x:c r="B2499" s="13" t="str">
        <x:v>OI SA-PREFERENCE</x:v>
      </x:c>
      <x:c r="C2499" s="16" t="n">
        <x:v>926.6595843507</x:v>
      </x:c>
      <x:c r="D2499" s="13" t="str">
        <x:v>TMT</x:v>
      </x:c>
      <x:c r="E2499" s="13" t="str">
        <x:v>TMT</x:v>
      </x:c>
      <x:c r="F2499" s="13" t="str">
        <x:v>Early Cyclicals</x:v>
      </x:c>
      <x:c r="G2499" s="13" t="str">
        <x:v>grid_wekqfxnd.xlsx</x:v>
      </x:c>
    </x:row>
    <x:row r="2500">
      <x:c r="A2500" s="15" t="n">
        <x:v>41395</x:v>
      </x:c>
      <x:c r="B2500" s="13" t="str">
        <x:v>TELEFONICA BRASIL S.A.-PREF</x:v>
      </x:c>
      <x:c r="C2500" s="16" t="n">
        <x:v>4690.9857567562</x:v>
      </x:c>
      <x:c r="D2500" s="13" t="str">
        <x:v>TMT</x:v>
      </x:c>
      <x:c r="E2500" s="13" t="str">
        <x:v>TMT</x:v>
      </x:c>
      <x:c r="F2500" s="13" t="str">
        <x:v>Early Cyclicals</x:v>
      </x:c>
      <x:c r="G2500" s="13" t="str">
        <x:v>grid_wekqfxnd.xlsx</x:v>
      </x:c>
    </x:row>
    <x:row r="2501">
      <x:c r="A2501" s="15" t="n">
        <x:v>41395</x:v>
      </x:c>
      <x:c r="B2501" s="13" t="str">
        <x:v>TIM SA</x:v>
      </x:c>
      <x:c r="C2501" s="16" t="n">
        <x:v>1697.4188382685</x:v>
      </x:c>
      <x:c r="D2501" s="13" t="str">
        <x:v>TMT</x:v>
      </x:c>
      <x:c r="E2501" s="13" t="str">
        <x:v>TMT</x:v>
      </x:c>
      <x:c r="F2501" s="13" t="str">
        <x:v>Early Cyclicals</x:v>
      </x:c>
      <x:c r="G2501" s="13" t="str">
        <x:v>grid_wekqfxnd.xlsx</x:v>
      </x:c>
    </x:row>
    <x:row r="2502">
      <x:c r="A2502" s="15" t="n">
        <x:v>41395</x:v>
      </x:c>
      <x:c r="B2502" s="13" t="str">
        <x:v>GOL LINHAS AEREAS INT SA-PRE</x:v>
      </x:c>
      <x:c r="C2502" s="16" t="n">
        <x:v>-13.0391739616</x:v>
      </x:c>
      <x:c r="D2502" s="13" t="str">
        <x:v>Transportation</x:v>
      </x:c>
      <x:c r="E2502" s="13" t="str">
        <x:v>Transportation</x:v>
      </x:c>
      <x:c r="F2502" s="13" t="str">
        <x:v>Deep Cyclicals</x:v>
      </x:c>
      <x:c r="G2502" s="13" t="str">
        <x:v>grid_wekqfxnd.xlsx</x:v>
      </x:c>
    </x:row>
    <x:row r="2503">
      <x:c r="A2503" s="15" t="n">
        <x:v>41395</x:v>
      </x:c>
      <x:c r="B2503" s="13" t="str">
        <x:v>LOCALIZA RENT A CAR</x:v>
      </x:c>
      <x:c r="C2503" s="16" t="n">
        <x:v>381.1597260274</x:v>
      </x:c>
      <x:c r="D2503" s="13" t="str">
        <x:v>Transportation</x:v>
      </x:c>
      <x:c r="E2503" s="13" t="str">
        <x:v>Transportation</x:v>
      </x:c>
      <x:c r="F2503" s="13" t="str">
        <x:v>Deep Cyclicals</x:v>
      </x:c>
      <x:c r="G2503" s="13" t="str">
        <x:v>grid_wekqfxnd.xlsx</x:v>
      </x:c>
    </x:row>
    <x:row r="2504">
      <x:c r="A2504" s="15" t="n">
        <x:v>41395</x:v>
      </x:c>
      <x:c r="B2504" s="13" t="str">
        <x:v>MOTIVA INFRAESTRUTURA DE MOB</x:v>
      </x:c>
      <x:c r="C2504" s="16" t="n">
        <x:v>1713.9998716493</x:v>
      </x:c>
      <x:c r="D2504" s="13" t="str">
        <x:v>Transportation</x:v>
      </x:c>
      <x:c r="E2504" s="13" t="str">
        <x:v>Transportation</x:v>
      </x:c>
      <x:c r="F2504" s="13" t="str">
        <x:v>Deep Cyclicals</x:v>
      </x:c>
      <x:c r="G2504" s="13" t="str">
        <x:v>grid_wekqfxnd.xlsx</x:v>
      </x:c>
    </x:row>
    <x:row r="2505">
      <x:c r="A2505" s="15" t="n">
        <x:v>41395</x:v>
      </x:c>
      <x:c r="B2505" s="13" t="str">
        <x:v>PRUMO LOGISTICA SA</x:v>
      </x:c>
      <x:c r="C2505" s="16" t="n">
        <x:v>-60.9528821918</x:v>
      </x:c>
      <x:c r="D2505" s="13" t="str">
        <x:v>Transportation</x:v>
      </x:c>
      <x:c r="E2505" s="13" t="str">
        <x:v>Transportation</x:v>
      </x:c>
      <x:c r="F2505" s="13" t="str">
        <x:v>Deep Cyclicals</x:v>
      </x:c>
      <x:c r="G2505" s="13" t="str">
        <x:v>grid_wekqfxnd.xlsx</x:v>
      </x:c>
    </x:row>
    <x:row r="2506">
      <x:c r="A2506" s="15" t="n">
        <x:v>41395</x:v>
      </x:c>
      <x:c r="B2506" s="13" t="str">
        <x:v>RUMO SA</x:v>
      </x:c>
      <x:c r="C2506" s="16" t="n">
        <x:v>420.1972622027</x:v>
      </x:c>
      <x:c r="D2506" s="13" t="str">
        <x:v>Transportation</x:v>
      </x:c>
      <x:c r="E2506" s="13" t="str">
        <x:v>Transportation</x:v>
      </x:c>
      <x:c r="F2506" s="13" t="str">
        <x:v>Deep Cyclicals</x:v>
      </x:c>
      <x:c r="G2506" s="13" t="str">
        <x:v>grid_wekqfxnd.xlsx</x:v>
      </x:c>
    </x:row>
    <x:row r="2507">
      <x:c r="A2507" s="15" t="n">
        <x:v>41395</x:v>
      </x:c>
      <x:c r="B2507" s="13" t="str">
        <x:v>AXIA ENERGIA SA</x:v>
      </x:c>
      <x:c r="C2507" s="16" t="n">
        <x:v>1085.5205744219</x:v>
      </x:c>
      <x:c r="D2507" s="13" t="str">
        <x:v>Utilities &amp; Energy</x:v>
      </x:c>
      <x:c r="E2507" s="13" t="str">
        <x:v>Utilities</x:v>
      </x:c>
      <x:c r="F2507" s="13" t="str">
        <x:v>Defensives</x:v>
      </x:c>
      <x:c r="G2507" s="13" t="str">
        <x:v>grid_wekqfxnd.xlsx</x:v>
      </x:c>
    </x:row>
    <x:row r="2508">
      <x:c r="A2508" s="15" t="n">
        <x:v>41395</x:v>
      </x:c>
      <x:c r="B2508" s="13" t="str">
        <x:v>AXIA ENERGIA-PR B</x:v>
      </x:c>
      <x:c r="C2508" s="16" t="n">
        <x:v>1085.5205744219</x:v>
      </x:c>
      <x:c r="D2508" s="13" t="str">
        <x:v>Utilities &amp; Energy</x:v>
      </x:c>
      <x:c r="E2508" s="13" t="str">
        <x:v>Utilities</x:v>
      </x:c>
      <x:c r="F2508" s="13" t="str">
        <x:v>Defensives</x:v>
      </x:c>
      <x:c r="G2508" s="13" t="str">
        <x:v>grid_wekqfxnd.xlsx</x:v>
      </x:c>
    </x:row>
    <x:row r="2509">
      <x:c r="A2509" s="15" t="n">
        <x:v>41395</x:v>
      </x:c>
      <x:c r="B2509" s="13" t="str">
        <x:v>CESP - CIA ENERGETICA DE SAO</x:v>
      </x:c>
      <x:c r="C2509" s="16" t="n">
        <x:v>1268.024442389</x:v>
      </x:c>
      <x:c r="D2509" s="13" t="str">
        <x:v>Utilities &amp; Energy</x:v>
      </x:c>
      <x:c r="E2509" s="13" t="str">
        <x:v>Utilities</x:v>
      </x:c>
      <x:c r="F2509" s="13" t="str">
        <x:v>Defensives</x:v>
      </x:c>
      <x:c r="G2509" s="13" t="str">
        <x:v>grid_wekqfxnd.xlsx</x:v>
      </x:c>
    </x:row>
    <x:row r="2510">
      <x:c r="A2510" s="15" t="n">
        <x:v>41395</x:v>
      </x:c>
      <x:c r="B2510" s="13" t="str">
        <x:v>CIA ENERGETICA MINAS GER-PRF</x:v>
      </x:c>
      <x:c r="C2510" s="16" t="n">
        <x:v>2717.3078626192</x:v>
      </x:c>
      <x:c r="D2510" s="13" t="str">
        <x:v>Utilities &amp; Energy</x:v>
      </x:c>
      <x:c r="E2510" s="13" t="str">
        <x:v>Utilities</x:v>
      </x:c>
      <x:c r="F2510" s="13" t="str">
        <x:v>Defensives</x:v>
      </x:c>
      <x:c r="G2510" s="13" t="str">
        <x:v>grid_wekqfxnd.xlsx</x:v>
      </x:c>
    </x:row>
    <x:row r="2511">
      <x:c r="A2511" s="15" t="n">
        <x:v>41395</x:v>
      </x:c>
      <x:c r="B2511" s="13" t="str">
        <x:v>COMPANHIA PARANAENSE -PREF B</x:v>
      </x:c>
      <x:c r="C2511" s="16" t="n">
        <x:v>1124.3706869479</x:v>
      </x:c>
      <x:c r="D2511" s="13" t="str">
        <x:v>Utilities &amp; Energy</x:v>
      </x:c>
      <x:c r="E2511" s="13" t="str">
        <x:v>Utilities</x:v>
      </x:c>
      <x:c r="F2511" s="13" t="str">
        <x:v>Defensives</x:v>
      </x:c>
      <x:c r="G2511" s="13" t="str">
        <x:v>grid_wekqfxnd.xlsx</x:v>
      </x:c>
    </x:row>
    <x:row r="2512">
      <x:c r="A2512" s="15" t="n">
        <x:v>41395</x:v>
      </x:c>
      <x:c r="B2512" s="13" t="str">
        <x:v>CPFL ENERGIA SA</x:v>
      </x:c>
      <x:c r="C2512" s="16" t="n">
        <x:v>1368.0678656</x:v>
      </x:c>
      <x:c r="D2512" s="13" t="str">
        <x:v>Utilities &amp; Energy</x:v>
      </x:c>
      <x:c r="E2512" s="13" t="str">
        <x:v>Utilities</x:v>
      </x:c>
      <x:c r="F2512" s="13" t="str">
        <x:v>Defensives</x:v>
      </x:c>
      <x:c r="G2512" s="13" t="str">
        <x:v>grid_wekqfxnd.xlsx</x:v>
      </x:c>
    </x:row>
    <x:row r="2513">
      <x:c r="A2513" s="15" t="n">
        <x:v>41395</x:v>
      </x:c>
      <x:c r="B2513" s="13" t="str">
        <x:v>EDP - ENERGIAS DO BRASIL SA</x:v>
      </x:c>
      <x:c r="C2513" s="16" t="n">
        <x:v>569.1517808219</x:v>
      </x:c>
      <x:c r="D2513" s="13" t="str">
        <x:v>Utilities &amp; Energy</x:v>
      </x:c>
      <x:c r="E2513" s="13" t="str">
        <x:v>Utilities</x:v>
      </x:c>
      <x:c r="F2513" s="13" t="str">
        <x:v>Defensives</x:v>
      </x:c>
      <x:c r="G2513" s="13" t="str">
        <x:v>grid_wekqfxnd.xlsx</x:v>
      </x:c>
    </x:row>
    <x:row r="2514">
      <x:c r="A2514" s="15" t="n">
        <x:v>41395</x:v>
      </x:c>
      <x:c r="B2514" s="13" t="str">
        <x:v>ELETROPAULO METROPOLI-PREF</x:v>
      </x:c>
      <x:c r="C2514" s="16" t="n">
        <x:v>15.2845753425</x:v>
      </x:c>
      <x:c r="D2514" s="13" t="str">
        <x:v>Utilities &amp; Energy</x:v>
      </x:c>
      <x:c r="E2514" s="13" t="str">
        <x:v>Utilities</x:v>
      </x:c>
      <x:c r="F2514" s="13" t="str">
        <x:v>Defensives</x:v>
      </x:c>
      <x:c r="G2514" s="13" t="str">
        <x:v>grid_wekqfxnd.xlsx</x:v>
      </x:c>
    </x:row>
    <x:row r="2515">
      <x:c r="A2515" s="15" t="n">
        <x:v>41395</x:v>
      </x:c>
      <x:c r="B2515" s="13" t="str">
        <x:v>ISA ENERGIA BRASIL SA</x:v>
      </x:c>
      <x:c r="C2515" s="16" t="n">
        <x:v>326.9774038795</x:v>
      </x:c>
      <x:c r="D2515" s="13" t="str">
        <x:v>Utilities &amp; Energy</x:v>
      </x:c>
      <x:c r="E2515" s="13" t="str">
        <x:v>Utilities</x:v>
      </x:c>
      <x:c r="F2515" s="13" t="str">
        <x:v>Defensives</x:v>
      </x:c>
      <x:c r="G2515" s="13" t="str">
        <x:v>grid_wekqfxnd.xlsx</x:v>
      </x:c>
    </x:row>
    <x:row r="2516">
      <x:c r="A2516" s="15" t="n">
        <x:v>41395</x:v>
      </x:c>
      <x:c r="B2516" s="13" t="str">
        <x:v>LIGHT SA</x:v>
      </x:c>
      <x:c r="C2516" s="16" t="n">
        <x:v>547.0547945205</x:v>
      </x:c>
      <x:c r="D2516" s="13" t="str">
        <x:v>Utilities &amp; Energy</x:v>
      </x:c>
      <x:c r="E2516" s="13" t="str">
        <x:v>Utilities</x:v>
      </x:c>
      <x:c r="F2516" s="13" t="str">
        <x:v>Defensives</x:v>
      </x:c>
      <x:c r="G2516" s="13" t="str">
        <x:v>grid_wekqfxnd.xlsx</x:v>
      </x:c>
    </x:row>
    <x:row r="2517">
      <x:c r="A2517" s="15" t="n">
        <x:v>41426</x:v>
      </x:c>
      <x:c r="B2517" s="13" t="str">
        <x:v>SLC AGRICOLA CENTRO OESTE SA</x:v>
      </x:c>
      <x:c r="C2517" s="16" t="n">
        <x:v>-4.1208219178</x:v>
      </x:c>
      <x:c r="D2517" s="13" t="str">
        <x:v>Agribusiness</x:v>
      </x:c>
      <x:c r="E2517" s="13" t="str">
        <x:v>Agri, Food &amp; Beverages</x:v>
      </x:c>
      <x:c r="F2517" s="13" t="str">
        <x:v>Defensives</x:v>
      </x:c>
      <x:c r="G2517" s="13" t="str">
        <x:v>grid_wekqfxnd.xlsx</x:v>
      </x:c>
    </x:row>
    <x:row r="2518">
      <x:c r="A2518" s="15" t="n">
        <x:v>41426</x:v>
      </x:c>
      <x:c r="B2518" s="13" t="str">
        <x:v>BANCO BRADESCO S.A.</x:v>
      </x:c>
      <x:c r="C2518" s="16" t="n">
        <x:v>13411.9429835397</x:v>
      </x:c>
      <x:c r="D2518" s="13" t="str">
        <x:v>Banks</x:v>
      </x:c>
      <x:c r="E2518" s="13" t="str">
        <x:v>Banks</x:v>
      </x:c>
      <x:c r="F2518" s="13" t="str">
        <x:v>Financials</x:v>
      </x:c>
      <x:c r="G2518" s="13" t="str">
        <x:v>grid_wekqfxnd.xlsx</x:v>
      </x:c>
    </x:row>
    <x:row r="2519">
      <x:c r="A2519" s="15" t="n">
        <x:v>41426</x:v>
      </x:c>
      <x:c r="B2519" s="13" t="str">
        <x:v>BANCO BRADESCO SA-PREF</x:v>
      </x:c>
      <x:c r="C2519" s="16" t="n">
        <x:v>13411.9429835397</x:v>
      </x:c>
      <x:c r="D2519" s="13" t="str">
        <x:v>Banks</x:v>
      </x:c>
      <x:c r="E2519" s="13" t="str">
        <x:v>Banks</x:v>
      </x:c>
      <x:c r="F2519" s="13" t="str">
        <x:v>Financials</x:v>
      </x:c>
      <x:c r="G2519" s="13" t="str">
        <x:v>grid_wekqfxnd.xlsx</x:v>
      </x:c>
    </x:row>
    <x:row r="2520">
      <x:c r="A2520" s="15" t="n">
        <x:v>41426</x:v>
      </x:c>
      <x:c r="B2520" s="13" t="str">
        <x:v>BANCO DO BRASIL S.A.</x:v>
      </x:c>
      <x:c r="C2520" s="16" t="n">
        <x:v>10905.2408060493</x:v>
      </x:c>
      <x:c r="D2520" s="13" t="str">
        <x:v>Banks</x:v>
      </x:c>
      <x:c r="E2520" s="13" t="str">
        <x:v>Banks</x:v>
      </x:c>
      <x:c r="F2520" s="13" t="str">
        <x:v>Financials</x:v>
      </x:c>
      <x:c r="G2520" s="13" t="str">
        <x:v>grid_wekqfxnd.xlsx</x:v>
      </x:c>
    </x:row>
    <x:row r="2521">
      <x:c r="A2521" s="15" t="n">
        <x:v>41426</x:v>
      </x:c>
      <x:c r="B2521" s="13" t="str">
        <x:v>BANCO SANTANDER  BRASIL-UNIT</x:v>
      </x:c>
      <x:c r="C2521" s="16" t="n">
        <x:v>6374.014458389</x:v>
      </x:c>
      <x:c r="D2521" s="13" t="str">
        <x:v>Banks</x:v>
      </x:c>
      <x:c r="E2521" s="13" t="str">
        <x:v>Banks</x:v>
      </x:c>
      <x:c r="F2521" s="13" t="str">
        <x:v>Financials</x:v>
      </x:c>
      <x:c r="G2521" s="13" t="str">
        <x:v>grid_wekqfxnd.xlsx</x:v>
      </x:c>
    </x:row>
    <x:row r="2522">
      <x:c r="A2522" s="15" t="n">
        <x:v>41426</x:v>
      </x:c>
      <x:c r="B2522" s="13" t="str">
        <x:v>ITAU UNIBANCO HOLDING S-PREF</x:v>
      </x:c>
      <x:c r="C2522" s="16" t="n">
        <x:v>16256.697689074</x:v>
      </x:c>
      <x:c r="D2522" s="13" t="str">
        <x:v>Banks</x:v>
      </x:c>
      <x:c r="E2522" s="13" t="str">
        <x:v>Banks</x:v>
      </x:c>
      <x:c r="F2522" s="13" t="str">
        <x:v>Financials</x:v>
      </x:c>
      <x:c r="G2522" s="13" t="str">
        <x:v>grid_wekqfxnd.xlsx</x:v>
      </x:c>
    </x:row>
    <x:row r="2523">
      <x:c r="A2523" s="15" t="n">
        <x:v>41426</x:v>
      </x:c>
      <x:c r="B2523" s="13" t="str">
        <x:v>EMBRAER SA</x:v>
      </x:c>
      <x:c r="C2523" s="16" t="n">
        <x:v>1055.4580455452</x:v>
      </x:c>
      <x:c r="D2523" s="13" t="str">
        <x:v>Capital Goods</x:v>
      </x:c>
      <x:c r="E2523" s="13" t="str">
        <x:v>Capital Goods</x:v>
      </x:c>
      <x:c r="F2523" s="13" t="str">
        <x:v>Deep Cyclicals</x:v>
      </x:c>
      <x:c r="G2523" s="13" t="str">
        <x:v>grid_wekqfxnd.xlsx</x:v>
      </x:c>
    </x:row>
    <x:row r="2524">
      <x:c r="A2524" s="15" t="n">
        <x:v>41426</x:v>
      </x:c>
      <x:c r="B2524" s="13" t="str">
        <x:v>B3 SA-BRASIL BOLSA BALCAO</x:v>
      </x:c>
      <x:c r="C2524" s="16" t="n">
        <x:v>1702.1600554082</x:v>
      </x:c>
      <x:c r="D2524" s="13" t="str">
        <x:v>Financials Non-Banks</x:v>
      </x:c>
      <x:c r="E2524" s="13" t="str">
        <x:v>Financials Non-Banks</x:v>
      </x:c>
      <x:c r="F2524" s="13" t="str">
        <x:v>Financials</x:v>
      </x:c>
      <x:c r="G2524" s="13" t="str">
        <x:v>grid_wekqfxnd.xlsx</x:v>
      </x:c>
    </x:row>
    <x:row r="2525">
      <x:c r="A2525" s="15" t="n">
        <x:v>41426</x:v>
      </x:c>
      <x:c r="B2525" s="13" t="str">
        <x:v>CETIP SA-MERCADOS ORGANIZADO</x:v>
      </x:c>
      <x:c r="C2525" s="16" t="n">
        <x:v>444.0074477589</x:v>
      </x:c>
      <x:c r="D2525" s="13" t="str">
        <x:v>Financials Non-Banks</x:v>
      </x:c>
      <x:c r="E2525" s="13" t="str">
        <x:v>Financials Non-Banks</x:v>
      </x:c>
      <x:c r="F2525" s="13" t="str">
        <x:v>Financials</x:v>
      </x:c>
      <x:c r="G2525" s="13" t="str">
        <x:v>grid_wekqfxnd.xlsx</x:v>
      </x:c>
    </x:row>
    <x:row r="2526">
      <x:c r="A2526" s="15" t="n">
        <x:v>41426</x:v>
      </x:c>
      <x:c r="B2526" s="13" t="str">
        <x:v>CIELO SA - INSTITUICAO DE PA</x:v>
      </x:c>
      <x:c r="C2526" s="16" t="n">
        <x:v>2714.3898841425</x:v>
      </x:c>
      <x:c r="D2526" s="13" t="str">
        <x:v>Financials Non-Banks</x:v>
      </x:c>
      <x:c r="E2526" s="13" t="str">
        <x:v>Financials Non-Banks</x:v>
      </x:c>
      <x:c r="F2526" s="13" t="str">
        <x:v>Financials</x:v>
      </x:c>
      <x:c r="G2526" s="13" t="str">
        <x:v>grid_wekqfxnd.xlsx</x:v>
      </x:c>
    </x:row>
    <x:row r="2527">
      <x:c r="A2527" s="15" t="n">
        <x:v>41426</x:v>
      </x:c>
      <x:c r="B2527" s="13" t="str">
        <x:v>ITAUSA SA</x:v>
      </x:c>
      <x:c r="C2527" s="16" t="n">
        <x:v>6239.8959531836</x:v>
      </x:c>
      <x:c r="D2527" s="13" t="str">
        <x:v>Financials Non-Banks</x:v>
      </x:c>
      <x:c r="E2527" s="13" t="str">
        <x:v>Financials Non-Banks</x:v>
      </x:c>
      <x:c r="F2527" s="13" t="str">
        <x:v>Financials</x:v>
      </x:c>
      <x:c r="G2527" s="13" t="str">
        <x:v>grid_wekqfxnd.xlsx</x:v>
      </x:c>
    </x:row>
    <x:row r="2528">
      <x:c r="A2528" s="15" t="n">
        <x:v>41426</x:v>
      </x:c>
      <x:c r="B2528" s="13" t="str">
        <x:v>AMBEV SA</x:v>
      </x:c>
      <x:c r="C2528" s="16" t="n">
        <x:v>11712.8376768877</x:v>
      </x:c>
      <x:c r="D2528" s="13" t="str">
        <x:v>Food &amp; Beverages</x:v>
      </x:c>
      <x:c r="E2528" s="13" t="str">
        <x:v>Agri, Food &amp; Beverages</x:v>
      </x:c>
      <x:c r="F2528" s="13" t="str">
        <x:v>Defensives</x:v>
      </x:c>
      <x:c r="G2528" s="13" t="str">
        <x:v>grid_wekqfxnd.xlsx</x:v>
      </x:c>
    </x:row>
    <x:row r="2529">
      <x:c r="A2529" s="15" t="n">
        <x:v>41426</x:v>
      </x:c>
      <x:c r="B2529" s="13" t="str">
        <x:v>BRF SA</x:v>
      </x:c>
      <x:c r="C2529" s="16" t="n">
        <x:v>2158.2646412274</x:v>
      </x:c>
      <x:c r="D2529" s="13" t="str">
        <x:v>Food &amp; Beverages</x:v>
      </x:c>
      <x:c r="E2529" s="13" t="str">
        <x:v>Agri, Food &amp; Beverages</x:v>
      </x:c>
      <x:c r="F2529" s="13" t="str">
        <x:v>Defensives</x:v>
      </x:c>
      <x:c r="G2529" s="13" t="str">
        <x:v>grid_wekqfxnd.xlsx</x:v>
      </x:c>
    </x:row>
    <x:row r="2530">
      <x:c r="A2530" s="15" t="n">
        <x:v>41426</x:v>
      </x:c>
      <x:c r="B2530" s="13" t="str">
        <x:v>MBRF GLOBAL FOODS COMPANY SA</x:v>
      </x:c>
      <x:c r="C2530" s="16" t="n">
        <x:v>313.1921205479</x:v>
      </x:c>
      <x:c r="D2530" s="13" t="str">
        <x:v>Food &amp; Beverages</x:v>
      </x:c>
      <x:c r="E2530" s="13" t="str">
        <x:v>Agri, Food &amp; Beverages</x:v>
      </x:c>
      <x:c r="F2530" s="13" t="str">
        <x:v>Defensives</x:v>
      </x:c>
      <x:c r="G2530" s="13" t="str">
        <x:v>grid_wekqfxnd.xlsx</x:v>
      </x:c>
    </x:row>
    <x:row r="2531">
      <x:c r="A2531" s="15" t="n">
        <x:v>41426</x:v>
      </x:c>
      <x:c r="B2531" s="13" t="str">
        <x:v>SOUZA CRUZ LTDA</x:v>
      </x:c>
      <x:c r="C2531" s="16" t="n">
        <x:v>1937.2295890411</x:v>
      </x:c>
      <x:c r="D2531" s="13" t="str">
        <x:v>Food &amp; Beverages</x:v>
      </x:c>
      <x:c r="E2531" s="13" t="str">
        <x:v>Agri, Food &amp; Beverages</x:v>
      </x:c>
      <x:c r="F2531" s="13" t="str">
        <x:v>Defensives</x:v>
      </x:c>
      <x:c r="G2531" s="13" t="str">
        <x:v>grid_wekqfxnd.xlsx</x:v>
      </x:c>
    </x:row>
    <x:row r="2532">
      <x:c r="A2532" s="15" t="n">
        <x:v>41426</x:v>
      </x:c>
      <x:c r="B2532" s="13" t="str">
        <x:v>DIAGNOSTICOS DA AMERICA SA</x:v>
      </x:c>
      <x:c r="C2532" s="16" t="n">
        <x:v>168.1293493479</x:v>
      </x:c>
      <x:c r="D2532" s="13" t="str">
        <x:v>Health Care</x:v>
      </x:c>
      <x:c r="E2532" s="13" t="str">
        <x:v>Health Care</x:v>
      </x:c>
      <x:c r="F2532" s="13" t="str">
        <x:v>Defensives</x:v>
      </x:c>
      <x:c r="G2532" s="13" t="str">
        <x:v>grid_wekqfxnd.xlsx</x:v>
      </x:c>
    </x:row>
    <x:row r="2533">
      <x:c r="A2533" s="15" t="n">
        <x:v>41426</x:v>
      </x:c>
      <x:c r="B2533" s="13" t="str">
        <x:v>HYPERA SA</x:v>
      </x:c>
      <x:c r="C2533" s="16" t="n">
        <x:v>454.987090411</x:v>
      </x:c>
      <x:c r="D2533" s="13" t="str">
        <x:v>Health Care</x:v>
      </x:c>
      <x:c r="E2533" s="13" t="str">
        <x:v>Health Care</x:v>
      </x:c>
      <x:c r="F2533" s="13" t="str">
        <x:v>Defensives</x:v>
      </x:c>
      <x:c r="G2533" s="13" t="str">
        <x:v>grid_wekqfxnd.xlsx</x:v>
      </x:c>
    </x:row>
    <x:row r="2534">
      <x:c r="A2534" s="15" t="n">
        <x:v>41426</x:v>
      </x:c>
      <x:c r="B2534" s="13" t="str">
        <x:v>CYRELA BRAZIL REALTY SA EMP</x:v>
      </x:c>
      <x:c r="C2534" s="16" t="n">
        <x:v>884.254968811</x:v>
      </x:c>
      <x:c r="D2534" s="13" t="str">
        <x:v>Homebuilders</x:v>
      </x:c>
      <x:c r="E2534" s="13" t="str">
        <x:v>Real Estate</x:v>
      </x:c>
      <x:c r="F2534" s="13" t="str">
        <x:v>Early Cyclicals</x:v>
      </x:c>
      <x:c r="G2534" s="13" t="str">
        <x:v>grid_wekqfxnd.xlsx</x:v>
      </x:c>
    </x:row>
    <x:row r="2535">
      <x:c r="A2535" s="15" t="n">
        <x:v>41426</x:v>
      </x:c>
      <x:c r="B2535" s="13" t="str">
        <x:v>GAFISA SA</x:v>
      </x:c>
      <x:c r="C2535" s="16" t="n">
        <x:v>162.4607013699</x:v>
      </x:c>
      <x:c r="D2535" s="13" t="str">
        <x:v>Homebuilders</x:v>
      </x:c>
      <x:c r="E2535" s="13" t="str">
        <x:v>Real Estate</x:v>
      </x:c>
      <x:c r="F2535" s="13" t="str">
        <x:v>Early Cyclicals</x:v>
      </x:c>
      <x:c r="G2535" s="13" t="str">
        <x:v>grid_wekqfxnd.xlsx</x:v>
      </x:c>
    </x:row>
    <x:row r="2536">
      <x:c r="A2536" s="15" t="n">
        <x:v>41426</x:v>
      </x:c>
      <x:c r="B2536" s="13" t="str">
        <x:v>MRV ENGENHARIA</x:v>
      </x:c>
      <x:c r="C2536" s="16" t="n">
        <x:v>542.6547945205</x:v>
      </x:c>
      <x:c r="D2536" s="13" t="str">
        <x:v>Homebuilders</x:v>
      </x:c>
      <x:c r="E2536" s="13" t="str">
        <x:v>Real Estate</x:v>
      </x:c>
      <x:c r="F2536" s="13" t="str">
        <x:v>Early Cyclicals</x:v>
      </x:c>
      <x:c r="G2536" s="13" t="str">
        <x:v>grid_wekqfxnd.xlsx</x:v>
      </x:c>
    </x:row>
    <x:row r="2537">
      <x:c r="A2537" s="15" t="n">
        <x:v>41426</x:v>
      </x:c>
      <x:c r="B2537" s="13" t="str">
        <x:v>PDG REALTY SA</x:v>
      </x:c>
      <x:c r="C2537" s="16" t="n">
        <x:v>207.9061381699</x:v>
      </x:c>
      <x:c r="D2537" s="13" t="str">
        <x:v>Homebuilders</x:v>
      </x:c>
      <x:c r="E2537" s="13" t="str">
        <x:v>Real Estate</x:v>
      </x:c>
      <x:c r="F2537" s="13" t="str">
        <x:v>Early Cyclicals</x:v>
      </x:c>
      <x:c r="G2537" s="13" t="str">
        <x:v>grid_wekqfxnd.xlsx</x:v>
      </x:c>
    </x:row>
    <x:row r="2538">
      <x:c r="A2538" s="15" t="n">
        <x:v>41426</x:v>
      </x:c>
      <x:c r="B2538" s="13" t="str">
        <x:v>ROSSI RESIDENCIAL SA</x:v>
      </x:c>
      <x:c r="C2538" s="16" t="n">
        <x:v>177.2012974466</x:v>
      </x:c>
      <x:c r="D2538" s="13" t="str">
        <x:v>Homebuilders</x:v>
      </x:c>
      <x:c r="E2538" s="13" t="str">
        <x:v>Real Estate</x:v>
      </x:c>
      <x:c r="F2538" s="13" t="str">
        <x:v>Early Cyclicals</x:v>
      </x:c>
      <x:c r="G2538" s="13" t="str">
        <x:v>grid_wekqfxnd.xlsx</x:v>
      </x:c>
    </x:row>
    <x:row r="2539">
      <x:c r="A2539" s="15" t="n">
        <x:v>41426</x:v>
      </x:c>
      <x:c r="B2539" s="13" t="str">
        <x:v>TEGRA INCORPORADORA SA</x:v>
      </x:c>
      <x:c r="C2539" s="16" t="n">
        <x:v>248.9688395397</x:v>
      </x:c>
      <x:c r="D2539" s="13" t="str">
        <x:v>Homebuilders</x:v>
      </x:c>
      <x:c r="E2539" s="13" t="str">
        <x:v>Real Estate</x:v>
      </x:c>
      <x:c r="F2539" s="13" t="str">
        <x:v>Early Cyclicals</x:v>
      </x:c>
      <x:c r="G2539" s="13" t="str">
        <x:v>grid_wekqfxnd.xlsx</x:v>
      </x:c>
    </x:row>
    <x:row r="2540">
      <x:c r="A2540" s="15" t="n">
        <x:v>41426</x:v>
      </x:c>
      <x:c r="B2540" s="13" t="str">
        <x:v>BR MALLS PARTICIPACOES SA</x:v>
      </x:c>
      <x:c r="C2540" s="16" t="n">
        <x:v>590.5141603945</x:v>
      </x:c>
      <x:c r="D2540" s="13" t="str">
        <x:v>Income Properties</x:v>
      </x:c>
      <x:c r="E2540" s="13" t="str">
        <x:v>Real Estate</x:v>
      </x:c>
      <x:c r="F2540" s="13" t="str">
        <x:v>Early Cyclicals</x:v>
      </x:c>
      <x:c r="G2540" s="13" t="str">
        <x:v>grid_wekqfxnd.xlsx</x:v>
      </x:c>
    </x:row>
    <x:row r="2541">
      <x:c r="A2541" s="15" t="n">
        <x:v>41426</x:v>
      </x:c>
      <x:c r="B2541" s="13" t="str">
        <x:v>SOLID ATIVOS IMOBILIARIOS SA</x:v>
      </x:c>
      <x:c r="C2541" s="16" t="n">
        <x:v>384.3671232877</x:v>
      </x:c>
      <x:c r="D2541" s="13" t="str">
        <x:v>Income Properties</x:v>
      </x:c>
      <x:c r="E2541" s="13" t="str">
        <x:v>Real Estate</x:v>
      </x:c>
      <x:c r="F2541" s="13" t="str">
        <x:v>Early Cyclicals</x:v>
      </x:c>
      <x:c r="G2541" s="13" t="str">
        <x:v>grid_wekqfxnd.xlsx</x:v>
      </x:c>
    </x:row>
    <x:row r="2542">
      <x:c r="A2542" s="15" t="n">
        <x:v>41426</x:v>
      </x:c>
      <x:c r="B2542" s="13" t="str">
        <x:v>BRADESPAR SA -PREF</x:v>
      </x:c>
      <x:c r="C2542" s="16" t="n">
        <x:v>1220.762893326</x:v>
      </x:c>
      <x:c r="D2542" s="13" t="str">
        <x:v>Metals &amp; Mining</x:v>
      </x:c>
      <x:c r="E2542" s="13" t="str">
        <x:v>Metals &amp; Mining</x:v>
      </x:c>
      <x:c r="F2542" s="13" t="str">
        <x:v>Deep Cyclicals</x:v>
      </x:c>
      <x:c r="G2542" s="13" t="str">
        <x:v>grid_wekqfxnd.xlsx</x:v>
      </x:c>
    </x:row>
    <x:row r="2543">
      <x:c r="A2543" s="15" t="n">
        <x:v>41426</x:v>
      </x:c>
      <x:c r="B2543" s="13" t="str">
        <x:v>CIA SIDERURGICA NACIONAL SA</x:v>
      </x:c>
      <x:c r="C2543" s="16" t="n">
        <x:v>889.9935065425</x:v>
      </x:c>
      <x:c r="D2543" s="13" t="str">
        <x:v>Metals &amp; Mining</x:v>
      </x:c>
      <x:c r="E2543" s="13" t="str">
        <x:v>Metals &amp; Mining</x:v>
      </x:c>
      <x:c r="F2543" s="13" t="str">
        <x:v>Deep Cyclicals</x:v>
      </x:c>
      <x:c r="G2543" s="13" t="str">
        <x:v>grid_wekqfxnd.xlsx</x:v>
      </x:c>
    </x:row>
    <x:row r="2544">
      <x:c r="A2544" s="15" t="n">
        <x:v>41426</x:v>
      </x:c>
      <x:c r="B2544" s="13" t="str">
        <x:v>GERDAU SA-PREF</x:v>
      </x:c>
      <x:c r="C2544" s="16" t="n">
        <x:v>1676.1817351014</x:v>
      </x:c>
      <x:c r="D2544" s="13" t="str">
        <x:v>Metals &amp; Mining</x:v>
      </x:c>
      <x:c r="E2544" s="13" t="str">
        <x:v>Metals &amp; Mining</x:v>
      </x:c>
      <x:c r="F2544" s="13" t="str">
        <x:v>Deep Cyclicals</x:v>
      </x:c>
      <x:c r="G2544" s="13" t="str">
        <x:v>grid_wekqfxnd.xlsx</x:v>
      </x:c>
    </x:row>
    <x:row r="2545">
      <x:c r="A2545" s="15" t="n">
        <x:v>41426</x:v>
      </x:c>
      <x:c r="B2545" s="13" t="str">
        <x:v>METALURGICA GERDAU SA-PREF</x:v>
      </x:c>
      <x:c r="C2545" s="16" t="n">
        <x:v>586.301369863</x:v>
      </x:c>
      <x:c r="D2545" s="13" t="str">
        <x:v>Metals &amp; Mining</x:v>
      </x:c>
      <x:c r="E2545" s="13" t="str">
        <x:v>Metals &amp; Mining</x:v>
      </x:c>
      <x:c r="F2545" s="13" t="str">
        <x:v>Deep Cyclicals</x:v>
      </x:c>
      <x:c r="G2545" s="13" t="str">
        <x:v>grid_wekqfxnd.xlsx</x:v>
      </x:c>
    </x:row>
    <x:row r="2546">
      <x:c r="A2546" s="15" t="n">
        <x:v>41426</x:v>
      </x:c>
      <x:c r="B2546" s="13" t="str">
        <x:v>MMX MINERACAO E METALICOS SA</x:v>
      </x:c>
      <x:c r="C2546" s="16" t="n">
        <x:v>-77.1564761644</x:v>
      </x:c>
      <x:c r="D2546" s="13" t="str">
        <x:v>Metals &amp; Mining</x:v>
      </x:c>
      <x:c r="E2546" s="13" t="str">
        <x:v>Metals &amp; Mining</x:v>
      </x:c>
      <x:c r="F2546" s="13" t="str">
        <x:v>Deep Cyclicals</x:v>
      </x:c>
      <x:c r="G2546" s="13" t="str">
        <x:v>grid_wekqfxnd.xlsx</x:v>
      </x:c>
    </x:row>
    <x:row r="2547">
      <x:c r="A2547" s="15" t="n">
        <x:v>41426</x:v>
      </x:c>
      <x:c r="B2547" s="13" t="str">
        <x:v>USINAS SIDER MINAS GER-PF A</x:v>
      </x:c>
      <x:c r="C2547" s="16" t="n">
        <x:v>267.6904372603</x:v>
      </x:c>
      <x:c r="D2547" s="13" t="str">
        <x:v>Metals &amp; Mining</x:v>
      </x:c>
      <x:c r="E2547" s="13" t="str">
        <x:v>Metals &amp; Mining</x:v>
      </x:c>
      <x:c r="F2547" s="13" t="str">
        <x:v>Deep Cyclicals</x:v>
      </x:c>
      <x:c r="G2547" s="13" t="str">
        <x:v>grid_wekqfxnd.xlsx</x:v>
      </x:c>
    </x:row>
    <x:row r="2548">
      <x:c r="A2548" s="15" t="n">
        <x:v>41426</x:v>
      </x:c>
      <x:c r="B2548" s="13" t="str">
        <x:v>USINAS SIDERURGICAS DE MINAS</x:v>
      </x:c>
      <x:c r="C2548" s="16" t="n">
        <x:v>267.6904372603</x:v>
      </x:c>
      <x:c r="D2548" s="13" t="str">
        <x:v>Metals &amp; Mining</x:v>
      </x:c>
      <x:c r="E2548" s="13" t="str">
        <x:v>Metals &amp; Mining</x:v>
      </x:c>
      <x:c r="F2548" s="13" t="str">
        <x:v>Deep Cyclicals</x:v>
      </x:c>
      <x:c r="G2548" s="13" t="str">
        <x:v>grid_wekqfxnd.xlsx</x:v>
      </x:c>
    </x:row>
    <x:row r="2549">
      <x:c r="A2549" s="15" t="n">
        <x:v>41426</x:v>
      </x:c>
      <x:c r="B2549" s="13" t="str">
        <x:v>VALE SA</x:v>
      </x:c>
      <x:c r="C2549" s="16" t="n">
        <x:v>24403.0774791014</x:v>
      </x:c>
      <x:c r="D2549" s="13" t="str">
        <x:v>Metals &amp; Mining</x:v>
      </x:c>
      <x:c r="E2549" s="13" t="str">
        <x:v>Metals &amp; Mining</x:v>
      </x:c>
      <x:c r="F2549" s="13" t="str">
        <x:v>Deep Cyclicals</x:v>
      </x:c>
      <x:c r="G2549" s="13" t="str">
        <x:v>grid_wekqfxnd.xlsx</x:v>
      </x:c>
    </x:row>
    <x:row r="2550">
      <x:c r="A2550" s="15" t="n">
        <x:v>41426</x:v>
      </x:c>
      <x:c r="B2550" s="13" t="str">
        <x:v>BRASKEM SA-PREF A</x:v>
      </x:c>
      <x:c r="C2550" s="16" t="n">
        <x:v>856.0746662575</x:v>
      </x:c>
      <x:c r="D2550" s="13" t="str">
        <x:v>Oil, Gas &amp; Petrochemicals</x:v>
      </x:c>
      <x:c r="E2550" s="13" t="str">
        <x:v>Oil, Gas &amp; Petrochemicals</x:v>
      </x:c>
      <x:c r="F2550" s="13" t="str">
        <x:v>Deep Cyclicals</x:v>
      </x:c>
      <x:c r="G2550" s="13" t="str">
        <x:v>grid_wekqfxnd.xlsx</x:v>
      </x:c>
    </x:row>
    <x:row r="2551">
      <x:c r="A2551" s="15" t="n">
        <x:v>41426</x:v>
      </x:c>
      <x:c r="B2551" s="13" t="str">
        <x:v>OLEO E GAS PARTICIPACOES SA</x:v>
      </x:c>
      <x:c r="C2551" s="16" t="n">
        <x:v>-587.2398986301</x:v>
      </x:c>
      <x:c r="D2551" s="13" t="str">
        <x:v>Oil, Gas &amp; Petrochemicals</x:v>
      </x:c>
      <x:c r="E2551" s="13" t="str">
        <x:v>Oil, Gas &amp; Petrochemicals</x:v>
      </x:c>
      <x:c r="F2551" s="13" t="str">
        <x:v>Deep Cyclicals</x:v>
      </x:c>
      <x:c r="G2551" s="13" t="str">
        <x:v>grid_wekqfxnd.xlsx</x:v>
      </x:c>
    </x:row>
    <x:row r="2552">
      <x:c r="A2552" s="15" t="n">
        <x:v>41426</x:v>
      </x:c>
      <x:c r="B2552" s="13" t="str">
        <x:v>PETROBRAS - PETROLEO BRAS</x:v>
      </x:c>
      <x:c r="C2552" s="16" t="n">
        <x:v>32431.0413480329</x:v>
      </x:c>
      <x:c r="D2552" s="13" t="str">
        <x:v>Oil, Gas &amp; Petrochemicals</x:v>
      </x:c>
      <x:c r="E2552" s="13" t="str">
        <x:v>Oil, Gas &amp; Petrochemicals</x:v>
      </x:c>
      <x:c r="F2552" s="13" t="str">
        <x:v>Deep Cyclicals</x:v>
      </x:c>
      <x:c r="G2552" s="13" t="str">
        <x:v>grid_wekqfxnd.xlsx</x:v>
      </x:c>
    </x:row>
    <x:row r="2553">
      <x:c r="A2553" s="15" t="n">
        <x:v>41426</x:v>
      </x:c>
      <x:c r="B2553" s="13" t="str">
        <x:v>ULTRAPAR PARTICIPACOES SA</x:v>
      </x:c>
      <x:c r="C2553" s="16" t="n">
        <x:v>1261.4356641315</x:v>
      </x:c>
      <x:c r="D2553" s="13" t="str">
        <x:v>Oil, Gas &amp; Petrochemicals</x:v>
      </x:c>
      <x:c r="E2553" s="13" t="str">
        <x:v>Oil, Gas &amp; Petrochemicals</x:v>
      </x:c>
      <x:c r="F2553" s="13" t="str">
        <x:v>Deep Cyclicals</x:v>
      </x:c>
      <x:c r="G2553" s="13" t="str">
        <x:v>grid_wekqfxnd.xlsx</x:v>
      </x:c>
    </x:row>
    <x:row r="2554">
      <x:c r="A2554" s="15" t="n">
        <x:v>41426</x:v>
      </x:c>
      <x:c r="B2554" s="13" t="str">
        <x:v>DEXCO SA</x:v>
      </x:c>
      <x:c r="C2554" s="16" t="n">
        <x:v>582.8213717918</x:v>
      </x:c>
      <x:c r="D2554" s="13" t="str">
        <x:v>Pulp &amp; Paper</x:v>
      </x:c>
      <x:c r="E2554" s="13" t="str">
        <x:v>Pulp &amp; Paper</x:v>
      </x:c>
      <x:c r="F2554" s="13" t="str">
        <x:v>Deep Cyclicals</x:v>
      </x:c>
      <x:c r="G2554" s="13" t="str">
        <x:v>grid_wekqfxnd.xlsx</x:v>
      </x:c>
    </x:row>
    <x:row r="2555">
      <x:c r="A2555" s="15" t="n">
        <x:v>41426</x:v>
      </x:c>
      <x:c r="B2555" s="13" t="str">
        <x:v>FIBRIA CELULOSE S/A</x:v>
      </x:c>
      <x:c r="C2555" s="16" t="n">
        <x:v>202.4340273973</x:v>
      </x:c>
      <x:c r="D2555" s="13" t="str">
        <x:v>Pulp &amp; Paper</x:v>
      </x:c>
      <x:c r="E2555" s="13" t="str">
        <x:v>Pulp &amp; Paper</x:v>
      </x:c>
      <x:c r="F2555" s="13" t="str">
        <x:v>Deep Cyclicals</x:v>
      </x:c>
      <x:c r="G2555" s="13" t="str">
        <x:v>grid_wekqfxnd.xlsx</x:v>
      </x:c>
    </x:row>
    <x:row r="2556">
      <x:c r="A2556" s="15" t="n">
        <x:v>41426</x:v>
      </x:c>
      <x:c r="B2556" s="13" t="str">
        <x:v>SUZANO PAPEL E CELULO-PREF A</x:v>
      </x:c>
      <x:c r="C2556" s="16" t="n">
        <x:v>273.3638136986</x:v>
      </x:c>
      <x:c r="D2556" s="13" t="str">
        <x:v>Pulp &amp; Paper</x:v>
      </x:c>
      <x:c r="E2556" s="13" t="str">
        <x:v>Pulp &amp; Paper</x:v>
      </x:c>
      <x:c r="F2556" s="13" t="str">
        <x:v>Deep Cyclicals</x:v>
      </x:c>
      <x:c r="G2556" s="13" t="str">
        <x:v>grid_wekqfxnd.xlsx</x:v>
      </x:c>
    </x:row>
    <x:row r="2557">
      <x:c r="A2557" s="15" t="n">
        <x:v>41426</x:v>
      </x:c>
      <x:c r="B2557" s="13" t="str">
        <x:v>AMERICANAS SA</x:v>
      </x:c>
      <x:c r="C2557" s="16" t="n">
        <x:v>-119.5498117479</x:v>
      </x:c>
      <x:c r="D2557" s="13" t="str">
        <x:v>Retail</x:v>
      </x:c>
      <x:c r="E2557" s="13" t="str">
        <x:v>Retail</x:v>
      </x:c>
      <x:c r="F2557" s="13" t="str">
        <x:v>Early Cyclicals</x:v>
      </x:c>
      <x:c r="G2557" s="13" t="str">
        <x:v>grid_wekqfxnd.xlsx</x:v>
      </x:c>
    </x:row>
    <x:row r="2558">
      <x:c r="A2558" s="15" t="n">
        <x:v>41426</x:v>
      </x:c>
      <x:c r="B2558" s="13" t="str">
        <x:v>CIA BRASILEIRA DE DIS-PREF</x:v>
      </x:c>
      <x:c r="C2558" s="16" t="n">
        <x:v>1361.9300078466</x:v>
      </x:c>
      <x:c r="D2558" s="13" t="str">
        <x:v>Retail</x:v>
      </x:c>
      <x:c r="E2558" s="13" t="str">
        <x:v>Retail</x:v>
      </x:c>
      <x:c r="F2558" s="13" t="str">
        <x:v>Early Cyclicals</x:v>
      </x:c>
      <x:c r="G2558" s="13" t="str">
        <x:v>grid_wekqfxnd.xlsx</x:v>
      </x:c>
    </x:row>
    <x:row r="2559">
      <x:c r="A2559" s="15" t="n">
        <x:v>41426</x:v>
      </x:c>
      <x:c r="B2559" s="13" t="str">
        <x:v>CIA HERING</x:v>
      </x:c>
      <x:c r="C2559" s="16" t="n">
        <x:v>368.0920781151</x:v>
      </x:c>
      <x:c r="D2559" s="13" t="str">
        <x:v>Retail</x:v>
      </x:c>
      <x:c r="E2559" s="13" t="str">
        <x:v>Retail</x:v>
      </x:c>
      <x:c r="F2559" s="13" t="str">
        <x:v>Early Cyclicals</x:v>
      </x:c>
      <x:c r="G2559" s="13" t="str">
        <x:v>grid_wekqfxnd.xlsx</x:v>
      </x:c>
    </x:row>
    <x:row r="2560">
      <x:c r="A2560" s="15" t="n">
        <x:v>41426</x:v>
      </x:c>
      <x:c r="B2560" s="13" t="str">
        <x:v>LOJAS AMERICANAS SA-PREF</x:v>
      </x:c>
      <x:c r="C2560" s="16" t="n">
        <x:v>596.5340393205</x:v>
      </x:c>
      <x:c r="D2560" s="13" t="str">
        <x:v>Retail</x:v>
      </x:c>
      <x:c r="E2560" s="13" t="str">
        <x:v>Retail</x:v>
      </x:c>
      <x:c r="F2560" s="13" t="str">
        <x:v>Early Cyclicals</x:v>
      </x:c>
      <x:c r="G2560" s="13" t="str">
        <x:v>grid_wekqfxnd.xlsx</x:v>
      </x:c>
    </x:row>
    <x:row r="2561">
      <x:c r="A2561" s="15" t="n">
        <x:v>41426</x:v>
      </x:c>
      <x:c r="B2561" s="13" t="str">
        <x:v>LOJAS RENNER S.A.</x:v>
      </x:c>
      <x:c r="C2561" s="16" t="n">
        <x:v>460.4977081863</x:v>
      </x:c>
      <x:c r="D2561" s="13" t="str">
        <x:v>Retail</x:v>
      </x:c>
      <x:c r="E2561" s="13" t="str">
        <x:v>Retail</x:v>
      </x:c>
      <x:c r="F2561" s="13" t="str">
        <x:v>Early Cyclicals</x:v>
      </x:c>
      <x:c r="G2561" s="13" t="str">
        <x:v>grid_wekqfxnd.xlsx</x:v>
      </x:c>
    </x:row>
    <x:row r="2562">
      <x:c r="A2562" s="15" t="n">
        <x:v>41426</x:v>
      </x:c>
      <x:c r="B2562" s="13" t="str">
        <x:v>NATURA COSMETICOS SA</x:v>
      </x:c>
      <x:c r="C2562" s="16" t="n">
        <x:v>1001.8156459836</x:v>
      </x:c>
      <x:c r="D2562" s="13" t="str">
        <x:v>Retail</x:v>
      </x:c>
      <x:c r="E2562" s="13" t="str">
        <x:v>Retail</x:v>
      </x:c>
      <x:c r="F2562" s="13" t="str">
        <x:v>Early Cyclicals</x:v>
      </x:c>
      <x:c r="G2562" s="13" t="str">
        <x:v>grid_wekqfxnd.xlsx</x:v>
      </x:c>
    </x:row>
    <x:row r="2563">
      <x:c r="A2563" s="15" t="n">
        <x:v>41426</x:v>
      </x:c>
      <x:c r="B2563" s="13" t="str">
        <x:v>CIA SANEAMENTO BASICO DE SP</x:v>
      </x:c>
      <x:c r="C2563" s="16" t="n">
        <x:v>2201.8328779397</x:v>
      </x:c>
      <x:c r="D2563" s="13" t="str">
        <x:v>Sanitation</x:v>
      </x:c>
      <x:c r="E2563" s="13" t="str">
        <x:v>Utilities</x:v>
      </x:c>
      <x:c r="F2563" s="13" t="str">
        <x:v>Defensives</x:v>
      </x:c>
      <x:c r="G2563" s="13" t="str">
        <x:v>grid_wekqfxnd.xlsx</x:v>
      </x:c>
    </x:row>
    <x:row r="2564">
      <x:c r="A2564" s="15" t="n">
        <x:v>41426</x:v>
      </x:c>
      <x:c r="B2564" s="13" t="str">
        <x:v>OI S.A.</x:v>
      </x:c>
      <x:c r="C2564" s="16" t="n">
        <x:v>946.6356455452</x:v>
      </x:c>
      <x:c r="D2564" s="13" t="str">
        <x:v>TMT</x:v>
      </x:c>
      <x:c r="E2564" s="13" t="str">
        <x:v>TMT</x:v>
      </x:c>
      <x:c r="F2564" s="13" t="str">
        <x:v>Early Cyclicals</x:v>
      </x:c>
      <x:c r="G2564" s="13" t="str">
        <x:v>grid_wekqfxnd.xlsx</x:v>
      </x:c>
    </x:row>
    <x:row r="2565">
      <x:c r="A2565" s="15" t="n">
        <x:v>41426</x:v>
      </x:c>
      <x:c r="B2565" s="13" t="str">
        <x:v>OI SA-PREFERENCE</x:v>
      </x:c>
      <x:c r="C2565" s="16" t="n">
        <x:v>946.6356455452</x:v>
      </x:c>
      <x:c r="D2565" s="13" t="str">
        <x:v>TMT</x:v>
      </x:c>
      <x:c r="E2565" s="13" t="str">
        <x:v>TMT</x:v>
      </x:c>
      <x:c r="F2565" s="13" t="str">
        <x:v>Early Cyclicals</x:v>
      </x:c>
      <x:c r="G2565" s="13" t="str">
        <x:v>grid_wekqfxnd.xlsx</x:v>
      </x:c>
    </x:row>
    <x:row r="2566">
      <x:c r="A2566" s="15" t="n">
        <x:v>41426</x:v>
      </x:c>
      <x:c r="B2566" s="13" t="str">
        <x:v>TELEFONICA BRASIL S.A.-PREF</x:v>
      </x:c>
      <x:c r="C2566" s="16" t="n">
        <x:v>4710.9539587507</x:v>
      </x:c>
      <x:c r="D2566" s="13" t="str">
        <x:v>TMT</x:v>
      </x:c>
      <x:c r="E2566" s="13" t="str">
        <x:v>TMT</x:v>
      </x:c>
      <x:c r="F2566" s="13" t="str">
        <x:v>Early Cyclicals</x:v>
      </x:c>
      <x:c r="G2566" s="13" t="str">
        <x:v>grid_wekqfxnd.xlsx</x:v>
      </x:c>
    </x:row>
    <x:row r="2567">
      <x:c r="A2567" s="15" t="n">
        <x:v>41426</x:v>
      </x:c>
      <x:c r="B2567" s="13" t="str">
        <x:v>TIM SA</x:v>
      </x:c>
      <x:c r="C2567" s="16" t="n">
        <x:v>1711.233204252</x:v>
      </x:c>
      <x:c r="D2567" s="13" t="str">
        <x:v>TMT</x:v>
      </x:c>
      <x:c r="E2567" s="13" t="str">
        <x:v>TMT</x:v>
      </x:c>
      <x:c r="F2567" s="13" t="str">
        <x:v>Early Cyclicals</x:v>
      </x:c>
      <x:c r="G2567" s="13" t="str">
        <x:v>grid_wekqfxnd.xlsx</x:v>
      </x:c>
    </x:row>
    <x:row r="2568">
      <x:c r="A2568" s="15" t="n">
        <x:v>41426</x:v>
      </x:c>
      <x:c r="B2568" s="13" t="str">
        <x:v>GOL LINHAS AEREAS INT SA-PRE</x:v>
      </x:c>
      <x:c r="C2568" s="16" t="n">
        <x:v>-46.1904288</x:v>
      </x:c>
      <x:c r="D2568" s="13" t="str">
        <x:v>Transportation</x:v>
      </x:c>
      <x:c r="E2568" s="13" t="str">
        <x:v>Transportation</x:v>
      </x:c>
      <x:c r="F2568" s="13" t="str">
        <x:v>Deep Cyclicals</x:v>
      </x:c>
      <x:c r="G2568" s="13" t="str">
        <x:v>grid_wekqfxnd.xlsx</x:v>
      </x:c>
    </x:row>
    <x:row r="2569">
      <x:c r="A2569" s="15" t="n">
        <x:v>41426</x:v>
      </x:c>
      <x:c r="B2569" s="13" t="str">
        <x:v>LOCALIZA RENT A CAR</x:v>
      </x:c>
      <x:c r="C2569" s="16" t="n">
        <x:v>385.8621917808</x:v>
      </x:c>
      <x:c r="D2569" s="13" t="str">
        <x:v>Transportation</x:v>
      </x:c>
      <x:c r="E2569" s="13" t="str">
        <x:v>Transportation</x:v>
      </x:c>
      <x:c r="F2569" s="13" t="str">
        <x:v>Deep Cyclicals</x:v>
      </x:c>
      <x:c r="G2569" s="13" t="str">
        <x:v>grid_wekqfxnd.xlsx</x:v>
      </x:c>
    </x:row>
    <x:row r="2570">
      <x:c r="A2570" s="15" t="n">
        <x:v>41426</x:v>
      </x:c>
      <x:c r="B2570" s="13" t="str">
        <x:v>MOTIVA INFRAESTRUTURA DE MOB</x:v>
      </x:c>
      <x:c r="C2570" s="16" t="n">
        <x:v>1732.4905822685</x:v>
      </x:c>
      <x:c r="D2570" s="13" t="str">
        <x:v>Transportation</x:v>
      </x:c>
      <x:c r="E2570" s="13" t="str">
        <x:v>Transportation</x:v>
      </x:c>
      <x:c r="F2570" s="13" t="str">
        <x:v>Deep Cyclicals</x:v>
      </x:c>
      <x:c r="G2570" s="13" t="str">
        <x:v>grid_wekqfxnd.xlsx</x:v>
      </x:c>
    </x:row>
    <x:row r="2571">
      <x:c r="A2571" s="15" t="n">
        <x:v>41426</x:v>
      </x:c>
      <x:c r="B2571" s="13" t="str">
        <x:v>PRUMO LOGISTICA SA</x:v>
      </x:c>
      <x:c r="C2571" s="16" t="n">
        <x:v>-53.1805424658</x:v>
      </x:c>
      <x:c r="D2571" s="13" t="str">
        <x:v>Transportation</x:v>
      </x:c>
      <x:c r="E2571" s="13" t="str">
        <x:v>Transportation</x:v>
      </x:c>
      <x:c r="F2571" s="13" t="str">
        <x:v>Deep Cyclicals</x:v>
      </x:c>
      <x:c r="G2571" s="13" t="str">
        <x:v>grid_wekqfxnd.xlsx</x:v>
      </x:c>
    </x:row>
    <x:row r="2572">
      <x:c r="A2572" s="15" t="n">
        <x:v>41426</x:v>
      </x:c>
      <x:c r="B2572" s="13" t="str">
        <x:v>RUMO SA</x:v>
      </x:c>
      <x:c r="C2572" s="16" t="n">
        <x:v>431.5219215781</x:v>
      </x:c>
      <x:c r="D2572" s="13" t="str">
        <x:v>Transportation</x:v>
      </x:c>
      <x:c r="E2572" s="13" t="str">
        <x:v>Transportation</x:v>
      </x:c>
      <x:c r="F2572" s="13" t="str">
        <x:v>Deep Cyclicals</x:v>
      </x:c>
      <x:c r="G2572" s="13" t="str">
        <x:v>grid_wekqfxnd.xlsx</x:v>
      </x:c>
    </x:row>
    <x:row r="2573">
      <x:c r="A2573" s="15" t="n">
        <x:v>41426</x:v>
      </x:c>
      <x:c r="B2573" s="13" t="str">
        <x:v>AXIA ENERGIA SA</x:v>
      </x:c>
      <x:c r="C2573" s="16" t="n">
        <x:v>1683.249330148</x:v>
      </x:c>
      <x:c r="D2573" s="13" t="str">
        <x:v>Utilities &amp; Energy</x:v>
      </x:c>
      <x:c r="E2573" s="13" t="str">
        <x:v>Utilities</x:v>
      </x:c>
      <x:c r="F2573" s="13" t="str">
        <x:v>Defensives</x:v>
      </x:c>
      <x:c r="G2573" s="13" t="str">
        <x:v>grid_wekqfxnd.xlsx</x:v>
      </x:c>
    </x:row>
    <x:row r="2574">
      <x:c r="A2574" s="15" t="n">
        <x:v>41426</x:v>
      </x:c>
      <x:c r="B2574" s="13" t="str">
        <x:v>AXIA ENERGIA-PR B</x:v>
      </x:c>
      <x:c r="C2574" s="16" t="n">
        <x:v>1683.249330148</x:v>
      </x:c>
      <x:c r="D2574" s="13" t="str">
        <x:v>Utilities &amp; Energy</x:v>
      </x:c>
      <x:c r="E2574" s="13" t="str">
        <x:v>Utilities</x:v>
      </x:c>
      <x:c r="F2574" s="13" t="str">
        <x:v>Defensives</x:v>
      </x:c>
      <x:c r="G2574" s="13" t="str">
        <x:v>grid_wekqfxnd.xlsx</x:v>
      </x:c>
    </x:row>
    <x:row r="2575">
      <x:c r="A2575" s="15" t="n">
        <x:v>41426</x:v>
      </x:c>
      <x:c r="B2575" s="13" t="str">
        <x:v>CESP - CIA ENERGETICA DE SAO</x:v>
      </x:c>
      <x:c r="C2575" s="16" t="n">
        <x:v>1296.2960064877</x:v>
      </x:c>
      <x:c r="D2575" s="13" t="str">
        <x:v>Utilities &amp; Energy</x:v>
      </x:c>
      <x:c r="E2575" s="13" t="str">
        <x:v>Utilities</x:v>
      </x:c>
      <x:c r="F2575" s="13" t="str">
        <x:v>Defensives</x:v>
      </x:c>
      <x:c r="G2575" s="13" t="str">
        <x:v>grid_wekqfxnd.xlsx</x:v>
      </x:c>
    </x:row>
    <x:row r="2576">
      <x:c r="A2576" s="15" t="n">
        <x:v>41426</x:v>
      </x:c>
      <x:c r="B2576" s="13" t="str">
        <x:v>CIA ENERGETICA MINAS GER-PRF</x:v>
      </x:c>
      <x:c r="C2576" s="16" t="n">
        <x:v>2553.6522387288</x:v>
      </x:c>
      <x:c r="D2576" s="13" t="str">
        <x:v>Utilities &amp; Energy</x:v>
      </x:c>
      <x:c r="E2576" s="13" t="str">
        <x:v>Utilities</x:v>
      </x:c>
      <x:c r="F2576" s="13" t="str">
        <x:v>Defensives</x:v>
      </x:c>
      <x:c r="G2576" s="13" t="str">
        <x:v>grid_wekqfxnd.xlsx</x:v>
      </x:c>
    </x:row>
    <x:row r="2577">
      <x:c r="A2577" s="15" t="n">
        <x:v>41426</x:v>
      </x:c>
      <x:c r="B2577" s="13" t="str">
        <x:v>COMPANHIA PARANAENSE -PREF B</x:v>
      </x:c>
      <x:c r="C2577" s="16" t="n">
        <x:v>1174.5613340055</x:v>
      </x:c>
      <x:c r="D2577" s="13" t="str">
        <x:v>Utilities &amp; Energy</x:v>
      </x:c>
      <x:c r="E2577" s="13" t="str">
        <x:v>Utilities</x:v>
      </x:c>
      <x:c r="F2577" s="13" t="str">
        <x:v>Defensives</x:v>
      </x:c>
      <x:c r="G2577" s="13" t="str">
        <x:v>grid_wekqfxnd.xlsx</x:v>
      </x:c>
    </x:row>
    <x:row r="2578">
      <x:c r="A2578" s="15" t="n">
        <x:v>41426</x:v>
      </x:c>
      <x:c r="B2578" s="13" t="str">
        <x:v>CPFL ENERGIA SA</x:v>
      </x:c>
      <x:c r="C2578" s="16" t="n">
        <x:v>1360.3431434521</x:v>
      </x:c>
      <x:c r="D2578" s="13" t="str">
        <x:v>Utilities &amp; Energy</x:v>
      </x:c>
      <x:c r="E2578" s="13" t="str">
        <x:v>Utilities</x:v>
      </x:c>
      <x:c r="F2578" s="13" t="str">
        <x:v>Defensives</x:v>
      </x:c>
      <x:c r="G2578" s="13" t="str">
        <x:v>grid_wekqfxnd.xlsx</x:v>
      </x:c>
    </x:row>
    <x:row r="2579">
      <x:c r="A2579" s="15" t="n">
        <x:v>41426</x:v>
      </x:c>
      <x:c r="B2579" s="13" t="str">
        <x:v>EDP - ENERGIAS DO BRASIL SA</x:v>
      </x:c>
      <x:c r="C2579" s="16" t="n">
        <x:v>569.2157131397</x:v>
      </x:c>
      <x:c r="D2579" s="13" t="str">
        <x:v>Utilities &amp; Energy</x:v>
      </x:c>
      <x:c r="E2579" s="13" t="str">
        <x:v>Utilities</x:v>
      </x:c>
      <x:c r="F2579" s="13" t="str">
        <x:v>Defensives</x:v>
      </x:c>
      <x:c r="G2579" s="13" t="str">
        <x:v>grid_wekqfxnd.xlsx</x:v>
      </x:c>
    </x:row>
    <x:row r="2580">
      <x:c r="A2580" s="15" t="n">
        <x:v>41426</x:v>
      </x:c>
      <x:c r="B2580" s="13" t="str">
        <x:v>ELETROPAULO METROPOLI-PREF</x:v>
      </x:c>
      <x:c r="C2580" s="16" t="n">
        <x:v>18.6532328767</x:v>
      </x:c>
      <x:c r="D2580" s="13" t="str">
        <x:v>Utilities &amp; Energy</x:v>
      </x:c>
      <x:c r="E2580" s="13" t="str">
        <x:v>Utilities</x:v>
      </x:c>
      <x:c r="F2580" s="13" t="str">
        <x:v>Defensives</x:v>
      </x:c>
      <x:c r="G2580" s="13" t="str">
        <x:v>grid_wekqfxnd.xlsx</x:v>
      </x:c>
    </x:row>
    <x:row r="2581">
      <x:c r="A2581" s="15" t="n">
        <x:v>41426</x:v>
      </x:c>
      <x:c r="B2581" s="13" t="str">
        <x:v>ISA ENERGIA BRASIL SA</x:v>
      </x:c>
      <x:c r="C2581" s="16" t="n">
        <x:v>349.7328767123</x:v>
      </x:c>
      <x:c r="D2581" s="13" t="str">
        <x:v>Utilities &amp; Energy</x:v>
      </x:c>
      <x:c r="E2581" s="13" t="str">
        <x:v>Utilities</x:v>
      </x:c>
      <x:c r="F2581" s="13" t="str">
        <x:v>Defensives</x:v>
      </x:c>
      <x:c r="G2581" s="13" t="str">
        <x:v>grid_wekqfxnd.xlsx</x:v>
      </x:c>
    </x:row>
    <x:row r="2582">
      <x:c r="A2582" s="15" t="n">
        <x:v>41426</x:v>
      </x:c>
      <x:c r="B2582" s="13" t="str">
        <x:v>LIGHT SA</x:v>
      </x:c>
      <x:c r="C2582" s="16" t="n">
        <x:v>539.0805341808</x:v>
      </x:c>
      <x:c r="D2582" s="13" t="str">
        <x:v>Utilities &amp; Energy</x:v>
      </x:c>
      <x:c r="E2582" s="13" t="str">
        <x:v>Utilities</x:v>
      </x:c>
      <x:c r="F2582" s="13" t="str">
        <x:v>Defensives</x:v>
      </x:c>
      <x:c r="G2582" s="13" t="str">
        <x:v>grid_wekqfxnd.xlsx</x:v>
      </x:c>
    </x:row>
    <x:row r="2583">
      <x:c r="A2583" s="15" t="n">
        <x:v>41456</x:v>
      </x:c>
      <x:c r="B2583" s="13" t="str">
        <x:v>SLC AGRICOLA CENTRO OESTE SA</x:v>
      </x:c>
      <x:c r="C2583" s="16" t="n">
        <x:v>-18.5750684932</x:v>
      </x:c>
      <x:c r="D2583" s="13" t="str">
        <x:v>Agribusiness</x:v>
      </x:c>
      <x:c r="E2583" s="13" t="str">
        <x:v>Agri, Food &amp; Beverages</x:v>
      </x:c>
      <x:c r="F2583" s="13" t="str">
        <x:v>Defensives</x:v>
      </x:c>
      <x:c r="G2583" s="13" t="str">
        <x:v>grid_wekqfxnd.xlsx</x:v>
      </x:c>
    </x:row>
    <x:row r="2584">
      <x:c r="A2584" s="15" t="n">
        <x:v>41456</x:v>
      </x:c>
      <x:c r="B2584" s="13" t="str">
        <x:v>BANCO BRADESCO S.A.</x:v>
      </x:c>
      <x:c r="C2584" s="16" t="n">
        <x:v>13369.4140107397</x:v>
      </x:c>
      <x:c r="D2584" s="13" t="str">
        <x:v>Banks</x:v>
      </x:c>
      <x:c r="E2584" s="13" t="str">
        <x:v>Banks</x:v>
      </x:c>
      <x:c r="F2584" s="13" t="str">
        <x:v>Financials</x:v>
      </x:c>
      <x:c r="G2584" s="13" t="str">
        <x:v>grid_wekqfxnd.xlsx</x:v>
      </x:c>
    </x:row>
    <x:row r="2585">
      <x:c r="A2585" s="15" t="n">
        <x:v>41456</x:v>
      </x:c>
      <x:c r="B2585" s="13" t="str">
        <x:v>BANCO BRADESCO SA-PREF</x:v>
      </x:c>
      <x:c r="C2585" s="16" t="n">
        <x:v>13369.4140107397</x:v>
      </x:c>
      <x:c r="D2585" s="13" t="str">
        <x:v>Banks</x:v>
      </x:c>
      <x:c r="E2585" s="13" t="str">
        <x:v>Banks</x:v>
      </x:c>
      <x:c r="F2585" s="13" t="str">
        <x:v>Financials</x:v>
      </x:c>
      <x:c r="G2585" s="13" t="str">
        <x:v>grid_wekqfxnd.xlsx</x:v>
      </x:c>
    </x:row>
    <x:row r="2586">
      <x:c r="A2586" s="15" t="n">
        <x:v>41456</x:v>
      </x:c>
      <x:c r="B2586" s="13" t="str">
        <x:v>BANCO DO BRASIL S.A.</x:v>
      </x:c>
      <x:c r="C2586" s="16" t="n">
        <x:v>11030.0521233534</x:v>
      </x:c>
      <x:c r="D2586" s="13" t="str">
        <x:v>Banks</x:v>
      </x:c>
      <x:c r="E2586" s="13" t="str">
        <x:v>Banks</x:v>
      </x:c>
      <x:c r="F2586" s="13" t="str">
        <x:v>Financials</x:v>
      </x:c>
      <x:c r="G2586" s="13" t="str">
        <x:v>grid_wekqfxnd.xlsx</x:v>
      </x:c>
    </x:row>
    <x:row r="2587">
      <x:c r="A2587" s="15" t="n">
        <x:v>41456</x:v>
      </x:c>
      <x:c r="B2587" s="13" t="str">
        <x:v>BANCO SANTANDER  BRASIL-UNIT</x:v>
      </x:c>
      <x:c r="C2587" s="16" t="n">
        <x:v>6260.4598861151</x:v>
      </x:c>
      <x:c r="D2587" s="13" t="str">
        <x:v>Banks</x:v>
      </x:c>
      <x:c r="E2587" s="13" t="str">
        <x:v>Banks</x:v>
      </x:c>
      <x:c r="F2587" s="13" t="str">
        <x:v>Financials</x:v>
      </x:c>
      <x:c r="G2587" s="13" t="str">
        <x:v>grid_wekqfxnd.xlsx</x:v>
      </x:c>
    </x:row>
    <x:row r="2588">
      <x:c r="A2588" s="15" t="n">
        <x:v>41456</x:v>
      </x:c>
      <x:c r="B2588" s="13" t="str">
        <x:v>ITAU UNIBANCO HOLDING S-PREF</x:v>
      </x:c>
      <x:c r="C2588" s="16" t="n">
        <x:v>16240.8913681534</x:v>
      </x:c>
      <x:c r="D2588" s="13" t="str">
        <x:v>Banks</x:v>
      </x:c>
      <x:c r="E2588" s="13" t="str">
        <x:v>Banks</x:v>
      </x:c>
      <x:c r="F2588" s="13" t="str">
        <x:v>Financials</x:v>
      </x:c>
      <x:c r="G2588" s="13" t="str">
        <x:v>grid_wekqfxnd.xlsx</x:v>
      </x:c>
    </x:row>
    <x:row r="2589">
      <x:c r="A2589" s="15" t="n">
        <x:v>41456</x:v>
      </x:c>
      <x:c r="B2589" s="13" t="str">
        <x:v>EMBRAER SA</x:v>
      </x:c>
      <x:c r="C2589" s="16" t="n">
        <x:v>1024.1120045589</x:v>
      </x:c>
      <x:c r="D2589" s="13" t="str">
        <x:v>Capital Goods</x:v>
      </x:c>
      <x:c r="E2589" s="13" t="str">
        <x:v>Capital Goods</x:v>
      </x:c>
      <x:c r="F2589" s="13" t="str">
        <x:v>Deep Cyclicals</x:v>
      </x:c>
      <x:c r="G2589" s="13" t="str">
        <x:v>grid_wekqfxnd.xlsx</x:v>
      </x:c>
    </x:row>
    <x:row r="2590">
      <x:c r="A2590" s="15" t="n">
        <x:v>41456</x:v>
      </x:c>
      <x:c r="B2590" s="13" t="str">
        <x:v>B3 SA-BRASIL BOLSA BALCAO</x:v>
      </x:c>
      <x:c r="C2590" s="16" t="n">
        <x:v>1727.3167205699</x:v>
      </x:c>
      <x:c r="D2590" s="13" t="str">
        <x:v>Financials Non-Banks</x:v>
      </x:c>
      <x:c r="E2590" s="13" t="str">
        <x:v>Financials Non-Banks</x:v>
      </x:c>
      <x:c r="F2590" s="13" t="str">
        <x:v>Financials</x:v>
      </x:c>
      <x:c r="G2590" s="13" t="str">
        <x:v>grid_wekqfxnd.xlsx</x:v>
      </x:c>
    </x:row>
    <x:row r="2591">
      <x:c r="A2591" s="15" t="n">
        <x:v>41456</x:v>
      </x:c>
      <x:c r="B2591" s="13" t="str">
        <x:v>CETIP SA-MERCADOS ORGANIZADO</x:v>
      </x:c>
      <x:c r="C2591" s="16" t="n">
        <x:v>458.4780821918</x:v>
      </x:c>
      <x:c r="D2591" s="13" t="str">
        <x:v>Financials Non-Banks</x:v>
      </x:c>
      <x:c r="E2591" s="13" t="str">
        <x:v>Financials Non-Banks</x:v>
      </x:c>
      <x:c r="F2591" s="13" t="str">
        <x:v>Financials</x:v>
      </x:c>
      <x:c r="G2591" s="13" t="str">
        <x:v>grid_wekqfxnd.xlsx</x:v>
      </x:c>
    </x:row>
    <x:row r="2592">
      <x:c r="A2592" s="15" t="n">
        <x:v>41456</x:v>
      </x:c>
      <x:c r="B2592" s="13" t="str">
        <x:v>CIELO SA - INSTITUICAO DE PA</x:v>
      </x:c>
      <x:c r="C2592" s="16" t="n">
        <x:v>2760.3162119014</x:v>
      </x:c>
      <x:c r="D2592" s="13" t="str">
        <x:v>Financials Non-Banks</x:v>
      </x:c>
      <x:c r="E2592" s="13" t="str">
        <x:v>Financials Non-Banks</x:v>
      </x:c>
      <x:c r="F2592" s="13" t="str">
        <x:v>Financials</x:v>
      </x:c>
      <x:c r="G2592" s="13" t="str">
        <x:v>grid_wekqfxnd.xlsx</x:v>
      </x:c>
    </x:row>
    <x:row r="2593">
      <x:c r="A2593" s="15" t="n">
        <x:v>41456</x:v>
      </x:c>
      <x:c r="B2593" s="13" t="str">
        <x:v>ITAUSA SA</x:v>
      </x:c>
      <x:c r="C2593" s="16" t="n">
        <x:v>6134.8765471562</x:v>
      </x:c>
      <x:c r="D2593" s="13" t="str">
        <x:v>Financials Non-Banks</x:v>
      </x:c>
      <x:c r="E2593" s="13" t="str">
        <x:v>Financials Non-Banks</x:v>
      </x:c>
      <x:c r="F2593" s="13" t="str">
        <x:v>Financials</x:v>
      </x:c>
      <x:c r="G2593" s="13" t="str">
        <x:v>grid_wekqfxnd.xlsx</x:v>
      </x:c>
    </x:row>
    <x:row r="2594">
      <x:c r="A2594" s="15" t="n">
        <x:v>41456</x:v>
      </x:c>
      <x:c r="B2594" s="13" t="str">
        <x:v>AMBEV SA</x:v>
      </x:c>
      <x:c r="C2594" s="16" t="n">
        <x:v>12018.2348701808</x:v>
      </x:c>
      <x:c r="D2594" s="13" t="str">
        <x:v>Food &amp; Beverages</x:v>
      </x:c>
      <x:c r="E2594" s="13" t="str">
        <x:v>Agri, Food &amp; Beverages</x:v>
      </x:c>
      <x:c r="F2594" s="13" t="str">
        <x:v>Defensives</x:v>
      </x:c>
      <x:c r="G2594" s="13" t="str">
        <x:v>grid_wekqfxnd.xlsx</x:v>
      </x:c>
    </x:row>
    <x:row r="2595">
      <x:c r="A2595" s="15" t="n">
        <x:v>41456</x:v>
      </x:c>
      <x:c r="B2595" s="13" t="str">
        <x:v>BRF SA</x:v>
      </x:c>
      <x:c r="C2595" s="16" t="n">
        <x:v>2192.6492882411</x:v>
      </x:c>
      <x:c r="D2595" s="13" t="str">
        <x:v>Food &amp; Beverages</x:v>
      </x:c>
      <x:c r="E2595" s="13" t="str">
        <x:v>Agri, Food &amp; Beverages</x:v>
      </x:c>
      <x:c r="F2595" s="13" t="str">
        <x:v>Defensives</x:v>
      </x:c>
      <x:c r="G2595" s="13" t="str">
        <x:v>grid_wekqfxnd.xlsx</x:v>
      </x:c>
    </x:row>
    <x:row r="2596">
      <x:c r="A2596" s="15" t="n">
        <x:v>41456</x:v>
      </x:c>
      <x:c r="B2596" s="13" t="str">
        <x:v>MBRF GLOBAL FOODS COMPANY SA</x:v>
      </x:c>
      <x:c r="C2596" s="16" t="n">
        <x:v>338.8888210849</x:v>
      </x:c>
      <x:c r="D2596" s="13" t="str">
        <x:v>Food &amp; Beverages</x:v>
      </x:c>
      <x:c r="E2596" s="13" t="str">
        <x:v>Agri, Food &amp; Beverages</x:v>
      </x:c>
      <x:c r="F2596" s="13" t="str">
        <x:v>Defensives</x:v>
      </x:c>
      <x:c r="G2596" s="13" t="str">
        <x:v>grid_wekqfxnd.xlsx</x:v>
      </x:c>
    </x:row>
    <x:row r="2597">
      <x:c r="A2597" s="15" t="n">
        <x:v>41456</x:v>
      </x:c>
      <x:c r="B2597" s="13" t="str">
        <x:v>SOUZA CRUZ LTDA</x:v>
      </x:c>
      <x:c r="C2597" s="16" t="n">
        <x:v>1940.8821917808</x:v>
      </x:c>
      <x:c r="D2597" s="13" t="str">
        <x:v>Food &amp; Beverages</x:v>
      </x:c>
      <x:c r="E2597" s="13" t="str">
        <x:v>Agri, Food &amp; Beverages</x:v>
      </x:c>
      <x:c r="F2597" s="13" t="str">
        <x:v>Defensives</x:v>
      </x:c>
      <x:c r="G2597" s="13" t="str">
        <x:v>grid_wekqfxnd.xlsx</x:v>
      </x:c>
    </x:row>
    <x:row r="2598">
      <x:c r="A2598" s="15" t="n">
        <x:v>41456</x:v>
      </x:c>
      <x:c r="B2598" s="13" t="str">
        <x:v>DIAGNOSTICOS DA AMERICA SA</x:v>
      </x:c>
      <x:c r="C2598" s="16" t="n">
        <x:v>174.3810802849</x:v>
      </x:c>
      <x:c r="D2598" s="13" t="str">
        <x:v>Health Care</x:v>
      </x:c>
      <x:c r="E2598" s="13" t="str">
        <x:v>Health Care</x:v>
      </x:c>
      <x:c r="F2598" s="13" t="str">
        <x:v>Defensives</x:v>
      </x:c>
      <x:c r="G2598" s="13" t="str">
        <x:v>grid_wekqfxnd.xlsx</x:v>
      </x:c>
    </x:row>
    <x:row r="2599">
      <x:c r="A2599" s="15" t="n">
        <x:v>41456</x:v>
      </x:c>
      <x:c r="B2599" s="13" t="str">
        <x:v>HYPERA SA</x:v>
      </x:c>
      <x:c r="C2599" s="16" t="n">
        <x:v>460.9069219945</x:v>
      </x:c>
      <x:c r="D2599" s="13" t="str">
        <x:v>Health Care</x:v>
      </x:c>
      <x:c r="E2599" s="13" t="str">
        <x:v>Health Care</x:v>
      </x:c>
      <x:c r="F2599" s="13" t="str">
        <x:v>Defensives</x:v>
      </x:c>
      <x:c r="G2599" s="13" t="str">
        <x:v>grid_wekqfxnd.xlsx</x:v>
      </x:c>
    </x:row>
    <x:row r="2600">
      <x:c r="A2600" s="15" t="n">
        <x:v>41456</x:v>
      </x:c>
      <x:c r="B2600" s="13" t="str">
        <x:v>CYRELA BRAZIL REALTY SA EMP</x:v>
      </x:c>
      <x:c r="C2600" s="16" t="n">
        <x:v>890.9745569315</x:v>
      </x:c>
      <x:c r="D2600" s="13" t="str">
        <x:v>Homebuilders</x:v>
      </x:c>
      <x:c r="E2600" s="13" t="str">
        <x:v>Real Estate</x:v>
      </x:c>
      <x:c r="F2600" s="13" t="str">
        <x:v>Early Cyclicals</x:v>
      </x:c>
      <x:c r="G2600" s="13" t="str">
        <x:v>grid_wekqfxnd.xlsx</x:v>
      </x:c>
    </x:row>
    <x:row r="2601">
      <x:c r="A2601" s="15" t="n">
        <x:v>41456</x:v>
      </x:c>
      <x:c r="B2601" s="13" t="str">
        <x:v>GAFISA SA</x:v>
      </x:c>
      <x:c r="C2601" s="16" t="n">
        <x:v>170.4482684932</x:v>
      </x:c>
      <x:c r="D2601" s="13" t="str">
        <x:v>Homebuilders</x:v>
      </x:c>
      <x:c r="E2601" s="13" t="str">
        <x:v>Real Estate</x:v>
      </x:c>
      <x:c r="F2601" s="13" t="str">
        <x:v>Early Cyclicals</x:v>
      </x:c>
      <x:c r="G2601" s="13" t="str">
        <x:v>grid_wekqfxnd.xlsx</x:v>
      </x:c>
    </x:row>
    <x:row r="2602">
      <x:c r="A2602" s="15" t="n">
        <x:v>41456</x:v>
      </x:c>
      <x:c r="B2602" s="13" t="str">
        <x:v>MRV ENGENHARIA</x:v>
      </x:c>
      <x:c r="C2602" s="16" t="n">
        <x:v>533.5733433863</x:v>
      </x:c>
      <x:c r="D2602" s="13" t="str">
        <x:v>Homebuilders</x:v>
      </x:c>
      <x:c r="E2602" s="13" t="str">
        <x:v>Real Estate</x:v>
      </x:c>
      <x:c r="F2602" s="13" t="str">
        <x:v>Early Cyclicals</x:v>
      </x:c>
      <x:c r="G2602" s="13" t="str">
        <x:v>grid_wekqfxnd.xlsx</x:v>
      </x:c>
    </x:row>
    <x:row r="2603">
      <x:c r="A2603" s="15" t="n">
        <x:v>41456</x:v>
      </x:c>
      <x:c r="B2603" s="13" t="str">
        <x:v>PDG REALTY SA</x:v>
      </x:c>
      <x:c r="C2603" s="16" t="n">
        <x:v>243.9127142356</x:v>
      </x:c>
      <x:c r="D2603" s="13" t="str">
        <x:v>Homebuilders</x:v>
      </x:c>
      <x:c r="E2603" s="13" t="str">
        <x:v>Real Estate</x:v>
      </x:c>
      <x:c r="F2603" s="13" t="str">
        <x:v>Early Cyclicals</x:v>
      </x:c>
      <x:c r="G2603" s="13" t="str">
        <x:v>grid_wekqfxnd.xlsx</x:v>
      </x:c>
    </x:row>
    <x:row r="2604">
      <x:c r="A2604" s="15" t="n">
        <x:v>41456</x:v>
      </x:c>
      <x:c r="B2604" s="13" t="str">
        <x:v>ROSSI RESIDENCIAL SA</x:v>
      </x:c>
      <x:c r="C2604" s="16" t="n">
        <x:v>168.5098328767</x:v>
      </x:c>
      <x:c r="D2604" s="13" t="str">
        <x:v>Homebuilders</x:v>
      </x:c>
      <x:c r="E2604" s="13" t="str">
        <x:v>Real Estate</x:v>
      </x:c>
      <x:c r="F2604" s="13" t="str">
        <x:v>Early Cyclicals</x:v>
      </x:c>
      <x:c r="G2604" s="13" t="str">
        <x:v>grid_wekqfxnd.xlsx</x:v>
      </x:c>
    </x:row>
    <x:row r="2605">
      <x:c r="A2605" s="15" t="n">
        <x:v>41456</x:v>
      </x:c>
      <x:c r="B2605" s="13" t="str">
        <x:v>TEGRA INCORPORADORA SA</x:v>
      </x:c>
      <x:c r="C2605" s="16" t="n">
        <x:v>213.2471239014</x:v>
      </x:c>
      <x:c r="D2605" s="13" t="str">
        <x:v>Homebuilders</x:v>
      </x:c>
      <x:c r="E2605" s="13" t="str">
        <x:v>Real Estate</x:v>
      </x:c>
      <x:c r="F2605" s="13" t="str">
        <x:v>Early Cyclicals</x:v>
      </x:c>
      <x:c r="G2605" s="13" t="str">
        <x:v>grid_wekqfxnd.xlsx</x:v>
      </x:c>
    </x:row>
    <x:row r="2606">
      <x:c r="A2606" s="15" t="n">
        <x:v>41456</x:v>
      </x:c>
      <x:c r="B2606" s="13" t="str">
        <x:v>BR MALLS PARTICIPACOES SA</x:v>
      </x:c>
      <x:c r="C2606" s="16" t="n">
        <x:v>550.2737205479</x:v>
      </x:c>
      <x:c r="D2606" s="13" t="str">
        <x:v>Income Properties</x:v>
      </x:c>
      <x:c r="E2606" s="13" t="str">
        <x:v>Real Estate</x:v>
      </x:c>
      <x:c r="F2606" s="13" t="str">
        <x:v>Early Cyclicals</x:v>
      </x:c>
      <x:c r="G2606" s="13" t="str">
        <x:v>grid_wekqfxnd.xlsx</x:v>
      </x:c>
    </x:row>
    <x:row r="2607">
      <x:c r="A2607" s="15" t="n">
        <x:v>41456</x:v>
      </x:c>
      <x:c r="B2607" s="13" t="str">
        <x:v>SOLID ATIVOS IMOBILIARIOS SA</x:v>
      </x:c>
      <x:c r="C2607" s="16" t="n">
        <x:v>393.6342465753</x:v>
      </x:c>
      <x:c r="D2607" s="13" t="str">
        <x:v>Income Properties</x:v>
      </x:c>
      <x:c r="E2607" s="13" t="str">
        <x:v>Real Estate</x:v>
      </x:c>
      <x:c r="F2607" s="13" t="str">
        <x:v>Early Cyclicals</x:v>
      </x:c>
      <x:c r="G2607" s="13" t="str">
        <x:v>grid_wekqfxnd.xlsx</x:v>
      </x:c>
    </x:row>
    <x:row r="2608">
      <x:c r="A2608" s="15" t="n">
        <x:v>41456</x:v>
      </x:c>
      <x:c r="B2608" s="13" t="str">
        <x:v>BRADESPAR SA -PREF</x:v>
      </x:c>
      <x:c r="C2608" s="16" t="n">
        <x:v>1245.3924776329</x:v>
      </x:c>
      <x:c r="D2608" s="13" t="str">
        <x:v>Metals &amp; Mining</x:v>
      </x:c>
      <x:c r="E2608" s="13" t="str">
        <x:v>Metals &amp; Mining</x:v>
      </x:c>
      <x:c r="F2608" s="13" t="str">
        <x:v>Deep Cyclicals</x:v>
      </x:c>
      <x:c r="G2608" s="13" t="str">
        <x:v>grid_wekqfxnd.xlsx</x:v>
      </x:c>
    </x:row>
    <x:row r="2609">
      <x:c r="A2609" s="15" t="n">
        <x:v>41456</x:v>
      </x:c>
      <x:c r="B2609" s="13" t="str">
        <x:v>CIA SIDERURGICA NACIONAL SA</x:v>
      </x:c>
      <x:c r="C2609" s="16" t="n">
        <x:v>828.6150136986</x:v>
      </x:c>
      <x:c r="D2609" s="13" t="str">
        <x:v>Metals &amp; Mining</x:v>
      </x:c>
      <x:c r="E2609" s="13" t="str">
        <x:v>Metals &amp; Mining</x:v>
      </x:c>
      <x:c r="F2609" s="13" t="str">
        <x:v>Deep Cyclicals</x:v>
      </x:c>
      <x:c r="G2609" s="13" t="str">
        <x:v>grid_wekqfxnd.xlsx</x:v>
      </x:c>
    </x:row>
    <x:row r="2610">
      <x:c r="A2610" s="15" t="n">
        <x:v>41456</x:v>
      </x:c>
      <x:c r="B2610" s="13" t="str">
        <x:v>GERDAU SA-PREF</x:v>
      </x:c>
      <x:c r="C2610" s="16" t="n">
        <x:v>1760.3665204603</x:v>
      </x:c>
      <x:c r="D2610" s="13" t="str">
        <x:v>Metals &amp; Mining</x:v>
      </x:c>
      <x:c r="E2610" s="13" t="str">
        <x:v>Metals &amp; Mining</x:v>
      </x:c>
      <x:c r="F2610" s="13" t="str">
        <x:v>Deep Cyclicals</x:v>
      </x:c>
      <x:c r="G2610" s="13" t="str">
        <x:v>grid_wekqfxnd.xlsx</x:v>
      </x:c>
    </x:row>
    <x:row r="2611">
      <x:c r="A2611" s="15" t="n">
        <x:v>41456</x:v>
      </x:c>
      <x:c r="B2611" s="13" t="str">
        <x:v>METALURGICA GERDAU SA-PREF</x:v>
      </x:c>
      <x:c r="C2611" s="16" t="n">
        <x:v>721.3808219178</x:v>
      </x:c>
      <x:c r="D2611" s="13" t="str">
        <x:v>Metals &amp; Mining</x:v>
      </x:c>
      <x:c r="E2611" s="13" t="str">
        <x:v>Metals &amp; Mining</x:v>
      </x:c>
      <x:c r="F2611" s="13" t="str">
        <x:v>Deep Cyclicals</x:v>
      </x:c>
      <x:c r="G2611" s="13" t="str">
        <x:v>grid_wekqfxnd.xlsx</x:v>
      </x:c>
    </x:row>
    <x:row r="2612">
      <x:c r="A2612" s="15" t="n">
        <x:v>41456</x:v>
      </x:c>
      <x:c r="B2612" s="13" t="str">
        <x:v>MMX MINERACAO E METALICOS SA</x:v>
      </x:c>
      <x:c r="C2612" s="16" t="n">
        <x:v>-130.6932931507</x:v>
      </x:c>
      <x:c r="D2612" s="13" t="str">
        <x:v>Metals &amp; Mining</x:v>
      </x:c>
      <x:c r="E2612" s="13" t="str">
        <x:v>Metals &amp; Mining</x:v>
      </x:c>
      <x:c r="F2612" s="13" t="str">
        <x:v>Deep Cyclicals</x:v>
      </x:c>
      <x:c r="G2612" s="13" t="str">
        <x:v>grid_wekqfxnd.xlsx</x:v>
      </x:c>
    </x:row>
    <x:row r="2613">
      <x:c r="A2613" s="15" t="n">
        <x:v>41456</x:v>
      </x:c>
      <x:c r="B2613" s="13" t="str">
        <x:v>USINAS SIDER MINAS GER-PF A</x:v>
      </x:c>
      <x:c r="C2613" s="16" t="n">
        <x:v>263.4366092932</x:v>
      </x:c>
      <x:c r="D2613" s="13" t="str">
        <x:v>Metals &amp; Mining</x:v>
      </x:c>
      <x:c r="E2613" s="13" t="str">
        <x:v>Metals &amp; Mining</x:v>
      </x:c>
      <x:c r="F2613" s="13" t="str">
        <x:v>Deep Cyclicals</x:v>
      </x:c>
      <x:c r="G2613" s="13" t="str">
        <x:v>grid_wekqfxnd.xlsx</x:v>
      </x:c>
    </x:row>
    <x:row r="2614">
      <x:c r="A2614" s="15" t="n">
        <x:v>41456</x:v>
      </x:c>
      <x:c r="B2614" s="13" t="str">
        <x:v>USINAS SIDERURGICAS DE MINAS</x:v>
      </x:c>
      <x:c r="C2614" s="16" t="n">
        <x:v>263.4366092932</x:v>
      </x:c>
      <x:c r="D2614" s="13" t="str">
        <x:v>Metals &amp; Mining</x:v>
      </x:c>
      <x:c r="E2614" s="13" t="str">
        <x:v>Metals &amp; Mining</x:v>
      </x:c>
      <x:c r="F2614" s="13" t="str">
        <x:v>Deep Cyclicals</x:v>
      </x:c>
      <x:c r="G2614" s="13" t="str">
        <x:v>grid_wekqfxnd.xlsx</x:v>
      </x:c>
    </x:row>
    <x:row r="2615">
      <x:c r="A2615" s="15" t="n">
        <x:v>41456</x:v>
      </x:c>
      <x:c r="B2615" s="13" t="str">
        <x:v>VALE SA</x:v>
      </x:c>
      <x:c r="C2615" s="16" t="n">
        <x:v>23981.7748648329</x:v>
      </x:c>
      <x:c r="D2615" s="13" t="str">
        <x:v>Metals &amp; Mining</x:v>
      </x:c>
      <x:c r="E2615" s="13" t="str">
        <x:v>Metals &amp; Mining</x:v>
      </x:c>
      <x:c r="F2615" s="13" t="str">
        <x:v>Deep Cyclicals</x:v>
      </x:c>
      <x:c r="G2615" s="13" t="str">
        <x:v>grid_wekqfxnd.xlsx</x:v>
      </x:c>
    </x:row>
    <x:row r="2616">
      <x:c r="A2616" s="15" t="n">
        <x:v>41456</x:v>
      </x:c>
      <x:c r="B2616" s="13" t="str">
        <x:v>BRASKEM SA-PREF A</x:v>
      </x:c>
      <x:c r="C2616" s="16" t="n">
        <x:v>990.2449509699</x:v>
      </x:c>
      <x:c r="D2616" s="13" t="str">
        <x:v>Oil, Gas &amp; Petrochemicals</x:v>
      </x:c>
      <x:c r="E2616" s="13" t="str">
        <x:v>Oil, Gas &amp; Petrochemicals</x:v>
      </x:c>
      <x:c r="F2616" s="13" t="str">
        <x:v>Deep Cyclicals</x:v>
      </x:c>
      <x:c r="G2616" s="13" t="str">
        <x:v>grid_wekqfxnd.xlsx</x:v>
      </x:c>
    </x:row>
    <x:row r="2617">
      <x:c r="A2617" s="15" t="n">
        <x:v>41456</x:v>
      </x:c>
      <x:c r="B2617" s="13" t="str">
        <x:v>OLEO E GAS PARTICIPACOES SA</x:v>
      </x:c>
      <x:c r="C2617" s="16" t="n">
        <x:v>-972.5533418959</x:v>
      </x:c>
      <x:c r="D2617" s="13" t="str">
        <x:v>Oil, Gas &amp; Petrochemicals</x:v>
      </x:c>
      <x:c r="E2617" s="13" t="str">
        <x:v>Oil, Gas &amp; Petrochemicals</x:v>
      </x:c>
      <x:c r="F2617" s="13" t="str">
        <x:v>Deep Cyclicals</x:v>
      </x:c>
      <x:c r="G2617" s="13" t="str">
        <x:v>grid_wekqfxnd.xlsx</x:v>
      </x:c>
    </x:row>
    <x:row r="2618">
      <x:c r="A2618" s="15" t="n">
        <x:v>41456</x:v>
      </x:c>
      <x:c r="B2618" s="13" t="str">
        <x:v>PETROBRAS - PETROLEO BRAS</x:v>
      </x:c>
      <x:c r="C2618" s="16" t="n">
        <x:v>30442.7604052164</x:v>
      </x:c>
      <x:c r="D2618" s="13" t="str">
        <x:v>Oil, Gas &amp; Petrochemicals</x:v>
      </x:c>
      <x:c r="E2618" s="13" t="str">
        <x:v>Oil, Gas &amp; Petrochemicals</x:v>
      </x:c>
      <x:c r="F2618" s="13" t="str">
        <x:v>Deep Cyclicals</x:v>
      </x:c>
      <x:c r="G2618" s="13" t="str">
        <x:v>grid_wekqfxnd.xlsx</x:v>
      </x:c>
    </x:row>
    <x:row r="2619">
      <x:c r="A2619" s="15" t="n">
        <x:v>41456</x:v>
      </x:c>
      <x:c r="B2619" s="13" t="str">
        <x:v>ULTRAPAR PARTICIPACOES SA</x:v>
      </x:c>
      <x:c r="C2619" s="16" t="n">
        <x:v>1276.3775796603</x:v>
      </x:c>
      <x:c r="D2619" s="13" t="str">
        <x:v>Oil, Gas &amp; Petrochemicals</x:v>
      </x:c>
      <x:c r="E2619" s="13" t="str">
        <x:v>Oil, Gas &amp; Petrochemicals</x:v>
      </x:c>
      <x:c r="F2619" s="13" t="str">
        <x:v>Deep Cyclicals</x:v>
      </x:c>
      <x:c r="G2619" s="13" t="str">
        <x:v>grid_wekqfxnd.xlsx</x:v>
      </x:c>
    </x:row>
    <x:row r="2620">
      <x:c r="A2620" s="15" t="n">
        <x:v>41456</x:v>
      </x:c>
      <x:c r="B2620" s="13" t="str">
        <x:v>DEXCO SA</x:v>
      </x:c>
      <x:c r="C2620" s="16" t="n">
        <x:v>590.9070569205</x:v>
      </x:c>
      <x:c r="D2620" s="13" t="str">
        <x:v>Pulp &amp; Paper</x:v>
      </x:c>
      <x:c r="E2620" s="13" t="str">
        <x:v>Pulp &amp; Paper</x:v>
      </x:c>
      <x:c r="F2620" s="13" t="str">
        <x:v>Deep Cyclicals</x:v>
      </x:c>
      <x:c r="G2620" s="13" t="str">
        <x:v>grid_wekqfxnd.xlsx</x:v>
      </x:c>
    </x:row>
    <x:row r="2621">
      <x:c r="A2621" s="15" t="n">
        <x:v>41456</x:v>
      </x:c>
      <x:c r="B2621" s="13" t="str">
        <x:v>FIBRIA CELULOSE S/A</x:v>
      </x:c>
      <x:c r="C2621" s="16" t="n">
        <x:v>46.2581534247</x:v>
      </x:c>
      <x:c r="D2621" s="13" t="str">
        <x:v>Pulp &amp; Paper</x:v>
      </x:c>
      <x:c r="E2621" s="13" t="str">
        <x:v>Pulp &amp; Paper</x:v>
      </x:c>
      <x:c r="F2621" s="13" t="str">
        <x:v>Deep Cyclicals</x:v>
      </x:c>
      <x:c r="G2621" s="13" t="str">
        <x:v>grid_wekqfxnd.xlsx</x:v>
      </x:c>
    </x:row>
    <x:row r="2622">
      <x:c r="A2622" s="15" t="n">
        <x:v>41456</x:v>
      </x:c>
      <x:c r="B2622" s="13" t="str">
        <x:v>SUZANO PAPEL E CELULO-PREF A</x:v>
      </x:c>
      <x:c r="C2622" s="16" t="n">
        <x:v>252.8987912219</x:v>
      </x:c>
      <x:c r="D2622" s="13" t="str">
        <x:v>Pulp &amp; Paper</x:v>
      </x:c>
      <x:c r="E2622" s="13" t="str">
        <x:v>Pulp &amp; Paper</x:v>
      </x:c>
      <x:c r="F2622" s="13" t="str">
        <x:v>Deep Cyclicals</x:v>
      </x:c>
      <x:c r="G2622" s="13" t="str">
        <x:v>grid_wekqfxnd.xlsx</x:v>
      </x:c>
    </x:row>
    <x:row r="2623">
      <x:c r="A2623" s="15" t="n">
        <x:v>41456</x:v>
      </x:c>
      <x:c r="B2623" s="13" t="str">
        <x:v>AMERICANAS SA</x:v>
      </x:c>
      <x:c r="C2623" s="16" t="n">
        <x:v>-120.9241291836</x:v>
      </x:c>
      <x:c r="D2623" s="13" t="str">
        <x:v>Retail</x:v>
      </x:c>
      <x:c r="E2623" s="13" t="str">
        <x:v>Retail</x:v>
      </x:c>
      <x:c r="F2623" s="13" t="str">
        <x:v>Early Cyclicals</x:v>
      </x:c>
      <x:c r="G2623" s="13" t="str">
        <x:v>grid_wekqfxnd.xlsx</x:v>
      </x:c>
    </x:row>
    <x:row r="2624">
      <x:c r="A2624" s="15" t="n">
        <x:v>41456</x:v>
      </x:c>
      <x:c r="B2624" s="13" t="str">
        <x:v>CIA BRASILEIRA DE DIS-PREF</x:v>
      </x:c>
      <x:c r="C2624" s="16" t="n">
        <x:v>1371.7284983233</x:v>
      </x:c>
      <x:c r="D2624" s="13" t="str">
        <x:v>Retail</x:v>
      </x:c>
      <x:c r="E2624" s="13" t="str">
        <x:v>Retail</x:v>
      </x:c>
      <x:c r="F2624" s="13" t="str">
        <x:v>Early Cyclicals</x:v>
      </x:c>
      <x:c r="G2624" s="13" t="str">
        <x:v>grid_wekqfxnd.xlsx</x:v>
      </x:c>
    </x:row>
    <x:row r="2625">
      <x:c r="A2625" s="15" t="n">
        <x:v>41456</x:v>
      </x:c>
      <x:c r="B2625" s="13" t="str">
        <x:v>CIA HERING</x:v>
      </x:c>
      <x:c r="C2625" s="16" t="n">
        <x:v>363.5514965041</x:v>
      </x:c>
      <x:c r="D2625" s="13" t="str">
        <x:v>Retail</x:v>
      </x:c>
      <x:c r="E2625" s="13" t="str">
        <x:v>Retail</x:v>
      </x:c>
      <x:c r="F2625" s="13" t="str">
        <x:v>Early Cyclicals</x:v>
      </x:c>
      <x:c r="G2625" s="13" t="str">
        <x:v>grid_wekqfxnd.xlsx</x:v>
      </x:c>
    </x:row>
    <x:row r="2626">
      <x:c r="A2626" s="15" t="n">
        <x:v>41456</x:v>
      </x:c>
      <x:c r="B2626" s="13" t="str">
        <x:v>LOJAS AMERICANAS SA-PREF</x:v>
      </x:c>
      <x:c r="C2626" s="16" t="n">
        <x:v>579.7873902466</x:v>
      </x:c>
      <x:c r="D2626" s="13" t="str">
        <x:v>Retail</x:v>
      </x:c>
      <x:c r="E2626" s="13" t="str">
        <x:v>Retail</x:v>
      </x:c>
      <x:c r="F2626" s="13" t="str">
        <x:v>Early Cyclicals</x:v>
      </x:c>
      <x:c r="G2626" s="13" t="str">
        <x:v>grid_wekqfxnd.xlsx</x:v>
      </x:c>
    </x:row>
    <x:row r="2627">
      <x:c r="A2627" s="15" t="n">
        <x:v>41456</x:v>
      </x:c>
      <x:c r="B2627" s="13" t="str">
        <x:v>LOJAS RENNER S.A.</x:v>
      </x:c>
      <x:c r="C2627" s="16" t="n">
        <x:v>463.319373063</x:v>
      </x:c>
      <x:c r="D2627" s="13" t="str">
        <x:v>Retail</x:v>
      </x:c>
      <x:c r="E2627" s="13" t="str">
        <x:v>Retail</x:v>
      </x:c>
      <x:c r="F2627" s="13" t="str">
        <x:v>Early Cyclicals</x:v>
      </x:c>
      <x:c r="G2627" s="13" t="str">
        <x:v>grid_wekqfxnd.xlsx</x:v>
      </x:c>
    </x:row>
    <x:row r="2628">
      <x:c r="A2628" s="15" t="n">
        <x:v>41456</x:v>
      </x:c>
      <x:c r="B2628" s="13" t="str">
        <x:v>NATURA COSMETICOS SA</x:v>
      </x:c>
      <x:c r="C2628" s="16" t="n">
        <x:v>995.1913193205</x:v>
      </x:c>
      <x:c r="D2628" s="13" t="str">
        <x:v>Retail</x:v>
      </x:c>
      <x:c r="E2628" s="13" t="str">
        <x:v>Retail</x:v>
      </x:c>
      <x:c r="F2628" s="13" t="str">
        <x:v>Early Cyclicals</x:v>
      </x:c>
      <x:c r="G2628" s="13" t="str">
        <x:v>grid_wekqfxnd.xlsx</x:v>
      </x:c>
    </x:row>
    <x:row r="2629">
      <x:c r="A2629" s="15" t="n">
        <x:v>41456</x:v>
      </x:c>
      <x:c r="B2629" s="13" t="str">
        <x:v>CIA SANEAMENTO BASICO DE SP</x:v>
      </x:c>
      <x:c r="C2629" s="16" t="n">
        <x:v>2134.0918759452</x:v>
      </x:c>
      <x:c r="D2629" s="13" t="str">
        <x:v>Sanitation</x:v>
      </x:c>
      <x:c r="E2629" s="13" t="str">
        <x:v>Utilities</x:v>
      </x:c>
      <x:c r="F2629" s="13" t="str">
        <x:v>Defensives</x:v>
      </x:c>
      <x:c r="G2629" s="13" t="str">
        <x:v>grid_wekqfxnd.xlsx</x:v>
      </x:c>
    </x:row>
    <x:row r="2630">
      <x:c r="A2630" s="15" t="n">
        <x:v>41456</x:v>
      </x:c>
      <x:c r="B2630" s="13" t="str">
        <x:v>OI S.A.</x:v>
      </x:c>
      <x:c r="C2630" s="16" t="n">
        <x:v>1040.1401173918</x:v>
      </x:c>
      <x:c r="D2630" s="13" t="str">
        <x:v>TMT</x:v>
      </x:c>
      <x:c r="E2630" s="13" t="str">
        <x:v>TMT</x:v>
      </x:c>
      <x:c r="F2630" s="13" t="str">
        <x:v>Early Cyclicals</x:v>
      </x:c>
      <x:c r="G2630" s="13" t="str">
        <x:v>grid_wekqfxnd.xlsx</x:v>
      </x:c>
    </x:row>
    <x:row r="2631">
      <x:c r="A2631" s="15" t="n">
        <x:v>41456</x:v>
      </x:c>
      <x:c r="B2631" s="13" t="str">
        <x:v>OI SA-PREFERENCE</x:v>
      </x:c>
      <x:c r="C2631" s="16" t="n">
        <x:v>1040.1401173918</x:v>
      </x:c>
      <x:c r="D2631" s="13" t="str">
        <x:v>TMT</x:v>
      </x:c>
      <x:c r="E2631" s="13" t="str">
        <x:v>TMT</x:v>
      </x:c>
      <x:c r="F2631" s="13" t="str">
        <x:v>Early Cyclicals</x:v>
      </x:c>
      <x:c r="G2631" s="13" t="str">
        <x:v>grid_wekqfxnd.xlsx</x:v>
      </x:c>
    </x:row>
    <x:row r="2632">
      <x:c r="A2632" s="15" t="n">
        <x:v>41456</x:v>
      </x:c>
      <x:c r="B2632" s="13" t="str">
        <x:v>TELEFONICA BRASIL S.A.-PREF</x:v>
      </x:c>
      <x:c r="C2632" s="16" t="n">
        <x:v>4434.1901452274</x:v>
      </x:c>
      <x:c r="D2632" s="13" t="str">
        <x:v>TMT</x:v>
      </x:c>
      <x:c r="E2632" s="13" t="str">
        <x:v>TMT</x:v>
      </x:c>
      <x:c r="F2632" s="13" t="str">
        <x:v>Early Cyclicals</x:v>
      </x:c>
      <x:c r="G2632" s="13" t="str">
        <x:v>grid_wekqfxnd.xlsx</x:v>
      </x:c>
    </x:row>
    <x:row r="2633">
      <x:c r="A2633" s="15" t="n">
        <x:v>41456</x:v>
      </x:c>
      <x:c r="B2633" s="13" t="str">
        <x:v>TIM SA</x:v>
      </x:c>
      <x:c r="C2633" s="16" t="n">
        <x:v>1722.6602015562</x:v>
      </x:c>
      <x:c r="D2633" s="13" t="str">
        <x:v>TMT</x:v>
      </x:c>
      <x:c r="E2633" s="13" t="str">
        <x:v>TMT</x:v>
      </x:c>
      <x:c r="F2633" s="13" t="str">
        <x:v>Early Cyclicals</x:v>
      </x:c>
      <x:c r="G2633" s="13" t="str">
        <x:v>grid_wekqfxnd.xlsx</x:v>
      </x:c>
    </x:row>
    <x:row r="2634">
      <x:c r="A2634" s="15" t="n">
        <x:v>41456</x:v>
      </x:c>
      <x:c r="B2634" s="13" t="str">
        <x:v>GOL LINHAS AEREAS INT SA-PRE</x:v>
      </x:c>
      <x:c r="C2634" s="16" t="n">
        <x:v>-38.5346088329</x:v>
      </x:c>
      <x:c r="D2634" s="13" t="str">
        <x:v>Transportation</x:v>
      </x:c>
      <x:c r="E2634" s="13" t="str">
        <x:v>Transportation</x:v>
      </x:c>
      <x:c r="F2634" s="13" t="str">
        <x:v>Deep Cyclicals</x:v>
      </x:c>
      <x:c r="G2634" s="13" t="str">
        <x:v>grid_wekqfxnd.xlsx</x:v>
      </x:c>
    </x:row>
    <x:row r="2635">
      <x:c r="A2635" s="15" t="n">
        <x:v>41456</x:v>
      </x:c>
      <x:c r="B2635" s="13" t="str">
        <x:v>LOCALIZA RENT A CAR</x:v>
      </x:c>
      <x:c r="C2635" s="16" t="n">
        <x:v>394.2972383562</x:v>
      </x:c>
      <x:c r="D2635" s="13" t="str">
        <x:v>Transportation</x:v>
      </x:c>
      <x:c r="E2635" s="13" t="str">
        <x:v>Transportation</x:v>
      </x:c>
      <x:c r="F2635" s="13" t="str">
        <x:v>Deep Cyclicals</x:v>
      </x:c>
      <x:c r="G2635" s="13" t="str">
        <x:v>grid_wekqfxnd.xlsx</x:v>
      </x:c>
    </x:row>
    <x:row r="2636">
      <x:c r="A2636" s="15" t="n">
        <x:v>41456</x:v>
      </x:c>
      <x:c r="B2636" s="13" t="str">
        <x:v>MOTIVA INFRAESTRUTURA DE MOB</x:v>
      </x:c>
      <x:c r="C2636" s="16" t="n">
        <x:v>1680.9470674411</x:v>
      </x:c>
      <x:c r="D2636" s="13" t="str">
        <x:v>Transportation</x:v>
      </x:c>
      <x:c r="E2636" s="13" t="str">
        <x:v>Transportation</x:v>
      </x:c>
      <x:c r="F2636" s="13" t="str">
        <x:v>Deep Cyclicals</x:v>
      </x:c>
      <x:c r="G2636" s="13" t="str">
        <x:v>grid_wekqfxnd.xlsx</x:v>
      </x:c>
    </x:row>
    <x:row r="2637">
      <x:c r="A2637" s="15" t="n">
        <x:v>41456</x:v>
      </x:c>
      <x:c r="B2637" s="13" t="str">
        <x:v>PRUMO LOGISTICA SA</x:v>
      </x:c>
      <x:c r="C2637" s="16" t="n">
        <x:v>-53.1151232877</x:v>
      </x:c>
      <x:c r="D2637" s="13" t="str">
        <x:v>Transportation</x:v>
      </x:c>
      <x:c r="E2637" s="13" t="str">
        <x:v>Transportation</x:v>
      </x:c>
      <x:c r="F2637" s="13" t="str">
        <x:v>Deep Cyclicals</x:v>
      </x:c>
      <x:c r="G2637" s="13" t="str">
        <x:v>grid_wekqfxnd.xlsx</x:v>
      </x:c>
    </x:row>
    <x:row r="2638">
      <x:c r="A2638" s="15" t="n">
        <x:v>41456</x:v>
      </x:c>
      <x:c r="B2638" s="13" t="str">
        <x:v>RUMO SA</x:v>
      </x:c>
      <x:c r="C2638" s="16" t="n">
        <x:v>418.9368881096</x:v>
      </x:c>
      <x:c r="D2638" s="13" t="str">
        <x:v>Transportation</x:v>
      </x:c>
      <x:c r="E2638" s="13" t="str">
        <x:v>Transportation</x:v>
      </x:c>
      <x:c r="F2638" s="13" t="str">
        <x:v>Deep Cyclicals</x:v>
      </x:c>
      <x:c r="G2638" s="13" t="str">
        <x:v>grid_wekqfxnd.xlsx</x:v>
      </x:c>
    </x:row>
    <x:row r="2639">
      <x:c r="A2639" s="15" t="n">
        <x:v>41456</x:v>
      </x:c>
      <x:c r="B2639" s="13" t="str">
        <x:v>AXIA ENERGIA SA</x:v>
      </x:c>
      <x:c r="C2639" s="16" t="n">
        <x:v>1763.3986538959</x:v>
      </x:c>
      <x:c r="D2639" s="13" t="str">
        <x:v>Utilities &amp; Energy</x:v>
      </x:c>
      <x:c r="E2639" s="13" t="str">
        <x:v>Utilities</x:v>
      </x:c>
      <x:c r="F2639" s="13" t="str">
        <x:v>Defensives</x:v>
      </x:c>
      <x:c r="G2639" s="13" t="str">
        <x:v>grid_wekqfxnd.xlsx</x:v>
      </x:c>
    </x:row>
    <x:row r="2640">
      <x:c r="A2640" s="15" t="n">
        <x:v>41456</x:v>
      </x:c>
      <x:c r="B2640" s="13" t="str">
        <x:v>AXIA ENERGIA-PR B</x:v>
      </x:c>
      <x:c r="C2640" s="16" t="n">
        <x:v>1763.3986538959</x:v>
      </x:c>
      <x:c r="D2640" s="13" t="str">
        <x:v>Utilities &amp; Energy</x:v>
      </x:c>
      <x:c r="E2640" s="13" t="str">
        <x:v>Utilities</x:v>
      </x:c>
      <x:c r="F2640" s="13" t="str">
        <x:v>Defensives</x:v>
      </x:c>
      <x:c r="G2640" s="13" t="str">
        <x:v>grid_wekqfxnd.xlsx</x:v>
      </x:c>
    </x:row>
    <x:row r="2641">
      <x:c r="A2641" s="15" t="n">
        <x:v>41456</x:v>
      </x:c>
      <x:c r="B2641" s="13" t="str">
        <x:v>CESP - CIA ENERGETICA DE SAO</x:v>
      </x:c>
      <x:c r="C2641" s="16" t="n">
        <x:v>1244.8828724603</x:v>
      </x:c>
      <x:c r="D2641" s="13" t="str">
        <x:v>Utilities &amp; Energy</x:v>
      </x:c>
      <x:c r="E2641" s="13" t="str">
        <x:v>Utilities</x:v>
      </x:c>
      <x:c r="F2641" s="13" t="str">
        <x:v>Defensives</x:v>
      </x:c>
      <x:c r="G2641" s="13" t="str">
        <x:v>grid_wekqfxnd.xlsx</x:v>
      </x:c>
    </x:row>
    <x:row r="2642">
      <x:c r="A2642" s="15" t="n">
        <x:v>41456</x:v>
      </x:c>
      <x:c r="B2642" s="13" t="str">
        <x:v>CIA ENERGETICA MINAS GER-PRF</x:v>
      </x:c>
      <x:c r="C2642" s="16" t="n">
        <x:v>2531.5598862027</x:v>
      </x:c>
      <x:c r="D2642" s="13" t="str">
        <x:v>Utilities &amp; Energy</x:v>
      </x:c>
      <x:c r="E2642" s="13" t="str">
        <x:v>Utilities</x:v>
      </x:c>
      <x:c r="F2642" s="13" t="str">
        <x:v>Defensives</x:v>
      </x:c>
      <x:c r="G2642" s="13" t="str">
        <x:v>grid_wekqfxnd.xlsx</x:v>
      </x:c>
    </x:row>
    <x:row r="2643">
      <x:c r="A2643" s="15" t="n">
        <x:v>41456</x:v>
      </x:c>
      <x:c r="B2643" s="13" t="str">
        <x:v>COMPANHIA PARANAENSE -PREF B</x:v>
      </x:c>
      <x:c r="C2643" s="16" t="n">
        <x:v>1179.7142145753</x:v>
      </x:c>
      <x:c r="D2643" s="13" t="str">
        <x:v>Utilities &amp; Energy</x:v>
      </x:c>
      <x:c r="E2643" s="13" t="str">
        <x:v>Utilities</x:v>
      </x:c>
      <x:c r="F2643" s="13" t="str">
        <x:v>Defensives</x:v>
      </x:c>
      <x:c r="G2643" s="13" t="str">
        <x:v>grid_wekqfxnd.xlsx</x:v>
      </x:c>
    </x:row>
    <x:row r="2644">
      <x:c r="A2644" s="15" t="n">
        <x:v>41456</x:v>
      </x:c>
      <x:c r="B2644" s="13" t="str">
        <x:v>CPFL ENERGIA SA</x:v>
      </x:c>
      <x:c r="C2644" s="16" t="n">
        <x:v>1432.0178929973</x:v>
      </x:c>
      <x:c r="D2644" s="13" t="str">
        <x:v>Utilities &amp; Energy</x:v>
      </x:c>
      <x:c r="E2644" s="13" t="str">
        <x:v>Utilities</x:v>
      </x:c>
      <x:c r="F2644" s="13" t="str">
        <x:v>Defensives</x:v>
      </x:c>
      <x:c r="G2644" s="13" t="str">
        <x:v>grid_wekqfxnd.xlsx</x:v>
      </x:c>
    </x:row>
    <x:row r="2645">
      <x:c r="A2645" s="15" t="n">
        <x:v>41456</x:v>
      </x:c>
      <x:c r="B2645" s="13" t="str">
        <x:v>EDP - ENERGIAS DO BRASIL SA</x:v>
      </x:c>
      <x:c r="C2645" s="16" t="n">
        <x:v>551.2301987945</x:v>
      </x:c>
      <x:c r="D2645" s="13" t="str">
        <x:v>Utilities &amp; Energy</x:v>
      </x:c>
      <x:c r="E2645" s="13" t="str">
        <x:v>Utilities</x:v>
      </x:c>
      <x:c r="F2645" s="13" t="str">
        <x:v>Defensives</x:v>
      </x:c>
      <x:c r="G2645" s="13" t="str">
        <x:v>grid_wekqfxnd.xlsx</x:v>
      </x:c>
    </x:row>
    <x:row r="2646">
      <x:c r="A2646" s="15" t="n">
        <x:v>41456</x:v>
      </x:c>
      <x:c r="B2646" s="13" t="str">
        <x:v>ELETROPAULO METROPOLI-PREF</x:v>
      </x:c>
      <x:c r="C2646" s="16" t="n">
        <x:v>23.2313013699</x:v>
      </x:c>
      <x:c r="D2646" s="13" t="str">
        <x:v>Utilities &amp; Energy</x:v>
      </x:c>
      <x:c r="E2646" s="13" t="str">
        <x:v>Utilities</x:v>
      </x:c>
      <x:c r="F2646" s="13" t="str">
        <x:v>Defensives</x:v>
      </x:c>
      <x:c r="G2646" s="13" t="str">
        <x:v>grid_wekqfxnd.xlsx</x:v>
      </x:c>
    </x:row>
    <x:row r="2647">
      <x:c r="A2647" s="15" t="n">
        <x:v>41456</x:v>
      </x:c>
      <x:c r="B2647" s="13" t="str">
        <x:v>ISA ENERGIA BRASIL SA</x:v>
      </x:c>
      <x:c r="C2647" s="16" t="n">
        <x:v>378.2431573918</x:v>
      </x:c>
      <x:c r="D2647" s="13" t="str">
        <x:v>Utilities &amp; Energy</x:v>
      </x:c>
      <x:c r="E2647" s="13" t="str">
        <x:v>Utilities</x:v>
      </x:c>
      <x:c r="F2647" s="13" t="str">
        <x:v>Defensives</x:v>
      </x:c>
      <x:c r="G2647" s="13" t="str">
        <x:v>grid_wekqfxnd.xlsx</x:v>
      </x:c>
    </x:row>
    <x:row r="2648">
      <x:c r="A2648" s="15" t="n">
        <x:v>41456</x:v>
      </x:c>
      <x:c r="B2648" s="13" t="str">
        <x:v>LIGHT SA</x:v>
      </x:c>
      <x:c r="C2648" s="16" t="n">
        <x:v>509.3545205479</x:v>
      </x:c>
      <x:c r="D2648" s="13" t="str">
        <x:v>Utilities &amp; Energy</x:v>
      </x:c>
      <x:c r="E2648" s="13" t="str">
        <x:v>Utilities</x:v>
      </x:c>
      <x:c r="F2648" s="13" t="str">
        <x:v>Defensives</x:v>
      </x:c>
      <x:c r="G2648" s="13" t="str">
        <x:v>grid_wekqfxnd.xlsx</x:v>
      </x:c>
    </x:row>
    <x:row r="2649">
      <x:c r="A2649" s="15" t="n">
        <x:v>41487</x:v>
      </x:c>
      <x:c r="B2649" s="13" t="str">
        <x:v>SLC AGRICOLA CENTRO OESTE SA</x:v>
      </x:c>
      <x:c r="C2649" s="16" t="n">
        <x:v>-16.0257534247</x:v>
      </x:c>
      <x:c r="D2649" s="13" t="str">
        <x:v>Agribusiness</x:v>
      </x:c>
      <x:c r="E2649" s="13" t="str">
        <x:v>Agri, Food &amp; Beverages</x:v>
      </x:c>
      <x:c r="F2649" s="13" t="str">
        <x:v>Defensives</x:v>
      </x:c>
      <x:c r="G2649" s="13" t="str">
        <x:v>grid_wekqfxnd.xlsx</x:v>
      </x:c>
    </x:row>
    <x:row r="2650">
      <x:c r="A2650" s="15" t="n">
        <x:v>41487</x:v>
      </x:c>
      <x:c r="B2650" s="13" t="str">
        <x:v>BANCO BRADESCO S.A.</x:v>
      </x:c>
      <x:c r="C2650" s="16" t="n">
        <x:v>13417.7641429918</x:v>
      </x:c>
      <x:c r="D2650" s="13" t="str">
        <x:v>Banks</x:v>
      </x:c>
      <x:c r="E2650" s="13" t="str">
        <x:v>Banks</x:v>
      </x:c>
      <x:c r="F2650" s="13" t="str">
        <x:v>Financials</x:v>
      </x:c>
      <x:c r="G2650" s="13" t="str">
        <x:v>grid_wekqfxnd.xlsx</x:v>
      </x:c>
    </x:row>
    <x:row r="2651">
      <x:c r="A2651" s="15" t="n">
        <x:v>41487</x:v>
      </x:c>
      <x:c r="B2651" s="13" t="str">
        <x:v>BANCO BRADESCO SA-PREF</x:v>
      </x:c>
      <x:c r="C2651" s="16" t="n">
        <x:v>13417.7641429918</x:v>
      </x:c>
      <x:c r="D2651" s="13" t="str">
        <x:v>Banks</x:v>
      </x:c>
      <x:c r="E2651" s="13" t="str">
        <x:v>Banks</x:v>
      </x:c>
      <x:c r="F2651" s="13" t="str">
        <x:v>Financials</x:v>
      </x:c>
      <x:c r="G2651" s="13" t="str">
        <x:v>grid_wekqfxnd.xlsx</x:v>
      </x:c>
    </x:row>
    <x:row r="2652">
      <x:c r="A2652" s="15" t="n">
        <x:v>41487</x:v>
      </x:c>
      <x:c r="B2652" s="13" t="str">
        <x:v>BANCO DO BRASIL S.A.</x:v>
      </x:c>
      <x:c r="C2652" s="16" t="n">
        <x:v>10939.2509404932</x:v>
      </x:c>
      <x:c r="D2652" s="13" t="str">
        <x:v>Banks</x:v>
      </x:c>
      <x:c r="E2652" s="13" t="str">
        <x:v>Banks</x:v>
      </x:c>
      <x:c r="F2652" s="13" t="str">
        <x:v>Financials</x:v>
      </x:c>
      <x:c r="G2652" s="13" t="str">
        <x:v>grid_wekqfxnd.xlsx</x:v>
      </x:c>
    </x:row>
    <x:row r="2653">
      <x:c r="A2653" s="15" t="n">
        <x:v>41487</x:v>
      </x:c>
      <x:c r="B2653" s="13" t="str">
        <x:v>BANCO SANTANDER  BRASIL-UNIT</x:v>
      </x:c>
      <x:c r="C2653" s="16" t="n">
        <x:v>5968.6271901808</x:v>
      </x:c>
      <x:c r="D2653" s="13" t="str">
        <x:v>Banks</x:v>
      </x:c>
      <x:c r="E2653" s="13" t="str">
        <x:v>Banks</x:v>
      </x:c>
      <x:c r="F2653" s="13" t="str">
        <x:v>Financials</x:v>
      </x:c>
      <x:c r="G2653" s="13" t="str">
        <x:v>grid_wekqfxnd.xlsx</x:v>
      </x:c>
    </x:row>
    <x:row r="2654">
      <x:c r="A2654" s="15" t="n">
        <x:v>41487</x:v>
      </x:c>
      <x:c r="B2654" s="13" t="str">
        <x:v>ITAU UNIBANCO HOLDING S-PREF</x:v>
      </x:c>
      <x:c r="C2654" s="16" t="n">
        <x:v>16283.4693610959</x:v>
      </x:c>
      <x:c r="D2654" s="13" t="str">
        <x:v>Banks</x:v>
      </x:c>
      <x:c r="E2654" s="13" t="str">
        <x:v>Banks</x:v>
      </x:c>
      <x:c r="F2654" s="13" t="str">
        <x:v>Financials</x:v>
      </x:c>
      <x:c r="G2654" s="13" t="str">
        <x:v>grid_wekqfxnd.xlsx</x:v>
      </x:c>
    </x:row>
    <x:row r="2655">
      <x:c r="A2655" s="15" t="n">
        <x:v>41487</x:v>
      </x:c>
      <x:c r="B2655" s="13" t="str">
        <x:v>EMBRAER SA</x:v>
      </x:c>
      <x:c r="C2655" s="16" t="n">
        <x:v>1050.060941326</x:v>
      </x:c>
      <x:c r="D2655" s="13" t="str">
        <x:v>Capital Goods</x:v>
      </x:c>
      <x:c r="E2655" s="13" t="str">
        <x:v>Capital Goods</x:v>
      </x:c>
      <x:c r="F2655" s="13" t="str">
        <x:v>Deep Cyclicals</x:v>
      </x:c>
      <x:c r="G2655" s="13" t="str">
        <x:v>grid_wekqfxnd.xlsx</x:v>
      </x:c>
    </x:row>
    <x:row r="2656">
      <x:c r="A2656" s="15" t="n">
        <x:v>41487</x:v>
      </x:c>
      <x:c r="B2656" s="13" t="str">
        <x:v>B3 SA-BRASIL BOLSA BALCAO</x:v>
      </x:c>
      <x:c r="C2656" s="16" t="n">
        <x:v>1809.4089324712</x:v>
      </x:c>
      <x:c r="D2656" s="13" t="str">
        <x:v>Financials Non-Banks</x:v>
      </x:c>
      <x:c r="E2656" s="13" t="str">
        <x:v>Financials Non-Banks</x:v>
      </x:c>
      <x:c r="F2656" s="13" t="str">
        <x:v>Financials</x:v>
      </x:c>
      <x:c r="G2656" s="13" t="str">
        <x:v>grid_wekqfxnd.xlsx</x:v>
      </x:c>
    </x:row>
    <x:row r="2657">
      <x:c r="A2657" s="15" t="n">
        <x:v>41487</x:v>
      </x:c>
      <x:c r="B2657" s="13" t="str">
        <x:v>CETIP SA-MERCADOS ORGANIZADO</x:v>
      </x:c>
      <x:c r="C2657" s="16" t="n">
        <x:v>442.2330195288</x:v>
      </x:c>
      <x:c r="D2657" s="13" t="str">
        <x:v>Financials Non-Banks</x:v>
      </x:c>
      <x:c r="E2657" s="13" t="str">
        <x:v>Financials Non-Banks</x:v>
      </x:c>
      <x:c r="F2657" s="13" t="str">
        <x:v>Financials</x:v>
      </x:c>
      <x:c r="G2657" s="13" t="str">
        <x:v>grid_wekqfxnd.xlsx</x:v>
      </x:c>
    </x:row>
    <x:row r="2658">
      <x:c r="A2658" s="15" t="n">
        <x:v>41487</x:v>
      </x:c>
      <x:c r="B2658" s="13" t="str">
        <x:v>CIELO SA - INSTITUICAO DE PA</x:v>
      </x:c>
      <x:c r="C2658" s="16" t="n">
        <x:v>2832.0801749918</x:v>
      </x:c>
      <x:c r="D2658" s="13" t="str">
        <x:v>Financials Non-Banks</x:v>
      </x:c>
      <x:c r="E2658" s="13" t="str">
        <x:v>Financials Non-Banks</x:v>
      </x:c>
      <x:c r="F2658" s="13" t="str">
        <x:v>Financials</x:v>
      </x:c>
      <x:c r="G2658" s="13" t="str">
        <x:v>grid_wekqfxnd.xlsx</x:v>
      </x:c>
    </x:row>
    <x:row r="2659">
      <x:c r="A2659" s="15" t="n">
        <x:v>41487</x:v>
      </x:c>
      <x:c r="B2659" s="13" t="str">
        <x:v>ITAUSA SA</x:v>
      </x:c>
      <x:c r="C2659" s="16" t="n">
        <x:v>6358.393268252</x:v>
      </x:c>
      <x:c r="D2659" s="13" t="str">
        <x:v>Financials Non-Banks</x:v>
      </x:c>
      <x:c r="E2659" s="13" t="str">
        <x:v>Financials Non-Banks</x:v>
      </x:c>
      <x:c r="F2659" s="13" t="str">
        <x:v>Financials</x:v>
      </x:c>
      <x:c r="G2659" s="13" t="str">
        <x:v>grid_wekqfxnd.xlsx</x:v>
      </x:c>
    </x:row>
    <x:row r="2660">
      <x:c r="A2660" s="15" t="n">
        <x:v>41487</x:v>
      </x:c>
      <x:c r="B2660" s="13" t="str">
        <x:v>AMBEV SA</x:v>
      </x:c>
      <x:c r="C2660" s="16" t="n">
        <x:v>12274.627648526</x:v>
      </x:c>
      <x:c r="D2660" s="13" t="str">
        <x:v>Food &amp; Beverages</x:v>
      </x:c>
      <x:c r="E2660" s="13" t="str">
        <x:v>Agri, Food &amp; Beverages</x:v>
      </x:c>
      <x:c r="F2660" s="13" t="str">
        <x:v>Defensives</x:v>
      </x:c>
      <x:c r="G2660" s="13" t="str">
        <x:v>grid_wekqfxnd.xlsx</x:v>
      </x:c>
    </x:row>
    <x:row r="2661">
      <x:c r="A2661" s="15" t="n">
        <x:v>41487</x:v>
      </x:c>
      <x:c r="B2661" s="13" t="str">
        <x:v>BRF SA</x:v>
      </x:c>
      <x:c r="C2661" s="16" t="n">
        <x:v>2178.4705101151</x:v>
      </x:c>
      <x:c r="D2661" s="13" t="str">
        <x:v>Food &amp; Beverages</x:v>
      </x:c>
      <x:c r="E2661" s="13" t="str">
        <x:v>Agri, Food &amp; Beverages</x:v>
      </x:c>
      <x:c r="F2661" s="13" t="str">
        <x:v>Defensives</x:v>
      </x:c>
      <x:c r="G2661" s="13" t="str">
        <x:v>grid_wekqfxnd.xlsx</x:v>
      </x:c>
    </x:row>
    <x:row r="2662">
      <x:c r="A2662" s="15" t="n">
        <x:v>41487</x:v>
      </x:c>
      <x:c r="B2662" s="13" t="str">
        <x:v>MBRF GLOBAL FOODS COMPANY SA</x:v>
      </x:c>
      <x:c r="C2662" s="16" t="n">
        <x:v>257.2143729096</x:v>
      </x:c>
      <x:c r="D2662" s="13" t="str">
        <x:v>Food &amp; Beverages</x:v>
      </x:c>
      <x:c r="E2662" s="13" t="str">
        <x:v>Agri, Food &amp; Beverages</x:v>
      </x:c>
      <x:c r="F2662" s="13" t="str">
        <x:v>Defensives</x:v>
      </x:c>
      <x:c r="G2662" s="13" t="str">
        <x:v>grid_wekqfxnd.xlsx</x:v>
      </x:c>
    </x:row>
    <x:row r="2663">
      <x:c r="A2663" s="15" t="n">
        <x:v>41487</x:v>
      </x:c>
      <x:c r="B2663" s="13" t="str">
        <x:v>SOUZA CRUZ LTDA</x:v>
      </x:c>
      <x:c r="C2663" s="16" t="n">
        <x:v>1967.0016441863</x:v>
      </x:c>
      <x:c r="D2663" s="13" t="str">
        <x:v>Food &amp; Beverages</x:v>
      </x:c>
      <x:c r="E2663" s="13" t="str">
        <x:v>Agri, Food &amp; Beverages</x:v>
      </x:c>
      <x:c r="F2663" s="13" t="str">
        <x:v>Defensives</x:v>
      </x:c>
      <x:c r="G2663" s="13" t="str">
        <x:v>grid_wekqfxnd.xlsx</x:v>
      </x:c>
    </x:row>
    <x:row r="2664">
      <x:c r="A2664" s="15" t="n">
        <x:v>41487</x:v>
      </x:c>
      <x:c r="B2664" s="13" t="str">
        <x:v>DIAGNOSTICOS DA AMERICA SA</x:v>
      </x:c>
      <x:c r="C2664" s="16" t="n">
        <x:v>181.1988550137</x:v>
      </x:c>
      <x:c r="D2664" s="13" t="str">
        <x:v>Health Care</x:v>
      </x:c>
      <x:c r="E2664" s="13" t="str">
        <x:v>Health Care</x:v>
      </x:c>
      <x:c r="F2664" s="13" t="str">
        <x:v>Defensives</x:v>
      </x:c>
      <x:c r="G2664" s="13" t="str">
        <x:v>grid_wekqfxnd.xlsx</x:v>
      </x:c>
    </x:row>
    <x:row r="2665">
      <x:c r="A2665" s="15" t="n">
        <x:v>41487</x:v>
      </x:c>
      <x:c r="B2665" s="13" t="str">
        <x:v>HYPERA SA</x:v>
      </x:c>
      <x:c r="C2665" s="16" t="n">
        <x:v>455.6562630137</x:v>
      </x:c>
      <x:c r="D2665" s="13" t="str">
        <x:v>Health Care</x:v>
      </x:c>
      <x:c r="E2665" s="13" t="str">
        <x:v>Health Care</x:v>
      </x:c>
      <x:c r="F2665" s="13" t="str">
        <x:v>Defensives</x:v>
      </x:c>
      <x:c r="G2665" s="13" t="str">
        <x:v>grid_wekqfxnd.xlsx</x:v>
      </x:c>
    </x:row>
    <x:row r="2666">
      <x:c r="A2666" s="15" t="n">
        <x:v>41487</x:v>
      </x:c>
      <x:c r="B2666" s="13" t="str">
        <x:v>CYRELA BRAZIL REALTY SA EMP</x:v>
      </x:c>
      <x:c r="C2666" s="16" t="n">
        <x:v>895.1662306192</x:v>
      </x:c>
      <x:c r="D2666" s="13" t="str">
        <x:v>Homebuilders</x:v>
      </x:c>
      <x:c r="E2666" s="13" t="str">
        <x:v>Real Estate</x:v>
      </x:c>
      <x:c r="F2666" s="13" t="str">
        <x:v>Early Cyclicals</x:v>
      </x:c>
      <x:c r="G2666" s="13" t="str">
        <x:v>grid_wekqfxnd.xlsx</x:v>
      </x:c>
    </x:row>
    <x:row r="2667">
      <x:c r="A2667" s="15" t="n">
        <x:v>41487</x:v>
      </x:c>
      <x:c r="B2667" s="13" t="str">
        <x:v>GAFISA SA</x:v>
      </x:c>
      <x:c r="C2667" s="16" t="n">
        <x:v>158.5393150685</x:v>
      </x:c>
      <x:c r="D2667" s="13" t="str">
        <x:v>Homebuilders</x:v>
      </x:c>
      <x:c r="E2667" s="13" t="str">
        <x:v>Real Estate</x:v>
      </x:c>
      <x:c r="F2667" s="13" t="str">
        <x:v>Early Cyclicals</x:v>
      </x:c>
      <x:c r="G2667" s="13" t="str">
        <x:v>grid_wekqfxnd.xlsx</x:v>
      </x:c>
    </x:row>
    <x:row r="2668">
      <x:c r="A2668" s="15" t="n">
        <x:v>41487</x:v>
      </x:c>
      <x:c r="B2668" s="13" t="str">
        <x:v>MRV ENGENHARIA</x:v>
      </x:c>
      <x:c r="C2668" s="16" t="n">
        <x:v>541.9281756932</x:v>
      </x:c>
      <x:c r="D2668" s="13" t="str">
        <x:v>Homebuilders</x:v>
      </x:c>
      <x:c r="E2668" s="13" t="str">
        <x:v>Real Estate</x:v>
      </x:c>
      <x:c r="F2668" s="13" t="str">
        <x:v>Early Cyclicals</x:v>
      </x:c>
      <x:c r="G2668" s="13" t="str">
        <x:v>grid_wekqfxnd.xlsx</x:v>
      </x:c>
    </x:row>
    <x:row r="2669">
      <x:c r="A2669" s="15" t="n">
        <x:v>41487</x:v>
      </x:c>
      <x:c r="B2669" s="13" t="str">
        <x:v>PDG REALTY SA</x:v>
      </x:c>
      <x:c r="C2669" s="16" t="n">
        <x:v>195.7370357918</x:v>
      </x:c>
      <x:c r="D2669" s="13" t="str">
        <x:v>Homebuilders</x:v>
      </x:c>
      <x:c r="E2669" s="13" t="str">
        <x:v>Real Estate</x:v>
      </x:c>
      <x:c r="F2669" s="13" t="str">
        <x:v>Early Cyclicals</x:v>
      </x:c>
      <x:c r="G2669" s="13" t="str">
        <x:v>grid_wekqfxnd.xlsx</x:v>
      </x:c>
    </x:row>
    <x:row r="2670">
      <x:c r="A2670" s="15" t="n">
        <x:v>41487</x:v>
      </x:c>
      <x:c r="B2670" s="13" t="str">
        <x:v>ROSSI RESIDENCIAL SA</x:v>
      </x:c>
      <x:c r="C2670" s="16" t="n">
        <x:v>146.9983205699</x:v>
      </x:c>
      <x:c r="D2670" s="13" t="str">
        <x:v>Homebuilders</x:v>
      </x:c>
      <x:c r="E2670" s="13" t="str">
        <x:v>Real Estate</x:v>
      </x:c>
      <x:c r="F2670" s="13" t="str">
        <x:v>Early Cyclicals</x:v>
      </x:c>
      <x:c r="G2670" s="13" t="str">
        <x:v>grid_wekqfxnd.xlsx</x:v>
      </x:c>
    </x:row>
    <x:row r="2671">
      <x:c r="A2671" s="15" t="n">
        <x:v>41487</x:v>
      </x:c>
      <x:c r="B2671" s="13" t="str">
        <x:v>TEGRA INCORPORADORA SA</x:v>
      </x:c>
      <x:c r="C2671" s="16" t="n">
        <x:v>218.2531780384</x:v>
      </x:c>
      <x:c r="D2671" s="13" t="str">
        <x:v>Homebuilders</x:v>
      </x:c>
      <x:c r="E2671" s="13" t="str">
        <x:v>Real Estate</x:v>
      </x:c>
      <x:c r="F2671" s="13" t="str">
        <x:v>Early Cyclicals</x:v>
      </x:c>
      <x:c r="G2671" s="13" t="str">
        <x:v>grid_wekqfxnd.xlsx</x:v>
      </x:c>
    </x:row>
    <x:row r="2672">
      <x:c r="A2672" s="15" t="n">
        <x:v>41487</x:v>
      </x:c>
      <x:c r="B2672" s="13" t="str">
        <x:v>BR MALLS PARTICIPACOES SA</x:v>
      </x:c>
      <x:c r="C2672" s="16" t="n">
        <x:v>563.2053644274</x:v>
      </x:c>
      <x:c r="D2672" s="13" t="str">
        <x:v>Income Properties</x:v>
      </x:c>
      <x:c r="E2672" s="13" t="str">
        <x:v>Real Estate</x:v>
      </x:c>
      <x:c r="F2672" s="13" t="str">
        <x:v>Early Cyclicals</x:v>
      </x:c>
      <x:c r="G2672" s="13" t="str">
        <x:v>grid_wekqfxnd.xlsx</x:v>
      </x:c>
    </x:row>
    <x:row r="2673">
      <x:c r="A2673" s="15" t="n">
        <x:v>41487</x:v>
      </x:c>
      <x:c r="B2673" s="13" t="str">
        <x:v>SOLID ATIVOS IMOBILIARIOS SA</x:v>
      </x:c>
      <x:c r="C2673" s="16" t="n">
        <x:v>379.1190465753</x:v>
      </x:c>
      <x:c r="D2673" s="13" t="str">
        <x:v>Income Properties</x:v>
      </x:c>
      <x:c r="E2673" s="13" t="str">
        <x:v>Real Estate</x:v>
      </x:c>
      <x:c r="F2673" s="13" t="str">
        <x:v>Early Cyclicals</x:v>
      </x:c>
      <x:c r="G2673" s="13" t="str">
        <x:v>grid_wekqfxnd.xlsx</x:v>
      </x:c>
    </x:row>
    <x:row r="2674">
      <x:c r="A2674" s="15" t="n">
        <x:v>41487</x:v>
      </x:c>
      <x:c r="B2674" s="13" t="str">
        <x:v>BRADESPAR SA -PREF</x:v>
      </x:c>
      <x:c r="C2674" s="16" t="n">
        <x:v>1187.1637142795</x:v>
      </x:c>
      <x:c r="D2674" s="13" t="str">
        <x:v>Metals &amp; Mining</x:v>
      </x:c>
      <x:c r="E2674" s="13" t="str">
        <x:v>Metals &amp; Mining</x:v>
      </x:c>
      <x:c r="F2674" s="13" t="str">
        <x:v>Deep Cyclicals</x:v>
      </x:c>
      <x:c r="G2674" s="13" t="str">
        <x:v>grid_wekqfxnd.xlsx</x:v>
      </x:c>
    </x:row>
    <x:row r="2675">
      <x:c r="A2675" s="15" t="n">
        <x:v>41487</x:v>
      </x:c>
      <x:c r="B2675" s="13" t="str">
        <x:v>CIA SIDERURGICA NACIONAL SA</x:v>
      </x:c>
      <x:c r="C2675" s="16" t="n">
        <x:v>939.3152876712</x:v>
      </x:c>
      <x:c r="D2675" s="13" t="str">
        <x:v>Metals &amp; Mining</x:v>
      </x:c>
      <x:c r="E2675" s="13" t="str">
        <x:v>Metals &amp; Mining</x:v>
      </x:c>
      <x:c r="F2675" s="13" t="str">
        <x:v>Deep Cyclicals</x:v>
      </x:c>
      <x:c r="G2675" s="13" t="str">
        <x:v>grid_wekqfxnd.xlsx</x:v>
      </x:c>
    </x:row>
    <x:row r="2676">
      <x:c r="A2676" s="15" t="n">
        <x:v>41487</x:v>
      </x:c>
      <x:c r="B2676" s="13" t="str">
        <x:v>GERDAU SA-PREF</x:v>
      </x:c>
      <x:c r="C2676" s="16" t="n">
        <x:v>1808.2047680877</x:v>
      </x:c>
      <x:c r="D2676" s="13" t="str">
        <x:v>Metals &amp; Mining</x:v>
      </x:c>
      <x:c r="E2676" s="13" t="str">
        <x:v>Metals &amp; Mining</x:v>
      </x:c>
      <x:c r="F2676" s="13" t="str">
        <x:v>Deep Cyclicals</x:v>
      </x:c>
      <x:c r="G2676" s="13" t="str">
        <x:v>grid_wekqfxnd.xlsx</x:v>
      </x:c>
    </x:row>
    <x:row r="2677">
      <x:c r="A2677" s="15" t="n">
        <x:v>41487</x:v>
      </x:c>
      <x:c r="B2677" s="13" t="str">
        <x:v>METALURGICA GERDAU SA-PREF</x:v>
      </x:c>
      <x:c r="C2677" s="16" t="n">
        <x:v>912.309631474</x:v>
      </x:c>
      <x:c r="D2677" s="13" t="str">
        <x:v>Metals &amp; Mining</x:v>
      </x:c>
      <x:c r="E2677" s="13" t="str">
        <x:v>Metals &amp; Mining</x:v>
      </x:c>
      <x:c r="F2677" s="13" t="str">
        <x:v>Deep Cyclicals</x:v>
      </x:c>
      <x:c r="G2677" s="13" t="str">
        <x:v>grid_wekqfxnd.xlsx</x:v>
      </x:c>
    </x:row>
    <x:row r="2678">
      <x:c r="A2678" s="15" t="n">
        <x:v>41487</x:v>
      </x:c>
      <x:c r="B2678" s="13" t="str">
        <x:v>MMX MINERACAO E METALICOS SA</x:v>
      </x:c>
      <x:c r="C2678" s="16" t="n">
        <x:v>-214.1381205479</x:v>
      </x:c>
      <x:c r="D2678" s="13" t="str">
        <x:v>Metals &amp; Mining</x:v>
      </x:c>
      <x:c r="E2678" s="13" t="str">
        <x:v>Metals &amp; Mining</x:v>
      </x:c>
      <x:c r="F2678" s="13" t="str">
        <x:v>Deep Cyclicals</x:v>
      </x:c>
      <x:c r="G2678" s="13" t="str">
        <x:v>grid_wekqfxnd.xlsx</x:v>
      </x:c>
    </x:row>
    <x:row r="2679">
      <x:c r="A2679" s="15" t="n">
        <x:v>41487</x:v>
      </x:c>
      <x:c r="B2679" s="13" t="str">
        <x:v>USINAS SIDER MINAS GER-PF A</x:v>
      </x:c>
      <x:c r="C2679" s="16" t="n">
        <x:v>312.2578244384</x:v>
      </x:c>
      <x:c r="D2679" s="13" t="str">
        <x:v>Metals &amp; Mining</x:v>
      </x:c>
      <x:c r="E2679" s="13" t="str">
        <x:v>Metals &amp; Mining</x:v>
      </x:c>
      <x:c r="F2679" s="13" t="str">
        <x:v>Deep Cyclicals</x:v>
      </x:c>
      <x:c r="G2679" s="13" t="str">
        <x:v>grid_wekqfxnd.xlsx</x:v>
      </x:c>
    </x:row>
    <x:row r="2680">
      <x:c r="A2680" s="15" t="n">
        <x:v>41487</x:v>
      </x:c>
      <x:c r="B2680" s="13" t="str">
        <x:v>USINAS SIDERURGICAS DE MINAS</x:v>
      </x:c>
      <x:c r="C2680" s="16" t="n">
        <x:v>312.2578244384</x:v>
      </x:c>
      <x:c r="D2680" s="13" t="str">
        <x:v>Metals &amp; Mining</x:v>
      </x:c>
      <x:c r="E2680" s="13" t="str">
        <x:v>Metals &amp; Mining</x:v>
      </x:c>
      <x:c r="F2680" s="13" t="str">
        <x:v>Deep Cyclicals</x:v>
      </x:c>
      <x:c r="G2680" s="13" t="str">
        <x:v>grid_wekqfxnd.xlsx</x:v>
      </x:c>
    </x:row>
    <x:row r="2681">
      <x:c r="A2681" s="15" t="n">
        <x:v>41487</x:v>
      </x:c>
      <x:c r="B2681" s="13" t="str">
        <x:v>VALE SA</x:v>
      </x:c>
      <x:c r="C2681" s="16" t="n">
        <x:v>23677.5321487781</x:v>
      </x:c>
      <x:c r="D2681" s="13" t="str">
        <x:v>Metals &amp; Mining</x:v>
      </x:c>
      <x:c r="E2681" s="13" t="str">
        <x:v>Metals &amp; Mining</x:v>
      </x:c>
      <x:c r="F2681" s="13" t="str">
        <x:v>Deep Cyclicals</x:v>
      </x:c>
      <x:c r="G2681" s="13" t="str">
        <x:v>grid_wekqfxnd.xlsx</x:v>
      </x:c>
    </x:row>
    <x:row r="2682">
      <x:c r="A2682" s="15" t="n">
        <x:v>41487</x:v>
      </x:c>
      <x:c r="B2682" s="13" t="str">
        <x:v>BRASKEM SA-PREF A</x:v>
      </x:c>
      <x:c r="C2682" s="16" t="n">
        <x:v>970.4474080438</x:v>
      </x:c>
      <x:c r="D2682" s="13" t="str">
        <x:v>Oil, Gas &amp; Petrochemicals</x:v>
      </x:c>
      <x:c r="E2682" s="13" t="str">
        <x:v>Oil, Gas &amp; Petrochemicals</x:v>
      </x:c>
      <x:c r="F2682" s="13" t="str">
        <x:v>Deep Cyclicals</x:v>
      </x:c>
      <x:c r="G2682" s="13" t="str">
        <x:v>grid_wekqfxnd.xlsx</x:v>
      </x:c>
    </x:row>
    <x:row r="2683">
      <x:c r="A2683" s="15" t="n">
        <x:v>41487</x:v>
      </x:c>
      <x:c r="B2683" s="13" t="str">
        <x:v>COSAN SA</x:v>
      </x:c>
      <x:c r="C2683" s="16" t="n">
        <x:v>965.4959328438</x:v>
      </x:c>
      <x:c r="D2683" s="13" t="str">
        <x:v>Oil, Gas &amp; Petrochemicals</x:v>
      </x:c>
      <x:c r="E2683" s="13" t="str">
        <x:v>Oil, Gas &amp; Petrochemicals</x:v>
      </x:c>
      <x:c r="F2683" s="13" t="str">
        <x:v>Deep Cyclicals</x:v>
      </x:c>
      <x:c r="G2683" s="13" t="str">
        <x:v>grid_wekqfxnd.xlsx</x:v>
      </x:c>
    </x:row>
    <x:row r="2684">
      <x:c r="A2684" s="15" t="n">
        <x:v>41487</x:v>
      </x:c>
      <x:c r="B2684" s="13" t="str">
        <x:v>OLEO E GAS PARTICIPACOES SA</x:v>
      </x:c>
      <x:c r="C2684" s="16" t="n">
        <x:v>-901.7626080438</x:v>
      </x:c>
      <x:c r="D2684" s="13" t="str">
        <x:v>Oil, Gas &amp; Petrochemicals</x:v>
      </x:c>
      <x:c r="E2684" s="13" t="str">
        <x:v>Oil, Gas &amp; Petrochemicals</x:v>
      </x:c>
      <x:c r="F2684" s="13" t="str">
        <x:v>Deep Cyclicals</x:v>
      </x:c>
      <x:c r="G2684" s="13" t="str">
        <x:v>grid_wekqfxnd.xlsx</x:v>
      </x:c>
    </x:row>
    <x:row r="2685">
      <x:c r="A2685" s="15" t="n">
        <x:v>41487</x:v>
      </x:c>
      <x:c r="B2685" s="13" t="str">
        <x:v>PETROBRAS - PETROLEO BRAS</x:v>
      </x:c>
      <x:c r="C2685" s="16" t="n">
        <x:v>31262.6240918795</x:v>
      </x:c>
      <x:c r="D2685" s="13" t="str">
        <x:v>Oil, Gas &amp; Petrochemicals</x:v>
      </x:c>
      <x:c r="E2685" s="13" t="str">
        <x:v>Oil, Gas &amp; Petrochemicals</x:v>
      </x:c>
      <x:c r="F2685" s="13" t="str">
        <x:v>Deep Cyclicals</x:v>
      </x:c>
      <x:c r="G2685" s="13" t="str">
        <x:v>grid_wekqfxnd.xlsx</x:v>
      </x:c>
    </x:row>
    <x:row r="2686">
      <x:c r="A2686" s="15" t="n">
        <x:v>41487</x:v>
      </x:c>
      <x:c r="B2686" s="13" t="str">
        <x:v>ULTRAPAR PARTICIPACOES SA</x:v>
      </x:c>
      <x:c r="C2686" s="16" t="n">
        <x:v>1284.6472658411</x:v>
      </x:c>
      <x:c r="D2686" s="13" t="str">
        <x:v>Oil, Gas &amp; Petrochemicals</x:v>
      </x:c>
      <x:c r="E2686" s="13" t="str">
        <x:v>Oil, Gas &amp; Petrochemicals</x:v>
      </x:c>
      <x:c r="F2686" s="13" t="str">
        <x:v>Deep Cyclicals</x:v>
      </x:c>
      <x:c r="G2686" s="13" t="str">
        <x:v>grid_wekqfxnd.xlsx</x:v>
      </x:c>
    </x:row>
    <x:row r="2687">
      <x:c r="A2687" s="15" t="n">
        <x:v>41487</x:v>
      </x:c>
      <x:c r="B2687" s="13" t="str">
        <x:v>DEXCO SA</x:v>
      </x:c>
      <x:c r="C2687" s="16" t="n">
        <x:v>591.1888212164</x:v>
      </x:c>
      <x:c r="D2687" s="13" t="str">
        <x:v>Pulp &amp; Paper</x:v>
      </x:c>
      <x:c r="E2687" s="13" t="str">
        <x:v>Pulp &amp; Paper</x:v>
      </x:c>
      <x:c r="F2687" s="13" t="str">
        <x:v>Deep Cyclicals</x:v>
      </x:c>
      <x:c r="G2687" s="13" t="str">
        <x:v>grid_wekqfxnd.xlsx</x:v>
      </x:c>
    </x:row>
    <x:row r="2688">
      <x:c r="A2688" s="15" t="n">
        <x:v>41487</x:v>
      </x:c>
      <x:c r="B2688" s="13" t="str">
        <x:v>FIBRIA CELULOSE S/A</x:v>
      </x:c>
      <x:c r="C2688" s="16" t="n">
        <x:v>62.037714937</x:v>
      </x:c>
      <x:c r="D2688" s="13" t="str">
        <x:v>Pulp &amp; Paper</x:v>
      </x:c>
      <x:c r="E2688" s="13" t="str">
        <x:v>Pulp &amp; Paper</x:v>
      </x:c>
      <x:c r="F2688" s="13" t="str">
        <x:v>Deep Cyclicals</x:v>
      </x:c>
      <x:c r="G2688" s="13" t="str">
        <x:v>grid_wekqfxnd.xlsx</x:v>
      </x:c>
    </x:row>
    <x:row r="2689">
      <x:c r="A2689" s="15" t="n">
        <x:v>41487</x:v>
      </x:c>
      <x:c r="B2689" s="13" t="str">
        <x:v>SUZANO PAPEL E CELULO-PREF A</x:v>
      </x:c>
      <x:c r="C2689" s="16" t="n">
        <x:v>266.888076537</x:v>
      </x:c>
      <x:c r="D2689" s="13" t="str">
        <x:v>Pulp &amp; Paper</x:v>
      </x:c>
      <x:c r="E2689" s="13" t="str">
        <x:v>Pulp &amp; Paper</x:v>
      </x:c>
      <x:c r="F2689" s="13" t="str">
        <x:v>Deep Cyclicals</x:v>
      </x:c>
      <x:c r="G2689" s="13" t="str">
        <x:v>grid_wekqfxnd.xlsx</x:v>
      </x:c>
    </x:row>
    <x:row r="2690">
      <x:c r="A2690" s="15" t="n">
        <x:v>41487</x:v>
      </x:c>
      <x:c r="B2690" s="13" t="str">
        <x:v>AMERICANAS SA</x:v>
      </x:c>
      <x:c r="C2690" s="16" t="n">
        <x:v>-119.7402191781</x:v>
      </x:c>
      <x:c r="D2690" s="13" t="str">
        <x:v>Retail</x:v>
      </x:c>
      <x:c r="E2690" s="13" t="str">
        <x:v>Retail</x:v>
      </x:c>
      <x:c r="F2690" s="13" t="str">
        <x:v>Early Cyclicals</x:v>
      </x:c>
      <x:c r="G2690" s="13" t="str">
        <x:v>grid_wekqfxnd.xlsx</x:v>
      </x:c>
    </x:row>
    <x:row r="2691">
      <x:c r="A2691" s="15" t="n">
        <x:v>41487</x:v>
      </x:c>
      <x:c r="B2691" s="13" t="str">
        <x:v>CIA BRASILEIRA DE DIS-PREF</x:v>
      </x:c>
      <x:c r="C2691" s="16" t="n">
        <x:v>1391.4811174575</x:v>
      </x:c>
      <x:c r="D2691" s="13" t="str">
        <x:v>Retail</x:v>
      </x:c>
      <x:c r="E2691" s="13" t="str">
        <x:v>Retail</x:v>
      </x:c>
      <x:c r="F2691" s="13" t="str">
        <x:v>Early Cyclicals</x:v>
      </x:c>
      <x:c r="G2691" s="13" t="str">
        <x:v>grid_wekqfxnd.xlsx</x:v>
      </x:c>
    </x:row>
    <x:row r="2692">
      <x:c r="A2692" s="15" t="n">
        <x:v>41487</x:v>
      </x:c>
      <x:c r="B2692" s="13" t="str">
        <x:v>CIA HERING</x:v>
      </x:c>
      <x:c r="C2692" s="16" t="n">
        <x:v>367.826477063</x:v>
      </x:c>
      <x:c r="D2692" s="13" t="str">
        <x:v>Retail</x:v>
      </x:c>
      <x:c r="E2692" s="13" t="str">
        <x:v>Retail</x:v>
      </x:c>
      <x:c r="F2692" s="13" t="str">
        <x:v>Early Cyclicals</x:v>
      </x:c>
      <x:c r="G2692" s="13" t="str">
        <x:v>grid_wekqfxnd.xlsx</x:v>
      </x:c>
    </x:row>
    <x:row r="2693">
      <x:c r="A2693" s="15" t="n">
        <x:v>41487</x:v>
      </x:c>
      <x:c r="B2693" s="13" t="str">
        <x:v>LOJAS AMERICANAS SA-PREF</x:v>
      </x:c>
      <x:c r="C2693" s="16" t="n">
        <x:v>587.6580491397</x:v>
      </x:c>
      <x:c r="D2693" s="13" t="str">
        <x:v>Retail</x:v>
      </x:c>
      <x:c r="E2693" s="13" t="str">
        <x:v>Retail</x:v>
      </x:c>
      <x:c r="F2693" s="13" t="str">
        <x:v>Early Cyclicals</x:v>
      </x:c>
      <x:c r="G2693" s="13" t="str">
        <x:v>grid_wekqfxnd.xlsx</x:v>
      </x:c>
    </x:row>
    <x:row r="2694">
      <x:c r="A2694" s="15" t="n">
        <x:v>41487</x:v>
      </x:c>
      <x:c r="B2694" s="13" t="str">
        <x:v>LOJAS RENNER S.A.</x:v>
      </x:c>
      <x:c r="C2694" s="16" t="n">
        <x:v>464.0017588603</x:v>
      </x:c>
      <x:c r="D2694" s="13" t="str">
        <x:v>Retail</x:v>
      </x:c>
      <x:c r="E2694" s="13" t="str">
        <x:v>Retail</x:v>
      </x:c>
      <x:c r="F2694" s="13" t="str">
        <x:v>Early Cyclicals</x:v>
      </x:c>
      <x:c r="G2694" s="13" t="str">
        <x:v>grid_wekqfxnd.xlsx</x:v>
      </x:c>
    </x:row>
    <x:row r="2695">
      <x:c r="A2695" s="15" t="n">
        <x:v>41487</x:v>
      </x:c>
      <x:c r="B2695" s="13" t="str">
        <x:v>NATURA COSMETICOS SA</x:v>
      </x:c>
      <x:c r="C2695" s="16" t="n">
        <x:v>993.1623288986</x:v>
      </x:c>
      <x:c r="D2695" s="13" t="str">
        <x:v>Retail</x:v>
      </x:c>
      <x:c r="E2695" s="13" t="str">
        <x:v>Retail</x:v>
      </x:c>
      <x:c r="F2695" s="13" t="str">
        <x:v>Early Cyclicals</x:v>
      </x:c>
      <x:c r="G2695" s="13" t="str">
        <x:v>grid_wekqfxnd.xlsx</x:v>
      </x:c>
    </x:row>
    <x:row r="2696">
      <x:c r="A2696" s="15" t="n">
        <x:v>41487</x:v>
      </x:c>
      <x:c r="B2696" s="13" t="str">
        <x:v>CIA SANEAMENTO BASICO DE SP</x:v>
      </x:c>
      <x:c r="C2696" s="16" t="n">
        <x:v>2067.6507314849</x:v>
      </x:c>
      <x:c r="D2696" s="13" t="str">
        <x:v>Sanitation</x:v>
      </x:c>
      <x:c r="E2696" s="13" t="str">
        <x:v>Utilities</x:v>
      </x:c>
      <x:c r="F2696" s="13" t="str">
        <x:v>Defensives</x:v>
      </x:c>
      <x:c r="G2696" s="13" t="str">
        <x:v>grid_wekqfxnd.xlsx</x:v>
      </x:c>
    </x:row>
    <x:row r="2697">
      <x:c r="A2697" s="15" t="n">
        <x:v>41487</x:v>
      </x:c>
      <x:c r="B2697" s="13" t="str">
        <x:v>OI S.A.</x:v>
      </x:c>
      <x:c r="C2697" s="16" t="n">
        <x:v>1033.5063013699</x:v>
      </x:c>
      <x:c r="D2697" s="13" t="str">
        <x:v>TMT</x:v>
      </x:c>
      <x:c r="E2697" s="13" t="str">
        <x:v>TMT</x:v>
      </x:c>
      <x:c r="F2697" s="13" t="str">
        <x:v>Early Cyclicals</x:v>
      </x:c>
      <x:c r="G2697" s="13" t="str">
        <x:v>grid_wekqfxnd.xlsx</x:v>
      </x:c>
    </x:row>
    <x:row r="2698">
      <x:c r="A2698" s="15" t="n">
        <x:v>41487</x:v>
      </x:c>
      <x:c r="B2698" s="13" t="str">
        <x:v>OI SA-PREFERENCE</x:v>
      </x:c>
      <x:c r="C2698" s="16" t="n">
        <x:v>1033.5063013699</x:v>
      </x:c>
      <x:c r="D2698" s="13" t="str">
        <x:v>TMT</x:v>
      </x:c>
      <x:c r="E2698" s="13" t="str">
        <x:v>TMT</x:v>
      </x:c>
      <x:c r="F2698" s="13" t="str">
        <x:v>Early Cyclicals</x:v>
      </x:c>
      <x:c r="G2698" s="13" t="str">
        <x:v>grid_wekqfxnd.xlsx</x:v>
      </x:c>
    </x:row>
    <x:row r="2699">
      <x:c r="A2699" s="15" t="n">
        <x:v>41487</x:v>
      </x:c>
      <x:c r="B2699" s="13" t="str">
        <x:v>TELEFONICA BRASIL S.A.-PREF</x:v>
      </x:c>
      <x:c r="C2699" s="16" t="n">
        <x:v>4456.5354061151</x:v>
      </x:c>
      <x:c r="D2699" s="13" t="str">
        <x:v>TMT</x:v>
      </x:c>
      <x:c r="E2699" s="13" t="str">
        <x:v>TMT</x:v>
      </x:c>
      <x:c r="F2699" s="13" t="str">
        <x:v>Early Cyclicals</x:v>
      </x:c>
      <x:c r="G2699" s="13" t="str">
        <x:v>grid_wekqfxnd.xlsx</x:v>
      </x:c>
    </x:row>
    <x:row r="2700">
      <x:c r="A2700" s="15" t="n">
        <x:v>41487</x:v>
      </x:c>
      <x:c r="B2700" s="13" t="str">
        <x:v>TIM SA</x:v>
      </x:c>
      <x:c r="C2700" s="16" t="n">
        <x:v>1729.5700052164</x:v>
      </x:c>
      <x:c r="D2700" s="13" t="str">
        <x:v>TMT</x:v>
      </x:c>
      <x:c r="E2700" s="13" t="str">
        <x:v>TMT</x:v>
      </x:c>
      <x:c r="F2700" s="13" t="str">
        <x:v>Early Cyclicals</x:v>
      </x:c>
      <x:c r="G2700" s="13" t="str">
        <x:v>grid_wekqfxnd.xlsx</x:v>
      </x:c>
    </x:row>
    <x:row r="2701">
      <x:c r="A2701" s="15" t="n">
        <x:v>41487</x:v>
      </x:c>
      <x:c r="B2701" s="13" t="str">
        <x:v>GOL LINHAS AEREAS INT SA-PRE</x:v>
      </x:c>
      <x:c r="C2701" s="16" t="n">
        <x:v>-128.5518191342</x:v>
      </x:c>
      <x:c r="D2701" s="13" t="str">
        <x:v>Transportation</x:v>
      </x:c>
      <x:c r="E2701" s="13" t="str">
        <x:v>Transportation</x:v>
      </x:c>
      <x:c r="F2701" s="13" t="str">
        <x:v>Deep Cyclicals</x:v>
      </x:c>
      <x:c r="G2701" s="13" t="str">
        <x:v>grid_wekqfxnd.xlsx</x:v>
      </x:c>
    </x:row>
    <x:row r="2702">
      <x:c r="A2702" s="15" t="n">
        <x:v>41487</x:v>
      </x:c>
      <x:c r="B2702" s="13" t="str">
        <x:v>LOCALIZA RENT A CAR</x:v>
      </x:c>
      <x:c r="C2702" s="16" t="n">
        <x:v>406.0040605808</x:v>
      </x:c>
      <x:c r="D2702" s="13" t="str">
        <x:v>Transportation</x:v>
      </x:c>
      <x:c r="E2702" s="13" t="str">
        <x:v>Transportation</x:v>
      </x:c>
      <x:c r="F2702" s="13" t="str">
        <x:v>Deep Cyclicals</x:v>
      </x:c>
      <x:c r="G2702" s="13" t="str">
        <x:v>grid_wekqfxnd.xlsx</x:v>
      </x:c>
    </x:row>
    <x:row r="2703">
      <x:c r="A2703" s="15" t="n">
        <x:v>41487</x:v>
      </x:c>
      <x:c r="B2703" s="13" t="str">
        <x:v>MOTIVA INFRAESTRUTURA DE MOB</x:v>
      </x:c>
      <x:c r="C2703" s="16" t="n">
        <x:v>1694.8473522849</x:v>
      </x:c>
      <x:c r="D2703" s="13" t="str">
        <x:v>Transportation</x:v>
      </x:c>
      <x:c r="E2703" s="13" t="str">
        <x:v>Transportation</x:v>
      </x:c>
      <x:c r="F2703" s="13" t="str">
        <x:v>Deep Cyclicals</x:v>
      </x:c>
      <x:c r="G2703" s="13" t="str">
        <x:v>grid_wekqfxnd.xlsx</x:v>
      </x:c>
    </x:row>
    <x:row r="2704">
      <x:c r="A2704" s="15" t="n">
        <x:v>41487</x:v>
      </x:c>
      <x:c r="B2704" s="13" t="str">
        <x:v>PRUMO LOGISTICA SA</x:v>
      </x:c>
      <x:c r="C2704" s="16" t="n">
        <x:v>-63.9711643836</x:v>
      </x:c>
      <x:c r="D2704" s="13" t="str">
        <x:v>Transportation</x:v>
      </x:c>
      <x:c r="E2704" s="13" t="str">
        <x:v>Transportation</x:v>
      </x:c>
      <x:c r="F2704" s="13" t="str">
        <x:v>Deep Cyclicals</x:v>
      </x:c>
      <x:c r="G2704" s="13" t="str">
        <x:v>grid_wekqfxnd.xlsx</x:v>
      </x:c>
    </x:row>
    <x:row r="2705">
      <x:c r="A2705" s="15" t="n">
        <x:v>41487</x:v>
      </x:c>
      <x:c r="B2705" s="13" t="str">
        <x:v>RUMO SA</x:v>
      </x:c>
      <x:c r="C2705" s="16" t="n">
        <x:v>380.804739726</x:v>
      </x:c>
      <x:c r="D2705" s="13" t="str">
        <x:v>Transportation</x:v>
      </x:c>
      <x:c r="E2705" s="13" t="str">
        <x:v>Transportation</x:v>
      </x:c>
      <x:c r="F2705" s="13" t="str">
        <x:v>Deep Cyclicals</x:v>
      </x:c>
      <x:c r="G2705" s="13" t="str">
        <x:v>grid_wekqfxnd.xlsx</x:v>
      </x:c>
    </x:row>
    <x:row r="2706">
      <x:c r="A2706" s="15" t="n">
        <x:v>41487</x:v>
      </x:c>
      <x:c r="B2706" s="13" t="str">
        <x:v>AXIA ENERGIA SA</x:v>
      </x:c>
      <x:c r="C2706" s="16" t="n">
        <x:v>1836.2616754849</x:v>
      </x:c>
      <x:c r="D2706" s="13" t="str">
        <x:v>Utilities &amp; Energy</x:v>
      </x:c>
      <x:c r="E2706" s="13" t="str">
        <x:v>Utilities</x:v>
      </x:c>
      <x:c r="F2706" s="13" t="str">
        <x:v>Defensives</x:v>
      </x:c>
      <x:c r="G2706" s="13" t="str">
        <x:v>grid_wekqfxnd.xlsx</x:v>
      </x:c>
    </x:row>
    <x:row r="2707">
      <x:c r="A2707" s="15" t="n">
        <x:v>41487</x:v>
      </x:c>
      <x:c r="B2707" s="13" t="str">
        <x:v>AXIA ENERGIA-PR B</x:v>
      </x:c>
      <x:c r="C2707" s="16" t="n">
        <x:v>1836.2616754849</x:v>
      </x:c>
      <x:c r="D2707" s="13" t="str">
        <x:v>Utilities &amp; Energy</x:v>
      </x:c>
      <x:c r="E2707" s="13" t="str">
        <x:v>Utilities</x:v>
      </x:c>
      <x:c r="F2707" s="13" t="str">
        <x:v>Defensives</x:v>
      </x:c>
      <x:c r="G2707" s="13" t="str">
        <x:v>grid_wekqfxnd.xlsx</x:v>
      </x:c>
    </x:row>
    <x:row r="2708">
      <x:c r="A2708" s="15" t="n">
        <x:v>41487</x:v>
      </x:c>
      <x:c r="B2708" s="13" t="str">
        <x:v>CESP - CIA ENERGETICA DE SAO</x:v>
      </x:c>
      <x:c r="C2708" s="16" t="n">
        <x:v>1323.1516884164</x:v>
      </x:c>
      <x:c r="D2708" s="13" t="str">
        <x:v>Utilities &amp; Energy</x:v>
      </x:c>
      <x:c r="E2708" s="13" t="str">
        <x:v>Utilities</x:v>
      </x:c>
      <x:c r="F2708" s="13" t="str">
        <x:v>Defensives</x:v>
      </x:c>
      <x:c r="G2708" s="13" t="str">
        <x:v>grid_wekqfxnd.xlsx</x:v>
      </x:c>
    </x:row>
    <x:row r="2709">
      <x:c r="A2709" s="15" t="n">
        <x:v>41487</x:v>
      </x:c>
      <x:c r="B2709" s="13" t="str">
        <x:v>CIA ENERGETICA MINAS GER-PRF</x:v>
      </x:c>
      <x:c r="C2709" s="16" t="n">
        <x:v>2462.6495894794</x:v>
      </x:c>
      <x:c r="D2709" s="13" t="str">
        <x:v>Utilities &amp; Energy</x:v>
      </x:c>
      <x:c r="E2709" s="13" t="str">
        <x:v>Utilities</x:v>
      </x:c>
      <x:c r="F2709" s="13" t="str">
        <x:v>Defensives</x:v>
      </x:c>
      <x:c r="G2709" s="13" t="str">
        <x:v>grid_wekqfxnd.xlsx</x:v>
      </x:c>
    </x:row>
    <x:row r="2710">
      <x:c r="A2710" s="15" t="n">
        <x:v>41487</x:v>
      </x:c>
      <x:c r="B2710" s="13" t="str">
        <x:v>COMPANHIA PARANAENSE -PREF B</x:v>
      </x:c>
      <x:c r="C2710" s="16" t="n">
        <x:v>1224.9788051288</x:v>
      </x:c>
      <x:c r="D2710" s="13" t="str">
        <x:v>Utilities &amp; Energy</x:v>
      </x:c>
      <x:c r="E2710" s="13" t="str">
        <x:v>Utilities</x:v>
      </x:c>
      <x:c r="F2710" s="13" t="str">
        <x:v>Defensives</x:v>
      </x:c>
      <x:c r="G2710" s="13" t="str">
        <x:v>grid_wekqfxnd.xlsx</x:v>
      </x:c>
    </x:row>
    <x:row r="2711">
      <x:c r="A2711" s="15" t="n">
        <x:v>41487</x:v>
      </x:c>
      <x:c r="B2711" s="13" t="str">
        <x:v>CPFL ENERGIA SA</x:v>
      </x:c>
      <x:c r="C2711" s="16" t="n">
        <x:v>1310.5813482959</x:v>
      </x:c>
      <x:c r="D2711" s="13" t="str">
        <x:v>Utilities &amp; Energy</x:v>
      </x:c>
      <x:c r="E2711" s="13" t="str">
        <x:v>Utilities</x:v>
      </x:c>
      <x:c r="F2711" s="13" t="str">
        <x:v>Defensives</x:v>
      </x:c>
      <x:c r="G2711" s="13" t="str">
        <x:v>grid_wekqfxnd.xlsx</x:v>
      </x:c>
    </x:row>
    <x:row r="2712">
      <x:c r="A2712" s="15" t="n">
        <x:v>41487</x:v>
      </x:c>
      <x:c r="B2712" s="13" t="str">
        <x:v>EDP - ENERGIAS DO BRASIL SA</x:v>
      </x:c>
      <x:c r="C2712" s="16" t="n">
        <x:v>545.4806684055</x:v>
      </x:c>
      <x:c r="D2712" s="13" t="str">
        <x:v>Utilities &amp; Energy</x:v>
      </x:c>
      <x:c r="E2712" s="13" t="str">
        <x:v>Utilities</x:v>
      </x:c>
      <x:c r="F2712" s="13" t="str">
        <x:v>Defensives</x:v>
      </x:c>
      <x:c r="G2712" s="13" t="str">
        <x:v>grid_wekqfxnd.xlsx</x:v>
      </x:c>
    </x:row>
    <x:row r="2713">
      <x:c r="A2713" s="15" t="n">
        <x:v>41487</x:v>
      </x:c>
      <x:c r="B2713" s="13" t="str">
        <x:v>ELETROPAULO METROPOLI-PREF</x:v>
      </x:c>
      <x:c r="C2713" s="16" t="n">
        <x:v>-85.5476026411</x:v>
      </x:c>
      <x:c r="D2713" s="13" t="str">
        <x:v>Utilities &amp; Energy</x:v>
      </x:c>
      <x:c r="E2713" s="13" t="str">
        <x:v>Utilities</x:v>
      </x:c>
      <x:c r="F2713" s="13" t="str">
        <x:v>Defensives</x:v>
      </x:c>
      <x:c r="G2713" s="13" t="str">
        <x:v>grid_wekqfxnd.xlsx</x:v>
      </x:c>
    </x:row>
    <x:row r="2714">
      <x:c r="A2714" s="15" t="n">
        <x:v>41487</x:v>
      </x:c>
      <x:c r="B2714" s="13" t="str">
        <x:v>ISA ENERGIA BRASIL SA</x:v>
      </x:c>
      <x:c r="C2714" s="16" t="n">
        <x:v>349.5547945205</x:v>
      </x:c>
      <x:c r="D2714" s="13" t="str">
        <x:v>Utilities &amp; Energy</x:v>
      </x:c>
      <x:c r="E2714" s="13" t="str">
        <x:v>Utilities</x:v>
      </x:c>
      <x:c r="F2714" s="13" t="str">
        <x:v>Defensives</x:v>
      </x:c>
      <x:c r="G2714" s="13" t="str">
        <x:v>grid_wekqfxnd.xlsx</x:v>
      </x:c>
    </x:row>
    <x:row r="2715">
      <x:c r="A2715" s="15" t="n">
        <x:v>41487</x:v>
      </x:c>
      <x:c r="B2715" s="13" t="str">
        <x:v>LIGHT SA</x:v>
      </x:c>
      <x:c r="C2715" s="16" t="n">
        <x:v>525.3112270904</x:v>
      </x:c>
      <x:c r="D2715" s="13" t="str">
        <x:v>Utilities &amp; Energy</x:v>
      </x:c>
      <x:c r="E2715" s="13" t="str">
        <x:v>Utilities</x:v>
      </x:c>
      <x:c r="F2715" s="13" t="str">
        <x:v>Defensives</x:v>
      </x:c>
      <x:c r="G2715" s="13" t="str">
        <x:v>grid_wekqfxnd.xlsx</x:v>
      </x:c>
    </x:row>
    <x:row r="2716">
      <x:c r="A2716" s="15" t="n">
        <x:v>41518</x:v>
      </x:c>
      <x:c r="B2716" s="13" t="str">
        <x:v>SLC AGRICOLA CENTRO OESTE SA</x:v>
      </x:c>
      <x:c r="C2716" s="16" t="n">
        <x:v>-9.2269863014</x:v>
      </x:c>
      <x:c r="D2716" s="13" t="str">
        <x:v>Agribusiness</x:v>
      </x:c>
      <x:c r="E2716" s="13" t="str">
        <x:v>Agri, Food &amp; Beverages</x:v>
      </x:c>
      <x:c r="F2716" s="13" t="str">
        <x:v>Defensives</x:v>
      </x:c>
      <x:c r="G2716" s="13" t="str">
        <x:v>grid_wekqfxnd.xlsx</x:v>
      </x:c>
    </x:row>
    <x:row r="2717">
      <x:c r="A2717" s="15" t="n">
        <x:v>41518</x:v>
      </x:c>
      <x:c r="B2717" s="13" t="str">
        <x:v>BANCO BRADESCO S.A.</x:v>
      </x:c>
      <x:c r="C2717" s="16" t="n">
        <x:v>13478.1146631014</x:v>
      </x:c>
      <x:c r="D2717" s="13" t="str">
        <x:v>Banks</x:v>
      </x:c>
      <x:c r="E2717" s="13" t="str">
        <x:v>Banks</x:v>
      </x:c>
      <x:c r="F2717" s="13" t="str">
        <x:v>Financials</x:v>
      </x:c>
      <x:c r="G2717" s="13" t="str">
        <x:v>grid_wekqfxnd.xlsx</x:v>
      </x:c>
    </x:row>
    <x:row r="2718">
      <x:c r="A2718" s="15" t="n">
        <x:v>41518</x:v>
      </x:c>
      <x:c r="B2718" s="13" t="str">
        <x:v>BANCO BRADESCO SA-PREF</x:v>
      </x:c>
      <x:c r="C2718" s="16" t="n">
        <x:v>13478.1146631014</x:v>
      </x:c>
      <x:c r="D2718" s="13" t="str">
        <x:v>Banks</x:v>
      </x:c>
      <x:c r="E2718" s="13" t="str">
        <x:v>Banks</x:v>
      </x:c>
      <x:c r="F2718" s="13" t="str">
        <x:v>Financials</x:v>
      </x:c>
      <x:c r="G2718" s="13" t="str">
        <x:v>grid_wekqfxnd.xlsx</x:v>
      </x:c>
    </x:row>
    <x:row r="2719">
      <x:c r="A2719" s="15" t="n">
        <x:v>41518</x:v>
      </x:c>
      <x:c r="B2719" s="13" t="str">
        <x:v>BANCO DO BRASIL S.A.</x:v>
      </x:c>
      <x:c r="C2719" s="16" t="n">
        <x:v>10944.7491163178</x:v>
      </x:c>
      <x:c r="D2719" s="13" t="str">
        <x:v>Banks</x:v>
      </x:c>
      <x:c r="E2719" s="13" t="str">
        <x:v>Banks</x:v>
      </x:c>
      <x:c r="F2719" s="13" t="str">
        <x:v>Financials</x:v>
      </x:c>
      <x:c r="G2719" s="13" t="str">
        <x:v>grid_wekqfxnd.xlsx</x:v>
      </x:c>
    </x:row>
    <x:row r="2720">
      <x:c r="A2720" s="15" t="n">
        <x:v>41518</x:v>
      </x:c>
      <x:c r="B2720" s="13" t="str">
        <x:v>BANCO SANTANDER  BRASIL-UNIT</x:v>
      </x:c>
      <x:c r="C2720" s="16" t="n">
        <x:v>5529.2294003726</x:v>
      </x:c>
      <x:c r="D2720" s="13" t="str">
        <x:v>Banks</x:v>
      </x:c>
      <x:c r="E2720" s="13" t="str">
        <x:v>Banks</x:v>
      </x:c>
      <x:c r="F2720" s="13" t="str">
        <x:v>Financials</x:v>
      </x:c>
      <x:c r="G2720" s="13" t="str">
        <x:v>grid_wekqfxnd.xlsx</x:v>
      </x:c>
    </x:row>
    <x:row r="2721">
      <x:c r="A2721" s="15" t="n">
        <x:v>41518</x:v>
      </x:c>
      <x:c r="B2721" s="13" t="str">
        <x:v>ITAU UNIBANCO HOLDING S-PREF</x:v>
      </x:c>
      <x:c r="C2721" s="16" t="n">
        <x:v>16371.9107317479</x:v>
      </x:c>
      <x:c r="D2721" s="13" t="str">
        <x:v>Banks</x:v>
      </x:c>
      <x:c r="E2721" s="13" t="str">
        <x:v>Banks</x:v>
      </x:c>
      <x:c r="F2721" s="13" t="str">
        <x:v>Financials</x:v>
      </x:c>
      <x:c r="G2721" s="13" t="str">
        <x:v>grid_wekqfxnd.xlsx</x:v>
      </x:c>
    </x:row>
    <x:row r="2722">
      <x:c r="A2722" s="15" t="n">
        <x:v>41518</x:v>
      </x:c>
      <x:c r="B2722" s="13" t="str">
        <x:v>EMBRAER SA</x:v>
      </x:c>
      <x:c r="C2722" s="16" t="n">
        <x:v>1142.5362873863</x:v>
      </x:c>
      <x:c r="D2722" s="13" t="str">
        <x:v>Capital Goods</x:v>
      </x:c>
      <x:c r="E2722" s="13" t="str">
        <x:v>Capital Goods</x:v>
      </x:c>
      <x:c r="F2722" s="13" t="str">
        <x:v>Deep Cyclicals</x:v>
      </x:c>
      <x:c r="G2722" s="13" t="str">
        <x:v>grid_wekqfxnd.xlsx</x:v>
      </x:c>
    </x:row>
    <x:row r="2723">
      <x:c r="A2723" s="15" t="n">
        <x:v>41518</x:v>
      </x:c>
      <x:c r="B2723" s="13" t="str">
        <x:v>ANHANGUERA EDUCACIONAL PARTI</x:v>
      </x:c>
      <x:c r="C2723" s="16" t="n">
        <x:v>305.6009992767</x:v>
      </x:c>
      <x:c r="D2723" s="13" t="str">
        <x:v>Education</x:v>
      </x:c>
      <x:c r="E2723" s="13" t="str">
        <x:v>Education</x:v>
      </x:c>
      <x:c r="F2723" s="13" t="str">
        <x:v>Early Cyclicals</x:v>
      </x:c>
      <x:c r="G2723" s="13" t="str">
        <x:v>grid_wekqfxnd.xlsx</x:v>
      </x:c>
    </x:row>
    <x:row r="2724">
      <x:c r="A2724" s="15" t="n">
        <x:v>41518</x:v>
      </x:c>
      <x:c r="B2724" s="13" t="str">
        <x:v>COGNA EDUCACAO</x:v>
      </x:c>
      <x:c r="C2724" s="16" t="n">
        <x:v>548.2395023781</x:v>
      </x:c>
      <x:c r="D2724" s="13" t="str">
        <x:v>Education</x:v>
      </x:c>
      <x:c r="E2724" s="13" t="str">
        <x:v>Education</x:v>
      </x:c>
      <x:c r="F2724" s="13" t="str">
        <x:v>Early Cyclicals</x:v>
      </x:c>
      <x:c r="G2724" s="13" t="str">
        <x:v>grid_wekqfxnd.xlsx</x:v>
      </x:c>
    </x:row>
    <x:row r="2725">
      <x:c r="A2725" s="15" t="n">
        <x:v>41518</x:v>
      </x:c>
      <x:c r="B2725" s="13" t="str">
        <x:v>B3 SA-BRASIL BOLSA BALCAO</x:v>
      </x:c>
      <x:c r="C2725" s="16" t="n">
        <x:v>1759.4684468603</x:v>
      </x:c>
      <x:c r="D2725" s="13" t="str">
        <x:v>Financials Non-Banks</x:v>
      </x:c>
      <x:c r="E2725" s="13" t="str">
        <x:v>Financials Non-Banks</x:v>
      </x:c>
      <x:c r="F2725" s="13" t="str">
        <x:v>Financials</x:v>
      </x:c>
      <x:c r="G2725" s="13" t="str">
        <x:v>grid_wekqfxnd.xlsx</x:v>
      </x:c>
    </x:row>
    <x:row r="2726">
      <x:c r="A2726" s="15" t="n">
        <x:v>41518</x:v>
      </x:c>
      <x:c r="B2726" s="13" t="str">
        <x:v>CETIP SA-MERCADOS ORGANIZADO</x:v>
      </x:c>
      <x:c r="C2726" s="16" t="n">
        <x:v>448.5930540712</x:v>
      </x:c>
      <x:c r="D2726" s="13" t="str">
        <x:v>Financials Non-Banks</x:v>
      </x:c>
      <x:c r="E2726" s="13" t="str">
        <x:v>Financials Non-Banks</x:v>
      </x:c>
      <x:c r="F2726" s="13" t="str">
        <x:v>Financials</x:v>
      </x:c>
      <x:c r="G2726" s="13" t="str">
        <x:v>grid_wekqfxnd.xlsx</x:v>
      </x:c>
    </x:row>
    <x:row r="2727">
      <x:c r="A2727" s="15" t="n">
        <x:v>41518</x:v>
      </x:c>
      <x:c r="B2727" s="13" t="str">
        <x:v>CIELO SA - INSTITUICAO DE PA</x:v>
      </x:c>
      <x:c r="C2727" s="16" t="n">
        <x:v>2861.4965745973</x:v>
      </x:c>
      <x:c r="D2727" s="13" t="str">
        <x:v>Financials Non-Banks</x:v>
      </x:c>
      <x:c r="E2727" s="13" t="str">
        <x:v>Financials Non-Banks</x:v>
      </x:c>
      <x:c r="F2727" s="13" t="str">
        <x:v>Financials</x:v>
      </x:c>
      <x:c r="G2727" s="13" t="str">
        <x:v>grid_wekqfxnd.xlsx</x:v>
      </x:c>
    </x:row>
    <x:row r="2728">
      <x:c r="A2728" s="15" t="n">
        <x:v>41518</x:v>
      </x:c>
      <x:c r="B2728" s="13" t="str">
        <x:v>ITAUSA SA</x:v>
      </x:c>
      <x:c r="C2728" s="16" t="n">
        <x:v>6458.9712804822</x:v>
      </x:c>
      <x:c r="D2728" s="13" t="str">
        <x:v>Financials Non-Banks</x:v>
      </x:c>
      <x:c r="E2728" s="13" t="str">
        <x:v>Financials Non-Banks</x:v>
      </x:c>
      <x:c r="F2728" s="13" t="str">
        <x:v>Financials</x:v>
      </x:c>
      <x:c r="G2728" s="13" t="str">
        <x:v>grid_wekqfxnd.xlsx</x:v>
      </x:c>
    </x:row>
    <x:row r="2729">
      <x:c r="A2729" s="15" t="n">
        <x:v>41518</x:v>
      </x:c>
      <x:c r="B2729" s="13" t="str">
        <x:v>AMBEV SA</x:v>
      </x:c>
      <x:c r="C2729" s="16" t="n">
        <x:v>12421.327661589</x:v>
      </x:c>
      <x:c r="D2729" s="13" t="str">
        <x:v>Food &amp; Beverages</x:v>
      </x:c>
      <x:c r="E2729" s="13" t="str">
        <x:v>Agri, Food &amp; Beverages</x:v>
      </x:c>
      <x:c r="F2729" s="13" t="str">
        <x:v>Defensives</x:v>
      </x:c>
      <x:c r="G2729" s="13" t="str">
        <x:v>grid_wekqfxnd.xlsx</x:v>
      </x:c>
    </x:row>
    <x:row r="2730">
      <x:c r="A2730" s="15" t="n">
        <x:v>41518</x:v>
      </x:c>
      <x:c r="B2730" s="13" t="str">
        <x:v>BRF SA</x:v>
      </x:c>
      <x:c r="C2730" s="16" t="n">
        <x:v>2233.4767903562</x:v>
      </x:c>
      <x:c r="D2730" s="13" t="str">
        <x:v>Food &amp; Beverages</x:v>
      </x:c>
      <x:c r="E2730" s="13" t="str">
        <x:v>Agri, Food &amp; Beverages</x:v>
      </x:c>
      <x:c r="F2730" s="13" t="str">
        <x:v>Defensives</x:v>
      </x:c>
      <x:c r="G2730" s="13" t="str">
        <x:v>grid_wekqfxnd.xlsx</x:v>
      </x:c>
    </x:row>
    <x:row r="2731">
      <x:c r="A2731" s="15" t="n">
        <x:v>41518</x:v>
      </x:c>
      <x:c r="B2731" s="13" t="str">
        <x:v>MBRF GLOBAL FOODS COMPANY SA</x:v>
      </x:c>
      <x:c r="C2731" s="16" t="n">
        <x:v>196.8428558904</x:v>
      </x:c>
      <x:c r="D2731" s="13" t="str">
        <x:v>Food &amp; Beverages</x:v>
      </x:c>
      <x:c r="E2731" s="13" t="str">
        <x:v>Agri, Food &amp; Beverages</x:v>
      </x:c>
      <x:c r="F2731" s="13" t="str">
        <x:v>Defensives</x:v>
      </x:c>
      <x:c r="G2731" s="13" t="str">
        <x:v>grid_wekqfxnd.xlsx</x:v>
      </x:c>
    </x:row>
    <x:row r="2732">
      <x:c r="A2732" s="15" t="n">
        <x:v>41518</x:v>
      </x:c>
      <x:c r="B2732" s="13" t="str">
        <x:v>SOUZA CRUZ LTDA</x:v>
      </x:c>
      <x:c r="C2732" s="16" t="n">
        <x:v>1984.0134168548</x:v>
      </x:c>
      <x:c r="D2732" s="13" t="str">
        <x:v>Food &amp; Beverages</x:v>
      </x:c>
      <x:c r="E2732" s="13" t="str">
        <x:v>Agri, Food &amp; Beverages</x:v>
      </x:c>
      <x:c r="F2732" s="13" t="str">
        <x:v>Defensives</x:v>
      </x:c>
      <x:c r="G2732" s="13" t="str">
        <x:v>grid_wekqfxnd.xlsx</x:v>
      </x:c>
    </x:row>
    <x:row r="2733">
      <x:c r="A2733" s="15" t="n">
        <x:v>41518</x:v>
      </x:c>
      <x:c r="B2733" s="13" t="str">
        <x:v>DIAGNOSTICOS DA AMERICA SA</x:v>
      </x:c>
      <x:c r="C2733" s="16" t="n">
        <x:v>184.6340525589</x:v>
      </x:c>
      <x:c r="D2733" s="13" t="str">
        <x:v>Health Care</x:v>
      </x:c>
      <x:c r="E2733" s="13" t="str">
        <x:v>Health Care</x:v>
      </x:c>
      <x:c r="F2733" s="13" t="str">
        <x:v>Defensives</x:v>
      </x:c>
      <x:c r="G2733" s="13" t="str">
        <x:v>grid_wekqfxnd.xlsx</x:v>
      </x:c>
    </x:row>
    <x:row r="2734">
      <x:c r="A2734" s="15" t="n">
        <x:v>41518</x:v>
      </x:c>
      <x:c r="B2734" s="13" t="str">
        <x:v>HYPERA SA</x:v>
      </x:c>
      <x:c r="C2734" s="16" t="n">
        <x:v>467.4414144877</x:v>
      </x:c>
      <x:c r="D2734" s="13" t="str">
        <x:v>Health Care</x:v>
      </x:c>
      <x:c r="E2734" s="13" t="str">
        <x:v>Health Care</x:v>
      </x:c>
      <x:c r="F2734" s="13" t="str">
        <x:v>Defensives</x:v>
      </x:c>
      <x:c r="G2734" s="13" t="str">
        <x:v>grid_wekqfxnd.xlsx</x:v>
      </x:c>
    </x:row>
    <x:row r="2735">
      <x:c r="A2735" s="15" t="n">
        <x:v>41518</x:v>
      </x:c>
      <x:c r="B2735" s="13" t="str">
        <x:v>CYRELA BRAZIL REALTY SA EMP</x:v>
      </x:c>
      <x:c r="C2735" s="16" t="n">
        <x:v>872.6860971836</x:v>
      </x:c>
      <x:c r="D2735" s="13" t="str">
        <x:v>Homebuilders</x:v>
      </x:c>
      <x:c r="E2735" s="13" t="str">
        <x:v>Real Estate</x:v>
      </x:c>
      <x:c r="F2735" s="13" t="str">
        <x:v>Early Cyclicals</x:v>
      </x:c>
      <x:c r="G2735" s="13" t="str">
        <x:v>grid_wekqfxnd.xlsx</x:v>
      </x:c>
    </x:row>
    <x:row r="2736">
      <x:c r="A2736" s="15" t="n">
        <x:v>41518</x:v>
      </x:c>
      <x:c r="B2736" s="13" t="str">
        <x:v>GAFISA SA</x:v>
      </x:c>
      <x:c r="C2736" s="16" t="n">
        <x:v>146.8922192219</x:v>
      </x:c>
      <x:c r="D2736" s="13" t="str">
        <x:v>Homebuilders</x:v>
      </x:c>
      <x:c r="E2736" s="13" t="str">
        <x:v>Real Estate</x:v>
      </x:c>
      <x:c r="F2736" s="13" t="str">
        <x:v>Early Cyclicals</x:v>
      </x:c>
      <x:c r="G2736" s="13" t="str">
        <x:v>grid_wekqfxnd.xlsx</x:v>
      </x:c>
    </x:row>
    <x:row r="2737">
      <x:c r="A2737" s="15" t="n">
        <x:v>41518</x:v>
      </x:c>
      <x:c r="B2737" s="13" t="str">
        <x:v>MRV ENGENHARIA</x:v>
      </x:c>
      <x:c r="C2737" s="16" t="n">
        <x:v>537.8486023014</x:v>
      </x:c>
      <x:c r="D2737" s="13" t="str">
        <x:v>Homebuilders</x:v>
      </x:c>
      <x:c r="E2737" s="13" t="str">
        <x:v>Real Estate</x:v>
      </x:c>
      <x:c r="F2737" s="13" t="str">
        <x:v>Early Cyclicals</x:v>
      </x:c>
      <x:c r="G2737" s="13" t="str">
        <x:v>grid_wekqfxnd.xlsx</x:v>
      </x:c>
    </x:row>
    <x:row r="2738">
      <x:c r="A2738" s="15" t="n">
        <x:v>41518</x:v>
      </x:c>
      <x:c r="B2738" s="13" t="str">
        <x:v>PDG REALTY SA</x:v>
      </x:c>
      <x:c r="C2738" s="16" t="n">
        <x:v>155.4843265096</x:v>
      </x:c>
      <x:c r="D2738" s="13" t="str">
        <x:v>Homebuilders</x:v>
      </x:c>
      <x:c r="E2738" s="13" t="str">
        <x:v>Real Estate</x:v>
      </x:c>
      <x:c r="F2738" s="13" t="str">
        <x:v>Early Cyclicals</x:v>
      </x:c>
      <x:c r="G2738" s="13" t="str">
        <x:v>grid_wekqfxnd.xlsx</x:v>
      </x:c>
    </x:row>
    <x:row r="2739">
      <x:c r="A2739" s="15" t="n">
        <x:v>41518</x:v>
      </x:c>
      <x:c r="B2739" s="13" t="str">
        <x:v>ROSSI RESIDENCIAL SA</x:v>
      </x:c>
      <x:c r="C2739" s="16" t="n">
        <x:v>154.4967113205</x:v>
      </x:c>
      <x:c r="D2739" s="13" t="str">
        <x:v>Homebuilders</x:v>
      </x:c>
      <x:c r="E2739" s="13" t="str">
        <x:v>Real Estate</x:v>
      </x:c>
      <x:c r="F2739" s="13" t="str">
        <x:v>Early Cyclicals</x:v>
      </x:c>
      <x:c r="G2739" s="13" t="str">
        <x:v>grid_wekqfxnd.xlsx</x:v>
      </x:c>
    </x:row>
    <x:row r="2740">
      <x:c r="A2740" s="15" t="n">
        <x:v>41518</x:v>
      </x:c>
      <x:c r="B2740" s="13" t="str">
        <x:v>TEGRA INCORPORADORA SA</x:v>
      </x:c>
      <x:c r="C2740" s="16" t="n">
        <x:v>195.8438652493</x:v>
      </x:c>
      <x:c r="D2740" s="13" t="str">
        <x:v>Homebuilders</x:v>
      </x:c>
      <x:c r="E2740" s="13" t="str">
        <x:v>Real Estate</x:v>
      </x:c>
      <x:c r="F2740" s="13" t="str">
        <x:v>Early Cyclicals</x:v>
      </x:c>
      <x:c r="G2740" s="13" t="str">
        <x:v>grid_wekqfxnd.xlsx</x:v>
      </x:c>
    </x:row>
    <x:row r="2741">
      <x:c r="A2741" s="15" t="n">
        <x:v>41518</x:v>
      </x:c>
      <x:c r="B2741" s="13" t="str">
        <x:v>BR MALLS PARTICIPACOES SA</x:v>
      </x:c>
      <x:c r="C2741" s="16" t="n">
        <x:v>576.5113294904</x:v>
      </x:c>
      <x:c r="D2741" s="13" t="str">
        <x:v>Income Properties</x:v>
      </x:c>
      <x:c r="E2741" s="13" t="str">
        <x:v>Real Estate</x:v>
      </x:c>
      <x:c r="F2741" s="13" t="str">
        <x:v>Early Cyclicals</x:v>
      </x:c>
      <x:c r="G2741" s="13" t="str">
        <x:v>grid_wekqfxnd.xlsx</x:v>
      </x:c>
    </x:row>
    <x:row r="2742">
      <x:c r="A2742" s="15" t="n">
        <x:v>41518</x:v>
      </x:c>
      <x:c r="B2742" s="13" t="str">
        <x:v>SOLID ATIVOS IMOBILIARIOS SA</x:v>
      </x:c>
      <x:c r="C2742" s="16" t="n">
        <x:v>375.8909917808</x:v>
      </x:c>
      <x:c r="D2742" s="13" t="str">
        <x:v>Income Properties</x:v>
      </x:c>
      <x:c r="E2742" s="13" t="str">
        <x:v>Real Estate</x:v>
      </x:c>
      <x:c r="F2742" s="13" t="str">
        <x:v>Early Cyclicals</x:v>
      </x:c>
      <x:c r="G2742" s="13" t="str">
        <x:v>grid_wekqfxnd.xlsx</x:v>
      </x:c>
    </x:row>
    <x:row r="2743">
      <x:c r="A2743" s="15" t="n">
        <x:v>41518</x:v>
      </x:c>
      <x:c r="B2743" s="13" t="str">
        <x:v>BRADESPAR SA -PREF</x:v>
      </x:c>
      <x:c r="C2743" s="16" t="n">
        <x:v>1188.3103018082</x:v>
      </x:c>
      <x:c r="D2743" s="13" t="str">
        <x:v>Metals &amp; Mining</x:v>
      </x:c>
      <x:c r="E2743" s="13" t="str">
        <x:v>Metals &amp; Mining</x:v>
      </x:c>
      <x:c r="F2743" s="13" t="str">
        <x:v>Deep Cyclicals</x:v>
      </x:c>
      <x:c r="G2743" s="13" t="str">
        <x:v>grid_wekqfxnd.xlsx</x:v>
      </x:c>
    </x:row>
    <x:row r="2744">
      <x:c r="A2744" s="15" t="n">
        <x:v>41518</x:v>
      </x:c>
      <x:c r="B2744" s="13" t="str">
        <x:v>CIA SIDERURGICA NACIONAL SA</x:v>
      </x:c>
      <x:c r="C2744" s="16" t="n">
        <x:v>1006.8173743342</x:v>
      </x:c>
      <x:c r="D2744" s="13" t="str">
        <x:v>Metals &amp; Mining</x:v>
      </x:c>
      <x:c r="E2744" s="13" t="str">
        <x:v>Metals &amp; Mining</x:v>
      </x:c>
      <x:c r="F2744" s="13" t="str">
        <x:v>Deep Cyclicals</x:v>
      </x:c>
      <x:c r="G2744" s="13" t="str">
        <x:v>grid_wekqfxnd.xlsx</x:v>
      </x:c>
    </x:row>
    <x:row r="2745">
      <x:c r="A2745" s="15" t="n">
        <x:v>41518</x:v>
      </x:c>
      <x:c r="B2745" s="13" t="str">
        <x:v>GERDAU SA-PREF</x:v>
      </x:c>
      <x:c r="C2745" s="16" t="n">
        <x:v>2007.5663163616</x:v>
      </x:c>
      <x:c r="D2745" s="13" t="str">
        <x:v>Metals &amp; Mining</x:v>
      </x:c>
      <x:c r="E2745" s="13" t="str">
        <x:v>Metals &amp; Mining</x:v>
      </x:c>
      <x:c r="F2745" s="13" t="str">
        <x:v>Deep Cyclicals</x:v>
      </x:c>
      <x:c r="G2745" s="13" t="str">
        <x:v>grid_wekqfxnd.xlsx</x:v>
      </x:c>
    </x:row>
    <x:row r="2746">
      <x:c r="A2746" s="15" t="n">
        <x:v>41518</x:v>
      </x:c>
      <x:c r="B2746" s="13" t="str">
        <x:v>METALURGICA GERDAU SA-PREF</x:v>
      </x:c>
      <x:c r="C2746" s="16" t="n">
        <x:v>959.3616917041</x:v>
      </x:c>
      <x:c r="D2746" s="13" t="str">
        <x:v>Metals &amp; Mining</x:v>
      </x:c>
      <x:c r="E2746" s="13" t="str">
        <x:v>Metals &amp; Mining</x:v>
      </x:c>
      <x:c r="F2746" s="13" t="str">
        <x:v>Deep Cyclicals</x:v>
      </x:c>
      <x:c r="G2746" s="13" t="str">
        <x:v>grid_wekqfxnd.xlsx</x:v>
      </x:c>
    </x:row>
    <x:row r="2747">
      <x:c r="A2747" s="15" t="n">
        <x:v>41518</x:v>
      </x:c>
      <x:c r="B2747" s="13" t="str">
        <x:v>MMX MINERACAO E METALICOS SA</x:v>
      </x:c>
      <x:c r="C2747" s="16" t="n">
        <x:v>-157.9193609205</x:v>
      </x:c>
      <x:c r="D2747" s="13" t="str">
        <x:v>Metals &amp; Mining</x:v>
      </x:c>
      <x:c r="E2747" s="13" t="str">
        <x:v>Metals &amp; Mining</x:v>
      </x:c>
      <x:c r="F2747" s="13" t="str">
        <x:v>Deep Cyclicals</x:v>
      </x:c>
      <x:c r="G2747" s="13" t="str">
        <x:v>grid_wekqfxnd.xlsx</x:v>
      </x:c>
    </x:row>
    <x:row r="2748">
      <x:c r="A2748" s="15" t="n">
        <x:v>41518</x:v>
      </x:c>
      <x:c r="B2748" s="13" t="str">
        <x:v>USINAS SIDER MINAS GER-PF A</x:v>
      </x:c>
      <x:c r="C2748" s="16" t="n">
        <x:v>382.4510015123</x:v>
      </x:c>
      <x:c r="D2748" s="13" t="str">
        <x:v>Metals &amp; Mining</x:v>
      </x:c>
      <x:c r="E2748" s="13" t="str">
        <x:v>Metals &amp; Mining</x:v>
      </x:c>
      <x:c r="F2748" s="13" t="str">
        <x:v>Deep Cyclicals</x:v>
      </x:c>
      <x:c r="G2748" s="13" t="str">
        <x:v>grid_wekqfxnd.xlsx</x:v>
      </x:c>
    </x:row>
    <x:row r="2749">
      <x:c r="A2749" s="15" t="n">
        <x:v>41518</x:v>
      </x:c>
      <x:c r="B2749" s="13" t="str">
        <x:v>USINAS SIDERURGICAS DE MINAS</x:v>
      </x:c>
      <x:c r="C2749" s="16" t="n">
        <x:v>382.4510015123</x:v>
      </x:c>
      <x:c r="D2749" s="13" t="str">
        <x:v>Metals &amp; Mining</x:v>
      </x:c>
      <x:c r="E2749" s="13" t="str">
        <x:v>Metals &amp; Mining</x:v>
      </x:c>
      <x:c r="F2749" s="13" t="str">
        <x:v>Deep Cyclicals</x:v>
      </x:c>
      <x:c r="G2749" s="13" t="str">
        <x:v>grid_wekqfxnd.xlsx</x:v>
      </x:c>
    </x:row>
    <x:row r="2750">
      <x:c r="A2750" s="15" t="n">
        <x:v>41518</x:v>
      </x:c>
      <x:c r="B2750" s="13" t="str">
        <x:v>VALE SA</x:v>
      </x:c>
      <x:c r="C2750" s="16" t="n">
        <x:v>23948.4485632</x:v>
      </x:c>
      <x:c r="D2750" s="13" t="str">
        <x:v>Metals &amp; Mining</x:v>
      </x:c>
      <x:c r="E2750" s="13" t="str">
        <x:v>Metals &amp; Mining</x:v>
      </x:c>
      <x:c r="F2750" s="13" t="str">
        <x:v>Deep Cyclicals</x:v>
      </x:c>
      <x:c r="G2750" s="13" t="str">
        <x:v>grid_wekqfxnd.xlsx</x:v>
      </x:c>
    </x:row>
    <x:row r="2751">
      <x:c r="A2751" s="15" t="n">
        <x:v>41518</x:v>
      </x:c>
      <x:c r="B2751" s="13" t="str">
        <x:v>BRASKEM SA-PREF A</x:v>
      </x:c>
      <x:c r="C2751" s="16" t="n">
        <x:v>904.1063525699</x:v>
      </x:c>
      <x:c r="D2751" s="13" t="str">
        <x:v>Oil, Gas &amp; Petrochemicals</x:v>
      </x:c>
      <x:c r="E2751" s="13" t="str">
        <x:v>Oil, Gas &amp; Petrochemicals</x:v>
      </x:c>
      <x:c r="F2751" s="13" t="str">
        <x:v>Deep Cyclicals</x:v>
      </x:c>
      <x:c r="G2751" s="13" t="str">
        <x:v>grid_wekqfxnd.xlsx</x:v>
      </x:c>
    </x:row>
    <x:row r="2752">
      <x:c r="A2752" s="15" t="n">
        <x:v>41518</x:v>
      </x:c>
      <x:c r="B2752" s="13" t="str">
        <x:v>COSAN SA</x:v>
      </x:c>
      <x:c r="C2752" s="16" t="n">
        <x:v>1148.0398790137</x:v>
      </x:c>
      <x:c r="D2752" s="13" t="str">
        <x:v>Oil, Gas &amp; Petrochemicals</x:v>
      </x:c>
      <x:c r="E2752" s="13" t="str">
        <x:v>Oil, Gas &amp; Petrochemicals</x:v>
      </x:c>
      <x:c r="F2752" s="13" t="str">
        <x:v>Deep Cyclicals</x:v>
      </x:c>
      <x:c r="G2752" s="13" t="str">
        <x:v>grid_wekqfxnd.xlsx</x:v>
      </x:c>
    </x:row>
    <x:row r="2753">
      <x:c r="A2753" s="15" t="n">
        <x:v>41518</x:v>
      </x:c>
      <x:c r="B2753" s="13" t="str">
        <x:v>OLEO E GAS PARTICIPACOES SA</x:v>
      </x:c>
      <x:c r="C2753" s="16" t="n">
        <x:v>-937.5174633205</x:v>
      </x:c>
      <x:c r="D2753" s="13" t="str">
        <x:v>Oil, Gas &amp; Petrochemicals</x:v>
      </x:c>
      <x:c r="E2753" s="13" t="str">
        <x:v>Oil, Gas &amp; Petrochemicals</x:v>
      </x:c>
      <x:c r="F2753" s="13" t="str">
        <x:v>Deep Cyclicals</x:v>
      </x:c>
      <x:c r="G2753" s="13" t="str">
        <x:v>grid_wekqfxnd.xlsx</x:v>
      </x:c>
    </x:row>
    <x:row r="2754">
      <x:c r="A2754" s="15" t="n">
        <x:v>41518</x:v>
      </x:c>
      <x:c r="B2754" s="13" t="str">
        <x:v>PETROBRAS - PETROLEO BRAS</x:v>
      </x:c>
      <x:c r="C2754" s="16" t="n">
        <x:v>30022.9057662247</x:v>
      </x:c>
      <x:c r="D2754" s="13" t="str">
        <x:v>Oil, Gas &amp; Petrochemicals</x:v>
      </x:c>
      <x:c r="E2754" s="13" t="str">
        <x:v>Oil, Gas &amp; Petrochemicals</x:v>
      </x:c>
      <x:c r="F2754" s="13" t="str">
        <x:v>Deep Cyclicals</x:v>
      </x:c>
      <x:c r="G2754" s="13" t="str">
        <x:v>grid_wekqfxnd.xlsx</x:v>
      </x:c>
    </x:row>
    <x:row r="2755">
      <x:c r="A2755" s="15" t="n">
        <x:v>41518</x:v>
      </x:c>
      <x:c r="B2755" s="13" t="str">
        <x:v>ULTRAPAR PARTICIPACOES SA</x:v>
      </x:c>
      <x:c r="C2755" s="16" t="n">
        <x:v>1296.7309126137</x:v>
      </x:c>
      <x:c r="D2755" s="13" t="str">
        <x:v>Oil, Gas &amp; Petrochemicals</x:v>
      </x:c>
      <x:c r="E2755" s="13" t="str">
        <x:v>Oil, Gas &amp; Petrochemicals</x:v>
      </x:c>
      <x:c r="F2755" s="13" t="str">
        <x:v>Deep Cyclicals</x:v>
      </x:c>
      <x:c r="G2755" s="13" t="str">
        <x:v>grid_wekqfxnd.xlsx</x:v>
      </x:c>
    </x:row>
    <x:row r="2756">
      <x:c r="A2756" s="15" t="n">
        <x:v>41518</x:v>
      </x:c>
      <x:c r="B2756" s="13" t="str">
        <x:v>DEXCO SA</x:v>
      </x:c>
      <x:c r="C2756" s="16" t="n">
        <x:v>604.2579238575</x:v>
      </x:c>
      <x:c r="D2756" s="13" t="str">
        <x:v>Pulp &amp; Paper</x:v>
      </x:c>
      <x:c r="E2756" s="13" t="str">
        <x:v>Pulp &amp; Paper</x:v>
      </x:c>
      <x:c r="F2756" s="13" t="str">
        <x:v>Deep Cyclicals</x:v>
      </x:c>
      <x:c r="G2756" s="13" t="str">
        <x:v>grid_wekqfxnd.xlsx</x:v>
      </x:c>
    </x:row>
    <x:row r="2757">
      <x:c r="A2757" s="15" t="n">
        <x:v>41518</x:v>
      </x:c>
      <x:c r="B2757" s="13" t="str">
        <x:v>FIBRIA CELULOSE S/A</x:v>
      </x:c>
      <x:c r="C2757" s="16" t="n">
        <x:v>121.4063046137</x:v>
      </x:c>
      <x:c r="D2757" s="13" t="str">
        <x:v>Pulp &amp; Paper</x:v>
      </x:c>
      <x:c r="E2757" s="13" t="str">
        <x:v>Pulp &amp; Paper</x:v>
      </x:c>
      <x:c r="F2757" s="13" t="str">
        <x:v>Deep Cyclicals</x:v>
      </x:c>
      <x:c r="G2757" s="13" t="str">
        <x:v>grid_wekqfxnd.xlsx</x:v>
      </x:c>
    </x:row>
    <x:row r="2758">
      <x:c r="A2758" s="15" t="n">
        <x:v>41518</x:v>
      </x:c>
      <x:c r="B2758" s="13" t="str">
        <x:v>SUZANO PAPEL E CELULO-PREF A</x:v>
      </x:c>
      <x:c r="C2758" s="16" t="n">
        <x:v>305.8164821918</x:v>
      </x:c>
      <x:c r="D2758" s="13" t="str">
        <x:v>Pulp &amp; Paper</x:v>
      </x:c>
      <x:c r="E2758" s="13" t="str">
        <x:v>Pulp &amp; Paper</x:v>
      </x:c>
      <x:c r="F2758" s="13" t="str">
        <x:v>Deep Cyclicals</x:v>
      </x:c>
      <x:c r="G2758" s="13" t="str">
        <x:v>grid_wekqfxnd.xlsx</x:v>
      </x:c>
    </x:row>
    <x:row r="2759">
      <x:c r="A2759" s="15" t="n">
        <x:v>41518</x:v>
      </x:c>
      <x:c r="B2759" s="13" t="str">
        <x:v>AMERICANAS SA</x:v>
      </x:c>
      <x:c r="C2759" s="16" t="n">
        <x:v>-118.9796986301</x:v>
      </x:c>
      <x:c r="D2759" s="13" t="str">
        <x:v>Retail</x:v>
      </x:c>
      <x:c r="E2759" s="13" t="str">
        <x:v>Retail</x:v>
      </x:c>
      <x:c r="F2759" s="13" t="str">
        <x:v>Early Cyclicals</x:v>
      </x:c>
      <x:c r="G2759" s="13" t="str">
        <x:v>grid_wekqfxnd.xlsx</x:v>
      </x:c>
    </x:row>
    <x:row r="2760">
      <x:c r="A2760" s="15" t="n">
        <x:v>41518</x:v>
      </x:c>
      <x:c r="B2760" s="13" t="str">
        <x:v>CIA BRASILEIRA DE DIS-PREF</x:v>
      </x:c>
      <x:c r="C2760" s="16" t="n">
        <x:v>1419.7183642301</x:v>
      </x:c>
      <x:c r="D2760" s="13" t="str">
        <x:v>Retail</x:v>
      </x:c>
      <x:c r="E2760" s="13" t="str">
        <x:v>Retail</x:v>
      </x:c>
      <x:c r="F2760" s="13" t="str">
        <x:v>Early Cyclicals</x:v>
      </x:c>
      <x:c r="G2760" s="13" t="str">
        <x:v>grid_wekqfxnd.xlsx</x:v>
      </x:c>
    </x:row>
    <x:row r="2761">
      <x:c r="A2761" s="15" t="n">
        <x:v>41518</x:v>
      </x:c>
      <x:c r="B2761" s="13" t="str">
        <x:v>CIA HERING</x:v>
      </x:c>
      <x:c r="C2761" s="16" t="n">
        <x:v>368.282573326</x:v>
      </x:c>
      <x:c r="D2761" s="13" t="str">
        <x:v>Retail</x:v>
      </x:c>
      <x:c r="E2761" s="13" t="str">
        <x:v>Retail</x:v>
      </x:c>
      <x:c r="F2761" s="13" t="str">
        <x:v>Early Cyclicals</x:v>
      </x:c>
      <x:c r="G2761" s="13" t="str">
        <x:v>grid_wekqfxnd.xlsx</x:v>
      </x:c>
    </x:row>
    <x:row r="2762">
      <x:c r="A2762" s="15" t="n">
        <x:v>41518</x:v>
      </x:c>
      <x:c r="B2762" s="13" t="str">
        <x:v>LOJAS AMERICANAS SA-PREF</x:v>
      </x:c>
      <x:c r="C2762" s="16" t="n">
        <x:v>604.6098873863</x:v>
      </x:c>
      <x:c r="D2762" s="13" t="str">
        <x:v>Retail</x:v>
      </x:c>
      <x:c r="E2762" s="13" t="str">
        <x:v>Retail</x:v>
      </x:c>
      <x:c r="F2762" s="13" t="str">
        <x:v>Early Cyclicals</x:v>
      </x:c>
      <x:c r="G2762" s="13" t="str">
        <x:v>grid_wekqfxnd.xlsx</x:v>
      </x:c>
    </x:row>
    <x:row r="2763">
      <x:c r="A2763" s="15" t="n">
        <x:v>41518</x:v>
      </x:c>
      <x:c r="B2763" s="13" t="str">
        <x:v>LOJAS RENNER S.A.</x:v>
      </x:c>
      <x:c r="C2763" s="16" t="n">
        <x:v>461.8340184548</x:v>
      </x:c>
      <x:c r="D2763" s="13" t="str">
        <x:v>Retail</x:v>
      </x:c>
      <x:c r="E2763" s="13" t="str">
        <x:v>Retail</x:v>
      </x:c>
      <x:c r="F2763" s="13" t="str">
        <x:v>Early Cyclicals</x:v>
      </x:c>
      <x:c r="G2763" s="13" t="str">
        <x:v>grid_wekqfxnd.xlsx</x:v>
      </x:c>
    </x:row>
    <x:row r="2764">
      <x:c r="A2764" s="15" t="n">
        <x:v>41518</x:v>
      </x:c>
      <x:c r="B2764" s="13" t="str">
        <x:v>NATURA COSMETICOS SA</x:v>
      </x:c>
      <x:c r="C2764" s="16" t="n">
        <x:v>1002.6482460055</x:v>
      </x:c>
      <x:c r="D2764" s="13" t="str">
        <x:v>Retail</x:v>
      </x:c>
      <x:c r="E2764" s="13" t="str">
        <x:v>Retail</x:v>
      </x:c>
      <x:c r="F2764" s="13" t="str">
        <x:v>Early Cyclicals</x:v>
      </x:c>
      <x:c r="G2764" s="13" t="str">
        <x:v>grid_wekqfxnd.xlsx</x:v>
      </x:c>
    </x:row>
    <x:row r="2765">
      <x:c r="A2765" s="15" t="n">
        <x:v>41518</x:v>
      </x:c>
      <x:c r="B2765" s="13" t="str">
        <x:v>CIA SANEAMENTO BASICO DE SP</x:v>
      </x:c>
      <x:c r="C2765" s="16" t="n">
        <x:v>1948.0359143452</x:v>
      </x:c>
      <x:c r="D2765" s="13" t="str">
        <x:v>Sanitation</x:v>
      </x:c>
      <x:c r="E2765" s="13" t="str">
        <x:v>Utilities</x:v>
      </x:c>
      <x:c r="F2765" s="13" t="str">
        <x:v>Defensives</x:v>
      </x:c>
      <x:c r="G2765" s="13" t="str">
        <x:v>grid_wekqfxnd.xlsx</x:v>
      </x:c>
    </x:row>
    <x:row r="2766">
      <x:c r="A2766" s="15" t="n">
        <x:v>41518</x:v>
      </x:c>
      <x:c r="B2766" s="13" t="str">
        <x:v>OI S.A.</x:v>
      </x:c>
      <x:c r="C2766" s="16" t="n">
        <x:v>717.3165280438</x:v>
      </x:c>
      <x:c r="D2766" s="13" t="str">
        <x:v>TMT</x:v>
      </x:c>
      <x:c r="E2766" s="13" t="str">
        <x:v>TMT</x:v>
      </x:c>
      <x:c r="F2766" s="13" t="str">
        <x:v>Early Cyclicals</x:v>
      </x:c>
      <x:c r="G2766" s="13" t="str">
        <x:v>grid_wekqfxnd.xlsx</x:v>
      </x:c>
    </x:row>
    <x:row r="2767">
      <x:c r="A2767" s="15" t="n">
        <x:v>41518</x:v>
      </x:c>
      <x:c r="B2767" s="13" t="str">
        <x:v>OI SA-PREFERENCE</x:v>
      </x:c>
      <x:c r="C2767" s="16" t="n">
        <x:v>717.3165280438</x:v>
      </x:c>
      <x:c r="D2767" s="13" t="str">
        <x:v>TMT</x:v>
      </x:c>
      <x:c r="E2767" s="13" t="str">
        <x:v>TMT</x:v>
      </x:c>
      <x:c r="F2767" s="13" t="str">
        <x:v>Early Cyclicals</x:v>
      </x:c>
      <x:c r="G2767" s="13" t="str">
        <x:v>grid_wekqfxnd.xlsx</x:v>
      </x:c>
    </x:row>
    <x:row r="2768">
      <x:c r="A2768" s="15" t="n">
        <x:v>41518</x:v>
      </x:c>
      <x:c r="B2768" s="13" t="str">
        <x:v>TELEFONICA BRASIL S.A.-PREF</x:v>
      </x:c>
      <x:c r="C2768" s="16" t="n">
        <x:v>4319.7040948603</x:v>
      </x:c>
      <x:c r="D2768" s="13" t="str">
        <x:v>TMT</x:v>
      </x:c>
      <x:c r="E2768" s="13" t="str">
        <x:v>TMT</x:v>
      </x:c>
      <x:c r="F2768" s="13" t="str">
        <x:v>Early Cyclicals</x:v>
      </x:c>
      <x:c r="G2768" s="13" t="str">
        <x:v>grid_wekqfxnd.xlsx</x:v>
      </x:c>
    </x:row>
    <x:row r="2769">
      <x:c r="A2769" s="15" t="n">
        <x:v>41518</x:v>
      </x:c>
      <x:c r="B2769" s="13" t="str">
        <x:v>TIM SA</x:v>
      </x:c>
      <x:c r="C2769" s="16" t="n">
        <x:v>1742.2148692164</x:v>
      </x:c>
      <x:c r="D2769" s="13" t="str">
        <x:v>TMT</x:v>
      </x:c>
      <x:c r="E2769" s="13" t="str">
        <x:v>TMT</x:v>
      </x:c>
      <x:c r="F2769" s="13" t="str">
        <x:v>Early Cyclicals</x:v>
      </x:c>
      <x:c r="G2769" s="13" t="str">
        <x:v>grid_wekqfxnd.xlsx</x:v>
      </x:c>
    </x:row>
    <x:row r="2770">
      <x:c r="A2770" s="15" t="n">
        <x:v>41518</x:v>
      </x:c>
      <x:c r="B2770" s="13" t="str">
        <x:v>GOL LINHAS AEREAS INT SA-PRE</x:v>
      </x:c>
      <x:c r="C2770" s="16" t="n">
        <x:v>-111.4054361644</x:v>
      </x:c>
      <x:c r="D2770" s="13" t="str">
        <x:v>Transportation</x:v>
      </x:c>
      <x:c r="E2770" s="13" t="str">
        <x:v>Transportation</x:v>
      </x:c>
      <x:c r="F2770" s="13" t="str">
        <x:v>Deep Cyclicals</x:v>
      </x:c>
      <x:c r="G2770" s="13" t="str">
        <x:v>grid_wekqfxnd.xlsx</x:v>
      </x:c>
    </x:row>
    <x:row r="2771">
      <x:c r="A2771" s="15" t="n">
        <x:v>41518</x:v>
      </x:c>
      <x:c r="B2771" s="13" t="str">
        <x:v>LOCALIZA RENT A CAR</x:v>
      </x:c>
      <x:c r="C2771" s="16" t="n">
        <x:v>406.9733260274</x:v>
      </x:c>
      <x:c r="D2771" s="13" t="str">
        <x:v>Transportation</x:v>
      </x:c>
      <x:c r="E2771" s="13" t="str">
        <x:v>Transportation</x:v>
      </x:c>
      <x:c r="F2771" s="13" t="str">
        <x:v>Deep Cyclicals</x:v>
      </x:c>
      <x:c r="G2771" s="13" t="str">
        <x:v>grid_wekqfxnd.xlsx</x:v>
      </x:c>
    </x:row>
    <x:row r="2772">
      <x:c r="A2772" s="15" t="n">
        <x:v>41518</x:v>
      </x:c>
      <x:c r="B2772" s="13" t="str">
        <x:v>MOTIVA INFRAESTRUTURA DE MOB</x:v>
      </x:c>
      <x:c r="C2772" s="16" t="n">
        <x:v>1717.7725685479</x:v>
      </x:c>
      <x:c r="D2772" s="13" t="str">
        <x:v>Transportation</x:v>
      </x:c>
      <x:c r="E2772" s="13" t="str">
        <x:v>Transportation</x:v>
      </x:c>
      <x:c r="F2772" s="13" t="str">
        <x:v>Deep Cyclicals</x:v>
      </x:c>
      <x:c r="G2772" s="13" t="str">
        <x:v>grid_wekqfxnd.xlsx</x:v>
      </x:c>
    </x:row>
    <x:row r="2773">
      <x:c r="A2773" s="15" t="n">
        <x:v>41518</x:v>
      </x:c>
      <x:c r="B2773" s="13" t="str">
        <x:v>PRUMO LOGISTICA SA</x:v>
      </x:c>
      <x:c r="C2773" s="16" t="n">
        <x:v>-56.3103424658</x:v>
      </x:c>
      <x:c r="D2773" s="13" t="str">
        <x:v>Transportation</x:v>
      </x:c>
      <x:c r="E2773" s="13" t="str">
        <x:v>Transportation</x:v>
      </x:c>
      <x:c r="F2773" s="13" t="str">
        <x:v>Deep Cyclicals</x:v>
      </x:c>
      <x:c r="G2773" s="13" t="str">
        <x:v>grid_wekqfxnd.xlsx</x:v>
      </x:c>
    </x:row>
    <x:row r="2774">
      <x:c r="A2774" s="15" t="n">
        <x:v>41518</x:v>
      </x:c>
      <x:c r="B2774" s="13" t="str">
        <x:v>RUMO SA</x:v>
      </x:c>
      <x:c r="C2774" s="16" t="n">
        <x:v>382.849369863</x:v>
      </x:c>
      <x:c r="D2774" s="13" t="str">
        <x:v>Transportation</x:v>
      </x:c>
      <x:c r="E2774" s="13" t="str">
        <x:v>Transportation</x:v>
      </x:c>
      <x:c r="F2774" s="13" t="str">
        <x:v>Deep Cyclicals</x:v>
      </x:c>
      <x:c r="G2774" s="13" t="str">
        <x:v>grid_wekqfxnd.xlsx</x:v>
      </x:c>
    </x:row>
    <x:row r="2775">
      <x:c r="A2775" s="15" t="n">
        <x:v>41518</x:v>
      </x:c>
      <x:c r="B2775" s="13" t="str">
        <x:v>AXIA ENERGIA SA</x:v>
      </x:c>
      <x:c r="C2775" s="16" t="n">
        <x:v>1926.046623211</x:v>
      </x:c>
      <x:c r="D2775" s="13" t="str">
        <x:v>Utilities &amp; Energy</x:v>
      </x:c>
      <x:c r="E2775" s="13" t="str">
        <x:v>Utilities</x:v>
      </x:c>
      <x:c r="F2775" s="13" t="str">
        <x:v>Defensives</x:v>
      </x:c>
      <x:c r="G2775" s="13" t="str">
        <x:v>grid_wekqfxnd.xlsx</x:v>
      </x:c>
    </x:row>
    <x:row r="2776">
      <x:c r="A2776" s="15" t="n">
        <x:v>41518</x:v>
      </x:c>
      <x:c r="B2776" s="13" t="str">
        <x:v>AXIA ENERGIA-PR B</x:v>
      </x:c>
      <x:c r="C2776" s="16" t="n">
        <x:v>1926.046623211</x:v>
      </x:c>
      <x:c r="D2776" s="13" t="str">
        <x:v>Utilities &amp; Energy</x:v>
      </x:c>
      <x:c r="E2776" s="13" t="str">
        <x:v>Utilities</x:v>
      </x:c>
      <x:c r="F2776" s="13" t="str">
        <x:v>Defensives</x:v>
      </x:c>
      <x:c r="G2776" s="13" t="str">
        <x:v>grid_wekqfxnd.xlsx</x:v>
      </x:c>
    </x:row>
    <x:row r="2777">
      <x:c r="A2777" s="15" t="n">
        <x:v>41518</x:v>
      </x:c>
      <x:c r="B2777" s="13" t="str">
        <x:v>CESP - CIA ENERGETICA DE SAO</x:v>
      </x:c>
      <x:c r="C2777" s="16" t="n">
        <x:v>1425.9227128986</x:v>
      </x:c>
      <x:c r="D2777" s="13" t="str">
        <x:v>Utilities &amp; Energy</x:v>
      </x:c>
      <x:c r="E2777" s="13" t="str">
        <x:v>Utilities</x:v>
      </x:c>
      <x:c r="F2777" s="13" t="str">
        <x:v>Defensives</x:v>
      </x:c>
      <x:c r="G2777" s="13" t="str">
        <x:v>grid_wekqfxnd.xlsx</x:v>
      </x:c>
    </x:row>
    <x:row r="2778">
      <x:c r="A2778" s="15" t="n">
        <x:v>41518</x:v>
      </x:c>
      <x:c r="B2778" s="13" t="str">
        <x:v>CIA ENERGETICA MINAS GER-PRF</x:v>
      </x:c>
      <x:c r="C2778" s="16" t="n">
        <x:v>2405.1742158904</x:v>
      </x:c>
      <x:c r="D2778" s="13" t="str">
        <x:v>Utilities &amp; Energy</x:v>
      </x:c>
      <x:c r="E2778" s="13" t="str">
        <x:v>Utilities</x:v>
      </x:c>
      <x:c r="F2778" s="13" t="str">
        <x:v>Defensives</x:v>
      </x:c>
      <x:c r="G2778" s="13" t="str">
        <x:v>grid_wekqfxnd.xlsx</x:v>
      </x:c>
    </x:row>
    <x:row r="2779">
      <x:c r="A2779" s="15" t="n">
        <x:v>41518</x:v>
      </x:c>
      <x:c r="B2779" s="13" t="str">
        <x:v>COMPANHIA PARANAENSE -PREF B</x:v>
      </x:c>
      <x:c r="C2779" s="16" t="n">
        <x:v>1239.2260359014</x:v>
      </x:c>
      <x:c r="D2779" s="13" t="str">
        <x:v>Utilities &amp; Energy</x:v>
      </x:c>
      <x:c r="E2779" s="13" t="str">
        <x:v>Utilities</x:v>
      </x:c>
      <x:c r="F2779" s="13" t="str">
        <x:v>Defensives</x:v>
      </x:c>
      <x:c r="G2779" s="13" t="str">
        <x:v>grid_wekqfxnd.xlsx</x:v>
      </x:c>
    </x:row>
    <x:row r="2780">
      <x:c r="A2780" s="15" t="n">
        <x:v>41518</x:v>
      </x:c>
      <x:c r="B2780" s="13" t="str">
        <x:v>CPFL ENERGIA SA</x:v>
      </x:c>
      <x:c r="C2780" s="16" t="n">
        <x:v>1299.3799834301</x:v>
      </x:c>
      <x:c r="D2780" s="13" t="str">
        <x:v>Utilities &amp; Energy</x:v>
      </x:c>
      <x:c r="E2780" s="13" t="str">
        <x:v>Utilities</x:v>
      </x:c>
      <x:c r="F2780" s="13" t="str">
        <x:v>Defensives</x:v>
      </x:c>
      <x:c r="G2780" s="13" t="str">
        <x:v>grid_wekqfxnd.xlsx</x:v>
      </x:c>
    </x:row>
    <x:row r="2781">
      <x:c r="A2781" s="15" t="n">
        <x:v>41518</x:v>
      </x:c>
      <x:c r="B2781" s="13" t="str">
        <x:v>EDP - ENERGIAS DO BRASIL SA</x:v>
      </x:c>
      <x:c r="C2781" s="16" t="n">
        <x:v>557.435871737</x:v>
      </x:c>
      <x:c r="D2781" s="13" t="str">
        <x:v>Utilities &amp; Energy</x:v>
      </x:c>
      <x:c r="E2781" s="13" t="str">
        <x:v>Utilities</x:v>
      </x:c>
      <x:c r="F2781" s="13" t="str">
        <x:v>Defensives</x:v>
      </x:c>
      <x:c r="G2781" s="13" t="str">
        <x:v>grid_wekqfxnd.xlsx</x:v>
      </x:c>
    </x:row>
    <x:row r="2782">
      <x:c r="A2782" s="15" t="n">
        <x:v>41518</x:v>
      </x:c>
      <x:c r="B2782" s="13" t="str">
        <x:v>ELETROPAULO METROPOLI-PREF</x:v>
      </x:c>
      <x:c r="C2782" s="16" t="n">
        <x:v>-109.7328087671</x:v>
      </x:c>
      <x:c r="D2782" s="13" t="str">
        <x:v>Utilities &amp; Energy</x:v>
      </x:c>
      <x:c r="E2782" s="13" t="str">
        <x:v>Utilities</x:v>
      </x:c>
      <x:c r="F2782" s="13" t="str">
        <x:v>Defensives</x:v>
      </x:c>
      <x:c r="G2782" s="13" t="str">
        <x:v>grid_wekqfxnd.xlsx</x:v>
      </x:c>
    </x:row>
    <x:row r="2783">
      <x:c r="A2783" s="15" t="n">
        <x:v>41518</x:v>
      </x:c>
      <x:c r="B2783" s="13" t="str">
        <x:v>ISA ENERGIA BRASIL SA</x:v>
      </x:c>
      <x:c r="C2783" s="16" t="n">
        <x:v>368.0452054795</x:v>
      </x:c>
      <x:c r="D2783" s="13" t="str">
        <x:v>Utilities &amp; Energy</x:v>
      </x:c>
      <x:c r="E2783" s="13" t="str">
        <x:v>Utilities</x:v>
      </x:c>
      <x:c r="F2783" s="13" t="str">
        <x:v>Defensives</x:v>
      </x:c>
      <x:c r="G2783" s="13" t="str">
        <x:v>grid_wekqfxnd.xlsx</x:v>
      </x:c>
    </x:row>
    <x:row r="2784">
      <x:c r="A2784" s="15" t="n">
        <x:v>41518</x:v>
      </x:c>
      <x:c r="B2784" s="13" t="str">
        <x:v>LIGHT SA</x:v>
      </x:c>
      <x:c r="C2784" s="16" t="n">
        <x:v>517.2312214795</x:v>
      </x:c>
      <x:c r="D2784" s="13" t="str">
        <x:v>Utilities &amp; Energy</x:v>
      </x:c>
      <x:c r="E2784" s="13" t="str">
        <x:v>Utilities</x:v>
      </x:c>
      <x:c r="F2784" s="13" t="str">
        <x:v>Defensives</x:v>
      </x:c>
      <x:c r="G2784" s="13" t="str">
        <x:v>grid_wekqfxnd.xlsx</x:v>
      </x:c>
    </x:row>
    <x:row r="2785">
      <x:c r="A2785" s="15" t="n">
        <x:v>41548</x:v>
      </x:c>
      <x:c r="B2785" s="13" t="str">
        <x:v>SLC AGRICOLA CENTRO OESTE SA</x:v>
      </x:c>
      <x:c r="C2785" s="16" t="n">
        <x:v>-2.4282191781</x:v>
      </x:c>
      <x:c r="D2785" s="13" t="str">
        <x:v>Agribusiness</x:v>
      </x:c>
      <x:c r="E2785" s="13" t="str">
        <x:v>Agri, Food &amp; Beverages</x:v>
      </x:c>
      <x:c r="F2785" s="13" t="str">
        <x:v>Defensives</x:v>
      </x:c>
      <x:c r="G2785" s="13" t="str">
        <x:v>grid_wekqfxnd.xlsx</x:v>
      </x:c>
    </x:row>
    <x:row r="2786">
      <x:c r="A2786" s="15" t="n">
        <x:v>41548</x:v>
      </x:c>
      <x:c r="B2786" s="13" t="str">
        <x:v>BANCO BRADESCO S.A.</x:v>
      </x:c>
      <x:c r="C2786" s="16" t="n">
        <x:v>13422.6023718575</x:v>
      </x:c>
      <x:c r="D2786" s="13" t="str">
        <x:v>Banks</x:v>
      </x:c>
      <x:c r="E2786" s="13" t="str">
        <x:v>Banks</x:v>
      </x:c>
      <x:c r="F2786" s="13" t="str">
        <x:v>Financials</x:v>
      </x:c>
      <x:c r="G2786" s="13" t="str">
        <x:v>grid_wekqfxnd.xlsx</x:v>
      </x:c>
    </x:row>
    <x:row r="2787">
      <x:c r="A2787" s="15" t="n">
        <x:v>41548</x:v>
      </x:c>
      <x:c r="B2787" s="13" t="str">
        <x:v>BANCO BRADESCO SA-PREF</x:v>
      </x:c>
      <x:c r="C2787" s="16" t="n">
        <x:v>13422.6023718575</x:v>
      </x:c>
      <x:c r="D2787" s="13" t="str">
        <x:v>Banks</x:v>
      </x:c>
      <x:c r="E2787" s="13" t="str">
        <x:v>Banks</x:v>
      </x:c>
      <x:c r="F2787" s="13" t="str">
        <x:v>Financials</x:v>
      </x:c>
      <x:c r="G2787" s="13" t="str">
        <x:v>grid_wekqfxnd.xlsx</x:v>
      </x:c>
    </x:row>
    <x:row r="2788">
      <x:c r="A2788" s="15" t="n">
        <x:v>41548</x:v>
      </x:c>
      <x:c r="B2788" s="13" t="str">
        <x:v>BANCO DO BRASIL S.A.</x:v>
      </x:c>
      <x:c r="C2788" s="16" t="n">
        <x:v>10969.6718819945</x:v>
      </x:c>
      <x:c r="D2788" s="13" t="str">
        <x:v>Banks</x:v>
      </x:c>
      <x:c r="E2788" s="13" t="str">
        <x:v>Banks</x:v>
      </x:c>
      <x:c r="F2788" s="13" t="str">
        <x:v>Financials</x:v>
      </x:c>
      <x:c r="G2788" s="13" t="str">
        <x:v>grid_wekqfxnd.xlsx</x:v>
      </x:c>
    </x:row>
    <x:row r="2789">
      <x:c r="A2789" s="15" t="n">
        <x:v>41548</x:v>
      </x:c>
      <x:c r="B2789" s="13" t="str">
        <x:v>BANCO SANTANDER  BRASIL-UNIT</x:v>
      </x:c>
      <x:c r="C2789" s="16" t="n">
        <x:v>5949.9986537205</x:v>
      </x:c>
      <x:c r="D2789" s="13" t="str">
        <x:v>Banks</x:v>
      </x:c>
      <x:c r="E2789" s="13" t="str">
        <x:v>Banks</x:v>
      </x:c>
      <x:c r="F2789" s="13" t="str">
        <x:v>Financials</x:v>
      </x:c>
      <x:c r="G2789" s="13" t="str">
        <x:v>grid_wekqfxnd.xlsx</x:v>
      </x:c>
    </x:row>
    <x:row r="2790">
      <x:c r="A2790" s="15" t="n">
        <x:v>41548</x:v>
      </x:c>
      <x:c r="B2790" s="13" t="str">
        <x:v>ITAU UNIBANCO HOLDING S-PREF</x:v>
      </x:c>
      <x:c r="C2790" s="16" t="n">
        <x:v>16524.2119266192</x:v>
      </x:c>
      <x:c r="D2790" s="13" t="str">
        <x:v>Banks</x:v>
      </x:c>
      <x:c r="E2790" s="13" t="str">
        <x:v>Banks</x:v>
      </x:c>
      <x:c r="F2790" s="13" t="str">
        <x:v>Financials</x:v>
      </x:c>
      <x:c r="G2790" s="13" t="str">
        <x:v>grid_wekqfxnd.xlsx</x:v>
      </x:c>
    </x:row>
    <x:row r="2791">
      <x:c r="A2791" s="15" t="n">
        <x:v>41548</x:v>
      </x:c>
      <x:c r="B2791" s="13" t="str">
        <x:v>EMBRAER SA</x:v>
      </x:c>
      <x:c r="C2791" s="16" t="n">
        <x:v>993.9345662247</x:v>
      </x:c>
      <x:c r="D2791" s="13" t="str">
        <x:v>Capital Goods</x:v>
      </x:c>
      <x:c r="E2791" s="13" t="str">
        <x:v>Capital Goods</x:v>
      </x:c>
      <x:c r="F2791" s="13" t="str">
        <x:v>Deep Cyclicals</x:v>
      </x:c>
      <x:c r="G2791" s="13" t="str">
        <x:v>grid_wekqfxnd.xlsx</x:v>
      </x:c>
    </x:row>
    <x:row r="2792">
      <x:c r="A2792" s="15" t="n">
        <x:v>41548</x:v>
      </x:c>
      <x:c r="B2792" s="13" t="str">
        <x:v>ANHANGUERA EDUCACIONAL PARTI</x:v>
      </x:c>
      <x:c r="C2792" s="16" t="n">
        <x:v>300.2269536438</x:v>
      </x:c>
      <x:c r="D2792" s="13" t="str">
        <x:v>Education</x:v>
      </x:c>
      <x:c r="E2792" s="13" t="str">
        <x:v>Education</x:v>
      </x:c>
      <x:c r="F2792" s="13" t="str">
        <x:v>Early Cyclicals</x:v>
      </x:c>
      <x:c r="G2792" s="13" t="str">
        <x:v>grid_wekqfxnd.xlsx</x:v>
      </x:c>
    </x:row>
    <x:row r="2793">
      <x:c r="A2793" s="15" t="n">
        <x:v>41548</x:v>
      </x:c>
      <x:c r="B2793" s="13" t="str">
        <x:v>COGNA EDUCACAO</x:v>
      </x:c>
      <x:c r="C2793" s="16" t="n">
        <x:v>566.0894623562</x:v>
      </x:c>
      <x:c r="D2793" s="13" t="str">
        <x:v>Education</x:v>
      </x:c>
      <x:c r="E2793" s="13" t="str">
        <x:v>Education</x:v>
      </x:c>
      <x:c r="F2793" s="13" t="str">
        <x:v>Early Cyclicals</x:v>
      </x:c>
      <x:c r="G2793" s="13" t="str">
        <x:v>grid_wekqfxnd.xlsx</x:v>
      </x:c>
    </x:row>
    <x:row r="2794">
      <x:c r="A2794" s="15" t="n">
        <x:v>41548</x:v>
      </x:c>
      <x:c r="B2794" s="13" t="str">
        <x:v>B3 SA-BRASIL BOLSA BALCAO</x:v>
      </x:c>
      <x:c r="C2794" s="16" t="n">
        <x:v>1774.4219711123</x:v>
      </x:c>
      <x:c r="D2794" s="13" t="str">
        <x:v>Financials Non-Banks</x:v>
      </x:c>
      <x:c r="E2794" s="13" t="str">
        <x:v>Financials Non-Banks</x:v>
      </x:c>
      <x:c r="F2794" s="13" t="str">
        <x:v>Financials</x:v>
      </x:c>
      <x:c r="G2794" s="13" t="str">
        <x:v>grid_wekqfxnd.xlsx</x:v>
      </x:c>
    </x:row>
    <x:row r="2795">
      <x:c r="A2795" s="15" t="n">
        <x:v>41548</x:v>
      </x:c>
      <x:c r="B2795" s="13" t="str">
        <x:v>CETIP SA-MERCADOS ORGANIZADO</x:v>
      </x:c>
      <x:c r="C2795" s="16" t="n">
        <x:v>460.9398822575</x:v>
      </x:c>
      <x:c r="D2795" s="13" t="str">
        <x:v>Financials Non-Banks</x:v>
      </x:c>
      <x:c r="E2795" s="13" t="str">
        <x:v>Financials Non-Banks</x:v>
      </x:c>
      <x:c r="F2795" s="13" t="str">
        <x:v>Financials</x:v>
      </x:c>
      <x:c r="G2795" s="13" t="str">
        <x:v>grid_wekqfxnd.xlsx</x:v>
      </x:c>
    </x:row>
    <x:row r="2796">
      <x:c r="A2796" s="15" t="n">
        <x:v>41548</x:v>
      </x:c>
      <x:c r="B2796" s="13" t="str">
        <x:v>CIELO SA - INSTITUICAO DE PA</x:v>
      </x:c>
      <x:c r="C2796" s="16" t="n">
        <x:v>2899.6562130411</x:v>
      </x:c>
      <x:c r="D2796" s="13" t="str">
        <x:v>Financials Non-Banks</x:v>
      </x:c>
      <x:c r="E2796" s="13" t="str">
        <x:v>Financials Non-Banks</x:v>
      </x:c>
      <x:c r="F2796" s="13" t="str">
        <x:v>Financials</x:v>
      </x:c>
      <x:c r="G2796" s="13" t="str">
        <x:v>grid_wekqfxnd.xlsx</x:v>
      </x:c>
    </x:row>
    <x:row r="2797">
      <x:c r="A2797" s="15" t="n">
        <x:v>41548</x:v>
      </x:c>
      <x:c r="B2797" s="13" t="str">
        <x:v>ITAUSA SA</x:v>
      </x:c>
      <x:c r="C2797" s="16" t="n">
        <x:v>6337.9823251288</x:v>
      </x:c>
      <x:c r="D2797" s="13" t="str">
        <x:v>Financials Non-Banks</x:v>
      </x:c>
      <x:c r="E2797" s="13" t="str">
        <x:v>Financials Non-Banks</x:v>
      </x:c>
      <x:c r="F2797" s="13" t="str">
        <x:v>Financials</x:v>
      </x:c>
      <x:c r="G2797" s="13" t="str">
        <x:v>grid_wekqfxnd.xlsx</x:v>
      </x:c>
    </x:row>
    <x:row r="2798">
      <x:c r="A2798" s="15" t="n">
        <x:v>41548</x:v>
      </x:c>
      <x:c r="B2798" s="13" t="str">
        <x:v>AMBEV SA</x:v>
      </x:c>
      <x:c r="C2798" s="16" t="n">
        <x:v>12514.7730228603</x:v>
      </x:c>
      <x:c r="D2798" s="13" t="str">
        <x:v>Food &amp; Beverages</x:v>
      </x:c>
      <x:c r="E2798" s="13" t="str">
        <x:v>Agri, Food &amp; Beverages</x:v>
      </x:c>
      <x:c r="F2798" s="13" t="str">
        <x:v>Defensives</x:v>
      </x:c>
      <x:c r="G2798" s="13" t="str">
        <x:v>grid_wekqfxnd.xlsx</x:v>
      </x:c>
    </x:row>
    <x:row r="2799">
      <x:c r="A2799" s="15" t="n">
        <x:v>41548</x:v>
      </x:c>
      <x:c r="B2799" s="13" t="str">
        <x:v>BRF SA</x:v>
      </x:c>
      <x:c r="C2799" s="16" t="n">
        <x:v>2146.3919801863</x:v>
      </x:c>
      <x:c r="D2799" s="13" t="str">
        <x:v>Food &amp; Beverages</x:v>
      </x:c>
      <x:c r="E2799" s="13" t="str">
        <x:v>Agri, Food &amp; Beverages</x:v>
      </x:c>
      <x:c r="F2799" s="13" t="str">
        <x:v>Defensives</x:v>
      </x:c>
      <x:c r="G2799" s="13" t="str">
        <x:v>grid_wekqfxnd.xlsx</x:v>
      </x:c>
    </x:row>
    <x:row r="2800">
      <x:c r="A2800" s="15" t="n">
        <x:v>41548</x:v>
      </x:c>
      <x:c r="B2800" s="13" t="str">
        <x:v>MBRF GLOBAL FOODS COMPANY SA</x:v>
      </x:c>
      <x:c r="C2800" s="16" t="n">
        <x:v>100.7902122959</x:v>
      </x:c>
      <x:c r="D2800" s="13" t="str">
        <x:v>Food &amp; Beverages</x:v>
      </x:c>
      <x:c r="E2800" s="13" t="str">
        <x:v>Agri, Food &amp; Beverages</x:v>
      </x:c>
      <x:c r="F2800" s="13" t="str">
        <x:v>Defensives</x:v>
      </x:c>
      <x:c r="G2800" s="13" t="str">
        <x:v>grid_wekqfxnd.xlsx</x:v>
      </x:c>
    </x:row>
    <x:row r="2801">
      <x:c r="A2801" s="15" t="n">
        <x:v>41548</x:v>
      </x:c>
      <x:c r="B2801" s="13" t="str">
        <x:v>SOUZA CRUZ LTDA</x:v>
      </x:c>
      <x:c r="C2801" s="16" t="n">
        <x:v>1923.2178603836</x:v>
      </x:c>
      <x:c r="D2801" s="13" t="str">
        <x:v>Food &amp; Beverages</x:v>
      </x:c>
      <x:c r="E2801" s="13" t="str">
        <x:v>Agri, Food &amp; Beverages</x:v>
      </x:c>
      <x:c r="F2801" s="13" t="str">
        <x:v>Defensives</x:v>
      </x:c>
      <x:c r="G2801" s="13" t="str">
        <x:v>grid_wekqfxnd.xlsx</x:v>
      </x:c>
    </x:row>
    <x:row r="2802">
      <x:c r="A2802" s="15" t="n">
        <x:v>41548</x:v>
      </x:c>
      <x:c r="B2802" s="13" t="str">
        <x:v>DIAGNOSTICOS DA AMERICA SA</x:v>
      </x:c>
      <x:c r="C2802" s="16" t="n">
        <x:v>194.8827467616</x:v>
      </x:c>
      <x:c r="D2802" s="13" t="str">
        <x:v>Health Care</x:v>
      </x:c>
      <x:c r="E2802" s="13" t="str">
        <x:v>Health Care</x:v>
      </x:c>
      <x:c r="F2802" s="13" t="str">
        <x:v>Defensives</x:v>
      </x:c>
      <x:c r="G2802" s="13" t="str">
        <x:v>grid_wekqfxnd.xlsx</x:v>
      </x:c>
    </x:row>
    <x:row r="2803">
      <x:c r="A2803" s="15" t="n">
        <x:v>41548</x:v>
      </x:c>
      <x:c r="B2803" s="13" t="str">
        <x:v>HYPERA SA</x:v>
      </x:c>
      <x:c r="C2803" s="16" t="n">
        <x:v>468.5920161315</x:v>
      </x:c>
      <x:c r="D2803" s="13" t="str">
        <x:v>Health Care</x:v>
      </x:c>
      <x:c r="E2803" s="13" t="str">
        <x:v>Health Care</x:v>
      </x:c>
      <x:c r="F2803" s="13" t="str">
        <x:v>Defensives</x:v>
      </x:c>
      <x:c r="G2803" s="13" t="str">
        <x:v>grid_wekqfxnd.xlsx</x:v>
      </x:c>
    </x:row>
    <x:row r="2804">
      <x:c r="A2804" s="15" t="n">
        <x:v>41548</x:v>
      </x:c>
      <x:c r="B2804" s="13" t="str">
        <x:v>CYRELA BRAZIL REALTY SA EMP</x:v>
      </x:c>
      <x:c r="C2804" s="16" t="n">
        <x:v>868.7493070904</x:v>
      </x:c>
      <x:c r="D2804" s="13" t="str">
        <x:v>Homebuilders</x:v>
      </x:c>
      <x:c r="E2804" s="13" t="str">
        <x:v>Real Estate</x:v>
      </x:c>
      <x:c r="F2804" s="13" t="str">
        <x:v>Early Cyclicals</x:v>
      </x:c>
      <x:c r="G2804" s="13" t="str">
        <x:v>grid_wekqfxnd.xlsx</x:v>
      </x:c>
    </x:row>
    <x:row r="2805">
      <x:c r="A2805" s="15" t="n">
        <x:v>41548</x:v>
      </x:c>
      <x:c r="B2805" s="13" t="str">
        <x:v>GAFISA SA</x:v>
      </x:c>
      <x:c r="C2805" s="16" t="n">
        <x:v>154.9981985425</x:v>
      </x:c>
      <x:c r="D2805" s="13" t="str">
        <x:v>Homebuilders</x:v>
      </x:c>
      <x:c r="E2805" s="13" t="str">
        <x:v>Real Estate</x:v>
      </x:c>
      <x:c r="F2805" s="13" t="str">
        <x:v>Early Cyclicals</x:v>
      </x:c>
      <x:c r="G2805" s="13" t="str">
        <x:v>grid_wekqfxnd.xlsx</x:v>
      </x:c>
    </x:row>
    <x:row r="2806">
      <x:c r="A2806" s="15" t="n">
        <x:v>41548</x:v>
      </x:c>
      <x:c r="B2806" s="13" t="str">
        <x:v>MRV ENGENHARIA</x:v>
      </x:c>
      <x:c r="C2806" s="16" t="n">
        <x:v>532.7100507178</x:v>
      </x:c>
      <x:c r="D2806" s="13" t="str">
        <x:v>Homebuilders</x:v>
      </x:c>
      <x:c r="E2806" s="13" t="str">
        <x:v>Real Estate</x:v>
      </x:c>
      <x:c r="F2806" s="13" t="str">
        <x:v>Early Cyclicals</x:v>
      </x:c>
      <x:c r="G2806" s="13" t="str">
        <x:v>grid_wekqfxnd.xlsx</x:v>
      </x:c>
    </x:row>
    <x:row r="2807">
      <x:c r="A2807" s="15" t="n">
        <x:v>41548</x:v>
      </x:c>
      <x:c r="B2807" s="13" t="str">
        <x:v>PDG REALTY SA</x:v>
      </x:c>
      <x:c r="C2807" s="16" t="n">
        <x:v>156.349560274</x:v>
      </x:c>
      <x:c r="D2807" s="13" t="str">
        <x:v>Homebuilders</x:v>
      </x:c>
      <x:c r="E2807" s="13" t="str">
        <x:v>Real Estate</x:v>
      </x:c>
      <x:c r="F2807" s="13" t="str">
        <x:v>Early Cyclicals</x:v>
      </x:c>
      <x:c r="G2807" s="13" t="str">
        <x:v>grid_wekqfxnd.xlsx</x:v>
      </x:c>
    </x:row>
    <x:row r="2808">
      <x:c r="A2808" s="15" t="n">
        <x:v>41548</x:v>
      </x:c>
      <x:c r="B2808" s="13" t="str">
        <x:v>ROSSI RESIDENCIAL SA</x:v>
      </x:c>
      <x:c r="C2808" s="16" t="n">
        <x:v>129.7490114192</x:v>
      </x:c>
      <x:c r="D2808" s="13" t="str">
        <x:v>Homebuilders</x:v>
      </x:c>
      <x:c r="E2808" s="13" t="str">
        <x:v>Real Estate</x:v>
      </x:c>
      <x:c r="F2808" s="13" t="str">
        <x:v>Early Cyclicals</x:v>
      </x:c>
      <x:c r="G2808" s="13" t="str">
        <x:v>grid_wekqfxnd.xlsx</x:v>
      </x:c>
    </x:row>
    <x:row r="2809">
      <x:c r="A2809" s="15" t="n">
        <x:v>41548</x:v>
      </x:c>
      <x:c r="B2809" s="13" t="str">
        <x:v>TEGRA INCORPORADORA SA</x:v>
      </x:c>
      <x:c r="C2809" s="16" t="n">
        <x:v>176.411871589</x:v>
      </x:c>
      <x:c r="D2809" s="13" t="str">
        <x:v>Homebuilders</x:v>
      </x:c>
      <x:c r="E2809" s="13" t="str">
        <x:v>Real Estate</x:v>
      </x:c>
      <x:c r="F2809" s="13" t="str">
        <x:v>Early Cyclicals</x:v>
      </x:c>
      <x:c r="G2809" s="13" t="str">
        <x:v>grid_wekqfxnd.xlsx</x:v>
      </x:c>
    </x:row>
    <x:row r="2810">
      <x:c r="A2810" s="15" t="n">
        <x:v>41548</x:v>
      </x:c>
      <x:c r="B2810" s="13" t="str">
        <x:v>BR MALLS PARTICIPACOES SA</x:v>
      </x:c>
      <x:c r="C2810" s="16" t="n">
        <x:v>542.6177886685</x:v>
      </x:c>
      <x:c r="D2810" s="13" t="str">
        <x:v>Income Properties</x:v>
      </x:c>
      <x:c r="E2810" s="13" t="str">
        <x:v>Real Estate</x:v>
      </x:c>
      <x:c r="F2810" s="13" t="str">
        <x:v>Early Cyclicals</x:v>
      </x:c>
      <x:c r="G2810" s="13" t="str">
        <x:v>grid_wekqfxnd.xlsx</x:v>
      </x:c>
    </x:row>
    <x:row r="2811">
      <x:c r="A2811" s="15" t="n">
        <x:v>41548</x:v>
      </x:c>
      <x:c r="B2811" s="13" t="str">
        <x:v>SOLID ATIVOS IMOBILIARIOS SA</x:v>
      </x:c>
      <x:c r="C2811" s="16" t="n">
        <x:v>375.385606663</x:v>
      </x:c>
      <x:c r="D2811" s="13" t="str">
        <x:v>Income Properties</x:v>
      </x:c>
      <x:c r="E2811" s="13" t="str">
        <x:v>Real Estate</x:v>
      </x:c>
      <x:c r="F2811" s="13" t="str">
        <x:v>Early Cyclicals</x:v>
      </x:c>
      <x:c r="G2811" s="13" t="str">
        <x:v>grid_wekqfxnd.xlsx</x:v>
      </x:c>
    </x:row>
    <x:row r="2812">
      <x:c r="A2812" s="15" t="n">
        <x:v>41548</x:v>
      </x:c>
      <x:c r="B2812" s="13" t="str">
        <x:v>BRADESPAR SA -PREF</x:v>
      </x:c>
      <x:c r="C2812" s="16" t="n">
        <x:v>1198.7356510685</x:v>
      </x:c>
      <x:c r="D2812" s="13" t="str">
        <x:v>Metals &amp; Mining</x:v>
      </x:c>
      <x:c r="E2812" s="13" t="str">
        <x:v>Metals &amp; Mining</x:v>
      </x:c>
      <x:c r="F2812" s="13" t="str">
        <x:v>Deep Cyclicals</x:v>
      </x:c>
      <x:c r="G2812" s="13" t="str">
        <x:v>grid_wekqfxnd.xlsx</x:v>
      </x:c>
    </x:row>
    <x:row r="2813">
      <x:c r="A2813" s="15" t="n">
        <x:v>41548</x:v>
      </x:c>
      <x:c r="B2813" s="13" t="str">
        <x:v>CIA SIDERURGICA NACIONAL SA</x:v>
      </x:c>
      <x:c r="C2813" s="16" t="n">
        <x:v>1029.0647899178</x:v>
      </x:c>
      <x:c r="D2813" s="13" t="str">
        <x:v>Metals &amp; Mining</x:v>
      </x:c>
      <x:c r="E2813" s="13" t="str">
        <x:v>Metals &amp; Mining</x:v>
      </x:c>
      <x:c r="F2813" s="13" t="str">
        <x:v>Deep Cyclicals</x:v>
      </x:c>
      <x:c r="G2813" s="13" t="str">
        <x:v>grid_wekqfxnd.xlsx</x:v>
      </x:c>
    </x:row>
    <x:row r="2814">
      <x:c r="A2814" s="15" t="n">
        <x:v>41548</x:v>
      </x:c>
      <x:c r="B2814" s="13" t="str">
        <x:v>GERDAU SA-PREF</x:v>
      </x:c>
      <x:c r="C2814" s="16" t="n">
        <x:v>2128.2087967562</x:v>
      </x:c>
      <x:c r="D2814" s="13" t="str">
        <x:v>Metals &amp; Mining</x:v>
      </x:c>
      <x:c r="E2814" s="13" t="str">
        <x:v>Metals &amp; Mining</x:v>
      </x:c>
      <x:c r="F2814" s="13" t="str">
        <x:v>Deep Cyclicals</x:v>
      </x:c>
      <x:c r="G2814" s="13" t="str">
        <x:v>grid_wekqfxnd.xlsx</x:v>
      </x:c>
    </x:row>
    <x:row r="2815">
      <x:c r="A2815" s="15" t="n">
        <x:v>41548</x:v>
      </x:c>
      <x:c r="B2815" s="13" t="str">
        <x:v>METALURGICA GERDAU SA-PREF</x:v>
      </x:c>
      <x:c r="C2815" s="16" t="n">
        <x:v>1013.6000533041</x:v>
      </x:c>
      <x:c r="D2815" s="13" t="str">
        <x:v>Metals &amp; Mining</x:v>
      </x:c>
      <x:c r="E2815" s="13" t="str">
        <x:v>Metals &amp; Mining</x:v>
      </x:c>
      <x:c r="F2815" s="13" t="str">
        <x:v>Deep Cyclicals</x:v>
      </x:c>
      <x:c r="G2815" s="13" t="str">
        <x:v>grid_wekqfxnd.xlsx</x:v>
      </x:c>
    </x:row>
    <x:row r="2816">
      <x:c r="A2816" s="15" t="n">
        <x:v>41548</x:v>
      </x:c>
      <x:c r="B2816" s="13" t="str">
        <x:v>MMX MINERACAO E METALICOS SA</x:v>
      </x:c>
      <x:c r="C2816" s="16" t="n">
        <x:v>-177.9330630137</x:v>
      </x:c>
      <x:c r="D2816" s="13" t="str">
        <x:v>Metals &amp; Mining</x:v>
      </x:c>
      <x:c r="E2816" s="13" t="str">
        <x:v>Metals &amp; Mining</x:v>
      </x:c>
      <x:c r="F2816" s="13" t="str">
        <x:v>Deep Cyclicals</x:v>
      </x:c>
      <x:c r="G2816" s="13" t="str">
        <x:v>grid_wekqfxnd.xlsx</x:v>
      </x:c>
    </x:row>
    <x:row r="2817">
      <x:c r="A2817" s="15" t="n">
        <x:v>41548</x:v>
      </x:c>
      <x:c r="B2817" s="13" t="str">
        <x:v>USINAS SIDER MINAS GER-PF A</x:v>
      </x:c>
      <x:c r="C2817" s="16" t="n">
        <x:v>489.1084043808</x:v>
      </x:c>
      <x:c r="D2817" s="13" t="str">
        <x:v>Metals &amp; Mining</x:v>
      </x:c>
      <x:c r="E2817" s="13" t="str">
        <x:v>Metals &amp; Mining</x:v>
      </x:c>
      <x:c r="F2817" s="13" t="str">
        <x:v>Deep Cyclicals</x:v>
      </x:c>
      <x:c r="G2817" s="13" t="str">
        <x:v>grid_wekqfxnd.xlsx</x:v>
      </x:c>
    </x:row>
    <x:row r="2818">
      <x:c r="A2818" s="15" t="n">
        <x:v>41548</x:v>
      </x:c>
      <x:c r="B2818" s="13" t="str">
        <x:v>USINAS SIDERURGICAS DE MINAS</x:v>
      </x:c>
      <x:c r="C2818" s="16" t="n">
        <x:v>489.1084043808</x:v>
      </x:c>
      <x:c r="D2818" s="13" t="str">
        <x:v>Metals &amp; Mining</x:v>
      </x:c>
      <x:c r="E2818" s="13" t="str">
        <x:v>Metals &amp; Mining</x:v>
      </x:c>
      <x:c r="F2818" s="13" t="str">
        <x:v>Deep Cyclicals</x:v>
      </x:c>
      <x:c r="G2818" s="13" t="str">
        <x:v>grid_wekqfxnd.xlsx</x:v>
      </x:c>
    </x:row>
    <x:row r="2819">
      <x:c r="A2819" s="15" t="n">
        <x:v>41548</x:v>
      </x:c>
      <x:c r="B2819" s="13" t="str">
        <x:v>VALE SA</x:v>
      </x:c>
      <x:c r="C2819" s="16" t="n">
        <x:v>23139.9472647014</x:v>
      </x:c>
      <x:c r="D2819" s="13" t="str">
        <x:v>Metals &amp; Mining</x:v>
      </x:c>
      <x:c r="E2819" s="13" t="str">
        <x:v>Metals &amp; Mining</x:v>
      </x:c>
      <x:c r="F2819" s="13" t="str">
        <x:v>Deep Cyclicals</x:v>
      </x:c>
      <x:c r="G2819" s="13" t="str">
        <x:v>grid_wekqfxnd.xlsx</x:v>
      </x:c>
    </x:row>
    <x:row r="2820">
      <x:c r="A2820" s="15" t="n">
        <x:v>41548</x:v>
      </x:c>
      <x:c r="B2820" s="13" t="str">
        <x:v>BRASKEM SA-PREF A</x:v>
      </x:c>
      <x:c r="C2820" s="16" t="n">
        <x:v>1039.3844849973</x:v>
      </x:c>
      <x:c r="D2820" s="13" t="str">
        <x:v>Oil, Gas &amp; Petrochemicals</x:v>
      </x:c>
      <x:c r="E2820" s="13" t="str">
        <x:v>Oil, Gas &amp; Petrochemicals</x:v>
      </x:c>
      <x:c r="F2820" s="13" t="str">
        <x:v>Deep Cyclicals</x:v>
      </x:c>
      <x:c r="G2820" s="13" t="str">
        <x:v>grid_wekqfxnd.xlsx</x:v>
      </x:c>
    </x:row>
    <x:row r="2821">
      <x:c r="A2821" s="15" t="n">
        <x:v>41548</x:v>
      </x:c>
      <x:c r="B2821" s="13" t="str">
        <x:v>COSAN SA</x:v>
      </x:c>
      <x:c r="C2821" s="16" t="n">
        <x:v>865.5479452055</x:v>
      </x:c>
      <x:c r="D2821" s="13" t="str">
        <x:v>Oil, Gas &amp; Petrochemicals</x:v>
      </x:c>
      <x:c r="E2821" s="13" t="str">
        <x:v>Oil, Gas &amp; Petrochemicals</x:v>
      </x:c>
      <x:c r="F2821" s="13" t="str">
        <x:v>Deep Cyclicals</x:v>
      </x:c>
      <x:c r="G2821" s="13" t="str">
        <x:v>grid_wekqfxnd.xlsx</x:v>
      </x:c>
    </x:row>
    <x:row r="2822">
      <x:c r="A2822" s="15" t="n">
        <x:v>41548</x:v>
      </x:c>
      <x:c r="B2822" s="13" t="str">
        <x:v>OLEO E GAS PARTICIPACOES SA</x:v>
      </x:c>
      <x:c r="C2822" s="16" t="n">
        <x:v>-1027.9928740822</x:v>
      </x:c>
      <x:c r="D2822" s="13" t="str">
        <x:v>Oil, Gas &amp; Petrochemicals</x:v>
      </x:c>
      <x:c r="E2822" s="13" t="str">
        <x:v>Oil, Gas &amp; Petrochemicals</x:v>
      </x:c>
      <x:c r="F2822" s="13" t="str">
        <x:v>Deep Cyclicals</x:v>
      </x:c>
      <x:c r="G2822" s="13" t="str">
        <x:v>grid_wekqfxnd.xlsx</x:v>
      </x:c>
    </x:row>
    <x:row r="2823">
      <x:c r="A2823" s="15" t="n">
        <x:v>41548</x:v>
      </x:c>
      <x:c r="B2823" s="13" t="str">
        <x:v>PETROBRAS - PETROLEO BRAS</x:v>
      </x:c>
      <x:c r="C2823" s="16" t="n">
        <x:v>27695.6521682411</x:v>
      </x:c>
      <x:c r="D2823" s="13" t="str">
        <x:v>Oil, Gas &amp; Petrochemicals</x:v>
      </x:c>
      <x:c r="E2823" s="13" t="str">
        <x:v>Oil, Gas &amp; Petrochemicals</x:v>
      </x:c>
      <x:c r="F2823" s="13" t="str">
        <x:v>Deep Cyclicals</x:v>
      </x:c>
      <x:c r="G2823" s="13" t="str">
        <x:v>grid_wekqfxnd.xlsx</x:v>
      </x:c>
    </x:row>
    <x:row r="2824">
      <x:c r="A2824" s="15" t="n">
        <x:v>41548</x:v>
      </x:c>
      <x:c r="B2824" s="13" t="str">
        <x:v>ULTRAPAR PARTICIPACOES SA</x:v>
      </x:c>
      <x:c r="C2824" s="16" t="n">
        <x:v>1282.9595882959</x:v>
      </x:c>
      <x:c r="D2824" s="13" t="str">
        <x:v>Oil, Gas &amp; Petrochemicals</x:v>
      </x:c>
      <x:c r="E2824" s="13" t="str">
        <x:v>Oil, Gas &amp; Petrochemicals</x:v>
      </x:c>
      <x:c r="F2824" s="13" t="str">
        <x:v>Deep Cyclicals</x:v>
      </x:c>
      <x:c r="G2824" s="13" t="str">
        <x:v>grid_wekqfxnd.xlsx</x:v>
      </x:c>
    </x:row>
    <x:row r="2825">
      <x:c r="A2825" s="15" t="n">
        <x:v>41548</x:v>
      </x:c>
      <x:c r="B2825" s="13" t="str">
        <x:v>DEXCO SA</x:v>
      </x:c>
      <x:c r="C2825" s="16" t="n">
        <x:v>621.8760372603</x:v>
      </x:c>
      <x:c r="D2825" s="13" t="str">
        <x:v>Pulp &amp; Paper</x:v>
      </x:c>
      <x:c r="E2825" s="13" t="str">
        <x:v>Pulp &amp; Paper</x:v>
      </x:c>
      <x:c r="F2825" s="13" t="str">
        <x:v>Deep Cyclicals</x:v>
      </x:c>
      <x:c r="G2825" s="13" t="str">
        <x:v>grid_wekqfxnd.xlsx</x:v>
      </x:c>
    </x:row>
    <x:row r="2826">
      <x:c r="A2826" s="15" t="n">
        <x:v>41548</x:v>
      </x:c>
      <x:c r="B2826" s="13" t="str">
        <x:v>FIBRIA CELULOSE S/A</x:v>
      </x:c>
      <x:c r="C2826" s="16" t="n">
        <x:v>127.6071985973</x:v>
      </x:c>
      <x:c r="D2826" s="13" t="str">
        <x:v>Pulp &amp; Paper</x:v>
      </x:c>
      <x:c r="E2826" s="13" t="str">
        <x:v>Pulp &amp; Paper</x:v>
      </x:c>
      <x:c r="F2826" s="13" t="str">
        <x:v>Deep Cyclicals</x:v>
      </x:c>
      <x:c r="G2826" s="13" t="str">
        <x:v>grid_wekqfxnd.xlsx</x:v>
      </x:c>
    </x:row>
    <x:row r="2827">
      <x:c r="A2827" s="15" t="n">
        <x:v>41548</x:v>
      </x:c>
      <x:c r="B2827" s="13" t="str">
        <x:v>SUZANO PAPEL E CELULO-PREF A</x:v>
      </x:c>
      <x:c r="C2827" s="16" t="n">
        <x:v>298.0819520877</x:v>
      </x:c>
      <x:c r="D2827" s="13" t="str">
        <x:v>Pulp &amp; Paper</x:v>
      </x:c>
      <x:c r="E2827" s="13" t="str">
        <x:v>Pulp &amp; Paper</x:v>
      </x:c>
      <x:c r="F2827" s="13" t="str">
        <x:v>Deep Cyclicals</x:v>
      </x:c>
      <x:c r="G2827" s="13" t="str">
        <x:v>grid_wekqfxnd.xlsx</x:v>
      </x:c>
    </x:row>
    <x:row r="2828">
      <x:c r="A2828" s="15" t="n">
        <x:v>41548</x:v>
      </x:c>
      <x:c r="B2828" s="13" t="str">
        <x:v>AMERICANAS SA</x:v>
      </x:c>
      <x:c r="C2828" s="16" t="n">
        <x:v>-124.1905301041</x:v>
      </x:c>
      <x:c r="D2828" s="13" t="str">
        <x:v>Retail</x:v>
      </x:c>
      <x:c r="E2828" s="13" t="str">
        <x:v>Retail</x:v>
      </x:c>
      <x:c r="F2828" s="13" t="str">
        <x:v>Early Cyclicals</x:v>
      </x:c>
      <x:c r="G2828" s="13" t="str">
        <x:v>grid_wekqfxnd.xlsx</x:v>
      </x:c>
    </x:row>
    <x:row r="2829">
      <x:c r="A2829" s="15" t="n">
        <x:v>41548</x:v>
      </x:c>
      <x:c r="B2829" s="13" t="str">
        <x:v>CIA BRASILEIRA DE DIS-PREF</x:v>
      </x:c>
      <x:c r="C2829" s="16" t="n">
        <x:v>1435.7263942137</x:v>
      </x:c>
      <x:c r="D2829" s="13" t="str">
        <x:v>Retail</x:v>
      </x:c>
      <x:c r="E2829" s="13" t="str">
        <x:v>Retail</x:v>
      </x:c>
      <x:c r="F2829" s="13" t="str">
        <x:v>Early Cyclicals</x:v>
      </x:c>
      <x:c r="G2829" s="13" t="str">
        <x:v>grid_wekqfxnd.xlsx</x:v>
      </x:c>
    </x:row>
    <x:row r="2830">
      <x:c r="A2830" s="15" t="n">
        <x:v>41548</x:v>
      </x:c>
      <x:c r="B2830" s="13" t="str">
        <x:v>CIA HERING</x:v>
      </x:c>
      <x:c r="C2830" s="16" t="n">
        <x:v>368.0731974137</x:v>
      </x:c>
      <x:c r="D2830" s="13" t="str">
        <x:v>Retail</x:v>
      </x:c>
      <x:c r="E2830" s="13" t="str">
        <x:v>Retail</x:v>
      </x:c>
      <x:c r="F2830" s="13" t="str">
        <x:v>Early Cyclicals</x:v>
      </x:c>
      <x:c r="G2830" s="13" t="str">
        <x:v>grid_wekqfxnd.xlsx</x:v>
      </x:c>
    </x:row>
    <x:row r="2831">
      <x:c r="A2831" s="15" t="n">
        <x:v>41548</x:v>
      </x:c>
      <x:c r="B2831" s="13" t="str">
        <x:v>LOJAS AMERICANAS SA-PREF</x:v>
      </x:c>
      <x:c r="C2831" s="16" t="n">
        <x:v>576.5774265863</x:v>
      </x:c>
      <x:c r="D2831" s="13" t="str">
        <x:v>Retail</x:v>
      </x:c>
      <x:c r="E2831" s="13" t="str">
        <x:v>Retail</x:v>
      </x:c>
      <x:c r="F2831" s="13" t="str">
        <x:v>Early Cyclicals</x:v>
      </x:c>
      <x:c r="G2831" s="13" t="str">
        <x:v>grid_wekqfxnd.xlsx</x:v>
      </x:c>
    </x:row>
    <x:row r="2832">
      <x:c r="A2832" s="15" t="n">
        <x:v>41548</x:v>
      </x:c>
      <x:c r="B2832" s="13" t="str">
        <x:v>LOJAS RENNER S.A.</x:v>
      </x:c>
      <x:c r="C2832" s="16" t="n">
        <x:v>448.0395425315</x:v>
      </x:c>
      <x:c r="D2832" s="13" t="str">
        <x:v>Retail</x:v>
      </x:c>
      <x:c r="E2832" s="13" t="str">
        <x:v>Retail</x:v>
      </x:c>
      <x:c r="F2832" s="13" t="str">
        <x:v>Early Cyclicals</x:v>
      </x:c>
      <x:c r="G2832" s="13" t="str">
        <x:v>grid_wekqfxnd.xlsx</x:v>
      </x:c>
    </x:row>
    <x:row r="2833">
      <x:c r="A2833" s="15" t="n">
        <x:v>41548</x:v>
      </x:c>
      <x:c r="B2833" s="13" t="str">
        <x:v>NATURA COSMETICOS SA</x:v>
      </x:c>
      <x:c r="C2833" s="16" t="n">
        <x:v>974.5106197041</x:v>
      </x:c>
      <x:c r="D2833" s="13" t="str">
        <x:v>Retail</x:v>
      </x:c>
      <x:c r="E2833" s="13" t="str">
        <x:v>Retail</x:v>
      </x:c>
      <x:c r="F2833" s="13" t="str">
        <x:v>Early Cyclicals</x:v>
      </x:c>
      <x:c r="G2833" s="13" t="str">
        <x:v>grid_wekqfxnd.xlsx</x:v>
      </x:c>
    </x:row>
    <x:row r="2834">
      <x:c r="A2834" s="15" t="n">
        <x:v>41548</x:v>
      </x:c>
      <x:c r="B2834" s="13" t="str">
        <x:v>CIA SANEAMENTO BASICO DE SP</x:v>
      </x:c>
      <x:c r="C2834" s="16" t="n">
        <x:v>1960.7139832986</x:v>
      </x:c>
      <x:c r="D2834" s="13" t="str">
        <x:v>Sanitation</x:v>
      </x:c>
      <x:c r="E2834" s="13" t="str">
        <x:v>Utilities</x:v>
      </x:c>
      <x:c r="F2834" s="13" t="str">
        <x:v>Defensives</x:v>
      </x:c>
      <x:c r="G2834" s="13" t="str">
        <x:v>grid_wekqfxnd.xlsx</x:v>
      </x:c>
    </x:row>
    <x:row r="2835">
      <x:c r="A2835" s="15" t="n">
        <x:v>41548</x:v>
      </x:c>
      <x:c r="B2835" s="13" t="str">
        <x:v>OI S.A.</x:v>
      </x:c>
      <x:c r="C2835" s="16" t="n">
        <x:v>529.720639474</x:v>
      </x:c>
      <x:c r="D2835" s="13" t="str">
        <x:v>TMT</x:v>
      </x:c>
      <x:c r="E2835" s="13" t="str">
        <x:v>TMT</x:v>
      </x:c>
      <x:c r="F2835" s="13" t="str">
        <x:v>Early Cyclicals</x:v>
      </x:c>
      <x:c r="G2835" s="13" t="str">
        <x:v>grid_wekqfxnd.xlsx</x:v>
      </x:c>
    </x:row>
    <x:row r="2836">
      <x:c r="A2836" s="15" t="n">
        <x:v>41548</x:v>
      </x:c>
      <x:c r="B2836" s="13" t="str">
        <x:v>OI SA-PREFERENCE</x:v>
      </x:c>
      <x:c r="C2836" s="16" t="n">
        <x:v>529.720639474</x:v>
      </x:c>
      <x:c r="D2836" s="13" t="str">
        <x:v>TMT</x:v>
      </x:c>
      <x:c r="E2836" s="13" t="str">
        <x:v>TMT</x:v>
      </x:c>
      <x:c r="F2836" s="13" t="str">
        <x:v>Early Cyclicals</x:v>
      </x:c>
      <x:c r="G2836" s="13" t="str">
        <x:v>grid_wekqfxnd.xlsx</x:v>
      </x:c>
    </x:row>
    <x:row r="2837">
      <x:c r="A2837" s="15" t="n">
        <x:v>41548</x:v>
      </x:c>
      <x:c r="B2837" s="13" t="str">
        <x:v>TELEFONICA BRASIL S.A.-PREF</x:v>
      </x:c>
      <x:c r="C2837" s="16" t="n">
        <x:v>4168.7416810959</x:v>
      </x:c>
      <x:c r="D2837" s="13" t="str">
        <x:v>TMT</x:v>
      </x:c>
      <x:c r="E2837" s="13" t="str">
        <x:v>TMT</x:v>
      </x:c>
      <x:c r="F2837" s="13" t="str">
        <x:v>Early Cyclicals</x:v>
      </x:c>
      <x:c r="G2837" s="13" t="str">
        <x:v>grid_wekqfxnd.xlsx</x:v>
      </x:c>
    </x:row>
    <x:row r="2838">
      <x:c r="A2838" s="15" t="n">
        <x:v>41548</x:v>
      </x:c>
      <x:c r="B2838" s="13" t="str">
        <x:v>TIM SA</x:v>
      </x:c>
      <x:c r="C2838" s="16" t="n">
        <x:v>1662.197869063</x:v>
      </x:c>
      <x:c r="D2838" s="13" t="str">
        <x:v>TMT</x:v>
      </x:c>
      <x:c r="E2838" s="13" t="str">
        <x:v>TMT</x:v>
      </x:c>
      <x:c r="F2838" s="13" t="str">
        <x:v>Early Cyclicals</x:v>
      </x:c>
      <x:c r="G2838" s="13" t="str">
        <x:v>grid_wekqfxnd.xlsx</x:v>
      </x:c>
    </x:row>
    <x:row r="2839">
      <x:c r="A2839" s="15" t="n">
        <x:v>41548</x:v>
      </x:c>
      <x:c r="B2839" s="13" t="str">
        <x:v>GOL LINHAS AEREAS INT SA-PRE</x:v>
      </x:c>
      <x:c r="C2839" s="16" t="n">
        <x:v>-91.9673110356</x:v>
      </x:c>
      <x:c r="D2839" s="13" t="str">
        <x:v>Transportation</x:v>
      </x:c>
      <x:c r="E2839" s="13" t="str">
        <x:v>Transportation</x:v>
      </x:c>
      <x:c r="F2839" s="13" t="str">
        <x:v>Deep Cyclicals</x:v>
      </x:c>
      <x:c r="G2839" s="13" t="str">
        <x:v>grid_wekqfxnd.xlsx</x:v>
      </x:c>
    </x:row>
    <x:row r="2840">
      <x:c r="A2840" s="15" t="n">
        <x:v>41548</x:v>
      </x:c>
      <x:c r="B2840" s="13" t="str">
        <x:v>LOCALIZA RENT A CAR</x:v>
      </x:c>
      <x:c r="C2840" s="16" t="n">
        <x:v>410.9412245041</x:v>
      </x:c>
      <x:c r="D2840" s="13" t="str">
        <x:v>Transportation</x:v>
      </x:c>
      <x:c r="E2840" s="13" t="str">
        <x:v>Transportation</x:v>
      </x:c>
      <x:c r="F2840" s="13" t="str">
        <x:v>Deep Cyclicals</x:v>
      </x:c>
      <x:c r="G2840" s="13" t="str">
        <x:v>grid_wekqfxnd.xlsx</x:v>
      </x:c>
    </x:row>
    <x:row r="2841">
      <x:c r="A2841" s="15" t="n">
        <x:v>41548</x:v>
      </x:c>
      <x:c r="B2841" s="13" t="str">
        <x:v>MOTIVA INFRAESTRUTURA DE MOB</x:v>
      </x:c>
      <x:c r="C2841" s="16" t="n">
        <x:v>1761.429407211</x:v>
      </x:c>
      <x:c r="D2841" s="13" t="str">
        <x:v>Transportation</x:v>
      </x:c>
      <x:c r="E2841" s="13" t="str">
        <x:v>Transportation</x:v>
      </x:c>
      <x:c r="F2841" s="13" t="str">
        <x:v>Deep Cyclicals</x:v>
      </x:c>
      <x:c r="G2841" s="13" t="str">
        <x:v>grid_wekqfxnd.xlsx</x:v>
      </x:c>
    </x:row>
    <x:row r="2842">
      <x:c r="A2842" s="15" t="n">
        <x:v>41548</x:v>
      </x:c>
      <x:c r="B2842" s="13" t="str">
        <x:v>PRUMO LOGISTICA SA</x:v>
      </x:c>
      <x:c r="C2842" s="16" t="n">
        <x:v>-48.6495205479</x:v>
      </x:c>
      <x:c r="D2842" s="13" t="str">
        <x:v>Transportation</x:v>
      </x:c>
      <x:c r="E2842" s="13" t="str">
        <x:v>Transportation</x:v>
      </x:c>
      <x:c r="F2842" s="13" t="str">
        <x:v>Deep Cyclicals</x:v>
      </x:c>
      <x:c r="G2842" s="13" t="str">
        <x:v>grid_wekqfxnd.xlsx</x:v>
      </x:c>
    </x:row>
    <x:row r="2843">
      <x:c r="A2843" s="15" t="n">
        <x:v>41548</x:v>
      </x:c>
      <x:c r="B2843" s="13" t="str">
        <x:v>RUMO SA</x:v>
      </x:c>
      <x:c r="C2843" s="16" t="n">
        <x:v>358.4053274301</x:v>
      </x:c>
      <x:c r="D2843" s="13" t="str">
        <x:v>Transportation</x:v>
      </x:c>
      <x:c r="E2843" s="13" t="str">
        <x:v>Transportation</x:v>
      </x:c>
      <x:c r="F2843" s="13" t="str">
        <x:v>Deep Cyclicals</x:v>
      </x:c>
      <x:c r="G2843" s="13" t="str">
        <x:v>grid_wekqfxnd.xlsx</x:v>
      </x:c>
    </x:row>
    <x:row r="2844">
      <x:c r="A2844" s="15" t="n">
        <x:v>41548</x:v>
      </x:c>
      <x:c r="B2844" s="13" t="str">
        <x:v>AXIA ENERGIA SA</x:v>
      </x:c>
      <x:c r="C2844" s="16" t="n">
        <x:v>1996.4548478247</x:v>
      </x:c>
      <x:c r="D2844" s="13" t="str">
        <x:v>Utilities &amp; Energy</x:v>
      </x:c>
      <x:c r="E2844" s="13" t="str">
        <x:v>Utilities</x:v>
      </x:c>
      <x:c r="F2844" s="13" t="str">
        <x:v>Defensives</x:v>
      </x:c>
      <x:c r="G2844" s="13" t="str">
        <x:v>grid_wekqfxnd.xlsx</x:v>
      </x:c>
    </x:row>
    <x:row r="2845">
      <x:c r="A2845" s="15" t="n">
        <x:v>41548</x:v>
      </x:c>
      <x:c r="B2845" s="13" t="str">
        <x:v>AXIA ENERGIA-PR B</x:v>
      </x:c>
      <x:c r="C2845" s="16" t="n">
        <x:v>1996.4548478247</x:v>
      </x:c>
      <x:c r="D2845" s="13" t="str">
        <x:v>Utilities &amp; Energy</x:v>
      </x:c>
      <x:c r="E2845" s="13" t="str">
        <x:v>Utilities</x:v>
      </x:c>
      <x:c r="F2845" s="13" t="str">
        <x:v>Defensives</x:v>
      </x:c>
      <x:c r="G2845" s="13" t="str">
        <x:v>grid_wekqfxnd.xlsx</x:v>
      </x:c>
    </x:row>
    <x:row r="2846">
      <x:c r="A2846" s="15" t="n">
        <x:v>41548</x:v>
      </x:c>
      <x:c r="B2846" s="13" t="str">
        <x:v>CESP - CIA ENERGETICA DE SAO</x:v>
      </x:c>
      <x:c r="C2846" s="16" t="n">
        <x:v>1405.9819178082</x:v>
      </x:c>
      <x:c r="D2846" s="13" t="str">
        <x:v>Utilities &amp; Energy</x:v>
      </x:c>
      <x:c r="E2846" s="13" t="str">
        <x:v>Utilities</x:v>
      </x:c>
      <x:c r="F2846" s="13" t="str">
        <x:v>Defensives</x:v>
      </x:c>
      <x:c r="G2846" s="13" t="str">
        <x:v>grid_wekqfxnd.xlsx</x:v>
      </x:c>
    </x:row>
    <x:row r="2847">
      <x:c r="A2847" s="15" t="n">
        <x:v>41548</x:v>
      </x:c>
      <x:c r="B2847" s="13" t="str">
        <x:v>CIA ENERGETICA MINAS GER-PRF</x:v>
      </x:c>
      <x:c r="C2847" s="16" t="n">
        <x:v>2375.0470670027</x:v>
      </x:c>
      <x:c r="D2847" s="13" t="str">
        <x:v>Utilities &amp; Energy</x:v>
      </x:c>
      <x:c r="E2847" s="13" t="str">
        <x:v>Utilities</x:v>
      </x:c>
      <x:c r="F2847" s="13" t="str">
        <x:v>Defensives</x:v>
      </x:c>
      <x:c r="G2847" s="13" t="str">
        <x:v>grid_wekqfxnd.xlsx</x:v>
      </x:c>
    </x:row>
    <x:row r="2848">
      <x:c r="A2848" s="15" t="n">
        <x:v>41548</x:v>
      </x:c>
      <x:c r="B2848" s="13" t="str">
        <x:v>COMPANHIA PARANAENSE -PREF B</x:v>
      </x:c>
      <x:c r="C2848" s="16" t="n">
        <x:v>1235.3209463233</x:v>
      </x:c>
      <x:c r="D2848" s="13" t="str">
        <x:v>Utilities &amp; Energy</x:v>
      </x:c>
      <x:c r="E2848" s="13" t="str">
        <x:v>Utilities</x:v>
      </x:c>
      <x:c r="F2848" s="13" t="str">
        <x:v>Defensives</x:v>
      </x:c>
      <x:c r="G2848" s="13" t="str">
        <x:v>grid_wekqfxnd.xlsx</x:v>
      </x:c>
    </x:row>
    <x:row r="2849">
      <x:c r="A2849" s="15" t="n">
        <x:v>41548</x:v>
      </x:c>
      <x:c r="B2849" s="13" t="str">
        <x:v>CPFL ENERGIA SA</x:v>
      </x:c>
      <x:c r="C2849" s="16" t="n">
        <x:v>1283.5528184986</x:v>
      </x:c>
      <x:c r="D2849" s="13" t="str">
        <x:v>Utilities &amp; Energy</x:v>
      </x:c>
      <x:c r="E2849" s="13" t="str">
        <x:v>Utilities</x:v>
      </x:c>
      <x:c r="F2849" s="13" t="str">
        <x:v>Defensives</x:v>
      </x:c>
      <x:c r="G2849" s="13" t="str">
        <x:v>grid_wekqfxnd.xlsx</x:v>
      </x:c>
    </x:row>
    <x:row r="2850">
      <x:c r="A2850" s="15" t="n">
        <x:v>41548</x:v>
      </x:c>
      <x:c r="B2850" s="13" t="str">
        <x:v>EDP - ENERGIAS DO BRASIL SA</x:v>
      </x:c>
      <x:c r="C2850" s="16" t="n">
        <x:v>569.1260273973</x:v>
      </x:c>
      <x:c r="D2850" s="13" t="str">
        <x:v>Utilities &amp; Energy</x:v>
      </x:c>
      <x:c r="E2850" s="13" t="str">
        <x:v>Utilities</x:v>
      </x:c>
      <x:c r="F2850" s="13" t="str">
        <x:v>Defensives</x:v>
      </x:c>
      <x:c r="G2850" s="13" t="str">
        <x:v>grid_wekqfxnd.xlsx</x:v>
      </x:c>
    </x:row>
    <x:row r="2851">
      <x:c r="A2851" s="15" t="n">
        <x:v>41548</x:v>
      </x:c>
      <x:c r="B2851" s="13" t="str">
        <x:v>ELETROPAULO METROPOLI-PREF</x:v>
      </x:c>
      <x:c r="C2851" s="16" t="n">
        <x:v>-156.6322368</x:v>
      </x:c>
      <x:c r="D2851" s="13" t="str">
        <x:v>Utilities &amp; Energy</x:v>
      </x:c>
      <x:c r="E2851" s="13" t="str">
        <x:v>Utilities</x:v>
      </x:c>
      <x:c r="F2851" s="13" t="str">
        <x:v>Defensives</x:v>
      </x:c>
      <x:c r="G2851" s="13" t="str">
        <x:v>grid_wekqfxnd.xlsx</x:v>
      </x:c>
    </x:row>
    <x:row r="2852">
      <x:c r="A2852" s="15" t="n">
        <x:v>41548</x:v>
      </x:c>
      <x:c r="B2852" s="13" t="str">
        <x:v>ISA ENERGIA BRASIL SA</x:v>
      </x:c>
      <x:c r="C2852" s="16" t="n">
        <x:v>352.2175342466</x:v>
      </x:c>
      <x:c r="D2852" s="13" t="str">
        <x:v>Utilities &amp; Energy</x:v>
      </x:c>
      <x:c r="E2852" s="13" t="str">
        <x:v>Utilities</x:v>
      </x:c>
      <x:c r="F2852" s="13" t="str">
        <x:v>Defensives</x:v>
      </x:c>
      <x:c r="G2852" s="13" t="str">
        <x:v>grid_wekqfxnd.xlsx</x:v>
      </x:c>
    </x:row>
    <x:row r="2853">
      <x:c r="A2853" s="15" t="n">
        <x:v>41548</x:v>
      </x:c>
      <x:c r="B2853" s="13" t="str">
        <x:v>LIGHT SA</x:v>
      </x:c>
      <x:c r="C2853" s="16" t="n">
        <x:v>500.0801876164</x:v>
      </x:c>
      <x:c r="D2853" s="13" t="str">
        <x:v>Utilities &amp; Energy</x:v>
      </x:c>
      <x:c r="E2853" s="13" t="str">
        <x:v>Utilities</x:v>
      </x:c>
      <x:c r="F2853" s="13" t="str">
        <x:v>Defensives</x:v>
      </x:c>
      <x:c r="G2853" s="13" t="str">
        <x:v>grid_wekqfxnd.xlsx</x:v>
      </x:c>
    </x:row>
    <x:row r="2854">
      <x:c r="A2854" s="15" t="n">
        <x:v>41579</x:v>
      </x:c>
      <x:c r="B2854" s="13" t="str">
        <x:v>SLC AGRICOLA CENTRO OESTE SA</x:v>
      </x:c>
      <x:c r="C2854" s="16" t="n">
        <x:v>-5.2375342466</x:v>
      </x:c>
      <x:c r="D2854" s="13" t="str">
        <x:v>Agribusiness</x:v>
      </x:c>
      <x:c r="E2854" s="13" t="str">
        <x:v>Agri, Food &amp; Beverages</x:v>
      </x:c>
      <x:c r="F2854" s="13" t="str">
        <x:v>Defensives</x:v>
      </x:c>
      <x:c r="G2854" s="13" t="str">
        <x:v>grid_wekqfxnd.xlsx</x:v>
      </x:c>
    </x:row>
    <x:row r="2855">
      <x:c r="A2855" s="15" t="n">
        <x:v>41579</x:v>
      </x:c>
      <x:c r="B2855" s="13" t="str">
        <x:v>BANCO BRADESCO S.A.</x:v>
      </x:c>
      <x:c r="C2855" s="16" t="n">
        <x:v>13430.6016213918</x:v>
      </x:c>
      <x:c r="D2855" s="13" t="str">
        <x:v>Banks</x:v>
      </x:c>
      <x:c r="E2855" s="13" t="str">
        <x:v>Banks</x:v>
      </x:c>
      <x:c r="F2855" s="13" t="str">
        <x:v>Financials</x:v>
      </x:c>
      <x:c r="G2855" s="13" t="str">
        <x:v>grid_wekqfxnd.xlsx</x:v>
      </x:c>
    </x:row>
    <x:row r="2856">
      <x:c r="A2856" s="15" t="n">
        <x:v>41579</x:v>
      </x:c>
      <x:c r="B2856" s="13" t="str">
        <x:v>BANCO BRADESCO SA-PREF</x:v>
      </x:c>
      <x:c r="C2856" s="16" t="n">
        <x:v>13430.6016213918</x:v>
      </x:c>
      <x:c r="D2856" s="13" t="str">
        <x:v>Banks</x:v>
      </x:c>
      <x:c r="E2856" s="13" t="str">
        <x:v>Banks</x:v>
      </x:c>
      <x:c r="F2856" s="13" t="str">
        <x:v>Financials</x:v>
      </x:c>
      <x:c r="G2856" s="13" t="str">
        <x:v>grid_wekqfxnd.xlsx</x:v>
      </x:c>
    </x:row>
    <x:row r="2857">
      <x:c r="A2857" s="15" t="n">
        <x:v>41579</x:v>
      </x:c>
      <x:c r="B2857" s="13" t="str">
        <x:v>BANCO DO BRASIL S.A.</x:v>
      </x:c>
      <x:c r="C2857" s="16" t="n">
        <x:v>11110.1564507178</x:v>
      </x:c>
      <x:c r="D2857" s="13" t="str">
        <x:v>Banks</x:v>
      </x:c>
      <x:c r="E2857" s="13" t="str">
        <x:v>Banks</x:v>
      </x:c>
      <x:c r="F2857" s="13" t="str">
        <x:v>Financials</x:v>
      </x:c>
      <x:c r="G2857" s="13" t="str">
        <x:v>grid_wekqfxnd.xlsx</x:v>
      </x:c>
    </x:row>
    <x:row r="2858">
      <x:c r="A2858" s="15" t="n">
        <x:v>41579</x:v>
      </x:c>
      <x:c r="B2858" s="13" t="str">
        <x:v>BANCO SANTANDER  BRASIL-UNIT</x:v>
      </x:c>
      <x:c r="C2858" s="16" t="n">
        <x:v>5653.4293013041</x:v>
      </x:c>
      <x:c r="D2858" s="13" t="str">
        <x:v>Banks</x:v>
      </x:c>
      <x:c r="E2858" s="13" t="str">
        <x:v>Banks</x:v>
      </x:c>
      <x:c r="F2858" s="13" t="str">
        <x:v>Financials</x:v>
      </x:c>
      <x:c r="G2858" s="13" t="str">
        <x:v>grid_wekqfxnd.xlsx</x:v>
      </x:c>
    </x:row>
    <x:row r="2859">
      <x:c r="A2859" s="15" t="n">
        <x:v>41579</x:v>
      </x:c>
      <x:c r="B2859" s="13" t="str">
        <x:v>ITAU UNIBANCO HOLDING S-PREF</x:v>
      </x:c>
      <x:c r="C2859" s="16" t="n">
        <x:v>16861.5296210411</x:v>
      </x:c>
      <x:c r="D2859" s="13" t="str">
        <x:v>Banks</x:v>
      </x:c>
      <x:c r="E2859" s="13" t="str">
        <x:v>Banks</x:v>
      </x:c>
      <x:c r="F2859" s="13" t="str">
        <x:v>Financials</x:v>
      </x:c>
      <x:c r="G2859" s="13" t="str">
        <x:v>grid_wekqfxnd.xlsx</x:v>
      </x:c>
    </x:row>
    <x:row r="2860">
      <x:c r="A2860" s="15" t="n">
        <x:v>41579</x:v>
      </x:c>
      <x:c r="B2860" s="13" t="str">
        <x:v>EMBRAER SA</x:v>
      </x:c>
      <x:c r="C2860" s="16" t="n">
        <x:v>967.4302577973</x:v>
      </x:c>
      <x:c r="D2860" s="13" t="str">
        <x:v>Capital Goods</x:v>
      </x:c>
      <x:c r="E2860" s="13" t="str">
        <x:v>Capital Goods</x:v>
      </x:c>
      <x:c r="F2860" s="13" t="str">
        <x:v>Deep Cyclicals</x:v>
      </x:c>
      <x:c r="G2860" s="13" t="str">
        <x:v>grid_wekqfxnd.xlsx</x:v>
      </x:c>
    </x:row>
    <x:row r="2861">
      <x:c r="A2861" s="15" t="n">
        <x:v>41579</x:v>
      </x:c>
      <x:c r="B2861" s="13" t="str">
        <x:v>ANHANGUERA EDUCACIONAL PARTI</x:v>
      </x:c>
      <x:c r="C2861" s="16" t="n">
        <x:v>293.6983799233</x:v>
      </x:c>
      <x:c r="D2861" s="13" t="str">
        <x:v>Education</x:v>
      </x:c>
      <x:c r="E2861" s="13" t="str">
        <x:v>Education</x:v>
      </x:c>
      <x:c r="F2861" s="13" t="str">
        <x:v>Early Cyclicals</x:v>
      </x:c>
      <x:c r="G2861" s="13" t="str">
        <x:v>grid_wekqfxnd.xlsx</x:v>
      </x:c>
    </x:row>
    <x:row r="2862">
      <x:c r="A2862" s="15" t="n">
        <x:v>41579</x:v>
      </x:c>
      <x:c r="B2862" s="13" t="str">
        <x:v>COGNA EDUCACAO</x:v>
      </x:c>
      <x:c r="C2862" s="16" t="n">
        <x:v>633.4381680219</x:v>
      </x:c>
      <x:c r="D2862" s="13" t="str">
        <x:v>Education</x:v>
      </x:c>
      <x:c r="E2862" s="13" t="str">
        <x:v>Education</x:v>
      </x:c>
      <x:c r="F2862" s="13" t="str">
        <x:v>Early Cyclicals</x:v>
      </x:c>
      <x:c r="G2862" s="13" t="str">
        <x:v>grid_wekqfxnd.xlsx</x:v>
      </x:c>
    </x:row>
    <x:row r="2863">
      <x:c r="A2863" s="15" t="n">
        <x:v>41579</x:v>
      </x:c>
      <x:c r="B2863" s="13" t="str">
        <x:v>B3 SA-BRASIL BOLSA BALCAO</x:v>
      </x:c>
      <x:c r="C2863" s="16" t="n">
        <x:v>1613.8919395945</x:v>
      </x:c>
      <x:c r="D2863" s="13" t="str">
        <x:v>Financials Non-Banks</x:v>
      </x:c>
      <x:c r="E2863" s="13" t="str">
        <x:v>Financials Non-Banks</x:v>
      </x:c>
      <x:c r="F2863" s="13" t="str">
        <x:v>Financials</x:v>
      </x:c>
      <x:c r="G2863" s="13" t="str">
        <x:v>grid_wekqfxnd.xlsx</x:v>
      </x:c>
    </x:row>
    <x:row r="2864">
      <x:c r="A2864" s="15" t="n">
        <x:v>41579</x:v>
      </x:c>
      <x:c r="B2864" s="13" t="str">
        <x:v>CETIP SA-MERCADOS ORGANIZADO</x:v>
      </x:c>
      <x:c r="C2864" s="16" t="n">
        <x:v>463.1420609753</x:v>
      </x:c>
      <x:c r="D2864" s="13" t="str">
        <x:v>Financials Non-Banks</x:v>
      </x:c>
      <x:c r="E2864" s="13" t="str">
        <x:v>Financials Non-Banks</x:v>
      </x:c>
      <x:c r="F2864" s="13" t="str">
        <x:v>Financials</x:v>
      </x:c>
      <x:c r="G2864" s="13" t="str">
        <x:v>grid_wekqfxnd.xlsx</x:v>
      </x:c>
    </x:row>
    <x:row r="2865">
      <x:c r="A2865" s="15" t="n">
        <x:v>41579</x:v>
      </x:c>
      <x:c r="B2865" s="13" t="str">
        <x:v>CIELO SA - INSTITUICAO DE PA</x:v>
      </x:c>
      <x:c r="C2865" s="16" t="n">
        <x:v>2989.056786937</x:v>
      </x:c>
      <x:c r="D2865" s="13" t="str">
        <x:v>Financials Non-Banks</x:v>
      </x:c>
      <x:c r="E2865" s="13" t="str">
        <x:v>Financials Non-Banks</x:v>
      </x:c>
      <x:c r="F2865" s="13" t="str">
        <x:v>Financials</x:v>
      </x:c>
      <x:c r="G2865" s="13" t="str">
        <x:v>grid_wekqfxnd.xlsx</x:v>
      </x:c>
    </x:row>
    <x:row r="2866">
      <x:c r="A2866" s="15" t="n">
        <x:v>41579</x:v>
      </x:c>
      <x:c r="B2866" s="13" t="str">
        <x:v>ITAUSA SA</x:v>
      </x:c>
      <x:c r="C2866" s="16" t="n">
        <x:v>6783.6191084712</x:v>
      </x:c>
      <x:c r="D2866" s="13" t="str">
        <x:v>Financials Non-Banks</x:v>
      </x:c>
      <x:c r="E2866" s="13" t="str">
        <x:v>Financials Non-Banks</x:v>
      </x:c>
      <x:c r="F2866" s="13" t="str">
        <x:v>Financials</x:v>
      </x:c>
      <x:c r="G2866" s="13" t="str">
        <x:v>grid_wekqfxnd.xlsx</x:v>
      </x:c>
    </x:row>
    <x:row r="2867">
      <x:c r="A2867" s="15" t="n">
        <x:v>41579</x:v>
      </x:c>
      <x:c r="B2867" s="13" t="str">
        <x:v>AMBEV SA</x:v>
      </x:c>
      <x:c r="C2867" s="16" t="n">
        <x:v>12775.7121451836</x:v>
      </x:c>
      <x:c r="D2867" s="13" t="str">
        <x:v>Food &amp; Beverages</x:v>
      </x:c>
      <x:c r="E2867" s="13" t="str">
        <x:v>Agri, Food &amp; Beverages</x:v>
      </x:c>
      <x:c r="F2867" s="13" t="str">
        <x:v>Defensives</x:v>
      </x:c>
      <x:c r="G2867" s="13" t="str">
        <x:v>grid_wekqfxnd.xlsx</x:v>
      </x:c>
    </x:row>
    <x:row r="2868">
      <x:c r="A2868" s="15" t="n">
        <x:v>41579</x:v>
      </x:c>
      <x:c r="B2868" s="13" t="str">
        <x:v>BRF SA</x:v>
      </x:c>
      <x:c r="C2868" s="16" t="n">
        <x:v>2117.2794634521</x:v>
      </x:c>
      <x:c r="D2868" s="13" t="str">
        <x:v>Food &amp; Beverages</x:v>
      </x:c>
      <x:c r="E2868" s="13" t="str">
        <x:v>Agri, Food &amp; Beverages</x:v>
      </x:c>
      <x:c r="F2868" s="13" t="str">
        <x:v>Defensives</x:v>
      </x:c>
      <x:c r="G2868" s="13" t="str">
        <x:v>grid_wekqfxnd.xlsx</x:v>
      </x:c>
    </x:row>
    <x:row r="2869">
      <x:c r="A2869" s="15" t="n">
        <x:v>41579</x:v>
      </x:c>
      <x:c r="B2869" s="13" t="str">
        <x:v>MBRF GLOBAL FOODS COMPANY SA</x:v>
      </x:c>
      <x:c r="C2869" s="16" t="n">
        <x:v>113.2113810411</x:v>
      </x:c>
      <x:c r="D2869" s="13" t="str">
        <x:v>Food &amp; Beverages</x:v>
      </x:c>
      <x:c r="E2869" s="13" t="str">
        <x:v>Agri, Food &amp; Beverages</x:v>
      </x:c>
      <x:c r="F2869" s="13" t="str">
        <x:v>Defensives</x:v>
      </x:c>
      <x:c r="G2869" s="13" t="str">
        <x:v>grid_wekqfxnd.xlsx</x:v>
      </x:c>
    </x:row>
    <x:row r="2870">
      <x:c r="A2870" s="15" t="n">
        <x:v>41579</x:v>
      </x:c>
      <x:c r="B2870" s="13" t="str">
        <x:v>SOUZA CRUZ LTDA</x:v>
      </x:c>
      <x:c r="C2870" s="16" t="n">
        <x:v>1938.9596896438</x:v>
      </x:c>
      <x:c r="D2870" s="13" t="str">
        <x:v>Food &amp; Beverages</x:v>
      </x:c>
      <x:c r="E2870" s="13" t="str">
        <x:v>Agri, Food &amp; Beverages</x:v>
      </x:c>
      <x:c r="F2870" s="13" t="str">
        <x:v>Defensives</x:v>
      </x:c>
      <x:c r="G2870" s="13" t="str">
        <x:v>grid_wekqfxnd.xlsx</x:v>
      </x:c>
    </x:row>
    <x:row r="2871">
      <x:c r="A2871" s="15" t="n">
        <x:v>41579</x:v>
      </x:c>
      <x:c r="B2871" s="13" t="str">
        <x:v>DIAGNOSTICOS DA AMERICA SA</x:v>
      </x:c>
      <x:c r="C2871" s="16" t="n">
        <x:v>185.9694356164</x:v>
      </x:c>
      <x:c r="D2871" s="13" t="str">
        <x:v>Health Care</x:v>
      </x:c>
      <x:c r="E2871" s="13" t="str">
        <x:v>Health Care</x:v>
      </x:c>
      <x:c r="F2871" s="13" t="str">
        <x:v>Defensives</x:v>
      </x:c>
      <x:c r="G2871" s="13" t="str">
        <x:v>grid_wekqfxnd.xlsx</x:v>
      </x:c>
    </x:row>
    <x:row r="2872">
      <x:c r="A2872" s="15" t="n">
        <x:v>41579</x:v>
      </x:c>
      <x:c r="B2872" s="13" t="str">
        <x:v>HYPERA SA</x:v>
      </x:c>
      <x:c r="C2872" s="16" t="n">
        <x:v>484.5839504658</x:v>
      </x:c>
      <x:c r="D2872" s="13" t="str">
        <x:v>Health Care</x:v>
      </x:c>
      <x:c r="E2872" s="13" t="str">
        <x:v>Health Care</x:v>
      </x:c>
      <x:c r="F2872" s="13" t="str">
        <x:v>Defensives</x:v>
      </x:c>
      <x:c r="G2872" s="13" t="str">
        <x:v>grid_wekqfxnd.xlsx</x:v>
      </x:c>
    </x:row>
    <x:row r="2873">
      <x:c r="A2873" s="15" t="n">
        <x:v>41579</x:v>
      </x:c>
      <x:c r="B2873" s="13" t="str">
        <x:v>CYRELA BRAZIL REALTY SA EMP</x:v>
      </x:c>
      <x:c r="C2873" s="16" t="n">
        <x:v>864.9298586301</x:v>
      </x:c>
      <x:c r="D2873" s="13" t="str">
        <x:v>Homebuilders</x:v>
      </x:c>
      <x:c r="E2873" s="13" t="str">
        <x:v>Real Estate</x:v>
      </x:c>
      <x:c r="F2873" s="13" t="str">
        <x:v>Early Cyclicals</x:v>
      </x:c>
      <x:c r="G2873" s="13" t="str">
        <x:v>grid_wekqfxnd.xlsx</x:v>
      </x:c>
    </x:row>
    <x:row r="2874">
      <x:c r="A2874" s="15" t="n">
        <x:v>41579</x:v>
      </x:c>
      <x:c r="B2874" s="13" t="str">
        <x:v>GAFISA SA</x:v>
      </x:c>
      <x:c r="C2874" s="16" t="n">
        <x:v>151.8424493151</x:v>
      </x:c>
      <x:c r="D2874" s="13" t="str">
        <x:v>Homebuilders</x:v>
      </x:c>
      <x:c r="E2874" s="13" t="str">
        <x:v>Real Estate</x:v>
      </x:c>
      <x:c r="F2874" s="13" t="str">
        <x:v>Early Cyclicals</x:v>
      </x:c>
      <x:c r="G2874" s="13" t="str">
        <x:v>grid_wekqfxnd.xlsx</x:v>
      </x:c>
    </x:row>
    <x:row r="2875">
      <x:c r="A2875" s="15" t="n">
        <x:v>41579</x:v>
      </x:c>
      <x:c r="B2875" s="13" t="str">
        <x:v>MRV ENGENHARIA</x:v>
      </x:c>
      <x:c r="C2875" s="16" t="n">
        <x:v>533.5278253589</x:v>
      </x:c>
      <x:c r="D2875" s="13" t="str">
        <x:v>Homebuilders</x:v>
      </x:c>
      <x:c r="E2875" s="13" t="str">
        <x:v>Real Estate</x:v>
      </x:c>
      <x:c r="F2875" s="13" t="str">
        <x:v>Early Cyclicals</x:v>
      </x:c>
      <x:c r="G2875" s="13" t="str">
        <x:v>grid_wekqfxnd.xlsx</x:v>
      </x:c>
    </x:row>
    <x:row r="2876">
      <x:c r="A2876" s="15" t="n">
        <x:v>41579</x:v>
      </x:c>
      <x:c r="B2876" s="13" t="str">
        <x:v>PDG REALTY SA</x:v>
      </x:c>
      <x:c r="C2876" s="16" t="n">
        <x:v>33.3250828603</x:v>
      </x:c>
      <x:c r="D2876" s="13" t="str">
        <x:v>Homebuilders</x:v>
      </x:c>
      <x:c r="E2876" s="13" t="str">
        <x:v>Real Estate</x:v>
      </x:c>
      <x:c r="F2876" s="13" t="str">
        <x:v>Early Cyclicals</x:v>
      </x:c>
      <x:c r="G2876" s="13" t="str">
        <x:v>grid_wekqfxnd.xlsx</x:v>
      </x:c>
    </x:row>
    <x:row r="2877">
      <x:c r="A2877" s="15" t="n">
        <x:v>41579</x:v>
      </x:c>
      <x:c r="B2877" s="13" t="str">
        <x:v>ROSSI RESIDENCIAL SA</x:v>
      </x:c>
      <x:c r="C2877" s="16" t="n">
        <x:v>111.9970279452</x:v>
      </x:c>
      <x:c r="D2877" s="13" t="str">
        <x:v>Homebuilders</x:v>
      </x:c>
      <x:c r="E2877" s="13" t="str">
        <x:v>Real Estate</x:v>
      </x:c>
      <x:c r="F2877" s="13" t="str">
        <x:v>Early Cyclicals</x:v>
      </x:c>
      <x:c r="G2877" s="13" t="str">
        <x:v>grid_wekqfxnd.xlsx</x:v>
      </x:c>
    </x:row>
    <x:row r="2878">
      <x:c r="A2878" s="15" t="n">
        <x:v>41579</x:v>
      </x:c>
      <x:c r="B2878" s="13" t="str">
        <x:v>TEGRA INCORPORADORA SA</x:v>
      </x:c>
      <x:c r="C2878" s="16" t="n">
        <x:v>179.6101786301</x:v>
      </x:c>
      <x:c r="D2878" s="13" t="str">
        <x:v>Homebuilders</x:v>
      </x:c>
      <x:c r="E2878" s="13" t="str">
        <x:v>Real Estate</x:v>
      </x:c>
      <x:c r="F2878" s="13" t="str">
        <x:v>Early Cyclicals</x:v>
      </x:c>
      <x:c r="G2878" s="13" t="str">
        <x:v>grid_wekqfxnd.xlsx</x:v>
      </x:c>
    </x:row>
    <x:row r="2879">
      <x:c r="A2879" s="15" t="n">
        <x:v>41579</x:v>
      </x:c>
      <x:c r="B2879" s="13" t="str">
        <x:v>BR MALLS PARTICIPACOES SA</x:v>
      </x:c>
      <x:c r="C2879" s="16" t="n">
        <x:v>573.587974663</x:v>
      </x:c>
      <x:c r="D2879" s="13" t="str">
        <x:v>Income Properties</x:v>
      </x:c>
      <x:c r="E2879" s="13" t="str">
        <x:v>Real Estate</x:v>
      </x:c>
      <x:c r="F2879" s="13" t="str">
        <x:v>Early Cyclicals</x:v>
      </x:c>
      <x:c r="G2879" s="13" t="str">
        <x:v>grid_wekqfxnd.xlsx</x:v>
      </x:c>
    </x:row>
    <x:row r="2880">
      <x:c r="A2880" s="15" t="n">
        <x:v>41579</x:v>
      </x:c>
      <x:c r="B2880" s="13" t="str">
        <x:v>SOLID ATIVOS IMOBILIARIOS SA</x:v>
      </x:c>
      <x:c r="C2880" s="16" t="n">
        <x:v>356.9604171397</x:v>
      </x:c>
      <x:c r="D2880" s="13" t="str">
        <x:v>Income Properties</x:v>
      </x:c>
      <x:c r="E2880" s="13" t="str">
        <x:v>Real Estate</x:v>
      </x:c>
      <x:c r="F2880" s="13" t="str">
        <x:v>Early Cyclicals</x:v>
      </x:c>
      <x:c r="G2880" s="13" t="str">
        <x:v>grid_wekqfxnd.xlsx</x:v>
      </x:c>
    </x:row>
    <x:row r="2881">
      <x:c r="A2881" s="15" t="n">
        <x:v>41579</x:v>
      </x:c>
      <x:c r="B2881" s="13" t="str">
        <x:v>BRADESPAR SA -PREF</x:v>
      </x:c>
      <x:c r="C2881" s="16" t="n">
        <x:v>1288.8463149589</x:v>
      </x:c>
      <x:c r="D2881" s="13" t="str">
        <x:v>Metals &amp; Mining</x:v>
      </x:c>
      <x:c r="E2881" s="13" t="str">
        <x:v>Metals &amp; Mining</x:v>
      </x:c>
      <x:c r="F2881" s="13" t="str">
        <x:v>Deep Cyclicals</x:v>
      </x:c>
      <x:c r="G2881" s="13" t="str">
        <x:v>grid_wekqfxnd.xlsx</x:v>
      </x:c>
    </x:row>
    <x:row r="2882">
      <x:c r="A2882" s="15" t="n">
        <x:v>41579</x:v>
      </x:c>
      <x:c r="B2882" s="13" t="str">
        <x:v>CIA SIDERURGICA NACIONAL SA</x:v>
      </x:c>
      <x:c r="C2882" s="16" t="n">
        <x:v>1308.4587411288</x:v>
      </x:c>
      <x:c r="D2882" s="13" t="str">
        <x:v>Metals &amp; Mining</x:v>
      </x:c>
      <x:c r="E2882" s="13" t="str">
        <x:v>Metals &amp; Mining</x:v>
      </x:c>
      <x:c r="F2882" s="13" t="str">
        <x:v>Deep Cyclicals</x:v>
      </x:c>
      <x:c r="G2882" s="13" t="str">
        <x:v>grid_wekqfxnd.xlsx</x:v>
      </x:c>
    </x:row>
    <x:row r="2883">
      <x:c r="A2883" s="15" t="n">
        <x:v>41579</x:v>
      </x:c>
      <x:c r="B2883" s="13" t="str">
        <x:v>GERDAU SA-PREF</x:v>
      </x:c>
      <x:c r="C2883" s="16" t="n">
        <x:v>2250.7403151781</x:v>
      </x:c>
      <x:c r="D2883" s="13" t="str">
        <x:v>Metals &amp; Mining</x:v>
      </x:c>
      <x:c r="E2883" s="13" t="str">
        <x:v>Metals &amp; Mining</x:v>
      </x:c>
      <x:c r="F2883" s="13" t="str">
        <x:v>Deep Cyclicals</x:v>
      </x:c>
      <x:c r="G2883" s="13" t="str">
        <x:v>grid_wekqfxnd.xlsx</x:v>
      </x:c>
    </x:row>
    <x:row r="2884">
      <x:c r="A2884" s="15" t="n">
        <x:v>41579</x:v>
      </x:c>
      <x:c r="B2884" s="13" t="str">
        <x:v>METALURGICA GERDAU SA-PREF</x:v>
      </x:c>
      <x:c r="C2884" s="16" t="n">
        <x:v>1054.200058389</x:v>
      </x:c>
      <x:c r="D2884" s="13" t="str">
        <x:v>Metals &amp; Mining</x:v>
      </x:c>
      <x:c r="E2884" s="13" t="str">
        <x:v>Metals &amp; Mining</x:v>
      </x:c>
      <x:c r="F2884" s="13" t="str">
        <x:v>Deep Cyclicals</x:v>
      </x:c>
      <x:c r="G2884" s="13" t="str">
        <x:v>grid_wekqfxnd.xlsx</x:v>
      </x:c>
    </x:row>
    <x:row r="2885">
      <x:c r="A2885" s="15" t="n">
        <x:v>41579</x:v>
      </x:c>
      <x:c r="B2885" s="13" t="str">
        <x:v>MMX MINERACAO E METALICOS SA</x:v>
      </x:c>
      <x:c r="C2885" s="16" t="n">
        <x:v>-124.7153322082</x:v>
      </x:c>
      <x:c r="D2885" s="13" t="str">
        <x:v>Metals &amp; Mining</x:v>
      </x:c>
      <x:c r="E2885" s="13" t="str">
        <x:v>Metals &amp; Mining</x:v>
      </x:c>
      <x:c r="F2885" s="13" t="str">
        <x:v>Deep Cyclicals</x:v>
      </x:c>
      <x:c r="G2885" s="13" t="str">
        <x:v>grid_wekqfxnd.xlsx</x:v>
      </x:c>
    </x:row>
    <x:row r="2886">
      <x:c r="A2886" s="15" t="n">
        <x:v>41579</x:v>
      </x:c>
      <x:c r="B2886" s="13" t="str">
        <x:v>USINAS SIDER MINAS GER-PF A</x:v>
      </x:c>
      <x:c r="C2886" s="16" t="n">
        <x:v>573.4935220603</x:v>
      </x:c>
      <x:c r="D2886" s="13" t="str">
        <x:v>Metals &amp; Mining</x:v>
      </x:c>
      <x:c r="E2886" s="13" t="str">
        <x:v>Metals &amp; Mining</x:v>
      </x:c>
      <x:c r="F2886" s="13" t="str">
        <x:v>Deep Cyclicals</x:v>
      </x:c>
      <x:c r="G2886" s="13" t="str">
        <x:v>grid_wekqfxnd.xlsx</x:v>
      </x:c>
    </x:row>
    <x:row r="2887">
      <x:c r="A2887" s="15" t="n">
        <x:v>41579</x:v>
      </x:c>
      <x:c r="B2887" s="13" t="str">
        <x:v>USINAS SIDERURGICAS DE MINAS</x:v>
      </x:c>
      <x:c r="C2887" s="16" t="n">
        <x:v>573.4935220603</x:v>
      </x:c>
      <x:c r="D2887" s="13" t="str">
        <x:v>Metals &amp; Mining</x:v>
      </x:c>
      <x:c r="E2887" s="13" t="str">
        <x:v>Metals &amp; Mining</x:v>
      </x:c>
      <x:c r="F2887" s="13" t="str">
        <x:v>Deep Cyclicals</x:v>
      </x:c>
      <x:c r="G2887" s="13" t="str">
        <x:v>grid_wekqfxnd.xlsx</x:v>
      </x:c>
    </x:row>
    <x:row r="2888">
      <x:c r="A2888" s="15" t="n">
        <x:v>41579</x:v>
      </x:c>
      <x:c r="B2888" s="13" t="str">
        <x:v>VALE SA</x:v>
      </x:c>
      <x:c r="C2888" s="16" t="n">
        <x:v>24985.2707938192</x:v>
      </x:c>
      <x:c r="D2888" s="13" t="str">
        <x:v>Metals &amp; Mining</x:v>
      </x:c>
      <x:c r="E2888" s="13" t="str">
        <x:v>Metals &amp; Mining</x:v>
      </x:c>
      <x:c r="F2888" s="13" t="str">
        <x:v>Deep Cyclicals</x:v>
      </x:c>
      <x:c r="G2888" s="13" t="str">
        <x:v>grid_wekqfxnd.xlsx</x:v>
      </x:c>
    </x:row>
    <x:row r="2889">
      <x:c r="A2889" s="15" t="n">
        <x:v>41579</x:v>
      </x:c>
      <x:c r="B2889" s="13" t="str">
        <x:v>BRASKEM SA-PREF A</x:v>
      </x:c>
      <x:c r="C2889" s="16" t="n">
        <x:v>1302.0911524822</x:v>
      </x:c>
      <x:c r="D2889" s="13" t="str">
        <x:v>Oil, Gas &amp; Petrochemicals</x:v>
      </x:c>
      <x:c r="E2889" s="13" t="str">
        <x:v>Oil, Gas &amp; Petrochemicals</x:v>
      </x:c>
      <x:c r="F2889" s="13" t="str">
        <x:v>Deep Cyclicals</x:v>
      </x:c>
      <x:c r="G2889" s="13" t="str">
        <x:v>grid_wekqfxnd.xlsx</x:v>
      </x:c>
    </x:row>
    <x:row r="2890">
      <x:c r="A2890" s="15" t="n">
        <x:v>41579</x:v>
      </x:c>
      <x:c r="B2890" s="13" t="str">
        <x:v>COSAN SA</x:v>
      </x:c>
      <x:c r="C2890" s="16" t="n">
        <x:v>895.3056310356</x:v>
      </x:c>
      <x:c r="D2890" s="13" t="str">
        <x:v>Oil, Gas &amp; Petrochemicals</x:v>
      </x:c>
      <x:c r="E2890" s="13" t="str">
        <x:v>Oil, Gas &amp; Petrochemicals</x:v>
      </x:c>
      <x:c r="F2890" s="13" t="str">
        <x:v>Deep Cyclicals</x:v>
      </x:c>
      <x:c r="G2890" s="13" t="str">
        <x:v>grid_wekqfxnd.xlsx</x:v>
      </x:c>
    </x:row>
    <x:row r="2891">
      <x:c r="A2891" s="15" t="n">
        <x:v>41579</x:v>
      </x:c>
      <x:c r="B2891" s="13" t="str">
        <x:v>PETROBRAS - PETROLEO BRAS</x:v>
      </x:c>
      <x:c r="C2891" s="16" t="n">
        <x:v>29458.659328</x:v>
      </x:c>
      <x:c r="D2891" s="13" t="str">
        <x:v>Oil, Gas &amp; Petrochemicals</x:v>
      </x:c>
      <x:c r="E2891" s="13" t="str">
        <x:v>Oil, Gas &amp; Petrochemicals</x:v>
      </x:c>
      <x:c r="F2891" s="13" t="str">
        <x:v>Deep Cyclicals</x:v>
      </x:c>
      <x:c r="G2891" s="13" t="str">
        <x:v>grid_wekqfxnd.xlsx</x:v>
      </x:c>
    </x:row>
    <x:row r="2892">
      <x:c r="A2892" s="15" t="n">
        <x:v>41579</x:v>
      </x:c>
      <x:c r="B2892" s="13" t="str">
        <x:v>ULTRAPAR PARTICIPACOES SA</x:v>
      </x:c>
      <x:c r="C2892" s="16" t="n">
        <x:v>1341.0102131726</x:v>
      </x:c>
      <x:c r="D2892" s="13" t="str">
        <x:v>Oil, Gas &amp; Petrochemicals</x:v>
      </x:c>
      <x:c r="E2892" s="13" t="str">
        <x:v>Oil, Gas &amp; Petrochemicals</x:v>
      </x:c>
      <x:c r="F2892" s="13" t="str">
        <x:v>Deep Cyclicals</x:v>
      </x:c>
      <x:c r="G2892" s="13" t="str">
        <x:v>grid_wekqfxnd.xlsx</x:v>
      </x:c>
    </x:row>
    <x:row r="2893">
      <x:c r="A2893" s="15" t="n">
        <x:v>41579</x:v>
      </x:c>
      <x:c r="B2893" s="13" t="str">
        <x:v>DEXCO SA</x:v>
      </x:c>
      <x:c r="C2893" s="16" t="n">
        <x:v>627.0589299726</x:v>
      </x:c>
      <x:c r="D2893" s="13" t="str">
        <x:v>Pulp &amp; Paper</x:v>
      </x:c>
      <x:c r="E2893" s="13" t="str">
        <x:v>Pulp &amp; Paper</x:v>
      </x:c>
      <x:c r="F2893" s="13" t="str">
        <x:v>Deep Cyclicals</x:v>
      </x:c>
      <x:c r="G2893" s="13" t="str">
        <x:v>grid_wekqfxnd.xlsx</x:v>
      </x:c>
    </x:row>
    <x:row r="2894">
      <x:c r="A2894" s="15" t="n">
        <x:v>41579</x:v>
      </x:c>
      <x:c r="B2894" s="13" t="str">
        <x:v>FIBRIA CELULOSE S/A</x:v>
      </x:c>
      <x:c r="C2894" s="16" t="n">
        <x:v>217.2644164384</x:v>
      </x:c>
      <x:c r="D2894" s="13" t="str">
        <x:v>Pulp &amp; Paper</x:v>
      </x:c>
      <x:c r="E2894" s="13" t="str">
        <x:v>Pulp &amp; Paper</x:v>
      </x:c>
      <x:c r="F2894" s="13" t="str">
        <x:v>Deep Cyclicals</x:v>
      </x:c>
      <x:c r="G2894" s="13" t="str">
        <x:v>grid_wekqfxnd.xlsx</x:v>
      </x:c>
    </x:row>
    <x:row r="2895">
      <x:c r="A2895" s="15" t="n">
        <x:v>41579</x:v>
      </x:c>
      <x:c r="B2895" s="13" t="str">
        <x:v>SUZANO PAPEL E CELULO-PREF A</x:v>
      </x:c>
      <x:c r="C2895" s="16" t="n">
        <x:v>339.7659506849</x:v>
      </x:c>
      <x:c r="D2895" s="13" t="str">
        <x:v>Pulp &amp; Paper</x:v>
      </x:c>
      <x:c r="E2895" s="13" t="str">
        <x:v>Pulp &amp; Paper</x:v>
      </x:c>
      <x:c r="F2895" s="13" t="str">
        <x:v>Deep Cyclicals</x:v>
      </x:c>
      <x:c r="G2895" s="13" t="str">
        <x:v>grid_wekqfxnd.xlsx</x:v>
      </x:c>
    </x:row>
    <x:row r="2896">
      <x:c r="A2896" s="15" t="n">
        <x:v>41579</x:v>
      </x:c>
      <x:c r="B2896" s="13" t="str">
        <x:v>AMERICANAS SA</x:v>
      </x:c>
      <x:c r="C2896" s="16" t="n">
        <x:v>-133.2909924822</x:v>
      </x:c>
      <x:c r="D2896" s="13" t="str">
        <x:v>Retail</x:v>
      </x:c>
      <x:c r="E2896" s="13" t="str">
        <x:v>Retail</x:v>
      </x:c>
      <x:c r="F2896" s="13" t="str">
        <x:v>Early Cyclicals</x:v>
      </x:c>
      <x:c r="G2896" s="13" t="str">
        <x:v>grid_wekqfxnd.xlsx</x:v>
      </x:c>
    </x:row>
    <x:row r="2897">
      <x:c r="A2897" s="15" t="n">
        <x:v>41579</x:v>
      </x:c>
      <x:c r="B2897" s="13" t="str">
        <x:v>CIA BRASILEIRA DE DIS-PREF</x:v>
      </x:c>
      <x:c r="C2897" s="16" t="n">
        <x:v>1443.0301369863</x:v>
      </x:c>
      <x:c r="D2897" s="13" t="str">
        <x:v>Retail</x:v>
      </x:c>
      <x:c r="E2897" s="13" t="str">
        <x:v>Retail</x:v>
      </x:c>
      <x:c r="F2897" s="13" t="str">
        <x:v>Early Cyclicals</x:v>
      </x:c>
      <x:c r="G2897" s="13" t="str">
        <x:v>grid_wekqfxnd.xlsx</x:v>
      </x:c>
    </x:row>
    <x:row r="2898">
      <x:c r="A2898" s="15" t="n">
        <x:v>41579</x:v>
      </x:c>
      <x:c r="B2898" s="13" t="str">
        <x:v>CIA HERING</x:v>
      </x:c>
      <x:c r="C2898" s="16" t="n">
        <x:v>372.0131861041</x:v>
      </x:c>
      <x:c r="D2898" s="13" t="str">
        <x:v>Retail</x:v>
      </x:c>
      <x:c r="E2898" s="13" t="str">
        <x:v>Retail</x:v>
      </x:c>
      <x:c r="F2898" s="13" t="str">
        <x:v>Early Cyclicals</x:v>
      </x:c>
      <x:c r="G2898" s="13" t="str">
        <x:v>grid_wekqfxnd.xlsx</x:v>
      </x:c>
    </x:row>
    <x:row r="2899">
      <x:c r="A2899" s="15" t="n">
        <x:v>41579</x:v>
      </x:c>
      <x:c r="B2899" s="13" t="str">
        <x:v>LOJAS AMERICANAS SA-PREF</x:v>
      </x:c>
      <x:c r="C2899" s="16" t="n">
        <x:v>570.3773801205</x:v>
      </x:c>
      <x:c r="D2899" s="13" t="str">
        <x:v>Retail</x:v>
      </x:c>
      <x:c r="E2899" s="13" t="str">
        <x:v>Retail</x:v>
      </x:c>
      <x:c r="F2899" s="13" t="str">
        <x:v>Early Cyclicals</x:v>
      </x:c>
      <x:c r="G2899" s="13" t="str">
        <x:v>grid_wekqfxnd.xlsx</x:v>
      </x:c>
    </x:row>
    <x:row r="2900">
      <x:c r="A2900" s="15" t="n">
        <x:v>41579</x:v>
      </x:c>
      <x:c r="B2900" s="13" t="str">
        <x:v>LOJAS RENNER S.A.</x:v>
      </x:c>
      <x:c r="C2900" s="16" t="n">
        <x:v>450.454425074</x:v>
      </x:c>
      <x:c r="D2900" s="13" t="str">
        <x:v>Retail</x:v>
      </x:c>
      <x:c r="E2900" s="13" t="str">
        <x:v>Retail</x:v>
      </x:c>
      <x:c r="F2900" s="13" t="str">
        <x:v>Early Cyclicals</x:v>
      </x:c>
      <x:c r="G2900" s="13" t="str">
        <x:v>grid_wekqfxnd.xlsx</x:v>
      </x:c>
    </x:row>
    <x:row r="2901">
      <x:c r="A2901" s="15" t="n">
        <x:v>41579</x:v>
      </x:c>
      <x:c r="B2901" s="13" t="str">
        <x:v>NATURA COSMETICOS SA</x:v>
      </x:c>
      <x:c r="C2901" s="16" t="n">
        <x:v>980.0558232548</x:v>
      </x:c>
      <x:c r="D2901" s="13" t="str">
        <x:v>Retail</x:v>
      </x:c>
      <x:c r="E2901" s="13" t="str">
        <x:v>Retail</x:v>
      </x:c>
      <x:c r="F2901" s="13" t="str">
        <x:v>Early Cyclicals</x:v>
      </x:c>
      <x:c r="G2901" s="13" t="str">
        <x:v>grid_wekqfxnd.xlsx</x:v>
      </x:c>
    </x:row>
    <x:row r="2902">
      <x:c r="A2902" s="15" t="n">
        <x:v>41579</x:v>
      </x:c>
      <x:c r="B2902" s="13" t="str">
        <x:v>CIA SANEAMENTO BASICO DE SP</x:v>
      </x:c>
      <x:c r="C2902" s="16" t="n">
        <x:v>1947.1585027507</x:v>
      </x:c>
      <x:c r="D2902" s="13" t="str">
        <x:v>Sanitation</x:v>
      </x:c>
      <x:c r="E2902" s="13" t="str">
        <x:v>Utilities</x:v>
      </x:c>
      <x:c r="F2902" s="13" t="str">
        <x:v>Defensives</x:v>
      </x:c>
      <x:c r="G2902" s="13" t="str">
        <x:v>grid_wekqfxnd.xlsx</x:v>
      </x:c>
    </x:row>
    <x:row r="2903">
      <x:c r="A2903" s="15" t="n">
        <x:v>41579</x:v>
      </x:c>
      <x:c r="B2903" s="13" t="str">
        <x:v>OI S.A.</x:v>
      </x:c>
      <x:c r="C2903" s="16" t="n">
        <x:v>438.9026036603</x:v>
      </x:c>
      <x:c r="D2903" s="13" t="str">
        <x:v>TMT</x:v>
      </x:c>
      <x:c r="E2903" s="13" t="str">
        <x:v>TMT</x:v>
      </x:c>
      <x:c r="F2903" s="13" t="str">
        <x:v>Early Cyclicals</x:v>
      </x:c>
      <x:c r="G2903" s="13" t="str">
        <x:v>grid_wekqfxnd.xlsx</x:v>
      </x:c>
    </x:row>
    <x:row r="2904">
      <x:c r="A2904" s="15" t="n">
        <x:v>41579</x:v>
      </x:c>
      <x:c r="B2904" s="13" t="str">
        <x:v>OI SA-PREFERENCE</x:v>
      </x:c>
      <x:c r="C2904" s="16" t="n">
        <x:v>438.9026036603</x:v>
      </x:c>
      <x:c r="D2904" s="13" t="str">
        <x:v>TMT</x:v>
      </x:c>
      <x:c r="E2904" s="13" t="str">
        <x:v>TMT</x:v>
      </x:c>
      <x:c r="F2904" s="13" t="str">
        <x:v>Early Cyclicals</x:v>
      </x:c>
      <x:c r="G2904" s="13" t="str">
        <x:v>grid_wekqfxnd.xlsx</x:v>
      </x:c>
    </x:row>
    <x:row r="2905">
      <x:c r="A2905" s="15" t="n">
        <x:v>41579</x:v>
      </x:c>
      <x:c r="B2905" s="13" t="str">
        <x:v>TELEFONICA BRASIL S.A.-PREF</x:v>
      </x:c>
      <x:c r="C2905" s="16" t="n">
        <x:v>4051.4819969753</x:v>
      </x:c>
      <x:c r="D2905" s="13" t="str">
        <x:v>TMT</x:v>
      </x:c>
      <x:c r="E2905" s="13" t="str">
        <x:v>TMT</x:v>
      </x:c>
      <x:c r="F2905" s="13" t="str">
        <x:v>Early Cyclicals</x:v>
      </x:c>
      <x:c r="G2905" s="13" t="str">
        <x:v>grid_wekqfxnd.xlsx</x:v>
      </x:c>
    </x:row>
    <x:row r="2906">
      <x:c r="A2906" s="15" t="n">
        <x:v>41579</x:v>
      </x:c>
      <x:c r="B2906" s="13" t="str">
        <x:v>TIM SA</x:v>
      </x:c>
      <x:c r="C2906" s="16" t="n">
        <x:v>1678.0372844712</x:v>
      </x:c>
      <x:c r="D2906" s="13" t="str">
        <x:v>TMT</x:v>
      </x:c>
      <x:c r="E2906" s="13" t="str">
        <x:v>TMT</x:v>
      </x:c>
      <x:c r="F2906" s="13" t="str">
        <x:v>Early Cyclicals</x:v>
      </x:c>
      <x:c r="G2906" s="13" t="str">
        <x:v>grid_wekqfxnd.xlsx</x:v>
      </x:c>
    </x:row>
    <x:row r="2907">
      <x:c r="A2907" s="15" t="n">
        <x:v>41579</x:v>
      </x:c>
      <x:c r="B2907" s="13" t="str">
        <x:v>GOL LINHAS AEREAS INT SA-PRE</x:v>
      </x:c>
      <x:c r="C2907" s="16" t="n">
        <x:v>-75.8560535452</x:v>
      </x:c>
      <x:c r="D2907" s="13" t="str">
        <x:v>Transportation</x:v>
      </x:c>
      <x:c r="E2907" s="13" t="str">
        <x:v>Transportation</x:v>
      </x:c>
      <x:c r="F2907" s="13" t="str">
        <x:v>Deep Cyclicals</x:v>
      </x:c>
      <x:c r="G2907" s="13" t="str">
        <x:v>grid_wekqfxnd.xlsx</x:v>
      </x:c>
    </x:row>
    <x:row r="2908">
      <x:c r="A2908" s="15" t="n">
        <x:v>41579</x:v>
      </x:c>
      <x:c r="B2908" s="13" t="str">
        <x:v>LOCALIZA RENT A CAR</x:v>
      </x:c>
      <x:c r="C2908" s="16" t="n">
        <x:v>410.2494734904</x:v>
      </x:c>
      <x:c r="D2908" s="13" t="str">
        <x:v>Transportation</x:v>
      </x:c>
      <x:c r="E2908" s="13" t="str">
        <x:v>Transportation</x:v>
      </x:c>
      <x:c r="F2908" s="13" t="str">
        <x:v>Deep Cyclicals</x:v>
      </x:c>
      <x:c r="G2908" s="13" t="str">
        <x:v>grid_wekqfxnd.xlsx</x:v>
      </x:c>
    </x:row>
    <x:row r="2909">
      <x:c r="A2909" s="15" t="n">
        <x:v>41579</x:v>
      </x:c>
      <x:c r="B2909" s="13" t="str">
        <x:v>MOTIVA INFRAESTRUTURA DE MOB</x:v>
      </x:c>
      <x:c r="C2909" s="16" t="n">
        <x:v>1777.8513716603</x:v>
      </x:c>
      <x:c r="D2909" s="13" t="str">
        <x:v>Transportation</x:v>
      </x:c>
      <x:c r="E2909" s="13" t="str">
        <x:v>Transportation</x:v>
      </x:c>
      <x:c r="F2909" s="13" t="str">
        <x:v>Deep Cyclicals</x:v>
      </x:c>
      <x:c r="G2909" s="13" t="str">
        <x:v>grid_wekqfxnd.xlsx</x:v>
      </x:c>
    </x:row>
    <x:row r="2910">
      <x:c r="A2910" s="15" t="n">
        <x:v>41579</x:v>
      </x:c>
      <x:c r="B2910" s="13" t="str">
        <x:v>PRUMO LOGISTICA SA</x:v>
      </x:c>
      <x:c r="C2910" s="16" t="n">
        <x:v>-107.1035616438</x:v>
      </x:c>
      <x:c r="D2910" s="13" t="str">
        <x:v>Transportation</x:v>
      </x:c>
      <x:c r="E2910" s="13" t="str">
        <x:v>Transportation</x:v>
      </x:c>
      <x:c r="F2910" s="13" t="str">
        <x:v>Deep Cyclicals</x:v>
      </x:c>
      <x:c r="G2910" s="13" t="str">
        <x:v>grid_wekqfxnd.xlsx</x:v>
      </x:c>
    </x:row>
    <x:row r="2911">
      <x:c r="A2911" s="15" t="n">
        <x:v>41579</x:v>
      </x:c>
      <x:c r="B2911" s="13" t="str">
        <x:v>RUMO SA</x:v>
      </x:c>
      <x:c r="C2911" s="16" t="n">
        <x:v>390.4336593534</x:v>
      </x:c>
      <x:c r="D2911" s="13" t="str">
        <x:v>Transportation</x:v>
      </x:c>
      <x:c r="E2911" s="13" t="str">
        <x:v>Transportation</x:v>
      </x:c>
      <x:c r="F2911" s="13" t="str">
        <x:v>Deep Cyclicals</x:v>
      </x:c>
      <x:c r="G2911" s="13" t="str">
        <x:v>grid_wekqfxnd.xlsx</x:v>
      </x:c>
    </x:row>
    <x:row r="2912">
      <x:c r="A2912" s="15" t="n">
        <x:v>41579</x:v>
      </x:c>
      <x:c r="B2912" s="13" t="str">
        <x:v>AXIA ENERGIA SA</x:v>
      </x:c>
      <x:c r="C2912" s="16" t="n">
        <x:v>2062.3206063342</x:v>
      </x:c>
      <x:c r="D2912" s="13" t="str">
        <x:v>Utilities &amp; Energy</x:v>
      </x:c>
      <x:c r="E2912" s="13" t="str">
        <x:v>Utilities</x:v>
      </x:c>
      <x:c r="F2912" s="13" t="str">
        <x:v>Defensives</x:v>
      </x:c>
      <x:c r="G2912" s="13" t="str">
        <x:v>grid_wekqfxnd.xlsx</x:v>
      </x:c>
    </x:row>
    <x:row r="2913">
      <x:c r="A2913" s="15" t="n">
        <x:v>41579</x:v>
      </x:c>
      <x:c r="B2913" s="13" t="str">
        <x:v>AXIA ENERGIA-PR B</x:v>
      </x:c>
      <x:c r="C2913" s="16" t="n">
        <x:v>2062.3206063342</x:v>
      </x:c>
      <x:c r="D2913" s="13" t="str">
        <x:v>Utilities &amp; Energy</x:v>
      </x:c>
      <x:c r="E2913" s="13" t="str">
        <x:v>Utilities</x:v>
      </x:c>
      <x:c r="F2913" s="13" t="str">
        <x:v>Defensives</x:v>
      </x:c>
      <x:c r="G2913" s="13" t="str">
        <x:v>grid_wekqfxnd.xlsx</x:v>
      </x:c>
    </x:row>
    <x:row r="2914">
      <x:c r="A2914" s="15" t="n">
        <x:v>41579</x:v>
      </x:c>
      <x:c r="B2914" s="13" t="str">
        <x:v>CESP - CIA ENERGETICA DE SAO</x:v>
      </x:c>
      <x:c r="C2914" s="16" t="n">
        <x:v>1336.6139178082</x:v>
      </x:c>
      <x:c r="D2914" s="13" t="str">
        <x:v>Utilities &amp; Energy</x:v>
      </x:c>
      <x:c r="E2914" s="13" t="str">
        <x:v>Utilities</x:v>
      </x:c>
      <x:c r="F2914" s="13" t="str">
        <x:v>Defensives</x:v>
      </x:c>
      <x:c r="G2914" s="13" t="str">
        <x:v>grid_wekqfxnd.xlsx</x:v>
      </x:c>
    </x:row>
    <x:row r="2915">
      <x:c r="A2915" s="15" t="n">
        <x:v>41579</x:v>
      </x:c>
      <x:c r="B2915" s="13" t="str">
        <x:v>CIA ENERGETICA MINAS GER-PRF</x:v>
      </x:c>
      <x:c r="C2915" s="16" t="n">
        <x:v>2433.223992811</x:v>
      </x:c>
      <x:c r="D2915" s="13" t="str">
        <x:v>Utilities &amp; Energy</x:v>
      </x:c>
      <x:c r="E2915" s="13" t="str">
        <x:v>Utilities</x:v>
      </x:c>
      <x:c r="F2915" s="13" t="str">
        <x:v>Defensives</x:v>
      </x:c>
      <x:c r="G2915" s="13" t="str">
        <x:v>grid_wekqfxnd.xlsx</x:v>
      </x:c>
    </x:row>
    <x:row r="2916">
      <x:c r="A2916" s="15" t="n">
        <x:v>41579</x:v>
      </x:c>
      <x:c r="B2916" s="13" t="str">
        <x:v>COMPANHIA PARANAENSE -PREF B</x:v>
      </x:c>
      <x:c r="C2916" s="16" t="n">
        <x:v>1210.590687737</x:v>
      </x:c>
      <x:c r="D2916" s="13" t="str">
        <x:v>Utilities &amp; Energy</x:v>
      </x:c>
      <x:c r="E2916" s="13" t="str">
        <x:v>Utilities</x:v>
      </x:c>
      <x:c r="F2916" s="13" t="str">
        <x:v>Defensives</x:v>
      </x:c>
      <x:c r="G2916" s="13" t="str">
        <x:v>grid_wekqfxnd.xlsx</x:v>
      </x:c>
    </x:row>
    <x:row r="2917">
      <x:c r="A2917" s="15" t="n">
        <x:v>41579</x:v>
      </x:c>
      <x:c r="B2917" s="13" t="str">
        <x:v>CPFL ENERGIA SA</x:v>
      </x:c>
      <x:c r="C2917" s="16" t="n">
        <x:v>1246.8884511562</x:v>
      </x:c>
      <x:c r="D2917" s="13" t="str">
        <x:v>Utilities &amp; Energy</x:v>
      </x:c>
      <x:c r="E2917" s="13" t="str">
        <x:v>Utilities</x:v>
      </x:c>
      <x:c r="F2917" s="13" t="str">
        <x:v>Defensives</x:v>
      </x:c>
      <x:c r="G2917" s="13" t="str">
        <x:v>grid_wekqfxnd.xlsx</x:v>
      </x:c>
    </x:row>
    <x:row r="2918">
      <x:c r="A2918" s="15" t="n">
        <x:v>41579</x:v>
      </x:c>
      <x:c r="B2918" s="13" t="str">
        <x:v>EDP - ENERGIAS DO BRASIL SA</x:v>
      </x:c>
      <x:c r="C2918" s="16" t="n">
        <x:v>566.8854107178</x:v>
      </x:c>
      <x:c r="D2918" s="13" t="str">
        <x:v>Utilities &amp; Energy</x:v>
      </x:c>
      <x:c r="E2918" s="13" t="str">
        <x:v>Utilities</x:v>
      </x:c>
      <x:c r="F2918" s="13" t="str">
        <x:v>Defensives</x:v>
      </x:c>
      <x:c r="G2918" s="13" t="str">
        <x:v>grid_wekqfxnd.xlsx</x:v>
      </x:c>
    </x:row>
    <x:row r="2919">
      <x:c r="A2919" s="15" t="n">
        <x:v>41579</x:v>
      </x:c>
      <x:c r="B2919" s="13" t="str">
        <x:v>ELETROPAULO METROPOLI-PREF</x:v>
      </x:c>
      <x:c r="C2919" s="16" t="n">
        <x:v>-243.6309351452</x:v>
      </x:c>
      <x:c r="D2919" s="13" t="str">
        <x:v>Utilities &amp; Energy</x:v>
      </x:c>
      <x:c r="E2919" s="13" t="str">
        <x:v>Utilities</x:v>
      </x:c>
      <x:c r="F2919" s="13" t="str">
        <x:v>Defensives</x:v>
      </x:c>
      <x:c r="G2919" s="13" t="str">
        <x:v>grid_wekqfxnd.xlsx</x:v>
      </x:c>
    </x:row>
    <x:row r="2920">
      <x:c r="A2920" s="15" t="n">
        <x:v>41579</x:v>
      </x:c>
      <x:c r="B2920" s="13" t="str">
        <x:v>ISA ENERGIA BRASIL SA</x:v>
      </x:c>
      <x:c r="C2920" s="16" t="n">
        <x:v>522.472697337</x:v>
      </x:c>
      <x:c r="D2920" s="13" t="str">
        <x:v>Utilities &amp; Energy</x:v>
      </x:c>
      <x:c r="E2920" s="13" t="str">
        <x:v>Utilities</x:v>
      </x:c>
      <x:c r="F2920" s="13" t="str">
        <x:v>Defensives</x:v>
      </x:c>
      <x:c r="G2920" s="13" t="str">
        <x:v>grid_wekqfxnd.xlsx</x:v>
      </x:c>
    </x:row>
    <x:row r="2921">
      <x:c r="A2921" s="15" t="n">
        <x:v>41579</x:v>
      </x:c>
      <x:c r="B2921" s="13" t="str">
        <x:v>LIGHT SA</x:v>
      </x:c>
      <x:c r="C2921" s="16" t="n">
        <x:v>511.1902794521</x:v>
      </x:c>
      <x:c r="D2921" s="13" t="str">
        <x:v>Utilities &amp; Energy</x:v>
      </x:c>
      <x:c r="E2921" s="13" t="str">
        <x:v>Utilities</x:v>
      </x:c>
      <x:c r="F2921" s="13" t="str">
        <x:v>Defensives</x:v>
      </x:c>
      <x:c r="G2921" s="13" t="str">
        <x:v>grid_wekqfxnd.xlsx</x:v>
      </x:c>
    </x:row>
    <x:row r="2922">
      <x:c r="A2922" s="15" t="n">
        <x:v>41609</x:v>
      </x:c>
      <x:c r="B2922" s="13" t="str">
        <x:v>SLC AGRICOLA CENTRO OESTE SA</x:v>
      </x:c>
      <x:c r="C2922" s="16" t="n">
        <x:v>32.7333</x:v>
      </x:c>
      <x:c r="D2922" s="13" t="str">
        <x:v>Agribusiness</x:v>
      </x:c>
      <x:c r="E2922" s="13" t="str">
        <x:v>Agri, Food &amp; Beverages</x:v>
      </x:c>
      <x:c r="F2922" s="13" t="str">
        <x:v>Defensives</x:v>
      </x:c>
      <x:c r="G2922" s="13" t="str">
        <x:v>grid_wekqfxnd.xlsx</x:v>
      </x:c>
    </x:row>
    <x:row r="2923">
      <x:c r="A2923" s="15" t="n">
        <x:v>41609</x:v>
      </x:c>
      <x:c r="B2923" s="13" t="str">
        <x:v>BANCO BRADESCO S.A.</x:v>
      </x:c>
      <x:c r="C2923" s="16" t="n">
        <x:v>13538.700288</x:v>
      </x:c>
      <x:c r="D2923" s="13" t="str">
        <x:v>Banks</x:v>
      </x:c>
      <x:c r="E2923" s="13" t="str">
        <x:v>Banks</x:v>
      </x:c>
      <x:c r="F2923" s="13" t="str">
        <x:v>Financials</x:v>
      </x:c>
      <x:c r="G2923" s="13" t="str">
        <x:v>grid_wekqfxnd.xlsx</x:v>
      </x:c>
    </x:row>
    <x:row r="2924">
      <x:c r="A2924" s="15" t="n">
        <x:v>41609</x:v>
      </x:c>
      <x:c r="B2924" s="13" t="str">
        <x:v>BANCO BRADESCO SA-PREF</x:v>
      </x:c>
      <x:c r="C2924" s="16" t="n">
        <x:v>13538.700288</x:v>
      </x:c>
      <x:c r="D2924" s="13" t="str">
        <x:v>Banks</x:v>
      </x:c>
      <x:c r="E2924" s="13" t="str">
        <x:v>Banks</x:v>
      </x:c>
      <x:c r="F2924" s="13" t="str">
        <x:v>Financials</x:v>
      </x:c>
      <x:c r="G2924" s="13" t="str">
        <x:v>grid_wekqfxnd.xlsx</x:v>
      </x:c>
    </x:row>
    <x:row r="2925">
      <x:c r="A2925" s="15" t="n">
        <x:v>41609</x:v>
      </x:c>
      <x:c r="B2925" s="13" t="str">
        <x:v>BANCO DO BRASIL S.A.</x:v>
      </x:c>
      <x:c r="C2925" s="16" t="n">
        <x:v>11178.500096</x:v>
      </x:c>
      <x:c r="D2925" s="13" t="str">
        <x:v>Banks</x:v>
      </x:c>
      <x:c r="E2925" s="13" t="str">
        <x:v>Banks</x:v>
      </x:c>
      <x:c r="F2925" s="13" t="str">
        <x:v>Financials</x:v>
      </x:c>
      <x:c r="G2925" s="13" t="str">
        <x:v>grid_wekqfxnd.xlsx</x:v>
      </x:c>
    </x:row>
    <x:row r="2926">
      <x:c r="A2926" s="15" t="n">
        <x:v>41609</x:v>
      </x:c>
      <x:c r="B2926" s="13" t="str">
        <x:v>BANCO SANTANDER  BRASIL-UNIT</x:v>
      </x:c>
      <x:c r="C2926" s="16" t="n">
        <x:v>5671.499776</x:v>
      </x:c>
      <x:c r="D2926" s="13" t="str">
        <x:v>Banks</x:v>
      </x:c>
      <x:c r="E2926" s="13" t="str">
        <x:v>Banks</x:v>
      </x:c>
      <x:c r="F2926" s="13" t="str">
        <x:v>Financials</x:v>
      </x:c>
      <x:c r="G2926" s="13" t="str">
        <x:v>grid_wekqfxnd.xlsx</x:v>
      </x:c>
    </x:row>
    <x:row r="2927">
      <x:c r="A2927" s="15" t="n">
        <x:v>41609</x:v>
      </x:c>
      <x:c r="B2927" s="13" t="str">
        <x:v>ITAU UNIBANCO HOLDING S-PREF</x:v>
      </x:c>
      <x:c r="C2927" s="16" t="n">
        <x:v>17036.099584</x:v>
      </x:c>
      <x:c r="D2927" s="13" t="str">
        <x:v>Banks</x:v>
      </x:c>
      <x:c r="E2927" s="13" t="str">
        <x:v>Banks</x:v>
      </x:c>
      <x:c r="F2927" s="13" t="str">
        <x:v>Financials</x:v>
      </x:c>
      <x:c r="G2927" s="13" t="str">
        <x:v>grid_wekqfxnd.xlsx</x:v>
      </x:c>
    </x:row>
    <x:row r="2928">
      <x:c r="A2928" s="15" t="n">
        <x:v>41609</x:v>
      </x:c>
      <x:c r="B2928" s="13" t="str">
        <x:v>EMBRAER SA</x:v>
      </x:c>
      <x:c r="C2928" s="16" t="n">
        <x:v>971</x:v>
      </x:c>
      <x:c r="D2928" s="13" t="str">
        <x:v>Capital Goods</x:v>
      </x:c>
      <x:c r="E2928" s="13" t="str">
        <x:v>Capital Goods</x:v>
      </x:c>
      <x:c r="F2928" s="13" t="str">
        <x:v>Deep Cyclicals</x:v>
      </x:c>
      <x:c r="G2928" s="13" t="str">
        <x:v>grid_wekqfxnd.xlsx</x:v>
      </x:c>
    </x:row>
    <x:row r="2929">
      <x:c r="A2929" s="15" t="n">
        <x:v>41609</x:v>
      </x:c>
      <x:c r="B2929" s="13" t="str">
        <x:v>ANHANGUERA EDUCACIONAL PARTI</x:v>
      </x:c>
      <x:c r="C2929" s="16" t="n">
        <x:v>301.713984</x:v>
      </x:c>
      <x:c r="D2929" s="13" t="str">
        <x:v>Education</x:v>
      </x:c>
      <x:c r="E2929" s="13" t="str">
        <x:v>Education</x:v>
      </x:c>
      <x:c r="F2929" s="13" t="str">
        <x:v>Early Cyclicals</x:v>
      </x:c>
      <x:c r="G2929" s="13" t="str">
        <x:v>grid_wekqfxnd.xlsx</x:v>
      </x:c>
    </x:row>
    <x:row r="2930">
      <x:c r="A2930" s="15" t="n">
        <x:v>41609</x:v>
      </x:c>
      <x:c r="B2930" s="13" t="str">
        <x:v>COGNA EDUCACAO</x:v>
      </x:c>
      <x:c r="C2930" s="16" t="n">
        <x:v>647.625024</x:v>
      </x:c>
      <x:c r="D2930" s="13" t="str">
        <x:v>Education</x:v>
      </x:c>
      <x:c r="E2930" s="13" t="str">
        <x:v>Education</x:v>
      </x:c>
      <x:c r="F2930" s="13" t="str">
        <x:v>Early Cyclicals</x:v>
      </x:c>
      <x:c r="G2930" s="13" t="str">
        <x:v>grid_wekqfxnd.xlsx</x:v>
      </x:c>
    </x:row>
    <x:row r="2931">
      <x:c r="A2931" s="15" t="n">
        <x:v>41609</x:v>
      </x:c>
      <x:c r="B2931" s="13" t="str">
        <x:v>B3 SA-BRASIL BOLSA BALCAO</x:v>
      </x:c>
      <x:c r="C2931" s="16" t="n">
        <x:v>1559.800064</x:v>
      </x:c>
      <x:c r="D2931" s="13" t="str">
        <x:v>Financials Non-Banks</x:v>
      </x:c>
      <x:c r="E2931" s="13" t="str">
        <x:v>Financials Non-Banks</x:v>
      </x:c>
      <x:c r="F2931" s="13" t="str">
        <x:v>Financials</x:v>
      </x:c>
      <x:c r="G2931" s="13" t="str">
        <x:v>grid_wekqfxnd.xlsx</x:v>
      </x:c>
    </x:row>
    <x:row r="2932">
      <x:c r="A2932" s="15" t="n">
        <x:v>41609</x:v>
      </x:c>
      <x:c r="B2932" s="13" t="str">
        <x:v>CETIP SA-MERCADOS ORGANIZADO</x:v>
      </x:c>
      <x:c r="C2932" s="16" t="n">
        <x:v>466.332992</x:v>
      </x:c>
      <x:c r="D2932" s="13" t="str">
        <x:v>Financials Non-Banks</x:v>
      </x:c>
      <x:c r="E2932" s="13" t="str">
        <x:v>Financials Non-Banks</x:v>
      </x:c>
      <x:c r="F2932" s="13" t="str">
        <x:v>Financials</x:v>
      </x:c>
      <x:c r="G2932" s="13" t="str">
        <x:v>grid_wekqfxnd.xlsx</x:v>
      </x:c>
    </x:row>
    <x:row r="2933">
      <x:c r="A2933" s="15" t="n">
        <x:v>41609</x:v>
      </x:c>
      <x:c r="B2933" s="13" t="str">
        <x:v>CIELO SA - INSTITUICAO DE PA</x:v>
      </x:c>
      <x:c r="C2933" s="16" t="n">
        <x:v>3036.130048</x:v>
      </x:c>
      <x:c r="D2933" s="13" t="str">
        <x:v>Financials Non-Banks</x:v>
      </x:c>
      <x:c r="E2933" s="13" t="str">
        <x:v>Financials Non-Banks</x:v>
      </x:c>
      <x:c r="F2933" s="13" t="str">
        <x:v>Financials</x:v>
      </x:c>
      <x:c r="G2933" s="13" t="str">
        <x:v>grid_wekqfxnd.xlsx</x:v>
      </x:c>
    </x:row>
    <x:row r="2934">
      <x:c r="A2934" s="15" t="n">
        <x:v>41609</x:v>
      </x:c>
      <x:c r="B2934" s="13" t="str">
        <x:v>ITAUSA SA</x:v>
      </x:c>
      <x:c r="C2934" s="16" t="n">
        <x:v>6885.000192</x:v>
      </x:c>
      <x:c r="D2934" s="13" t="str">
        <x:v>Financials Non-Banks</x:v>
      </x:c>
      <x:c r="E2934" s="13" t="str">
        <x:v>Financials Non-Banks</x:v>
      </x:c>
      <x:c r="F2934" s="13" t="str">
        <x:v>Financials</x:v>
      </x:c>
      <x:c r="G2934" s="13" t="str">
        <x:v>grid_wekqfxnd.xlsx</x:v>
      </x:c>
    </x:row>
    <x:row r="2935">
      <x:c r="A2935" s="15" t="n">
        <x:v>41609</x:v>
      </x:c>
      <x:c r="B2935" s="13" t="str">
        <x:v>AMBEV SA</x:v>
      </x:c>
      <x:c r="C2935" s="16" t="n">
        <x:v>12856.200192</x:v>
      </x:c>
      <x:c r="D2935" s="13" t="str">
        <x:v>Food &amp; Beverages</x:v>
      </x:c>
      <x:c r="E2935" s="13" t="str">
        <x:v>Agri, Food &amp; Beverages</x:v>
      </x:c>
      <x:c r="F2935" s="13" t="str">
        <x:v>Defensives</x:v>
      </x:c>
      <x:c r="G2935" s="13" t="str">
        <x:v>grid_wekqfxnd.xlsx</x:v>
      </x:c>
    </x:row>
    <x:row r="2936">
      <x:c r="A2936" s="15" t="n">
        <x:v>41609</x:v>
      </x:c>
      <x:c r="B2936" s="13" t="str">
        <x:v>BRF SA</x:v>
      </x:c>
      <x:c r="C2936" s="16" t="n">
        <x:v>2177.200128</x:v>
      </x:c>
      <x:c r="D2936" s="13" t="str">
        <x:v>Food &amp; Beverages</x:v>
      </x:c>
      <x:c r="E2936" s="13" t="str">
        <x:v>Agri, Food &amp; Beverages</x:v>
      </x:c>
      <x:c r="F2936" s="13" t="str">
        <x:v>Defensives</x:v>
      </x:c>
      <x:c r="G2936" s="13" t="str">
        <x:v>grid_wekqfxnd.xlsx</x:v>
      </x:c>
    </x:row>
    <x:row r="2937">
      <x:c r="A2937" s="15" t="n">
        <x:v>41609</x:v>
      </x:c>
      <x:c r="B2937" s="13" t="str">
        <x:v>MBRF GLOBAL FOODS COMPANY SA</x:v>
      </x:c>
      <x:c r="C2937" s="16" t="n">
        <x:v>158.272992</x:v>
      </x:c>
      <x:c r="D2937" s="13" t="str">
        <x:v>Food &amp; Beverages</x:v>
      </x:c>
      <x:c r="E2937" s="13" t="str">
        <x:v>Agri, Food &amp; Beverages</x:v>
      </x:c>
      <x:c r="F2937" s="13" t="str">
        <x:v>Defensives</x:v>
      </x:c>
      <x:c r="G2937" s="13" t="str">
        <x:v>grid_wekqfxnd.xlsx</x:v>
      </x:c>
    </x:row>
    <x:row r="2938">
      <x:c r="A2938" s="15" t="n">
        <x:v>41609</x:v>
      </x:c>
      <x:c r="B2938" s="13" t="str">
        <x:v>SOUZA CRUZ LTDA</x:v>
      </x:c>
      <x:c r="C2938" s="16" t="n">
        <x:v>1951.139968</x:v>
      </x:c>
      <x:c r="D2938" s="13" t="str">
        <x:v>Food &amp; Beverages</x:v>
      </x:c>
      <x:c r="E2938" s="13" t="str">
        <x:v>Agri, Food &amp; Beverages</x:v>
      </x:c>
      <x:c r="F2938" s="13" t="str">
        <x:v>Defensives</x:v>
      </x:c>
      <x:c r="G2938" s="13" t="str">
        <x:v>grid_wekqfxnd.xlsx</x:v>
      </x:c>
    </x:row>
    <x:row r="2939">
      <x:c r="A2939" s="15" t="n">
        <x:v>41609</x:v>
      </x:c>
      <x:c r="B2939" s="13" t="str">
        <x:v>DIAGNOSTICOS DA AMERICA SA</x:v>
      </x:c>
      <x:c r="C2939" s="16" t="n">
        <x:v>170.143008</x:v>
      </x:c>
      <x:c r="D2939" s="13" t="str">
        <x:v>Health Care</x:v>
      </x:c>
      <x:c r="E2939" s="13" t="str">
        <x:v>Health Care</x:v>
      </x:c>
      <x:c r="F2939" s="13" t="str">
        <x:v>Defensives</x:v>
      </x:c>
      <x:c r="G2939" s="13" t="str">
        <x:v>grid_wekqfxnd.xlsx</x:v>
      </x:c>
    </x:row>
    <x:row r="2940">
      <x:c r="A2940" s="15" t="n">
        <x:v>41609</x:v>
      </x:c>
      <x:c r="B2940" s="13" t="str">
        <x:v>HYPERA SA</x:v>
      </x:c>
      <x:c r="C2940" s="16" t="n">
        <x:v>491.272992</x:v>
      </x:c>
      <x:c r="D2940" s="13" t="str">
        <x:v>Health Care</x:v>
      </x:c>
      <x:c r="E2940" s="13" t="str">
        <x:v>Health Care</x:v>
      </x:c>
      <x:c r="F2940" s="13" t="str">
        <x:v>Defensives</x:v>
      </x:c>
      <x:c r="G2940" s="13" t="str">
        <x:v>grid_wekqfxnd.xlsx</x:v>
      </x:c>
    </x:row>
    <x:row r="2941">
      <x:c r="A2941" s="15" t="n">
        <x:v>41609</x:v>
      </x:c>
      <x:c r="B2941" s="13" t="str">
        <x:v>CYRELA BRAZIL REALTY SA EMP</x:v>
      </x:c>
      <x:c r="C2941" s="16" t="n">
        <x:v>854.4</x:v>
      </x:c>
      <x:c r="D2941" s="13" t="str">
        <x:v>Homebuilders</x:v>
      </x:c>
      <x:c r="E2941" s="13" t="str">
        <x:v>Real Estate</x:v>
      </x:c>
      <x:c r="F2941" s="13" t="str">
        <x:v>Early Cyclicals</x:v>
      </x:c>
      <x:c r="G2941" s="13" t="str">
        <x:v>grid_wekqfxnd.xlsx</x:v>
      </x:c>
    </x:row>
    <x:row r="2942">
      <x:c r="A2942" s="15" t="n">
        <x:v>41609</x:v>
      </x:c>
      <x:c r="B2942" s="13" t="str">
        <x:v>GAFISA SA</x:v>
      </x:c>
      <x:c r="C2942" s="16" t="n">
        <x:v>142.544</x:v>
      </x:c>
      <x:c r="D2942" s="13" t="str">
        <x:v>Homebuilders</x:v>
      </x:c>
      <x:c r="E2942" s="13" t="str">
        <x:v>Real Estate</x:v>
      </x:c>
      <x:c r="F2942" s="13" t="str">
        <x:v>Early Cyclicals</x:v>
      </x:c>
      <x:c r="G2942" s="13" t="str">
        <x:v>grid_wekqfxnd.xlsx</x:v>
      </x:c>
    </x:row>
    <x:row r="2943">
      <x:c r="A2943" s="15" t="n">
        <x:v>41609</x:v>
      </x:c>
      <x:c r="B2943" s="13" t="str">
        <x:v>MRV ENGENHARIA</x:v>
      </x:c>
      <x:c r="C2943" s="16" t="n">
        <x:v>552.556032</x:v>
      </x:c>
      <x:c r="D2943" s="13" t="str">
        <x:v>Homebuilders</x:v>
      </x:c>
      <x:c r="E2943" s="13" t="str">
        <x:v>Real Estate</x:v>
      </x:c>
      <x:c r="F2943" s="13" t="str">
        <x:v>Early Cyclicals</x:v>
      </x:c>
      <x:c r="G2943" s="13" t="str">
        <x:v>grid_wekqfxnd.xlsx</x:v>
      </x:c>
    </x:row>
    <x:row r="2944">
      <x:c r="A2944" s="15" t="n">
        <x:v>41609</x:v>
      </x:c>
      <x:c r="B2944" s="13" t="str">
        <x:v>PDG REALTY SA</x:v>
      </x:c>
      <x:c r="C2944" s="16" t="n">
        <x:v>-25.65</x:v>
      </x:c>
      <x:c r="D2944" s="13" t="str">
        <x:v>Homebuilders</x:v>
      </x:c>
      <x:c r="E2944" s="13" t="str">
        <x:v>Real Estate</x:v>
      </x:c>
      <x:c r="F2944" s="13" t="str">
        <x:v>Early Cyclicals</x:v>
      </x:c>
      <x:c r="G2944" s="13" t="str">
        <x:v>grid_wekqfxnd.xlsx</x:v>
      </x:c>
    </x:row>
    <x:row r="2945">
      <x:c r="A2945" s="15" t="n">
        <x:v>41609</x:v>
      </x:c>
      <x:c r="B2945" s="13" t="str">
        <x:v>ROSSI RESIDENCIAL SA</x:v>
      </x:c>
      <x:c r="C2945" s="16" t="n">
        <x:v>77.54</x:v>
      </x:c>
      <x:c r="D2945" s="13" t="str">
        <x:v>Homebuilders</x:v>
      </x:c>
      <x:c r="E2945" s="13" t="str">
        <x:v>Real Estate</x:v>
      </x:c>
      <x:c r="F2945" s="13" t="str">
        <x:v>Early Cyclicals</x:v>
      </x:c>
      <x:c r="G2945" s="13" t="str">
        <x:v>grid_wekqfxnd.xlsx</x:v>
      </x:c>
    </x:row>
    <x:row r="2946">
      <x:c r="A2946" s="15" t="n">
        <x:v>41609</x:v>
      </x:c>
      <x:c r="B2946" s="13" t="str">
        <x:v>TEGRA INCORPORADORA SA</x:v>
      </x:c>
      <x:c r="C2946" s="16" t="n">
        <x:v>159.14</x:v>
      </x:c>
      <x:c r="D2946" s="13" t="str">
        <x:v>Homebuilders</x:v>
      </x:c>
      <x:c r="E2946" s="13" t="str">
        <x:v>Real Estate</x:v>
      </x:c>
      <x:c r="F2946" s="13" t="str">
        <x:v>Early Cyclicals</x:v>
      </x:c>
      <x:c r="G2946" s="13" t="str">
        <x:v>grid_wekqfxnd.xlsx</x:v>
      </x:c>
    </x:row>
    <x:row r="2947">
      <x:c r="A2947" s="15" t="n">
        <x:v>41609</x:v>
      </x:c>
      <x:c r="B2947" s="13" t="str">
        <x:v>BR MALLS PARTICIPACOES SA</x:v>
      </x:c>
      <x:c r="C2947" s="16" t="n">
        <x:v>574.499968</x:v>
      </x:c>
      <x:c r="D2947" s="13" t="str">
        <x:v>Income Properties</x:v>
      </x:c>
      <x:c r="E2947" s="13" t="str">
        <x:v>Real Estate</x:v>
      </x:c>
      <x:c r="F2947" s="13" t="str">
        <x:v>Early Cyclicals</x:v>
      </x:c>
      <x:c r="G2947" s="13" t="str">
        <x:v>grid_wekqfxnd.xlsx</x:v>
      </x:c>
    </x:row>
    <x:row r="2948">
      <x:c r="A2948" s="15" t="n">
        <x:v>41609</x:v>
      </x:c>
      <x:c r="B2948" s="13" t="str">
        <x:v>SOLID ATIVOS IMOBILIARIOS SA</x:v>
      </x:c>
      <x:c r="C2948" s="16" t="n">
        <x:v>342.5</x:v>
      </x:c>
      <x:c r="D2948" s="13" t="str">
        <x:v>Income Properties</x:v>
      </x:c>
      <x:c r="E2948" s="13" t="str">
        <x:v>Real Estate</x:v>
      </x:c>
      <x:c r="F2948" s="13" t="str">
        <x:v>Early Cyclicals</x:v>
      </x:c>
      <x:c r="G2948" s="13" t="str">
        <x:v>grid_wekqfxnd.xlsx</x:v>
      </x:c>
    </x:row>
    <x:row r="2949">
      <x:c r="A2949" s="15" t="n">
        <x:v>41609</x:v>
      </x:c>
      <x:c r="B2949" s="13" t="str">
        <x:v>BRADESPAR SA -PREF</x:v>
      </x:c>
      <x:c r="C2949" s="16" t="n">
        <x:v>1307.330048</x:v>
      </x:c>
      <x:c r="D2949" s="13" t="str">
        <x:v>Metals &amp; Mining</x:v>
      </x:c>
      <x:c r="E2949" s="13" t="str">
        <x:v>Metals &amp; Mining</x:v>
      </x:c>
      <x:c r="F2949" s="13" t="str">
        <x:v>Deep Cyclicals</x:v>
      </x:c>
      <x:c r="G2949" s="13" t="str">
        <x:v>grid_wekqfxnd.xlsx</x:v>
      </x:c>
    </x:row>
    <x:row r="2950">
      <x:c r="A2950" s="15" t="n">
        <x:v>41609</x:v>
      </x:c>
      <x:c r="B2950" s="13" t="str">
        <x:v>CIA SIDERURGICA NACIONAL SA</x:v>
      </x:c>
      <x:c r="C2950" s="16" t="n">
        <x:v>1368.780032</x:v>
      </x:c>
      <x:c r="D2950" s="13" t="str">
        <x:v>Metals &amp; Mining</x:v>
      </x:c>
      <x:c r="E2950" s="13" t="str">
        <x:v>Metals &amp; Mining</x:v>
      </x:c>
      <x:c r="F2950" s="13" t="str">
        <x:v>Deep Cyclicals</x:v>
      </x:c>
      <x:c r="G2950" s="13" t="str">
        <x:v>grid_wekqfxnd.xlsx</x:v>
      </x:c>
    </x:row>
    <x:row r="2951">
      <x:c r="A2951" s="15" t="n">
        <x:v>41609</x:v>
      </x:c>
      <x:c r="B2951" s="13" t="str">
        <x:v>GERDAU SA-PREF</x:v>
      </x:c>
      <x:c r="C2951" s="16" t="n">
        <x:v>2354.08</x:v>
      </x:c>
      <x:c r="D2951" s="13" t="str">
        <x:v>Metals &amp; Mining</x:v>
      </x:c>
      <x:c r="E2951" s="13" t="str">
        <x:v>Metals &amp; Mining</x:v>
      </x:c>
      <x:c r="F2951" s="13" t="str">
        <x:v>Deep Cyclicals</x:v>
      </x:c>
      <x:c r="G2951" s="13" t="str">
        <x:v>grid_wekqfxnd.xlsx</x:v>
      </x:c>
    </x:row>
    <x:row r="2952">
      <x:c r="A2952" s="15" t="n">
        <x:v>41609</x:v>
      </x:c>
      <x:c r="B2952" s="13" t="str">
        <x:v>METALURGICA GERDAU SA-PREF</x:v>
      </x:c>
      <x:c r="C2952" s="16" t="n">
        <x:v>926</x:v>
      </x:c>
      <x:c r="D2952" s="13" t="str">
        <x:v>Metals &amp; Mining</x:v>
      </x:c>
      <x:c r="E2952" s="13" t="str">
        <x:v>Metals &amp; Mining</x:v>
      </x:c>
      <x:c r="F2952" s="13" t="str">
        <x:v>Deep Cyclicals</x:v>
      </x:c>
      <x:c r="G2952" s="13" t="str">
        <x:v>grid_wekqfxnd.xlsx</x:v>
      </x:c>
    </x:row>
    <x:row r="2953">
      <x:c r="A2953" s="15" t="n">
        <x:v>41609</x:v>
      </x:c>
      <x:c r="B2953" s="13" t="str">
        <x:v>MMX MINERACAO E METALICOS SA</x:v>
      </x:c>
      <x:c r="C2953" s="16" t="n">
        <x:v>-106.968</x:v>
      </x:c>
      <x:c r="D2953" s="13" t="str">
        <x:v>Metals &amp; Mining</x:v>
      </x:c>
      <x:c r="E2953" s="13" t="str">
        <x:v>Metals &amp; Mining</x:v>
      </x:c>
      <x:c r="F2953" s="13" t="str">
        <x:v>Deep Cyclicals</x:v>
      </x:c>
      <x:c r="G2953" s="13" t="str">
        <x:v>grid_wekqfxnd.xlsx</x:v>
      </x:c>
    </x:row>
    <x:row r="2954">
      <x:c r="A2954" s="15" t="n">
        <x:v>41609</x:v>
      </x:c>
      <x:c r="B2954" s="13" t="str">
        <x:v>USINAS SIDER MINAS GER-PF A</x:v>
      </x:c>
      <x:c r="C2954" s="16" t="n">
        <x:v>711.299968</x:v>
      </x:c>
      <x:c r="D2954" s="13" t="str">
        <x:v>Metals &amp; Mining</x:v>
      </x:c>
      <x:c r="E2954" s="13" t="str">
        <x:v>Metals &amp; Mining</x:v>
      </x:c>
      <x:c r="F2954" s="13" t="str">
        <x:v>Deep Cyclicals</x:v>
      </x:c>
      <x:c r="G2954" s="13" t="str">
        <x:v>grid_wekqfxnd.xlsx</x:v>
      </x:c>
    </x:row>
    <x:row r="2955">
      <x:c r="A2955" s="15" t="n">
        <x:v>41609</x:v>
      </x:c>
      <x:c r="B2955" s="13" t="str">
        <x:v>USINAS SIDERURGICAS DE MINAS</x:v>
      </x:c>
      <x:c r="C2955" s="16" t="n">
        <x:v>711.299968</x:v>
      </x:c>
      <x:c r="D2955" s="13" t="str">
        <x:v>Metals &amp; Mining</x:v>
      </x:c>
      <x:c r="E2955" s="13" t="str">
        <x:v>Metals &amp; Mining</x:v>
      </x:c>
      <x:c r="F2955" s="13" t="str">
        <x:v>Deep Cyclicals</x:v>
      </x:c>
      <x:c r="G2955" s="13" t="str">
        <x:v>grid_wekqfxnd.xlsx</x:v>
      </x:c>
    </x:row>
    <x:row r="2956">
      <x:c r="A2956" s="15" t="n">
        <x:v>41609</x:v>
      </x:c>
      <x:c r="B2956" s="13" t="str">
        <x:v>VALE SA</x:v>
      </x:c>
      <x:c r="C2956" s="16" t="n">
        <x:v>25094.299648</x:v>
      </x:c>
      <x:c r="D2956" s="13" t="str">
        <x:v>Metals &amp; Mining</x:v>
      </x:c>
      <x:c r="E2956" s="13" t="str">
        <x:v>Metals &amp; Mining</x:v>
      </x:c>
      <x:c r="F2956" s="13" t="str">
        <x:v>Deep Cyclicals</x:v>
      </x:c>
      <x:c r="G2956" s="13" t="str">
        <x:v>grid_wekqfxnd.xlsx</x:v>
      </x:c>
    </x:row>
    <x:row r="2957">
      <x:c r="A2957" s="15" t="n">
        <x:v>41609</x:v>
      </x:c>
      <x:c r="B2957" s="13" t="str">
        <x:v>BRASKEM SA-PREF A</x:v>
      </x:c>
      <x:c r="C2957" s="16" t="n">
        <x:v>1286</x:v>
      </x:c>
      <x:c r="D2957" s="13" t="str">
        <x:v>Oil, Gas &amp; Petrochemicals</x:v>
      </x:c>
      <x:c r="E2957" s="13" t="str">
        <x:v>Oil, Gas &amp; Petrochemicals</x:v>
      </x:c>
      <x:c r="F2957" s="13" t="str">
        <x:v>Deep Cyclicals</x:v>
      </x:c>
      <x:c r="G2957" s="13" t="str">
        <x:v>grid_wekqfxnd.xlsx</x:v>
      </x:c>
    </x:row>
    <x:row r="2958">
      <x:c r="A2958" s="15" t="n">
        <x:v>41609</x:v>
      </x:c>
      <x:c r="B2958" s="13" t="str">
        <x:v>COSAN SA</x:v>
      </x:c>
      <x:c r="C2958" s="16" t="n">
        <x:v>940.750016</x:v>
      </x:c>
      <x:c r="D2958" s="13" t="str">
        <x:v>Oil, Gas &amp; Petrochemicals</x:v>
      </x:c>
      <x:c r="E2958" s="13" t="str">
        <x:v>Oil, Gas &amp; Petrochemicals</x:v>
      </x:c>
      <x:c r="F2958" s="13" t="str">
        <x:v>Deep Cyclicals</x:v>
      </x:c>
      <x:c r="G2958" s="13" t="str">
        <x:v>grid_wekqfxnd.xlsx</x:v>
      </x:c>
    </x:row>
    <x:row r="2959">
      <x:c r="A2959" s="15" t="n">
        <x:v>41609</x:v>
      </x:c>
      <x:c r="B2959" s="13" t="str">
        <x:v>PETROBRAS - PETROLEO BRAS</x:v>
      </x:c>
      <x:c r="C2959" s="16" t="n">
        <x:v>30840.199168</x:v>
      </x:c>
      <x:c r="D2959" s="13" t="str">
        <x:v>Oil, Gas &amp; Petrochemicals</x:v>
      </x:c>
      <x:c r="E2959" s="13" t="str">
        <x:v>Oil, Gas &amp; Petrochemicals</x:v>
      </x:c>
      <x:c r="F2959" s="13" t="str">
        <x:v>Deep Cyclicals</x:v>
      </x:c>
      <x:c r="G2959" s="13" t="str">
        <x:v>grid_wekqfxnd.xlsx</x:v>
      </x:c>
    </x:row>
    <x:row r="2960">
      <x:c r="A2960" s="15" t="n">
        <x:v>41609</x:v>
      </x:c>
      <x:c r="B2960" s="13" t="str">
        <x:v>ULTRAPAR PARTICIPACOES SA</x:v>
      </x:c>
      <x:c r="C2960" s="16" t="n">
        <x:v>1364.999936</x:v>
      </x:c>
      <x:c r="D2960" s="13" t="str">
        <x:v>Oil, Gas &amp; Petrochemicals</x:v>
      </x:c>
      <x:c r="E2960" s="13" t="str">
        <x:v>Oil, Gas &amp; Petrochemicals</x:v>
      </x:c>
      <x:c r="F2960" s="13" t="str">
        <x:v>Deep Cyclicals</x:v>
      </x:c>
      <x:c r="G2960" s="13" t="str">
        <x:v>grid_wekqfxnd.xlsx</x:v>
      </x:c>
    </x:row>
    <x:row r="2961">
      <x:c r="A2961" s="15" t="n">
        <x:v>41609</x:v>
      </x:c>
      <x:c r="B2961" s="13" t="str">
        <x:v>DEXCO SA</x:v>
      </x:c>
      <x:c r="C2961" s="16" t="n">
        <x:v>632.777984</x:v>
      </x:c>
      <x:c r="D2961" s="13" t="str">
        <x:v>Pulp &amp; Paper</x:v>
      </x:c>
      <x:c r="E2961" s="13" t="str">
        <x:v>Pulp &amp; Paper</x:v>
      </x:c>
      <x:c r="F2961" s="13" t="str">
        <x:v>Deep Cyclicals</x:v>
      </x:c>
      <x:c r="G2961" s="13" t="str">
        <x:v>grid_wekqfxnd.xlsx</x:v>
      </x:c>
    </x:row>
    <x:row r="2962">
      <x:c r="A2962" s="15" t="n">
        <x:v>41609</x:v>
      </x:c>
      <x:c r="B2962" s="13" t="str">
        <x:v>FIBRIA CELULOSE S/A</x:v>
      </x:c>
      <x:c r="C2962" s="16" t="n">
        <x:v>262.208</x:v>
      </x:c>
      <x:c r="D2962" s="13" t="str">
        <x:v>Pulp &amp; Paper</x:v>
      </x:c>
      <x:c r="E2962" s="13" t="str">
        <x:v>Pulp &amp; Paper</x:v>
      </x:c>
      <x:c r="F2962" s="13" t="str">
        <x:v>Deep Cyclicals</x:v>
      </x:c>
      <x:c r="G2962" s="13" t="str">
        <x:v>grid_wekqfxnd.xlsx</x:v>
      </x:c>
    </x:row>
    <x:row r="2963">
      <x:c r="A2963" s="15" t="n">
        <x:v>41609</x:v>
      </x:c>
      <x:c r="B2963" s="13" t="str">
        <x:v>SUZANO PAPEL E CELULO-PREF A</x:v>
      </x:c>
      <x:c r="C2963" s="16" t="n">
        <x:v>382.556</x:v>
      </x:c>
      <x:c r="D2963" s="13" t="str">
        <x:v>Pulp &amp; Paper</x:v>
      </x:c>
      <x:c r="E2963" s="13" t="str">
        <x:v>Pulp &amp; Paper</x:v>
      </x:c>
      <x:c r="F2963" s="13" t="str">
        <x:v>Deep Cyclicals</x:v>
      </x:c>
      <x:c r="G2963" s="13" t="str">
        <x:v>grid_wekqfxnd.xlsx</x:v>
      </x:c>
    </x:row>
    <x:row r="2964">
      <x:c r="A2964" s="15" t="n">
        <x:v>41609</x:v>
      </x:c>
      <x:c r="B2964" s="13" t="str">
        <x:v>AMERICANAS SA</x:v>
      </x:c>
      <x:c r="C2964" s="16" t="n">
        <x:v>-137.54</x:v>
      </x:c>
      <x:c r="D2964" s="13" t="str">
        <x:v>Retail</x:v>
      </x:c>
      <x:c r="E2964" s="13" t="str">
        <x:v>Retail</x:v>
      </x:c>
      <x:c r="F2964" s="13" t="str">
        <x:v>Early Cyclicals</x:v>
      </x:c>
      <x:c r="G2964" s="13" t="str">
        <x:v>grid_wekqfxnd.xlsx</x:v>
      </x:c>
    </x:row>
    <x:row r="2965">
      <x:c r="A2965" s="15" t="n">
        <x:v>41609</x:v>
      </x:c>
      <x:c r="B2965" s="13" t="str">
        <x:v>CIA BRASILEIRA DE DIS-PREF</x:v>
      </x:c>
      <x:c r="C2965" s="16" t="n">
        <x:v>1451.379968</x:v>
      </x:c>
      <x:c r="D2965" s="13" t="str">
        <x:v>Retail</x:v>
      </x:c>
      <x:c r="E2965" s="13" t="str">
        <x:v>Retail</x:v>
      </x:c>
      <x:c r="F2965" s="13" t="str">
        <x:v>Early Cyclicals</x:v>
      </x:c>
      <x:c r="G2965" s="13" t="str">
        <x:v>grid_wekqfxnd.xlsx</x:v>
      </x:c>
    </x:row>
    <x:row r="2966">
      <x:c r="A2966" s="15" t="n">
        <x:v>41609</x:v>
      </x:c>
      <x:c r="B2966" s="13" t="str">
        <x:v>CIA HERING</x:v>
      </x:c>
      <x:c r="C2966" s="16" t="n">
        <x:v>364.785984</x:v>
      </x:c>
      <x:c r="D2966" s="13" t="str">
        <x:v>Retail</x:v>
      </x:c>
      <x:c r="E2966" s="13" t="str">
        <x:v>Retail</x:v>
      </x:c>
      <x:c r="F2966" s="13" t="str">
        <x:v>Early Cyclicals</x:v>
      </x:c>
      <x:c r="G2966" s="13" t="str">
        <x:v>grid_wekqfxnd.xlsx</x:v>
      </x:c>
    </x:row>
    <x:row r="2967">
      <x:c r="A2967" s="15" t="n">
        <x:v>41609</x:v>
      </x:c>
      <x:c r="B2967" s="13" t="str">
        <x:v>LOJAS AMERICANAS SA-PREF</x:v>
      </x:c>
      <x:c r="C2967" s="16" t="n">
        <x:v>550.899968</x:v>
      </x:c>
      <x:c r="D2967" s="13" t="str">
        <x:v>Retail</x:v>
      </x:c>
      <x:c r="E2967" s="13" t="str">
        <x:v>Retail</x:v>
      </x:c>
      <x:c r="F2967" s="13" t="str">
        <x:v>Early Cyclicals</x:v>
      </x:c>
      <x:c r="G2967" s="13" t="str">
        <x:v>grid_wekqfxnd.xlsx</x:v>
      </x:c>
    </x:row>
    <x:row r="2968">
      <x:c r="A2968" s="15" t="n">
        <x:v>41609</x:v>
      </x:c>
      <x:c r="B2968" s="13" t="str">
        <x:v>LOJAS RENNER S.A.</x:v>
      </x:c>
      <x:c r="C2968" s="16" t="n">
        <x:v>434.231008</x:v>
      </x:c>
      <x:c r="D2968" s="13" t="str">
        <x:v>Retail</x:v>
      </x:c>
      <x:c r="E2968" s="13" t="str">
        <x:v>Retail</x:v>
      </x:c>
      <x:c r="F2968" s="13" t="str">
        <x:v>Early Cyclicals</x:v>
      </x:c>
      <x:c r="G2968" s="13" t="str">
        <x:v>grid_wekqfxnd.xlsx</x:v>
      </x:c>
    </x:row>
    <x:row r="2969">
      <x:c r="A2969" s="15" t="n">
        <x:v>41609</x:v>
      </x:c>
      <x:c r="B2969" s="13" t="str">
        <x:v>NATURA COSMETICOS SA</x:v>
      </x:c>
      <x:c r="C2969" s="16" t="n">
        <x:v>952.8</x:v>
      </x:c>
      <x:c r="D2969" s="13" t="str">
        <x:v>Retail</x:v>
      </x:c>
      <x:c r="E2969" s="13" t="str">
        <x:v>Retail</x:v>
      </x:c>
      <x:c r="F2969" s="13" t="str">
        <x:v>Early Cyclicals</x:v>
      </x:c>
      <x:c r="G2969" s="13" t="str">
        <x:v>grid_wekqfxnd.xlsx</x:v>
      </x:c>
    </x:row>
    <x:row r="2970">
      <x:c r="A2970" s="15" t="n">
        <x:v>41609</x:v>
      </x:c>
      <x:c r="B2970" s="13" t="str">
        <x:v>CIA SANEAMENTO BASICO DE SP</x:v>
      </x:c>
      <x:c r="C2970" s="16" t="n">
        <x:v>1972.999936</x:v>
      </x:c>
      <x:c r="D2970" s="13" t="str">
        <x:v>Sanitation</x:v>
      </x:c>
      <x:c r="E2970" s="13" t="str">
        <x:v>Utilities</x:v>
      </x:c>
      <x:c r="F2970" s="13" t="str">
        <x:v>Defensives</x:v>
      </x:c>
      <x:c r="G2970" s="13" t="str">
        <x:v>grid_wekqfxnd.xlsx</x:v>
      </x:c>
    </x:row>
    <x:row r="2971">
      <x:c r="A2971" s="15" t="n">
        <x:v>41609</x:v>
      </x:c>
      <x:c r="B2971" s="13" t="str">
        <x:v>OI S.A.</x:v>
      </x:c>
      <x:c r="C2971" s="16" t="n">
        <x:v>349.428992</x:v>
      </x:c>
      <x:c r="D2971" s="13" t="str">
        <x:v>TMT</x:v>
      </x:c>
      <x:c r="E2971" s="13" t="str">
        <x:v>TMT</x:v>
      </x:c>
      <x:c r="F2971" s="13" t="str">
        <x:v>Early Cyclicals</x:v>
      </x:c>
      <x:c r="G2971" s="13" t="str">
        <x:v>grid_wekqfxnd.xlsx</x:v>
      </x:c>
    </x:row>
    <x:row r="2972">
      <x:c r="A2972" s="15" t="n">
        <x:v>41609</x:v>
      </x:c>
      <x:c r="B2972" s="13" t="str">
        <x:v>OI SA-PREFERENCE</x:v>
      </x:c>
      <x:c r="C2972" s="16" t="n">
        <x:v>349.428992</x:v>
      </x:c>
      <x:c r="D2972" s="13" t="str">
        <x:v>TMT</x:v>
      </x:c>
      <x:c r="E2972" s="13" t="str">
        <x:v>TMT</x:v>
      </x:c>
      <x:c r="F2972" s="13" t="str">
        <x:v>Early Cyclicals</x:v>
      </x:c>
      <x:c r="G2972" s="13" t="str">
        <x:v>grid_wekqfxnd.xlsx</x:v>
      </x:c>
    </x:row>
    <x:row r="2973">
      <x:c r="A2973" s="15" t="n">
        <x:v>41609</x:v>
      </x:c>
      <x:c r="B2973" s="13" t="str">
        <x:v>TELEFONICA BRASIL S.A.-PREF</x:v>
      </x:c>
      <x:c r="C2973" s="16" t="n">
        <x:v>4082.500096</x:v>
      </x:c>
      <x:c r="D2973" s="13" t="str">
        <x:v>TMT</x:v>
      </x:c>
      <x:c r="E2973" s="13" t="str">
        <x:v>TMT</x:v>
      </x:c>
      <x:c r="F2973" s="13" t="str">
        <x:v>Early Cyclicals</x:v>
      </x:c>
      <x:c r="G2973" s="13" t="str">
        <x:v>grid_wekqfxnd.xlsx</x:v>
      </x:c>
    </x:row>
    <x:row r="2974">
      <x:c r="A2974" s="15" t="n">
        <x:v>41609</x:v>
      </x:c>
      <x:c r="B2974" s="13" t="str">
        <x:v>TIM SA</x:v>
      </x:c>
      <x:c r="C2974" s="16" t="n">
        <x:v>1693.299968</x:v>
      </x:c>
      <x:c r="D2974" s="13" t="str">
        <x:v>TMT</x:v>
      </x:c>
      <x:c r="E2974" s="13" t="str">
        <x:v>TMT</x:v>
      </x:c>
      <x:c r="F2974" s="13" t="str">
        <x:v>Early Cyclicals</x:v>
      </x:c>
      <x:c r="G2974" s="13" t="str">
        <x:v>grid_wekqfxnd.xlsx</x:v>
      </x:c>
    </x:row>
    <x:row r="2975">
      <x:c r="A2975" s="15" t="n">
        <x:v>41609</x:v>
      </x:c>
      <x:c r="B2975" s="13" t="str">
        <x:v>GOL LINHAS AEREAS INT SA-PRE</x:v>
      </x:c>
      <x:c r="C2975" s="16" t="n">
        <x:v>-47.5714</x:v>
      </x:c>
      <x:c r="D2975" s="13" t="str">
        <x:v>Transportation</x:v>
      </x:c>
      <x:c r="E2975" s="13" t="str">
        <x:v>Transportation</x:v>
      </x:c>
      <x:c r="F2975" s="13" t="str">
        <x:v>Deep Cyclicals</x:v>
      </x:c>
      <x:c r="G2975" s="13" t="str">
        <x:v>grid_wekqfxnd.xlsx</x:v>
      </x:c>
    </x:row>
    <x:row r="2976">
      <x:c r="A2976" s="15" t="n">
        <x:v>41609</x:v>
      </x:c>
      <x:c r="B2976" s="13" t="str">
        <x:v>LOCALIZA RENT A CAR</x:v>
      </x:c>
      <x:c r="C2976" s="16" t="n">
        <x:v>411.544992</x:v>
      </x:c>
      <x:c r="D2976" s="13" t="str">
        <x:v>Transportation</x:v>
      </x:c>
      <x:c r="E2976" s="13" t="str">
        <x:v>Transportation</x:v>
      </x:c>
      <x:c r="F2976" s="13" t="str">
        <x:v>Deep Cyclicals</x:v>
      </x:c>
      <x:c r="G2976" s="13" t="str">
        <x:v>grid_wekqfxnd.xlsx</x:v>
      </x:c>
    </x:row>
    <x:row r="2977">
      <x:c r="A2977" s="15" t="n">
        <x:v>41609</x:v>
      </x:c>
      <x:c r="B2977" s="13" t="str">
        <x:v>MOTIVA INFRAESTRUTURA DE MOB</x:v>
      </x:c>
      <x:c r="C2977" s="16" t="n">
        <x:v>1812.220032</x:v>
      </x:c>
      <x:c r="D2977" s="13" t="str">
        <x:v>Transportation</x:v>
      </x:c>
      <x:c r="E2977" s="13" t="str">
        <x:v>Transportation</x:v>
      </x:c>
      <x:c r="F2977" s="13" t="str">
        <x:v>Deep Cyclicals</x:v>
      </x:c>
      <x:c r="G2977" s="13" t="str">
        <x:v>grid_wekqfxnd.xlsx</x:v>
      </x:c>
    </x:row>
    <x:row r="2978">
      <x:c r="A2978" s="15" t="n">
        <x:v>41609</x:v>
      </x:c>
      <x:c r="B2978" s="13" t="str">
        <x:v>PRUMO LOGISTICA SA</x:v>
      </x:c>
      <x:c r="C2978" s="16" t="n">
        <x:v>-104</x:v>
      </x:c>
      <x:c r="D2978" s="13" t="str">
        <x:v>Transportation</x:v>
      </x:c>
      <x:c r="E2978" s="13" t="str">
        <x:v>Transportation</x:v>
      </x:c>
      <x:c r="F2978" s="13" t="str">
        <x:v>Deep Cyclicals</x:v>
      </x:c>
      <x:c r="G2978" s="13" t="str">
        <x:v>grid_wekqfxnd.xlsx</x:v>
      </x:c>
    </x:row>
    <x:row r="2979">
      <x:c r="A2979" s="15" t="n">
        <x:v>41609</x:v>
      </x:c>
      <x:c r="B2979" s="13" t="str">
        <x:v>RUMO SA</x:v>
      </x:c>
      <x:c r="C2979" s="16" t="n">
        <x:v>438</x:v>
      </x:c>
      <x:c r="D2979" s="13" t="str">
        <x:v>Transportation</x:v>
      </x:c>
      <x:c r="E2979" s="13" t="str">
        <x:v>Transportation</x:v>
      </x:c>
      <x:c r="F2979" s="13" t="str">
        <x:v>Deep Cyclicals</x:v>
      </x:c>
      <x:c r="G2979" s="13" t="str">
        <x:v>grid_wekqfxnd.xlsx</x:v>
      </x:c>
    </x:row>
    <x:row r="2980">
      <x:c r="A2980" s="15" t="n">
        <x:v>41609</x:v>
      </x:c>
      <x:c r="B2980" s="13" t="str">
        <x:v>AXIA ENERGIA SA</x:v>
      </x:c>
      <x:c r="C2980" s="16" t="n">
        <x:v>2135.000064</x:v>
      </x:c>
      <x:c r="D2980" s="13" t="str">
        <x:v>Utilities &amp; Energy</x:v>
      </x:c>
      <x:c r="E2980" s="13" t="str">
        <x:v>Utilities</x:v>
      </x:c>
      <x:c r="F2980" s="13" t="str">
        <x:v>Defensives</x:v>
      </x:c>
      <x:c r="G2980" s="13" t="str">
        <x:v>grid_wekqfxnd.xlsx</x:v>
      </x:c>
    </x:row>
    <x:row r="2981">
      <x:c r="A2981" s="15" t="n">
        <x:v>41609</x:v>
      </x:c>
      <x:c r="B2981" s="13" t="str">
        <x:v>AXIA ENERGIA-PR B</x:v>
      </x:c>
      <x:c r="C2981" s="16" t="n">
        <x:v>2135.000064</x:v>
      </x:c>
      <x:c r="D2981" s="13" t="str">
        <x:v>Utilities &amp; Energy</x:v>
      </x:c>
      <x:c r="E2981" s="13" t="str">
        <x:v>Utilities</x:v>
      </x:c>
      <x:c r="F2981" s="13" t="str">
        <x:v>Defensives</x:v>
      </x:c>
      <x:c r="G2981" s="13" t="str">
        <x:v>grid_wekqfxnd.xlsx</x:v>
      </x:c>
    </x:row>
    <x:row r="2982">
      <x:c r="A2982" s="15" t="n">
        <x:v>41609</x:v>
      </x:c>
      <x:c r="B2982" s="13" t="str">
        <x:v>CESP - CIA ENERGETICA DE SAO</x:v>
      </x:c>
      <x:c r="C2982" s="16" t="n">
        <x:v>1393.400064</x:v>
      </x:c>
      <x:c r="D2982" s="13" t="str">
        <x:v>Utilities &amp; Energy</x:v>
      </x:c>
      <x:c r="E2982" s="13" t="str">
        <x:v>Utilities</x:v>
      </x:c>
      <x:c r="F2982" s="13" t="str">
        <x:v>Defensives</x:v>
      </x:c>
      <x:c r="G2982" s="13" t="str">
        <x:v>grid_wekqfxnd.xlsx</x:v>
      </x:c>
    </x:row>
    <x:row r="2983">
      <x:c r="A2983" s="15" t="n">
        <x:v>41609</x:v>
      </x:c>
      <x:c r="B2983" s="13" t="str">
        <x:v>CIA ENERGETICA MINAS GER-PRF</x:v>
      </x:c>
      <x:c r="C2983" s="16" t="n">
        <x:v>2532.499968</x:v>
      </x:c>
      <x:c r="D2983" s="13" t="str">
        <x:v>Utilities &amp; Energy</x:v>
      </x:c>
      <x:c r="E2983" s="13" t="str">
        <x:v>Utilities</x:v>
      </x:c>
      <x:c r="F2983" s="13" t="str">
        <x:v>Defensives</x:v>
      </x:c>
      <x:c r="G2983" s="13" t="str">
        <x:v>grid_wekqfxnd.xlsx</x:v>
      </x:c>
    </x:row>
    <x:row r="2984">
      <x:c r="A2984" s="15" t="n">
        <x:v>41609</x:v>
      </x:c>
      <x:c r="B2984" s="13" t="str">
        <x:v>COMPANHIA PARANAENSE -PREF B</x:v>
      </x:c>
      <x:c r="C2984" s="16" t="n">
        <x:v>1228.249984</x:v>
      </x:c>
      <x:c r="D2984" s="13" t="str">
        <x:v>Utilities &amp; Energy</x:v>
      </x:c>
      <x:c r="E2984" s="13" t="str">
        <x:v>Utilities</x:v>
      </x:c>
      <x:c r="F2984" s="13" t="str">
        <x:v>Defensives</x:v>
      </x:c>
      <x:c r="G2984" s="13" t="str">
        <x:v>grid_wekqfxnd.xlsx</x:v>
      </x:c>
    </x:row>
    <x:row r="2985">
      <x:c r="A2985" s="15" t="n">
        <x:v>41609</x:v>
      </x:c>
      <x:c r="B2985" s="13" t="str">
        <x:v>CPFL ENERGIA SA</x:v>
      </x:c>
      <x:c r="C2985" s="16" t="n">
        <x:v>1254.56</x:v>
      </x:c>
      <x:c r="D2985" s="13" t="str">
        <x:v>Utilities &amp; Energy</x:v>
      </x:c>
      <x:c r="E2985" s="13" t="str">
        <x:v>Utilities</x:v>
      </x:c>
      <x:c r="F2985" s="13" t="str">
        <x:v>Defensives</x:v>
      </x:c>
      <x:c r="G2985" s="13" t="str">
        <x:v>grid_wekqfxnd.xlsx</x:v>
      </x:c>
    </x:row>
    <x:row r="2986">
      <x:c r="A2986" s="15" t="n">
        <x:v>41609</x:v>
      </x:c>
      <x:c r="B2986" s="13" t="str">
        <x:v>EDP - ENERGIAS DO BRASIL SA</x:v>
      </x:c>
      <x:c r="C2986" s="16" t="n">
        <x:v>598.6</x:v>
      </x:c>
      <x:c r="D2986" s="13" t="str">
        <x:v>Utilities &amp; Energy</x:v>
      </x:c>
      <x:c r="E2986" s="13" t="str">
        <x:v>Utilities</x:v>
      </x:c>
      <x:c r="F2986" s="13" t="str">
        <x:v>Defensives</x:v>
      </x:c>
      <x:c r="G2986" s="13" t="str">
        <x:v>grid_wekqfxnd.xlsx</x:v>
      </x:c>
    </x:row>
    <x:row r="2987">
      <x:c r="A2987" s="15" t="n">
        <x:v>41609</x:v>
      </x:c>
      <x:c r="B2987" s="13" t="str">
        <x:v>ELETROPAULO METROPOLI-PREF</x:v>
      </x:c>
      <x:c r="C2987" s="16" t="n">
        <x:v>-219.512</x:v>
      </x:c>
      <x:c r="D2987" s="13" t="str">
        <x:v>Utilities &amp; Energy</x:v>
      </x:c>
      <x:c r="E2987" s="13" t="str">
        <x:v>Utilities</x:v>
      </x:c>
      <x:c r="F2987" s="13" t="str">
        <x:v>Defensives</x:v>
      </x:c>
      <x:c r="G2987" s="13" t="str">
        <x:v>grid_wekqfxnd.xlsx</x:v>
      </x:c>
    </x:row>
    <x:row r="2988">
      <x:c r="A2988" s="15" t="n">
        <x:v>41609</x:v>
      </x:c>
      <x:c r="B2988" s="13" t="str">
        <x:v>ISA ENERGIA BRASIL SA</x:v>
      </x:c>
      <x:c r="C2988" s="16" t="n">
        <x:v>564.4</x:v>
      </x:c>
      <x:c r="D2988" s="13" t="str">
        <x:v>Utilities &amp; Energy</x:v>
      </x:c>
      <x:c r="E2988" s="13" t="str">
        <x:v>Utilities</x:v>
      </x:c>
      <x:c r="F2988" s="13" t="str">
        <x:v>Defensives</x:v>
      </x:c>
      <x:c r="G2988" s="13" t="str">
        <x:v>grid_wekqfxnd.xlsx</x:v>
      </x:c>
    </x:row>
    <x:row r="2989">
      <x:c r="A2989" s="15" t="n">
        <x:v>41609</x:v>
      </x:c>
      <x:c r="B2989" s="13" t="str">
        <x:v>LIGHT SA</x:v>
      </x:c>
      <x:c r="C2989" s="16" t="n">
        <x:v>503.444</x:v>
      </x:c>
      <x:c r="D2989" s="13" t="str">
        <x:v>Utilities &amp; Energy</x:v>
      </x:c>
      <x:c r="E2989" s="13" t="str">
        <x:v>Utilities</x:v>
      </x:c>
      <x:c r="F2989" s="13" t="str">
        <x:v>Defensives</x:v>
      </x:c>
      <x:c r="G2989" s="13" t="str">
        <x:v>grid_wekqfxnd.xlsx</x:v>
      </x:c>
    </x:row>
    <x:row r="2990">
      <x:c r="A2990" s="15" t="n">
        <x:v>41640</x:v>
      </x:c>
      <x:c r="B2990" s="13" t="str">
        <x:v>BANCO BRADESCO S.A.</x:v>
      </x:c>
      <x:c r="C2990" s="16" t="n">
        <x:v>13751.2977674521</x:v>
      </x:c>
      <x:c r="D2990" s="13" t="str">
        <x:v>Banks</x:v>
      </x:c>
      <x:c r="E2990" s="13" t="str">
        <x:v>Banks</x:v>
      </x:c>
      <x:c r="F2990" s="13" t="str">
        <x:v>Financials</x:v>
      </x:c>
      <x:c r="G2990" s="13" t="str">
        <x:v>grid_asitui1y.xlsx</x:v>
      </x:c>
    </x:row>
    <x:row r="2991">
      <x:c r="A2991" s="15" t="n">
        <x:v>41640</x:v>
      </x:c>
      <x:c r="B2991" s="13" t="str">
        <x:v>BANCO BRADESCO SA-PREF</x:v>
      </x:c>
      <x:c r="C2991" s="16" t="n">
        <x:v>13751.2977674521</x:v>
      </x:c>
      <x:c r="D2991" s="13" t="str">
        <x:v>Banks</x:v>
      </x:c>
      <x:c r="E2991" s="13" t="str">
        <x:v>Banks</x:v>
      </x:c>
      <x:c r="F2991" s="13" t="str">
        <x:v>Financials</x:v>
      </x:c>
      <x:c r="G2991" s="13" t="str">
        <x:v>grid_asitui1y.xlsx</x:v>
      </x:c>
    </x:row>
    <x:row r="2992">
      <x:c r="A2992" s="15" t="n">
        <x:v>41640</x:v>
      </x:c>
      <x:c r="B2992" s="13" t="str">
        <x:v>BANCO DO BRASIL S.A.</x:v>
      </x:c>
      <x:c r="C2992" s="16" t="n">
        <x:v>11119.4424249863</x:v>
      </x:c>
      <x:c r="D2992" s="13" t="str">
        <x:v>Banks</x:v>
      </x:c>
      <x:c r="E2992" s="13" t="str">
        <x:v>Banks</x:v>
      </x:c>
      <x:c r="F2992" s="13" t="str">
        <x:v>Financials</x:v>
      </x:c>
      <x:c r="G2992" s="13" t="str">
        <x:v>grid_asitui1y.xlsx</x:v>
      </x:c>
    </x:row>
    <x:row r="2993">
      <x:c r="A2993" s="15" t="n">
        <x:v>41640</x:v>
      </x:c>
      <x:c r="B2993" s="13" t="str">
        <x:v>BANCO SANTANDER  BRASIL-UNIT</x:v>
      </x:c>
      <x:c r="C2993" s="16" t="n">
        <x:v>5820.6751351233</x:v>
      </x:c>
      <x:c r="D2993" s="13" t="str">
        <x:v>Banks</x:v>
      </x:c>
      <x:c r="E2993" s="13" t="str">
        <x:v>Banks</x:v>
      </x:c>
      <x:c r="F2993" s="13" t="str">
        <x:v>Financials</x:v>
      </x:c>
      <x:c r="G2993" s="13" t="str">
        <x:v>grid_asitui1y.xlsx</x:v>
      </x:c>
    </x:row>
    <x:row r="2994">
      <x:c r="A2994" s="15" t="n">
        <x:v>41640</x:v>
      </x:c>
      <x:c r="B2994" s="13" t="str">
        <x:v>ITAU UNIBANCO HOLDING S-PREF</x:v>
      </x:c>
      <x:c r="C2994" s="16" t="n">
        <x:v>17381.7203557699</x:v>
      </x:c>
      <x:c r="D2994" s="13" t="str">
        <x:v>Banks</x:v>
      </x:c>
      <x:c r="E2994" s="13" t="str">
        <x:v>Banks</x:v>
      </x:c>
      <x:c r="F2994" s="13" t="str">
        <x:v>Financials</x:v>
      </x:c>
      <x:c r="G2994" s="13" t="str">
        <x:v>grid_asitui1y.xlsx</x:v>
      </x:c>
    </x:row>
    <x:row r="2995">
      <x:c r="A2995" s="15" t="n">
        <x:v>41640</x:v>
      </x:c>
      <x:c r="B2995" s="13" t="str">
        <x:v>EMBRAER SA</x:v>
      </x:c>
      <x:c r="C2995" s="16" t="n">
        <x:v>989.3954219836</x:v>
      </x:c>
      <x:c r="D2995" s="13" t="str">
        <x:v>Capital Goods</x:v>
      </x:c>
      <x:c r="E2995" s="13" t="str">
        <x:v>Capital Goods</x:v>
      </x:c>
      <x:c r="F2995" s="13" t="str">
        <x:v>Deep Cyclicals</x:v>
      </x:c>
      <x:c r="G2995" s="13" t="str">
        <x:v>grid_asitui1y.xlsx</x:v>
      </x:c>
    </x:row>
    <x:row r="2996">
      <x:c r="A2996" s="15" t="n">
        <x:v>41640</x:v>
      </x:c>
      <x:c r="B2996" s="13" t="str">
        <x:v>ANHANGUERA EDUCACIONAL PARTI</x:v>
      </x:c>
      <x:c r="C2996" s="16" t="n">
        <x:v>304.891187463</x:v>
      </x:c>
      <x:c r="D2996" s="13" t="str">
        <x:v>Education</x:v>
      </x:c>
      <x:c r="E2996" s="13" t="str">
        <x:v>Education</x:v>
      </x:c>
      <x:c r="F2996" s="13" t="str">
        <x:v>Early Cyclicals</x:v>
      </x:c>
      <x:c r="G2996" s="13" t="str">
        <x:v>grid_asitui1y.xlsx</x:v>
      </x:c>
    </x:row>
    <x:row r="2997">
      <x:c r="A2997" s="15" t="n">
        <x:v>41640</x:v>
      </x:c>
      <x:c r="B2997" s="13" t="str">
        <x:v>COGNA EDUCACAO</x:v>
      </x:c>
      <x:c r="C2997" s="16" t="n">
        <x:v>661.929465337</x:v>
      </x:c>
      <x:c r="D2997" s="13" t="str">
        <x:v>Education</x:v>
      </x:c>
      <x:c r="E2997" s="13" t="str">
        <x:v>Education</x:v>
      </x:c>
      <x:c r="F2997" s="13" t="str">
        <x:v>Early Cyclicals</x:v>
      </x:c>
      <x:c r="G2997" s="13" t="str">
        <x:v>grid_asitui1y.xlsx</x:v>
      </x:c>
    </x:row>
    <x:row r="2998">
      <x:c r="A2998" s="15" t="n">
        <x:v>41640</x:v>
      </x:c>
      <x:c r="B2998" s="13" t="str">
        <x:v>YDUQS PARTICIPACOES SA</x:v>
      </x:c>
      <x:c r="C2998" s="16" t="n">
        <x:v>363.4482940493</x:v>
      </x:c>
      <x:c r="D2998" s="13" t="str">
        <x:v>Education</x:v>
      </x:c>
      <x:c r="E2998" s="13" t="str">
        <x:v>Education</x:v>
      </x:c>
      <x:c r="F2998" s="13" t="str">
        <x:v>Early Cyclicals</x:v>
      </x:c>
      <x:c r="G2998" s="13" t="str">
        <x:v>grid_asitui1y.xlsx</x:v>
      </x:c>
    </x:row>
    <x:row r="2999">
      <x:c r="A2999" s="15" t="n">
        <x:v>41640</x:v>
      </x:c>
      <x:c r="B2999" s="13" t="str">
        <x:v>B3 SA-BRASIL BOLSA BALCAO</x:v>
      </x:c>
      <x:c r="C2999" s="16" t="n">
        <x:v>1558.8919387178</x:v>
      </x:c>
      <x:c r="D2999" s="13" t="str">
        <x:v>Financials Non-Banks</x:v>
      </x:c>
      <x:c r="E2999" s="13" t="str">
        <x:v>Financials Non-Banks</x:v>
      </x:c>
      <x:c r="F2999" s="13" t="str">
        <x:v>Financials</x:v>
      </x:c>
      <x:c r="G2999" s="13" t="str">
        <x:v>grid_asitui1y.xlsx</x:v>
      </x:c>
    </x:row>
    <x:row r="3000">
      <x:c r="A3000" s="15" t="n">
        <x:v>41640</x:v>
      </x:c>
      <x:c r="B3000" s="13" t="str">
        <x:v>BB SEGURIDADE PARTICIPACOES</x:v>
      </x:c>
      <x:c r="C3000" s="16" t="n">
        <x:v>2856.8516278356</x:v>
      </x:c>
      <x:c r="D3000" s="13" t="str">
        <x:v>Financials Non-Banks</x:v>
      </x:c>
      <x:c r="E3000" s="13" t="str">
        <x:v>Financials Non-Banks</x:v>
      </x:c>
      <x:c r="F3000" s="13" t="str">
        <x:v>Financials</x:v>
      </x:c>
      <x:c r="G3000" s="13" t="str">
        <x:v>grid_asitui1y.xlsx</x:v>
      </x:c>
    </x:row>
    <x:row r="3001">
      <x:c r="A3001" s="15" t="n">
        <x:v>41640</x:v>
      </x:c>
      <x:c r="B3001" s="13" t="str">
        <x:v>CETIP SA-MERCADOS ORGANIZADO</x:v>
      </x:c>
      <x:c r="C3001" s="16" t="n">
        <x:v>469.7222609534</x:v>
      </x:c>
      <x:c r="D3001" s="13" t="str">
        <x:v>Financials Non-Banks</x:v>
      </x:c>
      <x:c r="E3001" s="13" t="str">
        <x:v>Financials Non-Banks</x:v>
      </x:c>
      <x:c r="F3001" s="13" t="str">
        <x:v>Financials</x:v>
      </x:c>
      <x:c r="G3001" s="13" t="str">
        <x:v>grid_asitui1y.xlsx</x:v>
      </x:c>
    </x:row>
    <x:row r="3002">
      <x:c r="A3002" s="15" t="n">
        <x:v>41640</x:v>
      </x:c>
      <x:c r="B3002" s="13" t="str">
        <x:v>CIELO SA - INSTITUICAO DE PA</x:v>
      </x:c>
      <x:c r="C3002" s="16" t="n">
        <x:v>3024.8154069918</x:v>
      </x:c>
      <x:c r="D3002" s="13" t="str">
        <x:v>Financials Non-Banks</x:v>
      </x:c>
      <x:c r="E3002" s="13" t="str">
        <x:v>Financials Non-Banks</x:v>
      </x:c>
      <x:c r="F3002" s="13" t="str">
        <x:v>Financials</x:v>
      </x:c>
      <x:c r="G3002" s="13" t="str">
        <x:v>grid_asitui1y.xlsx</x:v>
      </x:c>
    </x:row>
    <x:row r="3003">
      <x:c r="A3003" s="15" t="n">
        <x:v>41640</x:v>
      </x:c>
      <x:c r="B3003" s="13" t="str">
        <x:v>ITAUSA SA</x:v>
      </x:c>
      <x:c r="C3003" s="16" t="n">
        <x:v>6955.5589681096</x:v>
      </x:c>
      <x:c r="D3003" s="13" t="str">
        <x:v>Financials Non-Banks</x:v>
      </x:c>
      <x:c r="E3003" s="13" t="str">
        <x:v>Financials Non-Banks</x:v>
      </x:c>
      <x:c r="F3003" s="13" t="str">
        <x:v>Financials</x:v>
      </x:c>
      <x:c r="G3003" s="13" t="str">
        <x:v>grid_asitui1y.xlsx</x:v>
      </x:c>
    </x:row>
    <x:row r="3004">
      <x:c r="A3004" s="15" t="n">
        <x:v>41640</x:v>
      </x:c>
      <x:c r="B3004" s="13" t="str">
        <x:v>AMBEV SA</x:v>
      </x:c>
      <x:c r="C3004" s="16" t="n">
        <x:v>12981.5469743342</x:v>
      </x:c>
      <x:c r="D3004" s="13" t="str">
        <x:v>Food &amp; Beverages</x:v>
      </x:c>
      <x:c r="E3004" s="13" t="str">
        <x:v>Agri, Food &amp; Beverages</x:v>
      </x:c>
      <x:c r="F3004" s="13" t="str">
        <x:v>Defensives</x:v>
      </x:c>
      <x:c r="G3004" s="13" t="str">
        <x:v>grid_asitui1y.xlsx</x:v>
      </x:c>
    </x:row>
    <x:row r="3005">
      <x:c r="A3005" s="15" t="n">
        <x:v>41640</x:v>
      </x:c>
      <x:c r="B3005" s="13" t="str">
        <x:v>BRF SA</x:v>
      </x:c>
      <x:c r="C3005" s="16" t="n">
        <x:v>2107.8880059616</x:v>
      </x:c>
      <x:c r="D3005" s="13" t="str">
        <x:v>Food &amp; Beverages</x:v>
      </x:c>
      <x:c r="E3005" s="13" t="str">
        <x:v>Agri, Food &amp; Beverages</x:v>
      </x:c>
      <x:c r="F3005" s="13" t="str">
        <x:v>Defensives</x:v>
      </x:c>
      <x:c r="G3005" s="13" t="str">
        <x:v>grid_asitui1y.xlsx</x:v>
      </x:c>
    </x:row>
    <x:row r="3006">
      <x:c r="A3006" s="15" t="n">
        <x:v>41640</x:v>
      </x:c>
      <x:c r="B3006" s="13" t="str">
        <x:v>MBRF GLOBAL FOODS COMPANY SA</x:v>
      </x:c>
      <x:c r="C3006" s="16" t="n">
        <x:v>141.6874157589</x:v>
      </x:c>
      <x:c r="D3006" s="13" t="str">
        <x:v>Food &amp; Beverages</x:v>
      </x:c>
      <x:c r="E3006" s="13" t="str">
        <x:v>Agri, Food &amp; Beverages</x:v>
      </x:c>
      <x:c r="F3006" s="13" t="str">
        <x:v>Defensives</x:v>
      </x:c>
      <x:c r="G3006" s="13" t="str">
        <x:v>grid_asitui1y.xlsx</x:v>
      </x:c>
    </x:row>
    <x:row r="3007">
      <x:c r="A3007" s="15" t="n">
        <x:v>41640</x:v>
      </x:c>
      <x:c r="B3007" s="13" t="str">
        <x:v>SOUZA CRUZ LTDA</x:v>
      </x:c>
      <x:c r="C3007" s="16" t="n">
        <x:v>1945.9658836164</x:v>
      </x:c>
      <x:c r="D3007" s="13" t="str">
        <x:v>Food &amp; Beverages</x:v>
      </x:c>
      <x:c r="E3007" s="13" t="str">
        <x:v>Agri, Food &amp; Beverages</x:v>
      </x:c>
      <x:c r="F3007" s="13" t="str">
        <x:v>Defensives</x:v>
      </x:c>
      <x:c r="G3007" s="13" t="str">
        <x:v>grid_asitui1y.xlsx</x:v>
      </x:c>
    </x:row>
    <x:row r="3008">
      <x:c r="A3008" s="15" t="n">
        <x:v>41640</x:v>
      </x:c>
      <x:c r="B3008" s="13" t="str">
        <x:v>DIAGNOSTICOS DA AMERICA SA</x:v>
      </x:c>
      <x:c r="C3008" s="16" t="n">
        <x:v>173.7569408877</x:v>
      </x:c>
      <x:c r="D3008" s="13" t="str">
        <x:v>Health Care</x:v>
      </x:c>
      <x:c r="E3008" s="13" t="str">
        <x:v>Health Care</x:v>
      </x:c>
      <x:c r="F3008" s="13" t="str">
        <x:v>Defensives</x:v>
      </x:c>
      <x:c r="G3008" s="13" t="str">
        <x:v>grid_asitui1y.xlsx</x:v>
      </x:c>
    </x:row>
    <x:row r="3009">
      <x:c r="A3009" s="15" t="n">
        <x:v>41640</x:v>
      </x:c>
      <x:c r="B3009" s="13" t="str">
        <x:v>HYPERA SA</x:v>
      </x:c>
      <x:c r="C3009" s="16" t="n">
        <x:v>498.7632483945</x:v>
      </x:c>
      <x:c r="D3009" s="13" t="str">
        <x:v>Health Care</x:v>
      </x:c>
      <x:c r="E3009" s="13" t="str">
        <x:v>Health Care</x:v>
      </x:c>
      <x:c r="F3009" s="13" t="str">
        <x:v>Defensives</x:v>
      </x:c>
      <x:c r="G3009" s="13" t="str">
        <x:v>grid_asitui1y.xlsx</x:v>
      </x:c>
    </x:row>
    <x:row r="3010">
      <x:c r="A3010" s="15" t="n">
        <x:v>41640</x:v>
      </x:c>
      <x:c r="B3010" s="13" t="str">
        <x:v>QUALICORP CONS E CORR SEG SA</x:v>
      </x:c>
      <x:c r="C3010" s="16" t="n">
        <x:v>269.9786830904</x:v>
      </x:c>
      <x:c r="D3010" s="13" t="str">
        <x:v>Health Care</x:v>
      </x:c>
      <x:c r="E3010" s="13" t="str">
        <x:v>Health Care</x:v>
      </x:c>
      <x:c r="F3010" s="13" t="str">
        <x:v>Defensives</x:v>
      </x:c>
      <x:c r="G3010" s="13" t="str">
        <x:v>grid_asitui1y.xlsx</x:v>
      </x:c>
    </x:row>
    <x:row r="3011">
      <x:c r="A3011" s="15" t="n">
        <x:v>41640</x:v>
      </x:c>
      <x:c r="B3011" s="13" t="str">
        <x:v>CYRELA BRAZIL REALTY SA EMP</x:v>
      </x:c>
      <x:c r="C3011" s="16" t="n">
        <x:v>826.768352263</x:v>
      </x:c>
      <x:c r="D3011" s="13" t="str">
        <x:v>Homebuilders</x:v>
      </x:c>
      <x:c r="E3011" s="13" t="str">
        <x:v>Real Estate</x:v>
      </x:c>
      <x:c r="F3011" s="13" t="str">
        <x:v>Early Cyclicals</x:v>
      </x:c>
      <x:c r="G3011" s="13" t="str">
        <x:v>grid_asitui1y.xlsx</x:v>
      </x:c>
    </x:row>
    <x:row r="3012">
      <x:c r="A3012" s="15" t="n">
        <x:v>41640</x:v>
      </x:c>
      <x:c r="B3012" s="13" t="str">
        <x:v>EVEN CONSTRUTORA E INCORPORA</x:v>
      </x:c>
      <x:c r="C3012" s="16" t="n">
        <x:v>342.8991780822</x:v>
      </x:c>
      <x:c r="D3012" s="13" t="str">
        <x:v>Homebuilders</x:v>
      </x:c>
      <x:c r="E3012" s="13" t="str">
        <x:v>Real Estate</x:v>
      </x:c>
      <x:c r="F3012" s="13" t="str">
        <x:v>Early Cyclicals</x:v>
      </x:c>
      <x:c r="G3012" s="13" t="str">
        <x:v>grid_asitui1y.xlsx</x:v>
      </x:c>
    </x:row>
    <x:row r="3013">
      <x:c r="A3013" s="15" t="n">
        <x:v>41640</x:v>
      </x:c>
      <x:c r="B3013" s="13" t="str">
        <x:v>GAFISA SA</x:v>
      </x:c>
      <x:c r="C3013" s="16" t="n">
        <x:v>127.935139726</x:v>
      </x:c>
      <x:c r="D3013" s="13" t="str">
        <x:v>Homebuilders</x:v>
      </x:c>
      <x:c r="E3013" s="13" t="str">
        <x:v>Real Estate</x:v>
      </x:c>
      <x:c r="F3013" s="13" t="str">
        <x:v>Early Cyclicals</x:v>
      </x:c>
      <x:c r="G3013" s="13" t="str">
        <x:v>grid_asitui1y.xlsx</x:v>
      </x:c>
    </x:row>
    <x:row r="3014">
      <x:c r="A3014" s="15" t="n">
        <x:v>41640</x:v>
      </x:c>
      <x:c r="B3014" s="13" t="str">
        <x:v>MRV ENGENHARIA</x:v>
      </x:c>
      <x:c r="C3014" s="16" t="n">
        <x:v>578.608327189</x:v>
      </x:c>
      <x:c r="D3014" s="13" t="str">
        <x:v>Homebuilders</x:v>
      </x:c>
      <x:c r="E3014" s="13" t="str">
        <x:v>Real Estate</x:v>
      </x:c>
      <x:c r="F3014" s="13" t="str">
        <x:v>Early Cyclicals</x:v>
      </x:c>
      <x:c r="G3014" s="13" t="str">
        <x:v>grid_asitui1y.xlsx</x:v>
      </x:c>
    </x:row>
    <x:row r="3015">
      <x:c r="A3015" s="15" t="n">
        <x:v>41640</x:v>
      </x:c>
      <x:c r="B3015" s="13" t="str">
        <x:v>PDG REALTY SA</x:v>
      </x:c>
      <x:c r="C3015" s="16" t="n">
        <x:v>-72.153623189</x:v>
      </x:c>
      <x:c r="D3015" s="13" t="str">
        <x:v>Homebuilders</x:v>
      </x:c>
      <x:c r="E3015" s="13" t="str">
        <x:v>Real Estate</x:v>
      </x:c>
      <x:c r="F3015" s="13" t="str">
        <x:v>Early Cyclicals</x:v>
      </x:c>
      <x:c r="G3015" s="13" t="str">
        <x:v>grid_asitui1y.xlsx</x:v>
      </x:c>
    </x:row>
    <x:row r="3016">
      <x:c r="A3016" s="15" t="n">
        <x:v>41640</x:v>
      </x:c>
      <x:c r="B3016" s="13" t="str">
        <x:v>ROSSI RESIDENCIAL SA</x:v>
      </x:c>
      <x:c r="C3016" s="16" t="n">
        <x:v>83.671890411</x:v>
      </x:c>
      <x:c r="D3016" s="13" t="str">
        <x:v>Homebuilders</x:v>
      </x:c>
      <x:c r="E3016" s="13" t="str">
        <x:v>Real Estate</x:v>
      </x:c>
      <x:c r="F3016" s="13" t="str">
        <x:v>Early Cyclicals</x:v>
      </x:c>
      <x:c r="G3016" s="13" t="str">
        <x:v>grid_asitui1y.xlsx</x:v>
      </x:c>
    </x:row>
    <x:row r="3017">
      <x:c r="A3017" s="15" t="n">
        <x:v>41640</x:v>
      </x:c>
      <x:c r="B3017" s="13" t="str">
        <x:v>TEGRA INCORPORADORA SA</x:v>
      </x:c>
      <x:c r="C3017" s="16" t="n">
        <x:v>77.4486027397</x:v>
      </x:c>
      <x:c r="D3017" s="13" t="str">
        <x:v>Homebuilders</x:v>
      </x:c>
      <x:c r="E3017" s="13" t="str">
        <x:v>Real Estate</x:v>
      </x:c>
      <x:c r="F3017" s="13" t="str">
        <x:v>Early Cyclicals</x:v>
      </x:c>
      <x:c r="G3017" s="13" t="str">
        <x:v>grid_asitui1y.xlsx</x:v>
      </x:c>
    </x:row>
    <x:row r="3018">
      <x:c r="A3018" s="15" t="n">
        <x:v>41640</x:v>
      </x:c>
      <x:c r="B3018" s="13" t="str">
        <x:v>BR MALLS PARTICIPACOES SA</x:v>
      </x:c>
      <x:c r="C3018" s="16" t="n">
        <x:v>581.8362794082</x:v>
      </x:c>
      <x:c r="D3018" s="13" t="str">
        <x:v>Income Properties</x:v>
      </x:c>
      <x:c r="E3018" s="13" t="str">
        <x:v>Real Estate</x:v>
      </x:c>
      <x:c r="F3018" s="13" t="str">
        <x:v>Early Cyclicals</x:v>
      </x:c>
      <x:c r="G3018" s="13" t="str">
        <x:v>grid_asitui1y.xlsx</x:v>
      </x:c>
    </x:row>
    <x:row r="3019">
      <x:c r="A3019" s="15" t="n">
        <x:v>41640</x:v>
      </x:c>
      <x:c r="B3019" s="13" t="str">
        <x:v>SOLID ATIVOS IMOBILIARIOS SA</x:v>
      </x:c>
      <x:c r="C3019" s="16" t="n">
        <x:v>333.9286518356</x:v>
      </x:c>
      <x:c r="D3019" s="13" t="str">
        <x:v>Income Properties</x:v>
      </x:c>
      <x:c r="E3019" s="13" t="str">
        <x:v>Real Estate</x:v>
      </x:c>
      <x:c r="F3019" s="13" t="str">
        <x:v>Early Cyclicals</x:v>
      </x:c>
      <x:c r="G3019" s="13" t="str">
        <x:v>grid_asitui1y.xlsx</x:v>
      </x:c>
    </x:row>
    <x:row r="3020">
      <x:c r="A3020" s="15" t="n">
        <x:v>41640</x:v>
      </x:c>
      <x:c r="B3020" s="13" t="str">
        <x:v>BRADESPAR SA -PREF</x:v>
      </x:c>
      <x:c r="C3020" s="16" t="n">
        <x:v>1314.1705096767</x:v>
      </x:c>
      <x:c r="D3020" s="13" t="str">
        <x:v>Metals &amp; Mining</x:v>
      </x:c>
      <x:c r="E3020" s="13" t="str">
        <x:v>Metals &amp; Mining</x:v>
      </x:c>
      <x:c r="F3020" s="13" t="str">
        <x:v>Deep Cyclicals</x:v>
      </x:c>
      <x:c r="G3020" s="13" t="str">
        <x:v>grid_asitui1y.xlsx</x:v>
      </x:c>
    </x:row>
    <x:row r="3021">
      <x:c r="A3021" s="15" t="n">
        <x:v>41640</x:v>
      </x:c>
      <x:c r="B3021" s="13" t="str">
        <x:v>CIA SIDERURGICA NACIONAL SA</x:v>
      </x:c>
      <x:c r="C3021" s="16" t="n">
        <x:v>1506.9193191452</x:v>
      </x:c>
      <x:c r="D3021" s="13" t="str">
        <x:v>Metals &amp; Mining</x:v>
      </x:c>
      <x:c r="E3021" s="13" t="str">
        <x:v>Metals &amp; Mining</x:v>
      </x:c>
      <x:c r="F3021" s="13" t="str">
        <x:v>Deep Cyclicals</x:v>
      </x:c>
      <x:c r="G3021" s="13" t="str">
        <x:v>grid_asitui1y.xlsx</x:v>
      </x:c>
    </x:row>
    <x:row r="3022">
      <x:c r="A3022" s="15" t="n">
        <x:v>41640</x:v>
      </x:c>
      <x:c r="B3022" s="13" t="str">
        <x:v>GERDAU SA-PREF</x:v>
      </x:c>
      <x:c r="C3022" s="16" t="n">
        <x:v>2411.5485794192</x:v>
      </x:c>
      <x:c r="D3022" s="13" t="str">
        <x:v>Metals &amp; Mining</x:v>
      </x:c>
      <x:c r="E3022" s="13" t="str">
        <x:v>Metals &amp; Mining</x:v>
      </x:c>
      <x:c r="F3022" s="13" t="str">
        <x:v>Deep Cyclicals</x:v>
      </x:c>
      <x:c r="G3022" s="13" t="str">
        <x:v>grid_asitui1y.xlsx</x:v>
      </x:c>
    </x:row>
    <x:row r="3023">
      <x:c r="A3023" s="15" t="n">
        <x:v>41640</x:v>
      </x:c>
      <x:c r="B3023" s="13" t="str">
        <x:v>METALURGICA GERDAU SA-PREF</x:v>
      </x:c>
      <x:c r="C3023" s="16" t="n">
        <x:v>1022.9643835616</x:v>
      </x:c>
      <x:c r="D3023" s="13" t="str">
        <x:v>Metals &amp; Mining</x:v>
      </x:c>
      <x:c r="E3023" s="13" t="str">
        <x:v>Metals &amp; Mining</x:v>
      </x:c>
      <x:c r="F3023" s="13" t="str">
        <x:v>Deep Cyclicals</x:v>
      </x:c>
      <x:c r="G3023" s="13" t="str">
        <x:v>grid_asitui1y.xlsx</x:v>
      </x:c>
    </x:row>
    <x:row r="3024">
      <x:c r="A3024" s="15" t="n">
        <x:v>41640</x:v>
      </x:c>
      <x:c r="B3024" s="13" t="str">
        <x:v>USINAS SIDER MINAS GER-PF A</x:v>
      </x:c>
      <x:c r="C3024" s="16" t="n">
        <x:v>773.3760655781</x:v>
      </x:c>
      <x:c r="D3024" s="13" t="str">
        <x:v>Metals &amp; Mining</x:v>
      </x:c>
      <x:c r="E3024" s="13" t="str">
        <x:v>Metals &amp; Mining</x:v>
      </x:c>
      <x:c r="F3024" s="13" t="str">
        <x:v>Deep Cyclicals</x:v>
      </x:c>
      <x:c r="G3024" s="13" t="str">
        <x:v>grid_asitui1y.xlsx</x:v>
      </x:c>
    </x:row>
    <x:row r="3025">
      <x:c r="A3025" s="15" t="n">
        <x:v>41640</x:v>
      </x:c>
      <x:c r="B3025" s="13" t="str">
        <x:v>VALE SA</x:v>
      </x:c>
      <x:c r="C3025" s="16" t="n">
        <x:v>25396.6573343562</x:v>
      </x:c>
      <x:c r="D3025" s="13" t="str">
        <x:v>Metals &amp; Mining</x:v>
      </x:c>
      <x:c r="E3025" s="13" t="str">
        <x:v>Metals &amp; Mining</x:v>
      </x:c>
      <x:c r="F3025" s="13" t="str">
        <x:v>Deep Cyclicals</x:v>
      </x:c>
      <x:c r="G3025" s="13" t="str">
        <x:v>grid_asitui1y.xlsx</x:v>
      </x:c>
    </x:row>
    <x:row r="3026">
      <x:c r="A3026" s="15" t="n">
        <x:v>41640</x:v>
      </x:c>
      <x:c r="B3026" s="13" t="str">
        <x:v>BRASKEM SA-PREF A</x:v>
      </x:c>
      <x:c r="C3026" s="16" t="n">
        <x:v>1288.857938411</x:v>
      </x:c>
      <x:c r="D3026" s="13" t="str">
        <x:v>Oil, Gas &amp; Petrochemicals</x:v>
      </x:c>
      <x:c r="E3026" s="13" t="str">
        <x:v>Oil, Gas &amp; Petrochemicals</x:v>
      </x:c>
      <x:c r="F3026" s="13" t="str">
        <x:v>Deep Cyclicals</x:v>
      </x:c>
      <x:c r="G3026" s="13" t="str">
        <x:v>grid_asitui1y.xlsx</x:v>
      </x:c>
    </x:row>
    <x:row r="3027">
      <x:c r="A3027" s="15" t="n">
        <x:v>41640</x:v>
      </x:c>
      <x:c r="B3027" s="13" t="str">
        <x:v>COSAN SA</x:v>
      </x:c>
      <x:c r="C3027" s="16" t="n">
        <x:v>863.5321077479</x:v>
      </x:c>
      <x:c r="D3027" s="13" t="str">
        <x:v>Oil, Gas &amp; Petrochemicals</x:v>
      </x:c>
      <x:c r="E3027" s="13" t="str">
        <x:v>Oil, Gas &amp; Petrochemicals</x:v>
      </x:c>
      <x:c r="F3027" s="13" t="str">
        <x:v>Deep Cyclicals</x:v>
      </x:c>
      <x:c r="G3027" s="13" t="str">
        <x:v>grid_asitui1y.xlsx</x:v>
      </x:c>
    </x:row>
    <x:row r="3028">
      <x:c r="A3028" s="15" t="n">
        <x:v>41640</x:v>
      </x:c>
      <x:c r="B3028" s="13" t="str">
        <x:v>PETROBRAS - PETROLEO BRAS</x:v>
      </x:c>
      <x:c r="C3028" s="16" t="n">
        <x:v>30005.7002657315</x:v>
      </x:c>
      <x:c r="D3028" s="13" t="str">
        <x:v>Oil, Gas &amp; Petrochemicals</x:v>
      </x:c>
      <x:c r="E3028" s="13" t="str">
        <x:v>Oil, Gas &amp; Petrochemicals</x:v>
      </x:c>
      <x:c r="F3028" s="13" t="str">
        <x:v>Deep Cyclicals</x:v>
      </x:c>
      <x:c r="G3028" s="13" t="str">
        <x:v>grid_asitui1y.xlsx</x:v>
      </x:c>
    </x:row>
    <x:row r="3029">
      <x:c r="A3029" s="15" t="n">
        <x:v>41640</x:v>
      </x:c>
      <x:c r="B3029" s="13" t="str">
        <x:v>ULTRAPAR PARTICIPACOES SA</x:v>
      </x:c>
      <x:c r="C3029" s="16" t="n">
        <x:v>1387.1389296219</x:v>
      </x:c>
      <x:c r="D3029" s="13" t="str">
        <x:v>Oil, Gas &amp; Petrochemicals</x:v>
      </x:c>
      <x:c r="E3029" s="13" t="str">
        <x:v>Oil, Gas &amp; Petrochemicals</x:v>
      </x:c>
      <x:c r="F3029" s="13" t="str">
        <x:v>Deep Cyclicals</x:v>
      </x:c>
      <x:c r="G3029" s="13" t="str">
        <x:v>grid_asitui1y.xlsx</x:v>
      </x:c>
    </x:row>
    <x:row r="3030">
      <x:c r="A3030" s="15" t="n">
        <x:v>41640</x:v>
      </x:c>
      <x:c r="B3030" s="13" t="str">
        <x:v>DEXCO SA</x:v>
      </x:c>
      <x:c r="C3030" s="16" t="n">
        <x:v>640.8971460384</x:v>
      </x:c>
      <x:c r="D3030" s="13" t="str">
        <x:v>Pulp &amp; Paper</x:v>
      </x:c>
      <x:c r="E3030" s="13" t="str">
        <x:v>Pulp &amp; Paper</x:v>
      </x:c>
      <x:c r="F3030" s="13" t="str">
        <x:v>Deep Cyclicals</x:v>
      </x:c>
      <x:c r="G3030" s="13" t="str">
        <x:v>grid_asitui1y.xlsx</x:v>
      </x:c>
    </x:row>
    <x:row r="3031">
      <x:c r="A3031" s="15" t="n">
        <x:v>41640</x:v>
      </x:c>
      <x:c r="B3031" s="13" t="str">
        <x:v>FIBRIA CELULOSE S/A</x:v>
      </x:c>
      <x:c r="C3031" s="16" t="n">
        <x:v>360.5184294575</x:v>
      </x:c>
      <x:c r="D3031" s="13" t="str">
        <x:v>Pulp &amp; Paper</x:v>
      </x:c>
      <x:c r="E3031" s="13" t="str">
        <x:v>Pulp &amp; Paper</x:v>
      </x:c>
      <x:c r="F3031" s="13" t="str">
        <x:v>Deep Cyclicals</x:v>
      </x:c>
      <x:c r="G3031" s="13" t="str">
        <x:v>grid_asitui1y.xlsx</x:v>
      </x:c>
    </x:row>
    <x:row r="3032">
      <x:c r="A3032" s="15" t="n">
        <x:v>41640</x:v>
      </x:c>
      <x:c r="B3032" s="13" t="str">
        <x:v>SUZANO PAPEL E CELULO-PREF A</x:v>
      </x:c>
      <x:c r="C3032" s="16" t="n">
        <x:v>500.2556054795</x:v>
      </x:c>
      <x:c r="D3032" s="13" t="str">
        <x:v>Pulp &amp; Paper</x:v>
      </x:c>
      <x:c r="E3032" s="13" t="str">
        <x:v>Pulp &amp; Paper</x:v>
      </x:c>
      <x:c r="F3032" s="13" t="str">
        <x:v>Deep Cyclicals</x:v>
      </x:c>
      <x:c r="G3032" s="13" t="str">
        <x:v>grid_asitui1y.xlsx</x:v>
      </x:c>
    </x:row>
    <x:row r="3033">
      <x:c r="A3033" s="15" t="n">
        <x:v>41640</x:v>
      </x:c>
      <x:c r="B3033" s="13" t="str">
        <x:v>CIA BRASILEIRA DE DIS-PREF</x:v>
      </x:c>
      <x:c r="C3033" s="16" t="n">
        <x:v>1470.061368811</x:v>
      </x:c>
      <x:c r="D3033" s="13" t="str">
        <x:v>Retail</x:v>
      </x:c>
      <x:c r="E3033" s="13" t="str">
        <x:v>Retail</x:v>
      </x:c>
      <x:c r="F3033" s="13" t="str">
        <x:v>Early Cyclicals</x:v>
      </x:c>
      <x:c r="G3033" s="13" t="str">
        <x:v>grid_asitui1y.xlsx</x:v>
      </x:c>
    </x:row>
    <x:row r="3034">
      <x:c r="A3034" s="15" t="n">
        <x:v>41640</x:v>
      </x:c>
      <x:c r="B3034" s="13" t="str">
        <x:v>CIA HERING</x:v>
      </x:c>
      <x:c r="C3034" s="16" t="n">
        <x:v>359.1286627945</x:v>
      </x:c>
      <x:c r="D3034" s="13" t="str">
        <x:v>Retail</x:v>
      </x:c>
      <x:c r="E3034" s="13" t="str">
        <x:v>Retail</x:v>
      </x:c>
      <x:c r="F3034" s="13" t="str">
        <x:v>Early Cyclicals</x:v>
      </x:c>
      <x:c r="G3034" s="13" t="str">
        <x:v>grid_asitui1y.xlsx</x:v>
      </x:c>
    </x:row>
    <x:row r="3035">
      <x:c r="A3035" s="15" t="n">
        <x:v>41640</x:v>
      </x:c>
      <x:c r="B3035" s="13" t="str">
        <x:v>LOJAS AMERICANAS SA-PREF</x:v>
      </x:c>
      <x:c r="C3035" s="16" t="n">
        <x:v>579.900032</x:v>
      </x:c>
      <x:c r="D3035" s="13" t="str">
        <x:v>Retail</x:v>
      </x:c>
      <x:c r="E3035" s="13" t="str">
        <x:v>Retail</x:v>
      </x:c>
      <x:c r="F3035" s="13" t="str">
        <x:v>Early Cyclicals</x:v>
      </x:c>
      <x:c r="G3035" s="13" t="str">
        <x:v>grid_asitui1y.xlsx</x:v>
      </x:c>
    </x:row>
    <x:row r="3036">
      <x:c r="A3036" s="15" t="n">
        <x:v>41640</x:v>
      </x:c>
      <x:c r="B3036" s="13" t="str">
        <x:v>LOJAS RENNER S.A.</x:v>
      </x:c>
      <x:c r="C3036" s="16" t="n">
        <x:v>436.9663452055</x:v>
      </x:c>
      <x:c r="D3036" s="13" t="str">
        <x:v>Retail</x:v>
      </x:c>
      <x:c r="E3036" s="13" t="str">
        <x:v>Retail</x:v>
      </x:c>
      <x:c r="F3036" s="13" t="str">
        <x:v>Early Cyclicals</x:v>
      </x:c>
      <x:c r="G3036" s="13" t="str">
        <x:v>grid_asitui1y.xlsx</x:v>
      </x:c>
    </x:row>
    <x:row r="3037">
      <x:c r="A3037" s="15" t="n">
        <x:v>41640</x:v>
      </x:c>
      <x:c r="B3037" s="13" t="str">
        <x:v>NATURA COSMETICOS SA</x:v>
      </x:c>
      <x:c r="C3037" s="16" t="n">
        <x:v>932.3186752877</x:v>
      </x:c>
      <x:c r="D3037" s="13" t="str">
        <x:v>Retail</x:v>
      </x:c>
      <x:c r="E3037" s="13" t="str">
        <x:v>Retail</x:v>
      </x:c>
      <x:c r="F3037" s="13" t="str">
        <x:v>Early Cyclicals</x:v>
      </x:c>
      <x:c r="G3037" s="13" t="str">
        <x:v>grid_asitui1y.xlsx</x:v>
      </x:c>
    </x:row>
    <x:row r="3038">
      <x:c r="A3038" s="15" t="n">
        <x:v>41640</x:v>
      </x:c>
      <x:c r="B3038" s="13" t="str">
        <x:v>CIA SANEAMENTO BASICO DE SP</x:v>
      </x:c>
      <x:c r="C3038" s="16" t="n">
        <x:v>2078.6152041206</x:v>
      </x:c>
      <x:c r="D3038" s="13" t="str">
        <x:v>Sanitation</x:v>
      </x:c>
      <x:c r="E3038" s="13" t="str">
        <x:v>Utilities</x:v>
      </x:c>
      <x:c r="F3038" s="13" t="str">
        <x:v>Defensives</x:v>
      </x:c>
      <x:c r="G3038" s="13" t="str">
        <x:v>grid_asitui1y.xlsx</x:v>
      </x:c>
    </x:row>
    <x:row r="3039">
      <x:c r="A3039" s="15" t="n">
        <x:v>41640</x:v>
      </x:c>
      <x:c r="B3039" s="13" t="str">
        <x:v>OI SA-PREFERENCE</x:v>
      </x:c>
      <x:c r="C3039" s="16" t="n">
        <x:v>339.9476712329</x:v>
      </x:c>
      <x:c r="D3039" s="13" t="str">
        <x:v>TMT</x:v>
      </x:c>
      <x:c r="E3039" s="13" t="str">
        <x:v>TMT</x:v>
      </x:c>
      <x:c r="F3039" s="13" t="str">
        <x:v>Early Cyclicals</x:v>
      </x:c>
      <x:c r="G3039" s="13" t="str">
        <x:v>grid_asitui1y.xlsx</x:v>
      </x:c>
    </x:row>
    <x:row r="3040">
      <x:c r="A3040" s="15" t="n">
        <x:v>41640</x:v>
      </x:c>
      <x:c r="B3040" s="13" t="str">
        <x:v>TELEFONICA BRASIL S.A.-PREF</x:v>
      </x:c>
      <x:c r="C3040" s="16" t="n">
        <x:v>4045.3838953205</x:v>
      </x:c>
      <x:c r="D3040" s="13" t="str">
        <x:v>TMT</x:v>
      </x:c>
      <x:c r="E3040" s="13" t="str">
        <x:v>TMT</x:v>
      </x:c>
      <x:c r="F3040" s="13" t="str">
        <x:v>Early Cyclicals</x:v>
      </x:c>
      <x:c r="G3040" s="13" t="str">
        <x:v>grid_asitui1y.xlsx</x:v>
      </x:c>
    </x:row>
    <x:row r="3041">
      <x:c r="A3041" s="15" t="n">
        <x:v>41640</x:v>
      </x:c>
      <x:c r="B3041" s="13" t="str">
        <x:v>TIM SA</x:v>
      </x:c>
      <x:c r="C3041" s="16" t="n">
        <x:v>1663.2514602082</x:v>
      </x:c>
      <x:c r="D3041" s="13" t="str">
        <x:v>TMT</x:v>
      </x:c>
      <x:c r="E3041" s="13" t="str">
        <x:v>TMT</x:v>
      </x:c>
      <x:c r="F3041" s="13" t="str">
        <x:v>Early Cyclicals</x:v>
      </x:c>
      <x:c r="G3041" s="13" t="str">
        <x:v>grid_asitui1y.xlsx</x:v>
      </x:c>
    </x:row>
    <x:row r="3042">
      <x:c r="A3042" s="15" t="n">
        <x:v>41640</x:v>
      </x:c>
      <x:c r="B3042" s="13" t="str">
        <x:v>ECORODOVIAS INFRA E LOG SA</x:v>
      </x:c>
      <x:c r="C3042" s="16" t="n">
        <x:v>497.4572629918</x:v>
      </x:c>
      <x:c r="D3042" s="13" t="str">
        <x:v>Transportation</x:v>
      </x:c>
      <x:c r="E3042" s="13" t="str">
        <x:v>Transportation</x:v>
      </x:c>
      <x:c r="F3042" s="13" t="str">
        <x:v>Deep Cyclicals</x:v>
      </x:c>
      <x:c r="G3042" s="13" t="str">
        <x:v>grid_asitui1y.xlsx</x:v>
      </x:c>
    </x:row>
    <x:row r="3043">
      <x:c r="A3043" s="15" t="n">
        <x:v>41640</x:v>
      </x:c>
      <x:c r="B3043" s="13" t="str">
        <x:v>GOL LINHAS AEREAS INT SA-PRE</x:v>
      </x:c>
      <x:c r="C3043" s="16" t="n">
        <x:v>-29.1778387726</x:v>
      </x:c>
      <x:c r="D3043" s="13" t="str">
        <x:v>Transportation</x:v>
      </x:c>
      <x:c r="E3043" s="13" t="str">
        <x:v>Transportation</x:v>
      </x:c>
      <x:c r="F3043" s="13" t="str">
        <x:v>Deep Cyclicals</x:v>
      </x:c>
      <x:c r="G3043" s="13" t="str">
        <x:v>grid_asitui1y.xlsx</x:v>
      </x:c>
    </x:row>
    <x:row r="3044">
      <x:c r="A3044" s="15" t="n">
        <x:v>41640</x:v>
      </x:c>
      <x:c r="B3044" s="13" t="str">
        <x:v>LOCALIZA RENT A CAR</x:v>
      </x:c>
      <x:c r="C3044" s="16" t="n">
        <x:v>405.4306282959</x:v>
      </x:c>
      <x:c r="D3044" s="13" t="str">
        <x:v>Transportation</x:v>
      </x:c>
      <x:c r="E3044" s="13" t="str">
        <x:v>Transportation</x:v>
      </x:c>
      <x:c r="F3044" s="13" t="str">
        <x:v>Deep Cyclicals</x:v>
      </x:c>
      <x:c r="G3044" s="13" t="str">
        <x:v>grid_asitui1y.xlsx</x:v>
      </x:c>
    </x:row>
    <x:row r="3045">
      <x:c r="A3045" s="15" t="n">
        <x:v>41640</x:v>
      </x:c>
      <x:c r="B3045" s="13" t="str">
        <x:v>MOTIVA INFRAESTRUTURA DE MOB</x:v>
      </x:c>
      <x:c r="C3045" s="16" t="n">
        <x:v>1750.7894447343</x:v>
      </x:c>
      <x:c r="D3045" s="13" t="str">
        <x:v>Transportation</x:v>
      </x:c>
      <x:c r="E3045" s="13" t="str">
        <x:v>Transportation</x:v>
      </x:c>
      <x:c r="F3045" s="13" t="str">
        <x:v>Deep Cyclicals</x:v>
      </x:c>
      <x:c r="G3045" s="13" t="str">
        <x:v>grid_asitui1y.xlsx</x:v>
      </x:c>
    </x:row>
    <x:row r="3046">
      <x:c r="A3046" s="15" t="n">
        <x:v>41640</x:v>
      </x:c>
      <x:c r="B3046" s="13" t="str">
        <x:v>PRUMO LOGISTICA SA</x:v>
      </x:c>
      <x:c r="C3046" s="16" t="n">
        <x:v>-99.9402739726</x:v>
      </x:c>
      <x:c r="D3046" s="13" t="str">
        <x:v>Transportation</x:v>
      </x:c>
      <x:c r="E3046" s="13" t="str">
        <x:v>Transportation</x:v>
      </x:c>
      <x:c r="F3046" s="13" t="str">
        <x:v>Deep Cyclicals</x:v>
      </x:c>
      <x:c r="G3046" s="13" t="str">
        <x:v>grid_asitui1y.xlsx</x:v>
      </x:c>
    </x:row>
    <x:row r="3047">
      <x:c r="A3047" s="15" t="n">
        <x:v>41640</x:v>
      </x:c>
      <x:c r="B3047" s="13" t="str">
        <x:v>RUMO SA</x:v>
      </x:c>
      <x:c r="C3047" s="16" t="n">
        <x:v>357.7182534137</x:v>
      </x:c>
      <x:c r="D3047" s="13" t="str">
        <x:v>Transportation</x:v>
      </x:c>
      <x:c r="E3047" s="13" t="str">
        <x:v>Transportation</x:v>
      </x:c>
      <x:c r="F3047" s="13" t="str">
        <x:v>Deep Cyclicals</x:v>
      </x:c>
      <x:c r="G3047" s="13" t="str">
        <x:v>grid_asitui1y.xlsx</x:v>
      </x:c>
    </x:row>
    <x:row r="3048">
      <x:c r="A3048" s="15" t="n">
        <x:v>41640</x:v>
      </x:c>
      <x:c r="B3048" s="13" t="str">
        <x:v>AXIA ENERGIA SA</x:v>
      </x:c>
      <x:c r="C3048" s="16" t="n">
        <x:v>1425.383590926</x:v>
      </x:c>
      <x:c r="D3048" s="13" t="str">
        <x:v>Utilities &amp; Energy</x:v>
      </x:c>
      <x:c r="E3048" s="13" t="str">
        <x:v>Utilities</x:v>
      </x:c>
      <x:c r="F3048" s="13" t="str">
        <x:v>Defensives</x:v>
      </x:c>
      <x:c r="G3048" s="13" t="str">
        <x:v>grid_asitui1y.xlsx</x:v>
      </x:c>
    </x:row>
    <x:row r="3049">
      <x:c r="A3049" s="15" t="n">
        <x:v>41640</x:v>
      </x:c>
      <x:c r="B3049" s="13" t="str">
        <x:v>AXIA ENERGIA-PR B</x:v>
      </x:c>
      <x:c r="C3049" s="16" t="n">
        <x:v>1425.383590926</x:v>
      </x:c>
      <x:c r="D3049" s="13" t="str">
        <x:v>Utilities &amp; Energy</x:v>
      </x:c>
      <x:c r="E3049" s="13" t="str">
        <x:v>Utilities</x:v>
      </x:c>
      <x:c r="F3049" s="13" t="str">
        <x:v>Defensives</x:v>
      </x:c>
      <x:c r="G3049" s="13" t="str">
        <x:v>grid_asitui1y.xlsx</x:v>
      </x:c>
    </x:row>
    <x:row r="3050">
      <x:c r="A3050" s="15" t="n">
        <x:v>41640</x:v>
      </x:c>
      <x:c r="B3050" s="13" t="str">
        <x:v>CESP - CIA ENERGETICA DE SAO</x:v>
      </x:c>
      <x:c r="C3050" s="16" t="n">
        <x:v>1454.3452054794</x:v>
      </x:c>
      <x:c r="D3050" s="13" t="str">
        <x:v>Utilities &amp; Energy</x:v>
      </x:c>
      <x:c r="E3050" s="13" t="str">
        <x:v>Utilities</x:v>
      </x:c>
      <x:c r="F3050" s="13" t="str">
        <x:v>Defensives</x:v>
      </x:c>
      <x:c r="G3050" s="13" t="str">
        <x:v>grid_asitui1y.xlsx</x:v>
      </x:c>
    </x:row>
    <x:row r="3051">
      <x:c r="A3051" s="15" t="n">
        <x:v>41640</x:v>
      </x:c>
      <x:c r="B3051" s="13" t="str">
        <x:v>CIA ENERGETICA MINAS GER-PRF</x:v>
      </x:c>
      <x:c r="C3051" s="16" t="n">
        <x:v>2567.778522126</x:v>
      </x:c>
      <x:c r="D3051" s="13" t="str">
        <x:v>Utilities &amp; Energy</x:v>
      </x:c>
      <x:c r="E3051" s="13" t="str">
        <x:v>Utilities</x:v>
      </x:c>
      <x:c r="F3051" s="13" t="str">
        <x:v>Defensives</x:v>
      </x:c>
      <x:c r="G3051" s="13" t="str">
        <x:v>grid_asitui1y.xlsx</x:v>
      </x:c>
    </x:row>
    <x:row r="3052">
      <x:c r="A3052" s="15" t="n">
        <x:v>41640</x:v>
      </x:c>
      <x:c r="B3052" s="13" t="str">
        <x:v>COMPANHIA PARANAENSE -PREF B</x:v>
      </x:c>
      <x:c r="C3052" s="16" t="n">
        <x:v>1252.8150250959</x:v>
      </x:c>
      <x:c r="D3052" s="13" t="str">
        <x:v>Utilities &amp; Energy</x:v>
      </x:c>
      <x:c r="E3052" s="13" t="str">
        <x:v>Utilities</x:v>
      </x:c>
      <x:c r="F3052" s="13" t="str">
        <x:v>Defensives</x:v>
      </x:c>
      <x:c r="G3052" s="13" t="str">
        <x:v>grid_asitui1y.xlsx</x:v>
      </x:c>
    </x:row>
    <x:row r="3053">
      <x:c r="A3053" s="15" t="n">
        <x:v>41640</x:v>
      </x:c>
      <x:c r="B3053" s="13" t="str">
        <x:v>CPFL ENERGIA SA</x:v>
      </x:c>
      <x:c r="C3053" s="16" t="n">
        <x:v>1242.475558926</x:v>
      </x:c>
      <x:c r="D3053" s="13" t="str">
        <x:v>Utilities &amp; Energy</x:v>
      </x:c>
      <x:c r="E3053" s="13" t="str">
        <x:v>Utilities</x:v>
      </x:c>
      <x:c r="F3053" s="13" t="str">
        <x:v>Defensives</x:v>
      </x:c>
      <x:c r="G3053" s="13" t="str">
        <x:v>grid_asitui1y.xlsx</x:v>
      </x:c>
    </x:row>
    <x:row r="3054">
      <x:c r="A3054" s="15" t="n">
        <x:v>41640</x:v>
      </x:c>
      <x:c r="B3054" s="13" t="str">
        <x:v>EDP - ENERGIAS DO BRASIL SA</x:v>
      </x:c>
      <x:c r="C3054" s="16" t="n">
        <x:v>610.3981005151</x:v>
      </x:c>
      <x:c r="D3054" s="13" t="str">
        <x:v>Utilities &amp; Energy</x:v>
      </x:c>
      <x:c r="E3054" s="13" t="str">
        <x:v>Utilities</x:v>
      </x:c>
      <x:c r="F3054" s="13" t="str">
        <x:v>Defensives</x:v>
      </x:c>
      <x:c r="G3054" s="13" t="str">
        <x:v>grid_asitui1y.xlsx</x:v>
      </x:c>
    </x:row>
    <x:row r="3055">
      <x:c r="A3055" s="15" t="n">
        <x:v>41640</x:v>
      </x:c>
      <x:c r="B3055" s="13" t="str">
        <x:v>ELETROPAULO METROPOLI-PREF</x:v>
      </x:c>
      <x:c r="C3055" s="16" t="n">
        <x:v>-235.9917260274</x:v>
      </x:c>
      <x:c r="D3055" s="13" t="str">
        <x:v>Utilities &amp; Energy</x:v>
      </x:c>
      <x:c r="E3055" s="13" t="str">
        <x:v>Utilities</x:v>
      </x:c>
      <x:c r="F3055" s="13" t="str">
        <x:v>Defensives</x:v>
      </x:c>
      <x:c r="G3055" s="13" t="str">
        <x:v>grid_asitui1y.xlsx</x:v>
      </x:c>
    </x:row>
    <x:row r="3056">
      <x:c r="A3056" s="15" t="n">
        <x:v>41640</x:v>
      </x:c>
      <x:c r="B3056" s="13" t="str">
        <x:v>ENGIE BRASIL ENERGIA SA</x:v>
      </x:c>
      <x:c r="C3056" s="16" t="n">
        <x:v>1810.3593706959</x:v>
      </x:c>
      <x:c r="D3056" s="13" t="str">
        <x:v>Utilities &amp; Energy</x:v>
      </x:c>
      <x:c r="E3056" s="13" t="str">
        <x:v>Utilities</x:v>
      </x:c>
      <x:c r="F3056" s="13" t="str">
        <x:v>Defensives</x:v>
      </x:c>
      <x:c r="G3056" s="13" t="str">
        <x:v>grid_asitui1y.xlsx</x:v>
      </x:c>
    </x:row>
    <x:row r="3057">
      <x:c r="A3057" s="15" t="n">
        <x:v>41640</x:v>
      </x:c>
      <x:c r="B3057" s="13" t="str">
        <x:v>LIGHT SA</x:v>
      </x:c>
      <x:c r="C3057" s="16" t="n">
        <x:v>477.3213006904</x:v>
      </x:c>
      <x:c r="D3057" s="13" t="str">
        <x:v>Utilities &amp; Energy</x:v>
      </x:c>
      <x:c r="E3057" s="13" t="str">
        <x:v>Utilities</x:v>
      </x:c>
      <x:c r="F3057" s="13" t="str">
        <x:v>Defensives</x:v>
      </x:c>
      <x:c r="G3057" s="13" t="str">
        <x:v>grid_asitui1y.xlsx</x:v>
      </x:c>
    </x:row>
    <x:row r="3058">
      <x:c r="A3058" s="15" t="n">
        <x:v>41671</x:v>
      </x:c>
      <x:c r="B3058" s="13" t="str">
        <x:v>BANCO BRADESCO S.A.</x:v>
      </x:c>
      <x:c r="C3058" s="16" t="n">
        <x:v>14070.9706289096</x:v>
      </x:c>
      <x:c r="D3058" s="13" t="str">
        <x:v>Banks</x:v>
      </x:c>
      <x:c r="E3058" s="13" t="str">
        <x:v>Banks</x:v>
      </x:c>
      <x:c r="F3058" s="13" t="str">
        <x:v>Financials</x:v>
      </x:c>
      <x:c r="G3058" s="13" t="str">
        <x:v>grid_asitui1y.xlsx</x:v>
      </x:c>
    </x:row>
    <x:row r="3059">
      <x:c r="A3059" s="15" t="n">
        <x:v>41671</x:v>
      </x:c>
      <x:c r="B3059" s="13" t="str">
        <x:v>BANCO BRADESCO SA-PREF</x:v>
      </x:c>
      <x:c r="C3059" s="16" t="n">
        <x:v>14070.9706289096</x:v>
      </x:c>
      <x:c r="D3059" s="13" t="str">
        <x:v>Banks</x:v>
      </x:c>
      <x:c r="E3059" s="13" t="str">
        <x:v>Banks</x:v>
      </x:c>
      <x:c r="F3059" s="13" t="str">
        <x:v>Financials</x:v>
      </x:c>
      <x:c r="G3059" s="13" t="str">
        <x:v>grid_asitui1y.xlsx</x:v>
      </x:c>
    </x:row>
    <x:row r="3060">
      <x:c r="A3060" s="15" t="n">
        <x:v>41671</x:v>
      </x:c>
      <x:c r="B3060" s="13" t="str">
        <x:v>BANCO DO BRASIL S.A.</x:v>
      </x:c>
      <x:c r="C3060" s="16" t="n">
        <x:v>10750.7021964274</x:v>
      </x:c>
      <x:c r="D3060" s="13" t="str">
        <x:v>Banks</x:v>
      </x:c>
      <x:c r="E3060" s="13" t="str">
        <x:v>Banks</x:v>
      </x:c>
      <x:c r="F3060" s="13" t="str">
        <x:v>Financials</x:v>
      </x:c>
      <x:c r="G3060" s="13" t="str">
        <x:v>grid_asitui1y.xlsx</x:v>
      </x:c>
    </x:row>
    <x:row r="3061">
      <x:c r="A3061" s="15" t="n">
        <x:v>41671</x:v>
      </x:c>
      <x:c r="B3061" s="13" t="str">
        <x:v>BANCO SANTANDER  BRASIL-UNIT</x:v>
      </x:c>
      <x:c r="C3061" s="16" t="n">
        <x:v>5865.233914389</x:v>
      </x:c>
      <x:c r="D3061" s="13" t="str">
        <x:v>Banks</x:v>
      </x:c>
      <x:c r="E3061" s="13" t="str">
        <x:v>Banks</x:v>
      </x:c>
      <x:c r="F3061" s="13" t="str">
        <x:v>Financials</x:v>
      </x:c>
      <x:c r="G3061" s="13" t="str">
        <x:v>grid_asitui1y.xlsx</x:v>
      </x:c>
    </x:row>
    <x:row r="3062">
      <x:c r="A3062" s="15" t="n">
        <x:v>41671</x:v>
      </x:c>
      <x:c r="B3062" s="13" t="str">
        <x:v>ITAU UNIBANCO HOLDING S-PREF</x:v>
      </x:c>
      <x:c r="C3062" s="16" t="n">
        <x:v>18430.4255424877</x:v>
      </x:c>
      <x:c r="D3062" s="13" t="str">
        <x:v>Banks</x:v>
      </x:c>
      <x:c r="E3062" s="13" t="str">
        <x:v>Banks</x:v>
      </x:c>
      <x:c r="F3062" s="13" t="str">
        <x:v>Financials</x:v>
      </x:c>
      <x:c r="G3062" s="13" t="str">
        <x:v>grid_asitui1y.xlsx</x:v>
      </x:c>
    </x:row>
    <x:row r="3063">
      <x:c r="A3063" s="15" t="n">
        <x:v>41671</x:v>
      </x:c>
      <x:c r="B3063" s="13" t="str">
        <x:v>EMBRAER SA</x:v>
      </x:c>
      <x:c r="C3063" s="16" t="n">
        <x:v>1057.3745639452</x:v>
      </x:c>
      <x:c r="D3063" s="13" t="str">
        <x:v>Capital Goods</x:v>
      </x:c>
      <x:c r="E3063" s="13" t="str">
        <x:v>Capital Goods</x:v>
      </x:c>
      <x:c r="F3063" s="13" t="str">
        <x:v>Deep Cyclicals</x:v>
      </x:c>
      <x:c r="G3063" s="13" t="str">
        <x:v>grid_asitui1y.xlsx</x:v>
      </x:c>
    </x:row>
    <x:row r="3064">
      <x:c r="A3064" s="15" t="n">
        <x:v>41671</x:v>
      </x:c>
      <x:c r="B3064" s="13" t="str">
        <x:v>ANHANGUERA EDUCACIONAL PARTI</x:v>
      </x:c>
      <x:c r="C3064" s="16" t="n">
        <x:v>312.0016796055</x:v>
      </x:c>
      <x:c r="D3064" s="13" t="str">
        <x:v>Education</x:v>
      </x:c>
      <x:c r="E3064" s="13" t="str">
        <x:v>Education</x:v>
      </x:c>
      <x:c r="F3064" s="13" t="str">
        <x:v>Early Cyclicals</x:v>
      </x:c>
      <x:c r="G3064" s="13" t="str">
        <x:v>grid_asitui1y.xlsx</x:v>
      </x:c>
    </x:row>
    <x:row r="3065">
      <x:c r="A3065" s="15" t="n">
        <x:v>41671</x:v>
      </x:c>
      <x:c r="B3065" s="13" t="str">
        <x:v>COGNA EDUCACAO</x:v>
      </x:c>
      <x:c r="C3065" s="16" t="n">
        <x:v>707.3890410959</x:v>
      </x:c>
      <x:c r="D3065" s="13" t="str">
        <x:v>Education</x:v>
      </x:c>
      <x:c r="E3065" s="13" t="str">
        <x:v>Education</x:v>
      </x:c>
      <x:c r="F3065" s="13" t="str">
        <x:v>Early Cyclicals</x:v>
      </x:c>
      <x:c r="G3065" s="13" t="str">
        <x:v>grid_asitui1y.xlsx</x:v>
      </x:c>
    </x:row>
    <x:row r="3066">
      <x:c r="A3066" s="15" t="n">
        <x:v>41671</x:v>
      </x:c>
      <x:c r="B3066" s="13" t="str">
        <x:v>YDUQS PARTICIPACOES SA</x:v>
      </x:c>
      <x:c r="C3066" s="16" t="n">
        <x:v>397.0746986959</x:v>
      </x:c>
      <x:c r="D3066" s="13" t="str">
        <x:v>Education</x:v>
      </x:c>
      <x:c r="E3066" s="13" t="str">
        <x:v>Education</x:v>
      </x:c>
      <x:c r="F3066" s="13" t="str">
        <x:v>Early Cyclicals</x:v>
      </x:c>
      <x:c r="G3066" s="13" t="str">
        <x:v>grid_asitui1y.xlsx</x:v>
      </x:c>
    </x:row>
    <x:row r="3067">
      <x:c r="A3067" s="15" t="n">
        <x:v>41671</x:v>
      </x:c>
      <x:c r="B3067" s="13" t="str">
        <x:v>B3 SA-BRASIL BOLSA BALCAO</x:v>
      </x:c>
      <x:c r="C3067" s="16" t="n">
        <x:v>1489.287890411</x:v>
      </x:c>
      <x:c r="D3067" s="13" t="str">
        <x:v>Financials Non-Banks</x:v>
      </x:c>
      <x:c r="E3067" s="13" t="str">
        <x:v>Financials Non-Banks</x:v>
      </x:c>
      <x:c r="F3067" s="13" t="str">
        <x:v>Financials</x:v>
      </x:c>
      <x:c r="G3067" s="13" t="str">
        <x:v>grid_asitui1y.xlsx</x:v>
      </x:c>
    </x:row>
    <x:row r="3068">
      <x:c r="A3068" s="15" t="n">
        <x:v>41671</x:v>
      </x:c>
      <x:c r="B3068" s="13" t="str">
        <x:v>BB SEGURIDADE PARTICIPACOES</x:v>
      </x:c>
      <x:c r="C3068" s="16" t="n">
        <x:v>3002.5009376438</x:v>
      </x:c>
      <x:c r="D3068" s="13" t="str">
        <x:v>Financials Non-Banks</x:v>
      </x:c>
      <x:c r="E3068" s="13" t="str">
        <x:v>Financials Non-Banks</x:v>
      </x:c>
      <x:c r="F3068" s="13" t="str">
        <x:v>Financials</x:v>
      </x:c>
      <x:c r="G3068" s="13" t="str">
        <x:v>grid_asitui1y.xlsx</x:v>
      </x:c>
    </x:row>
    <x:row r="3069">
      <x:c r="A3069" s="15" t="n">
        <x:v>41671</x:v>
      </x:c>
      <x:c r="B3069" s="13" t="str">
        <x:v>CETIP SA-MERCADOS ORGANIZADO</x:v>
      </x:c>
      <x:c r="C3069" s="16" t="n">
        <x:v>472.2432876712</x:v>
      </x:c>
      <x:c r="D3069" s="13" t="str">
        <x:v>Financials Non-Banks</x:v>
      </x:c>
      <x:c r="E3069" s="13" t="str">
        <x:v>Financials Non-Banks</x:v>
      </x:c>
      <x:c r="F3069" s="13" t="str">
        <x:v>Financials</x:v>
      </x:c>
      <x:c r="G3069" s="13" t="str">
        <x:v>grid_asitui1y.xlsx</x:v>
      </x:c>
    </x:row>
    <x:row r="3070">
      <x:c r="A3070" s="15" t="n">
        <x:v>41671</x:v>
      </x:c>
      <x:c r="B3070" s="13" t="str">
        <x:v>CIELO SA - INSTITUICAO DE PA</x:v>
      </x:c>
      <x:c r="C3070" s="16" t="n">
        <x:v>3054.5127515178</x:v>
      </x:c>
      <x:c r="D3070" s="13" t="str">
        <x:v>Financials Non-Banks</x:v>
      </x:c>
      <x:c r="E3070" s="13" t="str">
        <x:v>Financials Non-Banks</x:v>
      </x:c>
      <x:c r="F3070" s="13" t="str">
        <x:v>Financials</x:v>
      </x:c>
      <x:c r="G3070" s="13" t="str">
        <x:v>grid_asitui1y.xlsx</x:v>
      </x:c>
    </x:row>
    <x:row r="3071">
      <x:c r="A3071" s="15" t="n">
        <x:v>41671</x:v>
      </x:c>
      <x:c r="B3071" s="13" t="str">
        <x:v>ITAUSA SA</x:v>
      </x:c>
      <x:c r="C3071" s="16" t="n">
        <x:v>7046.3863653699</x:v>
      </x:c>
      <x:c r="D3071" s="13" t="str">
        <x:v>Financials Non-Banks</x:v>
      </x:c>
      <x:c r="E3071" s="13" t="str">
        <x:v>Financials Non-Banks</x:v>
      </x:c>
      <x:c r="F3071" s="13" t="str">
        <x:v>Financials</x:v>
      </x:c>
      <x:c r="G3071" s="13" t="str">
        <x:v>grid_asitui1y.xlsx</x:v>
      </x:c>
    </x:row>
    <x:row r="3072">
      <x:c r="A3072" s="15" t="n">
        <x:v>41671</x:v>
      </x:c>
      <x:c r="B3072" s="13" t="str">
        <x:v>AMBEV SA</x:v>
      </x:c>
      <x:c r="C3072" s="16" t="n">
        <x:v>13241.9467011507</x:v>
      </x:c>
      <x:c r="D3072" s="13" t="str">
        <x:v>Food &amp; Beverages</x:v>
      </x:c>
      <x:c r="E3072" s="13" t="str">
        <x:v>Agri, Food &amp; Beverages</x:v>
      </x:c>
      <x:c r="F3072" s="13" t="str">
        <x:v>Defensives</x:v>
      </x:c>
      <x:c r="G3072" s="13" t="str">
        <x:v>grid_asitui1y.xlsx</x:v>
      </x:c>
    </x:row>
    <x:row r="3073">
      <x:c r="A3073" s="15" t="n">
        <x:v>41671</x:v>
      </x:c>
      <x:c r="B3073" s="13" t="str">
        <x:v>BRF SA</x:v>
      </x:c>
      <x:c r="C3073" s="16" t="n">
        <x:v>1996.7860707945</x:v>
      </x:c>
      <x:c r="D3073" s="13" t="str">
        <x:v>Food &amp; Beverages</x:v>
      </x:c>
      <x:c r="E3073" s="13" t="str">
        <x:v>Agri, Food &amp; Beverages</x:v>
      </x:c>
      <x:c r="F3073" s="13" t="str">
        <x:v>Defensives</x:v>
      </x:c>
      <x:c r="G3073" s="13" t="str">
        <x:v>grid_asitui1y.xlsx</x:v>
      </x:c>
    </x:row>
    <x:row r="3074">
      <x:c r="A3074" s="15" t="n">
        <x:v>41671</x:v>
      </x:c>
      <x:c r="B3074" s="13" t="str">
        <x:v>MBRF GLOBAL FOODS COMPANY SA</x:v>
      </x:c>
      <x:c r="C3074" s="16" t="n">
        <x:v>152.7765536438</x:v>
      </x:c>
      <x:c r="D3074" s="13" t="str">
        <x:v>Food &amp; Beverages</x:v>
      </x:c>
      <x:c r="E3074" s="13" t="str">
        <x:v>Agri, Food &amp; Beverages</x:v>
      </x:c>
      <x:c r="F3074" s="13" t="str">
        <x:v>Defensives</x:v>
      </x:c>
      <x:c r="G3074" s="13" t="str">
        <x:v>grid_asitui1y.xlsx</x:v>
      </x:c>
    </x:row>
    <x:row r="3075">
      <x:c r="A3075" s="15" t="n">
        <x:v>41671</x:v>
      </x:c>
      <x:c r="B3075" s="13" t="str">
        <x:v>SOUZA CRUZ LTDA</x:v>
      </x:c>
      <x:c r="C3075" s="16" t="n">
        <x:v>1877.4212860493</x:v>
      </x:c>
      <x:c r="D3075" s="13" t="str">
        <x:v>Food &amp; Beverages</x:v>
      </x:c>
      <x:c r="E3075" s="13" t="str">
        <x:v>Agri, Food &amp; Beverages</x:v>
      </x:c>
      <x:c r="F3075" s="13" t="str">
        <x:v>Defensives</x:v>
      </x:c>
      <x:c r="G3075" s="13" t="str">
        <x:v>grid_asitui1y.xlsx</x:v>
      </x:c>
    </x:row>
    <x:row r="3076">
      <x:c r="A3076" s="15" t="n">
        <x:v>41671</x:v>
      </x:c>
      <x:c r="B3076" s="13" t="str">
        <x:v>DIAGNOSTICOS DA AMERICA SA</x:v>
      </x:c>
      <x:c r="C3076" s="16" t="n">
        <x:v>177.2570796712</x:v>
      </x:c>
      <x:c r="D3076" s="13" t="str">
        <x:v>Health Care</x:v>
      </x:c>
      <x:c r="E3076" s="13" t="str">
        <x:v>Health Care</x:v>
      </x:c>
      <x:c r="F3076" s="13" t="str">
        <x:v>Defensives</x:v>
      </x:c>
      <x:c r="G3076" s="13" t="str">
        <x:v>grid_asitui1y.xlsx</x:v>
      </x:c>
    </x:row>
    <x:row r="3077">
      <x:c r="A3077" s="15" t="n">
        <x:v>41671</x:v>
      </x:c>
      <x:c r="B3077" s="13" t="str">
        <x:v>HYPERA SA</x:v>
      </x:c>
      <x:c r="C3077" s="16" t="n">
        <x:v>486.6920560219</x:v>
      </x:c>
      <x:c r="D3077" s="13" t="str">
        <x:v>Health Care</x:v>
      </x:c>
      <x:c r="E3077" s="13" t="str">
        <x:v>Health Care</x:v>
      </x:c>
      <x:c r="F3077" s="13" t="str">
        <x:v>Defensives</x:v>
      </x:c>
      <x:c r="G3077" s="13" t="str">
        <x:v>grid_asitui1y.xlsx</x:v>
      </x:c>
    </x:row>
    <x:row r="3078">
      <x:c r="A3078" s="15" t="n">
        <x:v>41671</x:v>
      </x:c>
      <x:c r="B3078" s="13" t="str">
        <x:v>QUALICORP CONS E CORR SEG SA</x:v>
      </x:c>
      <x:c r="C3078" s="16" t="n">
        <x:v>251.5589041096</x:v>
      </x:c>
      <x:c r="D3078" s="13" t="str">
        <x:v>Health Care</x:v>
      </x:c>
      <x:c r="E3078" s="13" t="str">
        <x:v>Health Care</x:v>
      </x:c>
      <x:c r="F3078" s="13" t="str">
        <x:v>Defensives</x:v>
      </x:c>
      <x:c r="G3078" s="13" t="str">
        <x:v>grid_asitui1y.xlsx</x:v>
      </x:c>
    </x:row>
    <x:row r="3079">
      <x:c r="A3079" s="15" t="n">
        <x:v>41671</x:v>
      </x:c>
      <x:c r="B3079" s="13" t="str">
        <x:v>CYRELA BRAZIL REALTY SA EMP</x:v>
      </x:c>
      <x:c r="C3079" s="16" t="n">
        <x:v>837.7468975342</x:v>
      </x:c>
      <x:c r="D3079" s="13" t="str">
        <x:v>Homebuilders</x:v>
      </x:c>
      <x:c r="E3079" s="13" t="str">
        <x:v>Real Estate</x:v>
      </x:c>
      <x:c r="F3079" s="13" t="str">
        <x:v>Early Cyclicals</x:v>
      </x:c>
      <x:c r="G3079" s="13" t="str">
        <x:v>grid_asitui1y.xlsx</x:v>
      </x:c>
    </x:row>
    <x:row r="3080">
      <x:c r="A3080" s="15" t="n">
        <x:v>41671</x:v>
      </x:c>
      <x:c r="B3080" s="13" t="str">
        <x:v>EVEN CONSTRUTORA E INCORPORA</x:v>
      </x:c>
      <x:c r="C3080" s="16" t="n">
        <x:v>341.7326027397</x:v>
      </x:c>
      <x:c r="D3080" s="13" t="str">
        <x:v>Homebuilders</x:v>
      </x:c>
      <x:c r="E3080" s="13" t="str">
        <x:v>Real Estate</x:v>
      </x:c>
      <x:c r="F3080" s="13" t="str">
        <x:v>Early Cyclicals</x:v>
      </x:c>
      <x:c r="G3080" s="13" t="str">
        <x:v>grid_asitui1y.xlsx</x:v>
      </x:c>
    </x:row>
    <x:row r="3081">
      <x:c r="A3081" s="15" t="n">
        <x:v>41671</x:v>
      </x:c>
      <x:c r="B3081" s="13" t="str">
        <x:v>GAFISA SA</x:v>
      </x:c>
      <x:c r="C3081" s="16" t="n">
        <x:v>127.1157329534</x:v>
      </x:c>
      <x:c r="D3081" s="13" t="str">
        <x:v>Homebuilders</x:v>
      </x:c>
      <x:c r="E3081" s="13" t="str">
        <x:v>Real Estate</x:v>
      </x:c>
      <x:c r="F3081" s="13" t="str">
        <x:v>Early Cyclicals</x:v>
      </x:c>
      <x:c r="G3081" s="13" t="str">
        <x:v>grid_asitui1y.xlsx</x:v>
      </x:c>
    </x:row>
    <x:row r="3082">
      <x:c r="A3082" s="15" t="n">
        <x:v>41671</x:v>
      </x:c>
      <x:c r="B3082" s="13" t="str">
        <x:v>MRV ENGENHARIA</x:v>
      </x:c>
      <x:c r="C3082" s="16" t="n">
        <x:v>581.3354524055</x:v>
      </x:c>
      <x:c r="D3082" s="13" t="str">
        <x:v>Homebuilders</x:v>
      </x:c>
      <x:c r="E3082" s="13" t="str">
        <x:v>Real Estate</x:v>
      </x:c>
      <x:c r="F3082" s="13" t="str">
        <x:v>Early Cyclicals</x:v>
      </x:c>
      <x:c r="G3082" s="13" t="str">
        <x:v>grid_asitui1y.xlsx</x:v>
      </x:c>
    </x:row>
    <x:row r="3083">
      <x:c r="A3083" s="15" t="n">
        <x:v>41671</x:v>
      </x:c>
      <x:c r="B3083" s="13" t="str">
        <x:v>PDG REALTY SA</x:v>
      </x:c>
      <x:c r="C3083" s="16" t="n">
        <x:v>-2.8508876712</x:v>
      </x:c>
      <x:c r="D3083" s="13" t="str">
        <x:v>Homebuilders</x:v>
      </x:c>
      <x:c r="E3083" s="13" t="str">
        <x:v>Real Estate</x:v>
      </x:c>
      <x:c r="F3083" s="13" t="str">
        <x:v>Early Cyclicals</x:v>
      </x:c>
      <x:c r="G3083" s="13" t="str">
        <x:v>grid_asitui1y.xlsx</x:v>
      </x:c>
    </x:row>
    <x:row r="3084">
      <x:c r="A3084" s="15" t="n">
        <x:v>41671</x:v>
      </x:c>
      <x:c r="B3084" s="13" t="str">
        <x:v>ROSSI RESIDENCIAL SA</x:v>
      </x:c>
      <x:c r="C3084" s="16" t="n">
        <x:v>71.9658630137</x:v>
      </x:c>
      <x:c r="D3084" s="13" t="str">
        <x:v>Homebuilders</x:v>
      </x:c>
      <x:c r="E3084" s="13" t="str">
        <x:v>Real Estate</x:v>
      </x:c>
      <x:c r="F3084" s="13" t="str">
        <x:v>Early Cyclicals</x:v>
      </x:c>
      <x:c r="G3084" s="13" t="str">
        <x:v>grid_asitui1y.xlsx</x:v>
      </x:c>
    </x:row>
    <x:row r="3085">
      <x:c r="A3085" s="15" t="n">
        <x:v>41671</x:v>
      </x:c>
      <x:c r="B3085" s="13" t="str">
        <x:v>TEGRA INCORPORADORA SA</x:v>
      </x:c>
      <x:c r="C3085" s="16" t="n">
        <x:v>71.5184931507</x:v>
      </x:c>
      <x:c r="D3085" s="13" t="str">
        <x:v>Homebuilders</x:v>
      </x:c>
      <x:c r="E3085" s="13" t="str">
        <x:v>Real Estate</x:v>
      </x:c>
      <x:c r="F3085" s="13" t="str">
        <x:v>Early Cyclicals</x:v>
      </x:c>
      <x:c r="G3085" s="13" t="str">
        <x:v>grid_asitui1y.xlsx</x:v>
      </x:c>
    </x:row>
    <x:row r="3086">
      <x:c r="A3086" s="15" t="n">
        <x:v>41671</x:v>
      </x:c>
      <x:c r="B3086" s="13" t="str">
        <x:v>BR MALLS PARTICIPACOES SA</x:v>
      </x:c>
      <x:c r="C3086" s="16" t="n">
        <x:v>565.1592695233</x:v>
      </x:c>
      <x:c r="D3086" s="13" t="str">
        <x:v>Income Properties</x:v>
      </x:c>
      <x:c r="E3086" s="13" t="str">
        <x:v>Real Estate</x:v>
      </x:c>
      <x:c r="F3086" s="13" t="str">
        <x:v>Early Cyclicals</x:v>
      </x:c>
      <x:c r="G3086" s="13" t="str">
        <x:v>grid_asitui1y.xlsx</x:v>
      </x:c>
    </x:row>
    <x:row r="3087">
      <x:c r="A3087" s="15" t="n">
        <x:v>41671</x:v>
      </x:c>
      <x:c r="B3087" s="13" t="str">
        <x:v>SOLID ATIVOS IMOBILIARIOS SA</x:v>
      </x:c>
      <x:c r="C3087" s="16" t="n">
        <x:v>302.5595917151</x:v>
      </x:c>
      <x:c r="D3087" s="13" t="str">
        <x:v>Income Properties</x:v>
      </x:c>
      <x:c r="E3087" s="13" t="str">
        <x:v>Real Estate</x:v>
      </x:c>
      <x:c r="F3087" s="13" t="str">
        <x:v>Early Cyclicals</x:v>
      </x:c>
      <x:c r="G3087" s="13" t="str">
        <x:v>grid_asitui1y.xlsx</x:v>
      </x:c>
    </x:row>
    <x:row r="3088">
      <x:c r="A3088" s="15" t="n">
        <x:v>41671</x:v>
      </x:c>
      <x:c r="B3088" s="13" t="str">
        <x:v>BRADESPAR SA -PREF</x:v>
      </x:c>
      <x:c r="C3088" s="16" t="n">
        <x:v>1287.8328621589</x:v>
      </x:c>
      <x:c r="D3088" s="13" t="str">
        <x:v>Metals &amp; Mining</x:v>
      </x:c>
      <x:c r="E3088" s="13" t="str">
        <x:v>Metals &amp; Mining</x:v>
      </x:c>
      <x:c r="F3088" s="13" t="str">
        <x:v>Deep Cyclicals</x:v>
      </x:c>
      <x:c r="G3088" s="13" t="str">
        <x:v>grid_asitui1y.xlsx</x:v>
      </x:c>
    </x:row>
    <x:row r="3089">
      <x:c r="A3089" s="15" t="n">
        <x:v>41671</x:v>
      </x:c>
      <x:c r="B3089" s="13" t="str">
        <x:v>CIA SIDERURGICA NACIONAL SA</x:v>
      </x:c>
      <x:c r="C3089" s="16" t="n">
        <x:v>1504.8514044493</x:v>
      </x:c>
      <x:c r="D3089" s="13" t="str">
        <x:v>Metals &amp; Mining</x:v>
      </x:c>
      <x:c r="E3089" s="13" t="str">
        <x:v>Metals &amp; Mining</x:v>
      </x:c>
      <x:c r="F3089" s="13" t="str">
        <x:v>Deep Cyclicals</x:v>
      </x:c>
      <x:c r="G3089" s="13" t="str">
        <x:v>grid_asitui1y.xlsx</x:v>
      </x:c>
    </x:row>
    <x:row r="3090">
      <x:c r="A3090" s="15" t="n">
        <x:v>41671</x:v>
      </x:c>
      <x:c r="B3090" s="13" t="str">
        <x:v>GERDAU SA-PREF</x:v>
      </x:c>
      <x:c r="C3090" s="16" t="n">
        <x:v>2367.5140944658</x:v>
      </x:c>
      <x:c r="D3090" s="13" t="str">
        <x:v>Metals &amp; Mining</x:v>
      </x:c>
      <x:c r="E3090" s="13" t="str">
        <x:v>Metals &amp; Mining</x:v>
      </x:c>
      <x:c r="F3090" s="13" t="str">
        <x:v>Deep Cyclicals</x:v>
      </x:c>
      <x:c r="G3090" s="13" t="str">
        <x:v>grid_asitui1y.xlsx</x:v>
      </x:c>
    </x:row>
    <x:row r="3091">
      <x:c r="A3091" s="15" t="n">
        <x:v>41671</x:v>
      </x:c>
      <x:c r="B3091" s="13" t="str">
        <x:v>METALURGICA GERDAU SA-PREF</x:v>
      </x:c>
      <x:c r="C3091" s="16" t="n">
        <x:v>1057.2547945205</x:v>
      </x:c>
      <x:c r="D3091" s="13" t="str">
        <x:v>Metals &amp; Mining</x:v>
      </x:c>
      <x:c r="E3091" s="13" t="str">
        <x:v>Metals &amp; Mining</x:v>
      </x:c>
      <x:c r="F3091" s="13" t="str">
        <x:v>Deep Cyclicals</x:v>
      </x:c>
      <x:c r="G3091" s="13" t="str">
        <x:v>grid_asitui1y.xlsx</x:v>
      </x:c>
    </x:row>
    <x:row r="3092">
      <x:c r="A3092" s="15" t="n">
        <x:v>41671</x:v>
      </x:c>
      <x:c r="B3092" s="13" t="str">
        <x:v>USINAS SIDER MINAS GER-PF A</x:v>
      </x:c>
      <x:c r="C3092" s="16" t="n">
        <x:v>796.8782693699</x:v>
      </x:c>
      <x:c r="D3092" s="13" t="str">
        <x:v>Metals &amp; Mining</x:v>
      </x:c>
      <x:c r="E3092" s="13" t="str">
        <x:v>Metals &amp; Mining</x:v>
      </x:c>
      <x:c r="F3092" s="13" t="str">
        <x:v>Deep Cyclicals</x:v>
      </x:c>
      <x:c r="G3092" s="13" t="str">
        <x:v>grid_asitui1y.xlsx</x:v>
      </x:c>
    </x:row>
    <x:row r="3093">
      <x:c r="A3093" s="15" t="n">
        <x:v>41671</x:v>
      </x:c>
      <x:c r="B3093" s="13" t="str">
        <x:v>VALE SA</x:v>
      </x:c>
      <x:c r="C3093" s="16" t="n">
        <x:v>25014.7243106192</x:v>
      </x:c>
      <x:c r="D3093" s="13" t="str">
        <x:v>Metals &amp; Mining</x:v>
      </x:c>
      <x:c r="E3093" s="13" t="str">
        <x:v>Metals &amp; Mining</x:v>
      </x:c>
      <x:c r="F3093" s="13" t="str">
        <x:v>Deep Cyclicals</x:v>
      </x:c>
      <x:c r="G3093" s="13" t="str">
        <x:v>grid_asitui1y.xlsx</x:v>
      </x:c>
    </x:row>
    <x:row r="3094">
      <x:c r="A3094" s="15" t="n">
        <x:v>41671</x:v>
      </x:c>
      <x:c r="B3094" s="13" t="str">
        <x:v>BRASKEM SA-PREF A</x:v>
      </x:c>
      <x:c r="C3094" s="16" t="n">
        <x:v>1185.0823799233</x:v>
      </x:c>
      <x:c r="D3094" s="13" t="str">
        <x:v>Oil, Gas &amp; Petrochemicals</x:v>
      </x:c>
      <x:c r="E3094" s="13" t="str">
        <x:v>Oil, Gas &amp; Petrochemicals</x:v>
      </x:c>
      <x:c r="F3094" s="13" t="str">
        <x:v>Deep Cyclicals</x:v>
      </x:c>
      <x:c r="G3094" s="13" t="str">
        <x:v>grid_asitui1y.xlsx</x:v>
      </x:c>
    </x:row>
    <x:row r="3095">
      <x:c r="A3095" s="15" t="n">
        <x:v>41671</x:v>
      </x:c>
      <x:c r="B3095" s="13" t="str">
        <x:v>COSAN SA</x:v>
      </x:c>
      <x:c r="C3095" s="16" t="n">
        <x:v>857.7271232877</x:v>
      </x:c>
      <x:c r="D3095" s="13" t="str">
        <x:v>Oil, Gas &amp; Petrochemicals</x:v>
      </x:c>
      <x:c r="E3095" s="13" t="str">
        <x:v>Oil, Gas &amp; Petrochemicals</x:v>
      </x:c>
      <x:c r="F3095" s="13" t="str">
        <x:v>Deep Cyclicals</x:v>
      </x:c>
      <x:c r="G3095" s="13" t="str">
        <x:v>grid_asitui1y.xlsx</x:v>
      </x:c>
    </x:row>
    <x:row r="3096">
      <x:c r="A3096" s="15" t="n">
        <x:v>41671</x:v>
      </x:c>
      <x:c r="B3096" s="13" t="str">
        <x:v>PETROBRAS - PETROLEO BRAS</x:v>
      </x:c>
      <x:c r="C3096" s="16" t="n">
        <x:v>29106.510373874</x:v>
      </x:c>
      <x:c r="D3096" s="13" t="str">
        <x:v>Oil, Gas &amp; Petrochemicals</x:v>
      </x:c>
      <x:c r="E3096" s="13" t="str">
        <x:v>Oil, Gas &amp; Petrochemicals</x:v>
      </x:c>
      <x:c r="F3096" s="13" t="str">
        <x:v>Deep Cyclicals</x:v>
      </x:c>
      <x:c r="G3096" s="13" t="str">
        <x:v>grid_asitui1y.xlsx</x:v>
      </x:c>
    </x:row>
    <x:row r="3097">
      <x:c r="A3097" s="15" t="n">
        <x:v>41671</x:v>
      </x:c>
      <x:c r="B3097" s="13" t="str">
        <x:v>ULTRAPAR PARTICIPACOES SA</x:v>
      </x:c>
      <x:c r="C3097" s="16" t="n">
        <x:v>1417.4873796384</x:v>
      </x:c>
      <x:c r="D3097" s="13" t="str">
        <x:v>Oil, Gas &amp; Petrochemicals</x:v>
      </x:c>
      <x:c r="E3097" s="13" t="str">
        <x:v>Oil, Gas &amp; Petrochemicals</x:v>
      </x:c>
      <x:c r="F3097" s="13" t="str">
        <x:v>Deep Cyclicals</x:v>
      </x:c>
      <x:c r="G3097" s="13" t="str">
        <x:v>grid_asitui1y.xlsx</x:v>
      </x:c>
    </x:row>
    <x:row r="3098">
      <x:c r="A3098" s="15" t="n">
        <x:v>41671</x:v>
      </x:c>
      <x:c r="B3098" s="13" t="str">
        <x:v>DEXCO SA</x:v>
      </x:c>
      <x:c r="C3098" s="16" t="n">
        <x:v>613.3057265973</x:v>
      </x:c>
      <x:c r="D3098" s="13" t="str">
        <x:v>Pulp &amp; Paper</x:v>
      </x:c>
      <x:c r="E3098" s="13" t="str">
        <x:v>Pulp &amp; Paper</x:v>
      </x:c>
      <x:c r="F3098" s="13" t="str">
        <x:v>Deep Cyclicals</x:v>
      </x:c>
      <x:c r="G3098" s="13" t="str">
        <x:v>grid_asitui1y.xlsx</x:v>
      </x:c>
    </x:row>
    <x:row r="3099">
      <x:c r="A3099" s="15" t="n">
        <x:v>41671</x:v>
      </x:c>
      <x:c r="B3099" s="13" t="str">
        <x:v>FIBRIA CELULOSE S/A</x:v>
      </x:c>
      <x:c r="C3099" s="16" t="n">
        <x:v>367.0102039671</x:v>
      </x:c>
      <x:c r="D3099" s="13" t="str">
        <x:v>Pulp &amp; Paper</x:v>
      </x:c>
      <x:c r="E3099" s="13" t="str">
        <x:v>Pulp &amp; Paper</x:v>
      </x:c>
      <x:c r="F3099" s="13" t="str">
        <x:v>Deep Cyclicals</x:v>
      </x:c>
      <x:c r="G3099" s="13" t="str">
        <x:v>grid_asitui1y.xlsx</x:v>
      </x:c>
    </x:row>
    <x:row r="3100">
      <x:c r="A3100" s="15" t="n">
        <x:v>41671</x:v>
      </x:c>
      <x:c r="B3100" s="13" t="str">
        <x:v>KLABIN SA - UNIT</x:v>
      </x:c>
      <x:c r="C3100" s="16" t="n">
        <x:v>583.6767123288</x:v>
      </x:c>
      <x:c r="D3100" s="13" t="str">
        <x:v>Pulp &amp; Paper</x:v>
      </x:c>
      <x:c r="E3100" s="13" t="str">
        <x:v>Pulp &amp; Paper</x:v>
      </x:c>
      <x:c r="F3100" s="13" t="str">
        <x:v>Deep Cyclicals</x:v>
      </x:c>
      <x:c r="G3100" s="13" t="str">
        <x:v>grid_asitui1y.xlsx</x:v>
      </x:c>
    </x:row>
    <x:row r="3101">
      <x:c r="A3101" s="15" t="n">
        <x:v>41671</x:v>
      </x:c>
      <x:c r="B3101" s="13" t="str">
        <x:v>SUZANO PAPEL E CELULO-PREF A</x:v>
      </x:c>
      <x:c r="C3101" s="16" t="n">
        <x:v>537.4517121753</x:v>
      </x:c>
      <x:c r="D3101" s="13" t="str">
        <x:v>Pulp &amp; Paper</x:v>
      </x:c>
      <x:c r="E3101" s="13" t="str">
        <x:v>Pulp &amp; Paper</x:v>
      </x:c>
      <x:c r="F3101" s="13" t="str">
        <x:v>Deep Cyclicals</x:v>
      </x:c>
      <x:c r="G3101" s="13" t="str">
        <x:v>grid_asitui1y.xlsx</x:v>
      </x:c>
    </x:row>
    <x:row r="3102">
      <x:c r="A3102" s="15" t="n">
        <x:v>41671</x:v>
      </x:c>
      <x:c r="B3102" s="13" t="str">
        <x:v>CIA BRASILEIRA DE DIS-PREF</x:v>
      </x:c>
      <x:c r="C3102" s="16" t="n">
        <x:v>1494.4485439123</x:v>
      </x:c>
      <x:c r="D3102" s="13" t="str">
        <x:v>Retail</x:v>
      </x:c>
      <x:c r="E3102" s="13" t="str">
        <x:v>Retail</x:v>
      </x:c>
      <x:c r="F3102" s="13" t="str">
        <x:v>Early Cyclicals</x:v>
      </x:c>
      <x:c r="G3102" s="13" t="str">
        <x:v>grid_asitui1y.xlsx</x:v>
      </x:c>
    </x:row>
    <x:row r="3103">
      <x:c r="A3103" s="15" t="n">
        <x:v>41671</x:v>
      </x:c>
      <x:c r="B3103" s="13" t="str">
        <x:v>CIA HERING</x:v>
      </x:c>
      <x:c r="C3103" s="16" t="n">
        <x:v>352.8805203288</x:v>
      </x:c>
      <x:c r="D3103" s="13" t="str">
        <x:v>Retail</x:v>
      </x:c>
      <x:c r="E3103" s="13" t="str">
        <x:v>Retail</x:v>
      </x:c>
      <x:c r="F3103" s="13" t="str">
        <x:v>Early Cyclicals</x:v>
      </x:c>
      <x:c r="G3103" s="13" t="str">
        <x:v>grid_asitui1y.xlsx</x:v>
      </x:c>
    </x:row>
    <x:row r="3104">
      <x:c r="A3104" s="15" t="n">
        <x:v>41671</x:v>
      </x:c>
      <x:c r="B3104" s="13" t="str">
        <x:v>LOJAS AMERICANAS SA-PREF</x:v>
      </x:c>
      <x:c r="C3104" s="16" t="n">
        <x:v>598.2841312438</x:v>
      </x:c>
      <x:c r="D3104" s="13" t="str">
        <x:v>Retail</x:v>
      </x:c>
      <x:c r="E3104" s="13" t="str">
        <x:v>Retail</x:v>
      </x:c>
      <x:c r="F3104" s="13" t="str">
        <x:v>Early Cyclicals</x:v>
      </x:c>
      <x:c r="G3104" s="13" t="str">
        <x:v>grid_asitui1y.xlsx</x:v>
      </x:c>
    </x:row>
    <x:row r="3105">
      <x:c r="A3105" s="15" t="n">
        <x:v>41671</x:v>
      </x:c>
      <x:c r="B3105" s="13" t="str">
        <x:v>LOJAS RENNER S.A.</x:v>
      </x:c>
      <x:c r="C3105" s="16" t="n">
        <x:v>441.7311038247</x:v>
      </x:c>
      <x:c r="D3105" s="13" t="str">
        <x:v>Retail</x:v>
      </x:c>
      <x:c r="E3105" s="13" t="str">
        <x:v>Retail</x:v>
      </x:c>
      <x:c r="F3105" s="13" t="str">
        <x:v>Early Cyclicals</x:v>
      </x:c>
      <x:c r="G3105" s="13" t="str">
        <x:v>grid_asitui1y.xlsx</x:v>
      </x:c>
    </x:row>
    <x:row r="3106">
      <x:c r="A3106" s="15" t="n">
        <x:v>41671</x:v>
      </x:c>
      <x:c r="B3106" s="13" t="str">
        <x:v>NATURA COSMETICOS SA</x:v>
      </x:c>
      <x:c r="C3106" s="16" t="n">
        <x:v>925.4451747068</x:v>
      </x:c>
      <x:c r="D3106" s="13" t="str">
        <x:v>Retail</x:v>
      </x:c>
      <x:c r="E3106" s="13" t="str">
        <x:v>Retail</x:v>
      </x:c>
      <x:c r="F3106" s="13" t="str">
        <x:v>Early Cyclicals</x:v>
      </x:c>
      <x:c r="G3106" s="13" t="str">
        <x:v>grid_asitui1y.xlsx</x:v>
      </x:c>
    </x:row>
    <x:row r="3107">
      <x:c r="A3107" s="15" t="n">
        <x:v>41671</x:v>
      </x:c>
      <x:c r="B3107" s="13" t="str">
        <x:v>CIA SANEAMENTO BASICO DE SP</x:v>
      </x:c>
      <x:c r="C3107" s="16" t="n">
        <x:v>2034.4151004932</x:v>
      </x:c>
      <x:c r="D3107" s="13" t="str">
        <x:v>Sanitation</x:v>
      </x:c>
      <x:c r="E3107" s="13" t="str">
        <x:v>Utilities</x:v>
      </x:c>
      <x:c r="F3107" s="13" t="str">
        <x:v>Defensives</x:v>
      </x:c>
      <x:c r="G3107" s="13" t="str">
        <x:v>grid_asitui1y.xlsx</x:v>
      </x:c>
    </x:row>
    <x:row r="3108">
      <x:c r="A3108" s="15" t="n">
        <x:v>41671</x:v>
      </x:c>
      <x:c r="B3108" s="13" t="str">
        <x:v>OI SA-PREFERENCE</x:v>
      </x:c>
      <x:c r="C3108" s="16" t="n">
        <x:v>527.8797382137</x:v>
      </x:c>
      <x:c r="D3108" s="13" t="str">
        <x:v>TMT</x:v>
      </x:c>
      <x:c r="E3108" s="13" t="str">
        <x:v>TMT</x:v>
      </x:c>
      <x:c r="F3108" s="13" t="str">
        <x:v>Early Cyclicals</x:v>
      </x:c>
      <x:c r="G3108" s="13" t="str">
        <x:v>grid_asitui1y.xlsx</x:v>
      </x:c>
    </x:row>
    <x:row r="3109">
      <x:c r="A3109" s="15" t="n">
        <x:v>41671</x:v>
      </x:c>
      <x:c r="B3109" s="13" t="str">
        <x:v>TELEFONICA BRASIL S.A.-PREF</x:v>
      </x:c>
      <x:c r="C3109" s="16" t="n">
        <x:v>4053.3069795945</x:v>
      </x:c>
      <x:c r="D3109" s="13" t="str">
        <x:v>TMT</x:v>
      </x:c>
      <x:c r="E3109" s="13" t="str">
        <x:v>TMT</x:v>
      </x:c>
      <x:c r="F3109" s="13" t="str">
        <x:v>Early Cyclicals</x:v>
      </x:c>
      <x:c r="G3109" s="13" t="str">
        <x:v>grid_asitui1y.xlsx</x:v>
      </x:c>
    </x:row>
    <x:row r="3110">
      <x:c r="A3110" s="15" t="n">
        <x:v>41671</x:v>
      </x:c>
      <x:c r="B3110" s="13" t="str">
        <x:v>TIM SA</x:v>
      </x:c>
      <x:c r="C3110" s="16" t="n">
        <x:v>1618.8756122301</x:v>
      </x:c>
      <x:c r="D3110" s="13" t="str">
        <x:v>TMT</x:v>
      </x:c>
      <x:c r="E3110" s="13" t="str">
        <x:v>TMT</x:v>
      </x:c>
      <x:c r="F3110" s="13" t="str">
        <x:v>Early Cyclicals</x:v>
      </x:c>
      <x:c r="G3110" s="13" t="str">
        <x:v>grid_asitui1y.xlsx</x:v>
      </x:c>
    </x:row>
    <x:row r="3111">
      <x:c r="A3111" s="15" t="n">
        <x:v>41671</x:v>
      </x:c>
      <x:c r="B3111" s="13" t="str">
        <x:v>ECORODOVIAS INFRA E LOG SA</x:v>
      </x:c>
      <x:c r="C3111" s="16" t="n">
        <x:v>529.7172764055</x:v>
      </x:c>
      <x:c r="D3111" s="13" t="str">
        <x:v>Transportation</x:v>
      </x:c>
      <x:c r="E3111" s="13" t="str">
        <x:v>Transportation</x:v>
      </x:c>
      <x:c r="F3111" s="13" t="str">
        <x:v>Deep Cyclicals</x:v>
      </x:c>
      <x:c r="G3111" s="13" t="str">
        <x:v>grid_asitui1y.xlsx</x:v>
      </x:c>
    </x:row>
    <x:row r="3112">
      <x:c r="A3112" s="15" t="n">
        <x:v>41671</x:v>
      </x:c>
      <x:c r="B3112" s="13" t="str">
        <x:v>GOL LINHAS AEREAS INT SA-PRE</x:v>
      </x:c>
      <x:c r="C3112" s="16" t="n">
        <x:v>-73.7329506849</x:v>
      </x:c>
      <x:c r="D3112" s="13" t="str">
        <x:v>Transportation</x:v>
      </x:c>
      <x:c r="E3112" s="13" t="str">
        <x:v>Transportation</x:v>
      </x:c>
      <x:c r="F3112" s="13" t="str">
        <x:v>Deep Cyclicals</x:v>
      </x:c>
      <x:c r="G3112" s="13" t="str">
        <x:v>grid_asitui1y.xlsx</x:v>
      </x:c>
    </x:row>
    <x:row r="3113">
      <x:c r="A3113" s="15" t="n">
        <x:v>41671</x:v>
      </x:c>
      <x:c r="B3113" s="13" t="str">
        <x:v>LOCALIZA RENT A CAR</x:v>
      </x:c>
      <x:c r="C3113" s="16" t="n">
        <x:v>400.408601074</x:v>
      </x:c>
      <x:c r="D3113" s="13" t="str">
        <x:v>Transportation</x:v>
      </x:c>
      <x:c r="E3113" s="13" t="str">
        <x:v>Transportation</x:v>
      </x:c>
      <x:c r="F3113" s="13" t="str">
        <x:v>Deep Cyclicals</x:v>
      </x:c>
      <x:c r="G3113" s="13" t="str">
        <x:v>grid_asitui1y.xlsx</x:v>
      </x:c>
    </x:row>
    <x:row r="3114">
      <x:c r="A3114" s="15" t="n">
        <x:v>41671</x:v>
      </x:c>
      <x:c r="B3114" s="13" t="str">
        <x:v>MOTIVA INFRAESTRUTURA DE MOB</x:v>
      </x:c>
      <x:c r="C3114" s="16" t="n">
        <x:v>1670.3521024</x:v>
      </x:c>
      <x:c r="D3114" s="13" t="str">
        <x:v>Transportation</x:v>
      </x:c>
      <x:c r="E3114" s="13" t="str">
        <x:v>Transportation</x:v>
      </x:c>
      <x:c r="F3114" s="13" t="str">
        <x:v>Deep Cyclicals</x:v>
      </x:c>
      <x:c r="G3114" s="13" t="str">
        <x:v>grid_asitui1y.xlsx</x:v>
      </x:c>
    </x:row>
    <x:row r="3115">
      <x:c r="A3115" s="15" t="n">
        <x:v>41671</x:v>
      </x:c>
      <x:c r="B3115" s="13" t="str">
        <x:v>PRUMO LOGISTICA SA</x:v>
      </x:c>
      <x:c r="C3115" s="16" t="n">
        <x:v>-96.2734246575</x:v>
      </x:c>
      <x:c r="D3115" s="13" t="str">
        <x:v>Transportation</x:v>
      </x:c>
      <x:c r="E3115" s="13" t="str">
        <x:v>Transportation</x:v>
      </x:c>
      <x:c r="F3115" s="13" t="str">
        <x:v>Deep Cyclicals</x:v>
      </x:c>
      <x:c r="G3115" s="13" t="str">
        <x:v>grid_asitui1y.xlsx</x:v>
      </x:c>
    </x:row>
    <x:row r="3116">
      <x:c r="A3116" s="15" t="n">
        <x:v>41671</x:v>
      </x:c>
      <x:c r="B3116" s="13" t="str">
        <x:v>RUMO SA</x:v>
      </x:c>
      <x:c r="C3116" s="16" t="n">
        <x:v>331.9920052603</x:v>
      </x:c>
      <x:c r="D3116" s="13" t="str">
        <x:v>Transportation</x:v>
      </x:c>
      <x:c r="E3116" s="13" t="str">
        <x:v>Transportation</x:v>
      </x:c>
      <x:c r="F3116" s="13" t="str">
        <x:v>Deep Cyclicals</x:v>
      </x:c>
      <x:c r="G3116" s="13" t="str">
        <x:v>grid_asitui1y.xlsx</x:v>
      </x:c>
    </x:row>
    <x:row r="3117">
      <x:c r="A3117" s="15" t="n">
        <x:v>41671</x:v>
      </x:c>
      <x:c r="B3117" s="13" t="str">
        <x:v>CESP - CIA ENERGETICA DE SAO</x:v>
      </x:c>
      <x:c r="C3117" s="16" t="n">
        <x:v>1467.6538827397</x:v>
      </x:c>
      <x:c r="D3117" s="13" t="str">
        <x:v>Utilities &amp; Energy</x:v>
      </x:c>
      <x:c r="E3117" s="13" t="str">
        <x:v>Utilities</x:v>
      </x:c>
      <x:c r="F3117" s="13" t="str">
        <x:v>Defensives</x:v>
      </x:c>
      <x:c r="G3117" s="13" t="str">
        <x:v>grid_asitui1y.xlsx</x:v>
      </x:c>
    </x:row>
    <x:row r="3118">
      <x:c r="A3118" s="15" t="n">
        <x:v>41671</x:v>
      </x:c>
      <x:c r="B3118" s="13" t="str">
        <x:v>CIA ENERGETICA MINAS GER-PRF</x:v>
      </x:c>
      <x:c r="C3118" s="16" t="n">
        <x:v>2657.4164073206</x:v>
      </x:c>
      <x:c r="D3118" s="13" t="str">
        <x:v>Utilities &amp; Energy</x:v>
      </x:c>
      <x:c r="E3118" s="13" t="str">
        <x:v>Utilities</x:v>
      </x:c>
      <x:c r="F3118" s="13" t="str">
        <x:v>Defensives</x:v>
      </x:c>
      <x:c r="G3118" s="13" t="str">
        <x:v>grid_asitui1y.xlsx</x:v>
      </x:c>
    </x:row>
    <x:row r="3119">
      <x:c r="A3119" s="15" t="n">
        <x:v>41671</x:v>
      </x:c>
      <x:c r="B3119" s="13" t="str">
        <x:v>COMPANHIA PARANAENSE -PREF B</x:v>
      </x:c>
      <x:c r="C3119" s="16" t="n">
        <x:v>1261.0328870575</x:v>
      </x:c>
      <x:c r="D3119" s="13" t="str">
        <x:v>Utilities &amp; Energy</x:v>
      </x:c>
      <x:c r="E3119" s="13" t="str">
        <x:v>Utilities</x:v>
      </x:c>
      <x:c r="F3119" s="13" t="str">
        <x:v>Defensives</x:v>
      </x:c>
      <x:c r="G3119" s="13" t="str">
        <x:v>grid_asitui1y.xlsx</x:v>
      </x:c>
    </x:row>
    <x:row r="3120">
      <x:c r="A3120" s="15" t="n">
        <x:v>41671</x:v>
      </x:c>
      <x:c r="B3120" s="13" t="str">
        <x:v>CPFL ENERGIA SA</x:v>
      </x:c>
      <x:c r="C3120" s="16" t="n">
        <x:v>1233.5674220712</x:v>
      </x:c>
      <x:c r="D3120" s="13" t="str">
        <x:v>Utilities &amp; Energy</x:v>
      </x:c>
      <x:c r="E3120" s="13" t="str">
        <x:v>Utilities</x:v>
      </x:c>
      <x:c r="F3120" s="13" t="str">
        <x:v>Defensives</x:v>
      </x:c>
      <x:c r="G3120" s="13" t="str">
        <x:v>grid_asitui1y.xlsx</x:v>
      </x:c>
    </x:row>
    <x:row r="3121">
      <x:c r="A3121" s="15" t="n">
        <x:v>41671</x:v>
      </x:c>
      <x:c r="B3121" s="13" t="str">
        <x:v>EDP - ENERGIAS DO BRASIL SA</x:v>
      </x:c>
      <x:c r="C3121" s="16" t="n">
        <x:v>599.7054058959</x:v>
      </x:c>
      <x:c r="D3121" s="13" t="str">
        <x:v>Utilities &amp; Energy</x:v>
      </x:c>
      <x:c r="E3121" s="13" t="str">
        <x:v>Utilities</x:v>
      </x:c>
      <x:c r="F3121" s="13" t="str">
        <x:v>Defensives</x:v>
      </x:c>
      <x:c r="G3121" s="13" t="str">
        <x:v>grid_asitui1y.xlsx</x:v>
      </x:c>
    </x:row>
    <x:row r="3122">
      <x:c r="A3122" s="15" t="n">
        <x:v>41671</x:v>
      </x:c>
      <x:c r="B3122" s="13" t="str">
        <x:v>ELETROPAULO METROPOLI-PREF</x:v>
      </x:c>
      <x:c r="C3122" s="16" t="n">
        <x:v>-123.4980834192</x:v>
      </x:c>
      <x:c r="D3122" s="13" t="str">
        <x:v>Utilities &amp; Energy</x:v>
      </x:c>
      <x:c r="E3122" s="13" t="str">
        <x:v>Utilities</x:v>
      </x:c>
      <x:c r="F3122" s="13" t="str">
        <x:v>Defensives</x:v>
      </x:c>
      <x:c r="G3122" s="13" t="str">
        <x:v>grid_asitui1y.xlsx</x:v>
      </x:c>
    </x:row>
    <x:row r="3123">
      <x:c r="A3123" s="15" t="n">
        <x:v>41671</x:v>
      </x:c>
      <x:c r="B3123" s="13" t="str">
        <x:v>ENGIE BRASIL ENERGIA SA</x:v>
      </x:c>
      <x:c r="C3123" s="16" t="n">
        <x:v>1776.872065052</x:v>
      </x:c>
      <x:c r="D3123" s="13" t="str">
        <x:v>Utilities &amp; Energy</x:v>
      </x:c>
      <x:c r="E3123" s="13" t="str">
        <x:v>Utilities</x:v>
      </x:c>
      <x:c r="F3123" s="13" t="str">
        <x:v>Defensives</x:v>
      </x:c>
      <x:c r="G3123" s="13" t="str">
        <x:v>grid_asitui1y.xlsx</x:v>
      </x:c>
    </x:row>
    <x:row r="3124">
      <x:c r="A3124" s="15" t="n">
        <x:v>41671</x:v>
      </x:c>
      <x:c r="B3124" s="13" t="str">
        <x:v>LIGHT SA</x:v>
      </x:c>
      <x:c r="C3124" s="16" t="n">
        <x:v>456.8527902685</x:v>
      </x:c>
      <x:c r="D3124" s="13" t="str">
        <x:v>Utilities &amp; Energy</x:v>
      </x:c>
      <x:c r="E3124" s="13" t="str">
        <x:v>Utilities</x:v>
      </x:c>
      <x:c r="F3124" s="13" t="str">
        <x:v>Defensives</x:v>
      </x:c>
      <x:c r="G3124" s="13" t="str">
        <x:v>grid_asitui1y.xlsx</x:v>
      </x:c>
    </x:row>
    <x:row r="3125">
      <x:c r="A3125" s="15" t="n">
        <x:v>41699</x:v>
      </x:c>
      <x:c r="B3125" s="13" t="str">
        <x:v>BANCO BRADESCO S.A.</x:v>
      </x:c>
      <x:c r="C3125" s="16" t="n">
        <x:v>14135.7141707397</x:v>
      </x:c>
      <x:c r="D3125" s="13" t="str">
        <x:v>Banks</x:v>
      </x:c>
      <x:c r="E3125" s="13" t="str">
        <x:v>Banks</x:v>
      </x:c>
      <x:c r="F3125" s="13" t="str">
        <x:v>Financials</x:v>
      </x:c>
      <x:c r="G3125" s="13" t="str">
        <x:v>grid_asitui1y.xlsx</x:v>
      </x:c>
    </x:row>
    <x:row r="3126">
      <x:c r="A3126" s="15" t="n">
        <x:v>41699</x:v>
      </x:c>
      <x:c r="B3126" s="13" t="str">
        <x:v>BANCO BRADESCO SA-PREF</x:v>
      </x:c>
      <x:c r="C3126" s="16" t="n">
        <x:v>14135.7141707397</x:v>
      </x:c>
      <x:c r="D3126" s="13" t="str">
        <x:v>Banks</x:v>
      </x:c>
      <x:c r="E3126" s="13" t="str">
        <x:v>Banks</x:v>
      </x:c>
      <x:c r="F3126" s="13" t="str">
        <x:v>Financials</x:v>
      </x:c>
      <x:c r="G3126" s="13" t="str">
        <x:v>grid_asitui1y.xlsx</x:v>
      </x:c>
    </x:row>
    <x:row r="3127">
      <x:c r="A3127" s="15" t="n">
        <x:v>41699</x:v>
      </x:c>
      <x:c r="B3127" s="13" t="str">
        <x:v>BANCO DO BRASIL S.A.</x:v>
      </x:c>
      <x:c r="C3127" s="16" t="n">
        <x:v>10603.259833863</x:v>
      </x:c>
      <x:c r="D3127" s="13" t="str">
        <x:v>Banks</x:v>
      </x:c>
      <x:c r="E3127" s="13" t="str">
        <x:v>Banks</x:v>
      </x:c>
      <x:c r="F3127" s="13" t="str">
        <x:v>Financials</x:v>
      </x:c>
      <x:c r="G3127" s="13" t="str">
        <x:v>grid_asitui1y.xlsx</x:v>
      </x:c>
    </x:row>
    <x:row r="3128">
      <x:c r="A3128" s="15" t="n">
        <x:v>41699</x:v>
      </x:c>
      <x:c r="B3128" s="13" t="str">
        <x:v>BANCO SANTANDER  BRASIL-UNIT</x:v>
      </x:c>
      <x:c r="C3128" s="16" t="n">
        <x:v>5682.2112087671</x:v>
      </x:c>
      <x:c r="D3128" s="13" t="str">
        <x:v>Banks</x:v>
      </x:c>
      <x:c r="E3128" s="13" t="str">
        <x:v>Banks</x:v>
      </x:c>
      <x:c r="F3128" s="13" t="str">
        <x:v>Financials</x:v>
      </x:c>
      <x:c r="G3128" s="13" t="str">
        <x:v>grid_asitui1y.xlsx</x:v>
      </x:c>
    </x:row>
    <x:row r="3129">
      <x:c r="A3129" s="15" t="n">
        <x:v>41699</x:v>
      </x:c>
      <x:c r="B3129" s="13" t="str">
        <x:v>ITAU UNIBANCO HOLDING S-PREF</x:v>
      </x:c>
      <x:c r="C3129" s="16" t="n">
        <x:v>18911.4633678904</x:v>
      </x:c>
      <x:c r="D3129" s="13" t="str">
        <x:v>Banks</x:v>
      </x:c>
      <x:c r="E3129" s="13" t="str">
        <x:v>Banks</x:v>
      </x:c>
      <x:c r="F3129" s="13" t="str">
        <x:v>Financials</x:v>
      </x:c>
      <x:c r="G3129" s="13" t="str">
        <x:v>grid_asitui1y.xlsx</x:v>
      </x:c>
    </x:row>
    <x:row r="3130">
      <x:c r="A3130" s="15" t="n">
        <x:v>41699</x:v>
      </x:c>
      <x:c r="B3130" s="13" t="str">
        <x:v>EMBRAER SA</x:v>
      </x:c>
      <x:c r="C3130" s="16" t="n">
        <x:v>1052.1636865753</x:v>
      </x:c>
      <x:c r="D3130" s="13" t="str">
        <x:v>Capital Goods</x:v>
      </x:c>
      <x:c r="E3130" s="13" t="str">
        <x:v>Capital Goods</x:v>
      </x:c>
      <x:c r="F3130" s="13" t="str">
        <x:v>Deep Cyclicals</x:v>
      </x:c>
      <x:c r="G3130" s="13" t="str">
        <x:v>grid_asitui1y.xlsx</x:v>
      </x:c>
    </x:row>
    <x:row r="3131">
      <x:c r="A3131" s="15" t="n">
        <x:v>41699</x:v>
      </x:c>
      <x:c r="B3131" s="13" t="str">
        <x:v>ANHANGUERA EDUCACIONAL PARTI</x:v>
      </x:c>
      <x:c r="C3131" s="16" t="n">
        <x:v>296.1781076164</x:v>
      </x:c>
      <x:c r="D3131" s="13" t="str">
        <x:v>Education</x:v>
      </x:c>
      <x:c r="E3131" s="13" t="str">
        <x:v>Education</x:v>
      </x:c>
      <x:c r="F3131" s="13" t="str">
        <x:v>Early Cyclicals</x:v>
      </x:c>
      <x:c r="G3131" s="13" t="str">
        <x:v>grid_asitui1y.xlsx</x:v>
      </x:c>
    </x:row>
    <x:row r="3132">
      <x:c r="A3132" s="15" t="n">
        <x:v>41699</x:v>
      </x:c>
      <x:c r="B3132" s="13" t="str">
        <x:v>COGNA EDUCACAO</x:v>
      </x:c>
      <x:c r="C3132" s="16" t="n">
        <x:v>792.551405589</x:v>
      </x:c>
      <x:c r="D3132" s="13" t="str">
        <x:v>Education</x:v>
      </x:c>
      <x:c r="E3132" s="13" t="str">
        <x:v>Education</x:v>
      </x:c>
      <x:c r="F3132" s="13" t="str">
        <x:v>Early Cyclicals</x:v>
      </x:c>
      <x:c r="G3132" s="13" t="str">
        <x:v>grid_asitui1y.xlsx</x:v>
      </x:c>
    </x:row>
    <x:row r="3133">
      <x:c r="A3133" s="15" t="n">
        <x:v>41699</x:v>
      </x:c>
      <x:c r="B3133" s="13" t="str">
        <x:v>YDUQS PARTICIPACOES SA</x:v>
      </x:c>
      <x:c r="C3133" s="16" t="n">
        <x:v>418.1473876164</x:v>
      </x:c>
      <x:c r="D3133" s="13" t="str">
        <x:v>Education</x:v>
      </x:c>
      <x:c r="E3133" s="13" t="str">
        <x:v>Education</x:v>
      </x:c>
      <x:c r="F3133" s="13" t="str">
        <x:v>Early Cyclicals</x:v>
      </x:c>
      <x:c r="G3133" s="13" t="str">
        <x:v>grid_asitui1y.xlsx</x:v>
      </x:c>
    </x:row>
    <x:row r="3134">
      <x:c r="A3134" s="15" t="n">
        <x:v>41699</x:v>
      </x:c>
      <x:c r="B3134" s="13" t="str">
        <x:v>B3 SA-BRASIL BOLSA BALCAO</x:v>
      </x:c>
      <x:c r="C3134" s="16" t="n">
        <x:v>1447.4254956712</x:v>
      </x:c>
      <x:c r="D3134" s="13" t="str">
        <x:v>Financials Non-Banks</x:v>
      </x:c>
      <x:c r="E3134" s="13" t="str">
        <x:v>Financials Non-Banks</x:v>
      </x:c>
      <x:c r="F3134" s="13" t="str">
        <x:v>Financials</x:v>
      </x:c>
      <x:c r="G3134" s="13" t="str">
        <x:v>grid_asitui1y.xlsx</x:v>
      </x:c>
    </x:row>
    <x:row r="3135">
      <x:c r="A3135" s="15" t="n">
        <x:v>41699</x:v>
      </x:c>
      <x:c r="B3135" s="13" t="str">
        <x:v>BB SEGURIDADE PARTICIPACOES</x:v>
      </x:c>
      <x:c r="C3135" s="16" t="n">
        <x:v>3080.4432271781</x:v>
      </x:c>
      <x:c r="D3135" s="13" t="str">
        <x:v>Financials Non-Banks</x:v>
      </x:c>
      <x:c r="E3135" s="13" t="str">
        <x:v>Financials Non-Banks</x:v>
      </x:c>
      <x:c r="F3135" s="13" t="str">
        <x:v>Financials</x:v>
      </x:c>
      <x:c r="G3135" s="13" t="str">
        <x:v>grid_asitui1y.xlsx</x:v>
      </x:c>
    </x:row>
    <x:row r="3136">
      <x:c r="A3136" s="15" t="n">
        <x:v>41699</x:v>
      </x:c>
      <x:c r="B3136" s="13" t="str">
        <x:v>CETIP SA-MERCADOS ORGANIZADO</x:v>
      </x:c>
      <x:c r="C3136" s="16" t="n">
        <x:v>484.8903601096</x:v>
      </x:c>
      <x:c r="D3136" s="13" t="str">
        <x:v>Financials Non-Banks</x:v>
      </x:c>
      <x:c r="E3136" s="13" t="str">
        <x:v>Financials Non-Banks</x:v>
      </x:c>
      <x:c r="F3136" s="13" t="str">
        <x:v>Financials</x:v>
      </x:c>
      <x:c r="G3136" s="13" t="str">
        <x:v>grid_asitui1y.xlsx</x:v>
      </x:c>
    </x:row>
    <x:row r="3137">
      <x:c r="A3137" s="15" t="n">
        <x:v>41699</x:v>
      </x:c>
      <x:c r="B3137" s="13" t="str">
        <x:v>CIELO SA - INSTITUICAO DE PA</x:v>
      </x:c>
      <x:c r="C3137" s="16" t="n">
        <x:v>3106.7007614247</x:v>
      </x:c>
      <x:c r="D3137" s="13" t="str">
        <x:v>Financials Non-Banks</x:v>
      </x:c>
      <x:c r="E3137" s="13" t="str">
        <x:v>Financials Non-Banks</x:v>
      </x:c>
      <x:c r="F3137" s="13" t="str">
        <x:v>Financials</x:v>
      </x:c>
      <x:c r="G3137" s="13" t="str">
        <x:v>grid_asitui1y.xlsx</x:v>
      </x:c>
    </x:row>
    <x:row r="3138">
      <x:c r="A3138" s="15" t="n">
        <x:v>41699</x:v>
      </x:c>
      <x:c r="B3138" s="13" t="str">
        <x:v>ITAUSA SA</x:v>
      </x:c>
      <x:c r="C3138" s="16" t="n">
        <x:v>7100.0959228493</x:v>
      </x:c>
      <x:c r="D3138" s="13" t="str">
        <x:v>Financials Non-Banks</x:v>
      </x:c>
      <x:c r="E3138" s="13" t="str">
        <x:v>Financials Non-Banks</x:v>
      </x:c>
      <x:c r="F3138" s="13" t="str">
        <x:v>Financials</x:v>
      </x:c>
      <x:c r="G3138" s="13" t="str">
        <x:v>grid_asitui1y.xlsx</x:v>
      </x:c>
    </x:row>
    <x:row r="3139">
      <x:c r="A3139" s="15" t="n">
        <x:v>41699</x:v>
      </x:c>
      <x:c r="B3139" s="13" t="str">
        <x:v>AMBEV SA</x:v>
      </x:c>
      <x:c r="C3139" s="16" t="n">
        <x:v>13364.9190996164</x:v>
      </x:c>
      <x:c r="D3139" s="13" t="str">
        <x:v>Food &amp; Beverages</x:v>
      </x:c>
      <x:c r="E3139" s="13" t="str">
        <x:v>Agri, Food &amp; Beverages</x:v>
      </x:c>
      <x:c r="F3139" s="13" t="str">
        <x:v>Defensives</x:v>
      </x:c>
      <x:c r="G3139" s="13" t="str">
        <x:v>grid_asitui1y.xlsx</x:v>
      </x:c>
    </x:row>
    <x:row r="3140">
      <x:c r="A3140" s="15" t="n">
        <x:v>41699</x:v>
      </x:c>
      <x:c r="B3140" s="13" t="str">
        <x:v>BRF SA</x:v>
      </x:c>
      <x:c r="C3140" s="16" t="n">
        <x:v>2129.4690612603</x:v>
      </x:c>
      <x:c r="D3140" s="13" t="str">
        <x:v>Food &amp; Beverages</x:v>
      </x:c>
      <x:c r="E3140" s="13" t="str">
        <x:v>Agri, Food &amp; Beverages</x:v>
      </x:c>
      <x:c r="F3140" s="13" t="str">
        <x:v>Defensives</x:v>
      </x:c>
      <x:c r="G3140" s="13" t="str">
        <x:v>grid_asitui1y.xlsx</x:v>
      </x:c>
    </x:row>
    <x:row r="3141">
      <x:c r="A3141" s="15" t="n">
        <x:v>41699</x:v>
      </x:c>
      <x:c r="B3141" s="13" t="str">
        <x:v>MBRF GLOBAL FOODS COMPANY SA</x:v>
      </x:c>
      <x:c r="C3141" s="16" t="n">
        <x:v>152.509467726</x:v>
      </x:c>
      <x:c r="D3141" s="13" t="str">
        <x:v>Food &amp; Beverages</x:v>
      </x:c>
      <x:c r="E3141" s="13" t="str">
        <x:v>Agri, Food &amp; Beverages</x:v>
      </x:c>
      <x:c r="F3141" s="13" t="str">
        <x:v>Defensives</x:v>
      </x:c>
      <x:c r="G3141" s="13" t="str">
        <x:v>grid_asitui1y.xlsx</x:v>
      </x:c>
    </x:row>
    <x:row r="3142">
      <x:c r="A3142" s="15" t="n">
        <x:v>41699</x:v>
      </x:c>
      <x:c r="B3142" s="13" t="str">
        <x:v>SOUZA CRUZ LTDA</x:v>
      </x:c>
      <x:c r="C3142" s="16" t="n">
        <x:v>1939.6486136986</x:v>
      </x:c>
      <x:c r="D3142" s="13" t="str">
        <x:v>Food &amp; Beverages</x:v>
      </x:c>
      <x:c r="E3142" s="13" t="str">
        <x:v>Agri, Food &amp; Beverages</x:v>
      </x:c>
      <x:c r="F3142" s="13" t="str">
        <x:v>Defensives</x:v>
      </x:c>
      <x:c r="G3142" s="13" t="str">
        <x:v>grid_asitui1y.xlsx</x:v>
      </x:c>
    </x:row>
    <x:row r="3143">
      <x:c r="A3143" s="15" t="n">
        <x:v>41699</x:v>
      </x:c>
      <x:c r="B3143" s="13" t="str">
        <x:v>DIAGNOSTICOS DA AMERICA SA</x:v>
      </x:c>
      <x:c r="C3143" s="16" t="n">
        <x:v>189.0180918356</x:v>
      </x:c>
      <x:c r="D3143" s="13" t="str">
        <x:v>Health Care</x:v>
      </x:c>
      <x:c r="E3143" s="13" t="str">
        <x:v>Health Care</x:v>
      </x:c>
      <x:c r="F3143" s="13" t="str">
        <x:v>Defensives</x:v>
      </x:c>
      <x:c r="G3143" s="13" t="str">
        <x:v>grid_asitui1y.xlsx</x:v>
      </x:c>
    </x:row>
    <x:row r="3144">
      <x:c r="A3144" s="15" t="n">
        <x:v>41699</x:v>
      </x:c>
      <x:c r="B3144" s="13" t="str">
        <x:v>HYPERA SA</x:v>
      </x:c>
      <x:c r="C3144" s="16" t="n">
        <x:v>493.421452274</x:v>
      </x:c>
      <x:c r="D3144" s="13" t="str">
        <x:v>Health Care</x:v>
      </x:c>
      <x:c r="E3144" s="13" t="str">
        <x:v>Health Care</x:v>
      </x:c>
      <x:c r="F3144" s="13" t="str">
        <x:v>Defensives</x:v>
      </x:c>
      <x:c r="G3144" s="13" t="str">
        <x:v>grid_asitui1y.xlsx</x:v>
      </x:c>
    </x:row>
    <x:row r="3145">
      <x:c r="A3145" s="15" t="n">
        <x:v>41699</x:v>
      </x:c>
      <x:c r="B3145" s="13" t="str">
        <x:v>QUALICORP CONS E CORR SEG SA</x:v>
      </x:c>
      <x:c r="C3145" s="16" t="n">
        <x:v>286.6883561644</x:v>
      </x:c>
      <x:c r="D3145" s="13" t="str">
        <x:v>Health Care</x:v>
      </x:c>
      <x:c r="E3145" s="13" t="str">
        <x:v>Health Care</x:v>
      </x:c>
      <x:c r="F3145" s="13" t="str">
        <x:v>Defensives</x:v>
      </x:c>
      <x:c r="G3145" s="13" t="str">
        <x:v>grid_asitui1y.xlsx</x:v>
      </x:c>
    </x:row>
    <x:row r="3146">
      <x:c r="A3146" s="15" t="n">
        <x:v>41699</x:v>
      </x:c>
      <x:c r="B3146" s="13" t="str">
        <x:v>CYRELA BRAZIL REALTY SA EMP</x:v>
      </x:c>
      <x:c r="C3146" s="16" t="n">
        <x:v>845.6660699178</x:v>
      </x:c>
      <x:c r="D3146" s="13" t="str">
        <x:v>Homebuilders</x:v>
      </x:c>
      <x:c r="E3146" s="13" t="str">
        <x:v>Real Estate</x:v>
      </x:c>
      <x:c r="F3146" s="13" t="str">
        <x:v>Early Cyclicals</x:v>
      </x:c>
      <x:c r="G3146" s="13" t="str">
        <x:v>grid_asitui1y.xlsx</x:v>
      </x:c>
    </x:row>
    <x:row r="3147">
      <x:c r="A3147" s="15" t="n">
        <x:v>41699</x:v>
      </x:c>
      <x:c r="B3147" s="13" t="str">
        <x:v>EVEN CONSTRUTORA E INCORPORA</x:v>
      </x:c>
      <x:c r="C3147" s="16" t="n">
        <x:v>342.9287671233</x:v>
      </x:c>
      <x:c r="D3147" s="13" t="str">
        <x:v>Homebuilders</x:v>
      </x:c>
      <x:c r="E3147" s="13" t="str">
        <x:v>Real Estate</x:v>
      </x:c>
      <x:c r="F3147" s="13" t="str">
        <x:v>Early Cyclicals</x:v>
      </x:c>
      <x:c r="G3147" s="13" t="str">
        <x:v>grid_asitui1y.xlsx</x:v>
      </x:c>
    </x:row>
    <x:row r="3148">
      <x:c r="A3148" s="15" t="n">
        <x:v>41699</x:v>
      </x:c>
      <x:c r="B3148" s="13" t="str">
        <x:v>GAFISA SA</x:v>
      </x:c>
      <x:c r="C3148" s="16" t="n">
        <x:v>135.0663952877</x:v>
      </x:c>
      <x:c r="D3148" s="13" t="str">
        <x:v>Homebuilders</x:v>
      </x:c>
      <x:c r="E3148" s="13" t="str">
        <x:v>Real Estate</x:v>
      </x:c>
      <x:c r="F3148" s="13" t="str">
        <x:v>Early Cyclicals</x:v>
      </x:c>
      <x:c r="G3148" s="13" t="str">
        <x:v>grid_asitui1y.xlsx</x:v>
      </x:c>
    </x:row>
    <x:row r="3149">
      <x:c r="A3149" s="15" t="n">
        <x:v>41699</x:v>
      </x:c>
      <x:c r="B3149" s="13" t="str">
        <x:v>MRV ENGENHARIA</x:v>
      </x:c>
      <x:c r="C3149" s="16" t="n">
        <x:v>593.2033244932</x:v>
      </x:c>
      <x:c r="D3149" s="13" t="str">
        <x:v>Homebuilders</x:v>
      </x:c>
      <x:c r="E3149" s="13" t="str">
        <x:v>Real Estate</x:v>
      </x:c>
      <x:c r="F3149" s="13" t="str">
        <x:v>Early Cyclicals</x:v>
      </x:c>
      <x:c r="G3149" s="13" t="str">
        <x:v>grid_asitui1y.xlsx</x:v>
      </x:c>
    </x:row>
    <x:row r="3150">
      <x:c r="A3150" s="15" t="n">
        <x:v>41699</x:v>
      </x:c>
      <x:c r="B3150" s="13" t="str">
        <x:v>PDG REALTY SA</x:v>
      </x:c>
      <x:c r="C3150" s="16" t="n">
        <x:v>-5.4808219178</x:v>
      </x:c>
      <x:c r="D3150" s="13" t="str">
        <x:v>Homebuilders</x:v>
      </x:c>
      <x:c r="E3150" s="13" t="str">
        <x:v>Real Estate</x:v>
      </x:c>
      <x:c r="F3150" s="13" t="str">
        <x:v>Early Cyclicals</x:v>
      </x:c>
      <x:c r="G3150" s="13" t="str">
        <x:v>grid_asitui1y.xlsx</x:v>
      </x:c>
    </x:row>
    <x:row r="3151">
      <x:c r="A3151" s="15" t="n">
        <x:v>41699</x:v>
      </x:c>
      <x:c r="B3151" s="13" t="str">
        <x:v>ROSSI RESIDENCIAL SA</x:v>
      </x:c>
      <x:c r="C3151" s="16" t="n">
        <x:v>65.8479534247</x:v>
      </x:c>
      <x:c r="D3151" s="13" t="str">
        <x:v>Homebuilders</x:v>
      </x:c>
      <x:c r="E3151" s="13" t="str">
        <x:v>Real Estate</x:v>
      </x:c>
      <x:c r="F3151" s="13" t="str">
        <x:v>Early Cyclicals</x:v>
      </x:c>
      <x:c r="G3151" s="13" t="str">
        <x:v>grid_asitui1y.xlsx</x:v>
      </x:c>
    </x:row>
    <x:row r="3152">
      <x:c r="A3152" s="15" t="n">
        <x:v>41699</x:v>
      </x:c>
      <x:c r="B3152" s="13" t="str">
        <x:v>TEGRA INCORPORADORA SA</x:v>
      </x:c>
      <x:c r="C3152" s="16" t="n">
        <x:v>78.6739726027</x:v>
      </x:c>
      <x:c r="D3152" s="13" t="str">
        <x:v>Homebuilders</x:v>
      </x:c>
      <x:c r="E3152" s="13" t="str">
        <x:v>Real Estate</x:v>
      </x:c>
      <x:c r="F3152" s="13" t="str">
        <x:v>Early Cyclicals</x:v>
      </x:c>
      <x:c r="G3152" s="13" t="str">
        <x:v>grid_asitui1y.xlsx</x:v>
      </x:c>
    </x:row>
    <x:row r="3153">
      <x:c r="A3153" s="15" t="n">
        <x:v>41699</x:v>
      </x:c>
      <x:c r="B3153" s="13" t="str">
        <x:v>BR MALLS PARTICIPACOES SA</x:v>
      </x:c>
      <x:c r="C3153" s="16" t="n">
        <x:v>536.7226187397</x:v>
      </x:c>
      <x:c r="D3153" s="13" t="str">
        <x:v>Income Properties</x:v>
      </x:c>
      <x:c r="E3153" s="13" t="str">
        <x:v>Real Estate</x:v>
      </x:c>
      <x:c r="F3153" s="13" t="str">
        <x:v>Early Cyclicals</x:v>
      </x:c>
      <x:c r="G3153" s="13" t="str">
        <x:v>grid_asitui1y.xlsx</x:v>
      </x:c>
    </x:row>
    <x:row r="3154">
      <x:c r="A3154" s="15" t="n">
        <x:v>41699</x:v>
      </x:c>
      <x:c r="B3154" s="13" t="str">
        <x:v>SOLID ATIVOS IMOBILIARIOS SA</x:v>
      </x:c>
      <x:c r="C3154" s="16" t="n">
        <x:v>304.9931506849</x:v>
      </x:c>
      <x:c r="D3154" s="13" t="str">
        <x:v>Income Properties</x:v>
      </x:c>
      <x:c r="E3154" s="13" t="str">
        <x:v>Real Estate</x:v>
      </x:c>
      <x:c r="F3154" s="13" t="str">
        <x:v>Early Cyclicals</x:v>
      </x:c>
      <x:c r="G3154" s="13" t="str">
        <x:v>grid_asitui1y.xlsx</x:v>
      </x:c>
    </x:row>
    <x:row r="3155">
      <x:c r="A3155" s="15" t="n">
        <x:v>41699</x:v>
      </x:c>
      <x:c r="B3155" s="13" t="str">
        <x:v>CIA SIDERURGICA NACIONAL SA</x:v>
      </x:c>
      <x:c r="C3155" s="16" t="n">
        <x:v>1382.7811559452</x:v>
      </x:c>
      <x:c r="D3155" s="13" t="str">
        <x:v>Metals &amp; Mining</x:v>
      </x:c>
      <x:c r="E3155" s="13" t="str">
        <x:v>Metals &amp; Mining</x:v>
      </x:c>
      <x:c r="F3155" s="13" t="str">
        <x:v>Deep Cyclicals</x:v>
      </x:c>
      <x:c r="G3155" s="13" t="str">
        <x:v>grid_asitui1y.xlsx</x:v>
      </x:c>
    </x:row>
    <x:row r="3156">
      <x:c r="A3156" s="15" t="n">
        <x:v>41699</x:v>
      </x:c>
      <x:c r="B3156" s="13" t="str">
        <x:v>GERDAU SA-PREF</x:v>
      </x:c>
      <x:c r="C3156" s="16" t="n">
        <x:v>2262.1029418082</x:v>
      </x:c>
      <x:c r="D3156" s="13" t="str">
        <x:v>Metals &amp; Mining</x:v>
      </x:c>
      <x:c r="E3156" s="13" t="str">
        <x:v>Metals &amp; Mining</x:v>
      </x:c>
      <x:c r="F3156" s="13" t="str">
        <x:v>Deep Cyclicals</x:v>
      </x:c>
      <x:c r="G3156" s="13" t="str">
        <x:v>grid_asitui1y.xlsx</x:v>
      </x:c>
    </x:row>
    <x:row r="3157">
      <x:c r="A3157" s="15" t="n">
        <x:v>41699</x:v>
      </x:c>
      <x:c r="B3157" s="13" t="str">
        <x:v>METALURGICA GERDAU SA-PREF</x:v>
      </x:c>
      <x:c r="C3157" s="16" t="n">
        <x:v>816.6644076712</x:v>
      </x:c>
      <x:c r="D3157" s="13" t="str">
        <x:v>Metals &amp; Mining</x:v>
      </x:c>
      <x:c r="E3157" s="13" t="str">
        <x:v>Metals &amp; Mining</x:v>
      </x:c>
      <x:c r="F3157" s="13" t="str">
        <x:v>Deep Cyclicals</x:v>
      </x:c>
      <x:c r="G3157" s="13" t="str">
        <x:v>grid_asitui1y.xlsx</x:v>
      </x:c>
    </x:row>
    <x:row r="3158">
      <x:c r="A3158" s="15" t="n">
        <x:v>41699</x:v>
      </x:c>
      <x:c r="B3158" s="13" t="str">
        <x:v>USINAS SIDER MINAS GER-PF A</x:v>
      </x:c>
      <x:c r="C3158" s="16" t="n">
        <x:v>742.8184872329</x:v>
      </x:c>
      <x:c r="D3158" s="13" t="str">
        <x:v>Metals &amp; Mining</x:v>
      </x:c>
      <x:c r="E3158" s="13" t="str">
        <x:v>Metals &amp; Mining</x:v>
      </x:c>
      <x:c r="F3158" s="13" t="str">
        <x:v>Deep Cyclicals</x:v>
      </x:c>
      <x:c r="G3158" s="13" t="str">
        <x:v>grid_asitui1y.xlsx</x:v>
      </x:c>
    </x:row>
    <x:row r="3159">
      <x:c r="A3159" s="15" t="n">
        <x:v>41699</x:v>
      </x:c>
      <x:c r="B3159" s="13" t="str">
        <x:v>VALE SA</x:v>
      </x:c>
      <x:c r="C3159" s="16" t="n">
        <x:v>25286.9023210959</x:v>
      </x:c>
      <x:c r="D3159" s="13" t="str">
        <x:v>Metals &amp; Mining</x:v>
      </x:c>
      <x:c r="E3159" s="13" t="str">
        <x:v>Metals &amp; Mining</x:v>
      </x:c>
      <x:c r="F3159" s="13" t="str">
        <x:v>Deep Cyclicals</x:v>
      </x:c>
      <x:c r="G3159" s="13" t="str">
        <x:v>grid_asitui1y.xlsx</x:v>
      </x:c>
    </x:row>
    <x:row r="3160">
      <x:c r="A3160" s="15" t="n">
        <x:v>41699</x:v>
      </x:c>
      <x:c r="B3160" s="13" t="str">
        <x:v>BRASKEM SA-PREF A</x:v>
      </x:c>
      <x:c r="C3160" s="16" t="n">
        <x:v>1196.5356081096</x:v>
      </x:c>
      <x:c r="D3160" s="13" t="str">
        <x:v>Oil, Gas &amp; Petrochemicals</x:v>
      </x:c>
      <x:c r="E3160" s="13" t="str">
        <x:v>Oil, Gas &amp; Petrochemicals</x:v>
      </x:c>
      <x:c r="F3160" s="13" t="str">
        <x:v>Deep Cyclicals</x:v>
      </x:c>
      <x:c r="G3160" s="13" t="str">
        <x:v>grid_asitui1y.xlsx</x:v>
      </x:c>
    </x:row>
    <x:row r="3161">
      <x:c r="A3161" s="15" t="n">
        <x:v>41699</x:v>
      </x:c>
      <x:c r="B3161" s="13" t="str">
        <x:v>COSAN SA</x:v>
      </x:c>
      <x:c r="C3161" s="16" t="n">
        <x:v>703.5136946849</x:v>
      </x:c>
      <x:c r="D3161" s="13" t="str">
        <x:v>Oil, Gas &amp; Petrochemicals</x:v>
      </x:c>
      <x:c r="E3161" s="13" t="str">
        <x:v>Oil, Gas &amp; Petrochemicals</x:v>
      </x:c>
      <x:c r="F3161" s="13" t="str">
        <x:v>Deep Cyclicals</x:v>
      </x:c>
      <x:c r="G3161" s="13" t="str">
        <x:v>grid_asitui1y.xlsx</x:v>
      </x:c>
    </x:row>
    <x:row r="3162">
      <x:c r="A3162" s="15" t="n">
        <x:v>41699</x:v>
      </x:c>
      <x:c r="B3162" s="13" t="str">
        <x:v>PETROBRAS - PETROLEO BRAS</x:v>
      </x:c>
      <x:c r="C3162" s="16" t="n">
        <x:v>30657.6193227397</x:v>
      </x:c>
      <x:c r="D3162" s="13" t="str">
        <x:v>Oil, Gas &amp; Petrochemicals</x:v>
      </x:c>
      <x:c r="E3162" s="13" t="str">
        <x:v>Oil, Gas &amp; Petrochemicals</x:v>
      </x:c>
      <x:c r="F3162" s="13" t="str">
        <x:v>Deep Cyclicals</x:v>
      </x:c>
      <x:c r="G3162" s="13" t="str">
        <x:v>grid_asitui1y.xlsx</x:v>
      </x:c>
    </x:row>
    <x:row r="3163">
      <x:c r="A3163" s="15" t="n">
        <x:v>41699</x:v>
      </x:c>
      <x:c r="B3163" s="13" t="str">
        <x:v>ULTRAPAR PARTICIPACOES SA</x:v>
      </x:c>
      <x:c r="C3163" s="16" t="n">
        <x:v>1441.8419059726</x:v>
      </x:c>
      <x:c r="D3163" s="13" t="str">
        <x:v>Oil, Gas &amp; Petrochemicals</x:v>
      </x:c>
      <x:c r="E3163" s="13" t="str">
        <x:v>Oil, Gas &amp; Petrochemicals</x:v>
      </x:c>
      <x:c r="F3163" s="13" t="str">
        <x:v>Deep Cyclicals</x:v>
      </x:c>
      <x:c r="G3163" s="13" t="str">
        <x:v>grid_asitui1y.xlsx</x:v>
      </x:c>
    </x:row>
    <x:row r="3164">
      <x:c r="A3164" s="15" t="n">
        <x:v>41699</x:v>
      </x:c>
      <x:c r="B3164" s="13" t="str">
        <x:v>DEXCO SA</x:v>
      </x:c>
      <x:c r="C3164" s="16" t="n">
        <x:v>626.3036423014</x:v>
      </x:c>
      <x:c r="D3164" s="13" t="str">
        <x:v>Pulp &amp; Paper</x:v>
      </x:c>
      <x:c r="E3164" s="13" t="str">
        <x:v>Pulp &amp; Paper</x:v>
      </x:c>
      <x:c r="F3164" s="13" t="str">
        <x:v>Deep Cyclicals</x:v>
      </x:c>
      <x:c r="G3164" s="13" t="str">
        <x:v>grid_asitui1y.xlsx</x:v>
      </x:c>
    </x:row>
    <x:row r="3165">
      <x:c r="A3165" s="15" t="n">
        <x:v>41699</x:v>
      </x:c>
      <x:c r="B3165" s="13" t="str">
        <x:v>FIBRIA CELULOSE S/A</x:v>
      </x:c>
      <x:c r="C3165" s="16" t="n">
        <x:v>432.2661269041</x:v>
      </x:c>
      <x:c r="D3165" s="13" t="str">
        <x:v>Pulp &amp; Paper</x:v>
      </x:c>
      <x:c r="E3165" s="13" t="str">
        <x:v>Pulp &amp; Paper</x:v>
      </x:c>
      <x:c r="F3165" s="13" t="str">
        <x:v>Deep Cyclicals</x:v>
      </x:c>
      <x:c r="G3165" s="13" t="str">
        <x:v>grid_asitui1y.xlsx</x:v>
      </x:c>
    </x:row>
    <x:row r="3166">
      <x:c r="A3166" s="15" t="n">
        <x:v>41699</x:v>
      </x:c>
      <x:c r="B3166" s="13" t="str">
        <x:v>KLABIN SA - UNIT</x:v>
      </x:c>
      <x:c r="C3166" s="16" t="n">
        <x:v>508.8475967123</x:v>
      </x:c>
      <x:c r="D3166" s="13" t="str">
        <x:v>Pulp &amp; Paper</x:v>
      </x:c>
      <x:c r="E3166" s="13" t="str">
        <x:v>Pulp &amp; Paper</x:v>
      </x:c>
      <x:c r="F3166" s="13" t="str">
        <x:v>Deep Cyclicals</x:v>
      </x:c>
      <x:c r="G3166" s="13" t="str">
        <x:v>grid_asitui1y.xlsx</x:v>
      </x:c>
    </x:row>
    <x:row r="3167">
      <x:c r="A3167" s="15" t="n">
        <x:v>41699</x:v>
      </x:c>
      <x:c r="B3167" s="13" t="str">
        <x:v>SUZANO PAPEL E CELULO-PREF A</x:v>
      </x:c>
      <x:c r="C3167" s="16" t="n">
        <x:v>541.4423206575</x:v>
      </x:c>
      <x:c r="D3167" s="13" t="str">
        <x:v>Pulp &amp; Paper</x:v>
      </x:c>
      <x:c r="E3167" s="13" t="str">
        <x:v>Pulp &amp; Paper</x:v>
      </x:c>
      <x:c r="F3167" s="13" t="str">
        <x:v>Deep Cyclicals</x:v>
      </x:c>
      <x:c r="G3167" s="13" t="str">
        <x:v>grid_asitui1y.xlsx</x:v>
      </x:c>
    </x:row>
    <x:row r="3168">
      <x:c r="A3168" s="15" t="n">
        <x:v>41699</x:v>
      </x:c>
      <x:c r="B3168" s="13" t="str">
        <x:v>CIA BRASILEIRA DE DIS-PREF</x:v>
      </x:c>
      <x:c r="C3168" s="16" t="n">
        <x:v>1524.8110150137</x:v>
      </x:c>
      <x:c r="D3168" s="13" t="str">
        <x:v>Retail</x:v>
      </x:c>
      <x:c r="E3168" s="13" t="str">
        <x:v>Retail</x:v>
      </x:c>
      <x:c r="F3168" s="13" t="str">
        <x:v>Early Cyclicals</x:v>
      </x:c>
      <x:c r="G3168" s="13" t="str">
        <x:v>grid_asitui1y.xlsx</x:v>
      </x:c>
    </x:row>
    <x:row r="3169">
      <x:c r="A3169" s="15" t="n">
        <x:v>41699</x:v>
      </x:c>
      <x:c r="B3169" s="13" t="str">
        <x:v>CIA HERING</x:v>
      </x:c>
      <x:c r="C3169" s="16" t="n">
        <x:v>354.4729749041</x:v>
      </x:c>
      <x:c r="D3169" s="13" t="str">
        <x:v>Retail</x:v>
      </x:c>
      <x:c r="E3169" s="13" t="str">
        <x:v>Retail</x:v>
      </x:c>
      <x:c r="F3169" s="13" t="str">
        <x:v>Early Cyclicals</x:v>
      </x:c>
      <x:c r="G3169" s="13" t="str">
        <x:v>grid_asitui1y.xlsx</x:v>
      </x:c>
    </x:row>
    <x:row r="3170">
      <x:c r="A3170" s="15" t="n">
        <x:v>41699</x:v>
      </x:c>
      <x:c r="B3170" s="13" t="str">
        <x:v>LOJAS AMERICANAS SA-PREF</x:v>
      </x:c>
      <x:c r="C3170" s="16" t="n">
        <x:v>638.0673955068</x:v>
      </x:c>
      <x:c r="D3170" s="13" t="str">
        <x:v>Retail</x:v>
      </x:c>
      <x:c r="E3170" s="13" t="str">
        <x:v>Retail</x:v>
      </x:c>
      <x:c r="F3170" s="13" t="str">
        <x:v>Early Cyclicals</x:v>
      </x:c>
      <x:c r="G3170" s="13" t="str">
        <x:v>grid_asitui1y.xlsx</x:v>
      </x:c>
    </x:row>
    <x:row r="3171">
      <x:c r="A3171" s="15" t="n">
        <x:v>41699</x:v>
      </x:c>
      <x:c r="B3171" s="13" t="str">
        <x:v>LOJAS RENNER S.A.</x:v>
      </x:c>
      <x:c r="C3171" s="16" t="n">
        <x:v>449.6147340274</x:v>
      </x:c>
      <x:c r="D3171" s="13" t="str">
        <x:v>Retail</x:v>
      </x:c>
      <x:c r="E3171" s="13" t="str">
        <x:v>Retail</x:v>
      </x:c>
      <x:c r="F3171" s="13" t="str">
        <x:v>Early Cyclicals</x:v>
      </x:c>
      <x:c r="G3171" s="13" t="str">
        <x:v>grid_asitui1y.xlsx</x:v>
      </x:c>
    </x:row>
    <x:row r="3172">
      <x:c r="A3172" s="15" t="n">
        <x:v>41699</x:v>
      </x:c>
      <x:c r="B3172" s="13" t="str">
        <x:v>NATURA COSMETICOS SA</x:v>
      </x:c>
      <x:c r="C3172" s="16" t="n">
        <x:v>927.7221093699</x:v>
      </x:c>
      <x:c r="D3172" s="13" t="str">
        <x:v>Retail</x:v>
      </x:c>
      <x:c r="E3172" s="13" t="str">
        <x:v>Retail</x:v>
      </x:c>
      <x:c r="F3172" s="13" t="str">
        <x:v>Early Cyclicals</x:v>
      </x:c>
      <x:c r="G3172" s="13" t="str">
        <x:v>grid_asitui1y.xlsx</x:v>
      </x:c>
    </x:row>
    <x:row r="3173">
      <x:c r="A3173" s="15" t="n">
        <x:v>41699</x:v>
      </x:c>
      <x:c r="B3173" s="13" t="str">
        <x:v>CIA SANEAMENTO BASICO DE SP</x:v>
      </x:c>
      <x:c r="C3173" s="16" t="n">
        <x:v>1822.5097100274</x:v>
      </x:c>
      <x:c r="D3173" s="13" t="str">
        <x:v>Sanitation</x:v>
      </x:c>
      <x:c r="E3173" s="13" t="str">
        <x:v>Utilities</x:v>
      </x:c>
      <x:c r="F3173" s="13" t="str">
        <x:v>Defensives</x:v>
      </x:c>
      <x:c r="G3173" s="13" t="str">
        <x:v>grid_asitui1y.xlsx</x:v>
      </x:c>
    </x:row>
    <x:row r="3174">
      <x:c r="A3174" s="15" t="n">
        <x:v>41699</x:v>
      </x:c>
      <x:c r="B3174" s="13" t="str">
        <x:v>OI SA-PREFERENCE</x:v>
      </x:c>
      <x:c r="C3174" s="16" t="n">
        <x:v>519.5847320548</x:v>
      </x:c>
      <x:c r="D3174" s="13" t="str">
        <x:v>TMT</x:v>
      </x:c>
      <x:c r="E3174" s="13" t="str">
        <x:v>TMT</x:v>
      </x:c>
      <x:c r="F3174" s="13" t="str">
        <x:v>Early Cyclicals</x:v>
      </x:c>
      <x:c r="G3174" s="13" t="str">
        <x:v>grid_asitui1y.xlsx</x:v>
      </x:c>
    </x:row>
    <x:row r="3175">
      <x:c r="A3175" s="15" t="n">
        <x:v>41699</x:v>
      </x:c>
      <x:c r="B3175" s="13" t="str">
        <x:v>TELEFONICA BRASIL S.A.-PREF</x:v>
      </x:c>
      <x:c r="C3175" s="16" t="n">
        <x:v>3925.7567772055</x:v>
      </x:c>
      <x:c r="D3175" s="13" t="str">
        <x:v>TMT</x:v>
      </x:c>
      <x:c r="E3175" s="13" t="str">
        <x:v>TMT</x:v>
      </x:c>
      <x:c r="F3175" s="13" t="str">
        <x:v>Early Cyclicals</x:v>
      </x:c>
      <x:c r="G3175" s="13" t="str">
        <x:v>grid_asitui1y.xlsx</x:v>
      </x:c>
    </x:row>
    <x:row r="3176">
      <x:c r="A3176" s="15" t="n">
        <x:v>41699</x:v>
      </x:c>
      <x:c r="B3176" s="13" t="str">
        <x:v>TIM SA</x:v>
      </x:c>
      <x:c r="C3176" s="16" t="n">
        <x:v>1602.8876870137</x:v>
      </x:c>
      <x:c r="D3176" s="13" t="str">
        <x:v>TMT</x:v>
      </x:c>
      <x:c r="E3176" s="13" t="str">
        <x:v>TMT</x:v>
      </x:c>
      <x:c r="F3176" s="13" t="str">
        <x:v>Early Cyclicals</x:v>
      </x:c>
      <x:c r="G3176" s="13" t="str">
        <x:v>grid_asitui1y.xlsx</x:v>
      </x:c>
    </x:row>
    <x:row r="3177">
      <x:c r="A3177" s="15" t="n">
        <x:v>41699</x:v>
      </x:c>
      <x:c r="B3177" s="13" t="str">
        <x:v>ECORODOVIAS INFRA E LOG SA</x:v>
      </x:c>
      <x:c r="C3177" s="16" t="n">
        <x:v>510.641088</x:v>
      </x:c>
      <x:c r="D3177" s="13" t="str">
        <x:v>Transportation</x:v>
      </x:c>
      <x:c r="E3177" s="13" t="str">
        <x:v>Transportation</x:v>
      </x:c>
      <x:c r="F3177" s="13" t="str">
        <x:v>Deep Cyclicals</x:v>
      </x:c>
      <x:c r="G3177" s="13" t="str">
        <x:v>grid_asitui1y.xlsx</x:v>
      </x:c>
    </x:row>
    <x:row r="3178">
      <x:c r="A3178" s="15" t="n">
        <x:v>41699</x:v>
      </x:c>
      <x:c r="B3178" s="13" t="str">
        <x:v>GOL LINHAS AEREAS INT SA-PRE</x:v>
      </x:c>
      <x:c r="C3178" s="16" t="n">
        <x:v>39.5289041096</x:v>
      </x:c>
      <x:c r="D3178" s="13" t="str">
        <x:v>Transportation</x:v>
      </x:c>
      <x:c r="E3178" s="13" t="str">
        <x:v>Transportation</x:v>
      </x:c>
      <x:c r="F3178" s="13" t="str">
        <x:v>Deep Cyclicals</x:v>
      </x:c>
      <x:c r="G3178" s="13" t="str">
        <x:v>grid_asitui1y.xlsx</x:v>
      </x:c>
    </x:row>
    <x:row r="3179">
      <x:c r="A3179" s="15" t="n">
        <x:v>41699</x:v>
      </x:c>
      <x:c r="B3179" s="13" t="str">
        <x:v>LOCALIZA RENT A CAR</x:v>
      </x:c>
      <x:c r="C3179" s="16" t="n">
        <x:v>397.9463110137</x:v>
      </x:c>
      <x:c r="D3179" s="13" t="str">
        <x:v>Transportation</x:v>
      </x:c>
      <x:c r="E3179" s="13" t="str">
        <x:v>Transportation</x:v>
      </x:c>
      <x:c r="F3179" s="13" t="str">
        <x:v>Deep Cyclicals</x:v>
      </x:c>
      <x:c r="G3179" s="13" t="str">
        <x:v>grid_asitui1y.xlsx</x:v>
      </x:c>
    </x:row>
    <x:row r="3180">
      <x:c r="A3180" s="15" t="n">
        <x:v>41699</x:v>
      </x:c>
      <x:c r="B3180" s="13" t="str">
        <x:v>MOTIVA INFRAESTRUTURA DE MOB</x:v>
      </x:c>
      <x:c r="C3180" s="16" t="n">
        <x:v>1653.4171072877</x:v>
      </x:c>
      <x:c r="D3180" s="13" t="str">
        <x:v>Transportation</x:v>
      </x:c>
      <x:c r="E3180" s="13" t="str">
        <x:v>Transportation</x:v>
      </x:c>
      <x:c r="F3180" s="13" t="str">
        <x:v>Deep Cyclicals</x:v>
      </x:c>
      <x:c r="G3180" s="13" t="str">
        <x:v>grid_asitui1y.xlsx</x:v>
      </x:c>
    </x:row>
    <x:row r="3181">
      <x:c r="A3181" s="15" t="n">
        <x:v>41699</x:v>
      </x:c>
      <x:c r="B3181" s="13" t="str">
        <x:v>PRUMO LOGISTICA SA</x:v>
      </x:c>
      <x:c r="C3181" s="16" t="n">
        <x:v>-55.3095890411</x:v>
      </x:c>
      <x:c r="D3181" s="13" t="str">
        <x:v>Transportation</x:v>
      </x:c>
      <x:c r="E3181" s="13" t="str">
        <x:v>Transportation</x:v>
      </x:c>
      <x:c r="F3181" s="13" t="str">
        <x:v>Deep Cyclicals</x:v>
      </x:c>
      <x:c r="G3181" s="13" t="str">
        <x:v>grid_asitui1y.xlsx</x:v>
      </x:c>
    </x:row>
    <x:row r="3182">
      <x:c r="A3182" s="15" t="n">
        <x:v>41699</x:v>
      </x:c>
      <x:c r="B3182" s="13" t="str">
        <x:v>RUMO SA</x:v>
      </x:c>
      <x:c r="C3182" s="16" t="n">
        <x:v>320.6082095342</x:v>
      </x:c>
      <x:c r="D3182" s="13" t="str">
        <x:v>Transportation</x:v>
      </x:c>
      <x:c r="E3182" s="13" t="str">
        <x:v>Transportation</x:v>
      </x:c>
      <x:c r="F3182" s="13" t="str">
        <x:v>Deep Cyclicals</x:v>
      </x:c>
      <x:c r="G3182" s="13" t="str">
        <x:v>grid_asitui1y.xlsx</x:v>
      </x:c>
    </x:row>
    <x:row r="3183">
      <x:c r="A3183" s="15" t="n">
        <x:v>41699</x:v>
      </x:c>
      <x:c r="B3183" s="13" t="str">
        <x:v>CESP - CIA ENERGETICA DE SAO</x:v>
      </x:c>
      <x:c r="C3183" s="16" t="n">
        <x:v>1584.6506888767</x:v>
      </x:c>
      <x:c r="D3183" s="13" t="str">
        <x:v>Utilities &amp; Energy</x:v>
      </x:c>
      <x:c r="E3183" s="13" t="str">
        <x:v>Utilities</x:v>
      </x:c>
      <x:c r="F3183" s="13" t="str">
        <x:v>Defensives</x:v>
      </x:c>
      <x:c r="G3183" s="13" t="str">
        <x:v>grid_asitui1y.xlsx</x:v>
      </x:c>
    </x:row>
    <x:row r="3184">
      <x:c r="A3184" s="15" t="n">
        <x:v>41699</x:v>
      </x:c>
      <x:c r="B3184" s="13" t="str">
        <x:v>CIA ENERGETICA MINAS GER-PRF</x:v>
      </x:c>
      <x:c r="C3184" s="16" t="n">
        <x:v>2600.0732756164</x:v>
      </x:c>
      <x:c r="D3184" s="13" t="str">
        <x:v>Utilities &amp; Energy</x:v>
      </x:c>
      <x:c r="E3184" s="13" t="str">
        <x:v>Utilities</x:v>
      </x:c>
      <x:c r="F3184" s="13" t="str">
        <x:v>Defensives</x:v>
      </x:c>
      <x:c r="G3184" s="13" t="str">
        <x:v>grid_asitui1y.xlsx</x:v>
      </x:c>
    </x:row>
    <x:row r="3185">
      <x:c r="A3185" s="15" t="n">
        <x:v>41699</x:v>
      </x:c>
      <x:c r="B3185" s="13" t="str">
        <x:v>COMPANHIA PARANAENSE -PREF B</x:v>
      </x:c>
      <x:c r="C3185" s="16" t="n">
        <x:v>1239.2042625753</x:v>
      </x:c>
      <x:c r="D3185" s="13" t="str">
        <x:v>Utilities &amp; Energy</x:v>
      </x:c>
      <x:c r="E3185" s="13" t="str">
        <x:v>Utilities</x:v>
      </x:c>
      <x:c r="F3185" s="13" t="str">
        <x:v>Defensives</x:v>
      </x:c>
      <x:c r="G3185" s="13" t="str">
        <x:v>grid_asitui1y.xlsx</x:v>
      </x:c>
    </x:row>
    <x:row r="3186">
      <x:c r="A3186" s="15" t="n">
        <x:v>41699</x:v>
      </x:c>
      <x:c r="B3186" s="13" t="str">
        <x:v>CPFL ENERGIA SA</x:v>
      </x:c>
      <x:c r="C3186" s="16" t="n">
        <x:v>1242.0948304657</x:v>
      </x:c>
      <x:c r="D3186" s="13" t="str">
        <x:v>Utilities &amp; Energy</x:v>
      </x:c>
      <x:c r="E3186" s="13" t="str">
        <x:v>Utilities</x:v>
      </x:c>
      <x:c r="F3186" s="13" t="str">
        <x:v>Defensives</x:v>
      </x:c>
      <x:c r="G3186" s="13" t="str">
        <x:v>grid_asitui1y.xlsx</x:v>
      </x:c>
    </x:row>
    <x:row r="3187">
      <x:c r="A3187" s="15" t="n">
        <x:v>41699</x:v>
      </x:c>
      <x:c r="B3187" s="13" t="str">
        <x:v>EDP - ENERGIAS DO BRASIL SA</x:v>
      </x:c>
      <x:c r="C3187" s="16" t="n">
        <x:v>599.6740550137</x:v>
      </x:c>
      <x:c r="D3187" s="13" t="str">
        <x:v>Utilities &amp; Energy</x:v>
      </x:c>
      <x:c r="E3187" s="13" t="str">
        <x:v>Utilities</x:v>
      </x:c>
      <x:c r="F3187" s="13" t="str">
        <x:v>Defensives</x:v>
      </x:c>
      <x:c r="G3187" s="13" t="str">
        <x:v>grid_asitui1y.xlsx</x:v>
      </x:c>
    </x:row>
    <x:row r="3188">
      <x:c r="A3188" s="15" t="n">
        <x:v>41699</x:v>
      </x:c>
      <x:c r="B3188" s="13" t="str">
        <x:v>ELETROPAULO METROPOLI-PREF</x:v>
      </x:c>
      <x:c r="C3188" s="16" t="n">
        <x:v>-102.061170411</x:v>
      </x:c>
      <x:c r="D3188" s="13" t="str">
        <x:v>Utilities &amp; Energy</x:v>
      </x:c>
      <x:c r="E3188" s="13" t="str">
        <x:v>Utilities</x:v>
      </x:c>
      <x:c r="F3188" s="13" t="str">
        <x:v>Defensives</x:v>
      </x:c>
      <x:c r="G3188" s="13" t="str">
        <x:v>grid_asitui1y.xlsx</x:v>
      </x:c>
    </x:row>
    <x:row r="3189">
      <x:c r="A3189" s="15" t="n">
        <x:v>41699</x:v>
      </x:c>
      <x:c r="B3189" s="13" t="str">
        <x:v>ENGIE BRASIL ENERGIA SA</x:v>
      </x:c>
      <x:c r="C3189" s="16" t="n">
        <x:v>1755.9678001096</x:v>
      </x:c>
      <x:c r="D3189" s="13" t="str">
        <x:v>Utilities &amp; Energy</x:v>
      </x:c>
      <x:c r="E3189" s="13" t="str">
        <x:v>Utilities</x:v>
      </x:c>
      <x:c r="F3189" s="13" t="str">
        <x:v>Defensives</x:v>
      </x:c>
      <x:c r="G3189" s="13" t="str">
        <x:v>grid_asitui1y.xlsx</x:v>
      </x:c>
    </x:row>
    <x:row r="3190">
      <x:c r="A3190" s="15" t="n">
        <x:v>41699</x:v>
      </x:c>
      <x:c r="B3190" s="13" t="str">
        <x:v>LIGHT SA</x:v>
      </x:c>
      <x:c r="C3190" s="16" t="n">
        <x:v>467.8192526027</x:v>
      </x:c>
      <x:c r="D3190" s="13" t="str">
        <x:v>Utilities &amp; Energy</x:v>
      </x:c>
      <x:c r="E3190" s="13" t="str">
        <x:v>Utilities</x:v>
      </x:c>
      <x:c r="F3190" s="13" t="str">
        <x:v>Defensives</x:v>
      </x:c>
      <x:c r="G3190" s="13" t="str">
        <x:v>grid_asitui1y.xlsx</x:v>
      </x:c>
    </x:row>
    <x:row r="3191">
      <x:c r="A3191" s="15" t="n">
        <x:v>41730</x:v>
      </x:c>
      <x:c r="B3191" s="13" t="str">
        <x:v>BANCO BRADESCO S.A.</x:v>
      </x:c>
      <x:c r="C3191" s="16" t="n">
        <x:v>14306.7383022466</x:v>
      </x:c>
      <x:c r="D3191" s="13" t="str">
        <x:v>Banks</x:v>
      </x:c>
      <x:c r="E3191" s="13" t="str">
        <x:v>Banks</x:v>
      </x:c>
      <x:c r="F3191" s="13" t="str">
        <x:v>Financials</x:v>
      </x:c>
      <x:c r="G3191" s="13" t="str">
        <x:v>grid_asitui1y.xlsx</x:v>
      </x:c>
    </x:row>
    <x:row r="3192">
      <x:c r="A3192" s="15" t="n">
        <x:v>41730</x:v>
      </x:c>
      <x:c r="B3192" s="13" t="str">
        <x:v>BANCO BRADESCO SA-PREF</x:v>
      </x:c>
      <x:c r="C3192" s="16" t="n">
        <x:v>14306.7383022466</x:v>
      </x:c>
      <x:c r="D3192" s="13" t="str">
        <x:v>Banks</x:v>
      </x:c>
      <x:c r="E3192" s="13" t="str">
        <x:v>Banks</x:v>
      </x:c>
      <x:c r="F3192" s="13" t="str">
        <x:v>Financials</x:v>
      </x:c>
      <x:c r="G3192" s="13" t="str">
        <x:v>grid_asitui1y.xlsx</x:v>
      </x:c>
    </x:row>
    <x:row r="3193">
      <x:c r="A3193" s="15" t="n">
        <x:v>41730</x:v>
      </x:c>
      <x:c r="B3193" s="13" t="str">
        <x:v>BANCO DO BRASIL S.A.</x:v>
      </x:c>
      <x:c r="C3193" s="16" t="n">
        <x:v>10670.6464543562</x:v>
      </x:c>
      <x:c r="D3193" s="13" t="str">
        <x:v>Banks</x:v>
      </x:c>
      <x:c r="E3193" s="13" t="str">
        <x:v>Banks</x:v>
      </x:c>
      <x:c r="F3193" s="13" t="str">
        <x:v>Financials</x:v>
      </x:c>
      <x:c r="G3193" s="13" t="str">
        <x:v>grid_asitui1y.xlsx</x:v>
      </x:c>
    </x:row>
    <x:row r="3194">
      <x:c r="A3194" s="15" t="n">
        <x:v>41730</x:v>
      </x:c>
      <x:c r="B3194" s="13" t="str">
        <x:v>BANCO SANTANDER  BRASIL-UNIT</x:v>
      </x:c>
      <x:c r="C3194" s="16" t="n">
        <x:v>5975.2398553425</x:v>
      </x:c>
      <x:c r="D3194" s="13" t="str">
        <x:v>Banks</x:v>
      </x:c>
      <x:c r="E3194" s="13" t="str">
        <x:v>Banks</x:v>
      </x:c>
      <x:c r="F3194" s="13" t="str">
        <x:v>Financials</x:v>
      </x:c>
      <x:c r="G3194" s="13" t="str">
        <x:v>grid_asitui1y.xlsx</x:v>
      </x:c>
    </x:row>
    <x:row r="3195">
      <x:c r="A3195" s="15" t="n">
        <x:v>41730</x:v>
      </x:c>
      <x:c r="B3195" s="13" t="str">
        <x:v>ITAU UNIBANCO HOLDING S-PREF</x:v>
      </x:c>
      <x:c r="C3195" s="16" t="n">
        <x:v>18783.7067151781</x:v>
      </x:c>
      <x:c r="D3195" s="13" t="str">
        <x:v>Banks</x:v>
      </x:c>
      <x:c r="E3195" s="13" t="str">
        <x:v>Banks</x:v>
      </x:c>
      <x:c r="F3195" s="13" t="str">
        <x:v>Financials</x:v>
      </x:c>
      <x:c r="G3195" s="13" t="str">
        <x:v>grid_asitui1y.xlsx</x:v>
      </x:c>
    </x:row>
    <x:row r="3196">
      <x:c r="A3196" s="15" t="n">
        <x:v>41730</x:v>
      </x:c>
      <x:c r="B3196" s="13" t="str">
        <x:v>EMBRAER SA</x:v>
      </x:c>
      <x:c r="C3196" s="16" t="n">
        <x:v>1017.5177924384</x:v>
      </x:c>
      <x:c r="D3196" s="13" t="str">
        <x:v>Capital Goods</x:v>
      </x:c>
      <x:c r="E3196" s="13" t="str">
        <x:v>Capital Goods</x:v>
      </x:c>
      <x:c r="F3196" s="13" t="str">
        <x:v>Deep Cyclicals</x:v>
      </x:c>
      <x:c r="G3196" s="13" t="str">
        <x:v>grid_asitui1y.xlsx</x:v>
      </x:c>
    </x:row>
    <x:row r="3197">
      <x:c r="A3197" s="15" t="n">
        <x:v>41730</x:v>
      </x:c>
      <x:c r="B3197" s="13" t="str">
        <x:v>ANHANGUERA EDUCACIONAL PARTI</x:v>
      </x:c>
      <x:c r="C3197" s="16" t="n">
        <x:v>303.3306932603</x:v>
      </x:c>
      <x:c r="D3197" s="13" t="str">
        <x:v>Education</x:v>
      </x:c>
      <x:c r="E3197" s="13" t="str">
        <x:v>Education</x:v>
      </x:c>
      <x:c r="F3197" s="13" t="str">
        <x:v>Early Cyclicals</x:v>
      </x:c>
      <x:c r="G3197" s="13" t="str">
        <x:v>grid_asitui1y.xlsx</x:v>
      </x:c>
    </x:row>
    <x:row r="3198">
      <x:c r="A3198" s="15" t="n">
        <x:v>41730</x:v>
      </x:c>
      <x:c r="B3198" s="13" t="str">
        <x:v>COGNA EDUCACAO</x:v>
      </x:c>
      <x:c r="C3198" s="16" t="n">
        <x:v>867.0173343562</x:v>
      </x:c>
      <x:c r="D3198" s="13" t="str">
        <x:v>Education</x:v>
      </x:c>
      <x:c r="E3198" s="13" t="str">
        <x:v>Education</x:v>
      </x:c>
      <x:c r="F3198" s="13" t="str">
        <x:v>Early Cyclicals</x:v>
      </x:c>
      <x:c r="G3198" s="13" t="str">
        <x:v>grid_asitui1y.xlsx</x:v>
      </x:c>
    </x:row>
    <x:row r="3199">
      <x:c r="A3199" s="15" t="n">
        <x:v>41730</x:v>
      </x:c>
      <x:c r="B3199" s="13" t="str">
        <x:v>YDUQS PARTICIPACOES SA</x:v>
      </x:c>
      <x:c r="C3199" s="16" t="n">
        <x:v>442.079008</x:v>
      </x:c>
      <x:c r="D3199" s="13" t="str">
        <x:v>Education</x:v>
      </x:c>
      <x:c r="E3199" s="13" t="str">
        <x:v>Education</x:v>
      </x:c>
      <x:c r="F3199" s="13" t="str">
        <x:v>Early Cyclicals</x:v>
      </x:c>
      <x:c r="G3199" s="13" t="str">
        <x:v>grid_asitui1y.xlsx</x:v>
      </x:c>
    </x:row>
    <x:row r="3200">
      <x:c r="A3200" s="15" t="n">
        <x:v>41730</x:v>
      </x:c>
      <x:c r="B3200" s="13" t="str">
        <x:v>B3 SA-BRASIL BOLSA BALCAO</x:v>
      </x:c>
      <x:c r="C3200" s="16" t="n">
        <x:v>1440.9805641644</x:v>
      </x:c>
      <x:c r="D3200" s="13" t="str">
        <x:v>Financials Non-Banks</x:v>
      </x:c>
      <x:c r="E3200" s="13" t="str">
        <x:v>Financials Non-Banks</x:v>
      </x:c>
      <x:c r="F3200" s="13" t="str">
        <x:v>Financials</x:v>
      </x:c>
      <x:c r="G3200" s="13" t="str">
        <x:v>grid_asitui1y.xlsx</x:v>
      </x:c>
    </x:row>
    <x:row r="3201">
      <x:c r="A3201" s="15" t="n">
        <x:v>41730</x:v>
      </x:c>
      <x:c r="B3201" s="13" t="str">
        <x:v>BB SEGURIDADE PARTICIPACOES</x:v>
      </x:c>
      <x:c r="C3201" s="16" t="n">
        <x:v>3156.2408328767</x:v>
      </x:c>
      <x:c r="D3201" s="13" t="str">
        <x:v>Financials Non-Banks</x:v>
      </x:c>
      <x:c r="E3201" s="13" t="str">
        <x:v>Financials Non-Banks</x:v>
      </x:c>
      <x:c r="F3201" s="13" t="str">
        <x:v>Financials</x:v>
      </x:c>
      <x:c r="G3201" s="13" t="str">
        <x:v>grid_asitui1y.xlsx</x:v>
      </x:c>
    </x:row>
    <x:row r="3202">
      <x:c r="A3202" s="15" t="n">
        <x:v>41730</x:v>
      </x:c>
      <x:c r="B3202" s="13" t="str">
        <x:v>CETIP SA-MERCADOS ORGANIZADO</x:v>
      </x:c>
      <x:c r="C3202" s="16" t="n">
        <x:v>497.3424657534</x:v>
      </x:c>
      <x:c r="D3202" s="13" t="str">
        <x:v>Financials Non-Banks</x:v>
      </x:c>
      <x:c r="E3202" s="13" t="str">
        <x:v>Financials Non-Banks</x:v>
      </x:c>
      <x:c r="F3202" s="13" t="str">
        <x:v>Financials</x:v>
      </x:c>
      <x:c r="G3202" s="13" t="str">
        <x:v>grid_asitui1y.xlsx</x:v>
      </x:c>
    </x:row>
    <x:row r="3203">
      <x:c r="A3203" s="15" t="n">
        <x:v>41730</x:v>
      </x:c>
      <x:c r="B3203" s="13" t="str">
        <x:v>CIELO SA - INSTITUICAO DE PA</x:v>
      </x:c>
      <x:c r="C3203" s="16" t="n">
        <x:v>3266.5465126575</x:v>
      </x:c>
      <x:c r="D3203" s="13" t="str">
        <x:v>Financials Non-Banks</x:v>
      </x:c>
      <x:c r="E3203" s="13" t="str">
        <x:v>Financials Non-Banks</x:v>
      </x:c>
      <x:c r="F3203" s="13" t="str">
        <x:v>Financials</x:v>
      </x:c>
      <x:c r="G3203" s="13" t="str">
        <x:v>grid_asitui1y.xlsx</x:v>
      </x:c>
    </x:row>
    <x:row r="3204">
      <x:c r="A3204" s="15" t="n">
        <x:v>41730</x:v>
      </x:c>
      <x:c r="B3204" s="13" t="str">
        <x:v>ITAUSA SA</x:v>
      </x:c>
      <x:c r="C3204" s="16" t="n">
        <x:v>7212.6300510685</x:v>
      </x:c>
      <x:c r="D3204" s="13" t="str">
        <x:v>Financials Non-Banks</x:v>
      </x:c>
      <x:c r="E3204" s="13" t="str">
        <x:v>Financials Non-Banks</x:v>
      </x:c>
      <x:c r="F3204" s="13" t="str">
        <x:v>Financials</x:v>
      </x:c>
      <x:c r="G3204" s="13" t="str">
        <x:v>grid_asitui1y.xlsx</x:v>
      </x:c>
    </x:row>
    <x:row r="3205">
      <x:c r="A3205" s="15" t="n">
        <x:v>41730</x:v>
      </x:c>
      <x:c r="B3205" s="13" t="str">
        <x:v>AMBEV SA</x:v>
      </x:c>
      <x:c r="C3205" s="16" t="n">
        <x:v>13357.6098998356</x:v>
      </x:c>
      <x:c r="D3205" s="13" t="str">
        <x:v>Food &amp; Beverages</x:v>
      </x:c>
      <x:c r="E3205" s="13" t="str">
        <x:v>Agri, Food &amp; Beverages</x:v>
      </x:c>
      <x:c r="F3205" s="13" t="str">
        <x:v>Defensives</x:v>
      </x:c>
      <x:c r="G3205" s="13" t="str">
        <x:v>grid_asitui1y.xlsx</x:v>
      </x:c>
    </x:row>
    <x:row r="3206">
      <x:c r="A3206" s="15" t="n">
        <x:v>41730</x:v>
      </x:c>
      <x:c r="B3206" s="13" t="str">
        <x:v>BRF SA</x:v>
      </x:c>
      <x:c r="C3206" s="16" t="n">
        <x:v>2116.6846527123</x:v>
      </x:c>
      <x:c r="D3206" s="13" t="str">
        <x:v>Food &amp; Beverages</x:v>
      </x:c>
      <x:c r="E3206" s="13" t="str">
        <x:v>Agri, Food &amp; Beverages</x:v>
      </x:c>
      <x:c r="F3206" s="13" t="str">
        <x:v>Defensives</x:v>
      </x:c>
      <x:c r="G3206" s="13" t="str">
        <x:v>grid_asitui1y.xlsx</x:v>
      </x:c>
    </x:row>
    <x:row r="3207">
      <x:c r="A3207" s="15" t="n">
        <x:v>41730</x:v>
      </x:c>
      <x:c r="B3207" s="13" t="str">
        <x:v>MBRF GLOBAL FOODS COMPANY SA</x:v>
      </x:c>
      <x:c r="C3207" s="16" t="n">
        <x:v>188.4167780822</x:v>
      </x:c>
      <x:c r="D3207" s="13" t="str">
        <x:v>Food &amp; Beverages</x:v>
      </x:c>
      <x:c r="E3207" s="13" t="str">
        <x:v>Agri, Food &amp; Beverages</x:v>
      </x:c>
      <x:c r="F3207" s="13" t="str">
        <x:v>Defensives</x:v>
      </x:c>
      <x:c r="G3207" s="13" t="str">
        <x:v>grid_asitui1y.xlsx</x:v>
      </x:c>
    </x:row>
    <x:row r="3208">
      <x:c r="A3208" s="15" t="n">
        <x:v>41730</x:v>
      </x:c>
      <x:c r="B3208" s="13" t="str">
        <x:v>SOUZA CRUZ LTDA</x:v>
      </x:c>
      <x:c r="C3208" s="16" t="n">
        <x:v>1871.2478562192</x:v>
      </x:c>
      <x:c r="D3208" s="13" t="str">
        <x:v>Food &amp; Beverages</x:v>
      </x:c>
      <x:c r="E3208" s="13" t="str">
        <x:v>Agri, Food &amp; Beverages</x:v>
      </x:c>
      <x:c r="F3208" s="13" t="str">
        <x:v>Defensives</x:v>
      </x:c>
      <x:c r="G3208" s="13" t="str">
        <x:v>grid_asitui1y.xlsx</x:v>
      </x:c>
    </x:row>
    <x:row r="3209">
      <x:c r="A3209" s="15" t="n">
        <x:v>41730</x:v>
      </x:c>
      <x:c r="B3209" s="13" t="str">
        <x:v>DIAGNOSTICOS DA AMERICA SA</x:v>
      </x:c>
      <x:c r="C3209" s="16" t="n">
        <x:v>189.7533124384</x:v>
      </x:c>
      <x:c r="D3209" s="13" t="str">
        <x:v>Health Care</x:v>
      </x:c>
      <x:c r="E3209" s="13" t="str">
        <x:v>Health Care</x:v>
      </x:c>
      <x:c r="F3209" s="13" t="str">
        <x:v>Defensives</x:v>
      </x:c>
      <x:c r="G3209" s="13" t="str">
        <x:v>grid_asitui1y.xlsx</x:v>
      </x:c>
    </x:row>
    <x:row r="3210">
      <x:c r="A3210" s="15" t="n">
        <x:v>41730</x:v>
      </x:c>
      <x:c r="B3210" s="13" t="str">
        <x:v>HYPERA SA</x:v>
      </x:c>
      <x:c r="C3210" s="16" t="n">
        <x:v>498.3123857534</x:v>
      </x:c>
      <x:c r="D3210" s="13" t="str">
        <x:v>Health Care</x:v>
      </x:c>
      <x:c r="E3210" s="13" t="str">
        <x:v>Health Care</x:v>
      </x:c>
      <x:c r="F3210" s="13" t="str">
        <x:v>Defensives</x:v>
      </x:c>
      <x:c r="G3210" s="13" t="str">
        <x:v>grid_asitui1y.xlsx</x:v>
      </x:c>
    </x:row>
    <x:row r="3211">
      <x:c r="A3211" s="15" t="n">
        <x:v>41730</x:v>
      </x:c>
      <x:c r="B3211" s="13" t="str">
        <x:v>QUALICORP CONS E CORR SEG SA</x:v>
      </x:c>
      <x:c r="C3211" s="16" t="n">
        <x:v>295.3808219178</x:v>
      </x:c>
      <x:c r="D3211" s="13" t="str">
        <x:v>Health Care</x:v>
      </x:c>
      <x:c r="E3211" s="13" t="str">
        <x:v>Health Care</x:v>
      </x:c>
      <x:c r="F3211" s="13" t="str">
        <x:v>Defensives</x:v>
      </x:c>
      <x:c r="G3211" s="13" t="str">
        <x:v>grid_asitui1y.xlsx</x:v>
      </x:c>
    </x:row>
    <x:row r="3212">
      <x:c r="A3212" s="15" t="n">
        <x:v>41730</x:v>
      </x:c>
      <x:c r="B3212" s="13" t="str">
        <x:v>CYRELA BRAZIL REALTY SA EMP</x:v>
      </x:c>
      <x:c r="C3212" s="16" t="n">
        <x:v>819.8715861918</x:v>
      </x:c>
      <x:c r="D3212" s="13" t="str">
        <x:v>Homebuilders</x:v>
      </x:c>
      <x:c r="E3212" s="13" t="str">
        <x:v>Real Estate</x:v>
      </x:c>
      <x:c r="F3212" s="13" t="str">
        <x:v>Early Cyclicals</x:v>
      </x:c>
      <x:c r="G3212" s="13" t="str">
        <x:v>grid_asitui1y.xlsx</x:v>
      </x:c>
    </x:row>
    <x:row r="3213">
      <x:c r="A3213" s="15" t="n">
        <x:v>41730</x:v>
      </x:c>
      <x:c r="B3213" s="13" t="str">
        <x:v>EVEN CONSTRUTORA E INCORPORA</x:v>
      </x:c>
      <x:c r="C3213" s="16" t="n">
        <x:v>354.8630136986</x:v>
      </x:c>
      <x:c r="D3213" s="13" t="str">
        <x:v>Homebuilders</x:v>
      </x:c>
      <x:c r="E3213" s="13" t="str">
        <x:v>Real Estate</x:v>
      </x:c>
      <x:c r="F3213" s="13" t="str">
        <x:v>Early Cyclicals</x:v>
      </x:c>
      <x:c r="G3213" s="13" t="str">
        <x:v>grid_asitui1y.xlsx</x:v>
      </x:c>
    </x:row>
    <x:row r="3214">
      <x:c r="A3214" s="15" t="n">
        <x:v>41730</x:v>
      </x:c>
      <x:c r="B3214" s="13" t="str">
        <x:v>GAFISA SA</x:v>
      </x:c>
      <x:c r="C3214" s="16" t="n">
        <x:v>124.992065863</x:v>
      </x:c>
      <x:c r="D3214" s="13" t="str">
        <x:v>Homebuilders</x:v>
      </x:c>
      <x:c r="E3214" s="13" t="str">
        <x:v>Real Estate</x:v>
      </x:c>
      <x:c r="F3214" s="13" t="str">
        <x:v>Early Cyclicals</x:v>
      </x:c>
      <x:c r="G3214" s="13" t="str">
        <x:v>grid_asitui1y.xlsx</x:v>
      </x:c>
    </x:row>
    <x:row r="3215">
      <x:c r="A3215" s="15" t="n">
        <x:v>41730</x:v>
      </x:c>
      <x:c r="B3215" s="13" t="str">
        <x:v>MRV ENGENHARIA</x:v>
      </x:c>
      <x:c r="C3215" s="16" t="n">
        <x:v>597.0040521644</x:v>
      </x:c>
      <x:c r="D3215" s="13" t="str">
        <x:v>Homebuilders</x:v>
      </x:c>
      <x:c r="E3215" s="13" t="str">
        <x:v>Real Estate</x:v>
      </x:c>
      <x:c r="F3215" s="13" t="str">
        <x:v>Early Cyclicals</x:v>
      </x:c>
      <x:c r="G3215" s="13" t="str">
        <x:v>grid_asitui1y.xlsx</x:v>
      </x:c>
    </x:row>
    <x:row r="3216">
      <x:c r="A3216" s="15" t="n">
        <x:v>41730</x:v>
      </x:c>
      <x:c r="B3216" s="13" t="str">
        <x:v>PDG REALTY SA</x:v>
      </x:c>
      <x:c r="C3216" s="16" t="n">
        <x:v>-29.4721575342</x:v>
      </x:c>
      <x:c r="D3216" s="13" t="str">
        <x:v>Homebuilders</x:v>
      </x:c>
      <x:c r="E3216" s="13" t="str">
        <x:v>Real Estate</x:v>
      </x:c>
      <x:c r="F3216" s="13" t="str">
        <x:v>Early Cyclicals</x:v>
      </x:c>
      <x:c r="G3216" s="13" t="str">
        <x:v>grid_asitui1y.xlsx</x:v>
      </x:c>
    </x:row>
    <x:row r="3217">
      <x:c r="A3217" s="15" t="n">
        <x:v>41730</x:v>
      </x:c>
      <x:c r="B3217" s="13" t="str">
        <x:v>ROSSI RESIDENCIAL SA</x:v>
      </x:c>
      <x:c r="C3217" s="16" t="n">
        <x:v>52.0819068493</x:v>
      </x:c>
      <x:c r="D3217" s="13" t="str">
        <x:v>Homebuilders</x:v>
      </x:c>
      <x:c r="E3217" s="13" t="str">
        <x:v>Real Estate</x:v>
      </x:c>
      <x:c r="F3217" s="13" t="str">
        <x:v>Early Cyclicals</x:v>
      </x:c>
      <x:c r="G3217" s="13" t="str">
        <x:v>grid_asitui1y.xlsx</x:v>
      </x:c>
    </x:row>
    <x:row r="3218">
      <x:c r="A3218" s="15" t="n">
        <x:v>41730</x:v>
      </x:c>
      <x:c r="B3218" s="13" t="str">
        <x:v>BR MALLS PARTICIPACOES SA</x:v>
      </x:c>
      <x:c r="C3218" s="16" t="n">
        <x:v>537.237030137</x:v>
      </x:c>
      <x:c r="D3218" s="13" t="str">
        <x:v>Income Properties</x:v>
      </x:c>
      <x:c r="E3218" s="13" t="str">
        <x:v>Real Estate</x:v>
      </x:c>
      <x:c r="F3218" s="13" t="str">
        <x:v>Early Cyclicals</x:v>
      </x:c>
      <x:c r="G3218" s="13" t="str">
        <x:v>grid_asitui1y.xlsx</x:v>
      </x:c>
    </x:row>
    <x:row r="3219">
      <x:c r="A3219" s="15" t="n">
        <x:v>41730</x:v>
      </x:c>
      <x:c r="B3219" s="13" t="str">
        <x:v>SOLID ATIVOS IMOBILIARIOS SA</x:v>
      </x:c>
      <x:c r="C3219" s="16" t="n">
        <x:v>314.6630136986</x:v>
      </x:c>
      <x:c r="D3219" s="13" t="str">
        <x:v>Income Properties</x:v>
      </x:c>
      <x:c r="E3219" s="13" t="str">
        <x:v>Real Estate</x:v>
      </x:c>
      <x:c r="F3219" s="13" t="str">
        <x:v>Early Cyclicals</x:v>
      </x:c>
      <x:c r="G3219" s="13" t="str">
        <x:v>grid_asitui1y.xlsx</x:v>
      </x:c>
    </x:row>
    <x:row r="3220">
      <x:c r="A3220" s="15" t="n">
        <x:v>41730</x:v>
      </x:c>
      <x:c r="B3220" s="13" t="str">
        <x:v>BRADESPAR SA -PREF</x:v>
      </x:c>
      <x:c r="C3220" s="16" t="n">
        <x:v>983.2328767123</x:v>
      </x:c>
      <x:c r="D3220" s="13" t="str">
        <x:v>Metals &amp; Mining</x:v>
      </x:c>
      <x:c r="E3220" s="13" t="str">
        <x:v>Metals &amp; Mining</x:v>
      </x:c>
      <x:c r="F3220" s="13" t="str">
        <x:v>Deep Cyclicals</x:v>
      </x:c>
      <x:c r="G3220" s="13" t="str">
        <x:v>grid_asitui1y.xlsx</x:v>
      </x:c>
    </x:row>
    <x:row r="3221">
      <x:c r="A3221" s="15" t="n">
        <x:v>41730</x:v>
      </x:c>
      <x:c r="B3221" s="13" t="str">
        <x:v>CIA SIDERURGICA NACIONAL SA</x:v>
      </x:c>
      <x:c r="C3221" s="16" t="n">
        <x:v>1231.8161323836</x:v>
      </x:c>
      <x:c r="D3221" s="13" t="str">
        <x:v>Metals &amp; Mining</x:v>
      </x:c>
      <x:c r="E3221" s="13" t="str">
        <x:v>Metals &amp; Mining</x:v>
      </x:c>
      <x:c r="F3221" s="13" t="str">
        <x:v>Deep Cyclicals</x:v>
      </x:c>
      <x:c r="G3221" s="13" t="str">
        <x:v>grid_asitui1y.xlsx</x:v>
      </x:c>
    </x:row>
    <x:row r="3222">
      <x:c r="A3222" s="15" t="n">
        <x:v>41730</x:v>
      </x:c>
      <x:c r="B3222" s="13" t="str">
        <x:v>GERDAU SA-PREF</x:v>
      </x:c>
      <x:c r="C3222" s="16" t="n">
        <x:v>2095.9631026849</x:v>
      </x:c>
      <x:c r="D3222" s="13" t="str">
        <x:v>Metals &amp; Mining</x:v>
      </x:c>
      <x:c r="E3222" s="13" t="str">
        <x:v>Metals &amp; Mining</x:v>
      </x:c>
      <x:c r="F3222" s="13" t="str">
        <x:v>Deep Cyclicals</x:v>
      </x:c>
      <x:c r="G3222" s="13" t="str">
        <x:v>grid_asitui1y.xlsx</x:v>
      </x:c>
    </x:row>
    <x:row r="3223">
      <x:c r="A3223" s="15" t="n">
        <x:v>41730</x:v>
      </x:c>
      <x:c r="B3223" s="13" t="str">
        <x:v>METALURGICA GERDAU SA-PREF</x:v>
      </x:c>
      <x:c r="C3223" s="16" t="n">
        <x:v>736.9726132603</x:v>
      </x:c>
      <x:c r="D3223" s="13" t="str">
        <x:v>Metals &amp; Mining</x:v>
      </x:c>
      <x:c r="E3223" s="13" t="str">
        <x:v>Metals &amp; Mining</x:v>
      </x:c>
      <x:c r="F3223" s="13" t="str">
        <x:v>Deep Cyclicals</x:v>
      </x:c>
      <x:c r="G3223" s="13" t="str">
        <x:v>grid_asitui1y.xlsx</x:v>
      </x:c>
    </x:row>
    <x:row r="3224">
      <x:c r="A3224" s="15" t="n">
        <x:v>41730</x:v>
      </x:c>
      <x:c r="B3224" s="13" t="str">
        <x:v>USINAS SIDER MINAS GER-PF A</x:v>
      </x:c>
      <x:c r="C3224" s="16" t="n">
        <x:v>755.5661422466</x:v>
      </x:c>
      <x:c r="D3224" s="13" t="str">
        <x:v>Metals &amp; Mining</x:v>
      </x:c>
      <x:c r="E3224" s="13" t="str">
        <x:v>Metals &amp; Mining</x:v>
      </x:c>
      <x:c r="F3224" s="13" t="str">
        <x:v>Deep Cyclicals</x:v>
      </x:c>
      <x:c r="G3224" s="13" t="str">
        <x:v>grid_asitui1y.xlsx</x:v>
      </x:c>
    </x:row>
    <x:row r="3225">
      <x:c r="A3225" s="15" t="n">
        <x:v>41730</x:v>
      </x:c>
      <x:c r="B3225" s="13" t="str">
        <x:v>VALE SA</x:v>
      </x:c>
      <x:c r="C3225" s="16" t="n">
        <x:v>24728.0640841644</x:v>
      </x:c>
      <x:c r="D3225" s="13" t="str">
        <x:v>Metals &amp; Mining</x:v>
      </x:c>
      <x:c r="E3225" s="13" t="str">
        <x:v>Metals &amp; Mining</x:v>
      </x:c>
      <x:c r="F3225" s="13" t="str">
        <x:v>Deep Cyclicals</x:v>
      </x:c>
      <x:c r="G3225" s="13" t="str">
        <x:v>grid_asitui1y.xlsx</x:v>
      </x:c>
    </x:row>
    <x:row r="3226">
      <x:c r="A3226" s="15" t="n">
        <x:v>41730</x:v>
      </x:c>
      <x:c r="B3226" s="13" t="str">
        <x:v>BRASKEM SA-PREF A</x:v>
      </x:c>
      <x:c r="C3226" s="16" t="n">
        <x:v>1238.9117755616</x:v>
      </x:c>
      <x:c r="D3226" s="13" t="str">
        <x:v>Oil, Gas &amp; Petrochemicals</x:v>
      </x:c>
      <x:c r="E3226" s="13" t="str">
        <x:v>Oil, Gas &amp; Petrochemicals</x:v>
      </x:c>
      <x:c r="F3226" s="13" t="str">
        <x:v>Deep Cyclicals</x:v>
      </x:c>
      <x:c r="G3226" s="13" t="str">
        <x:v>grid_asitui1y.xlsx</x:v>
      </x:c>
    </x:row>
    <x:row r="3227">
      <x:c r="A3227" s="15" t="n">
        <x:v>41730</x:v>
      </x:c>
      <x:c r="B3227" s="13" t="str">
        <x:v>COSAN SA</x:v>
      </x:c>
      <x:c r="C3227" s="16" t="n">
        <x:v>715.4849262466</x:v>
      </x:c>
      <x:c r="D3227" s="13" t="str">
        <x:v>Oil, Gas &amp; Petrochemicals</x:v>
      </x:c>
      <x:c r="E3227" s="13" t="str">
        <x:v>Oil, Gas &amp; Petrochemicals</x:v>
      </x:c>
      <x:c r="F3227" s="13" t="str">
        <x:v>Deep Cyclicals</x:v>
      </x:c>
      <x:c r="G3227" s="13" t="str">
        <x:v>grid_asitui1y.xlsx</x:v>
      </x:c>
    </x:row>
    <x:row r="3228">
      <x:c r="A3228" s="15" t="n">
        <x:v>41730</x:v>
      </x:c>
      <x:c r="B3228" s="13" t="str">
        <x:v>PETROBRAS - PETROLEO BRAS</x:v>
      </x:c>
      <x:c r="C3228" s="16" t="n">
        <x:v>30669.2978323288</x:v>
      </x:c>
      <x:c r="D3228" s="13" t="str">
        <x:v>Oil, Gas &amp; Petrochemicals</x:v>
      </x:c>
      <x:c r="E3228" s="13" t="str">
        <x:v>Oil, Gas &amp; Petrochemicals</x:v>
      </x:c>
      <x:c r="F3228" s="13" t="str">
        <x:v>Deep Cyclicals</x:v>
      </x:c>
      <x:c r="G3228" s="13" t="str">
        <x:v>grid_asitui1y.xlsx</x:v>
      </x:c>
    </x:row>
    <x:row r="3229">
      <x:c r="A3229" s="15" t="n">
        <x:v>41730</x:v>
      </x:c>
      <x:c r="B3229" s="13" t="str">
        <x:v>ULTRAPAR PARTICIPACOES SA</x:v>
      </x:c>
      <x:c r="C3229" s="16" t="n">
        <x:v>1442.2743723836</x:v>
      </x:c>
      <x:c r="D3229" s="13" t="str">
        <x:v>Oil, Gas &amp; Petrochemicals</x:v>
      </x:c>
      <x:c r="E3229" s="13" t="str">
        <x:v>Oil, Gas &amp; Petrochemicals</x:v>
      </x:c>
      <x:c r="F3229" s="13" t="str">
        <x:v>Deep Cyclicals</x:v>
      </x:c>
      <x:c r="G3229" s="13" t="str">
        <x:v>grid_asitui1y.xlsx</x:v>
      </x:c>
    </x:row>
    <x:row r="3230">
      <x:c r="A3230" s="15" t="n">
        <x:v>41730</x:v>
      </x:c>
      <x:c r="B3230" s="13" t="str">
        <x:v>DEXCO SA</x:v>
      </x:c>
      <x:c r="C3230" s="16" t="n">
        <x:v>588.3958794521</x:v>
      </x:c>
      <x:c r="D3230" s="13" t="str">
        <x:v>Pulp &amp; Paper</x:v>
      </x:c>
      <x:c r="E3230" s="13" t="str">
        <x:v>Pulp &amp; Paper</x:v>
      </x:c>
      <x:c r="F3230" s="13" t="str">
        <x:v>Deep Cyclicals</x:v>
      </x:c>
      <x:c r="G3230" s="13" t="str">
        <x:v>grid_asitui1y.xlsx</x:v>
      </x:c>
    </x:row>
    <x:row r="3231">
      <x:c r="A3231" s="15" t="n">
        <x:v>41730</x:v>
      </x:c>
      <x:c r="B3231" s="13" t="str">
        <x:v>FIBRIA CELULOSE S/A</x:v>
      </x:c>
      <x:c r="C3231" s="16" t="n">
        <x:v>386.7547945205</x:v>
      </x:c>
      <x:c r="D3231" s="13" t="str">
        <x:v>Pulp &amp; Paper</x:v>
      </x:c>
      <x:c r="E3231" s="13" t="str">
        <x:v>Pulp &amp; Paper</x:v>
      </x:c>
      <x:c r="F3231" s="13" t="str">
        <x:v>Deep Cyclicals</x:v>
      </x:c>
      <x:c r="G3231" s="13" t="str">
        <x:v>grid_asitui1y.xlsx</x:v>
      </x:c>
    </x:row>
    <x:row r="3232">
      <x:c r="A3232" s="15" t="n">
        <x:v>41730</x:v>
      </x:c>
      <x:c r="B3232" s="13" t="str">
        <x:v>KLABIN SA - UNIT</x:v>
      </x:c>
      <x:c r="C3232" s="16" t="n">
        <x:v>616.5000241096</x:v>
      </x:c>
      <x:c r="D3232" s="13" t="str">
        <x:v>Pulp &amp; Paper</x:v>
      </x:c>
      <x:c r="E3232" s="13" t="str">
        <x:v>Pulp &amp; Paper</x:v>
      </x:c>
      <x:c r="F3232" s="13" t="str">
        <x:v>Deep Cyclicals</x:v>
      </x:c>
      <x:c r="G3232" s="13" t="str">
        <x:v>grid_asitui1y.xlsx</x:v>
      </x:c>
    </x:row>
    <x:row r="3233">
      <x:c r="A3233" s="15" t="n">
        <x:v>41730</x:v>
      </x:c>
      <x:c r="B3233" s="13" t="str">
        <x:v>SUZANO PAPEL E CELULO-PREF A</x:v>
      </x:c>
      <x:c r="C3233" s="16" t="n">
        <x:v>558.4759452055</x:v>
      </x:c>
      <x:c r="D3233" s="13" t="str">
        <x:v>Pulp &amp; Paper</x:v>
      </x:c>
      <x:c r="E3233" s="13" t="str">
        <x:v>Pulp &amp; Paper</x:v>
      </x:c>
      <x:c r="F3233" s="13" t="str">
        <x:v>Deep Cyclicals</x:v>
      </x:c>
      <x:c r="G3233" s="13" t="str">
        <x:v>grid_asitui1y.xlsx</x:v>
      </x:c>
    </x:row>
    <x:row r="3234">
      <x:c r="A3234" s="15" t="n">
        <x:v>41730</x:v>
      </x:c>
      <x:c r="B3234" s="13" t="str">
        <x:v>CIA BRASILEIRA DE DIS-PREF</x:v>
      </x:c>
      <x:c r="C3234" s="16" t="n">
        <x:v>1548.5827401644</x:v>
      </x:c>
      <x:c r="D3234" s="13" t="str">
        <x:v>Retail</x:v>
      </x:c>
      <x:c r="E3234" s="13" t="str">
        <x:v>Retail</x:v>
      </x:c>
      <x:c r="F3234" s="13" t="str">
        <x:v>Early Cyclicals</x:v>
      </x:c>
      <x:c r="G3234" s="13" t="str">
        <x:v>grid_asitui1y.xlsx</x:v>
      </x:c>
    </x:row>
    <x:row r="3235">
      <x:c r="A3235" s="15" t="n">
        <x:v>41730</x:v>
      </x:c>
      <x:c r="B3235" s="13" t="str">
        <x:v>CIA HERING</x:v>
      </x:c>
      <x:c r="C3235" s="16" t="n">
        <x:v>345.6355669041</x:v>
      </x:c>
      <x:c r="D3235" s="13" t="str">
        <x:v>Retail</x:v>
      </x:c>
      <x:c r="E3235" s="13" t="str">
        <x:v>Retail</x:v>
      </x:c>
      <x:c r="F3235" s="13" t="str">
        <x:v>Early Cyclicals</x:v>
      </x:c>
      <x:c r="G3235" s="13" t="str">
        <x:v>grid_asitui1y.xlsx</x:v>
      </x:c>
    </x:row>
    <x:row r="3236">
      <x:c r="A3236" s="15" t="n">
        <x:v>41730</x:v>
      </x:c>
      <x:c r="B3236" s="13" t="str">
        <x:v>LOJAS AMERICANAS SA-PREF</x:v>
      </x:c>
      <x:c r="C3236" s="16" t="n">
        <x:v>632.7287566027</x:v>
      </x:c>
      <x:c r="D3236" s="13" t="str">
        <x:v>Retail</x:v>
      </x:c>
      <x:c r="E3236" s="13" t="str">
        <x:v>Retail</x:v>
      </x:c>
      <x:c r="F3236" s="13" t="str">
        <x:v>Early Cyclicals</x:v>
      </x:c>
      <x:c r="G3236" s="13" t="str">
        <x:v>grid_asitui1y.xlsx</x:v>
      </x:c>
    </x:row>
    <x:row r="3237">
      <x:c r="A3237" s="15" t="n">
        <x:v>41730</x:v>
      </x:c>
      <x:c r="B3237" s="13" t="str">
        <x:v>LOJAS RENNER S.A.</x:v>
      </x:c>
      <x:c r="C3237" s="16" t="n">
        <x:v>456.9577915616</x:v>
      </x:c>
      <x:c r="D3237" s="13" t="str">
        <x:v>Retail</x:v>
      </x:c>
      <x:c r="E3237" s="13" t="str">
        <x:v>Retail</x:v>
      </x:c>
      <x:c r="F3237" s="13" t="str">
        <x:v>Early Cyclicals</x:v>
      </x:c>
      <x:c r="G3237" s="13" t="str">
        <x:v>grid_asitui1y.xlsx</x:v>
      </x:c>
    </x:row>
    <x:row r="3238">
      <x:c r="A3238" s="15" t="n">
        <x:v>41730</x:v>
      </x:c>
      <x:c r="B3238" s="13" t="str">
        <x:v>NATURA COSMETICOS SA</x:v>
      </x:c>
      <x:c r="C3238" s="16" t="n">
        <x:v>922.7133694247</x:v>
      </x:c>
      <x:c r="D3238" s="13" t="str">
        <x:v>Retail</x:v>
      </x:c>
      <x:c r="E3238" s="13" t="str">
        <x:v>Retail</x:v>
      </x:c>
      <x:c r="F3238" s="13" t="str">
        <x:v>Early Cyclicals</x:v>
      </x:c>
      <x:c r="G3238" s="13" t="str">
        <x:v>grid_asitui1y.xlsx</x:v>
      </x:c>
    </x:row>
    <x:row r="3239">
      <x:c r="A3239" s="15" t="n">
        <x:v>41730</x:v>
      </x:c>
      <x:c r="B3239" s="13" t="str">
        <x:v>CIA SANEAMENTO BASICO DE SP</x:v>
      </x:c>
      <x:c r="C3239" s="16" t="n">
        <x:v>1672.5161801644</x:v>
      </x:c>
      <x:c r="D3239" s="13" t="str">
        <x:v>Sanitation</x:v>
      </x:c>
      <x:c r="E3239" s="13" t="str">
        <x:v>Utilities</x:v>
      </x:c>
      <x:c r="F3239" s="13" t="str">
        <x:v>Defensives</x:v>
      </x:c>
      <x:c r="G3239" s="13" t="str">
        <x:v>grid_asitui1y.xlsx</x:v>
      </x:c>
    </x:row>
    <x:row r="3240">
      <x:c r="A3240" s="15" t="n">
        <x:v>41730</x:v>
      </x:c>
      <x:c r="B3240" s="13" t="str">
        <x:v>OI SA-PREFERENCE</x:v>
      </x:c>
      <x:c r="C3240" s="16" t="n">
        <x:v>685.1452054795</x:v>
      </x:c>
      <x:c r="D3240" s="13" t="str">
        <x:v>TMT</x:v>
      </x:c>
      <x:c r="E3240" s="13" t="str">
        <x:v>TMT</x:v>
      </x:c>
      <x:c r="F3240" s="13" t="str">
        <x:v>Early Cyclicals</x:v>
      </x:c>
      <x:c r="G3240" s="13" t="str">
        <x:v>grid_asitui1y.xlsx</x:v>
      </x:c>
    </x:row>
    <x:row r="3241">
      <x:c r="A3241" s="15" t="n">
        <x:v>41730</x:v>
      </x:c>
      <x:c r="B3241" s="13" t="str">
        <x:v>TELEFONICA BRASIL S.A.-PREF</x:v>
      </x:c>
      <x:c r="C3241" s="16" t="n">
        <x:v>3878.4724655343</x:v>
      </x:c>
      <x:c r="D3241" s="13" t="str">
        <x:v>TMT</x:v>
      </x:c>
      <x:c r="E3241" s="13" t="str">
        <x:v>TMT</x:v>
      </x:c>
      <x:c r="F3241" s="13" t="str">
        <x:v>Early Cyclicals</x:v>
      </x:c>
      <x:c r="G3241" s="13" t="str">
        <x:v>grid_asitui1y.xlsx</x:v>
      </x:c>
    </x:row>
    <x:row r="3242">
      <x:c r="A3242" s="15" t="n">
        <x:v>41730</x:v>
      </x:c>
      <x:c r="B3242" s="13" t="str">
        <x:v>TIM SA</x:v>
      </x:c>
      <x:c r="C3242" s="16" t="n">
        <x:v>1605.4879824658</x:v>
      </x:c>
      <x:c r="D3242" s="13" t="str">
        <x:v>TMT</x:v>
      </x:c>
      <x:c r="E3242" s="13" t="str">
        <x:v>TMT</x:v>
      </x:c>
      <x:c r="F3242" s="13" t="str">
        <x:v>Early Cyclicals</x:v>
      </x:c>
      <x:c r="G3242" s="13" t="str">
        <x:v>grid_asitui1y.xlsx</x:v>
      </x:c>
    </x:row>
    <x:row r="3243">
      <x:c r="A3243" s="15" t="n">
        <x:v>41730</x:v>
      </x:c>
      <x:c r="B3243" s="13" t="str">
        <x:v>ECORODOVIAS INFRA E LOG SA</x:v>
      </x:c>
      <x:c r="C3243" s="16" t="n">
        <x:v>504.1230851507</x:v>
      </x:c>
      <x:c r="D3243" s="13" t="str">
        <x:v>Transportation</x:v>
      </x:c>
      <x:c r="E3243" s="13" t="str">
        <x:v>Transportation</x:v>
      </x:c>
      <x:c r="F3243" s="13" t="str">
        <x:v>Deep Cyclicals</x:v>
      </x:c>
      <x:c r="G3243" s="13" t="str">
        <x:v>grid_asitui1y.xlsx</x:v>
      </x:c>
    </x:row>
    <x:row r="3244">
      <x:c r="A3244" s="15" t="n">
        <x:v>41730</x:v>
      </x:c>
      <x:c r="B3244" s="13" t="str">
        <x:v>GOL LINHAS AEREAS INT SA-PRE</x:v>
      </x:c>
      <x:c r="C3244" s="16" t="n">
        <x:v>46.7165068493</x:v>
      </x:c>
      <x:c r="D3244" s="13" t="str">
        <x:v>Transportation</x:v>
      </x:c>
      <x:c r="E3244" s="13" t="str">
        <x:v>Transportation</x:v>
      </x:c>
      <x:c r="F3244" s="13" t="str">
        <x:v>Deep Cyclicals</x:v>
      </x:c>
      <x:c r="G3244" s="13" t="str">
        <x:v>grid_asitui1y.xlsx</x:v>
      </x:c>
    </x:row>
    <x:row r="3245">
      <x:c r="A3245" s="15" t="n">
        <x:v>41730</x:v>
      </x:c>
      <x:c r="B3245" s="13" t="str">
        <x:v>LOCALIZA RENT A CAR</x:v>
      </x:c>
      <x:c r="C3245" s="16" t="n">
        <x:v>410.790701589</x:v>
      </x:c>
      <x:c r="D3245" s="13" t="str">
        <x:v>Transportation</x:v>
      </x:c>
      <x:c r="E3245" s="13" t="str">
        <x:v>Transportation</x:v>
      </x:c>
      <x:c r="F3245" s="13" t="str">
        <x:v>Deep Cyclicals</x:v>
      </x:c>
      <x:c r="G3245" s="13" t="str">
        <x:v>grid_asitui1y.xlsx</x:v>
      </x:c>
    </x:row>
    <x:row r="3246">
      <x:c r="A3246" s="15" t="n">
        <x:v>41730</x:v>
      </x:c>
      <x:c r="B3246" s="13" t="str">
        <x:v>MOTIVA INFRAESTRUTURA DE MOB</x:v>
      </x:c>
      <x:c r="C3246" s="16" t="n">
        <x:v>1649.904268274</x:v>
      </x:c>
      <x:c r="D3246" s="13" t="str">
        <x:v>Transportation</x:v>
      </x:c>
      <x:c r="E3246" s="13" t="str">
        <x:v>Transportation</x:v>
      </x:c>
      <x:c r="F3246" s="13" t="str">
        <x:v>Deep Cyclicals</x:v>
      </x:c>
      <x:c r="G3246" s="13" t="str">
        <x:v>grid_asitui1y.xlsx</x:v>
      </x:c>
    </x:row>
    <x:row r="3247">
      <x:c r="A3247" s="15" t="n">
        <x:v>41730</x:v>
      </x:c>
      <x:c r="B3247" s="13" t="str">
        <x:v>PRUMO LOGISTICA SA</x:v>
      </x:c>
      <x:c r="C3247" s="16" t="n">
        <x:v>-54.4794520548</x:v>
      </x:c>
      <x:c r="D3247" s="13" t="str">
        <x:v>Transportation</x:v>
      </x:c>
      <x:c r="E3247" s="13" t="str">
        <x:v>Transportation</x:v>
      </x:c>
      <x:c r="F3247" s="13" t="str">
        <x:v>Deep Cyclicals</x:v>
      </x:c>
      <x:c r="G3247" s="13" t="str">
        <x:v>grid_asitui1y.xlsx</x:v>
      </x:c>
    </x:row>
    <x:row r="3248">
      <x:c r="A3248" s="15" t="n">
        <x:v>41730</x:v>
      </x:c>
      <x:c r="B3248" s="13" t="str">
        <x:v>RUMO SA</x:v>
      </x:c>
      <x:c r="C3248" s="16" t="n">
        <x:v>331.013586411</x:v>
      </x:c>
      <x:c r="D3248" s="13" t="str">
        <x:v>Transportation</x:v>
      </x:c>
      <x:c r="E3248" s="13" t="str">
        <x:v>Transportation</x:v>
      </x:c>
      <x:c r="F3248" s="13" t="str">
        <x:v>Deep Cyclicals</x:v>
      </x:c>
      <x:c r="G3248" s="13" t="str">
        <x:v>grid_asitui1y.xlsx</x:v>
      </x:c>
    </x:row>
    <x:row r="3249">
      <x:c r="A3249" s="15" t="n">
        <x:v>41730</x:v>
      </x:c>
      <x:c r="B3249" s="13" t="str">
        <x:v>CESP - CIA ENERGETICA DE SAO</x:v>
      </x:c>
      <x:c r="C3249" s="16" t="n">
        <x:v>1609.4339296438</x:v>
      </x:c>
      <x:c r="D3249" s="13" t="str">
        <x:v>Utilities &amp; Energy</x:v>
      </x:c>
      <x:c r="E3249" s="13" t="str">
        <x:v>Utilities</x:v>
      </x:c>
      <x:c r="F3249" s="13" t="str">
        <x:v>Defensives</x:v>
      </x:c>
      <x:c r="G3249" s="13" t="str">
        <x:v>grid_asitui1y.xlsx</x:v>
      </x:c>
    </x:row>
    <x:row r="3250">
      <x:c r="A3250" s="15" t="n">
        <x:v>41730</x:v>
      </x:c>
      <x:c r="B3250" s="13" t="str">
        <x:v>CIA ENERGETICA MINAS GER-PRF</x:v>
      </x:c>
      <x:c r="C3250" s="16" t="n">
        <x:v>2550.0293610959</x:v>
      </x:c>
      <x:c r="D3250" s="13" t="str">
        <x:v>Utilities &amp; Energy</x:v>
      </x:c>
      <x:c r="E3250" s="13" t="str">
        <x:v>Utilities</x:v>
      </x:c>
      <x:c r="F3250" s="13" t="str">
        <x:v>Defensives</x:v>
      </x:c>
      <x:c r="G3250" s="13" t="str">
        <x:v>grid_asitui1y.xlsx</x:v>
      </x:c>
    </x:row>
    <x:row r="3251">
      <x:c r="A3251" s="15" t="n">
        <x:v>41730</x:v>
      </x:c>
      <x:c r="B3251" s="13" t="str">
        <x:v>COMPANHIA PARANAENSE -PREF B</x:v>
      </x:c>
      <x:c r="C3251" s="16" t="n">
        <x:v>1240.3023447671</x:v>
      </x:c>
      <x:c r="D3251" s="13" t="str">
        <x:v>Utilities &amp; Energy</x:v>
      </x:c>
      <x:c r="E3251" s="13" t="str">
        <x:v>Utilities</x:v>
      </x:c>
      <x:c r="F3251" s="13" t="str">
        <x:v>Defensives</x:v>
      </x:c>
      <x:c r="G3251" s="13" t="str">
        <x:v>grid_asitui1y.xlsx</x:v>
      </x:c>
    </x:row>
    <x:row r="3252">
      <x:c r="A3252" s="15" t="n">
        <x:v>41730</x:v>
      </x:c>
      <x:c r="B3252" s="13" t="str">
        <x:v>CPFL ENERGIA SA</x:v>
      </x:c>
      <x:c r="C3252" s="16" t="n">
        <x:v>1253.1997632877</x:v>
      </x:c>
      <x:c r="D3252" s="13" t="str">
        <x:v>Utilities &amp; Energy</x:v>
      </x:c>
      <x:c r="E3252" s="13" t="str">
        <x:v>Utilities</x:v>
      </x:c>
      <x:c r="F3252" s="13" t="str">
        <x:v>Defensives</x:v>
      </x:c>
      <x:c r="G3252" s="13" t="str">
        <x:v>grid_asitui1y.xlsx</x:v>
      </x:c>
    </x:row>
    <x:row r="3253">
      <x:c r="A3253" s="15" t="n">
        <x:v>41730</x:v>
      </x:c>
      <x:c r="B3253" s="13" t="str">
        <x:v>EDP - ENERGIAS DO BRASIL SA</x:v>
      </x:c>
      <x:c r="C3253" s="16" t="n">
        <x:v>598.4583583562</x:v>
      </x:c>
      <x:c r="D3253" s="13" t="str">
        <x:v>Utilities &amp; Energy</x:v>
      </x:c>
      <x:c r="E3253" s="13" t="str">
        <x:v>Utilities</x:v>
      </x:c>
      <x:c r="F3253" s="13" t="str">
        <x:v>Defensives</x:v>
      </x:c>
      <x:c r="G3253" s="13" t="str">
        <x:v>grid_asitui1y.xlsx</x:v>
      </x:c>
    </x:row>
    <x:row r="3254">
      <x:c r="A3254" s="15" t="n">
        <x:v>41730</x:v>
      </x:c>
      <x:c r="B3254" s="13" t="str">
        <x:v>ELETROPAULO METROPOLI-PREF</x:v>
      </x:c>
      <x:c r="C3254" s="16" t="n">
        <x:v>-84.6872245479</x:v>
      </x:c>
      <x:c r="D3254" s="13" t="str">
        <x:v>Utilities &amp; Energy</x:v>
      </x:c>
      <x:c r="E3254" s="13" t="str">
        <x:v>Utilities</x:v>
      </x:c>
      <x:c r="F3254" s="13" t="str">
        <x:v>Defensives</x:v>
      </x:c>
      <x:c r="G3254" s="13" t="str">
        <x:v>grid_asitui1y.xlsx</x:v>
      </x:c>
    </x:row>
    <x:row r="3255">
      <x:c r="A3255" s="15" t="n">
        <x:v>41730</x:v>
      </x:c>
      <x:c r="B3255" s="13" t="str">
        <x:v>ENGIE BRASIL ENERGIA SA</x:v>
      </x:c>
      <x:c r="C3255" s="16" t="n">
        <x:v>1751.4407013699</x:v>
      </x:c>
      <x:c r="D3255" s="13" t="str">
        <x:v>Utilities &amp; Energy</x:v>
      </x:c>
      <x:c r="E3255" s="13" t="str">
        <x:v>Utilities</x:v>
      </x:c>
      <x:c r="F3255" s="13" t="str">
        <x:v>Defensives</x:v>
      </x:c>
      <x:c r="G3255" s="13" t="str">
        <x:v>grid_asitui1y.xlsx</x:v>
      </x:c>
    </x:row>
    <x:row r="3256">
      <x:c r="A3256" s="15" t="n">
        <x:v>41730</x:v>
      </x:c>
      <x:c r="B3256" s="13" t="str">
        <x:v>LIGHT SA</x:v>
      </x:c>
      <x:c r="C3256" s="16" t="n">
        <x:v>475.285312</x:v>
      </x:c>
      <x:c r="D3256" s="13" t="str">
        <x:v>Utilities &amp; Energy</x:v>
      </x:c>
      <x:c r="E3256" s="13" t="str">
        <x:v>Utilities</x:v>
      </x:c>
      <x:c r="F3256" s="13" t="str">
        <x:v>Defensives</x:v>
      </x:c>
      <x:c r="G3256" s="13" t="str">
        <x:v>grid_asitui1y.xlsx</x:v>
      </x:c>
    </x:row>
    <x:row r="3257">
      <x:c r="A3257" s="15" t="n">
        <x:v>41760</x:v>
      </x:c>
      <x:c r="B3257" s="13" t="str">
        <x:v>BANCO BRADESCO S.A.</x:v>
      </x:c>
      <x:c r="C3257" s="16" t="n">
        <x:v>14585.2933751233</x:v>
      </x:c>
      <x:c r="D3257" s="13" t="str">
        <x:v>Banks</x:v>
      </x:c>
      <x:c r="E3257" s="13" t="str">
        <x:v>Banks</x:v>
      </x:c>
      <x:c r="F3257" s="13" t="str">
        <x:v>Financials</x:v>
      </x:c>
      <x:c r="G3257" s="13" t="str">
        <x:v>grid_asitui1y.xlsx</x:v>
      </x:c>
    </x:row>
    <x:row r="3258">
      <x:c r="A3258" s="15" t="n">
        <x:v>41760</x:v>
      </x:c>
      <x:c r="B3258" s="13" t="str">
        <x:v>BANCO BRADESCO SA-PREF</x:v>
      </x:c>
      <x:c r="C3258" s="16" t="n">
        <x:v>14585.2933751233</x:v>
      </x:c>
      <x:c r="D3258" s="13" t="str">
        <x:v>Banks</x:v>
      </x:c>
      <x:c r="E3258" s="13" t="str">
        <x:v>Banks</x:v>
      </x:c>
      <x:c r="F3258" s="13" t="str">
        <x:v>Financials</x:v>
      </x:c>
      <x:c r="G3258" s="13" t="str">
        <x:v>grid_asitui1y.xlsx</x:v>
      </x:c>
    </x:row>
    <x:row r="3259">
      <x:c r="A3259" s="15" t="n">
        <x:v>41760</x:v>
      </x:c>
      <x:c r="B3259" s="13" t="str">
        <x:v>BANCO DO BRASIL S.A.</x:v>
      </x:c>
      <x:c r="C3259" s="16" t="n">
        <x:v>10577.2219125479</x:v>
      </x:c>
      <x:c r="D3259" s="13" t="str">
        <x:v>Banks</x:v>
      </x:c>
      <x:c r="E3259" s="13" t="str">
        <x:v>Banks</x:v>
      </x:c>
      <x:c r="F3259" s="13" t="str">
        <x:v>Financials</x:v>
      </x:c>
      <x:c r="G3259" s="13" t="str">
        <x:v>grid_asitui1y.xlsx</x:v>
      </x:c>
    </x:row>
    <x:row r="3260">
      <x:c r="A3260" s="15" t="n">
        <x:v>41760</x:v>
      </x:c>
      <x:c r="B3260" s="13" t="str">
        <x:v>BANCO SANTANDER  BRASIL-UNIT</x:v>
      </x:c>
      <x:c r="C3260" s="16" t="n">
        <x:v>6208.3546336438</x:v>
      </x:c>
      <x:c r="D3260" s="13" t="str">
        <x:v>Banks</x:v>
      </x:c>
      <x:c r="E3260" s="13" t="str">
        <x:v>Banks</x:v>
      </x:c>
      <x:c r="F3260" s="13" t="str">
        <x:v>Financials</x:v>
      </x:c>
      <x:c r="G3260" s="13" t="str">
        <x:v>grid_asitui1y.xlsx</x:v>
      </x:c>
    </x:row>
    <x:row r="3261">
      <x:c r="A3261" s="15" t="n">
        <x:v>41760</x:v>
      </x:c>
      <x:c r="B3261" s="13" t="str">
        <x:v>ITAU UNIBANCO HOLDING S-PREF</x:v>
      </x:c>
      <x:c r="C3261" s="16" t="n">
        <x:v>19101.3464092055</x:v>
      </x:c>
      <x:c r="D3261" s="13" t="str">
        <x:v>Banks</x:v>
      </x:c>
      <x:c r="E3261" s="13" t="str">
        <x:v>Banks</x:v>
      </x:c>
      <x:c r="F3261" s="13" t="str">
        <x:v>Financials</x:v>
      </x:c>
      <x:c r="G3261" s="13" t="str">
        <x:v>grid_asitui1y.xlsx</x:v>
      </x:c>
    </x:row>
    <x:row r="3262">
      <x:c r="A3262" s="15" t="n">
        <x:v>41760</x:v>
      </x:c>
      <x:c r="B3262" s="13" t="str">
        <x:v>EMBRAER SA</x:v>
      </x:c>
      <x:c r="C3262" s="16" t="n">
        <x:v>1062.174208</x:v>
      </x:c>
      <x:c r="D3262" s="13" t="str">
        <x:v>Capital Goods</x:v>
      </x:c>
      <x:c r="E3262" s="13" t="str">
        <x:v>Capital Goods</x:v>
      </x:c>
      <x:c r="F3262" s="13" t="str">
        <x:v>Deep Cyclicals</x:v>
      </x:c>
      <x:c r="G3262" s="13" t="str">
        <x:v>grid_asitui1y.xlsx</x:v>
      </x:c>
    </x:row>
    <x:row r="3263">
      <x:c r="A3263" s="15" t="n">
        <x:v>41760</x:v>
      </x:c>
      <x:c r="B3263" s="13" t="str">
        <x:v>ANHANGUERA EDUCACIONAL PARTI</x:v>
      </x:c>
      <x:c r="C3263" s="16" t="n">
        <x:v>301.4680363836</x:v>
      </x:c>
      <x:c r="D3263" s="13" t="str">
        <x:v>Education</x:v>
      </x:c>
      <x:c r="E3263" s="13" t="str">
        <x:v>Education</x:v>
      </x:c>
      <x:c r="F3263" s="13" t="str">
        <x:v>Early Cyclicals</x:v>
      </x:c>
      <x:c r="G3263" s="13" t="str">
        <x:v>grid_asitui1y.xlsx</x:v>
      </x:c>
    </x:row>
    <x:row r="3264">
      <x:c r="A3264" s="15" t="n">
        <x:v>41760</x:v>
      </x:c>
      <x:c r="B3264" s="13" t="str">
        <x:v>COGNA EDUCACAO</x:v>
      </x:c>
      <x:c r="C3264" s="16" t="n">
        <x:v>885.4337113425</x:v>
      </x:c>
      <x:c r="D3264" s="13" t="str">
        <x:v>Education</x:v>
      </x:c>
      <x:c r="E3264" s="13" t="str">
        <x:v>Education</x:v>
      </x:c>
      <x:c r="F3264" s="13" t="str">
        <x:v>Early Cyclicals</x:v>
      </x:c>
      <x:c r="G3264" s="13" t="str">
        <x:v>grid_asitui1y.xlsx</x:v>
      </x:c>
    </x:row>
    <x:row r="3265">
      <x:c r="A3265" s="15" t="n">
        <x:v>41760</x:v>
      </x:c>
      <x:c r="B3265" s="13" t="str">
        <x:v>YDUQS PARTICIPACOES SA</x:v>
      </x:c>
      <x:c r="C3265" s="16" t="n">
        <x:v>499.0027765479</x:v>
      </x:c>
      <x:c r="D3265" s="13" t="str">
        <x:v>Education</x:v>
      </x:c>
      <x:c r="E3265" s="13" t="str">
        <x:v>Education</x:v>
      </x:c>
      <x:c r="F3265" s="13" t="str">
        <x:v>Early Cyclicals</x:v>
      </x:c>
      <x:c r="G3265" s="13" t="str">
        <x:v>grid_asitui1y.xlsx</x:v>
      </x:c>
    </x:row>
    <x:row r="3266">
      <x:c r="A3266" s="15" t="n">
        <x:v>41760</x:v>
      </x:c>
      <x:c r="B3266" s="13" t="str">
        <x:v>B3 SA-BRASIL BOLSA BALCAO</x:v>
      </x:c>
      <x:c r="C3266" s="16" t="n">
        <x:v>1429.1150816438</x:v>
      </x:c>
      <x:c r="D3266" s="13" t="str">
        <x:v>Financials Non-Banks</x:v>
      </x:c>
      <x:c r="E3266" s="13" t="str">
        <x:v>Financials Non-Banks</x:v>
      </x:c>
      <x:c r="F3266" s="13" t="str">
        <x:v>Financials</x:v>
      </x:c>
      <x:c r="G3266" s="13" t="str">
        <x:v>grid_asitui1y.xlsx</x:v>
      </x:c>
    </x:row>
    <x:row r="3267">
      <x:c r="A3267" s="15" t="n">
        <x:v>41760</x:v>
      </x:c>
      <x:c r="B3267" s="13" t="str">
        <x:v>BB SEGURIDADE PARTICIPACOES</x:v>
      </x:c>
      <x:c r="C3267" s="16" t="n">
        <x:v>3244.2209700822</x:v>
      </x:c>
      <x:c r="D3267" s="13" t="str">
        <x:v>Financials Non-Banks</x:v>
      </x:c>
      <x:c r="E3267" s="13" t="str">
        <x:v>Financials Non-Banks</x:v>
      </x:c>
      <x:c r="F3267" s="13" t="str">
        <x:v>Financials</x:v>
      </x:c>
      <x:c r="G3267" s="13" t="str">
        <x:v>grid_asitui1y.xlsx</x:v>
      </x:c>
    </x:row>
    <x:row r="3268">
      <x:c r="A3268" s="15" t="n">
        <x:v>41760</x:v>
      </x:c>
      <x:c r="B3268" s="13" t="str">
        <x:v>CETIP SA-MERCADOS ORGANIZADO</x:v>
      </x:c>
      <x:c r="C3268" s="16" t="n">
        <x:v>504.1178082192</x:v>
      </x:c>
      <x:c r="D3268" s="13" t="str">
        <x:v>Financials Non-Banks</x:v>
      </x:c>
      <x:c r="E3268" s="13" t="str">
        <x:v>Financials Non-Banks</x:v>
      </x:c>
      <x:c r="F3268" s="13" t="str">
        <x:v>Financials</x:v>
      </x:c>
      <x:c r="G3268" s="13" t="str">
        <x:v>grid_asitui1y.xlsx</x:v>
      </x:c>
    </x:row>
    <x:row r="3269">
      <x:c r="A3269" s="15" t="n">
        <x:v>41760</x:v>
      </x:c>
      <x:c r="B3269" s="13" t="str">
        <x:v>CIELO SA - INSTITUICAO DE PA</x:v>
      </x:c>
      <x:c r="C3269" s="16" t="n">
        <x:v>3424.9330183014</x:v>
      </x:c>
      <x:c r="D3269" s="13" t="str">
        <x:v>Financials Non-Banks</x:v>
      </x:c>
      <x:c r="E3269" s="13" t="str">
        <x:v>Financials Non-Banks</x:v>
      </x:c>
      <x:c r="F3269" s="13" t="str">
        <x:v>Financials</x:v>
      </x:c>
      <x:c r="G3269" s="13" t="str">
        <x:v>grid_asitui1y.xlsx</x:v>
      </x:c>
    </x:row>
    <x:row r="3270">
      <x:c r="A3270" s="15" t="n">
        <x:v>41760</x:v>
      </x:c>
      <x:c r="B3270" s="13" t="str">
        <x:v>ITAUSA SA</x:v>
      </x:c>
      <x:c r="C3270" s="16" t="n">
        <x:v>7305.5546704657</x:v>
      </x:c>
      <x:c r="D3270" s="13" t="str">
        <x:v>Financials Non-Banks</x:v>
      </x:c>
      <x:c r="E3270" s="13" t="str">
        <x:v>Financials Non-Banks</x:v>
      </x:c>
      <x:c r="F3270" s="13" t="str">
        <x:v>Financials</x:v>
      </x:c>
      <x:c r="G3270" s="13" t="str">
        <x:v>grid_asitui1y.xlsx</x:v>
      </x:c>
    </x:row>
    <x:row r="3271">
      <x:c r="A3271" s="15" t="n">
        <x:v>41760</x:v>
      </x:c>
      <x:c r="B3271" s="13" t="str">
        <x:v>AMBEV SA</x:v>
      </x:c>
      <x:c r="C3271" s="16" t="n">
        <x:v>13234.7846908493</x:v>
      </x:c>
      <x:c r="D3271" s="13" t="str">
        <x:v>Food &amp; Beverages</x:v>
      </x:c>
      <x:c r="E3271" s="13" t="str">
        <x:v>Agri, Food &amp; Beverages</x:v>
      </x:c>
      <x:c r="F3271" s="13" t="str">
        <x:v>Defensives</x:v>
      </x:c>
      <x:c r="G3271" s="13" t="str">
        <x:v>grid_asitui1y.xlsx</x:v>
      </x:c>
    </x:row>
    <x:row r="3272">
      <x:c r="A3272" s="15" t="n">
        <x:v>41760</x:v>
      </x:c>
      <x:c r="B3272" s="13" t="str">
        <x:v>BRF SA</x:v>
      </x:c>
      <x:c r="C3272" s="16" t="n">
        <x:v>2153.0226516164</x:v>
      </x:c>
      <x:c r="D3272" s="13" t="str">
        <x:v>Food &amp; Beverages</x:v>
      </x:c>
      <x:c r="E3272" s="13" t="str">
        <x:v>Agri, Food &amp; Beverages</x:v>
      </x:c>
      <x:c r="F3272" s="13" t="str">
        <x:v>Defensives</x:v>
      </x:c>
      <x:c r="G3272" s="13" t="str">
        <x:v>grid_asitui1y.xlsx</x:v>
      </x:c>
    </x:row>
    <x:row r="3273">
      <x:c r="A3273" s="15" t="n">
        <x:v>41760</x:v>
      </x:c>
      <x:c r="B3273" s="13" t="str">
        <x:v>MBRF GLOBAL FOODS COMPANY SA</x:v>
      </x:c>
      <x:c r="C3273" s="16" t="n">
        <x:v>118.0080032877</x:v>
      </x:c>
      <x:c r="D3273" s="13" t="str">
        <x:v>Food &amp; Beverages</x:v>
      </x:c>
      <x:c r="E3273" s="13" t="str">
        <x:v>Agri, Food &amp; Beverages</x:v>
      </x:c>
      <x:c r="F3273" s="13" t="str">
        <x:v>Defensives</x:v>
      </x:c>
      <x:c r="G3273" s="13" t="str">
        <x:v>grid_asitui1y.xlsx</x:v>
      </x:c>
    </x:row>
    <x:row r="3274">
      <x:c r="A3274" s="15" t="n">
        <x:v>41760</x:v>
      </x:c>
      <x:c r="B3274" s="13" t="str">
        <x:v>SOUZA CRUZ LTDA</x:v>
      </x:c>
      <x:c r="C3274" s="16" t="n">
        <x:v>1884.727308274</x:v>
      </x:c>
      <x:c r="D3274" s="13" t="str">
        <x:v>Food &amp; Beverages</x:v>
      </x:c>
      <x:c r="E3274" s="13" t="str">
        <x:v>Agri, Food &amp; Beverages</x:v>
      </x:c>
      <x:c r="F3274" s="13" t="str">
        <x:v>Defensives</x:v>
      </x:c>
      <x:c r="G3274" s="13" t="str">
        <x:v>grid_asitui1y.xlsx</x:v>
      </x:c>
    </x:row>
    <x:row r="3275">
      <x:c r="A3275" s="15" t="n">
        <x:v>41760</x:v>
      </x:c>
      <x:c r="B3275" s="13" t="str">
        <x:v>HYPERA SA</x:v>
      </x:c>
      <x:c r="C3275" s="16" t="n">
        <x:v>507.2179669041</x:v>
      </x:c>
      <x:c r="D3275" s="13" t="str">
        <x:v>Health Care</x:v>
      </x:c>
      <x:c r="E3275" s="13" t="str">
        <x:v>Health Care</x:v>
      </x:c>
      <x:c r="F3275" s="13" t="str">
        <x:v>Defensives</x:v>
      </x:c>
      <x:c r="G3275" s="13" t="str">
        <x:v>grid_asitui1y.xlsx</x:v>
      </x:c>
    </x:row>
    <x:row r="3276">
      <x:c r="A3276" s="15" t="n">
        <x:v>41760</x:v>
      </x:c>
      <x:c r="B3276" s="13" t="str">
        <x:v>QUALICORP CONS E CORR SEG SA</x:v>
      </x:c>
      <x:c r="C3276" s="16" t="n">
        <x:v>305.2876712329</x:v>
      </x:c>
      <x:c r="D3276" s="13" t="str">
        <x:v>Health Care</x:v>
      </x:c>
      <x:c r="E3276" s="13" t="str">
        <x:v>Health Care</x:v>
      </x:c>
      <x:c r="F3276" s="13" t="str">
        <x:v>Defensives</x:v>
      </x:c>
      <x:c r="G3276" s="13" t="str">
        <x:v>grid_asitui1y.xlsx</x:v>
      </x:c>
    </x:row>
    <x:row r="3277">
      <x:c r="A3277" s="15" t="n">
        <x:v>41760</x:v>
      </x:c>
      <x:c r="B3277" s="13" t="str">
        <x:v>CYRELA BRAZIL REALTY SA EMP</x:v>
      </x:c>
      <x:c r="C3277" s="16" t="n">
        <x:v>839.3927548493</x:v>
      </x:c>
      <x:c r="D3277" s="13" t="str">
        <x:v>Homebuilders</x:v>
      </x:c>
      <x:c r="E3277" s="13" t="str">
        <x:v>Real Estate</x:v>
      </x:c>
      <x:c r="F3277" s="13" t="str">
        <x:v>Early Cyclicals</x:v>
      </x:c>
      <x:c r="G3277" s="13" t="str">
        <x:v>grid_asitui1y.xlsx</x:v>
      </x:c>
    </x:row>
    <x:row r="3278">
      <x:c r="A3278" s="15" t="n">
        <x:v>41760</x:v>
      </x:c>
      <x:c r="B3278" s="13" t="str">
        <x:v>EVEN CONSTRUTORA E INCORPORA</x:v>
      </x:c>
      <x:c r="C3278" s="16" t="n">
        <x:v>358.5287671233</x:v>
      </x:c>
      <x:c r="D3278" s="13" t="str">
        <x:v>Homebuilders</x:v>
      </x:c>
      <x:c r="E3278" s="13" t="str">
        <x:v>Real Estate</x:v>
      </x:c>
      <x:c r="F3278" s="13" t="str">
        <x:v>Early Cyclicals</x:v>
      </x:c>
      <x:c r="G3278" s="13" t="str">
        <x:v>grid_asitui1y.xlsx</x:v>
      </x:c>
    </x:row>
    <x:row r="3279">
      <x:c r="A3279" s="15" t="n">
        <x:v>41760</x:v>
      </x:c>
      <x:c r="B3279" s="13" t="str">
        <x:v>GAFISA SA</x:v>
      </x:c>
      <x:c r="C3279" s="16" t="n">
        <x:v>124.2678493151</x:v>
      </x:c>
      <x:c r="D3279" s="13" t="str">
        <x:v>Homebuilders</x:v>
      </x:c>
      <x:c r="E3279" s="13" t="str">
        <x:v>Real Estate</x:v>
      </x:c>
      <x:c r="F3279" s="13" t="str">
        <x:v>Early Cyclicals</x:v>
      </x:c>
      <x:c r="G3279" s="13" t="str">
        <x:v>grid_asitui1y.xlsx</x:v>
      </x:c>
    </x:row>
    <x:row r="3280">
      <x:c r="A3280" s="15" t="n">
        <x:v>41760</x:v>
      </x:c>
      <x:c r="B3280" s="13" t="str">
        <x:v>MRV ENGENHARIA</x:v>
      </x:c>
      <x:c r="C3280" s="16" t="n">
        <x:v>629.0547813699</x:v>
      </x:c>
      <x:c r="D3280" s="13" t="str">
        <x:v>Homebuilders</x:v>
      </x:c>
      <x:c r="E3280" s="13" t="str">
        <x:v>Real Estate</x:v>
      </x:c>
      <x:c r="F3280" s="13" t="str">
        <x:v>Early Cyclicals</x:v>
      </x:c>
      <x:c r="G3280" s="13" t="str">
        <x:v>grid_asitui1y.xlsx</x:v>
      </x:c>
    </x:row>
    <x:row r="3281">
      <x:c r="A3281" s="15" t="n">
        <x:v>41760</x:v>
      </x:c>
      <x:c r="B3281" s="13" t="str">
        <x:v>PDG REALTY SA</x:v>
      </x:c>
      <x:c r="C3281" s="16" t="n">
        <x:v>-34.438369863</x:v>
      </x:c>
      <x:c r="D3281" s="13" t="str">
        <x:v>Homebuilders</x:v>
      </x:c>
      <x:c r="E3281" s="13" t="str">
        <x:v>Real Estate</x:v>
      </x:c>
      <x:c r="F3281" s="13" t="str">
        <x:v>Early Cyclicals</x:v>
      </x:c>
      <x:c r="G3281" s="13" t="str">
        <x:v>grid_asitui1y.xlsx</x:v>
      </x:c>
    </x:row>
    <x:row r="3282">
      <x:c r="A3282" s="15" t="n">
        <x:v>41760</x:v>
      </x:c>
      <x:c r="B3282" s="13" t="str">
        <x:v>ROSSI RESIDENCIAL SA</x:v>
      </x:c>
      <x:c r="C3282" s="16" t="n">
        <x:v>42.9356164384</x:v>
      </x:c>
      <x:c r="D3282" s="13" t="str">
        <x:v>Homebuilders</x:v>
      </x:c>
      <x:c r="E3282" s="13" t="str">
        <x:v>Real Estate</x:v>
      </x:c>
      <x:c r="F3282" s="13" t="str">
        <x:v>Early Cyclicals</x:v>
      </x:c>
      <x:c r="G3282" s="13" t="str">
        <x:v>grid_asitui1y.xlsx</x:v>
      </x:c>
    </x:row>
    <x:row r="3283">
      <x:c r="A3283" s="15" t="n">
        <x:v>41760</x:v>
      </x:c>
      <x:c r="B3283" s="13" t="str">
        <x:v>TEGRA INCORPORADORA SA</x:v>
      </x:c>
      <x:c r="C3283" s="16" t="n">
        <x:v>35.698630137</x:v>
      </x:c>
      <x:c r="D3283" s="13" t="str">
        <x:v>Homebuilders</x:v>
      </x:c>
      <x:c r="E3283" s="13" t="str">
        <x:v>Real Estate</x:v>
      </x:c>
      <x:c r="F3283" s="13" t="str">
        <x:v>Early Cyclicals</x:v>
      </x:c>
      <x:c r="G3283" s="13" t="str">
        <x:v>grid_asitui1y.xlsx</x:v>
      </x:c>
    </x:row>
    <x:row r="3284">
      <x:c r="A3284" s="15" t="n">
        <x:v>41760</x:v>
      </x:c>
      <x:c r="B3284" s="13" t="str">
        <x:v>BR MALLS PARTICIPACOES SA</x:v>
      </x:c>
      <x:c r="C3284" s="16" t="n">
        <x:v>544.4469032329</x:v>
      </x:c>
      <x:c r="D3284" s="13" t="str">
        <x:v>Income Properties</x:v>
      </x:c>
      <x:c r="E3284" s="13" t="str">
        <x:v>Real Estate</x:v>
      </x:c>
      <x:c r="F3284" s="13" t="str">
        <x:v>Early Cyclicals</x:v>
      </x:c>
      <x:c r="G3284" s="13" t="str">
        <x:v>grid_asitui1y.xlsx</x:v>
      </x:c>
    </x:row>
    <x:row r="3285">
      <x:c r="A3285" s="15" t="n">
        <x:v>41760</x:v>
      </x:c>
      <x:c r="B3285" s="13" t="str">
        <x:v>SOLID ATIVOS IMOBILIARIOS SA</x:v>
      </x:c>
      <x:c r="C3285" s="16" t="n">
        <x:v>339.0797076164</x:v>
      </x:c>
      <x:c r="D3285" s="13" t="str">
        <x:v>Income Properties</x:v>
      </x:c>
      <x:c r="E3285" s="13" t="str">
        <x:v>Real Estate</x:v>
      </x:c>
      <x:c r="F3285" s="13" t="str">
        <x:v>Early Cyclicals</x:v>
      </x:c>
      <x:c r="G3285" s="13" t="str">
        <x:v>grid_asitui1y.xlsx</x:v>
      </x:c>
    </x:row>
    <x:row r="3286">
      <x:c r="A3286" s="15" t="n">
        <x:v>41760</x:v>
      </x:c>
      <x:c r="B3286" s="13" t="str">
        <x:v>BRADESPAR SA -PREF</x:v>
      </x:c>
      <x:c r="C3286" s="16" t="n">
        <x:v>906.2397071781</x:v>
      </x:c>
      <x:c r="D3286" s="13" t="str">
        <x:v>Metals &amp; Mining</x:v>
      </x:c>
      <x:c r="E3286" s="13" t="str">
        <x:v>Metals &amp; Mining</x:v>
      </x:c>
      <x:c r="F3286" s="13" t="str">
        <x:v>Deep Cyclicals</x:v>
      </x:c>
      <x:c r="G3286" s="13" t="str">
        <x:v>grid_asitui1y.xlsx</x:v>
      </x:c>
    </x:row>
    <x:row r="3287">
      <x:c r="A3287" s="15" t="n">
        <x:v>41760</x:v>
      </x:c>
      <x:c r="B3287" s="13" t="str">
        <x:v>CIA SIDERURGICA NACIONAL SA</x:v>
      </x:c>
      <x:c r="C3287" s="16" t="n">
        <x:v>1007.1506849315</x:v>
      </x:c>
      <x:c r="D3287" s="13" t="str">
        <x:v>Metals &amp; Mining</x:v>
      </x:c>
      <x:c r="E3287" s="13" t="str">
        <x:v>Metals &amp; Mining</x:v>
      </x:c>
      <x:c r="F3287" s="13" t="str">
        <x:v>Deep Cyclicals</x:v>
      </x:c>
      <x:c r="G3287" s="13" t="str">
        <x:v>grid_asitui1y.xlsx</x:v>
      </x:c>
    </x:row>
    <x:row r="3288">
      <x:c r="A3288" s="15" t="n">
        <x:v>41760</x:v>
      </x:c>
      <x:c r="B3288" s="13" t="str">
        <x:v>GERDAU SA-PREF</x:v>
      </x:c>
      <x:c r="C3288" s="16" t="n">
        <x:v>1963.5987568219</x:v>
      </x:c>
      <x:c r="D3288" s="13" t="str">
        <x:v>Metals &amp; Mining</x:v>
      </x:c>
      <x:c r="E3288" s="13" t="str">
        <x:v>Metals &amp; Mining</x:v>
      </x:c>
      <x:c r="F3288" s="13" t="str">
        <x:v>Deep Cyclicals</x:v>
      </x:c>
      <x:c r="G3288" s="13" t="str">
        <x:v>grid_asitui1y.xlsx</x:v>
      </x:c>
    </x:row>
    <x:row r="3289">
      <x:c r="A3289" s="15" t="n">
        <x:v>41760</x:v>
      </x:c>
      <x:c r="B3289" s="13" t="str">
        <x:v>METALURGICA GERDAU SA-PREF</x:v>
      </x:c>
      <x:c r="C3289" s="16" t="n">
        <x:v>740.4657665753</x:v>
      </x:c>
      <x:c r="D3289" s="13" t="str">
        <x:v>Metals &amp; Mining</x:v>
      </x:c>
      <x:c r="E3289" s="13" t="str">
        <x:v>Metals &amp; Mining</x:v>
      </x:c>
      <x:c r="F3289" s="13" t="str">
        <x:v>Deep Cyclicals</x:v>
      </x:c>
      <x:c r="G3289" s="13" t="str">
        <x:v>grid_asitui1y.xlsx</x:v>
      </x:c>
    </x:row>
    <x:row r="3290">
      <x:c r="A3290" s="15" t="n">
        <x:v>41760</x:v>
      </x:c>
      <x:c r="B3290" s="13" t="str">
        <x:v>MMX MINERACAO E METALICOS SA</x:v>
      </x:c>
      <x:c r="C3290" s="16" t="n">
        <x:v>45.6369863014</x:v>
      </x:c>
      <x:c r="D3290" s="13" t="str">
        <x:v>Metals &amp; Mining</x:v>
      </x:c>
      <x:c r="E3290" s="13" t="str">
        <x:v>Metals &amp; Mining</x:v>
      </x:c>
      <x:c r="F3290" s="13" t="str">
        <x:v>Deep Cyclicals</x:v>
      </x:c>
      <x:c r="G3290" s="13" t="str">
        <x:v>grid_asitui1y.xlsx</x:v>
      </x:c>
    </x:row>
    <x:row r="3291">
      <x:c r="A3291" s="15" t="n">
        <x:v>41760</x:v>
      </x:c>
      <x:c r="B3291" s="13" t="str">
        <x:v>USINAS SIDER MINAS GER-PF A</x:v>
      </x:c>
      <x:c r="C3291" s="16" t="n">
        <x:v>736.3474025205</x:v>
      </x:c>
      <x:c r="D3291" s="13" t="str">
        <x:v>Metals &amp; Mining</x:v>
      </x:c>
      <x:c r="E3291" s="13" t="str">
        <x:v>Metals &amp; Mining</x:v>
      </x:c>
      <x:c r="F3291" s="13" t="str">
        <x:v>Deep Cyclicals</x:v>
      </x:c>
      <x:c r="G3291" s="13" t="str">
        <x:v>grid_asitui1y.xlsx</x:v>
      </x:c>
    </x:row>
    <x:row r="3292">
      <x:c r="A3292" s="15" t="n">
        <x:v>41760</x:v>
      </x:c>
      <x:c r="B3292" s="13" t="str">
        <x:v>VALE SA</x:v>
      </x:c>
      <x:c r="C3292" s="16" t="n">
        <x:v>23564.8473003836</x:v>
      </x:c>
      <x:c r="D3292" s="13" t="str">
        <x:v>Metals &amp; Mining</x:v>
      </x:c>
      <x:c r="E3292" s="13" t="str">
        <x:v>Metals &amp; Mining</x:v>
      </x:c>
      <x:c r="F3292" s="13" t="str">
        <x:v>Deep Cyclicals</x:v>
      </x:c>
      <x:c r="G3292" s="13" t="str">
        <x:v>grid_asitui1y.xlsx</x:v>
      </x:c>
    </x:row>
    <x:row r="3293">
      <x:c r="A3293" s="15" t="n">
        <x:v>41760</x:v>
      </x:c>
      <x:c r="B3293" s="13" t="str">
        <x:v>BRASKEM SA-PREF A</x:v>
      </x:c>
      <x:c r="C3293" s="16" t="n">
        <x:v>1323.1775473973</x:v>
      </x:c>
      <x:c r="D3293" s="13" t="str">
        <x:v>Oil, Gas &amp; Petrochemicals</x:v>
      </x:c>
      <x:c r="E3293" s="13" t="str">
        <x:v>Oil, Gas &amp; Petrochemicals</x:v>
      </x:c>
      <x:c r="F3293" s="13" t="str">
        <x:v>Deep Cyclicals</x:v>
      </x:c>
      <x:c r="G3293" s="13" t="str">
        <x:v>grid_asitui1y.xlsx</x:v>
      </x:c>
    </x:row>
    <x:row r="3294">
      <x:c r="A3294" s="15" t="n">
        <x:v>41760</x:v>
      </x:c>
      <x:c r="B3294" s="13" t="str">
        <x:v>COSAN SA</x:v>
      </x:c>
      <x:c r="C3294" s="16" t="n">
        <x:v>886.5205479452</x:v>
      </x:c>
      <x:c r="D3294" s="13" t="str">
        <x:v>Oil, Gas &amp; Petrochemicals</x:v>
      </x:c>
      <x:c r="E3294" s="13" t="str">
        <x:v>Oil, Gas &amp; Petrochemicals</x:v>
      </x:c>
      <x:c r="F3294" s="13" t="str">
        <x:v>Deep Cyclicals</x:v>
      </x:c>
      <x:c r="G3294" s="13" t="str">
        <x:v>grid_asitui1y.xlsx</x:v>
      </x:c>
    </x:row>
    <x:row r="3295">
      <x:c r="A3295" s="15" t="n">
        <x:v>41760</x:v>
      </x:c>
      <x:c r="B3295" s="13" t="str">
        <x:v>PETROBRAS - PETROLEO BRAS</x:v>
      </x:c>
      <x:c r="C3295" s="16" t="n">
        <x:v>29465.0029659178</x:v>
      </x:c>
      <x:c r="D3295" s="13" t="str">
        <x:v>Oil, Gas &amp; Petrochemicals</x:v>
      </x:c>
      <x:c r="E3295" s="13" t="str">
        <x:v>Oil, Gas &amp; Petrochemicals</x:v>
      </x:c>
      <x:c r="F3295" s="13" t="str">
        <x:v>Deep Cyclicals</x:v>
      </x:c>
      <x:c r="G3295" s="13" t="str">
        <x:v>grid_asitui1y.xlsx</x:v>
      </x:c>
    </x:row>
    <x:row r="3296">
      <x:c r="A3296" s="15" t="n">
        <x:v>41760</x:v>
      </x:c>
      <x:c r="B3296" s="13" t="str">
        <x:v>ULTRAPAR PARTICIPACOES SA</x:v>
      </x:c>
      <x:c r="C3296" s="16" t="n">
        <x:v>1412.0508247671</x:v>
      </x:c>
      <x:c r="D3296" s="13" t="str">
        <x:v>Oil, Gas &amp; Petrochemicals</x:v>
      </x:c>
      <x:c r="E3296" s="13" t="str">
        <x:v>Oil, Gas &amp; Petrochemicals</x:v>
      </x:c>
      <x:c r="F3296" s="13" t="str">
        <x:v>Deep Cyclicals</x:v>
      </x:c>
      <x:c r="G3296" s="13" t="str">
        <x:v>grid_asitui1y.xlsx</x:v>
      </x:c>
    </x:row>
    <x:row r="3297">
      <x:c r="A3297" s="15" t="n">
        <x:v>41760</x:v>
      </x:c>
      <x:c r="B3297" s="13" t="str">
        <x:v>DEXCO SA</x:v>
      </x:c>
      <x:c r="C3297" s="16" t="n">
        <x:v>581.9212423014</x:v>
      </x:c>
      <x:c r="D3297" s="13" t="str">
        <x:v>Pulp &amp; Paper</x:v>
      </x:c>
      <x:c r="E3297" s="13" t="str">
        <x:v>Pulp &amp; Paper</x:v>
      </x:c>
      <x:c r="F3297" s="13" t="str">
        <x:v>Deep Cyclicals</x:v>
      </x:c>
      <x:c r="G3297" s="13" t="str">
        <x:v>grid_asitui1y.xlsx</x:v>
      </x:c>
    </x:row>
    <x:row r="3298">
      <x:c r="A3298" s="15" t="n">
        <x:v>41760</x:v>
      </x:c>
      <x:c r="B3298" s="13" t="str">
        <x:v>FIBRIA CELULOSE S/A</x:v>
      </x:c>
      <x:c r="C3298" s="16" t="n">
        <x:v>350.7995682192</x:v>
      </x:c>
      <x:c r="D3298" s="13" t="str">
        <x:v>Pulp &amp; Paper</x:v>
      </x:c>
      <x:c r="E3298" s="13" t="str">
        <x:v>Pulp &amp; Paper</x:v>
      </x:c>
      <x:c r="F3298" s="13" t="str">
        <x:v>Deep Cyclicals</x:v>
      </x:c>
      <x:c r="G3298" s="13" t="str">
        <x:v>grid_asitui1y.xlsx</x:v>
      </x:c>
    </x:row>
    <x:row r="3299">
      <x:c r="A3299" s="15" t="n">
        <x:v>41760</x:v>
      </x:c>
      <x:c r="B3299" s="13" t="str">
        <x:v>KLABIN SA - UNIT</x:v>
      </x:c>
      <x:c r="C3299" s="16" t="n">
        <x:v>647.7193249315</x:v>
      </x:c>
      <x:c r="D3299" s="13" t="str">
        <x:v>Pulp &amp; Paper</x:v>
      </x:c>
      <x:c r="E3299" s="13" t="str">
        <x:v>Pulp &amp; Paper</x:v>
      </x:c>
      <x:c r="F3299" s="13" t="str">
        <x:v>Deep Cyclicals</x:v>
      </x:c>
      <x:c r="G3299" s="13" t="str">
        <x:v>grid_asitui1y.xlsx</x:v>
      </x:c>
    </x:row>
    <x:row r="3300">
      <x:c r="A3300" s="15" t="n">
        <x:v>41760</x:v>
      </x:c>
      <x:c r="B3300" s="13" t="str">
        <x:v>SUZANO PAPEL E CELULO-PREF A</x:v>
      </x:c>
      <x:c r="C3300" s="16" t="n">
        <x:v>579.5063438904</x:v>
      </x:c>
      <x:c r="D3300" s="13" t="str">
        <x:v>Pulp &amp; Paper</x:v>
      </x:c>
      <x:c r="E3300" s="13" t="str">
        <x:v>Pulp &amp; Paper</x:v>
      </x:c>
      <x:c r="F3300" s="13" t="str">
        <x:v>Deep Cyclicals</x:v>
      </x:c>
      <x:c r="G3300" s="13" t="str">
        <x:v>grid_asitui1y.xlsx</x:v>
      </x:c>
    </x:row>
    <x:row r="3301">
      <x:c r="A3301" s="15" t="n">
        <x:v>41760</x:v>
      </x:c>
      <x:c r="B3301" s="13" t="str">
        <x:v>CIA BRASILEIRA DE DIS-PREF</x:v>
      </x:c>
      <x:c r="C3301" s="16" t="n">
        <x:v>1531.1683664658</x:v>
      </x:c>
      <x:c r="D3301" s="13" t="str">
        <x:v>Retail</x:v>
      </x:c>
      <x:c r="E3301" s="13" t="str">
        <x:v>Retail</x:v>
      </x:c>
      <x:c r="F3301" s="13" t="str">
        <x:v>Early Cyclicals</x:v>
      </x:c>
      <x:c r="G3301" s="13" t="str">
        <x:v>grid_asitui1y.xlsx</x:v>
      </x:c>
    </x:row>
    <x:row r="3302">
      <x:c r="A3302" s="15" t="n">
        <x:v>41760</x:v>
      </x:c>
      <x:c r="B3302" s="13" t="str">
        <x:v>CIA HERING</x:v>
      </x:c>
      <x:c r="C3302" s="16" t="n">
        <x:v>344.9763401644</x:v>
      </x:c>
      <x:c r="D3302" s="13" t="str">
        <x:v>Retail</x:v>
      </x:c>
      <x:c r="E3302" s="13" t="str">
        <x:v>Retail</x:v>
      </x:c>
      <x:c r="F3302" s="13" t="str">
        <x:v>Early Cyclicals</x:v>
      </x:c>
      <x:c r="G3302" s="13" t="str">
        <x:v>grid_asitui1y.xlsx</x:v>
      </x:c>
    </x:row>
    <x:row r="3303">
      <x:c r="A3303" s="15" t="n">
        <x:v>41760</x:v>
      </x:c>
      <x:c r="B3303" s="13" t="str">
        <x:v>LOJAS AMERICANAS SA-PREF</x:v>
      </x:c>
      <x:c r="C3303" s="16" t="n">
        <x:v>621.5219498082</x:v>
      </x:c>
      <x:c r="D3303" s="13" t="str">
        <x:v>Retail</x:v>
      </x:c>
      <x:c r="E3303" s="13" t="str">
        <x:v>Retail</x:v>
      </x:c>
      <x:c r="F3303" s="13" t="str">
        <x:v>Early Cyclicals</x:v>
      </x:c>
      <x:c r="G3303" s="13" t="str">
        <x:v>grid_asitui1y.xlsx</x:v>
      </x:c>
    </x:row>
    <x:row r="3304">
      <x:c r="A3304" s="15" t="n">
        <x:v>41760</x:v>
      </x:c>
      <x:c r="B3304" s="13" t="str">
        <x:v>LOJAS RENNER S.A.</x:v>
      </x:c>
      <x:c r="C3304" s="16" t="n">
        <x:v>472.9304534795</x:v>
      </x:c>
      <x:c r="D3304" s="13" t="str">
        <x:v>Retail</x:v>
      </x:c>
      <x:c r="E3304" s="13" t="str">
        <x:v>Retail</x:v>
      </x:c>
      <x:c r="F3304" s="13" t="str">
        <x:v>Early Cyclicals</x:v>
      </x:c>
      <x:c r="G3304" s="13" t="str">
        <x:v>grid_asitui1y.xlsx</x:v>
      </x:c>
    </x:row>
    <x:row r="3305">
      <x:c r="A3305" s="15" t="n">
        <x:v>41760</x:v>
      </x:c>
      <x:c r="B3305" s="13" t="str">
        <x:v>NATURA COSMETICOS SA</x:v>
      </x:c>
      <x:c r="C3305" s="16" t="n">
        <x:v>932.9649437808</x:v>
      </x:c>
      <x:c r="D3305" s="13" t="str">
        <x:v>Retail</x:v>
      </x:c>
      <x:c r="E3305" s="13" t="str">
        <x:v>Retail</x:v>
      </x:c>
      <x:c r="F3305" s="13" t="str">
        <x:v>Early Cyclicals</x:v>
      </x:c>
      <x:c r="G3305" s="13" t="str">
        <x:v>grid_asitui1y.xlsx</x:v>
      </x:c>
    </x:row>
    <x:row r="3306">
      <x:c r="A3306" s="15" t="n">
        <x:v>41760</x:v>
      </x:c>
      <x:c r="B3306" s="13" t="str">
        <x:v>CIA SANEAMENTO BASICO DE SP</x:v>
      </x:c>
      <x:c r="C3306" s="16" t="n">
        <x:v>1688.8013764384</x:v>
      </x:c>
      <x:c r="D3306" s="13" t="str">
        <x:v>Sanitation</x:v>
      </x:c>
      <x:c r="E3306" s="13" t="str">
        <x:v>Utilities</x:v>
      </x:c>
      <x:c r="F3306" s="13" t="str">
        <x:v>Defensives</x:v>
      </x:c>
      <x:c r="G3306" s="13" t="str">
        <x:v>grid_asitui1y.xlsx</x:v>
      </x:c>
    </x:row>
    <x:row r="3307">
      <x:c r="A3307" s="15" t="n">
        <x:v>41760</x:v>
      </x:c>
      <x:c r="B3307" s="13" t="str">
        <x:v>OI SA-PREFERENCE</x:v>
      </x:c>
      <x:c r="C3307" s="16" t="n">
        <x:v>321.8493150685</x:v>
      </x:c>
      <x:c r="D3307" s="13" t="str">
        <x:v>TMT</x:v>
      </x:c>
      <x:c r="E3307" s="13" t="str">
        <x:v>TMT</x:v>
      </x:c>
      <x:c r="F3307" s="13" t="str">
        <x:v>Early Cyclicals</x:v>
      </x:c>
      <x:c r="G3307" s="13" t="str">
        <x:v>grid_asitui1y.xlsx</x:v>
      </x:c>
    </x:row>
    <x:row r="3308">
      <x:c r="A3308" s="15" t="n">
        <x:v>41760</x:v>
      </x:c>
      <x:c r="B3308" s="13" t="str">
        <x:v>TELEFONICA BRASIL S.A.-PREF</x:v>
      </x:c>
      <x:c r="C3308" s="16" t="n">
        <x:v>3905.5794849315</x:v>
      </x:c>
      <x:c r="D3308" s="13" t="str">
        <x:v>TMT</x:v>
      </x:c>
      <x:c r="E3308" s="13" t="str">
        <x:v>TMT</x:v>
      </x:c>
      <x:c r="F3308" s="13" t="str">
        <x:v>Early Cyclicals</x:v>
      </x:c>
      <x:c r="G3308" s="13" t="str">
        <x:v>grid_asitui1y.xlsx</x:v>
      </x:c>
    </x:row>
    <x:row r="3309">
      <x:c r="A3309" s="15" t="n">
        <x:v>41760</x:v>
      </x:c>
      <x:c r="B3309" s="13" t="str">
        <x:v>TIM SA</x:v>
      </x:c>
      <x:c r="C3309" s="16" t="n">
        <x:v>1606.2201652603</x:v>
      </x:c>
      <x:c r="D3309" s="13" t="str">
        <x:v>TMT</x:v>
      </x:c>
      <x:c r="E3309" s="13" t="str">
        <x:v>TMT</x:v>
      </x:c>
      <x:c r="F3309" s="13" t="str">
        <x:v>Early Cyclicals</x:v>
      </x:c>
      <x:c r="G3309" s="13" t="str">
        <x:v>grid_asitui1y.xlsx</x:v>
      </x:c>
    </x:row>
    <x:row r="3310">
      <x:c r="A3310" s="15" t="n">
        <x:v>41760</x:v>
      </x:c>
      <x:c r="B3310" s="13" t="str">
        <x:v>ECORODOVIAS INFRA E LOG SA</x:v>
      </x:c>
      <x:c r="C3310" s="16" t="n">
        <x:v>521.0374005479</x:v>
      </x:c>
      <x:c r="D3310" s="13" t="str">
        <x:v>Transportation</x:v>
      </x:c>
      <x:c r="E3310" s="13" t="str">
        <x:v>Transportation</x:v>
      </x:c>
      <x:c r="F3310" s="13" t="str">
        <x:v>Deep Cyclicals</x:v>
      </x:c>
      <x:c r="G3310" s="13" t="str">
        <x:v>grid_asitui1y.xlsx</x:v>
      </x:c>
    </x:row>
    <x:row r="3311">
      <x:c r="A3311" s="15" t="n">
        <x:v>41760</x:v>
      </x:c>
      <x:c r="B3311" s="13" t="str">
        <x:v>GOL LINHAS AEREAS INT SA-PRE</x:v>
      </x:c>
      <x:c r="C3311" s="16" t="n">
        <x:v>-47.3963561644</x:v>
      </x:c>
      <x:c r="D3311" s="13" t="str">
        <x:v>Transportation</x:v>
      </x:c>
      <x:c r="E3311" s="13" t="str">
        <x:v>Transportation</x:v>
      </x:c>
      <x:c r="F3311" s="13" t="str">
        <x:v>Deep Cyclicals</x:v>
      </x:c>
      <x:c r="G3311" s="13" t="str">
        <x:v>grid_asitui1y.xlsx</x:v>
      </x:c>
    </x:row>
    <x:row r="3312">
      <x:c r="A3312" s="15" t="n">
        <x:v>41760</x:v>
      </x:c>
      <x:c r="B3312" s="13" t="str">
        <x:v>LOCALIZA RENT A CAR</x:v>
      </x:c>
      <x:c r="C3312" s="16" t="n">
        <x:v>422.2266976438</x:v>
      </x:c>
      <x:c r="D3312" s="13" t="str">
        <x:v>Transportation</x:v>
      </x:c>
      <x:c r="E3312" s="13" t="str">
        <x:v>Transportation</x:v>
      </x:c>
      <x:c r="F3312" s="13" t="str">
        <x:v>Deep Cyclicals</x:v>
      </x:c>
      <x:c r="G3312" s="13" t="str">
        <x:v>grid_asitui1y.xlsx</x:v>
      </x:c>
    </x:row>
    <x:row r="3313">
      <x:c r="A3313" s="15" t="n">
        <x:v>41760</x:v>
      </x:c>
      <x:c r="B3313" s="13" t="str">
        <x:v>MOTIVA INFRAESTRUTURA DE MOB</x:v>
      </x:c>
      <x:c r="C3313" s="16" t="n">
        <x:v>1655.9254408767</x:v>
      </x:c>
      <x:c r="D3313" s="13" t="str">
        <x:v>Transportation</x:v>
      </x:c>
      <x:c r="E3313" s="13" t="str">
        <x:v>Transportation</x:v>
      </x:c>
      <x:c r="F3313" s="13" t="str">
        <x:v>Deep Cyclicals</x:v>
      </x:c>
      <x:c r="G3313" s="13" t="str">
        <x:v>grid_asitui1y.xlsx</x:v>
      </x:c>
    </x:row>
    <x:row r="3314">
      <x:c r="A3314" s="15" t="n">
        <x:v>41760</x:v>
      </x:c>
      <x:c r="B3314" s="13" t="str">
        <x:v>RUMO SA</x:v>
      </x:c>
      <x:c r="C3314" s="16" t="n">
        <x:v>339.5708370411</x:v>
      </x:c>
      <x:c r="D3314" s="13" t="str">
        <x:v>Transportation</x:v>
      </x:c>
      <x:c r="E3314" s="13" t="str">
        <x:v>Transportation</x:v>
      </x:c>
      <x:c r="F3314" s="13" t="str">
        <x:v>Deep Cyclicals</x:v>
      </x:c>
      <x:c r="G3314" s="13" t="str">
        <x:v>grid_asitui1y.xlsx</x:v>
      </x:c>
    </x:row>
    <x:row r="3315">
      <x:c r="A3315" s="15" t="n">
        <x:v>41760</x:v>
      </x:c>
      <x:c r="B3315" s="13" t="str">
        <x:v>AXIA ENERGIA SA</x:v>
      </x:c>
      <x:c r="C3315" s="16" t="n">
        <x:v>1058.5890279452</x:v>
      </x:c>
      <x:c r="D3315" s="13" t="str">
        <x:v>Utilities &amp; Energy</x:v>
      </x:c>
      <x:c r="E3315" s="13" t="str">
        <x:v>Utilities</x:v>
      </x:c>
      <x:c r="F3315" s="13" t="str">
        <x:v>Defensives</x:v>
      </x:c>
      <x:c r="G3315" s="13" t="str">
        <x:v>grid_asitui1y.xlsx</x:v>
      </x:c>
    </x:row>
    <x:row r="3316">
      <x:c r="A3316" s="15" t="n">
        <x:v>41760</x:v>
      </x:c>
      <x:c r="B3316" s="13" t="str">
        <x:v>AXIA ENERGIA-PR B</x:v>
      </x:c>
      <x:c r="C3316" s="16" t="n">
        <x:v>1058.5890279452</x:v>
      </x:c>
      <x:c r="D3316" s="13" t="str">
        <x:v>Utilities &amp; Energy</x:v>
      </x:c>
      <x:c r="E3316" s="13" t="str">
        <x:v>Utilities</x:v>
      </x:c>
      <x:c r="F3316" s="13" t="str">
        <x:v>Defensives</x:v>
      </x:c>
      <x:c r="G3316" s="13" t="str">
        <x:v>grid_asitui1y.xlsx</x:v>
      </x:c>
    </x:row>
    <x:row r="3317">
      <x:c r="A3317" s="15" t="n">
        <x:v>41760</x:v>
      </x:c>
      <x:c r="B3317" s="13" t="str">
        <x:v>CESP - CIA ENERGETICA DE SAO</x:v>
      </x:c>
      <x:c r="C3317" s="16" t="n">
        <x:v>1626.1210704658</x:v>
      </x:c>
      <x:c r="D3317" s="13" t="str">
        <x:v>Utilities &amp; Energy</x:v>
      </x:c>
      <x:c r="E3317" s="13" t="str">
        <x:v>Utilities</x:v>
      </x:c>
      <x:c r="F3317" s="13" t="str">
        <x:v>Defensives</x:v>
      </x:c>
      <x:c r="G3317" s="13" t="str">
        <x:v>grid_asitui1y.xlsx</x:v>
      </x:c>
    </x:row>
    <x:row r="3318">
      <x:c r="A3318" s="15" t="n">
        <x:v>41760</x:v>
      </x:c>
      <x:c r="B3318" s="13" t="str">
        <x:v>CIA ENERGETICA MINAS GER-PRF</x:v>
      </x:c>
      <x:c r="C3318" s="16" t="n">
        <x:v>2617.9672828493</x:v>
      </x:c>
      <x:c r="D3318" s="13" t="str">
        <x:v>Utilities &amp; Energy</x:v>
      </x:c>
      <x:c r="E3318" s="13" t="str">
        <x:v>Utilities</x:v>
      </x:c>
      <x:c r="F3318" s="13" t="str">
        <x:v>Defensives</x:v>
      </x:c>
      <x:c r="G3318" s="13" t="str">
        <x:v>grid_asitui1y.xlsx</x:v>
      </x:c>
    </x:row>
    <x:row r="3319">
      <x:c r="A3319" s="15" t="n">
        <x:v>41760</x:v>
      </x:c>
      <x:c r="B3319" s="13" t="str">
        <x:v>COMPANHIA PARANAENSE -PREF B</x:v>
      </x:c>
      <x:c r="C3319" s="16" t="n">
        <x:v>1328.3275379726</x:v>
      </x:c>
      <x:c r="D3319" s="13" t="str">
        <x:v>Utilities &amp; Energy</x:v>
      </x:c>
      <x:c r="E3319" s="13" t="str">
        <x:v>Utilities</x:v>
      </x:c>
      <x:c r="F3319" s="13" t="str">
        <x:v>Defensives</x:v>
      </x:c>
      <x:c r="G3319" s="13" t="str">
        <x:v>grid_asitui1y.xlsx</x:v>
      </x:c>
    </x:row>
    <x:row r="3320">
      <x:c r="A3320" s="15" t="n">
        <x:v>41760</x:v>
      </x:c>
      <x:c r="B3320" s="13" t="str">
        <x:v>CPFL ENERGIA SA</x:v>
      </x:c>
      <x:c r="C3320" s="16" t="n">
        <x:v>1317.5699831233</x:v>
      </x:c>
      <x:c r="D3320" s="13" t="str">
        <x:v>Utilities &amp; Energy</x:v>
      </x:c>
      <x:c r="E3320" s="13" t="str">
        <x:v>Utilities</x:v>
      </x:c>
      <x:c r="F3320" s="13" t="str">
        <x:v>Defensives</x:v>
      </x:c>
      <x:c r="G3320" s="13" t="str">
        <x:v>grid_asitui1y.xlsx</x:v>
      </x:c>
    </x:row>
    <x:row r="3321">
      <x:c r="A3321" s="15" t="n">
        <x:v>41760</x:v>
      </x:c>
      <x:c r="B3321" s="13" t="str">
        <x:v>EDP - ENERGIAS DO BRASIL SA</x:v>
      </x:c>
      <x:c r="C3321" s="16" t="n">
        <x:v>597.5720477808</x:v>
      </x:c>
      <x:c r="D3321" s="13" t="str">
        <x:v>Utilities &amp; Energy</x:v>
      </x:c>
      <x:c r="E3321" s="13" t="str">
        <x:v>Utilities</x:v>
      </x:c>
      <x:c r="F3321" s="13" t="str">
        <x:v>Defensives</x:v>
      </x:c>
      <x:c r="G3321" s="13" t="str">
        <x:v>grid_asitui1y.xlsx</x:v>
      </x:c>
    </x:row>
    <x:row r="3322">
      <x:c r="A3322" s="15" t="n">
        <x:v>41760</x:v>
      </x:c>
      <x:c r="B3322" s="13" t="str">
        <x:v>ELETROPAULO METROPOLI-PREF</x:v>
      </x:c>
      <x:c r="C3322" s="16" t="n">
        <x:v>-95.2607260274</x:v>
      </x:c>
      <x:c r="D3322" s="13" t="str">
        <x:v>Utilities &amp; Energy</x:v>
      </x:c>
      <x:c r="E3322" s="13" t="str">
        <x:v>Utilities</x:v>
      </x:c>
      <x:c r="F3322" s="13" t="str">
        <x:v>Defensives</x:v>
      </x:c>
      <x:c r="G3322" s="13" t="str">
        <x:v>grid_asitui1y.xlsx</x:v>
      </x:c>
    </x:row>
    <x:row r="3323">
      <x:c r="A3323" s="15" t="n">
        <x:v>41760</x:v>
      </x:c>
      <x:c r="B3323" s="13" t="str">
        <x:v>ENGIE BRASIL ENERGIA SA</x:v>
      </x:c>
      <x:c r="C3323" s="16" t="n">
        <x:v>1763.271378411</x:v>
      </x:c>
      <x:c r="D3323" s="13" t="str">
        <x:v>Utilities &amp; Energy</x:v>
      </x:c>
      <x:c r="E3323" s="13" t="str">
        <x:v>Utilities</x:v>
      </x:c>
      <x:c r="F3323" s="13" t="str">
        <x:v>Defensives</x:v>
      </x:c>
      <x:c r="G3323" s="13" t="str">
        <x:v>grid_asitui1y.xlsx</x:v>
      </x:c>
    </x:row>
    <x:row r="3324">
      <x:c r="A3324" s="15" t="n">
        <x:v>41760</x:v>
      </x:c>
      <x:c r="B3324" s="13" t="str">
        <x:v>LIGHT SA</x:v>
      </x:c>
      <x:c r="C3324" s="16" t="n">
        <x:v>516.4562796712</x:v>
      </x:c>
      <x:c r="D3324" s="13" t="str">
        <x:v>Utilities &amp; Energy</x:v>
      </x:c>
      <x:c r="E3324" s="13" t="str">
        <x:v>Utilities</x:v>
      </x:c>
      <x:c r="F3324" s="13" t="str">
        <x:v>Defensives</x:v>
      </x:c>
      <x:c r="G3324" s="13" t="str">
        <x:v>grid_asitui1y.xlsx</x:v>
      </x:c>
    </x:row>
    <x:row r="3325">
      <x:c r="A3325" s="15" t="n">
        <x:v>41791</x:v>
      </x:c>
      <x:c r="B3325" s="13" t="str">
        <x:v>BANCO BRADESCO S.A.</x:v>
      </x:c>
      <x:c r="C3325" s="16" t="n">
        <x:v>14822.5740519452</x:v>
      </x:c>
      <x:c r="D3325" s="13" t="str">
        <x:v>Banks</x:v>
      </x:c>
      <x:c r="E3325" s="13" t="str">
        <x:v>Banks</x:v>
      </x:c>
      <x:c r="F3325" s="13" t="str">
        <x:v>Financials</x:v>
      </x:c>
      <x:c r="G3325" s="13" t="str">
        <x:v>grid_asitui1y.xlsx</x:v>
      </x:c>
    </x:row>
    <x:row r="3326">
      <x:c r="A3326" s="15" t="n">
        <x:v>41791</x:v>
      </x:c>
      <x:c r="B3326" s="13" t="str">
        <x:v>BANCO BRADESCO SA-PREF</x:v>
      </x:c>
      <x:c r="C3326" s="16" t="n">
        <x:v>14822.5740519452</x:v>
      </x:c>
      <x:c r="D3326" s="13" t="str">
        <x:v>Banks</x:v>
      </x:c>
      <x:c r="E3326" s="13" t="str">
        <x:v>Banks</x:v>
      </x:c>
      <x:c r="F3326" s="13" t="str">
        <x:v>Financials</x:v>
      </x:c>
      <x:c r="G3326" s="13" t="str">
        <x:v>grid_asitui1y.xlsx</x:v>
      </x:c>
    </x:row>
    <x:row r="3327">
      <x:c r="A3327" s="15" t="n">
        <x:v>41791</x:v>
      </x:c>
      <x:c r="B3327" s="13" t="str">
        <x:v>BANCO DO BRASIL S.A.</x:v>
      </x:c>
      <x:c r="C3327" s="16" t="n">
        <x:v>10748.0442346959</x:v>
      </x:c>
      <x:c r="D3327" s="13" t="str">
        <x:v>Banks</x:v>
      </x:c>
      <x:c r="E3327" s="13" t="str">
        <x:v>Banks</x:v>
      </x:c>
      <x:c r="F3327" s="13" t="str">
        <x:v>Financials</x:v>
      </x:c>
      <x:c r="G3327" s="13" t="str">
        <x:v>grid_asitui1y.xlsx</x:v>
      </x:c>
    </x:row>
    <x:row r="3328">
      <x:c r="A3328" s="15" t="n">
        <x:v>41791</x:v>
      </x:c>
      <x:c r="B3328" s="13" t="str">
        <x:v>BANCO SANTANDER  BRASIL-UNIT</x:v>
      </x:c>
      <x:c r="C3328" s="16" t="n">
        <x:v>6117.4718926904</x:v>
      </x:c>
      <x:c r="D3328" s="13" t="str">
        <x:v>Banks</x:v>
      </x:c>
      <x:c r="E3328" s="13" t="str">
        <x:v>Banks</x:v>
      </x:c>
      <x:c r="F3328" s="13" t="str">
        <x:v>Financials</x:v>
      </x:c>
      <x:c r="G3328" s="13" t="str">
        <x:v>grid_asitui1y.xlsx</x:v>
      </x:c>
    </x:row>
    <x:row r="3329">
      <x:c r="A3329" s="15" t="n">
        <x:v>41791</x:v>
      </x:c>
      <x:c r="B3329" s="13" t="str">
        <x:v>ITAU UNIBANCO HOLDING S-PREF</x:v>
      </x:c>
      <x:c r="C3329" s="16" t="n">
        <x:v>19302.9276265205</x:v>
      </x:c>
      <x:c r="D3329" s="13" t="str">
        <x:v>Banks</x:v>
      </x:c>
      <x:c r="E3329" s="13" t="str">
        <x:v>Banks</x:v>
      </x:c>
      <x:c r="F3329" s="13" t="str">
        <x:v>Financials</x:v>
      </x:c>
      <x:c r="G3329" s="13" t="str">
        <x:v>grid_asitui1y.xlsx</x:v>
      </x:c>
    </x:row>
    <x:row r="3330">
      <x:c r="A3330" s="15" t="n">
        <x:v>41791</x:v>
      </x:c>
      <x:c r="B3330" s="13" t="str">
        <x:v>EMBRAER SA</x:v>
      </x:c>
      <x:c r="C3330" s="16" t="n">
        <x:v>1079.5650135671</x:v>
      </x:c>
      <x:c r="D3330" s="13" t="str">
        <x:v>Capital Goods</x:v>
      </x:c>
      <x:c r="E3330" s="13" t="str">
        <x:v>Capital Goods</x:v>
      </x:c>
      <x:c r="F3330" s="13" t="str">
        <x:v>Deep Cyclicals</x:v>
      </x:c>
      <x:c r="G3330" s="13" t="str">
        <x:v>grid_asitui1y.xlsx</x:v>
      </x:c>
    </x:row>
    <x:row r="3331">
      <x:c r="A3331" s="15" t="n">
        <x:v>41791</x:v>
      </x:c>
      <x:c r="B3331" s="13" t="str">
        <x:v>ANHANGUERA EDUCACIONAL PARTI</x:v>
      </x:c>
      <x:c r="C3331" s="16" t="n">
        <x:v>323.9900411616</x:v>
      </x:c>
      <x:c r="D3331" s="13" t="str">
        <x:v>Education</x:v>
      </x:c>
      <x:c r="E3331" s="13" t="str">
        <x:v>Education</x:v>
      </x:c>
      <x:c r="F3331" s="13" t="str">
        <x:v>Early Cyclicals</x:v>
      </x:c>
      <x:c r="G3331" s="13" t="str">
        <x:v>grid_asitui1y.xlsx</x:v>
      </x:c>
    </x:row>
    <x:row r="3332">
      <x:c r="A3332" s="15" t="n">
        <x:v>41791</x:v>
      </x:c>
      <x:c r="B3332" s="13" t="str">
        <x:v>COGNA EDUCACAO</x:v>
      </x:c>
      <x:c r="C3332" s="16" t="n">
        <x:v>915.2253052493</x:v>
      </x:c>
      <x:c r="D3332" s="13" t="str">
        <x:v>Education</x:v>
      </x:c>
      <x:c r="E3332" s="13" t="str">
        <x:v>Education</x:v>
      </x:c>
      <x:c r="F3332" s="13" t="str">
        <x:v>Early Cyclicals</x:v>
      </x:c>
      <x:c r="G3332" s="13" t="str">
        <x:v>grid_asitui1y.xlsx</x:v>
      </x:c>
    </x:row>
    <x:row r="3333">
      <x:c r="A3333" s="15" t="n">
        <x:v>41791</x:v>
      </x:c>
      <x:c r="B3333" s="13" t="str">
        <x:v>YDUQS PARTICIPACOES SA</x:v>
      </x:c>
      <x:c r="C3333" s="16" t="n">
        <x:v>512.2170715178</x:v>
      </x:c>
      <x:c r="D3333" s="13" t="str">
        <x:v>Education</x:v>
      </x:c>
      <x:c r="E3333" s="13" t="str">
        <x:v>Education</x:v>
      </x:c>
      <x:c r="F3333" s="13" t="str">
        <x:v>Early Cyclicals</x:v>
      </x:c>
      <x:c r="G3333" s="13" t="str">
        <x:v>grid_asitui1y.xlsx</x:v>
      </x:c>
    </x:row>
    <x:row r="3334">
      <x:c r="A3334" s="15" t="n">
        <x:v>41791</x:v>
      </x:c>
      <x:c r="B3334" s="13" t="str">
        <x:v>B3 SA-BRASIL BOLSA BALCAO</x:v>
      </x:c>
      <x:c r="C3334" s="16" t="n">
        <x:v>1566.0093145425</x:v>
      </x:c>
      <x:c r="D3334" s="13" t="str">
        <x:v>Financials Non-Banks</x:v>
      </x:c>
      <x:c r="E3334" s="13" t="str">
        <x:v>Financials Non-Banks</x:v>
      </x:c>
      <x:c r="F3334" s="13" t="str">
        <x:v>Financials</x:v>
      </x:c>
      <x:c r="G3334" s="13" t="str">
        <x:v>grid_asitui1y.xlsx</x:v>
      </x:c>
    </x:row>
    <x:row r="3335">
      <x:c r="A3335" s="15" t="n">
        <x:v>41791</x:v>
      </x:c>
      <x:c r="B3335" s="13" t="str">
        <x:v>BB SEGURIDADE PARTICIPACOES</x:v>
      </x:c>
      <x:c r="C3335" s="16" t="n">
        <x:v>3335.0732533479</x:v>
      </x:c>
      <x:c r="D3335" s="13" t="str">
        <x:v>Financials Non-Banks</x:v>
      </x:c>
      <x:c r="E3335" s="13" t="str">
        <x:v>Financials Non-Banks</x:v>
      </x:c>
      <x:c r="F3335" s="13" t="str">
        <x:v>Financials</x:v>
      </x:c>
      <x:c r="G3335" s="13" t="str">
        <x:v>grid_asitui1y.xlsx</x:v>
      </x:c>
    </x:row>
    <x:row r="3336">
      <x:c r="A3336" s="15" t="n">
        <x:v>41791</x:v>
      </x:c>
      <x:c r="B3336" s="13" t="str">
        <x:v>CETIP SA-MERCADOS ORGANIZADO</x:v>
      </x:c>
      <x:c r="C3336" s="16" t="n">
        <x:v>501.5079452055</x:v>
      </x:c>
      <x:c r="D3336" s="13" t="str">
        <x:v>Financials Non-Banks</x:v>
      </x:c>
      <x:c r="E3336" s="13" t="str">
        <x:v>Financials Non-Banks</x:v>
      </x:c>
      <x:c r="F3336" s="13" t="str">
        <x:v>Financials</x:v>
      </x:c>
      <x:c r="G3336" s="13" t="str">
        <x:v>grid_asitui1y.xlsx</x:v>
      </x:c>
    </x:row>
    <x:row r="3337">
      <x:c r="A3337" s="15" t="n">
        <x:v>41791</x:v>
      </x:c>
      <x:c r="B3337" s="13" t="str">
        <x:v>CIELO SA - INSTITUICAO DE PA</x:v>
      </x:c>
      <x:c r="C3337" s="16" t="n">
        <x:v>3520.394501611</x:v>
      </x:c>
      <x:c r="D3337" s="13" t="str">
        <x:v>Financials Non-Banks</x:v>
      </x:c>
      <x:c r="E3337" s="13" t="str">
        <x:v>Financials Non-Banks</x:v>
      </x:c>
      <x:c r="F3337" s="13" t="str">
        <x:v>Financials</x:v>
      </x:c>
      <x:c r="G3337" s="13" t="str">
        <x:v>grid_asitui1y.xlsx</x:v>
      </x:c>
    </x:row>
    <x:row r="3338">
      <x:c r="A3338" s="15" t="n">
        <x:v>41791</x:v>
      </x:c>
      <x:c r="B3338" s="13" t="str">
        <x:v>ITAUSA SA</x:v>
      </x:c>
      <x:c r="C3338" s="16" t="n">
        <x:v>7445.4793089753</x:v>
      </x:c>
      <x:c r="D3338" s="13" t="str">
        <x:v>Financials Non-Banks</x:v>
      </x:c>
      <x:c r="E3338" s="13" t="str">
        <x:v>Financials Non-Banks</x:v>
      </x:c>
      <x:c r="F3338" s="13" t="str">
        <x:v>Financials</x:v>
      </x:c>
      <x:c r="G3338" s="13" t="str">
        <x:v>grid_asitui1y.xlsx</x:v>
      </x:c>
    </x:row>
    <x:row r="3339">
      <x:c r="A3339" s="15" t="n">
        <x:v>41791</x:v>
      </x:c>
      <x:c r="B3339" s="13" t="str">
        <x:v>AMBEV SA</x:v>
      </x:c>
      <x:c r="C3339" s="16" t="n">
        <x:v>13356.2749040219</x:v>
      </x:c>
      <x:c r="D3339" s="13" t="str">
        <x:v>Food &amp; Beverages</x:v>
      </x:c>
      <x:c r="E3339" s="13" t="str">
        <x:v>Agri, Food &amp; Beverages</x:v>
      </x:c>
      <x:c r="F3339" s="13" t="str">
        <x:v>Defensives</x:v>
      </x:c>
      <x:c r="G3339" s="13" t="str">
        <x:v>grid_asitui1y.xlsx</x:v>
      </x:c>
    </x:row>
    <x:row r="3340">
      <x:c r="A3340" s="15" t="n">
        <x:v>41791</x:v>
      </x:c>
      <x:c r="B3340" s="13" t="str">
        <x:v>BRF SA</x:v>
      </x:c>
      <x:c r="C3340" s="16" t="n">
        <x:v>2198.9954531945</x:v>
      </x:c>
      <x:c r="D3340" s="13" t="str">
        <x:v>Food &amp; Beverages</x:v>
      </x:c>
      <x:c r="E3340" s="13" t="str">
        <x:v>Agri, Food &amp; Beverages</x:v>
      </x:c>
      <x:c r="F3340" s="13" t="str">
        <x:v>Defensives</x:v>
      </x:c>
      <x:c r="G3340" s="13" t="str">
        <x:v>grid_asitui1y.xlsx</x:v>
      </x:c>
    </x:row>
    <x:row r="3341">
      <x:c r="A3341" s="15" t="n">
        <x:v>41791</x:v>
      </x:c>
      <x:c r="B3341" s="13" t="str">
        <x:v>MBRF GLOBAL FOODS COMPANY SA</x:v>
      </x:c>
      <x:c r="C3341" s="16" t="n">
        <x:v>91.6106849315</x:v>
      </x:c>
      <x:c r="D3341" s="13" t="str">
        <x:v>Food &amp; Beverages</x:v>
      </x:c>
      <x:c r="E3341" s="13" t="str">
        <x:v>Agri, Food &amp; Beverages</x:v>
      </x:c>
      <x:c r="F3341" s="13" t="str">
        <x:v>Defensives</x:v>
      </x:c>
      <x:c r="G3341" s="13" t="str">
        <x:v>grid_asitui1y.xlsx</x:v>
      </x:c>
    </x:row>
    <x:row r="3342">
      <x:c r="A3342" s="15" t="n">
        <x:v>41791</x:v>
      </x:c>
      <x:c r="B3342" s="13" t="str">
        <x:v>SOUZA CRUZ LTDA</x:v>
      </x:c>
      <x:c r="C3342" s="16" t="n">
        <x:v>1898.6560753973</x:v>
      </x:c>
      <x:c r="D3342" s="13" t="str">
        <x:v>Food &amp; Beverages</x:v>
      </x:c>
      <x:c r="E3342" s="13" t="str">
        <x:v>Agri, Food &amp; Beverages</x:v>
      </x:c>
      <x:c r="F3342" s="13" t="str">
        <x:v>Defensives</x:v>
      </x:c>
      <x:c r="G3342" s="13" t="str">
        <x:v>grid_asitui1y.xlsx</x:v>
      </x:c>
    </x:row>
    <x:row r="3343">
      <x:c r="A3343" s="15" t="n">
        <x:v>41791</x:v>
      </x:c>
      <x:c r="B3343" s="13" t="str">
        <x:v>HYPERA SA</x:v>
      </x:c>
      <x:c r="C3343" s="16" t="n">
        <x:v>511.5684176658</x:v>
      </x:c>
      <x:c r="D3343" s="13" t="str">
        <x:v>Health Care</x:v>
      </x:c>
      <x:c r="E3343" s="13" t="str">
        <x:v>Health Care</x:v>
      </x:c>
      <x:c r="F3343" s="13" t="str">
        <x:v>Defensives</x:v>
      </x:c>
      <x:c r="G3343" s="13" t="str">
        <x:v>grid_asitui1y.xlsx</x:v>
      </x:c>
    </x:row>
    <x:row r="3344">
      <x:c r="A3344" s="15" t="n">
        <x:v>41791</x:v>
      </x:c>
      <x:c r="B3344" s="13" t="str">
        <x:v>QUALICORP CONS E CORR SEG SA</x:v>
      </x:c>
      <x:c r="C3344" s="16" t="n">
        <x:v>344.4788188932</x:v>
      </x:c>
      <x:c r="D3344" s="13" t="str">
        <x:v>Health Care</x:v>
      </x:c>
      <x:c r="E3344" s="13" t="str">
        <x:v>Health Care</x:v>
      </x:c>
      <x:c r="F3344" s="13" t="str">
        <x:v>Defensives</x:v>
      </x:c>
      <x:c r="G3344" s="13" t="str">
        <x:v>grid_asitui1y.xlsx</x:v>
      </x:c>
    </x:row>
    <x:row r="3345">
      <x:c r="A3345" s="15" t="n">
        <x:v>41791</x:v>
      </x:c>
      <x:c r="B3345" s="13" t="str">
        <x:v>CYRELA BRAZIL REALTY SA EMP</x:v>
      </x:c>
      <x:c r="C3345" s="16" t="n">
        <x:v>820.7480763616</x:v>
      </x:c>
      <x:c r="D3345" s="13" t="str">
        <x:v>Homebuilders</x:v>
      </x:c>
      <x:c r="E3345" s="13" t="str">
        <x:v>Real Estate</x:v>
      </x:c>
      <x:c r="F3345" s="13" t="str">
        <x:v>Early Cyclicals</x:v>
      </x:c>
      <x:c r="G3345" s="13" t="str">
        <x:v>grid_asitui1y.xlsx</x:v>
      </x:c>
    </x:row>
    <x:row r="3346">
      <x:c r="A3346" s="15" t="n">
        <x:v>41791</x:v>
      </x:c>
      <x:c r="B3346" s="13" t="str">
        <x:v>EVEN CONSTRUTORA E INCORPORA</x:v>
      </x:c>
      <x:c r="C3346" s="16" t="n">
        <x:v>355.0224657534</x:v>
      </x:c>
      <x:c r="D3346" s="13" t="str">
        <x:v>Homebuilders</x:v>
      </x:c>
      <x:c r="E3346" s="13" t="str">
        <x:v>Real Estate</x:v>
      </x:c>
      <x:c r="F3346" s="13" t="str">
        <x:v>Early Cyclicals</x:v>
      </x:c>
      <x:c r="G3346" s="13" t="str">
        <x:v>grid_asitui1y.xlsx</x:v>
      </x:c>
    </x:row>
    <x:row r="3347">
      <x:c r="A3347" s="15" t="n">
        <x:v>41791</x:v>
      </x:c>
      <x:c r="B3347" s="13" t="str">
        <x:v>GAFISA SA</x:v>
      </x:c>
      <x:c r="C3347" s="16" t="n">
        <x:v>128.2788067068</x:v>
      </x:c>
      <x:c r="D3347" s="13" t="str">
        <x:v>Homebuilders</x:v>
      </x:c>
      <x:c r="E3347" s="13" t="str">
        <x:v>Real Estate</x:v>
      </x:c>
      <x:c r="F3347" s="13" t="str">
        <x:v>Early Cyclicals</x:v>
      </x:c>
      <x:c r="G3347" s="13" t="str">
        <x:v>grid_asitui1y.xlsx</x:v>
      </x:c>
    </x:row>
    <x:row r="3348">
      <x:c r="A3348" s="15" t="n">
        <x:v>41791</x:v>
      </x:c>
      <x:c r="B3348" s="13" t="str">
        <x:v>MRV ENGENHARIA</x:v>
      </x:c>
      <x:c r="C3348" s="16" t="n">
        <x:v>588.4931478795</x:v>
      </x:c>
      <x:c r="D3348" s="13" t="str">
        <x:v>Homebuilders</x:v>
      </x:c>
      <x:c r="E3348" s="13" t="str">
        <x:v>Real Estate</x:v>
      </x:c>
      <x:c r="F3348" s="13" t="str">
        <x:v>Early Cyclicals</x:v>
      </x:c>
      <x:c r="G3348" s="13" t="str">
        <x:v>grid_asitui1y.xlsx</x:v>
      </x:c>
    </x:row>
    <x:row r="3349">
      <x:c r="A3349" s="15" t="n">
        <x:v>41791</x:v>
      </x:c>
      <x:c r="B3349" s="13" t="str">
        <x:v>PDG REALTY SA</x:v>
      </x:c>
      <x:c r="C3349" s="16" t="n">
        <x:v>-23.993390411</x:v>
      </x:c>
      <x:c r="D3349" s="13" t="str">
        <x:v>Homebuilders</x:v>
      </x:c>
      <x:c r="E3349" s="13" t="str">
        <x:v>Real Estate</x:v>
      </x:c>
      <x:c r="F3349" s="13" t="str">
        <x:v>Early Cyclicals</x:v>
      </x:c>
      <x:c r="G3349" s="13" t="str">
        <x:v>grid_asitui1y.xlsx</x:v>
      </x:c>
    </x:row>
    <x:row r="3350">
      <x:c r="A3350" s="15" t="n">
        <x:v>41791</x:v>
      </x:c>
      <x:c r="B3350" s="13" t="str">
        <x:v>ROSSI RESIDENCIAL SA</x:v>
      </x:c>
      <x:c r="C3350" s="16" t="n">
        <x:v>34.4183561644</x:v>
      </x:c>
      <x:c r="D3350" s="13" t="str">
        <x:v>Homebuilders</x:v>
      </x:c>
      <x:c r="E3350" s="13" t="str">
        <x:v>Real Estate</x:v>
      </x:c>
      <x:c r="F3350" s="13" t="str">
        <x:v>Early Cyclicals</x:v>
      </x:c>
      <x:c r="G3350" s="13" t="str">
        <x:v>grid_asitui1y.xlsx</x:v>
      </x:c>
    </x:row>
    <x:row r="3351">
      <x:c r="A3351" s="15" t="n">
        <x:v>41791</x:v>
      </x:c>
      <x:c r="B3351" s="13" t="str">
        <x:v>BR MALLS PARTICIPACOES SA</x:v>
      </x:c>
      <x:c r="C3351" s="16" t="n">
        <x:v>536.8088921425</x:v>
      </x:c>
      <x:c r="D3351" s="13" t="str">
        <x:v>Income Properties</x:v>
      </x:c>
      <x:c r="E3351" s="13" t="str">
        <x:v>Real Estate</x:v>
      </x:c>
      <x:c r="F3351" s="13" t="str">
        <x:v>Early Cyclicals</x:v>
      </x:c>
      <x:c r="G3351" s="13" t="str">
        <x:v>grid_asitui1y.xlsx</x:v>
      </x:c>
    </x:row>
    <x:row r="3352">
      <x:c r="A3352" s="15" t="n">
        <x:v>41791</x:v>
      </x:c>
      <x:c r="B3352" s="13" t="str">
        <x:v>SOLID ATIVOS IMOBILIARIOS SA</x:v>
      </x:c>
      <x:c r="C3352" s="16" t="n">
        <x:v>286.4567289863</x:v>
      </x:c>
      <x:c r="D3352" s="13" t="str">
        <x:v>Income Properties</x:v>
      </x:c>
      <x:c r="E3352" s="13" t="str">
        <x:v>Real Estate</x:v>
      </x:c>
      <x:c r="F3352" s="13" t="str">
        <x:v>Early Cyclicals</x:v>
      </x:c>
      <x:c r="G3352" s="13" t="str">
        <x:v>grid_asitui1y.xlsx</x:v>
      </x:c>
    </x:row>
    <x:row r="3353">
      <x:c r="A3353" s="15" t="n">
        <x:v>41791</x:v>
      </x:c>
      <x:c r="B3353" s="13" t="str">
        <x:v>BRADESPAR SA -PREF</x:v>
      </x:c>
      <x:c r="C3353" s="16" t="n">
        <x:v>852.4137147616</x:v>
      </x:c>
      <x:c r="D3353" s="13" t="str">
        <x:v>Metals &amp; Mining</x:v>
      </x:c>
      <x:c r="E3353" s="13" t="str">
        <x:v>Metals &amp; Mining</x:v>
      </x:c>
      <x:c r="F3353" s="13" t="str">
        <x:v>Deep Cyclicals</x:v>
      </x:c>
      <x:c r="G3353" s="13" t="str">
        <x:v>grid_asitui1y.xlsx</x:v>
      </x:c>
    </x:row>
    <x:row r="3354">
      <x:c r="A3354" s="15" t="n">
        <x:v>41791</x:v>
      </x:c>
      <x:c r="B3354" s="13" t="str">
        <x:v>CIA SIDERURGICA NACIONAL SA</x:v>
      </x:c>
      <x:c r="C3354" s="16" t="n">
        <x:v>769.2666073425</x:v>
      </x:c>
      <x:c r="D3354" s="13" t="str">
        <x:v>Metals &amp; Mining</x:v>
      </x:c>
      <x:c r="E3354" s="13" t="str">
        <x:v>Metals &amp; Mining</x:v>
      </x:c>
      <x:c r="F3354" s="13" t="str">
        <x:v>Deep Cyclicals</x:v>
      </x:c>
      <x:c r="G3354" s="13" t="str">
        <x:v>grid_asitui1y.xlsx</x:v>
      </x:c>
    </x:row>
    <x:row r="3355">
      <x:c r="A3355" s="15" t="n">
        <x:v>41791</x:v>
      </x:c>
      <x:c r="B3355" s="13" t="str">
        <x:v>GERDAU SA-PREF</x:v>
      </x:c>
      <x:c r="C3355" s="16" t="n">
        <x:v>1898.9626325918</x:v>
      </x:c>
      <x:c r="D3355" s="13" t="str">
        <x:v>Metals &amp; Mining</x:v>
      </x:c>
      <x:c r="E3355" s="13" t="str">
        <x:v>Metals &amp; Mining</x:v>
      </x:c>
      <x:c r="F3355" s="13" t="str">
        <x:v>Deep Cyclicals</x:v>
      </x:c>
      <x:c r="G3355" s="13" t="str">
        <x:v>grid_asitui1y.xlsx</x:v>
      </x:c>
    </x:row>
    <x:row r="3356">
      <x:c r="A3356" s="15" t="n">
        <x:v>41791</x:v>
      </x:c>
      <x:c r="B3356" s="13" t="str">
        <x:v>METALURGICA GERDAU SA-PREF</x:v>
      </x:c>
      <x:c r="C3356" s="16" t="n">
        <x:v>684.1780821918</x:v>
      </x:c>
      <x:c r="D3356" s="13" t="str">
        <x:v>Metals &amp; Mining</x:v>
      </x:c>
      <x:c r="E3356" s="13" t="str">
        <x:v>Metals &amp; Mining</x:v>
      </x:c>
      <x:c r="F3356" s="13" t="str">
        <x:v>Deep Cyclicals</x:v>
      </x:c>
      <x:c r="G3356" s="13" t="str">
        <x:v>grid_asitui1y.xlsx</x:v>
      </x:c>
    </x:row>
    <x:row r="3357">
      <x:c r="A3357" s="15" t="n">
        <x:v>41791</x:v>
      </x:c>
      <x:c r="B3357" s="13" t="str">
        <x:v>MMX MINERACAO E METALICOS SA</x:v>
      </x:c>
      <x:c r="C3357" s="16" t="n">
        <x:v>29.5647232877</x:v>
      </x:c>
      <x:c r="D3357" s="13" t="str">
        <x:v>Metals &amp; Mining</x:v>
      </x:c>
      <x:c r="E3357" s="13" t="str">
        <x:v>Metals &amp; Mining</x:v>
      </x:c>
      <x:c r="F3357" s="13" t="str">
        <x:v>Deep Cyclicals</x:v>
      </x:c>
      <x:c r="G3357" s="13" t="str">
        <x:v>grid_asitui1y.xlsx</x:v>
      </x:c>
    </x:row>
    <x:row r="3358">
      <x:c r="A3358" s="15" t="n">
        <x:v>41791</x:v>
      </x:c>
      <x:c r="B3358" s="13" t="str">
        <x:v>USINAS SIDER MINAS GER-PF A</x:v>
      </x:c>
      <x:c r="C3358" s="16" t="n">
        <x:v>698.4585128329</x:v>
      </x:c>
      <x:c r="D3358" s="13" t="str">
        <x:v>Metals &amp; Mining</x:v>
      </x:c>
      <x:c r="E3358" s="13" t="str">
        <x:v>Metals &amp; Mining</x:v>
      </x:c>
      <x:c r="F3358" s="13" t="str">
        <x:v>Deep Cyclicals</x:v>
      </x:c>
      <x:c r="G3358" s="13" t="str">
        <x:v>grid_asitui1y.xlsx</x:v>
      </x:c>
    </x:row>
    <x:row r="3359">
      <x:c r="A3359" s="15" t="n">
        <x:v>41791</x:v>
      </x:c>
      <x:c r="B3359" s="13" t="str">
        <x:v>VALE SA</x:v>
      </x:c>
      <x:c r="C3359" s="16" t="n">
        <x:v>21898.4370344329</x:v>
      </x:c>
      <x:c r="D3359" s="13" t="str">
        <x:v>Metals &amp; Mining</x:v>
      </x:c>
      <x:c r="E3359" s="13" t="str">
        <x:v>Metals &amp; Mining</x:v>
      </x:c>
      <x:c r="F3359" s="13" t="str">
        <x:v>Deep Cyclicals</x:v>
      </x:c>
      <x:c r="G3359" s="13" t="str">
        <x:v>grid_asitui1y.xlsx</x:v>
      </x:c>
    </x:row>
    <x:row r="3360">
      <x:c r="A3360" s="15" t="n">
        <x:v>41791</x:v>
      </x:c>
      <x:c r="B3360" s="13" t="str">
        <x:v>BRASKEM SA-PREF A</x:v>
      </x:c>
      <x:c r="C3360" s="16" t="n">
        <x:v>1350.3853231343</x:v>
      </x:c>
      <x:c r="D3360" s="13" t="str">
        <x:v>Oil, Gas &amp; Petrochemicals</x:v>
      </x:c>
      <x:c r="E3360" s="13" t="str">
        <x:v>Oil, Gas &amp; Petrochemicals</x:v>
      </x:c>
      <x:c r="F3360" s="13" t="str">
        <x:v>Deep Cyclicals</x:v>
      </x:c>
      <x:c r="G3360" s="13" t="str">
        <x:v>grid_asitui1y.xlsx</x:v>
      </x:c>
    </x:row>
    <x:row r="3361">
      <x:c r="A3361" s="15" t="n">
        <x:v>41791</x:v>
      </x:c>
      <x:c r="B3361" s="13" t="str">
        <x:v>COSAN SA</x:v>
      </x:c>
      <x:c r="C3361" s="16" t="n">
        <x:v>1070.0184621589</x:v>
      </x:c>
      <x:c r="D3361" s="13" t="str">
        <x:v>Oil, Gas &amp; Petrochemicals</x:v>
      </x:c>
      <x:c r="E3361" s="13" t="str">
        <x:v>Oil, Gas &amp; Petrochemicals</x:v>
      </x:c>
      <x:c r="F3361" s="13" t="str">
        <x:v>Deep Cyclicals</x:v>
      </x:c>
      <x:c r="G3361" s="13" t="str">
        <x:v>grid_asitui1y.xlsx</x:v>
      </x:c>
    </x:row>
    <x:row r="3362">
      <x:c r="A3362" s="15" t="n">
        <x:v>41791</x:v>
      </x:c>
      <x:c r="B3362" s="13" t="str">
        <x:v>PETROBRAS - PETROLEO BRAS</x:v>
      </x:c>
      <x:c r="C3362" s="16" t="n">
        <x:v>29770.9642794082</x:v>
      </x:c>
      <x:c r="D3362" s="13" t="str">
        <x:v>Oil, Gas &amp; Petrochemicals</x:v>
      </x:c>
      <x:c r="E3362" s="13" t="str">
        <x:v>Oil, Gas &amp; Petrochemicals</x:v>
      </x:c>
      <x:c r="F3362" s="13" t="str">
        <x:v>Deep Cyclicals</x:v>
      </x:c>
      <x:c r="G3362" s="13" t="str">
        <x:v>grid_asitui1y.xlsx</x:v>
      </x:c>
    </x:row>
    <x:row r="3363">
      <x:c r="A3363" s="15" t="n">
        <x:v>41791</x:v>
      </x:c>
      <x:c r="B3363" s="13" t="str">
        <x:v>ULTRAPAR PARTICIPACOES SA</x:v>
      </x:c>
      <x:c r="C3363" s="16" t="n">
        <x:v>1406.0185091507</x:v>
      </x:c>
      <x:c r="D3363" s="13" t="str">
        <x:v>Oil, Gas &amp; Petrochemicals</x:v>
      </x:c>
      <x:c r="E3363" s="13" t="str">
        <x:v>Oil, Gas &amp; Petrochemicals</x:v>
      </x:c>
      <x:c r="F3363" s="13" t="str">
        <x:v>Deep Cyclicals</x:v>
      </x:c>
      <x:c r="G3363" s="13" t="str">
        <x:v>grid_asitui1y.xlsx</x:v>
      </x:c>
    </x:row>
    <x:row r="3364">
      <x:c r="A3364" s="15" t="n">
        <x:v>41791</x:v>
      </x:c>
      <x:c r="B3364" s="13" t="str">
        <x:v>DEXCO SA</x:v>
      </x:c>
      <x:c r="C3364" s="16" t="n">
        <x:v>534.5257692932</x:v>
      </x:c>
      <x:c r="D3364" s="13" t="str">
        <x:v>Pulp &amp; Paper</x:v>
      </x:c>
      <x:c r="E3364" s="13" t="str">
        <x:v>Pulp &amp; Paper</x:v>
      </x:c>
      <x:c r="F3364" s="13" t="str">
        <x:v>Deep Cyclicals</x:v>
      </x:c>
      <x:c r="G3364" s="13" t="str">
        <x:v>grid_asitui1y.xlsx</x:v>
      </x:c>
    </x:row>
    <x:row r="3365">
      <x:c r="A3365" s="15" t="n">
        <x:v>41791</x:v>
      </x:c>
      <x:c r="B3365" s="13" t="str">
        <x:v>FIBRIA CELULOSE S/A</x:v>
      </x:c>
      <x:c r="C3365" s="16" t="n">
        <x:v>306.4681436932</x:v>
      </x:c>
      <x:c r="D3365" s="13" t="str">
        <x:v>Pulp &amp; Paper</x:v>
      </x:c>
      <x:c r="E3365" s="13" t="str">
        <x:v>Pulp &amp; Paper</x:v>
      </x:c>
      <x:c r="F3365" s="13" t="str">
        <x:v>Deep Cyclicals</x:v>
      </x:c>
      <x:c r="G3365" s="13" t="str">
        <x:v>grid_asitui1y.xlsx</x:v>
      </x:c>
    </x:row>
    <x:row r="3366">
      <x:c r="A3366" s="15" t="n">
        <x:v>41791</x:v>
      </x:c>
      <x:c r="B3366" s="13" t="str">
        <x:v>KLABIN SA - UNIT</x:v>
      </x:c>
      <x:c r="C3366" s="16" t="n">
        <x:v>689.8579519123</x:v>
      </x:c>
      <x:c r="D3366" s="13" t="str">
        <x:v>Pulp &amp; Paper</x:v>
      </x:c>
      <x:c r="E3366" s="13" t="str">
        <x:v>Pulp &amp; Paper</x:v>
      </x:c>
      <x:c r="F3366" s="13" t="str">
        <x:v>Deep Cyclicals</x:v>
      </x:c>
      <x:c r="G3366" s="13" t="str">
        <x:v>grid_asitui1y.xlsx</x:v>
      </x:c>
    </x:row>
    <x:row r="3367">
      <x:c r="A3367" s="15" t="n">
        <x:v>41791</x:v>
      </x:c>
      <x:c r="B3367" s="13" t="str">
        <x:v>SUZANO PAPEL E CELULO-PREF A</x:v>
      </x:c>
      <x:c r="C3367" s="16" t="n">
        <x:v>616.0262315836</x:v>
      </x:c>
      <x:c r="D3367" s="13" t="str">
        <x:v>Pulp &amp; Paper</x:v>
      </x:c>
      <x:c r="E3367" s="13" t="str">
        <x:v>Pulp &amp; Paper</x:v>
      </x:c>
      <x:c r="F3367" s="13" t="str">
        <x:v>Deep Cyclicals</x:v>
      </x:c>
      <x:c r="G3367" s="13" t="str">
        <x:v>grid_asitui1y.xlsx</x:v>
      </x:c>
    </x:row>
    <x:row r="3368">
      <x:c r="A3368" s="15" t="n">
        <x:v>41791</x:v>
      </x:c>
      <x:c r="B3368" s="13" t="str">
        <x:v>CIA BRASILEIRA DE DIS-PREF</x:v>
      </x:c>
      <x:c r="C3368" s="16" t="n">
        <x:v>1559.9421920438</x:v>
      </x:c>
      <x:c r="D3368" s="13" t="str">
        <x:v>Retail</x:v>
      </x:c>
      <x:c r="E3368" s="13" t="str">
        <x:v>Retail</x:v>
      </x:c>
      <x:c r="F3368" s="13" t="str">
        <x:v>Early Cyclicals</x:v>
      </x:c>
      <x:c r="G3368" s="13" t="str">
        <x:v>grid_asitui1y.xlsx</x:v>
      </x:c>
    </x:row>
    <x:row r="3369">
      <x:c r="A3369" s="15" t="n">
        <x:v>41791</x:v>
      </x:c>
      <x:c r="B3369" s="13" t="str">
        <x:v>CIA HERING</x:v>
      </x:c>
      <x:c r="C3369" s="16" t="n">
        <x:v>343.7311796603</x:v>
      </x:c>
      <x:c r="D3369" s="13" t="str">
        <x:v>Retail</x:v>
      </x:c>
      <x:c r="E3369" s="13" t="str">
        <x:v>Retail</x:v>
      </x:c>
      <x:c r="F3369" s="13" t="str">
        <x:v>Early Cyclicals</x:v>
      </x:c>
      <x:c r="G3369" s="13" t="str">
        <x:v>grid_asitui1y.xlsx</x:v>
      </x:c>
    </x:row>
    <x:row r="3370">
      <x:c r="A3370" s="15" t="n">
        <x:v>41791</x:v>
      </x:c>
      <x:c r="B3370" s="13" t="str">
        <x:v>LOJAS AMERICANAS SA-PREF</x:v>
      </x:c>
      <x:c r="C3370" s="16" t="n">
        <x:v>619.3792256</x:v>
      </x:c>
      <x:c r="D3370" s="13" t="str">
        <x:v>Retail</x:v>
      </x:c>
      <x:c r="E3370" s="13" t="str">
        <x:v>Retail</x:v>
      </x:c>
      <x:c r="F3370" s="13" t="str">
        <x:v>Early Cyclicals</x:v>
      </x:c>
      <x:c r="G3370" s="13" t="str">
        <x:v>grid_asitui1y.xlsx</x:v>
      </x:c>
    </x:row>
    <x:row r="3371">
      <x:c r="A3371" s="15" t="n">
        <x:v>41791</x:v>
      </x:c>
      <x:c r="B3371" s="13" t="str">
        <x:v>LOJAS RENNER S.A.</x:v>
      </x:c>
      <x:c r="C3371" s="16" t="n">
        <x:v>478.4248121863</x:v>
      </x:c>
      <x:c r="D3371" s="13" t="str">
        <x:v>Retail</x:v>
      </x:c>
      <x:c r="E3371" s="13" t="str">
        <x:v>Retail</x:v>
      </x:c>
      <x:c r="F3371" s="13" t="str">
        <x:v>Early Cyclicals</x:v>
      </x:c>
      <x:c r="G3371" s="13" t="str">
        <x:v>grid_asitui1y.xlsx</x:v>
      </x:c>
    </x:row>
    <x:row r="3372">
      <x:c r="A3372" s="15" t="n">
        <x:v>41791</x:v>
      </x:c>
      <x:c r="B3372" s="13" t="str">
        <x:v>NATURA COSMETICOS SA</x:v>
      </x:c>
      <x:c r="C3372" s="16" t="n">
        <x:v>938.9047380164</x:v>
      </x:c>
      <x:c r="D3372" s="13" t="str">
        <x:v>Retail</x:v>
      </x:c>
      <x:c r="E3372" s="13" t="str">
        <x:v>Retail</x:v>
      </x:c>
      <x:c r="F3372" s="13" t="str">
        <x:v>Early Cyclicals</x:v>
      </x:c>
      <x:c r="G3372" s="13" t="str">
        <x:v>grid_asitui1y.xlsx</x:v>
      </x:c>
    </x:row>
    <x:row r="3373">
      <x:c r="A3373" s="15" t="n">
        <x:v>41791</x:v>
      </x:c>
      <x:c r="B3373" s="13" t="str">
        <x:v>CIA SANEAMENTO BASICO DE SP</x:v>
      </x:c>
      <x:c r="C3373" s="16" t="n">
        <x:v>1726.4149942356</x:v>
      </x:c>
      <x:c r="D3373" s="13" t="str">
        <x:v>Sanitation</x:v>
      </x:c>
      <x:c r="E3373" s="13" t="str">
        <x:v>Utilities</x:v>
      </x:c>
      <x:c r="F3373" s="13" t="str">
        <x:v>Defensives</x:v>
      </x:c>
      <x:c r="G3373" s="13" t="str">
        <x:v>grid_asitui1y.xlsx</x:v>
      </x:c>
    </x:row>
    <x:row r="3374">
      <x:c r="A3374" s="15" t="n">
        <x:v>41791</x:v>
      </x:c>
      <x:c r="B3374" s="13" t="str">
        <x:v>OI SA-PREFERENCE</x:v>
      </x:c>
      <x:c r="C3374" s="16" t="n">
        <x:v>42.3633684164</x:v>
      </x:c>
      <x:c r="D3374" s="13" t="str">
        <x:v>TMT</x:v>
      </x:c>
      <x:c r="E3374" s="13" t="str">
        <x:v>TMT</x:v>
      </x:c>
      <x:c r="F3374" s="13" t="str">
        <x:v>Early Cyclicals</x:v>
      </x:c>
      <x:c r="G3374" s="13" t="str">
        <x:v>grid_asitui1y.xlsx</x:v>
      </x:c>
    </x:row>
    <x:row r="3375">
      <x:c r="A3375" s="15" t="n">
        <x:v>41791</x:v>
      </x:c>
      <x:c r="B3375" s="13" t="str">
        <x:v>TELEFONICA BRASIL S.A.-PREF</x:v>
      </x:c>
      <x:c r="C3375" s="16" t="n">
        <x:v>3878.6213537315</x:v>
      </x:c>
      <x:c r="D3375" s="13" t="str">
        <x:v>TMT</x:v>
      </x:c>
      <x:c r="E3375" s="13" t="str">
        <x:v>TMT</x:v>
      </x:c>
      <x:c r="F3375" s="13" t="str">
        <x:v>Early Cyclicals</x:v>
      </x:c>
      <x:c r="G3375" s="13" t="str">
        <x:v>grid_asitui1y.xlsx</x:v>
      </x:c>
    </x:row>
    <x:row r="3376">
      <x:c r="A3376" s="15" t="n">
        <x:v>41791</x:v>
      </x:c>
      <x:c r="B3376" s="13" t="str">
        <x:v>TIM SA</x:v>
      </x:c>
      <x:c r="C3376" s="16" t="n">
        <x:v>1620.7008375233</x:v>
      </x:c>
      <x:c r="D3376" s="13" t="str">
        <x:v>TMT</x:v>
      </x:c>
      <x:c r="E3376" s="13" t="str">
        <x:v>TMT</x:v>
      </x:c>
      <x:c r="F3376" s="13" t="str">
        <x:v>Early Cyclicals</x:v>
      </x:c>
      <x:c r="G3376" s="13" t="str">
        <x:v>grid_asitui1y.xlsx</x:v>
      </x:c>
    </x:row>
    <x:row r="3377">
      <x:c r="A3377" s="15" t="n">
        <x:v>41791</x:v>
      </x:c>
      <x:c r="B3377" s="13" t="str">
        <x:v>ECORODOVIAS INFRA E LOG SA</x:v>
      </x:c>
      <x:c r="C3377" s="16" t="n">
        <x:v>519.4973864329</x:v>
      </x:c>
      <x:c r="D3377" s="13" t="str">
        <x:v>Transportation</x:v>
      </x:c>
      <x:c r="E3377" s="13" t="str">
        <x:v>Transportation</x:v>
      </x:c>
      <x:c r="F3377" s="13" t="str">
        <x:v>Deep Cyclicals</x:v>
      </x:c>
      <x:c r="G3377" s="13" t="str">
        <x:v>grid_asitui1y.xlsx</x:v>
      </x:c>
    </x:row>
    <x:row r="3378">
      <x:c r="A3378" s="15" t="n">
        <x:v>41791</x:v>
      </x:c>
      <x:c r="B3378" s="13" t="str">
        <x:v>GOL LINHAS AEREAS INT SA-PRE</x:v>
      </x:c>
      <x:c r="C3378" s="16" t="n">
        <x:v>-33.0391863014</x:v>
      </x:c>
      <x:c r="D3378" s="13" t="str">
        <x:v>Transportation</x:v>
      </x:c>
      <x:c r="E3378" s="13" t="str">
        <x:v>Transportation</x:v>
      </x:c>
      <x:c r="F3378" s="13" t="str">
        <x:v>Deep Cyclicals</x:v>
      </x:c>
      <x:c r="G3378" s="13" t="str">
        <x:v>grid_asitui1y.xlsx</x:v>
      </x:c>
    </x:row>
    <x:row r="3379">
      <x:c r="A3379" s="15" t="n">
        <x:v>41791</x:v>
      </x:c>
      <x:c r="B3379" s="13" t="str">
        <x:v>LOCALIZA RENT A CAR</x:v>
      </x:c>
      <x:c r="C3379" s="16" t="n">
        <x:v>428.239212537</x:v>
      </x:c>
      <x:c r="D3379" s="13" t="str">
        <x:v>Transportation</x:v>
      </x:c>
      <x:c r="E3379" s="13" t="str">
        <x:v>Transportation</x:v>
      </x:c>
      <x:c r="F3379" s="13" t="str">
        <x:v>Deep Cyclicals</x:v>
      </x:c>
      <x:c r="G3379" s="13" t="str">
        <x:v>grid_asitui1y.xlsx</x:v>
      </x:c>
    </x:row>
    <x:row r="3380">
      <x:c r="A3380" s="15" t="n">
        <x:v>41791</x:v>
      </x:c>
      <x:c r="B3380" s="13" t="str">
        <x:v>MOTIVA INFRAESTRUTURA DE MOB</x:v>
      </x:c>
      <x:c r="C3380" s="16" t="n">
        <x:v>1641.098739726</x:v>
      </x:c>
      <x:c r="D3380" s="13" t="str">
        <x:v>Transportation</x:v>
      </x:c>
      <x:c r="E3380" s="13" t="str">
        <x:v>Transportation</x:v>
      </x:c>
      <x:c r="F3380" s="13" t="str">
        <x:v>Deep Cyclicals</x:v>
      </x:c>
      <x:c r="G3380" s="13" t="str">
        <x:v>grid_asitui1y.xlsx</x:v>
      </x:c>
    </x:row>
    <x:row r="3381">
      <x:c r="A3381" s="15" t="n">
        <x:v>41791</x:v>
      </x:c>
      <x:c r="B3381" s="13" t="str">
        <x:v>RUMO SA</x:v>
      </x:c>
      <x:c r="C3381" s="16" t="n">
        <x:v>347.6109617096</x:v>
      </x:c>
      <x:c r="D3381" s="13" t="str">
        <x:v>Transportation</x:v>
      </x:c>
      <x:c r="E3381" s="13" t="str">
        <x:v>Transportation</x:v>
      </x:c>
      <x:c r="F3381" s="13" t="str">
        <x:v>Deep Cyclicals</x:v>
      </x:c>
      <x:c r="G3381" s="13" t="str">
        <x:v>grid_asitui1y.xlsx</x:v>
      </x:c>
    </x:row>
    <x:row r="3382">
      <x:c r="A3382" s="15" t="n">
        <x:v>41791</x:v>
      </x:c>
      <x:c r="B3382" s="13" t="str">
        <x:v>AXIA ENERGIA SA</x:v>
      </x:c>
      <x:c r="C3382" s="16" t="n">
        <x:v>1092.6040937206</x:v>
      </x:c>
      <x:c r="D3382" s="13" t="str">
        <x:v>Utilities &amp; Energy</x:v>
      </x:c>
      <x:c r="E3382" s="13" t="str">
        <x:v>Utilities</x:v>
      </x:c>
      <x:c r="F3382" s="13" t="str">
        <x:v>Defensives</x:v>
      </x:c>
      <x:c r="G3382" s="13" t="str">
        <x:v>grid_asitui1y.xlsx</x:v>
      </x:c>
    </x:row>
    <x:row r="3383">
      <x:c r="A3383" s="15" t="n">
        <x:v>41791</x:v>
      </x:c>
      <x:c r="B3383" s="13" t="str">
        <x:v>AXIA ENERGIA-PR B</x:v>
      </x:c>
      <x:c r="C3383" s="16" t="n">
        <x:v>1092.6040937206</x:v>
      </x:c>
      <x:c r="D3383" s="13" t="str">
        <x:v>Utilities &amp; Energy</x:v>
      </x:c>
      <x:c r="E3383" s="13" t="str">
        <x:v>Utilities</x:v>
      </x:c>
      <x:c r="F3383" s="13" t="str">
        <x:v>Defensives</x:v>
      </x:c>
      <x:c r="G3383" s="13" t="str">
        <x:v>grid_asitui1y.xlsx</x:v>
      </x:c>
    </x:row>
    <x:row r="3384">
      <x:c r="A3384" s="15" t="n">
        <x:v>41791</x:v>
      </x:c>
      <x:c r="B3384" s="13" t="str">
        <x:v>CESP - CIA ENERGETICA DE SAO</x:v>
      </x:c>
      <x:c r="C3384" s="16" t="n">
        <x:v>1525.4650508274</x:v>
      </x:c>
      <x:c r="D3384" s="13" t="str">
        <x:v>Utilities &amp; Energy</x:v>
      </x:c>
      <x:c r="E3384" s="13" t="str">
        <x:v>Utilities</x:v>
      </x:c>
      <x:c r="F3384" s="13" t="str">
        <x:v>Defensives</x:v>
      </x:c>
      <x:c r="G3384" s="13" t="str">
        <x:v>grid_asitui1y.xlsx</x:v>
      </x:c>
    </x:row>
    <x:row r="3385">
      <x:c r="A3385" s="15" t="n">
        <x:v>41791</x:v>
      </x:c>
      <x:c r="B3385" s="13" t="str">
        <x:v>CIA ENERGETICA MINAS GER-PRF</x:v>
      </x:c>
      <x:c r="C3385" s="16" t="n">
        <x:v>2524.9310779616</x:v>
      </x:c>
      <x:c r="D3385" s="13" t="str">
        <x:v>Utilities &amp; Energy</x:v>
      </x:c>
      <x:c r="E3385" s="13" t="str">
        <x:v>Utilities</x:v>
      </x:c>
      <x:c r="F3385" s="13" t="str">
        <x:v>Defensives</x:v>
      </x:c>
      <x:c r="G3385" s="13" t="str">
        <x:v>grid_asitui1y.xlsx</x:v>
      </x:c>
    </x:row>
    <x:row r="3386">
      <x:c r="A3386" s="15" t="n">
        <x:v>41791</x:v>
      </x:c>
      <x:c r="B3386" s="13" t="str">
        <x:v>COMPANHIA PARANAENSE -PREF B</x:v>
      </x:c>
      <x:c r="C3386" s="16" t="n">
        <x:v>1342.8603356932</x:v>
      </x:c>
      <x:c r="D3386" s="13" t="str">
        <x:v>Utilities &amp; Energy</x:v>
      </x:c>
      <x:c r="E3386" s="13" t="str">
        <x:v>Utilities</x:v>
      </x:c>
      <x:c r="F3386" s="13" t="str">
        <x:v>Defensives</x:v>
      </x:c>
      <x:c r="G3386" s="13" t="str">
        <x:v>grid_asitui1y.xlsx</x:v>
      </x:c>
    </x:row>
    <x:row r="3387">
      <x:c r="A3387" s="15" t="n">
        <x:v>41791</x:v>
      </x:c>
      <x:c r="B3387" s="13" t="str">
        <x:v>CPFL ENERGIA SA</x:v>
      </x:c>
      <x:c r="C3387" s="16" t="n">
        <x:v>1351.0936905644</x:v>
      </x:c>
      <x:c r="D3387" s="13" t="str">
        <x:v>Utilities &amp; Energy</x:v>
      </x:c>
      <x:c r="E3387" s="13" t="str">
        <x:v>Utilities</x:v>
      </x:c>
      <x:c r="F3387" s="13" t="str">
        <x:v>Defensives</x:v>
      </x:c>
      <x:c r="G3387" s="13" t="str">
        <x:v>grid_asitui1y.xlsx</x:v>
      </x:c>
    </x:row>
    <x:row r="3388">
      <x:c r="A3388" s="15" t="n">
        <x:v>41791</x:v>
      </x:c>
      <x:c r="B3388" s="13" t="str">
        <x:v>EDP - ENERGIAS DO BRASIL SA</x:v>
      </x:c>
      <x:c r="C3388" s="16" t="n">
        <x:v>602.6566964603</x:v>
      </x:c>
      <x:c r="D3388" s="13" t="str">
        <x:v>Utilities &amp; Energy</x:v>
      </x:c>
      <x:c r="E3388" s="13" t="str">
        <x:v>Utilities</x:v>
      </x:c>
      <x:c r="F3388" s="13" t="str">
        <x:v>Defensives</x:v>
      </x:c>
      <x:c r="G3388" s="13" t="str">
        <x:v>grid_asitui1y.xlsx</x:v>
      </x:c>
    </x:row>
    <x:row r="3389">
      <x:c r="A3389" s="15" t="n">
        <x:v>41791</x:v>
      </x:c>
      <x:c r="B3389" s="13" t="str">
        <x:v>ELETROPAULO METROPOLI-PREF</x:v>
      </x:c>
      <x:c r="C3389" s="16" t="n">
        <x:v>-19.5779917808</x:v>
      </x:c>
      <x:c r="D3389" s="13" t="str">
        <x:v>Utilities &amp; Energy</x:v>
      </x:c>
      <x:c r="E3389" s="13" t="str">
        <x:v>Utilities</x:v>
      </x:c>
      <x:c r="F3389" s="13" t="str">
        <x:v>Defensives</x:v>
      </x:c>
      <x:c r="G3389" s="13" t="str">
        <x:v>grid_asitui1y.xlsx</x:v>
      </x:c>
    </x:row>
    <x:row r="3390">
      <x:c r="A3390" s="15" t="n">
        <x:v>41791</x:v>
      </x:c>
      <x:c r="B3390" s="13" t="str">
        <x:v>ENGIE BRASIL ENERGIA SA</x:v>
      </x:c>
      <x:c r="C3390" s="16" t="n">
        <x:v>1778.5057192329</x:v>
      </x:c>
      <x:c r="D3390" s="13" t="str">
        <x:v>Utilities &amp; Energy</x:v>
      </x:c>
      <x:c r="E3390" s="13" t="str">
        <x:v>Utilities</x:v>
      </x:c>
      <x:c r="F3390" s="13" t="str">
        <x:v>Defensives</x:v>
      </x:c>
      <x:c r="G3390" s="13" t="str">
        <x:v>grid_asitui1y.xlsx</x:v>
      </x:c>
    </x:row>
    <x:row r="3391">
      <x:c r="A3391" s="15" t="n">
        <x:v>41791</x:v>
      </x:c>
      <x:c r="B3391" s="13" t="str">
        <x:v>LIGHT SA</x:v>
      </x:c>
      <x:c r="C3391" s="16" t="n">
        <x:v>484.8452359014</x:v>
      </x:c>
      <x:c r="D3391" s="13" t="str">
        <x:v>Utilities &amp; Energy</x:v>
      </x:c>
      <x:c r="E3391" s="13" t="str">
        <x:v>Utilities</x:v>
      </x:c>
      <x:c r="F3391" s="13" t="str">
        <x:v>Defensives</x:v>
      </x:c>
      <x:c r="G3391" s="13" t="str">
        <x:v>grid_asitui1y.xlsx</x:v>
      </x:c>
    </x:row>
    <x:row r="3392">
      <x:c r="A3392" s="15" t="n">
        <x:v>41821</x:v>
      </x:c>
      <x:c r="B3392" s="13" t="str">
        <x:v>BANCO BRADESCO S.A.</x:v>
      </x:c>
      <x:c r="C3392" s="16" t="n">
        <x:v>15414.4005021808</x:v>
      </x:c>
      <x:c r="D3392" s="13" t="str">
        <x:v>Banks</x:v>
      </x:c>
      <x:c r="E3392" s="13" t="str">
        <x:v>Banks</x:v>
      </x:c>
      <x:c r="F3392" s="13" t="str">
        <x:v>Financials</x:v>
      </x:c>
      <x:c r="G3392" s="13" t="str">
        <x:v>grid_asitui1y.xlsx</x:v>
      </x:c>
    </x:row>
    <x:row r="3393">
      <x:c r="A3393" s="15" t="n">
        <x:v>41821</x:v>
      </x:c>
      <x:c r="B3393" s="13" t="str">
        <x:v>BANCO BRADESCO SA-PREF</x:v>
      </x:c>
      <x:c r="C3393" s="16" t="n">
        <x:v>15414.4005021808</x:v>
      </x:c>
      <x:c r="D3393" s="13" t="str">
        <x:v>Banks</x:v>
      </x:c>
      <x:c r="E3393" s="13" t="str">
        <x:v>Banks</x:v>
      </x:c>
      <x:c r="F3393" s="13" t="str">
        <x:v>Financials</x:v>
      </x:c>
      <x:c r="G3393" s="13" t="str">
        <x:v>grid_asitui1y.xlsx</x:v>
      </x:c>
    </x:row>
    <x:row r="3394">
      <x:c r="A3394" s="15" t="n">
        <x:v>41821</x:v>
      </x:c>
      <x:c r="B3394" s="13" t="str">
        <x:v>BANCO DO BRASIL S.A.</x:v>
      </x:c>
      <x:c r="C3394" s="16" t="n">
        <x:v>10729.3997168219</x:v>
      </x:c>
      <x:c r="D3394" s="13" t="str">
        <x:v>Banks</x:v>
      </x:c>
      <x:c r="E3394" s="13" t="str">
        <x:v>Banks</x:v>
      </x:c>
      <x:c r="F3394" s="13" t="str">
        <x:v>Financials</x:v>
      </x:c>
      <x:c r="G3394" s="13" t="str">
        <x:v>grid_asitui1y.xlsx</x:v>
      </x:c>
    </x:row>
    <x:row r="3395">
      <x:c r="A3395" s="15" t="n">
        <x:v>41821</x:v>
      </x:c>
      <x:c r="B3395" s="13" t="str">
        <x:v>BANCO SANTANDER  BRASIL-UNIT</x:v>
      </x:c>
      <x:c r="C3395" s="16" t="n">
        <x:v>6008.332832263</x:v>
      </x:c>
      <x:c r="D3395" s="13" t="str">
        <x:v>Banks</x:v>
      </x:c>
      <x:c r="E3395" s="13" t="str">
        <x:v>Banks</x:v>
      </x:c>
      <x:c r="F3395" s="13" t="str">
        <x:v>Financials</x:v>
      </x:c>
      <x:c r="G3395" s="13" t="str">
        <x:v>grid_asitui1y.xlsx</x:v>
      </x:c>
    </x:row>
    <x:row r="3396">
      <x:c r="A3396" s="15" t="n">
        <x:v>41821</x:v>
      </x:c>
      <x:c r="B3396" s="13" t="str">
        <x:v>ITAU UNIBANCO HOLDING S-PREF</x:v>
      </x:c>
      <x:c r="C3396" s="16" t="n">
        <x:v>19663.7615707178</x:v>
      </x:c>
      <x:c r="D3396" s="13" t="str">
        <x:v>Banks</x:v>
      </x:c>
      <x:c r="E3396" s="13" t="str">
        <x:v>Banks</x:v>
      </x:c>
      <x:c r="F3396" s="13" t="str">
        <x:v>Financials</x:v>
      </x:c>
      <x:c r="G3396" s="13" t="str">
        <x:v>grid_asitui1y.xlsx</x:v>
      </x:c>
    </x:row>
    <x:row r="3397">
      <x:c r="A3397" s="15" t="n">
        <x:v>41821</x:v>
      </x:c>
      <x:c r="B3397" s="13" t="str">
        <x:v>EMBRAER SA</x:v>
      </x:c>
      <x:c r="C3397" s="16" t="n">
        <x:v>1076.5630499068</x:v>
      </x:c>
      <x:c r="D3397" s="13" t="str">
        <x:v>Capital Goods</x:v>
      </x:c>
      <x:c r="E3397" s="13" t="str">
        <x:v>Capital Goods</x:v>
      </x:c>
      <x:c r="F3397" s="13" t="str">
        <x:v>Deep Cyclicals</x:v>
      </x:c>
      <x:c r="G3397" s="13" t="str">
        <x:v>grid_asitui1y.xlsx</x:v>
      </x:c>
    </x:row>
    <x:row r="3398">
      <x:c r="A3398" s="15" t="n">
        <x:v>41821</x:v>
      </x:c>
      <x:c r="B3398" s="13" t="str">
        <x:v>COGNA EDUCACAO</x:v>
      </x:c>
      <x:c r="C3398" s="16" t="n">
        <x:v>1053.0648177973</x:v>
      </x:c>
      <x:c r="D3398" s="13" t="str">
        <x:v>Education</x:v>
      </x:c>
      <x:c r="E3398" s="13" t="str">
        <x:v>Education</x:v>
      </x:c>
      <x:c r="F3398" s="13" t="str">
        <x:v>Early Cyclicals</x:v>
      </x:c>
      <x:c r="G3398" s="13" t="str">
        <x:v>grid_asitui1y.xlsx</x:v>
      </x:c>
    </x:row>
    <x:row r="3399">
      <x:c r="A3399" s="15" t="n">
        <x:v>41821</x:v>
      </x:c>
      <x:c r="B3399" s="13" t="str">
        <x:v>YDUQS PARTICIPACOES SA</x:v>
      </x:c>
      <x:c r="C3399" s="16" t="n">
        <x:v>531.7450155836</x:v>
      </x:c>
      <x:c r="D3399" s="13" t="str">
        <x:v>Education</x:v>
      </x:c>
      <x:c r="E3399" s="13" t="str">
        <x:v>Education</x:v>
      </x:c>
      <x:c r="F3399" s="13" t="str">
        <x:v>Early Cyclicals</x:v>
      </x:c>
      <x:c r="G3399" s="13" t="str">
        <x:v>grid_asitui1y.xlsx</x:v>
      </x:c>
    </x:row>
    <x:row r="3400">
      <x:c r="A3400" s="15" t="n">
        <x:v>41821</x:v>
      </x:c>
      <x:c r="B3400" s="13" t="str">
        <x:v>B3 SA-BRASIL BOLSA BALCAO</x:v>
      </x:c>
      <x:c r="C3400" s="16" t="n">
        <x:v>1583.0679720329</x:v>
      </x:c>
      <x:c r="D3400" s="13" t="str">
        <x:v>Financials Non-Banks</x:v>
      </x:c>
      <x:c r="E3400" s="13" t="str">
        <x:v>Financials Non-Banks</x:v>
      </x:c>
      <x:c r="F3400" s="13" t="str">
        <x:v>Financials</x:v>
      </x:c>
      <x:c r="G3400" s="13" t="str">
        <x:v>grid_asitui1y.xlsx</x:v>
      </x:c>
    </x:row>
    <x:row r="3401">
      <x:c r="A3401" s="15" t="n">
        <x:v>41821</x:v>
      </x:c>
      <x:c r="B3401" s="13" t="str">
        <x:v>BB SEGURIDADE PARTICIPACOES</x:v>
      </x:c>
      <x:c r="C3401" s="16" t="n">
        <x:v>3452.0932562411</x:v>
      </x:c>
      <x:c r="D3401" s="13" t="str">
        <x:v>Financials Non-Banks</x:v>
      </x:c>
      <x:c r="E3401" s="13" t="str">
        <x:v>Financials Non-Banks</x:v>
      </x:c>
      <x:c r="F3401" s="13" t="str">
        <x:v>Financials</x:v>
      </x:c>
      <x:c r="G3401" s="13" t="str">
        <x:v>grid_asitui1y.xlsx</x:v>
      </x:c>
    </x:row>
    <x:row r="3402">
      <x:c r="A3402" s="15" t="n">
        <x:v>41821</x:v>
      </x:c>
      <x:c r="B3402" s="13" t="str">
        <x:v>CETIP SA-MERCADOS ORGANIZADO</x:v>
      </x:c>
      <x:c r="C3402" s="16" t="n">
        <x:v>506.442739726</x:v>
      </x:c>
      <x:c r="D3402" s="13" t="str">
        <x:v>Financials Non-Banks</x:v>
      </x:c>
      <x:c r="E3402" s="13" t="str">
        <x:v>Financials Non-Banks</x:v>
      </x:c>
      <x:c r="F3402" s="13" t="str">
        <x:v>Financials</x:v>
      </x:c>
      <x:c r="G3402" s="13" t="str">
        <x:v>grid_asitui1y.xlsx</x:v>
      </x:c>
    </x:row>
    <x:row r="3403">
      <x:c r="A3403" s="15" t="n">
        <x:v>41821</x:v>
      </x:c>
      <x:c r="B3403" s="13" t="str">
        <x:v>CIELO SA - INSTITUICAO DE PA</x:v>
      </x:c>
      <x:c r="C3403" s="16" t="n">
        <x:v>3578.5337336986</x:v>
      </x:c>
      <x:c r="D3403" s="13" t="str">
        <x:v>Financials Non-Banks</x:v>
      </x:c>
      <x:c r="E3403" s="13" t="str">
        <x:v>Financials Non-Banks</x:v>
      </x:c>
      <x:c r="F3403" s="13" t="str">
        <x:v>Financials</x:v>
      </x:c>
      <x:c r="G3403" s="13" t="str">
        <x:v>grid_asitui1y.xlsx</x:v>
      </x:c>
    </x:row>
    <x:row r="3404">
      <x:c r="A3404" s="15" t="n">
        <x:v>41821</x:v>
      </x:c>
      <x:c r="B3404" s="13" t="str">
        <x:v>ITAUSA SA</x:v>
      </x:c>
      <x:c r="C3404" s="16" t="n">
        <x:v>7362.0794830904</x:v>
      </x:c>
      <x:c r="D3404" s="13" t="str">
        <x:v>Financials Non-Banks</x:v>
      </x:c>
      <x:c r="E3404" s="13" t="str">
        <x:v>Financials Non-Banks</x:v>
      </x:c>
      <x:c r="F3404" s="13" t="str">
        <x:v>Financials</x:v>
      </x:c>
      <x:c r="G3404" s="13" t="str">
        <x:v>grid_asitui1y.xlsx</x:v>
      </x:c>
    </x:row>
    <x:row r="3405">
      <x:c r="A3405" s="15" t="n">
        <x:v>41821</x:v>
      </x:c>
      <x:c r="B3405" s="13" t="str">
        <x:v>AMBEV SA</x:v>
      </x:c>
      <x:c r="C3405" s="16" t="n">
        <x:v>13383.5662237808</x:v>
      </x:c>
      <x:c r="D3405" s="13" t="str">
        <x:v>Food &amp; Beverages</x:v>
      </x:c>
      <x:c r="E3405" s="13" t="str">
        <x:v>Agri, Food &amp; Beverages</x:v>
      </x:c>
      <x:c r="F3405" s="13" t="str">
        <x:v>Defensives</x:v>
      </x:c>
      <x:c r="G3405" s="13" t="str">
        <x:v>grid_asitui1y.xlsx</x:v>
      </x:c>
    </x:row>
    <x:row r="3406">
      <x:c r="A3406" s="15" t="n">
        <x:v>41821</x:v>
      </x:c>
      <x:c r="B3406" s="13" t="str">
        <x:v>BRF SA</x:v>
      </x:c>
      <x:c r="C3406" s="16" t="n">
        <x:v>2269.6416666301</x:v>
      </x:c>
      <x:c r="D3406" s="13" t="str">
        <x:v>Food &amp; Beverages</x:v>
      </x:c>
      <x:c r="E3406" s="13" t="str">
        <x:v>Agri, Food &amp; Beverages</x:v>
      </x:c>
      <x:c r="F3406" s="13" t="str">
        <x:v>Defensives</x:v>
      </x:c>
      <x:c r="G3406" s="13" t="str">
        <x:v>grid_asitui1y.xlsx</x:v>
      </x:c>
    </x:row>
    <x:row r="3407">
      <x:c r="A3407" s="15" t="n">
        <x:v>41821</x:v>
      </x:c>
      <x:c r="B3407" s="13" t="str">
        <x:v>MBRF GLOBAL FOODS COMPANY SA</x:v>
      </x:c>
      <x:c r="C3407" s="16" t="n">
        <x:v>127.8401369863</x:v>
      </x:c>
      <x:c r="D3407" s="13" t="str">
        <x:v>Food &amp; Beverages</x:v>
      </x:c>
      <x:c r="E3407" s="13" t="str">
        <x:v>Agri, Food &amp; Beverages</x:v>
      </x:c>
      <x:c r="F3407" s="13" t="str">
        <x:v>Defensives</x:v>
      </x:c>
      <x:c r="G3407" s="13" t="str">
        <x:v>grid_asitui1y.xlsx</x:v>
      </x:c>
    </x:row>
    <x:row r="3408">
      <x:c r="A3408" s="15" t="n">
        <x:v>41821</x:v>
      </x:c>
      <x:c r="B3408" s="13" t="str">
        <x:v>SOUZA CRUZ LTDA</x:v>
      </x:c>
      <x:c r="C3408" s="16" t="n">
        <x:v>1811.6294319343</x:v>
      </x:c>
      <x:c r="D3408" s="13" t="str">
        <x:v>Food &amp; Beverages</x:v>
      </x:c>
      <x:c r="E3408" s="13" t="str">
        <x:v>Agri, Food &amp; Beverages</x:v>
      </x:c>
      <x:c r="F3408" s="13" t="str">
        <x:v>Defensives</x:v>
      </x:c>
      <x:c r="G3408" s="13" t="str">
        <x:v>grid_asitui1y.xlsx</x:v>
      </x:c>
    </x:row>
    <x:row r="3409">
      <x:c r="A3409" s="15" t="n">
        <x:v>41821</x:v>
      </x:c>
      <x:c r="B3409" s="13" t="str">
        <x:v>HYPERA SA</x:v>
      </x:c>
      <x:c r="C3409" s="16" t="n">
        <x:v>511.6084682521</x:v>
      </x:c>
      <x:c r="D3409" s="13" t="str">
        <x:v>Health Care</x:v>
      </x:c>
      <x:c r="E3409" s="13" t="str">
        <x:v>Health Care</x:v>
      </x:c>
      <x:c r="F3409" s="13" t="str">
        <x:v>Defensives</x:v>
      </x:c>
      <x:c r="G3409" s="13" t="str">
        <x:v>grid_asitui1y.xlsx</x:v>
      </x:c>
    </x:row>
    <x:row r="3410">
      <x:c r="A3410" s="15" t="n">
        <x:v>41821</x:v>
      </x:c>
      <x:c r="B3410" s="13" t="str">
        <x:v>QUALICORP CONS E CORR SEG SA</x:v>
      </x:c>
      <x:c r="C3410" s="16" t="n">
        <x:v>334.3298134795</x:v>
      </x:c>
      <x:c r="D3410" s="13" t="str">
        <x:v>Health Care</x:v>
      </x:c>
      <x:c r="E3410" s="13" t="str">
        <x:v>Health Care</x:v>
      </x:c>
      <x:c r="F3410" s="13" t="str">
        <x:v>Defensives</x:v>
      </x:c>
      <x:c r="G3410" s="13" t="str">
        <x:v>grid_asitui1y.xlsx</x:v>
      </x:c>
    </x:row>
    <x:row r="3411">
      <x:c r="A3411" s="15" t="n">
        <x:v>41821</x:v>
      </x:c>
      <x:c r="B3411" s="13" t="str">
        <x:v>CYRELA BRAZIL REALTY SA EMP</x:v>
      </x:c>
      <x:c r="C3411" s="16" t="n">
        <x:v>784.3741022685</x:v>
      </x:c>
      <x:c r="D3411" s="13" t="str">
        <x:v>Homebuilders</x:v>
      </x:c>
      <x:c r="E3411" s="13" t="str">
        <x:v>Real Estate</x:v>
      </x:c>
      <x:c r="F3411" s="13" t="str">
        <x:v>Early Cyclicals</x:v>
      </x:c>
      <x:c r="G3411" s="13" t="str">
        <x:v>grid_asitui1y.xlsx</x:v>
      </x:c>
    </x:row>
    <x:row r="3412">
      <x:c r="A3412" s="15" t="n">
        <x:v>41821</x:v>
      </x:c>
      <x:c r="B3412" s="13" t="str">
        <x:v>EVEN CONSTRUTORA E INCORPORA</x:v>
      </x:c>
      <x:c r="C3412" s="16" t="n">
        <x:v>315.6805365479</x:v>
      </x:c>
      <x:c r="D3412" s="13" t="str">
        <x:v>Homebuilders</x:v>
      </x:c>
      <x:c r="E3412" s="13" t="str">
        <x:v>Real Estate</x:v>
      </x:c>
      <x:c r="F3412" s="13" t="str">
        <x:v>Early Cyclicals</x:v>
      </x:c>
      <x:c r="G3412" s="13" t="str">
        <x:v>grid_asitui1y.xlsx</x:v>
      </x:c>
    </x:row>
    <x:row r="3413">
      <x:c r="A3413" s="15" t="n">
        <x:v>41821</x:v>
      </x:c>
      <x:c r="B3413" s="13" t="str">
        <x:v>GAFISA SA</x:v>
      </x:c>
      <x:c r="C3413" s="16" t="n">
        <x:v>127.752739726</x:v>
      </x:c>
      <x:c r="D3413" s="13" t="str">
        <x:v>Homebuilders</x:v>
      </x:c>
      <x:c r="E3413" s="13" t="str">
        <x:v>Real Estate</x:v>
      </x:c>
      <x:c r="F3413" s="13" t="str">
        <x:v>Early Cyclicals</x:v>
      </x:c>
      <x:c r="G3413" s="13" t="str">
        <x:v>grid_asitui1y.xlsx</x:v>
      </x:c>
    </x:row>
    <x:row r="3414">
      <x:c r="A3414" s="15" t="n">
        <x:v>41821</x:v>
      </x:c>
      <x:c r="B3414" s="13" t="str">
        <x:v>MRV ENGENHARIA</x:v>
      </x:c>
      <x:c r="C3414" s="16" t="n">
        <x:v>527.2524748274</x:v>
      </x:c>
      <x:c r="D3414" s="13" t="str">
        <x:v>Homebuilders</x:v>
      </x:c>
      <x:c r="E3414" s="13" t="str">
        <x:v>Real Estate</x:v>
      </x:c>
      <x:c r="F3414" s="13" t="str">
        <x:v>Early Cyclicals</x:v>
      </x:c>
      <x:c r="G3414" s="13" t="str">
        <x:v>grid_asitui1y.xlsx</x:v>
      </x:c>
    </x:row>
    <x:row r="3415">
      <x:c r="A3415" s="15" t="n">
        <x:v>41821</x:v>
      </x:c>
      <x:c r="B3415" s="13" t="str">
        <x:v>PDG REALTY SA</x:v>
      </x:c>
      <x:c r="C3415" s="16" t="n">
        <x:v>7.7350670959</x:v>
      </x:c>
      <x:c r="D3415" s="13" t="str">
        <x:v>Homebuilders</x:v>
      </x:c>
      <x:c r="E3415" s="13" t="str">
        <x:v>Real Estate</x:v>
      </x:c>
      <x:c r="F3415" s="13" t="str">
        <x:v>Early Cyclicals</x:v>
      </x:c>
      <x:c r="G3415" s="13" t="str">
        <x:v>grid_asitui1y.xlsx</x:v>
      </x:c>
    </x:row>
    <x:row r="3416">
      <x:c r="A3416" s="15" t="n">
        <x:v>41821</x:v>
      </x:c>
      <x:c r="B3416" s="13" t="str">
        <x:v>ROSSI RESIDENCIAL SA</x:v>
      </x:c>
      <x:c r="C3416" s="16" t="n">
        <x:v>-3.7148084932</x:v>
      </x:c>
      <x:c r="D3416" s="13" t="str">
        <x:v>Homebuilders</x:v>
      </x:c>
      <x:c r="E3416" s="13" t="str">
        <x:v>Real Estate</x:v>
      </x:c>
      <x:c r="F3416" s="13" t="str">
        <x:v>Early Cyclicals</x:v>
      </x:c>
      <x:c r="G3416" s="13" t="str">
        <x:v>grid_asitui1y.xlsx</x:v>
      </x:c>
    </x:row>
    <x:row r="3417">
      <x:c r="A3417" s="15" t="n">
        <x:v>41821</x:v>
      </x:c>
      <x:c r="B3417" s="13" t="str">
        <x:v>TEGRA INCORPORADORA SA</x:v>
      </x:c>
      <x:c r="C3417" s="16" t="n">
        <x:v>37.2273972603</x:v>
      </x:c>
      <x:c r="D3417" s="13" t="str">
        <x:v>Homebuilders</x:v>
      </x:c>
      <x:c r="E3417" s="13" t="str">
        <x:v>Real Estate</x:v>
      </x:c>
      <x:c r="F3417" s="13" t="str">
        <x:v>Early Cyclicals</x:v>
      </x:c>
      <x:c r="G3417" s="13" t="str">
        <x:v>grid_asitui1y.xlsx</x:v>
      </x:c>
    </x:row>
    <x:row r="3418">
      <x:c r="A3418" s="15" t="n">
        <x:v>41821</x:v>
      </x:c>
      <x:c r="B3418" s="13" t="str">
        <x:v>BR MALLS PARTICIPACOES SA</x:v>
      </x:c>
      <x:c r="C3418" s="16" t="n">
        <x:v>519.2797865205</x:v>
      </x:c>
      <x:c r="D3418" s="13" t="str">
        <x:v>Income Properties</x:v>
      </x:c>
      <x:c r="E3418" s="13" t="str">
        <x:v>Real Estate</x:v>
      </x:c>
      <x:c r="F3418" s="13" t="str">
        <x:v>Early Cyclicals</x:v>
      </x:c>
      <x:c r="G3418" s="13" t="str">
        <x:v>grid_asitui1y.xlsx</x:v>
      </x:c>
    </x:row>
    <x:row r="3419">
      <x:c r="A3419" s="15" t="n">
        <x:v>41821</x:v>
      </x:c>
      <x:c r="B3419" s="13" t="str">
        <x:v>SOLID ATIVOS IMOBILIARIOS SA</x:v>
      </x:c>
      <x:c r="C3419" s="16" t="n">
        <x:v>243.2056265644</x:v>
      </x:c>
      <x:c r="D3419" s="13" t="str">
        <x:v>Income Properties</x:v>
      </x:c>
      <x:c r="E3419" s="13" t="str">
        <x:v>Real Estate</x:v>
      </x:c>
      <x:c r="F3419" s="13" t="str">
        <x:v>Early Cyclicals</x:v>
      </x:c>
      <x:c r="G3419" s="13" t="str">
        <x:v>grid_asitui1y.xlsx</x:v>
      </x:c>
    </x:row>
    <x:row r="3420">
      <x:c r="A3420" s="15" t="n">
        <x:v>41821</x:v>
      </x:c>
      <x:c r="B3420" s="13" t="str">
        <x:v>BRADESPAR SA -PREF</x:v>
      </x:c>
      <x:c r="C3420" s="16" t="n">
        <x:v>1077.5958769973</x:v>
      </x:c>
      <x:c r="D3420" s="13" t="str">
        <x:v>Metals &amp; Mining</x:v>
      </x:c>
      <x:c r="E3420" s="13" t="str">
        <x:v>Metals &amp; Mining</x:v>
      </x:c>
      <x:c r="F3420" s="13" t="str">
        <x:v>Deep Cyclicals</x:v>
      </x:c>
      <x:c r="G3420" s="13" t="str">
        <x:v>grid_asitui1y.xlsx</x:v>
      </x:c>
    </x:row>
    <x:row r="3421">
      <x:c r="A3421" s="15" t="n">
        <x:v>41821</x:v>
      </x:c>
      <x:c r="B3421" s="13" t="str">
        <x:v>CIA SIDERURGICA NACIONAL SA</x:v>
      </x:c>
      <x:c r="C3421" s="16" t="n">
        <x:v>808.4904109589</x:v>
      </x:c>
      <x:c r="D3421" s="13" t="str">
        <x:v>Metals &amp; Mining</x:v>
      </x:c>
      <x:c r="E3421" s="13" t="str">
        <x:v>Metals &amp; Mining</x:v>
      </x:c>
      <x:c r="F3421" s="13" t="str">
        <x:v>Deep Cyclicals</x:v>
      </x:c>
      <x:c r="G3421" s="13" t="str">
        <x:v>grid_asitui1y.xlsx</x:v>
      </x:c>
    </x:row>
    <x:row r="3422">
      <x:c r="A3422" s="15" t="n">
        <x:v>41821</x:v>
      </x:c>
      <x:c r="B3422" s="13" t="str">
        <x:v>GERDAU SA-PREF</x:v>
      </x:c>
      <x:c r="C3422" s="16" t="n">
        <x:v>1721.4437880986</x:v>
      </x:c>
      <x:c r="D3422" s="13" t="str">
        <x:v>Metals &amp; Mining</x:v>
      </x:c>
      <x:c r="E3422" s="13" t="str">
        <x:v>Metals &amp; Mining</x:v>
      </x:c>
      <x:c r="F3422" s="13" t="str">
        <x:v>Deep Cyclicals</x:v>
      </x:c>
      <x:c r="G3422" s="13" t="str">
        <x:v>grid_asitui1y.xlsx</x:v>
      </x:c>
    </x:row>
    <x:row r="3423">
      <x:c r="A3423" s="15" t="n">
        <x:v>41821</x:v>
      </x:c>
      <x:c r="B3423" s="13" t="str">
        <x:v>METALURGICA GERDAU SA-PREF</x:v>
      </x:c>
      <x:c r="C3423" s="16" t="n">
        <x:v>598.9561829699</x:v>
      </x:c>
      <x:c r="D3423" s="13" t="str">
        <x:v>Metals &amp; Mining</x:v>
      </x:c>
      <x:c r="E3423" s="13" t="str">
        <x:v>Metals &amp; Mining</x:v>
      </x:c>
      <x:c r="F3423" s="13" t="str">
        <x:v>Deep Cyclicals</x:v>
      </x:c>
      <x:c r="G3423" s="13" t="str">
        <x:v>grid_asitui1y.xlsx</x:v>
      </x:c>
    </x:row>
    <x:row r="3424">
      <x:c r="A3424" s="15" t="n">
        <x:v>41821</x:v>
      </x:c>
      <x:c r="B3424" s="13" t="str">
        <x:v>MMX MINERACAO E METALICOS SA</x:v>
      </x:c>
      <x:c r="C3424" s="16" t="n">
        <x:v>29.8907753425</x:v>
      </x:c>
      <x:c r="D3424" s="13" t="str">
        <x:v>Metals &amp; Mining</x:v>
      </x:c>
      <x:c r="E3424" s="13" t="str">
        <x:v>Metals &amp; Mining</x:v>
      </x:c>
      <x:c r="F3424" s="13" t="str">
        <x:v>Deep Cyclicals</x:v>
      </x:c>
      <x:c r="G3424" s="13" t="str">
        <x:v>grid_asitui1y.xlsx</x:v>
      </x:c>
    </x:row>
    <x:row r="3425">
      <x:c r="A3425" s="15" t="n">
        <x:v>41821</x:v>
      </x:c>
      <x:c r="B3425" s="13" t="str">
        <x:v>USINAS SIDER MINAS GER-PF A</x:v>
      </x:c>
      <x:c r="C3425" s="16" t="n">
        <x:v>619.8036625534</x:v>
      </x:c>
      <x:c r="D3425" s="13" t="str">
        <x:v>Metals &amp; Mining</x:v>
      </x:c>
      <x:c r="E3425" s="13" t="str">
        <x:v>Metals &amp; Mining</x:v>
      </x:c>
      <x:c r="F3425" s="13" t="str">
        <x:v>Deep Cyclicals</x:v>
      </x:c>
      <x:c r="G3425" s="13" t="str">
        <x:v>grid_asitui1y.xlsx</x:v>
      </x:c>
    </x:row>
    <x:row r="3426">
      <x:c r="A3426" s="15" t="n">
        <x:v>41821</x:v>
      </x:c>
      <x:c r="B3426" s="13" t="str">
        <x:v>VALE SA</x:v>
      </x:c>
      <x:c r="C3426" s="16" t="n">
        <x:v>20760.9778400438</x:v>
      </x:c>
      <x:c r="D3426" s="13" t="str">
        <x:v>Metals &amp; Mining</x:v>
      </x:c>
      <x:c r="E3426" s="13" t="str">
        <x:v>Metals &amp; Mining</x:v>
      </x:c>
      <x:c r="F3426" s="13" t="str">
        <x:v>Deep Cyclicals</x:v>
      </x:c>
      <x:c r="G3426" s="13" t="str">
        <x:v>grid_asitui1y.xlsx</x:v>
      </x:c>
    </x:row>
    <x:row r="3427">
      <x:c r="A3427" s="15" t="n">
        <x:v>41821</x:v>
      </x:c>
      <x:c r="B3427" s="13" t="str">
        <x:v>BRASKEM SA-PREF A</x:v>
      </x:c>
      <x:c r="C3427" s="16" t="n">
        <x:v>1449.355653611</x:v>
      </x:c>
      <x:c r="D3427" s="13" t="str">
        <x:v>Oil, Gas &amp; Petrochemicals</x:v>
      </x:c>
      <x:c r="E3427" s="13" t="str">
        <x:v>Oil, Gas &amp; Petrochemicals</x:v>
      </x:c>
      <x:c r="F3427" s="13" t="str">
        <x:v>Deep Cyclicals</x:v>
      </x:c>
      <x:c r="G3427" s="13" t="str">
        <x:v>grid_asitui1y.xlsx</x:v>
      </x:c>
    </x:row>
    <x:row r="3428">
      <x:c r="A3428" s="15" t="n">
        <x:v>41821</x:v>
      </x:c>
      <x:c r="B3428" s="13" t="str">
        <x:v>COSAN SA</x:v>
      </x:c>
      <x:c r="C3428" s="16" t="n">
        <x:v>1108.5921409753</x:v>
      </x:c>
      <x:c r="D3428" s="13" t="str">
        <x:v>Oil, Gas &amp; Petrochemicals</x:v>
      </x:c>
      <x:c r="E3428" s="13" t="str">
        <x:v>Oil, Gas &amp; Petrochemicals</x:v>
      </x:c>
      <x:c r="F3428" s="13" t="str">
        <x:v>Deep Cyclicals</x:v>
      </x:c>
      <x:c r="G3428" s="13" t="str">
        <x:v>grid_asitui1y.xlsx</x:v>
      </x:c>
    </x:row>
    <x:row r="3429">
      <x:c r="A3429" s="15" t="n">
        <x:v>41821</x:v>
      </x:c>
      <x:c r="B3429" s="13" t="str">
        <x:v>PETROBRAS - PETROLEO BRAS</x:v>
      </x:c>
      <x:c r="C3429" s="16" t="n">
        <x:v>28583.3419509479</x:v>
      </x:c>
      <x:c r="D3429" s="13" t="str">
        <x:v>Oil, Gas &amp; Petrochemicals</x:v>
      </x:c>
      <x:c r="E3429" s="13" t="str">
        <x:v>Oil, Gas &amp; Petrochemicals</x:v>
      </x:c>
      <x:c r="F3429" s="13" t="str">
        <x:v>Deep Cyclicals</x:v>
      </x:c>
      <x:c r="G3429" s="13" t="str">
        <x:v>grid_asitui1y.xlsx</x:v>
      </x:c>
    </x:row>
    <x:row r="3430">
      <x:c r="A3430" s="15" t="n">
        <x:v>41821</x:v>
      </x:c>
      <x:c r="B3430" s="13" t="str">
        <x:v>ULTRAPAR PARTICIPACOES SA</x:v>
      </x:c>
      <x:c r="C3430" s="16" t="n">
        <x:v>1419.7191522192</x:v>
      </x:c>
      <x:c r="D3430" s="13" t="str">
        <x:v>Oil, Gas &amp; Petrochemicals</x:v>
      </x:c>
      <x:c r="E3430" s="13" t="str">
        <x:v>Oil, Gas &amp; Petrochemicals</x:v>
      </x:c>
      <x:c r="F3430" s="13" t="str">
        <x:v>Deep Cyclicals</x:v>
      </x:c>
      <x:c r="G3430" s="13" t="str">
        <x:v>grid_asitui1y.xlsx</x:v>
      </x:c>
    </x:row>
    <x:row r="3431">
      <x:c r="A3431" s="15" t="n">
        <x:v>41821</x:v>
      </x:c>
      <x:c r="B3431" s="13" t="str">
        <x:v>DEXCO SA</x:v>
      </x:c>
      <x:c r="C3431" s="16" t="n">
        <x:v>486.4041049425</x:v>
      </x:c>
      <x:c r="D3431" s="13" t="str">
        <x:v>Pulp &amp; Paper</x:v>
      </x:c>
      <x:c r="E3431" s="13" t="str">
        <x:v>Pulp &amp; Paper</x:v>
      </x:c>
      <x:c r="F3431" s="13" t="str">
        <x:v>Deep Cyclicals</x:v>
      </x:c>
      <x:c r="G3431" s="13" t="str">
        <x:v>grid_asitui1y.xlsx</x:v>
      </x:c>
    </x:row>
    <x:row r="3432">
      <x:c r="A3432" s="15" t="n">
        <x:v>41821</x:v>
      </x:c>
      <x:c r="B3432" s="13" t="str">
        <x:v>FIBRIA CELULOSE S/A</x:v>
      </x:c>
      <x:c r="C3432" s="16" t="n">
        <x:v>260.3303630904</x:v>
      </x:c>
      <x:c r="D3432" s="13" t="str">
        <x:v>Pulp &amp; Paper</x:v>
      </x:c>
      <x:c r="E3432" s="13" t="str">
        <x:v>Pulp &amp; Paper</x:v>
      </x:c>
      <x:c r="F3432" s="13" t="str">
        <x:v>Deep Cyclicals</x:v>
      </x:c>
      <x:c r="G3432" s="13" t="str">
        <x:v>grid_asitui1y.xlsx</x:v>
      </x:c>
    </x:row>
    <x:row r="3433">
      <x:c r="A3433" s="15" t="n">
        <x:v>41821</x:v>
      </x:c>
      <x:c r="B3433" s="13" t="str">
        <x:v>KLABIN SA - UNIT</x:v>
      </x:c>
      <x:c r="C3433" s="16" t="n">
        <x:v>671.520550926</x:v>
      </x:c>
      <x:c r="D3433" s="13" t="str">
        <x:v>Pulp &amp; Paper</x:v>
      </x:c>
      <x:c r="E3433" s="13" t="str">
        <x:v>Pulp &amp; Paper</x:v>
      </x:c>
      <x:c r="F3433" s="13" t="str">
        <x:v>Deep Cyclicals</x:v>
      </x:c>
      <x:c r="G3433" s="13" t="str">
        <x:v>grid_asitui1y.xlsx</x:v>
      </x:c>
    </x:row>
    <x:row r="3434">
      <x:c r="A3434" s="15" t="n">
        <x:v>41821</x:v>
      </x:c>
      <x:c r="B3434" s="13" t="str">
        <x:v>SUZANO PAPEL E CELULO-PREF A</x:v>
      </x:c>
      <x:c r="C3434" s="16" t="n">
        <x:v>642.6051473534</x:v>
      </x:c>
      <x:c r="D3434" s="13" t="str">
        <x:v>Pulp &amp; Paper</x:v>
      </x:c>
      <x:c r="E3434" s="13" t="str">
        <x:v>Pulp &amp; Paper</x:v>
      </x:c>
      <x:c r="F3434" s="13" t="str">
        <x:v>Deep Cyclicals</x:v>
      </x:c>
      <x:c r="G3434" s="13" t="str">
        <x:v>grid_asitui1y.xlsx</x:v>
      </x:c>
    </x:row>
    <x:row r="3435">
      <x:c r="A3435" s="15" t="n">
        <x:v>41821</x:v>
      </x:c>
      <x:c r="B3435" s="13" t="str">
        <x:v>CIA BRASILEIRA DE DIS-PREF</x:v>
      </x:c>
      <x:c r="C3435" s="16" t="n">
        <x:v>1616.8430188712</x:v>
      </x:c>
      <x:c r="D3435" s="13" t="str">
        <x:v>Retail</x:v>
      </x:c>
      <x:c r="E3435" s="13" t="str">
        <x:v>Retail</x:v>
      </x:c>
      <x:c r="F3435" s="13" t="str">
        <x:v>Early Cyclicals</x:v>
      </x:c>
      <x:c r="G3435" s="13" t="str">
        <x:v>grid_asitui1y.xlsx</x:v>
      </x:c>
    </x:row>
    <x:row r="3436">
      <x:c r="A3436" s="15" t="n">
        <x:v>41821</x:v>
      </x:c>
      <x:c r="B3436" s="13" t="str">
        <x:v>CIA HERING</x:v>
      </x:c>
      <x:c r="C3436" s="16" t="n">
        <x:v>331.9684020603</x:v>
      </x:c>
      <x:c r="D3436" s="13" t="str">
        <x:v>Retail</x:v>
      </x:c>
      <x:c r="E3436" s="13" t="str">
        <x:v>Retail</x:v>
      </x:c>
      <x:c r="F3436" s="13" t="str">
        <x:v>Early Cyclicals</x:v>
      </x:c>
      <x:c r="G3436" s="13" t="str">
        <x:v>grid_asitui1y.xlsx</x:v>
      </x:c>
    </x:row>
    <x:row r="3437">
      <x:c r="A3437" s="15" t="n">
        <x:v>41821</x:v>
      </x:c>
      <x:c r="B3437" s="13" t="str">
        <x:v>LOJAS AMERICANAS SA-PREF</x:v>
      </x:c>
      <x:c r="C3437" s="16" t="n">
        <x:v>614.8418111123</x:v>
      </x:c>
      <x:c r="D3437" s="13" t="str">
        <x:v>Retail</x:v>
      </x:c>
      <x:c r="E3437" s="13" t="str">
        <x:v>Retail</x:v>
      </x:c>
      <x:c r="F3437" s="13" t="str">
        <x:v>Early Cyclicals</x:v>
      </x:c>
      <x:c r="G3437" s="13" t="str">
        <x:v>grid_asitui1y.xlsx</x:v>
      </x:c>
    </x:row>
    <x:row r="3438">
      <x:c r="A3438" s="15" t="n">
        <x:v>41821</x:v>
      </x:c>
      <x:c r="B3438" s="13" t="str">
        <x:v>LOJAS RENNER S.A.</x:v>
      </x:c>
      <x:c r="C3438" s="16" t="n">
        <x:v>497.0140267836</x:v>
      </x:c>
      <x:c r="D3438" s="13" t="str">
        <x:v>Retail</x:v>
      </x:c>
      <x:c r="E3438" s="13" t="str">
        <x:v>Retail</x:v>
      </x:c>
      <x:c r="F3438" s="13" t="str">
        <x:v>Early Cyclicals</x:v>
      </x:c>
      <x:c r="G3438" s="13" t="str">
        <x:v>grid_asitui1y.xlsx</x:v>
      </x:c>
    </x:row>
    <x:row r="3439">
      <x:c r="A3439" s="15" t="n">
        <x:v>41821</x:v>
      </x:c>
      <x:c r="B3439" s="13" t="str">
        <x:v>NATURA COSMETICOS SA</x:v>
      </x:c>
      <x:c r="C3439" s="16" t="n">
        <x:v>907.1154870356</x:v>
      </x:c>
      <x:c r="D3439" s="13" t="str">
        <x:v>Retail</x:v>
      </x:c>
      <x:c r="E3439" s="13" t="str">
        <x:v>Retail</x:v>
      </x:c>
      <x:c r="F3439" s="13" t="str">
        <x:v>Early Cyclicals</x:v>
      </x:c>
      <x:c r="G3439" s="13" t="str">
        <x:v>grid_asitui1y.xlsx</x:v>
      </x:c>
    </x:row>
    <x:row r="3440">
      <x:c r="A3440" s="15" t="n">
        <x:v>41821</x:v>
      </x:c>
      <x:c r="B3440" s="13" t="str">
        <x:v>CIA SANEAMENTO BASICO DE SP</x:v>
      </x:c>
      <x:c r="C3440" s="16" t="n">
        <x:v>1588.1061814356</x:v>
      </x:c>
      <x:c r="D3440" s="13" t="str">
        <x:v>Sanitation</x:v>
      </x:c>
      <x:c r="E3440" s="13" t="str">
        <x:v>Utilities</x:v>
      </x:c>
      <x:c r="F3440" s="13" t="str">
        <x:v>Defensives</x:v>
      </x:c>
      <x:c r="G3440" s="13" t="str">
        <x:v>grid_asitui1y.xlsx</x:v>
      </x:c>
    </x:row>
    <x:row r="3441">
      <x:c r="A3441" s="15" t="n">
        <x:v>41821</x:v>
      </x:c>
      <x:c r="B3441" s="13" t="str">
        <x:v>OI SA-PREFERENCE</x:v>
      </x:c>
      <x:c r="C3441" s="16" t="n">
        <x:v>176.7849487781</x:v>
      </x:c>
      <x:c r="D3441" s="13" t="str">
        <x:v>TMT</x:v>
      </x:c>
      <x:c r="E3441" s="13" t="str">
        <x:v>TMT</x:v>
      </x:c>
      <x:c r="F3441" s="13" t="str">
        <x:v>Early Cyclicals</x:v>
      </x:c>
      <x:c r="G3441" s="13" t="str">
        <x:v>grid_asitui1y.xlsx</x:v>
      </x:c>
    </x:row>
    <x:row r="3442">
      <x:c r="A3442" s="15" t="n">
        <x:v>41821</x:v>
      </x:c>
      <x:c r="B3442" s="13" t="str">
        <x:v>TELEFONICA BRASIL S.A.-PREF</x:v>
      </x:c>
      <x:c r="C3442" s="16" t="n">
        <x:v>3804.9590819068</x:v>
      </x:c>
      <x:c r="D3442" s="13" t="str">
        <x:v>TMT</x:v>
      </x:c>
      <x:c r="E3442" s="13" t="str">
        <x:v>TMT</x:v>
      </x:c>
      <x:c r="F3442" s="13" t="str">
        <x:v>Early Cyclicals</x:v>
      </x:c>
      <x:c r="G3442" s="13" t="str">
        <x:v>grid_asitui1y.xlsx</x:v>
      </x:c>
    </x:row>
    <x:row r="3443">
      <x:c r="A3443" s="15" t="n">
        <x:v>41821</x:v>
      </x:c>
      <x:c r="B3443" s="13" t="str">
        <x:v>TIM SA</x:v>
      </x:c>
      <x:c r="C3443" s="16" t="n">
        <x:v>1631.2057182685</x:v>
      </x:c>
      <x:c r="D3443" s="13" t="str">
        <x:v>TMT</x:v>
      </x:c>
      <x:c r="E3443" s="13" t="str">
        <x:v>TMT</x:v>
      </x:c>
      <x:c r="F3443" s="13" t="str">
        <x:v>Early Cyclicals</x:v>
      </x:c>
      <x:c r="G3443" s="13" t="str">
        <x:v>grid_asitui1y.xlsx</x:v>
      </x:c>
    </x:row>
    <x:row r="3444">
      <x:c r="A3444" s="15" t="n">
        <x:v>41821</x:v>
      </x:c>
      <x:c r="B3444" s="13" t="str">
        <x:v>ECORODOVIAS INFRA E LOG SA</x:v>
      </x:c>
      <x:c r="C3444" s="16" t="n">
        <x:v>493.0818999233</x:v>
      </x:c>
      <x:c r="D3444" s="13" t="str">
        <x:v>Transportation</x:v>
      </x:c>
      <x:c r="E3444" s="13" t="str">
        <x:v>Transportation</x:v>
      </x:c>
      <x:c r="F3444" s="13" t="str">
        <x:v>Deep Cyclicals</x:v>
      </x:c>
      <x:c r="G3444" s="13" t="str">
        <x:v>grid_asitui1y.xlsx</x:v>
      </x:c>
    </x:row>
    <x:row r="3445">
      <x:c r="A3445" s="15" t="n">
        <x:v>41821</x:v>
      </x:c>
      <x:c r="B3445" s="13" t="str">
        <x:v>GOL LINHAS AEREAS INT SA-PRE</x:v>
      </x:c>
      <x:c r="C3445" s="16" t="n">
        <x:v>-18.0705479452</x:v>
      </x:c>
      <x:c r="D3445" s="13" t="str">
        <x:v>Transportation</x:v>
      </x:c>
      <x:c r="E3445" s="13" t="str">
        <x:v>Transportation</x:v>
      </x:c>
      <x:c r="F3445" s="13" t="str">
        <x:v>Deep Cyclicals</x:v>
      </x:c>
      <x:c r="G3445" s="13" t="str">
        <x:v>grid_asitui1y.xlsx</x:v>
      </x:c>
    </x:row>
    <x:row r="3446">
      <x:c r="A3446" s="15" t="n">
        <x:v>41821</x:v>
      </x:c>
      <x:c r="B3446" s="13" t="str">
        <x:v>LOCALIZA RENT A CAR</x:v>
      </x:c>
      <x:c r="C3446" s="16" t="n">
        <x:v>426.6445045479</x:v>
      </x:c>
      <x:c r="D3446" s="13" t="str">
        <x:v>Transportation</x:v>
      </x:c>
      <x:c r="E3446" s="13" t="str">
        <x:v>Transportation</x:v>
      </x:c>
      <x:c r="F3446" s="13" t="str">
        <x:v>Deep Cyclicals</x:v>
      </x:c>
      <x:c r="G3446" s="13" t="str">
        <x:v>grid_asitui1y.xlsx</x:v>
      </x:c>
    </x:row>
    <x:row r="3447">
      <x:c r="A3447" s="15" t="n">
        <x:v>41821</x:v>
      </x:c>
      <x:c r="B3447" s="13" t="str">
        <x:v>MOTIVA INFRAESTRUTURA DE MOB</x:v>
      </x:c>
      <x:c r="C3447" s="16" t="n">
        <x:v>1589.7033114301</x:v>
      </x:c>
      <x:c r="D3447" s="13" t="str">
        <x:v>Transportation</x:v>
      </x:c>
      <x:c r="E3447" s="13" t="str">
        <x:v>Transportation</x:v>
      </x:c>
      <x:c r="F3447" s="13" t="str">
        <x:v>Deep Cyclicals</x:v>
      </x:c>
      <x:c r="G3447" s="13" t="str">
        <x:v>grid_asitui1y.xlsx</x:v>
      </x:c>
    </x:row>
    <x:row r="3448">
      <x:c r="A3448" s="15" t="n">
        <x:v>41821</x:v>
      </x:c>
      <x:c r="B3448" s="13" t="str">
        <x:v>RUMO SA</x:v>
      </x:c>
      <x:c r="C3448" s="16" t="n">
        <x:v>372.9449913863</x:v>
      </x:c>
      <x:c r="D3448" s="13" t="str">
        <x:v>Transportation</x:v>
      </x:c>
      <x:c r="E3448" s="13" t="str">
        <x:v>Transportation</x:v>
      </x:c>
      <x:c r="F3448" s="13" t="str">
        <x:v>Deep Cyclicals</x:v>
      </x:c>
      <x:c r="G3448" s="13" t="str">
        <x:v>grid_asitui1y.xlsx</x:v>
      </x:c>
    </x:row>
    <x:row r="3449">
      <x:c r="A3449" s="15" t="n">
        <x:v>41821</x:v>
      </x:c>
      <x:c r="B3449" s="13" t="str">
        <x:v>AXIA ENERGIA SA</x:v>
      </x:c>
      <x:c r="C3449" s="16" t="n">
        <x:v>1796.5396992</x:v>
      </x:c>
      <x:c r="D3449" s="13" t="str">
        <x:v>Utilities &amp; Energy</x:v>
      </x:c>
      <x:c r="E3449" s="13" t="str">
        <x:v>Utilities</x:v>
      </x:c>
      <x:c r="F3449" s="13" t="str">
        <x:v>Defensives</x:v>
      </x:c>
      <x:c r="G3449" s="13" t="str">
        <x:v>grid_asitui1y.xlsx</x:v>
      </x:c>
    </x:row>
    <x:row r="3450">
      <x:c r="A3450" s="15" t="n">
        <x:v>41821</x:v>
      </x:c>
      <x:c r="B3450" s="13" t="str">
        <x:v>AXIA ENERGIA-PR B</x:v>
      </x:c>
      <x:c r="C3450" s="16" t="n">
        <x:v>1796.5396992</x:v>
      </x:c>
      <x:c r="D3450" s="13" t="str">
        <x:v>Utilities &amp; Energy</x:v>
      </x:c>
      <x:c r="E3450" s="13" t="str">
        <x:v>Utilities</x:v>
      </x:c>
      <x:c r="F3450" s="13" t="str">
        <x:v>Defensives</x:v>
      </x:c>
      <x:c r="G3450" s="13" t="str">
        <x:v>grid_asitui1y.xlsx</x:v>
      </x:c>
    </x:row>
    <x:row r="3451">
      <x:c r="A3451" s="15" t="n">
        <x:v>41821</x:v>
      </x:c>
      <x:c r="B3451" s="13" t="str">
        <x:v>CESP - CIA ENERGETICA DE SAO</x:v>
      </x:c>
      <x:c r="C3451" s="16" t="n">
        <x:v>1302.1145957699</x:v>
      </x:c>
      <x:c r="D3451" s="13" t="str">
        <x:v>Utilities &amp; Energy</x:v>
      </x:c>
      <x:c r="E3451" s="13" t="str">
        <x:v>Utilities</x:v>
      </x:c>
      <x:c r="F3451" s="13" t="str">
        <x:v>Defensives</x:v>
      </x:c>
      <x:c r="G3451" s="13" t="str">
        <x:v>grid_asitui1y.xlsx</x:v>
      </x:c>
    </x:row>
    <x:row r="3452">
      <x:c r="A3452" s="15" t="n">
        <x:v>41821</x:v>
      </x:c>
      <x:c r="B3452" s="13" t="str">
        <x:v>CIA ENERGETICA MINAS GER-PRF</x:v>
      </x:c>
      <x:c r="C3452" s="16" t="n">
        <x:v>2456.6920402411</x:v>
      </x:c>
      <x:c r="D3452" s="13" t="str">
        <x:v>Utilities &amp; Energy</x:v>
      </x:c>
      <x:c r="E3452" s="13" t="str">
        <x:v>Utilities</x:v>
      </x:c>
      <x:c r="F3452" s="13" t="str">
        <x:v>Defensives</x:v>
      </x:c>
      <x:c r="G3452" s="13" t="str">
        <x:v>grid_asitui1y.xlsx</x:v>
      </x:c>
    </x:row>
    <x:row r="3453">
      <x:c r="A3453" s="15" t="n">
        <x:v>41821</x:v>
      </x:c>
      <x:c r="B3453" s="13" t="str">
        <x:v>COMPANHIA PARANAENSE -PREF B</x:v>
      </x:c>
      <x:c r="C3453" s="16" t="n">
        <x:v>1412.6766234301</x:v>
      </x:c>
      <x:c r="D3453" s="13" t="str">
        <x:v>Utilities &amp; Energy</x:v>
      </x:c>
      <x:c r="E3453" s="13" t="str">
        <x:v>Utilities</x:v>
      </x:c>
      <x:c r="F3453" s="13" t="str">
        <x:v>Defensives</x:v>
      </x:c>
      <x:c r="G3453" s="13" t="str">
        <x:v>grid_asitui1y.xlsx</x:v>
      </x:c>
    </x:row>
    <x:row r="3454">
      <x:c r="A3454" s="15" t="n">
        <x:v>41821</x:v>
      </x:c>
      <x:c r="B3454" s="13" t="str">
        <x:v>CPFL ENERGIA SA</x:v>
      </x:c>
      <x:c r="C3454" s="16" t="n">
        <x:v>1354.4125334795</x:v>
      </x:c>
      <x:c r="D3454" s="13" t="str">
        <x:v>Utilities &amp; Energy</x:v>
      </x:c>
      <x:c r="E3454" s="13" t="str">
        <x:v>Utilities</x:v>
      </x:c>
      <x:c r="F3454" s="13" t="str">
        <x:v>Defensives</x:v>
      </x:c>
      <x:c r="G3454" s="13" t="str">
        <x:v>grid_asitui1y.xlsx</x:v>
      </x:c>
    </x:row>
    <x:row r="3455">
      <x:c r="A3455" s="15" t="n">
        <x:v>41821</x:v>
      </x:c>
      <x:c r="B3455" s="13" t="str">
        <x:v>EDP - ENERGIAS DO BRASIL SA</x:v>
      </x:c>
      <x:c r="C3455" s="16" t="n">
        <x:v>596.768377863</x:v>
      </x:c>
      <x:c r="D3455" s="13" t="str">
        <x:v>Utilities &amp; Energy</x:v>
      </x:c>
      <x:c r="E3455" s="13" t="str">
        <x:v>Utilities</x:v>
      </x:c>
      <x:c r="F3455" s="13" t="str">
        <x:v>Defensives</x:v>
      </x:c>
      <x:c r="G3455" s="13" t="str">
        <x:v>grid_asitui1y.xlsx</x:v>
      </x:c>
    </x:row>
    <x:row r="3456">
      <x:c r="A3456" s="15" t="n">
        <x:v>41821</x:v>
      </x:c>
      <x:c r="B3456" s="13" t="str">
        <x:v>ELETROPAULO METROPOLI-PREF</x:v>
      </x:c>
      <x:c r="C3456" s="16" t="n">
        <x:v>-65.0796876712</x:v>
      </x:c>
      <x:c r="D3456" s="13" t="str">
        <x:v>Utilities &amp; Energy</x:v>
      </x:c>
      <x:c r="E3456" s="13" t="str">
        <x:v>Utilities</x:v>
      </x:c>
      <x:c r="F3456" s="13" t="str">
        <x:v>Defensives</x:v>
      </x:c>
      <x:c r="G3456" s="13" t="str">
        <x:v>grid_asitui1y.xlsx</x:v>
      </x:c>
    </x:row>
    <x:row r="3457">
      <x:c r="A3457" s="15" t="n">
        <x:v>41821</x:v>
      </x:c>
      <x:c r="B3457" s="13" t="str">
        <x:v>ENGIE BRASIL ENERGIA SA</x:v>
      </x:c>
      <x:c r="C3457" s="16" t="n">
        <x:v>1795.5903168877</x:v>
      </x:c>
      <x:c r="D3457" s="13" t="str">
        <x:v>Utilities &amp; Energy</x:v>
      </x:c>
      <x:c r="E3457" s="13" t="str">
        <x:v>Utilities</x:v>
      </x:c>
      <x:c r="F3457" s="13" t="str">
        <x:v>Defensives</x:v>
      </x:c>
      <x:c r="G3457" s="13" t="str">
        <x:v>grid_asitui1y.xlsx</x:v>
      </x:c>
    </x:row>
    <x:row r="3458">
      <x:c r="A3458" s="15" t="n">
        <x:v>41821</x:v>
      </x:c>
      <x:c r="B3458" s="13" t="str">
        <x:v>LIGHT SA</x:v>
      </x:c>
      <x:c r="C3458" s="16" t="n">
        <x:v>509.0095196932</x:v>
      </x:c>
      <x:c r="D3458" s="13" t="str">
        <x:v>Utilities &amp; Energy</x:v>
      </x:c>
      <x:c r="E3458" s="13" t="str">
        <x:v>Utilities</x:v>
      </x:c>
      <x:c r="F3458" s="13" t="str">
        <x:v>Defensives</x:v>
      </x:c>
      <x:c r="G3458" s="13" t="str">
        <x:v>grid_asitui1y.xlsx</x:v>
      </x:c>
    </x:row>
    <x:row r="3459">
      <x:c r="A3459" s="15" t="n">
        <x:v>41852</x:v>
      </x:c>
      <x:c r="B3459" s="13" t="str">
        <x:v>BANCO BRADESCO S.A.</x:v>
      </x:c>
      <x:c r="C3459" s="16" t="n">
        <x:v>15931.0019710247</x:v>
      </x:c>
      <x:c r="D3459" s="13" t="str">
        <x:v>Banks</x:v>
      </x:c>
      <x:c r="E3459" s="13" t="str">
        <x:v>Banks</x:v>
      </x:c>
      <x:c r="F3459" s="13" t="str">
        <x:v>Financials</x:v>
      </x:c>
      <x:c r="G3459" s="13" t="str">
        <x:v>grid_asitui1y.xlsx</x:v>
      </x:c>
    </x:row>
    <x:row r="3460">
      <x:c r="A3460" s="15" t="n">
        <x:v>41852</x:v>
      </x:c>
      <x:c r="B3460" s="13" t="str">
        <x:v>BANCO BRADESCO SA-PREF</x:v>
      </x:c>
      <x:c r="C3460" s="16" t="n">
        <x:v>15931.0019710247</x:v>
      </x:c>
      <x:c r="D3460" s="13" t="str">
        <x:v>Banks</x:v>
      </x:c>
      <x:c r="E3460" s="13" t="str">
        <x:v>Banks</x:v>
      </x:c>
      <x:c r="F3460" s="13" t="str">
        <x:v>Financials</x:v>
      </x:c>
      <x:c r="G3460" s="13" t="str">
        <x:v>grid_asitui1y.xlsx</x:v>
      </x:c>
    </x:row>
    <x:row r="3461">
      <x:c r="A3461" s="15" t="n">
        <x:v>41852</x:v>
      </x:c>
      <x:c r="B3461" s="13" t="str">
        <x:v>BANCO DO BRASIL S.A.</x:v>
      </x:c>
      <x:c r="C3461" s="16" t="n">
        <x:v>11360.6392649644</x:v>
      </x:c>
      <x:c r="D3461" s="13" t="str">
        <x:v>Banks</x:v>
      </x:c>
      <x:c r="E3461" s="13" t="str">
        <x:v>Banks</x:v>
      </x:c>
      <x:c r="F3461" s="13" t="str">
        <x:v>Financials</x:v>
      </x:c>
      <x:c r="G3461" s="13" t="str">
        <x:v>grid_asitui1y.xlsx</x:v>
      </x:c>
    </x:row>
    <x:row r="3462">
      <x:c r="A3462" s="15" t="n">
        <x:v>41852</x:v>
      </x:c>
      <x:c r="B3462" s="13" t="str">
        <x:v>BANCO SANTANDER  BRASIL-UNIT</x:v>
      </x:c>
      <x:c r="C3462" s="16" t="n">
        <x:v>6118.4055927233</x:v>
      </x:c>
      <x:c r="D3462" s="13" t="str">
        <x:v>Banks</x:v>
      </x:c>
      <x:c r="E3462" s="13" t="str">
        <x:v>Banks</x:v>
      </x:c>
      <x:c r="F3462" s="13" t="str">
        <x:v>Financials</x:v>
      </x:c>
      <x:c r="G3462" s="13" t="str">
        <x:v>grid_asitui1y.xlsx</x:v>
      </x:c>
    </x:row>
    <x:row r="3463">
      <x:c r="A3463" s="15" t="n">
        <x:v>41852</x:v>
      </x:c>
      <x:c r="B3463" s="13" t="str">
        <x:v>ITAU UNIBANCO HOLDING S-PREF</x:v>
      </x:c>
      <x:c r="C3463" s="16" t="n">
        <x:v>20329.6231255671</x:v>
      </x:c>
      <x:c r="D3463" s="13" t="str">
        <x:v>Banks</x:v>
      </x:c>
      <x:c r="E3463" s="13" t="str">
        <x:v>Banks</x:v>
      </x:c>
      <x:c r="F3463" s="13" t="str">
        <x:v>Financials</x:v>
      </x:c>
      <x:c r="G3463" s="13" t="str">
        <x:v>grid_asitui1y.xlsx</x:v>
      </x:c>
    </x:row>
    <x:row r="3464">
      <x:c r="A3464" s="15" t="n">
        <x:v>41852</x:v>
      </x:c>
      <x:c r="B3464" s="13" t="str">
        <x:v>EMBRAER SA</x:v>
      </x:c>
      <x:c r="C3464" s="16" t="n">
        <x:v>1102.874220011</x:v>
      </x:c>
      <x:c r="D3464" s="13" t="str">
        <x:v>Capital Goods</x:v>
      </x:c>
      <x:c r="E3464" s="13" t="str">
        <x:v>Capital Goods</x:v>
      </x:c>
      <x:c r="F3464" s="13" t="str">
        <x:v>Deep Cyclicals</x:v>
      </x:c>
      <x:c r="G3464" s="13" t="str">
        <x:v>grid_asitui1y.xlsx</x:v>
      </x:c>
    </x:row>
    <x:row r="3465">
      <x:c r="A3465" s="15" t="n">
        <x:v>41852</x:v>
      </x:c>
      <x:c r="B3465" s="13" t="str">
        <x:v>COGNA EDUCACAO</x:v>
      </x:c>
      <x:c r="C3465" s="16" t="n">
        <x:v>1248.6802951014</x:v>
      </x:c>
      <x:c r="D3465" s="13" t="str">
        <x:v>Education</x:v>
      </x:c>
      <x:c r="E3465" s="13" t="str">
        <x:v>Education</x:v>
      </x:c>
      <x:c r="F3465" s="13" t="str">
        <x:v>Early Cyclicals</x:v>
      </x:c>
      <x:c r="G3465" s="13" t="str">
        <x:v>grid_asitui1y.xlsx</x:v>
      </x:c>
    </x:row>
    <x:row r="3466">
      <x:c r="A3466" s="15" t="n">
        <x:v>41852</x:v>
      </x:c>
      <x:c r="B3466" s="13" t="str">
        <x:v>YDUQS PARTICIPACOES SA</x:v>
      </x:c>
      <x:c r="C3466" s="16" t="n">
        <x:v>551.9765121753</x:v>
      </x:c>
      <x:c r="D3466" s="13" t="str">
        <x:v>Education</x:v>
      </x:c>
      <x:c r="E3466" s="13" t="str">
        <x:v>Education</x:v>
      </x:c>
      <x:c r="F3466" s="13" t="str">
        <x:v>Early Cyclicals</x:v>
      </x:c>
      <x:c r="G3466" s="13" t="str">
        <x:v>grid_asitui1y.xlsx</x:v>
      </x:c>
    </x:row>
    <x:row r="3467">
      <x:c r="A3467" s="15" t="n">
        <x:v>41852</x:v>
      </x:c>
      <x:c r="B3467" s="13" t="str">
        <x:v>B3 SA-BRASIL BOLSA BALCAO</x:v>
      </x:c>
      <x:c r="C3467" s="16" t="n">
        <x:v>1561.1020919233</x:v>
      </x:c>
      <x:c r="D3467" s="13" t="str">
        <x:v>Financials Non-Banks</x:v>
      </x:c>
      <x:c r="E3467" s="13" t="str">
        <x:v>Financials Non-Banks</x:v>
      </x:c>
      <x:c r="F3467" s="13" t="str">
        <x:v>Financials</x:v>
      </x:c>
      <x:c r="G3467" s="13" t="str">
        <x:v>grid_asitui1y.xlsx</x:v>
      </x:c>
    </x:row>
    <x:row r="3468">
      <x:c r="A3468" s="15" t="n">
        <x:v>41852</x:v>
      </x:c>
      <x:c r="B3468" s="13" t="str">
        <x:v>BB SEGURIDADE PARTICIPACOES</x:v>
      </x:c>
      <x:c r="C3468" s="16" t="n">
        <x:v>3594.7164117918</x:v>
      </x:c>
      <x:c r="D3468" s="13" t="str">
        <x:v>Financials Non-Banks</x:v>
      </x:c>
      <x:c r="E3468" s="13" t="str">
        <x:v>Financials Non-Banks</x:v>
      </x:c>
      <x:c r="F3468" s="13" t="str">
        <x:v>Financials</x:v>
      </x:c>
      <x:c r="G3468" s="13" t="str">
        <x:v>grid_asitui1y.xlsx</x:v>
      </x:c>
    </x:row>
    <x:row r="3469">
      <x:c r="A3469" s="15" t="n">
        <x:v>41852</x:v>
      </x:c>
      <x:c r="B3469" s="13" t="str">
        <x:v>CETIP SA-MERCADOS ORGANIZADO</x:v>
      </x:c>
      <x:c r="C3469" s="16" t="n">
        <x:v>499.5983561644</x:v>
      </x:c>
      <x:c r="D3469" s="13" t="str">
        <x:v>Financials Non-Banks</x:v>
      </x:c>
      <x:c r="E3469" s="13" t="str">
        <x:v>Financials Non-Banks</x:v>
      </x:c>
      <x:c r="F3469" s="13" t="str">
        <x:v>Financials</x:v>
      </x:c>
      <x:c r="G3469" s="13" t="str">
        <x:v>grid_asitui1y.xlsx</x:v>
      </x:c>
    </x:row>
    <x:row r="3470">
      <x:c r="A3470" s="15" t="n">
        <x:v>41852</x:v>
      </x:c>
      <x:c r="B3470" s="13" t="str">
        <x:v>CIELO SA - INSTITUICAO DE PA</x:v>
      </x:c>
      <x:c r="C3470" s="16" t="n">
        <x:v>3606.5443889096</x:v>
      </x:c>
      <x:c r="D3470" s="13" t="str">
        <x:v>Financials Non-Banks</x:v>
      </x:c>
      <x:c r="E3470" s="13" t="str">
        <x:v>Financials Non-Banks</x:v>
      </x:c>
      <x:c r="F3470" s="13" t="str">
        <x:v>Financials</x:v>
      </x:c>
      <x:c r="G3470" s="13" t="str">
        <x:v>grid_asitui1y.xlsx</x:v>
      </x:c>
    </x:row>
    <x:row r="3471">
      <x:c r="A3471" s="15" t="n">
        <x:v>41852</x:v>
      </x:c>
      <x:c r="B3471" s="13" t="str">
        <x:v>ITAUSA SA</x:v>
      </x:c>
      <x:c r="C3471" s="16" t="n">
        <x:v>7792.4164818411</x:v>
      </x:c>
      <x:c r="D3471" s="13" t="str">
        <x:v>Financials Non-Banks</x:v>
      </x:c>
      <x:c r="E3471" s="13" t="str">
        <x:v>Financials Non-Banks</x:v>
      </x:c>
      <x:c r="F3471" s="13" t="str">
        <x:v>Financials</x:v>
      </x:c>
      <x:c r="G3471" s="13" t="str">
        <x:v>grid_asitui1y.xlsx</x:v>
      </x:c>
    </x:row>
    <x:row r="3472">
      <x:c r="A3472" s="15" t="n">
        <x:v>41852</x:v>
      </x:c>
      <x:c r="B3472" s="13" t="str">
        <x:v>AMBEV SA</x:v>
      </x:c>
      <x:c r="C3472" s="16" t="n">
        <x:v>13243.5858838795</x:v>
      </x:c>
      <x:c r="D3472" s="13" t="str">
        <x:v>Food &amp; Beverages</x:v>
      </x:c>
      <x:c r="E3472" s="13" t="str">
        <x:v>Agri, Food &amp; Beverages</x:v>
      </x:c>
      <x:c r="F3472" s="13" t="str">
        <x:v>Defensives</x:v>
      </x:c>
      <x:c r="G3472" s="13" t="str">
        <x:v>grid_asitui1y.xlsx</x:v>
      </x:c>
    </x:row>
    <x:row r="3473">
      <x:c r="A3473" s="15" t="n">
        <x:v>41852</x:v>
      </x:c>
      <x:c r="B3473" s="13" t="str">
        <x:v>BRF SA</x:v>
      </x:c>
      <x:c r="C3473" s="16" t="n">
        <x:v>2322.7647046137</x:v>
      </x:c>
      <x:c r="D3473" s="13" t="str">
        <x:v>Food &amp; Beverages</x:v>
      </x:c>
      <x:c r="E3473" s="13" t="str">
        <x:v>Agri, Food &amp; Beverages</x:v>
      </x:c>
      <x:c r="F3473" s="13" t="str">
        <x:v>Defensives</x:v>
      </x:c>
      <x:c r="G3473" s="13" t="str">
        <x:v>grid_asitui1y.xlsx</x:v>
      </x:c>
    </x:row>
    <x:row r="3474">
      <x:c r="A3474" s="15" t="n">
        <x:v>41852</x:v>
      </x:c>
      <x:c r="B3474" s="13" t="str">
        <x:v>MBRF GLOBAL FOODS COMPANY SA</x:v>
      </x:c>
      <x:c r="C3474" s="16" t="n">
        <x:v>133.5734878685</x:v>
      </x:c>
      <x:c r="D3474" s="13" t="str">
        <x:v>Food &amp; Beverages</x:v>
      </x:c>
      <x:c r="E3474" s="13" t="str">
        <x:v>Agri, Food &amp; Beverages</x:v>
      </x:c>
      <x:c r="F3474" s="13" t="str">
        <x:v>Defensives</x:v>
      </x:c>
      <x:c r="G3474" s="13" t="str">
        <x:v>grid_asitui1y.xlsx</x:v>
      </x:c>
    </x:row>
    <x:row r="3475">
      <x:c r="A3475" s="15" t="n">
        <x:v>41852</x:v>
      </x:c>
      <x:c r="B3475" s="13" t="str">
        <x:v>SOUZA CRUZ LTDA</x:v>
      </x:c>
      <x:c r="C3475" s="16" t="n">
        <x:v>1777.2842408329</x:v>
      </x:c>
      <x:c r="D3475" s="13" t="str">
        <x:v>Food &amp; Beverages</x:v>
      </x:c>
      <x:c r="E3475" s="13" t="str">
        <x:v>Agri, Food &amp; Beverages</x:v>
      </x:c>
      <x:c r="F3475" s="13" t="str">
        <x:v>Defensives</x:v>
      </x:c>
      <x:c r="G3475" s="13" t="str">
        <x:v>grid_asitui1y.xlsx</x:v>
      </x:c>
    </x:row>
    <x:row r="3476">
      <x:c r="A3476" s="15" t="n">
        <x:v>41852</x:v>
      </x:c>
      <x:c r="B3476" s="13" t="str">
        <x:v>HYPERA SA</x:v>
      </x:c>
      <x:c r="C3476" s="16" t="n">
        <x:v>518.9761586849</x:v>
      </x:c>
      <x:c r="D3476" s="13" t="str">
        <x:v>Health Care</x:v>
      </x:c>
      <x:c r="E3476" s="13" t="str">
        <x:v>Health Care</x:v>
      </x:c>
      <x:c r="F3476" s="13" t="str">
        <x:v>Defensives</x:v>
      </x:c>
      <x:c r="G3476" s="13" t="str">
        <x:v>grid_asitui1y.xlsx</x:v>
      </x:c>
    </x:row>
    <x:row r="3477">
      <x:c r="A3477" s="15" t="n">
        <x:v>41852</x:v>
      </x:c>
      <x:c r="B3477" s="13" t="str">
        <x:v>QUALICORP CONS E CORR SEG SA</x:v>
      </x:c>
      <x:c r="C3477" s="16" t="n">
        <x:v>346.9911064548</x:v>
      </x:c>
      <x:c r="D3477" s="13" t="str">
        <x:v>Health Care</x:v>
      </x:c>
      <x:c r="E3477" s="13" t="str">
        <x:v>Health Care</x:v>
      </x:c>
      <x:c r="F3477" s="13" t="str">
        <x:v>Defensives</x:v>
      </x:c>
      <x:c r="G3477" s="13" t="str">
        <x:v>grid_asitui1y.xlsx</x:v>
      </x:c>
    </x:row>
    <x:row r="3478">
      <x:c r="A3478" s="15" t="n">
        <x:v>41852</x:v>
      </x:c>
      <x:c r="B3478" s="13" t="str">
        <x:v>CYRELA BRAZIL REALTY SA EMP</x:v>
      </x:c>
      <x:c r="C3478" s="16" t="n">
        <x:v>795.5882986959</x:v>
      </x:c>
      <x:c r="D3478" s="13" t="str">
        <x:v>Homebuilders</x:v>
      </x:c>
      <x:c r="E3478" s="13" t="str">
        <x:v>Real Estate</x:v>
      </x:c>
      <x:c r="F3478" s="13" t="str">
        <x:v>Early Cyclicals</x:v>
      </x:c>
      <x:c r="G3478" s="13" t="str">
        <x:v>grid_asitui1y.xlsx</x:v>
      </x:c>
    </x:row>
    <x:row r="3479">
      <x:c r="A3479" s="15" t="n">
        <x:v>41852</x:v>
      </x:c>
      <x:c r="B3479" s="13" t="str">
        <x:v>EVEN CONSTRUTORA E INCORPORA</x:v>
      </x:c>
      <x:c r="C3479" s="16" t="n">
        <x:v>315.1707946959</x:v>
      </x:c>
      <x:c r="D3479" s="13" t="str">
        <x:v>Homebuilders</x:v>
      </x:c>
      <x:c r="E3479" s="13" t="str">
        <x:v>Real Estate</x:v>
      </x:c>
      <x:c r="F3479" s="13" t="str">
        <x:v>Early Cyclicals</x:v>
      </x:c>
      <x:c r="G3479" s="13" t="str">
        <x:v>grid_asitui1y.xlsx</x:v>
      </x:c>
    </x:row>
    <x:row r="3480">
      <x:c r="A3480" s="15" t="n">
        <x:v>41852</x:v>
      </x:c>
      <x:c r="B3480" s="13" t="str">
        <x:v>GAFISA SA</x:v>
      </x:c>
      <x:c r="C3480" s="16" t="n">
        <x:v>133.3342465753</x:v>
      </x:c>
      <x:c r="D3480" s="13" t="str">
        <x:v>Homebuilders</x:v>
      </x:c>
      <x:c r="E3480" s="13" t="str">
        <x:v>Real Estate</x:v>
      </x:c>
      <x:c r="F3480" s="13" t="str">
        <x:v>Early Cyclicals</x:v>
      </x:c>
      <x:c r="G3480" s="13" t="str">
        <x:v>grid_asitui1y.xlsx</x:v>
      </x:c>
    </x:row>
    <x:row r="3481">
      <x:c r="A3481" s="15" t="n">
        <x:v>41852</x:v>
      </x:c>
      <x:c r="B3481" s="13" t="str">
        <x:v>MRV ENGENHARIA</x:v>
      </x:c>
      <x:c r="C3481" s="16" t="n">
        <x:v>525.9106849315</x:v>
      </x:c>
      <x:c r="D3481" s="13" t="str">
        <x:v>Homebuilders</x:v>
      </x:c>
      <x:c r="E3481" s="13" t="str">
        <x:v>Real Estate</x:v>
      </x:c>
      <x:c r="F3481" s="13" t="str">
        <x:v>Early Cyclicals</x:v>
      </x:c>
      <x:c r="G3481" s="13" t="str">
        <x:v>grid_asitui1y.xlsx</x:v>
      </x:c>
    </x:row>
    <x:row r="3482">
      <x:c r="A3482" s="15" t="n">
        <x:v>41852</x:v>
      </x:c>
      <x:c r="B3482" s="13" t="str">
        <x:v>PDG REALTY SA</x:v>
      </x:c>
      <x:c r="C3482" s="16" t="n">
        <x:v>-53.5178082192</x:v>
      </x:c>
      <x:c r="D3482" s="13" t="str">
        <x:v>Homebuilders</x:v>
      </x:c>
      <x:c r="E3482" s="13" t="str">
        <x:v>Real Estate</x:v>
      </x:c>
      <x:c r="F3482" s="13" t="str">
        <x:v>Early Cyclicals</x:v>
      </x:c>
      <x:c r="G3482" s="13" t="str">
        <x:v>grid_asitui1y.xlsx</x:v>
      </x:c>
    </x:row>
    <x:row r="3483">
      <x:c r="A3483" s="15" t="n">
        <x:v>41852</x:v>
      </x:c>
      <x:c r="B3483" s="13" t="str">
        <x:v>ROSSI RESIDENCIAL SA</x:v>
      </x:c>
      <x:c r="C3483" s="16" t="n">
        <x:v>-8.3661917808</x:v>
      </x:c>
      <x:c r="D3483" s="13" t="str">
        <x:v>Homebuilders</x:v>
      </x:c>
      <x:c r="E3483" s="13" t="str">
        <x:v>Real Estate</x:v>
      </x:c>
      <x:c r="F3483" s="13" t="str">
        <x:v>Early Cyclicals</x:v>
      </x:c>
      <x:c r="G3483" s="13" t="str">
        <x:v>grid_asitui1y.xlsx</x:v>
      </x:c>
    </x:row>
    <x:row r="3484">
      <x:c r="A3484" s="15" t="n">
        <x:v>41852</x:v>
      </x:c>
      <x:c r="B3484" s="13" t="str">
        <x:v>TEGRA INCORPORADORA SA</x:v>
      </x:c>
      <x:c r="C3484" s="16" t="n">
        <x:v>48.304109589</x:v>
      </x:c>
      <x:c r="D3484" s="13" t="str">
        <x:v>Homebuilders</x:v>
      </x:c>
      <x:c r="E3484" s="13" t="str">
        <x:v>Real Estate</x:v>
      </x:c>
      <x:c r="F3484" s="13" t="str">
        <x:v>Early Cyclicals</x:v>
      </x:c>
      <x:c r="G3484" s="13" t="str">
        <x:v>grid_asitui1y.xlsx</x:v>
      </x:c>
    </x:row>
    <x:row r="3485">
      <x:c r="A3485" s="15" t="n">
        <x:v>41852</x:v>
      </x:c>
      <x:c r="B3485" s="13" t="str">
        <x:v>BR MALLS PARTICIPACOES SA</x:v>
      </x:c>
      <x:c r="C3485" s="16" t="n">
        <x:v>533.1732955178</x:v>
      </x:c>
      <x:c r="D3485" s="13" t="str">
        <x:v>Income Properties</x:v>
      </x:c>
      <x:c r="E3485" s="13" t="str">
        <x:v>Real Estate</x:v>
      </x:c>
      <x:c r="F3485" s="13" t="str">
        <x:v>Early Cyclicals</x:v>
      </x:c>
      <x:c r="G3485" s="13" t="str">
        <x:v>grid_asitui1y.xlsx</x:v>
      </x:c>
    </x:row>
    <x:row r="3486">
      <x:c r="A3486" s="15" t="n">
        <x:v>41852</x:v>
      </x:c>
      <x:c r="B3486" s="13" t="str">
        <x:v>SOLID ATIVOS IMOBILIARIOS SA</x:v>
      </x:c>
      <x:c r="C3486" s="16" t="n">
        <x:v>249.9959864986</x:v>
      </x:c>
      <x:c r="D3486" s="13" t="str">
        <x:v>Income Properties</x:v>
      </x:c>
      <x:c r="E3486" s="13" t="str">
        <x:v>Real Estate</x:v>
      </x:c>
      <x:c r="F3486" s="13" t="str">
        <x:v>Early Cyclicals</x:v>
      </x:c>
      <x:c r="G3486" s="13" t="str">
        <x:v>grid_asitui1y.xlsx</x:v>
      </x:c>
    </x:row>
    <x:row r="3487">
      <x:c r="A3487" s="15" t="n">
        <x:v>41852</x:v>
      </x:c>
      <x:c r="B3487" s="13" t="str">
        <x:v>BRADESPAR SA -PREF</x:v>
      </x:c>
      <x:c r="C3487" s="16" t="n">
        <x:v>1024.9109595178</x:v>
      </x:c>
      <x:c r="D3487" s="13" t="str">
        <x:v>Metals &amp; Mining</x:v>
      </x:c>
      <x:c r="E3487" s="13" t="str">
        <x:v>Metals &amp; Mining</x:v>
      </x:c>
      <x:c r="F3487" s="13" t="str">
        <x:v>Deep Cyclicals</x:v>
      </x:c>
      <x:c r="G3487" s="13" t="str">
        <x:v>grid_asitui1y.xlsx</x:v>
      </x:c>
    </x:row>
    <x:row r="3488">
      <x:c r="A3488" s="15" t="n">
        <x:v>41852</x:v>
      </x:c>
      <x:c r="B3488" s="13" t="str">
        <x:v>CIA SIDERURGICA NACIONAL SA</x:v>
      </x:c>
      <x:c r="C3488" s="16" t="n">
        <x:v>640.3591974575</x:v>
      </x:c>
      <x:c r="D3488" s="13" t="str">
        <x:v>Metals &amp; Mining</x:v>
      </x:c>
      <x:c r="E3488" s="13" t="str">
        <x:v>Metals &amp; Mining</x:v>
      </x:c>
      <x:c r="F3488" s="13" t="str">
        <x:v>Deep Cyclicals</x:v>
      </x:c>
      <x:c r="G3488" s="13" t="str">
        <x:v>grid_asitui1y.xlsx</x:v>
      </x:c>
    </x:row>
    <x:row r="3489">
      <x:c r="A3489" s="15" t="n">
        <x:v>41852</x:v>
      </x:c>
      <x:c r="B3489" s="13" t="str">
        <x:v>GERDAU SA-PREF</x:v>
      </x:c>
      <x:c r="C3489" s="16" t="n">
        <x:v>1549.5509426849</x:v>
      </x:c>
      <x:c r="D3489" s="13" t="str">
        <x:v>Metals &amp; Mining</x:v>
      </x:c>
      <x:c r="E3489" s="13" t="str">
        <x:v>Metals &amp; Mining</x:v>
      </x:c>
      <x:c r="F3489" s="13" t="str">
        <x:v>Deep Cyclicals</x:v>
      </x:c>
      <x:c r="G3489" s="13" t="str">
        <x:v>grid_asitui1y.xlsx</x:v>
      </x:c>
    </x:row>
    <x:row r="3490">
      <x:c r="A3490" s="15" t="n">
        <x:v>41852</x:v>
      </x:c>
      <x:c r="B3490" s="13" t="str">
        <x:v>METALURGICA GERDAU SA-PREF</x:v>
      </x:c>
      <x:c r="C3490" s="16" t="n">
        <x:v>593.7520759233</x:v>
      </x:c>
      <x:c r="D3490" s="13" t="str">
        <x:v>Metals &amp; Mining</x:v>
      </x:c>
      <x:c r="E3490" s="13" t="str">
        <x:v>Metals &amp; Mining</x:v>
      </x:c>
      <x:c r="F3490" s="13" t="str">
        <x:v>Deep Cyclicals</x:v>
      </x:c>
      <x:c r="G3490" s="13" t="str">
        <x:v>grid_asitui1y.xlsx</x:v>
      </x:c>
    </x:row>
    <x:row r="3491">
      <x:c r="A3491" s="15" t="n">
        <x:v>41852</x:v>
      </x:c>
      <x:c r="B3491" s="13" t="str">
        <x:v>MMX MINERACAO E METALICOS SA</x:v>
      </x:c>
      <x:c r="C3491" s="16" t="n">
        <x:v>22.5991780822</x:v>
      </x:c>
      <x:c r="D3491" s="13" t="str">
        <x:v>Metals &amp; Mining</x:v>
      </x:c>
      <x:c r="E3491" s="13" t="str">
        <x:v>Metals &amp; Mining</x:v>
      </x:c>
      <x:c r="F3491" s="13" t="str">
        <x:v>Deep Cyclicals</x:v>
      </x:c>
      <x:c r="G3491" s="13" t="str">
        <x:v>grid_asitui1y.xlsx</x:v>
      </x:c>
    </x:row>
    <x:row r="3492">
      <x:c r="A3492" s="15" t="n">
        <x:v>41852</x:v>
      </x:c>
      <x:c r="B3492" s="13" t="str">
        <x:v>USINAS SIDER MINAS GER-PF A</x:v>
      </x:c>
      <x:c r="C3492" s="16" t="n">
        <x:v>612.5161035397</x:v>
      </x:c>
      <x:c r="D3492" s="13" t="str">
        <x:v>Metals &amp; Mining</x:v>
      </x:c>
      <x:c r="E3492" s="13" t="str">
        <x:v>Metals &amp; Mining</x:v>
      </x:c>
      <x:c r="F3492" s="13" t="str">
        <x:v>Deep Cyclicals</x:v>
      </x:c>
      <x:c r="G3492" s="13" t="str">
        <x:v>grid_asitui1y.xlsx</x:v>
      </x:c>
    </x:row>
    <x:row r="3493">
      <x:c r="A3493" s="15" t="n">
        <x:v>41852</x:v>
      </x:c>
      <x:c r="B3493" s="13" t="str">
        <x:v>VALE SA</x:v>
      </x:c>
      <x:c r="C3493" s="16" t="n">
        <x:v>20176.7114948384</x:v>
      </x:c>
      <x:c r="D3493" s="13" t="str">
        <x:v>Metals &amp; Mining</x:v>
      </x:c>
      <x:c r="E3493" s="13" t="str">
        <x:v>Metals &amp; Mining</x:v>
      </x:c>
      <x:c r="F3493" s="13" t="str">
        <x:v>Deep Cyclicals</x:v>
      </x:c>
      <x:c r="G3493" s="13" t="str">
        <x:v>grid_asitui1y.xlsx</x:v>
      </x:c>
    </x:row>
    <x:row r="3494">
      <x:c r="A3494" s="15" t="n">
        <x:v>41852</x:v>
      </x:c>
      <x:c r="B3494" s="13" t="str">
        <x:v>BRASKEM SA-PREF A</x:v>
      </x:c>
      <x:c r="C3494" s="16" t="n">
        <x:v>1139.7756454575</x:v>
      </x:c>
      <x:c r="D3494" s="13" t="str">
        <x:v>Oil, Gas &amp; Petrochemicals</x:v>
      </x:c>
      <x:c r="E3494" s="13" t="str">
        <x:v>Oil, Gas &amp; Petrochemicals</x:v>
      </x:c>
      <x:c r="F3494" s="13" t="str">
        <x:v>Deep Cyclicals</x:v>
      </x:c>
      <x:c r="G3494" s="13" t="str">
        <x:v>grid_asitui1y.xlsx</x:v>
      </x:c>
    </x:row>
    <x:row r="3495">
      <x:c r="A3495" s="15" t="n">
        <x:v>41852</x:v>
      </x:c>
      <x:c r="B3495" s="13" t="str">
        <x:v>COSAN SA</x:v>
      </x:c>
      <x:c r="C3495" s="16" t="n">
        <x:v>1047.2803510356</x:v>
      </x:c>
      <x:c r="D3495" s="13" t="str">
        <x:v>Oil, Gas &amp; Petrochemicals</x:v>
      </x:c>
      <x:c r="E3495" s="13" t="str">
        <x:v>Oil, Gas &amp; Petrochemicals</x:v>
      </x:c>
      <x:c r="F3495" s="13" t="str">
        <x:v>Deep Cyclicals</x:v>
      </x:c>
      <x:c r="G3495" s="13" t="str">
        <x:v>grid_asitui1y.xlsx</x:v>
      </x:c>
    </x:row>
    <x:row r="3496">
      <x:c r="A3496" s="15" t="n">
        <x:v>41852</x:v>
      </x:c>
      <x:c r="B3496" s="13" t="str">
        <x:v>PETROBRAS - PETROLEO BRAS</x:v>
      </x:c>
      <x:c r="C3496" s="16" t="n">
        <x:v>29197.0874382027</x:v>
      </x:c>
      <x:c r="D3496" s="13" t="str">
        <x:v>Oil, Gas &amp; Petrochemicals</x:v>
      </x:c>
      <x:c r="E3496" s="13" t="str">
        <x:v>Oil, Gas &amp; Petrochemicals</x:v>
      </x:c>
      <x:c r="F3496" s="13" t="str">
        <x:v>Deep Cyclicals</x:v>
      </x:c>
      <x:c r="G3496" s="13" t="str">
        <x:v>grid_asitui1y.xlsx</x:v>
      </x:c>
    </x:row>
    <x:row r="3497">
      <x:c r="A3497" s="15" t="n">
        <x:v>41852</x:v>
      </x:c>
      <x:c r="B3497" s="13" t="str">
        <x:v>ULTRAPAR PARTICIPACOES SA</x:v>
      </x:c>
      <x:c r="C3497" s="16" t="n">
        <x:v>1393.0520547945</x:v>
      </x:c>
      <x:c r="D3497" s="13" t="str">
        <x:v>Oil, Gas &amp; Petrochemicals</x:v>
      </x:c>
      <x:c r="E3497" s="13" t="str">
        <x:v>Oil, Gas &amp; Petrochemicals</x:v>
      </x:c>
      <x:c r="F3497" s="13" t="str">
        <x:v>Deep Cyclicals</x:v>
      </x:c>
      <x:c r="G3497" s="13" t="str">
        <x:v>grid_asitui1y.xlsx</x:v>
      </x:c>
    </x:row>
    <x:row r="3498">
      <x:c r="A3498" s="15" t="n">
        <x:v>41852</x:v>
      </x:c>
      <x:c r="B3498" s="13" t="str">
        <x:v>DEXCO SA</x:v>
      </x:c>
      <x:c r="C3498" s="16" t="n">
        <x:v>489.7045696877</x:v>
      </x:c>
      <x:c r="D3498" s="13" t="str">
        <x:v>Pulp &amp; Paper</x:v>
      </x:c>
      <x:c r="E3498" s="13" t="str">
        <x:v>Pulp &amp; Paper</x:v>
      </x:c>
      <x:c r="F3498" s="13" t="str">
        <x:v>Deep Cyclicals</x:v>
      </x:c>
      <x:c r="G3498" s="13" t="str">
        <x:v>grid_asitui1y.xlsx</x:v>
      </x:c>
    </x:row>
    <x:row r="3499">
      <x:c r="A3499" s="15" t="n">
        <x:v>41852</x:v>
      </x:c>
      <x:c r="B3499" s="13" t="str">
        <x:v>FIBRIA CELULOSE S/A</x:v>
      </x:c>
      <x:c r="C3499" s="16" t="n">
        <x:v>298.3160629918</x:v>
      </x:c>
      <x:c r="D3499" s="13" t="str">
        <x:v>Pulp &amp; Paper</x:v>
      </x:c>
      <x:c r="E3499" s="13" t="str">
        <x:v>Pulp &amp; Paper</x:v>
      </x:c>
      <x:c r="F3499" s="13" t="str">
        <x:v>Deep Cyclicals</x:v>
      </x:c>
      <x:c r="G3499" s="13" t="str">
        <x:v>grid_asitui1y.xlsx</x:v>
      </x:c>
    </x:row>
    <x:row r="3500">
      <x:c r="A3500" s="15" t="n">
        <x:v>41852</x:v>
      </x:c>
      <x:c r="B3500" s="13" t="str">
        <x:v>KLABIN SA - UNIT</x:v>
      </x:c>
      <x:c r="C3500" s="16" t="n">
        <x:v>619.137536526</x:v>
      </x:c>
      <x:c r="D3500" s="13" t="str">
        <x:v>Pulp &amp; Paper</x:v>
      </x:c>
      <x:c r="E3500" s="13" t="str">
        <x:v>Pulp &amp; Paper</x:v>
      </x:c>
      <x:c r="F3500" s="13" t="str">
        <x:v>Deep Cyclicals</x:v>
      </x:c>
      <x:c r="G3500" s="13" t="str">
        <x:v>grid_asitui1y.xlsx</x:v>
      </x:c>
    </x:row>
    <x:row r="3501">
      <x:c r="A3501" s="15" t="n">
        <x:v>41852</x:v>
      </x:c>
      <x:c r="B3501" s="13" t="str">
        <x:v>SUZANO PAPEL E CELULO-PREF A</x:v>
      </x:c>
      <x:c r="C3501" s="16" t="n">
        <x:v>543.7097103781</x:v>
      </x:c>
      <x:c r="D3501" s="13" t="str">
        <x:v>Pulp &amp; Paper</x:v>
      </x:c>
      <x:c r="E3501" s="13" t="str">
        <x:v>Pulp &amp; Paper</x:v>
      </x:c>
      <x:c r="F3501" s="13" t="str">
        <x:v>Deep Cyclicals</x:v>
      </x:c>
      <x:c r="G3501" s="13" t="str">
        <x:v>grid_asitui1y.xlsx</x:v>
      </x:c>
    </x:row>
    <x:row r="3502">
      <x:c r="A3502" s="15" t="n">
        <x:v>41852</x:v>
      </x:c>
      <x:c r="B3502" s="13" t="str">
        <x:v>CIA BRASILEIRA DE DIS-PREF</x:v>
      </x:c>
      <x:c r="C3502" s="16" t="n">
        <x:v>1639.5090410959</x:v>
      </x:c>
      <x:c r="D3502" s="13" t="str">
        <x:v>Retail</x:v>
      </x:c>
      <x:c r="E3502" s="13" t="str">
        <x:v>Retail</x:v>
      </x:c>
      <x:c r="F3502" s="13" t="str">
        <x:v>Early Cyclicals</x:v>
      </x:c>
      <x:c r="G3502" s="13" t="str">
        <x:v>grid_asitui1y.xlsx</x:v>
      </x:c>
    </x:row>
    <x:row r="3503">
      <x:c r="A3503" s="15" t="n">
        <x:v>41852</x:v>
      </x:c>
      <x:c r="B3503" s="13" t="str">
        <x:v>CIA HERING</x:v>
      </x:c>
      <x:c r="C3503" s="16" t="n">
        <x:v>338.0296330521</x:v>
      </x:c>
      <x:c r="D3503" s="13" t="str">
        <x:v>Retail</x:v>
      </x:c>
      <x:c r="E3503" s="13" t="str">
        <x:v>Retail</x:v>
      </x:c>
      <x:c r="F3503" s="13" t="str">
        <x:v>Early Cyclicals</x:v>
      </x:c>
      <x:c r="G3503" s="13" t="str">
        <x:v>grid_asitui1y.xlsx</x:v>
      </x:c>
    </x:row>
    <x:row r="3504">
      <x:c r="A3504" s="15" t="n">
        <x:v>41852</x:v>
      </x:c>
      <x:c r="B3504" s="13" t="str">
        <x:v>LOJAS AMERICANAS SA-PREF</x:v>
      </x:c>
      <x:c r="C3504" s="16" t="n">
        <x:v>627.1698579288</x:v>
      </x:c>
      <x:c r="D3504" s="13" t="str">
        <x:v>Retail</x:v>
      </x:c>
      <x:c r="E3504" s="13" t="str">
        <x:v>Retail</x:v>
      </x:c>
      <x:c r="F3504" s="13" t="str">
        <x:v>Early Cyclicals</x:v>
      </x:c>
      <x:c r="G3504" s="13" t="str">
        <x:v>grid_asitui1y.xlsx</x:v>
      </x:c>
    </x:row>
    <x:row r="3505">
      <x:c r="A3505" s="15" t="n">
        <x:v>41852</x:v>
      </x:c>
      <x:c r="B3505" s="13" t="str">
        <x:v>LOJAS RENNER S.A.</x:v>
      </x:c>
      <x:c r="C3505" s="16" t="n">
        <x:v>501.2829312877</x:v>
      </x:c>
      <x:c r="D3505" s="13" t="str">
        <x:v>Retail</x:v>
      </x:c>
      <x:c r="E3505" s="13" t="str">
        <x:v>Retail</x:v>
      </x:c>
      <x:c r="F3505" s="13" t="str">
        <x:v>Early Cyclicals</x:v>
      </x:c>
      <x:c r="G3505" s="13" t="str">
        <x:v>grid_asitui1y.xlsx</x:v>
      </x:c>
    </x:row>
    <x:row r="3506">
      <x:c r="A3506" s="15" t="n">
        <x:v>41852</x:v>
      </x:c>
      <x:c r="B3506" s="13" t="str">
        <x:v>NATURA COSMETICOS SA</x:v>
      </x:c>
      <x:c r="C3506" s="16" t="n">
        <x:v>905.9780951671</x:v>
      </x:c>
      <x:c r="D3506" s="13" t="str">
        <x:v>Retail</x:v>
      </x:c>
      <x:c r="E3506" s="13" t="str">
        <x:v>Retail</x:v>
      </x:c>
      <x:c r="F3506" s="13" t="str">
        <x:v>Early Cyclicals</x:v>
      </x:c>
      <x:c r="G3506" s="13" t="str">
        <x:v>grid_asitui1y.xlsx</x:v>
      </x:c>
    </x:row>
    <x:row r="3507">
      <x:c r="A3507" s="15" t="n">
        <x:v>41852</x:v>
      </x:c>
      <x:c r="B3507" s="13" t="str">
        <x:v>CIA SANEAMENTO BASICO DE SP</x:v>
      </x:c>
      <x:c r="C3507" s="16" t="n">
        <x:v>1597.5616438356</x:v>
      </x:c>
      <x:c r="D3507" s="13" t="str">
        <x:v>Sanitation</x:v>
      </x:c>
      <x:c r="E3507" s="13" t="str">
        <x:v>Utilities</x:v>
      </x:c>
      <x:c r="F3507" s="13" t="str">
        <x:v>Defensives</x:v>
      </x:c>
      <x:c r="G3507" s="13" t="str">
        <x:v>grid_asitui1y.xlsx</x:v>
      </x:c>
    </x:row>
    <x:row r="3508">
      <x:c r="A3508" s="15" t="n">
        <x:v>41852</x:v>
      </x:c>
      <x:c r="B3508" s="13" t="str">
        <x:v>OI SA-PREFERENCE</x:v>
      </x:c>
      <x:c r="C3508" s="16" t="n">
        <x:v>94.3123890411</x:v>
      </x:c>
      <x:c r="D3508" s="13" t="str">
        <x:v>TMT</x:v>
      </x:c>
      <x:c r="E3508" s="13" t="str">
        <x:v>TMT</x:v>
      </x:c>
      <x:c r="F3508" s="13" t="str">
        <x:v>Early Cyclicals</x:v>
      </x:c>
      <x:c r="G3508" s="13" t="str">
        <x:v>grid_asitui1y.xlsx</x:v>
      </x:c>
    </x:row>
    <x:row r="3509">
      <x:c r="A3509" s="15" t="n">
        <x:v>41852</x:v>
      </x:c>
      <x:c r="B3509" s="13" t="str">
        <x:v>TELEFONICA BRASIL S.A.-PREF</x:v>
      </x:c>
      <x:c r="C3509" s="16" t="n">
        <x:v>3834.7398165041</x:v>
      </x:c>
      <x:c r="D3509" s="13" t="str">
        <x:v>TMT</x:v>
      </x:c>
      <x:c r="E3509" s="13" t="str">
        <x:v>TMT</x:v>
      </x:c>
      <x:c r="F3509" s="13" t="str">
        <x:v>Early Cyclicals</x:v>
      </x:c>
      <x:c r="G3509" s="13" t="str">
        <x:v>grid_asitui1y.xlsx</x:v>
      </x:c>
    </x:row>
    <x:row r="3510">
      <x:c r="A3510" s="15" t="n">
        <x:v>41852</x:v>
      </x:c>
      <x:c r="B3510" s="13" t="str">
        <x:v>TIM SA</x:v>
      </x:c>
      <x:c r="C3510" s="16" t="n">
        <x:v>1648.9851718137</x:v>
      </x:c>
      <x:c r="D3510" s="13" t="str">
        <x:v>TMT</x:v>
      </x:c>
      <x:c r="E3510" s="13" t="str">
        <x:v>TMT</x:v>
      </x:c>
      <x:c r="F3510" s="13" t="str">
        <x:v>Early Cyclicals</x:v>
      </x:c>
      <x:c r="G3510" s="13" t="str">
        <x:v>grid_asitui1y.xlsx</x:v>
      </x:c>
    </x:row>
    <x:row r="3511">
      <x:c r="A3511" s="15" t="n">
        <x:v>41852</x:v>
      </x:c>
      <x:c r="B3511" s="13" t="str">
        <x:v>ECORODOVIAS INFRA E LOG SA</x:v>
      </x:c>
      <x:c r="C3511" s="16" t="n">
        <x:v>487.1659749699</x:v>
      </x:c>
      <x:c r="D3511" s="13" t="str">
        <x:v>Transportation</x:v>
      </x:c>
      <x:c r="E3511" s="13" t="str">
        <x:v>Transportation</x:v>
      </x:c>
      <x:c r="F3511" s="13" t="str">
        <x:v>Deep Cyclicals</x:v>
      </x:c>
      <x:c r="G3511" s="13" t="str">
        <x:v>grid_asitui1y.xlsx</x:v>
      </x:c>
    </x:row>
    <x:row r="3512">
      <x:c r="A3512" s="15" t="n">
        <x:v>41852</x:v>
      </x:c>
      <x:c r="B3512" s="13" t="str">
        <x:v>GOL LINHAS AEREAS INT SA-PRE</x:v>
      </x:c>
      <x:c r="C3512" s="16" t="n">
        <x:v>11.2451589041</x:v>
      </x:c>
      <x:c r="D3512" s="13" t="str">
        <x:v>Transportation</x:v>
      </x:c>
      <x:c r="E3512" s="13" t="str">
        <x:v>Transportation</x:v>
      </x:c>
      <x:c r="F3512" s="13" t="str">
        <x:v>Deep Cyclicals</x:v>
      </x:c>
      <x:c r="G3512" s="13" t="str">
        <x:v>grid_asitui1y.xlsx</x:v>
      </x:c>
    </x:row>
    <x:row r="3513">
      <x:c r="A3513" s="15" t="n">
        <x:v>41852</x:v>
      </x:c>
      <x:c r="B3513" s="13" t="str">
        <x:v>LOCALIZA RENT A CAR</x:v>
      </x:c>
      <x:c r="C3513" s="16" t="n">
        <x:v>430.6041068712</x:v>
      </x:c>
      <x:c r="D3513" s="13" t="str">
        <x:v>Transportation</x:v>
      </x:c>
      <x:c r="E3513" s="13" t="str">
        <x:v>Transportation</x:v>
      </x:c>
      <x:c r="F3513" s="13" t="str">
        <x:v>Deep Cyclicals</x:v>
      </x:c>
      <x:c r="G3513" s="13" t="str">
        <x:v>grid_asitui1y.xlsx</x:v>
      </x:c>
    </x:row>
    <x:row r="3514">
      <x:c r="A3514" s="15" t="n">
        <x:v>41852</x:v>
      </x:c>
      <x:c r="B3514" s="13" t="str">
        <x:v>MOTIVA INFRAESTRUTURA DE MOB</x:v>
      </x:c>
      <x:c r="C3514" s="16" t="n">
        <x:v>1590.3931609425</x:v>
      </x:c>
      <x:c r="D3514" s="13" t="str">
        <x:v>Transportation</x:v>
      </x:c>
      <x:c r="E3514" s="13" t="str">
        <x:v>Transportation</x:v>
      </x:c>
      <x:c r="F3514" s="13" t="str">
        <x:v>Deep Cyclicals</x:v>
      </x:c>
      <x:c r="G3514" s="13" t="str">
        <x:v>grid_asitui1y.xlsx</x:v>
      </x:c>
    </x:row>
    <x:row r="3515">
      <x:c r="A3515" s="15" t="n">
        <x:v>41852</x:v>
      </x:c>
      <x:c r="B3515" s="13" t="str">
        <x:v>RUMO SA</x:v>
      </x:c>
      <x:c r="C3515" s="16" t="n">
        <x:v>318.1037696877</x:v>
      </x:c>
      <x:c r="D3515" s="13" t="str">
        <x:v>Transportation</x:v>
      </x:c>
      <x:c r="E3515" s="13" t="str">
        <x:v>Transportation</x:v>
      </x:c>
      <x:c r="F3515" s="13" t="str">
        <x:v>Deep Cyclicals</x:v>
      </x:c>
      <x:c r="G3515" s="13" t="str">
        <x:v>grid_asitui1y.xlsx</x:v>
      </x:c>
    </x:row>
    <x:row r="3516">
      <x:c r="A3516" s="15" t="n">
        <x:v>41852</x:v>
      </x:c>
      <x:c r="B3516" s="13" t="str">
        <x:v>AXIA ENERGIA SA</x:v>
      </x:c>
      <x:c r="C3516" s="16" t="n">
        <x:v>1679.9342357041</x:v>
      </x:c>
      <x:c r="D3516" s="13" t="str">
        <x:v>Utilities &amp; Energy</x:v>
      </x:c>
      <x:c r="E3516" s="13" t="str">
        <x:v>Utilities</x:v>
      </x:c>
      <x:c r="F3516" s="13" t="str">
        <x:v>Defensives</x:v>
      </x:c>
      <x:c r="G3516" s="13" t="str">
        <x:v>grid_asitui1y.xlsx</x:v>
      </x:c>
    </x:row>
    <x:row r="3517">
      <x:c r="A3517" s="15" t="n">
        <x:v>41852</x:v>
      </x:c>
      <x:c r="B3517" s="13" t="str">
        <x:v>AXIA ENERGIA-PR B</x:v>
      </x:c>
      <x:c r="C3517" s="16" t="n">
        <x:v>1679.9342357041</x:v>
      </x:c>
      <x:c r="D3517" s="13" t="str">
        <x:v>Utilities &amp; Energy</x:v>
      </x:c>
      <x:c r="E3517" s="13" t="str">
        <x:v>Utilities</x:v>
      </x:c>
      <x:c r="F3517" s="13" t="str">
        <x:v>Defensives</x:v>
      </x:c>
      <x:c r="G3517" s="13" t="str">
        <x:v>grid_asitui1y.xlsx</x:v>
      </x:c>
    </x:row>
    <x:row r="3518">
      <x:c r="A3518" s="15" t="n">
        <x:v>41852</x:v>
      </x:c>
      <x:c r="B3518" s="13" t="str">
        <x:v>CESP - CIA ENERGETICA DE SAO</x:v>
      </x:c>
      <x:c r="C3518" s="16" t="n">
        <x:v>1293.9898190904</x:v>
      </x:c>
      <x:c r="D3518" s="13" t="str">
        <x:v>Utilities &amp; Energy</x:v>
      </x:c>
      <x:c r="E3518" s="13" t="str">
        <x:v>Utilities</x:v>
      </x:c>
      <x:c r="F3518" s="13" t="str">
        <x:v>Defensives</x:v>
      </x:c>
      <x:c r="G3518" s="13" t="str">
        <x:v>grid_asitui1y.xlsx</x:v>
      </x:c>
    </x:row>
    <x:row r="3519">
      <x:c r="A3519" s="15" t="n">
        <x:v>41852</x:v>
      </x:c>
      <x:c r="B3519" s="13" t="str">
        <x:v>CIA ENERGETICA MINAS GER-PRF</x:v>
      </x:c>
      <x:c r="C3519" s="16" t="n">
        <x:v>2370.6585628055</x:v>
      </x:c>
      <x:c r="D3519" s="13" t="str">
        <x:v>Utilities &amp; Energy</x:v>
      </x:c>
      <x:c r="E3519" s="13" t="str">
        <x:v>Utilities</x:v>
      </x:c>
      <x:c r="F3519" s="13" t="str">
        <x:v>Defensives</x:v>
      </x:c>
      <x:c r="G3519" s="13" t="str">
        <x:v>grid_asitui1y.xlsx</x:v>
      </x:c>
    </x:row>
    <x:row r="3520">
      <x:c r="A3520" s="15" t="n">
        <x:v>41852</x:v>
      </x:c>
      <x:c r="B3520" s="13" t="str">
        <x:v>COMPANHIA PARANAENSE -PREF B</x:v>
      </x:c>
      <x:c r="C3520" s="16" t="n">
        <x:v>1424.0704147288</x:v>
      </x:c>
      <x:c r="D3520" s="13" t="str">
        <x:v>Utilities &amp; Energy</x:v>
      </x:c>
      <x:c r="E3520" s="13" t="str">
        <x:v>Utilities</x:v>
      </x:c>
      <x:c r="F3520" s="13" t="str">
        <x:v>Defensives</x:v>
      </x:c>
      <x:c r="G3520" s="13" t="str">
        <x:v>grid_asitui1y.xlsx</x:v>
      </x:c>
    </x:row>
    <x:row r="3521">
      <x:c r="A3521" s="15" t="n">
        <x:v>41852</x:v>
      </x:c>
      <x:c r="B3521" s="13" t="str">
        <x:v>CPFL ENERGIA SA</x:v>
      </x:c>
      <x:c r="C3521" s="16" t="n">
        <x:v>1373.3138803726</x:v>
      </x:c>
      <x:c r="D3521" s="13" t="str">
        <x:v>Utilities &amp; Energy</x:v>
      </x:c>
      <x:c r="E3521" s="13" t="str">
        <x:v>Utilities</x:v>
      </x:c>
      <x:c r="F3521" s="13" t="str">
        <x:v>Defensives</x:v>
      </x:c>
      <x:c r="G3521" s="13" t="str">
        <x:v>grid_asitui1y.xlsx</x:v>
      </x:c>
    </x:row>
    <x:row r="3522">
      <x:c r="A3522" s="15" t="n">
        <x:v>41852</x:v>
      </x:c>
      <x:c r="B3522" s="13" t="str">
        <x:v>EDP - ENERGIAS DO BRASIL SA</x:v>
      </x:c>
      <x:c r="C3522" s="16" t="n">
        <x:v>598.1180028493</x:v>
      </x:c>
      <x:c r="D3522" s="13" t="str">
        <x:v>Utilities &amp; Energy</x:v>
      </x:c>
      <x:c r="E3522" s="13" t="str">
        <x:v>Utilities</x:v>
      </x:c>
      <x:c r="F3522" s="13" t="str">
        <x:v>Defensives</x:v>
      </x:c>
      <x:c r="G3522" s="13" t="str">
        <x:v>grid_asitui1y.xlsx</x:v>
      </x:c>
    </x:row>
    <x:row r="3523">
      <x:c r="A3523" s="15" t="n">
        <x:v>41852</x:v>
      </x:c>
      <x:c r="B3523" s="13" t="str">
        <x:v>ELETROPAULO METROPOLI-PREF</x:v>
      </x:c>
      <x:c r="C3523" s="16" t="n">
        <x:v>-43.6720479671</x:v>
      </x:c>
      <x:c r="D3523" s="13" t="str">
        <x:v>Utilities &amp; Energy</x:v>
      </x:c>
      <x:c r="E3523" s="13" t="str">
        <x:v>Utilities</x:v>
      </x:c>
      <x:c r="F3523" s="13" t="str">
        <x:v>Defensives</x:v>
      </x:c>
      <x:c r="G3523" s="13" t="str">
        <x:v>grid_asitui1y.xlsx</x:v>
      </x:c>
    </x:row>
    <x:row r="3524">
      <x:c r="A3524" s="15" t="n">
        <x:v>41852</x:v>
      </x:c>
      <x:c r="B3524" s="13" t="str">
        <x:v>ENGIE BRASIL ENERGIA SA</x:v>
      </x:c>
      <x:c r="C3524" s="16" t="n">
        <x:v>1812.6462807671</x:v>
      </x:c>
      <x:c r="D3524" s="13" t="str">
        <x:v>Utilities &amp; Energy</x:v>
      </x:c>
      <x:c r="E3524" s="13" t="str">
        <x:v>Utilities</x:v>
      </x:c>
      <x:c r="F3524" s="13" t="str">
        <x:v>Defensives</x:v>
      </x:c>
      <x:c r="G3524" s="13" t="str">
        <x:v>grid_asitui1y.xlsx</x:v>
      </x:c>
    </x:row>
    <x:row r="3525">
      <x:c r="A3525" s="15" t="n">
        <x:v>41852</x:v>
      </x:c>
      <x:c r="B3525" s="13" t="str">
        <x:v>LIGHT SA</x:v>
      </x:c>
      <x:c r="C3525" s="16" t="n">
        <x:v>552.9391814137</x:v>
      </x:c>
      <x:c r="D3525" s="13" t="str">
        <x:v>Utilities &amp; Energy</x:v>
      </x:c>
      <x:c r="E3525" s="13" t="str">
        <x:v>Utilities</x:v>
      </x:c>
      <x:c r="F3525" s="13" t="str">
        <x:v>Defensives</x:v>
      </x:c>
      <x:c r="G3525" s="13" t="str">
        <x:v>grid_asitui1y.xlsx</x:v>
      </x:c>
    </x:row>
    <x:row r="3526">
      <x:c r="A3526" s="15" t="n">
        <x:v>41883</x:v>
      </x:c>
      <x:c r="B3526" s="13" t="str">
        <x:v>BANCO BRADESCO S.A.</x:v>
      </x:c>
      <x:c r="C3526" s="16" t="n">
        <x:v>16224.0313877041</x:v>
      </x:c>
      <x:c r="D3526" s="13" t="str">
        <x:v>Banks</x:v>
      </x:c>
      <x:c r="E3526" s="13" t="str">
        <x:v>Banks</x:v>
      </x:c>
      <x:c r="F3526" s="13" t="str">
        <x:v>Financials</x:v>
      </x:c>
      <x:c r="G3526" s="13" t="str">
        <x:v>grid_asitui1y.xlsx</x:v>
      </x:c>
    </x:row>
    <x:row r="3527">
      <x:c r="A3527" s="15" t="n">
        <x:v>41883</x:v>
      </x:c>
      <x:c r="B3527" s="13" t="str">
        <x:v>BANCO BRADESCO SA-PREF</x:v>
      </x:c>
      <x:c r="C3527" s="16" t="n">
        <x:v>16224.0313877041</x:v>
      </x:c>
      <x:c r="D3527" s="13" t="str">
        <x:v>Banks</x:v>
      </x:c>
      <x:c r="E3527" s="13" t="str">
        <x:v>Banks</x:v>
      </x:c>
      <x:c r="F3527" s="13" t="str">
        <x:v>Financials</x:v>
      </x:c>
      <x:c r="G3527" s="13" t="str">
        <x:v>grid_asitui1y.xlsx</x:v>
      </x:c>
    </x:row>
    <x:row r="3528">
      <x:c r="A3528" s="15" t="n">
        <x:v>41883</x:v>
      </x:c>
      <x:c r="B3528" s="13" t="str">
        <x:v>BANCO DO BRASIL S.A.</x:v>
      </x:c>
      <x:c r="C3528" s="16" t="n">
        <x:v>11764.2159791342</x:v>
      </x:c>
      <x:c r="D3528" s="13" t="str">
        <x:v>Banks</x:v>
      </x:c>
      <x:c r="E3528" s="13" t="str">
        <x:v>Banks</x:v>
      </x:c>
      <x:c r="F3528" s="13" t="str">
        <x:v>Financials</x:v>
      </x:c>
      <x:c r="G3528" s="13" t="str">
        <x:v>grid_asitui1y.xlsx</x:v>
      </x:c>
    </x:row>
    <x:row r="3529">
      <x:c r="A3529" s="15" t="n">
        <x:v>41883</x:v>
      </x:c>
      <x:c r="B3529" s="13" t="str">
        <x:v>BANCO SANTANDER  BRASIL-UNIT</x:v>
      </x:c>
      <x:c r="C3529" s="16" t="n">
        <x:v>6094.6662862904</x:v>
      </x:c>
      <x:c r="D3529" s="13" t="str">
        <x:v>Banks</x:v>
      </x:c>
      <x:c r="E3529" s="13" t="str">
        <x:v>Banks</x:v>
      </x:c>
      <x:c r="F3529" s="13" t="str">
        <x:v>Financials</x:v>
      </x:c>
      <x:c r="G3529" s="13" t="str">
        <x:v>grid_asitui1y.xlsx</x:v>
      </x:c>
    </x:row>
    <x:row r="3530">
      <x:c r="A3530" s="15" t="n">
        <x:v>41883</x:v>
      </x:c>
      <x:c r="B3530" s="13" t="str">
        <x:v>ITAU UNIBANCO HOLDING S-PREF</x:v>
      </x:c>
      <x:c r="C3530" s="16" t="n">
        <x:v>20784.6452686904</x:v>
      </x:c>
      <x:c r="D3530" s="13" t="str">
        <x:v>Banks</x:v>
      </x:c>
      <x:c r="E3530" s="13" t="str">
        <x:v>Banks</x:v>
      </x:c>
      <x:c r="F3530" s="13" t="str">
        <x:v>Financials</x:v>
      </x:c>
      <x:c r="G3530" s="13" t="str">
        <x:v>grid_asitui1y.xlsx</x:v>
      </x:c>
    </x:row>
    <x:row r="3531">
      <x:c r="A3531" s="15" t="n">
        <x:v>41883</x:v>
      </x:c>
      <x:c r="B3531" s="13" t="str">
        <x:v>EMBRAER SA</x:v>
      </x:c>
      <x:c r="C3531" s="16" t="n">
        <x:v>1150.3860318685</x:v>
      </x:c>
      <x:c r="D3531" s="13" t="str">
        <x:v>Capital Goods</x:v>
      </x:c>
      <x:c r="E3531" s="13" t="str">
        <x:v>Capital Goods</x:v>
      </x:c>
      <x:c r="F3531" s="13" t="str">
        <x:v>Deep Cyclicals</x:v>
      </x:c>
      <x:c r="G3531" s="13" t="str">
        <x:v>grid_asitui1y.xlsx</x:v>
      </x:c>
    </x:row>
    <x:row r="3532">
      <x:c r="A3532" s="15" t="n">
        <x:v>41883</x:v>
      </x:c>
      <x:c r="B3532" s="13" t="str">
        <x:v>MARCOPOLO SA-PREF</x:v>
      </x:c>
      <x:c r="C3532" s="16" t="n">
        <x:v>271.5701994959</x:v>
      </x:c>
      <x:c r="D3532" s="13" t="str">
        <x:v>Capital Goods</x:v>
      </x:c>
      <x:c r="E3532" s="13" t="str">
        <x:v>Capital Goods</x:v>
      </x:c>
      <x:c r="F3532" s="13" t="str">
        <x:v>Deep Cyclicals</x:v>
      </x:c>
      <x:c r="G3532" s="13" t="str">
        <x:v>grid_asitui1y.xlsx</x:v>
      </x:c>
    </x:row>
    <x:row r="3533">
      <x:c r="A3533" s="15" t="n">
        <x:v>41883</x:v>
      </x:c>
      <x:c r="B3533" s="13" t="str">
        <x:v>COGNA EDUCACAO</x:v>
      </x:c>
      <x:c r="C3533" s="16" t="n">
        <x:v>1420.0230810301</x:v>
      </x:c>
      <x:c r="D3533" s="13" t="str">
        <x:v>Education</x:v>
      </x:c>
      <x:c r="E3533" s="13" t="str">
        <x:v>Education</x:v>
      </x:c>
      <x:c r="F3533" s="13" t="str">
        <x:v>Early Cyclicals</x:v>
      </x:c>
      <x:c r="G3533" s="13" t="str">
        <x:v>grid_asitui1y.xlsx</x:v>
      </x:c>
    </x:row>
    <x:row r="3534">
      <x:c r="A3534" s="15" t="n">
        <x:v>41883</x:v>
      </x:c>
      <x:c r="B3534" s="13" t="str">
        <x:v>YDUQS PARTICIPACOES SA</x:v>
      </x:c>
      <x:c r="C3534" s="16" t="n">
        <x:v>563.6019957479</x:v>
      </x:c>
      <x:c r="D3534" s="13" t="str">
        <x:v>Education</x:v>
      </x:c>
      <x:c r="E3534" s="13" t="str">
        <x:v>Education</x:v>
      </x:c>
      <x:c r="F3534" s="13" t="str">
        <x:v>Early Cyclicals</x:v>
      </x:c>
      <x:c r="G3534" s="13" t="str">
        <x:v>grid_asitui1y.xlsx</x:v>
      </x:c>
    </x:row>
    <x:row r="3535">
      <x:c r="A3535" s="15" t="n">
        <x:v>41883</x:v>
      </x:c>
      <x:c r="B3535" s="13" t="str">
        <x:v>B3 SA-BRASIL BOLSA BALCAO</x:v>
      </x:c>
      <x:c r="C3535" s="16" t="n">
        <x:v>1573.3547551562</x:v>
      </x:c>
      <x:c r="D3535" s="13" t="str">
        <x:v>Financials Non-Banks</x:v>
      </x:c>
      <x:c r="E3535" s="13" t="str">
        <x:v>Financials Non-Banks</x:v>
      </x:c>
      <x:c r="F3535" s="13" t="str">
        <x:v>Financials</x:v>
      </x:c>
      <x:c r="G3535" s="13" t="str">
        <x:v>grid_asitui1y.xlsx</x:v>
      </x:c>
    </x:row>
    <x:row r="3536">
      <x:c r="A3536" s="15" t="n">
        <x:v>41883</x:v>
      </x:c>
      <x:c r="B3536" s="13" t="str">
        <x:v>BB SEGURIDADE PARTICIPACOES</x:v>
      </x:c>
      <x:c r="C3536" s="16" t="n">
        <x:v>3692.3844074959</x:v>
      </x:c>
      <x:c r="D3536" s="13" t="str">
        <x:v>Financials Non-Banks</x:v>
      </x:c>
      <x:c r="E3536" s="13" t="str">
        <x:v>Financials Non-Banks</x:v>
      </x:c>
      <x:c r="F3536" s="13" t="str">
        <x:v>Financials</x:v>
      </x:c>
      <x:c r="G3536" s="13" t="str">
        <x:v>grid_asitui1y.xlsx</x:v>
      </x:c>
    </x:row>
    <x:row r="3537">
      <x:c r="A3537" s="15" t="n">
        <x:v>41883</x:v>
      </x:c>
      <x:c r="B3537" s="13" t="str">
        <x:v>CETIP SA-MERCADOS ORGANIZADO</x:v>
      </x:c>
      <x:c r="C3537" s="16" t="n">
        <x:v>506.9753708712</x:v>
      </x:c>
      <x:c r="D3537" s="13" t="str">
        <x:v>Financials Non-Banks</x:v>
      </x:c>
      <x:c r="E3537" s="13" t="str">
        <x:v>Financials Non-Banks</x:v>
      </x:c>
      <x:c r="F3537" s="13" t="str">
        <x:v>Financials</x:v>
      </x:c>
      <x:c r="G3537" s="13" t="str">
        <x:v>grid_asitui1y.xlsx</x:v>
      </x:c>
    </x:row>
    <x:row r="3538">
      <x:c r="A3538" s="15" t="n">
        <x:v>41883</x:v>
      </x:c>
      <x:c r="B3538" s="13" t="str">
        <x:v>CIELO SA - INSTITUICAO DE PA</x:v>
      </x:c>
      <x:c r="C3538" s="16" t="n">
        <x:v>3650.307398137</x:v>
      </x:c>
      <x:c r="D3538" s="13" t="str">
        <x:v>Financials Non-Banks</x:v>
      </x:c>
      <x:c r="E3538" s="13" t="str">
        <x:v>Financials Non-Banks</x:v>
      </x:c>
      <x:c r="F3538" s="13" t="str">
        <x:v>Financials</x:v>
      </x:c>
      <x:c r="G3538" s="13" t="str">
        <x:v>grid_asitui1y.xlsx</x:v>
      </x:c>
    </x:row>
    <x:row r="3539">
      <x:c r="A3539" s="15" t="n">
        <x:v>41883</x:v>
      </x:c>
      <x:c r="B3539" s="13" t="str">
        <x:v>ITAUSA SA</x:v>
      </x:c>
      <x:c r="C3539" s="16" t="n">
        <x:v>8050.5093975671</x:v>
      </x:c>
      <x:c r="D3539" s="13" t="str">
        <x:v>Financials Non-Banks</x:v>
      </x:c>
      <x:c r="E3539" s="13" t="str">
        <x:v>Financials Non-Banks</x:v>
      </x:c>
      <x:c r="F3539" s="13" t="str">
        <x:v>Financials</x:v>
      </x:c>
      <x:c r="G3539" s="13" t="str">
        <x:v>grid_asitui1y.xlsx</x:v>
      </x:c>
    </x:row>
    <x:row r="3540">
      <x:c r="A3540" s="15" t="n">
        <x:v>41883</x:v>
      </x:c>
      <x:c r="B3540" s="13" t="str">
        <x:v>AMBEV SA</x:v>
      </x:c>
      <x:c r="C3540" s="16" t="n">
        <x:v>13313.5550744548</x:v>
      </x:c>
      <x:c r="D3540" s="13" t="str">
        <x:v>Food &amp; Beverages</x:v>
      </x:c>
      <x:c r="E3540" s="13" t="str">
        <x:v>Agri, Food &amp; Beverages</x:v>
      </x:c>
      <x:c r="F3540" s="13" t="str">
        <x:v>Defensives</x:v>
      </x:c>
      <x:c r="G3540" s="13" t="str">
        <x:v>grid_asitui1y.xlsx</x:v>
      </x:c>
    </x:row>
    <x:row r="3541">
      <x:c r="A3541" s="15" t="n">
        <x:v>41883</x:v>
      </x:c>
      <x:c r="B3541" s="13" t="str">
        <x:v>BRF SA</x:v>
      </x:c>
      <x:c r="C3541" s="16" t="n">
        <x:v>2397.4007590575</x:v>
      </x:c>
      <x:c r="D3541" s="13" t="str">
        <x:v>Food &amp; Beverages</x:v>
      </x:c>
      <x:c r="E3541" s="13" t="str">
        <x:v>Agri, Food &amp; Beverages</x:v>
      </x:c>
      <x:c r="F3541" s="13" t="str">
        <x:v>Defensives</x:v>
      </x:c>
      <x:c r="G3541" s="13" t="str">
        <x:v>grid_asitui1y.xlsx</x:v>
      </x:c>
    </x:row>
    <x:row r="3542">
      <x:c r="A3542" s="15" t="n">
        <x:v>41883</x:v>
      </x:c>
      <x:c r="B3542" s="13" t="str">
        <x:v>MBRF GLOBAL FOODS COMPANY SA</x:v>
      </x:c>
      <x:c r="C3542" s="16" t="n">
        <x:v>124.7156745205</x:v>
      </x:c>
      <x:c r="D3542" s="13" t="str">
        <x:v>Food &amp; Beverages</x:v>
      </x:c>
      <x:c r="E3542" s="13" t="str">
        <x:v>Agri, Food &amp; Beverages</x:v>
      </x:c>
      <x:c r="F3542" s="13" t="str">
        <x:v>Defensives</x:v>
      </x:c>
      <x:c r="G3542" s="13" t="str">
        <x:v>grid_asitui1y.xlsx</x:v>
      </x:c>
    </x:row>
    <x:row r="3543">
      <x:c r="A3543" s="15" t="n">
        <x:v>41883</x:v>
      </x:c>
      <x:c r="B3543" s="13" t="str">
        <x:v>SOUZA CRUZ LTDA</x:v>
      </x:c>
      <x:c r="C3543" s="16" t="n">
        <x:v>1803.1575702795</x:v>
      </x:c>
      <x:c r="D3543" s="13" t="str">
        <x:v>Food &amp; Beverages</x:v>
      </x:c>
      <x:c r="E3543" s="13" t="str">
        <x:v>Agri, Food &amp; Beverages</x:v>
      </x:c>
      <x:c r="F3543" s="13" t="str">
        <x:v>Defensives</x:v>
      </x:c>
      <x:c r="G3543" s="13" t="str">
        <x:v>grid_asitui1y.xlsx</x:v>
      </x:c>
    </x:row>
    <x:row r="3544">
      <x:c r="A3544" s="15" t="n">
        <x:v>41883</x:v>
      </x:c>
      <x:c r="B3544" s="13" t="str">
        <x:v>HYPERA SA</x:v>
      </x:c>
      <x:c r="C3544" s="16" t="n">
        <x:v>532.5693678466</x:v>
      </x:c>
      <x:c r="D3544" s="13" t="str">
        <x:v>Health Care</x:v>
      </x:c>
      <x:c r="E3544" s="13" t="str">
        <x:v>Health Care</x:v>
      </x:c>
      <x:c r="F3544" s="13" t="str">
        <x:v>Defensives</x:v>
      </x:c>
      <x:c r="G3544" s="13" t="str">
        <x:v>grid_asitui1y.xlsx</x:v>
      </x:c>
    </x:row>
    <x:row r="3545">
      <x:c r="A3545" s="15" t="n">
        <x:v>41883</x:v>
      </x:c>
      <x:c r="B3545" s="13" t="str">
        <x:v>QUALICORP CONS E CORR SEG SA</x:v>
      </x:c>
      <x:c r="C3545" s="16" t="n">
        <x:v>345.8386926466</x:v>
      </x:c>
      <x:c r="D3545" s="13" t="str">
        <x:v>Health Care</x:v>
      </x:c>
      <x:c r="E3545" s="13" t="str">
        <x:v>Health Care</x:v>
      </x:c>
      <x:c r="F3545" s="13" t="str">
        <x:v>Defensives</x:v>
      </x:c>
      <x:c r="G3545" s="13" t="str">
        <x:v>grid_asitui1y.xlsx</x:v>
      </x:c>
    </x:row>
    <x:row r="3546">
      <x:c r="A3546" s="15" t="n">
        <x:v>41883</x:v>
      </x:c>
      <x:c r="B3546" s="13" t="str">
        <x:v>CYRELA BRAZIL REALTY SA EMP</x:v>
      </x:c>
      <x:c r="C3546" s="16" t="n">
        <x:v>809.2246535014</x:v>
      </x:c>
      <x:c r="D3546" s="13" t="str">
        <x:v>Homebuilders</x:v>
      </x:c>
      <x:c r="E3546" s="13" t="str">
        <x:v>Real Estate</x:v>
      </x:c>
      <x:c r="F3546" s="13" t="str">
        <x:v>Early Cyclicals</x:v>
      </x:c>
      <x:c r="G3546" s="13" t="str">
        <x:v>grid_asitui1y.xlsx</x:v>
      </x:c>
    </x:row>
    <x:row r="3547">
      <x:c r="A3547" s="15" t="n">
        <x:v>41883</x:v>
      </x:c>
      <x:c r="B3547" s="13" t="str">
        <x:v>EVEN CONSTRUTORA E INCORPORA</x:v>
      </x:c>
      <x:c r="C3547" s="16" t="n">
        <x:v>318.7027165808</x:v>
      </x:c>
      <x:c r="D3547" s="13" t="str">
        <x:v>Homebuilders</x:v>
      </x:c>
      <x:c r="E3547" s="13" t="str">
        <x:v>Real Estate</x:v>
      </x:c>
      <x:c r="F3547" s="13" t="str">
        <x:v>Early Cyclicals</x:v>
      </x:c>
      <x:c r="G3547" s="13" t="str">
        <x:v>grid_asitui1y.xlsx</x:v>
      </x:c>
    </x:row>
    <x:row r="3548">
      <x:c r="A3548" s="15" t="n">
        <x:v>41883</x:v>
      </x:c>
      <x:c r="B3548" s="13" t="str">
        <x:v>GAFISA SA</x:v>
      </x:c>
      <x:c r="C3548" s="16" t="n">
        <x:v>139.4931506849</x:v>
      </x:c>
      <x:c r="D3548" s="13" t="str">
        <x:v>Homebuilders</x:v>
      </x:c>
      <x:c r="E3548" s="13" t="str">
        <x:v>Real Estate</x:v>
      </x:c>
      <x:c r="F3548" s="13" t="str">
        <x:v>Early Cyclicals</x:v>
      </x:c>
      <x:c r="G3548" s="13" t="str">
        <x:v>grid_asitui1y.xlsx</x:v>
      </x:c>
    </x:row>
    <x:row r="3549">
      <x:c r="A3549" s="15" t="n">
        <x:v>41883</x:v>
      </x:c>
      <x:c r="B3549" s="13" t="str">
        <x:v>MRV ENGENHARIA</x:v>
      </x:c>
      <x:c r="C3549" s="16" t="n">
        <x:v>543.7506849315</x:v>
      </x:c>
      <x:c r="D3549" s="13" t="str">
        <x:v>Homebuilders</x:v>
      </x:c>
      <x:c r="E3549" s="13" t="str">
        <x:v>Real Estate</x:v>
      </x:c>
      <x:c r="F3549" s="13" t="str">
        <x:v>Early Cyclicals</x:v>
      </x:c>
      <x:c r="G3549" s="13" t="str">
        <x:v>grid_asitui1y.xlsx</x:v>
      </x:c>
    </x:row>
    <x:row r="3550">
      <x:c r="A3550" s="15" t="n">
        <x:v>41883</x:v>
      </x:c>
      <x:c r="B3550" s="13" t="str">
        <x:v>PDG REALTY SA</x:v>
      </x:c>
      <x:c r="C3550" s="16" t="n">
        <x:v>-45.2642958904</x:v>
      </x:c>
      <x:c r="D3550" s="13" t="str">
        <x:v>Homebuilders</x:v>
      </x:c>
      <x:c r="E3550" s="13" t="str">
        <x:v>Real Estate</x:v>
      </x:c>
      <x:c r="F3550" s="13" t="str">
        <x:v>Early Cyclicals</x:v>
      </x:c>
      <x:c r="G3550" s="13" t="str">
        <x:v>grid_asitui1y.xlsx</x:v>
      </x:c>
    </x:row>
    <x:row r="3551">
      <x:c r="A3551" s="15" t="n">
        <x:v>41883</x:v>
      </x:c>
      <x:c r="B3551" s="13" t="str">
        <x:v>ROSSI RESIDENCIAL SA</x:v>
      </x:c>
      <x:c r="C3551" s="16" t="n">
        <x:v>-7.2755616438</x:v>
      </x:c>
      <x:c r="D3551" s="13" t="str">
        <x:v>Homebuilders</x:v>
      </x:c>
      <x:c r="E3551" s="13" t="str">
        <x:v>Real Estate</x:v>
      </x:c>
      <x:c r="F3551" s="13" t="str">
        <x:v>Early Cyclicals</x:v>
      </x:c>
      <x:c r="G3551" s="13" t="str">
        <x:v>grid_asitui1y.xlsx</x:v>
      </x:c>
    </x:row>
    <x:row r="3552">
      <x:c r="A3552" s="15" t="n">
        <x:v>41883</x:v>
      </x:c>
      <x:c r="B3552" s="13" t="str">
        <x:v>BR MALLS PARTICIPACOES SA</x:v>
      </x:c>
      <x:c r="C3552" s="16" t="n">
        <x:v>527.6964562411</x:v>
      </x:c>
      <x:c r="D3552" s="13" t="str">
        <x:v>Income Properties</x:v>
      </x:c>
      <x:c r="E3552" s="13" t="str">
        <x:v>Real Estate</x:v>
      </x:c>
      <x:c r="F3552" s="13" t="str">
        <x:v>Early Cyclicals</x:v>
      </x:c>
      <x:c r="G3552" s="13" t="str">
        <x:v>grid_asitui1y.xlsx</x:v>
      </x:c>
    </x:row>
    <x:row r="3553">
      <x:c r="A3553" s="15" t="n">
        <x:v>41883</x:v>
      </x:c>
      <x:c r="B3553" s="13" t="str">
        <x:v>SOLID ATIVOS IMOBILIARIOS SA</x:v>
      </x:c>
      <x:c r="C3553" s="16" t="n">
        <x:v>245.3832931507</x:v>
      </x:c>
      <x:c r="D3553" s="13" t="str">
        <x:v>Income Properties</x:v>
      </x:c>
      <x:c r="E3553" s="13" t="str">
        <x:v>Real Estate</x:v>
      </x:c>
      <x:c r="F3553" s="13" t="str">
        <x:v>Early Cyclicals</x:v>
      </x:c>
      <x:c r="G3553" s="13" t="str">
        <x:v>grid_asitui1y.xlsx</x:v>
      </x:c>
    </x:row>
    <x:row r="3554">
      <x:c r="A3554" s="15" t="n">
        <x:v>41883</x:v>
      </x:c>
      <x:c r="B3554" s="13" t="str">
        <x:v>BRADESPAR SA -PREF</x:v>
      </x:c>
      <x:c r="C3554" s="16" t="n">
        <x:v>1041.0054713863</x:v>
      </x:c>
      <x:c r="D3554" s="13" t="str">
        <x:v>Metals &amp; Mining</x:v>
      </x:c>
      <x:c r="E3554" s="13" t="str">
        <x:v>Metals &amp; Mining</x:v>
      </x:c>
      <x:c r="F3554" s="13" t="str">
        <x:v>Deep Cyclicals</x:v>
      </x:c>
      <x:c r="G3554" s="13" t="str">
        <x:v>grid_asitui1y.xlsx</x:v>
      </x:c>
    </x:row>
    <x:row r="3555">
      <x:c r="A3555" s="15" t="n">
        <x:v>41883</x:v>
      </x:c>
      <x:c r="B3555" s="13" t="str">
        <x:v>CIA SIDERURGICA NACIONAL SA</x:v>
      </x:c>
      <x:c r="C3555" s="16" t="n">
        <x:v>620.9158806795</x:v>
      </x:c>
      <x:c r="D3555" s="13" t="str">
        <x:v>Metals &amp; Mining</x:v>
      </x:c>
      <x:c r="E3555" s="13" t="str">
        <x:v>Metals &amp; Mining</x:v>
      </x:c>
      <x:c r="F3555" s="13" t="str">
        <x:v>Deep Cyclicals</x:v>
      </x:c>
      <x:c r="G3555" s="13" t="str">
        <x:v>grid_asitui1y.xlsx</x:v>
      </x:c>
    </x:row>
    <x:row r="3556">
      <x:c r="A3556" s="15" t="n">
        <x:v>41883</x:v>
      </x:c>
      <x:c r="B3556" s="13" t="str">
        <x:v>GERDAU SA-PREF</x:v>
      </x:c>
      <x:c r="C3556" s="16" t="n">
        <x:v>1486.9036095123</x:v>
      </x:c>
      <x:c r="D3556" s="13" t="str">
        <x:v>Metals &amp; Mining</x:v>
      </x:c>
      <x:c r="E3556" s="13" t="str">
        <x:v>Metals &amp; Mining</x:v>
      </x:c>
      <x:c r="F3556" s="13" t="str">
        <x:v>Deep Cyclicals</x:v>
      </x:c>
      <x:c r="G3556" s="13" t="str">
        <x:v>grid_asitui1y.xlsx</x:v>
      </x:c>
    </x:row>
    <x:row r="3557">
      <x:c r="A3557" s="15" t="n">
        <x:v>41883</x:v>
      </x:c>
      <x:c r="B3557" s="13" t="str">
        <x:v>METALURGICA GERDAU SA-PREF</x:v>
      </x:c>
      <x:c r="C3557" s="16" t="n">
        <x:v>603.3904348932</x:v>
      </x:c>
      <x:c r="D3557" s="13" t="str">
        <x:v>Metals &amp; Mining</x:v>
      </x:c>
      <x:c r="E3557" s="13" t="str">
        <x:v>Metals &amp; Mining</x:v>
      </x:c>
      <x:c r="F3557" s="13" t="str">
        <x:v>Deep Cyclicals</x:v>
      </x:c>
      <x:c r="G3557" s="13" t="str">
        <x:v>grid_asitui1y.xlsx</x:v>
      </x:c>
    </x:row>
    <x:row r="3558">
      <x:c r="A3558" s="15" t="n">
        <x:v>41883</x:v>
      </x:c>
      <x:c r="B3558" s="13" t="str">
        <x:v>USINAS SIDER MINAS GER-PF A</x:v>
      </x:c>
      <x:c r="C3558" s="16" t="n">
        <x:v>430.1598189589</x:v>
      </x:c>
      <x:c r="D3558" s="13" t="str">
        <x:v>Metals &amp; Mining</x:v>
      </x:c>
      <x:c r="E3558" s="13" t="str">
        <x:v>Metals &amp; Mining</x:v>
      </x:c>
      <x:c r="F3558" s="13" t="str">
        <x:v>Deep Cyclicals</x:v>
      </x:c>
      <x:c r="G3558" s="13" t="str">
        <x:v>grid_asitui1y.xlsx</x:v>
      </x:c>
    </x:row>
    <x:row r="3559">
      <x:c r="A3559" s="15" t="n">
        <x:v>41883</x:v>
      </x:c>
      <x:c r="B3559" s="13" t="str">
        <x:v>VALE SA</x:v>
      </x:c>
      <x:c r="C3559" s="16" t="n">
        <x:v>19296.5213029699</x:v>
      </x:c>
      <x:c r="D3559" s="13" t="str">
        <x:v>Metals &amp; Mining</x:v>
      </x:c>
      <x:c r="E3559" s="13" t="str">
        <x:v>Metals &amp; Mining</x:v>
      </x:c>
      <x:c r="F3559" s="13" t="str">
        <x:v>Deep Cyclicals</x:v>
      </x:c>
      <x:c r="G3559" s="13" t="str">
        <x:v>grid_asitui1y.xlsx</x:v>
      </x:c>
    </x:row>
    <x:row r="3560">
      <x:c r="A3560" s="15" t="n">
        <x:v>41883</x:v>
      </x:c>
      <x:c r="B3560" s="13" t="str">
        <x:v>BRASKEM SA-PREF A</x:v>
      </x:c>
      <x:c r="C3560" s="16" t="n">
        <x:v>1103.8340439671</x:v>
      </x:c>
      <x:c r="D3560" s="13" t="str">
        <x:v>Oil, Gas &amp; Petrochemicals</x:v>
      </x:c>
      <x:c r="E3560" s="13" t="str">
        <x:v>Oil, Gas &amp; Petrochemicals</x:v>
      </x:c>
      <x:c r="F3560" s="13" t="str">
        <x:v>Deep Cyclicals</x:v>
      </x:c>
      <x:c r="G3560" s="13" t="str">
        <x:v>grid_asitui1y.xlsx</x:v>
      </x:c>
    </x:row>
    <x:row r="3561">
      <x:c r="A3561" s="15" t="n">
        <x:v>41883</x:v>
      </x:c>
      <x:c r="B3561" s="13" t="str">
        <x:v>COSAN SA</x:v>
      </x:c>
      <x:c r="C3561" s="16" t="n">
        <x:v>1057.5177847233</x:v>
      </x:c>
      <x:c r="D3561" s="13" t="str">
        <x:v>Oil, Gas &amp; Petrochemicals</x:v>
      </x:c>
      <x:c r="E3561" s="13" t="str">
        <x:v>Oil, Gas &amp; Petrochemicals</x:v>
      </x:c>
      <x:c r="F3561" s="13" t="str">
        <x:v>Deep Cyclicals</x:v>
      </x:c>
      <x:c r="G3561" s="13" t="str">
        <x:v>grid_asitui1y.xlsx</x:v>
      </x:c>
    </x:row>
    <x:row r="3562">
      <x:c r="A3562" s="15" t="n">
        <x:v>41883</x:v>
      </x:c>
      <x:c r="B3562" s="13" t="str">
        <x:v>PETROBRAS - PETROLEO BRAS</x:v>
      </x:c>
      <x:c r="C3562" s="16" t="n">
        <x:v>29713.5725974795</x:v>
      </x:c>
      <x:c r="D3562" s="13" t="str">
        <x:v>Oil, Gas &amp; Petrochemicals</x:v>
      </x:c>
      <x:c r="E3562" s="13" t="str">
        <x:v>Oil, Gas &amp; Petrochemicals</x:v>
      </x:c>
      <x:c r="F3562" s="13" t="str">
        <x:v>Deep Cyclicals</x:v>
      </x:c>
      <x:c r="G3562" s="13" t="str">
        <x:v>grid_asitui1y.xlsx</x:v>
      </x:c>
    </x:row>
    <x:row r="3563">
      <x:c r="A3563" s="15" t="n">
        <x:v>41883</x:v>
      </x:c>
      <x:c r="B3563" s="13" t="str">
        <x:v>ULTRAPAR PARTICIPACOES SA</x:v>
      </x:c>
      <x:c r="C3563" s="16" t="n">
        <x:v>1406.0177762192</x:v>
      </x:c>
      <x:c r="D3563" s="13" t="str">
        <x:v>Oil, Gas &amp; Petrochemicals</x:v>
      </x:c>
      <x:c r="E3563" s="13" t="str">
        <x:v>Oil, Gas &amp; Petrochemicals</x:v>
      </x:c>
      <x:c r="F3563" s="13" t="str">
        <x:v>Deep Cyclicals</x:v>
      </x:c>
      <x:c r="G3563" s="13" t="str">
        <x:v>grid_asitui1y.xlsx</x:v>
      </x:c>
    </x:row>
    <x:row r="3564">
      <x:c r="A3564" s="15" t="n">
        <x:v>41883</x:v>
      </x:c>
      <x:c r="B3564" s="13" t="str">
        <x:v>DEXCO SA</x:v>
      </x:c>
      <x:c r="C3564" s="16" t="n">
        <x:v>478.9695334575</x:v>
      </x:c>
      <x:c r="D3564" s="13" t="str">
        <x:v>Pulp &amp; Paper</x:v>
      </x:c>
      <x:c r="E3564" s="13" t="str">
        <x:v>Pulp &amp; Paper</x:v>
      </x:c>
      <x:c r="F3564" s="13" t="str">
        <x:v>Deep Cyclicals</x:v>
      </x:c>
      <x:c r="G3564" s="13" t="str">
        <x:v>grid_asitui1y.xlsx</x:v>
      </x:c>
    </x:row>
    <x:row r="3565">
      <x:c r="A3565" s="15" t="n">
        <x:v>41883</x:v>
      </x:c>
      <x:c r="B3565" s="13" t="str">
        <x:v>FIBRIA CELULOSE S/A</x:v>
      </x:c>
      <x:c r="C3565" s="16" t="n">
        <x:v>254.0626246575</x:v>
      </x:c>
      <x:c r="D3565" s="13" t="str">
        <x:v>Pulp &amp; Paper</x:v>
      </x:c>
      <x:c r="E3565" s="13" t="str">
        <x:v>Pulp &amp; Paper</x:v>
      </x:c>
      <x:c r="F3565" s="13" t="str">
        <x:v>Deep Cyclicals</x:v>
      </x:c>
      <x:c r="G3565" s="13" t="str">
        <x:v>grid_asitui1y.xlsx</x:v>
      </x:c>
    </x:row>
    <x:row r="3566">
      <x:c r="A3566" s="15" t="n">
        <x:v>41883</x:v>
      </x:c>
      <x:c r="B3566" s="13" t="str">
        <x:v>KLABIN SA - UNIT</x:v>
      </x:c>
      <x:c r="C3566" s="16" t="n">
        <x:v>614.8828647452</x:v>
      </x:c>
      <x:c r="D3566" s="13" t="str">
        <x:v>Pulp &amp; Paper</x:v>
      </x:c>
      <x:c r="E3566" s="13" t="str">
        <x:v>Pulp &amp; Paper</x:v>
      </x:c>
      <x:c r="F3566" s="13" t="str">
        <x:v>Deep Cyclicals</x:v>
      </x:c>
      <x:c r="G3566" s="13" t="str">
        <x:v>grid_asitui1y.xlsx</x:v>
      </x:c>
    </x:row>
    <x:row r="3567">
      <x:c r="A3567" s="15" t="n">
        <x:v>41883</x:v>
      </x:c>
      <x:c r="B3567" s="13" t="str">
        <x:v>SUZANO PAPEL E CELULO-PREF A</x:v>
      </x:c>
      <x:c r="C3567" s="16" t="n">
        <x:v>606.8806806795</x:v>
      </x:c>
      <x:c r="D3567" s="13" t="str">
        <x:v>Pulp &amp; Paper</x:v>
      </x:c>
      <x:c r="E3567" s="13" t="str">
        <x:v>Pulp &amp; Paper</x:v>
      </x:c>
      <x:c r="F3567" s="13" t="str">
        <x:v>Deep Cyclicals</x:v>
      </x:c>
      <x:c r="G3567" s="13" t="str">
        <x:v>grid_asitui1y.xlsx</x:v>
      </x:c>
    </x:row>
    <x:row r="3568">
      <x:c r="A3568" s="15" t="n">
        <x:v>41883</x:v>
      </x:c>
      <x:c r="B3568" s="13" t="str">
        <x:v>CIA BRASILEIRA DE DIS-PREF</x:v>
      </x:c>
      <x:c r="C3568" s="16" t="n">
        <x:v>1647.8868813151</x:v>
      </x:c>
      <x:c r="D3568" s="13" t="str">
        <x:v>Retail</x:v>
      </x:c>
      <x:c r="E3568" s="13" t="str">
        <x:v>Retail</x:v>
      </x:c>
      <x:c r="F3568" s="13" t="str">
        <x:v>Early Cyclicals</x:v>
      </x:c>
      <x:c r="G3568" s="13" t="str">
        <x:v>grid_asitui1y.xlsx</x:v>
      </x:c>
    </x:row>
    <x:row r="3569">
      <x:c r="A3569" s="15" t="n">
        <x:v>41883</x:v>
      </x:c>
      <x:c r="B3569" s="13" t="str">
        <x:v>CIA HERING</x:v>
      </x:c>
      <x:c r="C3569" s="16" t="n">
        <x:v>343.8781556603</x:v>
      </x:c>
      <x:c r="D3569" s="13" t="str">
        <x:v>Retail</x:v>
      </x:c>
      <x:c r="E3569" s="13" t="str">
        <x:v>Retail</x:v>
      </x:c>
      <x:c r="F3569" s="13" t="str">
        <x:v>Early Cyclicals</x:v>
      </x:c>
      <x:c r="G3569" s="13" t="str">
        <x:v>grid_asitui1y.xlsx</x:v>
      </x:c>
    </x:row>
    <x:row r="3570">
      <x:c r="A3570" s="15" t="n">
        <x:v>41883</x:v>
      </x:c>
      <x:c r="B3570" s="13" t="str">
        <x:v>LOJAS AMERICANAS SA-PREF</x:v>
      </x:c>
      <x:c r="C3570" s="16" t="n">
        <x:v>624.0881379945</x:v>
      </x:c>
      <x:c r="D3570" s="13" t="str">
        <x:v>Retail</x:v>
      </x:c>
      <x:c r="E3570" s="13" t="str">
        <x:v>Retail</x:v>
      </x:c>
      <x:c r="F3570" s="13" t="str">
        <x:v>Early Cyclicals</x:v>
      </x:c>
      <x:c r="G3570" s="13" t="str">
        <x:v>grid_asitui1y.xlsx</x:v>
      </x:c>
    </x:row>
    <x:row r="3571">
      <x:c r="A3571" s="15" t="n">
        <x:v>41883</x:v>
      </x:c>
      <x:c r="B3571" s="13" t="str">
        <x:v>LOJAS RENNER S.A.</x:v>
      </x:c>
      <x:c r="C3571" s="16" t="n">
        <x:v>507.2550453479</x:v>
      </x:c>
      <x:c r="D3571" s="13" t="str">
        <x:v>Retail</x:v>
      </x:c>
      <x:c r="E3571" s="13" t="str">
        <x:v>Retail</x:v>
      </x:c>
      <x:c r="F3571" s="13" t="str">
        <x:v>Early Cyclicals</x:v>
      </x:c>
      <x:c r="G3571" s="13" t="str">
        <x:v>grid_asitui1y.xlsx</x:v>
      </x:c>
    </x:row>
    <x:row r="3572">
      <x:c r="A3572" s="15" t="n">
        <x:v>41883</x:v>
      </x:c>
      <x:c r="B3572" s="13" t="str">
        <x:v>NATURA COSMETICOS SA</x:v>
      </x:c>
      <x:c r="C3572" s="16" t="n">
        <x:v>903.7959062795</x:v>
      </x:c>
      <x:c r="D3572" s="13" t="str">
        <x:v>Retail</x:v>
      </x:c>
      <x:c r="E3572" s="13" t="str">
        <x:v>Retail</x:v>
      </x:c>
      <x:c r="F3572" s="13" t="str">
        <x:v>Early Cyclicals</x:v>
      </x:c>
      <x:c r="G3572" s="13" t="str">
        <x:v>grid_asitui1y.xlsx</x:v>
      </x:c>
    </x:row>
    <x:row r="3573">
      <x:c r="A3573" s="15" t="n">
        <x:v>41883</x:v>
      </x:c>
      <x:c r="B3573" s="13" t="str">
        <x:v>CIA SANEAMENTO BASICO DE SP</x:v>
      </x:c>
      <x:c r="C3573" s="16" t="n">
        <x:v>1636.7424154301</x:v>
      </x:c>
      <x:c r="D3573" s="13" t="str">
        <x:v>Sanitation</x:v>
      </x:c>
      <x:c r="E3573" s="13" t="str">
        <x:v>Utilities</x:v>
      </x:c>
      <x:c r="F3573" s="13" t="str">
        <x:v>Defensives</x:v>
      </x:c>
      <x:c r="G3573" s="13" t="str">
        <x:v>grid_asitui1y.xlsx</x:v>
      </x:c>
    </x:row>
    <x:row r="3574">
      <x:c r="A3574" s="15" t="n">
        <x:v>41883</x:v>
      </x:c>
      <x:c r="B3574" s="13" t="str">
        <x:v>OI SA-PREFERENCE</x:v>
      </x:c>
      <x:c r="C3574" s="16" t="n">
        <x:v>270.7786159342</x:v>
      </x:c>
      <x:c r="D3574" s="13" t="str">
        <x:v>TMT</x:v>
      </x:c>
      <x:c r="E3574" s="13" t="str">
        <x:v>TMT</x:v>
      </x:c>
      <x:c r="F3574" s="13" t="str">
        <x:v>Early Cyclicals</x:v>
      </x:c>
      <x:c r="G3574" s="13" t="str">
        <x:v>grid_asitui1y.xlsx</x:v>
      </x:c>
    </x:row>
    <x:row r="3575">
      <x:c r="A3575" s="15" t="n">
        <x:v>41883</x:v>
      </x:c>
      <x:c r="B3575" s="13" t="str">
        <x:v>TELEFONICA BRASIL S.A.-PREF</x:v>
      </x:c>
      <x:c r="C3575" s="16" t="n">
        <x:v>3728.2311378411</x:v>
      </x:c>
      <x:c r="D3575" s="13" t="str">
        <x:v>TMT</x:v>
      </x:c>
      <x:c r="E3575" s="13" t="str">
        <x:v>TMT</x:v>
      </x:c>
      <x:c r="F3575" s="13" t="str">
        <x:v>Early Cyclicals</x:v>
      </x:c>
      <x:c r="G3575" s="13" t="str">
        <x:v>grid_asitui1y.xlsx</x:v>
      </x:c>
    </x:row>
    <x:row r="3576">
      <x:c r="A3576" s="15" t="n">
        <x:v>41883</x:v>
      </x:c>
      <x:c r="B3576" s="13" t="str">
        <x:v>TIM SA</x:v>
      </x:c>
      <x:c r="C3576" s="16" t="n">
        <x:v>1646.6037146301</x:v>
      </x:c>
      <x:c r="D3576" s="13" t="str">
        <x:v>TMT</x:v>
      </x:c>
      <x:c r="E3576" s="13" t="str">
        <x:v>TMT</x:v>
      </x:c>
      <x:c r="F3576" s="13" t="str">
        <x:v>Early Cyclicals</x:v>
      </x:c>
      <x:c r="G3576" s="13" t="str">
        <x:v>grid_asitui1y.xlsx</x:v>
      </x:c>
    </x:row>
    <x:row r="3577">
      <x:c r="A3577" s="15" t="n">
        <x:v>41883</x:v>
      </x:c>
      <x:c r="B3577" s="13" t="str">
        <x:v>ECORODOVIAS INFRA E LOG SA</x:v>
      </x:c>
      <x:c r="C3577" s="16" t="n">
        <x:v>461.464856811</x:v>
      </x:c>
      <x:c r="D3577" s="13" t="str">
        <x:v>Transportation</x:v>
      </x:c>
      <x:c r="E3577" s="13" t="str">
        <x:v>Transportation</x:v>
      </x:c>
      <x:c r="F3577" s="13" t="str">
        <x:v>Deep Cyclicals</x:v>
      </x:c>
      <x:c r="G3577" s="13" t="str">
        <x:v>grid_asitui1y.xlsx</x:v>
      </x:c>
    </x:row>
    <x:row r="3578">
      <x:c r="A3578" s="15" t="n">
        <x:v>41883</x:v>
      </x:c>
      <x:c r="B3578" s="13" t="str">
        <x:v>GOL LINHAS AEREAS INT SA-PRE</x:v>
      </x:c>
      <x:c r="C3578" s="16" t="n">
        <x:v>33.0791671233</x:v>
      </x:c>
      <x:c r="D3578" s="13" t="str">
        <x:v>Transportation</x:v>
      </x:c>
      <x:c r="E3578" s="13" t="str">
        <x:v>Transportation</x:v>
      </x:c>
      <x:c r="F3578" s="13" t="str">
        <x:v>Deep Cyclicals</x:v>
      </x:c>
      <x:c r="G3578" s="13" t="str">
        <x:v>grid_asitui1y.xlsx</x:v>
      </x:c>
    </x:row>
    <x:row r="3579">
      <x:c r="A3579" s="15" t="n">
        <x:v>41883</x:v>
      </x:c>
      <x:c r="B3579" s="13" t="str">
        <x:v>LOCALIZA RENT A CAR</x:v>
      </x:c>
      <x:c r="C3579" s="16" t="n">
        <x:v>434.5376632986</x:v>
      </x:c>
      <x:c r="D3579" s="13" t="str">
        <x:v>Transportation</x:v>
      </x:c>
      <x:c r="E3579" s="13" t="str">
        <x:v>Transportation</x:v>
      </x:c>
      <x:c r="F3579" s="13" t="str">
        <x:v>Deep Cyclicals</x:v>
      </x:c>
      <x:c r="G3579" s="13" t="str">
        <x:v>grid_asitui1y.xlsx</x:v>
      </x:c>
    </x:row>
    <x:row r="3580">
      <x:c r="A3580" s="15" t="n">
        <x:v>41883</x:v>
      </x:c>
      <x:c r="B3580" s="13" t="str">
        <x:v>MOTIVA INFRAESTRUTURA DE MOB</x:v>
      </x:c>
      <x:c r="C3580" s="16" t="n">
        <x:v>1497.2333589041</x:v>
      </x:c>
      <x:c r="D3580" s="13" t="str">
        <x:v>Transportation</x:v>
      </x:c>
      <x:c r="E3580" s="13" t="str">
        <x:v>Transportation</x:v>
      </x:c>
      <x:c r="F3580" s="13" t="str">
        <x:v>Deep Cyclicals</x:v>
      </x:c>
      <x:c r="G3580" s="13" t="str">
        <x:v>grid_asitui1y.xlsx</x:v>
      </x:c>
    </x:row>
    <x:row r="3581">
      <x:c r="A3581" s="15" t="n">
        <x:v>41883</x:v>
      </x:c>
      <x:c r="B3581" s="13" t="str">
        <x:v>RUMO SA</x:v>
      </x:c>
      <x:c r="C3581" s="16" t="n">
        <x:v>312.5485479452</x:v>
      </x:c>
      <x:c r="D3581" s="13" t="str">
        <x:v>Transportation</x:v>
      </x:c>
      <x:c r="E3581" s="13" t="str">
        <x:v>Transportation</x:v>
      </x:c>
      <x:c r="F3581" s="13" t="str">
        <x:v>Deep Cyclicals</x:v>
      </x:c>
      <x:c r="G3581" s="13" t="str">
        <x:v>grid_asitui1y.xlsx</x:v>
      </x:c>
    </x:row>
    <x:row r="3582">
      <x:c r="A3582" s="15" t="n">
        <x:v>41883</x:v>
      </x:c>
      <x:c r="B3582" s="13" t="str">
        <x:v>AXIA ENERGIA SA</x:v>
      </x:c>
      <x:c r="C3582" s="16" t="n">
        <x:v>1204.3928928438</x:v>
      </x:c>
      <x:c r="D3582" s="13" t="str">
        <x:v>Utilities &amp; Energy</x:v>
      </x:c>
      <x:c r="E3582" s="13" t="str">
        <x:v>Utilities</x:v>
      </x:c>
      <x:c r="F3582" s="13" t="str">
        <x:v>Defensives</x:v>
      </x:c>
      <x:c r="G3582" s="13" t="str">
        <x:v>grid_asitui1y.xlsx</x:v>
      </x:c>
    </x:row>
    <x:row r="3583">
      <x:c r="A3583" s="15" t="n">
        <x:v>41883</x:v>
      </x:c>
      <x:c r="B3583" s="13" t="str">
        <x:v>AXIA ENERGIA-PR B</x:v>
      </x:c>
      <x:c r="C3583" s="16" t="n">
        <x:v>1204.3928928438</x:v>
      </x:c>
      <x:c r="D3583" s="13" t="str">
        <x:v>Utilities &amp; Energy</x:v>
      </x:c>
      <x:c r="E3583" s="13" t="str">
        <x:v>Utilities</x:v>
      </x:c>
      <x:c r="F3583" s="13" t="str">
        <x:v>Defensives</x:v>
      </x:c>
      <x:c r="G3583" s="13" t="str">
        <x:v>grid_asitui1y.xlsx</x:v>
      </x:c>
    </x:row>
    <x:row r="3584">
      <x:c r="A3584" s="15" t="n">
        <x:v>41883</x:v>
      </x:c>
      <x:c r="B3584" s="13" t="str">
        <x:v>CESP - CIA ENERGETICA DE SAO</x:v>
      </x:c>
      <x:c r="C3584" s="16" t="n">
        <x:v>1504.660390926</x:v>
      </x:c>
      <x:c r="D3584" s="13" t="str">
        <x:v>Utilities &amp; Energy</x:v>
      </x:c>
      <x:c r="E3584" s="13" t="str">
        <x:v>Utilities</x:v>
      </x:c>
      <x:c r="F3584" s="13" t="str">
        <x:v>Defensives</x:v>
      </x:c>
      <x:c r="G3584" s="13" t="str">
        <x:v>grid_asitui1y.xlsx</x:v>
      </x:c>
    </x:row>
    <x:row r="3585">
      <x:c r="A3585" s="15" t="n">
        <x:v>41883</x:v>
      </x:c>
      <x:c r="B3585" s="13" t="str">
        <x:v>CIA ENERGETICA MINAS GER-PRF</x:v>
      </x:c>
      <x:c r="C3585" s="16" t="n">
        <x:v>2338.2693235726</x:v>
      </x:c>
      <x:c r="D3585" s="13" t="str">
        <x:v>Utilities &amp; Energy</x:v>
      </x:c>
      <x:c r="E3585" s="13" t="str">
        <x:v>Utilities</x:v>
      </x:c>
      <x:c r="F3585" s="13" t="str">
        <x:v>Defensives</x:v>
      </x:c>
      <x:c r="G3585" s="13" t="str">
        <x:v>grid_asitui1y.xlsx</x:v>
      </x:c>
    </x:row>
    <x:row r="3586">
      <x:c r="A3586" s="15" t="n">
        <x:v>41883</x:v>
      </x:c>
      <x:c r="B3586" s="13" t="str">
        <x:v>COMPANHIA PARANAENSE -PREF B</x:v>
      </x:c>
      <x:c r="C3586" s="16" t="n">
        <x:v>1484.6335375781</x:v>
      </x:c>
      <x:c r="D3586" s="13" t="str">
        <x:v>Utilities &amp; Energy</x:v>
      </x:c>
      <x:c r="E3586" s="13" t="str">
        <x:v>Utilities</x:v>
      </x:c>
      <x:c r="F3586" s="13" t="str">
        <x:v>Defensives</x:v>
      </x:c>
      <x:c r="G3586" s="13" t="str">
        <x:v>grid_asitui1y.xlsx</x:v>
      </x:c>
    </x:row>
    <x:row r="3587">
      <x:c r="A3587" s="15" t="n">
        <x:v>41883</x:v>
      </x:c>
      <x:c r="B3587" s="13" t="str">
        <x:v>CPFL ENERGIA SA</x:v>
      </x:c>
      <x:c r="C3587" s="16" t="n">
        <x:v>1279.2991074192</x:v>
      </x:c>
      <x:c r="D3587" s="13" t="str">
        <x:v>Utilities &amp; Energy</x:v>
      </x:c>
      <x:c r="E3587" s="13" t="str">
        <x:v>Utilities</x:v>
      </x:c>
      <x:c r="F3587" s="13" t="str">
        <x:v>Defensives</x:v>
      </x:c>
      <x:c r="G3587" s="13" t="str">
        <x:v>grid_asitui1y.xlsx</x:v>
      </x:c>
    </x:row>
    <x:row r="3588">
      <x:c r="A3588" s="15" t="n">
        <x:v>41883</x:v>
      </x:c>
      <x:c r="B3588" s="13" t="str">
        <x:v>EDP - ENERGIAS DO BRASIL SA</x:v>
      </x:c>
      <x:c r="C3588" s="16" t="n">
        <x:v>566.8935544986</x:v>
      </x:c>
      <x:c r="D3588" s="13" t="str">
        <x:v>Utilities &amp; Energy</x:v>
      </x:c>
      <x:c r="E3588" s="13" t="str">
        <x:v>Utilities</x:v>
      </x:c>
      <x:c r="F3588" s="13" t="str">
        <x:v>Defensives</x:v>
      </x:c>
      <x:c r="G3588" s="13" t="str">
        <x:v>grid_asitui1y.xlsx</x:v>
      </x:c>
    </x:row>
    <x:row r="3589">
      <x:c r="A3589" s="15" t="n">
        <x:v>41883</x:v>
      </x:c>
      <x:c r="B3589" s="13" t="str">
        <x:v>ELETROPAULO METROPOLI-PREF</x:v>
      </x:c>
      <x:c r="C3589" s="16" t="n">
        <x:v>-37.3175179836</x:v>
      </x:c>
      <x:c r="D3589" s="13" t="str">
        <x:v>Utilities &amp; Energy</x:v>
      </x:c>
      <x:c r="E3589" s="13" t="str">
        <x:v>Utilities</x:v>
      </x:c>
      <x:c r="F3589" s="13" t="str">
        <x:v>Defensives</x:v>
      </x:c>
      <x:c r="G3589" s="13" t="str">
        <x:v>grid_asitui1y.xlsx</x:v>
      </x:c>
    </x:row>
    <x:row r="3590">
      <x:c r="A3590" s="15" t="n">
        <x:v>41883</x:v>
      </x:c>
      <x:c r="B3590" s="13" t="str">
        <x:v>ENGIE BRASIL ENERGIA SA</x:v>
      </x:c>
      <x:c r="C3590" s="16" t="n">
        <x:v>1729.5588253808</x:v>
      </x:c>
      <x:c r="D3590" s="13" t="str">
        <x:v>Utilities &amp; Energy</x:v>
      </x:c>
      <x:c r="E3590" s="13" t="str">
        <x:v>Utilities</x:v>
      </x:c>
      <x:c r="F3590" s="13" t="str">
        <x:v>Defensives</x:v>
      </x:c>
      <x:c r="G3590" s="13" t="str">
        <x:v>grid_asitui1y.xlsx</x:v>
      </x:c>
    </x:row>
    <x:row r="3591">
      <x:c r="A3591" s="15" t="n">
        <x:v>41883</x:v>
      </x:c>
      <x:c r="B3591" s="13" t="str">
        <x:v>LIGHT SA</x:v>
      </x:c>
      <x:c r="C3591" s="16" t="n">
        <x:v>544.1338999233</x:v>
      </x:c>
      <x:c r="D3591" s="13" t="str">
        <x:v>Utilities &amp; Energy</x:v>
      </x:c>
      <x:c r="E3591" s="13" t="str">
        <x:v>Utilities</x:v>
      </x:c>
      <x:c r="F3591" s="13" t="str">
        <x:v>Defensives</x:v>
      </x:c>
      <x:c r="G3591" s="13" t="str">
        <x:v>grid_asitui1y.xlsx</x:v>
      </x:c>
    </x:row>
    <x:row r="3592">
      <x:c r="A3592" s="15" t="n">
        <x:v>41913</x:v>
      </x:c>
      <x:c r="B3592" s="13" t="str">
        <x:v>BANCO BRADESCO S.A.</x:v>
      </x:c>
      <x:c r="C3592" s="16" t="n">
        <x:v>16512.9815979836</x:v>
      </x:c>
      <x:c r="D3592" s="13" t="str">
        <x:v>Banks</x:v>
      </x:c>
      <x:c r="E3592" s="13" t="str">
        <x:v>Banks</x:v>
      </x:c>
      <x:c r="F3592" s="13" t="str">
        <x:v>Financials</x:v>
      </x:c>
      <x:c r="G3592" s="13" t="str">
        <x:v>grid_asitui1y.xlsx</x:v>
      </x:c>
    </x:row>
    <x:row r="3593">
      <x:c r="A3593" s="15" t="n">
        <x:v>41913</x:v>
      </x:c>
      <x:c r="B3593" s="13" t="str">
        <x:v>BANCO BRADESCO SA-PREF</x:v>
      </x:c>
      <x:c r="C3593" s="16" t="n">
        <x:v>16512.9815979836</x:v>
      </x:c>
      <x:c r="D3593" s="13" t="str">
        <x:v>Banks</x:v>
      </x:c>
      <x:c r="E3593" s="13" t="str">
        <x:v>Banks</x:v>
      </x:c>
      <x:c r="F3593" s="13" t="str">
        <x:v>Financials</x:v>
      </x:c>
      <x:c r="G3593" s="13" t="str">
        <x:v>grid_asitui1y.xlsx</x:v>
      </x:c>
    </x:row>
    <x:row r="3594">
      <x:c r="A3594" s="15" t="n">
        <x:v>41913</x:v>
      </x:c>
      <x:c r="B3594" s="13" t="str">
        <x:v>BANCO DO BRASIL S.A.</x:v>
      </x:c>
      <x:c r="C3594" s="16" t="n">
        <x:v>11908.5983968438</x:v>
      </x:c>
      <x:c r="D3594" s="13" t="str">
        <x:v>Banks</x:v>
      </x:c>
      <x:c r="E3594" s="13" t="str">
        <x:v>Banks</x:v>
      </x:c>
      <x:c r="F3594" s="13" t="str">
        <x:v>Financials</x:v>
      </x:c>
      <x:c r="G3594" s="13" t="str">
        <x:v>grid_asitui1y.xlsx</x:v>
      </x:c>
    </x:row>
    <x:row r="3595">
      <x:c r="A3595" s="15" t="n">
        <x:v>41913</x:v>
      </x:c>
      <x:c r="B3595" s="13" t="str">
        <x:v>BANCO SANTANDER  BRASIL-UNIT</x:v>
      </x:c>
      <x:c r="C3595" s="16" t="n">
        <x:v>6207.1357650411</x:v>
      </x:c>
      <x:c r="D3595" s="13" t="str">
        <x:v>Banks</x:v>
      </x:c>
      <x:c r="E3595" s="13" t="str">
        <x:v>Banks</x:v>
      </x:c>
      <x:c r="F3595" s="13" t="str">
        <x:v>Financials</x:v>
      </x:c>
      <x:c r="G3595" s="13" t="str">
        <x:v>grid_asitui1y.xlsx</x:v>
      </x:c>
    </x:row>
    <x:row r="3596">
      <x:c r="A3596" s="15" t="n">
        <x:v>41913</x:v>
      </x:c>
      <x:c r="B3596" s="13" t="str">
        <x:v>ITAU UNIBANCO HOLDING S-PREF</x:v>
      </x:c>
      <x:c r="C3596" s="16" t="n">
        <x:v>21102.484954126</x:v>
      </x:c>
      <x:c r="D3596" s="13" t="str">
        <x:v>Banks</x:v>
      </x:c>
      <x:c r="E3596" s="13" t="str">
        <x:v>Banks</x:v>
      </x:c>
      <x:c r="F3596" s="13" t="str">
        <x:v>Financials</x:v>
      </x:c>
      <x:c r="G3596" s="13" t="str">
        <x:v>grid_asitui1y.xlsx</x:v>
      </x:c>
    </x:row>
    <x:row r="3597">
      <x:c r="A3597" s="15" t="n">
        <x:v>41913</x:v>
      </x:c>
      <x:c r="B3597" s="13" t="str">
        <x:v>EMBRAER SA</x:v>
      </x:c>
      <x:c r="C3597" s="16" t="n">
        <x:v>1216.697791474</x:v>
      </x:c>
      <x:c r="D3597" s="13" t="str">
        <x:v>Capital Goods</x:v>
      </x:c>
      <x:c r="E3597" s="13" t="str">
        <x:v>Capital Goods</x:v>
      </x:c>
      <x:c r="F3597" s="13" t="str">
        <x:v>Deep Cyclicals</x:v>
      </x:c>
      <x:c r="G3597" s="13" t="str">
        <x:v>grid_asitui1y.xlsx</x:v>
      </x:c>
    </x:row>
    <x:row r="3598">
      <x:c r="A3598" s="15" t="n">
        <x:v>41913</x:v>
      </x:c>
      <x:c r="B3598" s="13" t="str">
        <x:v>MARCOPOLO SA-PREF</x:v>
      </x:c>
      <x:c r="C3598" s="16" t="n">
        <x:v>273.241164537</x:v>
      </x:c>
      <x:c r="D3598" s="13" t="str">
        <x:v>Capital Goods</x:v>
      </x:c>
      <x:c r="E3598" s="13" t="str">
        <x:v>Capital Goods</x:v>
      </x:c>
      <x:c r="F3598" s="13" t="str">
        <x:v>Deep Cyclicals</x:v>
      </x:c>
      <x:c r="G3598" s="13" t="str">
        <x:v>grid_asitui1y.xlsx</x:v>
      </x:c>
    </x:row>
    <x:row r="3599">
      <x:c r="A3599" s="15" t="n">
        <x:v>41913</x:v>
      </x:c>
      <x:c r="B3599" s="13" t="str">
        <x:v>COGNA EDUCACAO</x:v>
      </x:c>
      <x:c r="C3599" s="16" t="n">
        <x:v>1483.9330304</x:v>
      </x:c>
      <x:c r="D3599" s="13" t="str">
        <x:v>Education</x:v>
      </x:c>
      <x:c r="E3599" s="13" t="str">
        <x:v>Education</x:v>
      </x:c>
      <x:c r="F3599" s="13" t="str">
        <x:v>Early Cyclicals</x:v>
      </x:c>
      <x:c r="G3599" s="13" t="str">
        <x:v>grid_asitui1y.xlsx</x:v>
      </x:c>
    </x:row>
    <x:row r="3600">
      <x:c r="A3600" s="15" t="n">
        <x:v>41913</x:v>
      </x:c>
      <x:c r="B3600" s="13" t="str">
        <x:v>YDUQS PARTICIPACOES SA</x:v>
      </x:c>
      <x:c r="C3600" s="16" t="n">
        <x:v>574.7148412493</x:v>
      </x:c>
      <x:c r="D3600" s="13" t="str">
        <x:v>Education</x:v>
      </x:c>
      <x:c r="E3600" s="13" t="str">
        <x:v>Education</x:v>
      </x:c>
      <x:c r="F3600" s="13" t="str">
        <x:v>Early Cyclicals</x:v>
      </x:c>
      <x:c r="G3600" s="13" t="str">
        <x:v>grid_asitui1y.xlsx</x:v>
      </x:c>
    </x:row>
    <x:row r="3601">
      <x:c r="A3601" s="15" t="n">
        <x:v>41913</x:v>
      </x:c>
      <x:c r="B3601" s="13" t="str">
        <x:v>B3 SA-BRASIL BOLSA BALCAO</x:v>
      </x:c>
      <x:c r="C3601" s="16" t="n">
        <x:v>1608.7245532931</x:v>
      </x:c>
      <x:c r="D3601" s="13" t="str">
        <x:v>Financials Non-Banks</x:v>
      </x:c>
      <x:c r="E3601" s="13" t="str">
        <x:v>Financials Non-Banks</x:v>
      </x:c>
      <x:c r="F3601" s="13" t="str">
        <x:v>Financials</x:v>
      </x:c>
      <x:c r="G3601" s="13" t="str">
        <x:v>grid_asitui1y.xlsx</x:v>
      </x:c>
    </x:row>
    <x:row r="3602">
      <x:c r="A3602" s="15" t="n">
        <x:v>41913</x:v>
      </x:c>
      <x:c r="B3602" s="13" t="str">
        <x:v>BB SEGURIDADE PARTICIPACOES</x:v>
      </x:c>
      <x:c r="C3602" s="16" t="n">
        <x:v>3736.3810072548</x:v>
      </x:c>
      <x:c r="D3602" s="13" t="str">
        <x:v>Financials Non-Banks</x:v>
      </x:c>
      <x:c r="E3602" s="13" t="str">
        <x:v>Financials Non-Banks</x:v>
      </x:c>
      <x:c r="F3602" s="13" t="str">
        <x:v>Financials</x:v>
      </x:c>
      <x:c r="G3602" s="13" t="str">
        <x:v>grid_asitui1y.xlsx</x:v>
      </x:c>
    </x:row>
    <x:row r="3603">
      <x:c r="A3603" s="15" t="n">
        <x:v>41913</x:v>
      </x:c>
      <x:c r="B3603" s="13" t="str">
        <x:v>CETIP SA-MERCADOS ORGANIZADO</x:v>
      </x:c>
      <x:c r="C3603" s="16" t="n">
        <x:v>517.5966275507</x:v>
      </x:c>
      <x:c r="D3603" s="13" t="str">
        <x:v>Financials Non-Banks</x:v>
      </x:c>
      <x:c r="E3603" s="13" t="str">
        <x:v>Financials Non-Banks</x:v>
      </x:c>
      <x:c r="F3603" s="13" t="str">
        <x:v>Financials</x:v>
      </x:c>
      <x:c r="G3603" s="13" t="str">
        <x:v>grid_asitui1y.xlsx</x:v>
      </x:c>
    </x:row>
    <x:row r="3604">
      <x:c r="A3604" s="15" t="n">
        <x:v>41913</x:v>
      </x:c>
      <x:c r="B3604" s="13" t="str">
        <x:v>CIELO SA - INSTITUICAO DE PA</x:v>
      </x:c>
      <x:c r="C3604" s="16" t="n">
        <x:v>3727.4035003616</x:v>
      </x:c>
      <x:c r="D3604" s="13" t="str">
        <x:v>Financials Non-Banks</x:v>
      </x:c>
      <x:c r="E3604" s="13" t="str">
        <x:v>Financials Non-Banks</x:v>
      </x:c>
      <x:c r="F3604" s="13" t="str">
        <x:v>Financials</x:v>
      </x:c>
      <x:c r="G3604" s="13" t="str">
        <x:v>grid_asitui1y.xlsx</x:v>
      </x:c>
    </x:row>
    <x:row r="3605">
      <x:c r="A3605" s="15" t="n">
        <x:v>41913</x:v>
      </x:c>
      <x:c r="B3605" s="13" t="str">
        <x:v>ITAUSA SA</x:v>
      </x:c>
      <x:c r="C3605" s="16" t="n">
        <x:v>8368.3587548932</x:v>
      </x:c>
      <x:c r="D3605" s="13" t="str">
        <x:v>Financials Non-Banks</x:v>
      </x:c>
      <x:c r="E3605" s="13" t="str">
        <x:v>Financials Non-Banks</x:v>
      </x:c>
      <x:c r="F3605" s="13" t="str">
        <x:v>Financials</x:v>
      </x:c>
      <x:c r="G3605" s="13" t="str">
        <x:v>grid_asitui1y.xlsx</x:v>
      </x:c>
    </x:row>
    <x:row r="3606">
      <x:c r="A3606" s="15" t="n">
        <x:v>41913</x:v>
      </x:c>
      <x:c r="B3606" s="13" t="str">
        <x:v>AMBEV SA</x:v>
      </x:c>
      <x:c r="C3606" s="16" t="n">
        <x:v>13416.6520902137</x:v>
      </x:c>
      <x:c r="D3606" s="13" t="str">
        <x:v>Food &amp; Beverages</x:v>
      </x:c>
      <x:c r="E3606" s="13" t="str">
        <x:v>Agri, Food &amp; Beverages</x:v>
      </x:c>
      <x:c r="F3606" s="13" t="str">
        <x:v>Defensives</x:v>
      </x:c>
      <x:c r="G3606" s="13" t="str">
        <x:v>grid_asitui1y.xlsx</x:v>
      </x:c>
    </x:row>
    <x:row r="3607">
      <x:c r="A3607" s="15" t="n">
        <x:v>41913</x:v>
      </x:c>
      <x:c r="B3607" s="13" t="str">
        <x:v>BRF SA</x:v>
      </x:c>
      <x:c r="C3607" s="16" t="n">
        <x:v>2483.7261978301</x:v>
      </x:c>
      <x:c r="D3607" s="13" t="str">
        <x:v>Food &amp; Beverages</x:v>
      </x:c>
      <x:c r="E3607" s="13" t="str">
        <x:v>Agri, Food &amp; Beverages</x:v>
      </x:c>
      <x:c r="F3607" s="13" t="str">
        <x:v>Defensives</x:v>
      </x:c>
      <x:c r="G3607" s="13" t="str">
        <x:v>grid_asitui1y.xlsx</x:v>
      </x:c>
    </x:row>
    <x:row r="3608">
      <x:c r="A3608" s="15" t="n">
        <x:v>41913</x:v>
      </x:c>
      <x:c r="B3608" s="13" t="str">
        <x:v>MBRF GLOBAL FOODS COMPANY SA</x:v>
      </x:c>
      <x:c r="C3608" s="16" t="n">
        <x:v>107.3382205479</x:v>
      </x:c>
      <x:c r="D3608" s="13" t="str">
        <x:v>Food &amp; Beverages</x:v>
      </x:c>
      <x:c r="E3608" s="13" t="str">
        <x:v>Agri, Food &amp; Beverages</x:v>
      </x:c>
      <x:c r="F3608" s="13" t="str">
        <x:v>Defensives</x:v>
      </x:c>
      <x:c r="G3608" s="13" t="str">
        <x:v>grid_asitui1y.xlsx</x:v>
      </x:c>
    </x:row>
    <x:row r="3609">
      <x:c r="A3609" s="15" t="n">
        <x:v>41913</x:v>
      </x:c>
      <x:c r="B3609" s="13" t="str">
        <x:v>SOUZA CRUZ LTDA</x:v>
      </x:c>
      <x:c r="C3609" s="16" t="n">
        <x:v>1791.4101468932</x:v>
      </x:c>
      <x:c r="D3609" s="13" t="str">
        <x:v>Food &amp; Beverages</x:v>
      </x:c>
      <x:c r="E3609" s="13" t="str">
        <x:v>Agri, Food &amp; Beverages</x:v>
      </x:c>
      <x:c r="F3609" s="13" t="str">
        <x:v>Defensives</x:v>
      </x:c>
      <x:c r="G3609" s="13" t="str">
        <x:v>grid_asitui1y.xlsx</x:v>
      </x:c>
    </x:row>
    <x:row r="3610">
      <x:c r="A3610" s="15" t="n">
        <x:v>41913</x:v>
      </x:c>
      <x:c r="B3610" s="13" t="str">
        <x:v>HYPERA SA</x:v>
      </x:c>
      <x:c r="C3610" s="16" t="n">
        <x:v>543.7350450849</x:v>
      </x:c>
      <x:c r="D3610" s="13" t="str">
        <x:v>Health Care</x:v>
      </x:c>
      <x:c r="E3610" s="13" t="str">
        <x:v>Health Care</x:v>
      </x:c>
      <x:c r="F3610" s="13" t="str">
        <x:v>Defensives</x:v>
      </x:c>
      <x:c r="G3610" s="13" t="str">
        <x:v>grid_asitui1y.xlsx</x:v>
      </x:c>
    </x:row>
    <x:row r="3611">
      <x:c r="A3611" s="15" t="n">
        <x:v>41913</x:v>
      </x:c>
      <x:c r="B3611" s="13" t="str">
        <x:v>QUALICORP CONS E CORR SEG SA</x:v>
      </x:c>
      <x:c r="C3611" s="16" t="n">
        <x:v>326.1236288</x:v>
      </x:c>
      <x:c r="D3611" s="13" t="str">
        <x:v>Health Care</x:v>
      </x:c>
      <x:c r="E3611" s="13" t="str">
        <x:v>Health Care</x:v>
      </x:c>
      <x:c r="F3611" s="13" t="str">
        <x:v>Defensives</x:v>
      </x:c>
      <x:c r="G3611" s="13" t="str">
        <x:v>grid_asitui1y.xlsx</x:v>
      </x:c>
    </x:row>
    <x:row r="3612">
      <x:c r="A3612" s="15" t="n">
        <x:v>41913</x:v>
      </x:c>
      <x:c r="B3612" s="13" t="str">
        <x:v>CYRELA BRAZIL REALTY SA EMP</x:v>
      </x:c>
      <x:c r="C3612" s="16" t="n">
        <x:v>777.8421312877</x:v>
      </x:c>
      <x:c r="D3612" s="13" t="str">
        <x:v>Homebuilders</x:v>
      </x:c>
      <x:c r="E3612" s="13" t="str">
        <x:v>Real Estate</x:v>
      </x:c>
      <x:c r="F3612" s="13" t="str">
        <x:v>Early Cyclicals</x:v>
      </x:c>
      <x:c r="G3612" s="13" t="str">
        <x:v>grid_asitui1y.xlsx</x:v>
      </x:c>
    </x:row>
    <x:row r="3613">
      <x:c r="A3613" s="15" t="n">
        <x:v>41913</x:v>
      </x:c>
      <x:c r="B3613" s="13" t="str">
        <x:v>EVEN CONSTRUTORA E INCORPORA</x:v>
      </x:c>
      <x:c r="C3613" s="16" t="n">
        <x:v>294.2071203945</x:v>
      </x:c>
      <x:c r="D3613" s="13" t="str">
        <x:v>Homebuilders</x:v>
      </x:c>
      <x:c r="E3613" s="13" t="str">
        <x:v>Real Estate</x:v>
      </x:c>
      <x:c r="F3613" s="13" t="str">
        <x:v>Early Cyclicals</x:v>
      </x:c>
      <x:c r="G3613" s="13" t="str">
        <x:v>grid_asitui1y.xlsx</x:v>
      </x:c>
    </x:row>
    <x:row r="3614">
      <x:c r="A3614" s="15" t="n">
        <x:v>41913</x:v>
      </x:c>
      <x:c r="B3614" s="13" t="str">
        <x:v>GAFISA SA</x:v>
      </x:c>
      <x:c r="C3614" s="16" t="n">
        <x:v>86.5754837918</x:v>
      </x:c>
      <x:c r="D3614" s="13" t="str">
        <x:v>Homebuilders</x:v>
      </x:c>
      <x:c r="E3614" s="13" t="str">
        <x:v>Real Estate</x:v>
      </x:c>
      <x:c r="F3614" s="13" t="str">
        <x:v>Early Cyclicals</x:v>
      </x:c>
      <x:c r="G3614" s="13" t="str">
        <x:v>grid_asitui1y.xlsx</x:v>
      </x:c>
    </x:row>
    <x:row r="3615">
      <x:c r="A3615" s="15" t="n">
        <x:v>41913</x:v>
      </x:c>
      <x:c r="B3615" s="13" t="str">
        <x:v>MRV ENGENHARIA</x:v>
      </x:c>
      <x:c r="C3615" s="16" t="n">
        <x:v>518.7918961096</x:v>
      </x:c>
      <x:c r="D3615" s="13" t="str">
        <x:v>Homebuilders</x:v>
      </x:c>
      <x:c r="E3615" s="13" t="str">
        <x:v>Real Estate</x:v>
      </x:c>
      <x:c r="F3615" s="13" t="str">
        <x:v>Early Cyclicals</x:v>
      </x:c>
      <x:c r="G3615" s="13" t="str">
        <x:v>grid_asitui1y.xlsx</x:v>
      </x:c>
    </x:row>
    <x:row r="3616">
      <x:c r="A3616" s="15" t="n">
        <x:v>41913</x:v>
      </x:c>
      <x:c r="B3616" s="13" t="str">
        <x:v>PDG REALTY SA</x:v>
      </x:c>
      <x:c r="C3616" s="16" t="n">
        <x:v>-110.3488014027</x:v>
      </x:c>
      <x:c r="D3616" s="13" t="str">
        <x:v>Homebuilders</x:v>
      </x:c>
      <x:c r="E3616" s="13" t="str">
        <x:v>Real Estate</x:v>
      </x:c>
      <x:c r="F3616" s="13" t="str">
        <x:v>Early Cyclicals</x:v>
      </x:c>
      <x:c r="G3616" s="13" t="str">
        <x:v>grid_asitui1y.xlsx</x:v>
      </x:c>
    </x:row>
    <x:row r="3617">
      <x:c r="A3617" s="15" t="n">
        <x:v>41913</x:v>
      </x:c>
      <x:c r="B3617" s="13" t="str">
        <x:v>ROSSI RESIDENCIAL SA</x:v>
      </x:c>
      <x:c r="C3617" s="16" t="n">
        <x:v>-23.2158391781</x:v>
      </x:c>
      <x:c r="D3617" s="13" t="str">
        <x:v>Homebuilders</x:v>
      </x:c>
      <x:c r="E3617" s="13" t="str">
        <x:v>Real Estate</x:v>
      </x:c>
      <x:c r="F3617" s="13" t="str">
        <x:v>Early Cyclicals</x:v>
      </x:c>
      <x:c r="G3617" s="13" t="str">
        <x:v>grid_asitui1y.xlsx</x:v>
      </x:c>
    </x:row>
    <x:row r="3618">
      <x:c r="A3618" s="15" t="n">
        <x:v>41913</x:v>
      </x:c>
      <x:c r="B3618" s="13" t="str">
        <x:v>BR MALLS PARTICIPACOES SA</x:v>
      </x:c>
      <x:c r="C3618" s="16" t="n">
        <x:v>526.2049424658</x:v>
      </x:c>
      <x:c r="D3618" s="13" t="str">
        <x:v>Income Properties</x:v>
      </x:c>
      <x:c r="E3618" s="13" t="str">
        <x:v>Real Estate</x:v>
      </x:c>
      <x:c r="F3618" s="13" t="str">
        <x:v>Early Cyclicals</x:v>
      </x:c>
      <x:c r="G3618" s="13" t="str">
        <x:v>grid_asitui1y.xlsx</x:v>
      </x:c>
    </x:row>
    <x:row r="3619">
      <x:c r="A3619" s="15" t="n">
        <x:v>41913</x:v>
      </x:c>
      <x:c r="B3619" s="13" t="str">
        <x:v>SOLID ATIVOS IMOBILIARIOS SA</x:v>
      </x:c>
      <x:c r="C3619" s="16" t="n">
        <x:v>225.9496152548</x:v>
      </x:c>
      <x:c r="D3619" s="13" t="str">
        <x:v>Income Properties</x:v>
      </x:c>
      <x:c r="E3619" s="13" t="str">
        <x:v>Real Estate</x:v>
      </x:c>
      <x:c r="F3619" s="13" t="str">
        <x:v>Early Cyclicals</x:v>
      </x:c>
      <x:c r="G3619" s="13" t="str">
        <x:v>grid_asitui1y.xlsx</x:v>
      </x:c>
    </x:row>
    <x:row r="3620">
      <x:c r="A3620" s="15" t="n">
        <x:v>41913</x:v>
      </x:c>
      <x:c r="B3620" s="13" t="str">
        <x:v>BRADESPAR SA -PREF</x:v>
      </x:c>
      <x:c r="C3620" s="16" t="n">
        <x:v>761.7178082192</x:v>
      </x:c>
      <x:c r="D3620" s="13" t="str">
        <x:v>Metals &amp; Mining</x:v>
      </x:c>
      <x:c r="E3620" s="13" t="str">
        <x:v>Metals &amp; Mining</x:v>
      </x:c>
      <x:c r="F3620" s="13" t="str">
        <x:v>Deep Cyclicals</x:v>
      </x:c>
      <x:c r="G3620" s="13" t="str">
        <x:v>grid_asitui1y.xlsx</x:v>
      </x:c>
    </x:row>
    <x:row r="3621">
      <x:c r="A3621" s="15" t="n">
        <x:v>41913</x:v>
      </x:c>
      <x:c r="B3621" s="13" t="str">
        <x:v>CIA SIDERURGICA NACIONAL SA</x:v>
      </x:c>
      <x:c r="C3621" s="16" t="n">
        <x:v>705.3415823781</x:v>
      </x:c>
      <x:c r="D3621" s="13" t="str">
        <x:v>Metals &amp; Mining</x:v>
      </x:c>
      <x:c r="E3621" s="13" t="str">
        <x:v>Metals &amp; Mining</x:v>
      </x:c>
      <x:c r="F3621" s="13" t="str">
        <x:v>Deep Cyclicals</x:v>
      </x:c>
      <x:c r="G3621" s="13" t="str">
        <x:v>grid_asitui1y.xlsx</x:v>
      </x:c>
    </x:row>
    <x:row r="3622">
      <x:c r="A3622" s="15" t="n">
        <x:v>41913</x:v>
      </x:c>
      <x:c r="B3622" s="13" t="str">
        <x:v>GERDAU SA-PREF</x:v>
      </x:c>
      <x:c r="C3622" s="16" t="n">
        <x:v>1446.0853812603</x:v>
      </x:c>
      <x:c r="D3622" s="13" t="str">
        <x:v>Metals &amp; Mining</x:v>
      </x:c>
      <x:c r="E3622" s="13" t="str">
        <x:v>Metals &amp; Mining</x:v>
      </x:c>
      <x:c r="F3622" s="13" t="str">
        <x:v>Deep Cyclicals</x:v>
      </x:c>
      <x:c r="G3622" s="13" t="str">
        <x:v>grid_asitui1y.xlsx</x:v>
      </x:c>
    </x:row>
    <x:row r="3623">
      <x:c r="A3623" s="15" t="n">
        <x:v>41913</x:v>
      </x:c>
      <x:c r="B3623" s="13" t="str">
        <x:v>METALURGICA GERDAU SA-PREF</x:v>
      </x:c>
      <x:c r="C3623" s="16" t="n">
        <x:v>674.7451788274</x:v>
      </x:c>
      <x:c r="D3623" s="13" t="str">
        <x:v>Metals &amp; Mining</x:v>
      </x:c>
      <x:c r="E3623" s="13" t="str">
        <x:v>Metals &amp; Mining</x:v>
      </x:c>
      <x:c r="F3623" s="13" t="str">
        <x:v>Deep Cyclicals</x:v>
      </x:c>
      <x:c r="G3623" s="13" t="str">
        <x:v>grid_asitui1y.xlsx</x:v>
      </x:c>
    </x:row>
    <x:row r="3624">
      <x:c r="A3624" s="15" t="n">
        <x:v>41913</x:v>
      </x:c>
      <x:c r="B3624" s="13" t="str">
        <x:v>USINAS SIDER MINAS GER-PF A</x:v>
      </x:c>
      <x:c r="C3624" s="16" t="n">
        <x:v>303.3484464219</x:v>
      </x:c>
      <x:c r="D3624" s="13" t="str">
        <x:v>Metals &amp; Mining</x:v>
      </x:c>
      <x:c r="E3624" s="13" t="str">
        <x:v>Metals &amp; Mining</x:v>
      </x:c>
      <x:c r="F3624" s="13" t="str">
        <x:v>Deep Cyclicals</x:v>
      </x:c>
      <x:c r="G3624" s="13" t="str">
        <x:v>grid_asitui1y.xlsx</x:v>
      </x:c>
    </x:row>
    <x:row r="3625">
      <x:c r="A3625" s="15" t="n">
        <x:v>41913</x:v>
      </x:c>
      <x:c r="B3625" s="13" t="str">
        <x:v>VALE SA</x:v>
      </x:c>
      <x:c r="C3625" s="16" t="n">
        <x:v>15357.9716327452</x:v>
      </x:c>
      <x:c r="D3625" s="13" t="str">
        <x:v>Metals &amp; Mining</x:v>
      </x:c>
      <x:c r="E3625" s="13" t="str">
        <x:v>Metals &amp; Mining</x:v>
      </x:c>
      <x:c r="F3625" s="13" t="str">
        <x:v>Deep Cyclicals</x:v>
      </x:c>
      <x:c r="G3625" s="13" t="str">
        <x:v>grid_asitui1y.xlsx</x:v>
      </x:c>
    </x:row>
    <x:row r="3626">
      <x:c r="A3626" s="15" t="n">
        <x:v>41913</x:v>
      </x:c>
      <x:c r="B3626" s="13" t="str">
        <x:v>BRASKEM SA-PREF A</x:v>
      </x:c>
      <x:c r="C3626" s="16" t="n">
        <x:v>1164.5648313863</x:v>
      </x:c>
      <x:c r="D3626" s="13" t="str">
        <x:v>Oil, Gas &amp; Petrochemicals</x:v>
      </x:c>
      <x:c r="E3626" s="13" t="str">
        <x:v>Oil, Gas &amp; Petrochemicals</x:v>
      </x:c>
      <x:c r="F3626" s="13" t="str">
        <x:v>Deep Cyclicals</x:v>
      </x:c>
      <x:c r="G3626" s="13" t="str">
        <x:v>grid_asitui1y.xlsx</x:v>
      </x:c>
    </x:row>
    <x:row r="3627">
      <x:c r="A3627" s="15" t="n">
        <x:v>41913</x:v>
      </x:c>
      <x:c r="B3627" s="13" t="str">
        <x:v>COSAN SA</x:v>
      </x:c>
      <x:c r="C3627" s="16" t="n">
        <x:v>978.9803891726</x:v>
      </x:c>
      <x:c r="D3627" s="13" t="str">
        <x:v>Oil, Gas &amp; Petrochemicals</x:v>
      </x:c>
      <x:c r="E3627" s="13" t="str">
        <x:v>Oil, Gas &amp; Petrochemicals</x:v>
      </x:c>
      <x:c r="F3627" s="13" t="str">
        <x:v>Deep Cyclicals</x:v>
      </x:c>
      <x:c r="G3627" s="13" t="str">
        <x:v>grid_asitui1y.xlsx</x:v>
      </x:c>
    </x:row>
    <x:row r="3628">
      <x:c r="A3628" s="15" t="n">
        <x:v>41913</x:v>
      </x:c>
      <x:c r="B3628" s="13" t="str">
        <x:v>PETROBRAS - PETROLEO BRAS</x:v>
      </x:c>
      <x:c r="C3628" s="16" t="n">
        <x:v>28417.5929961205</x:v>
      </x:c>
      <x:c r="D3628" s="13" t="str">
        <x:v>Oil, Gas &amp; Petrochemicals</x:v>
      </x:c>
      <x:c r="E3628" s="13" t="str">
        <x:v>Oil, Gas &amp; Petrochemicals</x:v>
      </x:c>
      <x:c r="F3628" s="13" t="str">
        <x:v>Deep Cyclicals</x:v>
      </x:c>
      <x:c r="G3628" s="13" t="str">
        <x:v>grid_asitui1y.xlsx</x:v>
      </x:c>
    </x:row>
    <x:row r="3629">
      <x:c r="A3629" s="15" t="n">
        <x:v>41913</x:v>
      </x:c>
      <x:c r="B3629" s="13" t="str">
        <x:v>ULTRAPAR PARTICIPACOES SA</x:v>
      </x:c>
      <x:c r="C3629" s="16" t="n">
        <x:v>1404.6686095781</x:v>
      </x:c>
      <x:c r="D3629" s="13" t="str">
        <x:v>Oil, Gas &amp; Petrochemicals</x:v>
      </x:c>
      <x:c r="E3629" s="13" t="str">
        <x:v>Oil, Gas &amp; Petrochemicals</x:v>
      </x:c>
      <x:c r="F3629" s="13" t="str">
        <x:v>Deep Cyclicals</x:v>
      </x:c>
      <x:c r="G3629" s="13" t="str">
        <x:v>grid_asitui1y.xlsx</x:v>
      </x:c>
    </x:row>
    <x:row r="3630">
      <x:c r="A3630" s="15" t="n">
        <x:v>41913</x:v>
      </x:c>
      <x:c r="B3630" s="13" t="str">
        <x:v>DEXCO SA</x:v>
      </x:c>
      <x:c r="C3630" s="16" t="n">
        <x:v>494.3091273644</x:v>
      </x:c>
      <x:c r="D3630" s="13" t="str">
        <x:v>Pulp &amp; Paper</x:v>
      </x:c>
      <x:c r="E3630" s="13" t="str">
        <x:v>Pulp &amp; Paper</x:v>
      </x:c>
      <x:c r="F3630" s="13" t="str">
        <x:v>Deep Cyclicals</x:v>
      </x:c>
      <x:c r="G3630" s="13" t="str">
        <x:v>grid_asitui1y.xlsx</x:v>
      </x:c>
    </x:row>
    <x:row r="3631">
      <x:c r="A3631" s="15" t="n">
        <x:v>41913</x:v>
      </x:c>
      <x:c r="B3631" s="13" t="str">
        <x:v>FIBRIA CELULOSE S/A</x:v>
      </x:c>
      <x:c r="C3631" s="16" t="n">
        <x:v>304.3963587507</x:v>
      </x:c>
      <x:c r="D3631" s="13" t="str">
        <x:v>Pulp &amp; Paper</x:v>
      </x:c>
      <x:c r="E3631" s="13" t="str">
        <x:v>Pulp &amp; Paper</x:v>
      </x:c>
      <x:c r="F3631" s="13" t="str">
        <x:v>Deep Cyclicals</x:v>
      </x:c>
      <x:c r="G3631" s="13" t="str">
        <x:v>grid_asitui1y.xlsx</x:v>
      </x:c>
    </x:row>
    <x:row r="3632">
      <x:c r="A3632" s="15" t="n">
        <x:v>41913</x:v>
      </x:c>
      <x:c r="B3632" s="13" t="str">
        <x:v>KLABIN SA - UNIT</x:v>
      </x:c>
      <x:c r="C3632" s="16" t="n">
        <x:v>596.5946462685</x:v>
      </x:c>
      <x:c r="D3632" s="13" t="str">
        <x:v>Pulp &amp; Paper</x:v>
      </x:c>
      <x:c r="E3632" s="13" t="str">
        <x:v>Pulp &amp; Paper</x:v>
      </x:c>
      <x:c r="F3632" s="13" t="str">
        <x:v>Deep Cyclicals</x:v>
      </x:c>
      <x:c r="G3632" s="13" t="str">
        <x:v>grid_asitui1y.xlsx</x:v>
      </x:c>
    </x:row>
    <x:row r="3633">
      <x:c r="A3633" s="15" t="n">
        <x:v>41913</x:v>
      </x:c>
      <x:c r="B3633" s="13" t="str">
        <x:v>SUZANO PAPEL E CELULO-PREF A</x:v>
      </x:c>
      <x:c r="C3633" s="16" t="n">
        <x:v>609.6863633534</x:v>
      </x:c>
      <x:c r="D3633" s="13" t="str">
        <x:v>Pulp &amp; Paper</x:v>
      </x:c>
      <x:c r="E3633" s="13" t="str">
        <x:v>Pulp &amp; Paper</x:v>
      </x:c>
      <x:c r="F3633" s="13" t="str">
        <x:v>Deep Cyclicals</x:v>
      </x:c>
      <x:c r="G3633" s="13" t="str">
        <x:v>grid_asitui1y.xlsx</x:v>
      </x:c>
    </x:row>
    <x:row r="3634">
      <x:c r="A3634" s="15" t="n">
        <x:v>41913</x:v>
      </x:c>
      <x:c r="B3634" s="13" t="str">
        <x:v>CIA BRASILEIRA DE DIS-PREF</x:v>
      </x:c>
      <x:c r="C3634" s="16" t="n">
        <x:v>1705.746809337</x:v>
      </x:c>
      <x:c r="D3634" s="13" t="str">
        <x:v>Retail</x:v>
      </x:c>
      <x:c r="E3634" s="13" t="str">
        <x:v>Retail</x:v>
      </x:c>
      <x:c r="F3634" s="13" t="str">
        <x:v>Early Cyclicals</x:v>
      </x:c>
      <x:c r="G3634" s="13" t="str">
        <x:v>grid_asitui1y.xlsx</x:v>
      </x:c>
    </x:row>
    <x:row r="3635">
      <x:c r="A3635" s="15" t="n">
        <x:v>41913</x:v>
      </x:c>
      <x:c r="B3635" s="13" t="str">
        <x:v>CIA HERING</x:v>
      </x:c>
      <x:c r="C3635" s="16" t="n">
        <x:v>353.6601586849</x:v>
      </x:c>
      <x:c r="D3635" s="13" t="str">
        <x:v>Retail</x:v>
      </x:c>
      <x:c r="E3635" s="13" t="str">
        <x:v>Retail</x:v>
      </x:c>
      <x:c r="F3635" s="13" t="str">
        <x:v>Early Cyclicals</x:v>
      </x:c>
      <x:c r="G3635" s="13" t="str">
        <x:v>grid_asitui1y.xlsx</x:v>
      </x:c>
    </x:row>
    <x:row r="3636">
      <x:c r="A3636" s="15" t="n">
        <x:v>41913</x:v>
      </x:c>
      <x:c r="B3636" s="13" t="str">
        <x:v>LOJAS AMERICANAS SA-PREF</x:v>
      </x:c>
      <x:c r="C3636" s="16" t="n">
        <x:v>626.384391189</x:v>
      </x:c>
      <x:c r="D3636" s="13" t="str">
        <x:v>Retail</x:v>
      </x:c>
      <x:c r="E3636" s="13" t="str">
        <x:v>Retail</x:v>
      </x:c>
      <x:c r="F3636" s="13" t="str">
        <x:v>Early Cyclicals</x:v>
      </x:c>
      <x:c r="G3636" s="13" t="str">
        <x:v>grid_asitui1y.xlsx</x:v>
      </x:c>
    </x:row>
    <x:row r="3637">
      <x:c r="A3637" s="15" t="n">
        <x:v>41913</x:v>
      </x:c>
      <x:c r="B3637" s="13" t="str">
        <x:v>LOJAS RENNER S.A.</x:v>
      </x:c>
      <x:c r="C3637" s="16" t="n">
        <x:v>518.3625124822</x:v>
      </x:c>
      <x:c r="D3637" s="13" t="str">
        <x:v>Retail</x:v>
      </x:c>
      <x:c r="E3637" s="13" t="str">
        <x:v>Retail</x:v>
      </x:c>
      <x:c r="F3637" s="13" t="str">
        <x:v>Early Cyclicals</x:v>
      </x:c>
      <x:c r="G3637" s="13" t="str">
        <x:v>grid_asitui1y.xlsx</x:v>
      </x:c>
    </x:row>
    <x:row r="3638">
      <x:c r="A3638" s="15" t="n">
        <x:v>41913</x:v>
      </x:c>
      <x:c r="B3638" s="13" t="str">
        <x:v>NATURA COSMETICOS SA</x:v>
      </x:c>
      <x:c r="C3638" s="16" t="n">
        <x:v>902.8888237589</x:v>
      </x:c>
      <x:c r="D3638" s="13" t="str">
        <x:v>Retail</x:v>
      </x:c>
      <x:c r="E3638" s="13" t="str">
        <x:v>Retail</x:v>
      </x:c>
      <x:c r="F3638" s="13" t="str">
        <x:v>Early Cyclicals</x:v>
      </x:c>
      <x:c r="G3638" s="13" t="str">
        <x:v>grid_asitui1y.xlsx</x:v>
      </x:c>
    </x:row>
    <x:row r="3639">
      <x:c r="A3639" s="15" t="n">
        <x:v>41913</x:v>
      </x:c>
      <x:c r="B3639" s="13" t="str">
        <x:v>CIA SANEAMENTO BASICO DE SP</x:v>
      </x:c>
      <x:c r="C3639" s="16" t="n">
        <x:v>1657.7497880548</x:v>
      </x:c>
      <x:c r="D3639" s="13" t="str">
        <x:v>Sanitation</x:v>
      </x:c>
      <x:c r="E3639" s="13" t="str">
        <x:v>Utilities</x:v>
      </x:c>
      <x:c r="F3639" s="13" t="str">
        <x:v>Defensives</x:v>
      </x:c>
      <x:c r="G3639" s="13" t="str">
        <x:v>grid_asitui1y.xlsx</x:v>
      </x:c>
    </x:row>
    <x:row r="3640">
      <x:c r="A3640" s="15" t="n">
        <x:v>41913</x:v>
      </x:c>
      <x:c r="B3640" s="13" t="str">
        <x:v>OI SA-PREFERENCE</x:v>
      </x:c>
      <x:c r="C3640" s="16" t="n">
        <x:v>163.7731506849</x:v>
      </x:c>
      <x:c r="D3640" s="13" t="str">
        <x:v>TMT</x:v>
      </x:c>
      <x:c r="E3640" s="13" t="str">
        <x:v>TMT</x:v>
      </x:c>
      <x:c r="F3640" s="13" t="str">
        <x:v>Early Cyclicals</x:v>
      </x:c>
      <x:c r="G3640" s="13" t="str">
        <x:v>grid_asitui1y.xlsx</x:v>
      </x:c>
    </x:row>
    <x:row r="3641">
      <x:c r="A3641" s="15" t="n">
        <x:v>41913</x:v>
      </x:c>
      <x:c r="B3641" s="13" t="str">
        <x:v>TELEFONICA BRASIL S.A.-PREF</x:v>
      </x:c>
      <x:c r="C3641" s="16" t="n">
        <x:v>3854.0173143671</x:v>
      </x:c>
      <x:c r="D3641" s="13" t="str">
        <x:v>TMT</x:v>
      </x:c>
      <x:c r="E3641" s="13" t="str">
        <x:v>TMT</x:v>
      </x:c>
      <x:c r="F3641" s="13" t="str">
        <x:v>Early Cyclicals</x:v>
      </x:c>
      <x:c r="G3641" s="13" t="str">
        <x:v>grid_asitui1y.xlsx</x:v>
      </x:c>
    </x:row>
    <x:row r="3642">
      <x:c r="A3642" s="15" t="n">
        <x:v>41913</x:v>
      </x:c>
      <x:c r="B3642" s="13" t="str">
        <x:v>TIM SA</x:v>
      </x:c>
      <x:c r="C3642" s="16" t="n">
        <x:v>1632.7237172603</x:v>
      </x:c>
      <x:c r="D3642" s="13" t="str">
        <x:v>TMT</x:v>
      </x:c>
      <x:c r="E3642" s="13" t="str">
        <x:v>TMT</x:v>
      </x:c>
      <x:c r="F3642" s="13" t="str">
        <x:v>Early Cyclicals</x:v>
      </x:c>
      <x:c r="G3642" s="13" t="str">
        <x:v>grid_asitui1y.xlsx</x:v>
      </x:c>
    </x:row>
    <x:row r="3643">
      <x:c r="A3643" s="15" t="n">
        <x:v>41913</x:v>
      </x:c>
      <x:c r="B3643" s="13" t="str">
        <x:v>COSAN LOGISTICA SA</x:v>
      </x:c>
      <x:c r="C3643" s="16" t="n">
        <x:v>103.5991780822</x:v>
      </x:c>
      <x:c r="D3643" s="13" t="str">
        <x:v>Transportation</x:v>
      </x:c>
      <x:c r="E3643" s="13" t="str">
        <x:v>Transportation</x:v>
      </x:c>
      <x:c r="F3643" s="13" t="str">
        <x:v>Deep Cyclicals</x:v>
      </x:c>
      <x:c r="G3643" s="13" t="str">
        <x:v>grid_asitui1y.xlsx</x:v>
      </x:c>
    </x:row>
    <x:row r="3644">
      <x:c r="A3644" s="15" t="n">
        <x:v>41913</x:v>
      </x:c>
      <x:c r="B3644" s="13" t="str">
        <x:v>ECORODOVIAS INFRA E LOG SA</x:v>
      </x:c>
      <x:c r="C3644" s="16" t="n">
        <x:v>423.7568452384</x:v>
      </x:c>
      <x:c r="D3644" s="13" t="str">
        <x:v>Transportation</x:v>
      </x:c>
      <x:c r="E3644" s="13" t="str">
        <x:v>Transportation</x:v>
      </x:c>
      <x:c r="F3644" s="13" t="str">
        <x:v>Deep Cyclicals</x:v>
      </x:c>
      <x:c r="G3644" s="13" t="str">
        <x:v>grid_asitui1y.xlsx</x:v>
      </x:c>
    </x:row>
    <x:row r="3645">
      <x:c r="A3645" s="15" t="n">
        <x:v>41913</x:v>
      </x:c>
      <x:c r="B3645" s="13" t="str">
        <x:v>GOL LINHAS AEREAS INT SA-PRE</x:v>
      </x:c>
      <x:c r="C3645" s="16" t="n">
        <x:v>56.5286958904</x:v>
      </x:c>
      <x:c r="D3645" s="13" t="str">
        <x:v>Transportation</x:v>
      </x:c>
      <x:c r="E3645" s="13" t="str">
        <x:v>Transportation</x:v>
      </x:c>
      <x:c r="F3645" s="13" t="str">
        <x:v>Deep Cyclicals</x:v>
      </x:c>
      <x:c r="G3645" s="13" t="str">
        <x:v>grid_asitui1y.xlsx</x:v>
      </x:c>
    </x:row>
    <x:row r="3646">
      <x:c r="A3646" s="15" t="n">
        <x:v>41913</x:v>
      </x:c>
      <x:c r="B3646" s="13" t="str">
        <x:v>LOCALIZA RENT A CAR</x:v>
      </x:c>
      <x:c r="C3646" s="16" t="n">
        <x:v>427.7279013699</x:v>
      </x:c>
      <x:c r="D3646" s="13" t="str">
        <x:v>Transportation</x:v>
      </x:c>
      <x:c r="E3646" s="13" t="str">
        <x:v>Transportation</x:v>
      </x:c>
      <x:c r="F3646" s="13" t="str">
        <x:v>Deep Cyclicals</x:v>
      </x:c>
      <x:c r="G3646" s="13" t="str">
        <x:v>grid_asitui1y.xlsx</x:v>
      </x:c>
    </x:row>
    <x:row r="3647">
      <x:c r="A3647" s="15" t="n">
        <x:v>41913</x:v>
      </x:c>
      <x:c r="B3647" s="13" t="str">
        <x:v>MOTIVA INFRAESTRUTURA DE MOB</x:v>
      </x:c>
      <x:c r="C3647" s="16" t="n">
        <x:v>1490.7812622027</x:v>
      </x:c>
      <x:c r="D3647" s="13" t="str">
        <x:v>Transportation</x:v>
      </x:c>
      <x:c r="E3647" s="13" t="str">
        <x:v>Transportation</x:v>
      </x:c>
      <x:c r="F3647" s="13" t="str">
        <x:v>Deep Cyclicals</x:v>
      </x:c>
      <x:c r="G3647" s="13" t="str">
        <x:v>grid_asitui1y.xlsx</x:v>
      </x:c>
    </x:row>
    <x:row r="3648">
      <x:c r="A3648" s="15" t="n">
        <x:v>41913</x:v>
      </x:c>
      <x:c r="B3648" s="13" t="str">
        <x:v>RUMO SA</x:v>
      </x:c>
      <x:c r="C3648" s="16" t="n">
        <x:v>348.5960900384</x:v>
      </x:c>
      <x:c r="D3648" s="13" t="str">
        <x:v>Transportation</x:v>
      </x:c>
      <x:c r="E3648" s="13" t="str">
        <x:v>Transportation</x:v>
      </x:c>
      <x:c r="F3648" s="13" t="str">
        <x:v>Deep Cyclicals</x:v>
      </x:c>
      <x:c r="G3648" s="13" t="str">
        <x:v>grid_asitui1y.xlsx</x:v>
      </x:c>
    </x:row>
    <x:row r="3649">
      <x:c r="A3649" s="15" t="n">
        <x:v>41913</x:v>
      </x:c>
      <x:c r="B3649" s="13" t="str">
        <x:v>AXIA ENERGIA SA</x:v>
      </x:c>
      <x:c r="C3649" s="16" t="n">
        <x:v>1153.4608219178</x:v>
      </x:c>
      <x:c r="D3649" s="13" t="str">
        <x:v>Utilities &amp; Energy</x:v>
      </x:c>
      <x:c r="E3649" s="13" t="str">
        <x:v>Utilities</x:v>
      </x:c>
      <x:c r="F3649" s="13" t="str">
        <x:v>Defensives</x:v>
      </x:c>
      <x:c r="G3649" s="13" t="str">
        <x:v>grid_asitui1y.xlsx</x:v>
      </x:c>
    </x:row>
    <x:row r="3650">
      <x:c r="A3650" s="15" t="n">
        <x:v>41913</x:v>
      </x:c>
      <x:c r="B3650" s="13" t="str">
        <x:v>AXIA ENERGIA-PR B</x:v>
      </x:c>
      <x:c r="C3650" s="16" t="n">
        <x:v>1153.4608219178</x:v>
      </x:c>
      <x:c r="D3650" s="13" t="str">
        <x:v>Utilities &amp; Energy</x:v>
      </x:c>
      <x:c r="E3650" s="13" t="str">
        <x:v>Utilities</x:v>
      </x:c>
      <x:c r="F3650" s="13" t="str">
        <x:v>Defensives</x:v>
      </x:c>
      <x:c r="G3650" s="13" t="str">
        <x:v>grid_asitui1y.xlsx</x:v>
      </x:c>
    </x:row>
    <x:row r="3651">
      <x:c r="A3651" s="15" t="n">
        <x:v>41913</x:v>
      </x:c>
      <x:c r="B3651" s="13" t="str">
        <x:v>CESP - CIA ENERGETICA DE SAO</x:v>
      </x:c>
      <x:c r="C3651" s="16" t="n">
        <x:v>1187.1438055452</x:v>
      </x:c>
      <x:c r="D3651" s="13" t="str">
        <x:v>Utilities &amp; Energy</x:v>
      </x:c>
      <x:c r="E3651" s="13" t="str">
        <x:v>Utilities</x:v>
      </x:c>
      <x:c r="F3651" s="13" t="str">
        <x:v>Defensives</x:v>
      </x:c>
      <x:c r="G3651" s="13" t="str">
        <x:v>grid_asitui1y.xlsx</x:v>
      </x:c>
    </x:row>
    <x:row r="3652">
      <x:c r="A3652" s="15" t="n">
        <x:v>41913</x:v>
      </x:c>
      <x:c r="B3652" s="13" t="str">
        <x:v>CIA ENERGETICA MINAS GER-PRF</x:v>
      </x:c>
      <x:c r="C3652" s="16" t="n">
        <x:v>2236.3641028384</x:v>
      </x:c>
      <x:c r="D3652" s="13" t="str">
        <x:v>Utilities &amp; Energy</x:v>
      </x:c>
      <x:c r="E3652" s="13" t="str">
        <x:v>Utilities</x:v>
      </x:c>
      <x:c r="F3652" s="13" t="str">
        <x:v>Defensives</x:v>
      </x:c>
      <x:c r="G3652" s="13" t="str">
        <x:v>grid_asitui1y.xlsx</x:v>
      </x:c>
    </x:row>
    <x:row r="3653">
      <x:c r="A3653" s="15" t="n">
        <x:v>41913</x:v>
      </x:c>
      <x:c r="B3653" s="13" t="str">
        <x:v>COMPANHIA PARANAENSE -PREF B</x:v>
      </x:c>
      <x:c r="C3653" s="16" t="n">
        <x:v>1434.6626153206</x:v>
      </x:c>
      <x:c r="D3653" s="13" t="str">
        <x:v>Utilities &amp; Energy</x:v>
      </x:c>
      <x:c r="E3653" s="13" t="str">
        <x:v>Utilities</x:v>
      </x:c>
      <x:c r="F3653" s="13" t="str">
        <x:v>Defensives</x:v>
      </x:c>
      <x:c r="G3653" s="13" t="str">
        <x:v>grid_asitui1y.xlsx</x:v>
      </x:c>
    </x:row>
    <x:row r="3654">
      <x:c r="A3654" s="15" t="n">
        <x:v>41913</x:v>
      </x:c>
      <x:c r="B3654" s="13" t="str">
        <x:v>CPFL ENERGIA SA</x:v>
      </x:c>
      <x:c r="C3654" s="16" t="n">
        <x:v>1278.4811491945</x:v>
      </x:c>
      <x:c r="D3654" s="13" t="str">
        <x:v>Utilities &amp; Energy</x:v>
      </x:c>
      <x:c r="E3654" s="13" t="str">
        <x:v>Utilities</x:v>
      </x:c>
      <x:c r="F3654" s="13" t="str">
        <x:v>Defensives</x:v>
      </x:c>
      <x:c r="G3654" s="13" t="str">
        <x:v>grid_asitui1y.xlsx</x:v>
      </x:c>
    </x:row>
    <x:row r="3655">
      <x:c r="A3655" s="15" t="n">
        <x:v>41913</x:v>
      </x:c>
      <x:c r="B3655" s="13" t="str">
        <x:v>EDP - ENERGIAS DO BRASIL SA</x:v>
      </x:c>
      <x:c r="C3655" s="16" t="n">
        <x:v>542.978931726</x:v>
      </x:c>
      <x:c r="D3655" s="13" t="str">
        <x:v>Utilities &amp; Energy</x:v>
      </x:c>
      <x:c r="E3655" s="13" t="str">
        <x:v>Utilities</x:v>
      </x:c>
      <x:c r="F3655" s="13" t="str">
        <x:v>Defensives</x:v>
      </x:c>
      <x:c r="G3655" s="13" t="str">
        <x:v>grid_asitui1y.xlsx</x:v>
      </x:c>
    </x:row>
    <x:row r="3656">
      <x:c r="A3656" s="15" t="n">
        <x:v>41913</x:v>
      </x:c>
      <x:c r="B3656" s="13" t="str">
        <x:v>ELETROPAULO METROPOLI-PREF</x:v>
      </x:c>
      <x:c r="C3656" s="16" t="n">
        <x:v>-15.2980443178</x:v>
      </x:c>
      <x:c r="D3656" s="13" t="str">
        <x:v>Utilities &amp; Energy</x:v>
      </x:c>
      <x:c r="E3656" s="13" t="str">
        <x:v>Utilities</x:v>
      </x:c>
      <x:c r="F3656" s="13" t="str">
        <x:v>Defensives</x:v>
      </x:c>
      <x:c r="G3656" s="13" t="str">
        <x:v>grid_asitui1y.xlsx</x:v>
      </x:c>
    </x:row>
    <x:row r="3657">
      <x:c r="A3657" s="15" t="n">
        <x:v>41913</x:v>
      </x:c>
      <x:c r="B3657" s="13" t="str">
        <x:v>ENGIE BRASIL ENERGIA SA</x:v>
      </x:c>
      <x:c r="C3657" s="16" t="n">
        <x:v>1731.4510350027</x:v>
      </x:c>
      <x:c r="D3657" s="13" t="str">
        <x:v>Utilities &amp; Energy</x:v>
      </x:c>
      <x:c r="E3657" s="13" t="str">
        <x:v>Utilities</x:v>
      </x:c>
      <x:c r="F3657" s="13" t="str">
        <x:v>Defensives</x:v>
      </x:c>
      <x:c r="G3657" s="13" t="str">
        <x:v>grid_asitui1y.xlsx</x:v>
      </x:c>
    </x:row>
    <x:row r="3658">
      <x:c r="A3658" s="15" t="n">
        <x:v>41913</x:v>
      </x:c>
      <x:c r="B3658" s="13" t="str">
        <x:v>LIGHT SA</x:v>
      </x:c>
      <x:c r="C3658" s="16" t="n">
        <x:v>571.6310322849</x:v>
      </x:c>
      <x:c r="D3658" s="13" t="str">
        <x:v>Utilities &amp; Energy</x:v>
      </x:c>
      <x:c r="E3658" s="13" t="str">
        <x:v>Utilities</x:v>
      </x:c>
      <x:c r="F3658" s="13" t="str">
        <x:v>Defensives</x:v>
      </x:c>
      <x:c r="G3658" s="13" t="str">
        <x:v>grid_asitui1y.xlsx</x:v>
      </x:c>
    </x:row>
    <x:row r="3659">
      <x:c r="A3659" s="15" t="n">
        <x:v>41944</x:v>
      </x:c>
      <x:c r="B3659" s="13" t="str">
        <x:v>BANCO BRADESCO S.A.</x:v>
      </x:c>
      <x:c r="C3659" s="16" t="n">
        <x:v>16633.5780555397</x:v>
      </x:c>
      <x:c r="D3659" s="13" t="str">
        <x:v>Banks</x:v>
      </x:c>
      <x:c r="E3659" s="13" t="str">
        <x:v>Banks</x:v>
      </x:c>
      <x:c r="F3659" s="13" t="str">
        <x:v>Financials</x:v>
      </x:c>
      <x:c r="G3659" s="13" t="str">
        <x:v>grid_asitui1y.xlsx</x:v>
      </x:c>
    </x:row>
    <x:row r="3660">
      <x:c r="A3660" s="15" t="n">
        <x:v>41944</x:v>
      </x:c>
      <x:c r="B3660" s="13" t="str">
        <x:v>BANCO BRADESCO SA-PREF</x:v>
      </x:c>
      <x:c r="C3660" s="16" t="n">
        <x:v>16633.5780555397</x:v>
      </x:c>
      <x:c r="D3660" s="13" t="str">
        <x:v>Banks</x:v>
      </x:c>
      <x:c r="E3660" s="13" t="str">
        <x:v>Banks</x:v>
      </x:c>
      <x:c r="F3660" s="13" t="str">
        <x:v>Financials</x:v>
      </x:c>
      <x:c r="G3660" s="13" t="str">
        <x:v>grid_asitui1y.xlsx</x:v>
      </x:c>
    </x:row>
    <x:row r="3661">
      <x:c r="A3661" s="15" t="n">
        <x:v>41944</x:v>
      </x:c>
      <x:c r="B3661" s="13" t="str">
        <x:v>BANCO DO BRASIL S.A.</x:v>
      </x:c>
      <x:c r="C3661" s="16" t="n">
        <x:v>11947.9447355616</x:v>
      </x:c>
      <x:c r="D3661" s="13" t="str">
        <x:v>Banks</x:v>
      </x:c>
      <x:c r="E3661" s="13" t="str">
        <x:v>Banks</x:v>
      </x:c>
      <x:c r="F3661" s="13" t="str">
        <x:v>Financials</x:v>
      </x:c>
      <x:c r="G3661" s="13" t="str">
        <x:v>grid_asitui1y.xlsx</x:v>
      </x:c>
    </x:row>
    <x:row r="3662">
      <x:c r="A3662" s="15" t="n">
        <x:v>41944</x:v>
      </x:c>
      <x:c r="B3662" s="13" t="str">
        <x:v>BANCO SANTANDER  BRASIL-UNIT</x:v>
      </x:c>
      <x:c r="C3662" s="16" t="n">
        <x:v>6384.630816263</x:v>
      </x:c>
      <x:c r="D3662" s="13" t="str">
        <x:v>Banks</x:v>
      </x:c>
      <x:c r="E3662" s="13" t="str">
        <x:v>Banks</x:v>
      </x:c>
      <x:c r="F3662" s="13" t="str">
        <x:v>Financials</x:v>
      </x:c>
      <x:c r="G3662" s="13" t="str">
        <x:v>grid_asitui1y.xlsx</x:v>
      </x:c>
    </x:row>
    <x:row r="3663">
      <x:c r="A3663" s="15" t="n">
        <x:v>41944</x:v>
      </x:c>
      <x:c r="B3663" s="13" t="str">
        <x:v>ITAU UNIBANCO HOLDING S-PREF</x:v>
      </x:c>
      <x:c r="C3663" s="16" t="n">
        <x:v>21521.6259801425</x:v>
      </x:c>
      <x:c r="D3663" s="13" t="str">
        <x:v>Banks</x:v>
      </x:c>
      <x:c r="E3663" s="13" t="str">
        <x:v>Banks</x:v>
      </x:c>
      <x:c r="F3663" s="13" t="str">
        <x:v>Financials</x:v>
      </x:c>
      <x:c r="G3663" s="13" t="str">
        <x:v>grid_asitui1y.xlsx</x:v>
      </x:c>
    </x:row>
    <x:row r="3664">
      <x:c r="A3664" s="15" t="n">
        <x:v>41944</x:v>
      </x:c>
      <x:c r="B3664" s="13" t="str">
        <x:v>EMBRAER SA</x:v>
      </x:c>
      <x:c r="C3664" s="16" t="n">
        <x:v>1254.0153393096</x:v>
      </x:c>
      <x:c r="D3664" s="13" t="str">
        <x:v>Capital Goods</x:v>
      </x:c>
      <x:c r="E3664" s="13" t="str">
        <x:v>Capital Goods</x:v>
      </x:c>
      <x:c r="F3664" s="13" t="str">
        <x:v>Deep Cyclicals</x:v>
      </x:c>
      <x:c r="G3664" s="13" t="str">
        <x:v>grid_asitui1y.xlsx</x:v>
      </x:c>
    </x:row>
    <x:row r="3665">
      <x:c r="A3665" s="15" t="n">
        <x:v>41944</x:v>
      </x:c>
      <x:c r="B3665" s="13" t="str">
        <x:v>MARCOPOLO SA-PREF</x:v>
      </x:c>
      <x:c r="C3665" s="16" t="n">
        <x:v>270.5528017973</x:v>
      </x:c>
      <x:c r="D3665" s="13" t="str">
        <x:v>Capital Goods</x:v>
      </x:c>
      <x:c r="E3665" s="13" t="str">
        <x:v>Capital Goods</x:v>
      </x:c>
      <x:c r="F3665" s="13" t="str">
        <x:v>Deep Cyclicals</x:v>
      </x:c>
      <x:c r="G3665" s="13" t="str">
        <x:v>grid_asitui1y.xlsx</x:v>
      </x:c>
    </x:row>
    <x:row r="3666">
      <x:c r="A3666" s="15" t="n">
        <x:v>41944</x:v>
      </x:c>
      <x:c r="B3666" s="13" t="str">
        <x:v>COGNA EDUCACAO</x:v>
      </x:c>
      <x:c r="C3666" s="16" t="n">
        <x:v>1568.8474266301</x:v>
      </x:c>
      <x:c r="D3666" s="13" t="str">
        <x:v>Education</x:v>
      </x:c>
      <x:c r="E3666" s="13" t="str">
        <x:v>Education</x:v>
      </x:c>
      <x:c r="F3666" s="13" t="str">
        <x:v>Early Cyclicals</x:v>
      </x:c>
      <x:c r="G3666" s="13" t="str">
        <x:v>grid_asitui1y.xlsx</x:v>
      </x:c>
    </x:row>
    <x:row r="3667">
      <x:c r="A3667" s="15" t="n">
        <x:v>41944</x:v>
      </x:c>
      <x:c r="B3667" s="13" t="str">
        <x:v>YDUQS PARTICIPACOES SA</x:v>
      </x:c>
      <x:c r="C3667" s="16" t="n">
        <x:v>590.0779669041</x:v>
      </x:c>
      <x:c r="D3667" s="13" t="str">
        <x:v>Education</x:v>
      </x:c>
      <x:c r="E3667" s="13" t="str">
        <x:v>Education</x:v>
      </x:c>
      <x:c r="F3667" s="13" t="str">
        <x:v>Early Cyclicals</x:v>
      </x:c>
      <x:c r="G3667" s="13" t="str">
        <x:v>grid_asitui1y.xlsx</x:v>
      </x:c>
    </x:row>
    <x:row r="3668">
      <x:c r="A3668" s="15" t="n">
        <x:v>41944</x:v>
      </x:c>
      <x:c r="B3668" s="13" t="str">
        <x:v>B3 SA-BRASIL BOLSA BALCAO</x:v>
      </x:c>
      <x:c r="C3668" s="16" t="n">
        <x:v>1611.5615856219</x:v>
      </x:c>
      <x:c r="D3668" s="13" t="str">
        <x:v>Financials Non-Banks</x:v>
      </x:c>
      <x:c r="E3668" s="13" t="str">
        <x:v>Financials Non-Banks</x:v>
      </x:c>
      <x:c r="F3668" s="13" t="str">
        <x:v>Financials</x:v>
      </x:c>
      <x:c r="G3668" s="13" t="str">
        <x:v>grid_asitui1y.xlsx</x:v>
      </x:c>
    </x:row>
    <x:row r="3669">
      <x:c r="A3669" s="15" t="n">
        <x:v>41944</x:v>
      </x:c>
      <x:c r="B3669" s="13" t="str">
        <x:v>BB SEGURIDADE PARTICIPACOES</x:v>
      </x:c>
      <x:c r="C3669" s="16" t="n">
        <x:v>3782.3416719781</x:v>
      </x:c>
      <x:c r="D3669" s="13" t="str">
        <x:v>Financials Non-Banks</x:v>
      </x:c>
      <x:c r="E3669" s="13" t="str">
        <x:v>Financials Non-Banks</x:v>
      </x:c>
      <x:c r="F3669" s="13" t="str">
        <x:v>Financials</x:v>
      </x:c>
      <x:c r="G3669" s="13" t="str">
        <x:v>grid_asitui1y.xlsx</x:v>
      </x:c>
    </x:row>
    <x:row r="3670">
      <x:c r="A3670" s="15" t="n">
        <x:v>41944</x:v>
      </x:c>
      <x:c r="B3670" s="13" t="str">
        <x:v>CETIP SA-MERCADOS ORGANIZADO</x:v>
      </x:c>
      <x:c r="C3670" s="16" t="n">
        <x:v>518.1856256</x:v>
      </x:c>
      <x:c r="D3670" s="13" t="str">
        <x:v>Financials Non-Banks</x:v>
      </x:c>
      <x:c r="E3670" s="13" t="str">
        <x:v>Financials Non-Banks</x:v>
      </x:c>
      <x:c r="F3670" s="13" t="str">
        <x:v>Financials</x:v>
      </x:c>
      <x:c r="G3670" s="13" t="str">
        <x:v>grid_asitui1y.xlsx</x:v>
      </x:c>
    </x:row>
    <x:row r="3671">
      <x:c r="A3671" s="15" t="n">
        <x:v>41944</x:v>
      </x:c>
      <x:c r="B3671" s="13" t="str">
        <x:v>CIELO SA - INSTITUICAO DE PA</x:v>
      </x:c>
      <x:c r="C3671" s="16" t="n">
        <x:v>3712.4887678247</x:v>
      </x:c>
      <x:c r="D3671" s="13" t="str">
        <x:v>Financials Non-Banks</x:v>
      </x:c>
      <x:c r="E3671" s="13" t="str">
        <x:v>Financials Non-Banks</x:v>
      </x:c>
      <x:c r="F3671" s="13" t="str">
        <x:v>Financials</x:v>
      </x:c>
      <x:c r="G3671" s="13" t="str">
        <x:v>grid_asitui1y.xlsx</x:v>
      </x:c>
    </x:row>
    <x:row r="3672">
      <x:c r="A3672" s="15" t="n">
        <x:v>41944</x:v>
      </x:c>
      <x:c r="B3672" s="13" t="str">
        <x:v>ITAUSA SA</x:v>
      </x:c>
      <x:c r="C3672" s="16" t="n">
        <x:v>8262.986348011</x:v>
      </x:c>
      <x:c r="D3672" s="13" t="str">
        <x:v>Financials Non-Banks</x:v>
      </x:c>
      <x:c r="E3672" s="13" t="str">
        <x:v>Financials Non-Banks</x:v>
      </x:c>
      <x:c r="F3672" s="13" t="str">
        <x:v>Financials</x:v>
      </x:c>
      <x:c r="G3672" s="13" t="str">
        <x:v>grid_asitui1y.xlsx</x:v>
      </x:c>
    </x:row>
    <x:row r="3673">
      <x:c r="A3673" s="15" t="n">
        <x:v>41944</x:v>
      </x:c>
      <x:c r="B3673" s="13" t="str">
        <x:v>AMBEV SA</x:v>
      </x:c>
      <x:c r="C3673" s="16" t="n">
        <x:v>13524.8989394411</x:v>
      </x:c>
      <x:c r="D3673" s="13" t="str">
        <x:v>Food &amp; Beverages</x:v>
      </x:c>
      <x:c r="E3673" s="13" t="str">
        <x:v>Agri, Food &amp; Beverages</x:v>
      </x:c>
      <x:c r="F3673" s="13" t="str">
        <x:v>Defensives</x:v>
      </x:c>
      <x:c r="G3673" s="13" t="str">
        <x:v>grid_asitui1y.xlsx</x:v>
      </x:c>
    </x:row>
    <x:row r="3674">
      <x:c r="A3674" s="15" t="n">
        <x:v>41944</x:v>
      </x:c>
      <x:c r="B3674" s="13" t="str">
        <x:v>BRF SA</x:v>
      </x:c>
      <x:c r="C3674" s="16" t="n">
        <x:v>2587.5770350466</x:v>
      </x:c>
      <x:c r="D3674" s="13" t="str">
        <x:v>Food &amp; Beverages</x:v>
      </x:c>
      <x:c r="E3674" s="13" t="str">
        <x:v>Agri, Food &amp; Beverages</x:v>
      </x:c>
      <x:c r="F3674" s="13" t="str">
        <x:v>Defensives</x:v>
      </x:c>
      <x:c r="G3674" s="13" t="str">
        <x:v>grid_asitui1y.xlsx</x:v>
      </x:c>
    </x:row>
    <x:row r="3675">
      <x:c r="A3675" s="15" t="n">
        <x:v>41944</x:v>
      </x:c>
      <x:c r="B3675" s="13" t="str">
        <x:v>MBRF GLOBAL FOODS COMPANY SA</x:v>
      </x:c>
      <x:c r="C3675" s="16" t="n">
        <x:v>122.2616262137</x:v>
      </x:c>
      <x:c r="D3675" s="13" t="str">
        <x:v>Food &amp; Beverages</x:v>
      </x:c>
      <x:c r="E3675" s="13" t="str">
        <x:v>Agri, Food &amp; Beverages</x:v>
      </x:c>
      <x:c r="F3675" s="13" t="str">
        <x:v>Defensives</x:v>
      </x:c>
      <x:c r="G3675" s="13" t="str">
        <x:v>grid_asitui1y.xlsx</x:v>
      </x:c>
    </x:row>
    <x:row r="3676">
      <x:c r="A3676" s="15" t="n">
        <x:v>41944</x:v>
      </x:c>
      <x:c r="B3676" s="13" t="str">
        <x:v>SOUZA CRUZ LTDA</x:v>
      </x:c>
      <x:c r="C3676" s="16" t="n">
        <x:v>1801.4717408438</x:v>
      </x:c>
      <x:c r="D3676" s="13" t="str">
        <x:v>Food &amp; Beverages</x:v>
      </x:c>
      <x:c r="E3676" s="13" t="str">
        <x:v>Agri, Food &amp; Beverages</x:v>
      </x:c>
      <x:c r="F3676" s="13" t="str">
        <x:v>Defensives</x:v>
      </x:c>
      <x:c r="G3676" s="13" t="str">
        <x:v>grid_asitui1y.xlsx</x:v>
      </x:c>
    </x:row>
    <x:row r="3677">
      <x:c r="A3677" s="15" t="n">
        <x:v>41944</x:v>
      </x:c>
      <x:c r="B3677" s="13" t="str">
        <x:v>HYPERA SA</x:v>
      </x:c>
      <x:c r="C3677" s="16" t="n">
        <x:v>543.2033005589</x:v>
      </x:c>
      <x:c r="D3677" s="13" t="str">
        <x:v>Health Care</x:v>
      </x:c>
      <x:c r="E3677" s="13" t="str">
        <x:v>Health Care</x:v>
      </x:c>
      <x:c r="F3677" s="13" t="str">
        <x:v>Defensives</x:v>
      </x:c>
      <x:c r="G3677" s="13" t="str">
        <x:v>grid_asitui1y.xlsx</x:v>
      </x:c>
    </x:row>
    <x:row r="3678">
      <x:c r="A3678" s="15" t="n">
        <x:v>41944</x:v>
      </x:c>
      <x:c r="B3678" s="13" t="str">
        <x:v>QUALICORP CONS E CORR SEG SA</x:v>
      </x:c>
      <x:c r="C3678" s="16" t="n">
        <x:v>348.9861552219</x:v>
      </x:c>
      <x:c r="D3678" s="13" t="str">
        <x:v>Health Care</x:v>
      </x:c>
      <x:c r="E3678" s="13" t="str">
        <x:v>Health Care</x:v>
      </x:c>
      <x:c r="F3678" s="13" t="str">
        <x:v>Defensives</x:v>
      </x:c>
      <x:c r="G3678" s="13" t="str">
        <x:v>grid_asitui1y.xlsx</x:v>
      </x:c>
    </x:row>
    <x:row r="3679">
      <x:c r="A3679" s="15" t="n">
        <x:v>41944</x:v>
      </x:c>
      <x:c r="B3679" s="13" t="str">
        <x:v>CYRELA BRAZIL REALTY SA EMP</x:v>
      </x:c>
      <x:c r="C3679" s="16" t="n">
        <x:v>769.1133774904</x:v>
      </x:c>
      <x:c r="D3679" s="13" t="str">
        <x:v>Homebuilders</x:v>
      </x:c>
      <x:c r="E3679" s="13" t="str">
        <x:v>Real Estate</x:v>
      </x:c>
      <x:c r="F3679" s="13" t="str">
        <x:v>Early Cyclicals</x:v>
      </x:c>
      <x:c r="G3679" s="13" t="str">
        <x:v>grid_asitui1y.xlsx</x:v>
      </x:c>
    </x:row>
    <x:row r="3680">
      <x:c r="A3680" s="15" t="n">
        <x:v>41944</x:v>
      </x:c>
      <x:c r="B3680" s="13" t="str">
        <x:v>EVEN CONSTRUTORA E INCORPORA</x:v>
      </x:c>
      <x:c r="C3680" s="16" t="n">
        <x:v>282.9100436164</x:v>
      </x:c>
      <x:c r="D3680" s="13" t="str">
        <x:v>Homebuilders</x:v>
      </x:c>
      <x:c r="E3680" s="13" t="str">
        <x:v>Real Estate</x:v>
      </x:c>
      <x:c r="F3680" s="13" t="str">
        <x:v>Early Cyclicals</x:v>
      </x:c>
      <x:c r="G3680" s="13" t="str">
        <x:v>grid_asitui1y.xlsx</x:v>
      </x:c>
    </x:row>
    <x:row r="3681">
      <x:c r="A3681" s="15" t="n">
        <x:v>41944</x:v>
      </x:c>
      <x:c r="B3681" s="13" t="str">
        <x:v>GAFISA SA</x:v>
      </x:c>
      <x:c r="C3681" s="16" t="n">
        <x:v>62.2029019178</x:v>
      </x:c>
      <x:c r="D3681" s="13" t="str">
        <x:v>Homebuilders</x:v>
      </x:c>
      <x:c r="E3681" s="13" t="str">
        <x:v>Real Estate</x:v>
      </x:c>
      <x:c r="F3681" s="13" t="str">
        <x:v>Early Cyclicals</x:v>
      </x:c>
      <x:c r="G3681" s="13" t="str">
        <x:v>grid_asitui1y.xlsx</x:v>
      </x:c>
    </x:row>
    <x:row r="3682">
      <x:c r="A3682" s="15" t="n">
        <x:v>41944</x:v>
      </x:c>
      <x:c r="B3682" s="13" t="str">
        <x:v>MRV ENGENHARIA</x:v>
      </x:c>
      <x:c r="C3682" s="16" t="n">
        <x:v>532.6794881753</x:v>
      </x:c>
      <x:c r="D3682" s="13" t="str">
        <x:v>Homebuilders</x:v>
      </x:c>
      <x:c r="E3682" s="13" t="str">
        <x:v>Real Estate</x:v>
      </x:c>
      <x:c r="F3682" s="13" t="str">
        <x:v>Early Cyclicals</x:v>
      </x:c>
      <x:c r="G3682" s="13" t="str">
        <x:v>grid_asitui1y.xlsx</x:v>
      </x:c>
    </x:row>
    <x:row r="3683">
      <x:c r="A3683" s="15" t="n">
        <x:v>41944</x:v>
      </x:c>
      <x:c r="B3683" s="13" t="str">
        <x:v>PDG REALTY SA</x:v>
      </x:c>
      <x:c r="C3683" s="16" t="n">
        <x:v>-112.7776348932</x:v>
      </x:c>
      <x:c r="D3683" s="13" t="str">
        <x:v>Homebuilders</x:v>
      </x:c>
      <x:c r="E3683" s="13" t="str">
        <x:v>Real Estate</x:v>
      </x:c>
      <x:c r="F3683" s="13" t="str">
        <x:v>Early Cyclicals</x:v>
      </x:c>
      <x:c r="G3683" s="13" t="str">
        <x:v>grid_asitui1y.xlsx</x:v>
      </x:c>
    </x:row>
    <x:row r="3684">
      <x:c r="A3684" s="15" t="n">
        <x:v>41944</x:v>
      </x:c>
      <x:c r="B3684" s="13" t="str">
        <x:v>ROSSI RESIDENCIAL SA</x:v>
      </x:c>
      <x:c r="C3684" s="16" t="n">
        <x:v>-43.3105479452</x:v>
      </x:c>
      <x:c r="D3684" s="13" t="str">
        <x:v>Homebuilders</x:v>
      </x:c>
      <x:c r="E3684" s="13" t="str">
        <x:v>Real Estate</x:v>
      </x:c>
      <x:c r="F3684" s="13" t="str">
        <x:v>Early Cyclicals</x:v>
      </x:c>
      <x:c r="G3684" s="13" t="str">
        <x:v>grid_asitui1y.xlsx</x:v>
      </x:c>
    </x:row>
    <x:row r="3685">
      <x:c r="A3685" s="15" t="n">
        <x:v>41944</x:v>
      </x:c>
      <x:c r="B3685" s="13" t="str">
        <x:v>BR MALLS PARTICIPACOES SA</x:v>
      </x:c>
      <x:c r="C3685" s="16" t="n">
        <x:v>518.3685914301</x:v>
      </x:c>
      <x:c r="D3685" s="13" t="str">
        <x:v>Income Properties</x:v>
      </x:c>
      <x:c r="E3685" s="13" t="str">
        <x:v>Real Estate</x:v>
      </x:c>
      <x:c r="F3685" s="13" t="str">
        <x:v>Early Cyclicals</x:v>
      </x:c>
      <x:c r="G3685" s="13" t="str">
        <x:v>grid_asitui1y.xlsx</x:v>
      </x:c>
    </x:row>
    <x:row r="3686">
      <x:c r="A3686" s="15" t="n">
        <x:v>41944</x:v>
      </x:c>
      <x:c r="B3686" s="13" t="str">
        <x:v>SOLID ATIVOS IMOBILIARIOS SA</x:v>
      </x:c>
      <x:c r="C3686" s="16" t="n">
        <x:v>215.1888787288</x:v>
      </x:c>
      <x:c r="D3686" s="13" t="str">
        <x:v>Income Properties</x:v>
      </x:c>
      <x:c r="E3686" s="13" t="str">
        <x:v>Real Estate</x:v>
      </x:c>
      <x:c r="F3686" s="13" t="str">
        <x:v>Early Cyclicals</x:v>
      </x:c>
      <x:c r="G3686" s="13" t="str">
        <x:v>grid_asitui1y.xlsx</x:v>
      </x:c>
    </x:row>
    <x:row r="3687">
      <x:c r="A3687" s="15" t="n">
        <x:v>41944</x:v>
      </x:c>
      <x:c r="B3687" s="13" t="str">
        <x:v>BRADESPAR SA -PREF</x:v>
      </x:c>
      <x:c r="C3687" s="16" t="n">
        <x:v>703.4616729425</x:v>
      </x:c>
      <x:c r="D3687" s="13" t="str">
        <x:v>Metals &amp; Mining</x:v>
      </x:c>
      <x:c r="E3687" s="13" t="str">
        <x:v>Metals &amp; Mining</x:v>
      </x:c>
      <x:c r="F3687" s="13" t="str">
        <x:v>Deep Cyclicals</x:v>
      </x:c>
      <x:c r="G3687" s="13" t="str">
        <x:v>grid_asitui1y.xlsx</x:v>
      </x:c>
    </x:row>
    <x:row r="3688">
      <x:c r="A3688" s="15" t="n">
        <x:v>41944</x:v>
      </x:c>
      <x:c r="B3688" s="13" t="str">
        <x:v>CIA SIDERURGICA NACIONAL SA</x:v>
      </x:c>
      <x:c r="C3688" s="16" t="n">
        <x:v>501.7990814685</x:v>
      </x:c>
      <x:c r="D3688" s="13" t="str">
        <x:v>Metals &amp; Mining</x:v>
      </x:c>
      <x:c r="E3688" s="13" t="str">
        <x:v>Metals &amp; Mining</x:v>
      </x:c>
      <x:c r="F3688" s="13" t="str">
        <x:v>Deep Cyclicals</x:v>
      </x:c>
      <x:c r="G3688" s="13" t="str">
        <x:v>grid_asitui1y.xlsx</x:v>
      </x:c>
    </x:row>
    <x:row r="3689">
      <x:c r="A3689" s="15" t="n">
        <x:v>41944</x:v>
      </x:c>
      <x:c r="B3689" s="13" t="str">
        <x:v>GERDAU SA-PREF</x:v>
      </x:c>
      <x:c r="C3689" s="16" t="n">
        <x:v>1410.4016033315</x:v>
      </x:c>
      <x:c r="D3689" s="13" t="str">
        <x:v>Metals &amp; Mining</x:v>
      </x:c>
      <x:c r="E3689" s="13" t="str">
        <x:v>Metals &amp; Mining</x:v>
      </x:c>
      <x:c r="F3689" s="13" t="str">
        <x:v>Deep Cyclicals</x:v>
      </x:c>
      <x:c r="G3689" s="13" t="str">
        <x:v>grid_asitui1y.xlsx</x:v>
      </x:c>
    </x:row>
    <x:row r="3690">
      <x:c r="A3690" s="15" t="n">
        <x:v>41944</x:v>
      </x:c>
      <x:c r="B3690" s="13" t="str">
        <x:v>METALURGICA GERDAU SA-PREF</x:v>
      </x:c>
      <x:c r="C3690" s="16" t="n">
        <x:v>621.7876392329</x:v>
      </x:c>
      <x:c r="D3690" s="13" t="str">
        <x:v>Metals &amp; Mining</x:v>
      </x:c>
      <x:c r="E3690" s="13" t="str">
        <x:v>Metals &amp; Mining</x:v>
      </x:c>
      <x:c r="F3690" s="13" t="str">
        <x:v>Deep Cyclicals</x:v>
      </x:c>
      <x:c r="G3690" s="13" t="str">
        <x:v>grid_asitui1y.xlsx</x:v>
      </x:c>
    </x:row>
    <x:row r="3691">
      <x:c r="A3691" s="15" t="n">
        <x:v>41944</x:v>
      </x:c>
      <x:c r="B3691" s="13" t="str">
        <x:v>USINAS SIDER MINAS GER-PF A</x:v>
      </x:c>
      <x:c r="C3691" s="16" t="n">
        <x:v>254.2738500384</x:v>
      </x:c>
      <x:c r="D3691" s="13" t="str">
        <x:v>Metals &amp; Mining</x:v>
      </x:c>
      <x:c r="E3691" s="13" t="str">
        <x:v>Metals &amp; Mining</x:v>
      </x:c>
      <x:c r="F3691" s="13" t="str">
        <x:v>Deep Cyclicals</x:v>
      </x:c>
      <x:c r="G3691" s="13" t="str">
        <x:v>grid_asitui1y.xlsx</x:v>
      </x:c>
    </x:row>
    <x:row r="3692">
      <x:c r="A3692" s="15" t="n">
        <x:v>41944</x:v>
      </x:c>
      <x:c r="B3692" s="13" t="str">
        <x:v>VALE SA</x:v>
      </x:c>
      <x:c r="C3692" s="16" t="n">
        <x:v>14394.5168783781</x:v>
      </x:c>
      <x:c r="D3692" s="13" t="str">
        <x:v>Metals &amp; Mining</x:v>
      </x:c>
      <x:c r="E3692" s="13" t="str">
        <x:v>Metals &amp; Mining</x:v>
      </x:c>
      <x:c r="F3692" s="13" t="str">
        <x:v>Deep Cyclicals</x:v>
      </x:c>
      <x:c r="G3692" s="13" t="str">
        <x:v>grid_asitui1y.xlsx</x:v>
      </x:c>
    </x:row>
    <x:row r="3693">
      <x:c r="A3693" s="15" t="n">
        <x:v>41944</x:v>
      </x:c>
      <x:c r="B3693" s="13" t="str">
        <x:v>BRASKEM SA-PREF A</x:v>
      </x:c>
      <x:c r="C3693" s="16" t="n">
        <x:v>1319.0338230356</x:v>
      </x:c>
      <x:c r="D3693" s="13" t="str">
        <x:v>Oil, Gas &amp; Petrochemicals</x:v>
      </x:c>
      <x:c r="E3693" s="13" t="str">
        <x:v>Oil, Gas &amp; Petrochemicals</x:v>
      </x:c>
      <x:c r="F3693" s="13" t="str">
        <x:v>Deep Cyclicals</x:v>
      </x:c>
      <x:c r="G3693" s="13" t="str">
        <x:v>grid_asitui1y.xlsx</x:v>
      </x:c>
    </x:row>
    <x:row r="3694">
      <x:c r="A3694" s="15" t="n">
        <x:v>41944</x:v>
      </x:c>
      <x:c r="B3694" s="13" t="str">
        <x:v>COSAN SA</x:v>
      </x:c>
      <x:c r="C3694" s="16" t="n">
        <x:v>965.9912037699</x:v>
      </x:c>
      <x:c r="D3694" s="13" t="str">
        <x:v>Oil, Gas &amp; Petrochemicals</x:v>
      </x:c>
      <x:c r="E3694" s="13" t="str">
        <x:v>Oil, Gas &amp; Petrochemicals</x:v>
      </x:c>
      <x:c r="F3694" s="13" t="str">
        <x:v>Deep Cyclicals</x:v>
      </x:c>
      <x:c r="G3694" s="13" t="str">
        <x:v>grid_asitui1y.xlsx</x:v>
      </x:c>
    </x:row>
    <x:row r="3695">
      <x:c r="A3695" s="15" t="n">
        <x:v>41944</x:v>
      </x:c>
      <x:c r="B3695" s="13" t="str">
        <x:v>PETROBRAS - PETROLEO BRAS</x:v>
      </x:c>
      <x:c r="C3695" s="16" t="n">
        <x:v>27400.5037392658</x:v>
      </x:c>
      <x:c r="D3695" s="13" t="str">
        <x:v>Oil, Gas &amp; Petrochemicals</x:v>
      </x:c>
      <x:c r="E3695" s="13" t="str">
        <x:v>Oil, Gas &amp; Petrochemicals</x:v>
      </x:c>
      <x:c r="F3695" s="13" t="str">
        <x:v>Deep Cyclicals</x:v>
      </x:c>
      <x:c r="G3695" s="13" t="str">
        <x:v>grid_asitui1y.xlsx</x:v>
      </x:c>
    </x:row>
    <x:row r="3696">
      <x:c r="A3696" s="15" t="n">
        <x:v>41944</x:v>
      </x:c>
      <x:c r="B3696" s="13" t="str">
        <x:v>ULTRAPAR PARTICIPACOES SA</x:v>
      </x:c>
      <x:c r="C3696" s="16" t="n">
        <x:v>1421.0606027397</x:v>
      </x:c>
      <x:c r="D3696" s="13" t="str">
        <x:v>Oil, Gas &amp; Petrochemicals</x:v>
      </x:c>
      <x:c r="E3696" s="13" t="str">
        <x:v>Oil, Gas &amp; Petrochemicals</x:v>
      </x:c>
      <x:c r="F3696" s="13" t="str">
        <x:v>Deep Cyclicals</x:v>
      </x:c>
      <x:c r="G3696" s="13" t="str">
        <x:v>grid_asitui1y.xlsx</x:v>
      </x:c>
    </x:row>
    <x:row r="3697">
      <x:c r="A3697" s="15" t="n">
        <x:v>41944</x:v>
      </x:c>
      <x:c r="B3697" s="13" t="str">
        <x:v>DEXCO SA</x:v>
      </x:c>
      <x:c r="C3697" s="16" t="n">
        <x:v>500.3511143452</x:v>
      </x:c>
      <x:c r="D3697" s="13" t="str">
        <x:v>Pulp &amp; Paper</x:v>
      </x:c>
      <x:c r="E3697" s="13" t="str">
        <x:v>Pulp &amp; Paper</x:v>
      </x:c>
      <x:c r="F3697" s="13" t="str">
        <x:v>Deep Cyclicals</x:v>
      </x:c>
      <x:c r="G3697" s="13" t="str">
        <x:v>grid_asitui1y.xlsx</x:v>
      </x:c>
    </x:row>
    <x:row r="3698">
      <x:c r="A3698" s="15" t="n">
        <x:v>41944</x:v>
      </x:c>
      <x:c r="B3698" s="13" t="str">
        <x:v>FIBRIA CELULOSE S/A</x:v>
      </x:c>
      <x:c r="C3698" s="16" t="n">
        <x:v>294.1129408</x:v>
      </x:c>
      <x:c r="D3698" s="13" t="str">
        <x:v>Pulp &amp; Paper</x:v>
      </x:c>
      <x:c r="E3698" s="13" t="str">
        <x:v>Pulp &amp; Paper</x:v>
      </x:c>
      <x:c r="F3698" s="13" t="str">
        <x:v>Deep Cyclicals</x:v>
      </x:c>
      <x:c r="G3698" s="13" t="str">
        <x:v>grid_asitui1y.xlsx</x:v>
      </x:c>
    </x:row>
    <x:row r="3699">
      <x:c r="A3699" s="15" t="n">
        <x:v>41944</x:v>
      </x:c>
      <x:c r="B3699" s="13" t="str">
        <x:v>KLABIN SA - UNIT</x:v>
      </x:c>
      <x:c r="C3699" s="16" t="n">
        <x:v>701.247865337</x:v>
      </x:c>
      <x:c r="D3699" s="13" t="str">
        <x:v>Pulp &amp; Paper</x:v>
      </x:c>
      <x:c r="E3699" s="13" t="str">
        <x:v>Pulp &amp; Paper</x:v>
      </x:c>
      <x:c r="F3699" s="13" t="str">
        <x:v>Deep Cyclicals</x:v>
      </x:c>
      <x:c r="G3699" s="13" t="str">
        <x:v>grid_asitui1y.xlsx</x:v>
      </x:c>
    </x:row>
    <x:row r="3700">
      <x:c r="A3700" s="15" t="n">
        <x:v>41944</x:v>
      </x:c>
      <x:c r="B3700" s="13" t="str">
        <x:v>SUZANO PAPEL E CELULO-PREF A</x:v>
      </x:c>
      <x:c r="C3700" s="16" t="n">
        <x:v>630.1536575342</x:v>
      </x:c>
      <x:c r="D3700" s="13" t="str">
        <x:v>Pulp &amp; Paper</x:v>
      </x:c>
      <x:c r="E3700" s="13" t="str">
        <x:v>Pulp &amp; Paper</x:v>
      </x:c>
      <x:c r="F3700" s="13" t="str">
        <x:v>Deep Cyclicals</x:v>
      </x:c>
      <x:c r="G3700" s="13" t="str">
        <x:v>grid_asitui1y.xlsx</x:v>
      </x:c>
    </x:row>
    <x:row r="3701">
      <x:c r="A3701" s="15" t="n">
        <x:v>41944</x:v>
      </x:c>
      <x:c r="B3701" s="13" t="str">
        <x:v>CIA BRASILEIRA DE DIS-PREF</x:v>
      </x:c>
      <x:c r="C3701" s="16" t="n">
        <x:v>1699.7817740274</x:v>
      </x:c>
      <x:c r="D3701" s="13" t="str">
        <x:v>Retail</x:v>
      </x:c>
      <x:c r="E3701" s="13" t="str">
        <x:v>Retail</x:v>
      </x:c>
      <x:c r="F3701" s="13" t="str">
        <x:v>Early Cyclicals</x:v>
      </x:c>
      <x:c r="G3701" s="13" t="str">
        <x:v>grid_asitui1y.xlsx</x:v>
      </x:c>
    </x:row>
    <x:row r="3702">
      <x:c r="A3702" s="15" t="n">
        <x:v>41944</x:v>
      </x:c>
      <x:c r="B3702" s="13" t="str">
        <x:v>CIA HERING</x:v>
      </x:c>
      <x:c r="C3702" s="16" t="n">
        <x:v>353.7685609205</x:v>
      </x:c>
      <x:c r="D3702" s="13" t="str">
        <x:v>Retail</x:v>
      </x:c>
      <x:c r="E3702" s="13" t="str">
        <x:v>Retail</x:v>
      </x:c>
      <x:c r="F3702" s="13" t="str">
        <x:v>Early Cyclicals</x:v>
      </x:c>
      <x:c r="G3702" s="13" t="str">
        <x:v>grid_asitui1y.xlsx</x:v>
      </x:c>
    </x:row>
    <x:row r="3703">
      <x:c r="A3703" s="15" t="n">
        <x:v>41944</x:v>
      </x:c>
      <x:c r="B3703" s="13" t="str">
        <x:v>LOJAS AMERICANAS SA-PREF</x:v>
      </x:c>
      <x:c r="C3703" s="16" t="n">
        <x:v>639.6067941699</x:v>
      </x:c>
      <x:c r="D3703" s="13" t="str">
        <x:v>Retail</x:v>
      </x:c>
      <x:c r="E3703" s="13" t="str">
        <x:v>Retail</x:v>
      </x:c>
      <x:c r="F3703" s="13" t="str">
        <x:v>Early Cyclicals</x:v>
      </x:c>
      <x:c r="G3703" s="13" t="str">
        <x:v>grid_asitui1y.xlsx</x:v>
      </x:c>
    </x:row>
    <x:row r="3704">
      <x:c r="A3704" s="15" t="n">
        <x:v>41944</x:v>
      </x:c>
      <x:c r="B3704" s="13" t="str">
        <x:v>LOJAS RENNER S.A.</x:v>
      </x:c>
      <x:c r="C3704" s="16" t="n">
        <x:v>532.1814007233</x:v>
      </x:c>
      <x:c r="D3704" s="13" t="str">
        <x:v>Retail</x:v>
      </x:c>
      <x:c r="E3704" s="13" t="str">
        <x:v>Retail</x:v>
      </x:c>
      <x:c r="F3704" s="13" t="str">
        <x:v>Early Cyclicals</x:v>
      </x:c>
      <x:c r="G3704" s="13" t="str">
        <x:v>grid_asitui1y.xlsx</x:v>
      </x:c>
    </x:row>
    <x:row r="3705">
      <x:c r="A3705" s="15" t="n">
        <x:v>41944</x:v>
      </x:c>
      <x:c r="B3705" s="13" t="str">
        <x:v>NATURA COSMETICOS SA</x:v>
      </x:c>
      <x:c r="C3705" s="16" t="n">
        <x:v>901.842041337</x:v>
      </x:c>
      <x:c r="D3705" s="13" t="str">
        <x:v>Retail</x:v>
      </x:c>
      <x:c r="E3705" s="13" t="str">
        <x:v>Retail</x:v>
      </x:c>
      <x:c r="F3705" s="13" t="str">
        <x:v>Early Cyclicals</x:v>
      </x:c>
      <x:c r="G3705" s="13" t="str">
        <x:v>grid_asitui1y.xlsx</x:v>
      </x:c>
    </x:row>
    <x:row r="3706">
      <x:c r="A3706" s="15" t="n">
        <x:v>41944</x:v>
      </x:c>
      <x:c r="B3706" s="13" t="str">
        <x:v>CIA SANEAMENTO BASICO DE SP</x:v>
      </x:c>
      <x:c r="C3706" s="16" t="n">
        <x:v>1549.9631661589</x:v>
      </x:c>
      <x:c r="D3706" s="13" t="str">
        <x:v>Sanitation</x:v>
      </x:c>
      <x:c r="E3706" s="13" t="str">
        <x:v>Utilities</x:v>
      </x:c>
      <x:c r="F3706" s="13" t="str">
        <x:v>Defensives</x:v>
      </x:c>
      <x:c r="G3706" s="13" t="str">
        <x:v>grid_asitui1y.xlsx</x:v>
      </x:c>
    </x:row>
    <x:row r="3707">
      <x:c r="A3707" s="15" t="n">
        <x:v>41944</x:v>
      </x:c>
      <x:c r="B3707" s="13" t="str">
        <x:v>OI SA-PREFERENCE</x:v>
      </x:c>
      <x:c r="C3707" s="16" t="n">
        <x:v>175.5586228603</x:v>
      </x:c>
      <x:c r="D3707" s="13" t="str">
        <x:v>TMT</x:v>
      </x:c>
      <x:c r="E3707" s="13" t="str">
        <x:v>TMT</x:v>
      </x:c>
      <x:c r="F3707" s="13" t="str">
        <x:v>Early Cyclicals</x:v>
      </x:c>
      <x:c r="G3707" s="13" t="str">
        <x:v>grid_asitui1y.xlsx</x:v>
      </x:c>
    </x:row>
    <x:row r="3708">
      <x:c r="A3708" s="15" t="n">
        <x:v>41944</x:v>
      </x:c>
      <x:c r="B3708" s="13" t="str">
        <x:v>TELEFONICA BRASIL S.A.-PREF</x:v>
      </x:c>
      <x:c r="C3708" s="16" t="n">
        <x:v>3933.7641871781</x:v>
      </x:c>
      <x:c r="D3708" s="13" t="str">
        <x:v>TMT</x:v>
      </x:c>
      <x:c r="E3708" s="13" t="str">
        <x:v>TMT</x:v>
      </x:c>
      <x:c r="F3708" s="13" t="str">
        <x:v>Early Cyclicals</x:v>
      </x:c>
      <x:c r="G3708" s="13" t="str">
        <x:v>grid_asitui1y.xlsx</x:v>
      </x:c>
    </x:row>
    <x:row r="3709">
      <x:c r="A3709" s="15" t="n">
        <x:v>41944</x:v>
      </x:c>
      <x:c r="B3709" s="13" t="str">
        <x:v>TIM SA</x:v>
      </x:c>
      <x:c r="C3709" s="16" t="n">
        <x:v>1666.1967496767</x:v>
      </x:c>
      <x:c r="D3709" s="13" t="str">
        <x:v>TMT</x:v>
      </x:c>
      <x:c r="E3709" s="13" t="str">
        <x:v>TMT</x:v>
      </x:c>
      <x:c r="F3709" s="13" t="str">
        <x:v>Early Cyclicals</x:v>
      </x:c>
      <x:c r="G3709" s="13" t="str">
        <x:v>grid_asitui1y.xlsx</x:v>
      </x:c>
    </x:row>
    <x:row r="3710">
      <x:c r="A3710" s="15" t="n">
        <x:v>41944</x:v>
      </x:c>
      <x:c r="B3710" s="13" t="str">
        <x:v>COSAN LOGISTICA SA</x:v>
      </x:c>
      <x:c r="C3710" s="16" t="n">
        <x:v>106.537260274</x:v>
      </x:c>
      <x:c r="D3710" s="13" t="str">
        <x:v>Transportation</x:v>
      </x:c>
      <x:c r="E3710" s="13" t="str">
        <x:v>Transportation</x:v>
      </x:c>
      <x:c r="F3710" s="13" t="str">
        <x:v>Deep Cyclicals</x:v>
      </x:c>
      <x:c r="G3710" s="13" t="str">
        <x:v>grid_asitui1y.xlsx</x:v>
      </x:c>
    </x:row>
    <x:row r="3711">
      <x:c r="A3711" s="15" t="n">
        <x:v>41944</x:v>
      </x:c>
      <x:c r="B3711" s="13" t="str">
        <x:v>ECORODOVIAS INFRA E LOG SA</x:v>
      </x:c>
      <x:c r="C3711" s="16" t="n">
        <x:v>402.4001936658</x:v>
      </x:c>
      <x:c r="D3711" s="13" t="str">
        <x:v>Transportation</x:v>
      </x:c>
      <x:c r="E3711" s="13" t="str">
        <x:v>Transportation</x:v>
      </x:c>
      <x:c r="F3711" s="13" t="str">
        <x:v>Deep Cyclicals</x:v>
      </x:c>
      <x:c r="G3711" s="13" t="str">
        <x:v>grid_asitui1y.xlsx</x:v>
      </x:c>
    </x:row>
    <x:row r="3712">
      <x:c r="A3712" s="15" t="n">
        <x:v>41944</x:v>
      </x:c>
      <x:c r="B3712" s="13" t="str">
        <x:v>GOL LINHAS AEREAS INT SA-PRE</x:v>
      </x:c>
      <x:c r="C3712" s="16" t="n">
        <x:v>7.2801578082</x:v>
      </x:c>
      <x:c r="D3712" s="13" t="str">
        <x:v>Transportation</x:v>
      </x:c>
      <x:c r="E3712" s="13" t="str">
        <x:v>Transportation</x:v>
      </x:c>
      <x:c r="F3712" s="13" t="str">
        <x:v>Deep Cyclicals</x:v>
      </x:c>
      <x:c r="G3712" s="13" t="str">
        <x:v>grid_asitui1y.xlsx</x:v>
      </x:c>
    </x:row>
    <x:row r="3713">
      <x:c r="A3713" s="15" t="n">
        <x:v>41944</x:v>
      </x:c>
      <x:c r="B3713" s="13" t="str">
        <x:v>LOCALIZA RENT A CAR</x:v>
      </x:c>
      <x:c r="C3713" s="16" t="n">
        <x:v>430.0775342466</x:v>
      </x:c>
      <x:c r="D3713" s="13" t="str">
        <x:v>Transportation</x:v>
      </x:c>
      <x:c r="E3713" s="13" t="str">
        <x:v>Transportation</x:v>
      </x:c>
      <x:c r="F3713" s="13" t="str">
        <x:v>Deep Cyclicals</x:v>
      </x:c>
      <x:c r="G3713" s="13" t="str">
        <x:v>grid_asitui1y.xlsx</x:v>
      </x:c>
    </x:row>
    <x:row r="3714">
      <x:c r="A3714" s="15" t="n">
        <x:v>41944</x:v>
      </x:c>
      <x:c r="B3714" s="13" t="str">
        <x:v>MOTIVA INFRAESTRUTURA DE MOB</x:v>
      </x:c>
      <x:c r="C3714" s="16" t="n">
        <x:v>1475.2240436603</x:v>
      </x:c>
      <x:c r="D3714" s="13" t="str">
        <x:v>Transportation</x:v>
      </x:c>
      <x:c r="E3714" s="13" t="str">
        <x:v>Transportation</x:v>
      </x:c>
      <x:c r="F3714" s="13" t="str">
        <x:v>Deep Cyclicals</x:v>
      </x:c>
      <x:c r="G3714" s="13" t="str">
        <x:v>grid_asitui1y.xlsx</x:v>
      </x:c>
    </x:row>
    <x:row r="3715">
      <x:c r="A3715" s="15" t="n">
        <x:v>41944</x:v>
      </x:c>
      <x:c r="B3715" s="13" t="str">
        <x:v>RUMO SA</x:v>
      </x:c>
      <x:c r="C3715" s="16" t="n">
        <x:v>293.3908109589</x:v>
      </x:c>
      <x:c r="D3715" s="13" t="str">
        <x:v>Transportation</x:v>
      </x:c>
      <x:c r="E3715" s="13" t="str">
        <x:v>Transportation</x:v>
      </x:c>
      <x:c r="F3715" s="13" t="str">
        <x:v>Deep Cyclicals</x:v>
      </x:c>
      <x:c r="G3715" s="13" t="str">
        <x:v>grid_asitui1y.xlsx</x:v>
      </x:c>
    </x:row>
    <x:row r="3716">
      <x:c r="A3716" s="15" t="n">
        <x:v>41944</x:v>
      </x:c>
      <x:c r="B3716" s="13" t="str">
        <x:v>AXIA ENERGIA SA</x:v>
      </x:c>
      <x:c r="C3716" s="16" t="n">
        <x:v>1102.6865811288</x:v>
      </x:c>
      <x:c r="D3716" s="13" t="str">
        <x:v>Utilities &amp; Energy</x:v>
      </x:c>
      <x:c r="E3716" s="13" t="str">
        <x:v>Utilities</x:v>
      </x:c>
      <x:c r="F3716" s="13" t="str">
        <x:v>Defensives</x:v>
      </x:c>
      <x:c r="G3716" s="13" t="str">
        <x:v>grid_asitui1y.xlsx</x:v>
      </x:c>
    </x:row>
    <x:row r="3717">
      <x:c r="A3717" s="15" t="n">
        <x:v>41944</x:v>
      </x:c>
      <x:c r="B3717" s="13" t="str">
        <x:v>AXIA ENERGIA-PR B</x:v>
      </x:c>
      <x:c r="C3717" s="16" t="n">
        <x:v>1102.6865811288</x:v>
      </x:c>
      <x:c r="D3717" s="13" t="str">
        <x:v>Utilities &amp; Energy</x:v>
      </x:c>
      <x:c r="E3717" s="13" t="str">
        <x:v>Utilities</x:v>
      </x:c>
      <x:c r="F3717" s="13" t="str">
        <x:v>Defensives</x:v>
      </x:c>
      <x:c r="G3717" s="13" t="str">
        <x:v>grid_asitui1y.xlsx</x:v>
      </x:c>
    </x:row>
    <x:row r="3718">
      <x:c r="A3718" s="15" t="n">
        <x:v>41944</x:v>
      </x:c>
      <x:c r="B3718" s="13" t="str">
        <x:v>CESP - CIA ENERGETICA DE SAO</x:v>
      </x:c>
      <x:c r="C3718" s="16" t="n">
        <x:v>914.8651218411</x:v>
      </x:c>
      <x:c r="D3718" s="13" t="str">
        <x:v>Utilities &amp; Energy</x:v>
      </x:c>
      <x:c r="E3718" s="13" t="str">
        <x:v>Utilities</x:v>
      </x:c>
      <x:c r="F3718" s="13" t="str">
        <x:v>Defensives</x:v>
      </x:c>
      <x:c r="G3718" s="13" t="str">
        <x:v>grid_asitui1y.xlsx</x:v>
      </x:c>
    </x:row>
    <x:row r="3719">
      <x:c r="A3719" s="15" t="n">
        <x:v>41944</x:v>
      </x:c>
      <x:c r="B3719" s="13" t="str">
        <x:v>CIA ENERGETICA MINAS GER-PRF</x:v>
      </x:c>
      <x:c r="C3719" s="16" t="n">
        <x:v>2336.6045331288</x:v>
      </x:c>
      <x:c r="D3719" s="13" t="str">
        <x:v>Utilities &amp; Energy</x:v>
      </x:c>
      <x:c r="E3719" s="13" t="str">
        <x:v>Utilities</x:v>
      </x:c>
      <x:c r="F3719" s="13" t="str">
        <x:v>Defensives</x:v>
      </x:c>
      <x:c r="G3719" s="13" t="str">
        <x:v>grid_asitui1y.xlsx</x:v>
      </x:c>
    </x:row>
    <x:row r="3720">
      <x:c r="A3720" s="15" t="n">
        <x:v>41944</x:v>
      </x:c>
      <x:c r="B3720" s="13" t="str">
        <x:v>COMPANHIA PARANAENSE -PREF B</x:v>
      </x:c>
      <x:c r="C3720" s="16" t="n">
        <x:v>1405.2156479123</x:v>
      </x:c>
      <x:c r="D3720" s="13" t="str">
        <x:v>Utilities &amp; Energy</x:v>
      </x:c>
      <x:c r="E3720" s="13" t="str">
        <x:v>Utilities</x:v>
      </x:c>
      <x:c r="F3720" s="13" t="str">
        <x:v>Defensives</x:v>
      </x:c>
      <x:c r="G3720" s="13" t="str">
        <x:v>grid_asitui1y.xlsx</x:v>
      </x:c>
    </x:row>
    <x:row r="3721">
      <x:c r="A3721" s="15" t="n">
        <x:v>41944</x:v>
      </x:c>
      <x:c r="B3721" s="13" t="str">
        <x:v>CPFL ENERGIA SA</x:v>
      </x:c>
      <x:c r="C3721" s="16" t="n">
        <x:v>1257.8895409096</x:v>
      </x:c>
      <x:c r="D3721" s="13" t="str">
        <x:v>Utilities &amp; Energy</x:v>
      </x:c>
      <x:c r="E3721" s="13" t="str">
        <x:v>Utilities</x:v>
      </x:c>
      <x:c r="F3721" s="13" t="str">
        <x:v>Defensives</x:v>
      </x:c>
      <x:c r="G3721" s="13" t="str">
        <x:v>grid_asitui1y.xlsx</x:v>
      </x:c>
    </x:row>
    <x:row r="3722">
      <x:c r="A3722" s="15" t="n">
        <x:v>41944</x:v>
      </x:c>
      <x:c r="B3722" s="13" t="str">
        <x:v>EDP - ENERGIAS DO BRASIL SA</x:v>
      </x:c>
      <x:c r="C3722" s="16" t="n">
        <x:v>486.1520166575</x:v>
      </x:c>
      <x:c r="D3722" s="13" t="str">
        <x:v>Utilities &amp; Energy</x:v>
      </x:c>
      <x:c r="E3722" s="13" t="str">
        <x:v>Utilities</x:v>
      </x:c>
      <x:c r="F3722" s="13" t="str">
        <x:v>Defensives</x:v>
      </x:c>
      <x:c r="G3722" s="13" t="str">
        <x:v>grid_asitui1y.xlsx</x:v>
      </x:c>
    </x:row>
    <x:row r="3723">
      <x:c r="A3723" s="15" t="n">
        <x:v>41944</x:v>
      </x:c>
      <x:c r="B3723" s="13" t="str">
        <x:v>ELETROPAULO METROPOLI-PREF</x:v>
      </x:c>
      <x:c r="C3723" s="16" t="n">
        <x:v>7.0246003726</x:v>
      </x:c>
      <x:c r="D3723" s="13" t="str">
        <x:v>Utilities &amp; Energy</x:v>
      </x:c>
      <x:c r="E3723" s="13" t="str">
        <x:v>Utilities</x:v>
      </x:c>
      <x:c r="F3723" s="13" t="str">
        <x:v>Defensives</x:v>
      </x:c>
      <x:c r="G3723" s="13" t="str">
        <x:v>grid_asitui1y.xlsx</x:v>
      </x:c>
    </x:row>
    <x:row r="3724">
      <x:c r="A3724" s="15" t="n">
        <x:v>41944</x:v>
      </x:c>
      <x:c r="B3724" s="13" t="str">
        <x:v>ENGIE BRASIL ENERGIA SA</x:v>
      </x:c>
      <x:c r="C3724" s="16" t="n">
        <x:v>1711.333727737</x:v>
      </x:c>
      <x:c r="D3724" s="13" t="str">
        <x:v>Utilities &amp; Energy</x:v>
      </x:c>
      <x:c r="E3724" s="13" t="str">
        <x:v>Utilities</x:v>
      </x:c>
      <x:c r="F3724" s="13" t="str">
        <x:v>Defensives</x:v>
      </x:c>
      <x:c r="G3724" s="13" t="str">
        <x:v>grid_asitui1y.xlsx</x:v>
      </x:c>
    </x:row>
    <x:row r="3725">
      <x:c r="A3725" s="15" t="n">
        <x:v>41944</x:v>
      </x:c>
      <x:c r="B3725" s="13" t="str">
        <x:v>LIGHT SA</x:v>
      </x:c>
      <x:c r="C3725" s="16" t="n">
        <x:v>581.6475636603</x:v>
      </x:c>
      <x:c r="D3725" s="13" t="str">
        <x:v>Utilities &amp; Energy</x:v>
      </x:c>
      <x:c r="E3725" s="13" t="str">
        <x:v>Utilities</x:v>
      </x:c>
      <x:c r="F3725" s="13" t="str">
        <x:v>Defensives</x:v>
      </x:c>
      <x:c r="G3725" s="13" t="str">
        <x:v>grid_asitui1y.xlsx</x:v>
      </x:c>
    </x:row>
    <x:row r="3726">
      <x:c r="A3726" s="15" t="n">
        <x:v>41974</x:v>
      </x:c>
      <x:c r="B3726" s="13" t="str">
        <x:v>BANCO BRADESCO S.A.</x:v>
      </x:c>
      <x:c r="C3726" s="16" t="n">
        <x:v>16811.599872</x:v>
      </x:c>
      <x:c r="D3726" s="13" t="str">
        <x:v>Banks</x:v>
      </x:c>
      <x:c r="E3726" s="13" t="str">
        <x:v>Banks</x:v>
      </x:c>
      <x:c r="F3726" s="13" t="str">
        <x:v>Financials</x:v>
      </x:c>
      <x:c r="G3726" s="13" t="str">
        <x:v>grid_asitui1y.xlsx</x:v>
      </x:c>
    </x:row>
    <x:row r="3727">
      <x:c r="A3727" s="15" t="n">
        <x:v>41974</x:v>
      </x:c>
      <x:c r="B3727" s="13" t="str">
        <x:v>BANCO BRADESCO SA-PREF</x:v>
      </x:c>
      <x:c r="C3727" s="16" t="n">
        <x:v>16811.599872</x:v>
      </x:c>
      <x:c r="D3727" s="13" t="str">
        <x:v>Banks</x:v>
      </x:c>
      <x:c r="E3727" s="13" t="str">
        <x:v>Banks</x:v>
      </x:c>
      <x:c r="F3727" s="13" t="str">
        <x:v>Financials</x:v>
      </x:c>
      <x:c r="G3727" s="13" t="str">
        <x:v>grid_asitui1y.xlsx</x:v>
      </x:c>
    </x:row>
    <x:row r="3728">
      <x:c r="A3728" s="15" t="n">
        <x:v>41974</x:v>
      </x:c>
      <x:c r="B3728" s="13" t="str">
        <x:v>BANCO DO BRASIL S.A.</x:v>
      </x:c>
      <x:c r="C3728" s="16" t="n">
        <x:v>12321.89952</x:v>
      </x:c>
      <x:c r="D3728" s="13" t="str">
        <x:v>Banks</x:v>
      </x:c>
      <x:c r="E3728" s="13" t="str">
        <x:v>Banks</x:v>
      </x:c>
      <x:c r="F3728" s="13" t="str">
        <x:v>Financials</x:v>
      </x:c>
      <x:c r="G3728" s="13" t="str">
        <x:v>grid_asitui1y.xlsx</x:v>
      </x:c>
    </x:row>
    <x:row r="3729">
      <x:c r="A3729" s="15" t="n">
        <x:v>41974</x:v>
      </x:c>
      <x:c r="B3729" s="13" t="str">
        <x:v>BANCO SANTANDER  BRASIL-UNIT</x:v>
      </x:c>
      <x:c r="C3729" s="16" t="n">
        <x:v>6338.999808</x:v>
      </x:c>
      <x:c r="D3729" s="13" t="str">
        <x:v>Banks</x:v>
      </x:c>
      <x:c r="E3729" s="13" t="str">
        <x:v>Banks</x:v>
      </x:c>
      <x:c r="F3729" s="13" t="str">
        <x:v>Financials</x:v>
      </x:c>
      <x:c r="G3729" s="13" t="str">
        <x:v>grid_asitui1y.xlsx</x:v>
      </x:c>
    </x:row>
    <x:row r="3730">
      <x:c r="A3730" s="15" t="n">
        <x:v>41974</x:v>
      </x:c>
      <x:c r="B3730" s="13" t="str">
        <x:v>ITAU UNIBANCO HOLDING S-PREF</x:v>
      </x:c>
      <x:c r="C3730" s="16" t="n">
        <x:v>21909.600256</x:v>
      </x:c>
      <x:c r="D3730" s="13" t="str">
        <x:v>Banks</x:v>
      </x:c>
      <x:c r="E3730" s="13" t="str">
        <x:v>Banks</x:v>
      </x:c>
      <x:c r="F3730" s="13" t="str">
        <x:v>Financials</x:v>
      </x:c>
      <x:c r="G3730" s="13" t="str">
        <x:v>grid_asitui1y.xlsx</x:v>
      </x:c>
    </x:row>
    <x:row r="3731">
      <x:c r="A3731" s="15" t="n">
        <x:v>41974</x:v>
      </x:c>
      <x:c r="B3731" s="13" t="str">
        <x:v>EMBRAER SA</x:v>
      </x:c>
      <x:c r="C3731" s="16" t="n">
        <x:v>1268.790016</x:v>
      </x:c>
      <x:c r="D3731" s="13" t="str">
        <x:v>Capital Goods</x:v>
      </x:c>
      <x:c r="E3731" s="13" t="str">
        <x:v>Capital Goods</x:v>
      </x:c>
      <x:c r="F3731" s="13" t="str">
        <x:v>Deep Cyclicals</x:v>
      </x:c>
      <x:c r="G3731" s="13" t="str">
        <x:v>grid_asitui1y.xlsx</x:v>
      </x:c>
    </x:row>
    <x:row r="3732">
      <x:c r="A3732" s="15" t="n">
        <x:v>41974</x:v>
      </x:c>
      <x:c r="B3732" s="13" t="str">
        <x:v>MARCOPOLO SA-PREF</x:v>
      </x:c>
      <x:c r="C3732" s="16" t="n">
        <x:v>265.624992</x:v>
      </x:c>
      <x:c r="D3732" s="13" t="str">
        <x:v>Capital Goods</x:v>
      </x:c>
      <x:c r="E3732" s="13" t="str">
        <x:v>Capital Goods</x:v>
      </x:c>
      <x:c r="F3732" s="13" t="str">
        <x:v>Deep Cyclicals</x:v>
      </x:c>
      <x:c r="G3732" s="13" t="str">
        <x:v>grid_asitui1y.xlsx</x:v>
      </x:c>
    </x:row>
    <x:row r="3733">
      <x:c r="A3733" s="15" t="n">
        <x:v>41974</x:v>
      </x:c>
      <x:c r="B3733" s="13" t="str">
        <x:v>COGNA EDUCACAO</x:v>
      </x:c>
      <x:c r="C3733" s="16" t="n">
        <x:v>1613.92</x:v>
      </x:c>
      <x:c r="D3733" s="13" t="str">
        <x:v>Education</x:v>
      </x:c>
      <x:c r="E3733" s="13" t="str">
        <x:v>Education</x:v>
      </x:c>
      <x:c r="F3733" s="13" t="str">
        <x:v>Early Cyclicals</x:v>
      </x:c>
      <x:c r="G3733" s="13" t="str">
        <x:v>grid_asitui1y.xlsx</x:v>
      </x:c>
    </x:row>
    <x:row r="3734">
      <x:c r="A3734" s="15" t="n">
        <x:v>41974</x:v>
      </x:c>
      <x:c r="B3734" s="13" t="str">
        <x:v>YDUQS PARTICIPACOES SA</x:v>
      </x:c>
      <x:c r="C3734" s="16" t="n">
        <x:v>596.132992</x:v>
      </x:c>
      <x:c r="D3734" s="13" t="str">
        <x:v>Education</x:v>
      </x:c>
      <x:c r="E3734" s="13" t="str">
        <x:v>Education</x:v>
      </x:c>
      <x:c r="F3734" s="13" t="str">
        <x:v>Early Cyclicals</x:v>
      </x:c>
      <x:c r="G3734" s="13" t="str">
        <x:v>grid_asitui1y.xlsx</x:v>
      </x:c>
    </x:row>
    <x:row r="3735">
      <x:c r="A3735" s="15" t="n">
        <x:v>41974</x:v>
      </x:c>
      <x:c r="B3735" s="13" t="str">
        <x:v>B3 SA-BRASIL BOLSA BALCAO</x:v>
      </x:c>
      <x:c r="C3735" s="16" t="n">
        <x:v>1606</x:v>
      </x:c>
      <x:c r="D3735" s="13" t="str">
        <x:v>Financials Non-Banks</x:v>
      </x:c>
      <x:c r="E3735" s="13" t="str">
        <x:v>Financials Non-Banks</x:v>
      </x:c>
      <x:c r="F3735" s="13" t="str">
        <x:v>Financials</x:v>
      </x:c>
      <x:c r="G3735" s="13" t="str">
        <x:v>grid_asitui1y.xlsx</x:v>
      </x:c>
    </x:row>
    <x:row r="3736">
      <x:c r="A3736" s="15" t="n">
        <x:v>41974</x:v>
      </x:c>
      <x:c r="B3736" s="13" t="str">
        <x:v>BB SEGURIDADE PARTICIPACOES</x:v>
      </x:c>
      <x:c r="C3736" s="16" t="n">
        <x:v>3841.639936</x:v>
      </x:c>
      <x:c r="D3736" s="13" t="str">
        <x:v>Financials Non-Banks</x:v>
      </x:c>
      <x:c r="E3736" s="13" t="str">
        <x:v>Financials Non-Banks</x:v>
      </x:c>
      <x:c r="F3736" s="13" t="str">
        <x:v>Financials</x:v>
      </x:c>
      <x:c r="G3736" s="13" t="str">
        <x:v>grid_asitui1y.xlsx</x:v>
      </x:c>
    </x:row>
    <x:row r="3737">
      <x:c r="A3737" s="15" t="n">
        <x:v>41974</x:v>
      </x:c>
      <x:c r="B3737" s="13" t="str">
        <x:v>CETIP SA-MERCADOS ORGANIZADO</x:v>
      </x:c>
      <x:c r="C3737" s="16" t="n">
        <x:v>529.556</x:v>
      </x:c>
      <x:c r="D3737" s="13" t="str">
        <x:v>Financials Non-Banks</x:v>
      </x:c>
      <x:c r="E3737" s="13" t="str">
        <x:v>Financials Non-Banks</x:v>
      </x:c>
      <x:c r="F3737" s="13" t="str">
        <x:v>Financials</x:v>
      </x:c>
      <x:c r="G3737" s="13" t="str">
        <x:v>grid_asitui1y.xlsx</x:v>
      </x:c>
    </x:row>
    <x:row r="3738">
      <x:c r="A3738" s="15" t="n">
        <x:v>41974</x:v>
      </x:c>
      <x:c r="B3738" s="13" t="str">
        <x:v>CIELO SA - INSTITUICAO DE PA</x:v>
      </x:c>
      <x:c r="C3738" s="16" t="n">
        <x:v>3753.570048</x:v>
      </x:c>
      <x:c r="D3738" s="13" t="str">
        <x:v>Financials Non-Banks</x:v>
      </x:c>
      <x:c r="E3738" s="13" t="str">
        <x:v>Financials Non-Banks</x:v>
      </x:c>
      <x:c r="F3738" s="13" t="str">
        <x:v>Financials</x:v>
      </x:c>
      <x:c r="G3738" s="13" t="str">
        <x:v>grid_asitui1y.xlsx</x:v>
      </x:c>
    </x:row>
    <x:row r="3739">
      <x:c r="A3739" s="15" t="n">
        <x:v>41974</x:v>
      </x:c>
      <x:c r="B3739" s="13" t="str">
        <x:v>ITAUSA SA</x:v>
      </x:c>
      <x:c r="C3739" s="16" t="n">
        <x:v>8118.000128</x:v>
      </x:c>
      <x:c r="D3739" s="13" t="str">
        <x:v>Financials Non-Banks</x:v>
      </x:c>
      <x:c r="E3739" s="13" t="str">
        <x:v>Financials Non-Banks</x:v>
      </x:c>
      <x:c r="F3739" s="13" t="str">
        <x:v>Financials</x:v>
      </x:c>
      <x:c r="G3739" s="13" t="str">
        <x:v>grid_asitui1y.xlsx</x:v>
      </x:c>
    </x:row>
    <x:row r="3740">
      <x:c r="A3740" s="15" t="n">
        <x:v>41974</x:v>
      </x:c>
      <x:c r="B3740" s="13" t="str">
        <x:v>AMBEV SA</x:v>
      </x:c>
      <x:c r="C3740" s="16" t="n">
        <x:v>13639.300096</x:v>
      </x:c>
      <x:c r="D3740" s="13" t="str">
        <x:v>Food &amp; Beverages</x:v>
      </x:c>
      <x:c r="E3740" s="13" t="str">
        <x:v>Agri, Food &amp; Beverages</x:v>
      </x:c>
      <x:c r="F3740" s="13" t="str">
        <x:v>Defensives</x:v>
      </x:c>
      <x:c r="G3740" s="13" t="str">
        <x:v>grid_asitui1y.xlsx</x:v>
      </x:c>
    </x:row>
    <x:row r="3741">
      <x:c r="A3741" s="15" t="n">
        <x:v>41974</x:v>
      </x:c>
      <x:c r="B3741" s="13" t="str">
        <x:v>BRF SA</x:v>
      </x:c>
      <x:c r="C3741" s="16" t="n">
        <x:v>2591.36</x:v>
      </x:c>
      <x:c r="D3741" s="13" t="str">
        <x:v>Food &amp; Beverages</x:v>
      </x:c>
      <x:c r="E3741" s="13" t="str">
        <x:v>Agri, Food &amp; Beverages</x:v>
      </x:c>
      <x:c r="F3741" s="13" t="str">
        <x:v>Defensives</x:v>
      </x:c>
      <x:c r="G3741" s="13" t="str">
        <x:v>grid_asitui1y.xlsx</x:v>
      </x:c>
    </x:row>
    <x:row r="3742">
      <x:c r="A3742" s="15" t="n">
        <x:v>41974</x:v>
      </x:c>
      <x:c r="B3742" s="13" t="str">
        <x:v>MBRF GLOBAL FOODS COMPANY SA</x:v>
      </x:c>
      <x:c r="C3742" s="16" t="n">
        <x:v>141.68</x:v>
      </x:c>
      <x:c r="D3742" s="13" t="str">
        <x:v>Food &amp; Beverages</x:v>
      </x:c>
      <x:c r="E3742" s="13" t="str">
        <x:v>Agri, Food &amp; Beverages</x:v>
      </x:c>
      <x:c r="F3742" s="13" t="str">
        <x:v>Defensives</x:v>
      </x:c>
      <x:c r="G3742" s="13" t="str">
        <x:v>grid_asitui1y.xlsx</x:v>
      </x:c>
    </x:row>
    <x:row r="3743">
      <x:c r="A3743" s="15" t="n">
        <x:v>41974</x:v>
      </x:c>
      <x:c r="B3743" s="13" t="str">
        <x:v>SOUZA CRUZ LTDA</x:v>
      </x:c>
      <x:c r="C3743" s="16" t="n">
        <x:v>1787.330048</x:v>
      </x:c>
      <x:c r="D3743" s="13" t="str">
        <x:v>Food &amp; Beverages</x:v>
      </x:c>
      <x:c r="E3743" s="13" t="str">
        <x:v>Agri, Food &amp; Beverages</x:v>
      </x:c>
      <x:c r="F3743" s="13" t="str">
        <x:v>Defensives</x:v>
      </x:c>
      <x:c r="G3743" s="13" t="str">
        <x:v>grid_asitui1y.xlsx</x:v>
      </x:c>
    </x:row>
    <x:row r="3744">
      <x:c r="A3744" s="15" t="n">
        <x:v>41974</x:v>
      </x:c>
      <x:c r="B3744" s="13" t="str">
        <x:v>HYPERA SA</x:v>
      </x:c>
      <x:c r="C3744" s="16" t="n">
        <x:v>550.153984</x:v>
      </x:c>
      <x:c r="D3744" s="13" t="str">
        <x:v>Health Care</x:v>
      </x:c>
      <x:c r="E3744" s="13" t="str">
        <x:v>Health Care</x:v>
      </x:c>
      <x:c r="F3744" s="13" t="str">
        <x:v>Defensives</x:v>
      </x:c>
      <x:c r="G3744" s="13" t="str">
        <x:v>grid_asitui1y.xlsx</x:v>
      </x:c>
    </x:row>
    <x:row r="3745">
      <x:c r="A3745" s="15" t="n">
        <x:v>41974</x:v>
      </x:c>
      <x:c r="B3745" s="13" t="str">
        <x:v>QUALICORP CONS E CORR SEG SA</x:v>
      </x:c>
      <x:c r="C3745" s="16" t="n">
        <x:v>373.249984</x:v>
      </x:c>
      <x:c r="D3745" s="13" t="str">
        <x:v>Health Care</x:v>
      </x:c>
      <x:c r="E3745" s="13" t="str">
        <x:v>Health Care</x:v>
      </x:c>
      <x:c r="F3745" s="13" t="str">
        <x:v>Defensives</x:v>
      </x:c>
      <x:c r="G3745" s="13" t="str">
        <x:v>grid_asitui1y.xlsx</x:v>
      </x:c>
    </x:row>
    <x:row r="3746">
      <x:c r="A3746" s="15" t="n">
        <x:v>41974</x:v>
      </x:c>
      <x:c r="B3746" s="13" t="str">
        <x:v>CYRELA BRAZIL REALTY SA EMP</x:v>
      </x:c>
      <x:c r="C3746" s="16" t="n">
        <x:v>767.332992</x:v>
      </x:c>
      <x:c r="D3746" s="13" t="str">
        <x:v>Homebuilders</x:v>
      </x:c>
      <x:c r="E3746" s="13" t="str">
        <x:v>Real Estate</x:v>
      </x:c>
      <x:c r="F3746" s="13" t="str">
        <x:v>Early Cyclicals</x:v>
      </x:c>
      <x:c r="G3746" s="13" t="str">
        <x:v>grid_asitui1y.xlsx</x:v>
      </x:c>
    </x:row>
    <x:row r="3747">
      <x:c r="A3747" s="15" t="n">
        <x:v>41974</x:v>
      </x:c>
      <x:c r="B3747" s="13" t="str">
        <x:v>EVEN CONSTRUTORA E INCORPORA</x:v>
      </x:c>
      <x:c r="C3747" s="16" t="n">
        <x:v>286.167008</x:v>
      </x:c>
      <x:c r="D3747" s="13" t="str">
        <x:v>Homebuilders</x:v>
      </x:c>
      <x:c r="E3747" s="13" t="str">
        <x:v>Real Estate</x:v>
      </x:c>
      <x:c r="F3747" s="13" t="str">
        <x:v>Early Cyclicals</x:v>
      </x:c>
      <x:c r="G3747" s="13" t="str">
        <x:v>grid_asitui1y.xlsx</x:v>
      </x:c>
    </x:row>
    <x:row r="3748">
      <x:c r="A3748" s="15" t="n">
        <x:v>41974</x:v>
      </x:c>
      <x:c r="B3748" s="13" t="str">
        <x:v>GAFISA SA</x:v>
      </x:c>
      <x:c r="C3748" s="16" t="n">
        <x:v>69.812496</x:v>
      </x:c>
      <x:c r="D3748" s="13" t="str">
        <x:v>Homebuilders</x:v>
      </x:c>
      <x:c r="E3748" s="13" t="str">
        <x:v>Real Estate</x:v>
      </x:c>
      <x:c r="F3748" s="13" t="str">
        <x:v>Early Cyclicals</x:v>
      </x:c>
      <x:c r="G3748" s="13" t="str">
        <x:v>grid_asitui1y.xlsx</x:v>
      </x:c>
    </x:row>
    <x:row r="3749">
      <x:c r="A3749" s="15" t="n">
        <x:v>41974</x:v>
      </x:c>
      <x:c r="B3749" s="13" t="str">
        <x:v>MRV ENGENHARIA</x:v>
      </x:c>
      <x:c r="C3749" s="16" t="n">
        <x:v>547.571008</x:v>
      </x:c>
      <x:c r="D3749" s="13" t="str">
        <x:v>Homebuilders</x:v>
      </x:c>
      <x:c r="E3749" s="13" t="str">
        <x:v>Real Estate</x:v>
      </x:c>
      <x:c r="F3749" s="13" t="str">
        <x:v>Early Cyclicals</x:v>
      </x:c>
      <x:c r="G3749" s="13" t="str">
        <x:v>grid_asitui1y.xlsx</x:v>
      </x:c>
    </x:row>
    <x:row r="3750">
      <x:c r="A3750" s="15" t="n">
        <x:v>41974</x:v>
      </x:c>
      <x:c r="B3750" s="13" t="str">
        <x:v>PDG REALTY SA</x:v>
      </x:c>
      <x:c r="C3750" s="16" t="n">
        <x:v>-127.512</x:v>
      </x:c>
      <x:c r="D3750" s="13" t="str">
        <x:v>Homebuilders</x:v>
      </x:c>
      <x:c r="E3750" s="13" t="str">
        <x:v>Real Estate</x:v>
      </x:c>
      <x:c r="F3750" s="13" t="str">
        <x:v>Early Cyclicals</x:v>
      </x:c>
      <x:c r="G3750" s="13" t="str">
        <x:v>grid_asitui1y.xlsx</x:v>
      </x:c>
    </x:row>
    <x:row r="3751">
      <x:c r="A3751" s="15" t="n">
        <x:v>41974</x:v>
      </x:c>
      <x:c r="B3751" s="13" t="str">
        <x:v>ROSSI RESIDENCIAL SA</x:v>
      </x:c>
      <x:c r="C3751" s="16" t="n">
        <x:v>-67.166704</x:v>
      </x:c>
      <x:c r="D3751" s="13" t="str">
        <x:v>Homebuilders</x:v>
      </x:c>
      <x:c r="E3751" s="13" t="str">
        <x:v>Real Estate</x:v>
      </x:c>
      <x:c r="F3751" s="13" t="str">
        <x:v>Early Cyclicals</x:v>
      </x:c>
      <x:c r="G3751" s="13" t="str">
        <x:v>grid_asitui1y.xlsx</x:v>
      </x:c>
    </x:row>
    <x:row r="3752">
      <x:c r="A3752" s="15" t="n">
        <x:v>41974</x:v>
      </x:c>
      <x:c r="B3752" s="13" t="str">
        <x:v>BR MALLS PARTICIPACOES SA</x:v>
      </x:c>
      <x:c r="C3752" s="16" t="n">
        <x:v>478.083008</x:v>
      </x:c>
      <x:c r="D3752" s="13" t="str">
        <x:v>Income Properties</x:v>
      </x:c>
      <x:c r="E3752" s="13" t="str">
        <x:v>Real Estate</x:v>
      </x:c>
      <x:c r="F3752" s="13" t="str">
        <x:v>Early Cyclicals</x:v>
      </x:c>
      <x:c r="G3752" s="13" t="str">
        <x:v>grid_asitui1y.xlsx</x:v>
      </x:c>
    </x:row>
    <x:row r="3753">
      <x:c r="A3753" s="15" t="n">
        <x:v>41974</x:v>
      </x:c>
      <x:c r="B3753" s="13" t="str">
        <x:v>SOLID ATIVOS IMOBILIARIOS SA</x:v>
      </x:c>
      <x:c r="C3753" s="16" t="n">
        <x:v>196.875008</x:v>
      </x:c>
      <x:c r="D3753" s="13" t="str">
        <x:v>Income Properties</x:v>
      </x:c>
      <x:c r="E3753" s="13" t="str">
        <x:v>Real Estate</x:v>
      </x:c>
      <x:c r="F3753" s="13" t="str">
        <x:v>Early Cyclicals</x:v>
      </x:c>
      <x:c r="G3753" s="13" t="str">
        <x:v>grid_asitui1y.xlsx</x:v>
      </x:c>
    </x:row>
    <x:row r="3754">
      <x:c r="A3754" s="15" t="n">
        <x:v>41974</x:v>
      </x:c>
      <x:c r="B3754" s="13" t="str">
        <x:v>BRADESPAR SA -PREF</x:v>
      </x:c>
      <x:c r="C3754" s="16" t="n">
        <x:v>729.500032</x:v>
      </x:c>
      <x:c r="D3754" s="13" t="str">
        <x:v>Metals &amp; Mining</x:v>
      </x:c>
      <x:c r="E3754" s="13" t="str">
        <x:v>Metals &amp; Mining</x:v>
      </x:c>
      <x:c r="F3754" s="13" t="str">
        <x:v>Deep Cyclicals</x:v>
      </x:c>
      <x:c r="G3754" s="13" t="str">
        <x:v>grid_asitui1y.xlsx</x:v>
      </x:c>
    </x:row>
    <x:row r="3755">
      <x:c r="A3755" s="15" t="n">
        <x:v>41974</x:v>
      </x:c>
      <x:c r="B3755" s="13" t="str">
        <x:v>CIA SIDERURGICA NACIONAL SA</x:v>
      </x:c>
      <x:c r="C3755" s="16" t="n">
        <x:v>314.667008</x:v>
      </x:c>
      <x:c r="D3755" s="13" t="str">
        <x:v>Metals &amp; Mining</x:v>
      </x:c>
      <x:c r="E3755" s="13" t="str">
        <x:v>Metals &amp; Mining</x:v>
      </x:c>
      <x:c r="F3755" s="13" t="str">
        <x:v>Deep Cyclicals</x:v>
      </x:c>
      <x:c r="G3755" s="13" t="str">
        <x:v>grid_asitui1y.xlsx</x:v>
      </x:c>
    </x:row>
    <x:row r="3756">
      <x:c r="A3756" s="15" t="n">
        <x:v>41974</x:v>
      </x:c>
      <x:c r="B3756" s="13" t="str">
        <x:v>GERDAU SA-PREF</x:v>
      </x:c>
      <x:c r="C3756" s="16" t="n">
        <x:v>1313.250048</x:v>
      </x:c>
      <x:c r="D3756" s="13" t="str">
        <x:v>Metals &amp; Mining</x:v>
      </x:c>
      <x:c r="E3756" s="13" t="str">
        <x:v>Metals &amp; Mining</x:v>
      </x:c>
      <x:c r="F3756" s="13" t="str">
        <x:v>Deep Cyclicals</x:v>
      </x:c>
      <x:c r="G3756" s="13" t="str">
        <x:v>grid_asitui1y.xlsx</x:v>
      </x:c>
    </x:row>
    <x:row r="3757">
      <x:c r="A3757" s="15" t="n">
        <x:v>41974</x:v>
      </x:c>
      <x:c r="B3757" s="13" t="str">
        <x:v>METALURGICA GERDAU SA-PREF</x:v>
      </x:c>
      <x:c r="C3757" s="16" t="n">
        <x:v>512.5</x:v>
      </x:c>
      <x:c r="D3757" s="13" t="str">
        <x:v>Metals &amp; Mining</x:v>
      </x:c>
      <x:c r="E3757" s="13" t="str">
        <x:v>Metals &amp; Mining</x:v>
      </x:c>
      <x:c r="F3757" s="13" t="str">
        <x:v>Deep Cyclicals</x:v>
      </x:c>
      <x:c r="G3757" s="13" t="str">
        <x:v>grid_asitui1y.xlsx</x:v>
      </x:c>
    </x:row>
    <x:row r="3758">
      <x:c r="A3758" s="15" t="n">
        <x:v>41974</x:v>
      </x:c>
      <x:c r="B3758" s="13" t="str">
        <x:v>USINAS SIDER MINAS GER-PF A</x:v>
      </x:c>
      <x:c r="C3758" s="16" t="n">
        <x:v>208.154</x:v>
      </x:c>
      <x:c r="D3758" s="13" t="str">
        <x:v>Metals &amp; Mining</x:v>
      </x:c>
      <x:c r="E3758" s="13" t="str">
        <x:v>Metals &amp; Mining</x:v>
      </x:c>
      <x:c r="F3758" s="13" t="str">
        <x:v>Deep Cyclicals</x:v>
      </x:c>
      <x:c r="G3758" s="13" t="str">
        <x:v>grid_asitui1y.xlsx</x:v>
      </x:c>
    </x:row>
    <x:row r="3759">
      <x:c r="A3759" s="15" t="n">
        <x:v>41974</x:v>
      </x:c>
      <x:c r="B3759" s="13" t="str">
        <x:v>VALE SA</x:v>
      </x:c>
      <x:c r="C3759" s="16" t="n">
        <x:v>11476.70016</x:v>
      </x:c>
      <x:c r="D3759" s="13" t="str">
        <x:v>Metals &amp; Mining</x:v>
      </x:c>
      <x:c r="E3759" s="13" t="str">
        <x:v>Metals &amp; Mining</x:v>
      </x:c>
      <x:c r="F3759" s="13" t="str">
        <x:v>Deep Cyclicals</x:v>
      </x:c>
      <x:c r="G3759" s="13" t="str">
        <x:v>grid_asitui1y.xlsx</x:v>
      </x:c>
    </x:row>
    <x:row r="3760">
      <x:c r="A3760" s="15" t="n">
        <x:v>41974</x:v>
      </x:c>
      <x:c r="B3760" s="13" t="str">
        <x:v>BRASKEM SA-PREF A</x:v>
      </x:c>
      <x:c r="C3760" s="16" t="n">
        <x:v>1330.4</x:v>
      </x:c>
      <x:c r="D3760" s="13" t="str">
        <x:v>Oil, Gas &amp; Petrochemicals</x:v>
      </x:c>
      <x:c r="E3760" s="13" t="str">
        <x:v>Oil, Gas &amp; Petrochemicals</x:v>
      </x:c>
      <x:c r="F3760" s="13" t="str">
        <x:v>Deep Cyclicals</x:v>
      </x:c>
      <x:c r="G3760" s="13" t="str">
        <x:v>grid_asitui1y.xlsx</x:v>
      </x:c>
    </x:row>
    <x:row r="3761">
      <x:c r="A3761" s="15" t="n">
        <x:v>41974</x:v>
      </x:c>
      <x:c r="B3761" s="13" t="str">
        <x:v>COSAN SA</x:v>
      </x:c>
      <x:c r="C3761" s="16" t="n">
        <x:v>983.900032</x:v>
      </x:c>
      <x:c r="D3761" s="13" t="str">
        <x:v>Oil, Gas &amp; Petrochemicals</x:v>
      </x:c>
      <x:c r="E3761" s="13" t="str">
        <x:v>Oil, Gas &amp; Petrochemicals</x:v>
      </x:c>
      <x:c r="F3761" s="13" t="str">
        <x:v>Deep Cyclicals</x:v>
      </x:c>
      <x:c r="G3761" s="13" t="str">
        <x:v>grid_asitui1y.xlsx</x:v>
      </x:c>
    </x:row>
    <x:row r="3762">
      <x:c r="A3762" s="15" t="n">
        <x:v>41974</x:v>
      </x:c>
      <x:c r="B3762" s="13" t="str">
        <x:v>PETROBRAS - PETROLEO BRAS</x:v>
      </x:c>
      <x:c r="C3762" s="16" t="n">
        <x:v>23751.70048</x:v>
      </x:c>
      <x:c r="D3762" s="13" t="str">
        <x:v>Oil, Gas &amp; Petrochemicals</x:v>
      </x:c>
      <x:c r="E3762" s="13" t="str">
        <x:v>Oil, Gas &amp; Petrochemicals</x:v>
      </x:c>
      <x:c r="F3762" s="13" t="str">
        <x:v>Deep Cyclicals</x:v>
      </x:c>
      <x:c r="G3762" s="13" t="str">
        <x:v>grid_asitui1y.xlsx</x:v>
      </x:c>
    </x:row>
    <x:row r="3763">
      <x:c r="A3763" s="15" t="n">
        <x:v>41974</x:v>
      </x:c>
      <x:c r="B3763" s="13" t="str">
        <x:v>ULTRAPAR PARTICIPACOES SA</x:v>
      </x:c>
      <x:c r="C3763" s="16" t="n">
        <x:v>1412.499968</x:v>
      </x:c>
      <x:c r="D3763" s="13" t="str">
        <x:v>Oil, Gas &amp; Petrochemicals</x:v>
      </x:c>
      <x:c r="E3763" s="13" t="str">
        <x:v>Oil, Gas &amp; Petrochemicals</x:v>
      </x:c>
      <x:c r="F3763" s="13" t="str">
        <x:v>Deep Cyclicals</x:v>
      </x:c>
      <x:c r="G3763" s="13" t="str">
        <x:v>grid_asitui1y.xlsx</x:v>
      </x:c>
    </x:row>
    <x:row r="3764">
      <x:c r="A3764" s="15" t="n">
        <x:v>41974</x:v>
      </x:c>
      <x:c r="B3764" s="13" t="str">
        <x:v>DEXCO SA</x:v>
      </x:c>
      <x:c r="C3764" s="16" t="n">
        <x:v>459.832992</x:v>
      </x:c>
      <x:c r="D3764" s="13" t="str">
        <x:v>Pulp &amp; Paper</x:v>
      </x:c>
      <x:c r="E3764" s="13" t="str">
        <x:v>Pulp &amp; Paper</x:v>
      </x:c>
      <x:c r="F3764" s="13" t="str">
        <x:v>Deep Cyclicals</x:v>
      </x:c>
      <x:c r="G3764" s="13" t="str">
        <x:v>grid_asitui1y.xlsx</x:v>
      </x:c>
    </x:row>
    <x:row r="3765">
      <x:c r="A3765" s="15" t="n">
        <x:v>41974</x:v>
      </x:c>
      <x:c r="B3765" s="13" t="str">
        <x:v>FIBRIA CELULOSE S/A</x:v>
      </x:c>
      <x:c r="C3765" s="16" t="n">
        <x:v>447.286016</x:v>
      </x:c>
      <x:c r="D3765" s="13" t="str">
        <x:v>Pulp &amp; Paper</x:v>
      </x:c>
      <x:c r="E3765" s="13" t="str">
        <x:v>Pulp &amp; Paper</x:v>
      </x:c>
      <x:c r="F3765" s="13" t="str">
        <x:v>Deep Cyclicals</x:v>
      </x:c>
      <x:c r="G3765" s="13" t="str">
        <x:v>grid_asitui1y.xlsx</x:v>
      </x:c>
    </x:row>
    <x:row r="3766">
      <x:c r="A3766" s="15" t="n">
        <x:v>41974</x:v>
      </x:c>
      <x:c r="B3766" s="13" t="str">
        <x:v>KLABIN SA - UNIT</x:v>
      </x:c>
      <x:c r="C3766" s="16" t="n">
        <x:v>563.142976</x:v>
      </x:c>
      <x:c r="D3766" s="13" t="str">
        <x:v>Pulp &amp; Paper</x:v>
      </x:c>
      <x:c r="E3766" s="13" t="str">
        <x:v>Pulp &amp; Paper</x:v>
      </x:c>
      <x:c r="F3766" s="13" t="str">
        <x:v>Deep Cyclicals</x:v>
      </x:c>
      <x:c r="G3766" s="13" t="str">
        <x:v>grid_asitui1y.xlsx</x:v>
      </x:c>
    </x:row>
    <x:row r="3767">
      <x:c r="A3767" s="15" t="n">
        <x:v>41974</x:v>
      </x:c>
      <x:c r="B3767" s="13" t="str">
        <x:v>SUZANO PAPEL E CELULO-PREF A</x:v>
      </x:c>
      <x:c r="C3767" s="16" t="n">
        <x:v>701</x:v>
      </x:c>
      <x:c r="D3767" s="13" t="str">
        <x:v>Pulp &amp; Paper</x:v>
      </x:c>
      <x:c r="E3767" s="13" t="str">
        <x:v>Pulp &amp; Paper</x:v>
      </x:c>
      <x:c r="F3767" s="13" t="str">
        <x:v>Deep Cyclicals</x:v>
      </x:c>
      <x:c r="G3767" s="13" t="str">
        <x:v>grid_asitui1y.xlsx</x:v>
      </x:c>
    </x:row>
    <x:row r="3768">
      <x:c r="A3768" s="15" t="n">
        <x:v>41974</x:v>
      </x:c>
      <x:c r="B3768" s="13" t="str">
        <x:v>CIA BRASILEIRA DE DIS-PREF</x:v>
      </x:c>
      <x:c r="C3768" s="16" t="n">
        <x:v>1721.639936</x:v>
      </x:c>
      <x:c r="D3768" s="13" t="str">
        <x:v>Retail</x:v>
      </x:c>
      <x:c r="E3768" s="13" t="str">
        <x:v>Retail</x:v>
      </x:c>
      <x:c r="F3768" s="13" t="str">
        <x:v>Early Cyclicals</x:v>
      </x:c>
      <x:c r="G3768" s="13" t="str">
        <x:v>grid_asitui1y.xlsx</x:v>
      </x:c>
    </x:row>
    <x:row r="3769">
      <x:c r="A3769" s="15" t="n">
        <x:v>41974</x:v>
      </x:c>
      <x:c r="B3769" s="13" t="str">
        <x:v>CIA HERING</x:v>
      </x:c>
      <x:c r="C3769" s="16" t="n">
        <x:v>348</x:v>
      </x:c>
      <x:c r="D3769" s="13" t="str">
        <x:v>Retail</x:v>
      </x:c>
      <x:c r="E3769" s="13" t="str">
        <x:v>Retail</x:v>
      </x:c>
      <x:c r="F3769" s="13" t="str">
        <x:v>Early Cyclicals</x:v>
      </x:c>
      <x:c r="G3769" s="13" t="str">
        <x:v>grid_asitui1y.xlsx</x:v>
      </x:c>
    </x:row>
    <x:row r="3770">
      <x:c r="A3770" s="15" t="n">
        <x:v>41974</x:v>
      </x:c>
      <x:c r="B3770" s="13" t="str">
        <x:v>LOJAS AMERICANAS SA-PREF</x:v>
      </x:c>
      <x:c r="C3770" s="16" t="n">
        <x:v>623.308032</x:v>
      </x:c>
      <x:c r="D3770" s="13" t="str">
        <x:v>Retail</x:v>
      </x:c>
      <x:c r="E3770" s="13" t="str">
        <x:v>Retail</x:v>
      </x:c>
      <x:c r="F3770" s="13" t="str">
        <x:v>Early Cyclicals</x:v>
      </x:c>
      <x:c r="G3770" s="13" t="str">
        <x:v>grid_asitui1y.xlsx</x:v>
      </x:c>
    </x:row>
    <x:row r="3771">
      <x:c r="A3771" s="15" t="n">
        <x:v>41974</x:v>
      </x:c>
      <x:c r="B3771" s="13" t="str">
        <x:v>LOJAS RENNER S.A.</x:v>
      </x:c>
      <x:c r="C3771" s="16" t="n">
        <x:v>541.132992</x:v>
      </x:c>
      <x:c r="D3771" s="13" t="str">
        <x:v>Retail</x:v>
      </x:c>
      <x:c r="E3771" s="13" t="str">
        <x:v>Retail</x:v>
      </x:c>
      <x:c r="F3771" s="13" t="str">
        <x:v>Early Cyclicals</x:v>
      </x:c>
      <x:c r="G3771" s="13" t="str">
        <x:v>grid_asitui1y.xlsx</x:v>
      </x:c>
    </x:row>
    <x:row r="3772">
      <x:c r="A3772" s="15" t="n">
        <x:v>41974</x:v>
      </x:c>
      <x:c r="B3772" s="13" t="str">
        <x:v>NATURA COSMETICOS SA</x:v>
      </x:c>
      <x:c r="C3772" s="16" t="n">
        <x:v>898.726976</x:v>
      </x:c>
      <x:c r="D3772" s="13" t="str">
        <x:v>Retail</x:v>
      </x:c>
      <x:c r="E3772" s="13" t="str">
        <x:v>Retail</x:v>
      </x:c>
      <x:c r="F3772" s="13" t="str">
        <x:v>Early Cyclicals</x:v>
      </x:c>
      <x:c r="G3772" s="13" t="str">
        <x:v>grid_asitui1y.xlsx</x:v>
      </x:c>
    </x:row>
    <x:row r="3773">
      <x:c r="A3773" s="15" t="n">
        <x:v>41974</x:v>
      </x:c>
      <x:c r="B3773" s="13" t="str">
        <x:v>CIA SANEAMENTO BASICO DE SP</x:v>
      </x:c>
      <x:c r="C3773" s="16" t="n">
        <x:v>1379.139968</x:v>
      </x:c>
      <x:c r="D3773" s="13" t="str">
        <x:v>Sanitation</x:v>
      </x:c>
      <x:c r="E3773" s="13" t="str">
        <x:v>Utilities</x:v>
      </x:c>
      <x:c r="F3773" s="13" t="str">
        <x:v>Defensives</x:v>
      </x:c>
      <x:c r="G3773" s="13" t="str">
        <x:v>grid_asitui1y.xlsx</x:v>
      </x:c>
    </x:row>
    <x:row r="3774">
      <x:c r="A3774" s="15" t="n">
        <x:v>41974</x:v>
      </x:c>
      <x:c r="B3774" s="13" t="str">
        <x:v>OI SA-PREFERENCE</x:v>
      </x:c>
      <x:c r="C3774" s="16" t="n">
        <x:v>360.5</x:v>
      </x:c>
      <x:c r="D3774" s="13" t="str">
        <x:v>TMT</x:v>
      </x:c>
      <x:c r="E3774" s="13" t="str">
        <x:v>TMT</x:v>
      </x:c>
      <x:c r="F3774" s="13" t="str">
        <x:v>Early Cyclicals</x:v>
      </x:c>
      <x:c r="G3774" s="13" t="str">
        <x:v>grid_asitui1y.xlsx</x:v>
      </x:c>
    </x:row>
    <x:row r="3775">
      <x:c r="A3775" s="15" t="n">
        <x:v>41974</x:v>
      </x:c>
      <x:c r="B3775" s="13" t="str">
        <x:v>TELEFONICA BRASIL S.A.-PREF</x:v>
      </x:c>
      <x:c r="C3775" s="16" t="n">
        <x:v>3973.890048</x:v>
      </x:c>
      <x:c r="D3775" s="13" t="str">
        <x:v>TMT</x:v>
      </x:c>
      <x:c r="E3775" s="13" t="str">
        <x:v>TMT</x:v>
      </x:c>
      <x:c r="F3775" s="13" t="str">
        <x:v>Early Cyclicals</x:v>
      </x:c>
      <x:c r="G3775" s="13" t="str">
        <x:v>grid_asitui1y.xlsx</x:v>
      </x:c>
    </x:row>
    <x:row r="3776">
      <x:c r="A3776" s="15" t="n">
        <x:v>41974</x:v>
      </x:c>
      <x:c r="B3776" s="13" t="str">
        <x:v>TIM SA</x:v>
      </x:c>
      <x:c r="C3776" s="16" t="n">
        <x:v>1678.819968</x:v>
      </x:c>
      <x:c r="D3776" s="13" t="str">
        <x:v>TMT</x:v>
      </x:c>
      <x:c r="E3776" s="13" t="str">
        <x:v>TMT</x:v>
      </x:c>
      <x:c r="F3776" s="13" t="str">
        <x:v>Early Cyclicals</x:v>
      </x:c>
      <x:c r="G3776" s="13" t="str">
        <x:v>grid_asitui1y.xlsx</x:v>
      </x:c>
    </x:row>
    <x:row r="3777">
      <x:c r="A3777" s="15" t="n">
        <x:v>41974</x:v>
      </x:c>
      <x:c r="B3777" s="13" t="str">
        <x:v>COSAN LOGISTICA SA</x:v>
      </x:c>
      <x:c r="C3777" s="16" t="n">
        <x:v>110</x:v>
      </x:c>
      <x:c r="D3777" s="13" t="str">
        <x:v>Transportation</x:v>
      </x:c>
      <x:c r="E3777" s="13" t="str">
        <x:v>Transportation</x:v>
      </x:c>
      <x:c r="F3777" s="13" t="str">
        <x:v>Deep Cyclicals</x:v>
      </x:c>
      <x:c r="G3777" s="13" t="str">
        <x:v>grid_asitui1y.xlsx</x:v>
      </x:c>
    </x:row>
    <x:row r="3778">
      <x:c r="A3778" s="15" t="n">
        <x:v>41974</x:v>
      </x:c>
      <x:c r="B3778" s="13" t="str">
        <x:v>ECORODOVIAS INFRA E LOG SA</x:v>
      </x:c>
      <x:c r="C3778" s="16" t="n">
        <x:v>388.544992</x:v>
      </x:c>
      <x:c r="D3778" s="13" t="str">
        <x:v>Transportation</x:v>
      </x:c>
      <x:c r="E3778" s="13" t="str">
        <x:v>Transportation</x:v>
      </x:c>
      <x:c r="F3778" s="13" t="str">
        <x:v>Deep Cyclicals</x:v>
      </x:c>
      <x:c r="G3778" s="13" t="str">
        <x:v>grid_asitui1y.xlsx</x:v>
      </x:c>
    </x:row>
    <x:row r="3779">
      <x:c r="A3779" s="15" t="n">
        <x:v>41974</x:v>
      </x:c>
      <x:c r="B3779" s="13" t="str">
        <x:v>GOL LINHAS AEREAS INT SA-PRE</x:v>
      </x:c>
      <x:c r="C3779" s="16" t="n">
        <x:v>68.1508</x:v>
      </x:c>
      <x:c r="D3779" s="13" t="str">
        <x:v>Transportation</x:v>
      </x:c>
      <x:c r="E3779" s="13" t="str">
        <x:v>Transportation</x:v>
      </x:c>
      <x:c r="F3779" s="13" t="str">
        <x:v>Deep Cyclicals</x:v>
      </x:c>
      <x:c r="G3779" s="13" t="str">
        <x:v>grid_asitui1y.xlsx</x:v>
      </x:c>
    </x:row>
    <x:row r="3780">
      <x:c r="A3780" s="15" t="n">
        <x:v>41974</x:v>
      </x:c>
      <x:c r="B3780" s="13" t="str">
        <x:v>LOCALIZA RENT A CAR</x:v>
      </x:c>
      <x:c r="C3780" s="16" t="n">
        <x:v>430.1</x:v>
      </x:c>
      <x:c r="D3780" s="13" t="str">
        <x:v>Transportation</x:v>
      </x:c>
      <x:c r="E3780" s="13" t="str">
        <x:v>Transportation</x:v>
      </x:c>
      <x:c r="F3780" s="13" t="str">
        <x:v>Deep Cyclicals</x:v>
      </x:c>
      <x:c r="G3780" s="13" t="str">
        <x:v>grid_asitui1y.xlsx</x:v>
      </x:c>
    </x:row>
    <x:row r="3781">
      <x:c r="A3781" s="15" t="n">
        <x:v>41974</x:v>
      </x:c>
      <x:c r="B3781" s="13" t="str">
        <x:v>MOTIVA INFRAESTRUTURA DE MOB</x:v>
      </x:c>
      <x:c r="C3781" s="16" t="n">
        <x:v>1449.270016</x:v>
      </x:c>
      <x:c r="D3781" s="13" t="str">
        <x:v>Transportation</x:v>
      </x:c>
      <x:c r="E3781" s="13" t="str">
        <x:v>Transportation</x:v>
      </x:c>
      <x:c r="F3781" s="13" t="str">
        <x:v>Deep Cyclicals</x:v>
      </x:c>
      <x:c r="G3781" s="13" t="str">
        <x:v>grid_asitui1y.xlsx</x:v>
      </x:c>
    </x:row>
    <x:row r="3782">
      <x:c r="A3782" s="15" t="n">
        <x:v>41974</x:v>
      </x:c>
      <x:c r="B3782" s="13" t="str">
        <x:v>RUMO SA</x:v>
      </x:c>
      <x:c r="C3782" s="16" t="n">
        <x:v>291.58</x:v>
      </x:c>
      <x:c r="D3782" s="13" t="str">
        <x:v>Transportation</x:v>
      </x:c>
      <x:c r="E3782" s="13" t="str">
        <x:v>Transportation</x:v>
      </x:c>
      <x:c r="F3782" s="13" t="str">
        <x:v>Deep Cyclicals</x:v>
      </x:c>
      <x:c r="G3782" s="13" t="str">
        <x:v>grid_asitui1y.xlsx</x:v>
      </x:c>
    </x:row>
    <x:row r="3783">
      <x:c r="A3783" s="15" t="n">
        <x:v>41974</x:v>
      </x:c>
      <x:c r="B3783" s="13" t="str">
        <x:v>AXIA ENERGIA SA</x:v>
      </x:c>
      <x:c r="C3783" s="16" t="n">
        <x:v>9.61</x:v>
      </x:c>
      <x:c r="D3783" s="13" t="str">
        <x:v>Utilities &amp; Energy</x:v>
      </x:c>
      <x:c r="E3783" s="13" t="str">
        <x:v>Utilities</x:v>
      </x:c>
      <x:c r="F3783" s="13" t="str">
        <x:v>Defensives</x:v>
      </x:c>
      <x:c r="G3783" s="13" t="str">
        <x:v>grid_asitui1y.xlsx</x:v>
      </x:c>
    </x:row>
    <x:row r="3784">
      <x:c r="A3784" s="15" t="n">
        <x:v>41974</x:v>
      </x:c>
      <x:c r="B3784" s="13" t="str">
        <x:v>AXIA ENERGIA-PR B</x:v>
      </x:c>
      <x:c r="C3784" s="16" t="n">
        <x:v>9.61</x:v>
      </x:c>
      <x:c r="D3784" s="13" t="str">
        <x:v>Utilities &amp; Energy</x:v>
      </x:c>
      <x:c r="E3784" s="13" t="str">
        <x:v>Utilities</x:v>
      </x:c>
      <x:c r="F3784" s="13" t="str">
        <x:v>Defensives</x:v>
      </x:c>
      <x:c r="G3784" s="13" t="str">
        <x:v>grid_asitui1y.xlsx</x:v>
      </x:c>
    </x:row>
    <x:row r="3785">
      <x:c r="A3785" s="15" t="n">
        <x:v>41974</x:v>
      </x:c>
      <x:c r="B3785" s="13" t="str">
        <x:v>CESP - CIA ENERGETICA DE SAO</x:v>
      </x:c>
      <x:c r="C3785" s="16" t="n">
        <x:v>642.817984</x:v>
      </x:c>
      <x:c r="D3785" s="13" t="str">
        <x:v>Utilities &amp; Energy</x:v>
      </x:c>
      <x:c r="E3785" s="13" t="str">
        <x:v>Utilities</x:v>
      </x:c>
      <x:c r="F3785" s="13" t="str">
        <x:v>Defensives</x:v>
      </x:c>
      <x:c r="G3785" s="13" t="str">
        <x:v>grid_asitui1y.xlsx</x:v>
      </x:c>
    </x:row>
    <x:row r="3786">
      <x:c r="A3786" s="15" t="n">
        <x:v>41974</x:v>
      </x:c>
      <x:c r="B3786" s="13" t="str">
        <x:v>CIA ENERGETICA MINAS GER-PRF</x:v>
      </x:c>
      <x:c r="C3786" s="16" t="n">
        <x:v>2091.079936</x:v>
      </x:c>
      <x:c r="D3786" s="13" t="str">
        <x:v>Utilities &amp; Energy</x:v>
      </x:c>
      <x:c r="E3786" s="13" t="str">
        <x:v>Utilities</x:v>
      </x:c>
      <x:c r="F3786" s="13" t="str">
        <x:v>Defensives</x:v>
      </x:c>
      <x:c r="G3786" s="13" t="str">
        <x:v>grid_asitui1y.xlsx</x:v>
      </x:c>
    </x:row>
    <x:row r="3787">
      <x:c r="A3787" s="15" t="n">
        <x:v>41974</x:v>
      </x:c>
      <x:c r="B3787" s="13" t="str">
        <x:v>COMPANHIA PARANAENSE -PREF B</x:v>
      </x:c>
      <x:c r="C3787" s="16" t="n">
        <x:v>1382.119936</x:v>
      </x:c>
      <x:c r="D3787" s="13" t="str">
        <x:v>Utilities &amp; Energy</x:v>
      </x:c>
      <x:c r="E3787" s="13" t="str">
        <x:v>Utilities</x:v>
      </x:c>
      <x:c r="F3787" s="13" t="str">
        <x:v>Defensives</x:v>
      </x:c>
      <x:c r="G3787" s="13" t="str">
        <x:v>grid_asitui1y.xlsx</x:v>
      </x:c>
    </x:row>
    <x:row r="3788">
      <x:c r="A3788" s="15" t="n">
        <x:v>41974</x:v>
      </x:c>
      <x:c r="B3788" s="13" t="str">
        <x:v>CPFL ENERGIA SA</x:v>
      </x:c>
      <x:c r="C3788" s="16" t="n">
        <x:v>1283.900032</x:v>
      </x:c>
      <x:c r="D3788" s="13" t="str">
        <x:v>Utilities &amp; Energy</x:v>
      </x:c>
      <x:c r="E3788" s="13" t="str">
        <x:v>Utilities</x:v>
      </x:c>
      <x:c r="F3788" s="13" t="str">
        <x:v>Defensives</x:v>
      </x:c>
      <x:c r="G3788" s="13" t="str">
        <x:v>grid_asitui1y.xlsx</x:v>
      </x:c>
    </x:row>
    <x:row r="3789">
      <x:c r="A3789" s="15" t="n">
        <x:v>41974</x:v>
      </x:c>
      <x:c r="B3789" s="13" t="str">
        <x:v>EDP - ENERGIAS DO BRASIL SA</x:v>
      </x:c>
      <x:c r="C3789" s="16" t="n">
        <x:v>437.375008</x:v>
      </x:c>
      <x:c r="D3789" s="13" t="str">
        <x:v>Utilities &amp; Energy</x:v>
      </x:c>
      <x:c r="E3789" s="13" t="str">
        <x:v>Utilities</x:v>
      </x:c>
      <x:c r="F3789" s="13" t="str">
        <x:v>Defensives</x:v>
      </x:c>
      <x:c r="G3789" s="13" t="str">
        <x:v>grid_asitui1y.xlsx</x:v>
      </x:c>
    </x:row>
    <x:row r="3790">
      <x:c r="A3790" s="15" t="n">
        <x:v>41974</x:v>
      </x:c>
      <x:c r="B3790" s="13" t="str">
        <x:v>ELETROPAULO METROPOLI-PREF</x:v>
      </x:c>
      <x:c r="C3790" s="16" t="n">
        <x:v>35.6778</x:v>
      </x:c>
      <x:c r="D3790" s="13" t="str">
        <x:v>Utilities &amp; Energy</x:v>
      </x:c>
      <x:c r="E3790" s="13" t="str">
        <x:v>Utilities</x:v>
      </x:c>
      <x:c r="F3790" s="13" t="str">
        <x:v>Defensives</x:v>
      </x:c>
      <x:c r="G3790" s="13" t="str">
        <x:v>grid_asitui1y.xlsx</x:v>
      </x:c>
    </x:row>
    <x:row r="3791">
      <x:c r="A3791" s="15" t="n">
        <x:v>41974</x:v>
      </x:c>
      <x:c r="B3791" s="13" t="str">
        <x:v>ENGIE BRASIL ENERGIA SA</x:v>
      </x:c>
      <x:c r="C3791" s="16" t="n">
        <x:v>1695.670016</x:v>
      </x:c>
      <x:c r="D3791" s="13" t="str">
        <x:v>Utilities &amp; Energy</x:v>
      </x:c>
      <x:c r="E3791" s="13" t="str">
        <x:v>Utilities</x:v>
      </x:c>
      <x:c r="F3791" s="13" t="str">
        <x:v>Defensives</x:v>
      </x:c>
      <x:c r="G3791" s="13" t="str">
        <x:v>grid_asitui1y.xlsx</x:v>
      </x:c>
    </x:row>
    <x:row r="3792">
      <x:c r="A3792" s="15" t="n">
        <x:v>41974</x:v>
      </x:c>
      <x:c r="B3792" s="13" t="str">
        <x:v>LIGHT SA</x:v>
      </x:c>
      <x:c r="C3792" s="16" t="n">
        <x:v>578.499968</x:v>
      </x:c>
      <x:c r="D3792" s="13" t="str">
        <x:v>Utilities &amp; Energy</x:v>
      </x:c>
      <x:c r="E3792" s="13" t="str">
        <x:v>Utilities</x:v>
      </x:c>
      <x:c r="F3792" s="13" t="str">
        <x:v>Defensives</x:v>
      </x:c>
      <x:c r="G3792" s="13" t="str">
        <x:v>grid_asitui1y.xlsx</x:v>
      </x:c>
    </x:row>
    <x:row r="3793">
      <x:c r="A3793" s="15" t="n">
        <x:v>42005</x:v>
      </x:c>
      <x:c r="B3793" s="13" t="str">
        <x:v>BANCO BRADESCO S.A.</x:v>
      </x:c>
      <x:c r="C3793" s="16" t="n">
        <x:v>17065.3135541858</x:v>
      </x:c>
      <x:c r="D3793" s="13" t="str">
        <x:v>Banks</x:v>
      </x:c>
      <x:c r="E3793" s="13" t="str">
        <x:v>Banks</x:v>
      </x:c>
      <x:c r="F3793" s="13" t="str">
        <x:v>Financials</x:v>
      </x:c>
      <x:c r="G3793" s="13" t="str">
        <x:v>grid_asitui1y.xlsx</x:v>
      </x:c>
    </x:row>
    <x:row r="3794">
      <x:c r="A3794" s="15" t="n">
        <x:v>42005</x:v>
      </x:c>
      <x:c r="B3794" s="13" t="str">
        <x:v>BANCO BRADESCO SA-PREF</x:v>
      </x:c>
      <x:c r="C3794" s="16" t="n">
        <x:v>17065.3135541858</x:v>
      </x:c>
      <x:c r="D3794" s="13" t="str">
        <x:v>Banks</x:v>
      </x:c>
      <x:c r="E3794" s="13" t="str">
        <x:v>Banks</x:v>
      </x:c>
      <x:c r="F3794" s="13" t="str">
        <x:v>Financials</x:v>
      </x:c>
      <x:c r="G3794" s="13" t="str">
        <x:v>grid_asitui1y.xlsx</x:v>
      </x:c>
    </x:row>
    <x:row r="3795">
      <x:c r="A3795" s="15" t="n">
        <x:v>42005</x:v>
      </x:c>
      <x:c r="B3795" s="13" t="str">
        <x:v>BANCO DO BRASIL S.A.</x:v>
      </x:c>
      <x:c r="C3795" s="16" t="n">
        <x:v>12333.499240918</x:v>
      </x:c>
      <x:c r="D3795" s="13" t="str">
        <x:v>Banks</x:v>
      </x:c>
      <x:c r="E3795" s="13" t="str">
        <x:v>Banks</x:v>
      </x:c>
      <x:c r="F3795" s="13" t="str">
        <x:v>Financials</x:v>
      </x:c>
      <x:c r="G3795" s="13" t="str">
        <x:v>grid_asitui1y.xlsx</x:v>
      </x:c>
    </x:row>
    <x:row r="3796">
      <x:c r="A3796" s="15" t="n">
        <x:v>42005</x:v>
      </x:c>
      <x:c r="B3796" s="13" t="str">
        <x:v>BANCO SANTANDER  BRASIL-UNIT</x:v>
      </x:c>
      <x:c r="C3796" s="16" t="n">
        <x:v>6220.6079370492</x:v>
      </x:c>
      <x:c r="D3796" s="13" t="str">
        <x:v>Banks</x:v>
      </x:c>
      <x:c r="E3796" s="13" t="str">
        <x:v>Banks</x:v>
      </x:c>
      <x:c r="F3796" s="13" t="str">
        <x:v>Financials</x:v>
      </x:c>
      <x:c r="G3796" s="13" t="str">
        <x:v>grid_asitui1y.xlsx</x:v>
      </x:c>
    </x:row>
    <x:row r="3797">
      <x:c r="A3797" s="15" t="n">
        <x:v>42005</x:v>
      </x:c>
      <x:c r="B3797" s="13" t="str">
        <x:v>ITAU UNIBANCO HOLDING S-PREF</x:v>
      </x:c>
      <x:c r="C3797" s="16" t="n">
        <x:v>22524.2921687432</x:v>
      </x:c>
      <x:c r="D3797" s="13" t="str">
        <x:v>Banks</x:v>
      </x:c>
      <x:c r="E3797" s="13" t="str">
        <x:v>Banks</x:v>
      </x:c>
      <x:c r="F3797" s="13" t="str">
        <x:v>Financials</x:v>
      </x:c>
      <x:c r="G3797" s="13" t="str">
        <x:v>grid_asitui1y.xlsx</x:v>
      </x:c>
    </x:row>
    <x:row r="3798">
      <x:c r="A3798" s="15" t="n">
        <x:v>42005</x:v>
      </x:c>
      <x:c r="B3798" s="13" t="str">
        <x:v>EMBRAER SA</x:v>
      </x:c>
      <x:c r="C3798" s="16" t="n">
        <x:v>1279.9765214426</x:v>
      </x:c>
      <x:c r="D3798" s="13" t="str">
        <x:v>Capital Goods</x:v>
      </x:c>
      <x:c r="E3798" s="13" t="str">
        <x:v>Capital Goods</x:v>
      </x:c>
      <x:c r="F3798" s="13" t="str">
        <x:v>Deep Cyclicals</x:v>
      </x:c>
      <x:c r="G3798" s="13" t="str">
        <x:v>grid_asitui1y.xlsx</x:v>
      </x:c>
    </x:row>
    <x:row r="3799">
      <x:c r="A3799" s="15" t="n">
        <x:v>42005</x:v>
      </x:c>
      <x:c r="B3799" s="13" t="str">
        <x:v>MARCOPOLO SA-PREF</x:v>
      </x:c>
      <x:c r="C3799" s="16" t="n">
        <x:v>246.9743845683</x:v>
      </x:c>
      <x:c r="D3799" s="13" t="str">
        <x:v>Capital Goods</x:v>
      </x:c>
      <x:c r="E3799" s="13" t="str">
        <x:v>Capital Goods</x:v>
      </x:c>
      <x:c r="F3799" s="13" t="str">
        <x:v>Deep Cyclicals</x:v>
      </x:c>
      <x:c r="G3799" s="13" t="str">
        <x:v>grid_asitui1y.xlsx</x:v>
      </x:c>
    </x:row>
    <x:row r="3800">
      <x:c r="A3800" s="15" t="n">
        <x:v>42005</x:v>
      </x:c>
      <x:c r="B3800" s="13" t="str">
        <x:v>COGNA EDUCACAO</x:v>
      </x:c>
      <x:c r="C3800" s="16" t="n">
        <x:v>1669.6748072568</x:v>
      </x:c>
      <x:c r="D3800" s="13" t="str">
        <x:v>Education</x:v>
      </x:c>
      <x:c r="E3800" s="13" t="str">
        <x:v>Education</x:v>
      </x:c>
      <x:c r="F3800" s="13" t="str">
        <x:v>Early Cyclicals</x:v>
      </x:c>
      <x:c r="G3800" s="13" t="str">
        <x:v>grid_asitui1y.xlsx</x:v>
      </x:c>
    </x:row>
    <x:row r="3801">
      <x:c r="A3801" s="15" t="n">
        <x:v>42005</x:v>
      </x:c>
      <x:c r="B3801" s="13" t="str">
        <x:v>YDUQS PARTICIPACOES SA</x:v>
      </x:c>
      <x:c r="C3801" s="16" t="n">
        <x:v>611.4875710601</x:v>
      </x:c>
      <x:c r="D3801" s="13" t="str">
        <x:v>Education</x:v>
      </x:c>
      <x:c r="E3801" s="13" t="str">
        <x:v>Education</x:v>
      </x:c>
      <x:c r="F3801" s="13" t="str">
        <x:v>Early Cyclicals</x:v>
      </x:c>
      <x:c r="G3801" s="13" t="str">
        <x:v>grid_asitui1y.xlsx</x:v>
      </x:c>
    </x:row>
    <x:row r="3802">
      <x:c r="A3802" s="15" t="n">
        <x:v>42005</x:v>
      </x:c>
      <x:c r="B3802" s="13" t="str">
        <x:v>B3 SA-BRASIL BOLSA BALCAO</x:v>
      </x:c>
      <x:c r="C3802" s="16" t="n">
        <x:v>1606.100449224</x:v>
      </x:c>
      <x:c r="D3802" s="13" t="str">
        <x:v>Financials Non-Banks</x:v>
      </x:c>
      <x:c r="E3802" s="13" t="str">
        <x:v>Financials Non-Banks</x:v>
      </x:c>
      <x:c r="F3802" s="13" t="str">
        <x:v>Financials</x:v>
      </x:c>
      <x:c r="G3802" s="13" t="str">
        <x:v>grid_asitui1y.xlsx</x:v>
      </x:c>
    </x:row>
    <x:row r="3803">
      <x:c r="A3803" s="15" t="n">
        <x:v>42005</x:v>
      </x:c>
      <x:c r="B3803" s="13" t="str">
        <x:v>BB SEGURIDADE PARTICIPACOES</x:v>
      </x:c>
      <x:c r="C3803" s="16" t="n">
        <x:v>3869.2352286776</x:v>
      </x:c>
      <x:c r="D3803" s="13" t="str">
        <x:v>Financials Non-Banks</x:v>
      </x:c>
      <x:c r="E3803" s="13" t="str">
        <x:v>Financials Non-Banks</x:v>
      </x:c>
      <x:c r="F3803" s="13" t="str">
        <x:v>Financials</x:v>
      </x:c>
      <x:c r="G3803" s="13" t="str">
        <x:v>grid_asitui1y.xlsx</x:v>
      </x:c>
    </x:row>
    <x:row r="3804">
      <x:c r="A3804" s="15" t="n">
        <x:v>42005</x:v>
      </x:c>
      <x:c r="B3804" s="13" t="str">
        <x:v>CETIP SA-MERCADOS ORGANIZADO</x:v>
      </x:c>
      <x:c r="C3804" s="16" t="n">
        <x:v>543.0110875628</x:v>
      </x:c>
      <x:c r="D3804" s="13" t="str">
        <x:v>Financials Non-Banks</x:v>
      </x:c>
      <x:c r="E3804" s="13" t="str">
        <x:v>Financials Non-Banks</x:v>
      </x:c>
      <x:c r="F3804" s="13" t="str">
        <x:v>Financials</x:v>
      </x:c>
      <x:c r="G3804" s="13" t="str">
        <x:v>grid_asitui1y.xlsx</x:v>
      </x:c>
    </x:row>
    <x:row r="3805">
      <x:c r="A3805" s="15" t="n">
        <x:v>42005</x:v>
      </x:c>
      <x:c r="B3805" s="13" t="str">
        <x:v>CIELO SA - INSTITUICAO DE PA</x:v>
      </x:c>
      <x:c r="C3805" s="16" t="n">
        <x:v>3815.4102088743</x:v>
      </x:c>
      <x:c r="D3805" s="13" t="str">
        <x:v>Financials Non-Banks</x:v>
      </x:c>
      <x:c r="E3805" s="13" t="str">
        <x:v>Financials Non-Banks</x:v>
      </x:c>
      <x:c r="F3805" s="13" t="str">
        <x:v>Financials</x:v>
      </x:c>
      <x:c r="G3805" s="13" t="str">
        <x:v>grid_asitui1y.xlsx</x:v>
      </x:c>
    </x:row>
    <x:row r="3806">
      <x:c r="A3806" s="15" t="n">
        <x:v>42005</x:v>
      </x:c>
      <x:c r="B3806" s="13" t="str">
        <x:v>ITAUSA SA</x:v>
      </x:c>
      <x:c r="C3806" s="16" t="n">
        <x:v>8092.4782863388</x:v>
      </x:c>
      <x:c r="D3806" s="13" t="str">
        <x:v>Financials Non-Banks</x:v>
      </x:c>
      <x:c r="E3806" s="13" t="str">
        <x:v>Financials Non-Banks</x:v>
      </x:c>
      <x:c r="F3806" s="13" t="str">
        <x:v>Financials</x:v>
      </x:c>
      <x:c r="G3806" s="13" t="str">
        <x:v>grid_asitui1y.xlsx</x:v>
      </x:c>
    </x:row>
    <x:row r="3807">
      <x:c r="A3807" s="15" t="n">
        <x:v>42005</x:v>
      </x:c>
      <x:c r="B3807" s="13" t="str">
        <x:v>AMBEV SA</x:v>
      </x:c>
      <x:c r="C3807" s="16" t="n">
        <x:v>13748.646746929</x:v>
      </x:c>
      <x:c r="D3807" s="13" t="str">
        <x:v>Food &amp; Beverages</x:v>
      </x:c>
      <x:c r="E3807" s="13" t="str">
        <x:v>Agri, Food &amp; Beverages</x:v>
      </x:c>
      <x:c r="F3807" s="13" t="str">
        <x:v>Defensives</x:v>
      </x:c>
      <x:c r="G3807" s="13" t="str">
        <x:v>grid_asitui1y.xlsx</x:v>
      </x:c>
    </x:row>
    <x:row r="3808">
      <x:c r="A3808" s="15" t="n">
        <x:v>42005</x:v>
      </x:c>
      <x:c r="B3808" s="13" t="str">
        <x:v>BRF SA</x:v>
      </x:c>
      <x:c r="C3808" s="16" t="n">
        <x:v>2595.9027962404</x:v>
      </x:c>
      <x:c r="D3808" s="13" t="str">
        <x:v>Food &amp; Beverages</x:v>
      </x:c>
      <x:c r="E3808" s="13" t="str">
        <x:v>Agri, Food &amp; Beverages</x:v>
      </x:c>
      <x:c r="F3808" s="13" t="str">
        <x:v>Defensives</x:v>
      </x:c>
      <x:c r="G3808" s="13" t="str">
        <x:v>grid_asitui1y.xlsx</x:v>
      </x:c>
    </x:row>
    <x:row r="3809">
      <x:c r="A3809" s="15" t="n">
        <x:v>42005</x:v>
      </x:c>
      <x:c r="B3809" s="13" t="str">
        <x:v>MBRF GLOBAL FOODS COMPANY SA</x:v>
      </x:c>
      <x:c r="C3809" s="16" t="n">
        <x:v>72.5955594317</x:v>
      </x:c>
      <x:c r="D3809" s="13" t="str">
        <x:v>Food &amp; Beverages</x:v>
      </x:c>
      <x:c r="E3809" s="13" t="str">
        <x:v>Agri, Food &amp; Beverages</x:v>
      </x:c>
      <x:c r="F3809" s="13" t="str">
        <x:v>Defensives</x:v>
      </x:c>
      <x:c r="G3809" s="13" t="str">
        <x:v>grid_asitui1y.xlsx</x:v>
      </x:c>
    </x:row>
    <x:row r="3810">
      <x:c r="A3810" s="15" t="n">
        <x:v>42005</x:v>
      </x:c>
      <x:c r="B3810" s="13" t="str">
        <x:v>SOUZA CRUZ LTDA</x:v>
      </x:c>
      <x:c r="C3810" s="16" t="n">
        <x:v>1725.3517800219</x:v>
      </x:c>
      <x:c r="D3810" s="13" t="str">
        <x:v>Food &amp; Beverages</x:v>
      </x:c>
      <x:c r="E3810" s="13" t="str">
        <x:v>Agri, Food &amp; Beverages</x:v>
      </x:c>
      <x:c r="F3810" s="13" t="str">
        <x:v>Defensives</x:v>
      </x:c>
      <x:c r="G3810" s="13" t="str">
        <x:v>grid_asitui1y.xlsx</x:v>
      </x:c>
    </x:row>
    <x:row r="3811">
      <x:c r="A3811" s="15" t="n">
        <x:v>42005</x:v>
      </x:c>
      <x:c r="B3811" s="13" t="str">
        <x:v>HYPERA SA</x:v>
      </x:c>
      <x:c r="C3811" s="16" t="n">
        <x:v>568.1691308415</x:v>
      </x:c>
      <x:c r="D3811" s="13" t="str">
        <x:v>Health Care</x:v>
      </x:c>
      <x:c r="E3811" s="13" t="str">
        <x:v>Health Care</x:v>
      </x:c>
      <x:c r="F3811" s="13" t="str">
        <x:v>Defensives</x:v>
      </x:c>
      <x:c r="G3811" s="13" t="str">
        <x:v>grid_asitui1y.xlsx</x:v>
      </x:c>
    </x:row>
    <x:row r="3812">
      <x:c r="A3812" s="15" t="n">
        <x:v>42005</x:v>
      </x:c>
      <x:c r="B3812" s="13" t="str">
        <x:v>QUALICORP CONS E CORR SEG SA</x:v>
      </x:c>
      <x:c r="C3812" s="16" t="n">
        <x:v>368.490619541</x:v>
      </x:c>
      <x:c r="D3812" s="13" t="str">
        <x:v>Health Care</x:v>
      </x:c>
      <x:c r="E3812" s="13" t="str">
        <x:v>Health Care</x:v>
      </x:c>
      <x:c r="F3812" s="13" t="str">
        <x:v>Defensives</x:v>
      </x:c>
      <x:c r="G3812" s="13" t="str">
        <x:v>grid_asitui1y.xlsx</x:v>
      </x:c>
    </x:row>
    <x:row r="3813">
      <x:c r="A3813" s="15" t="n">
        <x:v>42005</x:v>
      </x:c>
      <x:c r="B3813" s="13" t="str">
        <x:v>CYRELA BRAZIL REALTY SA EMP</x:v>
      </x:c>
      <x:c r="C3813" s="16" t="n">
        <x:v>756.4198831913</x:v>
      </x:c>
      <x:c r="D3813" s="13" t="str">
        <x:v>Homebuilders</x:v>
      </x:c>
      <x:c r="E3813" s="13" t="str">
        <x:v>Real Estate</x:v>
      </x:c>
      <x:c r="F3813" s="13" t="str">
        <x:v>Early Cyclicals</x:v>
      </x:c>
      <x:c r="G3813" s="13" t="str">
        <x:v>grid_asitui1y.xlsx</x:v>
      </x:c>
    </x:row>
    <x:row r="3814">
      <x:c r="A3814" s="15" t="n">
        <x:v>42005</x:v>
      </x:c>
      <x:c r="B3814" s="13" t="str">
        <x:v>EVEN CONSTRUTORA E INCORPORA</x:v>
      </x:c>
      <x:c r="C3814" s="16" t="n">
        <x:v>286.042705224</x:v>
      </x:c>
      <x:c r="D3814" s="13" t="str">
        <x:v>Homebuilders</x:v>
      </x:c>
      <x:c r="E3814" s="13" t="str">
        <x:v>Real Estate</x:v>
      </x:c>
      <x:c r="F3814" s="13" t="str">
        <x:v>Early Cyclicals</x:v>
      </x:c>
      <x:c r="G3814" s="13" t="str">
        <x:v>grid_asitui1y.xlsx</x:v>
      </x:c>
    </x:row>
    <x:row r="3815">
      <x:c r="A3815" s="15" t="n">
        <x:v>42005</x:v>
      </x:c>
      <x:c r="B3815" s="13" t="str">
        <x:v>GAFISA SA</x:v>
      </x:c>
      <x:c r="C3815" s="16" t="n">
        <x:v>61.3811625683</x:v>
      </x:c>
      <x:c r="D3815" s="13" t="str">
        <x:v>Homebuilders</x:v>
      </x:c>
      <x:c r="E3815" s="13" t="str">
        <x:v>Real Estate</x:v>
      </x:c>
      <x:c r="F3815" s="13" t="str">
        <x:v>Early Cyclicals</x:v>
      </x:c>
      <x:c r="G3815" s="13" t="str">
        <x:v>grid_asitui1y.xlsx</x:v>
      </x:c>
    </x:row>
    <x:row r="3816">
      <x:c r="A3816" s="15" t="n">
        <x:v>42005</x:v>
      </x:c>
      <x:c r="B3816" s="13" t="str">
        <x:v>MRV ENGENHARIA</x:v>
      </x:c>
      <x:c r="C3816" s="16" t="n">
        <x:v>539.6492047213</x:v>
      </x:c>
      <x:c r="D3816" s="13" t="str">
        <x:v>Homebuilders</x:v>
      </x:c>
      <x:c r="E3816" s="13" t="str">
        <x:v>Real Estate</x:v>
      </x:c>
      <x:c r="F3816" s="13" t="str">
        <x:v>Early Cyclicals</x:v>
      </x:c>
      <x:c r="G3816" s="13" t="str">
        <x:v>grid_asitui1y.xlsx</x:v>
      </x:c>
    </x:row>
    <x:row r="3817">
      <x:c r="A3817" s="15" t="n">
        <x:v>42005</x:v>
      </x:c>
      <x:c r="B3817" s="13" t="str">
        <x:v>PDG REALTY SA</x:v>
      </x:c>
      <x:c r="C3817" s="16" t="n">
        <x:v>-187.8180811475</x:v>
      </x:c>
      <x:c r="D3817" s="13" t="str">
        <x:v>Homebuilders</x:v>
      </x:c>
      <x:c r="E3817" s="13" t="str">
        <x:v>Real Estate</x:v>
      </x:c>
      <x:c r="F3817" s="13" t="str">
        <x:v>Early Cyclicals</x:v>
      </x:c>
      <x:c r="G3817" s="13" t="str">
        <x:v>grid_asitui1y.xlsx</x:v>
      </x:c>
    </x:row>
    <x:row r="3818">
      <x:c r="A3818" s="15" t="n">
        <x:v>42005</x:v>
      </x:c>
      <x:c r="B3818" s="13" t="str">
        <x:v>BR MALLS PARTICIPACOES SA</x:v>
      </x:c>
      <x:c r="C3818" s="16" t="n">
        <x:v>464.4138385137</x:v>
      </x:c>
      <x:c r="D3818" s="13" t="str">
        <x:v>Income Properties</x:v>
      </x:c>
      <x:c r="E3818" s="13" t="str">
        <x:v>Real Estate</x:v>
      </x:c>
      <x:c r="F3818" s="13" t="str">
        <x:v>Early Cyclicals</x:v>
      </x:c>
      <x:c r="G3818" s="13" t="str">
        <x:v>grid_asitui1y.xlsx</x:v>
      </x:c>
    </x:row>
    <x:row r="3819">
      <x:c r="A3819" s="15" t="n">
        <x:v>42005</x:v>
      </x:c>
      <x:c r="B3819" s="13" t="str">
        <x:v>MULTIPLAN EMPREENDIMENTOS</x:v>
      </x:c>
      <x:c r="C3819" s="16" t="n">
        <x:v>384.4494745355</x:v>
      </x:c>
      <x:c r="D3819" s="13" t="str">
        <x:v>Income Properties</x:v>
      </x:c>
      <x:c r="E3819" s="13" t="str">
        <x:v>Real Estate</x:v>
      </x:c>
      <x:c r="F3819" s="13" t="str">
        <x:v>Early Cyclicals</x:v>
      </x:c>
      <x:c r="G3819" s="13" t="str">
        <x:v>grid_asitui1y.xlsx</x:v>
      </x:c>
    </x:row>
    <x:row r="3820">
      <x:c r="A3820" s="15" t="n">
        <x:v>42005</x:v>
      </x:c>
      <x:c r="B3820" s="13" t="str">
        <x:v>SOLID ATIVOS IMOBILIARIOS SA</x:v>
      </x:c>
      <x:c r="C3820" s="16" t="n">
        <x:v>202.7467969399</x:v>
      </x:c>
      <x:c r="D3820" s="13" t="str">
        <x:v>Income Properties</x:v>
      </x:c>
      <x:c r="E3820" s="13" t="str">
        <x:v>Real Estate</x:v>
      </x:c>
      <x:c r="F3820" s="13" t="str">
        <x:v>Early Cyclicals</x:v>
      </x:c>
      <x:c r="G3820" s="13" t="str">
        <x:v>grid_asitui1y.xlsx</x:v>
      </x:c>
    </x:row>
    <x:row r="3821">
      <x:c r="A3821" s="15" t="n">
        <x:v>42005</x:v>
      </x:c>
      <x:c r="B3821" s="13" t="str">
        <x:v>BRADESPAR SA -PREF</x:v>
      </x:c>
      <x:c r="C3821" s="16" t="n">
        <x:v>442.2827868852</x:v>
      </x:c>
      <x:c r="D3821" s="13" t="str">
        <x:v>Metals &amp; Mining</x:v>
      </x:c>
      <x:c r="E3821" s="13" t="str">
        <x:v>Metals &amp; Mining</x:v>
      </x:c>
      <x:c r="F3821" s="13" t="str">
        <x:v>Deep Cyclicals</x:v>
      </x:c>
      <x:c r="G3821" s="13" t="str">
        <x:v>grid_asitui1y.xlsx</x:v>
      </x:c>
    </x:row>
    <x:row r="3822">
      <x:c r="A3822" s="15" t="n">
        <x:v>42005</x:v>
      </x:c>
      <x:c r="B3822" s="13" t="str">
        <x:v>CIA SIDERURGICA NACIONAL SA</x:v>
      </x:c>
      <x:c r="C3822" s="16" t="n">
        <x:v>-68.2316905792</x:v>
      </x:c>
      <x:c r="D3822" s="13" t="str">
        <x:v>Metals &amp; Mining</x:v>
      </x:c>
      <x:c r="E3822" s="13" t="str">
        <x:v>Metals &amp; Mining</x:v>
      </x:c>
      <x:c r="F3822" s="13" t="str">
        <x:v>Deep Cyclicals</x:v>
      </x:c>
      <x:c r="G3822" s="13" t="str">
        <x:v>grid_asitui1y.xlsx</x:v>
      </x:c>
    </x:row>
    <x:row r="3823">
      <x:c r="A3823" s="15" t="n">
        <x:v>42005</x:v>
      </x:c>
      <x:c r="B3823" s="13" t="str">
        <x:v>GERDAU SA-PREF</x:v>
      </x:c>
      <x:c r="C3823" s="16" t="n">
        <x:v>1147.5847921311</x:v>
      </x:c>
      <x:c r="D3823" s="13" t="str">
        <x:v>Metals &amp; Mining</x:v>
      </x:c>
      <x:c r="E3823" s="13" t="str">
        <x:v>Metals &amp; Mining</x:v>
      </x:c>
      <x:c r="F3823" s="13" t="str">
        <x:v>Deep Cyclicals</x:v>
      </x:c>
      <x:c r="G3823" s="13" t="str">
        <x:v>grid_asitui1y.xlsx</x:v>
      </x:c>
    </x:row>
    <x:row r="3824">
      <x:c r="A3824" s="15" t="n">
        <x:v>42005</x:v>
      </x:c>
      <x:c r="B3824" s="13" t="str">
        <x:v>METALURGICA GERDAU SA-PREF</x:v>
      </x:c>
      <x:c r="C3824" s="16" t="n">
        <x:v>620.0751073224</x:v>
      </x:c>
      <x:c r="D3824" s="13" t="str">
        <x:v>Metals &amp; Mining</x:v>
      </x:c>
      <x:c r="E3824" s="13" t="str">
        <x:v>Metals &amp; Mining</x:v>
      </x:c>
      <x:c r="F3824" s="13" t="str">
        <x:v>Deep Cyclicals</x:v>
      </x:c>
      <x:c r="G3824" s="13" t="str">
        <x:v>grid_asitui1y.xlsx</x:v>
      </x:c>
    </x:row>
    <x:row r="3825">
      <x:c r="A3825" s="15" t="n">
        <x:v>42005</x:v>
      </x:c>
      <x:c r="B3825" s="13" t="str">
        <x:v>USINAS SIDER MINAS GER-PF A</x:v>
      </x:c>
      <x:c r="C3825" s="16" t="n">
        <x:v>-10.4419016393</x:v>
      </x:c>
      <x:c r="D3825" s="13" t="str">
        <x:v>Metals &amp; Mining</x:v>
      </x:c>
      <x:c r="E3825" s="13" t="str">
        <x:v>Metals &amp; Mining</x:v>
      </x:c>
      <x:c r="F3825" s="13" t="str">
        <x:v>Deep Cyclicals</x:v>
      </x:c>
      <x:c r="G3825" s="13" t="str">
        <x:v>grid_asitui1y.xlsx</x:v>
      </x:c>
    </x:row>
    <x:row r="3826">
      <x:c r="A3826" s="15" t="n">
        <x:v>42005</x:v>
      </x:c>
      <x:c r="B3826" s="13" t="str">
        <x:v>VALE SA</x:v>
      </x:c>
      <x:c r="C3826" s="16" t="n">
        <x:v>9690.8237079781</x:v>
      </x:c>
      <x:c r="D3826" s="13" t="str">
        <x:v>Metals &amp; Mining</x:v>
      </x:c>
      <x:c r="E3826" s="13" t="str">
        <x:v>Metals &amp; Mining</x:v>
      </x:c>
      <x:c r="F3826" s="13" t="str">
        <x:v>Deep Cyclicals</x:v>
      </x:c>
      <x:c r="G3826" s="13" t="str">
        <x:v>grid_asitui1y.xlsx</x:v>
      </x:c>
    </x:row>
    <x:row r="3827">
      <x:c r="A3827" s="15" t="n">
        <x:v>42005</x:v>
      </x:c>
      <x:c r="B3827" s="13" t="str">
        <x:v>BRASKEM SA-PREF A</x:v>
      </x:c>
      <x:c r="C3827" s="16" t="n">
        <x:v>1262.7827630164</x:v>
      </x:c>
      <x:c r="D3827" s="13" t="str">
        <x:v>Oil, Gas &amp; Petrochemicals</x:v>
      </x:c>
      <x:c r="E3827" s="13" t="str">
        <x:v>Oil, Gas &amp; Petrochemicals</x:v>
      </x:c>
      <x:c r="F3827" s="13" t="str">
        <x:v>Deep Cyclicals</x:v>
      </x:c>
      <x:c r="G3827" s="13" t="str">
        <x:v>grid_asitui1y.xlsx</x:v>
      </x:c>
    </x:row>
    <x:row r="3828">
      <x:c r="A3828" s="15" t="n">
        <x:v>42005</x:v>
      </x:c>
      <x:c r="B3828" s="13" t="str">
        <x:v>COSAN SA</x:v>
      </x:c>
      <x:c r="C3828" s="16" t="n">
        <x:v>980.7222144699</x:v>
      </x:c>
      <x:c r="D3828" s="13" t="str">
        <x:v>Oil, Gas &amp; Petrochemicals</x:v>
      </x:c>
      <x:c r="E3828" s="13" t="str">
        <x:v>Oil, Gas &amp; Petrochemicals</x:v>
      </x:c>
      <x:c r="F3828" s="13" t="str">
        <x:v>Deep Cyclicals</x:v>
      </x:c>
      <x:c r="G3828" s="13" t="str">
        <x:v>grid_asitui1y.xlsx</x:v>
      </x:c>
    </x:row>
    <x:row r="3829">
      <x:c r="A3829" s="15" t="n">
        <x:v>42005</x:v>
      </x:c>
      <x:c r="B3829" s="13" t="str">
        <x:v>PETROBRAS - PETROLEO BRAS</x:v>
      </x:c>
      <x:c r="C3829" s="16" t="n">
        <x:v>20076.1406055519</x:v>
      </x:c>
      <x:c r="D3829" s="13" t="str">
        <x:v>Oil, Gas &amp; Petrochemicals</x:v>
      </x:c>
      <x:c r="E3829" s="13" t="str">
        <x:v>Oil, Gas &amp; Petrochemicals</x:v>
      </x:c>
      <x:c r="F3829" s="13" t="str">
        <x:v>Deep Cyclicals</x:v>
      </x:c>
      <x:c r="G3829" s="13" t="str">
        <x:v>grid_asitui1y.xlsx</x:v>
      </x:c>
    </x:row>
    <x:row r="3830">
      <x:c r="A3830" s="15" t="n">
        <x:v>42005</x:v>
      </x:c>
      <x:c r="B3830" s="13" t="str">
        <x:v>ULTRAPAR PARTICIPACOES SA</x:v>
      </x:c>
      <x:c r="C3830" s="16" t="n">
        <x:v>1419.1284738798</x:v>
      </x:c>
      <x:c r="D3830" s="13" t="str">
        <x:v>Oil, Gas &amp; Petrochemicals</x:v>
      </x:c>
      <x:c r="E3830" s="13" t="str">
        <x:v>Oil, Gas &amp; Petrochemicals</x:v>
      </x:c>
      <x:c r="F3830" s="13" t="str">
        <x:v>Deep Cyclicals</x:v>
      </x:c>
      <x:c r="G3830" s="13" t="str">
        <x:v>grid_asitui1y.xlsx</x:v>
      </x:c>
    </x:row>
    <x:row r="3831">
      <x:c r="A3831" s="15" t="n">
        <x:v>42005</x:v>
      </x:c>
      <x:c r="B3831" s="13" t="str">
        <x:v>DEXCO SA</x:v>
      </x:c>
      <x:c r="C3831" s="16" t="n">
        <x:v>438.1832223825</x:v>
      </x:c>
      <x:c r="D3831" s="13" t="str">
        <x:v>Pulp &amp; Paper</x:v>
      </x:c>
      <x:c r="E3831" s="13" t="str">
        <x:v>Pulp &amp; Paper</x:v>
      </x:c>
      <x:c r="F3831" s="13" t="str">
        <x:v>Deep Cyclicals</x:v>
      </x:c>
      <x:c r="G3831" s="13" t="str">
        <x:v>grid_asitui1y.xlsx</x:v>
      </x:c>
    </x:row>
    <x:row r="3832">
      <x:c r="A3832" s="15" t="n">
        <x:v>42005</x:v>
      </x:c>
      <x:c r="B3832" s="13" t="str">
        <x:v>FIBRIA CELULOSE S/A</x:v>
      </x:c>
      <x:c r="C3832" s="16" t="n">
        <x:v>516.6564144262</x:v>
      </x:c>
      <x:c r="D3832" s="13" t="str">
        <x:v>Pulp &amp; Paper</x:v>
      </x:c>
      <x:c r="E3832" s="13" t="str">
        <x:v>Pulp &amp; Paper</x:v>
      </x:c>
      <x:c r="F3832" s="13" t="str">
        <x:v>Deep Cyclicals</x:v>
      </x:c>
      <x:c r="G3832" s="13" t="str">
        <x:v>grid_asitui1y.xlsx</x:v>
      </x:c>
    </x:row>
    <x:row r="3833">
      <x:c r="A3833" s="15" t="n">
        <x:v>42005</x:v>
      </x:c>
      <x:c r="B3833" s="13" t="str">
        <x:v>KLABIN SA - UNIT</x:v>
      </x:c>
      <x:c r="C3833" s="16" t="n">
        <x:v>515.084871082</x:v>
      </x:c>
      <x:c r="D3833" s="13" t="str">
        <x:v>Pulp &amp; Paper</x:v>
      </x:c>
      <x:c r="E3833" s="13" t="str">
        <x:v>Pulp &amp; Paper</x:v>
      </x:c>
      <x:c r="F3833" s="13" t="str">
        <x:v>Deep Cyclicals</x:v>
      </x:c>
      <x:c r="G3833" s="13" t="str">
        <x:v>grid_asitui1y.xlsx</x:v>
      </x:c>
    </x:row>
    <x:row r="3834">
      <x:c r="A3834" s="15" t="n">
        <x:v>42005</x:v>
      </x:c>
      <x:c r="B3834" s="13" t="str">
        <x:v>SUZANO PAPEL E CELULO-PREF A</x:v>
      </x:c>
      <x:c r="C3834" s="16" t="n">
        <x:v>663.7261488962</x:v>
      </x:c>
      <x:c r="D3834" s="13" t="str">
        <x:v>Pulp &amp; Paper</x:v>
      </x:c>
      <x:c r="E3834" s="13" t="str">
        <x:v>Pulp &amp; Paper</x:v>
      </x:c>
      <x:c r="F3834" s="13" t="str">
        <x:v>Deep Cyclicals</x:v>
      </x:c>
      <x:c r="G3834" s="13" t="str">
        <x:v>grid_asitui1y.xlsx</x:v>
      </x:c>
    </x:row>
    <x:row r="3835">
      <x:c r="A3835" s="15" t="n">
        <x:v>42005</x:v>
      </x:c>
      <x:c r="B3835" s="13" t="str">
        <x:v>CIA BRASILEIRA DE DIS-PREF</x:v>
      </x:c>
      <x:c r="C3835" s="16" t="n">
        <x:v>1606.271051541</x:v>
      </x:c>
      <x:c r="D3835" s="13" t="str">
        <x:v>Retail</x:v>
      </x:c>
      <x:c r="E3835" s="13" t="str">
        <x:v>Retail</x:v>
      </x:c>
      <x:c r="F3835" s="13" t="str">
        <x:v>Early Cyclicals</x:v>
      </x:c>
      <x:c r="G3835" s="13" t="str">
        <x:v>grid_asitui1y.xlsx</x:v>
      </x:c>
    </x:row>
    <x:row r="3836">
      <x:c r="A3836" s="15" t="n">
        <x:v>42005</x:v>
      </x:c>
      <x:c r="B3836" s="13" t="str">
        <x:v>CIA HERING</x:v>
      </x:c>
      <x:c r="C3836" s="16" t="n">
        <x:v>348.7033191694</x:v>
      </x:c>
      <x:c r="D3836" s="13" t="str">
        <x:v>Retail</x:v>
      </x:c>
      <x:c r="E3836" s="13" t="str">
        <x:v>Retail</x:v>
      </x:c>
      <x:c r="F3836" s="13" t="str">
        <x:v>Early Cyclicals</x:v>
      </x:c>
      <x:c r="G3836" s="13" t="str">
        <x:v>grid_asitui1y.xlsx</x:v>
      </x:c>
    </x:row>
    <x:row r="3837">
      <x:c r="A3837" s="15" t="n">
        <x:v>42005</x:v>
      </x:c>
      <x:c r="B3837" s="13" t="str">
        <x:v>LOJAS AMERICANAS SA-PREF</x:v>
      </x:c>
      <x:c r="C3837" s="16" t="n">
        <x:v>629.684221377</x:v>
      </x:c>
      <x:c r="D3837" s="13" t="str">
        <x:v>Retail</x:v>
      </x:c>
      <x:c r="E3837" s="13" t="str">
        <x:v>Retail</x:v>
      </x:c>
      <x:c r="F3837" s="13" t="str">
        <x:v>Early Cyclicals</x:v>
      </x:c>
      <x:c r="G3837" s="13" t="str">
        <x:v>grid_asitui1y.xlsx</x:v>
      </x:c>
    </x:row>
    <x:row r="3838">
      <x:c r="A3838" s="15" t="n">
        <x:v>42005</x:v>
      </x:c>
      <x:c r="B3838" s="13" t="str">
        <x:v>LOJAS RENNER S.A.</x:v>
      </x:c>
      <x:c r="C3838" s="16" t="n">
        <x:v>551.4912879563</x:v>
      </x:c>
      <x:c r="D3838" s="13" t="str">
        <x:v>Retail</x:v>
      </x:c>
      <x:c r="E3838" s="13" t="str">
        <x:v>Retail</x:v>
      </x:c>
      <x:c r="F3838" s="13" t="str">
        <x:v>Early Cyclicals</x:v>
      </x:c>
      <x:c r="G3838" s="13" t="str">
        <x:v>grid_asitui1y.xlsx</x:v>
      </x:c>
    </x:row>
    <x:row r="3839">
      <x:c r="A3839" s="15" t="n">
        <x:v>42005</x:v>
      </x:c>
      <x:c r="B3839" s="13" t="str">
        <x:v>NATURA COSMETICOS SA</x:v>
      </x:c>
      <x:c r="C3839" s="16" t="n">
        <x:v>907.6035182514</x:v>
      </x:c>
      <x:c r="D3839" s="13" t="str">
        <x:v>Retail</x:v>
      </x:c>
      <x:c r="E3839" s="13" t="str">
        <x:v>Retail</x:v>
      </x:c>
      <x:c r="F3839" s="13" t="str">
        <x:v>Early Cyclicals</x:v>
      </x:c>
      <x:c r="G3839" s="13" t="str">
        <x:v>grid_asitui1y.xlsx</x:v>
      </x:c>
    </x:row>
    <x:row r="3840">
      <x:c r="A3840" s="15" t="n">
        <x:v>42005</x:v>
      </x:c>
      <x:c r="B3840" s="13" t="str">
        <x:v>CIA SANEAMENTO BASICO DE SP</x:v>
      </x:c>
      <x:c r="C3840" s="16" t="n">
        <x:v>1074.9059668634</x:v>
      </x:c>
      <x:c r="D3840" s="13" t="str">
        <x:v>Sanitation</x:v>
      </x:c>
      <x:c r="E3840" s="13" t="str">
        <x:v>Utilities</x:v>
      </x:c>
      <x:c r="F3840" s="13" t="str">
        <x:v>Defensives</x:v>
      </x:c>
      <x:c r="G3840" s="13" t="str">
        <x:v>grid_asitui1y.xlsx</x:v>
      </x:c>
    </x:row>
    <x:row r="3841">
      <x:c r="A3841" s="15" t="n">
        <x:v>42005</x:v>
      </x:c>
      <x:c r="B3841" s="13" t="str">
        <x:v>OI SA-PREFERENCE</x:v>
      </x:c>
      <x:c r="C3841" s="16" t="n">
        <x:v>219.7936612022</x:v>
      </x:c>
      <x:c r="D3841" s="13" t="str">
        <x:v>TMT</x:v>
      </x:c>
      <x:c r="E3841" s="13" t="str">
        <x:v>TMT</x:v>
      </x:c>
      <x:c r="F3841" s="13" t="str">
        <x:v>Early Cyclicals</x:v>
      </x:c>
      <x:c r="G3841" s="13" t="str">
        <x:v>grid_asitui1y.xlsx</x:v>
      </x:c>
    </x:row>
    <x:row r="3842">
      <x:c r="A3842" s="15" t="n">
        <x:v>42005</x:v>
      </x:c>
      <x:c r="B3842" s="13" t="str">
        <x:v>TELEFONICA BRASIL S.A.-PREF</x:v>
      </x:c>
      <x:c r="C3842" s="16" t="n">
        <x:v>4012.096331541</x:v>
      </x:c>
      <x:c r="D3842" s="13" t="str">
        <x:v>TMT</x:v>
      </x:c>
      <x:c r="E3842" s="13" t="str">
        <x:v>TMT</x:v>
      </x:c>
      <x:c r="F3842" s="13" t="str">
        <x:v>Early Cyclicals</x:v>
      </x:c>
      <x:c r="G3842" s="13" t="str">
        <x:v>grid_asitui1y.xlsx</x:v>
      </x:c>
    </x:row>
    <x:row r="3843">
      <x:c r="A3843" s="15" t="n">
        <x:v>42005</x:v>
      </x:c>
      <x:c r="B3843" s="13" t="str">
        <x:v>TIM SA</x:v>
      </x:c>
      <x:c r="C3843" s="16" t="n">
        <x:v>1707.8116773771</x:v>
      </x:c>
      <x:c r="D3843" s="13" t="str">
        <x:v>TMT</x:v>
      </x:c>
      <x:c r="E3843" s="13" t="str">
        <x:v>TMT</x:v>
      </x:c>
      <x:c r="F3843" s="13" t="str">
        <x:v>Early Cyclicals</x:v>
      </x:c>
      <x:c r="G3843" s="13" t="str">
        <x:v>grid_asitui1y.xlsx</x:v>
      </x:c>
    </x:row>
    <x:row r="3844">
      <x:c r="A3844" s="15" t="n">
        <x:v>42005</x:v>
      </x:c>
      <x:c r="B3844" s="13" t="str">
        <x:v>ECORODOVIAS INFRA E LOG SA</x:v>
      </x:c>
      <x:c r="C3844" s="16" t="n">
        <x:v>397.1966539891</x:v>
      </x:c>
      <x:c r="D3844" s="13" t="str">
        <x:v>Transportation</x:v>
      </x:c>
      <x:c r="E3844" s="13" t="str">
        <x:v>Transportation</x:v>
      </x:c>
      <x:c r="F3844" s="13" t="str">
        <x:v>Deep Cyclicals</x:v>
      </x:c>
      <x:c r="G3844" s="13" t="str">
        <x:v>grid_asitui1y.xlsx</x:v>
      </x:c>
    </x:row>
    <x:row r="3845">
      <x:c r="A3845" s="15" t="n">
        <x:v>42005</x:v>
      </x:c>
      <x:c r="B3845" s="13" t="str">
        <x:v>GOL LINHAS AEREAS INT SA-PRE</x:v>
      </x:c>
      <x:c r="C3845" s="16" t="n">
        <x:v>72.3016605246</x:v>
      </x:c>
      <x:c r="D3845" s="13" t="str">
        <x:v>Transportation</x:v>
      </x:c>
      <x:c r="E3845" s="13" t="str">
        <x:v>Transportation</x:v>
      </x:c>
      <x:c r="F3845" s="13" t="str">
        <x:v>Deep Cyclicals</x:v>
      </x:c>
      <x:c r="G3845" s="13" t="str">
        <x:v>grid_asitui1y.xlsx</x:v>
      </x:c>
    </x:row>
    <x:row r="3846">
      <x:c r="A3846" s="15" t="n">
        <x:v>42005</x:v>
      </x:c>
      <x:c r="B3846" s="13" t="str">
        <x:v>LOCALIZA RENT A CAR</x:v>
      </x:c>
      <x:c r="C3846" s="16" t="n">
        <x:v>436.856412765</x:v>
      </x:c>
      <x:c r="D3846" s="13" t="str">
        <x:v>Transportation</x:v>
      </x:c>
      <x:c r="E3846" s="13" t="str">
        <x:v>Transportation</x:v>
      </x:c>
      <x:c r="F3846" s="13" t="str">
        <x:v>Deep Cyclicals</x:v>
      </x:c>
      <x:c r="G3846" s="13" t="str">
        <x:v>grid_asitui1y.xlsx</x:v>
      </x:c>
    </x:row>
    <x:row r="3847">
      <x:c r="A3847" s="15" t="n">
        <x:v>42005</x:v>
      </x:c>
      <x:c r="B3847" s="13" t="str">
        <x:v>MOTIVA INFRAESTRUTURA DE MOB</x:v>
      </x:c>
      <x:c r="C3847" s="16" t="n">
        <x:v>1457.3157763497</x:v>
      </x:c>
      <x:c r="D3847" s="13" t="str">
        <x:v>Transportation</x:v>
      </x:c>
      <x:c r="E3847" s="13" t="str">
        <x:v>Transportation</x:v>
      </x:c>
      <x:c r="F3847" s="13" t="str">
        <x:v>Deep Cyclicals</x:v>
      </x:c>
      <x:c r="G3847" s="13" t="str">
        <x:v>grid_asitui1y.xlsx</x:v>
      </x:c>
    </x:row>
    <x:row r="3848">
      <x:c r="A3848" s="15" t="n">
        <x:v>42005</x:v>
      </x:c>
      <x:c r="B3848" s="13" t="str">
        <x:v>RUMO SA</x:v>
      </x:c>
      <x:c r="C3848" s="16" t="n">
        <x:v>225.6252937268</x:v>
      </x:c>
      <x:c r="D3848" s="13" t="str">
        <x:v>Transportation</x:v>
      </x:c>
      <x:c r="E3848" s="13" t="str">
        <x:v>Transportation</x:v>
      </x:c>
      <x:c r="F3848" s="13" t="str">
        <x:v>Deep Cyclicals</x:v>
      </x:c>
      <x:c r="G3848" s="13" t="str">
        <x:v>grid_asitui1y.xlsx</x:v>
      </x:c>
    </x:row>
    <x:row r="3849">
      <x:c r="A3849" s="15" t="n">
        <x:v>42005</x:v>
      </x:c>
      <x:c r="B3849" s="13" t="str">
        <x:v>AXIA ENERGIA SA</x:v>
      </x:c>
      <x:c r="C3849" s="16" t="n">
        <x:v>-281.4038953443</x:v>
      </x:c>
      <x:c r="D3849" s="13" t="str">
        <x:v>Utilities &amp; Energy</x:v>
      </x:c>
      <x:c r="E3849" s="13" t="str">
        <x:v>Utilities</x:v>
      </x:c>
      <x:c r="F3849" s="13" t="str">
        <x:v>Defensives</x:v>
      </x:c>
      <x:c r="G3849" s="13" t="str">
        <x:v>grid_asitui1y.xlsx</x:v>
      </x:c>
    </x:row>
    <x:row r="3850">
      <x:c r="A3850" s="15" t="n">
        <x:v>42005</x:v>
      </x:c>
      <x:c r="B3850" s="13" t="str">
        <x:v>AXIA ENERGIA-PR B</x:v>
      </x:c>
      <x:c r="C3850" s="16" t="n">
        <x:v>-281.4038953443</x:v>
      </x:c>
      <x:c r="D3850" s="13" t="str">
        <x:v>Utilities &amp; Energy</x:v>
      </x:c>
      <x:c r="E3850" s="13" t="str">
        <x:v>Utilities</x:v>
      </x:c>
      <x:c r="F3850" s="13" t="str">
        <x:v>Defensives</x:v>
      </x:c>
      <x:c r="G3850" s="13" t="str">
        <x:v>grid_asitui1y.xlsx</x:v>
      </x:c>
    </x:row>
    <x:row r="3851">
      <x:c r="A3851" s="15" t="n">
        <x:v>42005</x:v>
      </x:c>
      <x:c r="B3851" s="13" t="str">
        <x:v>CESP - CIA ENERGETICA DE SAO</x:v>
      </x:c>
      <x:c r="C3851" s="16" t="n">
        <x:v>576.5137285246</x:v>
      </x:c>
      <x:c r="D3851" s="13" t="str">
        <x:v>Utilities &amp; Energy</x:v>
      </x:c>
      <x:c r="E3851" s="13" t="str">
        <x:v>Utilities</x:v>
      </x:c>
      <x:c r="F3851" s="13" t="str">
        <x:v>Defensives</x:v>
      </x:c>
      <x:c r="G3851" s="13" t="str">
        <x:v>grid_asitui1y.xlsx</x:v>
      </x:c>
    </x:row>
    <x:row r="3852">
      <x:c r="A3852" s="15" t="n">
        <x:v>42005</x:v>
      </x:c>
      <x:c r="B3852" s="13" t="str">
        <x:v>CIA ENERGETICA MINAS GER-PRF</x:v>
      </x:c>
      <x:c r="C3852" s="16" t="n">
        <x:v>2079.8416227322</x:v>
      </x:c>
      <x:c r="D3852" s="13" t="str">
        <x:v>Utilities &amp; Energy</x:v>
      </x:c>
      <x:c r="E3852" s="13" t="str">
        <x:v>Utilities</x:v>
      </x:c>
      <x:c r="F3852" s="13" t="str">
        <x:v>Defensives</x:v>
      </x:c>
      <x:c r="G3852" s="13" t="str">
        <x:v>grid_asitui1y.xlsx</x:v>
      </x:c>
    </x:row>
    <x:row r="3853">
      <x:c r="A3853" s="15" t="n">
        <x:v>42005</x:v>
      </x:c>
      <x:c r="B3853" s="13" t="str">
        <x:v>COMPANHIA PARANAENSE -PREF B</x:v>
      </x:c>
      <x:c r="C3853" s="16" t="n">
        <x:v>1337.1692201967</x:v>
      </x:c>
      <x:c r="D3853" s="13" t="str">
        <x:v>Utilities &amp; Energy</x:v>
      </x:c>
      <x:c r="E3853" s="13" t="str">
        <x:v>Utilities</x:v>
      </x:c>
      <x:c r="F3853" s="13" t="str">
        <x:v>Defensives</x:v>
      </x:c>
      <x:c r="G3853" s="13" t="str">
        <x:v>grid_asitui1y.xlsx</x:v>
      </x:c>
    </x:row>
    <x:row r="3854">
      <x:c r="A3854" s="15" t="n">
        <x:v>42005</x:v>
      </x:c>
      <x:c r="B3854" s="13" t="str">
        <x:v>CPFL ENERGIA SA</x:v>
      </x:c>
      <x:c r="C3854" s="16" t="n">
        <x:v>1237.9835799781</x:v>
      </x:c>
      <x:c r="D3854" s="13" t="str">
        <x:v>Utilities &amp; Energy</x:v>
      </x:c>
      <x:c r="E3854" s="13" t="str">
        <x:v>Utilities</x:v>
      </x:c>
      <x:c r="F3854" s="13" t="str">
        <x:v>Defensives</x:v>
      </x:c>
      <x:c r="G3854" s="13" t="str">
        <x:v>grid_asitui1y.xlsx</x:v>
      </x:c>
    </x:row>
    <x:row r="3855">
      <x:c r="A3855" s="15" t="n">
        <x:v>42005</x:v>
      </x:c>
      <x:c r="B3855" s="13" t="str">
        <x:v>EDP - ENERGIAS DO BRASIL SA</x:v>
      </x:c>
      <x:c r="C3855" s="16" t="n">
        <x:v>435.354839694</x:v>
      </x:c>
      <x:c r="D3855" s="13" t="str">
        <x:v>Utilities &amp; Energy</x:v>
      </x:c>
      <x:c r="E3855" s="13" t="str">
        <x:v>Utilities</x:v>
      </x:c>
      <x:c r="F3855" s="13" t="str">
        <x:v>Defensives</x:v>
      </x:c>
      <x:c r="G3855" s="13" t="str">
        <x:v>grid_asitui1y.xlsx</x:v>
      </x:c>
    </x:row>
    <x:row r="3856">
      <x:c r="A3856" s="15" t="n">
        <x:v>42005</x:v>
      </x:c>
      <x:c r="B3856" s="13" t="str">
        <x:v>ENGIE BRASIL ENERGIA SA</x:v>
      </x:c>
      <x:c r="C3856" s="16" t="n">
        <x:v>1653.4891957158</x:v>
      </x:c>
      <x:c r="D3856" s="13" t="str">
        <x:v>Utilities &amp; Energy</x:v>
      </x:c>
      <x:c r="E3856" s="13" t="str">
        <x:v>Utilities</x:v>
      </x:c>
      <x:c r="F3856" s="13" t="str">
        <x:v>Defensives</x:v>
      </x:c>
      <x:c r="G3856" s="13" t="str">
        <x:v>grid_asitui1y.xlsx</x:v>
      </x:c>
    </x:row>
    <x:row r="3857">
      <x:c r="A3857" s="15" t="n">
        <x:v>42005</x:v>
      </x:c>
      <x:c r="B3857" s="13" t="str">
        <x:v>LIGHT SA</x:v>
      </x:c>
      <x:c r="C3857" s="16" t="n">
        <x:v>538.8112048962</x:v>
      </x:c>
      <x:c r="D3857" s="13" t="str">
        <x:v>Utilities &amp; Energy</x:v>
      </x:c>
      <x:c r="E3857" s="13" t="str">
        <x:v>Utilities</x:v>
      </x:c>
      <x:c r="F3857" s="13" t="str">
        <x:v>Defensives</x:v>
      </x:c>
      <x:c r="G3857" s="13" t="str">
        <x:v>grid_asitui1y.xlsx</x:v>
      </x:c>
    </x:row>
    <x:row r="3858">
      <x:c r="A3858" s="15" t="n">
        <x:v>42036</x:v>
      </x:c>
      <x:c r="B3858" s="13" t="str">
        <x:v>BANCO BRADESCO S.A.</x:v>
      </x:c>
      <x:c r="C3858" s="16" t="n">
        <x:v>17391.9741370055</x:v>
      </x:c>
      <x:c r="D3858" s="13" t="str">
        <x:v>Banks</x:v>
      </x:c>
      <x:c r="E3858" s="13" t="str">
        <x:v>Banks</x:v>
      </x:c>
      <x:c r="F3858" s="13" t="str">
        <x:v>Financials</x:v>
      </x:c>
      <x:c r="G3858" s="13" t="str">
        <x:v>grid_asitui1y.xlsx</x:v>
      </x:c>
    </x:row>
    <x:row r="3859">
      <x:c r="A3859" s="15" t="n">
        <x:v>42036</x:v>
      </x:c>
      <x:c r="B3859" s="13" t="str">
        <x:v>BANCO BRADESCO SA-PREF</x:v>
      </x:c>
      <x:c r="C3859" s="16" t="n">
        <x:v>17391.9741370055</x:v>
      </x:c>
      <x:c r="D3859" s="13" t="str">
        <x:v>Banks</x:v>
      </x:c>
      <x:c r="E3859" s="13" t="str">
        <x:v>Banks</x:v>
      </x:c>
      <x:c r="F3859" s="13" t="str">
        <x:v>Financials</x:v>
      </x:c>
      <x:c r="G3859" s="13" t="str">
        <x:v>grid_asitui1y.xlsx</x:v>
      </x:c>
    </x:row>
    <x:row r="3860">
      <x:c r="A3860" s="15" t="n">
        <x:v>42036</x:v>
      </x:c>
      <x:c r="B3860" s="13" t="str">
        <x:v>BANCO DO BRASIL S.A.</x:v>
      </x:c>
      <x:c r="C3860" s="16" t="n">
        <x:v>12391.1924361093</x:v>
      </x:c>
      <x:c r="D3860" s="13" t="str">
        <x:v>Banks</x:v>
      </x:c>
      <x:c r="E3860" s="13" t="str">
        <x:v>Banks</x:v>
      </x:c>
      <x:c r="F3860" s="13" t="str">
        <x:v>Financials</x:v>
      </x:c>
      <x:c r="G3860" s="13" t="str">
        <x:v>grid_asitui1y.xlsx</x:v>
      </x:c>
    </x:row>
    <x:row r="3861">
      <x:c r="A3861" s="15" t="n">
        <x:v>42036</x:v>
      </x:c>
      <x:c r="B3861" s="13" t="str">
        <x:v>BANCO SANTANDER  BRASIL-UNIT</x:v>
      </x:c>
      <x:c r="C3861" s="16" t="n">
        <x:v>5931.3173039563</x:v>
      </x:c>
      <x:c r="D3861" s="13" t="str">
        <x:v>Banks</x:v>
      </x:c>
      <x:c r="E3861" s="13" t="str">
        <x:v>Banks</x:v>
      </x:c>
      <x:c r="F3861" s="13" t="str">
        <x:v>Financials</x:v>
      </x:c>
      <x:c r="G3861" s="13" t="str">
        <x:v>grid_asitui1y.xlsx</x:v>
      </x:c>
    </x:row>
    <x:row r="3862">
      <x:c r="A3862" s="15" t="n">
        <x:v>42036</x:v>
      </x:c>
      <x:c r="B3862" s="13" t="str">
        <x:v>ITAU UNIBANCO HOLDING S-PREF</x:v>
      </x:c>
      <x:c r="C3862" s="16" t="n">
        <x:v>22883.0048804372</x:v>
      </x:c>
      <x:c r="D3862" s="13" t="str">
        <x:v>Banks</x:v>
      </x:c>
      <x:c r="E3862" s="13" t="str">
        <x:v>Banks</x:v>
      </x:c>
      <x:c r="F3862" s="13" t="str">
        <x:v>Financials</x:v>
      </x:c>
      <x:c r="G3862" s="13" t="str">
        <x:v>grid_asitui1y.xlsx</x:v>
      </x:c>
    </x:row>
    <x:row r="3863">
      <x:c r="A3863" s="15" t="n">
        <x:v>42036</x:v>
      </x:c>
      <x:c r="B3863" s="13" t="str">
        <x:v>EMBRAER SA</x:v>
      </x:c>
      <x:c r="C3863" s="16" t="n">
        <x:v>1331.7257624481</x:v>
      </x:c>
      <x:c r="D3863" s="13" t="str">
        <x:v>Capital Goods</x:v>
      </x:c>
      <x:c r="E3863" s="13" t="str">
        <x:v>Capital Goods</x:v>
      </x:c>
      <x:c r="F3863" s="13" t="str">
        <x:v>Deep Cyclicals</x:v>
      </x:c>
      <x:c r="G3863" s="13" t="str">
        <x:v>grid_asitui1y.xlsx</x:v>
      </x:c>
    </x:row>
    <x:row r="3864">
      <x:c r="A3864" s="15" t="n">
        <x:v>42036</x:v>
      </x:c>
      <x:c r="B3864" s="13" t="str">
        <x:v>MARCOPOLO SA-PREF</x:v>
      </x:c>
      <x:c r="C3864" s="16" t="n">
        <x:v>237.1633169399</x:v>
      </x:c>
      <x:c r="D3864" s="13" t="str">
        <x:v>Capital Goods</x:v>
      </x:c>
      <x:c r="E3864" s="13" t="str">
        <x:v>Capital Goods</x:v>
      </x:c>
      <x:c r="F3864" s="13" t="str">
        <x:v>Deep Cyclicals</x:v>
      </x:c>
      <x:c r="G3864" s="13" t="str">
        <x:v>grid_asitui1y.xlsx</x:v>
      </x:c>
    </x:row>
    <x:row r="3865">
      <x:c r="A3865" s="15" t="n">
        <x:v>42036</x:v>
      </x:c>
      <x:c r="B3865" s="13" t="str">
        <x:v>COGNA EDUCACAO</x:v>
      </x:c>
      <x:c r="C3865" s="16" t="n">
        <x:v>1654.3083229727</x:v>
      </x:c>
      <x:c r="D3865" s="13" t="str">
        <x:v>Education</x:v>
      </x:c>
      <x:c r="E3865" s="13" t="str">
        <x:v>Education</x:v>
      </x:c>
      <x:c r="F3865" s="13" t="str">
        <x:v>Early Cyclicals</x:v>
      </x:c>
      <x:c r="G3865" s="13" t="str">
        <x:v>grid_asitui1y.xlsx</x:v>
      </x:c>
    </x:row>
    <x:row r="3866">
      <x:c r="A3866" s="15" t="n">
        <x:v>42036</x:v>
      </x:c>
      <x:c r="B3866" s="13" t="str">
        <x:v>YDUQS PARTICIPACOES SA</x:v>
      </x:c>
      <x:c r="C3866" s="16" t="n">
        <x:v>596.6966688525</x:v>
      </x:c>
      <x:c r="D3866" s="13" t="str">
        <x:v>Education</x:v>
      </x:c>
      <x:c r="E3866" s="13" t="str">
        <x:v>Education</x:v>
      </x:c>
      <x:c r="F3866" s="13" t="str">
        <x:v>Early Cyclicals</x:v>
      </x:c>
      <x:c r="G3866" s="13" t="str">
        <x:v>grid_asitui1y.xlsx</x:v>
      </x:c>
    </x:row>
    <x:row r="3867">
      <x:c r="A3867" s="15" t="n">
        <x:v>42036</x:v>
      </x:c>
      <x:c r="B3867" s="13" t="str">
        <x:v>B3 SA-BRASIL BOLSA BALCAO</x:v>
      </x:c>
      <x:c r="C3867" s="16" t="n">
        <x:v>1503.30103047</x:v>
      </x:c>
      <x:c r="D3867" s="13" t="str">
        <x:v>Financials Non-Banks</x:v>
      </x:c>
      <x:c r="E3867" s="13" t="str">
        <x:v>Financials Non-Banks</x:v>
      </x:c>
      <x:c r="F3867" s="13" t="str">
        <x:v>Financials</x:v>
      </x:c>
      <x:c r="G3867" s="13" t="str">
        <x:v>grid_asitui1y.xlsx</x:v>
      </x:c>
    </x:row>
    <x:row r="3868">
      <x:c r="A3868" s="15" t="n">
        <x:v>42036</x:v>
      </x:c>
      <x:c r="B3868" s="13" t="str">
        <x:v>BB SEGURIDADE PARTICIPACOES</x:v>
      </x:c>
      <x:c r="C3868" s="16" t="n">
        <x:v>3935.32317447</x:v>
      </x:c>
      <x:c r="D3868" s="13" t="str">
        <x:v>Financials Non-Banks</x:v>
      </x:c>
      <x:c r="E3868" s="13" t="str">
        <x:v>Financials Non-Banks</x:v>
      </x:c>
      <x:c r="F3868" s="13" t="str">
        <x:v>Financials</x:v>
      </x:c>
      <x:c r="G3868" s="13" t="str">
        <x:v>grid_asitui1y.xlsx</x:v>
      </x:c>
    </x:row>
    <x:row r="3869">
      <x:c r="A3869" s="15" t="n">
        <x:v>42036</x:v>
      </x:c>
      <x:c r="B3869" s="13" t="str">
        <x:v>CETIP SA-MERCADOS ORGANIZADO</x:v>
      </x:c>
      <x:c r="C3869" s="16" t="n">
        <x:v>546.7342417486</x:v>
      </x:c>
      <x:c r="D3869" s="13" t="str">
        <x:v>Financials Non-Banks</x:v>
      </x:c>
      <x:c r="E3869" s="13" t="str">
        <x:v>Financials Non-Banks</x:v>
      </x:c>
      <x:c r="F3869" s="13" t="str">
        <x:v>Financials</x:v>
      </x:c>
      <x:c r="G3869" s="13" t="str">
        <x:v>grid_asitui1y.xlsx</x:v>
      </x:c>
    </x:row>
    <x:row r="3870">
      <x:c r="A3870" s="15" t="n">
        <x:v>42036</x:v>
      </x:c>
      <x:c r="B3870" s="13" t="str">
        <x:v>CIELO SA - INSTITUICAO DE PA</x:v>
      </x:c>
      <x:c r="C3870" s="16" t="n">
        <x:v>3844.5798980546</x:v>
      </x:c>
      <x:c r="D3870" s="13" t="str">
        <x:v>Financials Non-Banks</x:v>
      </x:c>
      <x:c r="E3870" s="13" t="str">
        <x:v>Financials Non-Banks</x:v>
      </x:c>
      <x:c r="F3870" s="13" t="str">
        <x:v>Financials</x:v>
      </x:c>
      <x:c r="G3870" s="13" t="str">
        <x:v>grid_asitui1y.xlsx</x:v>
      </x:c>
    </x:row>
    <x:row r="3871">
      <x:c r="A3871" s="15" t="n">
        <x:v>42036</x:v>
      </x:c>
      <x:c r="B3871" s="13" t="str">
        <x:v>ITAUSA SA</x:v>
      </x:c>
      <x:c r="C3871" s="16" t="n">
        <x:v>8325.931640306</x:v>
      </x:c>
      <x:c r="D3871" s="13" t="str">
        <x:v>Financials Non-Banks</x:v>
      </x:c>
      <x:c r="E3871" s="13" t="str">
        <x:v>Financials Non-Banks</x:v>
      </x:c>
      <x:c r="F3871" s="13" t="str">
        <x:v>Financials</x:v>
      </x:c>
      <x:c r="G3871" s="13" t="str">
        <x:v>grid_asitui1y.xlsx</x:v>
      </x:c>
    </x:row>
    <x:row r="3872">
      <x:c r="A3872" s="15" t="n">
        <x:v>42036</x:v>
      </x:c>
      <x:c r="B3872" s="13" t="str">
        <x:v>AMBEV SA</x:v>
      </x:c>
      <x:c r="C3872" s="16" t="n">
        <x:v>13788.2464776393</x:v>
      </x:c>
      <x:c r="D3872" s="13" t="str">
        <x:v>Food &amp; Beverages</x:v>
      </x:c>
      <x:c r="E3872" s="13" t="str">
        <x:v>Agri, Food &amp; Beverages</x:v>
      </x:c>
      <x:c r="F3872" s="13" t="str">
        <x:v>Defensives</x:v>
      </x:c>
      <x:c r="G3872" s="13" t="str">
        <x:v>grid_asitui1y.xlsx</x:v>
      </x:c>
    </x:row>
    <x:row r="3873">
      <x:c r="A3873" s="15" t="n">
        <x:v>42036</x:v>
      </x:c>
      <x:c r="B3873" s="13" t="str">
        <x:v>BRF SA</x:v>
      </x:c>
      <x:c r="C3873" s="16" t="n">
        <x:v>2700.6619446557</x:v>
      </x:c>
      <x:c r="D3873" s="13" t="str">
        <x:v>Food &amp; Beverages</x:v>
      </x:c>
      <x:c r="E3873" s="13" t="str">
        <x:v>Agri, Food &amp; Beverages</x:v>
      </x:c>
      <x:c r="F3873" s="13" t="str">
        <x:v>Defensives</x:v>
      </x:c>
      <x:c r="G3873" s="13" t="str">
        <x:v>grid_asitui1y.xlsx</x:v>
      </x:c>
    </x:row>
    <x:row r="3874">
      <x:c r="A3874" s="15" t="n">
        <x:v>42036</x:v>
      </x:c>
      <x:c r="B3874" s="13" t="str">
        <x:v>MBRF GLOBAL FOODS COMPANY SA</x:v>
      </x:c>
      <x:c r="C3874" s="16" t="n">
        <x:v>31.487392</x:v>
      </x:c>
      <x:c r="D3874" s="13" t="str">
        <x:v>Food &amp; Beverages</x:v>
      </x:c>
      <x:c r="E3874" s="13" t="str">
        <x:v>Agri, Food &amp; Beverages</x:v>
      </x:c>
      <x:c r="F3874" s="13" t="str">
        <x:v>Defensives</x:v>
      </x:c>
      <x:c r="G3874" s="13" t="str">
        <x:v>grid_asitui1y.xlsx</x:v>
      </x:c>
    </x:row>
    <x:row r="3875">
      <x:c r="A3875" s="15" t="n">
        <x:v>42036</x:v>
      </x:c>
      <x:c r="B3875" s="13" t="str">
        <x:v>SOUZA CRUZ LTDA</x:v>
      </x:c>
      <x:c r="C3875" s="16" t="n">
        <x:v>1756.3164037596</x:v>
      </x:c>
      <x:c r="D3875" s="13" t="str">
        <x:v>Food &amp; Beverages</x:v>
      </x:c>
      <x:c r="E3875" s="13" t="str">
        <x:v>Agri, Food &amp; Beverages</x:v>
      </x:c>
      <x:c r="F3875" s="13" t="str">
        <x:v>Defensives</x:v>
      </x:c>
      <x:c r="G3875" s="13" t="str">
        <x:v>grid_asitui1y.xlsx</x:v>
      </x:c>
    </x:row>
    <x:row r="3876">
      <x:c r="A3876" s="15" t="n">
        <x:v>42036</x:v>
      </x:c>
      <x:c r="B3876" s="13" t="str">
        <x:v>HYPERA SA</x:v>
      </x:c>
      <x:c r="C3876" s="16" t="n">
        <x:v>577.1242881749</x:v>
      </x:c>
      <x:c r="D3876" s="13" t="str">
        <x:v>Health Care</x:v>
      </x:c>
      <x:c r="E3876" s="13" t="str">
        <x:v>Health Care</x:v>
      </x:c>
      <x:c r="F3876" s="13" t="str">
        <x:v>Defensives</x:v>
      </x:c>
      <x:c r="G3876" s="13" t="str">
        <x:v>grid_asitui1y.xlsx</x:v>
      </x:c>
    </x:row>
    <x:row r="3877">
      <x:c r="A3877" s="15" t="n">
        <x:v>42036</x:v>
      </x:c>
      <x:c r="B3877" s="13" t="str">
        <x:v>QUALICORP CONS E CORR SEG SA</x:v>
      </x:c>
      <x:c r="C3877" s="16" t="n">
        <x:v>377.9660178361</x:v>
      </x:c>
      <x:c r="D3877" s="13" t="str">
        <x:v>Health Care</x:v>
      </x:c>
      <x:c r="E3877" s="13" t="str">
        <x:v>Health Care</x:v>
      </x:c>
      <x:c r="F3877" s="13" t="str">
        <x:v>Defensives</x:v>
      </x:c>
      <x:c r="G3877" s="13" t="str">
        <x:v>grid_asitui1y.xlsx</x:v>
      </x:c>
    </x:row>
    <x:row r="3878">
      <x:c r="A3878" s="15" t="n">
        <x:v>42036</x:v>
      </x:c>
      <x:c r="B3878" s="13" t="str">
        <x:v>CYRELA BRAZIL REALTY SA EMP</x:v>
      </x:c>
      <x:c r="C3878" s="16" t="n">
        <x:v>730.1595999126</x:v>
      </x:c>
      <x:c r="D3878" s="13" t="str">
        <x:v>Homebuilders</x:v>
      </x:c>
      <x:c r="E3878" s="13" t="str">
        <x:v>Real Estate</x:v>
      </x:c>
      <x:c r="F3878" s="13" t="str">
        <x:v>Early Cyclicals</x:v>
      </x:c>
      <x:c r="G3878" s="13" t="str">
        <x:v>grid_asitui1y.xlsx</x:v>
      </x:c>
    </x:row>
    <x:row r="3879">
      <x:c r="A3879" s="15" t="n">
        <x:v>42036</x:v>
      </x:c>
      <x:c r="B3879" s="13" t="str">
        <x:v>EVEN CONSTRUTORA E INCORPORA</x:v>
      </x:c>
      <x:c r="C3879" s="16" t="n">
        <x:v>279.7198893115</x:v>
      </x:c>
      <x:c r="D3879" s="13" t="str">
        <x:v>Homebuilders</x:v>
      </x:c>
      <x:c r="E3879" s="13" t="str">
        <x:v>Real Estate</x:v>
      </x:c>
      <x:c r="F3879" s="13" t="str">
        <x:v>Early Cyclicals</x:v>
      </x:c>
      <x:c r="G3879" s="13" t="str">
        <x:v>grid_asitui1y.xlsx</x:v>
      </x:c>
    </x:row>
    <x:row r="3880">
      <x:c r="A3880" s="15" t="n">
        <x:v>42036</x:v>
      </x:c>
      <x:c r="B3880" s="13" t="str">
        <x:v>GAFISA SA</x:v>
      </x:c>
      <x:c r="C3880" s="16" t="n">
        <x:v>54.960095082</x:v>
      </x:c>
      <x:c r="D3880" s="13" t="str">
        <x:v>Homebuilders</x:v>
      </x:c>
      <x:c r="E3880" s="13" t="str">
        <x:v>Real Estate</x:v>
      </x:c>
      <x:c r="F3880" s="13" t="str">
        <x:v>Early Cyclicals</x:v>
      </x:c>
      <x:c r="G3880" s="13" t="str">
        <x:v>grid_asitui1y.xlsx</x:v>
      </x:c>
    </x:row>
    <x:row r="3881">
      <x:c r="A3881" s="15" t="n">
        <x:v>42036</x:v>
      </x:c>
      <x:c r="B3881" s="13" t="str">
        <x:v>MRV ENGENHARIA</x:v>
      </x:c>
      <x:c r="C3881" s="16" t="n">
        <x:v>546.9665274754</x:v>
      </x:c>
      <x:c r="D3881" s="13" t="str">
        <x:v>Homebuilders</x:v>
      </x:c>
      <x:c r="E3881" s="13" t="str">
        <x:v>Real Estate</x:v>
      </x:c>
      <x:c r="F3881" s="13" t="str">
        <x:v>Early Cyclicals</x:v>
      </x:c>
      <x:c r="G3881" s="13" t="str">
        <x:v>grid_asitui1y.xlsx</x:v>
      </x:c>
    </x:row>
    <x:row r="3882">
      <x:c r="A3882" s="15" t="n">
        <x:v>42036</x:v>
      </x:c>
      <x:c r="B3882" s="13" t="str">
        <x:v>PDG REALTY SA</x:v>
      </x:c>
      <x:c r="C3882" s="16" t="n">
        <x:v>-234.3060482404</x:v>
      </x:c>
      <x:c r="D3882" s="13" t="str">
        <x:v>Homebuilders</x:v>
      </x:c>
      <x:c r="E3882" s="13" t="str">
        <x:v>Real Estate</x:v>
      </x:c>
      <x:c r="F3882" s="13" t="str">
        <x:v>Early Cyclicals</x:v>
      </x:c>
      <x:c r="G3882" s="13" t="str">
        <x:v>grid_asitui1y.xlsx</x:v>
      </x:c>
    </x:row>
    <x:row r="3883">
      <x:c r="A3883" s="15" t="n">
        <x:v>42036</x:v>
      </x:c>
      <x:c r="B3883" s="13" t="str">
        <x:v>BR MALLS PARTICIPACOES SA</x:v>
      </x:c>
      <x:c r="C3883" s="16" t="n">
        <x:v>483.2252265792</x:v>
      </x:c>
      <x:c r="D3883" s="13" t="str">
        <x:v>Income Properties</x:v>
      </x:c>
      <x:c r="E3883" s="13" t="str">
        <x:v>Real Estate</x:v>
      </x:c>
      <x:c r="F3883" s="13" t="str">
        <x:v>Early Cyclicals</x:v>
      </x:c>
      <x:c r="G3883" s="13" t="str">
        <x:v>grid_asitui1y.xlsx</x:v>
      </x:c>
    </x:row>
    <x:row r="3884">
      <x:c r="A3884" s="15" t="n">
        <x:v>42036</x:v>
      </x:c>
      <x:c r="B3884" s="13" t="str">
        <x:v>MULTIPLAN EMPREENDIMENTOS</x:v>
      </x:c>
      <x:c r="C3884" s="16" t="n">
        <x:v>392.096028765</x:v>
      </x:c>
      <x:c r="D3884" s="13" t="str">
        <x:v>Income Properties</x:v>
      </x:c>
      <x:c r="E3884" s="13" t="str">
        <x:v>Real Estate</x:v>
      </x:c>
      <x:c r="F3884" s="13" t="str">
        <x:v>Early Cyclicals</x:v>
      </x:c>
      <x:c r="G3884" s="13" t="str">
        <x:v>grid_asitui1y.xlsx</x:v>
      </x:c>
    </x:row>
    <x:row r="3885">
      <x:c r="A3885" s="15" t="n">
        <x:v>42036</x:v>
      </x:c>
      <x:c r="B3885" s="13" t="str">
        <x:v>SOLID ATIVOS IMOBILIARIOS SA</x:v>
      </x:c>
      <x:c r="C3885" s="16" t="n">
        <x:v>193.5221406339</x:v>
      </x:c>
      <x:c r="D3885" s="13" t="str">
        <x:v>Income Properties</x:v>
      </x:c>
      <x:c r="E3885" s="13" t="str">
        <x:v>Real Estate</x:v>
      </x:c>
      <x:c r="F3885" s="13" t="str">
        <x:v>Early Cyclicals</x:v>
      </x:c>
      <x:c r="G3885" s="13" t="str">
        <x:v>grid_asitui1y.xlsx</x:v>
      </x:c>
    </x:row>
    <x:row r="3886">
      <x:c r="A3886" s="15" t="n">
        <x:v>42036</x:v>
      </x:c>
      <x:c r="B3886" s="13" t="str">
        <x:v>BRADESPAR SA -PREF</x:v>
      </x:c>
      <x:c r="C3886" s="16" t="n">
        <x:v>423.118852459</x:v>
      </x:c>
      <x:c r="D3886" s="13" t="str">
        <x:v>Metals &amp; Mining</x:v>
      </x:c>
      <x:c r="E3886" s="13" t="str">
        <x:v>Metals &amp; Mining</x:v>
      </x:c>
      <x:c r="F3886" s="13" t="str">
        <x:v>Deep Cyclicals</x:v>
      </x:c>
      <x:c r="G3886" s="13" t="str">
        <x:v>grid_asitui1y.xlsx</x:v>
      </x:c>
    </x:row>
    <x:row r="3887">
      <x:c r="A3887" s="15" t="n">
        <x:v>42036</x:v>
      </x:c>
      <x:c r="B3887" s="13" t="str">
        <x:v>CIA SIDERURGICA NACIONAL SA</x:v>
      </x:c>
      <x:c r="C3887" s="16" t="n">
        <x:v>-36.7377336831</x:v>
      </x:c>
      <x:c r="D3887" s="13" t="str">
        <x:v>Metals &amp; Mining</x:v>
      </x:c>
      <x:c r="E3887" s="13" t="str">
        <x:v>Metals &amp; Mining</x:v>
      </x:c>
      <x:c r="F3887" s="13" t="str">
        <x:v>Deep Cyclicals</x:v>
      </x:c>
      <x:c r="G3887" s="13" t="str">
        <x:v>grid_asitui1y.xlsx</x:v>
      </x:c>
    </x:row>
    <x:row r="3888">
      <x:c r="A3888" s="15" t="n">
        <x:v>42036</x:v>
      </x:c>
      <x:c r="B3888" s="13" t="str">
        <x:v>GERDAU SA-PREF</x:v>
      </x:c>
      <x:c r="C3888" s="16" t="n">
        <x:v>1248.681980153</x:v>
      </x:c>
      <x:c r="D3888" s="13" t="str">
        <x:v>Metals &amp; Mining</x:v>
      </x:c>
      <x:c r="E3888" s="13" t="str">
        <x:v>Metals &amp; Mining</x:v>
      </x:c>
      <x:c r="F3888" s="13" t="str">
        <x:v>Deep Cyclicals</x:v>
      </x:c>
      <x:c r="G3888" s="13" t="str">
        <x:v>grid_asitui1y.xlsx</x:v>
      </x:c>
    </x:row>
    <x:row r="3889">
      <x:c r="A3889" s="15" t="n">
        <x:v>42036</x:v>
      </x:c>
      <x:c r="B3889" s="13" t="str">
        <x:v>METALURGICA GERDAU SA-PREF</x:v>
      </x:c>
      <x:c r="C3889" s="16" t="n">
        <x:v>635.9494267104</x:v>
      </x:c>
      <x:c r="D3889" s="13" t="str">
        <x:v>Metals &amp; Mining</x:v>
      </x:c>
      <x:c r="E3889" s="13" t="str">
        <x:v>Metals &amp; Mining</x:v>
      </x:c>
      <x:c r="F3889" s="13" t="str">
        <x:v>Deep Cyclicals</x:v>
      </x:c>
      <x:c r="G3889" s="13" t="str">
        <x:v>grid_asitui1y.xlsx</x:v>
      </x:c>
    </x:row>
    <x:row r="3890">
      <x:c r="A3890" s="15" t="n">
        <x:v>42036</x:v>
      </x:c>
      <x:c r="B3890" s="13" t="str">
        <x:v>USINAS SIDER MINAS GER-PF A</x:v>
      </x:c>
      <x:c r="C3890" s="16" t="n">
        <x:v>-67.5608579235</x:v>
      </x:c>
      <x:c r="D3890" s="13" t="str">
        <x:v>Metals &amp; Mining</x:v>
      </x:c>
      <x:c r="E3890" s="13" t="str">
        <x:v>Metals &amp; Mining</x:v>
      </x:c>
      <x:c r="F3890" s="13" t="str">
        <x:v>Deep Cyclicals</x:v>
      </x:c>
      <x:c r="G3890" s="13" t="str">
        <x:v>grid_asitui1y.xlsx</x:v>
      </x:c>
    </x:row>
    <x:row r="3891">
      <x:c r="A3891" s="15" t="n">
        <x:v>42036</x:v>
      </x:c>
      <x:c r="B3891" s="13" t="str">
        <x:v>VALE SA</x:v>
      </x:c>
      <x:c r="C3891" s="16" t="n">
        <x:v>8148.5128001749</x:v>
      </x:c>
      <x:c r="D3891" s="13" t="str">
        <x:v>Metals &amp; Mining</x:v>
      </x:c>
      <x:c r="E3891" s="13" t="str">
        <x:v>Metals &amp; Mining</x:v>
      </x:c>
      <x:c r="F3891" s="13" t="str">
        <x:v>Deep Cyclicals</x:v>
      </x:c>
      <x:c r="G3891" s="13" t="str">
        <x:v>grid_asitui1y.xlsx</x:v>
      </x:c>
    </x:row>
    <x:row r="3892">
      <x:c r="A3892" s="15" t="n">
        <x:v>42036</x:v>
      </x:c>
      <x:c r="B3892" s="13" t="str">
        <x:v>BRASKEM SA-PREF A</x:v>
      </x:c>
      <x:c r="C3892" s="16" t="n">
        <x:v>1292.8997536175</x:v>
      </x:c>
      <x:c r="D3892" s="13" t="str">
        <x:v>Oil, Gas &amp; Petrochemicals</x:v>
      </x:c>
      <x:c r="E3892" s="13" t="str">
        <x:v>Oil, Gas &amp; Petrochemicals</x:v>
      </x:c>
      <x:c r="F3892" s="13" t="str">
        <x:v>Deep Cyclicals</x:v>
      </x:c>
      <x:c r="G3892" s="13" t="str">
        <x:v>grid_asitui1y.xlsx</x:v>
      </x:c>
    </x:row>
    <x:row r="3893">
      <x:c r="A3893" s="15" t="n">
        <x:v>42036</x:v>
      </x:c>
      <x:c r="B3893" s="13" t="str">
        <x:v>COSAN SA</x:v>
      </x:c>
      <x:c r="C3893" s="16" t="n">
        <x:v>964.4338301202</x:v>
      </x:c>
      <x:c r="D3893" s="13" t="str">
        <x:v>Oil, Gas &amp; Petrochemicals</x:v>
      </x:c>
      <x:c r="E3893" s="13" t="str">
        <x:v>Oil, Gas &amp; Petrochemicals</x:v>
      </x:c>
      <x:c r="F3893" s="13" t="str">
        <x:v>Deep Cyclicals</x:v>
      </x:c>
      <x:c r="G3893" s="13" t="str">
        <x:v>grid_asitui1y.xlsx</x:v>
      </x:c>
    </x:row>
    <x:row r="3894">
      <x:c r="A3894" s="15" t="n">
        <x:v>42036</x:v>
      </x:c>
      <x:c r="B3894" s="13" t="str">
        <x:v>PETROBRAS - PETROLEO BRAS</x:v>
      </x:c>
      <x:c r="C3894" s="16" t="n">
        <x:v>19511.5314304699</x:v>
      </x:c>
      <x:c r="D3894" s="13" t="str">
        <x:v>Oil, Gas &amp; Petrochemicals</x:v>
      </x:c>
      <x:c r="E3894" s="13" t="str">
        <x:v>Oil, Gas &amp; Petrochemicals</x:v>
      </x:c>
      <x:c r="F3894" s="13" t="str">
        <x:v>Deep Cyclicals</x:v>
      </x:c>
      <x:c r="G3894" s="13" t="str">
        <x:v>grid_asitui1y.xlsx</x:v>
      </x:c>
    </x:row>
    <x:row r="3895">
      <x:c r="A3895" s="15" t="n">
        <x:v>42036</x:v>
      </x:c>
      <x:c r="B3895" s="13" t="str">
        <x:v>ULTRAPAR PARTICIPACOES SA</x:v>
      </x:c>
      <x:c r="C3895" s="16" t="n">
        <x:v>1480.0281456612</x:v>
      </x:c>
      <x:c r="D3895" s="13" t="str">
        <x:v>Oil, Gas &amp; Petrochemicals</x:v>
      </x:c>
      <x:c r="E3895" s="13" t="str">
        <x:v>Oil, Gas &amp; Petrochemicals</x:v>
      </x:c>
      <x:c r="F3895" s="13" t="str">
        <x:v>Deep Cyclicals</x:v>
      </x:c>
      <x:c r="G3895" s="13" t="str">
        <x:v>grid_asitui1y.xlsx</x:v>
      </x:c>
    </x:row>
    <x:row r="3896">
      <x:c r="A3896" s="15" t="n">
        <x:v>42036</x:v>
      </x:c>
      <x:c r="B3896" s="13" t="str">
        <x:v>DEXCO SA</x:v>
      </x:c>
      <x:c r="C3896" s="16" t="n">
        <x:v>388.0591610055</x:v>
      </x:c>
      <x:c r="D3896" s="13" t="str">
        <x:v>Pulp &amp; Paper</x:v>
      </x:c>
      <x:c r="E3896" s="13" t="str">
        <x:v>Pulp &amp; Paper</x:v>
      </x:c>
      <x:c r="F3896" s="13" t="str">
        <x:v>Deep Cyclicals</x:v>
      </x:c>
      <x:c r="G3896" s="13" t="str">
        <x:v>grid_asitui1y.xlsx</x:v>
      </x:c>
    </x:row>
    <x:row r="3897">
      <x:c r="A3897" s="15" t="n">
        <x:v>42036</x:v>
      </x:c>
      <x:c r="B3897" s="13" t="str">
        <x:v>FIBRIA CELULOSE S/A</x:v>
      </x:c>
      <x:c r="C3897" s="16" t="n">
        <x:v>536.6373864918</x:v>
      </x:c>
      <x:c r="D3897" s="13" t="str">
        <x:v>Pulp &amp; Paper</x:v>
      </x:c>
      <x:c r="E3897" s="13" t="str">
        <x:v>Pulp &amp; Paper</x:v>
      </x:c>
      <x:c r="F3897" s="13" t="str">
        <x:v>Deep Cyclicals</x:v>
      </x:c>
      <x:c r="G3897" s="13" t="str">
        <x:v>grid_asitui1y.xlsx</x:v>
      </x:c>
    </x:row>
    <x:row r="3898">
      <x:c r="A3898" s="15" t="n">
        <x:v>42036</x:v>
      </x:c>
      <x:c r="B3898" s="13" t="str">
        <x:v>KLABIN SA - UNIT</x:v>
      </x:c>
      <x:c r="C3898" s="16" t="n">
        <x:v>335.1542622951</x:v>
      </x:c>
      <x:c r="D3898" s="13" t="str">
        <x:v>Pulp &amp; Paper</x:v>
      </x:c>
      <x:c r="E3898" s="13" t="str">
        <x:v>Pulp &amp; Paper</x:v>
      </x:c>
      <x:c r="F3898" s="13" t="str">
        <x:v>Deep Cyclicals</x:v>
      </x:c>
      <x:c r="G3898" s="13" t="str">
        <x:v>grid_asitui1y.xlsx</x:v>
      </x:c>
    </x:row>
    <x:row r="3899">
      <x:c r="A3899" s="15" t="n">
        <x:v>42036</x:v>
      </x:c>
      <x:c r="B3899" s="13" t="str">
        <x:v>SUZANO PAPEL E CELULO-PREF A</x:v>
      </x:c>
      <x:c r="C3899" s="16" t="n">
        <x:v>690.0331446557</x:v>
      </x:c>
      <x:c r="D3899" s="13" t="str">
        <x:v>Pulp &amp; Paper</x:v>
      </x:c>
      <x:c r="E3899" s="13" t="str">
        <x:v>Pulp &amp; Paper</x:v>
      </x:c>
      <x:c r="F3899" s="13" t="str">
        <x:v>Deep Cyclicals</x:v>
      </x:c>
      <x:c r="G3899" s="13" t="str">
        <x:v>grid_asitui1y.xlsx</x:v>
      </x:c>
    </x:row>
    <x:row r="3900">
      <x:c r="A3900" s="15" t="n">
        <x:v>42036</x:v>
      </x:c>
      <x:c r="B3900" s="13" t="str">
        <x:v>CIA BRASILEIRA DE DIS-PREF</x:v>
      </x:c>
      <x:c r="C3900" s="16" t="n">
        <x:v>1685.0649669945</x:v>
      </x:c>
      <x:c r="D3900" s="13" t="str">
        <x:v>Retail</x:v>
      </x:c>
      <x:c r="E3900" s="13" t="str">
        <x:v>Retail</x:v>
      </x:c>
      <x:c r="F3900" s="13" t="str">
        <x:v>Early Cyclicals</x:v>
      </x:c>
      <x:c r="G3900" s="13" t="str">
        <x:v>grid_asitui1y.xlsx</x:v>
      </x:c>
    </x:row>
    <x:row r="3901">
      <x:c r="A3901" s="15" t="n">
        <x:v>42036</x:v>
      </x:c>
      <x:c r="B3901" s="13" t="str">
        <x:v>CIA HERING</x:v>
      </x:c>
      <x:c r="C3901" s="16" t="n">
        <x:v>344.8517625355</x:v>
      </x:c>
      <x:c r="D3901" s="13" t="str">
        <x:v>Retail</x:v>
      </x:c>
      <x:c r="E3901" s="13" t="str">
        <x:v>Retail</x:v>
      </x:c>
      <x:c r="F3901" s="13" t="str">
        <x:v>Early Cyclicals</x:v>
      </x:c>
      <x:c r="G3901" s="13" t="str">
        <x:v>grid_asitui1y.xlsx</x:v>
      </x:c>
    </x:row>
    <x:row r="3902">
      <x:c r="A3902" s="15" t="n">
        <x:v>42036</x:v>
      </x:c>
      <x:c r="B3902" s="13" t="str">
        <x:v>LOJAS AMERICANAS SA-PREF</x:v>
      </x:c>
      <x:c r="C3902" s="16" t="n">
        <x:v>645.9197457486</x:v>
      </x:c>
      <x:c r="D3902" s="13" t="str">
        <x:v>Retail</x:v>
      </x:c>
      <x:c r="E3902" s="13" t="str">
        <x:v>Retail</x:v>
      </x:c>
      <x:c r="F3902" s="13" t="str">
        <x:v>Early Cyclicals</x:v>
      </x:c>
      <x:c r="G3902" s="13" t="str">
        <x:v>grid_asitui1y.xlsx</x:v>
      </x:c>
    </x:row>
    <x:row r="3903">
      <x:c r="A3903" s="15" t="n">
        <x:v>42036</x:v>
      </x:c>
      <x:c r="B3903" s="13" t="str">
        <x:v>LOJAS RENNER S.A.</x:v>
      </x:c>
      <x:c r="C3903" s="16" t="n">
        <x:v>566.4247318033</x:v>
      </x:c>
      <x:c r="D3903" s="13" t="str">
        <x:v>Retail</x:v>
      </x:c>
      <x:c r="E3903" s="13" t="str">
        <x:v>Retail</x:v>
      </x:c>
      <x:c r="F3903" s="13" t="str">
        <x:v>Early Cyclicals</x:v>
      </x:c>
      <x:c r="G3903" s="13" t="str">
        <x:v>grid_asitui1y.xlsx</x:v>
      </x:c>
    </x:row>
    <x:row r="3904">
      <x:c r="A3904" s="15" t="n">
        <x:v>42036</x:v>
      </x:c>
      <x:c r="B3904" s="13" t="str">
        <x:v>NATURA COSMETICOS SA</x:v>
      </x:c>
      <x:c r="C3904" s="16" t="n">
        <x:v>854.7200006995</x:v>
      </x:c>
      <x:c r="D3904" s="13" t="str">
        <x:v>Retail</x:v>
      </x:c>
      <x:c r="E3904" s="13" t="str">
        <x:v>Retail</x:v>
      </x:c>
      <x:c r="F3904" s="13" t="str">
        <x:v>Early Cyclicals</x:v>
      </x:c>
      <x:c r="G3904" s="13" t="str">
        <x:v>grid_asitui1y.xlsx</x:v>
      </x:c>
    </x:row>
    <x:row r="3905">
      <x:c r="A3905" s="15" t="n">
        <x:v>42036</x:v>
      </x:c>
      <x:c r="B3905" s="13" t="str">
        <x:v>CIA SANEAMENTO BASICO DE SP</x:v>
      </x:c>
      <x:c r="C3905" s="16" t="n">
        <x:v>848.8482761093</x:v>
      </x:c>
      <x:c r="D3905" s="13" t="str">
        <x:v>Sanitation</x:v>
      </x:c>
      <x:c r="E3905" s="13" t="str">
        <x:v>Utilities</x:v>
      </x:c>
      <x:c r="F3905" s="13" t="str">
        <x:v>Defensives</x:v>
      </x:c>
      <x:c r="G3905" s="13" t="str">
        <x:v>grid_asitui1y.xlsx</x:v>
      </x:c>
    </x:row>
    <x:row r="3906">
      <x:c r="A3906" s="15" t="n">
        <x:v>42036</x:v>
      </x:c>
      <x:c r="B3906" s="13" t="str">
        <x:v>OI SA-PREFERENCE</x:v>
      </x:c>
      <x:c r="C3906" s="16" t="n">
        <x:v>-928.8737106885</x:v>
      </x:c>
      <x:c r="D3906" s="13" t="str">
        <x:v>TMT</x:v>
      </x:c>
      <x:c r="E3906" s="13" t="str">
        <x:v>TMT</x:v>
      </x:c>
      <x:c r="F3906" s="13" t="str">
        <x:v>Early Cyclicals</x:v>
      </x:c>
      <x:c r="G3906" s="13" t="str">
        <x:v>grid_asitui1y.xlsx</x:v>
      </x:c>
    </x:row>
    <x:row r="3907">
      <x:c r="A3907" s="15" t="n">
        <x:v>42036</x:v>
      </x:c>
      <x:c r="B3907" s="13" t="str">
        <x:v>TELEFONICA BRASIL S.A.-PREF</x:v>
      </x:c>
      <x:c r="C3907" s="16" t="n">
        <x:v>3922.0152431913</x:v>
      </x:c>
      <x:c r="D3907" s="13" t="str">
        <x:v>TMT</x:v>
      </x:c>
      <x:c r="E3907" s="13" t="str">
        <x:v>TMT</x:v>
      </x:c>
      <x:c r="F3907" s="13" t="str">
        <x:v>Early Cyclicals</x:v>
      </x:c>
      <x:c r="G3907" s="13" t="str">
        <x:v>grid_asitui1y.xlsx</x:v>
      </x:c>
    </x:row>
    <x:row r="3908">
      <x:c r="A3908" s="15" t="n">
        <x:v>42036</x:v>
      </x:c>
      <x:c r="B3908" s="13" t="str">
        <x:v>TIM SA</x:v>
      </x:c>
      <x:c r="C3908" s="16" t="n">
        <x:v>1652.659888612</x:v>
      </x:c>
      <x:c r="D3908" s="13" t="str">
        <x:v>TMT</x:v>
      </x:c>
      <x:c r="E3908" s="13" t="str">
        <x:v>TMT</x:v>
      </x:c>
      <x:c r="F3908" s="13" t="str">
        <x:v>Early Cyclicals</x:v>
      </x:c>
      <x:c r="G3908" s="13" t="str">
        <x:v>grid_asitui1y.xlsx</x:v>
      </x:c>
    </x:row>
    <x:row r="3909">
      <x:c r="A3909" s="15" t="n">
        <x:v>42036</x:v>
      </x:c>
      <x:c r="B3909" s="13" t="str">
        <x:v>ECORODOVIAS INFRA E LOG SA</x:v>
      </x:c>
      <x:c r="C3909" s="16" t="n">
        <x:v>386.0959125683</x:v>
      </x:c>
      <x:c r="D3909" s="13" t="str">
        <x:v>Transportation</x:v>
      </x:c>
      <x:c r="E3909" s="13" t="str">
        <x:v>Transportation</x:v>
      </x:c>
      <x:c r="F3909" s="13" t="str">
        <x:v>Deep Cyclicals</x:v>
      </x:c>
      <x:c r="G3909" s="13" t="str">
        <x:v>grid_asitui1y.xlsx</x:v>
      </x:c>
    </x:row>
    <x:row r="3910">
      <x:c r="A3910" s="15" t="n">
        <x:v>42036</x:v>
      </x:c>
      <x:c r="B3910" s="13" t="str">
        <x:v>GOL LINHAS AEREAS INT SA-PRE</x:v>
      </x:c>
      <x:c r="C3910" s="16" t="n">
        <x:v>45.8188259563</x:v>
      </x:c>
      <x:c r="D3910" s="13" t="str">
        <x:v>Transportation</x:v>
      </x:c>
      <x:c r="E3910" s="13" t="str">
        <x:v>Transportation</x:v>
      </x:c>
      <x:c r="F3910" s="13" t="str">
        <x:v>Deep Cyclicals</x:v>
      </x:c>
      <x:c r="G3910" s="13" t="str">
        <x:v>grid_asitui1y.xlsx</x:v>
      </x:c>
    </x:row>
    <x:row r="3911">
      <x:c r="A3911" s="15" t="n">
        <x:v>42036</x:v>
      </x:c>
      <x:c r="B3911" s="13" t="str">
        <x:v>LOCALIZA RENT A CAR</x:v>
      </x:c>
      <x:c r="C3911" s="16" t="n">
        <x:v>430.5638618579</x:v>
      </x:c>
      <x:c r="D3911" s="13" t="str">
        <x:v>Transportation</x:v>
      </x:c>
      <x:c r="E3911" s="13" t="str">
        <x:v>Transportation</x:v>
      </x:c>
      <x:c r="F3911" s="13" t="str">
        <x:v>Deep Cyclicals</x:v>
      </x:c>
      <x:c r="G3911" s="13" t="str">
        <x:v>grid_asitui1y.xlsx</x:v>
      </x:c>
    </x:row>
    <x:row r="3912">
      <x:c r="A3912" s="15" t="n">
        <x:v>42036</x:v>
      </x:c>
      <x:c r="B3912" s="13" t="str">
        <x:v>MOTIVA INFRAESTRUTURA DE MOB</x:v>
      </x:c>
      <x:c r="C3912" s="16" t="n">
        <x:v>1484.644163847</x:v>
      </x:c>
      <x:c r="D3912" s="13" t="str">
        <x:v>Transportation</x:v>
      </x:c>
      <x:c r="E3912" s="13" t="str">
        <x:v>Transportation</x:v>
      </x:c>
      <x:c r="F3912" s="13" t="str">
        <x:v>Deep Cyclicals</x:v>
      </x:c>
      <x:c r="G3912" s="13" t="str">
        <x:v>grid_asitui1y.xlsx</x:v>
      </x:c>
    </x:row>
    <x:row r="3913">
      <x:c r="A3913" s="15" t="n">
        <x:v>42036</x:v>
      </x:c>
      <x:c r="B3913" s="13" t="str">
        <x:v>RUMO SA</x:v>
      </x:c>
      <x:c r="C3913" s="16" t="n">
        <x:v>211.171715847</x:v>
      </x:c>
      <x:c r="D3913" s="13" t="str">
        <x:v>Transportation</x:v>
      </x:c>
      <x:c r="E3913" s="13" t="str">
        <x:v>Transportation</x:v>
      </x:c>
      <x:c r="F3913" s="13" t="str">
        <x:v>Deep Cyclicals</x:v>
      </x:c>
      <x:c r="G3913" s="13" t="str">
        <x:v>grid_asitui1y.xlsx</x:v>
      </x:c>
    </x:row>
    <x:row r="3914">
      <x:c r="A3914" s="15" t="n">
        <x:v>42036</x:v>
      </x:c>
      <x:c r="B3914" s="13" t="str">
        <x:v>AXIA ENERGIA SA</x:v>
      </x:c>
      <x:c r="C3914" s="16" t="n">
        <x:v>-398.2646651803</x:v>
      </x:c>
      <x:c r="D3914" s="13" t="str">
        <x:v>Utilities &amp; Energy</x:v>
      </x:c>
      <x:c r="E3914" s="13" t="str">
        <x:v>Utilities</x:v>
      </x:c>
      <x:c r="F3914" s="13" t="str">
        <x:v>Defensives</x:v>
      </x:c>
      <x:c r="G3914" s="13" t="str">
        <x:v>grid_asitui1y.xlsx</x:v>
      </x:c>
    </x:row>
    <x:row r="3915">
      <x:c r="A3915" s="15" t="n">
        <x:v>42036</x:v>
      </x:c>
      <x:c r="B3915" s="13" t="str">
        <x:v>AXIA ENERGIA-PR B</x:v>
      </x:c>
      <x:c r="C3915" s="16" t="n">
        <x:v>-398.2646651803</x:v>
      </x:c>
      <x:c r="D3915" s="13" t="str">
        <x:v>Utilities &amp; Energy</x:v>
      </x:c>
      <x:c r="E3915" s="13" t="str">
        <x:v>Utilities</x:v>
      </x:c>
      <x:c r="F3915" s="13" t="str">
        <x:v>Defensives</x:v>
      </x:c>
      <x:c r="G3915" s="13" t="str">
        <x:v>grid_asitui1y.xlsx</x:v>
      </x:c>
    </x:row>
    <x:row r="3916">
      <x:c r="A3916" s="15" t="n">
        <x:v>42036</x:v>
      </x:c>
      <x:c r="B3916" s="13" t="str">
        <x:v>CESP - CIA ENERGETICA DE SAO</x:v>
      </x:c>
      <x:c r="C3916" s="16" t="n">
        <x:v>491.4689795847</x:v>
      </x:c>
      <x:c r="D3916" s="13" t="str">
        <x:v>Utilities &amp; Energy</x:v>
      </x:c>
      <x:c r="E3916" s="13" t="str">
        <x:v>Utilities</x:v>
      </x:c>
      <x:c r="F3916" s="13" t="str">
        <x:v>Defensives</x:v>
      </x:c>
      <x:c r="G3916" s="13" t="str">
        <x:v>grid_asitui1y.xlsx</x:v>
      </x:c>
    </x:row>
    <x:row r="3917">
      <x:c r="A3917" s="15" t="n">
        <x:v>42036</x:v>
      </x:c>
      <x:c r="B3917" s="13" t="str">
        <x:v>CIA ENERGETICA MINAS GER-PRF</x:v>
      </x:c>
      <x:c r="C3917" s="16" t="n">
        <x:v>1908.6216326994</x:v>
      </x:c>
      <x:c r="D3917" s="13" t="str">
        <x:v>Utilities &amp; Energy</x:v>
      </x:c>
      <x:c r="E3917" s="13" t="str">
        <x:v>Utilities</x:v>
      </x:c>
      <x:c r="F3917" s="13" t="str">
        <x:v>Defensives</x:v>
      </x:c>
      <x:c r="G3917" s="13" t="str">
        <x:v>grid_asitui1y.xlsx</x:v>
      </x:c>
    </x:row>
    <x:row r="3918">
      <x:c r="A3918" s="15" t="n">
        <x:v>42036</x:v>
      </x:c>
      <x:c r="B3918" s="13" t="str">
        <x:v>COMPANHIA PARANAENSE -PREF B</x:v>
      </x:c>
      <x:c r="C3918" s="16" t="n">
        <x:v>1242.8126580109</x:v>
      </x:c>
      <x:c r="D3918" s="13" t="str">
        <x:v>Utilities &amp; Energy</x:v>
      </x:c>
      <x:c r="E3918" s="13" t="str">
        <x:v>Utilities</x:v>
      </x:c>
      <x:c r="F3918" s="13" t="str">
        <x:v>Defensives</x:v>
      </x:c>
      <x:c r="G3918" s="13" t="str">
        <x:v>grid_asitui1y.xlsx</x:v>
      </x:c>
    </x:row>
    <x:row r="3919">
      <x:c r="A3919" s="15" t="n">
        <x:v>42036</x:v>
      </x:c>
      <x:c r="B3919" s="13" t="str">
        <x:v>CPFL ENERGIA SA</x:v>
      </x:c>
      <x:c r="C3919" s="16" t="n">
        <x:v>1254.3112949508</x:v>
      </x:c>
      <x:c r="D3919" s="13" t="str">
        <x:v>Utilities &amp; Energy</x:v>
      </x:c>
      <x:c r="E3919" s="13" t="str">
        <x:v>Utilities</x:v>
      </x:c>
      <x:c r="F3919" s="13" t="str">
        <x:v>Defensives</x:v>
      </x:c>
      <x:c r="G3919" s="13" t="str">
        <x:v>grid_asitui1y.xlsx</x:v>
      </x:c>
    </x:row>
    <x:row r="3920">
      <x:c r="A3920" s="15" t="n">
        <x:v>42036</x:v>
      </x:c>
      <x:c r="B3920" s="13" t="str">
        <x:v>EDP - ENERGIAS DO BRASIL SA</x:v>
      </x:c>
      <x:c r="C3920" s="16" t="n">
        <x:v>459.0045737268</x:v>
      </x:c>
      <x:c r="D3920" s="13" t="str">
        <x:v>Utilities &amp; Energy</x:v>
      </x:c>
      <x:c r="E3920" s="13" t="str">
        <x:v>Utilities</x:v>
      </x:c>
      <x:c r="F3920" s="13" t="str">
        <x:v>Defensives</x:v>
      </x:c>
      <x:c r="G3920" s="13" t="str">
        <x:v>grid_asitui1y.xlsx</x:v>
      </x:c>
    </x:row>
    <x:row r="3921">
      <x:c r="A3921" s="15" t="n">
        <x:v>42036</x:v>
      </x:c>
      <x:c r="B3921" s="13" t="str">
        <x:v>ENGIE BRASIL ENERGIA SA</x:v>
      </x:c>
      <x:c r="C3921" s="16" t="n">
        <x:v>1622.3544365464</x:v>
      </x:c>
      <x:c r="D3921" s="13" t="str">
        <x:v>Utilities &amp; Energy</x:v>
      </x:c>
      <x:c r="E3921" s="13" t="str">
        <x:v>Utilities</x:v>
      </x:c>
      <x:c r="F3921" s="13" t="str">
        <x:v>Defensives</x:v>
      </x:c>
      <x:c r="G3921" s="13" t="str">
        <x:v>grid_asitui1y.xlsx</x:v>
      </x:c>
    </x:row>
    <x:row r="3922">
      <x:c r="A3922" s="15" t="n">
        <x:v>42036</x:v>
      </x:c>
      <x:c r="B3922" s="13" t="str">
        <x:v>LIGHT SA</x:v>
      </x:c>
      <x:c r="C3922" s="16" t="n">
        <x:v>526.6519416831</x:v>
      </x:c>
      <x:c r="D3922" s="13" t="str">
        <x:v>Utilities &amp; Energy</x:v>
      </x:c>
      <x:c r="E3922" s="13" t="str">
        <x:v>Utilities</x:v>
      </x:c>
      <x:c r="F3922" s="13" t="str">
        <x:v>Defensives</x:v>
      </x:c>
      <x:c r="G3922" s="13" t="str">
        <x:v>grid_asitui1y.xlsx</x:v>
      </x:c>
    </x:row>
    <x:row r="3923">
      <x:c r="A3923" s="15" t="n">
        <x:v>42064</x:v>
      </x:c>
      <x:c r="B3923" s="13" t="str">
        <x:v>BANCO BRADESCO S.A.</x:v>
      </x:c>
      <x:c r="C3923" s="16" t="n">
        <x:v>17659.2955985137</x:v>
      </x:c>
      <x:c r="D3923" s="13" t="str">
        <x:v>Banks</x:v>
      </x:c>
      <x:c r="E3923" s="13" t="str">
        <x:v>Banks</x:v>
      </x:c>
      <x:c r="F3923" s="13" t="str">
        <x:v>Financials</x:v>
      </x:c>
      <x:c r="G3923" s="13" t="str">
        <x:v>grid_asitui1y.xlsx</x:v>
      </x:c>
    </x:row>
    <x:row r="3924">
      <x:c r="A3924" s="15" t="n">
        <x:v>42064</x:v>
      </x:c>
      <x:c r="B3924" s="13" t="str">
        <x:v>BANCO BRADESCO SA-PREF</x:v>
      </x:c>
      <x:c r="C3924" s="16" t="n">
        <x:v>17659.2955985137</x:v>
      </x:c>
      <x:c r="D3924" s="13" t="str">
        <x:v>Banks</x:v>
      </x:c>
      <x:c r="E3924" s="13" t="str">
        <x:v>Banks</x:v>
      </x:c>
      <x:c r="F3924" s="13" t="str">
        <x:v>Financials</x:v>
      </x:c>
      <x:c r="G3924" s="13" t="str">
        <x:v>grid_asitui1y.xlsx</x:v>
      </x:c>
    </x:row>
    <x:row r="3925">
      <x:c r="A3925" s="15" t="n">
        <x:v>42064</x:v>
      </x:c>
      <x:c r="B3925" s="13" t="str">
        <x:v>BANCO DO BRASIL S.A.</x:v>
      </x:c>
      <x:c r="C3925" s="16" t="n">
        <x:v>12370.0596500984</x:v>
      </x:c>
      <x:c r="D3925" s="13" t="str">
        <x:v>Banks</x:v>
      </x:c>
      <x:c r="E3925" s="13" t="str">
        <x:v>Banks</x:v>
      </x:c>
      <x:c r="F3925" s="13" t="str">
        <x:v>Financials</x:v>
      </x:c>
      <x:c r="G3925" s="13" t="str">
        <x:v>grid_asitui1y.xlsx</x:v>
      </x:c>
    </x:row>
    <x:row r="3926">
      <x:c r="A3926" s="15" t="n">
        <x:v>42064</x:v>
      </x:c>
      <x:c r="B3926" s="13" t="str">
        <x:v>BANCO SANTANDER  BRASIL-UNIT</x:v>
      </x:c>
      <x:c r="C3926" s="16" t="n">
        <x:v>6020.3318837159</x:v>
      </x:c>
      <x:c r="D3926" s="13" t="str">
        <x:v>Banks</x:v>
      </x:c>
      <x:c r="E3926" s="13" t="str">
        <x:v>Banks</x:v>
      </x:c>
      <x:c r="F3926" s="13" t="str">
        <x:v>Financials</x:v>
      </x:c>
      <x:c r="G3926" s="13" t="str">
        <x:v>grid_asitui1y.xlsx</x:v>
      </x:c>
    </x:row>
    <x:row r="3927">
      <x:c r="A3927" s="15" t="n">
        <x:v>42064</x:v>
      </x:c>
      <x:c r="B3927" s="13" t="str">
        <x:v>ITAU UNIBANCO HOLDING S-PREF</x:v>
      </x:c>
      <x:c r="C3927" s="16" t="n">
        <x:v>23132.0853487213</x:v>
      </x:c>
      <x:c r="D3927" s="13" t="str">
        <x:v>Banks</x:v>
      </x:c>
      <x:c r="E3927" s="13" t="str">
        <x:v>Banks</x:v>
      </x:c>
      <x:c r="F3927" s="13" t="str">
        <x:v>Financials</x:v>
      </x:c>
      <x:c r="G3927" s="13" t="str">
        <x:v>grid_asitui1y.xlsx</x:v>
      </x:c>
    </x:row>
    <x:row r="3928">
      <x:c r="A3928" s="15" t="n">
        <x:v>42064</x:v>
      </x:c>
      <x:c r="B3928" s="13" t="str">
        <x:v>EMBRAER SA</x:v>
      </x:c>
      <x:c r="C3928" s="16" t="n">
        <x:v>1188.7660488743</x:v>
      </x:c>
      <x:c r="D3928" s="13" t="str">
        <x:v>Capital Goods</x:v>
      </x:c>
      <x:c r="E3928" s="13" t="str">
        <x:v>Capital Goods</x:v>
      </x:c>
      <x:c r="F3928" s="13" t="str">
        <x:v>Deep Cyclicals</x:v>
      </x:c>
      <x:c r="G3928" s="13" t="str">
        <x:v>grid_asitui1y.xlsx</x:v>
      </x:c>
    </x:row>
    <x:row r="3929">
      <x:c r="A3929" s="15" t="n">
        <x:v>42064</x:v>
      </x:c>
      <x:c r="B3929" s="13" t="str">
        <x:v>MARCOPOLO SA-PREF</x:v>
      </x:c>
      <x:c r="C3929" s="16" t="n">
        <x:v>229.8089420765</x:v>
      </x:c>
      <x:c r="D3929" s="13" t="str">
        <x:v>Capital Goods</x:v>
      </x:c>
      <x:c r="E3929" s="13" t="str">
        <x:v>Capital Goods</x:v>
      </x:c>
      <x:c r="F3929" s="13" t="str">
        <x:v>Deep Cyclicals</x:v>
      </x:c>
      <x:c r="G3929" s="13" t="str">
        <x:v>grid_asitui1y.xlsx</x:v>
      </x:c>
    </x:row>
    <x:row r="3930">
      <x:c r="A3930" s="15" t="n">
        <x:v>42064</x:v>
      </x:c>
      <x:c r="B3930" s="13" t="str">
        <x:v>COGNA EDUCACAO</x:v>
      </x:c>
      <x:c r="C3930" s="16" t="n">
        <x:v>1598.6477436503</x:v>
      </x:c>
      <x:c r="D3930" s="13" t="str">
        <x:v>Education</x:v>
      </x:c>
      <x:c r="E3930" s="13" t="str">
        <x:v>Education</x:v>
      </x:c>
      <x:c r="F3930" s="13" t="str">
        <x:v>Early Cyclicals</x:v>
      </x:c>
      <x:c r="G3930" s="13" t="str">
        <x:v>grid_asitui1y.xlsx</x:v>
      </x:c>
    </x:row>
    <x:row r="3931">
      <x:c r="A3931" s="15" t="n">
        <x:v>42064</x:v>
      </x:c>
      <x:c r="B3931" s="13" t="str">
        <x:v>YDUQS PARTICIPACOES SA</x:v>
      </x:c>
      <x:c r="C3931" s="16" t="n">
        <x:v>580.6334921093</x:v>
      </x:c>
      <x:c r="D3931" s="13" t="str">
        <x:v>Education</x:v>
      </x:c>
      <x:c r="E3931" s="13" t="str">
        <x:v>Education</x:v>
      </x:c>
      <x:c r="F3931" s="13" t="str">
        <x:v>Early Cyclicals</x:v>
      </x:c>
      <x:c r="G3931" s="13" t="str">
        <x:v>grid_asitui1y.xlsx</x:v>
      </x:c>
    </x:row>
    <x:row r="3932">
      <x:c r="A3932" s="15" t="n">
        <x:v>42064</x:v>
      </x:c>
      <x:c r="B3932" s="13" t="str">
        <x:v>B3 SA-BRASIL BOLSA BALCAO</x:v>
      </x:c>
      <x:c r="C3932" s="16" t="n">
        <x:v>1607.1181975082</x:v>
      </x:c>
      <x:c r="D3932" s="13" t="str">
        <x:v>Financials Non-Banks</x:v>
      </x:c>
      <x:c r="E3932" s="13" t="str">
        <x:v>Financials Non-Banks</x:v>
      </x:c>
      <x:c r="F3932" s="13" t="str">
        <x:v>Financials</x:v>
      </x:c>
      <x:c r="G3932" s="13" t="str">
        <x:v>grid_asitui1y.xlsx</x:v>
      </x:c>
    </x:row>
    <x:row r="3933">
      <x:c r="A3933" s="15" t="n">
        <x:v>42064</x:v>
      </x:c>
      <x:c r="B3933" s="13" t="str">
        <x:v>BB SEGURIDADE PARTICIPACOES</x:v>
      </x:c>
      <x:c r="C3933" s="16" t="n">
        <x:v>4005.4982302077</x:v>
      </x:c>
      <x:c r="D3933" s="13" t="str">
        <x:v>Financials Non-Banks</x:v>
      </x:c>
      <x:c r="E3933" s="13" t="str">
        <x:v>Financials Non-Banks</x:v>
      </x:c>
      <x:c r="F3933" s="13" t="str">
        <x:v>Financials</x:v>
      </x:c>
      <x:c r="G3933" s="13" t="str">
        <x:v>grid_asitui1y.xlsx</x:v>
      </x:c>
    </x:row>
    <x:row r="3934">
      <x:c r="A3934" s="15" t="n">
        <x:v>42064</x:v>
      </x:c>
      <x:c r="B3934" s="13" t="str">
        <x:v>CETIP SA-MERCADOS ORGANIZADO</x:v>
      </x:c>
      <x:c r="C3934" s="16" t="n">
        <x:v>548.8937252896</x:v>
      </x:c>
      <x:c r="D3934" s="13" t="str">
        <x:v>Financials Non-Banks</x:v>
      </x:c>
      <x:c r="E3934" s="13" t="str">
        <x:v>Financials Non-Banks</x:v>
      </x:c>
      <x:c r="F3934" s="13" t="str">
        <x:v>Financials</x:v>
      </x:c>
      <x:c r="G3934" s="13" t="str">
        <x:v>grid_asitui1y.xlsx</x:v>
      </x:c>
    </x:row>
    <x:row r="3935">
      <x:c r="A3935" s="15" t="n">
        <x:v>42064</x:v>
      </x:c>
      <x:c r="B3935" s="13" t="str">
        <x:v>CIELO SA - INSTITUICAO DE PA</x:v>
      </x:c>
      <x:c r="C3935" s="16" t="n">
        <x:v>3814.9540420546</x:v>
      </x:c>
      <x:c r="D3935" s="13" t="str">
        <x:v>Financials Non-Banks</x:v>
      </x:c>
      <x:c r="E3935" s="13" t="str">
        <x:v>Financials Non-Banks</x:v>
      </x:c>
      <x:c r="F3935" s="13" t="str">
        <x:v>Financials</x:v>
      </x:c>
      <x:c r="G3935" s="13" t="str">
        <x:v>grid_asitui1y.xlsx</x:v>
      </x:c>
    </x:row>
    <x:row r="3936">
      <x:c r="A3936" s="15" t="n">
        <x:v>42064</x:v>
      </x:c>
      <x:c r="B3936" s="13" t="str">
        <x:v>ITAUSA SA</x:v>
      </x:c>
      <x:c r="C3936" s="16" t="n">
        <x:v>8393.6912087432</x:v>
      </x:c>
      <x:c r="D3936" s="13" t="str">
        <x:v>Financials Non-Banks</x:v>
      </x:c>
      <x:c r="E3936" s="13" t="str">
        <x:v>Financials Non-Banks</x:v>
      </x:c>
      <x:c r="F3936" s="13" t="str">
        <x:v>Financials</x:v>
      </x:c>
      <x:c r="G3936" s="13" t="str">
        <x:v>grid_asitui1y.xlsx</x:v>
      </x:c>
    </x:row>
    <x:row r="3937">
      <x:c r="A3937" s="15" t="n">
        <x:v>42064</x:v>
      </x:c>
      <x:c r="B3937" s="13" t="str">
        <x:v>AMBEV SA</x:v>
      </x:c>
      <x:c r="C3937" s="16" t="n">
        <x:v>13951.2815968525</x:v>
      </x:c>
      <x:c r="D3937" s="13" t="str">
        <x:v>Food &amp; Beverages</x:v>
      </x:c>
      <x:c r="E3937" s="13" t="str">
        <x:v>Agri, Food &amp; Beverages</x:v>
      </x:c>
      <x:c r="F3937" s="13" t="str">
        <x:v>Defensives</x:v>
      </x:c>
      <x:c r="G3937" s="13" t="str">
        <x:v>grid_asitui1y.xlsx</x:v>
      </x:c>
    </x:row>
    <x:row r="3938">
      <x:c r="A3938" s="15" t="n">
        <x:v>42064</x:v>
      </x:c>
      <x:c r="B3938" s="13" t="str">
        <x:v>BRF SA</x:v>
      </x:c>
      <x:c r="C3938" s="16" t="n">
        <x:v>2849.1162544262</x:v>
      </x:c>
      <x:c r="D3938" s="13" t="str">
        <x:v>Food &amp; Beverages</x:v>
      </x:c>
      <x:c r="E3938" s="13" t="str">
        <x:v>Agri, Food &amp; Beverages</x:v>
      </x:c>
      <x:c r="F3938" s="13" t="str">
        <x:v>Defensives</x:v>
      </x:c>
      <x:c r="G3938" s="13" t="str">
        <x:v>grid_asitui1y.xlsx</x:v>
      </x:c>
    </x:row>
    <x:row r="3939">
      <x:c r="A3939" s="15" t="n">
        <x:v>42064</x:v>
      </x:c>
      <x:c r="B3939" s="13" t="str">
        <x:v>MBRF GLOBAL FOODS COMPANY SA</x:v>
      </x:c>
      <x:c r="C3939" s="16" t="n">
        <x:v>-101.5282848962</x:v>
      </x:c>
      <x:c r="D3939" s="13" t="str">
        <x:v>Food &amp; Beverages</x:v>
      </x:c>
      <x:c r="E3939" s="13" t="str">
        <x:v>Agri, Food &amp; Beverages</x:v>
      </x:c>
      <x:c r="F3939" s="13" t="str">
        <x:v>Defensives</x:v>
      </x:c>
      <x:c r="G3939" s="13" t="str">
        <x:v>grid_asitui1y.xlsx</x:v>
      </x:c>
    </x:row>
    <x:row r="3940">
      <x:c r="A3940" s="15" t="n">
        <x:v>42064</x:v>
      </x:c>
      <x:c r="B3940" s="13" t="str">
        <x:v>SOUZA CRUZ LTDA</x:v>
      </x:c>
      <x:c r="C3940" s="16" t="n">
        <x:v>1768.8541142732</x:v>
      </x:c>
      <x:c r="D3940" s="13" t="str">
        <x:v>Food &amp; Beverages</x:v>
      </x:c>
      <x:c r="E3940" s="13" t="str">
        <x:v>Agri, Food &amp; Beverages</x:v>
      </x:c>
      <x:c r="F3940" s="13" t="str">
        <x:v>Defensives</x:v>
      </x:c>
      <x:c r="G3940" s="13" t="str">
        <x:v>grid_asitui1y.xlsx</x:v>
      </x:c>
    </x:row>
    <x:row r="3941">
      <x:c r="A3941" s="15" t="n">
        <x:v>42064</x:v>
      </x:c>
      <x:c r="B3941" s="13" t="str">
        <x:v>HYPERA SA</x:v>
      </x:c>
      <x:c r="C3941" s="16" t="n">
        <x:v>588.6096531585</x:v>
      </x:c>
      <x:c r="D3941" s="13" t="str">
        <x:v>Health Care</x:v>
      </x:c>
      <x:c r="E3941" s="13" t="str">
        <x:v>Health Care</x:v>
      </x:c>
      <x:c r="F3941" s="13" t="str">
        <x:v>Defensives</x:v>
      </x:c>
      <x:c r="G3941" s="13" t="str">
        <x:v>grid_asitui1y.xlsx</x:v>
      </x:c>
    </x:row>
    <x:row r="3942">
      <x:c r="A3942" s="15" t="n">
        <x:v>42064</x:v>
      </x:c>
      <x:c r="B3942" s="13" t="str">
        <x:v>QUALICORP CONS E CORR SEG SA</x:v>
      </x:c>
      <x:c r="C3942" s="16" t="n">
        <x:v>378.5062641311</x:v>
      </x:c>
      <x:c r="D3942" s="13" t="str">
        <x:v>Health Care</x:v>
      </x:c>
      <x:c r="E3942" s="13" t="str">
        <x:v>Health Care</x:v>
      </x:c>
      <x:c r="F3942" s="13" t="str">
        <x:v>Defensives</x:v>
      </x:c>
      <x:c r="G3942" s="13" t="str">
        <x:v>grid_asitui1y.xlsx</x:v>
      </x:c>
    </x:row>
    <x:row r="3943">
      <x:c r="A3943" s="15" t="n">
        <x:v>42064</x:v>
      </x:c>
      <x:c r="B3943" s="13" t="str">
        <x:v>CYRELA BRAZIL REALTY SA EMP</x:v>
      </x:c>
      <x:c r="C3943" s="16" t="n">
        <x:v>722.6538659672</x:v>
      </x:c>
      <x:c r="D3943" s="13" t="str">
        <x:v>Homebuilders</x:v>
      </x:c>
      <x:c r="E3943" s="13" t="str">
        <x:v>Real Estate</x:v>
      </x:c>
      <x:c r="F3943" s="13" t="str">
        <x:v>Early Cyclicals</x:v>
      </x:c>
      <x:c r="G3943" s="13" t="str">
        <x:v>grid_asitui1y.xlsx</x:v>
      </x:c>
    </x:row>
    <x:row r="3944">
      <x:c r="A3944" s="15" t="n">
        <x:v>42064</x:v>
      </x:c>
      <x:c r="B3944" s="13" t="str">
        <x:v>EVEN CONSTRUTORA E INCORPORA</x:v>
      </x:c>
      <x:c r="C3944" s="16" t="n">
        <x:v>272.6137355191</x:v>
      </x:c>
      <x:c r="D3944" s="13" t="str">
        <x:v>Homebuilders</x:v>
      </x:c>
      <x:c r="E3944" s="13" t="str">
        <x:v>Real Estate</x:v>
      </x:c>
      <x:c r="F3944" s="13" t="str">
        <x:v>Early Cyclicals</x:v>
      </x:c>
      <x:c r="G3944" s="13" t="str">
        <x:v>grid_asitui1y.xlsx</x:v>
      </x:c>
    </x:row>
    <x:row r="3945">
      <x:c r="A3945" s="15" t="n">
        <x:v>42064</x:v>
      </x:c>
      <x:c r="B3945" s="13" t="str">
        <x:v>GAFISA SA</x:v>
      </x:c>
      <x:c r="C3945" s="16" t="n">
        <x:v>48.0425915301</x:v>
      </x:c>
      <x:c r="D3945" s="13" t="str">
        <x:v>Homebuilders</x:v>
      </x:c>
      <x:c r="E3945" s="13" t="str">
        <x:v>Real Estate</x:v>
      </x:c>
      <x:c r="F3945" s="13" t="str">
        <x:v>Early Cyclicals</x:v>
      </x:c>
      <x:c r="G3945" s="13" t="str">
        <x:v>grid_asitui1y.xlsx</x:v>
      </x:c>
    </x:row>
    <x:row r="3946">
      <x:c r="A3946" s="15" t="n">
        <x:v>42064</x:v>
      </x:c>
      <x:c r="B3946" s="13" t="str">
        <x:v>MRV ENGENHARIA</x:v>
      </x:c>
      <x:c r="C3946" s="16" t="n">
        <x:v>533.4190066011</x:v>
      </x:c>
      <x:c r="D3946" s="13" t="str">
        <x:v>Homebuilders</x:v>
      </x:c>
      <x:c r="E3946" s="13" t="str">
        <x:v>Real Estate</x:v>
      </x:c>
      <x:c r="F3946" s="13" t="str">
        <x:v>Early Cyclicals</x:v>
      </x:c>
      <x:c r="G3946" s="13" t="str">
        <x:v>grid_asitui1y.xlsx</x:v>
      </x:c>
    </x:row>
    <x:row r="3947">
      <x:c r="A3947" s="15" t="n">
        <x:v>42064</x:v>
      </x:c>
      <x:c r="B3947" s="13" t="str">
        <x:v>PDG REALTY SA</x:v>
      </x:c>
      <x:c r="C3947" s="16" t="n">
        <x:v>-210.0947786612</x:v>
      </x:c>
      <x:c r="D3947" s="13" t="str">
        <x:v>Homebuilders</x:v>
      </x:c>
      <x:c r="E3947" s="13" t="str">
        <x:v>Real Estate</x:v>
      </x:c>
      <x:c r="F3947" s="13" t="str">
        <x:v>Early Cyclicals</x:v>
      </x:c>
      <x:c r="G3947" s="13" t="str">
        <x:v>grid_asitui1y.xlsx</x:v>
      </x:c>
    </x:row>
    <x:row r="3948">
      <x:c r="A3948" s="15" t="n">
        <x:v>42064</x:v>
      </x:c>
      <x:c r="B3948" s="13" t="str">
        <x:v>BR MALLS PARTICIPACOES SA</x:v>
      </x:c>
      <x:c r="C3948" s="16" t="n">
        <x:v>483.8079234973</x:v>
      </x:c>
      <x:c r="D3948" s="13" t="str">
        <x:v>Income Properties</x:v>
      </x:c>
      <x:c r="E3948" s="13" t="str">
        <x:v>Real Estate</x:v>
      </x:c>
      <x:c r="F3948" s="13" t="str">
        <x:v>Early Cyclicals</x:v>
      </x:c>
      <x:c r="G3948" s="13" t="str">
        <x:v>grid_asitui1y.xlsx</x:v>
      </x:c>
    </x:row>
    <x:row r="3949">
      <x:c r="A3949" s="15" t="n">
        <x:v>42064</x:v>
      </x:c>
      <x:c r="B3949" s="13" t="str">
        <x:v>MULTIPLAN EMPREENDIMENTOS</x:v>
      </x:c>
      <x:c r="C3949" s="16" t="n">
        <x:v>390.1448087432</x:v>
      </x:c>
      <x:c r="D3949" s="13" t="str">
        <x:v>Income Properties</x:v>
      </x:c>
      <x:c r="E3949" s="13" t="str">
        <x:v>Real Estate</x:v>
      </x:c>
      <x:c r="F3949" s="13" t="str">
        <x:v>Early Cyclicals</x:v>
      </x:c>
      <x:c r="G3949" s="13" t="str">
        <x:v>grid_asitui1y.xlsx</x:v>
      </x:c>
    </x:row>
    <x:row r="3950">
      <x:c r="A3950" s="15" t="n">
        <x:v>42064</x:v>
      </x:c>
      <x:c r="B3950" s="13" t="str">
        <x:v>SOLID ATIVOS IMOBILIARIOS SA</x:v>
      </x:c>
      <x:c r="C3950" s="16" t="n">
        <x:v>191.0311107322</x:v>
      </x:c>
      <x:c r="D3950" s="13" t="str">
        <x:v>Income Properties</x:v>
      </x:c>
      <x:c r="E3950" s="13" t="str">
        <x:v>Real Estate</x:v>
      </x:c>
      <x:c r="F3950" s="13" t="str">
        <x:v>Early Cyclicals</x:v>
      </x:c>
      <x:c r="G3950" s="13" t="str">
        <x:v>grid_asitui1y.xlsx</x:v>
      </x:c>
    </x:row>
    <x:row r="3951">
      <x:c r="A3951" s="15" t="n">
        <x:v>42064</x:v>
      </x:c>
      <x:c r="B3951" s="13" t="str">
        <x:v>CIA SIDERURGICA NACIONAL SA</x:v>
      </x:c>
      <x:c r="C3951" s="16" t="n">
        <x:v>-182.3208896175</x:v>
      </x:c>
      <x:c r="D3951" s="13" t="str">
        <x:v>Metals &amp; Mining</x:v>
      </x:c>
      <x:c r="E3951" s="13" t="str">
        <x:v>Metals &amp; Mining</x:v>
      </x:c>
      <x:c r="F3951" s="13" t="str">
        <x:v>Deep Cyclicals</x:v>
      </x:c>
      <x:c r="G3951" s="13" t="str">
        <x:v>grid_asitui1y.xlsx</x:v>
      </x:c>
    </x:row>
    <x:row r="3952">
      <x:c r="A3952" s="15" t="n">
        <x:v>42064</x:v>
      </x:c>
      <x:c r="B3952" s="13" t="str">
        <x:v>GERDAU SA-PREF</x:v>
      </x:c>
      <x:c r="C3952" s="16" t="n">
        <x:v>1153.5188284153</x:v>
      </x:c>
      <x:c r="D3952" s="13" t="str">
        <x:v>Metals &amp; Mining</x:v>
      </x:c>
      <x:c r="E3952" s="13" t="str">
        <x:v>Metals &amp; Mining</x:v>
      </x:c>
      <x:c r="F3952" s="13" t="str">
        <x:v>Deep Cyclicals</x:v>
      </x:c>
      <x:c r="G3952" s="13" t="str">
        <x:v>grid_asitui1y.xlsx</x:v>
      </x:c>
    </x:row>
    <x:row r="3953">
      <x:c r="A3953" s="15" t="n">
        <x:v>42064</x:v>
      </x:c>
      <x:c r="B3953" s="13" t="str">
        <x:v>USINAS SIDER MINAS GER-PF A</x:v>
      </x:c>
      <x:c r="C3953" s="16" t="n">
        <x:v>-215.8027540984</x:v>
      </x:c>
      <x:c r="D3953" s="13" t="str">
        <x:v>Metals &amp; Mining</x:v>
      </x:c>
      <x:c r="E3953" s="13" t="str">
        <x:v>Metals &amp; Mining</x:v>
      </x:c>
      <x:c r="F3953" s="13" t="str">
        <x:v>Deep Cyclicals</x:v>
      </x:c>
      <x:c r="G3953" s="13" t="str">
        <x:v>grid_asitui1y.xlsx</x:v>
      </x:c>
    </x:row>
    <x:row r="3954">
      <x:c r="A3954" s="15" t="n">
        <x:v>42064</x:v>
      </x:c>
      <x:c r="B3954" s="13" t="str">
        <x:v>VALE SA</x:v>
      </x:c>
      <x:c r="C3954" s="16" t="n">
        <x:v>5081.8543947541</x:v>
      </x:c>
      <x:c r="D3954" s="13" t="str">
        <x:v>Metals &amp; Mining</x:v>
      </x:c>
      <x:c r="E3954" s="13" t="str">
        <x:v>Metals &amp; Mining</x:v>
      </x:c>
      <x:c r="F3954" s="13" t="str">
        <x:v>Deep Cyclicals</x:v>
      </x:c>
      <x:c r="G3954" s="13" t="str">
        <x:v>grid_asitui1y.xlsx</x:v>
      </x:c>
    </x:row>
    <x:row r="3955">
      <x:c r="A3955" s="15" t="n">
        <x:v>42064</x:v>
      </x:c>
      <x:c r="B3955" s="13" t="str">
        <x:v>BRASKEM SA-PREF A</x:v>
      </x:c>
      <x:c r="C3955" s="16" t="n">
        <x:v>1354.7219745574</x:v>
      </x:c>
      <x:c r="D3955" s="13" t="str">
        <x:v>Oil, Gas &amp; Petrochemicals</x:v>
      </x:c>
      <x:c r="E3955" s="13" t="str">
        <x:v>Oil, Gas &amp; Petrochemicals</x:v>
      </x:c>
      <x:c r="F3955" s="13" t="str">
        <x:v>Deep Cyclicals</x:v>
      </x:c>
      <x:c r="G3955" s="13" t="str">
        <x:v>grid_asitui1y.xlsx</x:v>
      </x:c>
    </x:row>
    <x:row r="3956">
      <x:c r="A3956" s="15" t="n">
        <x:v>42064</x:v>
      </x:c>
      <x:c r="B3956" s="13" t="str">
        <x:v>COSAN SA</x:v>
      </x:c>
      <x:c r="C3956" s="16" t="n">
        <x:v>848.4284035847</x:v>
      </x:c>
      <x:c r="D3956" s="13" t="str">
        <x:v>Oil, Gas &amp; Petrochemicals</x:v>
      </x:c>
      <x:c r="E3956" s="13" t="str">
        <x:v>Oil, Gas &amp; Petrochemicals</x:v>
      </x:c>
      <x:c r="F3956" s="13" t="str">
        <x:v>Deep Cyclicals</x:v>
      </x:c>
      <x:c r="G3956" s="13" t="str">
        <x:v>grid_asitui1y.xlsx</x:v>
      </x:c>
    </x:row>
    <x:row r="3957">
      <x:c r="A3957" s="15" t="n">
        <x:v>42064</x:v>
      </x:c>
      <x:c r="B3957" s="13" t="str">
        <x:v>PETROBRAS - PETROLEO BRAS</x:v>
      </x:c>
      <x:c r="C3957" s="16" t="n">
        <x:v>17652.234827541</x:v>
      </x:c>
      <x:c r="D3957" s="13" t="str">
        <x:v>Oil, Gas &amp; Petrochemicals</x:v>
      </x:c>
      <x:c r="E3957" s="13" t="str">
        <x:v>Oil, Gas &amp; Petrochemicals</x:v>
      </x:c>
      <x:c r="F3957" s="13" t="str">
        <x:v>Deep Cyclicals</x:v>
      </x:c>
      <x:c r="G3957" s="13" t="str">
        <x:v>grid_asitui1y.xlsx</x:v>
      </x:c>
    </x:row>
    <x:row r="3958">
      <x:c r="A3958" s="15" t="n">
        <x:v>42064</x:v>
      </x:c>
      <x:c r="B3958" s="13" t="str">
        <x:v>ULTRAPAR PARTICIPACOES SA</x:v>
      </x:c>
      <x:c r="C3958" s="16" t="n">
        <x:v>1490.8593902514</x:v>
      </x:c>
      <x:c r="D3958" s="13" t="str">
        <x:v>Oil, Gas &amp; Petrochemicals</x:v>
      </x:c>
      <x:c r="E3958" s="13" t="str">
        <x:v>Oil, Gas &amp; Petrochemicals</x:v>
      </x:c>
      <x:c r="F3958" s="13" t="str">
        <x:v>Deep Cyclicals</x:v>
      </x:c>
      <x:c r="G3958" s="13" t="str">
        <x:v>grid_asitui1y.xlsx</x:v>
      </x:c>
    </x:row>
    <x:row r="3959">
      <x:c r="A3959" s="15" t="n">
        <x:v>42064</x:v>
      </x:c>
      <x:c r="B3959" s="13" t="str">
        <x:v>DEXCO SA</x:v>
      </x:c>
      <x:c r="C3959" s="16" t="n">
        <x:v>406.0078429727</x:v>
      </x:c>
      <x:c r="D3959" s="13" t="str">
        <x:v>Pulp &amp; Paper</x:v>
      </x:c>
      <x:c r="E3959" s="13" t="str">
        <x:v>Pulp &amp; Paper</x:v>
      </x:c>
      <x:c r="F3959" s="13" t="str">
        <x:v>Deep Cyclicals</x:v>
      </x:c>
      <x:c r="G3959" s="13" t="str">
        <x:v>grid_asitui1y.xlsx</x:v>
      </x:c>
    </x:row>
    <x:row r="3960">
      <x:c r="A3960" s="15" t="n">
        <x:v>42064</x:v>
      </x:c>
      <x:c r="B3960" s="13" t="str">
        <x:v>FIBRIA CELULOSE S/A</x:v>
      </x:c>
      <x:c r="C3960" s="16" t="n">
        <x:v>545.4469558907</x:v>
      </x:c>
      <x:c r="D3960" s="13" t="str">
        <x:v>Pulp &amp; Paper</x:v>
      </x:c>
      <x:c r="E3960" s="13" t="str">
        <x:v>Pulp &amp; Paper</x:v>
      </x:c>
      <x:c r="F3960" s="13" t="str">
        <x:v>Deep Cyclicals</x:v>
      </x:c>
      <x:c r="G3960" s="13" t="str">
        <x:v>grid_asitui1y.xlsx</x:v>
      </x:c>
    </x:row>
    <x:row r="3961">
      <x:c r="A3961" s="15" t="n">
        <x:v>42064</x:v>
      </x:c>
      <x:c r="B3961" s="13" t="str">
        <x:v>KLABIN SA - UNIT</x:v>
      </x:c>
      <x:c r="C3961" s="16" t="n">
        <x:v>250.3247172459</x:v>
      </x:c>
      <x:c r="D3961" s="13" t="str">
        <x:v>Pulp &amp; Paper</x:v>
      </x:c>
      <x:c r="E3961" s="13" t="str">
        <x:v>Pulp &amp; Paper</x:v>
      </x:c>
      <x:c r="F3961" s="13" t="str">
        <x:v>Deep Cyclicals</x:v>
      </x:c>
      <x:c r="G3961" s="13" t="str">
        <x:v>grid_asitui1y.xlsx</x:v>
      </x:c>
    </x:row>
    <x:row r="3962">
      <x:c r="A3962" s="15" t="n">
        <x:v>42064</x:v>
      </x:c>
      <x:c r="B3962" s="13" t="str">
        <x:v>SUZANO PAPEL E CELULO-PREF A</x:v>
      </x:c>
      <x:c r="C3962" s="16" t="n">
        <x:v>726.3769509071</x:v>
      </x:c>
      <x:c r="D3962" s="13" t="str">
        <x:v>Pulp &amp; Paper</x:v>
      </x:c>
      <x:c r="E3962" s="13" t="str">
        <x:v>Pulp &amp; Paper</x:v>
      </x:c>
      <x:c r="F3962" s="13" t="str">
        <x:v>Deep Cyclicals</x:v>
      </x:c>
      <x:c r="G3962" s="13" t="str">
        <x:v>grid_asitui1y.xlsx</x:v>
      </x:c>
    </x:row>
    <x:row r="3963">
      <x:c r="A3963" s="15" t="n">
        <x:v>42064</x:v>
      </x:c>
      <x:c r="B3963" s="13" t="str">
        <x:v>CIA BRASILEIRA DE DIS-PREF</x:v>
      </x:c>
      <x:c r="C3963" s="16" t="n">
        <x:v>1682.8776904044</x:v>
      </x:c>
      <x:c r="D3963" s="13" t="str">
        <x:v>Retail</x:v>
      </x:c>
      <x:c r="E3963" s="13" t="str">
        <x:v>Retail</x:v>
      </x:c>
      <x:c r="F3963" s="13" t="str">
        <x:v>Early Cyclicals</x:v>
      </x:c>
      <x:c r="G3963" s="13" t="str">
        <x:v>grid_asitui1y.xlsx</x:v>
      </x:c>
    </x:row>
    <x:row r="3964">
      <x:c r="A3964" s="15" t="n">
        <x:v>42064</x:v>
      </x:c>
      <x:c r="B3964" s="13" t="str">
        <x:v>CIA HERING</x:v>
      </x:c>
      <x:c r="C3964" s="16" t="n">
        <x:v>334.004439694</x:v>
      </x:c>
      <x:c r="D3964" s="13" t="str">
        <x:v>Retail</x:v>
      </x:c>
      <x:c r="E3964" s="13" t="str">
        <x:v>Retail</x:v>
      </x:c>
      <x:c r="F3964" s="13" t="str">
        <x:v>Early Cyclicals</x:v>
      </x:c>
      <x:c r="G3964" s="13" t="str">
        <x:v>grid_asitui1y.xlsx</x:v>
      </x:c>
    </x:row>
    <x:row r="3965">
      <x:c r="A3965" s="15" t="n">
        <x:v>42064</x:v>
      </x:c>
      <x:c r="B3965" s="13" t="str">
        <x:v>LOJAS AMERICANAS SA-PREF</x:v>
      </x:c>
      <x:c r="C3965" s="16" t="n">
        <x:v>644.6636980109</x:v>
      </x:c>
      <x:c r="D3965" s="13" t="str">
        <x:v>Retail</x:v>
      </x:c>
      <x:c r="E3965" s="13" t="str">
        <x:v>Retail</x:v>
      </x:c>
      <x:c r="F3965" s="13" t="str">
        <x:v>Early Cyclicals</x:v>
      </x:c>
      <x:c r="G3965" s="13" t="str">
        <x:v>grid_asitui1y.xlsx</x:v>
      </x:c>
    </x:row>
    <x:row r="3966">
      <x:c r="A3966" s="15" t="n">
        <x:v>42064</x:v>
      </x:c>
      <x:c r="B3966" s="13" t="str">
        <x:v>LOJAS RENNER S.A.</x:v>
      </x:c>
      <x:c r="C3966" s="16" t="n">
        <x:v>583.9027770055</x:v>
      </x:c>
      <x:c r="D3966" s="13" t="str">
        <x:v>Retail</x:v>
      </x:c>
      <x:c r="E3966" s="13" t="str">
        <x:v>Retail</x:v>
      </x:c>
      <x:c r="F3966" s="13" t="str">
        <x:v>Early Cyclicals</x:v>
      </x:c>
      <x:c r="G3966" s="13" t="str">
        <x:v>grid_asitui1y.xlsx</x:v>
      </x:c>
    </x:row>
    <x:row r="3967">
      <x:c r="A3967" s="15" t="n">
        <x:v>42064</x:v>
      </x:c>
      <x:c r="B3967" s="13" t="str">
        <x:v>NATURA COSMETICOS SA</x:v>
      </x:c>
      <x:c r="C3967" s="16" t="n">
        <x:v>789.6612765027</x:v>
      </x:c>
      <x:c r="D3967" s="13" t="str">
        <x:v>Retail</x:v>
      </x:c>
      <x:c r="E3967" s="13" t="str">
        <x:v>Retail</x:v>
      </x:c>
      <x:c r="F3967" s="13" t="str">
        <x:v>Early Cyclicals</x:v>
      </x:c>
      <x:c r="G3967" s="13" t="str">
        <x:v>grid_asitui1y.xlsx</x:v>
      </x:c>
    </x:row>
    <x:row r="3968">
      <x:c r="A3968" s="15" t="n">
        <x:v>42064</x:v>
      </x:c>
      <x:c r="B3968" s="13" t="str">
        <x:v>CIA SANEAMENTO BASICO DE SP</x:v>
      </x:c>
      <x:c r="C3968" s="16" t="n">
        <x:v>910.862252765</x:v>
      </x:c>
      <x:c r="D3968" s="13" t="str">
        <x:v>Sanitation</x:v>
      </x:c>
      <x:c r="E3968" s="13" t="str">
        <x:v>Utilities</x:v>
      </x:c>
      <x:c r="F3968" s="13" t="str">
        <x:v>Defensives</x:v>
      </x:c>
      <x:c r="G3968" s="13" t="str">
        <x:v>grid_asitui1y.xlsx</x:v>
      </x:c>
    </x:row>
    <x:row r="3969">
      <x:c r="A3969" s="15" t="n">
        <x:v>42064</x:v>
      </x:c>
      <x:c r="B3969" s="13" t="str">
        <x:v>OI SA-PREFERENCE</x:v>
      </x:c>
      <x:c r="C3969" s="16" t="n">
        <x:v>-1221.9988532459</x:v>
      </x:c>
      <x:c r="D3969" s="13" t="str">
        <x:v>TMT</x:v>
      </x:c>
      <x:c r="E3969" s="13" t="str">
        <x:v>TMT</x:v>
      </x:c>
      <x:c r="F3969" s="13" t="str">
        <x:v>Early Cyclicals</x:v>
      </x:c>
      <x:c r="G3969" s="13" t="str">
        <x:v>grid_asitui1y.xlsx</x:v>
      </x:c>
    </x:row>
    <x:row r="3970">
      <x:c r="A3970" s="15" t="n">
        <x:v>42064</x:v>
      </x:c>
      <x:c r="B3970" s="13" t="str">
        <x:v>TELEFONICA BRASIL S.A.-PREF</x:v>
      </x:c>
      <x:c r="C3970" s="16" t="n">
        <x:v>4226.0656835847</x:v>
      </x:c>
      <x:c r="D3970" s="13" t="str">
        <x:v>TMT</x:v>
      </x:c>
      <x:c r="E3970" s="13" t="str">
        <x:v>TMT</x:v>
      </x:c>
      <x:c r="F3970" s="13" t="str">
        <x:v>Early Cyclicals</x:v>
      </x:c>
      <x:c r="G3970" s="13" t="str">
        <x:v>grid_asitui1y.xlsx</x:v>
      </x:c>
    </x:row>
    <x:row r="3971">
      <x:c r="A3971" s="15" t="n">
        <x:v>42064</x:v>
      </x:c>
      <x:c r="B3971" s="13" t="str">
        <x:v>TIM SA</x:v>
      </x:c>
      <x:c r="C3971" s="16" t="n">
        <x:v>1601.6660882186</x:v>
      </x:c>
      <x:c r="D3971" s="13" t="str">
        <x:v>TMT</x:v>
      </x:c>
      <x:c r="E3971" s="13" t="str">
        <x:v>TMT</x:v>
      </x:c>
      <x:c r="F3971" s="13" t="str">
        <x:v>Early Cyclicals</x:v>
      </x:c>
      <x:c r="G3971" s="13" t="str">
        <x:v>grid_asitui1y.xlsx</x:v>
      </x:c>
    </x:row>
    <x:row r="3972">
      <x:c r="A3972" s="15" t="n">
        <x:v>42064</x:v>
      </x:c>
      <x:c r="B3972" s="13" t="str">
        <x:v>ECORODOVIAS INFRA E LOG SA</x:v>
      </x:c>
      <x:c r="C3972" s="16" t="n">
        <x:v>393.5190211148</x:v>
      </x:c>
      <x:c r="D3972" s="13" t="str">
        <x:v>Transportation</x:v>
      </x:c>
      <x:c r="E3972" s="13" t="str">
        <x:v>Transportation</x:v>
      </x:c>
      <x:c r="F3972" s="13" t="str">
        <x:v>Deep Cyclicals</x:v>
      </x:c>
      <x:c r="G3972" s="13" t="str">
        <x:v>grid_asitui1y.xlsx</x:v>
      </x:c>
    </x:row>
    <x:row r="3973">
      <x:c r="A3973" s="15" t="n">
        <x:v>42064</x:v>
      </x:c>
      <x:c r="B3973" s="13" t="str">
        <x:v>GOL LINHAS AEREAS INT SA-PRE</x:v>
      </x:c>
      <x:c r="C3973" s="16" t="n">
        <x:v>-294.4720603825</x:v>
      </x:c>
      <x:c r="D3973" s="13" t="str">
        <x:v>Transportation</x:v>
      </x:c>
      <x:c r="E3973" s="13" t="str">
        <x:v>Transportation</x:v>
      </x:c>
      <x:c r="F3973" s="13" t="str">
        <x:v>Deep Cyclicals</x:v>
      </x:c>
      <x:c r="G3973" s="13" t="str">
        <x:v>grid_asitui1y.xlsx</x:v>
      </x:c>
    </x:row>
    <x:row r="3974">
      <x:c r="A3974" s="15" t="n">
        <x:v>42064</x:v>
      </x:c>
      <x:c r="B3974" s="13" t="str">
        <x:v>LOCALIZA RENT A CAR</x:v>
      </x:c>
      <x:c r="C3974" s="16" t="n">
        <x:v>436.3769307978</x:v>
      </x:c>
      <x:c r="D3974" s="13" t="str">
        <x:v>Transportation</x:v>
      </x:c>
      <x:c r="E3974" s="13" t="str">
        <x:v>Transportation</x:v>
      </x:c>
      <x:c r="F3974" s="13" t="str">
        <x:v>Deep Cyclicals</x:v>
      </x:c>
      <x:c r="G3974" s="13" t="str">
        <x:v>grid_asitui1y.xlsx</x:v>
      </x:c>
    </x:row>
    <x:row r="3975">
      <x:c r="A3975" s="15" t="n">
        <x:v>42064</x:v>
      </x:c>
      <x:c r="B3975" s="13" t="str">
        <x:v>MOTIVA INFRAESTRUTURA DE MOB</x:v>
      </x:c>
      <x:c r="C3975" s="16" t="n">
        <x:v>1447.0805536175</x:v>
      </x:c>
      <x:c r="D3975" s="13" t="str">
        <x:v>Transportation</x:v>
      </x:c>
      <x:c r="E3975" s="13" t="str">
        <x:v>Transportation</x:v>
      </x:c>
      <x:c r="F3975" s="13" t="str">
        <x:v>Deep Cyclicals</x:v>
      </x:c>
      <x:c r="G3975" s="13" t="str">
        <x:v>grid_asitui1y.xlsx</x:v>
      </x:c>
    </x:row>
    <x:row r="3976">
      <x:c r="A3976" s="15" t="n">
        <x:v>42064</x:v>
      </x:c>
      <x:c r="B3976" s="13" t="str">
        <x:v>RUMO SA</x:v>
      </x:c>
      <x:c r="C3976" s="16" t="n">
        <x:v>249.281495082</x:v>
      </x:c>
      <x:c r="D3976" s="13" t="str">
        <x:v>Transportation</x:v>
      </x:c>
      <x:c r="E3976" s="13" t="str">
        <x:v>Transportation</x:v>
      </x:c>
      <x:c r="F3976" s="13" t="str">
        <x:v>Deep Cyclicals</x:v>
      </x:c>
      <x:c r="G3976" s="13" t="str">
        <x:v>grid_asitui1y.xlsx</x:v>
      </x:c>
    </x:row>
    <x:row r="3977">
      <x:c r="A3977" s="15" t="n">
        <x:v>42064</x:v>
      </x:c>
      <x:c r="B3977" s="13" t="str">
        <x:v>AXIA ENERGIA SA</x:v>
      </x:c>
      <x:c r="C3977" s="16" t="n">
        <x:v>-232.9528568306</x:v>
      </x:c>
      <x:c r="D3977" s="13" t="str">
        <x:v>Utilities &amp; Energy</x:v>
      </x:c>
      <x:c r="E3977" s="13" t="str">
        <x:v>Utilities</x:v>
      </x:c>
      <x:c r="F3977" s="13" t="str">
        <x:v>Defensives</x:v>
      </x:c>
      <x:c r="G3977" s="13" t="str">
        <x:v>grid_asitui1y.xlsx</x:v>
      </x:c>
    </x:row>
    <x:row r="3978">
      <x:c r="A3978" s="15" t="n">
        <x:v>42064</x:v>
      </x:c>
      <x:c r="B3978" s="13" t="str">
        <x:v>AXIA ENERGIA-PR B</x:v>
      </x:c>
      <x:c r="C3978" s="16" t="n">
        <x:v>-232.9528568306</x:v>
      </x:c>
      <x:c r="D3978" s="13" t="str">
        <x:v>Utilities &amp; Energy</x:v>
      </x:c>
      <x:c r="E3978" s="13" t="str">
        <x:v>Utilities</x:v>
      </x:c>
      <x:c r="F3978" s="13" t="str">
        <x:v>Defensives</x:v>
      </x:c>
      <x:c r="G3978" s="13" t="str">
        <x:v>grid_asitui1y.xlsx</x:v>
      </x:c>
    </x:row>
    <x:row r="3979">
      <x:c r="A3979" s="15" t="n">
        <x:v>42064</x:v>
      </x:c>
      <x:c r="B3979" s="13" t="str">
        <x:v>CESP - CIA ENERGETICA DE SAO</x:v>
      </x:c>
      <x:c r="C3979" s="16" t="n">
        <x:v>740.9316564809</x:v>
      </x:c>
      <x:c r="D3979" s="13" t="str">
        <x:v>Utilities &amp; Energy</x:v>
      </x:c>
      <x:c r="E3979" s="13" t="str">
        <x:v>Utilities</x:v>
      </x:c>
      <x:c r="F3979" s="13" t="str">
        <x:v>Defensives</x:v>
      </x:c>
      <x:c r="G3979" s="13" t="str">
        <x:v>grid_asitui1y.xlsx</x:v>
      </x:c>
    </x:row>
    <x:row r="3980">
      <x:c r="A3980" s="15" t="n">
        <x:v>42064</x:v>
      </x:c>
      <x:c r="B3980" s="13" t="str">
        <x:v>CIA ENERGETICA MINAS GER-PRF</x:v>
      </x:c>
      <x:c r="C3980" s="16" t="n">
        <x:v>1930.9651206994</x:v>
      </x:c>
      <x:c r="D3980" s="13" t="str">
        <x:v>Utilities &amp; Energy</x:v>
      </x:c>
      <x:c r="E3980" s="13" t="str">
        <x:v>Utilities</x:v>
      </x:c>
      <x:c r="F3980" s="13" t="str">
        <x:v>Defensives</x:v>
      </x:c>
      <x:c r="G3980" s="13" t="str">
        <x:v>grid_asitui1y.xlsx</x:v>
      </x:c>
    </x:row>
    <x:row r="3981">
      <x:c r="A3981" s="15" t="n">
        <x:v>42064</x:v>
      </x:c>
      <x:c r="B3981" s="13" t="str">
        <x:v>COMPANHIA PARANAENSE -PREF B</x:v>
      </x:c>
      <x:c r="C3981" s="16" t="n">
        <x:v>1062.4732196721</x:v>
      </x:c>
      <x:c r="D3981" s="13" t="str">
        <x:v>Utilities &amp; Energy</x:v>
      </x:c>
      <x:c r="E3981" s="13" t="str">
        <x:v>Utilities</x:v>
      </x:c>
      <x:c r="F3981" s="13" t="str">
        <x:v>Defensives</x:v>
      </x:c>
      <x:c r="G3981" s="13" t="str">
        <x:v>grid_asitui1y.xlsx</x:v>
      </x:c>
    </x:row>
    <x:row r="3982">
      <x:c r="A3982" s="15" t="n">
        <x:v>42064</x:v>
      </x:c>
      <x:c r="B3982" s="13" t="str">
        <x:v>CPFL ENERGIA SA</x:v>
      </x:c>
      <x:c r="C3982" s="16" t="n">
        <x:v>1196.8067745574</x:v>
      </x:c>
      <x:c r="D3982" s="13" t="str">
        <x:v>Utilities &amp; Energy</x:v>
      </x:c>
      <x:c r="E3982" s="13" t="str">
        <x:v>Utilities</x:v>
      </x:c>
      <x:c r="F3982" s="13" t="str">
        <x:v>Defensives</x:v>
      </x:c>
      <x:c r="G3982" s="13" t="str">
        <x:v>grid_asitui1y.xlsx</x:v>
      </x:c>
    </x:row>
    <x:row r="3983">
      <x:c r="A3983" s="15" t="n">
        <x:v>42064</x:v>
      </x:c>
      <x:c r="B3983" s="13" t="str">
        <x:v>EDP - ENERGIAS DO BRASIL SA</x:v>
      </x:c>
      <x:c r="C3983" s="16" t="n">
        <x:v>413.4939796284</x:v>
      </x:c>
      <x:c r="D3983" s="13" t="str">
        <x:v>Utilities &amp; Energy</x:v>
      </x:c>
      <x:c r="E3983" s="13" t="str">
        <x:v>Utilities</x:v>
      </x:c>
      <x:c r="F3983" s="13" t="str">
        <x:v>Defensives</x:v>
      </x:c>
      <x:c r="G3983" s="13" t="str">
        <x:v>grid_asitui1y.xlsx</x:v>
      </x:c>
    </x:row>
    <x:row r="3984">
      <x:c r="A3984" s="15" t="n">
        <x:v>42064</x:v>
      </x:c>
      <x:c r="B3984" s="13" t="str">
        <x:v>ENGIE BRASIL ENERGIA SA</x:v>
      </x:c>
      <x:c r="C3984" s="16" t="n">
        <x:v>1411.7347395847</x:v>
      </x:c>
      <x:c r="D3984" s="13" t="str">
        <x:v>Utilities &amp; Energy</x:v>
      </x:c>
      <x:c r="E3984" s="13" t="str">
        <x:v>Utilities</x:v>
      </x:c>
      <x:c r="F3984" s="13" t="str">
        <x:v>Defensives</x:v>
      </x:c>
      <x:c r="G3984" s="13" t="str">
        <x:v>grid_asitui1y.xlsx</x:v>
      </x:c>
    </x:row>
    <x:row r="3985">
      <x:c r="A3985" s="15" t="n">
        <x:v>42064</x:v>
      </x:c>
      <x:c r="B3985" s="13" t="str">
        <x:v>LIGHT SA</x:v>
      </x:c>
      <x:c r="C3985" s="16" t="n">
        <x:v>400.287084153</x:v>
      </x:c>
      <x:c r="D3985" s="13" t="str">
        <x:v>Utilities &amp; Energy</x:v>
      </x:c>
      <x:c r="E3985" s="13" t="str">
        <x:v>Utilities</x:v>
      </x:c>
      <x:c r="F3985" s="13" t="str">
        <x:v>Defensives</x:v>
      </x:c>
      <x:c r="G3985" s="13" t="str">
        <x:v>grid_asitui1y.xlsx</x:v>
      </x:c>
    </x:row>
    <x:row r="3986">
      <x:c r="A3986" s="15" t="n">
        <x:v>42095</x:v>
      </x:c>
      <x:c r="B3986" s="13" t="str">
        <x:v>BANCO BRADESCO S.A.</x:v>
      </x:c>
      <x:c r="C3986" s="16" t="n">
        <x:v>17870.0515406339</x:v>
      </x:c>
      <x:c r="D3986" s="13" t="str">
        <x:v>Banks</x:v>
      </x:c>
      <x:c r="E3986" s="13" t="str">
        <x:v>Banks</x:v>
      </x:c>
      <x:c r="F3986" s="13" t="str">
        <x:v>Financials</x:v>
      </x:c>
      <x:c r="G3986" s="13" t="str">
        <x:v>grid_asitui1y.xlsx</x:v>
      </x:c>
    </x:row>
    <x:row r="3987">
      <x:c r="A3987" s="15" t="n">
        <x:v>42095</x:v>
      </x:c>
      <x:c r="B3987" s="13" t="str">
        <x:v>BANCO BRADESCO SA-PREF</x:v>
      </x:c>
      <x:c r="C3987" s="16" t="n">
        <x:v>17870.0515406339</x:v>
      </x:c>
      <x:c r="D3987" s="13" t="str">
        <x:v>Banks</x:v>
      </x:c>
      <x:c r="E3987" s="13" t="str">
        <x:v>Banks</x:v>
      </x:c>
      <x:c r="F3987" s="13" t="str">
        <x:v>Financials</x:v>
      </x:c>
      <x:c r="G3987" s="13" t="str">
        <x:v>grid_asitui1y.xlsx</x:v>
      </x:c>
    </x:row>
    <x:row r="3988">
      <x:c r="A3988" s="15" t="n">
        <x:v>42095</x:v>
      </x:c>
      <x:c r="B3988" s="13" t="str">
        <x:v>BANCO DO BRASIL S.A.</x:v>
      </x:c>
      <x:c r="C3988" s="16" t="n">
        <x:v>12417.3175130929</x:v>
      </x:c>
      <x:c r="D3988" s="13" t="str">
        <x:v>Banks</x:v>
      </x:c>
      <x:c r="E3988" s="13" t="str">
        <x:v>Banks</x:v>
      </x:c>
      <x:c r="F3988" s="13" t="str">
        <x:v>Financials</x:v>
      </x:c>
      <x:c r="G3988" s="13" t="str">
        <x:v>grid_asitui1y.xlsx</x:v>
      </x:c>
    </x:row>
    <x:row r="3989">
      <x:c r="A3989" s="15" t="n">
        <x:v>42095</x:v>
      </x:c>
      <x:c r="B3989" s="13" t="str">
        <x:v>BANCO SANTANDER  BRASIL-UNIT</x:v>
      </x:c>
      <x:c r="C3989" s="16" t="n">
        <x:v>6261.7679122186</x:v>
      </x:c>
      <x:c r="D3989" s="13" t="str">
        <x:v>Banks</x:v>
      </x:c>
      <x:c r="E3989" s="13" t="str">
        <x:v>Banks</x:v>
      </x:c>
      <x:c r="F3989" s="13" t="str">
        <x:v>Financials</x:v>
      </x:c>
      <x:c r="G3989" s="13" t="str">
        <x:v>grid_asitui1y.xlsx</x:v>
      </x:c>
    </x:row>
    <x:row r="3990">
      <x:c r="A3990" s="15" t="n">
        <x:v>42095</x:v>
      </x:c>
      <x:c r="B3990" s="13" t="str">
        <x:v>ITAU UNIBANCO HOLDING S-PREF</x:v>
      </x:c>
      <x:c r="C3990" s="16" t="n">
        <x:v>23315.0671373989</x:v>
      </x:c>
      <x:c r="D3990" s="13" t="str">
        <x:v>Banks</x:v>
      </x:c>
      <x:c r="E3990" s="13" t="str">
        <x:v>Banks</x:v>
      </x:c>
      <x:c r="F3990" s="13" t="str">
        <x:v>Financials</x:v>
      </x:c>
      <x:c r="G3990" s="13" t="str">
        <x:v>grid_asitui1y.xlsx</x:v>
      </x:c>
    </x:row>
    <x:row r="3991">
      <x:c r="A3991" s="15" t="n">
        <x:v>42095</x:v>
      </x:c>
      <x:c r="B3991" s="13" t="str">
        <x:v>EMBRAER SA</x:v>
      </x:c>
      <x:c r="C3991" s="16" t="n">
        <x:v>1167.744929224</x:v>
      </x:c>
      <x:c r="D3991" s="13" t="str">
        <x:v>Capital Goods</x:v>
      </x:c>
      <x:c r="E3991" s="13" t="str">
        <x:v>Capital Goods</x:v>
      </x:c>
      <x:c r="F3991" s="13" t="str">
        <x:v>Deep Cyclicals</x:v>
      </x:c>
      <x:c r="G3991" s="13" t="str">
        <x:v>grid_asitui1y.xlsx</x:v>
      </x:c>
    </x:row>
    <x:row r="3992">
      <x:c r="A3992" s="15" t="n">
        <x:v>42095</x:v>
      </x:c>
      <x:c r="B3992" s="13" t="str">
        <x:v>MARCOPOLO SA-PREF</x:v>
      </x:c>
      <x:c r="C3992" s="16" t="n">
        <x:v>230.1643798907</x:v>
      </x:c>
      <x:c r="D3992" s="13" t="str">
        <x:v>Capital Goods</x:v>
      </x:c>
      <x:c r="E3992" s="13" t="str">
        <x:v>Capital Goods</x:v>
      </x:c>
      <x:c r="F3992" s="13" t="str">
        <x:v>Deep Cyclicals</x:v>
      </x:c>
      <x:c r="G3992" s="13" t="str">
        <x:v>grid_asitui1y.xlsx</x:v>
      </x:c>
    </x:row>
    <x:row r="3993">
      <x:c r="A3993" s="15" t="n">
        <x:v>42095</x:v>
      </x:c>
      <x:c r="B3993" s="13" t="str">
        <x:v>COGNA EDUCACAO</x:v>
      </x:c>
      <x:c r="C3993" s="16" t="n">
        <x:v>1558.7386719126</x:v>
      </x:c>
      <x:c r="D3993" s="13" t="str">
        <x:v>Education</x:v>
      </x:c>
      <x:c r="E3993" s="13" t="str">
        <x:v>Education</x:v>
      </x:c>
      <x:c r="F3993" s="13" t="str">
        <x:v>Early Cyclicals</x:v>
      </x:c>
      <x:c r="G3993" s="13" t="str">
        <x:v>grid_asitui1y.xlsx</x:v>
      </x:c>
    </x:row>
    <x:row r="3994">
      <x:c r="A3994" s="15" t="n">
        <x:v>42095</x:v>
      </x:c>
      <x:c r="B3994" s="13" t="str">
        <x:v>YDUQS PARTICIPACOES SA</x:v>
      </x:c>
      <x:c r="C3994" s="16" t="n">
        <x:v>572.4696173115</x:v>
      </x:c>
      <x:c r="D3994" s="13" t="str">
        <x:v>Education</x:v>
      </x:c>
      <x:c r="E3994" s="13" t="str">
        <x:v>Education</x:v>
      </x:c>
      <x:c r="F3994" s="13" t="str">
        <x:v>Early Cyclicals</x:v>
      </x:c>
      <x:c r="G3994" s="13" t="str">
        <x:v>grid_asitui1y.xlsx</x:v>
      </x:c>
    </x:row>
    <x:row r="3995">
      <x:c r="A3995" s="15" t="n">
        <x:v>42095</x:v>
      </x:c>
      <x:c r="B3995" s="13" t="str">
        <x:v>B3 SA-BRASIL BOLSA BALCAO</x:v>
      </x:c>
      <x:c r="C3995" s="16" t="n">
        <x:v>1655.464606776</x:v>
      </x:c>
      <x:c r="D3995" s="13" t="str">
        <x:v>Financials Non-Banks</x:v>
      </x:c>
      <x:c r="E3995" s="13" t="str">
        <x:v>Financials Non-Banks</x:v>
      </x:c>
      <x:c r="F3995" s="13" t="str">
        <x:v>Financials</x:v>
      </x:c>
      <x:c r="G3995" s="13" t="str">
        <x:v>grid_asitui1y.xlsx</x:v>
      </x:c>
    </x:row>
    <x:row r="3996">
      <x:c r="A3996" s="15" t="n">
        <x:v>42095</x:v>
      </x:c>
      <x:c r="B3996" s="13" t="str">
        <x:v>BB SEGURIDADE PARTICIPACOES</x:v>
      </x:c>
      <x:c r="C3996" s="16" t="n">
        <x:v>4069.525789377</x:v>
      </x:c>
      <x:c r="D3996" s="13" t="str">
        <x:v>Financials Non-Banks</x:v>
      </x:c>
      <x:c r="E3996" s="13" t="str">
        <x:v>Financials Non-Banks</x:v>
      </x:c>
      <x:c r="F3996" s="13" t="str">
        <x:v>Financials</x:v>
      </x:c>
      <x:c r="G3996" s="13" t="str">
        <x:v>grid_asitui1y.xlsx</x:v>
      </x:c>
    </x:row>
    <x:row r="3997">
      <x:c r="A3997" s="15" t="n">
        <x:v>42095</x:v>
      </x:c>
      <x:c r="B3997" s="13" t="str">
        <x:v>CETIP SA-MERCADOS ORGANIZADO</x:v>
      </x:c>
      <x:c r="C3997" s="16" t="n">
        <x:v>553.8972677596</x:v>
      </x:c>
      <x:c r="D3997" s="13" t="str">
        <x:v>Financials Non-Banks</x:v>
      </x:c>
      <x:c r="E3997" s="13" t="str">
        <x:v>Financials Non-Banks</x:v>
      </x:c>
      <x:c r="F3997" s="13" t="str">
        <x:v>Financials</x:v>
      </x:c>
      <x:c r="G3997" s="13" t="str">
        <x:v>grid_asitui1y.xlsx</x:v>
      </x:c>
    </x:row>
    <x:row r="3998">
      <x:c r="A3998" s="15" t="n">
        <x:v>42095</x:v>
      </x:c>
      <x:c r="B3998" s="13" t="str">
        <x:v>CIELO SA - INSTITUICAO DE PA</x:v>
      </x:c>
      <x:c r="C3998" s="16" t="n">
        <x:v>3733.9738984918</x:v>
      </x:c>
      <x:c r="D3998" s="13" t="str">
        <x:v>Financials Non-Banks</x:v>
      </x:c>
      <x:c r="E3998" s="13" t="str">
        <x:v>Financials Non-Banks</x:v>
      </x:c>
      <x:c r="F3998" s="13" t="str">
        <x:v>Financials</x:v>
      </x:c>
      <x:c r="G3998" s="13" t="str">
        <x:v>grid_asitui1y.xlsx</x:v>
      </x:c>
    </x:row>
    <x:row r="3999">
      <x:c r="A3999" s="15" t="n">
        <x:v>42095</x:v>
      </x:c>
      <x:c r="B3999" s="13" t="str">
        <x:v>ITAUSA SA</x:v>
      </x:c>
      <x:c r="C3999" s="16" t="n">
        <x:v>8159.8472505355</x:v>
      </x:c>
      <x:c r="D3999" s="13" t="str">
        <x:v>Financials Non-Banks</x:v>
      </x:c>
      <x:c r="E3999" s="13" t="str">
        <x:v>Financials Non-Banks</x:v>
      </x:c>
      <x:c r="F3999" s="13" t="str">
        <x:v>Financials</x:v>
      </x:c>
      <x:c r="G3999" s="13" t="str">
        <x:v>grid_asitui1y.xlsx</x:v>
      </x:c>
    </x:row>
    <x:row r="4000">
      <x:c r="A4000" s="15" t="n">
        <x:v>42095</x:v>
      </x:c>
      <x:c r="B4000" s="13" t="str">
        <x:v>AMBEV SA</x:v>
      </x:c>
      <x:c r="C4000" s="16" t="n">
        <x:v>14074.7947925683</x:v>
      </x:c>
      <x:c r="D4000" s="13" t="str">
        <x:v>Food &amp; Beverages</x:v>
      </x:c>
      <x:c r="E4000" s="13" t="str">
        <x:v>Agri, Food &amp; Beverages</x:v>
      </x:c>
      <x:c r="F4000" s="13" t="str">
        <x:v>Defensives</x:v>
      </x:c>
      <x:c r="G4000" s="13" t="str">
        <x:v>grid_asitui1y.xlsx</x:v>
      </x:c>
    </x:row>
    <x:row r="4001">
      <x:c r="A4001" s="15" t="n">
        <x:v>42095</x:v>
      </x:c>
      <x:c r="B4001" s="13" t="str">
        <x:v>BRF SA</x:v>
      </x:c>
      <x:c r="C4001" s="16" t="n">
        <x:v>2865.7438293333</x:v>
      </x:c>
      <x:c r="D4001" s="13" t="str">
        <x:v>Food &amp; Beverages</x:v>
      </x:c>
      <x:c r="E4001" s="13" t="str">
        <x:v>Agri, Food &amp; Beverages</x:v>
      </x:c>
      <x:c r="F4001" s="13" t="str">
        <x:v>Defensives</x:v>
      </x:c>
      <x:c r="G4001" s="13" t="str">
        <x:v>grid_asitui1y.xlsx</x:v>
      </x:c>
    </x:row>
    <x:row r="4002">
      <x:c r="A4002" s="15" t="n">
        <x:v>42095</x:v>
      </x:c>
      <x:c r="B4002" s="13" t="str">
        <x:v>MBRF GLOBAL FOODS COMPANY SA</x:v>
      </x:c>
      <x:c r="C4002" s="16" t="n">
        <x:v>-109.7570982732</x:v>
      </x:c>
      <x:c r="D4002" s="13" t="str">
        <x:v>Food &amp; Beverages</x:v>
      </x:c>
      <x:c r="E4002" s="13" t="str">
        <x:v>Agri, Food &amp; Beverages</x:v>
      </x:c>
      <x:c r="F4002" s="13" t="str">
        <x:v>Defensives</x:v>
      </x:c>
      <x:c r="G4002" s="13" t="str">
        <x:v>grid_asitui1y.xlsx</x:v>
      </x:c>
    </x:row>
    <x:row r="4003">
      <x:c r="A4003" s="15" t="n">
        <x:v>42095</x:v>
      </x:c>
      <x:c r="B4003" s="13" t="str">
        <x:v>SOUZA CRUZ LTDA</x:v>
      </x:c>
      <x:c r="C4003" s="16" t="n">
        <x:v>1805.8280442404</x:v>
      </x:c>
      <x:c r="D4003" s="13" t="str">
        <x:v>Food &amp; Beverages</x:v>
      </x:c>
      <x:c r="E4003" s="13" t="str">
        <x:v>Agri, Food &amp; Beverages</x:v>
      </x:c>
      <x:c r="F4003" s="13" t="str">
        <x:v>Defensives</x:v>
      </x:c>
      <x:c r="G4003" s="13" t="str">
        <x:v>grid_asitui1y.xlsx</x:v>
      </x:c>
    </x:row>
    <x:row r="4004">
      <x:c r="A4004" s="15" t="n">
        <x:v>42095</x:v>
      </x:c>
      <x:c r="B4004" s="13" t="str">
        <x:v>HYPERA SA</x:v>
      </x:c>
      <x:c r="C4004" s="16" t="n">
        <x:v>570.5546476066</x:v>
      </x:c>
      <x:c r="D4004" s="13" t="str">
        <x:v>Health Care</x:v>
      </x:c>
      <x:c r="E4004" s="13" t="str">
        <x:v>Health Care</x:v>
      </x:c>
      <x:c r="F4004" s="13" t="str">
        <x:v>Defensives</x:v>
      </x:c>
      <x:c r="G4004" s="13" t="str">
        <x:v>grid_asitui1y.xlsx</x:v>
      </x:c>
    </x:row>
    <x:row r="4005">
      <x:c r="A4005" s="15" t="n">
        <x:v>42095</x:v>
      </x:c>
      <x:c r="B4005" s="13" t="str">
        <x:v>QUALICORP CONS E CORR SEG SA</x:v>
      </x:c>
      <x:c r="C4005" s="16" t="n">
        <x:v>382.8954374645</x:v>
      </x:c>
      <x:c r="D4005" s="13" t="str">
        <x:v>Health Care</x:v>
      </x:c>
      <x:c r="E4005" s="13" t="str">
        <x:v>Health Care</x:v>
      </x:c>
      <x:c r="F4005" s="13" t="str">
        <x:v>Defensives</x:v>
      </x:c>
      <x:c r="G4005" s="13" t="str">
        <x:v>grid_asitui1y.xlsx</x:v>
      </x:c>
    </x:row>
    <x:row r="4006">
      <x:c r="A4006" s="15" t="n">
        <x:v>42095</x:v>
      </x:c>
      <x:c r="B4006" s="13" t="str">
        <x:v>CYRELA BRAZIL REALTY SA EMP</x:v>
      </x:c>
      <x:c r="C4006" s="16" t="n">
        <x:v>693.5621691803</x:v>
      </x:c>
      <x:c r="D4006" s="13" t="str">
        <x:v>Homebuilders</x:v>
      </x:c>
      <x:c r="E4006" s="13" t="str">
        <x:v>Real Estate</x:v>
      </x:c>
      <x:c r="F4006" s="13" t="str">
        <x:v>Early Cyclicals</x:v>
      </x:c>
      <x:c r="G4006" s="13" t="str">
        <x:v>grid_asitui1y.xlsx</x:v>
      </x:c>
    </x:row>
    <x:row r="4007">
      <x:c r="A4007" s="15" t="n">
        <x:v>42095</x:v>
      </x:c>
      <x:c r="B4007" s="13" t="str">
        <x:v>EVEN CONSTRUTORA E INCORPORA</x:v>
      </x:c>
      <x:c r="C4007" s="16" t="n">
        <x:v>263.2165765246</x:v>
      </x:c>
      <x:c r="D4007" s="13" t="str">
        <x:v>Homebuilders</x:v>
      </x:c>
      <x:c r="E4007" s="13" t="str">
        <x:v>Real Estate</x:v>
      </x:c>
      <x:c r="F4007" s="13" t="str">
        <x:v>Early Cyclicals</x:v>
      </x:c>
      <x:c r="G4007" s="13" t="str">
        <x:v>grid_asitui1y.xlsx</x:v>
      </x:c>
    </x:row>
    <x:row r="4008">
      <x:c r="A4008" s="15" t="n">
        <x:v>42095</x:v>
      </x:c>
      <x:c r="B4008" s="13" t="str">
        <x:v>GAFISA SA</x:v>
      </x:c>
      <x:c r="C4008" s="16" t="n">
        <x:v>23.6760372951</x:v>
      </x:c>
      <x:c r="D4008" s="13" t="str">
        <x:v>Homebuilders</x:v>
      </x:c>
      <x:c r="E4008" s="13" t="str">
        <x:v>Real Estate</x:v>
      </x:c>
      <x:c r="F4008" s="13" t="str">
        <x:v>Early Cyclicals</x:v>
      </x:c>
      <x:c r="G4008" s="13" t="str">
        <x:v>grid_asitui1y.xlsx</x:v>
      </x:c>
    </x:row>
    <x:row r="4009">
      <x:c r="A4009" s="15" t="n">
        <x:v>42095</x:v>
      </x:c>
      <x:c r="B4009" s="13" t="str">
        <x:v>MRV ENGENHARIA</x:v>
      </x:c>
      <x:c r="C4009" s="16" t="n">
        <x:v>536.2178117596</x:v>
      </x:c>
      <x:c r="D4009" s="13" t="str">
        <x:v>Homebuilders</x:v>
      </x:c>
      <x:c r="E4009" s="13" t="str">
        <x:v>Real Estate</x:v>
      </x:c>
      <x:c r="F4009" s="13" t="str">
        <x:v>Early Cyclicals</x:v>
      </x:c>
      <x:c r="G4009" s="13" t="str">
        <x:v>grid_asitui1y.xlsx</x:v>
      </x:c>
    </x:row>
    <x:row r="4010">
      <x:c r="A4010" s="15" t="n">
        <x:v>42095</x:v>
      </x:c>
      <x:c r="B4010" s="13" t="str">
        <x:v>PDG REALTY SA</x:v>
      </x:c>
      <x:c r="C4010" s="16" t="n">
        <x:v>-243.2820135519</x:v>
      </x:c>
      <x:c r="D4010" s="13" t="str">
        <x:v>Homebuilders</x:v>
      </x:c>
      <x:c r="E4010" s="13" t="str">
        <x:v>Real Estate</x:v>
      </x:c>
      <x:c r="F4010" s="13" t="str">
        <x:v>Early Cyclicals</x:v>
      </x:c>
      <x:c r="G4010" s="13" t="str">
        <x:v>grid_asitui1y.xlsx</x:v>
      </x:c>
    </x:row>
    <x:row r="4011">
      <x:c r="A4011" s="15" t="n">
        <x:v>42095</x:v>
      </x:c>
      <x:c r="B4011" s="13" t="str">
        <x:v>BR MALLS PARTICIPACOES SA</x:v>
      </x:c>
      <x:c r="C4011" s="16" t="n">
        <x:v>482.6158879126</x:v>
      </x:c>
      <x:c r="D4011" s="13" t="str">
        <x:v>Income Properties</x:v>
      </x:c>
      <x:c r="E4011" s="13" t="str">
        <x:v>Real Estate</x:v>
      </x:c>
      <x:c r="F4011" s="13" t="str">
        <x:v>Early Cyclicals</x:v>
      </x:c>
      <x:c r="G4011" s="13" t="str">
        <x:v>grid_asitui1y.xlsx</x:v>
      </x:c>
    </x:row>
    <x:row r="4012">
      <x:c r="A4012" s="15" t="n">
        <x:v>42095</x:v>
      </x:c>
      <x:c r="B4012" s="13" t="str">
        <x:v>MULTIPLAN EMPREENDIMENTOS</x:v>
      </x:c>
      <x:c r="C4012" s="16" t="n">
        <x:v>407.4195847869</x:v>
      </x:c>
      <x:c r="D4012" s="13" t="str">
        <x:v>Income Properties</x:v>
      </x:c>
      <x:c r="E4012" s="13" t="str">
        <x:v>Real Estate</x:v>
      </x:c>
      <x:c r="F4012" s="13" t="str">
        <x:v>Early Cyclicals</x:v>
      </x:c>
      <x:c r="G4012" s="13" t="str">
        <x:v>grid_asitui1y.xlsx</x:v>
      </x:c>
    </x:row>
    <x:row r="4013">
      <x:c r="A4013" s="15" t="n">
        <x:v>42095</x:v>
      </x:c>
      <x:c r="B4013" s="13" t="str">
        <x:v>SOLID ATIVOS IMOBILIARIOS SA</x:v>
      </x:c>
      <x:c r="C4013" s="16" t="n">
        <x:v>192.7736558251</x:v>
      </x:c>
      <x:c r="D4013" s="13" t="str">
        <x:v>Income Properties</x:v>
      </x:c>
      <x:c r="E4013" s="13" t="str">
        <x:v>Real Estate</x:v>
      </x:c>
      <x:c r="F4013" s="13" t="str">
        <x:v>Early Cyclicals</x:v>
      </x:c>
      <x:c r="G4013" s="13" t="str">
        <x:v>grid_asitui1y.xlsx</x:v>
      </x:c>
    </x:row>
    <x:row r="4014">
      <x:c r="A4014" s="15" t="n">
        <x:v>42095</x:v>
      </x:c>
      <x:c r="B4014" s="13" t="str">
        <x:v>BRADESPAR SA -PREF</x:v>
      </x:c>
      <x:c r="C4014" s="16" t="n">
        <x:v>-823.2485910383</x:v>
      </x:c>
      <x:c r="D4014" s="13" t="str">
        <x:v>Metals &amp; Mining</x:v>
      </x:c>
      <x:c r="E4014" s="13" t="str">
        <x:v>Metals &amp; Mining</x:v>
      </x:c>
      <x:c r="F4014" s="13" t="str">
        <x:v>Deep Cyclicals</x:v>
      </x:c>
      <x:c r="G4014" s="13" t="str">
        <x:v>grid_asitui1y.xlsx</x:v>
      </x:c>
    </x:row>
    <x:row r="4015">
      <x:c r="A4015" s="15" t="n">
        <x:v>42095</x:v>
      </x:c>
      <x:c r="B4015" s="13" t="str">
        <x:v>CIA SIDERURGICA NACIONAL SA</x:v>
      </x:c>
      <x:c r="C4015" s="16" t="n">
        <x:v>-378.3639411475</x:v>
      </x:c>
      <x:c r="D4015" s="13" t="str">
        <x:v>Metals &amp; Mining</x:v>
      </x:c>
      <x:c r="E4015" s="13" t="str">
        <x:v>Metals &amp; Mining</x:v>
      </x:c>
      <x:c r="F4015" s="13" t="str">
        <x:v>Deep Cyclicals</x:v>
      </x:c>
      <x:c r="G4015" s="13" t="str">
        <x:v>grid_asitui1y.xlsx</x:v>
      </x:c>
    </x:row>
    <x:row r="4016">
      <x:c r="A4016" s="15" t="n">
        <x:v>42095</x:v>
      </x:c>
      <x:c r="B4016" s="13" t="str">
        <x:v>GERDAU SA-PREF</x:v>
      </x:c>
      <x:c r="C4016" s="16" t="n">
        <x:v>931.8899885464</x:v>
      </x:c>
      <x:c r="D4016" s="13" t="str">
        <x:v>Metals &amp; Mining</x:v>
      </x:c>
      <x:c r="E4016" s="13" t="str">
        <x:v>Metals &amp; Mining</x:v>
      </x:c>
      <x:c r="F4016" s="13" t="str">
        <x:v>Deep Cyclicals</x:v>
      </x:c>
      <x:c r="G4016" s="13" t="str">
        <x:v>grid_asitui1y.xlsx</x:v>
      </x:c>
    </x:row>
    <x:row r="4017">
      <x:c r="A4017" s="15" t="n">
        <x:v>42095</x:v>
      </x:c>
      <x:c r="B4017" s="13" t="str">
        <x:v>USINAS SIDER MINAS GER-PF A</x:v>
      </x:c>
      <x:c r="C4017" s="16" t="n">
        <x:v>-284.4111968306</x:v>
      </x:c>
      <x:c r="D4017" s="13" t="str">
        <x:v>Metals &amp; Mining</x:v>
      </x:c>
      <x:c r="E4017" s="13" t="str">
        <x:v>Metals &amp; Mining</x:v>
      </x:c>
      <x:c r="F4017" s="13" t="str">
        <x:v>Deep Cyclicals</x:v>
      </x:c>
      <x:c r="G4017" s="13" t="str">
        <x:v>grid_asitui1y.xlsx</x:v>
      </x:c>
    </x:row>
    <x:row r="4018">
      <x:c r="A4018" s="15" t="n">
        <x:v>42095</x:v>
      </x:c>
      <x:c r="B4018" s="13" t="str">
        <x:v>VALE SA</x:v>
      </x:c>
      <x:c r="C4018" s="16" t="n">
        <x:v>-407.3242110601</x:v>
      </x:c>
      <x:c r="D4018" s="13" t="str">
        <x:v>Metals &amp; Mining</x:v>
      </x:c>
      <x:c r="E4018" s="13" t="str">
        <x:v>Metals &amp; Mining</x:v>
      </x:c>
      <x:c r="F4018" s="13" t="str">
        <x:v>Deep Cyclicals</x:v>
      </x:c>
      <x:c r="G4018" s="13" t="str">
        <x:v>grid_asitui1y.xlsx</x:v>
      </x:c>
    </x:row>
    <x:row r="4019">
      <x:c r="A4019" s="15" t="n">
        <x:v>42095</x:v>
      </x:c>
      <x:c r="B4019" s="13" t="str">
        <x:v>BRASKEM SA-PREF A</x:v>
      </x:c>
      <x:c r="C4019" s="16" t="n">
        <x:v>1239.5165467978</x:v>
      </x:c>
      <x:c r="D4019" s="13" t="str">
        <x:v>Oil, Gas &amp; Petrochemicals</x:v>
      </x:c>
      <x:c r="E4019" s="13" t="str">
        <x:v>Oil, Gas &amp; Petrochemicals</x:v>
      </x:c>
      <x:c r="F4019" s="13" t="str">
        <x:v>Deep Cyclicals</x:v>
      </x:c>
      <x:c r="G4019" s="13" t="str">
        <x:v>grid_asitui1y.xlsx</x:v>
      </x:c>
    </x:row>
    <x:row r="4020">
      <x:c r="A4020" s="15" t="n">
        <x:v>42095</x:v>
      </x:c>
      <x:c r="B4020" s="13" t="str">
        <x:v>COSAN SA</x:v>
      </x:c>
      <x:c r="C4020" s="16" t="n">
        <x:v>854.7714456831</x:v>
      </x:c>
      <x:c r="D4020" s="13" t="str">
        <x:v>Oil, Gas &amp; Petrochemicals</x:v>
      </x:c>
      <x:c r="E4020" s="13" t="str">
        <x:v>Oil, Gas &amp; Petrochemicals</x:v>
      </x:c>
      <x:c r="F4020" s="13" t="str">
        <x:v>Deep Cyclicals</x:v>
      </x:c>
      <x:c r="G4020" s="13" t="str">
        <x:v>grid_asitui1y.xlsx</x:v>
      </x:c>
    </x:row>
    <x:row r="4021">
      <x:c r="A4021" s="15" t="n">
        <x:v>42095</x:v>
      </x:c>
      <x:c r="B4021" s="13" t="str">
        <x:v>PETROBRAS - PETROLEO BRAS</x:v>
      </x:c>
      <x:c r="C4021" s="16" t="n">
        <x:v>15999.5204770273</x:v>
      </x:c>
      <x:c r="D4021" s="13" t="str">
        <x:v>Oil, Gas &amp; Petrochemicals</x:v>
      </x:c>
      <x:c r="E4021" s="13" t="str">
        <x:v>Oil, Gas &amp; Petrochemicals</x:v>
      </x:c>
      <x:c r="F4021" s="13" t="str">
        <x:v>Deep Cyclicals</x:v>
      </x:c>
      <x:c r="G4021" s="13" t="str">
        <x:v>grid_asitui1y.xlsx</x:v>
      </x:c>
    </x:row>
    <x:row r="4022">
      <x:c r="A4022" s="15" t="n">
        <x:v>42095</x:v>
      </x:c>
      <x:c r="B4022" s="13" t="str">
        <x:v>ULTRAPAR PARTICIPACOES SA</x:v>
      </x:c>
      <x:c r="C4022" s="16" t="n">
        <x:v>1528.8359770929</x:v>
      </x:c>
      <x:c r="D4022" s="13" t="str">
        <x:v>Oil, Gas &amp; Petrochemicals</x:v>
      </x:c>
      <x:c r="E4022" s="13" t="str">
        <x:v>Oil, Gas &amp; Petrochemicals</x:v>
      </x:c>
      <x:c r="F4022" s="13" t="str">
        <x:v>Deep Cyclicals</x:v>
      </x:c>
      <x:c r="G4022" s="13" t="str">
        <x:v>grid_asitui1y.xlsx</x:v>
      </x:c>
    </x:row>
    <x:row r="4023">
      <x:c r="A4023" s="15" t="n">
        <x:v>42095</x:v>
      </x:c>
      <x:c r="B4023" s="13" t="str">
        <x:v>DEXCO SA</x:v>
      </x:c>
      <x:c r="C4023" s="16" t="n">
        <x:v>397.1837951475</x:v>
      </x:c>
      <x:c r="D4023" s="13" t="str">
        <x:v>Pulp &amp; Paper</x:v>
      </x:c>
      <x:c r="E4023" s="13" t="str">
        <x:v>Pulp &amp; Paper</x:v>
      </x:c>
      <x:c r="F4023" s="13" t="str">
        <x:v>Deep Cyclicals</x:v>
      </x:c>
      <x:c r="G4023" s="13" t="str">
        <x:v>grid_asitui1y.xlsx</x:v>
      </x:c>
    </x:row>
    <x:row r="4024">
      <x:c r="A4024" s="15" t="n">
        <x:v>42095</x:v>
      </x:c>
      <x:c r="B4024" s="13" t="str">
        <x:v>FIBRIA CELULOSE S/A</x:v>
      </x:c>
      <x:c r="C4024" s="16" t="n">
        <x:v>569.0630274973</x:v>
      </x:c>
      <x:c r="D4024" s="13" t="str">
        <x:v>Pulp &amp; Paper</x:v>
      </x:c>
      <x:c r="E4024" s="13" t="str">
        <x:v>Pulp &amp; Paper</x:v>
      </x:c>
      <x:c r="F4024" s="13" t="str">
        <x:v>Deep Cyclicals</x:v>
      </x:c>
      <x:c r="G4024" s="13" t="str">
        <x:v>grid_asitui1y.xlsx</x:v>
      </x:c>
    </x:row>
    <x:row r="4025">
      <x:c r="A4025" s="15" t="n">
        <x:v>42095</x:v>
      </x:c>
      <x:c r="B4025" s="13" t="str">
        <x:v>KLABIN SA - UNIT</x:v>
      </x:c>
      <x:c r="C4025" s="16" t="n">
        <x:v>0.6369641967</x:v>
      </x:c>
      <x:c r="D4025" s="13" t="str">
        <x:v>Pulp &amp; Paper</x:v>
      </x:c>
      <x:c r="E4025" s="13" t="str">
        <x:v>Pulp &amp; Paper</x:v>
      </x:c>
      <x:c r="F4025" s="13" t="str">
        <x:v>Deep Cyclicals</x:v>
      </x:c>
      <x:c r="G4025" s="13" t="str">
        <x:v>grid_asitui1y.xlsx</x:v>
      </x:c>
    </x:row>
    <x:row r="4026">
      <x:c r="A4026" s="15" t="n">
        <x:v>42095</x:v>
      </x:c>
      <x:c r="B4026" s="13" t="str">
        <x:v>SUZANO PAPEL E CELULO-PREF A</x:v>
      </x:c>
      <x:c r="C4026" s="16" t="n">
        <x:v>775.4233218798</x:v>
      </x:c>
      <x:c r="D4026" s="13" t="str">
        <x:v>Pulp &amp; Paper</x:v>
      </x:c>
      <x:c r="E4026" s="13" t="str">
        <x:v>Pulp &amp; Paper</x:v>
      </x:c>
      <x:c r="F4026" s="13" t="str">
        <x:v>Deep Cyclicals</x:v>
      </x:c>
      <x:c r="G4026" s="13" t="str">
        <x:v>grid_asitui1y.xlsx</x:v>
      </x:c>
    </x:row>
    <x:row r="4027">
      <x:c r="A4027" s="15" t="n">
        <x:v>42095</x:v>
      </x:c>
      <x:c r="B4027" s="13" t="str">
        <x:v>CIA BRASILEIRA DE DIS-PREF</x:v>
      </x:c>
      <x:c r="C4027" s="16" t="n">
        <x:v>1749.9912501858</x:v>
      </x:c>
      <x:c r="D4027" s="13" t="str">
        <x:v>Retail</x:v>
      </x:c>
      <x:c r="E4027" s="13" t="str">
        <x:v>Retail</x:v>
      </x:c>
      <x:c r="F4027" s="13" t="str">
        <x:v>Early Cyclicals</x:v>
      </x:c>
      <x:c r="G4027" s="13" t="str">
        <x:v>grid_asitui1y.xlsx</x:v>
      </x:c>
    </x:row>
    <x:row r="4028">
      <x:c r="A4028" s="15" t="n">
        <x:v>42095</x:v>
      </x:c>
      <x:c r="B4028" s="13" t="str">
        <x:v>CIA HERING</x:v>
      </x:c>
      <x:c r="C4028" s="16" t="n">
        <x:v>328.4579015519</x:v>
      </x:c>
      <x:c r="D4028" s="13" t="str">
        <x:v>Retail</x:v>
      </x:c>
      <x:c r="E4028" s="13" t="str">
        <x:v>Retail</x:v>
      </x:c>
      <x:c r="F4028" s="13" t="str">
        <x:v>Early Cyclicals</x:v>
      </x:c>
      <x:c r="G4028" s="13" t="str">
        <x:v>grid_asitui1y.xlsx</x:v>
      </x:c>
    </x:row>
    <x:row r="4029">
      <x:c r="A4029" s="15" t="n">
        <x:v>42095</x:v>
      </x:c>
      <x:c r="B4029" s="13" t="str">
        <x:v>LOJAS AMERICANAS SA-PREF</x:v>
      </x:c>
      <x:c r="C4029" s="16" t="n">
        <x:v>646.1236146011</x:v>
      </x:c>
      <x:c r="D4029" s="13" t="str">
        <x:v>Retail</x:v>
      </x:c>
      <x:c r="E4029" s="13" t="str">
        <x:v>Retail</x:v>
      </x:c>
      <x:c r="F4029" s="13" t="str">
        <x:v>Early Cyclicals</x:v>
      </x:c>
      <x:c r="G4029" s="13" t="str">
        <x:v>grid_asitui1y.xlsx</x:v>
      </x:c>
    </x:row>
    <x:row r="4030">
      <x:c r="A4030" s="15" t="n">
        <x:v>42095</x:v>
      </x:c>
      <x:c r="B4030" s="13" t="str">
        <x:v>LOJAS RENNER S.A.</x:v>
      </x:c>
      <x:c r="C4030" s="16" t="n">
        <x:v>606.547983388</x:v>
      </x:c>
      <x:c r="D4030" s="13" t="str">
        <x:v>Retail</x:v>
      </x:c>
      <x:c r="E4030" s="13" t="str">
        <x:v>Retail</x:v>
      </x:c>
      <x:c r="F4030" s="13" t="str">
        <x:v>Early Cyclicals</x:v>
      </x:c>
      <x:c r="G4030" s="13" t="str">
        <x:v>grid_asitui1y.xlsx</x:v>
      </x:c>
    </x:row>
    <x:row r="4031">
      <x:c r="A4031" s="15" t="n">
        <x:v>42095</x:v>
      </x:c>
      <x:c r="B4031" s="13" t="str">
        <x:v>NATURA COSMETICOS SA</x:v>
      </x:c>
      <x:c r="C4031" s="16" t="n">
        <x:v>786.7491259454</x:v>
      </x:c>
      <x:c r="D4031" s="13" t="str">
        <x:v>Retail</x:v>
      </x:c>
      <x:c r="E4031" s="13" t="str">
        <x:v>Retail</x:v>
      </x:c>
      <x:c r="F4031" s="13" t="str">
        <x:v>Early Cyclicals</x:v>
      </x:c>
      <x:c r="G4031" s="13" t="str">
        <x:v>grid_asitui1y.xlsx</x:v>
      </x:c>
    </x:row>
    <x:row r="4032">
      <x:c r="A4032" s="15" t="n">
        <x:v>42095</x:v>
      </x:c>
      <x:c r="B4032" s="13" t="str">
        <x:v>CIA SANEAMENTO BASICO DE SP</x:v>
      </x:c>
      <x:c r="C4032" s="16" t="n">
        <x:v>1013.5367312787</x:v>
      </x:c>
      <x:c r="D4032" s="13" t="str">
        <x:v>Sanitation</x:v>
      </x:c>
      <x:c r="E4032" s="13" t="str">
        <x:v>Utilities</x:v>
      </x:c>
      <x:c r="F4032" s="13" t="str">
        <x:v>Defensives</x:v>
      </x:c>
      <x:c r="G4032" s="13" t="str">
        <x:v>grid_asitui1y.xlsx</x:v>
      </x:c>
    </x:row>
    <x:row r="4033">
      <x:c r="A4033" s="15" t="n">
        <x:v>42095</x:v>
      </x:c>
      <x:c r="B4033" s="13" t="str">
        <x:v>OI SA-PREFERENCE</x:v>
      </x:c>
      <x:c r="C4033" s="16" t="n">
        <x:v>-1271.5815468415</x:v>
      </x:c>
      <x:c r="D4033" s="13" t="str">
        <x:v>TMT</x:v>
      </x:c>
      <x:c r="E4033" s="13" t="str">
        <x:v>TMT</x:v>
      </x:c>
      <x:c r="F4033" s="13" t="str">
        <x:v>Early Cyclicals</x:v>
      </x:c>
      <x:c r="G4033" s="13" t="str">
        <x:v>grid_asitui1y.xlsx</x:v>
      </x:c>
    </x:row>
    <x:row r="4034">
      <x:c r="A4034" s="15" t="n">
        <x:v>42095</x:v>
      </x:c>
      <x:c r="B4034" s="13" t="str">
        <x:v>TELEFONICA BRASIL S.A.-PREF</x:v>
      </x:c>
      <x:c r="C4034" s="16" t="n">
        <x:v>4399.4358935082</x:v>
      </x:c>
      <x:c r="D4034" s="13" t="str">
        <x:v>TMT</x:v>
      </x:c>
      <x:c r="E4034" s="13" t="str">
        <x:v>TMT</x:v>
      </x:c>
      <x:c r="F4034" s="13" t="str">
        <x:v>Early Cyclicals</x:v>
      </x:c>
      <x:c r="G4034" s="13" t="str">
        <x:v>grid_asitui1y.xlsx</x:v>
      </x:c>
    </x:row>
    <x:row r="4035">
      <x:c r="A4035" s="15" t="n">
        <x:v>42095</x:v>
      </x:c>
      <x:c r="B4035" s="13" t="str">
        <x:v>TIM SA</x:v>
      </x:c>
      <x:c r="C4035" s="16" t="n">
        <x:v>1597.1021803716</x:v>
      </x:c>
      <x:c r="D4035" s="13" t="str">
        <x:v>TMT</x:v>
      </x:c>
      <x:c r="E4035" s="13" t="str">
        <x:v>TMT</x:v>
      </x:c>
      <x:c r="F4035" s="13" t="str">
        <x:v>Early Cyclicals</x:v>
      </x:c>
      <x:c r="G4035" s="13" t="str">
        <x:v>grid_asitui1y.xlsx</x:v>
      </x:c>
    </x:row>
    <x:row r="4036">
      <x:c r="A4036" s="15" t="n">
        <x:v>42095</x:v>
      </x:c>
      <x:c r="B4036" s="13" t="str">
        <x:v>ECORODOVIAS INFRA E LOG SA</x:v>
      </x:c>
      <x:c r="C4036" s="16" t="n">
        <x:v>352.4479015519</x:v>
      </x:c>
      <x:c r="D4036" s="13" t="str">
        <x:v>Transportation</x:v>
      </x:c>
      <x:c r="E4036" s="13" t="str">
        <x:v>Transportation</x:v>
      </x:c>
      <x:c r="F4036" s="13" t="str">
        <x:v>Deep Cyclicals</x:v>
      </x:c>
      <x:c r="G4036" s="13" t="str">
        <x:v>grid_asitui1y.xlsx</x:v>
      </x:c>
    </x:row>
    <x:row r="4037">
      <x:c r="A4037" s="15" t="n">
        <x:v>42095</x:v>
      </x:c>
      <x:c r="B4037" s="13" t="str">
        <x:v>GOL LINHAS AEREAS INT SA-PRE</x:v>
      </x:c>
      <x:c r="C4037" s="16" t="n">
        <x:v>-684.6055111694</x:v>
      </x:c>
      <x:c r="D4037" s="13" t="str">
        <x:v>Transportation</x:v>
      </x:c>
      <x:c r="E4037" s="13" t="str">
        <x:v>Transportation</x:v>
      </x:c>
      <x:c r="F4037" s="13" t="str">
        <x:v>Deep Cyclicals</x:v>
      </x:c>
      <x:c r="G4037" s="13" t="str">
        <x:v>grid_asitui1y.xlsx</x:v>
      </x:c>
    </x:row>
    <x:row r="4038">
      <x:c r="A4038" s="15" t="n">
        <x:v>42095</x:v>
      </x:c>
      <x:c r="B4038" s="13" t="str">
        <x:v>LOCALIZA RENT A CAR</x:v>
      </x:c>
      <x:c r="C4038" s="16" t="n">
        <x:v>433.1714945574</x:v>
      </x:c>
      <x:c r="D4038" s="13" t="str">
        <x:v>Transportation</x:v>
      </x:c>
      <x:c r="E4038" s="13" t="str">
        <x:v>Transportation</x:v>
      </x:c>
      <x:c r="F4038" s="13" t="str">
        <x:v>Deep Cyclicals</x:v>
      </x:c>
      <x:c r="G4038" s="13" t="str">
        <x:v>grid_asitui1y.xlsx</x:v>
      </x:c>
    </x:row>
    <x:row r="4039">
      <x:c r="A4039" s="15" t="n">
        <x:v>42095</x:v>
      </x:c>
      <x:c r="B4039" s="13" t="str">
        <x:v>MOTIVA INFRAESTRUTURA DE MOB</x:v>
      </x:c>
      <x:c r="C4039" s="16" t="n">
        <x:v>1405.8826782077</x:v>
      </x:c>
      <x:c r="D4039" s="13" t="str">
        <x:v>Transportation</x:v>
      </x:c>
      <x:c r="E4039" s="13" t="str">
        <x:v>Transportation</x:v>
      </x:c>
      <x:c r="F4039" s="13" t="str">
        <x:v>Deep Cyclicals</x:v>
      </x:c>
      <x:c r="G4039" s="13" t="str">
        <x:v>grid_asitui1y.xlsx</x:v>
      </x:c>
    </x:row>
    <x:row r="4040">
      <x:c r="A4040" s="15" t="n">
        <x:v>42095</x:v>
      </x:c>
      <x:c r="B4040" s="13" t="str">
        <x:v>AXIA ENERGIA SA</x:v>
      </x:c>
      <x:c r="C4040" s="16" t="n">
        <x:v>-101.5853929617</x:v>
      </x:c>
      <x:c r="D4040" s="13" t="str">
        <x:v>Utilities &amp; Energy</x:v>
      </x:c>
      <x:c r="E4040" s="13" t="str">
        <x:v>Utilities</x:v>
      </x:c>
      <x:c r="F4040" s="13" t="str">
        <x:v>Defensives</x:v>
      </x:c>
      <x:c r="G4040" s="13" t="str">
        <x:v>grid_asitui1y.xlsx</x:v>
      </x:c>
    </x:row>
    <x:row r="4041">
      <x:c r="A4041" s="15" t="n">
        <x:v>42095</x:v>
      </x:c>
      <x:c r="B4041" s="13" t="str">
        <x:v>AXIA ENERGIA-PR B</x:v>
      </x:c>
      <x:c r="C4041" s="16" t="n">
        <x:v>-101.5853929617</x:v>
      </x:c>
      <x:c r="D4041" s="13" t="str">
        <x:v>Utilities &amp; Energy</x:v>
      </x:c>
      <x:c r="E4041" s="13" t="str">
        <x:v>Utilities</x:v>
      </x:c>
      <x:c r="F4041" s="13" t="str">
        <x:v>Defensives</x:v>
      </x:c>
      <x:c r="G4041" s="13" t="str">
        <x:v>grid_asitui1y.xlsx</x:v>
      </x:c>
    </x:row>
    <x:row r="4042">
      <x:c r="A4042" s="15" t="n">
        <x:v>42095</x:v>
      </x:c>
      <x:c r="B4042" s="13" t="str">
        <x:v>CESP - CIA ENERGETICA DE SAO</x:v>
      </x:c>
      <x:c r="C4042" s="16" t="n">
        <x:v>664.0306831913</x:v>
      </x:c>
      <x:c r="D4042" s="13" t="str">
        <x:v>Utilities &amp; Energy</x:v>
      </x:c>
      <x:c r="E4042" s="13" t="str">
        <x:v>Utilities</x:v>
      </x:c>
      <x:c r="F4042" s="13" t="str">
        <x:v>Defensives</x:v>
      </x:c>
      <x:c r="G4042" s="13" t="str">
        <x:v>grid_asitui1y.xlsx</x:v>
      </x:c>
    </x:row>
    <x:row r="4043">
      <x:c r="A4043" s="15" t="n">
        <x:v>42095</x:v>
      </x:c>
      <x:c r="B4043" s="13" t="str">
        <x:v>CIA ENERGETICA MINAS GER-PRF</x:v>
      </x:c>
      <x:c r="C4043" s="16" t="n">
        <x:v>1948.9357751257</x:v>
      </x:c>
      <x:c r="D4043" s="13" t="str">
        <x:v>Utilities &amp; Energy</x:v>
      </x:c>
      <x:c r="E4043" s="13" t="str">
        <x:v>Utilities</x:v>
      </x:c>
      <x:c r="F4043" s="13" t="str">
        <x:v>Defensives</x:v>
      </x:c>
      <x:c r="G4043" s="13" t="str">
        <x:v>grid_asitui1y.xlsx</x:v>
      </x:c>
    </x:row>
    <x:row r="4044">
      <x:c r="A4044" s="15" t="n">
        <x:v>42095</x:v>
      </x:c>
      <x:c r="B4044" s="13" t="str">
        <x:v>COMPANHIA PARANAENSE -PREF B</x:v>
      </x:c>
      <x:c r="C4044" s="16" t="n">
        <x:v>1051.3415034754</x:v>
      </x:c>
      <x:c r="D4044" s="13" t="str">
        <x:v>Utilities &amp; Energy</x:v>
      </x:c>
      <x:c r="E4044" s="13" t="str">
        <x:v>Utilities</x:v>
      </x:c>
      <x:c r="F4044" s="13" t="str">
        <x:v>Defensives</x:v>
      </x:c>
      <x:c r="G4044" s="13" t="str">
        <x:v>grid_asitui1y.xlsx</x:v>
      </x:c>
    </x:row>
    <x:row r="4045">
      <x:c r="A4045" s="15" t="n">
        <x:v>42095</x:v>
      </x:c>
      <x:c r="B4045" s="13" t="str">
        <x:v>CPFL ENERGIA SA</x:v>
      </x:c>
      <x:c r="C4045" s="16" t="n">
        <x:v>1229.4703870601</x:v>
      </x:c>
      <x:c r="D4045" s="13" t="str">
        <x:v>Utilities &amp; Energy</x:v>
      </x:c>
      <x:c r="E4045" s="13" t="str">
        <x:v>Utilities</x:v>
      </x:c>
      <x:c r="F4045" s="13" t="str">
        <x:v>Defensives</x:v>
      </x:c>
      <x:c r="G4045" s="13" t="str">
        <x:v>grid_asitui1y.xlsx</x:v>
      </x:c>
    </x:row>
    <x:row r="4046">
      <x:c r="A4046" s="15" t="n">
        <x:v>42095</x:v>
      </x:c>
      <x:c r="B4046" s="13" t="str">
        <x:v>EDP - ENERGIAS DO BRASIL SA</x:v>
      </x:c>
      <x:c r="C4046" s="16" t="n">
        <x:v>434.3311339016</x:v>
      </x:c>
      <x:c r="D4046" s="13" t="str">
        <x:v>Utilities &amp; Energy</x:v>
      </x:c>
      <x:c r="E4046" s="13" t="str">
        <x:v>Utilities</x:v>
      </x:c>
      <x:c r="F4046" s="13" t="str">
        <x:v>Defensives</x:v>
      </x:c>
      <x:c r="G4046" s="13" t="str">
        <x:v>grid_asitui1y.xlsx</x:v>
      </x:c>
    </x:row>
    <x:row r="4047">
      <x:c r="A4047" s="15" t="n">
        <x:v>42095</x:v>
      </x:c>
      <x:c r="B4047" s="13" t="str">
        <x:v>ENGIE BRASIL ENERGIA SA</x:v>
      </x:c>
      <x:c r="C4047" s="16" t="n">
        <x:v>1366.7889829071</x:v>
      </x:c>
      <x:c r="D4047" s="13" t="str">
        <x:v>Utilities &amp; Energy</x:v>
      </x:c>
      <x:c r="E4047" s="13" t="str">
        <x:v>Utilities</x:v>
      </x:c>
      <x:c r="F4047" s="13" t="str">
        <x:v>Defensives</x:v>
      </x:c>
      <x:c r="G4047" s="13" t="str">
        <x:v>grid_asitui1y.xlsx</x:v>
      </x:c>
    </x:row>
    <x:row r="4048">
      <x:c r="A4048" s="15" t="n">
        <x:v>42095</x:v>
      </x:c>
      <x:c r="B4048" s="13" t="str">
        <x:v>LIGHT SA</x:v>
      </x:c>
      <x:c r="C4048" s="16" t="n">
        <x:v>405.8531367869</x:v>
      </x:c>
      <x:c r="D4048" s="13" t="str">
        <x:v>Utilities &amp; Energy</x:v>
      </x:c>
      <x:c r="E4048" s="13" t="str">
        <x:v>Utilities</x:v>
      </x:c>
      <x:c r="F4048" s="13" t="str">
        <x:v>Defensives</x:v>
      </x:c>
      <x:c r="G4048" s="13" t="str">
        <x:v>grid_asitui1y.xlsx</x:v>
      </x:c>
    </x:row>
    <x:row r="4049">
      <x:c r="A4049" s="15" t="n">
        <x:v>42125</x:v>
      </x:c>
      <x:c r="B4049" s="13" t="str">
        <x:v>BANCO BRADESCO S.A.</x:v>
      </x:c>
      <x:c r="C4049" s="16" t="n">
        <x:v>18035.033675541</x:v>
      </x:c>
      <x:c r="D4049" s="13" t="str">
        <x:v>Banks</x:v>
      </x:c>
      <x:c r="E4049" s="13" t="str">
        <x:v>Banks</x:v>
      </x:c>
      <x:c r="F4049" s="13" t="str">
        <x:v>Financials</x:v>
      </x:c>
      <x:c r="G4049" s="13" t="str">
        <x:v>grid_asitui1y.xlsx</x:v>
      </x:c>
    </x:row>
    <x:row r="4050">
      <x:c r="A4050" s="15" t="n">
        <x:v>42125</x:v>
      </x:c>
      <x:c r="B4050" s="13" t="str">
        <x:v>BANCO BRADESCO SA-PREF</x:v>
      </x:c>
      <x:c r="C4050" s="16" t="n">
        <x:v>18035.033675541</x:v>
      </x:c>
      <x:c r="D4050" s="13" t="str">
        <x:v>Banks</x:v>
      </x:c>
      <x:c r="E4050" s="13" t="str">
        <x:v>Banks</x:v>
      </x:c>
      <x:c r="F4050" s="13" t="str">
        <x:v>Financials</x:v>
      </x:c>
      <x:c r="G4050" s="13" t="str">
        <x:v>grid_asitui1y.xlsx</x:v>
      </x:c>
    </x:row>
    <x:row r="4051">
      <x:c r="A4051" s="15" t="n">
        <x:v>42125</x:v>
      </x:c>
      <x:c r="B4051" s="13" t="str">
        <x:v>BANCO DO BRASIL S.A.</x:v>
      </x:c>
      <x:c r="C4051" s="16" t="n">
        <x:v>12371.2866874754</x:v>
      </x:c>
      <x:c r="D4051" s="13" t="str">
        <x:v>Banks</x:v>
      </x:c>
      <x:c r="E4051" s="13" t="str">
        <x:v>Banks</x:v>
      </x:c>
      <x:c r="F4051" s="13" t="str">
        <x:v>Financials</x:v>
      </x:c>
      <x:c r="G4051" s="13" t="str">
        <x:v>grid_asitui1y.xlsx</x:v>
      </x:c>
    </x:row>
    <x:row r="4052">
      <x:c r="A4052" s="15" t="n">
        <x:v>42125</x:v>
      </x:c>
      <x:c r="B4052" s="13" t="str">
        <x:v>BANCO SANTANDER  BRASIL-UNIT</x:v>
      </x:c>
      <x:c r="C4052" s="16" t="n">
        <x:v>6292.8537767869</x:v>
      </x:c>
      <x:c r="D4052" s="13" t="str">
        <x:v>Banks</x:v>
      </x:c>
      <x:c r="E4052" s="13" t="str">
        <x:v>Banks</x:v>
      </x:c>
      <x:c r="F4052" s="13" t="str">
        <x:v>Financials</x:v>
      </x:c>
      <x:c r="G4052" s="13" t="str">
        <x:v>grid_asitui1y.xlsx</x:v>
      </x:c>
    </x:row>
    <x:row r="4053">
      <x:c r="A4053" s="15" t="n">
        <x:v>42125</x:v>
      </x:c>
      <x:c r="B4053" s="13" t="str">
        <x:v>ITAU UNIBANCO HOLDING S-PREF</x:v>
      </x:c>
      <x:c r="C4053" s="16" t="n">
        <x:v>23898.6289353443</x:v>
      </x:c>
      <x:c r="D4053" s="13" t="str">
        <x:v>Banks</x:v>
      </x:c>
      <x:c r="E4053" s="13" t="str">
        <x:v>Banks</x:v>
      </x:c>
      <x:c r="F4053" s="13" t="str">
        <x:v>Financials</x:v>
      </x:c>
      <x:c r="G4053" s="13" t="str">
        <x:v>grid_asitui1y.xlsx</x:v>
      </x:c>
    </x:row>
    <x:row r="4054">
      <x:c r="A4054" s="15" t="n">
        <x:v>42125</x:v>
      </x:c>
      <x:c r="B4054" s="13" t="str">
        <x:v>EMBRAER SA</x:v>
      </x:c>
      <x:c r="C4054" s="16" t="n">
        <x:v>1139.4344393443</x:v>
      </x:c>
      <x:c r="D4054" s="13" t="str">
        <x:v>Capital Goods</x:v>
      </x:c>
      <x:c r="E4054" s="13" t="str">
        <x:v>Capital Goods</x:v>
      </x:c>
      <x:c r="F4054" s="13" t="str">
        <x:v>Deep Cyclicals</x:v>
      </x:c>
      <x:c r="G4054" s="13" t="str">
        <x:v>grid_asitui1y.xlsx</x:v>
      </x:c>
    </x:row>
    <x:row r="4055">
      <x:c r="A4055" s="15" t="n">
        <x:v>42125</x:v>
      </x:c>
      <x:c r="B4055" s="13" t="str">
        <x:v>MARCOPOLO SA-PREF</x:v>
      </x:c>
      <x:c r="C4055" s="16" t="n">
        <x:v>235.219147541</x:v>
      </x:c>
      <x:c r="D4055" s="13" t="str">
        <x:v>Capital Goods</x:v>
      </x:c>
      <x:c r="E4055" s="13" t="str">
        <x:v>Capital Goods</x:v>
      </x:c>
      <x:c r="F4055" s="13" t="str">
        <x:v>Deep Cyclicals</x:v>
      </x:c>
      <x:c r="G4055" s="13" t="str">
        <x:v>grid_asitui1y.xlsx</x:v>
      </x:c>
    </x:row>
    <x:row r="4056">
      <x:c r="A4056" s="15" t="n">
        <x:v>42125</x:v>
      </x:c>
      <x:c r="B4056" s="13" t="str">
        <x:v>COGNA EDUCACAO</x:v>
      </x:c>
      <x:c r="C4056" s="16" t="n">
        <x:v>1558.3428028852</x:v>
      </x:c>
      <x:c r="D4056" s="13" t="str">
        <x:v>Education</x:v>
      </x:c>
      <x:c r="E4056" s="13" t="str">
        <x:v>Education</x:v>
      </x:c>
      <x:c r="F4056" s="13" t="str">
        <x:v>Early Cyclicals</x:v>
      </x:c>
      <x:c r="G4056" s="13" t="str">
        <x:v>grid_asitui1y.xlsx</x:v>
      </x:c>
    </x:row>
    <x:row r="4057">
      <x:c r="A4057" s="15" t="n">
        <x:v>42125</x:v>
      </x:c>
      <x:c r="B4057" s="13" t="str">
        <x:v>YDUQS PARTICIPACOES SA</x:v>
      </x:c>
      <x:c r="C4057" s="16" t="n">
        <x:v>567.3854688525</x:v>
      </x:c>
      <x:c r="D4057" s="13" t="str">
        <x:v>Education</x:v>
      </x:c>
      <x:c r="E4057" s="13" t="str">
        <x:v>Education</x:v>
      </x:c>
      <x:c r="F4057" s="13" t="str">
        <x:v>Early Cyclicals</x:v>
      </x:c>
      <x:c r="G4057" s="13" t="str">
        <x:v>grid_asitui1y.xlsx</x:v>
      </x:c>
    </x:row>
    <x:row r="4058">
      <x:c r="A4058" s="15" t="n">
        <x:v>42125</x:v>
      </x:c>
      <x:c r="B4058" s="13" t="str">
        <x:v>B3 SA-BRASIL BOLSA BALCAO</x:v>
      </x:c>
      <x:c r="C4058" s="16" t="n">
        <x:v>1630.6106565246</x:v>
      </x:c>
      <x:c r="D4058" s="13" t="str">
        <x:v>Financials Non-Banks</x:v>
      </x:c>
      <x:c r="E4058" s="13" t="str">
        <x:v>Financials Non-Banks</x:v>
      </x:c>
      <x:c r="F4058" s="13" t="str">
        <x:v>Financials</x:v>
      </x:c>
      <x:c r="G4058" s="13" t="str">
        <x:v>grid_asitui1y.xlsx</x:v>
      </x:c>
    </x:row>
    <x:row r="4059">
      <x:c r="A4059" s="15" t="n">
        <x:v>42125</x:v>
      </x:c>
      <x:c r="B4059" s="13" t="str">
        <x:v>BB SEGURIDADE PARTICIPACOES</x:v>
      </x:c>
      <x:c r="C4059" s="16" t="n">
        <x:v>4158.753943082</x:v>
      </x:c>
      <x:c r="D4059" s="13" t="str">
        <x:v>Financials Non-Banks</x:v>
      </x:c>
      <x:c r="E4059" s="13" t="str">
        <x:v>Financials Non-Banks</x:v>
      </x:c>
      <x:c r="F4059" s="13" t="str">
        <x:v>Financials</x:v>
      </x:c>
      <x:c r="G4059" s="13" t="str">
        <x:v>grid_asitui1y.xlsx</x:v>
      </x:c>
    </x:row>
    <x:row r="4060">
      <x:c r="A4060" s="15" t="n">
        <x:v>42125</x:v>
      </x:c>
      <x:c r="B4060" s="13" t="str">
        <x:v>CETIP SA-MERCADOS ORGANIZADO</x:v>
      </x:c>
      <x:c r="C4060" s="16" t="n">
        <x:v>553.1894725246</x:v>
      </x:c>
      <x:c r="D4060" s="13" t="str">
        <x:v>Financials Non-Banks</x:v>
      </x:c>
      <x:c r="E4060" s="13" t="str">
        <x:v>Financials Non-Banks</x:v>
      </x:c>
      <x:c r="F4060" s="13" t="str">
        <x:v>Financials</x:v>
      </x:c>
      <x:c r="G4060" s="13" t="str">
        <x:v>grid_asitui1y.xlsx</x:v>
      </x:c>
    </x:row>
    <x:row r="4061">
      <x:c r="A4061" s="15" t="n">
        <x:v>42125</x:v>
      </x:c>
      <x:c r="B4061" s="13" t="str">
        <x:v>CIELO SA - INSTITUICAO DE PA</x:v>
      </x:c>
      <x:c r="C4061" s="16" t="n">
        <x:v>3791.4754308197</x:v>
      </x:c>
      <x:c r="D4061" s="13" t="str">
        <x:v>Financials Non-Banks</x:v>
      </x:c>
      <x:c r="E4061" s="13" t="str">
        <x:v>Financials Non-Banks</x:v>
      </x:c>
      <x:c r="F4061" s="13" t="str">
        <x:v>Financials</x:v>
      </x:c>
      <x:c r="G4061" s="13" t="str">
        <x:v>grid_asitui1y.xlsx</x:v>
      </x:c>
    </x:row>
    <x:row r="4062">
      <x:c r="A4062" s="15" t="n">
        <x:v>42125</x:v>
      </x:c>
      <x:c r="B4062" s="13" t="str">
        <x:v>ITAUSA SA</x:v>
      </x:c>
      <x:c r="C4062" s="16" t="n">
        <x:v>8270.9507525246</x:v>
      </x:c>
      <x:c r="D4062" s="13" t="str">
        <x:v>Financials Non-Banks</x:v>
      </x:c>
      <x:c r="E4062" s="13" t="str">
        <x:v>Financials Non-Banks</x:v>
      </x:c>
      <x:c r="F4062" s="13" t="str">
        <x:v>Financials</x:v>
      </x:c>
      <x:c r="G4062" s="13" t="str">
        <x:v>grid_asitui1y.xlsx</x:v>
      </x:c>
    </x:row>
    <x:row r="4063">
      <x:c r="A4063" s="15" t="n">
        <x:v>42125</x:v>
      </x:c>
      <x:c r="B4063" s="13" t="str">
        <x:v>AMBEV SA</x:v>
      </x:c>
      <x:c r="C4063" s="16" t="n">
        <x:v>14229.3965975082</x:v>
      </x:c>
      <x:c r="D4063" s="13" t="str">
        <x:v>Food &amp; Beverages</x:v>
      </x:c>
      <x:c r="E4063" s="13" t="str">
        <x:v>Agri, Food &amp; Beverages</x:v>
      </x:c>
      <x:c r="F4063" s="13" t="str">
        <x:v>Defensives</x:v>
      </x:c>
      <x:c r="G4063" s="13" t="str">
        <x:v>grid_asitui1y.xlsx</x:v>
      </x:c>
    </x:row>
    <x:row r="4064">
      <x:c r="A4064" s="15" t="n">
        <x:v>42125</x:v>
      </x:c>
      <x:c r="B4064" s="13" t="str">
        <x:v>BRF SA</x:v>
      </x:c>
      <x:c r="C4064" s="16" t="n">
        <x:v>2931.9180632131</x:v>
      </x:c>
      <x:c r="D4064" s="13" t="str">
        <x:v>Food &amp; Beverages</x:v>
      </x:c>
      <x:c r="E4064" s="13" t="str">
        <x:v>Agri, Food &amp; Beverages</x:v>
      </x:c>
      <x:c r="F4064" s="13" t="str">
        <x:v>Defensives</x:v>
      </x:c>
      <x:c r="G4064" s="13" t="str">
        <x:v>grid_asitui1y.xlsx</x:v>
      </x:c>
    </x:row>
    <x:row r="4065">
      <x:c r="A4065" s="15" t="n">
        <x:v>42125</x:v>
      </x:c>
      <x:c r="B4065" s="13" t="str">
        <x:v>MBRF GLOBAL FOODS COMPANY SA</x:v>
      </x:c>
      <x:c r="C4065" s="16" t="n">
        <x:v>-249.2131147541</x:v>
      </x:c>
      <x:c r="D4065" s="13" t="str">
        <x:v>Food &amp; Beverages</x:v>
      </x:c>
      <x:c r="E4065" s="13" t="str">
        <x:v>Agri, Food &amp; Beverages</x:v>
      </x:c>
      <x:c r="F4065" s="13" t="str">
        <x:v>Defensives</x:v>
      </x:c>
      <x:c r="G4065" s="13" t="str">
        <x:v>grid_asitui1y.xlsx</x:v>
      </x:c>
    </x:row>
    <x:row r="4066">
      <x:c r="A4066" s="15" t="n">
        <x:v>42125</x:v>
      </x:c>
      <x:c r="B4066" s="13" t="str">
        <x:v>SOUZA CRUZ LTDA</x:v>
      </x:c>
      <x:c r="C4066" s="16" t="n">
        <x:v>1793.7868925902</x:v>
      </x:c>
      <x:c r="D4066" s="13" t="str">
        <x:v>Food &amp; Beverages</x:v>
      </x:c>
      <x:c r="E4066" s="13" t="str">
        <x:v>Agri, Food &amp; Beverages</x:v>
      </x:c>
      <x:c r="F4066" s="13" t="str">
        <x:v>Defensives</x:v>
      </x:c>
      <x:c r="G4066" s="13" t="str">
        <x:v>grid_asitui1y.xlsx</x:v>
      </x:c>
    </x:row>
    <x:row r="4067">
      <x:c r="A4067" s="15" t="n">
        <x:v>42125</x:v>
      </x:c>
      <x:c r="B4067" s="13" t="str">
        <x:v>HYPERA SA</x:v>
      </x:c>
      <x:c r="C4067" s="16" t="n">
        <x:v>568.1908375082</x:v>
      </x:c>
      <x:c r="D4067" s="13" t="str">
        <x:v>Health Care</x:v>
      </x:c>
      <x:c r="E4067" s="13" t="str">
        <x:v>Health Care</x:v>
      </x:c>
      <x:c r="F4067" s="13" t="str">
        <x:v>Defensives</x:v>
      </x:c>
      <x:c r="G4067" s="13" t="str">
        <x:v>grid_asitui1y.xlsx</x:v>
      </x:c>
    </x:row>
    <x:row r="4068">
      <x:c r="A4068" s="15" t="n">
        <x:v>42125</x:v>
      </x:c>
      <x:c r="B4068" s="13" t="str">
        <x:v>QUALICORP CONS E CORR SEG SA</x:v>
      </x:c>
      <x:c r="C4068" s="16" t="n">
        <x:v>384.4423606557</x:v>
      </x:c>
      <x:c r="D4068" s="13" t="str">
        <x:v>Health Care</x:v>
      </x:c>
      <x:c r="E4068" s="13" t="str">
        <x:v>Health Care</x:v>
      </x:c>
      <x:c r="F4068" s="13" t="str">
        <x:v>Defensives</x:v>
      </x:c>
      <x:c r="G4068" s="13" t="str">
        <x:v>grid_asitui1y.xlsx</x:v>
      </x:c>
    </x:row>
    <x:row r="4069">
      <x:c r="A4069" s="15" t="n">
        <x:v>42125</x:v>
      </x:c>
      <x:c r="B4069" s="13" t="str">
        <x:v>CYRELA BRAZIL REALTY SA EMP</x:v>
      </x:c>
      <x:c r="C4069" s="16" t="n">
        <x:v>668.3002051148</x:v>
      </x:c>
      <x:c r="D4069" s="13" t="str">
        <x:v>Homebuilders</x:v>
      </x:c>
      <x:c r="E4069" s="13" t="str">
        <x:v>Real Estate</x:v>
      </x:c>
      <x:c r="F4069" s="13" t="str">
        <x:v>Early Cyclicals</x:v>
      </x:c>
      <x:c r="G4069" s="13" t="str">
        <x:v>grid_asitui1y.xlsx</x:v>
      </x:c>
    </x:row>
    <x:row r="4070">
      <x:c r="A4070" s="15" t="n">
        <x:v>42125</x:v>
      </x:c>
      <x:c r="B4070" s="13" t="str">
        <x:v>GAFISA SA</x:v>
      </x:c>
      <x:c r="C4070" s="16" t="n">
        <x:v>20.3536360656</x:v>
      </x:c>
      <x:c r="D4070" s="13" t="str">
        <x:v>Homebuilders</x:v>
      </x:c>
      <x:c r="E4070" s="13" t="str">
        <x:v>Real Estate</x:v>
      </x:c>
      <x:c r="F4070" s="13" t="str">
        <x:v>Early Cyclicals</x:v>
      </x:c>
      <x:c r="G4070" s="13" t="str">
        <x:v>grid_asitui1y.xlsx</x:v>
      </x:c>
    </x:row>
    <x:row r="4071">
      <x:c r="A4071" s="15" t="n">
        <x:v>42125</x:v>
      </x:c>
      <x:c r="B4071" s="13" t="str">
        <x:v>MRV ENGENHARIA</x:v>
      </x:c>
      <x:c r="C4071" s="16" t="n">
        <x:v>546.3626921967</x:v>
      </x:c>
      <x:c r="D4071" s="13" t="str">
        <x:v>Homebuilders</x:v>
      </x:c>
      <x:c r="E4071" s="13" t="str">
        <x:v>Real Estate</x:v>
      </x:c>
      <x:c r="F4071" s="13" t="str">
        <x:v>Early Cyclicals</x:v>
      </x:c>
      <x:c r="G4071" s="13" t="str">
        <x:v>grid_asitui1y.xlsx</x:v>
      </x:c>
    </x:row>
    <x:row r="4072">
      <x:c r="A4072" s="15" t="n">
        <x:v>42125</x:v>
      </x:c>
      <x:c r="B4072" s="13" t="str">
        <x:v>BR MALLS PARTICIPACOES SA</x:v>
      </x:c>
      <x:c r="C4072" s="16" t="n">
        <x:v>471.5936702951</x:v>
      </x:c>
      <x:c r="D4072" s="13" t="str">
        <x:v>Income Properties</x:v>
      </x:c>
      <x:c r="E4072" s="13" t="str">
        <x:v>Real Estate</x:v>
      </x:c>
      <x:c r="F4072" s="13" t="str">
        <x:v>Early Cyclicals</x:v>
      </x:c>
      <x:c r="G4072" s="13" t="str">
        <x:v>grid_asitui1y.xlsx</x:v>
      </x:c>
    </x:row>
    <x:row r="4073">
      <x:c r="A4073" s="15" t="n">
        <x:v>42125</x:v>
      </x:c>
      <x:c r="B4073" s="13" t="str">
        <x:v>MULTIPLAN EMPREENDIMENTOS</x:v>
      </x:c>
      <x:c r="C4073" s="16" t="n">
        <x:v>404.8131147541</x:v>
      </x:c>
      <x:c r="D4073" s="13" t="str">
        <x:v>Income Properties</x:v>
      </x:c>
      <x:c r="E4073" s="13" t="str">
        <x:v>Real Estate</x:v>
      </x:c>
      <x:c r="F4073" s="13" t="str">
        <x:v>Early Cyclicals</x:v>
      </x:c>
      <x:c r="G4073" s="13" t="str">
        <x:v>grid_asitui1y.xlsx</x:v>
      </x:c>
    </x:row>
    <x:row r="4074">
      <x:c r="A4074" s="15" t="n">
        <x:v>42125</x:v>
      </x:c>
      <x:c r="B4074" s="13" t="str">
        <x:v>SOLID ATIVOS IMOBILIARIOS SA</x:v>
      </x:c>
      <x:c r="C4074" s="16" t="n">
        <x:v>189.5963100328</x:v>
      </x:c>
      <x:c r="D4074" s="13" t="str">
        <x:v>Income Properties</x:v>
      </x:c>
      <x:c r="E4074" s="13" t="str">
        <x:v>Real Estate</x:v>
      </x:c>
      <x:c r="F4074" s="13" t="str">
        <x:v>Early Cyclicals</x:v>
      </x:c>
      <x:c r="G4074" s="13" t="str">
        <x:v>grid_asitui1y.xlsx</x:v>
      </x:c>
    </x:row>
    <x:row r="4075">
      <x:c r="A4075" s="15" t="n">
        <x:v>42125</x:v>
      </x:c>
      <x:c r="B4075" s="13" t="str">
        <x:v>BRADESPAR SA -PREF</x:v>
      </x:c>
      <x:c r="C4075" s="16" t="n">
        <x:v>-709.7048802623</x:v>
      </x:c>
      <x:c r="D4075" s="13" t="str">
        <x:v>Metals &amp; Mining</x:v>
      </x:c>
      <x:c r="E4075" s="13" t="str">
        <x:v>Metals &amp; Mining</x:v>
      </x:c>
      <x:c r="F4075" s="13" t="str">
        <x:v>Deep Cyclicals</x:v>
      </x:c>
      <x:c r="G4075" s="13" t="str">
        <x:v>grid_asitui1y.xlsx</x:v>
      </x:c>
    </x:row>
    <x:row r="4076">
      <x:c r="A4076" s="15" t="n">
        <x:v>42125</x:v>
      </x:c>
      <x:c r="B4076" s="13" t="str">
        <x:v>CIA SIDERURGICA NACIONAL SA</x:v>
      </x:c>
      <x:c r="C4076" s="16" t="n">
        <x:v>-426.4098360656</x:v>
      </x:c>
      <x:c r="D4076" s="13" t="str">
        <x:v>Metals &amp; Mining</x:v>
      </x:c>
      <x:c r="E4076" s="13" t="str">
        <x:v>Metals &amp; Mining</x:v>
      </x:c>
      <x:c r="F4076" s="13" t="str">
        <x:v>Deep Cyclicals</x:v>
      </x:c>
      <x:c r="G4076" s="13" t="str">
        <x:v>grid_asitui1y.xlsx</x:v>
      </x:c>
    </x:row>
    <x:row r="4077">
      <x:c r="A4077" s="15" t="n">
        <x:v>42125</x:v>
      </x:c>
      <x:c r="B4077" s="13" t="str">
        <x:v>GERDAU SA-PREF</x:v>
      </x:c>
      <x:c r="C4077" s="16" t="n">
        <x:v>1122.9952965246</x:v>
      </x:c>
      <x:c r="D4077" s="13" t="str">
        <x:v>Metals &amp; Mining</x:v>
      </x:c>
      <x:c r="E4077" s="13" t="str">
        <x:v>Metals &amp; Mining</x:v>
      </x:c>
      <x:c r="F4077" s="13" t="str">
        <x:v>Deep Cyclicals</x:v>
      </x:c>
      <x:c r="G4077" s="13" t="str">
        <x:v>grid_asitui1y.xlsx</x:v>
      </x:c>
    </x:row>
    <x:row r="4078">
      <x:c r="A4078" s="15" t="n">
        <x:v>42125</x:v>
      </x:c>
      <x:c r="B4078" s="13" t="str">
        <x:v>USINAS SIDER MINAS GER-PF A</x:v>
      </x:c>
      <x:c r="C4078" s="16" t="n">
        <x:v>-258.0946100328</x:v>
      </x:c>
      <x:c r="D4078" s="13" t="str">
        <x:v>Metals &amp; Mining</x:v>
      </x:c>
      <x:c r="E4078" s="13" t="str">
        <x:v>Metals &amp; Mining</x:v>
      </x:c>
      <x:c r="F4078" s="13" t="str">
        <x:v>Deep Cyclicals</x:v>
      </x:c>
      <x:c r="G4078" s="13" t="str">
        <x:v>grid_asitui1y.xlsx</x:v>
      </x:c>
    </x:row>
    <x:row r="4079">
      <x:c r="A4079" s="15" t="n">
        <x:v>42125</x:v>
      </x:c>
      <x:c r="B4079" s="13" t="str">
        <x:v>VALE SA</x:v>
      </x:c>
      <x:c r="C4079" s="16" t="n">
        <x:v>299.5693954098</x:v>
      </x:c>
      <x:c r="D4079" s="13" t="str">
        <x:v>Metals &amp; Mining</x:v>
      </x:c>
      <x:c r="E4079" s="13" t="str">
        <x:v>Metals &amp; Mining</x:v>
      </x:c>
      <x:c r="F4079" s="13" t="str">
        <x:v>Deep Cyclicals</x:v>
      </x:c>
      <x:c r="G4079" s="13" t="str">
        <x:v>grid_asitui1y.xlsx</x:v>
      </x:c>
    </x:row>
    <x:row r="4080">
      <x:c r="A4080" s="15" t="n">
        <x:v>42125</x:v>
      </x:c>
      <x:c r="B4080" s="13" t="str">
        <x:v>BRASKEM SA-PREF A</x:v>
      </x:c>
      <x:c r="C4080" s="16" t="n">
        <x:v>1237.1158893115</x:v>
      </x:c>
      <x:c r="D4080" s="13" t="str">
        <x:v>Oil, Gas &amp; Petrochemicals</x:v>
      </x:c>
      <x:c r="E4080" s="13" t="str">
        <x:v>Oil, Gas &amp; Petrochemicals</x:v>
      </x:c>
      <x:c r="F4080" s="13" t="str">
        <x:v>Deep Cyclicals</x:v>
      </x:c>
      <x:c r="G4080" s="13" t="str">
        <x:v>grid_asitui1y.xlsx</x:v>
      </x:c>
    </x:row>
    <x:row r="4081">
      <x:c r="A4081" s="15" t="n">
        <x:v>42125</x:v>
      </x:c>
      <x:c r="B4081" s="13" t="str">
        <x:v>COSAN SA</x:v>
      </x:c>
      <x:c r="C4081" s="16" t="n">
        <x:v>918.0196721311</x:v>
      </x:c>
      <x:c r="D4081" s="13" t="str">
        <x:v>Oil, Gas &amp; Petrochemicals</x:v>
      </x:c>
      <x:c r="E4081" s="13" t="str">
        <x:v>Oil, Gas &amp; Petrochemicals</x:v>
      </x:c>
      <x:c r="F4081" s="13" t="str">
        <x:v>Deep Cyclicals</x:v>
      </x:c>
      <x:c r="G4081" s="13" t="str">
        <x:v>grid_asitui1y.xlsx</x:v>
      </x:c>
    </x:row>
    <x:row r="4082">
      <x:c r="A4082" s="15" t="n">
        <x:v>42125</x:v>
      </x:c>
      <x:c r="B4082" s="13" t="str">
        <x:v>PETROBRAS - PETROLEO BRAS</x:v>
      </x:c>
      <x:c r="C4082" s="16" t="n">
        <x:v>18243.9263853115</x:v>
      </x:c>
      <x:c r="D4082" s="13" t="str">
        <x:v>Oil, Gas &amp; Petrochemicals</x:v>
      </x:c>
      <x:c r="E4082" s="13" t="str">
        <x:v>Oil, Gas &amp; Petrochemicals</x:v>
      </x:c>
      <x:c r="F4082" s="13" t="str">
        <x:v>Deep Cyclicals</x:v>
      </x:c>
      <x:c r="G4082" s="13" t="str">
        <x:v>grid_asitui1y.xlsx</x:v>
      </x:c>
    </x:row>
    <x:row r="4083">
      <x:c r="A4083" s="15" t="n">
        <x:v>42125</x:v>
      </x:c>
      <x:c r="B4083" s="13" t="str">
        <x:v>ULTRAPAR PARTICIPACOES SA</x:v>
      </x:c>
      <x:c r="C4083" s="16" t="n">
        <x:v>1539.5183569836</x:v>
      </x:c>
      <x:c r="D4083" s="13" t="str">
        <x:v>Oil, Gas &amp; Petrochemicals</x:v>
      </x:c>
      <x:c r="E4083" s="13" t="str">
        <x:v>Oil, Gas &amp; Petrochemicals</x:v>
      </x:c>
      <x:c r="F4083" s="13" t="str">
        <x:v>Deep Cyclicals</x:v>
      </x:c>
      <x:c r="G4083" s="13" t="str">
        <x:v>grid_asitui1y.xlsx</x:v>
      </x:c>
    </x:row>
    <x:row r="4084">
      <x:c r="A4084" s="15" t="n">
        <x:v>42125</x:v>
      </x:c>
      <x:c r="B4084" s="13" t="str">
        <x:v>DEXCO SA</x:v>
      </x:c>
      <x:c r="C4084" s="16" t="n">
        <x:v>406.0057358689</x:v>
      </x:c>
      <x:c r="D4084" s="13" t="str">
        <x:v>Pulp &amp; Paper</x:v>
      </x:c>
      <x:c r="E4084" s="13" t="str">
        <x:v>Pulp &amp; Paper</x:v>
      </x:c>
      <x:c r="F4084" s="13" t="str">
        <x:v>Deep Cyclicals</x:v>
      </x:c>
      <x:c r="G4084" s="13" t="str">
        <x:v>grid_asitui1y.xlsx</x:v>
      </x:c>
    </x:row>
    <x:row r="4085">
      <x:c r="A4085" s="15" t="n">
        <x:v>42125</x:v>
      </x:c>
      <x:c r="B4085" s="13" t="str">
        <x:v>FIBRIA CELULOSE S/A</x:v>
      </x:c>
      <x:c r="C4085" s="16" t="n">
        <x:v>718.122955541</x:v>
      </x:c>
      <x:c r="D4085" s="13" t="str">
        <x:v>Pulp &amp; Paper</x:v>
      </x:c>
      <x:c r="E4085" s="13" t="str">
        <x:v>Pulp &amp; Paper</x:v>
      </x:c>
      <x:c r="F4085" s="13" t="str">
        <x:v>Deep Cyclicals</x:v>
      </x:c>
      <x:c r="G4085" s="13" t="str">
        <x:v>grid_asitui1y.xlsx</x:v>
      </x:c>
    </x:row>
    <x:row r="4086">
      <x:c r="A4086" s="15" t="n">
        <x:v>42125</x:v>
      </x:c>
      <x:c r="B4086" s="13" t="str">
        <x:v>KLABIN SA - UNIT</x:v>
      </x:c>
      <x:c r="C4086" s="16" t="n">
        <x:v>136.5331934426</x:v>
      </x:c>
      <x:c r="D4086" s="13" t="str">
        <x:v>Pulp &amp; Paper</x:v>
      </x:c>
      <x:c r="E4086" s="13" t="str">
        <x:v>Pulp &amp; Paper</x:v>
      </x:c>
      <x:c r="F4086" s="13" t="str">
        <x:v>Deep Cyclicals</x:v>
      </x:c>
      <x:c r="G4086" s="13" t="str">
        <x:v>grid_asitui1y.xlsx</x:v>
      </x:c>
    </x:row>
    <x:row r="4087">
      <x:c r="A4087" s="15" t="n">
        <x:v>42125</x:v>
      </x:c>
      <x:c r="B4087" s="13" t="str">
        <x:v>SUZANO PAPEL E CELULO-PREF A</x:v>
      </x:c>
      <x:c r="C4087" s="16" t="n">
        <x:v>848.8113668197</x:v>
      </x:c>
      <x:c r="D4087" s="13" t="str">
        <x:v>Pulp &amp; Paper</x:v>
      </x:c>
      <x:c r="E4087" s="13" t="str">
        <x:v>Pulp &amp; Paper</x:v>
      </x:c>
      <x:c r="F4087" s="13" t="str">
        <x:v>Deep Cyclicals</x:v>
      </x:c>
      <x:c r="G4087" s="13" t="str">
        <x:v>grid_asitui1y.xlsx</x:v>
      </x:c>
    </x:row>
    <x:row r="4088">
      <x:c r="A4088" s="15" t="n">
        <x:v>42125</x:v>
      </x:c>
      <x:c r="B4088" s="13" t="str">
        <x:v>CIA BRASILEIRA DE DIS-PREF</x:v>
      </x:c>
      <x:c r="C4088" s="16" t="n">
        <x:v>1696.5238893115</x:v>
      </x:c>
      <x:c r="D4088" s="13" t="str">
        <x:v>Retail</x:v>
      </x:c>
      <x:c r="E4088" s="13" t="str">
        <x:v>Retail</x:v>
      </x:c>
      <x:c r="F4088" s="13" t="str">
        <x:v>Early Cyclicals</x:v>
      </x:c>
      <x:c r="G4088" s="13" t="str">
        <x:v>grid_asitui1y.xlsx</x:v>
      </x:c>
    </x:row>
    <x:row r="4089">
      <x:c r="A4089" s="15" t="n">
        <x:v>42125</x:v>
      </x:c>
      <x:c r="B4089" s="13" t="str">
        <x:v>CIA HERING</x:v>
      </x:c>
      <x:c r="C4089" s="16" t="n">
        <x:v>293.7346313443</x:v>
      </x:c>
      <x:c r="D4089" s="13" t="str">
        <x:v>Retail</x:v>
      </x:c>
      <x:c r="E4089" s="13" t="str">
        <x:v>Retail</x:v>
      </x:c>
      <x:c r="F4089" s="13" t="str">
        <x:v>Early Cyclicals</x:v>
      </x:c>
      <x:c r="G4089" s="13" t="str">
        <x:v>grid_asitui1y.xlsx</x:v>
      </x:c>
    </x:row>
    <x:row r="4090">
      <x:c r="A4090" s="15" t="n">
        <x:v>42125</x:v>
      </x:c>
      <x:c r="B4090" s="13" t="str">
        <x:v>LOJAS AMERICANAS SA-PREF</x:v>
      </x:c>
      <x:c r="C4090" s="16" t="n">
        <x:v>643.5410979672</x:v>
      </x:c>
      <x:c r="D4090" s="13" t="str">
        <x:v>Retail</x:v>
      </x:c>
      <x:c r="E4090" s="13" t="str">
        <x:v>Retail</x:v>
      </x:c>
      <x:c r="F4090" s="13" t="str">
        <x:v>Early Cyclicals</x:v>
      </x:c>
      <x:c r="G4090" s="13" t="str">
        <x:v>grid_asitui1y.xlsx</x:v>
      </x:c>
    </x:row>
    <x:row r="4091">
      <x:c r="A4091" s="15" t="n">
        <x:v>42125</x:v>
      </x:c>
      <x:c r="B4091" s="13" t="str">
        <x:v>LOJAS RENNER S.A.</x:v>
      </x:c>
      <x:c r="C4091" s="16" t="n">
        <x:v>632.6327868852</x:v>
      </x:c>
      <x:c r="D4091" s="13" t="str">
        <x:v>Retail</x:v>
      </x:c>
      <x:c r="E4091" s="13" t="str">
        <x:v>Retail</x:v>
      </x:c>
      <x:c r="F4091" s="13" t="str">
        <x:v>Early Cyclicals</x:v>
      </x:c>
      <x:c r="G4091" s="13" t="str">
        <x:v>grid_asitui1y.xlsx</x:v>
      </x:c>
    </x:row>
    <x:row r="4092">
      <x:c r="A4092" s="15" t="n">
        <x:v>42125</x:v>
      </x:c>
      <x:c r="B4092" s="13" t="str">
        <x:v>NATURA COSMETICOS SA</x:v>
      </x:c>
      <x:c r="C4092" s="16" t="n">
        <x:v>791.8384776393</x:v>
      </x:c>
      <x:c r="D4092" s="13" t="str">
        <x:v>Retail</x:v>
      </x:c>
      <x:c r="E4092" s="13" t="str">
        <x:v>Retail</x:v>
      </x:c>
      <x:c r="F4092" s="13" t="str">
        <x:v>Early Cyclicals</x:v>
      </x:c>
      <x:c r="G4092" s="13" t="str">
        <x:v>grid_asitui1y.xlsx</x:v>
      </x:c>
    </x:row>
    <x:row r="4093">
      <x:c r="A4093" s="15" t="n">
        <x:v>42125</x:v>
      </x:c>
      <x:c r="B4093" s="13" t="str">
        <x:v>CIA SANEAMENTO BASICO DE SP</x:v>
      </x:c>
      <x:c r="C4093" s="16" t="n">
        <x:v>1148.071371541</x:v>
      </x:c>
      <x:c r="D4093" s="13" t="str">
        <x:v>Sanitation</x:v>
      </x:c>
      <x:c r="E4093" s="13" t="str">
        <x:v>Utilities</x:v>
      </x:c>
      <x:c r="F4093" s="13" t="str">
        <x:v>Defensives</x:v>
      </x:c>
      <x:c r="G4093" s="13" t="str">
        <x:v>grid_asitui1y.xlsx</x:v>
      </x:c>
    </x:row>
    <x:row r="4094">
      <x:c r="A4094" s="15" t="n">
        <x:v>42125</x:v>
      </x:c>
      <x:c r="B4094" s="13" t="str">
        <x:v>OI SA-PREFERENCE</x:v>
      </x:c>
      <x:c r="C4094" s="16" t="n">
        <x:v>-1022.1774184918</x:v>
      </x:c>
      <x:c r="D4094" s="13" t="str">
        <x:v>TMT</x:v>
      </x:c>
      <x:c r="E4094" s="13" t="str">
        <x:v>TMT</x:v>
      </x:c>
      <x:c r="F4094" s="13" t="str">
        <x:v>Early Cyclicals</x:v>
      </x:c>
      <x:c r="G4094" s="13" t="str">
        <x:v>grid_asitui1y.xlsx</x:v>
      </x:c>
    </x:row>
    <x:row r="4095">
      <x:c r="A4095" s="15" t="n">
        <x:v>42125</x:v>
      </x:c>
      <x:c r="B4095" s="13" t="str">
        <x:v>TELEFONICA BRASIL S.A.-PREF</x:v>
      </x:c>
      <x:c r="C4095" s="16" t="n">
        <x:v>4477.2212836721</x:v>
      </x:c>
      <x:c r="D4095" s="13" t="str">
        <x:v>TMT</x:v>
      </x:c>
      <x:c r="E4095" s="13" t="str">
        <x:v>TMT</x:v>
      </x:c>
      <x:c r="F4095" s="13" t="str">
        <x:v>Early Cyclicals</x:v>
      </x:c>
      <x:c r="G4095" s="13" t="str">
        <x:v>grid_asitui1y.xlsx</x:v>
      </x:c>
    </x:row>
    <x:row r="4096">
      <x:c r="A4096" s="15" t="n">
        <x:v>42125</x:v>
      </x:c>
      <x:c r="B4096" s="13" t="str">
        <x:v>TIM SA</x:v>
      </x:c>
      <x:c r="C4096" s="16" t="n">
        <x:v>1527.1106811803</x:v>
      </x:c>
      <x:c r="D4096" s="13" t="str">
        <x:v>TMT</x:v>
      </x:c>
      <x:c r="E4096" s="13" t="str">
        <x:v>TMT</x:v>
      </x:c>
      <x:c r="F4096" s="13" t="str">
        <x:v>Early Cyclicals</x:v>
      </x:c>
      <x:c r="G4096" s="13" t="str">
        <x:v>grid_asitui1y.xlsx</x:v>
      </x:c>
    </x:row>
    <x:row r="4097">
      <x:c r="A4097" s="15" t="n">
        <x:v>42125</x:v>
      </x:c>
      <x:c r="B4097" s="13" t="str">
        <x:v>ECORODOVIAS INFRA E LOG SA</x:v>
      </x:c>
      <x:c r="C4097" s="16" t="n">
        <x:v>311.4993657705</x:v>
      </x:c>
      <x:c r="D4097" s="13" t="str">
        <x:v>Transportation</x:v>
      </x:c>
      <x:c r="E4097" s="13" t="str">
        <x:v>Transportation</x:v>
      </x:c>
      <x:c r="F4097" s="13" t="str">
        <x:v>Deep Cyclicals</x:v>
      </x:c>
      <x:c r="G4097" s="13" t="str">
        <x:v>grid_asitui1y.xlsx</x:v>
      </x:c>
    </x:row>
    <x:row r="4098">
      <x:c r="A4098" s="15" t="n">
        <x:v>42125</x:v>
      </x:c>
      <x:c r="B4098" s="13" t="str">
        <x:v>GOL LINHAS AEREAS INT SA-PRE</x:v>
      </x:c>
      <x:c r="C4098" s="16" t="n">
        <x:v>-683.820363541</x:v>
      </x:c>
      <x:c r="D4098" s="13" t="str">
        <x:v>Transportation</x:v>
      </x:c>
      <x:c r="E4098" s="13" t="str">
        <x:v>Transportation</x:v>
      </x:c>
      <x:c r="F4098" s="13" t="str">
        <x:v>Deep Cyclicals</x:v>
      </x:c>
      <x:c r="G4098" s="13" t="str">
        <x:v>grid_asitui1y.xlsx</x:v>
      </x:c>
    </x:row>
    <x:row r="4099">
      <x:c r="A4099" s="15" t="n">
        <x:v>42125</x:v>
      </x:c>
      <x:c r="B4099" s="13" t="str">
        <x:v>LOCALIZA RENT A CAR</x:v>
      </x:c>
      <x:c r="C4099" s="16" t="n">
        <x:v>434.2797114754</x:v>
      </x:c>
      <x:c r="D4099" s="13" t="str">
        <x:v>Transportation</x:v>
      </x:c>
      <x:c r="E4099" s="13" t="str">
        <x:v>Transportation</x:v>
      </x:c>
      <x:c r="F4099" s="13" t="str">
        <x:v>Deep Cyclicals</x:v>
      </x:c>
      <x:c r="G4099" s="13" t="str">
        <x:v>grid_asitui1y.xlsx</x:v>
      </x:c>
    </x:row>
    <x:row r="4100">
      <x:c r="A4100" s="15" t="n">
        <x:v>42125</x:v>
      </x:c>
      <x:c r="B4100" s="13" t="str">
        <x:v>MOTIVA INFRAESTRUTURA DE MOB</x:v>
      </x:c>
      <x:c r="C4100" s="16" t="n">
        <x:v>1384.5816676721</x:v>
      </x:c>
      <x:c r="D4100" s="13" t="str">
        <x:v>Transportation</x:v>
      </x:c>
      <x:c r="E4100" s="13" t="str">
        <x:v>Transportation</x:v>
      </x:c>
      <x:c r="F4100" s="13" t="str">
        <x:v>Deep Cyclicals</x:v>
      </x:c>
      <x:c r="G4100" s="13" t="str">
        <x:v>grid_asitui1y.xlsx</x:v>
      </x:c>
    </x:row>
    <x:row r="4101">
      <x:c r="A4101" s="15" t="n">
        <x:v>42125</x:v>
      </x:c>
      <x:c r="B4101" s="13" t="str">
        <x:v>AXIA ENERGIA SA</x:v>
      </x:c>
      <x:c r="C4101" s="16" t="n">
        <x:v>72.9573602623</x:v>
      </x:c>
      <x:c r="D4101" s="13" t="str">
        <x:v>Utilities &amp; Energy</x:v>
      </x:c>
      <x:c r="E4101" s="13" t="str">
        <x:v>Utilities</x:v>
      </x:c>
      <x:c r="F4101" s="13" t="str">
        <x:v>Defensives</x:v>
      </x:c>
      <x:c r="G4101" s="13" t="str">
        <x:v>grid_asitui1y.xlsx</x:v>
      </x:c>
    </x:row>
    <x:row r="4102">
      <x:c r="A4102" s="15" t="n">
        <x:v>42125</x:v>
      </x:c>
      <x:c r="B4102" s="13" t="str">
        <x:v>AXIA ENERGIA-PR B</x:v>
      </x:c>
      <x:c r="C4102" s="16" t="n">
        <x:v>72.9573602623</x:v>
      </x:c>
      <x:c r="D4102" s="13" t="str">
        <x:v>Utilities &amp; Energy</x:v>
      </x:c>
      <x:c r="E4102" s="13" t="str">
        <x:v>Utilities</x:v>
      </x:c>
      <x:c r="F4102" s="13" t="str">
        <x:v>Defensives</x:v>
      </x:c>
      <x:c r="G4102" s="13" t="str">
        <x:v>grid_asitui1y.xlsx</x:v>
      </x:c>
    </x:row>
    <x:row r="4103">
      <x:c r="A4103" s="15" t="n">
        <x:v>42125</x:v>
      </x:c>
      <x:c r="B4103" s="13" t="str">
        <x:v>CESP - CIA ENERGETICA DE SAO</x:v>
      </x:c>
      <x:c r="C4103" s="16" t="n">
        <x:v>579.9310221639</x:v>
      </x:c>
      <x:c r="D4103" s="13" t="str">
        <x:v>Utilities &amp; Energy</x:v>
      </x:c>
      <x:c r="E4103" s="13" t="str">
        <x:v>Utilities</x:v>
      </x:c>
      <x:c r="F4103" s="13" t="str">
        <x:v>Defensives</x:v>
      </x:c>
      <x:c r="G4103" s="13" t="str">
        <x:v>grid_asitui1y.xlsx</x:v>
      </x:c>
    </x:row>
    <x:row r="4104">
      <x:c r="A4104" s="15" t="n">
        <x:v>42125</x:v>
      </x:c>
      <x:c r="B4104" s="13" t="str">
        <x:v>CIA ENERGETICA MINAS GER-PRF</x:v>
      </x:c>
      <x:c r="C4104" s="16" t="n">
        <x:v>1801.705547541</x:v>
      </x:c>
      <x:c r="D4104" s="13" t="str">
        <x:v>Utilities &amp; Energy</x:v>
      </x:c>
      <x:c r="E4104" s="13" t="str">
        <x:v>Utilities</x:v>
      </x:c>
      <x:c r="F4104" s="13" t="str">
        <x:v>Defensives</x:v>
      </x:c>
      <x:c r="G4104" s="13" t="str">
        <x:v>grid_asitui1y.xlsx</x:v>
      </x:c>
    </x:row>
    <x:row r="4105">
      <x:c r="A4105" s="15" t="n">
        <x:v>42125</x:v>
      </x:c>
      <x:c r="B4105" s="13" t="str">
        <x:v>COMPANHIA PARANAENSE -PREF B</x:v>
      </x:c>
      <x:c r="C4105" s="16" t="n">
        <x:v>1006.3515362623</x:v>
      </x:c>
      <x:c r="D4105" s="13" t="str">
        <x:v>Utilities &amp; Energy</x:v>
      </x:c>
      <x:c r="E4105" s="13" t="str">
        <x:v>Utilities</x:v>
      </x:c>
      <x:c r="F4105" s="13" t="str">
        <x:v>Defensives</x:v>
      </x:c>
      <x:c r="G4105" s="13" t="str">
        <x:v>grid_asitui1y.xlsx</x:v>
      </x:c>
    </x:row>
    <x:row r="4106">
      <x:c r="A4106" s="15" t="n">
        <x:v>42125</x:v>
      </x:c>
      <x:c r="B4106" s="13" t="str">
        <x:v>CPFL ENERGIA SA</x:v>
      </x:c>
      <x:c r="C4106" s="16" t="n">
        <x:v>1269.5034586229</x:v>
      </x:c>
      <x:c r="D4106" s="13" t="str">
        <x:v>Utilities &amp; Energy</x:v>
      </x:c>
      <x:c r="E4106" s="13" t="str">
        <x:v>Utilities</x:v>
      </x:c>
      <x:c r="F4106" s="13" t="str">
        <x:v>Defensives</x:v>
      </x:c>
      <x:c r="G4106" s="13" t="str">
        <x:v>grid_asitui1y.xlsx</x:v>
      </x:c>
    </x:row>
    <x:row r="4107">
      <x:c r="A4107" s="15" t="n">
        <x:v>42125</x:v>
      </x:c>
      <x:c r="B4107" s="13" t="str">
        <x:v>EDP - ENERGIAS DO BRASIL SA</x:v>
      </x:c>
      <x:c r="C4107" s="16" t="n">
        <x:v>423.5604375082</x:v>
      </x:c>
      <x:c r="D4107" s="13" t="str">
        <x:v>Utilities &amp; Energy</x:v>
      </x:c>
      <x:c r="E4107" s="13" t="str">
        <x:v>Utilities</x:v>
      </x:c>
      <x:c r="F4107" s="13" t="str">
        <x:v>Defensives</x:v>
      </x:c>
      <x:c r="G4107" s="13" t="str">
        <x:v>grid_asitui1y.xlsx</x:v>
      </x:c>
    </x:row>
    <x:row r="4108">
      <x:c r="A4108" s="15" t="n">
        <x:v>42125</x:v>
      </x:c>
      <x:c r="B4108" s="13" t="str">
        <x:v>ENGIE BRASIL ENERGIA SA</x:v>
      </x:c>
      <x:c r="C4108" s="16" t="n">
        <x:v>1461.520820459</x:v>
      </x:c>
      <x:c r="D4108" s="13" t="str">
        <x:v>Utilities &amp; Energy</x:v>
      </x:c>
      <x:c r="E4108" s="13" t="str">
        <x:v>Utilities</x:v>
      </x:c>
      <x:c r="F4108" s="13" t="str">
        <x:v>Defensives</x:v>
      </x:c>
      <x:c r="G4108" s="13" t="str">
        <x:v>grid_asitui1y.xlsx</x:v>
      </x:c>
    </x:row>
    <x:row r="4109">
      <x:c r="A4109" s="15" t="n">
        <x:v>42156</x:v>
      </x:c>
      <x:c r="B4109" s="13" t="str">
        <x:v>BANCO BRADESCO S.A.</x:v>
      </x:c>
      <x:c r="C4109" s="16" t="n">
        <x:v>18135.8609794098</x:v>
      </x:c>
      <x:c r="D4109" s="13" t="str">
        <x:v>Banks</x:v>
      </x:c>
      <x:c r="E4109" s="13" t="str">
        <x:v>Banks</x:v>
      </x:c>
      <x:c r="F4109" s="13" t="str">
        <x:v>Financials</x:v>
      </x:c>
      <x:c r="G4109" s="13" t="str">
        <x:v>grid_asitui1y.xlsx</x:v>
      </x:c>
    </x:row>
    <x:row r="4110">
      <x:c r="A4110" s="15" t="n">
        <x:v>42156</x:v>
      </x:c>
      <x:c r="B4110" s="13" t="str">
        <x:v>BANCO BRADESCO SA-PREF</x:v>
      </x:c>
      <x:c r="C4110" s="16" t="n">
        <x:v>18135.8609794098</x:v>
      </x:c>
      <x:c r="D4110" s="13" t="str">
        <x:v>Banks</x:v>
      </x:c>
      <x:c r="E4110" s="13" t="str">
        <x:v>Banks</x:v>
      </x:c>
      <x:c r="F4110" s="13" t="str">
        <x:v>Financials</x:v>
      </x:c>
      <x:c r="G4110" s="13" t="str">
        <x:v>grid_asitui1y.xlsx</x:v>
      </x:c>
    </x:row>
    <x:row r="4111">
      <x:c r="A4111" s="15" t="n">
        <x:v>42156</x:v>
      </x:c>
      <x:c r="B4111" s="13" t="str">
        <x:v>BANCO DO BRASIL S.A.</x:v>
      </x:c>
      <x:c r="C4111" s="16" t="n">
        <x:v>12423.4179511257</x:v>
      </x:c>
      <x:c r="D4111" s="13" t="str">
        <x:v>Banks</x:v>
      </x:c>
      <x:c r="E4111" s="13" t="str">
        <x:v>Banks</x:v>
      </x:c>
      <x:c r="F4111" s="13" t="str">
        <x:v>Financials</x:v>
      </x:c>
      <x:c r="G4111" s="13" t="str">
        <x:v>grid_asitui1y.xlsx</x:v>
      </x:c>
    </x:row>
    <x:row r="4112">
      <x:c r="A4112" s="15" t="n">
        <x:v>42156</x:v>
      </x:c>
      <x:c r="B4112" s="13" t="str">
        <x:v>BANCO SANTANDER  BRASIL-UNIT</x:v>
      </x:c>
      <x:c r="C4112" s="16" t="n">
        <x:v>6325.6335835628</x:v>
      </x:c>
      <x:c r="D4112" s="13" t="str">
        <x:v>Banks</x:v>
      </x:c>
      <x:c r="E4112" s="13" t="str">
        <x:v>Banks</x:v>
      </x:c>
      <x:c r="F4112" s="13" t="str">
        <x:v>Financials</x:v>
      </x:c>
      <x:c r="G4112" s="13" t="str">
        <x:v>grid_asitui1y.xlsx</x:v>
      </x:c>
    </x:row>
    <x:row r="4113">
      <x:c r="A4113" s="15" t="n">
        <x:v>42156</x:v>
      </x:c>
      <x:c r="B4113" s="13" t="str">
        <x:v>ITAU UNIBANCO HOLDING S-PREF</x:v>
      </x:c>
      <x:c r="C4113" s="16" t="n">
        <x:v>24003.3458164809</x:v>
      </x:c>
      <x:c r="D4113" s="13" t="str">
        <x:v>Banks</x:v>
      </x:c>
      <x:c r="E4113" s="13" t="str">
        <x:v>Banks</x:v>
      </x:c>
      <x:c r="F4113" s="13" t="str">
        <x:v>Financials</x:v>
      </x:c>
      <x:c r="G4113" s="13" t="str">
        <x:v>grid_asitui1y.xlsx</x:v>
      </x:c>
    </x:row>
    <x:row r="4114">
      <x:c r="A4114" s="15" t="n">
        <x:v>42156</x:v>
      </x:c>
      <x:c r="B4114" s="13" t="str">
        <x:v>EMBRAER SA</x:v>
      </x:c>
      <x:c r="C4114" s="16" t="n">
        <x:v>1181.236901071</x:v>
      </x:c>
      <x:c r="D4114" s="13" t="str">
        <x:v>Capital Goods</x:v>
      </x:c>
      <x:c r="E4114" s="13" t="str">
        <x:v>Capital Goods</x:v>
      </x:c>
      <x:c r="F4114" s="13" t="str">
        <x:v>Deep Cyclicals</x:v>
      </x:c>
      <x:c r="G4114" s="13" t="str">
        <x:v>grid_asitui1y.xlsx</x:v>
      </x:c>
    </x:row>
    <x:row r="4115">
      <x:c r="A4115" s="15" t="n">
        <x:v>42156</x:v>
      </x:c>
      <x:c r="B4115" s="13" t="str">
        <x:v>MARCOPOLO SA-PREF</x:v>
      </x:c>
      <x:c r="C4115" s="16" t="n">
        <x:v>230.8822622951</x:v>
      </x:c>
      <x:c r="D4115" s="13" t="str">
        <x:v>Capital Goods</x:v>
      </x:c>
      <x:c r="E4115" s="13" t="str">
        <x:v>Capital Goods</x:v>
      </x:c>
      <x:c r="F4115" s="13" t="str">
        <x:v>Deep Cyclicals</x:v>
      </x:c>
      <x:c r="G4115" s="13" t="str">
        <x:v>grid_asitui1y.xlsx</x:v>
      </x:c>
    </x:row>
    <x:row r="4116">
      <x:c r="A4116" s="15" t="n">
        <x:v>42156</x:v>
      </x:c>
      <x:c r="B4116" s="13" t="str">
        <x:v>COGNA EDUCACAO</x:v>
      </x:c>
      <x:c r="C4116" s="16" t="n">
        <x:v>1577.4219834754</x:v>
      </x:c>
      <x:c r="D4116" s="13" t="str">
        <x:v>Education</x:v>
      </x:c>
      <x:c r="E4116" s="13" t="str">
        <x:v>Education</x:v>
      </x:c>
      <x:c r="F4116" s="13" t="str">
        <x:v>Early Cyclicals</x:v>
      </x:c>
      <x:c r="G4116" s="13" t="str">
        <x:v>grid_asitui1y.xlsx</x:v>
      </x:c>
    </x:row>
    <x:row r="4117">
      <x:c r="A4117" s="15" t="n">
        <x:v>42156</x:v>
      </x:c>
      <x:c r="B4117" s="13" t="str">
        <x:v>YDUQS PARTICIPACOES SA</x:v>
      </x:c>
      <x:c r="C4117" s="16" t="n">
        <x:v>575.7717679563</x:v>
      </x:c>
      <x:c r="D4117" s="13" t="str">
        <x:v>Education</x:v>
      </x:c>
      <x:c r="E4117" s="13" t="str">
        <x:v>Education</x:v>
      </x:c>
      <x:c r="F4117" s="13" t="str">
        <x:v>Early Cyclicals</x:v>
      </x:c>
      <x:c r="G4117" s="13" t="str">
        <x:v>grid_asitui1y.xlsx</x:v>
      </x:c>
    </x:row>
    <x:row r="4118">
      <x:c r="A4118" s="15" t="n">
        <x:v>42156</x:v>
      </x:c>
      <x:c r="B4118" s="13" t="str">
        <x:v>B3 SA-BRASIL BOLSA BALCAO</x:v>
      </x:c>
      <x:c r="C4118" s="16" t="n">
        <x:v>1717.1739663388</x:v>
      </x:c>
      <x:c r="D4118" s="13" t="str">
        <x:v>Financials Non-Banks</x:v>
      </x:c>
      <x:c r="E4118" s="13" t="str">
        <x:v>Financials Non-Banks</x:v>
      </x:c>
      <x:c r="F4118" s="13" t="str">
        <x:v>Financials</x:v>
      </x:c>
      <x:c r="G4118" s="13" t="str">
        <x:v>grid_asitui1y.xlsx</x:v>
      </x:c>
    </x:row>
    <x:row r="4119">
      <x:c r="A4119" s="15" t="n">
        <x:v>42156</x:v>
      </x:c>
      <x:c r="B4119" s="13" t="str">
        <x:v>BB SEGURIDADE PARTICIPACOES</x:v>
      </x:c>
      <x:c r="C4119" s="16" t="n">
        <x:v>4246.499328</x:v>
      </x:c>
      <x:c r="D4119" s="13" t="str">
        <x:v>Financials Non-Banks</x:v>
      </x:c>
      <x:c r="E4119" s="13" t="str">
        <x:v>Financials Non-Banks</x:v>
      </x:c>
      <x:c r="F4119" s="13" t="str">
        <x:v>Financials</x:v>
      </x:c>
      <x:c r="G4119" s="13" t="str">
        <x:v>grid_asitui1y.xlsx</x:v>
      </x:c>
    </x:row>
    <x:row r="4120">
      <x:c r="A4120" s="15" t="n">
        <x:v>42156</x:v>
      </x:c>
      <x:c r="B4120" s="13" t="str">
        <x:v>CETIP SA-MERCADOS ORGANIZADO</x:v>
      </x:c>
      <x:c r="C4120" s="16" t="n">
        <x:v>557.9924784262</x:v>
      </x:c>
      <x:c r="D4120" s="13" t="str">
        <x:v>Financials Non-Banks</x:v>
      </x:c>
      <x:c r="E4120" s="13" t="str">
        <x:v>Financials Non-Banks</x:v>
      </x:c>
      <x:c r="F4120" s="13" t="str">
        <x:v>Financials</x:v>
      </x:c>
      <x:c r="G4120" s="13" t="str">
        <x:v>grid_asitui1y.xlsx</x:v>
      </x:c>
    </x:row>
    <x:row r="4121">
      <x:c r="A4121" s="15" t="n">
        <x:v>42156</x:v>
      </x:c>
      <x:c r="B4121" s="13" t="str">
        <x:v>CIELO SA - INSTITUICAO DE PA</x:v>
      </x:c>
      <x:c r="C4121" s="16" t="n">
        <x:v>3873.3019992131</x:v>
      </x:c>
      <x:c r="D4121" s="13" t="str">
        <x:v>Financials Non-Banks</x:v>
      </x:c>
      <x:c r="E4121" s="13" t="str">
        <x:v>Financials Non-Banks</x:v>
      </x:c>
      <x:c r="F4121" s="13" t="str">
        <x:v>Financials</x:v>
      </x:c>
      <x:c r="G4121" s="13" t="str">
        <x:v>grid_asitui1y.xlsx</x:v>
      </x:c>
    </x:row>
    <x:row r="4122">
      <x:c r="A4122" s="15" t="n">
        <x:v>42156</x:v>
      </x:c>
      <x:c r="B4122" s="13" t="str">
        <x:v>ITAUSA SA</x:v>
      </x:c>
      <x:c r="C4122" s="16" t="n">
        <x:v>8446.4317579891</x:v>
      </x:c>
      <x:c r="D4122" s="13" t="str">
        <x:v>Financials Non-Banks</x:v>
      </x:c>
      <x:c r="E4122" s="13" t="str">
        <x:v>Financials Non-Banks</x:v>
      </x:c>
      <x:c r="F4122" s="13" t="str">
        <x:v>Financials</x:v>
      </x:c>
      <x:c r="G4122" s="13" t="str">
        <x:v>grid_asitui1y.xlsx</x:v>
      </x:c>
    </x:row>
    <x:row r="4123">
      <x:c r="A4123" s="15" t="n">
        <x:v>42156</x:v>
      </x:c>
      <x:c r="B4123" s="13" t="str">
        <x:v>AMBEV SA</x:v>
      </x:c>
      <x:c r="C4123" s="16" t="n">
        <x:v>14512.747173071</x:v>
      </x:c>
      <x:c r="D4123" s="13" t="str">
        <x:v>Food &amp; Beverages</x:v>
      </x:c>
      <x:c r="E4123" s="13" t="str">
        <x:v>Agri, Food &amp; Beverages</x:v>
      </x:c>
      <x:c r="F4123" s="13" t="str">
        <x:v>Defensives</x:v>
      </x:c>
      <x:c r="G4123" s="13" t="str">
        <x:v>grid_asitui1y.xlsx</x:v>
      </x:c>
    </x:row>
    <x:row r="4124">
      <x:c r="A4124" s="15" t="n">
        <x:v>42156</x:v>
      </x:c>
      <x:c r="B4124" s="13" t="str">
        <x:v>BRF SA</x:v>
      </x:c>
      <x:c r="C4124" s="16" t="n">
        <x:v>3000.8045506448</x:v>
      </x:c>
      <x:c r="D4124" s="13" t="str">
        <x:v>Food &amp; Beverages</x:v>
      </x:c>
      <x:c r="E4124" s="13" t="str">
        <x:v>Agri, Food &amp; Beverages</x:v>
      </x:c>
      <x:c r="F4124" s="13" t="str">
        <x:v>Defensives</x:v>
      </x:c>
      <x:c r="G4124" s="13" t="str">
        <x:v>grid_asitui1y.xlsx</x:v>
      </x:c>
    </x:row>
    <x:row r="4125">
      <x:c r="A4125" s="15" t="n">
        <x:v>42156</x:v>
      </x:c>
      <x:c r="B4125" s="13" t="str">
        <x:v>MBRF GLOBAL FOODS COMPANY SA</x:v>
      </x:c>
      <x:c r="C4125" s="16" t="n">
        <x:v>-159.5203043716</x:v>
      </x:c>
      <x:c r="D4125" s="13" t="str">
        <x:v>Food &amp; Beverages</x:v>
      </x:c>
      <x:c r="E4125" s="13" t="str">
        <x:v>Agri, Food &amp; Beverages</x:v>
      </x:c>
      <x:c r="F4125" s="13" t="str">
        <x:v>Defensives</x:v>
      </x:c>
      <x:c r="G4125" s="13" t="str">
        <x:v>grid_asitui1y.xlsx</x:v>
      </x:c>
    </x:row>
    <x:row r="4126">
      <x:c r="A4126" s="15" t="n">
        <x:v>42156</x:v>
      </x:c>
      <x:c r="B4126" s="13" t="str">
        <x:v>SOUZA CRUZ LTDA</x:v>
      </x:c>
      <x:c r="C4126" s="16" t="n">
        <x:v>1803.4481031694</x:v>
      </x:c>
      <x:c r="D4126" s="13" t="str">
        <x:v>Food &amp; Beverages</x:v>
      </x:c>
      <x:c r="E4126" s="13" t="str">
        <x:v>Agri, Food &amp; Beverages</x:v>
      </x:c>
      <x:c r="F4126" s="13" t="str">
        <x:v>Defensives</x:v>
      </x:c>
      <x:c r="G4126" s="13" t="str">
        <x:v>grid_asitui1y.xlsx</x:v>
      </x:c>
    </x:row>
    <x:row r="4127">
      <x:c r="A4127" s="15" t="n">
        <x:v>42156</x:v>
      </x:c>
      <x:c r="B4127" s="13" t="str">
        <x:v>HYPERA SA</x:v>
      </x:c>
      <x:c r="C4127" s="16" t="n">
        <x:v>566.8536064699</x:v>
      </x:c>
      <x:c r="D4127" s="13" t="str">
        <x:v>Health Care</x:v>
      </x:c>
      <x:c r="E4127" s="13" t="str">
        <x:v>Health Care</x:v>
      </x:c>
      <x:c r="F4127" s="13" t="str">
        <x:v>Defensives</x:v>
      </x:c>
      <x:c r="G4127" s="13" t="str">
        <x:v>grid_asitui1y.xlsx</x:v>
      </x:c>
    </x:row>
    <x:row r="4128">
      <x:c r="A4128" s="15" t="n">
        <x:v>42156</x:v>
      </x:c>
      <x:c r="B4128" s="13" t="str">
        <x:v>QUALICORP CONS E CORR SEG SA</x:v>
      </x:c>
      <x:c r="C4128" s="16" t="n">
        <x:v>371.7295041749</x:v>
      </x:c>
      <x:c r="D4128" s="13" t="str">
        <x:v>Health Care</x:v>
      </x:c>
      <x:c r="E4128" s="13" t="str">
        <x:v>Health Care</x:v>
      </x:c>
      <x:c r="F4128" s="13" t="str">
        <x:v>Defensives</x:v>
      </x:c>
      <x:c r="G4128" s="13" t="str">
        <x:v>grid_asitui1y.xlsx</x:v>
      </x:c>
    </x:row>
    <x:row r="4129">
      <x:c r="A4129" s="15" t="n">
        <x:v>42156</x:v>
      </x:c>
      <x:c r="B4129" s="13" t="str">
        <x:v>CYRELA BRAZIL REALTY SA EMP</x:v>
      </x:c>
      <x:c r="C4129" s="16" t="n">
        <x:v>655.7189518689</x:v>
      </x:c>
      <x:c r="D4129" s="13" t="str">
        <x:v>Homebuilders</x:v>
      </x:c>
      <x:c r="E4129" s="13" t="str">
        <x:v>Real Estate</x:v>
      </x:c>
      <x:c r="F4129" s="13" t="str">
        <x:v>Early Cyclicals</x:v>
      </x:c>
      <x:c r="G4129" s="13" t="str">
        <x:v>grid_asitui1y.xlsx</x:v>
      </x:c>
    </x:row>
    <x:row r="4130">
      <x:c r="A4130" s="15" t="n">
        <x:v>42156</x:v>
      </x:c>
      <x:c r="B4130" s="13" t="str">
        <x:v>GAFISA SA</x:v>
      </x:c>
      <x:c r="C4130" s="16" t="n">
        <x:v>36.9443606557</x:v>
      </x:c>
      <x:c r="D4130" s="13" t="str">
        <x:v>Homebuilders</x:v>
      </x:c>
      <x:c r="E4130" s="13" t="str">
        <x:v>Real Estate</x:v>
      </x:c>
      <x:c r="F4130" s="13" t="str">
        <x:v>Early Cyclicals</x:v>
      </x:c>
      <x:c r="G4130" s="13" t="str">
        <x:v>grid_asitui1y.xlsx</x:v>
      </x:c>
    </x:row>
    <x:row r="4131">
      <x:c r="A4131" s="15" t="n">
        <x:v>42156</x:v>
      </x:c>
      <x:c r="B4131" s="13" t="str">
        <x:v>MRV ENGENHARIA</x:v>
      </x:c>
      <x:c r="C4131" s="16" t="n">
        <x:v>550.5437118251</x:v>
      </x:c>
      <x:c r="D4131" s="13" t="str">
        <x:v>Homebuilders</x:v>
      </x:c>
      <x:c r="E4131" s="13" t="str">
        <x:v>Real Estate</x:v>
      </x:c>
      <x:c r="F4131" s="13" t="str">
        <x:v>Early Cyclicals</x:v>
      </x:c>
      <x:c r="G4131" s="13" t="str">
        <x:v>grid_asitui1y.xlsx</x:v>
      </x:c>
    </x:row>
    <x:row r="4132">
      <x:c r="A4132" s="15" t="n">
        <x:v>42156</x:v>
      </x:c>
      <x:c r="B4132" s="13" t="str">
        <x:v>BR MALLS PARTICIPACOES SA</x:v>
      </x:c>
      <x:c r="C4132" s="16" t="n">
        <x:v>463.3366940328</x:v>
      </x:c>
      <x:c r="D4132" s="13" t="str">
        <x:v>Income Properties</x:v>
      </x:c>
      <x:c r="E4132" s="13" t="str">
        <x:v>Real Estate</x:v>
      </x:c>
      <x:c r="F4132" s="13" t="str">
        <x:v>Early Cyclicals</x:v>
      </x:c>
      <x:c r="G4132" s="13" t="str">
        <x:v>grid_asitui1y.xlsx</x:v>
      </x:c>
    </x:row>
    <x:row r="4133">
      <x:c r="A4133" s="15" t="n">
        <x:v>42156</x:v>
      </x:c>
      <x:c r="B4133" s="13" t="str">
        <x:v>MULTIPLAN EMPREENDIMENTOS</x:v>
      </x:c>
      <x:c r="C4133" s="16" t="n">
        <x:v>397.7174863388</x:v>
      </x:c>
      <x:c r="D4133" s="13" t="str">
        <x:v>Income Properties</x:v>
      </x:c>
      <x:c r="E4133" s="13" t="str">
        <x:v>Real Estate</x:v>
      </x:c>
      <x:c r="F4133" s="13" t="str">
        <x:v>Early Cyclicals</x:v>
      </x:c>
      <x:c r="G4133" s="13" t="str">
        <x:v>grid_asitui1y.xlsx</x:v>
      </x:c>
    </x:row>
    <x:row r="4134">
      <x:c r="A4134" s="15" t="n">
        <x:v>42156</x:v>
      </x:c>
      <x:c r="B4134" s="13" t="str">
        <x:v>SOLID ATIVOS IMOBILIARIOS SA</x:v>
      </x:c>
      <x:c r="C4134" s="16" t="n">
        <x:v>187.3759562842</x:v>
      </x:c>
      <x:c r="D4134" s="13" t="str">
        <x:v>Income Properties</x:v>
      </x:c>
      <x:c r="E4134" s="13" t="str">
        <x:v>Real Estate</x:v>
      </x:c>
      <x:c r="F4134" s="13" t="str">
        <x:v>Early Cyclicals</x:v>
      </x:c>
      <x:c r="G4134" s="13" t="str">
        <x:v>grid_asitui1y.xlsx</x:v>
      </x:c>
    </x:row>
    <x:row r="4135">
      <x:c r="A4135" s="15" t="n">
        <x:v>42156</x:v>
      </x:c>
      <x:c r="B4135" s="13" t="str">
        <x:v>BRADESPAR SA -PREF</x:v>
      </x:c>
      <x:c r="C4135" s="16" t="n">
        <x:v>-516.6994535519</x:v>
      </x:c>
      <x:c r="D4135" s="13" t="str">
        <x:v>Metals &amp; Mining</x:v>
      </x:c>
      <x:c r="E4135" s="13" t="str">
        <x:v>Metals &amp; Mining</x:v>
      </x:c>
      <x:c r="F4135" s="13" t="str">
        <x:v>Deep Cyclicals</x:v>
      </x:c>
      <x:c r="G4135" s="13" t="str">
        <x:v>grid_asitui1y.xlsx</x:v>
      </x:c>
    </x:row>
    <x:row r="4136">
      <x:c r="A4136" s="15" t="n">
        <x:v>42156</x:v>
      </x:c>
      <x:c r="B4136" s="13" t="str">
        <x:v>CIA SIDERURGICA NACIONAL SA</x:v>
      </x:c>
      <x:c r="C4136" s="16" t="n">
        <x:v>-475.8142775956</x:v>
      </x:c>
      <x:c r="D4136" s="13" t="str">
        <x:v>Metals &amp; Mining</x:v>
      </x:c>
      <x:c r="E4136" s="13" t="str">
        <x:v>Metals &amp; Mining</x:v>
      </x:c>
      <x:c r="F4136" s="13" t="str">
        <x:v>Deep Cyclicals</x:v>
      </x:c>
      <x:c r="G4136" s="13" t="str">
        <x:v>grid_asitui1y.xlsx</x:v>
      </x:c>
    </x:row>
    <x:row r="4137">
      <x:c r="A4137" s="15" t="n">
        <x:v>42156</x:v>
      </x:c>
      <x:c r="B4137" s="13" t="str">
        <x:v>GERDAU SA-PREF</x:v>
      </x:c>
      <x:c r="C4137" s="16" t="n">
        <x:v>1187.1806398251</x:v>
      </x:c>
      <x:c r="D4137" s="13" t="str">
        <x:v>Metals &amp; Mining</x:v>
      </x:c>
      <x:c r="E4137" s="13" t="str">
        <x:v>Metals &amp; Mining</x:v>
      </x:c>
      <x:c r="F4137" s="13" t="str">
        <x:v>Deep Cyclicals</x:v>
      </x:c>
      <x:c r="G4137" s="13" t="str">
        <x:v>grid_asitui1y.xlsx</x:v>
      </x:c>
    </x:row>
    <x:row r="4138">
      <x:c r="A4138" s="15" t="n">
        <x:v>42156</x:v>
      </x:c>
      <x:c r="B4138" s="13" t="str">
        <x:v>USINAS SIDER MINAS GER-PF A</x:v>
      </x:c>
      <x:c r="C4138" s="16" t="n">
        <x:v>-244.6304677596</x:v>
      </x:c>
      <x:c r="D4138" s="13" t="str">
        <x:v>Metals &amp; Mining</x:v>
      </x:c>
      <x:c r="E4138" s="13" t="str">
        <x:v>Metals &amp; Mining</x:v>
      </x:c>
      <x:c r="F4138" s="13" t="str">
        <x:v>Deep Cyclicals</x:v>
      </x:c>
      <x:c r="G4138" s="13" t="str">
        <x:v>grid_asitui1y.xlsx</x:v>
      </x:c>
    </x:row>
    <x:row r="4139">
      <x:c r="A4139" s="15" t="n">
        <x:v>42156</x:v>
      </x:c>
      <x:c r="B4139" s="13" t="str">
        <x:v>VALE SA</x:v>
      </x:c>
      <x:c r="C4139" s="16" t="n">
        <x:v>621.5377975956</x:v>
      </x:c>
      <x:c r="D4139" s="13" t="str">
        <x:v>Metals &amp; Mining</x:v>
      </x:c>
      <x:c r="E4139" s="13" t="str">
        <x:v>Metals &amp; Mining</x:v>
      </x:c>
      <x:c r="F4139" s="13" t="str">
        <x:v>Deep Cyclicals</x:v>
      </x:c>
      <x:c r="G4139" s="13" t="str">
        <x:v>grid_asitui1y.xlsx</x:v>
      </x:c>
    </x:row>
    <x:row r="4140">
      <x:c r="A4140" s="15" t="n">
        <x:v>42156</x:v>
      </x:c>
      <x:c r="B4140" s="13" t="str">
        <x:v>BRASKEM SA-PREF A</x:v>
      </x:c>
      <x:c r="C4140" s="16" t="n">
        <x:v>1283.878415388</x:v>
      </x:c>
      <x:c r="D4140" s="13" t="str">
        <x:v>Oil, Gas &amp; Petrochemicals</x:v>
      </x:c>
      <x:c r="E4140" s="13" t="str">
        <x:v>Oil, Gas &amp; Petrochemicals</x:v>
      </x:c>
      <x:c r="F4140" s="13" t="str">
        <x:v>Deep Cyclicals</x:v>
      </x:c>
      <x:c r="G4140" s="13" t="str">
        <x:v>grid_asitui1y.xlsx</x:v>
      </x:c>
    </x:row>
    <x:row r="4141">
      <x:c r="A4141" s="15" t="n">
        <x:v>42156</x:v>
      </x:c>
      <x:c r="B4141" s="13" t="str">
        <x:v>COSAN SA</x:v>
      </x:c>
      <x:c r="C4141" s="16" t="n">
        <x:v>866.6072540328</x:v>
      </x:c>
      <x:c r="D4141" s="13" t="str">
        <x:v>Oil, Gas &amp; Petrochemicals</x:v>
      </x:c>
      <x:c r="E4141" s="13" t="str">
        <x:v>Oil, Gas &amp; Petrochemicals</x:v>
      </x:c>
      <x:c r="F4141" s="13" t="str">
        <x:v>Deep Cyclicals</x:v>
      </x:c>
      <x:c r="G4141" s="13" t="str">
        <x:v>grid_asitui1y.xlsx</x:v>
      </x:c>
    </x:row>
    <x:row r="4142">
      <x:c r="A4142" s="15" t="n">
        <x:v>42156</x:v>
      </x:c>
      <x:c r="B4142" s="13" t="str">
        <x:v>PETROBRAS - PETROLEO BRAS</x:v>
      </x:c>
      <x:c r="C4142" s="16" t="n">
        <x:v>18968.5828154754</x:v>
      </x:c>
      <x:c r="D4142" s="13" t="str">
        <x:v>Oil, Gas &amp; Petrochemicals</x:v>
      </x:c>
      <x:c r="E4142" s="13" t="str">
        <x:v>Oil, Gas &amp; Petrochemicals</x:v>
      </x:c>
      <x:c r="F4142" s="13" t="str">
        <x:v>Deep Cyclicals</x:v>
      </x:c>
      <x:c r="G4142" s="13" t="str">
        <x:v>grid_asitui1y.xlsx</x:v>
      </x:c>
    </x:row>
    <x:row r="4143">
      <x:c r="A4143" s="15" t="n">
        <x:v>42156</x:v>
      </x:c>
      <x:c r="B4143" s="13" t="str">
        <x:v>ULTRAPAR PARTICIPACOES SA</x:v>
      </x:c>
      <x:c r="C4143" s="16" t="n">
        <x:v>1571.7125203934</x:v>
      </x:c>
      <x:c r="D4143" s="13" t="str">
        <x:v>Oil, Gas &amp; Petrochemicals</x:v>
      </x:c>
      <x:c r="E4143" s="13" t="str">
        <x:v>Oil, Gas &amp; Petrochemicals</x:v>
      </x:c>
      <x:c r="F4143" s="13" t="str">
        <x:v>Deep Cyclicals</x:v>
      </x:c>
      <x:c r="G4143" s="13" t="str">
        <x:v>grid_asitui1y.xlsx</x:v>
      </x:c>
    </x:row>
    <x:row r="4144">
      <x:c r="A4144" s="15" t="n">
        <x:v>42156</x:v>
      </x:c>
      <x:c r="B4144" s="13" t="str">
        <x:v>DEXCO SA</x:v>
      </x:c>
      <x:c r="C4144" s="16" t="n">
        <x:v>433.0589945355</x:v>
      </x:c>
      <x:c r="D4144" s="13" t="str">
        <x:v>Pulp &amp; Paper</x:v>
      </x:c>
      <x:c r="E4144" s="13" t="str">
        <x:v>Pulp &amp; Paper</x:v>
      </x:c>
      <x:c r="F4144" s="13" t="str">
        <x:v>Deep Cyclicals</x:v>
      </x:c>
      <x:c r="G4144" s="13" t="str">
        <x:v>grid_asitui1y.xlsx</x:v>
      </x:c>
    </x:row>
    <x:row r="4145">
      <x:c r="A4145" s="15" t="n">
        <x:v>42156</x:v>
      </x:c>
      <x:c r="B4145" s="13" t="str">
        <x:v>FIBRIA CELULOSE S/A</x:v>
      </x:c>
      <x:c r="C4145" s="16" t="n">
        <x:v>783.8825176831</x:v>
      </x:c>
      <x:c r="D4145" s="13" t="str">
        <x:v>Pulp &amp; Paper</x:v>
      </x:c>
      <x:c r="E4145" s="13" t="str">
        <x:v>Pulp &amp; Paper</x:v>
      </x:c>
      <x:c r="F4145" s="13" t="str">
        <x:v>Deep Cyclicals</x:v>
      </x:c>
      <x:c r="G4145" s="13" t="str">
        <x:v>grid_asitui1y.xlsx</x:v>
      </x:c>
    </x:row>
    <x:row r="4146">
      <x:c r="A4146" s="15" t="n">
        <x:v>42156</x:v>
      </x:c>
      <x:c r="B4146" s="13" t="str">
        <x:v>KLABIN SA - UNIT</x:v>
      </x:c>
      <x:c r="C4146" s="16" t="n">
        <x:v>212.3418142077</x:v>
      </x:c>
      <x:c r="D4146" s="13" t="str">
        <x:v>Pulp &amp; Paper</x:v>
      </x:c>
      <x:c r="E4146" s="13" t="str">
        <x:v>Pulp &amp; Paper</x:v>
      </x:c>
      <x:c r="F4146" s="13" t="str">
        <x:v>Deep Cyclicals</x:v>
      </x:c>
      <x:c r="G4146" s="13" t="str">
        <x:v>grid_asitui1y.xlsx</x:v>
      </x:c>
    </x:row>
    <x:row r="4147">
      <x:c r="A4147" s="15" t="n">
        <x:v>42156</x:v>
      </x:c>
      <x:c r="B4147" s="13" t="str">
        <x:v>SUZANO PAPEL E CELULO-PREF A</x:v>
      </x:c>
      <x:c r="C4147" s="16" t="n">
        <x:v>928.7700347104</x:v>
      </x:c>
      <x:c r="D4147" s="13" t="str">
        <x:v>Pulp &amp; Paper</x:v>
      </x:c>
      <x:c r="E4147" s="13" t="str">
        <x:v>Pulp &amp; Paper</x:v>
      </x:c>
      <x:c r="F4147" s="13" t="str">
        <x:v>Deep Cyclicals</x:v>
      </x:c>
      <x:c r="G4147" s="13" t="str">
        <x:v>grid_asitui1y.xlsx</x:v>
      </x:c>
    </x:row>
    <x:row r="4148">
      <x:c r="A4148" s="15" t="n">
        <x:v>42156</x:v>
      </x:c>
      <x:c r="B4148" s="13" t="str">
        <x:v>CIA BRASILEIRA DE DIS-PREF</x:v>
      </x:c>
      <x:c r="C4148" s="16" t="n">
        <x:v>1501.1715378361</x:v>
      </x:c>
      <x:c r="D4148" s="13" t="str">
        <x:v>Retail</x:v>
      </x:c>
      <x:c r="E4148" s="13" t="str">
        <x:v>Retail</x:v>
      </x:c>
      <x:c r="F4148" s="13" t="str">
        <x:v>Early Cyclicals</x:v>
      </x:c>
      <x:c r="G4148" s="13" t="str">
        <x:v>grid_asitui1y.xlsx</x:v>
      </x:c>
    </x:row>
    <x:row r="4149">
      <x:c r="A4149" s="15" t="n">
        <x:v>42156</x:v>
      </x:c>
      <x:c r="B4149" s="13" t="str">
        <x:v>CIA HERING</x:v>
      </x:c>
      <x:c r="C4149" s="16" t="n">
        <x:v>277.5339205246</x:v>
      </x:c>
      <x:c r="D4149" s="13" t="str">
        <x:v>Retail</x:v>
      </x:c>
      <x:c r="E4149" s="13" t="str">
        <x:v>Retail</x:v>
      </x:c>
      <x:c r="F4149" s="13" t="str">
        <x:v>Early Cyclicals</x:v>
      </x:c>
      <x:c r="G4149" s="13" t="str">
        <x:v>grid_asitui1y.xlsx</x:v>
      </x:c>
    </x:row>
    <x:row r="4150">
      <x:c r="A4150" s="15" t="n">
        <x:v>42156</x:v>
      </x:c>
      <x:c r="B4150" s="13" t="str">
        <x:v>LOJAS AMERICANAS SA-PREF</x:v>
      </x:c>
      <x:c r="C4150" s="16" t="n">
        <x:v>656.3378535519</x:v>
      </x:c>
      <x:c r="D4150" s="13" t="str">
        <x:v>Retail</x:v>
      </x:c>
      <x:c r="E4150" s="13" t="str">
        <x:v>Retail</x:v>
      </x:c>
      <x:c r="F4150" s="13" t="str">
        <x:v>Early Cyclicals</x:v>
      </x:c>
      <x:c r="G4150" s="13" t="str">
        <x:v>grid_asitui1y.xlsx</x:v>
      </x:c>
    </x:row>
    <x:row r="4151">
      <x:c r="A4151" s="15" t="n">
        <x:v>42156</x:v>
      </x:c>
      <x:c r="B4151" s="13" t="str">
        <x:v>LOJAS RENNER S.A.</x:v>
      </x:c>
      <x:c r="C4151" s="16" t="n">
        <x:v>649.9369533552</x:v>
      </x:c>
      <x:c r="D4151" s="13" t="str">
        <x:v>Retail</x:v>
      </x:c>
      <x:c r="E4151" s="13" t="str">
        <x:v>Retail</x:v>
      </x:c>
      <x:c r="F4151" s="13" t="str">
        <x:v>Early Cyclicals</x:v>
      </x:c>
      <x:c r="G4151" s="13" t="str">
        <x:v>grid_asitui1y.xlsx</x:v>
      </x:c>
    </x:row>
    <x:row r="4152">
      <x:c r="A4152" s="15" t="n">
        <x:v>42156</x:v>
      </x:c>
      <x:c r="B4152" s="13" t="str">
        <x:v>NATURA COSMETICOS SA</x:v>
      </x:c>
      <x:c r="C4152" s="16" t="n">
        <x:v>790.3449096393</x:v>
      </x:c>
      <x:c r="D4152" s="13" t="str">
        <x:v>Retail</x:v>
      </x:c>
      <x:c r="E4152" s="13" t="str">
        <x:v>Retail</x:v>
      </x:c>
      <x:c r="F4152" s="13" t="str">
        <x:v>Early Cyclicals</x:v>
      </x:c>
      <x:c r="G4152" s="13" t="str">
        <x:v>grid_asitui1y.xlsx</x:v>
      </x:c>
    </x:row>
    <x:row r="4153">
      <x:c r="A4153" s="15" t="n">
        <x:v>42156</x:v>
      </x:c>
      <x:c r="B4153" s="13" t="str">
        <x:v>CIA SANEAMENTO BASICO DE SP</x:v>
      </x:c>
      <x:c r="C4153" s="16" t="n">
        <x:v>1111.3579394098</x:v>
      </x:c>
      <x:c r="D4153" s="13" t="str">
        <x:v>Sanitation</x:v>
      </x:c>
      <x:c r="E4153" s="13" t="str">
        <x:v>Utilities</x:v>
      </x:c>
      <x:c r="F4153" s="13" t="str">
        <x:v>Defensives</x:v>
      </x:c>
      <x:c r="G4153" s="13" t="str">
        <x:v>grid_asitui1y.xlsx</x:v>
      </x:c>
    </x:row>
    <x:row r="4154">
      <x:c r="A4154" s="15" t="n">
        <x:v>42156</x:v>
      </x:c>
      <x:c r="B4154" s="13" t="str">
        <x:v>OI SA-PREFERENCE</x:v>
      </x:c>
      <x:c r="C4154" s="16" t="n">
        <x:v>-786.1340205464</x:v>
      </x:c>
      <x:c r="D4154" s="13" t="str">
        <x:v>TMT</x:v>
      </x:c>
      <x:c r="E4154" s="13" t="str">
        <x:v>TMT</x:v>
      </x:c>
      <x:c r="F4154" s="13" t="str">
        <x:v>Early Cyclicals</x:v>
      </x:c>
      <x:c r="G4154" s="13" t="str">
        <x:v>grid_asitui1y.xlsx</x:v>
      </x:c>
    </x:row>
    <x:row r="4155">
      <x:c r="A4155" s="15" t="n">
        <x:v>42156</x:v>
      </x:c>
      <x:c r="B4155" s="13" t="str">
        <x:v>TELEFONICA BRASIL S.A.-PREF</x:v>
      </x:c>
      <x:c r="C4155" s="16" t="n">
        <x:v>4787.9135489399</x:v>
      </x:c>
      <x:c r="D4155" s="13" t="str">
        <x:v>TMT</x:v>
      </x:c>
      <x:c r="E4155" s="13" t="str">
        <x:v>TMT</x:v>
      </x:c>
      <x:c r="F4155" s="13" t="str">
        <x:v>Early Cyclicals</x:v>
      </x:c>
      <x:c r="G4155" s="13" t="str">
        <x:v>grid_asitui1y.xlsx</x:v>
      </x:c>
    </x:row>
    <x:row r="4156">
      <x:c r="A4156" s="15" t="n">
        <x:v>42156</x:v>
      </x:c>
      <x:c r="B4156" s="13" t="str">
        <x:v>TIM SA</x:v>
      </x:c>
      <x:c r="C4156" s="16" t="n">
        <x:v>1514.0119431694</x:v>
      </x:c>
      <x:c r="D4156" s="13" t="str">
        <x:v>TMT</x:v>
      </x:c>
      <x:c r="E4156" s="13" t="str">
        <x:v>TMT</x:v>
      </x:c>
      <x:c r="F4156" s="13" t="str">
        <x:v>Early Cyclicals</x:v>
      </x:c>
      <x:c r="G4156" s="13" t="str">
        <x:v>grid_asitui1y.xlsx</x:v>
      </x:c>
    </x:row>
    <x:row r="4157">
      <x:c r="A4157" s="15" t="n">
        <x:v>42156</x:v>
      </x:c>
      <x:c r="B4157" s="13" t="str">
        <x:v>ECORODOVIAS INFRA E LOG SA</x:v>
      </x:c>
      <x:c r="C4157" s="16" t="n">
        <x:v>315.1300929399</x:v>
      </x:c>
      <x:c r="D4157" s="13" t="str">
        <x:v>Transportation</x:v>
      </x:c>
      <x:c r="E4157" s="13" t="str">
        <x:v>Transportation</x:v>
      </x:c>
      <x:c r="F4157" s="13" t="str">
        <x:v>Deep Cyclicals</x:v>
      </x:c>
      <x:c r="G4157" s="13" t="str">
        <x:v>grid_asitui1y.xlsx</x:v>
      </x:c>
    </x:row>
    <x:row r="4158">
      <x:c r="A4158" s="15" t="n">
        <x:v>42156</x:v>
      </x:c>
      <x:c r="B4158" s="13" t="str">
        <x:v>GOL LINHAS AEREAS INT SA-PRE</x:v>
      </x:c>
      <x:c r="C4158" s="16" t="n">
        <x:v>-541.627704918</x:v>
      </x:c>
      <x:c r="D4158" s="13" t="str">
        <x:v>Transportation</x:v>
      </x:c>
      <x:c r="E4158" s="13" t="str">
        <x:v>Transportation</x:v>
      </x:c>
      <x:c r="F4158" s="13" t="str">
        <x:v>Deep Cyclicals</x:v>
      </x:c>
      <x:c r="G4158" s="13" t="str">
        <x:v>grid_asitui1y.xlsx</x:v>
      </x:c>
    </x:row>
    <x:row r="4159">
      <x:c r="A4159" s="15" t="n">
        <x:v>42156</x:v>
      </x:c>
      <x:c r="B4159" s="13" t="str">
        <x:v>LOCALIZA RENT A CAR</x:v>
      </x:c>
      <x:c r="C4159" s="16" t="n">
        <x:v>437.1784232568</x:v>
      </x:c>
      <x:c r="D4159" s="13" t="str">
        <x:v>Transportation</x:v>
      </x:c>
      <x:c r="E4159" s="13" t="str">
        <x:v>Transportation</x:v>
      </x:c>
      <x:c r="F4159" s="13" t="str">
        <x:v>Deep Cyclicals</x:v>
      </x:c>
      <x:c r="G4159" s="13" t="str">
        <x:v>grid_asitui1y.xlsx</x:v>
      </x:c>
    </x:row>
    <x:row r="4160">
      <x:c r="A4160" s="15" t="n">
        <x:v>42156</x:v>
      </x:c>
      <x:c r="B4160" s="13" t="str">
        <x:v>MOTIVA INFRAESTRUTURA DE MOB</x:v>
      </x:c>
      <x:c r="C4160" s="16" t="n">
        <x:v>1346.7752456393</x:v>
      </x:c>
      <x:c r="D4160" s="13" t="str">
        <x:v>Transportation</x:v>
      </x:c>
      <x:c r="E4160" s="13" t="str">
        <x:v>Transportation</x:v>
      </x:c>
      <x:c r="F4160" s="13" t="str">
        <x:v>Deep Cyclicals</x:v>
      </x:c>
      <x:c r="G4160" s="13" t="str">
        <x:v>grid_asitui1y.xlsx</x:v>
      </x:c>
    </x:row>
    <x:row r="4161">
      <x:c r="A4161" s="15" t="n">
        <x:v>42156</x:v>
      </x:c>
      <x:c r="B4161" s="13" t="str">
        <x:v>AXIA ENERGIA SA</x:v>
      </x:c>
      <x:c r="C4161" s="16" t="n">
        <x:v>-126.819704306</x:v>
      </x:c>
      <x:c r="D4161" s="13" t="str">
        <x:v>Utilities &amp; Energy</x:v>
      </x:c>
      <x:c r="E4161" s="13" t="str">
        <x:v>Utilities</x:v>
      </x:c>
      <x:c r="F4161" s="13" t="str">
        <x:v>Defensives</x:v>
      </x:c>
      <x:c r="G4161" s="13" t="str">
        <x:v>grid_asitui1y.xlsx</x:v>
      </x:c>
    </x:row>
    <x:row r="4162">
      <x:c r="A4162" s="15" t="n">
        <x:v>42156</x:v>
      </x:c>
      <x:c r="B4162" s="13" t="str">
        <x:v>AXIA ENERGIA-PR B</x:v>
      </x:c>
      <x:c r="C4162" s="16" t="n">
        <x:v>-126.819704306</x:v>
      </x:c>
      <x:c r="D4162" s="13" t="str">
        <x:v>Utilities &amp; Energy</x:v>
      </x:c>
      <x:c r="E4162" s="13" t="str">
        <x:v>Utilities</x:v>
      </x:c>
      <x:c r="F4162" s="13" t="str">
        <x:v>Defensives</x:v>
      </x:c>
      <x:c r="G4162" s="13" t="str">
        <x:v>grid_asitui1y.xlsx</x:v>
      </x:c>
    </x:row>
    <x:row r="4163">
      <x:c r="A4163" s="15" t="n">
        <x:v>42156</x:v>
      </x:c>
      <x:c r="B4163" s="13" t="str">
        <x:v>CESP - CIA ENERGETICA DE SAO</x:v>
      </x:c>
      <x:c r="C4163" s="16" t="n">
        <x:v>531.388236765</x:v>
      </x:c>
      <x:c r="D4163" s="13" t="str">
        <x:v>Utilities &amp; Energy</x:v>
      </x:c>
      <x:c r="E4163" s="13" t="str">
        <x:v>Utilities</x:v>
      </x:c>
      <x:c r="F4163" s="13" t="str">
        <x:v>Defensives</x:v>
      </x:c>
      <x:c r="G4163" s="13" t="str">
        <x:v>grid_asitui1y.xlsx</x:v>
      </x:c>
    </x:row>
    <x:row r="4164">
      <x:c r="A4164" s="15" t="n">
        <x:v>42156</x:v>
      </x:c>
      <x:c r="B4164" s="13" t="str">
        <x:v>CIA ENERGETICA MINAS GER-PRF</x:v>
      </x:c>
      <x:c r="C4164" s="16" t="n">
        <x:v>1820.8824655738</x:v>
      </x:c>
      <x:c r="D4164" s="13" t="str">
        <x:v>Utilities &amp; Energy</x:v>
      </x:c>
      <x:c r="E4164" s="13" t="str">
        <x:v>Utilities</x:v>
      </x:c>
      <x:c r="F4164" s="13" t="str">
        <x:v>Defensives</x:v>
      </x:c>
      <x:c r="G4164" s="13" t="str">
        <x:v>grid_asitui1y.xlsx</x:v>
      </x:c>
    </x:row>
    <x:row r="4165">
      <x:c r="A4165" s="15" t="n">
        <x:v>42156</x:v>
      </x:c>
      <x:c r="B4165" s="13" t="str">
        <x:v>COMPANHIA PARANAENSE -PREF B</x:v>
      </x:c>
      <x:c r="C4165" s="16" t="n">
        <x:v>1076.562206776</x:v>
      </x:c>
      <x:c r="D4165" s="13" t="str">
        <x:v>Utilities &amp; Energy</x:v>
      </x:c>
      <x:c r="E4165" s="13" t="str">
        <x:v>Utilities</x:v>
      </x:c>
      <x:c r="F4165" s="13" t="str">
        <x:v>Defensives</x:v>
      </x:c>
      <x:c r="G4165" s="13" t="str">
        <x:v>grid_asitui1y.xlsx</x:v>
      </x:c>
    </x:row>
    <x:row r="4166">
      <x:c r="A4166" s="15" t="n">
        <x:v>42156</x:v>
      </x:c>
      <x:c r="B4166" s="13" t="str">
        <x:v>CPFL ENERGIA SA</x:v>
      </x:c>
      <x:c r="C4166" s="16" t="n">
        <x:v>1246.1861896393</x:v>
      </x:c>
      <x:c r="D4166" s="13" t="str">
        <x:v>Utilities &amp; Energy</x:v>
      </x:c>
      <x:c r="E4166" s="13" t="str">
        <x:v>Utilities</x:v>
      </x:c>
      <x:c r="F4166" s="13" t="str">
        <x:v>Defensives</x:v>
      </x:c>
      <x:c r="G4166" s="13" t="str">
        <x:v>grid_asitui1y.xlsx</x:v>
      </x:c>
    </x:row>
    <x:row r="4167">
      <x:c r="A4167" s="15" t="n">
        <x:v>42156</x:v>
      </x:c>
      <x:c r="B4167" s="13" t="str">
        <x:v>EDP - ENERGIAS DO BRASIL SA</x:v>
      </x:c>
      <x:c r="C4167" s="16" t="n">
        <x:v>457.0218579235</x:v>
      </x:c>
      <x:c r="D4167" s="13" t="str">
        <x:v>Utilities &amp; Energy</x:v>
      </x:c>
      <x:c r="E4167" s="13" t="str">
        <x:v>Utilities</x:v>
      </x:c>
      <x:c r="F4167" s="13" t="str">
        <x:v>Defensives</x:v>
      </x:c>
      <x:c r="G4167" s="13" t="str">
        <x:v>grid_asitui1y.xlsx</x:v>
      </x:c>
    </x:row>
    <x:row r="4168">
      <x:c r="A4168" s="15" t="n">
        <x:v>42156</x:v>
      </x:c>
      <x:c r="B4168" s="13" t="str">
        <x:v>ENGIE BRASIL ENERGIA SA</x:v>
      </x:c>
      <x:c r="C4168" s="16" t="n">
        <x:v>1449.817704918</x:v>
      </x:c>
      <x:c r="D4168" s="13" t="str">
        <x:v>Utilities &amp; Energy</x:v>
      </x:c>
      <x:c r="E4168" s="13" t="str">
        <x:v>Utilities</x:v>
      </x:c>
      <x:c r="F4168" s="13" t="str">
        <x:v>Defensives</x:v>
      </x:c>
      <x:c r="G4168" s="13" t="str">
        <x:v>grid_asitui1y.xlsx</x:v>
      </x:c>
    </x:row>
    <x:row r="4169">
      <x:c r="A4169" s="15" t="n">
        <x:v>42186</x:v>
      </x:c>
      <x:c r="B4169" s="13" t="str">
        <x:v>BANCO BRADESCO S.A.</x:v>
      </x:c>
      <x:c r="C4169" s="16" t="n">
        <x:v>18338.2490397377</x:v>
      </x:c>
      <x:c r="D4169" s="13" t="str">
        <x:v>Banks</x:v>
      </x:c>
      <x:c r="E4169" s="13" t="str">
        <x:v>Banks</x:v>
      </x:c>
      <x:c r="F4169" s="13" t="str">
        <x:v>Financials</x:v>
      </x:c>
      <x:c r="G4169" s="13" t="str">
        <x:v>grid_asitui1y.xlsx</x:v>
      </x:c>
    </x:row>
    <x:row r="4170">
      <x:c r="A4170" s="15" t="n">
        <x:v>42186</x:v>
      </x:c>
      <x:c r="B4170" s="13" t="str">
        <x:v>BANCO BRADESCO SA-PREF</x:v>
      </x:c>
      <x:c r="C4170" s="16" t="n">
        <x:v>18338.2490397377</x:v>
      </x:c>
      <x:c r="D4170" s="13" t="str">
        <x:v>Banks</x:v>
      </x:c>
      <x:c r="E4170" s="13" t="str">
        <x:v>Banks</x:v>
      </x:c>
      <x:c r="F4170" s="13" t="str">
        <x:v>Financials</x:v>
      </x:c>
      <x:c r="G4170" s="13" t="str">
        <x:v>grid_asitui1y.xlsx</x:v>
      </x:c>
    </x:row>
    <x:row r="4171">
      <x:c r="A4171" s="15" t="n">
        <x:v>42186</x:v>
      </x:c>
      <x:c r="B4171" s="13" t="str">
        <x:v>BANCO DO BRASIL S.A.</x:v>
      </x:c>
      <x:c r="C4171" s="16" t="n">
        <x:v>12506.109003541</x:v>
      </x:c>
      <x:c r="D4171" s="13" t="str">
        <x:v>Banks</x:v>
      </x:c>
      <x:c r="E4171" s="13" t="str">
        <x:v>Banks</x:v>
      </x:c>
      <x:c r="F4171" s="13" t="str">
        <x:v>Financials</x:v>
      </x:c>
      <x:c r="G4171" s="13" t="str">
        <x:v>grid_asitui1y.xlsx</x:v>
      </x:c>
    </x:row>
    <x:row r="4172">
      <x:c r="A4172" s="15" t="n">
        <x:v>42186</x:v>
      </x:c>
      <x:c r="B4172" s="13" t="str">
        <x:v>BANCO SANTANDER  BRASIL-UNIT</x:v>
      </x:c>
      <x:c r="C4172" s="16" t="n">
        <x:v>6374.1564264918</x:v>
      </x:c>
      <x:c r="D4172" s="13" t="str">
        <x:v>Banks</x:v>
      </x:c>
      <x:c r="E4172" s="13" t="str">
        <x:v>Banks</x:v>
      </x:c>
      <x:c r="F4172" s="13" t="str">
        <x:v>Financials</x:v>
      </x:c>
      <x:c r="G4172" s="13" t="str">
        <x:v>grid_asitui1y.xlsx</x:v>
      </x:c>
    </x:row>
    <x:row r="4173">
      <x:c r="A4173" s="15" t="n">
        <x:v>42186</x:v>
      </x:c>
      <x:c r="B4173" s="13" t="str">
        <x:v>ITAU UNIBANCO HOLDING S-PREF</x:v>
      </x:c>
      <x:c r="C4173" s="16" t="n">
        <x:v>23858.514507541</x:v>
      </x:c>
      <x:c r="D4173" s="13" t="str">
        <x:v>Banks</x:v>
      </x:c>
      <x:c r="E4173" s="13" t="str">
        <x:v>Banks</x:v>
      </x:c>
      <x:c r="F4173" s="13" t="str">
        <x:v>Financials</x:v>
      </x:c>
      <x:c r="G4173" s="13" t="str">
        <x:v>grid_asitui1y.xlsx</x:v>
      </x:c>
    </x:row>
    <x:row r="4174">
      <x:c r="A4174" s="15" t="n">
        <x:v>42186</x:v>
      </x:c>
      <x:c r="B4174" s="13" t="str">
        <x:v>EMBRAER SA</x:v>
      </x:c>
      <x:c r="C4174" s="16" t="n">
        <x:v>1277.9666706885</x:v>
      </x:c>
      <x:c r="D4174" s="13" t="str">
        <x:v>Capital Goods</x:v>
      </x:c>
      <x:c r="E4174" s="13" t="str">
        <x:v>Capital Goods</x:v>
      </x:c>
      <x:c r="F4174" s="13" t="str">
        <x:v>Deep Cyclicals</x:v>
      </x:c>
      <x:c r="G4174" s="13" t="str">
        <x:v>grid_asitui1y.xlsx</x:v>
      </x:c>
    </x:row>
    <x:row r="4175">
      <x:c r="A4175" s="15" t="n">
        <x:v>42186</x:v>
      </x:c>
      <x:c r="B4175" s="13" t="str">
        <x:v>MARCOPOLO SA-PREF</x:v>
      </x:c>
      <x:c r="C4175" s="16" t="n">
        <x:v>234.7209672131</x:v>
      </x:c>
      <x:c r="D4175" s="13" t="str">
        <x:v>Capital Goods</x:v>
      </x:c>
      <x:c r="E4175" s="13" t="str">
        <x:v>Capital Goods</x:v>
      </x:c>
      <x:c r="F4175" s="13" t="str">
        <x:v>Deep Cyclicals</x:v>
      </x:c>
      <x:c r="G4175" s="13" t="str">
        <x:v>grid_asitui1y.xlsx</x:v>
      </x:c>
    </x:row>
    <x:row r="4176">
      <x:c r="A4176" s="15" t="n">
        <x:v>42186</x:v>
      </x:c>
      <x:c r="B4176" s="13" t="str">
        <x:v>COGNA EDUCACAO</x:v>
      </x:c>
      <x:c r="C4176" s="16" t="n">
        <x:v>1560.9211908197</x:v>
      </x:c>
      <x:c r="D4176" s="13" t="str">
        <x:v>Education</x:v>
      </x:c>
      <x:c r="E4176" s="13" t="str">
        <x:v>Education</x:v>
      </x:c>
      <x:c r="F4176" s="13" t="str">
        <x:v>Early Cyclicals</x:v>
      </x:c>
      <x:c r="G4176" s="13" t="str">
        <x:v>grid_asitui1y.xlsx</x:v>
      </x:c>
    </x:row>
    <x:row r="4177">
      <x:c r="A4177" s="15" t="n">
        <x:v>42186</x:v>
      </x:c>
      <x:c r="B4177" s="13" t="str">
        <x:v>YDUQS PARTICIPACOES SA</x:v>
      </x:c>
      <x:c r="C4177" s="16" t="n">
        <x:v>557.1511745574</x:v>
      </x:c>
      <x:c r="D4177" s="13" t="str">
        <x:v>Education</x:v>
      </x:c>
      <x:c r="E4177" s="13" t="str">
        <x:v>Education</x:v>
      </x:c>
      <x:c r="F4177" s="13" t="str">
        <x:v>Early Cyclicals</x:v>
      </x:c>
      <x:c r="G4177" s="13" t="str">
        <x:v>grid_asitui1y.xlsx</x:v>
      </x:c>
    </x:row>
    <x:row r="4178">
      <x:c r="A4178" s="15" t="n">
        <x:v>42186</x:v>
      </x:c>
      <x:c r="B4178" s="13" t="str">
        <x:v>B3 SA-BRASIL BOLSA BALCAO</x:v>
      </x:c>
      <x:c r="C4178" s="16" t="n">
        <x:v>1753.1558211148</x:v>
      </x:c>
      <x:c r="D4178" s="13" t="str">
        <x:v>Financials Non-Banks</x:v>
      </x:c>
      <x:c r="E4178" s="13" t="str">
        <x:v>Financials Non-Banks</x:v>
      </x:c>
      <x:c r="F4178" s="13" t="str">
        <x:v>Financials</x:v>
      </x:c>
      <x:c r="G4178" s="13" t="str">
        <x:v>grid_asitui1y.xlsx</x:v>
      </x:c>
    </x:row>
    <x:row r="4179">
      <x:c r="A4179" s="15" t="n">
        <x:v>42186</x:v>
      </x:c>
      <x:c r="B4179" s="13" t="str">
        <x:v>BB SEGURIDADE PARTICIPACOES</x:v>
      </x:c>
      <x:c r="C4179" s="16" t="n">
        <x:v>4282.682210623</x:v>
      </x:c>
      <x:c r="D4179" s="13" t="str">
        <x:v>Financials Non-Banks</x:v>
      </x:c>
      <x:c r="E4179" s="13" t="str">
        <x:v>Financials Non-Banks</x:v>
      </x:c>
      <x:c r="F4179" s="13" t="str">
        <x:v>Financials</x:v>
      </x:c>
      <x:c r="G4179" s="13" t="str">
        <x:v>grid_asitui1y.xlsx</x:v>
      </x:c>
    </x:row>
    <x:row r="4180">
      <x:c r="A4180" s="15" t="n">
        <x:v>42186</x:v>
      </x:c>
      <x:c r="B4180" s="13" t="str">
        <x:v>CETIP SA-MERCADOS ORGANIZADO</x:v>
      </x:c>
      <x:c r="C4180" s="16" t="n">
        <x:v>564.6618759344</x:v>
      </x:c>
      <x:c r="D4180" s="13" t="str">
        <x:v>Financials Non-Banks</x:v>
      </x:c>
      <x:c r="E4180" s="13" t="str">
        <x:v>Financials Non-Banks</x:v>
      </x:c>
      <x:c r="F4180" s="13" t="str">
        <x:v>Financials</x:v>
      </x:c>
      <x:c r="G4180" s="13" t="str">
        <x:v>grid_asitui1y.xlsx</x:v>
      </x:c>
    </x:row>
    <x:row r="4181">
      <x:c r="A4181" s="15" t="n">
        <x:v>42186</x:v>
      </x:c>
      <x:c r="B4181" s="13" t="str">
        <x:v>CIELO SA - INSTITUICAO DE PA</x:v>
      </x:c>
      <x:c r="C4181" s="16" t="n">
        <x:v>4032.018304</x:v>
      </x:c>
      <x:c r="D4181" s="13" t="str">
        <x:v>Financials Non-Banks</x:v>
      </x:c>
      <x:c r="E4181" s="13" t="str">
        <x:v>Financials Non-Banks</x:v>
      </x:c>
      <x:c r="F4181" s="13" t="str">
        <x:v>Financials</x:v>
      </x:c>
      <x:c r="G4181" s="13" t="str">
        <x:v>grid_asitui1y.xlsx</x:v>
      </x:c>
    </x:row>
    <x:row r="4182">
      <x:c r="A4182" s="15" t="n">
        <x:v>42186</x:v>
      </x:c>
      <x:c r="B4182" s="13" t="str">
        <x:v>ITAUSA SA</x:v>
      </x:c>
      <x:c r="C4182" s="16" t="n">
        <x:v>8385.1066376393</x:v>
      </x:c>
      <x:c r="D4182" s="13" t="str">
        <x:v>Financials Non-Banks</x:v>
      </x:c>
      <x:c r="E4182" s="13" t="str">
        <x:v>Financials Non-Banks</x:v>
      </x:c>
      <x:c r="F4182" s="13" t="str">
        <x:v>Financials</x:v>
      </x:c>
      <x:c r="G4182" s="13" t="str">
        <x:v>grid_asitui1y.xlsx</x:v>
      </x:c>
    </x:row>
    <x:row r="4183">
      <x:c r="A4183" s="15" t="n">
        <x:v>42186</x:v>
      </x:c>
      <x:c r="B4183" s="13" t="str">
        <x:v>AMBEV SA</x:v>
      </x:c>
      <x:c r="C4183" s="16" t="n">
        <x:v>14859.8957660328</x:v>
      </x:c>
      <x:c r="D4183" s="13" t="str">
        <x:v>Food &amp; Beverages</x:v>
      </x:c>
      <x:c r="E4183" s="13" t="str">
        <x:v>Agri, Food &amp; Beverages</x:v>
      </x:c>
      <x:c r="F4183" s="13" t="str">
        <x:v>Defensives</x:v>
      </x:c>
      <x:c r="G4183" s="13" t="str">
        <x:v>grid_asitui1y.xlsx</x:v>
      </x:c>
    </x:row>
    <x:row r="4184">
      <x:c r="A4184" s="15" t="n">
        <x:v>42186</x:v>
      </x:c>
      <x:c r="B4184" s="13" t="str">
        <x:v>BRF SA</x:v>
      </x:c>
      <x:c r="C4184" s="16" t="n">
        <x:v>2969.7889846557</x:v>
      </x:c>
      <x:c r="D4184" s="13" t="str">
        <x:v>Food &amp; Beverages</x:v>
      </x:c>
      <x:c r="E4184" s="13" t="str">
        <x:v>Agri, Food &amp; Beverages</x:v>
      </x:c>
      <x:c r="F4184" s="13" t="str">
        <x:v>Defensives</x:v>
      </x:c>
      <x:c r="G4184" s="13" t="str">
        <x:v>grid_asitui1y.xlsx</x:v>
      </x:c>
    </x:row>
    <x:row r="4185">
      <x:c r="A4185" s="15" t="n">
        <x:v>42186</x:v>
      </x:c>
      <x:c r="B4185" s="13" t="str">
        <x:v>MBRF GLOBAL FOODS COMPANY SA</x:v>
      </x:c>
      <x:c r="C4185" s="16" t="n">
        <x:v>-104.4468573115</x:v>
      </x:c>
      <x:c r="D4185" s="13" t="str">
        <x:v>Food &amp; Beverages</x:v>
      </x:c>
      <x:c r="E4185" s="13" t="str">
        <x:v>Agri, Food &amp; Beverages</x:v>
      </x:c>
      <x:c r="F4185" s="13" t="str">
        <x:v>Defensives</x:v>
      </x:c>
      <x:c r="G4185" s="13" t="str">
        <x:v>grid_asitui1y.xlsx</x:v>
      </x:c>
    </x:row>
    <x:row r="4186">
      <x:c r="A4186" s="15" t="n">
        <x:v>42186</x:v>
      </x:c>
      <x:c r="B4186" s="13" t="str">
        <x:v>SOUZA CRUZ LTDA</x:v>
      </x:c>
      <x:c r="C4186" s="16" t="n">
        <x:v>1676.5442276721</x:v>
      </x:c>
      <x:c r="D4186" s="13" t="str">
        <x:v>Food &amp; Beverages</x:v>
      </x:c>
      <x:c r="E4186" s="13" t="str">
        <x:v>Agri, Food &amp; Beverages</x:v>
      </x:c>
      <x:c r="F4186" s="13" t="str">
        <x:v>Defensives</x:v>
      </x:c>
      <x:c r="G4186" s="13" t="str">
        <x:v>grid_asitui1y.xlsx</x:v>
      </x:c>
    </x:row>
    <x:row r="4187">
      <x:c r="A4187" s="15" t="n">
        <x:v>42186</x:v>
      </x:c>
      <x:c r="B4187" s="13" t="str">
        <x:v>HYPERA SA</x:v>
      </x:c>
      <x:c r="C4187" s="16" t="n">
        <x:v>564.1360655738</x:v>
      </x:c>
      <x:c r="D4187" s="13" t="str">
        <x:v>Health Care</x:v>
      </x:c>
      <x:c r="E4187" s="13" t="str">
        <x:v>Health Care</x:v>
      </x:c>
      <x:c r="F4187" s="13" t="str">
        <x:v>Defensives</x:v>
      </x:c>
      <x:c r="G4187" s="13" t="str">
        <x:v>grid_asitui1y.xlsx</x:v>
      </x:c>
    </x:row>
    <x:row r="4188">
      <x:c r="A4188" s="15" t="n">
        <x:v>42186</x:v>
      </x:c>
      <x:c r="B4188" s="13" t="str">
        <x:v>QUALICORP CONS E CORR SEG SA</x:v>
      </x:c>
      <x:c r="C4188" s="16" t="n">
        <x:v>375.6331887213</x:v>
      </x:c>
      <x:c r="D4188" s="13" t="str">
        <x:v>Health Care</x:v>
      </x:c>
      <x:c r="E4188" s="13" t="str">
        <x:v>Health Care</x:v>
      </x:c>
      <x:c r="F4188" s="13" t="str">
        <x:v>Defensives</x:v>
      </x:c>
      <x:c r="G4188" s="13" t="str">
        <x:v>grid_asitui1y.xlsx</x:v>
      </x:c>
    </x:row>
    <x:row r="4189">
      <x:c r="A4189" s="15" t="n">
        <x:v>42186</x:v>
      </x:c>
      <x:c r="B4189" s="13" t="str">
        <x:v>CYRELA BRAZIL REALTY SA EMP</x:v>
      </x:c>
      <x:c r="C4189" s="16" t="n">
        <x:v>644.0819672131</x:v>
      </x:c>
      <x:c r="D4189" s="13" t="str">
        <x:v>Homebuilders</x:v>
      </x:c>
      <x:c r="E4189" s="13" t="str">
        <x:v>Real Estate</x:v>
      </x:c>
      <x:c r="F4189" s="13" t="str">
        <x:v>Early Cyclicals</x:v>
      </x:c>
      <x:c r="G4189" s="13" t="str">
        <x:v>grid_asitui1y.xlsx</x:v>
      </x:c>
    </x:row>
    <x:row r="4190">
      <x:c r="A4190" s="15" t="n">
        <x:v>42186</x:v>
      </x:c>
      <x:c r="B4190" s="13" t="str">
        <x:v>GAFISA SA</x:v>
      </x:c>
      <x:c r="C4190" s="16" t="n">
        <x:v>53.615552459</x:v>
      </x:c>
      <x:c r="D4190" s="13" t="str">
        <x:v>Homebuilders</x:v>
      </x:c>
      <x:c r="E4190" s="13" t="str">
        <x:v>Real Estate</x:v>
      </x:c>
      <x:c r="F4190" s="13" t="str">
        <x:v>Early Cyclicals</x:v>
      </x:c>
      <x:c r="G4190" s="13" t="str">
        <x:v>grid_asitui1y.xlsx</x:v>
      </x:c>
    </x:row>
    <x:row r="4191">
      <x:c r="A4191" s="15" t="n">
        <x:v>42186</x:v>
      </x:c>
      <x:c r="B4191" s="13" t="str">
        <x:v>MRV ENGENHARIA</x:v>
      </x:c>
      <x:c r="C4191" s="16" t="n">
        <x:v>561.5236251803</x:v>
      </x:c>
      <x:c r="D4191" s="13" t="str">
        <x:v>Homebuilders</x:v>
      </x:c>
      <x:c r="E4191" s="13" t="str">
        <x:v>Real Estate</x:v>
      </x:c>
      <x:c r="F4191" s="13" t="str">
        <x:v>Early Cyclicals</x:v>
      </x:c>
      <x:c r="G4191" s="13" t="str">
        <x:v>grid_asitui1y.xlsx</x:v>
      </x:c>
    </x:row>
    <x:row r="4192">
      <x:c r="A4192" s="15" t="n">
        <x:v>42186</x:v>
      </x:c>
      <x:c r="B4192" s="13" t="str">
        <x:v>BR MALLS PARTICIPACOES SA</x:v>
      </x:c>
      <x:c r="C4192" s="16" t="n">
        <x:v>439.3461754754</x:v>
      </x:c>
      <x:c r="D4192" s="13" t="str">
        <x:v>Income Properties</x:v>
      </x:c>
      <x:c r="E4192" s="13" t="str">
        <x:v>Real Estate</x:v>
      </x:c>
      <x:c r="F4192" s="13" t="str">
        <x:v>Early Cyclicals</x:v>
      </x:c>
      <x:c r="G4192" s="13" t="str">
        <x:v>grid_asitui1y.xlsx</x:v>
      </x:c>
    </x:row>
    <x:row r="4193">
      <x:c r="A4193" s="15" t="n">
        <x:v>42186</x:v>
      </x:c>
      <x:c r="B4193" s="13" t="str">
        <x:v>MULTIPLAN EMPREENDIMENTOS</x:v>
      </x:c>
      <x:c r="C4193" s="16" t="n">
        <x:v>395.493291541</x:v>
      </x:c>
      <x:c r="D4193" s="13" t="str">
        <x:v>Income Properties</x:v>
      </x:c>
      <x:c r="E4193" s="13" t="str">
        <x:v>Real Estate</x:v>
      </x:c>
      <x:c r="F4193" s="13" t="str">
        <x:v>Early Cyclicals</x:v>
      </x:c>
      <x:c r="G4193" s="13" t="str">
        <x:v>grid_asitui1y.xlsx</x:v>
      </x:c>
    </x:row>
    <x:row r="4194">
      <x:c r="A4194" s="15" t="n">
        <x:v>42186</x:v>
      </x:c>
      <x:c r="B4194" s="13" t="str">
        <x:v>SOLID ATIVOS IMOBILIARIOS SA</x:v>
      </x:c>
      <x:c r="C4194" s="16" t="n">
        <x:v>181.0055374426</x:v>
      </x:c>
      <x:c r="D4194" s="13" t="str">
        <x:v>Income Properties</x:v>
      </x:c>
      <x:c r="E4194" s="13" t="str">
        <x:v>Real Estate</x:v>
      </x:c>
      <x:c r="F4194" s="13" t="str">
        <x:v>Early Cyclicals</x:v>
      </x:c>
      <x:c r="G4194" s="13" t="str">
        <x:v>grid_asitui1y.xlsx</x:v>
      </x:c>
    </x:row>
    <x:row r="4195">
      <x:c r="A4195" s="15" t="n">
        <x:v>42186</x:v>
      </x:c>
      <x:c r="B4195" s="13" t="str">
        <x:v>BRADESPAR SA -PREF</x:v>
      </x:c>
      <x:c r="C4195" s="16" t="n">
        <x:v>-296.8360655738</x:v>
      </x:c>
      <x:c r="D4195" s="13" t="str">
        <x:v>Metals &amp; Mining</x:v>
      </x:c>
      <x:c r="E4195" s="13" t="str">
        <x:v>Metals &amp; Mining</x:v>
      </x:c>
      <x:c r="F4195" s="13" t="str">
        <x:v>Deep Cyclicals</x:v>
      </x:c>
      <x:c r="G4195" s="13" t="str">
        <x:v>grid_asitui1y.xlsx</x:v>
      </x:c>
    </x:row>
    <x:row r="4196">
      <x:c r="A4196" s="15" t="n">
        <x:v>42186</x:v>
      </x:c>
      <x:c r="B4196" s="13" t="str">
        <x:v>CIA SIDERURGICA NACIONAL SA</x:v>
      </x:c>
      <x:c r="C4196" s="16" t="n">
        <x:v>-382.1518019672</x:v>
      </x:c>
      <x:c r="D4196" s="13" t="str">
        <x:v>Metals &amp; Mining</x:v>
      </x:c>
      <x:c r="E4196" s="13" t="str">
        <x:v>Metals &amp; Mining</x:v>
      </x:c>
      <x:c r="F4196" s="13" t="str">
        <x:v>Deep Cyclicals</x:v>
      </x:c>
      <x:c r="G4196" s="13" t="str">
        <x:v>grid_asitui1y.xlsx</x:v>
      </x:c>
    </x:row>
    <x:row r="4197">
      <x:c r="A4197" s="15" t="n">
        <x:v>42186</x:v>
      </x:c>
      <x:c r="B4197" s="13" t="str">
        <x:v>GERDAU SA-PREF</x:v>
      </x:c>
      <x:c r="C4197" s="16" t="n">
        <x:v>866.2664094426</x:v>
      </x:c>
      <x:c r="D4197" s="13" t="str">
        <x:v>Metals &amp; Mining</x:v>
      </x:c>
      <x:c r="E4197" s="13" t="str">
        <x:v>Metals &amp; Mining</x:v>
      </x:c>
      <x:c r="F4197" s="13" t="str">
        <x:v>Deep Cyclicals</x:v>
      </x:c>
      <x:c r="G4197" s="13" t="str">
        <x:v>grid_asitui1y.xlsx</x:v>
      </x:c>
    </x:row>
    <x:row r="4198">
      <x:c r="A4198" s="15" t="n">
        <x:v>42186</x:v>
      </x:c>
      <x:c r="B4198" s="13" t="str">
        <x:v>METALURGICA GERDAU SA-PREF</x:v>
      </x:c>
      <x:c r="C4198" s="16" t="n">
        <x:v>136.0245901639</x:v>
      </x:c>
      <x:c r="D4198" s="13" t="str">
        <x:v>Metals &amp; Mining</x:v>
      </x:c>
      <x:c r="E4198" s="13" t="str">
        <x:v>Metals &amp; Mining</x:v>
      </x:c>
      <x:c r="F4198" s="13" t="str">
        <x:v>Deep Cyclicals</x:v>
      </x:c>
      <x:c r="G4198" s="13" t="str">
        <x:v>grid_asitui1y.xlsx</x:v>
      </x:c>
    </x:row>
    <x:row r="4199">
      <x:c r="A4199" s="15" t="n">
        <x:v>42186</x:v>
      </x:c>
      <x:c r="B4199" s="13" t="str">
        <x:v>USINAS SIDER MINAS GER-PF A</x:v>
      </x:c>
      <x:c r="C4199" s="16" t="n">
        <x:v>-326.3631147541</x:v>
      </x:c>
      <x:c r="D4199" s="13" t="str">
        <x:v>Metals &amp; Mining</x:v>
      </x:c>
      <x:c r="E4199" s="13" t="str">
        <x:v>Metals &amp; Mining</x:v>
      </x:c>
      <x:c r="F4199" s="13" t="str">
        <x:v>Deep Cyclicals</x:v>
      </x:c>
      <x:c r="G4199" s="13" t="str">
        <x:v>grid_asitui1y.xlsx</x:v>
      </x:c>
    </x:row>
    <x:row r="4200">
      <x:c r="A4200" s="15" t="n">
        <x:v>42186</x:v>
      </x:c>
      <x:c r="B4200" s="13" t="str">
        <x:v>VALE SA</x:v>
      </x:c>
      <x:c r="C4200" s="16" t="n">
        <x:v>1328.1624299016</x:v>
      </x:c>
      <x:c r="D4200" s="13" t="str">
        <x:v>Metals &amp; Mining</x:v>
      </x:c>
      <x:c r="E4200" s="13" t="str">
        <x:v>Metals &amp; Mining</x:v>
      </x:c>
      <x:c r="F4200" s="13" t="str">
        <x:v>Deep Cyclicals</x:v>
      </x:c>
      <x:c r="G4200" s="13" t="str">
        <x:v>grid_asitui1y.xlsx</x:v>
      </x:c>
    </x:row>
    <x:row r="4201">
      <x:c r="A4201" s="15" t="n">
        <x:v>42186</x:v>
      </x:c>
      <x:c r="B4201" s="13" t="str">
        <x:v>BRASKEM SA-PREF A</x:v>
      </x:c>
      <x:c r="C4201" s="16" t="n">
        <x:v>1304.6370171803</x:v>
      </x:c>
      <x:c r="D4201" s="13" t="str">
        <x:v>Oil, Gas &amp; Petrochemicals</x:v>
      </x:c>
      <x:c r="E4201" s="13" t="str">
        <x:v>Oil, Gas &amp; Petrochemicals</x:v>
      </x:c>
      <x:c r="F4201" s="13" t="str">
        <x:v>Deep Cyclicals</x:v>
      </x:c>
      <x:c r="G4201" s="13" t="str">
        <x:v>grid_asitui1y.xlsx</x:v>
      </x:c>
    </x:row>
    <x:row r="4202">
      <x:c r="A4202" s="15" t="n">
        <x:v>42186</x:v>
      </x:c>
      <x:c r="B4202" s="13" t="str">
        <x:v>COSAN SA</x:v>
      </x:c>
      <x:c r="C4202" s="16" t="n">
        <x:v>868.6858785574</x:v>
      </x:c>
      <x:c r="D4202" s="13" t="str">
        <x:v>Oil, Gas &amp; Petrochemicals</x:v>
      </x:c>
      <x:c r="E4202" s="13" t="str">
        <x:v>Oil, Gas &amp; Petrochemicals</x:v>
      </x:c>
      <x:c r="F4202" s="13" t="str">
        <x:v>Deep Cyclicals</x:v>
      </x:c>
      <x:c r="G4202" s="13" t="str">
        <x:v>grid_asitui1y.xlsx</x:v>
      </x:c>
    </x:row>
    <x:row r="4203">
      <x:c r="A4203" s="15" t="n">
        <x:v>42186</x:v>
      </x:c>
      <x:c r="B4203" s="13" t="str">
        <x:v>PETROBRAS - PETROLEO BRAS</x:v>
      </x:c>
      <x:c r="C4203" s="16" t="n">
        <x:v>19366.2877460984</x:v>
      </x:c>
      <x:c r="D4203" s="13" t="str">
        <x:v>Oil, Gas &amp; Petrochemicals</x:v>
      </x:c>
      <x:c r="E4203" s="13" t="str">
        <x:v>Oil, Gas &amp; Petrochemicals</x:v>
      </x:c>
      <x:c r="F4203" s="13" t="str">
        <x:v>Deep Cyclicals</x:v>
      </x:c>
      <x:c r="G4203" s="13" t="str">
        <x:v>grid_asitui1y.xlsx</x:v>
      </x:c>
    </x:row>
    <x:row r="4204">
      <x:c r="A4204" s="15" t="n">
        <x:v>42186</x:v>
      </x:c>
      <x:c r="B4204" s="13" t="str">
        <x:v>ULTRAPAR PARTICIPACOES SA</x:v>
      </x:c>
      <x:c r="C4204" s="16" t="n">
        <x:v>1603.1654337049</x:v>
      </x:c>
      <x:c r="D4204" s="13" t="str">
        <x:v>Oil, Gas &amp; Petrochemicals</x:v>
      </x:c>
      <x:c r="E4204" s="13" t="str">
        <x:v>Oil, Gas &amp; Petrochemicals</x:v>
      </x:c>
      <x:c r="F4204" s="13" t="str">
        <x:v>Deep Cyclicals</x:v>
      </x:c>
      <x:c r="G4204" s="13" t="str">
        <x:v>grid_asitui1y.xlsx</x:v>
      </x:c>
    </x:row>
    <x:row r="4205">
      <x:c r="A4205" s="15" t="n">
        <x:v>42186</x:v>
      </x:c>
      <x:c r="B4205" s="13" t="str">
        <x:v>DEXCO SA</x:v>
      </x:c>
      <x:c r="C4205" s="16" t="n">
        <x:v>386.6052201967</x:v>
      </x:c>
      <x:c r="D4205" s="13" t="str">
        <x:v>Pulp &amp; Paper</x:v>
      </x:c>
      <x:c r="E4205" s="13" t="str">
        <x:v>Pulp &amp; Paper</x:v>
      </x:c>
      <x:c r="F4205" s="13" t="str">
        <x:v>Deep Cyclicals</x:v>
      </x:c>
      <x:c r="G4205" s="13" t="str">
        <x:v>grid_asitui1y.xlsx</x:v>
      </x:c>
    </x:row>
    <x:row r="4206">
      <x:c r="A4206" s="15" t="n">
        <x:v>42186</x:v>
      </x:c>
      <x:c r="B4206" s="13" t="str">
        <x:v>FIBRIA CELULOSE S/A</x:v>
      </x:c>
      <x:c r="C4206" s="16" t="n">
        <x:v>898.0753912131</x:v>
      </x:c>
      <x:c r="D4206" s="13" t="str">
        <x:v>Pulp &amp; Paper</x:v>
      </x:c>
      <x:c r="E4206" s="13" t="str">
        <x:v>Pulp &amp; Paper</x:v>
      </x:c>
      <x:c r="F4206" s="13" t="str">
        <x:v>Deep Cyclicals</x:v>
      </x:c>
      <x:c r="G4206" s="13" t="str">
        <x:v>grid_asitui1y.xlsx</x:v>
      </x:c>
    </x:row>
    <x:row r="4207">
      <x:c r="A4207" s="15" t="n">
        <x:v>42186</x:v>
      </x:c>
      <x:c r="B4207" s="13" t="str">
        <x:v>KLABIN SA - UNIT</x:v>
      </x:c>
      <x:c r="C4207" s="16" t="n">
        <x:v>258.413133377</x:v>
      </x:c>
      <x:c r="D4207" s="13" t="str">
        <x:v>Pulp &amp; Paper</x:v>
      </x:c>
      <x:c r="E4207" s="13" t="str">
        <x:v>Pulp &amp; Paper</x:v>
      </x:c>
      <x:c r="F4207" s="13" t="str">
        <x:v>Deep Cyclicals</x:v>
      </x:c>
      <x:c r="G4207" s="13" t="str">
        <x:v>grid_asitui1y.xlsx</x:v>
      </x:c>
    </x:row>
    <x:row r="4208">
      <x:c r="A4208" s="15" t="n">
        <x:v>42186</x:v>
      </x:c>
      <x:c r="B4208" s="13" t="str">
        <x:v>SUZANO PAPEL E CELULO-PREF A</x:v>
      </x:c>
      <x:c r="C4208" s="16" t="n">
        <x:v>994.6200443279</x:v>
      </x:c>
      <x:c r="D4208" s="13" t="str">
        <x:v>Pulp &amp; Paper</x:v>
      </x:c>
      <x:c r="E4208" s="13" t="str">
        <x:v>Pulp &amp; Paper</x:v>
      </x:c>
      <x:c r="F4208" s="13" t="str">
        <x:v>Deep Cyclicals</x:v>
      </x:c>
      <x:c r="G4208" s="13" t="str">
        <x:v>grid_asitui1y.xlsx</x:v>
      </x:c>
    </x:row>
    <x:row r="4209">
      <x:c r="A4209" s="15" t="n">
        <x:v>42186</x:v>
      </x:c>
      <x:c r="B4209" s="13" t="str">
        <x:v>CIA BRASILEIRA DE DIS-PREF</x:v>
      </x:c>
      <x:c r="C4209" s="16" t="n">
        <x:v>1323.4324511475</x:v>
      </x:c>
      <x:c r="D4209" s="13" t="str">
        <x:v>Retail</x:v>
      </x:c>
      <x:c r="E4209" s="13" t="str">
        <x:v>Retail</x:v>
      </x:c>
      <x:c r="F4209" s="13" t="str">
        <x:v>Early Cyclicals</x:v>
      </x:c>
      <x:c r="G4209" s="13" t="str">
        <x:v>grid_asitui1y.xlsx</x:v>
      </x:c>
    </x:row>
    <x:row r="4210">
      <x:c r="A4210" s="15" t="n">
        <x:v>42186</x:v>
      </x:c>
      <x:c r="B4210" s="13" t="str">
        <x:v>CIA HERING</x:v>
      </x:c>
      <x:c r="C4210" s="16" t="n">
        <x:v>270.4607097705</x:v>
      </x:c>
      <x:c r="D4210" s="13" t="str">
        <x:v>Retail</x:v>
      </x:c>
      <x:c r="E4210" s="13" t="str">
        <x:v>Retail</x:v>
      </x:c>
      <x:c r="F4210" s="13" t="str">
        <x:v>Early Cyclicals</x:v>
      </x:c>
      <x:c r="G4210" s="13" t="str">
        <x:v>grid_asitui1y.xlsx</x:v>
      </x:c>
    </x:row>
    <x:row r="4211">
      <x:c r="A4211" s="15" t="n">
        <x:v>42186</x:v>
      </x:c>
      <x:c r="B4211" s="13" t="str">
        <x:v>LOJAS AMERICANAS SA-PREF</x:v>
      </x:c>
      <x:c r="C4211" s="16" t="n">
        <x:v>646.0913673443</x:v>
      </x:c>
      <x:c r="D4211" s="13" t="str">
        <x:v>Retail</x:v>
      </x:c>
      <x:c r="E4211" s="13" t="str">
        <x:v>Retail</x:v>
      </x:c>
      <x:c r="F4211" s="13" t="str">
        <x:v>Early Cyclicals</x:v>
      </x:c>
      <x:c r="G4211" s="13" t="str">
        <x:v>grid_asitui1y.xlsx</x:v>
      </x:c>
    </x:row>
    <x:row r="4212">
      <x:c r="A4212" s="15" t="n">
        <x:v>42186</x:v>
      </x:c>
      <x:c r="B4212" s="13" t="str">
        <x:v>LOJAS RENNER S.A.</x:v>
      </x:c>
      <x:c r="C4212" s="16" t="n">
        <x:v>658.3470567869</x:v>
      </x:c>
      <x:c r="D4212" s="13" t="str">
        <x:v>Retail</x:v>
      </x:c>
      <x:c r="E4212" s="13" t="str">
        <x:v>Retail</x:v>
      </x:c>
      <x:c r="F4212" s="13" t="str">
        <x:v>Early Cyclicals</x:v>
      </x:c>
      <x:c r="G4212" s="13" t="str">
        <x:v>grid_asitui1y.xlsx</x:v>
      </x:c>
    </x:row>
    <x:row r="4213">
      <x:c r="A4213" s="15" t="n">
        <x:v>42186</x:v>
      </x:c>
      <x:c r="B4213" s="13" t="str">
        <x:v>NATURA COSMETICOS SA</x:v>
      </x:c>
      <x:c r="C4213" s="16" t="n">
        <x:v>783.215272918</x:v>
      </x:c>
      <x:c r="D4213" s="13" t="str">
        <x:v>Retail</x:v>
      </x:c>
      <x:c r="E4213" s="13" t="str">
        <x:v>Retail</x:v>
      </x:c>
      <x:c r="F4213" s="13" t="str">
        <x:v>Early Cyclicals</x:v>
      </x:c>
      <x:c r="G4213" s="13" t="str">
        <x:v>grid_asitui1y.xlsx</x:v>
      </x:c>
    </x:row>
    <x:row r="4214">
      <x:c r="A4214" s="15" t="n">
        <x:v>42186</x:v>
      </x:c>
      <x:c r="B4214" s="13" t="str">
        <x:v>CIA SANEAMENTO BASICO DE SP</x:v>
      </x:c>
      <x:c r="C4214" s="16" t="n">
        <x:v>1139.5698386885</x:v>
      </x:c>
      <x:c r="D4214" s="13" t="str">
        <x:v>Sanitation</x:v>
      </x:c>
      <x:c r="E4214" s="13" t="str">
        <x:v>Utilities</x:v>
      </x:c>
      <x:c r="F4214" s="13" t="str">
        <x:v>Defensives</x:v>
      </x:c>
      <x:c r="G4214" s="13" t="str">
        <x:v>grid_asitui1y.xlsx</x:v>
      </x:c>
    </x:row>
    <x:row r="4215">
      <x:c r="A4215" s="15" t="n">
        <x:v>42186</x:v>
      </x:c>
      <x:c r="B4215" s="13" t="str">
        <x:v>OI SA-PREFERENCE</x:v>
      </x:c>
      <x:c r="C4215" s="16" t="n">
        <x:v>-709.6650953443</x:v>
      </x:c>
      <x:c r="D4215" s="13" t="str">
        <x:v>TMT</x:v>
      </x:c>
      <x:c r="E4215" s="13" t="str">
        <x:v>TMT</x:v>
      </x:c>
      <x:c r="F4215" s="13" t="str">
        <x:v>Early Cyclicals</x:v>
      </x:c>
      <x:c r="G4215" s="13" t="str">
        <x:v>grid_asitui1y.xlsx</x:v>
      </x:c>
    </x:row>
    <x:row r="4216">
      <x:c r="A4216" s="15" t="n">
        <x:v>42186</x:v>
      </x:c>
      <x:c r="B4216" s="13" t="str">
        <x:v>TELEFONICA BRASIL S.A.-PREF</x:v>
      </x:c>
      <x:c r="C4216" s="16" t="n">
        <x:v>4922.0596626885</x:v>
      </x:c>
      <x:c r="D4216" s="13" t="str">
        <x:v>TMT</x:v>
      </x:c>
      <x:c r="E4216" s="13" t="str">
        <x:v>TMT</x:v>
      </x:c>
      <x:c r="F4216" s="13" t="str">
        <x:v>Early Cyclicals</x:v>
      </x:c>
      <x:c r="G4216" s="13" t="str">
        <x:v>grid_asitui1y.xlsx</x:v>
      </x:c>
    </x:row>
    <x:row r="4217">
      <x:c r="A4217" s="15" t="n">
        <x:v>42186</x:v>
      </x:c>
      <x:c r="B4217" s="13" t="str">
        <x:v>TIM SA</x:v>
      </x:c>
      <x:c r="C4217" s="16" t="n">
        <x:v>1467.7732112787</x:v>
      </x:c>
      <x:c r="D4217" s="13" t="str">
        <x:v>TMT</x:v>
      </x:c>
      <x:c r="E4217" s="13" t="str">
        <x:v>TMT</x:v>
      </x:c>
      <x:c r="F4217" s="13" t="str">
        <x:v>Early Cyclicals</x:v>
      </x:c>
      <x:c r="G4217" s="13" t="str">
        <x:v>grid_asitui1y.xlsx</x:v>
      </x:c>
    </x:row>
    <x:row r="4218">
      <x:c r="A4218" s="15" t="n">
        <x:v>42186</x:v>
      </x:c>
      <x:c r="B4218" s="13" t="str">
        <x:v>ECORODOVIAS INFRA E LOG SA</x:v>
      </x:c>
      <x:c r="C4218" s="16" t="n">
        <x:v>323.2331019016</x:v>
      </x:c>
      <x:c r="D4218" s="13" t="str">
        <x:v>Transportation</x:v>
      </x:c>
      <x:c r="E4218" s="13" t="str">
        <x:v>Transportation</x:v>
      </x:c>
      <x:c r="F4218" s="13" t="str">
        <x:v>Deep Cyclicals</x:v>
      </x:c>
      <x:c r="G4218" s="13" t="str">
        <x:v>grid_asitui1y.xlsx</x:v>
      </x:c>
    </x:row>
    <x:row r="4219">
      <x:c r="A4219" s="15" t="n">
        <x:v>42186</x:v>
      </x:c>
      <x:c r="B4219" s="13" t="str">
        <x:v>GOL LINHAS AEREAS INT SA-PRE</x:v>
      </x:c>
      <x:c r="C4219" s="16" t="n">
        <x:v>-456.9380443279</x:v>
      </x:c>
      <x:c r="D4219" s="13" t="str">
        <x:v>Transportation</x:v>
      </x:c>
      <x:c r="E4219" s="13" t="str">
        <x:v>Transportation</x:v>
      </x:c>
      <x:c r="F4219" s="13" t="str">
        <x:v>Deep Cyclicals</x:v>
      </x:c>
      <x:c r="G4219" s="13" t="str">
        <x:v>grid_asitui1y.xlsx</x:v>
      </x:c>
    </x:row>
    <x:row r="4220">
      <x:c r="A4220" s="15" t="n">
        <x:v>42186</x:v>
      </x:c>
      <x:c r="B4220" s="13" t="str">
        <x:v>LOCALIZA RENT A CAR</x:v>
      </x:c>
      <x:c r="C4220" s="16" t="n">
        <x:v>402.2444018361</x:v>
      </x:c>
      <x:c r="D4220" s="13" t="str">
        <x:v>Transportation</x:v>
      </x:c>
      <x:c r="E4220" s="13" t="str">
        <x:v>Transportation</x:v>
      </x:c>
      <x:c r="F4220" s="13" t="str">
        <x:v>Deep Cyclicals</x:v>
      </x:c>
      <x:c r="G4220" s="13" t="str">
        <x:v>grid_asitui1y.xlsx</x:v>
      </x:c>
    </x:row>
    <x:row r="4221">
      <x:c r="A4221" s="15" t="n">
        <x:v>42186</x:v>
      </x:c>
      <x:c r="B4221" s="13" t="str">
        <x:v>MOTIVA INFRAESTRUTURA DE MOB</x:v>
      </x:c>
      <x:c r="C4221" s="16" t="n">
        <x:v>1351.7957697049</x:v>
      </x:c>
      <x:c r="D4221" s="13" t="str">
        <x:v>Transportation</x:v>
      </x:c>
      <x:c r="E4221" s="13" t="str">
        <x:v>Transportation</x:v>
      </x:c>
      <x:c r="F4221" s="13" t="str">
        <x:v>Deep Cyclicals</x:v>
      </x:c>
      <x:c r="G4221" s="13" t="str">
        <x:v>grid_asitui1y.xlsx</x:v>
      </x:c>
    </x:row>
    <x:row r="4222">
      <x:c r="A4222" s="15" t="n">
        <x:v>42186</x:v>
      </x:c>
      <x:c r="B4222" s="13" t="str">
        <x:v>AXIA ENERGIA SA</x:v>
      </x:c>
      <x:c r="C4222" s="16" t="n">
        <x:v>334.0491803279</x:v>
      </x:c>
      <x:c r="D4222" s="13" t="str">
        <x:v>Utilities &amp; Energy</x:v>
      </x:c>
      <x:c r="E4222" s="13" t="str">
        <x:v>Utilities</x:v>
      </x:c>
      <x:c r="F4222" s="13" t="str">
        <x:v>Defensives</x:v>
      </x:c>
      <x:c r="G4222" s="13" t="str">
        <x:v>grid_asitui1y.xlsx</x:v>
      </x:c>
    </x:row>
    <x:row r="4223">
      <x:c r="A4223" s="15" t="n">
        <x:v>42186</x:v>
      </x:c>
      <x:c r="B4223" s="13" t="str">
        <x:v>AXIA ENERGIA-PR B</x:v>
      </x:c>
      <x:c r="C4223" s="16" t="n">
        <x:v>334.0491803279</x:v>
      </x:c>
      <x:c r="D4223" s="13" t="str">
        <x:v>Utilities &amp; Energy</x:v>
      </x:c>
      <x:c r="E4223" s="13" t="str">
        <x:v>Utilities</x:v>
      </x:c>
      <x:c r="F4223" s="13" t="str">
        <x:v>Defensives</x:v>
      </x:c>
      <x:c r="G4223" s="13" t="str">
        <x:v>grid_asitui1y.xlsx</x:v>
      </x:c>
    </x:row>
    <x:row r="4224">
      <x:c r="A4224" s="15" t="n">
        <x:v>42186</x:v>
      </x:c>
      <x:c r="B4224" s="13" t="str">
        <x:v>CESP - CIA ENERGETICA DE SAO</x:v>
      </x:c>
      <x:c r="C4224" s="16" t="n">
        <x:v>486.591277377</x:v>
      </x:c>
      <x:c r="D4224" s="13" t="str">
        <x:v>Utilities &amp; Energy</x:v>
      </x:c>
      <x:c r="E4224" s="13" t="str">
        <x:v>Utilities</x:v>
      </x:c>
      <x:c r="F4224" s="13" t="str">
        <x:v>Defensives</x:v>
      </x:c>
      <x:c r="G4224" s="13" t="str">
        <x:v>grid_asitui1y.xlsx</x:v>
      </x:c>
    </x:row>
    <x:row r="4225">
      <x:c r="A4225" s="15" t="n">
        <x:v>42186</x:v>
      </x:c>
      <x:c r="B4225" s="13" t="str">
        <x:v>CIA ENERGETICA MINAS GER-PRF</x:v>
      </x:c>
      <x:c r="C4225" s="16" t="n">
        <x:v>1749.2752619016</x:v>
      </x:c>
      <x:c r="D4225" s="13" t="str">
        <x:v>Utilities &amp; Energy</x:v>
      </x:c>
      <x:c r="E4225" s="13" t="str">
        <x:v>Utilities</x:v>
      </x:c>
      <x:c r="F4225" s="13" t="str">
        <x:v>Defensives</x:v>
      </x:c>
      <x:c r="G4225" s="13" t="str">
        <x:v>grid_asitui1y.xlsx</x:v>
      </x:c>
    </x:row>
    <x:row r="4226">
      <x:c r="A4226" s="15" t="n">
        <x:v>42186</x:v>
      </x:c>
      <x:c r="B4226" s="13" t="str">
        <x:v>COMPANHIA PARANAENSE -PREF B</x:v>
      </x:c>
      <x:c r="C4226" s="16" t="n">
        <x:v>1101.8585652459</x:v>
      </x:c>
      <x:c r="D4226" s="13" t="str">
        <x:v>Utilities &amp; Energy</x:v>
      </x:c>
      <x:c r="E4226" s="13" t="str">
        <x:v>Utilities</x:v>
      </x:c>
      <x:c r="F4226" s="13" t="str">
        <x:v>Defensives</x:v>
      </x:c>
      <x:c r="G4226" s="13" t="str">
        <x:v>grid_asitui1y.xlsx</x:v>
      </x:c>
    </x:row>
    <x:row r="4227">
      <x:c r="A4227" s="15" t="n">
        <x:v>42186</x:v>
      </x:c>
      <x:c r="B4227" s="13" t="str">
        <x:v>CPFL ENERGIA SA</x:v>
      </x:c>
      <x:c r="C4227" s="16" t="n">
        <x:v>1257.8965067541</x:v>
      </x:c>
      <x:c r="D4227" s="13" t="str">
        <x:v>Utilities &amp; Energy</x:v>
      </x:c>
      <x:c r="E4227" s="13" t="str">
        <x:v>Utilities</x:v>
      </x:c>
      <x:c r="F4227" s="13" t="str">
        <x:v>Defensives</x:v>
      </x:c>
      <x:c r="G4227" s="13" t="str">
        <x:v>grid_asitui1y.xlsx</x:v>
      </x:c>
    </x:row>
    <x:row r="4228">
      <x:c r="A4228" s="15" t="n">
        <x:v>42186</x:v>
      </x:c>
      <x:c r="B4228" s="13" t="str">
        <x:v>EDP - ENERGIAS DO BRASIL SA</x:v>
      </x:c>
      <x:c r="C4228" s="16" t="n">
        <x:v>607.2498019672</x:v>
      </x:c>
      <x:c r="D4228" s="13" t="str">
        <x:v>Utilities &amp; Energy</x:v>
      </x:c>
      <x:c r="E4228" s="13" t="str">
        <x:v>Utilities</x:v>
      </x:c>
      <x:c r="F4228" s="13" t="str">
        <x:v>Defensives</x:v>
      </x:c>
      <x:c r="G4228" s="13" t="str">
        <x:v>grid_asitui1y.xlsx</x:v>
      </x:c>
    </x:row>
    <x:row r="4229">
      <x:c r="A4229" s="15" t="n">
        <x:v>42186</x:v>
      </x:c>
      <x:c r="B4229" s="13" t="str">
        <x:v>ENGIE BRASIL ENERGIA SA</x:v>
      </x:c>
      <x:c r="C4229" s="16" t="n">
        <x:v>1553.182295082</x:v>
      </x:c>
      <x:c r="D4229" s="13" t="str">
        <x:v>Utilities &amp; Energy</x:v>
      </x:c>
      <x:c r="E4229" s="13" t="str">
        <x:v>Utilities</x:v>
      </x:c>
      <x:c r="F4229" s="13" t="str">
        <x:v>Defensives</x:v>
      </x:c>
      <x:c r="G4229" s="13" t="str">
        <x:v>grid_asitui1y.xlsx</x:v>
      </x:c>
    </x:row>
    <x:row r="4230">
      <x:c r="A4230" s="15" t="n">
        <x:v>42217</x:v>
      </x:c>
      <x:c r="B4230" s="13" t="str">
        <x:v>BANCO BRADESCO S.A.</x:v>
      </x:c>
      <x:c r="C4230" s="16" t="n">
        <x:v>18695.4663253333</x:v>
      </x:c>
      <x:c r="D4230" s="13" t="str">
        <x:v>Banks</x:v>
      </x:c>
      <x:c r="E4230" s="13" t="str">
        <x:v>Banks</x:v>
      </x:c>
      <x:c r="F4230" s="13" t="str">
        <x:v>Financials</x:v>
      </x:c>
      <x:c r="G4230" s="13" t="str">
        <x:v>grid_asitui1y.xlsx</x:v>
      </x:c>
    </x:row>
    <x:row r="4231">
      <x:c r="A4231" s="15" t="n">
        <x:v>42217</x:v>
      </x:c>
      <x:c r="B4231" s="13" t="str">
        <x:v>BANCO BRADESCO SA-PREF</x:v>
      </x:c>
      <x:c r="C4231" s="16" t="n">
        <x:v>18695.4663253333</x:v>
      </x:c>
      <x:c r="D4231" s="13" t="str">
        <x:v>Banks</x:v>
      </x:c>
      <x:c r="E4231" s="13" t="str">
        <x:v>Banks</x:v>
      </x:c>
      <x:c r="F4231" s="13" t="str">
        <x:v>Financials</x:v>
      </x:c>
      <x:c r="G4231" s="13" t="str">
        <x:v>grid_asitui1y.xlsx</x:v>
      </x:c>
    </x:row>
    <x:row r="4232">
      <x:c r="A4232" s="15" t="n">
        <x:v>42217</x:v>
      </x:c>
      <x:c r="B4232" s="13" t="str">
        <x:v>BANCO DO BRASIL S.A.</x:v>
      </x:c>
      <x:c r="C4232" s="16" t="n">
        <x:v>12588.93312</x:v>
      </x:c>
      <x:c r="D4232" s="13" t="str">
        <x:v>Banks</x:v>
      </x:c>
      <x:c r="E4232" s="13" t="str">
        <x:v>Banks</x:v>
      </x:c>
      <x:c r="F4232" s="13" t="str">
        <x:v>Financials</x:v>
      </x:c>
      <x:c r="G4232" s="13" t="str">
        <x:v>grid_asitui1y.xlsx</x:v>
      </x:c>
    </x:row>
    <x:row r="4233">
      <x:c r="A4233" s="15" t="n">
        <x:v>42217</x:v>
      </x:c>
      <x:c r="B4233" s="13" t="str">
        <x:v>BANCO SANTANDER  BRASIL-UNIT</x:v>
      </x:c>
      <x:c r="C4233" s="16" t="n">
        <x:v>6401.580032</x:v>
      </x:c>
      <x:c r="D4233" s="13" t="str">
        <x:v>Banks</x:v>
      </x:c>
      <x:c r="E4233" s="13" t="str">
        <x:v>Banks</x:v>
      </x:c>
      <x:c r="F4233" s="13" t="str">
        <x:v>Financials</x:v>
      </x:c>
      <x:c r="G4233" s="13" t="str">
        <x:v>grid_asitui1y.xlsx</x:v>
      </x:c>
    </x:row>
    <x:row r="4234">
      <x:c r="A4234" s="15" t="n">
        <x:v>42217</x:v>
      </x:c>
      <x:c r="B4234" s="13" t="str">
        <x:v>ITAU UNIBANCO HOLDING S-PREF</x:v>
      </x:c>
      <x:c r="C4234" s="16" t="n">
        <x:v>23926.9997226667</x:v>
      </x:c>
      <x:c r="D4234" s="13" t="str">
        <x:v>Banks</x:v>
      </x:c>
      <x:c r="E4234" s="13" t="str">
        <x:v>Banks</x:v>
      </x:c>
      <x:c r="F4234" s="13" t="str">
        <x:v>Financials</x:v>
      </x:c>
      <x:c r="G4234" s="13" t="str">
        <x:v>grid_asitui1y.xlsx</x:v>
      </x:c>
    </x:row>
    <x:row r="4235">
      <x:c r="A4235" s="15" t="n">
        <x:v>42217</x:v>
      </x:c>
      <x:c r="B4235" s="13" t="str">
        <x:v>EMBRAER SA</x:v>
      </x:c>
      <x:c r="C4235" s="16" t="n">
        <x:v>1296.57664</x:v>
      </x:c>
      <x:c r="D4235" s="13" t="str">
        <x:v>Capital Goods</x:v>
      </x:c>
      <x:c r="E4235" s="13" t="str">
        <x:v>Capital Goods</x:v>
      </x:c>
      <x:c r="F4235" s="13" t="str">
        <x:v>Deep Cyclicals</x:v>
      </x:c>
      <x:c r="G4235" s="13" t="str">
        <x:v>grid_asitui1y.xlsx</x:v>
      </x:c>
    </x:row>
    <x:row r="4236">
      <x:c r="A4236" s="15" t="n">
        <x:v>42217</x:v>
      </x:c>
      <x:c r="B4236" s="13" t="str">
        <x:v>MARCOPOLO SA-PREF</x:v>
      </x:c>
      <x:c r="C4236" s="16" t="n">
        <x:v>209.646336</x:v>
      </x:c>
      <x:c r="D4236" s="13" t="str">
        <x:v>Capital Goods</x:v>
      </x:c>
      <x:c r="E4236" s="13" t="str">
        <x:v>Capital Goods</x:v>
      </x:c>
      <x:c r="F4236" s="13" t="str">
        <x:v>Deep Cyclicals</x:v>
      </x:c>
      <x:c r="G4236" s="13" t="str">
        <x:v>grid_asitui1y.xlsx</x:v>
      </x:c>
    </x:row>
    <x:row r="4237">
      <x:c r="A4237" s="15" t="n">
        <x:v>42217</x:v>
      </x:c>
      <x:c r="B4237" s="13" t="str">
        <x:v>COGNA EDUCACAO</x:v>
      </x:c>
      <x:c r="C4237" s="16" t="n">
        <x:v>1576.4900266667</x:v>
      </x:c>
      <x:c r="D4237" s="13" t="str">
        <x:v>Education</x:v>
      </x:c>
      <x:c r="E4237" s="13" t="str">
        <x:v>Education</x:v>
      </x:c>
      <x:c r="F4237" s="13" t="str">
        <x:v>Early Cyclicals</x:v>
      </x:c>
      <x:c r="G4237" s="13" t="str">
        <x:v>grid_asitui1y.xlsx</x:v>
      </x:c>
    </x:row>
    <x:row r="4238">
      <x:c r="A4238" s="15" t="n">
        <x:v>42217</x:v>
      </x:c>
      <x:c r="B4238" s="13" t="str">
        <x:v>YDUQS PARTICIPACOES SA</x:v>
      </x:c>
      <x:c r="C4238" s="16" t="n">
        <x:v>554.1306453333</x:v>
      </x:c>
      <x:c r="D4238" s="13" t="str">
        <x:v>Education</x:v>
      </x:c>
      <x:c r="E4238" s="13" t="str">
        <x:v>Education</x:v>
      </x:c>
      <x:c r="F4238" s="13" t="str">
        <x:v>Early Cyclicals</x:v>
      </x:c>
      <x:c r="G4238" s="13" t="str">
        <x:v>grid_asitui1y.xlsx</x:v>
      </x:c>
    </x:row>
    <x:row r="4239">
      <x:c r="A4239" s="15" t="n">
        <x:v>42217</x:v>
      </x:c>
      <x:c r="B4239" s="13" t="str">
        <x:v>B3 SA-BRASIL BOLSA BALCAO</x:v>
      </x:c>
      <x:c r="C4239" s="16" t="n">
        <x:v>1704.473344</x:v>
      </x:c>
      <x:c r="D4239" s="13" t="str">
        <x:v>Financials Non-Banks</x:v>
      </x:c>
      <x:c r="E4239" s="13" t="str">
        <x:v>Financials Non-Banks</x:v>
      </x:c>
      <x:c r="F4239" s="13" t="str">
        <x:v>Financials</x:v>
      </x:c>
      <x:c r="G4239" s="13" t="str">
        <x:v>grid_asitui1y.xlsx</x:v>
      </x:c>
    </x:row>
    <x:row r="4240">
      <x:c r="A4240" s="15" t="n">
        <x:v>42217</x:v>
      </x:c>
      <x:c r="B4240" s="13" t="str">
        <x:v>BB SEGURIDADE PARTICIPACOES</x:v>
      </x:c>
      <x:c r="C4240" s="16" t="n">
        <x:v>4316.4734293333</x:v>
      </x:c>
      <x:c r="D4240" s="13" t="str">
        <x:v>Financials Non-Banks</x:v>
      </x:c>
      <x:c r="E4240" s="13" t="str">
        <x:v>Financials Non-Banks</x:v>
      </x:c>
      <x:c r="F4240" s="13" t="str">
        <x:v>Financials</x:v>
      </x:c>
      <x:c r="G4240" s="13" t="str">
        <x:v>grid_asitui1y.xlsx</x:v>
      </x:c>
    </x:row>
    <x:row r="4241">
      <x:c r="A4241" s="15" t="n">
        <x:v>42217</x:v>
      </x:c>
      <x:c r="B4241" s="13" t="str">
        <x:v>CETIP SA-MERCADOS ORGANIZADO</x:v>
      </x:c>
      <x:c r="C4241" s="16" t="n">
        <x:v>569.708352</x:v>
      </x:c>
      <x:c r="D4241" s="13" t="str">
        <x:v>Financials Non-Banks</x:v>
      </x:c>
      <x:c r="E4241" s="13" t="str">
        <x:v>Financials Non-Banks</x:v>
      </x:c>
      <x:c r="F4241" s="13" t="str">
        <x:v>Financials</x:v>
      </x:c>
      <x:c r="G4241" s="13" t="str">
        <x:v>grid_asitui1y.xlsx</x:v>
      </x:c>
    </x:row>
    <x:row r="4242">
      <x:c r="A4242" s="15" t="n">
        <x:v>42217</x:v>
      </x:c>
      <x:c r="B4242" s="13" t="str">
        <x:v>CIELO SA - INSTITUICAO DE PA</x:v>
      </x:c>
      <x:c r="C4242" s="16" t="n">
        <x:v>4117.9134293333</x:v>
      </x:c>
      <x:c r="D4242" s="13" t="str">
        <x:v>Financials Non-Banks</x:v>
      </x:c>
      <x:c r="E4242" s="13" t="str">
        <x:v>Financials Non-Banks</x:v>
      </x:c>
      <x:c r="F4242" s="13" t="str">
        <x:v>Financials</x:v>
      </x:c>
      <x:c r="G4242" s="13" t="str">
        <x:v>grid_asitui1y.xlsx</x:v>
      </x:c>
    </x:row>
    <x:row r="4243">
      <x:c r="A4243" s="15" t="n">
        <x:v>42217</x:v>
      </x:c>
      <x:c r="B4243" s="13" t="str">
        <x:v>ITAUSA SA</x:v>
      </x:c>
      <x:c r="C4243" s="16" t="n">
        <x:v>8520.8333653333</x:v>
      </x:c>
      <x:c r="D4243" s="13" t="str">
        <x:v>Financials Non-Banks</x:v>
      </x:c>
      <x:c r="E4243" s="13" t="str">
        <x:v>Financials Non-Banks</x:v>
      </x:c>
      <x:c r="F4243" s="13" t="str">
        <x:v>Financials</x:v>
      </x:c>
      <x:c r="G4243" s="13" t="str">
        <x:v>grid_asitui1y.xlsx</x:v>
      </x:c>
    </x:row>
    <x:row r="4244">
      <x:c r="A4244" s="15" t="n">
        <x:v>42217</x:v>
      </x:c>
      <x:c r="B4244" s="13" t="str">
        <x:v>AMBEV SA</x:v>
      </x:c>
      <x:c r="C4244" s="16" t="n">
        <x:v>15035.8664533333</x:v>
      </x:c>
      <x:c r="D4244" s="13" t="str">
        <x:v>Food &amp; Beverages</x:v>
      </x:c>
      <x:c r="E4244" s="13" t="str">
        <x:v>Agri, Food &amp; Beverages</x:v>
      </x:c>
      <x:c r="F4244" s="13" t="str">
        <x:v>Defensives</x:v>
      </x:c>
      <x:c r="G4244" s="13" t="str">
        <x:v>grid_asitui1y.xlsx</x:v>
      </x:c>
    </x:row>
    <x:row r="4245">
      <x:c r="A4245" s="15" t="n">
        <x:v>42217</x:v>
      </x:c>
      <x:c r="B4245" s="13" t="str">
        <x:v>BRF SA</x:v>
      </x:c>
      <x:c r="C4245" s="16" t="n">
        <x:v>3043.82336</x:v>
      </x:c>
      <x:c r="D4245" s="13" t="str">
        <x:v>Food &amp; Beverages</x:v>
      </x:c>
      <x:c r="E4245" s="13" t="str">
        <x:v>Agri, Food &amp; Beverages</x:v>
      </x:c>
      <x:c r="F4245" s="13" t="str">
        <x:v>Defensives</x:v>
      </x:c>
      <x:c r="G4245" s="13" t="str">
        <x:v>grid_asitui1y.xlsx</x:v>
      </x:c>
    </x:row>
    <x:row r="4246">
      <x:c r="A4246" s="15" t="n">
        <x:v>42217</x:v>
      </x:c>
      <x:c r="B4246" s="13" t="str">
        <x:v>MBRF GLOBAL FOODS COMPANY SA</x:v>
      </x:c>
      <x:c r="C4246" s="16" t="n">
        <x:v>-40.4596586667</x:v>
      </x:c>
      <x:c r="D4246" s="13" t="str">
        <x:v>Food &amp; Beverages</x:v>
      </x:c>
      <x:c r="E4246" s="13" t="str">
        <x:v>Agri, Food &amp; Beverages</x:v>
      </x:c>
      <x:c r="F4246" s="13" t="str">
        <x:v>Defensives</x:v>
      </x:c>
      <x:c r="G4246" s="13" t="str">
        <x:v>grid_asitui1y.xlsx</x:v>
      </x:c>
    </x:row>
    <x:row r="4247">
      <x:c r="A4247" s="15" t="n">
        <x:v>42217</x:v>
      </x:c>
      <x:c r="B4247" s="13" t="str">
        <x:v>SOUZA CRUZ LTDA</x:v>
      </x:c>
      <x:c r="C4247" s="16" t="n">
        <x:v>1707.833344</x:v>
      </x:c>
      <x:c r="D4247" s="13" t="str">
        <x:v>Food &amp; Beverages</x:v>
      </x:c>
      <x:c r="E4247" s="13" t="str">
        <x:v>Agri, Food &amp; Beverages</x:v>
      </x:c>
      <x:c r="F4247" s="13" t="str">
        <x:v>Defensives</x:v>
      </x:c>
      <x:c r="G4247" s="13" t="str">
        <x:v>grid_asitui1y.xlsx</x:v>
      </x:c>
    </x:row>
    <x:row r="4248">
      <x:c r="A4248" s="15" t="n">
        <x:v>42217</x:v>
      </x:c>
      <x:c r="B4248" s="13" t="str">
        <x:v>HYPERA SA</x:v>
      </x:c>
      <x:c r="C4248" s="16" t="n">
        <x:v>565.4379946667</x:v>
      </x:c>
      <x:c r="D4248" s="13" t="str">
        <x:v>Health Care</x:v>
      </x:c>
      <x:c r="E4248" s="13" t="str">
        <x:v>Health Care</x:v>
      </x:c>
      <x:c r="F4248" s="13" t="str">
        <x:v>Defensives</x:v>
      </x:c>
      <x:c r="G4248" s="13" t="str">
        <x:v>grid_asitui1y.xlsx</x:v>
      </x:c>
    </x:row>
    <x:row r="4249">
      <x:c r="A4249" s="15" t="n">
        <x:v>42217</x:v>
      </x:c>
      <x:c r="B4249" s="13" t="str">
        <x:v>QUALICORP CONS E CORR SEG SA</x:v>
      </x:c>
      <x:c r="C4249" s="16" t="n">
        <x:v>374.57168</x:v>
      </x:c>
      <x:c r="D4249" s="13" t="str">
        <x:v>Health Care</x:v>
      </x:c>
      <x:c r="E4249" s="13" t="str">
        <x:v>Health Care</x:v>
      </x:c>
      <x:c r="F4249" s="13" t="str">
        <x:v>Defensives</x:v>
      </x:c>
      <x:c r="G4249" s="13" t="str">
        <x:v>grid_asitui1y.xlsx</x:v>
      </x:c>
    </x:row>
    <x:row r="4250">
      <x:c r="A4250" s="15" t="n">
        <x:v>42217</x:v>
      </x:c>
      <x:c r="B4250" s="13" t="str">
        <x:v>CYRELA BRAZIL REALTY SA EMP</x:v>
      </x:c>
      <x:c r="C4250" s="16" t="n">
        <x:v>618.6360106667</x:v>
      </x:c>
      <x:c r="D4250" s="13" t="str">
        <x:v>Homebuilders</x:v>
      </x:c>
      <x:c r="E4250" s="13" t="str">
        <x:v>Real Estate</x:v>
      </x:c>
      <x:c r="F4250" s="13" t="str">
        <x:v>Early Cyclicals</x:v>
      </x:c>
      <x:c r="G4250" s="13" t="str">
        <x:v>grid_asitui1y.xlsx</x:v>
      </x:c>
    </x:row>
    <x:row r="4251">
      <x:c r="A4251" s="15" t="n">
        <x:v>42217</x:v>
      </x:c>
      <x:c r="B4251" s="13" t="str">
        <x:v>GAFISA SA</x:v>
      </x:c>
      <x:c r="C4251" s="16" t="n">
        <x:v>67.5489666667</x:v>
      </x:c>
      <x:c r="D4251" s="13" t="str">
        <x:v>Homebuilders</x:v>
      </x:c>
      <x:c r="E4251" s="13" t="str">
        <x:v>Real Estate</x:v>
      </x:c>
      <x:c r="F4251" s="13" t="str">
        <x:v>Early Cyclicals</x:v>
      </x:c>
      <x:c r="G4251" s="13" t="str">
        <x:v>grid_asitui1y.xlsx</x:v>
      </x:c>
    </x:row>
    <x:row r="4252">
      <x:c r="A4252" s="15" t="n">
        <x:v>42217</x:v>
      </x:c>
      <x:c r="B4252" s="13" t="str">
        <x:v>MRV ENGENHARIA</x:v>
      </x:c>
      <x:c r="C4252" s="16" t="n">
        <x:v>544.2333333333</x:v>
      </x:c>
      <x:c r="D4252" s="13" t="str">
        <x:v>Homebuilders</x:v>
      </x:c>
      <x:c r="E4252" s="13" t="str">
        <x:v>Real Estate</x:v>
      </x:c>
      <x:c r="F4252" s="13" t="str">
        <x:v>Early Cyclicals</x:v>
      </x:c>
      <x:c r="G4252" s="13" t="str">
        <x:v>grid_asitui1y.xlsx</x:v>
      </x:c>
    </x:row>
    <x:row r="4253">
      <x:c r="A4253" s="15" t="n">
        <x:v>42217</x:v>
      </x:c>
      <x:c r="B4253" s="13" t="str">
        <x:v>BR MALLS PARTICIPACOES SA</x:v>
      </x:c>
      <x:c r="C4253" s="16" t="n">
        <x:v>468.7406613333</x:v>
      </x:c>
      <x:c r="D4253" s="13" t="str">
        <x:v>Income Properties</x:v>
      </x:c>
      <x:c r="E4253" s="13" t="str">
        <x:v>Real Estate</x:v>
      </x:c>
      <x:c r="F4253" s="13" t="str">
        <x:v>Early Cyclicals</x:v>
      </x:c>
      <x:c r="G4253" s="13" t="str">
        <x:v>grid_asitui1y.xlsx</x:v>
      </x:c>
    </x:row>
    <x:row r="4254">
      <x:c r="A4254" s="15" t="n">
        <x:v>42217</x:v>
      </x:c>
      <x:c r="B4254" s="13" t="str">
        <x:v>MULTIPLAN EMPREENDIMENTOS</x:v>
      </x:c>
      <x:c r="C4254" s="16" t="n">
        <x:v>394.9333333333</x:v>
      </x:c>
      <x:c r="D4254" s="13" t="str">
        <x:v>Income Properties</x:v>
      </x:c>
      <x:c r="E4254" s="13" t="str">
        <x:v>Real Estate</x:v>
      </x:c>
      <x:c r="F4254" s="13" t="str">
        <x:v>Early Cyclicals</x:v>
      </x:c>
      <x:c r="G4254" s="13" t="str">
        <x:v>grid_asitui1y.xlsx</x:v>
      </x:c>
    </x:row>
    <x:row r="4255">
      <x:c r="A4255" s="15" t="n">
        <x:v>42217</x:v>
      </x:c>
      <x:c r="B4255" s="13" t="str">
        <x:v>SOLID ATIVOS IMOBILIARIOS SA</x:v>
      </x:c>
      <x:c r="C4255" s="16" t="n">
        <x:v>185.7000053333</x:v>
      </x:c>
      <x:c r="D4255" s="13" t="str">
        <x:v>Income Properties</x:v>
      </x:c>
      <x:c r="E4255" s="13" t="str">
        <x:v>Real Estate</x:v>
      </x:c>
      <x:c r="F4255" s="13" t="str">
        <x:v>Early Cyclicals</x:v>
      </x:c>
      <x:c r="G4255" s="13" t="str">
        <x:v>grid_asitui1y.xlsx</x:v>
      </x:c>
    </x:row>
    <x:row r="4256">
      <x:c r="A4256" s="15" t="n">
        <x:v>42217</x:v>
      </x:c>
      <x:c r="B4256" s="13" t="str">
        <x:v>BRADESPAR SA -PREF</x:v>
      </x:c>
      <x:c r="C4256" s="16" t="n">
        <x:v>-296.6666666667</x:v>
      </x:c>
      <x:c r="D4256" s="13" t="str">
        <x:v>Metals &amp; Mining</x:v>
      </x:c>
      <x:c r="E4256" s="13" t="str">
        <x:v>Metals &amp; Mining</x:v>
      </x:c>
      <x:c r="F4256" s="13" t="str">
        <x:v>Deep Cyclicals</x:v>
      </x:c>
      <x:c r="G4256" s="13" t="str">
        <x:v>grid_asitui1y.xlsx</x:v>
      </x:c>
    </x:row>
    <x:row r="4257">
      <x:c r="A4257" s="15" t="n">
        <x:v>42217</x:v>
      </x:c>
      <x:c r="B4257" s="13" t="str">
        <x:v>CIA SIDERURGICA NACIONAL SA</x:v>
      </x:c>
      <x:c r="C4257" s="16" t="n">
        <x:v>-513.6496746667</x:v>
      </x:c>
      <x:c r="D4257" s="13" t="str">
        <x:v>Metals &amp; Mining</x:v>
      </x:c>
      <x:c r="E4257" s="13" t="str">
        <x:v>Metals &amp; Mining</x:v>
      </x:c>
      <x:c r="F4257" s="13" t="str">
        <x:v>Deep Cyclicals</x:v>
      </x:c>
      <x:c r="G4257" s="13" t="str">
        <x:v>grid_asitui1y.xlsx</x:v>
      </x:c>
    </x:row>
    <x:row r="4258">
      <x:c r="A4258" s="15" t="n">
        <x:v>42217</x:v>
      </x:c>
      <x:c r="B4258" s="13" t="str">
        <x:v>GERDAU SA-PREF</x:v>
      </x:c>
      <x:c r="C4258" s="16" t="n">
        <x:v>748.0066773333</x:v>
      </x:c>
      <x:c r="D4258" s="13" t="str">
        <x:v>Metals &amp; Mining</x:v>
      </x:c>
      <x:c r="E4258" s="13" t="str">
        <x:v>Metals &amp; Mining</x:v>
      </x:c>
      <x:c r="F4258" s="13" t="str">
        <x:v>Deep Cyclicals</x:v>
      </x:c>
      <x:c r="G4258" s="13" t="str">
        <x:v>grid_asitui1y.xlsx</x:v>
      </x:c>
    </x:row>
    <x:row r="4259">
      <x:c r="A4259" s="15" t="n">
        <x:v>42217</x:v>
      </x:c>
      <x:c r="B4259" s="13" t="str">
        <x:v>METALURGICA GERDAU SA-PREF</x:v>
      </x:c>
      <x:c r="C4259" s="16" t="n">
        <x:v>-264.8333333333</x:v>
      </x:c>
      <x:c r="D4259" s="13" t="str">
        <x:v>Metals &amp; Mining</x:v>
      </x:c>
      <x:c r="E4259" s="13" t="str">
        <x:v>Metals &amp; Mining</x:v>
      </x:c>
      <x:c r="F4259" s="13" t="str">
        <x:v>Deep Cyclicals</x:v>
      </x:c>
      <x:c r="G4259" s="13" t="str">
        <x:v>grid_asitui1y.xlsx</x:v>
      </x:c>
    </x:row>
    <x:row r="4260">
      <x:c r="A4260" s="15" t="n">
        <x:v>42217</x:v>
      </x:c>
      <x:c r="B4260" s="13" t="str">
        <x:v>USINAS SIDER MINAS GER-PF A</x:v>
      </x:c>
      <x:c r="C4260" s="16" t="n">
        <x:v>-566.8790186667</x:v>
      </x:c>
      <x:c r="D4260" s="13" t="str">
        <x:v>Metals &amp; Mining</x:v>
      </x:c>
      <x:c r="E4260" s="13" t="str">
        <x:v>Metals &amp; Mining</x:v>
      </x:c>
      <x:c r="F4260" s="13" t="str">
        <x:v>Deep Cyclicals</x:v>
      </x:c>
      <x:c r="G4260" s="13" t="str">
        <x:v>grid_asitui1y.xlsx</x:v>
      </x:c>
    </x:row>
    <x:row r="4261">
      <x:c r="A4261" s="15" t="n">
        <x:v>42217</x:v>
      </x:c>
      <x:c r="B4261" s="13" t="str">
        <x:v>VALE SA</x:v>
      </x:c>
      <x:c r="C4261" s="16" t="n">
        <x:v>2052.969984</x:v>
      </x:c>
      <x:c r="D4261" s="13" t="str">
        <x:v>Metals &amp; Mining</x:v>
      </x:c>
      <x:c r="E4261" s="13" t="str">
        <x:v>Metals &amp; Mining</x:v>
      </x:c>
      <x:c r="F4261" s="13" t="str">
        <x:v>Deep Cyclicals</x:v>
      </x:c>
      <x:c r="G4261" s="13" t="str">
        <x:v>grid_asitui1y.xlsx</x:v>
      </x:c>
    </x:row>
    <x:row r="4262">
      <x:c r="A4262" s="15" t="n">
        <x:v>42217</x:v>
      </x:c>
      <x:c r="B4262" s="13" t="str">
        <x:v>BRASKEM SA-PREF A</x:v>
      </x:c>
      <x:c r="C4262" s="16" t="n">
        <x:v>1504.2533546667</x:v>
      </x:c>
      <x:c r="D4262" s="13" t="str">
        <x:v>Oil, Gas &amp; Petrochemicals</x:v>
      </x:c>
      <x:c r="E4262" s="13" t="str">
        <x:v>Oil, Gas &amp; Petrochemicals</x:v>
      </x:c>
      <x:c r="F4262" s="13" t="str">
        <x:v>Deep Cyclicals</x:v>
      </x:c>
      <x:c r="G4262" s="13" t="str">
        <x:v>grid_asitui1y.xlsx</x:v>
      </x:c>
    </x:row>
    <x:row r="4263">
      <x:c r="A4263" s="15" t="n">
        <x:v>42217</x:v>
      </x:c>
      <x:c r="B4263" s="13" t="str">
        <x:v>COSAN SA</x:v>
      </x:c>
      <x:c r="C4263" s="16" t="n">
        <x:v>759.2383146667</x:v>
      </x:c>
      <x:c r="D4263" s="13" t="str">
        <x:v>Oil, Gas &amp; Petrochemicals</x:v>
      </x:c>
      <x:c r="E4263" s="13" t="str">
        <x:v>Oil, Gas &amp; Petrochemicals</x:v>
      </x:c>
      <x:c r="F4263" s="13" t="str">
        <x:v>Deep Cyclicals</x:v>
      </x:c>
      <x:c r="G4263" s="13" t="str">
        <x:v>grid_asitui1y.xlsx</x:v>
      </x:c>
    </x:row>
    <x:row r="4264">
      <x:c r="A4264" s="15" t="n">
        <x:v>42217</x:v>
      </x:c>
      <x:c r="B4264" s="13" t="str">
        <x:v>PETROBRAS - PETROLEO BRAS</x:v>
      </x:c>
      <x:c r="C4264" s="16" t="n">
        <x:v>18126.2329173333</x:v>
      </x:c>
      <x:c r="D4264" s="13" t="str">
        <x:v>Oil, Gas &amp; Petrochemicals</x:v>
      </x:c>
      <x:c r="E4264" s="13" t="str">
        <x:v>Oil, Gas &amp; Petrochemicals</x:v>
      </x:c>
      <x:c r="F4264" s="13" t="str">
        <x:v>Deep Cyclicals</x:v>
      </x:c>
      <x:c r="G4264" s="13" t="str">
        <x:v>grid_asitui1y.xlsx</x:v>
      </x:c>
    </x:row>
    <x:row r="4265">
      <x:c r="A4265" s="15" t="n">
        <x:v>42217</x:v>
      </x:c>
      <x:c r="B4265" s="13" t="str">
        <x:v>ULTRAPAR PARTICIPACOES SA</x:v>
      </x:c>
      <x:c r="C4265" s="16" t="n">
        <x:v>1661.430016</x:v>
      </x:c>
      <x:c r="D4265" s="13" t="str">
        <x:v>Oil, Gas &amp; Petrochemicals</x:v>
      </x:c>
      <x:c r="E4265" s="13" t="str">
        <x:v>Oil, Gas &amp; Petrochemicals</x:v>
      </x:c>
      <x:c r="F4265" s="13" t="str">
        <x:v>Deep Cyclicals</x:v>
      </x:c>
      <x:c r="G4265" s="13" t="str">
        <x:v>grid_asitui1y.xlsx</x:v>
      </x:c>
    </x:row>
    <x:row r="4266">
      <x:c r="A4266" s="15" t="n">
        <x:v>42217</x:v>
      </x:c>
      <x:c r="B4266" s="13" t="str">
        <x:v>DEXCO SA</x:v>
      </x:c>
      <x:c r="C4266" s="16" t="n">
        <x:v>364.8886613333</x:v>
      </x:c>
      <x:c r="D4266" s="13" t="str">
        <x:v>Pulp &amp; Paper</x:v>
      </x:c>
      <x:c r="E4266" s="13" t="str">
        <x:v>Pulp &amp; Paper</x:v>
      </x:c>
      <x:c r="F4266" s="13" t="str">
        <x:v>Deep Cyclicals</x:v>
      </x:c>
      <x:c r="G4266" s="13" t="str">
        <x:v>grid_asitui1y.xlsx</x:v>
      </x:c>
    </x:row>
    <x:row r="4267">
      <x:c r="A4267" s="15" t="n">
        <x:v>42217</x:v>
      </x:c>
      <x:c r="B4267" s="13" t="str">
        <x:v>FIBRIA CELULOSE S/A</x:v>
      </x:c>
      <x:c r="C4267" s="16" t="n">
        <x:v>1057.4049706667</x:v>
      </x:c>
      <x:c r="D4267" s="13" t="str">
        <x:v>Pulp &amp; Paper</x:v>
      </x:c>
      <x:c r="E4267" s="13" t="str">
        <x:v>Pulp &amp; Paper</x:v>
      </x:c>
      <x:c r="F4267" s="13" t="str">
        <x:v>Deep Cyclicals</x:v>
      </x:c>
      <x:c r="G4267" s="13" t="str">
        <x:v>grid_asitui1y.xlsx</x:v>
      </x:c>
    </x:row>
    <x:row r="4268">
      <x:c r="A4268" s="15" t="n">
        <x:v>42217</x:v>
      </x:c>
      <x:c r="B4268" s="13" t="str">
        <x:v>KLABIN SA - UNIT</x:v>
      </x:c>
      <x:c r="C4268" s="16" t="n">
        <x:v>262.8276586667</x:v>
      </x:c>
      <x:c r="D4268" s="13" t="str">
        <x:v>Pulp &amp; Paper</x:v>
      </x:c>
      <x:c r="E4268" s="13" t="str">
        <x:v>Pulp &amp; Paper</x:v>
      </x:c>
      <x:c r="F4268" s="13" t="str">
        <x:v>Deep Cyclicals</x:v>
      </x:c>
      <x:c r="G4268" s="13" t="str">
        <x:v>grid_asitui1y.xlsx</x:v>
      </x:c>
    </x:row>
    <x:row r="4269">
      <x:c r="A4269" s="15" t="n">
        <x:v>42217</x:v>
      </x:c>
      <x:c r="B4269" s="13" t="str">
        <x:v>SUZANO PAPEL E CELULO-PREF A</x:v>
      </x:c>
      <x:c r="C4269" s="16" t="n">
        <x:v>1152.716624</x:v>
      </x:c>
      <x:c r="D4269" s="13" t="str">
        <x:v>Pulp &amp; Paper</x:v>
      </x:c>
      <x:c r="E4269" s="13" t="str">
        <x:v>Pulp &amp; Paper</x:v>
      </x:c>
      <x:c r="F4269" s="13" t="str">
        <x:v>Deep Cyclicals</x:v>
      </x:c>
      <x:c r="G4269" s="13" t="str">
        <x:v>grid_asitui1y.xlsx</x:v>
      </x:c>
    </x:row>
    <x:row r="4270">
      <x:c r="A4270" s="15" t="n">
        <x:v>42217</x:v>
      </x:c>
      <x:c r="B4270" s="13" t="str">
        <x:v>CIA BRASILEIRA DE DIS-PREF</x:v>
      </x:c>
      <x:c r="C4270" s="16" t="n">
        <x:v>1288.4532906667</x:v>
      </x:c>
      <x:c r="D4270" s="13" t="str">
        <x:v>Retail</x:v>
      </x:c>
      <x:c r="E4270" s="13" t="str">
        <x:v>Retail</x:v>
      </x:c>
      <x:c r="F4270" s="13" t="str">
        <x:v>Early Cyclicals</x:v>
      </x:c>
      <x:c r="G4270" s="13" t="str">
        <x:v>grid_asitui1y.xlsx</x:v>
      </x:c>
    </x:row>
    <x:row r="4271">
      <x:c r="A4271" s="15" t="n">
        <x:v>42217</x:v>
      </x:c>
      <x:c r="B4271" s="13" t="str">
        <x:v>CIA HERING</x:v>
      </x:c>
      <x:c r="C4271" s="16" t="n">
        <x:v>271.2563306667</x:v>
      </x:c>
      <x:c r="D4271" s="13" t="str">
        <x:v>Retail</x:v>
      </x:c>
      <x:c r="E4271" s="13" t="str">
        <x:v>Retail</x:v>
      </x:c>
      <x:c r="F4271" s="13" t="str">
        <x:v>Early Cyclicals</x:v>
      </x:c>
      <x:c r="G4271" s="13" t="str">
        <x:v>grid_asitui1y.xlsx</x:v>
      </x:c>
    </x:row>
    <x:row r="4272">
      <x:c r="A4272" s="15" t="n">
        <x:v>42217</x:v>
      </x:c>
      <x:c r="B4272" s="13" t="str">
        <x:v>LOJAS AMERICANAS SA-PREF</x:v>
      </x:c>
      <x:c r="C4272" s="16" t="n">
        <x:v>607.5556586667</x:v>
      </x:c>
      <x:c r="D4272" s="13" t="str">
        <x:v>Retail</x:v>
      </x:c>
      <x:c r="E4272" s="13" t="str">
        <x:v>Retail</x:v>
      </x:c>
      <x:c r="F4272" s="13" t="str">
        <x:v>Early Cyclicals</x:v>
      </x:c>
      <x:c r="G4272" s="13" t="str">
        <x:v>grid_asitui1y.xlsx</x:v>
      </x:c>
    </x:row>
    <x:row r="4273">
      <x:c r="A4273" s="15" t="n">
        <x:v>42217</x:v>
      </x:c>
      <x:c r="B4273" s="13" t="str">
        <x:v>LOJAS RENNER S.A.</x:v>
      </x:c>
      <x:c r="C4273" s="16" t="n">
        <x:v>672.6426666667</x:v>
      </x:c>
      <x:c r="D4273" s="13" t="str">
        <x:v>Retail</x:v>
      </x:c>
      <x:c r="E4273" s="13" t="str">
        <x:v>Retail</x:v>
      </x:c>
      <x:c r="F4273" s="13" t="str">
        <x:v>Early Cyclicals</x:v>
      </x:c>
      <x:c r="G4273" s="13" t="str">
        <x:v>grid_asitui1y.xlsx</x:v>
      </x:c>
    </x:row>
    <x:row r="4274">
      <x:c r="A4274" s="15" t="n">
        <x:v>42217</x:v>
      </x:c>
      <x:c r="B4274" s="13" t="str">
        <x:v>NATURA COSMETICOS SA</x:v>
      </x:c>
      <x:c r="C4274" s="16" t="n">
        <x:v>778.5949866667</x:v>
      </x:c>
      <x:c r="D4274" s="13" t="str">
        <x:v>Retail</x:v>
      </x:c>
      <x:c r="E4274" s="13" t="str">
        <x:v>Retail</x:v>
      </x:c>
      <x:c r="F4274" s="13" t="str">
        <x:v>Early Cyclicals</x:v>
      </x:c>
      <x:c r="G4274" s="13" t="str">
        <x:v>grid_asitui1y.xlsx</x:v>
      </x:c>
    </x:row>
    <x:row r="4275">
      <x:c r="A4275" s="15" t="n">
        <x:v>42217</x:v>
      </x:c>
      <x:c r="B4275" s="13" t="str">
        <x:v>CIA SANEAMENTO BASICO DE SP</x:v>
      </x:c>
      <x:c r="C4275" s="16" t="n">
        <x:v>981.7599786667</x:v>
      </x:c>
      <x:c r="D4275" s="13" t="str">
        <x:v>Sanitation</x:v>
      </x:c>
      <x:c r="E4275" s="13" t="str">
        <x:v>Utilities</x:v>
      </x:c>
      <x:c r="F4275" s="13" t="str">
        <x:v>Defensives</x:v>
      </x:c>
      <x:c r="G4275" s="13" t="str">
        <x:v>grid_asitui1y.xlsx</x:v>
      </x:c>
    </x:row>
    <x:row r="4276">
      <x:c r="A4276" s="15" t="n">
        <x:v>42217</x:v>
      </x:c>
      <x:c r="B4276" s="13" t="str">
        <x:v>OI SA-PREFERENCE</x:v>
      </x:c>
      <x:c r="C4276" s="16" t="n">
        <x:v>-1004.1200213333</x:v>
      </x:c>
      <x:c r="D4276" s="13" t="str">
        <x:v>TMT</x:v>
      </x:c>
      <x:c r="E4276" s="13" t="str">
        <x:v>TMT</x:v>
      </x:c>
      <x:c r="F4276" s="13" t="str">
        <x:v>Early Cyclicals</x:v>
      </x:c>
      <x:c r="G4276" s="13" t="str">
        <x:v>grid_asitui1y.xlsx</x:v>
      </x:c>
    </x:row>
    <x:row r="4277">
      <x:c r="A4277" s="15" t="n">
        <x:v>42217</x:v>
      </x:c>
      <x:c r="B4277" s="13" t="str">
        <x:v>TELEFONICA BRASIL S.A.-PREF</x:v>
      </x:c>
      <x:c r="C4277" s="16" t="n">
        <x:v>4836.8334506667</x:v>
      </x:c>
      <x:c r="D4277" s="13" t="str">
        <x:v>TMT</x:v>
      </x:c>
      <x:c r="E4277" s="13" t="str">
        <x:v>TMT</x:v>
      </x:c>
      <x:c r="F4277" s="13" t="str">
        <x:v>Early Cyclicals</x:v>
      </x:c>
      <x:c r="G4277" s="13" t="str">
        <x:v>grid_asitui1y.xlsx</x:v>
      </x:c>
    </x:row>
    <x:row r="4278">
      <x:c r="A4278" s="15" t="n">
        <x:v>42217</x:v>
      </x:c>
      <x:c r="B4278" s="13" t="str">
        <x:v>TIM SA</x:v>
      </x:c>
      <x:c r="C4278" s="16" t="n">
        <x:v>1444.83328</x:v>
      </x:c>
      <x:c r="D4278" s="13" t="str">
        <x:v>TMT</x:v>
      </x:c>
      <x:c r="E4278" s="13" t="str">
        <x:v>TMT</x:v>
      </x:c>
      <x:c r="F4278" s="13" t="str">
        <x:v>Early Cyclicals</x:v>
      </x:c>
      <x:c r="G4278" s="13" t="str">
        <x:v>grid_asitui1y.xlsx</x:v>
      </x:c>
    </x:row>
    <x:row r="4279">
      <x:c r="A4279" s="15" t="n">
        <x:v>42217</x:v>
      </x:c>
      <x:c r="B4279" s="13" t="str">
        <x:v>ECORODOVIAS INFRA E LOG SA</x:v>
      </x:c>
      <x:c r="C4279" s="16" t="n">
        <x:v>292.4666666667</x:v>
      </x:c>
      <x:c r="D4279" s="13" t="str">
        <x:v>Transportation</x:v>
      </x:c>
      <x:c r="E4279" s="13" t="str">
        <x:v>Transportation</x:v>
      </x:c>
      <x:c r="F4279" s="13" t="str">
        <x:v>Deep Cyclicals</x:v>
      </x:c>
      <x:c r="G4279" s="13" t="str">
        <x:v>grid_asitui1y.xlsx</x:v>
      </x:c>
    </x:row>
    <x:row r="4280">
      <x:c r="A4280" s="15" t="n">
        <x:v>42217</x:v>
      </x:c>
      <x:c r="B4280" s="13" t="str">
        <x:v>GOL LINHAS AEREAS INT SA-PRE</x:v>
      </x:c>
      <x:c r="C4280" s="16" t="n">
        <x:v>-607.6666666667</x:v>
      </x:c>
      <x:c r="D4280" s="13" t="str">
        <x:v>Transportation</x:v>
      </x:c>
      <x:c r="E4280" s="13" t="str">
        <x:v>Transportation</x:v>
      </x:c>
      <x:c r="F4280" s="13" t="str">
        <x:v>Deep Cyclicals</x:v>
      </x:c>
      <x:c r="G4280" s="13" t="str">
        <x:v>grid_asitui1y.xlsx</x:v>
      </x:c>
    </x:row>
    <x:row r="4281">
      <x:c r="A4281" s="15" t="n">
        <x:v>42217</x:v>
      </x:c>
      <x:c r="B4281" s="13" t="str">
        <x:v>LOCALIZA RENT A CAR</x:v>
      </x:c>
      <x:c r="C4281" s="16" t="n">
        <x:v>400.952</x:v>
      </x:c>
      <x:c r="D4281" s="13" t="str">
        <x:v>Transportation</x:v>
      </x:c>
      <x:c r="E4281" s="13" t="str">
        <x:v>Transportation</x:v>
      </x:c>
      <x:c r="F4281" s="13" t="str">
        <x:v>Deep Cyclicals</x:v>
      </x:c>
      <x:c r="G4281" s="13" t="str">
        <x:v>grid_asitui1y.xlsx</x:v>
      </x:c>
    </x:row>
    <x:row r="4282">
      <x:c r="A4282" s="15" t="n">
        <x:v>42217</x:v>
      </x:c>
      <x:c r="B4282" s="13" t="str">
        <x:v>MOTIVA INFRAESTRUTURA DE MOB</x:v>
      </x:c>
      <x:c r="C4282" s="16" t="n">
        <x:v>1333.1200426667</x:v>
      </x:c>
      <x:c r="D4282" s="13" t="str">
        <x:v>Transportation</x:v>
      </x:c>
      <x:c r="E4282" s="13" t="str">
        <x:v>Transportation</x:v>
      </x:c>
      <x:c r="F4282" s="13" t="str">
        <x:v>Deep Cyclicals</x:v>
      </x:c>
      <x:c r="G4282" s="13" t="str">
        <x:v>grid_asitui1y.xlsx</x:v>
      </x:c>
    </x:row>
    <x:row r="4283">
      <x:c r="A4283" s="15" t="n">
        <x:v>42217</x:v>
      </x:c>
      <x:c r="B4283" s="13" t="str">
        <x:v>AXIA ENERGIA SA</x:v>
      </x:c>
      <x:c r="C4283" s="16" t="n">
        <x:v>506.6666666667</x:v>
      </x:c>
      <x:c r="D4283" s="13" t="str">
        <x:v>Utilities &amp; Energy</x:v>
      </x:c>
      <x:c r="E4283" s="13" t="str">
        <x:v>Utilities</x:v>
      </x:c>
      <x:c r="F4283" s="13" t="str">
        <x:v>Defensives</x:v>
      </x:c>
      <x:c r="G4283" s="13" t="str">
        <x:v>grid_asitui1y.xlsx</x:v>
      </x:c>
    </x:row>
    <x:row r="4284">
      <x:c r="A4284" s="15" t="n">
        <x:v>42217</x:v>
      </x:c>
      <x:c r="B4284" s="13" t="str">
        <x:v>AXIA ENERGIA-PR B</x:v>
      </x:c>
      <x:c r="C4284" s="16" t="n">
        <x:v>506.6666666667</x:v>
      </x:c>
      <x:c r="D4284" s="13" t="str">
        <x:v>Utilities &amp; Energy</x:v>
      </x:c>
      <x:c r="E4284" s="13" t="str">
        <x:v>Utilities</x:v>
      </x:c>
      <x:c r="F4284" s="13" t="str">
        <x:v>Defensives</x:v>
      </x:c>
      <x:c r="G4284" s="13" t="str">
        <x:v>grid_asitui1y.xlsx</x:v>
      </x:c>
    </x:row>
    <x:row r="4285">
      <x:c r="A4285" s="15" t="n">
        <x:v>42217</x:v>
      </x:c>
      <x:c r="B4285" s="13" t="str">
        <x:v>CESP - CIA ENERGETICA DE SAO</x:v>
      </x:c>
      <x:c r="C4285" s="16" t="n">
        <x:v>442.4</x:v>
      </x:c>
      <x:c r="D4285" s="13" t="str">
        <x:v>Utilities &amp; Energy</x:v>
      </x:c>
      <x:c r="E4285" s="13" t="str">
        <x:v>Utilities</x:v>
      </x:c>
      <x:c r="F4285" s="13" t="str">
        <x:v>Defensives</x:v>
      </x:c>
      <x:c r="G4285" s="13" t="str">
        <x:v>grid_asitui1y.xlsx</x:v>
      </x:c>
    </x:row>
    <x:row r="4286">
      <x:c r="A4286" s="15" t="n">
        <x:v>42217</x:v>
      </x:c>
      <x:c r="B4286" s="13" t="str">
        <x:v>CIA ENERGETICA MINAS GER-PRF</x:v>
      </x:c>
      <x:c r="C4286" s="16" t="n">
        <x:v>1739.4266453333</x:v>
      </x:c>
      <x:c r="D4286" s="13" t="str">
        <x:v>Utilities &amp; Energy</x:v>
      </x:c>
      <x:c r="E4286" s="13" t="str">
        <x:v>Utilities</x:v>
      </x:c>
      <x:c r="F4286" s="13" t="str">
        <x:v>Defensives</x:v>
      </x:c>
      <x:c r="G4286" s="13" t="str">
        <x:v>grid_asitui1y.xlsx</x:v>
      </x:c>
    </x:row>
    <x:row r="4287">
      <x:c r="A4287" s="15" t="n">
        <x:v>42217</x:v>
      </x:c>
      <x:c r="B4287" s="13" t="str">
        <x:v>COMPANHIA PARANAENSE -PREF B</x:v>
      </x:c>
      <x:c r="C4287" s="16" t="n">
        <x:v>1229.8266453333</x:v>
      </x:c>
      <x:c r="D4287" s="13" t="str">
        <x:v>Utilities &amp; Energy</x:v>
      </x:c>
      <x:c r="E4287" s="13" t="str">
        <x:v>Utilities</x:v>
      </x:c>
      <x:c r="F4287" s="13" t="str">
        <x:v>Defensives</x:v>
      </x:c>
      <x:c r="G4287" s="13" t="str">
        <x:v>grid_asitui1y.xlsx</x:v>
      </x:c>
    </x:row>
    <x:row r="4288">
      <x:c r="A4288" s="15" t="n">
        <x:v>42217</x:v>
      </x:c>
      <x:c r="B4288" s="13" t="str">
        <x:v>CPFL ENERGIA SA</x:v>
      </x:c>
      <x:c r="C4288" s="16" t="n">
        <x:v>1088.9617066667</x:v>
      </x:c>
      <x:c r="D4288" s="13" t="str">
        <x:v>Utilities &amp; Energy</x:v>
      </x:c>
      <x:c r="E4288" s="13" t="str">
        <x:v>Utilities</x:v>
      </x:c>
      <x:c r="F4288" s="13" t="str">
        <x:v>Defensives</x:v>
      </x:c>
      <x:c r="G4288" s="13" t="str">
        <x:v>grid_asitui1y.xlsx</x:v>
      </x:c>
    </x:row>
    <x:row r="4289">
      <x:c r="A4289" s="15" t="n">
        <x:v>42217</x:v>
      </x:c>
      <x:c r="B4289" s="13" t="str">
        <x:v>EDP - ENERGIAS DO BRASIL SA</x:v>
      </x:c>
      <x:c r="C4289" s="16" t="n">
        <x:v>624.380992</x:v>
      </x:c>
      <x:c r="D4289" s="13" t="str">
        <x:v>Utilities &amp; Energy</x:v>
      </x:c>
      <x:c r="E4289" s="13" t="str">
        <x:v>Utilities</x:v>
      </x:c>
      <x:c r="F4289" s="13" t="str">
        <x:v>Defensives</x:v>
      </x:c>
      <x:c r="G4289" s="13" t="str">
        <x:v>grid_asitui1y.xlsx</x:v>
      </x:c>
    </x:row>
    <x:row r="4290">
      <x:c r="A4290" s="15" t="n">
        <x:v>42217</x:v>
      </x:c>
      <x:c r="B4290" s="13" t="str">
        <x:v>ENGIE BRASIL ENERGIA SA</x:v>
      </x:c>
      <x:c r="C4290" s="16" t="n">
        <x:v>1629.6962986667</x:v>
      </x:c>
      <x:c r="D4290" s="13" t="str">
        <x:v>Utilities &amp; Energy</x:v>
      </x:c>
      <x:c r="E4290" s="13" t="str">
        <x:v>Utilities</x:v>
      </x:c>
      <x:c r="F4290" s="13" t="str">
        <x:v>Defensives</x:v>
      </x:c>
      <x:c r="G4290" s="13" t="str">
        <x:v>grid_asitui1y.xlsx</x:v>
      </x:c>
    </x:row>
    <x:row r="4291">
      <x:c r="A4291" s="15" t="n">
        <x:v>42248</x:v>
      </x:c>
      <x:c r="B4291" s="13" t="str">
        <x:v>BANCO BRADESCO S.A.</x:v>
      </x:c>
      <x:c r="C4291" s="16" t="n">
        <x:v>18605.4515549727</x:v>
      </x:c>
      <x:c r="D4291" s="13" t="str">
        <x:v>Banks</x:v>
      </x:c>
      <x:c r="E4291" s="13" t="str">
        <x:v>Banks</x:v>
      </x:c>
      <x:c r="F4291" s="13" t="str">
        <x:v>Financials</x:v>
      </x:c>
      <x:c r="G4291" s="13" t="str">
        <x:v>grid_asitui1y.xlsx</x:v>
      </x:c>
    </x:row>
    <x:row r="4292">
      <x:c r="A4292" s="15" t="n">
        <x:v>42248</x:v>
      </x:c>
      <x:c r="B4292" s="13" t="str">
        <x:v>BANCO BRADESCO SA-PREF</x:v>
      </x:c>
      <x:c r="C4292" s="16" t="n">
        <x:v>18605.4515549727</x:v>
      </x:c>
      <x:c r="D4292" s="13" t="str">
        <x:v>Banks</x:v>
      </x:c>
      <x:c r="E4292" s="13" t="str">
        <x:v>Banks</x:v>
      </x:c>
      <x:c r="F4292" s="13" t="str">
        <x:v>Financials</x:v>
      </x:c>
      <x:c r="G4292" s="13" t="str">
        <x:v>grid_asitui1y.xlsx</x:v>
      </x:c>
    </x:row>
    <x:row r="4293">
      <x:c r="A4293" s="15" t="n">
        <x:v>42248</x:v>
      </x:c>
      <x:c r="B4293" s="13" t="str">
        <x:v>BANCO DO BRASIL S.A.</x:v>
      </x:c>
      <x:c r="C4293" s="16" t="n">
        <x:v>12496.2893219672</x:v>
      </x:c>
      <x:c r="D4293" s="13" t="str">
        <x:v>Banks</x:v>
      </x:c>
      <x:c r="E4293" s="13" t="str">
        <x:v>Banks</x:v>
      </x:c>
      <x:c r="F4293" s="13" t="str">
        <x:v>Financials</x:v>
      </x:c>
      <x:c r="G4293" s="13" t="str">
        <x:v>grid_asitui1y.xlsx</x:v>
      </x:c>
    </x:row>
    <x:row r="4294">
      <x:c r="A4294" s="15" t="n">
        <x:v>42248</x:v>
      </x:c>
      <x:c r="B4294" s="13" t="str">
        <x:v>BANCO SANTANDER  BRASIL-UNIT</x:v>
      </x:c>
      <x:c r="C4294" s="16" t="n">
        <x:v>6178.8882899235</x:v>
      </x:c>
      <x:c r="D4294" s="13" t="str">
        <x:v>Banks</x:v>
      </x:c>
      <x:c r="E4294" s="13" t="str">
        <x:v>Banks</x:v>
      </x:c>
      <x:c r="F4294" s="13" t="str">
        <x:v>Financials</x:v>
      </x:c>
      <x:c r="G4294" s="13" t="str">
        <x:v>grid_asitui1y.xlsx</x:v>
      </x:c>
    </x:row>
    <x:row r="4295">
      <x:c r="A4295" s="15" t="n">
        <x:v>42248</x:v>
      </x:c>
      <x:c r="B4295" s="13" t="str">
        <x:v>ITAU UNIBANCO HOLDING S-PREF</x:v>
      </x:c>
      <x:c r="C4295" s="16" t="n">
        <x:v>24019.9443976393</x:v>
      </x:c>
      <x:c r="D4295" s="13" t="str">
        <x:v>Banks</x:v>
      </x:c>
      <x:c r="E4295" s="13" t="str">
        <x:v>Banks</x:v>
      </x:c>
      <x:c r="F4295" s="13" t="str">
        <x:v>Financials</x:v>
      </x:c>
      <x:c r="G4295" s="13" t="str">
        <x:v>grid_asitui1y.xlsx</x:v>
      </x:c>
    </x:row>
    <x:row r="4296">
      <x:c r="A4296" s="15" t="n">
        <x:v>42248</x:v>
      </x:c>
      <x:c r="B4296" s="13" t="str">
        <x:v>EMBRAER SA</x:v>
      </x:c>
      <x:c r="C4296" s="16" t="n">
        <x:v>1378.8249033443</x:v>
      </x:c>
      <x:c r="D4296" s="13" t="str">
        <x:v>Capital Goods</x:v>
      </x:c>
      <x:c r="E4296" s="13" t="str">
        <x:v>Capital Goods</x:v>
      </x:c>
      <x:c r="F4296" s="13" t="str">
        <x:v>Deep Cyclicals</x:v>
      </x:c>
      <x:c r="G4296" s="13" t="str">
        <x:v>grid_asitui1y.xlsx</x:v>
      </x:c>
    </x:row>
    <x:row r="4297">
      <x:c r="A4297" s="15" t="n">
        <x:v>42248</x:v>
      </x:c>
      <x:c r="B4297" s="13" t="str">
        <x:v>COGNA EDUCACAO</x:v>
      </x:c>
      <x:c r="C4297" s="16" t="n">
        <x:v>1630.4601453115</x:v>
      </x:c>
      <x:c r="D4297" s="13" t="str">
        <x:v>Education</x:v>
      </x:c>
      <x:c r="E4297" s="13" t="str">
        <x:v>Education</x:v>
      </x:c>
      <x:c r="F4297" s="13" t="str">
        <x:v>Early Cyclicals</x:v>
      </x:c>
      <x:c r="G4297" s="13" t="str">
        <x:v>grid_asitui1y.xlsx</x:v>
      </x:c>
    </x:row>
    <x:row r="4298">
      <x:c r="A4298" s="15" t="n">
        <x:v>42248</x:v>
      </x:c>
      <x:c r="B4298" s="13" t="str">
        <x:v>YDUQS PARTICIPACOES SA</x:v>
      </x:c>
      <x:c r="C4298" s="16" t="n">
        <x:v>570.4963979891</x:v>
      </x:c>
      <x:c r="D4298" s="13" t="str">
        <x:v>Education</x:v>
      </x:c>
      <x:c r="E4298" s="13" t="str">
        <x:v>Education</x:v>
      </x:c>
      <x:c r="F4298" s="13" t="str">
        <x:v>Early Cyclicals</x:v>
      </x:c>
      <x:c r="G4298" s="13" t="str">
        <x:v>grid_asitui1y.xlsx</x:v>
      </x:c>
    </x:row>
    <x:row r="4299">
      <x:c r="A4299" s="15" t="n">
        <x:v>42248</x:v>
      </x:c>
      <x:c r="B4299" s="13" t="str">
        <x:v>B3 SA-BRASIL BOLSA BALCAO</x:v>
      </x:c>
      <x:c r="C4299" s="16" t="n">
        <x:v>1750.3863494645</x:v>
      </x:c>
      <x:c r="D4299" s="13" t="str">
        <x:v>Financials Non-Banks</x:v>
      </x:c>
      <x:c r="E4299" s="13" t="str">
        <x:v>Financials Non-Banks</x:v>
      </x:c>
      <x:c r="F4299" s="13" t="str">
        <x:v>Financials</x:v>
      </x:c>
      <x:c r="G4299" s="13" t="str">
        <x:v>grid_asitui1y.xlsx</x:v>
      </x:c>
    </x:row>
    <x:row r="4300">
      <x:c r="A4300" s="15" t="n">
        <x:v>42248</x:v>
      </x:c>
      <x:c r="B4300" s="13" t="str">
        <x:v>BB SEGURIDADE PARTICIPACOES</x:v>
      </x:c>
      <x:c r="C4300" s="16" t="n">
        <x:v>4357.2444355847</x:v>
      </x:c>
      <x:c r="D4300" s="13" t="str">
        <x:v>Financials Non-Banks</x:v>
      </x:c>
      <x:c r="E4300" s="13" t="str">
        <x:v>Financials Non-Banks</x:v>
      </x:c>
      <x:c r="F4300" s="13" t="str">
        <x:v>Financials</x:v>
      </x:c>
      <x:c r="G4300" s="13" t="str">
        <x:v>grid_asitui1y.xlsx</x:v>
      </x:c>
    </x:row>
    <x:row r="4301">
      <x:c r="A4301" s="15" t="n">
        <x:v>42248</x:v>
      </x:c>
      <x:c r="B4301" s="13" t="str">
        <x:v>CETIP SA-MERCADOS ORGANIZADO</x:v>
      </x:c>
      <x:c r="C4301" s="16" t="n">
        <x:v>573.5942683279</x:v>
      </x:c>
      <x:c r="D4301" s="13" t="str">
        <x:v>Financials Non-Banks</x:v>
      </x:c>
      <x:c r="E4301" s="13" t="str">
        <x:v>Financials Non-Banks</x:v>
      </x:c>
      <x:c r="F4301" s="13" t="str">
        <x:v>Financials</x:v>
      </x:c>
      <x:c r="G4301" s="13" t="str">
        <x:v>grid_asitui1y.xlsx</x:v>
      </x:c>
    </x:row>
    <x:row r="4302">
      <x:c r="A4302" s="15" t="n">
        <x:v>42248</x:v>
      </x:c>
      <x:c r="B4302" s="13" t="str">
        <x:v>CIELO SA - INSTITUICAO DE PA</x:v>
      </x:c>
      <x:c r="C4302" s="16" t="n">
        <x:v>4161.802330929</x:v>
      </x:c>
      <x:c r="D4302" s="13" t="str">
        <x:v>Financials Non-Banks</x:v>
      </x:c>
      <x:c r="E4302" s="13" t="str">
        <x:v>Financials Non-Banks</x:v>
      </x:c>
      <x:c r="F4302" s="13" t="str">
        <x:v>Financials</x:v>
      </x:c>
      <x:c r="G4302" s="13" t="str">
        <x:v>grid_asitui1y.xlsx</x:v>
      </x:c>
    </x:row>
    <x:row r="4303">
      <x:c r="A4303" s="15" t="n">
        <x:v>42248</x:v>
      </x:c>
      <x:c r="B4303" s="13" t="str">
        <x:v>ITAUSA SA</x:v>
      </x:c>
      <x:c r="C4303" s="16" t="n">
        <x:v>8530.2568708197</x:v>
      </x:c>
      <x:c r="D4303" s="13" t="str">
        <x:v>Financials Non-Banks</x:v>
      </x:c>
      <x:c r="E4303" s="13" t="str">
        <x:v>Financials Non-Banks</x:v>
      </x:c>
      <x:c r="F4303" s="13" t="str">
        <x:v>Financials</x:v>
      </x:c>
      <x:c r="G4303" s="13" t="str">
        <x:v>grid_asitui1y.xlsx</x:v>
      </x:c>
    </x:row>
    <x:row r="4304">
      <x:c r="A4304" s="15" t="n">
        <x:v>42248</x:v>
      </x:c>
      <x:c r="B4304" s="13" t="str">
        <x:v>AMBEV SA</x:v>
      </x:c>
      <x:c r="C4304" s="16" t="n">
        <x:v>15146.5319127432</x:v>
      </x:c>
      <x:c r="D4304" s="13" t="str">
        <x:v>Food &amp; Beverages</x:v>
      </x:c>
      <x:c r="E4304" s="13" t="str">
        <x:v>Agri, Food &amp; Beverages</x:v>
      </x:c>
      <x:c r="F4304" s="13" t="str">
        <x:v>Defensives</x:v>
      </x:c>
      <x:c r="G4304" s="13" t="str">
        <x:v>grid_asitui1y.xlsx</x:v>
      </x:c>
    </x:row>
    <x:row r="4305">
      <x:c r="A4305" s="15" t="n">
        <x:v>42248</x:v>
      </x:c>
      <x:c r="B4305" s="13" t="str">
        <x:v>BRF SA</x:v>
      </x:c>
      <x:c r="C4305" s="16" t="n">
        <x:v>3115.6964105792</x:v>
      </x:c>
      <x:c r="D4305" s="13" t="str">
        <x:v>Food &amp; Beverages</x:v>
      </x:c>
      <x:c r="E4305" s="13" t="str">
        <x:v>Agri, Food &amp; Beverages</x:v>
      </x:c>
      <x:c r="F4305" s="13" t="str">
        <x:v>Defensives</x:v>
      </x:c>
      <x:c r="G4305" s="13" t="str">
        <x:v>grid_asitui1y.xlsx</x:v>
      </x:c>
    </x:row>
    <x:row r="4306">
      <x:c r="A4306" s="15" t="n">
        <x:v>42248</x:v>
      </x:c>
      <x:c r="B4306" s="13" t="str">
        <x:v>MBRF GLOBAL FOODS COMPANY SA</x:v>
      </x:c>
      <x:c r="C4306" s="16" t="n">
        <x:v>-6.8380978361</x:v>
      </x:c>
      <x:c r="D4306" s="13" t="str">
        <x:v>Food &amp; Beverages</x:v>
      </x:c>
      <x:c r="E4306" s="13" t="str">
        <x:v>Agri, Food &amp; Beverages</x:v>
      </x:c>
      <x:c r="F4306" s="13" t="str">
        <x:v>Defensives</x:v>
      </x:c>
      <x:c r="G4306" s="13" t="str">
        <x:v>grid_asitui1y.xlsx</x:v>
      </x:c>
    </x:row>
    <x:row r="4307">
      <x:c r="A4307" s="15" t="n">
        <x:v>42248</x:v>
      </x:c>
      <x:c r="B4307" s="13" t="str">
        <x:v>SOUZA CRUZ LTDA</x:v>
      </x:c>
      <x:c r="C4307" s="16" t="n">
        <x:v>1717.648919082</x:v>
      </x:c>
      <x:c r="D4307" s="13" t="str">
        <x:v>Food &amp; Beverages</x:v>
      </x:c>
      <x:c r="E4307" s="13" t="str">
        <x:v>Agri, Food &amp; Beverages</x:v>
      </x:c>
      <x:c r="F4307" s="13" t="str">
        <x:v>Defensives</x:v>
      </x:c>
      <x:c r="G4307" s="13" t="str">
        <x:v>grid_asitui1y.xlsx</x:v>
      </x:c>
    </x:row>
    <x:row r="4308">
      <x:c r="A4308" s="15" t="n">
        <x:v>42248</x:v>
      </x:c>
      <x:c r="B4308" s="13" t="str">
        <x:v>HYPERA SA</x:v>
      </x:c>
      <x:c r="C4308" s="16" t="n">
        <x:v>577.8220943388</x:v>
      </x:c>
      <x:c r="D4308" s="13" t="str">
        <x:v>Health Care</x:v>
      </x:c>
      <x:c r="E4308" s="13" t="str">
        <x:v>Health Care</x:v>
      </x:c>
      <x:c r="F4308" s="13" t="str">
        <x:v>Defensives</x:v>
      </x:c>
      <x:c r="G4308" s="13" t="str">
        <x:v>grid_asitui1y.xlsx</x:v>
      </x:c>
    </x:row>
    <x:row r="4309">
      <x:c r="A4309" s="15" t="n">
        <x:v>42248</x:v>
      </x:c>
      <x:c r="B4309" s="13" t="str">
        <x:v>QUALICORP CONS E CORR SEG SA</x:v>
      </x:c>
      <x:c r="C4309" s="16" t="n">
        <x:v>377.1297794098</x:v>
      </x:c>
      <x:c r="D4309" s="13" t="str">
        <x:v>Health Care</x:v>
      </x:c>
      <x:c r="E4309" s="13" t="str">
        <x:v>Health Care</x:v>
      </x:c>
      <x:c r="F4309" s="13" t="str">
        <x:v>Defensives</x:v>
      </x:c>
      <x:c r="G4309" s="13" t="str">
        <x:v>grid_asitui1y.xlsx</x:v>
      </x:c>
    </x:row>
    <x:row r="4310">
      <x:c r="A4310" s="15" t="n">
        <x:v>42248</x:v>
      </x:c>
      <x:c r="B4310" s="13" t="str">
        <x:v>CYRELA BRAZIL REALTY SA EMP</x:v>
      </x:c>
      <x:c r="C4310" s="16" t="n">
        <x:v>559.4590163934</x:v>
      </x:c>
      <x:c r="D4310" s="13" t="str">
        <x:v>Homebuilders</x:v>
      </x:c>
      <x:c r="E4310" s="13" t="str">
        <x:v>Real Estate</x:v>
      </x:c>
      <x:c r="F4310" s="13" t="str">
        <x:v>Early Cyclicals</x:v>
      </x:c>
      <x:c r="G4310" s="13" t="str">
        <x:v>grid_asitui1y.xlsx</x:v>
      </x:c>
    </x:row>
    <x:row r="4311">
      <x:c r="A4311" s="15" t="n">
        <x:v>42248</x:v>
      </x:c>
      <x:c r="B4311" s="13" t="str">
        <x:v>MRV ENGENHARIA</x:v>
      </x:c>
      <x:c r="C4311" s="16" t="n">
        <x:v>546.1709065792</x:v>
      </x:c>
      <x:c r="D4311" s="13" t="str">
        <x:v>Homebuilders</x:v>
      </x:c>
      <x:c r="E4311" s="13" t="str">
        <x:v>Real Estate</x:v>
      </x:c>
      <x:c r="F4311" s="13" t="str">
        <x:v>Early Cyclicals</x:v>
      </x:c>
      <x:c r="G4311" s="13" t="str">
        <x:v>grid_asitui1y.xlsx</x:v>
      </x:c>
    </x:row>
    <x:row r="4312">
      <x:c r="A4312" s="15" t="n">
        <x:v>42248</x:v>
      </x:c>
      <x:c r="B4312" s="13" t="str">
        <x:v>BR MALLS PARTICIPACOES SA</x:v>
      </x:c>
      <x:c r="C4312" s="16" t="n">
        <x:v>451.6489622732</x:v>
      </x:c>
      <x:c r="D4312" s="13" t="str">
        <x:v>Income Properties</x:v>
      </x:c>
      <x:c r="E4312" s="13" t="str">
        <x:v>Real Estate</x:v>
      </x:c>
      <x:c r="F4312" s="13" t="str">
        <x:v>Early Cyclicals</x:v>
      </x:c>
      <x:c r="G4312" s="13" t="str">
        <x:v>grid_asitui1y.xlsx</x:v>
      </x:c>
    </x:row>
    <x:row r="4313">
      <x:c r="A4313" s="15" t="n">
        <x:v>42248</x:v>
      </x:c>
      <x:c r="B4313" s="13" t="str">
        <x:v>MULTIPLAN EMPREENDIMENTOS</x:v>
      </x:c>
      <x:c r="C4313" s="16" t="n">
        <x:v>386.8699453552</x:v>
      </x:c>
      <x:c r="D4313" s="13" t="str">
        <x:v>Income Properties</x:v>
      </x:c>
      <x:c r="E4313" s="13" t="str">
        <x:v>Real Estate</x:v>
      </x:c>
      <x:c r="F4313" s="13" t="str">
        <x:v>Early Cyclicals</x:v>
      </x:c>
      <x:c r="G4313" s="13" t="str">
        <x:v>grid_asitui1y.xlsx</x:v>
      </x:c>
    </x:row>
    <x:row r="4314">
      <x:c r="A4314" s="15" t="n">
        <x:v>42248</x:v>
      </x:c>
      <x:c r="B4314" s="13" t="str">
        <x:v>SOLID ATIVOS IMOBILIARIOS SA</x:v>
      </x:c>
      <x:c r="C4314" s="16" t="n">
        <x:v>204.0493224044</x:v>
      </x:c>
      <x:c r="D4314" s="13" t="str">
        <x:v>Income Properties</x:v>
      </x:c>
      <x:c r="E4314" s="13" t="str">
        <x:v>Real Estate</x:v>
      </x:c>
      <x:c r="F4314" s="13" t="str">
        <x:v>Early Cyclicals</x:v>
      </x:c>
      <x:c r="G4314" s="13" t="str">
        <x:v>grid_asitui1y.xlsx</x:v>
      </x:c>
    </x:row>
    <x:row r="4315">
      <x:c r="A4315" s="15" t="n">
        <x:v>42248</x:v>
      </x:c>
      <x:c r="B4315" s="13" t="str">
        <x:v>BRADESPAR SA -PREF</x:v>
      </x:c>
      <x:c r="C4315" s="16" t="n">
        <x:v>-90.9972677596</x:v>
      </x:c>
      <x:c r="D4315" s="13" t="str">
        <x:v>Metals &amp; Mining</x:v>
      </x:c>
      <x:c r="E4315" s="13" t="str">
        <x:v>Metals &amp; Mining</x:v>
      </x:c>
      <x:c r="F4315" s="13" t="str">
        <x:v>Deep Cyclicals</x:v>
      </x:c>
      <x:c r="G4315" s="13" t="str">
        <x:v>grid_asitui1y.xlsx</x:v>
      </x:c>
    </x:row>
    <x:row r="4316">
      <x:c r="A4316" s="15" t="n">
        <x:v>42248</x:v>
      </x:c>
      <x:c r="B4316" s="13" t="str">
        <x:v>CIA SIDERURGICA NACIONAL SA</x:v>
      </x:c>
      <x:c r="C4316" s="16" t="n">
        <x:v>-615.9997968087</x:v>
      </x:c>
      <x:c r="D4316" s="13" t="str">
        <x:v>Metals &amp; Mining</x:v>
      </x:c>
      <x:c r="E4316" s="13" t="str">
        <x:v>Metals &amp; Mining</x:v>
      </x:c>
      <x:c r="F4316" s="13" t="str">
        <x:v>Deep Cyclicals</x:v>
      </x:c>
      <x:c r="G4316" s="13" t="str">
        <x:v>grid_asitui1y.xlsx</x:v>
      </x:c>
    </x:row>
    <x:row r="4317">
      <x:c r="A4317" s="15" t="n">
        <x:v>42248</x:v>
      </x:c>
      <x:c r="B4317" s="13" t="str">
        <x:v>GERDAU SA-PREF</x:v>
      </x:c>
      <x:c r="C4317" s="16" t="n">
        <x:v>840.012243235</x:v>
      </x:c>
      <x:c r="D4317" s="13" t="str">
        <x:v>Metals &amp; Mining</x:v>
      </x:c>
      <x:c r="E4317" s="13" t="str">
        <x:v>Metals &amp; Mining</x:v>
      </x:c>
      <x:c r="F4317" s="13" t="str">
        <x:v>Deep Cyclicals</x:v>
      </x:c>
      <x:c r="G4317" s="13" t="str">
        <x:v>grid_asitui1y.xlsx</x:v>
      </x:c>
    </x:row>
    <x:row r="4318">
      <x:c r="A4318" s="15" t="n">
        <x:v>42248</x:v>
      </x:c>
      <x:c r="B4318" s="13" t="str">
        <x:v>METALURGICA GERDAU SA-PREF</x:v>
      </x:c>
      <x:c r="C4318" s="16" t="n">
        <x:v>-248.7360736175</x:v>
      </x:c>
      <x:c r="D4318" s="13" t="str">
        <x:v>Metals &amp; Mining</x:v>
      </x:c>
      <x:c r="E4318" s="13" t="str">
        <x:v>Metals &amp; Mining</x:v>
      </x:c>
      <x:c r="F4318" s="13" t="str">
        <x:v>Deep Cyclicals</x:v>
      </x:c>
      <x:c r="G4318" s="13" t="str">
        <x:v>grid_asitui1y.xlsx</x:v>
      </x:c>
    </x:row>
    <x:row r="4319">
      <x:c r="A4319" s="15" t="n">
        <x:v>42248</x:v>
      </x:c>
      <x:c r="B4319" s="13" t="str">
        <x:v>USINAS SIDER MINAS GER-PF A</x:v>
      </x:c>
      <x:c r="C4319" s="16" t="n">
        <x:v>-562.8265722404</x:v>
      </x:c>
      <x:c r="D4319" s="13" t="str">
        <x:v>Metals &amp; Mining</x:v>
      </x:c>
      <x:c r="E4319" s="13" t="str">
        <x:v>Metals &amp; Mining</x:v>
      </x:c>
      <x:c r="F4319" s="13" t="str">
        <x:v>Deep Cyclicals</x:v>
      </x:c>
      <x:c r="G4319" s="13" t="str">
        <x:v>grid_asitui1y.xlsx</x:v>
      </x:c>
    </x:row>
    <x:row r="4320">
      <x:c r="A4320" s="15" t="n">
        <x:v>42248</x:v>
      </x:c>
      <x:c r="B4320" s="13" t="str">
        <x:v>VALE SA</x:v>
      </x:c>
      <x:c r="C4320" s="16" t="n">
        <x:v>960.7947876721</x:v>
      </x:c>
      <x:c r="D4320" s="13" t="str">
        <x:v>Metals &amp; Mining</x:v>
      </x:c>
      <x:c r="E4320" s="13" t="str">
        <x:v>Metals &amp; Mining</x:v>
      </x:c>
      <x:c r="F4320" s="13" t="str">
        <x:v>Deep Cyclicals</x:v>
      </x:c>
      <x:c r="G4320" s="13" t="str">
        <x:v>grid_asitui1y.xlsx</x:v>
      </x:c>
    </x:row>
    <x:row r="4321">
      <x:c r="A4321" s="15" t="n">
        <x:v>42248</x:v>
      </x:c>
      <x:c r="B4321" s="13" t="str">
        <x:v>BRASKEM SA-PREF A</x:v>
      </x:c>
      <x:c r="C4321" s="16" t="n">
        <x:v>1912.8458281967</x:v>
      </x:c>
      <x:c r="D4321" s="13" t="str">
        <x:v>Oil, Gas &amp; Petrochemicals</x:v>
      </x:c>
      <x:c r="E4321" s="13" t="str">
        <x:v>Oil, Gas &amp; Petrochemicals</x:v>
      </x:c>
      <x:c r="F4321" s="13" t="str">
        <x:v>Deep Cyclicals</x:v>
      </x:c>
      <x:c r="G4321" s="13" t="str">
        <x:v>grid_asitui1y.xlsx</x:v>
      </x:c>
    </x:row>
    <x:row r="4322">
      <x:c r="A4322" s="15" t="n">
        <x:v>42248</x:v>
      </x:c>
      <x:c r="B4322" s="13" t="str">
        <x:v>COSAN SA</x:v>
      </x:c>
      <x:c r="C4322" s="16" t="n">
        <x:v>641.977047082</x:v>
      </x:c>
      <x:c r="D4322" s="13" t="str">
        <x:v>Oil, Gas &amp; Petrochemicals</x:v>
      </x:c>
      <x:c r="E4322" s="13" t="str">
        <x:v>Oil, Gas &amp; Petrochemicals</x:v>
      </x:c>
      <x:c r="F4322" s="13" t="str">
        <x:v>Deep Cyclicals</x:v>
      </x:c>
      <x:c r="G4322" s="13" t="str">
        <x:v>grid_asitui1y.xlsx</x:v>
      </x:c>
    </x:row>
    <x:row r="4323">
      <x:c r="A4323" s="15" t="n">
        <x:v>42248</x:v>
      </x:c>
      <x:c r="B4323" s="13" t="str">
        <x:v>PETROBRAS - PETROLEO BRAS</x:v>
      </x:c>
      <x:c r="C4323" s="16" t="n">
        <x:v>15299.9049428634</x:v>
      </x:c>
      <x:c r="D4323" s="13" t="str">
        <x:v>Oil, Gas &amp; Petrochemicals</x:v>
      </x:c>
      <x:c r="E4323" s="13" t="str">
        <x:v>Oil, Gas &amp; Petrochemicals</x:v>
      </x:c>
      <x:c r="F4323" s="13" t="str">
        <x:v>Deep Cyclicals</x:v>
      </x:c>
      <x:c r="G4323" s="13" t="str">
        <x:v>grid_asitui1y.xlsx</x:v>
      </x:c>
    </x:row>
    <x:row r="4324">
      <x:c r="A4324" s="15" t="n">
        <x:v>42248</x:v>
      </x:c>
      <x:c r="B4324" s="13" t="str">
        <x:v>ULTRAPAR PARTICIPACOES SA</x:v>
      </x:c>
      <x:c r="C4324" s="16" t="n">
        <x:v>1717.4542583607</x:v>
      </x:c>
      <x:c r="D4324" s="13" t="str">
        <x:v>Oil, Gas &amp; Petrochemicals</x:v>
      </x:c>
      <x:c r="E4324" s="13" t="str">
        <x:v>Oil, Gas &amp; Petrochemicals</x:v>
      </x:c>
      <x:c r="F4324" s="13" t="str">
        <x:v>Deep Cyclicals</x:v>
      </x:c>
      <x:c r="G4324" s="13" t="str">
        <x:v>grid_asitui1y.xlsx</x:v>
      </x:c>
    </x:row>
    <x:row r="4325">
      <x:c r="A4325" s="15" t="n">
        <x:v>42248</x:v>
      </x:c>
      <x:c r="B4325" s="13" t="str">
        <x:v>FIBRIA CELULOSE S/A</x:v>
      </x:c>
      <x:c r="C4325" s="16" t="n">
        <x:v>1371.8666963934</x:v>
      </x:c>
      <x:c r="D4325" s="13" t="str">
        <x:v>Pulp &amp; Paper</x:v>
      </x:c>
      <x:c r="E4325" s="13" t="str">
        <x:v>Pulp &amp; Paper</x:v>
      </x:c>
      <x:c r="F4325" s="13" t="str">
        <x:v>Deep Cyclicals</x:v>
      </x:c>
      <x:c r="G4325" s="13" t="str">
        <x:v>grid_asitui1y.xlsx</x:v>
      </x:c>
    </x:row>
    <x:row r="4326">
      <x:c r="A4326" s="15" t="n">
        <x:v>42248</x:v>
      </x:c>
      <x:c r="B4326" s="13" t="str">
        <x:v>KLABIN SA - UNIT</x:v>
      </x:c>
      <x:c r="C4326" s="16" t="n">
        <x:v>311.2898983169</x:v>
      </x:c>
      <x:c r="D4326" s="13" t="str">
        <x:v>Pulp &amp; Paper</x:v>
      </x:c>
      <x:c r="E4326" s="13" t="str">
        <x:v>Pulp &amp; Paper</x:v>
      </x:c>
      <x:c r="F4326" s="13" t="str">
        <x:v>Deep Cyclicals</x:v>
      </x:c>
      <x:c r="G4326" s="13" t="str">
        <x:v>grid_asitui1y.xlsx</x:v>
      </x:c>
    </x:row>
    <x:row r="4327">
      <x:c r="A4327" s="15" t="n">
        <x:v>42248</x:v>
      </x:c>
      <x:c r="B4327" s="13" t="str">
        <x:v>SUZANO PAPEL E CELULO-PREF A</x:v>
      </x:c>
      <x:c r="C4327" s="16" t="n">
        <x:v>1401.1609299235</x:v>
      </x:c>
      <x:c r="D4327" s="13" t="str">
        <x:v>Pulp &amp; Paper</x:v>
      </x:c>
      <x:c r="E4327" s="13" t="str">
        <x:v>Pulp &amp; Paper</x:v>
      </x:c>
      <x:c r="F4327" s="13" t="str">
        <x:v>Deep Cyclicals</x:v>
      </x:c>
      <x:c r="G4327" s="13" t="str">
        <x:v>grid_asitui1y.xlsx</x:v>
      </x:c>
    </x:row>
    <x:row r="4328">
      <x:c r="A4328" s="15" t="n">
        <x:v>42248</x:v>
      </x:c>
      <x:c r="B4328" s="13" t="str">
        <x:v>CIA BRASILEIRA DE DIS-PREF</x:v>
      </x:c>
      <x:c r="C4328" s="16" t="n">
        <x:v>1160.8088187104</x:v>
      </x:c>
      <x:c r="D4328" s="13" t="str">
        <x:v>Retail</x:v>
      </x:c>
      <x:c r="E4328" s="13" t="str">
        <x:v>Retail</x:v>
      </x:c>
      <x:c r="F4328" s="13" t="str">
        <x:v>Early Cyclicals</x:v>
      </x:c>
      <x:c r="G4328" s="13" t="str">
        <x:v>grid_asitui1y.xlsx</x:v>
      </x:c>
    </x:row>
    <x:row r="4329">
      <x:c r="A4329" s="15" t="n">
        <x:v>42248</x:v>
      </x:c>
      <x:c r="B4329" s="13" t="str">
        <x:v>CIA HERING</x:v>
      </x:c>
      <x:c r="C4329" s="16" t="n">
        <x:v>262.940273224</x:v>
      </x:c>
      <x:c r="D4329" s="13" t="str">
        <x:v>Retail</x:v>
      </x:c>
      <x:c r="E4329" s="13" t="str">
        <x:v>Retail</x:v>
      </x:c>
      <x:c r="F4329" s="13" t="str">
        <x:v>Early Cyclicals</x:v>
      </x:c>
      <x:c r="G4329" s="13" t="str">
        <x:v>grid_asitui1y.xlsx</x:v>
      </x:c>
    </x:row>
    <x:row r="4330">
      <x:c r="A4330" s="15" t="n">
        <x:v>42248</x:v>
      </x:c>
      <x:c r="B4330" s="13" t="str">
        <x:v>LOJAS AMERICANAS SA-PREF</x:v>
      </x:c>
      <x:c r="C4330" s="16" t="n">
        <x:v>603.9115275191</x:v>
      </x:c>
      <x:c r="D4330" s="13" t="str">
        <x:v>Retail</x:v>
      </x:c>
      <x:c r="E4330" s="13" t="str">
        <x:v>Retail</x:v>
      </x:c>
      <x:c r="F4330" s="13" t="str">
        <x:v>Early Cyclicals</x:v>
      </x:c>
      <x:c r="G4330" s="13" t="str">
        <x:v>grid_asitui1y.xlsx</x:v>
      </x:c>
    </x:row>
    <x:row r="4331">
      <x:c r="A4331" s="15" t="n">
        <x:v>42248</x:v>
      </x:c>
      <x:c r="B4331" s="13" t="str">
        <x:v>LOJAS RENNER S.A.</x:v>
      </x:c>
      <x:c r="C4331" s="16" t="n">
        <x:v>674.2614018798</x:v>
      </x:c>
      <x:c r="D4331" s="13" t="str">
        <x:v>Retail</x:v>
      </x:c>
      <x:c r="E4331" s="13" t="str">
        <x:v>Retail</x:v>
      </x:c>
      <x:c r="F4331" s="13" t="str">
        <x:v>Early Cyclicals</x:v>
      </x:c>
      <x:c r="G4331" s="13" t="str">
        <x:v>grid_asitui1y.xlsx</x:v>
      </x:c>
    </x:row>
    <x:row r="4332">
      <x:c r="A4332" s="15" t="n">
        <x:v>42248</x:v>
      </x:c>
      <x:c r="B4332" s="13" t="str">
        <x:v>NATURA COSMETICOS SA</x:v>
      </x:c>
      <x:c r="C4332" s="16" t="n">
        <x:v>767.0475533989</x:v>
      </x:c>
      <x:c r="D4332" s="13" t="str">
        <x:v>Retail</x:v>
      </x:c>
      <x:c r="E4332" s="13" t="str">
        <x:v>Retail</x:v>
      </x:c>
      <x:c r="F4332" s="13" t="str">
        <x:v>Early Cyclicals</x:v>
      </x:c>
      <x:c r="G4332" s="13" t="str">
        <x:v>grid_asitui1y.xlsx</x:v>
      </x:c>
    </x:row>
    <x:row r="4333">
      <x:c r="A4333" s="15" t="n">
        <x:v>42248</x:v>
      </x:c>
      <x:c r="B4333" s="13" t="str">
        <x:v>RAIA DROGASIL SA</x:v>
      </x:c>
      <x:c r="C4333" s="16" t="n">
        <x:v>435.303016918</x:v>
      </x:c>
      <x:c r="D4333" s="13" t="str">
        <x:v>Retail</x:v>
      </x:c>
      <x:c r="E4333" s="13" t="str">
        <x:v>Retail</x:v>
      </x:c>
      <x:c r="F4333" s="13" t="str">
        <x:v>Early Cyclicals</x:v>
      </x:c>
      <x:c r="G4333" s="13" t="str">
        <x:v>grid_asitui1y.xlsx</x:v>
      </x:c>
    </x:row>
    <x:row r="4334">
      <x:c r="A4334" s="15" t="n">
        <x:v>42248</x:v>
      </x:c>
      <x:c r="B4334" s="13" t="str">
        <x:v>CIA SANEAMENTO BASICO DE SP</x:v>
      </x:c>
      <x:c r="C4334" s="16" t="n">
        <x:v>1041.3904996721</x:v>
      </x:c>
      <x:c r="D4334" s="13" t="str">
        <x:v>Sanitation</x:v>
      </x:c>
      <x:c r="E4334" s="13" t="str">
        <x:v>Utilities</x:v>
      </x:c>
      <x:c r="F4334" s="13" t="str">
        <x:v>Defensives</x:v>
      </x:c>
      <x:c r="G4334" s="13" t="str">
        <x:v>grid_asitui1y.xlsx</x:v>
      </x:c>
    </x:row>
    <x:row r="4335">
      <x:c r="A4335" s="15" t="n">
        <x:v>42248</x:v>
      </x:c>
      <x:c r="B4335" s="13" t="str">
        <x:v>OI SA-PREFERENCE</x:v>
      </x:c>
      <x:c r="C4335" s="16" t="n">
        <x:v>-1008.273336306</x:v>
      </x:c>
      <x:c r="D4335" s="13" t="str">
        <x:v>TMT</x:v>
      </x:c>
      <x:c r="E4335" s="13" t="str">
        <x:v>TMT</x:v>
      </x:c>
      <x:c r="F4335" s="13" t="str">
        <x:v>Early Cyclicals</x:v>
      </x:c>
      <x:c r="G4335" s="13" t="str">
        <x:v>grid_asitui1y.xlsx</x:v>
      </x:c>
    </x:row>
    <x:row r="4336">
      <x:c r="A4336" s="15" t="n">
        <x:v>42248</x:v>
      </x:c>
      <x:c r="B4336" s="13" t="str">
        <x:v>TELEFONICA BRASIL S.A.-PREF</x:v>
      </x:c>
      <x:c r="C4336" s="16" t="n">
        <x:v>4875.7945271257</x:v>
      </x:c>
      <x:c r="D4336" s="13" t="str">
        <x:v>TMT</x:v>
      </x:c>
      <x:c r="E4336" s="13" t="str">
        <x:v>TMT</x:v>
      </x:c>
      <x:c r="F4336" s="13" t="str">
        <x:v>Early Cyclicals</x:v>
      </x:c>
      <x:c r="G4336" s="13" t="str">
        <x:v>grid_asitui1y.xlsx</x:v>
      </x:c>
    </x:row>
    <x:row r="4337">
      <x:c r="A4337" s="15" t="n">
        <x:v>42248</x:v>
      </x:c>
      <x:c r="B4337" s="13" t="str">
        <x:v>TIM SA</x:v>
      </x:c>
      <x:c r="C4337" s="16" t="n">
        <x:v>1361.3667133552</x:v>
      </x:c>
      <x:c r="D4337" s="13" t="str">
        <x:v>TMT</x:v>
      </x:c>
      <x:c r="E4337" s="13" t="str">
        <x:v>TMT</x:v>
      </x:c>
      <x:c r="F4337" s="13" t="str">
        <x:v>Early Cyclicals</x:v>
      </x:c>
      <x:c r="G4337" s="13" t="str">
        <x:v>grid_asitui1y.xlsx</x:v>
      </x:c>
    </x:row>
    <x:row r="4338">
      <x:c r="A4338" s="15" t="n">
        <x:v>42248</x:v>
      </x:c>
      <x:c r="B4338" s="13" t="str">
        <x:v>ECORODOVIAS INFRA E LOG SA</x:v>
      </x:c>
      <x:c r="C4338" s="16" t="n">
        <x:v>275.0738360656</x:v>
      </x:c>
      <x:c r="D4338" s="13" t="str">
        <x:v>Transportation</x:v>
      </x:c>
      <x:c r="E4338" s="13" t="str">
        <x:v>Transportation</x:v>
      </x:c>
      <x:c r="F4338" s="13" t="str">
        <x:v>Deep Cyclicals</x:v>
      </x:c>
      <x:c r="G4338" s="13" t="str">
        <x:v>grid_asitui1y.xlsx</x:v>
      </x:c>
    </x:row>
    <x:row r="4339">
      <x:c r="A4339" s="15" t="n">
        <x:v>42248</x:v>
      </x:c>
      <x:c r="B4339" s="13" t="str">
        <x:v>GOL LINHAS AEREAS INT SA-PRE</x:v>
      </x:c>
      <x:c r="C4339" s="16" t="n">
        <x:v>-816.9742849399</x:v>
      </x:c>
      <x:c r="D4339" s="13" t="str">
        <x:v>Transportation</x:v>
      </x:c>
      <x:c r="E4339" s="13" t="str">
        <x:v>Transportation</x:v>
      </x:c>
      <x:c r="F4339" s="13" t="str">
        <x:v>Deep Cyclicals</x:v>
      </x:c>
      <x:c r="G4339" s="13" t="str">
        <x:v>grid_asitui1y.xlsx</x:v>
      </x:c>
    </x:row>
    <x:row r="4340">
      <x:c r="A4340" s="15" t="n">
        <x:v>42248</x:v>
      </x:c>
      <x:c r="B4340" s="13" t="str">
        <x:v>LOCALIZA RENT A CAR</x:v>
      </x:c>
      <x:c r="C4340" s="16" t="n">
        <x:v>388.2072220328</x:v>
      </x:c>
      <x:c r="D4340" s="13" t="str">
        <x:v>Transportation</x:v>
      </x:c>
      <x:c r="E4340" s="13" t="str">
        <x:v>Transportation</x:v>
      </x:c>
      <x:c r="F4340" s="13" t="str">
        <x:v>Deep Cyclicals</x:v>
      </x:c>
      <x:c r="G4340" s="13" t="str">
        <x:v>grid_asitui1y.xlsx</x:v>
      </x:c>
    </x:row>
    <x:row r="4341">
      <x:c r="A4341" s="15" t="n">
        <x:v>42248</x:v>
      </x:c>
      <x:c r="B4341" s="13" t="str">
        <x:v>MOTIVA INFRAESTRUTURA DE MOB</x:v>
      </x:c>
      <x:c r="C4341" s="16" t="n">
        <x:v>1328.0138184044</x:v>
      </x:c>
      <x:c r="D4341" s="13" t="str">
        <x:v>Transportation</x:v>
      </x:c>
      <x:c r="E4341" s="13" t="str">
        <x:v>Transportation</x:v>
      </x:c>
      <x:c r="F4341" s="13" t="str">
        <x:v>Deep Cyclicals</x:v>
      </x:c>
      <x:c r="G4341" s="13" t="str">
        <x:v>grid_asitui1y.xlsx</x:v>
      </x:c>
    </x:row>
    <x:row r="4342">
      <x:c r="A4342" s="15" t="n">
        <x:v>42248</x:v>
      </x:c>
      <x:c r="B4342" s="13" t="str">
        <x:v>AXIA ENERGIA SA</x:v>
      </x:c>
      <x:c r="C4342" s="16" t="n">
        <x:v>702.8907103825</x:v>
      </x:c>
      <x:c r="D4342" s="13" t="str">
        <x:v>Utilities &amp; Energy</x:v>
      </x:c>
      <x:c r="E4342" s="13" t="str">
        <x:v>Utilities</x:v>
      </x:c>
      <x:c r="F4342" s="13" t="str">
        <x:v>Defensives</x:v>
      </x:c>
      <x:c r="G4342" s="13" t="str">
        <x:v>grid_asitui1y.xlsx</x:v>
      </x:c>
    </x:row>
    <x:row r="4343">
      <x:c r="A4343" s="15" t="n">
        <x:v>42248</x:v>
      </x:c>
      <x:c r="B4343" s="13" t="str">
        <x:v>CESP - CIA ENERGETICA DE SAO</x:v>
      </x:c>
      <x:c r="C4343" s="16" t="n">
        <x:v>414.7572885683</x:v>
      </x:c>
      <x:c r="D4343" s="13" t="str">
        <x:v>Utilities &amp; Energy</x:v>
      </x:c>
      <x:c r="E4343" s="13" t="str">
        <x:v>Utilities</x:v>
      </x:c>
      <x:c r="F4343" s="13" t="str">
        <x:v>Defensives</x:v>
      </x:c>
      <x:c r="G4343" s="13" t="str">
        <x:v>grid_asitui1y.xlsx</x:v>
      </x:c>
    </x:row>
    <x:row r="4344">
      <x:c r="A4344" s="15" t="n">
        <x:v>42248</x:v>
      </x:c>
      <x:c r="B4344" s="13" t="str">
        <x:v>CIA ENERGETICA MINAS GER-PRF</x:v>
      </x:c>
      <x:c r="C4344" s="16" t="n">
        <x:v>1654.8973422514</x:v>
      </x:c>
      <x:c r="D4344" s="13" t="str">
        <x:v>Utilities &amp; Energy</x:v>
      </x:c>
      <x:c r="E4344" s="13" t="str">
        <x:v>Utilities</x:v>
      </x:c>
      <x:c r="F4344" s="13" t="str">
        <x:v>Defensives</x:v>
      </x:c>
      <x:c r="G4344" s="13" t="str">
        <x:v>grid_asitui1y.xlsx</x:v>
      </x:c>
    </x:row>
    <x:row r="4345">
      <x:c r="A4345" s="15" t="n">
        <x:v>42248</x:v>
      </x:c>
      <x:c r="B4345" s="13" t="str">
        <x:v>COMPANHIA PARANAENSE -PREF B</x:v>
      </x:c>
      <x:c r="C4345" s="16" t="n">
        <x:v>1291.8920785137</x:v>
      </x:c>
      <x:c r="D4345" s="13" t="str">
        <x:v>Utilities &amp; Energy</x:v>
      </x:c>
      <x:c r="E4345" s="13" t="str">
        <x:v>Utilities</x:v>
      </x:c>
      <x:c r="F4345" s="13" t="str">
        <x:v>Defensives</x:v>
      </x:c>
      <x:c r="G4345" s="13" t="str">
        <x:v>grid_asitui1y.xlsx</x:v>
      </x:c>
    </x:row>
    <x:row r="4346">
      <x:c r="A4346" s="15" t="n">
        <x:v>42248</x:v>
      </x:c>
      <x:c r="B4346" s="13" t="str">
        <x:v>CPFL ENERGIA SA</x:v>
      </x:c>
      <x:c r="C4346" s="16" t="n">
        <x:v>1024.3307582951</x:v>
      </x:c>
      <x:c r="D4346" s="13" t="str">
        <x:v>Utilities &amp; Energy</x:v>
      </x:c>
      <x:c r="E4346" s="13" t="str">
        <x:v>Utilities</x:v>
      </x:c>
      <x:c r="F4346" s="13" t="str">
        <x:v>Defensives</x:v>
      </x:c>
      <x:c r="G4346" s="13" t="str">
        <x:v>grid_asitui1y.xlsx</x:v>
      </x:c>
    </x:row>
    <x:row r="4347">
      <x:c r="A4347" s="15" t="n">
        <x:v>42248</x:v>
      </x:c>
      <x:c r="B4347" s="13" t="str">
        <x:v>EDP - ENERGIAS DO BRASIL SA</x:v>
      </x:c>
      <x:c r="C4347" s="16" t="n">
        <x:v>615.6789497705</x:v>
      </x:c>
      <x:c r="D4347" s="13" t="str">
        <x:v>Utilities &amp; Energy</x:v>
      </x:c>
      <x:c r="E4347" s="13" t="str">
        <x:v>Utilities</x:v>
      </x:c>
      <x:c r="F4347" s="13" t="str">
        <x:v>Defensives</x:v>
      </x:c>
      <x:c r="G4347" s="13" t="str">
        <x:v>grid_asitui1y.xlsx</x:v>
      </x:c>
    </x:row>
    <x:row r="4348">
      <x:c r="A4348" s="15" t="n">
        <x:v>42248</x:v>
      </x:c>
      <x:c r="B4348" s="13" t="str">
        <x:v>ENGIE BRASIL ENERGIA SA</x:v>
      </x:c>
      <x:c r="C4348" s="16" t="n">
        <x:v>1725.9101293115</x:v>
      </x:c>
      <x:c r="D4348" s="13" t="str">
        <x:v>Utilities &amp; Energy</x:v>
      </x:c>
      <x:c r="E4348" s="13" t="str">
        <x:v>Utilities</x:v>
      </x:c>
      <x:c r="F4348" s="13" t="str">
        <x:v>Defensives</x:v>
      </x:c>
      <x:c r="G4348" s="13" t="str">
        <x:v>grid_asitui1y.xlsx</x:v>
      </x:c>
    </x:row>
    <x:row r="4349">
      <x:c r="A4349" s="15" t="n">
        <x:v>42248</x:v>
      </x:c>
      <x:c r="B4349" s="13" t="str">
        <x:v>EQUATORIAL SA - ORD</x:v>
      </x:c>
      <x:c r="C4349" s="16" t="n">
        <x:v>552.379805377</x:v>
      </x:c>
      <x:c r="D4349" s="13" t="str">
        <x:v>Utilities &amp; Energy</x:v>
      </x:c>
      <x:c r="E4349" s="13" t="str">
        <x:v>Utilities</x:v>
      </x:c>
      <x:c r="F4349" s="13" t="str">
        <x:v>Defensives</x:v>
      </x:c>
      <x:c r="G4349" s="13" t="str">
        <x:v>grid_asitui1y.xlsx</x:v>
      </x:c>
    </x:row>
    <x:row r="4350">
      <x:c r="A4350" s="15" t="n">
        <x:v>42278</x:v>
      </x:c>
      <x:c r="B4350" s="13" t="str">
        <x:v>BANCO BRADESCO S.A.</x:v>
      </x:c>
      <x:c r="C4350" s="16" t="n">
        <x:v>17357.4218421858</x:v>
      </x:c>
      <x:c r="D4350" s="13" t="str">
        <x:v>Banks</x:v>
      </x:c>
      <x:c r="E4350" s="13" t="str">
        <x:v>Banks</x:v>
      </x:c>
      <x:c r="F4350" s="13" t="str">
        <x:v>Financials</x:v>
      </x:c>
      <x:c r="G4350" s="13" t="str">
        <x:v>grid_asitui1y.xlsx</x:v>
      </x:c>
    </x:row>
    <x:row r="4351">
      <x:c r="A4351" s="15" t="n">
        <x:v>42278</x:v>
      </x:c>
      <x:c r="B4351" s="13" t="str">
        <x:v>BANCO BRADESCO SA-PREF</x:v>
      </x:c>
      <x:c r="C4351" s="16" t="n">
        <x:v>17357.4218421858</x:v>
      </x:c>
      <x:c r="D4351" s="13" t="str">
        <x:v>Banks</x:v>
      </x:c>
      <x:c r="E4351" s="13" t="str">
        <x:v>Banks</x:v>
      </x:c>
      <x:c r="F4351" s="13" t="str">
        <x:v>Financials</x:v>
      </x:c>
      <x:c r="G4351" s="13" t="str">
        <x:v>grid_asitui1y.xlsx</x:v>
      </x:c>
    </x:row>
    <x:row r="4352">
      <x:c r="A4352" s="15" t="n">
        <x:v>42278</x:v>
      </x:c>
      <x:c r="B4352" s="13" t="str">
        <x:v>BANCO DO BRASIL S.A.</x:v>
      </x:c>
      <x:c r="C4352" s="16" t="n">
        <x:v>11911.1418180546</x:v>
      </x:c>
      <x:c r="D4352" s="13" t="str">
        <x:v>Banks</x:v>
      </x:c>
      <x:c r="E4352" s="13" t="str">
        <x:v>Banks</x:v>
      </x:c>
      <x:c r="F4352" s="13" t="str">
        <x:v>Financials</x:v>
      </x:c>
      <x:c r="G4352" s="13" t="str">
        <x:v>grid_asitui1y.xlsx</x:v>
      </x:c>
    </x:row>
    <x:row r="4353">
      <x:c r="A4353" s="15" t="n">
        <x:v>42278</x:v>
      </x:c>
      <x:c r="B4353" s="13" t="str">
        <x:v>BANCO SANTANDER  BRASIL-UNIT</x:v>
      </x:c>
      <x:c r="C4353" s="16" t="n">
        <x:v>5726.2089876284</x:v>
      </x:c>
      <x:c r="D4353" s="13" t="str">
        <x:v>Banks</x:v>
      </x:c>
      <x:c r="E4353" s="13" t="str">
        <x:v>Banks</x:v>
      </x:c>
      <x:c r="F4353" s="13" t="str">
        <x:v>Financials</x:v>
      </x:c>
      <x:c r="G4353" s="13" t="str">
        <x:v>grid_asitui1y.xlsx</x:v>
      </x:c>
    </x:row>
    <x:row r="4354">
      <x:c r="A4354" s="15" t="n">
        <x:v>42278</x:v>
      </x:c>
      <x:c r="B4354" s="13" t="str">
        <x:v>ITAU UNIBANCO HOLDING S-PREF</x:v>
      </x:c>
      <x:c r="C4354" s="16" t="n">
        <x:v>23337.0706591475</x:v>
      </x:c>
      <x:c r="D4354" s="13" t="str">
        <x:v>Banks</x:v>
      </x:c>
      <x:c r="E4354" s="13" t="str">
        <x:v>Banks</x:v>
      </x:c>
      <x:c r="F4354" s="13" t="str">
        <x:v>Financials</x:v>
      </x:c>
      <x:c r="G4354" s="13" t="str">
        <x:v>grid_asitui1y.xlsx</x:v>
      </x:c>
    </x:row>
    <x:row r="4355">
      <x:c r="A4355" s="15" t="n">
        <x:v>42278</x:v>
      </x:c>
      <x:c r="B4355" s="13" t="str">
        <x:v>EMBRAER SA</x:v>
      </x:c>
      <x:c r="C4355" s="16" t="n">
        <x:v>1501.9863599563</x:v>
      </x:c>
      <x:c r="D4355" s="13" t="str">
        <x:v>Capital Goods</x:v>
      </x:c>
      <x:c r="E4355" s="13" t="str">
        <x:v>Capital Goods</x:v>
      </x:c>
      <x:c r="F4355" s="13" t="str">
        <x:v>Deep Cyclicals</x:v>
      </x:c>
      <x:c r="G4355" s="13" t="str">
        <x:v>grid_asitui1y.xlsx</x:v>
      </x:c>
    </x:row>
    <x:row r="4356">
      <x:c r="A4356" s="15" t="n">
        <x:v>42278</x:v>
      </x:c>
      <x:c r="B4356" s="13" t="str">
        <x:v>COGNA EDUCACAO</x:v>
      </x:c>
      <x:c r="C4356" s="16" t="n">
        <x:v>1674.4712526339</x:v>
      </x:c>
      <x:c r="D4356" s="13" t="str">
        <x:v>Education</x:v>
      </x:c>
      <x:c r="E4356" s="13" t="str">
        <x:v>Education</x:v>
      </x:c>
      <x:c r="F4356" s="13" t="str">
        <x:v>Early Cyclicals</x:v>
      </x:c>
      <x:c r="G4356" s="13" t="str">
        <x:v>grid_asitui1y.xlsx</x:v>
      </x:c>
    </x:row>
    <x:row r="4357">
      <x:c r="A4357" s="15" t="n">
        <x:v>42278</x:v>
      </x:c>
      <x:c r="B4357" s="13" t="str">
        <x:v>YDUQS PARTICIPACOES SA</x:v>
      </x:c>
      <x:c r="C4357" s="16" t="n">
        <x:v>576.6966926339</x:v>
      </x:c>
      <x:c r="D4357" s="13" t="str">
        <x:v>Education</x:v>
      </x:c>
      <x:c r="E4357" s="13" t="str">
        <x:v>Education</x:v>
      </x:c>
      <x:c r="F4357" s="13" t="str">
        <x:v>Early Cyclicals</x:v>
      </x:c>
      <x:c r="G4357" s="13" t="str">
        <x:v>grid_asitui1y.xlsx</x:v>
      </x:c>
    </x:row>
    <x:row r="4358">
      <x:c r="A4358" s="15" t="n">
        <x:v>42278</x:v>
      </x:c>
      <x:c r="B4358" s="13" t="str">
        <x:v>B3 SA-BRASIL BOLSA BALCAO</x:v>
      </x:c>
      <x:c r="C4358" s="16" t="n">
        <x:v>1790.6995815519</x:v>
      </x:c>
      <x:c r="D4358" s="13" t="str">
        <x:v>Financials Non-Banks</x:v>
      </x:c>
      <x:c r="E4358" s="13" t="str">
        <x:v>Financials Non-Banks</x:v>
      </x:c>
      <x:c r="F4358" s="13" t="str">
        <x:v>Financials</x:v>
      </x:c>
      <x:c r="G4358" s="13" t="str">
        <x:v>grid_asitui1y.xlsx</x:v>
      </x:c>
    </x:row>
    <x:row r="4359">
      <x:c r="A4359" s="15" t="n">
        <x:v>42278</x:v>
      </x:c>
      <x:c r="B4359" s="13" t="str">
        <x:v>BB SEGURIDADE PARTICIPACOES</x:v>
      </x:c>
      <x:c r="C4359" s="16" t="n">
        <x:v>4370.0845604372</x:v>
      </x:c>
      <x:c r="D4359" s="13" t="str">
        <x:v>Financials Non-Banks</x:v>
      </x:c>
      <x:c r="E4359" s="13" t="str">
        <x:v>Financials Non-Banks</x:v>
      </x:c>
      <x:c r="F4359" s="13" t="str">
        <x:v>Financials</x:v>
      </x:c>
      <x:c r="G4359" s="13" t="str">
        <x:v>grid_asitui1y.xlsx</x:v>
      </x:c>
    </x:row>
    <x:row r="4360">
      <x:c r="A4360" s="15" t="n">
        <x:v>42278</x:v>
      </x:c>
      <x:c r="B4360" s="13" t="str">
        <x:v>CETIP SA-MERCADOS ORGANIZADO</x:v>
      </x:c>
      <x:c r="C4360" s="16" t="n">
        <x:v>576.5431260328</x:v>
      </x:c>
      <x:c r="D4360" s="13" t="str">
        <x:v>Financials Non-Banks</x:v>
      </x:c>
      <x:c r="E4360" s="13" t="str">
        <x:v>Financials Non-Banks</x:v>
      </x:c>
      <x:c r="F4360" s="13" t="str">
        <x:v>Financials</x:v>
      </x:c>
      <x:c r="G4360" s="13" t="str">
        <x:v>grid_asitui1y.xlsx</x:v>
      </x:c>
    </x:row>
    <x:row r="4361">
      <x:c r="A4361" s="15" t="n">
        <x:v>42278</x:v>
      </x:c>
      <x:c r="B4361" s="13" t="str">
        <x:v>CIELO SA - INSTITUICAO DE PA</x:v>
      </x:c>
      <x:c r="C4361" s="16" t="n">
        <x:v>4180.6171348634</x:v>
      </x:c>
      <x:c r="D4361" s="13" t="str">
        <x:v>Financials Non-Banks</x:v>
      </x:c>
      <x:c r="E4361" s="13" t="str">
        <x:v>Financials Non-Banks</x:v>
      </x:c>
      <x:c r="F4361" s="13" t="str">
        <x:v>Financials</x:v>
      </x:c>
      <x:c r="G4361" s="13" t="str">
        <x:v>grid_asitui1y.xlsx</x:v>
      </x:c>
    </x:row>
    <x:row r="4362">
      <x:c r="A4362" s="15" t="n">
        <x:v>42278</x:v>
      </x:c>
      <x:c r="B4362" s="13" t="str">
        <x:v>ITAUSA SA</x:v>
      </x:c>
      <x:c r="C4362" s="16" t="n">
        <x:v>8298.6531812022</x:v>
      </x:c>
      <x:c r="D4362" s="13" t="str">
        <x:v>Financials Non-Banks</x:v>
      </x:c>
      <x:c r="E4362" s="13" t="str">
        <x:v>Financials Non-Banks</x:v>
      </x:c>
      <x:c r="F4362" s="13" t="str">
        <x:v>Financials</x:v>
      </x:c>
      <x:c r="G4362" s="13" t="str">
        <x:v>grid_asitui1y.xlsx</x:v>
      </x:c>
    </x:row>
    <x:row r="4363">
      <x:c r="A4363" s="15" t="n">
        <x:v>42278</x:v>
      </x:c>
      <x:c r="B4363" s="13" t="str">
        <x:v>AMBEV SA</x:v>
      </x:c>
      <x:c r="C4363" s="16" t="n">
        <x:v>15393.7021006339</x:v>
      </x:c>
      <x:c r="D4363" s="13" t="str">
        <x:v>Food &amp; Beverages</x:v>
      </x:c>
      <x:c r="E4363" s="13" t="str">
        <x:v>Agri, Food &amp; Beverages</x:v>
      </x:c>
      <x:c r="F4363" s="13" t="str">
        <x:v>Defensives</x:v>
      </x:c>
      <x:c r="G4363" s="13" t="str">
        <x:v>grid_asitui1y.xlsx</x:v>
      </x:c>
    </x:row>
    <x:row r="4364">
      <x:c r="A4364" s="15" t="n">
        <x:v>42278</x:v>
      </x:c>
      <x:c r="B4364" s="13" t="str">
        <x:v>BRF SA</x:v>
      </x:c>
      <x:c r="C4364" s="16" t="n">
        <x:v>3238.4882486557</x:v>
      </x:c>
      <x:c r="D4364" s="13" t="str">
        <x:v>Food &amp; Beverages</x:v>
      </x:c>
      <x:c r="E4364" s="13" t="str">
        <x:v>Agri, Food &amp; Beverages</x:v>
      </x:c>
      <x:c r="F4364" s="13" t="str">
        <x:v>Defensives</x:v>
      </x:c>
      <x:c r="G4364" s="13" t="str">
        <x:v>grid_asitui1y.xlsx</x:v>
      </x:c>
    </x:row>
    <x:row r="4365">
      <x:c r="A4365" s="15" t="n">
        <x:v>42278</x:v>
      </x:c>
      <x:c r="B4365" s="13" t="str">
        <x:v>MBRF GLOBAL FOODS COMPANY SA</x:v>
      </x:c>
      <x:c r="C4365" s="16" t="n">
        <x:v>75.1223758689</x:v>
      </x:c>
      <x:c r="D4365" s="13" t="str">
        <x:v>Food &amp; Beverages</x:v>
      </x:c>
      <x:c r="E4365" s="13" t="str">
        <x:v>Agri, Food &amp; Beverages</x:v>
      </x:c>
      <x:c r="F4365" s="13" t="str">
        <x:v>Defensives</x:v>
      </x:c>
      <x:c r="G4365" s="13" t="str">
        <x:v>grid_asitui1y.xlsx</x:v>
      </x:c>
    </x:row>
    <x:row r="4366">
      <x:c r="A4366" s="15" t="n">
        <x:v>42278</x:v>
      </x:c>
      <x:c r="B4366" s="13" t="str">
        <x:v>HYPERA SA</x:v>
      </x:c>
      <x:c r="C4366" s="16" t="n">
        <x:v>574.6825708415</x:v>
      </x:c>
      <x:c r="D4366" s="13" t="str">
        <x:v>Health Care</x:v>
      </x:c>
      <x:c r="E4366" s="13" t="str">
        <x:v>Health Care</x:v>
      </x:c>
      <x:c r="F4366" s="13" t="str">
        <x:v>Defensives</x:v>
      </x:c>
      <x:c r="G4366" s="13" t="str">
        <x:v>grid_asitui1y.xlsx</x:v>
      </x:c>
    </x:row>
    <x:row r="4367">
      <x:c r="A4367" s="15" t="n">
        <x:v>42278</x:v>
      </x:c>
      <x:c r="B4367" s="13" t="str">
        <x:v>QUALICORP CONS E CORR SEG SA</x:v>
      </x:c>
      <x:c r="C4367" s="16" t="n">
        <x:v>365.8036791257</x:v>
      </x:c>
      <x:c r="D4367" s="13" t="str">
        <x:v>Health Care</x:v>
      </x:c>
      <x:c r="E4367" s="13" t="str">
        <x:v>Health Care</x:v>
      </x:c>
      <x:c r="F4367" s="13" t="str">
        <x:v>Defensives</x:v>
      </x:c>
      <x:c r="G4367" s="13" t="str">
        <x:v>grid_asitui1y.xlsx</x:v>
      </x:c>
    </x:row>
    <x:row r="4368">
      <x:c r="A4368" s="15" t="n">
        <x:v>42278</x:v>
      </x:c>
      <x:c r="B4368" s="13" t="str">
        <x:v>CYRELA BRAZIL REALTY SA EMP</x:v>
      </x:c>
      <x:c r="C4368" s="16" t="n">
        <x:v>488.4307254208</x:v>
      </x:c>
      <x:c r="D4368" s="13" t="str">
        <x:v>Homebuilders</x:v>
      </x:c>
      <x:c r="E4368" s="13" t="str">
        <x:v>Real Estate</x:v>
      </x:c>
      <x:c r="F4368" s="13" t="str">
        <x:v>Early Cyclicals</x:v>
      </x:c>
      <x:c r="G4368" s="13" t="str">
        <x:v>grid_asitui1y.xlsx</x:v>
      </x:c>
    </x:row>
    <x:row r="4369">
      <x:c r="A4369" s="15" t="n">
        <x:v>42278</x:v>
      </x:c>
      <x:c r="B4369" s="13" t="str">
        <x:v>MRV ENGENHARIA</x:v>
      </x:c>
      <x:c r="C4369" s="16" t="n">
        <x:v>533.4964217705</x:v>
      </x:c>
      <x:c r="D4369" s="13" t="str">
        <x:v>Homebuilders</x:v>
      </x:c>
      <x:c r="E4369" s="13" t="str">
        <x:v>Real Estate</x:v>
      </x:c>
      <x:c r="F4369" s="13" t="str">
        <x:v>Early Cyclicals</x:v>
      </x:c>
      <x:c r="G4369" s="13" t="str">
        <x:v>grid_asitui1y.xlsx</x:v>
      </x:c>
    </x:row>
    <x:row r="4370">
      <x:c r="A4370" s="15" t="n">
        <x:v>42278</x:v>
      </x:c>
      <x:c r="B4370" s="13" t="str">
        <x:v>BR MALLS PARTICIPACOES SA</x:v>
      </x:c>
      <x:c r="C4370" s="16" t="n">
        <x:v>416.8779974645</x:v>
      </x:c>
      <x:c r="D4370" s="13" t="str">
        <x:v>Income Properties</x:v>
      </x:c>
      <x:c r="E4370" s="13" t="str">
        <x:v>Real Estate</x:v>
      </x:c>
      <x:c r="F4370" s="13" t="str">
        <x:v>Early Cyclicals</x:v>
      </x:c>
      <x:c r="G4370" s="13" t="str">
        <x:v>grid_asitui1y.xlsx</x:v>
      </x:c>
    </x:row>
    <x:row r="4371">
      <x:c r="A4371" s="15" t="n">
        <x:v>42278</x:v>
      </x:c>
      <x:c r="B4371" s="13" t="str">
        <x:v>MULTIPLAN EMPREENDIMENTOS</x:v>
      </x:c>
      <x:c r="C4371" s="16" t="n">
        <x:v>389.1136176612</x:v>
      </x:c>
      <x:c r="D4371" s="13" t="str">
        <x:v>Income Properties</x:v>
      </x:c>
      <x:c r="E4371" s="13" t="str">
        <x:v>Real Estate</x:v>
      </x:c>
      <x:c r="F4371" s="13" t="str">
        <x:v>Early Cyclicals</x:v>
      </x:c>
      <x:c r="G4371" s="13" t="str">
        <x:v>grid_asitui1y.xlsx</x:v>
      </x:c>
    </x:row>
    <x:row r="4372">
      <x:c r="A4372" s="15" t="n">
        <x:v>42278</x:v>
      </x:c>
      <x:c r="B4372" s="13" t="str">
        <x:v>SOLID ATIVOS IMOBILIARIOS SA</x:v>
      </x:c>
      <x:c r="C4372" s="16" t="n">
        <x:v>197.0579166776</x:v>
      </x:c>
      <x:c r="D4372" s="13" t="str">
        <x:v>Income Properties</x:v>
      </x:c>
      <x:c r="E4372" s="13" t="str">
        <x:v>Real Estate</x:v>
      </x:c>
      <x:c r="F4372" s="13" t="str">
        <x:v>Early Cyclicals</x:v>
      </x:c>
      <x:c r="G4372" s="13" t="str">
        <x:v>grid_asitui1y.xlsx</x:v>
      </x:c>
    </x:row>
    <x:row r="4373">
      <x:c r="A4373" s="15" t="n">
        <x:v>42278</x:v>
      </x:c>
      <x:c r="B4373" s="13" t="str">
        <x:v>BRADESPAR SA -PREF</x:v>
      </x:c>
      <x:c r="C4373" s="16" t="n">
        <x:v>-156.2633879781</x:v>
      </x:c>
      <x:c r="D4373" s="13" t="str">
        <x:v>Metals &amp; Mining</x:v>
      </x:c>
      <x:c r="E4373" s="13" t="str">
        <x:v>Metals &amp; Mining</x:v>
      </x:c>
      <x:c r="F4373" s="13" t="str">
        <x:v>Deep Cyclicals</x:v>
      </x:c>
      <x:c r="G4373" s="13" t="str">
        <x:v>grid_asitui1y.xlsx</x:v>
      </x:c>
    </x:row>
    <x:row r="4374">
      <x:c r="A4374" s="15" t="n">
        <x:v>42278</x:v>
      </x:c>
      <x:c r="B4374" s="13" t="str">
        <x:v>CIA SIDERURGICA NACIONAL SA</x:v>
      </x:c>
      <x:c r="C4374" s="16" t="n">
        <x:v>-612.2536816612</x:v>
      </x:c>
      <x:c r="D4374" s="13" t="str">
        <x:v>Metals &amp; Mining</x:v>
      </x:c>
      <x:c r="E4374" s="13" t="str">
        <x:v>Metals &amp; Mining</x:v>
      </x:c>
      <x:c r="F4374" s="13" t="str">
        <x:v>Deep Cyclicals</x:v>
      </x:c>
      <x:c r="G4374" s="13" t="str">
        <x:v>grid_asitui1y.xlsx</x:v>
      </x:c>
    </x:row>
    <x:row r="4375">
      <x:c r="A4375" s="15" t="n">
        <x:v>42278</x:v>
      </x:c>
      <x:c r="B4375" s="13" t="str">
        <x:v>GERDAU SA-PREF</x:v>
      </x:c>
      <x:c r="C4375" s="16" t="n">
        <x:v>750.3270114973</x:v>
      </x:c>
      <x:c r="D4375" s="13" t="str">
        <x:v>Metals &amp; Mining</x:v>
      </x:c>
      <x:c r="E4375" s="13" t="str">
        <x:v>Metals &amp; Mining</x:v>
      </x:c>
      <x:c r="F4375" s="13" t="str">
        <x:v>Deep Cyclicals</x:v>
      </x:c>
      <x:c r="G4375" s="13" t="str">
        <x:v>grid_asitui1y.xlsx</x:v>
      </x:c>
    </x:row>
    <x:row r="4376">
      <x:c r="A4376" s="15" t="n">
        <x:v>42278</x:v>
      </x:c>
      <x:c r="B4376" s="13" t="str">
        <x:v>METALURGICA GERDAU SA-PREF</x:v>
      </x:c>
      <x:c r="C4376" s="16" t="n">
        <x:v>-264.6841530055</x:v>
      </x:c>
      <x:c r="D4376" s="13" t="str">
        <x:v>Metals &amp; Mining</x:v>
      </x:c>
      <x:c r="E4376" s="13" t="str">
        <x:v>Metals &amp; Mining</x:v>
      </x:c>
      <x:c r="F4376" s="13" t="str">
        <x:v>Deep Cyclicals</x:v>
      </x:c>
      <x:c r="G4376" s="13" t="str">
        <x:v>grid_asitui1y.xlsx</x:v>
      </x:c>
    </x:row>
    <x:row r="4377">
      <x:c r="A4377" s="15" t="n">
        <x:v>42278</x:v>
      </x:c>
      <x:c r="B4377" s="13" t="str">
        <x:v>USINAS SIDER MINAS GER-PF A</x:v>
      </x:c>
      <x:c r="C4377" s="16" t="n">
        <x:v>-734.6141377049</x:v>
      </x:c>
      <x:c r="D4377" s="13" t="str">
        <x:v>Metals &amp; Mining</x:v>
      </x:c>
      <x:c r="E4377" s="13" t="str">
        <x:v>Metals &amp; Mining</x:v>
      </x:c>
      <x:c r="F4377" s="13" t="str">
        <x:v>Deep Cyclicals</x:v>
      </x:c>
      <x:c r="G4377" s="13" t="str">
        <x:v>grid_asitui1y.xlsx</x:v>
      </x:c>
    </x:row>
    <x:row r="4378">
      <x:c r="A4378" s="15" t="n">
        <x:v>42278</x:v>
      </x:c>
      <x:c r="B4378" s="13" t="str">
        <x:v>VALE SA</x:v>
      </x:c>
      <x:c r="C4378" s="16" t="n">
        <x:v>2598.4960377705</x:v>
      </x:c>
      <x:c r="D4378" s="13" t="str">
        <x:v>Metals &amp; Mining</x:v>
      </x:c>
      <x:c r="E4378" s="13" t="str">
        <x:v>Metals &amp; Mining</x:v>
      </x:c>
      <x:c r="F4378" s="13" t="str">
        <x:v>Deep Cyclicals</x:v>
      </x:c>
      <x:c r="G4378" s="13" t="str">
        <x:v>grid_asitui1y.xlsx</x:v>
      </x:c>
    </x:row>
    <x:row r="4379">
      <x:c r="A4379" s="15" t="n">
        <x:v>42278</x:v>
      </x:c>
      <x:c r="B4379" s="13" t="str">
        <x:v>BRASKEM SA-PREF A</x:v>
      </x:c>
      <x:c r="C4379" s="16" t="n">
        <x:v>2331.4099997377</x:v>
      </x:c>
      <x:c r="D4379" s="13" t="str">
        <x:v>Oil, Gas &amp; Petrochemicals</x:v>
      </x:c>
      <x:c r="E4379" s="13" t="str">
        <x:v>Oil, Gas &amp; Petrochemicals</x:v>
      </x:c>
      <x:c r="F4379" s="13" t="str">
        <x:v>Deep Cyclicals</x:v>
      </x:c>
      <x:c r="G4379" s="13" t="str">
        <x:v>grid_asitui1y.xlsx</x:v>
      </x:c>
    </x:row>
    <x:row r="4380">
      <x:c r="A4380" s="15" t="n">
        <x:v>42278</x:v>
      </x:c>
      <x:c r="B4380" s="13" t="str">
        <x:v>COSAN SA</x:v>
      </x:c>
      <x:c r="C4380" s="16" t="n">
        <x:v>694.7460987104</x:v>
      </x:c>
      <x:c r="D4380" s="13" t="str">
        <x:v>Oil, Gas &amp; Petrochemicals</x:v>
      </x:c>
      <x:c r="E4380" s="13" t="str">
        <x:v>Oil, Gas &amp; Petrochemicals</x:v>
      </x:c>
      <x:c r="F4380" s="13" t="str">
        <x:v>Deep Cyclicals</x:v>
      </x:c>
      <x:c r="G4380" s="13" t="str">
        <x:v>grid_asitui1y.xlsx</x:v>
      </x:c>
    </x:row>
    <x:row r="4381">
      <x:c r="A4381" s="15" t="n">
        <x:v>42278</x:v>
      </x:c>
      <x:c r="B4381" s="13" t="str">
        <x:v>PETROBRAS - PETROLEO BRAS</x:v>
      </x:c>
      <x:c r="C4381" s="16" t="n">
        <x:v>15234.394984918</x:v>
      </x:c>
      <x:c r="D4381" s="13" t="str">
        <x:v>Oil, Gas &amp; Petrochemicals</x:v>
      </x:c>
      <x:c r="E4381" s="13" t="str">
        <x:v>Oil, Gas &amp; Petrochemicals</x:v>
      </x:c>
      <x:c r="F4381" s="13" t="str">
        <x:v>Deep Cyclicals</x:v>
      </x:c>
      <x:c r="G4381" s="13" t="str">
        <x:v>grid_asitui1y.xlsx</x:v>
      </x:c>
    </x:row>
    <x:row r="4382">
      <x:c r="A4382" s="15" t="n">
        <x:v>42278</x:v>
      </x:c>
      <x:c r="B4382" s="13" t="str">
        <x:v>ULTRAPAR PARTICIPACOES SA</x:v>
      </x:c>
      <x:c r="C4382" s="16" t="n">
        <x:v>1752.5794469071</x:v>
      </x:c>
      <x:c r="D4382" s="13" t="str">
        <x:v>Oil, Gas &amp; Petrochemicals</x:v>
      </x:c>
      <x:c r="E4382" s="13" t="str">
        <x:v>Oil, Gas &amp; Petrochemicals</x:v>
      </x:c>
      <x:c r="F4382" s="13" t="str">
        <x:v>Deep Cyclicals</x:v>
      </x:c>
      <x:c r="G4382" s="13" t="str">
        <x:v>grid_asitui1y.xlsx</x:v>
      </x:c>
    </x:row>
    <x:row r="4383">
      <x:c r="A4383" s="15" t="n">
        <x:v>42278</x:v>
      </x:c>
      <x:c r="B4383" s="13" t="str">
        <x:v>FIBRIA CELULOSE S/A</x:v>
      </x:c>
      <x:c r="C4383" s="16" t="n">
        <x:v>2432.9607812896</x:v>
      </x:c>
      <x:c r="D4383" s="13" t="str">
        <x:v>Pulp &amp; Paper</x:v>
      </x:c>
      <x:c r="E4383" s="13" t="str">
        <x:v>Pulp &amp; Paper</x:v>
      </x:c>
      <x:c r="F4383" s="13" t="str">
        <x:v>Deep Cyclicals</x:v>
      </x:c>
      <x:c r="G4383" s="13" t="str">
        <x:v>grid_asitui1y.xlsx</x:v>
      </x:c>
    </x:row>
    <x:row r="4384">
      <x:c r="A4384" s="15" t="n">
        <x:v>42278</x:v>
      </x:c>
      <x:c r="B4384" s="13" t="str">
        <x:v>KLABIN SA - UNIT</x:v>
      </x:c>
      <x:c r="C4384" s="16" t="n">
        <x:v>591.3483275191</x:v>
      </x:c>
      <x:c r="D4384" s="13" t="str">
        <x:v>Pulp &amp; Paper</x:v>
      </x:c>
      <x:c r="E4384" s="13" t="str">
        <x:v>Pulp &amp; Paper</x:v>
      </x:c>
      <x:c r="F4384" s="13" t="str">
        <x:v>Deep Cyclicals</x:v>
      </x:c>
      <x:c r="G4384" s="13" t="str">
        <x:v>grid_asitui1y.xlsx</x:v>
      </x:c>
    </x:row>
    <x:row r="4385">
      <x:c r="A4385" s="15" t="n">
        <x:v>42278</x:v>
      </x:c>
      <x:c r="B4385" s="13" t="str">
        <x:v>SUZANO PAPEL E CELULO-PREF A</x:v>
      </x:c>
      <x:c r="C4385" s="16" t="n">
        <x:v>1689.163247388</x:v>
      </x:c>
      <x:c r="D4385" s="13" t="str">
        <x:v>Pulp &amp; Paper</x:v>
      </x:c>
      <x:c r="E4385" s="13" t="str">
        <x:v>Pulp &amp; Paper</x:v>
      </x:c>
      <x:c r="F4385" s="13" t="str">
        <x:v>Deep Cyclicals</x:v>
      </x:c>
      <x:c r="G4385" s="13" t="str">
        <x:v>grid_asitui1y.xlsx</x:v>
      </x:c>
    </x:row>
    <x:row r="4386">
      <x:c r="A4386" s="15" t="n">
        <x:v>42278</x:v>
      </x:c>
      <x:c r="B4386" s="13" t="str">
        <x:v>CIA BRASILEIRA DE DIS-PREF</x:v>
      </x:c>
      <x:c r="C4386" s="16" t="n">
        <x:v>1068.0494859891</x:v>
      </x:c>
      <x:c r="D4386" s="13" t="str">
        <x:v>Retail</x:v>
      </x:c>
      <x:c r="E4386" s="13" t="str">
        <x:v>Retail</x:v>
      </x:c>
      <x:c r="F4386" s="13" t="str">
        <x:v>Early Cyclicals</x:v>
      </x:c>
      <x:c r="G4386" s="13" t="str">
        <x:v>grid_asitui1y.xlsx</x:v>
      </x:c>
    </x:row>
    <x:row r="4387">
      <x:c r="A4387" s="15" t="n">
        <x:v>42278</x:v>
      </x:c>
      <x:c r="B4387" s="13" t="str">
        <x:v>CIA HERING</x:v>
      </x:c>
      <x:c r="C4387" s="16" t="n">
        <x:v>263.8849045683</x:v>
      </x:c>
      <x:c r="D4387" s="13" t="str">
        <x:v>Retail</x:v>
      </x:c>
      <x:c r="E4387" s="13" t="str">
        <x:v>Retail</x:v>
      </x:c>
      <x:c r="F4387" s="13" t="str">
        <x:v>Early Cyclicals</x:v>
      </x:c>
      <x:c r="G4387" s="13" t="str">
        <x:v>grid_asitui1y.xlsx</x:v>
      </x:c>
    </x:row>
    <x:row r="4388">
      <x:c r="A4388" s="15" t="n">
        <x:v>42278</x:v>
      </x:c>
      <x:c r="B4388" s="13" t="str">
        <x:v>LOJAS AMERICANAS SA-PREF</x:v>
      </x:c>
      <x:c r="C4388" s="16" t="n">
        <x:v>604.964154929</x:v>
      </x:c>
      <x:c r="D4388" s="13" t="str">
        <x:v>Retail</x:v>
      </x:c>
      <x:c r="E4388" s="13" t="str">
        <x:v>Retail</x:v>
      </x:c>
      <x:c r="F4388" s="13" t="str">
        <x:v>Early Cyclicals</x:v>
      </x:c>
      <x:c r="G4388" s="13" t="str">
        <x:v>grid_asitui1y.xlsx</x:v>
      </x:c>
    </x:row>
    <x:row r="4389">
      <x:c r="A4389" s="15" t="n">
        <x:v>42278</x:v>
      </x:c>
      <x:c r="B4389" s="13" t="str">
        <x:v>LOJAS RENNER S.A.</x:v>
      </x:c>
      <x:c r="C4389" s="16" t="n">
        <x:v>671.3679797158</x:v>
      </x:c>
      <x:c r="D4389" s="13" t="str">
        <x:v>Retail</x:v>
      </x:c>
      <x:c r="E4389" s="13" t="str">
        <x:v>Retail</x:v>
      </x:c>
      <x:c r="F4389" s="13" t="str">
        <x:v>Early Cyclicals</x:v>
      </x:c>
      <x:c r="G4389" s="13" t="str">
        <x:v>grid_asitui1y.xlsx</x:v>
      </x:c>
    </x:row>
    <x:row r="4390">
      <x:c r="A4390" s="15" t="n">
        <x:v>42278</x:v>
      </x:c>
      <x:c r="B4390" s="13" t="str">
        <x:v>NATURA COSMETICOS SA</x:v>
      </x:c>
      <x:c r="C4390" s="16" t="n">
        <x:v>733.8273224044</x:v>
      </x:c>
      <x:c r="D4390" s="13" t="str">
        <x:v>Retail</x:v>
      </x:c>
      <x:c r="E4390" s="13" t="str">
        <x:v>Retail</x:v>
      </x:c>
      <x:c r="F4390" s="13" t="str">
        <x:v>Early Cyclicals</x:v>
      </x:c>
      <x:c r="G4390" s="13" t="str">
        <x:v>grid_asitui1y.xlsx</x:v>
      </x:c>
    </x:row>
    <x:row r="4391">
      <x:c r="A4391" s="15" t="n">
        <x:v>42278</x:v>
      </x:c>
      <x:c r="B4391" s="13" t="str">
        <x:v>RAIA DROGASIL SA</x:v>
      </x:c>
      <x:c r="C4391" s="16" t="n">
        <x:v>447.6860495738</x:v>
      </x:c>
      <x:c r="D4391" s="13" t="str">
        <x:v>Retail</x:v>
      </x:c>
      <x:c r="E4391" s="13" t="str">
        <x:v>Retail</x:v>
      </x:c>
      <x:c r="F4391" s="13" t="str">
        <x:v>Early Cyclicals</x:v>
      </x:c>
      <x:c r="G4391" s="13" t="str">
        <x:v>grid_asitui1y.xlsx</x:v>
      </x:c>
    </x:row>
    <x:row r="4392">
      <x:c r="A4392" s="15" t="n">
        <x:v>42278</x:v>
      </x:c>
      <x:c r="B4392" s="13" t="str">
        <x:v>CIA SANEAMENTO BASICO DE SP</x:v>
      </x:c>
      <x:c r="C4392" s="16" t="n">
        <x:v>1069.6123275191</x:v>
      </x:c>
      <x:c r="D4392" s="13" t="str">
        <x:v>Sanitation</x:v>
      </x:c>
      <x:c r="E4392" s="13" t="str">
        <x:v>Utilities</x:v>
      </x:c>
      <x:c r="F4392" s="13" t="str">
        <x:v>Defensives</x:v>
      </x:c>
      <x:c r="G4392" s="13" t="str">
        <x:v>grid_asitui1y.xlsx</x:v>
      </x:c>
    </x:row>
    <x:row r="4393">
      <x:c r="A4393" s="15" t="n">
        <x:v>42278</x:v>
      </x:c>
      <x:c r="B4393" s="13" t="str">
        <x:v>OI S.A.</x:v>
      </x:c>
      <x:c r="C4393" s="16" t="n">
        <x:v>-987.7591540109</x:v>
      </x:c>
      <x:c r="D4393" s="13" t="str">
        <x:v>TMT</x:v>
      </x:c>
      <x:c r="E4393" s="13" t="str">
        <x:v>TMT</x:v>
      </x:c>
      <x:c r="F4393" s="13" t="str">
        <x:v>Early Cyclicals</x:v>
      </x:c>
      <x:c r="G4393" s="13" t="str">
        <x:v>grid_asitui1y.xlsx</x:v>
      </x:c>
    </x:row>
    <x:row r="4394">
      <x:c r="A4394" s="15" t="n">
        <x:v>42278</x:v>
      </x:c>
      <x:c r="B4394" s="13" t="str">
        <x:v>TELEFONICA BRASIL S.A.-PREF</x:v>
      </x:c>
      <x:c r="C4394" s="16" t="n">
        <x:v>4810.5247279563</x:v>
      </x:c>
      <x:c r="D4394" s="13" t="str">
        <x:v>TMT</x:v>
      </x:c>
      <x:c r="E4394" s="13" t="str">
        <x:v>TMT</x:v>
      </x:c>
      <x:c r="F4394" s="13" t="str">
        <x:v>Early Cyclicals</x:v>
      </x:c>
      <x:c r="G4394" s="13" t="str">
        <x:v>grid_asitui1y.xlsx</x:v>
      </x:c>
    </x:row>
    <x:row r="4395">
      <x:c r="A4395" s="15" t="n">
        <x:v>42278</x:v>
      </x:c>
      <x:c r="B4395" s="13" t="str">
        <x:v>TIM SA</x:v>
      </x:c>
      <x:c r="C4395" s="16" t="n">
        <x:v>1359.4522712131</x:v>
      </x:c>
      <x:c r="D4395" s="13" t="str">
        <x:v>TMT</x:v>
      </x:c>
      <x:c r="E4395" s="13" t="str">
        <x:v>TMT</x:v>
      </x:c>
      <x:c r="F4395" s="13" t="str">
        <x:v>Early Cyclicals</x:v>
      </x:c>
      <x:c r="G4395" s="13" t="str">
        <x:v>grid_asitui1y.xlsx</x:v>
      </x:c>
    </x:row>
    <x:row r="4396">
      <x:c r="A4396" s="15" t="n">
        <x:v>42278</x:v>
      </x:c>
      <x:c r="B4396" s="13" t="str">
        <x:v>ECORODOVIAS INFRA E LOG SA</x:v>
      </x:c>
      <x:c r="C4396" s="16" t="n">
        <x:v>266.3525833443</x:v>
      </x:c>
      <x:c r="D4396" s="13" t="str">
        <x:v>Transportation</x:v>
      </x:c>
      <x:c r="E4396" s="13" t="str">
        <x:v>Transportation</x:v>
      </x:c>
      <x:c r="F4396" s="13" t="str">
        <x:v>Deep Cyclicals</x:v>
      </x:c>
      <x:c r="G4396" s="13" t="str">
        <x:v>grid_asitui1y.xlsx</x:v>
      </x:c>
    </x:row>
    <x:row r="4397">
      <x:c r="A4397" s="15" t="n">
        <x:v>42278</x:v>
      </x:c>
      <x:c r="B4397" s="13" t="str">
        <x:v>GOL LINHAS AEREAS INT SA-PRE</x:v>
      </x:c>
      <x:c r="C4397" s="16" t="n">
        <x:v>-854.8382887869</x:v>
      </x:c>
      <x:c r="D4397" s="13" t="str">
        <x:v>Transportation</x:v>
      </x:c>
      <x:c r="E4397" s="13" t="str">
        <x:v>Transportation</x:v>
      </x:c>
      <x:c r="F4397" s="13" t="str">
        <x:v>Deep Cyclicals</x:v>
      </x:c>
      <x:c r="G4397" s="13" t="str">
        <x:v>grid_asitui1y.xlsx</x:v>
      </x:c>
    </x:row>
    <x:row r="4398">
      <x:c r="A4398" s="15" t="n">
        <x:v>42278</x:v>
      </x:c>
      <x:c r="B4398" s="13" t="str">
        <x:v>LOCALIZA RENT A CAR</x:v>
      </x:c>
      <x:c r="C4398" s="16" t="n">
        <x:v>374.898755847</x:v>
      </x:c>
      <x:c r="D4398" s="13" t="str">
        <x:v>Transportation</x:v>
      </x:c>
      <x:c r="E4398" s="13" t="str">
        <x:v>Transportation</x:v>
      </x:c>
      <x:c r="F4398" s="13" t="str">
        <x:v>Deep Cyclicals</x:v>
      </x:c>
      <x:c r="G4398" s="13" t="str">
        <x:v>grid_asitui1y.xlsx</x:v>
      </x:c>
    </x:row>
    <x:row r="4399">
      <x:c r="A4399" s="15" t="n">
        <x:v>42278</x:v>
      </x:c>
      <x:c r="B4399" s="13" t="str">
        <x:v>MOTIVA INFRAESTRUTURA DE MOB</x:v>
      </x:c>
      <x:c r="C4399" s="16" t="n">
        <x:v>1286.3670567869</x:v>
      </x:c>
      <x:c r="D4399" s="13" t="str">
        <x:v>Transportation</x:v>
      </x:c>
      <x:c r="E4399" s="13" t="str">
        <x:v>Transportation</x:v>
      </x:c>
      <x:c r="F4399" s="13" t="str">
        <x:v>Deep Cyclicals</x:v>
      </x:c>
      <x:c r="G4399" s="13" t="str">
        <x:v>grid_asitui1y.xlsx</x:v>
      </x:c>
    </x:row>
    <x:row r="4400">
      <x:c r="A4400" s="15" t="n">
        <x:v>42278</x:v>
      </x:c>
      <x:c r="B4400" s="13" t="str">
        <x:v>AXIA ENERGIA SA</x:v>
      </x:c>
      <x:c r="C4400" s="16" t="n">
        <x:v>836.9480874317</x:v>
      </x:c>
      <x:c r="D4400" s="13" t="str">
        <x:v>Utilities &amp; Energy</x:v>
      </x:c>
      <x:c r="E4400" s="13" t="str">
        <x:v>Utilities</x:v>
      </x:c>
      <x:c r="F4400" s="13" t="str">
        <x:v>Defensives</x:v>
      </x:c>
      <x:c r="G4400" s="13" t="str">
        <x:v>grid_asitui1y.xlsx</x:v>
      </x:c>
    </x:row>
    <x:row r="4401">
      <x:c r="A4401" s="15" t="n">
        <x:v>42278</x:v>
      </x:c>
      <x:c r="B4401" s="13" t="str">
        <x:v>CESP - CIA ENERGETICA DE SAO</x:v>
      </x:c>
      <x:c r="C4401" s="16" t="n">
        <x:v>388.3983538361</x:v>
      </x:c>
      <x:c r="D4401" s="13" t="str">
        <x:v>Utilities &amp; Energy</x:v>
      </x:c>
      <x:c r="E4401" s="13" t="str">
        <x:v>Utilities</x:v>
      </x:c>
      <x:c r="F4401" s="13" t="str">
        <x:v>Defensives</x:v>
      </x:c>
      <x:c r="G4401" s="13" t="str">
        <x:v>grid_asitui1y.xlsx</x:v>
      </x:c>
    </x:row>
    <x:row r="4402">
      <x:c r="A4402" s="15" t="n">
        <x:v>42278</x:v>
      </x:c>
      <x:c r="B4402" s="13" t="str">
        <x:v>CIA ENERGETICA MINAS GER-PRF</x:v>
      </x:c>
      <x:c r="C4402" s="16" t="n">
        <x:v>1538.3329867541</x:v>
      </x:c>
      <x:c r="D4402" s="13" t="str">
        <x:v>Utilities &amp; Energy</x:v>
      </x:c>
      <x:c r="E4402" s="13" t="str">
        <x:v>Utilities</x:v>
      </x:c>
      <x:c r="F4402" s="13" t="str">
        <x:v>Defensives</x:v>
      </x:c>
      <x:c r="G4402" s="13" t="str">
        <x:v>grid_asitui1y.xlsx</x:v>
      </x:c>
    </x:row>
    <x:row r="4403">
      <x:c r="A4403" s="15" t="n">
        <x:v>42278</x:v>
      </x:c>
      <x:c r="B4403" s="13" t="str">
        <x:v>COMPANHIA PARANAENSE -PREF B</x:v>
      </x:c>
      <x:c r="C4403" s="16" t="n">
        <x:v>1323.6293015082</x:v>
      </x:c>
      <x:c r="D4403" s="13" t="str">
        <x:v>Utilities &amp; Energy</x:v>
      </x:c>
      <x:c r="E4403" s="13" t="str">
        <x:v>Utilities</x:v>
      </x:c>
      <x:c r="F4403" s="13" t="str">
        <x:v>Defensives</x:v>
      </x:c>
      <x:c r="G4403" s="13" t="str">
        <x:v>grid_asitui1y.xlsx</x:v>
      </x:c>
    </x:row>
    <x:row r="4404">
      <x:c r="A4404" s="15" t="n">
        <x:v>42278</x:v>
      </x:c>
      <x:c r="B4404" s="13" t="str">
        <x:v>CPFL ENERGIA SA</x:v>
      </x:c>
      <x:c r="C4404" s="16" t="n">
        <x:v>1017.2524737049</x:v>
      </x:c>
      <x:c r="D4404" s="13" t="str">
        <x:v>Utilities &amp; Energy</x:v>
      </x:c>
      <x:c r="E4404" s="13" t="str">
        <x:v>Utilities</x:v>
      </x:c>
      <x:c r="F4404" s="13" t="str">
        <x:v>Defensives</x:v>
      </x:c>
      <x:c r="G4404" s="13" t="str">
        <x:v>grid_asitui1y.xlsx</x:v>
      </x:c>
    </x:row>
    <x:row r="4405">
      <x:c r="A4405" s="15" t="n">
        <x:v>42278</x:v>
      </x:c>
      <x:c r="B4405" s="13" t="str">
        <x:v>EDP - ENERGIAS DO BRASIL SA</x:v>
      </x:c>
      <x:c r="C4405" s="16" t="n">
        <x:v>571.0185068415</x:v>
      </x:c>
      <x:c r="D4405" s="13" t="str">
        <x:v>Utilities &amp; Energy</x:v>
      </x:c>
      <x:c r="E4405" s="13" t="str">
        <x:v>Utilities</x:v>
      </x:c>
      <x:c r="F4405" s="13" t="str">
        <x:v>Defensives</x:v>
      </x:c>
      <x:c r="G4405" s="13" t="str">
        <x:v>grid_asitui1y.xlsx</x:v>
      </x:c>
    </x:row>
    <x:row r="4406">
      <x:c r="A4406" s="15" t="n">
        <x:v>42278</x:v>
      </x:c>
      <x:c r="B4406" s="13" t="str">
        <x:v>ENGIE BRASIL ENERGIA SA</x:v>
      </x:c>
      <x:c r="C4406" s="16" t="n">
        <x:v>1762.456892153</x:v>
      </x:c>
      <x:c r="D4406" s="13" t="str">
        <x:v>Utilities &amp; Energy</x:v>
      </x:c>
      <x:c r="E4406" s="13" t="str">
        <x:v>Utilities</x:v>
      </x:c>
      <x:c r="F4406" s="13" t="str">
        <x:v>Defensives</x:v>
      </x:c>
      <x:c r="G4406" s="13" t="str">
        <x:v>grid_asitui1y.xlsx</x:v>
      </x:c>
    </x:row>
    <x:row r="4407">
      <x:c r="A4407" s="15" t="n">
        <x:v>42278</x:v>
      </x:c>
      <x:c r="B4407" s="13" t="str">
        <x:v>EQUATORIAL SA - ORD</x:v>
      </x:c>
      <x:c r="C4407" s="16" t="n">
        <x:v>579.0967148415</x:v>
      </x:c>
      <x:c r="D4407" s="13" t="str">
        <x:v>Utilities &amp; Energy</x:v>
      </x:c>
      <x:c r="E4407" s="13" t="str">
        <x:v>Utilities</x:v>
      </x:c>
      <x:c r="F4407" s="13" t="str">
        <x:v>Defensives</x:v>
      </x:c>
      <x:c r="G4407" s="13" t="str">
        <x:v>grid_asitui1y.xlsx</x:v>
      </x:c>
    </x:row>
    <x:row r="4408">
      <x:c r="A4408" s="15" t="n">
        <x:v>42309</x:v>
      </x:c>
      <x:c r="B4408" s="13" t="str">
        <x:v>BANCO BRADESCO S.A.</x:v>
      </x:c>
      <x:c r="C4408" s="16" t="n">
        <x:v>16930.8815947541</x:v>
      </x:c>
      <x:c r="D4408" s="13" t="str">
        <x:v>Banks</x:v>
      </x:c>
      <x:c r="E4408" s="13" t="str">
        <x:v>Banks</x:v>
      </x:c>
      <x:c r="F4408" s="13" t="str">
        <x:v>Financials</x:v>
      </x:c>
      <x:c r="G4408" s="13" t="str">
        <x:v>grid_asitui1y.xlsx</x:v>
      </x:c>
    </x:row>
    <x:row r="4409">
      <x:c r="A4409" s="15" t="n">
        <x:v>42309</x:v>
      </x:c>
      <x:c r="B4409" s="13" t="str">
        <x:v>BANCO BRADESCO SA-PREF</x:v>
      </x:c>
      <x:c r="C4409" s="16" t="n">
        <x:v>16930.8815947541</x:v>
      </x:c>
      <x:c r="D4409" s="13" t="str">
        <x:v>Banks</x:v>
      </x:c>
      <x:c r="E4409" s="13" t="str">
        <x:v>Banks</x:v>
      </x:c>
      <x:c r="F4409" s="13" t="str">
        <x:v>Financials</x:v>
      </x:c>
      <x:c r="G4409" s="13" t="str">
        <x:v>grid_asitui1y.xlsx</x:v>
      </x:c>
    </x:row>
    <x:row r="4410">
      <x:c r="A4410" s="15" t="n">
        <x:v>42309</x:v>
      </x:c>
      <x:c r="B4410" s="13" t="str">
        <x:v>BANCO DO BRASIL S.A.</x:v>
      </x:c>
      <x:c r="C4410" s="16" t="n">
        <x:v>11623.4323654645</x:v>
      </x:c>
      <x:c r="D4410" s="13" t="str">
        <x:v>Banks</x:v>
      </x:c>
      <x:c r="E4410" s="13" t="str">
        <x:v>Banks</x:v>
      </x:c>
      <x:c r="F4410" s="13" t="str">
        <x:v>Financials</x:v>
      </x:c>
      <x:c r="G4410" s="13" t="str">
        <x:v>grid_asitui1y.xlsx</x:v>
      </x:c>
    </x:row>
    <x:row r="4411">
      <x:c r="A4411" s="15" t="n">
        <x:v>42309</x:v>
      </x:c>
      <x:c r="B4411" s="13" t="str">
        <x:v>BANCO SANTANDER  BRASIL-UNIT</x:v>
      </x:c>
      <x:c r="C4411" s="16" t="n">
        <x:v>5339.0504120656</x:v>
      </x:c>
      <x:c r="D4411" s="13" t="str">
        <x:v>Banks</x:v>
      </x:c>
      <x:c r="E4411" s="13" t="str">
        <x:v>Banks</x:v>
      </x:c>
      <x:c r="F4411" s="13" t="str">
        <x:v>Financials</x:v>
      </x:c>
      <x:c r="G4411" s="13" t="str">
        <x:v>grid_asitui1y.xlsx</x:v>
      </x:c>
    </x:row>
    <x:row r="4412">
      <x:c r="A4412" s="15" t="n">
        <x:v>42309</x:v>
      </x:c>
      <x:c r="B4412" s="13" t="str">
        <x:v>ITAU UNIBANCO HOLDING S-PREF</x:v>
      </x:c>
      <x:c r="C4412" s="16" t="n">
        <x:v>22712.2026093115</x:v>
      </x:c>
      <x:c r="D4412" s="13" t="str">
        <x:v>Banks</x:v>
      </x:c>
      <x:c r="E4412" s="13" t="str">
        <x:v>Banks</x:v>
      </x:c>
      <x:c r="F4412" s="13" t="str">
        <x:v>Financials</x:v>
      </x:c>
      <x:c r="G4412" s="13" t="str">
        <x:v>grid_asitui1y.xlsx</x:v>
      </x:c>
    </x:row>
    <x:row r="4413">
      <x:c r="A4413" s="15" t="n">
        <x:v>42309</x:v>
      </x:c>
      <x:c r="B4413" s="13" t="str">
        <x:v>EMBRAER SA</x:v>
      </x:c>
      <x:c r="C4413" s="16" t="n">
        <x:v>1548.0634233006</x:v>
      </x:c>
      <x:c r="D4413" s="13" t="str">
        <x:v>Capital Goods</x:v>
      </x:c>
      <x:c r="E4413" s="13" t="str">
        <x:v>Capital Goods</x:v>
      </x:c>
      <x:c r="F4413" s="13" t="str">
        <x:v>Deep Cyclicals</x:v>
      </x:c>
      <x:c r="G4413" s="13" t="str">
        <x:v>grid_asitui1y.xlsx</x:v>
      </x:c>
    </x:row>
    <x:row r="4414">
      <x:c r="A4414" s="15" t="n">
        <x:v>42309</x:v>
      </x:c>
      <x:c r="B4414" s="13" t="str">
        <x:v>COGNA EDUCACAO</x:v>
      </x:c>
      <x:c r="C4414" s="16" t="n">
        <x:v>1691.6405231913</x:v>
      </x:c>
      <x:c r="D4414" s="13" t="str">
        <x:v>Education</x:v>
      </x:c>
      <x:c r="E4414" s="13" t="str">
        <x:v>Education</x:v>
      </x:c>
      <x:c r="F4414" s="13" t="str">
        <x:v>Early Cyclicals</x:v>
      </x:c>
      <x:c r="G4414" s="13" t="str">
        <x:v>grid_asitui1y.xlsx</x:v>
      </x:c>
    </x:row>
    <x:row r="4415">
      <x:c r="A4415" s="15" t="n">
        <x:v>42309</x:v>
      </x:c>
      <x:c r="B4415" s="13" t="str">
        <x:v>YDUQS PARTICIPACOES SA</x:v>
      </x:c>
      <x:c r="C4415" s="16" t="n">
        <x:v>579.2037183825</x:v>
      </x:c>
      <x:c r="D4415" s="13" t="str">
        <x:v>Education</x:v>
      </x:c>
      <x:c r="E4415" s="13" t="str">
        <x:v>Education</x:v>
      </x:c>
      <x:c r="F4415" s="13" t="str">
        <x:v>Early Cyclicals</x:v>
      </x:c>
      <x:c r="G4415" s="13" t="str">
        <x:v>grid_asitui1y.xlsx</x:v>
      </x:c>
    </x:row>
    <x:row r="4416">
      <x:c r="A4416" s="15" t="n">
        <x:v>42309</x:v>
      </x:c>
      <x:c r="B4416" s="13" t="str">
        <x:v>B3 SA-BRASIL BOLSA BALCAO</x:v>
      </x:c>
      <x:c r="C4416" s="16" t="n">
        <x:v>1845.6992150383</x:v>
      </x:c>
      <x:c r="D4416" s="13" t="str">
        <x:v>Financials Non-Banks</x:v>
      </x:c>
      <x:c r="E4416" s="13" t="str">
        <x:v>Financials Non-Banks</x:v>
      </x:c>
      <x:c r="F4416" s="13" t="str">
        <x:v>Financials</x:v>
      </x:c>
      <x:c r="G4416" s="13" t="str">
        <x:v>grid_asitui1y.xlsx</x:v>
      </x:c>
    </x:row>
    <x:row r="4417">
      <x:c r="A4417" s="15" t="n">
        <x:v>42309</x:v>
      </x:c>
      <x:c r="B4417" s="13" t="str">
        <x:v>BB SEGURIDADE PARTICIPACOES</x:v>
      </x:c>
      <x:c r="C4417" s="16" t="n">
        <x:v>4392.8966651803</x:v>
      </x:c>
      <x:c r="D4417" s="13" t="str">
        <x:v>Financials Non-Banks</x:v>
      </x:c>
      <x:c r="E4417" s="13" t="str">
        <x:v>Financials Non-Banks</x:v>
      </x:c>
      <x:c r="F4417" s="13" t="str">
        <x:v>Financials</x:v>
      </x:c>
      <x:c r="G4417" s="13" t="str">
        <x:v>grid_asitui1y.xlsx</x:v>
      </x:c>
    </x:row>
    <x:row r="4418">
      <x:c r="A4418" s="15" t="n">
        <x:v>42309</x:v>
      </x:c>
      <x:c r="B4418" s="13" t="str">
        <x:v>CETIP SA-MERCADOS ORGANIZADO</x:v>
      </x:c>
      <x:c r="C4418" s="16" t="n">
        <x:v>578.4732240437</x:v>
      </x:c>
      <x:c r="D4418" s="13" t="str">
        <x:v>Financials Non-Banks</x:v>
      </x:c>
      <x:c r="E4418" s="13" t="str">
        <x:v>Financials Non-Banks</x:v>
      </x:c>
      <x:c r="F4418" s="13" t="str">
        <x:v>Financials</x:v>
      </x:c>
      <x:c r="G4418" s="13" t="str">
        <x:v>grid_asitui1y.xlsx</x:v>
      </x:c>
    </x:row>
    <x:row r="4419">
      <x:c r="A4419" s="15" t="n">
        <x:v>42309</x:v>
      </x:c>
      <x:c r="B4419" s="13" t="str">
        <x:v>CIELO SA - INSTITUICAO DE PA</x:v>
      </x:c>
      <x:c r="C4419" s="16" t="n">
        <x:v>4133.4140929399</x:v>
      </x:c>
      <x:c r="D4419" s="13" t="str">
        <x:v>Financials Non-Banks</x:v>
      </x:c>
      <x:c r="E4419" s="13" t="str">
        <x:v>Financials Non-Banks</x:v>
      </x:c>
      <x:c r="F4419" s="13" t="str">
        <x:v>Financials</x:v>
      </x:c>
      <x:c r="G4419" s="13" t="str">
        <x:v>grid_asitui1y.xlsx</x:v>
      </x:c>
    </x:row>
    <x:row r="4420">
      <x:c r="A4420" s="15" t="n">
        <x:v>42309</x:v>
      </x:c>
      <x:c r="B4420" s="13" t="str">
        <x:v>ITAUSA SA</x:v>
      </x:c>
      <x:c r="C4420" s="16" t="n">
        <x:v>8277.1953731147</x:v>
      </x:c>
      <x:c r="D4420" s="13" t="str">
        <x:v>Financials Non-Banks</x:v>
      </x:c>
      <x:c r="E4420" s="13" t="str">
        <x:v>Financials Non-Banks</x:v>
      </x:c>
      <x:c r="F4420" s="13" t="str">
        <x:v>Financials</x:v>
      </x:c>
      <x:c r="G4420" s="13" t="str">
        <x:v>grid_asitui1y.xlsx</x:v>
      </x:c>
    </x:row>
    <x:row r="4421">
      <x:c r="A4421" s="15" t="n">
        <x:v>42309</x:v>
      </x:c>
      <x:c r="B4421" s="13" t="str">
        <x:v>AMBEV SA</x:v>
      </x:c>
      <x:c r="C4421" s="16" t="n">
        <x:v>15482.807612153</x:v>
      </x:c>
      <x:c r="D4421" s="13" t="str">
        <x:v>Food &amp; Beverages</x:v>
      </x:c>
      <x:c r="E4421" s="13" t="str">
        <x:v>Agri, Food &amp; Beverages</x:v>
      </x:c>
      <x:c r="F4421" s="13" t="str">
        <x:v>Defensives</x:v>
      </x:c>
      <x:c r="G4421" s="13" t="str">
        <x:v>grid_asitui1y.xlsx</x:v>
      </x:c>
    </x:row>
    <x:row r="4422">
      <x:c r="A4422" s="15" t="n">
        <x:v>42309</x:v>
      </x:c>
      <x:c r="B4422" s="13" t="str">
        <x:v>BRF SA</x:v>
      </x:c>
      <x:c r="C4422" s="16" t="n">
        <x:v>3079.0309854426</x:v>
      </x:c>
      <x:c r="D4422" s="13" t="str">
        <x:v>Food &amp; Beverages</x:v>
      </x:c>
      <x:c r="E4422" s="13" t="str">
        <x:v>Agri, Food &amp; Beverages</x:v>
      </x:c>
      <x:c r="F4422" s="13" t="str">
        <x:v>Defensives</x:v>
      </x:c>
      <x:c r="G4422" s="13" t="str">
        <x:v>grid_asitui1y.xlsx</x:v>
      </x:c>
    </x:row>
    <x:row r="4423">
      <x:c r="A4423" s="15" t="n">
        <x:v>42309</x:v>
      </x:c>
      <x:c r="B4423" s="13" t="str">
        <x:v>MBRF GLOBAL FOODS COMPANY SA</x:v>
      </x:c>
      <x:c r="C4423" s="16" t="n">
        <x:v>110.245498623</x:v>
      </x:c>
      <x:c r="D4423" s="13" t="str">
        <x:v>Food &amp; Beverages</x:v>
      </x:c>
      <x:c r="E4423" s="13" t="str">
        <x:v>Agri, Food &amp; Beverages</x:v>
      </x:c>
      <x:c r="F4423" s="13" t="str">
        <x:v>Defensives</x:v>
      </x:c>
      <x:c r="G4423" s="13" t="str">
        <x:v>grid_asitui1y.xlsx</x:v>
      </x:c>
    </x:row>
    <x:row r="4424">
      <x:c r="A4424" s="15" t="n">
        <x:v>42309</x:v>
      </x:c>
      <x:c r="B4424" s="13" t="str">
        <x:v>HYPERA SA</x:v>
      </x:c>
      <x:c r="C4424" s="16" t="n">
        <x:v>581.4027112568</x:v>
      </x:c>
      <x:c r="D4424" s="13" t="str">
        <x:v>Health Care</x:v>
      </x:c>
      <x:c r="E4424" s="13" t="str">
        <x:v>Health Care</x:v>
      </x:c>
      <x:c r="F4424" s="13" t="str">
        <x:v>Defensives</x:v>
      </x:c>
      <x:c r="G4424" s="13" t="str">
        <x:v>grid_asitui1y.xlsx</x:v>
      </x:c>
    </x:row>
    <x:row r="4425">
      <x:c r="A4425" s="15" t="n">
        <x:v>42309</x:v>
      </x:c>
      <x:c r="B4425" s="13" t="str">
        <x:v>QUALICORP CONS E CORR SEG SA</x:v>
      </x:c>
      <x:c r="C4425" s="16" t="n">
        <x:v>373.7388700328</x:v>
      </x:c>
      <x:c r="D4425" s="13" t="str">
        <x:v>Health Care</x:v>
      </x:c>
      <x:c r="E4425" s="13" t="str">
        <x:v>Health Care</x:v>
      </x:c>
      <x:c r="F4425" s="13" t="str">
        <x:v>Defensives</x:v>
      </x:c>
      <x:c r="G4425" s="13" t="str">
        <x:v>grid_asitui1y.xlsx</x:v>
      </x:c>
    </x:row>
    <x:row r="4426">
      <x:c r="A4426" s="15" t="n">
        <x:v>42309</x:v>
      </x:c>
      <x:c r="B4426" s="13" t="str">
        <x:v>CYRELA BRAZIL REALTY SA EMP</x:v>
      </x:c>
      <x:c r="C4426" s="16" t="n">
        <x:v>442.0026917596</x:v>
      </x:c>
      <x:c r="D4426" s="13" t="str">
        <x:v>Homebuilders</x:v>
      </x:c>
      <x:c r="E4426" s="13" t="str">
        <x:v>Real Estate</x:v>
      </x:c>
      <x:c r="F4426" s="13" t="str">
        <x:v>Early Cyclicals</x:v>
      </x:c>
      <x:c r="G4426" s="13" t="str">
        <x:v>grid_asitui1y.xlsx</x:v>
      </x:c>
    </x:row>
    <x:row r="4427">
      <x:c r="A4427" s="15" t="n">
        <x:v>42309</x:v>
      </x:c>
      <x:c r="B4427" s="13" t="str">
        <x:v>MRV ENGENHARIA</x:v>
      </x:c>
      <x:c r="C4427" s="16" t="n">
        <x:v>540.6313940109</x:v>
      </x:c>
      <x:c r="D4427" s="13" t="str">
        <x:v>Homebuilders</x:v>
      </x:c>
      <x:c r="E4427" s="13" t="str">
        <x:v>Real Estate</x:v>
      </x:c>
      <x:c r="F4427" s="13" t="str">
        <x:v>Early Cyclicals</x:v>
      </x:c>
      <x:c r="G4427" s="13" t="str">
        <x:v>grid_asitui1y.xlsx</x:v>
      </x:c>
    </x:row>
    <x:row r="4428">
      <x:c r="A4428" s="15" t="n">
        <x:v>42309</x:v>
      </x:c>
      <x:c r="B4428" s="13" t="str">
        <x:v>BR MALLS PARTICIPACOES SA</x:v>
      </x:c>
      <x:c r="C4428" s="16" t="n">
        <x:v>421.7293912131</x:v>
      </x:c>
      <x:c r="D4428" s="13" t="str">
        <x:v>Income Properties</x:v>
      </x:c>
      <x:c r="E4428" s="13" t="str">
        <x:v>Real Estate</x:v>
      </x:c>
      <x:c r="F4428" s="13" t="str">
        <x:v>Early Cyclicals</x:v>
      </x:c>
      <x:c r="G4428" s="13" t="str">
        <x:v>grid_asitui1y.xlsx</x:v>
      </x:c>
    </x:row>
    <x:row r="4429">
      <x:c r="A4429" s="15" t="n">
        <x:v>42309</x:v>
      </x:c>
      <x:c r="B4429" s="13" t="str">
        <x:v>MULTIPLAN EMPREENDIMENTOS</x:v>
      </x:c>
      <x:c r="C4429" s="16" t="n">
        <x:v>386.5273224044</x:v>
      </x:c>
      <x:c r="D4429" s="13" t="str">
        <x:v>Income Properties</x:v>
      </x:c>
      <x:c r="E4429" s="13" t="str">
        <x:v>Real Estate</x:v>
      </x:c>
      <x:c r="F4429" s="13" t="str">
        <x:v>Early Cyclicals</x:v>
      </x:c>
      <x:c r="G4429" s="13" t="str">
        <x:v>grid_asitui1y.xlsx</x:v>
      </x:c>
    </x:row>
    <x:row r="4430">
      <x:c r="A4430" s="15" t="n">
        <x:v>42309</x:v>
      </x:c>
      <x:c r="B4430" s="13" t="str">
        <x:v>SOLID ATIVOS IMOBILIARIOS SA</x:v>
      </x:c>
      <x:c r="C4430" s="16" t="n">
        <x:v>206.5614499454</x:v>
      </x:c>
      <x:c r="D4430" s="13" t="str">
        <x:v>Income Properties</x:v>
      </x:c>
      <x:c r="E4430" s="13" t="str">
        <x:v>Real Estate</x:v>
      </x:c>
      <x:c r="F4430" s="13" t="str">
        <x:v>Early Cyclicals</x:v>
      </x:c>
      <x:c r="G4430" s="13" t="str">
        <x:v>grid_asitui1y.xlsx</x:v>
      </x:c>
    </x:row>
    <x:row r="4431">
      <x:c r="A4431" s="15" t="n">
        <x:v>42309</x:v>
      </x:c>
      <x:c r="B4431" s="13" t="str">
        <x:v>BRADESPAR SA -PREF</x:v>
      </x:c>
      <x:c r="C4431" s="16" t="n">
        <x:v>-498.849029071</x:v>
      </x:c>
      <x:c r="D4431" s="13" t="str">
        <x:v>Metals &amp; Mining</x:v>
      </x:c>
      <x:c r="E4431" s="13" t="str">
        <x:v>Metals &amp; Mining</x:v>
      </x:c>
      <x:c r="F4431" s="13" t="str">
        <x:v>Deep Cyclicals</x:v>
      </x:c>
      <x:c r="G4431" s="13" t="str">
        <x:v>grid_asitui1y.xlsx</x:v>
      </x:c>
    </x:row>
    <x:row r="4432">
      <x:c r="A4432" s="15" t="n">
        <x:v>42309</x:v>
      </x:c>
      <x:c r="B4432" s="13" t="str">
        <x:v>CIA SIDERURGICA NACIONAL SA</x:v>
      </x:c>
      <x:c r="C4432" s="16" t="n">
        <x:v>-740.5620605902</x:v>
      </x:c>
      <x:c r="D4432" s="13" t="str">
        <x:v>Metals &amp; Mining</x:v>
      </x:c>
      <x:c r="E4432" s="13" t="str">
        <x:v>Metals &amp; Mining</x:v>
      </x:c>
      <x:c r="F4432" s="13" t="str">
        <x:v>Deep Cyclicals</x:v>
      </x:c>
      <x:c r="G4432" s="13" t="str">
        <x:v>grid_asitui1y.xlsx</x:v>
      </x:c>
    </x:row>
    <x:row r="4433">
      <x:c r="A4433" s="15" t="n">
        <x:v>42309</x:v>
      </x:c>
      <x:c r="B4433" s="13" t="str">
        <x:v>GERDAU SA-PREF</x:v>
      </x:c>
      <x:c r="C4433" s="16" t="n">
        <x:v>729.6037787978</x:v>
      </x:c>
      <x:c r="D4433" s="13" t="str">
        <x:v>Metals &amp; Mining</x:v>
      </x:c>
      <x:c r="E4433" s="13" t="str">
        <x:v>Metals &amp; Mining</x:v>
      </x:c>
      <x:c r="F4433" s="13" t="str">
        <x:v>Deep Cyclicals</x:v>
      </x:c>
      <x:c r="G4433" s="13" t="str">
        <x:v>grid_asitui1y.xlsx</x:v>
      </x:c>
    </x:row>
    <x:row r="4434">
      <x:c r="A4434" s="15" t="n">
        <x:v>42309</x:v>
      </x:c>
      <x:c r="B4434" s="13" t="str">
        <x:v>METALURGICA GERDAU SA-PREF</x:v>
      </x:c>
      <x:c r="C4434" s="16" t="n">
        <x:v>-251.2581967213</x:v>
      </x:c>
      <x:c r="D4434" s="13" t="str">
        <x:v>Metals &amp; Mining</x:v>
      </x:c>
      <x:c r="E4434" s="13" t="str">
        <x:v>Metals &amp; Mining</x:v>
      </x:c>
      <x:c r="F4434" s="13" t="str">
        <x:v>Deep Cyclicals</x:v>
      </x:c>
      <x:c r="G4434" s="13" t="str">
        <x:v>grid_asitui1y.xlsx</x:v>
      </x:c>
    </x:row>
    <x:row r="4435">
      <x:c r="A4435" s="15" t="n">
        <x:v>42309</x:v>
      </x:c>
      <x:c r="B4435" s="13" t="str">
        <x:v>USINAS SIDER MINAS GER-PF A</x:v>
      </x:c>
      <x:c r="C4435" s="16" t="n">
        <x:v>-705.9675642404</x:v>
      </x:c>
      <x:c r="D4435" s="13" t="str">
        <x:v>Metals &amp; Mining</x:v>
      </x:c>
      <x:c r="E4435" s="13" t="str">
        <x:v>Metals &amp; Mining</x:v>
      </x:c>
      <x:c r="F4435" s="13" t="str">
        <x:v>Deep Cyclicals</x:v>
      </x:c>
      <x:c r="G4435" s="13" t="str">
        <x:v>grid_asitui1y.xlsx</x:v>
      </x:c>
    </x:row>
    <x:row r="4436">
      <x:c r="A4436" s="15" t="n">
        <x:v>42309</x:v>
      </x:c>
      <x:c r="B4436" s="13" t="str">
        <x:v>VALE SA</x:v>
      </x:c>
      <x:c r="C4436" s="16" t="n">
        <x:v>3124.3814784699</x:v>
      </x:c>
      <x:c r="D4436" s="13" t="str">
        <x:v>Metals &amp; Mining</x:v>
      </x:c>
      <x:c r="E4436" s="13" t="str">
        <x:v>Metals &amp; Mining</x:v>
      </x:c>
      <x:c r="F4436" s="13" t="str">
        <x:v>Deep Cyclicals</x:v>
      </x:c>
      <x:c r="G4436" s="13" t="str">
        <x:v>grid_asitui1y.xlsx</x:v>
      </x:c>
    </x:row>
    <x:row r="4437">
      <x:c r="A4437" s="15" t="n">
        <x:v>42309</x:v>
      </x:c>
      <x:c r="B4437" s="13" t="str">
        <x:v>BRASKEM SA-PREF A</x:v>
      </x:c>
      <x:c r="C4437" s="16" t="n">
        <x:v>3268.8939603934</x:v>
      </x:c>
      <x:c r="D4437" s="13" t="str">
        <x:v>Oil, Gas &amp; Petrochemicals</x:v>
      </x:c>
      <x:c r="E4437" s="13" t="str">
        <x:v>Oil, Gas &amp; Petrochemicals</x:v>
      </x:c>
      <x:c r="F4437" s="13" t="str">
        <x:v>Deep Cyclicals</x:v>
      </x:c>
      <x:c r="G4437" s="13" t="str">
        <x:v>grid_asitui1y.xlsx</x:v>
      </x:c>
    </x:row>
    <x:row r="4438">
      <x:c r="A4438" s="15" t="n">
        <x:v>42309</x:v>
      </x:c>
      <x:c r="B4438" s="13" t="str">
        <x:v>COSAN SA</x:v>
      </x:c>
      <x:c r="C4438" s="16" t="n">
        <x:v>739.876576612</x:v>
      </x:c>
      <x:c r="D4438" s="13" t="str">
        <x:v>Oil, Gas &amp; Petrochemicals</x:v>
      </x:c>
      <x:c r="E4438" s="13" t="str">
        <x:v>Oil, Gas &amp; Petrochemicals</x:v>
      </x:c>
      <x:c r="F4438" s="13" t="str">
        <x:v>Deep Cyclicals</x:v>
      </x:c>
      <x:c r="G4438" s="13" t="str">
        <x:v>grid_asitui1y.xlsx</x:v>
      </x:c>
    </x:row>
    <x:row r="4439">
      <x:c r="A4439" s="15" t="n">
        <x:v>42309</x:v>
      </x:c>
      <x:c r="B4439" s="13" t="str">
        <x:v>PETROBRAS - PETROLEO BRAS</x:v>
      </x:c>
      <x:c r="C4439" s="16" t="n">
        <x:v>14499.3757446995</x:v>
      </x:c>
      <x:c r="D4439" s="13" t="str">
        <x:v>Oil, Gas &amp; Petrochemicals</x:v>
      </x:c>
      <x:c r="E4439" s="13" t="str">
        <x:v>Oil, Gas &amp; Petrochemicals</x:v>
      </x:c>
      <x:c r="F4439" s="13" t="str">
        <x:v>Deep Cyclicals</x:v>
      </x:c>
      <x:c r="G4439" s="13" t="str">
        <x:v>grid_asitui1y.xlsx</x:v>
      </x:c>
    </x:row>
    <x:row r="4440">
      <x:c r="A4440" s="15" t="n">
        <x:v>42309</x:v>
      </x:c>
      <x:c r="B4440" s="13" t="str">
        <x:v>ULTRAPAR PARTICIPACOES SA</x:v>
      </x:c>
      <x:c r="C4440" s="16" t="n">
        <x:v>1735.651034929</x:v>
      </x:c>
      <x:c r="D4440" s="13" t="str">
        <x:v>Oil, Gas &amp; Petrochemicals</x:v>
      </x:c>
      <x:c r="E4440" s="13" t="str">
        <x:v>Oil, Gas &amp; Petrochemicals</x:v>
      </x:c>
      <x:c r="F4440" s="13" t="str">
        <x:v>Deep Cyclicals</x:v>
      </x:c>
      <x:c r="G4440" s="13" t="str">
        <x:v>grid_asitui1y.xlsx</x:v>
      </x:c>
    </x:row>
    <x:row r="4441">
      <x:c r="A4441" s="15" t="n">
        <x:v>42309</x:v>
      </x:c>
      <x:c r="B4441" s="13" t="str">
        <x:v>FIBRIA CELULOSE S/A</x:v>
      </x:c>
      <x:c r="C4441" s="16" t="n">
        <x:v>2707.4672131147</x:v>
      </x:c>
      <x:c r="D4441" s="13" t="str">
        <x:v>Pulp &amp; Paper</x:v>
      </x:c>
      <x:c r="E4441" s="13" t="str">
        <x:v>Pulp &amp; Paper</x:v>
      </x:c>
      <x:c r="F4441" s="13" t="str">
        <x:v>Deep Cyclicals</x:v>
      </x:c>
      <x:c r="G4441" s="13" t="str">
        <x:v>grid_asitui1y.xlsx</x:v>
      </x:c>
    </x:row>
    <x:row r="4442">
      <x:c r="A4442" s="15" t="n">
        <x:v>42309</x:v>
      </x:c>
      <x:c r="B4442" s="13" t="str">
        <x:v>KLABIN SA - UNIT</x:v>
      </x:c>
      <x:c r="C4442" s="16" t="n">
        <x:v>790.1412000874</x:v>
      </x:c>
      <x:c r="D4442" s="13" t="str">
        <x:v>Pulp &amp; Paper</x:v>
      </x:c>
      <x:c r="E4442" s="13" t="str">
        <x:v>Pulp &amp; Paper</x:v>
      </x:c>
      <x:c r="F4442" s="13" t="str">
        <x:v>Deep Cyclicals</x:v>
      </x:c>
      <x:c r="G4442" s="13" t="str">
        <x:v>grid_asitui1y.xlsx</x:v>
      </x:c>
    </x:row>
    <x:row r="4443">
      <x:c r="A4443" s="15" t="n">
        <x:v>42309</x:v>
      </x:c>
      <x:c r="B4443" s="13" t="str">
        <x:v>SUZANO PAPEL E CELULO-PREF A</x:v>
      </x:c>
      <x:c r="C4443" s="16" t="n">
        <x:v>2241.8312194098</x:v>
      </x:c>
      <x:c r="D4443" s="13" t="str">
        <x:v>Pulp &amp; Paper</x:v>
      </x:c>
      <x:c r="E4443" s="13" t="str">
        <x:v>Pulp &amp; Paper</x:v>
      </x:c>
      <x:c r="F4443" s="13" t="str">
        <x:v>Deep Cyclicals</x:v>
      </x:c>
      <x:c r="G4443" s="13" t="str">
        <x:v>grid_asitui1y.xlsx</x:v>
      </x:c>
    </x:row>
    <x:row r="4444">
      <x:c r="A4444" s="15" t="n">
        <x:v>42309</x:v>
      </x:c>
      <x:c r="B4444" s="13" t="str">
        <x:v>CIA BRASILEIRA DE DIS-PREF</x:v>
      </x:c>
      <x:c r="C4444" s="16" t="n">
        <x:v>888.8658643934</x:v>
      </x:c>
      <x:c r="D4444" s="13" t="str">
        <x:v>Retail</x:v>
      </x:c>
      <x:c r="E4444" s="13" t="str">
        <x:v>Retail</x:v>
      </x:c>
      <x:c r="F4444" s="13" t="str">
        <x:v>Early Cyclicals</x:v>
      </x:c>
      <x:c r="G4444" s="13" t="str">
        <x:v>grid_asitui1y.xlsx</x:v>
      </x:c>
    </x:row>
    <x:row r="4445">
      <x:c r="A4445" s="15" t="n">
        <x:v>42309</x:v>
      </x:c>
      <x:c r="B4445" s="13" t="str">
        <x:v>CIA HERING</x:v>
      </x:c>
      <x:c r="C4445" s="16" t="n">
        <x:v>252.3970218579</x:v>
      </x:c>
      <x:c r="D4445" s="13" t="str">
        <x:v>Retail</x:v>
      </x:c>
      <x:c r="E4445" s="13" t="str">
        <x:v>Retail</x:v>
      </x:c>
      <x:c r="F4445" s="13" t="str">
        <x:v>Early Cyclicals</x:v>
      </x:c>
      <x:c r="G4445" s="13" t="str">
        <x:v>grid_asitui1y.xlsx</x:v>
      </x:c>
    </x:row>
    <x:row r="4446">
      <x:c r="A4446" s="15" t="n">
        <x:v>42309</x:v>
      </x:c>
      <x:c r="B4446" s="13" t="str">
        <x:v>LOJAS AMERICANAS SA-PREF</x:v>
      </x:c>
      <x:c r="C4446" s="16" t="n">
        <x:v>606.7589642842</x:v>
      </x:c>
      <x:c r="D4446" s="13" t="str">
        <x:v>Retail</x:v>
      </x:c>
      <x:c r="E4446" s="13" t="str">
        <x:v>Retail</x:v>
      </x:c>
      <x:c r="F4446" s="13" t="str">
        <x:v>Early Cyclicals</x:v>
      </x:c>
      <x:c r="G4446" s="13" t="str">
        <x:v>grid_asitui1y.xlsx</x:v>
      </x:c>
    </x:row>
    <x:row r="4447">
      <x:c r="A4447" s="15" t="n">
        <x:v>42309</x:v>
      </x:c>
      <x:c r="B4447" s="13" t="str">
        <x:v>LOJAS RENNER S.A.</x:v>
      </x:c>
      <x:c r="C4447" s="16" t="n">
        <x:v>676.9338883497</x:v>
      </x:c>
      <x:c r="D4447" s="13" t="str">
        <x:v>Retail</x:v>
      </x:c>
      <x:c r="E4447" s="13" t="str">
        <x:v>Retail</x:v>
      </x:c>
      <x:c r="F4447" s="13" t="str">
        <x:v>Early Cyclicals</x:v>
      </x:c>
      <x:c r="G4447" s="13" t="str">
        <x:v>grid_asitui1y.xlsx</x:v>
      </x:c>
    </x:row>
    <x:row r="4448">
      <x:c r="A4448" s="15" t="n">
        <x:v>42309</x:v>
      </x:c>
      <x:c r="B4448" s="13" t="str">
        <x:v>NATURA COSMETICOS SA</x:v>
      </x:c>
      <x:c r="C4448" s="16" t="n">
        <x:v>675.3385077158</x:v>
      </x:c>
      <x:c r="D4448" s="13" t="str">
        <x:v>Retail</x:v>
      </x:c>
      <x:c r="E4448" s="13" t="str">
        <x:v>Retail</x:v>
      </x:c>
      <x:c r="F4448" s="13" t="str">
        <x:v>Early Cyclicals</x:v>
      </x:c>
      <x:c r="G4448" s="13" t="str">
        <x:v>grid_asitui1y.xlsx</x:v>
      </x:c>
    </x:row>
    <x:row r="4449">
      <x:c r="A4449" s="15" t="n">
        <x:v>42309</x:v>
      </x:c>
      <x:c r="B4449" s="13" t="str">
        <x:v>RAIA DROGASIL SA</x:v>
      </x:c>
      <x:c r="C4449" s="16" t="n">
        <x:v>466.3549801967</x:v>
      </x:c>
      <x:c r="D4449" s="13" t="str">
        <x:v>Retail</x:v>
      </x:c>
      <x:c r="E4449" s="13" t="str">
        <x:v>Retail</x:v>
      </x:c>
      <x:c r="F4449" s="13" t="str">
        <x:v>Early Cyclicals</x:v>
      </x:c>
      <x:c r="G4449" s="13" t="str">
        <x:v>grid_asitui1y.xlsx</x:v>
      </x:c>
    </x:row>
    <x:row r="4450">
      <x:c r="A4450" s="15" t="n">
        <x:v>42309</x:v>
      </x:c>
      <x:c r="B4450" s="13" t="str">
        <x:v>CIA SANEAMENTO BASICO DE SP</x:v>
      </x:c>
      <x:c r="C4450" s="16" t="n">
        <x:v>958.2743773552</x:v>
      </x:c>
      <x:c r="D4450" s="13" t="str">
        <x:v>Sanitation</x:v>
      </x:c>
      <x:c r="E4450" s="13" t="str">
        <x:v>Utilities</x:v>
      </x:c>
      <x:c r="F4450" s="13" t="str">
        <x:v>Defensives</x:v>
      </x:c>
      <x:c r="G4450" s="13" t="str">
        <x:v>grid_asitui1y.xlsx</x:v>
      </x:c>
    </x:row>
    <x:row r="4451">
      <x:c r="A4451" s="15" t="n">
        <x:v>42309</x:v>
      </x:c>
      <x:c r="B4451" s="13" t="str">
        <x:v>OI S.A.</x:v>
      </x:c>
      <x:c r="C4451" s="16" t="n">
        <x:v>-1095.0255031257</x:v>
      </x:c>
      <x:c r="D4451" s="13" t="str">
        <x:v>TMT</x:v>
      </x:c>
      <x:c r="E4451" s="13" t="str">
        <x:v>TMT</x:v>
      </x:c>
      <x:c r="F4451" s="13" t="str">
        <x:v>Early Cyclicals</x:v>
      </x:c>
      <x:c r="G4451" s="13" t="str">
        <x:v>grid_asitui1y.xlsx</x:v>
      </x:c>
    </x:row>
    <x:row r="4452">
      <x:c r="A4452" s="15" t="n">
        <x:v>42309</x:v>
      </x:c>
      <x:c r="B4452" s="13" t="str">
        <x:v>TELEFONICA BRASIL S.A.-PREF</x:v>
      </x:c>
      <x:c r="C4452" s="16" t="n">
        <x:v>4889.7753334208</x:v>
      </x:c>
      <x:c r="D4452" s="13" t="str">
        <x:v>TMT</x:v>
      </x:c>
      <x:c r="E4452" s="13" t="str">
        <x:v>TMT</x:v>
      </x:c>
      <x:c r="F4452" s="13" t="str">
        <x:v>Early Cyclicals</x:v>
      </x:c>
      <x:c r="G4452" s="13" t="str">
        <x:v>grid_asitui1y.xlsx</x:v>
      </x:c>
    </x:row>
    <x:row r="4453">
      <x:c r="A4453" s="15" t="n">
        <x:v>42309</x:v>
      </x:c>
      <x:c r="B4453" s="13" t="str">
        <x:v>TIM SA</x:v>
      </x:c>
      <x:c r="C4453" s="16" t="n">
        <x:v>1207.8178948197</x:v>
      </x:c>
      <x:c r="D4453" s="13" t="str">
        <x:v>TMT</x:v>
      </x:c>
      <x:c r="E4453" s="13" t="str">
        <x:v>TMT</x:v>
      </x:c>
      <x:c r="F4453" s="13" t="str">
        <x:v>Early Cyclicals</x:v>
      </x:c>
      <x:c r="G4453" s="13" t="str">
        <x:v>grid_asitui1y.xlsx</x:v>
      </x:c>
    </x:row>
    <x:row r="4454">
      <x:c r="A4454" s="15" t="n">
        <x:v>42309</x:v>
      </x:c>
      <x:c r="B4454" s="13" t="str">
        <x:v>ECORODOVIAS INFRA E LOG SA</x:v>
      </x:c>
      <x:c r="C4454" s="16" t="n">
        <x:v>226.5062404372</x:v>
      </x:c>
      <x:c r="D4454" s="13" t="str">
        <x:v>Transportation</x:v>
      </x:c>
      <x:c r="E4454" s="13" t="str">
        <x:v>Transportation</x:v>
      </x:c>
      <x:c r="F4454" s="13" t="str">
        <x:v>Deep Cyclicals</x:v>
      </x:c>
      <x:c r="G4454" s="13" t="str">
        <x:v>grid_asitui1y.xlsx</x:v>
      </x:c>
    </x:row>
    <x:row r="4455">
      <x:c r="A4455" s="15" t="n">
        <x:v>42309</x:v>
      </x:c>
      <x:c r="B4455" s="13" t="str">
        <x:v>GOL LINHAS AEREAS INT SA-PRE</x:v>
      </x:c>
      <x:c r="C4455" s="16" t="n">
        <x:v>-975.4772733552</x:v>
      </x:c>
      <x:c r="D4455" s="13" t="str">
        <x:v>Transportation</x:v>
      </x:c>
      <x:c r="E4455" s="13" t="str">
        <x:v>Transportation</x:v>
      </x:c>
      <x:c r="F4455" s="13" t="str">
        <x:v>Deep Cyclicals</x:v>
      </x:c>
      <x:c r="G4455" s="13" t="str">
        <x:v>grid_asitui1y.xlsx</x:v>
      </x:c>
    </x:row>
    <x:row r="4456">
      <x:c r="A4456" s="15" t="n">
        <x:v>42309</x:v>
      </x:c>
      <x:c r="B4456" s="13" t="str">
        <x:v>LOCALIZA RENT A CAR</x:v>
      </x:c>
      <x:c r="C4456" s="16" t="n">
        <x:v>363.8022689399</x:v>
      </x:c>
      <x:c r="D4456" s="13" t="str">
        <x:v>Transportation</x:v>
      </x:c>
      <x:c r="E4456" s="13" t="str">
        <x:v>Transportation</x:v>
      </x:c>
      <x:c r="F4456" s="13" t="str">
        <x:v>Deep Cyclicals</x:v>
      </x:c>
      <x:c r="G4456" s="13" t="str">
        <x:v>grid_asitui1y.xlsx</x:v>
      </x:c>
    </x:row>
    <x:row r="4457">
      <x:c r="A4457" s="15" t="n">
        <x:v>42309</x:v>
      </x:c>
      <x:c r="B4457" s="13" t="str">
        <x:v>MOTIVA INFRAESTRUTURA DE MOB</x:v>
      </x:c>
      <x:c r="C4457" s="16" t="n">
        <x:v>1326.6589842186</x:v>
      </x:c>
      <x:c r="D4457" s="13" t="str">
        <x:v>Transportation</x:v>
      </x:c>
      <x:c r="E4457" s="13" t="str">
        <x:v>Transportation</x:v>
      </x:c>
      <x:c r="F4457" s="13" t="str">
        <x:v>Deep Cyclicals</x:v>
      </x:c>
      <x:c r="G4457" s="13" t="str">
        <x:v>grid_asitui1y.xlsx</x:v>
      </x:c>
    </x:row>
    <x:row r="4458">
      <x:c r="A4458" s="15" t="n">
        <x:v>42309</x:v>
      </x:c>
      <x:c r="B4458" s="13" t="str">
        <x:v>AXIA ENERGIA SA</x:v>
      </x:c>
      <x:c r="C4458" s="16" t="n">
        <x:v>975.4740437158</x:v>
      </x:c>
      <x:c r="D4458" s="13" t="str">
        <x:v>Utilities &amp; Energy</x:v>
      </x:c>
      <x:c r="E4458" s="13" t="str">
        <x:v>Utilities</x:v>
      </x:c>
      <x:c r="F4458" s="13" t="str">
        <x:v>Defensives</x:v>
      </x:c>
      <x:c r="G4458" s="13" t="str">
        <x:v>grid_asitui1y.xlsx</x:v>
      </x:c>
    </x:row>
    <x:row r="4459">
      <x:c r="A4459" s="15" t="n">
        <x:v>42309</x:v>
      </x:c>
      <x:c r="B4459" s="13" t="str">
        <x:v>CESP - CIA ENERGETICA DE SAO</x:v>
      </x:c>
      <x:c r="C4459" s="16" t="n">
        <x:v>356.6595628415</x:v>
      </x:c>
      <x:c r="D4459" s="13" t="str">
        <x:v>Utilities &amp; Energy</x:v>
      </x:c>
      <x:c r="E4459" s="13" t="str">
        <x:v>Utilities</x:v>
      </x:c>
      <x:c r="F4459" s="13" t="str">
        <x:v>Defensives</x:v>
      </x:c>
      <x:c r="G4459" s="13" t="str">
        <x:v>grid_asitui1y.xlsx</x:v>
      </x:c>
    </x:row>
    <x:row r="4460">
      <x:c r="A4460" s="15" t="n">
        <x:v>42309</x:v>
      </x:c>
      <x:c r="B4460" s="13" t="str">
        <x:v>CIA ENERGETICA MINAS GER-PRF</x:v>
      </x:c>
      <x:c r="C4460" s="16" t="n">
        <x:v>1337.7693569399</x:v>
      </x:c>
      <x:c r="D4460" s="13" t="str">
        <x:v>Utilities &amp; Energy</x:v>
      </x:c>
      <x:c r="E4460" s="13" t="str">
        <x:v>Utilities</x:v>
      </x:c>
      <x:c r="F4460" s="13" t="str">
        <x:v>Defensives</x:v>
      </x:c>
      <x:c r="G4460" s="13" t="str">
        <x:v>grid_asitui1y.xlsx</x:v>
      </x:c>
    </x:row>
    <x:row r="4461">
      <x:c r="A4461" s="15" t="n">
        <x:v>42309</x:v>
      </x:c>
      <x:c r="B4461" s="13" t="str">
        <x:v>COMPANHIA PARANAENSE -PREF B</x:v>
      </x:c>
      <x:c r="C4461" s="16" t="n">
        <x:v>1295.8712223825</x:v>
      </x:c>
      <x:c r="D4461" s="13" t="str">
        <x:v>Utilities &amp; Energy</x:v>
      </x:c>
      <x:c r="E4461" s="13" t="str">
        <x:v>Utilities</x:v>
      </x:c>
      <x:c r="F4461" s="13" t="str">
        <x:v>Defensives</x:v>
      </x:c>
      <x:c r="G4461" s="13" t="str">
        <x:v>grid_asitui1y.xlsx</x:v>
      </x:c>
    </x:row>
    <x:row r="4462">
      <x:c r="A4462" s="15" t="n">
        <x:v>42309</x:v>
      </x:c>
      <x:c r="B4462" s="13" t="str">
        <x:v>CPFL ENERGIA SA</x:v>
      </x:c>
      <x:c r="C4462" s="16" t="n">
        <x:v>1048.951959082</x:v>
      </x:c>
      <x:c r="D4462" s="13" t="str">
        <x:v>Utilities &amp; Energy</x:v>
      </x:c>
      <x:c r="E4462" s="13" t="str">
        <x:v>Utilities</x:v>
      </x:c>
      <x:c r="F4462" s="13" t="str">
        <x:v>Defensives</x:v>
      </x:c>
      <x:c r="G4462" s="13" t="str">
        <x:v>grid_asitui1y.xlsx</x:v>
      </x:c>
    </x:row>
    <x:row r="4463">
      <x:c r="A4463" s="15" t="n">
        <x:v>42309</x:v>
      </x:c>
      <x:c r="B4463" s="13" t="str">
        <x:v>EDP - ENERGIAS DO BRASIL SA</x:v>
      </x:c>
      <x:c r="C4463" s="16" t="n">
        <x:v>558.341532765</x:v>
      </x:c>
      <x:c r="D4463" s="13" t="str">
        <x:v>Utilities &amp; Energy</x:v>
      </x:c>
      <x:c r="E4463" s="13" t="str">
        <x:v>Utilities</x:v>
      </x:c>
      <x:c r="F4463" s="13" t="str">
        <x:v>Defensives</x:v>
      </x:c>
      <x:c r="G4463" s="13" t="str">
        <x:v>grid_asitui1y.xlsx</x:v>
      </x:c>
    </x:row>
    <x:row r="4464">
      <x:c r="A4464" s="15" t="n">
        <x:v>42309</x:v>
      </x:c>
      <x:c r="B4464" s="13" t="str">
        <x:v>ENGIE BRASIL ENERGIA SA</x:v>
      </x:c>
      <x:c r="C4464" s="16" t="n">
        <x:v>1772.0636464262</x:v>
      </x:c>
      <x:c r="D4464" s="13" t="str">
        <x:v>Utilities &amp; Energy</x:v>
      </x:c>
      <x:c r="E4464" s="13" t="str">
        <x:v>Utilities</x:v>
      </x:c>
      <x:c r="F4464" s="13" t="str">
        <x:v>Defensives</x:v>
      </x:c>
      <x:c r="G4464" s="13" t="str">
        <x:v>grid_asitui1y.xlsx</x:v>
      </x:c>
    </x:row>
    <x:row r="4465">
      <x:c r="A4465" s="15" t="n">
        <x:v>42309</x:v>
      </x:c>
      <x:c r="B4465" s="13" t="str">
        <x:v>EQUATORIAL SA - ORD</x:v>
      </x:c>
      <x:c r="C4465" s="16" t="n">
        <x:v>673.9540069071</x:v>
      </x:c>
      <x:c r="D4465" s="13" t="str">
        <x:v>Utilities &amp; Energy</x:v>
      </x:c>
      <x:c r="E4465" s="13" t="str">
        <x:v>Utilities</x:v>
      </x:c>
      <x:c r="F4465" s="13" t="str">
        <x:v>Defensives</x:v>
      </x:c>
      <x:c r="G4465" s="13" t="str">
        <x:v>grid_asitui1y.xlsx</x:v>
      </x:c>
    </x:row>
    <x:row r="4466">
      <x:c r="A4466" s="15" t="n">
        <x:v>42339</x:v>
      </x:c>
      <x:c r="B4466" s="13" t="str">
        <x:v>BANCO BRADESCO S.A.</x:v>
      </x:c>
      <x:c r="C4466" s="16" t="n">
        <x:v>16649.100288</x:v>
      </x:c>
      <x:c r="D4466" s="13" t="str">
        <x:v>Banks</x:v>
      </x:c>
      <x:c r="E4466" s="13" t="str">
        <x:v>Banks</x:v>
      </x:c>
      <x:c r="F4466" s="13" t="str">
        <x:v>Financials</x:v>
      </x:c>
      <x:c r="G4466" s="13" t="str">
        <x:v>grid_asitui1y.xlsx</x:v>
      </x:c>
    </x:row>
    <x:row r="4467">
      <x:c r="A4467" s="15" t="n">
        <x:v>42339</x:v>
      </x:c>
      <x:c r="B4467" s="13" t="str">
        <x:v>BANCO BRADESCO SA-PREF</x:v>
      </x:c>
      <x:c r="C4467" s="16" t="n">
        <x:v>16649.100288</x:v>
      </x:c>
      <x:c r="D4467" s="13" t="str">
        <x:v>Banks</x:v>
      </x:c>
      <x:c r="E4467" s="13" t="str">
        <x:v>Banks</x:v>
      </x:c>
      <x:c r="F4467" s="13" t="str">
        <x:v>Financials</x:v>
      </x:c>
      <x:c r="G4467" s="13" t="str">
        <x:v>grid_asitui1y.xlsx</x:v>
      </x:c>
    </x:row>
    <x:row r="4468">
      <x:c r="A4468" s="15" t="n">
        <x:v>42339</x:v>
      </x:c>
      <x:c r="B4468" s="13" t="str">
        <x:v>BANCO DO BRASIL S.A.</x:v>
      </x:c>
      <x:c r="C4468" s="16" t="n">
        <x:v>11444.400128</x:v>
      </x:c>
      <x:c r="D4468" s="13" t="str">
        <x:v>Banks</x:v>
      </x:c>
      <x:c r="E4468" s="13" t="str">
        <x:v>Banks</x:v>
      </x:c>
      <x:c r="F4468" s="13" t="str">
        <x:v>Financials</x:v>
      </x:c>
      <x:c r="G4468" s="13" t="str">
        <x:v>grid_asitui1y.xlsx</x:v>
      </x:c>
    </x:row>
    <x:row r="4469">
      <x:c r="A4469" s="15" t="n">
        <x:v>42339</x:v>
      </x:c>
      <x:c r="B4469" s="13" t="str">
        <x:v>BANCO SANTANDER  BRASIL-UNIT</x:v>
      </x:c>
      <x:c r="C4469" s="16" t="n">
        <x:v>5515.559936</x:v>
      </x:c>
      <x:c r="D4469" s="13" t="str">
        <x:v>Banks</x:v>
      </x:c>
      <x:c r="E4469" s="13" t="str">
        <x:v>Banks</x:v>
      </x:c>
      <x:c r="F4469" s="13" t="str">
        <x:v>Financials</x:v>
      </x:c>
      <x:c r="G4469" s="13" t="str">
        <x:v>grid_asitui1y.xlsx</x:v>
      </x:c>
    </x:row>
    <x:row r="4470">
      <x:c r="A4470" s="15" t="n">
        <x:v>42339</x:v>
      </x:c>
      <x:c r="B4470" s="13" t="str">
        <x:v>ITAU UNIBANCO HOLDING S-PREF</x:v>
      </x:c>
      <x:c r="C4470" s="16" t="n">
        <x:v>22486.99904</x:v>
      </x:c>
      <x:c r="D4470" s="13" t="str">
        <x:v>Banks</x:v>
      </x:c>
      <x:c r="E4470" s="13" t="str">
        <x:v>Banks</x:v>
      </x:c>
      <x:c r="F4470" s="13" t="str">
        <x:v>Financials</x:v>
      </x:c>
      <x:c r="G4470" s="13" t="str">
        <x:v>grid_asitui1y.xlsx</x:v>
      </x:c>
    </x:row>
    <x:row r="4471">
      <x:c r="A4471" s="15" t="n">
        <x:v>42339</x:v>
      </x:c>
      <x:c r="B4471" s="13" t="str">
        <x:v>EMBRAER SA</x:v>
      </x:c>
      <x:c r="C4471" s="16" t="n">
        <x:v>1585.500032</x:v>
      </x:c>
      <x:c r="D4471" s="13" t="str">
        <x:v>Capital Goods</x:v>
      </x:c>
      <x:c r="E4471" s="13" t="str">
        <x:v>Capital Goods</x:v>
      </x:c>
      <x:c r="F4471" s="13" t="str">
        <x:v>Deep Cyclicals</x:v>
      </x:c>
      <x:c r="G4471" s="13" t="str">
        <x:v>grid_asitui1y.xlsx</x:v>
      </x:c>
    </x:row>
    <x:row r="4472">
      <x:c r="A4472" s="15" t="n">
        <x:v>42339</x:v>
      </x:c>
      <x:c r="B4472" s="13" t="str">
        <x:v>WEG SA</x:v>
      </x:c>
      <x:c r="C4472" s="16" t="n">
        <x:v>1302.780032</x:v>
      </x:c>
      <x:c r="D4472" s="13" t="str">
        <x:v>Capital Goods</x:v>
      </x:c>
      <x:c r="E4472" s="13" t="str">
        <x:v>Capital Goods</x:v>
      </x:c>
      <x:c r="F4472" s="13" t="str">
        <x:v>Deep Cyclicals</x:v>
      </x:c>
      <x:c r="G4472" s="13" t="str">
        <x:v>grid_asitui1y.xlsx</x:v>
      </x:c>
    </x:row>
    <x:row r="4473">
      <x:c r="A4473" s="15" t="n">
        <x:v>42339</x:v>
      </x:c>
      <x:c r="B4473" s="13" t="str">
        <x:v>COGNA EDUCACAO</x:v>
      </x:c>
      <x:c r="C4473" s="16" t="n">
        <x:v>1724.999936</x:v>
      </x:c>
      <x:c r="D4473" s="13" t="str">
        <x:v>Education</x:v>
      </x:c>
      <x:c r="E4473" s="13" t="str">
        <x:v>Education</x:v>
      </x:c>
      <x:c r="F4473" s="13" t="str">
        <x:v>Early Cyclicals</x:v>
      </x:c>
      <x:c r="G4473" s="13" t="str">
        <x:v>grid_asitui1y.xlsx</x:v>
      </x:c>
    </x:row>
    <x:row r="4474">
      <x:c r="A4474" s="15" t="n">
        <x:v>42339</x:v>
      </x:c>
      <x:c r="B4474" s="13" t="str">
        <x:v>YDUQS PARTICIPACOES SA</x:v>
      </x:c>
      <x:c r="C4474" s="16" t="n">
        <x:v>567.2</x:v>
      </x:c>
      <x:c r="D4474" s="13" t="str">
        <x:v>Education</x:v>
      </x:c>
      <x:c r="E4474" s="13" t="str">
        <x:v>Education</x:v>
      </x:c>
      <x:c r="F4474" s="13" t="str">
        <x:v>Early Cyclicals</x:v>
      </x:c>
      <x:c r="G4474" s="13" t="str">
        <x:v>grid_asitui1y.xlsx</x:v>
      </x:c>
    </x:row>
    <x:row r="4475">
      <x:c r="A4475" s="15" t="n">
        <x:v>42339</x:v>
      </x:c>
      <x:c r="B4475" s="13" t="str">
        <x:v>B3 SA-BRASIL BOLSA BALCAO</x:v>
      </x:c>
      <x:c r="C4475" s="16" t="n">
        <x:v>1866.200064</x:v>
      </x:c>
      <x:c r="D4475" s="13" t="str">
        <x:v>Financials Non-Banks</x:v>
      </x:c>
      <x:c r="E4475" s="13" t="str">
        <x:v>Financials Non-Banks</x:v>
      </x:c>
      <x:c r="F4475" s="13" t="str">
        <x:v>Financials</x:v>
      </x:c>
      <x:c r="G4475" s="13" t="str">
        <x:v>grid_asitui1y.xlsx</x:v>
      </x:c>
    </x:row>
    <x:row r="4476">
      <x:c r="A4476" s="15" t="n">
        <x:v>42339</x:v>
      </x:c>
      <x:c r="B4476" s="13" t="str">
        <x:v>BB SEGURIDADE PARTICIPACOES</x:v>
      </x:c>
      <x:c r="C4476" s="16" t="n">
        <x:v>4384.829952</x:v>
      </x:c>
      <x:c r="D4476" s="13" t="str">
        <x:v>Financials Non-Banks</x:v>
      </x:c>
      <x:c r="E4476" s="13" t="str">
        <x:v>Financials Non-Banks</x:v>
      </x:c>
      <x:c r="F4476" s="13" t="str">
        <x:v>Financials</x:v>
      </x:c>
      <x:c r="G4476" s="13" t="str">
        <x:v>grid_asitui1y.xlsx</x:v>
      </x:c>
    </x:row>
    <x:row r="4477">
      <x:c r="A4477" s="15" t="n">
        <x:v>42339</x:v>
      </x:c>
      <x:c r="B4477" s="13" t="str">
        <x:v>CETIP SA-MERCADOS ORGANIZADO</x:v>
      </x:c>
      <x:c r="C4477" s="16" t="n">
        <x:v>575.182016</x:v>
      </x:c>
      <x:c r="D4477" s="13" t="str">
        <x:v>Financials Non-Banks</x:v>
      </x:c>
      <x:c r="E4477" s="13" t="str">
        <x:v>Financials Non-Banks</x:v>
      </x:c>
      <x:c r="F4477" s="13" t="str">
        <x:v>Financials</x:v>
      </x:c>
      <x:c r="G4477" s="13" t="str">
        <x:v>grid_asitui1y.xlsx</x:v>
      </x:c>
    </x:row>
    <x:row r="4478">
      <x:c r="A4478" s="15" t="n">
        <x:v>42339</x:v>
      </x:c>
      <x:c r="B4478" s="13" t="str">
        <x:v>CIELO SA - INSTITUICAO DE PA</x:v>
      </x:c>
      <x:c r="C4478" s="16" t="n">
        <x:v>4135.000064</x:v>
      </x:c>
      <x:c r="D4478" s="13" t="str">
        <x:v>Financials Non-Banks</x:v>
      </x:c>
      <x:c r="E4478" s="13" t="str">
        <x:v>Financials Non-Banks</x:v>
      </x:c>
      <x:c r="F4478" s="13" t="str">
        <x:v>Financials</x:v>
      </x:c>
      <x:c r="G4478" s="13" t="str">
        <x:v>grid_asitui1y.xlsx</x:v>
      </x:c>
    </x:row>
    <x:row r="4479">
      <x:c r="A4479" s="15" t="n">
        <x:v>42339</x:v>
      </x:c>
      <x:c r="B4479" s="13" t="str">
        <x:v>ITAUSA SA</x:v>
      </x:c>
      <x:c r="C4479" s="16" t="n">
        <x:v>8128.999936</x:v>
      </x:c>
      <x:c r="D4479" s="13" t="str">
        <x:v>Financials Non-Banks</x:v>
      </x:c>
      <x:c r="E4479" s="13" t="str">
        <x:v>Financials Non-Banks</x:v>
      </x:c>
      <x:c r="F4479" s="13" t="str">
        <x:v>Financials</x:v>
      </x:c>
      <x:c r="G4479" s="13" t="str">
        <x:v>grid_asitui1y.xlsx</x:v>
      </x:c>
    </x:row>
    <x:row r="4480">
      <x:c r="A4480" s="15" t="n">
        <x:v>42339</x:v>
      </x:c>
      <x:c r="B4480" s="13" t="str">
        <x:v>AMBEV SA</x:v>
      </x:c>
      <x:c r="C4480" s="16" t="n">
        <x:v>15649.200128</x:v>
      </x:c>
      <x:c r="D4480" s="13" t="str">
        <x:v>Food &amp; Beverages</x:v>
      </x:c>
      <x:c r="E4480" s="13" t="str">
        <x:v>Agri, Food &amp; Beverages</x:v>
      </x:c>
      <x:c r="F4480" s="13" t="str">
        <x:v>Defensives</x:v>
      </x:c>
      <x:c r="G4480" s="13" t="str">
        <x:v>grid_asitui1y.xlsx</x:v>
      </x:c>
    </x:row>
    <x:row r="4481">
      <x:c r="A4481" s="15" t="n">
        <x:v>42339</x:v>
      </x:c>
      <x:c r="B4481" s="13" t="str">
        <x:v>BRF SA</x:v>
      </x:c>
      <x:c r="C4481" s="16" t="n">
        <x:v>3144.069888</x:v>
      </x:c>
      <x:c r="D4481" s="13" t="str">
        <x:v>Food &amp; Beverages</x:v>
      </x:c>
      <x:c r="E4481" s="13" t="str">
        <x:v>Agri, Food &amp; Beverages</x:v>
      </x:c>
      <x:c r="F4481" s="13" t="str">
        <x:v>Defensives</x:v>
      </x:c>
      <x:c r="G4481" s="13" t="str">
        <x:v>grid_asitui1y.xlsx</x:v>
      </x:c>
    </x:row>
    <x:row r="4482">
      <x:c r="A4482" s="15" t="n">
        <x:v>42339</x:v>
      </x:c>
      <x:c r="B4482" s="13" t="str">
        <x:v>JBS SA</x:v>
      </x:c>
      <x:c r="C4482" s="16" t="n">
        <x:v>4838.199808</x:v>
      </x:c>
      <x:c r="D4482" s="13" t="str">
        <x:v>Food &amp; Beverages</x:v>
      </x:c>
      <x:c r="E4482" s="13" t="str">
        <x:v>Agri, Food &amp; Beverages</x:v>
      </x:c>
      <x:c r="F4482" s="13" t="str">
        <x:v>Defensives</x:v>
      </x:c>
      <x:c r="G4482" s="13" t="str">
        <x:v>grid_asitui1y.xlsx</x:v>
      </x:c>
    </x:row>
    <x:row r="4483">
      <x:c r="A4483" s="15" t="n">
        <x:v>42339</x:v>
      </x:c>
      <x:c r="B4483" s="13" t="str">
        <x:v>MBRF GLOBAL FOODS COMPANY SA</x:v>
      </x:c>
      <x:c r="C4483" s="16" t="n">
        <x:v>206.908992</x:v>
      </x:c>
      <x:c r="D4483" s="13" t="str">
        <x:v>Food &amp; Beverages</x:v>
      </x:c>
      <x:c r="E4483" s="13" t="str">
        <x:v>Agri, Food &amp; Beverages</x:v>
      </x:c>
      <x:c r="F4483" s="13" t="str">
        <x:v>Defensives</x:v>
      </x:c>
      <x:c r="G4483" s="13" t="str">
        <x:v>grid_asitui1y.xlsx</x:v>
      </x:c>
    </x:row>
    <x:row r="4484">
      <x:c r="A4484" s="15" t="n">
        <x:v>42339</x:v>
      </x:c>
      <x:c r="B4484" s="13" t="str">
        <x:v>HYPERA SA</x:v>
      </x:c>
      <x:c r="C4484" s="16" t="n">
        <x:v>644.4</x:v>
      </x:c>
      <x:c r="D4484" s="13" t="str">
        <x:v>Health Care</x:v>
      </x:c>
      <x:c r="E4484" s="13" t="str">
        <x:v>Health Care</x:v>
      </x:c>
      <x:c r="F4484" s="13" t="str">
        <x:v>Defensives</x:v>
      </x:c>
      <x:c r="G4484" s="13" t="str">
        <x:v>grid_asitui1y.xlsx</x:v>
      </x:c>
    </x:row>
    <x:row r="4485">
      <x:c r="A4485" s="15" t="n">
        <x:v>42339</x:v>
      </x:c>
      <x:c r="B4485" s="13" t="str">
        <x:v>QUALICORP CONS E CORR SEG SA</x:v>
      </x:c>
      <x:c r="C4485" s="16" t="n">
        <x:v>371.222016</x:v>
      </x:c>
      <x:c r="D4485" s="13" t="str">
        <x:v>Health Care</x:v>
      </x:c>
      <x:c r="E4485" s="13" t="str">
        <x:v>Health Care</x:v>
      </x:c>
      <x:c r="F4485" s="13" t="str">
        <x:v>Defensives</x:v>
      </x:c>
      <x:c r="G4485" s="13" t="str">
        <x:v>grid_asitui1y.xlsx</x:v>
      </x:c>
    </x:row>
    <x:row r="4486">
      <x:c r="A4486" s="15" t="n">
        <x:v>42339</x:v>
      </x:c>
      <x:c r="B4486" s="13" t="str">
        <x:v>CYRELA BRAZIL REALTY SA EMP</x:v>
      </x:c>
      <x:c r="C4486" s="16" t="n">
        <x:v>431.750016</x:v>
      </x:c>
      <x:c r="D4486" s="13" t="str">
        <x:v>Homebuilders</x:v>
      </x:c>
      <x:c r="E4486" s="13" t="str">
        <x:v>Real Estate</x:v>
      </x:c>
      <x:c r="F4486" s="13" t="str">
        <x:v>Early Cyclicals</x:v>
      </x:c>
      <x:c r="G4486" s="13" t="str">
        <x:v>grid_asitui1y.xlsx</x:v>
      </x:c>
    </x:row>
    <x:row r="4487">
      <x:c r="A4487" s="15" t="n">
        <x:v>42339</x:v>
      </x:c>
      <x:c r="B4487" s="13" t="str">
        <x:v>MRV ENGENHARIA</x:v>
      </x:c>
      <x:c r="C4487" s="16" t="n">
        <x:v>545.692032</x:v>
      </x:c>
      <x:c r="D4487" s="13" t="str">
        <x:v>Homebuilders</x:v>
      </x:c>
      <x:c r="E4487" s="13" t="str">
        <x:v>Real Estate</x:v>
      </x:c>
      <x:c r="F4487" s="13" t="str">
        <x:v>Early Cyclicals</x:v>
      </x:c>
      <x:c r="G4487" s="13" t="str">
        <x:v>grid_asitui1y.xlsx</x:v>
      </x:c>
    </x:row>
    <x:row r="4488">
      <x:c r="A4488" s="15" t="n">
        <x:v>42339</x:v>
      </x:c>
      <x:c r="B4488" s="13" t="str">
        <x:v>BR MALLS PARTICIPACOES SA</x:v>
      </x:c>
      <x:c r="C4488" s="16" t="n">
        <x:v>408.667008</x:v>
      </x:c>
      <x:c r="D4488" s="13" t="str">
        <x:v>Income Properties</x:v>
      </x:c>
      <x:c r="E4488" s="13" t="str">
        <x:v>Real Estate</x:v>
      </x:c>
      <x:c r="F4488" s="13" t="str">
        <x:v>Early Cyclicals</x:v>
      </x:c>
      <x:c r="G4488" s="13" t="str">
        <x:v>grid_asitui1y.xlsx</x:v>
      </x:c>
    </x:row>
    <x:row r="4489">
      <x:c r="A4489" s="15" t="n">
        <x:v>42339</x:v>
      </x:c>
      <x:c r="B4489" s="13" t="str">
        <x:v>MULTIPLAN EMPREENDIMENTOS</x:v>
      </x:c>
      <x:c r="C4489" s="16" t="n">
        <x:v>375.832992</x:v>
      </x:c>
      <x:c r="D4489" s="13" t="str">
        <x:v>Income Properties</x:v>
      </x:c>
      <x:c r="E4489" s="13" t="str">
        <x:v>Real Estate</x:v>
      </x:c>
      <x:c r="F4489" s="13" t="str">
        <x:v>Early Cyclicals</x:v>
      </x:c>
      <x:c r="G4489" s="13" t="str">
        <x:v>grid_asitui1y.xlsx</x:v>
      </x:c>
    </x:row>
    <x:row r="4490">
      <x:c r="A4490" s="15" t="n">
        <x:v>42339</x:v>
      </x:c>
      <x:c r="B4490" s="13" t="str">
        <x:v>BRADESPAR SA -PREF</x:v>
      </x:c>
      <x:c r="C4490" s="16" t="n">
        <x:v>-535.849984</x:v>
      </x:c>
      <x:c r="D4490" s="13" t="str">
        <x:v>Metals &amp; Mining</x:v>
      </x:c>
      <x:c r="E4490" s="13" t="str">
        <x:v>Metals &amp; Mining</x:v>
      </x:c>
      <x:c r="F4490" s="13" t="str">
        <x:v>Deep Cyclicals</x:v>
      </x:c>
      <x:c r="G4490" s="13" t="str">
        <x:v>grid_asitui1y.xlsx</x:v>
      </x:c>
    </x:row>
    <x:row r="4491">
      <x:c r="A4491" s="15" t="n">
        <x:v>42339</x:v>
      </x:c>
      <x:c r="B4491" s="13" t="str">
        <x:v>CIA SIDERURGICA NACIONAL SA</x:v>
      </x:c>
      <x:c r="C4491" s="16" t="n">
        <x:v>-970.099968</x:v>
      </x:c>
      <x:c r="D4491" s="13" t="str">
        <x:v>Metals &amp; Mining</x:v>
      </x:c>
      <x:c r="E4491" s="13" t="str">
        <x:v>Metals &amp; Mining</x:v>
      </x:c>
      <x:c r="F4491" s="13" t="str">
        <x:v>Deep Cyclicals</x:v>
      </x:c>
      <x:c r="G4491" s="13" t="str">
        <x:v>grid_asitui1y.xlsx</x:v>
      </x:c>
    </x:row>
    <x:row r="4492">
      <x:c r="A4492" s="15" t="n">
        <x:v>42339</x:v>
      </x:c>
      <x:c r="B4492" s="13" t="str">
        <x:v>GERDAU SA-PREF</x:v>
      </x:c>
      <x:c r="C4492" s="16" t="n">
        <x:v>673.332992</x:v>
      </x:c>
      <x:c r="D4492" s="13" t="str">
        <x:v>Metals &amp; Mining</x:v>
      </x:c>
      <x:c r="E4492" s="13" t="str">
        <x:v>Metals &amp; Mining</x:v>
      </x:c>
      <x:c r="F4492" s="13" t="str">
        <x:v>Deep Cyclicals</x:v>
      </x:c>
      <x:c r="G4492" s="13" t="str">
        <x:v>grid_asitui1y.xlsx</x:v>
      </x:c>
    </x:row>
    <x:row r="4493">
      <x:c r="A4493" s="15" t="n">
        <x:v>42339</x:v>
      </x:c>
      <x:c r="B4493" s="13" t="str">
        <x:v>METALURGICA GERDAU SA-PREF</x:v>
      </x:c>
      <x:c r="C4493" s="16" t="n">
        <x:v>-115.9</x:v>
      </x:c>
      <x:c r="D4493" s="13" t="str">
        <x:v>Metals &amp; Mining</x:v>
      </x:c>
      <x:c r="E4493" s="13" t="str">
        <x:v>Metals &amp; Mining</x:v>
      </x:c>
      <x:c r="F4493" s="13" t="str">
        <x:v>Deep Cyclicals</x:v>
      </x:c>
      <x:c r="G4493" s="13" t="str">
        <x:v>grid_asitui1y.xlsx</x:v>
      </x:c>
    </x:row>
    <x:row r="4494">
      <x:c r="A4494" s="15" t="n">
        <x:v>42339</x:v>
      </x:c>
      <x:c r="B4494" s="13" t="str">
        <x:v>USINAS SIDER MINAS GER-PF A</x:v>
      </x:c>
      <x:c r="C4494" s="16" t="n">
        <x:v>-827.916992</x:v>
      </x:c>
      <x:c r="D4494" s="13" t="str">
        <x:v>Metals &amp; Mining</x:v>
      </x:c>
      <x:c r="E4494" s="13" t="str">
        <x:v>Metals &amp; Mining</x:v>
      </x:c>
      <x:c r="F4494" s="13" t="str">
        <x:v>Deep Cyclicals</x:v>
      </x:c>
      <x:c r="G4494" s="13" t="str">
        <x:v>grid_asitui1y.xlsx</x:v>
      </x:c>
    </x:row>
    <x:row r="4495">
      <x:c r="A4495" s="15" t="n">
        <x:v>42339</x:v>
      </x:c>
      <x:c r="B4495" s="13" t="str">
        <x:v>VALE SA</x:v>
      </x:c>
      <x:c r="C4495" s="16" t="n">
        <x:v>4118.000128</x:v>
      </x:c>
      <x:c r="D4495" s="13" t="str">
        <x:v>Metals &amp; Mining</x:v>
      </x:c>
      <x:c r="E4495" s="13" t="str">
        <x:v>Metals &amp; Mining</x:v>
      </x:c>
      <x:c r="F4495" s="13" t="str">
        <x:v>Deep Cyclicals</x:v>
      </x:c>
      <x:c r="G4495" s="13" t="str">
        <x:v>grid_asitui1y.xlsx</x:v>
      </x:c>
    </x:row>
    <x:row r="4496">
      <x:c r="A4496" s="15" t="n">
        <x:v>42339</x:v>
      </x:c>
      <x:c r="B4496" s="13" t="str">
        <x:v>BRASKEM SA-PREF A</x:v>
      </x:c>
      <x:c r="C4496" s="16" t="n">
        <x:v>3467.670016</x:v>
      </x:c>
      <x:c r="D4496" s="13" t="str">
        <x:v>Oil, Gas &amp; Petrochemicals</x:v>
      </x:c>
      <x:c r="E4496" s="13" t="str">
        <x:v>Oil, Gas &amp; Petrochemicals</x:v>
      </x:c>
      <x:c r="F4496" s="13" t="str">
        <x:v>Deep Cyclicals</x:v>
      </x:c>
      <x:c r="G4496" s="13" t="str">
        <x:v>grid_asitui1y.xlsx</x:v>
      </x:c>
    </x:row>
    <x:row r="4497">
      <x:c r="A4497" s="15" t="n">
        <x:v>42339</x:v>
      </x:c>
      <x:c r="B4497" s="13" t="str">
        <x:v>COSAN SA</x:v>
      </x:c>
      <x:c r="C4497" s="16" t="n">
        <x:v>922.857024</x:v>
      </x:c>
      <x:c r="D4497" s="13" t="str">
        <x:v>Oil, Gas &amp; Petrochemicals</x:v>
      </x:c>
      <x:c r="E4497" s="13" t="str">
        <x:v>Oil, Gas &amp; Petrochemicals</x:v>
      </x:c>
      <x:c r="F4497" s="13" t="str">
        <x:v>Deep Cyclicals</x:v>
      </x:c>
      <x:c r="G4497" s="13" t="str">
        <x:v>grid_asitui1y.xlsx</x:v>
      </x:c>
    </x:row>
    <x:row r="4498">
      <x:c r="A4498" s="15" t="n">
        <x:v>42339</x:v>
      </x:c>
      <x:c r="B4498" s="13" t="str">
        <x:v>PETROBRAS - PETROLEO BRAS</x:v>
      </x:c>
      <x:c r="C4498" s="16" t="n">
        <x:v>13689.700352</x:v>
      </x:c>
      <x:c r="D4498" s="13" t="str">
        <x:v>Oil, Gas &amp; Petrochemicals</x:v>
      </x:c>
      <x:c r="E4498" s="13" t="str">
        <x:v>Oil, Gas &amp; Petrochemicals</x:v>
      </x:c>
      <x:c r="F4498" s="13" t="str">
        <x:v>Deep Cyclicals</x:v>
      </x:c>
      <x:c r="G4498" s="13" t="str">
        <x:v>grid_asitui1y.xlsx</x:v>
      </x:c>
    </x:row>
    <x:row r="4499">
      <x:c r="A4499" s="15" t="n">
        <x:v>42339</x:v>
      </x:c>
      <x:c r="B4499" s="13" t="str">
        <x:v>ULTRAPAR PARTICIPACOES SA</x:v>
      </x:c>
      <x:c r="C4499" s="16" t="n">
        <x:v>1738</x:v>
      </x:c>
      <x:c r="D4499" s="13" t="str">
        <x:v>Oil, Gas &amp; Petrochemicals</x:v>
      </x:c>
      <x:c r="E4499" s="13" t="str">
        <x:v>Oil, Gas &amp; Petrochemicals</x:v>
      </x:c>
      <x:c r="F4499" s="13" t="str">
        <x:v>Deep Cyclicals</x:v>
      </x:c>
      <x:c r="G4499" s="13" t="str">
        <x:v>grid_asitui1y.xlsx</x:v>
      </x:c>
    </x:row>
    <x:row r="4500">
      <x:c r="A4500" s="15" t="n">
        <x:v>42339</x:v>
      </x:c>
      <x:c r="B4500" s="13" t="str">
        <x:v>FIBRIA CELULOSE S/A</x:v>
      </x:c>
      <x:c r="C4500" s="16" t="n">
        <x:v>2911.600128</x:v>
      </x:c>
      <x:c r="D4500" s="13" t="str">
        <x:v>Pulp &amp; Paper</x:v>
      </x:c>
      <x:c r="E4500" s="13" t="str">
        <x:v>Pulp &amp; Paper</x:v>
      </x:c>
      <x:c r="F4500" s="13" t="str">
        <x:v>Deep Cyclicals</x:v>
      </x:c>
      <x:c r="G4500" s="13" t="str">
        <x:v>grid_asitui1y.xlsx</x:v>
      </x:c>
    </x:row>
    <x:row r="4501">
      <x:c r="A4501" s="15" t="n">
        <x:v>42339</x:v>
      </x:c>
      <x:c r="B4501" s="13" t="str">
        <x:v>KLABIN SA - UNIT</x:v>
      </x:c>
      <x:c r="C4501" s="16" t="n">
        <x:v>1032.8</x:v>
      </x:c>
      <x:c r="D4501" s="13" t="str">
        <x:v>Pulp &amp; Paper</x:v>
      </x:c>
      <x:c r="E4501" s="13" t="str">
        <x:v>Pulp &amp; Paper</x:v>
      </x:c>
      <x:c r="F4501" s="13" t="str">
        <x:v>Deep Cyclicals</x:v>
      </x:c>
      <x:c r="G4501" s="13" t="str">
        <x:v>grid_asitui1y.xlsx</x:v>
      </x:c>
    </x:row>
    <x:row r="4502">
      <x:c r="A4502" s="15" t="n">
        <x:v>42339</x:v>
      </x:c>
      <x:c r="B4502" s="13" t="str">
        <x:v>SUZANO PAPEL E CELULO-PREF A</x:v>
      </x:c>
      <x:c r="C4502" s="16" t="n">
        <x:v>2453.250048</x:v>
      </x:c>
      <x:c r="D4502" s="13" t="str">
        <x:v>Pulp &amp; Paper</x:v>
      </x:c>
      <x:c r="E4502" s="13" t="str">
        <x:v>Pulp &amp; Paper</x:v>
      </x:c>
      <x:c r="F4502" s="13" t="str">
        <x:v>Deep Cyclicals</x:v>
      </x:c>
      <x:c r="G4502" s="13" t="str">
        <x:v>grid_asitui1y.xlsx</x:v>
      </x:c>
    </x:row>
    <x:row r="4503">
      <x:c r="A4503" s="15" t="n">
        <x:v>42339</x:v>
      </x:c>
      <x:c r="B4503" s="13" t="str">
        <x:v>CIA BRASILEIRA DE DIS-PREF</x:v>
      </x:c>
      <x:c r="C4503" s="16" t="n">
        <x:v>820.667008</x:v>
      </x:c>
      <x:c r="D4503" s="13" t="str">
        <x:v>Retail</x:v>
      </x:c>
      <x:c r="E4503" s="13" t="str">
        <x:v>Retail</x:v>
      </x:c>
      <x:c r="F4503" s="13" t="str">
        <x:v>Early Cyclicals</x:v>
      </x:c>
      <x:c r="G4503" s="13" t="str">
        <x:v>grid_asitui1y.xlsx</x:v>
      </x:c>
    </x:row>
    <x:row r="4504">
      <x:c r="A4504" s="15" t="n">
        <x:v>42339</x:v>
      </x:c>
      <x:c r="B4504" s="13" t="str">
        <x:v>CIA HERING</x:v>
      </x:c>
      <x:c r="C4504" s="16" t="n">
        <x:v>247.928992</x:v>
      </x:c>
      <x:c r="D4504" s="13" t="str">
        <x:v>Retail</x:v>
      </x:c>
      <x:c r="E4504" s="13" t="str">
        <x:v>Retail</x:v>
      </x:c>
      <x:c r="F4504" s="13" t="str">
        <x:v>Early Cyclicals</x:v>
      </x:c>
      <x:c r="G4504" s="13" t="str">
        <x:v>grid_asitui1y.xlsx</x:v>
      </x:c>
    </x:row>
    <x:row r="4505">
      <x:c r="A4505" s="15" t="n">
        <x:v>42339</x:v>
      </x:c>
      <x:c r="B4505" s="13" t="str">
        <x:v>LOJAS AMERICANAS SA-PREF</x:v>
      </x:c>
      <x:c r="C4505" s="16" t="n">
        <x:v>612.385024</x:v>
      </x:c>
      <x:c r="D4505" s="13" t="str">
        <x:v>Retail</x:v>
      </x:c>
      <x:c r="E4505" s="13" t="str">
        <x:v>Retail</x:v>
      </x:c>
      <x:c r="F4505" s="13" t="str">
        <x:v>Early Cyclicals</x:v>
      </x:c>
      <x:c r="G4505" s="13" t="str">
        <x:v>grid_asitui1y.xlsx</x:v>
      </x:c>
    </x:row>
    <x:row r="4506">
      <x:c r="A4506" s="15" t="n">
        <x:v>42339</x:v>
      </x:c>
      <x:c r="B4506" s="13" t="str">
        <x:v>LOJAS RENNER S.A.</x:v>
      </x:c>
      <x:c r="C4506" s="16" t="n">
        <x:v>687.313024</x:v>
      </x:c>
      <x:c r="D4506" s="13" t="str">
        <x:v>Retail</x:v>
      </x:c>
      <x:c r="E4506" s="13" t="str">
        <x:v>Retail</x:v>
      </x:c>
      <x:c r="F4506" s="13" t="str">
        <x:v>Early Cyclicals</x:v>
      </x:c>
      <x:c r="G4506" s="13" t="str">
        <x:v>grid_asitui1y.xlsx</x:v>
      </x:c>
    </x:row>
    <x:row r="4507">
      <x:c r="A4507" s="15" t="n">
        <x:v>42339</x:v>
      </x:c>
      <x:c r="B4507" s="13" t="str">
        <x:v>NATURA COSMETICOS SA</x:v>
      </x:c>
      <x:c r="C4507" s="16" t="n">
        <x:v>680.932992</x:v>
      </x:c>
      <x:c r="D4507" s="13" t="str">
        <x:v>Retail</x:v>
      </x:c>
      <x:c r="E4507" s="13" t="str">
        <x:v>Retail</x:v>
      </x:c>
      <x:c r="F4507" s="13" t="str">
        <x:v>Early Cyclicals</x:v>
      </x:c>
      <x:c r="G4507" s="13" t="str">
        <x:v>grid_asitui1y.xlsx</x:v>
      </x:c>
    </x:row>
    <x:row r="4508">
      <x:c r="A4508" s="15" t="n">
        <x:v>42339</x:v>
      </x:c>
      <x:c r="B4508" s="13" t="str">
        <x:v>RAIA DROGASIL SA</x:v>
      </x:c>
      <x:c r="C4508" s="16" t="n">
        <x:v>456.932992</x:v>
      </x:c>
      <x:c r="D4508" s="13" t="str">
        <x:v>Retail</x:v>
      </x:c>
      <x:c r="E4508" s="13" t="str">
        <x:v>Retail</x:v>
      </x:c>
      <x:c r="F4508" s="13" t="str">
        <x:v>Early Cyclicals</x:v>
      </x:c>
      <x:c r="G4508" s="13" t="str">
        <x:v>grid_asitui1y.xlsx</x:v>
      </x:c>
    </x:row>
    <x:row r="4509">
      <x:c r="A4509" s="15" t="n">
        <x:v>42339</x:v>
      </x:c>
      <x:c r="B4509" s="13" t="str">
        <x:v>CIA SANEAMENTO BASICO DE SP</x:v>
      </x:c>
      <x:c r="C4509" s="16" t="n">
        <x:v>1078.88</x:v>
      </x:c>
      <x:c r="D4509" s="13" t="str">
        <x:v>Sanitation</x:v>
      </x:c>
      <x:c r="E4509" s="13" t="str">
        <x:v>Utilities</x:v>
      </x:c>
      <x:c r="F4509" s="13" t="str">
        <x:v>Defensives</x:v>
      </x:c>
      <x:c r="G4509" s="13" t="str">
        <x:v>grid_asitui1y.xlsx</x:v>
      </x:c>
    </x:row>
    <x:row r="4510">
      <x:c r="A4510" s="15" t="n">
        <x:v>42339</x:v>
      </x:c>
      <x:c r="B4510" s="13" t="str">
        <x:v>OI S.A.</x:v>
      </x:c>
      <x:c r="C4510" s="16" t="n">
        <x:v>-1273.859968</x:v>
      </x:c>
      <x:c r="D4510" s="13" t="str">
        <x:v>TMT</x:v>
      </x:c>
      <x:c r="E4510" s="13" t="str">
        <x:v>TMT</x:v>
      </x:c>
      <x:c r="F4510" s="13" t="str">
        <x:v>Early Cyclicals</x:v>
      </x:c>
      <x:c r="G4510" s="13" t="str">
        <x:v>grid_asitui1y.xlsx</x:v>
      </x:c>
    </x:row>
    <x:row r="4511">
      <x:c r="A4511" s="15" t="n">
        <x:v>42339</x:v>
      </x:c>
      <x:c r="B4511" s="13" t="str">
        <x:v>TELEFONICA BRASIL S.A.-PREF</x:v>
      </x:c>
      <x:c r="C4511" s="16" t="n">
        <x:v>4901.910016</x:v>
      </x:c>
      <x:c r="D4511" s="13" t="str">
        <x:v>TMT</x:v>
      </x:c>
      <x:c r="E4511" s="13" t="str">
        <x:v>TMT</x:v>
      </x:c>
      <x:c r="F4511" s="13" t="str">
        <x:v>Early Cyclicals</x:v>
      </x:c>
      <x:c r="G4511" s="13" t="str">
        <x:v>grid_asitui1y.xlsx</x:v>
      </x:c>
    </x:row>
    <x:row r="4512">
      <x:c r="A4512" s="15" t="n">
        <x:v>42339</x:v>
      </x:c>
      <x:c r="B4512" s="13" t="str">
        <x:v>TIM SA</x:v>
      </x:c>
      <x:c r="C4512" s="16" t="n">
        <x:v>1162.179968</x:v>
      </x:c>
      <x:c r="D4512" s="13" t="str">
        <x:v>TMT</x:v>
      </x:c>
      <x:c r="E4512" s="13" t="str">
        <x:v>TMT</x:v>
      </x:c>
      <x:c r="F4512" s="13" t="str">
        <x:v>Early Cyclicals</x:v>
      </x:c>
      <x:c r="G4512" s="13" t="str">
        <x:v>grid_asitui1y.xlsx</x:v>
      </x:c>
    </x:row>
    <x:row r="4513">
      <x:c r="A4513" s="15" t="n">
        <x:v>42339</x:v>
      </x:c>
      <x:c r="B4513" s="13" t="str">
        <x:v>ECORODOVIAS INFRA E LOG SA</x:v>
      </x:c>
      <x:c r="C4513" s="16" t="n">
        <x:v>203</x:v>
      </x:c>
      <x:c r="D4513" s="13" t="str">
        <x:v>Transportation</x:v>
      </x:c>
      <x:c r="E4513" s="13" t="str">
        <x:v>Transportation</x:v>
      </x:c>
      <x:c r="F4513" s="13" t="str">
        <x:v>Deep Cyclicals</x:v>
      </x:c>
      <x:c r="G4513" s="13" t="str">
        <x:v>grid_asitui1y.xlsx</x:v>
      </x:c>
    </x:row>
    <x:row r="4514">
      <x:c r="A4514" s="15" t="n">
        <x:v>42339</x:v>
      </x:c>
      <x:c r="B4514" s="13" t="str">
        <x:v>LOCALIZA RENT A CAR</x:v>
      </x:c>
      <x:c r="C4514" s="16" t="n">
        <x:v>374.143008</x:v>
      </x:c>
      <x:c r="D4514" s="13" t="str">
        <x:v>Transportation</x:v>
      </x:c>
      <x:c r="E4514" s="13" t="str">
        <x:v>Transportation</x:v>
      </x:c>
      <x:c r="F4514" s="13" t="str">
        <x:v>Deep Cyclicals</x:v>
      </x:c>
      <x:c r="G4514" s="13" t="str">
        <x:v>grid_asitui1y.xlsx</x:v>
      </x:c>
    </x:row>
    <x:row r="4515">
      <x:c r="A4515" s="15" t="n">
        <x:v>42339</x:v>
      </x:c>
      <x:c r="B4515" s="13" t="str">
        <x:v>MOTIVA INFRAESTRUTURA DE MOB</x:v>
      </x:c>
      <x:c r="C4515" s="16" t="n">
        <x:v>1342.579968</x:v>
      </x:c>
      <x:c r="D4515" s="13" t="str">
        <x:v>Transportation</x:v>
      </x:c>
      <x:c r="E4515" s="13" t="str">
        <x:v>Transportation</x:v>
      </x:c>
      <x:c r="F4515" s="13" t="str">
        <x:v>Deep Cyclicals</x:v>
      </x:c>
      <x:c r="G4515" s="13" t="str">
        <x:v>grid_asitui1y.xlsx</x:v>
      </x:c>
    </x:row>
    <x:row r="4516">
      <x:c r="A4516" s="15" t="n">
        <x:v>42339</x:v>
      </x:c>
      <x:c r="B4516" s="13" t="str">
        <x:v>CESP - CIA ENERGETICA DE SAO</x:v>
      </x:c>
      <x:c r="C4516" s="16" t="n">
        <x:v>357.4</x:v>
      </x:c>
      <x:c r="D4516" s="13" t="str">
        <x:v>Utilities &amp; Energy</x:v>
      </x:c>
      <x:c r="E4516" s="13" t="str">
        <x:v>Utilities</x:v>
      </x:c>
      <x:c r="F4516" s="13" t="str">
        <x:v>Defensives</x:v>
      </x:c>
      <x:c r="G4516" s="13" t="str">
        <x:v>grid_asitui1y.xlsx</x:v>
      </x:c>
    </x:row>
    <x:row r="4517">
      <x:c r="A4517" s="15" t="n">
        <x:v>42339</x:v>
      </x:c>
      <x:c r="B4517" s="13" t="str">
        <x:v>CIA ENERGETICA MINAS GER-PRF</x:v>
      </x:c>
      <x:c r="C4517" s="16" t="n">
        <x:v>1283.849984</x:v>
      </x:c>
      <x:c r="D4517" s="13" t="str">
        <x:v>Utilities &amp; Energy</x:v>
      </x:c>
      <x:c r="E4517" s="13" t="str">
        <x:v>Utilities</x:v>
      </x:c>
      <x:c r="F4517" s="13" t="str">
        <x:v>Defensives</x:v>
      </x:c>
      <x:c r="G4517" s="13" t="str">
        <x:v>grid_asitui1y.xlsx</x:v>
      </x:c>
    </x:row>
    <x:row r="4518">
      <x:c r="A4518" s="15" t="n">
        <x:v>42339</x:v>
      </x:c>
      <x:c r="B4518" s="13" t="str">
        <x:v>COMPANHIA PARANAENSE -PREF B</x:v>
      </x:c>
      <x:c r="C4518" s="16" t="n">
        <x:v>1304.899968</x:v>
      </x:c>
      <x:c r="D4518" s="13" t="str">
        <x:v>Utilities &amp; Energy</x:v>
      </x:c>
      <x:c r="E4518" s="13" t="str">
        <x:v>Utilities</x:v>
      </x:c>
      <x:c r="F4518" s="13" t="str">
        <x:v>Defensives</x:v>
      </x:c>
      <x:c r="G4518" s="13" t="str">
        <x:v>grid_asitui1y.xlsx</x:v>
      </x:c>
    </x:row>
    <x:row r="4519">
      <x:c r="A4519" s="15" t="n">
        <x:v>42339</x:v>
      </x:c>
      <x:c r="B4519" s="13" t="str">
        <x:v>CPFL ENERGIA SA</x:v>
      </x:c>
      <x:c r="C4519" s="16" t="n">
        <x:v>1011.820032</x:v>
      </x:c>
      <x:c r="D4519" s="13" t="str">
        <x:v>Utilities &amp; Energy</x:v>
      </x:c>
      <x:c r="E4519" s="13" t="str">
        <x:v>Utilities</x:v>
      </x:c>
      <x:c r="F4519" s="13" t="str">
        <x:v>Defensives</x:v>
      </x:c>
      <x:c r="G4519" s="13" t="str">
        <x:v>grid_asitui1y.xlsx</x:v>
      </x:c>
    </x:row>
    <x:row r="4520">
      <x:c r="A4520" s="15" t="n">
        <x:v>42339</x:v>
      </x:c>
      <x:c r="B4520" s="13" t="str">
        <x:v>EDP - ENERGIAS DO BRASIL SA</x:v>
      </x:c>
      <x:c r="C4520" s="16" t="n">
        <x:v>542.556032</x:v>
      </x:c>
      <x:c r="D4520" s="13" t="str">
        <x:v>Utilities &amp; Energy</x:v>
      </x:c>
      <x:c r="E4520" s="13" t="str">
        <x:v>Utilities</x:v>
      </x:c>
      <x:c r="F4520" s="13" t="str">
        <x:v>Defensives</x:v>
      </x:c>
      <x:c r="G4520" s="13" t="str">
        <x:v>grid_asitui1y.xlsx</x:v>
      </x:c>
    </x:row>
    <x:row r="4521">
      <x:c r="A4521" s="15" t="n">
        <x:v>42339</x:v>
      </x:c>
      <x:c r="B4521" s="13" t="str">
        <x:v>ENGIE BRASIL ENERGIA SA</x:v>
      </x:c>
      <x:c r="C4521" s="16" t="n">
        <x:v>1813.449984</x:v>
      </x:c>
      <x:c r="D4521" s="13" t="str">
        <x:v>Utilities &amp; Energy</x:v>
      </x:c>
      <x:c r="E4521" s="13" t="str">
        <x:v>Utilities</x:v>
      </x:c>
      <x:c r="F4521" s="13" t="str">
        <x:v>Defensives</x:v>
      </x:c>
      <x:c r="G4521" s="13" t="str">
        <x:v>grid_asitui1y.xlsx</x:v>
      </x:c>
    </x:row>
    <x:row r="4522">
      <x:c r="A4522" s="15" t="n">
        <x:v>42339</x:v>
      </x:c>
      <x:c r="B4522" s="13" t="str">
        <x:v>EQUATORIAL SA - ORD</x:v>
      </x:c>
      <x:c r="C4522" s="16" t="n">
        <x:v>610.625024</x:v>
      </x:c>
      <x:c r="D4522" s="13" t="str">
        <x:v>Utilities &amp; Energy</x:v>
      </x:c>
      <x:c r="E4522" s="13" t="str">
        <x:v>Utilities</x:v>
      </x:c>
      <x:c r="F4522" s="13" t="str">
        <x:v>Defensives</x:v>
      </x:c>
      <x:c r="G4522" s="13" t="str">
        <x:v>grid_asitui1y.xlsx</x:v>
      </x:c>
    </x:row>
    <x:row r="4523">
      <x:c r="A4523" s="15" t="n">
        <x:v>42370</x:v>
      </x:c>
      <x:c r="B4523" s="13" t="str">
        <x:v>BANCO BRADESCO S.A.</x:v>
      </x:c>
      <x:c r="C4523" s="16" t="n">
        <x:v>16785.2559205699</x:v>
      </x:c>
      <x:c r="D4523" s="13" t="str">
        <x:v>Banks</x:v>
      </x:c>
      <x:c r="E4523" s="13" t="str">
        <x:v>Banks</x:v>
      </x:c>
      <x:c r="F4523" s="13" t="str">
        <x:v>Financials</x:v>
      </x:c>
      <x:c r="G4523" s="13" t="str">
        <x:v>grid_asitui1y.xlsx</x:v>
      </x:c>
    </x:row>
    <x:row r="4524">
      <x:c r="A4524" s="15" t="n">
        <x:v>42370</x:v>
      </x:c>
      <x:c r="B4524" s="13" t="str">
        <x:v>BANCO BRADESCO SA-PREF</x:v>
      </x:c>
      <x:c r="C4524" s="16" t="n">
        <x:v>16785.2559205699</x:v>
      </x:c>
      <x:c r="D4524" s="13" t="str">
        <x:v>Banks</x:v>
      </x:c>
      <x:c r="E4524" s="13" t="str">
        <x:v>Banks</x:v>
      </x:c>
      <x:c r="F4524" s="13" t="str">
        <x:v>Financials</x:v>
      </x:c>
      <x:c r="G4524" s="13" t="str">
        <x:v>grid_asitui1y.xlsx</x:v>
      </x:c>
    </x:row>
    <x:row r="4525">
      <x:c r="A4525" s="15" t="n">
        <x:v>42370</x:v>
      </x:c>
      <x:c r="B4525" s="13" t="str">
        <x:v>BANCO DO BRASIL S.A.</x:v>
      </x:c>
      <x:c r="C4525" s="16" t="n">
        <x:v>11102.0675857534</x:v>
      </x:c>
      <x:c r="D4525" s="13" t="str">
        <x:v>Banks</x:v>
      </x:c>
      <x:c r="E4525" s="13" t="str">
        <x:v>Banks</x:v>
      </x:c>
      <x:c r="F4525" s="13" t="str">
        <x:v>Financials</x:v>
      </x:c>
      <x:c r="G4525" s="13" t="str">
        <x:v>grid_asitui1y.xlsx</x:v>
      </x:c>
    </x:row>
    <x:row r="4526">
      <x:c r="A4526" s="15" t="n">
        <x:v>42370</x:v>
      </x:c>
      <x:c r="B4526" s="13" t="str">
        <x:v>BANCO SANTANDER  BRASIL-UNIT</x:v>
      </x:c>
      <x:c r="C4526" s="16" t="n">
        <x:v>5283.9259430575</x:v>
      </x:c>
      <x:c r="D4526" s="13" t="str">
        <x:v>Banks</x:v>
      </x:c>
      <x:c r="E4526" s="13" t="str">
        <x:v>Banks</x:v>
      </x:c>
      <x:c r="F4526" s="13" t="str">
        <x:v>Financials</x:v>
      </x:c>
      <x:c r="G4526" s="13" t="str">
        <x:v>grid_asitui1y.xlsx</x:v>
      </x:c>
    </x:row>
    <x:row r="4527">
      <x:c r="A4527" s="15" t="n">
        <x:v>42370</x:v>
      </x:c>
      <x:c r="B4527" s="13" t="str">
        <x:v>ITAU UNIBANCO HOLDING S-PREF</x:v>
      </x:c>
      <x:c r="C4527" s="16" t="n">
        <x:v>22343.3985150247</x:v>
      </x:c>
      <x:c r="D4527" s="13" t="str">
        <x:v>Banks</x:v>
      </x:c>
      <x:c r="E4527" s="13" t="str">
        <x:v>Banks</x:v>
      </x:c>
      <x:c r="F4527" s="13" t="str">
        <x:v>Financials</x:v>
      </x:c>
      <x:c r="G4527" s="13" t="str">
        <x:v>grid_asitui1y.xlsx</x:v>
      </x:c>
    </x:row>
    <x:row r="4528">
      <x:c r="A4528" s="15" t="n">
        <x:v>42370</x:v>
      </x:c>
      <x:c r="B4528" s="13" t="str">
        <x:v>EMBRAER SA</x:v>
      </x:c>
      <x:c r="C4528" s="16" t="n">
        <x:v>1609.2725630247</x:v>
      </x:c>
      <x:c r="D4528" s="13" t="str">
        <x:v>Capital Goods</x:v>
      </x:c>
      <x:c r="E4528" s="13" t="str">
        <x:v>Capital Goods</x:v>
      </x:c>
      <x:c r="F4528" s="13" t="str">
        <x:v>Deep Cyclicals</x:v>
      </x:c>
      <x:c r="G4528" s="13" t="str">
        <x:v>grid_asitui1y.xlsx</x:v>
      </x:c>
    </x:row>
    <x:row r="4529">
      <x:c r="A4529" s="15" t="n">
        <x:v>42370</x:v>
      </x:c>
      <x:c r="B4529" s="13" t="str">
        <x:v>WEG SA</x:v>
      </x:c>
      <x:c r="C4529" s="16" t="n">
        <x:v>1319.7395887342</x:v>
      </x:c>
      <x:c r="D4529" s="13" t="str">
        <x:v>Capital Goods</x:v>
      </x:c>
      <x:c r="E4529" s="13" t="str">
        <x:v>Capital Goods</x:v>
      </x:c>
      <x:c r="F4529" s="13" t="str">
        <x:v>Deep Cyclicals</x:v>
      </x:c>
      <x:c r="G4529" s="13" t="str">
        <x:v>grid_asitui1y.xlsx</x:v>
      </x:c>
    </x:row>
    <x:row r="4530">
      <x:c r="A4530" s="15" t="n">
        <x:v>42370</x:v>
      </x:c>
      <x:c r="B4530" s="13" t="str">
        <x:v>COGNA EDUCACAO</x:v>
      </x:c>
      <x:c r="C4530" s="16" t="n">
        <x:v>1791.6394394301</x:v>
      </x:c>
      <x:c r="D4530" s="13" t="str">
        <x:v>Education</x:v>
      </x:c>
      <x:c r="E4530" s="13" t="str">
        <x:v>Education</x:v>
      </x:c>
      <x:c r="F4530" s="13" t="str">
        <x:v>Early Cyclicals</x:v>
      </x:c>
      <x:c r="G4530" s="13" t="str">
        <x:v>grid_asitui1y.xlsx</x:v>
      </x:c>
    </x:row>
    <x:row r="4531">
      <x:c r="A4531" s="15" t="n">
        <x:v>42370</x:v>
      </x:c>
      <x:c r="B4531" s="13" t="str">
        <x:v>YDUQS PARTICIPACOES SA</x:v>
      </x:c>
      <x:c r="C4531" s="16" t="n">
        <x:v>566.3556453699</x:v>
      </x:c>
      <x:c r="D4531" s="13" t="str">
        <x:v>Education</x:v>
      </x:c>
      <x:c r="E4531" s="13" t="str">
        <x:v>Education</x:v>
      </x:c>
      <x:c r="F4531" s="13" t="str">
        <x:v>Early Cyclicals</x:v>
      </x:c>
      <x:c r="G4531" s="13" t="str">
        <x:v>grid_asitui1y.xlsx</x:v>
      </x:c>
    </x:row>
    <x:row r="4532">
      <x:c r="A4532" s="15" t="n">
        <x:v>42370</x:v>
      </x:c>
      <x:c r="B4532" s="13" t="str">
        <x:v>B3 SA-BRASIL BOLSA BALCAO</x:v>
      </x:c>
      <x:c r="C4532" s="16" t="n">
        <x:v>1784.2424814466</x:v>
      </x:c>
      <x:c r="D4532" s="13" t="str">
        <x:v>Financials Non-Banks</x:v>
      </x:c>
      <x:c r="E4532" s="13" t="str">
        <x:v>Financials Non-Banks</x:v>
      </x:c>
      <x:c r="F4532" s="13" t="str">
        <x:v>Financials</x:v>
      </x:c>
      <x:c r="G4532" s="13" t="str">
        <x:v>grid_asitui1y.xlsx</x:v>
      </x:c>
    </x:row>
    <x:row r="4533">
      <x:c r="A4533" s="15" t="n">
        <x:v>42370</x:v>
      </x:c>
      <x:c r="B4533" s="13" t="str">
        <x:v>BB SEGURIDADE PARTICIPACOES</x:v>
      </x:c>
      <x:c r="C4533" s="16" t="n">
        <x:v>4412.0700899945</x:v>
      </x:c>
      <x:c r="D4533" s="13" t="str">
        <x:v>Financials Non-Banks</x:v>
      </x:c>
      <x:c r="E4533" s="13" t="str">
        <x:v>Financials Non-Banks</x:v>
      </x:c>
      <x:c r="F4533" s="13" t="str">
        <x:v>Financials</x:v>
      </x:c>
      <x:c r="G4533" s="13" t="str">
        <x:v>grid_asitui1y.xlsx</x:v>
      </x:c>
    </x:row>
    <x:row r="4534">
      <x:c r="A4534" s="15" t="n">
        <x:v>42370</x:v>
      </x:c>
      <x:c r="B4534" s="13" t="str">
        <x:v>CETIP SA-MERCADOS ORGANIZADO</x:v>
      </x:c>
      <x:c r="C4534" s="16" t="n">
        <x:v>595.9260522959</x:v>
      </x:c>
      <x:c r="D4534" s="13" t="str">
        <x:v>Financials Non-Banks</x:v>
      </x:c>
      <x:c r="E4534" s="13" t="str">
        <x:v>Financials Non-Banks</x:v>
      </x:c>
      <x:c r="F4534" s="13" t="str">
        <x:v>Financials</x:v>
      </x:c>
      <x:c r="G4534" s="13" t="str">
        <x:v>grid_asitui1y.xlsx</x:v>
      </x:c>
    </x:row>
    <x:row r="4535">
      <x:c r="A4535" s="15" t="n">
        <x:v>42370</x:v>
      </x:c>
      <x:c r="B4535" s="13" t="str">
        <x:v>CIELO SA - INSTITUICAO DE PA</x:v>
      </x:c>
      <x:c r="C4535" s="16" t="n">
        <x:v>4150.6350423671</x:v>
      </x:c>
      <x:c r="D4535" s="13" t="str">
        <x:v>Financials Non-Banks</x:v>
      </x:c>
      <x:c r="E4535" s="13" t="str">
        <x:v>Financials Non-Banks</x:v>
      </x:c>
      <x:c r="F4535" s="13" t="str">
        <x:v>Financials</x:v>
      </x:c>
      <x:c r="G4535" s="13" t="str">
        <x:v>grid_asitui1y.xlsx</x:v>
      </x:c>
    </x:row>
    <x:row r="4536">
      <x:c r="A4536" s="15" t="n">
        <x:v>42370</x:v>
      </x:c>
      <x:c r="B4536" s="13" t="str">
        <x:v>ITAUSA SA</x:v>
      </x:c>
      <x:c r="C4536" s="16" t="n">
        <x:v>8326.9944614575</x:v>
      </x:c>
      <x:c r="D4536" s="13" t="str">
        <x:v>Financials Non-Banks</x:v>
      </x:c>
      <x:c r="E4536" s="13" t="str">
        <x:v>Financials Non-Banks</x:v>
      </x:c>
      <x:c r="F4536" s="13" t="str">
        <x:v>Financials</x:v>
      </x:c>
      <x:c r="G4536" s="13" t="str">
        <x:v>grid_asitui1y.xlsx</x:v>
      </x:c>
    </x:row>
    <x:row r="4537">
      <x:c r="A4537" s="15" t="n">
        <x:v>42370</x:v>
      </x:c>
      <x:c r="B4537" s="13" t="str">
        <x:v>AMBEV SA</x:v>
      </x:c>
      <x:c r="C4537" s="16" t="n">
        <x:v>15824.1448076274</x:v>
      </x:c>
      <x:c r="D4537" s="13" t="str">
        <x:v>Food &amp; Beverages</x:v>
      </x:c>
      <x:c r="E4537" s="13" t="str">
        <x:v>Agri, Food &amp; Beverages</x:v>
      </x:c>
      <x:c r="F4537" s="13" t="str">
        <x:v>Defensives</x:v>
      </x:c>
      <x:c r="G4537" s="13" t="str">
        <x:v>grid_asitui1y.xlsx</x:v>
      </x:c>
    </x:row>
    <x:row r="4538">
      <x:c r="A4538" s="15" t="n">
        <x:v>42370</x:v>
      </x:c>
      <x:c r="B4538" s="13" t="str">
        <x:v>BRF SA</x:v>
      </x:c>
      <x:c r="C4538" s="16" t="n">
        <x:v>3156.7470844493</x:v>
      </x:c>
      <x:c r="D4538" s="13" t="str">
        <x:v>Food &amp; Beverages</x:v>
      </x:c>
      <x:c r="E4538" s="13" t="str">
        <x:v>Agri, Food &amp; Beverages</x:v>
      </x:c>
      <x:c r="F4538" s="13" t="str">
        <x:v>Defensives</x:v>
      </x:c>
      <x:c r="G4538" s="13" t="str">
        <x:v>grid_asitui1y.xlsx</x:v>
      </x:c>
    </x:row>
    <x:row r="4539">
      <x:c r="A4539" s="15" t="n">
        <x:v>42370</x:v>
      </x:c>
      <x:c r="B4539" s="13" t="str">
        <x:v>JBS SA</x:v>
      </x:c>
      <x:c r="C4539" s="16" t="n">
        <x:v>4600.8565731945</x:v>
      </x:c>
      <x:c r="D4539" s="13" t="str">
        <x:v>Food &amp; Beverages</x:v>
      </x:c>
      <x:c r="E4539" s="13" t="str">
        <x:v>Agri, Food &amp; Beverages</x:v>
      </x:c>
      <x:c r="F4539" s="13" t="str">
        <x:v>Defensives</x:v>
      </x:c>
      <x:c r="G4539" s="13" t="str">
        <x:v>grid_asitui1y.xlsx</x:v>
      </x:c>
    </x:row>
    <x:row r="4540">
      <x:c r="A4540" s="15" t="n">
        <x:v>42370</x:v>
      </x:c>
      <x:c r="B4540" s="13" t="str">
        <x:v>MBRF GLOBAL FOODS COMPANY SA</x:v>
      </x:c>
      <x:c r="C4540" s="16" t="n">
        <x:v>243.1547957479</x:v>
      </x:c>
      <x:c r="D4540" s="13" t="str">
        <x:v>Food &amp; Beverages</x:v>
      </x:c>
      <x:c r="E4540" s="13" t="str">
        <x:v>Agri, Food &amp; Beverages</x:v>
      </x:c>
      <x:c r="F4540" s="13" t="str">
        <x:v>Defensives</x:v>
      </x:c>
      <x:c r="G4540" s="13" t="str">
        <x:v>grid_asitui1y.xlsx</x:v>
      </x:c>
    </x:row>
    <x:row r="4541">
      <x:c r="A4541" s="15" t="n">
        <x:v>42370</x:v>
      </x:c>
      <x:c r="B4541" s="13" t="str">
        <x:v>HYPERA SA</x:v>
      </x:c>
      <x:c r="C4541" s="16" t="n">
        <x:v>639.481375737</x:v>
      </x:c>
      <x:c r="D4541" s="13" t="str">
        <x:v>Health Care</x:v>
      </x:c>
      <x:c r="E4541" s="13" t="str">
        <x:v>Health Care</x:v>
      </x:c>
      <x:c r="F4541" s="13" t="str">
        <x:v>Defensives</x:v>
      </x:c>
      <x:c r="G4541" s="13" t="str">
        <x:v>grid_asitui1y.xlsx</x:v>
      </x:c>
    </x:row>
    <x:row r="4542">
      <x:c r="A4542" s="15" t="n">
        <x:v>42370</x:v>
      </x:c>
      <x:c r="B4542" s="13" t="str">
        <x:v>QUALICORP CONS E CORR SEG SA</x:v>
      </x:c>
      <x:c r="C4542" s="16" t="n">
        <x:v>379.1384040329</x:v>
      </x:c>
      <x:c r="D4542" s="13" t="str">
        <x:v>Health Care</x:v>
      </x:c>
      <x:c r="E4542" s="13" t="str">
        <x:v>Health Care</x:v>
      </x:c>
      <x:c r="F4542" s="13" t="str">
        <x:v>Defensives</x:v>
      </x:c>
      <x:c r="G4542" s="13" t="str">
        <x:v>grid_asitui1y.xlsx</x:v>
      </x:c>
    </x:row>
    <x:row r="4543">
      <x:c r="A4543" s="15" t="n">
        <x:v>42370</x:v>
      </x:c>
      <x:c r="B4543" s="13" t="str">
        <x:v>CYRELA BRAZIL REALTY SA EMP</x:v>
      </x:c>
      <x:c r="C4543" s="16" t="n">
        <x:v>439.0348775452</x:v>
      </x:c>
      <x:c r="D4543" s="13" t="str">
        <x:v>Homebuilders</x:v>
      </x:c>
      <x:c r="E4543" s="13" t="str">
        <x:v>Real Estate</x:v>
      </x:c>
      <x:c r="F4543" s="13" t="str">
        <x:v>Early Cyclicals</x:v>
      </x:c>
      <x:c r="G4543" s="13" t="str">
        <x:v>grid_asitui1y.xlsx</x:v>
      </x:c>
    </x:row>
    <x:row r="4544">
      <x:c r="A4544" s="15" t="n">
        <x:v>42370</x:v>
      </x:c>
      <x:c r="B4544" s="13" t="str">
        <x:v>MRV ENGENHARIA</x:v>
      </x:c>
      <x:c r="C4544" s="16" t="n">
        <x:v>544.8874069918</x:v>
      </x:c>
      <x:c r="D4544" s="13" t="str">
        <x:v>Homebuilders</x:v>
      </x:c>
      <x:c r="E4544" s="13" t="str">
        <x:v>Real Estate</x:v>
      </x:c>
      <x:c r="F4544" s="13" t="str">
        <x:v>Early Cyclicals</x:v>
      </x:c>
      <x:c r="G4544" s="13" t="str">
        <x:v>grid_asitui1y.xlsx</x:v>
      </x:c>
    </x:row>
    <x:row r="4545">
      <x:c r="A4545" s="15" t="n">
        <x:v>42370</x:v>
      </x:c>
      <x:c r="B4545" s="13" t="str">
        <x:v>BR MALLS PARTICIPACOES SA</x:v>
      </x:c>
      <x:c r="C4545" s="16" t="n">
        <x:v>398.4912933699</x:v>
      </x:c>
      <x:c r="D4545" s="13" t="str">
        <x:v>Income Properties</x:v>
      </x:c>
      <x:c r="E4545" s="13" t="str">
        <x:v>Real Estate</x:v>
      </x:c>
      <x:c r="F4545" s="13" t="str">
        <x:v>Early Cyclicals</x:v>
      </x:c>
      <x:c r="G4545" s="13" t="str">
        <x:v>grid_asitui1y.xlsx</x:v>
      </x:c>
    </x:row>
    <x:row r="4546">
      <x:c r="A4546" s="15" t="n">
        <x:v>42370</x:v>
      </x:c>
      <x:c r="B4546" s="13" t="str">
        <x:v>MULTIPLAN EMPREENDIMENTOS</x:v>
      </x:c>
      <x:c r="C4546" s="16" t="n">
        <x:v>380.5865182685</x:v>
      </x:c>
      <x:c r="D4546" s="13" t="str">
        <x:v>Income Properties</x:v>
      </x:c>
      <x:c r="E4546" s="13" t="str">
        <x:v>Real Estate</x:v>
      </x:c>
      <x:c r="F4546" s="13" t="str">
        <x:v>Early Cyclicals</x:v>
      </x:c>
      <x:c r="G4546" s="13" t="str">
        <x:v>grid_asitui1y.xlsx</x:v>
      </x:c>
    </x:row>
    <x:row r="4547">
      <x:c r="A4547" s="15" t="n">
        <x:v>42370</x:v>
      </x:c>
      <x:c r="B4547" s="13" t="str">
        <x:v>BRADESPAR SA -PREF</x:v>
      </x:c>
      <x:c r="C4547" s="16" t="n">
        <x:v>-519.8466975562</x:v>
      </x:c>
      <x:c r="D4547" s="13" t="str">
        <x:v>Metals &amp; Mining</x:v>
      </x:c>
      <x:c r="E4547" s="13" t="str">
        <x:v>Metals &amp; Mining</x:v>
      </x:c>
      <x:c r="F4547" s="13" t="str">
        <x:v>Deep Cyclicals</x:v>
      </x:c>
      <x:c r="G4547" s="13" t="str">
        <x:v>grid_asitui1y.xlsx</x:v>
      </x:c>
    </x:row>
    <x:row r="4548">
      <x:c r="A4548" s="15" t="n">
        <x:v>42370</x:v>
      </x:c>
      <x:c r="B4548" s="13" t="str">
        <x:v>CIA SIDERURGICA NACIONAL SA</x:v>
      </x:c>
      <x:c r="C4548" s="16" t="n">
        <x:v>-1296.7410386411</x:v>
      </x:c>
      <x:c r="D4548" s="13" t="str">
        <x:v>Metals &amp; Mining</x:v>
      </x:c>
      <x:c r="E4548" s="13" t="str">
        <x:v>Metals &amp; Mining</x:v>
      </x:c>
      <x:c r="F4548" s="13" t="str">
        <x:v>Deep Cyclicals</x:v>
      </x:c>
      <x:c r="G4548" s="13" t="str">
        <x:v>grid_asitui1y.xlsx</x:v>
      </x:c>
    </x:row>
    <x:row r="4549">
      <x:c r="A4549" s="15" t="n">
        <x:v>42370</x:v>
      </x:c>
      <x:c r="B4549" s="13" t="str">
        <x:v>GERDAU SA-PREF</x:v>
      </x:c>
      <x:c r="C4549" s="16" t="n">
        <x:v>361.6419789151</x:v>
      </x:c>
      <x:c r="D4549" s="13" t="str">
        <x:v>Metals &amp; Mining</x:v>
      </x:c>
      <x:c r="E4549" s="13" t="str">
        <x:v>Metals &amp; Mining</x:v>
      </x:c>
      <x:c r="F4549" s="13" t="str">
        <x:v>Deep Cyclicals</x:v>
      </x:c>
      <x:c r="G4549" s="13" t="str">
        <x:v>grid_asitui1y.xlsx</x:v>
      </x:c>
    </x:row>
    <x:row r="4550">
      <x:c r="A4550" s="15" t="n">
        <x:v>42370</x:v>
      </x:c>
      <x:c r="B4550" s="13" t="str">
        <x:v>METALURGICA GERDAU SA-PREF</x:v>
      </x:c>
      <x:c r="C4550" s="16" t="n">
        <x:v>-123.1468493151</x:v>
      </x:c>
      <x:c r="D4550" s="13" t="str">
        <x:v>Metals &amp; Mining</x:v>
      </x:c>
      <x:c r="E4550" s="13" t="str">
        <x:v>Metals &amp; Mining</x:v>
      </x:c>
      <x:c r="F4550" s="13" t="str">
        <x:v>Deep Cyclicals</x:v>
      </x:c>
      <x:c r="G4550" s="13" t="str">
        <x:v>grid_asitui1y.xlsx</x:v>
      </x:c>
    </x:row>
    <x:row r="4551">
      <x:c r="A4551" s="15" t="n">
        <x:v>42370</x:v>
      </x:c>
      <x:c r="B4551" s="13" t="str">
        <x:v>USINAS SIDER MINAS GER-PF A</x:v>
      </x:c>
      <x:c r="C4551" s="16" t="n">
        <x:v>-1063.9276561534</x:v>
      </x:c>
      <x:c r="D4551" s="13" t="str">
        <x:v>Metals &amp; Mining</x:v>
      </x:c>
      <x:c r="E4551" s="13" t="str">
        <x:v>Metals &amp; Mining</x:v>
      </x:c>
      <x:c r="F4551" s="13" t="str">
        <x:v>Deep Cyclicals</x:v>
      </x:c>
      <x:c r="G4551" s="13" t="str">
        <x:v>grid_asitui1y.xlsx</x:v>
      </x:c>
    </x:row>
    <x:row r="4552">
      <x:c r="A4552" s="15" t="n">
        <x:v>42370</x:v>
      </x:c>
      <x:c r="B4552" s="13" t="str">
        <x:v>VALE SA</x:v>
      </x:c>
      <x:c r="C4552" s="16" t="n">
        <x:v>1294.7054071233</x:v>
      </x:c>
      <x:c r="D4552" s="13" t="str">
        <x:v>Metals &amp; Mining</x:v>
      </x:c>
      <x:c r="E4552" s="13" t="str">
        <x:v>Metals &amp; Mining</x:v>
      </x:c>
      <x:c r="F4552" s="13" t="str">
        <x:v>Deep Cyclicals</x:v>
      </x:c>
      <x:c r="G4552" s="13" t="str">
        <x:v>grid_asitui1y.xlsx</x:v>
      </x:c>
    </x:row>
    <x:row r="4553">
      <x:c r="A4553" s="15" t="n">
        <x:v>42370</x:v>
      </x:c>
      <x:c r="B4553" s="13" t="str">
        <x:v>BRASKEM SA-PREF A</x:v>
      </x:c>
      <x:c r="C4553" s="16" t="n">
        <x:v>3312.1056059616</x:v>
      </x:c>
      <x:c r="D4553" s="13" t="str">
        <x:v>Oil, Gas &amp; Petrochemicals</x:v>
      </x:c>
      <x:c r="E4553" s="13" t="str">
        <x:v>Oil, Gas &amp; Petrochemicals</x:v>
      </x:c>
      <x:c r="F4553" s="13" t="str">
        <x:v>Deep Cyclicals</x:v>
      </x:c>
      <x:c r="G4553" s="13" t="str">
        <x:v>grid_asitui1y.xlsx</x:v>
      </x:c>
    </x:row>
    <x:row r="4554">
      <x:c r="A4554" s="15" t="n">
        <x:v>42370</x:v>
      </x:c>
      <x:c r="B4554" s="13" t="str">
        <x:v>COSAN SA</x:v>
      </x:c>
      <x:c r="C4554" s="16" t="n">
        <x:v>805.9240577753</x:v>
      </x:c>
      <x:c r="D4554" s="13" t="str">
        <x:v>Oil, Gas &amp; Petrochemicals</x:v>
      </x:c>
      <x:c r="E4554" s="13" t="str">
        <x:v>Oil, Gas &amp; Petrochemicals</x:v>
      </x:c>
      <x:c r="F4554" s="13" t="str">
        <x:v>Deep Cyclicals</x:v>
      </x:c>
      <x:c r="G4554" s="13" t="str">
        <x:v>grid_asitui1y.xlsx</x:v>
      </x:c>
    </x:row>
    <x:row r="4555">
      <x:c r="A4555" s="15" t="n">
        <x:v>42370</x:v>
      </x:c>
      <x:c r="B4555" s="13" t="str">
        <x:v>PETROBRAS - PETROLEO BRAS</x:v>
      </x:c>
      <x:c r="C4555" s="16" t="n">
        <x:v>10267.6395358685</x:v>
      </x:c>
      <x:c r="D4555" s="13" t="str">
        <x:v>Oil, Gas &amp; Petrochemicals</x:v>
      </x:c>
      <x:c r="E4555" s="13" t="str">
        <x:v>Oil, Gas &amp; Petrochemicals</x:v>
      </x:c>
      <x:c r="F4555" s="13" t="str">
        <x:v>Deep Cyclicals</x:v>
      </x:c>
      <x:c r="G4555" s="13" t="str">
        <x:v>grid_asitui1y.xlsx</x:v>
      </x:c>
    </x:row>
    <x:row r="4556">
      <x:c r="A4556" s="15" t="n">
        <x:v>42370</x:v>
      </x:c>
      <x:c r="B4556" s="13" t="str">
        <x:v>ULTRAPAR PARTICIPACOES SA</x:v>
      </x:c>
      <x:c r="C4556" s="16" t="n">
        <x:v>1670.3030629699</x:v>
      </x:c>
      <x:c r="D4556" s="13" t="str">
        <x:v>Oil, Gas &amp; Petrochemicals</x:v>
      </x:c>
      <x:c r="E4556" s="13" t="str">
        <x:v>Oil, Gas &amp; Petrochemicals</x:v>
      </x:c>
      <x:c r="F4556" s="13" t="str">
        <x:v>Deep Cyclicals</x:v>
      </x:c>
      <x:c r="G4556" s="13" t="str">
        <x:v>grid_asitui1y.xlsx</x:v>
      </x:c>
    </x:row>
    <x:row r="4557">
      <x:c r="A4557" s="15" t="n">
        <x:v>42370</x:v>
      </x:c>
      <x:c r="B4557" s="13" t="str">
        <x:v>FIBRIA CELULOSE S/A</x:v>
      </x:c>
      <x:c r="C4557" s="16" t="n">
        <x:v>2748.1677795945</x:v>
      </x:c>
      <x:c r="D4557" s="13" t="str">
        <x:v>Pulp &amp; Paper</x:v>
      </x:c>
      <x:c r="E4557" s="13" t="str">
        <x:v>Pulp &amp; Paper</x:v>
      </x:c>
      <x:c r="F4557" s="13" t="str">
        <x:v>Deep Cyclicals</x:v>
      </x:c>
      <x:c r="G4557" s="13" t="str">
        <x:v>grid_asitui1y.xlsx</x:v>
      </x:c>
    </x:row>
    <x:row r="4558">
      <x:c r="A4558" s="15" t="n">
        <x:v>42370</x:v>
      </x:c>
      <x:c r="B4558" s="13" t="str">
        <x:v>KLABIN SA - UNIT</x:v>
      </x:c>
      <x:c r="C4558" s="16" t="n">
        <x:v>912.1825129205</x:v>
      </x:c>
      <x:c r="D4558" s="13" t="str">
        <x:v>Pulp &amp; Paper</x:v>
      </x:c>
      <x:c r="E4558" s="13" t="str">
        <x:v>Pulp &amp; Paper</x:v>
      </x:c>
      <x:c r="F4558" s="13" t="str">
        <x:v>Deep Cyclicals</x:v>
      </x:c>
      <x:c r="G4558" s="13" t="str">
        <x:v>grid_asitui1y.xlsx</x:v>
      </x:c>
    </x:row>
    <x:row r="4559">
      <x:c r="A4559" s="15" t="n">
        <x:v>42370</x:v>
      </x:c>
      <x:c r="B4559" s="13" t="str">
        <x:v>SUZANO PAPEL E CELULO-PREF A</x:v>
      </x:c>
      <x:c r="C4559" s="16" t="n">
        <x:v>2353.6390641973</x:v>
      </x:c>
      <x:c r="D4559" s="13" t="str">
        <x:v>Pulp &amp; Paper</x:v>
      </x:c>
      <x:c r="E4559" s="13" t="str">
        <x:v>Pulp &amp; Paper</x:v>
      </x:c>
      <x:c r="F4559" s="13" t="str">
        <x:v>Deep Cyclicals</x:v>
      </x:c>
      <x:c r="G4559" s="13" t="str">
        <x:v>grid_asitui1y.xlsx</x:v>
      </x:c>
    </x:row>
    <x:row r="4560">
      <x:c r="A4560" s="15" t="n">
        <x:v>42370</x:v>
      </x:c>
      <x:c r="B4560" s="13" t="str">
        <x:v>CIA BRASILEIRA DE DIS-PREF</x:v>
      </x:c>
      <x:c r="C4560" s="16" t="n">
        <x:v>770.0181752986</x:v>
      </x:c>
      <x:c r="D4560" s="13" t="str">
        <x:v>Retail</x:v>
      </x:c>
      <x:c r="E4560" s="13" t="str">
        <x:v>Retail</x:v>
      </x:c>
      <x:c r="F4560" s="13" t="str">
        <x:v>Early Cyclicals</x:v>
      </x:c>
      <x:c r="G4560" s="13" t="str">
        <x:v>grid_asitui1y.xlsx</x:v>
      </x:c>
    </x:row>
    <x:row r="4561">
      <x:c r="A4561" s="15" t="n">
        <x:v>42370</x:v>
      </x:c>
      <x:c r="B4561" s="13" t="str">
        <x:v>CIA HERING</x:v>
      </x:c>
      <x:c r="C4561" s="16" t="n">
        <x:v>251.9570895781</x:v>
      </x:c>
      <x:c r="D4561" s="13" t="str">
        <x:v>Retail</x:v>
      </x:c>
      <x:c r="E4561" s="13" t="str">
        <x:v>Retail</x:v>
      </x:c>
      <x:c r="F4561" s="13" t="str">
        <x:v>Early Cyclicals</x:v>
      </x:c>
      <x:c r="G4561" s="13" t="str">
        <x:v>grid_asitui1y.xlsx</x:v>
      </x:c>
    </x:row>
    <x:row r="4562">
      <x:c r="A4562" s="15" t="n">
        <x:v>42370</x:v>
      </x:c>
      <x:c r="B4562" s="13" t="str">
        <x:v>LOJAS AMERICANAS SA-PREF</x:v>
      </x:c>
      <x:c r="C4562" s="16" t="n">
        <x:v>568.0978688</x:v>
      </x:c>
      <x:c r="D4562" s="13" t="str">
        <x:v>Retail</x:v>
      </x:c>
      <x:c r="E4562" s="13" t="str">
        <x:v>Retail</x:v>
      </x:c>
      <x:c r="F4562" s="13" t="str">
        <x:v>Early Cyclicals</x:v>
      </x:c>
      <x:c r="G4562" s="13" t="str">
        <x:v>grid_asitui1y.xlsx</x:v>
      </x:c>
    </x:row>
    <x:row r="4563">
      <x:c r="A4563" s="15" t="n">
        <x:v>42370</x:v>
      </x:c>
      <x:c r="B4563" s="13" t="str">
        <x:v>LOJAS RENNER S.A.</x:v>
      </x:c>
      <x:c r="C4563" s="16" t="n">
        <x:v>685.0229461918</x:v>
      </x:c>
      <x:c r="D4563" s="13" t="str">
        <x:v>Retail</x:v>
      </x:c>
      <x:c r="E4563" s="13" t="str">
        <x:v>Retail</x:v>
      </x:c>
      <x:c r="F4563" s="13" t="str">
        <x:v>Early Cyclicals</x:v>
      </x:c>
      <x:c r="G4563" s="13" t="str">
        <x:v>grid_asitui1y.xlsx</x:v>
      </x:c>
    </x:row>
    <x:row r="4564">
      <x:c r="A4564" s="15" t="n">
        <x:v>42370</x:v>
      </x:c>
      <x:c r="B4564" s="13" t="str">
        <x:v>NATURA COSMETICOS SA</x:v>
      </x:c>
      <x:c r="C4564" s="16" t="n">
        <x:v>660.4460295014</x:v>
      </x:c>
      <x:c r="D4564" s="13" t="str">
        <x:v>Retail</x:v>
      </x:c>
      <x:c r="E4564" s="13" t="str">
        <x:v>Retail</x:v>
      </x:c>
      <x:c r="F4564" s="13" t="str">
        <x:v>Early Cyclicals</x:v>
      </x:c>
      <x:c r="G4564" s="13" t="str">
        <x:v>grid_asitui1y.xlsx</x:v>
      </x:c>
    </x:row>
    <x:row r="4565">
      <x:c r="A4565" s="15" t="n">
        <x:v>42370</x:v>
      </x:c>
      <x:c r="B4565" s="13" t="str">
        <x:v>RAIA DROGASIL SA</x:v>
      </x:c>
      <x:c r="C4565" s="16" t="n">
        <x:v>464.2681873534</x:v>
      </x:c>
      <x:c r="D4565" s="13" t="str">
        <x:v>Retail</x:v>
      </x:c>
      <x:c r="E4565" s="13" t="str">
        <x:v>Retail</x:v>
      </x:c>
      <x:c r="F4565" s="13" t="str">
        <x:v>Early Cyclicals</x:v>
      </x:c>
      <x:c r="G4565" s="13" t="str">
        <x:v>grid_asitui1y.xlsx</x:v>
      </x:c>
    </x:row>
    <x:row r="4566">
      <x:c r="A4566" s="15" t="n">
        <x:v>42370</x:v>
      </x:c>
      <x:c r="B4566" s="13" t="str">
        <x:v>CIA SANEAMENTO BASICO DE SP</x:v>
      </x:c>
      <x:c r="C4566" s="16" t="n">
        <x:v>1367.8522385534</x:v>
      </x:c>
      <x:c r="D4566" s="13" t="str">
        <x:v>Sanitation</x:v>
      </x:c>
      <x:c r="E4566" s="13" t="str">
        <x:v>Utilities</x:v>
      </x:c>
      <x:c r="F4566" s="13" t="str">
        <x:v>Defensives</x:v>
      </x:c>
      <x:c r="G4566" s="13" t="str">
        <x:v>grid_asitui1y.xlsx</x:v>
      </x:c>
    </x:row>
    <x:row r="4567">
      <x:c r="A4567" s="15" t="n">
        <x:v>42370</x:v>
      </x:c>
      <x:c r="B4567" s="13" t="str">
        <x:v>OI S.A.</x:v>
      </x:c>
      <x:c r="C4567" s="16" t="n">
        <x:v>-1719.8732747397</x:v>
      </x:c>
      <x:c r="D4567" s="13" t="str">
        <x:v>TMT</x:v>
      </x:c>
      <x:c r="E4567" s="13" t="str">
        <x:v>TMT</x:v>
      </x:c>
      <x:c r="F4567" s="13" t="str">
        <x:v>Early Cyclicals</x:v>
      </x:c>
      <x:c r="G4567" s="13" t="str">
        <x:v>grid_asitui1y.xlsx</x:v>
      </x:c>
    </x:row>
    <x:row r="4568">
      <x:c r="A4568" s="15" t="n">
        <x:v>42370</x:v>
      </x:c>
      <x:c r="B4568" s="13" t="str">
        <x:v>TELEFONICA BRASIL S.A.-PREF</x:v>
      </x:c>
      <x:c r="C4568" s="16" t="n">
        <x:v>4776.0255256548</x:v>
      </x:c>
      <x:c r="D4568" s="13" t="str">
        <x:v>TMT</x:v>
      </x:c>
      <x:c r="E4568" s="13" t="str">
        <x:v>TMT</x:v>
      </x:c>
      <x:c r="F4568" s="13" t="str">
        <x:v>Early Cyclicals</x:v>
      </x:c>
      <x:c r="G4568" s="13" t="str">
        <x:v>grid_asitui1y.xlsx</x:v>
      </x:c>
    </x:row>
    <x:row r="4569">
      <x:c r="A4569" s="15" t="n">
        <x:v>42370</x:v>
      </x:c>
      <x:c r="B4569" s="13" t="str">
        <x:v>TIM SA</x:v>
      </x:c>
      <x:c r="C4569" s="16" t="n">
        <x:v>1037.1177112548</x:v>
      </x:c>
      <x:c r="D4569" s="13" t="str">
        <x:v>TMT</x:v>
      </x:c>
      <x:c r="E4569" s="13" t="str">
        <x:v>TMT</x:v>
      </x:c>
      <x:c r="F4569" s="13" t="str">
        <x:v>Early Cyclicals</x:v>
      </x:c>
      <x:c r="G4569" s="13" t="str">
        <x:v>grid_asitui1y.xlsx</x:v>
      </x:c>
    </x:row>
    <x:row r="4570">
      <x:c r="A4570" s="15" t="n">
        <x:v>42370</x:v>
      </x:c>
      <x:c r="B4570" s="13" t="str">
        <x:v>ECORODOVIAS INFRA E LOG SA</x:v>
      </x:c>
      <x:c r="C4570" s="16" t="n">
        <x:v>190.5828876712</x:v>
      </x:c>
      <x:c r="D4570" s="13" t="str">
        <x:v>Transportation</x:v>
      </x:c>
      <x:c r="E4570" s="13" t="str">
        <x:v>Transportation</x:v>
      </x:c>
      <x:c r="F4570" s="13" t="str">
        <x:v>Deep Cyclicals</x:v>
      </x:c>
      <x:c r="G4570" s="13" t="str">
        <x:v>grid_asitui1y.xlsx</x:v>
      </x:c>
    </x:row>
    <x:row r="4571">
      <x:c r="A4571" s="15" t="n">
        <x:v>42370</x:v>
      </x:c>
      <x:c r="B4571" s="13" t="str">
        <x:v>LOCALIZA RENT A CAR</x:v>
      </x:c>
      <x:c r="C4571" s="16" t="n">
        <x:v>340.040569863</x:v>
      </x:c>
      <x:c r="D4571" s="13" t="str">
        <x:v>Transportation</x:v>
      </x:c>
      <x:c r="E4571" s="13" t="str">
        <x:v>Transportation</x:v>
      </x:c>
      <x:c r="F4571" s="13" t="str">
        <x:v>Deep Cyclicals</x:v>
      </x:c>
      <x:c r="G4571" s="13" t="str">
        <x:v>grid_asitui1y.xlsx</x:v>
      </x:c>
    </x:row>
    <x:row r="4572">
      <x:c r="A4572" s="15" t="n">
        <x:v>42370</x:v>
      </x:c>
      <x:c r="B4572" s="13" t="str">
        <x:v>MOTIVA INFRAESTRUTURA DE MOB</x:v>
      </x:c>
      <x:c r="C4572" s="16" t="n">
        <x:v>1300.5568434849</x:v>
      </x:c>
      <x:c r="D4572" s="13" t="str">
        <x:v>Transportation</x:v>
      </x:c>
      <x:c r="E4572" s="13" t="str">
        <x:v>Transportation</x:v>
      </x:c>
      <x:c r="F4572" s="13" t="str">
        <x:v>Deep Cyclicals</x:v>
      </x:c>
      <x:c r="G4572" s="13" t="str">
        <x:v>grid_asitui1y.xlsx</x:v>
      </x:c>
    </x:row>
    <x:row r="4573">
      <x:c r="A4573" s="15" t="n">
        <x:v>42370</x:v>
      </x:c>
      <x:c r="B4573" s="13" t="str">
        <x:v>CESP - CIA ENERGETICA DE SAO</x:v>
      </x:c>
      <x:c r="C4573" s="16" t="n">
        <x:v>358.0493150685</x:v>
      </x:c>
      <x:c r="D4573" s="13" t="str">
        <x:v>Utilities &amp; Energy</x:v>
      </x:c>
      <x:c r="E4573" s="13" t="str">
        <x:v>Utilities</x:v>
      </x:c>
      <x:c r="F4573" s="13" t="str">
        <x:v>Defensives</x:v>
      </x:c>
      <x:c r="G4573" s="13" t="str">
        <x:v>grid_asitui1y.xlsx</x:v>
      </x:c>
    </x:row>
    <x:row r="4574">
      <x:c r="A4574" s="15" t="n">
        <x:v>42370</x:v>
      </x:c>
      <x:c r="B4574" s="13" t="str">
        <x:v>CIA ENERGETICA MINAS GER-PRF</x:v>
      </x:c>
      <x:c r="C4574" s="16" t="n">
        <x:v>1269.3414933041</x:v>
      </x:c>
      <x:c r="D4574" s="13" t="str">
        <x:v>Utilities &amp; Energy</x:v>
      </x:c>
      <x:c r="E4574" s="13" t="str">
        <x:v>Utilities</x:v>
      </x:c>
      <x:c r="F4574" s="13" t="str">
        <x:v>Defensives</x:v>
      </x:c>
      <x:c r="G4574" s="13" t="str">
        <x:v>grid_asitui1y.xlsx</x:v>
      </x:c>
    </x:row>
    <x:row r="4575">
      <x:c r="A4575" s="15" t="n">
        <x:v>42370</x:v>
      </x:c>
      <x:c r="B4575" s="13" t="str">
        <x:v>COMPANHIA PARANAENSE -PREF B</x:v>
      </x:c>
      <x:c r="C4575" s="16" t="n">
        <x:v>1297.1414591123</x:v>
      </x:c>
      <x:c r="D4575" s="13" t="str">
        <x:v>Utilities &amp; Energy</x:v>
      </x:c>
      <x:c r="E4575" s="13" t="str">
        <x:v>Utilities</x:v>
      </x:c>
      <x:c r="F4575" s="13" t="str">
        <x:v>Defensives</x:v>
      </x:c>
      <x:c r="G4575" s="13" t="str">
        <x:v>grid_asitui1y.xlsx</x:v>
      </x:c>
    </x:row>
    <x:row r="4576">
      <x:c r="A4576" s="15" t="n">
        <x:v>42370</x:v>
      </x:c>
      <x:c r="B4576" s="13" t="str">
        <x:v>CPFL ENERGIA SA</x:v>
      </x:c>
      <x:c r="C4576" s="16" t="n">
        <x:v>1065.5538666959</x:v>
      </x:c>
      <x:c r="D4576" s="13" t="str">
        <x:v>Utilities &amp; Energy</x:v>
      </x:c>
      <x:c r="E4576" s="13" t="str">
        <x:v>Utilities</x:v>
      </x:c>
      <x:c r="F4576" s="13" t="str">
        <x:v>Defensives</x:v>
      </x:c>
      <x:c r="G4576" s="13" t="str">
        <x:v>grid_asitui1y.xlsx</x:v>
      </x:c>
    </x:row>
    <x:row r="4577">
      <x:c r="A4577" s="15" t="n">
        <x:v>42370</x:v>
      </x:c>
      <x:c r="B4577" s="13" t="str">
        <x:v>EDP - ENERGIAS DO BRASIL SA</x:v>
      </x:c>
      <x:c r="C4577" s="16" t="n">
        <x:v>550.5174408767</x:v>
      </x:c>
      <x:c r="D4577" s="13" t="str">
        <x:v>Utilities &amp; Energy</x:v>
      </x:c>
      <x:c r="E4577" s="13" t="str">
        <x:v>Utilities</x:v>
      </x:c>
      <x:c r="F4577" s="13" t="str">
        <x:v>Defensives</x:v>
      </x:c>
      <x:c r="G4577" s="13" t="str">
        <x:v>grid_asitui1y.xlsx</x:v>
      </x:c>
    </x:row>
    <x:row r="4578">
      <x:c r="A4578" s="15" t="n">
        <x:v>42370</x:v>
      </x:c>
      <x:c r="B4578" s="13" t="str">
        <x:v>ENGIE BRASIL ENERGIA SA</x:v>
      </x:c>
      <x:c r="C4578" s="16" t="n">
        <x:v>1879.754021874</x:v>
      </x:c>
      <x:c r="D4578" s="13" t="str">
        <x:v>Utilities &amp; Energy</x:v>
      </x:c>
      <x:c r="E4578" s="13" t="str">
        <x:v>Utilities</x:v>
      </x:c>
      <x:c r="F4578" s="13" t="str">
        <x:v>Defensives</x:v>
      </x:c>
      <x:c r="G4578" s="13" t="str">
        <x:v>grid_asitui1y.xlsx</x:v>
      </x:c>
    </x:row>
    <x:row r="4579">
      <x:c r="A4579" s="15" t="n">
        <x:v>42370</x:v>
      </x:c>
      <x:c r="B4579" s="13" t="str">
        <x:v>EQUATORIAL SA - ORD</x:v>
      </x:c>
      <x:c r="C4579" s="16" t="n">
        <x:v>636.3845900274</x:v>
      </x:c>
      <x:c r="D4579" s="13" t="str">
        <x:v>Utilities &amp; Energy</x:v>
      </x:c>
      <x:c r="E4579" s="13" t="str">
        <x:v>Utilities</x:v>
      </x:c>
      <x:c r="F4579" s="13" t="str">
        <x:v>Defensives</x:v>
      </x:c>
      <x:c r="G4579" s="13" t="str">
        <x:v>grid_asitui1y.xlsx</x:v>
      </x:c>
    </x:row>
    <x:row r="4580">
      <x:c r="A4580" s="15" t="n">
        <x:v>42401</x:v>
      </x:c>
      <x:c r="B4580" s="13" t="str">
        <x:v>BANCO BRADESCO S.A.</x:v>
      </x:c>
      <x:c r="C4580" s="16" t="n">
        <x:v>17137.6507749699</x:v>
      </x:c>
      <x:c r="D4580" s="13" t="str">
        <x:v>Banks</x:v>
      </x:c>
      <x:c r="E4580" s="13" t="str">
        <x:v>Banks</x:v>
      </x:c>
      <x:c r="F4580" s="13" t="str">
        <x:v>Financials</x:v>
      </x:c>
      <x:c r="G4580" s="13" t="str">
        <x:v>grid_asitui1y.xlsx</x:v>
      </x:c>
    </x:row>
    <x:row r="4581">
      <x:c r="A4581" s="15" t="n">
        <x:v>42401</x:v>
      </x:c>
      <x:c r="B4581" s="13" t="str">
        <x:v>BANCO BRADESCO SA-PREF</x:v>
      </x:c>
      <x:c r="C4581" s="16" t="n">
        <x:v>17137.6507749699</x:v>
      </x:c>
      <x:c r="D4581" s="13" t="str">
        <x:v>Banks</x:v>
      </x:c>
      <x:c r="E4581" s="13" t="str">
        <x:v>Banks</x:v>
      </x:c>
      <x:c r="F4581" s="13" t="str">
        <x:v>Financials</x:v>
      </x:c>
      <x:c r="G4581" s="13" t="str">
        <x:v>grid_asitui1y.xlsx</x:v>
      </x:c>
    </x:row>
    <x:row r="4582">
      <x:c r="A4582" s="15" t="n">
        <x:v>42401</x:v>
      </x:c>
      <x:c r="B4582" s="13" t="str">
        <x:v>BANCO DO BRASIL S.A.</x:v>
      </x:c>
      <x:c r="C4582" s="16" t="n">
        <x:v>10815.8319068932</x:v>
      </x:c>
      <x:c r="D4582" s="13" t="str">
        <x:v>Banks</x:v>
      </x:c>
      <x:c r="E4582" s="13" t="str">
        <x:v>Banks</x:v>
      </x:c>
      <x:c r="F4582" s="13" t="str">
        <x:v>Financials</x:v>
      </x:c>
      <x:c r="G4582" s="13" t="str">
        <x:v>grid_asitui1y.xlsx</x:v>
      </x:c>
    </x:row>
    <x:row r="4583">
      <x:c r="A4583" s="15" t="n">
        <x:v>42401</x:v>
      </x:c>
      <x:c r="B4583" s="13" t="str">
        <x:v>BANCO SANTANDER  BRASIL-UNIT</x:v>
      </x:c>
      <x:c r="C4583" s="16" t="n">
        <x:v>5323.0747928548</x:v>
      </x:c>
      <x:c r="D4583" s="13" t="str">
        <x:v>Banks</x:v>
      </x:c>
      <x:c r="E4583" s="13" t="str">
        <x:v>Banks</x:v>
      </x:c>
      <x:c r="F4583" s="13" t="str">
        <x:v>Financials</x:v>
      </x:c>
      <x:c r="G4583" s="13" t="str">
        <x:v>grid_asitui1y.xlsx</x:v>
      </x:c>
    </x:row>
    <x:row r="4584">
      <x:c r="A4584" s="15" t="n">
        <x:v>42401</x:v>
      </x:c>
      <x:c r="B4584" s="13" t="str">
        <x:v>ITAU UNIBANCO HOLDING S-PREF</x:v>
      </x:c>
      <x:c r="C4584" s="16" t="n">
        <x:v>21189.7803256986</x:v>
      </x:c>
      <x:c r="D4584" s="13" t="str">
        <x:v>Banks</x:v>
      </x:c>
      <x:c r="E4584" s="13" t="str">
        <x:v>Banks</x:v>
      </x:c>
      <x:c r="F4584" s="13" t="str">
        <x:v>Financials</x:v>
      </x:c>
      <x:c r="G4584" s="13" t="str">
        <x:v>grid_asitui1y.xlsx</x:v>
      </x:c>
    </x:row>
    <x:row r="4585">
      <x:c r="A4585" s="15" t="n">
        <x:v>42401</x:v>
      </x:c>
      <x:c r="B4585" s="13" t="str">
        <x:v>EMBRAER SA</x:v>
      </x:c>
      <x:c r="C4585" s="16" t="n">
        <x:v>1617.0097502685</x:v>
      </x:c>
      <x:c r="D4585" s="13" t="str">
        <x:v>Capital Goods</x:v>
      </x:c>
      <x:c r="E4585" s="13" t="str">
        <x:v>Capital Goods</x:v>
      </x:c>
      <x:c r="F4585" s="13" t="str">
        <x:v>Deep Cyclicals</x:v>
      </x:c>
      <x:c r="G4585" s="13" t="str">
        <x:v>grid_asitui1y.xlsx</x:v>
      </x:c>
    </x:row>
    <x:row r="4586">
      <x:c r="A4586" s="15" t="n">
        <x:v>42401</x:v>
      </x:c>
      <x:c r="B4586" s="13" t="str">
        <x:v>WEG SA</x:v>
      </x:c>
      <x:c r="C4586" s="16" t="n">
        <x:v>1271.1876124055</x:v>
      </x:c>
      <x:c r="D4586" s="13" t="str">
        <x:v>Capital Goods</x:v>
      </x:c>
      <x:c r="E4586" s="13" t="str">
        <x:v>Capital Goods</x:v>
      </x:c>
      <x:c r="F4586" s="13" t="str">
        <x:v>Deep Cyclicals</x:v>
      </x:c>
      <x:c r="G4586" s="13" t="str">
        <x:v>grid_asitui1y.xlsx</x:v>
      </x:c>
    </x:row>
    <x:row r="4587">
      <x:c r="A4587" s="15" t="n">
        <x:v>42401</x:v>
      </x:c>
      <x:c r="B4587" s="13" t="str">
        <x:v>COGNA EDUCACAO</x:v>
      </x:c>
      <x:c r="C4587" s="16" t="n">
        <x:v>1856.0294049315</x:v>
      </x:c>
      <x:c r="D4587" s="13" t="str">
        <x:v>Education</x:v>
      </x:c>
      <x:c r="E4587" s="13" t="str">
        <x:v>Education</x:v>
      </x:c>
      <x:c r="F4587" s="13" t="str">
        <x:v>Early Cyclicals</x:v>
      </x:c>
      <x:c r="G4587" s="13" t="str">
        <x:v>grid_asitui1y.xlsx</x:v>
      </x:c>
    </x:row>
    <x:row r="4588">
      <x:c r="A4588" s="15" t="n">
        <x:v>42401</x:v>
      </x:c>
      <x:c r="B4588" s="13" t="str">
        <x:v>YDUQS PARTICIPACOES SA</x:v>
      </x:c>
      <x:c r="C4588" s="16" t="n">
        <x:v>573.2380928</x:v>
      </x:c>
      <x:c r="D4588" s="13" t="str">
        <x:v>Education</x:v>
      </x:c>
      <x:c r="E4588" s="13" t="str">
        <x:v>Education</x:v>
      </x:c>
      <x:c r="F4588" s="13" t="str">
        <x:v>Early Cyclicals</x:v>
      </x:c>
      <x:c r="G4588" s="13" t="str">
        <x:v>grid_asitui1y.xlsx</x:v>
      </x:c>
    </x:row>
    <x:row r="4589">
      <x:c r="A4589" s="15" t="n">
        <x:v>42401</x:v>
      </x:c>
      <x:c r="B4589" s="13" t="str">
        <x:v>B3 SA-BRASIL BOLSA BALCAO</x:v>
      </x:c>
      <x:c r="C4589" s="16" t="n">
        <x:v>1799.3649201096</x:v>
      </x:c>
      <x:c r="D4589" s="13" t="str">
        <x:v>Financials Non-Banks</x:v>
      </x:c>
      <x:c r="E4589" s="13" t="str">
        <x:v>Financials Non-Banks</x:v>
      </x:c>
      <x:c r="F4589" s="13" t="str">
        <x:v>Financials</x:v>
      </x:c>
      <x:c r="G4589" s="13" t="str">
        <x:v>grid_asitui1y.xlsx</x:v>
      </x:c>
    </x:row>
    <x:row r="4590">
      <x:c r="A4590" s="15" t="n">
        <x:v>42401</x:v>
      </x:c>
      <x:c r="B4590" s="13" t="str">
        <x:v>BB SEGURIDADE PARTICIPACOES</x:v>
      </x:c>
      <x:c r="C4590" s="16" t="n">
        <x:v>4455.1708573808</x:v>
      </x:c>
      <x:c r="D4590" s="13" t="str">
        <x:v>Financials Non-Banks</x:v>
      </x:c>
      <x:c r="E4590" s="13" t="str">
        <x:v>Financials Non-Banks</x:v>
      </x:c>
      <x:c r="F4590" s="13" t="str">
        <x:v>Financials</x:v>
      </x:c>
      <x:c r="G4590" s="13" t="str">
        <x:v>grid_asitui1y.xlsx</x:v>
      </x:c>
    </x:row>
    <x:row r="4591">
      <x:c r="A4591" s="15" t="n">
        <x:v>42401</x:v>
      </x:c>
      <x:c r="B4591" s="13" t="str">
        <x:v>CETIP SA-MERCADOS ORGANIZADO</x:v>
      </x:c>
      <x:c r="C4591" s="16" t="n">
        <x:v>602.3336279671</x:v>
      </x:c>
      <x:c r="D4591" s="13" t="str">
        <x:v>Financials Non-Banks</x:v>
      </x:c>
      <x:c r="E4591" s="13" t="str">
        <x:v>Financials Non-Banks</x:v>
      </x:c>
      <x:c r="F4591" s="13" t="str">
        <x:v>Financials</x:v>
      </x:c>
      <x:c r="G4591" s="13" t="str">
        <x:v>grid_asitui1y.xlsx</x:v>
      </x:c>
    </x:row>
    <x:row r="4592">
      <x:c r="A4592" s="15" t="n">
        <x:v>42401</x:v>
      </x:c>
      <x:c r="B4592" s="13" t="str">
        <x:v>CIELO SA - INSTITUICAO DE PA</x:v>
      </x:c>
      <x:c r="C4592" s="16" t="n">
        <x:v>4108.6599266192</x:v>
      </x:c>
      <x:c r="D4592" s="13" t="str">
        <x:v>Financials Non-Banks</x:v>
      </x:c>
      <x:c r="E4592" s="13" t="str">
        <x:v>Financials Non-Banks</x:v>
      </x:c>
      <x:c r="F4592" s="13" t="str">
        <x:v>Financials</x:v>
      </x:c>
      <x:c r="G4592" s="13" t="str">
        <x:v>grid_asitui1y.xlsx</x:v>
      </x:c>
    </x:row>
    <x:row r="4593">
      <x:c r="A4593" s="15" t="n">
        <x:v>42401</x:v>
      </x:c>
      <x:c r="B4593" s="13" t="str">
        <x:v>ITAUSA SA</x:v>
      </x:c>
      <x:c r="C4593" s="16" t="n">
        <x:v>7675.2931629589</x:v>
      </x:c>
      <x:c r="D4593" s="13" t="str">
        <x:v>Financials Non-Banks</x:v>
      </x:c>
      <x:c r="E4593" s="13" t="str">
        <x:v>Financials Non-Banks</x:v>
      </x:c>
      <x:c r="F4593" s="13" t="str">
        <x:v>Financials</x:v>
      </x:c>
      <x:c r="G4593" s="13" t="str">
        <x:v>grid_asitui1y.xlsx</x:v>
      </x:c>
    </x:row>
    <x:row r="4594">
      <x:c r="A4594" s="15" t="n">
        <x:v>42401</x:v>
      </x:c>
      <x:c r="B4594" s="13" t="str">
        <x:v>AMBEV SA</x:v>
      </x:c>
      <x:c r="C4594" s="16" t="n">
        <x:v>15617.5907573479</x:v>
      </x:c>
      <x:c r="D4594" s="13" t="str">
        <x:v>Food &amp; Beverages</x:v>
      </x:c>
      <x:c r="E4594" s="13" t="str">
        <x:v>Agri, Food &amp; Beverages</x:v>
      </x:c>
      <x:c r="F4594" s="13" t="str">
        <x:v>Defensives</x:v>
      </x:c>
      <x:c r="G4594" s="13" t="str">
        <x:v>grid_asitui1y.xlsx</x:v>
      </x:c>
    </x:row>
    <x:row r="4595">
      <x:c r="A4595" s="15" t="n">
        <x:v>42401</x:v>
      </x:c>
      <x:c r="B4595" s="13" t="str">
        <x:v>BRF SA</x:v>
      </x:c>
      <x:c r="C4595" s="16" t="n">
        <x:v>2956.3929389589</x:v>
      </x:c>
      <x:c r="D4595" s="13" t="str">
        <x:v>Food &amp; Beverages</x:v>
      </x:c>
      <x:c r="E4595" s="13" t="str">
        <x:v>Agri, Food &amp; Beverages</x:v>
      </x:c>
      <x:c r="F4595" s="13" t="str">
        <x:v>Defensives</x:v>
      </x:c>
      <x:c r="G4595" s="13" t="str">
        <x:v>grid_asitui1y.xlsx</x:v>
      </x:c>
    </x:row>
    <x:row r="4596">
      <x:c r="A4596" s="15" t="n">
        <x:v>42401</x:v>
      </x:c>
      <x:c r="B4596" s="13" t="str">
        <x:v>JBS SA</x:v>
      </x:c>
      <x:c r="C4596" s="16" t="n">
        <x:v>4637.021292011</x:v>
      </x:c>
      <x:c r="D4596" s="13" t="str">
        <x:v>Food &amp; Beverages</x:v>
      </x:c>
      <x:c r="E4596" s="13" t="str">
        <x:v>Agri, Food &amp; Beverages</x:v>
      </x:c>
      <x:c r="F4596" s="13" t="str">
        <x:v>Defensives</x:v>
      </x:c>
      <x:c r="G4596" s="13" t="str">
        <x:v>grid_asitui1y.xlsx</x:v>
      </x:c>
    </x:row>
    <x:row r="4597">
      <x:c r="A4597" s="15" t="n">
        <x:v>42401</x:v>
      </x:c>
      <x:c r="B4597" s="13" t="str">
        <x:v>MBRF GLOBAL FOODS COMPANY SA</x:v>
      </x:c>
      <x:c r="C4597" s="16" t="n">
        <x:v>253.0851080767</x:v>
      </x:c>
      <x:c r="D4597" s="13" t="str">
        <x:v>Food &amp; Beverages</x:v>
      </x:c>
      <x:c r="E4597" s="13" t="str">
        <x:v>Agri, Food &amp; Beverages</x:v>
      </x:c>
      <x:c r="F4597" s="13" t="str">
        <x:v>Defensives</x:v>
      </x:c>
      <x:c r="G4597" s="13" t="str">
        <x:v>grid_asitui1y.xlsx</x:v>
      </x:c>
    </x:row>
    <x:row r="4598">
      <x:c r="A4598" s="15" t="n">
        <x:v>42401</x:v>
      </x:c>
      <x:c r="B4598" s="13" t="str">
        <x:v>HYPERA SA</x:v>
      </x:c>
      <x:c r="C4598" s="16" t="n">
        <x:v>681.4803822466</x:v>
      </x:c>
      <x:c r="D4598" s="13" t="str">
        <x:v>Health Care</x:v>
      </x:c>
      <x:c r="E4598" s="13" t="str">
        <x:v>Health Care</x:v>
      </x:c>
      <x:c r="F4598" s="13" t="str">
        <x:v>Defensives</x:v>
      </x:c>
      <x:c r="G4598" s="13" t="str">
        <x:v>grid_asitui1y.xlsx</x:v>
      </x:c>
    </x:row>
    <x:row r="4599">
      <x:c r="A4599" s="15" t="n">
        <x:v>42401</x:v>
      </x:c>
      <x:c r="B4599" s="13" t="str">
        <x:v>QUALICORP CONS E CORR SEG SA</x:v>
      </x:c>
      <x:c r="C4599" s="16" t="n">
        <x:v>393.2996558027</x:v>
      </x:c>
      <x:c r="D4599" s="13" t="str">
        <x:v>Health Care</x:v>
      </x:c>
      <x:c r="E4599" s="13" t="str">
        <x:v>Health Care</x:v>
      </x:c>
      <x:c r="F4599" s="13" t="str">
        <x:v>Defensives</x:v>
      </x:c>
      <x:c r="G4599" s="13" t="str">
        <x:v>grid_asitui1y.xlsx</x:v>
      </x:c>
    </x:row>
    <x:row r="4600">
      <x:c r="A4600" s="15" t="n">
        <x:v>42401</x:v>
      </x:c>
      <x:c r="B4600" s="13" t="str">
        <x:v>CYRELA BRAZIL REALTY SA EMP</x:v>
      </x:c>
      <x:c r="C4600" s="16" t="n">
        <x:v>436.4102834849</x:v>
      </x:c>
      <x:c r="D4600" s="13" t="str">
        <x:v>Homebuilders</x:v>
      </x:c>
      <x:c r="E4600" s="13" t="str">
        <x:v>Real Estate</x:v>
      </x:c>
      <x:c r="F4600" s="13" t="str">
        <x:v>Early Cyclicals</x:v>
      </x:c>
      <x:c r="G4600" s="13" t="str">
        <x:v>grid_asitui1y.xlsx</x:v>
      </x:c>
    </x:row>
    <x:row r="4601">
      <x:c r="A4601" s="15" t="n">
        <x:v>42401</x:v>
      </x:c>
      <x:c r="B4601" s="13" t="str">
        <x:v>MRV ENGENHARIA</x:v>
      </x:c>
      <x:c r="C4601" s="16" t="n">
        <x:v>564.1642474959</x:v>
      </x:c>
      <x:c r="D4601" s="13" t="str">
        <x:v>Homebuilders</x:v>
      </x:c>
      <x:c r="E4601" s="13" t="str">
        <x:v>Real Estate</x:v>
      </x:c>
      <x:c r="F4601" s="13" t="str">
        <x:v>Early Cyclicals</x:v>
      </x:c>
      <x:c r="G4601" s="13" t="str">
        <x:v>grid_asitui1y.xlsx</x:v>
      </x:c>
    </x:row>
    <x:row r="4602">
      <x:c r="A4602" s="15" t="n">
        <x:v>42401</x:v>
      </x:c>
      <x:c r="B4602" s="13" t="str">
        <x:v>BR MALLS PARTICIPACOES SA</x:v>
      </x:c>
      <x:c r="C4602" s="16" t="n">
        <x:v>374.6269681973</x:v>
      </x:c>
      <x:c r="D4602" s="13" t="str">
        <x:v>Income Properties</x:v>
      </x:c>
      <x:c r="E4602" s="13" t="str">
        <x:v>Real Estate</x:v>
      </x:c>
      <x:c r="F4602" s="13" t="str">
        <x:v>Early Cyclicals</x:v>
      </x:c>
      <x:c r="G4602" s="13" t="str">
        <x:v>grid_asitui1y.xlsx</x:v>
      </x:c>
    </x:row>
    <x:row r="4603">
      <x:c r="A4603" s="15" t="n">
        <x:v>42401</x:v>
      </x:c>
      <x:c r="B4603" s="13" t="str">
        <x:v>MULTIPLAN EMPREENDIMENTOS</x:v>
      </x:c>
      <x:c r="C4603" s="16" t="n">
        <x:v>391.8394435507</x:v>
      </x:c>
      <x:c r="D4603" s="13" t="str">
        <x:v>Income Properties</x:v>
      </x:c>
      <x:c r="E4603" s="13" t="str">
        <x:v>Real Estate</x:v>
      </x:c>
      <x:c r="F4603" s="13" t="str">
        <x:v>Early Cyclicals</x:v>
      </x:c>
      <x:c r="G4603" s="13" t="str">
        <x:v>grid_asitui1y.xlsx</x:v>
      </x:c>
    </x:row>
    <x:row r="4604">
      <x:c r="A4604" s="15" t="n">
        <x:v>42401</x:v>
      </x:c>
      <x:c r="B4604" s="13" t="str">
        <x:v>BRADESPAR SA -PREF</x:v>
      </x:c>
      <x:c r="C4604" s="16" t="n">
        <x:v>-451.4216304219</x:v>
      </x:c>
      <x:c r="D4604" s="13" t="str">
        <x:v>Metals &amp; Mining</x:v>
      </x:c>
      <x:c r="E4604" s="13" t="str">
        <x:v>Metals &amp; Mining</x:v>
      </x:c>
      <x:c r="F4604" s="13" t="str">
        <x:v>Deep Cyclicals</x:v>
      </x:c>
      <x:c r="G4604" s="13" t="str">
        <x:v>grid_asitui1y.xlsx</x:v>
      </x:c>
    </x:row>
    <x:row r="4605">
      <x:c r="A4605" s="15" t="n">
        <x:v>42401</x:v>
      </x:c>
      <x:c r="B4605" s="13" t="str">
        <x:v>CIA SIDERURGICA NACIONAL SA</x:v>
      </x:c>
      <x:c r="C4605" s="16" t="n">
        <x:v>-1361.1270373699</x:v>
      </x:c>
      <x:c r="D4605" s="13" t="str">
        <x:v>Metals &amp; Mining</x:v>
      </x:c>
      <x:c r="E4605" s="13" t="str">
        <x:v>Metals &amp; Mining</x:v>
      </x:c>
      <x:c r="F4605" s="13" t="str">
        <x:v>Deep Cyclicals</x:v>
      </x:c>
      <x:c r="G4605" s="13" t="str">
        <x:v>grid_asitui1y.xlsx</x:v>
      </x:c>
    </x:row>
    <x:row r="4606">
      <x:c r="A4606" s="15" t="n">
        <x:v>42401</x:v>
      </x:c>
      <x:c r="B4606" s="13" t="str">
        <x:v>GERDAU SA-PREF</x:v>
      </x:c>
      <x:c r="C4606" s="16" t="n">
        <x:v>309.5042277699</x:v>
      </x:c>
      <x:c r="D4606" s="13" t="str">
        <x:v>Metals &amp; Mining</x:v>
      </x:c>
      <x:c r="E4606" s="13" t="str">
        <x:v>Metals &amp; Mining</x:v>
      </x:c>
      <x:c r="F4606" s="13" t="str">
        <x:v>Deep Cyclicals</x:v>
      </x:c>
      <x:c r="G4606" s="13" t="str">
        <x:v>grid_asitui1y.xlsx</x:v>
      </x:c>
    </x:row>
    <x:row r="4607">
      <x:c r="A4607" s="15" t="n">
        <x:v>42401</x:v>
      </x:c>
      <x:c r="B4607" s="13" t="str">
        <x:v>METALURGICA GERDAU SA-PREF</x:v>
      </x:c>
      <x:c r="C4607" s="16" t="n">
        <x:v>-279.6493150685</x:v>
      </x:c>
      <x:c r="D4607" s="13" t="str">
        <x:v>Metals &amp; Mining</x:v>
      </x:c>
      <x:c r="E4607" s="13" t="str">
        <x:v>Metals &amp; Mining</x:v>
      </x:c>
      <x:c r="F4607" s="13" t="str">
        <x:v>Deep Cyclicals</x:v>
      </x:c>
      <x:c r="G4607" s="13" t="str">
        <x:v>grid_asitui1y.xlsx</x:v>
      </x:c>
    </x:row>
    <x:row r="4608">
      <x:c r="A4608" s="15" t="n">
        <x:v>42401</x:v>
      </x:c>
      <x:c r="B4608" s="13" t="str">
        <x:v>USINAS SIDER MINAS GER-PF A</x:v>
      </x:c>
      <x:c r="C4608" s="16" t="n">
        <x:v>-1113.584971748</x:v>
      </x:c>
      <x:c r="D4608" s="13" t="str">
        <x:v>Metals &amp; Mining</x:v>
      </x:c>
      <x:c r="E4608" s="13" t="str">
        <x:v>Metals &amp; Mining</x:v>
      </x:c>
      <x:c r="F4608" s="13" t="str">
        <x:v>Deep Cyclicals</x:v>
      </x:c>
      <x:c r="G4608" s="13" t="str">
        <x:v>grid_asitui1y.xlsx</x:v>
      </x:c>
    </x:row>
    <x:row r="4609">
      <x:c r="A4609" s="15" t="n">
        <x:v>42401</x:v>
      </x:c>
      <x:c r="B4609" s="13" t="str">
        <x:v>VALE SA</x:v>
      </x:c>
      <x:c r="C4609" s="16" t="n">
        <x:v>-329.9201528986</x:v>
      </x:c>
      <x:c r="D4609" s="13" t="str">
        <x:v>Metals &amp; Mining</x:v>
      </x:c>
      <x:c r="E4609" s="13" t="str">
        <x:v>Metals &amp; Mining</x:v>
      </x:c>
      <x:c r="F4609" s="13" t="str">
        <x:v>Deep Cyclicals</x:v>
      </x:c>
      <x:c r="G4609" s="13" t="str">
        <x:v>grid_asitui1y.xlsx</x:v>
      </x:c>
    </x:row>
    <x:row r="4610">
      <x:c r="A4610" s="15" t="n">
        <x:v>42401</x:v>
      </x:c>
      <x:c r="B4610" s="13" t="str">
        <x:v>BRASKEM SA-PREF A</x:v>
      </x:c>
      <x:c r="C4610" s="16" t="n">
        <x:v>3712.4018807233</x:v>
      </x:c>
      <x:c r="D4610" s="13" t="str">
        <x:v>Oil, Gas &amp; Petrochemicals</x:v>
      </x:c>
      <x:c r="E4610" s="13" t="str">
        <x:v>Oil, Gas &amp; Petrochemicals</x:v>
      </x:c>
      <x:c r="F4610" s="13" t="str">
        <x:v>Deep Cyclicals</x:v>
      </x:c>
      <x:c r="G4610" s="13" t="str">
        <x:v>grid_asitui1y.xlsx</x:v>
      </x:c>
    </x:row>
    <x:row r="4611">
      <x:c r="A4611" s="15" t="n">
        <x:v>42401</x:v>
      </x:c>
      <x:c r="B4611" s="13" t="str">
        <x:v>COSAN SA</x:v>
      </x:c>
      <x:c r="C4611" s="16" t="n">
        <x:v>902.1184469918</x:v>
      </x:c>
      <x:c r="D4611" s="13" t="str">
        <x:v>Oil, Gas &amp; Petrochemicals</x:v>
      </x:c>
      <x:c r="E4611" s="13" t="str">
        <x:v>Oil, Gas &amp; Petrochemicals</x:v>
      </x:c>
      <x:c r="F4611" s="13" t="str">
        <x:v>Deep Cyclicals</x:v>
      </x:c>
      <x:c r="G4611" s="13" t="str">
        <x:v>grid_asitui1y.xlsx</x:v>
      </x:c>
    </x:row>
    <x:row r="4612">
      <x:c r="A4612" s="15" t="n">
        <x:v>42401</x:v>
      </x:c>
      <x:c r="B4612" s="13" t="str">
        <x:v>PETROBRAS - PETROLEO BRAS</x:v>
      </x:c>
      <x:c r="C4612" s="16" t="n">
        <x:v>9491.0419729534</x:v>
      </x:c>
      <x:c r="D4612" s="13" t="str">
        <x:v>Oil, Gas &amp; Petrochemicals</x:v>
      </x:c>
      <x:c r="E4612" s="13" t="str">
        <x:v>Oil, Gas &amp; Petrochemicals</x:v>
      </x:c>
      <x:c r="F4612" s="13" t="str">
        <x:v>Deep Cyclicals</x:v>
      </x:c>
      <x:c r="G4612" s="13" t="str">
        <x:v>grid_asitui1y.xlsx</x:v>
      </x:c>
    </x:row>
    <x:row r="4613">
      <x:c r="A4613" s="15" t="n">
        <x:v>42401</x:v>
      </x:c>
      <x:c r="B4613" s="13" t="str">
        <x:v>ULTRAPAR PARTICIPACOES SA</x:v>
      </x:c>
      <x:c r="C4613" s="16" t="n">
        <x:v>1700.6613202411</x:v>
      </x:c>
      <x:c r="D4613" s="13" t="str">
        <x:v>Oil, Gas &amp; Petrochemicals</x:v>
      </x:c>
      <x:c r="E4613" s="13" t="str">
        <x:v>Oil, Gas &amp; Petrochemicals</x:v>
      </x:c>
      <x:c r="F4613" s="13" t="str">
        <x:v>Deep Cyclicals</x:v>
      </x:c>
      <x:c r="G4613" s="13" t="str">
        <x:v>grid_asitui1y.xlsx</x:v>
      </x:c>
    </x:row>
    <x:row r="4614">
      <x:c r="A4614" s="15" t="n">
        <x:v>42401</x:v>
      </x:c>
      <x:c r="B4614" s="13" t="str">
        <x:v>FIBRIA CELULOSE S/A</x:v>
      </x:c>
      <x:c r="C4614" s="16" t="n">
        <x:v>2547.9084112658</x:v>
      </x:c>
      <x:c r="D4614" s="13" t="str">
        <x:v>Pulp &amp; Paper</x:v>
      </x:c>
      <x:c r="E4614" s="13" t="str">
        <x:v>Pulp &amp; Paper</x:v>
      </x:c>
      <x:c r="F4614" s="13" t="str">
        <x:v>Deep Cyclicals</x:v>
      </x:c>
      <x:c r="G4614" s="13" t="str">
        <x:v>grid_asitui1y.xlsx</x:v>
      </x:c>
    </x:row>
    <x:row r="4615">
      <x:c r="A4615" s="15" t="n">
        <x:v>42401</x:v>
      </x:c>
      <x:c r="B4615" s="13" t="str">
        <x:v>KLABIN SA - UNIT</x:v>
      </x:c>
      <x:c r="C4615" s="16" t="n">
        <x:v>1059.6561404493</x:v>
      </x:c>
      <x:c r="D4615" s="13" t="str">
        <x:v>Pulp &amp; Paper</x:v>
      </x:c>
      <x:c r="E4615" s="13" t="str">
        <x:v>Pulp &amp; Paper</x:v>
      </x:c>
      <x:c r="F4615" s="13" t="str">
        <x:v>Deep Cyclicals</x:v>
      </x:c>
      <x:c r="G4615" s="13" t="str">
        <x:v>grid_asitui1y.xlsx</x:v>
      </x:c>
    </x:row>
    <x:row r="4616">
      <x:c r="A4616" s="15" t="n">
        <x:v>42401</x:v>
      </x:c>
      <x:c r="B4616" s="13" t="str">
        <x:v>SUZANO PAPEL E CELULO-PREF A</x:v>
      </x:c>
      <x:c r="C4616" s="16" t="n">
        <x:v>2259.3359689644</x:v>
      </x:c>
      <x:c r="D4616" s="13" t="str">
        <x:v>Pulp &amp; Paper</x:v>
      </x:c>
      <x:c r="E4616" s="13" t="str">
        <x:v>Pulp &amp; Paper</x:v>
      </x:c>
      <x:c r="F4616" s="13" t="str">
        <x:v>Deep Cyclicals</x:v>
      </x:c>
      <x:c r="G4616" s="13" t="str">
        <x:v>grid_asitui1y.xlsx</x:v>
      </x:c>
    </x:row>
    <x:row r="4617">
      <x:c r="A4617" s="15" t="n">
        <x:v>42401</x:v>
      </x:c>
      <x:c r="B4617" s="13" t="str">
        <x:v>CIA BRASILEIRA DE DIS-PREF</x:v>
      </x:c>
      <x:c r="C4617" s="16" t="n">
        <x:v>623.2336768</x:v>
      </x:c>
      <x:c r="D4617" s="13" t="str">
        <x:v>Retail</x:v>
      </x:c>
      <x:c r="E4617" s="13" t="str">
        <x:v>Retail</x:v>
      </x:c>
      <x:c r="F4617" s="13" t="str">
        <x:v>Early Cyclicals</x:v>
      </x:c>
      <x:c r="G4617" s="13" t="str">
        <x:v>grid_asitui1y.xlsx</x:v>
      </x:c>
    </x:row>
    <x:row r="4618">
      <x:c r="A4618" s="15" t="n">
        <x:v>42401</x:v>
      </x:c>
      <x:c r="B4618" s="13" t="str">
        <x:v>CIA HERING</x:v>
      </x:c>
      <x:c r="C4618" s="16" t="n">
        <x:v>237.6718315836</x:v>
      </x:c>
      <x:c r="D4618" s="13" t="str">
        <x:v>Retail</x:v>
      </x:c>
      <x:c r="E4618" s="13" t="str">
        <x:v>Retail</x:v>
      </x:c>
      <x:c r="F4618" s="13" t="str">
        <x:v>Early Cyclicals</x:v>
      </x:c>
      <x:c r="G4618" s="13" t="str">
        <x:v>grid_asitui1y.xlsx</x:v>
      </x:c>
    </x:row>
    <x:row r="4619">
      <x:c r="A4619" s="15" t="n">
        <x:v>42401</x:v>
      </x:c>
      <x:c r="B4619" s="13" t="str">
        <x:v>LOJAS AMERICANAS SA-PREF</x:v>
      </x:c>
      <x:c r="C4619" s="16" t="n">
        <x:v>556.1534511342</x:v>
      </x:c>
      <x:c r="D4619" s="13" t="str">
        <x:v>Retail</x:v>
      </x:c>
      <x:c r="E4619" s="13" t="str">
        <x:v>Retail</x:v>
      </x:c>
      <x:c r="F4619" s="13" t="str">
        <x:v>Early Cyclicals</x:v>
      </x:c>
      <x:c r="G4619" s="13" t="str">
        <x:v>grid_asitui1y.xlsx</x:v>
      </x:c>
    </x:row>
    <x:row r="4620">
      <x:c r="A4620" s="15" t="n">
        <x:v>42401</x:v>
      </x:c>
      <x:c r="B4620" s="13" t="str">
        <x:v>LOJAS RENNER S.A.</x:v>
      </x:c>
      <x:c r="C4620" s="16" t="n">
        <x:v>680.5488548822</x:v>
      </x:c>
      <x:c r="D4620" s="13" t="str">
        <x:v>Retail</x:v>
      </x:c>
      <x:c r="E4620" s="13" t="str">
        <x:v>Retail</x:v>
      </x:c>
      <x:c r="F4620" s="13" t="str">
        <x:v>Early Cyclicals</x:v>
      </x:c>
      <x:c r="G4620" s="13" t="str">
        <x:v>grid_asitui1y.xlsx</x:v>
      </x:c>
    </x:row>
    <x:row r="4621">
      <x:c r="A4621" s="15" t="n">
        <x:v>42401</x:v>
      </x:c>
      <x:c r="B4621" s="13" t="str">
        <x:v>NATURA COSMETICOS SA</x:v>
      </x:c>
      <x:c r="C4621" s="16" t="n">
        <x:v>664.8468309918</x:v>
      </x:c>
      <x:c r="D4621" s="13" t="str">
        <x:v>Retail</x:v>
      </x:c>
      <x:c r="E4621" s="13" t="str">
        <x:v>Retail</x:v>
      </x:c>
      <x:c r="F4621" s="13" t="str">
        <x:v>Early Cyclicals</x:v>
      </x:c>
      <x:c r="G4621" s="13" t="str">
        <x:v>grid_asitui1y.xlsx</x:v>
      </x:c>
    </x:row>
    <x:row r="4622">
      <x:c r="A4622" s="15" t="n">
        <x:v>42401</x:v>
      </x:c>
      <x:c r="B4622" s="13" t="str">
        <x:v>RAIA DROGASIL SA</x:v>
      </x:c>
      <x:c r="C4622" s="16" t="n">
        <x:v>477.0412903452</x:v>
      </x:c>
      <x:c r="D4622" s="13" t="str">
        <x:v>Retail</x:v>
      </x:c>
      <x:c r="E4622" s="13" t="str">
        <x:v>Retail</x:v>
      </x:c>
      <x:c r="F4622" s="13" t="str">
        <x:v>Early Cyclicals</x:v>
      </x:c>
      <x:c r="G4622" s="13" t="str">
        <x:v>grid_asitui1y.xlsx</x:v>
      </x:c>
    </x:row>
    <x:row r="4623">
      <x:c r="A4623" s="15" t="n">
        <x:v>42401</x:v>
      </x:c>
      <x:c r="B4623" s="13" t="str">
        <x:v>CIA SANEAMENTO BASICO DE SP</x:v>
      </x:c>
      <x:c r="C4623" s="16" t="n">
        <x:v>1462.7757539945</x:v>
      </x:c>
      <x:c r="D4623" s="13" t="str">
        <x:v>Sanitation</x:v>
      </x:c>
      <x:c r="E4623" s="13" t="str">
        <x:v>Utilities</x:v>
      </x:c>
      <x:c r="F4623" s="13" t="str">
        <x:v>Defensives</x:v>
      </x:c>
      <x:c r="G4623" s="13" t="str">
        <x:v>grid_asitui1y.xlsx</x:v>
      </x:c>
    </x:row>
    <x:row r="4624">
      <x:c r="A4624" s="15" t="n">
        <x:v>42401</x:v>
      </x:c>
      <x:c r="B4624" s="13" t="str">
        <x:v>OI S.A.</x:v>
      </x:c>
      <x:c r="C4624" s="16" t="n">
        <x:v>-1879.0368869699</x:v>
      </x:c>
      <x:c r="D4624" s="13" t="str">
        <x:v>TMT</x:v>
      </x:c>
      <x:c r="E4624" s="13" t="str">
        <x:v>TMT</x:v>
      </x:c>
      <x:c r="F4624" s="13" t="str">
        <x:v>Early Cyclicals</x:v>
      </x:c>
      <x:c r="G4624" s="13" t="str">
        <x:v>grid_asitui1y.xlsx</x:v>
      </x:c>
    </x:row>
    <x:row r="4625">
      <x:c r="A4625" s="15" t="n">
        <x:v>42401</x:v>
      </x:c>
      <x:c r="B4625" s="13" t="str">
        <x:v>TELEFONICA BRASIL S.A.-PREF</x:v>
      </x:c>
      <x:c r="C4625" s="16" t="n">
        <x:v>4787.2289188822</x:v>
      </x:c>
      <x:c r="D4625" s="13" t="str">
        <x:v>TMT</x:v>
      </x:c>
      <x:c r="E4625" s="13" t="str">
        <x:v>TMT</x:v>
      </x:c>
      <x:c r="F4625" s="13" t="str">
        <x:v>Early Cyclicals</x:v>
      </x:c>
      <x:c r="G4625" s="13" t="str">
        <x:v>grid_asitui1y.xlsx</x:v>
      </x:c>
    </x:row>
    <x:row r="4626">
      <x:c r="A4626" s="15" t="n">
        <x:v>42401</x:v>
      </x:c>
      <x:c r="B4626" s="13" t="str">
        <x:v>TIM SA</x:v>
      </x:c>
      <x:c r="C4626" s="16" t="n">
        <x:v>1023.6876712329</x:v>
      </x:c>
      <x:c r="D4626" s="13" t="str">
        <x:v>TMT</x:v>
      </x:c>
      <x:c r="E4626" s="13" t="str">
        <x:v>TMT</x:v>
      </x:c>
      <x:c r="F4626" s="13" t="str">
        <x:v>Early Cyclicals</x:v>
      </x:c>
      <x:c r="G4626" s="13" t="str">
        <x:v>grid_asitui1y.xlsx</x:v>
      </x:c>
    </x:row>
    <x:row r="4627">
      <x:c r="A4627" s="15" t="n">
        <x:v>42401</x:v>
      </x:c>
      <x:c r="B4627" s="13" t="str">
        <x:v>ECORODOVIAS INFRA E LOG SA</x:v>
      </x:c>
      <x:c r="C4627" s="16" t="n">
        <x:v>196.9185603507</x:v>
      </x:c>
      <x:c r="D4627" s="13" t="str">
        <x:v>Transportation</x:v>
      </x:c>
      <x:c r="E4627" s="13" t="str">
        <x:v>Transportation</x:v>
      </x:c>
      <x:c r="F4627" s="13" t="str">
        <x:v>Deep Cyclicals</x:v>
      </x:c>
      <x:c r="G4627" s="13" t="str">
        <x:v>grid_asitui1y.xlsx</x:v>
      </x:c>
    </x:row>
    <x:row r="4628">
      <x:c r="A4628" s="15" t="n">
        <x:v>42401</x:v>
      </x:c>
      <x:c r="B4628" s="13" t="str">
        <x:v>LOCALIZA RENT A CAR</x:v>
      </x:c>
      <x:c r="C4628" s="16" t="n">
        <x:v>342.2383504658</x:v>
      </x:c>
      <x:c r="D4628" s="13" t="str">
        <x:v>Transportation</x:v>
      </x:c>
      <x:c r="E4628" s="13" t="str">
        <x:v>Transportation</x:v>
      </x:c>
      <x:c r="F4628" s="13" t="str">
        <x:v>Deep Cyclicals</x:v>
      </x:c>
      <x:c r="G4628" s="13" t="str">
        <x:v>grid_asitui1y.xlsx</x:v>
      </x:c>
    </x:row>
    <x:row r="4629">
      <x:c r="A4629" s="15" t="n">
        <x:v>42401</x:v>
      </x:c>
      <x:c r="B4629" s="13" t="str">
        <x:v>MOTIVA INFRAESTRUTURA DE MOB</x:v>
      </x:c>
      <x:c r="C4629" s="16" t="n">
        <x:v>1258.0623479233</x:v>
      </x:c>
      <x:c r="D4629" s="13" t="str">
        <x:v>Transportation</x:v>
      </x:c>
      <x:c r="E4629" s="13" t="str">
        <x:v>Transportation</x:v>
      </x:c>
      <x:c r="F4629" s="13" t="str">
        <x:v>Deep Cyclicals</x:v>
      </x:c>
      <x:c r="G4629" s="13" t="str">
        <x:v>grid_asitui1y.xlsx</x:v>
      </x:c>
    </x:row>
    <x:row r="4630">
      <x:c r="A4630" s="15" t="n">
        <x:v>42401</x:v>
      </x:c>
      <x:c r="B4630" s="13" t="str">
        <x:v>CESP - CIA ENERGETICA DE SAO</x:v>
      </x:c>
      <x:c r="C4630" s="16" t="n">
        <x:v>347.3190425425</x:v>
      </x:c>
      <x:c r="D4630" s="13" t="str">
        <x:v>Utilities &amp; Energy</x:v>
      </x:c>
      <x:c r="E4630" s="13" t="str">
        <x:v>Utilities</x:v>
      </x:c>
      <x:c r="F4630" s="13" t="str">
        <x:v>Defensives</x:v>
      </x:c>
      <x:c r="G4630" s="13" t="str">
        <x:v>grid_asitui1y.xlsx</x:v>
      </x:c>
    </x:row>
    <x:row r="4631">
      <x:c r="A4631" s="15" t="n">
        <x:v>42401</x:v>
      </x:c>
      <x:c r="B4631" s="13" t="str">
        <x:v>CIA ENERGETICA MINAS GER-PRF</x:v>
      </x:c>
      <x:c r="C4631" s="16" t="n">
        <x:v>1258.2792297205</x:v>
      </x:c>
      <x:c r="D4631" s="13" t="str">
        <x:v>Utilities &amp; Energy</x:v>
      </x:c>
      <x:c r="E4631" s="13" t="str">
        <x:v>Utilities</x:v>
      </x:c>
      <x:c r="F4631" s="13" t="str">
        <x:v>Defensives</x:v>
      </x:c>
      <x:c r="G4631" s="13" t="str">
        <x:v>grid_asitui1y.xlsx</x:v>
      </x:c>
    </x:row>
    <x:row r="4632">
      <x:c r="A4632" s="15" t="n">
        <x:v>42401</x:v>
      </x:c>
      <x:c r="B4632" s="13" t="str">
        <x:v>COMPANHIA PARANAENSE -PREF B</x:v>
      </x:c>
      <x:c r="C4632" s="16" t="n">
        <x:v>1138.723808789</x:v>
      </x:c>
      <x:c r="D4632" s="13" t="str">
        <x:v>Utilities &amp; Energy</x:v>
      </x:c>
      <x:c r="E4632" s="13" t="str">
        <x:v>Utilities</x:v>
      </x:c>
      <x:c r="F4632" s="13" t="str">
        <x:v>Defensives</x:v>
      </x:c>
      <x:c r="G4632" s="13" t="str">
        <x:v>grid_asitui1y.xlsx</x:v>
      </x:c>
    </x:row>
    <x:row r="4633">
      <x:c r="A4633" s="15" t="n">
        <x:v>42401</x:v>
      </x:c>
      <x:c r="B4633" s="13" t="str">
        <x:v>CPFL ENERGIA SA</x:v>
      </x:c>
      <x:c r="C4633" s="16" t="n">
        <x:v>1015.689069063</x:v>
      </x:c>
      <x:c r="D4633" s="13" t="str">
        <x:v>Utilities &amp; Energy</x:v>
      </x:c>
      <x:c r="E4633" s="13" t="str">
        <x:v>Utilities</x:v>
      </x:c>
      <x:c r="F4633" s="13" t="str">
        <x:v>Defensives</x:v>
      </x:c>
      <x:c r="G4633" s="13" t="str">
        <x:v>grid_asitui1y.xlsx</x:v>
      </x:c>
    </x:row>
    <x:row r="4634">
      <x:c r="A4634" s="15" t="n">
        <x:v>42401</x:v>
      </x:c>
      <x:c r="B4634" s="13" t="str">
        <x:v>EDP - ENERGIAS DO BRASIL SA</x:v>
      </x:c>
      <x:c r="C4634" s="16" t="n">
        <x:v>513.2938659068</x:v>
      </x:c>
      <x:c r="D4634" s="13" t="str">
        <x:v>Utilities &amp; Energy</x:v>
      </x:c>
      <x:c r="E4634" s="13" t="str">
        <x:v>Utilities</x:v>
      </x:c>
      <x:c r="F4634" s="13" t="str">
        <x:v>Defensives</x:v>
      </x:c>
      <x:c r="G4634" s="13" t="str">
        <x:v>grid_asitui1y.xlsx</x:v>
      </x:c>
    </x:row>
    <x:row r="4635">
      <x:c r="A4635" s="15" t="n">
        <x:v>42401</x:v>
      </x:c>
      <x:c r="B4635" s="13" t="str">
        <x:v>ENGIE BRASIL ENERGIA SA</x:v>
      </x:c>
      <x:c r="C4635" s="16" t="n">
        <x:v>1908.3456406795</x:v>
      </x:c>
      <x:c r="D4635" s="13" t="str">
        <x:v>Utilities &amp; Energy</x:v>
      </x:c>
      <x:c r="E4635" s="13" t="str">
        <x:v>Utilities</x:v>
      </x:c>
      <x:c r="F4635" s="13" t="str">
        <x:v>Defensives</x:v>
      </x:c>
      <x:c r="G4635" s="13" t="str">
        <x:v>grid_asitui1y.xlsx</x:v>
      </x:c>
    </x:row>
    <x:row r="4636">
      <x:c r="A4636" s="15" t="n">
        <x:v>42401</x:v>
      </x:c>
      <x:c r="B4636" s="13" t="str">
        <x:v>EQUATORIAL SA - ORD</x:v>
      </x:c>
      <x:c r="C4636" s="16" t="n">
        <x:v>653.2710652493</x:v>
      </x:c>
      <x:c r="D4636" s="13" t="str">
        <x:v>Utilities &amp; Energy</x:v>
      </x:c>
      <x:c r="E4636" s="13" t="str">
        <x:v>Utilities</x:v>
      </x:c>
      <x:c r="F4636" s="13" t="str">
        <x:v>Defensives</x:v>
      </x:c>
      <x:c r="G4636" s="13" t="str">
        <x:v>grid_asitui1y.xlsx</x:v>
      </x:c>
    </x:row>
    <x:row r="4637">
      <x:c r="A4637" s="15" t="n">
        <x:v>42430</x:v>
      </x:c>
      <x:c r="B4637" s="13" t="str">
        <x:v>BANCO BRADESCO S.A.</x:v>
      </x:c>
      <x:c r="C4637" s="16" t="n">
        <x:v>16693.5249849863</x:v>
      </x:c>
      <x:c r="D4637" s="13" t="str">
        <x:v>Banks</x:v>
      </x:c>
      <x:c r="E4637" s="13" t="str">
        <x:v>Banks</x:v>
      </x:c>
      <x:c r="F4637" s="13" t="str">
        <x:v>Financials</x:v>
      </x:c>
      <x:c r="G4637" s="13" t="str">
        <x:v>grid_asitui1y.xlsx</x:v>
      </x:c>
    </x:row>
    <x:row r="4638">
      <x:c r="A4638" s="15" t="n">
        <x:v>42430</x:v>
      </x:c>
      <x:c r="B4638" s="13" t="str">
        <x:v>BANCO BRADESCO SA-PREF</x:v>
      </x:c>
      <x:c r="C4638" s="16" t="n">
        <x:v>16693.5249849863</x:v>
      </x:c>
      <x:c r="D4638" s="13" t="str">
        <x:v>Banks</x:v>
      </x:c>
      <x:c r="E4638" s="13" t="str">
        <x:v>Banks</x:v>
      </x:c>
      <x:c r="F4638" s="13" t="str">
        <x:v>Financials</x:v>
      </x:c>
      <x:c r="G4638" s="13" t="str">
        <x:v>grid_asitui1y.xlsx</x:v>
      </x:c>
    </x:row>
    <x:row r="4639">
      <x:c r="A4639" s="15" t="n">
        <x:v>42430</x:v>
      </x:c>
      <x:c r="B4639" s="13" t="str">
        <x:v>BANCO DO BRASIL S.A.</x:v>
      </x:c>
      <x:c r="C4639" s="16" t="n">
        <x:v>10340.9677326027</x:v>
      </x:c>
      <x:c r="D4639" s="13" t="str">
        <x:v>Banks</x:v>
      </x:c>
      <x:c r="E4639" s="13" t="str">
        <x:v>Banks</x:v>
      </x:c>
      <x:c r="F4639" s="13" t="str">
        <x:v>Financials</x:v>
      </x:c>
      <x:c r="G4639" s="13" t="str">
        <x:v>grid_asitui1y.xlsx</x:v>
      </x:c>
    </x:row>
    <x:row r="4640">
      <x:c r="A4640" s="15" t="n">
        <x:v>42430</x:v>
      </x:c>
      <x:c r="B4640" s="13" t="str">
        <x:v>BANCO SANTANDER  BRASIL-UNIT</x:v>
      </x:c>
      <x:c r="C4640" s="16" t="n">
        <x:v>5866.5788247671</x:v>
      </x:c>
      <x:c r="D4640" s="13" t="str">
        <x:v>Banks</x:v>
      </x:c>
      <x:c r="E4640" s="13" t="str">
        <x:v>Banks</x:v>
      </x:c>
      <x:c r="F4640" s="13" t="str">
        <x:v>Financials</x:v>
      </x:c>
      <x:c r="G4640" s="13" t="str">
        <x:v>grid_asitui1y.xlsx</x:v>
      </x:c>
    </x:row>
    <x:row r="4641">
      <x:c r="A4641" s="15" t="n">
        <x:v>42430</x:v>
      </x:c>
      <x:c r="B4641" s="13" t="str">
        <x:v>ITAU UNIBANCO HOLDING S-PREF</x:v>
      </x:c>
      <x:c r="C4641" s="16" t="n">
        <x:v>21133.3860085479</x:v>
      </x:c>
      <x:c r="D4641" s="13" t="str">
        <x:v>Banks</x:v>
      </x:c>
      <x:c r="E4641" s="13" t="str">
        <x:v>Banks</x:v>
      </x:c>
      <x:c r="F4641" s="13" t="str">
        <x:v>Financials</x:v>
      </x:c>
      <x:c r="G4641" s="13" t="str">
        <x:v>grid_asitui1y.xlsx</x:v>
      </x:c>
    </x:row>
    <x:row r="4642">
      <x:c r="A4642" s="15" t="n">
        <x:v>42430</x:v>
      </x:c>
      <x:c r="B4642" s="13" t="str">
        <x:v>EMBRAER SA</x:v>
      </x:c>
      <x:c r="C4642" s="16" t="n">
        <x:v>1435.2100243288</x:v>
      </x:c>
      <x:c r="D4642" s="13" t="str">
        <x:v>Capital Goods</x:v>
      </x:c>
      <x:c r="E4642" s="13" t="str">
        <x:v>Capital Goods</x:v>
      </x:c>
      <x:c r="F4642" s="13" t="str">
        <x:v>Deep Cyclicals</x:v>
      </x:c>
      <x:c r="G4642" s="13" t="str">
        <x:v>grid_asitui1y.xlsx</x:v>
      </x:c>
    </x:row>
    <x:row r="4643">
      <x:c r="A4643" s="15" t="n">
        <x:v>42430</x:v>
      </x:c>
      <x:c r="B4643" s="13" t="str">
        <x:v>WEG SA</x:v>
      </x:c>
      <x:c r="C4643" s="16" t="n">
        <x:v>1282.3514985205</x:v>
      </x:c>
      <x:c r="D4643" s="13" t="str">
        <x:v>Capital Goods</x:v>
      </x:c>
      <x:c r="E4643" s="13" t="str">
        <x:v>Capital Goods</x:v>
      </x:c>
      <x:c r="F4643" s="13" t="str">
        <x:v>Deep Cyclicals</x:v>
      </x:c>
      <x:c r="G4643" s="13" t="str">
        <x:v>grid_asitui1y.xlsx</x:v>
      </x:c>
    </x:row>
    <x:row r="4644">
      <x:c r="A4644" s="15" t="n">
        <x:v>42430</x:v>
      </x:c>
      <x:c r="B4644" s="13" t="str">
        <x:v>COGNA EDUCACAO</x:v>
      </x:c>
      <x:c r="C4644" s="16" t="n">
        <x:v>1869.5547861918</x:v>
      </x:c>
      <x:c r="D4644" s="13" t="str">
        <x:v>Education</x:v>
      </x:c>
      <x:c r="E4644" s="13" t="str">
        <x:v>Education</x:v>
      </x:c>
      <x:c r="F4644" s="13" t="str">
        <x:v>Early Cyclicals</x:v>
      </x:c>
      <x:c r="G4644" s="13" t="str">
        <x:v>grid_asitui1y.xlsx</x:v>
      </x:c>
    </x:row>
    <x:row r="4645">
      <x:c r="A4645" s="15" t="n">
        <x:v>42430</x:v>
      </x:c>
      <x:c r="B4645" s="13" t="str">
        <x:v>YDUQS PARTICIPACOES SA</x:v>
      </x:c>
      <x:c r="C4645" s="16" t="n">
        <x:v>573.3510154521</x:v>
      </x:c>
      <x:c r="D4645" s="13" t="str">
        <x:v>Education</x:v>
      </x:c>
      <x:c r="E4645" s="13" t="str">
        <x:v>Education</x:v>
      </x:c>
      <x:c r="F4645" s="13" t="str">
        <x:v>Early Cyclicals</x:v>
      </x:c>
      <x:c r="G4645" s="13" t="str">
        <x:v>grid_asitui1y.xlsx</x:v>
      </x:c>
    </x:row>
    <x:row r="4646">
      <x:c r="A4646" s="15" t="n">
        <x:v>42430</x:v>
      </x:c>
      <x:c r="B4646" s="13" t="str">
        <x:v>B3 SA-BRASIL BOLSA BALCAO</x:v>
      </x:c>
      <x:c r="C4646" s="16" t="n">
        <x:v>1826.0485049863</x:v>
      </x:c>
      <x:c r="D4646" s="13" t="str">
        <x:v>Financials Non-Banks</x:v>
      </x:c>
      <x:c r="E4646" s="13" t="str">
        <x:v>Financials Non-Banks</x:v>
      </x:c>
      <x:c r="F4646" s="13" t="str">
        <x:v>Financials</x:v>
      </x:c>
      <x:c r="G4646" s="13" t="str">
        <x:v>grid_asitui1y.xlsx</x:v>
      </x:c>
    </x:row>
    <x:row r="4647">
      <x:c r="A4647" s="15" t="n">
        <x:v>42430</x:v>
      </x:c>
      <x:c r="B4647" s="13" t="str">
        <x:v>BB SEGURIDADE PARTICIPACOES</x:v>
      </x:c>
      <x:c r="C4647" s="16" t="n">
        <x:v>4442.2027221918</x:v>
      </x:c>
      <x:c r="D4647" s="13" t="str">
        <x:v>Financials Non-Banks</x:v>
      </x:c>
      <x:c r="E4647" s="13" t="str">
        <x:v>Financials Non-Banks</x:v>
      </x:c>
      <x:c r="F4647" s="13" t="str">
        <x:v>Financials</x:v>
      </x:c>
      <x:c r="G4647" s="13" t="str">
        <x:v>grid_asitui1y.xlsx</x:v>
      </x:c>
    </x:row>
    <x:row r="4648">
      <x:c r="A4648" s="15" t="n">
        <x:v>42430</x:v>
      </x:c>
      <x:c r="B4648" s="13" t="str">
        <x:v>CETIP SA-MERCADOS ORGANIZADO</x:v>
      </x:c>
      <x:c r="C4648" s="16" t="n">
        <x:v>611.0342224658</x:v>
      </x:c>
      <x:c r="D4648" s="13" t="str">
        <x:v>Financials Non-Banks</x:v>
      </x:c>
      <x:c r="E4648" s="13" t="str">
        <x:v>Financials Non-Banks</x:v>
      </x:c>
      <x:c r="F4648" s="13" t="str">
        <x:v>Financials</x:v>
      </x:c>
      <x:c r="G4648" s="13" t="str">
        <x:v>grid_asitui1y.xlsx</x:v>
      </x:c>
    </x:row>
    <x:row r="4649">
      <x:c r="A4649" s="15" t="n">
        <x:v>42430</x:v>
      </x:c>
      <x:c r="B4649" s="13" t="str">
        <x:v>CIELO SA - INSTITUICAO DE PA</x:v>
      </x:c>
      <x:c r="C4649" s="16" t="n">
        <x:v>4108.2512938082</x:v>
      </x:c>
      <x:c r="D4649" s="13" t="str">
        <x:v>Financials Non-Banks</x:v>
      </x:c>
      <x:c r="E4649" s="13" t="str">
        <x:v>Financials Non-Banks</x:v>
      </x:c>
      <x:c r="F4649" s="13" t="str">
        <x:v>Financials</x:v>
      </x:c>
      <x:c r="G4649" s="13" t="str">
        <x:v>grid_asitui1y.xlsx</x:v>
      </x:c>
    </x:row>
    <x:row r="4650">
      <x:c r="A4650" s="15" t="n">
        <x:v>42430</x:v>
      </x:c>
      <x:c r="B4650" s="13" t="str">
        <x:v>ITAUSA SA</x:v>
      </x:c>
      <x:c r="C4650" s="16" t="n">
        <x:v>7400.1234481096</x:v>
      </x:c>
      <x:c r="D4650" s="13" t="str">
        <x:v>Financials Non-Banks</x:v>
      </x:c>
      <x:c r="E4650" s="13" t="str">
        <x:v>Financials Non-Banks</x:v>
      </x:c>
      <x:c r="F4650" s="13" t="str">
        <x:v>Financials</x:v>
      </x:c>
      <x:c r="G4650" s="13" t="str">
        <x:v>grid_asitui1y.xlsx</x:v>
      </x:c>
    </x:row>
    <x:row r="4651">
      <x:c r="A4651" s="15" t="n">
        <x:v>42430</x:v>
      </x:c>
      <x:c r="B4651" s="13" t="str">
        <x:v>AMBEV SA</x:v>
      </x:c>
      <x:c r="C4651" s="16" t="n">
        <x:v>15315.1220637808</x:v>
      </x:c>
      <x:c r="D4651" s="13" t="str">
        <x:v>Food &amp; Beverages</x:v>
      </x:c>
      <x:c r="E4651" s="13" t="str">
        <x:v>Agri, Food &amp; Beverages</x:v>
      </x:c>
      <x:c r="F4651" s="13" t="str">
        <x:v>Defensives</x:v>
      </x:c>
      <x:c r="G4651" s="13" t="str">
        <x:v>grid_asitui1y.xlsx</x:v>
      </x:c>
    </x:row>
    <x:row r="4652">
      <x:c r="A4652" s="15" t="n">
        <x:v>42430</x:v>
      </x:c>
      <x:c r="B4652" s="13" t="str">
        <x:v>BRF SA</x:v>
      </x:c>
      <x:c r="C4652" s="16" t="n">
        <x:v>2818.1067362192</x:v>
      </x:c>
      <x:c r="D4652" s="13" t="str">
        <x:v>Food &amp; Beverages</x:v>
      </x:c>
      <x:c r="E4652" s="13" t="str">
        <x:v>Agri, Food &amp; Beverages</x:v>
      </x:c>
      <x:c r="F4652" s="13" t="str">
        <x:v>Defensives</x:v>
      </x:c>
      <x:c r="G4652" s="13" t="str">
        <x:v>grid_asitui1y.xlsx</x:v>
      </x:c>
    </x:row>
    <x:row r="4653">
      <x:c r="A4653" s="15" t="n">
        <x:v>42430</x:v>
      </x:c>
      <x:c r="B4653" s="13" t="str">
        <x:v>JBS SA</x:v>
      </x:c>
      <x:c r="C4653" s="16" t="n">
        <x:v>4681.5753468493</x:v>
      </x:c>
      <x:c r="D4653" s="13" t="str">
        <x:v>Food &amp; Beverages</x:v>
      </x:c>
      <x:c r="E4653" s="13" t="str">
        <x:v>Agri, Food &amp; Beverages</x:v>
      </x:c>
      <x:c r="F4653" s="13" t="str">
        <x:v>Defensives</x:v>
      </x:c>
      <x:c r="G4653" s="13" t="str">
        <x:v>grid_asitui1y.xlsx</x:v>
      </x:c>
    </x:row>
    <x:row r="4654">
      <x:c r="A4654" s="15" t="n">
        <x:v>42430</x:v>
      </x:c>
      <x:c r="B4654" s="13" t="str">
        <x:v>MBRF GLOBAL FOODS COMPANY SA</x:v>
      </x:c>
      <x:c r="C4654" s="16" t="n">
        <x:v>281.3252916164</x:v>
      </x:c>
      <x:c r="D4654" s="13" t="str">
        <x:v>Food &amp; Beverages</x:v>
      </x:c>
      <x:c r="E4654" s="13" t="str">
        <x:v>Agri, Food &amp; Beverages</x:v>
      </x:c>
      <x:c r="F4654" s="13" t="str">
        <x:v>Defensives</x:v>
      </x:c>
      <x:c r="G4654" s="13" t="str">
        <x:v>grid_asitui1y.xlsx</x:v>
      </x:c>
    </x:row>
    <x:row r="4655">
      <x:c r="A4655" s="15" t="n">
        <x:v>42430</x:v>
      </x:c>
      <x:c r="B4655" s="13" t="str">
        <x:v>HYPERA SA</x:v>
      </x:c>
      <x:c r="C4655" s="16" t="n">
        <x:v>724.5193231781</x:v>
      </x:c>
      <x:c r="D4655" s="13" t="str">
        <x:v>Health Care</x:v>
      </x:c>
      <x:c r="E4655" s="13" t="str">
        <x:v>Health Care</x:v>
      </x:c>
      <x:c r="F4655" s="13" t="str">
        <x:v>Defensives</x:v>
      </x:c>
      <x:c r="G4655" s="13" t="str">
        <x:v>grid_asitui1y.xlsx</x:v>
      </x:c>
    </x:row>
    <x:row r="4656">
      <x:c r="A4656" s="15" t="n">
        <x:v>42430</x:v>
      </x:c>
      <x:c r="B4656" s="13" t="str">
        <x:v>QUALICORP CONS E CORR SEG SA</x:v>
      </x:c>
      <x:c r="C4656" s="16" t="n">
        <x:v>390.1863110137</x:v>
      </x:c>
      <x:c r="D4656" s="13" t="str">
        <x:v>Health Care</x:v>
      </x:c>
      <x:c r="E4656" s="13" t="str">
        <x:v>Health Care</x:v>
      </x:c>
      <x:c r="F4656" s="13" t="str">
        <x:v>Defensives</x:v>
      </x:c>
      <x:c r="G4656" s="13" t="str">
        <x:v>grid_asitui1y.xlsx</x:v>
      </x:c>
    </x:row>
    <x:row r="4657">
      <x:c r="A4657" s="15" t="n">
        <x:v>42430</x:v>
      </x:c>
      <x:c r="B4657" s="13" t="str">
        <x:v>CYRELA BRAZIL REALTY SA EMP</x:v>
      </x:c>
      <x:c r="C4657" s="16" t="n">
        <x:v>383.8623522192</x:v>
      </x:c>
      <x:c r="D4657" s="13" t="str">
        <x:v>Homebuilders</x:v>
      </x:c>
      <x:c r="E4657" s="13" t="str">
        <x:v>Real Estate</x:v>
      </x:c>
      <x:c r="F4657" s="13" t="str">
        <x:v>Early Cyclicals</x:v>
      </x:c>
      <x:c r="G4657" s="13" t="str">
        <x:v>grid_asitui1y.xlsx</x:v>
      </x:c>
    </x:row>
    <x:row r="4658">
      <x:c r="A4658" s="15" t="n">
        <x:v>42430</x:v>
      </x:c>
      <x:c r="B4658" s="13" t="str">
        <x:v>MRV ENGENHARIA</x:v>
      </x:c>
      <x:c r="C4658" s="16" t="n">
        <x:v>596.2376100822</x:v>
      </x:c>
      <x:c r="D4658" s="13" t="str">
        <x:v>Homebuilders</x:v>
      </x:c>
      <x:c r="E4658" s="13" t="str">
        <x:v>Real Estate</x:v>
      </x:c>
      <x:c r="F4658" s="13" t="str">
        <x:v>Early Cyclicals</x:v>
      </x:c>
      <x:c r="G4658" s="13" t="str">
        <x:v>grid_asitui1y.xlsx</x:v>
      </x:c>
    </x:row>
    <x:row r="4659">
      <x:c r="A4659" s="15" t="n">
        <x:v>42430</x:v>
      </x:c>
      <x:c r="B4659" s="13" t="str">
        <x:v>BR MALLS PARTICIPACOES SA</x:v>
      </x:c>
      <x:c r="C4659" s="16" t="n">
        <x:v>390.8458884384</x:v>
      </x:c>
      <x:c r="D4659" s="13" t="str">
        <x:v>Income Properties</x:v>
      </x:c>
      <x:c r="E4659" s="13" t="str">
        <x:v>Real Estate</x:v>
      </x:c>
      <x:c r="F4659" s="13" t="str">
        <x:v>Early Cyclicals</x:v>
      </x:c>
      <x:c r="G4659" s="13" t="str">
        <x:v>grid_asitui1y.xlsx</x:v>
      </x:c>
    </x:row>
    <x:row r="4660">
      <x:c r="A4660" s="15" t="n">
        <x:v>42430</x:v>
      </x:c>
      <x:c r="B4660" s="13" t="str">
        <x:v>MULTIPLAN EMPREENDIMENTOS</x:v>
      </x:c>
      <x:c r="C4660" s="16" t="n">
        <x:v>404.8989786301</x:v>
      </x:c>
      <x:c r="D4660" s="13" t="str">
        <x:v>Income Properties</x:v>
      </x:c>
      <x:c r="E4660" s="13" t="str">
        <x:v>Real Estate</x:v>
      </x:c>
      <x:c r="F4660" s="13" t="str">
        <x:v>Early Cyclicals</x:v>
      </x:c>
      <x:c r="G4660" s="13" t="str">
        <x:v>grid_asitui1y.xlsx</x:v>
      </x:c>
    </x:row>
    <x:row r="4661">
      <x:c r="A4661" s="15" t="n">
        <x:v>42430</x:v>
      </x:c>
      <x:c r="B4661" s="13" t="str">
        <x:v>BRADESPAR SA -PREF</x:v>
      </x:c>
      <x:c r="C4661" s="16" t="n">
        <x:v>-413.2054794521</x:v>
      </x:c>
      <x:c r="D4661" s="13" t="str">
        <x:v>Metals &amp; Mining</x:v>
      </x:c>
      <x:c r="E4661" s="13" t="str">
        <x:v>Metals &amp; Mining</x:v>
      </x:c>
      <x:c r="F4661" s="13" t="str">
        <x:v>Deep Cyclicals</x:v>
      </x:c>
      <x:c r="G4661" s="13" t="str">
        <x:v>grid_asitui1y.xlsx</x:v>
      </x:c>
    </x:row>
    <x:row r="4662">
      <x:c r="A4662" s="15" t="n">
        <x:v>42430</x:v>
      </x:c>
      <x:c r="B4662" s="13" t="str">
        <x:v>CIA SIDERURGICA NACIONAL SA</x:v>
      </x:c>
      <x:c r="C4662" s="16" t="n">
        <x:v>-1461.1972243288</x:v>
      </x:c>
      <x:c r="D4662" s="13" t="str">
        <x:v>Metals &amp; Mining</x:v>
      </x:c>
      <x:c r="E4662" s="13" t="str">
        <x:v>Metals &amp; Mining</x:v>
      </x:c>
      <x:c r="F4662" s="13" t="str">
        <x:v>Deep Cyclicals</x:v>
      </x:c>
      <x:c r="G4662" s="13" t="str">
        <x:v>grid_asitui1y.xlsx</x:v>
      </x:c>
    </x:row>
    <x:row r="4663">
      <x:c r="A4663" s="15" t="n">
        <x:v>42430</x:v>
      </x:c>
      <x:c r="B4663" s="13" t="str">
        <x:v>GERDAU SA-PREF</x:v>
      </x:c>
      <x:c r="C4663" s="16" t="n">
        <x:v>311.3565499178</x:v>
      </x:c>
      <x:c r="D4663" s="13" t="str">
        <x:v>Metals &amp; Mining</x:v>
      </x:c>
      <x:c r="E4663" s="13" t="str">
        <x:v>Metals &amp; Mining</x:v>
      </x:c>
      <x:c r="F4663" s="13" t="str">
        <x:v>Deep Cyclicals</x:v>
      </x:c>
      <x:c r="G4663" s="13" t="str">
        <x:v>grid_asitui1y.xlsx</x:v>
      </x:c>
    </x:row>
    <x:row r="4664">
      <x:c r="A4664" s="15" t="n">
        <x:v>42430</x:v>
      </x:c>
      <x:c r="B4664" s="13" t="str">
        <x:v>METALURGICA GERDAU SA-PREF</x:v>
      </x:c>
      <x:c r="C4664" s="16" t="n">
        <x:v>-189.0479452055</x:v>
      </x:c>
      <x:c r="D4664" s="13" t="str">
        <x:v>Metals &amp; Mining</x:v>
      </x:c>
      <x:c r="E4664" s="13" t="str">
        <x:v>Metals &amp; Mining</x:v>
      </x:c>
      <x:c r="F4664" s="13" t="str">
        <x:v>Deep Cyclicals</x:v>
      </x:c>
      <x:c r="G4664" s="13" t="str">
        <x:v>grid_asitui1y.xlsx</x:v>
      </x:c>
    </x:row>
    <x:row r="4665">
      <x:c r="A4665" s="15" t="n">
        <x:v>42430</x:v>
      </x:c>
      <x:c r="B4665" s="13" t="str">
        <x:v>USINAS SIDER MINAS GER-PF A</x:v>
      </x:c>
      <x:c r="C4665" s="16" t="n">
        <x:v>-1131.9638128219</x:v>
      </x:c>
      <x:c r="D4665" s="13" t="str">
        <x:v>Metals &amp; Mining</x:v>
      </x:c>
      <x:c r="E4665" s="13" t="str">
        <x:v>Metals &amp; Mining</x:v>
      </x:c>
      <x:c r="F4665" s="13" t="str">
        <x:v>Deep Cyclicals</x:v>
      </x:c>
      <x:c r="G4665" s="13" t="str">
        <x:v>grid_asitui1y.xlsx</x:v>
      </x:c>
    </x:row>
    <x:row r="4666">
      <x:c r="A4666" s="15" t="n">
        <x:v>42430</x:v>
      </x:c>
      <x:c r="B4666" s="13" t="str">
        <x:v>VALE SA</x:v>
      </x:c>
      <x:c r="C4666" s="16" t="n">
        <x:v>2037.0779765479</x:v>
      </x:c>
      <x:c r="D4666" s="13" t="str">
        <x:v>Metals &amp; Mining</x:v>
      </x:c>
      <x:c r="E4666" s="13" t="str">
        <x:v>Metals &amp; Mining</x:v>
      </x:c>
      <x:c r="F4666" s="13" t="str">
        <x:v>Deep Cyclicals</x:v>
      </x:c>
      <x:c r="G4666" s="13" t="str">
        <x:v>grid_asitui1y.xlsx</x:v>
      </x:c>
    </x:row>
    <x:row r="4667">
      <x:c r="A4667" s="15" t="n">
        <x:v>42430</x:v>
      </x:c>
      <x:c r="B4667" s="13" t="str">
        <x:v>BRASKEM SA-PREF A</x:v>
      </x:c>
      <x:c r="C4667" s="16" t="n">
        <x:v>3662.4946007671</x:v>
      </x:c>
      <x:c r="D4667" s="13" t="str">
        <x:v>Oil, Gas &amp; Petrochemicals</x:v>
      </x:c>
      <x:c r="E4667" s="13" t="str">
        <x:v>Oil, Gas &amp; Petrochemicals</x:v>
      </x:c>
      <x:c r="F4667" s="13" t="str">
        <x:v>Deep Cyclicals</x:v>
      </x:c>
      <x:c r="G4667" s="13" t="str">
        <x:v>grid_asitui1y.xlsx</x:v>
      </x:c>
    </x:row>
    <x:row r="4668">
      <x:c r="A4668" s="15" t="n">
        <x:v>42430</x:v>
      </x:c>
      <x:c r="B4668" s="13" t="str">
        <x:v>COSAN SA</x:v>
      </x:c>
      <x:c r="C4668" s="16" t="n">
        <x:v>847.0253466301</x:v>
      </x:c>
      <x:c r="D4668" s="13" t="str">
        <x:v>Oil, Gas &amp; Petrochemicals</x:v>
      </x:c>
      <x:c r="E4668" s="13" t="str">
        <x:v>Oil, Gas &amp; Petrochemicals</x:v>
      </x:c>
      <x:c r="F4668" s="13" t="str">
        <x:v>Deep Cyclicals</x:v>
      </x:c>
      <x:c r="G4668" s="13" t="str">
        <x:v>grid_asitui1y.xlsx</x:v>
      </x:c>
    </x:row>
    <x:row r="4669">
      <x:c r="A4669" s="15" t="n">
        <x:v>42430</x:v>
      </x:c>
      <x:c r="B4669" s="13" t="str">
        <x:v>PETROBRAS - PETROLEO BRAS</x:v>
      </x:c>
      <x:c r="C4669" s="16" t="n">
        <x:v>6269.2521591233</x:v>
      </x:c>
      <x:c r="D4669" s="13" t="str">
        <x:v>Oil, Gas &amp; Petrochemicals</x:v>
      </x:c>
      <x:c r="E4669" s="13" t="str">
        <x:v>Oil, Gas &amp; Petrochemicals</x:v>
      </x:c>
      <x:c r="F4669" s="13" t="str">
        <x:v>Deep Cyclicals</x:v>
      </x:c>
      <x:c r="G4669" s="13" t="str">
        <x:v>grid_asitui1y.xlsx</x:v>
      </x:c>
    </x:row>
    <x:row r="4670">
      <x:c r="A4670" s="15" t="n">
        <x:v>42430</x:v>
      </x:c>
      <x:c r="B4670" s="13" t="str">
        <x:v>ULTRAPAR PARTICIPACOES SA</x:v>
      </x:c>
      <x:c r="C4670" s="16" t="n">
        <x:v>1752.3846575342</x:v>
      </x:c>
      <x:c r="D4670" s="13" t="str">
        <x:v>Oil, Gas &amp; Petrochemicals</x:v>
      </x:c>
      <x:c r="E4670" s="13" t="str">
        <x:v>Oil, Gas &amp; Petrochemicals</x:v>
      </x:c>
      <x:c r="F4670" s="13" t="str">
        <x:v>Deep Cyclicals</x:v>
      </x:c>
      <x:c r="G4670" s="13" t="str">
        <x:v>grid_asitui1y.xlsx</x:v>
      </x:c>
    </x:row>
    <x:row r="4671">
      <x:c r="A4671" s="15" t="n">
        <x:v>42430</x:v>
      </x:c>
      <x:c r="B4671" s="13" t="str">
        <x:v>FIBRIA CELULOSE S/A</x:v>
      </x:c>
      <x:c r="C4671" s="16" t="n">
        <x:v>2492.165305863</x:v>
      </x:c>
      <x:c r="D4671" s="13" t="str">
        <x:v>Pulp &amp; Paper</x:v>
      </x:c>
      <x:c r="E4671" s="13" t="str">
        <x:v>Pulp &amp; Paper</x:v>
      </x:c>
      <x:c r="F4671" s="13" t="str">
        <x:v>Deep Cyclicals</x:v>
      </x:c>
      <x:c r="G4671" s="13" t="str">
        <x:v>grid_asitui1y.xlsx</x:v>
      </x:c>
    </x:row>
    <x:row r="4672">
      <x:c r="A4672" s="15" t="n">
        <x:v>42430</x:v>
      </x:c>
      <x:c r="B4672" s="13" t="str">
        <x:v>KLABIN SA - UNIT</x:v>
      </x:c>
      <x:c r="C4672" s="16" t="n">
        <x:v>1188.3989584657</x:v>
      </x:c>
      <x:c r="D4672" s="13" t="str">
        <x:v>Pulp &amp; Paper</x:v>
      </x:c>
      <x:c r="E4672" s="13" t="str">
        <x:v>Pulp &amp; Paper</x:v>
      </x:c>
      <x:c r="F4672" s="13" t="str">
        <x:v>Deep Cyclicals</x:v>
      </x:c>
      <x:c r="G4672" s="13" t="str">
        <x:v>grid_asitui1y.xlsx</x:v>
      </x:c>
    </x:row>
    <x:row r="4673">
      <x:c r="A4673" s="15" t="n">
        <x:v>42430</x:v>
      </x:c>
      <x:c r="B4673" s="13" t="str">
        <x:v>SUZANO PAPEL E CELULO-PREF A</x:v>
      </x:c>
      <x:c r="C4673" s="16" t="n">
        <x:v>2232.8884006575</x:v>
      </x:c>
      <x:c r="D4673" s="13" t="str">
        <x:v>Pulp &amp; Paper</x:v>
      </x:c>
      <x:c r="E4673" s="13" t="str">
        <x:v>Pulp &amp; Paper</x:v>
      </x:c>
      <x:c r="F4673" s="13" t="str">
        <x:v>Deep Cyclicals</x:v>
      </x:c>
      <x:c r="G4673" s="13" t="str">
        <x:v>grid_asitui1y.xlsx</x:v>
      </x:c>
    </x:row>
    <x:row r="4674">
      <x:c r="A4674" s="15" t="n">
        <x:v>42430</x:v>
      </x:c>
      <x:c r="B4674" s="13" t="str">
        <x:v>CIA BRASILEIRA DE DIS-PREF</x:v>
      </x:c>
      <x:c r="C4674" s="16" t="n">
        <x:v>623.1400013151</x:v>
      </x:c>
      <x:c r="D4674" s="13" t="str">
        <x:v>Retail</x:v>
      </x:c>
      <x:c r="E4674" s="13" t="str">
        <x:v>Retail</x:v>
      </x:c>
      <x:c r="F4674" s="13" t="str">
        <x:v>Early Cyclicals</x:v>
      </x:c>
      <x:c r="G4674" s="13" t="str">
        <x:v>grid_asitui1y.xlsx</x:v>
      </x:c>
    </x:row>
    <x:row r="4675">
      <x:c r="A4675" s="15" t="n">
        <x:v>42430</x:v>
      </x:c>
      <x:c r="B4675" s="13" t="str">
        <x:v>CIA HERING</x:v>
      </x:c>
      <x:c r="C4675" s="16" t="n">
        <x:v>234.637260274</x:v>
      </x:c>
      <x:c r="D4675" s="13" t="str">
        <x:v>Retail</x:v>
      </x:c>
      <x:c r="E4675" s="13" t="str">
        <x:v>Retail</x:v>
      </x:c>
      <x:c r="F4675" s="13" t="str">
        <x:v>Early Cyclicals</x:v>
      </x:c>
      <x:c r="G4675" s="13" t="str">
        <x:v>grid_asitui1y.xlsx</x:v>
      </x:c>
    </x:row>
    <x:row r="4676">
      <x:c r="A4676" s="15" t="n">
        <x:v>42430</x:v>
      </x:c>
      <x:c r="B4676" s="13" t="str">
        <x:v>LOJAS AMERICANAS SA-PREF</x:v>
      </x:c>
      <x:c r="C4676" s="16" t="n">
        <x:v>493.9915870685</x:v>
      </x:c>
      <x:c r="D4676" s="13" t="str">
        <x:v>Retail</x:v>
      </x:c>
      <x:c r="E4676" s="13" t="str">
        <x:v>Retail</x:v>
      </x:c>
      <x:c r="F4676" s="13" t="str">
        <x:v>Early Cyclicals</x:v>
      </x:c>
      <x:c r="G4676" s="13" t="str">
        <x:v>grid_asitui1y.xlsx</x:v>
      </x:c>
    </x:row>
    <x:row r="4677">
      <x:c r="A4677" s="15" t="n">
        <x:v>42430</x:v>
      </x:c>
      <x:c r="B4677" s="13" t="str">
        <x:v>LOJAS RENNER S.A.</x:v>
      </x:c>
      <x:c r="C4677" s="16" t="n">
        <x:v>687.9416574247</x:v>
      </x:c>
      <x:c r="D4677" s="13" t="str">
        <x:v>Retail</x:v>
      </x:c>
      <x:c r="E4677" s="13" t="str">
        <x:v>Retail</x:v>
      </x:c>
      <x:c r="F4677" s="13" t="str">
        <x:v>Early Cyclicals</x:v>
      </x:c>
      <x:c r="G4677" s="13" t="str">
        <x:v>grid_asitui1y.xlsx</x:v>
      </x:c>
    </x:row>
    <x:row r="4678">
      <x:c r="A4678" s="15" t="n">
        <x:v>42430</x:v>
      </x:c>
      <x:c r="B4678" s="13" t="str">
        <x:v>NATURA COSMETICOS SA</x:v>
      </x:c>
      <x:c r="C4678" s="16" t="n">
        <x:v>670.597266411</x:v>
      </x:c>
      <x:c r="D4678" s="13" t="str">
        <x:v>Retail</x:v>
      </x:c>
      <x:c r="E4678" s="13" t="str">
        <x:v>Retail</x:v>
      </x:c>
      <x:c r="F4678" s="13" t="str">
        <x:v>Early Cyclicals</x:v>
      </x:c>
      <x:c r="G4678" s="13" t="str">
        <x:v>grid_asitui1y.xlsx</x:v>
      </x:c>
    </x:row>
    <x:row r="4679">
      <x:c r="A4679" s="15" t="n">
        <x:v>42430</x:v>
      </x:c>
      <x:c r="B4679" s="13" t="str">
        <x:v>RAIA DROGASIL SA</x:v>
      </x:c>
      <x:c r="C4679" s="16" t="n">
        <x:v>490.9086592877</x:v>
      </x:c>
      <x:c r="D4679" s="13" t="str">
        <x:v>Retail</x:v>
      </x:c>
      <x:c r="E4679" s="13" t="str">
        <x:v>Retail</x:v>
      </x:c>
      <x:c r="F4679" s="13" t="str">
        <x:v>Early Cyclicals</x:v>
      </x:c>
      <x:c r="G4679" s="13" t="str">
        <x:v>grid_asitui1y.xlsx</x:v>
      </x:c>
    </x:row>
    <x:row r="4680">
      <x:c r="A4680" s="15" t="n">
        <x:v>42430</x:v>
      </x:c>
      <x:c r="B4680" s="13" t="str">
        <x:v>CIA SANEAMENTO BASICO DE SP</x:v>
      </x:c>
      <x:c r="C4680" s="16" t="n">
        <x:v>1624.1312087671</x:v>
      </x:c>
      <x:c r="D4680" s="13" t="str">
        <x:v>Sanitation</x:v>
      </x:c>
      <x:c r="E4680" s="13" t="str">
        <x:v>Utilities</x:v>
      </x:c>
      <x:c r="F4680" s="13" t="str">
        <x:v>Defensives</x:v>
      </x:c>
      <x:c r="G4680" s="13" t="str">
        <x:v>grid_asitui1y.xlsx</x:v>
      </x:c>
    </x:row>
    <x:row r="4681">
      <x:c r="A4681" s="15" t="n">
        <x:v>42430</x:v>
      </x:c>
      <x:c r="B4681" s="13" t="str">
        <x:v>OI S.A.</x:v>
      </x:c>
      <x:c r="C4681" s="16" t="n">
        <x:v>-1762.3080013151</x:v>
      </x:c>
      <x:c r="D4681" s="13" t="str">
        <x:v>TMT</x:v>
      </x:c>
      <x:c r="E4681" s="13" t="str">
        <x:v>TMT</x:v>
      </x:c>
      <x:c r="F4681" s="13" t="str">
        <x:v>Early Cyclicals</x:v>
      </x:c>
      <x:c r="G4681" s="13" t="str">
        <x:v>grid_asitui1y.xlsx</x:v>
      </x:c>
    </x:row>
    <x:row r="4682">
      <x:c r="A4682" s="15" t="n">
        <x:v>42430</x:v>
      </x:c>
      <x:c r="B4682" s="13" t="str">
        <x:v>TELEFONICA BRASIL S.A.-PREF</x:v>
      </x:c>
      <x:c r="C4682" s="16" t="n">
        <x:v>4870.7820431781</x:v>
      </x:c>
      <x:c r="D4682" s="13" t="str">
        <x:v>TMT</x:v>
      </x:c>
      <x:c r="E4682" s="13" t="str">
        <x:v>TMT</x:v>
      </x:c>
      <x:c r="F4682" s="13" t="str">
        <x:v>Early Cyclicals</x:v>
      </x:c>
      <x:c r="G4682" s="13" t="str">
        <x:v>grid_asitui1y.xlsx</x:v>
      </x:c>
    </x:row>
    <x:row r="4683">
      <x:c r="A4683" s="15" t="n">
        <x:v>42430</x:v>
      </x:c>
      <x:c r="B4683" s="13" t="str">
        <x:v>TIM SA</x:v>
      </x:c>
      <x:c r="C4683" s="16" t="n">
        <x:v>963.8891020274</x:v>
      </x:c>
      <x:c r="D4683" s="13" t="str">
        <x:v>TMT</x:v>
      </x:c>
      <x:c r="E4683" s="13" t="str">
        <x:v>TMT</x:v>
      </x:c>
      <x:c r="F4683" s="13" t="str">
        <x:v>Early Cyclicals</x:v>
      </x:c>
      <x:c r="G4683" s="13" t="str">
        <x:v>grid_asitui1y.xlsx</x:v>
      </x:c>
    </x:row>
    <x:row r="4684">
      <x:c r="A4684" s="15" t="n">
        <x:v>42430</x:v>
      </x:c>
      <x:c r="B4684" s="13" t="str">
        <x:v>ECORODOVIAS INFRA E LOG SA</x:v>
      </x:c>
      <x:c r="C4684" s="16" t="n">
        <x:v>220.8248453699</x:v>
      </x:c>
      <x:c r="D4684" s="13" t="str">
        <x:v>Transportation</x:v>
      </x:c>
      <x:c r="E4684" s="13" t="str">
        <x:v>Transportation</x:v>
      </x:c>
      <x:c r="F4684" s="13" t="str">
        <x:v>Deep Cyclicals</x:v>
      </x:c>
      <x:c r="G4684" s="13" t="str">
        <x:v>grid_asitui1y.xlsx</x:v>
      </x:c>
    </x:row>
    <x:row r="4685">
      <x:c r="A4685" s="15" t="n">
        <x:v>42430</x:v>
      </x:c>
      <x:c r="B4685" s="13" t="str">
        <x:v>LOCALIZA RENT A CAR</x:v>
      </x:c>
      <x:c r="C4685" s="16" t="n">
        <x:v>346.3579568219</x:v>
      </x:c>
      <x:c r="D4685" s="13" t="str">
        <x:v>Transportation</x:v>
      </x:c>
      <x:c r="E4685" s="13" t="str">
        <x:v>Transportation</x:v>
      </x:c>
      <x:c r="F4685" s="13" t="str">
        <x:v>Deep Cyclicals</x:v>
      </x:c>
      <x:c r="G4685" s="13" t="str">
        <x:v>grid_asitui1y.xlsx</x:v>
      </x:c>
    </x:row>
    <x:row r="4686">
      <x:c r="A4686" s="15" t="n">
        <x:v>42430</x:v>
      </x:c>
      <x:c r="B4686" s="13" t="str">
        <x:v>MOTIVA INFRAESTRUTURA DE MOB</x:v>
      </x:c>
      <x:c r="C4686" s="16" t="n">
        <x:v>1346.0863053151</x:v>
      </x:c>
      <x:c r="D4686" s="13" t="str">
        <x:v>Transportation</x:v>
      </x:c>
      <x:c r="E4686" s="13" t="str">
        <x:v>Transportation</x:v>
      </x:c>
      <x:c r="F4686" s="13" t="str">
        <x:v>Deep Cyclicals</x:v>
      </x:c>
      <x:c r="G4686" s="13" t="str">
        <x:v>grid_asitui1y.xlsx</x:v>
      </x:c>
    </x:row>
    <x:row r="4687">
      <x:c r="A4687" s="15" t="n">
        <x:v>42430</x:v>
      </x:c>
      <x:c r="B4687" s="13" t="str">
        <x:v>CESP - CIA ENERGETICA DE SAO</x:v>
      </x:c>
      <x:c r="C4687" s="16" t="n">
        <x:v>364.5069334795</x:v>
      </x:c>
      <x:c r="D4687" s="13" t="str">
        <x:v>Utilities &amp; Energy</x:v>
      </x:c>
      <x:c r="E4687" s="13" t="str">
        <x:v>Utilities</x:v>
      </x:c>
      <x:c r="F4687" s="13" t="str">
        <x:v>Defensives</x:v>
      </x:c>
      <x:c r="G4687" s="13" t="str">
        <x:v>grid_asitui1y.xlsx</x:v>
      </x:c>
    </x:row>
    <x:row r="4688">
      <x:c r="A4688" s="15" t="n">
        <x:v>42430</x:v>
      </x:c>
      <x:c r="B4688" s="13" t="str">
        <x:v>CIA ENERGETICA MINAS GER-PRF</x:v>
      </x:c>
      <x:c r="C4688" s="16" t="n">
        <x:v>1215.8841985753</x:v>
      </x:c>
      <x:c r="D4688" s="13" t="str">
        <x:v>Utilities &amp; Energy</x:v>
      </x:c>
      <x:c r="E4688" s="13" t="str">
        <x:v>Utilities</x:v>
      </x:c>
      <x:c r="F4688" s="13" t="str">
        <x:v>Defensives</x:v>
      </x:c>
      <x:c r="G4688" s="13" t="str">
        <x:v>grid_asitui1y.xlsx</x:v>
      </x:c>
    </x:row>
    <x:row r="4689">
      <x:c r="A4689" s="15" t="n">
        <x:v>42430</x:v>
      </x:c>
      <x:c r="B4689" s="13" t="str">
        <x:v>COMPANHIA PARANAENSE -PREF B</x:v>
      </x:c>
      <x:c r="C4689" s="16" t="n">
        <x:v>1109.897228274</x:v>
      </x:c>
      <x:c r="D4689" s="13" t="str">
        <x:v>Utilities &amp; Energy</x:v>
      </x:c>
      <x:c r="E4689" s="13" t="str">
        <x:v>Utilities</x:v>
      </x:c>
      <x:c r="F4689" s="13" t="str">
        <x:v>Defensives</x:v>
      </x:c>
      <x:c r="G4689" s="13" t="str">
        <x:v>grid_asitui1y.xlsx</x:v>
      </x:c>
    </x:row>
    <x:row r="4690">
      <x:c r="A4690" s="15" t="n">
        <x:v>42430</x:v>
      </x:c>
      <x:c r="B4690" s="13" t="str">
        <x:v>CPFL ENERGIA SA</x:v>
      </x:c>
      <x:c r="C4690" s="16" t="n">
        <x:v>1002.151448548</x:v>
      </x:c>
      <x:c r="D4690" s="13" t="str">
        <x:v>Utilities &amp; Energy</x:v>
      </x:c>
      <x:c r="E4690" s="13" t="str">
        <x:v>Utilities</x:v>
      </x:c>
      <x:c r="F4690" s="13" t="str">
        <x:v>Defensives</x:v>
      </x:c>
      <x:c r="G4690" s="13" t="str">
        <x:v>grid_asitui1y.xlsx</x:v>
      </x:c>
    </x:row>
    <x:row r="4691">
      <x:c r="A4691" s="15" t="n">
        <x:v>42430</x:v>
      </x:c>
      <x:c r="B4691" s="13" t="str">
        <x:v>EDP - ENERGIAS DO BRASIL SA</x:v>
      </x:c>
      <x:c r="C4691" s="16" t="n">
        <x:v>511.5890410959</x:v>
      </x:c>
      <x:c r="D4691" s="13" t="str">
        <x:v>Utilities &amp; Energy</x:v>
      </x:c>
      <x:c r="E4691" s="13" t="str">
        <x:v>Utilities</x:v>
      </x:c>
      <x:c r="F4691" s="13" t="str">
        <x:v>Defensives</x:v>
      </x:c>
      <x:c r="G4691" s="13" t="str">
        <x:v>grid_asitui1y.xlsx</x:v>
      </x:c>
    </x:row>
    <x:row r="4692">
      <x:c r="A4692" s="15" t="n">
        <x:v>42430</x:v>
      </x:c>
      <x:c r="B4692" s="13" t="str">
        <x:v>ENGIE BRASIL ENERGIA SA</x:v>
      </x:c>
      <x:c r="C4692" s="16" t="n">
        <x:v>1902.2327636164</x:v>
      </x:c>
      <x:c r="D4692" s="13" t="str">
        <x:v>Utilities &amp; Energy</x:v>
      </x:c>
      <x:c r="E4692" s="13" t="str">
        <x:v>Utilities</x:v>
      </x:c>
      <x:c r="F4692" s="13" t="str">
        <x:v>Defensives</x:v>
      </x:c>
      <x:c r="G4692" s="13" t="str">
        <x:v>grid_asitui1y.xlsx</x:v>
      </x:c>
    </x:row>
    <x:row r="4693">
      <x:c r="A4693" s="15" t="n">
        <x:v>42430</x:v>
      </x:c>
      <x:c r="B4693" s="13" t="str">
        <x:v>EQUATORIAL SA - ORD</x:v>
      </x:c>
      <x:c r="C4693" s="16" t="n">
        <x:v>659.0842836164</x:v>
      </x:c>
      <x:c r="D4693" s="13" t="str">
        <x:v>Utilities &amp; Energy</x:v>
      </x:c>
      <x:c r="E4693" s="13" t="str">
        <x:v>Utilities</x:v>
      </x:c>
      <x:c r="F4693" s="13" t="str">
        <x:v>Defensives</x:v>
      </x:c>
      <x:c r="G4693" s="13" t="str">
        <x:v>grid_asitui1y.xlsx</x:v>
      </x:c>
    </x:row>
    <x:row r="4694">
      <x:c r="A4694" s="15" t="n">
        <x:v>42461</x:v>
      </x:c>
      <x:c r="B4694" s="13" t="str">
        <x:v>BANCO BRADESCO S.A.</x:v>
      </x:c>
      <x:c r="C4694" s="16" t="n">
        <x:v>16600.4623724712</x:v>
      </x:c>
      <x:c r="D4694" s="13" t="str">
        <x:v>Banks</x:v>
      </x:c>
      <x:c r="E4694" s="13" t="str">
        <x:v>Banks</x:v>
      </x:c>
      <x:c r="F4694" s="13" t="str">
        <x:v>Financials</x:v>
      </x:c>
      <x:c r="G4694" s="13" t="str">
        <x:v>grid_asitui1y.xlsx</x:v>
      </x:c>
    </x:row>
    <x:row r="4695">
      <x:c r="A4695" s="15" t="n">
        <x:v>42461</x:v>
      </x:c>
      <x:c r="B4695" s="13" t="str">
        <x:v>BANCO BRADESCO SA-PREF</x:v>
      </x:c>
      <x:c r="C4695" s="16" t="n">
        <x:v>16600.4623724712</x:v>
      </x:c>
      <x:c r="D4695" s="13" t="str">
        <x:v>Banks</x:v>
      </x:c>
      <x:c r="E4695" s="13" t="str">
        <x:v>Banks</x:v>
      </x:c>
      <x:c r="F4695" s="13" t="str">
        <x:v>Financials</x:v>
      </x:c>
      <x:c r="G4695" s="13" t="str">
        <x:v>grid_asitui1y.xlsx</x:v>
      </x:c>
    </x:row>
    <x:row r="4696">
      <x:c r="A4696" s="15" t="n">
        <x:v>42461</x:v>
      </x:c>
      <x:c r="B4696" s="13" t="str">
        <x:v>BANCO DO BRASIL S.A.</x:v>
      </x:c>
      <x:c r="C4696" s="16" t="n">
        <x:v>10468.5078499945</x:v>
      </x:c>
      <x:c r="D4696" s="13" t="str">
        <x:v>Banks</x:v>
      </x:c>
      <x:c r="E4696" s="13" t="str">
        <x:v>Banks</x:v>
      </x:c>
      <x:c r="F4696" s="13" t="str">
        <x:v>Financials</x:v>
      </x:c>
      <x:c r="G4696" s="13" t="str">
        <x:v>grid_asitui1y.xlsx</x:v>
      </x:c>
    </x:row>
    <x:row r="4697">
      <x:c r="A4697" s="15" t="n">
        <x:v>42461</x:v>
      </x:c>
      <x:c r="B4697" s="13" t="str">
        <x:v>BANCO SANTANDER  BRASIL-UNIT</x:v>
      </x:c>
      <x:c r="C4697" s="16" t="n">
        <x:v>5588.0008998575</x:v>
      </x:c>
      <x:c r="D4697" s="13" t="str">
        <x:v>Banks</x:v>
      </x:c>
      <x:c r="E4697" s="13" t="str">
        <x:v>Banks</x:v>
      </x:c>
      <x:c r="F4697" s="13" t="str">
        <x:v>Financials</x:v>
      </x:c>
      <x:c r="G4697" s="13" t="str">
        <x:v>grid_asitui1y.xlsx</x:v>
      </x:c>
    </x:row>
    <x:row r="4698">
      <x:c r="A4698" s="15" t="n">
        <x:v>42461</x:v>
      </x:c>
      <x:c r="B4698" s="13" t="str">
        <x:v>ITAU UNIBANCO HOLDING S-PREF</x:v>
      </x:c>
      <x:c r="C4698" s="16" t="n">
        <x:v>21193.0452304658</x:v>
      </x:c>
      <x:c r="D4698" s="13" t="str">
        <x:v>Banks</x:v>
      </x:c>
      <x:c r="E4698" s="13" t="str">
        <x:v>Banks</x:v>
      </x:c>
      <x:c r="F4698" s="13" t="str">
        <x:v>Financials</x:v>
      </x:c>
      <x:c r="G4698" s="13" t="str">
        <x:v>grid_asitui1y.xlsx</x:v>
      </x:c>
    </x:row>
    <x:row r="4699">
      <x:c r="A4699" s="15" t="n">
        <x:v>42461</x:v>
      </x:c>
      <x:c r="B4699" s="13" t="str">
        <x:v>EMBRAER SA</x:v>
      </x:c>
      <x:c r="C4699" s="16" t="n">
        <x:v>1306.6618518795</x:v>
      </x:c>
      <x:c r="D4699" s="13" t="str">
        <x:v>Capital Goods</x:v>
      </x:c>
      <x:c r="E4699" s="13" t="str">
        <x:v>Capital Goods</x:v>
      </x:c>
      <x:c r="F4699" s="13" t="str">
        <x:v>Deep Cyclicals</x:v>
      </x:c>
      <x:c r="G4699" s="13" t="str">
        <x:v>grid_asitui1y.xlsx</x:v>
      </x:c>
    </x:row>
    <x:row r="4700">
      <x:c r="A4700" s="15" t="n">
        <x:v>42461</x:v>
      </x:c>
      <x:c r="B4700" s="13" t="str">
        <x:v>WEG SA</x:v>
      </x:c>
      <x:c r="C4700" s="16" t="n">
        <x:v>1298.2588826301</x:v>
      </x:c>
      <x:c r="D4700" s="13" t="str">
        <x:v>Capital Goods</x:v>
      </x:c>
      <x:c r="E4700" s="13" t="str">
        <x:v>Capital Goods</x:v>
      </x:c>
      <x:c r="F4700" s="13" t="str">
        <x:v>Deep Cyclicals</x:v>
      </x:c>
      <x:c r="G4700" s="13" t="str">
        <x:v>grid_asitui1y.xlsx</x:v>
      </x:c>
    </x:row>
    <x:row r="4701">
      <x:c r="A4701" s="15" t="n">
        <x:v>42461</x:v>
      </x:c>
      <x:c r="B4701" s="13" t="str">
        <x:v>COGNA EDUCACAO</x:v>
      </x:c>
      <x:c r="C4701" s="16" t="n">
        <x:v>1889.9661483836</x:v>
      </x:c>
      <x:c r="D4701" s="13" t="str">
        <x:v>Education</x:v>
      </x:c>
      <x:c r="E4701" s="13" t="str">
        <x:v>Education</x:v>
      </x:c>
      <x:c r="F4701" s="13" t="str">
        <x:v>Early Cyclicals</x:v>
      </x:c>
      <x:c r="G4701" s="13" t="str">
        <x:v>grid_asitui1y.xlsx</x:v>
      </x:c>
    </x:row>
    <x:row r="4702">
      <x:c r="A4702" s="15" t="n">
        <x:v>42461</x:v>
      </x:c>
      <x:c r="B4702" s="13" t="str">
        <x:v>YDUQS PARTICIPACOES SA</x:v>
      </x:c>
      <x:c r="C4702" s="16" t="n">
        <x:v>566.7749973918</x:v>
      </x:c>
      <x:c r="D4702" s="13" t="str">
        <x:v>Education</x:v>
      </x:c>
      <x:c r="E4702" s="13" t="str">
        <x:v>Education</x:v>
      </x:c>
      <x:c r="F4702" s="13" t="str">
        <x:v>Early Cyclicals</x:v>
      </x:c>
      <x:c r="G4702" s="13" t="str">
        <x:v>grid_asitui1y.xlsx</x:v>
      </x:c>
    </x:row>
    <x:row r="4703">
      <x:c r="A4703" s="15" t="n">
        <x:v>42461</x:v>
      </x:c>
      <x:c r="B4703" s="13" t="str">
        <x:v>B3 SA-BRASIL BOLSA BALCAO</x:v>
      </x:c>
      <x:c r="C4703" s="16" t="n">
        <x:v>1899.6700489644</x:v>
      </x:c>
      <x:c r="D4703" s="13" t="str">
        <x:v>Financials Non-Banks</x:v>
      </x:c>
      <x:c r="E4703" s="13" t="str">
        <x:v>Financials Non-Banks</x:v>
      </x:c>
      <x:c r="F4703" s="13" t="str">
        <x:v>Financials</x:v>
      </x:c>
      <x:c r="G4703" s="13" t="str">
        <x:v>grid_asitui1y.xlsx</x:v>
      </x:c>
    </x:row>
    <x:row r="4704">
      <x:c r="A4704" s="15" t="n">
        <x:v>42461</x:v>
      </x:c>
      <x:c r="B4704" s="13" t="str">
        <x:v>BB SEGURIDADE PARTICIPACOES</x:v>
      </x:c>
      <x:c r="C4704" s="16" t="n">
        <x:v>4423.4192825863</x:v>
      </x:c>
      <x:c r="D4704" s="13" t="str">
        <x:v>Financials Non-Banks</x:v>
      </x:c>
      <x:c r="E4704" s="13" t="str">
        <x:v>Financials Non-Banks</x:v>
      </x:c>
      <x:c r="F4704" s="13" t="str">
        <x:v>Financials</x:v>
      </x:c>
      <x:c r="G4704" s="13" t="str">
        <x:v>grid_asitui1y.xlsx</x:v>
      </x:c>
    </x:row>
    <x:row r="4705">
      <x:c r="A4705" s="15" t="n">
        <x:v>42461</x:v>
      </x:c>
      <x:c r="B4705" s="13" t="str">
        <x:v>CETIP SA-MERCADOS ORGANIZADO</x:v>
      </x:c>
      <x:c r="C4705" s="16" t="n">
        <x:v>613.4054407014</x:v>
      </x:c>
      <x:c r="D4705" s="13" t="str">
        <x:v>Financials Non-Banks</x:v>
      </x:c>
      <x:c r="E4705" s="13" t="str">
        <x:v>Financials Non-Banks</x:v>
      </x:c>
      <x:c r="F4705" s="13" t="str">
        <x:v>Financials</x:v>
      </x:c>
      <x:c r="G4705" s="13" t="str">
        <x:v>grid_asitui1y.xlsx</x:v>
      </x:c>
    </x:row>
    <x:row r="4706">
      <x:c r="A4706" s="15" t="n">
        <x:v>42461</x:v>
      </x:c>
      <x:c r="B4706" s="13" t="str">
        <x:v>CIELO SA - INSTITUICAO DE PA</x:v>
      </x:c>
      <x:c r="C4706" s="16" t="n">
        <x:v>4216.3258536329</x:v>
      </x:c>
      <x:c r="D4706" s="13" t="str">
        <x:v>Financials Non-Banks</x:v>
      </x:c>
      <x:c r="E4706" s="13" t="str">
        <x:v>Financials Non-Banks</x:v>
      </x:c>
      <x:c r="F4706" s="13" t="str">
        <x:v>Financials</x:v>
      </x:c>
      <x:c r="G4706" s="13" t="str">
        <x:v>grid_asitui1y.xlsx</x:v>
      </x:c>
    </x:row>
    <x:row r="4707">
      <x:c r="A4707" s="15" t="n">
        <x:v>42461</x:v>
      </x:c>
      <x:c r="B4707" s="13" t="str">
        <x:v>ITAUSA SA</x:v>
      </x:c>
      <x:c r="C4707" s="16" t="n">
        <x:v>7273.1999568658</x:v>
      </x:c>
      <x:c r="D4707" s="13" t="str">
        <x:v>Financials Non-Banks</x:v>
      </x:c>
      <x:c r="E4707" s="13" t="str">
        <x:v>Financials Non-Banks</x:v>
      </x:c>
      <x:c r="F4707" s="13" t="str">
        <x:v>Financials</x:v>
      </x:c>
      <x:c r="G4707" s="13" t="str">
        <x:v>grid_asitui1y.xlsx</x:v>
      </x:c>
    </x:row>
    <x:row r="4708">
      <x:c r="A4708" s="15" t="n">
        <x:v>42461</x:v>
      </x:c>
      <x:c r="B4708" s="13" t="str">
        <x:v>AMBEV SA</x:v>
      </x:c>
      <x:c r="C4708" s="16" t="n">
        <x:v>15473.7005105096</x:v>
      </x:c>
      <x:c r="D4708" s="13" t="str">
        <x:v>Food &amp; Beverages</x:v>
      </x:c>
      <x:c r="E4708" s="13" t="str">
        <x:v>Agri, Food &amp; Beverages</x:v>
      </x:c>
      <x:c r="F4708" s="13" t="str">
        <x:v>Defensives</x:v>
      </x:c>
      <x:c r="G4708" s="13" t="str">
        <x:v>grid_asitui1y.xlsx</x:v>
      </x:c>
    </x:row>
    <x:row r="4709">
      <x:c r="A4709" s="15" t="n">
        <x:v>42461</x:v>
      </x:c>
      <x:c r="B4709" s="13" t="str">
        <x:v>BRF SA</x:v>
      </x:c>
      <x:c r="C4709" s="16" t="n">
        <x:v>2693.8854140493</x:v>
      </x:c>
      <x:c r="D4709" s="13" t="str">
        <x:v>Food &amp; Beverages</x:v>
      </x:c>
      <x:c r="E4709" s="13" t="str">
        <x:v>Agri, Food &amp; Beverages</x:v>
      </x:c>
      <x:c r="F4709" s="13" t="str">
        <x:v>Defensives</x:v>
      </x:c>
      <x:c r="G4709" s="13" t="str">
        <x:v>grid_asitui1y.xlsx</x:v>
      </x:c>
    </x:row>
    <x:row r="4710">
      <x:c r="A4710" s="15" t="n">
        <x:v>42461</x:v>
      </x:c>
      <x:c r="B4710" s="13" t="str">
        <x:v>JBS SA</x:v>
      </x:c>
      <x:c r="C4710" s="16" t="n">
        <x:v>4107.3310677918</x:v>
      </x:c>
      <x:c r="D4710" s="13" t="str">
        <x:v>Food &amp; Beverages</x:v>
      </x:c>
      <x:c r="E4710" s="13" t="str">
        <x:v>Agri, Food &amp; Beverages</x:v>
      </x:c>
      <x:c r="F4710" s="13" t="str">
        <x:v>Defensives</x:v>
      </x:c>
      <x:c r="G4710" s="13" t="str">
        <x:v>grid_asitui1y.xlsx</x:v>
      </x:c>
    </x:row>
    <x:row r="4711">
      <x:c r="A4711" s="15" t="n">
        <x:v>42461</x:v>
      </x:c>
      <x:c r="B4711" s="13" t="str">
        <x:v>MBRF GLOBAL FOODS COMPANY SA</x:v>
      </x:c>
      <x:c r="C4711" s="16" t="n">
        <x:v>283.9359615123</x:v>
      </x:c>
      <x:c r="D4711" s="13" t="str">
        <x:v>Food &amp; Beverages</x:v>
      </x:c>
      <x:c r="E4711" s="13" t="str">
        <x:v>Agri, Food &amp; Beverages</x:v>
      </x:c>
      <x:c r="F4711" s="13" t="str">
        <x:v>Defensives</x:v>
      </x:c>
      <x:c r="G4711" s="13" t="str">
        <x:v>grid_asitui1y.xlsx</x:v>
      </x:c>
    </x:row>
    <x:row r="4712">
      <x:c r="A4712" s="15" t="n">
        <x:v>42461</x:v>
      </x:c>
      <x:c r="B4712" s="13" t="str">
        <x:v>HYPERA SA</x:v>
      </x:c>
      <x:c r="C4712" s="16" t="n">
        <x:v>771.1327733479</x:v>
      </x:c>
      <x:c r="D4712" s="13" t="str">
        <x:v>Health Care</x:v>
      </x:c>
      <x:c r="E4712" s="13" t="str">
        <x:v>Health Care</x:v>
      </x:c>
      <x:c r="F4712" s="13" t="str">
        <x:v>Defensives</x:v>
      </x:c>
      <x:c r="G4712" s="13" t="str">
        <x:v>grid_asitui1y.xlsx</x:v>
      </x:c>
    </x:row>
    <x:row r="4713">
      <x:c r="A4713" s="15" t="n">
        <x:v>42461</x:v>
      </x:c>
      <x:c r="B4713" s="13" t="str">
        <x:v>QUALICORP CONS E CORR SEG SA</x:v>
      </x:c>
      <x:c r="C4713" s="16" t="n">
        <x:v>404.3903395945</x:v>
      </x:c>
      <x:c r="D4713" s="13" t="str">
        <x:v>Health Care</x:v>
      </x:c>
      <x:c r="E4713" s="13" t="str">
        <x:v>Health Care</x:v>
      </x:c>
      <x:c r="F4713" s="13" t="str">
        <x:v>Defensives</x:v>
      </x:c>
      <x:c r="G4713" s="13" t="str">
        <x:v>grid_asitui1y.xlsx</x:v>
      </x:c>
    </x:row>
    <x:row r="4714">
      <x:c r="A4714" s="15" t="n">
        <x:v>42461</x:v>
      </x:c>
      <x:c r="B4714" s="13" t="str">
        <x:v>CYRELA BRAZIL REALTY SA EMP</x:v>
      </x:c>
      <x:c r="C4714" s="16" t="n">
        <x:v>398.6652768438</x:v>
      </x:c>
      <x:c r="D4714" s="13" t="str">
        <x:v>Homebuilders</x:v>
      </x:c>
      <x:c r="E4714" s="13" t="str">
        <x:v>Real Estate</x:v>
      </x:c>
      <x:c r="F4714" s="13" t="str">
        <x:v>Early Cyclicals</x:v>
      </x:c>
      <x:c r="G4714" s="13" t="str">
        <x:v>grid_asitui1y.xlsx</x:v>
      </x:c>
    </x:row>
    <x:row r="4715">
      <x:c r="A4715" s="15" t="n">
        <x:v>42461</x:v>
      </x:c>
      <x:c r="B4715" s="13" t="str">
        <x:v>MRV ENGENHARIA</x:v>
      </x:c>
      <x:c r="C4715" s="16" t="n">
        <x:v>604.099693063</x:v>
      </x:c>
      <x:c r="D4715" s="13" t="str">
        <x:v>Homebuilders</x:v>
      </x:c>
      <x:c r="E4715" s="13" t="str">
        <x:v>Real Estate</x:v>
      </x:c>
      <x:c r="F4715" s="13" t="str">
        <x:v>Early Cyclicals</x:v>
      </x:c>
      <x:c r="G4715" s="13" t="str">
        <x:v>grid_asitui1y.xlsx</x:v>
      </x:c>
    </x:row>
    <x:row r="4716">
      <x:c r="A4716" s="15" t="n">
        <x:v>42461</x:v>
      </x:c>
      <x:c r="B4716" s="13" t="str">
        <x:v>BR MALLS PARTICIPACOES SA</x:v>
      </x:c>
      <x:c r="C4716" s="16" t="n">
        <x:v>423.9663287233</x:v>
      </x:c>
      <x:c r="D4716" s="13" t="str">
        <x:v>Income Properties</x:v>
      </x:c>
      <x:c r="E4716" s="13" t="str">
        <x:v>Real Estate</x:v>
      </x:c>
      <x:c r="F4716" s="13" t="str">
        <x:v>Early Cyclicals</x:v>
      </x:c>
      <x:c r="G4716" s="13" t="str">
        <x:v>grid_asitui1y.xlsx</x:v>
      </x:c>
    </x:row>
    <x:row r="4717">
      <x:c r="A4717" s="15" t="n">
        <x:v>42461</x:v>
      </x:c>
      <x:c r="B4717" s="13" t="str">
        <x:v>MULTIPLAN EMPREENDIMENTOS</x:v>
      </x:c>
      <x:c r="C4717" s="16" t="n">
        <x:v>406.7315782137</x:v>
      </x:c>
      <x:c r="D4717" s="13" t="str">
        <x:v>Income Properties</x:v>
      </x:c>
      <x:c r="E4717" s="13" t="str">
        <x:v>Real Estate</x:v>
      </x:c>
      <x:c r="F4717" s="13" t="str">
        <x:v>Early Cyclicals</x:v>
      </x:c>
      <x:c r="G4717" s="13" t="str">
        <x:v>grid_asitui1y.xlsx</x:v>
      </x:c>
    </x:row>
    <x:row r="4718">
      <x:c r="A4718" s="15" t="n">
        <x:v>42461</x:v>
      </x:c>
      <x:c r="B4718" s="13" t="str">
        <x:v>BRADESPAR SA -PREF</x:v>
      </x:c>
      <x:c r="C4718" s="16" t="n">
        <x:v>-350.4383561644</x:v>
      </x:c>
      <x:c r="D4718" s="13" t="str">
        <x:v>Metals &amp; Mining</x:v>
      </x:c>
      <x:c r="E4718" s="13" t="str">
        <x:v>Metals &amp; Mining</x:v>
      </x:c>
      <x:c r="F4718" s="13" t="str">
        <x:v>Deep Cyclicals</x:v>
      </x:c>
      <x:c r="G4718" s="13" t="str">
        <x:v>grid_asitui1y.xlsx</x:v>
      </x:c>
    </x:row>
    <x:row r="4719">
      <x:c r="A4719" s="15" t="n">
        <x:v>42461</x:v>
      </x:c>
      <x:c r="B4719" s="13" t="str">
        <x:v>CIA SIDERURGICA NACIONAL SA</x:v>
      </x:c>
      <x:c r="C4719" s="16" t="n">
        <x:v>-1281.4740153863</x:v>
      </x:c>
      <x:c r="D4719" s="13" t="str">
        <x:v>Metals &amp; Mining</x:v>
      </x:c>
      <x:c r="E4719" s="13" t="str">
        <x:v>Metals &amp; Mining</x:v>
      </x:c>
      <x:c r="F4719" s="13" t="str">
        <x:v>Deep Cyclicals</x:v>
      </x:c>
      <x:c r="G4719" s="13" t="str">
        <x:v>grid_asitui1y.xlsx</x:v>
      </x:c>
    </x:row>
    <x:row r="4720">
      <x:c r="A4720" s="15" t="n">
        <x:v>42461</x:v>
      </x:c>
      <x:c r="B4720" s="13" t="str">
        <x:v>GERDAU SA-PREF</x:v>
      </x:c>
      <x:c r="C4720" s="16" t="n">
        <x:v>341.3133371616</x:v>
      </x:c>
      <x:c r="D4720" s="13" t="str">
        <x:v>Metals &amp; Mining</x:v>
      </x:c>
      <x:c r="E4720" s="13" t="str">
        <x:v>Metals &amp; Mining</x:v>
      </x:c>
      <x:c r="F4720" s="13" t="str">
        <x:v>Deep Cyclicals</x:v>
      </x:c>
      <x:c r="G4720" s="13" t="str">
        <x:v>grid_asitui1y.xlsx</x:v>
      </x:c>
    </x:row>
    <x:row r="4721">
      <x:c r="A4721" s="15" t="n">
        <x:v>42461</x:v>
      </x:c>
      <x:c r="B4721" s="13" t="str">
        <x:v>METALURGICA GERDAU SA-PREF</x:v>
      </x:c>
      <x:c r="C4721" s="16" t="n">
        <x:v>-186.3726027397</x:v>
      </x:c>
      <x:c r="D4721" s="13" t="str">
        <x:v>Metals &amp; Mining</x:v>
      </x:c>
      <x:c r="E4721" s="13" t="str">
        <x:v>Metals &amp; Mining</x:v>
      </x:c>
      <x:c r="F4721" s="13" t="str">
        <x:v>Deep Cyclicals</x:v>
      </x:c>
      <x:c r="G4721" s="13" t="str">
        <x:v>grid_asitui1y.xlsx</x:v>
      </x:c>
    </x:row>
    <x:row r="4722">
      <x:c r="A4722" s="15" t="n">
        <x:v>42461</x:v>
      </x:c>
      <x:c r="B4722" s="13" t="str">
        <x:v>USINAS SIDER MINAS GER-PF A</x:v>
      </x:c>
      <x:c r="C4722" s="16" t="n">
        <x:v>-954.589029874</x:v>
      </x:c>
      <x:c r="D4722" s="13" t="str">
        <x:v>Metals &amp; Mining</x:v>
      </x:c>
      <x:c r="E4722" s="13" t="str">
        <x:v>Metals &amp; Mining</x:v>
      </x:c>
      <x:c r="F4722" s="13" t="str">
        <x:v>Deep Cyclicals</x:v>
      </x:c>
      <x:c r="G4722" s="13" t="str">
        <x:v>grid_asitui1y.xlsx</x:v>
      </x:c>
    </x:row>
    <x:row r="4723">
      <x:c r="A4723" s="15" t="n">
        <x:v>42461</x:v>
      </x:c>
      <x:c r="B4723" s="13" t="str">
        <x:v>VALE SA</x:v>
      </x:c>
      <x:c r="C4723" s="16" t="n">
        <x:v>2290.680185337</x:v>
      </x:c>
      <x:c r="D4723" s="13" t="str">
        <x:v>Metals &amp; Mining</x:v>
      </x:c>
      <x:c r="E4723" s="13" t="str">
        <x:v>Metals &amp; Mining</x:v>
      </x:c>
      <x:c r="F4723" s="13" t="str">
        <x:v>Deep Cyclicals</x:v>
      </x:c>
      <x:c r="G4723" s="13" t="str">
        <x:v>grid_asitui1y.xlsx</x:v>
      </x:c>
    </x:row>
    <x:row r="4724">
      <x:c r="A4724" s="15" t="n">
        <x:v>42461</x:v>
      </x:c>
      <x:c r="B4724" s="13" t="str">
        <x:v>BRASKEM SA-PREF A</x:v>
      </x:c>
      <x:c r="C4724" s="16" t="n">
        <x:v>3184.7763259616</x:v>
      </x:c>
      <x:c r="D4724" s="13" t="str">
        <x:v>Oil, Gas &amp; Petrochemicals</x:v>
      </x:c>
      <x:c r="E4724" s="13" t="str">
        <x:v>Oil, Gas &amp; Petrochemicals</x:v>
      </x:c>
      <x:c r="F4724" s="13" t="str">
        <x:v>Deep Cyclicals</x:v>
      </x:c>
      <x:c r="G4724" s="13" t="str">
        <x:v>grid_asitui1y.xlsx</x:v>
      </x:c>
    </x:row>
    <x:row r="4725">
      <x:c r="A4725" s="15" t="n">
        <x:v>42461</x:v>
      </x:c>
      <x:c r="B4725" s="13" t="str">
        <x:v>COSAN SA</x:v>
      </x:c>
      <x:c r="C4725" s="16" t="n">
        <x:v>894.2425975233</x:v>
      </x:c>
      <x:c r="D4725" s="13" t="str">
        <x:v>Oil, Gas &amp; Petrochemicals</x:v>
      </x:c>
      <x:c r="E4725" s="13" t="str">
        <x:v>Oil, Gas &amp; Petrochemicals</x:v>
      </x:c>
      <x:c r="F4725" s="13" t="str">
        <x:v>Deep Cyclicals</x:v>
      </x:c>
      <x:c r="G4725" s="13" t="str">
        <x:v>grid_asitui1y.xlsx</x:v>
      </x:c>
    </x:row>
    <x:row r="4726">
      <x:c r="A4726" s="15" t="n">
        <x:v>42461</x:v>
      </x:c>
      <x:c r="B4726" s="13" t="str">
        <x:v>PETROBRAS - PETROLEO BRAS</x:v>
      </x:c>
      <x:c r="C4726" s="16" t="n">
        <x:v>6718.6066193534</x:v>
      </x:c>
      <x:c r="D4726" s="13" t="str">
        <x:v>Oil, Gas &amp; Petrochemicals</x:v>
      </x:c>
      <x:c r="E4726" s="13" t="str">
        <x:v>Oil, Gas &amp; Petrochemicals</x:v>
      </x:c>
      <x:c r="F4726" s="13" t="str">
        <x:v>Deep Cyclicals</x:v>
      </x:c>
      <x:c r="G4726" s="13" t="str">
        <x:v>grid_asitui1y.xlsx</x:v>
      </x:c>
    </x:row>
    <x:row r="4727">
      <x:c r="A4727" s="15" t="n">
        <x:v>42461</x:v>
      </x:c>
      <x:c r="B4727" s="13" t="str">
        <x:v>ULTRAPAR PARTICIPACOES SA</x:v>
      </x:c>
      <x:c r="C4727" s="16" t="n">
        <x:v>1749.8070250959</x:v>
      </x:c>
      <x:c r="D4727" s="13" t="str">
        <x:v>Oil, Gas &amp; Petrochemicals</x:v>
      </x:c>
      <x:c r="E4727" s="13" t="str">
        <x:v>Oil, Gas &amp; Petrochemicals</x:v>
      </x:c>
      <x:c r="F4727" s="13" t="str">
        <x:v>Deep Cyclicals</x:v>
      </x:c>
      <x:c r="G4727" s="13" t="str">
        <x:v>grid_asitui1y.xlsx</x:v>
      </x:c>
    </x:row>
    <x:row r="4728">
      <x:c r="A4728" s="15" t="n">
        <x:v>42461</x:v>
      </x:c>
      <x:c r="B4728" s="13" t="str">
        <x:v>FIBRIA CELULOSE S/A</x:v>
      </x:c>
      <x:c r="C4728" s="16" t="n">
        <x:v>1757.8266196164</x:v>
      </x:c>
      <x:c r="D4728" s="13" t="str">
        <x:v>Pulp &amp; Paper</x:v>
      </x:c>
      <x:c r="E4728" s="13" t="str">
        <x:v>Pulp &amp; Paper</x:v>
      </x:c>
      <x:c r="F4728" s="13" t="str">
        <x:v>Deep Cyclicals</x:v>
      </x:c>
      <x:c r="G4728" s="13" t="str">
        <x:v>grid_asitui1y.xlsx</x:v>
      </x:c>
    </x:row>
    <x:row r="4729">
      <x:c r="A4729" s="15" t="n">
        <x:v>42461</x:v>
      </x:c>
      <x:c r="B4729" s="13" t="str">
        <x:v>KLABIN SA - UNIT</x:v>
      </x:c>
      <x:c r="C4729" s="16" t="n">
        <x:v>1258.4192224438</x:v>
      </x:c>
      <x:c r="D4729" s="13" t="str">
        <x:v>Pulp &amp; Paper</x:v>
      </x:c>
      <x:c r="E4729" s="13" t="str">
        <x:v>Pulp &amp; Paper</x:v>
      </x:c>
      <x:c r="F4729" s="13" t="str">
        <x:v>Deep Cyclicals</x:v>
      </x:c>
      <x:c r="G4729" s="13" t="str">
        <x:v>grid_asitui1y.xlsx</x:v>
      </x:c>
    </x:row>
    <x:row r="4730">
      <x:c r="A4730" s="15" t="n">
        <x:v>42461</x:v>
      </x:c>
      <x:c r="B4730" s="13" t="str">
        <x:v>SUZANO PAPEL E CELULO-PREF A</x:v>
      </x:c>
      <x:c r="C4730" s="16" t="n">
        <x:v>2012.6971826849</x:v>
      </x:c>
      <x:c r="D4730" s="13" t="str">
        <x:v>Pulp &amp; Paper</x:v>
      </x:c>
      <x:c r="E4730" s="13" t="str">
        <x:v>Pulp &amp; Paper</x:v>
      </x:c>
      <x:c r="F4730" s="13" t="str">
        <x:v>Deep Cyclicals</x:v>
      </x:c>
      <x:c r="G4730" s="13" t="str">
        <x:v>grid_asitui1y.xlsx</x:v>
      </x:c>
    </x:row>
    <x:row r="4731">
      <x:c r="A4731" s="15" t="n">
        <x:v>42461</x:v>
      </x:c>
      <x:c r="B4731" s="13" t="str">
        <x:v>CIA BRASILEIRA DE DIS-PREF</x:v>
      </x:c>
      <x:c r="C4731" s="16" t="n">
        <x:v>613.6989860822</x:v>
      </x:c>
      <x:c r="D4731" s="13" t="str">
        <x:v>Retail</x:v>
      </x:c>
      <x:c r="E4731" s="13" t="str">
        <x:v>Retail</x:v>
      </x:c>
      <x:c r="F4731" s="13" t="str">
        <x:v>Early Cyclicals</x:v>
      </x:c>
      <x:c r="G4731" s="13" t="str">
        <x:v>grid_asitui1y.xlsx</x:v>
      </x:c>
    </x:row>
    <x:row r="4732">
      <x:c r="A4732" s="15" t="n">
        <x:v>42461</x:v>
      </x:c>
      <x:c r="B4732" s="13" t="str">
        <x:v>CIA HERING</x:v>
      </x:c>
      <x:c r="C4732" s="16" t="n">
        <x:v>230.9846137863</x:v>
      </x:c>
      <x:c r="D4732" s="13" t="str">
        <x:v>Retail</x:v>
      </x:c>
      <x:c r="E4732" s="13" t="str">
        <x:v>Retail</x:v>
      </x:c>
      <x:c r="F4732" s="13" t="str">
        <x:v>Early Cyclicals</x:v>
      </x:c>
      <x:c r="G4732" s="13" t="str">
        <x:v>grid_asitui1y.xlsx</x:v>
      </x:c>
    </x:row>
    <x:row r="4733">
      <x:c r="A4733" s="15" t="n">
        <x:v>42461</x:v>
      </x:c>
      <x:c r="B4733" s="13" t="str">
        <x:v>LOJAS AMERICANAS SA-PREF</x:v>
      </x:c>
      <x:c r="C4733" s="16" t="n">
        <x:v>477.053753337</x:v>
      </x:c>
      <x:c r="D4733" s="13" t="str">
        <x:v>Retail</x:v>
      </x:c>
      <x:c r="E4733" s="13" t="str">
        <x:v>Retail</x:v>
      </x:c>
      <x:c r="F4733" s="13" t="str">
        <x:v>Early Cyclicals</x:v>
      </x:c>
      <x:c r="G4733" s="13" t="str">
        <x:v>grid_asitui1y.xlsx</x:v>
      </x:c>
    </x:row>
    <x:row r="4734">
      <x:c r="A4734" s="15" t="n">
        <x:v>42461</x:v>
      </x:c>
      <x:c r="B4734" s="13" t="str">
        <x:v>LOJAS RENNER S.A.</x:v>
      </x:c>
      <x:c r="C4734" s="16" t="n">
        <x:v>701.3403123726</x:v>
      </x:c>
      <x:c r="D4734" s="13" t="str">
        <x:v>Retail</x:v>
      </x:c>
      <x:c r="E4734" s="13" t="str">
        <x:v>Retail</x:v>
      </x:c>
      <x:c r="F4734" s="13" t="str">
        <x:v>Early Cyclicals</x:v>
      </x:c>
      <x:c r="G4734" s="13" t="str">
        <x:v>grid_asitui1y.xlsx</x:v>
      </x:c>
    </x:row>
    <x:row r="4735">
      <x:c r="A4735" s="15" t="n">
        <x:v>42461</x:v>
      </x:c>
      <x:c r="B4735" s="13" t="str">
        <x:v>NATURA COSMETICOS SA</x:v>
      </x:c>
      <x:c r="C4735" s="16" t="n">
        <x:v>656.9797260274</x:v>
      </x:c>
      <x:c r="D4735" s="13" t="str">
        <x:v>Retail</x:v>
      </x:c>
      <x:c r="E4735" s="13" t="str">
        <x:v>Retail</x:v>
      </x:c>
      <x:c r="F4735" s="13" t="str">
        <x:v>Early Cyclicals</x:v>
      </x:c>
      <x:c r="G4735" s="13" t="str">
        <x:v>grid_asitui1y.xlsx</x:v>
      </x:c>
    </x:row>
    <x:row r="4736">
      <x:c r="A4736" s="15" t="n">
        <x:v>42461</x:v>
      </x:c>
      <x:c r="B4736" s="13" t="str">
        <x:v>RAIA DROGASIL SA</x:v>
      </x:c>
      <x:c r="C4736" s="16" t="n">
        <x:v>502.7114955397</x:v>
      </x:c>
      <x:c r="D4736" s="13" t="str">
        <x:v>Retail</x:v>
      </x:c>
      <x:c r="E4736" s="13" t="str">
        <x:v>Retail</x:v>
      </x:c>
      <x:c r="F4736" s="13" t="str">
        <x:v>Early Cyclicals</x:v>
      </x:c>
      <x:c r="G4736" s="13" t="str">
        <x:v>grid_asitui1y.xlsx</x:v>
      </x:c>
    </x:row>
    <x:row r="4737">
      <x:c r="A4737" s="15" t="n">
        <x:v>42461</x:v>
      </x:c>
      <x:c r="B4737" s="13" t="str">
        <x:v>CIA SANEAMENTO BASICO DE SP</x:v>
      </x:c>
      <x:c r="C4737" s="16" t="n">
        <x:v>1788.123354126</x:v>
      </x:c>
      <x:c r="D4737" s="13" t="str">
        <x:v>Sanitation</x:v>
      </x:c>
      <x:c r="E4737" s="13" t="str">
        <x:v>Utilities</x:v>
      </x:c>
      <x:c r="F4737" s="13" t="str">
        <x:v>Defensives</x:v>
      </x:c>
      <x:c r="G4737" s="13" t="str">
        <x:v>grid_asitui1y.xlsx</x:v>
      </x:c>
    </x:row>
    <x:row r="4738">
      <x:c r="A4738" s="15" t="n">
        <x:v>42461</x:v>
      </x:c>
      <x:c r="B4738" s="13" t="str">
        <x:v>OI S.A.</x:v>
      </x:c>
      <x:c r="C4738" s="16" t="n">
        <x:v>-1865.6211719014</x:v>
      </x:c>
      <x:c r="D4738" s="13" t="str">
        <x:v>TMT</x:v>
      </x:c>
      <x:c r="E4738" s="13" t="str">
        <x:v>TMT</x:v>
      </x:c>
      <x:c r="F4738" s="13" t="str">
        <x:v>Early Cyclicals</x:v>
      </x:c>
      <x:c r="G4738" s="13" t="str">
        <x:v>grid_asitui1y.xlsx</x:v>
      </x:c>
    </x:row>
    <x:row r="4739">
      <x:c r="A4739" s="15" t="n">
        <x:v>42461</x:v>
      </x:c>
      <x:c r="B4739" s="13" t="str">
        <x:v>TELEFONICA BRASIL S.A.-PREF</x:v>
      </x:c>
      <x:c r="C4739" s="16" t="n">
        <x:v>4917.104095737</x:v>
      </x:c>
      <x:c r="D4739" s="13" t="str">
        <x:v>TMT</x:v>
      </x:c>
      <x:c r="E4739" s="13" t="str">
        <x:v>TMT</x:v>
      </x:c>
      <x:c r="F4739" s="13" t="str">
        <x:v>Early Cyclicals</x:v>
      </x:c>
      <x:c r="G4739" s="13" t="str">
        <x:v>grid_asitui1y.xlsx</x:v>
      </x:c>
    </x:row>
    <x:row r="4740">
      <x:c r="A4740" s="15" t="n">
        <x:v>42461</x:v>
      </x:c>
      <x:c r="B4740" s="13" t="str">
        <x:v>TIM SA</x:v>
      </x:c>
      <x:c r="C4740" s="16" t="n">
        <x:v>954.939193863</x:v>
      </x:c>
      <x:c r="D4740" s="13" t="str">
        <x:v>TMT</x:v>
      </x:c>
      <x:c r="E4740" s="13" t="str">
        <x:v>TMT</x:v>
      </x:c>
      <x:c r="F4740" s="13" t="str">
        <x:v>Early Cyclicals</x:v>
      </x:c>
      <x:c r="G4740" s="13" t="str">
        <x:v>grid_asitui1y.xlsx</x:v>
      </x:c>
    </x:row>
    <x:row r="4741">
      <x:c r="A4741" s="15" t="n">
        <x:v>42461</x:v>
      </x:c>
      <x:c r="B4741" s="13" t="str">
        <x:v>ECORODOVIAS INFRA E LOG SA</x:v>
      </x:c>
      <x:c r="C4741" s="16" t="n">
        <x:v>226.4009203726</x:v>
      </x:c>
      <x:c r="D4741" s="13" t="str">
        <x:v>Transportation</x:v>
      </x:c>
      <x:c r="E4741" s="13" t="str">
        <x:v>Transportation</x:v>
      </x:c>
      <x:c r="F4741" s="13" t="str">
        <x:v>Deep Cyclicals</x:v>
      </x:c>
      <x:c r="G4741" s="13" t="str">
        <x:v>grid_asitui1y.xlsx</x:v>
      </x:c>
    </x:row>
    <x:row r="4742">
      <x:c r="A4742" s="15" t="n">
        <x:v>42461</x:v>
      </x:c>
      <x:c r="B4742" s="13" t="str">
        <x:v>LOCALIZA RENT A CAR</x:v>
      </x:c>
      <x:c r="C4742" s="16" t="n">
        <x:v>372.2871232877</x:v>
      </x:c>
      <x:c r="D4742" s="13" t="str">
        <x:v>Transportation</x:v>
      </x:c>
      <x:c r="E4742" s="13" t="str">
        <x:v>Transportation</x:v>
      </x:c>
      <x:c r="F4742" s="13" t="str">
        <x:v>Deep Cyclicals</x:v>
      </x:c>
      <x:c r="G4742" s="13" t="str">
        <x:v>grid_asitui1y.xlsx</x:v>
      </x:c>
    </x:row>
    <x:row r="4743">
      <x:c r="A4743" s="15" t="n">
        <x:v>42461</x:v>
      </x:c>
      <x:c r="B4743" s="13" t="str">
        <x:v>MOTIVA INFRAESTRUTURA DE MOB</x:v>
      </x:c>
      <x:c r="C4743" s="16" t="n">
        <x:v>1332.1739190356</x:v>
      </x:c>
      <x:c r="D4743" s="13" t="str">
        <x:v>Transportation</x:v>
      </x:c>
      <x:c r="E4743" s="13" t="str">
        <x:v>Transportation</x:v>
      </x:c>
      <x:c r="F4743" s="13" t="str">
        <x:v>Deep Cyclicals</x:v>
      </x:c>
      <x:c r="G4743" s="13" t="str">
        <x:v>grid_asitui1y.xlsx</x:v>
      </x:c>
    </x:row>
    <x:row r="4744">
      <x:c r="A4744" s="15" t="n">
        <x:v>42461</x:v>
      </x:c>
      <x:c r="B4744" s="13" t="str">
        <x:v>CESP - CIA ENERGETICA DE SAO</x:v>
      </x:c>
      <x:c r="C4744" s="16" t="n">
        <x:v>388.3287671233</x:v>
      </x:c>
      <x:c r="D4744" s="13" t="str">
        <x:v>Utilities &amp; Energy</x:v>
      </x:c>
      <x:c r="E4744" s="13" t="str">
        <x:v>Utilities</x:v>
      </x:c>
      <x:c r="F4744" s="13" t="str">
        <x:v>Defensives</x:v>
      </x:c>
      <x:c r="G4744" s="13" t="str">
        <x:v>grid_asitui1y.xlsx</x:v>
      </x:c>
    </x:row>
    <x:row r="4745">
      <x:c r="A4745" s="15" t="n">
        <x:v>42461</x:v>
      </x:c>
      <x:c r="B4745" s="13" t="str">
        <x:v>CIA ENERGETICA MINAS GER-PRF</x:v>
      </x:c>
      <x:c r="C4745" s="16" t="n">
        <x:v>1242.7723186849</x:v>
      </x:c>
      <x:c r="D4745" s="13" t="str">
        <x:v>Utilities &amp; Energy</x:v>
      </x:c>
      <x:c r="E4745" s="13" t="str">
        <x:v>Utilities</x:v>
      </x:c>
      <x:c r="F4745" s="13" t="str">
        <x:v>Defensives</x:v>
      </x:c>
      <x:c r="G4745" s="13" t="str">
        <x:v>grid_asitui1y.xlsx</x:v>
      </x:c>
    </x:row>
    <x:row r="4746">
      <x:c r="A4746" s="15" t="n">
        <x:v>42461</x:v>
      </x:c>
      <x:c r="B4746" s="13" t="str">
        <x:v>COMPANHIA PARANAENSE -PREF B</x:v>
      </x:c>
      <x:c r="C4746" s="16" t="n">
        <x:v>1137.8265649096</x:v>
      </x:c>
      <x:c r="D4746" s="13" t="str">
        <x:v>Utilities &amp; Energy</x:v>
      </x:c>
      <x:c r="E4746" s="13" t="str">
        <x:v>Utilities</x:v>
      </x:c>
      <x:c r="F4746" s="13" t="str">
        <x:v>Defensives</x:v>
      </x:c>
      <x:c r="G4746" s="13" t="str">
        <x:v>grid_asitui1y.xlsx</x:v>
      </x:c>
    </x:row>
    <x:row r="4747">
      <x:c r="A4747" s="15" t="n">
        <x:v>42461</x:v>
      </x:c>
      <x:c r="B4747" s="13" t="str">
        <x:v>CPFL ENERGIA SA</x:v>
      </x:c>
      <x:c r="C4747" s="16" t="n">
        <x:v>1156.5470916384</x:v>
      </x:c>
      <x:c r="D4747" s="13" t="str">
        <x:v>Utilities &amp; Energy</x:v>
      </x:c>
      <x:c r="E4747" s="13" t="str">
        <x:v>Utilities</x:v>
      </x:c>
      <x:c r="F4747" s="13" t="str">
        <x:v>Defensives</x:v>
      </x:c>
      <x:c r="G4747" s="13" t="str">
        <x:v>grid_asitui1y.xlsx</x:v>
      </x:c>
    </x:row>
    <x:row r="4748">
      <x:c r="A4748" s="15" t="n">
        <x:v>42461</x:v>
      </x:c>
      <x:c r="B4748" s="13" t="str">
        <x:v>EDP - ENERGIAS DO BRASIL SA</x:v>
      </x:c>
      <x:c r="C4748" s="16" t="n">
        <x:v>494.1965145425</x:v>
      </x:c>
      <x:c r="D4748" s="13" t="str">
        <x:v>Utilities &amp; Energy</x:v>
      </x:c>
      <x:c r="E4748" s="13" t="str">
        <x:v>Utilities</x:v>
      </x:c>
      <x:c r="F4748" s="13" t="str">
        <x:v>Defensives</x:v>
      </x:c>
      <x:c r="G4748" s="13" t="str">
        <x:v>grid_asitui1y.xlsx</x:v>
      </x:c>
    </x:row>
    <x:row r="4749">
      <x:c r="A4749" s="15" t="n">
        <x:v>42461</x:v>
      </x:c>
      <x:c r="B4749" s="13" t="str">
        <x:v>ENGIE BRASIL ENERGIA SA</x:v>
      </x:c>
      <x:c r="C4749" s="16" t="n">
        <x:v>1899.6869909041</x:v>
      </x:c>
      <x:c r="D4749" s="13" t="str">
        <x:v>Utilities &amp; Energy</x:v>
      </x:c>
      <x:c r="E4749" s="13" t="str">
        <x:v>Utilities</x:v>
      </x:c>
      <x:c r="F4749" s="13" t="str">
        <x:v>Defensives</x:v>
      </x:c>
      <x:c r="G4749" s="13" t="str">
        <x:v>grid_asitui1y.xlsx</x:v>
      </x:c>
    </x:row>
    <x:row r="4750">
      <x:c r="A4750" s="15" t="n">
        <x:v>42461</x:v>
      </x:c>
      <x:c r="B4750" s="13" t="str">
        <x:v>EQUATORIAL SA - ORD</x:v>
      </x:c>
      <x:c r="C4750" s="16" t="n">
        <x:v>659.1074793205</x:v>
      </x:c>
      <x:c r="D4750" s="13" t="str">
        <x:v>Utilities &amp; Energy</x:v>
      </x:c>
      <x:c r="E4750" s="13" t="str">
        <x:v>Utilities</x:v>
      </x:c>
      <x:c r="F4750" s="13" t="str">
        <x:v>Defensives</x:v>
      </x:c>
      <x:c r="G4750" s="13" t="str">
        <x:v>grid_asitui1y.xlsx</x:v>
      </x:c>
    </x:row>
    <x:row r="4751">
      <x:c r="A4751" s="15" t="n">
        <x:v>42491</x:v>
      </x:c>
      <x:c r="B4751" s="13" t="str">
        <x:v>BANCO BRADESCO S.A.</x:v>
      </x:c>
      <x:c r="C4751" s="16" t="n">
        <x:v>16712.1558822575</x:v>
      </x:c>
      <x:c r="D4751" s="13" t="str">
        <x:v>Banks</x:v>
      </x:c>
      <x:c r="E4751" s="13" t="str">
        <x:v>Banks</x:v>
      </x:c>
      <x:c r="F4751" s="13" t="str">
        <x:v>Financials</x:v>
      </x:c>
      <x:c r="G4751" s="13" t="str">
        <x:v>grid_asitui1y.xlsx</x:v>
      </x:c>
    </x:row>
    <x:row r="4752">
      <x:c r="A4752" s="15" t="n">
        <x:v>42491</x:v>
      </x:c>
      <x:c r="B4752" s="13" t="str">
        <x:v>BANCO BRADESCO SA-PREF</x:v>
      </x:c>
      <x:c r="C4752" s="16" t="n">
        <x:v>16712.1558822575</x:v>
      </x:c>
      <x:c r="D4752" s="13" t="str">
        <x:v>Banks</x:v>
      </x:c>
      <x:c r="E4752" s="13" t="str">
        <x:v>Banks</x:v>
      </x:c>
      <x:c r="F4752" s="13" t="str">
        <x:v>Financials</x:v>
      </x:c>
      <x:c r="G4752" s="13" t="str">
        <x:v>grid_asitui1y.xlsx</x:v>
      </x:c>
    </x:row>
    <x:row r="4753">
      <x:c r="A4753" s="15" t="n">
        <x:v>42491</x:v>
      </x:c>
      <x:c r="B4753" s="13" t="str">
        <x:v>BANCO DO BRASIL S.A.</x:v>
      </x:c>
      <x:c r="C4753" s="16" t="n">
        <x:v>10043.4178188274</x:v>
      </x:c>
      <x:c r="D4753" s="13" t="str">
        <x:v>Banks</x:v>
      </x:c>
      <x:c r="E4753" s="13" t="str">
        <x:v>Banks</x:v>
      </x:c>
      <x:c r="F4753" s="13" t="str">
        <x:v>Financials</x:v>
      </x:c>
      <x:c r="G4753" s="13" t="str">
        <x:v>grid_asitui1y.xlsx</x:v>
      </x:c>
    </x:row>
    <x:row r="4754">
      <x:c r="A4754" s="15" t="n">
        <x:v>42491</x:v>
      </x:c>
      <x:c r="B4754" s="13" t="str">
        <x:v>BANCO SANTANDER  BRASIL-UNIT</x:v>
      </x:c>
      <x:c r="C4754" s="16" t="n">
        <x:v>5785.7749384767</x:v>
      </x:c>
      <x:c r="D4754" s="13" t="str">
        <x:v>Banks</x:v>
      </x:c>
      <x:c r="E4754" s="13" t="str">
        <x:v>Banks</x:v>
      </x:c>
      <x:c r="F4754" s="13" t="str">
        <x:v>Financials</x:v>
      </x:c>
      <x:c r="G4754" s="13" t="str">
        <x:v>grid_asitui1y.xlsx</x:v>
      </x:c>
    </x:row>
    <x:row r="4755">
      <x:c r="A4755" s="15" t="n">
        <x:v>42491</x:v>
      </x:c>
      <x:c r="B4755" s="13" t="str">
        <x:v>ITAU UNIBANCO HOLDING S-PREF</x:v>
      </x:c>
      <x:c r="C4755" s="16" t="n">
        <x:v>20921.0972412493</x:v>
      </x:c>
      <x:c r="D4755" s="13" t="str">
        <x:v>Banks</x:v>
      </x:c>
      <x:c r="E4755" s="13" t="str">
        <x:v>Banks</x:v>
      </x:c>
      <x:c r="F4755" s="13" t="str">
        <x:v>Financials</x:v>
      </x:c>
      <x:c r="G4755" s="13" t="str">
        <x:v>grid_asitui1y.xlsx</x:v>
      </x:c>
    </x:row>
    <x:row r="4756">
      <x:c r="A4756" s="15" t="n">
        <x:v>42491</x:v>
      </x:c>
      <x:c r="B4756" s="13" t="str">
        <x:v>EMBRAER SA</x:v>
      </x:c>
      <x:c r="C4756" s="16" t="n">
        <x:v>1263.5025225644</x:v>
      </x:c>
      <x:c r="D4756" s="13" t="str">
        <x:v>Capital Goods</x:v>
      </x:c>
      <x:c r="E4756" s="13" t="str">
        <x:v>Capital Goods</x:v>
      </x:c>
      <x:c r="F4756" s="13" t="str">
        <x:v>Deep Cyclicals</x:v>
      </x:c>
      <x:c r="G4756" s="13" t="str">
        <x:v>grid_asitui1y.xlsx</x:v>
      </x:c>
    </x:row>
    <x:row r="4757">
      <x:c r="A4757" s="15" t="n">
        <x:v>42491</x:v>
      </x:c>
      <x:c r="B4757" s="13" t="str">
        <x:v>WEG SA</x:v>
      </x:c>
      <x:c r="C4757" s="16" t="n">
        <x:v>1303.0428493151</x:v>
      </x:c>
      <x:c r="D4757" s="13" t="str">
        <x:v>Capital Goods</x:v>
      </x:c>
      <x:c r="E4757" s="13" t="str">
        <x:v>Capital Goods</x:v>
      </x:c>
      <x:c r="F4757" s="13" t="str">
        <x:v>Deep Cyclicals</x:v>
      </x:c>
      <x:c r="G4757" s="13" t="str">
        <x:v>grid_asitui1y.xlsx</x:v>
      </x:c>
    </x:row>
    <x:row r="4758">
      <x:c r="A4758" s="15" t="n">
        <x:v>42491</x:v>
      </x:c>
      <x:c r="B4758" s="13" t="str">
        <x:v>COGNA EDUCACAO</x:v>
      </x:c>
      <x:c r="C4758" s="16" t="n">
        <x:v>1894.3066073425</x:v>
      </x:c>
      <x:c r="D4758" s="13" t="str">
        <x:v>Education</x:v>
      </x:c>
      <x:c r="E4758" s="13" t="str">
        <x:v>Education</x:v>
      </x:c>
      <x:c r="F4758" s="13" t="str">
        <x:v>Early Cyclicals</x:v>
      </x:c>
      <x:c r="G4758" s="13" t="str">
        <x:v>grid_asitui1y.xlsx</x:v>
      </x:c>
    </x:row>
    <x:row r="4759">
      <x:c r="A4759" s="15" t="n">
        <x:v>42491</x:v>
      </x:c>
      <x:c r="B4759" s="13" t="str">
        <x:v>YDUQS PARTICIPACOES SA</x:v>
      </x:c>
      <x:c r="C4759" s="16" t="n">
        <x:v>535.0106131288</x:v>
      </x:c>
      <x:c r="D4759" s="13" t="str">
        <x:v>Education</x:v>
      </x:c>
      <x:c r="E4759" s="13" t="str">
        <x:v>Education</x:v>
      </x:c>
      <x:c r="F4759" s="13" t="str">
        <x:v>Early Cyclicals</x:v>
      </x:c>
      <x:c r="G4759" s="13" t="str">
        <x:v>grid_asitui1y.xlsx</x:v>
      </x:c>
    </x:row>
    <x:row r="4760">
      <x:c r="A4760" s="15" t="n">
        <x:v>42491</x:v>
      </x:c>
      <x:c r="B4760" s="13" t="str">
        <x:v>B3 SA-BRASIL BOLSA BALCAO</x:v>
      </x:c>
      <x:c r="C4760" s="16" t="n">
        <x:v>2126.251533326</x:v>
      </x:c>
      <x:c r="D4760" s="13" t="str">
        <x:v>Financials Non-Banks</x:v>
      </x:c>
      <x:c r="E4760" s="13" t="str">
        <x:v>Financials Non-Banks</x:v>
      </x:c>
      <x:c r="F4760" s="13" t="str">
        <x:v>Financials</x:v>
      </x:c>
      <x:c r="G4760" s="13" t="str">
        <x:v>grid_asitui1y.xlsx</x:v>
      </x:c>
    </x:row>
    <x:row r="4761">
      <x:c r="A4761" s="15" t="n">
        <x:v>42491</x:v>
      </x:c>
      <x:c r="B4761" s="13" t="str">
        <x:v>BB SEGURIDADE PARTICIPACOES</x:v>
      </x:c>
      <x:c r="C4761" s="16" t="n">
        <x:v>4364.2861820493</x:v>
      </x:c>
      <x:c r="D4761" s="13" t="str">
        <x:v>Financials Non-Banks</x:v>
      </x:c>
      <x:c r="E4761" s="13" t="str">
        <x:v>Financials Non-Banks</x:v>
      </x:c>
      <x:c r="F4761" s="13" t="str">
        <x:v>Financials</x:v>
      </x:c>
      <x:c r="G4761" s="13" t="str">
        <x:v>grid_asitui1y.xlsx</x:v>
      </x:c>
    </x:row>
    <x:row r="4762">
      <x:c r="A4762" s="15" t="n">
        <x:v>42491</x:v>
      </x:c>
      <x:c r="B4762" s="13" t="str">
        <x:v>CETIP SA-MERCADOS ORGANIZADO</x:v>
      </x:c>
      <x:c r="C4762" s="16" t="n">
        <x:v>631.4979592767</x:v>
      </x:c>
      <x:c r="D4762" s="13" t="str">
        <x:v>Financials Non-Banks</x:v>
      </x:c>
      <x:c r="E4762" s="13" t="str">
        <x:v>Financials Non-Banks</x:v>
      </x:c>
      <x:c r="F4762" s="13" t="str">
        <x:v>Financials</x:v>
      </x:c>
      <x:c r="G4762" s="13" t="str">
        <x:v>grid_asitui1y.xlsx</x:v>
      </x:c>
    </x:row>
    <x:row r="4763">
      <x:c r="A4763" s="15" t="n">
        <x:v>42491</x:v>
      </x:c>
      <x:c r="B4763" s="13" t="str">
        <x:v>CIELO SA - INSTITUICAO DE PA</x:v>
      </x:c>
      <x:c r="C4763" s="16" t="n">
        <x:v>4252.5996943781</x:v>
      </x:c>
      <x:c r="D4763" s="13" t="str">
        <x:v>Financials Non-Banks</x:v>
      </x:c>
      <x:c r="E4763" s="13" t="str">
        <x:v>Financials Non-Banks</x:v>
      </x:c>
      <x:c r="F4763" s="13" t="str">
        <x:v>Financials</x:v>
      </x:c>
      <x:c r="G4763" s="13" t="str">
        <x:v>grid_asitui1y.xlsx</x:v>
      </x:c>
    </x:row>
    <x:row r="4764">
      <x:c r="A4764" s="15" t="n">
        <x:v>42491</x:v>
      </x:c>
      <x:c r="B4764" s="13" t="str">
        <x:v>ITAUSA SA</x:v>
      </x:c>
      <x:c r="C4764" s="16" t="n">
        <x:v>7434.8382656877</x:v>
      </x:c>
      <x:c r="D4764" s="13" t="str">
        <x:v>Financials Non-Banks</x:v>
      </x:c>
      <x:c r="E4764" s="13" t="str">
        <x:v>Financials Non-Banks</x:v>
      </x:c>
      <x:c r="F4764" s="13" t="str">
        <x:v>Financials</x:v>
      </x:c>
      <x:c r="G4764" s="13" t="str">
        <x:v>grid_asitui1y.xlsx</x:v>
      </x:c>
    </x:row>
    <x:row r="4765">
      <x:c r="A4765" s="15" t="n">
        <x:v>42491</x:v>
      </x:c>
      <x:c r="B4765" s="13" t="str">
        <x:v>AMBEV SA</x:v>
      </x:c>
      <x:c r="C4765" s="16" t="n">
        <x:v>15275.3518592</x:v>
      </x:c>
      <x:c r="D4765" s="13" t="str">
        <x:v>Food &amp; Beverages</x:v>
      </x:c>
      <x:c r="E4765" s="13" t="str">
        <x:v>Agri, Food &amp; Beverages</x:v>
      </x:c>
      <x:c r="F4765" s="13" t="str">
        <x:v>Defensives</x:v>
      </x:c>
      <x:c r="G4765" s="13" t="str">
        <x:v>grid_asitui1y.xlsx</x:v>
      </x:c>
    </x:row>
    <x:row r="4766">
      <x:c r="A4766" s="15" t="n">
        <x:v>42491</x:v>
      </x:c>
      <x:c r="B4766" s="13" t="str">
        <x:v>BRF SA</x:v>
      </x:c>
      <x:c r="C4766" s="16" t="n">
        <x:v>2536.9862445589</x:v>
      </x:c>
      <x:c r="D4766" s="13" t="str">
        <x:v>Food &amp; Beverages</x:v>
      </x:c>
      <x:c r="E4766" s="13" t="str">
        <x:v>Agri, Food &amp; Beverages</x:v>
      </x:c>
      <x:c r="F4766" s="13" t="str">
        <x:v>Defensives</x:v>
      </x:c>
      <x:c r="G4766" s="13" t="str">
        <x:v>grid_asitui1y.xlsx</x:v>
      </x:c>
    </x:row>
    <x:row r="4767">
      <x:c r="A4767" s="15" t="n">
        <x:v>42491</x:v>
      </x:c>
      <x:c r="B4767" s="13" t="str">
        <x:v>JBS SA</x:v>
      </x:c>
      <x:c r="C4767" s="16" t="n">
        <x:v>3731.8770028712</x:v>
      </x:c>
      <x:c r="D4767" s="13" t="str">
        <x:v>Food &amp; Beverages</x:v>
      </x:c>
      <x:c r="E4767" s="13" t="str">
        <x:v>Agri, Food &amp; Beverages</x:v>
      </x:c>
      <x:c r="F4767" s="13" t="str">
        <x:v>Defensives</x:v>
      </x:c>
      <x:c r="G4767" s="13" t="str">
        <x:v>grid_asitui1y.xlsx</x:v>
      </x:c>
    </x:row>
    <x:row r="4768">
      <x:c r="A4768" s="15" t="n">
        <x:v>42491</x:v>
      </x:c>
      <x:c r="B4768" s="13" t="str">
        <x:v>MBRF GLOBAL FOODS COMPANY SA</x:v>
      </x:c>
      <x:c r="C4768" s="16" t="n">
        <x:v>274.6954512658</x:v>
      </x:c>
      <x:c r="D4768" s="13" t="str">
        <x:v>Food &amp; Beverages</x:v>
      </x:c>
      <x:c r="E4768" s="13" t="str">
        <x:v>Agri, Food &amp; Beverages</x:v>
      </x:c>
      <x:c r="F4768" s="13" t="str">
        <x:v>Defensives</x:v>
      </x:c>
      <x:c r="G4768" s="13" t="str">
        <x:v>grid_asitui1y.xlsx</x:v>
      </x:c>
    </x:row>
    <x:row r="4769">
      <x:c r="A4769" s="15" t="n">
        <x:v>42491</x:v>
      </x:c>
      <x:c r="B4769" s="13" t="str">
        <x:v>HYPERA SA</x:v>
      </x:c>
      <x:c r="C4769" s="16" t="n">
        <x:v>823.9638226411</x:v>
      </x:c>
      <x:c r="D4769" s="13" t="str">
        <x:v>Health Care</x:v>
      </x:c>
      <x:c r="E4769" s="13" t="str">
        <x:v>Health Care</x:v>
      </x:c>
      <x:c r="F4769" s="13" t="str">
        <x:v>Defensives</x:v>
      </x:c>
      <x:c r="G4769" s="13" t="str">
        <x:v>grid_asitui1y.xlsx</x:v>
      </x:c>
    </x:row>
    <x:row r="4770">
      <x:c r="A4770" s="15" t="n">
        <x:v>42491</x:v>
      </x:c>
      <x:c r="B4770" s="13" t="str">
        <x:v>QUALICORP CONS E CORR SEG SA</x:v>
      </x:c>
      <x:c r="C4770" s="16" t="n">
        <x:v>409.8606726137</x:v>
      </x:c>
      <x:c r="D4770" s="13" t="str">
        <x:v>Health Care</x:v>
      </x:c>
      <x:c r="E4770" s="13" t="str">
        <x:v>Health Care</x:v>
      </x:c>
      <x:c r="F4770" s="13" t="str">
        <x:v>Defensives</x:v>
      </x:c>
      <x:c r="G4770" s="13" t="str">
        <x:v>grid_asitui1y.xlsx</x:v>
      </x:c>
    </x:row>
    <x:row r="4771">
      <x:c r="A4771" s="15" t="n">
        <x:v>42491</x:v>
      </x:c>
      <x:c r="B4771" s="13" t="str">
        <x:v>CYRELA BRAZIL REALTY SA EMP</x:v>
      </x:c>
      <x:c r="C4771" s="16" t="n">
        <x:v>373.897210389</x:v>
      </x:c>
      <x:c r="D4771" s="13" t="str">
        <x:v>Homebuilders</x:v>
      </x:c>
      <x:c r="E4771" s="13" t="str">
        <x:v>Real Estate</x:v>
      </x:c>
      <x:c r="F4771" s="13" t="str">
        <x:v>Early Cyclicals</x:v>
      </x:c>
      <x:c r="G4771" s="13" t="str">
        <x:v>grid_asitui1y.xlsx</x:v>
      </x:c>
    </x:row>
    <x:row r="4772">
      <x:c r="A4772" s="15" t="n">
        <x:v>42491</x:v>
      </x:c>
      <x:c r="B4772" s="13" t="str">
        <x:v>MRV ENGENHARIA</x:v>
      </x:c>
      <x:c r="C4772" s="16" t="n">
        <x:v>581.3222503452</x:v>
      </x:c>
      <x:c r="D4772" s="13" t="str">
        <x:v>Homebuilders</x:v>
      </x:c>
      <x:c r="E4772" s="13" t="str">
        <x:v>Real Estate</x:v>
      </x:c>
      <x:c r="F4772" s="13" t="str">
        <x:v>Early Cyclicals</x:v>
      </x:c>
      <x:c r="G4772" s="13" t="str">
        <x:v>grid_asitui1y.xlsx</x:v>
      </x:c>
    </x:row>
    <x:row r="4773">
      <x:c r="A4773" s="15" t="n">
        <x:v>42491</x:v>
      </x:c>
      <x:c r="B4773" s="13" t="str">
        <x:v>BR MALLS PARTICIPACOES SA</x:v>
      </x:c>
      <x:c r="C4773" s="16" t="n">
        <x:v>415.2500066192</x:v>
      </x:c>
      <x:c r="D4773" s="13" t="str">
        <x:v>Income Properties</x:v>
      </x:c>
      <x:c r="E4773" s="13" t="str">
        <x:v>Real Estate</x:v>
      </x:c>
      <x:c r="F4773" s="13" t="str">
        <x:v>Early Cyclicals</x:v>
      </x:c>
      <x:c r="G4773" s="13" t="str">
        <x:v>grid_asitui1y.xlsx</x:v>
      </x:c>
    </x:row>
    <x:row r="4774">
      <x:c r="A4774" s="15" t="n">
        <x:v>42491</x:v>
      </x:c>
      <x:c r="B4774" s="13" t="str">
        <x:v>MULTIPLAN EMPREENDIMENTOS</x:v>
      </x:c>
      <x:c r="C4774" s="16" t="n">
        <x:v>413.599781611</x:v>
      </x:c>
      <x:c r="D4774" s="13" t="str">
        <x:v>Income Properties</x:v>
      </x:c>
      <x:c r="E4774" s="13" t="str">
        <x:v>Real Estate</x:v>
      </x:c>
      <x:c r="F4774" s="13" t="str">
        <x:v>Early Cyclicals</x:v>
      </x:c>
      <x:c r="G4774" s="13" t="str">
        <x:v>grid_asitui1y.xlsx</x:v>
      </x:c>
    </x:row>
    <x:row r="4775">
      <x:c r="A4775" s="15" t="n">
        <x:v>42491</x:v>
      </x:c>
      <x:c r="B4775" s="13" t="str">
        <x:v>BRADESPAR SA -PREF</x:v>
      </x:c>
      <x:c r="C4775" s="16" t="n">
        <x:v>-281.1780821918</x:v>
      </x:c>
      <x:c r="D4775" s="13" t="str">
        <x:v>Metals &amp; Mining</x:v>
      </x:c>
      <x:c r="E4775" s="13" t="str">
        <x:v>Metals &amp; Mining</x:v>
      </x:c>
      <x:c r="F4775" s="13" t="str">
        <x:v>Deep Cyclicals</x:v>
      </x:c>
      <x:c r="G4775" s="13" t="str">
        <x:v>grid_asitui1y.xlsx</x:v>
      </x:c>
    </x:row>
    <x:row r="4776">
      <x:c r="A4776" s="15" t="n">
        <x:v>42491</x:v>
      </x:c>
      <x:c r="B4776" s="13" t="str">
        <x:v>CIA SIDERURGICA NACIONAL SA</x:v>
      </x:c>
      <x:c r="C4776" s="16" t="n">
        <x:v>-1285.9220513315</x:v>
      </x:c>
      <x:c r="D4776" s="13" t="str">
        <x:v>Metals &amp; Mining</x:v>
      </x:c>
      <x:c r="E4776" s="13" t="str">
        <x:v>Metals &amp; Mining</x:v>
      </x:c>
      <x:c r="F4776" s="13" t="str">
        <x:v>Deep Cyclicals</x:v>
      </x:c>
      <x:c r="G4776" s="13" t="str">
        <x:v>grid_asitui1y.xlsx</x:v>
      </x:c>
    </x:row>
    <x:row r="4777">
      <x:c r="A4777" s="15" t="n">
        <x:v>42491</x:v>
      </x:c>
      <x:c r="B4777" s="13" t="str">
        <x:v>GERDAU SA-PREF</x:v>
      </x:c>
      <x:c r="C4777" s="16" t="n">
        <x:v>245.4250248767</x:v>
      </x:c>
      <x:c r="D4777" s="13" t="str">
        <x:v>Metals &amp; Mining</x:v>
      </x:c>
      <x:c r="E4777" s="13" t="str">
        <x:v>Metals &amp; Mining</x:v>
      </x:c>
      <x:c r="F4777" s="13" t="str">
        <x:v>Deep Cyclicals</x:v>
      </x:c>
      <x:c r="G4777" s="13" t="str">
        <x:v>grid_asitui1y.xlsx</x:v>
      </x:c>
    </x:row>
    <x:row r="4778">
      <x:c r="A4778" s="15" t="n">
        <x:v>42491</x:v>
      </x:c>
      <x:c r="B4778" s="13" t="str">
        <x:v>METALURGICA GERDAU SA-PREF</x:v>
      </x:c>
      <x:c r="C4778" s="16" t="n">
        <x:v>-177.3342465753</x:v>
      </x:c>
      <x:c r="D4778" s="13" t="str">
        <x:v>Metals &amp; Mining</x:v>
      </x:c>
      <x:c r="E4778" s="13" t="str">
        <x:v>Metals &amp; Mining</x:v>
      </x:c>
      <x:c r="F4778" s="13" t="str">
        <x:v>Deep Cyclicals</x:v>
      </x:c>
      <x:c r="G4778" s="13" t="str">
        <x:v>grid_asitui1y.xlsx</x:v>
      </x:c>
    </x:row>
    <x:row r="4779">
      <x:c r="A4779" s="15" t="n">
        <x:v>42491</x:v>
      </x:c>
      <x:c r="B4779" s="13" t="str">
        <x:v>USINAS SIDER MINAS GER-PF A</x:v>
      </x:c>
      <x:c r="C4779" s="16" t="n">
        <x:v>-788.6349845041</x:v>
      </x:c>
      <x:c r="D4779" s="13" t="str">
        <x:v>Metals &amp; Mining</x:v>
      </x:c>
      <x:c r="E4779" s="13" t="str">
        <x:v>Metals &amp; Mining</x:v>
      </x:c>
      <x:c r="F4779" s="13" t="str">
        <x:v>Deep Cyclicals</x:v>
      </x:c>
      <x:c r="G4779" s="13" t="str">
        <x:v>grid_asitui1y.xlsx</x:v>
      </x:c>
    </x:row>
    <x:row r="4780">
      <x:c r="A4780" s="15" t="n">
        <x:v>42491</x:v>
      </x:c>
      <x:c r="B4780" s="13" t="str">
        <x:v>VALE SA</x:v>
      </x:c>
      <x:c r="C4780" s="16" t="n">
        <x:v>5810.4145008219</x:v>
      </x:c>
      <x:c r="D4780" s="13" t="str">
        <x:v>Metals &amp; Mining</x:v>
      </x:c>
      <x:c r="E4780" s="13" t="str">
        <x:v>Metals &amp; Mining</x:v>
      </x:c>
      <x:c r="F4780" s="13" t="str">
        <x:v>Deep Cyclicals</x:v>
      </x:c>
      <x:c r="G4780" s="13" t="str">
        <x:v>grid_asitui1y.xlsx</x:v>
      </x:c>
    </x:row>
    <x:row r="4781">
      <x:c r="A4781" s="15" t="n">
        <x:v>42491</x:v>
      </x:c>
      <x:c r="B4781" s="13" t="str">
        <x:v>BRASKEM SA-PREF A</x:v>
      </x:c>
      <x:c r="C4781" s="16" t="n">
        <x:v>3036.4101653041</x:v>
      </x:c>
      <x:c r="D4781" s="13" t="str">
        <x:v>Oil, Gas &amp; Petrochemicals</x:v>
      </x:c>
      <x:c r="E4781" s="13" t="str">
        <x:v>Oil, Gas &amp; Petrochemicals</x:v>
      </x:c>
      <x:c r="F4781" s="13" t="str">
        <x:v>Deep Cyclicals</x:v>
      </x:c>
      <x:c r="G4781" s="13" t="str">
        <x:v>grid_asitui1y.xlsx</x:v>
      </x:c>
    </x:row>
    <x:row r="4782">
      <x:c r="A4782" s="15" t="n">
        <x:v>42491</x:v>
      </x:c>
      <x:c r="B4782" s="13" t="str">
        <x:v>COSAN SA</x:v>
      </x:c>
      <x:c r="C4782" s="16" t="n">
        <x:v>924.9253761753</x:v>
      </x:c>
      <x:c r="D4782" s="13" t="str">
        <x:v>Oil, Gas &amp; Petrochemicals</x:v>
      </x:c>
      <x:c r="E4782" s="13" t="str">
        <x:v>Oil, Gas &amp; Petrochemicals</x:v>
      </x:c>
      <x:c r="F4782" s="13" t="str">
        <x:v>Deep Cyclicals</x:v>
      </x:c>
      <x:c r="G4782" s="13" t="str">
        <x:v>grid_asitui1y.xlsx</x:v>
      </x:c>
    </x:row>
    <x:row r="4783">
      <x:c r="A4783" s="15" t="n">
        <x:v>42491</x:v>
      </x:c>
      <x:c r="B4783" s="13" t="str">
        <x:v>PETROBRAS - PETROLEO BRAS</x:v>
      </x:c>
      <x:c r="C4783" s="16" t="n">
        <x:v>8149.2303367014</x:v>
      </x:c>
      <x:c r="D4783" s="13" t="str">
        <x:v>Oil, Gas &amp; Petrochemicals</x:v>
      </x:c>
      <x:c r="E4783" s="13" t="str">
        <x:v>Oil, Gas &amp; Petrochemicals</x:v>
      </x:c>
      <x:c r="F4783" s="13" t="str">
        <x:v>Deep Cyclicals</x:v>
      </x:c>
      <x:c r="G4783" s="13" t="str">
        <x:v>grid_asitui1y.xlsx</x:v>
      </x:c>
    </x:row>
    <x:row r="4784">
      <x:c r="A4784" s="15" t="n">
        <x:v>42491</x:v>
      </x:c>
      <x:c r="B4784" s="13" t="str">
        <x:v>ULTRAPAR PARTICIPACOES SA</x:v>
      </x:c>
      <x:c r="C4784" s="16" t="n">
        <x:v>1757.1872045589</x:v>
      </x:c>
      <x:c r="D4784" s="13" t="str">
        <x:v>Oil, Gas &amp; Petrochemicals</x:v>
      </x:c>
      <x:c r="E4784" s="13" t="str">
        <x:v>Oil, Gas &amp; Petrochemicals</x:v>
      </x:c>
      <x:c r="F4784" s="13" t="str">
        <x:v>Deep Cyclicals</x:v>
      </x:c>
      <x:c r="G4784" s="13" t="str">
        <x:v>grid_asitui1y.xlsx</x:v>
      </x:c>
    </x:row>
    <x:row r="4785">
      <x:c r="A4785" s="15" t="n">
        <x:v>42491</x:v>
      </x:c>
      <x:c r="B4785" s="13" t="str">
        <x:v>FIBRIA CELULOSE S/A</x:v>
      </x:c>
      <x:c r="C4785" s="16" t="n">
        <x:v>1393.3736532164</x:v>
      </x:c>
      <x:c r="D4785" s="13" t="str">
        <x:v>Pulp &amp; Paper</x:v>
      </x:c>
      <x:c r="E4785" s="13" t="str">
        <x:v>Pulp &amp; Paper</x:v>
      </x:c>
      <x:c r="F4785" s="13" t="str">
        <x:v>Deep Cyclicals</x:v>
      </x:c>
      <x:c r="G4785" s="13" t="str">
        <x:v>grid_asitui1y.xlsx</x:v>
      </x:c>
    </x:row>
    <x:row r="4786">
      <x:c r="A4786" s="15" t="n">
        <x:v>42491</x:v>
      </x:c>
      <x:c r="B4786" s="13" t="str">
        <x:v>KLABIN SA - UNIT</x:v>
      </x:c>
      <x:c r="C4786" s="16" t="n">
        <x:v>1423.0370223342</x:v>
      </x:c>
      <x:c r="D4786" s="13" t="str">
        <x:v>Pulp &amp; Paper</x:v>
      </x:c>
      <x:c r="E4786" s="13" t="str">
        <x:v>Pulp &amp; Paper</x:v>
      </x:c>
      <x:c r="F4786" s="13" t="str">
        <x:v>Deep Cyclicals</x:v>
      </x:c>
      <x:c r="G4786" s="13" t="str">
        <x:v>grid_asitui1y.xlsx</x:v>
      </x:c>
    </x:row>
    <x:row r="4787">
      <x:c r="A4787" s="15" t="n">
        <x:v>42491</x:v>
      </x:c>
      <x:c r="B4787" s="13" t="str">
        <x:v>SUZANO PAPEL E CELULO-PREF A</x:v>
      </x:c>
      <x:c r="C4787" s="16" t="n">
        <x:v>2016.454636011</x:v>
      </x:c>
      <x:c r="D4787" s="13" t="str">
        <x:v>Pulp &amp; Paper</x:v>
      </x:c>
      <x:c r="E4787" s="13" t="str">
        <x:v>Pulp &amp; Paper</x:v>
      </x:c>
      <x:c r="F4787" s="13" t="str">
        <x:v>Deep Cyclicals</x:v>
      </x:c>
      <x:c r="G4787" s="13" t="str">
        <x:v>grid_asitui1y.xlsx</x:v>
      </x:c>
    </x:row>
    <x:row r="4788">
      <x:c r="A4788" s="15" t="n">
        <x:v>42491</x:v>
      </x:c>
      <x:c r="B4788" s="13" t="str">
        <x:v>CIA BRASILEIRA DE DIS-PREF</x:v>
      </x:c>
      <x:c r="C4788" s="16" t="n">
        <x:v>643.9795555945</x:v>
      </x:c>
      <x:c r="D4788" s="13" t="str">
        <x:v>Retail</x:v>
      </x:c>
      <x:c r="E4788" s="13" t="str">
        <x:v>Retail</x:v>
      </x:c>
      <x:c r="F4788" s="13" t="str">
        <x:v>Early Cyclicals</x:v>
      </x:c>
      <x:c r="G4788" s="13" t="str">
        <x:v>grid_asitui1y.xlsx</x:v>
      </x:c>
    </x:row>
    <x:row r="4789">
      <x:c r="A4789" s="15" t="n">
        <x:v>42491</x:v>
      </x:c>
      <x:c r="B4789" s="13" t="str">
        <x:v>LOJAS AMERICANAS SA-PREF</x:v>
      </x:c>
      <x:c r="C4789" s="16" t="n">
        <x:v>442.9838115068</x:v>
      </x:c>
      <x:c r="D4789" s="13" t="str">
        <x:v>Retail</x:v>
      </x:c>
      <x:c r="E4789" s="13" t="str">
        <x:v>Retail</x:v>
      </x:c>
      <x:c r="F4789" s="13" t="str">
        <x:v>Early Cyclicals</x:v>
      </x:c>
      <x:c r="G4789" s="13" t="str">
        <x:v>grid_asitui1y.xlsx</x:v>
      </x:c>
    </x:row>
    <x:row r="4790">
      <x:c r="A4790" s="15" t="n">
        <x:v>42491</x:v>
      </x:c>
      <x:c r="B4790" s="13" t="str">
        <x:v>LOJAS RENNER S.A.</x:v>
      </x:c>
      <x:c r="C4790" s="16" t="n">
        <x:v>707.2172189808</x:v>
      </x:c>
      <x:c r="D4790" s="13" t="str">
        <x:v>Retail</x:v>
      </x:c>
      <x:c r="E4790" s="13" t="str">
        <x:v>Retail</x:v>
      </x:c>
      <x:c r="F4790" s="13" t="str">
        <x:v>Early Cyclicals</x:v>
      </x:c>
      <x:c r="G4790" s="13" t="str">
        <x:v>grid_asitui1y.xlsx</x:v>
      </x:c>
    </x:row>
    <x:row r="4791">
      <x:c r="A4791" s="15" t="n">
        <x:v>42491</x:v>
      </x:c>
      <x:c r="B4791" s="13" t="str">
        <x:v>NATURA COSMETICOS SA</x:v>
      </x:c>
      <x:c r="C4791" s="16" t="n">
        <x:v>635.8024977534</x:v>
      </x:c>
      <x:c r="D4791" s="13" t="str">
        <x:v>Retail</x:v>
      </x:c>
      <x:c r="E4791" s="13" t="str">
        <x:v>Retail</x:v>
      </x:c>
      <x:c r="F4791" s="13" t="str">
        <x:v>Early Cyclicals</x:v>
      </x:c>
      <x:c r="G4791" s="13" t="str">
        <x:v>grid_asitui1y.xlsx</x:v>
      </x:c>
    </x:row>
    <x:row r="4792">
      <x:c r="A4792" s="15" t="n">
        <x:v>42491</x:v>
      </x:c>
      <x:c r="B4792" s="13" t="str">
        <x:v>RAIA DROGASIL SA</x:v>
      </x:c>
      <x:c r="C4792" s="16" t="n">
        <x:v>531.0164583452</x:v>
      </x:c>
      <x:c r="D4792" s="13" t="str">
        <x:v>Retail</x:v>
      </x:c>
      <x:c r="E4792" s="13" t="str">
        <x:v>Retail</x:v>
      </x:c>
      <x:c r="F4792" s="13" t="str">
        <x:v>Early Cyclicals</x:v>
      </x:c>
      <x:c r="G4792" s="13" t="str">
        <x:v>grid_asitui1y.xlsx</x:v>
      </x:c>
    </x:row>
    <x:row r="4793">
      <x:c r="A4793" s="15" t="n">
        <x:v>42491</x:v>
      </x:c>
      <x:c r="B4793" s="13" t="str">
        <x:v>CIA SANEAMENTO BASICO DE SP</x:v>
      </x:c>
      <x:c r="C4793" s="16" t="n">
        <x:v>2124.5955598027</x:v>
      </x:c>
      <x:c r="D4793" s="13" t="str">
        <x:v>Sanitation</x:v>
      </x:c>
      <x:c r="E4793" s="13" t="str">
        <x:v>Utilities</x:v>
      </x:c>
      <x:c r="F4793" s="13" t="str">
        <x:v>Defensives</x:v>
      </x:c>
      <x:c r="G4793" s="13" t="str">
        <x:v>grid_asitui1y.xlsx</x:v>
      </x:c>
    </x:row>
    <x:row r="4794">
      <x:c r="A4794" s="15" t="n">
        <x:v>42491</x:v>
      </x:c>
      <x:c r="B4794" s="13" t="str">
        <x:v>TELEFONICA BRASIL S.A.-PREF</x:v>
      </x:c>
      <x:c r="C4794" s="16" t="n">
        <x:v>4974.3191951781</x:v>
      </x:c>
      <x:c r="D4794" s="13" t="str">
        <x:v>TMT</x:v>
      </x:c>
      <x:c r="E4794" s="13" t="str">
        <x:v>TMT</x:v>
      </x:c>
      <x:c r="F4794" s="13" t="str">
        <x:v>Early Cyclicals</x:v>
      </x:c>
      <x:c r="G4794" s="13" t="str">
        <x:v>grid_asitui1y.xlsx</x:v>
      </x:c>
    </x:row>
    <x:row r="4795">
      <x:c r="A4795" s="15" t="n">
        <x:v>42491</x:v>
      </x:c>
      <x:c r="B4795" s="13" t="str">
        <x:v>TIM SA</x:v>
      </x:c>
      <x:c r="C4795" s="16" t="n">
        <x:v>792.5523054466</x:v>
      </x:c>
      <x:c r="D4795" s="13" t="str">
        <x:v>TMT</x:v>
      </x:c>
      <x:c r="E4795" s="13" t="str">
        <x:v>TMT</x:v>
      </x:c>
      <x:c r="F4795" s="13" t="str">
        <x:v>Early Cyclicals</x:v>
      </x:c>
      <x:c r="G4795" s="13" t="str">
        <x:v>grid_asitui1y.xlsx</x:v>
      </x:c>
    </x:row>
    <x:row r="4796">
      <x:c r="A4796" s="15" t="n">
        <x:v>42491</x:v>
      </x:c>
      <x:c r="B4796" s="13" t="str">
        <x:v>ECORODOVIAS INFRA E LOG SA</x:v>
      </x:c>
      <x:c r="C4796" s="16" t="n">
        <x:v>252.1245860822</x:v>
      </x:c>
      <x:c r="D4796" s="13" t="str">
        <x:v>Transportation</x:v>
      </x:c>
      <x:c r="E4796" s="13" t="str">
        <x:v>Transportation</x:v>
      </x:c>
      <x:c r="F4796" s="13" t="str">
        <x:v>Deep Cyclicals</x:v>
      </x:c>
      <x:c r="G4796" s="13" t="str">
        <x:v>grid_asitui1y.xlsx</x:v>
      </x:c>
    </x:row>
    <x:row r="4797">
      <x:c r="A4797" s="15" t="n">
        <x:v>42491</x:v>
      </x:c>
      <x:c r="B4797" s="13" t="str">
        <x:v>LOCALIZA RENT A CAR</x:v>
      </x:c>
      <x:c r="C4797" s="16" t="n">
        <x:v>381.4385144986</x:v>
      </x:c>
      <x:c r="D4797" s="13" t="str">
        <x:v>Transportation</x:v>
      </x:c>
      <x:c r="E4797" s="13" t="str">
        <x:v>Transportation</x:v>
      </x:c>
      <x:c r="F4797" s="13" t="str">
        <x:v>Deep Cyclicals</x:v>
      </x:c>
      <x:c r="G4797" s="13" t="str">
        <x:v>grid_asitui1y.xlsx</x:v>
      </x:c>
    </x:row>
    <x:row r="4798">
      <x:c r="A4798" s="15" t="n">
        <x:v>42491</x:v>
      </x:c>
      <x:c r="B4798" s="13" t="str">
        <x:v>MOTIVA INFRAESTRUTURA DE MOB</x:v>
      </x:c>
      <x:c r="C4798" s="16" t="n">
        <x:v>1416.5913838466</x:v>
      </x:c>
      <x:c r="D4798" s="13" t="str">
        <x:v>Transportation</x:v>
      </x:c>
      <x:c r="E4798" s="13" t="str">
        <x:v>Transportation</x:v>
      </x:c>
      <x:c r="F4798" s="13" t="str">
        <x:v>Deep Cyclicals</x:v>
      </x:c>
      <x:c r="G4798" s="13" t="str">
        <x:v>grid_asitui1y.xlsx</x:v>
      </x:c>
    </x:row>
    <x:row r="4799">
      <x:c r="A4799" s="15" t="n">
        <x:v>42491</x:v>
      </x:c>
      <x:c r="B4799" s="13" t="str">
        <x:v>CESP - CIA ENERGETICA DE SAO</x:v>
      </x:c>
      <x:c r="C4799" s="16" t="n">
        <x:v>384.7887266192</x:v>
      </x:c>
      <x:c r="D4799" s="13" t="str">
        <x:v>Utilities &amp; Energy</x:v>
      </x:c>
      <x:c r="E4799" s="13" t="str">
        <x:v>Utilities</x:v>
      </x:c>
      <x:c r="F4799" s="13" t="str">
        <x:v>Defensives</x:v>
      </x:c>
      <x:c r="G4799" s="13" t="str">
        <x:v>grid_asitui1y.xlsx</x:v>
      </x:c>
    </x:row>
    <x:row r="4800">
      <x:c r="A4800" s="15" t="n">
        <x:v>42491</x:v>
      </x:c>
      <x:c r="B4800" s="13" t="str">
        <x:v>CIA ENERGETICA MINAS GER-PRF</x:v>
      </x:c>
      <x:c r="C4800" s="16" t="n">
        <x:v>1110.6019328</x:v>
      </x:c>
      <x:c r="D4800" s="13" t="str">
        <x:v>Utilities &amp; Energy</x:v>
      </x:c>
      <x:c r="E4800" s="13" t="str">
        <x:v>Utilities</x:v>
      </x:c>
      <x:c r="F4800" s="13" t="str">
        <x:v>Defensives</x:v>
      </x:c>
      <x:c r="G4800" s="13" t="str">
        <x:v>grid_asitui1y.xlsx</x:v>
      </x:c>
    </x:row>
    <x:row r="4801">
      <x:c r="A4801" s="15" t="n">
        <x:v>42491</x:v>
      </x:c>
      <x:c r="B4801" s="13" t="str">
        <x:v>COMPANHIA PARANAENSE -PREF B</x:v>
      </x:c>
      <x:c r="C4801" s="16" t="n">
        <x:v>1201.7910289534</x:v>
      </x:c>
      <x:c r="D4801" s="13" t="str">
        <x:v>Utilities &amp; Energy</x:v>
      </x:c>
      <x:c r="E4801" s="13" t="str">
        <x:v>Utilities</x:v>
      </x:c>
      <x:c r="F4801" s="13" t="str">
        <x:v>Defensives</x:v>
      </x:c>
      <x:c r="G4801" s="13" t="str">
        <x:v>grid_asitui1y.xlsx</x:v>
      </x:c>
    </x:row>
    <x:row r="4802">
      <x:c r="A4802" s="15" t="n">
        <x:v>42491</x:v>
      </x:c>
      <x:c r="B4802" s="13" t="str">
        <x:v>CPFL ENERGIA SA</x:v>
      </x:c>
      <x:c r="C4802" s="16" t="n">
        <x:v>1124.1716693918</x:v>
      </x:c>
      <x:c r="D4802" s="13" t="str">
        <x:v>Utilities &amp; Energy</x:v>
      </x:c>
      <x:c r="E4802" s="13" t="str">
        <x:v>Utilities</x:v>
      </x:c>
      <x:c r="F4802" s="13" t="str">
        <x:v>Defensives</x:v>
      </x:c>
      <x:c r="G4802" s="13" t="str">
        <x:v>grid_asitui1y.xlsx</x:v>
      </x:c>
    </x:row>
    <x:row r="4803">
      <x:c r="A4803" s="15" t="n">
        <x:v>42491</x:v>
      </x:c>
      <x:c r="B4803" s="13" t="str">
        <x:v>EDP - ENERGIAS DO BRASIL SA</x:v>
      </x:c>
      <x:c r="C4803" s="16" t="n">
        <x:v>517.4821917808</x:v>
      </x:c>
      <x:c r="D4803" s="13" t="str">
        <x:v>Utilities &amp; Energy</x:v>
      </x:c>
      <x:c r="E4803" s="13" t="str">
        <x:v>Utilities</x:v>
      </x:c>
      <x:c r="F4803" s="13" t="str">
        <x:v>Defensives</x:v>
      </x:c>
      <x:c r="G4803" s="13" t="str">
        <x:v>grid_asitui1y.xlsx</x:v>
      </x:c>
    </x:row>
    <x:row r="4804">
      <x:c r="A4804" s="15" t="n">
        <x:v>42491</x:v>
      </x:c>
      <x:c r="B4804" s="13" t="str">
        <x:v>ENGIE BRASIL ENERGIA SA</x:v>
      </x:c>
      <x:c r="C4804" s="16" t="n">
        <x:v>1880.3455000548</x:v>
      </x:c>
      <x:c r="D4804" s="13" t="str">
        <x:v>Utilities &amp; Energy</x:v>
      </x:c>
      <x:c r="E4804" s="13" t="str">
        <x:v>Utilities</x:v>
      </x:c>
      <x:c r="F4804" s="13" t="str">
        <x:v>Defensives</x:v>
      </x:c>
      <x:c r="G4804" s="13" t="str">
        <x:v>grid_asitui1y.xlsx</x:v>
      </x:c>
    </x:row>
    <x:row r="4805">
      <x:c r="A4805" s="15" t="n">
        <x:v>42491</x:v>
      </x:c>
      <x:c r="B4805" s="13" t="str">
        <x:v>EQUATORIAL SA - ORD</x:v>
      </x:c>
      <x:c r="C4805" s="16" t="n">
        <x:v>670.1980135452</x:v>
      </x:c>
      <x:c r="D4805" s="13" t="str">
        <x:v>Utilities &amp; Energy</x:v>
      </x:c>
      <x:c r="E4805" s="13" t="str">
        <x:v>Utilities</x:v>
      </x:c>
      <x:c r="F4805" s="13" t="str">
        <x:v>Defensives</x:v>
      </x:c>
      <x:c r="G4805" s="13" t="str">
        <x:v>grid_asitui1y.xlsx</x:v>
      </x:c>
    </x:row>
    <x:row r="4806">
      <x:c r="A4806" s="15" t="n">
        <x:v>42522</x:v>
      </x:c>
      <x:c r="B4806" s="13" t="str">
        <x:v>BANCO BRADESCO S.A.</x:v>
      </x:c>
      <x:c r="C4806" s="16" t="n">
        <x:v>16700.5934606027</x:v>
      </x:c>
      <x:c r="D4806" s="13" t="str">
        <x:v>Banks</x:v>
      </x:c>
      <x:c r="E4806" s="13" t="str">
        <x:v>Banks</x:v>
      </x:c>
      <x:c r="F4806" s="13" t="str">
        <x:v>Financials</x:v>
      </x:c>
      <x:c r="G4806" s="13" t="str">
        <x:v>grid_asitui1y.xlsx</x:v>
      </x:c>
    </x:row>
    <x:row r="4807">
      <x:c r="A4807" s="15" t="n">
        <x:v>42522</x:v>
      </x:c>
      <x:c r="B4807" s="13" t="str">
        <x:v>BANCO BRADESCO SA-PREF</x:v>
      </x:c>
      <x:c r="C4807" s="16" t="n">
        <x:v>16700.5934606027</x:v>
      </x:c>
      <x:c r="D4807" s="13" t="str">
        <x:v>Banks</x:v>
      </x:c>
      <x:c r="E4807" s="13" t="str">
        <x:v>Banks</x:v>
      </x:c>
      <x:c r="F4807" s="13" t="str">
        <x:v>Financials</x:v>
      </x:c>
      <x:c r="G4807" s="13" t="str">
        <x:v>grid_asitui1y.xlsx</x:v>
      </x:c>
    </x:row>
    <x:row r="4808">
      <x:c r="A4808" s="15" t="n">
        <x:v>42522</x:v>
      </x:c>
      <x:c r="B4808" s="13" t="str">
        <x:v>BANCO DO BRASIL S.A.</x:v>
      </x:c>
      <x:c r="C4808" s="16" t="n">
        <x:v>9726.3413724932</x:v>
      </x:c>
      <x:c r="D4808" s="13" t="str">
        <x:v>Banks</x:v>
      </x:c>
      <x:c r="E4808" s="13" t="str">
        <x:v>Banks</x:v>
      </x:c>
      <x:c r="F4808" s="13" t="str">
        <x:v>Financials</x:v>
      </x:c>
      <x:c r="G4808" s="13" t="str">
        <x:v>grid_asitui1y.xlsx</x:v>
      </x:c>
    </x:row>
    <x:row r="4809">
      <x:c r="A4809" s="15" t="n">
        <x:v>42522</x:v>
      </x:c>
      <x:c r="B4809" s="13" t="str">
        <x:v>BANCO SANTANDER  BRASIL-UNIT</x:v>
      </x:c>
      <x:c r="C4809" s="16" t="n">
        <x:v>5527.917325326</x:v>
      </x:c>
      <x:c r="D4809" s="13" t="str">
        <x:v>Banks</x:v>
      </x:c>
      <x:c r="E4809" s="13" t="str">
        <x:v>Banks</x:v>
      </x:c>
      <x:c r="F4809" s="13" t="str">
        <x:v>Financials</x:v>
      </x:c>
      <x:c r="G4809" s="13" t="str">
        <x:v>grid_asitui1y.xlsx</x:v>
      </x:c>
    </x:row>
    <x:row r="4810">
      <x:c r="A4810" s="15" t="n">
        <x:v>42522</x:v>
      </x:c>
      <x:c r="B4810" s="13" t="str">
        <x:v>ITAU UNIBANCO HOLDING S-PREF</x:v>
      </x:c>
      <x:c r="C4810" s="16" t="n">
        <x:v>21051.4471164493</x:v>
      </x:c>
      <x:c r="D4810" s="13" t="str">
        <x:v>Banks</x:v>
      </x:c>
      <x:c r="E4810" s="13" t="str">
        <x:v>Banks</x:v>
      </x:c>
      <x:c r="F4810" s="13" t="str">
        <x:v>Financials</x:v>
      </x:c>
      <x:c r="G4810" s="13" t="str">
        <x:v>grid_asitui1y.xlsx</x:v>
      </x:c>
    </x:row>
    <x:row r="4811">
      <x:c r="A4811" s="15" t="n">
        <x:v>42522</x:v>
      </x:c>
      <x:c r="B4811" s="13" t="str">
        <x:v>EMBRAER SA</x:v>
      </x:c>
      <x:c r="C4811" s="16" t="n">
        <x:v>1262.7958275507</x:v>
      </x:c>
      <x:c r="D4811" s="13" t="str">
        <x:v>Capital Goods</x:v>
      </x:c>
      <x:c r="E4811" s="13" t="str">
        <x:v>Capital Goods</x:v>
      </x:c>
      <x:c r="F4811" s="13" t="str">
        <x:v>Deep Cyclicals</x:v>
      </x:c>
      <x:c r="G4811" s="13" t="str">
        <x:v>grid_asitui1y.xlsx</x:v>
      </x:c>
    </x:row>
    <x:row r="4812">
      <x:c r="A4812" s="15" t="n">
        <x:v>42522</x:v>
      </x:c>
      <x:c r="B4812" s="13" t="str">
        <x:v>WEG SA</x:v>
      </x:c>
      <x:c r="C4812" s="16" t="n">
        <x:v>1316.338771463</x:v>
      </x:c>
      <x:c r="D4812" s="13" t="str">
        <x:v>Capital Goods</x:v>
      </x:c>
      <x:c r="E4812" s="13" t="str">
        <x:v>Capital Goods</x:v>
      </x:c>
      <x:c r="F4812" s="13" t="str">
        <x:v>Deep Cyclicals</x:v>
      </x:c>
      <x:c r="G4812" s="13" t="str">
        <x:v>grid_asitui1y.xlsx</x:v>
      </x:c>
    </x:row>
    <x:row r="4813">
      <x:c r="A4813" s="15" t="n">
        <x:v>42522</x:v>
      </x:c>
      <x:c r="B4813" s="13" t="str">
        <x:v>COGNA EDUCACAO</x:v>
      </x:c>
      <x:c r="C4813" s="16" t="n">
        <x:v>1912.8372764055</x:v>
      </x:c>
      <x:c r="D4813" s="13" t="str">
        <x:v>Education</x:v>
      </x:c>
      <x:c r="E4813" s="13" t="str">
        <x:v>Education</x:v>
      </x:c>
      <x:c r="F4813" s="13" t="str">
        <x:v>Early Cyclicals</x:v>
      </x:c>
      <x:c r="G4813" s="13" t="str">
        <x:v>grid_asitui1y.xlsx</x:v>
      </x:c>
    </x:row>
    <x:row r="4814">
      <x:c r="A4814" s="15" t="n">
        <x:v>42522</x:v>
      </x:c>
      <x:c r="B4814" s="13" t="str">
        <x:v>YDUQS PARTICIPACOES SA</x:v>
      </x:c>
      <x:c r="C4814" s="16" t="n">
        <x:v>556.1894300055</x:v>
      </x:c>
      <x:c r="D4814" s="13" t="str">
        <x:v>Education</x:v>
      </x:c>
      <x:c r="E4814" s="13" t="str">
        <x:v>Education</x:v>
      </x:c>
      <x:c r="F4814" s="13" t="str">
        <x:v>Early Cyclicals</x:v>
      </x:c>
      <x:c r="G4814" s="13" t="str">
        <x:v>grid_asitui1y.xlsx</x:v>
      </x:c>
    </x:row>
    <x:row r="4815">
      <x:c r="A4815" s="15" t="n">
        <x:v>42522</x:v>
      </x:c>
      <x:c r="B4815" s="13" t="str">
        <x:v>B3 SA-BRASIL BOLSA BALCAO</x:v>
      </x:c>
      <x:c r="C4815" s="16" t="n">
        <x:v>2164.1019812822</x:v>
      </x:c>
      <x:c r="D4815" s="13" t="str">
        <x:v>Financials Non-Banks</x:v>
      </x:c>
      <x:c r="E4815" s="13" t="str">
        <x:v>Financials Non-Banks</x:v>
      </x:c>
      <x:c r="F4815" s="13" t="str">
        <x:v>Financials</x:v>
      </x:c>
      <x:c r="G4815" s="13" t="str">
        <x:v>grid_asitui1y.xlsx</x:v>
      </x:c>
    </x:row>
    <x:row r="4816">
      <x:c r="A4816" s="15" t="n">
        <x:v>42522</x:v>
      </x:c>
      <x:c r="B4816" s="13" t="str">
        <x:v>BB SEGURIDADE PARTICIPACOES</x:v>
      </x:c>
      <x:c r="C4816" s="16" t="n">
        <x:v>4336.3418616986</x:v>
      </x:c>
      <x:c r="D4816" s="13" t="str">
        <x:v>Financials Non-Banks</x:v>
      </x:c>
      <x:c r="E4816" s="13" t="str">
        <x:v>Financials Non-Banks</x:v>
      </x:c>
      <x:c r="F4816" s="13" t="str">
        <x:v>Financials</x:v>
      </x:c>
      <x:c r="G4816" s="13" t="str">
        <x:v>grid_asitui1y.xlsx</x:v>
      </x:c>
    </x:row>
    <x:row r="4817">
      <x:c r="A4817" s="15" t="n">
        <x:v>42522</x:v>
      </x:c>
      <x:c r="B4817" s="13" t="str">
        <x:v>CETIP SA-MERCADOS ORGANIZADO</x:v>
      </x:c>
      <x:c r="C4817" s="16" t="n">
        <x:v>637.035628537</x:v>
      </x:c>
      <x:c r="D4817" s="13" t="str">
        <x:v>Financials Non-Banks</x:v>
      </x:c>
      <x:c r="E4817" s="13" t="str">
        <x:v>Financials Non-Banks</x:v>
      </x:c>
      <x:c r="F4817" s="13" t="str">
        <x:v>Financials</x:v>
      </x:c>
      <x:c r="G4817" s="13" t="str">
        <x:v>grid_asitui1y.xlsx</x:v>
      </x:c>
    </x:row>
    <x:row r="4818">
      <x:c r="A4818" s="15" t="n">
        <x:v>42522</x:v>
      </x:c>
      <x:c r="B4818" s="13" t="str">
        <x:v>CIELO SA - INSTITUICAO DE PA</x:v>
      </x:c>
      <x:c r="C4818" s="16" t="n">
        <x:v>4315.1226290849</x:v>
      </x:c>
      <x:c r="D4818" s="13" t="str">
        <x:v>Financials Non-Banks</x:v>
      </x:c>
      <x:c r="E4818" s="13" t="str">
        <x:v>Financials Non-Banks</x:v>
      </x:c>
      <x:c r="F4818" s="13" t="str">
        <x:v>Financials</x:v>
      </x:c>
      <x:c r="G4818" s="13" t="str">
        <x:v>grid_asitui1y.xlsx</x:v>
      </x:c>
    </x:row>
    <x:row r="4819">
      <x:c r="A4819" s="15" t="n">
        <x:v>42522</x:v>
      </x:c>
      <x:c r="B4819" s="13" t="str">
        <x:v>ITAUSA SA</x:v>
      </x:c>
      <x:c r="C4819" s="16" t="n">
        <x:v>7395.4683974137</x:v>
      </x:c>
      <x:c r="D4819" s="13" t="str">
        <x:v>Financials Non-Banks</x:v>
      </x:c>
      <x:c r="E4819" s="13" t="str">
        <x:v>Financials Non-Banks</x:v>
      </x:c>
      <x:c r="F4819" s="13" t="str">
        <x:v>Financials</x:v>
      </x:c>
      <x:c r="G4819" s="13" t="str">
        <x:v>grid_asitui1y.xlsx</x:v>
      </x:c>
    </x:row>
    <x:row r="4820">
      <x:c r="A4820" s="15" t="n">
        <x:v>42522</x:v>
      </x:c>
      <x:c r="B4820" s="13" t="str">
        <x:v>AMBEV SA</x:v>
      </x:c>
      <x:c r="C4820" s="16" t="n">
        <x:v>15344.2808986301</x:v>
      </x:c>
      <x:c r="D4820" s="13" t="str">
        <x:v>Food &amp; Beverages</x:v>
      </x:c>
      <x:c r="E4820" s="13" t="str">
        <x:v>Agri, Food &amp; Beverages</x:v>
      </x:c>
      <x:c r="F4820" s="13" t="str">
        <x:v>Defensives</x:v>
      </x:c>
      <x:c r="G4820" s="13" t="str">
        <x:v>grid_asitui1y.xlsx</x:v>
      </x:c>
    </x:row>
    <x:row r="4821">
      <x:c r="A4821" s="15" t="n">
        <x:v>42522</x:v>
      </x:c>
      <x:c r="B4821" s="13" t="str">
        <x:v>BRF SA</x:v>
      </x:c>
      <x:c r="C4821" s="16" t="n">
        <x:v>2361.1964177534</x:v>
      </x:c>
      <x:c r="D4821" s="13" t="str">
        <x:v>Food &amp; Beverages</x:v>
      </x:c>
      <x:c r="E4821" s="13" t="str">
        <x:v>Agri, Food &amp; Beverages</x:v>
      </x:c>
      <x:c r="F4821" s="13" t="str">
        <x:v>Defensives</x:v>
      </x:c>
      <x:c r="G4821" s="13" t="str">
        <x:v>grid_asitui1y.xlsx</x:v>
      </x:c>
    </x:row>
    <x:row r="4822">
      <x:c r="A4822" s="15" t="n">
        <x:v>42522</x:v>
      </x:c>
      <x:c r="B4822" s="13" t="str">
        <x:v>JBS SA</x:v>
      </x:c>
      <x:c r="C4822" s="16" t="n">
        <x:v>3575.2747218411</x:v>
      </x:c>
      <x:c r="D4822" s="13" t="str">
        <x:v>Food &amp; Beverages</x:v>
      </x:c>
      <x:c r="E4822" s="13" t="str">
        <x:v>Agri, Food &amp; Beverages</x:v>
      </x:c>
      <x:c r="F4822" s="13" t="str">
        <x:v>Defensives</x:v>
      </x:c>
      <x:c r="G4822" s="13" t="str">
        <x:v>grid_asitui1y.xlsx</x:v>
      </x:c>
    </x:row>
    <x:row r="4823">
      <x:c r="A4823" s="15" t="n">
        <x:v>42522</x:v>
      </x:c>
      <x:c r="B4823" s="13" t="str">
        <x:v>MBRF GLOBAL FOODS COMPANY SA</x:v>
      </x:c>
      <x:c r="C4823" s="16" t="n">
        <x:v>278.0309755616</x:v>
      </x:c>
      <x:c r="D4823" s="13" t="str">
        <x:v>Food &amp; Beverages</x:v>
      </x:c>
      <x:c r="E4823" s="13" t="str">
        <x:v>Agri, Food &amp; Beverages</x:v>
      </x:c>
      <x:c r="F4823" s="13" t="str">
        <x:v>Defensives</x:v>
      </x:c>
      <x:c r="G4823" s="13" t="str">
        <x:v>grid_asitui1y.xlsx</x:v>
      </x:c>
    </x:row>
    <x:row r="4824">
      <x:c r="A4824" s="15" t="n">
        <x:v>42522</x:v>
      </x:c>
      <x:c r="B4824" s="13" t="str">
        <x:v>HYPERA SA</x:v>
      </x:c>
      <x:c r="C4824" s="16" t="n">
        <x:v>843.0440316493</x:v>
      </x:c>
      <x:c r="D4824" s="13" t="str">
        <x:v>Health Care</x:v>
      </x:c>
      <x:c r="E4824" s="13" t="str">
        <x:v>Health Care</x:v>
      </x:c>
      <x:c r="F4824" s="13" t="str">
        <x:v>Defensives</x:v>
      </x:c>
      <x:c r="G4824" s="13" t="str">
        <x:v>grid_asitui1y.xlsx</x:v>
      </x:c>
    </x:row>
    <x:row r="4825">
      <x:c r="A4825" s="15" t="n">
        <x:v>42522</x:v>
      </x:c>
      <x:c r="B4825" s="13" t="str">
        <x:v>QUALICORP CONS E CORR SEG SA</x:v>
      </x:c>
      <x:c r="C4825" s="16" t="n">
        <x:v>420.0599573918</x:v>
      </x:c>
      <x:c r="D4825" s="13" t="str">
        <x:v>Health Care</x:v>
      </x:c>
      <x:c r="E4825" s="13" t="str">
        <x:v>Health Care</x:v>
      </x:c>
      <x:c r="F4825" s="13" t="str">
        <x:v>Defensives</x:v>
      </x:c>
      <x:c r="G4825" s="13" t="str">
        <x:v>grid_asitui1y.xlsx</x:v>
      </x:c>
    </x:row>
    <x:row r="4826">
      <x:c r="A4826" s="15" t="n">
        <x:v>42522</x:v>
      </x:c>
      <x:c r="B4826" s="13" t="str">
        <x:v>CYRELA BRAZIL REALTY SA EMP</x:v>
      </x:c>
      <x:c r="C4826" s="16" t="n">
        <x:v>372.6594520548</x:v>
      </x:c>
      <x:c r="D4826" s="13" t="str">
        <x:v>Homebuilders</x:v>
      </x:c>
      <x:c r="E4826" s="13" t="str">
        <x:v>Real Estate</x:v>
      </x:c>
      <x:c r="F4826" s="13" t="str">
        <x:v>Early Cyclicals</x:v>
      </x:c>
      <x:c r="G4826" s="13" t="str">
        <x:v>grid_asitui1y.xlsx</x:v>
      </x:c>
    </x:row>
    <x:row r="4827">
      <x:c r="A4827" s="15" t="n">
        <x:v>42522</x:v>
      </x:c>
      <x:c r="B4827" s="13" t="str">
        <x:v>MRV ENGENHARIA</x:v>
      </x:c>
      <x:c r="C4827" s="16" t="n">
        <x:v>585.914714126</x:v>
      </x:c>
      <x:c r="D4827" s="13" t="str">
        <x:v>Homebuilders</x:v>
      </x:c>
      <x:c r="E4827" s="13" t="str">
        <x:v>Real Estate</x:v>
      </x:c>
      <x:c r="F4827" s="13" t="str">
        <x:v>Early Cyclicals</x:v>
      </x:c>
      <x:c r="G4827" s="13" t="str">
        <x:v>grid_asitui1y.xlsx</x:v>
      </x:c>
    </x:row>
    <x:row r="4828">
      <x:c r="A4828" s="15" t="n">
        <x:v>42522</x:v>
      </x:c>
      <x:c r="B4828" s="13" t="str">
        <x:v>BR MALLS PARTICIPACOES SA</x:v>
      </x:c>
      <x:c r="C4828" s="16" t="n">
        <x:v>416.2731506849</x:v>
      </x:c>
      <x:c r="D4828" s="13" t="str">
        <x:v>Income Properties</x:v>
      </x:c>
      <x:c r="E4828" s="13" t="str">
        <x:v>Real Estate</x:v>
      </x:c>
      <x:c r="F4828" s="13" t="str">
        <x:v>Early Cyclicals</x:v>
      </x:c>
      <x:c r="G4828" s="13" t="str">
        <x:v>grid_asitui1y.xlsx</x:v>
      </x:c>
    </x:row>
    <x:row r="4829">
      <x:c r="A4829" s="15" t="n">
        <x:v>42522</x:v>
      </x:c>
      <x:c r="B4829" s="13" t="str">
        <x:v>MULTIPLAN EMPREENDIMENTOS</x:v>
      </x:c>
      <x:c r="C4829" s="16" t="n">
        <x:v>422.733823211</x:v>
      </x:c>
      <x:c r="D4829" s="13" t="str">
        <x:v>Income Properties</x:v>
      </x:c>
      <x:c r="E4829" s="13" t="str">
        <x:v>Real Estate</x:v>
      </x:c>
      <x:c r="F4829" s="13" t="str">
        <x:v>Early Cyclicals</x:v>
      </x:c>
      <x:c r="G4829" s="13" t="str">
        <x:v>grid_asitui1y.xlsx</x:v>
      </x:c>
    </x:row>
    <x:row r="4830">
      <x:c r="A4830" s="15" t="n">
        <x:v>42522</x:v>
      </x:c>
      <x:c r="B4830" s="13" t="str">
        <x:v>BRADESPAR SA -PREF</x:v>
      </x:c>
      <x:c r="C4830" s="16" t="n">
        <x:v>82.9315071562</x:v>
      </x:c>
      <x:c r="D4830" s="13" t="str">
        <x:v>Metals &amp; Mining</x:v>
      </x:c>
      <x:c r="E4830" s="13" t="str">
        <x:v>Metals &amp; Mining</x:v>
      </x:c>
      <x:c r="F4830" s="13" t="str">
        <x:v>Deep Cyclicals</x:v>
      </x:c>
      <x:c r="G4830" s="13" t="str">
        <x:v>grid_asitui1y.xlsx</x:v>
      </x:c>
    </x:row>
    <x:row r="4831">
      <x:c r="A4831" s="15" t="n">
        <x:v>42522</x:v>
      </x:c>
      <x:c r="B4831" s="13" t="str">
        <x:v>CIA SIDERURGICA NACIONAL SA</x:v>
      </x:c>
      <x:c r="C4831" s="16" t="n">
        <x:v>-1150.8465753425</x:v>
      </x:c>
      <x:c r="D4831" s="13" t="str">
        <x:v>Metals &amp; Mining</x:v>
      </x:c>
      <x:c r="E4831" s="13" t="str">
        <x:v>Metals &amp; Mining</x:v>
      </x:c>
      <x:c r="F4831" s="13" t="str">
        <x:v>Deep Cyclicals</x:v>
      </x:c>
      <x:c r="G4831" s="13" t="str">
        <x:v>grid_asitui1y.xlsx</x:v>
      </x:c>
    </x:row>
    <x:row r="4832">
      <x:c r="A4832" s="15" t="n">
        <x:v>42522</x:v>
      </x:c>
      <x:c r="B4832" s="13" t="str">
        <x:v>GERDAU SA-PREF</x:v>
      </x:c>
      <x:c r="C4832" s="16" t="n">
        <x:v>227.4004273973</x:v>
      </x:c>
      <x:c r="D4832" s="13" t="str">
        <x:v>Metals &amp; Mining</x:v>
      </x:c>
      <x:c r="E4832" s="13" t="str">
        <x:v>Metals &amp; Mining</x:v>
      </x:c>
      <x:c r="F4832" s="13" t="str">
        <x:v>Deep Cyclicals</x:v>
      </x:c>
      <x:c r="G4832" s="13" t="str">
        <x:v>grid_asitui1y.xlsx</x:v>
      </x:c>
    </x:row>
    <x:row r="4833">
      <x:c r="A4833" s="15" t="n">
        <x:v>42522</x:v>
      </x:c>
      <x:c r="B4833" s="13" t="str">
        <x:v>METALURGICA GERDAU SA-PREF</x:v>
      </x:c>
      <x:c r="C4833" s="16" t="n">
        <x:v>-96.5397260274</x:v>
      </x:c>
      <x:c r="D4833" s="13" t="str">
        <x:v>Metals &amp; Mining</x:v>
      </x:c>
      <x:c r="E4833" s="13" t="str">
        <x:v>Metals &amp; Mining</x:v>
      </x:c>
      <x:c r="F4833" s="13" t="str">
        <x:v>Deep Cyclicals</x:v>
      </x:c>
      <x:c r="G4833" s="13" t="str">
        <x:v>grid_asitui1y.xlsx</x:v>
      </x:c>
    </x:row>
    <x:row r="4834">
      <x:c r="A4834" s="15" t="n">
        <x:v>42522</x:v>
      </x:c>
      <x:c r="B4834" s="13" t="str">
        <x:v>USINAS SIDER MINAS GER-PF A</x:v>
      </x:c>
      <x:c r="C4834" s="16" t="n">
        <x:v>-767.2851883836</x:v>
      </x:c>
      <x:c r="D4834" s="13" t="str">
        <x:v>Metals &amp; Mining</x:v>
      </x:c>
      <x:c r="E4834" s="13" t="str">
        <x:v>Metals &amp; Mining</x:v>
      </x:c>
      <x:c r="F4834" s="13" t="str">
        <x:v>Deep Cyclicals</x:v>
      </x:c>
      <x:c r="G4834" s="13" t="str">
        <x:v>grid_asitui1y.xlsx</x:v>
      </x:c>
    </x:row>
    <x:row r="4835">
      <x:c r="A4835" s="15" t="n">
        <x:v>42522</x:v>
      </x:c>
      <x:c r="B4835" s="13" t="str">
        <x:v>VALE SA</x:v>
      </x:c>
      <x:c r="C4835" s="16" t="n">
        <x:v>6148.6041172164</x:v>
      </x:c>
      <x:c r="D4835" s="13" t="str">
        <x:v>Metals &amp; Mining</x:v>
      </x:c>
      <x:c r="E4835" s="13" t="str">
        <x:v>Metals &amp; Mining</x:v>
      </x:c>
      <x:c r="F4835" s="13" t="str">
        <x:v>Deep Cyclicals</x:v>
      </x:c>
      <x:c r="G4835" s="13" t="str">
        <x:v>grid_asitui1y.xlsx</x:v>
      </x:c>
    </x:row>
    <x:row r="4836">
      <x:c r="A4836" s="15" t="n">
        <x:v>42522</x:v>
      </x:c>
      <x:c r="B4836" s="13" t="str">
        <x:v>BRASKEM SA-PREF A</x:v>
      </x:c>
      <x:c r="C4836" s="16" t="n">
        <x:v>3141.984800263</x:v>
      </x:c>
      <x:c r="D4836" s="13" t="str">
        <x:v>Oil, Gas &amp; Petrochemicals</x:v>
      </x:c>
      <x:c r="E4836" s="13" t="str">
        <x:v>Oil, Gas &amp; Petrochemicals</x:v>
      </x:c>
      <x:c r="F4836" s="13" t="str">
        <x:v>Deep Cyclicals</x:v>
      </x:c>
      <x:c r="G4836" s="13" t="str">
        <x:v>grid_asitui1y.xlsx</x:v>
      </x:c>
    </x:row>
    <x:row r="4837">
      <x:c r="A4837" s="15" t="n">
        <x:v>42522</x:v>
      </x:c>
      <x:c r="B4837" s="13" t="str">
        <x:v>COSAN SA</x:v>
      </x:c>
      <x:c r="C4837" s="16" t="n">
        <x:v>1001.723909611</x:v>
      </x:c>
      <x:c r="D4837" s="13" t="str">
        <x:v>Oil, Gas &amp; Petrochemicals</x:v>
      </x:c>
      <x:c r="E4837" s="13" t="str">
        <x:v>Oil, Gas &amp; Petrochemicals</x:v>
      </x:c>
      <x:c r="F4837" s="13" t="str">
        <x:v>Deep Cyclicals</x:v>
      </x:c>
      <x:c r="G4837" s="13" t="str">
        <x:v>grid_asitui1y.xlsx</x:v>
      </x:c>
    </x:row>
    <x:row r="4838">
      <x:c r="A4838" s="15" t="n">
        <x:v>42522</x:v>
      </x:c>
      <x:c r="B4838" s="13" t="str">
        <x:v>PETROBRAS - PETROLEO BRAS</x:v>
      </x:c>
      <x:c r="C4838" s="16" t="n">
        <x:v>9287.0021568877</x:v>
      </x:c>
      <x:c r="D4838" s="13" t="str">
        <x:v>Oil, Gas &amp; Petrochemicals</x:v>
      </x:c>
      <x:c r="E4838" s="13" t="str">
        <x:v>Oil, Gas &amp; Petrochemicals</x:v>
      </x:c>
      <x:c r="F4838" s="13" t="str">
        <x:v>Deep Cyclicals</x:v>
      </x:c>
      <x:c r="G4838" s="13" t="str">
        <x:v>grid_asitui1y.xlsx</x:v>
      </x:c>
    </x:row>
    <x:row r="4839">
      <x:c r="A4839" s="15" t="n">
        <x:v>42522</x:v>
      </x:c>
      <x:c r="B4839" s="13" t="str">
        <x:v>ULTRAPAR PARTICIPACOES SA</x:v>
      </x:c>
      <x:c r="C4839" s="16" t="n">
        <x:v>1748.3581303233</x:v>
      </x:c>
      <x:c r="D4839" s="13" t="str">
        <x:v>Oil, Gas &amp; Petrochemicals</x:v>
      </x:c>
      <x:c r="E4839" s="13" t="str">
        <x:v>Oil, Gas &amp; Petrochemicals</x:v>
      </x:c>
      <x:c r="F4839" s="13" t="str">
        <x:v>Deep Cyclicals</x:v>
      </x:c>
      <x:c r="G4839" s="13" t="str">
        <x:v>grid_asitui1y.xlsx</x:v>
      </x:c>
    </x:row>
    <x:row r="4840">
      <x:c r="A4840" s="15" t="n">
        <x:v>42522</x:v>
      </x:c>
      <x:c r="B4840" s="13" t="str">
        <x:v>FIBRIA CELULOSE S/A</x:v>
      </x:c>
      <x:c r="C4840" s="16" t="n">
        <x:v>1290.0035149151</x:v>
      </x:c>
      <x:c r="D4840" s="13" t="str">
        <x:v>Pulp &amp; Paper</x:v>
      </x:c>
      <x:c r="E4840" s="13" t="str">
        <x:v>Pulp &amp; Paper</x:v>
      </x:c>
      <x:c r="F4840" s="13" t="str">
        <x:v>Deep Cyclicals</x:v>
      </x:c>
      <x:c r="G4840" s="13" t="str">
        <x:v>grid_asitui1y.xlsx</x:v>
      </x:c>
    </x:row>
    <x:row r="4841">
      <x:c r="A4841" s="15" t="n">
        <x:v>42522</x:v>
      </x:c>
      <x:c r="B4841" s="13" t="str">
        <x:v>KLABIN SA - UNIT</x:v>
      </x:c>
      <x:c r="C4841" s="16" t="n">
        <x:v>1485.7677841534</x:v>
      </x:c>
      <x:c r="D4841" s="13" t="str">
        <x:v>Pulp &amp; Paper</x:v>
      </x:c>
      <x:c r="E4841" s="13" t="str">
        <x:v>Pulp &amp; Paper</x:v>
      </x:c>
      <x:c r="F4841" s="13" t="str">
        <x:v>Deep Cyclicals</x:v>
      </x:c>
      <x:c r="G4841" s="13" t="str">
        <x:v>grid_asitui1y.xlsx</x:v>
      </x:c>
    </x:row>
    <x:row r="4842">
      <x:c r="A4842" s="15" t="n">
        <x:v>42522</x:v>
      </x:c>
      <x:c r="B4842" s="13" t="str">
        <x:v>SUZANO PAPEL E CELULO-PREF A</x:v>
      </x:c>
      <x:c r="C4842" s="16" t="n">
        <x:v>2038.4574246575</x:v>
      </x:c>
      <x:c r="D4842" s="13" t="str">
        <x:v>Pulp &amp; Paper</x:v>
      </x:c>
      <x:c r="E4842" s="13" t="str">
        <x:v>Pulp &amp; Paper</x:v>
      </x:c>
      <x:c r="F4842" s="13" t="str">
        <x:v>Deep Cyclicals</x:v>
      </x:c>
      <x:c r="G4842" s="13" t="str">
        <x:v>grid_asitui1y.xlsx</x:v>
      </x:c>
    </x:row>
    <x:row r="4843">
      <x:c r="A4843" s="15" t="n">
        <x:v>42522</x:v>
      </x:c>
      <x:c r="B4843" s="13" t="str">
        <x:v>CIA BRASILEIRA DE DIS-PREF</x:v>
      </x:c>
      <x:c r="C4843" s="16" t="n">
        <x:v>562.6924147726</x:v>
      </x:c>
      <x:c r="D4843" s="13" t="str">
        <x:v>Retail</x:v>
      </x:c>
      <x:c r="E4843" s="13" t="str">
        <x:v>Retail</x:v>
      </x:c>
      <x:c r="F4843" s="13" t="str">
        <x:v>Early Cyclicals</x:v>
      </x:c>
      <x:c r="G4843" s="13" t="str">
        <x:v>grid_asitui1y.xlsx</x:v>
      </x:c>
    </x:row>
    <x:row r="4844">
      <x:c r="A4844" s="15" t="n">
        <x:v>42522</x:v>
      </x:c>
      <x:c r="B4844" s="13" t="str">
        <x:v>LOJAS AMERICANAS SA-PREF</x:v>
      </x:c>
      <x:c r="C4844" s="16" t="n">
        <x:v>455.100927474</x:v>
      </x:c>
      <x:c r="D4844" s="13" t="str">
        <x:v>Retail</x:v>
      </x:c>
      <x:c r="E4844" s="13" t="str">
        <x:v>Retail</x:v>
      </x:c>
      <x:c r="F4844" s="13" t="str">
        <x:v>Early Cyclicals</x:v>
      </x:c>
      <x:c r="G4844" s="13" t="str">
        <x:v>grid_asitui1y.xlsx</x:v>
      </x:c>
    </x:row>
    <x:row r="4845">
      <x:c r="A4845" s="15" t="n">
        <x:v>42522</x:v>
      </x:c>
      <x:c r="B4845" s="13" t="str">
        <x:v>LOJAS RENNER S.A.</x:v>
      </x:c>
      <x:c r="C4845" s="16" t="n">
        <x:v>719.4418398685</x:v>
      </x:c>
      <x:c r="D4845" s="13" t="str">
        <x:v>Retail</x:v>
      </x:c>
      <x:c r="E4845" s="13" t="str">
        <x:v>Retail</x:v>
      </x:c>
      <x:c r="F4845" s="13" t="str">
        <x:v>Early Cyclicals</x:v>
      </x:c>
      <x:c r="G4845" s="13" t="str">
        <x:v>grid_asitui1y.xlsx</x:v>
      </x:c>
    </x:row>
    <x:row r="4846">
      <x:c r="A4846" s="15" t="n">
        <x:v>42522</x:v>
      </x:c>
      <x:c r="B4846" s="13" t="str">
        <x:v>NATURA COSMETICOS SA</x:v>
      </x:c>
      <x:c r="C4846" s="16" t="n">
        <x:v>614.3235457753</x:v>
      </x:c>
      <x:c r="D4846" s="13" t="str">
        <x:v>Retail</x:v>
      </x:c>
      <x:c r="E4846" s="13" t="str">
        <x:v>Retail</x:v>
      </x:c>
      <x:c r="F4846" s="13" t="str">
        <x:v>Early Cyclicals</x:v>
      </x:c>
      <x:c r="G4846" s="13" t="str">
        <x:v>grid_asitui1y.xlsx</x:v>
      </x:c>
    </x:row>
    <x:row r="4847">
      <x:c r="A4847" s="15" t="n">
        <x:v>42522</x:v>
      </x:c>
      <x:c r="B4847" s="13" t="str">
        <x:v>RAIA DROGASIL SA</x:v>
      </x:c>
      <x:c r="C4847" s="16" t="n">
        <x:v>552.3023975452</x:v>
      </x:c>
      <x:c r="D4847" s="13" t="str">
        <x:v>Retail</x:v>
      </x:c>
      <x:c r="E4847" s="13" t="str">
        <x:v>Retail</x:v>
      </x:c>
      <x:c r="F4847" s="13" t="str">
        <x:v>Early Cyclicals</x:v>
      </x:c>
      <x:c r="G4847" s="13" t="str">
        <x:v>grid_asitui1y.xlsx</x:v>
      </x:c>
    </x:row>
    <x:row r="4848">
      <x:c r="A4848" s="15" t="n">
        <x:v>42522</x:v>
      </x:c>
      <x:c r="B4848" s="13" t="str">
        <x:v>CIA SANEAMENTO BASICO DE SP</x:v>
      </x:c>
      <x:c r="C4848" s="16" t="n">
        <x:v>2131.7329793753</x:v>
      </x:c>
      <x:c r="D4848" s="13" t="str">
        <x:v>Sanitation</x:v>
      </x:c>
      <x:c r="E4848" s="13" t="str">
        <x:v>Utilities</x:v>
      </x:c>
      <x:c r="F4848" s="13" t="str">
        <x:v>Defensives</x:v>
      </x:c>
      <x:c r="G4848" s="13" t="str">
        <x:v>grid_asitui1y.xlsx</x:v>
      </x:c>
    </x:row>
    <x:row r="4849">
      <x:c r="A4849" s="15" t="n">
        <x:v>42522</x:v>
      </x:c>
      <x:c r="B4849" s="13" t="str">
        <x:v>TELEFONICA BRASIL S.A.-PREF</x:v>
      </x:c>
      <x:c r="C4849" s="16" t="n">
        <x:v>5007.4882595069</x:v>
      </x:c>
      <x:c r="D4849" s="13" t="str">
        <x:v>TMT</x:v>
      </x:c>
      <x:c r="E4849" s="13" t="str">
        <x:v>TMT</x:v>
      </x:c>
      <x:c r="F4849" s="13" t="str">
        <x:v>Early Cyclicals</x:v>
      </x:c>
      <x:c r="G4849" s="13" t="str">
        <x:v>grid_asitui1y.xlsx</x:v>
      </x:c>
    </x:row>
    <x:row r="4850">
      <x:c r="A4850" s="15" t="n">
        <x:v>42522</x:v>
      </x:c>
      <x:c r="B4850" s="13" t="str">
        <x:v>TIM SA</x:v>
      </x:c>
      <x:c r="C4850" s="16" t="n">
        <x:v>693.2786728329</x:v>
      </x:c>
      <x:c r="D4850" s="13" t="str">
        <x:v>TMT</x:v>
      </x:c>
      <x:c r="E4850" s="13" t="str">
        <x:v>TMT</x:v>
      </x:c>
      <x:c r="F4850" s="13" t="str">
        <x:v>Early Cyclicals</x:v>
      </x:c>
      <x:c r="G4850" s="13" t="str">
        <x:v>grid_asitui1y.xlsx</x:v>
      </x:c>
    </x:row>
    <x:row r="4851">
      <x:c r="A4851" s="15" t="n">
        <x:v>42522</x:v>
      </x:c>
      <x:c r="B4851" s="13" t="str">
        <x:v>ECORODOVIAS INFRA E LOG SA</x:v>
      </x:c>
      <x:c r="C4851" s="16" t="n">
        <x:v>263.5093357589</x:v>
      </x:c>
      <x:c r="D4851" s="13" t="str">
        <x:v>Transportation</x:v>
      </x:c>
      <x:c r="E4851" s="13" t="str">
        <x:v>Transportation</x:v>
      </x:c>
      <x:c r="F4851" s="13" t="str">
        <x:v>Deep Cyclicals</x:v>
      </x:c>
      <x:c r="G4851" s="13" t="str">
        <x:v>grid_asitui1y.xlsx</x:v>
      </x:c>
    </x:row>
    <x:row r="4852">
      <x:c r="A4852" s="15" t="n">
        <x:v>42522</x:v>
      </x:c>
      <x:c r="B4852" s="13" t="str">
        <x:v>LOCALIZA RENT A CAR</x:v>
      </x:c>
      <x:c r="C4852" s="16" t="n">
        <x:v>385.9952588274</x:v>
      </x:c>
      <x:c r="D4852" s="13" t="str">
        <x:v>Transportation</x:v>
      </x:c>
      <x:c r="E4852" s="13" t="str">
        <x:v>Transportation</x:v>
      </x:c>
      <x:c r="F4852" s="13" t="str">
        <x:v>Deep Cyclicals</x:v>
      </x:c>
      <x:c r="G4852" s="13" t="str">
        <x:v>grid_asitui1y.xlsx</x:v>
      </x:c>
    </x:row>
    <x:row r="4853">
      <x:c r="A4853" s="15" t="n">
        <x:v>42522</x:v>
      </x:c>
      <x:c r="B4853" s="13" t="str">
        <x:v>MOTIVA INFRAESTRUTURA DE MOB</x:v>
      </x:c>
      <x:c r="C4853" s="16" t="n">
        <x:v>1399.7147430575</x:v>
      </x:c>
      <x:c r="D4853" s="13" t="str">
        <x:v>Transportation</x:v>
      </x:c>
      <x:c r="E4853" s="13" t="str">
        <x:v>Transportation</x:v>
      </x:c>
      <x:c r="F4853" s="13" t="str">
        <x:v>Deep Cyclicals</x:v>
      </x:c>
      <x:c r="G4853" s="13" t="str">
        <x:v>grid_asitui1y.xlsx</x:v>
      </x:c>
    </x:row>
    <x:row r="4854">
      <x:c r="A4854" s="15" t="n">
        <x:v>42522</x:v>
      </x:c>
      <x:c r="B4854" s="13" t="str">
        <x:v>CESP - CIA ENERGETICA DE SAO</x:v>
      </x:c>
      <x:c r="C4854" s="16" t="n">
        <x:v>370.7383561644</x:v>
      </x:c>
      <x:c r="D4854" s="13" t="str">
        <x:v>Utilities &amp; Energy</x:v>
      </x:c>
      <x:c r="E4854" s="13" t="str">
        <x:v>Utilities</x:v>
      </x:c>
      <x:c r="F4854" s="13" t="str">
        <x:v>Defensives</x:v>
      </x:c>
      <x:c r="G4854" s="13" t="str">
        <x:v>grid_asitui1y.xlsx</x:v>
      </x:c>
    </x:row>
    <x:row r="4855">
      <x:c r="A4855" s="15" t="n">
        <x:v>42522</x:v>
      </x:c>
      <x:c r="B4855" s="13" t="str">
        <x:v>CIA ENERGETICA MINAS GER-PRF</x:v>
      </x:c>
      <x:c r="C4855" s="16" t="n">
        <x:v>1044.3868580822</x:v>
      </x:c>
      <x:c r="D4855" s="13" t="str">
        <x:v>Utilities &amp; Energy</x:v>
      </x:c>
      <x:c r="E4855" s="13" t="str">
        <x:v>Utilities</x:v>
      </x:c>
      <x:c r="F4855" s="13" t="str">
        <x:v>Defensives</x:v>
      </x:c>
      <x:c r="G4855" s="13" t="str">
        <x:v>grid_asitui1y.xlsx</x:v>
      </x:c>
    </x:row>
    <x:row r="4856">
      <x:c r="A4856" s="15" t="n">
        <x:v>42522</x:v>
      </x:c>
      <x:c r="B4856" s="13" t="str">
        <x:v>COMPANHIA PARANAENSE -PREF B</x:v>
      </x:c>
      <x:c r="C4856" s="16" t="n">
        <x:v>1175.7619336767</x:v>
      </x:c>
      <x:c r="D4856" s="13" t="str">
        <x:v>Utilities &amp; Energy</x:v>
      </x:c>
      <x:c r="E4856" s="13" t="str">
        <x:v>Utilities</x:v>
      </x:c>
      <x:c r="F4856" s="13" t="str">
        <x:v>Defensives</x:v>
      </x:c>
      <x:c r="G4856" s="13" t="str">
        <x:v>grid_asitui1y.xlsx</x:v>
      </x:c>
    </x:row>
    <x:row r="4857">
      <x:c r="A4857" s="15" t="n">
        <x:v>42522</x:v>
      </x:c>
      <x:c r="B4857" s="13" t="str">
        <x:v>CPFL ENERGIA SA</x:v>
      </x:c>
      <x:c r="C4857" s="16" t="n">
        <x:v>1139.3420582575</x:v>
      </x:c>
      <x:c r="D4857" s="13" t="str">
        <x:v>Utilities &amp; Energy</x:v>
      </x:c>
      <x:c r="E4857" s="13" t="str">
        <x:v>Utilities</x:v>
      </x:c>
      <x:c r="F4857" s="13" t="str">
        <x:v>Defensives</x:v>
      </x:c>
      <x:c r="G4857" s="13" t="str">
        <x:v>grid_asitui1y.xlsx</x:v>
      </x:c>
    </x:row>
    <x:row r="4858">
      <x:c r="A4858" s="15" t="n">
        <x:v>42522</x:v>
      </x:c>
      <x:c r="B4858" s="13" t="str">
        <x:v>EDP - ENERGIAS DO BRASIL SA</x:v>
      </x:c>
      <x:c r="C4858" s="16" t="n">
        <x:v>519.654405611</x:v>
      </x:c>
      <x:c r="D4858" s="13" t="str">
        <x:v>Utilities &amp; Energy</x:v>
      </x:c>
      <x:c r="E4858" s="13" t="str">
        <x:v>Utilities</x:v>
      </x:c>
      <x:c r="F4858" s="13" t="str">
        <x:v>Defensives</x:v>
      </x:c>
      <x:c r="G4858" s="13" t="str">
        <x:v>grid_asitui1y.xlsx</x:v>
      </x:c>
    </x:row>
    <x:row r="4859">
      <x:c r="A4859" s="15" t="n">
        <x:v>42522</x:v>
      </x:c>
      <x:c r="B4859" s="13" t="str">
        <x:v>ENGIE BRASIL ENERGIA SA</x:v>
      </x:c>
      <x:c r="C4859" s="16" t="n">
        <x:v>1902.6325318137</x:v>
      </x:c>
      <x:c r="D4859" s="13" t="str">
        <x:v>Utilities &amp; Energy</x:v>
      </x:c>
      <x:c r="E4859" s="13" t="str">
        <x:v>Utilities</x:v>
      </x:c>
      <x:c r="F4859" s="13" t="str">
        <x:v>Defensives</x:v>
      </x:c>
      <x:c r="G4859" s="13" t="str">
        <x:v>grid_asitui1y.xlsx</x:v>
      </x:c>
    </x:row>
    <x:row r="4860">
      <x:c r="A4860" s="15" t="n">
        <x:v>42522</x:v>
      </x:c>
      <x:c r="B4860" s="13" t="str">
        <x:v>EQUATORIAL SA - ORD</x:v>
      </x:c>
      <x:c r="C4860" s="16" t="n">
        <x:v>666.7573707397</x:v>
      </x:c>
      <x:c r="D4860" s="13" t="str">
        <x:v>Utilities &amp; Energy</x:v>
      </x:c>
      <x:c r="E4860" s="13" t="str">
        <x:v>Utilities</x:v>
      </x:c>
      <x:c r="F4860" s="13" t="str">
        <x:v>Defensives</x:v>
      </x:c>
      <x:c r="G4860" s="13" t="str">
        <x:v>grid_asitui1y.xlsx</x:v>
      </x:c>
    </x:row>
    <x:row r="4861">
      <x:c r="A4861" s="15" t="n">
        <x:v>42552</x:v>
      </x:c>
      <x:c r="B4861" s="13" t="str">
        <x:v>BANCO BRADESCO S.A.</x:v>
      </x:c>
      <x:c r="C4861" s="16" t="n">
        <x:v>16819.9200543562</x:v>
      </x:c>
      <x:c r="D4861" s="13" t="str">
        <x:v>Banks</x:v>
      </x:c>
      <x:c r="E4861" s="13" t="str">
        <x:v>Banks</x:v>
      </x:c>
      <x:c r="F4861" s="13" t="str">
        <x:v>Financials</x:v>
      </x:c>
      <x:c r="G4861" s="13" t="str">
        <x:v>grid_asitui1y.xlsx</x:v>
      </x:c>
    </x:row>
    <x:row r="4862">
      <x:c r="A4862" s="15" t="n">
        <x:v>42552</x:v>
      </x:c>
      <x:c r="B4862" s="13" t="str">
        <x:v>BANCO BRADESCO SA-PREF</x:v>
      </x:c>
      <x:c r="C4862" s="16" t="n">
        <x:v>16819.9200543562</x:v>
      </x:c>
      <x:c r="D4862" s="13" t="str">
        <x:v>Banks</x:v>
      </x:c>
      <x:c r="E4862" s="13" t="str">
        <x:v>Banks</x:v>
      </x:c>
      <x:c r="F4862" s="13" t="str">
        <x:v>Financials</x:v>
      </x:c>
      <x:c r="G4862" s="13" t="str">
        <x:v>grid_asitui1y.xlsx</x:v>
      </x:c>
    </x:row>
    <x:row r="4863">
      <x:c r="A4863" s="15" t="n">
        <x:v>42552</x:v>
      </x:c>
      <x:c r="B4863" s="13" t="str">
        <x:v>BANCO DO BRASIL S.A.</x:v>
      </x:c>
      <x:c r="C4863" s="16" t="n">
        <x:v>9470.1955927671</x:v>
      </x:c>
      <x:c r="D4863" s="13" t="str">
        <x:v>Banks</x:v>
      </x:c>
      <x:c r="E4863" s="13" t="str">
        <x:v>Banks</x:v>
      </x:c>
      <x:c r="F4863" s="13" t="str">
        <x:v>Financials</x:v>
      </x:c>
      <x:c r="G4863" s="13" t="str">
        <x:v>grid_asitui1y.xlsx</x:v>
      </x:c>
    </x:row>
    <x:row r="4864">
      <x:c r="A4864" s="15" t="n">
        <x:v>42552</x:v>
      </x:c>
      <x:c r="B4864" s="13" t="str">
        <x:v>BANCO SANTANDER  BRASIL-UNIT</x:v>
      </x:c>
      <x:c r="C4864" s="16" t="n">
        <x:v>5669.8099094794</x:v>
      </x:c>
      <x:c r="D4864" s="13" t="str">
        <x:v>Banks</x:v>
      </x:c>
      <x:c r="E4864" s="13" t="str">
        <x:v>Banks</x:v>
      </x:c>
      <x:c r="F4864" s="13" t="str">
        <x:v>Financials</x:v>
      </x:c>
      <x:c r="G4864" s="13" t="str">
        <x:v>grid_asitui1y.xlsx</x:v>
      </x:c>
    </x:row>
    <x:row r="4865">
      <x:c r="A4865" s="15" t="n">
        <x:v>42552</x:v>
      </x:c>
      <x:c r="B4865" s="13" t="str">
        <x:v>ITAU UNIBANCO HOLDING S-PREF</x:v>
      </x:c>
      <x:c r="C4865" s="16" t="n">
        <x:v>20931.805324274</x:v>
      </x:c>
      <x:c r="D4865" s="13" t="str">
        <x:v>Banks</x:v>
      </x:c>
      <x:c r="E4865" s="13" t="str">
        <x:v>Banks</x:v>
      </x:c>
      <x:c r="F4865" s="13" t="str">
        <x:v>Financials</x:v>
      </x:c>
      <x:c r="G4865" s="13" t="str">
        <x:v>grid_asitui1y.xlsx</x:v>
      </x:c>
    </x:row>
    <x:row r="4866">
      <x:c r="A4866" s="15" t="n">
        <x:v>42552</x:v>
      </x:c>
      <x:c r="B4866" s="13" t="str">
        <x:v>EMBRAER SA</x:v>
      </x:c>
      <x:c r="C4866" s="16" t="n">
        <x:v>1071.7283997808</x:v>
      </x:c>
      <x:c r="D4866" s="13" t="str">
        <x:v>Capital Goods</x:v>
      </x:c>
      <x:c r="E4866" s="13" t="str">
        <x:v>Capital Goods</x:v>
      </x:c>
      <x:c r="F4866" s="13" t="str">
        <x:v>Deep Cyclicals</x:v>
      </x:c>
      <x:c r="G4866" s="13" t="str">
        <x:v>grid_asitui1y.xlsx</x:v>
      </x:c>
    </x:row>
    <x:row r="4867">
      <x:c r="A4867" s="15" t="n">
        <x:v>42552</x:v>
      </x:c>
      <x:c r="B4867" s="13" t="str">
        <x:v>WEG SA</x:v>
      </x:c>
      <x:c r="C4867" s="16" t="n">
        <x:v>1287.5917992329</x:v>
      </x:c>
      <x:c r="D4867" s="13" t="str">
        <x:v>Capital Goods</x:v>
      </x:c>
      <x:c r="E4867" s="13" t="str">
        <x:v>Capital Goods</x:v>
      </x:c>
      <x:c r="F4867" s="13" t="str">
        <x:v>Deep Cyclicals</x:v>
      </x:c>
      <x:c r="G4867" s="13" t="str">
        <x:v>grid_asitui1y.xlsx</x:v>
      </x:c>
    </x:row>
    <x:row r="4868">
      <x:c r="A4868" s="15" t="n">
        <x:v>42552</x:v>
      </x:c>
      <x:c r="B4868" s="13" t="str">
        <x:v>COGNA EDUCACAO</x:v>
      </x:c>
      <x:c r="C4868" s="16" t="n">
        <x:v>1953.0501277808</x:v>
      </x:c>
      <x:c r="D4868" s="13" t="str">
        <x:v>Education</x:v>
      </x:c>
      <x:c r="E4868" s="13" t="str">
        <x:v>Education</x:v>
      </x:c>
      <x:c r="F4868" s="13" t="str">
        <x:v>Early Cyclicals</x:v>
      </x:c>
      <x:c r="G4868" s="13" t="str">
        <x:v>grid_asitui1y.xlsx</x:v>
      </x:c>
    </x:row>
    <x:row r="4869">
      <x:c r="A4869" s="15" t="n">
        <x:v>42552</x:v>
      </x:c>
      <x:c r="B4869" s="13" t="str">
        <x:v>YDUQS PARTICIPACOES SA</x:v>
      </x:c>
      <x:c r="C4869" s="16" t="n">
        <x:v>540.0135022466</x:v>
      </x:c>
      <x:c r="D4869" s="13" t="str">
        <x:v>Education</x:v>
      </x:c>
      <x:c r="E4869" s="13" t="str">
        <x:v>Education</x:v>
      </x:c>
      <x:c r="F4869" s="13" t="str">
        <x:v>Early Cyclicals</x:v>
      </x:c>
      <x:c r="G4869" s="13" t="str">
        <x:v>grid_asitui1y.xlsx</x:v>
      </x:c>
    </x:row>
    <x:row r="4870">
      <x:c r="A4870" s="15" t="n">
        <x:v>42552</x:v>
      </x:c>
      <x:c r="B4870" s="13" t="str">
        <x:v>B3 SA-BRASIL BOLSA BALCAO</x:v>
      </x:c>
      <x:c r="C4870" s="16" t="n">
        <x:v>2147.6916462466</x:v>
      </x:c>
      <x:c r="D4870" s="13" t="str">
        <x:v>Financials Non-Banks</x:v>
      </x:c>
      <x:c r="E4870" s="13" t="str">
        <x:v>Financials Non-Banks</x:v>
      </x:c>
      <x:c r="F4870" s="13" t="str">
        <x:v>Financials</x:v>
      </x:c>
      <x:c r="G4870" s="13" t="str">
        <x:v>grid_asitui1y.xlsx</x:v>
      </x:c>
    </x:row>
    <x:row r="4871">
      <x:c r="A4871" s="15" t="n">
        <x:v>42552</x:v>
      </x:c>
      <x:c r="B4871" s="13" t="str">
        <x:v>BB SEGURIDADE PARTICIPACOES</x:v>
      </x:c>
      <x:c r="C4871" s="16" t="n">
        <x:v>4348.2456653151</x:v>
      </x:c>
      <x:c r="D4871" s="13" t="str">
        <x:v>Financials Non-Banks</x:v>
      </x:c>
      <x:c r="E4871" s="13" t="str">
        <x:v>Financials Non-Banks</x:v>
      </x:c>
      <x:c r="F4871" s="13" t="str">
        <x:v>Financials</x:v>
      </x:c>
      <x:c r="G4871" s="13" t="str">
        <x:v>grid_asitui1y.xlsx</x:v>
      </x:c>
    </x:row>
    <x:row r="4872">
      <x:c r="A4872" s="15" t="n">
        <x:v>42552</x:v>
      </x:c>
      <x:c r="B4872" s="13" t="str">
        <x:v>CETIP SA-MERCADOS ORGANIZADO</x:v>
      </x:c>
      <x:c r="C4872" s="16" t="n">
        <x:v>659.838835726</x:v>
      </x:c>
      <x:c r="D4872" s="13" t="str">
        <x:v>Financials Non-Banks</x:v>
      </x:c>
      <x:c r="E4872" s="13" t="str">
        <x:v>Financials Non-Banks</x:v>
      </x:c>
      <x:c r="F4872" s="13" t="str">
        <x:v>Financials</x:v>
      </x:c>
      <x:c r="G4872" s="13" t="str">
        <x:v>grid_asitui1y.xlsx</x:v>
      </x:c>
    </x:row>
    <x:row r="4873">
      <x:c r="A4873" s="15" t="n">
        <x:v>42552</x:v>
      </x:c>
      <x:c r="B4873" s="13" t="str">
        <x:v>CIELO SA - INSTITUICAO DE PA</x:v>
      </x:c>
      <x:c r="C4873" s="16" t="n">
        <x:v>4397.7540243288</x:v>
      </x:c>
      <x:c r="D4873" s="13" t="str">
        <x:v>Financials Non-Banks</x:v>
      </x:c>
      <x:c r="E4873" s="13" t="str">
        <x:v>Financials Non-Banks</x:v>
      </x:c>
      <x:c r="F4873" s="13" t="str">
        <x:v>Financials</x:v>
      </x:c>
      <x:c r="G4873" s="13" t="str">
        <x:v>grid_asitui1y.xlsx</x:v>
      </x:c>
    </x:row>
    <x:row r="4874">
      <x:c r="A4874" s="15" t="n">
        <x:v>42552</x:v>
      </x:c>
      <x:c r="B4874" s="13" t="str">
        <x:v>ITAUSA SA</x:v>
      </x:c>
      <x:c r="C4874" s="16" t="n">
        <x:v>7188.0959088219</x:v>
      </x:c>
      <x:c r="D4874" s="13" t="str">
        <x:v>Financials Non-Banks</x:v>
      </x:c>
      <x:c r="E4874" s="13" t="str">
        <x:v>Financials Non-Banks</x:v>
      </x:c>
      <x:c r="F4874" s="13" t="str">
        <x:v>Financials</x:v>
      </x:c>
      <x:c r="G4874" s="13" t="str">
        <x:v>grid_asitui1y.xlsx</x:v>
      </x:c>
    </x:row>
    <x:row r="4875">
      <x:c r="A4875" s="15" t="n">
        <x:v>42552</x:v>
      </x:c>
      <x:c r="B4875" s="13" t="str">
        <x:v>AMBEV SA</x:v>
      </x:c>
      <x:c r="C4875" s="16" t="n">
        <x:v>15328.1206776986</x:v>
      </x:c>
      <x:c r="D4875" s="13" t="str">
        <x:v>Food &amp; Beverages</x:v>
      </x:c>
      <x:c r="E4875" s="13" t="str">
        <x:v>Agri, Food &amp; Beverages</x:v>
      </x:c>
      <x:c r="F4875" s="13" t="str">
        <x:v>Defensives</x:v>
      </x:c>
      <x:c r="G4875" s="13" t="str">
        <x:v>grid_asitui1y.xlsx</x:v>
      </x:c>
    </x:row>
    <x:row r="4876">
      <x:c r="A4876" s="15" t="n">
        <x:v>42552</x:v>
      </x:c>
      <x:c r="B4876" s="13" t="str">
        <x:v>BRF SA</x:v>
      </x:c>
      <x:c r="C4876" s="16" t="n">
        <x:v>2253.9344412055</x:v>
      </x:c>
      <x:c r="D4876" s="13" t="str">
        <x:v>Food &amp; Beverages</x:v>
      </x:c>
      <x:c r="E4876" s="13" t="str">
        <x:v>Agri, Food &amp; Beverages</x:v>
      </x:c>
      <x:c r="F4876" s="13" t="str">
        <x:v>Defensives</x:v>
      </x:c>
      <x:c r="G4876" s="13" t="str">
        <x:v>grid_asitui1y.xlsx</x:v>
      </x:c>
    </x:row>
    <x:row r="4877">
      <x:c r="A4877" s="15" t="n">
        <x:v>42552</x:v>
      </x:c>
      <x:c r="B4877" s="13" t="str">
        <x:v>JBS SA</x:v>
      </x:c>
      <x:c r="C4877" s="16" t="n">
        <x:v>3668.2561087123</x:v>
      </x:c>
      <x:c r="D4877" s="13" t="str">
        <x:v>Food &amp; Beverages</x:v>
      </x:c>
      <x:c r="E4877" s="13" t="str">
        <x:v>Agri, Food &amp; Beverages</x:v>
      </x:c>
      <x:c r="F4877" s="13" t="str">
        <x:v>Defensives</x:v>
      </x:c>
      <x:c r="G4877" s="13" t="str">
        <x:v>grid_asitui1y.xlsx</x:v>
      </x:c>
    </x:row>
    <x:row r="4878">
      <x:c r="A4878" s="15" t="n">
        <x:v>42552</x:v>
      </x:c>
      <x:c r="B4878" s="13" t="str">
        <x:v>MBRF GLOBAL FOODS COMPANY SA</x:v>
      </x:c>
      <x:c r="C4878" s="16" t="n">
        <x:v>287.6159452055</x:v>
      </x:c>
      <x:c r="D4878" s="13" t="str">
        <x:v>Food &amp; Beverages</x:v>
      </x:c>
      <x:c r="E4878" s="13" t="str">
        <x:v>Agri, Food &amp; Beverages</x:v>
      </x:c>
      <x:c r="F4878" s="13" t="str">
        <x:v>Defensives</x:v>
      </x:c>
      <x:c r="G4878" s="13" t="str">
        <x:v>grid_asitui1y.xlsx</x:v>
      </x:c>
    </x:row>
    <x:row r="4879">
      <x:c r="A4879" s="15" t="n">
        <x:v>42552</x:v>
      </x:c>
      <x:c r="B4879" s="13" t="str">
        <x:v>HYPERA SA</x:v>
      </x:c>
      <x:c r="C4879" s="16" t="n">
        <x:v>862.7857087123</x:v>
      </x:c>
      <x:c r="D4879" s="13" t="str">
        <x:v>Health Care</x:v>
      </x:c>
      <x:c r="E4879" s="13" t="str">
        <x:v>Health Care</x:v>
      </x:c>
      <x:c r="F4879" s="13" t="str">
        <x:v>Defensives</x:v>
      </x:c>
      <x:c r="G4879" s="13" t="str">
        <x:v>grid_asitui1y.xlsx</x:v>
      </x:c>
    </x:row>
    <x:row r="4880">
      <x:c r="A4880" s="15" t="n">
        <x:v>42552</x:v>
      </x:c>
      <x:c r="B4880" s="13" t="str">
        <x:v>QUALICORP CONS E CORR SEG SA</x:v>
      </x:c>
      <x:c r="C4880" s="16" t="n">
        <x:v>420.5669269041</x:v>
      </x:c>
      <x:c r="D4880" s="13" t="str">
        <x:v>Health Care</x:v>
      </x:c>
      <x:c r="E4880" s="13" t="str">
        <x:v>Health Care</x:v>
      </x:c>
      <x:c r="F4880" s="13" t="str">
        <x:v>Defensives</x:v>
      </x:c>
      <x:c r="G4880" s="13" t="str">
        <x:v>grid_asitui1y.xlsx</x:v>
      </x:c>
    </x:row>
    <x:row r="4881">
      <x:c r="A4881" s="15" t="n">
        <x:v>42552</x:v>
      </x:c>
      <x:c r="B4881" s="13" t="str">
        <x:v>CYRELA BRAZIL REALTY SA EMP</x:v>
      </x:c>
      <x:c r="C4881" s="16" t="n">
        <x:v>373.6849315068</x:v>
      </x:c>
      <x:c r="D4881" s="13" t="str">
        <x:v>Homebuilders</x:v>
      </x:c>
      <x:c r="E4881" s="13" t="str">
        <x:v>Real Estate</x:v>
      </x:c>
      <x:c r="F4881" s="13" t="str">
        <x:v>Early Cyclicals</x:v>
      </x:c>
      <x:c r="G4881" s="13" t="str">
        <x:v>grid_asitui1y.xlsx</x:v>
      </x:c>
    </x:row>
    <x:row r="4882">
      <x:c r="A4882" s="15" t="n">
        <x:v>42552</x:v>
      </x:c>
      <x:c r="B4882" s="13" t="str">
        <x:v>MRV ENGENHARIA</x:v>
      </x:c>
      <x:c r="C4882" s="16" t="n">
        <x:v>597.148614137</x:v>
      </x:c>
      <x:c r="D4882" s="13" t="str">
        <x:v>Homebuilders</x:v>
      </x:c>
      <x:c r="E4882" s="13" t="str">
        <x:v>Real Estate</x:v>
      </x:c>
      <x:c r="F4882" s="13" t="str">
        <x:v>Early Cyclicals</x:v>
      </x:c>
      <x:c r="G4882" s="13" t="str">
        <x:v>grid_asitui1y.xlsx</x:v>
      </x:c>
    </x:row>
    <x:row r="4883">
      <x:c r="A4883" s="15" t="n">
        <x:v>42552</x:v>
      </x:c>
      <x:c r="B4883" s="13" t="str">
        <x:v>BR MALLS PARTICIPACOES SA</x:v>
      </x:c>
      <x:c r="C4883" s="16" t="n">
        <x:v>389.3814040548</x:v>
      </x:c>
      <x:c r="D4883" s="13" t="str">
        <x:v>Income Properties</x:v>
      </x:c>
      <x:c r="E4883" s="13" t="str">
        <x:v>Real Estate</x:v>
      </x:c>
      <x:c r="F4883" s="13" t="str">
        <x:v>Early Cyclicals</x:v>
      </x:c>
      <x:c r="G4883" s="13" t="str">
        <x:v>grid_asitui1y.xlsx</x:v>
      </x:c>
    </x:row>
    <x:row r="4884">
      <x:c r="A4884" s="15" t="n">
        <x:v>42552</x:v>
      </x:c>
      <x:c r="B4884" s="13" t="str">
        <x:v>MULTIPLAN EMPREENDIMENTOS</x:v>
      </x:c>
      <x:c r="C4884" s="16" t="n">
        <x:v>433.1690012055</x:v>
      </x:c>
      <x:c r="D4884" s="13" t="str">
        <x:v>Income Properties</x:v>
      </x:c>
      <x:c r="E4884" s="13" t="str">
        <x:v>Real Estate</x:v>
      </x:c>
      <x:c r="F4884" s="13" t="str">
        <x:v>Early Cyclicals</x:v>
      </x:c>
      <x:c r="G4884" s="13" t="str">
        <x:v>grid_asitui1y.xlsx</x:v>
      </x:c>
    </x:row>
    <x:row r="4885">
      <x:c r="A4885" s="15" t="n">
        <x:v>42552</x:v>
      </x:c>
      <x:c r="B4885" s="13" t="str">
        <x:v>BRADESPAR SA -PREF</x:v>
      </x:c>
      <x:c r="C4885" s="16" t="n">
        <x:v>398.7068493151</x:v>
      </x:c>
      <x:c r="D4885" s="13" t="str">
        <x:v>Metals &amp; Mining</x:v>
      </x:c>
      <x:c r="E4885" s="13" t="str">
        <x:v>Metals &amp; Mining</x:v>
      </x:c>
      <x:c r="F4885" s="13" t="str">
        <x:v>Deep Cyclicals</x:v>
      </x:c>
      <x:c r="G4885" s="13" t="str">
        <x:v>grid_asitui1y.xlsx</x:v>
      </x:c>
    </x:row>
    <x:row r="4886">
      <x:c r="A4886" s="15" t="n">
        <x:v>42552</x:v>
      </x:c>
      <x:c r="B4886" s="13" t="str">
        <x:v>CIA SIDERURGICA NACIONAL SA</x:v>
      </x:c>
      <x:c r="C4886" s="16" t="n">
        <x:v>-1048.3231438904</x:v>
      </x:c>
      <x:c r="D4886" s="13" t="str">
        <x:v>Metals &amp; Mining</x:v>
      </x:c>
      <x:c r="E4886" s="13" t="str">
        <x:v>Metals &amp; Mining</x:v>
      </x:c>
      <x:c r="F4886" s="13" t="str">
        <x:v>Deep Cyclicals</x:v>
      </x:c>
      <x:c r="G4886" s="13" t="str">
        <x:v>grid_asitui1y.xlsx</x:v>
      </x:c>
    </x:row>
    <x:row r="4887">
      <x:c r="A4887" s="15" t="n">
        <x:v>42552</x:v>
      </x:c>
      <x:c r="B4887" s="13" t="str">
        <x:v>GERDAU SA-PREF</x:v>
      </x:c>
      <x:c r="C4887" s="16" t="n">
        <x:v>266.6478543014</x:v>
      </x:c>
      <x:c r="D4887" s="13" t="str">
        <x:v>Metals &amp; Mining</x:v>
      </x:c>
      <x:c r="E4887" s="13" t="str">
        <x:v>Metals &amp; Mining</x:v>
      </x:c>
      <x:c r="F4887" s="13" t="str">
        <x:v>Deep Cyclicals</x:v>
      </x:c>
      <x:c r="G4887" s="13" t="str">
        <x:v>grid_asitui1y.xlsx</x:v>
      </x:c>
    </x:row>
    <x:row r="4888">
      <x:c r="A4888" s="15" t="n">
        <x:v>42552</x:v>
      </x:c>
      <x:c r="B4888" s="13" t="str">
        <x:v>METALURGICA GERDAU SA-PREF</x:v>
      </x:c>
      <x:c r="C4888" s="16" t="n">
        <x:v>-18.4383561644</x:v>
      </x:c>
      <x:c r="D4888" s="13" t="str">
        <x:v>Metals &amp; Mining</x:v>
      </x:c>
      <x:c r="E4888" s="13" t="str">
        <x:v>Metals &amp; Mining</x:v>
      </x:c>
      <x:c r="F4888" s="13" t="str">
        <x:v>Deep Cyclicals</x:v>
      </x:c>
      <x:c r="G4888" s="13" t="str">
        <x:v>grid_asitui1y.xlsx</x:v>
      </x:c>
    </x:row>
    <x:row r="4889">
      <x:c r="A4889" s="15" t="n">
        <x:v>42552</x:v>
      </x:c>
      <x:c r="B4889" s="13" t="str">
        <x:v>USINAS SIDER MINAS GER-PF A</x:v>
      </x:c>
      <x:c r="C4889" s="16" t="n">
        <x:v>-717.8561507945</x:v>
      </x:c>
      <x:c r="D4889" s="13" t="str">
        <x:v>Metals &amp; Mining</x:v>
      </x:c>
      <x:c r="E4889" s="13" t="str">
        <x:v>Metals &amp; Mining</x:v>
      </x:c>
      <x:c r="F4889" s="13" t="str">
        <x:v>Deep Cyclicals</x:v>
      </x:c>
      <x:c r="G4889" s="13" t="str">
        <x:v>grid_asitui1y.xlsx</x:v>
      </x:c>
    </x:row>
    <x:row r="4890">
      <x:c r="A4890" s="15" t="n">
        <x:v>42552</x:v>
      </x:c>
      <x:c r="B4890" s="13" t="str">
        <x:v>VALE SA</x:v>
      </x:c>
      <x:c r="C4890" s="16" t="n">
        <x:v>5207.1620243288</x:v>
      </x:c>
      <x:c r="D4890" s="13" t="str">
        <x:v>Metals &amp; Mining</x:v>
      </x:c>
      <x:c r="E4890" s="13" t="str">
        <x:v>Metals &amp; Mining</x:v>
      </x:c>
      <x:c r="F4890" s="13" t="str">
        <x:v>Deep Cyclicals</x:v>
      </x:c>
      <x:c r="G4890" s="13" t="str">
        <x:v>grid_asitui1y.xlsx</x:v>
      </x:c>
    </x:row>
    <x:row r="4891">
      <x:c r="A4891" s="15" t="n">
        <x:v>42552</x:v>
      </x:c>
      <x:c r="B4891" s="13" t="str">
        <x:v>BRASKEM SA-PREF A</x:v>
      </x:c>
      <x:c r="C4891" s="16" t="n">
        <x:v>2989.9021185753</x:v>
      </x:c>
      <x:c r="D4891" s="13" t="str">
        <x:v>Oil, Gas &amp; Petrochemicals</x:v>
      </x:c>
      <x:c r="E4891" s="13" t="str">
        <x:v>Oil, Gas &amp; Petrochemicals</x:v>
      </x:c>
      <x:c r="F4891" s="13" t="str">
        <x:v>Deep Cyclicals</x:v>
      </x:c>
      <x:c r="G4891" s="13" t="str">
        <x:v>grid_asitui1y.xlsx</x:v>
      </x:c>
    </x:row>
    <x:row r="4892">
      <x:c r="A4892" s="15" t="n">
        <x:v>42552</x:v>
      </x:c>
      <x:c r="B4892" s="13" t="str">
        <x:v>COSAN SA</x:v>
      </x:c>
      <x:c r="C4892" s="16" t="n">
        <x:v>1010.2515024658</x:v>
      </x:c>
      <x:c r="D4892" s="13" t="str">
        <x:v>Oil, Gas &amp; Petrochemicals</x:v>
      </x:c>
      <x:c r="E4892" s="13" t="str">
        <x:v>Oil, Gas &amp; Petrochemicals</x:v>
      </x:c>
      <x:c r="F4892" s="13" t="str">
        <x:v>Deep Cyclicals</x:v>
      </x:c>
      <x:c r="G4892" s="13" t="str">
        <x:v>grid_asitui1y.xlsx</x:v>
      </x:c>
    </x:row>
    <x:row r="4893">
      <x:c r="A4893" s="15" t="n">
        <x:v>42552</x:v>
      </x:c>
      <x:c r="B4893" s="13" t="str">
        <x:v>PETROBRAS - PETROLEO BRAS</x:v>
      </x:c>
      <x:c r="C4893" s="16" t="n">
        <x:v>11264.5449012603</x:v>
      </x:c>
      <x:c r="D4893" s="13" t="str">
        <x:v>Oil, Gas &amp; Petrochemicals</x:v>
      </x:c>
      <x:c r="E4893" s="13" t="str">
        <x:v>Oil, Gas &amp; Petrochemicals</x:v>
      </x:c>
      <x:c r="F4893" s="13" t="str">
        <x:v>Deep Cyclicals</x:v>
      </x:c>
      <x:c r="G4893" s="13" t="str">
        <x:v>grid_asitui1y.xlsx</x:v>
      </x:c>
    </x:row>
    <x:row r="4894">
      <x:c r="A4894" s="15" t="n">
        <x:v>42552</x:v>
      </x:c>
      <x:c r="B4894" s="13" t="str">
        <x:v>ULTRAPAR PARTICIPACOES SA</x:v>
      </x:c>
      <x:c r="C4894" s="16" t="n">
        <x:v>1764.6783929863</x:v>
      </x:c>
      <x:c r="D4894" s="13" t="str">
        <x:v>Oil, Gas &amp; Petrochemicals</x:v>
      </x:c>
      <x:c r="E4894" s="13" t="str">
        <x:v>Oil, Gas &amp; Petrochemicals</x:v>
      </x:c>
      <x:c r="F4894" s="13" t="str">
        <x:v>Deep Cyclicals</x:v>
      </x:c>
      <x:c r="G4894" s="13" t="str">
        <x:v>grid_asitui1y.xlsx</x:v>
      </x:c>
    </x:row>
    <x:row r="4895">
      <x:c r="A4895" s="15" t="n">
        <x:v>42552</x:v>
      </x:c>
      <x:c r="B4895" s="13" t="str">
        <x:v>FIBRIA CELULOSE S/A</x:v>
      </x:c>
      <x:c r="C4895" s="16" t="n">
        <x:v>956.3045409315</x:v>
      </x:c>
      <x:c r="D4895" s="13" t="str">
        <x:v>Pulp &amp; Paper</x:v>
      </x:c>
      <x:c r="E4895" s="13" t="str">
        <x:v>Pulp &amp; Paper</x:v>
      </x:c>
      <x:c r="F4895" s="13" t="str">
        <x:v>Deep Cyclicals</x:v>
      </x:c>
      <x:c r="G4895" s="13" t="str">
        <x:v>grid_asitui1y.xlsx</x:v>
      </x:c>
    </x:row>
    <x:row r="4896">
      <x:c r="A4896" s="15" t="n">
        <x:v>42552</x:v>
      </x:c>
      <x:c r="B4896" s="13" t="str">
        <x:v>KLABIN SA - UNIT</x:v>
      </x:c>
      <x:c r="C4896" s="16" t="n">
        <x:v>1651.5882327671</x:v>
      </x:c>
      <x:c r="D4896" s="13" t="str">
        <x:v>Pulp &amp; Paper</x:v>
      </x:c>
      <x:c r="E4896" s="13" t="str">
        <x:v>Pulp &amp; Paper</x:v>
      </x:c>
      <x:c r="F4896" s="13" t="str">
        <x:v>Deep Cyclicals</x:v>
      </x:c>
      <x:c r="G4896" s="13" t="str">
        <x:v>grid_asitui1y.xlsx</x:v>
      </x:c>
    </x:row>
    <x:row r="4897">
      <x:c r="A4897" s="15" t="n">
        <x:v>42552</x:v>
      </x:c>
      <x:c r="B4897" s="13" t="str">
        <x:v>SUZANO PAPEL E CELULO-PREF A</x:v>
      </x:c>
      <x:c r="C4897" s="16" t="n">
        <x:v>1944.2821646027</x:v>
      </x:c>
      <x:c r="D4897" s="13" t="str">
        <x:v>Pulp &amp; Paper</x:v>
      </x:c>
      <x:c r="E4897" s="13" t="str">
        <x:v>Pulp &amp; Paper</x:v>
      </x:c>
      <x:c r="F4897" s="13" t="str">
        <x:v>Deep Cyclicals</x:v>
      </x:c>
      <x:c r="G4897" s="13" t="str">
        <x:v>grid_asitui1y.xlsx</x:v>
      </x:c>
    </x:row>
    <x:row r="4898">
      <x:c r="A4898" s="15" t="n">
        <x:v>42552</x:v>
      </x:c>
      <x:c r="B4898" s="13" t="str">
        <x:v>CIA BRASILEIRA DE DIS-PREF</x:v>
      </x:c>
      <x:c r="C4898" s="16" t="n">
        <x:v>512.0073744658</x:v>
      </x:c>
      <x:c r="D4898" s="13" t="str">
        <x:v>Retail</x:v>
      </x:c>
      <x:c r="E4898" s="13" t="str">
        <x:v>Retail</x:v>
      </x:c>
      <x:c r="F4898" s="13" t="str">
        <x:v>Early Cyclicals</x:v>
      </x:c>
      <x:c r="G4898" s="13" t="str">
        <x:v>grid_asitui1y.xlsx</x:v>
      </x:c>
    </x:row>
    <x:row r="4899">
      <x:c r="A4899" s="15" t="n">
        <x:v>42552</x:v>
      </x:c>
      <x:c r="B4899" s="13" t="str">
        <x:v>LOJAS AMERICANAS SA-PREF</x:v>
      </x:c>
      <x:c r="C4899" s="16" t="n">
        <x:v>501.2406290411</x:v>
      </x:c>
      <x:c r="D4899" s="13" t="str">
        <x:v>Retail</x:v>
      </x:c>
      <x:c r="E4899" s="13" t="str">
        <x:v>Retail</x:v>
      </x:c>
      <x:c r="F4899" s="13" t="str">
        <x:v>Early Cyclicals</x:v>
      </x:c>
      <x:c r="G4899" s="13" t="str">
        <x:v>grid_asitui1y.xlsx</x:v>
      </x:c>
    </x:row>
    <x:row r="4900">
      <x:c r="A4900" s="15" t="n">
        <x:v>42552</x:v>
      </x:c>
      <x:c r="B4900" s="13" t="str">
        <x:v>LOJAS RENNER S.A.</x:v>
      </x:c>
      <x:c r="C4900" s="16" t="n">
        <x:v>735.5261632877</x:v>
      </x:c>
      <x:c r="D4900" s="13" t="str">
        <x:v>Retail</x:v>
      </x:c>
      <x:c r="E4900" s="13" t="str">
        <x:v>Retail</x:v>
      </x:c>
      <x:c r="F4900" s="13" t="str">
        <x:v>Early Cyclicals</x:v>
      </x:c>
      <x:c r="G4900" s="13" t="str">
        <x:v>grid_asitui1y.xlsx</x:v>
      </x:c>
    </x:row>
    <x:row r="4901">
      <x:c r="A4901" s="15" t="n">
        <x:v>42552</x:v>
      </x:c>
      <x:c r="B4901" s="13" t="str">
        <x:v>NATURA COSMETICOS SA</x:v>
      </x:c>
      <x:c r="C4901" s="16" t="n">
        <x:v>588.9848447123</x:v>
      </x:c>
      <x:c r="D4901" s="13" t="str">
        <x:v>Retail</x:v>
      </x:c>
      <x:c r="E4901" s="13" t="str">
        <x:v>Retail</x:v>
      </x:c>
      <x:c r="F4901" s="13" t="str">
        <x:v>Early Cyclicals</x:v>
      </x:c>
      <x:c r="G4901" s="13" t="str">
        <x:v>grid_asitui1y.xlsx</x:v>
      </x:c>
    </x:row>
    <x:row r="4902">
      <x:c r="A4902" s="15" t="n">
        <x:v>42552</x:v>
      </x:c>
      <x:c r="B4902" s="13" t="str">
        <x:v>RAIA DROGASIL SA</x:v>
      </x:c>
      <x:c r="C4902" s="16" t="n">
        <x:v>570.2330866849</x:v>
      </x:c>
      <x:c r="D4902" s="13" t="str">
        <x:v>Retail</x:v>
      </x:c>
      <x:c r="E4902" s="13" t="str">
        <x:v>Retail</x:v>
      </x:c>
      <x:c r="F4902" s="13" t="str">
        <x:v>Early Cyclicals</x:v>
      </x:c>
      <x:c r="G4902" s="13" t="str">
        <x:v>grid_asitui1y.xlsx</x:v>
      </x:c>
    </x:row>
    <x:row r="4903">
      <x:c r="A4903" s="15" t="n">
        <x:v>42552</x:v>
      </x:c>
      <x:c r="B4903" s="13" t="str">
        <x:v>CIA SANEAMENTO BASICO DE SP</x:v>
      </x:c>
      <x:c r="C4903" s="16" t="n">
        <x:v>2130.326854137</x:v>
      </x:c>
      <x:c r="D4903" s="13" t="str">
        <x:v>Sanitation</x:v>
      </x:c>
      <x:c r="E4903" s="13" t="str">
        <x:v>Utilities</x:v>
      </x:c>
      <x:c r="F4903" s="13" t="str">
        <x:v>Defensives</x:v>
      </x:c>
      <x:c r="G4903" s="13" t="str">
        <x:v>grid_asitui1y.xlsx</x:v>
      </x:c>
    </x:row>
    <x:row r="4904">
      <x:c r="A4904" s="15" t="n">
        <x:v>42552</x:v>
      </x:c>
      <x:c r="B4904" s="13" t="str">
        <x:v>TELEFONICA BRASIL S.A.-PREF</x:v>
      </x:c>
      <x:c r="C4904" s="16" t="n">
        <x:v>4858.3807789589</x:v>
      </x:c>
      <x:c r="D4904" s="13" t="str">
        <x:v>TMT</x:v>
      </x:c>
      <x:c r="E4904" s="13" t="str">
        <x:v>TMT</x:v>
      </x:c>
      <x:c r="F4904" s="13" t="str">
        <x:v>Early Cyclicals</x:v>
      </x:c>
      <x:c r="G4904" s="13" t="str">
        <x:v>grid_asitui1y.xlsx</x:v>
      </x:c>
    </x:row>
    <x:row r="4905">
      <x:c r="A4905" s="15" t="n">
        <x:v>42552</x:v>
      </x:c>
      <x:c r="B4905" s="13" t="str">
        <x:v>TIM SA</x:v>
      </x:c>
      <x:c r="C4905" s="16" t="n">
        <x:v>601.7083870685</x:v>
      </x:c>
      <x:c r="D4905" s="13" t="str">
        <x:v>TMT</x:v>
      </x:c>
      <x:c r="E4905" s="13" t="str">
        <x:v>TMT</x:v>
      </x:c>
      <x:c r="F4905" s="13" t="str">
        <x:v>Early Cyclicals</x:v>
      </x:c>
      <x:c r="G4905" s="13" t="str">
        <x:v>grid_asitui1y.xlsx</x:v>
      </x:c>
    </x:row>
    <x:row r="4906">
      <x:c r="A4906" s="15" t="n">
        <x:v>42552</x:v>
      </x:c>
      <x:c r="B4906" s="13" t="str">
        <x:v>ECORODOVIAS INFRA E LOG SA</x:v>
      </x:c>
      <x:c r="C4906" s="16" t="n">
        <x:v>270.0666575342</x:v>
      </x:c>
      <x:c r="D4906" s="13" t="str">
        <x:v>Transportation</x:v>
      </x:c>
      <x:c r="E4906" s="13" t="str">
        <x:v>Transportation</x:v>
      </x:c>
      <x:c r="F4906" s="13" t="str">
        <x:v>Deep Cyclicals</x:v>
      </x:c>
      <x:c r="G4906" s="13" t="str">
        <x:v>grid_asitui1y.xlsx</x:v>
      </x:c>
    </x:row>
    <x:row r="4907">
      <x:c r="A4907" s="15" t="n">
        <x:v>42552</x:v>
      </x:c>
      <x:c r="B4907" s="13" t="str">
        <x:v>LOCALIZA RENT A CAR</x:v>
      </x:c>
      <x:c r="C4907" s="16" t="n">
        <x:v>402.2830833973</x:v>
      </x:c>
      <x:c r="D4907" s="13" t="str">
        <x:v>Transportation</x:v>
      </x:c>
      <x:c r="E4907" s="13" t="str">
        <x:v>Transportation</x:v>
      </x:c>
      <x:c r="F4907" s="13" t="str">
        <x:v>Deep Cyclicals</x:v>
      </x:c>
      <x:c r="G4907" s="13" t="str">
        <x:v>grid_asitui1y.xlsx</x:v>
      </x:c>
    </x:row>
    <x:row r="4908">
      <x:c r="A4908" s="15" t="n">
        <x:v>42552</x:v>
      </x:c>
      <x:c r="B4908" s="13" t="str">
        <x:v>MOTIVA INFRAESTRUTURA DE MOB</x:v>
      </x:c>
      <x:c r="C4908" s="16" t="n">
        <x:v>1423.811340274</x:v>
      </x:c>
      <x:c r="D4908" s="13" t="str">
        <x:v>Transportation</x:v>
      </x:c>
      <x:c r="E4908" s="13" t="str">
        <x:v>Transportation</x:v>
      </x:c>
      <x:c r="F4908" s="13" t="str">
        <x:v>Deep Cyclicals</x:v>
      </x:c>
      <x:c r="G4908" s="13" t="str">
        <x:v>grid_asitui1y.xlsx</x:v>
      </x:c>
    </x:row>
    <x:row r="4909">
      <x:c r="A4909" s="15" t="n">
        <x:v>42552</x:v>
      </x:c>
      <x:c r="B4909" s="13" t="str">
        <x:v>CESP - CIA ENERGETICA DE SAO</x:v>
      </x:c>
      <x:c r="C4909" s="16" t="n">
        <x:v>331.532614137</x:v>
      </x:c>
      <x:c r="D4909" s="13" t="str">
        <x:v>Utilities &amp; Energy</x:v>
      </x:c>
      <x:c r="E4909" s="13" t="str">
        <x:v>Utilities</x:v>
      </x:c>
      <x:c r="F4909" s="13" t="str">
        <x:v>Defensives</x:v>
      </x:c>
      <x:c r="G4909" s="13" t="str">
        <x:v>grid_asitui1y.xlsx</x:v>
      </x:c>
    </x:row>
    <x:row r="4910">
      <x:c r="A4910" s="15" t="n">
        <x:v>42552</x:v>
      </x:c>
      <x:c r="B4910" s="13" t="str">
        <x:v>CIA ENERGETICA MINAS GER-PRF</x:v>
      </x:c>
      <x:c r="C4910" s="16" t="n">
        <x:v>1073.8591368767</x:v>
      </x:c>
      <x:c r="D4910" s="13" t="str">
        <x:v>Utilities &amp; Energy</x:v>
      </x:c>
      <x:c r="E4910" s="13" t="str">
        <x:v>Utilities</x:v>
      </x:c>
      <x:c r="F4910" s="13" t="str">
        <x:v>Defensives</x:v>
      </x:c>
      <x:c r="G4910" s="13" t="str">
        <x:v>grid_asitui1y.xlsx</x:v>
      </x:c>
    </x:row>
    <x:row r="4911">
      <x:c r="A4911" s="15" t="n">
        <x:v>42552</x:v>
      </x:c>
      <x:c r="B4911" s="13" t="str">
        <x:v>COMPANHIA PARANAENSE -PREF B</x:v>
      </x:c>
      <x:c r="C4911" s="16" t="n">
        <x:v>1175.2411143014</x:v>
      </x:c>
      <x:c r="D4911" s="13" t="str">
        <x:v>Utilities &amp; Energy</x:v>
      </x:c>
      <x:c r="E4911" s="13" t="str">
        <x:v>Utilities</x:v>
      </x:c>
      <x:c r="F4911" s="13" t="str">
        <x:v>Defensives</x:v>
      </x:c>
      <x:c r="G4911" s="13" t="str">
        <x:v>grid_asitui1y.xlsx</x:v>
      </x:c>
    </x:row>
    <x:row r="4912">
      <x:c r="A4912" s="15" t="n">
        <x:v>42552</x:v>
      </x:c>
      <x:c r="B4912" s="13" t="str">
        <x:v>CPFL ENERGIA SA</x:v>
      </x:c>
      <x:c r="C4912" s="16" t="n">
        <x:v>1178.9990619178</x:v>
      </x:c>
      <x:c r="D4912" s="13" t="str">
        <x:v>Utilities &amp; Energy</x:v>
      </x:c>
      <x:c r="E4912" s="13" t="str">
        <x:v>Utilities</x:v>
      </x:c>
      <x:c r="F4912" s="13" t="str">
        <x:v>Defensives</x:v>
      </x:c>
      <x:c r="G4912" s="13" t="str">
        <x:v>grid_asitui1y.xlsx</x:v>
      </x:c>
    </x:row>
    <x:row r="4913">
      <x:c r="A4913" s="15" t="n">
        <x:v>42552</x:v>
      </x:c>
      <x:c r="B4913" s="13" t="str">
        <x:v>EDP - ENERGIAS DO BRASIL SA</x:v>
      </x:c>
      <x:c r="C4913" s="16" t="n">
        <x:v>532.4674086575</x:v>
      </x:c>
      <x:c r="D4913" s="13" t="str">
        <x:v>Utilities &amp; Energy</x:v>
      </x:c>
      <x:c r="E4913" s="13" t="str">
        <x:v>Utilities</x:v>
      </x:c>
      <x:c r="F4913" s="13" t="str">
        <x:v>Defensives</x:v>
      </x:c>
      <x:c r="G4913" s="13" t="str">
        <x:v>grid_asitui1y.xlsx</x:v>
      </x:c>
    </x:row>
    <x:row r="4914">
      <x:c r="A4914" s="15" t="n">
        <x:v>42552</x:v>
      </x:c>
      <x:c r="B4914" s="13" t="str">
        <x:v>ENGIE BRASIL ENERGIA SA</x:v>
      </x:c>
      <x:c r="C4914" s="16" t="n">
        <x:v>1984.6421689863</x:v>
      </x:c>
      <x:c r="D4914" s="13" t="str">
        <x:v>Utilities &amp; Energy</x:v>
      </x:c>
      <x:c r="E4914" s="13" t="str">
        <x:v>Utilities</x:v>
      </x:c>
      <x:c r="F4914" s="13" t="str">
        <x:v>Defensives</x:v>
      </x:c>
      <x:c r="G4914" s="13" t="str">
        <x:v>grid_asitui1y.xlsx</x:v>
      </x:c>
    </x:row>
    <x:row r="4915">
      <x:c r="A4915" s="15" t="n">
        <x:v>42552</x:v>
      </x:c>
      <x:c r="B4915" s="13" t="str">
        <x:v>EQUATORIAL SA - ORD</x:v>
      </x:c>
      <x:c r="C4915" s="16" t="n">
        <x:v>698.6942912877</x:v>
      </x:c>
      <x:c r="D4915" s="13" t="str">
        <x:v>Utilities &amp; Energy</x:v>
      </x:c>
      <x:c r="E4915" s="13" t="str">
        <x:v>Utilities</x:v>
      </x:c>
      <x:c r="F4915" s="13" t="str">
        <x:v>Defensives</x:v>
      </x:c>
      <x:c r="G4915" s="13" t="str">
        <x:v>grid_asitui1y.xlsx</x:v>
      </x:c>
    </x:row>
    <x:row r="4916">
      <x:c r="A4916" s="15" t="n">
        <x:v>42583</x:v>
      </x:c>
      <x:c r="B4916" s="13" t="str">
        <x:v>BANCO BRADESCO S.A.</x:v>
      </x:c>
      <x:c r="C4916" s="16" t="n">
        <x:v>16850.0806473644</x:v>
      </x:c>
      <x:c r="D4916" s="13" t="str">
        <x:v>Banks</x:v>
      </x:c>
      <x:c r="E4916" s="13" t="str">
        <x:v>Banks</x:v>
      </x:c>
      <x:c r="F4916" s="13" t="str">
        <x:v>Financials</x:v>
      </x:c>
      <x:c r="G4916" s="13" t="str">
        <x:v>grid_asitui1y.xlsx</x:v>
      </x:c>
    </x:row>
    <x:row r="4917">
      <x:c r="A4917" s="15" t="n">
        <x:v>42583</x:v>
      </x:c>
      <x:c r="B4917" s="13" t="str">
        <x:v>BANCO BRADESCO SA-PREF</x:v>
      </x:c>
      <x:c r="C4917" s="16" t="n">
        <x:v>16850.0806473644</x:v>
      </x:c>
      <x:c r="D4917" s="13" t="str">
        <x:v>Banks</x:v>
      </x:c>
      <x:c r="E4917" s="13" t="str">
        <x:v>Banks</x:v>
      </x:c>
      <x:c r="F4917" s="13" t="str">
        <x:v>Financials</x:v>
      </x:c>
      <x:c r="G4917" s="13" t="str">
        <x:v>grid_asitui1y.xlsx</x:v>
      </x:c>
    </x:row>
    <x:row r="4918">
      <x:c r="A4918" s="15" t="n">
        <x:v>42583</x:v>
      </x:c>
      <x:c r="B4918" s="13" t="str">
        <x:v>BANCO DO BRASIL S.A.</x:v>
      </x:c>
      <x:c r="C4918" s="16" t="n">
        <x:v>9653.1073472877</x:v>
      </x:c>
      <x:c r="D4918" s="13" t="str">
        <x:v>Banks</x:v>
      </x:c>
      <x:c r="E4918" s="13" t="str">
        <x:v>Banks</x:v>
      </x:c>
      <x:c r="F4918" s="13" t="str">
        <x:v>Financials</x:v>
      </x:c>
      <x:c r="G4918" s="13" t="str">
        <x:v>grid_asitui1y.xlsx</x:v>
      </x:c>
    </x:row>
    <x:row r="4919">
      <x:c r="A4919" s="15" t="n">
        <x:v>42583</x:v>
      </x:c>
      <x:c r="B4919" s="13" t="str">
        <x:v>BANCO SANTANDER  BRASIL-UNIT</x:v>
      </x:c>
      <x:c r="C4919" s="16" t="n">
        <x:v>5625.6572387945</x:v>
      </x:c>
      <x:c r="D4919" s="13" t="str">
        <x:v>Banks</x:v>
      </x:c>
      <x:c r="E4919" s="13" t="str">
        <x:v>Banks</x:v>
      </x:c>
      <x:c r="F4919" s="13" t="str">
        <x:v>Financials</x:v>
      </x:c>
      <x:c r="G4919" s="13" t="str">
        <x:v>grid_asitui1y.xlsx</x:v>
      </x:c>
    </x:row>
    <x:row r="4920">
      <x:c r="A4920" s="15" t="n">
        <x:v>42583</x:v>
      </x:c>
      <x:c r="B4920" s="13" t="str">
        <x:v>ITAU UNIBANCO HOLDING S-PREF</x:v>
      </x:c>
      <x:c r="C4920" s="16" t="n">
        <x:v>21508.7362609096</x:v>
      </x:c>
      <x:c r="D4920" s="13" t="str">
        <x:v>Banks</x:v>
      </x:c>
      <x:c r="E4920" s="13" t="str">
        <x:v>Banks</x:v>
      </x:c>
      <x:c r="F4920" s="13" t="str">
        <x:v>Financials</x:v>
      </x:c>
      <x:c r="G4920" s="13" t="str">
        <x:v>grid_asitui1y.xlsx</x:v>
      </x:c>
    </x:row>
    <x:row r="4921">
      <x:c r="A4921" s="15" t="n">
        <x:v>42583</x:v>
      </x:c>
      <x:c r="B4921" s="13" t="str">
        <x:v>EMBRAER SA</x:v>
      </x:c>
      <x:c r="C4921" s="16" t="n">
        <x:v>985.7616057863</x:v>
      </x:c>
      <x:c r="D4921" s="13" t="str">
        <x:v>Capital Goods</x:v>
      </x:c>
      <x:c r="E4921" s="13" t="str">
        <x:v>Capital Goods</x:v>
      </x:c>
      <x:c r="F4921" s="13" t="str">
        <x:v>Deep Cyclicals</x:v>
      </x:c>
      <x:c r="G4921" s="13" t="str">
        <x:v>grid_asitui1y.xlsx</x:v>
      </x:c>
    </x:row>
    <x:row r="4922">
      <x:c r="A4922" s="15" t="n">
        <x:v>42583</x:v>
      </x:c>
      <x:c r="B4922" s="13" t="str">
        <x:v>WEG SA</x:v>
      </x:c>
      <x:c r="C4922" s="16" t="n">
        <x:v>1254.6937200219</x:v>
      </x:c>
      <x:c r="D4922" s="13" t="str">
        <x:v>Capital Goods</x:v>
      </x:c>
      <x:c r="E4922" s="13" t="str">
        <x:v>Capital Goods</x:v>
      </x:c>
      <x:c r="F4922" s="13" t="str">
        <x:v>Deep Cyclicals</x:v>
      </x:c>
      <x:c r="G4922" s="13" t="str">
        <x:v>grid_asitui1y.xlsx</x:v>
      </x:c>
    </x:row>
    <x:row r="4923">
      <x:c r="A4923" s="15" t="n">
        <x:v>42583</x:v>
      </x:c>
      <x:c r="B4923" s="13" t="str">
        <x:v>COGNA EDUCACAO</x:v>
      </x:c>
      <x:c r="C4923" s="16" t="n">
        <x:v>1973.950022137</x:v>
      </x:c>
      <x:c r="D4923" s="13" t="str">
        <x:v>Education</x:v>
      </x:c>
      <x:c r="E4923" s="13" t="str">
        <x:v>Education</x:v>
      </x:c>
      <x:c r="F4923" s="13" t="str">
        <x:v>Early Cyclicals</x:v>
      </x:c>
      <x:c r="G4923" s="13" t="str">
        <x:v>grid_asitui1y.xlsx</x:v>
      </x:c>
    </x:row>
    <x:row r="4924">
      <x:c r="A4924" s="15" t="n">
        <x:v>42583</x:v>
      </x:c>
      <x:c r="B4924" s="13" t="str">
        <x:v>YDUQS PARTICIPACOES SA</x:v>
      </x:c>
      <x:c r="C4924" s="16" t="n">
        <x:v>532.0091760219</x:v>
      </x:c>
      <x:c r="D4924" s="13" t="str">
        <x:v>Education</x:v>
      </x:c>
      <x:c r="E4924" s="13" t="str">
        <x:v>Education</x:v>
      </x:c>
      <x:c r="F4924" s="13" t="str">
        <x:v>Early Cyclicals</x:v>
      </x:c>
      <x:c r="G4924" s="13" t="str">
        <x:v>grid_asitui1y.xlsx</x:v>
      </x:c>
    </x:row>
    <x:row r="4925">
      <x:c r="A4925" s="15" t="n">
        <x:v>42583</x:v>
      </x:c>
      <x:c r="B4925" s="13" t="str">
        <x:v>B3 SA-BRASIL BOLSA BALCAO</x:v>
      </x:c>
      <x:c r="C4925" s="16" t="n">
        <x:v>2017.9778097096</x:v>
      </x:c>
      <x:c r="D4925" s="13" t="str">
        <x:v>Financials Non-Banks</x:v>
      </x:c>
      <x:c r="E4925" s="13" t="str">
        <x:v>Financials Non-Banks</x:v>
      </x:c>
      <x:c r="F4925" s="13" t="str">
        <x:v>Financials</x:v>
      </x:c>
      <x:c r="G4925" s="13" t="str">
        <x:v>grid_asitui1y.xlsx</x:v>
      </x:c>
    </x:row>
    <x:row r="4926">
      <x:c r="A4926" s="15" t="n">
        <x:v>42583</x:v>
      </x:c>
      <x:c r="B4926" s="13" t="str">
        <x:v>BB SEGURIDADE PARTICIPACOES</x:v>
      </x:c>
      <x:c r="C4926" s="16" t="n">
        <x:v>4358.1275669041</x:v>
      </x:c>
      <x:c r="D4926" s="13" t="str">
        <x:v>Financials Non-Banks</x:v>
      </x:c>
      <x:c r="E4926" s="13" t="str">
        <x:v>Financials Non-Banks</x:v>
      </x:c>
      <x:c r="F4926" s="13" t="str">
        <x:v>Financials</x:v>
      </x:c>
      <x:c r="G4926" s="13" t="str">
        <x:v>grid_asitui1y.xlsx</x:v>
      </x:c>
    </x:row>
    <x:row r="4927">
      <x:c r="A4927" s="15" t="n">
        <x:v>42583</x:v>
      </x:c>
      <x:c r="B4927" s="13" t="str">
        <x:v>CETIP SA-MERCADOS ORGANIZADO</x:v>
      </x:c>
      <x:c r="C4927" s="16" t="n">
        <x:v>670.7260906959</x:v>
      </x:c>
      <x:c r="D4927" s="13" t="str">
        <x:v>Financials Non-Banks</x:v>
      </x:c>
      <x:c r="E4927" s="13" t="str">
        <x:v>Financials Non-Banks</x:v>
      </x:c>
      <x:c r="F4927" s="13" t="str">
        <x:v>Financials</x:v>
      </x:c>
      <x:c r="G4927" s="13" t="str">
        <x:v>grid_asitui1y.xlsx</x:v>
      </x:c>
    </x:row>
    <x:row r="4928">
      <x:c r="A4928" s="15" t="n">
        <x:v>42583</x:v>
      </x:c>
      <x:c r="B4928" s="13" t="str">
        <x:v>CIELO SA - INSTITUICAO DE PA</x:v>
      </x:c>
      <x:c r="C4928" s="16" t="n">
        <x:v>4435.0013187507</x:v>
      </x:c>
      <x:c r="D4928" s="13" t="str">
        <x:v>Financials Non-Banks</x:v>
      </x:c>
      <x:c r="E4928" s="13" t="str">
        <x:v>Financials Non-Banks</x:v>
      </x:c>
      <x:c r="F4928" s="13" t="str">
        <x:v>Financials</x:v>
      </x:c>
      <x:c r="G4928" s="13" t="str">
        <x:v>grid_asitui1y.xlsx</x:v>
      </x:c>
    </x:row>
    <x:row r="4929">
      <x:c r="A4929" s="15" t="n">
        <x:v>42583</x:v>
      </x:c>
      <x:c r="B4929" s="13" t="str">
        <x:v>ITAUSA SA</x:v>
      </x:c>
      <x:c r="C4929" s="16" t="n">
        <x:v>7256.913709589</x:v>
      </x:c>
      <x:c r="D4929" s="13" t="str">
        <x:v>Financials Non-Banks</x:v>
      </x:c>
      <x:c r="E4929" s="13" t="str">
        <x:v>Financials Non-Banks</x:v>
      </x:c>
      <x:c r="F4929" s="13" t="str">
        <x:v>Financials</x:v>
      </x:c>
      <x:c r="G4929" s="13" t="str">
        <x:v>grid_asitui1y.xlsx</x:v>
      </x:c>
    </x:row>
    <x:row r="4930">
      <x:c r="A4930" s="15" t="n">
        <x:v>42583</x:v>
      </x:c>
      <x:c r="B4930" s="13" t="str">
        <x:v>AMBEV SA</x:v>
      </x:c>
      <x:c r="C4930" s="16" t="n">
        <x:v>14988.4180283616</x:v>
      </x:c>
      <x:c r="D4930" s="13" t="str">
        <x:v>Food &amp; Beverages</x:v>
      </x:c>
      <x:c r="E4930" s="13" t="str">
        <x:v>Agri, Food &amp; Beverages</x:v>
      </x:c>
      <x:c r="F4930" s="13" t="str">
        <x:v>Defensives</x:v>
      </x:c>
      <x:c r="G4930" s="13" t="str">
        <x:v>grid_asitui1y.xlsx</x:v>
      </x:c>
    </x:row>
    <x:row r="4931">
      <x:c r="A4931" s="15" t="n">
        <x:v>42583</x:v>
      </x:c>
      <x:c r="B4931" s="13" t="str">
        <x:v>BRF SA</x:v>
      </x:c>
      <x:c r="C4931" s="16" t="n">
        <x:v>2229.5780204712</x:v>
      </x:c>
      <x:c r="D4931" s="13" t="str">
        <x:v>Food &amp; Beverages</x:v>
      </x:c>
      <x:c r="E4931" s="13" t="str">
        <x:v>Agri, Food &amp; Beverages</x:v>
      </x:c>
      <x:c r="F4931" s="13" t="str">
        <x:v>Defensives</x:v>
      </x:c>
      <x:c r="G4931" s="13" t="str">
        <x:v>grid_asitui1y.xlsx</x:v>
      </x:c>
    </x:row>
    <x:row r="4932">
      <x:c r="A4932" s="15" t="n">
        <x:v>42583</x:v>
      </x:c>
      <x:c r="B4932" s="13" t="str">
        <x:v>JBS SA</x:v>
      </x:c>
      <x:c r="C4932" s="16" t="n">
        <x:v>3169.2020343233</x:v>
      </x:c>
      <x:c r="D4932" s="13" t="str">
        <x:v>Food &amp; Beverages</x:v>
      </x:c>
      <x:c r="E4932" s="13" t="str">
        <x:v>Agri, Food &amp; Beverages</x:v>
      </x:c>
      <x:c r="F4932" s="13" t="str">
        <x:v>Defensives</x:v>
      </x:c>
      <x:c r="G4932" s="13" t="str">
        <x:v>grid_asitui1y.xlsx</x:v>
      </x:c>
    </x:row>
    <x:row r="4933">
      <x:c r="A4933" s="15" t="n">
        <x:v>42583</x:v>
      </x:c>
      <x:c r="B4933" s="13" t="str">
        <x:v>MBRF GLOBAL FOODS COMPANY SA</x:v>
      </x:c>
      <x:c r="C4933" s="16" t="n">
        <x:v>186.8698818849</x:v>
      </x:c>
      <x:c r="D4933" s="13" t="str">
        <x:v>Food &amp; Beverages</x:v>
      </x:c>
      <x:c r="E4933" s="13" t="str">
        <x:v>Agri, Food &amp; Beverages</x:v>
      </x:c>
      <x:c r="F4933" s="13" t="str">
        <x:v>Defensives</x:v>
      </x:c>
      <x:c r="G4933" s="13" t="str">
        <x:v>grid_asitui1y.xlsx</x:v>
      </x:c>
    </x:row>
    <x:row r="4934">
      <x:c r="A4934" s="15" t="n">
        <x:v>42583</x:v>
      </x:c>
      <x:c r="B4934" s="13" t="str">
        <x:v>HYPERA SA</x:v>
      </x:c>
      <x:c r="C4934" s="16" t="n">
        <x:v>874.970566663</x:v>
      </x:c>
      <x:c r="D4934" s="13" t="str">
        <x:v>Health Care</x:v>
      </x:c>
      <x:c r="E4934" s="13" t="str">
        <x:v>Health Care</x:v>
      </x:c>
      <x:c r="F4934" s="13" t="str">
        <x:v>Defensives</x:v>
      </x:c>
      <x:c r="G4934" s="13" t="str">
        <x:v>grid_asitui1y.xlsx</x:v>
      </x:c>
    </x:row>
    <x:row r="4935">
      <x:c r="A4935" s="15" t="n">
        <x:v>42583</x:v>
      </x:c>
      <x:c r="B4935" s="13" t="str">
        <x:v>QUALICORP CONS E CORR SEG SA</x:v>
      </x:c>
      <x:c r="C4935" s="16" t="n">
        <x:v>417.366668274</x:v>
      </x:c>
      <x:c r="D4935" s="13" t="str">
        <x:v>Health Care</x:v>
      </x:c>
      <x:c r="E4935" s="13" t="str">
        <x:v>Health Care</x:v>
      </x:c>
      <x:c r="F4935" s="13" t="str">
        <x:v>Defensives</x:v>
      </x:c>
      <x:c r="G4935" s="13" t="str">
        <x:v>grid_asitui1y.xlsx</x:v>
      </x:c>
    </x:row>
    <x:row r="4936">
      <x:c r="A4936" s="15" t="n">
        <x:v>42583</x:v>
      </x:c>
      <x:c r="B4936" s="13" t="str">
        <x:v>CYRELA BRAZIL REALTY SA EMP</x:v>
      </x:c>
      <x:c r="C4936" s="16" t="n">
        <x:v>358.6191780822</x:v>
      </x:c>
      <x:c r="D4936" s="13" t="str">
        <x:v>Homebuilders</x:v>
      </x:c>
      <x:c r="E4936" s="13" t="str">
        <x:v>Real Estate</x:v>
      </x:c>
      <x:c r="F4936" s="13" t="str">
        <x:v>Early Cyclicals</x:v>
      </x:c>
      <x:c r="G4936" s="13" t="str">
        <x:v>grid_asitui1y.xlsx</x:v>
      </x:c>
    </x:row>
    <x:row r="4937">
      <x:c r="A4937" s="15" t="n">
        <x:v>42583</x:v>
      </x:c>
      <x:c r="B4937" s="13" t="str">
        <x:v>MRV ENGENHARIA</x:v>
      </x:c>
      <x:c r="C4937" s="16" t="n">
        <x:v>608.3704055233</x:v>
      </x:c>
      <x:c r="D4937" s="13" t="str">
        <x:v>Homebuilders</x:v>
      </x:c>
      <x:c r="E4937" s="13" t="str">
        <x:v>Real Estate</x:v>
      </x:c>
      <x:c r="F4937" s="13" t="str">
        <x:v>Early Cyclicals</x:v>
      </x:c>
      <x:c r="G4937" s="13" t="str">
        <x:v>grid_asitui1y.xlsx</x:v>
      </x:c>
    </x:row>
    <x:row r="4938">
      <x:c r="A4938" s="15" t="n">
        <x:v>42583</x:v>
      </x:c>
      <x:c r="B4938" s="13" t="str">
        <x:v>BR MALLS PARTICIPACOES SA</x:v>
      </x:c>
      <x:c r="C4938" s="16" t="n">
        <x:v>376.3165588164</x:v>
      </x:c>
      <x:c r="D4938" s="13" t="str">
        <x:v>Income Properties</x:v>
      </x:c>
      <x:c r="E4938" s="13" t="str">
        <x:v>Real Estate</x:v>
      </x:c>
      <x:c r="F4938" s="13" t="str">
        <x:v>Early Cyclicals</x:v>
      </x:c>
      <x:c r="G4938" s="13" t="str">
        <x:v>grid_asitui1y.xlsx</x:v>
      </x:c>
    </x:row>
    <x:row r="4939">
      <x:c r="A4939" s="15" t="n">
        <x:v>42583</x:v>
      </x:c>
      <x:c r="B4939" s="13" t="str">
        <x:v>MULTIPLAN EMPREENDIMENTOS</x:v>
      </x:c>
      <x:c r="C4939" s="16" t="n">
        <x:v>440.2240823233</x:v>
      </x:c>
      <x:c r="D4939" s="13" t="str">
        <x:v>Income Properties</x:v>
      </x:c>
      <x:c r="E4939" s="13" t="str">
        <x:v>Real Estate</x:v>
      </x:c>
      <x:c r="F4939" s="13" t="str">
        <x:v>Early Cyclicals</x:v>
      </x:c>
      <x:c r="G4939" s="13" t="str">
        <x:v>grid_asitui1y.xlsx</x:v>
      </x:c>
    </x:row>
    <x:row r="4940">
      <x:c r="A4940" s="15" t="n">
        <x:v>42583</x:v>
      </x:c>
      <x:c r="B4940" s="13" t="str">
        <x:v>BRADESPAR SA -PREF</x:v>
      </x:c>
      <x:c r="C4940" s="16" t="n">
        <x:v>421.2898162849</x:v>
      </x:c>
      <x:c r="D4940" s="13" t="str">
        <x:v>Metals &amp; Mining</x:v>
      </x:c>
      <x:c r="E4940" s="13" t="str">
        <x:v>Metals &amp; Mining</x:v>
      </x:c>
      <x:c r="F4940" s="13" t="str">
        <x:v>Deep Cyclicals</x:v>
      </x:c>
      <x:c r="G4940" s="13" t="str">
        <x:v>grid_asitui1y.xlsx</x:v>
      </x:c>
    </x:row>
    <x:row r="4941">
      <x:c r="A4941" s="15" t="n">
        <x:v>42583</x:v>
      </x:c>
      <x:c r="B4941" s="13" t="str">
        <x:v>CIA SIDERURGICA NACIONAL SA</x:v>
      </x:c>
      <x:c r="C4941" s="16" t="n">
        <x:v>-929.5691400767</x:v>
      </x:c>
      <x:c r="D4941" s="13" t="str">
        <x:v>Metals &amp; Mining</x:v>
      </x:c>
      <x:c r="E4941" s="13" t="str">
        <x:v>Metals &amp; Mining</x:v>
      </x:c>
      <x:c r="F4941" s="13" t="str">
        <x:v>Deep Cyclicals</x:v>
      </x:c>
      <x:c r="G4941" s="13" t="str">
        <x:v>grid_asitui1y.xlsx</x:v>
      </x:c>
    </x:row>
    <x:row r="4942">
      <x:c r="A4942" s="15" t="n">
        <x:v>42583</x:v>
      </x:c>
      <x:c r="B4942" s="13" t="str">
        <x:v>GERDAU SA-PREF</x:v>
      </x:c>
      <x:c r="C4942" s="16" t="n">
        <x:v>341.1054272438</x:v>
      </x:c>
      <x:c r="D4942" s="13" t="str">
        <x:v>Metals &amp; Mining</x:v>
      </x:c>
      <x:c r="E4942" s="13" t="str">
        <x:v>Metals &amp; Mining</x:v>
      </x:c>
      <x:c r="F4942" s="13" t="str">
        <x:v>Deep Cyclicals</x:v>
      </x:c>
      <x:c r="G4942" s="13" t="str">
        <x:v>grid_asitui1y.xlsx</x:v>
      </x:c>
    </x:row>
    <x:row r="4943">
      <x:c r="A4943" s="15" t="n">
        <x:v>42583</x:v>
      </x:c>
      <x:c r="B4943" s="13" t="str">
        <x:v>METALURGICA GERDAU SA-PREF</x:v>
      </x:c>
      <x:c r="C4943" s="16" t="n">
        <x:v>70.4356164384</x:v>
      </x:c>
      <x:c r="D4943" s="13" t="str">
        <x:v>Metals &amp; Mining</x:v>
      </x:c>
      <x:c r="E4943" s="13" t="str">
        <x:v>Metals &amp; Mining</x:v>
      </x:c>
      <x:c r="F4943" s="13" t="str">
        <x:v>Deep Cyclicals</x:v>
      </x:c>
      <x:c r="G4943" s="13" t="str">
        <x:v>grid_asitui1y.xlsx</x:v>
      </x:c>
    </x:row>
    <x:row r="4944">
      <x:c r="A4944" s="15" t="n">
        <x:v>42583</x:v>
      </x:c>
      <x:c r="B4944" s="13" t="str">
        <x:v>USINAS SIDER MINAS GER-PF A</x:v>
      </x:c>
      <x:c r="C4944" s="16" t="n">
        <x:v>-600.8635507726</x:v>
      </x:c>
      <x:c r="D4944" s="13" t="str">
        <x:v>Metals &amp; Mining</x:v>
      </x:c>
      <x:c r="E4944" s="13" t="str">
        <x:v>Metals &amp; Mining</x:v>
      </x:c>
      <x:c r="F4944" s="13" t="str">
        <x:v>Deep Cyclicals</x:v>
      </x:c>
      <x:c r="G4944" s="13" t="str">
        <x:v>grid_asitui1y.xlsx</x:v>
      </x:c>
    </x:row>
    <x:row r="4945">
      <x:c r="A4945" s="15" t="n">
        <x:v>42583</x:v>
      </x:c>
      <x:c r="B4945" s="13" t="str">
        <x:v>VALE SA</x:v>
      </x:c>
      <x:c r="C4945" s="16" t="n">
        <x:v>5859.0563426192</x:v>
      </x:c>
      <x:c r="D4945" s="13" t="str">
        <x:v>Metals &amp; Mining</x:v>
      </x:c>
      <x:c r="E4945" s="13" t="str">
        <x:v>Metals &amp; Mining</x:v>
      </x:c>
      <x:c r="F4945" s="13" t="str">
        <x:v>Deep Cyclicals</x:v>
      </x:c>
      <x:c r="G4945" s="13" t="str">
        <x:v>grid_asitui1y.xlsx</x:v>
      </x:c>
    </x:row>
    <x:row r="4946">
      <x:c r="A4946" s="15" t="n">
        <x:v>42583</x:v>
      </x:c>
      <x:c r="B4946" s="13" t="str">
        <x:v>BRASKEM SA-PREF A</x:v>
      </x:c>
      <x:c r="C4946" s="16" t="n">
        <x:v>2818.2968796932</x:v>
      </x:c>
      <x:c r="D4946" s="13" t="str">
        <x:v>Oil, Gas &amp; Petrochemicals</x:v>
      </x:c>
      <x:c r="E4946" s="13" t="str">
        <x:v>Oil, Gas &amp; Petrochemicals</x:v>
      </x:c>
      <x:c r="F4946" s="13" t="str">
        <x:v>Deep Cyclicals</x:v>
      </x:c>
      <x:c r="G4946" s="13" t="str">
        <x:v>grid_asitui1y.xlsx</x:v>
      </x:c>
    </x:row>
    <x:row r="4947">
      <x:c r="A4947" s="15" t="n">
        <x:v>42583</x:v>
      </x:c>
      <x:c r="B4947" s="13" t="str">
        <x:v>COSAN SA</x:v>
      </x:c>
      <x:c r="C4947" s="16" t="n">
        <x:v>1040.045146126</x:v>
      </x:c>
      <x:c r="D4947" s="13" t="str">
        <x:v>Oil, Gas &amp; Petrochemicals</x:v>
      </x:c>
      <x:c r="E4947" s="13" t="str">
        <x:v>Oil, Gas &amp; Petrochemicals</x:v>
      </x:c>
      <x:c r="F4947" s="13" t="str">
        <x:v>Deep Cyclicals</x:v>
      </x:c>
      <x:c r="G4947" s="13" t="str">
        <x:v>grid_asitui1y.xlsx</x:v>
      </x:c>
    </x:row>
    <x:row r="4948">
      <x:c r="A4948" s="15" t="n">
        <x:v>42583</x:v>
      </x:c>
      <x:c r="B4948" s="13" t="str">
        <x:v>PETROBRAS - PETROLEO BRAS</x:v>
      </x:c>
      <x:c r="C4948" s="16" t="n">
        <x:v>13743.1301077918</x:v>
      </x:c>
      <x:c r="D4948" s="13" t="str">
        <x:v>Oil, Gas &amp; Petrochemicals</x:v>
      </x:c>
      <x:c r="E4948" s="13" t="str">
        <x:v>Oil, Gas &amp; Petrochemicals</x:v>
      </x:c>
      <x:c r="F4948" s="13" t="str">
        <x:v>Deep Cyclicals</x:v>
      </x:c>
      <x:c r="G4948" s="13" t="str">
        <x:v>grid_asitui1y.xlsx</x:v>
      </x:c>
    </x:row>
    <x:row r="4949">
      <x:c r="A4949" s="15" t="n">
        <x:v>42583</x:v>
      </x:c>
      <x:c r="B4949" s="13" t="str">
        <x:v>ULTRAPAR PARTICIPACOES SA</x:v>
      </x:c>
      <x:c r="C4949" s="16" t="n">
        <x:v>1731.0420714959</x:v>
      </x:c>
      <x:c r="D4949" s="13" t="str">
        <x:v>Oil, Gas &amp; Petrochemicals</x:v>
      </x:c>
      <x:c r="E4949" s="13" t="str">
        <x:v>Oil, Gas &amp; Petrochemicals</x:v>
      </x:c>
      <x:c r="F4949" s="13" t="str">
        <x:v>Deep Cyclicals</x:v>
      </x:c>
      <x:c r="G4949" s="13" t="str">
        <x:v>grid_asitui1y.xlsx</x:v>
      </x:c>
    </x:row>
    <x:row r="4950">
      <x:c r="A4950" s="15" t="n">
        <x:v>42583</x:v>
      </x:c>
      <x:c r="B4950" s="13" t="str">
        <x:v>FIBRIA CELULOSE S/A</x:v>
      </x:c>
      <x:c r="C4950" s="16" t="n">
        <x:v>350.6273544767</x:v>
      </x:c>
      <x:c r="D4950" s="13" t="str">
        <x:v>Pulp &amp; Paper</x:v>
      </x:c>
      <x:c r="E4950" s="13" t="str">
        <x:v>Pulp &amp; Paper</x:v>
      </x:c>
      <x:c r="F4950" s="13" t="str">
        <x:v>Deep Cyclicals</x:v>
      </x:c>
      <x:c r="G4950" s="13" t="str">
        <x:v>grid_asitui1y.xlsx</x:v>
      </x:c>
    </x:row>
    <x:row r="4951">
      <x:c r="A4951" s="15" t="n">
        <x:v>42583</x:v>
      </x:c>
      <x:c r="B4951" s="13" t="str">
        <x:v>KLABIN SA - UNIT</x:v>
      </x:c>
      <x:c r="C4951" s="16" t="n">
        <x:v>1633.5301582904</x:v>
      </x:c>
      <x:c r="D4951" s="13" t="str">
        <x:v>Pulp &amp; Paper</x:v>
      </x:c>
      <x:c r="E4951" s="13" t="str">
        <x:v>Pulp &amp; Paper</x:v>
      </x:c>
      <x:c r="F4951" s="13" t="str">
        <x:v>Deep Cyclicals</x:v>
      </x:c>
      <x:c r="G4951" s="13" t="str">
        <x:v>grid_asitui1y.xlsx</x:v>
      </x:c>
    </x:row>
    <x:row r="4952">
      <x:c r="A4952" s="15" t="n">
        <x:v>42583</x:v>
      </x:c>
      <x:c r="B4952" s="13" t="str">
        <x:v>SUZANO PAPEL E CELULO-PREF A</x:v>
      </x:c>
      <x:c r="C4952" s="16" t="n">
        <x:v>1833.3406193973</x:v>
      </x:c>
      <x:c r="D4952" s="13" t="str">
        <x:v>Pulp &amp; Paper</x:v>
      </x:c>
      <x:c r="E4952" s="13" t="str">
        <x:v>Pulp &amp; Paper</x:v>
      </x:c>
      <x:c r="F4952" s="13" t="str">
        <x:v>Deep Cyclicals</x:v>
      </x:c>
      <x:c r="G4952" s="13" t="str">
        <x:v>grid_asitui1y.xlsx</x:v>
      </x:c>
    </x:row>
    <x:row r="4953">
      <x:c r="A4953" s="15" t="n">
        <x:v>42583</x:v>
      </x:c>
      <x:c r="B4953" s="13" t="str">
        <x:v>CIA BRASILEIRA DE DIS-PREF</x:v>
      </x:c>
      <x:c r="C4953" s="16" t="n">
        <x:v>471.5315420055</x:v>
      </x:c>
      <x:c r="D4953" s="13" t="str">
        <x:v>Retail</x:v>
      </x:c>
      <x:c r="E4953" s="13" t="str">
        <x:v>Retail</x:v>
      </x:c>
      <x:c r="F4953" s="13" t="str">
        <x:v>Early Cyclicals</x:v>
      </x:c>
      <x:c r="G4953" s="13" t="str">
        <x:v>grid_asitui1y.xlsx</x:v>
      </x:c>
    </x:row>
    <x:row r="4954">
      <x:c r="A4954" s="15" t="n">
        <x:v>42583</x:v>
      </x:c>
      <x:c r="B4954" s="13" t="str">
        <x:v>LOJAS AMERICANAS SA-PREF</x:v>
      </x:c>
      <x:c r="C4954" s="16" t="n">
        <x:v>565.683142137</x:v>
      </x:c>
      <x:c r="D4954" s="13" t="str">
        <x:v>Retail</x:v>
      </x:c>
      <x:c r="E4954" s="13" t="str">
        <x:v>Retail</x:v>
      </x:c>
      <x:c r="F4954" s="13" t="str">
        <x:v>Early Cyclicals</x:v>
      </x:c>
      <x:c r="G4954" s="13" t="str">
        <x:v>grid_asitui1y.xlsx</x:v>
      </x:c>
    </x:row>
    <x:row r="4955">
      <x:c r="A4955" s="15" t="n">
        <x:v>42583</x:v>
      </x:c>
      <x:c r="B4955" s="13" t="str">
        <x:v>LOJAS RENNER S.A.</x:v>
      </x:c>
      <x:c r="C4955" s="16" t="n">
        <x:v>763.1103733479</x:v>
      </x:c>
      <x:c r="D4955" s="13" t="str">
        <x:v>Retail</x:v>
      </x:c>
      <x:c r="E4955" s="13" t="str">
        <x:v>Retail</x:v>
      </x:c>
      <x:c r="F4955" s="13" t="str">
        <x:v>Early Cyclicals</x:v>
      </x:c>
      <x:c r="G4955" s="13" t="str">
        <x:v>grid_asitui1y.xlsx</x:v>
      </x:c>
    </x:row>
    <x:row r="4956">
      <x:c r="A4956" s="15" t="n">
        <x:v>42583</x:v>
      </x:c>
      <x:c r="B4956" s="13" t="str">
        <x:v>NATURA COSMETICOS SA</x:v>
      </x:c>
      <x:c r="C4956" s="16" t="n">
        <x:v>611.684832263</x:v>
      </x:c>
      <x:c r="D4956" s="13" t="str">
        <x:v>Retail</x:v>
      </x:c>
      <x:c r="E4956" s="13" t="str">
        <x:v>Retail</x:v>
      </x:c>
      <x:c r="F4956" s="13" t="str">
        <x:v>Early Cyclicals</x:v>
      </x:c>
      <x:c r="G4956" s="13" t="str">
        <x:v>grid_asitui1y.xlsx</x:v>
      </x:c>
    </x:row>
    <x:row r="4957">
      <x:c r="A4957" s="15" t="n">
        <x:v>42583</x:v>
      </x:c>
      <x:c r="B4957" s="13" t="str">
        <x:v>RAIA DROGASIL SA</x:v>
      </x:c>
      <x:c r="C4957" s="16" t="n">
        <x:v>579.6108636932</x:v>
      </x:c>
      <x:c r="D4957" s="13" t="str">
        <x:v>Retail</x:v>
      </x:c>
      <x:c r="E4957" s="13" t="str">
        <x:v>Retail</x:v>
      </x:c>
      <x:c r="F4957" s="13" t="str">
        <x:v>Early Cyclicals</x:v>
      </x:c>
      <x:c r="G4957" s="13" t="str">
        <x:v>grid_asitui1y.xlsx</x:v>
      </x:c>
    </x:row>
    <x:row r="4958">
      <x:c r="A4958" s="15" t="n">
        <x:v>42583</x:v>
      </x:c>
      <x:c r="B4958" s="13" t="str">
        <x:v>CIA SANEAMENTO BASICO DE SP</x:v>
      </x:c>
      <x:c r="C4958" s="16" t="n">
        <x:v>2331.2142770849</x:v>
      </x:c>
      <x:c r="D4958" s="13" t="str">
        <x:v>Sanitation</x:v>
      </x:c>
      <x:c r="E4958" s="13" t="str">
        <x:v>Utilities</x:v>
      </x:c>
      <x:c r="F4958" s="13" t="str">
        <x:v>Defensives</x:v>
      </x:c>
      <x:c r="G4958" s="13" t="str">
        <x:v>grid_asitui1y.xlsx</x:v>
      </x:c>
    </x:row>
    <x:row r="4959">
      <x:c r="A4959" s="15" t="n">
        <x:v>42583</x:v>
      </x:c>
      <x:c r="B4959" s="13" t="str">
        <x:v>TELEFONICA BRASIL S.A.-PREF</x:v>
      </x:c>
      <x:c r="C4959" s="16" t="n">
        <x:v>4901.043065337</x:v>
      </x:c>
      <x:c r="D4959" s="13" t="str">
        <x:v>TMT</x:v>
      </x:c>
      <x:c r="E4959" s="13" t="str">
        <x:v>TMT</x:v>
      </x:c>
      <x:c r="F4959" s="13" t="str">
        <x:v>Early Cyclicals</x:v>
      </x:c>
      <x:c r="G4959" s="13" t="str">
        <x:v>grid_asitui1y.xlsx</x:v>
      </x:c>
    </x:row>
    <x:row r="4960">
      <x:c r="A4960" s="15" t="n">
        <x:v>42583</x:v>
      </x:c>
      <x:c r="B4960" s="13" t="str">
        <x:v>TIM SA</x:v>
      </x:c>
      <x:c r="C4960" s="16" t="n">
        <x:v>561.6779530521</x:v>
      </x:c>
      <x:c r="D4960" s="13" t="str">
        <x:v>TMT</x:v>
      </x:c>
      <x:c r="E4960" s="13" t="str">
        <x:v>TMT</x:v>
      </x:c>
      <x:c r="F4960" s="13" t="str">
        <x:v>Early Cyclicals</x:v>
      </x:c>
      <x:c r="G4960" s="13" t="str">
        <x:v>grid_asitui1y.xlsx</x:v>
      </x:c>
    </x:row>
    <x:row r="4961">
      <x:c r="A4961" s="15" t="n">
        <x:v>42583</x:v>
      </x:c>
      <x:c r="B4961" s="13" t="str">
        <x:v>ECORODOVIAS INFRA E LOG SA</x:v>
      </x:c>
      <x:c r="C4961" s="16" t="n">
        <x:v>317.3969124822</x:v>
      </x:c>
      <x:c r="D4961" s="13" t="str">
        <x:v>Transportation</x:v>
      </x:c>
      <x:c r="E4961" s="13" t="str">
        <x:v>Transportation</x:v>
      </x:c>
      <x:c r="F4961" s="13" t="str">
        <x:v>Deep Cyclicals</x:v>
      </x:c>
      <x:c r="G4961" s="13" t="str">
        <x:v>grid_asitui1y.xlsx</x:v>
      </x:c>
    </x:row>
    <x:row r="4962">
      <x:c r="A4962" s="15" t="n">
        <x:v>42583</x:v>
      </x:c>
      <x:c r="B4962" s="13" t="str">
        <x:v>LOCALIZA RENT A CAR</x:v>
      </x:c>
      <x:c r="C4962" s="16" t="n">
        <x:v>407.4310084384</x:v>
      </x:c>
      <x:c r="D4962" s="13" t="str">
        <x:v>Transportation</x:v>
      </x:c>
      <x:c r="E4962" s="13" t="str">
        <x:v>Transportation</x:v>
      </x:c>
      <x:c r="F4962" s="13" t="str">
        <x:v>Deep Cyclicals</x:v>
      </x:c>
      <x:c r="G4962" s="13" t="str">
        <x:v>grid_asitui1y.xlsx</x:v>
      </x:c>
    </x:row>
    <x:row r="4963">
      <x:c r="A4963" s="15" t="n">
        <x:v>42583</x:v>
      </x:c>
      <x:c r="B4963" s="13" t="str">
        <x:v>MOTIVA INFRAESTRUTURA DE MOB</x:v>
      </x:c>
      <x:c r="C4963" s="16" t="n">
        <x:v>1420.1478014247</x:v>
      </x:c>
      <x:c r="D4963" s="13" t="str">
        <x:v>Transportation</x:v>
      </x:c>
      <x:c r="E4963" s="13" t="str">
        <x:v>Transportation</x:v>
      </x:c>
      <x:c r="F4963" s="13" t="str">
        <x:v>Deep Cyclicals</x:v>
      </x:c>
      <x:c r="G4963" s="13" t="str">
        <x:v>grid_asitui1y.xlsx</x:v>
      </x:c>
    </x:row>
    <x:row r="4964">
      <x:c r="A4964" s="15" t="n">
        <x:v>42583</x:v>
      </x:c>
      <x:c r="B4964" s="13" t="str">
        <x:v>CESP - CIA ENERGETICA DE SAO</x:v>
      </x:c>
      <x:c r="C4964" s="16" t="n">
        <x:v>302.884249074</x:v>
      </x:c>
      <x:c r="D4964" s="13" t="str">
        <x:v>Utilities &amp; Energy</x:v>
      </x:c>
      <x:c r="E4964" s="13" t="str">
        <x:v>Utilities</x:v>
      </x:c>
      <x:c r="F4964" s="13" t="str">
        <x:v>Defensives</x:v>
      </x:c>
      <x:c r="G4964" s="13" t="str">
        <x:v>grid_asitui1y.xlsx</x:v>
      </x:c>
    </x:row>
    <x:row r="4965">
      <x:c r="A4965" s="15" t="n">
        <x:v>42583</x:v>
      </x:c>
      <x:c r="B4965" s="13" t="str">
        <x:v>CIA ENERGETICA MINAS GER-PRF</x:v>
      </x:c>
      <x:c r="C4965" s="16" t="n">
        <x:v>1134.9881947178</x:v>
      </x:c>
      <x:c r="D4965" s="13" t="str">
        <x:v>Utilities &amp; Energy</x:v>
      </x:c>
      <x:c r="E4965" s="13" t="str">
        <x:v>Utilities</x:v>
      </x:c>
      <x:c r="F4965" s="13" t="str">
        <x:v>Defensives</x:v>
      </x:c>
      <x:c r="G4965" s="13" t="str">
        <x:v>grid_asitui1y.xlsx</x:v>
      </x:c>
    </x:row>
    <x:row r="4966">
      <x:c r="A4966" s="15" t="n">
        <x:v>42583</x:v>
      </x:c>
      <x:c r="B4966" s="13" t="str">
        <x:v>COMPANHIA PARANAENSE -PREF B</x:v>
      </x:c>
      <x:c r="C4966" s="16" t="n">
        <x:v>1197.7573028822</x:v>
      </x:c>
      <x:c r="D4966" s="13" t="str">
        <x:v>Utilities &amp; Energy</x:v>
      </x:c>
      <x:c r="E4966" s="13" t="str">
        <x:v>Utilities</x:v>
      </x:c>
      <x:c r="F4966" s="13" t="str">
        <x:v>Defensives</x:v>
      </x:c>
      <x:c r="G4966" s="13" t="str">
        <x:v>grid_asitui1y.xlsx</x:v>
      </x:c>
    </x:row>
    <x:row r="4967">
      <x:c r="A4967" s="15" t="n">
        <x:v>42583</x:v>
      </x:c>
      <x:c r="B4967" s="13" t="str">
        <x:v>CPFL ENERGIA SA</x:v>
      </x:c>
      <x:c r="C4967" s="16" t="n">
        <x:v>1184.3700174904</x:v>
      </x:c>
      <x:c r="D4967" s="13" t="str">
        <x:v>Utilities &amp; Energy</x:v>
      </x:c>
      <x:c r="E4967" s="13" t="str">
        <x:v>Utilities</x:v>
      </x:c>
      <x:c r="F4967" s="13" t="str">
        <x:v>Defensives</x:v>
      </x:c>
      <x:c r="G4967" s="13" t="str">
        <x:v>grid_asitui1y.xlsx</x:v>
      </x:c>
    </x:row>
    <x:row r="4968">
      <x:c r="A4968" s="15" t="n">
        <x:v>42583</x:v>
      </x:c>
      <x:c r="B4968" s="13" t="str">
        <x:v>EDP - ENERGIAS DO BRASIL SA</x:v>
      </x:c>
      <x:c r="C4968" s="16" t="n">
        <x:v>599.4989154192</x:v>
      </x:c>
      <x:c r="D4968" s="13" t="str">
        <x:v>Utilities &amp; Energy</x:v>
      </x:c>
      <x:c r="E4968" s="13" t="str">
        <x:v>Utilities</x:v>
      </x:c>
      <x:c r="F4968" s="13" t="str">
        <x:v>Defensives</x:v>
      </x:c>
      <x:c r="G4968" s="13" t="str">
        <x:v>grid_asitui1y.xlsx</x:v>
      </x:c>
    </x:row>
    <x:row r="4969">
      <x:c r="A4969" s="15" t="n">
        <x:v>42583</x:v>
      </x:c>
      <x:c r="B4969" s="13" t="str">
        <x:v>ENGIE BRASIL ENERGIA SA</x:v>
      </x:c>
      <x:c r="C4969" s="16" t="n">
        <x:v>1945.6265426411</x:v>
      </x:c>
      <x:c r="D4969" s="13" t="str">
        <x:v>Utilities &amp; Energy</x:v>
      </x:c>
      <x:c r="E4969" s="13" t="str">
        <x:v>Utilities</x:v>
      </x:c>
      <x:c r="F4969" s="13" t="str">
        <x:v>Defensives</x:v>
      </x:c>
      <x:c r="G4969" s="13" t="str">
        <x:v>grid_asitui1y.xlsx</x:v>
      </x:c>
    </x:row>
    <x:row r="4970">
      <x:c r="A4970" s="15" t="n">
        <x:v>42583</x:v>
      </x:c>
      <x:c r="B4970" s="13" t="str">
        <x:v>EQUATORIAL SA - ORD</x:v>
      </x:c>
      <x:c r="C4970" s="16" t="n">
        <x:v>729.7426030466</x:v>
      </x:c>
      <x:c r="D4970" s="13" t="str">
        <x:v>Utilities &amp; Energy</x:v>
      </x:c>
      <x:c r="E4970" s="13" t="str">
        <x:v>Utilities</x:v>
      </x:c>
      <x:c r="F4970" s="13" t="str">
        <x:v>Defensives</x:v>
      </x:c>
      <x:c r="G4970" s="13" t="str">
        <x:v>grid_asitui1y.xlsx</x:v>
      </x:c>
    </x:row>
    <x:row r="4971">
      <x:c r="A4971" s="15" t="n">
        <x:v>42614</x:v>
      </x:c>
      <x:c r="B4971" s="13" t="str">
        <x:v>BANCO BRADESCO S.A.</x:v>
      </x:c>
      <x:c r="C4971" s="16" t="n">
        <x:v>17022.6320959123</x:v>
      </x:c>
      <x:c r="D4971" s="13" t="str">
        <x:v>Banks</x:v>
      </x:c>
      <x:c r="E4971" s="13" t="str">
        <x:v>Banks</x:v>
      </x:c>
      <x:c r="F4971" s="13" t="str">
        <x:v>Financials</x:v>
      </x:c>
      <x:c r="G4971" s="13" t="str">
        <x:v>grid_asitui1y.xlsx</x:v>
      </x:c>
    </x:row>
    <x:row r="4972">
      <x:c r="A4972" s="15" t="n">
        <x:v>42614</x:v>
      </x:c>
      <x:c r="B4972" s="13" t="str">
        <x:v>BANCO BRADESCO SA-PREF</x:v>
      </x:c>
      <x:c r="C4972" s="16" t="n">
        <x:v>17022.6320959123</x:v>
      </x:c>
      <x:c r="D4972" s="13" t="str">
        <x:v>Banks</x:v>
      </x:c>
      <x:c r="E4972" s="13" t="str">
        <x:v>Banks</x:v>
      </x:c>
      <x:c r="F4972" s="13" t="str">
        <x:v>Financials</x:v>
      </x:c>
      <x:c r="G4972" s="13" t="str">
        <x:v>grid_asitui1y.xlsx</x:v>
      </x:c>
    </x:row>
    <x:row r="4973">
      <x:c r="A4973" s="15" t="n">
        <x:v>42614</x:v>
      </x:c>
      <x:c r="B4973" s="13" t="str">
        <x:v>BANCO DO BRASIL S.A.</x:v>
      </x:c>
      <x:c r="C4973" s="16" t="n">
        <x:v>9671.7631852712</x:v>
      </x:c>
      <x:c r="D4973" s="13" t="str">
        <x:v>Banks</x:v>
      </x:c>
      <x:c r="E4973" s="13" t="str">
        <x:v>Banks</x:v>
      </x:c>
      <x:c r="F4973" s="13" t="str">
        <x:v>Financials</x:v>
      </x:c>
      <x:c r="G4973" s="13" t="str">
        <x:v>grid_asitui1y.xlsx</x:v>
      </x:c>
    </x:row>
    <x:row r="4974">
      <x:c r="A4974" s="15" t="n">
        <x:v>42614</x:v>
      </x:c>
      <x:c r="B4974" s="13" t="str">
        <x:v>BANCO SANTANDER  BRASIL-UNIT</x:v>
      </x:c>
      <x:c r="C4974" s="16" t="n">
        <x:v>5949.8889678904</x:v>
      </x:c>
      <x:c r="D4974" s="13" t="str">
        <x:v>Banks</x:v>
      </x:c>
      <x:c r="E4974" s="13" t="str">
        <x:v>Banks</x:v>
      </x:c>
      <x:c r="F4974" s="13" t="str">
        <x:v>Financials</x:v>
      </x:c>
      <x:c r="G4974" s="13" t="str">
        <x:v>grid_asitui1y.xlsx</x:v>
      </x:c>
    </x:row>
    <x:row r="4975">
      <x:c r="A4975" s="15" t="n">
        <x:v>42614</x:v>
      </x:c>
      <x:c r="B4975" s="13" t="str">
        <x:v>ITAU UNIBANCO HOLDING S-PREF</x:v>
      </x:c>
      <x:c r="C4975" s="16" t="n">
        <x:v>21337.5470493808</x:v>
      </x:c>
      <x:c r="D4975" s="13" t="str">
        <x:v>Banks</x:v>
      </x:c>
      <x:c r="E4975" s="13" t="str">
        <x:v>Banks</x:v>
      </x:c>
      <x:c r="F4975" s="13" t="str">
        <x:v>Financials</x:v>
      </x:c>
      <x:c r="G4975" s="13" t="str">
        <x:v>grid_asitui1y.xlsx</x:v>
      </x:c>
    </x:row>
    <x:row r="4976">
      <x:c r="A4976" s="15" t="n">
        <x:v>42614</x:v>
      </x:c>
      <x:c r="B4976" s="13" t="str">
        <x:v>EMBRAER SA</x:v>
      </x:c>
      <x:c r="C4976" s="16" t="n">
        <x:v>1001.2133609206</x:v>
      </x:c>
      <x:c r="D4976" s="13" t="str">
        <x:v>Capital Goods</x:v>
      </x:c>
      <x:c r="E4976" s="13" t="str">
        <x:v>Capital Goods</x:v>
      </x:c>
      <x:c r="F4976" s="13" t="str">
        <x:v>Deep Cyclicals</x:v>
      </x:c>
      <x:c r="G4976" s="13" t="str">
        <x:v>grid_asitui1y.xlsx</x:v>
      </x:c>
    </x:row>
    <x:row r="4977">
      <x:c r="A4977" s="15" t="n">
        <x:v>42614</x:v>
      </x:c>
      <x:c r="B4977" s="13" t="str">
        <x:v>WEG SA</x:v>
      </x:c>
      <x:c r="C4977" s="16" t="n">
        <x:v>1274.7485092822</x:v>
      </x:c>
      <x:c r="D4977" s="13" t="str">
        <x:v>Capital Goods</x:v>
      </x:c>
      <x:c r="E4977" s="13" t="str">
        <x:v>Capital Goods</x:v>
      </x:c>
      <x:c r="F4977" s="13" t="str">
        <x:v>Deep Cyclicals</x:v>
      </x:c>
      <x:c r="G4977" s="13" t="str">
        <x:v>grid_asitui1y.xlsx</x:v>
      </x:c>
    </x:row>
    <x:row r="4978">
      <x:c r="A4978" s="15" t="n">
        <x:v>42614</x:v>
      </x:c>
      <x:c r="B4978" s="13" t="str">
        <x:v>COGNA EDUCACAO</x:v>
      </x:c>
      <x:c r="C4978" s="16" t="n">
        <x:v>2070.4441084493</x:v>
      </x:c>
      <x:c r="D4978" s="13" t="str">
        <x:v>Education</x:v>
      </x:c>
      <x:c r="E4978" s="13" t="str">
        <x:v>Education</x:v>
      </x:c>
      <x:c r="F4978" s="13" t="str">
        <x:v>Early Cyclicals</x:v>
      </x:c>
      <x:c r="G4978" s="13" t="str">
        <x:v>grid_asitui1y.xlsx</x:v>
      </x:c>
    </x:row>
    <x:row r="4979">
      <x:c r="A4979" s="15" t="n">
        <x:v>42614</x:v>
      </x:c>
      <x:c r="B4979" s="13" t="str">
        <x:v>YDUQS PARTICIPACOES SA</x:v>
      </x:c>
      <x:c r="C4979" s="16" t="n">
        <x:v>526.1167058411</x:v>
      </x:c>
      <x:c r="D4979" s="13" t="str">
        <x:v>Education</x:v>
      </x:c>
      <x:c r="E4979" s="13" t="str">
        <x:v>Education</x:v>
      </x:c>
      <x:c r="F4979" s="13" t="str">
        <x:v>Early Cyclicals</x:v>
      </x:c>
      <x:c r="G4979" s="13" t="str">
        <x:v>grid_asitui1y.xlsx</x:v>
      </x:c>
    </x:row>
    <x:row r="4980">
      <x:c r="A4980" s="15" t="n">
        <x:v>42614</x:v>
      </x:c>
      <x:c r="B4980" s="13" t="str">
        <x:v>B3 SA-BRASIL BOLSA BALCAO</x:v>
      </x:c>
      <x:c r="C4980" s="16" t="n">
        <x:v>2049.388653063</x:v>
      </x:c>
      <x:c r="D4980" s="13" t="str">
        <x:v>Financials Non-Banks</x:v>
      </x:c>
      <x:c r="E4980" s="13" t="str">
        <x:v>Financials Non-Banks</x:v>
      </x:c>
      <x:c r="F4980" s="13" t="str">
        <x:v>Financials</x:v>
      </x:c>
      <x:c r="G4980" s="13" t="str">
        <x:v>grid_asitui1y.xlsx</x:v>
      </x:c>
    </x:row>
    <x:row r="4981">
      <x:c r="A4981" s="15" t="n">
        <x:v>42614</x:v>
      </x:c>
      <x:c r="B4981" s="13" t="str">
        <x:v>BB SEGURIDADE PARTICIPACOES</x:v>
      </x:c>
      <x:c r="C4981" s="16" t="n">
        <x:v>4309.350879737</x:v>
      </x:c>
      <x:c r="D4981" s="13" t="str">
        <x:v>Financials Non-Banks</x:v>
      </x:c>
      <x:c r="E4981" s="13" t="str">
        <x:v>Financials Non-Banks</x:v>
      </x:c>
      <x:c r="F4981" s="13" t="str">
        <x:v>Financials</x:v>
      </x:c>
      <x:c r="G4981" s="13" t="str">
        <x:v>grid_asitui1y.xlsx</x:v>
      </x:c>
    </x:row>
    <x:row r="4982">
      <x:c r="A4982" s="15" t="n">
        <x:v>42614</x:v>
      </x:c>
      <x:c r="B4982" s="13" t="str">
        <x:v>CETIP SA-MERCADOS ORGANIZADO</x:v>
      </x:c>
      <x:c r="C4982" s="16" t="n">
        <x:v>663.8629328658</x:v>
      </x:c>
      <x:c r="D4982" s="13" t="str">
        <x:v>Financials Non-Banks</x:v>
      </x:c>
      <x:c r="E4982" s="13" t="str">
        <x:v>Financials Non-Banks</x:v>
      </x:c>
      <x:c r="F4982" s="13" t="str">
        <x:v>Financials</x:v>
      </x:c>
      <x:c r="G4982" s="13" t="str">
        <x:v>grid_asitui1y.xlsx</x:v>
      </x:c>
    </x:row>
    <x:row r="4983">
      <x:c r="A4983" s="15" t="n">
        <x:v>42614</x:v>
      </x:c>
      <x:c r="B4983" s="13" t="str">
        <x:v>CIELO SA - INSTITUICAO DE PA</x:v>
      </x:c>
      <x:c r="C4983" s="16" t="n">
        <x:v>4467.6109410192</x:v>
      </x:c>
      <x:c r="D4983" s="13" t="str">
        <x:v>Financials Non-Banks</x:v>
      </x:c>
      <x:c r="E4983" s="13" t="str">
        <x:v>Financials Non-Banks</x:v>
      </x:c>
      <x:c r="F4983" s="13" t="str">
        <x:v>Financials</x:v>
      </x:c>
      <x:c r="G4983" s="13" t="str">
        <x:v>grid_asitui1y.xlsx</x:v>
      </x:c>
    </x:row>
    <x:row r="4984">
      <x:c r="A4984" s="15" t="n">
        <x:v>42614</x:v>
      </x:c>
      <x:c r="B4984" s="13" t="str">
        <x:v>ITAUSA SA</x:v>
      </x:c>
      <x:c r="C4984" s="16" t="n">
        <x:v>7292.4122645041</x:v>
      </x:c>
      <x:c r="D4984" s="13" t="str">
        <x:v>Financials Non-Banks</x:v>
      </x:c>
      <x:c r="E4984" s="13" t="str">
        <x:v>Financials Non-Banks</x:v>
      </x:c>
      <x:c r="F4984" s="13" t="str">
        <x:v>Financials</x:v>
      </x:c>
      <x:c r="G4984" s="13" t="str">
        <x:v>grid_asitui1y.xlsx</x:v>
      </x:c>
    </x:row>
    <x:row r="4985">
      <x:c r="A4985" s="15" t="n">
        <x:v>42614</x:v>
      </x:c>
      <x:c r="B4985" s="13" t="str">
        <x:v>AMBEV SA</x:v>
      </x:c>
      <x:c r="C4985" s="16" t="n">
        <x:v>15025.9515953096</x:v>
      </x:c>
      <x:c r="D4985" s="13" t="str">
        <x:v>Food &amp; Beverages</x:v>
      </x:c>
      <x:c r="E4985" s="13" t="str">
        <x:v>Agri, Food &amp; Beverages</x:v>
      </x:c>
      <x:c r="F4985" s="13" t="str">
        <x:v>Defensives</x:v>
      </x:c>
      <x:c r="G4985" s="13" t="str">
        <x:v>grid_asitui1y.xlsx</x:v>
      </x:c>
    </x:row>
    <x:row r="4986">
      <x:c r="A4986" s="15" t="n">
        <x:v>42614</x:v>
      </x:c>
      <x:c r="B4986" s="13" t="str">
        <x:v>BRF SA</x:v>
      </x:c>
      <x:c r="C4986" s="16" t="n">
        <x:v>2290.0384690849</x:v>
      </x:c>
      <x:c r="D4986" s="13" t="str">
        <x:v>Food &amp; Beverages</x:v>
      </x:c>
      <x:c r="E4986" s="13" t="str">
        <x:v>Agri, Food &amp; Beverages</x:v>
      </x:c>
      <x:c r="F4986" s="13" t="str">
        <x:v>Defensives</x:v>
      </x:c>
      <x:c r="G4986" s="13" t="str">
        <x:v>grid_asitui1y.xlsx</x:v>
      </x:c>
    </x:row>
    <x:row r="4987">
      <x:c r="A4987" s="15" t="n">
        <x:v>42614</x:v>
      </x:c>
      <x:c r="B4987" s="13" t="str">
        <x:v>JBS SA</x:v>
      </x:c>
      <x:c r="C4987" s="16" t="n">
        <x:v>3349.4536360329</x:v>
      </x:c>
      <x:c r="D4987" s="13" t="str">
        <x:v>Food &amp; Beverages</x:v>
      </x:c>
      <x:c r="E4987" s="13" t="str">
        <x:v>Agri, Food &amp; Beverages</x:v>
      </x:c>
      <x:c r="F4987" s="13" t="str">
        <x:v>Defensives</x:v>
      </x:c>
      <x:c r="G4987" s="13" t="str">
        <x:v>grid_asitui1y.xlsx</x:v>
      </x:c>
    </x:row>
    <x:row r="4988">
      <x:c r="A4988" s="15" t="n">
        <x:v>42614</x:v>
      </x:c>
      <x:c r="B4988" s="13" t="str">
        <x:v>MBRF GLOBAL FOODS COMPANY SA</x:v>
      </x:c>
      <x:c r="C4988" s="16" t="n">
        <x:v>165.4753688548</x:v>
      </x:c>
      <x:c r="D4988" s="13" t="str">
        <x:v>Food &amp; Beverages</x:v>
      </x:c>
      <x:c r="E4988" s="13" t="str">
        <x:v>Agri, Food &amp; Beverages</x:v>
      </x:c>
      <x:c r="F4988" s="13" t="str">
        <x:v>Defensives</x:v>
      </x:c>
      <x:c r="G4988" s="13" t="str">
        <x:v>grid_asitui1y.xlsx</x:v>
      </x:c>
    </x:row>
    <x:row r="4989">
      <x:c r="A4989" s="15" t="n">
        <x:v>42614</x:v>
      </x:c>
      <x:c r="B4989" s="13" t="str">
        <x:v>HYPERA SA</x:v>
      </x:c>
      <x:c r="C4989" s="16" t="n">
        <x:v>902.3586407452</x:v>
      </x:c>
      <x:c r="D4989" s="13" t="str">
        <x:v>Health Care</x:v>
      </x:c>
      <x:c r="E4989" s="13" t="str">
        <x:v>Health Care</x:v>
      </x:c>
      <x:c r="F4989" s="13" t="str">
        <x:v>Defensives</x:v>
      </x:c>
      <x:c r="G4989" s="13" t="str">
        <x:v>grid_asitui1y.xlsx</x:v>
      </x:c>
    </x:row>
    <x:row r="4990">
      <x:c r="A4990" s="15" t="n">
        <x:v>42614</x:v>
      </x:c>
      <x:c r="B4990" s="13" t="str">
        <x:v>QUALICORP CONS E CORR SEG SA</x:v>
      </x:c>
      <x:c r="C4990" s="16" t="n">
        <x:v>413.7396330959</x:v>
      </x:c>
      <x:c r="D4990" s="13" t="str">
        <x:v>Health Care</x:v>
      </x:c>
      <x:c r="E4990" s="13" t="str">
        <x:v>Health Care</x:v>
      </x:c>
      <x:c r="F4990" s="13" t="str">
        <x:v>Defensives</x:v>
      </x:c>
      <x:c r="G4990" s="13" t="str">
        <x:v>grid_asitui1y.xlsx</x:v>
      </x:c>
    </x:row>
    <x:row r="4991">
      <x:c r="A4991" s="15" t="n">
        <x:v>42614</x:v>
      </x:c>
      <x:c r="B4991" s="13" t="str">
        <x:v>CYRELA BRAZIL REALTY SA EMP</x:v>
      </x:c>
      <x:c r="C4991" s="16" t="n">
        <x:v>355.2479943014</x:v>
      </x:c>
      <x:c r="D4991" s="13" t="str">
        <x:v>Homebuilders</x:v>
      </x:c>
      <x:c r="E4991" s="13" t="str">
        <x:v>Real Estate</x:v>
      </x:c>
      <x:c r="F4991" s="13" t="str">
        <x:v>Early Cyclicals</x:v>
      </x:c>
      <x:c r="G4991" s="13" t="str">
        <x:v>grid_asitui1y.xlsx</x:v>
      </x:c>
    </x:row>
    <x:row r="4992">
      <x:c r="A4992" s="15" t="n">
        <x:v>42614</x:v>
      </x:c>
      <x:c r="B4992" s="13" t="str">
        <x:v>MRV ENGENHARIA</x:v>
      </x:c>
      <x:c r="C4992" s="16" t="n">
        <x:v>621.6185091507</x:v>
      </x:c>
      <x:c r="D4992" s="13" t="str">
        <x:v>Homebuilders</x:v>
      </x:c>
      <x:c r="E4992" s="13" t="str">
        <x:v>Real Estate</x:v>
      </x:c>
      <x:c r="F4992" s="13" t="str">
        <x:v>Early Cyclicals</x:v>
      </x:c>
      <x:c r="G4992" s="13" t="str">
        <x:v>grid_asitui1y.xlsx</x:v>
      </x:c>
    </x:row>
    <x:row r="4993">
      <x:c r="A4993" s="15" t="n">
        <x:v>42614</x:v>
      </x:c>
      <x:c r="B4993" s="13" t="str">
        <x:v>BR MALLS PARTICIPACOES SA</x:v>
      </x:c>
      <x:c r="C4993" s="16" t="n">
        <x:v>367.6263760658</x:v>
      </x:c>
      <x:c r="D4993" s="13" t="str">
        <x:v>Income Properties</x:v>
      </x:c>
      <x:c r="E4993" s="13" t="str">
        <x:v>Real Estate</x:v>
      </x:c>
      <x:c r="F4993" s="13" t="str">
        <x:v>Early Cyclicals</x:v>
      </x:c>
      <x:c r="G4993" s="13" t="str">
        <x:v>grid_asitui1y.xlsx</x:v>
      </x:c>
    </x:row>
    <x:row r="4994">
      <x:c r="A4994" s="15" t="n">
        <x:v>42614</x:v>
      </x:c>
      <x:c r="B4994" s="13" t="str">
        <x:v>MULTIPLAN EMPREENDIMENTOS</x:v>
      </x:c>
      <x:c r="C4994" s="16" t="n">
        <x:v>420.286125589</x:v>
      </x:c>
      <x:c r="D4994" s="13" t="str">
        <x:v>Income Properties</x:v>
      </x:c>
      <x:c r="E4994" s="13" t="str">
        <x:v>Real Estate</x:v>
      </x:c>
      <x:c r="F4994" s="13" t="str">
        <x:v>Early Cyclicals</x:v>
      </x:c>
      <x:c r="G4994" s="13" t="str">
        <x:v>grid_asitui1y.xlsx</x:v>
      </x:c>
    </x:row>
    <x:row r="4995">
      <x:c r="A4995" s="15" t="n">
        <x:v>42614</x:v>
      </x:c>
      <x:c r="B4995" s="13" t="str">
        <x:v>BRADESPAR SA -PREF</x:v>
      </x:c>
      <x:c r="C4995" s="16" t="n">
        <x:v>399.2268306411</x:v>
      </x:c>
      <x:c r="D4995" s="13" t="str">
        <x:v>Metals &amp; Mining</x:v>
      </x:c>
      <x:c r="E4995" s="13" t="str">
        <x:v>Metals &amp; Mining</x:v>
      </x:c>
      <x:c r="F4995" s="13" t="str">
        <x:v>Deep Cyclicals</x:v>
      </x:c>
      <x:c r="G4995" s="13" t="str">
        <x:v>grid_asitui1y.xlsx</x:v>
      </x:c>
    </x:row>
    <x:row r="4996">
      <x:c r="A4996" s="15" t="n">
        <x:v>42614</x:v>
      </x:c>
      <x:c r="B4996" s="13" t="str">
        <x:v>CIA SIDERURGICA NACIONAL SA</x:v>
      </x:c>
      <x:c r="C4996" s="16" t="n">
        <x:v>-789.2009749041</x:v>
      </x:c>
      <x:c r="D4996" s="13" t="str">
        <x:v>Metals &amp; Mining</x:v>
      </x:c>
      <x:c r="E4996" s="13" t="str">
        <x:v>Metals &amp; Mining</x:v>
      </x:c>
      <x:c r="F4996" s="13" t="str">
        <x:v>Deep Cyclicals</x:v>
      </x:c>
      <x:c r="G4996" s="13" t="str">
        <x:v>grid_asitui1y.xlsx</x:v>
      </x:c>
    </x:row>
    <x:row r="4997">
      <x:c r="A4997" s="15" t="n">
        <x:v>42614</x:v>
      </x:c>
      <x:c r="B4997" s="13" t="str">
        <x:v>GERDAU SA-PREF</x:v>
      </x:c>
      <x:c r="C4997" s="16" t="n">
        <x:v>593.8552121863</x:v>
      </x:c>
      <x:c r="D4997" s="13" t="str">
        <x:v>Metals &amp; Mining</x:v>
      </x:c>
      <x:c r="E4997" s="13" t="str">
        <x:v>Metals &amp; Mining</x:v>
      </x:c>
      <x:c r="F4997" s="13" t="str">
        <x:v>Deep Cyclicals</x:v>
      </x:c>
      <x:c r="G4997" s="13" t="str">
        <x:v>grid_asitui1y.xlsx</x:v>
      </x:c>
    </x:row>
    <x:row r="4998">
      <x:c r="A4998" s="15" t="n">
        <x:v>42614</x:v>
      </x:c>
      <x:c r="B4998" s="13" t="str">
        <x:v>METALURGICA GERDAU SA-PREF</x:v>
      </x:c>
      <x:c r="C4998" s="16" t="n">
        <x:v>117.6536986301</x:v>
      </x:c>
      <x:c r="D4998" s="13" t="str">
        <x:v>Metals &amp; Mining</x:v>
      </x:c>
      <x:c r="E4998" s="13" t="str">
        <x:v>Metals &amp; Mining</x:v>
      </x:c>
      <x:c r="F4998" s="13" t="str">
        <x:v>Deep Cyclicals</x:v>
      </x:c>
      <x:c r="G4998" s="13" t="str">
        <x:v>grid_asitui1y.xlsx</x:v>
      </x:c>
    </x:row>
    <x:row r="4999">
      <x:c r="A4999" s="15" t="n">
        <x:v>42614</x:v>
      </x:c>
      <x:c r="B4999" s="13" t="str">
        <x:v>USINAS SIDER MINAS GER-PF A</x:v>
      </x:c>
      <x:c r="C4999" s="16" t="n">
        <x:v>-519.0043762849</x:v>
      </x:c>
      <x:c r="D4999" s="13" t="str">
        <x:v>Metals &amp; Mining</x:v>
      </x:c>
      <x:c r="E4999" s="13" t="str">
        <x:v>Metals &amp; Mining</x:v>
      </x:c>
      <x:c r="F4999" s="13" t="str">
        <x:v>Deep Cyclicals</x:v>
      </x:c>
      <x:c r="G4999" s="13" t="str">
        <x:v>grid_asitui1y.xlsx</x:v>
      </x:c>
    </x:row>
    <x:row r="5000">
      <x:c r="A5000" s="15" t="n">
        <x:v>42614</x:v>
      </x:c>
      <x:c r="B5000" s="13" t="str">
        <x:v>VALE SA</x:v>
      </x:c>
      <x:c r="C5000" s="16" t="n">
        <x:v>7261.817893874</x:v>
      </x:c>
      <x:c r="D5000" s="13" t="str">
        <x:v>Metals &amp; Mining</x:v>
      </x:c>
      <x:c r="E5000" s="13" t="str">
        <x:v>Metals &amp; Mining</x:v>
      </x:c>
      <x:c r="F5000" s="13" t="str">
        <x:v>Deep Cyclicals</x:v>
      </x:c>
      <x:c r="G5000" s="13" t="str">
        <x:v>grid_asitui1y.xlsx</x:v>
      </x:c>
    </x:row>
    <x:row r="5001">
      <x:c r="A5001" s="15" t="n">
        <x:v>42614</x:v>
      </x:c>
      <x:c r="B5001" s="13" t="str">
        <x:v>BRASKEM SA-PREF A</x:v>
      </x:c>
      <x:c r="C5001" s="16" t="n">
        <x:v>2857.5681073096</x:v>
      </x:c>
      <x:c r="D5001" s="13" t="str">
        <x:v>Oil, Gas &amp; Petrochemicals</x:v>
      </x:c>
      <x:c r="E5001" s="13" t="str">
        <x:v>Oil, Gas &amp; Petrochemicals</x:v>
      </x:c>
      <x:c r="F5001" s="13" t="str">
        <x:v>Deep Cyclicals</x:v>
      </x:c>
      <x:c r="G5001" s="13" t="str">
        <x:v>grid_asitui1y.xlsx</x:v>
      </x:c>
    </x:row>
    <x:row r="5002">
      <x:c r="A5002" s="15" t="n">
        <x:v>42614</x:v>
      </x:c>
      <x:c r="B5002" s="13" t="str">
        <x:v>COSAN SA</x:v>
      </x:c>
      <x:c r="C5002" s="16" t="n">
        <x:v>1066.6691766356</x:v>
      </x:c>
      <x:c r="D5002" s="13" t="str">
        <x:v>Oil, Gas &amp; Petrochemicals</x:v>
      </x:c>
      <x:c r="E5002" s="13" t="str">
        <x:v>Oil, Gas &amp; Petrochemicals</x:v>
      </x:c>
      <x:c r="F5002" s="13" t="str">
        <x:v>Deep Cyclicals</x:v>
      </x:c>
      <x:c r="G5002" s="13" t="str">
        <x:v>grid_asitui1y.xlsx</x:v>
      </x:c>
    </x:row>
    <x:row r="5003">
      <x:c r="A5003" s="15" t="n">
        <x:v>42614</x:v>
      </x:c>
      <x:c r="B5003" s="13" t="str">
        <x:v>PETROBRAS - PETROLEO BRAS</x:v>
      </x:c>
      <x:c r="C5003" s="16" t="n">
        <x:v>12995.8300068822</x:v>
      </x:c>
      <x:c r="D5003" s="13" t="str">
        <x:v>Oil, Gas &amp; Petrochemicals</x:v>
      </x:c>
      <x:c r="E5003" s="13" t="str">
        <x:v>Oil, Gas &amp; Petrochemicals</x:v>
      </x:c>
      <x:c r="F5003" s="13" t="str">
        <x:v>Deep Cyclicals</x:v>
      </x:c>
      <x:c r="G5003" s="13" t="str">
        <x:v>grid_asitui1y.xlsx</x:v>
      </x:c>
    </x:row>
    <x:row r="5004">
      <x:c r="A5004" s="15" t="n">
        <x:v>42614</x:v>
      </x:c>
      <x:c r="B5004" s="13" t="str">
        <x:v>ULTRAPAR PARTICIPACOES SA</x:v>
      </x:c>
      <x:c r="C5004" s="16" t="n">
        <x:v>1750.6546768657</x:v>
      </x:c>
      <x:c r="D5004" s="13" t="str">
        <x:v>Oil, Gas &amp; Petrochemicals</x:v>
      </x:c>
      <x:c r="E5004" s="13" t="str">
        <x:v>Oil, Gas &amp; Petrochemicals</x:v>
      </x:c>
      <x:c r="F5004" s="13" t="str">
        <x:v>Deep Cyclicals</x:v>
      </x:c>
      <x:c r="G5004" s="13" t="str">
        <x:v>grid_asitui1y.xlsx</x:v>
      </x:c>
    </x:row>
    <x:row r="5005">
      <x:c r="A5005" s="15" t="n">
        <x:v>42614</x:v>
      </x:c>
      <x:c r="B5005" s="13" t="str">
        <x:v>FIBRIA CELULOSE S/A</x:v>
      </x:c>
      <x:c r="C5005" s="16" t="n">
        <x:v>1477.0609737644</x:v>
      </x:c>
      <x:c r="D5005" s="13" t="str">
        <x:v>Pulp &amp; Paper</x:v>
      </x:c>
      <x:c r="E5005" s="13" t="str">
        <x:v>Pulp &amp; Paper</x:v>
      </x:c>
      <x:c r="F5005" s="13" t="str">
        <x:v>Deep Cyclicals</x:v>
      </x:c>
      <x:c r="G5005" s="13" t="str">
        <x:v>grid_asitui1y.xlsx</x:v>
      </x:c>
    </x:row>
    <x:row r="5006">
      <x:c r="A5006" s="15" t="n">
        <x:v>42614</x:v>
      </x:c>
      <x:c r="B5006" s="13" t="str">
        <x:v>KLABIN SA - UNIT</x:v>
      </x:c>
      <x:c r="C5006" s="16" t="n">
        <x:v>1538.3840462904</x:v>
      </x:c>
      <x:c r="D5006" s="13" t="str">
        <x:v>Pulp &amp; Paper</x:v>
      </x:c>
      <x:c r="E5006" s="13" t="str">
        <x:v>Pulp &amp; Paper</x:v>
      </x:c>
      <x:c r="F5006" s="13" t="str">
        <x:v>Deep Cyclicals</x:v>
      </x:c>
      <x:c r="G5006" s="13" t="str">
        <x:v>grid_asitui1y.xlsx</x:v>
      </x:c>
    </x:row>
    <x:row r="5007">
      <x:c r="A5007" s="15" t="n">
        <x:v>42614</x:v>
      </x:c>
      <x:c r="B5007" s="13" t="str">
        <x:v>SUZANO PAPEL E CELULO-PREF A</x:v>
      </x:c>
      <x:c r="C5007" s="16" t="n">
        <x:v>1766.8356864</x:v>
      </x:c>
      <x:c r="D5007" s="13" t="str">
        <x:v>Pulp &amp; Paper</x:v>
      </x:c>
      <x:c r="E5007" s="13" t="str">
        <x:v>Pulp &amp; Paper</x:v>
      </x:c>
      <x:c r="F5007" s="13" t="str">
        <x:v>Deep Cyclicals</x:v>
      </x:c>
      <x:c r="G5007" s="13" t="str">
        <x:v>grid_asitui1y.xlsx</x:v>
      </x:c>
    </x:row>
    <x:row r="5008">
      <x:c r="A5008" s="15" t="n">
        <x:v>42614</x:v>
      </x:c>
      <x:c r="B5008" s="13" t="str">
        <x:v>CIA BRASILEIRA DE DIS-PREF</x:v>
      </x:c>
      <x:c r="C5008" s="16" t="n">
        <x:v>414.0159035616</x:v>
      </x:c>
      <x:c r="D5008" s="13" t="str">
        <x:v>Retail</x:v>
      </x:c>
      <x:c r="E5008" s="13" t="str">
        <x:v>Retail</x:v>
      </x:c>
      <x:c r="F5008" s="13" t="str">
        <x:v>Early Cyclicals</x:v>
      </x:c>
      <x:c r="G5008" s="13" t="str">
        <x:v>grid_asitui1y.xlsx</x:v>
      </x:c>
    </x:row>
    <x:row r="5009">
      <x:c r="A5009" s="15" t="n">
        <x:v>42614</x:v>
      </x:c>
      <x:c r="B5009" s="13" t="str">
        <x:v>LOJAS AMERICANAS SA-PREF</x:v>
      </x:c>
      <x:c r="C5009" s="16" t="n">
        <x:v>580.9849554411</x:v>
      </x:c>
      <x:c r="D5009" s="13" t="str">
        <x:v>Retail</x:v>
      </x:c>
      <x:c r="E5009" s="13" t="str">
        <x:v>Retail</x:v>
      </x:c>
      <x:c r="F5009" s="13" t="str">
        <x:v>Early Cyclicals</x:v>
      </x:c>
      <x:c r="G5009" s="13" t="str">
        <x:v>grid_asitui1y.xlsx</x:v>
      </x:c>
    </x:row>
    <x:row r="5010">
      <x:c r="A5010" s="15" t="n">
        <x:v>42614</x:v>
      </x:c>
      <x:c r="B5010" s="13" t="str">
        <x:v>LOJAS RENNER S.A.</x:v>
      </x:c>
      <x:c r="C5010" s="16" t="n">
        <x:v>771.7488929315</x:v>
      </x:c>
      <x:c r="D5010" s="13" t="str">
        <x:v>Retail</x:v>
      </x:c>
      <x:c r="E5010" s="13" t="str">
        <x:v>Retail</x:v>
      </x:c>
      <x:c r="F5010" s="13" t="str">
        <x:v>Early Cyclicals</x:v>
      </x:c>
      <x:c r="G5010" s="13" t="str">
        <x:v>grid_asitui1y.xlsx</x:v>
      </x:c>
    </x:row>
    <x:row r="5011">
      <x:c r="A5011" s="15" t="n">
        <x:v>42614</x:v>
      </x:c>
      <x:c r="B5011" s="13" t="str">
        <x:v>NATURA COSMETICOS SA</x:v>
      </x:c>
      <x:c r="C5011" s="16" t="n">
        <x:v>614.8877138411</x:v>
      </x:c>
      <x:c r="D5011" s="13" t="str">
        <x:v>Retail</x:v>
      </x:c>
      <x:c r="E5011" s="13" t="str">
        <x:v>Retail</x:v>
      </x:c>
      <x:c r="F5011" s="13" t="str">
        <x:v>Early Cyclicals</x:v>
      </x:c>
      <x:c r="G5011" s="13" t="str">
        <x:v>grid_asitui1y.xlsx</x:v>
      </x:c>
    </x:row>
    <x:row r="5012">
      <x:c r="A5012" s="15" t="n">
        <x:v>42614</x:v>
      </x:c>
      <x:c r="B5012" s="13" t="str">
        <x:v>RAIA DROGASIL SA</x:v>
      </x:c>
      <x:c r="C5012" s="16" t="n">
        <x:v>590.3905895452</x:v>
      </x:c>
      <x:c r="D5012" s="13" t="str">
        <x:v>Retail</x:v>
      </x:c>
      <x:c r="E5012" s="13" t="str">
        <x:v>Retail</x:v>
      </x:c>
      <x:c r="F5012" s="13" t="str">
        <x:v>Early Cyclicals</x:v>
      </x:c>
      <x:c r="G5012" s="13" t="str">
        <x:v>grid_asitui1y.xlsx</x:v>
      </x:c>
    </x:row>
    <x:row r="5013">
      <x:c r="A5013" s="15" t="n">
        <x:v>42614</x:v>
      </x:c>
      <x:c r="B5013" s="13" t="str">
        <x:v>CIA SANEAMENTO BASICO DE SP</x:v>
      </x:c>
      <x:c r="C5013" s="16" t="n">
        <x:v>2370.0980862247</x:v>
      </x:c>
      <x:c r="D5013" s="13" t="str">
        <x:v>Sanitation</x:v>
      </x:c>
      <x:c r="E5013" s="13" t="str">
        <x:v>Utilities</x:v>
      </x:c>
      <x:c r="F5013" s="13" t="str">
        <x:v>Defensives</x:v>
      </x:c>
      <x:c r="G5013" s="13" t="str">
        <x:v>grid_asitui1y.xlsx</x:v>
      </x:c>
    </x:row>
    <x:row r="5014">
      <x:c r="A5014" s="15" t="n">
        <x:v>42614</x:v>
      </x:c>
      <x:c r="B5014" s="13" t="str">
        <x:v>TELEFONICA BRASIL S.A.-PREF</x:v>
      </x:c>
      <x:c r="C5014" s="16" t="n">
        <x:v>4995.1363478795</x:v>
      </x:c>
      <x:c r="D5014" s="13" t="str">
        <x:v>TMT</x:v>
      </x:c>
      <x:c r="E5014" s="13" t="str">
        <x:v>TMT</x:v>
      </x:c>
      <x:c r="F5014" s="13" t="str">
        <x:v>Early Cyclicals</x:v>
      </x:c>
      <x:c r="G5014" s="13" t="str">
        <x:v>grid_asitui1y.xlsx</x:v>
      </x:c>
    </x:row>
    <x:row r="5015">
      <x:c r="A5015" s="15" t="n">
        <x:v>42614</x:v>
      </x:c>
      <x:c r="B5015" s="13" t="str">
        <x:v>TIM SA</x:v>
      </x:c>
      <x:c r="C5015" s="16" t="n">
        <x:v>589.3308224877</x:v>
      </x:c>
      <x:c r="D5015" s="13" t="str">
        <x:v>TMT</x:v>
      </x:c>
      <x:c r="E5015" s="13" t="str">
        <x:v>TMT</x:v>
      </x:c>
      <x:c r="F5015" s="13" t="str">
        <x:v>Early Cyclicals</x:v>
      </x:c>
      <x:c r="G5015" s="13" t="str">
        <x:v>grid_asitui1y.xlsx</x:v>
      </x:c>
    </x:row>
    <x:row r="5016">
      <x:c r="A5016" s="15" t="n">
        <x:v>42614</x:v>
      </x:c>
      <x:c r="B5016" s="13" t="str">
        <x:v>ECORODOVIAS INFRA E LOG SA</x:v>
      </x:c>
      <x:c r="C5016" s="16" t="n">
        <x:v>356.8232876712</x:v>
      </x:c>
      <x:c r="D5016" s="13" t="str">
        <x:v>Transportation</x:v>
      </x:c>
      <x:c r="E5016" s="13" t="str">
        <x:v>Transportation</x:v>
      </x:c>
      <x:c r="F5016" s="13" t="str">
        <x:v>Deep Cyclicals</x:v>
      </x:c>
      <x:c r="G5016" s="13" t="str">
        <x:v>grid_asitui1y.xlsx</x:v>
      </x:c>
    </x:row>
    <x:row r="5017">
      <x:c r="A5017" s="15" t="n">
        <x:v>42614</x:v>
      </x:c>
      <x:c r="B5017" s="13" t="str">
        <x:v>LOCALIZA RENT A CAR</x:v>
      </x:c>
      <x:c r="C5017" s="16" t="n">
        <x:v>413.7774181699</x:v>
      </x:c>
      <x:c r="D5017" s="13" t="str">
        <x:v>Transportation</x:v>
      </x:c>
      <x:c r="E5017" s="13" t="str">
        <x:v>Transportation</x:v>
      </x:c>
      <x:c r="F5017" s="13" t="str">
        <x:v>Deep Cyclicals</x:v>
      </x:c>
      <x:c r="G5017" s="13" t="str">
        <x:v>grid_asitui1y.xlsx</x:v>
      </x:c>
    </x:row>
    <x:row r="5018">
      <x:c r="A5018" s="15" t="n">
        <x:v>42614</x:v>
      </x:c>
      <x:c r="B5018" s="13" t="str">
        <x:v>MOTIVA INFRAESTRUTURA DE MOB</x:v>
      </x:c>
      <x:c r="C5018" s="16" t="n">
        <x:v>1412.4708846466</x:v>
      </x:c>
      <x:c r="D5018" s="13" t="str">
        <x:v>Transportation</x:v>
      </x:c>
      <x:c r="E5018" s="13" t="str">
        <x:v>Transportation</x:v>
      </x:c>
      <x:c r="F5018" s="13" t="str">
        <x:v>Deep Cyclicals</x:v>
      </x:c>
      <x:c r="G5018" s="13" t="str">
        <x:v>grid_asitui1y.xlsx</x:v>
      </x:c>
    </x:row>
    <x:row r="5019">
      <x:c r="A5019" s="15" t="n">
        <x:v>42614</x:v>
      </x:c>
      <x:c r="B5019" s="13" t="str">
        <x:v>CIA ENERGETICA MINAS GER-PRF</x:v>
      </x:c>
      <x:c r="C5019" s="16" t="n">
        <x:v>1158.4911756274</x:v>
      </x:c>
      <x:c r="D5019" s="13" t="str">
        <x:v>Utilities &amp; Energy</x:v>
      </x:c>
      <x:c r="E5019" s="13" t="str">
        <x:v>Utilities</x:v>
      </x:c>
      <x:c r="F5019" s="13" t="str">
        <x:v>Defensives</x:v>
      </x:c>
      <x:c r="G5019" s="13" t="str">
        <x:v>grid_asitui1y.xlsx</x:v>
      </x:c>
    </x:row>
    <x:row r="5020">
      <x:c r="A5020" s="15" t="n">
        <x:v>42614</x:v>
      </x:c>
      <x:c r="B5020" s="13" t="str">
        <x:v>COMPANHIA PARANAENSE -PREF B</x:v>
      </x:c>
      <x:c r="C5020" s="16" t="n">
        <x:v>1222.0603128986</x:v>
      </x:c>
      <x:c r="D5020" s="13" t="str">
        <x:v>Utilities &amp; Energy</x:v>
      </x:c>
      <x:c r="E5020" s="13" t="str">
        <x:v>Utilities</x:v>
      </x:c>
      <x:c r="F5020" s="13" t="str">
        <x:v>Defensives</x:v>
      </x:c>
      <x:c r="G5020" s="13" t="str">
        <x:v>grid_asitui1y.xlsx</x:v>
      </x:c>
    </x:row>
    <x:row r="5021">
      <x:c r="A5021" s="15" t="n">
        <x:v>42614</x:v>
      </x:c>
      <x:c r="B5021" s="13" t="str">
        <x:v>CPFL ENERGIA SA</x:v>
      </x:c>
      <x:c r="C5021" s="16" t="n">
        <x:v>1212.8311850082</x:v>
      </x:c>
      <x:c r="D5021" s="13" t="str">
        <x:v>Utilities &amp; Energy</x:v>
      </x:c>
      <x:c r="E5021" s="13" t="str">
        <x:v>Utilities</x:v>
      </x:c>
      <x:c r="F5021" s="13" t="str">
        <x:v>Defensives</x:v>
      </x:c>
      <x:c r="G5021" s="13" t="str">
        <x:v>grid_asitui1y.xlsx</x:v>
      </x:c>
    </x:row>
    <x:row r="5022">
      <x:c r="A5022" s="15" t="n">
        <x:v>42614</x:v>
      </x:c>
      <x:c r="B5022" s="13" t="str">
        <x:v>EDP - ENERGIAS DO BRASIL SA</x:v>
      </x:c>
      <x:c r="C5022" s="16" t="n">
        <x:v>609.6123474411</x:v>
      </x:c>
      <x:c r="D5022" s="13" t="str">
        <x:v>Utilities &amp; Energy</x:v>
      </x:c>
      <x:c r="E5022" s="13" t="str">
        <x:v>Utilities</x:v>
      </x:c>
      <x:c r="F5022" s="13" t="str">
        <x:v>Defensives</x:v>
      </x:c>
      <x:c r="G5022" s="13" t="str">
        <x:v>grid_asitui1y.xlsx</x:v>
      </x:c>
    </x:row>
    <x:row r="5023">
      <x:c r="A5023" s="15" t="n">
        <x:v>42614</x:v>
      </x:c>
      <x:c r="B5023" s="13" t="str">
        <x:v>ENGIE BRASIL ENERGIA SA</x:v>
      </x:c>
      <x:c r="C5023" s="16" t="n">
        <x:v>2007.0437649534</x:v>
      </x:c>
      <x:c r="D5023" s="13" t="str">
        <x:v>Utilities &amp; Energy</x:v>
      </x:c>
      <x:c r="E5023" s="13" t="str">
        <x:v>Utilities</x:v>
      </x:c>
      <x:c r="F5023" s="13" t="str">
        <x:v>Defensives</x:v>
      </x:c>
      <x:c r="G5023" s="13" t="str">
        <x:v>grid_asitui1y.xlsx</x:v>
      </x:c>
    </x:row>
    <x:row r="5024">
      <x:c r="A5024" s="15" t="n">
        <x:v>42614</x:v>
      </x:c>
      <x:c r="B5024" s="13" t="str">
        <x:v>EQUATORIAL SA - ORD</x:v>
      </x:c>
      <x:c r="C5024" s="16" t="n">
        <x:v>788.5338252274</x:v>
      </x:c>
      <x:c r="D5024" s="13" t="str">
        <x:v>Utilities &amp; Energy</x:v>
      </x:c>
      <x:c r="E5024" s="13" t="str">
        <x:v>Utilities</x:v>
      </x:c>
      <x:c r="F5024" s="13" t="str">
        <x:v>Defensives</x:v>
      </x:c>
      <x:c r="G5024" s="13" t="str">
        <x:v>grid_asitui1y.xlsx</x:v>
      </x:c>
    </x:row>
    <x:row r="5025">
      <x:c r="A5025" s="15" t="n">
        <x:v>42644</x:v>
      </x:c>
      <x:c r="B5025" s="13" t="str">
        <x:v>BANCO BRADESCO S.A.</x:v>
      </x:c>
      <x:c r="C5025" s="16" t="n">
        <x:v>17395.5552241973</x:v>
      </x:c>
      <x:c r="D5025" s="13" t="str">
        <x:v>Banks</x:v>
      </x:c>
      <x:c r="E5025" s="13" t="str">
        <x:v>Banks</x:v>
      </x:c>
      <x:c r="F5025" s="13" t="str">
        <x:v>Financials</x:v>
      </x:c>
      <x:c r="G5025" s="13" t="str">
        <x:v>grid_asitui1y.xlsx</x:v>
      </x:c>
    </x:row>
    <x:row r="5026">
      <x:c r="A5026" s="15" t="n">
        <x:v>42644</x:v>
      </x:c>
      <x:c r="B5026" s="13" t="str">
        <x:v>BANCO BRADESCO SA-PREF</x:v>
      </x:c>
      <x:c r="C5026" s="16" t="n">
        <x:v>17395.5552241973</x:v>
      </x:c>
      <x:c r="D5026" s="13" t="str">
        <x:v>Banks</x:v>
      </x:c>
      <x:c r="E5026" s="13" t="str">
        <x:v>Banks</x:v>
      </x:c>
      <x:c r="F5026" s="13" t="str">
        <x:v>Financials</x:v>
      </x:c>
      <x:c r="G5026" s="13" t="str">
        <x:v>grid_asitui1y.xlsx</x:v>
      </x:c>
    </x:row>
    <x:row r="5027">
      <x:c r="A5027" s="15" t="n">
        <x:v>42644</x:v>
      </x:c>
      <x:c r="B5027" s="13" t="str">
        <x:v>BANCO DO BRASIL S.A.</x:v>
      </x:c>
      <x:c r="C5027" s="16" t="n">
        <x:v>9813.8040305973</x:v>
      </x:c>
      <x:c r="D5027" s="13" t="str">
        <x:v>Banks</x:v>
      </x:c>
      <x:c r="E5027" s="13" t="str">
        <x:v>Banks</x:v>
      </x:c>
      <x:c r="F5027" s="13" t="str">
        <x:v>Financials</x:v>
      </x:c>
      <x:c r="G5027" s="13" t="str">
        <x:v>grid_asitui1y.xlsx</x:v>
      </x:c>
    </x:row>
    <x:row r="5028">
      <x:c r="A5028" s="15" t="n">
        <x:v>42644</x:v>
      </x:c>
      <x:c r="B5028" s="13" t="str">
        <x:v>BANCO SANTANDER  BRASIL-UNIT</x:v>
      </x:c>
      <x:c r="C5028" s="16" t="n">
        <x:v>6317.4605192767</x:v>
      </x:c>
      <x:c r="D5028" s="13" t="str">
        <x:v>Banks</x:v>
      </x:c>
      <x:c r="E5028" s="13" t="str">
        <x:v>Banks</x:v>
      </x:c>
      <x:c r="F5028" s="13" t="str">
        <x:v>Financials</x:v>
      </x:c>
      <x:c r="G5028" s="13" t="str">
        <x:v>grid_asitui1y.xlsx</x:v>
      </x:c>
    </x:row>
    <x:row r="5029">
      <x:c r="A5029" s="15" t="n">
        <x:v>42644</x:v>
      </x:c>
      <x:c r="B5029" s="13" t="str">
        <x:v>ITAU UNIBANCO HOLDING S-PREF</x:v>
      </x:c>
      <x:c r="C5029" s="16" t="n">
        <x:v>21918.2252536986</x:v>
      </x:c>
      <x:c r="D5029" s="13" t="str">
        <x:v>Banks</x:v>
      </x:c>
      <x:c r="E5029" s="13" t="str">
        <x:v>Banks</x:v>
      </x:c>
      <x:c r="F5029" s="13" t="str">
        <x:v>Financials</x:v>
      </x:c>
      <x:c r="G5029" s="13" t="str">
        <x:v>grid_asitui1y.xlsx</x:v>
      </x:c>
    </x:row>
    <x:row r="5030">
      <x:c r="A5030" s="15" t="n">
        <x:v>42644</x:v>
      </x:c>
      <x:c r="B5030" s="13" t="str">
        <x:v>EMBRAER SA</x:v>
      </x:c>
      <x:c r="C5030" s="16" t="n">
        <x:v>1025.9586225096</x:v>
      </x:c>
      <x:c r="D5030" s="13" t="str">
        <x:v>Capital Goods</x:v>
      </x:c>
      <x:c r="E5030" s="13" t="str">
        <x:v>Capital Goods</x:v>
      </x:c>
      <x:c r="F5030" s="13" t="str">
        <x:v>Deep Cyclicals</x:v>
      </x:c>
      <x:c r="G5030" s="13" t="str">
        <x:v>grid_asitui1y.xlsx</x:v>
      </x:c>
    </x:row>
    <x:row r="5031">
      <x:c r="A5031" s="15" t="n">
        <x:v>42644</x:v>
      </x:c>
      <x:c r="B5031" s="13" t="str">
        <x:v>WEG SA</x:v>
      </x:c>
      <x:c r="C5031" s="16" t="n">
        <x:v>1274.9657080986</x:v>
      </x:c>
      <x:c r="D5031" s="13" t="str">
        <x:v>Capital Goods</x:v>
      </x:c>
      <x:c r="E5031" s="13" t="str">
        <x:v>Capital Goods</x:v>
      </x:c>
      <x:c r="F5031" s="13" t="str">
        <x:v>Deep Cyclicals</x:v>
      </x:c>
      <x:c r="G5031" s="13" t="str">
        <x:v>grid_asitui1y.xlsx</x:v>
      </x:c>
    </x:row>
    <x:row r="5032">
      <x:c r="A5032" s="15" t="n">
        <x:v>42644</x:v>
      </x:c>
      <x:c r="B5032" s="13" t="str">
        <x:v>COGNA EDUCACAO</x:v>
      </x:c>
      <x:c r="C5032" s="16" t="n">
        <x:v>2150.4676088986</x:v>
      </x:c>
      <x:c r="D5032" s="13" t="str">
        <x:v>Education</x:v>
      </x:c>
      <x:c r="E5032" s="13" t="str">
        <x:v>Education</x:v>
      </x:c>
      <x:c r="F5032" s="13" t="str">
        <x:v>Early Cyclicals</x:v>
      </x:c>
      <x:c r="G5032" s="13" t="str">
        <x:v>grid_asitui1y.xlsx</x:v>
      </x:c>
    </x:row>
    <x:row r="5033">
      <x:c r="A5033" s="15" t="n">
        <x:v>42644</x:v>
      </x:c>
      <x:c r="B5033" s="13" t="str">
        <x:v>YDUQS PARTICIPACOES SA</x:v>
      </x:c>
      <x:c r="C5033" s="16" t="n">
        <x:v>528.4587702356</x:v>
      </x:c>
      <x:c r="D5033" s="13" t="str">
        <x:v>Education</x:v>
      </x:c>
      <x:c r="E5033" s="13" t="str">
        <x:v>Education</x:v>
      </x:c>
      <x:c r="F5033" s="13" t="str">
        <x:v>Early Cyclicals</x:v>
      </x:c>
      <x:c r="G5033" s="13" t="str">
        <x:v>grid_asitui1y.xlsx</x:v>
      </x:c>
    </x:row>
    <x:row r="5034">
      <x:c r="A5034" s="15" t="n">
        <x:v>42644</x:v>
      </x:c>
      <x:c r="B5034" s="13" t="str">
        <x:v>B3 SA-BRASIL BOLSA BALCAO</x:v>
      </x:c>
      <x:c r="C5034" s="16" t="n">
        <x:v>2084.9397900274</x:v>
      </x:c>
      <x:c r="D5034" s="13" t="str">
        <x:v>Financials Non-Banks</x:v>
      </x:c>
      <x:c r="E5034" s="13" t="str">
        <x:v>Financials Non-Banks</x:v>
      </x:c>
      <x:c r="F5034" s="13" t="str">
        <x:v>Financials</x:v>
      </x:c>
      <x:c r="G5034" s="13" t="str">
        <x:v>grid_asitui1y.xlsx</x:v>
      </x:c>
    </x:row>
    <x:row r="5035">
      <x:c r="A5035" s="15" t="n">
        <x:v>42644</x:v>
      </x:c>
      <x:c r="B5035" s="13" t="str">
        <x:v>BB SEGURIDADE PARTICIPACOES</x:v>
      </x:c>
      <x:c r="C5035" s="16" t="n">
        <x:v>4324.1673054685</x:v>
      </x:c>
      <x:c r="D5035" s="13" t="str">
        <x:v>Financials Non-Banks</x:v>
      </x:c>
      <x:c r="E5035" s="13" t="str">
        <x:v>Financials Non-Banks</x:v>
      </x:c>
      <x:c r="F5035" s="13" t="str">
        <x:v>Financials</x:v>
      </x:c>
      <x:c r="G5035" s="13" t="str">
        <x:v>grid_asitui1y.xlsx</x:v>
      </x:c>
    </x:row>
    <x:row r="5036">
      <x:c r="A5036" s="15" t="n">
        <x:v>42644</x:v>
      </x:c>
      <x:c r="B5036" s="13" t="str">
        <x:v>CETIP SA-MERCADOS ORGANIZADO</x:v>
      </x:c>
      <x:c r="C5036" s="16" t="n">
        <x:v>688.9654794521</x:v>
      </x:c>
      <x:c r="D5036" s="13" t="str">
        <x:v>Financials Non-Banks</x:v>
      </x:c>
      <x:c r="E5036" s="13" t="str">
        <x:v>Financials Non-Banks</x:v>
      </x:c>
      <x:c r="F5036" s="13" t="str">
        <x:v>Financials</x:v>
      </x:c>
      <x:c r="G5036" s="13" t="str">
        <x:v>grid_asitui1y.xlsx</x:v>
      </x:c>
    </x:row>
    <x:row r="5037">
      <x:c r="A5037" s="15" t="n">
        <x:v>42644</x:v>
      </x:c>
      <x:c r="B5037" s="13" t="str">
        <x:v>CIELO SA - INSTITUICAO DE PA</x:v>
      </x:c>
      <x:c r="C5037" s="16" t="n">
        <x:v>4514.4246706849</x:v>
      </x:c>
      <x:c r="D5037" s="13" t="str">
        <x:v>Financials Non-Banks</x:v>
      </x:c>
      <x:c r="E5037" s="13" t="str">
        <x:v>Financials Non-Banks</x:v>
      </x:c>
      <x:c r="F5037" s="13" t="str">
        <x:v>Financials</x:v>
      </x:c>
      <x:c r="G5037" s="13" t="str">
        <x:v>grid_asitui1y.xlsx</x:v>
      </x:c>
    </x:row>
    <x:row r="5038">
      <x:c r="A5038" s="15" t="n">
        <x:v>42644</x:v>
      </x:c>
      <x:c r="B5038" s="13" t="str">
        <x:v>ITAUSA SA</x:v>
      </x:c>
      <x:c r="C5038" s="16" t="n">
        <x:v>7460.3727521315</x:v>
      </x:c>
      <x:c r="D5038" s="13" t="str">
        <x:v>Financials Non-Banks</x:v>
      </x:c>
      <x:c r="E5038" s="13" t="str">
        <x:v>Financials Non-Banks</x:v>
      </x:c>
      <x:c r="F5038" s="13" t="str">
        <x:v>Financials</x:v>
      </x:c>
      <x:c r="G5038" s="13" t="str">
        <x:v>grid_asitui1y.xlsx</x:v>
      </x:c>
    </x:row>
    <x:row r="5039">
      <x:c r="A5039" s="15" t="n">
        <x:v>42644</x:v>
      </x:c>
      <x:c r="B5039" s="13" t="str">
        <x:v>AMBEV SA</x:v>
      </x:c>
      <x:c r="C5039" s="16" t="n">
        <x:v>14306.4966803288</x:v>
      </x:c>
      <x:c r="D5039" s="13" t="str">
        <x:v>Food &amp; Beverages</x:v>
      </x:c>
      <x:c r="E5039" s="13" t="str">
        <x:v>Agri, Food &amp; Beverages</x:v>
      </x:c>
      <x:c r="F5039" s="13" t="str">
        <x:v>Defensives</x:v>
      </x:c>
      <x:c r="G5039" s="13" t="str">
        <x:v>grid_asitui1y.xlsx</x:v>
      </x:c>
    </x:row>
    <x:row r="5040">
      <x:c r="A5040" s="15" t="n">
        <x:v>42644</x:v>
      </x:c>
      <x:c r="B5040" s="13" t="str">
        <x:v>BRF SA</x:v>
      </x:c>
      <x:c r="C5040" s="16" t="n">
        <x:v>1998.8039204822</x:v>
      </x:c>
      <x:c r="D5040" s="13" t="str">
        <x:v>Food &amp; Beverages</x:v>
      </x:c>
      <x:c r="E5040" s="13" t="str">
        <x:v>Agri, Food &amp; Beverages</x:v>
      </x:c>
      <x:c r="F5040" s="13" t="str">
        <x:v>Defensives</x:v>
      </x:c>
      <x:c r="G5040" s="13" t="str">
        <x:v>grid_asitui1y.xlsx</x:v>
      </x:c>
    </x:row>
    <x:row r="5041">
      <x:c r="A5041" s="15" t="n">
        <x:v>42644</x:v>
      </x:c>
      <x:c r="B5041" s="13" t="str">
        <x:v>JBS SA</x:v>
      </x:c>
      <x:c r="C5041" s="16" t="n">
        <x:v>3407.9165388274</x:v>
      </x:c>
      <x:c r="D5041" s="13" t="str">
        <x:v>Food &amp; Beverages</x:v>
      </x:c>
      <x:c r="E5041" s="13" t="str">
        <x:v>Agri, Food &amp; Beverages</x:v>
      </x:c>
      <x:c r="F5041" s="13" t="str">
        <x:v>Defensives</x:v>
      </x:c>
      <x:c r="G5041" s="13" t="str">
        <x:v>grid_asitui1y.xlsx</x:v>
      </x:c>
    </x:row>
    <x:row r="5042">
      <x:c r="A5042" s="15" t="n">
        <x:v>42644</x:v>
      </x:c>
      <x:c r="B5042" s="13" t="str">
        <x:v>MBRF GLOBAL FOODS COMPANY SA</x:v>
      </x:c>
      <x:c r="C5042" s="16" t="n">
        <x:v>159.6101917808</x:v>
      </x:c>
      <x:c r="D5042" s="13" t="str">
        <x:v>Food &amp; Beverages</x:v>
      </x:c>
      <x:c r="E5042" s="13" t="str">
        <x:v>Agri, Food &amp; Beverages</x:v>
      </x:c>
      <x:c r="F5042" s="13" t="str">
        <x:v>Defensives</x:v>
      </x:c>
      <x:c r="G5042" s="13" t="str">
        <x:v>grid_asitui1y.xlsx</x:v>
      </x:c>
    </x:row>
    <x:row r="5043">
      <x:c r="A5043" s="15" t="n">
        <x:v>42644</x:v>
      </x:c>
      <x:c r="B5043" s="13" t="str">
        <x:v>HYPERA SA</x:v>
      </x:c>
      <x:c r="C5043" s="16" t="n">
        <x:v>914.0301827507</x:v>
      </x:c>
      <x:c r="D5043" s="13" t="str">
        <x:v>Health Care</x:v>
      </x:c>
      <x:c r="E5043" s="13" t="str">
        <x:v>Health Care</x:v>
      </x:c>
      <x:c r="F5043" s="13" t="str">
        <x:v>Defensives</x:v>
      </x:c>
      <x:c r="G5043" s="13" t="str">
        <x:v>grid_asitui1y.xlsx</x:v>
      </x:c>
    </x:row>
    <x:row r="5044">
      <x:c r="A5044" s="15" t="n">
        <x:v>42644</x:v>
      </x:c>
      <x:c r="B5044" s="13" t="str">
        <x:v>QUALICORP CONS E CORR SEG SA</x:v>
      </x:c>
      <x:c r="C5044" s="16" t="n">
        <x:v>401.4527957041</x:v>
      </x:c>
      <x:c r="D5044" s="13" t="str">
        <x:v>Health Care</x:v>
      </x:c>
      <x:c r="E5044" s="13" t="str">
        <x:v>Health Care</x:v>
      </x:c>
      <x:c r="F5044" s="13" t="str">
        <x:v>Defensives</x:v>
      </x:c>
      <x:c r="G5044" s="13" t="str">
        <x:v>grid_asitui1y.xlsx</x:v>
      </x:c>
    </x:row>
    <x:row r="5045">
      <x:c r="A5045" s="15" t="n">
        <x:v>42644</x:v>
      </x:c>
      <x:c r="B5045" s="13" t="str">
        <x:v>CYRELA BRAZIL REALTY SA EMP</x:v>
      </x:c>
      <x:c r="C5045" s="16" t="n">
        <x:v>309.1053643836</x:v>
      </x:c>
      <x:c r="D5045" s="13" t="str">
        <x:v>Homebuilders</x:v>
      </x:c>
      <x:c r="E5045" s="13" t="str">
        <x:v>Real Estate</x:v>
      </x:c>
      <x:c r="F5045" s="13" t="str">
        <x:v>Early Cyclicals</x:v>
      </x:c>
      <x:c r="G5045" s="13" t="str">
        <x:v>grid_asitui1y.xlsx</x:v>
      </x:c>
    </x:row>
    <x:row r="5046">
      <x:c r="A5046" s="15" t="n">
        <x:v>42644</x:v>
      </x:c>
      <x:c r="B5046" s="13" t="str">
        <x:v>MRV ENGENHARIA</x:v>
      </x:c>
      <x:c r="C5046" s="16" t="n">
        <x:v>633.5910985644</x:v>
      </x:c>
      <x:c r="D5046" s="13" t="str">
        <x:v>Homebuilders</x:v>
      </x:c>
      <x:c r="E5046" s="13" t="str">
        <x:v>Real Estate</x:v>
      </x:c>
      <x:c r="F5046" s="13" t="str">
        <x:v>Early Cyclicals</x:v>
      </x:c>
      <x:c r="G5046" s="13" t="str">
        <x:v>grid_asitui1y.xlsx</x:v>
      </x:c>
    </x:row>
    <x:row r="5047">
      <x:c r="A5047" s="15" t="n">
        <x:v>42644</x:v>
      </x:c>
      <x:c r="B5047" s="13" t="str">
        <x:v>BR MALLS PARTICIPACOES SA</x:v>
      </x:c>
      <x:c r="C5047" s="16" t="n">
        <x:v>334.646969863</x:v>
      </x:c>
      <x:c r="D5047" s="13" t="str">
        <x:v>Income Properties</x:v>
      </x:c>
      <x:c r="E5047" s="13" t="str">
        <x:v>Real Estate</x:v>
      </x:c>
      <x:c r="F5047" s="13" t="str">
        <x:v>Early Cyclicals</x:v>
      </x:c>
      <x:c r="G5047" s="13" t="str">
        <x:v>grid_asitui1y.xlsx</x:v>
      </x:c>
    </x:row>
    <x:row r="5048">
      <x:c r="A5048" s="15" t="n">
        <x:v>42644</x:v>
      </x:c>
      <x:c r="B5048" s="13" t="str">
        <x:v>MULTIPLAN EMPREENDIMENTOS</x:v>
      </x:c>
      <x:c r="C5048" s="16" t="n">
        <x:v>410.3539726027</x:v>
      </x:c>
      <x:c r="D5048" s="13" t="str">
        <x:v>Income Properties</x:v>
      </x:c>
      <x:c r="E5048" s="13" t="str">
        <x:v>Real Estate</x:v>
      </x:c>
      <x:c r="F5048" s="13" t="str">
        <x:v>Early Cyclicals</x:v>
      </x:c>
      <x:c r="G5048" s="13" t="str">
        <x:v>grid_asitui1y.xlsx</x:v>
      </x:c>
    </x:row>
    <x:row r="5049">
      <x:c r="A5049" s="15" t="n">
        <x:v>42644</x:v>
      </x:c>
      <x:c r="B5049" s="13" t="str">
        <x:v>BRADESPAR SA -PREF</x:v>
      </x:c>
      <x:c r="C5049" s="16" t="n">
        <x:v>304.9459931178</x:v>
      </x:c>
      <x:c r="D5049" s="13" t="str">
        <x:v>Metals &amp; Mining</x:v>
      </x:c>
      <x:c r="E5049" s="13" t="str">
        <x:v>Metals &amp; Mining</x:v>
      </x:c>
      <x:c r="F5049" s="13" t="str">
        <x:v>Deep Cyclicals</x:v>
      </x:c>
      <x:c r="G5049" s="13" t="str">
        <x:v>grid_asitui1y.xlsx</x:v>
      </x:c>
    </x:row>
    <x:row r="5050">
      <x:c r="A5050" s="15" t="n">
        <x:v>42644</x:v>
      </x:c>
      <x:c r="B5050" s="13" t="str">
        <x:v>CIA SIDERURGICA NACIONAL SA</x:v>
      </x:c>
      <x:c r="C5050" s="16" t="n">
        <x:v>-766.5089714849</x:v>
      </x:c>
      <x:c r="D5050" s="13" t="str">
        <x:v>Metals &amp; Mining</x:v>
      </x:c>
      <x:c r="E5050" s="13" t="str">
        <x:v>Metals &amp; Mining</x:v>
      </x:c>
      <x:c r="F5050" s="13" t="str">
        <x:v>Deep Cyclicals</x:v>
      </x:c>
      <x:c r="G5050" s="13" t="str">
        <x:v>grid_asitui1y.xlsx</x:v>
      </x:c>
    </x:row>
    <x:row r="5051">
      <x:c r="A5051" s="15" t="n">
        <x:v>42644</x:v>
      </x:c>
      <x:c r="B5051" s="13" t="str">
        <x:v>GERDAU SA-PREF</x:v>
      </x:c>
      <x:c r="C5051" s="16" t="n">
        <x:v>663.3993224767</x:v>
      </x:c>
      <x:c r="D5051" s="13" t="str">
        <x:v>Metals &amp; Mining</x:v>
      </x:c>
      <x:c r="E5051" s="13" t="str">
        <x:v>Metals &amp; Mining</x:v>
      </x:c>
      <x:c r="F5051" s="13" t="str">
        <x:v>Deep Cyclicals</x:v>
      </x:c>
      <x:c r="G5051" s="13" t="str">
        <x:v>grid_asitui1y.xlsx</x:v>
      </x:c>
    </x:row>
    <x:row r="5052">
      <x:c r="A5052" s="15" t="n">
        <x:v>42644</x:v>
      </x:c>
      <x:c r="B5052" s="13" t="str">
        <x:v>METALURGICA GERDAU SA-PREF</x:v>
      </x:c>
      <x:c r="C5052" s="16" t="n">
        <x:v>173.1419178082</x:v>
      </x:c>
      <x:c r="D5052" s="13" t="str">
        <x:v>Metals &amp; Mining</x:v>
      </x:c>
      <x:c r="E5052" s="13" t="str">
        <x:v>Metals &amp; Mining</x:v>
      </x:c>
      <x:c r="F5052" s="13" t="str">
        <x:v>Deep Cyclicals</x:v>
      </x:c>
      <x:c r="G5052" s="13" t="str">
        <x:v>grid_asitui1y.xlsx</x:v>
      </x:c>
    </x:row>
    <x:row r="5053">
      <x:c r="A5053" s="15" t="n">
        <x:v>42644</x:v>
      </x:c>
      <x:c r="B5053" s="13" t="str">
        <x:v>USINAS SIDER MINAS GER-PF A</x:v>
      </x:c>
      <x:c r="C5053" s="16" t="n">
        <x:v>-476.2093860822</x:v>
      </x:c>
      <x:c r="D5053" s="13" t="str">
        <x:v>Metals &amp; Mining</x:v>
      </x:c>
      <x:c r="E5053" s="13" t="str">
        <x:v>Metals &amp; Mining</x:v>
      </x:c>
      <x:c r="F5053" s="13" t="str">
        <x:v>Deep Cyclicals</x:v>
      </x:c>
      <x:c r="G5053" s="13" t="str">
        <x:v>grid_asitui1y.xlsx</x:v>
      </x:c>
    </x:row>
    <x:row r="5054">
      <x:c r="A5054" s="15" t="n">
        <x:v>42644</x:v>
      </x:c>
      <x:c r="B5054" s="13" t="str">
        <x:v>VALE SA</x:v>
      </x:c>
      <x:c r="C5054" s="16" t="n">
        <x:v>6943.7373987069</x:v>
      </x:c>
      <x:c r="D5054" s="13" t="str">
        <x:v>Metals &amp; Mining</x:v>
      </x:c>
      <x:c r="E5054" s="13" t="str">
        <x:v>Metals &amp; Mining</x:v>
      </x:c>
      <x:c r="F5054" s="13" t="str">
        <x:v>Deep Cyclicals</x:v>
      </x:c>
      <x:c r="G5054" s="13" t="str">
        <x:v>grid_asitui1y.xlsx</x:v>
      </x:c>
    </x:row>
    <x:row r="5055">
      <x:c r="A5055" s="15" t="n">
        <x:v>42644</x:v>
      </x:c>
      <x:c r="B5055" s="13" t="str">
        <x:v>BRASKEM SA-PREF A</x:v>
      </x:c>
      <x:c r="C5055" s="16" t="n">
        <x:v>2916.002635748</x:v>
      </x:c>
      <x:c r="D5055" s="13" t="str">
        <x:v>Oil, Gas &amp; Petrochemicals</x:v>
      </x:c>
      <x:c r="E5055" s="13" t="str">
        <x:v>Oil, Gas &amp; Petrochemicals</x:v>
      </x:c>
      <x:c r="F5055" s="13" t="str">
        <x:v>Deep Cyclicals</x:v>
      </x:c>
      <x:c r="G5055" s="13" t="str">
        <x:v>grid_asitui1y.xlsx</x:v>
      </x:c>
    </x:row>
    <x:row r="5056">
      <x:c r="A5056" s="15" t="n">
        <x:v>42644</x:v>
      </x:c>
      <x:c r="B5056" s="13" t="str">
        <x:v>COSAN SA</x:v>
      </x:c>
      <x:c r="C5056" s="16" t="n">
        <x:v>1217.2170243507</x:v>
      </x:c>
      <x:c r="D5056" s="13" t="str">
        <x:v>Oil, Gas &amp; Petrochemicals</x:v>
      </x:c>
      <x:c r="E5056" s="13" t="str">
        <x:v>Oil, Gas &amp; Petrochemicals</x:v>
      </x:c>
      <x:c r="F5056" s="13" t="str">
        <x:v>Deep Cyclicals</x:v>
      </x:c>
      <x:c r="G5056" s="13" t="str">
        <x:v>grid_asitui1y.xlsx</x:v>
      </x:c>
    </x:row>
    <x:row r="5057">
      <x:c r="A5057" s="15" t="n">
        <x:v>42644</x:v>
      </x:c>
      <x:c r="B5057" s="13" t="str">
        <x:v>PETROBRAS - PETROLEO BRAS</x:v>
      </x:c>
      <x:c r="C5057" s="16" t="n">
        <x:v>13090.9735136438</x:v>
      </x:c>
      <x:c r="D5057" s="13" t="str">
        <x:v>Oil, Gas &amp; Petrochemicals</x:v>
      </x:c>
      <x:c r="E5057" s="13" t="str">
        <x:v>Oil, Gas &amp; Petrochemicals</x:v>
      </x:c>
      <x:c r="F5057" s="13" t="str">
        <x:v>Deep Cyclicals</x:v>
      </x:c>
      <x:c r="G5057" s="13" t="str">
        <x:v>grid_asitui1y.xlsx</x:v>
      </x:c>
    </x:row>
    <x:row r="5058">
      <x:c r="A5058" s="15" t="n">
        <x:v>42644</x:v>
      </x:c>
      <x:c r="B5058" s="13" t="str">
        <x:v>ULTRAPAR PARTICIPACOES SA</x:v>
      </x:c>
      <x:c r="C5058" s="16" t="n">
        <x:v>1752.6007317041</x:v>
      </x:c>
      <x:c r="D5058" s="13" t="str">
        <x:v>Oil, Gas &amp; Petrochemicals</x:v>
      </x:c>
      <x:c r="E5058" s="13" t="str">
        <x:v>Oil, Gas &amp; Petrochemicals</x:v>
      </x:c>
      <x:c r="F5058" s="13" t="str">
        <x:v>Deep Cyclicals</x:v>
      </x:c>
      <x:c r="G5058" s="13" t="str">
        <x:v>grid_asitui1y.xlsx</x:v>
      </x:c>
    </x:row>
    <x:row r="5059">
      <x:c r="A5059" s="15" t="n">
        <x:v>42644</x:v>
      </x:c>
      <x:c r="B5059" s="13" t="str">
        <x:v>FIBRIA CELULOSE S/A</x:v>
      </x:c>
      <x:c r="C5059" s="16" t="n">
        <x:v>587.2856137644</x:v>
      </x:c>
      <x:c r="D5059" s="13" t="str">
        <x:v>Pulp &amp; Paper</x:v>
      </x:c>
      <x:c r="E5059" s="13" t="str">
        <x:v>Pulp &amp; Paper</x:v>
      </x:c>
      <x:c r="F5059" s="13" t="str">
        <x:v>Deep Cyclicals</x:v>
      </x:c>
      <x:c r="G5059" s="13" t="str">
        <x:v>grid_asitui1y.xlsx</x:v>
      </x:c>
    </x:row>
    <x:row r="5060">
      <x:c r="A5060" s="15" t="n">
        <x:v>42644</x:v>
      </x:c>
      <x:c r="B5060" s="13" t="str">
        <x:v>KLABIN SA - UNIT</x:v>
      </x:c>
      <x:c r="C5060" s="16" t="n">
        <x:v>1325.9189489973</x:v>
      </x:c>
      <x:c r="D5060" s="13" t="str">
        <x:v>Pulp &amp; Paper</x:v>
      </x:c>
      <x:c r="E5060" s="13" t="str">
        <x:v>Pulp &amp; Paper</x:v>
      </x:c>
      <x:c r="F5060" s="13" t="str">
        <x:v>Deep Cyclicals</x:v>
      </x:c>
      <x:c r="G5060" s="13" t="str">
        <x:v>grid_asitui1y.xlsx</x:v>
      </x:c>
    </x:row>
    <x:row r="5061">
      <x:c r="A5061" s="15" t="n">
        <x:v>42644</x:v>
      </x:c>
      <x:c r="B5061" s="13" t="str">
        <x:v>SUZANO PAPEL E CELULO-PREF A</x:v>
      </x:c>
      <x:c r="C5061" s="16" t="n">
        <x:v>1361.7799090849</x:v>
      </x:c>
      <x:c r="D5061" s="13" t="str">
        <x:v>Pulp &amp; Paper</x:v>
      </x:c>
      <x:c r="E5061" s="13" t="str">
        <x:v>Pulp &amp; Paper</x:v>
      </x:c>
      <x:c r="F5061" s="13" t="str">
        <x:v>Deep Cyclicals</x:v>
      </x:c>
      <x:c r="G5061" s="13" t="str">
        <x:v>grid_asitui1y.xlsx</x:v>
      </x:c>
    </x:row>
    <x:row r="5062">
      <x:c r="A5062" s="15" t="n">
        <x:v>42644</x:v>
      </x:c>
      <x:c r="B5062" s="13" t="str">
        <x:v>CIA BRASILEIRA DE DIS-PREF</x:v>
      </x:c>
      <x:c r="C5062" s="16" t="n">
        <x:v>426.8811295945</x:v>
      </x:c>
      <x:c r="D5062" s="13" t="str">
        <x:v>Retail</x:v>
      </x:c>
      <x:c r="E5062" s="13" t="str">
        <x:v>Retail</x:v>
      </x:c>
      <x:c r="F5062" s="13" t="str">
        <x:v>Early Cyclicals</x:v>
      </x:c>
      <x:c r="G5062" s="13" t="str">
        <x:v>grid_asitui1y.xlsx</x:v>
      </x:c>
    </x:row>
    <x:row r="5063">
      <x:c r="A5063" s="15" t="n">
        <x:v>42644</x:v>
      </x:c>
      <x:c r="B5063" s="13" t="str">
        <x:v>LOJAS AMERICANAS SA-PREF</x:v>
      </x:c>
      <x:c r="C5063" s="16" t="n">
        <x:v>604.7547520877</x:v>
      </x:c>
      <x:c r="D5063" s="13" t="str">
        <x:v>Retail</x:v>
      </x:c>
      <x:c r="E5063" s="13" t="str">
        <x:v>Retail</x:v>
      </x:c>
      <x:c r="F5063" s="13" t="str">
        <x:v>Early Cyclicals</x:v>
      </x:c>
      <x:c r="G5063" s="13" t="str">
        <x:v>grid_asitui1y.xlsx</x:v>
      </x:c>
    </x:row>
    <x:row r="5064">
      <x:c r="A5064" s="15" t="n">
        <x:v>42644</x:v>
      </x:c>
      <x:c r="B5064" s="13" t="str">
        <x:v>LOJAS RENNER S.A.</x:v>
      </x:c>
      <x:c r="C5064" s="16" t="n">
        <x:v>762.5380292384</x:v>
      </x:c>
      <x:c r="D5064" s="13" t="str">
        <x:v>Retail</x:v>
      </x:c>
      <x:c r="E5064" s="13" t="str">
        <x:v>Retail</x:v>
      </x:c>
      <x:c r="F5064" s="13" t="str">
        <x:v>Early Cyclicals</x:v>
      </x:c>
      <x:c r="G5064" s="13" t="str">
        <x:v>grid_asitui1y.xlsx</x:v>
      </x:c>
    </x:row>
    <x:row r="5065">
      <x:c r="A5065" s="15" t="n">
        <x:v>42644</x:v>
      </x:c>
      <x:c r="B5065" s="13" t="str">
        <x:v>NATURA COSMETICOS SA</x:v>
      </x:c>
      <x:c r="C5065" s="16" t="n">
        <x:v>600.165734926</x:v>
      </x:c>
      <x:c r="D5065" s="13" t="str">
        <x:v>Retail</x:v>
      </x:c>
      <x:c r="E5065" s="13" t="str">
        <x:v>Retail</x:v>
      </x:c>
      <x:c r="F5065" s="13" t="str">
        <x:v>Early Cyclicals</x:v>
      </x:c>
      <x:c r="G5065" s="13" t="str">
        <x:v>grid_asitui1y.xlsx</x:v>
      </x:c>
    </x:row>
    <x:row r="5066">
      <x:c r="A5066" s="15" t="n">
        <x:v>42644</x:v>
      </x:c>
      <x:c r="B5066" s="13" t="str">
        <x:v>RAIA DROGASIL SA</x:v>
      </x:c>
      <x:c r="C5066" s="16" t="n">
        <x:v>608.1587402521</x:v>
      </x:c>
      <x:c r="D5066" s="13" t="str">
        <x:v>Retail</x:v>
      </x:c>
      <x:c r="E5066" s="13" t="str">
        <x:v>Retail</x:v>
      </x:c>
      <x:c r="F5066" s="13" t="str">
        <x:v>Early Cyclicals</x:v>
      </x:c>
      <x:c r="G5066" s="13" t="str">
        <x:v>grid_asitui1y.xlsx</x:v>
      </x:c>
    </x:row>
    <x:row r="5067">
      <x:c r="A5067" s="15" t="n">
        <x:v>42644</x:v>
      </x:c>
      <x:c r="B5067" s="13" t="str">
        <x:v>CIA SANEAMENTO BASICO DE SP</x:v>
      </x:c>
      <x:c r="C5067" s="16" t="n">
        <x:v>2370.018554389</x:v>
      </x:c>
      <x:c r="D5067" s="13" t="str">
        <x:v>Sanitation</x:v>
      </x:c>
      <x:c r="E5067" s="13" t="str">
        <x:v>Utilities</x:v>
      </x:c>
      <x:c r="F5067" s="13" t="str">
        <x:v>Defensives</x:v>
      </x:c>
      <x:c r="G5067" s="13" t="str">
        <x:v>grid_asitui1y.xlsx</x:v>
      </x:c>
    </x:row>
    <x:row r="5068">
      <x:c r="A5068" s="15" t="n">
        <x:v>42644</x:v>
      </x:c>
      <x:c r="B5068" s="13" t="str">
        <x:v>TELEFONICA BRASIL S.A.-PREF</x:v>
      </x:c>
      <x:c r="C5068" s="16" t="n">
        <x:v>4965.7609931397</x:v>
      </x:c>
      <x:c r="D5068" s="13" t="str">
        <x:v>TMT</x:v>
      </x:c>
      <x:c r="E5068" s="13" t="str">
        <x:v>TMT</x:v>
      </x:c>
      <x:c r="F5068" s="13" t="str">
        <x:v>Early Cyclicals</x:v>
      </x:c>
      <x:c r="G5068" s="13" t="str">
        <x:v>grid_asitui1y.xlsx</x:v>
      </x:c>
    </x:row>
    <x:row r="5069">
      <x:c r="A5069" s="15" t="n">
        <x:v>42644</x:v>
      </x:c>
      <x:c r="B5069" s="13" t="str">
        <x:v>TIM SA</x:v>
      </x:c>
      <x:c r="C5069" s="16" t="n">
        <x:v>600.9799904438</x:v>
      </x:c>
      <x:c r="D5069" s="13" t="str">
        <x:v>TMT</x:v>
      </x:c>
      <x:c r="E5069" s="13" t="str">
        <x:v>TMT</x:v>
      </x:c>
      <x:c r="F5069" s="13" t="str">
        <x:v>Early Cyclicals</x:v>
      </x:c>
      <x:c r="G5069" s="13" t="str">
        <x:v>grid_asitui1y.xlsx</x:v>
      </x:c>
    </x:row>
    <x:row r="5070">
      <x:c r="A5070" s="15" t="n">
        <x:v>42644</x:v>
      </x:c>
      <x:c r="B5070" s="13" t="str">
        <x:v>ECORODOVIAS INFRA E LOG SA</x:v>
      </x:c>
      <x:c r="C5070" s="16" t="n">
        <x:v>379.2191714192</x:v>
      </x:c>
      <x:c r="D5070" s="13" t="str">
        <x:v>Transportation</x:v>
      </x:c>
      <x:c r="E5070" s="13" t="str">
        <x:v>Transportation</x:v>
      </x:c>
      <x:c r="F5070" s="13" t="str">
        <x:v>Deep Cyclicals</x:v>
      </x:c>
      <x:c r="G5070" s="13" t="str">
        <x:v>grid_asitui1y.xlsx</x:v>
      </x:c>
    </x:row>
    <x:row r="5071">
      <x:c r="A5071" s="15" t="n">
        <x:v>42644</x:v>
      </x:c>
      <x:c r="B5071" s="13" t="str">
        <x:v>LOCALIZA RENT A CAR</x:v>
      </x:c>
      <x:c r="C5071" s="16" t="n">
        <x:v>426.1520409425</x:v>
      </x:c>
      <x:c r="D5071" s="13" t="str">
        <x:v>Transportation</x:v>
      </x:c>
      <x:c r="E5071" s="13" t="str">
        <x:v>Transportation</x:v>
      </x:c>
      <x:c r="F5071" s="13" t="str">
        <x:v>Deep Cyclicals</x:v>
      </x:c>
      <x:c r="G5071" s="13" t="str">
        <x:v>grid_asitui1y.xlsx</x:v>
      </x:c>
    </x:row>
    <x:row r="5072">
      <x:c r="A5072" s="15" t="n">
        <x:v>42644</x:v>
      </x:c>
      <x:c r="B5072" s="13" t="str">
        <x:v>MOTIVA INFRAESTRUTURA DE MOB</x:v>
      </x:c>
      <x:c r="C5072" s="16" t="n">
        <x:v>1393.0985833206</x:v>
      </x:c>
      <x:c r="D5072" s="13" t="str">
        <x:v>Transportation</x:v>
      </x:c>
      <x:c r="E5072" s="13" t="str">
        <x:v>Transportation</x:v>
      </x:c>
      <x:c r="F5072" s="13" t="str">
        <x:v>Deep Cyclicals</x:v>
      </x:c>
      <x:c r="G5072" s="13" t="str">
        <x:v>grid_asitui1y.xlsx</x:v>
      </x:c>
    </x:row>
    <x:row r="5073">
      <x:c r="A5073" s="15" t="n">
        <x:v>42644</x:v>
      </x:c>
      <x:c r="B5073" s="13" t="str">
        <x:v>CIA ENERGETICA MINAS GER-PRF</x:v>
      </x:c>
      <x:c r="C5073" s="16" t="n">
        <x:v>1228.801337863</x:v>
      </x:c>
      <x:c r="D5073" s="13" t="str">
        <x:v>Utilities &amp; Energy</x:v>
      </x:c>
      <x:c r="E5073" s="13" t="str">
        <x:v>Utilities</x:v>
      </x:c>
      <x:c r="F5073" s="13" t="str">
        <x:v>Defensives</x:v>
      </x:c>
      <x:c r="G5073" s="13" t="str">
        <x:v>grid_asitui1y.xlsx</x:v>
      </x:c>
    </x:row>
    <x:row r="5074">
      <x:c r="A5074" s="15" t="n">
        <x:v>42644</x:v>
      </x:c>
      <x:c r="B5074" s="13" t="str">
        <x:v>COMPANHIA PARANAENSE -PREF B</x:v>
      </x:c>
      <x:c r="C5074" s="16" t="n">
        <x:v>1289.2172123178</x:v>
      </x:c>
      <x:c r="D5074" s="13" t="str">
        <x:v>Utilities &amp; Energy</x:v>
      </x:c>
      <x:c r="E5074" s="13" t="str">
        <x:v>Utilities</x:v>
      </x:c>
      <x:c r="F5074" s="13" t="str">
        <x:v>Defensives</x:v>
      </x:c>
      <x:c r="G5074" s="13" t="str">
        <x:v>grid_asitui1y.xlsx</x:v>
      </x:c>
    </x:row>
    <x:row r="5075">
      <x:c r="A5075" s="15" t="n">
        <x:v>42644</x:v>
      </x:c>
      <x:c r="B5075" s="13" t="str">
        <x:v>CPFL ENERGIA SA</x:v>
      </x:c>
      <x:c r="C5075" s="16" t="n">
        <x:v>1249.962739726</x:v>
      </x:c>
      <x:c r="D5075" s="13" t="str">
        <x:v>Utilities &amp; Energy</x:v>
      </x:c>
      <x:c r="E5075" s="13" t="str">
        <x:v>Utilities</x:v>
      </x:c>
      <x:c r="F5075" s="13" t="str">
        <x:v>Defensives</x:v>
      </x:c>
      <x:c r="G5075" s="13" t="str">
        <x:v>grid_asitui1y.xlsx</x:v>
      </x:c>
    </x:row>
    <x:row r="5076">
      <x:c r="A5076" s="15" t="n">
        <x:v>42644</x:v>
      </x:c>
      <x:c r="B5076" s="13" t="str">
        <x:v>EDP - ENERGIAS DO BRASIL SA</x:v>
      </x:c>
      <x:c r="C5076" s="16" t="n">
        <x:v>679.2035762849</x:v>
      </x:c>
      <x:c r="D5076" s="13" t="str">
        <x:v>Utilities &amp; Energy</x:v>
      </x:c>
      <x:c r="E5076" s="13" t="str">
        <x:v>Utilities</x:v>
      </x:c>
      <x:c r="F5076" s="13" t="str">
        <x:v>Defensives</x:v>
      </x:c>
      <x:c r="G5076" s="13" t="str">
        <x:v>grid_asitui1y.xlsx</x:v>
      </x:c>
    </x:row>
    <x:row r="5077">
      <x:c r="A5077" s="15" t="n">
        <x:v>42644</x:v>
      </x:c>
      <x:c r="B5077" s="13" t="str">
        <x:v>ENGIE BRASIL ENERGIA SA</x:v>
      </x:c>
      <x:c r="C5077" s="16" t="n">
        <x:v>2022.921984</x:v>
      </x:c>
      <x:c r="D5077" s="13" t="str">
        <x:v>Utilities &amp; Energy</x:v>
      </x:c>
      <x:c r="E5077" s="13" t="str">
        <x:v>Utilities</x:v>
      </x:c>
      <x:c r="F5077" s="13" t="str">
        <x:v>Defensives</x:v>
      </x:c>
      <x:c r="G5077" s="13" t="str">
        <x:v>grid_asitui1y.xlsx</x:v>
      </x:c>
    </x:row>
    <x:row r="5078">
      <x:c r="A5078" s="15" t="n">
        <x:v>42644</x:v>
      </x:c>
      <x:c r="B5078" s="13" t="str">
        <x:v>EQUATORIAL SA - ORD</x:v>
      </x:c>
      <x:c r="C5078" s="16" t="n">
        <x:v>845.567827463</x:v>
      </x:c>
      <x:c r="D5078" s="13" t="str">
        <x:v>Utilities &amp; Energy</x:v>
      </x:c>
      <x:c r="E5078" s="13" t="str">
        <x:v>Utilities</x:v>
      </x:c>
      <x:c r="F5078" s="13" t="str">
        <x:v>Defensives</x:v>
      </x:c>
      <x:c r="G5078" s="13" t="str">
        <x:v>grid_asitui1y.xlsx</x:v>
      </x:c>
    </x:row>
    <x:row r="5079">
      <x:c r="A5079" s="15" t="n">
        <x:v>42675</x:v>
      </x:c>
      <x:c r="B5079" s="13" t="str">
        <x:v>BANCO BRADESCO S.A.</x:v>
      </x:c>
      <x:c r="C5079" s="16" t="n">
        <x:v>18287.1275435836</x:v>
      </x:c>
      <x:c r="D5079" s="13" t="str">
        <x:v>Banks</x:v>
      </x:c>
      <x:c r="E5079" s="13" t="str">
        <x:v>Banks</x:v>
      </x:c>
      <x:c r="F5079" s="13" t="str">
        <x:v>Financials</x:v>
      </x:c>
      <x:c r="G5079" s="13" t="str">
        <x:v>grid_asitui1y.xlsx</x:v>
      </x:c>
    </x:row>
    <x:row r="5080">
      <x:c r="A5080" s="15" t="n">
        <x:v>42675</x:v>
      </x:c>
      <x:c r="B5080" s="13" t="str">
        <x:v>BANCO BRADESCO SA-PREF</x:v>
      </x:c>
      <x:c r="C5080" s="16" t="n">
        <x:v>18287.1275435836</x:v>
      </x:c>
      <x:c r="D5080" s="13" t="str">
        <x:v>Banks</x:v>
      </x:c>
      <x:c r="E5080" s="13" t="str">
        <x:v>Banks</x:v>
      </x:c>
      <x:c r="F5080" s="13" t="str">
        <x:v>Financials</x:v>
      </x:c>
      <x:c r="G5080" s="13" t="str">
        <x:v>grid_asitui1y.xlsx</x:v>
      </x:c>
    </x:row>
    <x:row r="5081">
      <x:c r="A5081" s="15" t="n">
        <x:v>42675</x:v>
      </x:c>
      <x:c r="B5081" s="13" t="str">
        <x:v>BANCO DO BRASIL S.A.</x:v>
      </x:c>
      <x:c r="C5081" s="16" t="n">
        <x:v>10232.5592779397</x:v>
      </x:c>
      <x:c r="D5081" s="13" t="str">
        <x:v>Banks</x:v>
      </x:c>
      <x:c r="E5081" s="13" t="str">
        <x:v>Banks</x:v>
      </x:c>
      <x:c r="F5081" s="13" t="str">
        <x:v>Financials</x:v>
      </x:c>
      <x:c r="G5081" s="13" t="str">
        <x:v>grid_asitui1y.xlsx</x:v>
      </x:c>
    </x:row>
    <x:row r="5082">
      <x:c r="A5082" s="15" t="n">
        <x:v>42675</x:v>
      </x:c>
      <x:c r="B5082" s="13" t="str">
        <x:v>BANCO SANTANDER  BRASIL-UNIT</x:v>
      </x:c>
      <x:c r="C5082" s="16" t="n">
        <x:v>6615.9530068164</x:v>
      </x:c>
      <x:c r="D5082" s="13" t="str">
        <x:v>Banks</x:v>
      </x:c>
      <x:c r="E5082" s="13" t="str">
        <x:v>Banks</x:v>
      </x:c>
      <x:c r="F5082" s="13" t="str">
        <x:v>Financials</x:v>
      </x:c>
      <x:c r="G5082" s="13" t="str">
        <x:v>grid_asitui1y.xlsx</x:v>
      </x:c>
    </x:row>
    <x:row r="5083">
      <x:c r="A5083" s="15" t="n">
        <x:v>42675</x:v>
      </x:c>
      <x:c r="B5083" s="13" t="str">
        <x:v>ITAU UNIBANCO HOLDING S-PREF</x:v>
      </x:c>
      <x:c r="C5083" s="16" t="n">
        <x:v>23008.8718588493</x:v>
      </x:c>
      <x:c r="D5083" s="13" t="str">
        <x:v>Banks</x:v>
      </x:c>
      <x:c r="E5083" s="13" t="str">
        <x:v>Banks</x:v>
      </x:c>
      <x:c r="F5083" s="13" t="str">
        <x:v>Financials</x:v>
      </x:c>
      <x:c r="G5083" s="13" t="str">
        <x:v>grid_asitui1y.xlsx</x:v>
      </x:c>
    </x:row>
    <x:row r="5084">
      <x:c r="A5084" s="15" t="n">
        <x:v>42675</x:v>
      </x:c>
      <x:c r="B5084" s="13" t="str">
        <x:v>EMBRAER SA</x:v>
      </x:c>
      <x:c r="C5084" s="16" t="n">
        <x:v>1056.5805555726</x:v>
      </x:c>
      <x:c r="D5084" s="13" t="str">
        <x:v>Capital Goods</x:v>
      </x:c>
      <x:c r="E5084" s="13" t="str">
        <x:v>Capital Goods</x:v>
      </x:c>
      <x:c r="F5084" s="13" t="str">
        <x:v>Deep Cyclicals</x:v>
      </x:c>
      <x:c r="G5084" s="13" t="str">
        <x:v>grid_asitui1y.xlsx</x:v>
      </x:c>
    </x:row>
    <x:row r="5085">
      <x:c r="A5085" s="15" t="n">
        <x:v>42675</x:v>
      </x:c>
      <x:c r="B5085" s="13" t="str">
        <x:v>WEG SA</x:v>
      </x:c>
      <x:c r="C5085" s="16" t="n">
        <x:v>1261.523731989</x:v>
      </x:c>
      <x:c r="D5085" s="13" t="str">
        <x:v>Capital Goods</x:v>
      </x:c>
      <x:c r="E5085" s="13" t="str">
        <x:v>Capital Goods</x:v>
      </x:c>
      <x:c r="F5085" s="13" t="str">
        <x:v>Deep Cyclicals</x:v>
      </x:c>
      <x:c r="G5085" s="13" t="str">
        <x:v>grid_asitui1y.xlsx</x:v>
      </x:c>
    </x:row>
    <x:row r="5086">
      <x:c r="A5086" s="15" t="n">
        <x:v>42675</x:v>
      </x:c>
      <x:c r="B5086" s="13" t="str">
        <x:v>COGNA EDUCACAO</x:v>
      </x:c>
      <x:c r="C5086" s="16" t="n">
        <x:v>2174.5064412932</x:v>
      </x:c>
      <x:c r="D5086" s="13" t="str">
        <x:v>Education</x:v>
      </x:c>
      <x:c r="E5086" s="13" t="str">
        <x:v>Education</x:v>
      </x:c>
      <x:c r="F5086" s="13" t="str">
        <x:v>Early Cyclicals</x:v>
      </x:c>
      <x:c r="G5086" s="13" t="str">
        <x:v>grid_asitui1y.xlsx</x:v>
      </x:c>
    </x:row>
    <x:row r="5087">
      <x:c r="A5087" s="15" t="n">
        <x:v>42675</x:v>
      </x:c>
      <x:c r="B5087" s="13" t="str">
        <x:v>YDUQS PARTICIPACOES SA</x:v>
      </x:c>
      <x:c r="C5087" s="16" t="n">
        <x:v>523.8543908822</x:v>
      </x:c>
      <x:c r="D5087" s="13" t="str">
        <x:v>Education</x:v>
      </x:c>
      <x:c r="E5087" s="13" t="str">
        <x:v>Education</x:v>
      </x:c>
      <x:c r="F5087" s="13" t="str">
        <x:v>Early Cyclicals</x:v>
      </x:c>
      <x:c r="G5087" s="13" t="str">
        <x:v>grid_asitui1y.xlsx</x:v>
      </x:c>
    </x:row>
    <x:row r="5088">
      <x:c r="A5088" s="15" t="n">
        <x:v>42675</x:v>
      </x:c>
      <x:c r="B5088" s="13" t="str">
        <x:v>B3 SA-BRASIL BOLSA BALCAO</x:v>
      </x:c>
      <x:c r="C5088" s="16" t="n">
        <x:v>2104.6204356384</x:v>
      </x:c>
      <x:c r="D5088" s="13" t="str">
        <x:v>Financials Non-Banks</x:v>
      </x:c>
      <x:c r="E5088" s="13" t="str">
        <x:v>Financials Non-Banks</x:v>
      </x:c>
      <x:c r="F5088" s="13" t="str">
        <x:v>Financials</x:v>
      </x:c>
      <x:c r="G5088" s="13" t="str">
        <x:v>grid_asitui1y.xlsx</x:v>
      </x:c>
    </x:row>
    <x:row r="5089">
      <x:c r="A5089" s="15" t="n">
        <x:v>42675</x:v>
      </x:c>
      <x:c r="B5089" s="13" t="str">
        <x:v>BB SEGURIDADE PARTICIPACOES</x:v>
      </x:c>
      <x:c r="C5089" s="16" t="n">
        <x:v>4410.4653052493</x:v>
      </x:c>
      <x:c r="D5089" s="13" t="str">
        <x:v>Financials Non-Banks</x:v>
      </x:c>
      <x:c r="E5089" s="13" t="str">
        <x:v>Financials Non-Banks</x:v>
      </x:c>
      <x:c r="F5089" s="13" t="str">
        <x:v>Financials</x:v>
      </x:c>
      <x:c r="G5089" s="13" t="str">
        <x:v>grid_asitui1y.xlsx</x:v>
      </x:c>
    </x:row>
    <x:row r="5090">
      <x:c r="A5090" s="15" t="n">
        <x:v>42675</x:v>
      </x:c>
      <x:c r="B5090" s="13" t="str">
        <x:v>CETIP SA-MERCADOS ORGANIZADO</x:v>
      </x:c>
      <x:c r="C5090" s="16" t="n">
        <x:v>671.8588894685</x:v>
      </x:c>
      <x:c r="D5090" s="13" t="str">
        <x:v>Financials Non-Banks</x:v>
      </x:c>
      <x:c r="E5090" s="13" t="str">
        <x:v>Financials Non-Banks</x:v>
      </x:c>
      <x:c r="F5090" s="13" t="str">
        <x:v>Financials</x:v>
      </x:c>
      <x:c r="G5090" s="13" t="str">
        <x:v>grid_asitui1y.xlsx</x:v>
      </x:c>
    </x:row>
    <x:row r="5091">
      <x:c r="A5091" s="15" t="n">
        <x:v>42675</x:v>
      </x:c>
      <x:c r="B5091" s="13" t="str">
        <x:v>CIELO SA - INSTITUICAO DE PA</x:v>
      </x:c>
      <x:c r="C5091" s="16" t="n">
        <x:v>4647.7844585206</x:v>
      </x:c>
      <x:c r="D5091" s="13" t="str">
        <x:v>Financials Non-Banks</x:v>
      </x:c>
      <x:c r="E5091" s="13" t="str">
        <x:v>Financials Non-Banks</x:v>
      </x:c>
      <x:c r="F5091" s="13" t="str">
        <x:v>Financials</x:v>
      </x:c>
      <x:c r="G5091" s="13" t="str">
        <x:v>grid_asitui1y.xlsx</x:v>
      </x:c>
    </x:row>
    <x:row r="5092">
      <x:c r="A5092" s="15" t="n">
        <x:v>42675</x:v>
      </x:c>
      <x:c r="B5092" s="13" t="str">
        <x:v>ITAUSA SA</x:v>
      </x:c>
      <x:c r="C5092" s="16" t="n">
        <x:v>8212.9781353206</x:v>
      </x:c>
      <x:c r="D5092" s="13" t="str">
        <x:v>Financials Non-Banks</x:v>
      </x:c>
      <x:c r="E5092" s="13" t="str">
        <x:v>Financials Non-Banks</x:v>
      </x:c>
      <x:c r="F5092" s="13" t="str">
        <x:v>Financials</x:v>
      </x:c>
      <x:c r="G5092" s="13" t="str">
        <x:v>grid_asitui1y.xlsx</x:v>
      </x:c>
    </x:row>
    <x:row r="5093">
      <x:c r="A5093" s="15" t="n">
        <x:v>42675</x:v>
      </x:c>
      <x:c r="B5093" s="13" t="str">
        <x:v>AMBEV SA</x:v>
      </x:c>
      <x:c r="C5093" s="16" t="n">
        <x:v>13866.4697996274</x:v>
      </x:c>
      <x:c r="D5093" s="13" t="str">
        <x:v>Food &amp; Beverages</x:v>
      </x:c>
      <x:c r="E5093" s="13" t="str">
        <x:v>Agri, Food &amp; Beverages</x:v>
      </x:c>
      <x:c r="F5093" s="13" t="str">
        <x:v>Defensives</x:v>
      </x:c>
      <x:c r="G5093" s="13" t="str">
        <x:v>grid_asitui1y.xlsx</x:v>
      </x:c>
    </x:row>
    <x:row r="5094">
      <x:c r="A5094" s="15" t="n">
        <x:v>42675</x:v>
      </x:c>
      <x:c r="B5094" s="13" t="str">
        <x:v>BRF SA</x:v>
      </x:c>
      <x:c r="C5094" s="16" t="n">
        <x:v>2133.2821325151</x:v>
      </x:c>
      <x:c r="D5094" s="13" t="str">
        <x:v>Food &amp; Beverages</x:v>
      </x:c>
      <x:c r="E5094" s="13" t="str">
        <x:v>Agri, Food &amp; Beverages</x:v>
      </x:c>
      <x:c r="F5094" s="13" t="str">
        <x:v>Defensives</x:v>
      </x:c>
      <x:c r="G5094" s="13" t="str">
        <x:v>grid_asitui1y.xlsx</x:v>
      </x:c>
    </x:row>
    <x:row r="5095">
      <x:c r="A5095" s="15" t="n">
        <x:v>42675</x:v>
      </x:c>
      <x:c r="B5095" s="13" t="str">
        <x:v>JBS SA</x:v>
      </x:c>
      <x:c r="C5095" s="16" t="n">
        <x:v>3724.5460199452</x:v>
      </x:c>
      <x:c r="D5095" s="13" t="str">
        <x:v>Food &amp; Beverages</x:v>
      </x:c>
      <x:c r="E5095" s="13" t="str">
        <x:v>Agri, Food &amp; Beverages</x:v>
      </x:c>
      <x:c r="F5095" s="13" t="str">
        <x:v>Defensives</x:v>
      </x:c>
      <x:c r="G5095" s="13" t="str">
        <x:v>grid_asitui1y.xlsx</x:v>
      </x:c>
    </x:row>
    <x:row r="5096">
      <x:c r="A5096" s="15" t="n">
        <x:v>42675</x:v>
      </x:c>
      <x:c r="B5096" s="13" t="str">
        <x:v>MBRF GLOBAL FOODS COMPANY SA</x:v>
      </x:c>
      <x:c r="C5096" s="16" t="n">
        <x:v>156.3168109589</x:v>
      </x:c>
      <x:c r="D5096" s="13" t="str">
        <x:v>Food &amp; Beverages</x:v>
      </x:c>
      <x:c r="E5096" s="13" t="str">
        <x:v>Agri, Food &amp; Beverages</x:v>
      </x:c>
      <x:c r="F5096" s="13" t="str">
        <x:v>Defensives</x:v>
      </x:c>
      <x:c r="G5096" s="13" t="str">
        <x:v>grid_asitui1y.xlsx</x:v>
      </x:c>
    </x:row>
    <x:row r="5097">
      <x:c r="A5097" s="15" t="n">
        <x:v>42675</x:v>
      </x:c>
      <x:c r="B5097" s="13" t="str">
        <x:v>HYPERA SA</x:v>
      </x:c>
      <x:c r="C5097" s="16" t="n">
        <x:v>929.7756380932</x:v>
      </x:c>
      <x:c r="D5097" s="13" t="str">
        <x:v>Health Care</x:v>
      </x:c>
      <x:c r="E5097" s="13" t="str">
        <x:v>Health Care</x:v>
      </x:c>
      <x:c r="F5097" s="13" t="str">
        <x:v>Defensives</x:v>
      </x:c>
      <x:c r="G5097" s="13" t="str">
        <x:v>grid_asitui1y.xlsx</x:v>
      </x:c>
    </x:row>
    <x:row r="5098">
      <x:c r="A5098" s="15" t="n">
        <x:v>42675</x:v>
      </x:c>
      <x:c r="B5098" s="13" t="str">
        <x:v>QUALICORP CONS E CORR SEG SA</x:v>
      </x:c>
      <x:c r="C5098" s="16" t="n">
        <x:v>393.1631289863</x:v>
      </x:c>
      <x:c r="D5098" s="13" t="str">
        <x:v>Health Care</x:v>
      </x:c>
      <x:c r="E5098" s="13" t="str">
        <x:v>Health Care</x:v>
      </x:c>
      <x:c r="F5098" s="13" t="str">
        <x:v>Defensives</x:v>
      </x:c>
      <x:c r="G5098" s="13" t="str">
        <x:v>grid_asitui1y.xlsx</x:v>
      </x:c>
    </x:row>
    <x:row r="5099">
      <x:c r="A5099" s="15" t="n">
        <x:v>42675</x:v>
      </x:c>
      <x:c r="B5099" s="13" t="str">
        <x:v>CYRELA BRAZIL REALTY SA EMP</x:v>
      </x:c>
      <x:c r="C5099" s="16" t="n">
        <x:v>294.9147945205</x:v>
      </x:c>
      <x:c r="D5099" s="13" t="str">
        <x:v>Homebuilders</x:v>
      </x:c>
      <x:c r="E5099" s="13" t="str">
        <x:v>Real Estate</x:v>
      </x:c>
      <x:c r="F5099" s="13" t="str">
        <x:v>Early Cyclicals</x:v>
      </x:c>
      <x:c r="G5099" s="13" t="str">
        <x:v>grid_asitui1y.xlsx</x:v>
      </x:c>
    </x:row>
    <x:row r="5100">
      <x:c r="A5100" s="15" t="n">
        <x:v>42675</x:v>
      </x:c>
      <x:c r="B5100" s="13" t="str">
        <x:v>MRV ENGENHARIA</x:v>
      </x:c>
      <x:c r="C5100" s="16" t="n">
        <x:v>647.4004574685</x:v>
      </x:c>
      <x:c r="D5100" s="13" t="str">
        <x:v>Homebuilders</x:v>
      </x:c>
      <x:c r="E5100" s="13" t="str">
        <x:v>Real Estate</x:v>
      </x:c>
      <x:c r="F5100" s="13" t="str">
        <x:v>Early Cyclicals</x:v>
      </x:c>
      <x:c r="G5100" s="13" t="str">
        <x:v>grid_asitui1y.xlsx</x:v>
      </x:c>
    </x:row>
    <x:row r="5101">
      <x:c r="A5101" s="15" t="n">
        <x:v>42675</x:v>
      </x:c>
      <x:c r="B5101" s="13" t="str">
        <x:v>BR MALLS PARTICIPACOES SA</x:v>
      </x:c>
      <x:c r="C5101" s="16" t="n">
        <x:v>341.4969863014</x:v>
      </x:c>
      <x:c r="D5101" s="13" t="str">
        <x:v>Income Properties</x:v>
      </x:c>
      <x:c r="E5101" s="13" t="str">
        <x:v>Real Estate</x:v>
      </x:c>
      <x:c r="F5101" s="13" t="str">
        <x:v>Early Cyclicals</x:v>
      </x:c>
      <x:c r="G5101" s="13" t="str">
        <x:v>grid_asitui1y.xlsx</x:v>
      </x:c>
    </x:row>
    <x:row r="5102">
      <x:c r="A5102" s="15" t="n">
        <x:v>42675</x:v>
      </x:c>
      <x:c r="B5102" s="13" t="str">
        <x:v>MULTIPLAN EMPREENDIMENTOS</x:v>
      </x:c>
      <x:c r="C5102" s="16" t="n">
        <x:v>400.7840326137</x:v>
      </x:c>
      <x:c r="D5102" s="13" t="str">
        <x:v>Income Properties</x:v>
      </x:c>
      <x:c r="E5102" s="13" t="str">
        <x:v>Real Estate</x:v>
      </x:c>
      <x:c r="F5102" s="13" t="str">
        <x:v>Early Cyclicals</x:v>
      </x:c>
      <x:c r="G5102" s="13" t="str">
        <x:v>grid_asitui1y.xlsx</x:v>
      </x:c>
    </x:row>
    <x:row r="5103">
      <x:c r="A5103" s="15" t="n">
        <x:v>42675</x:v>
      </x:c>
      <x:c r="B5103" s="13" t="str">
        <x:v>BRADESPAR SA -PREF</x:v>
      </x:c>
      <x:c r="C5103" s="16" t="n">
        <x:v>149.2088294575</x:v>
      </x:c>
      <x:c r="D5103" s="13" t="str">
        <x:v>Metals &amp; Mining</x:v>
      </x:c>
      <x:c r="E5103" s="13" t="str">
        <x:v>Metals &amp; Mining</x:v>
      </x:c>
      <x:c r="F5103" s="13" t="str">
        <x:v>Deep Cyclicals</x:v>
      </x:c>
      <x:c r="G5103" s="13" t="str">
        <x:v>grid_asitui1y.xlsx</x:v>
      </x:c>
    </x:row>
    <x:row r="5104">
      <x:c r="A5104" s="15" t="n">
        <x:v>42675</x:v>
      </x:c>
      <x:c r="B5104" s="13" t="str">
        <x:v>CIA SIDERURGICA NACIONAL SA</x:v>
      </x:c>
      <x:c r="C5104" s="16" t="n">
        <x:v>-648.9019570849</x:v>
      </x:c>
      <x:c r="D5104" s="13" t="str">
        <x:v>Metals &amp; Mining</x:v>
      </x:c>
      <x:c r="E5104" s="13" t="str">
        <x:v>Metals &amp; Mining</x:v>
      </x:c>
      <x:c r="F5104" s="13" t="str">
        <x:v>Deep Cyclicals</x:v>
      </x:c>
      <x:c r="G5104" s="13" t="str">
        <x:v>grid_asitui1y.xlsx</x:v>
      </x:c>
    </x:row>
    <x:row r="5105">
      <x:c r="A5105" s="15" t="n">
        <x:v>42675</x:v>
      </x:c>
      <x:c r="B5105" s="13" t="str">
        <x:v>GERDAU SA-PREF</x:v>
      </x:c>
      <x:c r="C5105" s="16" t="n">
        <x:v>703.1119561644</x:v>
      </x:c>
      <x:c r="D5105" s="13" t="str">
        <x:v>Metals &amp; Mining</x:v>
      </x:c>
      <x:c r="E5105" s="13" t="str">
        <x:v>Metals &amp; Mining</x:v>
      </x:c>
      <x:c r="F5105" s="13" t="str">
        <x:v>Deep Cyclicals</x:v>
      </x:c>
      <x:c r="G5105" s="13" t="str">
        <x:v>grid_asitui1y.xlsx</x:v>
      </x:c>
    </x:row>
    <x:row r="5106">
      <x:c r="A5106" s="15" t="n">
        <x:v>42675</x:v>
      </x:c>
      <x:c r="B5106" s="13" t="str">
        <x:v>METALURGICA GERDAU SA-PREF</x:v>
      </x:c>
      <x:c r="C5106" s="16" t="n">
        <x:v>310.4767123288</x:v>
      </x:c>
      <x:c r="D5106" s="13" t="str">
        <x:v>Metals &amp; Mining</x:v>
      </x:c>
      <x:c r="E5106" s="13" t="str">
        <x:v>Metals &amp; Mining</x:v>
      </x:c>
      <x:c r="F5106" s="13" t="str">
        <x:v>Deep Cyclicals</x:v>
      </x:c>
      <x:c r="G5106" s="13" t="str">
        <x:v>grid_asitui1y.xlsx</x:v>
      </x:c>
    </x:row>
    <x:row r="5107">
      <x:c r="A5107" s="15" t="n">
        <x:v>42675</x:v>
      </x:c>
      <x:c r="B5107" s="13" t="str">
        <x:v>USINAS SIDER MINAS GER-PF A</x:v>
      </x:c>
      <x:c r="C5107" s="16" t="n">
        <x:v>-406.8125385644</x:v>
      </x:c>
      <x:c r="D5107" s="13" t="str">
        <x:v>Metals &amp; Mining</x:v>
      </x:c>
      <x:c r="E5107" s="13" t="str">
        <x:v>Metals &amp; Mining</x:v>
      </x:c>
      <x:c r="F5107" s="13" t="str">
        <x:v>Deep Cyclicals</x:v>
      </x:c>
      <x:c r="G5107" s="13" t="str">
        <x:v>grid_asitui1y.xlsx</x:v>
      </x:c>
    </x:row>
    <x:row r="5108">
      <x:c r="A5108" s="15" t="n">
        <x:v>42675</x:v>
      </x:c>
      <x:c r="B5108" s="13" t="str">
        <x:v>VALE SA</x:v>
      </x:c>
      <x:c r="C5108" s="16" t="n">
        <x:v>7922.0443444603</x:v>
      </x:c>
      <x:c r="D5108" s="13" t="str">
        <x:v>Metals &amp; Mining</x:v>
      </x:c>
      <x:c r="E5108" s="13" t="str">
        <x:v>Metals &amp; Mining</x:v>
      </x:c>
      <x:c r="F5108" s="13" t="str">
        <x:v>Deep Cyclicals</x:v>
      </x:c>
      <x:c r="G5108" s="13" t="str">
        <x:v>grid_asitui1y.xlsx</x:v>
      </x:c>
    </x:row>
    <x:row r="5109">
      <x:c r="A5109" s="15" t="n">
        <x:v>42675</x:v>
      </x:c>
      <x:c r="B5109" s="13" t="str">
        <x:v>BRASKEM SA-PREF A</x:v>
      </x:c>
      <x:c r="C5109" s="16" t="n">
        <x:v>2849.0172759671</x:v>
      </x:c>
      <x:c r="D5109" s="13" t="str">
        <x:v>Oil, Gas &amp; Petrochemicals</x:v>
      </x:c>
      <x:c r="E5109" s="13" t="str">
        <x:v>Oil, Gas &amp; Petrochemicals</x:v>
      </x:c>
      <x:c r="F5109" s="13" t="str">
        <x:v>Deep Cyclicals</x:v>
      </x:c>
      <x:c r="G5109" s="13" t="str">
        <x:v>grid_asitui1y.xlsx</x:v>
      </x:c>
    </x:row>
    <x:row r="5110">
      <x:c r="A5110" s="15" t="n">
        <x:v>42675</x:v>
      </x:c>
      <x:c r="B5110" s="13" t="str">
        <x:v>COSAN SA</x:v>
      </x:c>
      <x:c r="C5110" s="16" t="n">
        <x:v>1321.3420670247</x:v>
      </x:c>
      <x:c r="D5110" s="13" t="str">
        <x:v>Oil, Gas &amp; Petrochemicals</x:v>
      </x:c>
      <x:c r="E5110" s="13" t="str">
        <x:v>Oil, Gas &amp; Petrochemicals</x:v>
      </x:c>
      <x:c r="F5110" s="13" t="str">
        <x:v>Deep Cyclicals</x:v>
      </x:c>
      <x:c r="G5110" s="13" t="str">
        <x:v>grid_asitui1y.xlsx</x:v>
      </x:c>
    </x:row>
    <x:row r="5111">
      <x:c r="A5111" s="15" t="n">
        <x:v>42675</x:v>
      </x:c>
      <x:c r="B5111" s="13" t="str">
        <x:v>PETROBRAS - PETROLEO BRAS</x:v>
      </x:c>
      <x:c r="C5111" s="16" t="n">
        <x:v>13235.4292019507</x:v>
      </x:c>
      <x:c r="D5111" s="13" t="str">
        <x:v>Oil, Gas &amp; Petrochemicals</x:v>
      </x:c>
      <x:c r="E5111" s="13" t="str">
        <x:v>Oil, Gas &amp; Petrochemicals</x:v>
      </x:c>
      <x:c r="F5111" s="13" t="str">
        <x:v>Deep Cyclicals</x:v>
      </x:c>
      <x:c r="G5111" s="13" t="str">
        <x:v>grid_asitui1y.xlsx</x:v>
      </x:c>
    </x:row>
    <x:row r="5112">
      <x:c r="A5112" s="15" t="n">
        <x:v>42675</x:v>
      </x:c>
      <x:c r="B5112" s="13" t="str">
        <x:v>ULTRAPAR PARTICIPACOES SA</x:v>
      </x:c>
      <x:c r="C5112" s="16" t="n">
        <x:v>1715.7775065425</x:v>
      </x:c>
      <x:c r="D5112" s="13" t="str">
        <x:v>Oil, Gas &amp; Petrochemicals</x:v>
      </x:c>
      <x:c r="E5112" s="13" t="str">
        <x:v>Oil, Gas &amp; Petrochemicals</x:v>
      </x:c>
      <x:c r="F5112" s="13" t="str">
        <x:v>Deep Cyclicals</x:v>
      </x:c>
      <x:c r="G5112" s="13" t="str">
        <x:v>grid_asitui1y.xlsx</x:v>
      </x:c>
    </x:row>
    <x:row r="5113">
      <x:c r="A5113" s="15" t="n">
        <x:v>42675</x:v>
      </x:c>
      <x:c r="B5113" s="13" t="str">
        <x:v>FIBRIA CELULOSE S/A</x:v>
      </x:c>
      <x:c r="C5113" s="16" t="n">
        <x:v>276.2115068493</x:v>
      </x:c>
      <x:c r="D5113" s="13" t="str">
        <x:v>Pulp &amp; Paper</x:v>
      </x:c>
      <x:c r="E5113" s="13" t="str">
        <x:v>Pulp &amp; Paper</x:v>
      </x:c>
      <x:c r="F5113" s="13" t="str">
        <x:v>Deep Cyclicals</x:v>
      </x:c>
      <x:c r="G5113" s="13" t="str">
        <x:v>grid_asitui1y.xlsx</x:v>
      </x:c>
    </x:row>
    <x:row r="5114">
      <x:c r="A5114" s="15" t="n">
        <x:v>42675</x:v>
      </x:c>
      <x:c r="B5114" s="13" t="str">
        <x:v>KLABIN SA - UNIT</x:v>
      </x:c>
      <x:c r="C5114" s="16" t="n">
        <x:v>911.9001245808</x:v>
      </x:c>
      <x:c r="D5114" s="13" t="str">
        <x:v>Pulp &amp; Paper</x:v>
      </x:c>
      <x:c r="E5114" s="13" t="str">
        <x:v>Pulp &amp; Paper</x:v>
      </x:c>
      <x:c r="F5114" s="13" t="str">
        <x:v>Deep Cyclicals</x:v>
      </x:c>
      <x:c r="G5114" s="13" t="str">
        <x:v>grid_asitui1y.xlsx</x:v>
      </x:c>
    </x:row>
    <x:row r="5115">
      <x:c r="A5115" s="15" t="n">
        <x:v>42675</x:v>
      </x:c>
      <x:c r="B5115" s="13" t="str">
        <x:v>SUZANO PAPEL E CELULO-PREF A</x:v>
      </x:c>
      <x:c r="C5115" s="16" t="n">
        <x:v>1146.579039737</x:v>
      </x:c>
      <x:c r="D5115" s="13" t="str">
        <x:v>Pulp &amp; Paper</x:v>
      </x:c>
      <x:c r="E5115" s="13" t="str">
        <x:v>Pulp &amp; Paper</x:v>
      </x:c>
      <x:c r="F5115" s="13" t="str">
        <x:v>Deep Cyclicals</x:v>
      </x:c>
      <x:c r="G5115" s="13" t="str">
        <x:v>grid_asitui1y.xlsx</x:v>
      </x:c>
    </x:row>
    <x:row r="5116">
      <x:c r="A5116" s="15" t="n">
        <x:v>42675</x:v>
      </x:c>
      <x:c r="B5116" s="13" t="str">
        <x:v>CIA BRASILEIRA DE DIS-PREF</x:v>
      </x:c>
      <x:c r="C5116" s="16" t="n">
        <x:v>452.8207484932</x:v>
      </x:c>
      <x:c r="D5116" s="13" t="str">
        <x:v>Retail</x:v>
      </x:c>
      <x:c r="E5116" s="13" t="str">
        <x:v>Retail</x:v>
      </x:c>
      <x:c r="F5116" s="13" t="str">
        <x:v>Early Cyclicals</x:v>
      </x:c>
      <x:c r="G5116" s="13" t="str">
        <x:v>grid_asitui1y.xlsx</x:v>
      </x:c>
    </x:row>
    <x:row r="5117">
      <x:c r="A5117" s="15" t="n">
        <x:v>42675</x:v>
      </x:c>
      <x:c r="B5117" s="13" t="str">
        <x:v>LOJAS AMERICANAS SA-PREF</x:v>
      </x:c>
      <x:c r="C5117" s="16" t="n">
        <x:v>593.6484951671</x:v>
      </x:c>
      <x:c r="D5117" s="13" t="str">
        <x:v>Retail</x:v>
      </x:c>
      <x:c r="E5117" s="13" t="str">
        <x:v>Retail</x:v>
      </x:c>
      <x:c r="F5117" s="13" t="str">
        <x:v>Early Cyclicals</x:v>
      </x:c>
      <x:c r="G5117" s="13" t="str">
        <x:v>grid_asitui1y.xlsx</x:v>
      </x:c>
    </x:row>
    <x:row r="5118">
      <x:c r="A5118" s="15" t="n">
        <x:v>42675</x:v>
      </x:c>
      <x:c r="B5118" s="13" t="str">
        <x:v>LOJAS RENNER S.A.</x:v>
      </x:c>
      <x:c r="C5118" s="16" t="n">
        <x:v>743.6718683178</x:v>
      </x:c>
      <x:c r="D5118" s="13" t="str">
        <x:v>Retail</x:v>
      </x:c>
      <x:c r="E5118" s="13" t="str">
        <x:v>Retail</x:v>
      </x:c>
      <x:c r="F5118" s="13" t="str">
        <x:v>Early Cyclicals</x:v>
      </x:c>
      <x:c r="G5118" s="13" t="str">
        <x:v>grid_asitui1y.xlsx</x:v>
      </x:c>
    </x:row>
    <x:row r="5119">
      <x:c r="A5119" s="15" t="n">
        <x:v>42675</x:v>
      </x:c>
      <x:c r="B5119" s="13" t="str">
        <x:v>NATURA COSMETICOS SA</x:v>
      </x:c>
      <x:c r="C5119" s="16" t="n">
        <x:v>551.5474611726</x:v>
      </x:c>
      <x:c r="D5119" s="13" t="str">
        <x:v>Retail</x:v>
      </x:c>
      <x:c r="E5119" s="13" t="str">
        <x:v>Retail</x:v>
      </x:c>
      <x:c r="F5119" s="13" t="str">
        <x:v>Early Cyclicals</x:v>
      </x:c>
      <x:c r="G5119" s="13" t="str">
        <x:v>grid_asitui1y.xlsx</x:v>
      </x:c>
    </x:row>
    <x:row r="5120">
      <x:c r="A5120" s="15" t="n">
        <x:v>42675</x:v>
      </x:c>
      <x:c r="B5120" s="13" t="str">
        <x:v>RAIA DROGASIL SA</x:v>
      </x:c>
      <x:c r="C5120" s="16" t="n">
        <x:v>610.8168533918</x:v>
      </x:c>
      <x:c r="D5120" s="13" t="str">
        <x:v>Retail</x:v>
      </x:c>
      <x:c r="E5120" s="13" t="str">
        <x:v>Retail</x:v>
      </x:c>
      <x:c r="F5120" s="13" t="str">
        <x:v>Early Cyclicals</x:v>
      </x:c>
      <x:c r="G5120" s="13" t="str">
        <x:v>grid_asitui1y.xlsx</x:v>
      </x:c>
    </x:row>
    <x:row r="5121">
      <x:c r="A5121" s="15" t="n">
        <x:v>42675</x:v>
      </x:c>
      <x:c r="B5121" s="13" t="str">
        <x:v>CIA SANEAMENTO BASICO DE SP</x:v>
      </x:c>
      <x:c r="C5121" s="16" t="n">
        <x:v>2416.5253926575</x:v>
      </x:c>
      <x:c r="D5121" s="13" t="str">
        <x:v>Sanitation</x:v>
      </x:c>
      <x:c r="E5121" s="13" t="str">
        <x:v>Utilities</x:v>
      </x:c>
      <x:c r="F5121" s="13" t="str">
        <x:v>Defensives</x:v>
      </x:c>
      <x:c r="G5121" s="13" t="str">
        <x:v>grid_asitui1y.xlsx</x:v>
      </x:c>
    </x:row>
    <x:row r="5122">
      <x:c r="A5122" s="15" t="n">
        <x:v>42675</x:v>
      </x:c>
      <x:c r="B5122" s="13" t="str">
        <x:v>TELEFONICA BRASIL S.A.-PREF</x:v>
      </x:c>
      <x:c r="C5122" s="16" t="n">
        <x:v>5059.911545337</x:v>
      </x:c>
      <x:c r="D5122" s="13" t="str">
        <x:v>TMT</x:v>
      </x:c>
      <x:c r="E5122" s="13" t="str">
        <x:v>TMT</x:v>
      </x:c>
      <x:c r="F5122" s="13" t="str">
        <x:v>Early Cyclicals</x:v>
      </x:c>
      <x:c r="G5122" s="13" t="str">
        <x:v>grid_asitui1y.xlsx</x:v>
      </x:c>
    </x:row>
    <x:row r="5123">
      <x:c r="A5123" s="15" t="n">
        <x:v>42675</x:v>
      </x:c>
      <x:c r="B5123" s="13" t="str">
        <x:v>TIM SA</x:v>
      </x:c>
      <x:c r="C5123" s="16" t="n">
        <x:v>623.6133130521</x:v>
      </x:c>
      <x:c r="D5123" s="13" t="str">
        <x:v>TMT</x:v>
      </x:c>
      <x:c r="E5123" s="13" t="str">
        <x:v>TMT</x:v>
      </x:c>
      <x:c r="F5123" s="13" t="str">
        <x:v>Early Cyclicals</x:v>
      </x:c>
      <x:c r="G5123" s="13" t="str">
        <x:v>grid_asitui1y.xlsx</x:v>
      </x:c>
    </x:row>
    <x:row r="5124">
      <x:c r="A5124" s="15" t="n">
        <x:v>42675</x:v>
      </x:c>
      <x:c r="B5124" s="13" t="str">
        <x:v>ECORODOVIAS INFRA E LOG SA</x:v>
      </x:c>
      <x:c r="C5124" s="16" t="n">
        <x:v>366.4908161753</x:v>
      </x:c>
      <x:c r="D5124" s="13" t="str">
        <x:v>Transportation</x:v>
      </x:c>
      <x:c r="E5124" s="13" t="str">
        <x:v>Transportation</x:v>
      </x:c>
      <x:c r="F5124" s="13" t="str">
        <x:v>Deep Cyclicals</x:v>
      </x:c>
      <x:c r="G5124" s="13" t="str">
        <x:v>grid_asitui1y.xlsx</x:v>
      </x:c>
    </x:row>
    <x:row r="5125">
      <x:c r="A5125" s="15" t="n">
        <x:v>42675</x:v>
      </x:c>
      <x:c r="B5125" s="13" t="str">
        <x:v>LOCALIZA RENT A CAR</x:v>
      </x:c>
      <x:c r="C5125" s="16" t="n">
        <x:v>431.3463943014</x:v>
      </x:c>
      <x:c r="D5125" s="13" t="str">
        <x:v>Transportation</x:v>
      </x:c>
      <x:c r="E5125" s="13" t="str">
        <x:v>Transportation</x:v>
      </x:c>
      <x:c r="F5125" s="13" t="str">
        <x:v>Deep Cyclicals</x:v>
      </x:c>
      <x:c r="G5125" s="13" t="str">
        <x:v>grid_asitui1y.xlsx</x:v>
      </x:c>
    </x:row>
    <x:row r="5126">
      <x:c r="A5126" s="15" t="n">
        <x:v>42675</x:v>
      </x:c>
      <x:c r="B5126" s="13" t="str">
        <x:v>MOTIVA INFRAESTRUTURA DE MOB</x:v>
      </x:c>
      <x:c r="C5126" s="16" t="n">
        <x:v>1316.762975737</x:v>
      </x:c>
      <x:c r="D5126" s="13" t="str">
        <x:v>Transportation</x:v>
      </x:c>
      <x:c r="E5126" s="13" t="str">
        <x:v>Transportation</x:v>
      </x:c>
      <x:c r="F5126" s="13" t="str">
        <x:v>Deep Cyclicals</x:v>
      </x:c>
      <x:c r="G5126" s="13" t="str">
        <x:v>grid_asitui1y.xlsx</x:v>
      </x:c>
    </x:row>
    <x:row r="5127">
      <x:c r="A5127" s="15" t="n">
        <x:v>42675</x:v>
      </x:c>
      <x:c r="B5127" s="13" t="str">
        <x:v>CIA ENERGETICA MINAS GER-PRF</x:v>
      </x:c>
      <x:c r="C5127" s="16" t="n">
        <x:v>1249.7098804603</x:v>
      </x:c>
      <x:c r="D5127" s="13" t="str">
        <x:v>Utilities &amp; Energy</x:v>
      </x:c>
      <x:c r="E5127" s="13" t="str">
        <x:v>Utilities</x:v>
      </x:c>
      <x:c r="F5127" s="13" t="str">
        <x:v>Defensives</x:v>
      </x:c>
      <x:c r="G5127" s="13" t="str">
        <x:v>grid_asitui1y.xlsx</x:v>
      </x:c>
    </x:row>
    <x:row r="5128">
      <x:c r="A5128" s="15" t="n">
        <x:v>42675</x:v>
      </x:c>
      <x:c r="B5128" s="13" t="str">
        <x:v>COMPANHIA PARANAENSE -PREF B</x:v>
      </x:c>
      <x:c r="C5128" s="16" t="n">
        <x:v>1286.8424402411</x:v>
      </x:c>
      <x:c r="D5128" s="13" t="str">
        <x:v>Utilities &amp; Energy</x:v>
      </x:c>
      <x:c r="E5128" s="13" t="str">
        <x:v>Utilities</x:v>
      </x:c>
      <x:c r="F5128" s="13" t="str">
        <x:v>Defensives</x:v>
      </x:c>
      <x:c r="G5128" s="13" t="str">
        <x:v>grid_asitui1y.xlsx</x:v>
      </x:c>
    </x:row>
    <x:row r="5129">
      <x:c r="A5129" s="15" t="n">
        <x:v>42675</x:v>
      </x:c>
      <x:c r="B5129" s="13" t="str">
        <x:v>CPFL ENERGIA SA</x:v>
      </x:c>
      <x:c r="C5129" s="16" t="n">
        <x:v>1278.6349290959</x:v>
      </x:c>
      <x:c r="D5129" s="13" t="str">
        <x:v>Utilities &amp; Energy</x:v>
      </x:c>
      <x:c r="E5129" s="13" t="str">
        <x:v>Utilities</x:v>
      </x:c>
      <x:c r="F5129" s="13" t="str">
        <x:v>Defensives</x:v>
      </x:c>
      <x:c r="G5129" s="13" t="str">
        <x:v>grid_asitui1y.xlsx</x:v>
      </x:c>
    </x:row>
    <x:row r="5130">
      <x:c r="A5130" s="15" t="n">
        <x:v>42675</x:v>
      </x:c>
      <x:c r="B5130" s="13" t="str">
        <x:v>EDP - ENERGIAS DO BRASIL SA</x:v>
      </x:c>
      <x:c r="C5130" s="16" t="n">
        <x:v>671.7805333041</x:v>
      </x:c>
      <x:c r="D5130" s="13" t="str">
        <x:v>Utilities &amp; Energy</x:v>
      </x:c>
      <x:c r="E5130" s="13" t="str">
        <x:v>Utilities</x:v>
      </x:c>
      <x:c r="F5130" s="13" t="str">
        <x:v>Defensives</x:v>
      </x:c>
      <x:c r="G5130" s="13" t="str">
        <x:v>grid_asitui1y.xlsx</x:v>
      </x:c>
    </x:row>
    <x:row r="5131">
      <x:c r="A5131" s="15" t="n">
        <x:v>42675</x:v>
      </x:c>
      <x:c r="B5131" s="13" t="str">
        <x:v>ENGIE BRASIL ENERGIA SA</x:v>
      </x:c>
      <x:c r="C5131" s="16" t="n">
        <x:v>2050.7927839562</x:v>
      </x:c>
      <x:c r="D5131" s="13" t="str">
        <x:v>Utilities &amp; Energy</x:v>
      </x:c>
      <x:c r="E5131" s="13" t="str">
        <x:v>Utilities</x:v>
      </x:c>
      <x:c r="F5131" s="13" t="str">
        <x:v>Defensives</x:v>
      </x:c>
      <x:c r="G5131" s="13" t="str">
        <x:v>grid_asitui1y.xlsx</x:v>
      </x:c>
    </x:row>
    <x:row r="5132">
      <x:c r="A5132" s="15" t="n">
        <x:v>42675</x:v>
      </x:c>
      <x:c r="B5132" s="13" t="str">
        <x:v>EQUATORIAL SA - ORD</x:v>
      </x:c>
      <x:c r="C5132" s="16" t="n">
        <x:v>846.0297168658</x:v>
      </x:c>
      <x:c r="D5132" s="13" t="str">
        <x:v>Utilities &amp; Energy</x:v>
      </x:c>
      <x:c r="E5132" s="13" t="str">
        <x:v>Utilities</x:v>
      </x:c>
      <x:c r="F5132" s="13" t="str">
        <x:v>Defensives</x:v>
      </x:c>
      <x:c r="G5132" s="13" t="str">
        <x:v>grid_asitui1y.xlsx</x:v>
      </x:c>
    </x:row>
    <x:row r="5133">
      <x:c r="A5133" s="15" t="n">
        <x:v>42705</x:v>
      </x:c>
      <x:c r="B5133" s="13" t="str">
        <x:v>BANCO BRADESCO S.A.</x:v>
      </x:c>
      <x:c r="C5133" s="16" t="n">
        <x:v>18603.3882883507</x:v>
      </x:c>
      <x:c r="D5133" s="13" t="str">
        <x:v>Banks</x:v>
      </x:c>
      <x:c r="E5133" s="13" t="str">
        <x:v>Banks</x:v>
      </x:c>
      <x:c r="F5133" s="13" t="str">
        <x:v>Financials</x:v>
      </x:c>
      <x:c r="G5133" s="13" t="str">
        <x:v>grid_asitui1y.xlsx</x:v>
      </x:c>
    </x:row>
    <x:row r="5134">
      <x:c r="A5134" s="15" t="n">
        <x:v>42705</x:v>
      </x:c>
      <x:c r="B5134" s="13" t="str">
        <x:v>BANCO BRADESCO SA-PREF</x:v>
      </x:c>
      <x:c r="C5134" s="16" t="n">
        <x:v>18603.3882883507</x:v>
      </x:c>
      <x:c r="D5134" s="13" t="str">
        <x:v>Banks</x:v>
      </x:c>
      <x:c r="E5134" s="13" t="str">
        <x:v>Banks</x:v>
      </x:c>
      <x:c r="F5134" s="13" t="str">
        <x:v>Financials</x:v>
      </x:c>
      <x:c r="G5134" s="13" t="str">
        <x:v>grid_asitui1y.xlsx</x:v>
      </x:c>
    </x:row>
    <x:row r="5135">
      <x:c r="A5135" s="15" t="n">
        <x:v>42705</x:v>
      </x:c>
      <x:c r="B5135" s="13" t="str">
        <x:v>BANCO DO BRASIL S.A.</x:v>
      </x:c>
      <x:c r="C5135" s="16" t="n">
        <x:v>10835.6299271014</x:v>
      </x:c>
      <x:c r="D5135" s="13" t="str">
        <x:v>Banks</x:v>
      </x:c>
      <x:c r="E5135" s="13" t="str">
        <x:v>Banks</x:v>
      </x:c>
      <x:c r="F5135" s="13" t="str">
        <x:v>Financials</x:v>
      </x:c>
      <x:c r="G5135" s="13" t="str">
        <x:v>grid_asitui1y.xlsx</x:v>
      </x:c>
    </x:row>
    <x:row r="5136">
      <x:c r="A5136" s="15" t="n">
        <x:v>42705</x:v>
      </x:c>
      <x:c r="B5136" s="13" t="str">
        <x:v>BANCO SANTANDER  BRASIL-UNIT</x:v>
      </x:c>
      <x:c r="C5136" s="16" t="n">
        <x:v>6641.0473696438</x:v>
      </x:c>
      <x:c r="D5136" s="13" t="str">
        <x:v>Banks</x:v>
      </x:c>
      <x:c r="E5136" s="13" t="str">
        <x:v>Banks</x:v>
      </x:c>
      <x:c r="F5136" s="13" t="str">
        <x:v>Financials</x:v>
      </x:c>
      <x:c r="G5136" s="13" t="str">
        <x:v>grid_asitui1y.xlsx</x:v>
      </x:c>
    </x:row>
    <x:row r="5137">
      <x:c r="A5137" s="15" t="n">
        <x:v>42705</x:v>
      </x:c>
      <x:c r="B5137" s="13" t="str">
        <x:v>ITAU UNIBANCO HOLDING S-PREF</x:v>
      </x:c>
      <x:c r="C5137" s="16" t="n">
        <x:v>23037.1346628384</x:v>
      </x:c>
      <x:c r="D5137" s="13" t="str">
        <x:v>Banks</x:v>
      </x:c>
      <x:c r="E5137" s="13" t="str">
        <x:v>Banks</x:v>
      </x:c>
      <x:c r="F5137" s="13" t="str">
        <x:v>Financials</x:v>
      </x:c>
      <x:c r="G5137" s="13" t="str">
        <x:v>grid_asitui1y.xlsx</x:v>
      </x:c>
    </x:row>
    <x:row r="5138">
      <x:c r="A5138" s="15" t="n">
        <x:v>42705</x:v>
      </x:c>
      <x:c r="B5138" s="13" t="str">
        <x:v>EMBRAER SA</x:v>
      </x:c>
      <x:c r="C5138" s="16" t="n">
        <x:v>1074.5436552767</x:v>
      </x:c>
      <x:c r="D5138" s="13" t="str">
        <x:v>Capital Goods</x:v>
      </x:c>
      <x:c r="E5138" s="13" t="str">
        <x:v>Capital Goods</x:v>
      </x:c>
      <x:c r="F5138" s="13" t="str">
        <x:v>Deep Cyclicals</x:v>
      </x:c>
      <x:c r="G5138" s="13" t="str">
        <x:v>grid_asitui1y.xlsx</x:v>
      </x:c>
    </x:row>
    <x:row r="5139">
      <x:c r="A5139" s="15" t="n">
        <x:v>42705</x:v>
      </x:c>
      <x:c r="B5139" s="13" t="str">
        <x:v>WEG SA</x:v>
      </x:c>
      <x:c r="C5139" s="16" t="n">
        <x:v>1274.6620868384</x:v>
      </x:c>
      <x:c r="D5139" s="13" t="str">
        <x:v>Capital Goods</x:v>
      </x:c>
      <x:c r="E5139" s="13" t="str">
        <x:v>Capital Goods</x:v>
      </x:c>
      <x:c r="F5139" s="13" t="str">
        <x:v>Deep Cyclicals</x:v>
      </x:c>
      <x:c r="G5139" s="13" t="str">
        <x:v>grid_asitui1y.xlsx</x:v>
      </x:c>
    </x:row>
    <x:row r="5140">
      <x:c r="A5140" s="15" t="n">
        <x:v>42705</x:v>
      </x:c>
      <x:c r="B5140" s="13" t="str">
        <x:v>COGNA EDUCACAO</x:v>
      </x:c>
      <x:c r="C5140" s="16" t="n">
        <x:v>2164.0825344</x:v>
      </x:c>
      <x:c r="D5140" s="13" t="str">
        <x:v>Education</x:v>
      </x:c>
      <x:c r="E5140" s="13" t="str">
        <x:v>Education</x:v>
      </x:c>
      <x:c r="F5140" s="13" t="str">
        <x:v>Early Cyclicals</x:v>
      </x:c>
      <x:c r="G5140" s="13" t="str">
        <x:v>grid_asitui1y.xlsx</x:v>
      </x:c>
    </x:row>
    <x:row r="5141">
      <x:c r="A5141" s="15" t="n">
        <x:v>42705</x:v>
      </x:c>
      <x:c r="B5141" s="13" t="str">
        <x:v>YDUQS PARTICIPACOES SA</x:v>
      </x:c>
      <x:c r="C5141" s="16" t="n">
        <x:v>546.7374089644</x:v>
      </x:c>
      <x:c r="D5141" s="13" t="str">
        <x:v>Education</x:v>
      </x:c>
      <x:c r="E5141" s="13" t="str">
        <x:v>Education</x:v>
      </x:c>
      <x:c r="F5141" s="13" t="str">
        <x:v>Early Cyclicals</x:v>
      </x:c>
      <x:c r="G5141" s="13" t="str">
        <x:v>grid_asitui1y.xlsx</x:v>
      </x:c>
    </x:row>
    <x:row r="5142">
      <x:c r="A5142" s="15" t="n">
        <x:v>42705</x:v>
      </x:c>
      <x:c r="B5142" s="13" t="str">
        <x:v>B3 SA-BRASIL BOLSA BALCAO</x:v>
      </x:c>
      <x:c r="C5142" s="16" t="n">
        <x:v>2183.7414452603</x:v>
      </x:c>
      <x:c r="D5142" s="13" t="str">
        <x:v>Financials Non-Banks</x:v>
      </x:c>
      <x:c r="E5142" s="13" t="str">
        <x:v>Financials Non-Banks</x:v>
      </x:c>
      <x:c r="F5142" s="13" t="str">
        <x:v>Financials</x:v>
      </x:c>
      <x:c r="G5142" s="13" t="str">
        <x:v>grid_asitui1y.xlsx</x:v>
      </x:c>
    </x:row>
    <x:row r="5143">
      <x:c r="A5143" s="15" t="n">
        <x:v>42705</x:v>
      </x:c>
      <x:c r="B5143" s="13" t="str">
        <x:v>BB SEGURIDADE PARTICIPACOES</x:v>
      </x:c>
      <x:c r="C5143" s="16" t="n">
        <x:v>4403.864390137</x:v>
      </x:c>
      <x:c r="D5143" s="13" t="str">
        <x:v>Financials Non-Banks</x:v>
      </x:c>
      <x:c r="E5143" s="13" t="str">
        <x:v>Financials Non-Banks</x:v>
      </x:c>
      <x:c r="F5143" s="13" t="str">
        <x:v>Financials</x:v>
      </x:c>
      <x:c r="G5143" s="13" t="str">
        <x:v>grid_asitui1y.xlsx</x:v>
      </x:c>
    </x:row>
    <x:row r="5144">
      <x:c r="A5144" s="15" t="n">
        <x:v>42705</x:v>
      </x:c>
      <x:c r="B5144" s="13" t="str">
        <x:v>CETIP SA-MERCADOS ORGANIZADO</x:v>
      </x:c>
      <x:c r="C5144" s="16" t="n">
        <x:v>671.554810389</x:v>
      </x:c>
      <x:c r="D5144" s="13" t="str">
        <x:v>Financials Non-Banks</x:v>
      </x:c>
      <x:c r="E5144" s="13" t="str">
        <x:v>Financials Non-Banks</x:v>
      </x:c>
      <x:c r="F5144" s="13" t="str">
        <x:v>Financials</x:v>
      </x:c>
      <x:c r="G5144" s="13" t="str">
        <x:v>grid_asitui1y.xlsx</x:v>
      </x:c>
    </x:row>
    <x:row r="5145">
      <x:c r="A5145" s="15" t="n">
        <x:v>42705</x:v>
      </x:c>
      <x:c r="B5145" s="13" t="str">
        <x:v>CIELO SA - INSTITUICAO DE PA</x:v>
      </x:c>
      <x:c r="C5145" s="16" t="n">
        <x:v>4736.1008569863</x:v>
      </x:c>
      <x:c r="D5145" s="13" t="str">
        <x:v>Financials Non-Banks</x:v>
      </x:c>
      <x:c r="E5145" s="13" t="str">
        <x:v>Financials Non-Banks</x:v>
      </x:c>
      <x:c r="F5145" s="13" t="str">
        <x:v>Financials</x:v>
      </x:c>
      <x:c r="G5145" s="13" t="str">
        <x:v>grid_asitui1y.xlsx</x:v>
      </x:c>
    </x:row>
    <x:row r="5146">
      <x:c r="A5146" s="15" t="n">
        <x:v>42705</x:v>
      </x:c>
      <x:c r="B5146" s="13" t="str">
        <x:v>ITAUSA SA</x:v>
      </x:c>
      <x:c r="C5146" s="16" t="n">
        <x:v>8092.9015611616</x:v>
      </x:c>
      <x:c r="D5146" s="13" t="str">
        <x:v>Financials Non-Banks</x:v>
      </x:c>
      <x:c r="E5146" s="13" t="str">
        <x:v>Financials Non-Banks</x:v>
      </x:c>
      <x:c r="F5146" s="13" t="str">
        <x:v>Financials</x:v>
      </x:c>
      <x:c r="G5146" s="13" t="str">
        <x:v>grid_asitui1y.xlsx</x:v>
      </x:c>
    </x:row>
    <x:row r="5147">
      <x:c r="A5147" s="15" t="n">
        <x:v>42705</x:v>
      </x:c>
      <x:c r="B5147" s="13" t="str">
        <x:v>AMBEV SA</x:v>
      </x:c>
      <x:c r="C5147" s="16" t="n">
        <x:v>13532.7857397479</x:v>
      </x:c>
      <x:c r="D5147" s="13" t="str">
        <x:v>Food &amp; Beverages</x:v>
      </x:c>
      <x:c r="E5147" s="13" t="str">
        <x:v>Agri, Food &amp; Beverages</x:v>
      </x:c>
      <x:c r="F5147" s="13" t="str">
        <x:v>Defensives</x:v>
      </x:c>
      <x:c r="G5147" s="13" t="str">
        <x:v>grid_asitui1y.xlsx</x:v>
      </x:c>
    </x:row>
    <x:row r="5148">
      <x:c r="A5148" s="15" t="n">
        <x:v>42705</x:v>
      </x:c>
      <x:c r="B5148" s="13" t="str">
        <x:v>BRF SA</x:v>
      </x:c>
      <x:c r="C5148" s="16" t="n">
        <x:v>2266.2353674521</x:v>
      </x:c>
      <x:c r="D5148" s="13" t="str">
        <x:v>Food &amp; Beverages</x:v>
      </x:c>
      <x:c r="E5148" s="13" t="str">
        <x:v>Agri, Food &amp; Beverages</x:v>
      </x:c>
      <x:c r="F5148" s="13" t="str">
        <x:v>Defensives</x:v>
      </x:c>
      <x:c r="G5148" s="13" t="str">
        <x:v>grid_asitui1y.xlsx</x:v>
      </x:c>
    </x:row>
    <x:row r="5149">
      <x:c r="A5149" s="15" t="n">
        <x:v>42705</x:v>
      </x:c>
      <x:c r="B5149" s="13" t="str">
        <x:v>JBS SA</x:v>
      </x:c>
      <x:c r="C5149" s="16" t="n">
        <x:v>4160.4210676603</x:v>
      </x:c>
      <x:c r="D5149" s="13" t="str">
        <x:v>Food &amp; Beverages</x:v>
      </x:c>
      <x:c r="E5149" s="13" t="str">
        <x:v>Agri, Food &amp; Beverages</x:v>
      </x:c>
      <x:c r="F5149" s="13" t="str">
        <x:v>Defensives</x:v>
      </x:c>
      <x:c r="G5149" s="13" t="str">
        <x:v>grid_asitui1y.xlsx</x:v>
      </x:c>
    </x:row>
    <x:row r="5150">
      <x:c r="A5150" s="15" t="n">
        <x:v>42705</x:v>
      </x:c>
      <x:c r="B5150" s="13" t="str">
        <x:v>MBRF GLOBAL FOODS COMPANY SA</x:v>
      </x:c>
      <x:c r="C5150" s="16" t="n">
        <x:v>183.0176054356</x:v>
      </x:c>
      <x:c r="D5150" s="13" t="str">
        <x:v>Food &amp; Beverages</x:v>
      </x:c>
      <x:c r="E5150" s="13" t="str">
        <x:v>Agri, Food &amp; Beverages</x:v>
      </x:c>
      <x:c r="F5150" s="13" t="str">
        <x:v>Defensives</x:v>
      </x:c>
      <x:c r="G5150" s="13" t="str">
        <x:v>grid_asitui1y.xlsx</x:v>
      </x:c>
    </x:row>
    <x:row r="5151">
      <x:c r="A5151" s="15" t="n">
        <x:v>42705</x:v>
      </x:c>
      <x:c r="B5151" s="13" t="str">
        <x:v>HYPERA SA</x:v>
      </x:c>
      <x:c r="C5151" s="16" t="n">
        <x:v>942.2595259616</x:v>
      </x:c>
      <x:c r="D5151" s="13" t="str">
        <x:v>Health Care</x:v>
      </x:c>
      <x:c r="E5151" s="13" t="str">
        <x:v>Health Care</x:v>
      </x:c>
      <x:c r="F5151" s="13" t="str">
        <x:v>Defensives</x:v>
      </x:c>
      <x:c r="G5151" s="13" t="str">
        <x:v>grid_asitui1y.xlsx</x:v>
      </x:c>
    </x:row>
    <x:row r="5152">
      <x:c r="A5152" s="15" t="n">
        <x:v>42705</x:v>
      </x:c>
      <x:c r="B5152" s="13" t="str">
        <x:v>QUALICORP CONS E CORR SEG SA</x:v>
      </x:c>
      <x:c r="C5152" s="16" t="n">
        <x:v>407.9543369644</x:v>
      </x:c>
      <x:c r="D5152" s="13" t="str">
        <x:v>Health Care</x:v>
      </x:c>
      <x:c r="E5152" s="13" t="str">
        <x:v>Health Care</x:v>
      </x:c>
      <x:c r="F5152" s="13" t="str">
        <x:v>Defensives</x:v>
      </x:c>
      <x:c r="G5152" s="13" t="str">
        <x:v>grid_asitui1y.xlsx</x:v>
      </x:c>
    </x:row>
    <x:row r="5153">
      <x:c r="A5153" s="15" t="n">
        <x:v>42705</x:v>
      </x:c>
      <x:c r="B5153" s="13" t="str">
        <x:v>CYRELA BRAZIL REALTY SA EMP</x:v>
      </x:c>
      <x:c r="C5153" s="16" t="n">
        <x:v>219.6263013699</x:v>
      </x:c>
      <x:c r="D5153" s="13" t="str">
        <x:v>Homebuilders</x:v>
      </x:c>
      <x:c r="E5153" s="13" t="str">
        <x:v>Real Estate</x:v>
      </x:c>
      <x:c r="F5153" s="13" t="str">
        <x:v>Early Cyclicals</x:v>
      </x:c>
      <x:c r="G5153" s="13" t="str">
        <x:v>grid_asitui1y.xlsx</x:v>
      </x:c>
    </x:row>
    <x:row r="5154">
      <x:c r="A5154" s="15" t="n">
        <x:v>42705</x:v>
      </x:c>
      <x:c r="B5154" s="13" t="str">
        <x:v>MRV ENGENHARIA</x:v>
      </x:c>
      <x:c r="C5154" s="16" t="n">
        <x:v>655.2148064438</x:v>
      </x:c>
      <x:c r="D5154" s="13" t="str">
        <x:v>Homebuilders</x:v>
      </x:c>
      <x:c r="E5154" s="13" t="str">
        <x:v>Real Estate</x:v>
      </x:c>
      <x:c r="F5154" s="13" t="str">
        <x:v>Early Cyclicals</x:v>
      </x:c>
      <x:c r="G5154" s="13" t="str">
        <x:v>grid_asitui1y.xlsx</x:v>
      </x:c>
    </x:row>
    <x:row r="5155">
      <x:c r="A5155" s="15" t="n">
        <x:v>42705</x:v>
      </x:c>
      <x:c r="B5155" s="13" t="str">
        <x:v>BR MALLS PARTICIPACOES SA</x:v>
      </x:c>
      <x:c r="C5155" s="16" t="n">
        <x:v>345.8534057205</x:v>
      </x:c>
      <x:c r="D5155" s="13" t="str">
        <x:v>Income Properties</x:v>
      </x:c>
      <x:c r="E5155" s="13" t="str">
        <x:v>Real Estate</x:v>
      </x:c>
      <x:c r="F5155" s="13" t="str">
        <x:v>Early Cyclicals</x:v>
      </x:c>
      <x:c r="G5155" s="13" t="str">
        <x:v>grid_asitui1y.xlsx</x:v>
      </x:c>
    </x:row>
    <x:row r="5156">
      <x:c r="A5156" s="15" t="n">
        <x:v>42705</x:v>
      </x:c>
      <x:c r="B5156" s="13" t="str">
        <x:v>MULTIPLAN EMPREENDIMENTOS</x:v>
      </x:c>
      <x:c r="C5156" s="16" t="n">
        <x:v>401.864230137</x:v>
      </x:c>
      <x:c r="D5156" s="13" t="str">
        <x:v>Income Properties</x:v>
      </x:c>
      <x:c r="E5156" s="13" t="str">
        <x:v>Real Estate</x:v>
      </x:c>
      <x:c r="F5156" s="13" t="str">
        <x:v>Early Cyclicals</x:v>
      </x:c>
      <x:c r="G5156" s="13" t="str">
        <x:v>grid_asitui1y.xlsx</x:v>
      </x:c>
    </x:row>
    <x:row r="5157">
      <x:c r="A5157" s="15" t="n">
        <x:v>42705</x:v>
      </x:c>
      <x:c r="B5157" s="13" t="str">
        <x:v>BRADESPAR SA -PREF</x:v>
      </x:c>
      <x:c r="C5157" s="16" t="n">
        <x:v>453.5872136767</x:v>
      </x:c>
      <x:c r="D5157" s="13" t="str">
        <x:v>Metals &amp; Mining</x:v>
      </x:c>
      <x:c r="E5157" s="13" t="str">
        <x:v>Metals &amp; Mining</x:v>
      </x:c>
      <x:c r="F5157" s="13" t="str">
        <x:v>Deep Cyclicals</x:v>
      </x:c>
      <x:c r="G5157" s="13" t="str">
        <x:v>grid_asitui1y.xlsx</x:v>
      </x:c>
    </x:row>
    <x:row r="5158">
      <x:c r="A5158" s="15" t="n">
        <x:v>42705</x:v>
      </x:c>
      <x:c r="B5158" s="13" t="str">
        <x:v>CIA SIDERURGICA NACIONAL SA</x:v>
      </x:c>
      <x:c r="C5158" s="16" t="n">
        <x:v>-484.7023563397</x:v>
      </x:c>
      <x:c r="D5158" s="13" t="str">
        <x:v>Metals &amp; Mining</x:v>
      </x:c>
      <x:c r="E5158" s="13" t="str">
        <x:v>Metals &amp; Mining</x:v>
      </x:c>
      <x:c r="F5158" s="13" t="str">
        <x:v>Deep Cyclicals</x:v>
      </x:c>
      <x:c r="G5158" s="13" t="str">
        <x:v>grid_asitui1y.xlsx</x:v>
      </x:c>
    </x:row>
    <x:row r="5159">
      <x:c r="A5159" s="15" t="n">
        <x:v>42705</x:v>
      </x:c>
      <x:c r="B5159" s="13" t="str">
        <x:v>GERDAU SA-PREF</x:v>
      </x:c>
      <x:c r="C5159" s="16" t="n">
        <x:v>839.2734193973</x:v>
      </x:c>
      <x:c r="D5159" s="13" t="str">
        <x:v>Metals &amp; Mining</x:v>
      </x:c>
      <x:c r="E5159" s="13" t="str">
        <x:v>Metals &amp; Mining</x:v>
      </x:c>
      <x:c r="F5159" s="13" t="str">
        <x:v>Deep Cyclicals</x:v>
      </x:c>
      <x:c r="G5159" s="13" t="str">
        <x:v>grid_asitui1y.xlsx</x:v>
      </x:c>
    </x:row>
    <x:row r="5160">
      <x:c r="A5160" s="15" t="n">
        <x:v>42705</x:v>
      </x:c>
      <x:c r="B5160" s="13" t="str">
        <x:v>METALURGICA GERDAU SA-PREF</x:v>
      </x:c>
      <x:c r="C5160" s="16" t="n">
        <x:v>732.3890410959</x:v>
      </x:c>
      <x:c r="D5160" s="13" t="str">
        <x:v>Metals &amp; Mining</x:v>
      </x:c>
      <x:c r="E5160" s="13" t="str">
        <x:v>Metals &amp; Mining</x:v>
      </x:c>
      <x:c r="F5160" s="13" t="str">
        <x:v>Deep Cyclicals</x:v>
      </x:c>
      <x:c r="G5160" s="13" t="str">
        <x:v>grid_asitui1y.xlsx</x:v>
      </x:c>
    </x:row>
    <x:row r="5161">
      <x:c r="A5161" s="15" t="n">
        <x:v>42705</x:v>
      </x:c>
      <x:c r="B5161" s="13" t="str">
        <x:v>USINAS SIDER MINAS GER-PF A</x:v>
      </x:c>
      <x:c r="C5161" s="16" t="n">
        <x:v>-375.6116550137</x:v>
      </x:c>
      <x:c r="D5161" s="13" t="str">
        <x:v>Metals &amp; Mining</x:v>
      </x:c>
      <x:c r="E5161" s="13" t="str">
        <x:v>Metals &amp; Mining</x:v>
      </x:c>
      <x:c r="F5161" s="13" t="str">
        <x:v>Deep Cyclicals</x:v>
      </x:c>
      <x:c r="G5161" s="13" t="str">
        <x:v>grid_asitui1y.xlsx</x:v>
      </x:c>
    </x:row>
    <x:row r="5162">
      <x:c r="A5162" s="15" t="n">
        <x:v>42705</x:v>
      </x:c>
      <x:c r="B5162" s="13" t="str">
        <x:v>VALE SA</x:v>
      </x:c>
      <x:c r="C5162" s="16" t="n">
        <x:v>12408.6987256986</x:v>
      </x:c>
      <x:c r="D5162" s="13" t="str">
        <x:v>Metals &amp; Mining</x:v>
      </x:c>
      <x:c r="E5162" s="13" t="str">
        <x:v>Metals &amp; Mining</x:v>
      </x:c>
      <x:c r="F5162" s="13" t="str">
        <x:v>Deep Cyclicals</x:v>
      </x:c>
      <x:c r="G5162" s="13" t="str">
        <x:v>grid_asitui1y.xlsx</x:v>
      </x:c>
    </x:row>
    <x:row r="5163">
      <x:c r="A5163" s="15" t="n">
        <x:v>42705</x:v>
      </x:c>
      <x:c r="B5163" s="13" t="str">
        <x:v>BRASKEM SA-PREF A</x:v>
      </x:c>
      <x:c r="C5163" s="16" t="n">
        <x:v>3071.1756393206</x:v>
      </x:c>
      <x:c r="D5163" s="13" t="str">
        <x:v>Oil, Gas &amp; Petrochemicals</x:v>
      </x:c>
      <x:c r="E5163" s="13" t="str">
        <x:v>Oil, Gas &amp; Petrochemicals</x:v>
      </x:c>
      <x:c r="F5163" s="13" t="str">
        <x:v>Deep Cyclicals</x:v>
      </x:c>
      <x:c r="G5163" s="13" t="str">
        <x:v>grid_asitui1y.xlsx</x:v>
      </x:c>
    </x:row>
    <x:row r="5164">
      <x:c r="A5164" s="15" t="n">
        <x:v>42705</x:v>
      </x:c>
      <x:c r="B5164" s="13" t="str">
        <x:v>COSAN SA</x:v>
      </x:c>
      <x:c r="C5164" s="16" t="n">
        <x:v>1317.2685248877</x:v>
      </x:c>
      <x:c r="D5164" s="13" t="str">
        <x:v>Oil, Gas &amp; Petrochemicals</x:v>
      </x:c>
      <x:c r="E5164" s="13" t="str">
        <x:v>Oil, Gas &amp; Petrochemicals</x:v>
      </x:c>
      <x:c r="F5164" s="13" t="str">
        <x:v>Deep Cyclicals</x:v>
      </x:c>
      <x:c r="G5164" s="13" t="str">
        <x:v>grid_asitui1y.xlsx</x:v>
      </x:c>
    </x:row>
    <x:row r="5165">
      <x:c r="A5165" s="15" t="n">
        <x:v>42705</x:v>
      </x:c>
      <x:c r="B5165" s="13" t="str">
        <x:v>PETROBRAS - PETROLEO BRAS</x:v>
      </x:c>
      <x:c r="C5165" s="16" t="n">
        <x:v>13903.0569731507</x:v>
      </x:c>
      <x:c r="D5165" s="13" t="str">
        <x:v>Oil, Gas &amp; Petrochemicals</x:v>
      </x:c>
      <x:c r="E5165" s="13" t="str">
        <x:v>Oil, Gas &amp; Petrochemicals</x:v>
      </x:c>
      <x:c r="F5165" s="13" t="str">
        <x:v>Deep Cyclicals</x:v>
      </x:c>
      <x:c r="G5165" s="13" t="str">
        <x:v>grid_asitui1y.xlsx</x:v>
      </x:c>
    </x:row>
    <x:row r="5166">
      <x:c r="A5166" s="15" t="n">
        <x:v>42705</x:v>
      </x:c>
      <x:c r="B5166" s="13" t="str">
        <x:v>ULTRAPAR PARTICIPACOES SA</x:v>
      </x:c>
      <x:c r="C5166" s="16" t="n">
        <x:v>1705.9928106082</x:v>
      </x:c>
      <x:c r="D5166" s="13" t="str">
        <x:v>Oil, Gas &amp; Petrochemicals</x:v>
      </x:c>
      <x:c r="E5166" s="13" t="str">
        <x:v>Oil, Gas &amp; Petrochemicals</x:v>
      </x:c>
      <x:c r="F5166" s="13" t="str">
        <x:v>Deep Cyclicals</x:v>
      </x:c>
      <x:c r="G5166" s="13" t="str">
        <x:v>grid_asitui1y.xlsx</x:v>
      </x:c>
    </x:row>
    <x:row r="5167">
      <x:c r="A5167" s="15" t="n">
        <x:v>42705</x:v>
      </x:c>
      <x:c r="B5167" s="13" t="str">
        <x:v>FIBRIA CELULOSE S/A</x:v>
      </x:c>
      <x:c r="C5167" s="16" t="n">
        <x:v>276.1629587288</x:v>
      </x:c>
      <x:c r="D5167" s="13" t="str">
        <x:v>Pulp &amp; Paper</x:v>
      </x:c>
      <x:c r="E5167" s="13" t="str">
        <x:v>Pulp &amp; Paper</x:v>
      </x:c>
      <x:c r="F5167" s="13" t="str">
        <x:v>Deep Cyclicals</x:v>
      </x:c>
      <x:c r="G5167" s="13" t="str">
        <x:v>grid_asitui1y.xlsx</x:v>
      </x:c>
    </x:row>
    <x:row r="5168">
      <x:c r="A5168" s="15" t="n">
        <x:v>42705</x:v>
      </x:c>
      <x:c r="B5168" s="13" t="str">
        <x:v>KLABIN SA - UNIT</x:v>
      </x:c>
      <x:c r="C5168" s="16" t="n">
        <x:v>911.7886046685</x:v>
      </x:c>
      <x:c r="D5168" s="13" t="str">
        <x:v>Pulp &amp; Paper</x:v>
      </x:c>
      <x:c r="E5168" s="13" t="str">
        <x:v>Pulp &amp; Paper</x:v>
      </x:c>
      <x:c r="F5168" s="13" t="str">
        <x:v>Deep Cyclicals</x:v>
      </x:c>
      <x:c r="G5168" s="13" t="str">
        <x:v>grid_asitui1y.xlsx</x:v>
      </x:c>
    </x:row>
    <x:row r="5169">
      <x:c r="A5169" s="15" t="n">
        <x:v>42705</x:v>
      </x:c>
      <x:c r="B5169" s="13" t="str">
        <x:v>SUZANO PAPEL E CELULO-PREF A</x:v>
      </x:c>
      <x:c r="C5169" s="16" t="n">
        <x:v>1061.4909980055</x:v>
      </x:c>
      <x:c r="D5169" s="13" t="str">
        <x:v>Pulp &amp; Paper</x:v>
      </x:c>
      <x:c r="E5169" s="13" t="str">
        <x:v>Pulp &amp; Paper</x:v>
      </x:c>
      <x:c r="F5169" s="13" t="str">
        <x:v>Deep Cyclicals</x:v>
      </x:c>
      <x:c r="G5169" s="13" t="str">
        <x:v>grid_asitui1y.xlsx</x:v>
      </x:c>
    </x:row>
    <x:row r="5170">
      <x:c r="A5170" s="15" t="n">
        <x:v>42705</x:v>
      </x:c>
      <x:c r="B5170" s="13" t="str">
        <x:v>CIA BRASILEIRA DE DIS-PREF</x:v>
      </x:c>
      <x:c r="C5170" s="16" t="n">
        <x:v>443.6476978411</x:v>
      </x:c>
      <x:c r="D5170" s="13" t="str">
        <x:v>Retail</x:v>
      </x:c>
      <x:c r="E5170" s="13" t="str">
        <x:v>Retail</x:v>
      </x:c>
      <x:c r="F5170" s="13" t="str">
        <x:v>Early Cyclicals</x:v>
      </x:c>
      <x:c r="G5170" s="13" t="str">
        <x:v>grid_asitui1y.xlsx</x:v>
      </x:c>
    </x:row>
    <x:row r="5171">
      <x:c r="A5171" s="15" t="n">
        <x:v>42705</x:v>
      </x:c>
      <x:c r="B5171" s="13" t="str">
        <x:v>LOJAS AMERICANAS SA-PREF</x:v>
      </x:c>
      <x:c r="C5171" s="16" t="n">
        <x:v>596.7356513315</x:v>
      </x:c>
      <x:c r="D5171" s="13" t="str">
        <x:v>Retail</x:v>
      </x:c>
      <x:c r="E5171" s="13" t="str">
        <x:v>Retail</x:v>
      </x:c>
      <x:c r="F5171" s="13" t="str">
        <x:v>Early Cyclicals</x:v>
      </x:c>
      <x:c r="G5171" s="13" t="str">
        <x:v>grid_asitui1y.xlsx</x:v>
      </x:c>
    </x:row>
    <x:row r="5172">
      <x:c r="A5172" s="15" t="n">
        <x:v>42705</x:v>
      </x:c>
      <x:c r="B5172" s="13" t="str">
        <x:v>LOJAS RENNER S.A.</x:v>
      </x:c>
      <x:c r="C5172" s="16" t="n">
        <x:v>754.2358976877</x:v>
      </x:c>
      <x:c r="D5172" s="13" t="str">
        <x:v>Retail</x:v>
      </x:c>
      <x:c r="E5172" s="13" t="str">
        <x:v>Retail</x:v>
      </x:c>
      <x:c r="F5172" s="13" t="str">
        <x:v>Early Cyclicals</x:v>
      </x:c>
      <x:c r="G5172" s="13" t="str">
        <x:v>grid_asitui1y.xlsx</x:v>
      </x:c>
    </x:row>
    <x:row r="5173">
      <x:c r="A5173" s="15" t="n">
        <x:v>42705</x:v>
      </x:c>
      <x:c r="B5173" s="13" t="str">
        <x:v>NATURA COSMETICOS SA</x:v>
      </x:c>
      <x:c r="C5173" s="16" t="n">
        <x:v>551.1508678137</x:v>
      </x:c>
      <x:c r="D5173" s="13" t="str">
        <x:v>Retail</x:v>
      </x:c>
      <x:c r="E5173" s="13" t="str">
        <x:v>Retail</x:v>
      </x:c>
      <x:c r="F5173" s="13" t="str">
        <x:v>Early Cyclicals</x:v>
      </x:c>
      <x:c r="G5173" s="13" t="str">
        <x:v>grid_asitui1y.xlsx</x:v>
      </x:c>
    </x:row>
    <x:row r="5174">
      <x:c r="A5174" s="15" t="n">
        <x:v>42705</x:v>
      </x:c>
      <x:c r="B5174" s="13" t="str">
        <x:v>RAIA DROGASIL SA</x:v>
      </x:c>
      <x:c r="C5174" s="16" t="n">
        <x:v>620.5305145863</x:v>
      </x:c>
      <x:c r="D5174" s="13" t="str">
        <x:v>Retail</x:v>
      </x:c>
      <x:c r="E5174" s="13" t="str">
        <x:v>Retail</x:v>
      </x:c>
      <x:c r="F5174" s="13" t="str">
        <x:v>Early Cyclicals</x:v>
      </x:c>
      <x:c r="G5174" s="13" t="str">
        <x:v>grid_asitui1y.xlsx</x:v>
      </x:c>
    </x:row>
    <x:row r="5175">
      <x:c r="A5175" s="15" t="n">
        <x:v>42705</x:v>
      </x:c>
      <x:c r="B5175" s="13" t="str">
        <x:v>CIA SANEAMENTO BASICO DE SP</x:v>
      </x:c>
      <x:c r="C5175" s="16" t="n">
        <x:v>2352.9983698411</x:v>
      </x:c>
      <x:c r="D5175" s="13" t="str">
        <x:v>Sanitation</x:v>
      </x:c>
      <x:c r="E5175" s="13" t="str">
        <x:v>Utilities</x:v>
      </x:c>
      <x:c r="F5175" s="13" t="str">
        <x:v>Defensives</x:v>
      </x:c>
      <x:c r="G5175" s="13" t="str">
        <x:v>grid_asitui1y.xlsx</x:v>
      </x:c>
    </x:row>
    <x:row r="5176">
      <x:c r="A5176" s="15" t="n">
        <x:v>42705</x:v>
      </x:c>
      <x:c r="B5176" s="13" t="str">
        <x:v>TELEFONICA BRASIL S.A.-PREF</x:v>
      </x:c>
      <x:c r="C5176" s="16" t="n">
        <x:v>5238.2021351452</x:v>
      </x:c>
      <x:c r="D5176" s="13" t="str">
        <x:v>TMT</x:v>
      </x:c>
      <x:c r="E5176" s="13" t="str">
        <x:v>TMT</x:v>
      </x:c>
      <x:c r="F5176" s="13" t="str">
        <x:v>Early Cyclicals</x:v>
      </x:c>
      <x:c r="G5176" s="13" t="str">
        <x:v>grid_asitui1y.xlsx</x:v>
      </x:c>
    </x:row>
    <x:row r="5177">
      <x:c r="A5177" s="15" t="n">
        <x:v>42705</x:v>
      </x:c>
      <x:c r="B5177" s="13" t="str">
        <x:v>TIM SA</x:v>
      </x:c>
      <x:c r="C5177" s="16" t="n">
        <x:v>693.6459865425</x:v>
      </x:c>
      <x:c r="D5177" s="13" t="str">
        <x:v>TMT</x:v>
      </x:c>
      <x:c r="E5177" s="13" t="str">
        <x:v>TMT</x:v>
      </x:c>
      <x:c r="F5177" s="13" t="str">
        <x:v>Early Cyclicals</x:v>
      </x:c>
      <x:c r="G5177" s="13" t="str">
        <x:v>grid_asitui1y.xlsx</x:v>
      </x:c>
    </x:row>
    <x:row r="5178">
      <x:c r="A5178" s="15" t="n">
        <x:v>42705</x:v>
      </x:c>
      <x:c r="B5178" s="13" t="str">
        <x:v>ECORODOVIAS INFRA E LOG SA</x:v>
      </x:c>
      <x:c r="C5178" s="16" t="n">
        <x:v>381.7791780822</x:v>
      </x:c>
      <x:c r="D5178" s="13" t="str">
        <x:v>Transportation</x:v>
      </x:c>
      <x:c r="E5178" s="13" t="str">
        <x:v>Transportation</x:v>
      </x:c>
      <x:c r="F5178" s="13" t="str">
        <x:v>Deep Cyclicals</x:v>
      </x:c>
      <x:c r="G5178" s="13" t="str">
        <x:v>grid_asitui1y.xlsx</x:v>
      </x:c>
    </x:row>
    <x:row r="5179">
      <x:c r="A5179" s="15" t="n">
        <x:v>42705</x:v>
      </x:c>
      <x:c r="B5179" s="13" t="str">
        <x:v>LOCALIZA RENT A CAR</x:v>
      </x:c>
      <x:c r="C5179" s="16" t="n">
        <x:v>436.7919507288</x:v>
      </x:c>
      <x:c r="D5179" s="13" t="str">
        <x:v>Transportation</x:v>
      </x:c>
      <x:c r="E5179" s="13" t="str">
        <x:v>Transportation</x:v>
      </x:c>
      <x:c r="F5179" s="13" t="str">
        <x:v>Deep Cyclicals</x:v>
      </x:c>
      <x:c r="G5179" s="13" t="str">
        <x:v>grid_asitui1y.xlsx</x:v>
      </x:c>
    </x:row>
    <x:row r="5180">
      <x:c r="A5180" s="15" t="n">
        <x:v>42705</x:v>
      </x:c>
      <x:c r="B5180" s="13" t="str">
        <x:v>MOTIVA INFRAESTRUTURA DE MOB</x:v>
      </x:c>
      <x:c r="C5180" s="16" t="n">
        <x:v>1276.6357854685</x:v>
      </x:c>
      <x:c r="D5180" s="13" t="str">
        <x:v>Transportation</x:v>
      </x:c>
      <x:c r="E5180" s="13" t="str">
        <x:v>Transportation</x:v>
      </x:c>
      <x:c r="F5180" s="13" t="str">
        <x:v>Deep Cyclicals</x:v>
      </x:c>
      <x:c r="G5180" s="13" t="str">
        <x:v>grid_asitui1y.xlsx</x:v>
      </x:c>
    </x:row>
    <x:row r="5181">
      <x:c r="A5181" s="15" t="n">
        <x:v>42705</x:v>
      </x:c>
      <x:c r="B5181" s="13" t="str">
        <x:v>AXIA ENERGIA SA</x:v>
      </x:c>
      <x:c r="C5181" s="16" t="n">
        <x:v>932.9958897973</x:v>
      </x:c>
      <x:c r="D5181" s="13" t="str">
        <x:v>Utilities &amp; Energy</x:v>
      </x:c>
      <x:c r="E5181" s="13" t="str">
        <x:v>Utilities</x:v>
      </x:c>
      <x:c r="F5181" s="13" t="str">
        <x:v>Defensives</x:v>
      </x:c>
      <x:c r="G5181" s="13" t="str">
        <x:v>grid_asitui1y.xlsx</x:v>
      </x:c>
    </x:row>
    <x:row r="5182">
      <x:c r="A5182" s="15" t="n">
        <x:v>42705</x:v>
      </x:c>
      <x:c r="B5182" s="13" t="str">
        <x:v>CIA ENERGETICA MINAS GER-PRF</x:v>
      </x:c>
      <x:c r="C5182" s="16" t="n">
        <x:v>1392.9764785096</x:v>
      </x:c>
      <x:c r="D5182" s="13" t="str">
        <x:v>Utilities &amp; Energy</x:v>
      </x:c>
      <x:c r="E5182" s="13" t="str">
        <x:v>Utilities</x:v>
      </x:c>
      <x:c r="F5182" s="13" t="str">
        <x:v>Defensives</x:v>
      </x:c>
      <x:c r="G5182" s="13" t="str">
        <x:v>grid_asitui1y.xlsx</x:v>
      </x:c>
    </x:row>
    <x:row r="5183">
      <x:c r="A5183" s="15" t="n">
        <x:v>42705</x:v>
      </x:c>
      <x:c r="B5183" s="13" t="str">
        <x:v>COMPANHIA PARANAENSE -PREF B</x:v>
      </x:c>
      <x:c r="C5183" s="16" t="n">
        <x:v>1272.2180113534</x:v>
      </x:c>
      <x:c r="D5183" s="13" t="str">
        <x:v>Utilities &amp; Energy</x:v>
      </x:c>
      <x:c r="E5183" s="13" t="str">
        <x:v>Utilities</x:v>
      </x:c>
      <x:c r="F5183" s="13" t="str">
        <x:v>Defensives</x:v>
      </x:c>
      <x:c r="G5183" s="13" t="str">
        <x:v>grid_asitui1y.xlsx</x:v>
      </x:c>
    </x:row>
    <x:row r="5184">
      <x:c r="A5184" s="15" t="n">
        <x:v>42705</x:v>
      </x:c>
      <x:c r="B5184" s="13" t="str">
        <x:v>CPFL ENERGIA SA</x:v>
      </x:c>
      <x:c r="C5184" s="16" t="n">
        <x:v>1287.8189862575</x:v>
      </x:c>
      <x:c r="D5184" s="13" t="str">
        <x:v>Utilities &amp; Energy</x:v>
      </x:c>
      <x:c r="E5184" s="13" t="str">
        <x:v>Utilities</x:v>
      </x:c>
      <x:c r="F5184" s="13" t="str">
        <x:v>Defensives</x:v>
      </x:c>
      <x:c r="G5184" s="13" t="str">
        <x:v>grid_asitui1y.xlsx</x:v>
      </x:c>
    </x:row>
    <x:row r="5185">
      <x:c r="A5185" s="15" t="n">
        <x:v>42705</x:v>
      </x:c>
      <x:c r="B5185" s="13" t="str">
        <x:v>EDP - ENERGIAS DO BRASIL SA</x:v>
      </x:c>
      <x:c r="C5185" s="16" t="n">
        <x:v>672.6778241753</x:v>
      </x:c>
      <x:c r="D5185" s="13" t="str">
        <x:v>Utilities &amp; Energy</x:v>
      </x:c>
      <x:c r="E5185" s="13" t="str">
        <x:v>Utilities</x:v>
      </x:c>
      <x:c r="F5185" s="13" t="str">
        <x:v>Defensives</x:v>
      </x:c>
      <x:c r="G5185" s="13" t="str">
        <x:v>grid_asitui1y.xlsx</x:v>
      </x:c>
    </x:row>
    <x:row r="5186">
      <x:c r="A5186" s="15" t="n">
        <x:v>42705</x:v>
      </x:c>
      <x:c r="B5186" s="13" t="str">
        <x:v>ENGIE BRASIL ENERGIA SA</x:v>
      </x:c>
      <x:c r="C5186" s="16" t="n">
        <x:v>2030.3402783562</x:v>
      </x:c>
      <x:c r="D5186" s="13" t="str">
        <x:v>Utilities &amp; Energy</x:v>
      </x:c>
      <x:c r="E5186" s="13" t="str">
        <x:v>Utilities</x:v>
      </x:c>
      <x:c r="F5186" s="13" t="str">
        <x:v>Defensives</x:v>
      </x:c>
      <x:c r="G5186" s="13" t="str">
        <x:v>grid_asitui1y.xlsx</x:v>
      </x:c>
    </x:row>
    <x:row r="5187">
      <x:c r="A5187" s="15" t="n">
        <x:v>42705</x:v>
      </x:c>
      <x:c r="B5187" s="13" t="str">
        <x:v>EQUATORIAL SA - ORD</x:v>
      </x:c>
      <x:c r="C5187" s="16" t="n">
        <x:v>884.1686145753</x:v>
      </x:c>
      <x:c r="D5187" s="13" t="str">
        <x:v>Utilities &amp; Energy</x:v>
      </x:c>
      <x:c r="E5187" s="13" t="str">
        <x:v>Utilities</x:v>
      </x:c>
      <x:c r="F5187" s="13" t="str">
        <x:v>Defensives</x:v>
      </x:c>
      <x:c r="G5187" s="13" t="str">
        <x:v>grid_asitui1y.xlsx</x:v>
      </x:c>
    </x:row>
    <x:row r="5188">
      <x:c r="A5188" s="15" t="n">
        <x:v>42736</x:v>
      </x:c>
      <x:c r="B5188" s="13" t="str">
        <x:v>BANCO BRADESCO S.A.</x:v>
      </x:c>
      <x:c r="C5188" s="16" t="n">
        <x:v>19018.3730246137</x:v>
      </x:c>
      <x:c r="D5188" s="13" t="str">
        <x:v>Banks</x:v>
      </x:c>
      <x:c r="E5188" s="13" t="str">
        <x:v>Banks</x:v>
      </x:c>
      <x:c r="F5188" s="13" t="str">
        <x:v>Financials</x:v>
      </x:c>
      <x:c r="G5188" s="13" t="str">
        <x:v>grid_asitui1y.xlsx</x:v>
      </x:c>
    </x:row>
    <x:row r="5189">
      <x:c r="A5189" s="15" t="n">
        <x:v>42736</x:v>
      </x:c>
      <x:c r="B5189" s="13" t="str">
        <x:v>BANCO BRADESCO SA-PREF</x:v>
      </x:c>
      <x:c r="C5189" s="16" t="n">
        <x:v>19018.3730246137</x:v>
      </x:c>
      <x:c r="D5189" s="13" t="str">
        <x:v>Banks</x:v>
      </x:c>
      <x:c r="E5189" s="13" t="str">
        <x:v>Banks</x:v>
      </x:c>
      <x:c r="F5189" s="13" t="str">
        <x:v>Financials</x:v>
      </x:c>
      <x:c r="G5189" s="13" t="str">
        <x:v>grid_asitui1y.xlsx</x:v>
      </x:c>
    </x:row>
    <x:row r="5190">
      <x:c r="A5190" s="15" t="n">
        <x:v>42736</x:v>
      </x:c>
      <x:c r="B5190" s="13" t="str">
        <x:v>BANCO DO BRASIL S.A.</x:v>
      </x:c>
      <x:c r="C5190" s="16" t="n">
        <x:v>11252.6442524055</x:v>
      </x:c>
      <x:c r="D5190" s="13" t="str">
        <x:v>Banks</x:v>
      </x:c>
      <x:c r="E5190" s="13" t="str">
        <x:v>Banks</x:v>
      </x:c>
      <x:c r="F5190" s="13" t="str">
        <x:v>Financials</x:v>
      </x:c>
      <x:c r="G5190" s="13" t="str">
        <x:v>grid_asitui1y.xlsx</x:v>
      </x:c>
    </x:row>
    <x:row r="5191">
      <x:c r="A5191" s="15" t="n">
        <x:v>42736</x:v>
      </x:c>
      <x:c r="B5191" s="13" t="str">
        <x:v>BANCO SANTANDER  BRASIL-UNIT</x:v>
      </x:c>
      <x:c r="C5191" s="16" t="n">
        <x:v>7555.2062015123</x:v>
      </x:c>
      <x:c r="D5191" s="13" t="str">
        <x:v>Banks</x:v>
      </x:c>
      <x:c r="E5191" s="13" t="str">
        <x:v>Banks</x:v>
      </x:c>
      <x:c r="F5191" s="13" t="str">
        <x:v>Financials</x:v>
      </x:c>
      <x:c r="G5191" s="13" t="str">
        <x:v>grid_asitui1y.xlsx</x:v>
      </x:c>
    </x:row>
    <x:row r="5192">
      <x:c r="A5192" s="15" t="n">
        <x:v>42736</x:v>
      </x:c>
      <x:c r="B5192" s="13" t="str">
        <x:v>ITAU UNIBANCO HOLDING S-PREF</x:v>
      </x:c>
      <x:c r="C5192" s="16" t="n">
        <x:v>23165.4985279123</x:v>
      </x:c>
      <x:c r="D5192" s="13" t="str">
        <x:v>Banks</x:v>
      </x:c>
      <x:c r="E5192" s="13" t="str">
        <x:v>Banks</x:v>
      </x:c>
      <x:c r="F5192" s="13" t="str">
        <x:v>Financials</x:v>
      </x:c>
      <x:c r="G5192" s="13" t="str">
        <x:v>grid_asitui1y.xlsx</x:v>
      </x:c>
    </x:row>
    <x:row r="5193">
      <x:c r="A5193" s="15" t="n">
        <x:v>42736</x:v>
      </x:c>
      <x:c r="B5193" s="13" t="str">
        <x:v>EMBRAER SA</x:v>
      </x:c>
      <x:c r="C5193" s="16" t="n">
        <x:v>1078.4132315178</x:v>
      </x:c>
      <x:c r="D5193" s="13" t="str">
        <x:v>Capital Goods</x:v>
      </x:c>
      <x:c r="E5193" s="13" t="str">
        <x:v>Capital Goods</x:v>
      </x:c>
      <x:c r="F5193" s="13" t="str">
        <x:v>Deep Cyclicals</x:v>
      </x:c>
      <x:c r="G5193" s="13" t="str">
        <x:v>grid_asitui1y.xlsx</x:v>
      </x:c>
    </x:row>
    <x:row r="5194">
      <x:c r="A5194" s="15" t="n">
        <x:v>42736</x:v>
      </x:c>
      <x:c r="B5194" s="13" t="str">
        <x:v>WEG SA</x:v>
      </x:c>
      <x:c r="C5194" s="16" t="n">
        <x:v>1282.4433159014</x:v>
      </x:c>
      <x:c r="D5194" s="13" t="str">
        <x:v>Capital Goods</x:v>
      </x:c>
      <x:c r="E5194" s="13" t="str">
        <x:v>Capital Goods</x:v>
      </x:c>
      <x:c r="F5194" s="13" t="str">
        <x:v>Deep Cyclicals</x:v>
      </x:c>
      <x:c r="G5194" s="13" t="str">
        <x:v>grid_asitui1y.xlsx</x:v>
      </x:c>
    </x:row>
    <x:row r="5195">
      <x:c r="A5195" s="15" t="n">
        <x:v>42736</x:v>
      </x:c>
      <x:c r="B5195" s="13" t="str">
        <x:v>COGNA EDUCACAO</x:v>
      </x:c>
      <x:c r="C5195" s="16" t="n">
        <x:v>2182.4879587945</x:v>
      </x:c>
      <x:c r="D5195" s="13" t="str">
        <x:v>Education</x:v>
      </x:c>
      <x:c r="E5195" s="13" t="str">
        <x:v>Education</x:v>
      </x:c>
      <x:c r="F5195" s="13" t="str">
        <x:v>Early Cyclicals</x:v>
      </x:c>
      <x:c r="G5195" s="13" t="str">
        <x:v>grid_asitui1y.xlsx</x:v>
      </x:c>
    </x:row>
    <x:row r="5196">
      <x:c r="A5196" s="15" t="n">
        <x:v>42736</x:v>
      </x:c>
      <x:c r="B5196" s="13" t="str">
        <x:v>YDUQS PARTICIPACOES SA</x:v>
      </x:c>
      <x:c r="C5196" s="16" t="n">
        <x:v>553.0130684493</x:v>
      </x:c>
      <x:c r="D5196" s="13" t="str">
        <x:v>Education</x:v>
      </x:c>
      <x:c r="E5196" s="13" t="str">
        <x:v>Education</x:v>
      </x:c>
      <x:c r="F5196" s="13" t="str">
        <x:v>Early Cyclicals</x:v>
      </x:c>
      <x:c r="G5196" s="13" t="str">
        <x:v>grid_asitui1y.xlsx</x:v>
      </x:c>
    </x:row>
    <x:row r="5197">
      <x:c r="A5197" s="15" t="n">
        <x:v>42736</x:v>
      </x:c>
      <x:c r="B5197" s="13" t="str">
        <x:v>B3 SA-BRASIL BOLSA BALCAO</x:v>
      </x:c>
      <x:c r="C5197" s="16" t="n">
        <x:v>2123.339667989</x:v>
      </x:c>
      <x:c r="D5197" s="13" t="str">
        <x:v>Financials Non-Banks</x:v>
      </x:c>
      <x:c r="E5197" s="13" t="str">
        <x:v>Financials Non-Banks</x:v>
      </x:c>
      <x:c r="F5197" s="13" t="str">
        <x:v>Financials</x:v>
      </x:c>
      <x:c r="G5197" s="13" t="str">
        <x:v>grid_asitui1y.xlsx</x:v>
      </x:c>
    </x:row>
    <x:row r="5198">
      <x:c r="A5198" s="15" t="n">
        <x:v>42736</x:v>
      </x:c>
      <x:c r="B5198" s="13" t="str">
        <x:v>BB SEGURIDADE PARTICIPACOES</x:v>
      </x:c>
      <x:c r="C5198" s="16" t="n">
        <x:v>4402.9322983452</x:v>
      </x:c>
      <x:c r="D5198" s="13" t="str">
        <x:v>Financials Non-Banks</x:v>
      </x:c>
      <x:c r="E5198" s="13" t="str">
        <x:v>Financials Non-Banks</x:v>
      </x:c>
      <x:c r="F5198" s="13" t="str">
        <x:v>Financials</x:v>
      </x:c>
      <x:c r="G5198" s="13" t="str">
        <x:v>grid_asitui1y.xlsx</x:v>
      </x:c>
    </x:row>
    <x:row r="5199">
      <x:c r="A5199" s="15" t="n">
        <x:v>42736</x:v>
      </x:c>
      <x:c r="B5199" s="13" t="str">
        <x:v>CETIP SA-MERCADOS ORGANIZADO</x:v>
      </x:c>
      <x:c r="C5199" s="16" t="n">
        <x:v>696.2498337315</x:v>
      </x:c>
      <x:c r="D5199" s="13" t="str">
        <x:v>Financials Non-Banks</x:v>
      </x:c>
      <x:c r="E5199" s="13" t="str">
        <x:v>Financials Non-Banks</x:v>
      </x:c>
      <x:c r="F5199" s="13" t="str">
        <x:v>Financials</x:v>
      </x:c>
      <x:c r="G5199" s="13" t="str">
        <x:v>grid_asitui1y.xlsx</x:v>
      </x:c>
    </x:row>
    <x:row r="5200">
      <x:c r="A5200" s="15" t="n">
        <x:v>42736</x:v>
      </x:c>
      <x:c r="B5200" s="13" t="str">
        <x:v>CIELO SA - INSTITUICAO DE PA</x:v>
      </x:c>
      <x:c r="C5200" s="16" t="n">
        <x:v>4720.7526357918</x:v>
      </x:c>
      <x:c r="D5200" s="13" t="str">
        <x:v>Financials Non-Banks</x:v>
      </x:c>
      <x:c r="E5200" s="13" t="str">
        <x:v>Financials Non-Banks</x:v>
      </x:c>
      <x:c r="F5200" s="13" t="str">
        <x:v>Financials</x:v>
      </x:c>
      <x:c r="G5200" s="13" t="str">
        <x:v>grid_asitui1y.xlsx</x:v>
      </x:c>
    </x:row>
    <x:row r="5201">
      <x:c r="A5201" s="15" t="n">
        <x:v>42736</x:v>
      </x:c>
      <x:c r="B5201" s="13" t="str">
        <x:v>ITAUSA SA</x:v>
      </x:c>
      <x:c r="C5201" s="16" t="n">
        <x:v>7797.7395340274</x:v>
      </x:c>
      <x:c r="D5201" s="13" t="str">
        <x:v>Financials Non-Banks</x:v>
      </x:c>
      <x:c r="E5201" s="13" t="str">
        <x:v>Financials Non-Banks</x:v>
      </x:c>
      <x:c r="F5201" s="13" t="str">
        <x:v>Financials</x:v>
      </x:c>
      <x:c r="G5201" s="13" t="str">
        <x:v>grid_asitui1y.xlsx</x:v>
      </x:c>
    </x:row>
    <x:row r="5202">
      <x:c r="A5202" s="15" t="n">
        <x:v>42736</x:v>
      </x:c>
      <x:c r="B5202" s="13" t="str">
        <x:v>AMBEV SA</x:v>
      </x:c>
      <x:c r="C5202" s="16" t="n">
        <x:v>13736.4907190356</x:v>
      </x:c>
      <x:c r="D5202" s="13" t="str">
        <x:v>Food &amp; Beverages</x:v>
      </x:c>
      <x:c r="E5202" s="13" t="str">
        <x:v>Agri, Food &amp; Beverages</x:v>
      </x:c>
      <x:c r="F5202" s="13" t="str">
        <x:v>Defensives</x:v>
      </x:c>
      <x:c r="G5202" s="13" t="str">
        <x:v>grid_asitui1y.xlsx</x:v>
      </x:c>
    </x:row>
    <x:row r="5203">
      <x:c r="A5203" s="15" t="n">
        <x:v>42736</x:v>
      </x:c>
      <x:c r="B5203" s="13" t="str">
        <x:v>BRF SA</x:v>
      </x:c>
      <x:c r="C5203" s="16" t="n">
        <x:v>2168.8074282082</x:v>
      </x:c>
      <x:c r="D5203" s="13" t="str">
        <x:v>Food &amp; Beverages</x:v>
      </x:c>
      <x:c r="E5203" s="13" t="str">
        <x:v>Agri, Food &amp; Beverages</x:v>
      </x:c>
      <x:c r="F5203" s="13" t="str">
        <x:v>Defensives</x:v>
      </x:c>
      <x:c r="G5203" s="13" t="str">
        <x:v>grid_asitui1y.xlsx</x:v>
      </x:c>
    </x:row>
    <x:row r="5204">
      <x:c r="A5204" s="15" t="n">
        <x:v>42736</x:v>
      </x:c>
      <x:c r="B5204" s="13" t="str">
        <x:v>JBS SA</x:v>
      </x:c>
      <x:c r="C5204" s="16" t="n">
        <x:v>4170.5936264767</x:v>
      </x:c>
      <x:c r="D5204" s="13" t="str">
        <x:v>Food &amp; Beverages</x:v>
      </x:c>
      <x:c r="E5204" s="13" t="str">
        <x:v>Agri, Food &amp; Beverages</x:v>
      </x:c>
      <x:c r="F5204" s="13" t="str">
        <x:v>Defensives</x:v>
      </x:c>
      <x:c r="G5204" s="13" t="str">
        <x:v>grid_asitui1y.xlsx</x:v>
      </x:c>
    </x:row>
    <x:row r="5205">
      <x:c r="A5205" s="15" t="n">
        <x:v>42736</x:v>
      </x:c>
      <x:c r="B5205" s="13" t="str">
        <x:v>MBRF GLOBAL FOODS COMPANY SA</x:v>
      </x:c>
      <x:c r="C5205" s="16" t="n">
        <x:v>137.2868493151</x:v>
      </x:c>
      <x:c r="D5205" s="13" t="str">
        <x:v>Food &amp; Beverages</x:v>
      </x:c>
      <x:c r="E5205" s="13" t="str">
        <x:v>Agri, Food &amp; Beverages</x:v>
      </x:c>
      <x:c r="F5205" s="13" t="str">
        <x:v>Defensives</x:v>
      </x:c>
      <x:c r="G5205" s="13" t="str">
        <x:v>grid_asitui1y.xlsx</x:v>
      </x:c>
    </x:row>
    <x:row r="5206">
      <x:c r="A5206" s="15" t="n">
        <x:v>42736</x:v>
      </x:c>
      <x:c r="B5206" s="13" t="str">
        <x:v>HYPERA SA</x:v>
      </x:c>
      <x:c r="C5206" s="16" t="n">
        <x:v>962.4124356384</x:v>
      </x:c>
      <x:c r="D5206" s="13" t="str">
        <x:v>Health Care</x:v>
      </x:c>
      <x:c r="E5206" s="13" t="str">
        <x:v>Health Care</x:v>
      </x:c>
      <x:c r="F5206" s="13" t="str">
        <x:v>Defensives</x:v>
      </x:c>
      <x:c r="G5206" s="13" t="str">
        <x:v>grid_asitui1y.xlsx</x:v>
      </x:c>
    </x:row>
    <x:row r="5207">
      <x:c r="A5207" s="15" t="n">
        <x:v>42736</x:v>
      </x:c>
      <x:c r="B5207" s="13" t="str">
        <x:v>QUALICORP CONS E CORR SEG SA</x:v>
      </x:c>
      <x:c r="C5207" s="16" t="n">
        <x:v>419.9578611726</x:v>
      </x:c>
      <x:c r="D5207" s="13" t="str">
        <x:v>Health Care</x:v>
      </x:c>
      <x:c r="E5207" s="13" t="str">
        <x:v>Health Care</x:v>
      </x:c>
      <x:c r="F5207" s="13" t="str">
        <x:v>Defensives</x:v>
      </x:c>
      <x:c r="G5207" s="13" t="str">
        <x:v>grid_asitui1y.xlsx</x:v>
      </x:c>
    </x:row>
    <x:row r="5208">
      <x:c r="A5208" s="15" t="n">
        <x:v>42736</x:v>
      </x:c>
      <x:c r="B5208" s="13" t="str">
        <x:v>CYRELA BRAZIL REALTY SA EMP</x:v>
      </x:c>
      <x:c r="C5208" s="16" t="n">
        <x:v>149.7862102795</x:v>
      </x:c>
      <x:c r="D5208" s="13" t="str">
        <x:v>Homebuilders</x:v>
      </x:c>
      <x:c r="E5208" s="13" t="str">
        <x:v>Real Estate</x:v>
      </x:c>
      <x:c r="F5208" s="13" t="str">
        <x:v>Early Cyclicals</x:v>
      </x:c>
      <x:c r="G5208" s="13" t="str">
        <x:v>grid_asitui1y.xlsx</x:v>
      </x:c>
    </x:row>
    <x:row r="5209">
      <x:c r="A5209" s="15" t="n">
        <x:v>42736</x:v>
      </x:c>
      <x:c r="B5209" s="13" t="str">
        <x:v>MRV ENGENHARIA</x:v>
      </x:c>
      <x:c r="C5209" s="16" t="n">
        <x:v>665.2005909041</x:v>
      </x:c>
      <x:c r="D5209" s="13" t="str">
        <x:v>Homebuilders</x:v>
      </x:c>
      <x:c r="E5209" s="13" t="str">
        <x:v>Real Estate</x:v>
      </x:c>
      <x:c r="F5209" s="13" t="str">
        <x:v>Early Cyclicals</x:v>
      </x:c>
      <x:c r="G5209" s="13" t="str">
        <x:v>grid_asitui1y.xlsx</x:v>
      </x:c>
    </x:row>
    <x:row r="5210">
      <x:c r="A5210" s="15" t="n">
        <x:v>42736</x:v>
      </x:c>
      <x:c r="B5210" s="13" t="str">
        <x:v>BR MALLS PARTICIPACOES SA</x:v>
      </x:c>
      <x:c r="C5210" s="16" t="n">
        <x:v>363.4505518466</x:v>
      </x:c>
      <x:c r="D5210" s="13" t="str">
        <x:v>Income Properties</x:v>
      </x:c>
      <x:c r="E5210" s="13" t="str">
        <x:v>Real Estate</x:v>
      </x:c>
      <x:c r="F5210" s="13" t="str">
        <x:v>Early Cyclicals</x:v>
      </x:c>
      <x:c r="G5210" s="13" t="str">
        <x:v>grid_asitui1y.xlsx</x:v>
      </x:c>
    </x:row>
    <x:row r="5211">
      <x:c r="A5211" s="15" t="n">
        <x:v>42736</x:v>
      </x:c>
      <x:c r="B5211" s="13" t="str">
        <x:v>MULTIPLAN EMPREENDIMENTOS</x:v>
      </x:c>
      <x:c r="C5211" s="16" t="n">
        <x:v>411.0719580055</x:v>
      </x:c>
      <x:c r="D5211" s="13" t="str">
        <x:v>Income Properties</x:v>
      </x:c>
      <x:c r="E5211" s="13" t="str">
        <x:v>Real Estate</x:v>
      </x:c>
      <x:c r="F5211" s="13" t="str">
        <x:v>Early Cyclicals</x:v>
      </x:c>
      <x:c r="G5211" s="13" t="str">
        <x:v>grid_asitui1y.xlsx</x:v>
      </x:c>
    </x:row>
    <x:row r="5212">
      <x:c r="A5212" s="15" t="n">
        <x:v>42736</x:v>
      </x:c>
      <x:c r="B5212" s="13" t="str">
        <x:v>BRADESPAR SA -PREF</x:v>
      </x:c>
      <x:c r="C5212" s="16" t="n">
        <x:v>815.9917808219</x:v>
      </x:c>
      <x:c r="D5212" s="13" t="str">
        <x:v>Metals &amp; Mining</x:v>
      </x:c>
      <x:c r="E5212" s="13" t="str">
        <x:v>Metals &amp; Mining</x:v>
      </x:c>
      <x:c r="F5212" s="13" t="str">
        <x:v>Deep Cyclicals</x:v>
      </x:c>
      <x:c r="G5212" s="13" t="str">
        <x:v>grid_asitui1y.xlsx</x:v>
      </x:c>
    </x:row>
    <x:row r="5213">
      <x:c r="A5213" s="15" t="n">
        <x:v>42736</x:v>
      </x:c>
      <x:c r="B5213" s="13" t="str">
        <x:v>CIA SIDERURGICA NACIONAL SA</x:v>
      </x:c>
      <x:c r="C5213" s="16" t="n">
        <x:v>-402.6235616438</x:v>
      </x:c>
      <x:c r="D5213" s="13" t="str">
        <x:v>Metals &amp; Mining</x:v>
      </x:c>
      <x:c r="E5213" s="13" t="str">
        <x:v>Metals &amp; Mining</x:v>
      </x:c>
      <x:c r="F5213" s="13" t="str">
        <x:v>Deep Cyclicals</x:v>
      </x:c>
      <x:c r="G5213" s="13" t="str">
        <x:v>grid_asitui1y.xlsx</x:v>
      </x:c>
    </x:row>
    <x:row r="5214">
      <x:c r="A5214" s="15" t="n">
        <x:v>42736</x:v>
      </x:c>
      <x:c r="B5214" s="13" t="str">
        <x:v>GERDAU SA-PREF</x:v>
      </x:c>
      <x:c r="C5214" s="16" t="n">
        <x:v>834.688122389</x:v>
      </x:c>
      <x:c r="D5214" s="13" t="str">
        <x:v>Metals &amp; Mining</x:v>
      </x:c>
      <x:c r="E5214" s="13" t="str">
        <x:v>Metals &amp; Mining</x:v>
      </x:c>
      <x:c r="F5214" s="13" t="str">
        <x:v>Deep Cyclicals</x:v>
      </x:c>
      <x:c r="G5214" s="13" t="str">
        <x:v>grid_asitui1y.xlsx</x:v>
      </x:c>
    </x:row>
    <x:row r="5215">
      <x:c r="A5215" s="15" t="n">
        <x:v>42736</x:v>
      </x:c>
      <x:c r="B5215" s="13" t="str">
        <x:v>METALURGICA GERDAU SA-PREF</x:v>
      </x:c>
      <x:c r="C5215" s="16" t="n">
        <x:v>725.9682191781</x:v>
      </x:c>
      <x:c r="D5215" s="13" t="str">
        <x:v>Metals &amp; Mining</x:v>
      </x:c>
      <x:c r="E5215" s="13" t="str">
        <x:v>Metals &amp; Mining</x:v>
      </x:c>
      <x:c r="F5215" s="13" t="str">
        <x:v>Deep Cyclicals</x:v>
      </x:c>
      <x:c r="G5215" s="13" t="str">
        <x:v>grid_asitui1y.xlsx</x:v>
      </x:c>
    </x:row>
    <x:row r="5216">
      <x:c r="A5216" s="15" t="n">
        <x:v>42736</x:v>
      </x:c>
      <x:c r="B5216" s="13" t="str">
        <x:v>USINAS SIDER MINAS GER-PF A</x:v>
      </x:c>
      <x:c r="C5216" s="16" t="n">
        <x:v>-320.3268786247</x:v>
      </x:c>
      <x:c r="D5216" s="13" t="str">
        <x:v>Metals &amp; Mining</x:v>
      </x:c>
      <x:c r="E5216" s="13" t="str">
        <x:v>Metals &amp; Mining</x:v>
      </x:c>
      <x:c r="F5216" s="13" t="str">
        <x:v>Deep Cyclicals</x:v>
      </x:c>
      <x:c r="G5216" s="13" t="str">
        <x:v>grid_asitui1y.xlsx</x:v>
      </x:c>
    </x:row>
    <x:row r="5217">
      <x:c r="A5217" s="15" t="n">
        <x:v>42736</x:v>
      </x:c>
      <x:c r="B5217" s="13" t="str">
        <x:v>VALE SA</x:v>
      </x:c>
      <x:c r="C5217" s="16" t="n">
        <x:v>15195.2048492712</x:v>
      </x:c>
      <x:c r="D5217" s="13" t="str">
        <x:v>Metals &amp; Mining</x:v>
      </x:c>
      <x:c r="E5217" s="13" t="str">
        <x:v>Metals &amp; Mining</x:v>
      </x:c>
      <x:c r="F5217" s="13" t="str">
        <x:v>Deep Cyclicals</x:v>
      </x:c>
      <x:c r="G5217" s="13" t="str">
        <x:v>grid_asitui1y.xlsx</x:v>
      </x:c>
    </x:row>
    <x:row r="5218">
      <x:c r="A5218" s="15" t="n">
        <x:v>42736</x:v>
      </x:c>
      <x:c r="B5218" s="13" t="str">
        <x:v>BRASKEM SA-PREF A</x:v>
      </x:c>
      <x:c r="C5218" s="16" t="n">
        <x:v>2934.7849987507</x:v>
      </x:c>
      <x:c r="D5218" s="13" t="str">
        <x:v>Oil, Gas &amp; Petrochemicals</x:v>
      </x:c>
      <x:c r="E5218" s="13" t="str">
        <x:v>Oil, Gas &amp; Petrochemicals</x:v>
      </x:c>
      <x:c r="F5218" s="13" t="str">
        <x:v>Deep Cyclicals</x:v>
      </x:c>
      <x:c r="G5218" s="13" t="str">
        <x:v>grid_asitui1y.xlsx</x:v>
      </x:c>
    </x:row>
    <x:row r="5219">
      <x:c r="A5219" s="15" t="n">
        <x:v>42736</x:v>
      </x:c>
      <x:c r="B5219" s="13" t="str">
        <x:v>COSAN SA</x:v>
      </x:c>
      <x:c r="C5219" s="16" t="n">
        <x:v>1390.7536433096</x:v>
      </x:c>
      <x:c r="D5219" s="13" t="str">
        <x:v>Oil, Gas &amp; Petrochemicals</x:v>
      </x:c>
      <x:c r="E5219" s="13" t="str">
        <x:v>Oil, Gas &amp; Petrochemicals</x:v>
      </x:c>
      <x:c r="F5219" s="13" t="str">
        <x:v>Deep Cyclicals</x:v>
      </x:c>
      <x:c r="G5219" s="13" t="str">
        <x:v>grid_asitui1y.xlsx</x:v>
      </x:c>
    </x:row>
    <x:row r="5220">
      <x:c r="A5220" s="15" t="n">
        <x:v>42736</x:v>
      </x:c>
      <x:c r="B5220" s="13" t="str">
        <x:v>PETROBRAS - PETROLEO BRAS</x:v>
      </x:c>
      <x:c r="C5220" s="16" t="n">
        <x:v>16266.5727635288</x:v>
      </x:c>
      <x:c r="D5220" s="13" t="str">
        <x:v>Oil, Gas &amp; Petrochemicals</x:v>
      </x:c>
      <x:c r="E5220" s="13" t="str">
        <x:v>Oil, Gas &amp; Petrochemicals</x:v>
      </x:c>
      <x:c r="F5220" s="13" t="str">
        <x:v>Deep Cyclicals</x:v>
      </x:c>
      <x:c r="G5220" s="13" t="str">
        <x:v>grid_asitui1y.xlsx</x:v>
      </x:c>
    </x:row>
    <x:row r="5221">
      <x:c r="A5221" s="15" t="n">
        <x:v>42736</x:v>
      </x:c>
      <x:c r="B5221" s="13" t="str">
        <x:v>ULTRAPAR PARTICIPACOES SA</x:v>
      </x:c>
      <x:c r="C5221" s="16" t="n">
        <x:v>1728.4486684055</x:v>
      </x:c>
      <x:c r="D5221" s="13" t="str">
        <x:v>Oil, Gas &amp; Petrochemicals</x:v>
      </x:c>
      <x:c r="E5221" s="13" t="str">
        <x:v>Oil, Gas &amp; Petrochemicals</x:v>
      </x:c>
      <x:c r="F5221" s="13" t="str">
        <x:v>Deep Cyclicals</x:v>
      </x:c>
      <x:c r="G5221" s="13" t="str">
        <x:v>grid_asitui1y.xlsx</x:v>
      </x:c>
    </x:row>
    <x:row r="5222">
      <x:c r="A5222" s="15" t="n">
        <x:v>42736</x:v>
      </x:c>
      <x:c r="B5222" s="13" t="str">
        <x:v>FIBRIA CELULOSE S/A</x:v>
      </x:c>
      <x:c r="C5222" s="16" t="n">
        <x:v>395.214662137</x:v>
      </x:c>
      <x:c r="D5222" s="13" t="str">
        <x:v>Pulp &amp; Paper</x:v>
      </x:c>
      <x:c r="E5222" s="13" t="str">
        <x:v>Pulp &amp; Paper</x:v>
      </x:c>
      <x:c r="F5222" s="13" t="str">
        <x:v>Deep Cyclicals</x:v>
      </x:c>
      <x:c r="G5222" s="13" t="str">
        <x:v>grid_asitui1y.xlsx</x:v>
      </x:c>
    </x:row>
    <x:row r="5223">
      <x:c r="A5223" s="15" t="n">
        <x:v>42736</x:v>
      </x:c>
      <x:c r="B5223" s="13" t="str">
        <x:v>KLABIN SA - UNIT</x:v>
      </x:c>
      <x:c r="C5223" s="16" t="n">
        <x:v>755.6773183123</x:v>
      </x:c>
      <x:c r="D5223" s="13" t="str">
        <x:v>Pulp &amp; Paper</x:v>
      </x:c>
      <x:c r="E5223" s="13" t="str">
        <x:v>Pulp &amp; Paper</x:v>
      </x:c>
      <x:c r="F5223" s="13" t="str">
        <x:v>Deep Cyclicals</x:v>
      </x:c>
      <x:c r="G5223" s="13" t="str">
        <x:v>grid_asitui1y.xlsx</x:v>
      </x:c>
    </x:row>
    <x:row r="5224">
      <x:c r="A5224" s="15" t="n">
        <x:v>42736</x:v>
      </x:c>
      <x:c r="B5224" s="13" t="str">
        <x:v>SUZANO PAPEL E CELULO-PREF A</x:v>
      </x:c>
      <x:c r="C5224" s="16" t="n">
        <x:v>1058.5300301151</x:v>
      </x:c>
      <x:c r="D5224" s="13" t="str">
        <x:v>Pulp &amp; Paper</x:v>
      </x:c>
      <x:c r="E5224" s="13" t="str">
        <x:v>Pulp &amp; Paper</x:v>
      </x:c>
      <x:c r="F5224" s="13" t="str">
        <x:v>Deep Cyclicals</x:v>
      </x:c>
      <x:c r="G5224" s="13" t="str">
        <x:v>grid_asitui1y.xlsx</x:v>
      </x:c>
    </x:row>
    <x:row r="5225">
      <x:c r="A5225" s="15" t="n">
        <x:v>42736</x:v>
      </x:c>
      <x:c r="B5225" s="13" t="str">
        <x:v>CIA BRASILEIRA DE DIS-PREF</x:v>
      </x:c>
      <x:c r="C5225" s="16" t="n">
        <x:v>446.5692963068</x:v>
      </x:c>
      <x:c r="D5225" s="13" t="str">
        <x:v>Retail</x:v>
      </x:c>
      <x:c r="E5225" s="13" t="str">
        <x:v>Retail</x:v>
      </x:c>
      <x:c r="F5225" s="13" t="str">
        <x:v>Early Cyclicals</x:v>
      </x:c>
      <x:c r="G5225" s="13" t="str">
        <x:v>grid_asitui1y.xlsx</x:v>
      </x:c>
    </x:row>
    <x:row r="5226">
      <x:c r="A5226" s="15" t="n">
        <x:v>42736</x:v>
      </x:c>
      <x:c r="B5226" s="13" t="str">
        <x:v>LOJAS AMERICANAS SA-PREF</x:v>
      </x:c>
      <x:c r="C5226" s="16" t="n">
        <x:v>580.6759967562</x:v>
      </x:c>
      <x:c r="D5226" s="13" t="str">
        <x:v>Retail</x:v>
      </x:c>
      <x:c r="E5226" s="13" t="str">
        <x:v>Retail</x:v>
      </x:c>
      <x:c r="F5226" s="13" t="str">
        <x:v>Early Cyclicals</x:v>
      </x:c>
      <x:c r="G5226" s="13" t="str">
        <x:v>grid_asitui1y.xlsx</x:v>
      </x:c>
    </x:row>
    <x:row r="5227">
      <x:c r="A5227" s="15" t="n">
        <x:v>42736</x:v>
      </x:c>
      <x:c r="B5227" s="13" t="str">
        <x:v>LOJAS RENNER S.A.</x:v>
      </x:c>
      <x:c r="C5227" s="16" t="n">
        <x:v>746.2214264986</x:v>
      </x:c>
      <x:c r="D5227" s="13" t="str">
        <x:v>Retail</x:v>
      </x:c>
      <x:c r="E5227" s="13" t="str">
        <x:v>Retail</x:v>
      </x:c>
      <x:c r="F5227" s="13" t="str">
        <x:v>Early Cyclicals</x:v>
      </x:c>
      <x:c r="G5227" s="13" t="str">
        <x:v>grid_asitui1y.xlsx</x:v>
      </x:c>
    </x:row>
    <x:row r="5228">
      <x:c r="A5228" s="15" t="n">
        <x:v>42736</x:v>
      </x:c>
      <x:c r="B5228" s="13" t="str">
        <x:v>NATURA COSMETICOS SA</x:v>
      </x:c>
      <x:c r="C5228" s="16" t="n">
        <x:v>537.2664297205</x:v>
      </x:c>
      <x:c r="D5228" s="13" t="str">
        <x:v>Retail</x:v>
      </x:c>
      <x:c r="E5228" s="13" t="str">
        <x:v>Retail</x:v>
      </x:c>
      <x:c r="F5228" s="13" t="str">
        <x:v>Early Cyclicals</x:v>
      </x:c>
      <x:c r="G5228" s="13" t="str">
        <x:v>grid_asitui1y.xlsx</x:v>
      </x:c>
    </x:row>
    <x:row r="5229">
      <x:c r="A5229" s="15" t="n">
        <x:v>42736</x:v>
      </x:c>
      <x:c r="B5229" s="13" t="str">
        <x:v>RAIA DROGASIL SA</x:v>
      </x:c>
      <x:c r="C5229" s="16" t="n">
        <x:v>629.3244675507</x:v>
      </x:c>
      <x:c r="D5229" s="13" t="str">
        <x:v>Retail</x:v>
      </x:c>
      <x:c r="E5229" s="13" t="str">
        <x:v>Retail</x:v>
      </x:c>
      <x:c r="F5229" s="13" t="str">
        <x:v>Early Cyclicals</x:v>
      </x:c>
      <x:c r="G5229" s="13" t="str">
        <x:v>grid_asitui1y.xlsx</x:v>
      </x:c>
    </x:row>
    <x:row r="5230">
      <x:c r="A5230" s="15" t="n">
        <x:v>42736</x:v>
      </x:c>
      <x:c r="B5230" s="13" t="str">
        <x:v>CIA SANEAMENTO BASICO DE SP</x:v>
      </x:c>
      <x:c r="C5230" s="16" t="n">
        <x:v>2442.6819443726</x:v>
      </x:c>
      <x:c r="D5230" s="13" t="str">
        <x:v>Sanitation</x:v>
      </x:c>
      <x:c r="E5230" s="13" t="str">
        <x:v>Utilities</x:v>
      </x:c>
      <x:c r="F5230" s="13" t="str">
        <x:v>Defensives</x:v>
      </x:c>
      <x:c r="G5230" s="13" t="str">
        <x:v>grid_asitui1y.xlsx</x:v>
      </x:c>
    </x:row>
    <x:row r="5231">
      <x:c r="A5231" s="15" t="n">
        <x:v>42736</x:v>
      </x:c>
      <x:c r="B5231" s="13" t="str">
        <x:v>TELEFONICA BRASIL S.A.-PREF</x:v>
      </x:c>
      <x:c r="C5231" s="16" t="n">
        <x:v>5272.7895152219</x:v>
      </x:c>
      <x:c r="D5231" s="13" t="str">
        <x:v>TMT</x:v>
      </x:c>
      <x:c r="E5231" s="13" t="str">
        <x:v>TMT</x:v>
      </x:c>
      <x:c r="F5231" s="13" t="str">
        <x:v>Early Cyclicals</x:v>
      </x:c>
      <x:c r="G5231" s="13" t="str">
        <x:v>grid_asitui1y.xlsx</x:v>
      </x:c>
    </x:row>
    <x:row r="5232">
      <x:c r="A5232" s="15" t="n">
        <x:v>42736</x:v>
      </x:c>
      <x:c r="B5232" s="13" t="str">
        <x:v>TIM SA</x:v>
      </x:c>
      <x:c r="C5232" s="16" t="n">
        <x:v>741.0506944877</x:v>
      </x:c>
      <x:c r="D5232" s="13" t="str">
        <x:v>TMT</x:v>
      </x:c>
      <x:c r="E5232" s="13" t="str">
        <x:v>TMT</x:v>
      </x:c>
      <x:c r="F5232" s="13" t="str">
        <x:v>Early Cyclicals</x:v>
      </x:c>
      <x:c r="G5232" s="13" t="str">
        <x:v>grid_asitui1y.xlsx</x:v>
      </x:c>
    </x:row>
    <x:row r="5233">
      <x:c r="A5233" s="15" t="n">
        <x:v>42736</x:v>
      </x:c>
      <x:c r="B5233" s="13" t="str">
        <x:v>ECORODOVIAS INFRA E LOG SA</x:v>
      </x:c>
      <x:c r="C5233" s="16" t="n">
        <x:v>386.0358139616</x:v>
      </x:c>
      <x:c r="D5233" s="13" t="str">
        <x:v>Transportation</x:v>
      </x:c>
      <x:c r="E5233" s="13" t="str">
        <x:v>Transportation</x:v>
      </x:c>
      <x:c r="F5233" s="13" t="str">
        <x:v>Deep Cyclicals</x:v>
      </x:c>
      <x:c r="G5233" s="13" t="str">
        <x:v>grid_asitui1y.xlsx</x:v>
      </x:c>
    </x:row>
    <x:row r="5234">
      <x:c r="A5234" s="15" t="n">
        <x:v>42736</x:v>
      </x:c>
      <x:c r="B5234" s="13" t="str">
        <x:v>LOCALIZA RENT A CAR</x:v>
      </x:c>
      <x:c r="C5234" s="16" t="n">
        <x:v>446.2838356164</x:v>
      </x:c>
      <x:c r="D5234" s="13" t="str">
        <x:v>Transportation</x:v>
      </x:c>
      <x:c r="E5234" s="13" t="str">
        <x:v>Transportation</x:v>
      </x:c>
      <x:c r="F5234" s="13" t="str">
        <x:v>Deep Cyclicals</x:v>
      </x:c>
      <x:c r="G5234" s="13" t="str">
        <x:v>grid_asitui1y.xlsx</x:v>
      </x:c>
    </x:row>
    <x:row r="5235">
      <x:c r="A5235" s="15" t="n">
        <x:v>42736</x:v>
      </x:c>
      <x:c r="B5235" s="13" t="str">
        <x:v>MOTIVA INFRAESTRUTURA DE MOB</x:v>
      </x:c>
      <x:c r="C5235" s="16" t="n">
        <x:v>1385.6254821699</x:v>
      </x:c>
      <x:c r="D5235" s="13" t="str">
        <x:v>Transportation</x:v>
      </x:c>
      <x:c r="E5235" s="13" t="str">
        <x:v>Transportation</x:v>
      </x:c>
      <x:c r="F5235" s="13" t="str">
        <x:v>Deep Cyclicals</x:v>
      </x:c>
      <x:c r="G5235" s="13" t="str">
        <x:v>grid_asitui1y.xlsx</x:v>
      </x:c>
    </x:row>
    <x:row r="5236">
      <x:c r="A5236" s="15" t="n">
        <x:v>42736</x:v>
      </x:c>
      <x:c r="B5236" s="13" t="str">
        <x:v>AXIA ENERGIA SA</x:v>
      </x:c>
      <x:c r="C5236" s="16" t="n">
        <x:v>1198.2492987616</x:v>
      </x:c>
      <x:c r="D5236" s="13" t="str">
        <x:v>Utilities &amp; Energy</x:v>
      </x:c>
      <x:c r="E5236" s="13" t="str">
        <x:v>Utilities</x:v>
      </x:c>
      <x:c r="F5236" s="13" t="str">
        <x:v>Defensives</x:v>
      </x:c>
      <x:c r="G5236" s="13" t="str">
        <x:v>grid_asitui1y.xlsx</x:v>
      </x:c>
    </x:row>
    <x:row r="5237">
      <x:c r="A5237" s="15" t="n">
        <x:v>42736</x:v>
      </x:c>
      <x:c r="B5237" s="13" t="str">
        <x:v>CIA ENERGETICA MINAS GER-PRF</x:v>
      </x:c>
      <x:c r="C5237" s="16" t="n">
        <x:v>1430.8205750356</x:v>
      </x:c>
      <x:c r="D5237" s="13" t="str">
        <x:v>Utilities &amp; Energy</x:v>
      </x:c>
      <x:c r="E5237" s="13" t="str">
        <x:v>Utilities</x:v>
      </x:c>
      <x:c r="F5237" s="13" t="str">
        <x:v>Defensives</x:v>
      </x:c>
      <x:c r="G5237" s="13" t="str">
        <x:v>grid_asitui1y.xlsx</x:v>
      </x:c>
    </x:row>
    <x:row r="5238">
      <x:c r="A5238" s="15" t="n">
        <x:v>42736</x:v>
      </x:c>
      <x:c r="B5238" s="13" t="str">
        <x:v>COMPANHIA PARANAENSE -PREF B</x:v>
      </x:c>
      <x:c r="C5238" s="16" t="n">
        <x:v>1246.9833012603</x:v>
      </x:c>
      <x:c r="D5238" s="13" t="str">
        <x:v>Utilities &amp; Energy</x:v>
      </x:c>
      <x:c r="E5238" s="13" t="str">
        <x:v>Utilities</x:v>
      </x:c>
      <x:c r="F5238" s="13" t="str">
        <x:v>Defensives</x:v>
      </x:c>
      <x:c r="G5238" s="13" t="str">
        <x:v>grid_asitui1y.xlsx</x:v>
      </x:c>
    </x:row>
    <x:row r="5239">
      <x:c r="A5239" s="15" t="n">
        <x:v>42736</x:v>
      </x:c>
      <x:c r="B5239" s="13" t="str">
        <x:v>CPFL ENERGIA SA</x:v>
      </x:c>
      <x:c r="C5239" s="16" t="n">
        <x:v>1314.2657935781</x:v>
      </x:c>
      <x:c r="D5239" s="13" t="str">
        <x:v>Utilities &amp; Energy</x:v>
      </x:c>
      <x:c r="E5239" s="13" t="str">
        <x:v>Utilities</x:v>
      </x:c>
      <x:c r="F5239" s="13" t="str">
        <x:v>Defensives</x:v>
      </x:c>
      <x:c r="G5239" s="13" t="str">
        <x:v>grid_asitui1y.xlsx</x:v>
      </x:c>
    </x:row>
    <x:row r="5240">
      <x:c r="A5240" s="15" t="n">
        <x:v>42736</x:v>
      </x:c>
      <x:c r="B5240" s="13" t="str">
        <x:v>EDP - ENERGIAS DO BRASIL SA</x:v>
      </x:c>
      <x:c r="C5240" s="16" t="n">
        <x:v>686.6099301699</x:v>
      </x:c>
      <x:c r="D5240" s="13" t="str">
        <x:v>Utilities &amp; Energy</x:v>
      </x:c>
      <x:c r="E5240" s="13" t="str">
        <x:v>Utilities</x:v>
      </x:c>
      <x:c r="F5240" s="13" t="str">
        <x:v>Defensives</x:v>
      </x:c>
      <x:c r="G5240" s="13" t="str">
        <x:v>grid_asitui1y.xlsx</x:v>
      </x:c>
    </x:row>
    <x:row r="5241">
      <x:c r="A5241" s="15" t="n">
        <x:v>42736</x:v>
      </x:c>
      <x:c r="B5241" s="13" t="str">
        <x:v>ENGIE BRASIL ENERGIA SA</x:v>
      </x:c>
      <x:c r="C5241" s="16" t="n">
        <x:v>1990.3102590247</x:v>
      </x:c>
      <x:c r="D5241" s="13" t="str">
        <x:v>Utilities &amp; Energy</x:v>
      </x:c>
      <x:c r="E5241" s="13" t="str">
        <x:v>Utilities</x:v>
      </x:c>
      <x:c r="F5241" s="13" t="str">
        <x:v>Defensives</x:v>
      </x:c>
      <x:c r="G5241" s="13" t="str">
        <x:v>grid_asitui1y.xlsx</x:v>
      </x:c>
    </x:row>
    <x:row r="5242">
      <x:c r="A5242" s="15" t="n">
        <x:v>42736</x:v>
      </x:c>
      <x:c r="B5242" s="13" t="str">
        <x:v>EQUATORIAL SA - ORD</x:v>
      </x:c>
      <x:c r="C5242" s="16" t="n">
        <x:v>876.8114091836</x:v>
      </x:c>
      <x:c r="D5242" s="13" t="str">
        <x:v>Utilities &amp; Energy</x:v>
      </x:c>
      <x:c r="E5242" s="13" t="str">
        <x:v>Utilities</x:v>
      </x:c>
      <x:c r="F5242" s="13" t="str">
        <x:v>Defensives</x:v>
      </x:c>
      <x:c r="G5242" s="13" t="str">
        <x:v>grid_asitui1y.xlsx</x:v>
      </x:c>
    </x:row>
    <x:row r="5243">
      <x:c r="A5243" s="15" t="n">
        <x:v>42767</x:v>
      </x:c>
      <x:c r="B5243" s="13" t="str">
        <x:v>BANCO BRADESCO S.A.</x:v>
      </x:c>
      <x:c r="C5243" s="16" t="n">
        <x:v>18818.3880128877</x:v>
      </x:c>
      <x:c r="D5243" s="13" t="str">
        <x:v>Banks</x:v>
      </x:c>
      <x:c r="E5243" s="13" t="str">
        <x:v>Banks</x:v>
      </x:c>
      <x:c r="F5243" s="13" t="str">
        <x:v>Financials</x:v>
      </x:c>
      <x:c r="G5243" s="13" t="str">
        <x:v>grid_asitui1y.xlsx</x:v>
      </x:c>
    </x:row>
    <x:row r="5244">
      <x:c r="A5244" s="15" t="n">
        <x:v>42767</x:v>
      </x:c>
      <x:c r="B5244" s="13" t="str">
        <x:v>BANCO BRADESCO SA-PREF</x:v>
      </x:c>
      <x:c r="C5244" s="16" t="n">
        <x:v>18818.3880128877</x:v>
      </x:c>
      <x:c r="D5244" s="13" t="str">
        <x:v>Banks</x:v>
      </x:c>
      <x:c r="E5244" s="13" t="str">
        <x:v>Banks</x:v>
      </x:c>
      <x:c r="F5244" s="13" t="str">
        <x:v>Financials</x:v>
      </x:c>
      <x:c r="G5244" s="13" t="str">
        <x:v>grid_asitui1y.xlsx</x:v>
      </x:c>
    </x:row>
    <x:row r="5245">
      <x:c r="A5245" s="15" t="n">
        <x:v>42767</x:v>
      </x:c>
      <x:c r="B5245" s="13" t="str">
        <x:v>BANCO DO BRASIL S.A.</x:v>
      </x:c>
      <x:c r="C5245" s="16" t="n">
        <x:v>11499.577818126</x:v>
      </x:c>
      <x:c r="D5245" s="13" t="str">
        <x:v>Banks</x:v>
      </x:c>
      <x:c r="E5245" s="13" t="str">
        <x:v>Banks</x:v>
      </x:c>
      <x:c r="F5245" s="13" t="str">
        <x:v>Financials</x:v>
      </x:c>
      <x:c r="G5245" s="13" t="str">
        <x:v>grid_asitui1y.xlsx</x:v>
      </x:c>
    </x:row>
    <x:row r="5246">
      <x:c r="A5246" s="15" t="n">
        <x:v>42767</x:v>
      </x:c>
      <x:c r="B5246" s="13" t="str">
        <x:v>BANCO SANTANDER  BRASIL-UNIT</x:v>
      </x:c>
      <x:c r="C5246" s="16" t="n">
        <x:v>7667.6551189041</x:v>
      </x:c>
      <x:c r="D5246" s="13" t="str">
        <x:v>Banks</x:v>
      </x:c>
      <x:c r="E5246" s="13" t="str">
        <x:v>Banks</x:v>
      </x:c>
      <x:c r="F5246" s="13" t="str">
        <x:v>Financials</x:v>
      </x:c>
      <x:c r="G5246" s="13" t="str">
        <x:v>grid_asitui1y.xlsx</x:v>
      </x:c>
    </x:row>
    <x:row r="5247">
      <x:c r="A5247" s="15" t="n">
        <x:v>42767</x:v>
      </x:c>
      <x:c r="B5247" s="13" t="str">
        <x:v>ITAU UNIBANCO HOLDING S-PREF</x:v>
      </x:c>
      <x:c r="C5247" s="16" t="n">
        <x:v>23694.6567616877</x:v>
      </x:c>
      <x:c r="D5247" s="13" t="str">
        <x:v>Banks</x:v>
      </x:c>
      <x:c r="E5247" s="13" t="str">
        <x:v>Banks</x:v>
      </x:c>
      <x:c r="F5247" s="13" t="str">
        <x:v>Financials</x:v>
      </x:c>
      <x:c r="G5247" s="13" t="str">
        <x:v>grid_asitui1y.xlsx</x:v>
      </x:c>
    </x:row>
    <x:row r="5248">
      <x:c r="A5248" s="15" t="n">
        <x:v>42767</x:v>
      </x:c>
      <x:c r="B5248" s="13" t="str">
        <x:v>EMBRAER SA</x:v>
      </x:c>
      <x:c r="C5248" s="16" t="n">
        <x:v>1068.2727671233</x:v>
      </x:c>
      <x:c r="D5248" s="13" t="str">
        <x:v>Capital Goods</x:v>
      </x:c>
      <x:c r="E5248" s="13" t="str">
        <x:v>Capital Goods</x:v>
      </x:c>
      <x:c r="F5248" s="13" t="str">
        <x:v>Deep Cyclicals</x:v>
      </x:c>
      <x:c r="G5248" s="13" t="str">
        <x:v>grid_asitui1y.xlsx</x:v>
      </x:c>
    </x:row>
    <x:row r="5249">
      <x:c r="A5249" s="15" t="n">
        <x:v>42767</x:v>
      </x:c>
      <x:c r="B5249" s="13" t="str">
        <x:v>WEG SA</x:v>
      </x:c>
      <x:c r="C5249" s="16" t="n">
        <x:v>1291.8603102685</x:v>
      </x:c>
      <x:c r="D5249" s="13" t="str">
        <x:v>Capital Goods</x:v>
      </x:c>
      <x:c r="E5249" s="13" t="str">
        <x:v>Capital Goods</x:v>
      </x:c>
      <x:c r="F5249" s="13" t="str">
        <x:v>Deep Cyclicals</x:v>
      </x:c>
      <x:c r="G5249" s="13" t="str">
        <x:v>grid_asitui1y.xlsx</x:v>
      </x:c>
    </x:row>
    <x:row r="5250">
      <x:c r="A5250" s="15" t="n">
        <x:v>42767</x:v>
      </x:c>
      <x:c r="B5250" s="13" t="str">
        <x:v>COGNA EDUCACAO</x:v>
      </x:c>
      <x:c r="C5250" s="16" t="n">
        <x:v>2149.5752689973</x:v>
      </x:c>
      <x:c r="D5250" s="13" t="str">
        <x:v>Education</x:v>
      </x:c>
      <x:c r="E5250" s="13" t="str">
        <x:v>Education</x:v>
      </x:c>
      <x:c r="F5250" s="13" t="str">
        <x:v>Early Cyclicals</x:v>
      </x:c>
      <x:c r="G5250" s="13" t="str">
        <x:v>grid_asitui1y.xlsx</x:v>
      </x:c>
    </x:row>
    <x:row r="5251">
      <x:c r="A5251" s="15" t="n">
        <x:v>42767</x:v>
      </x:c>
      <x:c r="B5251" s="13" t="str">
        <x:v>YDUQS PARTICIPACOES SA</x:v>
      </x:c>
      <x:c r="C5251" s="16" t="n">
        <x:v>553.3715822466</x:v>
      </x:c>
      <x:c r="D5251" s="13" t="str">
        <x:v>Education</x:v>
      </x:c>
      <x:c r="E5251" s="13" t="str">
        <x:v>Education</x:v>
      </x:c>
      <x:c r="F5251" s="13" t="str">
        <x:v>Early Cyclicals</x:v>
      </x:c>
      <x:c r="G5251" s="13" t="str">
        <x:v>grid_asitui1y.xlsx</x:v>
      </x:c>
    </x:row>
    <x:row r="5252">
      <x:c r="A5252" s="15" t="n">
        <x:v>42767</x:v>
      </x:c>
      <x:c r="B5252" s="13" t="str">
        <x:v>B3 SA-BRASIL BOLSA BALCAO</x:v>
      </x:c>
      <x:c r="C5252" s="16" t="n">
        <x:v>2171.3821432986</x:v>
      </x:c>
      <x:c r="D5252" s="13" t="str">
        <x:v>Financials Non-Banks</x:v>
      </x:c>
      <x:c r="E5252" s="13" t="str">
        <x:v>Financials Non-Banks</x:v>
      </x:c>
      <x:c r="F5252" s="13" t="str">
        <x:v>Financials</x:v>
      </x:c>
      <x:c r="G5252" s="13" t="str">
        <x:v>grid_asitui1y.xlsx</x:v>
      </x:c>
    </x:row>
    <x:row r="5253">
      <x:c r="A5253" s="15" t="n">
        <x:v>42767</x:v>
      </x:c>
      <x:c r="B5253" s="13" t="str">
        <x:v>BB SEGURIDADE PARTICIPACOES</x:v>
      </x:c>
      <x:c r="C5253" s="16" t="n">
        <x:v>4401.3307469151</x:v>
      </x:c>
      <x:c r="D5253" s="13" t="str">
        <x:v>Financials Non-Banks</x:v>
      </x:c>
      <x:c r="E5253" s="13" t="str">
        <x:v>Financials Non-Banks</x:v>
      </x:c>
      <x:c r="F5253" s="13" t="str">
        <x:v>Financials</x:v>
      </x:c>
      <x:c r="G5253" s="13" t="str">
        <x:v>grid_asitui1y.xlsx</x:v>
      </x:c>
    </x:row>
    <x:row r="5254">
      <x:c r="A5254" s="15" t="n">
        <x:v>42767</x:v>
      </x:c>
      <x:c r="B5254" s="13" t="str">
        <x:v>CETIP SA-MERCADOS ORGANIZADO</x:v>
      </x:c>
      <x:c r="C5254" s="16" t="n">
        <x:v>701.6226824767</x:v>
      </x:c>
      <x:c r="D5254" s="13" t="str">
        <x:v>Financials Non-Banks</x:v>
      </x:c>
      <x:c r="E5254" s="13" t="str">
        <x:v>Financials Non-Banks</x:v>
      </x:c>
      <x:c r="F5254" s="13" t="str">
        <x:v>Financials</x:v>
      </x:c>
      <x:c r="G5254" s="13" t="str">
        <x:v>grid_asitui1y.xlsx</x:v>
      </x:c>
    </x:row>
    <x:row r="5255">
      <x:c r="A5255" s="15" t="n">
        <x:v>42767</x:v>
      </x:c>
      <x:c r="B5255" s="13" t="str">
        <x:v>CIELO SA - INSTITUICAO DE PA</x:v>
      </x:c>
      <x:c r="C5255" s="16" t="n">
        <x:v>4613.9217877918</x:v>
      </x:c>
      <x:c r="D5255" s="13" t="str">
        <x:v>Financials Non-Banks</x:v>
      </x:c>
      <x:c r="E5255" s="13" t="str">
        <x:v>Financials Non-Banks</x:v>
      </x:c>
      <x:c r="F5255" s="13" t="str">
        <x:v>Financials</x:v>
      </x:c>
      <x:c r="G5255" s="13" t="str">
        <x:v>grid_asitui1y.xlsx</x:v>
      </x:c>
    </x:row>
    <x:row r="5256">
      <x:c r="A5256" s="15" t="n">
        <x:v>42767</x:v>
      </x:c>
      <x:c r="B5256" s="13" t="str">
        <x:v>ITAUSA SA</x:v>
      </x:c>
      <x:c r="C5256" s="16" t="n">
        <x:v>8301.6220251178</x:v>
      </x:c>
      <x:c r="D5256" s="13" t="str">
        <x:v>Financials Non-Banks</x:v>
      </x:c>
      <x:c r="E5256" s="13" t="str">
        <x:v>Financials Non-Banks</x:v>
      </x:c>
      <x:c r="F5256" s="13" t="str">
        <x:v>Financials</x:v>
      </x:c>
      <x:c r="G5256" s="13" t="str">
        <x:v>grid_asitui1y.xlsx</x:v>
      </x:c>
    </x:row>
    <x:row r="5257">
      <x:c r="A5257" s="15" t="n">
        <x:v>42767</x:v>
      </x:c>
      <x:c r="B5257" s="13" t="str">
        <x:v>AMBEV SA</x:v>
      </x:c>
      <x:c r="C5257" s="16" t="n">
        <x:v>13926.2715370959</x:v>
      </x:c>
      <x:c r="D5257" s="13" t="str">
        <x:v>Food &amp; Beverages</x:v>
      </x:c>
      <x:c r="E5257" s="13" t="str">
        <x:v>Agri, Food &amp; Beverages</x:v>
      </x:c>
      <x:c r="F5257" s="13" t="str">
        <x:v>Defensives</x:v>
      </x:c>
      <x:c r="G5257" s="13" t="str">
        <x:v>grid_asitui1y.xlsx</x:v>
      </x:c>
    </x:row>
    <x:row r="5258">
      <x:c r="A5258" s="15" t="n">
        <x:v>42767</x:v>
      </x:c>
      <x:c r="B5258" s="13" t="str">
        <x:v>BRF SA</x:v>
      </x:c>
      <x:c r="C5258" s="16" t="n">
        <x:v>1895.8774762959</x:v>
      </x:c>
      <x:c r="D5258" s="13" t="str">
        <x:v>Food &amp; Beverages</x:v>
      </x:c>
      <x:c r="E5258" s="13" t="str">
        <x:v>Agri, Food &amp; Beverages</x:v>
      </x:c>
      <x:c r="F5258" s="13" t="str">
        <x:v>Defensives</x:v>
      </x:c>
      <x:c r="G5258" s="13" t="str">
        <x:v>grid_asitui1y.xlsx</x:v>
      </x:c>
    </x:row>
    <x:row r="5259">
      <x:c r="A5259" s="15" t="n">
        <x:v>42767</x:v>
      </x:c>
      <x:c r="B5259" s="13" t="str">
        <x:v>JBS SA</x:v>
      </x:c>
      <x:c r="C5259" s="16" t="n">
        <x:v>4199.0970382027</x:v>
      </x:c>
      <x:c r="D5259" s="13" t="str">
        <x:v>Food &amp; Beverages</x:v>
      </x:c>
      <x:c r="E5259" s="13" t="str">
        <x:v>Agri, Food &amp; Beverages</x:v>
      </x:c>
      <x:c r="F5259" s="13" t="str">
        <x:v>Defensives</x:v>
      </x:c>
      <x:c r="G5259" s="13" t="str">
        <x:v>grid_asitui1y.xlsx</x:v>
      </x:c>
    </x:row>
    <x:row r="5260">
      <x:c r="A5260" s="15" t="n">
        <x:v>42767</x:v>
      </x:c>
      <x:c r="B5260" s="13" t="str">
        <x:v>MBRF GLOBAL FOODS COMPANY SA</x:v>
      </x:c>
      <x:c r="C5260" s="16" t="n">
        <x:v>141.8507766356</x:v>
      </x:c>
      <x:c r="D5260" s="13" t="str">
        <x:v>Food &amp; Beverages</x:v>
      </x:c>
      <x:c r="E5260" s="13" t="str">
        <x:v>Agri, Food &amp; Beverages</x:v>
      </x:c>
      <x:c r="F5260" s="13" t="str">
        <x:v>Defensives</x:v>
      </x:c>
      <x:c r="G5260" s="13" t="str">
        <x:v>grid_asitui1y.xlsx</x:v>
      </x:c>
    </x:row>
    <x:row r="5261">
      <x:c r="A5261" s="15" t="n">
        <x:v>42767</x:v>
      </x:c>
      <x:c r="B5261" s="13" t="str">
        <x:v>HYPERA SA</x:v>
      </x:c>
      <x:c r="C5261" s="16" t="n">
        <x:v>964.3946702904</x:v>
      </x:c>
      <x:c r="D5261" s="13" t="str">
        <x:v>Health Care</x:v>
      </x:c>
      <x:c r="E5261" s="13" t="str">
        <x:v>Health Care</x:v>
      </x:c>
      <x:c r="F5261" s="13" t="str">
        <x:v>Defensives</x:v>
      </x:c>
      <x:c r="G5261" s="13" t="str">
        <x:v>grid_asitui1y.xlsx</x:v>
      </x:c>
    </x:row>
    <x:row r="5262">
      <x:c r="A5262" s="15" t="n">
        <x:v>42767</x:v>
      </x:c>
      <x:c r="B5262" s="13" t="str">
        <x:v>QUALICORP CONS E CORR SEG SA</x:v>
      </x:c>
      <x:c r="C5262" s="16" t="n">
        <x:v>423.6835494575</x:v>
      </x:c>
      <x:c r="D5262" s="13" t="str">
        <x:v>Health Care</x:v>
      </x:c>
      <x:c r="E5262" s="13" t="str">
        <x:v>Health Care</x:v>
      </x:c>
      <x:c r="F5262" s="13" t="str">
        <x:v>Defensives</x:v>
      </x:c>
      <x:c r="G5262" s="13" t="str">
        <x:v>grid_asitui1y.xlsx</x:v>
      </x:c>
    </x:row>
    <x:row r="5263">
      <x:c r="A5263" s="15" t="n">
        <x:v>42767</x:v>
      </x:c>
      <x:c r="B5263" s="13" t="str">
        <x:v>CYRELA BRAZIL REALTY SA EMP</x:v>
      </x:c>
      <x:c r="C5263" s="16" t="n">
        <x:v>161.6963356932</x:v>
      </x:c>
      <x:c r="D5263" s="13" t="str">
        <x:v>Homebuilders</x:v>
      </x:c>
      <x:c r="E5263" s="13" t="str">
        <x:v>Real Estate</x:v>
      </x:c>
      <x:c r="F5263" s="13" t="str">
        <x:v>Early Cyclicals</x:v>
      </x:c>
      <x:c r="G5263" s="13" t="str">
        <x:v>grid_asitui1y.xlsx</x:v>
      </x:c>
    </x:row>
    <x:row r="5264">
      <x:c r="A5264" s="15" t="n">
        <x:v>42767</x:v>
      </x:c>
      <x:c r="B5264" s="13" t="str">
        <x:v>MRV ENGENHARIA</x:v>
      </x:c>
      <x:c r="C5264" s="16" t="n">
        <x:v>675.7047303014</x:v>
      </x:c>
      <x:c r="D5264" s="13" t="str">
        <x:v>Homebuilders</x:v>
      </x:c>
      <x:c r="E5264" s="13" t="str">
        <x:v>Real Estate</x:v>
      </x:c>
      <x:c r="F5264" s="13" t="str">
        <x:v>Early Cyclicals</x:v>
      </x:c>
      <x:c r="G5264" s="13" t="str">
        <x:v>grid_asitui1y.xlsx</x:v>
      </x:c>
    </x:row>
    <x:row r="5265">
      <x:c r="A5265" s="15" t="n">
        <x:v>42767</x:v>
      </x:c>
      <x:c r="B5265" s="13" t="str">
        <x:v>BR MALLS PARTICIPACOES SA</x:v>
      </x:c>
      <x:c r="C5265" s="16" t="n">
        <x:v>396.4181519781</x:v>
      </x:c>
      <x:c r="D5265" s="13" t="str">
        <x:v>Income Properties</x:v>
      </x:c>
      <x:c r="E5265" s="13" t="str">
        <x:v>Real Estate</x:v>
      </x:c>
      <x:c r="F5265" s="13" t="str">
        <x:v>Early Cyclicals</x:v>
      </x:c>
      <x:c r="G5265" s="13" t="str">
        <x:v>grid_asitui1y.xlsx</x:v>
      </x:c>
    </x:row>
    <x:row r="5266">
      <x:c r="A5266" s="15" t="n">
        <x:v>42767</x:v>
      </x:c>
      <x:c r="B5266" s="13" t="str">
        <x:v>MULTIPLAN EMPREENDIMENTOS</x:v>
      </x:c>
      <x:c r="C5266" s="16" t="n">
        <x:v>409.5838737534</x:v>
      </x:c>
      <x:c r="D5266" s="13" t="str">
        <x:v>Income Properties</x:v>
      </x:c>
      <x:c r="E5266" s="13" t="str">
        <x:v>Real Estate</x:v>
      </x:c>
      <x:c r="F5266" s="13" t="str">
        <x:v>Early Cyclicals</x:v>
      </x:c>
      <x:c r="G5266" s="13" t="str">
        <x:v>grid_asitui1y.xlsx</x:v>
      </x:c>
    </x:row>
    <x:row r="5267">
      <x:c r="A5267" s="15" t="n">
        <x:v>42767</x:v>
      </x:c>
      <x:c r="B5267" s="13" t="str">
        <x:v>BRADESPAR SA -PREF</x:v>
      </x:c>
      <x:c r="C5267" s="16" t="n">
        <x:v>1313.0520547945</x:v>
      </x:c>
      <x:c r="D5267" s="13" t="str">
        <x:v>Metals &amp; Mining</x:v>
      </x:c>
      <x:c r="E5267" s="13" t="str">
        <x:v>Metals &amp; Mining</x:v>
      </x:c>
      <x:c r="F5267" s="13" t="str">
        <x:v>Deep Cyclicals</x:v>
      </x:c>
      <x:c r="G5267" s="13" t="str">
        <x:v>grid_asitui1y.xlsx</x:v>
      </x:c>
    </x:row>
    <x:row r="5268">
      <x:c r="A5268" s="15" t="n">
        <x:v>42767</x:v>
      </x:c>
      <x:c r="B5268" s="13" t="str">
        <x:v>CIA SIDERURGICA NACIONAL SA</x:v>
      </x:c>
      <x:c r="C5268" s="16" t="n">
        <x:v>-5.5376575342</x:v>
      </x:c>
      <x:c r="D5268" s="13" t="str">
        <x:v>Metals &amp; Mining</x:v>
      </x:c>
      <x:c r="E5268" s="13" t="str">
        <x:v>Metals &amp; Mining</x:v>
      </x:c>
      <x:c r="F5268" s="13" t="str">
        <x:v>Deep Cyclicals</x:v>
      </x:c>
      <x:c r="G5268" s="13" t="str">
        <x:v>grid_asitui1y.xlsx</x:v>
      </x:c>
    </x:row>
    <x:row r="5269">
      <x:c r="A5269" s="15" t="n">
        <x:v>42767</x:v>
      </x:c>
      <x:c r="B5269" s="13" t="str">
        <x:v>GERDAU SA-PREF</x:v>
      </x:c>
      <x:c r="C5269" s="16" t="n">
        <x:v>928.6721294027</x:v>
      </x:c>
      <x:c r="D5269" s="13" t="str">
        <x:v>Metals &amp; Mining</x:v>
      </x:c>
      <x:c r="E5269" s="13" t="str">
        <x:v>Metals &amp; Mining</x:v>
      </x:c>
      <x:c r="F5269" s="13" t="str">
        <x:v>Deep Cyclicals</x:v>
      </x:c>
      <x:c r="G5269" s="13" t="str">
        <x:v>grid_asitui1y.xlsx</x:v>
      </x:c>
    </x:row>
    <x:row r="5270">
      <x:c r="A5270" s="15" t="n">
        <x:v>42767</x:v>
      </x:c>
      <x:c r="B5270" s="13" t="str">
        <x:v>METALURGICA GERDAU SA-PREF</x:v>
      </x:c>
      <x:c r="C5270" s="16" t="n">
        <x:v>802.5057265973</x:v>
      </x:c>
      <x:c r="D5270" s="13" t="str">
        <x:v>Metals &amp; Mining</x:v>
      </x:c>
      <x:c r="E5270" s="13" t="str">
        <x:v>Metals &amp; Mining</x:v>
      </x:c>
      <x:c r="F5270" s="13" t="str">
        <x:v>Deep Cyclicals</x:v>
      </x:c>
      <x:c r="G5270" s="13" t="str">
        <x:v>grid_asitui1y.xlsx</x:v>
      </x:c>
    </x:row>
    <x:row r="5271">
      <x:c r="A5271" s="15" t="n">
        <x:v>42767</x:v>
      </x:c>
      <x:c r="B5271" s="13" t="str">
        <x:v>USINAS SIDER MINAS GER-PF A</x:v>
      </x:c>
      <x:c r="C5271" s="16" t="n">
        <x:v>-254.1872493151</x:v>
      </x:c>
      <x:c r="D5271" s="13" t="str">
        <x:v>Metals &amp; Mining</x:v>
      </x:c>
      <x:c r="E5271" s="13" t="str">
        <x:v>Metals &amp; Mining</x:v>
      </x:c>
      <x:c r="F5271" s="13" t="str">
        <x:v>Deep Cyclicals</x:v>
      </x:c>
      <x:c r="G5271" s="13" t="str">
        <x:v>grid_asitui1y.xlsx</x:v>
      </x:c>
    </x:row>
    <x:row r="5272">
      <x:c r="A5272" s="15" t="n">
        <x:v>42767</x:v>
      </x:c>
      <x:c r="B5272" s="13" t="str">
        <x:v>VALE SA</x:v>
      </x:c>
      <x:c r="C5272" s="16" t="n">
        <x:v>16987.3909872219</x:v>
      </x:c>
      <x:c r="D5272" s="13" t="str">
        <x:v>Metals &amp; Mining</x:v>
      </x:c>
      <x:c r="E5272" s="13" t="str">
        <x:v>Metals &amp; Mining</x:v>
      </x:c>
      <x:c r="F5272" s="13" t="str">
        <x:v>Deep Cyclicals</x:v>
      </x:c>
      <x:c r="G5272" s="13" t="str">
        <x:v>grid_asitui1y.xlsx</x:v>
      </x:c>
    </x:row>
    <x:row r="5273">
      <x:c r="A5273" s="15" t="n">
        <x:v>42767</x:v>
      </x:c>
      <x:c r="B5273" s="13" t="str">
        <x:v>BRASKEM SA-PREF A</x:v>
      </x:c>
      <x:c r="C5273" s="16" t="n">
        <x:v>2833.6451268384</x:v>
      </x:c>
      <x:c r="D5273" s="13" t="str">
        <x:v>Oil, Gas &amp; Petrochemicals</x:v>
      </x:c>
      <x:c r="E5273" s="13" t="str">
        <x:v>Oil, Gas &amp; Petrochemicals</x:v>
      </x:c>
      <x:c r="F5273" s="13" t="str">
        <x:v>Deep Cyclicals</x:v>
      </x:c>
      <x:c r="G5273" s="13" t="str">
        <x:v>grid_asitui1y.xlsx</x:v>
      </x:c>
    </x:row>
    <x:row r="5274">
      <x:c r="A5274" s="15" t="n">
        <x:v>42767</x:v>
      </x:c>
      <x:c r="B5274" s="13" t="str">
        <x:v>COSAN SA</x:v>
      </x:c>
      <x:c r="C5274" s="16" t="n">
        <x:v>1251.901106148</x:v>
      </x:c>
      <x:c r="D5274" s="13" t="str">
        <x:v>Oil, Gas &amp; Petrochemicals</x:v>
      </x:c>
      <x:c r="E5274" s="13" t="str">
        <x:v>Oil, Gas &amp; Petrochemicals</x:v>
      </x:c>
      <x:c r="F5274" s="13" t="str">
        <x:v>Deep Cyclicals</x:v>
      </x:c>
      <x:c r="G5274" s="13" t="str">
        <x:v>grid_asitui1y.xlsx</x:v>
      </x:c>
    </x:row>
    <x:row r="5275">
      <x:c r="A5275" s="15" t="n">
        <x:v>42767</x:v>
      </x:c>
      <x:c r="B5275" s="13" t="str">
        <x:v>PETROBRAS - PETROLEO BRAS</x:v>
      </x:c>
      <x:c r="C5275" s="16" t="n">
        <x:v>17396.0789398795</x:v>
      </x:c>
      <x:c r="D5275" s="13" t="str">
        <x:v>Oil, Gas &amp; Petrochemicals</x:v>
      </x:c>
      <x:c r="E5275" s="13" t="str">
        <x:v>Oil, Gas &amp; Petrochemicals</x:v>
      </x:c>
      <x:c r="F5275" s="13" t="str">
        <x:v>Deep Cyclicals</x:v>
      </x:c>
      <x:c r="G5275" s="13" t="str">
        <x:v>grid_asitui1y.xlsx</x:v>
      </x:c>
    </x:row>
    <x:row r="5276">
      <x:c r="A5276" s="15" t="n">
        <x:v>42767</x:v>
      </x:c>
      <x:c r="B5276" s="13" t="str">
        <x:v>ULTRAPAR PARTICIPACOES SA</x:v>
      </x:c>
      <x:c r="C5276" s="16" t="n">
        <x:v>1733.4796649206</x:v>
      </x:c>
      <x:c r="D5276" s="13" t="str">
        <x:v>Oil, Gas &amp; Petrochemicals</x:v>
      </x:c>
      <x:c r="E5276" s="13" t="str">
        <x:v>Oil, Gas &amp; Petrochemicals</x:v>
      </x:c>
      <x:c r="F5276" s="13" t="str">
        <x:v>Deep Cyclicals</x:v>
      </x:c>
      <x:c r="G5276" s="13" t="str">
        <x:v>grid_asitui1y.xlsx</x:v>
      </x:c>
    </x:row>
    <x:row r="5277">
      <x:c r="A5277" s="15" t="n">
        <x:v>42767</x:v>
      </x:c>
      <x:c r="B5277" s="13" t="str">
        <x:v>FIBRIA CELULOSE S/A</x:v>
      </x:c>
      <x:c r="C5277" s="16" t="n">
        <x:v>398.8828298521</x:v>
      </x:c>
      <x:c r="D5277" s="13" t="str">
        <x:v>Pulp &amp; Paper</x:v>
      </x:c>
      <x:c r="E5277" s="13" t="str">
        <x:v>Pulp &amp; Paper</x:v>
      </x:c>
      <x:c r="F5277" s="13" t="str">
        <x:v>Deep Cyclicals</x:v>
      </x:c>
      <x:c r="G5277" s="13" t="str">
        <x:v>grid_asitui1y.xlsx</x:v>
      </x:c>
    </x:row>
    <x:row r="5278">
      <x:c r="A5278" s="15" t="n">
        <x:v>42767</x:v>
      </x:c>
      <x:c r="B5278" s="13" t="str">
        <x:v>KLABIN SA - UNIT</x:v>
      </x:c>
      <x:c r="C5278" s="16" t="n">
        <x:v>600.2424088548</x:v>
      </x:c>
      <x:c r="D5278" s="13" t="str">
        <x:v>Pulp &amp; Paper</x:v>
      </x:c>
      <x:c r="E5278" s="13" t="str">
        <x:v>Pulp &amp; Paper</x:v>
      </x:c>
      <x:c r="F5278" s="13" t="str">
        <x:v>Deep Cyclicals</x:v>
      </x:c>
      <x:c r="G5278" s="13" t="str">
        <x:v>grid_asitui1y.xlsx</x:v>
      </x:c>
    </x:row>
    <x:row r="5279">
      <x:c r="A5279" s="15" t="n">
        <x:v>42767</x:v>
      </x:c>
      <x:c r="B5279" s="13" t="str">
        <x:v>SUZANO PAPEL E CELULO-PREF A</x:v>
      </x:c>
      <x:c r="C5279" s="16" t="n">
        <x:v>1045.6167175014</x:v>
      </x:c>
      <x:c r="D5279" s="13" t="str">
        <x:v>Pulp &amp; Paper</x:v>
      </x:c>
      <x:c r="E5279" s="13" t="str">
        <x:v>Pulp &amp; Paper</x:v>
      </x:c>
      <x:c r="F5279" s="13" t="str">
        <x:v>Deep Cyclicals</x:v>
      </x:c>
      <x:c r="G5279" s="13" t="str">
        <x:v>grid_asitui1y.xlsx</x:v>
      </x:c>
    </x:row>
    <x:row r="5280">
      <x:c r="A5280" s="15" t="n">
        <x:v>42767</x:v>
      </x:c>
      <x:c r="B5280" s="13" t="str">
        <x:v>CIA BRASILEIRA DE DIS-PREF</x:v>
      </x:c>
      <x:c r="C5280" s="16" t="n">
        <x:v>480.1594192658</x:v>
      </x:c>
      <x:c r="D5280" s="13" t="str">
        <x:v>Retail</x:v>
      </x:c>
      <x:c r="E5280" s="13" t="str">
        <x:v>Retail</x:v>
      </x:c>
      <x:c r="F5280" s="13" t="str">
        <x:v>Early Cyclicals</x:v>
      </x:c>
      <x:c r="G5280" s="13" t="str">
        <x:v>grid_asitui1y.xlsx</x:v>
      </x:c>
    </x:row>
    <x:row r="5281">
      <x:c r="A5281" s="15" t="n">
        <x:v>42767</x:v>
      </x:c>
      <x:c r="B5281" s="13" t="str">
        <x:v>LOJAS AMERICANAS SA-PREF</x:v>
      </x:c>
      <x:c r="C5281" s="16" t="n">
        <x:v>599.9233409753</x:v>
      </x:c>
      <x:c r="D5281" s="13" t="str">
        <x:v>Retail</x:v>
      </x:c>
      <x:c r="E5281" s="13" t="str">
        <x:v>Retail</x:v>
      </x:c>
      <x:c r="F5281" s="13" t="str">
        <x:v>Early Cyclicals</x:v>
      </x:c>
      <x:c r="G5281" s="13" t="str">
        <x:v>grid_asitui1y.xlsx</x:v>
      </x:c>
    </x:row>
    <x:row r="5282">
      <x:c r="A5282" s="15" t="n">
        <x:v>42767</x:v>
      </x:c>
      <x:c r="B5282" s="13" t="str">
        <x:v>LOJAS RENNER S.A.</x:v>
      </x:c>
      <x:c r="C5282" s="16" t="n">
        <x:v>791.6414344767</x:v>
      </x:c>
      <x:c r="D5282" s="13" t="str">
        <x:v>Retail</x:v>
      </x:c>
      <x:c r="E5282" s="13" t="str">
        <x:v>Retail</x:v>
      </x:c>
      <x:c r="F5282" s="13" t="str">
        <x:v>Early Cyclicals</x:v>
      </x:c>
      <x:c r="G5282" s="13" t="str">
        <x:v>grid_asitui1y.xlsx</x:v>
      </x:c>
    </x:row>
    <x:row r="5283">
      <x:c r="A5283" s="15" t="n">
        <x:v>42767</x:v>
      </x:c>
      <x:c r="B5283" s="13" t="str">
        <x:v>NATURA COSMETICOS SA</x:v>
      </x:c>
      <x:c r="C5283" s="16" t="n">
        <x:v>552.4230627945</x:v>
      </x:c>
      <x:c r="D5283" s="13" t="str">
        <x:v>Retail</x:v>
      </x:c>
      <x:c r="E5283" s="13" t="str">
        <x:v>Retail</x:v>
      </x:c>
      <x:c r="F5283" s="13" t="str">
        <x:v>Early Cyclicals</x:v>
      </x:c>
      <x:c r="G5283" s="13" t="str">
        <x:v>grid_asitui1y.xlsx</x:v>
      </x:c>
    </x:row>
    <x:row r="5284">
      <x:c r="A5284" s="15" t="n">
        <x:v>42767</x:v>
      </x:c>
      <x:c r="B5284" s="13" t="str">
        <x:v>RAIA DROGASIL SA</x:v>
      </x:c>
      <x:c r="C5284" s="16" t="n">
        <x:v>634.9995262247</x:v>
      </x:c>
      <x:c r="D5284" s="13" t="str">
        <x:v>Retail</x:v>
      </x:c>
      <x:c r="E5284" s="13" t="str">
        <x:v>Retail</x:v>
      </x:c>
      <x:c r="F5284" s="13" t="str">
        <x:v>Early Cyclicals</x:v>
      </x:c>
      <x:c r="G5284" s="13" t="str">
        <x:v>grid_asitui1y.xlsx</x:v>
      </x:c>
    </x:row>
    <x:row r="5285">
      <x:c r="A5285" s="15" t="n">
        <x:v>42767</x:v>
      </x:c>
      <x:c r="B5285" s="13" t="str">
        <x:v>CIA SANEAMENTO BASICO DE SP</x:v>
      </x:c>
      <x:c r="C5285" s="16" t="n">
        <x:v>2484.2426592438</x:v>
      </x:c>
      <x:c r="D5285" s="13" t="str">
        <x:v>Sanitation</x:v>
      </x:c>
      <x:c r="E5285" s="13" t="str">
        <x:v>Utilities</x:v>
      </x:c>
      <x:c r="F5285" s="13" t="str">
        <x:v>Defensives</x:v>
      </x:c>
      <x:c r="G5285" s="13" t="str">
        <x:v>grid_asitui1y.xlsx</x:v>
      </x:c>
    </x:row>
    <x:row r="5286">
      <x:c r="A5286" s="15" t="n">
        <x:v>42767</x:v>
      </x:c>
      <x:c r="B5286" s="13" t="str">
        <x:v>TELEFONICA BRASIL S.A.-PREF</x:v>
      </x:c>
      <x:c r="C5286" s="16" t="n">
        <x:v>5296.4013013918</x:v>
      </x:c>
      <x:c r="D5286" s="13" t="str">
        <x:v>TMT</x:v>
      </x:c>
      <x:c r="E5286" s="13" t="str">
        <x:v>TMT</x:v>
      </x:c>
      <x:c r="F5286" s="13" t="str">
        <x:v>Early Cyclicals</x:v>
      </x:c>
      <x:c r="G5286" s="13" t="str">
        <x:v>grid_asitui1y.xlsx</x:v>
      </x:c>
    </x:row>
    <x:row r="5287">
      <x:c r="A5287" s="15" t="n">
        <x:v>42767</x:v>
      </x:c>
      <x:c r="B5287" s="13" t="str">
        <x:v>TIM SA</x:v>
      </x:c>
      <x:c r="C5287" s="16" t="n">
        <x:v>847.9727247781</x:v>
      </x:c>
      <x:c r="D5287" s="13" t="str">
        <x:v>TMT</x:v>
      </x:c>
      <x:c r="E5287" s="13" t="str">
        <x:v>TMT</x:v>
      </x:c>
      <x:c r="F5287" s="13" t="str">
        <x:v>Early Cyclicals</x:v>
      </x:c>
      <x:c r="G5287" s="13" t="str">
        <x:v>grid_asitui1y.xlsx</x:v>
      </x:c>
    </x:row>
    <x:row r="5288">
      <x:c r="A5288" s="15" t="n">
        <x:v>42767</x:v>
      </x:c>
      <x:c r="B5288" s="13" t="str">
        <x:v>ECORODOVIAS INFRA E LOG SA</x:v>
      </x:c>
      <x:c r="C5288" s="16" t="n">
        <x:v>401.0000576</x:v>
      </x:c>
      <x:c r="D5288" s="13" t="str">
        <x:v>Transportation</x:v>
      </x:c>
      <x:c r="E5288" s="13" t="str">
        <x:v>Transportation</x:v>
      </x:c>
      <x:c r="F5288" s="13" t="str">
        <x:v>Deep Cyclicals</x:v>
      </x:c>
      <x:c r="G5288" s="13" t="str">
        <x:v>grid_asitui1y.xlsx</x:v>
      </x:c>
    </x:row>
    <x:row r="5289">
      <x:c r="A5289" s="15" t="n">
        <x:v>42767</x:v>
      </x:c>
      <x:c r="B5289" s="13" t="str">
        <x:v>LOCALIZA RENT A CAR</x:v>
      </x:c>
      <x:c r="C5289" s="16" t="n">
        <x:v>458.8975411726</x:v>
      </x:c>
      <x:c r="D5289" s="13" t="str">
        <x:v>Transportation</x:v>
      </x:c>
      <x:c r="E5289" s="13" t="str">
        <x:v>Transportation</x:v>
      </x:c>
      <x:c r="F5289" s="13" t="str">
        <x:v>Deep Cyclicals</x:v>
      </x:c>
      <x:c r="G5289" s="13" t="str">
        <x:v>grid_asitui1y.xlsx</x:v>
      </x:c>
    </x:row>
    <x:row r="5290">
      <x:c r="A5290" s="15" t="n">
        <x:v>42767</x:v>
      </x:c>
      <x:c r="B5290" s="13" t="str">
        <x:v>MOTIVA INFRAESTRUTURA DE MOB</x:v>
      </x:c>
      <x:c r="C5290" s="16" t="n">
        <x:v>1493.4620005699</x:v>
      </x:c>
      <x:c r="D5290" s="13" t="str">
        <x:v>Transportation</x:v>
      </x:c>
      <x:c r="E5290" s="13" t="str">
        <x:v>Transportation</x:v>
      </x:c>
      <x:c r="F5290" s="13" t="str">
        <x:v>Deep Cyclicals</x:v>
      </x:c>
      <x:c r="G5290" s="13" t="str">
        <x:v>grid_asitui1y.xlsx</x:v>
      </x:c>
    </x:row>
    <x:row r="5291">
      <x:c r="A5291" s="15" t="n">
        <x:v>42767</x:v>
      </x:c>
      <x:c r="B5291" s="13" t="str">
        <x:v>AXIA ENERGIA SA</x:v>
      </x:c>
      <x:c r="C5291" s="16" t="n">
        <x:v>2744.7110487671</x:v>
      </x:c>
      <x:c r="D5291" s="13" t="str">
        <x:v>Utilities &amp; Energy</x:v>
      </x:c>
      <x:c r="E5291" s="13" t="str">
        <x:v>Utilities</x:v>
      </x:c>
      <x:c r="F5291" s="13" t="str">
        <x:v>Defensives</x:v>
      </x:c>
      <x:c r="G5291" s="13" t="str">
        <x:v>grid_asitui1y.xlsx</x:v>
      </x:c>
    </x:row>
    <x:row r="5292">
      <x:c r="A5292" s="15" t="n">
        <x:v>42767</x:v>
      </x:c>
      <x:c r="B5292" s="13" t="str">
        <x:v>CIA ENERGETICA MINAS GER-PRF</x:v>
      </x:c>
      <x:c r="C5292" s="16" t="n">
        <x:v>1349.5509258521</x:v>
      </x:c>
      <x:c r="D5292" s="13" t="str">
        <x:v>Utilities &amp; Energy</x:v>
      </x:c>
      <x:c r="E5292" s="13" t="str">
        <x:v>Utilities</x:v>
      </x:c>
      <x:c r="F5292" s="13" t="str">
        <x:v>Defensives</x:v>
      </x:c>
      <x:c r="G5292" s="13" t="str">
        <x:v>grid_asitui1y.xlsx</x:v>
      </x:c>
    </x:row>
    <x:row r="5293">
      <x:c r="A5293" s="15" t="n">
        <x:v>42767</x:v>
      </x:c>
      <x:c r="B5293" s="13" t="str">
        <x:v>COMPANHIA PARANAENSE -PREF B</x:v>
      </x:c>
      <x:c r="C5293" s="16" t="n">
        <x:v>1175.6680879343</x:v>
      </x:c>
      <x:c r="D5293" s="13" t="str">
        <x:v>Utilities &amp; Energy</x:v>
      </x:c>
      <x:c r="E5293" s="13" t="str">
        <x:v>Utilities</x:v>
      </x:c>
      <x:c r="F5293" s="13" t="str">
        <x:v>Defensives</x:v>
      </x:c>
      <x:c r="G5293" s="13" t="str">
        <x:v>grid_asitui1y.xlsx</x:v>
      </x:c>
    </x:row>
    <x:row r="5294">
      <x:c r="A5294" s="15" t="n">
        <x:v>42767</x:v>
      </x:c>
      <x:c r="B5294" s="13" t="str">
        <x:v>CPFL ENERGIA SA</x:v>
      </x:c>
      <x:c r="C5294" s="16" t="n">
        <x:v>1332.9698093589</x:v>
      </x:c>
      <x:c r="D5294" s="13" t="str">
        <x:v>Utilities &amp; Energy</x:v>
      </x:c>
      <x:c r="E5294" s="13" t="str">
        <x:v>Utilities</x:v>
      </x:c>
      <x:c r="F5294" s="13" t="str">
        <x:v>Defensives</x:v>
      </x:c>
      <x:c r="G5294" s="13" t="str">
        <x:v>grid_asitui1y.xlsx</x:v>
      </x:c>
    </x:row>
    <x:row r="5295">
      <x:c r="A5295" s="15" t="n">
        <x:v>42767</x:v>
      </x:c>
      <x:c r="B5295" s="13" t="str">
        <x:v>EDP - ENERGIAS DO BRASIL SA</x:v>
      </x:c>
      <x:c r="C5295" s="16" t="n">
        <x:v>667.9131795288</x:v>
      </x:c>
      <x:c r="D5295" s="13" t="str">
        <x:v>Utilities &amp; Energy</x:v>
      </x:c>
      <x:c r="E5295" s="13" t="str">
        <x:v>Utilities</x:v>
      </x:c>
      <x:c r="F5295" s="13" t="str">
        <x:v>Defensives</x:v>
      </x:c>
      <x:c r="G5295" s="13" t="str">
        <x:v>grid_asitui1y.xlsx</x:v>
      </x:c>
    </x:row>
    <x:row r="5296">
      <x:c r="A5296" s="15" t="n">
        <x:v>42767</x:v>
      </x:c>
      <x:c r="B5296" s="13" t="str">
        <x:v>ENGIE BRASIL ENERGIA SA</x:v>
      </x:c>
      <x:c r="C5296" s="16" t="n">
        <x:v>1953.5221121753</x:v>
      </x:c>
      <x:c r="D5296" s="13" t="str">
        <x:v>Utilities &amp; Energy</x:v>
      </x:c>
      <x:c r="E5296" s="13" t="str">
        <x:v>Utilities</x:v>
      </x:c>
      <x:c r="F5296" s="13" t="str">
        <x:v>Defensives</x:v>
      </x:c>
      <x:c r="G5296" s="13" t="str">
        <x:v>grid_asitui1y.xlsx</x:v>
      </x:c>
    </x:row>
    <x:row r="5297">
      <x:c r="A5297" s="15" t="n">
        <x:v>42767</x:v>
      </x:c>
      <x:c r="B5297" s="13" t="str">
        <x:v>EQUATORIAL SA - ORD</x:v>
      </x:c>
      <x:c r="C5297" s="16" t="n">
        <x:v>891.4359152219</x:v>
      </x:c>
      <x:c r="D5297" s="13" t="str">
        <x:v>Utilities &amp; Energy</x:v>
      </x:c>
      <x:c r="E5297" s="13" t="str">
        <x:v>Utilities</x:v>
      </x:c>
      <x:c r="F5297" s="13" t="str">
        <x:v>Defensives</x:v>
      </x:c>
      <x:c r="G5297" s="13" t="str">
        <x:v>grid_asitui1y.xlsx</x:v>
      </x:c>
    </x:row>
    <x:row r="5298">
      <x:c r="A5298" s="15" t="n">
        <x:v>42795</x:v>
      </x:c>
      <x:c r="B5298" s="13" t="str">
        <x:v>BANCO BRADESCO S.A.</x:v>
      </x:c>
      <x:c r="C5298" s="16" t="n">
        <x:v>18819.8658945753</x:v>
      </x:c>
      <x:c r="D5298" s="13" t="str">
        <x:v>Banks</x:v>
      </x:c>
      <x:c r="E5298" s="13" t="str">
        <x:v>Banks</x:v>
      </x:c>
      <x:c r="F5298" s="13" t="str">
        <x:v>Financials</x:v>
      </x:c>
      <x:c r="G5298" s="13" t="str">
        <x:v>grid_asitui1y.xlsx</x:v>
      </x:c>
    </x:row>
    <x:row r="5299">
      <x:c r="A5299" s="15" t="n">
        <x:v>42795</x:v>
      </x:c>
      <x:c r="B5299" s="13" t="str">
        <x:v>BANCO BRADESCO SA-PREF</x:v>
      </x:c>
      <x:c r="C5299" s="16" t="n">
        <x:v>18819.8658945753</x:v>
      </x:c>
      <x:c r="D5299" s="13" t="str">
        <x:v>Banks</x:v>
      </x:c>
      <x:c r="E5299" s="13" t="str">
        <x:v>Banks</x:v>
      </x:c>
      <x:c r="F5299" s="13" t="str">
        <x:v>Financials</x:v>
      </x:c>
      <x:c r="G5299" s="13" t="str">
        <x:v>grid_asitui1y.xlsx</x:v>
      </x:c>
    </x:row>
    <x:row r="5300">
      <x:c r="A5300" s="15" t="n">
        <x:v>42795</x:v>
      </x:c>
      <x:c r="B5300" s="13" t="str">
        <x:v>BANCO DO BRASIL S.A.</x:v>
      </x:c>
      <x:c r="C5300" s="16" t="n">
        <x:v>11961.1041174795</x:v>
      </x:c>
      <x:c r="D5300" s="13" t="str">
        <x:v>Banks</x:v>
      </x:c>
      <x:c r="E5300" s="13" t="str">
        <x:v>Banks</x:v>
      </x:c>
      <x:c r="F5300" s="13" t="str">
        <x:v>Financials</x:v>
      </x:c>
      <x:c r="G5300" s="13" t="str">
        <x:v>grid_asitui1y.xlsx</x:v>
      </x:c>
    </x:row>
    <x:row r="5301">
      <x:c r="A5301" s="15" t="n">
        <x:v>42795</x:v>
      </x:c>
      <x:c r="B5301" s="13" t="str">
        <x:v>BANCO SANTANDER  BRASIL-UNIT</x:v>
      </x:c>
      <x:c r="C5301" s="16" t="n">
        <x:v>7724.4525133151</x:v>
      </x:c>
      <x:c r="D5301" s="13" t="str">
        <x:v>Banks</x:v>
      </x:c>
      <x:c r="E5301" s="13" t="str">
        <x:v>Banks</x:v>
      </x:c>
      <x:c r="F5301" s="13" t="str">
        <x:v>Financials</x:v>
      </x:c>
      <x:c r="G5301" s="13" t="str">
        <x:v>grid_asitui1y.xlsx</x:v>
      </x:c>
    </x:row>
    <x:row r="5302">
      <x:c r="A5302" s="15" t="n">
        <x:v>42795</x:v>
      </x:c>
      <x:c r="B5302" s="13" t="str">
        <x:v>ITAU UNIBANCO HOLDING S-PREF</x:v>
      </x:c>
      <x:c r="C5302" s="16" t="n">
        <x:v>24181.596300274</x:v>
      </x:c>
      <x:c r="D5302" s="13" t="str">
        <x:v>Banks</x:v>
      </x:c>
      <x:c r="E5302" s="13" t="str">
        <x:v>Banks</x:v>
      </x:c>
      <x:c r="F5302" s="13" t="str">
        <x:v>Financials</x:v>
      </x:c>
      <x:c r="G5302" s="13" t="str">
        <x:v>grid_asitui1y.xlsx</x:v>
      </x:c>
    </x:row>
    <x:row r="5303">
      <x:c r="A5303" s="15" t="n">
        <x:v>42795</x:v>
      </x:c>
      <x:c r="B5303" s="13" t="str">
        <x:v>EMBRAER SA</x:v>
      </x:c>
      <x:c r="C5303" s="16" t="n">
        <x:v>1055.9760113973</x:v>
      </x:c>
      <x:c r="D5303" s="13" t="str">
        <x:v>Capital Goods</x:v>
      </x:c>
      <x:c r="E5303" s="13" t="str">
        <x:v>Capital Goods</x:v>
      </x:c>
      <x:c r="F5303" s="13" t="str">
        <x:v>Deep Cyclicals</x:v>
      </x:c>
      <x:c r="G5303" s="13" t="str">
        <x:v>grid_asitui1y.xlsx</x:v>
      </x:c>
    </x:row>
    <x:row r="5304">
      <x:c r="A5304" s="15" t="n">
        <x:v>42795</x:v>
      </x:c>
      <x:c r="B5304" s="13" t="str">
        <x:v>WEG SA</x:v>
      </x:c>
      <x:c r="C5304" s="16" t="n">
        <x:v>1288.6253063014</x:v>
      </x:c>
      <x:c r="D5304" s="13" t="str">
        <x:v>Capital Goods</x:v>
      </x:c>
      <x:c r="E5304" s="13" t="str">
        <x:v>Capital Goods</x:v>
      </x:c>
      <x:c r="F5304" s="13" t="str">
        <x:v>Deep Cyclicals</x:v>
      </x:c>
      <x:c r="G5304" s="13" t="str">
        <x:v>grid_asitui1y.xlsx</x:v>
      </x:c>
    </x:row>
    <x:row r="5305">
      <x:c r="A5305" s="15" t="n">
        <x:v>42795</x:v>
      </x:c>
      <x:c r="B5305" s="13" t="str">
        <x:v>COGNA EDUCACAO</x:v>
      </x:c>
      <x:c r="C5305" s="16" t="n">
        <x:v>2126.574802411</x:v>
      </x:c>
      <x:c r="D5305" s="13" t="str">
        <x:v>Education</x:v>
      </x:c>
      <x:c r="E5305" s="13" t="str">
        <x:v>Education</x:v>
      </x:c>
      <x:c r="F5305" s="13" t="str">
        <x:v>Early Cyclicals</x:v>
      </x:c>
      <x:c r="G5305" s="13" t="str">
        <x:v>grid_asitui1y.xlsx</x:v>
      </x:c>
    </x:row>
    <x:row r="5306">
      <x:c r="A5306" s="15" t="n">
        <x:v>42795</x:v>
      </x:c>
      <x:c r="B5306" s="13" t="str">
        <x:v>YDUQS PARTICIPACOES SA</x:v>
      </x:c>
      <x:c r="C5306" s="16" t="n">
        <x:v>535.0683050959</x:v>
      </x:c>
      <x:c r="D5306" s="13" t="str">
        <x:v>Education</x:v>
      </x:c>
      <x:c r="E5306" s="13" t="str">
        <x:v>Education</x:v>
      </x:c>
      <x:c r="F5306" s="13" t="str">
        <x:v>Early Cyclicals</x:v>
      </x:c>
      <x:c r="G5306" s="13" t="str">
        <x:v>grid_asitui1y.xlsx</x:v>
      </x:c>
    </x:row>
    <x:row r="5307">
      <x:c r="A5307" s="15" t="n">
        <x:v>42795</x:v>
      </x:c>
      <x:c r="B5307" s="13" t="str">
        <x:v>B3 SA-BRASIL BOLSA BALCAO</x:v>
      </x:c>
      <x:c r="C5307" s="16" t="n">
        <x:v>2097.9576670685</x:v>
      </x:c>
      <x:c r="D5307" s="13" t="str">
        <x:v>Financials Non-Banks</x:v>
      </x:c>
      <x:c r="E5307" s="13" t="str">
        <x:v>Financials Non-Banks</x:v>
      </x:c>
      <x:c r="F5307" s="13" t="str">
        <x:v>Financials</x:v>
      </x:c>
      <x:c r="G5307" s="13" t="str">
        <x:v>grid_asitui1y.xlsx</x:v>
      </x:c>
    </x:row>
    <x:row r="5308">
      <x:c r="A5308" s="15" t="n">
        <x:v>42795</x:v>
      </x:c>
      <x:c r="B5308" s="13" t="str">
        <x:v>BB SEGURIDADE PARTICIPACOES</x:v>
      </x:c>
      <x:c r="C5308" s="16" t="n">
        <x:v>4408.1716883288</x:v>
      </x:c>
      <x:c r="D5308" s="13" t="str">
        <x:v>Financials Non-Banks</x:v>
      </x:c>
      <x:c r="E5308" s="13" t="str">
        <x:v>Financials Non-Banks</x:v>
      </x:c>
      <x:c r="F5308" s="13" t="str">
        <x:v>Financials</x:v>
      </x:c>
      <x:c r="G5308" s="13" t="str">
        <x:v>grid_asitui1y.xlsx</x:v>
      </x:c>
    </x:row>
    <x:row r="5309">
      <x:c r="A5309" s="15" t="n">
        <x:v>42795</x:v>
      </x:c>
      <x:c r="B5309" s="13" t="str">
        <x:v>CIELO SA - INSTITUICAO DE PA</x:v>
      </x:c>
      <x:c r="C5309" s="16" t="n">
        <x:v>4605.2602459178</x:v>
      </x:c>
      <x:c r="D5309" s="13" t="str">
        <x:v>Financials Non-Banks</x:v>
      </x:c>
      <x:c r="E5309" s="13" t="str">
        <x:v>Financials Non-Banks</x:v>
      </x:c>
      <x:c r="F5309" s="13" t="str">
        <x:v>Financials</x:v>
      </x:c>
      <x:c r="G5309" s="13" t="str">
        <x:v>grid_asitui1y.xlsx</x:v>
      </x:c>
    </x:row>
    <x:row r="5310">
      <x:c r="A5310" s="15" t="n">
        <x:v>42795</x:v>
      </x:c>
      <x:c r="B5310" s="13" t="str">
        <x:v>ITAUSA SA</x:v>
      </x:c>
      <x:c r="C5310" s="16" t="n">
        <x:v>8381.2877676712</x:v>
      </x:c>
      <x:c r="D5310" s="13" t="str">
        <x:v>Financials Non-Banks</x:v>
      </x:c>
      <x:c r="E5310" s="13" t="str">
        <x:v>Financials Non-Banks</x:v>
      </x:c>
      <x:c r="F5310" s="13" t="str">
        <x:v>Financials</x:v>
      </x:c>
      <x:c r="G5310" s="13" t="str">
        <x:v>grid_asitui1y.xlsx</x:v>
      </x:c>
    </x:row>
    <x:row r="5311">
      <x:c r="A5311" s="15" t="n">
        <x:v>42795</x:v>
      </x:c>
      <x:c r="B5311" s="13" t="str">
        <x:v>AMBEV SA</x:v>
      </x:c>
      <x:c r="C5311" s="16" t="n">
        <x:v>13532.1890086575</x:v>
      </x:c>
      <x:c r="D5311" s="13" t="str">
        <x:v>Food &amp; Beverages</x:v>
      </x:c>
      <x:c r="E5311" s="13" t="str">
        <x:v>Agri, Food &amp; Beverages</x:v>
      </x:c>
      <x:c r="F5311" s="13" t="str">
        <x:v>Defensives</x:v>
      </x:c>
      <x:c r="G5311" s="13" t="str">
        <x:v>grid_asitui1y.xlsx</x:v>
      </x:c>
    </x:row>
    <x:row r="5312">
      <x:c r="A5312" s="15" t="n">
        <x:v>42795</x:v>
      </x:c>
      <x:c r="B5312" s="13" t="str">
        <x:v>BRF SA</x:v>
      </x:c>
      <x:c r="C5312" s="16" t="n">
        <x:v>1675.4740164384</x:v>
      </x:c>
      <x:c r="D5312" s="13" t="str">
        <x:v>Food &amp; Beverages</x:v>
      </x:c>
      <x:c r="E5312" s="13" t="str">
        <x:v>Agri, Food &amp; Beverages</x:v>
      </x:c>
      <x:c r="F5312" s="13" t="str">
        <x:v>Defensives</x:v>
      </x:c>
      <x:c r="G5312" s="13" t="str">
        <x:v>grid_asitui1y.xlsx</x:v>
      </x:c>
    </x:row>
    <x:row r="5313">
      <x:c r="A5313" s="15" t="n">
        <x:v>42795</x:v>
      </x:c>
      <x:c r="B5313" s="13" t="str">
        <x:v>JBS SA</x:v>
      </x:c>
      <x:c r="C5313" s="16" t="n">
        <x:v>4376.4696372603</x:v>
      </x:c>
      <x:c r="D5313" s="13" t="str">
        <x:v>Food &amp; Beverages</x:v>
      </x:c>
      <x:c r="E5313" s="13" t="str">
        <x:v>Agri, Food &amp; Beverages</x:v>
      </x:c>
      <x:c r="F5313" s="13" t="str">
        <x:v>Defensives</x:v>
      </x:c>
      <x:c r="G5313" s="13" t="str">
        <x:v>grid_asitui1y.xlsx</x:v>
      </x:c>
    </x:row>
    <x:row r="5314">
      <x:c r="A5314" s="15" t="n">
        <x:v>42795</x:v>
      </x:c>
      <x:c r="B5314" s="13" t="str">
        <x:v>MBRF GLOBAL FOODS COMPANY SA</x:v>
      </x:c>
      <x:c r="C5314" s="16" t="n">
        <x:v>144.7604833973</x:v>
      </x:c>
      <x:c r="D5314" s="13" t="str">
        <x:v>Food &amp; Beverages</x:v>
      </x:c>
      <x:c r="E5314" s="13" t="str">
        <x:v>Agri, Food &amp; Beverages</x:v>
      </x:c>
      <x:c r="F5314" s="13" t="str">
        <x:v>Defensives</x:v>
      </x:c>
      <x:c r="G5314" s="13" t="str">
        <x:v>grid_asitui1y.xlsx</x:v>
      </x:c>
    </x:row>
    <x:row r="5315">
      <x:c r="A5315" s="15" t="n">
        <x:v>42795</x:v>
      </x:c>
      <x:c r="B5315" s="13" t="str">
        <x:v>HYPERA SA</x:v>
      </x:c>
      <x:c r="C5315" s="16" t="n">
        <x:v>965.2774014247</x:v>
      </x:c>
      <x:c r="D5315" s="13" t="str">
        <x:v>Health Care</x:v>
      </x:c>
      <x:c r="E5315" s="13" t="str">
        <x:v>Health Care</x:v>
      </x:c>
      <x:c r="F5315" s="13" t="str">
        <x:v>Defensives</x:v>
      </x:c>
      <x:c r="G5315" s="13" t="str">
        <x:v>grid_asitui1y.xlsx</x:v>
      </x:c>
    </x:row>
    <x:row r="5316">
      <x:c r="A5316" s="15" t="n">
        <x:v>42795</x:v>
      </x:c>
      <x:c r="B5316" s="13" t="str">
        <x:v>QUALICORP CONS E CORR SEG SA</x:v>
      </x:c>
      <x:c r="C5316" s="16" t="n">
        <x:v>434.1232876712</x:v>
      </x:c>
      <x:c r="D5316" s="13" t="str">
        <x:v>Health Care</x:v>
      </x:c>
      <x:c r="E5316" s="13" t="str">
        <x:v>Health Care</x:v>
      </x:c>
      <x:c r="F5316" s="13" t="str">
        <x:v>Defensives</x:v>
      </x:c>
      <x:c r="G5316" s="13" t="str">
        <x:v>grid_asitui1y.xlsx</x:v>
      </x:c>
    </x:row>
    <x:row r="5317">
      <x:c r="A5317" s="15" t="n">
        <x:v>42795</x:v>
      </x:c>
      <x:c r="B5317" s="13" t="str">
        <x:v>CYRELA BRAZIL REALTY SA EMP</x:v>
      </x:c>
      <x:c r="C5317" s="16" t="n">
        <x:v>189.6498864658</x:v>
      </x:c>
      <x:c r="D5317" s="13" t="str">
        <x:v>Homebuilders</x:v>
      </x:c>
      <x:c r="E5317" s="13" t="str">
        <x:v>Real Estate</x:v>
      </x:c>
      <x:c r="F5317" s="13" t="str">
        <x:v>Early Cyclicals</x:v>
      </x:c>
      <x:c r="G5317" s="13" t="str">
        <x:v>grid_asitui1y.xlsx</x:v>
      </x:c>
    </x:row>
    <x:row r="5318">
      <x:c r="A5318" s="15" t="n">
        <x:v>42795</x:v>
      </x:c>
      <x:c r="B5318" s="13" t="str">
        <x:v>MRV ENGENHARIA</x:v>
      </x:c>
      <x:c r="C5318" s="16" t="n">
        <x:v>677.3815303014</x:v>
      </x:c>
      <x:c r="D5318" s="13" t="str">
        <x:v>Homebuilders</x:v>
      </x:c>
      <x:c r="E5318" s="13" t="str">
        <x:v>Real Estate</x:v>
      </x:c>
      <x:c r="F5318" s="13" t="str">
        <x:v>Early Cyclicals</x:v>
      </x:c>
      <x:c r="G5318" s="13" t="str">
        <x:v>grid_asitui1y.xlsx</x:v>
      </x:c>
    </x:row>
    <x:row r="5319">
      <x:c r="A5319" s="15" t="n">
        <x:v>42795</x:v>
      </x:c>
      <x:c r="B5319" s="13" t="str">
        <x:v>BR MALLS PARTICIPACOES SA</x:v>
      </x:c>
      <x:c r="C5319" s="16" t="n">
        <x:v>414.4739726027</x:v>
      </x:c>
      <x:c r="D5319" s="13" t="str">
        <x:v>Income Properties</x:v>
      </x:c>
      <x:c r="E5319" s="13" t="str">
        <x:v>Real Estate</x:v>
      </x:c>
      <x:c r="F5319" s="13" t="str">
        <x:v>Early Cyclicals</x:v>
      </x:c>
      <x:c r="G5319" s="13" t="str">
        <x:v>grid_asitui1y.xlsx</x:v>
      </x:c>
    </x:row>
    <x:row r="5320">
      <x:c r="A5320" s="15" t="n">
        <x:v>42795</x:v>
      </x:c>
      <x:c r="B5320" s="13" t="str">
        <x:v>MULTIPLAN EMPREENDIMENTOS</x:v>
      </x:c>
      <x:c r="C5320" s="16" t="n">
        <x:v>419.7846321096</x:v>
      </x:c>
      <x:c r="D5320" s="13" t="str">
        <x:v>Income Properties</x:v>
      </x:c>
      <x:c r="E5320" s="13" t="str">
        <x:v>Real Estate</x:v>
      </x:c>
      <x:c r="F5320" s="13" t="str">
        <x:v>Early Cyclicals</x:v>
      </x:c>
      <x:c r="G5320" s="13" t="str">
        <x:v>grid_asitui1y.xlsx</x:v>
      </x:c>
    </x:row>
    <x:row r="5321">
      <x:c r="A5321" s="15" t="n">
        <x:v>42795</x:v>
      </x:c>
      <x:c r="B5321" s="13" t="str">
        <x:v>BRADESPAR SA -PREF</x:v>
      </x:c>
      <x:c r="C5321" s="16" t="n">
        <x:v>2256.6553950685</x:v>
      </x:c>
      <x:c r="D5321" s="13" t="str">
        <x:v>Metals &amp; Mining</x:v>
      </x:c>
      <x:c r="E5321" s="13" t="str">
        <x:v>Metals &amp; Mining</x:v>
      </x:c>
      <x:c r="F5321" s="13" t="str">
        <x:v>Deep Cyclicals</x:v>
      </x:c>
      <x:c r="G5321" s="13" t="str">
        <x:v>grid_asitui1y.xlsx</x:v>
      </x:c>
    </x:row>
    <x:row r="5322">
      <x:c r="A5322" s="15" t="n">
        <x:v>42795</x:v>
      </x:c>
      <x:c r="B5322" s="13" t="str">
        <x:v>CIA SIDERURGICA NACIONAL SA</x:v>
      </x:c>
      <x:c r="C5322" s="16" t="n">
        <x:v>78.248630137</x:v>
      </x:c>
      <x:c r="D5322" s="13" t="str">
        <x:v>Metals &amp; Mining</x:v>
      </x:c>
      <x:c r="E5322" s="13" t="str">
        <x:v>Metals &amp; Mining</x:v>
      </x:c>
      <x:c r="F5322" s="13" t="str">
        <x:v>Deep Cyclicals</x:v>
      </x:c>
      <x:c r="G5322" s="13" t="str">
        <x:v>grid_asitui1y.xlsx</x:v>
      </x:c>
    </x:row>
    <x:row r="5323">
      <x:c r="A5323" s="15" t="n">
        <x:v>42795</x:v>
      </x:c>
      <x:c r="B5323" s="13" t="str">
        <x:v>GERDAU SA-PREF</x:v>
      </x:c>
      <x:c r="C5323" s="16" t="n">
        <x:v>870.6829632877</x:v>
      </x:c>
      <x:c r="D5323" s="13" t="str">
        <x:v>Metals &amp; Mining</x:v>
      </x:c>
      <x:c r="E5323" s="13" t="str">
        <x:v>Metals &amp; Mining</x:v>
      </x:c>
      <x:c r="F5323" s="13" t="str">
        <x:v>Deep Cyclicals</x:v>
      </x:c>
      <x:c r="G5323" s="13" t="str">
        <x:v>grid_asitui1y.xlsx</x:v>
      </x:c>
    </x:row>
    <x:row r="5324">
      <x:c r="A5324" s="15" t="n">
        <x:v>42795</x:v>
      </x:c>
      <x:c r="B5324" s="13" t="str">
        <x:v>METALURGICA GERDAU SA-PREF</x:v>
      </x:c>
      <x:c r="C5324" s="16" t="n">
        <x:v>1136.6506292603</x:v>
      </x:c>
      <x:c r="D5324" s="13" t="str">
        <x:v>Metals &amp; Mining</x:v>
      </x:c>
      <x:c r="E5324" s="13" t="str">
        <x:v>Metals &amp; Mining</x:v>
      </x:c>
      <x:c r="F5324" s="13" t="str">
        <x:v>Deep Cyclicals</x:v>
      </x:c>
      <x:c r="G5324" s="13" t="str">
        <x:v>grid_asitui1y.xlsx</x:v>
      </x:c>
    </x:row>
    <x:row r="5325">
      <x:c r="A5325" s="15" t="n">
        <x:v>42795</x:v>
      </x:c>
      <x:c r="B5325" s="13" t="str">
        <x:v>USINAS SIDER MINAS GER-PF A</x:v>
      </x:c>
      <x:c r="C5325" s="16" t="n">
        <x:v>-179.2599912329</x:v>
      </x:c>
      <x:c r="D5325" s="13" t="str">
        <x:v>Metals &amp; Mining</x:v>
      </x:c>
      <x:c r="E5325" s="13" t="str">
        <x:v>Metals &amp; Mining</x:v>
      </x:c>
      <x:c r="F5325" s="13" t="str">
        <x:v>Deep Cyclicals</x:v>
      </x:c>
      <x:c r="G5325" s="13" t="str">
        <x:v>grid_asitui1y.xlsx</x:v>
      </x:c>
    </x:row>
    <x:row r="5326">
      <x:c r="A5326" s="15" t="n">
        <x:v>42795</x:v>
      </x:c>
      <x:c r="B5326" s="13" t="str">
        <x:v>VALE SA</x:v>
      </x:c>
      <x:c r="C5326" s="16" t="n">
        <x:v>20500.9010183014</x:v>
      </x:c>
      <x:c r="D5326" s="13" t="str">
        <x:v>Metals &amp; Mining</x:v>
      </x:c>
      <x:c r="E5326" s="13" t="str">
        <x:v>Metals &amp; Mining</x:v>
      </x:c>
      <x:c r="F5326" s="13" t="str">
        <x:v>Deep Cyclicals</x:v>
      </x:c>
      <x:c r="G5326" s="13" t="str">
        <x:v>grid_asitui1y.xlsx</x:v>
      </x:c>
    </x:row>
    <x:row r="5327">
      <x:c r="A5327" s="15" t="n">
        <x:v>42795</x:v>
      </x:c>
      <x:c r="B5327" s="13" t="str">
        <x:v>BRASKEM SA-PREF A</x:v>
      </x:c>
      <x:c r="C5327" s="16" t="n">
        <x:v>2696.8206448219</x:v>
      </x:c>
      <x:c r="D5327" s="13" t="str">
        <x:v>Oil, Gas &amp; Petrochemicals</x:v>
      </x:c>
      <x:c r="E5327" s="13" t="str">
        <x:v>Oil, Gas &amp; Petrochemicals</x:v>
      </x:c>
      <x:c r="F5327" s="13" t="str">
        <x:v>Deep Cyclicals</x:v>
      </x:c>
      <x:c r="G5327" s="13" t="str">
        <x:v>grid_asitui1y.xlsx</x:v>
      </x:c>
    </x:row>
    <x:row r="5328">
      <x:c r="A5328" s="15" t="n">
        <x:v>42795</x:v>
      </x:c>
      <x:c r="B5328" s="13" t="str">
        <x:v>COSAN SA</x:v>
      </x:c>
      <x:c r="C5328" s="16" t="n">
        <x:v>1243.5375219726</x:v>
      </x:c>
      <x:c r="D5328" s="13" t="str">
        <x:v>Oil, Gas &amp; Petrochemicals</x:v>
      </x:c>
      <x:c r="E5328" s="13" t="str">
        <x:v>Oil, Gas &amp; Petrochemicals</x:v>
      </x:c>
      <x:c r="F5328" s="13" t="str">
        <x:v>Deep Cyclicals</x:v>
      </x:c>
      <x:c r="G5328" s="13" t="str">
        <x:v>grid_asitui1y.xlsx</x:v>
      </x:c>
    </x:row>
    <x:row r="5329">
      <x:c r="A5329" s="15" t="n">
        <x:v>42795</x:v>
      </x:c>
      <x:c r="B5329" s="13" t="str">
        <x:v>PETROBRAS - PETROLEO BRAS</x:v>
      </x:c>
      <x:c r="C5329" s="16" t="n">
        <x:v>17036.398662137</x:v>
      </x:c>
      <x:c r="D5329" s="13" t="str">
        <x:v>Oil, Gas &amp; Petrochemicals</x:v>
      </x:c>
      <x:c r="E5329" s="13" t="str">
        <x:v>Oil, Gas &amp; Petrochemicals</x:v>
      </x:c>
      <x:c r="F5329" s="13" t="str">
        <x:v>Deep Cyclicals</x:v>
      </x:c>
      <x:c r="G5329" s="13" t="str">
        <x:v>grid_asitui1y.xlsx</x:v>
      </x:c>
    </x:row>
    <x:row r="5330">
      <x:c r="A5330" s="15" t="n">
        <x:v>42795</x:v>
      </x:c>
      <x:c r="B5330" s="13" t="str">
        <x:v>ULTRAPAR PARTICIPACOES SA</x:v>
      </x:c>
      <x:c r="C5330" s="16" t="n">
        <x:v>1770.5955524384</x:v>
      </x:c>
      <x:c r="D5330" s="13" t="str">
        <x:v>Oil, Gas &amp; Petrochemicals</x:v>
      </x:c>
      <x:c r="E5330" s="13" t="str">
        <x:v>Oil, Gas &amp; Petrochemicals</x:v>
      </x:c>
      <x:c r="F5330" s="13" t="str">
        <x:v>Deep Cyclicals</x:v>
      </x:c>
      <x:c r="G5330" s="13" t="str">
        <x:v>grid_asitui1y.xlsx</x:v>
      </x:c>
    </x:row>
    <x:row r="5331">
      <x:c r="A5331" s="15" t="n">
        <x:v>42795</x:v>
      </x:c>
      <x:c r="B5331" s="13" t="str">
        <x:v>FIBRIA CELULOSE S/A</x:v>
      </x:c>
      <x:c r="C5331" s="16" t="n">
        <x:v>574.654125589</x:v>
      </x:c>
      <x:c r="D5331" s="13" t="str">
        <x:v>Pulp &amp; Paper</x:v>
      </x:c>
      <x:c r="E5331" s="13" t="str">
        <x:v>Pulp &amp; Paper</x:v>
      </x:c>
      <x:c r="F5331" s="13" t="str">
        <x:v>Deep Cyclicals</x:v>
      </x:c>
      <x:c r="G5331" s="13" t="str">
        <x:v>grid_asitui1y.xlsx</x:v>
      </x:c>
    </x:row>
    <x:row r="5332">
      <x:c r="A5332" s="15" t="n">
        <x:v>42795</x:v>
      </x:c>
      <x:c r="B5332" s="13" t="str">
        <x:v>KLABIN SA - UNIT</x:v>
      </x:c>
      <x:c r="C5332" s="16" t="n">
        <x:v>649.5078724384</x:v>
      </x:c>
      <x:c r="D5332" s="13" t="str">
        <x:v>Pulp &amp; Paper</x:v>
      </x:c>
      <x:c r="E5332" s="13" t="str">
        <x:v>Pulp &amp; Paper</x:v>
      </x:c>
      <x:c r="F5332" s="13" t="str">
        <x:v>Deep Cyclicals</x:v>
      </x:c>
      <x:c r="G5332" s="13" t="str">
        <x:v>grid_asitui1y.xlsx</x:v>
      </x:c>
    </x:row>
    <x:row r="5333">
      <x:c r="A5333" s="15" t="n">
        <x:v>42795</x:v>
      </x:c>
      <x:c r="B5333" s="13" t="str">
        <x:v>SUZANO PAPEL E CELULO-PREF A</x:v>
      </x:c>
      <x:c r="C5333" s="16" t="n">
        <x:v>1102.7431504657</x:v>
      </x:c>
      <x:c r="D5333" s="13" t="str">
        <x:v>Pulp &amp; Paper</x:v>
      </x:c>
      <x:c r="E5333" s="13" t="str">
        <x:v>Pulp &amp; Paper</x:v>
      </x:c>
      <x:c r="F5333" s="13" t="str">
        <x:v>Deep Cyclicals</x:v>
      </x:c>
      <x:c r="G5333" s="13" t="str">
        <x:v>grid_asitui1y.xlsx</x:v>
      </x:c>
    </x:row>
    <x:row r="5334">
      <x:c r="A5334" s="15" t="n">
        <x:v>42795</x:v>
      </x:c>
      <x:c r="B5334" s="13" t="str">
        <x:v>CIA BRASILEIRA DE DIS-PREF</x:v>
      </x:c>
      <x:c r="C5334" s="16" t="n">
        <x:v>511.9600881096</x:v>
      </x:c>
      <x:c r="D5334" s="13" t="str">
        <x:v>Retail</x:v>
      </x:c>
      <x:c r="E5334" s="13" t="str">
        <x:v>Retail</x:v>
      </x:c>
      <x:c r="F5334" s="13" t="str">
        <x:v>Early Cyclicals</x:v>
      </x:c>
      <x:c r="G5334" s="13" t="str">
        <x:v>grid_asitui1y.xlsx</x:v>
      </x:c>
    </x:row>
    <x:row r="5335">
      <x:c r="A5335" s="15" t="n">
        <x:v>42795</x:v>
      </x:c>
      <x:c r="B5335" s="13" t="str">
        <x:v>LOJAS AMERICANAS SA-PREF</x:v>
      </x:c>
      <x:c r="C5335" s="16" t="n">
        <x:v>624.4481560548</x:v>
      </x:c>
      <x:c r="D5335" s="13" t="str">
        <x:v>Retail</x:v>
      </x:c>
      <x:c r="E5335" s="13" t="str">
        <x:v>Retail</x:v>
      </x:c>
      <x:c r="F5335" s="13" t="str">
        <x:v>Early Cyclicals</x:v>
      </x:c>
      <x:c r="G5335" s="13" t="str">
        <x:v>grid_asitui1y.xlsx</x:v>
      </x:c>
    </x:row>
    <x:row r="5336">
      <x:c r="A5336" s="15" t="n">
        <x:v>42795</x:v>
      </x:c>
      <x:c r="B5336" s="13" t="str">
        <x:v>LOJAS RENNER S.A.</x:v>
      </x:c>
      <x:c r="C5336" s="16" t="n">
        <x:v>805.0858126027</x:v>
      </x:c>
      <x:c r="D5336" s="13" t="str">
        <x:v>Retail</x:v>
      </x:c>
      <x:c r="E5336" s="13" t="str">
        <x:v>Retail</x:v>
      </x:c>
      <x:c r="F5336" s="13" t="str">
        <x:v>Early Cyclicals</x:v>
      </x:c>
      <x:c r="G5336" s="13" t="str">
        <x:v>grid_asitui1y.xlsx</x:v>
      </x:c>
    </x:row>
    <x:row r="5337">
      <x:c r="A5337" s="15" t="n">
        <x:v>42795</x:v>
      </x:c>
      <x:c r="B5337" s="13" t="str">
        <x:v>NATURA COSMETICOS SA</x:v>
      </x:c>
      <x:c r="C5337" s="16" t="n">
        <x:v>567.316812274</x:v>
      </x:c>
      <x:c r="D5337" s="13" t="str">
        <x:v>Retail</x:v>
      </x:c>
      <x:c r="E5337" s="13" t="str">
        <x:v>Retail</x:v>
      </x:c>
      <x:c r="F5337" s="13" t="str">
        <x:v>Early Cyclicals</x:v>
      </x:c>
      <x:c r="G5337" s="13" t="str">
        <x:v>grid_asitui1y.xlsx</x:v>
      </x:c>
    </x:row>
    <x:row r="5338">
      <x:c r="A5338" s="15" t="n">
        <x:v>42795</x:v>
      </x:c>
      <x:c r="B5338" s="13" t="str">
        <x:v>RAIA DROGASIL SA</x:v>
      </x:c>
      <x:c r="C5338" s="16" t="n">
        <x:v>634.9389667945</x:v>
      </x:c>
      <x:c r="D5338" s="13" t="str">
        <x:v>Retail</x:v>
      </x:c>
      <x:c r="E5338" s="13" t="str">
        <x:v>Retail</x:v>
      </x:c>
      <x:c r="F5338" s="13" t="str">
        <x:v>Early Cyclicals</x:v>
      </x:c>
      <x:c r="G5338" s="13" t="str">
        <x:v>grid_asitui1y.xlsx</x:v>
      </x:c>
    </x:row>
    <x:row r="5339">
      <x:c r="A5339" s="15" t="n">
        <x:v>42795</x:v>
      </x:c>
      <x:c r="B5339" s="13" t="str">
        <x:v>CIA SANEAMENTO BASICO DE SP</x:v>
      </x:c>
      <x:c r="C5339" s="16" t="n">
        <x:v>2612.9301286575</x:v>
      </x:c>
      <x:c r="D5339" s="13" t="str">
        <x:v>Sanitation</x:v>
      </x:c>
      <x:c r="E5339" s="13" t="str">
        <x:v>Utilities</x:v>
      </x:c>
      <x:c r="F5339" s="13" t="str">
        <x:v>Defensives</x:v>
      </x:c>
      <x:c r="G5339" s="13" t="str">
        <x:v>grid_asitui1y.xlsx</x:v>
      </x:c>
    </x:row>
    <x:row r="5340">
      <x:c r="A5340" s="15" t="n">
        <x:v>42795</x:v>
      </x:c>
      <x:c r="B5340" s="13" t="str">
        <x:v>TELEFONICA BRASIL S.A.-PREF</x:v>
      </x:c>
      <x:c r="C5340" s="16" t="n">
        <x:v>5401.539142137</x:v>
      </x:c>
      <x:c r="D5340" s="13" t="str">
        <x:v>TMT</x:v>
      </x:c>
      <x:c r="E5340" s="13" t="str">
        <x:v>TMT</x:v>
      </x:c>
      <x:c r="F5340" s="13" t="str">
        <x:v>Early Cyclicals</x:v>
      </x:c>
      <x:c r="G5340" s="13" t="str">
        <x:v>grid_asitui1y.xlsx</x:v>
      </x:c>
    </x:row>
    <x:row r="5341">
      <x:c r="A5341" s="15" t="n">
        <x:v>42795</x:v>
      </x:c>
      <x:c r="B5341" s="13" t="str">
        <x:v>TIM SA</x:v>
      </x:c>
      <x:c r="C5341" s="16" t="n">
        <x:v>876.1140471233</x:v>
      </x:c>
      <x:c r="D5341" s="13" t="str">
        <x:v>TMT</x:v>
      </x:c>
      <x:c r="E5341" s="13" t="str">
        <x:v>TMT</x:v>
      </x:c>
      <x:c r="F5341" s="13" t="str">
        <x:v>Early Cyclicals</x:v>
      </x:c>
      <x:c r="G5341" s="13" t="str">
        <x:v>grid_asitui1y.xlsx</x:v>
      </x:c>
    </x:row>
    <x:row r="5342">
      <x:c r="A5342" s="15" t="n">
        <x:v>42795</x:v>
      </x:c>
      <x:c r="B5342" s="13" t="str">
        <x:v>ECORODOVIAS INFRA E LOG SA</x:v>
      </x:c>
      <x:c r="C5342" s="16" t="n">
        <x:v>413.6897985753</x:v>
      </x:c>
      <x:c r="D5342" s="13" t="str">
        <x:v>Transportation</x:v>
      </x:c>
      <x:c r="E5342" s="13" t="str">
        <x:v>Transportation</x:v>
      </x:c>
      <x:c r="F5342" s="13" t="str">
        <x:v>Deep Cyclicals</x:v>
      </x:c>
      <x:c r="G5342" s="13" t="str">
        <x:v>grid_asitui1y.xlsx</x:v>
      </x:c>
    </x:row>
    <x:row r="5343">
      <x:c r="A5343" s="15" t="n">
        <x:v>42795</x:v>
      </x:c>
      <x:c r="B5343" s="13" t="str">
        <x:v>LOCALIZA RENT A CAR</x:v>
      </x:c>
      <x:c r="C5343" s="16" t="n">
        <x:v>465.5271118904</x:v>
      </x:c>
      <x:c r="D5343" s="13" t="str">
        <x:v>Transportation</x:v>
      </x:c>
      <x:c r="E5343" s="13" t="str">
        <x:v>Transportation</x:v>
      </x:c>
      <x:c r="F5343" s="13" t="str">
        <x:v>Deep Cyclicals</x:v>
      </x:c>
      <x:c r="G5343" s="13" t="str">
        <x:v>grid_asitui1y.xlsx</x:v>
      </x:c>
    </x:row>
    <x:row r="5344">
      <x:c r="A5344" s="15" t="n">
        <x:v>42795</x:v>
      </x:c>
      <x:c r="B5344" s="13" t="str">
        <x:v>MOTIVA INFRAESTRUTURA DE MOB</x:v>
      </x:c>
      <x:c r="C5344" s="16" t="n">
        <x:v>1625.6638193973</x:v>
      </x:c>
      <x:c r="D5344" s="13" t="str">
        <x:v>Transportation</x:v>
      </x:c>
      <x:c r="E5344" s="13" t="str">
        <x:v>Transportation</x:v>
      </x:c>
      <x:c r="F5344" s="13" t="str">
        <x:v>Deep Cyclicals</x:v>
      </x:c>
      <x:c r="G5344" s="13" t="str">
        <x:v>grid_asitui1y.xlsx</x:v>
      </x:c>
    </x:row>
    <x:row r="5345">
      <x:c r="A5345" s="15" t="n">
        <x:v>42795</x:v>
      </x:c>
      <x:c r="B5345" s="13" t="str">
        <x:v>RUMO SA</x:v>
      </x:c>
      <x:c r="C5345" s="16" t="n">
        <x:v>156.6670958904</x:v>
      </x:c>
      <x:c r="D5345" s="13" t="str">
        <x:v>Transportation</x:v>
      </x:c>
      <x:c r="E5345" s="13" t="str">
        <x:v>Transportation</x:v>
      </x:c>
      <x:c r="F5345" s="13" t="str">
        <x:v>Deep Cyclicals</x:v>
      </x:c>
      <x:c r="G5345" s="13" t="str">
        <x:v>grid_asitui1y.xlsx</x:v>
      </x:c>
    </x:row>
    <x:row r="5346">
      <x:c r="A5346" s="15" t="n">
        <x:v>42795</x:v>
      </x:c>
      <x:c r="B5346" s="13" t="str">
        <x:v>AXIA ENERGIA SA</x:v>
      </x:c>
      <x:c r="C5346" s="16" t="n">
        <x:v>3035.6439390685</x:v>
      </x:c>
      <x:c r="D5346" s="13" t="str">
        <x:v>Utilities &amp; Energy</x:v>
      </x:c>
      <x:c r="E5346" s="13" t="str">
        <x:v>Utilities</x:v>
      </x:c>
      <x:c r="F5346" s="13" t="str">
        <x:v>Defensives</x:v>
      </x:c>
      <x:c r="G5346" s="13" t="str">
        <x:v>grid_asitui1y.xlsx</x:v>
      </x:c>
    </x:row>
    <x:row r="5347">
      <x:c r="A5347" s="15" t="n">
        <x:v>42795</x:v>
      </x:c>
      <x:c r="B5347" s="13" t="str">
        <x:v>CIA ENERGETICA MINAS GER-PRF</x:v>
      </x:c>
      <x:c r="C5347" s="16" t="n">
        <x:v>1576.7523366575</x:v>
      </x:c>
      <x:c r="D5347" s="13" t="str">
        <x:v>Utilities &amp; Energy</x:v>
      </x:c>
      <x:c r="E5347" s="13" t="str">
        <x:v>Utilities</x:v>
      </x:c>
      <x:c r="F5347" s="13" t="str">
        <x:v>Defensives</x:v>
      </x:c>
      <x:c r="G5347" s="13" t="str">
        <x:v>grid_asitui1y.xlsx</x:v>
      </x:c>
    </x:row>
    <x:row r="5348">
      <x:c r="A5348" s="15" t="n">
        <x:v>42795</x:v>
      </x:c>
      <x:c r="B5348" s="13" t="str">
        <x:v>COMPANHIA PARANAENSE -PREF B</x:v>
      </x:c>
      <x:c r="C5348" s="16" t="n">
        <x:v>1213.6412528219</x:v>
      </x:c>
      <x:c r="D5348" s="13" t="str">
        <x:v>Utilities &amp; Energy</x:v>
      </x:c>
      <x:c r="E5348" s="13" t="str">
        <x:v>Utilities</x:v>
      </x:c>
      <x:c r="F5348" s="13" t="str">
        <x:v>Defensives</x:v>
      </x:c>
      <x:c r="G5348" s="13" t="str">
        <x:v>grid_asitui1y.xlsx</x:v>
      </x:c>
    </x:row>
    <x:row r="5349">
      <x:c r="A5349" s="15" t="n">
        <x:v>42795</x:v>
      </x:c>
      <x:c r="B5349" s="13" t="str">
        <x:v>CPFL ENERGIA SA</x:v>
      </x:c>
      <x:c r="C5349" s="16" t="n">
        <x:v>1464.9554393425</x:v>
      </x:c>
      <x:c r="D5349" s="13" t="str">
        <x:v>Utilities &amp; Energy</x:v>
      </x:c>
      <x:c r="E5349" s="13" t="str">
        <x:v>Utilities</x:v>
      </x:c>
      <x:c r="F5349" s="13" t="str">
        <x:v>Defensives</x:v>
      </x:c>
      <x:c r="G5349" s="13" t="str">
        <x:v>grid_asitui1y.xlsx</x:v>
      </x:c>
    </x:row>
    <x:row r="5350">
      <x:c r="A5350" s="15" t="n">
        <x:v>42795</x:v>
      </x:c>
      <x:c r="B5350" s="13" t="str">
        <x:v>EDP - ENERGIAS DO BRASIL SA</x:v>
      </x:c>
      <x:c r="C5350" s="16" t="n">
        <x:v>664.6520565479</x:v>
      </x:c>
      <x:c r="D5350" s="13" t="str">
        <x:v>Utilities &amp; Energy</x:v>
      </x:c>
      <x:c r="E5350" s="13" t="str">
        <x:v>Utilities</x:v>
      </x:c>
      <x:c r="F5350" s="13" t="str">
        <x:v>Defensives</x:v>
      </x:c>
      <x:c r="G5350" s="13" t="str">
        <x:v>grid_asitui1y.xlsx</x:v>
      </x:c>
    </x:row>
    <x:row r="5351">
      <x:c r="A5351" s="15" t="n">
        <x:v>42795</x:v>
      </x:c>
      <x:c r="B5351" s="13" t="str">
        <x:v>ENGIE BRASIL ENERGIA SA</x:v>
      </x:c>
      <x:c r="C5351" s="16" t="n">
        <x:v>1884.239161863</x:v>
      </x:c>
      <x:c r="D5351" s="13" t="str">
        <x:v>Utilities &amp; Energy</x:v>
      </x:c>
      <x:c r="E5351" s="13" t="str">
        <x:v>Utilities</x:v>
      </x:c>
      <x:c r="F5351" s="13" t="str">
        <x:v>Defensives</x:v>
      </x:c>
      <x:c r="G5351" s="13" t="str">
        <x:v>grid_asitui1y.xlsx</x:v>
      </x:c>
    </x:row>
    <x:row r="5352">
      <x:c r="A5352" s="15" t="n">
        <x:v>42795</x:v>
      </x:c>
      <x:c r="B5352" s="13" t="str">
        <x:v>EQUATORIAL SA - ORD</x:v>
      </x:c>
      <x:c r="C5352" s="16" t="n">
        <x:v>907.4567083836</x:v>
      </x:c>
      <x:c r="D5352" s="13" t="str">
        <x:v>Utilities &amp; Energy</x:v>
      </x:c>
      <x:c r="E5352" s="13" t="str">
        <x:v>Utilities</x:v>
      </x:c>
      <x:c r="F5352" s="13" t="str">
        <x:v>Defensives</x:v>
      </x:c>
      <x:c r="G5352" s="13" t="str">
        <x:v>grid_asitui1y.xlsx</x:v>
      </x:c>
    </x:row>
    <x:row r="5353">
      <x:c r="A5353" s="15" t="n">
        <x:v>42826</x:v>
      </x:c>
      <x:c r="B5353" s="13" t="str">
        <x:v>BANCO BRADESCO S.A.</x:v>
      </x:c>
      <x:c r="C5353" s="16" t="n">
        <x:v>18440.1020338849</x:v>
      </x:c>
      <x:c r="D5353" s="13" t="str">
        <x:v>Banks</x:v>
      </x:c>
      <x:c r="E5353" s="13" t="str">
        <x:v>Banks</x:v>
      </x:c>
      <x:c r="F5353" s="13" t="str">
        <x:v>Financials</x:v>
      </x:c>
      <x:c r="G5353" s="13" t="str">
        <x:v>grid_asitui1y.xlsx</x:v>
      </x:c>
    </x:row>
    <x:row r="5354">
      <x:c r="A5354" s="15" t="n">
        <x:v>42826</x:v>
      </x:c>
      <x:c r="B5354" s="13" t="str">
        <x:v>BANCO BRADESCO SA-PREF</x:v>
      </x:c>
      <x:c r="C5354" s="16" t="n">
        <x:v>18440.1020338849</x:v>
      </x:c>
      <x:c r="D5354" s="13" t="str">
        <x:v>Banks</x:v>
      </x:c>
      <x:c r="E5354" s="13" t="str">
        <x:v>Banks</x:v>
      </x:c>
      <x:c r="F5354" s="13" t="str">
        <x:v>Financials</x:v>
      </x:c>
      <x:c r="G5354" s="13" t="str">
        <x:v>grid_asitui1y.xlsx</x:v>
      </x:c>
    </x:row>
    <x:row r="5355">
      <x:c r="A5355" s="15" t="n">
        <x:v>42826</x:v>
      </x:c>
      <x:c r="B5355" s="13" t="str">
        <x:v>BANCO DO BRASIL S.A.</x:v>
      </x:c>
      <x:c r="C5355" s="16" t="n">
        <x:v>12036.1328163069</x:v>
      </x:c>
      <x:c r="D5355" s="13" t="str">
        <x:v>Banks</x:v>
      </x:c>
      <x:c r="E5355" s="13" t="str">
        <x:v>Banks</x:v>
      </x:c>
      <x:c r="F5355" s="13" t="str">
        <x:v>Financials</x:v>
      </x:c>
      <x:c r="G5355" s="13" t="str">
        <x:v>grid_asitui1y.xlsx</x:v>
      </x:c>
    </x:row>
    <x:row r="5356">
      <x:c r="A5356" s="15" t="n">
        <x:v>42826</x:v>
      </x:c>
      <x:c r="B5356" s="13" t="str">
        <x:v>BANCO SANTANDER  BRASIL-UNIT</x:v>
      </x:c>
      <x:c r="C5356" s="16" t="n">
        <x:v>8324.3442695014</x:v>
      </x:c>
      <x:c r="D5356" s="13" t="str">
        <x:v>Banks</x:v>
      </x:c>
      <x:c r="E5356" s="13" t="str">
        <x:v>Banks</x:v>
      </x:c>
      <x:c r="F5356" s="13" t="str">
        <x:v>Financials</x:v>
      </x:c>
      <x:c r="G5356" s="13" t="str">
        <x:v>grid_asitui1y.xlsx</x:v>
      </x:c>
    </x:row>
    <x:row r="5357">
      <x:c r="A5357" s="15" t="n">
        <x:v>42826</x:v>
      </x:c>
      <x:c r="B5357" s="13" t="str">
        <x:v>ITAU UNIBANCO HOLDING S-PREF</x:v>
      </x:c>
      <x:c r="C5357" s="16" t="n">
        <x:v>24452.2434335562</x:v>
      </x:c>
      <x:c r="D5357" s="13" t="str">
        <x:v>Banks</x:v>
      </x:c>
      <x:c r="E5357" s="13" t="str">
        <x:v>Banks</x:v>
      </x:c>
      <x:c r="F5357" s="13" t="str">
        <x:v>Financials</x:v>
      </x:c>
      <x:c r="G5357" s="13" t="str">
        <x:v>grid_asitui1y.xlsx</x:v>
      </x:c>
    </x:row>
    <x:row r="5358">
      <x:c r="A5358" s="15" t="n">
        <x:v>42826</x:v>
      </x:c>
      <x:c r="B5358" s="13" t="str">
        <x:v>EMBRAER SA</x:v>
      </x:c>
      <x:c r="C5358" s="16" t="n">
        <x:v>1122.9212882411</x:v>
      </x:c>
      <x:c r="D5358" s="13" t="str">
        <x:v>Capital Goods</x:v>
      </x:c>
      <x:c r="E5358" s="13" t="str">
        <x:v>Capital Goods</x:v>
      </x:c>
      <x:c r="F5358" s="13" t="str">
        <x:v>Deep Cyclicals</x:v>
      </x:c>
      <x:c r="G5358" s="13" t="str">
        <x:v>grid_asitui1y.xlsx</x:v>
      </x:c>
    </x:row>
    <x:row r="5359">
      <x:c r="A5359" s="15" t="n">
        <x:v>42826</x:v>
      </x:c>
      <x:c r="B5359" s="13" t="str">
        <x:v>WEG SA</x:v>
      </x:c>
      <x:c r="C5359" s="16" t="n">
        <x:v>1283.898624</x:v>
      </x:c>
      <x:c r="D5359" s="13" t="str">
        <x:v>Capital Goods</x:v>
      </x:c>
      <x:c r="E5359" s="13" t="str">
        <x:v>Capital Goods</x:v>
      </x:c>
      <x:c r="F5359" s="13" t="str">
        <x:v>Deep Cyclicals</x:v>
      </x:c>
      <x:c r="G5359" s="13" t="str">
        <x:v>grid_asitui1y.xlsx</x:v>
      </x:c>
    </x:row>
    <x:row r="5360">
      <x:c r="A5360" s="15" t="n">
        <x:v>42826</x:v>
      </x:c>
      <x:c r="B5360" s="13" t="str">
        <x:v>COGNA EDUCACAO</x:v>
      </x:c>
      <x:c r="C5360" s="16" t="n">
        <x:v>2098.8341307616</x:v>
      </x:c>
      <x:c r="D5360" s="13" t="str">
        <x:v>Education</x:v>
      </x:c>
      <x:c r="E5360" s="13" t="str">
        <x:v>Education</x:v>
      </x:c>
      <x:c r="F5360" s="13" t="str">
        <x:v>Early Cyclicals</x:v>
      </x:c>
      <x:c r="G5360" s="13" t="str">
        <x:v>grid_asitui1y.xlsx</x:v>
      </x:c>
    </x:row>
    <x:row r="5361">
      <x:c r="A5361" s="15" t="n">
        <x:v>42826</x:v>
      </x:c>
      <x:c r="B5361" s="13" t="str">
        <x:v>YDUQS PARTICIPACOES SA</x:v>
      </x:c>
      <x:c r="C5361" s="16" t="n">
        <x:v>518.5924662356</x:v>
      </x:c>
      <x:c r="D5361" s="13" t="str">
        <x:v>Education</x:v>
      </x:c>
      <x:c r="E5361" s="13" t="str">
        <x:v>Education</x:v>
      </x:c>
      <x:c r="F5361" s="13" t="str">
        <x:v>Early Cyclicals</x:v>
      </x:c>
      <x:c r="G5361" s="13" t="str">
        <x:v>grid_asitui1y.xlsx</x:v>
      </x:c>
    </x:row>
    <x:row r="5362">
      <x:c r="A5362" s="15" t="n">
        <x:v>42826</x:v>
      </x:c>
      <x:c r="B5362" s="13" t="str">
        <x:v>B3 SA-BRASIL BOLSA BALCAO</x:v>
      </x:c>
      <x:c r="C5362" s="16" t="n">
        <x:v>2026.2735714192</x:v>
      </x:c>
      <x:c r="D5362" s="13" t="str">
        <x:v>Financials Non-Banks</x:v>
      </x:c>
      <x:c r="E5362" s="13" t="str">
        <x:v>Financials Non-Banks</x:v>
      </x:c>
      <x:c r="F5362" s="13" t="str">
        <x:v>Financials</x:v>
      </x:c>
      <x:c r="G5362" s="13" t="str">
        <x:v>grid_asitui1y.xlsx</x:v>
      </x:c>
    </x:row>
    <x:row r="5363">
      <x:c r="A5363" s="15" t="n">
        <x:v>42826</x:v>
      </x:c>
      <x:c r="B5363" s="13" t="str">
        <x:v>BB SEGURIDADE PARTICIPACOES</x:v>
      </x:c>
      <x:c r="C5363" s="16" t="n">
        <x:v>4429.4250474959</x:v>
      </x:c>
      <x:c r="D5363" s="13" t="str">
        <x:v>Financials Non-Banks</x:v>
      </x:c>
      <x:c r="E5363" s="13" t="str">
        <x:v>Financials Non-Banks</x:v>
      </x:c>
      <x:c r="F5363" s="13" t="str">
        <x:v>Financials</x:v>
      </x:c>
      <x:c r="G5363" s="13" t="str">
        <x:v>grid_asitui1y.xlsx</x:v>
      </x:c>
    </x:row>
    <x:row r="5364">
      <x:c r="A5364" s="15" t="n">
        <x:v>42826</x:v>
      </x:c>
      <x:c r="B5364" s="13" t="str">
        <x:v>CIELO SA - INSTITUICAO DE PA</x:v>
      </x:c>
      <x:c r="C5364" s="16" t="n">
        <x:v>4500.967769074</x:v>
      </x:c>
      <x:c r="D5364" s="13" t="str">
        <x:v>Financials Non-Banks</x:v>
      </x:c>
      <x:c r="E5364" s="13" t="str">
        <x:v>Financials Non-Banks</x:v>
      </x:c>
      <x:c r="F5364" s="13" t="str">
        <x:v>Financials</x:v>
      </x:c>
      <x:c r="G5364" s="13" t="str">
        <x:v>grid_asitui1y.xlsx</x:v>
      </x:c>
    </x:row>
    <x:row r="5365">
      <x:c r="A5365" s="15" t="n">
        <x:v>42826</x:v>
      </x:c>
      <x:c r="B5365" s="13" t="str">
        <x:v>ITAUSA SA</x:v>
      </x:c>
      <x:c r="C5365" s="16" t="n">
        <x:v>8234.5616173589</x:v>
      </x:c>
      <x:c r="D5365" s="13" t="str">
        <x:v>Financials Non-Banks</x:v>
      </x:c>
      <x:c r="E5365" s="13" t="str">
        <x:v>Financials Non-Banks</x:v>
      </x:c>
      <x:c r="F5365" s="13" t="str">
        <x:v>Financials</x:v>
      </x:c>
      <x:c r="G5365" s="13" t="str">
        <x:v>grid_asitui1y.xlsx</x:v>
      </x:c>
    </x:row>
    <x:row r="5366">
      <x:c r="A5366" s="15" t="n">
        <x:v>42826</x:v>
      </x:c>
      <x:c r="B5366" s="13" t="str">
        <x:v>AMBEV SA</x:v>
      </x:c>
      <x:c r="C5366" s="16" t="n">
        <x:v>13338.5268294137</x:v>
      </x:c>
      <x:c r="D5366" s="13" t="str">
        <x:v>Food &amp; Beverages</x:v>
      </x:c>
      <x:c r="E5366" s="13" t="str">
        <x:v>Agri, Food &amp; Beverages</x:v>
      </x:c>
      <x:c r="F5366" s="13" t="str">
        <x:v>Defensives</x:v>
      </x:c>
      <x:c r="G5366" s="13" t="str">
        <x:v>grid_asitui1y.xlsx</x:v>
      </x:c>
    </x:row>
    <x:row r="5367">
      <x:c r="A5367" s="15" t="n">
        <x:v>42826</x:v>
      </x:c>
      <x:c r="B5367" s="13" t="str">
        <x:v>BRF SA</x:v>
      </x:c>
      <x:c r="C5367" s="16" t="n">
        <x:v>1547.0224110466</x:v>
      </x:c>
      <x:c r="D5367" s="13" t="str">
        <x:v>Food &amp; Beverages</x:v>
      </x:c>
      <x:c r="E5367" s="13" t="str">
        <x:v>Agri, Food &amp; Beverages</x:v>
      </x:c>
      <x:c r="F5367" s="13" t="str">
        <x:v>Defensives</x:v>
      </x:c>
      <x:c r="G5367" s="13" t="str">
        <x:v>grid_asitui1y.xlsx</x:v>
      </x:c>
    </x:row>
    <x:row r="5368">
      <x:c r="A5368" s="15" t="n">
        <x:v>42826</x:v>
      </x:c>
      <x:c r="B5368" s="13" t="str">
        <x:v>JBS SA</x:v>
      </x:c>
      <x:c r="C5368" s="16" t="n">
        <x:v>4187.7490926466</x:v>
      </x:c>
      <x:c r="D5368" s="13" t="str">
        <x:v>Food &amp; Beverages</x:v>
      </x:c>
      <x:c r="E5368" s="13" t="str">
        <x:v>Agri, Food &amp; Beverages</x:v>
      </x:c>
      <x:c r="F5368" s="13" t="str">
        <x:v>Defensives</x:v>
      </x:c>
      <x:c r="G5368" s="13" t="str">
        <x:v>grid_asitui1y.xlsx</x:v>
      </x:c>
    </x:row>
    <x:row r="5369">
      <x:c r="A5369" s="15" t="n">
        <x:v>42826</x:v>
      </x:c>
      <x:c r="B5369" s="13" t="str">
        <x:v>MBRF GLOBAL FOODS COMPANY SA</x:v>
      </x:c>
      <x:c r="C5369" s="16" t="n">
        <x:v>148.5990640219</x:v>
      </x:c>
      <x:c r="D5369" s="13" t="str">
        <x:v>Food &amp; Beverages</x:v>
      </x:c>
      <x:c r="E5369" s="13" t="str">
        <x:v>Agri, Food &amp; Beverages</x:v>
      </x:c>
      <x:c r="F5369" s="13" t="str">
        <x:v>Defensives</x:v>
      </x:c>
      <x:c r="G5369" s="13" t="str">
        <x:v>grid_asitui1y.xlsx</x:v>
      </x:c>
    </x:row>
    <x:row r="5370">
      <x:c r="A5370" s="15" t="n">
        <x:v>42826</x:v>
      </x:c>
      <x:c r="B5370" s="13" t="str">
        <x:v>HYPERA SA</x:v>
      </x:c>
      <x:c r="C5370" s="16" t="n">
        <x:v>963.0156686027</x:v>
      </x:c>
      <x:c r="D5370" s="13" t="str">
        <x:v>Health Care</x:v>
      </x:c>
      <x:c r="E5370" s="13" t="str">
        <x:v>Health Care</x:v>
      </x:c>
      <x:c r="F5370" s="13" t="str">
        <x:v>Defensives</x:v>
      </x:c>
      <x:c r="G5370" s="13" t="str">
        <x:v>grid_asitui1y.xlsx</x:v>
      </x:c>
    </x:row>
    <x:row r="5371">
      <x:c r="A5371" s="15" t="n">
        <x:v>42826</x:v>
      </x:c>
      <x:c r="B5371" s="13" t="str">
        <x:v>QUALICORP CONS E CORR SEG SA</x:v>
      </x:c>
      <x:c r="C5371" s="16" t="n">
        <x:v>453.3650628384</x:v>
      </x:c>
      <x:c r="D5371" s="13" t="str">
        <x:v>Health Care</x:v>
      </x:c>
      <x:c r="E5371" s="13" t="str">
        <x:v>Health Care</x:v>
      </x:c>
      <x:c r="F5371" s="13" t="str">
        <x:v>Defensives</x:v>
      </x:c>
      <x:c r="G5371" s="13" t="str">
        <x:v>grid_asitui1y.xlsx</x:v>
      </x:c>
    </x:row>
    <x:row r="5372">
      <x:c r="A5372" s="15" t="n">
        <x:v>42826</x:v>
      </x:c>
      <x:c r="B5372" s="13" t="str">
        <x:v>CYRELA BRAZIL REALTY SA EMP</x:v>
      </x:c>
      <x:c r="C5372" s="16" t="n">
        <x:v>210.4524713205</x:v>
      </x:c>
      <x:c r="D5372" s="13" t="str">
        <x:v>Homebuilders</x:v>
      </x:c>
      <x:c r="E5372" s="13" t="str">
        <x:v>Real Estate</x:v>
      </x:c>
      <x:c r="F5372" s="13" t="str">
        <x:v>Early Cyclicals</x:v>
      </x:c>
      <x:c r="G5372" s="13" t="str">
        <x:v>grid_asitui1y.xlsx</x:v>
      </x:c>
    </x:row>
    <x:row r="5373">
      <x:c r="A5373" s="15" t="n">
        <x:v>42826</x:v>
      </x:c>
      <x:c r="B5373" s="13" t="str">
        <x:v>MRV ENGENHARIA</x:v>
      </x:c>
      <x:c r="C5373" s="16" t="n">
        <x:v>681.8437288329</x:v>
      </x:c>
      <x:c r="D5373" s="13" t="str">
        <x:v>Homebuilders</x:v>
      </x:c>
      <x:c r="E5373" s="13" t="str">
        <x:v>Real Estate</x:v>
      </x:c>
      <x:c r="F5373" s="13" t="str">
        <x:v>Early Cyclicals</x:v>
      </x:c>
      <x:c r="G5373" s="13" t="str">
        <x:v>grid_asitui1y.xlsx</x:v>
      </x:c>
    </x:row>
    <x:row r="5374">
      <x:c r="A5374" s="15" t="n">
        <x:v>42826</x:v>
      </x:c>
      <x:c r="B5374" s="13" t="str">
        <x:v>BR MALLS PARTICIPACOES SA</x:v>
      </x:c>
      <x:c r="C5374" s="16" t="n">
        <x:v>418.8656552329</x:v>
      </x:c>
      <x:c r="D5374" s="13" t="str">
        <x:v>Income Properties</x:v>
      </x:c>
      <x:c r="E5374" s="13" t="str">
        <x:v>Real Estate</x:v>
      </x:c>
      <x:c r="F5374" s="13" t="str">
        <x:v>Early Cyclicals</x:v>
      </x:c>
      <x:c r="G5374" s="13" t="str">
        <x:v>grid_asitui1y.xlsx</x:v>
      </x:c>
    </x:row>
    <x:row r="5375">
      <x:c r="A5375" s="15" t="n">
        <x:v>42826</x:v>
      </x:c>
      <x:c r="B5375" s="13" t="str">
        <x:v>MULTIPLAN EMPREENDIMENTOS</x:v>
      </x:c>
      <x:c r="C5375" s="16" t="n">
        <x:v>430.5086794521</x:v>
      </x:c>
      <x:c r="D5375" s="13" t="str">
        <x:v>Income Properties</x:v>
      </x:c>
      <x:c r="E5375" s="13" t="str">
        <x:v>Real Estate</x:v>
      </x:c>
      <x:c r="F5375" s="13" t="str">
        <x:v>Early Cyclicals</x:v>
      </x:c>
      <x:c r="G5375" s="13" t="str">
        <x:v>grid_asitui1y.xlsx</x:v>
      </x:c>
    </x:row>
    <x:row r="5376">
      <x:c r="A5376" s="15" t="n">
        <x:v>42826</x:v>
      </x:c>
      <x:c r="B5376" s="13" t="str">
        <x:v>BRADESPAR SA -PREF</x:v>
      </x:c>
      <x:c r="C5376" s="16" t="n">
        <x:v>1372.8890627507</x:v>
      </x:c>
      <x:c r="D5376" s="13" t="str">
        <x:v>Metals &amp; Mining</x:v>
      </x:c>
      <x:c r="E5376" s="13" t="str">
        <x:v>Metals &amp; Mining</x:v>
      </x:c>
      <x:c r="F5376" s="13" t="str">
        <x:v>Deep Cyclicals</x:v>
      </x:c>
      <x:c r="G5376" s="13" t="str">
        <x:v>grid_asitui1y.xlsx</x:v>
      </x:c>
    </x:row>
    <x:row r="5377">
      <x:c r="A5377" s="15" t="n">
        <x:v>42826</x:v>
      </x:c>
      <x:c r="B5377" s="13" t="str">
        <x:v>CIA SIDERURGICA NACIONAL SA</x:v>
      </x:c>
      <x:c r="C5377" s="16" t="n">
        <x:v>237.0718604274</x:v>
      </x:c>
      <x:c r="D5377" s="13" t="str">
        <x:v>Metals &amp; Mining</x:v>
      </x:c>
      <x:c r="E5377" s="13" t="str">
        <x:v>Metals &amp; Mining</x:v>
      </x:c>
      <x:c r="F5377" s="13" t="str">
        <x:v>Deep Cyclicals</x:v>
      </x:c>
      <x:c r="G5377" s="13" t="str">
        <x:v>grid_asitui1y.xlsx</x:v>
      </x:c>
    </x:row>
    <x:row r="5378">
      <x:c r="A5378" s="15" t="n">
        <x:v>42826</x:v>
      </x:c>
      <x:c r="B5378" s="13" t="str">
        <x:v>GERDAU SA-PREF</x:v>
      </x:c>
      <x:c r="C5378" s="16" t="n">
        <x:v>842.1963160548</x:v>
      </x:c>
      <x:c r="D5378" s="13" t="str">
        <x:v>Metals &amp; Mining</x:v>
      </x:c>
      <x:c r="E5378" s="13" t="str">
        <x:v>Metals &amp; Mining</x:v>
      </x:c>
      <x:c r="F5378" s="13" t="str">
        <x:v>Deep Cyclicals</x:v>
      </x:c>
      <x:c r="G5378" s="13" t="str">
        <x:v>grid_asitui1y.xlsx</x:v>
      </x:c>
    </x:row>
    <x:row r="5379">
      <x:c r="A5379" s="15" t="n">
        <x:v>42826</x:v>
      </x:c>
      <x:c r="B5379" s="13" t="str">
        <x:v>METALURGICA GERDAU SA-PREF</x:v>
      </x:c>
      <x:c r="C5379" s="16" t="n">
        <x:v>875.9211165808</x:v>
      </x:c>
      <x:c r="D5379" s="13" t="str">
        <x:v>Metals &amp; Mining</x:v>
      </x:c>
      <x:c r="E5379" s="13" t="str">
        <x:v>Metals &amp; Mining</x:v>
      </x:c>
      <x:c r="F5379" s="13" t="str">
        <x:v>Deep Cyclicals</x:v>
      </x:c>
      <x:c r="G5379" s="13" t="str">
        <x:v>grid_asitui1y.xlsx</x:v>
      </x:c>
    </x:row>
    <x:row r="5380">
      <x:c r="A5380" s="15" t="n">
        <x:v>42826</x:v>
      </x:c>
      <x:c r="B5380" s="13" t="str">
        <x:v>USINAS SIDER MINAS GER-PF A</x:v>
      </x:c>
      <x:c r="C5380" s="16" t="n">
        <x:v>-117.246860274</x:v>
      </x:c>
      <x:c r="D5380" s="13" t="str">
        <x:v>Metals &amp; Mining</x:v>
      </x:c>
      <x:c r="E5380" s="13" t="str">
        <x:v>Metals &amp; Mining</x:v>
      </x:c>
      <x:c r="F5380" s="13" t="str">
        <x:v>Deep Cyclicals</x:v>
      </x:c>
      <x:c r="G5380" s="13" t="str">
        <x:v>grid_asitui1y.xlsx</x:v>
      </x:c>
    </x:row>
    <x:row r="5381">
      <x:c r="A5381" s="15" t="n">
        <x:v>42826</x:v>
      </x:c>
      <x:c r="B5381" s="13" t="str">
        <x:v>VALE SA</x:v>
      </x:c>
      <x:c r="C5381" s="16" t="n">
        <x:v>20458.4722432</x:v>
      </x:c>
      <x:c r="D5381" s="13" t="str">
        <x:v>Metals &amp; Mining</x:v>
      </x:c>
      <x:c r="E5381" s="13" t="str">
        <x:v>Metals &amp; Mining</x:v>
      </x:c>
      <x:c r="F5381" s="13" t="str">
        <x:v>Deep Cyclicals</x:v>
      </x:c>
      <x:c r="G5381" s="13" t="str">
        <x:v>grid_asitui1y.xlsx</x:v>
      </x:c>
    </x:row>
    <x:row r="5382">
      <x:c r="A5382" s="15" t="n">
        <x:v>42826</x:v>
      </x:c>
      <x:c r="B5382" s="13" t="str">
        <x:v>BRASKEM SA-PREF A</x:v>
      </x:c>
      <x:c r="C5382" s="16" t="n">
        <x:v>2730.404518926</x:v>
      </x:c>
      <x:c r="D5382" s="13" t="str">
        <x:v>Oil, Gas &amp; Petrochemicals</x:v>
      </x:c>
      <x:c r="E5382" s="13" t="str">
        <x:v>Oil, Gas &amp; Petrochemicals</x:v>
      </x:c>
      <x:c r="F5382" s="13" t="str">
        <x:v>Deep Cyclicals</x:v>
      </x:c>
      <x:c r="G5382" s="13" t="str">
        <x:v>grid_asitui1y.xlsx</x:v>
      </x:c>
    </x:row>
    <x:row r="5383">
      <x:c r="A5383" s="15" t="n">
        <x:v>42826</x:v>
      </x:c>
      <x:c r="B5383" s="13" t="str">
        <x:v>COSAN SA</x:v>
      </x:c>
      <x:c r="C5383" s="16" t="n">
        <x:v>1296.9958459616</x:v>
      </x:c>
      <x:c r="D5383" s="13" t="str">
        <x:v>Oil, Gas &amp; Petrochemicals</x:v>
      </x:c>
      <x:c r="E5383" s="13" t="str">
        <x:v>Oil, Gas &amp; Petrochemicals</x:v>
      </x:c>
      <x:c r="F5383" s="13" t="str">
        <x:v>Deep Cyclicals</x:v>
      </x:c>
      <x:c r="G5383" s="13" t="str">
        <x:v>grid_asitui1y.xlsx</x:v>
      </x:c>
    </x:row>
    <x:row r="5384">
      <x:c r="A5384" s="15" t="n">
        <x:v>42826</x:v>
      </x:c>
      <x:c r="B5384" s="13" t="str">
        <x:v>PETROBRAS - PETROLEO BRAS</x:v>
      </x:c>
      <x:c r="C5384" s="16" t="n">
        <x:v>15244.3545571945</x:v>
      </x:c>
      <x:c r="D5384" s="13" t="str">
        <x:v>Oil, Gas &amp; Petrochemicals</x:v>
      </x:c>
      <x:c r="E5384" s="13" t="str">
        <x:v>Oil, Gas &amp; Petrochemicals</x:v>
      </x:c>
      <x:c r="F5384" s="13" t="str">
        <x:v>Deep Cyclicals</x:v>
      </x:c>
      <x:c r="G5384" s="13" t="str">
        <x:v>grid_asitui1y.xlsx</x:v>
      </x:c>
    </x:row>
    <x:row r="5385">
      <x:c r="A5385" s="15" t="n">
        <x:v>42826</x:v>
      </x:c>
      <x:c r="B5385" s="13" t="str">
        <x:v>ULTRAPAR PARTICIPACOES SA</x:v>
      </x:c>
      <x:c r="C5385" s="16" t="n">
        <x:v>1741.5169749918</x:v>
      </x:c>
      <x:c r="D5385" s="13" t="str">
        <x:v>Oil, Gas &amp; Petrochemicals</x:v>
      </x:c>
      <x:c r="E5385" s="13" t="str">
        <x:v>Oil, Gas &amp; Petrochemicals</x:v>
      </x:c>
      <x:c r="F5385" s="13" t="str">
        <x:v>Deep Cyclicals</x:v>
      </x:c>
      <x:c r="G5385" s="13" t="str">
        <x:v>grid_asitui1y.xlsx</x:v>
      </x:c>
    </x:row>
    <x:row r="5386">
      <x:c r="A5386" s="15" t="n">
        <x:v>42826</x:v>
      </x:c>
      <x:c r="B5386" s="13" t="str">
        <x:v>FIBRIA CELULOSE S/A</x:v>
      </x:c>
      <x:c r="C5386" s="16" t="n">
        <x:v>684.2294443836</x:v>
      </x:c>
      <x:c r="D5386" s="13" t="str">
        <x:v>Pulp &amp; Paper</x:v>
      </x:c>
      <x:c r="E5386" s="13" t="str">
        <x:v>Pulp &amp; Paper</x:v>
      </x:c>
      <x:c r="F5386" s="13" t="str">
        <x:v>Deep Cyclicals</x:v>
      </x:c>
      <x:c r="G5386" s="13" t="str">
        <x:v>grid_asitui1y.xlsx</x:v>
      </x:c>
    </x:row>
    <x:row r="5387">
      <x:c r="A5387" s="15" t="n">
        <x:v>42826</x:v>
      </x:c>
      <x:c r="B5387" s="13" t="str">
        <x:v>KLABIN SA - UNIT</x:v>
      </x:c>
      <x:c r="C5387" s="16" t="n">
        <x:v>844.2106171616</x:v>
      </x:c>
      <x:c r="D5387" s="13" t="str">
        <x:v>Pulp &amp; Paper</x:v>
      </x:c>
      <x:c r="E5387" s="13" t="str">
        <x:v>Pulp &amp; Paper</x:v>
      </x:c>
      <x:c r="F5387" s="13" t="str">
        <x:v>Deep Cyclicals</x:v>
      </x:c>
      <x:c r="G5387" s="13" t="str">
        <x:v>grid_asitui1y.xlsx</x:v>
      </x:c>
    </x:row>
    <x:row r="5388">
      <x:c r="A5388" s="15" t="n">
        <x:v>42826</x:v>
      </x:c>
      <x:c r="B5388" s="13" t="str">
        <x:v>SUZANO PAPEL E CELULO-PREF A</x:v>
      </x:c>
      <x:c r="C5388" s="16" t="n">
        <x:v>1173.3038697205</x:v>
      </x:c>
      <x:c r="D5388" s="13" t="str">
        <x:v>Pulp &amp; Paper</x:v>
      </x:c>
      <x:c r="E5388" s="13" t="str">
        <x:v>Pulp &amp; Paper</x:v>
      </x:c>
      <x:c r="F5388" s="13" t="str">
        <x:v>Deep Cyclicals</x:v>
      </x:c>
      <x:c r="G5388" s="13" t="str">
        <x:v>grid_asitui1y.xlsx</x:v>
      </x:c>
    </x:row>
    <x:row r="5389">
      <x:c r="A5389" s="15" t="n">
        <x:v>42826</x:v>
      </x:c>
      <x:c r="B5389" s="13" t="str">
        <x:v>CIA BRASILEIRA DE DIS-PREF</x:v>
      </x:c>
      <x:c r="C5389" s="16" t="n">
        <x:v>576.6789174356</x:v>
      </x:c>
      <x:c r="D5389" s="13" t="str">
        <x:v>Retail</x:v>
      </x:c>
      <x:c r="E5389" s="13" t="str">
        <x:v>Retail</x:v>
      </x:c>
      <x:c r="F5389" s="13" t="str">
        <x:v>Early Cyclicals</x:v>
      </x:c>
      <x:c r="G5389" s="13" t="str">
        <x:v>grid_asitui1y.xlsx</x:v>
      </x:c>
    </x:row>
    <x:row r="5390">
      <x:c r="A5390" s="15" t="n">
        <x:v>42826</x:v>
      </x:c>
      <x:c r="B5390" s="13" t="str">
        <x:v>LOJAS AMERICANAS SA-PREF</x:v>
      </x:c>
      <x:c r="C5390" s="16" t="n">
        <x:v>653.5663535342</x:v>
      </x:c>
      <x:c r="D5390" s="13" t="str">
        <x:v>Retail</x:v>
      </x:c>
      <x:c r="E5390" s="13" t="str">
        <x:v>Retail</x:v>
      </x:c>
      <x:c r="F5390" s="13" t="str">
        <x:v>Early Cyclicals</x:v>
      </x:c>
      <x:c r="G5390" s="13" t="str">
        <x:v>grid_asitui1y.xlsx</x:v>
      </x:c>
    </x:row>
    <x:row r="5391">
      <x:c r="A5391" s="15" t="n">
        <x:v>42826</x:v>
      </x:c>
      <x:c r="B5391" s="13" t="str">
        <x:v>LOJAS RENNER S.A.</x:v>
      </x:c>
      <x:c r="C5391" s="16" t="n">
        <x:v>782.7352165699</x:v>
      </x:c>
      <x:c r="D5391" s="13" t="str">
        <x:v>Retail</x:v>
      </x:c>
      <x:c r="E5391" s="13" t="str">
        <x:v>Retail</x:v>
      </x:c>
      <x:c r="F5391" s="13" t="str">
        <x:v>Early Cyclicals</x:v>
      </x:c>
      <x:c r="G5391" s="13" t="str">
        <x:v>grid_asitui1y.xlsx</x:v>
      </x:c>
    </x:row>
    <x:row r="5392">
      <x:c r="A5392" s="15" t="n">
        <x:v>42826</x:v>
      </x:c>
      <x:c r="B5392" s="13" t="str">
        <x:v>NATURA COSMETICOS SA</x:v>
      </x:c>
      <x:c r="C5392" s="16" t="n">
        <x:v>582.2004788603</x:v>
      </x:c>
      <x:c r="D5392" s="13" t="str">
        <x:v>Retail</x:v>
      </x:c>
      <x:c r="E5392" s="13" t="str">
        <x:v>Retail</x:v>
      </x:c>
      <x:c r="F5392" s="13" t="str">
        <x:v>Early Cyclicals</x:v>
      </x:c>
      <x:c r="G5392" s="13" t="str">
        <x:v>grid_asitui1y.xlsx</x:v>
      </x:c>
    </x:row>
    <x:row r="5393">
      <x:c r="A5393" s="15" t="n">
        <x:v>42826</x:v>
      </x:c>
      <x:c r="B5393" s="13" t="str">
        <x:v>RAIA DROGASIL SA</x:v>
      </x:c>
      <x:c r="C5393" s="16" t="n">
        <x:v>634.9052461589</x:v>
      </x:c>
      <x:c r="D5393" s="13" t="str">
        <x:v>Retail</x:v>
      </x:c>
      <x:c r="E5393" s="13" t="str">
        <x:v>Retail</x:v>
      </x:c>
      <x:c r="F5393" s="13" t="str">
        <x:v>Early Cyclicals</x:v>
      </x:c>
      <x:c r="G5393" s="13" t="str">
        <x:v>grid_asitui1y.xlsx</x:v>
      </x:c>
    </x:row>
    <x:row r="5394">
      <x:c r="A5394" s="15" t="n">
        <x:v>42826</x:v>
      </x:c>
      <x:c r="B5394" s="13" t="str">
        <x:v>CIA SANEAMENTO BASICO DE SP</x:v>
      </x:c>
      <x:c r="C5394" s="16" t="n">
        <x:v>2747.7270962849</x:v>
      </x:c>
      <x:c r="D5394" s="13" t="str">
        <x:v>Sanitation</x:v>
      </x:c>
      <x:c r="E5394" s="13" t="str">
        <x:v>Utilities</x:v>
      </x:c>
      <x:c r="F5394" s="13" t="str">
        <x:v>Defensives</x:v>
      </x:c>
      <x:c r="G5394" s="13" t="str">
        <x:v>grid_asitui1y.xlsx</x:v>
      </x:c>
    </x:row>
    <x:row r="5395">
      <x:c r="A5395" s="15" t="n">
        <x:v>42826</x:v>
      </x:c>
      <x:c r="B5395" s="13" t="str">
        <x:v>SMILES FIDELIDADE SA</x:v>
      </x:c>
      <x:c r="C5395" s="16" t="n">
        <x:v>571.8297308932</x:v>
      </x:c>
      <x:c r="D5395" s="13" t="str">
        <x:v>TMT</x:v>
      </x:c>
      <x:c r="E5395" s="13" t="str">
        <x:v>TMT</x:v>
      </x:c>
      <x:c r="F5395" s="13" t="str">
        <x:v>Early Cyclicals</x:v>
      </x:c>
      <x:c r="G5395" s="13" t="str">
        <x:v>grid_asitui1y.xlsx</x:v>
      </x:c>
    </x:row>
    <x:row r="5396">
      <x:c r="A5396" s="15" t="n">
        <x:v>42826</x:v>
      </x:c>
      <x:c r="B5396" s="13" t="str">
        <x:v>TELEFONICA BRASIL S.A.-PREF</x:v>
      </x:c>
      <x:c r="C5396" s="16" t="n">
        <x:v>5407.3134009863</x:v>
      </x:c>
      <x:c r="D5396" s="13" t="str">
        <x:v>TMT</x:v>
      </x:c>
      <x:c r="E5396" s="13" t="str">
        <x:v>TMT</x:v>
      </x:c>
      <x:c r="F5396" s="13" t="str">
        <x:v>Early Cyclicals</x:v>
      </x:c>
      <x:c r="G5396" s="13" t="str">
        <x:v>grid_asitui1y.xlsx</x:v>
      </x:c>
    </x:row>
    <x:row r="5397">
      <x:c r="A5397" s="15" t="n">
        <x:v>42826</x:v>
      </x:c>
      <x:c r="B5397" s="13" t="str">
        <x:v>TIM SA</x:v>
      </x:c>
      <x:c r="C5397" s="16" t="n">
        <x:v>932.5179942575</x:v>
      </x:c>
      <x:c r="D5397" s="13" t="str">
        <x:v>TMT</x:v>
      </x:c>
      <x:c r="E5397" s="13" t="str">
        <x:v>TMT</x:v>
      </x:c>
      <x:c r="F5397" s="13" t="str">
        <x:v>Early Cyclicals</x:v>
      </x:c>
      <x:c r="G5397" s="13" t="str">
        <x:v>grid_asitui1y.xlsx</x:v>
      </x:c>
    </x:row>
    <x:row r="5398">
      <x:c r="A5398" s="15" t="n">
        <x:v>42826</x:v>
      </x:c>
      <x:c r="B5398" s="13" t="str">
        <x:v>ECORODOVIAS INFRA E LOG SA</x:v>
      </x:c>
      <x:c r="C5398" s="16" t="n">
        <x:v>417.0044054795</x:v>
      </x:c>
      <x:c r="D5398" s="13" t="str">
        <x:v>Transportation</x:v>
      </x:c>
      <x:c r="E5398" s="13" t="str">
        <x:v>Transportation</x:v>
      </x:c>
      <x:c r="F5398" s="13" t="str">
        <x:v>Deep Cyclicals</x:v>
      </x:c>
      <x:c r="G5398" s="13" t="str">
        <x:v>grid_asitui1y.xlsx</x:v>
      </x:c>
    </x:row>
    <x:row r="5399">
      <x:c r="A5399" s="15" t="n">
        <x:v>42826</x:v>
      </x:c>
      <x:c r="B5399" s="13" t="str">
        <x:v>LOCALIZA RENT A CAR</x:v>
      </x:c>
      <x:c r="C5399" s="16" t="n">
        <x:v>480.4554331178</x:v>
      </x:c>
      <x:c r="D5399" s="13" t="str">
        <x:v>Transportation</x:v>
      </x:c>
      <x:c r="E5399" s="13" t="str">
        <x:v>Transportation</x:v>
      </x:c>
      <x:c r="F5399" s="13" t="str">
        <x:v>Deep Cyclicals</x:v>
      </x:c>
      <x:c r="G5399" s="13" t="str">
        <x:v>grid_asitui1y.xlsx</x:v>
      </x:c>
    </x:row>
    <x:row r="5400">
      <x:c r="A5400" s="15" t="n">
        <x:v>42826</x:v>
      </x:c>
      <x:c r="B5400" s="13" t="str">
        <x:v>MOTIVA INFRAESTRUTURA DE MOB</x:v>
      </x:c>
      <x:c r="C5400" s="16" t="n">
        <x:v>1669.1742362301</x:v>
      </x:c>
      <x:c r="D5400" s="13" t="str">
        <x:v>Transportation</x:v>
      </x:c>
      <x:c r="E5400" s="13" t="str">
        <x:v>Transportation</x:v>
      </x:c>
      <x:c r="F5400" s="13" t="str">
        <x:v>Deep Cyclicals</x:v>
      </x:c>
      <x:c r="G5400" s="13" t="str">
        <x:v>grid_asitui1y.xlsx</x:v>
      </x:c>
    </x:row>
    <x:row r="5401">
      <x:c r="A5401" s="15" t="n">
        <x:v>42826</x:v>
      </x:c>
      <x:c r="B5401" s="13" t="str">
        <x:v>RUMO SA</x:v>
      </x:c>
      <x:c r="C5401" s="16" t="n">
        <x:v>152.9576738192</x:v>
      </x:c>
      <x:c r="D5401" s="13" t="str">
        <x:v>Transportation</x:v>
      </x:c>
      <x:c r="E5401" s="13" t="str">
        <x:v>Transportation</x:v>
      </x:c>
      <x:c r="F5401" s="13" t="str">
        <x:v>Deep Cyclicals</x:v>
      </x:c>
      <x:c r="G5401" s="13" t="str">
        <x:v>grid_asitui1y.xlsx</x:v>
      </x:c>
    </x:row>
    <x:row r="5402">
      <x:c r="A5402" s="15" t="n">
        <x:v>42826</x:v>
      </x:c>
      <x:c r="B5402" s="13" t="str">
        <x:v>AXIA ENERGIA SA</x:v>
      </x:c>
      <x:c r="C5402" s="16" t="n">
        <x:v>2934.3369138849</x:v>
      </x:c>
      <x:c r="D5402" s="13" t="str">
        <x:v>Utilities &amp; Energy</x:v>
      </x:c>
      <x:c r="E5402" s="13" t="str">
        <x:v>Utilities</x:v>
      </x:c>
      <x:c r="F5402" s="13" t="str">
        <x:v>Defensives</x:v>
      </x:c>
      <x:c r="G5402" s="13" t="str">
        <x:v>grid_asitui1y.xlsx</x:v>
      </x:c>
    </x:row>
    <x:row r="5403">
      <x:c r="A5403" s="15" t="n">
        <x:v>42826</x:v>
      </x:c>
      <x:c r="B5403" s="13" t="str">
        <x:v>CIA ENERGETICA MINAS GER-PRF</x:v>
      </x:c>
      <x:c r="C5403" s="16" t="n">
        <x:v>1498.3681209863</x:v>
      </x:c>
      <x:c r="D5403" s="13" t="str">
        <x:v>Utilities &amp; Energy</x:v>
      </x:c>
      <x:c r="E5403" s="13" t="str">
        <x:v>Utilities</x:v>
      </x:c>
      <x:c r="F5403" s="13" t="str">
        <x:v>Defensives</x:v>
      </x:c>
      <x:c r="G5403" s="13" t="str">
        <x:v>grid_asitui1y.xlsx</x:v>
      </x:c>
    </x:row>
    <x:row r="5404">
      <x:c r="A5404" s="15" t="n">
        <x:v>42826</x:v>
      </x:c>
      <x:c r="B5404" s="13" t="str">
        <x:v>COMPANHIA PARANAENSE -PREF B</x:v>
      </x:c>
      <x:c r="C5404" s="16" t="n">
        <x:v>1177.5935074192</x:v>
      </x:c>
      <x:c r="D5404" s="13" t="str">
        <x:v>Utilities &amp; Energy</x:v>
      </x:c>
      <x:c r="E5404" s="13" t="str">
        <x:v>Utilities</x:v>
      </x:c>
      <x:c r="F5404" s="13" t="str">
        <x:v>Defensives</x:v>
      </x:c>
      <x:c r="G5404" s="13" t="str">
        <x:v>grid_asitui1y.xlsx</x:v>
      </x:c>
    </x:row>
    <x:row r="5405">
      <x:c r="A5405" s="15" t="n">
        <x:v>42826</x:v>
      </x:c>
      <x:c r="B5405" s="13" t="str">
        <x:v>CPFL ENERGIA SA</x:v>
      </x:c>
      <x:c r="C5405" s="16" t="n">
        <x:v>1469.4137193205</x:v>
      </x:c>
      <x:c r="D5405" s="13" t="str">
        <x:v>Utilities &amp; Energy</x:v>
      </x:c>
      <x:c r="E5405" s="13" t="str">
        <x:v>Utilities</x:v>
      </x:c>
      <x:c r="F5405" s="13" t="str">
        <x:v>Defensives</x:v>
      </x:c>
      <x:c r="G5405" s="13" t="str">
        <x:v>grid_asitui1y.xlsx</x:v>
      </x:c>
    </x:row>
    <x:row r="5406">
      <x:c r="A5406" s="15" t="n">
        <x:v>42826</x:v>
      </x:c>
      <x:c r="B5406" s="13" t="str">
        <x:v>EDP - ENERGIAS DO BRASIL SA</x:v>
      </x:c>
      <x:c r="C5406" s="16" t="n">
        <x:v>682.6037200658</x:v>
      </x:c>
      <x:c r="D5406" s="13" t="str">
        <x:v>Utilities &amp; Energy</x:v>
      </x:c>
      <x:c r="E5406" s="13" t="str">
        <x:v>Utilities</x:v>
      </x:c>
      <x:c r="F5406" s="13" t="str">
        <x:v>Defensives</x:v>
      </x:c>
      <x:c r="G5406" s="13" t="str">
        <x:v>grid_asitui1y.xlsx</x:v>
      </x:c>
    </x:row>
    <x:row r="5407">
      <x:c r="A5407" s="15" t="n">
        <x:v>42826</x:v>
      </x:c>
      <x:c r="B5407" s="13" t="str">
        <x:v>ENGIE BRASIL ENERGIA SA</x:v>
      </x:c>
      <x:c r="C5407" s="16" t="n">
        <x:v>1864.8666529315</x:v>
      </x:c>
      <x:c r="D5407" s="13" t="str">
        <x:v>Utilities &amp; Energy</x:v>
      </x:c>
      <x:c r="E5407" s="13" t="str">
        <x:v>Utilities</x:v>
      </x:c>
      <x:c r="F5407" s="13" t="str">
        <x:v>Defensives</x:v>
      </x:c>
      <x:c r="G5407" s="13" t="str">
        <x:v>grid_asitui1y.xlsx</x:v>
      </x:c>
    </x:row>
    <x:row r="5408">
      <x:c r="A5408" s="15" t="n">
        <x:v>42826</x:v>
      </x:c>
      <x:c r="B5408" s="13" t="str">
        <x:v>EQUATORIAL SA - ORD</x:v>
      </x:c>
      <x:c r="C5408" s="16" t="n">
        <x:v>893.8007881644</x:v>
      </x:c>
      <x:c r="D5408" s="13" t="str">
        <x:v>Utilities &amp; Energy</x:v>
      </x:c>
      <x:c r="E5408" s="13" t="str">
        <x:v>Utilities</x:v>
      </x:c>
      <x:c r="F5408" s="13" t="str">
        <x:v>Defensives</x:v>
      </x:c>
      <x:c r="G5408" s="13" t="str">
        <x:v>grid_asitui1y.xlsx</x:v>
      </x:c>
    </x:row>
    <x:row r="5409">
      <x:c r="A5409" s="15" t="n">
        <x:v>42856</x:v>
      </x:c>
      <x:c r="B5409" s="13" t="str">
        <x:v>BANCO BRADESCO S.A.</x:v>
      </x:c>
      <x:c r="C5409" s="16" t="n">
        <x:v>18709.635885589</x:v>
      </x:c>
      <x:c r="D5409" s="13" t="str">
        <x:v>Banks</x:v>
      </x:c>
      <x:c r="E5409" s="13" t="str">
        <x:v>Banks</x:v>
      </x:c>
      <x:c r="F5409" s="13" t="str">
        <x:v>Financials</x:v>
      </x:c>
      <x:c r="G5409" s="13" t="str">
        <x:v>grid_asitui1y.xlsx</x:v>
      </x:c>
    </x:row>
    <x:row r="5410">
      <x:c r="A5410" s="15" t="n">
        <x:v>42856</x:v>
      </x:c>
      <x:c r="B5410" s="13" t="str">
        <x:v>BANCO BRADESCO SA-PREF</x:v>
      </x:c>
      <x:c r="C5410" s="16" t="n">
        <x:v>18709.635885589</x:v>
      </x:c>
      <x:c r="D5410" s="13" t="str">
        <x:v>Banks</x:v>
      </x:c>
      <x:c r="E5410" s="13" t="str">
        <x:v>Banks</x:v>
      </x:c>
      <x:c r="F5410" s="13" t="str">
        <x:v>Financials</x:v>
      </x:c>
      <x:c r="G5410" s="13" t="str">
        <x:v>grid_asitui1y.xlsx</x:v>
      </x:c>
    </x:row>
    <x:row r="5411">
      <x:c r="A5411" s="15" t="n">
        <x:v>42856</x:v>
      </x:c>
      <x:c r="B5411" s="13" t="str">
        <x:v>BANCO DO BRASIL S.A.</x:v>
      </x:c>
      <x:c r="C5411" s="16" t="n">
        <x:v>11887.5376092932</x:v>
      </x:c>
      <x:c r="D5411" s="13" t="str">
        <x:v>Banks</x:v>
      </x:c>
      <x:c r="E5411" s="13" t="str">
        <x:v>Banks</x:v>
      </x:c>
      <x:c r="F5411" s="13" t="str">
        <x:v>Financials</x:v>
      </x:c>
      <x:c r="G5411" s="13" t="str">
        <x:v>grid_asitui1y.xlsx</x:v>
      </x:c>
    </x:row>
    <x:row r="5412">
      <x:c r="A5412" s="15" t="n">
        <x:v>42856</x:v>
      </x:c>
      <x:c r="B5412" s="13" t="str">
        <x:v>BANCO SANTANDER  BRASIL-UNIT</x:v>
      </x:c>
      <x:c r="C5412" s="16" t="n">
        <x:v>8880.0572373918</x:v>
      </x:c>
      <x:c r="D5412" s="13" t="str">
        <x:v>Banks</x:v>
      </x:c>
      <x:c r="E5412" s="13" t="str">
        <x:v>Banks</x:v>
      </x:c>
      <x:c r="F5412" s="13" t="str">
        <x:v>Financials</x:v>
      </x:c>
      <x:c r="G5412" s="13" t="str">
        <x:v>grid_asitui1y.xlsx</x:v>
      </x:c>
    </x:row>
    <x:row r="5413">
      <x:c r="A5413" s="15" t="n">
        <x:v>42856</x:v>
      </x:c>
      <x:c r="B5413" s="13" t="str">
        <x:v>ITAU UNIBANCO HOLDING S-PREF</x:v>
      </x:c>
      <x:c r="C5413" s="16" t="n">
        <x:v>24135.7827478795</x:v>
      </x:c>
      <x:c r="D5413" s="13" t="str">
        <x:v>Banks</x:v>
      </x:c>
      <x:c r="E5413" s="13" t="str">
        <x:v>Banks</x:v>
      </x:c>
      <x:c r="F5413" s="13" t="str">
        <x:v>Financials</x:v>
      </x:c>
      <x:c r="G5413" s="13" t="str">
        <x:v>grid_asitui1y.xlsx</x:v>
      </x:c>
    </x:row>
    <x:row r="5414">
      <x:c r="A5414" s="15" t="n">
        <x:v>42856</x:v>
      </x:c>
      <x:c r="B5414" s="13" t="str">
        <x:v>EMBRAER SA</x:v>
      </x:c>
      <x:c r="C5414" s="16" t="n">
        <x:v>1093.0303072438</x:v>
      </x:c>
      <x:c r="D5414" s="13" t="str">
        <x:v>Capital Goods</x:v>
      </x:c>
      <x:c r="E5414" s="13" t="str">
        <x:v>Capital Goods</x:v>
      </x:c>
      <x:c r="F5414" s="13" t="str">
        <x:v>Deep Cyclicals</x:v>
      </x:c>
      <x:c r="G5414" s="13" t="str">
        <x:v>grid_asitui1y.xlsx</x:v>
      </x:c>
    </x:row>
    <x:row r="5415">
      <x:c r="A5415" s="15" t="n">
        <x:v>42856</x:v>
      </x:c>
      <x:c r="B5415" s="13" t="str">
        <x:v>WEG SA</x:v>
      </x:c>
      <x:c r="C5415" s="16" t="n">
        <x:v>1277.197369863</x:v>
      </x:c>
      <x:c r="D5415" s="13" t="str">
        <x:v>Capital Goods</x:v>
      </x:c>
      <x:c r="E5415" s="13" t="str">
        <x:v>Capital Goods</x:v>
      </x:c>
      <x:c r="F5415" s="13" t="str">
        <x:v>Deep Cyclicals</x:v>
      </x:c>
      <x:c r="G5415" s="13" t="str">
        <x:v>grid_asitui1y.xlsx</x:v>
      </x:c>
    </x:row>
    <x:row r="5416">
      <x:c r="A5416" s="15" t="n">
        <x:v>42856</x:v>
      </x:c>
      <x:c r="B5416" s="13" t="str">
        <x:v>COGNA EDUCACAO</x:v>
      </x:c>
      <x:c r="C5416" s="16" t="n">
        <x:v>2186.0248428712</x:v>
      </x:c>
      <x:c r="D5416" s="13" t="str">
        <x:v>Education</x:v>
      </x:c>
      <x:c r="E5416" s="13" t="str">
        <x:v>Education</x:v>
      </x:c>
      <x:c r="F5416" s="13" t="str">
        <x:v>Early Cyclicals</x:v>
      </x:c>
      <x:c r="G5416" s="13" t="str">
        <x:v>grid_asitui1y.xlsx</x:v>
      </x:c>
    </x:row>
    <x:row r="5417">
      <x:c r="A5417" s="15" t="n">
        <x:v>42856</x:v>
      </x:c>
      <x:c r="B5417" s="13" t="str">
        <x:v>YDUQS PARTICIPACOES SA</x:v>
      </x:c>
      <x:c r="C5417" s="16" t="n">
        <x:v>486.8466520548</x:v>
      </x:c>
      <x:c r="D5417" s="13" t="str">
        <x:v>Education</x:v>
      </x:c>
      <x:c r="E5417" s="13" t="str">
        <x:v>Education</x:v>
      </x:c>
      <x:c r="F5417" s="13" t="str">
        <x:v>Early Cyclicals</x:v>
      </x:c>
      <x:c r="G5417" s="13" t="str">
        <x:v>grid_asitui1y.xlsx</x:v>
      </x:c>
    </x:row>
    <x:row r="5418">
      <x:c r="A5418" s="15" t="n">
        <x:v>42856</x:v>
      </x:c>
      <x:c r="B5418" s="13" t="str">
        <x:v>B3 SA-BRASIL BOLSA BALCAO</x:v>
      </x:c>
      <x:c r="C5418" s="16" t="n">
        <x:v>1974.4683456877</x:v>
      </x:c>
      <x:c r="D5418" s="13" t="str">
        <x:v>Financials Non-Banks</x:v>
      </x:c>
      <x:c r="E5418" s="13" t="str">
        <x:v>Financials Non-Banks</x:v>
      </x:c>
      <x:c r="F5418" s="13" t="str">
        <x:v>Financials</x:v>
      </x:c>
      <x:c r="G5418" s="13" t="str">
        <x:v>grid_asitui1y.xlsx</x:v>
      </x:c>
    </x:row>
    <x:row r="5419">
      <x:c r="A5419" s="15" t="n">
        <x:v>42856</x:v>
      </x:c>
      <x:c r="B5419" s="13" t="str">
        <x:v>BB SEGURIDADE PARTICIPACOES</x:v>
      </x:c>
      <x:c r="C5419" s="16" t="n">
        <x:v>4373.1220325699</x:v>
      </x:c>
      <x:c r="D5419" s="13" t="str">
        <x:v>Financials Non-Banks</x:v>
      </x:c>
      <x:c r="E5419" s="13" t="str">
        <x:v>Financials Non-Banks</x:v>
      </x:c>
      <x:c r="F5419" s="13" t="str">
        <x:v>Financials</x:v>
      </x:c>
      <x:c r="G5419" s="13" t="str">
        <x:v>grid_asitui1y.xlsx</x:v>
      </x:c>
    </x:row>
    <x:row r="5420">
      <x:c r="A5420" s="15" t="n">
        <x:v>42856</x:v>
      </x:c>
      <x:c r="B5420" s="13" t="str">
        <x:v>CIELO SA - INSTITUICAO DE PA</x:v>
      </x:c>
      <x:c r="C5420" s="16" t="n">
        <x:v>4471.3722290849</x:v>
      </x:c>
      <x:c r="D5420" s="13" t="str">
        <x:v>Financials Non-Banks</x:v>
      </x:c>
      <x:c r="E5420" s="13" t="str">
        <x:v>Financials Non-Banks</x:v>
      </x:c>
      <x:c r="F5420" s="13" t="str">
        <x:v>Financials</x:v>
      </x:c>
      <x:c r="G5420" s="13" t="str">
        <x:v>grid_asitui1y.xlsx</x:v>
      </x:c>
    </x:row>
    <x:row r="5421">
      <x:c r="A5421" s="15" t="n">
        <x:v>42856</x:v>
      </x:c>
      <x:c r="B5421" s="13" t="str">
        <x:v>ITAUSA SA</x:v>
      </x:c>
      <x:c r="C5421" s="16" t="n">
        <x:v>7910.1259677808</x:v>
      </x:c>
      <x:c r="D5421" s="13" t="str">
        <x:v>Financials Non-Banks</x:v>
      </x:c>
      <x:c r="E5421" s="13" t="str">
        <x:v>Financials Non-Banks</x:v>
      </x:c>
      <x:c r="F5421" s="13" t="str">
        <x:v>Financials</x:v>
      </x:c>
      <x:c r="G5421" s="13" t="str">
        <x:v>grid_asitui1y.xlsx</x:v>
      </x:c>
    </x:row>
    <x:row r="5422">
      <x:c r="A5422" s="15" t="n">
        <x:v>42856</x:v>
      </x:c>
      <x:c r="B5422" s="13" t="str">
        <x:v>AMBEV SA</x:v>
      </x:c>
      <x:c r="C5422" s="16" t="n">
        <x:v>12922.3981392658</x:v>
      </x:c>
      <x:c r="D5422" s="13" t="str">
        <x:v>Food &amp; Beverages</x:v>
      </x:c>
      <x:c r="E5422" s="13" t="str">
        <x:v>Agri, Food &amp; Beverages</x:v>
      </x:c>
      <x:c r="F5422" s="13" t="str">
        <x:v>Defensives</x:v>
      </x:c>
      <x:c r="G5422" s="13" t="str">
        <x:v>grid_asitui1y.xlsx</x:v>
      </x:c>
    </x:row>
    <x:row r="5423">
      <x:c r="A5423" s="15" t="n">
        <x:v>42856</x:v>
      </x:c>
      <x:c r="B5423" s="13" t="str">
        <x:v>BRF SA</x:v>
      </x:c>
      <x:c r="C5423" s="16" t="n">
        <x:v>1446.3726367562</x:v>
      </x:c>
      <x:c r="D5423" s="13" t="str">
        <x:v>Food &amp; Beverages</x:v>
      </x:c>
      <x:c r="E5423" s="13" t="str">
        <x:v>Agri, Food &amp; Beverages</x:v>
      </x:c>
      <x:c r="F5423" s="13" t="str">
        <x:v>Defensives</x:v>
      </x:c>
      <x:c r="G5423" s="13" t="str">
        <x:v>grid_asitui1y.xlsx</x:v>
      </x:c>
    </x:row>
    <x:row r="5424">
      <x:c r="A5424" s="15" t="n">
        <x:v>42856</x:v>
      </x:c>
      <x:c r="B5424" s="13" t="str">
        <x:v>JBS SA</x:v>
      </x:c>
      <x:c r="C5424" s="16" t="n">
        <x:v>3433.7677999342</x:v>
      </x:c>
      <x:c r="D5424" s="13" t="str">
        <x:v>Food &amp; Beverages</x:v>
      </x:c>
      <x:c r="E5424" s="13" t="str">
        <x:v>Agri, Food &amp; Beverages</x:v>
      </x:c>
      <x:c r="F5424" s="13" t="str">
        <x:v>Defensives</x:v>
      </x:c>
      <x:c r="G5424" s="13" t="str">
        <x:v>grid_asitui1y.xlsx</x:v>
      </x:c>
    </x:row>
    <x:row r="5425">
      <x:c r="A5425" s="15" t="n">
        <x:v>42856</x:v>
      </x:c>
      <x:c r="B5425" s="13" t="str">
        <x:v>MBRF GLOBAL FOODS COMPANY SA</x:v>
      </x:c>
      <x:c r="C5425" s="16" t="n">
        <x:v>73.2577364384</x:v>
      </x:c>
      <x:c r="D5425" s="13" t="str">
        <x:v>Food &amp; Beverages</x:v>
      </x:c>
      <x:c r="E5425" s="13" t="str">
        <x:v>Agri, Food &amp; Beverages</x:v>
      </x:c>
      <x:c r="F5425" s="13" t="str">
        <x:v>Defensives</x:v>
      </x:c>
      <x:c r="G5425" s="13" t="str">
        <x:v>grid_asitui1y.xlsx</x:v>
      </x:c>
    </x:row>
    <x:row r="5426">
      <x:c r="A5426" s="15" t="n">
        <x:v>42856</x:v>
      </x:c>
      <x:c r="B5426" s="13" t="str">
        <x:v>HYPERA SA</x:v>
      </x:c>
      <x:c r="C5426" s="16" t="n">
        <x:v>946.6096022795</x:v>
      </x:c>
      <x:c r="D5426" s="13" t="str">
        <x:v>Health Care</x:v>
      </x:c>
      <x:c r="E5426" s="13" t="str">
        <x:v>Health Care</x:v>
      </x:c>
      <x:c r="F5426" s="13" t="str">
        <x:v>Defensives</x:v>
      </x:c>
      <x:c r="G5426" s="13" t="str">
        <x:v>grid_asitui1y.xlsx</x:v>
      </x:c>
    </x:row>
    <x:row r="5427">
      <x:c r="A5427" s="15" t="n">
        <x:v>42856</x:v>
      </x:c>
      <x:c r="B5427" s="13" t="str">
        <x:v>QUALICORP CONS E CORR SEG SA</x:v>
      </x:c>
      <x:c r="C5427" s="16" t="n">
        <x:v>519.2394520548</x:v>
      </x:c>
      <x:c r="D5427" s="13" t="str">
        <x:v>Health Care</x:v>
      </x:c>
      <x:c r="E5427" s="13" t="str">
        <x:v>Health Care</x:v>
      </x:c>
      <x:c r="F5427" s="13" t="str">
        <x:v>Defensives</x:v>
      </x:c>
      <x:c r="G5427" s="13" t="str">
        <x:v>grid_asitui1y.xlsx</x:v>
      </x:c>
    </x:row>
    <x:row r="5428">
      <x:c r="A5428" s="15" t="n">
        <x:v>42856</x:v>
      </x:c>
      <x:c r="B5428" s="13" t="str">
        <x:v>CYRELA BRAZIL REALTY SA EMP</x:v>
      </x:c>
      <x:c r="C5428" s="16" t="n">
        <x:v>205.7806514849</x:v>
      </x:c>
      <x:c r="D5428" s="13" t="str">
        <x:v>Homebuilders</x:v>
      </x:c>
      <x:c r="E5428" s="13" t="str">
        <x:v>Real Estate</x:v>
      </x:c>
      <x:c r="F5428" s="13" t="str">
        <x:v>Early Cyclicals</x:v>
      </x:c>
      <x:c r="G5428" s="13" t="str">
        <x:v>grid_asitui1y.xlsx</x:v>
      </x:c>
    </x:row>
    <x:row r="5429">
      <x:c r="A5429" s="15" t="n">
        <x:v>42856</x:v>
      </x:c>
      <x:c r="B5429" s="13" t="str">
        <x:v>MRV ENGENHARIA</x:v>
      </x:c>
      <x:c r="C5429" s="16" t="n">
        <x:v>699.5526275507</x:v>
      </x:c>
      <x:c r="D5429" s="13" t="str">
        <x:v>Homebuilders</x:v>
      </x:c>
      <x:c r="E5429" s="13" t="str">
        <x:v>Real Estate</x:v>
      </x:c>
      <x:c r="F5429" s="13" t="str">
        <x:v>Early Cyclicals</x:v>
      </x:c>
      <x:c r="G5429" s="13" t="str">
        <x:v>grid_asitui1y.xlsx</x:v>
      </x:c>
    </x:row>
    <x:row r="5430">
      <x:c r="A5430" s="15" t="n">
        <x:v>42856</x:v>
      </x:c>
      <x:c r="B5430" s="13" t="str">
        <x:v>BR MALLS PARTICIPACOES SA</x:v>
      </x:c>
      <x:c r="C5430" s="16" t="n">
        <x:v>434.6965774904</x:v>
      </x:c>
      <x:c r="D5430" s="13" t="str">
        <x:v>Income Properties</x:v>
      </x:c>
      <x:c r="E5430" s="13" t="str">
        <x:v>Real Estate</x:v>
      </x:c>
      <x:c r="F5430" s="13" t="str">
        <x:v>Early Cyclicals</x:v>
      </x:c>
      <x:c r="G5430" s="13" t="str">
        <x:v>grid_asitui1y.xlsx</x:v>
      </x:c>
    </x:row>
    <x:row r="5431">
      <x:c r="A5431" s="15" t="n">
        <x:v>42856</x:v>
      </x:c>
      <x:c r="B5431" s="13" t="str">
        <x:v>MULTIPLAN EMPREENDIMENTOS</x:v>
      </x:c>
      <x:c r="C5431" s="16" t="n">
        <x:v>437.6438972493</x:v>
      </x:c>
      <x:c r="D5431" s="13" t="str">
        <x:v>Income Properties</x:v>
      </x:c>
      <x:c r="E5431" s="13" t="str">
        <x:v>Real Estate</x:v>
      </x:c>
      <x:c r="F5431" s="13" t="str">
        <x:v>Early Cyclicals</x:v>
      </x:c>
      <x:c r="G5431" s="13" t="str">
        <x:v>grid_asitui1y.xlsx</x:v>
      </x:c>
    </x:row>
    <x:row r="5432">
      <x:c r="A5432" s="15" t="n">
        <x:v>42856</x:v>
      </x:c>
      <x:c r="B5432" s="13" t="str">
        <x:v>BRADESPAR SA -PREF</x:v>
      </x:c>
      <x:c r="C5432" s="16" t="n">
        <x:v>1298.8876899945</x:v>
      </x:c>
      <x:c r="D5432" s="13" t="str">
        <x:v>Metals &amp; Mining</x:v>
      </x:c>
      <x:c r="E5432" s="13" t="str">
        <x:v>Metals &amp; Mining</x:v>
      </x:c>
      <x:c r="F5432" s="13" t="str">
        <x:v>Deep Cyclicals</x:v>
      </x:c>
      <x:c r="G5432" s="13" t="str">
        <x:v>grid_asitui1y.xlsx</x:v>
      </x:c>
    </x:row>
    <x:row r="5433">
      <x:c r="A5433" s="15" t="n">
        <x:v>42856</x:v>
      </x:c>
      <x:c r="B5433" s="13" t="str">
        <x:v>CIA SIDERURGICA NACIONAL SA</x:v>
      </x:c>
      <x:c r="C5433" s="16" t="n">
        <x:v>271.7877520658</x:v>
      </x:c>
      <x:c r="D5433" s="13" t="str">
        <x:v>Metals &amp; Mining</x:v>
      </x:c>
      <x:c r="E5433" s="13" t="str">
        <x:v>Metals &amp; Mining</x:v>
      </x:c>
      <x:c r="F5433" s="13" t="str">
        <x:v>Deep Cyclicals</x:v>
      </x:c>
      <x:c r="G5433" s="13" t="str">
        <x:v>grid_asitui1y.xlsx</x:v>
      </x:c>
    </x:row>
    <x:row r="5434">
      <x:c r="A5434" s="15" t="n">
        <x:v>42856</x:v>
      </x:c>
      <x:c r="B5434" s="13" t="str">
        <x:v>GERDAU SA-PREF</x:v>
      </x:c>
      <x:c r="C5434" s="16" t="n">
        <x:v>973.7545145863</x:v>
      </x:c>
      <x:c r="D5434" s="13" t="str">
        <x:v>Metals &amp; Mining</x:v>
      </x:c>
      <x:c r="E5434" s="13" t="str">
        <x:v>Metals &amp; Mining</x:v>
      </x:c>
      <x:c r="F5434" s="13" t="str">
        <x:v>Deep Cyclicals</x:v>
      </x:c>
      <x:c r="G5434" s="13" t="str">
        <x:v>grid_asitui1y.xlsx</x:v>
      </x:c>
    </x:row>
    <x:row r="5435">
      <x:c r="A5435" s="15" t="n">
        <x:v>42856</x:v>
      </x:c>
      <x:c r="B5435" s="13" t="str">
        <x:v>METALURGICA GERDAU SA-PREF</x:v>
      </x:c>
      <x:c r="C5435" s="16" t="n">
        <x:v>1305.8996995507</x:v>
      </x:c>
      <x:c r="D5435" s="13" t="str">
        <x:v>Metals &amp; Mining</x:v>
      </x:c>
      <x:c r="E5435" s="13" t="str">
        <x:v>Metals &amp; Mining</x:v>
      </x:c>
      <x:c r="F5435" s="13" t="str">
        <x:v>Deep Cyclicals</x:v>
      </x:c>
      <x:c r="G5435" s="13" t="str">
        <x:v>grid_asitui1y.xlsx</x:v>
      </x:c>
    </x:row>
    <x:row r="5436">
      <x:c r="A5436" s="15" t="n">
        <x:v>42856</x:v>
      </x:c>
      <x:c r="B5436" s="13" t="str">
        <x:v>USINAS SIDER MINAS GER-PF A</x:v>
      </x:c>
      <x:c r="C5436" s="16" t="n">
        <x:v>-43.6138123397</x:v>
      </x:c>
      <x:c r="D5436" s="13" t="str">
        <x:v>Metals &amp; Mining</x:v>
      </x:c>
      <x:c r="E5436" s="13" t="str">
        <x:v>Metals &amp; Mining</x:v>
      </x:c>
      <x:c r="F5436" s="13" t="str">
        <x:v>Deep Cyclicals</x:v>
      </x:c>
      <x:c r="G5436" s="13" t="str">
        <x:v>grid_asitui1y.xlsx</x:v>
      </x:c>
    </x:row>
    <x:row r="5437">
      <x:c r="A5437" s="15" t="n">
        <x:v>42856</x:v>
      </x:c>
      <x:c r="B5437" s="13" t="str">
        <x:v>VALE SA</x:v>
      </x:c>
      <x:c r="C5437" s="16" t="n">
        <x:v>20171.477951474</x:v>
      </x:c>
      <x:c r="D5437" s="13" t="str">
        <x:v>Metals &amp; Mining</x:v>
      </x:c>
      <x:c r="E5437" s="13" t="str">
        <x:v>Metals &amp; Mining</x:v>
      </x:c>
      <x:c r="F5437" s="13" t="str">
        <x:v>Deep Cyclicals</x:v>
      </x:c>
      <x:c r="G5437" s="13" t="str">
        <x:v>grid_asitui1y.xlsx</x:v>
      </x:c>
    </x:row>
    <x:row r="5438">
      <x:c r="A5438" s="15" t="n">
        <x:v>42856</x:v>
      </x:c>
      <x:c r="B5438" s="13" t="str">
        <x:v>BRASKEM SA-PREF A</x:v>
      </x:c>
      <x:c r="C5438" s="16" t="n">
        <x:v>2955.8204815781</x:v>
      </x:c>
      <x:c r="D5438" s="13" t="str">
        <x:v>Oil, Gas &amp; Petrochemicals</x:v>
      </x:c>
      <x:c r="E5438" s="13" t="str">
        <x:v>Oil, Gas &amp; Petrochemicals</x:v>
      </x:c>
      <x:c r="F5438" s="13" t="str">
        <x:v>Deep Cyclicals</x:v>
      </x:c>
      <x:c r="G5438" s="13" t="str">
        <x:v>grid_asitui1y.xlsx</x:v>
      </x:c>
    </x:row>
    <x:row r="5439">
      <x:c r="A5439" s="15" t="n">
        <x:v>42856</x:v>
      </x:c>
      <x:c r="B5439" s="13" t="str">
        <x:v>COSAN SA</x:v>
      </x:c>
      <x:c r="C5439" s="16" t="n">
        <x:v>1235.5068493151</x:v>
      </x:c>
      <x:c r="D5439" s="13" t="str">
        <x:v>Oil, Gas &amp; Petrochemicals</x:v>
      </x:c>
      <x:c r="E5439" s="13" t="str">
        <x:v>Oil, Gas &amp; Petrochemicals</x:v>
      </x:c>
      <x:c r="F5439" s="13" t="str">
        <x:v>Deep Cyclicals</x:v>
      </x:c>
      <x:c r="G5439" s="13" t="str">
        <x:v>grid_asitui1y.xlsx</x:v>
      </x:c>
    </x:row>
    <x:row r="5440">
      <x:c r="A5440" s="15" t="n">
        <x:v>42856</x:v>
      </x:c>
      <x:c r="B5440" s="13" t="str">
        <x:v>PETROBRAS - PETROLEO BRAS</x:v>
      </x:c>
      <x:c r="C5440" s="16" t="n">
        <x:v>18633.4273816548</x:v>
      </x:c>
      <x:c r="D5440" s="13" t="str">
        <x:v>Oil, Gas &amp; Petrochemicals</x:v>
      </x:c>
      <x:c r="E5440" s="13" t="str">
        <x:v>Oil, Gas &amp; Petrochemicals</x:v>
      </x:c>
      <x:c r="F5440" s="13" t="str">
        <x:v>Deep Cyclicals</x:v>
      </x:c>
      <x:c r="G5440" s="13" t="str">
        <x:v>grid_asitui1y.xlsx</x:v>
      </x:c>
    </x:row>
    <x:row r="5441">
      <x:c r="A5441" s="15" t="n">
        <x:v>42856</x:v>
      </x:c>
      <x:c r="B5441" s="13" t="str">
        <x:v>ULTRAPAR PARTICIPACOES SA</x:v>
      </x:c>
      <x:c r="C5441" s="16" t="n">
        <x:v>1791.1132584329</x:v>
      </x:c>
      <x:c r="D5441" s="13" t="str">
        <x:v>Oil, Gas &amp; Petrochemicals</x:v>
      </x:c>
      <x:c r="E5441" s="13" t="str">
        <x:v>Oil, Gas &amp; Petrochemicals</x:v>
      </x:c>
      <x:c r="F5441" s="13" t="str">
        <x:v>Deep Cyclicals</x:v>
      </x:c>
      <x:c r="G5441" s="13" t="str">
        <x:v>grid_asitui1y.xlsx</x:v>
      </x:c>
    </x:row>
    <x:row r="5442">
      <x:c r="A5442" s="15" t="n">
        <x:v>42856</x:v>
      </x:c>
      <x:c r="B5442" s="13" t="str">
        <x:v>FIBRIA CELULOSE S/A</x:v>
      </x:c>
      <x:c r="C5442" s="16" t="n">
        <x:v>940.6680246356</x:v>
      </x:c>
      <x:c r="D5442" s="13" t="str">
        <x:v>Pulp &amp; Paper</x:v>
      </x:c>
      <x:c r="E5442" s="13" t="str">
        <x:v>Pulp &amp; Paper</x:v>
      </x:c>
      <x:c r="F5442" s="13" t="str">
        <x:v>Deep Cyclicals</x:v>
      </x:c>
      <x:c r="G5442" s="13" t="str">
        <x:v>grid_asitui1y.xlsx</x:v>
      </x:c>
    </x:row>
    <x:row r="5443">
      <x:c r="A5443" s="15" t="n">
        <x:v>42856</x:v>
      </x:c>
      <x:c r="B5443" s="13" t="str">
        <x:v>KLABIN SA - UNIT</x:v>
      </x:c>
      <x:c r="C5443" s="16" t="n">
        <x:v>827.3888939836</x:v>
      </x:c>
      <x:c r="D5443" s="13" t="str">
        <x:v>Pulp &amp; Paper</x:v>
      </x:c>
      <x:c r="E5443" s="13" t="str">
        <x:v>Pulp &amp; Paper</x:v>
      </x:c>
      <x:c r="F5443" s="13" t="str">
        <x:v>Deep Cyclicals</x:v>
      </x:c>
      <x:c r="G5443" s="13" t="str">
        <x:v>grid_asitui1y.xlsx</x:v>
      </x:c>
    </x:row>
    <x:row r="5444">
      <x:c r="A5444" s="15" t="n">
        <x:v>42856</x:v>
      </x:c>
      <x:c r="B5444" s="13" t="str">
        <x:v>SUZANO PAPEL E CELULO-PREF A</x:v>
      </x:c>
      <x:c r="C5444" s="16" t="n">
        <x:v>1237.3515993425</x:v>
      </x:c>
      <x:c r="D5444" s="13" t="str">
        <x:v>Pulp &amp; Paper</x:v>
      </x:c>
      <x:c r="E5444" s="13" t="str">
        <x:v>Pulp &amp; Paper</x:v>
      </x:c>
      <x:c r="F5444" s="13" t="str">
        <x:v>Deep Cyclicals</x:v>
      </x:c>
      <x:c r="G5444" s="13" t="str">
        <x:v>grid_asitui1y.xlsx</x:v>
      </x:c>
    </x:row>
    <x:row r="5445">
      <x:c r="A5445" s="15" t="n">
        <x:v>42856</x:v>
      </x:c>
      <x:c r="B5445" s="13" t="str">
        <x:v>CIA BRASILEIRA DE DIS-PREF</x:v>
      </x:c>
      <x:c r="C5445" s="16" t="n">
        <x:v>630.9470144877</x:v>
      </x:c>
      <x:c r="D5445" s="13" t="str">
        <x:v>Retail</x:v>
      </x:c>
      <x:c r="E5445" s="13" t="str">
        <x:v>Retail</x:v>
      </x:c>
      <x:c r="F5445" s="13" t="str">
        <x:v>Early Cyclicals</x:v>
      </x:c>
      <x:c r="G5445" s="13" t="str">
        <x:v>grid_asitui1y.xlsx</x:v>
      </x:c>
    </x:row>
    <x:row r="5446">
      <x:c r="A5446" s="15" t="n">
        <x:v>42856</x:v>
      </x:c>
      <x:c r="B5446" s="13" t="str">
        <x:v>LOJAS AMERICANAS SA-PREF</x:v>
      </x:c>
      <x:c r="C5446" s="16" t="n">
        <x:v>692.9701803836</x:v>
      </x:c>
      <x:c r="D5446" s="13" t="str">
        <x:v>Retail</x:v>
      </x:c>
      <x:c r="E5446" s="13" t="str">
        <x:v>Retail</x:v>
      </x:c>
      <x:c r="F5446" s="13" t="str">
        <x:v>Early Cyclicals</x:v>
      </x:c>
      <x:c r="G5446" s="13" t="str">
        <x:v>grid_asitui1y.xlsx</x:v>
      </x:c>
    </x:row>
    <x:row r="5447">
      <x:c r="A5447" s="15" t="n">
        <x:v>42856</x:v>
      </x:c>
      <x:c r="B5447" s="13" t="str">
        <x:v>LOJAS RENNER S.A.</x:v>
      </x:c>
      <x:c r="C5447" s="16" t="n">
        <x:v>798.2597260274</x:v>
      </x:c>
      <x:c r="D5447" s="13" t="str">
        <x:v>Retail</x:v>
      </x:c>
      <x:c r="E5447" s="13" t="str">
        <x:v>Retail</x:v>
      </x:c>
      <x:c r="F5447" s="13" t="str">
        <x:v>Early Cyclicals</x:v>
      </x:c>
      <x:c r="G5447" s="13" t="str">
        <x:v>grid_asitui1y.xlsx</x:v>
      </x:c>
    </x:row>
    <x:row r="5448">
      <x:c r="A5448" s="15" t="n">
        <x:v>42856</x:v>
      </x:c>
      <x:c r="B5448" s="13" t="str">
        <x:v>NATURA COSMETICOS SA</x:v>
      </x:c>
      <x:c r="C5448" s="16" t="n">
        <x:v>601.4267763726</x:v>
      </x:c>
      <x:c r="D5448" s="13" t="str">
        <x:v>Retail</x:v>
      </x:c>
      <x:c r="E5448" s="13" t="str">
        <x:v>Retail</x:v>
      </x:c>
      <x:c r="F5448" s="13" t="str">
        <x:v>Early Cyclicals</x:v>
      </x:c>
      <x:c r="G5448" s="13" t="str">
        <x:v>grid_asitui1y.xlsx</x:v>
      </x:c>
    </x:row>
    <x:row r="5449">
      <x:c r="A5449" s="15" t="n">
        <x:v>42856</x:v>
      </x:c>
      <x:c r="B5449" s="13" t="str">
        <x:v>RAIA DROGASIL SA</x:v>
      </x:c>
      <x:c r="C5449" s="16" t="n">
        <x:v>636.1581320767</x:v>
      </x:c>
      <x:c r="D5449" s="13" t="str">
        <x:v>Retail</x:v>
      </x:c>
      <x:c r="E5449" s="13" t="str">
        <x:v>Retail</x:v>
      </x:c>
      <x:c r="F5449" s="13" t="str">
        <x:v>Early Cyclicals</x:v>
      </x:c>
      <x:c r="G5449" s="13" t="str">
        <x:v>grid_asitui1y.xlsx</x:v>
      </x:c>
    </x:row>
    <x:row r="5450">
      <x:c r="A5450" s="15" t="n">
        <x:v>42856</x:v>
      </x:c>
      <x:c r="B5450" s="13" t="str">
        <x:v>CIA SANEAMENTO BASICO DE SP</x:v>
      </x:c>
      <x:c r="C5450" s="16" t="n">
        <x:v>2754.2557169973</x:v>
      </x:c>
      <x:c r="D5450" s="13" t="str">
        <x:v>Sanitation</x:v>
      </x:c>
      <x:c r="E5450" s="13" t="str">
        <x:v>Utilities</x:v>
      </x:c>
      <x:c r="F5450" s="13" t="str">
        <x:v>Defensives</x:v>
      </x:c>
      <x:c r="G5450" s="13" t="str">
        <x:v>grid_asitui1y.xlsx</x:v>
      </x:c>
    </x:row>
    <x:row r="5451">
      <x:c r="A5451" s="15" t="n">
        <x:v>42856</x:v>
      </x:c>
      <x:c r="B5451" s="13" t="str">
        <x:v>SMILES FIDELIDADE SA</x:v>
      </x:c>
      <x:c r="C5451" s="16" t="n">
        <x:v>576.904742926</x:v>
      </x:c>
      <x:c r="D5451" s="13" t="str">
        <x:v>TMT</x:v>
      </x:c>
      <x:c r="E5451" s="13" t="str">
        <x:v>TMT</x:v>
      </x:c>
      <x:c r="F5451" s="13" t="str">
        <x:v>Early Cyclicals</x:v>
      </x:c>
      <x:c r="G5451" s="13" t="str">
        <x:v>grid_asitui1y.xlsx</x:v>
      </x:c>
    </x:row>
    <x:row r="5452">
      <x:c r="A5452" s="15" t="n">
        <x:v>42856</x:v>
      </x:c>
      <x:c r="B5452" s="13" t="str">
        <x:v>TELEFONICA BRASIL S.A.-PREF</x:v>
      </x:c>
      <x:c r="C5452" s="16" t="n">
        <x:v>5504.0532760548</x:v>
      </x:c>
      <x:c r="D5452" s="13" t="str">
        <x:v>TMT</x:v>
      </x:c>
      <x:c r="E5452" s="13" t="str">
        <x:v>TMT</x:v>
      </x:c>
      <x:c r="F5452" s="13" t="str">
        <x:v>Early Cyclicals</x:v>
      </x:c>
      <x:c r="G5452" s="13" t="str">
        <x:v>grid_asitui1y.xlsx</x:v>
      </x:c>
    </x:row>
    <x:row r="5453">
      <x:c r="A5453" s="15" t="n">
        <x:v>42856</x:v>
      </x:c>
      <x:c r="B5453" s="13" t="str">
        <x:v>TIM SA</x:v>
      </x:c>
      <x:c r="C5453" s="16" t="n">
        <x:v>1004.1512563726</x:v>
      </x:c>
      <x:c r="D5453" s="13" t="str">
        <x:v>TMT</x:v>
      </x:c>
      <x:c r="E5453" s="13" t="str">
        <x:v>TMT</x:v>
      </x:c>
      <x:c r="F5453" s="13" t="str">
        <x:v>Early Cyclicals</x:v>
      </x:c>
      <x:c r="G5453" s="13" t="str">
        <x:v>grid_asitui1y.xlsx</x:v>
      </x:c>
    </x:row>
    <x:row r="5454">
      <x:c r="A5454" s="15" t="n">
        <x:v>42856</x:v>
      </x:c>
      <x:c r="B5454" s="13" t="str">
        <x:v>ECORODOVIAS INFRA E LOG SA</x:v>
      </x:c>
      <x:c r="C5454" s="16" t="n">
        <x:v>448.7436837699</x:v>
      </x:c>
      <x:c r="D5454" s="13" t="str">
        <x:v>Transportation</x:v>
      </x:c>
      <x:c r="E5454" s="13" t="str">
        <x:v>Transportation</x:v>
      </x:c>
      <x:c r="F5454" s="13" t="str">
        <x:v>Deep Cyclicals</x:v>
      </x:c>
      <x:c r="G5454" s="13" t="str">
        <x:v>grid_asitui1y.xlsx</x:v>
      </x:c>
    </x:row>
    <x:row r="5455">
      <x:c r="A5455" s="15" t="n">
        <x:v>42856</x:v>
      </x:c>
      <x:c r="B5455" s="13" t="str">
        <x:v>LOCALIZA RENT A CAR</x:v>
      </x:c>
      <x:c r="C5455" s="16" t="n">
        <x:v>499.385400811</x:v>
      </x:c>
      <x:c r="D5455" s="13" t="str">
        <x:v>Transportation</x:v>
      </x:c>
      <x:c r="E5455" s="13" t="str">
        <x:v>Transportation</x:v>
      </x:c>
      <x:c r="F5455" s="13" t="str">
        <x:v>Deep Cyclicals</x:v>
      </x:c>
      <x:c r="G5455" s="13" t="str">
        <x:v>grid_asitui1y.xlsx</x:v>
      </x:c>
    </x:row>
    <x:row r="5456">
      <x:c r="A5456" s="15" t="n">
        <x:v>42856</x:v>
      </x:c>
      <x:c r="B5456" s="13" t="str">
        <x:v>MOTIVA INFRAESTRUTURA DE MOB</x:v>
      </x:c>
      <x:c r="C5456" s="16" t="n">
        <x:v>1741.8364328329</x:v>
      </x:c>
      <x:c r="D5456" s="13" t="str">
        <x:v>Transportation</x:v>
      </x:c>
      <x:c r="E5456" s="13" t="str">
        <x:v>Transportation</x:v>
      </x:c>
      <x:c r="F5456" s="13" t="str">
        <x:v>Deep Cyclicals</x:v>
      </x:c>
      <x:c r="G5456" s="13" t="str">
        <x:v>grid_asitui1y.xlsx</x:v>
      </x:c>
    </x:row>
    <x:row r="5457">
      <x:c r="A5457" s="15" t="n">
        <x:v>42856</x:v>
      </x:c>
      <x:c r="B5457" s="13" t="str">
        <x:v>RUMO SA</x:v>
      </x:c>
      <x:c r="C5457" s="16" t="n">
        <x:v>120.0870394521</x:v>
      </x:c>
      <x:c r="D5457" s="13" t="str">
        <x:v>Transportation</x:v>
      </x:c>
      <x:c r="E5457" s="13" t="str">
        <x:v>Transportation</x:v>
      </x:c>
      <x:c r="F5457" s="13" t="str">
        <x:v>Deep Cyclicals</x:v>
      </x:c>
      <x:c r="G5457" s="13" t="str">
        <x:v>grid_asitui1y.xlsx</x:v>
      </x:c>
    </x:row>
    <x:row r="5458">
      <x:c r="A5458" s="15" t="n">
        <x:v>42856</x:v>
      </x:c>
      <x:c r="B5458" s="13" t="str">
        <x:v>AXIA ENERGIA SA</x:v>
      </x:c>
      <x:c r="C5458" s="16" t="n">
        <x:v>1488.8958639342</x:v>
      </x:c>
      <x:c r="D5458" s="13" t="str">
        <x:v>Utilities &amp; Energy</x:v>
      </x:c>
      <x:c r="E5458" s="13" t="str">
        <x:v>Utilities</x:v>
      </x:c>
      <x:c r="F5458" s="13" t="str">
        <x:v>Defensives</x:v>
      </x:c>
      <x:c r="G5458" s="13" t="str">
        <x:v>grid_asitui1y.xlsx</x:v>
      </x:c>
    </x:row>
    <x:row r="5459">
      <x:c r="A5459" s="15" t="n">
        <x:v>42856</x:v>
      </x:c>
      <x:c r="B5459" s="13" t="str">
        <x:v>AXIA ENERGIA-PR B</x:v>
      </x:c>
      <x:c r="C5459" s="16" t="n">
        <x:v>1488.8958639342</x:v>
      </x:c>
      <x:c r="D5459" s="13" t="str">
        <x:v>Utilities &amp; Energy</x:v>
      </x:c>
      <x:c r="E5459" s="13" t="str">
        <x:v>Utilities</x:v>
      </x:c>
      <x:c r="F5459" s="13" t="str">
        <x:v>Defensives</x:v>
      </x:c>
      <x:c r="G5459" s="13" t="str">
        <x:v>grid_asitui1y.xlsx</x:v>
      </x:c>
    </x:row>
    <x:row r="5460">
      <x:c r="A5460" s="15" t="n">
        <x:v>42856</x:v>
      </x:c>
      <x:c r="B5460" s="13" t="str">
        <x:v>CIA ENERGETICA MINAS GER-PRF</x:v>
      </x:c>
      <x:c r="C5460" s="16" t="n">
        <x:v>1508.7991646685</x:v>
      </x:c>
      <x:c r="D5460" s="13" t="str">
        <x:v>Utilities &amp; Energy</x:v>
      </x:c>
      <x:c r="E5460" s="13" t="str">
        <x:v>Utilities</x:v>
      </x:c>
      <x:c r="F5460" s="13" t="str">
        <x:v>Defensives</x:v>
      </x:c>
      <x:c r="G5460" s="13" t="str">
        <x:v>grid_asitui1y.xlsx</x:v>
      </x:c>
    </x:row>
    <x:row r="5461">
      <x:c r="A5461" s="15" t="n">
        <x:v>42856</x:v>
      </x:c>
      <x:c r="B5461" s="13" t="str">
        <x:v>COMPANHIA PARANAENSE -PREF B</x:v>
      </x:c>
      <x:c r="C5461" s="16" t="n">
        <x:v>1238.3642287342</x:v>
      </x:c>
      <x:c r="D5461" s="13" t="str">
        <x:v>Utilities &amp; Energy</x:v>
      </x:c>
      <x:c r="E5461" s="13" t="str">
        <x:v>Utilities</x:v>
      </x:c>
      <x:c r="F5461" s="13" t="str">
        <x:v>Defensives</x:v>
      </x:c>
      <x:c r="G5461" s="13" t="str">
        <x:v>grid_asitui1y.xlsx</x:v>
      </x:c>
    </x:row>
    <x:row r="5462">
      <x:c r="A5462" s="15" t="n">
        <x:v>42856</x:v>
      </x:c>
      <x:c r="B5462" s="13" t="str">
        <x:v>CPFL ENERGIA SA</x:v>
      </x:c>
      <x:c r="C5462" s="16" t="n">
        <x:v>1452.1479904438</x:v>
      </x:c>
      <x:c r="D5462" s="13" t="str">
        <x:v>Utilities &amp; Energy</x:v>
      </x:c>
      <x:c r="E5462" s="13" t="str">
        <x:v>Utilities</x:v>
      </x:c>
      <x:c r="F5462" s="13" t="str">
        <x:v>Defensives</x:v>
      </x:c>
      <x:c r="G5462" s="13" t="str">
        <x:v>grid_asitui1y.xlsx</x:v>
      </x:c>
    </x:row>
    <x:row r="5463">
      <x:c r="A5463" s="15" t="n">
        <x:v>42856</x:v>
      </x:c>
      <x:c r="B5463" s="13" t="str">
        <x:v>EDP - ENERGIAS DO BRASIL SA</x:v>
      </x:c>
      <x:c r="C5463" s="16" t="n">
        <x:v>672.6196942904</x:v>
      </x:c>
      <x:c r="D5463" s="13" t="str">
        <x:v>Utilities &amp; Energy</x:v>
      </x:c>
      <x:c r="E5463" s="13" t="str">
        <x:v>Utilities</x:v>
      </x:c>
      <x:c r="F5463" s="13" t="str">
        <x:v>Defensives</x:v>
      </x:c>
      <x:c r="G5463" s="13" t="str">
        <x:v>grid_asitui1y.xlsx</x:v>
      </x:c>
    </x:row>
    <x:row r="5464">
      <x:c r="A5464" s="15" t="n">
        <x:v>42856</x:v>
      </x:c>
      <x:c r="B5464" s="13" t="str">
        <x:v>ENGIE BRASIL ENERGIA SA</x:v>
      </x:c>
      <x:c r="C5464" s="16" t="n">
        <x:v>1866.4775360877</x:v>
      </x:c>
      <x:c r="D5464" s="13" t="str">
        <x:v>Utilities &amp; Energy</x:v>
      </x:c>
      <x:c r="E5464" s="13" t="str">
        <x:v>Utilities</x:v>
      </x:c>
      <x:c r="F5464" s="13" t="str">
        <x:v>Defensives</x:v>
      </x:c>
      <x:c r="G5464" s="13" t="str">
        <x:v>grid_asitui1y.xlsx</x:v>
      </x:c>
    </x:row>
    <x:row r="5465">
      <x:c r="A5465" s="15" t="n">
        <x:v>42856</x:v>
      </x:c>
      <x:c r="B5465" s="13" t="str">
        <x:v>EQUATORIAL SA - ORD</x:v>
      </x:c>
      <x:c r="C5465" s="16" t="n">
        <x:v>890.4008469041</x:v>
      </x:c>
      <x:c r="D5465" s="13" t="str">
        <x:v>Utilities &amp; Energy</x:v>
      </x:c>
      <x:c r="E5465" s="13" t="str">
        <x:v>Utilities</x:v>
      </x:c>
      <x:c r="F5465" s="13" t="str">
        <x:v>Defensives</x:v>
      </x:c>
      <x:c r="G5465" s="13" t="str">
        <x:v>grid_asitui1y.xlsx</x:v>
      </x:c>
    </x:row>
    <x:row r="5466">
      <x:c r="A5466" s="15" t="n">
        <x:v>42887</x:v>
      </x:c>
      <x:c r="B5466" s="13" t="str">
        <x:v>BANCO BRADESCO S.A.</x:v>
      </x:c>
      <x:c r="C5466" s="16" t="n">
        <x:v>19303.1272195507</x:v>
      </x:c>
      <x:c r="D5466" s="13" t="str">
        <x:v>Banks</x:v>
      </x:c>
      <x:c r="E5466" s="13" t="str">
        <x:v>Banks</x:v>
      </x:c>
      <x:c r="F5466" s="13" t="str">
        <x:v>Financials</x:v>
      </x:c>
      <x:c r="G5466" s="13" t="str">
        <x:v>grid_asitui1y.xlsx</x:v>
      </x:c>
    </x:row>
    <x:row r="5467">
      <x:c r="A5467" s="15" t="n">
        <x:v>42887</x:v>
      </x:c>
      <x:c r="B5467" s="13" t="str">
        <x:v>BANCO BRADESCO SA-PREF</x:v>
      </x:c>
      <x:c r="C5467" s="16" t="n">
        <x:v>19303.1272195507</x:v>
      </x:c>
      <x:c r="D5467" s="13" t="str">
        <x:v>Banks</x:v>
      </x:c>
      <x:c r="E5467" s="13" t="str">
        <x:v>Banks</x:v>
      </x:c>
      <x:c r="F5467" s="13" t="str">
        <x:v>Financials</x:v>
      </x:c>
      <x:c r="G5467" s="13" t="str">
        <x:v>grid_asitui1y.xlsx</x:v>
      </x:c>
    </x:row>
    <x:row r="5468">
      <x:c r="A5468" s="15" t="n">
        <x:v>42887</x:v>
      </x:c>
      <x:c r="B5468" s="13" t="str">
        <x:v>BANCO DO BRASIL S.A.</x:v>
      </x:c>
      <x:c r="C5468" s="16" t="n">
        <x:v>11998.6714904548</x:v>
      </x:c>
      <x:c r="D5468" s="13" t="str">
        <x:v>Banks</x:v>
      </x:c>
      <x:c r="E5468" s="13" t="str">
        <x:v>Banks</x:v>
      </x:c>
      <x:c r="F5468" s="13" t="str">
        <x:v>Financials</x:v>
      </x:c>
      <x:c r="G5468" s="13" t="str">
        <x:v>grid_asitui1y.xlsx</x:v>
      </x:c>
    </x:row>
    <x:row r="5469">
      <x:c r="A5469" s="15" t="n">
        <x:v>42887</x:v>
      </x:c>
      <x:c r="B5469" s="13" t="str">
        <x:v>BANCO SANTANDER  BRASIL-UNIT</x:v>
      </x:c>
      <x:c r="C5469" s="16" t="n">
        <x:v>8940.5037413699</x:v>
      </x:c>
      <x:c r="D5469" s="13" t="str">
        <x:v>Banks</x:v>
      </x:c>
      <x:c r="E5469" s="13" t="str">
        <x:v>Banks</x:v>
      </x:c>
      <x:c r="F5469" s="13" t="str">
        <x:v>Financials</x:v>
      </x:c>
      <x:c r="G5469" s="13" t="str">
        <x:v>grid_asitui1y.xlsx</x:v>
      </x:c>
    </x:row>
    <x:row r="5470">
      <x:c r="A5470" s="15" t="n">
        <x:v>42887</x:v>
      </x:c>
      <x:c r="B5470" s="13" t="str">
        <x:v>ITAU UNIBANCO HOLDING S-PREF</x:v>
      </x:c>
      <x:c r="C5470" s="16" t="n">
        <x:v>24014.385830926</x:v>
      </x:c>
      <x:c r="D5470" s="13" t="str">
        <x:v>Banks</x:v>
      </x:c>
      <x:c r="E5470" s="13" t="str">
        <x:v>Banks</x:v>
      </x:c>
      <x:c r="F5470" s="13" t="str">
        <x:v>Financials</x:v>
      </x:c>
      <x:c r="G5470" s="13" t="str">
        <x:v>grid_asitui1y.xlsx</x:v>
      </x:c>
    </x:row>
    <x:row r="5471">
      <x:c r="A5471" s="15" t="n">
        <x:v>42887</x:v>
      </x:c>
      <x:c r="B5471" s="13" t="str">
        <x:v>EMBRAER SA</x:v>
      </x:c>
      <x:c r="C5471" s="16" t="n">
        <x:v>1091.8597488219</x:v>
      </x:c>
      <x:c r="D5471" s="13" t="str">
        <x:v>Capital Goods</x:v>
      </x:c>
      <x:c r="E5471" s="13" t="str">
        <x:v>Capital Goods</x:v>
      </x:c>
      <x:c r="F5471" s="13" t="str">
        <x:v>Deep Cyclicals</x:v>
      </x:c>
      <x:c r="G5471" s="13" t="str">
        <x:v>grid_asitui1y.xlsx</x:v>
      </x:c>
    </x:row>
    <x:row r="5472">
      <x:c r="A5472" s="15" t="n">
        <x:v>42887</x:v>
      </x:c>
      <x:c r="B5472" s="13" t="str">
        <x:v>WEG SA</x:v>
      </x:c>
      <x:c r="C5472" s="16" t="n">
        <x:v>1280.6780819288</x:v>
      </x:c>
      <x:c r="D5472" s="13" t="str">
        <x:v>Capital Goods</x:v>
      </x:c>
      <x:c r="E5472" s="13" t="str">
        <x:v>Capital Goods</x:v>
      </x:c>
      <x:c r="F5472" s="13" t="str">
        <x:v>Deep Cyclicals</x:v>
      </x:c>
      <x:c r="G5472" s="13" t="str">
        <x:v>grid_asitui1y.xlsx</x:v>
      </x:c>
    </x:row>
    <x:row r="5473">
      <x:c r="A5473" s="15" t="n">
        <x:v>42887</x:v>
      </x:c>
      <x:c r="B5473" s="13" t="str">
        <x:v>COGNA EDUCACAO</x:v>
      </x:c>
      <x:c r="C5473" s="16" t="n">
        <x:v>2166.0809910356</x:v>
      </x:c>
      <x:c r="D5473" s="13" t="str">
        <x:v>Education</x:v>
      </x:c>
      <x:c r="E5473" s="13" t="str">
        <x:v>Education</x:v>
      </x:c>
      <x:c r="F5473" s="13" t="str">
        <x:v>Early Cyclicals</x:v>
      </x:c>
      <x:c r="G5473" s="13" t="str">
        <x:v>grid_asitui1y.xlsx</x:v>
      </x:c>
    </x:row>
    <x:row r="5474">
      <x:c r="A5474" s="15" t="n">
        <x:v>42887</x:v>
      </x:c>
      <x:c r="B5474" s="13" t="str">
        <x:v>YDUQS PARTICIPACOES SA</x:v>
      </x:c>
      <x:c r="C5474" s="16" t="n">
        <x:v>488.2503163616</x:v>
      </x:c>
      <x:c r="D5474" s="13" t="str">
        <x:v>Education</x:v>
      </x:c>
      <x:c r="E5474" s="13" t="str">
        <x:v>Education</x:v>
      </x:c>
      <x:c r="F5474" s="13" t="str">
        <x:v>Early Cyclicals</x:v>
      </x:c>
      <x:c r="G5474" s="13" t="str">
        <x:v>grid_asitui1y.xlsx</x:v>
      </x:c>
    </x:row>
    <x:row r="5475">
      <x:c r="A5475" s="15" t="n">
        <x:v>42887</x:v>
      </x:c>
      <x:c r="B5475" s="13" t="str">
        <x:v>B3 SA-BRASIL BOLSA BALCAO</x:v>
      </x:c>
      <x:c r="C5475" s="16" t="n">
        <x:v>1945.2913972603</x:v>
      </x:c>
      <x:c r="D5475" s="13" t="str">
        <x:v>Financials Non-Banks</x:v>
      </x:c>
      <x:c r="E5475" s="13" t="str">
        <x:v>Financials Non-Banks</x:v>
      </x:c>
      <x:c r="F5475" s="13" t="str">
        <x:v>Financials</x:v>
      </x:c>
      <x:c r="G5475" s="13" t="str">
        <x:v>grid_asitui1y.xlsx</x:v>
      </x:c>
    </x:row>
    <x:row r="5476">
      <x:c r="A5476" s="15" t="n">
        <x:v>42887</x:v>
      </x:c>
      <x:c r="B5476" s="13" t="str">
        <x:v>BB SEGURIDADE PARTICIPACOES</x:v>
      </x:c>
      <x:c r="C5476" s="16" t="n">
        <x:v>4399.4458981699</x:v>
      </x:c>
      <x:c r="D5476" s="13" t="str">
        <x:v>Financials Non-Banks</x:v>
      </x:c>
      <x:c r="E5476" s="13" t="str">
        <x:v>Financials Non-Banks</x:v>
      </x:c>
      <x:c r="F5476" s="13" t="str">
        <x:v>Financials</x:v>
      </x:c>
      <x:c r="G5476" s="13" t="str">
        <x:v>grid_asitui1y.xlsx</x:v>
      </x:c>
    </x:row>
    <x:row r="5477">
      <x:c r="A5477" s="15" t="n">
        <x:v>42887</x:v>
      </x:c>
      <x:c r="B5477" s="13" t="str">
        <x:v>CIELO SA - INSTITUICAO DE PA</x:v>
      </x:c>
      <x:c r="C5477" s="16" t="n">
        <x:v>4493.1340736877</x:v>
      </x:c>
      <x:c r="D5477" s="13" t="str">
        <x:v>Financials Non-Banks</x:v>
      </x:c>
      <x:c r="E5477" s="13" t="str">
        <x:v>Financials Non-Banks</x:v>
      </x:c>
      <x:c r="F5477" s="13" t="str">
        <x:v>Financials</x:v>
      </x:c>
      <x:c r="G5477" s="13" t="str">
        <x:v>grid_asitui1y.xlsx</x:v>
      </x:c>
    </x:row>
    <x:row r="5478">
      <x:c r="A5478" s="15" t="n">
        <x:v>42887</x:v>
      </x:c>
      <x:c r="B5478" s="13" t="str">
        <x:v>ITAUSA SA</x:v>
      </x:c>
      <x:c r="C5478" s="16" t="n">
        <x:v>7937.3341836274</x:v>
      </x:c>
      <x:c r="D5478" s="13" t="str">
        <x:v>Financials Non-Banks</x:v>
      </x:c>
      <x:c r="E5478" s="13" t="str">
        <x:v>Financials Non-Banks</x:v>
      </x:c>
      <x:c r="F5478" s="13" t="str">
        <x:v>Financials</x:v>
      </x:c>
      <x:c r="G5478" s="13" t="str">
        <x:v>grid_asitui1y.xlsx</x:v>
      </x:c>
    </x:row>
    <x:row r="5479">
      <x:c r="A5479" s="15" t="n">
        <x:v>42887</x:v>
      </x:c>
      <x:c r="B5479" s="13" t="str">
        <x:v>AMBEV SA</x:v>
      </x:c>
      <x:c r="C5479" s="16" t="n">
        <x:v>13162.665638926</x:v>
      </x:c>
      <x:c r="D5479" s="13" t="str">
        <x:v>Food &amp; Beverages</x:v>
      </x:c>
      <x:c r="E5479" s="13" t="str">
        <x:v>Agri, Food &amp; Beverages</x:v>
      </x:c>
      <x:c r="F5479" s="13" t="str">
        <x:v>Defensives</x:v>
      </x:c>
      <x:c r="G5479" s="13" t="str">
        <x:v>grid_asitui1y.xlsx</x:v>
      </x:c>
    </x:row>
    <x:row r="5480">
      <x:c r="A5480" s="15" t="n">
        <x:v>42887</x:v>
      </x:c>
      <x:c r="B5480" s="13" t="str">
        <x:v>BRF SA</x:v>
      </x:c>
      <x:c r="C5480" s="16" t="n">
        <x:v>1486.233063452</x:v>
      </x:c>
      <x:c r="D5480" s="13" t="str">
        <x:v>Food &amp; Beverages</x:v>
      </x:c>
      <x:c r="E5480" s="13" t="str">
        <x:v>Agri, Food &amp; Beverages</x:v>
      </x:c>
      <x:c r="F5480" s="13" t="str">
        <x:v>Defensives</x:v>
      </x:c>
      <x:c r="G5480" s="13" t="str">
        <x:v>grid_asitui1y.xlsx</x:v>
      </x:c>
    </x:row>
    <x:row r="5481">
      <x:c r="A5481" s="15" t="n">
        <x:v>42887</x:v>
      </x:c>
      <x:c r="B5481" s="13" t="str">
        <x:v>JBS SA</x:v>
      </x:c>
      <x:c r="C5481" s="16" t="n">
        <x:v>3508.2746571397</x:v>
      </x:c>
      <x:c r="D5481" s="13" t="str">
        <x:v>Food &amp; Beverages</x:v>
      </x:c>
      <x:c r="E5481" s="13" t="str">
        <x:v>Agri, Food &amp; Beverages</x:v>
      </x:c>
      <x:c r="F5481" s="13" t="str">
        <x:v>Defensives</x:v>
      </x:c>
      <x:c r="G5481" s="13" t="str">
        <x:v>grid_asitui1y.xlsx</x:v>
      </x:c>
    </x:row>
    <x:row r="5482">
      <x:c r="A5482" s="15" t="n">
        <x:v>42887</x:v>
      </x:c>
      <x:c r="B5482" s="13" t="str">
        <x:v>MBRF GLOBAL FOODS COMPANY SA</x:v>
      </x:c>
      <x:c r="C5482" s="16" t="n">
        <x:v>50.2071959671</x:v>
      </x:c>
      <x:c r="D5482" s="13" t="str">
        <x:v>Food &amp; Beverages</x:v>
      </x:c>
      <x:c r="E5482" s="13" t="str">
        <x:v>Agri, Food &amp; Beverages</x:v>
      </x:c>
      <x:c r="F5482" s="13" t="str">
        <x:v>Defensives</x:v>
      </x:c>
      <x:c r="G5482" s="13" t="str">
        <x:v>grid_asitui1y.xlsx</x:v>
      </x:c>
    </x:row>
    <x:row r="5483">
      <x:c r="A5483" s="15" t="n">
        <x:v>42887</x:v>
      </x:c>
      <x:c r="B5483" s="13" t="str">
        <x:v>HYPERA SA</x:v>
      </x:c>
      <x:c r="C5483" s="16" t="n">
        <x:v>956.2671391562</x:v>
      </x:c>
      <x:c r="D5483" s="13" t="str">
        <x:v>Health Care</x:v>
      </x:c>
      <x:c r="E5483" s="13" t="str">
        <x:v>Health Care</x:v>
      </x:c>
      <x:c r="F5483" s="13" t="str">
        <x:v>Defensives</x:v>
      </x:c>
      <x:c r="G5483" s="13" t="str">
        <x:v>grid_asitui1y.xlsx</x:v>
      </x:c>
    </x:row>
    <x:row r="5484">
      <x:c r="A5484" s="15" t="n">
        <x:v>42887</x:v>
      </x:c>
      <x:c r="B5484" s="13" t="str">
        <x:v>QUALICORP CONS E CORR SEG SA</x:v>
      </x:c>
      <x:c r="C5484" s="16" t="n">
        <x:v>526.9161643836</x:v>
      </x:c>
      <x:c r="D5484" s="13" t="str">
        <x:v>Health Care</x:v>
      </x:c>
      <x:c r="E5484" s="13" t="str">
        <x:v>Health Care</x:v>
      </x:c>
      <x:c r="F5484" s="13" t="str">
        <x:v>Defensives</x:v>
      </x:c>
      <x:c r="G5484" s="13" t="str">
        <x:v>grid_asitui1y.xlsx</x:v>
      </x:c>
    </x:row>
    <x:row r="5485">
      <x:c r="A5485" s="15" t="n">
        <x:v>42887</x:v>
      </x:c>
      <x:c r="B5485" s="13" t="str">
        <x:v>CYRELA BRAZIL REALTY SA EMP</x:v>
      </x:c>
      <x:c r="C5485" s="16" t="n">
        <x:v>205.0552121863</x:v>
      </x:c>
      <x:c r="D5485" s="13" t="str">
        <x:v>Homebuilders</x:v>
      </x:c>
      <x:c r="E5485" s="13" t="str">
        <x:v>Real Estate</x:v>
      </x:c>
      <x:c r="F5485" s="13" t="str">
        <x:v>Early Cyclicals</x:v>
      </x:c>
      <x:c r="G5485" s="13" t="str">
        <x:v>grid_asitui1y.xlsx</x:v>
      </x:c>
    </x:row>
    <x:row r="5486">
      <x:c r="A5486" s="15" t="n">
        <x:v>42887</x:v>
      </x:c>
      <x:c r="B5486" s="13" t="str">
        <x:v>MRV ENGENHARIA</x:v>
      </x:c>
      <x:c r="C5486" s="16" t="n">
        <x:v>710.6181649534</x:v>
      </x:c>
      <x:c r="D5486" s="13" t="str">
        <x:v>Homebuilders</x:v>
      </x:c>
      <x:c r="E5486" s="13" t="str">
        <x:v>Real Estate</x:v>
      </x:c>
      <x:c r="F5486" s="13" t="str">
        <x:v>Early Cyclicals</x:v>
      </x:c>
      <x:c r="G5486" s="13" t="str">
        <x:v>grid_asitui1y.xlsx</x:v>
      </x:c>
    </x:row>
    <x:row r="5487">
      <x:c r="A5487" s="15" t="n">
        <x:v>42887</x:v>
      </x:c>
      <x:c r="B5487" s="13" t="str">
        <x:v>BR MALLS PARTICIPACOES SA</x:v>
      </x:c>
      <x:c r="C5487" s="16" t="n">
        <x:v>492.575890411</x:v>
      </x:c>
      <x:c r="D5487" s="13" t="str">
        <x:v>Income Properties</x:v>
      </x:c>
      <x:c r="E5487" s="13" t="str">
        <x:v>Real Estate</x:v>
      </x:c>
      <x:c r="F5487" s="13" t="str">
        <x:v>Early Cyclicals</x:v>
      </x:c>
      <x:c r="G5487" s="13" t="str">
        <x:v>grid_asitui1y.xlsx</x:v>
      </x:c>
    </x:row>
    <x:row r="5488">
      <x:c r="A5488" s="15" t="n">
        <x:v>42887</x:v>
      </x:c>
      <x:c r="B5488" s="13" t="str">
        <x:v>MULTIPLAN EMPREENDIMENTOS</x:v>
      </x:c>
      <x:c r="C5488" s="16" t="n">
        <x:v>444.4805479452</x:v>
      </x:c>
      <x:c r="D5488" s="13" t="str">
        <x:v>Income Properties</x:v>
      </x:c>
      <x:c r="E5488" s="13" t="str">
        <x:v>Real Estate</x:v>
      </x:c>
      <x:c r="F5488" s="13" t="str">
        <x:v>Early Cyclicals</x:v>
      </x:c>
      <x:c r="G5488" s="13" t="str">
        <x:v>grid_asitui1y.xlsx</x:v>
      </x:c>
    </x:row>
    <x:row r="5489">
      <x:c r="A5489" s="15" t="n">
        <x:v>42887</x:v>
      </x:c>
      <x:c r="B5489" s="13" t="str">
        <x:v>BRADESPAR SA -PREF</x:v>
      </x:c>
      <x:c r="C5489" s="16" t="n">
        <x:v>1123.6561323836</x:v>
      </x:c>
      <x:c r="D5489" s="13" t="str">
        <x:v>Metals &amp; Mining</x:v>
      </x:c>
      <x:c r="E5489" s="13" t="str">
        <x:v>Metals &amp; Mining</x:v>
      </x:c>
      <x:c r="F5489" s="13" t="str">
        <x:v>Deep Cyclicals</x:v>
      </x:c>
      <x:c r="G5489" s="13" t="str">
        <x:v>grid_asitui1y.xlsx</x:v>
      </x:c>
    </x:row>
    <x:row r="5490">
      <x:c r="A5490" s="15" t="n">
        <x:v>42887</x:v>
      </x:c>
      <x:c r="B5490" s="13" t="str">
        <x:v>CIA SIDERURGICA NACIONAL SA</x:v>
      </x:c>
      <x:c r="C5490" s="16" t="n">
        <x:v>263.0943028164</x:v>
      </x:c>
      <x:c r="D5490" s="13" t="str">
        <x:v>Metals &amp; Mining</x:v>
      </x:c>
      <x:c r="E5490" s="13" t="str">
        <x:v>Metals &amp; Mining</x:v>
      </x:c>
      <x:c r="F5490" s="13" t="str">
        <x:v>Deep Cyclicals</x:v>
      </x:c>
      <x:c r="G5490" s="13" t="str">
        <x:v>grid_asitui1y.xlsx</x:v>
      </x:c>
    </x:row>
    <x:row r="5491">
      <x:c r="A5491" s="15" t="n">
        <x:v>42887</x:v>
      </x:c>
      <x:c r="B5491" s="13" t="str">
        <x:v>GERDAU SA-PREF</x:v>
      </x:c>
      <x:c r="C5491" s="16" t="n">
        <x:v>977.2909736329</x:v>
      </x:c>
      <x:c r="D5491" s="13" t="str">
        <x:v>Metals &amp; Mining</x:v>
      </x:c>
      <x:c r="E5491" s="13" t="str">
        <x:v>Metals &amp; Mining</x:v>
      </x:c>
      <x:c r="F5491" s="13" t="str">
        <x:v>Deep Cyclicals</x:v>
      </x:c>
      <x:c r="G5491" s="13" t="str">
        <x:v>grid_asitui1y.xlsx</x:v>
      </x:c>
    </x:row>
    <x:row r="5492">
      <x:c r="A5492" s="15" t="n">
        <x:v>42887</x:v>
      </x:c>
      <x:c r="B5492" s="13" t="str">
        <x:v>METALURGICA GERDAU SA-PREF</x:v>
      </x:c>
      <x:c r="C5492" s="16" t="n">
        <x:v>1162.4821595178</x:v>
      </x:c>
      <x:c r="D5492" s="13" t="str">
        <x:v>Metals &amp; Mining</x:v>
      </x:c>
      <x:c r="E5492" s="13" t="str">
        <x:v>Metals &amp; Mining</x:v>
      </x:c>
      <x:c r="F5492" s="13" t="str">
        <x:v>Deep Cyclicals</x:v>
      </x:c>
      <x:c r="G5492" s="13" t="str">
        <x:v>grid_asitui1y.xlsx</x:v>
      </x:c>
    </x:row>
    <x:row r="5493">
      <x:c r="A5493" s="15" t="n">
        <x:v>42887</x:v>
      </x:c>
      <x:c r="B5493" s="13" t="str">
        <x:v>USINAS SIDER MINAS GER-PF A</x:v>
      </x:c>
      <x:c r="C5493" s="16" t="n">
        <x:v>109.9145457534</x:v>
      </x:c>
      <x:c r="D5493" s="13" t="str">
        <x:v>Metals &amp; Mining</x:v>
      </x:c>
      <x:c r="E5493" s="13" t="str">
        <x:v>Metals &amp; Mining</x:v>
      </x:c>
      <x:c r="F5493" s="13" t="str">
        <x:v>Deep Cyclicals</x:v>
      </x:c>
      <x:c r="G5493" s="13" t="str">
        <x:v>grid_asitui1y.xlsx</x:v>
      </x:c>
    </x:row>
    <x:row r="5494">
      <x:c r="A5494" s="15" t="n">
        <x:v>42887</x:v>
      </x:c>
      <x:c r="B5494" s="13" t="str">
        <x:v>VALE SA</x:v>
      </x:c>
      <x:c r="C5494" s="16" t="n">
        <x:v>18358.5620164384</x:v>
      </x:c>
      <x:c r="D5494" s="13" t="str">
        <x:v>Metals &amp; Mining</x:v>
      </x:c>
      <x:c r="E5494" s="13" t="str">
        <x:v>Metals &amp; Mining</x:v>
      </x:c>
      <x:c r="F5494" s="13" t="str">
        <x:v>Deep Cyclicals</x:v>
      </x:c>
      <x:c r="G5494" s="13" t="str">
        <x:v>grid_asitui1y.xlsx</x:v>
      </x:c>
    </x:row>
    <x:row r="5495">
      <x:c r="A5495" s="15" t="n">
        <x:v>42887</x:v>
      </x:c>
      <x:c r="B5495" s="13" t="str">
        <x:v>BRASKEM SA-PREF A</x:v>
      </x:c>
      <x:c r="C5495" s="16" t="n">
        <x:v>2944.554867726</x:v>
      </x:c>
      <x:c r="D5495" s="13" t="str">
        <x:v>Oil, Gas &amp; Petrochemicals</x:v>
      </x:c>
      <x:c r="E5495" s="13" t="str">
        <x:v>Oil, Gas &amp; Petrochemicals</x:v>
      </x:c>
      <x:c r="F5495" s="13" t="str">
        <x:v>Deep Cyclicals</x:v>
      </x:c>
      <x:c r="G5495" s="13" t="str">
        <x:v>grid_asitui1y.xlsx</x:v>
      </x:c>
    </x:row>
    <x:row r="5496">
      <x:c r="A5496" s="15" t="n">
        <x:v>42887</x:v>
      </x:c>
      <x:c r="B5496" s="13" t="str">
        <x:v>COSAN SA</x:v>
      </x:c>
      <x:c r="C5496" s="16" t="n">
        <x:v>1050.3292752658</x:v>
      </x:c>
      <x:c r="D5496" s="13" t="str">
        <x:v>Oil, Gas &amp; Petrochemicals</x:v>
      </x:c>
      <x:c r="E5496" s="13" t="str">
        <x:v>Oil, Gas &amp; Petrochemicals</x:v>
      </x:c>
      <x:c r="F5496" s="13" t="str">
        <x:v>Deep Cyclicals</x:v>
      </x:c>
      <x:c r="G5496" s="13" t="str">
        <x:v>grid_asitui1y.xlsx</x:v>
      </x:c>
    </x:row>
    <x:row r="5497">
      <x:c r="A5497" s="15" t="n">
        <x:v>42887</x:v>
      </x:c>
      <x:c r="B5497" s="13" t="str">
        <x:v>PETROBRAS - PETROLEO BRAS</x:v>
      </x:c>
      <x:c r="C5497" s="16" t="n">
        <x:v>18081.3291183342</x:v>
      </x:c>
      <x:c r="D5497" s="13" t="str">
        <x:v>Oil, Gas &amp; Petrochemicals</x:v>
      </x:c>
      <x:c r="E5497" s="13" t="str">
        <x:v>Oil, Gas &amp; Petrochemicals</x:v>
      </x:c>
      <x:c r="F5497" s="13" t="str">
        <x:v>Deep Cyclicals</x:v>
      </x:c>
      <x:c r="G5497" s="13" t="str">
        <x:v>grid_asitui1y.xlsx</x:v>
      </x:c>
    </x:row>
    <x:row r="5498">
      <x:c r="A5498" s="15" t="n">
        <x:v>42887</x:v>
      </x:c>
      <x:c r="B5498" s="13" t="str">
        <x:v>ULTRAPAR PARTICIPACOES SA</x:v>
      </x:c>
      <x:c r="C5498" s="16" t="n">
        <x:v>1808.9309166466</x:v>
      </x:c>
      <x:c r="D5498" s="13" t="str">
        <x:v>Oil, Gas &amp; Petrochemicals</x:v>
      </x:c>
      <x:c r="E5498" s="13" t="str">
        <x:v>Oil, Gas &amp; Petrochemicals</x:v>
      </x:c>
      <x:c r="F5498" s="13" t="str">
        <x:v>Deep Cyclicals</x:v>
      </x:c>
      <x:c r="G5498" s="13" t="str">
        <x:v>grid_asitui1y.xlsx</x:v>
      </x:c>
    </x:row>
    <x:row r="5499">
      <x:c r="A5499" s="15" t="n">
        <x:v>42887</x:v>
      </x:c>
      <x:c r="B5499" s="13" t="str">
        <x:v>FIBRIA CELULOSE S/A</x:v>
      </x:c>
      <x:c r="C5499" s="16" t="n">
        <x:v>1199.7163835616</x:v>
      </x:c>
      <x:c r="D5499" s="13" t="str">
        <x:v>Pulp &amp; Paper</x:v>
      </x:c>
      <x:c r="E5499" s="13" t="str">
        <x:v>Pulp &amp; Paper</x:v>
      </x:c>
      <x:c r="F5499" s="13" t="str">
        <x:v>Deep Cyclicals</x:v>
      </x:c>
      <x:c r="G5499" s="13" t="str">
        <x:v>grid_asitui1y.xlsx</x:v>
      </x:c>
    </x:row>
    <x:row r="5500">
      <x:c r="A5500" s="15" t="n">
        <x:v>42887</x:v>
      </x:c>
      <x:c r="B5500" s="13" t="str">
        <x:v>KLABIN SA - UNIT</x:v>
      </x:c>
      <x:c r="C5500" s="16" t="n">
        <x:v>935.3037459288</x:v>
      </x:c>
      <x:c r="D5500" s="13" t="str">
        <x:v>Pulp &amp; Paper</x:v>
      </x:c>
      <x:c r="E5500" s="13" t="str">
        <x:v>Pulp &amp; Paper</x:v>
      </x:c>
      <x:c r="F5500" s="13" t="str">
        <x:v>Deep Cyclicals</x:v>
      </x:c>
      <x:c r="G5500" s="13" t="str">
        <x:v>grid_asitui1y.xlsx</x:v>
      </x:c>
    </x:row>
    <x:row r="5501">
      <x:c r="A5501" s="15" t="n">
        <x:v>42887</x:v>
      </x:c>
      <x:c r="B5501" s="13" t="str">
        <x:v>SUZANO PAPEL E CELULO-PREF A</x:v>
      </x:c>
      <x:c r="C5501" s="16" t="n">
        <x:v>1401.478112789</x:v>
      </x:c>
      <x:c r="D5501" s="13" t="str">
        <x:v>Pulp &amp; Paper</x:v>
      </x:c>
      <x:c r="E5501" s="13" t="str">
        <x:v>Pulp &amp; Paper</x:v>
      </x:c>
      <x:c r="F5501" s="13" t="str">
        <x:v>Deep Cyclicals</x:v>
      </x:c>
      <x:c r="G5501" s="13" t="str">
        <x:v>grid_asitui1y.xlsx</x:v>
      </x:c>
    </x:row>
    <x:row r="5502">
      <x:c r="A5502" s="15" t="n">
        <x:v>42887</x:v>
      </x:c>
      <x:c r="B5502" s="13" t="str">
        <x:v>CIA BRASILEIRA DE DIS-PREF</x:v>
      </x:c>
      <x:c r="C5502" s="16" t="n">
        <x:v>686.7508436164</x:v>
      </x:c>
      <x:c r="D5502" s="13" t="str">
        <x:v>Retail</x:v>
      </x:c>
      <x:c r="E5502" s="13" t="str">
        <x:v>Retail</x:v>
      </x:c>
      <x:c r="F5502" s="13" t="str">
        <x:v>Early Cyclicals</x:v>
      </x:c>
      <x:c r="G5502" s="13" t="str">
        <x:v>grid_asitui1y.xlsx</x:v>
      </x:c>
    </x:row>
    <x:row r="5503">
      <x:c r="A5503" s="15" t="n">
        <x:v>42887</x:v>
      </x:c>
      <x:c r="B5503" s="13" t="str">
        <x:v>LOJAS AMERICANAS SA-PREF</x:v>
      </x:c>
      <x:c r="C5503" s="16" t="n">
        <x:v>744.9672384877</x:v>
      </x:c>
      <x:c r="D5503" s="13" t="str">
        <x:v>Retail</x:v>
      </x:c>
      <x:c r="E5503" s="13" t="str">
        <x:v>Retail</x:v>
      </x:c>
      <x:c r="F5503" s="13" t="str">
        <x:v>Early Cyclicals</x:v>
      </x:c>
      <x:c r="G5503" s="13" t="str">
        <x:v>grid_asitui1y.xlsx</x:v>
      </x:c>
    </x:row>
    <x:row r="5504">
      <x:c r="A5504" s="15" t="n">
        <x:v>42887</x:v>
      </x:c>
      <x:c r="B5504" s="13" t="str">
        <x:v>LOJAS RENNER S.A.</x:v>
      </x:c>
      <x:c r="C5504" s="16" t="n">
        <x:v>811.464268274</x:v>
      </x:c>
      <x:c r="D5504" s="13" t="str">
        <x:v>Retail</x:v>
      </x:c>
      <x:c r="E5504" s="13" t="str">
        <x:v>Retail</x:v>
      </x:c>
      <x:c r="F5504" s="13" t="str">
        <x:v>Early Cyclicals</x:v>
      </x:c>
      <x:c r="G5504" s="13" t="str">
        <x:v>grid_asitui1y.xlsx</x:v>
      </x:c>
    </x:row>
    <x:row r="5505">
      <x:c r="A5505" s="15" t="n">
        <x:v>42887</x:v>
      </x:c>
      <x:c r="B5505" s="13" t="str">
        <x:v>NATURA COSMETICOS SA</x:v>
      </x:c>
      <x:c r="C5505" s="16" t="n">
        <x:v>618.008076274</x:v>
      </x:c>
      <x:c r="D5505" s="13" t="str">
        <x:v>Retail</x:v>
      </x:c>
      <x:c r="E5505" s="13" t="str">
        <x:v>Retail</x:v>
      </x:c>
      <x:c r="F5505" s="13" t="str">
        <x:v>Early Cyclicals</x:v>
      </x:c>
      <x:c r="G5505" s="13" t="str">
        <x:v>grid_asitui1y.xlsx</x:v>
      </x:c>
    </x:row>
    <x:row r="5506">
      <x:c r="A5506" s="15" t="n">
        <x:v>42887</x:v>
      </x:c>
      <x:c r="B5506" s="13" t="str">
        <x:v>RAIA DROGASIL SA</x:v>
      </x:c>
      <x:c r="C5506" s="16" t="n">
        <x:v>635.614016</x:v>
      </x:c>
      <x:c r="D5506" s="13" t="str">
        <x:v>Retail</x:v>
      </x:c>
      <x:c r="E5506" s="13" t="str">
        <x:v>Retail</x:v>
      </x:c>
      <x:c r="F5506" s="13" t="str">
        <x:v>Early Cyclicals</x:v>
      </x:c>
      <x:c r="G5506" s="13" t="str">
        <x:v>grid_asitui1y.xlsx</x:v>
      </x:c>
    </x:row>
    <x:row r="5507">
      <x:c r="A5507" s="15" t="n">
        <x:v>42887</x:v>
      </x:c>
      <x:c r="B5507" s="13" t="str">
        <x:v>CIA SANEAMENTO BASICO DE SP</x:v>
      </x:c>
      <x:c r="C5507" s="16" t="n">
        <x:v>2891.7506195288</x:v>
      </x:c>
      <x:c r="D5507" s="13" t="str">
        <x:v>Sanitation</x:v>
      </x:c>
      <x:c r="E5507" s="13" t="str">
        <x:v>Utilities</x:v>
      </x:c>
      <x:c r="F5507" s="13" t="str">
        <x:v>Defensives</x:v>
      </x:c>
      <x:c r="G5507" s="13" t="str">
        <x:v>grid_asitui1y.xlsx</x:v>
      </x:c>
    </x:row>
    <x:row r="5508">
      <x:c r="A5508" s="15" t="n">
        <x:v>42887</x:v>
      </x:c>
      <x:c r="B5508" s="13" t="str">
        <x:v>SMILES FIDELIDADE SA</x:v>
      </x:c>
      <x:c r="C5508" s="16" t="n">
        <x:v>586.1156164384</x:v>
      </x:c>
      <x:c r="D5508" s="13" t="str">
        <x:v>TMT</x:v>
      </x:c>
      <x:c r="E5508" s="13" t="str">
        <x:v>TMT</x:v>
      </x:c>
      <x:c r="F5508" s="13" t="str">
        <x:v>Early Cyclicals</x:v>
      </x:c>
      <x:c r="G5508" s="13" t="str">
        <x:v>grid_asitui1y.xlsx</x:v>
      </x:c>
    </x:row>
    <x:row r="5509">
      <x:c r="A5509" s="15" t="n">
        <x:v>42887</x:v>
      </x:c>
      <x:c r="B5509" s="13" t="str">
        <x:v>TELEFONICA BRASIL S.A.-PREF</x:v>
      </x:c>
      <x:c r="C5509" s="16" t="n">
        <x:v>5575.8215083836</x:v>
      </x:c>
      <x:c r="D5509" s="13" t="str">
        <x:v>TMT</x:v>
      </x:c>
      <x:c r="E5509" s="13" t="str">
        <x:v>TMT</x:v>
      </x:c>
      <x:c r="F5509" s="13" t="str">
        <x:v>Early Cyclicals</x:v>
      </x:c>
      <x:c r="G5509" s="13" t="str">
        <x:v>grid_asitui1y.xlsx</x:v>
      </x:c>
    </x:row>
    <x:row r="5510">
      <x:c r="A5510" s="15" t="n">
        <x:v>42887</x:v>
      </x:c>
      <x:c r="B5510" s="13" t="str">
        <x:v>TIM SA</x:v>
      </x:c>
      <x:c r="C5510" s="16" t="n">
        <x:v>1027.8819198247</x:v>
      </x:c>
      <x:c r="D5510" s="13" t="str">
        <x:v>TMT</x:v>
      </x:c>
      <x:c r="E5510" s="13" t="str">
        <x:v>TMT</x:v>
      </x:c>
      <x:c r="F5510" s="13" t="str">
        <x:v>Early Cyclicals</x:v>
      </x:c>
      <x:c r="G5510" s="13" t="str">
        <x:v>grid_asitui1y.xlsx</x:v>
      </x:c>
    </x:row>
    <x:row r="5511">
      <x:c r="A5511" s="15" t="n">
        <x:v>42887</x:v>
      </x:c>
      <x:c r="B5511" s="13" t="str">
        <x:v>ECORODOVIAS INFRA E LOG SA</x:v>
      </x:c>
      <x:c r="C5511" s="16" t="n">
        <x:v>457.9276712329</x:v>
      </x:c>
      <x:c r="D5511" s="13" t="str">
        <x:v>Transportation</x:v>
      </x:c>
      <x:c r="E5511" s="13" t="str">
        <x:v>Transportation</x:v>
      </x:c>
      <x:c r="F5511" s="13" t="str">
        <x:v>Deep Cyclicals</x:v>
      </x:c>
      <x:c r="G5511" s="13" t="str">
        <x:v>grid_asitui1y.xlsx</x:v>
      </x:c>
    </x:row>
    <x:row r="5512">
      <x:c r="A5512" s="15" t="n">
        <x:v>42887</x:v>
      </x:c>
      <x:c r="B5512" s="13" t="str">
        <x:v>LOCALIZA RENT A CAR</x:v>
      </x:c>
      <x:c r="C5512" s="16" t="n">
        <x:v>505.6046632329</x:v>
      </x:c>
      <x:c r="D5512" s="13" t="str">
        <x:v>Transportation</x:v>
      </x:c>
      <x:c r="E5512" s="13" t="str">
        <x:v>Transportation</x:v>
      </x:c>
      <x:c r="F5512" s="13" t="str">
        <x:v>Deep Cyclicals</x:v>
      </x:c>
      <x:c r="G5512" s="13" t="str">
        <x:v>grid_asitui1y.xlsx</x:v>
      </x:c>
    </x:row>
    <x:row r="5513">
      <x:c r="A5513" s="15" t="n">
        <x:v>42887</x:v>
      </x:c>
      <x:c r="B5513" s="13" t="str">
        <x:v>MOTIVA INFRAESTRUTURA DE MOB</x:v>
      </x:c>
      <x:c r="C5513" s="16" t="n">
        <x:v>1804.5580003945</x:v>
      </x:c>
      <x:c r="D5513" s="13" t="str">
        <x:v>Transportation</x:v>
      </x:c>
      <x:c r="E5513" s="13" t="str">
        <x:v>Transportation</x:v>
      </x:c>
      <x:c r="F5513" s="13" t="str">
        <x:v>Deep Cyclicals</x:v>
      </x:c>
      <x:c r="G5513" s="13" t="str">
        <x:v>grid_asitui1y.xlsx</x:v>
      </x:c>
    </x:row>
    <x:row r="5514">
      <x:c r="A5514" s="15" t="n">
        <x:v>42887</x:v>
      </x:c>
      <x:c r="B5514" s="13" t="str">
        <x:v>RUMO SA</x:v>
      </x:c>
      <x:c r="C5514" s="16" t="n">
        <x:v>111.8191275836</x:v>
      </x:c>
      <x:c r="D5514" s="13" t="str">
        <x:v>Transportation</x:v>
      </x:c>
      <x:c r="E5514" s="13" t="str">
        <x:v>Transportation</x:v>
      </x:c>
      <x:c r="F5514" s="13" t="str">
        <x:v>Deep Cyclicals</x:v>
      </x:c>
      <x:c r="G5514" s="13" t="str">
        <x:v>grid_asitui1y.xlsx</x:v>
      </x:c>
    </x:row>
    <x:row r="5515">
      <x:c r="A5515" s="15" t="n">
        <x:v>42887</x:v>
      </x:c>
      <x:c r="B5515" s="13" t="str">
        <x:v>AXIA ENERGIA SA</x:v>
      </x:c>
      <x:c r="C5515" s="16" t="n">
        <x:v>3924.3287509918</x:v>
      </x:c>
      <x:c r="D5515" s="13" t="str">
        <x:v>Utilities &amp; Energy</x:v>
      </x:c>
      <x:c r="E5515" s="13" t="str">
        <x:v>Utilities</x:v>
      </x:c>
      <x:c r="F5515" s="13" t="str">
        <x:v>Defensives</x:v>
      </x:c>
      <x:c r="G5515" s="13" t="str">
        <x:v>grid_asitui1y.xlsx</x:v>
      </x:c>
    </x:row>
    <x:row r="5516">
      <x:c r="A5516" s="15" t="n">
        <x:v>42887</x:v>
      </x:c>
      <x:c r="B5516" s="13" t="str">
        <x:v>AXIA ENERGIA-PR B</x:v>
      </x:c>
      <x:c r="C5516" s="16" t="n">
        <x:v>3924.3287509918</x:v>
      </x:c>
      <x:c r="D5516" s="13" t="str">
        <x:v>Utilities &amp; Energy</x:v>
      </x:c>
      <x:c r="E5516" s="13" t="str">
        <x:v>Utilities</x:v>
      </x:c>
      <x:c r="F5516" s="13" t="str">
        <x:v>Defensives</x:v>
      </x:c>
      <x:c r="G5516" s="13" t="str">
        <x:v>grid_asitui1y.xlsx</x:v>
      </x:c>
    </x:row>
    <x:row r="5517">
      <x:c r="A5517" s="15" t="n">
        <x:v>42887</x:v>
      </x:c>
      <x:c r="B5517" s="13" t="str">
        <x:v>CIA ENERGETICA MINAS GER-PRF</x:v>
      </x:c>
      <x:c r="C5517" s="16" t="n">
        <x:v>1488.3138710795</x:v>
      </x:c>
      <x:c r="D5517" s="13" t="str">
        <x:v>Utilities &amp; Energy</x:v>
      </x:c>
      <x:c r="E5517" s="13" t="str">
        <x:v>Utilities</x:v>
      </x:c>
      <x:c r="F5517" s="13" t="str">
        <x:v>Defensives</x:v>
      </x:c>
      <x:c r="G5517" s="13" t="str">
        <x:v>grid_asitui1y.xlsx</x:v>
      </x:c>
    </x:row>
    <x:row r="5518">
      <x:c r="A5518" s="15" t="n">
        <x:v>42887</x:v>
      </x:c>
      <x:c r="B5518" s="13" t="str">
        <x:v>COMPANHIA PARANAENSE -PREF B</x:v>
      </x:c>
      <x:c r="C5518" s="16" t="n">
        <x:v>1277.1077326904</x:v>
      </x:c>
      <x:c r="D5518" s="13" t="str">
        <x:v>Utilities &amp; Energy</x:v>
      </x:c>
      <x:c r="E5518" s="13" t="str">
        <x:v>Utilities</x:v>
      </x:c>
      <x:c r="F5518" s="13" t="str">
        <x:v>Defensives</x:v>
      </x:c>
      <x:c r="G5518" s="13" t="str">
        <x:v>grid_asitui1y.xlsx</x:v>
      </x:c>
    </x:row>
    <x:row r="5519">
      <x:c r="A5519" s="15" t="n">
        <x:v>42887</x:v>
      </x:c>
      <x:c r="B5519" s="13" t="str">
        <x:v>CPFL ENERGIA SA</x:v>
      </x:c>
      <x:c r="C5519" s="16" t="n">
        <x:v>1493.7959062795</x:v>
      </x:c>
      <x:c r="D5519" s="13" t="str">
        <x:v>Utilities &amp; Energy</x:v>
      </x:c>
      <x:c r="E5519" s="13" t="str">
        <x:v>Utilities</x:v>
      </x:c>
      <x:c r="F5519" s="13" t="str">
        <x:v>Defensives</x:v>
      </x:c>
      <x:c r="G5519" s="13" t="str">
        <x:v>grid_asitui1y.xlsx</x:v>
      </x:c>
    </x:row>
    <x:row r="5520">
      <x:c r="A5520" s="15" t="n">
        <x:v>42887</x:v>
      </x:c>
      <x:c r="B5520" s="13" t="str">
        <x:v>EDP - ENERGIAS DO BRASIL SA</x:v>
      </x:c>
      <x:c r="C5520" s="16" t="n">
        <x:v>693.1841948055</x:v>
      </x:c>
      <x:c r="D5520" s="13" t="str">
        <x:v>Utilities &amp; Energy</x:v>
      </x:c>
      <x:c r="E5520" s="13" t="str">
        <x:v>Utilities</x:v>
      </x:c>
      <x:c r="F5520" s="13" t="str">
        <x:v>Defensives</x:v>
      </x:c>
      <x:c r="G5520" s="13" t="str">
        <x:v>grid_asitui1y.xlsx</x:v>
      </x:c>
    </x:row>
    <x:row r="5521">
      <x:c r="A5521" s="15" t="n">
        <x:v>42887</x:v>
      </x:c>
      <x:c r="B5521" s="13" t="str">
        <x:v>ENGIE BRASIL ENERGIA SA</x:v>
      </x:c>
      <x:c r="C5521" s="16" t="n">
        <x:v>1849.9836394959</x:v>
      </x:c>
      <x:c r="D5521" s="13" t="str">
        <x:v>Utilities &amp; Energy</x:v>
      </x:c>
      <x:c r="E5521" s="13" t="str">
        <x:v>Utilities</x:v>
      </x:c>
      <x:c r="F5521" s="13" t="str">
        <x:v>Defensives</x:v>
      </x:c>
      <x:c r="G5521" s="13" t="str">
        <x:v>grid_asitui1y.xlsx</x:v>
      </x:c>
    </x:row>
    <x:row r="5522">
      <x:c r="A5522" s="15" t="n">
        <x:v>42887</x:v>
      </x:c>
      <x:c r="B5522" s="13" t="str">
        <x:v>EQUATORIAL SA - ORD</x:v>
      </x:c>
      <x:c r="C5522" s="16" t="n">
        <x:v>799.414202389</x:v>
      </x:c>
      <x:c r="D5522" s="13" t="str">
        <x:v>Utilities &amp; Energy</x:v>
      </x:c>
      <x:c r="E5522" s="13" t="str">
        <x:v>Utilities</x:v>
      </x:c>
      <x:c r="F5522" s="13" t="str">
        <x:v>Defensives</x:v>
      </x:c>
      <x:c r="G5522" s="13" t="str">
        <x:v>grid_asitui1y.xlsx</x:v>
      </x:c>
    </x:row>
    <x:row r="5523">
      <x:c r="A5523" s="15" t="n">
        <x:v>42917</x:v>
      </x:c>
      <x:c r="B5523" s="13" t="str">
        <x:v>BANCO BRADESCO S.A.</x:v>
      </x:c>
      <x:c r="C5523" s="16" t="n">
        <x:v>19616.9496042959</x:v>
      </x:c>
      <x:c r="D5523" s="13" t="str">
        <x:v>Banks</x:v>
      </x:c>
      <x:c r="E5523" s="13" t="str">
        <x:v>Banks</x:v>
      </x:c>
      <x:c r="F5523" s="13" t="str">
        <x:v>Financials</x:v>
      </x:c>
      <x:c r="G5523" s="13" t="str">
        <x:v>grid_asitui1y.xlsx</x:v>
      </x:c>
    </x:row>
    <x:row r="5524">
      <x:c r="A5524" s="15" t="n">
        <x:v>42917</x:v>
      </x:c>
      <x:c r="B5524" s="13" t="str">
        <x:v>BANCO BRADESCO SA-PREF</x:v>
      </x:c>
      <x:c r="C5524" s="16" t="n">
        <x:v>19616.9496042959</x:v>
      </x:c>
      <x:c r="D5524" s="13" t="str">
        <x:v>Banks</x:v>
      </x:c>
      <x:c r="E5524" s="13" t="str">
        <x:v>Banks</x:v>
      </x:c>
      <x:c r="F5524" s="13" t="str">
        <x:v>Financials</x:v>
      </x:c>
      <x:c r="G5524" s="13" t="str">
        <x:v>grid_asitui1y.xlsx</x:v>
      </x:c>
    </x:row>
    <x:row r="5525">
      <x:c r="A5525" s="15" t="n">
        <x:v>42917</x:v>
      </x:c>
      <x:c r="B5525" s="13" t="str">
        <x:v>BANCO DO BRASIL S.A.</x:v>
      </x:c>
      <x:c r="C5525" s="16" t="n">
        <x:v>12090.0317969534</x:v>
      </x:c>
      <x:c r="D5525" s="13" t="str">
        <x:v>Banks</x:v>
      </x:c>
      <x:c r="E5525" s="13" t="str">
        <x:v>Banks</x:v>
      </x:c>
      <x:c r="F5525" s="13" t="str">
        <x:v>Financials</x:v>
      </x:c>
      <x:c r="G5525" s="13" t="str">
        <x:v>grid_asitui1y.xlsx</x:v>
      </x:c>
    </x:row>
    <x:row r="5526">
      <x:c r="A5526" s="15" t="n">
        <x:v>42917</x:v>
      </x:c>
      <x:c r="B5526" s="13" t="str">
        <x:v>BANCO SANTANDER  BRASIL-UNIT</x:v>
      </x:c>
      <x:c r="C5526" s="16" t="n">
        <x:v>9197.6612148603</x:v>
      </x:c>
      <x:c r="D5526" s="13" t="str">
        <x:v>Banks</x:v>
      </x:c>
      <x:c r="E5526" s="13" t="str">
        <x:v>Banks</x:v>
      </x:c>
      <x:c r="F5526" s="13" t="str">
        <x:v>Financials</x:v>
      </x:c>
      <x:c r="G5526" s="13" t="str">
        <x:v>grid_asitui1y.xlsx</x:v>
      </x:c>
    </x:row>
    <x:row r="5527">
      <x:c r="A5527" s="15" t="n">
        <x:v>42917</x:v>
      </x:c>
      <x:c r="B5527" s="13" t="str">
        <x:v>ITAU UNIBANCO HOLDING S-PREF</x:v>
      </x:c>
      <x:c r="C5527" s="16" t="n">
        <x:v>23962.5147041315</x:v>
      </x:c>
      <x:c r="D5527" s="13" t="str">
        <x:v>Banks</x:v>
      </x:c>
      <x:c r="E5527" s="13" t="str">
        <x:v>Banks</x:v>
      </x:c>
      <x:c r="F5527" s="13" t="str">
        <x:v>Financials</x:v>
      </x:c>
      <x:c r="G5527" s="13" t="str">
        <x:v>grid_asitui1y.xlsx</x:v>
      </x:c>
    </x:row>
    <x:row r="5528">
      <x:c r="A5528" s="15" t="n">
        <x:v>42917</x:v>
      </x:c>
      <x:c r="B5528" s="13" t="str">
        <x:v>EMBRAER SA</x:v>
      </x:c>
      <x:c r="C5528" s="16" t="n">
        <x:v>1124.2716598356</x:v>
      </x:c>
      <x:c r="D5528" s="13" t="str">
        <x:v>Capital Goods</x:v>
      </x:c>
      <x:c r="E5528" s="13" t="str">
        <x:v>Capital Goods</x:v>
      </x:c>
      <x:c r="F5528" s="13" t="str">
        <x:v>Deep Cyclicals</x:v>
      </x:c>
      <x:c r="G5528" s="13" t="str">
        <x:v>grid_asitui1y.xlsx</x:v>
      </x:c>
    </x:row>
    <x:row r="5529">
      <x:c r="A5529" s="15" t="n">
        <x:v>42917</x:v>
      </x:c>
      <x:c r="B5529" s="13" t="str">
        <x:v>WEG SA</x:v>
      </x:c>
      <x:c r="C5529" s="16" t="n">
        <x:v>1284.8281003836</x:v>
      </x:c>
      <x:c r="D5529" s="13" t="str">
        <x:v>Capital Goods</x:v>
      </x:c>
      <x:c r="E5529" s="13" t="str">
        <x:v>Capital Goods</x:v>
      </x:c>
      <x:c r="F5529" s="13" t="str">
        <x:v>Deep Cyclicals</x:v>
      </x:c>
      <x:c r="G5529" s="13" t="str">
        <x:v>grid_asitui1y.xlsx</x:v>
      </x:c>
    </x:row>
    <x:row r="5530">
      <x:c r="A5530" s="15" t="n">
        <x:v>42917</x:v>
      </x:c>
      <x:c r="B5530" s="13" t="str">
        <x:v>COGNA EDUCACAO</x:v>
      </x:c>
      <x:c r="C5530" s="16" t="n">
        <x:v>2175.7883349918</x:v>
      </x:c>
      <x:c r="D5530" s="13" t="str">
        <x:v>Education</x:v>
      </x:c>
      <x:c r="E5530" s="13" t="str">
        <x:v>Education</x:v>
      </x:c>
      <x:c r="F5530" s="13" t="str">
        <x:v>Early Cyclicals</x:v>
      </x:c>
      <x:c r="G5530" s="13" t="str">
        <x:v>grid_asitui1y.xlsx</x:v>
      </x:c>
    </x:row>
    <x:row r="5531">
      <x:c r="A5531" s="15" t="n">
        <x:v>42917</x:v>
      </x:c>
      <x:c r="B5531" s="13" t="str">
        <x:v>YDUQS PARTICIPACOES SA</x:v>
      </x:c>
      <x:c r="C5531" s="16" t="n">
        <x:v>508.2406933918</x:v>
      </x:c>
      <x:c r="D5531" s="13" t="str">
        <x:v>Education</x:v>
      </x:c>
      <x:c r="E5531" s="13" t="str">
        <x:v>Education</x:v>
      </x:c>
      <x:c r="F5531" s="13" t="str">
        <x:v>Early Cyclicals</x:v>
      </x:c>
      <x:c r="G5531" s="13" t="str">
        <x:v>grid_asitui1y.xlsx</x:v>
      </x:c>
    </x:row>
    <x:row r="5532">
      <x:c r="A5532" s="15" t="n">
        <x:v>42917</x:v>
      </x:c>
      <x:c r="B5532" s="13" t="str">
        <x:v>B3 SA-BRASIL BOLSA BALCAO</x:v>
      </x:c>
      <x:c r="C5532" s="16" t="n">
        <x:v>2010.0794788822</x:v>
      </x:c>
      <x:c r="D5532" s="13" t="str">
        <x:v>Financials Non-Banks</x:v>
      </x:c>
      <x:c r="E5532" s="13" t="str">
        <x:v>Financials Non-Banks</x:v>
      </x:c>
      <x:c r="F5532" s="13" t="str">
        <x:v>Financials</x:v>
      </x:c>
      <x:c r="G5532" s="13" t="str">
        <x:v>grid_asitui1y.xlsx</x:v>
      </x:c>
    </x:row>
    <x:row r="5533">
      <x:c r="A5533" s="15" t="n">
        <x:v>42917</x:v>
      </x:c>
      <x:c r="B5533" s="13" t="str">
        <x:v>BB SEGURIDADE PARTICIPACOES</x:v>
      </x:c>
      <x:c r="C5533" s="16" t="n">
        <x:v>4410.7474270685</x:v>
      </x:c>
      <x:c r="D5533" s="13" t="str">
        <x:v>Financials Non-Banks</x:v>
      </x:c>
      <x:c r="E5533" s="13" t="str">
        <x:v>Financials Non-Banks</x:v>
      </x:c>
      <x:c r="F5533" s="13" t="str">
        <x:v>Financials</x:v>
      </x:c>
      <x:c r="G5533" s="13" t="str">
        <x:v>grid_asitui1y.xlsx</x:v>
      </x:c>
    </x:row>
    <x:row r="5534">
      <x:c r="A5534" s="15" t="n">
        <x:v>42917</x:v>
      </x:c>
      <x:c r="B5534" s="13" t="str">
        <x:v>CIELO SA - INSTITUICAO DE PA</x:v>
      </x:c>
      <x:c r="C5534" s="16" t="n">
        <x:v>4579.2766400877</x:v>
      </x:c>
      <x:c r="D5534" s="13" t="str">
        <x:v>Financials Non-Banks</x:v>
      </x:c>
      <x:c r="E5534" s="13" t="str">
        <x:v>Financials Non-Banks</x:v>
      </x:c>
      <x:c r="F5534" s="13" t="str">
        <x:v>Financials</x:v>
      </x:c>
      <x:c r="G5534" s="13" t="str">
        <x:v>grid_asitui1y.xlsx</x:v>
      </x:c>
    </x:row>
    <x:row r="5535">
      <x:c r="A5535" s="15" t="n">
        <x:v>42917</x:v>
      </x:c>
      <x:c r="B5535" s="13" t="str">
        <x:v>ITAUSA SA</x:v>
      </x:c>
      <x:c r="C5535" s="16" t="n">
        <x:v>8009.7725944986</x:v>
      </x:c>
      <x:c r="D5535" s="13" t="str">
        <x:v>Financials Non-Banks</x:v>
      </x:c>
      <x:c r="E5535" s="13" t="str">
        <x:v>Financials Non-Banks</x:v>
      </x:c>
      <x:c r="F5535" s="13" t="str">
        <x:v>Financials</x:v>
      </x:c>
      <x:c r="G5535" s="13" t="str">
        <x:v>grid_asitui1y.xlsx</x:v>
      </x:c>
    </x:row>
    <x:row r="5536">
      <x:c r="A5536" s="15" t="n">
        <x:v>42917</x:v>
      </x:c>
      <x:c r="B5536" s="13" t="str">
        <x:v>AMBEV SA</x:v>
      </x:c>
      <x:c r="C5536" s="16" t="n">
        <x:v>13048.8806470137</x:v>
      </x:c>
      <x:c r="D5536" s="13" t="str">
        <x:v>Food &amp; Beverages</x:v>
      </x:c>
      <x:c r="E5536" s="13" t="str">
        <x:v>Agri, Food &amp; Beverages</x:v>
      </x:c>
      <x:c r="F5536" s="13" t="str">
        <x:v>Defensives</x:v>
      </x:c>
      <x:c r="G5536" s="13" t="str">
        <x:v>grid_asitui1y.xlsx</x:v>
      </x:c>
    </x:row>
    <x:row r="5537">
      <x:c r="A5537" s="15" t="n">
        <x:v>42917</x:v>
      </x:c>
      <x:c r="B5537" s="13" t="str">
        <x:v>BRF SA</x:v>
      </x:c>
      <x:c r="C5537" s="16" t="n">
        <x:v>1121.3603990794</x:v>
      </x:c>
      <x:c r="D5537" s="13" t="str">
        <x:v>Food &amp; Beverages</x:v>
      </x:c>
      <x:c r="E5537" s="13" t="str">
        <x:v>Agri, Food &amp; Beverages</x:v>
      </x:c>
      <x:c r="F5537" s="13" t="str">
        <x:v>Defensives</x:v>
      </x:c>
      <x:c r="G5537" s="13" t="str">
        <x:v>grid_asitui1y.xlsx</x:v>
      </x:c>
    </x:row>
    <x:row r="5538">
      <x:c r="A5538" s="15" t="n">
        <x:v>42917</x:v>
      </x:c>
      <x:c r="B5538" s="13" t="str">
        <x:v>JBS SA</x:v>
      </x:c>
      <x:c r="C5538" s="16" t="n">
        <x:v>3333.0052032877</x:v>
      </x:c>
      <x:c r="D5538" s="13" t="str">
        <x:v>Food &amp; Beverages</x:v>
      </x:c>
      <x:c r="E5538" s="13" t="str">
        <x:v>Agri, Food &amp; Beverages</x:v>
      </x:c>
      <x:c r="F5538" s="13" t="str">
        <x:v>Defensives</x:v>
      </x:c>
      <x:c r="G5538" s="13" t="str">
        <x:v>grid_asitui1y.xlsx</x:v>
      </x:c>
    </x:row>
    <x:row r="5539">
      <x:c r="A5539" s="15" t="n">
        <x:v>42917</x:v>
      </x:c>
      <x:c r="B5539" s="13" t="str">
        <x:v>MBRF GLOBAL FOODS COMPANY SA</x:v>
      </x:c>
      <x:c r="C5539" s="16" t="n">
        <x:v>57.006432263</x:v>
      </x:c>
      <x:c r="D5539" s="13" t="str">
        <x:v>Food &amp; Beverages</x:v>
      </x:c>
      <x:c r="E5539" s="13" t="str">
        <x:v>Agri, Food &amp; Beverages</x:v>
      </x:c>
      <x:c r="F5539" s="13" t="str">
        <x:v>Defensives</x:v>
      </x:c>
      <x:c r="G5539" s="13" t="str">
        <x:v>grid_asitui1y.xlsx</x:v>
      </x:c>
    </x:row>
    <x:row r="5540">
      <x:c r="A5540" s="15" t="n">
        <x:v>42917</x:v>
      </x:c>
      <x:c r="B5540" s="13" t="str">
        <x:v>HYPERA SA</x:v>
      </x:c>
      <x:c r="C5540" s="16" t="n">
        <x:v>952.4922008548</x:v>
      </x:c>
      <x:c r="D5540" s="13" t="str">
        <x:v>Health Care</x:v>
      </x:c>
      <x:c r="E5540" s="13" t="str">
        <x:v>Health Care</x:v>
      </x:c>
      <x:c r="F5540" s="13" t="str">
        <x:v>Defensives</x:v>
      </x:c>
      <x:c r="G5540" s="13" t="str">
        <x:v>grid_asitui1y.xlsx</x:v>
      </x:c>
    </x:row>
    <x:row r="5541">
      <x:c r="A5541" s="15" t="n">
        <x:v>42917</x:v>
      </x:c>
      <x:c r="B5541" s="13" t="str">
        <x:v>QUALICORP CONS E CORR SEG SA</x:v>
      </x:c>
      <x:c r="C5541" s="16" t="n">
        <x:v>552.4164383562</x:v>
      </x:c>
      <x:c r="D5541" s="13" t="str">
        <x:v>Health Care</x:v>
      </x:c>
      <x:c r="E5541" s="13" t="str">
        <x:v>Health Care</x:v>
      </x:c>
      <x:c r="F5541" s="13" t="str">
        <x:v>Defensives</x:v>
      </x:c>
      <x:c r="G5541" s="13" t="str">
        <x:v>grid_asitui1y.xlsx</x:v>
      </x:c>
    </x:row>
    <x:row r="5542">
      <x:c r="A5542" s="15" t="n">
        <x:v>42917</x:v>
      </x:c>
      <x:c r="B5542" s="13" t="str">
        <x:v>CYRELA BRAZIL REALTY SA EMP</x:v>
      </x:c>
      <x:c r="C5542" s="16" t="n">
        <x:v>155.9141296</x:v>
      </x:c>
      <x:c r="D5542" s="13" t="str">
        <x:v>Homebuilders</x:v>
      </x:c>
      <x:c r="E5542" s="13" t="str">
        <x:v>Real Estate</x:v>
      </x:c>
      <x:c r="F5542" s="13" t="str">
        <x:v>Early Cyclicals</x:v>
      </x:c>
      <x:c r="G5542" s="13" t="str">
        <x:v>grid_asitui1y.xlsx</x:v>
      </x:c>
    </x:row>
    <x:row r="5543">
      <x:c r="A5543" s="15" t="n">
        <x:v>42917</x:v>
      </x:c>
      <x:c r="B5543" s="13" t="str">
        <x:v>MRV ENGENHARIA</x:v>
      </x:c>
      <x:c r="C5543" s="16" t="n">
        <x:v>713.3437096329</x:v>
      </x:c>
      <x:c r="D5543" s="13" t="str">
        <x:v>Homebuilders</x:v>
      </x:c>
      <x:c r="E5543" s="13" t="str">
        <x:v>Real Estate</x:v>
      </x:c>
      <x:c r="F5543" s="13" t="str">
        <x:v>Early Cyclicals</x:v>
      </x:c>
      <x:c r="G5543" s="13" t="str">
        <x:v>grid_asitui1y.xlsx</x:v>
      </x:c>
    </x:row>
    <x:row r="5544">
      <x:c r="A5544" s="15" t="n">
        <x:v>42917</x:v>
      </x:c>
      <x:c r="B5544" s="13" t="str">
        <x:v>BR MALLS PARTICIPACOES SA</x:v>
      </x:c>
      <x:c r="C5544" s="16" t="n">
        <x:v>513.3928952986</x:v>
      </x:c>
      <x:c r="D5544" s="13" t="str">
        <x:v>Income Properties</x:v>
      </x:c>
      <x:c r="E5544" s="13" t="str">
        <x:v>Real Estate</x:v>
      </x:c>
      <x:c r="F5544" s="13" t="str">
        <x:v>Early Cyclicals</x:v>
      </x:c>
      <x:c r="G5544" s="13" t="str">
        <x:v>grid_asitui1y.xlsx</x:v>
      </x:c>
    </x:row>
    <x:row r="5545">
      <x:c r="A5545" s="15" t="n">
        <x:v>42917</x:v>
      </x:c>
      <x:c r="B5545" s="13" t="str">
        <x:v>MULTIPLAN EMPREENDIMENTOS</x:v>
      </x:c>
      <x:c r="C5545" s="16" t="n">
        <x:v>457.5687671233</x:v>
      </x:c>
      <x:c r="D5545" s="13" t="str">
        <x:v>Income Properties</x:v>
      </x:c>
      <x:c r="E5545" s="13" t="str">
        <x:v>Real Estate</x:v>
      </x:c>
      <x:c r="F5545" s="13" t="str">
        <x:v>Early Cyclicals</x:v>
      </x:c>
      <x:c r="G5545" s="13" t="str">
        <x:v>grid_asitui1y.xlsx</x:v>
      </x:c>
    </x:row>
    <x:row r="5546">
      <x:c r="A5546" s="15" t="n">
        <x:v>42917</x:v>
      </x:c>
      <x:c r="B5546" s="13" t="str">
        <x:v>BRADESPAR SA -PREF</x:v>
      </x:c>
      <x:c r="C5546" s="16" t="n">
        <x:v>1228.7520785534</x:v>
      </x:c>
      <x:c r="D5546" s="13" t="str">
        <x:v>Metals &amp; Mining</x:v>
      </x:c>
      <x:c r="E5546" s="13" t="str">
        <x:v>Metals &amp; Mining</x:v>
      </x:c>
      <x:c r="F5546" s="13" t="str">
        <x:v>Deep Cyclicals</x:v>
      </x:c>
      <x:c r="G5546" s="13" t="str">
        <x:v>grid_asitui1y.xlsx</x:v>
      </x:c>
    </x:row>
    <x:row r="5547">
      <x:c r="A5547" s="15" t="n">
        <x:v>42917</x:v>
      </x:c>
      <x:c r="B5547" s="13" t="str">
        <x:v>CIA SIDERURGICA NACIONAL SA</x:v>
      </x:c>
      <x:c r="C5547" s="16" t="n">
        <x:v>289.2091888219</x:v>
      </x:c>
      <x:c r="D5547" s="13" t="str">
        <x:v>Metals &amp; Mining</x:v>
      </x:c>
      <x:c r="E5547" s="13" t="str">
        <x:v>Metals &amp; Mining</x:v>
      </x:c>
      <x:c r="F5547" s="13" t="str">
        <x:v>Deep Cyclicals</x:v>
      </x:c>
      <x:c r="G5547" s="13" t="str">
        <x:v>grid_asitui1y.xlsx</x:v>
      </x:c>
    </x:row>
    <x:row r="5548">
      <x:c r="A5548" s="15" t="n">
        <x:v>42917</x:v>
      </x:c>
      <x:c r="B5548" s="13" t="str">
        <x:v>GERDAU SA-PREF</x:v>
      </x:c>
      <x:c r="C5548" s="16" t="n">
        <x:v>1062.5904564603</x:v>
      </x:c>
      <x:c r="D5548" s="13" t="str">
        <x:v>Metals &amp; Mining</x:v>
      </x:c>
      <x:c r="E5548" s="13" t="str">
        <x:v>Metals &amp; Mining</x:v>
      </x:c>
      <x:c r="F5548" s="13" t="str">
        <x:v>Deep Cyclicals</x:v>
      </x:c>
      <x:c r="G5548" s="13" t="str">
        <x:v>grid_asitui1y.xlsx</x:v>
      </x:c>
    </x:row>
    <x:row r="5549">
      <x:c r="A5549" s="15" t="n">
        <x:v>42917</x:v>
      </x:c>
      <x:c r="B5549" s="13" t="str">
        <x:v>METALURGICA GERDAU SA-PREF</x:v>
      </x:c>
      <x:c r="C5549" s="16" t="n">
        <x:v>1142.1835348164</x:v>
      </x:c>
      <x:c r="D5549" s="13" t="str">
        <x:v>Metals &amp; Mining</x:v>
      </x:c>
      <x:c r="E5549" s="13" t="str">
        <x:v>Metals &amp; Mining</x:v>
      </x:c>
      <x:c r="F5549" s="13" t="str">
        <x:v>Deep Cyclicals</x:v>
      </x:c>
      <x:c r="G5549" s="13" t="str">
        <x:v>grid_asitui1y.xlsx</x:v>
      </x:c>
    </x:row>
    <x:row r="5550">
      <x:c r="A5550" s="15" t="n">
        <x:v>42917</x:v>
      </x:c>
      <x:c r="B5550" s="13" t="str">
        <x:v>USINAS SIDER MINAS GER-PF A</x:v>
      </x:c>
      <x:c r="C5550" s="16" t="n">
        <x:v>162.2754857205</x:v>
      </x:c>
      <x:c r="D5550" s="13" t="str">
        <x:v>Metals &amp; Mining</x:v>
      </x:c>
      <x:c r="E5550" s="13" t="str">
        <x:v>Metals &amp; Mining</x:v>
      </x:c>
      <x:c r="F5550" s="13" t="str">
        <x:v>Deep Cyclicals</x:v>
      </x:c>
      <x:c r="G5550" s="13" t="str">
        <x:v>grid_asitui1y.xlsx</x:v>
      </x:c>
    </x:row>
    <x:row r="5551">
      <x:c r="A5551" s="15" t="n">
        <x:v>42917</x:v>
      </x:c>
      <x:c r="B5551" s="13" t="str">
        <x:v>VALE SA</x:v>
      </x:c>
      <x:c r="C5551" s="16" t="n">
        <x:v>16758.6825089753</x:v>
      </x:c>
      <x:c r="D5551" s="13" t="str">
        <x:v>Metals &amp; Mining</x:v>
      </x:c>
      <x:c r="E5551" s="13" t="str">
        <x:v>Metals &amp; Mining</x:v>
      </x:c>
      <x:c r="F5551" s="13" t="str">
        <x:v>Deep Cyclicals</x:v>
      </x:c>
      <x:c r="G5551" s="13" t="str">
        <x:v>grid_asitui1y.xlsx</x:v>
      </x:c>
    </x:row>
    <x:row r="5552">
      <x:c r="A5552" s="15" t="n">
        <x:v>42917</x:v>
      </x:c>
      <x:c r="B5552" s="13" t="str">
        <x:v>BRASKEM SA-PREF A</x:v>
      </x:c>
      <x:c r="C5552" s="16" t="n">
        <x:v>2864.7337254575</x:v>
      </x:c>
      <x:c r="D5552" s="13" t="str">
        <x:v>Oil, Gas &amp; Petrochemicals</x:v>
      </x:c>
      <x:c r="E5552" s="13" t="str">
        <x:v>Oil, Gas &amp; Petrochemicals</x:v>
      </x:c>
      <x:c r="F5552" s="13" t="str">
        <x:v>Deep Cyclicals</x:v>
      </x:c>
      <x:c r="G5552" s="13" t="str">
        <x:v>grid_asitui1y.xlsx</x:v>
      </x:c>
    </x:row>
    <x:row r="5553">
      <x:c r="A5553" s="15" t="n">
        <x:v>42917</x:v>
      </x:c>
      <x:c r="B5553" s="13" t="str">
        <x:v>COSAN SA</x:v>
      </x:c>
      <x:c r="C5553" s="16" t="n">
        <x:v>1147.1839638794</x:v>
      </x:c>
      <x:c r="D5553" s="13" t="str">
        <x:v>Oil, Gas &amp; Petrochemicals</x:v>
      </x:c>
      <x:c r="E5553" s="13" t="str">
        <x:v>Oil, Gas &amp; Petrochemicals</x:v>
      </x:c>
      <x:c r="F5553" s="13" t="str">
        <x:v>Deep Cyclicals</x:v>
      </x:c>
      <x:c r="G5553" s="13" t="str">
        <x:v>grid_asitui1y.xlsx</x:v>
      </x:c>
    </x:row>
    <x:row r="5554">
      <x:c r="A5554" s="15" t="n">
        <x:v>42917</x:v>
      </x:c>
      <x:c r="B5554" s="13" t="str">
        <x:v>PETROBRAS - PETROLEO BRAS</x:v>
      </x:c>
      <x:c r="C5554" s="16" t="n">
        <x:v>18690.5115886466</x:v>
      </x:c>
      <x:c r="D5554" s="13" t="str">
        <x:v>Oil, Gas &amp; Petrochemicals</x:v>
      </x:c>
      <x:c r="E5554" s="13" t="str">
        <x:v>Oil, Gas &amp; Petrochemicals</x:v>
      </x:c>
      <x:c r="F5554" s="13" t="str">
        <x:v>Deep Cyclicals</x:v>
      </x:c>
      <x:c r="G5554" s="13" t="str">
        <x:v>grid_asitui1y.xlsx</x:v>
      </x:c>
    </x:row>
    <x:row r="5555">
      <x:c r="A5555" s="15" t="n">
        <x:v>42917</x:v>
      </x:c>
      <x:c r="B5555" s="13" t="str">
        <x:v>ULTRAPAR PARTICIPACOES SA</x:v>
      </x:c>
      <x:c r="C5555" s="16" t="n">
        <x:v>1819.0254153644</x:v>
      </x:c>
      <x:c r="D5555" s="13" t="str">
        <x:v>Oil, Gas &amp; Petrochemicals</x:v>
      </x:c>
      <x:c r="E5555" s="13" t="str">
        <x:v>Oil, Gas &amp; Petrochemicals</x:v>
      </x:c>
      <x:c r="F5555" s="13" t="str">
        <x:v>Deep Cyclicals</x:v>
      </x:c>
      <x:c r="G5555" s="13" t="str">
        <x:v>grid_asitui1y.xlsx</x:v>
      </x:c>
    </x:row>
    <x:row r="5556">
      <x:c r="A5556" s="15" t="n">
        <x:v>42917</x:v>
      </x:c>
      <x:c r="B5556" s="13" t="str">
        <x:v>FIBRIA CELULOSE S/A</x:v>
      </x:c>
      <x:c r="C5556" s="16" t="n">
        <x:v>1383.7870178192</x:v>
      </x:c>
      <x:c r="D5556" s="13" t="str">
        <x:v>Pulp &amp; Paper</x:v>
      </x:c>
      <x:c r="E5556" s="13" t="str">
        <x:v>Pulp &amp; Paper</x:v>
      </x:c>
      <x:c r="F5556" s="13" t="str">
        <x:v>Deep Cyclicals</x:v>
      </x:c>
      <x:c r="G5556" s="13" t="str">
        <x:v>grid_asitui1y.xlsx</x:v>
      </x:c>
    </x:row>
    <x:row r="5557">
      <x:c r="A5557" s="15" t="n">
        <x:v>42917</x:v>
      </x:c>
      <x:c r="B5557" s="13" t="str">
        <x:v>KLABIN SA - UNIT</x:v>
      </x:c>
      <x:c r="C5557" s="16" t="n">
        <x:v>918.319520263</x:v>
      </x:c>
      <x:c r="D5557" s="13" t="str">
        <x:v>Pulp &amp; Paper</x:v>
      </x:c>
      <x:c r="E5557" s="13" t="str">
        <x:v>Pulp &amp; Paper</x:v>
      </x:c>
      <x:c r="F5557" s="13" t="str">
        <x:v>Deep Cyclicals</x:v>
      </x:c>
      <x:c r="G5557" s="13" t="str">
        <x:v>grid_asitui1y.xlsx</x:v>
      </x:c>
    </x:row>
    <x:row r="5558">
      <x:c r="A5558" s="15" t="n">
        <x:v>42917</x:v>
      </x:c>
      <x:c r="B5558" s="13" t="str">
        <x:v>SUZANO PAPEL E CELULO-PREF A</x:v>
      </x:c>
      <x:c r="C5558" s="16" t="n">
        <x:v>1351.8432059616</x:v>
      </x:c>
      <x:c r="D5558" s="13" t="str">
        <x:v>Pulp &amp; Paper</x:v>
      </x:c>
      <x:c r="E5558" s="13" t="str">
        <x:v>Pulp &amp; Paper</x:v>
      </x:c>
      <x:c r="F5558" s="13" t="str">
        <x:v>Deep Cyclicals</x:v>
      </x:c>
      <x:c r="G5558" s="13" t="str">
        <x:v>grid_asitui1y.xlsx</x:v>
      </x:c>
    </x:row>
    <x:row r="5559">
      <x:c r="A5559" s="15" t="n">
        <x:v>42917</x:v>
      </x:c>
      <x:c r="B5559" s="13" t="str">
        <x:v>CIA BRASILEIRA DE DIS-PREF</x:v>
      </x:c>
      <x:c r="C5559" s="16" t="n">
        <x:v>722.5150840986</x:v>
      </x:c>
      <x:c r="D5559" s="13" t="str">
        <x:v>Retail</x:v>
      </x:c>
      <x:c r="E5559" s="13" t="str">
        <x:v>Retail</x:v>
      </x:c>
      <x:c r="F5559" s="13" t="str">
        <x:v>Early Cyclicals</x:v>
      </x:c>
      <x:c r="G5559" s="13" t="str">
        <x:v>grid_asitui1y.xlsx</x:v>
      </x:c>
    </x:row>
    <x:row r="5560">
      <x:c r="A5560" s="15" t="n">
        <x:v>42917</x:v>
      </x:c>
      <x:c r="B5560" s="13" t="str">
        <x:v>LOJAS AMERICANAS SA-PREF</x:v>
      </x:c>
      <x:c r="C5560" s="16" t="n">
        <x:v>726.2926379836</x:v>
      </x:c>
      <x:c r="D5560" s="13" t="str">
        <x:v>Retail</x:v>
      </x:c>
      <x:c r="E5560" s="13" t="str">
        <x:v>Retail</x:v>
      </x:c>
      <x:c r="F5560" s="13" t="str">
        <x:v>Early Cyclicals</x:v>
      </x:c>
      <x:c r="G5560" s="13" t="str">
        <x:v>grid_asitui1y.xlsx</x:v>
      </x:c>
    </x:row>
    <x:row r="5561">
      <x:c r="A5561" s="15" t="n">
        <x:v>42917</x:v>
      </x:c>
      <x:c r="B5561" s="13" t="str">
        <x:v>LOJAS RENNER S.A.</x:v>
      </x:c>
      <x:c r="C5561" s="16" t="n">
        <x:v>825.0104109589</x:v>
      </x:c>
      <x:c r="D5561" s="13" t="str">
        <x:v>Retail</x:v>
      </x:c>
      <x:c r="E5561" s="13" t="str">
        <x:v>Retail</x:v>
      </x:c>
      <x:c r="F5561" s="13" t="str">
        <x:v>Early Cyclicals</x:v>
      </x:c>
      <x:c r="G5561" s="13" t="str">
        <x:v>grid_asitui1y.xlsx</x:v>
      </x:c>
    </x:row>
    <x:row r="5562">
      <x:c r="A5562" s="15" t="n">
        <x:v>42917</x:v>
      </x:c>
      <x:c r="B5562" s="13" t="str">
        <x:v>NATURA COSMETICOS SA</x:v>
      </x:c>
      <x:c r="C5562" s="16" t="n">
        <x:v>635.0151422247</x:v>
      </x:c>
      <x:c r="D5562" s="13" t="str">
        <x:v>Retail</x:v>
      </x:c>
      <x:c r="E5562" s="13" t="str">
        <x:v>Retail</x:v>
      </x:c>
      <x:c r="F5562" s="13" t="str">
        <x:v>Early Cyclicals</x:v>
      </x:c>
      <x:c r="G5562" s="13" t="str">
        <x:v>grid_asitui1y.xlsx</x:v>
      </x:c>
    </x:row>
    <x:row r="5563">
      <x:c r="A5563" s="15" t="n">
        <x:v>42917</x:v>
      </x:c>
      <x:c r="B5563" s="13" t="str">
        <x:v>RAIA DROGASIL SA</x:v>
      </x:c>
      <x:c r="C5563" s="16" t="n">
        <x:v>648.5921101151</x:v>
      </x:c>
      <x:c r="D5563" s="13" t="str">
        <x:v>Retail</x:v>
      </x:c>
      <x:c r="E5563" s="13" t="str">
        <x:v>Retail</x:v>
      </x:c>
      <x:c r="F5563" s="13" t="str">
        <x:v>Early Cyclicals</x:v>
      </x:c>
      <x:c r="G5563" s="13" t="str">
        <x:v>grid_asitui1y.xlsx</x:v>
      </x:c>
    </x:row>
    <x:row r="5564">
      <x:c r="A5564" s="15" t="n">
        <x:v>42917</x:v>
      </x:c>
      <x:c r="B5564" s="13" t="str">
        <x:v>CIA SANEAMENTO BASICO DE SP</x:v>
      </x:c>
      <x:c r="C5564" s="16" t="n">
        <x:v>2830.5405489096</x:v>
      </x:c>
      <x:c r="D5564" s="13" t="str">
        <x:v>Sanitation</x:v>
      </x:c>
      <x:c r="E5564" s="13" t="str">
        <x:v>Utilities</x:v>
      </x:c>
      <x:c r="F5564" s="13" t="str">
        <x:v>Defensives</x:v>
      </x:c>
      <x:c r="G5564" s="13" t="str">
        <x:v>grid_asitui1y.xlsx</x:v>
      </x:c>
    </x:row>
    <x:row r="5565">
      <x:c r="A5565" s="15" t="n">
        <x:v>42917</x:v>
      </x:c>
      <x:c r="B5565" s="13" t="str">
        <x:v>SMILES FIDELIDADE SA</x:v>
      </x:c>
      <x:c r="C5565" s="16" t="n">
        <x:v>610.8114316274</x:v>
      </x:c>
      <x:c r="D5565" s="13" t="str">
        <x:v>TMT</x:v>
      </x:c>
      <x:c r="E5565" s="13" t="str">
        <x:v>TMT</x:v>
      </x:c>
      <x:c r="F5565" s="13" t="str">
        <x:v>Early Cyclicals</x:v>
      </x:c>
      <x:c r="G5565" s="13" t="str">
        <x:v>grid_asitui1y.xlsx</x:v>
      </x:c>
    </x:row>
    <x:row r="5566">
      <x:c r="A5566" s="15" t="n">
        <x:v>42917</x:v>
      </x:c>
      <x:c r="B5566" s="13" t="str">
        <x:v>TELEFONICA BRASIL S.A.-PREF</x:v>
      </x:c>
      <x:c r="C5566" s="16" t="n">
        <x:v>5561.550373874</x:v>
      </x:c>
      <x:c r="D5566" s="13" t="str">
        <x:v>TMT</x:v>
      </x:c>
      <x:c r="E5566" s="13" t="str">
        <x:v>TMT</x:v>
      </x:c>
      <x:c r="F5566" s="13" t="str">
        <x:v>Early Cyclicals</x:v>
      </x:c>
      <x:c r="G5566" s="13" t="str">
        <x:v>grid_asitui1y.xlsx</x:v>
      </x:c>
    </x:row>
    <x:row r="5567">
      <x:c r="A5567" s="15" t="n">
        <x:v>42917</x:v>
      </x:c>
      <x:c r="B5567" s="13" t="str">
        <x:v>TIM SA</x:v>
      </x:c>
      <x:c r="C5567" s="16" t="n">
        <x:v>1055.4544310356</x:v>
      </x:c>
      <x:c r="D5567" s="13" t="str">
        <x:v>TMT</x:v>
      </x:c>
      <x:c r="E5567" s="13" t="str">
        <x:v>TMT</x:v>
      </x:c>
      <x:c r="F5567" s="13" t="str">
        <x:v>Early Cyclicals</x:v>
      </x:c>
      <x:c r="G5567" s="13" t="str">
        <x:v>grid_asitui1y.xlsx</x:v>
      </x:c>
    </x:row>
    <x:row r="5568">
      <x:c r="A5568" s="15" t="n">
        <x:v>42917</x:v>
      </x:c>
      <x:c r="B5568" s="13" t="str">
        <x:v>ECORODOVIAS INFRA E LOG SA</x:v>
      </x:c>
      <x:c r="C5568" s="16" t="n">
        <x:v>473.3560853918</x:v>
      </x:c>
      <x:c r="D5568" s="13" t="str">
        <x:v>Transportation</x:v>
      </x:c>
      <x:c r="E5568" s="13" t="str">
        <x:v>Transportation</x:v>
      </x:c>
      <x:c r="F5568" s="13" t="str">
        <x:v>Deep Cyclicals</x:v>
      </x:c>
      <x:c r="G5568" s="13" t="str">
        <x:v>grid_asitui1y.xlsx</x:v>
      </x:c>
    </x:row>
    <x:row r="5569">
      <x:c r="A5569" s="15" t="n">
        <x:v>42917</x:v>
      </x:c>
      <x:c r="B5569" s="13" t="str">
        <x:v>LOCALIZA RENT A CAR</x:v>
      </x:c>
      <x:c r="C5569" s="16" t="n">
        <x:v>538.6661774027</x:v>
      </x:c>
      <x:c r="D5569" s="13" t="str">
        <x:v>Transportation</x:v>
      </x:c>
      <x:c r="E5569" s="13" t="str">
        <x:v>Transportation</x:v>
      </x:c>
      <x:c r="F5569" s="13" t="str">
        <x:v>Deep Cyclicals</x:v>
      </x:c>
      <x:c r="G5569" s="13" t="str">
        <x:v>grid_asitui1y.xlsx</x:v>
      </x:c>
    </x:row>
    <x:row r="5570">
      <x:c r="A5570" s="15" t="n">
        <x:v>42917</x:v>
      </x:c>
      <x:c r="B5570" s="13" t="str">
        <x:v>MOTIVA INFRAESTRUTURA DE MOB</x:v>
      </x:c>
      <x:c r="C5570" s="16" t="n">
        <x:v>1893.7912400657</x:v>
      </x:c>
      <x:c r="D5570" s="13" t="str">
        <x:v>Transportation</x:v>
      </x:c>
      <x:c r="E5570" s="13" t="str">
        <x:v>Transportation</x:v>
      </x:c>
      <x:c r="F5570" s="13" t="str">
        <x:v>Deep Cyclicals</x:v>
      </x:c>
      <x:c r="G5570" s="13" t="str">
        <x:v>grid_asitui1y.xlsx</x:v>
      </x:c>
    </x:row>
    <x:row r="5571">
      <x:c r="A5571" s="15" t="n">
        <x:v>42917</x:v>
      </x:c>
      <x:c r="B5571" s="13" t="str">
        <x:v>RUMO SA</x:v>
      </x:c>
      <x:c r="C5571" s="16" t="n">
        <x:v>144.1644602301</x:v>
      </x:c>
      <x:c r="D5571" s="13" t="str">
        <x:v>Transportation</x:v>
      </x:c>
      <x:c r="E5571" s="13" t="str">
        <x:v>Transportation</x:v>
      </x:c>
      <x:c r="F5571" s="13" t="str">
        <x:v>Deep Cyclicals</x:v>
      </x:c>
      <x:c r="G5571" s="13" t="str">
        <x:v>grid_asitui1y.xlsx</x:v>
      </x:c>
    </x:row>
    <x:row r="5572">
      <x:c r="A5572" s="15" t="n">
        <x:v>42917</x:v>
      </x:c>
      <x:c r="B5572" s="13" t="str">
        <x:v>AXIA ENERGIA SA</x:v>
      </x:c>
      <x:c r="C5572" s="16" t="n">
        <x:v>3756.7931237699</x:v>
      </x:c>
      <x:c r="D5572" s="13" t="str">
        <x:v>Utilities &amp; Energy</x:v>
      </x:c>
      <x:c r="E5572" s="13" t="str">
        <x:v>Utilities</x:v>
      </x:c>
      <x:c r="F5572" s="13" t="str">
        <x:v>Defensives</x:v>
      </x:c>
      <x:c r="G5572" s="13" t="str">
        <x:v>grid_asitui1y.xlsx</x:v>
      </x:c>
    </x:row>
    <x:row r="5573">
      <x:c r="A5573" s="15" t="n">
        <x:v>42917</x:v>
      </x:c>
      <x:c r="B5573" s="13" t="str">
        <x:v>AXIA ENERGIA-PR B</x:v>
      </x:c>
      <x:c r="C5573" s="16" t="n">
        <x:v>3756.7931237699</x:v>
      </x:c>
      <x:c r="D5573" s="13" t="str">
        <x:v>Utilities &amp; Energy</x:v>
      </x:c>
      <x:c r="E5573" s="13" t="str">
        <x:v>Utilities</x:v>
      </x:c>
      <x:c r="F5573" s="13" t="str">
        <x:v>Defensives</x:v>
      </x:c>
      <x:c r="G5573" s="13" t="str">
        <x:v>grid_asitui1y.xlsx</x:v>
      </x:c>
    </x:row>
    <x:row r="5574">
      <x:c r="A5574" s="15" t="n">
        <x:v>42917</x:v>
      </x:c>
      <x:c r="B5574" s="13" t="str">
        <x:v>CIA ENERGETICA MINAS GER-PRF</x:v>
      </x:c>
      <x:c r="C5574" s="16" t="n">
        <x:v>1500.0380542247</x:v>
      </x:c>
      <x:c r="D5574" s="13" t="str">
        <x:v>Utilities &amp; Energy</x:v>
      </x:c>
      <x:c r="E5574" s="13" t="str">
        <x:v>Utilities</x:v>
      </x:c>
      <x:c r="F5574" s="13" t="str">
        <x:v>Defensives</x:v>
      </x:c>
      <x:c r="G5574" s="13" t="str">
        <x:v>grid_asitui1y.xlsx</x:v>
      </x:c>
    </x:row>
    <x:row r="5575">
      <x:c r="A5575" s="15" t="n">
        <x:v>42917</x:v>
      </x:c>
      <x:c r="B5575" s="13" t="str">
        <x:v>COMPANHIA PARANAENSE -PREF B</x:v>
      </x:c>
      <x:c r="C5575" s="16" t="n">
        <x:v>1315.6367009315</x:v>
      </x:c>
      <x:c r="D5575" s="13" t="str">
        <x:v>Utilities &amp; Energy</x:v>
      </x:c>
      <x:c r="E5575" s="13" t="str">
        <x:v>Utilities</x:v>
      </x:c>
      <x:c r="F5575" s="13" t="str">
        <x:v>Defensives</x:v>
      </x:c>
      <x:c r="G5575" s="13" t="str">
        <x:v>grid_asitui1y.xlsx</x:v>
      </x:c>
    </x:row>
    <x:row r="5576">
      <x:c r="A5576" s="15" t="n">
        <x:v>42917</x:v>
      </x:c>
      <x:c r="B5576" s="13" t="str">
        <x:v>CPFL ENERGIA SA</x:v>
      </x:c>
      <x:c r="C5576" s="16" t="n">
        <x:v>1464.7051951343</x:v>
      </x:c>
      <x:c r="D5576" s="13" t="str">
        <x:v>Utilities &amp; Energy</x:v>
      </x:c>
      <x:c r="E5576" s="13" t="str">
        <x:v>Utilities</x:v>
      </x:c>
      <x:c r="F5576" s="13" t="str">
        <x:v>Defensives</x:v>
      </x:c>
      <x:c r="G5576" s="13" t="str">
        <x:v>grid_asitui1y.xlsx</x:v>
      </x:c>
    </x:row>
    <x:row r="5577">
      <x:c r="A5577" s="15" t="n">
        <x:v>42917</x:v>
      </x:c>
      <x:c r="B5577" s="13" t="str">
        <x:v>EDP - ENERGIAS DO BRASIL SA</x:v>
      </x:c>
      <x:c r="C5577" s="16" t="n">
        <x:v>697.7874761644</x:v>
      </x:c>
      <x:c r="D5577" s="13" t="str">
        <x:v>Utilities &amp; Energy</x:v>
      </x:c>
      <x:c r="E5577" s="13" t="str">
        <x:v>Utilities</x:v>
      </x:c>
      <x:c r="F5577" s="13" t="str">
        <x:v>Defensives</x:v>
      </x:c>
      <x:c r="G5577" s="13" t="str">
        <x:v>grid_asitui1y.xlsx</x:v>
      </x:c>
    </x:row>
    <x:row r="5578">
      <x:c r="A5578" s="15" t="n">
        <x:v>42917</x:v>
      </x:c>
      <x:c r="B5578" s="13" t="str">
        <x:v>ENGIE BRASIL ENERGIA SA</x:v>
      </x:c>
      <x:c r="C5578" s="16" t="n">
        <x:v>1810.2567031233</x:v>
      </x:c>
      <x:c r="D5578" s="13" t="str">
        <x:v>Utilities &amp; Energy</x:v>
      </x:c>
      <x:c r="E5578" s="13" t="str">
        <x:v>Utilities</x:v>
      </x:c>
      <x:c r="F5578" s="13" t="str">
        <x:v>Defensives</x:v>
      </x:c>
      <x:c r="G5578" s="13" t="str">
        <x:v>grid_asitui1y.xlsx</x:v>
      </x:c>
    </x:row>
    <x:row r="5579">
      <x:c r="A5579" s="15" t="n">
        <x:v>42917</x:v>
      </x:c>
      <x:c r="B5579" s="13" t="str">
        <x:v>EQUATORIAL SA - ORD</x:v>
      </x:c>
      <x:c r="C5579" s="16" t="n">
        <x:v>796.4353104658</x:v>
      </x:c>
      <x:c r="D5579" s="13" t="str">
        <x:v>Utilities &amp; Energy</x:v>
      </x:c>
      <x:c r="E5579" s="13" t="str">
        <x:v>Utilities</x:v>
      </x:c>
      <x:c r="F5579" s="13" t="str">
        <x:v>Defensives</x:v>
      </x:c>
      <x:c r="G5579" s="13" t="str">
        <x:v>grid_asitui1y.xlsx</x:v>
      </x:c>
    </x:row>
    <x:row r="5580">
      <x:c r="A5580" s="15" t="n">
        <x:v>42948</x:v>
      </x:c>
      <x:c r="B5580" s="13" t="str">
        <x:v>BANCO BRADESCO S.A.</x:v>
      </x:c>
      <x:c r="C5580" s="16" t="n">
        <x:v>19963.2396961315</x:v>
      </x:c>
      <x:c r="D5580" s="13" t="str">
        <x:v>Banks</x:v>
      </x:c>
      <x:c r="E5580" s="13" t="str">
        <x:v>Banks</x:v>
      </x:c>
      <x:c r="F5580" s="13" t="str">
        <x:v>Financials</x:v>
      </x:c>
      <x:c r="G5580" s="13" t="str">
        <x:v>grid_asitui1y.xlsx</x:v>
      </x:c>
    </x:row>
    <x:row r="5581">
      <x:c r="A5581" s="15" t="n">
        <x:v>42948</x:v>
      </x:c>
      <x:c r="B5581" s="13" t="str">
        <x:v>BANCO BRADESCO SA-PREF</x:v>
      </x:c>
      <x:c r="C5581" s="16" t="n">
        <x:v>19963.2396961315</x:v>
      </x:c>
      <x:c r="D5581" s="13" t="str">
        <x:v>Banks</x:v>
      </x:c>
      <x:c r="E5581" s="13" t="str">
        <x:v>Banks</x:v>
      </x:c>
      <x:c r="F5581" s="13" t="str">
        <x:v>Financials</x:v>
      </x:c>
      <x:c r="G5581" s="13" t="str">
        <x:v>grid_asitui1y.xlsx</x:v>
      </x:c>
    </x:row>
    <x:row r="5582">
      <x:c r="A5582" s="15" t="n">
        <x:v>42948</x:v>
      </x:c>
      <x:c r="B5582" s="13" t="str">
        <x:v>BANCO DO BRASIL S.A.</x:v>
      </x:c>
      <x:c r="C5582" s="16" t="n">
        <x:v>12124.9980500164</x:v>
      </x:c>
      <x:c r="D5582" s="13" t="str">
        <x:v>Banks</x:v>
      </x:c>
      <x:c r="E5582" s="13" t="str">
        <x:v>Banks</x:v>
      </x:c>
      <x:c r="F5582" s="13" t="str">
        <x:v>Financials</x:v>
      </x:c>
      <x:c r="G5582" s="13" t="str">
        <x:v>grid_asitui1y.xlsx</x:v>
      </x:c>
    </x:row>
    <x:row r="5583">
      <x:c r="A5583" s="15" t="n">
        <x:v>42948</x:v>
      </x:c>
      <x:c r="B5583" s="13" t="str">
        <x:v>BANCO SANTANDER  BRASIL-UNIT</x:v>
      </x:c>
      <x:c r="C5583" s="16" t="n">
        <x:v>9376.0780905206</x:v>
      </x:c>
      <x:c r="D5583" s="13" t="str">
        <x:v>Banks</x:v>
      </x:c>
      <x:c r="E5583" s="13" t="str">
        <x:v>Banks</x:v>
      </x:c>
      <x:c r="F5583" s="13" t="str">
        <x:v>Financials</x:v>
      </x:c>
      <x:c r="G5583" s="13" t="str">
        <x:v>grid_asitui1y.xlsx</x:v>
      </x:c>
    </x:row>
    <x:row r="5584">
      <x:c r="A5584" s="15" t="n">
        <x:v>42948</x:v>
      </x:c>
      <x:c r="B5584" s="13" t="str">
        <x:v>ITAU UNIBANCO HOLDING S-PREF</x:v>
      </x:c>
      <x:c r="C5584" s="16" t="n">
        <x:v>24044.7379259616</x:v>
      </x:c>
      <x:c r="D5584" s="13" t="str">
        <x:v>Banks</x:v>
      </x:c>
      <x:c r="E5584" s="13" t="str">
        <x:v>Banks</x:v>
      </x:c>
      <x:c r="F5584" s="13" t="str">
        <x:v>Financials</x:v>
      </x:c>
      <x:c r="G5584" s="13" t="str">
        <x:v>grid_asitui1y.xlsx</x:v>
      </x:c>
    </x:row>
    <x:row r="5585">
      <x:c r="A5585" s="15" t="n">
        <x:v>42948</x:v>
      </x:c>
      <x:c r="B5585" s="13" t="str">
        <x:v>EMBRAER SA</x:v>
      </x:c>
      <x:c r="C5585" s="16" t="n">
        <x:v>1046.8635444603</x:v>
      </x:c>
      <x:c r="D5585" s="13" t="str">
        <x:v>Capital Goods</x:v>
      </x:c>
      <x:c r="E5585" s="13" t="str">
        <x:v>Capital Goods</x:v>
      </x:c>
      <x:c r="F5585" s="13" t="str">
        <x:v>Deep Cyclicals</x:v>
      </x:c>
      <x:c r="G5585" s="13" t="str">
        <x:v>grid_asitui1y.xlsx</x:v>
      </x:c>
    </x:row>
    <x:row r="5586">
      <x:c r="A5586" s="15" t="n">
        <x:v>42948</x:v>
      </x:c>
      <x:c r="B5586" s="13" t="str">
        <x:v>WEG SA</x:v>
      </x:c>
      <x:c r="C5586" s="16" t="n">
        <x:v>1278.8360426959</x:v>
      </x:c>
      <x:c r="D5586" s="13" t="str">
        <x:v>Capital Goods</x:v>
      </x:c>
      <x:c r="E5586" s="13" t="str">
        <x:v>Capital Goods</x:v>
      </x:c>
      <x:c r="F5586" s="13" t="str">
        <x:v>Deep Cyclicals</x:v>
      </x:c>
      <x:c r="G5586" s="13" t="str">
        <x:v>grid_asitui1y.xlsx</x:v>
      </x:c>
    </x:row>
    <x:row r="5587">
      <x:c r="A5587" s="15" t="n">
        <x:v>42948</x:v>
      </x:c>
      <x:c r="B5587" s="13" t="str">
        <x:v>COGNA EDUCACAO</x:v>
      </x:c>
      <x:c r="C5587" s="16" t="n">
        <x:v>2211.9073272986</x:v>
      </x:c>
      <x:c r="D5587" s="13" t="str">
        <x:v>Education</x:v>
      </x:c>
      <x:c r="E5587" s="13" t="str">
        <x:v>Education</x:v>
      </x:c>
      <x:c r="F5587" s="13" t="str">
        <x:v>Early Cyclicals</x:v>
      </x:c>
      <x:c r="G5587" s="13" t="str">
        <x:v>grid_asitui1y.xlsx</x:v>
      </x:c>
    </x:row>
    <x:row r="5588">
      <x:c r="A5588" s="15" t="n">
        <x:v>42948</x:v>
      </x:c>
      <x:c r="B5588" s="13" t="str">
        <x:v>YDUQS PARTICIPACOES SA</x:v>
      </x:c>
      <x:c r="C5588" s="16" t="n">
        <x:v>592.1467144767</x:v>
      </x:c>
      <x:c r="D5588" s="13" t="str">
        <x:v>Education</x:v>
      </x:c>
      <x:c r="E5588" s="13" t="str">
        <x:v>Education</x:v>
      </x:c>
      <x:c r="F5588" s="13" t="str">
        <x:v>Early Cyclicals</x:v>
      </x:c>
      <x:c r="G5588" s="13" t="str">
        <x:v>grid_asitui1y.xlsx</x:v>
      </x:c>
    </x:row>
    <x:row r="5589">
      <x:c r="A5589" s="15" t="n">
        <x:v>42948</x:v>
      </x:c>
      <x:c r="B5589" s="13" t="str">
        <x:v>B3 SA-BRASIL BOLSA BALCAO</x:v>
      </x:c>
      <x:c r="C5589" s="16" t="n">
        <x:v>2043.2965456658</x:v>
      </x:c>
      <x:c r="D5589" s="13" t="str">
        <x:v>Financials Non-Banks</x:v>
      </x:c>
      <x:c r="E5589" s="13" t="str">
        <x:v>Financials Non-Banks</x:v>
      </x:c>
      <x:c r="F5589" s="13" t="str">
        <x:v>Financials</x:v>
      </x:c>
      <x:c r="G5589" s="13" t="str">
        <x:v>grid_asitui1y.xlsx</x:v>
      </x:c>
    </x:row>
    <x:row r="5590">
      <x:c r="A5590" s="15" t="n">
        <x:v>42948</x:v>
      </x:c>
      <x:c r="B5590" s="13" t="str">
        <x:v>BB SEGURIDADE PARTICIPACOES</x:v>
      </x:c>
      <x:c r="C5590" s="16" t="n">
        <x:v>4075.6262421041</x:v>
      </x:c>
      <x:c r="D5590" s="13" t="str">
        <x:v>Financials Non-Banks</x:v>
      </x:c>
      <x:c r="E5590" s="13" t="str">
        <x:v>Financials Non-Banks</x:v>
      </x:c>
      <x:c r="F5590" s="13" t="str">
        <x:v>Financials</x:v>
      </x:c>
      <x:c r="G5590" s="13" t="str">
        <x:v>grid_asitui1y.xlsx</x:v>
      </x:c>
    </x:row>
    <x:row r="5591">
      <x:c r="A5591" s="15" t="n">
        <x:v>42948</x:v>
      </x:c>
      <x:c r="B5591" s="13" t="str">
        <x:v>CIELO SA - INSTITUICAO DE PA</x:v>
      </x:c>
      <x:c r="C5591" s="16" t="n">
        <x:v>4308.4890995726</x:v>
      </x:c>
      <x:c r="D5591" s="13" t="str">
        <x:v>Financials Non-Banks</x:v>
      </x:c>
      <x:c r="E5591" s="13" t="str">
        <x:v>Financials Non-Banks</x:v>
      </x:c>
      <x:c r="F5591" s="13" t="str">
        <x:v>Financials</x:v>
      </x:c>
      <x:c r="G5591" s="13" t="str">
        <x:v>grid_asitui1y.xlsx</x:v>
      </x:c>
    </x:row>
    <x:row r="5592">
      <x:c r="A5592" s="15" t="n">
        <x:v>42948</x:v>
      </x:c>
      <x:c r="B5592" s="13" t="str">
        <x:v>ITAUSA SA</x:v>
      </x:c>
      <x:c r="C5592" s="16" t="n">
        <x:v>8543.2478172931</x:v>
      </x:c>
      <x:c r="D5592" s="13" t="str">
        <x:v>Financials Non-Banks</x:v>
      </x:c>
      <x:c r="E5592" s="13" t="str">
        <x:v>Financials Non-Banks</x:v>
      </x:c>
      <x:c r="F5592" s="13" t="str">
        <x:v>Financials</x:v>
      </x:c>
      <x:c r="G5592" s="13" t="str">
        <x:v>grid_asitui1y.xlsx</x:v>
      </x:c>
    </x:row>
    <x:row r="5593">
      <x:c r="A5593" s="15" t="n">
        <x:v>42948</x:v>
      </x:c>
      <x:c r="B5593" s="13" t="str">
        <x:v>AMBEV SA</x:v>
      </x:c>
      <x:c r="C5593" s="16" t="n">
        <x:v>13246.0422803288</x:v>
      </x:c>
      <x:c r="D5593" s="13" t="str">
        <x:v>Food &amp; Beverages</x:v>
      </x:c>
      <x:c r="E5593" s="13" t="str">
        <x:v>Agri, Food &amp; Beverages</x:v>
      </x:c>
      <x:c r="F5593" s="13" t="str">
        <x:v>Defensives</x:v>
      </x:c>
      <x:c r="G5593" s="13" t="str">
        <x:v>grid_asitui1y.xlsx</x:v>
      </x:c>
    </x:row>
    <x:row r="5594">
      <x:c r="A5594" s="15" t="n">
        <x:v>42948</x:v>
      </x:c>
      <x:c r="B5594" s="13" t="str">
        <x:v>BRF SA</x:v>
      </x:c>
      <x:c r="C5594" s="16" t="n">
        <x:v>1135.0383348603</x:v>
      </x:c>
      <x:c r="D5594" s="13" t="str">
        <x:v>Food &amp; Beverages</x:v>
      </x:c>
      <x:c r="E5594" s="13" t="str">
        <x:v>Agri, Food &amp; Beverages</x:v>
      </x:c>
      <x:c r="F5594" s="13" t="str">
        <x:v>Defensives</x:v>
      </x:c>
      <x:c r="G5594" s="13" t="str">
        <x:v>grid_asitui1y.xlsx</x:v>
      </x:c>
    </x:row>
    <x:row r="5595">
      <x:c r="A5595" s="15" t="n">
        <x:v>42948</x:v>
      </x:c>
      <x:c r="B5595" s="13" t="str">
        <x:v>JBS SA</x:v>
      </x:c>
      <x:c r="C5595" s="16" t="n">
        <x:v>3285.6294701589</x:v>
      </x:c>
      <x:c r="D5595" s="13" t="str">
        <x:v>Food &amp; Beverages</x:v>
      </x:c>
      <x:c r="E5595" s="13" t="str">
        <x:v>Agri, Food &amp; Beverages</x:v>
      </x:c>
      <x:c r="F5595" s="13" t="str">
        <x:v>Defensives</x:v>
      </x:c>
      <x:c r="G5595" s="13" t="str">
        <x:v>grid_asitui1y.xlsx</x:v>
      </x:c>
    </x:row>
    <x:row r="5596">
      <x:c r="A5596" s="15" t="n">
        <x:v>42948</x:v>
      </x:c>
      <x:c r="B5596" s="13" t="str">
        <x:v>MBRF GLOBAL FOODS COMPANY SA</x:v>
      </x:c>
      <x:c r="C5596" s="16" t="n">
        <x:v>43.9876712329</x:v>
      </x:c>
      <x:c r="D5596" s="13" t="str">
        <x:v>Food &amp; Beverages</x:v>
      </x:c>
      <x:c r="E5596" s="13" t="str">
        <x:v>Agri, Food &amp; Beverages</x:v>
      </x:c>
      <x:c r="F5596" s="13" t="str">
        <x:v>Defensives</x:v>
      </x:c>
      <x:c r="G5596" s="13" t="str">
        <x:v>grid_asitui1y.xlsx</x:v>
      </x:c>
    </x:row>
    <x:row r="5597">
      <x:c r="A5597" s="15" t="n">
        <x:v>42948</x:v>
      </x:c>
      <x:c r="B5597" s="13" t="str">
        <x:v>HYPERA SA</x:v>
      </x:c>
      <x:c r="C5597" s="16" t="n">
        <x:v>956.4857370301</x:v>
      </x:c>
      <x:c r="D5597" s="13" t="str">
        <x:v>Health Care</x:v>
      </x:c>
      <x:c r="E5597" s="13" t="str">
        <x:v>Health Care</x:v>
      </x:c>
      <x:c r="F5597" s="13" t="str">
        <x:v>Defensives</x:v>
      </x:c>
      <x:c r="G5597" s="13" t="str">
        <x:v>grid_asitui1y.xlsx</x:v>
      </x:c>
    </x:row>
    <x:row r="5598">
      <x:c r="A5598" s="15" t="n">
        <x:v>42948</x:v>
      </x:c>
      <x:c r="B5598" s="13" t="str">
        <x:v>QUALICORP CONS E CORR SEG SA</x:v>
      </x:c>
      <x:c r="C5598" s="16" t="n">
        <x:v>594.6936986301</x:v>
      </x:c>
      <x:c r="D5598" s="13" t="str">
        <x:v>Health Care</x:v>
      </x:c>
      <x:c r="E5598" s="13" t="str">
        <x:v>Health Care</x:v>
      </x:c>
      <x:c r="F5598" s="13" t="str">
        <x:v>Defensives</x:v>
      </x:c>
      <x:c r="G5598" s="13" t="str">
        <x:v>grid_asitui1y.xlsx</x:v>
      </x:c>
    </x:row>
    <x:row r="5599">
      <x:c r="A5599" s="15" t="n">
        <x:v>42948</x:v>
      </x:c>
      <x:c r="B5599" s="13" t="str">
        <x:v>CYRELA BRAZIL REALTY SA EMP</x:v>
      </x:c>
      <x:c r="C5599" s="16" t="n">
        <x:v>176.0972738192</x:v>
      </x:c>
      <x:c r="D5599" s="13" t="str">
        <x:v>Homebuilders</x:v>
      </x:c>
      <x:c r="E5599" s="13" t="str">
        <x:v>Real Estate</x:v>
      </x:c>
      <x:c r="F5599" s="13" t="str">
        <x:v>Early Cyclicals</x:v>
      </x:c>
      <x:c r="G5599" s="13" t="str">
        <x:v>grid_asitui1y.xlsx</x:v>
      </x:c>
    </x:row>
    <x:row r="5600">
      <x:c r="A5600" s="15" t="n">
        <x:v>42948</x:v>
      </x:c>
      <x:c r="B5600" s="13" t="str">
        <x:v>MRV ENGENHARIA</x:v>
      </x:c>
      <x:c r="C5600" s="16" t="n">
        <x:v>713.4165365479</x:v>
      </x:c>
      <x:c r="D5600" s="13" t="str">
        <x:v>Homebuilders</x:v>
      </x:c>
      <x:c r="E5600" s="13" t="str">
        <x:v>Real Estate</x:v>
      </x:c>
      <x:c r="F5600" s="13" t="str">
        <x:v>Early Cyclicals</x:v>
      </x:c>
      <x:c r="G5600" s="13" t="str">
        <x:v>grid_asitui1y.xlsx</x:v>
      </x:c>
    </x:row>
    <x:row r="5601">
      <x:c r="A5601" s="15" t="n">
        <x:v>42948</x:v>
      </x:c>
      <x:c r="B5601" s="13" t="str">
        <x:v>BR MALLS PARTICIPACOES SA</x:v>
      </x:c>
      <x:c r="C5601" s="16" t="n">
        <x:v>524.7139726027</x:v>
      </x:c>
      <x:c r="D5601" s="13" t="str">
        <x:v>Income Properties</x:v>
      </x:c>
      <x:c r="E5601" s="13" t="str">
        <x:v>Real Estate</x:v>
      </x:c>
      <x:c r="F5601" s="13" t="str">
        <x:v>Early Cyclicals</x:v>
      </x:c>
      <x:c r="G5601" s="13" t="str">
        <x:v>grid_asitui1y.xlsx</x:v>
      </x:c>
    </x:row>
    <x:row r="5602">
      <x:c r="A5602" s="15" t="n">
        <x:v>42948</x:v>
      </x:c>
      <x:c r="B5602" s="13" t="str">
        <x:v>MULTIPLAN EMPREENDIMENTOS</x:v>
      </x:c>
      <x:c r="C5602" s="16" t="n">
        <x:v>473.0029041096</x:v>
      </x:c>
      <x:c r="D5602" s="13" t="str">
        <x:v>Income Properties</x:v>
      </x:c>
      <x:c r="E5602" s="13" t="str">
        <x:v>Real Estate</x:v>
      </x:c>
      <x:c r="F5602" s="13" t="str">
        <x:v>Early Cyclicals</x:v>
      </x:c>
      <x:c r="G5602" s="13" t="str">
        <x:v>grid_asitui1y.xlsx</x:v>
      </x:c>
    </x:row>
    <x:row r="5603">
      <x:c r="A5603" s="15" t="n">
        <x:v>42948</x:v>
      </x:c>
      <x:c r="B5603" s="13" t="str">
        <x:v>BRADESPAR SA -PREF</x:v>
      </x:c>
      <x:c r="C5603" s="16" t="n">
        <x:v>1171.9917480329</x:v>
      </x:c>
      <x:c r="D5603" s="13" t="str">
        <x:v>Metals &amp; Mining</x:v>
      </x:c>
      <x:c r="E5603" s="13" t="str">
        <x:v>Metals &amp; Mining</x:v>
      </x:c>
      <x:c r="F5603" s="13" t="str">
        <x:v>Deep Cyclicals</x:v>
      </x:c>
      <x:c r="G5603" s="13" t="str">
        <x:v>grid_asitui1y.xlsx</x:v>
      </x:c>
    </x:row>
    <x:row r="5604">
      <x:c r="A5604" s="15" t="n">
        <x:v>42948</x:v>
      </x:c>
      <x:c r="B5604" s="13" t="str">
        <x:v>CIA SIDERURGICA NACIONAL SA</x:v>
      </x:c>
      <x:c r="C5604" s="16" t="n">
        <x:v>387.7636739507</x:v>
      </x:c>
      <x:c r="D5604" s="13" t="str">
        <x:v>Metals &amp; Mining</x:v>
      </x:c>
      <x:c r="E5604" s="13" t="str">
        <x:v>Metals &amp; Mining</x:v>
      </x:c>
      <x:c r="F5604" s="13" t="str">
        <x:v>Deep Cyclicals</x:v>
      </x:c>
      <x:c r="G5604" s="13" t="str">
        <x:v>grid_asitui1y.xlsx</x:v>
      </x:c>
    </x:row>
    <x:row r="5605">
      <x:c r="A5605" s="15" t="n">
        <x:v>42948</x:v>
      </x:c>
      <x:c r="B5605" s="13" t="str">
        <x:v>GERDAU SA-PREF</x:v>
      </x:c>
      <x:c r="C5605" s="16" t="n">
        <x:v>1183.4087245151</x:v>
      </x:c>
      <x:c r="D5605" s="13" t="str">
        <x:v>Metals &amp; Mining</x:v>
      </x:c>
      <x:c r="E5605" s="13" t="str">
        <x:v>Metals &amp; Mining</x:v>
      </x:c>
      <x:c r="F5605" s="13" t="str">
        <x:v>Deep Cyclicals</x:v>
      </x:c>
      <x:c r="G5605" s="13" t="str">
        <x:v>grid_asitui1y.xlsx</x:v>
      </x:c>
    </x:row>
    <x:row r="5606">
      <x:c r="A5606" s="15" t="n">
        <x:v>42948</x:v>
      </x:c>
      <x:c r="B5606" s="13" t="str">
        <x:v>METALURGICA GERDAU SA-PREF</x:v>
      </x:c>
      <x:c r="C5606" s="16" t="n">
        <x:v>1102.6397366356</x:v>
      </x:c>
      <x:c r="D5606" s="13" t="str">
        <x:v>Metals &amp; Mining</x:v>
      </x:c>
      <x:c r="E5606" s="13" t="str">
        <x:v>Metals &amp; Mining</x:v>
      </x:c>
      <x:c r="F5606" s="13" t="str">
        <x:v>Deep Cyclicals</x:v>
      </x:c>
      <x:c r="G5606" s="13" t="str">
        <x:v>grid_asitui1y.xlsx</x:v>
      </x:c>
    </x:row>
    <x:row r="5607">
      <x:c r="A5607" s="15" t="n">
        <x:v>42948</x:v>
      </x:c>
      <x:c r="B5607" s="13" t="str">
        <x:v>USINAS SIDER MINAS GER-PF A</x:v>
      </x:c>
      <x:c r="C5607" s="16" t="n">
        <x:v>197.1027671233</x:v>
      </x:c>
      <x:c r="D5607" s="13" t="str">
        <x:v>Metals &amp; Mining</x:v>
      </x:c>
      <x:c r="E5607" s="13" t="str">
        <x:v>Metals &amp; Mining</x:v>
      </x:c>
      <x:c r="F5607" s="13" t="str">
        <x:v>Deep Cyclicals</x:v>
      </x:c>
      <x:c r="G5607" s="13" t="str">
        <x:v>grid_asitui1y.xlsx</x:v>
      </x:c>
    </x:row>
    <x:row r="5608">
      <x:c r="A5608" s="15" t="n">
        <x:v>42948</x:v>
      </x:c>
      <x:c r="B5608" s="13" t="str">
        <x:v>VALE SA</x:v>
      </x:c>
      <x:c r="C5608" s="16" t="n">
        <x:v>17089.3052521205</x:v>
      </x:c>
      <x:c r="D5608" s="13" t="str">
        <x:v>Metals &amp; Mining</x:v>
      </x:c>
      <x:c r="E5608" s="13" t="str">
        <x:v>Metals &amp; Mining</x:v>
      </x:c>
      <x:c r="F5608" s="13" t="str">
        <x:v>Deep Cyclicals</x:v>
      </x:c>
      <x:c r="G5608" s="13" t="str">
        <x:v>grid_asitui1y.xlsx</x:v>
      </x:c>
    </x:row>
    <x:row r="5609">
      <x:c r="A5609" s="15" t="n">
        <x:v>42948</x:v>
      </x:c>
      <x:c r="B5609" s="13" t="str">
        <x:v>BRASKEM SA-PREF A</x:v>
      </x:c>
      <x:c r="C5609" s="16" t="n">
        <x:v>2783.3827847014</x:v>
      </x:c>
      <x:c r="D5609" s="13" t="str">
        <x:v>Oil, Gas &amp; Petrochemicals</x:v>
      </x:c>
      <x:c r="E5609" s="13" t="str">
        <x:v>Oil, Gas &amp; Petrochemicals</x:v>
      </x:c>
      <x:c r="F5609" s="13" t="str">
        <x:v>Deep Cyclicals</x:v>
      </x:c>
      <x:c r="G5609" s="13" t="str">
        <x:v>grid_asitui1y.xlsx</x:v>
      </x:c>
    </x:row>
    <x:row r="5610">
      <x:c r="A5610" s="15" t="n">
        <x:v>42948</x:v>
      </x:c>
      <x:c r="B5610" s="13" t="str">
        <x:v>COSAN SA</x:v>
      </x:c>
      <x:c r="C5610" s="16" t="n">
        <x:v>1132.5567572164</x:v>
      </x:c>
      <x:c r="D5610" s="13" t="str">
        <x:v>Oil, Gas &amp; Petrochemicals</x:v>
      </x:c>
      <x:c r="E5610" s="13" t="str">
        <x:v>Oil, Gas &amp; Petrochemicals</x:v>
      </x:c>
      <x:c r="F5610" s="13" t="str">
        <x:v>Deep Cyclicals</x:v>
      </x:c>
      <x:c r="G5610" s="13" t="str">
        <x:v>grid_asitui1y.xlsx</x:v>
      </x:c>
    </x:row>
    <x:row r="5611">
      <x:c r="A5611" s="15" t="n">
        <x:v>42948</x:v>
      </x:c>
      <x:c r="B5611" s="13" t="str">
        <x:v>PETROBRAS - PETROLEO BRAS</x:v>
      </x:c>
      <x:c r="C5611" s="16" t="n">
        <x:v>17463.8731432329</x:v>
      </x:c>
      <x:c r="D5611" s="13" t="str">
        <x:v>Oil, Gas &amp; Petrochemicals</x:v>
      </x:c>
      <x:c r="E5611" s="13" t="str">
        <x:v>Oil, Gas &amp; Petrochemicals</x:v>
      </x:c>
      <x:c r="F5611" s="13" t="str">
        <x:v>Deep Cyclicals</x:v>
      </x:c>
      <x:c r="G5611" s="13" t="str">
        <x:v>grid_asitui1y.xlsx</x:v>
      </x:c>
    </x:row>
    <x:row r="5612">
      <x:c r="A5612" s="15" t="n">
        <x:v>42948</x:v>
      </x:c>
      <x:c r="B5612" s="13" t="str">
        <x:v>ULTRAPAR PARTICIPACOES SA</x:v>
      </x:c>
      <x:c r="C5612" s="16" t="n">
        <x:v>1783.3294634082</x:v>
      </x:c>
      <x:c r="D5612" s="13" t="str">
        <x:v>Oil, Gas &amp; Petrochemicals</x:v>
      </x:c>
      <x:c r="E5612" s="13" t="str">
        <x:v>Oil, Gas &amp; Petrochemicals</x:v>
      </x:c>
      <x:c r="F5612" s="13" t="str">
        <x:v>Deep Cyclicals</x:v>
      </x:c>
      <x:c r="G5612" s="13" t="str">
        <x:v>grid_asitui1y.xlsx</x:v>
      </x:c>
    </x:row>
    <x:row r="5613">
      <x:c r="A5613" s="15" t="n">
        <x:v>42948</x:v>
      </x:c>
      <x:c r="B5613" s="13" t="str">
        <x:v>FIBRIA CELULOSE S/A</x:v>
      </x:c>
      <x:c r="C5613" s="16" t="n">
        <x:v>1530.4175349479</x:v>
      </x:c>
      <x:c r="D5613" s="13" t="str">
        <x:v>Pulp &amp; Paper</x:v>
      </x:c>
      <x:c r="E5613" s="13" t="str">
        <x:v>Pulp &amp; Paper</x:v>
      </x:c>
      <x:c r="F5613" s="13" t="str">
        <x:v>Deep Cyclicals</x:v>
      </x:c>
      <x:c r="G5613" s="13" t="str">
        <x:v>grid_asitui1y.xlsx</x:v>
      </x:c>
    </x:row>
    <x:row r="5614">
      <x:c r="A5614" s="15" t="n">
        <x:v>42948</x:v>
      </x:c>
      <x:c r="B5614" s="13" t="str">
        <x:v>KLABIN SA - UNIT</x:v>
      </x:c>
      <x:c r="C5614" s="16" t="n">
        <x:v>946.0410978192</x:v>
      </x:c>
      <x:c r="D5614" s="13" t="str">
        <x:v>Pulp &amp; Paper</x:v>
      </x:c>
      <x:c r="E5614" s="13" t="str">
        <x:v>Pulp &amp; Paper</x:v>
      </x:c>
      <x:c r="F5614" s="13" t="str">
        <x:v>Deep Cyclicals</x:v>
      </x:c>
      <x:c r="G5614" s="13" t="str">
        <x:v>grid_asitui1y.xlsx</x:v>
      </x:c>
    </x:row>
    <x:row r="5615">
      <x:c r="A5615" s="15" t="n">
        <x:v>42948</x:v>
      </x:c>
      <x:c r="B5615" s="13" t="str">
        <x:v>SUZANO PAPEL E CELULO-PREF A</x:v>
      </x:c>
      <x:c r="C5615" s="16" t="n">
        <x:v>1490.8704985425</x:v>
      </x:c>
      <x:c r="D5615" s="13" t="str">
        <x:v>Pulp &amp; Paper</x:v>
      </x:c>
      <x:c r="E5615" s="13" t="str">
        <x:v>Pulp &amp; Paper</x:v>
      </x:c>
      <x:c r="F5615" s="13" t="str">
        <x:v>Deep Cyclicals</x:v>
      </x:c>
      <x:c r="G5615" s="13" t="str">
        <x:v>grid_asitui1y.xlsx</x:v>
      </x:c>
    </x:row>
    <x:row r="5616">
      <x:c r="A5616" s="15" t="n">
        <x:v>42948</x:v>
      </x:c>
      <x:c r="B5616" s="13" t="str">
        <x:v>CIA BRASILEIRA DE DIS-PREF</x:v>
      </x:c>
      <x:c r="C5616" s="16" t="n">
        <x:v>749.6499340274</x:v>
      </x:c>
      <x:c r="D5616" s="13" t="str">
        <x:v>Retail</x:v>
      </x:c>
      <x:c r="E5616" s="13" t="str">
        <x:v>Retail</x:v>
      </x:c>
      <x:c r="F5616" s="13" t="str">
        <x:v>Early Cyclicals</x:v>
      </x:c>
      <x:c r="G5616" s="13" t="str">
        <x:v>grid_asitui1y.xlsx</x:v>
      </x:c>
    </x:row>
    <x:row r="5617">
      <x:c r="A5617" s="15" t="n">
        <x:v>42948</x:v>
      </x:c>
      <x:c r="B5617" s="13" t="str">
        <x:v>LOJAS AMERICANAS SA-PREF</x:v>
      </x:c>
      <x:c r="C5617" s="16" t="n">
        <x:v>732.5986514411</x:v>
      </x:c>
      <x:c r="D5617" s="13" t="str">
        <x:v>Retail</x:v>
      </x:c>
      <x:c r="E5617" s="13" t="str">
        <x:v>Retail</x:v>
      </x:c>
      <x:c r="F5617" s="13" t="str">
        <x:v>Early Cyclicals</x:v>
      </x:c>
      <x:c r="G5617" s="13" t="str">
        <x:v>grid_asitui1y.xlsx</x:v>
      </x:c>
    </x:row>
    <x:row r="5618">
      <x:c r="A5618" s="15" t="n">
        <x:v>42948</x:v>
      </x:c>
      <x:c r="B5618" s="13" t="str">
        <x:v>LOJAS RENNER S.A.</x:v>
      </x:c>
      <x:c r="C5618" s="16" t="n">
        <x:v>844.6243617315</x:v>
      </x:c>
      <x:c r="D5618" s="13" t="str">
        <x:v>Retail</x:v>
      </x:c>
      <x:c r="E5618" s="13" t="str">
        <x:v>Retail</x:v>
      </x:c>
      <x:c r="F5618" s="13" t="str">
        <x:v>Early Cyclicals</x:v>
      </x:c>
      <x:c r="G5618" s="13" t="str">
        <x:v>grid_asitui1y.xlsx</x:v>
      </x:c>
    </x:row>
    <x:row r="5619">
      <x:c r="A5619" s="15" t="n">
        <x:v>42948</x:v>
      </x:c>
      <x:c r="B5619" s="13" t="str">
        <x:v>NATURA COSMETICOS SA</x:v>
      </x:c>
      <x:c r="C5619" s="16" t="n">
        <x:v>637.7749288329</x:v>
      </x:c>
      <x:c r="D5619" s="13" t="str">
        <x:v>Retail</x:v>
      </x:c>
      <x:c r="E5619" s="13" t="str">
        <x:v>Retail</x:v>
      </x:c>
      <x:c r="F5619" s="13" t="str">
        <x:v>Early Cyclicals</x:v>
      </x:c>
      <x:c r="G5619" s="13" t="str">
        <x:v>grid_asitui1y.xlsx</x:v>
      </x:c>
    </x:row>
    <x:row r="5620">
      <x:c r="A5620" s="15" t="n">
        <x:v>42948</x:v>
      </x:c>
      <x:c r="B5620" s="13" t="str">
        <x:v>RAIA DROGASIL SA</x:v>
      </x:c>
      <x:c r="C5620" s="16" t="n">
        <x:v>656.6004599233</x:v>
      </x:c>
      <x:c r="D5620" s="13" t="str">
        <x:v>Retail</x:v>
      </x:c>
      <x:c r="E5620" s="13" t="str">
        <x:v>Retail</x:v>
      </x:c>
      <x:c r="F5620" s="13" t="str">
        <x:v>Early Cyclicals</x:v>
      </x:c>
      <x:c r="G5620" s="13" t="str">
        <x:v>grid_asitui1y.xlsx</x:v>
      </x:c>
    </x:row>
    <x:row r="5621">
      <x:c r="A5621" s="15" t="n">
        <x:v>42948</x:v>
      </x:c>
      <x:c r="B5621" s="13" t="str">
        <x:v>CIA SANEAMENTO BASICO DE SP</x:v>
      </x:c>
      <x:c r="C5621" s="16" t="n">
        <x:v>2802.7355844384</x:v>
      </x:c>
      <x:c r="D5621" s="13" t="str">
        <x:v>Sanitation</x:v>
      </x:c>
      <x:c r="E5621" s="13" t="str">
        <x:v>Utilities</x:v>
      </x:c>
      <x:c r="F5621" s="13" t="str">
        <x:v>Defensives</x:v>
      </x:c>
      <x:c r="G5621" s="13" t="str">
        <x:v>grid_asitui1y.xlsx</x:v>
      </x:c>
    </x:row>
    <x:row r="5622">
      <x:c r="A5622" s="15" t="n">
        <x:v>42948</x:v>
      </x:c>
      <x:c r="B5622" s="13" t="str">
        <x:v>SMILES FIDELIDADE SA</x:v>
      </x:c>
      <x:c r="C5622" s="16" t="n">
        <x:v>634.493317611</x:v>
      </x:c>
      <x:c r="D5622" s="13" t="str">
        <x:v>TMT</x:v>
      </x:c>
      <x:c r="E5622" s="13" t="str">
        <x:v>TMT</x:v>
      </x:c>
      <x:c r="F5622" s="13" t="str">
        <x:v>Early Cyclicals</x:v>
      </x:c>
      <x:c r="G5622" s="13" t="str">
        <x:v>grid_asitui1y.xlsx</x:v>
      </x:c>
    </x:row>
    <x:row r="5623">
      <x:c r="A5623" s="15" t="n">
        <x:v>42948</x:v>
      </x:c>
      <x:c r="B5623" s="13" t="str">
        <x:v>TELEFONICA BRASIL S.A.-PREF</x:v>
      </x:c>
      <x:c r="C5623" s="16" t="n">
        <x:v>5609.1718038794</x:v>
      </x:c>
      <x:c r="D5623" s="13" t="str">
        <x:v>TMT</x:v>
      </x:c>
      <x:c r="E5623" s="13" t="str">
        <x:v>TMT</x:v>
      </x:c>
      <x:c r="F5623" s="13" t="str">
        <x:v>Early Cyclicals</x:v>
      </x:c>
      <x:c r="G5623" s="13" t="str">
        <x:v>grid_asitui1y.xlsx</x:v>
      </x:c>
    </x:row>
    <x:row r="5624">
      <x:c r="A5624" s="15" t="n">
        <x:v>42948</x:v>
      </x:c>
      <x:c r="B5624" s="13" t="str">
        <x:v>TIM SA</x:v>
      </x:c>
      <x:c r="C5624" s="16" t="n">
        <x:v>1099.2791264438</x:v>
      </x:c>
      <x:c r="D5624" s="13" t="str">
        <x:v>TMT</x:v>
      </x:c>
      <x:c r="E5624" s="13" t="str">
        <x:v>TMT</x:v>
      </x:c>
      <x:c r="F5624" s="13" t="str">
        <x:v>Early Cyclicals</x:v>
      </x:c>
      <x:c r="G5624" s="13" t="str">
        <x:v>grid_asitui1y.xlsx</x:v>
      </x:c>
    </x:row>
    <x:row r="5625">
      <x:c r="A5625" s="15" t="n">
        <x:v>42948</x:v>
      </x:c>
      <x:c r="B5625" s="13" t="str">
        <x:v>ECORODOVIAS INFRA E LOG SA</x:v>
      </x:c>
      <x:c r="C5625" s="16" t="n">
        <x:v>481.3702656877</x:v>
      </x:c>
      <x:c r="D5625" s="13" t="str">
        <x:v>Transportation</x:v>
      </x:c>
      <x:c r="E5625" s="13" t="str">
        <x:v>Transportation</x:v>
      </x:c>
      <x:c r="F5625" s="13" t="str">
        <x:v>Deep Cyclicals</x:v>
      </x:c>
      <x:c r="G5625" s="13" t="str">
        <x:v>grid_asitui1y.xlsx</x:v>
      </x:c>
    </x:row>
    <x:row r="5626">
      <x:c r="A5626" s="15" t="n">
        <x:v>42948</x:v>
      </x:c>
      <x:c r="B5626" s="13" t="str">
        <x:v>LOCALIZA RENT A CAR</x:v>
      </x:c>
      <x:c r="C5626" s="16" t="n">
        <x:v>570.383942137</x:v>
      </x:c>
      <x:c r="D5626" s="13" t="str">
        <x:v>Transportation</x:v>
      </x:c>
      <x:c r="E5626" s="13" t="str">
        <x:v>Transportation</x:v>
      </x:c>
      <x:c r="F5626" s="13" t="str">
        <x:v>Deep Cyclicals</x:v>
      </x:c>
      <x:c r="G5626" s="13" t="str">
        <x:v>grid_asitui1y.xlsx</x:v>
      </x:c>
    </x:row>
    <x:row r="5627">
      <x:c r="A5627" s="15" t="n">
        <x:v>42948</x:v>
      </x:c>
      <x:c r="B5627" s="13" t="str">
        <x:v>MOTIVA INFRAESTRUTURA DE MOB</x:v>
      </x:c>
      <x:c r="C5627" s="16" t="n">
        <x:v>1877.060800526</x:v>
      </x:c>
      <x:c r="D5627" s="13" t="str">
        <x:v>Transportation</x:v>
      </x:c>
      <x:c r="E5627" s="13" t="str">
        <x:v>Transportation</x:v>
      </x:c>
      <x:c r="F5627" s="13" t="str">
        <x:v>Deep Cyclicals</x:v>
      </x:c>
      <x:c r="G5627" s="13" t="str">
        <x:v>grid_asitui1y.xlsx</x:v>
      </x:c>
    </x:row>
    <x:row r="5628">
      <x:c r="A5628" s="15" t="n">
        <x:v>42948</x:v>
      </x:c>
      <x:c r="B5628" s="13" t="str">
        <x:v>RUMO SA</x:v>
      </x:c>
      <x:c r="C5628" s="16" t="n">
        <x:v>173.4762878247</x:v>
      </x:c>
      <x:c r="D5628" s="13" t="str">
        <x:v>Transportation</x:v>
      </x:c>
      <x:c r="E5628" s="13" t="str">
        <x:v>Transportation</x:v>
      </x:c>
      <x:c r="F5628" s="13" t="str">
        <x:v>Deep Cyclicals</x:v>
      </x:c>
      <x:c r="G5628" s="13" t="str">
        <x:v>grid_asitui1y.xlsx</x:v>
      </x:c>
    </x:row>
    <x:row r="5629">
      <x:c r="A5629" s="15" t="n">
        <x:v>42948</x:v>
      </x:c>
      <x:c r="B5629" s="13" t="str">
        <x:v>AXIA ENERGIA SA</x:v>
      </x:c>
      <x:c r="C5629" s="16" t="n">
        <x:v>3882.6439848329</x:v>
      </x:c>
      <x:c r="D5629" s="13" t="str">
        <x:v>Utilities &amp; Energy</x:v>
      </x:c>
      <x:c r="E5629" s="13" t="str">
        <x:v>Utilities</x:v>
      </x:c>
      <x:c r="F5629" s="13" t="str">
        <x:v>Defensives</x:v>
      </x:c>
      <x:c r="G5629" s="13" t="str">
        <x:v>grid_asitui1y.xlsx</x:v>
      </x:c>
    </x:row>
    <x:row r="5630">
      <x:c r="A5630" s="15" t="n">
        <x:v>42948</x:v>
      </x:c>
      <x:c r="B5630" s="13" t="str">
        <x:v>AXIA ENERGIA-PR B</x:v>
      </x:c>
      <x:c r="C5630" s="16" t="n">
        <x:v>3882.6439848329</x:v>
      </x:c>
      <x:c r="D5630" s="13" t="str">
        <x:v>Utilities &amp; Energy</x:v>
      </x:c>
      <x:c r="E5630" s="13" t="str">
        <x:v>Utilities</x:v>
      </x:c>
      <x:c r="F5630" s="13" t="str">
        <x:v>Defensives</x:v>
      </x:c>
      <x:c r="G5630" s="13" t="str">
        <x:v>grid_asitui1y.xlsx</x:v>
      </x:c>
    </x:row>
    <x:row r="5631">
      <x:c r="A5631" s="15" t="n">
        <x:v>42948</x:v>
      </x:c>
      <x:c r="B5631" s="13" t="str">
        <x:v>CIA ENERGETICA MINAS GER-PRF</x:v>
      </x:c>
      <x:c r="C5631" s="16" t="n">
        <x:v>1488.0667465644</x:v>
      </x:c>
      <x:c r="D5631" s="13" t="str">
        <x:v>Utilities &amp; Energy</x:v>
      </x:c>
      <x:c r="E5631" s="13" t="str">
        <x:v>Utilities</x:v>
      </x:c>
      <x:c r="F5631" s="13" t="str">
        <x:v>Defensives</x:v>
      </x:c>
      <x:c r="G5631" s="13" t="str">
        <x:v>grid_asitui1y.xlsx</x:v>
      </x:c>
    </x:row>
    <x:row r="5632">
      <x:c r="A5632" s="15" t="n">
        <x:v>42948</x:v>
      </x:c>
      <x:c r="B5632" s="13" t="str">
        <x:v>COMPANHIA PARANAENSE -PREF B</x:v>
      </x:c>
      <x:c r="C5632" s="16" t="n">
        <x:v>1329.5977145863</x:v>
      </x:c>
      <x:c r="D5632" s="13" t="str">
        <x:v>Utilities &amp; Energy</x:v>
      </x:c>
      <x:c r="E5632" s="13" t="str">
        <x:v>Utilities</x:v>
      </x:c>
      <x:c r="F5632" s="13" t="str">
        <x:v>Defensives</x:v>
      </x:c>
      <x:c r="G5632" s="13" t="str">
        <x:v>grid_asitui1y.xlsx</x:v>
      </x:c>
    </x:row>
    <x:row r="5633">
      <x:c r="A5633" s="15" t="n">
        <x:v>42948</x:v>
      </x:c>
      <x:c r="B5633" s="13" t="str">
        <x:v>CPFL ENERGIA SA</x:v>
      </x:c>
      <x:c r="C5633" s="16" t="n">
        <x:v>1477.726022137</x:v>
      </x:c>
      <x:c r="D5633" s="13" t="str">
        <x:v>Utilities &amp; Energy</x:v>
      </x:c>
      <x:c r="E5633" s="13" t="str">
        <x:v>Utilities</x:v>
      </x:c>
      <x:c r="F5633" s="13" t="str">
        <x:v>Defensives</x:v>
      </x:c>
      <x:c r="G5633" s="13" t="str">
        <x:v>grid_asitui1y.xlsx</x:v>
      </x:c>
    </x:row>
    <x:row r="5634">
      <x:c r="A5634" s="15" t="n">
        <x:v>42948</x:v>
      </x:c>
      <x:c r="B5634" s="13" t="str">
        <x:v>EDP - ENERGIAS DO BRASIL SA</x:v>
      </x:c>
      <x:c r="C5634" s="16" t="n">
        <x:v>714.4463398575</x:v>
      </x:c>
      <x:c r="D5634" s="13" t="str">
        <x:v>Utilities &amp; Energy</x:v>
      </x:c>
      <x:c r="E5634" s="13" t="str">
        <x:v>Utilities</x:v>
      </x:c>
      <x:c r="F5634" s="13" t="str">
        <x:v>Defensives</x:v>
      </x:c>
      <x:c r="G5634" s="13" t="str">
        <x:v>grid_asitui1y.xlsx</x:v>
      </x:c>
    </x:row>
    <x:row r="5635">
      <x:c r="A5635" s="15" t="n">
        <x:v>42948</x:v>
      </x:c>
      <x:c r="B5635" s="13" t="str">
        <x:v>ENGIE BRASIL ENERGIA SA</x:v>
      </x:c>
      <x:c r="C5635" s="16" t="n">
        <x:v>1820.1444337973</x:v>
      </x:c>
      <x:c r="D5635" s="13" t="str">
        <x:v>Utilities &amp; Energy</x:v>
      </x:c>
      <x:c r="E5635" s="13" t="str">
        <x:v>Utilities</x:v>
      </x:c>
      <x:c r="F5635" s="13" t="str">
        <x:v>Defensives</x:v>
      </x:c>
      <x:c r="G5635" s="13" t="str">
        <x:v>grid_asitui1y.xlsx</x:v>
      </x:c>
    </x:row>
    <x:row r="5636">
      <x:c r="A5636" s="15" t="n">
        <x:v>42948</x:v>
      </x:c>
      <x:c r="B5636" s="13" t="str">
        <x:v>EQUATORIAL SA - ORD</x:v>
      </x:c>
      <x:c r="C5636" s="16" t="n">
        <x:v>774.5968874959</x:v>
      </x:c>
      <x:c r="D5636" s="13" t="str">
        <x:v>Utilities &amp; Energy</x:v>
      </x:c>
      <x:c r="E5636" s="13" t="str">
        <x:v>Utilities</x:v>
      </x:c>
      <x:c r="F5636" s="13" t="str">
        <x:v>Defensives</x:v>
      </x:c>
      <x:c r="G5636" s="13" t="str">
        <x:v>grid_asitui1y.xlsx</x:v>
      </x:c>
    </x:row>
    <x:row r="5637">
      <x:c r="A5637" s="15" t="n">
        <x:v>42979</x:v>
      </x:c>
      <x:c r="B5637" s="13" t="str">
        <x:v>BANCO BRADESCO S.A.</x:v>
      </x:c>
      <x:c r="C5637" s="16" t="n">
        <x:v>19380.6379765479</x:v>
      </x:c>
      <x:c r="D5637" s="13" t="str">
        <x:v>Banks</x:v>
      </x:c>
      <x:c r="E5637" s="13" t="str">
        <x:v>Banks</x:v>
      </x:c>
      <x:c r="F5637" s="13" t="str">
        <x:v>Financials</x:v>
      </x:c>
      <x:c r="G5637" s="13" t="str">
        <x:v>grid_asitui1y.xlsx</x:v>
      </x:c>
    </x:row>
    <x:row r="5638">
      <x:c r="A5638" s="15" t="n">
        <x:v>42979</x:v>
      </x:c>
      <x:c r="B5638" s="13" t="str">
        <x:v>BANCO BRADESCO SA-PREF</x:v>
      </x:c>
      <x:c r="C5638" s="16" t="n">
        <x:v>19380.6379765479</x:v>
      </x:c>
      <x:c r="D5638" s="13" t="str">
        <x:v>Banks</x:v>
      </x:c>
      <x:c r="E5638" s="13" t="str">
        <x:v>Banks</x:v>
      </x:c>
      <x:c r="F5638" s="13" t="str">
        <x:v>Financials</x:v>
      </x:c>
      <x:c r="G5638" s="13" t="str">
        <x:v>grid_asitui1y.xlsx</x:v>
      </x:c>
    </x:row>
    <x:row r="5639">
      <x:c r="A5639" s="15" t="n">
        <x:v>42979</x:v>
      </x:c>
      <x:c r="B5639" s="13" t="str">
        <x:v>BANCO DO BRASIL S.A.</x:v>
      </x:c>
      <x:c r="C5639" s="16" t="n">
        <x:v>12208.9796818411</x:v>
      </x:c>
      <x:c r="D5639" s="13" t="str">
        <x:v>Banks</x:v>
      </x:c>
      <x:c r="E5639" s="13" t="str">
        <x:v>Banks</x:v>
      </x:c>
      <x:c r="F5639" s="13" t="str">
        <x:v>Financials</x:v>
      </x:c>
      <x:c r="G5639" s="13" t="str">
        <x:v>grid_asitui1y.xlsx</x:v>
      </x:c>
    </x:row>
    <x:row r="5640">
      <x:c r="A5640" s="15" t="n">
        <x:v>42979</x:v>
      </x:c>
      <x:c r="B5640" s="13" t="str">
        <x:v>BANCO SANTANDER  BRASIL-UNIT</x:v>
      </x:c>
      <x:c r="C5640" s="16" t="n">
        <x:v>9460.0699006247</x:v>
      </x:c>
      <x:c r="D5640" s="13" t="str">
        <x:v>Banks</x:v>
      </x:c>
      <x:c r="E5640" s="13" t="str">
        <x:v>Banks</x:v>
      </x:c>
      <x:c r="F5640" s="13" t="str">
        <x:v>Financials</x:v>
      </x:c>
      <x:c r="G5640" s="13" t="str">
        <x:v>grid_asitui1y.xlsx</x:v>
      </x:c>
    </x:row>
    <x:row r="5641">
      <x:c r="A5641" s="15" t="n">
        <x:v>42979</x:v>
      </x:c>
      <x:c r="B5641" s="13" t="str">
        <x:v>ITAU UNIBANCO HOLDING S-PREF</x:v>
      </x:c>
      <x:c r="C5641" s="16" t="n">
        <x:v>23927.6920439233</x:v>
      </x:c>
      <x:c r="D5641" s="13" t="str">
        <x:v>Banks</x:v>
      </x:c>
      <x:c r="E5641" s="13" t="str">
        <x:v>Banks</x:v>
      </x:c>
      <x:c r="F5641" s="13" t="str">
        <x:v>Financials</x:v>
      </x:c>
      <x:c r="G5641" s="13" t="str">
        <x:v>grid_asitui1y.xlsx</x:v>
      </x:c>
    </x:row>
    <x:row r="5642">
      <x:c r="A5642" s="15" t="n">
        <x:v>42979</x:v>
      </x:c>
      <x:c r="B5642" s="13" t="str">
        <x:v>EMBRAER SA</x:v>
      </x:c>
      <x:c r="C5642" s="16" t="n">
        <x:v>1034.6150782247</x:v>
      </x:c>
      <x:c r="D5642" s="13" t="str">
        <x:v>Capital Goods</x:v>
      </x:c>
      <x:c r="E5642" s="13" t="str">
        <x:v>Capital Goods</x:v>
      </x:c>
      <x:c r="F5642" s="13" t="str">
        <x:v>Deep Cyclicals</x:v>
      </x:c>
      <x:c r="G5642" s="13" t="str">
        <x:v>grid_asitui1y.xlsx</x:v>
      </x:c>
    </x:row>
    <x:row r="5643">
      <x:c r="A5643" s="15" t="n">
        <x:v>42979</x:v>
      </x:c>
      <x:c r="B5643" s="13" t="str">
        <x:v>WEG SA</x:v>
      </x:c>
      <x:c r="C5643" s="16" t="n">
        <x:v>1285.4703756274</x:v>
      </x:c>
      <x:c r="D5643" s="13" t="str">
        <x:v>Capital Goods</x:v>
      </x:c>
      <x:c r="E5643" s="13" t="str">
        <x:v>Capital Goods</x:v>
      </x:c>
      <x:c r="F5643" s="13" t="str">
        <x:v>Deep Cyclicals</x:v>
      </x:c>
      <x:c r="G5643" s="13" t="str">
        <x:v>grid_asitui1y.xlsx</x:v>
      </x:c>
    </x:row>
    <x:row r="5644">
      <x:c r="A5644" s="15" t="n">
        <x:v>42979</x:v>
      </x:c>
      <x:c r="B5644" s="13" t="str">
        <x:v>COGNA EDUCACAO</x:v>
      </x:c>
      <x:c r="C5644" s="16" t="n">
        <x:v>2213.6865900712</x:v>
      </x:c>
      <x:c r="D5644" s="13" t="str">
        <x:v>Education</x:v>
      </x:c>
      <x:c r="E5644" s="13" t="str">
        <x:v>Education</x:v>
      </x:c>
      <x:c r="F5644" s="13" t="str">
        <x:v>Early Cyclicals</x:v>
      </x:c>
      <x:c r="G5644" s="13" t="str">
        <x:v>grid_asitui1y.xlsx</x:v>
      </x:c>
    </x:row>
    <x:row r="5645">
      <x:c r="A5645" s="15" t="n">
        <x:v>42979</x:v>
      </x:c>
      <x:c r="B5645" s="13" t="str">
        <x:v>YDUQS PARTICIPACOES SA</x:v>
      </x:c>
      <x:c r="C5645" s="16" t="n">
        <x:v>611.5888952986</x:v>
      </x:c>
      <x:c r="D5645" s="13" t="str">
        <x:v>Education</x:v>
      </x:c>
      <x:c r="E5645" s="13" t="str">
        <x:v>Education</x:v>
      </x:c>
      <x:c r="F5645" s="13" t="str">
        <x:v>Early Cyclicals</x:v>
      </x:c>
      <x:c r="G5645" s="13" t="str">
        <x:v>grid_asitui1y.xlsx</x:v>
      </x:c>
    </x:row>
    <x:row r="5646">
      <x:c r="A5646" s="15" t="n">
        <x:v>42979</x:v>
      </x:c>
      <x:c r="B5646" s="13" t="str">
        <x:v>B3 SA-BRASIL BOLSA BALCAO</x:v>
      </x:c>
      <x:c r="C5646" s="16" t="n">
        <x:v>2147.8517482959</x:v>
      </x:c>
      <x:c r="D5646" s="13" t="str">
        <x:v>Financials Non-Banks</x:v>
      </x:c>
      <x:c r="E5646" s="13" t="str">
        <x:v>Financials Non-Banks</x:v>
      </x:c>
      <x:c r="F5646" s="13" t="str">
        <x:v>Financials</x:v>
      </x:c>
      <x:c r="G5646" s="13" t="str">
        <x:v>grid_asitui1y.xlsx</x:v>
      </x:c>
    </x:row>
    <x:row r="5647">
      <x:c r="A5647" s="15" t="n">
        <x:v>42979</x:v>
      </x:c>
      <x:c r="B5647" s="13" t="str">
        <x:v>BB SEGURIDADE PARTICIPACOES</x:v>
      </x:c>
      <x:c r="C5647" s="16" t="n">
        <x:v>4076.1541127014</x:v>
      </x:c>
      <x:c r="D5647" s="13" t="str">
        <x:v>Financials Non-Banks</x:v>
      </x:c>
      <x:c r="E5647" s="13" t="str">
        <x:v>Financials Non-Banks</x:v>
      </x:c>
      <x:c r="F5647" s="13" t="str">
        <x:v>Financials</x:v>
      </x:c>
      <x:c r="G5647" s="13" t="str">
        <x:v>grid_asitui1y.xlsx</x:v>
      </x:c>
    </x:row>
    <x:row r="5648">
      <x:c r="A5648" s="15" t="n">
        <x:v>42979</x:v>
      </x:c>
      <x:c r="B5648" s="13" t="str">
        <x:v>CIELO SA - INSTITUICAO DE PA</x:v>
      </x:c>
      <x:c r="C5648" s="16" t="n">
        <x:v>4292.9367271452</x:v>
      </x:c>
      <x:c r="D5648" s="13" t="str">
        <x:v>Financials Non-Banks</x:v>
      </x:c>
      <x:c r="E5648" s="13" t="str">
        <x:v>Financials Non-Banks</x:v>
      </x:c>
      <x:c r="F5648" s="13" t="str">
        <x:v>Financials</x:v>
      </x:c>
      <x:c r="G5648" s="13" t="str">
        <x:v>grid_asitui1y.xlsx</x:v>
      </x:c>
    </x:row>
    <x:row r="5649">
      <x:c r="A5649" s="15" t="n">
        <x:v>42979</x:v>
      </x:c>
      <x:c r="B5649" s="13" t="str">
        <x:v>ITAUSA SA</x:v>
      </x:c>
      <x:c r="C5649" s="16" t="n">
        <x:v>8574.6740266082</x:v>
      </x:c>
      <x:c r="D5649" s="13" t="str">
        <x:v>Financials Non-Banks</x:v>
      </x:c>
      <x:c r="E5649" s="13" t="str">
        <x:v>Financials Non-Banks</x:v>
      </x:c>
      <x:c r="F5649" s="13" t="str">
        <x:v>Financials</x:v>
      </x:c>
      <x:c r="G5649" s="13" t="str">
        <x:v>grid_asitui1y.xlsx</x:v>
      </x:c>
    </x:row>
    <x:row r="5650">
      <x:c r="A5650" s="15" t="n">
        <x:v>42979</x:v>
      </x:c>
      <x:c r="B5650" s="13" t="str">
        <x:v>AMBEV SA</x:v>
      </x:c>
      <x:c r="C5650" s="16" t="n">
        <x:v>13329.9856369973</x:v>
      </x:c>
      <x:c r="D5650" s="13" t="str">
        <x:v>Food &amp; Beverages</x:v>
      </x:c>
      <x:c r="E5650" s="13" t="str">
        <x:v>Agri, Food &amp; Beverages</x:v>
      </x:c>
      <x:c r="F5650" s="13" t="str">
        <x:v>Defensives</x:v>
      </x:c>
      <x:c r="G5650" s="13" t="str">
        <x:v>grid_asitui1y.xlsx</x:v>
      </x:c>
    </x:row>
    <x:row r="5651">
      <x:c r="A5651" s="15" t="n">
        <x:v>42979</x:v>
      </x:c>
      <x:c r="B5651" s="13" t="str">
        <x:v>BRF SA</x:v>
      </x:c>
      <x:c r="C5651" s="16" t="n">
        <x:v>1278.9119471343</x:v>
      </x:c>
      <x:c r="D5651" s="13" t="str">
        <x:v>Food &amp; Beverages</x:v>
      </x:c>
      <x:c r="E5651" s="13" t="str">
        <x:v>Agri, Food &amp; Beverages</x:v>
      </x:c>
      <x:c r="F5651" s="13" t="str">
        <x:v>Defensives</x:v>
      </x:c>
      <x:c r="G5651" s="13" t="str">
        <x:v>grid_asitui1y.xlsx</x:v>
      </x:c>
    </x:row>
    <x:row r="5652">
      <x:c r="A5652" s="15" t="n">
        <x:v>42979</x:v>
      </x:c>
      <x:c r="B5652" s="13" t="str">
        <x:v>JBS SA</x:v>
      </x:c>
      <x:c r="C5652" s="16" t="n">
        <x:v>3407.0849276493</x:v>
      </x:c>
      <x:c r="D5652" s="13" t="str">
        <x:v>Food &amp; Beverages</x:v>
      </x:c>
      <x:c r="E5652" s="13" t="str">
        <x:v>Agri, Food &amp; Beverages</x:v>
      </x:c>
      <x:c r="F5652" s="13" t="str">
        <x:v>Defensives</x:v>
      </x:c>
      <x:c r="G5652" s="13" t="str">
        <x:v>grid_asitui1y.xlsx</x:v>
      </x:c>
    </x:row>
    <x:row r="5653">
      <x:c r="A5653" s="15" t="n">
        <x:v>42979</x:v>
      </x:c>
      <x:c r="B5653" s="13" t="str">
        <x:v>MBRF GLOBAL FOODS COMPANY SA</x:v>
      </x:c>
      <x:c r="C5653" s="16" t="n">
        <x:v>36.6452054795</x:v>
      </x:c>
      <x:c r="D5653" s="13" t="str">
        <x:v>Food &amp; Beverages</x:v>
      </x:c>
      <x:c r="E5653" s="13" t="str">
        <x:v>Agri, Food &amp; Beverages</x:v>
      </x:c>
      <x:c r="F5653" s="13" t="str">
        <x:v>Defensives</x:v>
      </x:c>
      <x:c r="G5653" s="13" t="str">
        <x:v>grid_asitui1y.xlsx</x:v>
      </x:c>
    </x:row>
    <x:row r="5654">
      <x:c r="A5654" s="15" t="n">
        <x:v>42979</x:v>
      </x:c>
      <x:c r="B5654" s="13" t="str">
        <x:v>HYPERA SA</x:v>
      </x:c>
      <x:c r="C5654" s="16" t="n">
        <x:v>962.3644074082</x:v>
      </x:c>
      <x:c r="D5654" s="13" t="str">
        <x:v>Health Care</x:v>
      </x:c>
      <x:c r="E5654" s="13" t="str">
        <x:v>Health Care</x:v>
      </x:c>
      <x:c r="F5654" s="13" t="str">
        <x:v>Defensives</x:v>
      </x:c>
      <x:c r="G5654" s="13" t="str">
        <x:v>grid_asitui1y.xlsx</x:v>
      </x:c>
    </x:row>
    <x:row r="5655">
      <x:c r="A5655" s="15" t="n">
        <x:v>42979</x:v>
      </x:c>
      <x:c r="B5655" s="13" t="str">
        <x:v>QUALICORP CONS E CORR SEG SA</x:v>
      </x:c>
      <x:c r="C5655" s="16" t="n">
        <x:v>564.6389041096</x:v>
      </x:c>
      <x:c r="D5655" s="13" t="str">
        <x:v>Health Care</x:v>
      </x:c>
      <x:c r="E5655" s="13" t="str">
        <x:v>Health Care</x:v>
      </x:c>
      <x:c r="F5655" s="13" t="str">
        <x:v>Defensives</x:v>
      </x:c>
      <x:c r="G5655" s="13" t="str">
        <x:v>grid_asitui1y.xlsx</x:v>
      </x:c>
    </x:row>
    <x:row r="5656">
      <x:c r="A5656" s="15" t="n">
        <x:v>42979</x:v>
      </x:c>
      <x:c r="B5656" s="13" t="str">
        <x:v>CYRELA BRAZIL REALTY SA EMP</x:v>
      </x:c>
      <x:c r="C5656" s="16" t="n">
        <x:v>162.4282191781</x:v>
      </x:c>
      <x:c r="D5656" s="13" t="str">
        <x:v>Homebuilders</x:v>
      </x:c>
      <x:c r="E5656" s="13" t="str">
        <x:v>Real Estate</x:v>
      </x:c>
      <x:c r="F5656" s="13" t="str">
        <x:v>Early Cyclicals</x:v>
      </x:c>
      <x:c r="G5656" s="13" t="str">
        <x:v>grid_asitui1y.xlsx</x:v>
      </x:c>
    </x:row>
    <x:row r="5657">
      <x:c r="A5657" s="15" t="n">
        <x:v>42979</x:v>
      </x:c>
      <x:c r="B5657" s="13" t="str">
        <x:v>MRV ENGENHARIA</x:v>
      </x:c>
      <x:c r="C5657" s="16" t="n">
        <x:v>695.3071919342</x:v>
      </x:c>
      <x:c r="D5657" s="13" t="str">
        <x:v>Homebuilders</x:v>
      </x:c>
      <x:c r="E5657" s="13" t="str">
        <x:v>Real Estate</x:v>
      </x:c>
      <x:c r="F5657" s="13" t="str">
        <x:v>Early Cyclicals</x:v>
      </x:c>
      <x:c r="G5657" s="13" t="str">
        <x:v>grid_asitui1y.xlsx</x:v>
      </x:c>
    </x:row>
    <x:row r="5658">
      <x:c r="A5658" s="15" t="n">
        <x:v>42979</x:v>
      </x:c>
      <x:c r="B5658" s="13" t="str">
        <x:v>BR MALLS PARTICIPACOES SA</x:v>
      </x:c>
      <x:c r="C5658" s="16" t="n">
        <x:v>509.3286342137</x:v>
      </x:c>
      <x:c r="D5658" s="13" t="str">
        <x:v>Income Properties</x:v>
      </x:c>
      <x:c r="E5658" s="13" t="str">
        <x:v>Real Estate</x:v>
      </x:c>
      <x:c r="F5658" s="13" t="str">
        <x:v>Early Cyclicals</x:v>
      </x:c>
      <x:c r="G5658" s="13" t="str">
        <x:v>grid_asitui1y.xlsx</x:v>
      </x:c>
    </x:row>
    <x:row r="5659">
      <x:c r="A5659" s="15" t="n">
        <x:v>42979</x:v>
      </x:c>
      <x:c r="B5659" s="13" t="str">
        <x:v>MULTIPLAN EMPREENDIMENTOS</x:v>
      </x:c>
      <x:c r="C5659" s="16" t="n">
        <x:v>481.9696495342</x:v>
      </x:c>
      <x:c r="D5659" s="13" t="str">
        <x:v>Income Properties</x:v>
      </x:c>
      <x:c r="E5659" s="13" t="str">
        <x:v>Real Estate</x:v>
      </x:c>
      <x:c r="F5659" s="13" t="str">
        <x:v>Early Cyclicals</x:v>
      </x:c>
      <x:c r="G5659" s="13" t="str">
        <x:v>grid_asitui1y.xlsx</x:v>
      </x:c>
    </x:row>
    <x:row r="5660">
      <x:c r="A5660" s="15" t="n">
        <x:v>42979</x:v>
      </x:c>
      <x:c r="B5660" s="13" t="str">
        <x:v>BRADESPAR SA -PREF</x:v>
      </x:c>
      <x:c r="C5660" s="16" t="n">
        <x:v>1061.3275339397</x:v>
      </x:c>
      <x:c r="D5660" s="13" t="str">
        <x:v>Metals &amp; Mining</x:v>
      </x:c>
      <x:c r="E5660" s="13" t="str">
        <x:v>Metals &amp; Mining</x:v>
      </x:c>
      <x:c r="F5660" s="13" t="str">
        <x:v>Deep Cyclicals</x:v>
      </x:c>
      <x:c r="G5660" s="13" t="str">
        <x:v>grid_asitui1y.xlsx</x:v>
      </x:c>
    </x:row>
    <x:row r="5661">
      <x:c r="A5661" s="15" t="n">
        <x:v>42979</x:v>
      </x:c>
      <x:c r="B5661" s="13" t="str">
        <x:v>CIA SIDERURGICA NACIONAL SA</x:v>
      </x:c>
      <x:c r="C5661" s="16" t="n">
        <x:v>506.391096811</x:v>
      </x:c>
      <x:c r="D5661" s="13" t="str">
        <x:v>Metals &amp; Mining</x:v>
      </x:c>
      <x:c r="E5661" s="13" t="str">
        <x:v>Metals &amp; Mining</x:v>
      </x:c>
      <x:c r="F5661" s="13" t="str">
        <x:v>Deep Cyclicals</x:v>
      </x:c>
      <x:c r="G5661" s="13" t="str">
        <x:v>grid_asitui1y.xlsx</x:v>
      </x:c>
    </x:row>
    <x:row r="5662">
      <x:c r="A5662" s="15" t="n">
        <x:v>42979</x:v>
      </x:c>
      <x:c r="B5662" s="13" t="str">
        <x:v>GERDAU SA-PREF</x:v>
      </x:c>
      <x:c r="C5662" s="16" t="n">
        <x:v>1246.8358250959</x:v>
      </x:c>
      <x:c r="D5662" s="13" t="str">
        <x:v>Metals &amp; Mining</x:v>
      </x:c>
      <x:c r="E5662" s="13" t="str">
        <x:v>Metals &amp; Mining</x:v>
      </x:c>
      <x:c r="F5662" s="13" t="str">
        <x:v>Deep Cyclicals</x:v>
      </x:c>
      <x:c r="G5662" s="13" t="str">
        <x:v>grid_asitui1y.xlsx</x:v>
      </x:c>
    </x:row>
    <x:row r="5663">
      <x:c r="A5663" s="15" t="n">
        <x:v>42979</x:v>
      </x:c>
      <x:c r="B5663" s="13" t="str">
        <x:v>METALURGICA GERDAU SA-PREF</x:v>
      </x:c>
      <x:c r="C5663" s="16" t="n">
        <x:v>422.1479452055</x:v>
      </x:c>
      <x:c r="D5663" s="13" t="str">
        <x:v>Metals &amp; Mining</x:v>
      </x:c>
      <x:c r="E5663" s="13" t="str">
        <x:v>Metals &amp; Mining</x:v>
      </x:c>
      <x:c r="F5663" s="13" t="str">
        <x:v>Deep Cyclicals</x:v>
      </x:c>
      <x:c r="G5663" s="13" t="str">
        <x:v>grid_asitui1y.xlsx</x:v>
      </x:c>
    </x:row>
    <x:row r="5664">
      <x:c r="A5664" s="15" t="n">
        <x:v>42979</x:v>
      </x:c>
      <x:c r="B5664" s="13" t="str">
        <x:v>USINAS SIDER MINAS GER-PF A</x:v>
      </x:c>
      <x:c r="C5664" s="16" t="n">
        <x:v>359.8668278795</x:v>
      </x:c>
      <x:c r="D5664" s="13" t="str">
        <x:v>Metals &amp; Mining</x:v>
      </x:c>
      <x:c r="E5664" s="13" t="str">
        <x:v>Metals &amp; Mining</x:v>
      </x:c>
      <x:c r="F5664" s="13" t="str">
        <x:v>Deep Cyclicals</x:v>
      </x:c>
      <x:c r="G5664" s="13" t="str">
        <x:v>grid_asitui1y.xlsx</x:v>
      </x:c>
    </x:row>
    <x:row r="5665">
      <x:c r="A5665" s="15" t="n">
        <x:v>42979</x:v>
      </x:c>
      <x:c r="B5665" s="13" t="str">
        <x:v>VALE SA</x:v>
      </x:c>
      <x:c r="C5665" s="16" t="n">
        <x:v>18404.2946223342</x:v>
      </x:c>
      <x:c r="D5665" s="13" t="str">
        <x:v>Metals &amp; Mining</x:v>
      </x:c>
      <x:c r="E5665" s="13" t="str">
        <x:v>Metals &amp; Mining</x:v>
      </x:c>
      <x:c r="F5665" s="13" t="str">
        <x:v>Deep Cyclicals</x:v>
      </x:c>
      <x:c r="G5665" s="13" t="str">
        <x:v>grid_asitui1y.xlsx</x:v>
      </x:c>
    </x:row>
    <x:row r="5666">
      <x:c r="A5666" s="15" t="n">
        <x:v>42979</x:v>
      </x:c>
      <x:c r="B5666" s="13" t="str">
        <x:v>BRASKEM SA-PREF A</x:v>
      </x:c>
      <x:c r="C5666" s="16" t="n">
        <x:v>2879.961637874</x:v>
      </x:c>
      <x:c r="D5666" s="13" t="str">
        <x:v>Oil, Gas &amp; Petrochemicals</x:v>
      </x:c>
      <x:c r="E5666" s="13" t="str">
        <x:v>Oil, Gas &amp; Petrochemicals</x:v>
      </x:c>
      <x:c r="F5666" s="13" t="str">
        <x:v>Deep Cyclicals</x:v>
      </x:c>
      <x:c r="G5666" s="13" t="str">
        <x:v>grid_asitui1y.xlsx</x:v>
      </x:c>
    </x:row>
    <x:row r="5667">
      <x:c r="A5667" s="15" t="n">
        <x:v>42979</x:v>
      </x:c>
      <x:c r="B5667" s="13" t="str">
        <x:v>COSAN SA</x:v>
      </x:c>
      <x:c r="C5667" s="16" t="n">
        <x:v>1126.0961844603</x:v>
      </x:c>
      <x:c r="D5667" s="13" t="str">
        <x:v>Oil, Gas &amp; Petrochemicals</x:v>
      </x:c>
      <x:c r="E5667" s="13" t="str">
        <x:v>Oil, Gas &amp; Petrochemicals</x:v>
      </x:c>
      <x:c r="F5667" s="13" t="str">
        <x:v>Deep Cyclicals</x:v>
      </x:c>
      <x:c r="G5667" s="13" t="str">
        <x:v>grid_asitui1y.xlsx</x:v>
      </x:c>
    </x:row>
    <x:row r="5668">
      <x:c r="A5668" s="15" t="n">
        <x:v>42979</x:v>
      </x:c>
      <x:c r="B5668" s="13" t="str">
        <x:v>PETROBRAS - PETROLEO BRAS</x:v>
      </x:c>
      <x:c r="C5668" s="16" t="n">
        <x:v>16782.7974284274</x:v>
      </x:c>
      <x:c r="D5668" s="13" t="str">
        <x:v>Oil, Gas &amp; Petrochemicals</x:v>
      </x:c>
      <x:c r="E5668" s="13" t="str">
        <x:v>Oil, Gas &amp; Petrochemicals</x:v>
      </x:c>
      <x:c r="F5668" s="13" t="str">
        <x:v>Deep Cyclicals</x:v>
      </x:c>
      <x:c r="G5668" s="13" t="str">
        <x:v>grid_asitui1y.xlsx</x:v>
      </x:c>
    </x:row>
    <x:row r="5669">
      <x:c r="A5669" s="15" t="n">
        <x:v>42979</x:v>
      </x:c>
      <x:c r="B5669" s="13" t="str">
        <x:v>ULTRAPAR PARTICIPACOES SA</x:v>
      </x:c>
      <x:c r="C5669" s="16" t="n">
        <x:v>1808.6671205699</x:v>
      </x:c>
      <x:c r="D5669" s="13" t="str">
        <x:v>Oil, Gas &amp; Petrochemicals</x:v>
      </x:c>
      <x:c r="E5669" s="13" t="str">
        <x:v>Oil, Gas &amp; Petrochemicals</x:v>
      </x:c>
      <x:c r="F5669" s="13" t="str">
        <x:v>Deep Cyclicals</x:v>
      </x:c>
      <x:c r="G5669" s="13" t="str">
        <x:v>grid_asitui1y.xlsx</x:v>
      </x:c>
    </x:row>
    <x:row r="5670">
      <x:c r="A5670" s="15" t="n">
        <x:v>42979</x:v>
      </x:c>
      <x:c r="B5670" s="13" t="str">
        <x:v>FIBRIA CELULOSE S/A</x:v>
      </x:c>
      <x:c r="C5670" s="16" t="n">
        <x:v>1812.626540011</x:v>
      </x:c>
      <x:c r="D5670" s="13" t="str">
        <x:v>Pulp &amp; Paper</x:v>
      </x:c>
      <x:c r="E5670" s="13" t="str">
        <x:v>Pulp &amp; Paper</x:v>
      </x:c>
      <x:c r="F5670" s="13" t="str">
        <x:v>Deep Cyclicals</x:v>
      </x:c>
      <x:c r="G5670" s="13" t="str">
        <x:v>grid_asitui1y.xlsx</x:v>
      </x:c>
    </x:row>
    <x:row r="5671">
      <x:c r="A5671" s="15" t="n">
        <x:v>42979</x:v>
      </x:c>
      <x:c r="B5671" s="13" t="str">
        <x:v>KLABIN SA - UNIT</x:v>
      </x:c>
      <x:c r="C5671" s="16" t="n">
        <x:v>1033.5051814575</x:v>
      </x:c>
      <x:c r="D5671" s="13" t="str">
        <x:v>Pulp &amp; Paper</x:v>
      </x:c>
      <x:c r="E5671" s="13" t="str">
        <x:v>Pulp &amp; Paper</x:v>
      </x:c>
      <x:c r="F5671" s="13" t="str">
        <x:v>Deep Cyclicals</x:v>
      </x:c>
      <x:c r="G5671" s="13" t="str">
        <x:v>grid_asitui1y.xlsx</x:v>
      </x:c>
    </x:row>
    <x:row r="5672">
      <x:c r="A5672" s="15" t="n">
        <x:v>42979</x:v>
      </x:c>
      <x:c r="B5672" s="13" t="str">
        <x:v>SUZANO PAPEL E CELULO-PREF A</x:v>
      </x:c>
      <x:c r="C5672" s="16" t="n">
        <x:v>1699.4192057863</x:v>
      </x:c>
      <x:c r="D5672" s="13" t="str">
        <x:v>Pulp &amp; Paper</x:v>
      </x:c>
      <x:c r="E5672" s="13" t="str">
        <x:v>Pulp &amp; Paper</x:v>
      </x:c>
      <x:c r="F5672" s="13" t="str">
        <x:v>Deep Cyclicals</x:v>
      </x:c>
      <x:c r="G5672" s="13" t="str">
        <x:v>grid_asitui1y.xlsx</x:v>
      </x:c>
    </x:row>
    <x:row r="5673">
      <x:c r="A5673" s="15" t="n">
        <x:v>42979</x:v>
      </x:c>
      <x:c r="B5673" s="13" t="str">
        <x:v>CIA BRASILEIRA DE DIS-PREF</x:v>
      </x:c>
      <x:c r="C5673" s="16" t="n">
        <x:v>777.2092438795</x:v>
      </x:c>
      <x:c r="D5673" s="13" t="str">
        <x:v>Retail</x:v>
      </x:c>
      <x:c r="E5673" s="13" t="str">
        <x:v>Retail</x:v>
      </x:c>
      <x:c r="F5673" s="13" t="str">
        <x:v>Early Cyclicals</x:v>
      </x:c>
      <x:c r="G5673" s="13" t="str">
        <x:v>grid_asitui1y.xlsx</x:v>
      </x:c>
    </x:row>
    <x:row r="5674">
      <x:c r="A5674" s="15" t="n">
        <x:v>42979</x:v>
      </x:c>
      <x:c r="B5674" s="13" t="str">
        <x:v>LOJAS AMERICANAS SA-PREF</x:v>
      </x:c>
      <x:c r="C5674" s="16" t="n">
        <x:v>744.3843809315</x:v>
      </x:c>
      <x:c r="D5674" s="13" t="str">
        <x:v>Retail</x:v>
      </x:c>
      <x:c r="E5674" s="13" t="str">
        <x:v>Retail</x:v>
      </x:c>
      <x:c r="F5674" s="13" t="str">
        <x:v>Early Cyclicals</x:v>
      </x:c>
      <x:c r="G5674" s="13" t="str">
        <x:v>grid_asitui1y.xlsx</x:v>
      </x:c>
    </x:row>
    <x:row r="5675">
      <x:c r="A5675" s="15" t="n">
        <x:v>42979</x:v>
      </x:c>
      <x:c r="B5675" s="13" t="str">
        <x:v>LOJAS RENNER S.A.</x:v>
      </x:c>
      <x:c r="C5675" s="16" t="n">
        <x:v>865.442668011</x:v>
      </x:c>
      <x:c r="D5675" s="13" t="str">
        <x:v>Retail</x:v>
      </x:c>
      <x:c r="E5675" s="13" t="str">
        <x:v>Retail</x:v>
      </x:c>
      <x:c r="F5675" s="13" t="str">
        <x:v>Early Cyclicals</x:v>
      </x:c>
      <x:c r="G5675" s="13" t="str">
        <x:v>grid_asitui1y.xlsx</x:v>
      </x:c>
    </x:row>
    <x:row r="5676">
      <x:c r="A5676" s="15" t="n">
        <x:v>42979</x:v>
      </x:c>
      <x:c r="B5676" s="13" t="str">
        <x:v>NATURA COSMETICOS SA</x:v>
      </x:c>
      <x:c r="C5676" s="16" t="n">
        <x:v>652.0227308712</x:v>
      </x:c>
      <x:c r="D5676" s="13" t="str">
        <x:v>Retail</x:v>
      </x:c>
      <x:c r="E5676" s="13" t="str">
        <x:v>Retail</x:v>
      </x:c>
      <x:c r="F5676" s="13" t="str">
        <x:v>Early Cyclicals</x:v>
      </x:c>
      <x:c r="G5676" s="13" t="str">
        <x:v>grid_asitui1y.xlsx</x:v>
      </x:c>
    </x:row>
    <x:row r="5677">
      <x:c r="A5677" s="15" t="n">
        <x:v>42979</x:v>
      </x:c>
      <x:c r="B5677" s="13" t="str">
        <x:v>RAIA DROGASIL SA</x:v>
      </x:c>
      <x:c r="C5677" s="16" t="n">
        <x:v>658.1817131836</x:v>
      </x:c>
      <x:c r="D5677" s="13" t="str">
        <x:v>Retail</x:v>
      </x:c>
      <x:c r="E5677" s="13" t="str">
        <x:v>Retail</x:v>
      </x:c>
      <x:c r="F5677" s="13" t="str">
        <x:v>Early Cyclicals</x:v>
      </x:c>
      <x:c r="G5677" s="13" t="str">
        <x:v>grid_asitui1y.xlsx</x:v>
      </x:c>
    </x:row>
    <x:row r="5678">
      <x:c r="A5678" s="15" t="n">
        <x:v>42979</x:v>
      </x:c>
      <x:c r="B5678" s="13" t="str">
        <x:v>CIA SANEAMENTO BASICO DE SP</x:v>
      </x:c>
      <x:c r="C5678" s="16" t="n">
        <x:v>2840.2369543014</x:v>
      </x:c>
      <x:c r="D5678" s="13" t="str">
        <x:v>Sanitation</x:v>
      </x:c>
      <x:c r="E5678" s="13" t="str">
        <x:v>Utilities</x:v>
      </x:c>
      <x:c r="F5678" s="13" t="str">
        <x:v>Defensives</x:v>
      </x:c>
      <x:c r="G5678" s="13" t="str">
        <x:v>grid_asitui1y.xlsx</x:v>
      </x:c>
    </x:row>
    <x:row r="5679">
      <x:c r="A5679" s="15" t="n">
        <x:v>42979</x:v>
      </x:c>
      <x:c r="B5679" s="13" t="str">
        <x:v>SMILES FIDELIDADE SA</x:v>
      </x:c>
      <x:c r="C5679" s="16" t="n">
        <x:v>631.2335547616</x:v>
      </x:c>
      <x:c r="D5679" s="13" t="str">
        <x:v>TMT</x:v>
      </x:c>
      <x:c r="E5679" s="13" t="str">
        <x:v>TMT</x:v>
      </x:c>
      <x:c r="F5679" s="13" t="str">
        <x:v>Early Cyclicals</x:v>
      </x:c>
      <x:c r="G5679" s="13" t="str">
        <x:v>grid_asitui1y.xlsx</x:v>
      </x:c>
    </x:row>
    <x:row r="5680">
      <x:c r="A5680" s="15" t="n">
        <x:v>42979</x:v>
      </x:c>
      <x:c r="B5680" s="13" t="str">
        <x:v>TELEFONICA BRASIL S.A.-PREF</x:v>
      </x:c>
      <x:c r="C5680" s="16" t="n">
        <x:v>5584.1437359342</x:v>
      </x:c>
      <x:c r="D5680" s="13" t="str">
        <x:v>TMT</x:v>
      </x:c>
      <x:c r="E5680" s="13" t="str">
        <x:v>TMT</x:v>
      </x:c>
      <x:c r="F5680" s="13" t="str">
        <x:v>Early Cyclicals</x:v>
      </x:c>
      <x:c r="G5680" s="13" t="str">
        <x:v>grid_asitui1y.xlsx</x:v>
      </x:c>
    </x:row>
    <x:row r="5681">
      <x:c r="A5681" s="15" t="n">
        <x:v>42979</x:v>
      </x:c>
      <x:c r="B5681" s="13" t="str">
        <x:v>TIM SA</x:v>
      </x:c>
      <x:c r="C5681" s="16" t="n">
        <x:v>1116.9552636493</x:v>
      </x:c>
      <x:c r="D5681" s="13" t="str">
        <x:v>TMT</x:v>
      </x:c>
      <x:c r="E5681" s="13" t="str">
        <x:v>TMT</x:v>
      </x:c>
      <x:c r="F5681" s="13" t="str">
        <x:v>Early Cyclicals</x:v>
      </x:c>
      <x:c r="G5681" s="13" t="str">
        <x:v>grid_asitui1y.xlsx</x:v>
      </x:c>
    </x:row>
    <x:row r="5682">
      <x:c r="A5682" s="15" t="n">
        <x:v>42979</x:v>
      </x:c>
      <x:c r="B5682" s="13" t="str">
        <x:v>ECORODOVIAS INFRA E LOG SA</x:v>
      </x:c>
      <x:c r="C5682" s="16" t="n">
        <x:v>491.8263335452</x:v>
      </x:c>
      <x:c r="D5682" s="13" t="str">
        <x:v>Transportation</x:v>
      </x:c>
      <x:c r="E5682" s="13" t="str">
        <x:v>Transportation</x:v>
      </x:c>
      <x:c r="F5682" s="13" t="str">
        <x:v>Deep Cyclicals</x:v>
      </x:c>
      <x:c r="G5682" s="13" t="str">
        <x:v>grid_asitui1y.xlsx</x:v>
      </x:c>
    </x:row>
    <x:row r="5683">
      <x:c r="A5683" s="15" t="n">
        <x:v>42979</x:v>
      </x:c>
      <x:c r="B5683" s="13" t="str">
        <x:v>LOCALIZA RENT A CAR</x:v>
      </x:c>
      <x:c r="C5683" s="16" t="n">
        <x:v>576.5379042192</x:v>
      </x:c>
      <x:c r="D5683" s="13" t="str">
        <x:v>Transportation</x:v>
      </x:c>
      <x:c r="E5683" s="13" t="str">
        <x:v>Transportation</x:v>
      </x:c>
      <x:c r="F5683" s="13" t="str">
        <x:v>Deep Cyclicals</x:v>
      </x:c>
      <x:c r="G5683" s="13" t="str">
        <x:v>grid_asitui1y.xlsx</x:v>
      </x:c>
    </x:row>
    <x:row r="5684">
      <x:c r="A5684" s="15" t="n">
        <x:v>42979</x:v>
      </x:c>
      <x:c r="B5684" s="13" t="str">
        <x:v>MOTIVA INFRAESTRUTURA DE MOB</x:v>
      </x:c>
      <x:c r="C5684" s="16" t="n">
        <x:v>1890.793965063</x:v>
      </x:c>
      <x:c r="D5684" s="13" t="str">
        <x:v>Transportation</x:v>
      </x:c>
      <x:c r="E5684" s="13" t="str">
        <x:v>Transportation</x:v>
      </x:c>
      <x:c r="F5684" s="13" t="str">
        <x:v>Deep Cyclicals</x:v>
      </x:c>
      <x:c r="G5684" s="13" t="str">
        <x:v>grid_asitui1y.xlsx</x:v>
      </x:c>
    </x:row>
    <x:row r="5685">
      <x:c r="A5685" s="15" t="n">
        <x:v>42979</x:v>
      </x:c>
      <x:c r="B5685" s="13" t="str">
        <x:v>RUMO SA</x:v>
      </x:c>
      <x:c r="C5685" s="16" t="n">
        <x:v>176.8117960767</x:v>
      </x:c>
      <x:c r="D5685" s="13" t="str">
        <x:v>Transportation</x:v>
      </x:c>
      <x:c r="E5685" s="13" t="str">
        <x:v>Transportation</x:v>
      </x:c>
      <x:c r="F5685" s="13" t="str">
        <x:v>Deep Cyclicals</x:v>
      </x:c>
      <x:c r="G5685" s="13" t="str">
        <x:v>grid_asitui1y.xlsx</x:v>
      </x:c>
    </x:row>
    <x:row r="5686">
      <x:c r="A5686" s="15" t="n">
        <x:v>42979</x:v>
      </x:c>
      <x:c r="B5686" s="13" t="str">
        <x:v>AXIA ENERGIA SA</x:v>
      </x:c>
      <x:c r="C5686" s="16" t="n">
        <x:v>4029.6302963726</x:v>
      </x:c>
      <x:c r="D5686" s="13" t="str">
        <x:v>Utilities &amp; Energy</x:v>
      </x:c>
      <x:c r="E5686" s="13" t="str">
        <x:v>Utilities</x:v>
      </x:c>
      <x:c r="F5686" s="13" t="str">
        <x:v>Defensives</x:v>
      </x:c>
      <x:c r="G5686" s="13" t="str">
        <x:v>grid_asitui1y.xlsx</x:v>
      </x:c>
    </x:row>
    <x:row r="5687">
      <x:c r="A5687" s="15" t="n">
        <x:v>42979</x:v>
      </x:c>
      <x:c r="B5687" s="13" t="str">
        <x:v>AXIA ENERGIA-PR B</x:v>
      </x:c>
      <x:c r="C5687" s="16" t="n">
        <x:v>4029.6302963726</x:v>
      </x:c>
      <x:c r="D5687" s="13" t="str">
        <x:v>Utilities &amp; Energy</x:v>
      </x:c>
      <x:c r="E5687" s="13" t="str">
        <x:v>Utilities</x:v>
      </x:c>
      <x:c r="F5687" s="13" t="str">
        <x:v>Defensives</x:v>
      </x:c>
      <x:c r="G5687" s="13" t="str">
        <x:v>grid_asitui1y.xlsx</x:v>
      </x:c>
    </x:row>
    <x:row r="5688">
      <x:c r="A5688" s="15" t="n">
        <x:v>42979</x:v>
      </x:c>
      <x:c r="B5688" s="13" t="str">
        <x:v>CIA ENERGETICA MINAS GER-PRF</x:v>
      </x:c>
      <x:c r="C5688" s="16" t="n">
        <x:v>1504.8740425644</x:v>
      </x:c>
      <x:c r="D5688" s="13" t="str">
        <x:v>Utilities &amp; Energy</x:v>
      </x:c>
      <x:c r="E5688" s="13" t="str">
        <x:v>Utilities</x:v>
      </x:c>
      <x:c r="F5688" s="13" t="str">
        <x:v>Defensives</x:v>
      </x:c>
      <x:c r="G5688" s="13" t="str">
        <x:v>grid_asitui1y.xlsx</x:v>
      </x:c>
    </x:row>
    <x:row r="5689">
      <x:c r="A5689" s="15" t="n">
        <x:v>42979</x:v>
      </x:c>
      <x:c r="B5689" s="13" t="str">
        <x:v>COMPANHIA PARANAENSE -PREF B</x:v>
      </x:c>
      <x:c r="C5689" s="16" t="n">
        <x:v>1349.8079375781</x:v>
      </x:c>
      <x:c r="D5689" s="13" t="str">
        <x:v>Utilities &amp; Energy</x:v>
      </x:c>
      <x:c r="E5689" s="13" t="str">
        <x:v>Utilities</x:v>
      </x:c>
      <x:c r="F5689" s="13" t="str">
        <x:v>Defensives</x:v>
      </x:c>
      <x:c r="G5689" s="13" t="str">
        <x:v>grid_asitui1y.xlsx</x:v>
      </x:c>
    </x:row>
    <x:row r="5690">
      <x:c r="A5690" s="15" t="n">
        <x:v>42979</x:v>
      </x:c>
      <x:c r="B5690" s="13" t="str">
        <x:v>CPFL ENERGIA SA</x:v>
      </x:c>
      <x:c r="C5690" s="16" t="n">
        <x:v>1541.4740003069</x:v>
      </x:c>
      <x:c r="D5690" s="13" t="str">
        <x:v>Utilities &amp; Energy</x:v>
      </x:c>
      <x:c r="E5690" s="13" t="str">
        <x:v>Utilities</x:v>
      </x:c>
      <x:c r="F5690" s="13" t="str">
        <x:v>Defensives</x:v>
      </x:c>
      <x:c r="G5690" s="13" t="str">
        <x:v>grid_asitui1y.xlsx</x:v>
      </x:c>
    </x:row>
    <x:row r="5691">
      <x:c r="A5691" s="15" t="n">
        <x:v>42979</x:v>
      </x:c>
      <x:c r="B5691" s="13" t="str">
        <x:v>EDP - ENERGIAS DO BRASIL SA</x:v>
      </x:c>
      <x:c r="C5691" s="16" t="n">
        <x:v>727.1763082521</x:v>
      </x:c>
      <x:c r="D5691" s="13" t="str">
        <x:v>Utilities &amp; Energy</x:v>
      </x:c>
      <x:c r="E5691" s="13" t="str">
        <x:v>Utilities</x:v>
      </x:c>
      <x:c r="F5691" s="13" t="str">
        <x:v>Defensives</x:v>
      </x:c>
      <x:c r="G5691" s="13" t="str">
        <x:v>grid_asitui1y.xlsx</x:v>
      </x:c>
    </x:row>
    <x:row r="5692">
      <x:c r="A5692" s="15" t="n">
        <x:v>42979</x:v>
      </x:c>
      <x:c r="B5692" s="13" t="str">
        <x:v>ENGIE BRASIL ENERGIA SA</x:v>
      </x:c>
      <x:c r="C5692" s="16" t="n">
        <x:v>1816.7066529315</x:v>
      </x:c>
      <x:c r="D5692" s="13" t="str">
        <x:v>Utilities &amp; Energy</x:v>
      </x:c>
      <x:c r="E5692" s="13" t="str">
        <x:v>Utilities</x:v>
      </x:c>
      <x:c r="F5692" s="13" t="str">
        <x:v>Defensives</x:v>
      </x:c>
      <x:c r="G5692" s="13" t="str">
        <x:v>grid_asitui1y.xlsx</x:v>
      </x:c>
    </x:row>
    <x:row r="5693">
      <x:c r="A5693" s="15" t="n">
        <x:v>42979</x:v>
      </x:c>
      <x:c r="B5693" s="13" t="str">
        <x:v>EQUATORIAL SA - ORD</x:v>
      </x:c>
      <x:c r="C5693" s="16" t="n">
        <x:v>795.7438891836</x:v>
      </x:c>
      <x:c r="D5693" s="13" t="str">
        <x:v>Utilities &amp; Energy</x:v>
      </x:c>
      <x:c r="E5693" s="13" t="str">
        <x:v>Utilities</x:v>
      </x:c>
      <x:c r="F5693" s="13" t="str">
        <x:v>Defensives</x:v>
      </x:c>
      <x:c r="G5693" s="13" t="str">
        <x:v>grid_asitui1y.xlsx</x:v>
      </x:c>
    </x:row>
    <x:row r="5694">
      <x:c r="A5694" s="15" t="n">
        <x:v>42979</x:v>
      </x:c>
      <x:c r="B5694" s="13" t="str">
        <x:v>TRANSMISSORA ALIANCA DE-UNIT</x:v>
      </x:c>
      <x:c r="C5694" s="16" t="n">
        <x:v>847.4209283507</x:v>
      </x:c>
      <x:c r="D5694" s="13" t="str">
        <x:v>Utilities &amp; Energy</x:v>
      </x:c>
      <x:c r="E5694" s="13" t="str">
        <x:v>Utilities</x:v>
      </x:c>
      <x:c r="F5694" s="13" t="str">
        <x:v>Defensives</x:v>
      </x:c>
      <x:c r="G5694" s="13" t="str">
        <x:v>grid_asitui1y.xlsx</x:v>
      </x:c>
    </x:row>
    <x:row r="5695">
      <x:c r="A5695" s="15" t="n">
        <x:v>43009</x:v>
      </x:c>
      <x:c r="B5695" s="13" t="str">
        <x:v>BANCO BRADESCO S.A.</x:v>
      </x:c>
      <x:c r="C5695" s="16" t="n">
        <x:v>19484.625030663</x:v>
      </x:c>
      <x:c r="D5695" s="13" t="str">
        <x:v>Banks</x:v>
      </x:c>
      <x:c r="E5695" s="13" t="str">
        <x:v>Banks</x:v>
      </x:c>
      <x:c r="F5695" s="13" t="str">
        <x:v>Financials</x:v>
      </x:c>
      <x:c r="G5695" s="13" t="str">
        <x:v>grid_asitui1y.xlsx</x:v>
      </x:c>
    </x:row>
    <x:row r="5696">
      <x:c r="A5696" s="15" t="n">
        <x:v>43009</x:v>
      </x:c>
      <x:c r="B5696" s="13" t="str">
        <x:v>BANCO BRADESCO SA-PREF</x:v>
      </x:c>
      <x:c r="C5696" s="16" t="n">
        <x:v>19484.625030663</x:v>
      </x:c>
      <x:c r="D5696" s="13" t="str">
        <x:v>Banks</x:v>
      </x:c>
      <x:c r="E5696" s="13" t="str">
        <x:v>Banks</x:v>
      </x:c>
      <x:c r="F5696" s="13" t="str">
        <x:v>Financials</x:v>
      </x:c>
      <x:c r="G5696" s="13" t="str">
        <x:v>grid_asitui1y.xlsx</x:v>
      </x:c>
    </x:row>
    <x:row r="5697">
      <x:c r="A5697" s="15" t="n">
        <x:v>43009</x:v>
      </x:c>
      <x:c r="B5697" s="13" t="str">
        <x:v>BANCO DO BRASIL S.A.</x:v>
      </x:c>
      <x:c r="C5697" s="16" t="n">
        <x:v>12380.9396259069</x:v>
      </x:c>
      <x:c r="D5697" s="13" t="str">
        <x:v>Banks</x:v>
      </x:c>
      <x:c r="E5697" s="13" t="str">
        <x:v>Banks</x:v>
      </x:c>
      <x:c r="F5697" s="13" t="str">
        <x:v>Financials</x:v>
      </x:c>
      <x:c r="G5697" s="13" t="str">
        <x:v>grid_asitui1y.xlsx</x:v>
      </x:c>
    </x:row>
    <x:row r="5698">
      <x:c r="A5698" s="15" t="n">
        <x:v>43009</x:v>
      </x:c>
      <x:c r="B5698" s="13" t="str">
        <x:v>BANCO SANTANDER  BRASIL-UNIT</x:v>
      </x:c>
      <x:c r="C5698" s="16" t="n">
        <x:v>9684.6444010959</x:v>
      </x:c>
      <x:c r="D5698" s="13" t="str">
        <x:v>Banks</x:v>
      </x:c>
      <x:c r="E5698" s="13" t="str">
        <x:v>Banks</x:v>
      </x:c>
      <x:c r="F5698" s="13" t="str">
        <x:v>Financials</x:v>
      </x:c>
      <x:c r="G5698" s="13" t="str">
        <x:v>grid_asitui1y.xlsx</x:v>
      </x:c>
    </x:row>
    <x:row r="5699">
      <x:c r="A5699" s="15" t="n">
        <x:v>43009</x:v>
      </x:c>
      <x:c r="B5699" s="13" t="str">
        <x:v>ITAU UNIBANCO HOLDING S-PREF</x:v>
      </x:c>
      <x:c r="C5699" s="16" t="n">
        <x:v>25348.5435076384</x:v>
      </x:c>
      <x:c r="D5699" s="13" t="str">
        <x:v>Banks</x:v>
      </x:c>
      <x:c r="E5699" s="13" t="str">
        <x:v>Banks</x:v>
      </x:c>
      <x:c r="F5699" s="13" t="str">
        <x:v>Financials</x:v>
      </x:c>
      <x:c r="G5699" s="13" t="str">
        <x:v>grid_asitui1y.xlsx</x:v>
      </x:c>
    </x:row>
    <x:row r="5700">
      <x:c r="A5700" s="15" t="n">
        <x:v>43009</x:v>
      </x:c>
      <x:c r="B5700" s="13" t="str">
        <x:v>EMBRAER SA</x:v>
      </x:c>
      <x:c r="C5700" s="16" t="n">
        <x:v>882.0721074849</x:v>
      </x:c>
      <x:c r="D5700" s="13" t="str">
        <x:v>Capital Goods</x:v>
      </x:c>
      <x:c r="E5700" s="13" t="str">
        <x:v>Capital Goods</x:v>
      </x:c>
      <x:c r="F5700" s="13" t="str">
        <x:v>Deep Cyclicals</x:v>
      </x:c>
      <x:c r="G5700" s="13" t="str">
        <x:v>grid_asitui1y.xlsx</x:v>
      </x:c>
    </x:row>
    <x:row r="5701">
      <x:c r="A5701" s="15" t="n">
        <x:v>43009</x:v>
      </x:c>
      <x:c r="B5701" s="13" t="str">
        <x:v>WEG SA</x:v>
      </x:c>
      <x:c r="C5701" s="16" t="n">
        <x:v>1268.4826883507</x:v>
      </x:c>
      <x:c r="D5701" s="13" t="str">
        <x:v>Capital Goods</x:v>
      </x:c>
      <x:c r="E5701" s="13" t="str">
        <x:v>Capital Goods</x:v>
      </x:c>
      <x:c r="F5701" s="13" t="str">
        <x:v>Deep Cyclicals</x:v>
      </x:c>
      <x:c r="G5701" s="13" t="str">
        <x:v>grid_asitui1y.xlsx</x:v>
      </x:c>
    </x:row>
    <x:row r="5702">
      <x:c r="A5702" s="15" t="n">
        <x:v>43009</x:v>
      </x:c>
      <x:c r="B5702" s="13" t="str">
        <x:v>COGNA EDUCACAO</x:v>
      </x:c>
      <x:c r="C5702" s="16" t="n">
        <x:v>2235.9427990795</x:v>
      </x:c>
      <x:c r="D5702" s="13" t="str">
        <x:v>Education</x:v>
      </x:c>
      <x:c r="E5702" s="13" t="str">
        <x:v>Education</x:v>
      </x:c>
      <x:c r="F5702" s="13" t="str">
        <x:v>Early Cyclicals</x:v>
      </x:c>
      <x:c r="G5702" s="13" t="str">
        <x:v>grid_asitui1y.xlsx</x:v>
      </x:c>
    </x:row>
    <x:row r="5703">
      <x:c r="A5703" s="15" t="n">
        <x:v>43009</x:v>
      </x:c>
      <x:c r="B5703" s="13" t="str">
        <x:v>YDUQS PARTICIPACOES SA</x:v>
      </x:c>
      <x:c r="C5703" s="16" t="n">
        <x:v>635.5860192438</x:v>
      </x:c>
      <x:c r="D5703" s="13" t="str">
        <x:v>Education</x:v>
      </x:c>
      <x:c r="E5703" s="13" t="str">
        <x:v>Education</x:v>
      </x:c>
      <x:c r="F5703" s="13" t="str">
        <x:v>Early Cyclicals</x:v>
      </x:c>
      <x:c r="G5703" s="13" t="str">
        <x:v>grid_asitui1y.xlsx</x:v>
      </x:c>
    </x:row>
    <x:row r="5704">
      <x:c r="A5704" s="15" t="n">
        <x:v>43009</x:v>
      </x:c>
      <x:c r="B5704" s="13" t="str">
        <x:v>B3 SA-BRASIL BOLSA BALCAO</x:v>
      </x:c>
      <x:c r="C5704" s="16" t="n">
        <x:v>2180.9089136219</x:v>
      </x:c>
      <x:c r="D5704" s="13" t="str">
        <x:v>Financials Non-Banks</x:v>
      </x:c>
      <x:c r="E5704" s="13" t="str">
        <x:v>Financials Non-Banks</x:v>
      </x:c>
      <x:c r="F5704" s="13" t="str">
        <x:v>Financials</x:v>
      </x:c>
      <x:c r="G5704" s="13" t="str">
        <x:v>grid_asitui1y.xlsx</x:v>
      </x:c>
    </x:row>
    <x:row r="5705">
      <x:c r="A5705" s="15" t="n">
        <x:v>43009</x:v>
      </x:c>
      <x:c r="B5705" s="13" t="str">
        <x:v>BB SEGURIDADE PARTICIPACOES</x:v>
      </x:c>
      <x:c r="C5705" s="16" t="n">
        <x:v>4075.9317994959</x:v>
      </x:c>
      <x:c r="D5705" s="13" t="str">
        <x:v>Financials Non-Banks</x:v>
      </x:c>
      <x:c r="E5705" s="13" t="str">
        <x:v>Financials Non-Banks</x:v>
      </x:c>
      <x:c r="F5705" s="13" t="str">
        <x:v>Financials</x:v>
      </x:c>
      <x:c r="G5705" s="13" t="str">
        <x:v>grid_asitui1y.xlsx</x:v>
      </x:c>
    </x:row>
    <x:row r="5706">
      <x:c r="A5706" s="15" t="n">
        <x:v>43009</x:v>
      </x:c>
      <x:c r="B5706" s="13" t="str">
        <x:v>CIELO SA - INSTITUICAO DE PA</x:v>
      </x:c>
      <x:c r="C5706" s="16" t="n">
        <x:v>4286.3299254356</x:v>
      </x:c>
      <x:c r="D5706" s="13" t="str">
        <x:v>Financials Non-Banks</x:v>
      </x:c>
      <x:c r="E5706" s="13" t="str">
        <x:v>Financials Non-Banks</x:v>
      </x:c>
      <x:c r="F5706" s="13" t="str">
        <x:v>Financials</x:v>
      </x:c>
      <x:c r="G5706" s="13" t="str">
        <x:v>grid_asitui1y.xlsx</x:v>
      </x:c>
    </x:row>
    <x:row r="5707">
      <x:c r="A5707" s="15" t="n">
        <x:v>43009</x:v>
      </x:c>
      <x:c r="B5707" s="13" t="str">
        <x:v>ITAUSA SA</x:v>
      </x:c>
      <x:c r="C5707" s="16" t="n">
        <x:v>8492.3834550356</x:v>
      </x:c>
      <x:c r="D5707" s="13" t="str">
        <x:v>Financials Non-Banks</x:v>
      </x:c>
      <x:c r="E5707" s="13" t="str">
        <x:v>Financials Non-Banks</x:v>
      </x:c>
      <x:c r="F5707" s="13" t="str">
        <x:v>Financials</x:v>
      </x:c>
      <x:c r="G5707" s="13" t="str">
        <x:v>grid_asitui1y.xlsx</x:v>
      </x:c>
    </x:row>
    <x:row r="5708">
      <x:c r="A5708" s="15" t="n">
        <x:v>43009</x:v>
      </x:c>
      <x:c r="B5708" s="13" t="str">
        <x:v>AMBEV SA</x:v>
      </x:c>
      <x:c r="C5708" s="16" t="n">
        <x:v>13421.6959775562</x:v>
      </x:c>
      <x:c r="D5708" s="13" t="str">
        <x:v>Food &amp; Beverages</x:v>
      </x:c>
      <x:c r="E5708" s="13" t="str">
        <x:v>Agri, Food &amp; Beverages</x:v>
      </x:c>
      <x:c r="F5708" s="13" t="str">
        <x:v>Defensives</x:v>
      </x:c>
      <x:c r="G5708" s="13" t="str">
        <x:v>grid_asitui1y.xlsx</x:v>
      </x:c>
    </x:row>
    <x:row r="5709">
      <x:c r="A5709" s="15" t="n">
        <x:v>43009</x:v>
      </x:c>
      <x:c r="B5709" s="13" t="str">
        <x:v>BRF SA</x:v>
      </x:c>
      <x:c r="C5709" s="16" t="n">
        <x:v>1399.1436767123</x:v>
      </x:c>
      <x:c r="D5709" s="13" t="str">
        <x:v>Food &amp; Beverages</x:v>
      </x:c>
      <x:c r="E5709" s="13" t="str">
        <x:v>Agri, Food &amp; Beverages</x:v>
      </x:c>
      <x:c r="F5709" s="13" t="str">
        <x:v>Defensives</x:v>
      </x:c>
      <x:c r="G5709" s="13" t="str">
        <x:v>grid_asitui1y.xlsx</x:v>
      </x:c>
    </x:row>
    <x:row r="5710">
      <x:c r="A5710" s="15" t="n">
        <x:v>43009</x:v>
      </x:c>
      <x:c r="B5710" s="13" t="str">
        <x:v>JBS SA</x:v>
      </x:c>
      <x:c r="C5710" s="16" t="n">
        <x:v>3452.8509783671</x:v>
      </x:c>
      <x:c r="D5710" s="13" t="str">
        <x:v>Food &amp; Beverages</x:v>
      </x:c>
      <x:c r="E5710" s="13" t="str">
        <x:v>Agri, Food &amp; Beverages</x:v>
      </x:c>
      <x:c r="F5710" s="13" t="str">
        <x:v>Defensives</x:v>
      </x:c>
      <x:c r="G5710" s="13" t="str">
        <x:v>grid_asitui1y.xlsx</x:v>
      </x:c>
    </x:row>
    <x:row r="5711">
      <x:c r="A5711" s="15" t="n">
        <x:v>43009</x:v>
      </x:c>
      <x:c r="B5711" s="13" t="str">
        <x:v>MBRF GLOBAL FOODS COMPANY SA</x:v>
      </x:c>
      <x:c r="C5711" s="16" t="n">
        <x:v>67.2734246575</x:v>
      </x:c>
      <x:c r="D5711" s="13" t="str">
        <x:v>Food &amp; Beverages</x:v>
      </x:c>
      <x:c r="E5711" s="13" t="str">
        <x:v>Agri, Food &amp; Beverages</x:v>
      </x:c>
      <x:c r="F5711" s="13" t="str">
        <x:v>Defensives</x:v>
      </x:c>
      <x:c r="G5711" s="13" t="str">
        <x:v>grid_asitui1y.xlsx</x:v>
      </x:c>
    </x:row>
    <x:row r="5712">
      <x:c r="A5712" s="15" t="n">
        <x:v>43009</x:v>
      </x:c>
      <x:c r="B5712" s="13" t="str">
        <x:v>HYPERA SA</x:v>
      </x:c>
      <x:c r="C5712" s="16" t="n">
        <x:v>981.6907088658</x:v>
      </x:c>
      <x:c r="D5712" s="13" t="str">
        <x:v>Health Care</x:v>
      </x:c>
      <x:c r="E5712" s="13" t="str">
        <x:v>Health Care</x:v>
      </x:c>
      <x:c r="F5712" s="13" t="str">
        <x:v>Defensives</x:v>
      </x:c>
      <x:c r="G5712" s="13" t="str">
        <x:v>grid_asitui1y.xlsx</x:v>
      </x:c>
    </x:row>
    <x:row r="5713">
      <x:c r="A5713" s="15" t="n">
        <x:v>43009</x:v>
      </x:c>
      <x:c r="B5713" s="13" t="str">
        <x:v>QUALICORP CONS E CORR SEG SA</x:v>
      </x:c>
      <x:c r="C5713" s="16" t="n">
        <x:v>573.1189041096</x:v>
      </x:c>
      <x:c r="D5713" s="13" t="str">
        <x:v>Health Care</x:v>
      </x:c>
      <x:c r="E5713" s="13" t="str">
        <x:v>Health Care</x:v>
      </x:c>
      <x:c r="F5713" s="13" t="str">
        <x:v>Defensives</x:v>
      </x:c>
      <x:c r="G5713" s="13" t="str">
        <x:v>grid_asitui1y.xlsx</x:v>
      </x:c>
    </x:row>
    <x:row r="5714">
      <x:c r="A5714" s="15" t="n">
        <x:v>43009</x:v>
      </x:c>
      <x:c r="B5714" s="13" t="str">
        <x:v>CYRELA BRAZIL REALTY SA EMP</x:v>
      </x:c>
      <x:c r="C5714" s="16" t="n">
        <x:v>176.4289354301</x:v>
      </x:c>
      <x:c r="D5714" s="13" t="str">
        <x:v>Homebuilders</x:v>
      </x:c>
      <x:c r="E5714" s="13" t="str">
        <x:v>Real Estate</x:v>
      </x:c>
      <x:c r="F5714" s="13" t="str">
        <x:v>Early Cyclicals</x:v>
      </x:c>
      <x:c r="G5714" s="13" t="str">
        <x:v>grid_asitui1y.xlsx</x:v>
      </x:c>
    </x:row>
    <x:row r="5715">
      <x:c r="A5715" s="15" t="n">
        <x:v>43009</x:v>
      </x:c>
      <x:c r="B5715" s="13" t="str">
        <x:v>MRV ENGENHARIA</x:v>
      </x:c>
      <x:c r="C5715" s="16" t="n">
        <x:v>704.8600491836</x:v>
      </x:c>
      <x:c r="D5715" s="13" t="str">
        <x:v>Homebuilders</x:v>
      </x:c>
      <x:c r="E5715" s="13" t="str">
        <x:v>Real Estate</x:v>
      </x:c>
      <x:c r="F5715" s="13" t="str">
        <x:v>Early Cyclicals</x:v>
      </x:c>
      <x:c r="G5715" s="13" t="str">
        <x:v>grid_asitui1y.xlsx</x:v>
      </x:c>
    </x:row>
    <x:row r="5716">
      <x:c r="A5716" s="15" t="n">
        <x:v>43009</x:v>
      </x:c>
      <x:c r="B5716" s="13" t="str">
        <x:v>BR MALLS PARTICIPACOES SA</x:v>
      </x:c>
      <x:c r="C5716" s="16" t="n">
        <x:v>518.3794254027</x:v>
      </x:c>
      <x:c r="D5716" s="13" t="str">
        <x:v>Income Properties</x:v>
      </x:c>
      <x:c r="E5716" s="13" t="str">
        <x:v>Real Estate</x:v>
      </x:c>
      <x:c r="F5716" s="13" t="str">
        <x:v>Early Cyclicals</x:v>
      </x:c>
      <x:c r="G5716" s="13" t="str">
        <x:v>grid_asitui1y.xlsx</x:v>
      </x:c>
    </x:row>
    <x:row r="5717">
      <x:c r="A5717" s="15" t="n">
        <x:v>43009</x:v>
      </x:c>
      <x:c r="B5717" s="13" t="str">
        <x:v>MULTIPLAN EMPREENDIMENTOS</x:v>
      </x:c>
      <x:c r="C5717" s="16" t="n">
        <x:v>496.7707477918</x:v>
      </x:c>
      <x:c r="D5717" s="13" t="str">
        <x:v>Income Properties</x:v>
      </x:c>
      <x:c r="E5717" s="13" t="str">
        <x:v>Real Estate</x:v>
      </x:c>
      <x:c r="F5717" s="13" t="str">
        <x:v>Early Cyclicals</x:v>
      </x:c>
      <x:c r="G5717" s="13" t="str">
        <x:v>grid_asitui1y.xlsx</x:v>
      </x:c>
    </x:row>
    <x:row r="5718">
      <x:c r="A5718" s="15" t="n">
        <x:v>43009</x:v>
      </x:c>
      <x:c r="B5718" s="13" t="str">
        <x:v>BRADESPAR SA -PREF</x:v>
      </x:c>
      <x:c r="C5718" s="16" t="n">
        <x:v>1218.2269797699</x:v>
      </x:c>
      <x:c r="D5718" s="13" t="str">
        <x:v>Metals &amp; Mining</x:v>
      </x:c>
      <x:c r="E5718" s="13" t="str">
        <x:v>Metals &amp; Mining</x:v>
      </x:c>
      <x:c r="F5718" s="13" t="str">
        <x:v>Deep Cyclicals</x:v>
      </x:c>
      <x:c r="G5718" s="13" t="str">
        <x:v>grid_asitui1y.xlsx</x:v>
      </x:c>
    </x:row>
    <x:row r="5719">
      <x:c r="A5719" s="15" t="n">
        <x:v>43009</x:v>
      </x:c>
      <x:c r="B5719" s="13" t="str">
        <x:v>CIA SIDERURGICA NACIONAL SA</x:v>
      </x:c>
      <x:c r="C5719" s="16" t="n">
        <x:v>642.5277464548</x:v>
      </x:c>
      <x:c r="D5719" s="13" t="str">
        <x:v>Metals &amp; Mining</x:v>
      </x:c>
      <x:c r="E5719" s="13" t="str">
        <x:v>Metals &amp; Mining</x:v>
      </x:c>
      <x:c r="F5719" s="13" t="str">
        <x:v>Deep Cyclicals</x:v>
      </x:c>
      <x:c r="G5719" s="13" t="str">
        <x:v>grid_asitui1y.xlsx</x:v>
      </x:c>
    </x:row>
    <x:row r="5720">
      <x:c r="A5720" s="15" t="n">
        <x:v>43009</x:v>
      </x:c>
      <x:c r="B5720" s="13" t="str">
        <x:v>GERDAU SA-PREF</x:v>
      </x:c>
      <x:c r="C5720" s="16" t="n">
        <x:v>1185.5123873315</x:v>
      </x:c>
      <x:c r="D5720" s="13" t="str">
        <x:v>Metals &amp; Mining</x:v>
      </x:c>
      <x:c r="E5720" s="13" t="str">
        <x:v>Metals &amp; Mining</x:v>
      </x:c>
      <x:c r="F5720" s="13" t="str">
        <x:v>Deep Cyclicals</x:v>
      </x:c>
      <x:c r="G5720" s="13" t="str">
        <x:v>grid_asitui1y.xlsx</x:v>
      </x:c>
    </x:row>
    <x:row r="5721">
      <x:c r="A5721" s="15" t="n">
        <x:v>43009</x:v>
      </x:c>
      <x:c r="B5721" s="13" t="str">
        <x:v>METALURGICA GERDAU SA-PREF</x:v>
      </x:c>
      <x:c r="C5721" s="16" t="n">
        <x:v>1103.4822291288</x:v>
      </x:c>
      <x:c r="D5721" s="13" t="str">
        <x:v>Metals &amp; Mining</x:v>
      </x:c>
      <x:c r="E5721" s="13" t="str">
        <x:v>Metals &amp; Mining</x:v>
      </x:c>
      <x:c r="F5721" s="13" t="str">
        <x:v>Deep Cyclicals</x:v>
      </x:c>
      <x:c r="G5721" s="13" t="str">
        <x:v>grid_asitui1y.xlsx</x:v>
      </x:c>
    </x:row>
    <x:row r="5722">
      <x:c r="A5722" s="15" t="n">
        <x:v>43009</x:v>
      </x:c>
      <x:c r="B5722" s="13" t="str">
        <x:v>USINAS SIDER MINAS GER-PF A</x:v>
      </x:c>
      <x:c r="C5722" s="16" t="n">
        <x:v>465.5140707945</x:v>
      </x:c>
      <x:c r="D5722" s="13" t="str">
        <x:v>Metals &amp; Mining</x:v>
      </x:c>
      <x:c r="E5722" s="13" t="str">
        <x:v>Metals &amp; Mining</x:v>
      </x:c>
      <x:c r="F5722" s="13" t="str">
        <x:v>Deep Cyclicals</x:v>
      </x:c>
      <x:c r="G5722" s="13" t="str">
        <x:v>grid_asitui1y.xlsx</x:v>
      </x:c>
    </x:row>
    <x:row r="5723">
      <x:c r="A5723" s="15" t="n">
        <x:v>43009</x:v>
      </x:c>
      <x:c r="B5723" s="13" t="str">
        <x:v>VALE SA</x:v>
      </x:c>
      <x:c r="C5723" s="16" t="n">
        <x:v>17623.4747875945</x:v>
      </x:c>
      <x:c r="D5723" s="13" t="str">
        <x:v>Metals &amp; Mining</x:v>
      </x:c>
      <x:c r="E5723" s="13" t="str">
        <x:v>Metals &amp; Mining</x:v>
      </x:c>
      <x:c r="F5723" s="13" t="str">
        <x:v>Deep Cyclicals</x:v>
      </x:c>
      <x:c r="G5723" s="13" t="str">
        <x:v>grid_asitui1y.xlsx</x:v>
      </x:c>
    </x:row>
    <x:row r="5724">
      <x:c r="A5724" s="15" t="n">
        <x:v>43009</x:v>
      </x:c>
      <x:c r="B5724" s="13" t="str">
        <x:v>BRASKEM SA-PREF A</x:v>
      </x:c>
      <x:c r="C5724" s="16" t="n">
        <x:v>3040.9834418849</x:v>
      </x:c>
      <x:c r="D5724" s="13" t="str">
        <x:v>Oil, Gas &amp; Petrochemicals</x:v>
      </x:c>
      <x:c r="E5724" s="13" t="str">
        <x:v>Oil, Gas &amp; Petrochemicals</x:v>
      </x:c>
      <x:c r="F5724" s="13" t="str">
        <x:v>Deep Cyclicals</x:v>
      </x:c>
      <x:c r="G5724" s="13" t="str">
        <x:v>grid_asitui1y.xlsx</x:v>
      </x:c>
    </x:row>
    <x:row r="5725">
      <x:c r="A5725" s="15" t="n">
        <x:v>43009</x:v>
      </x:c>
      <x:c r="B5725" s="13" t="str">
        <x:v>COSAN SA</x:v>
      </x:c>
      <x:c r="C5725" s="16" t="n">
        <x:v>1087.0761910356</x:v>
      </x:c>
      <x:c r="D5725" s="13" t="str">
        <x:v>Oil, Gas &amp; Petrochemicals</x:v>
      </x:c>
      <x:c r="E5725" s="13" t="str">
        <x:v>Oil, Gas &amp; Petrochemicals</x:v>
      </x:c>
      <x:c r="F5725" s="13" t="str">
        <x:v>Deep Cyclicals</x:v>
      </x:c>
      <x:c r="G5725" s="13" t="str">
        <x:v>grid_asitui1y.xlsx</x:v>
      </x:c>
    </x:row>
    <x:row r="5726">
      <x:c r="A5726" s="15" t="n">
        <x:v>43009</x:v>
      </x:c>
      <x:c r="B5726" s="13" t="str">
        <x:v>PETROBRAS - PETROLEO BRAS</x:v>
      </x:c>
      <x:c r="C5726" s="16" t="n">
        <x:v>16084.9583370521</x:v>
      </x:c>
      <x:c r="D5726" s="13" t="str">
        <x:v>Oil, Gas &amp; Petrochemicals</x:v>
      </x:c>
      <x:c r="E5726" s="13" t="str">
        <x:v>Oil, Gas &amp; Petrochemicals</x:v>
      </x:c>
      <x:c r="F5726" s="13" t="str">
        <x:v>Deep Cyclicals</x:v>
      </x:c>
      <x:c r="G5726" s="13" t="str">
        <x:v>grid_asitui1y.xlsx</x:v>
      </x:c>
    </x:row>
    <x:row r="5727">
      <x:c r="A5727" s="15" t="n">
        <x:v>43009</x:v>
      </x:c>
      <x:c r="B5727" s="13" t="str">
        <x:v>ULTRAPAR PARTICIPACOES SA</x:v>
      </x:c>
      <x:c r="C5727" s="16" t="n">
        <x:v>1866.3544148164</x:v>
      </x:c>
      <x:c r="D5727" s="13" t="str">
        <x:v>Oil, Gas &amp; Petrochemicals</x:v>
      </x:c>
      <x:c r="E5727" s="13" t="str">
        <x:v>Oil, Gas &amp; Petrochemicals</x:v>
      </x:c>
      <x:c r="F5727" s="13" t="str">
        <x:v>Deep Cyclicals</x:v>
      </x:c>
      <x:c r="G5727" s="13" t="str">
        <x:v>grid_asitui1y.xlsx</x:v>
      </x:c>
    </x:row>
    <x:row r="5728">
      <x:c r="A5728" s="15" t="n">
        <x:v>43009</x:v>
      </x:c>
      <x:c r="B5728" s="13" t="str">
        <x:v>FIBRIA CELULOSE S/A</x:v>
      </x:c>
      <x:c r="C5728" s="16" t="n">
        <x:v>2092.6981134027</x:v>
      </x:c>
      <x:c r="D5728" s="13" t="str">
        <x:v>Pulp &amp; Paper</x:v>
      </x:c>
      <x:c r="E5728" s="13" t="str">
        <x:v>Pulp &amp; Paper</x:v>
      </x:c>
      <x:c r="F5728" s="13" t="str">
        <x:v>Deep Cyclicals</x:v>
      </x:c>
      <x:c r="G5728" s="13" t="str">
        <x:v>grid_asitui1y.xlsx</x:v>
      </x:c>
    </x:row>
    <x:row r="5729">
      <x:c r="A5729" s="15" t="n">
        <x:v>43009</x:v>
      </x:c>
      <x:c r="B5729" s="13" t="str">
        <x:v>KLABIN SA - UNIT</x:v>
      </x:c>
      <x:c r="C5729" s="16" t="n">
        <x:v>1022.4492754411</x:v>
      </x:c>
      <x:c r="D5729" s="13" t="str">
        <x:v>Pulp &amp; Paper</x:v>
      </x:c>
      <x:c r="E5729" s="13" t="str">
        <x:v>Pulp &amp; Paper</x:v>
      </x:c>
      <x:c r="F5729" s="13" t="str">
        <x:v>Deep Cyclicals</x:v>
      </x:c>
      <x:c r="G5729" s="13" t="str">
        <x:v>grid_asitui1y.xlsx</x:v>
      </x:c>
    </x:row>
    <x:row r="5730">
      <x:c r="A5730" s="15" t="n">
        <x:v>43009</x:v>
      </x:c>
      <x:c r="B5730" s="13" t="str">
        <x:v>SUZANO PAPEL E CELULO-PREF A</x:v>
      </x:c>
      <x:c r="C5730" s="16" t="n">
        <x:v>1885.6151720329</x:v>
      </x:c>
      <x:c r="D5730" s="13" t="str">
        <x:v>Pulp &amp; Paper</x:v>
      </x:c>
      <x:c r="E5730" s="13" t="str">
        <x:v>Pulp &amp; Paper</x:v>
      </x:c>
      <x:c r="F5730" s="13" t="str">
        <x:v>Deep Cyclicals</x:v>
      </x:c>
      <x:c r="G5730" s="13" t="str">
        <x:v>grid_asitui1y.xlsx</x:v>
      </x:c>
    </x:row>
    <x:row r="5731">
      <x:c r="A5731" s="15" t="n">
        <x:v>43009</x:v>
      </x:c>
      <x:c r="B5731" s="13" t="str">
        <x:v>CIA BRASILEIRA DE DIS-PREF</x:v>
      </x:c>
      <x:c r="C5731" s="16" t="n">
        <x:v>838.3094747178</x:v>
      </x:c>
      <x:c r="D5731" s="13" t="str">
        <x:v>Retail</x:v>
      </x:c>
      <x:c r="E5731" s="13" t="str">
        <x:v>Retail</x:v>
      </x:c>
      <x:c r="F5731" s="13" t="str">
        <x:v>Early Cyclicals</x:v>
      </x:c>
      <x:c r="G5731" s="13" t="str">
        <x:v>grid_asitui1y.xlsx</x:v>
      </x:c>
    </x:row>
    <x:row r="5732">
      <x:c r="A5732" s="15" t="n">
        <x:v>43009</x:v>
      </x:c>
      <x:c r="B5732" s="13" t="str">
        <x:v>LOJAS AMERICANAS SA-PREF</x:v>
      </x:c>
      <x:c r="C5732" s="16" t="n">
        <x:v>796.8395254356</x:v>
      </x:c>
      <x:c r="D5732" s="13" t="str">
        <x:v>Retail</x:v>
      </x:c>
      <x:c r="E5732" s="13" t="str">
        <x:v>Retail</x:v>
      </x:c>
      <x:c r="F5732" s="13" t="str">
        <x:v>Early Cyclicals</x:v>
      </x:c>
      <x:c r="G5732" s="13" t="str">
        <x:v>grid_asitui1y.xlsx</x:v>
      </x:c>
    </x:row>
    <x:row r="5733">
      <x:c r="A5733" s="15" t="n">
        <x:v>43009</x:v>
      </x:c>
      <x:c r="B5733" s="13" t="str">
        <x:v>LOJAS RENNER S.A.</x:v>
      </x:c>
      <x:c r="C5733" s="16" t="n">
        <x:v>906.5508506301</x:v>
      </x:c>
      <x:c r="D5733" s="13" t="str">
        <x:v>Retail</x:v>
      </x:c>
      <x:c r="E5733" s="13" t="str">
        <x:v>Retail</x:v>
      </x:c>
      <x:c r="F5733" s="13" t="str">
        <x:v>Early Cyclicals</x:v>
      </x:c>
      <x:c r="G5733" s="13" t="str">
        <x:v>grid_asitui1y.xlsx</x:v>
      </x:c>
    </x:row>
    <x:row r="5734">
      <x:c r="A5734" s="15" t="n">
        <x:v>43009</x:v>
      </x:c>
      <x:c r="B5734" s="13" t="str">
        <x:v>NATURA COSMETICOS SA</x:v>
      </x:c>
      <x:c r="C5734" s="16" t="n">
        <x:v>635.0196864</x:v>
      </x:c>
      <x:c r="D5734" s="13" t="str">
        <x:v>Retail</x:v>
      </x:c>
      <x:c r="E5734" s="13" t="str">
        <x:v>Retail</x:v>
      </x:c>
      <x:c r="F5734" s="13" t="str">
        <x:v>Early Cyclicals</x:v>
      </x:c>
      <x:c r="G5734" s="13" t="str">
        <x:v>grid_asitui1y.xlsx</x:v>
      </x:c>
    </x:row>
    <x:row r="5735">
      <x:c r="A5735" s="15" t="n">
        <x:v>43009</x:v>
      </x:c>
      <x:c r="B5735" s="13" t="str">
        <x:v>RAIA DROGASIL SA</x:v>
      </x:c>
      <x:c r="C5735" s="16" t="n">
        <x:v>659.4196131068</x:v>
      </x:c>
      <x:c r="D5735" s="13" t="str">
        <x:v>Retail</x:v>
      </x:c>
      <x:c r="E5735" s="13" t="str">
        <x:v>Retail</x:v>
      </x:c>
      <x:c r="F5735" s="13" t="str">
        <x:v>Early Cyclicals</x:v>
      </x:c>
      <x:c r="G5735" s="13" t="str">
        <x:v>grid_asitui1y.xlsx</x:v>
      </x:c>
    </x:row>
    <x:row r="5736">
      <x:c r="A5736" s="15" t="n">
        <x:v>43009</x:v>
      </x:c>
      <x:c r="B5736" s="13" t="str">
        <x:v>CIA SANEAMENTO BASICO DE SP</x:v>
      </x:c>
      <x:c r="C5736" s="16" t="n">
        <x:v>2776.3752013151</x:v>
      </x:c>
      <x:c r="D5736" s="13" t="str">
        <x:v>Sanitation</x:v>
      </x:c>
      <x:c r="E5736" s="13" t="str">
        <x:v>Utilities</x:v>
      </x:c>
      <x:c r="F5736" s="13" t="str">
        <x:v>Defensives</x:v>
      </x:c>
      <x:c r="G5736" s="13" t="str">
        <x:v>grid_asitui1y.xlsx</x:v>
      </x:c>
    </x:row>
    <x:row r="5737">
      <x:c r="A5737" s="15" t="n">
        <x:v>43009</x:v>
      </x:c>
      <x:c r="B5737" s="13" t="str">
        <x:v>SMILES FIDELIDADE SA</x:v>
      </x:c>
      <x:c r="C5737" s="16" t="n">
        <x:v>635.0690014685</x:v>
      </x:c>
      <x:c r="D5737" s="13" t="str">
        <x:v>TMT</x:v>
      </x:c>
      <x:c r="E5737" s="13" t="str">
        <x:v>TMT</x:v>
      </x:c>
      <x:c r="F5737" s="13" t="str">
        <x:v>Early Cyclicals</x:v>
      </x:c>
      <x:c r="G5737" s="13" t="str">
        <x:v>grid_asitui1y.xlsx</x:v>
      </x:c>
    </x:row>
    <x:row r="5738">
      <x:c r="A5738" s="15" t="n">
        <x:v>43009</x:v>
      </x:c>
      <x:c r="B5738" s="13" t="str">
        <x:v>TELEFONICA BRASIL S.A.-PREF</x:v>
      </x:c>
      <x:c r="C5738" s="16" t="n">
        <x:v>5678.0783503781</x:v>
      </x:c>
      <x:c r="D5738" s="13" t="str">
        <x:v>TMT</x:v>
      </x:c>
      <x:c r="E5738" s="13" t="str">
        <x:v>TMT</x:v>
      </x:c>
      <x:c r="F5738" s="13" t="str">
        <x:v>Early Cyclicals</x:v>
      </x:c>
      <x:c r="G5738" s="13" t="str">
        <x:v>grid_asitui1y.xlsx</x:v>
      </x:c>
    </x:row>
    <x:row r="5739">
      <x:c r="A5739" s="15" t="n">
        <x:v>43009</x:v>
      </x:c>
      <x:c r="B5739" s="13" t="str">
        <x:v>TIM SA</x:v>
      </x:c>
      <x:c r="C5739" s="16" t="n">
        <x:v>1190.7356801753</x:v>
      </x:c>
      <x:c r="D5739" s="13" t="str">
        <x:v>TMT</x:v>
      </x:c>
      <x:c r="E5739" s="13" t="str">
        <x:v>TMT</x:v>
      </x:c>
      <x:c r="F5739" s="13" t="str">
        <x:v>Early Cyclicals</x:v>
      </x:c>
      <x:c r="G5739" s="13" t="str">
        <x:v>grid_asitui1y.xlsx</x:v>
      </x:c>
    </x:row>
    <x:row r="5740">
      <x:c r="A5740" s="15" t="n">
        <x:v>43009</x:v>
      </x:c>
      <x:c r="B5740" s="13" t="str">
        <x:v>ECORODOVIAS INFRA E LOG SA</x:v>
      </x:c>
      <x:c r="C5740" s="16" t="n">
        <x:v>509.5303413479</x:v>
      </x:c>
      <x:c r="D5740" s="13" t="str">
        <x:v>Transportation</x:v>
      </x:c>
      <x:c r="E5740" s="13" t="str">
        <x:v>Transportation</x:v>
      </x:c>
      <x:c r="F5740" s="13" t="str">
        <x:v>Deep Cyclicals</x:v>
      </x:c>
      <x:c r="G5740" s="13" t="str">
        <x:v>grid_asitui1y.xlsx</x:v>
      </x:c>
    </x:row>
    <x:row r="5741">
      <x:c r="A5741" s="15" t="n">
        <x:v>43009</x:v>
      </x:c>
      <x:c r="B5741" s="13" t="str">
        <x:v>LOCALIZA RENT A CAR</x:v>
      </x:c>
      <x:c r="C5741" s="16" t="n">
        <x:v>587.9464342795</x:v>
      </x:c>
      <x:c r="D5741" s="13" t="str">
        <x:v>Transportation</x:v>
      </x:c>
      <x:c r="E5741" s="13" t="str">
        <x:v>Transportation</x:v>
      </x:c>
      <x:c r="F5741" s="13" t="str">
        <x:v>Deep Cyclicals</x:v>
      </x:c>
      <x:c r="G5741" s="13" t="str">
        <x:v>grid_asitui1y.xlsx</x:v>
      </x:c>
    </x:row>
    <x:row r="5742">
      <x:c r="A5742" s="15" t="n">
        <x:v>43009</x:v>
      </x:c>
      <x:c r="B5742" s="13" t="str">
        <x:v>MOTIVA INFRAESTRUTURA DE MOB</x:v>
      </x:c>
      <x:c r="C5742" s="16" t="n">
        <x:v>1960.8995107068</x:v>
      </x:c>
      <x:c r="D5742" s="13" t="str">
        <x:v>Transportation</x:v>
      </x:c>
      <x:c r="E5742" s="13" t="str">
        <x:v>Transportation</x:v>
      </x:c>
      <x:c r="F5742" s="13" t="str">
        <x:v>Deep Cyclicals</x:v>
      </x:c>
      <x:c r="G5742" s="13" t="str">
        <x:v>grid_asitui1y.xlsx</x:v>
      </x:c>
    </x:row>
    <x:row r="5743">
      <x:c r="A5743" s="15" t="n">
        <x:v>43009</x:v>
      </x:c>
      <x:c r="B5743" s="13" t="str">
        <x:v>RUMO SA</x:v>
      </x:c>
      <x:c r="C5743" s="16" t="n">
        <x:v>282.2593848986</x:v>
      </x:c>
      <x:c r="D5743" s="13" t="str">
        <x:v>Transportation</x:v>
      </x:c>
      <x:c r="E5743" s="13" t="str">
        <x:v>Transportation</x:v>
      </x:c>
      <x:c r="F5743" s="13" t="str">
        <x:v>Deep Cyclicals</x:v>
      </x:c>
      <x:c r="G5743" s="13" t="str">
        <x:v>grid_asitui1y.xlsx</x:v>
      </x:c>
    </x:row>
    <x:row r="5744">
      <x:c r="A5744" s="15" t="n">
        <x:v>43009</x:v>
      </x:c>
      <x:c r="B5744" s="13" t="str">
        <x:v>AXIA ENERGIA SA</x:v>
      </x:c>
      <x:c r="C5744" s="16" t="n">
        <x:v>4191.8220884164</x:v>
      </x:c>
      <x:c r="D5744" s="13" t="str">
        <x:v>Utilities &amp; Energy</x:v>
      </x:c>
      <x:c r="E5744" s="13" t="str">
        <x:v>Utilities</x:v>
      </x:c>
      <x:c r="F5744" s="13" t="str">
        <x:v>Defensives</x:v>
      </x:c>
      <x:c r="G5744" s="13" t="str">
        <x:v>grid_asitui1y.xlsx</x:v>
      </x:c>
    </x:row>
    <x:row r="5745">
      <x:c r="A5745" s="15" t="n">
        <x:v>43009</x:v>
      </x:c>
      <x:c r="B5745" s="13" t="str">
        <x:v>AXIA ENERGIA-PR B</x:v>
      </x:c>
      <x:c r="C5745" s="16" t="n">
        <x:v>4191.8220884164</x:v>
      </x:c>
      <x:c r="D5745" s="13" t="str">
        <x:v>Utilities &amp; Energy</x:v>
      </x:c>
      <x:c r="E5745" s="13" t="str">
        <x:v>Utilities</x:v>
      </x:c>
      <x:c r="F5745" s="13" t="str">
        <x:v>Defensives</x:v>
      </x:c>
      <x:c r="G5745" s="13" t="str">
        <x:v>grid_asitui1y.xlsx</x:v>
      </x:c>
    </x:row>
    <x:row r="5746">
      <x:c r="A5746" s="15" t="n">
        <x:v>43009</x:v>
      </x:c>
      <x:c r="B5746" s="13" t="str">
        <x:v>CIA ENERGETICA MINAS GER-PRF</x:v>
      </x:c>
      <x:c r="C5746" s="16" t="n">
        <x:v>1526.5620308164</x:v>
      </x:c>
      <x:c r="D5746" s="13" t="str">
        <x:v>Utilities &amp; Energy</x:v>
      </x:c>
      <x:c r="E5746" s="13" t="str">
        <x:v>Utilities</x:v>
      </x:c>
      <x:c r="F5746" s="13" t="str">
        <x:v>Defensives</x:v>
      </x:c>
      <x:c r="G5746" s="13" t="str">
        <x:v>grid_asitui1y.xlsx</x:v>
      </x:c>
    </x:row>
    <x:row r="5747">
      <x:c r="A5747" s="15" t="n">
        <x:v>43009</x:v>
      </x:c>
      <x:c r="B5747" s="13" t="str">
        <x:v>COMPANHIA PARANAENSE -PREF B</x:v>
      </x:c>
      <x:c r="C5747" s="16" t="n">
        <x:v>1387.5705491288</x:v>
      </x:c>
      <x:c r="D5747" s="13" t="str">
        <x:v>Utilities &amp; Energy</x:v>
      </x:c>
      <x:c r="E5747" s="13" t="str">
        <x:v>Utilities</x:v>
      </x:c>
      <x:c r="F5747" s="13" t="str">
        <x:v>Defensives</x:v>
      </x:c>
      <x:c r="G5747" s="13" t="str">
        <x:v>grid_asitui1y.xlsx</x:v>
      </x:c>
    </x:row>
    <x:row r="5748">
      <x:c r="A5748" s="15" t="n">
        <x:v>43009</x:v>
      </x:c>
      <x:c r="B5748" s="13" t="str">
        <x:v>CPFL ENERGIA SA</x:v>
      </x:c>
      <x:c r="C5748" s="16" t="n">
        <x:v>1491.8911572164</x:v>
      </x:c>
      <x:c r="D5748" s="13" t="str">
        <x:v>Utilities &amp; Energy</x:v>
      </x:c>
      <x:c r="E5748" s="13" t="str">
        <x:v>Utilities</x:v>
      </x:c>
      <x:c r="F5748" s="13" t="str">
        <x:v>Defensives</x:v>
      </x:c>
      <x:c r="G5748" s="13" t="str">
        <x:v>grid_asitui1y.xlsx</x:v>
      </x:c>
    </x:row>
    <x:row r="5749">
      <x:c r="A5749" s="15" t="n">
        <x:v>43009</x:v>
      </x:c>
      <x:c r="B5749" s="13" t="str">
        <x:v>EDP - ENERGIAS DO BRASIL SA</x:v>
      </x:c>
      <x:c r="C5749" s="16" t="n">
        <x:v>721.677337074</x:v>
      </x:c>
      <x:c r="D5749" s="13" t="str">
        <x:v>Utilities &amp; Energy</x:v>
      </x:c>
      <x:c r="E5749" s="13" t="str">
        <x:v>Utilities</x:v>
      </x:c>
      <x:c r="F5749" s="13" t="str">
        <x:v>Defensives</x:v>
      </x:c>
      <x:c r="G5749" s="13" t="str">
        <x:v>grid_asitui1y.xlsx</x:v>
      </x:c>
    </x:row>
    <x:row r="5750">
      <x:c r="A5750" s="15" t="n">
        <x:v>43009</x:v>
      </x:c>
      <x:c r="B5750" s="13" t="str">
        <x:v>ENGIE BRASIL ENERGIA SA</x:v>
      </x:c>
      <x:c r="C5750" s="16" t="n">
        <x:v>1801.7303748384</x:v>
      </x:c>
      <x:c r="D5750" s="13" t="str">
        <x:v>Utilities &amp; Energy</x:v>
      </x:c>
      <x:c r="E5750" s="13" t="str">
        <x:v>Utilities</x:v>
      </x:c>
      <x:c r="F5750" s="13" t="str">
        <x:v>Defensives</x:v>
      </x:c>
      <x:c r="G5750" s="13" t="str">
        <x:v>grid_asitui1y.xlsx</x:v>
      </x:c>
    </x:row>
    <x:row r="5751">
      <x:c r="A5751" s="15" t="n">
        <x:v>43009</x:v>
      </x:c>
      <x:c r="B5751" s="13" t="str">
        <x:v>EQUATORIAL SA - ORD</x:v>
      </x:c>
      <x:c r="C5751" s="16" t="n">
        <x:v>801.784109589</x:v>
      </x:c>
      <x:c r="D5751" s="13" t="str">
        <x:v>Utilities &amp; Energy</x:v>
      </x:c>
      <x:c r="E5751" s="13" t="str">
        <x:v>Utilities</x:v>
      </x:c>
      <x:c r="F5751" s="13" t="str">
        <x:v>Defensives</x:v>
      </x:c>
      <x:c r="G5751" s="13" t="str">
        <x:v>grid_asitui1y.xlsx</x:v>
      </x:c>
    </x:row>
    <x:row r="5752">
      <x:c r="A5752" s="15" t="n">
        <x:v>43009</x:v>
      </x:c>
      <x:c r="B5752" s="13" t="str">
        <x:v>TRANSMISSORA ALIANCA DE-UNIT</x:v>
      </x:c>
      <x:c r="C5752" s="16" t="n">
        <x:v>830.0516020603</x:v>
      </x:c>
      <x:c r="D5752" s="13" t="str">
        <x:v>Utilities &amp; Energy</x:v>
      </x:c>
      <x:c r="E5752" s="13" t="str">
        <x:v>Utilities</x:v>
      </x:c>
      <x:c r="F5752" s="13" t="str">
        <x:v>Defensives</x:v>
      </x:c>
      <x:c r="G5752" s="13" t="str">
        <x:v>grid_asitui1y.xlsx</x:v>
      </x:c>
    </x:row>
    <x:row r="5753">
      <x:c r="A5753" s="15" t="n">
        <x:v>43040</x:v>
      </x:c>
      <x:c r="B5753" s="13" t="str">
        <x:v>BANCO BRADESCO S.A.</x:v>
      </x:c>
      <x:c r="C5753" s="16" t="n">
        <x:v>19638.9620974466</x:v>
      </x:c>
      <x:c r="D5753" s="13" t="str">
        <x:v>Banks</x:v>
      </x:c>
      <x:c r="E5753" s="13" t="str">
        <x:v>Banks</x:v>
      </x:c>
      <x:c r="F5753" s="13" t="str">
        <x:v>Financials</x:v>
      </x:c>
      <x:c r="G5753" s="13" t="str">
        <x:v>grid_asitui1y.xlsx</x:v>
      </x:c>
    </x:row>
    <x:row r="5754">
      <x:c r="A5754" s="15" t="n">
        <x:v>43040</x:v>
      </x:c>
      <x:c r="B5754" s="13" t="str">
        <x:v>BANCO BRADESCO SA-PREF</x:v>
      </x:c>
      <x:c r="C5754" s="16" t="n">
        <x:v>19638.9620974466</x:v>
      </x:c>
      <x:c r="D5754" s="13" t="str">
        <x:v>Banks</x:v>
      </x:c>
      <x:c r="E5754" s="13" t="str">
        <x:v>Banks</x:v>
      </x:c>
      <x:c r="F5754" s="13" t="str">
        <x:v>Financials</x:v>
      </x:c>
      <x:c r="G5754" s="13" t="str">
        <x:v>grid_asitui1y.xlsx</x:v>
      </x:c>
    </x:row>
    <x:row r="5755">
      <x:c r="A5755" s="15" t="n">
        <x:v>43040</x:v>
      </x:c>
      <x:c r="B5755" s="13" t="str">
        <x:v>BANCO DO BRASIL S.A.</x:v>
      </x:c>
      <x:c r="C5755" s="16" t="n">
        <x:v>12455.3078671781</x:v>
      </x:c>
      <x:c r="D5755" s="13" t="str">
        <x:v>Banks</x:v>
      </x:c>
      <x:c r="E5755" s="13" t="str">
        <x:v>Banks</x:v>
      </x:c>
      <x:c r="F5755" s="13" t="str">
        <x:v>Financials</x:v>
      </x:c>
      <x:c r="G5755" s="13" t="str">
        <x:v>grid_asitui1y.xlsx</x:v>
      </x:c>
    </x:row>
    <x:row r="5756">
      <x:c r="A5756" s="15" t="n">
        <x:v>43040</x:v>
      </x:c>
      <x:c r="B5756" s="13" t="str">
        <x:v>BANCO SANTANDER  BRASIL-UNIT</x:v>
      </x:c>
      <x:c r="C5756" s="16" t="n">
        <x:v>9873.9924206466</x:v>
      </x:c>
      <x:c r="D5756" s="13" t="str">
        <x:v>Banks</x:v>
      </x:c>
      <x:c r="E5756" s="13" t="str">
        <x:v>Banks</x:v>
      </x:c>
      <x:c r="F5756" s="13" t="str">
        <x:v>Financials</x:v>
      </x:c>
      <x:c r="G5756" s="13" t="str">
        <x:v>grid_asitui1y.xlsx</x:v>
      </x:c>
    </x:row>
    <x:row r="5757">
      <x:c r="A5757" s="15" t="n">
        <x:v>43040</x:v>
      </x:c>
      <x:c r="B5757" s="13" t="str">
        <x:v>ITAU UNIBANCO HOLDING S-PREF</x:v>
      </x:c>
      <x:c r="C5757" s="16" t="n">
        <x:v>25142.3698326795</x:v>
      </x:c>
      <x:c r="D5757" s="13" t="str">
        <x:v>Banks</x:v>
      </x:c>
      <x:c r="E5757" s="13" t="str">
        <x:v>Banks</x:v>
      </x:c>
      <x:c r="F5757" s="13" t="str">
        <x:v>Financials</x:v>
      </x:c>
      <x:c r="G5757" s="13" t="str">
        <x:v>grid_asitui1y.xlsx</x:v>
      </x:c>
    </x:row>
    <x:row r="5758">
      <x:c r="A5758" s="15" t="n">
        <x:v>43040</x:v>
      </x:c>
      <x:c r="B5758" s="13" t="str">
        <x:v>EMBRAER SA</x:v>
      </x:c>
      <x:c r="C5758" s="16" t="n">
        <x:v>795.6007192548</x:v>
      </x:c>
      <x:c r="D5758" s="13" t="str">
        <x:v>Capital Goods</x:v>
      </x:c>
      <x:c r="E5758" s="13" t="str">
        <x:v>Capital Goods</x:v>
      </x:c>
      <x:c r="F5758" s="13" t="str">
        <x:v>Deep Cyclicals</x:v>
      </x:c>
      <x:c r="G5758" s="13" t="str">
        <x:v>grid_asitui1y.xlsx</x:v>
      </x:c>
    </x:row>
    <x:row r="5759">
      <x:c r="A5759" s="15" t="n">
        <x:v>43040</x:v>
      </x:c>
      <x:c r="B5759" s="13" t="str">
        <x:v>WEG SA</x:v>
      </x:c>
      <x:c r="C5759" s="16" t="n">
        <x:v>1291.0895570411</x:v>
      </x:c>
      <x:c r="D5759" s="13" t="str">
        <x:v>Capital Goods</x:v>
      </x:c>
      <x:c r="E5759" s="13" t="str">
        <x:v>Capital Goods</x:v>
      </x:c>
      <x:c r="F5759" s="13" t="str">
        <x:v>Deep Cyclicals</x:v>
      </x:c>
      <x:c r="G5759" s="13" t="str">
        <x:v>grid_asitui1y.xlsx</x:v>
      </x:c>
    </x:row>
    <x:row r="5760">
      <x:c r="A5760" s="15" t="n">
        <x:v>43040</x:v>
      </x:c>
      <x:c r="B5760" s="13" t="str">
        <x:v>COGNA EDUCACAO</x:v>
      </x:c>
      <x:c r="C5760" s="16" t="n">
        <x:v>2243.0970259288</x:v>
      </x:c>
      <x:c r="D5760" s="13" t="str">
        <x:v>Education</x:v>
      </x:c>
      <x:c r="E5760" s="13" t="str">
        <x:v>Education</x:v>
      </x:c>
      <x:c r="F5760" s="13" t="str">
        <x:v>Early Cyclicals</x:v>
      </x:c>
      <x:c r="G5760" s="13" t="str">
        <x:v>grid_asitui1y.xlsx</x:v>
      </x:c>
    </x:row>
    <x:row r="5761">
      <x:c r="A5761" s="15" t="n">
        <x:v>43040</x:v>
      </x:c>
      <x:c r="B5761" s="13" t="str">
        <x:v>YDUQS PARTICIPACOES SA</x:v>
      </x:c>
      <x:c r="C5761" s="16" t="n">
        <x:v>649.1264098192</x:v>
      </x:c>
      <x:c r="D5761" s="13" t="str">
        <x:v>Education</x:v>
      </x:c>
      <x:c r="E5761" s="13" t="str">
        <x:v>Education</x:v>
      </x:c>
      <x:c r="F5761" s="13" t="str">
        <x:v>Early Cyclicals</x:v>
      </x:c>
      <x:c r="G5761" s="13" t="str">
        <x:v>grid_asitui1y.xlsx</x:v>
      </x:c>
    </x:row>
    <x:row r="5762">
      <x:c r="A5762" s="15" t="n">
        <x:v>43040</x:v>
      </x:c>
      <x:c r="B5762" s="13" t="str">
        <x:v>B3 SA-BRASIL BOLSA BALCAO</x:v>
      </x:c>
      <x:c r="C5762" s="16" t="n">
        <x:v>2237.4756565918</x:v>
      </x:c>
      <x:c r="D5762" s="13" t="str">
        <x:v>Financials Non-Banks</x:v>
      </x:c>
      <x:c r="E5762" s="13" t="str">
        <x:v>Financials Non-Banks</x:v>
      </x:c>
      <x:c r="F5762" s="13" t="str">
        <x:v>Financials</x:v>
      </x:c>
      <x:c r="G5762" s="13" t="str">
        <x:v>grid_asitui1y.xlsx</x:v>
      </x:c>
    </x:row>
    <x:row r="5763">
      <x:c r="A5763" s="15" t="n">
        <x:v>43040</x:v>
      </x:c>
      <x:c r="B5763" s="13" t="str">
        <x:v>BB SEGURIDADE PARTICIPACOES</x:v>
      </x:c>
      <x:c r="C5763" s="16" t="n">
        <x:v>4125.8523542795</x:v>
      </x:c>
      <x:c r="D5763" s="13" t="str">
        <x:v>Financials Non-Banks</x:v>
      </x:c>
      <x:c r="E5763" s="13" t="str">
        <x:v>Financials Non-Banks</x:v>
      </x:c>
      <x:c r="F5763" s="13" t="str">
        <x:v>Financials</x:v>
      </x:c>
      <x:c r="G5763" s="13" t="str">
        <x:v>grid_asitui1y.xlsx</x:v>
      </x:c>
    </x:row>
    <x:row r="5764">
      <x:c r="A5764" s="15" t="n">
        <x:v>43040</x:v>
      </x:c>
      <x:c r="B5764" s="13" t="str">
        <x:v>CIELO SA - INSTITUICAO DE PA</x:v>
      </x:c>
      <x:c r="C5764" s="16" t="n">
        <x:v>4341.410374137</x:v>
      </x:c>
      <x:c r="D5764" s="13" t="str">
        <x:v>Financials Non-Banks</x:v>
      </x:c>
      <x:c r="E5764" s="13" t="str">
        <x:v>Financials Non-Banks</x:v>
      </x:c>
      <x:c r="F5764" s="13" t="str">
        <x:v>Financials</x:v>
      </x:c>
      <x:c r="G5764" s="13" t="str">
        <x:v>grid_asitui1y.xlsx</x:v>
      </x:c>
    </x:row>
    <x:row r="5765">
      <x:c r="A5765" s="15" t="n">
        <x:v>43040</x:v>
      </x:c>
      <x:c r="B5765" s="13" t="str">
        <x:v>ITAUSA SA</x:v>
      </x:c>
      <x:c r="C5765" s="16" t="n">
        <x:v>8641.9935428384</x:v>
      </x:c>
      <x:c r="D5765" s="13" t="str">
        <x:v>Financials Non-Banks</x:v>
      </x:c>
      <x:c r="E5765" s="13" t="str">
        <x:v>Financials Non-Banks</x:v>
      </x:c>
      <x:c r="F5765" s="13" t="str">
        <x:v>Financials</x:v>
      </x:c>
      <x:c r="G5765" s="13" t="str">
        <x:v>grid_asitui1y.xlsx</x:v>
      </x:c>
    </x:row>
    <x:row r="5766">
      <x:c r="A5766" s="15" t="n">
        <x:v>43040</x:v>
      </x:c>
      <x:c r="B5766" s="13" t="str">
        <x:v>AMBEV SA</x:v>
      </x:c>
      <x:c r="C5766" s="16" t="n">
        <x:v>13669.3234505644</x:v>
      </x:c>
      <x:c r="D5766" s="13" t="str">
        <x:v>Food &amp; Beverages</x:v>
      </x:c>
      <x:c r="E5766" s="13" t="str">
        <x:v>Agri, Food &amp; Beverages</x:v>
      </x:c>
      <x:c r="F5766" s="13" t="str">
        <x:v>Defensives</x:v>
      </x:c>
      <x:c r="G5766" s="13" t="str">
        <x:v>grid_asitui1y.xlsx</x:v>
      </x:c>
    </x:row>
    <x:row r="5767">
      <x:c r="A5767" s="15" t="n">
        <x:v>43040</x:v>
      </x:c>
      <x:c r="B5767" s="13" t="str">
        <x:v>BRF SA</x:v>
      </x:c>
      <x:c r="C5767" s="16" t="n">
        <x:v>1534.6609716603</x:v>
      </x:c>
      <x:c r="D5767" s="13" t="str">
        <x:v>Food &amp; Beverages</x:v>
      </x:c>
      <x:c r="E5767" s="13" t="str">
        <x:v>Agri, Food &amp; Beverages</x:v>
      </x:c>
      <x:c r="F5767" s="13" t="str">
        <x:v>Defensives</x:v>
      </x:c>
      <x:c r="G5767" s="13" t="str">
        <x:v>grid_asitui1y.xlsx</x:v>
      </x:c>
    </x:row>
    <x:row r="5768">
      <x:c r="A5768" s="15" t="n">
        <x:v>43040</x:v>
      </x:c>
      <x:c r="B5768" s="13" t="str">
        <x:v>JBS SA</x:v>
      </x:c>
      <x:c r="C5768" s="16" t="n">
        <x:v>3275.9745585096</x:v>
      </x:c>
      <x:c r="D5768" s="13" t="str">
        <x:v>Food &amp; Beverages</x:v>
      </x:c>
      <x:c r="E5768" s="13" t="str">
        <x:v>Agri, Food &amp; Beverages</x:v>
      </x:c>
      <x:c r="F5768" s="13" t="str">
        <x:v>Defensives</x:v>
      </x:c>
      <x:c r="G5768" s="13" t="str">
        <x:v>grid_asitui1y.xlsx</x:v>
      </x:c>
    </x:row>
    <x:row r="5769">
      <x:c r="A5769" s="15" t="n">
        <x:v>43040</x:v>
      </x:c>
      <x:c r="B5769" s="13" t="str">
        <x:v>MBRF GLOBAL FOODS COMPANY SA</x:v>
      </x:c>
      <x:c r="C5769" s="16" t="n">
        <x:v>96.6035616438</x:v>
      </x:c>
      <x:c r="D5769" s="13" t="str">
        <x:v>Food &amp; Beverages</x:v>
      </x:c>
      <x:c r="E5769" s="13" t="str">
        <x:v>Agri, Food &amp; Beverages</x:v>
      </x:c>
      <x:c r="F5769" s="13" t="str">
        <x:v>Defensives</x:v>
      </x:c>
      <x:c r="G5769" s="13" t="str">
        <x:v>grid_asitui1y.xlsx</x:v>
      </x:c>
    </x:row>
    <x:row r="5770">
      <x:c r="A5770" s="15" t="n">
        <x:v>43040</x:v>
      </x:c>
      <x:c r="B5770" s="13" t="str">
        <x:v>HYPERA SA</x:v>
      </x:c>
      <x:c r="C5770" s="16" t="n">
        <x:v>1009.04576</x:v>
      </x:c>
      <x:c r="D5770" s="13" t="str">
        <x:v>Health Care</x:v>
      </x:c>
      <x:c r="E5770" s="13" t="str">
        <x:v>Health Care</x:v>
      </x:c>
      <x:c r="F5770" s="13" t="str">
        <x:v>Defensives</x:v>
      </x:c>
      <x:c r="G5770" s="13" t="str">
        <x:v>grid_asitui1y.xlsx</x:v>
      </x:c>
    </x:row>
    <x:row r="5771">
      <x:c r="A5771" s="15" t="n">
        <x:v>43040</x:v>
      </x:c>
      <x:c r="B5771" s="13" t="str">
        <x:v>QUALICORP CONS E CORR SEG SA</x:v>
      </x:c>
      <x:c r="C5771" s="16" t="n">
        <x:v>581.3591780822</x:v>
      </x:c>
      <x:c r="D5771" s="13" t="str">
        <x:v>Health Care</x:v>
      </x:c>
      <x:c r="E5771" s="13" t="str">
        <x:v>Health Care</x:v>
      </x:c>
      <x:c r="F5771" s="13" t="str">
        <x:v>Defensives</x:v>
      </x:c>
      <x:c r="G5771" s="13" t="str">
        <x:v>grid_asitui1y.xlsx</x:v>
      </x:c>
    </x:row>
    <x:row r="5772">
      <x:c r="A5772" s="15" t="n">
        <x:v>43040</x:v>
      </x:c>
      <x:c r="B5772" s="13" t="str">
        <x:v>CYRELA BRAZIL REALTY SA EMP</x:v>
      </x:c>
      <x:c r="C5772" s="16" t="n">
        <x:v>199.1217580055</x:v>
      </x:c>
      <x:c r="D5772" s="13" t="str">
        <x:v>Homebuilders</x:v>
      </x:c>
      <x:c r="E5772" s="13" t="str">
        <x:v>Real Estate</x:v>
      </x:c>
      <x:c r="F5772" s="13" t="str">
        <x:v>Early Cyclicals</x:v>
      </x:c>
      <x:c r="G5772" s="13" t="str">
        <x:v>grid_asitui1y.xlsx</x:v>
      </x:c>
    </x:row>
    <x:row r="5773">
      <x:c r="A5773" s="15" t="n">
        <x:v>43040</x:v>
      </x:c>
      <x:c r="B5773" s="13" t="str">
        <x:v>MRV ENGENHARIA</x:v>
      </x:c>
      <x:c r="C5773" s="16" t="n">
        <x:v>709.4506643288</x:v>
      </x:c>
      <x:c r="D5773" s="13" t="str">
        <x:v>Homebuilders</x:v>
      </x:c>
      <x:c r="E5773" s="13" t="str">
        <x:v>Real Estate</x:v>
      </x:c>
      <x:c r="F5773" s="13" t="str">
        <x:v>Early Cyclicals</x:v>
      </x:c>
      <x:c r="G5773" s="13" t="str">
        <x:v>grid_asitui1y.xlsx</x:v>
      </x:c>
    </x:row>
    <x:row r="5774">
      <x:c r="A5774" s="15" t="n">
        <x:v>43040</x:v>
      </x:c>
      <x:c r="B5774" s="13" t="str">
        <x:v>BR MALLS PARTICIPACOES SA</x:v>
      </x:c>
      <x:c r="C5774" s="16" t="n">
        <x:v>541.7202595945</x:v>
      </x:c>
      <x:c r="D5774" s="13" t="str">
        <x:v>Income Properties</x:v>
      </x:c>
      <x:c r="E5774" s="13" t="str">
        <x:v>Real Estate</x:v>
      </x:c>
      <x:c r="F5774" s="13" t="str">
        <x:v>Early Cyclicals</x:v>
      </x:c>
      <x:c r="G5774" s="13" t="str">
        <x:v>grid_asitui1y.xlsx</x:v>
      </x:c>
    </x:row>
    <x:row r="5775">
      <x:c r="A5775" s="15" t="n">
        <x:v>43040</x:v>
      </x:c>
      <x:c r="B5775" s="13" t="str">
        <x:v>MULTIPLAN EMPREENDIMENTOS</x:v>
      </x:c>
      <x:c r="C5775" s="16" t="n">
        <x:v>507.1221260274</x:v>
      </x:c>
      <x:c r="D5775" s="13" t="str">
        <x:v>Income Properties</x:v>
      </x:c>
      <x:c r="E5775" s="13" t="str">
        <x:v>Real Estate</x:v>
      </x:c>
      <x:c r="F5775" s="13" t="str">
        <x:v>Early Cyclicals</x:v>
      </x:c>
      <x:c r="G5775" s="13" t="str">
        <x:v>grid_asitui1y.xlsx</x:v>
      </x:c>
    </x:row>
    <x:row r="5776">
      <x:c r="A5776" s="15" t="n">
        <x:v>43040</x:v>
      </x:c>
      <x:c r="B5776" s="13" t="str">
        <x:v>BRADESPAR SA -PREF</x:v>
      </x:c>
      <x:c r="C5776" s="16" t="n">
        <x:v>1205.8945297534</x:v>
      </x:c>
      <x:c r="D5776" s="13" t="str">
        <x:v>Metals &amp; Mining</x:v>
      </x:c>
      <x:c r="E5776" s="13" t="str">
        <x:v>Metals &amp; Mining</x:v>
      </x:c>
      <x:c r="F5776" s="13" t="str">
        <x:v>Deep Cyclicals</x:v>
      </x:c>
      <x:c r="G5776" s="13" t="str">
        <x:v>grid_asitui1y.xlsx</x:v>
      </x:c>
    </x:row>
    <x:row r="5777">
      <x:c r="A5777" s="15" t="n">
        <x:v>43040</x:v>
      </x:c>
      <x:c r="B5777" s="13" t="str">
        <x:v>CIA SIDERURGICA NACIONAL SA</x:v>
      </x:c>
      <x:c r="C5777" s="16" t="n">
        <x:v>631.1241351014</x:v>
      </x:c>
      <x:c r="D5777" s="13" t="str">
        <x:v>Metals &amp; Mining</x:v>
      </x:c>
      <x:c r="E5777" s="13" t="str">
        <x:v>Metals &amp; Mining</x:v>
      </x:c>
      <x:c r="F5777" s="13" t="str">
        <x:v>Deep Cyclicals</x:v>
      </x:c>
      <x:c r="G5777" s="13" t="str">
        <x:v>grid_asitui1y.xlsx</x:v>
      </x:c>
    </x:row>
    <x:row r="5778">
      <x:c r="A5778" s="15" t="n">
        <x:v>43040</x:v>
      </x:c>
      <x:c r="B5778" s="13" t="str">
        <x:v>GERDAU SA-PREF</x:v>
      </x:c>
      <x:c r="C5778" s="16" t="n">
        <x:v>1135.4524714082</x:v>
      </x:c>
      <x:c r="D5778" s="13" t="str">
        <x:v>Metals &amp; Mining</x:v>
      </x:c>
      <x:c r="E5778" s="13" t="str">
        <x:v>Metals &amp; Mining</x:v>
      </x:c>
      <x:c r="F5778" s="13" t="str">
        <x:v>Deep Cyclicals</x:v>
      </x:c>
      <x:c r="G5778" s="13" t="str">
        <x:v>grid_asitui1y.xlsx</x:v>
      </x:c>
    </x:row>
    <x:row r="5779">
      <x:c r="A5779" s="15" t="n">
        <x:v>43040</x:v>
      </x:c>
      <x:c r="B5779" s="13" t="str">
        <x:v>METALURGICA GERDAU SA-PREF</x:v>
      </x:c>
      <x:c r="C5779" s="16" t="n">
        <x:v>985.101369863</x:v>
      </x:c>
      <x:c r="D5779" s="13" t="str">
        <x:v>Metals &amp; Mining</x:v>
      </x:c>
      <x:c r="E5779" s="13" t="str">
        <x:v>Metals &amp; Mining</x:v>
      </x:c>
      <x:c r="F5779" s="13" t="str">
        <x:v>Deep Cyclicals</x:v>
      </x:c>
      <x:c r="G5779" s="13" t="str">
        <x:v>grid_asitui1y.xlsx</x:v>
      </x:c>
    </x:row>
    <x:row r="5780">
      <x:c r="A5780" s="15" t="n">
        <x:v>43040</x:v>
      </x:c>
      <x:c r="B5780" s="13" t="str">
        <x:v>USINAS SIDER MINAS GER-PF A</x:v>
      </x:c>
      <x:c r="C5780" s="16" t="n">
        <x:v>476.1070278137</x:v>
      </x:c>
      <x:c r="D5780" s="13" t="str">
        <x:v>Metals &amp; Mining</x:v>
      </x:c>
      <x:c r="E5780" s="13" t="str">
        <x:v>Metals &amp; Mining</x:v>
      </x:c>
      <x:c r="F5780" s="13" t="str">
        <x:v>Deep Cyclicals</x:v>
      </x:c>
      <x:c r="G5780" s="13" t="str">
        <x:v>grid_asitui1y.xlsx</x:v>
      </x:c>
    </x:row>
    <x:row r="5781">
      <x:c r="A5781" s="15" t="n">
        <x:v>43040</x:v>
      </x:c>
      <x:c r="B5781" s="13" t="str">
        <x:v>VALE SA</x:v>
      </x:c>
      <x:c r="C5781" s="16" t="n">
        <x:v>19503.0670518356</x:v>
      </x:c>
      <x:c r="D5781" s="13" t="str">
        <x:v>Metals &amp; Mining</x:v>
      </x:c>
      <x:c r="E5781" s="13" t="str">
        <x:v>Metals &amp; Mining</x:v>
      </x:c>
      <x:c r="F5781" s="13" t="str">
        <x:v>Deep Cyclicals</x:v>
      </x:c>
      <x:c r="G5781" s="13" t="str">
        <x:v>grid_asitui1y.xlsx</x:v>
      </x:c>
    </x:row>
    <x:row r="5782">
      <x:c r="A5782" s="15" t="n">
        <x:v>43040</x:v>
      </x:c>
      <x:c r="B5782" s="13" t="str">
        <x:v>BRASKEM SA-PREF A</x:v>
      </x:c>
      <x:c r="C5782" s="16" t="n">
        <x:v>3243.0593907726</x:v>
      </x:c>
      <x:c r="D5782" s="13" t="str">
        <x:v>Oil, Gas &amp; Petrochemicals</x:v>
      </x:c>
      <x:c r="E5782" s="13" t="str">
        <x:v>Oil, Gas &amp; Petrochemicals</x:v>
      </x:c>
      <x:c r="F5782" s="13" t="str">
        <x:v>Deep Cyclicals</x:v>
      </x:c>
      <x:c r="G5782" s="13" t="str">
        <x:v>grid_asitui1y.xlsx</x:v>
      </x:c>
    </x:row>
    <x:row r="5783">
      <x:c r="A5783" s="15" t="n">
        <x:v>43040</x:v>
      </x:c>
      <x:c r="B5783" s="13" t="str">
        <x:v>COSAN SA</x:v>
      </x:c>
      <x:c r="C5783" s="16" t="n">
        <x:v>1069.5618858082</x:v>
      </x:c>
      <x:c r="D5783" s="13" t="str">
        <x:v>Oil, Gas &amp; Petrochemicals</x:v>
      </x:c>
      <x:c r="E5783" s="13" t="str">
        <x:v>Oil, Gas &amp; Petrochemicals</x:v>
      </x:c>
      <x:c r="F5783" s="13" t="str">
        <x:v>Deep Cyclicals</x:v>
      </x:c>
      <x:c r="G5783" s="13" t="str">
        <x:v>grid_asitui1y.xlsx</x:v>
      </x:c>
    </x:row>
    <x:row r="5784">
      <x:c r="A5784" s="15" t="n">
        <x:v>43040</x:v>
      </x:c>
      <x:c r="B5784" s="13" t="str">
        <x:v>PETROBRAS - PETROLEO BRAS</x:v>
      </x:c>
      <x:c r="C5784" s="16" t="n">
        <x:v>16380.8046570959</x:v>
      </x:c>
      <x:c r="D5784" s="13" t="str">
        <x:v>Oil, Gas &amp; Petrochemicals</x:v>
      </x:c>
      <x:c r="E5784" s="13" t="str">
        <x:v>Oil, Gas &amp; Petrochemicals</x:v>
      </x:c>
      <x:c r="F5784" s="13" t="str">
        <x:v>Deep Cyclicals</x:v>
      </x:c>
      <x:c r="G5784" s="13" t="str">
        <x:v>grid_asitui1y.xlsx</x:v>
      </x:c>
    </x:row>
    <x:row r="5785">
      <x:c r="A5785" s="15" t="n">
        <x:v>43040</x:v>
      </x:c>
      <x:c r="B5785" s="13" t="str">
        <x:v>ULTRAPAR PARTICIPACOES SA</x:v>
      </x:c>
      <x:c r="C5785" s="16" t="n">
        <x:v>1904.4455900932</x:v>
      </x:c>
      <x:c r="D5785" s="13" t="str">
        <x:v>Oil, Gas &amp; Petrochemicals</x:v>
      </x:c>
      <x:c r="E5785" s="13" t="str">
        <x:v>Oil, Gas &amp; Petrochemicals</x:v>
      </x:c>
      <x:c r="F5785" s="13" t="str">
        <x:v>Deep Cyclicals</x:v>
      </x:c>
      <x:c r="G5785" s="13" t="str">
        <x:v>grid_asitui1y.xlsx</x:v>
      </x:c>
    </x:row>
    <x:row r="5786">
      <x:c r="A5786" s="15" t="n">
        <x:v>43040</x:v>
      </x:c>
      <x:c r="B5786" s="13" t="str">
        <x:v>FIBRIA CELULOSE S/A</x:v>
      </x:c>
      <x:c r="C5786" s="16" t="n">
        <x:v>2356.7901727562</x:v>
      </x:c>
      <x:c r="D5786" s="13" t="str">
        <x:v>Pulp &amp; Paper</x:v>
      </x:c>
      <x:c r="E5786" s="13" t="str">
        <x:v>Pulp &amp; Paper</x:v>
      </x:c>
      <x:c r="F5786" s="13" t="str">
        <x:v>Deep Cyclicals</x:v>
      </x:c>
      <x:c r="G5786" s="13" t="str">
        <x:v>grid_asitui1y.xlsx</x:v>
      </x:c>
    </x:row>
    <x:row r="5787">
      <x:c r="A5787" s="15" t="n">
        <x:v>43040</x:v>
      </x:c>
      <x:c r="B5787" s="13" t="str">
        <x:v>KLABIN SA - UNIT</x:v>
      </x:c>
      <x:c r="C5787" s="16" t="n">
        <x:v>1022.4710568329</x:v>
      </x:c>
      <x:c r="D5787" s="13" t="str">
        <x:v>Pulp &amp; Paper</x:v>
      </x:c>
      <x:c r="E5787" s="13" t="str">
        <x:v>Pulp &amp; Paper</x:v>
      </x:c>
      <x:c r="F5787" s="13" t="str">
        <x:v>Deep Cyclicals</x:v>
      </x:c>
      <x:c r="G5787" s="13" t="str">
        <x:v>grid_asitui1y.xlsx</x:v>
      </x:c>
    </x:row>
    <x:row r="5788">
      <x:c r="A5788" s="15" t="n">
        <x:v>43040</x:v>
      </x:c>
      <x:c r="B5788" s="13" t="str">
        <x:v>SUZANO SA</x:v>
      </x:c>
      <x:c r="C5788" s="16" t="n">
        <x:v>1801.803922937</x:v>
      </x:c>
      <x:c r="D5788" s="13" t="str">
        <x:v>Pulp &amp; Paper</x:v>
      </x:c>
      <x:c r="E5788" s="13" t="str">
        <x:v>Pulp &amp; Paper</x:v>
      </x:c>
      <x:c r="F5788" s="13" t="str">
        <x:v>Deep Cyclicals</x:v>
      </x:c>
      <x:c r="G5788" s="13" t="str">
        <x:v>grid_asitui1y.xlsx</x:v>
      </x:c>
    </x:row>
    <x:row r="5789">
      <x:c r="A5789" s="15" t="n">
        <x:v>43040</x:v>
      </x:c>
      <x:c r="B5789" s="13" t="str">
        <x:v>CIA BRASILEIRA DE DIS-PREF</x:v>
      </x:c>
      <x:c r="C5789" s="16" t="n">
        <x:v>844.5524430904</x:v>
      </x:c>
      <x:c r="D5789" s="13" t="str">
        <x:v>Retail</x:v>
      </x:c>
      <x:c r="E5789" s="13" t="str">
        <x:v>Retail</x:v>
      </x:c>
      <x:c r="F5789" s="13" t="str">
        <x:v>Early Cyclicals</x:v>
      </x:c>
      <x:c r="G5789" s="13" t="str">
        <x:v>grid_asitui1y.xlsx</x:v>
      </x:c>
    </x:row>
    <x:row r="5790">
      <x:c r="A5790" s="15" t="n">
        <x:v>43040</x:v>
      </x:c>
      <x:c r="B5790" s="13" t="str">
        <x:v>LOJAS AMERICANAS SA-PREF</x:v>
      </x:c>
      <x:c r="C5790" s="16" t="n">
        <x:v>783.2264545315</x:v>
      </x:c>
      <x:c r="D5790" s="13" t="str">
        <x:v>Retail</x:v>
      </x:c>
      <x:c r="E5790" s="13" t="str">
        <x:v>Retail</x:v>
      </x:c>
      <x:c r="F5790" s="13" t="str">
        <x:v>Early Cyclicals</x:v>
      </x:c>
      <x:c r="G5790" s="13" t="str">
        <x:v>grid_asitui1y.xlsx</x:v>
      </x:c>
    </x:row>
    <x:row r="5791">
      <x:c r="A5791" s="15" t="n">
        <x:v>43040</x:v>
      </x:c>
      <x:c r="B5791" s="13" t="str">
        <x:v>LOJAS RENNER S.A.</x:v>
      </x:c>
      <x:c r="C5791" s="16" t="n">
        <x:v>930.1351050521</x:v>
      </x:c>
      <x:c r="D5791" s="13" t="str">
        <x:v>Retail</x:v>
      </x:c>
      <x:c r="E5791" s="13" t="str">
        <x:v>Retail</x:v>
      </x:c>
      <x:c r="F5791" s="13" t="str">
        <x:v>Early Cyclicals</x:v>
      </x:c>
      <x:c r="G5791" s="13" t="str">
        <x:v>grid_asitui1y.xlsx</x:v>
      </x:c>
    </x:row>
    <x:row r="5792">
      <x:c r="A5792" s="15" t="n">
        <x:v>43040</x:v>
      </x:c>
      <x:c r="B5792" s="13" t="str">
        <x:v>NATURA COSMETICOS SA</x:v>
      </x:c>
      <x:c r="C5792" s="16" t="n">
        <x:v>616.3862573589</x:v>
      </x:c>
      <x:c r="D5792" s="13" t="str">
        <x:v>Retail</x:v>
      </x:c>
      <x:c r="E5792" s="13" t="str">
        <x:v>Retail</x:v>
      </x:c>
      <x:c r="F5792" s="13" t="str">
        <x:v>Early Cyclicals</x:v>
      </x:c>
      <x:c r="G5792" s="13" t="str">
        <x:v>grid_asitui1y.xlsx</x:v>
      </x:c>
    </x:row>
    <x:row r="5793">
      <x:c r="A5793" s="15" t="n">
        <x:v>43040</x:v>
      </x:c>
      <x:c r="B5793" s="13" t="str">
        <x:v>RAIA DROGASIL SA</x:v>
      </x:c>
      <x:c r="C5793" s="16" t="n">
        <x:v>667.9415581808</x:v>
      </x:c>
      <x:c r="D5793" s="13" t="str">
        <x:v>Retail</x:v>
      </x:c>
      <x:c r="E5793" s="13" t="str">
        <x:v>Retail</x:v>
      </x:c>
      <x:c r="F5793" s="13" t="str">
        <x:v>Early Cyclicals</x:v>
      </x:c>
      <x:c r="G5793" s="13" t="str">
        <x:v>grid_asitui1y.xlsx</x:v>
      </x:c>
    </x:row>
    <x:row r="5794">
      <x:c r="A5794" s="15" t="n">
        <x:v>43040</x:v>
      </x:c>
      <x:c r="B5794" s="13" t="str">
        <x:v>CIA SANEAMENTO BASICO DE SP</x:v>
      </x:c>
      <x:c r="C5794" s="16" t="n">
        <x:v>2846.6948530849</x:v>
      </x:c>
      <x:c r="D5794" s="13" t="str">
        <x:v>Sanitation</x:v>
      </x:c>
      <x:c r="E5794" s="13" t="str">
        <x:v>Utilities</x:v>
      </x:c>
      <x:c r="F5794" s="13" t="str">
        <x:v>Defensives</x:v>
      </x:c>
      <x:c r="G5794" s="13" t="str">
        <x:v>grid_asitui1y.xlsx</x:v>
      </x:c>
    </x:row>
    <x:row r="5795">
      <x:c r="A5795" s="15" t="n">
        <x:v>43040</x:v>
      </x:c>
      <x:c r="B5795" s="13" t="str">
        <x:v>SMILES FIDELIDADE SA</x:v>
      </x:c>
      <x:c r="C5795" s="16" t="n">
        <x:v>655.4654527123</x:v>
      </x:c>
      <x:c r="D5795" s="13" t="str">
        <x:v>TMT</x:v>
      </x:c>
      <x:c r="E5795" s="13" t="str">
        <x:v>TMT</x:v>
      </x:c>
      <x:c r="F5795" s="13" t="str">
        <x:v>Early Cyclicals</x:v>
      </x:c>
      <x:c r="G5795" s="13" t="str">
        <x:v>grid_asitui1y.xlsx</x:v>
      </x:c>
    </x:row>
    <x:row r="5796">
      <x:c r="A5796" s="15" t="n">
        <x:v>43040</x:v>
      </x:c>
      <x:c r="B5796" s="13" t="str">
        <x:v>TELEFONICA BRASIL S.A.-PREF</x:v>
      </x:c>
      <x:c r="C5796" s="16" t="n">
        <x:v>5697.0811658521</x:v>
      </x:c>
      <x:c r="D5796" s="13" t="str">
        <x:v>TMT</x:v>
      </x:c>
      <x:c r="E5796" s="13" t="str">
        <x:v>TMT</x:v>
      </x:c>
      <x:c r="F5796" s="13" t="str">
        <x:v>Early Cyclicals</x:v>
      </x:c>
      <x:c r="G5796" s="13" t="str">
        <x:v>grid_asitui1y.xlsx</x:v>
      </x:c>
    </x:row>
    <x:row r="5797">
      <x:c r="A5797" s="15" t="n">
        <x:v>43040</x:v>
      </x:c>
      <x:c r="B5797" s="13" t="str">
        <x:v>TIM SA</x:v>
      </x:c>
      <x:c r="C5797" s="16" t="n">
        <x:v>1318.8740018849</x:v>
      </x:c>
      <x:c r="D5797" s="13" t="str">
        <x:v>TMT</x:v>
      </x:c>
      <x:c r="E5797" s="13" t="str">
        <x:v>TMT</x:v>
      </x:c>
      <x:c r="F5797" s="13" t="str">
        <x:v>Early Cyclicals</x:v>
      </x:c>
      <x:c r="G5797" s="13" t="str">
        <x:v>grid_asitui1y.xlsx</x:v>
      </x:c>
    </x:row>
    <x:row r="5798">
      <x:c r="A5798" s="15" t="n">
        <x:v>43040</x:v>
      </x:c>
      <x:c r="B5798" s="13" t="str">
        <x:v>ECORODOVIAS INFRA E LOG SA</x:v>
      </x:c>
      <x:c r="C5798" s="16" t="n">
        <x:v>528.6401457096</x:v>
      </x:c>
      <x:c r="D5798" s="13" t="str">
        <x:v>Transportation</x:v>
      </x:c>
      <x:c r="E5798" s="13" t="str">
        <x:v>Transportation</x:v>
      </x:c>
      <x:c r="F5798" s="13" t="str">
        <x:v>Deep Cyclicals</x:v>
      </x:c>
      <x:c r="G5798" s="13" t="str">
        <x:v>grid_asitui1y.xlsx</x:v>
      </x:c>
    </x:row>
    <x:row r="5799">
      <x:c r="A5799" s="15" t="n">
        <x:v>43040</x:v>
      </x:c>
      <x:c r="B5799" s="13" t="str">
        <x:v>LOCALIZA RENT A CAR</x:v>
      </x:c>
      <x:c r="C5799" s="16" t="n">
        <x:v>624.5086720877</x:v>
      </x:c>
      <x:c r="D5799" s="13" t="str">
        <x:v>Transportation</x:v>
      </x:c>
      <x:c r="E5799" s="13" t="str">
        <x:v>Transportation</x:v>
      </x:c>
      <x:c r="F5799" s="13" t="str">
        <x:v>Deep Cyclicals</x:v>
      </x:c>
      <x:c r="G5799" s="13" t="str">
        <x:v>grid_asitui1y.xlsx</x:v>
      </x:c>
    </x:row>
    <x:row r="5800">
      <x:c r="A5800" s="15" t="n">
        <x:v>43040</x:v>
      </x:c>
      <x:c r="B5800" s="13" t="str">
        <x:v>MOTIVA INFRAESTRUTURA DE MOB</x:v>
      </x:c>
      <x:c r="C5800" s="16" t="n">
        <x:v>1979.8529136219</x:v>
      </x:c>
      <x:c r="D5800" s="13" t="str">
        <x:v>Transportation</x:v>
      </x:c>
      <x:c r="E5800" s="13" t="str">
        <x:v>Transportation</x:v>
      </x:c>
      <x:c r="F5800" s="13" t="str">
        <x:v>Deep Cyclicals</x:v>
      </x:c>
      <x:c r="G5800" s="13" t="str">
        <x:v>grid_asitui1y.xlsx</x:v>
      </x:c>
    </x:row>
    <x:row r="5801">
      <x:c r="A5801" s="15" t="n">
        <x:v>43040</x:v>
      </x:c>
      <x:c r="B5801" s="13" t="str">
        <x:v>RUMO SA</x:v>
      </x:c>
      <x:c r="C5801" s="16" t="n">
        <x:v>406.3843052712</x:v>
      </x:c>
      <x:c r="D5801" s="13" t="str">
        <x:v>Transportation</x:v>
      </x:c>
      <x:c r="E5801" s="13" t="str">
        <x:v>Transportation</x:v>
      </x:c>
      <x:c r="F5801" s="13" t="str">
        <x:v>Deep Cyclicals</x:v>
      </x:c>
      <x:c r="G5801" s="13" t="str">
        <x:v>grid_asitui1y.xlsx</x:v>
      </x:c>
    </x:row>
    <x:row r="5802">
      <x:c r="A5802" s="15" t="n">
        <x:v>43040</x:v>
      </x:c>
      <x:c r="B5802" s="13" t="str">
        <x:v>AXIA ENERGIA SA</x:v>
      </x:c>
      <x:c r="C5802" s="16" t="n">
        <x:v>4347.9896113096</x:v>
      </x:c>
      <x:c r="D5802" s="13" t="str">
        <x:v>Utilities &amp; Energy</x:v>
      </x:c>
      <x:c r="E5802" s="13" t="str">
        <x:v>Utilities</x:v>
      </x:c>
      <x:c r="F5802" s="13" t="str">
        <x:v>Defensives</x:v>
      </x:c>
      <x:c r="G5802" s="13" t="str">
        <x:v>grid_asitui1y.xlsx</x:v>
      </x:c>
    </x:row>
    <x:row r="5803">
      <x:c r="A5803" s="15" t="n">
        <x:v>43040</x:v>
      </x:c>
      <x:c r="B5803" s="13" t="str">
        <x:v>AXIA ENERGIA-PR B</x:v>
      </x:c>
      <x:c r="C5803" s="16" t="n">
        <x:v>4347.9896113096</x:v>
      </x:c>
      <x:c r="D5803" s="13" t="str">
        <x:v>Utilities &amp; Energy</x:v>
      </x:c>
      <x:c r="E5803" s="13" t="str">
        <x:v>Utilities</x:v>
      </x:c>
      <x:c r="F5803" s="13" t="str">
        <x:v>Defensives</x:v>
      </x:c>
      <x:c r="G5803" s="13" t="str">
        <x:v>grid_asitui1y.xlsx</x:v>
      </x:c>
    </x:row>
    <x:row r="5804">
      <x:c r="A5804" s="15" t="n">
        <x:v>43040</x:v>
      </x:c>
      <x:c r="B5804" s="13" t="str">
        <x:v>CIA ENERGETICA MINAS GER-PRF</x:v>
      </x:c>
      <x:c r="C5804" s="16" t="n">
        <x:v>1562.1846282521</x:v>
      </x:c>
      <x:c r="D5804" s="13" t="str">
        <x:v>Utilities &amp; Energy</x:v>
      </x:c>
      <x:c r="E5804" s="13" t="str">
        <x:v>Utilities</x:v>
      </x:c>
      <x:c r="F5804" s="13" t="str">
        <x:v>Defensives</x:v>
      </x:c>
      <x:c r="G5804" s="13" t="str">
        <x:v>grid_asitui1y.xlsx</x:v>
      </x:c>
    </x:row>
    <x:row r="5805">
      <x:c r="A5805" s="15" t="n">
        <x:v>43040</x:v>
      </x:c>
      <x:c r="B5805" s="13" t="str">
        <x:v>COMPANHIA PARANAENSE -PREF B</x:v>
      </x:c>
      <x:c r="C5805" s="16" t="n">
        <x:v>1367.6874531068</x:v>
      </x:c>
      <x:c r="D5805" s="13" t="str">
        <x:v>Utilities &amp; Energy</x:v>
      </x:c>
      <x:c r="E5805" s="13" t="str">
        <x:v>Utilities</x:v>
      </x:c>
      <x:c r="F5805" s="13" t="str">
        <x:v>Defensives</x:v>
      </x:c>
      <x:c r="G5805" s="13" t="str">
        <x:v>grid_asitui1y.xlsx</x:v>
      </x:c>
    </x:row>
    <x:row r="5806">
      <x:c r="A5806" s="15" t="n">
        <x:v>43040</x:v>
      </x:c>
      <x:c r="B5806" s="13" t="str">
        <x:v>CPFL ENERGIA SA</x:v>
      </x:c>
      <x:c r="C5806" s="16" t="n">
        <x:v>1518.9938982575</x:v>
      </x:c>
      <x:c r="D5806" s="13" t="str">
        <x:v>Utilities &amp; Energy</x:v>
      </x:c>
      <x:c r="E5806" s="13" t="str">
        <x:v>Utilities</x:v>
      </x:c>
      <x:c r="F5806" s="13" t="str">
        <x:v>Defensives</x:v>
      </x:c>
      <x:c r="G5806" s="13" t="str">
        <x:v>grid_asitui1y.xlsx</x:v>
      </x:c>
    </x:row>
    <x:row r="5807">
      <x:c r="A5807" s="15" t="n">
        <x:v>43040</x:v>
      </x:c>
      <x:c r="B5807" s="13" t="str">
        <x:v>EDP - ENERGIAS DO BRASIL SA</x:v>
      </x:c>
      <x:c r="C5807" s="16" t="n">
        <x:v>764.1531479671</x:v>
      </x:c>
      <x:c r="D5807" s="13" t="str">
        <x:v>Utilities &amp; Energy</x:v>
      </x:c>
      <x:c r="E5807" s="13" t="str">
        <x:v>Utilities</x:v>
      </x:c>
      <x:c r="F5807" s="13" t="str">
        <x:v>Defensives</x:v>
      </x:c>
      <x:c r="G5807" s="13" t="str">
        <x:v>grid_asitui1y.xlsx</x:v>
      </x:c>
    </x:row>
    <x:row r="5808">
      <x:c r="A5808" s="15" t="n">
        <x:v>43040</x:v>
      </x:c>
      <x:c r="B5808" s="13" t="str">
        <x:v>ENGIE BRASIL ENERGIA SA</x:v>
      </x:c>
      <x:c r="C5808" s="16" t="n">
        <x:v>1779.6429708274</x:v>
      </x:c>
      <x:c r="D5808" s="13" t="str">
        <x:v>Utilities &amp; Energy</x:v>
      </x:c>
      <x:c r="E5808" s="13" t="str">
        <x:v>Utilities</x:v>
      </x:c>
      <x:c r="F5808" s="13" t="str">
        <x:v>Defensives</x:v>
      </x:c>
      <x:c r="G5808" s="13" t="str">
        <x:v>grid_asitui1y.xlsx</x:v>
      </x:c>
    </x:row>
    <x:row r="5809">
      <x:c r="A5809" s="15" t="n">
        <x:v>43040</x:v>
      </x:c>
      <x:c r="B5809" s="13" t="str">
        <x:v>EQUATORIAL SA - ORD</x:v>
      </x:c>
      <x:c r="C5809" s="16" t="n">
        <x:v>815.3079744877</x:v>
      </x:c>
      <x:c r="D5809" s="13" t="str">
        <x:v>Utilities &amp; Energy</x:v>
      </x:c>
      <x:c r="E5809" s="13" t="str">
        <x:v>Utilities</x:v>
      </x:c>
      <x:c r="F5809" s="13" t="str">
        <x:v>Defensives</x:v>
      </x:c>
      <x:c r="G5809" s="13" t="str">
        <x:v>grid_asitui1y.xlsx</x:v>
      </x:c>
    </x:row>
    <x:row r="5810">
      <x:c r="A5810" s="15" t="n">
        <x:v>43040</x:v>
      </x:c>
      <x:c r="B5810" s="13" t="str">
        <x:v>TRANSMISSORA ALIANCA DE-UNIT</x:v>
      </x:c>
      <x:c r="C5810" s="16" t="n">
        <x:v>825.396076011</x:v>
      </x:c>
      <x:c r="D5810" s="13" t="str">
        <x:v>Utilities &amp; Energy</x:v>
      </x:c>
      <x:c r="E5810" s="13" t="str">
        <x:v>Utilities</x:v>
      </x:c>
      <x:c r="F5810" s="13" t="str">
        <x:v>Defensives</x:v>
      </x:c>
      <x:c r="G5810" s="13" t="str">
        <x:v>grid_asitui1y.xlsx</x:v>
      </x:c>
    </x:row>
    <x:row r="5811">
      <x:c r="A5811" s="15" t="n">
        <x:v>43070</x:v>
      </x:c>
      <x:c r="B5811" s="13" t="str">
        <x:v>BANCO BRADESCO S.A.</x:v>
      </x:c>
      <x:c r="C5811" s="16" t="n">
        <x:v>19585.6434105863</x:v>
      </x:c>
      <x:c r="D5811" s="13" t="str">
        <x:v>Banks</x:v>
      </x:c>
      <x:c r="E5811" s="13" t="str">
        <x:v>Banks</x:v>
      </x:c>
      <x:c r="F5811" s="13" t="str">
        <x:v>Financials</x:v>
      </x:c>
      <x:c r="G5811" s="13" t="str">
        <x:v>grid_asitui1y.xlsx</x:v>
      </x:c>
    </x:row>
    <x:row r="5812">
      <x:c r="A5812" s="15" t="n">
        <x:v>43070</x:v>
      </x:c>
      <x:c r="B5812" s="13" t="str">
        <x:v>BANCO BRADESCO SA-PREF</x:v>
      </x:c>
      <x:c r="C5812" s="16" t="n">
        <x:v>19585.6434105863</x:v>
      </x:c>
      <x:c r="D5812" s="13" t="str">
        <x:v>Banks</x:v>
      </x:c>
      <x:c r="E5812" s="13" t="str">
        <x:v>Banks</x:v>
      </x:c>
      <x:c r="F5812" s="13" t="str">
        <x:v>Financials</x:v>
      </x:c>
      <x:c r="G5812" s="13" t="str">
        <x:v>grid_asitui1y.xlsx</x:v>
      </x:c>
    </x:row>
    <x:row r="5813">
      <x:c r="A5813" s="15" t="n">
        <x:v>43070</x:v>
      </x:c>
      <x:c r="B5813" s="13" t="str">
        <x:v>BANCO DO BRASIL S.A.</x:v>
      </x:c>
      <x:c r="C5813" s="16" t="n">
        <x:v>12543.4191002301</x:v>
      </x:c>
      <x:c r="D5813" s="13" t="str">
        <x:v>Banks</x:v>
      </x:c>
      <x:c r="E5813" s="13" t="str">
        <x:v>Banks</x:v>
      </x:c>
      <x:c r="F5813" s="13" t="str">
        <x:v>Financials</x:v>
      </x:c>
      <x:c r="G5813" s="13" t="str">
        <x:v>grid_asitui1y.xlsx</x:v>
      </x:c>
    </x:row>
    <x:row r="5814">
      <x:c r="A5814" s="15" t="n">
        <x:v>43070</x:v>
      </x:c>
      <x:c r="B5814" s="13" t="str">
        <x:v>BANCO SANTANDER  BRASIL-UNIT</x:v>
      </x:c>
      <x:c r="C5814" s="16" t="n">
        <x:v>9973.3592540931</x:v>
      </x:c>
      <x:c r="D5814" s="13" t="str">
        <x:v>Banks</x:v>
      </x:c>
      <x:c r="E5814" s="13" t="str">
        <x:v>Banks</x:v>
      </x:c>
      <x:c r="F5814" s="13" t="str">
        <x:v>Financials</x:v>
      </x:c>
      <x:c r="G5814" s="13" t="str">
        <x:v>grid_asitui1y.xlsx</x:v>
      </x:c>
    </x:row>
    <x:row r="5815">
      <x:c r="A5815" s="15" t="n">
        <x:v>43070</x:v>
      </x:c>
      <x:c r="B5815" s="13" t="str">
        <x:v>ITAU UNIBANCO HOLDING S-PREF</x:v>
      </x:c>
      <x:c r="C5815" s="16" t="n">
        <x:v>24953.6494325479</x:v>
      </x:c>
      <x:c r="D5815" s="13" t="str">
        <x:v>Banks</x:v>
      </x:c>
      <x:c r="E5815" s="13" t="str">
        <x:v>Banks</x:v>
      </x:c>
      <x:c r="F5815" s="13" t="str">
        <x:v>Financials</x:v>
      </x:c>
      <x:c r="G5815" s="13" t="str">
        <x:v>grid_asitui1y.xlsx</x:v>
      </x:c>
    </x:row>
    <x:row r="5816">
      <x:c r="A5816" s="15" t="n">
        <x:v>43070</x:v>
      </x:c>
      <x:c r="B5816" s="13" t="str">
        <x:v>EMBRAER SA</x:v>
      </x:c>
      <x:c r="C5816" s="16" t="n">
        <x:v>643.158663189</x:v>
      </x:c>
      <x:c r="D5816" s="13" t="str">
        <x:v>Capital Goods</x:v>
      </x:c>
      <x:c r="E5816" s="13" t="str">
        <x:v>Capital Goods</x:v>
      </x:c>
      <x:c r="F5816" s="13" t="str">
        <x:v>Deep Cyclicals</x:v>
      </x:c>
      <x:c r="G5816" s="13" t="str">
        <x:v>grid_asitui1y.xlsx</x:v>
      </x:c>
    </x:row>
    <x:row r="5817">
      <x:c r="A5817" s="15" t="n">
        <x:v>43070</x:v>
      </x:c>
      <x:c r="B5817" s="13" t="str">
        <x:v>WEG SA</x:v>
      </x:c>
      <x:c r="C5817" s="16" t="n">
        <x:v>1310.318419463</x:v>
      </x:c>
      <x:c r="D5817" s="13" t="str">
        <x:v>Capital Goods</x:v>
      </x:c>
      <x:c r="E5817" s="13" t="str">
        <x:v>Capital Goods</x:v>
      </x:c>
      <x:c r="F5817" s="13" t="str">
        <x:v>Deep Cyclicals</x:v>
      </x:c>
      <x:c r="G5817" s="13" t="str">
        <x:v>grid_asitui1y.xlsx</x:v>
      </x:c>
    </x:row>
    <x:row r="5818">
      <x:c r="A5818" s="15" t="n">
        <x:v>43070</x:v>
      </x:c>
      <x:c r="B5818" s="13" t="str">
        <x:v>COGNA EDUCACAO</x:v>
      </x:c>
      <x:c r="C5818" s="16" t="n">
        <x:v>2270.3756456329</x:v>
      </x:c>
      <x:c r="D5818" s="13" t="str">
        <x:v>Education</x:v>
      </x:c>
      <x:c r="E5818" s="13" t="str">
        <x:v>Education</x:v>
      </x:c>
      <x:c r="F5818" s="13" t="str">
        <x:v>Early Cyclicals</x:v>
      </x:c>
      <x:c r="G5818" s="13" t="str">
        <x:v>grid_asitui1y.xlsx</x:v>
      </x:c>
    </x:row>
    <x:row r="5819">
      <x:c r="A5819" s="15" t="n">
        <x:v>43070</x:v>
      </x:c>
      <x:c r="B5819" s="13" t="str">
        <x:v>YDUQS PARTICIPACOES SA</x:v>
      </x:c>
      <x:c r="C5819" s="16" t="n">
        <x:v>684.292652011</x:v>
      </x:c>
      <x:c r="D5819" s="13" t="str">
        <x:v>Education</x:v>
      </x:c>
      <x:c r="E5819" s="13" t="str">
        <x:v>Education</x:v>
      </x:c>
      <x:c r="F5819" s="13" t="str">
        <x:v>Early Cyclicals</x:v>
      </x:c>
      <x:c r="G5819" s="13" t="str">
        <x:v>grid_asitui1y.xlsx</x:v>
      </x:c>
    </x:row>
    <x:row r="5820">
      <x:c r="A5820" s="15" t="n">
        <x:v>43070</x:v>
      </x:c>
      <x:c r="B5820" s="13" t="str">
        <x:v>B3 SA-BRASIL BOLSA BALCAO</x:v>
      </x:c>
      <x:c r="C5820" s="16" t="n">
        <x:v>2315.5598497315</x:v>
      </x:c>
      <x:c r="D5820" s="13" t="str">
        <x:v>Financials Non-Banks</x:v>
      </x:c>
      <x:c r="E5820" s="13" t="str">
        <x:v>Financials Non-Banks</x:v>
      </x:c>
      <x:c r="F5820" s="13" t="str">
        <x:v>Financials</x:v>
      </x:c>
      <x:c r="G5820" s="13" t="str">
        <x:v>grid_asitui1y.xlsx</x:v>
      </x:c>
    </x:row>
    <x:row r="5821">
      <x:c r="A5821" s="15" t="n">
        <x:v>43070</x:v>
      </x:c>
      <x:c r="B5821" s="13" t="str">
        <x:v>BB SEGURIDADE PARTICIPACOES</x:v>
      </x:c>
      <x:c r="C5821" s="16" t="n">
        <x:v>4144.3741822247</x:v>
      </x:c>
      <x:c r="D5821" s="13" t="str">
        <x:v>Financials Non-Banks</x:v>
      </x:c>
      <x:c r="E5821" s="13" t="str">
        <x:v>Financials Non-Banks</x:v>
      </x:c>
      <x:c r="F5821" s="13" t="str">
        <x:v>Financials</x:v>
      </x:c>
      <x:c r="G5821" s="13" t="str">
        <x:v>grid_asitui1y.xlsx</x:v>
      </x:c>
    </x:row>
    <x:row r="5822">
      <x:c r="A5822" s="15" t="n">
        <x:v>43070</x:v>
      </x:c>
      <x:c r="B5822" s="13" t="str">
        <x:v>CIELO SA - INSTITUICAO DE PA</x:v>
      </x:c>
      <x:c r="C5822" s="16" t="n">
        <x:v>4344.8228443178</x:v>
      </x:c>
      <x:c r="D5822" s="13" t="str">
        <x:v>Financials Non-Banks</x:v>
      </x:c>
      <x:c r="E5822" s="13" t="str">
        <x:v>Financials Non-Banks</x:v>
      </x:c>
      <x:c r="F5822" s="13" t="str">
        <x:v>Financials</x:v>
      </x:c>
      <x:c r="G5822" s="13" t="str">
        <x:v>grid_asitui1y.xlsx</x:v>
      </x:c>
    </x:row>
    <x:row r="5823">
      <x:c r="A5823" s="15" t="n">
        <x:v>43070</x:v>
      </x:c>
      <x:c r="B5823" s="13" t="str">
        <x:v>ITAUSA SA</x:v>
      </x:c>
      <x:c r="C5823" s="16" t="n">
        <x:v>8843.4272059617</x:v>
      </x:c>
      <x:c r="D5823" s="13" t="str">
        <x:v>Financials Non-Banks</x:v>
      </x:c>
      <x:c r="E5823" s="13" t="str">
        <x:v>Financials Non-Banks</x:v>
      </x:c>
      <x:c r="F5823" s="13" t="str">
        <x:v>Financials</x:v>
      </x:c>
      <x:c r="G5823" s="13" t="str">
        <x:v>grid_asitui1y.xlsx</x:v>
      </x:c>
    </x:row>
    <x:row r="5824">
      <x:c r="A5824" s="15" t="n">
        <x:v>43070</x:v>
      </x:c>
      <x:c r="B5824" s="13" t="str">
        <x:v>AMBEV SA</x:v>
      </x:c>
      <x:c r="C5824" s="16" t="n">
        <x:v>13862.0855169753</x:v>
      </x:c>
      <x:c r="D5824" s="13" t="str">
        <x:v>Food &amp; Beverages</x:v>
      </x:c>
      <x:c r="E5824" s="13" t="str">
        <x:v>Agri, Food &amp; Beverages</x:v>
      </x:c>
      <x:c r="F5824" s="13" t="str">
        <x:v>Defensives</x:v>
      </x:c>
      <x:c r="G5824" s="13" t="str">
        <x:v>grid_asitui1y.xlsx</x:v>
      </x:c>
    </x:row>
    <x:row r="5825">
      <x:c r="A5825" s="15" t="n">
        <x:v>43070</x:v>
      </x:c>
      <x:c r="B5825" s="13" t="str">
        <x:v>BRF SA</x:v>
      </x:c>
      <x:c r="C5825" s="16" t="n">
        <x:v>1613.7456163945</x:v>
      </x:c>
      <x:c r="D5825" s="13" t="str">
        <x:v>Food &amp; Beverages</x:v>
      </x:c>
      <x:c r="E5825" s="13" t="str">
        <x:v>Agri, Food &amp; Beverages</x:v>
      </x:c>
      <x:c r="F5825" s="13" t="str">
        <x:v>Defensives</x:v>
      </x:c>
      <x:c r="G5825" s="13" t="str">
        <x:v>grid_asitui1y.xlsx</x:v>
      </x:c>
    </x:row>
    <x:row r="5826">
      <x:c r="A5826" s="15" t="n">
        <x:v>43070</x:v>
      </x:c>
      <x:c r="B5826" s="13" t="str">
        <x:v>JBS SA</x:v>
      </x:c>
      <x:c r="C5826" s="16" t="n">
        <x:v>3557.2346529315</x:v>
      </x:c>
      <x:c r="D5826" s="13" t="str">
        <x:v>Food &amp; Beverages</x:v>
      </x:c>
      <x:c r="E5826" s="13" t="str">
        <x:v>Agri, Food &amp; Beverages</x:v>
      </x:c>
      <x:c r="F5826" s="13" t="str">
        <x:v>Defensives</x:v>
      </x:c>
      <x:c r="G5826" s="13" t="str">
        <x:v>grid_asitui1y.xlsx</x:v>
      </x:c>
    </x:row>
    <x:row r="5827">
      <x:c r="A5827" s="15" t="n">
        <x:v>43070</x:v>
      </x:c>
      <x:c r="B5827" s="13" t="str">
        <x:v>MBRF GLOBAL FOODS COMPANY SA</x:v>
      </x:c>
      <x:c r="C5827" s="16" t="n">
        <x:v>141.3925095452</x:v>
      </x:c>
      <x:c r="D5827" s="13" t="str">
        <x:v>Food &amp; Beverages</x:v>
      </x:c>
      <x:c r="E5827" s="13" t="str">
        <x:v>Agri, Food &amp; Beverages</x:v>
      </x:c>
      <x:c r="F5827" s="13" t="str">
        <x:v>Defensives</x:v>
      </x:c>
      <x:c r="G5827" s="13" t="str">
        <x:v>grid_asitui1y.xlsx</x:v>
      </x:c>
    </x:row>
    <x:row r="5828">
      <x:c r="A5828" s="15" t="n">
        <x:v>43070</x:v>
      </x:c>
      <x:c r="B5828" s="13" t="str">
        <x:v>FLEURY SA</x:v>
      </x:c>
      <x:c r="C5828" s="16" t="n">
        <x:v>390.4120772384</x:v>
      </x:c>
      <x:c r="D5828" s="13" t="str">
        <x:v>Health Care</x:v>
      </x:c>
      <x:c r="E5828" s="13" t="str">
        <x:v>Health Care</x:v>
      </x:c>
      <x:c r="F5828" s="13" t="str">
        <x:v>Defensives</x:v>
      </x:c>
      <x:c r="G5828" s="13" t="str">
        <x:v>grid_asitui1y.xlsx</x:v>
      </x:c>
    </x:row>
    <x:row r="5829">
      <x:c r="A5829" s="15" t="n">
        <x:v>43070</x:v>
      </x:c>
      <x:c r="B5829" s="13" t="str">
        <x:v>HYPERA SA</x:v>
      </x:c>
      <x:c r="C5829" s="16" t="n">
        <x:v>1044.2926302685</x:v>
      </x:c>
      <x:c r="D5829" s="13" t="str">
        <x:v>Health Care</x:v>
      </x:c>
      <x:c r="E5829" s="13" t="str">
        <x:v>Health Care</x:v>
      </x:c>
      <x:c r="F5829" s="13" t="str">
        <x:v>Defensives</x:v>
      </x:c>
      <x:c r="G5829" s="13" t="str">
        <x:v>grid_asitui1y.xlsx</x:v>
      </x:c>
    </x:row>
    <x:row r="5830">
      <x:c r="A5830" s="15" t="n">
        <x:v>43070</x:v>
      </x:c>
      <x:c r="B5830" s="13" t="str">
        <x:v>QUALICORP CONS E CORR SEG SA</x:v>
      </x:c>
      <x:c r="C5830" s="16" t="n">
        <x:v>609.7523287671</x:v>
      </x:c>
      <x:c r="D5830" s="13" t="str">
        <x:v>Health Care</x:v>
      </x:c>
      <x:c r="E5830" s="13" t="str">
        <x:v>Health Care</x:v>
      </x:c>
      <x:c r="F5830" s="13" t="str">
        <x:v>Defensives</x:v>
      </x:c>
      <x:c r="G5830" s="13" t="str">
        <x:v>grid_asitui1y.xlsx</x:v>
      </x:c>
    </x:row>
    <x:row r="5831">
      <x:c r="A5831" s="15" t="n">
        <x:v>43070</x:v>
      </x:c>
      <x:c r="B5831" s="13" t="str">
        <x:v>CYRELA BRAZIL REALTY SA EMP</x:v>
      </x:c>
      <x:c r="C5831" s="16" t="n">
        <x:v>235.1449391781</x:v>
      </x:c>
      <x:c r="D5831" s="13" t="str">
        <x:v>Homebuilders</x:v>
      </x:c>
      <x:c r="E5831" s="13" t="str">
        <x:v>Real Estate</x:v>
      </x:c>
      <x:c r="F5831" s="13" t="str">
        <x:v>Early Cyclicals</x:v>
      </x:c>
      <x:c r="G5831" s="13" t="str">
        <x:v>grid_asitui1y.xlsx</x:v>
      </x:c>
    </x:row>
    <x:row r="5832">
      <x:c r="A5832" s="15" t="n">
        <x:v>43070</x:v>
      </x:c>
      <x:c r="B5832" s="13" t="str">
        <x:v>MRV ENGENHARIA</x:v>
      </x:c>
      <x:c r="C5832" s="16" t="n">
        <x:v>713.1739886466</x:v>
      </x:c>
      <x:c r="D5832" s="13" t="str">
        <x:v>Homebuilders</x:v>
      </x:c>
      <x:c r="E5832" s="13" t="str">
        <x:v>Real Estate</x:v>
      </x:c>
      <x:c r="F5832" s="13" t="str">
        <x:v>Early Cyclicals</x:v>
      </x:c>
      <x:c r="G5832" s="13" t="str">
        <x:v>grid_asitui1y.xlsx</x:v>
      </x:c>
    </x:row>
    <x:row r="5833">
      <x:c r="A5833" s="15" t="n">
        <x:v>43070</x:v>
      </x:c>
      <x:c r="B5833" s="13" t="str">
        <x:v>BR MALLS PARTICIPACOES SA</x:v>
      </x:c>
      <x:c r="C5833" s="16" t="n">
        <x:v>544.4664</x:v>
      </x:c>
      <x:c r="D5833" s="13" t="str">
        <x:v>Income Properties</x:v>
      </x:c>
      <x:c r="E5833" s="13" t="str">
        <x:v>Real Estate</x:v>
      </x:c>
      <x:c r="F5833" s="13" t="str">
        <x:v>Early Cyclicals</x:v>
      </x:c>
      <x:c r="G5833" s="13" t="str">
        <x:v>grid_asitui1y.xlsx</x:v>
      </x:c>
    </x:row>
    <x:row r="5834">
      <x:c r="A5834" s="15" t="n">
        <x:v>43070</x:v>
      </x:c>
      <x:c r="B5834" s="13" t="str">
        <x:v>IGUATEMI EMP DE SHOPPING</x:v>
      </x:c>
      <x:c r="C5834" s="16" t="n">
        <x:v>268.2352764493</x:v>
      </x:c>
      <x:c r="D5834" s="13" t="str">
        <x:v>Income Properties</x:v>
      </x:c>
      <x:c r="E5834" s="13" t="str">
        <x:v>Real Estate</x:v>
      </x:c>
      <x:c r="F5834" s="13" t="str">
        <x:v>Early Cyclicals</x:v>
      </x:c>
      <x:c r="G5834" s="13" t="str">
        <x:v>grid_asitui1y.xlsx</x:v>
      </x:c>
    </x:row>
    <x:row r="5835">
      <x:c r="A5835" s="15" t="n">
        <x:v>43070</x:v>
      </x:c>
      <x:c r="B5835" s="13" t="str">
        <x:v>MULTIPLAN EMPREENDIMENTOS</x:v>
      </x:c>
      <x:c r="C5835" s="16" t="n">
        <x:v>514.7447503781</x:v>
      </x:c>
      <x:c r="D5835" s="13" t="str">
        <x:v>Income Properties</x:v>
      </x:c>
      <x:c r="E5835" s="13" t="str">
        <x:v>Real Estate</x:v>
      </x:c>
      <x:c r="F5835" s="13" t="str">
        <x:v>Early Cyclicals</x:v>
      </x:c>
      <x:c r="G5835" s="13" t="str">
        <x:v>grid_asitui1y.xlsx</x:v>
      </x:c>
    </x:row>
    <x:row r="5836">
      <x:c r="A5836" s="15" t="n">
        <x:v>43070</x:v>
      </x:c>
      <x:c r="B5836" s="13" t="str">
        <x:v>BRADESPAR SA -PREF</x:v>
      </x:c>
      <x:c r="C5836" s="16" t="n">
        <x:v>1203.888371726</x:v>
      </x:c>
      <x:c r="D5836" s="13" t="str">
        <x:v>Metals &amp; Mining</x:v>
      </x:c>
      <x:c r="E5836" s="13" t="str">
        <x:v>Metals &amp; Mining</x:v>
      </x:c>
      <x:c r="F5836" s="13" t="str">
        <x:v>Deep Cyclicals</x:v>
      </x:c>
      <x:c r="G5836" s="13" t="str">
        <x:v>grid_asitui1y.xlsx</x:v>
      </x:c>
    </x:row>
    <x:row r="5837">
      <x:c r="A5837" s="15" t="n">
        <x:v>43070</x:v>
      </x:c>
      <x:c r="B5837" s="13" t="str">
        <x:v>CIA SIDERURGICA NACIONAL SA</x:v>
      </x:c>
      <x:c r="C5837" s="16" t="n">
        <x:v>492.8915567342</x:v>
      </x:c>
      <x:c r="D5837" s="13" t="str">
        <x:v>Metals &amp; Mining</x:v>
      </x:c>
      <x:c r="E5837" s="13" t="str">
        <x:v>Metals &amp; Mining</x:v>
      </x:c>
      <x:c r="F5837" s="13" t="str">
        <x:v>Deep Cyclicals</x:v>
      </x:c>
      <x:c r="G5837" s="13" t="str">
        <x:v>grid_asitui1y.xlsx</x:v>
      </x:c>
    </x:row>
    <x:row r="5838">
      <x:c r="A5838" s="15" t="n">
        <x:v>43070</x:v>
      </x:c>
      <x:c r="B5838" s="13" t="str">
        <x:v>GERDAU SA-PREF</x:v>
      </x:c>
      <x:c r="C5838" s="16" t="n">
        <x:v>1114.5953588603</x:v>
      </x:c>
      <x:c r="D5838" s="13" t="str">
        <x:v>Metals &amp; Mining</x:v>
      </x:c>
      <x:c r="E5838" s="13" t="str">
        <x:v>Metals &amp; Mining</x:v>
      </x:c>
      <x:c r="F5838" s="13" t="str">
        <x:v>Deep Cyclicals</x:v>
      </x:c>
      <x:c r="G5838" s="13" t="str">
        <x:v>grid_asitui1y.xlsx</x:v>
      </x:c>
    </x:row>
    <x:row r="5839">
      <x:c r="A5839" s="15" t="n">
        <x:v>43070</x:v>
      </x:c>
      <x:c r="B5839" s="13" t="str">
        <x:v>METALURGICA GERDAU SA-PREF</x:v>
      </x:c>
      <x:c r="C5839" s="16" t="n">
        <x:v>992.4904109589</x:v>
      </x:c>
      <x:c r="D5839" s="13" t="str">
        <x:v>Metals &amp; Mining</x:v>
      </x:c>
      <x:c r="E5839" s="13" t="str">
        <x:v>Metals &amp; Mining</x:v>
      </x:c>
      <x:c r="F5839" s="13" t="str">
        <x:v>Deep Cyclicals</x:v>
      </x:c>
      <x:c r="G5839" s="13" t="str">
        <x:v>grid_asitui1y.xlsx</x:v>
      </x:c>
    </x:row>
    <x:row r="5840">
      <x:c r="A5840" s="15" t="n">
        <x:v>43070</x:v>
      </x:c>
      <x:c r="B5840" s="13" t="str">
        <x:v>USINAS SIDER MINAS GER-PF A</x:v>
      </x:c>
      <x:c r="C5840" s="16" t="n">
        <x:v>514.4336662795</x:v>
      </x:c>
      <x:c r="D5840" s="13" t="str">
        <x:v>Metals &amp; Mining</x:v>
      </x:c>
      <x:c r="E5840" s="13" t="str">
        <x:v>Metals &amp; Mining</x:v>
      </x:c>
      <x:c r="F5840" s="13" t="str">
        <x:v>Deep Cyclicals</x:v>
      </x:c>
      <x:c r="G5840" s="13" t="str">
        <x:v>grid_asitui1y.xlsx</x:v>
      </x:c>
    </x:row>
    <x:row r="5841">
      <x:c r="A5841" s="15" t="n">
        <x:v>43070</x:v>
      </x:c>
      <x:c r="B5841" s="13" t="str">
        <x:v>VALE SA</x:v>
      </x:c>
      <x:c r="C5841" s="16" t="n">
        <x:v>21776.819264526</x:v>
      </x:c>
      <x:c r="D5841" s="13" t="str">
        <x:v>Metals &amp; Mining</x:v>
      </x:c>
      <x:c r="E5841" s="13" t="str">
        <x:v>Metals &amp; Mining</x:v>
      </x:c>
      <x:c r="F5841" s="13" t="str">
        <x:v>Deep Cyclicals</x:v>
      </x:c>
      <x:c r="G5841" s="13" t="str">
        <x:v>grid_asitui1y.xlsx</x:v>
      </x:c>
    </x:row>
    <x:row r="5842">
      <x:c r="A5842" s="15" t="n">
        <x:v>43070</x:v>
      </x:c>
      <x:c r="B5842" s="13" t="str">
        <x:v>BRASKEM SA-PREF A</x:v>
      </x:c>
      <x:c r="C5842" s="16" t="n">
        <x:v>2670.8007466082</x:v>
      </x:c>
      <x:c r="D5842" s="13" t="str">
        <x:v>Oil, Gas &amp; Petrochemicals</x:v>
      </x:c>
      <x:c r="E5842" s="13" t="str">
        <x:v>Oil, Gas &amp; Petrochemicals</x:v>
      </x:c>
      <x:c r="F5842" s="13" t="str">
        <x:v>Deep Cyclicals</x:v>
      </x:c>
      <x:c r="G5842" s="13" t="str">
        <x:v>grid_asitui1y.xlsx</x:v>
      </x:c>
    </x:row>
    <x:row r="5843">
      <x:c r="A5843" s="15" t="n">
        <x:v>43070</x:v>
      </x:c>
      <x:c r="B5843" s="13" t="str">
        <x:v>COSAN SA</x:v>
      </x:c>
      <x:c r="C5843" s="16" t="n">
        <x:v>1117.2611825973</x:v>
      </x:c>
      <x:c r="D5843" s="13" t="str">
        <x:v>Oil, Gas &amp; Petrochemicals</x:v>
      </x:c>
      <x:c r="E5843" s="13" t="str">
        <x:v>Oil, Gas &amp; Petrochemicals</x:v>
      </x:c>
      <x:c r="F5843" s="13" t="str">
        <x:v>Deep Cyclicals</x:v>
      </x:c>
      <x:c r="G5843" s="13" t="str">
        <x:v>grid_asitui1y.xlsx</x:v>
      </x:c>
    </x:row>
    <x:row r="5844">
      <x:c r="A5844" s="15" t="n">
        <x:v>43070</x:v>
      </x:c>
      <x:c r="B5844" s="13" t="str">
        <x:v>PETROBRAS - PETROLEO BRAS</x:v>
      </x:c>
      <x:c r="C5844" s="16" t="n">
        <x:v>18573.9865438685</x:v>
      </x:c>
      <x:c r="D5844" s="13" t="str">
        <x:v>Oil, Gas &amp; Petrochemicals</x:v>
      </x:c>
      <x:c r="E5844" s="13" t="str">
        <x:v>Oil, Gas &amp; Petrochemicals</x:v>
      </x:c>
      <x:c r="F5844" s="13" t="str">
        <x:v>Deep Cyclicals</x:v>
      </x:c>
      <x:c r="G5844" s="13" t="str">
        <x:v>grid_asitui1y.xlsx</x:v>
      </x:c>
    </x:row>
    <x:row r="5845">
      <x:c r="A5845" s="15" t="n">
        <x:v>43070</x:v>
      </x:c>
      <x:c r="B5845" s="13" t="str">
        <x:v>ULTRAPAR PARTICIPACOES SA</x:v>
      </x:c>
      <x:c r="C5845" s="16" t="n">
        <x:v>1958.5168994192</x:v>
      </x:c>
      <x:c r="D5845" s="13" t="str">
        <x:v>Oil, Gas &amp; Petrochemicals</x:v>
      </x:c>
      <x:c r="E5845" s="13" t="str">
        <x:v>Oil, Gas &amp; Petrochemicals</x:v>
      </x:c>
      <x:c r="F5845" s="13" t="str">
        <x:v>Deep Cyclicals</x:v>
      </x:c>
      <x:c r="G5845" s="13" t="str">
        <x:v>grid_asitui1y.xlsx</x:v>
      </x:c>
    </x:row>
    <x:row r="5846">
      <x:c r="A5846" s="15" t="n">
        <x:v>43070</x:v>
      </x:c>
      <x:c r="B5846" s="13" t="str">
        <x:v>FIBRIA CELULOSE S/A</x:v>
      </x:c>
      <x:c r="C5846" s="16" t="n">
        <x:v>2478.5910798027</x:v>
      </x:c>
      <x:c r="D5846" s="13" t="str">
        <x:v>Pulp &amp; Paper</x:v>
      </x:c>
      <x:c r="E5846" s="13" t="str">
        <x:v>Pulp &amp; Paper</x:v>
      </x:c>
      <x:c r="F5846" s="13" t="str">
        <x:v>Deep Cyclicals</x:v>
      </x:c>
      <x:c r="G5846" s="13" t="str">
        <x:v>grid_asitui1y.xlsx</x:v>
      </x:c>
    </x:row>
    <x:row r="5847">
      <x:c r="A5847" s="15" t="n">
        <x:v>43070</x:v>
      </x:c>
      <x:c r="B5847" s="13" t="str">
        <x:v>KLABIN SA - UNIT</x:v>
      </x:c>
      <x:c r="C5847" s="16" t="n">
        <x:v>1025.5405261151</x:v>
      </x:c>
      <x:c r="D5847" s="13" t="str">
        <x:v>Pulp &amp; Paper</x:v>
      </x:c>
      <x:c r="E5847" s="13" t="str">
        <x:v>Pulp &amp; Paper</x:v>
      </x:c>
      <x:c r="F5847" s="13" t="str">
        <x:v>Deep Cyclicals</x:v>
      </x:c>
      <x:c r="G5847" s="13" t="str">
        <x:v>grid_asitui1y.xlsx</x:v>
      </x:c>
    </x:row>
    <x:row r="5848">
      <x:c r="A5848" s="15" t="n">
        <x:v>43070</x:v>
      </x:c>
      <x:c r="B5848" s="13" t="str">
        <x:v>SUZANO SA</x:v>
      </x:c>
      <x:c r="C5848" s="16" t="n">
        <x:v>1935.0457217753</x:v>
      </x:c>
      <x:c r="D5848" s="13" t="str">
        <x:v>Pulp &amp; Paper</x:v>
      </x:c>
      <x:c r="E5848" s="13" t="str">
        <x:v>Pulp &amp; Paper</x:v>
      </x:c>
      <x:c r="F5848" s="13" t="str">
        <x:v>Deep Cyclicals</x:v>
      </x:c>
      <x:c r="G5848" s="13" t="str">
        <x:v>grid_asitui1y.xlsx</x:v>
      </x:c>
    </x:row>
    <x:row r="5849">
      <x:c r="A5849" s="15" t="n">
        <x:v>43070</x:v>
      </x:c>
      <x:c r="B5849" s="13" t="str">
        <x:v>CIA BRASILEIRA DE DIS-PREF</x:v>
      </x:c>
      <x:c r="C5849" s="16" t="n">
        <x:v>908.8419515616</x:v>
      </x:c>
      <x:c r="D5849" s="13" t="str">
        <x:v>Retail</x:v>
      </x:c>
      <x:c r="E5849" s="13" t="str">
        <x:v>Retail</x:v>
      </x:c>
      <x:c r="F5849" s="13" t="str">
        <x:v>Early Cyclicals</x:v>
      </x:c>
      <x:c r="G5849" s="13" t="str">
        <x:v>grid_asitui1y.xlsx</x:v>
      </x:c>
    </x:row>
    <x:row r="5850">
      <x:c r="A5850" s="15" t="n">
        <x:v>43070</x:v>
      </x:c>
      <x:c r="B5850" s="13" t="str">
        <x:v>LOJAS AMERICANAS SA-PREF</x:v>
      </x:c>
      <x:c r="C5850" s="16" t="n">
        <x:v>884.2650248767</x:v>
      </x:c>
      <x:c r="D5850" s="13" t="str">
        <x:v>Retail</x:v>
      </x:c>
      <x:c r="E5850" s="13" t="str">
        <x:v>Retail</x:v>
      </x:c>
      <x:c r="F5850" s="13" t="str">
        <x:v>Early Cyclicals</x:v>
      </x:c>
      <x:c r="G5850" s="13" t="str">
        <x:v>grid_asitui1y.xlsx</x:v>
      </x:c>
    </x:row>
    <x:row r="5851">
      <x:c r="A5851" s="15" t="n">
        <x:v>43070</x:v>
      </x:c>
      <x:c r="B5851" s="13" t="str">
        <x:v>LOJAS RENNER S.A.</x:v>
      </x:c>
      <x:c r="C5851" s="16" t="n">
        <x:v>955.961644011</x:v>
      </x:c>
      <x:c r="D5851" s="13" t="str">
        <x:v>Retail</x:v>
      </x:c>
      <x:c r="E5851" s="13" t="str">
        <x:v>Retail</x:v>
      </x:c>
      <x:c r="F5851" s="13" t="str">
        <x:v>Early Cyclicals</x:v>
      </x:c>
      <x:c r="G5851" s="13" t="str">
        <x:v>grid_asitui1y.xlsx</x:v>
      </x:c>
    </x:row>
    <x:row r="5852">
      <x:c r="A5852" s="15" t="n">
        <x:v>43070</x:v>
      </x:c>
      <x:c r="B5852" s="13" t="str">
        <x:v>MAGAZINE LUIZA SA</x:v>
      </x:c>
      <x:c r="C5852" s="16" t="n">
        <x:v>522.4665150247</x:v>
      </x:c>
      <x:c r="D5852" s="13" t="str">
        <x:v>Retail</x:v>
      </x:c>
      <x:c r="E5852" s="13" t="str">
        <x:v>Retail</x:v>
      </x:c>
      <x:c r="F5852" s="13" t="str">
        <x:v>Early Cyclicals</x:v>
      </x:c>
      <x:c r="G5852" s="13" t="str">
        <x:v>grid_asitui1y.xlsx</x:v>
      </x:c>
    </x:row>
    <x:row r="5853">
      <x:c r="A5853" s="15" t="n">
        <x:v>43070</x:v>
      </x:c>
      <x:c r="B5853" s="13" t="str">
        <x:v>NATURA COSMETICOS SA</x:v>
      </x:c>
      <x:c r="C5853" s="16" t="n">
        <x:v>618.840224263</x:v>
      </x:c>
      <x:c r="D5853" s="13" t="str">
        <x:v>Retail</x:v>
      </x:c>
      <x:c r="E5853" s="13" t="str">
        <x:v>Retail</x:v>
      </x:c>
      <x:c r="F5853" s="13" t="str">
        <x:v>Early Cyclicals</x:v>
      </x:c>
      <x:c r="G5853" s="13" t="str">
        <x:v>grid_asitui1y.xlsx</x:v>
      </x:c>
    </x:row>
    <x:row r="5854">
      <x:c r="A5854" s="15" t="n">
        <x:v>43070</x:v>
      </x:c>
      <x:c r="B5854" s="13" t="str">
        <x:v>RAIA DROGASIL SA</x:v>
      </x:c>
      <x:c r="C5854" s="16" t="n">
        <x:v>693.7288718027</x:v>
      </x:c>
      <x:c r="D5854" s="13" t="str">
        <x:v>Retail</x:v>
      </x:c>
      <x:c r="E5854" s="13" t="str">
        <x:v>Retail</x:v>
      </x:c>
      <x:c r="F5854" s="13" t="str">
        <x:v>Early Cyclicals</x:v>
      </x:c>
      <x:c r="G5854" s="13" t="str">
        <x:v>grid_asitui1y.xlsx</x:v>
      </x:c>
    </x:row>
    <x:row r="5855">
      <x:c r="A5855" s="15" t="n">
        <x:v>43070</x:v>
      </x:c>
      <x:c r="B5855" s="13" t="str">
        <x:v>VIA VAREJO SA</x:v>
      </x:c>
      <x:c r="C5855" s="16" t="n">
        <x:v>530.604147989</x:v>
      </x:c>
      <x:c r="D5855" s="13" t="str">
        <x:v>Retail</x:v>
      </x:c>
      <x:c r="E5855" s="13" t="str">
        <x:v>Retail</x:v>
      </x:c>
      <x:c r="F5855" s="13" t="str">
        <x:v>Early Cyclicals</x:v>
      </x:c>
      <x:c r="G5855" s="13" t="str">
        <x:v>grid_asitui1y.xlsx</x:v>
      </x:c>
    </x:row>
    <x:row r="5856">
      <x:c r="A5856" s="15" t="n">
        <x:v>43070</x:v>
      </x:c>
      <x:c r="B5856" s="13" t="str">
        <x:v>CIA SANEAMENTO BASICO DE SP</x:v>
      </x:c>
      <x:c r="C5856" s="16" t="n">
        <x:v>2825.0730327671</x:v>
      </x:c>
      <x:c r="D5856" s="13" t="str">
        <x:v>Sanitation</x:v>
      </x:c>
      <x:c r="E5856" s="13" t="str">
        <x:v>Utilities</x:v>
      </x:c>
      <x:c r="F5856" s="13" t="str">
        <x:v>Defensives</x:v>
      </x:c>
      <x:c r="G5856" s="13" t="str">
        <x:v>grid_asitui1y.xlsx</x:v>
      </x:c>
    </x:row>
    <x:row r="5857">
      <x:c r="A5857" s="15" t="n">
        <x:v>43070</x:v>
      </x:c>
      <x:c r="B5857" s="13" t="str">
        <x:v>SMILES FIDELIDADE SA</x:v>
      </x:c>
      <x:c r="C5857" s="16" t="n">
        <x:v>647.6788984986</x:v>
      </x:c>
      <x:c r="D5857" s="13" t="str">
        <x:v>TMT</x:v>
      </x:c>
      <x:c r="E5857" s="13" t="str">
        <x:v>TMT</x:v>
      </x:c>
      <x:c r="F5857" s="13" t="str">
        <x:v>Early Cyclicals</x:v>
      </x:c>
      <x:c r="G5857" s="13" t="str">
        <x:v>grid_asitui1y.xlsx</x:v>
      </x:c>
    </x:row>
    <x:row r="5858">
      <x:c r="A5858" s="15" t="n">
        <x:v>43070</x:v>
      </x:c>
      <x:c r="B5858" s="13" t="str">
        <x:v>TELEFONICA BRASIL S.A.-PREF</x:v>
      </x:c>
      <x:c r="C5858" s="16" t="n">
        <x:v>5794.2462365808</x:v>
      </x:c>
      <x:c r="D5858" s="13" t="str">
        <x:v>TMT</x:v>
      </x:c>
      <x:c r="E5858" s="13" t="str">
        <x:v>TMT</x:v>
      </x:c>
      <x:c r="F5858" s="13" t="str">
        <x:v>Early Cyclicals</x:v>
      </x:c>
      <x:c r="G5858" s="13" t="str">
        <x:v>grid_asitui1y.xlsx</x:v>
      </x:c>
    </x:row>
    <x:row r="5859">
      <x:c r="A5859" s="15" t="n">
        <x:v>43070</x:v>
      </x:c>
      <x:c r="B5859" s="13" t="str">
        <x:v>TIM SA</x:v>
      </x:c>
      <x:c r="C5859" s="16" t="n">
        <x:v>1347.078650389</x:v>
      </x:c>
      <x:c r="D5859" s="13" t="str">
        <x:v>TMT</x:v>
      </x:c>
      <x:c r="E5859" s="13" t="str">
        <x:v>TMT</x:v>
      </x:c>
      <x:c r="F5859" s="13" t="str">
        <x:v>Early Cyclicals</x:v>
      </x:c>
      <x:c r="G5859" s="13" t="str">
        <x:v>grid_asitui1y.xlsx</x:v>
      </x:c>
    </x:row>
    <x:row r="5860">
      <x:c r="A5860" s="15" t="n">
        <x:v>43070</x:v>
      </x:c>
      <x:c r="B5860" s="13" t="str">
        <x:v>ECORODOVIAS INFRA E LOG SA</x:v>
      </x:c>
      <x:c r="C5860" s="16" t="n">
        <x:v>546.0119068055</x:v>
      </x:c>
      <x:c r="D5860" s="13" t="str">
        <x:v>Transportation</x:v>
      </x:c>
      <x:c r="E5860" s="13" t="str">
        <x:v>Transportation</x:v>
      </x:c>
      <x:c r="F5860" s="13" t="str">
        <x:v>Deep Cyclicals</x:v>
      </x:c>
      <x:c r="G5860" s="13" t="str">
        <x:v>grid_asitui1y.xlsx</x:v>
      </x:c>
    </x:row>
    <x:row r="5861">
      <x:c r="A5861" s="15" t="n">
        <x:v>43070</x:v>
      </x:c>
      <x:c r="B5861" s="13" t="str">
        <x:v>LOCALIZA RENT A CAR</x:v>
      </x:c>
      <x:c r="C5861" s="16" t="n">
        <x:v>642.3133262904</x:v>
      </x:c>
      <x:c r="D5861" s="13" t="str">
        <x:v>Transportation</x:v>
      </x:c>
      <x:c r="E5861" s="13" t="str">
        <x:v>Transportation</x:v>
      </x:c>
      <x:c r="F5861" s="13" t="str">
        <x:v>Deep Cyclicals</x:v>
      </x:c>
      <x:c r="G5861" s="13" t="str">
        <x:v>grid_asitui1y.xlsx</x:v>
      </x:c>
    </x:row>
    <x:row r="5862">
      <x:c r="A5862" s="15" t="n">
        <x:v>43070</x:v>
      </x:c>
      <x:c r="B5862" s="13" t="str">
        <x:v>MOTIVA INFRAESTRUTURA DE MOB</x:v>
      </x:c>
      <x:c r="C5862" s="16" t="n">
        <x:v>2010.4699844384</x:v>
      </x:c>
      <x:c r="D5862" s="13" t="str">
        <x:v>Transportation</x:v>
      </x:c>
      <x:c r="E5862" s="13" t="str">
        <x:v>Transportation</x:v>
      </x:c>
      <x:c r="F5862" s="13" t="str">
        <x:v>Deep Cyclicals</x:v>
      </x:c>
      <x:c r="G5862" s="13" t="str">
        <x:v>grid_asitui1y.xlsx</x:v>
      </x:c>
    </x:row>
    <x:row r="5863">
      <x:c r="A5863" s="15" t="n">
        <x:v>43070</x:v>
      </x:c>
      <x:c r="B5863" s="13" t="str">
        <x:v>RUMO SA</x:v>
      </x:c>
      <x:c r="C5863" s="16" t="n">
        <x:v>451.9492159123</x:v>
      </x:c>
      <x:c r="D5863" s="13" t="str">
        <x:v>Transportation</x:v>
      </x:c>
      <x:c r="E5863" s="13" t="str">
        <x:v>Transportation</x:v>
      </x:c>
      <x:c r="F5863" s="13" t="str">
        <x:v>Deep Cyclicals</x:v>
      </x:c>
      <x:c r="G5863" s="13" t="str">
        <x:v>grid_asitui1y.xlsx</x:v>
      </x:c>
    </x:row>
    <x:row r="5864">
      <x:c r="A5864" s="15" t="n">
        <x:v>43070</x:v>
      </x:c>
      <x:c r="B5864" s="13" t="str">
        <x:v>AXIA ENERGIA SA</x:v>
      </x:c>
      <x:c r="C5864" s="16" t="n">
        <x:v>4477.4082195288</x:v>
      </x:c>
      <x:c r="D5864" s="13" t="str">
        <x:v>Utilities &amp; Energy</x:v>
      </x:c>
      <x:c r="E5864" s="13" t="str">
        <x:v>Utilities</x:v>
      </x:c>
      <x:c r="F5864" s="13" t="str">
        <x:v>Defensives</x:v>
      </x:c>
      <x:c r="G5864" s="13" t="str">
        <x:v>grid_asitui1y.xlsx</x:v>
      </x:c>
    </x:row>
    <x:row r="5865">
      <x:c r="A5865" s="15" t="n">
        <x:v>43070</x:v>
      </x:c>
      <x:c r="B5865" s="13" t="str">
        <x:v>AXIA ENERGIA-PR B</x:v>
      </x:c>
      <x:c r="C5865" s="16" t="n">
        <x:v>4477.4082195288</x:v>
      </x:c>
      <x:c r="D5865" s="13" t="str">
        <x:v>Utilities &amp; Energy</x:v>
      </x:c>
      <x:c r="E5865" s="13" t="str">
        <x:v>Utilities</x:v>
      </x:c>
      <x:c r="F5865" s="13" t="str">
        <x:v>Defensives</x:v>
      </x:c>
      <x:c r="G5865" s="13" t="str">
        <x:v>grid_asitui1y.xlsx</x:v>
      </x:c>
    </x:row>
    <x:row r="5866">
      <x:c r="A5866" s="15" t="n">
        <x:v>43070</x:v>
      </x:c>
      <x:c r="B5866" s="13" t="str">
        <x:v>CIA ENERGETICA MINAS GER-PRF</x:v>
      </x:c>
      <x:c r="C5866" s="16" t="n">
        <x:v>1648.815648263</x:v>
      </x:c>
      <x:c r="D5866" s="13" t="str">
        <x:v>Utilities &amp; Energy</x:v>
      </x:c>
      <x:c r="E5866" s="13" t="str">
        <x:v>Utilities</x:v>
      </x:c>
      <x:c r="F5866" s="13" t="str">
        <x:v>Defensives</x:v>
      </x:c>
      <x:c r="G5866" s="13" t="str">
        <x:v>grid_asitui1y.xlsx</x:v>
      </x:c>
    </x:row>
    <x:row r="5867">
      <x:c r="A5867" s="15" t="n">
        <x:v>43070</x:v>
      </x:c>
      <x:c r="B5867" s="13" t="str">
        <x:v>COMPANHIA PARANAENSE -PREF B</x:v>
      </x:c>
      <x:c r="C5867" s="16" t="n">
        <x:v>1384.4478127342</x:v>
      </x:c>
      <x:c r="D5867" s="13" t="str">
        <x:v>Utilities &amp; Energy</x:v>
      </x:c>
      <x:c r="E5867" s="13" t="str">
        <x:v>Utilities</x:v>
      </x:c>
      <x:c r="F5867" s="13" t="str">
        <x:v>Defensives</x:v>
      </x:c>
      <x:c r="G5867" s="13" t="str">
        <x:v>grid_asitui1y.xlsx</x:v>
      </x:c>
    </x:row>
    <x:row r="5868">
      <x:c r="A5868" s="15" t="n">
        <x:v>43070</x:v>
      </x:c>
      <x:c r="B5868" s="13" t="str">
        <x:v>CPFL ENERGIA SA</x:v>
      </x:c>
      <x:c r="C5868" s="16" t="n">
        <x:v>1445.1589681096</x:v>
      </x:c>
      <x:c r="D5868" s="13" t="str">
        <x:v>Utilities &amp; Energy</x:v>
      </x:c>
      <x:c r="E5868" s="13" t="str">
        <x:v>Utilities</x:v>
      </x:c>
      <x:c r="F5868" s="13" t="str">
        <x:v>Defensives</x:v>
      </x:c>
      <x:c r="G5868" s="13" t="str">
        <x:v>grid_asitui1y.xlsx</x:v>
      </x:c>
    </x:row>
    <x:row r="5869">
      <x:c r="A5869" s="15" t="n">
        <x:v>43070</x:v>
      </x:c>
      <x:c r="B5869" s="13" t="str">
        <x:v>EDP - ENERGIAS DO BRASIL SA</x:v>
      </x:c>
      <x:c r="C5869" s="16" t="n">
        <x:v>775.321644011</x:v>
      </x:c>
      <x:c r="D5869" s="13" t="str">
        <x:v>Utilities &amp; Energy</x:v>
      </x:c>
      <x:c r="E5869" s="13" t="str">
        <x:v>Utilities</x:v>
      </x:c>
      <x:c r="F5869" s="13" t="str">
        <x:v>Defensives</x:v>
      </x:c>
      <x:c r="G5869" s="13" t="str">
        <x:v>grid_asitui1y.xlsx</x:v>
      </x:c>
    </x:row>
    <x:row r="5870">
      <x:c r="A5870" s="15" t="n">
        <x:v>43070</x:v>
      </x:c>
      <x:c r="B5870" s="13" t="str">
        <x:v>ENGIE BRASIL ENERGIA SA</x:v>
      </x:c>
      <x:c r="C5870" s="16" t="n">
        <x:v>1735.4161558794</x:v>
      </x:c>
      <x:c r="D5870" s="13" t="str">
        <x:v>Utilities &amp; Energy</x:v>
      </x:c>
      <x:c r="E5870" s="13" t="str">
        <x:v>Utilities</x:v>
      </x:c>
      <x:c r="F5870" s="13" t="str">
        <x:v>Defensives</x:v>
      </x:c>
      <x:c r="G5870" s="13" t="str">
        <x:v>grid_asitui1y.xlsx</x:v>
      </x:c>
    </x:row>
    <x:row r="5871">
      <x:c r="A5871" s="15" t="n">
        <x:v>43070</x:v>
      </x:c>
      <x:c r="B5871" s="13" t="str">
        <x:v>EQUATORIAL SA - ORD</x:v>
      </x:c>
      <x:c r="C5871" s="16" t="n">
        <x:v>838.9407503781</x:v>
      </x:c>
      <x:c r="D5871" s="13" t="str">
        <x:v>Utilities &amp; Energy</x:v>
      </x:c>
      <x:c r="E5871" s="13" t="str">
        <x:v>Utilities</x:v>
      </x:c>
      <x:c r="F5871" s="13" t="str">
        <x:v>Defensives</x:v>
      </x:c>
      <x:c r="G5871" s="13" t="str">
        <x:v>grid_asitui1y.xlsx</x:v>
      </x:c>
    </x:row>
    <x:row r="5872">
      <x:c r="A5872" s="15" t="n">
        <x:v>43070</x:v>
      </x:c>
      <x:c r="B5872" s="13" t="str">
        <x:v>TRANSMISSORA ALIANCA DE-UNIT</x:v>
      </x:c>
      <x:c r="C5872" s="16" t="n">
        <x:v>837.7731017644</x:v>
      </x:c>
      <x:c r="D5872" s="13" t="str">
        <x:v>Utilities &amp; Energy</x:v>
      </x:c>
      <x:c r="E5872" s="13" t="str">
        <x:v>Utilities</x:v>
      </x:c>
      <x:c r="F5872" s="13" t="str">
        <x:v>Defensives</x:v>
      </x:c>
      <x:c r="G5872" s="13" t="str">
        <x:v>grid_asitui1y.xlsx</x:v>
      </x:c>
    </x:row>
    <x:row r="5873">
      <x:c r="A5873" s="15" t="n">
        <x:v>43101</x:v>
      </x:c>
      <x:c r="B5873" s="13" t="str">
        <x:v>BANCO BRADESCO S.A.</x:v>
      </x:c>
      <x:c r="C5873" s="16" t="n">
        <x:v>20081.3937201096</x:v>
      </x:c>
      <x:c r="D5873" s="13" t="str">
        <x:v>Banks</x:v>
      </x:c>
      <x:c r="E5873" s="13" t="str">
        <x:v>Banks</x:v>
      </x:c>
      <x:c r="F5873" s="13" t="str">
        <x:v>Financials</x:v>
      </x:c>
      <x:c r="G5873" s="13" t="str">
        <x:v>grid_cqzdsc3v.xlsx</x:v>
      </x:c>
    </x:row>
    <x:row r="5874">
      <x:c r="A5874" s="15" t="n">
        <x:v>43101</x:v>
      </x:c>
      <x:c r="B5874" s="13" t="str">
        <x:v>BANCO BRADESCO SA-PREF</x:v>
      </x:c>
      <x:c r="C5874" s="16" t="n">
        <x:v>20081.3937201096</x:v>
      </x:c>
      <x:c r="D5874" s="13" t="str">
        <x:v>Banks</x:v>
      </x:c>
      <x:c r="E5874" s="13" t="str">
        <x:v>Banks</x:v>
      </x:c>
      <x:c r="F5874" s="13" t="str">
        <x:v>Financials</x:v>
      </x:c>
      <x:c r="G5874" s="13" t="str">
        <x:v>grid_cqzdsc3v.xlsx</x:v>
      </x:c>
    </x:row>
    <x:row r="5875">
      <x:c r="A5875" s="15" t="n">
        <x:v>43101</x:v>
      </x:c>
      <x:c r="B5875" s="13" t="str">
        <x:v>BANCO DO BRASIL S.A.</x:v>
      </x:c>
      <x:c r="C5875" s="16" t="n">
        <x:v>12756.8511901808</x:v>
      </x:c>
      <x:c r="D5875" s="13" t="str">
        <x:v>Banks</x:v>
      </x:c>
      <x:c r="E5875" s="13" t="str">
        <x:v>Banks</x:v>
      </x:c>
      <x:c r="F5875" s="13" t="str">
        <x:v>Financials</x:v>
      </x:c>
      <x:c r="G5875" s="13" t="str">
        <x:v>grid_cqzdsc3v.xlsx</x:v>
      </x:c>
    </x:row>
    <x:row r="5876">
      <x:c r="A5876" s="15" t="n">
        <x:v>43101</x:v>
      </x:c>
      <x:c r="B5876" s="13" t="str">
        <x:v>BANCO SANTANDER  BRASIL-UNIT</x:v>
      </x:c>
      <x:c r="C5876" s="16" t="n">
        <x:v>10646.9372577315</x:v>
      </x:c>
      <x:c r="D5876" s="13" t="str">
        <x:v>Banks</x:v>
      </x:c>
      <x:c r="E5876" s="13" t="str">
        <x:v>Banks</x:v>
      </x:c>
      <x:c r="F5876" s="13" t="str">
        <x:v>Financials</x:v>
      </x:c>
      <x:c r="G5876" s="13" t="str">
        <x:v>grid_cqzdsc3v.xlsx</x:v>
      </x:c>
    </x:row>
    <x:row r="5877">
      <x:c r="A5877" s="15" t="n">
        <x:v>43101</x:v>
      </x:c>
      <x:c r="B5877" s="13" t="str">
        <x:v>ITAU UNIBANCO HOLDING S-PREF</x:v>
      </x:c>
      <x:c r="C5877" s="16" t="n">
        <x:v>25295.722490389</x:v>
      </x:c>
      <x:c r="D5877" s="13" t="str">
        <x:v>Banks</x:v>
      </x:c>
      <x:c r="E5877" s="13" t="str">
        <x:v>Banks</x:v>
      </x:c>
      <x:c r="F5877" s="13" t="str">
        <x:v>Financials</x:v>
      </x:c>
      <x:c r="G5877" s="13" t="str">
        <x:v>grid_cqzdsc3v.xlsx</x:v>
      </x:c>
    </x:row>
    <x:row r="5878">
      <x:c r="A5878" s="15" t="n">
        <x:v>43101</x:v>
      </x:c>
      <x:c r="B5878" s="13" t="str">
        <x:v>EMBRAER SA</x:v>
      </x:c>
      <x:c r="C5878" s="16" t="n">
        <x:v>674.5079921973</x:v>
      </x:c>
      <x:c r="D5878" s="13" t="str">
        <x:v>Capital Goods</x:v>
      </x:c>
      <x:c r="E5878" s="13" t="str">
        <x:v>Capital Goods</x:v>
      </x:c>
      <x:c r="F5878" s="13" t="str">
        <x:v>Deep Cyclicals</x:v>
      </x:c>
      <x:c r="G5878" s="13" t="str">
        <x:v>grid_cqzdsc3v.xlsx</x:v>
      </x:c>
    </x:row>
    <x:row r="5879">
      <x:c r="A5879" s="15" t="n">
        <x:v>43101</x:v>
      </x:c>
      <x:c r="B5879" s="13" t="str">
        <x:v>WEG SA</x:v>
      </x:c>
      <x:c r="C5879" s="16" t="n">
        <x:v>1328.633273863</x:v>
      </x:c>
      <x:c r="D5879" s="13" t="str">
        <x:v>Capital Goods</x:v>
      </x:c>
      <x:c r="E5879" s="13" t="str">
        <x:v>Capital Goods</x:v>
      </x:c>
      <x:c r="F5879" s="13" t="str">
        <x:v>Deep Cyclicals</x:v>
      </x:c>
      <x:c r="G5879" s="13" t="str">
        <x:v>grid_cqzdsc3v.xlsx</x:v>
      </x:c>
    </x:row>
    <x:row r="5880">
      <x:c r="A5880" s="15" t="n">
        <x:v>43101</x:v>
      </x:c>
      <x:c r="B5880" s="13" t="str">
        <x:v>COGNA EDUCACAO</x:v>
      </x:c>
      <x:c r="C5880" s="16" t="n">
        <x:v>2260.4089596493</x:v>
      </x:c>
      <x:c r="D5880" s="13" t="str">
        <x:v>Education</x:v>
      </x:c>
      <x:c r="E5880" s="13" t="str">
        <x:v>Education</x:v>
      </x:c>
      <x:c r="F5880" s="13" t="str">
        <x:v>Early Cyclicals</x:v>
      </x:c>
      <x:c r="G5880" s="13" t="str">
        <x:v>grid_cqzdsc3v.xlsx</x:v>
      </x:c>
    </x:row>
    <x:row r="5881">
      <x:c r="A5881" s="15" t="n">
        <x:v>43101</x:v>
      </x:c>
      <x:c r="B5881" s="13" t="str">
        <x:v>YDUQS PARTICIPACOES SA</x:v>
      </x:c>
      <x:c r="C5881" s="16" t="n">
        <x:v>716.706554389</x:v>
      </x:c>
      <x:c r="D5881" s="13" t="str">
        <x:v>Education</x:v>
      </x:c>
      <x:c r="E5881" s="13" t="str">
        <x:v>Education</x:v>
      </x:c>
      <x:c r="F5881" s="13" t="str">
        <x:v>Early Cyclicals</x:v>
      </x:c>
      <x:c r="G5881" s="13" t="str">
        <x:v>grid_cqzdsc3v.xlsx</x:v>
      </x:c>
    </x:row>
    <x:row r="5882">
      <x:c r="A5882" s="15" t="n">
        <x:v>43101</x:v>
      </x:c>
      <x:c r="B5882" s="13" t="str">
        <x:v>B3 SA-BRASIL BOLSA BALCAO</x:v>
      </x:c>
      <x:c r="C5882" s="16" t="n">
        <x:v>2395.8582286027</x:v>
      </x:c>
      <x:c r="D5882" s="13" t="str">
        <x:v>Financials Non-Banks</x:v>
      </x:c>
      <x:c r="E5882" s="13" t="str">
        <x:v>Financials Non-Banks</x:v>
      </x:c>
      <x:c r="F5882" s="13" t="str">
        <x:v>Financials</x:v>
      </x:c>
      <x:c r="G5882" s="13" t="str">
        <x:v>grid_cqzdsc3v.xlsx</x:v>
      </x:c>
    </x:row>
    <x:row r="5883">
      <x:c r="A5883" s="15" t="n">
        <x:v>43101</x:v>
      </x:c>
      <x:c r="B5883" s="13" t="str">
        <x:v>BB SEGURIDADE PARTICIPACOES</x:v>
      </x:c>
      <x:c r="C5883" s="16" t="n">
        <x:v>4180.5907533151</x:v>
      </x:c>
      <x:c r="D5883" s="13" t="str">
        <x:v>Financials Non-Banks</x:v>
      </x:c>
      <x:c r="E5883" s="13" t="str">
        <x:v>Financials Non-Banks</x:v>
      </x:c>
      <x:c r="F5883" s="13" t="str">
        <x:v>Financials</x:v>
      </x:c>
      <x:c r="G5883" s="13" t="str">
        <x:v>grid_cqzdsc3v.xlsx</x:v>
      </x:c>
    </x:row>
    <x:row r="5884">
      <x:c r="A5884" s="15" t="n">
        <x:v>43101</x:v>
      </x:c>
      <x:c r="B5884" s="13" t="str">
        <x:v>CIELO SA - INSTITUICAO DE PA</x:v>
      </x:c>
      <x:c r="C5884" s="16" t="n">
        <x:v>4391.1982542904</x:v>
      </x:c>
      <x:c r="D5884" s="13" t="str">
        <x:v>Financials Non-Banks</x:v>
      </x:c>
      <x:c r="E5884" s="13" t="str">
        <x:v>Financials Non-Banks</x:v>
      </x:c>
      <x:c r="F5884" s="13" t="str">
        <x:v>Financials</x:v>
      </x:c>
      <x:c r="G5884" s="13" t="str">
        <x:v>grid_cqzdsc3v.xlsx</x:v>
      </x:c>
    </x:row>
    <x:row r="5885">
      <x:c r="A5885" s="15" t="n">
        <x:v>43101</x:v>
      </x:c>
      <x:c r="B5885" s="13" t="str">
        <x:v>ITAUSA SA</x:v>
      </x:c>
      <x:c r="C5885" s="16" t="n">
        <x:v>9091.301305863</x:v>
      </x:c>
      <x:c r="D5885" s="13" t="str">
        <x:v>Financials Non-Banks</x:v>
      </x:c>
      <x:c r="E5885" s="13" t="str">
        <x:v>Financials Non-Banks</x:v>
      </x:c>
      <x:c r="F5885" s="13" t="str">
        <x:v>Financials</x:v>
      </x:c>
      <x:c r="G5885" s="13" t="str">
        <x:v>grid_cqzdsc3v.xlsx</x:v>
      </x:c>
    </x:row>
    <x:row r="5886">
      <x:c r="A5886" s="15" t="n">
        <x:v>43101</x:v>
      </x:c>
      <x:c r="B5886" s="13" t="str">
        <x:v>AMBEV SA</x:v>
      </x:c>
      <x:c r="C5886" s="16" t="n">
        <x:v>14051.6948585205</x:v>
      </x:c>
      <x:c r="D5886" s="13" t="str">
        <x:v>Food &amp; Beverages</x:v>
      </x:c>
      <x:c r="E5886" s="13" t="str">
        <x:v>Agri, Food &amp; Beverages</x:v>
      </x:c>
      <x:c r="F5886" s="13" t="str">
        <x:v>Defensives</x:v>
      </x:c>
      <x:c r="G5886" s="13" t="str">
        <x:v>grid_cqzdsc3v.xlsx</x:v>
      </x:c>
    </x:row>
    <x:row r="5887">
      <x:c r="A5887" s="15" t="n">
        <x:v>43101</x:v>
      </x:c>
      <x:c r="B5887" s="13" t="str">
        <x:v>BRF SA</x:v>
      </x:c>
      <x:c r="C5887" s="16" t="n">
        <x:v>1655.8689076603</x:v>
      </x:c>
      <x:c r="D5887" s="13" t="str">
        <x:v>Food &amp; Beverages</x:v>
      </x:c>
      <x:c r="E5887" s="13" t="str">
        <x:v>Agri, Food &amp; Beverages</x:v>
      </x:c>
      <x:c r="F5887" s="13" t="str">
        <x:v>Defensives</x:v>
      </x:c>
      <x:c r="G5887" s="13" t="str">
        <x:v>grid_cqzdsc3v.xlsx</x:v>
      </x:c>
    </x:row>
    <x:row r="5888">
      <x:c r="A5888" s="15" t="n">
        <x:v>43101</x:v>
      </x:c>
      <x:c r="B5888" s="13" t="str">
        <x:v>JBS SA</x:v>
      </x:c>
      <x:c r="C5888" s="16" t="n">
        <x:v>3597.7932575562</x:v>
      </x:c>
      <x:c r="D5888" s="13" t="str">
        <x:v>Food &amp; Beverages</x:v>
      </x:c>
      <x:c r="E5888" s="13" t="str">
        <x:v>Agri, Food &amp; Beverages</x:v>
      </x:c>
      <x:c r="F5888" s="13" t="str">
        <x:v>Defensives</x:v>
      </x:c>
      <x:c r="G5888" s="13" t="str">
        <x:v>grid_cqzdsc3v.xlsx</x:v>
      </x:c>
    </x:row>
    <x:row r="5889">
      <x:c r="A5889" s="15" t="n">
        <x:v>43101</x:v>
      </x:c>
      <x:c r="B5889" s="13" t="str">
        <x:v>MBRF GLOBAL FOODS COMPANY SA</x:v>
      </x:c>
      <x:c r="C5889" s="16" t="n">
        <x:v>151.6739726027</x:v>
      </x:c>
      <x:c r="D5889" s="13" t="str">
        <x:v>Food &amp; Beverages</x:v>
      </x:c>
      <x:c r="E5889" s="13" t="str">
        <x:v>Agri, Food &amp; Beverages</x:v>
      </x:c>
      <x:c r="F5889" s="13" t="str">
        <x:v>Defensives</x:v>
      </x:c>
      <x:c r="G5889" s="13" t="str">
        <x:v>grid_cqzdsc3v.xlsx</x:v>
      </x:c>
    </x:row>
    <x:row r="5890">
      <x:c r="A5890" s="15" t="n">
        <x:v>43101</x:v>
      </x:c>
      <x:c r="B5890" s="13" t="str">
        <x:v>FLEURY SA</x:v>
      </x:c>
      <x:c r="C5890" s="16" t="n">
        <x:v>397.9452054795</x:v>
      </x:c>
      <x:c r="D5890" s="13" t="str">
        <x:v>Health Care</x:v>
      </x:c>
      <x:c r="E5890" s="13" t="str">
        <x:v>Health Care</x:v>
      </x:c>
      <x:c r="F5890" s="13" t="str">
        <x:v>Defensives</x:v>
      </x:c>
      <x:c r="G5890" s="13" t="str">
        <x:v>grid_cqzdsc3v.xlsx</x:v>
      </x:c>
    </x:row>
    <x:row r="5891">
      <x:c r="A5891" s="15" t="n">
        <x:v>43101</x:v>
      </x:c>
      <x:c r="B5891" s="13" t="str">
        <x:v>HYPERA SA</x:v>
      </x:c>
      <x:c r="C5891" s="16" t="n">
        <x:v>1053.6512876712</x:v>
      </x:c>
      <x:c r="D5891" s="13" t="str">
        <x:v>Health Care</x:v>
      </x:c>
      <x:c r="E5891" s="13" t="str">
        <x:v>Health Care</x:v>
      </x:c>
      <x:c r="F5891" s="13" t="str">
        <x:v>Defensives</x:v>
      </x:c>
      <x:c r="G5891" s="13" t="str">
        <x:v>grid_cqzdsc3v.xlsx</x:v>
      </x:c>
    </x:row>
    <x:row r="5892">
      <x:c r="A5892" s="15" t="n">
        <x:v>43101</x:v>
      </x:c>
      <x:c r="B5892" s="13" t="str">
        <x:v>QUALICORP CONS E CORR SEG SA</x:v>
      </x:c>
      <x:c r="C5892" s="16" t="n">
        <x:v>598.7056150795</x:v>
      </x:c>
      <x:c r="D5892" s="13" t="str">
        <x:v>Health Care</x:v>
      </x:c>
      <x:c r="E5892" s="13" t="str">
        <x:v>Health Care</x:v>
      </x:c>
      <x:c r="F5892" s="13" t="str">
        <x:v>Defensives</x:v>
      </x:c>
      <x:c r="G5892" s="13" t="str">
        <x:v>grid_cqzdsc3v.xlsx</x:v>
      </x:c>
    </x:row>
    <x:row r="5893">
      <x:c r="A5893" s="15" t="n">
        <x:v>43101</x:v>
      </x:c>
      <x:c r="B5893" s="13" t="str">
        <x:v>CYRELA BRAZIL REALTY SA EMP</x:v>
      </x:c>
      <x:c r="C5893" s="16" t="n">
        <x:v>248.3068493151</x:v>
      </x:c>
      <x:c r="D5893" s="13" t="str">
        <x:v>Homebuilders</x:v>
      </x:c>
      <x:c r="E5893" s="13" t="str">
        <x:v>Real Estate</x:v>
      </x:c>
      <x:c r="F5893" s="13" t="str">
        <x:v>Early Cyclicals</x:v>
      </x:c>
      <x:c r="G5893" s="13" t="str">
        <x:v>grid_cqzdsc3v.xlsx</x:v>
      </x:c>
    </x:row>
    <x:row r="5894">
      <x:c r="A5894" s="15" t="n">
        <x:v>43101</x:v>
      </x:c>
      <x:c r="B5894" s="13" t="str">
        <x:v>MRV ENGENHARIA</x:v>
      </x:c>
      <x:c r="C5894" s="16" t="n">
        <x:v>725.8647246904</x:v>
      </x:c>
      <x:c r="D5894" s="13" t="str">
        <x:v>Homebuilders</x:v>
      </x:c>
      <x:c r="E5894" s="13" t="str">
        <x:v>Real Estate</x:v>
      </x:c>
      <x:c r="F5894" s="13" t="str">
        <x:v>Early Cyclicals</x:v>
      </x:c>
      <x:c r="G5894" s="13" t="str">
        <x:v>grid_cqzdsc3v.xlsx</x:v>
      </x:c>
    </x:row>
    <x:row r="5895">
      <x:c r="A5895" s="15" t="n">
        <x:v>43101</x:v>
      </x:c>
      <x:c r="B5895" s="13" t="str">
        <x:v>BR MALLS PARTICIPACOES SA</x:v>
      </x:c>
      <x:c r="C5895" s="16" t="n">
        <x:v>548.6720513753</x:v>
      </x:c>
      <x:c r="D5895" s="13" t="str">
        <x:v>Income Properties</x:v>
      </x:c>
      <x:c r="E5895" s="13" t="str">
        <x:v>Real Estate</x:v>
      </x:c>
      <x:c r="F5895" s="13" t="str">
        <x:v>Early Cyclicals</x:v>
      </x:c>
      <x:c r="G5895" s="13" t="str">
        <x:v>grid_cqzdsc3v.xlsx</x:v>
      </x:c>
    </x:row>
    <x:row r="5896">
      <x:c r="A5896" s="15" t="n">
        <x:v>43101</x:v>
      </x:c>
      <x:c r="B5896" s="13" t="str">
        <x:v>IGUATEMI EMP DE SHOPPING</x:v>
      </x:c>
      <x:c r="C5896" s="16" t="n">
        <x:v>275.613408</x:v>
      </x:c>
      <x:c r="D5896" s="13" t="str">
        <x:v>Income Properties</x:v>
      </x:c>
      <x:c r="E5896" s="13" t="str">
        <x:v>Real Estate</x:v>
      </x:c>
      <x:c r="F5896" s="13" t="str">
        <x:v>Early Cyclicals</x:v>
      </x:c>
      <x:c r="G5896" s="13" t="str">
        <x:v>grid_cqzdsc3v.xlsx</x:v>
      </x:c>
    </x:row>
    <x:row r="5897">
      <x:c r="A5897" s="15" t="n">
        <x:v>43101</x:v>
      </x:c>
      <x:c r="B5897" s="13" t="str">
        <x:v>MULTIPLAN EMPREENDIMENTOS</x:v>
      </x:c>
      <x:c r="C5897" s="16" t="n">
        <x:v>521.8580828932</x:v>
      </x:c>
      <x:c r="D5897" s="13" t="str">
        <x:v>Income Properties</x:v>
      </x:c>
      <x:c r="E5897" s="13" t="str">
        <x:v>Real Estate</x:v>
      </x:c>
      <x:c r="F5897" s="13" t="str">
        <x:v>Early Cyclicals</x:v>
      </x:c>
      <x:c r="G5897" s="13" t="str">
        <x:v>grid_cqzdsc3v.xlsx</x:v>
      </x:c>
    </x:row>
    <x:row r="5898">
      <x:c r="A5898" s="15" t="n">
        <x:v>43101</x:v>
      </x:c>
      <x:c r="B5898" s="13" t="str">
        <x:v>BRADESPAR SA -PREF</x:v>
      </x:c>
      <x:c r="C5898" s="16" t="n">
        <x:v>1338.1871856219</x:v>
      </x:c>
      <x:c r="D5898" s="13" t="str">
        <x:v>Metals &amp; Mining</x:v>
      </x:c>
      <x:c r="E5898" s="13" t="str">
        <x:v>Metals &amp; Mining</x:v>
      </x:c>
      <x:c r="F5898" s="13" t="str">
        <x:v>Deep Cyclicals</x:v>
      </x:c>
      <x:c r="G5898" s="13" t="str">
        <x:v>grid_cqzdsc3v.xlsx</x:v>
      </x:c>
    </x:row>
    <x:row r="5899">
      <x:c r="A5899" s="15" t="n">
        <x:v>43101</x:v>
      </x:c>
      <x:c r="B5899" s="13" t="str">
        <x:v>CIA SIDERURGICA NACIONAL SA</x:v>
      </x:c>
      <x:c r="C5899" s="16" t="n">
        <x:v>740.0987164055</x:v>
      </x:c>
      <x:c r="D5899" s="13" t="str">
        <x:v>Metals &amp; Mining</x:v>
      </x:c>
      <x:c r="E5899" s="13" t="str">
        <x:v>Metals &amp; Mining</x:v>
      </x:c>
      <x:c r="F5899" s="13" t="str">
        <x:v>Deep Cyclicals</x:v>
      </x:c>
      <x:c r="G5899" s="13" t="str">
        <x:v>grid_cqzdsc3v.xlsx</x:v>
      </x:c>
    </x:row>
    <x:row r="5900">
      <x:c r="A5900" s="15" t="n">
        <x:v>43101</x:v>
      </x:c>
      <x:c r="B5900" s="13" t="str">
        <x:v>GERDAU SA-PREF</x:v>
      </x:c>
      <x:c r="C5900" s="16" t="n">
        <x:v>1242.6462351781</x:v>
      </x:c>
      <x:c r="D5900" s="13" t="str">
        <x:v>Metals &amp; Mining</x:v>
      </x:c>
      <x:c r="E5900" s="13" t="str">
        <x:v>Metals &amp; Mining</x:v>
      </x:c>
      <x:c r="F5900" s="13" t="str">
        <x:v>Deep Cyclicals</x:v>
      </x:c>
      <x:c r="G5900" s="13" t="str">
        <x:v>grid_cqzdsc3v.xlsx</x:v>
      </x:c>
    </x:row>
    <x:row r="5901">
      <x:c r="A5901" s="15" t="n">
        <x:v>43101</x:v>
      </x:c>
      <x:c r="B5901" s="13" t="str">
        <x:v>METALURGICA GERDAU SA-PREF</x:v>
      </x:c>
      <x:c r="C5901" s="16" t="n">
        <x:v>1151.7589041096</x:v>
      </x:c>
      <x:c r="D5901" s="13" t="str">
        <x:v>Metals &amp; Mining</x:v>
      </x:c>
      <x:c r="E5901" s="13" t="str">
        <x:v>Metals &amp; Mining</x:v>
      </x:c>
      <x:c r="F5901" s="13" t="str">
        <x:v>Deep Cyclicals</x:v>
      </x:c>
      <x:c r="G5901" s="13" t="str">
        <x:v>grid_cqzdsc3v.xlsx</x:v>
      </x:c>
    </x:row>
    <x:row r="5902">
      <x:c r="A5902" s="15" t="n">
        <x:v>43101</x:v>
      </x:c>
      <x:c r="B5902" s="13" t="str">
        <x:v>USINAS SIDER MINAS GER-PF A</x:v>
      </x:c>
      <x:c r="C5902" s="16" t="n">
        <x:v>695.3493086685</x:v>
      </x:c>
      <x:c r="D5902" s="13" t="str">
        <x:v>Metals &amp; Mining</x:v>
      </x:c>
      <x:c r="E5902" s="13" t="str">
        <x:v>Metals &amp; Mining</x:v>
      </x:c>
      <x:c r="F5902" s="13" t="str">
        <x:v>Deep Cyclicals</x:v>
      </x:c>
      <x:c r="G5902" s="13" t="str">
        <x:v>grid_cqzdsc3v.xlsx</x:v>
      </x:c>
    </x:row>
    <x:row r="5903">
      <x:c r="A5903" s="15" t="n">
        <x:v>43101</x:v>
      </x:c>
      <x:c r="B5903" s="13" t="str">
        <x:v>VALE SA</x:v>
      </x:c>
      <x:c r="C5903" s="16" t="n">
        <x:v>22844.2920763616</x:v>
      </x:c>
      <x:c r="D5903" s="13" t="str">
        <x:v>Metals &amp; Mining</x:v>
      </x:c>
      <x:c r="E5903" s="13" t="str">
        <x:v>Metals &amp; Mining</x:v>
      </x:c>
      <x:c r="F5903" s="13" t="str">
        <x:v>Deep Cyclicals</x:v>
      </x:c>
      <x:c r="G5903" s="13" t="str">
        <x:v>grid_cqzdsc3v.xlsx</x:v>
      </x:c>
    </x:row>
    <x:row r="5904">
      <x:c r="A5904" s="15" t="n">
        <x:v>43101</x:v>
      </x:c>
      <x:c r="B5904" s="13" t="str">
        <x:v>BRASKEM SA-PREF A</x:v>
      </x:c>
      <x:c r="C5904" s="16" t="n">
        <x:v>2869.3934549918</x:v>
      </x:c>
      <x:c r="D5904" s="13" t="str">
        <x:v>Oil, Gas &amp; Petrochemicals</x:v>
      </x:c>
      <x:c r="E5904" s="13" t="str">
        <x:v>Oil, Gas &amp; Petrochemicals</x:v>
      </x:c>
      <x:c r="F5904" s="13" t="str">
        <x:v>Deep Cyclicals</x:v>
      </x:c>
      <x:c r="G5904" s="13" t="str">
        <x:v>grid_cqzdsc3v.xlsx</x:v>
      </x:c>
    </x:row>
    <x:row r="5905">
      <x:c r="A5905" s="15" t="n">
        <x:v>43101</x:v>
      </x:c>
      <x:c r="B5905" s="13" t="str">
        <x:v>COSAN SA</x:v>
      </x:c>
      <x:c r="C5905" s="16" t="n">
        <x:v>1252.6609260712</x:v>
      </x:c>
      <x:c r="D5905" s="13" t="str">
        <x:v>Oil, Gas &amp; Petrochemicals</x:v>
      </x:c>
      <x:c r="E5905" s="13" t="str">
        <x:v>Oil, Gas &amp; Petrochemicals</x:v>
      </x:c>
      <x:c r="F5905" s="13" t="str">
        <x:v>Deep Cyclicals</x:v>
      </x:c>
      <x:c r="G5905" s="13" t="str">
        <x:v>grid_cqzdsc3v.xlsx</x:v>
      </x:c>
    </x:row>
    <x:row r="5906">
      <x:c r="A5906" s="15" t="n">
        <x:v>43101</x:v>
      </x:c>
      <x:c r="B5906" s="13" t="str">
        <x:v>PETROBRAS - PETROLEO BRAS</x:v>
      </x:c>
      <x:c r="C5906" s="16" t="n">
        <x:v>20675.2763455123</x:v>
      </x:c>
      <x:c r="D5906" s="13" t="str">
        <x:v>Oil, Gas &amp; Petrochemicals</x:v>
      </x:c>
      <x:c r="E5906" s="13" t="str">
        <x:v>Oil, Gas &amp; Petrochemicals</x:v>
      </x:c>
      <x:c r="F5906" s="13" t="str">
        <x:v>Deep Cyclicals</x:v>
      </x:c>
      <x:c r="G5906" s="13" t="str">
        <x:v>grid_cqzdsc3v.xlsx</x:v>
      </x:c>
    </x:row>
    <x:row r="5907">
      <x:c r="A5907" s="15" t="n">
        <x:v>43101</x:v>
      </x:c>
      <x:c r="B5907" s="13" t="str">
        <x:v>ULTRAPAR PARTICIPACOES SA</x:v>
      </x:c>
      <x:c r="C5907" s="16" t="n">
        <x:v>1955.9865498301</x:v>
      </x:c>
      <x:c r="D5907" s="13" t="str">
        <x:v>Oil, Gas &amp; Petrochemicals</x:v>
      </x:c>
      <x:c r="E5907" s="13" t="str">
        <x:v>Oil, Gas &amp; Petrochemicals</x:v>
      </x:c>
      <x:c r="F5907" s="13" t="str">
        <x:v>Deep Cyclicals</x:v>
      </x:c>
      <x:c r="G5907" s="13" t="str">
        <x:v>grid_cqzdsc3v.xlsx</x:v>
      </x:c>
    </x:row>
    <x:row r="5908">
      <x:c r="A5908" s="15" t="n">
        <x:v>43101</x:v>
      </x:c>
      <x:c r="B5908" s="13" t="str">
        <x:v>FIBRIA CELULOSE S/A</x:v>
      </x:c>
      <x:c r="C5908" s="16" t="n">
        <x:v>3117.9693497863</x:v>
      </x:c>
      <x:c r="D5908" s="13" t="str">
        <x:v>Pulp &amp; Paper</x:v>
      </x:c>
      <x:c r="E5908" s="13" t="str">
        <x:v>Pulp &amp; Paper</x:v>
      </x:c>
      <x:c r="F5908" s="13" t="str">
        <x:v>Deep Cyclicals</x:v>
      </x:c>
      <x:c r="G5908" s="13" t="str">
        <x:v>grid_cqzdsc3v.xlsx</x:v>
      </x:c>
    </x:row>
    <x:row r="5909">
      <x:c r="A5909" s="15" t="n">
        <x:v>43101</x:v>
      </x:c>
      <x:c r="B5909" s="13" t="str">
        <x:v>KLABIN SA - UNIT</x:v>
      </x:c>
      <x:c r="C5909" s="16" t="n">
        <x:v>1168.6718036164</x:v>
      </x:c>
      <x:c r="D5909" s="13" t="str">
        <x:v>Pulp &amp; Paper</x:v>
      </x:c>
      <x:c r="E5909" s="13" t="str">
        <x:v>Pulp &amp; Paper</x:v>
      </x:c>
      <x:c r="F5909" s="13" t="str">
        <x:v>Deep Cyclicals</x:v>
      </x:c>
      <x:c r="G5909" s="13" t="str">
        <x:v>grid_cqzdsc3v.xlsx</x:v>
      </x:c>
    </x:row>
    <x:row r="5910">
      <x:c r="A5910" s="15" t="n">
        <x:v>43101</x:v>
      </x:c>
      <x:c r="B5910" s="13" t="str">
        <x:v>SUZANO SA</x:v>
      </x:c>
      <x:c r="C5910" s="16" t="n">
        <x:v>2239.7140311671</x:v>
      </x:c>
      <x:c r="D5910" s="13" t="str">
        <x:v>Pulp &amp; Paper</x:v>
      </x:c>
      <x:c r="E5910" s="13" t="str">
        <x:v>Pulp &amp; Paper</x:v>
      </x:c>
      <x:c r="F5910" s="13" t="str">
        <x:v>Deep Cyclicals</x:v>
      </x:c>
      <x:c r="G5910" s="13" t="str">
        <x:v>grid_cqzdsc3v.xlsx</x:v>
      </x:c>
    </x:row>
    <x:row r="5911">
      <x:c r="A5911" s="15" t="n">
        <x:v>43101</x:v>
      </x:c>
      <x:c r="B5911" s="13" t="str">
        <x:v>CIA BRASILEIRA DE DIS-PREF</x:v>
      </x:c>
      <x:c r="C5911" s="16" t="n">
        <x:v>899.5017493041</x:v>
      </x:c>
      <x:c r="D5911" s="13" t="str">
        <x:v>Retail</x:v>
      </x:c>
      <x:c r="E5911" s="13" t="str">
        <x:v>Retail</x:v>
      </x:c>
      <x:c r="F5911" s="13" t="str">
        <x:v>Early Cyclicals</x:v>
      </x:c>
      <x:c r="G5911" s="13" t="str">
        <x:v>grid_cqzdsc3v.xlsx</x:v>
      </x:c>
    </x:row>
    <x:row r="5912">
      <x:c r="A5912" s="15" t="n">
        <x:v>43101</x:v>
      </x:c>
      <x:c r="B5912" s="13" t="str">
        <x:v>LOJAS AMERICANAS SA-PREF</x:v>
      </x:c>
      <x:c r="C5912" s="16" t="n">
        <x:v>790.8117644274</x:v>
      </x:c>
      <x:c r="D5912" s="13" t="str">
        <x:v>Retail</x:v>
      </x:c>
      <x:c r="E5912" s="13" t="str">
        <x:v>Retail</x:v>
      </x:c>
      <x:c r="F5912" s="13" t="str">
        <x:v>Early Cyclicals</x:v>
      </x:c>
      <x:c r="G5912" s="13" t="str">
        <x:v>grid_cqzdsc3v.xlsx</x:v>
      </x:c>
    </x:row>
    <x:row r="5913">
      <x:c r="A5913" s="15" t="n">
        <x:v>43101</x:v>
      </x:c>
      <x:c r="B5913" s="13" t="str">
        <x:v>LOJAS RENNER S.A.</x:v>
      </x:c>
      <x:c r="C5913" s="16" t="n">
        <x:v>975.5002753753</x:v>
      </x:c>
      <x:c r="D5913" s="13" t="str">
        <x:v>Retail</x:v>
      </x:c>
      <x:c r="E5913" s="13" t="str">
        <x:v>Retail</x:v>
      </x:c>
      <x:c r="F5913" s="13" t="str">
        <x:v>Early Cyclicals</x:v>
      </x:c>
      <x:c r="G5913" s="13" t="str">
        <x:v>grid_cqzdsc3v.xlsx</x:v>
      </x:c>
    </x:row>
    <x:row r="5914">
      <x:c r="A5914" s="15" t="n">
        <x:v>43101</x:v>
      </x:c>
      <x:c r="B5914" s="13" t="str">
        <x:v>MAGAZINE LUIZA SA</x:v>
      </x:c>
      <x:c r="C5914" s="16" t="n">
        <x:v>562.2896347178</x:v>
      </x:c>
      <x:c r="D5914" s="13" t="str">
        <x:v>Retail</x:v>
      </x:c>
      <x:c r="E5914" s="13" t="str">
        <x:v>Retail</x:v>
      </x:c>
      <x:c r="F5914" s="13" t="str">
        <x:v>Early Cyclicals</x:v>
      </x:c>
      <x:c r="G5914" s="13" t="str">
        <x:v>grid_cqzdsc3v.xlsx</x:v>
      </x:c>
    </x:row>
    <x:row r="5915">
      <x:c r="A5915" s="15" t="n">
        <x:v>43101</x:v>
      </x:c>
      <x:c r="B5915" s="13" t="str">
        <x:v>RAIA DROGASIL SA</x:v>
      </x:c>
      <x:c r="C5915" s="16" t="n">
        <x:v>709.7767506411</x:v>
      </x:c>
      <x:c r="D5915" s="13" t="str">
        <x:v>Retail</x:v>
      </x:c>
      <x:c r="E5915" s="13" t="str">
        <x:v>Retail</x:v>
      </x:c>
      <x:c r="F5915" s="13" t="str">
        <x:v>Early Cyclicals</x:v>
      </x:c>
      <x:c r="G5915" s="13" t="str">
        <x:v>grid_cqzdsc3v.xlsx</x:v>
      </x:c>
    </x:row>
    <x:row r="5916">
      <x:c r="A5916" s="15" t="n">
        <x:v>43101</x:v>
      </x:c>
      <x:c r="B5916" s="13" t="str">
        <x:v>VIA VAREJO SA</x:v>
      </x:c>
      <x:c r="C5916" s="16" t="n">
        <x:v>558.4606004603</x:v>
      </x:c>
      <x:c r="D5916" s="13" t="str">
        <x:v>Retail</x:v>
      </x:c>
      <x:c r="E5916" s="13" t="str">
        <x:v>Retail</x:v>
      </x:c>
      <x:c r="F5916" s="13" t="str">
        <x:v>Early Cyclicals</x:v>
      </x:c>
      <x:c r="G5916" s="13" t="str">
        <x:v>grid_cqzdsc3v.xlsx</x:v>
      </x:c>
    </x:row>
    <x:row r="5917">
      <x:c r="A5917" s="15" t="n">
        <x:v>43101</x:v>
      </x:c>
      <x:c r="B5917" s="13" t="str">
        <x:v>CIA DE SANEAMENTO DO PA-UNIT</x:v>
      </x:c>
      <x:c r="C5917" s="16" t="n">
        <x:v>995.4520547945</x:v>
      </x:c>
      <x:c r="D5917" s="13" t="str">
        <x:v>Sanitation</x:v>
      </x:c>
      <x:c r="E5917" s="13" t="str">
        <x:v>Utilities</x:v>
      </x:c>
      <x:c r="F5917" s="13" t="str">
        <x:v>Defensives</x:v>
      </x:c>
      <x:c r="G5917" s="13" t="str">
        <x:v>grid_cqzdsc3v.xlsx</x:v>
      </x:c>
    </x:row>
    <x:row r="5918">
      <x:c r="A5918" s="15" t="n">
        <x:v>43101</x:v>
      </x:c>
      <x:c r="B5918" s="13" t="str">
        <x:v>CIA SANEAMENTO BASICO DE SP</x:v>
      </x:c>
      <x:c r="C5918" s="16" t="n">
        <x:v>2843.0674249644</x:v>
      </x:c>
      <x:c r="D5918" s="13" t="str">
        <x:v>Sanitation</x:v>
      </x:c>
      <x:c r="E5918" s="13" t="str">
        <x:v>Utilities</x:v>
      </x:c>
      <x:c r="F5918" s="13" t="str">
        <x:v>Defensives</x:v>
      </x:c>
      <x:c r="G5918" s="13" t="str">
        <x:v>grid_cqzdsc3v.xlsx</x:v>
      </x:c>
    </x:row>
    <x:row r="5919">
      <x:c r="A5919" s="15" t="n">
        <x:v>43101</x:v>
      </x:c>
      <x:c r="B5919" s="13" t="str">
        <x:v>SMILES FIDELIDADE SA</x:v>
      </x:c>
      <x:c r="C5919" s="16" t="n">
        <x:v>640.4911652822</x:v>
      </x:c>
      <x:c r="D5919" s="13" t="str">
        <x:v>TMT</x:v>
      </x:c>
      <x:c r="E5919" s="13" t="str">
        <x:v>TMT</x:v>
      </x:c>
      <x:c r="F5919" s="13" t="str">
        <x:v>Early Cyclicals</x:v>
      </x:c>
      <x:c r="G5919" s="13" t="str">
        <x:v>grid_cqzdsc3v.xlsx</x:v>
      </x:c>
    </x:row>
    <x:row r="5920">
      <x:c r="A5920" s="15" t="n">
        <x:v>43101</x:v>
      </x:c>
      <x:c r="B5920" s="13" t="str">
        <x:v>TELEFONICA BRASIL S.A.-PREF</x:v>
      </x:c>
      <x:c r="C5920" s="16" t="n">
        <x:v>5833.3370578411</x:v>
      </x:c>
      <x:c r="D5920" s="13" t="str">
        <x:v>TMT</x:v>
      </x:c>
      <x:c r="E5920" s="13" t="str">
        <x:v>TMT</x:v>
      </x:c>
      <x:c r="F5920" s="13" t="str">
        <x:v>Early Cyclicals</x:v>
      </x:c>
      <x:c r="G5920" s="13" t="str">
        <x:v>grid_cqzdsc3v.xlsx</x:v>
      </x:c>
    </x:row>
    <x:row r="5921">
      <x:c r="A5921" s="15" t="n">
        <x:v>43101</x:v>
      </x:c>
      <x:c r="B5921" s="13" t="str">
        <x:v>TIM SA</x:v>
      </x:c>
      <x:c r="C5921" s="16" t="n">
        <x:v>1438.6705807781</x:v>
      </x:c>
      <x:c r="D5921" s="13" t="str">
        <x:v>TMT</x:v>
      </x:c>
      <x:c r="E5921" s="13" t="str">
        <x:v>TMT</x:v>
      </x:c>
      <x:c r="F5921" s="13" t="str">
        <x:v>Early Cyclicals</x:v>
      </x:c>
      <x:c r="G5921" s="13" t="str">
        <x:v>grid_cqzdsc3v.xlsx</x:v>
      </x:c>
    </x:row>
    <x:row r="5922">
      <x:c r="A5922" s="15" t="n">
        <x:v>43101</x:v>
      </x:c>
      <x:c r="B5922" s="13" t="str">
        <x:v>ECORODOVIAS INFRA E LOG SA</x:v>
      </x:c>
      <x:c r="C5922" s="16" t="n">
        <x:v>557.8371643616</x:v>
      </x:c>
      <x:c r="D5922" s="13" t="str">
        <x:v>Transportation</x:v>
      </x:c>
      <x:c r="E5922" s="13" t="str">
        <x:v>Transportation</x:v>
      </x:c>
      <x:c r="F5922" s="13" t="str">
        <x:v>Deep Cyclicals</x:v>
      </x:c>
      <x:c r="G5922" s="13" t="str">
        <x:v>grid_cqzdsc3v.xlsx</x:v>
      </x:c>
    </x:row>
    <x:row r="5923">
      <x:c r="A5923" s="15" t="n">
        <x:v>43101</x:v>
      </x:c>
      <x:c r="B5923" s="13" t="str">
        <x:v>LOCALIZA RENT A CAR</x:v>
      </x:c>
      <x:c r="C5923" s="16" t="n">
        <x:v>656.2062826959</x:v>
      </x:c>
      <x:c r="D5923" s="13" t="str">
        <x:v>Transportation</x:v>
      </x:c>
      <x:c r="E5923" s="13" t="str">
        <x:v>Transportation</x:v>
      </x:c>
      <x:c r="F5923" s="13" t="str">
        <x:v>Deep Cyclicals</x:v>
      </x:c>
      <x:c r="G5923" s="13" t="str">
        <x:v>grid_cqzdsc3v.xlsx</x:v>
      </x:c>
    </x:row>
    <x:row r="5924">
      <x:c r="A5924" s="15" t="n">
        <x:v>43101</x:v>
      </x:c>
      <x:c r="B5924" s="13" t="str">
        <x:v>MOTIVA INFRAESTRUTURA DE MOB</x:v>
      </x:c>
      <x:c r="C5924" s="16" t="n">
        <x:v>2095.7597471562</x:v>
      </x:c>
      <x:c r="D5924" s="13" t="str">
        <x:v>Transportation</x:v>
      </x:c>
      <x:c r="E5924" s="13" t="str">
        <x:v>Transportation</x:v>
      </x:c>
      <x:c r="F5924" s="13" t="str">
        <x:v>Deep Cyclicals</x:v>
      </x:c>
      <x:c r="G5924" s="13" t="str">
        <x:v>grid_cqzdsc3v.xlsx</x:v>
      </x:c>
    </x:row>
    <x:row r="5925">
      <x:c r="A5925" s="15" t="n">
        <x:v>43101</x:v>
      </x:c>
      <x:c r="B5925" s="13" t="str">
        <x:v>RUMO SA</x:v>
      </x:c>
      <x:c r="C5925" s="16" t="n">
        <x:v>509.2095063671</x:v>
      </x:c>
      <x:c r="D5925" s="13" t="str">
        <x:v>Transportation</x:v>
      </x:c>
      <x:c r="E5925" s="13" t="str">
        <x:v>Transportation</x:v>
      </x:c>
      <x:c r="F5925" s="13" t="str">
        <x:v>Deep Cyclicals</x:v>
      </x:c>
      <x:c r="G5925" s="13" t="str">
        <x:v>grid_cqzdsc3v.xlsx</x:v>
      </x:c>
    </x:row>
    <x:row r="5926">
      <x:c r="A5926" s="15" t="n">
        <x:v>43101</x:v>
      </x:c>
      <x:c r="B5926" s="13" t="str">
        <x:v>AXIA ENERGIA SA</x:v>
      </x:c>
      <x:c r="C5926" s="16" t="n">
        <x:v>4504.350272526</x:v>
      </x:c>
      <x:c r="D5926" s="13" t="str">
        <x:v>Utilities &amp; Energy</x:v>
      </x:c>
      <x:c r="E5926" s="13" t="str">
        <x:v>Utilities</x:v>
      </x:c>
      <x:c r="F5926" s="13" t="str">
        <x:v>Defensives</x:v>
      </x:c>
      <x:c r="G5926" s="13" t="str">
        <x:v>grid_cqzdsc3v.xlsx</x:v>
      </x:c>
    </x:row>
    <x:row r="5927">
      <x:c r="A5927" s="15" t="n">
        <x:v>43101</x:v>
      </x:c>
      <x:c r="B5927" s="13" t="str">
        <x:v>AXIA ENERGIA-PR B</x:v>
      </x:c>
      <x:c r="C5927" s="16" t="n">
        <x:v>4504.350272526</x:v>
      </x:c>
      <x:c r="D5927" s="13" t="str">
        <x:v>Utilities &amp; Energy</x:v>
      </x:c>
      <x:c r="E5927" s="13" t="str">
        <x:v>Utilities</x:v>
      </x:c>
      <x:c r="F5927" s="13" t="str">
        <x:v>Defensives</x:v>
      </x:c>
      <x:c r="G5927" s="13" t="str">
        <x:v>grid_cqzdsc3v.xlsx</x:v>
      </x:c>
    </x:row>
    <x:row r="5928">
      <x:c r="A5928" s="15" t="n">
        <x:v>43101</x:v>
      </x:c>
      <x:c r="B5928" s="13" t="str">
        <x:v>CIA ENERGETICA MINAS GER-PRF</x:v>
      </x:c>
      <x:c r="C5928" s="16" t="n">
        <x:v>1692.3835676055</x:v>
      </x:c>
      <x:c r="D5928" s="13" t="str">
        <x:v>Utilities &amp; Energy</x:v>
      </x:c>
      <x:c r="E5928" s="13" t="str">
        <x:v>Utilities</x:v>
      </x:c>
      <x:c r="F5928" s="13" t="str">
        <x:v>Defensives</x:v>
      </x:c>
      <x:c r="G5928" s="13" t="str">
        <x:v>grid_cqzdsc3v.xlsx</x:v>
      </x:c>
    </x:row>
    <x:row r="5929">
      <x:c r="A5929" s="15" t="n">
        <x:v>43101</x:v>
      </x:c>
      <x:c r="B5929" s="13" t="str">
        <x:v>COMPANHIA PARANAENSE -PREF B</x:v>
      </x:c>
      <x:c r="C5929" s="16" t="n">
        <x:v>1408.2016438356</x:v>
      </x:c>
      <x:c r="D5929" s="13" t="str">
        <x:v>Utilities &amp; Energy</x:v>
      </x:c>
      <x:c r="E5929" s="13" t="str">
        <x:v>Utilities</x:v>
      </x:c>
      <x:c r="F5929" s="13" t="str">
        <x:v>Defensives</x:v>
      </x:c>
      <x:c r="G5929" s="13" t="str">
        <x:v>grid_cqzdsc3v.xlsx</x:v>
      </x:c>
    </x:row>
    <x:row r="5930">
      <x:c r="A5930" s="15" t="n">
        <x:v>43101</x:v>
      </x:c>
      <x:c r="B5930" s="13" t="str">
        <x:v>EDP - ENERGIAS DO BRASIL SA</x:v>
      </x:c>
      <x:c r="C5930" s="16" t="n">
        <x:v>786.2661190137</x:v>
      </x:c>
      <x:c r="D5930" s="13" t="str">
        <x:v>Utilities &amp; Energy</x:v>
      </x:c>
      <x:c r="E5930" s="13" t="str">
        <x:v>Utilities</x:v>
      </x:c>
      <x:c r="F5930" s="13" t="str">
        <x:v>Defensives</x:v>
      </x:c>
      <x:c r="G5930" s="13" t="str">
        <x:v>grid_cqzdsc3v.xlsx</x:v>
      </x:c>
    </x:row>
    <x:row r="5931">
      <x:c r="A5931" s="15" t="n">
        <x:v>43101</x:v>
      </x:c>
      <x:c r="B5931" s="13" t="str">
        <x:v>ENGIE BRASIL ENERGIA SA</x:v>
      </x:c>
      <x:c r="C5931" s="16" t="n">
        <x:v>1766.2328712767</x:v>
      </x:c>
      <x:c r="D5931" s="13" t="str">
        <x:v>Utilities &amp; Energy</x:v>
      </x:c>
      <x:c r="E5931" s="13" t="str">
        <x:v>Utilities</x:v>
      </x:c>
      <x:c r="F5931" s="13" t="str">
        <x:v>Defensives</x:v>
      </x:c>
      <x:c r="G5931" s="13" t="str">
        <x:v>grid_cqzdsc3v.xlsx</x:v>
      </x:c>
    </x:row>
    <x:row r="5932">
      <x:c r="A5932" s="15" t="n">
        <x:v>43101</x:v>
      </x:c>
      <x:c r="B5932" s="13" t="str">
        <x:v>EQUATORIAL SA - ORD</x:v>
      </x:c>
      <x:c r="C5932" s="16" t="n">
        <x:v>842.4319538849</x:v>
      </x:c>
      <x:c r="D5932" s="13" t="str">
        <x:v>Utilities &amp; Energy</x:v>
      </x:c>
      <x:c r="E5932" s="13" t="str">
        <x:v>Utilities</x:v>
      </x:c>
      <x:c r="F5932" s="13" t="str">
        <x:v>Defensives</x:v>
      </x:c>
      <x:c r="G5932" s="13" t="str">
        <x:v>grid_cqzdsc3v.xlsx</x:v>
      </x:c>
    </x:row>
    <x:row r="5933">
      <x:c r="A5933" s="15" t="n">
        <x:v>43101</x:v>
      </x:c>
      <x:c r="B5933" s="13" t="str">
        <x:v>TRANSMISSORA ALIANCA DE-UNIT</x:v>
      </x:c>
      <x:c r="C5933" s="16" t="n">
        <x:v>829.2885654795</x:v>
      </x:c>
      <x:c r="D5933" s="13" t="str">
        <x:v>Utilities &amp; Energy</x:v>
      </x:c>
      <x:c r="E5933" s="13" t="str">
        <x:v>Utilities</x:v>
      </x:c>
      <x:c r="F5933" s="13" t="str">
        <x:v>Defensives</x:v>
      </x:c>
      <x:c r="G5933" s="13" t="str">
        <x:v>grid_cqzdsc3v.xlsx</x:v>
      </x:c>
    </x:row>
    <x:row r="5934">
      <x:c r="A5934" s="15" t="n">
        <x:v>43132</x:v>
      </x:c>
      <x:c r="B5934" s="13" t="str">
        <x:v>BANCO BRADESCO S.A.</x:v>
      </x:c>
      <x:c r="C5934" s="16" t="n">
        <x:v>21267.2687510795</x:v>
      </x:c>
      <x:c r="D5934" s="13" t="str">
        <x:v>Banks</x:v>
      </x:c>
      <x:c r="E5934" s="13" t="str">
        <x:v>Banks</x:v>
      </x:c>
      <x:c r="F5934" s="13" t="str">
        <x:v>Financials</x:v>
      </x:c>
      <x:c r="G5934" s="13" t="str">
        <x:v>grid_cqzdsc3v.xlsx</x:v>
      </x:c>
    </x:row>
    <x:row r="5935">
      <x:c r="A5935" s="15" t="n">
        <x:v>43132</x:v>
      </x:c>
      <x:c r="B5935" s="13" t="str">
        <x:v>BANCO BRADESCO SA-PREF</x:v>
      </x:c>
      <x:c r="C5935" s="16" t="n">
        <x:v>21267.2687510795</x:v>
      </x:c>
      <x:c r="D5935" s="13" t="str">
        <x:v>Banks</x:v>
      </x:c>
      <x:c r="E5935" s="13" t="str">
        <x:v>Banks</x:v>
      </x:c>
      <x:c r="F5935" s="13" t="str">
        <x:v>Financials</x:v>
      </x:c>
      <x:c r="G5935" s="13" t="str">
        <x:v>grid_cqzdsc3v.xlsx</x:v>
      </x:c>
    </x:row>
    <x:row r="5936">
      <x:c r="A5936" s="15" t="n">
        <x:v>43132</x:v>
      </x:c>
      <x:c r="B5936" s="13" t="str">
        <x:v>BANCO DO BRASIL S.A.</x:v>
      </x:c>
      <x:c r="C5936" s="16" t="n">
        <x:v>13000.5616499726</x:v>
      </x:c>
      <x:c r="D5936" s="13" t="str">
        <x:v>Banks</x:v>
      </x:c>
      <x:c r="E5936" s="13" t="str">
        <x:v>Banks</x:v>
      </x:c>
      <x:c r="F5936" s="13" t="str">
        <x:v>Financials</x:v>
      </x:c>
      <x:c r="G5936" s="13" t="str">
        <x:v>grid_cqzdsc3v.xlsx</x:v>
      </x:c>
    </x:row>
    <x:row r="5937">
      <x:c r="A5937" s="15" t="n">
        <x:v>43132</x:v>
      </x:c>
      <x:c r="B5937" s="13" t="str">
        <x:v>BANCO SANTANDER  BRASIL-UNIT</x:v>
      </x:c>
      <x:c r="C5937" s="16" t="n">
        <x:v>10859.4826225973</x:v>
      </x:c>
      <x:c r="D5937" s="13" t="str">
        <x:v>Banks</x:v>
      </x:c>
      <x:c r="E5937" s="13" t="str">
        <x:v>Banks</x:v>
      </x:c>
      <x:c r="F5937" s="13" t="str">
        <x:v>Financials</x:v>
      </x:c>
      <x:c r="G5937" s="13" t="str">
        <x:v>grid_cqzdsc3v.xlsx</x:v>
      </x:c>
    </x:row>
    <x:row r="5938">
      <x:c r="A5938" s="15" t="n">
        <x:v>43132</x:v>
      </x:c>
      <x:c r="B5938" s="13" t="str">
        <x:v>ITAU UNIBANCO HOLDING S-PREF</x:v>
      </x:c>
      <x:c r="C5938" s="16" t="n">
        <x:v>26660.6492517699</x:v>
      </x:c>
      <x:c r="D5938" s="13" t="str">
        <x:v>Banks</x:v>
      </x:c>
      <x:c r="E5938" s="13" t="str">
        <x:v>Banks</x:v>
      </x:c>
      <x:c r="F5938" s="13" t="str">
        <x:v>Financials</x:v>
      </x:c>
      <x:c r="G5938" s="13" t="str">
        <x:v>grid_cqzdsc3v.xlsx</x:v>
      </x:c>
    </x:row>
    <x:row r="5939">
      <x:c r="A5939" s="15" t="n">
        <x:v>43132</x:v>
      </x:c>
      <x:c r="B5939" s="13" t="str">
        <x:v>EMBRAER SA</x:v>
      </x:c>
      <x:c r="C5939" s="16" t="n">
        <x:v>706.5120575123</x:v>
      </x:c>
      <x:c r="D5939" s="13" t="str">
        <x:v>Capital Goods</x:v>
      </x:c>
      <x:c r="E5939" s="13" t="str">
        <x:v>Capital Goods</x:v>
      </x:c>
      <x:c r="F5939" s="13" t="str">
        <x:v>Deep Cyclicals</x:v>
      </x:c>
      <x:c r="G5939" s="13" t="str">
        <x:v>grid_cqzdsc3v.xlsx</x:v>
      </x:c>
    </x:row>
    <x:row r="5940">
      <x:c r="A5940" s="15" t="n">
        <x:v>43132</x:v>
      </x:c>
      <x:c r="B5940" s="13" t="str">
        <x:v>WEG SA</x:v>
      </x:c>
      <x:c r="C5940" s="16" t="n">
        <x:v>1361.9922915945</x:v>
      </x:c>
      <x:c r="D5940" s="13" t="str">
        <x:v>Capital Goods</x:v>
      </x:c>
      <x:c r="E5940" s="13" t="str">
        <x:v>Capital Goods</x:v>
      </x:c>
      <x:c r="F5940" s="13" t="str">
        <x:v>Deep Cyclicals</x:v>
      </x:c>
      <x:c r="G5940" s="13" t="str">
        <x:v>grid_cqzdsc3v.xlsx</x:v>
      </x:c>
    </x:row>
    <x:row r="5941">
      <x:c r="A5941" s="15" t="n">
        <x:v>43132</x:v>
      </x:c>
      <x:c r="B5941" s="13" t="str">
        <x:v>COGNA EDUCACAO</x:v>
      </x:c>
      <x:c r="C5941" s="16" t="n">
        <x:v>2231.9384274411</x:v>
      </x:c>
      <x:c r="D5941" s="13" t="str">
        <x:v>Education</x:v>
      </x:c>
      <x:c r="E5941" s="13" t="str">
        <x:v>Education</x:v>
      </x:c>
      <x:c r="F5941" s="13" t="str">
        <x:v>Early Cyclicals</x:v>
      </x:c>
      <x:c r="G5941" s="13" t="str">
        <x:v>grid_cqzdsc3v.xlsx</x:v>
      </x:c>
    </x:row>
    <x:row r="5942">
      <x:c r="A5942" s="15" t="n">
        <x:v>43132</x:v>
      </x:c>
      <x:c r="B5942" s="13" t="str">
        <x:v>YDUQS PARTICIPACOES SA</x:v>
      </x:c>
      <x:c r="C5942" s="16" t="n">
        <x:v>721.4086480658</x:v>
      </x:c>
      <x:c r="D5942" s="13" t="str">
        <x:v>Education</x:v>
      </x:c>
      <x:c r="E5942" s="13" t="str">
        <x:v>Education</x:v>
      </x:c>
      <x:c r="F5942" s="13" t="str">
        <x:v>Early Cyclicals</x:v>
      </x:c>
      <x:c r="G5942" s="13" t="str">
        <x:v>grid_cqzdsc3v.xlsx</x:v>
      </x:c>
    </x:row>
    <x:row r="5943">
      <x:c r="A5943" s="15" t="n">
        <x:v>43132</x:v>
      </x:c>
      <x:c r="B5943" s="13" t="str">
        <x:v>B3 SA-BRASIL BOLSA BALCAO</x:v>
      </x:c>
      <x:c r="C5943" s="16" t="n">
        <x:v>2481.2583550247</x:v>
      </x:c>
      <x:c r="D5943" s="13" t="str">
        <x:v>Financials Non-Banks</x:v>
      </x:c>
      <x:c r="E5943" s="13" t="str">
        <x:v>Financials Non-Banks</x:v>
      </x:c>
      <x:c r="F5943" s="13" t="str">
        <x:v>Financials</x:v>
      </x:c>
      <x:c r="G5943" s="13" t="str">
        <x:v>grid_cqzdsc3v.xlsx</x:v>
      </x:c>
    </x:row>
    <x:row r="5944">
      <x:c r="A5944" s="15" t="n">
        <x:v>43132</x:v>
      </x:c>
      <x:c r="B5944" s="13" t="str">
        <x:v>BB SEGURIDADE PARTICIPACOES</x:v>
      </x:c>
      <x:c r="C5944" s="16" t="n">
        <x:v>4206.6163277151</x:v>
      </x:c>
      <x:c r="D5944" s="13" t="str">
        <x:v>Financials Non-Banks</x:v>
      </x:c>
      <x:c r="E5944" s="13" t="str">
        <x:v>Financials Non-Banks</x:v>
      </x:c>
      <x:c r="F5944" s="13" t="str">
        <x:v>Financials</x:v>
      </x:c>
      <x:c r="G5944" s="13" t="str">
        <x:v>grid_cqzdsc3v.xlsx</x:v>
      </x:c>
    </x:row>
    <x:row r="5945">
      <x:c r="A5945" s="15" t="n">
        <x:v>43132</x:v>
      </x:c>
      <x:c r="B5945" s="13" t="str">
        <x:v>CIELO SA - INSTITUICAO DE PA</x:v>
      </x:c>
      <x:c r="C5945" s="16" t="n">
        <x:v>4364.4840132384</x:v>
      </x:c>
      <x:c r="D5945" s="13" t="str">
        <x:v>Financials Non-Banks</x:v>
      </x:c>
      <x:c r="E5945" s="13" t="str">
        <x:v>Financials Non-Banks</x:v>
      </x:c>
      <x:c r="F5945" s="13" t="str">
        <x:v>Financials</x:v>
      </x:c>
      <x:c r="G5945" s="13" t="str">
        <x:v>grid_cqzdsc3v.xlsx</x:v>
      </x:c>
    </x:row>
    <x:row r="5946">
      <x:c r="A5946" s="15" t="n">
        <x:v>43132</x:v>
      </x:c>
      <x:c r="B5946" s="13" t="str">
        <x:v>ITAUSA SA</x:v>
      </x:c>
      <x:c r="C5946" s="16" t="n">
        <x:v>9152.1247512548</x:v>
      </x:c>
      <x:c r="D5946" s="13" t="str">
        <x:v>Financials Non-Banks</x:v>
      </x:c>
      <x:c r="E5946" s="13" t="str">
        <x:v>Financials Non-Banks</x:v>
      </x:c>
      <x:c r="F5946" s="13" t="str">
        <x:v>Financials</x:v>
      </x:c>
      <x:c r="G5946" s="13" t="str">
        <x:v>grid_cqzdsc3v.xlsx</x:v>
      </x:c>
    </x:row>
    <x:row r="5947">
      <x:c r="A5947" s="15" t="n">
        <x:v>43132</x:v>
      </x:c>
      <x:c r="B5947" s="13" t="str">
        <x:v>AMBEV SA</x:v>
      </x:c>
      <x:c r="C5947" s="16" t="n">
        <x:v>14237.3377066082</x:v>
      </x:c>
      <x:c r="D5947" s="13" t="str">
        <x:v>Food &amp; Beverages</x:v>
      </x:c>
      <x:c r="E5947" s="13" t="str">
        <x:v>Agri, Food &amp; Beverages</x:v>
      </x:c>
      <x:c r="F5947" s="13" t="str">
        <x:v>Defensives</x:v>
      </x:c>
      <x:c r="G5947" s="13" t="str">
        <x:v>grid_cqzdsc3v.xlsx</x:v>
      </x:c>
    </x:row>
    <x:row r="5948">
      <x:c r="A5948" s="15" t="n">
        <x:v>43132</x:v>
      </x:c>
      <x:c r="B5948" s="13" t="str">
        <x:v>BRF SA</x:v>
      </x:c>
      <x:c r="C5948" s="16" t="n">
        <x:v>1219.0324497534</x:v>
      </x:c>
      <x:c r="D5948" s="13" t="str">
        <x:v>Food &amp; Beverages</x:v>
      </x:c>
      <x:c r="E5948" s="13" t="str">
        <x:v>Agri, Food &amp; Beverages</x:v>
      </x:c>
      <x:c r="F5948" s="13" t="str">
        <x:v>Defensives</x:v>
      </x:c>
      <x:c r="G5948" s="13" t="str">
        <x:v>grid_cqzdsc3v.xlsx</x:v>
      </x:c>
    </x:row>
    <x:row r="5949">
      <x:c r="A5949" s="15" t="n">
        <x:v>43132</x:v>
      </x:c>
      <x:c r="B5949" s="13" t="str">
        <x:v>JBS SA</x:v>
      </x:c>
      <x:c r="C5949" s="16" t="n">
        <x:v>3600.2452129315</x:v>
      </x:c>
      <x:c r="D5949" s="13" t="str">
        <x:v>Food &amp; Beverages</x:v>
      </x:c>
      <x:c r="E5949" s="13" t="str">
        <x:v>Agri, Food &amp; Beverages</x:v>
      </x:c>
      <x:c r="F5949" s="13" t="str">
        <x:v>Defensives</x:v>
      </x:c>
      <x:c r="G5949" s="13" t="str">
        <x:v>grid_cqzdsc3v.xlsx</x:v>
      </x:c>
    </x:row>
    <x:row r="5950">
      <x:c r="A5950" s="15" t="n">
        <x:v>43132</x:v>
      </x:c>
      <x:c r="B5950" s="13" t="str">
        <x:v>MBRF GLOBAL FOODS COMPANY SA</x:v>
      </x:c>
      <x:c r="C5950" s="16" t="n">
        <x:v>181.4267123288</x:v>
      </x:c>
      <x:c r="D5950" s="13" t="str">
        <x:v>Food &amp; Beverages</x:v>
      </x:c>
      <x:c r="E5950" s="13" t="str">
        <x:v>Agri, Food &amp; Beverages</x:v>
      </x:c>
      <x:c r="F5950" s="13" t="str">
        <x:v>Defensives</x:v>
      </x:c>
      <x:c r="G5950" s="13" t="str">
        <x:v>grid_cqzdsc3v.xlsx</x:v>
      </x:c>
    </x:row>
    <x:row r="5951">
      <x:c r="A5951" s="15" t="n">
        <x:v>43132</x:v>
      </x:c>
      <x:c r="B5951" s="13" t="str">
        <x:v>FLEURY SA</x:v>
      </x:c>
      <x:c r="C5951" s="16" t="n">
        <x:v>397.151725589</x:v>
      </x:c>
      <x:c r="D5951" s="13" t="str">
        <x:v>Health Care</x:v>
      </x:c>
      <x:c r="E5951" s="13" t="str">
        <x:v>Health Care</x:v>
      </x:c>
      <x:c r="F5951" s="13" t="str">
        <x:v>Defensives</x:v>
      </x:c>
      <x:c r="G5951" s="13" t="str">
        <x:v>grid_cqzdsc3v.xlsx</x:v>
      </x:c>
    </x:row>
    <x:row r="5952">
      <x:c r="A5952" s="15" t="n">
        <x:v>43132</x:v>
      </x:c>
      <x:c r="B5952" s="13" t="str">
        <x:v>HYPERA SA</x:v>
      </x:c>
      <x:c r="C5952" s="16" t="n">
        <x:v>1091.2657316822</x:v>
      </x:c>
      <x:c r="D5952" s="13" t="str">
        <x:v>Health Care</x:v>
      </x:c>
      <x:c r="E5952" s="13" t="str">
        <x:v>Health Care</x:v>
      </x:c>
      <x:c r="F5952" s="13" t="str">
        <x:v>Defensives</x:v>
      </x:c>
      <x:c r="G5952" s="13" t="str">
        <x:v>grid_cqzdsc3v.xlsx</x:v>
      </x:c>
    </x:row>
    <x:row r="5953">
      <x:c r="A5953" s="15" t="n">
        <x:v>43132</x:v>
      </x:c>
      <x:c r="B5953" s="13" t="str">
        <x:v>QUALICORP CONS E CORR SEG SA</x:v>
      </x:c>
      <x:c r="C5953" s="16" t="n">
        <x:v>585.7830136986</x:v>
      </x:c>
      <x:c r="D5953" s="13" t="str">
        <x:v>Health Care</x:v>
      </x:c>
      <x:c r="E5953" s="13" t="str">
        <x:v>Health Care</x:v>
      </x:c>
      <x:c r="F5953" s="13" t="str">
        <x:v>Defensives</x:v>
      </x:c>
      <x:c r="G5953" s="13" t="str">
        <x:v>grid_cqzdsc3v.xlsx</x:v>
      </x:c>
    </x:row>
    <x:row r="5954">
      <x:c r="A5954" s="15" t="n">
        <x:v>43132</x:v>
      </x:c>
      <x:c r="B5954" s="13" t="str">
        <x:v>CYRELA BRAZIL REALTY SA EMP</x:v>
      </x:c>
      <x:c r="C5954" s="16" t="n">
        <x:v>263.0356164384</x:v>
      </x:c>
      <x:c r="D5954" s="13" t="str">
        <x:v>Homebuilders</x:v>
      </x:c>
      <x:c r="E5954" s="13" t="str">
        <x:v>Real Estate</x:v>
      </x:c>
      <x:c r="F5954" s="13" t="str">
        <x:v>Early Cyclicals</x:v>
      </x:c>
      <x:c r="G5954" s="13" t="str">
        <x:v>grid_cqzdsc3v.xlsx</x:v>
      </x:c>
    </x:row>
    <x:row r="5955">
      <x:c r="A5955" s="15" t="n">
        <x:v>43132</x:v>
      </x:c>
      <x:c r="B5955" s="13" t="str">
        <x:v>MRV ENGENHARIA</x:v>
      </x:c>
      <x:c r="C5955" s="16" t="n">
        <x:v>733.9892136329</x:v>
      </x:c>
      <x:c r="D5955" s="13" t="str">
        <x:v>Homebuilders</x:v>
      </x:c>
      <x:c r="E5955" s="13" t="str">
        <x:v>Real Estate</x:v>
      </x:c>
      <x:c r="F5955" s="13" t="str">
        <x:v>Early Cyclicals</x:v>
      </x:c>
      <x:c r="G5955" s="13" t="str">
        <x:v>grid_cqzdsc3v.xlsx</x:v>
      </x:c>
    </x:row>
    <x:row r="5956">
      <x:c r="A5956" s="15" t="n">
        <x:v>43132</x:v>
      </x:c>
      <x:c r="B5956" s="13" t="str">
        <x:v>BR MALLS PARTICIPACOES SA</x:v>
      </x:c>
      <x:c r="C5956" s="16" t="n">
        <x:v>542.227769863</x:v>
      </x:c>
      <x:c r="D5956" s="13" t="str">
        <x:v>Income Properties</x:v>
      </x:c>
      <x:c r="E5956" s="13" t="str">
        <x:v>Real Estate</x:v>
      </x:c>
      <x:c r="F5956" s="13" t="str">
        <x:v>Early Cyclicals</x:v>
      </x:c>
      <x:c r="G5956" s="13" t="str">
        <x:v>grid_cqzdsc3v.xlsx</x:v>
      </x:c>
    </x:row>
    <x:row r="5957">
      <x:c r="A5957" s="15" t="n">
        <x:v>43132</x:v>
      </x:c>
      <x:c r="B5957" s="13" t="str">
        <x:v>IGUATEMI EMP DE SHOPPING</x:v>
      </x:c>
      <x:c r="C5957" s="16" t="n">
        <x:v>277.8249696438</x:v>
      </x:c>
      <x:c r="D5957" s="13" t="str">
        <x:v>Income Properties</x:v>
      </x:c>
      <x:c r="E5957" s="13" t="str">
        <x:v>Real Estate</x:v>
      </x:c>
      <x:c r="F5957" s="13" t="str">
        <x:v>Early Cyclicals</x:v>
      </x:c>
      <x:c r="G5957" s="13" t="str">
        <x:v>grid_cqzdsc3v.xlsx</x:v>
      </x:c>
    </x:row>
    <x:row r="5958">
      <x:c r="A5958" s="15" t="n">
        <x:v>43132</x:v>
      </x:c>
      <x:c r="B5958" s="13" t="str">
        <x:v>MULTIPLAN EMPREENDIMENTOS</x:v>
      </x:c>
      <x:c r="C5958" s="16" t="n">
        <x:v>528.9088357699</x:v>
      </x:c>
      <x:c r="D5958" s="13" t="str">
        <x:v>Income Properties</x:v>
      </x:c>
      <x:c r="E5958" s="13" t="str">
        <x:v>Real Estate</x:v>
      </x:c>
      <x:c r="F5958" s="13" t="str">
        <x:v>Early Cyclicals</x:v>
      </x:c>
      <x:c r="G5958" s="13" t="str">
        <x:v>grid_cqzdsc3v.xlsx</x:v>
      </x:c>
    </x:row>
    <x:row r="5959">
      <x:c r="A5959" s="15" t="n">
        <x:v>43132</x:v>
      </x:c>
      <x:c r="B5959" s="13" t="str">
        <x:v>BRADESPAR SA -PREF</x:v>
      </x:c>
      <x:c r="C5959" s="16" t="n">
        <x:v>936.3150684932</x:v>
      </x:c>
      <x:c r="D5959" s="13" t="str">
        <x:v>Metals &amp; Mining</x:v>
      </x:c>
      <x:c r="E5959" s="13" t="str">
        <x:v>Metals &amp; Mining</x:v>
      </x:c>
      <x:c r="F5959" s="13" t="str">
        <x:v>Deep Cyclicals</x:v>
      </x:c>
      <x:c r="G5959" s="13" t="str">
        <x:v>grid_cqzdsc3v.xlsx</x:v>
      </x:c>
    </x:row>
    <x:row r="5960">
      <x:c r="A5960" s="15" t="n">
        <x:v>43132</x:v>
      </x:c>
      <x:c r="B5960" s="13" t="str">
        <x:v>CIA SIDERURGICA NACIONAL SA</x:v>
      </x:c>
      <x:c r="C5960" s="16" t="n">
        <x:v>847.8062998795</x:v>
      </x:c>
      <x:c r="D5960" s="13" t="str">
        <x:v>Metals &amp; Mining</x:v>
      </x:c>
      <x:c r="E5960" s="13" t="str">
        <x:v>Metals &amp; Mining</x:v>
      </x:c>
      <x:c r="F5960" s="13" t="str">
        <x:v>Deep Cyclicals</x:v>
      </x:c>
      <x:c r="G5960" s="13" t="str">
        <x:v>grid_cqzdsc3v.xlsx</x:v>
      </x:c>
    </x:row>
    <x:row r="5961">
      <x:c r="A5961" s="15" t="n">
        <x:v>43132</x:v>
      </x:c>
      <x:c r="B5961" s="13" t="str">
        <x:v>GERDAU SA-PREF</x:v>
      </x:c>
      <x:c r="C5961" s="16" t="n">
        <x:v>1293.4219674301</x:v>
      </x:c>
      <x:c r="D5961" s="13" t="str">
        <x:v>Metals &amp; Mining</x:v>
      </x:c>
      <x:c r="E5961" s="13" t="str">
        <x:v>Metals &amp; Mining</x:v>
      </x:c>
      <x:c r="F5961" s="13" t="str">
        <x:v>Deep Cyclicals</x:v>
      </x:c>
      <x:c r="G5961" s="13" t="str">
        <x:v>grid_cqzdsc3v.xlsx</x:v>
      </x:c>
    </x:row>
    <x:row r="5962">
      <x:c r="A5962" s="15" t="n">
        <x:v>43132</x:v>
      </x:c>
      <x:c r="B5962" s="13" t="str">
        <x:v>METALURGICA GERDAU SA-PREF</x:v>
      </x:c>
      <x:c r="C5962" s="16" t="n">
        <x:v>1751.704109589</x:v>
      </x:c>
      <x:c r="D5962" s="13" t="str">
        <x:v>Metals &amp; Mining</x:v>
      </x:c>
      <x:c r="E5962" s="13" t="str">
        <x:v>Metals &amp; Mining</x:v>
      </x:c>
      <x:c r="F5962" s="13" t="str">
        <x:v>Deep Cyclicals</x:v>
      </x:c>
      <x:c r="G5962" s="13" t="str">
        <x:v>grid_cqzdsc3v.xlsx</x:v>
      </x:c>
    </x:row>
    <x:row r="5963">
      <x:c r="A5963" s="15" t="n">
        <x:v>43132</x:v>
      </x:c>
      <x:c r="B5963" s="13" t="str">
        <x:v>USINAS SIDER MINAS GER-PF A</x:v>
      </x:c>
      <x:c r="C5963" s="16" t="n">
        <x:v>727.8649230027</x:v>
      </x:c>
      <x:c r="D5963" s="13" t="str">
        <x:v>Metals &amp; Mining</x:v>
      </x:c>
      <x:c r="E5963" s="13" t="str">
        <x:v>Metals &amp; Mining</x:v>
      </x:c>
      <x:c r="F5963" s="13" t="str">
        <x:v>Deep Cyclicals</x:v>
      </x:c>
      <x:c r="G5963" s="13" t="str">
        <x:v>grid_cqzdsc3v.xlsx</x:v>
      </x:c>
    </x:row>
    <x:row r="5964">
      <x:c r="A5964" s="15" t="n">
        <x:v>43132</x:v>
      </x:c>
      <x:c r="B5964" s="13" t="str">
        <x:v>VALE SA</x:v>
      </x:c>
      <x:c r="C5964" s="16" t="n">
        <x:v>23417.5243081644</x:v>
      </x:c>
      <x:c r="D5964" s="13" t="str">
        <x:v>Metals &amp; Mining</x:v>
      </x:c>
      <x:c r="E5964" s="13" t="str">
        <x:v>Metals &amp; Mining</x:v>
      </x:c>
      <x:c r="F5964" s="13" t="str">
        <x:v>Deep Cyclicals</x:v>
      </x:c>
      <x:c r="G5964" s="13" t="str">
        <x:v>grid_cqzdsc3v.xlsx</x:v>
      </x:c>
    </x:row>
    <x:row r="5965">
      <x:c r="A5965" s="15" t="n">
        <x:v>43132</x:v>
      </x:c>
      <x:c r="B5965" s="13" t="str">
        <x:v>BRASKEM SA-PREF A</x:v>
      </x:c>
      <x:c r="C5965" s="16" t="n">
        <x:v>2821.2596174904</x:v>
      </x:c>
      <x:c r="D5965" s="13" t="str">
        <x:v>Oil, Gas &amp; Petrochemicals</x:v>
      </x:c>
      <x:c r="E5965" s="13" t="str">
        <x:v>Oil, Gas &amp; Petrochemicals</x:v>
      </x:c>
      <x:c r="F5965" s="13" t="str">
        <x:v>Deep Cyclicals</x:v>
      </x:c>
      <x:c r="G5965" s="13" t="str">
        <x:v>grid_cqzdsc3v.xlsx</x:v>
      </x:c>
    </x:row>
    <x:row r="5966">
      <x:c r="A5966" s="15" t="n">
        <x:v>43132</x:v>
      </x:c>
      <x:c r="B5966" s="13" t="str">
        <x:v>COSAN SA</x:v>
      </x:c>
      <x:c r="C5966" s="16" t="n">
        <x:v>1230.7931104438</x:v>
      </x:c>
      <x:c r="D5966" s="13" t="str">
        <x:v>Oil, Gas &amp; Petrochemicals</x:v>
      </x:c>
      <x:c r="E5966" s="13" t="str">
        <x:v>Oil, Gas &amp; Petrochemicals</x:v>
      </x:c>
      <x:c r="F5966" s="13" t="str">
        <x:v>Deep Cyclicals</x:v>
      </x:c>
      <x:c r="G5966" s="13" t="str">
        <x:v>grid_cqzdsc3v.xlsx</x:v>
      </x:c>
    </x:row>
    <x:row r="5967">
      <x:c r="A5967" s="15" t="n">
        <x:v>43132</x:v>
      </x:c>
      <x:c r="B5967" s="13" t="str">
        <x:v>PETROBRAS - PETROLEO BRAS</x:v>
      </x:c>
      <x:c r="C5967" s="16" t="n">
        <x:v>24672.9254098411</x:v>
      </x:c>
      <x:c r="D5967" s="13" t="str">
        <x:v>Oil, Gas &amp; Petrochemicals</x:v>
      </x:c>
      <x:c r="E5967" s="13" t="str">
        <x:v>Oil, Gas &amp; Petrochemicals</x:v>
      </x:c>
      <x:c r="F5967" s="13" t="str">
        <x:v>Deep Cyclicals</x:v>
      </x:c>
      <x:c r="G5967" s="13" t="str">
        <x:v>grid_cqzdsc3v.xlsx</x:v>
      </x:c>
    </x:row>
    <x:row r="5968">
      <x:c r="A5968" s="15" t="n">
        <x:v>43132</x:v>
      </x:c>
      <x:c r="B5968" s="13" t="str">
        <x:v>ULTRAPAR PARTICIPACOES SA</x:v>
      </x:c>
      <x:c r="C5968" s="16" t="n">
        <x:v>1896.9402553863</x:v>
      </x:c>
      <x:c r="D5968" s="13" t="str">
        <x:v>Oil, Gas &amp; Petrochemicals</x:v>
      </x:c>
      <x:c r="E5968" s="13" t="str">
        <x:v>Oil, Gas &amp; Petrochemicals</x:v>
      </x:c>
      <x:c r="F5968" s="13" t="str">
        <x:v>Deep Cyclicals</x:v>
      </x:c>
      <x:c r="G5968" s="13" t="str">
        <x:v>grid_cqzdsc3v.xlsx</x:v>
      </x:c>
    </x:row>
    <x:row r="5969">
      <x:c r="A5969" s="15" t="n">
        <x:v>43132</x:v>
      </x:c>
      <x:c r="B5969" s="13" t="str">
        <x:v>FIBRIA CELULOSE S/A</x:v>
      </x:c>
      <x:c r="C5969" s="16" t="n">
        <x:v>2989.2460242411</x:v>
      </x:c>
      <x:c r="D5969" s="13" t="str">
        <x:v>Pulp &amp; Paper</x:v>
      </x:c>
      <x:c r="E5969" s="13" t="str">
        <x:v>Pulp &amp; Paper</x:v>
      </x:c>
      <x:c r="F5969" s="13" t="str">
        <x:v>Deep Cyclicals</x:v>
      </x:c>
      <x:c r="G5969" s="13" t="str">
        <x:v>grid_cqzdsc3v.xlsx</x:v>
      </x:c>
    </x:row>
    <x:row r="5970">
      <x:c r="A5970" s="15" t="n">
        <x:v>43132</x:v>
      </x:c>
      <x:c r="B5970" s="13" t="str">
        <x:v>KLABIN SA - UNIT</x:v>
      </x:c>
      <x:c r="C5970" s="16" t="n">
        <x:v>1140.9575125918</x:v>
      </x:c>
      <x:c r="D5970" s="13" t="str">
        <x:v>Pulp &amp; Paper</x:v>
      </x:c>
      <x:c r="E5970" s="13" t="str">
        <x:v>Pulp &amp; Paper</x:v>
      </x:c>
      <x:c r="F5970" s="13" t="str">
        <x:v>Deep Cyclicals</x:v>
      </x:c>
      <x:c r="G5970" s="13" t="str">
        <x:v>grid_cqzdsc3v.xlsx</x:v>
      </x:c>
    </x:row>
    <x:row r="5971">
      <x:c r="A5971" s="15" t="n">
        <x:v>43132</x:v>
      </x:c>
      <x:c r="B5971" s="13" t="str">
        <x:v>SUZANO SA</x:v>
      </x:c>
      <x:c r="C5971" s="16" t="n">
        <x:v>2147.9287878137</x:v>
      </x:c>
      <x:c r="D5971" s="13" t="str">
        <x:v>Pulp &amp; Paper</x:v>
      </x:c>
      <x:c r="E5971" s="13" t="str">
        <x:v>Pulp &amp; Paper</x:v>
      </x:c>
      <x:c r="F5971" s="13" t="str">
        <x:v>Deep Cyclicals</x:v>
      </x:c>
      <x:c r="G5971" s="13" t="str">
        <x:v>grid_cqzdsc3v.xlsx</x:v>
      </x:c>
    </x:row>
    <x:row r="5972">
      <x:c r="A5972" s="15" t="n">
        <x:v>43132</x:v>
      </x:c>
      <x:c r="B5972" s="13" t="str">
        <x:v>CIA BRASILEIRA DE DIS-PREF</x:v>
      </x:c>
      <x:c r="C5972" s="16" t="n">
        <x:v>917.4746396055</x:v>
      </x:c>
      <x:c r="D5972" s="13" t="str">
        <x:v>Retail</x:v>
      </x:c>
      <x:c r="E5972" s="13" t="str">
        <x:v>Retail</x:v>
      </x:c>
      <x:c r="F5972" s="13" t="str">
        <x:v>Early Cyclicals</x:v>
      </x:c>
      <x:c r="G5972" s="13" t="str">
        <x:v>grid_cqzdsc3v.xlsx</x:v>
      </x:c>
    </x:row>
    <x:row r="5973">
      <x:c r="A5973" s="15" t="n">
        <x:v>43132</x:v>
      </x:c>
      <x:c r="B5973" s="13" t="str">
        <x:v>LOJAS AMERICANAS SA-PREF</x:v>
      </x:c>
      <x:c r="C5973" s="16" t="n">
        <x:v>812.4194009425</x:v>
      </x:c>
      <x:c r="D5973" s="13" t="str">
        <x:v>Retail</x:v>
      </x:c>
      <x:c r="E5973" s="13" t="str">
        <x:v>Retail</x:v>
      </x:c>
      <x:c r="F5973" s="13" t="str">
        <x:v>Early Cyclicals</x:v>
      </x:c>
      <x:c r="G5973" s="13" t="str">
        <x:v>grid_cqzdsc3v.xlsx</x:v>
      </x:c>
    </x:row>
    <x:row r="5974">
      <x:c r="A5974" s="15" t="n">
        <x:v>43132</x:v>
      </x:c>
      <x:c r="B5974" s="13" t="str">
        <x:v>LOJAS RENNER S.A.</x:v>
      </x:c>
      <x:c r="C5974" s="16" t="n">
        <x:v>973.790093326</x:v>
      </x:c>
      <x:c r="D5974" s="13" t="str">
        <x:v>Retail</x:v>
      </x:c>
      <x:c r="E5974" s="13" t="str">
        <x:v>Retail</x:v>
      </x:c>
      <x:c r="F5974" s="13" t="str">
        <x:v>Early Cyclicals</x:v>
      </x:c>
      <x:c r="G5974" s="13" t="str">
        <x:v>grid_cqzdsc3v.xlsx</x:v>
      </x:c>
    </x:row>
    <x:row r="5975">
      <x:c r="A5975" s="15" t="n">
        <x:v>43132</x:v>
      </x:c>
      <x:c r="B5975" s="13" t="str">
        <x:v>MAGAZINE LUIZA SA</x:v>
      </x:c>
      <x:c r="C5975" s="16" t="n">
        <x:v>553.9418094466</x:v>
      </x:c>
      <x:c r="D5975" s="13" t="str">
        <x:v>Retail</x:v>
      </x:c>
      <x:c r="E5975" s="13" t="str">
        <x:v>Retail</x:v>
      </x:c>
      <x:c r="F5975" s="13" t="str">
        <x:v>Early Cyclicals</x:v>
      </x:c>
      <x:c r="G5975" s="13" t="str">
        <x:v>grid_cqzdsc3v.xlsx</x:v>
      </x:c>
    </x:row>
    <x:row r="5976">
      <x:c r="A5976" s="15" t="n">
        <x:v>43132</x:v>
      </x:c>
      <x:c r="B5976" s="13" t="str">
        <x:v>RAIA DROGASIL SA</x:v>
      </x:c>
      <x:c r="C5976" s="16" t="n">
        <x:v>719.2644709699</x:v>
      </x:c>
      <x:c r="D5976" s="13" t="str">
        <x:v>Retail</x:v>
      </x:c>
      <x:c r="E5976" s="13" t="str">
        <x:v>Retail</x:v>
      </x:c>
      <x:c r="F5976" s="13" t="str">
        <x:v>Early Cyclicals</x:v>
      </x:c>
      <x:c r="G5976" s="13" t="str">
        <x:v>grid_cqzdsc3v.xlsx</x:v>
      </x:c>
    </x:row>
    <x:row r="5977">
      <x:c r="A5977" s="15" t="n">
        <x:v>43132</x:v>
      </x:c>
      <x:c r="B5977" s="13" t="str">
        <x:v>VIA VAREJO SA</x:v>
      </x:c>
      <x:c r="C5977" s="16" t="n">
        <x:v>576.0455317041</x:v>
      </x:c>
      <x:c r="D5977" s="13" t="str">
        <x:v>Retail</x:v>
      </x:c>
      <x:c r="E5977" s="13" t="str">
        <x:v>Retail</x:v>
      </x:c>
      <x:c r="F5977" s="13" t="str">
        <x:v>Early Cyclicals</x:v>
      </x:c>
      <x:c r="G5977" s="13" t="str">
        <x:v>grid_cqzdsc3v.xlsx</x:v>
      </x:c>
    </x:row>
    <x:row r="5978">
      <x:c r="A5978" s="15" t="n">
        <x:v>43132</x:v>
      </x:c>
      <x:c r="B5978" s="13" t="str">
        <x:v>CIA DE SANEAMENTO DO PA-UNIT</x:v>
      </x:c>
      <x:c r="C5978" s="16" t="n">
        <x:v>904.6075234192</x:v>
      </x:c>
      <x:c r="D5978" s="13" t="str">
        <x:v>Sanitation</x:v>
      </x:c>
      <x:c r="E5978" s="13" t="str">
        <x:v>Utilities</x:v>
      </x:c>
      <x:c r="F5978" s="13" t="str">
        <x:v>Defensives</x:v>
      </x:c>
      <x:c r="G5978" s="13" t="str">
        <x:v>grid_cqzdsc3v.xlsx</x:v>
      </x:c>
    </x:row>
    <x:row r="5979">
      <x:c r="A5979" s="15" t="n">
        <x:v>43132</x:v>
      </x:c>
      <x:c r="B5979" s="13" t="str">
        <x:v>CIA SANEAMENTO BASICO DE SP</x:v>
      </x:c>
      <x:c r="C5979" s="16" t="n">
        <x:v>2873.9460222247</x:v>
      </x:c>
      <x:c r="D5979" s="13" t="str">
        <x:v>Sanitation</x:v>
      </x:c>
      <x:c r="E5979" s="13" t="str">
        <x:v>Utilities</x:v>
      </x:c>
      <x:c r="F5979" s="13" t="str">
        <x:v>Defensives</x:v>
      </x:c>
      <x:c r="G5979" s="13" t="str">
        <x:v>grid_cqzdsc3v.xlsx</x:v>
      </x:c>
    </x:row>
    <x:row r="5980">
      <x:c r="A5980" s="15" t="n">
        <x:v>43132</x:v>
      </x:c>
      <x:c r="B5980" s="13" t="str">
        <x:v>SMILES FIDELIDADE SA</x:v>
      </x:c>
      <x:c r="C5980" s="16" t="n">
        <x:v>640.6381543452</x:v>
      </x:c>
      <x:c r="D5980" s="13" t="str">
        <x:v>TMT</x:v>
      </x:c>
      <x:c r="E5980" s="13" t="str">
        <x:v>TMT</x:v>
      </x:c>
      <x:c r="F5980" s="13" t="str">
        <x:v>Early Cyclicals</x:v>
      </x:c>
      <x:c r="G5980" s="13" t="str">
        <x:v>grid_cqzdsc3v.xlsx</x:v>
      </x:c>
    </x:row>
    <x:row r="5981">
      <x:c r="A5981" s="15" t="n">
        <x:v>43132</x:v>
      </x:c>
      <x:c r="B5981" s="13" t="str">
        <x:v>TELEFONICA BRASIL S.A.-PREF</x:v>
      </x:c>
      <x:c r="C5981" s="16" t="n">
        <x:v>5922.0726377206</x:v>
      </x:c>
      <x:c r="D5981" s="13" t="str">
        <x:v>TMT</x:v>
      </x:c>
      <x:c r="E5981" s="13" t="str">
        <x:v>TMT</x:v>
      </x:c>
      <x:c r="F5981" s="13" t="str">
        <x:v>Early Cyclicals</x:v>
      </x:c>
      <x:c r="G5981" s="13" t="str">
        <x:v>grid_cqzdsc3v.xlsx</x:v>
      </x:c>
    </x:row>
    <x:row r="5982">
      <x:c r="A5982" s="15" t="n">
        <x:v>43132</x:v>
      </x:c>
      <x:c r="B5982" s="13" t="str">
        <x:v>TIM SA</x:v>
      </x:c>
      <x:c r="C5982" s="16" t="n">
        <x:v>1505.304109589</x:v>
      </x:c>
      <x:c r="D5982" s="13" t="str">
        <x:v>TMT</x:v>
      </x:c>
      <x:c r="E5982" s="13" t="str">
        <x:v>TMT</x:v>
      </x:c>
      <x:c r="F5982" s="13" t="str">
        <x:v>Early Cyclicals</x:v>
      </x:c>
      <x:c r="G5982" s="13" t="str">
        <x:v>grid_cqzdsc3v.xlsx</x:v>
      </x:c>
    </x:row>
    <x:row r="5983">
      <x:c r="A5983" s="15" t="n">
        <x:v>43132</x:v>
      </x:c>
      <x:c r="B5983" s="13" t="str">
        <x:v>ECORODOVIAS INFRA E LOG SA</x:v>
      </x:c>
      <x:c r="C5983" s="16" t="n">
        <x:v>538.0613865205</x:v>
      </x:c>
      <x:c r="D5983" s="13" t="str">
        <x:v>Transportation</x:v>
      </x:c>
      <x:c r="E5983" s="13" t="str">
        <x:v>Transportation</x:v>
      </x:c>
      <x:c r="F5983" s="13" t="str">
        <x:v>Deep Cyclicals</x:v>
      </x:c>
      <x:c r="G5983" s="13" t="str">
        <x:v>grid_cqzdsc3v.xlsx</x:v>
      </x:c>
    </x:row>
    <x:row r="5984">
      <x:c r="A5984" s="15" t="n">
        <x:v>43132</x:v>
      </x:c>
      <x:c r="B5984" s="13" t="str">
        <x:v>LOCALIZA RENT A CAR</x:v>
      </x:c>
      <x:c r="C5984" s="16" t="n">
        <x:v>664.0042560877</x:v>
      </x:c>
      <x:c r="D5984" s="13" t="str">
        <x:v>Transportation</x:v>
      </x:c>
      <x:c r="E5984" s="13" t="str">
        <x:v>Transportation</x:v>
      </x:c>
      <x:c r="F5984" s="13" t="str">
        <x:v>Deep Cyclicals</x:v>
      </x:c>
      <x:c r="G5984" s="13" t="str">
        <x:v>grid_cqzdsc3v.xlsx</x:v>
      </x:c>
    </x:row>
    <x:row r="5985">
      <x:c r="A5985" s="15" t="n">
        <x:v>43132</x:v>
      </x:c>
      <x:c r="B5985" s="13" t="str">
        <x:v>MOTIVA INFRAESTRUTURA DE MOB</x:v>
      </x:c>
      <x:c r="C5985" s="16" t="n">
        <x:v>2007.5378702027</x:v>
      </x:c>
      <x:c r="D5985" s="13" t="str">
        <x:v>Transportation</x:v>
      </x:c>
      <x:c r="E5985" s="13" t="str">
        <x:v>Transportation</x:v>
      </x:c>
      <x:c r="F5985" s="13" t="str">
        <x:v>Deep Cyclicals</x:v>
      </x:c>
      <x:c r="G5985" s="13" t="str">
        <x:v>grid_cqzdsc3v.xlsx</x:v>
      </x:c>
    </x:row>
    <x:row r="5986">
      <x:c r="A5986" s="15" t="n">
        <x:v>43132</x:v>
      </x:c>
      <x:c r="B5986" s="13" t="str">
        <x:v>RUMO SA</x:v>
      </x:c>
      <x:c r="C5986" s="16" t="n">
        <x:v>476.9191729096</x:v>
      </x:c>
      <x:c r="D5986" s="13" t="str">
        <x:v>Transportation</x:v>
      </x:c>
      <x:c r="E5986" s="13" t="str">
        <x:v>Transportation</x:v>
      </x:c>
      <x:c r="F5986" s="13" t="str">
        <x:v>Deep Cyclicals</x:v>
      </x:c>
      <x:c r="G5986" s="13" t="str">
        <x:v>grid_cqzdsc3v.xlsx</x:v>
      </x:c>
    </x:row>
    <x:row r="5987">
      <x:c r="A5987" s="15" t="n">
        <x:v>43132</x:v>
      </x:c>
      <x:c r="B5987" s="13" t="str">
        <x:v>AXIA ENERGIA SA</x:v>
      </x:c>
      <x:c r="C5987" s="16" t="n">
        <x:v>4619.6742017753</x:v>
      </x:c>
      <x:c r="D5987" s="13" t="str">
        <x:v>Utilities &amp; Energy</x:v>
      </x:c>
      <x:c r="E5987" s="13" t="str">
        <x:v>Utilities</x:v>
      </x:c>
      <x:c r="F5987" s="13" t="str">
        <x:v>Defensives</x:v>
      </x:c>
      <x:c r="G5987" s="13" t="str">
        <x:v>grid_cqzdsc3v.xlsx</x:v>
      </x:c>
    </x:row>
    <x:row r="5988">
      <x:c r="A5988" s="15" t="n">
        <x:v>43132</x:v>
      </x:c>
      <x:c r="B5988" s="13" t="str">
        <x:v>AXIA ENERGIA-PR B</x:v>
      </x:c>
      <x:c r="C5988" s="16" t="n">
        <x:v>4619.6742017753</x:v>
      </x:c>
      <x:c r="D5988" s="13" t="str">
        <x:v>Utilities &amp; Energy</x:v>
      </x:c>
      <x:c r="E5988" s="13" t="str">
        <x:v>Utilities</x:v>
      </x:c>
      <x:c r="F5988" s="13" t="str">
        <x:v>Defensives</x:v>
      </x:c>
      <x:c r="G5988" s="13" t="str">
        <x:v>grid_cqzdsc3v.xlsx</x:v>
      </x:c>
    </x:row>
    <x:row r="5989">
      <x:c r="A5989" s="15" t="n">
        <x:v>43132</x:v>
      </x:c>
      <x:c r="B5989" s="13" t="str">
        <x:v>CIA ENERGETICA MINAS GER-PRF</x:v>
      </x:c>
      <x:c r="C5989" s="16" t="n">
        <x:v>1697.4440476055</x:v>
      </x:c>
      <x:c r="D5989" s="13" t="str">
        <x:v>Utilities &amp; Energy</x:v>
      </x:c>
      <x:c r="E5989" s="13" t="str">
        <x:v>Utilities</x:v>
      </x:c>
      <x:c r="F5989" s="13" t="str">
        <x:v>Defensives</x:v>
      </x:c>
      <x:c r="G5989" s="13" t="str">
        <x:v>grid_cqzdsc3v.xlsx</x:v>
      </x:c>
    </x:row>
    <x:row r="5990">
      <x:c r="A5990" s="15" t="n">
        <x:v>43132</x:v>
      </x:c>
      <x:c r="B5990" s="13" t="str">
        <x:v>COMPANHIA PARANAENSE -PREF B</x:v>
      </x:c>
      <x:c r="C5990" s="16" t="n">
        <x:v>1344.9722802849</x:v>
      </x:c>
      <x:c r="D5990" s="13" t="str">
        <x:v>Utilities &amp; Energy</x:v>
      </x:c>
      <x:c r="E5990" s="13" t="str">
        <x:v>Utilities</x:v>
      </x:c>
      <x:c r="F5990" s="13" t="str">
        <x:v>Defensives</x:v>
      </x:c>
      <x:c r="G5990" s="13" t="str">
        <x:v>grid_cqzdsc3v.xlsx</x:v>
      </x:c>
    </x:row>
    <x:row r="5991">
      <x:c r="A5991" s="15" t="n">
        <x:v>43132</x:v>
      </x:c>
      <x:c r="B5991" s="13" t="str">
        <x:v>EDP - ENERGIAS DO BRASIL SA</x:v>
      </x:c>
      <x:c r="C5991" s="16" t="n">
        <x:v>787.7634151452</x:v>
      </x:c>
      <x:c r="D5991" s="13" t="str">
        <x:v>Utilities &amp; Energy</x:v>
      </x:c>
      <x:c r="E5991" s="13" t="str">
        <x:v>Utilities</x:v>
      </x:c>
      <x:c r="F5991" s="13" t="str">
        <x:v>Defensives</x:v>
      </x:c>
      <x:c r="G5991" s="13" t="str">
        <x:v>grid_cqzdsc3v.xlsx</x:v>
      </x:c>
    </x:row>
    <x:row r="5992">
      <x:c r="A5992" s="15" t="n">
        <x:v>43132</x:v>
      </x:c>
      <x:c r="B5992" s="13" t="str">
        <x:v>ENGIE BRASIL ENERGIA SA</x:v>
      </x:c>
      <x:c r="C5992" s="16" t="n">
        <x:v>1877.7104222685</x:v>
      </x:c>
      <x:c r="D5992" s="13" t="str">
        <x:v>Utilities &amp; Energy</x:v>
      </x:c>
      <x:c r="E5992" s="13" t="str">
        <x:v>Utilities</x:v>
      </x:c>
      <x:c r="F5992" s="13" t="str">
        <x:v>Defensives</x:v>
      </x:c>
      <x:c r="G5992" s="13" t="str">
        <x:v>grid_cqzdsc3v.xlsx</x:v>
      </x:c>
    </x:row>
    <x:row r="5993">
      <x:c r="A5993" s="15" t="n">
        <x:v>43132</x:v>
      </x:c>
      <x:c r="B5993" s="13" t="str">
        <x:v>EQUATORIAL SA - ORD</x:v>
      </x:c>
      <x:c r="C5993" s="16" t="n">
        <x:v>839.0476419507</x:v>
      </x:c>
      <x:c r="D5993" s="13" t="str">
        <x:v>Utilities &amp; Energy</x:v>
      </x:c>
      <x:c r="E5993" s="13" t="str">
        <x:v>Utilities</x:v>
      </x:c>
      <x:c r="F5993" s="13" t="str">
        <x:v>Defensives</x:v>
      </x:c>
      <x:c r="G5993" s="13" t="str">
        <x:v>grid_cqzdsc3v.xlsx</x:v>
      </x:c>
    </x:row>
    <x:row r="5994">
      <x:c r="A5994" s="15" t="n">
        <x:v>43132</x:v>
      </x:c>
      <x:c r="B5994" s="13" t="str">
        <x:v>TRANSMISSORA ALIANCA DE-UNIT</x:v>
      </x:c>
      <x:c r="C5994" s="16" t="n">
        <x:v>811.2569768329</x:v>
      </x:c>
      <x:c r="D5994" s="13" t="str">
        <x:v>Utilities &amp; Energy</x:v>
      </x:c>
      <x:c r="E5994" s="13" t="str">
        <x:v>Utilities</x:v>
      </x:c>
      <x:c r="F5994" s="13" t="str">
        <x:v>Defensives</x:v>
      </x:c>
      <x:c r="G5994" s="13" t="str">
        <x:v>grid_cqzdsc3v.xlsx</x:v>
      </x:c>
    </x:row>
    <x:row r="5995">
      <x:c r="A5995" s="15" t="n">
        <x:v>43160</x:v>
      </x:c>
      <x:c r="B5995" s="13" t="str">
        <x:v>BANCO BRADESCO S.A.</x:v>
      </x:c>
      <x:c r="C5995" s="16" t="n">
        <x:v>21398.6018851069</x:v>
      </x:c>
      <x:c r="D5995" s="13" t="str">
        <x:v>Banks</x:v>
      </x:c>
      <x:c r="E5995" s="13" t="str">
        <x:v>Banks</x:v>
      </x:c>
      <x:c r="F5995" s="13" t="str">
        <x:v>Financials</x:v>
      </x:c>
      <x:c r="G5995" s="13" t="str">
        <x:v>grid_cqzdsc3v.xlsx</x:v>
      </x:c>
    </x:row>
    <x:row r="5996">
      <x:c r="A5996" s="15" t="n">
        <x:v>43160</x:v>
      </x:c>
      <x:c r="B5996" s="13" t="str">
        <x:v>BANCO BRADESCO SA-PREF</x:v>
      </x:c>
      <x:c r="C5996" s="16" t="n">
        <x:v>21398.6018851069</x:v>
      </x:c>
      <x:c r="D5996" s="13" t="str">
        <x:v>Banks</x:v>
      </x:c>
      <x:c r="E5996" s="13" t="str">
        <x:v>Banks</x:v>
      </x:c>
      <x:c r="F5996" s="13" t="str">
        <x:v>Financials</x:v>
      </x:c>
      <x:c r="G5996" s="13" t="str">
        <x:v>grid_cqzdsc3v.xlsx</x:v>
      </x:c>
    </x:row>
    <x:row r="5997">
      <x:c r="A5997" s="15" t="n">
        <x:v>43160</x:v>
      </x:c>
      <x:c r="B5997" s="13" t="str">
        <x:v>BANCO DO BRASIL S.A.</x:v>
      </x:c>
      <x:c r="C5997" s="16" t="n">
        <x:v>13353.6848433096</x:v>
      </x:c>
      <x:c r="D5997" s="13" t="str">
        <x:v>Banks</x:v>
      </x:c>
      <x:c r="E5997" s="13" t="str">
        <x:v>Banks</x:v>
      </x:c>
      <x:c r="F5997" s="13" t="str">
        <x:v>Financials</x:v>
      </x:c>
      <x:c r="G5997" s="13" t="str">
        <x:v>grid_cqzdsc3v.xlsx</x:v>
      </x:c>
    </x:row>
    <x:row r="5998">
      <x:c r="A5998" s="15" t="n">
        <x:v>43160</x:v>
      </x:c>
      <x:c r="B5998" s="13" t="str">
        <x:v>BANCO SANTANDER  BRASIL-UNIT</x:v>
      </x:c>
      <x:c r="C5998" s="16" t="n">
        <x:v>11171.7116184548</x:v>
      </x:c>
      <x:c r="D5998" s="13" t="str">
        <x:v>Banks</x:v>
      </x:c>
      <x:c r="E5998" s="13" t="str">
        <x:v>Banks</x:v>
      </x:c>
      <x:c r="F5998" s="13" t="str">
        <x:v>Financials</x:v>
      </x:c>
      <x:c r="G5998" s="13" t="str">
        <x:v>grid_cqzdsc3v.xlsx</x:v>
      </x:c>
    </x:row>
    <x:row r="5999">
      <x:c r="A5999" s="15" t="n">
        <x:v>43160</x:v>
      </x:c>
      <x:c r="B5999" s="13" t="str">
        <x:v>ITAU UNIBANCO HOLDING S-PREF</x:v>
      </x:c>
      <x:c r="C5999" s="16" t="n">
        <x:v>27145.8040228822</x:v>
      </x:c>
      <x:c r="D5999" s="13" t="str">
        <x:v>Banks</x:v>
      </x:c>
      <x:c r="E5999" s="13" t="str">
        <x:v>Banks</x:v>
      </x:c>
      <x:c r="F5999" s="13" t="str">
        <x:v>Financials</x:v>
      </x:c>
      <x:c r="G5999" s="13" t="str">
        <x:v>grid_cqzdsc3v.xlsx</x:v>
      </x:c>
    </x:row>
    <x:row r="6000">
      <x:c r="A6000" s="15" t="n">
        <x:v>43160</x:v>
      </x:c>
      <x:c r="B6000" s="13" t="str">
        <x:v>EMBRAER SA</x:v>
      </x:c>
      <x:c r="C6000" s="16" t="n">
        <x:v>738.6438470137</x:v>
      </x:c>
      <x:c r="D6000" s="13" t="str">
        <x:v>Capital Goods</x:v>
      </x:c>
      <x:c r="E6000" s="13" t="str">
        <x:v>Capital Goods</x:v>
      </x:c>
      <x:c r="F6000" s="13" t="str">
        <x:v>Deep Cyclicals</x:v>
      </x:c>
      <x:c r="G6000" s="13" t="str">
        <x:v>grid_cqzdsc3v.xlsx</x:v>
      </x:c>
    </x:row>
    <x:row r="6001">
      <x:c r="A6001" s="15" t="n">
        <x:v>43160</x:v>
      </x:c>
      <x:c r="B6001" s="13" t="str">
        <x:v>WEG SA</x:v>
      </x:c>
      <x:c r="C6001" s="16" t="n">
        <x:v>1378.5403728657</x:v>
      </x:c>
      <x:c r="D6001" s="13" t="str">
        <x:v>Capital Goods</x:v>
      </x:c>
      <x:c r="E6001" s="13" t="str">
        <x:v>Capital Goods</x:v>
      </x:c>
      <x:c r="F6001" s="13" t="str">
        <x:v>Deep Cyclicals</x:v>
      </x:c>
      <x:c r="G6001" s="13" t="str">
        <x:v>grid_cqzdsc3v.xlsx</x:v>
      </x:c>
    </x:row>
    <x:row r="6002">
      <x:c r="A6002" s="15" t="n">
        <x:v>43160</x:v>
      </x:c>
      <x:c r="B6002" s="13" t="str">
        <x:v>COGNA EDUCACAO</x:v>
      </x:c>
      <x:c r="C6002" s="16" t="n">
        <x:v>2209.7489962082</x:v>
      </x:c>
      <x:c r="D6002" s="13" t="str">
        <x:v>Education</x:v>
      </x:c>
      <x:c r="E6002" s="13" t="str">
        <x:v>Education</x:v>
      </x:c>
      <x:c r="F6002" s="13" t="str">
        <x:v>Early Cyclicals</x:v>
      </x:c>
      <x:c r="G6002" s="13" t="str">
        <x:v>grid_cqzdsc3v.xlsx</x:v>
      </x:c>
    </x:row>
    <x:row r="6003">
      <x:c r="A6003" s="15" t="n">
        <x:v>43160</x:v>
      </x:c>
      <x:c r="B6003" s="13" t="str">
        <x:v>YDUQS PARTICIPACOES SA</x:v>
      </x:c>
      <x:c r="C6003" s="16" t="n">
        <x:v>769.3123287671</x:v>
      </x:c>
      <x:c r="D6003" s="13" t="str">
        <x:v>Education</x:v>
      </x:c>
      <x:c r="E6003" s="13" t="str">
        <x:v>Education</x:v>
      </x:c>
      <x:c r="F6003" s="13" t="str">
        <x:v>Early Cyclicals</x:v>
      </x:c>
      <x:c r="G6003" s="13" t="str">
        <x:v>grid_cqzdsc3v.xlsx</x:v>
      </x:c>
    </x:row>
    <x:row r="6004">
      <x:c r="A6004" s="15" t="n">
        <x:v>43160</x:v>
      </x:c>
      <x:c r="B6004" s="13" t="str">
        <x:v>B3 SA-BRASIL BOLSA BALCAO</x:v>
      </x:c>
      <x:c r="C6004" s="16" t="n">
        <x:v>2575.9270392986</x:v>
      </x:c>
      <x:c r="D6004" s="13" t="str">
        <x:v>Financials Non-Banks</x:v>
      </x:c>
      <x:c r="E6004" s="13" t="str">
        <x:v>Financials Non-Banks</x:v>
      </x:c>
      <x:c r="F6004" s="13" t="str">
        <x:v>Financials</x:v>
      </x:c>
      <x:c r="G6004" s="13" t="str">
        <x:v>grid_cqzdsc3v.xlsx</x:v>
      </x:c>
    </x:row>
    <x:row r="6005">
      <x:c r="A6005" s="15" t="n">
        <x:v>43160</x:v>
      </x:c>
      <x:c r="B6005" s="13" t="str">
        <x:v>BB SEGURIDADE PARTICIPACOES</x:v>
      </x:c>
      <x:c r="C6005" s="16" t="n">
        <x:v>4167.7456650521</x:v>
      </x:c>
      <x:c r="D6005" s="13" t="str">
        <x:v>Financials Non-Banks</x:v>
      </x:c>
      <x:c r="E6005" s="13" t="str">
        <x:v>Financials Non-Banks</x:v>
      </x:c>
      <x:c r="F6005" s="13" t="str">
        <x:v>Financials</x:v>
      </x:c>
      <x:c r="G6005" s="13" t="str">
        <x:v>grid_cqzdsc3v.xlsx</x:v>
      </x:c>
    </x:row>
    <x:row r="6006">
      <x:c r="A6006" s="15" t="n">
        <x:v>43160</x:v>
      </x:c>
      <x:c r="B6006" s="13" t="str">
        <x:v>CIELO SA - INSTITUICAO DE PA</x:v>
      </x:c>
      <x:c r="C6006" s="16" t="n">
        <x:v>4410.2575735233</x:v>
      </x:c>
      <x:c r="D6006" s="13" t="str">
        <x:v>Financials Non-Banks</x:v>
      </x:c>
      <x:c r="E6006" s="13" t="str">
        <x:v>Financials Non-Banks</x:v>
      </x:c>
      <x:c r="F6006" s="13" t="str">
        <x:v>Financials</x:v>
      </x:c>
      <x:c r="G6006" s="13" t="str">
        <x:v>grid_cqzdsc3v.xlsx</x:v>
      </x:c>
    </x:row>
    <x:row r="6007">
      <x:c r="A6007" s="15" t="n">
        <x:v>43160</x:v>
      </x:c>
      <x:c r="B6007" s="13" t="str">
        <x:v>ITAUSA SA</x:v>
      </x:c>
      <x:c r="C6007" s="16" t="n">
        <x:v>9816.9464832</x:v>
      </x:c>
      <x:c r="D6007" s="13" t="str">
        <x:v>Financials Non-Banks</x:v>
      </x:c>
      <x:c r="E6007" s="13" t="str">
        <x:v>Financials Non-Banks</x:v>
      </x:c>
      <x:c r="F6007" s="13" t="str">
        <x:v>Financials</x:v>
      </x:c>
      <x:c r="G6007" s="13" t="str">
        <x:v>grid_cqzdsc3v.xlsx</x:v>
      </x:c>
    </x:row>
    <x:row r="6008">
      <x:c r="A6008" s="15" t="n">
        <x:v>43160</x:v>
      </x:c>
      <x:c r="B6008" s="13" t="str">
        <x:v>AMBEV SA</x:v>
      </x:c>
      <x:c r="C6008" s="16" t="n">
        <x:v>14512.2224212164</x:v>
      </x:c>
      <x:c r="D6008" s="13" t="str">
        <x:v>Food &amp; Beverages</x:v>
      </x:c>
      <x:c r="E6008" s="13" t="str">
        <x:v>Agri, Food &amp; Beverages</x:v>
      </x:c>
      <x:c r="F6008" s="13" t="str">
        <x:v>Defensives</x:v>
      </x:c>
      <x:c r="G6008" s="13" t="str">
        <x:v>grid_cqzdsc3v.xlsx</x:v>
      </x:c>
    </x:row>
    <x:row r="6009">
      <x:c r="A6009" s="15" t="n">
        <x:v>43160</x:v>
      </x:c>
      <x:c r="B6009" s="13" t="str">
        <x:v>BRF SA</x:v>
      </x:c>
      <x:c r="C6009" s="16" t="n">
        <x:v>1115.2633196712</x:v>
      </x:c>
      <x:c r="D6009" s="13" t="str">
        <x:v>Food &amp; Beverages</x:v>
      </x:c>
      <x:c r="E6009" s="13" t="str">
        <x:v>Agri, Food &amp; Beverages</x:v>
      </x:c>
      <x:c r="F6009" s="13" t="str">
        <x:v>Defensives</x:v>
      </x:c>
      <x:c r="G6009" s="13" t="str">
        <x:v>grid_cqzdsc3v.xlsx</x:v>
      </x:c>
    </x:row>
    <x:row r="6010">
      <x:c r="A6010" s="15" t="n">
        <x:v>43160</x:v>
      </x:c>
      <x:c r="B6010" s="13" t="str">
        <x:v>JBS SA</x:v>
      </x:c>
      <x:c r="C6010" s="16" t="n">
        <x:v>3374.675585052</x:v>
      </x:c>
      <x:c r="D6010" s="13" t="str">
        <x:v>Food &amp; Beverages</x:v>
      </x:c>
      <x:c r="E6010" s="13" t="str">
        <x:v>Agri, Food &amp; Beverages</x:v>
      </x:c>
      <x:c r="F6010" s="13" t="str">
        <x:v>Defensives</x:v>
      </x:c>
      <x:c r="G6010" s="13" t="str">
        <x:v>grid_cqzdsc3v.xlsx</x:v>
      </x:c>
    </x:row>
    <x:row r="6011">
      <x:c r="A6011" s="15" t="n">
        <x:v>43160</x:v>
      </x:c>
      <x:c r="B6011" s="13" t="str">
        <x:v>MBRF GLOBAL FOODS COMPANY SA</x:v>
      </x:c>
      <x:c r="C6011" s="16" t="n">
        <x:v>220.1550684932</x:v>
      </x:c>
      <x:c r="D6011" s="13" t="str">
        <x:v>Food &amp; Beverages</x:v>
      </x:c>
      <x:c r="E6011" s="13" t="str">
        <x:v>Agri, Food &amp; Beverages</x:v>
      </x:c>
      <x:c r="F6011" s="13" t="str">
        <x:v>Defensives</x:v>
      </x:c>
      <x:c r="G6011" s="13" t="str">
        <x:v>grid_cqzdsc3v.xlsx</x:v>
      </x:c>
    </x:row>
    <x:row r="6012">
      <x:c r="A6012" s="15" t="n">
        <x:v>43160</x:v>
      </x:c>
      <x:c r="B6012" s="13" t="str">
        <x:v>FLEURY SA</x:v>
      </x:c>
      <x:c r="C6012" s="16" t="n">
        <x:v>399.5658218959</x:v>
      </x:c>
      <x:c r="D6012" s="13" t="str">
        <x:v>Health Care</x:v>
      </x:c>
      <x:c r="E6012" s="13" t="str">
        <x:v>Health Care</x:v>
      </x:c>
      <x:c r="F6012" s="13" t="str">
        <x:v>Defensives</x:v>
      </x:c>
      <x:c r="G6012" s="13" t="str">
        <x:v>grid_cqzdsc3v.xlsx</x:v>
      </x:c>
    </x:row>
    <x:row r="6013">
      <x:c r="A6013" s="15" t="n">
        <x:v>43160</x:v>
      </x:c>
      <x:c r="B6013" s="13" t="str">
        <x:v>HYPERA SA</x:v>
      </x:c>
      <x:c r="C6013" s="16" t="n">
        <x:v>1115.2276676384</x:v>
      </x:c>
      <x:c r="D6013" s="13" t="str">
        <x:v>Health Care</x:v>
      </x:c>
      <x:c r="E6013" s="13" t="str">
        <x:v>Health Care</x:v>
      </x:c>
      <x:c r="F6013" s="13" t="str">
        <x:v>Defensives</x:v>
      </x:c>
      <x:c r="G6013" s="13" t="str">
        <x:v>grid_cqzdsc3v.xlsx</x:v>
      </x:c>
    </x:row>
    <x:row r="6014">
      <x:c r="A6014" s="15" t="n">
        <x:v>43160</x:v>
      </x:c>
      <x:c r="B6014" s="13" t="str">
        <x:v>QUALICORP CONS E CORR SEG SA</x:v>
      </x:c>
      <x:c r="C6014" s="16" t="n">
        <x:v>543.3290488986</x:v>
      </x:c>
      <x:c r="D6014" s="13" t="str">
        <x:v>Health Care</x:v>
      </x:c>
      <x:c r="E6014" s="13" t="str">
        <x:v>Health Care</x:v>
      </x:c>
      <x:c r="F6014" s="13" t="str">
        <x:v>Defensives</x:v>
      </x:c>
      <x:c r="G6014" s="13" t="str">
        <x:v>grid_cqzdsc3v.xlsx</x:v>
      </x:c>
    </x:row>
    <x:row r="6015">
      <x:c r="A6015" s="15" t="n">
        <x:v>43160</x:v>
      </x:c>
      <x:c r="B6015" s="13" t="str">
        <x:v>CYRELA BRAZIL REALTY SA EMP</x:v>
      </x:c>
      <x:c r="C6015" s="16" t="n">
        <x:v>278.3315449863</x:v>
      </x:c>
      <x:c r="D6015" s="13" t="str">
        <x:v>Homebuilders</x:v>
      </x:c>
      <x:c r="E6015" s="13" t="str">
        <x:v>Real Estate</x:v>
      </x:c>
      <x:c r="F6015" s="13" t="str">
        <x:v>Early Cyclicals</x:v>
      </x:c>
      <x:c r="G6015" s="13" t="str">
        <x:v>grid_cqzdsc3v.xlsx</x:v>
      </x:c>
    </x:row>
    <x:row r="6016">
      <x:c r="A6016" s="15" t="n">
        <x:v>43160</x:v>
      </x:c>
      <x:c r="B6016" s="13" t="str">
        <x:v>MRV ENGENHARIA</x:v>
      </x:c>
      <x:c r="C6016" s="16" t="n">
        <x:v>752.7748727233</x:v>
      </x:c>
      <x:c r="D6016" s="13" t="str">
        <x:v>Homebuilders</x:v>
      </x:c>
      <x:c r="E6016" s="13" t="str">
        <x:v>Real Estate</x:v>
      </x:c>
      <x:c r="F6016" s="13" t="str">
        <x:v>Early Cyclicals</x:v>
      </x:c>
      <x:c r="G6016" s="13" t="str">
        <x:v>grid_cqzdsc3v.xlsx</x:v>
      </x:c>
    </x:row>
    <x:row r="6017">
      <x:c r="A6017" s="15" t="n">
        <x:v>43160</x:v>
      </x:c>
      <x:c r="B6017" s="13" t="str">
        <x:v>BR MALLS PARTICIPACOES SA</x:v>
      </x:c>
      <x:c r="C6017" s="16" t="n">
        <x:v>547.9240223562</x:v>
      </x:c>
      <x:c r="D6017" s="13" t="str">
        <x:v>Income Properties</x:v>
      </x:c>
      <x:c r="E6017" s="13" t="str">
        <x:v>Real Estate</x:v>
      </x:c>
      <x:c r="F6017" s="13" t="str">
        <x:v>Early Cyclicals</x:v>
      </x:c>
      <x:c r="G6017" s="13" t="str">
        <x:v>grid_cqzdsc3v.xlsx</x:v>
      </x:c>
    </x:row>
    <x:row r="6018">
      <x:c r="A6018" s="15" t="n">
        <x:v>43160</x:v>
      </x:c>
      <x:c r="B6018" s="13" t="str">
        <x:v>IGUATEMI EMP DE SHOPPING</x:v>
      </x:c>
      <x:c r="C6018" s="16" t="n">
        <x:v>269.5914074301</x:v>
      </x:c>
      <x:c r="D6018" s="13" t="str">
        <x:v>Income Properties</x:v>
      </x:c>
      <x:c r="E6018" s="13" t="str">
        <x:v>Real Estate</x:v>
      </x:c>
      <x:c r="F6018" s="13" t="str">
        <x:v>Early Cyclicals</x:v>
      </x:c>
      <x:c r="G6018" s="13" t="str">
        <x:v>grid_cqzdsc3v.xlsx</x:v>
      </x:c>
    </x:row>
    <x:row r="6019">
      <x:c r="A6019" s="15" t="n">
        <x:v>43160</x:v>
      </x:c>
      <x:c r="B6019" s="13" t="str">
        <x:v>MULTIPLAN EMPREENDIMENTOS</x:v>
      </x:c>
      <x:c r="C6019" s="16" t="n">
        <x:v>530.3810277699</x:v>
      </x:c>
      <x:c r="D6019" s="13" t="str">
        <x:v>Income Properties</x:v>
      </x:c>
      <x:c r="E6019" s="13" t="str">
        <x:v>Real Estate</x:v>
      </x:c>
      <x:c r="F6019" s="13" t="str">
        <x:v>Early Cyclicals</x:v>
      </x:c>
      <x:c r="G6019" s="13" t="str">
        <x:v>grid_cqzdsc3v.xlsx</x:v>
      </x:c>
    </x:row>
    <x:row r="6020">
      <x:c r="A6020" s="15" t="n">
        <x:v>43160</x:v>
      </x:c>
      <x:c r="B6020" s="13" t="str">
        <x:v>BRADESPAR SA -PREF</x:v>
      </x:c>
      <x:c r="C6020" s="16" t="n">
        <x:v>1766.5225177425</x:v>
      </x:c>
      <x:c r="D6020" s="13" t="str">
        <x:v>Metals &amp; Mining</x:v>
      </x:c>
      <x:c r="E6020" s="13" t="str">
        <x:v>Metals &amp; Mining</x:v>
      </x:c>
      <x:c r="F6020" s="13" t="str">
        <x:v>Deep Cyclicals</x:v>
      </x:c>
      <x:c r="G6020" s="13" t="str">
        <x:v>grid_cqzdsc3v.xlsx</x:v>
      </x:c>
    </x:row>
    <x:row r="6021">
      <x:c r="A6021" s="15" t="n">
        <x:v>43160</x:v>
      </x:c>
      <x:c r="B6021" s="13" t="str">
        <x:v>CIA SIDERURGICA NACIONAL SA</x:v>
      </x:c>
      <x:c r="C6021" s="16" t="n">
        <x:v>870.7332604493</x:v>
      </x:c>
      <x:c r="D6021" s="13" t="str">
        <x:v>Metals &amp; Mining</x:v>
      </x:c>
      <x:c r="E6021" s="13" t="str">
        <x:v>Metals &amp; Mining</x:v>
      </x:c>
      <x:c r="F6021" s="13" t="str">
        <x:v>Deep Cyclicals</x:v>
      </x:c>
      <x:c r="G6021" s="13" t="str">
        <x:v>grid_cqzdsc3v.xlsx</x:v>
      </x:c>
    </x:row>
    <x:row r="6022">
      <x:c r="A6022" s="15" t="n">
        <x:v>43160</x:v>
      </x:c>
      <x:c r="B6022" s="13" t="str">
        <x:v>GERDAU SA-PREF</x:v>
      </x:c>
      <x:c r="C6022" s="16" t="n">
        <x:v>1588.5039367014</x:v>
      </x:c>
      <x:c r="D6022" s="13" t="str">
        <x:v>Metals &amp; Mining</x:v>
      </x:c>
      <x:c r="E6022" s="13" t="str">
        <x:v>Metals &amp; Mining</x:v>
      </x:c>
      <x:c r="F6022" s="13" t="str">
        <x:v>Deep Cyclicals</x:v>
      </x:c>
      <x:c r="G6022" s="13" t="str">
        <x:v>grid_cqzdsc3v.xlsx</x:v>
      </x:c>
    </x:row>
    <x:row r="6023">
      <x:c r="A6023" s="15" t="n">
        <x:v>43160</x:v>
      </x:c>
      <x:c r="B6023" s="13" t="str">
        <x:v>METALURGICA GERDAU SA-PREF</x:v>
      </x:c>
      <x:c r="C6023" s="16" t="n">
        <x:v>1772.9095890411</x:v>
      </x:c>
      <x:c r="D6023" s="13" t="str">
        <x:v>Metals &amp; Mining</x:v>
      </x:c>
      <x:c r="E6023" s="13" t="str">
        <x:v>Metals &amp; Mining</x:v>
      </x:c>
      <x:c r="F6023" s="13" t="str">
        <x:v>Deep Cyclicals</x:v>
      </x:c>
      <x:c r="G6023" s="13" t="str">
        <x:v>grid_cqzdsc3v.xlsx</x:v>
      </x:c>
    </x:row>
    <x:row r="6024">
      <x:c r="A6024" s="15" t="n">
        <x:v>43160</x:v>
      </x:c>
      <x:c r="B6024" s="13" t="str">
        <x:v>USINAS SIDER MINAS GER-PF A</x:v>
      </x:c>
      <x:c r="C6024" s="16" t="n">
        <x:v>839.3732753534</x:v>
      </x:c>
      <x:c r="D6024" s="13" t="str">
        <x:v>Metals &amp; Mining</x:v>
      </x:c>
      <x:c r="E6024" s="13" t="str">
        <x:v>Metals &amp; Mining</x:v>
      </x:c>
      <x:c r="F6024" s="13" t="str">
        <x:v>Deep Cyclicals</x:v>
      </x:c>
      <x:c r="G6024" s="13" t="str">
        <x:v>grid_cqzdsc3v.xlsx</x:v>
      </x:c>
    </x:row>
    <x:row r="6025">
      <x:c r="A6025" s="15" t="n">
        <x:v>43160</x:v>
      </x:c>
      <x:c r="B6025" s="13" t="str">
        <x:v>VALE SA</x:v>
      </x:c>
      <x:c r="C6025" s="16" t="n">
        <x:v>24797.0656480438</x:v>
      </x:c>
      <x:c r="D6025" s="13" t="str">
        <x:v>Metals &amp; Mining</x:v>
      </x:c>
      <x:c r="E6025" s="13" t="str">
        <x:v>Metals &amp; Mining</x:v>
      </x:c>
      <x:c r="F6025" s="13" t="str">
        <x:v>Deep Cyclicals</x:v>
      </x:c>
      <x:c r="G6025" s="13" t="str">
        <x:v>grid_cqzdsc3v.xlsx</x:v>
      </x:c>
    </x:row>
    <x:row r="6026">
      <x:c r="A6026" s="15" t="n">
        <x:v>43160</x:v>
      </x:c>
      <x:c r="B6026" s="13" t="str">
        <x:v>BRASKEM SA-PREF A</x:v>
      </x:c>
      <x:c r="C6026" s="16" t="n">
        <x:v>2781.2792144658</x:v>
      </x:c>
      <x:c r="D6026" s="13" t="str">
        <x:v>Oil, Gas &amp; Petrochemicals</x:v>
      </x:c>
      <x:c r="E6026" s="13" t="str">
        <x:v>Oil, Gas &amp; Petrochemicals</x:v>
      </x:c>
      <x:c r="F6026" s="13" t="str">
        <x:v>Deep Cyclicals</x:v>
      </x:c>
      <x:c r="G6026" s="13" t="str">
        <x:v>grid_cqzdsc3v.xlsx</x:v>
      </x:c>
    </x:row>
    <x:row r="6027">
      <x:c r="A6027" s="15" t="n">
        <x:v>43160</x:v>
      </x:c>
      <x:c r="B6027" s="13" t="str">
        <x:v>COSAN SA</x:v>
      </x:c>
      <x:c r="C6027" s="16" t="n">
        <x:v>1347.8621881863</x:v>
      </x:c>
      <x:c r="D6027" s="13" t="str">
        <x:v>Oil, Gas &amp; Petrochemicals</x:v>
      </x:c>
      <x:c r="E6027" s="13" t="str">
        <x:v>Oil, Gas &amp; Petrochemicals</x:v>
      </x:c>
      <x:c r="F6027" s="13" t="str">
        <x:v>Deep Cyclicals</x:v>
      </x:c>
      <x:c r="G6027" s="13" t="str">
        <x:v>grid_cqzdsc3v.xlsx</x:v>
      </x:c>
    </x:row>
    <x:row r="6028">
      <x:c r="A6028" s="15" t="n">
        <x:v>43160</x:v>
      </x:c>
      <x:c r="B6028" s="13" t="str">
        <x:v>PETROBRAS - PETROLEO BRAS</x:v>
      </x:c>
      <x:c r="C6028" s="16" t="n">
        <x:v>26057.1317121753</x:v>
      </x:c>
      <x:c r="D6028" s="13" t="str">
        <x:v>Oil, Gas &amp; Petrochemicals</x:v>
      </x:c>
      <x:c r="E6028" s="13" t="str">
        <x:v>Oil, Gas &amp; Petrochemicals</x:v>
      </x:c>
      <x:c r="F6028" s="13" t="str">
        <x:v>Deep Cyclicals</x:v>
      </x:c>
      <x:c r="G6028" s="13" t="str">
        <x:v>grid_cqzdsc3v.xlsx</x:v>
      </x:c>
    </x:row>
    <x:row r="6029">
      <x:c r="A6029" s="15" t="n">
        <x:v>43160</x:v>
      </x:c>
      <x:c r="B6029" s="13" t="str">
        <x:v>ULTRAPAR PARTICIPACOES SA</x:v>
      </x:c>
      <x:c r="C6029" s="16" t="n">
        <x:v>1898.8591780822</x:v>
      </x:c>
      <x:c r="D6029" s="13" t="str">
        <x:v>Oil, Gas &amp; Petrochemicals</x:v>
      </x:c>
      <x:c r="E6029" s="13" t="str">
        <x:v>Oil, Gas &amp; Petrochemicals</x:v>
      </x:c>
      <x:c r="F6029" s="13" t="str">
        <x:v>Deep Cyclicals</x:v>
      </x:c>
      <x:c r="G6029" s="13" t="str">
        <x:v>grid_cqzdsc3v.xlsx</x:v>
      </x:c>
    </x:row>
    <x:row r="6030">
      <x:c r="A6030" s="15" t="n">
        <x:v>43160</x:v>
      </x:c>
      <x:c r="B6030" s="13" t="str">
        <x:v>FIBRIA CELULOSE S/A</x:v>
      </x:c>
      <x:c r="C6030" s="16" t="n">
        <x:v>3247.4566270247</x:v>
      </x:c>
      <x:c r="D6030" s="13" t="str">
        <x:v>Pulp &amp; Paper</x:v>
      </x:c>
      <x:c r="E6030" s="13" t="str">
        <x:v>Pulp &amp; Paper</x:v>
      </x:c>
      <x:c r="F6030" s="13" t="str">
        <x:v>Deep Cyclicals</x:v>
      </x:c>
      <x:c r="G6030" s="13" t="str">
        <x:v>grid_cqzdsc3v.xlsx</x:v>
      </x:c>
    </x:row>
    <x:row r="6031">
      <x:c r="A6031" s="15" t="n">
        <x:v>43160</x:v>
      </x:c>
      <x:c r="B6031" s="13" t="str">
        <x:v>KLABIN SA - UNIT</x:v>
      </x:c>
      <x:c r="C6031" s="16" t="n">
        <x:v>1175.8879772055</x:v>
      </x:c>
      <x:c r="D6031" s="13" t="str">
        <x:v>Pulp &amp; Paper</x:v>
      </x:c>
      <x:c r="E6031" s="13" t="str">
        <x:v>Pulp &amp; Paper</x:v>
      </x:c>
      <x:c r="F6031" s="13" t="str">
        <x:v>Deep Cyclicals</x:v>
      </x:c>
      <x:c r="G6031" s="13" t="str">
        <x:v>grid_cqzdsc3v.xlsx</x:v>
      </x:c>
    </x:row>
    <x:row r="6032">
      <x:c r="A6032" s="15" t="n">
        <x:v>43160</x:v>
      </x:c>
      <x:c r="B6032" s="13" t="str">
        <x:v>SUZANO SA</x:v>
      </x:c>
      <x:c r="C6032" s="16" t="n">
        <x:v>2240.3816546192</x:v>
      </x:c>
      <x:c r="D6032" s="13" t="str">
        <x:v>Pulp &amp; Paper</x:v>
      </x:c>
      <x:c r="E6032" s="13" t="str">
        <x:v>Pulp &amp; Paper</x:v>
      </x:c>
      <x:c r="F6032" s="13" t="str">
        <x:v>Deep Cyclicals</x:v>
      </x:c>
      <x:c r="G6032" s="13" t="str">
        <x:v>grid_cqzdsc3v.xlsx</x:v>
      </x:c>
    </x:row>
    <x:row r="6033">
      <x:c r="A6033" s="15" t="n">
        <x:v>43160</x:v>
      </x:c>
      <x:c r="B6033" s="13" t="str">
        <x:v>CIA BRASILEIRA DE DIS-PREF</x:v>
      </x:c>
      <x:c r="C6033" s="16" t="n">
        <x:v>940.2025156384</x:v>
      </x:c>
      <x:c r="D6033" s="13" t="str">
        <x:v>Retail</x:v>
      </x:c>
      <x:c r="E6033" s="13" t="str">
        <x:v>Retail</x:v>
      </x:c>
      <x:c r="F6033" s="13" t="str">
        <x:v>Early Cyclicals</x:v>
      </x:c>
      <x:c r="G6033" s="13" t="str">
        <x:v>grid_cqzdsc3v.xlsx</x:v>
      </x:c>
    </x:row>
    <x:row r="6034">
      <x:c r="A6034" s="15" t="n">
        <x:v>43160</x:v>
      </x:c>
      <x:c r="B6034" s="13" t="str">
        <x:v>LOJAS AMERICANAS SA-PREF</x:v>
      </x:c>
      <x:c r="C6034" s="16" t="n">
        <x:v>843.8252908712</x:v>
      </x:c>
      <x:c r="D6034" s="13" t="str">
        <x:v>Retail</x:v>
      </x:c>
      <x:c r="E6034" s="13" t="str">
        <x:v>Retail</x:v>
      </x:c>
      <x:c r="F6034" s="13" t="str">
        <x:v>Early Cyclicals</x:v>
      </x:c>
      <x:c r="G6034" s="13" t="str">
        <x:v>grid_cqzdsc3v.xlsx</x:v>
      </x:c>
    </x:row>
    <x:row r="6035">
      <x:c r="A6035" s="15" t="n">
        <x:v>43160</x:v>
      </x:c>
      <x:c r="B6035" s="13" t="str">
        <x:v>LOJAS RENNER S.A.</x:v>
      </x:c>
      <x:c r="C6035" s="16" t="n">
        <x:v>999.0668407233</x:v>
      </x:c>
      <x:c r="D6035" s="13" t="str">
        <x:v>Retail</x:v>
      </x:c>
      <x:c r="E6035" s="13" t="str">
        <x:v>Retail</x:v>
      </x:c>
      <x:c r="F6035" s="13" t="str">
        <x:v>Early Cyclicals</x:v>
      </x:c>
      <x:c r="G6035" s="13" t="str">
        <x:v>grid_cqzdsc3v.xlsx</x:v>
      </x:c>
    </x:row>
    <x:row r="6036">
      <x:c r="A6036" s="15" t="n">
        <x:v>43160</x:v>
      </x:c>
      <x:c r="B6036" s="13" t="str">
        <x:v>MAGAZINE LUIZA SA</x:v>
      </x:c>
      <x:c r="C6036" s="16" t="n">
        <x:v>573.1029646027</x:v>
      </x:c>
      <x:c r="D6036" s="13" t="str">
        <x:v>Retail</x:v>
      </x:c>
      <x:c r="E6036" s="13" t="str">
        <x:v>Retail</x:v>
      </x:c>
      <x:c r="F6036" s="13" t="str">
        <x:v>Early Cyclicals</x:v>
      </x:c>
      <x:c r="G6036" s="13" t="str">
        <x:v>grid_cqzdsc3v.xlsx</x:v>
      </x:c>
    </x:row>
    <x:row r="6037">
      <x:c r="A6037" s="15" t="n">
        <x:v>43160</x:v>
      </x:c>
      <x:c r="B6037" s="13" t="str">
        <x:v>RAIA DROGASIL SA</x:v>
      </x:c>
      <x:c r="C6037" s="16" t="n">
        <x:v>719.1564961315</x:v>
      </x:c>
      <x:c r="D6037" s="13" t="str">
        <x:v>Retail</x:v>
      </x:c>
      <x:c r="E6037" s="13" t="str">
        <x:v>Retail</x:v>
      </x:c>
      <x:c r="F6037" s="13" t="str">
        <x:v>Early Cyclicals</x:v>
      </x:c>
      <x:c r="G6037" s="13" t="str">
        <x:v>grid_cqzdsc3v.xlsx</x:v>
      </x:c>
    </x:row>
    <x:row r="6038">
      <x:c r="A6038" s="15" t="n">
        <x:v>43160</x:v>
      </x:c>
      <x:c r="B6038" s="13" t="str">
        <x:v>VIA VAREJO SA</x:v>
      </x:c>
      <x:c r="C6038" s="16" t="n">
        <x:v>593.0390613918</x:v>
      </x:c>
      <x:c r="D6038" s="13" t="str">
        <x:v>Retail</x:v>
      </x:c>
      <x:c r="E6038" s="13" t="str">
        <x:v>Retail</x:v>
      </x:c>
      <x:c r="F6038" s="13" t="str">
        <x:v>Early Cyclicals</x:v>
      </x:c>
      <x:c r="G6038" s="13" t="str">
        <x:v>grid_cqzdsc3v.xlsx</x:v>
      </x:c>
    </x:row>
    <x:row r="6039">
      <x:c r="A6039" s="15" t="n">
        <x:v>43160</x:v>
      </x:c>
      <x:c r="B6039" s="13" t="str">
        <x:v>CIA DE SANEAMENTO DO PA-UNIT</x:v>
      </x:c>
      <x:c r="C6039" s="16" t="n">
        <x:v>916.4842383781</x:v>
      </x:c>
      <x:c r="D6039" s="13" t="str">
        <x:v>Sanitation</x:v>
      </x:c>
      <x:c r="E6039" s="13" t="str">
        <x:v>Utilities</x:v>
      </x:c>
      <x:c r="F6039" s="13" t="str">
        <x:v>Defensives</x:v>
      </x:c>
      <x:c r="G6039" s="13" t="str">
        <x:v>grid_cqzdsc3v.xlsx</x:v>
      </x:c>
    </x:row>
    <x:row r="6040">
      <x:c r="A6040" s="15" t="n">
        <x:v>43160</x:v>
      </x:c>
      <x:c r="B6040" s="13" t="str">
        <x:v>CIA SANEAMENTO BASICO DE SP</x:v>
      </x:c>
      <x:c r="C6040" s="16" t="n">
        <x:v>2978.1183326685</x:v>
      </x:c>
      <x:c r="D6040" s="13" t="str">
        <x:v>Sanitation</x:v>
      </x:c>
      <x:c r="E6040" s="13" t="str">
        <x:v>Utilities</x:v>
      </x:c>
      <x:c r="F6040" s="13" t="str">
        <x:v>Defensives</x:v>
      </x:c>
      <x:c r="G6040" s="13" t="str">
        <x:v>grid_cqzdsc3v.xlsx</x:v>
      </x:c>
    </x:row>
    <x:row r="6041">
      <x:c r="A6041" s="15" t="n">
        <x:v>43160</x:v>
      </x:c>
      <x:c r="B6041" s="13" t="str">
        <x:v>SMILES FIDELIDADE SA</x:v>
      </x:c>
      <x:c r="C6041" s="16" t="n">
        <x:v>634.6739575233</x:v>
      </x:c>
      <x:c r="D6041" s="13" t="str">
        <x:v>TMT</x:v>
      </x:c>
      <x:c r="E6041" s="13" t="str">
        <x:v>TMT</x:v>
      </x:c>
      <x:c r="F6041" s="13" t="str">
        <x:v>Early Cyclicals</x:v>
      </x:c>
      <x:c r="G6041" s="13" t="str">
        <x:v>grid_cqzdsc3v.xlsx</x:v>
      </x:c>
    </x:row>
    <x:row r="6042">
      <x:c r="A6042" s="15" t="n">
        <x:v>43160</x:v>
      </x:c>
      <x:c r="B6042" s="13" t="str">
        <x:v>TELEFONICA BRASIL S.A.-PREF</x:v>
      </x:c>
      <x:c r="C6042" s="16" t="n">
        <x:v>5943.8329238795</x:v>
      </x:c>
      <x:c r="D6042" s="13" t="str">
        <x:v>TMT</x:v>
      </x:c>
      <x:c r="E6042" s="13" t="str">
        <x:v>TMT</x:v>
      </x:c>
      <x:c r="F6042" s="13" t="str">
        <x:v>Early Cyclicals</x:v>
      </x:c>
      <x:c r="G6042" s="13" t="str">
        <x:v>grid_cqzdsc3v.xlsx</x:v>
      </x:c>
    </x:row>
    <x:row r="6043">
      <x:c r="A6043" s="15" t="n">
        <x:v>43160</x:v>
      </x:c>
      <x:c r="B6043" s="13" t="str">
        <x:v>TIM SA</x:v>
      </x:c>
      <x:c r="C6043" s="16" t="n">
        <x:v>1579.693293063</x:v>
      </x:c>
      <x:c r="D6043" s="13" t="str">
        <x:v>TMT</x:v>
      </x:c>
      <x:c r="E6043" s="13" t="str">
        <x:v>TMT</x:v>
      </x:c>
      <x:c r="F6043" s="13" t="str">
        <x:v>Early Cyclicals</x:v>
      </x:c>
      <x:c r="G6043" s="13" t="str">
        <x:v>grid_cqzdsc3v.xlsx</x:v>
      </x:c>
    </x:row>
    <x:row r="6044">
      <x:c r="A6044" s="15" t="n">
        <x:v>43160</x:v>
      </x:c>
      <x:c r="B6044" s="13" t="str">
        <x:v>ECORODOVIAS INFRA E LOG SA</x:v>
      </x:c>
      <x:c r="C6044" s="16" t="n">
        <x:v>518.5593943671</x:v>
      </x:c>
      <x:c r="D6044" s="13" t="str">
        <x:v>Transportation</x:v>
      </x:c>
      <x:c r="E6044" s="13" t="str">
        <x:v>Transportation</x:v>
      </x:c>
      <x:c r="F6044" s="13" t="str">
        <x:v>Deep Cyclicals</x:v>
      </x:c>
      <x:c r="G6044" s="13" t="str">
        <x:v>grid_cqzdsc3v.xlsx</x:v>
      </x:c>
    </x:row>
    <x:row r="6045">
      <x:c r="A6045" s="15" t="n">
        <x:v>43160</x:v>
      </x:c>
      <x:c r="B6045" s="13" t="str">
        <x:v>LOCALIZA RENT A CAR</x:v>
      </x:c>
      <x:c r="C6045" s="16" t="n">
        <x:v>706.8212953425</x:v>
      </x:c>
      <x:c r="D6045" s="13" t="str">
        <x:v>Transportation</x:v>
      </x:c>
      <x:c r="E6045" s="13" t="str">
        <x:v>Transportation</x:v>
      </x:c>
      <x:c r="F6045" s="13" t="str">
        <x:v>Deep Cyclicals</x:v>
      </x:c>
      <x:c r="G6045" s="13" t="str">
        <x:v>grid_cqzdsc3v.xlsx</x:v>
      </x:c>
    </x:row>
    <x:row r="6046">
      <x:c r="A6046" s="15" t="n">
        <x:v>43160</x:v>
      </x:c>
      <x:c r="B6046" s="13" t="str">
        <x:v>MOTIVA INFRAESTRUTURA DE MOB</x:v>
      </x:c>
      <x:c r="C6046" s="16" t="n">
        <x:v>2025.8060238904</x:v>
      </x:c>
      <x:c r="D6046" s="13" t="str">
        <x:v>Transportation</x:v>
      </x:c>
      <x:c r="E6046" s="13" t="str">
        <x:v>Transportation</x:v>
      </x:c>
      <x:c r="F6046" s="13" t="str">
        <x:v>Deep Cyclicals</x:v>
      </x:c>
      <x:c r="G6046" s="13" t="str">
        <x:v>grid_cqzdsc3v.xlsx</x:v>
      </x:c>
    </x:row>
    <x:row r="6047">
      <x:c r="A6047" s="15" t="n">
        <x:v>43160</x:v>
      </x:c>
      <x:c r="B6047" s="13" t="str">
        <x:v>RUMO SA</x:v>
      </x:c>
      <x:c r="C6047" s="16" t="n">
        <x:v>470.3500372164</x:v>
      </x:c>
      <x:c r="D6047" s="13" t="str">
        <x:v>Transportation</x:v>
      </x:c>
      <x:c r="E6047" s="13" t="str">
        <x:v>Transportation</x:v>
      </x:c>
      <x:c r="F6047" s="13" t="str">
        <x:v>Deep Cyclicals</x:v>
      </x:c>
      <x:c r="G6047" s="13" t="str">
        <x:v>grid_cqzdsc3v.xlsx</x:v>
      </x:c>
    </x:row>
    <x:row r="6048">
      <x:c r="A6048" s="15" t="n">
        <x:v>43160</x:v>
      </x:c>
      <x:c r="B6048" s="13" t="str">
        <x:v>AXIA ENERGIA SA</x:v>
      </x:c>
      <x:c r="C6048" s="16" t="n">
        <x:v>2598.5671182027</x:v>
      </x:c>
      <x:c r="D6048" s="13" t="str">
        <x:v>Utilities &amp; Energy</x:v>
      </x:c>
      <x:c r="E6048" s="13" t="str">
        <x:v>Utilities</x:v>
      </x:c>
      <x:c r="F6048" s="13" t="str">
        <x:v>Defensives</x:v>
      </x:c>
      <x:c r="G6048" s="13" t="str">
        <x:v>grid_cqzdsc3v.xlsx</x:v>
      </x:c>
    </x:row>
    <x:row r="6049">
      <x:c r="A6049" s="15" t="n">
        <x:v>43160</x:v>
      </x:c>
      <x:c r="B6049" s="13" t="str">
        <x:v>AXIA ENERGIA-PR B</x:v>
      </x:c>
      <x:c r="C6049" s="16" t="n">
        <x:v>2598.5671182027</x:v>
      </x:c>
      <x:c r="D6049" s="13" t="str">
        <x:v>Utilities &amp; Energy</x:v>
      </x:c>
      <x:c r="E6049" s="13" t="str">
        <x:v>Utilities</x:v>
      </x:c>
      <x:c r="F6049" s="13" t="str">
        <x:v>Defensives</x:v>
      </x:c>
      <x:c r="G6049" s="13" t="str">
        <x:v>grid_cqzdsc3v.xlsx</x:v>
      </x:c>
    </x:row>
    <x:row r="6050">
      <x:c r="A6050" s="15" t="n">
        <x:v>43160</x:v>
      </x:c>
      <x:c r="B6050" s="13" t="str">
        <x:v>CIA ENERGETICA MINAS GER-PRF</x:v>
      </x:c>
      <x:c r="C6050" s="16" t="n">
        <x:v>1743.1934723507</x:v>
      </x:c>
      <x:c r="D6050" s="13" t="str">
        <x:v>Utilities &amp; Energy</x:v>
      </x:c>
      <x:c r="E6050" s="13" t="str">
        <x:v>Utilities</x:v>
      </x:c>
      <x:c r="F6050" s="13" t="str">
        <x:v>Defensives</x:v>
      </x:c>
      <x:c r="G6050" s="13" t="str">
        <x:v>grid_cqzdsc3v.xlsx</x:v>
      </x:c>
    </x:row>
    <x:row r="6051">
      <x:c r="A6051" s="15" t="n">
        <x:v>43160</x:v>
      </x:c>
      <x:c r="B6051" s="13" t="str">
        <x:v>COMPANHIA PARANAENSE -PREF B</x:v>
      </x:c>
      <x:c r="C6051" s="16" t="n">
        <x:v>1392.6013783671</x:v>
      </x:c>
      <x:c r="D6051" s="13" t="str">
        <x:v>Utilities &amp; Energy</x:v>
      </x:c>
      <x:c r="E6051" s="13" t="str">
        <x:v>Utilities</x:v>
      </x:c>
      <x:c r="F6051" s="13" t="str">
        <x:v>Defensives</x:v>
      </x:c>
      <x:c r="G6051" s="13" t="str">
        <x:v>grid_cqzdsc3v.xlsx</x:v>
      </x:c>
    </x:row>
    <x:row r="6052">
      <x:c r="A6052" s="15" t="n">
        <x:v>43160</x:v>
      </x:c>
      <x:c r="B6052" s="13" t="str">
        <x:v>CPFL ENERGIA SA</x:v>
      </x:c>
      <x:c r="C6052" s="16" t="n">
        <x:v>1407.8904109589</x:v>
      </x:c>
      <x:c r="D6052" s="13" t="str">
        <x:v>Utilities &amp; Energy</x:v>
      </x:c>
      <x:c r="E6052" s="13" t="str">
        <x:v>Utilities</x:v>
      </x:c>
      <x:c r="F6052" s="13" t="str">
        <x:v>Defensives</x:v>
      </x:c>
      <x:c r="G6052" s="13" t="str">
        <x:v>grid_cqzdsc3v.xlsx</x:v>
      </x:c>
    </x:row>
    <x:row r="6053">
      <x:c r="A6053" s="15" t="n">
        <x:v>43160</x:v>
      </x:c>
      <x:c r="B6053" s="13" t="str">
        <x:v>EDP - ENERGIAS DO BRASIL SA</x:v>
      </x:c>
      <x:c r="C6053" s="16" t="n">
        <x:v>796.2216597041</x:v>
      </x:c>
      <x:c r="D6053" s="13" t="str">
        <x:v>Utilities &amp; Energy</x:v>
      </x:c>
      <x:c r="E6053" s="13" t="str">
        <x:v>Utilities</x:v>
      </x:c>
      <x:c r="F6053" s="13" t="str">
        <x:v>Defensives</x:v>
      </x:c>
      <x:c r="G6053" s="13" t="str">
        <x:v>grid_cqzdsc3v.xlsx</x:v>
      </x:c>
    </x:row>
    <x:row r="6054">
      <x:c r="A6054" s="15" t="n">
        <x:v>43160</x:v>
      </x:c>
      <x:c r="B6054" s="13" t="str">
        <x:v>ENGIE BRASIL ENERGIA SA</x:v>
      </x:c>
      <x:c r="C6054" s="16" t="n">
        <x:v>2003.7692801753</x:v>
      </x:c>
      <x:c r="D6054" s="13" t="str">
        <x:v>Utilities &amp; Energy</x:v>
      </x:c>
      <x:c r="E6054" s="13" t="str">
        <x:v>Utilities</x:v>
      </x:c>
      <x:c r="F6054" s="13" t="str">
        <x:v>Defensives</x:v>
      </x:c>
      <x:c r="G6054" s="13" t="str">
        <x:v>grid_cqzdsc3v.xlsx</x:v>
      </x:c>
    </x:row>
    <x:row r="6055">
      <x:c r="A6055" s="15" t="n">
        <x:v>43160</x:v>
      </x:c>
      <x:c r="B6055" s="13" t="str">
        <x:v>EQUATORIAL SA - ORD</x:v>
      </x:c>
      <x:c r="C6055" s="16" t="n">
        <x:v>877.8377075726</x:v>
      </x:c>
      <x:c r="D6055" s="13" t="str">
        <x:v>Utilities &amp; Energy</x:v>
      </x:c>
      <x:c r="E6055" s="13" t="str">
        <x:v>Utilities</x:v>
      </x:c>
      <x:c r="F6055" s="13" t="str">
        <x:v>Defensives</x:v>
      </x:c>
      <x:c r="G6055" s="13" t="str">
        <x:v>grid_cqzdsc3v.xlsx</x:v>
      </x:c>
    </x:row>
    <x:row r="6056">
      <x:c r="A6056" s="15" t="n">
        <x:v>43160</x:v>
      </x:c>
      <x:c r="B6056" s="13" t="str">
        <x:v>TRANSMISSORA ALIANCA DE-UNIT</x:v>
      </x:c>
      <x:c r="C6056" s="16" t="n">
        <x:v>792.2123783014</x:v>
      </x:c>
      <x:c r="D6056" s="13" t="str">
        <x:v>Utilities &amp; Energy</x:v>
      </x:c>
      <x:c r="E6056" s="13" t="str">
        <x:v>Utilities</x:v>
      </x:c>
      <x:c r="F6056" s="13" t="str">
        <x:v>Defensives</x:v>
      </x:c>
      <x:c r="G6056" s="13" t="str">
        <x:v>grid_cqzdsc3v.xlsx</x:v>
      </x:c>
    </x:row>
    <x:row r="6057">
      <x:c r="A6057" s="15" t="n">
        <x:v>43191</x:v>
      </x:c>
      <x:c r="B6057" s="13" t="str">
        <x:v>BANCO BRADESCO S.A.</x:v>
      </x:c>
      <x:c r="C6057" s="16" t="n">
        <x:v>21895.150521863</x:v>
      </x:c>
      <x:c r="D6057" s="13" t="str">
        <x:v>Banks</x:v>
      </x:c>
      <x:c r="E6057" s="13" t="str">
        <x:v>Banks</x:v>
      </x:c>
      <x:c r="F6057" s="13" t="str">
        <x:v>Financials</x:v>
      </x:c>
      <x:c r="G6057" s="13" t="str">
        <x:v>grid_cqzdsc3v.xlsx</x:v>
      </x:c>
    </x:row>
    <x:row r="6058">
      <x:c r="A6058" s="15" t="n">
        <x:v>43191</x:v>
      </x:c>
      <x:c r="B6058" s="13" t="str">
        <x:v>BANCO BRADESCO SA-PREF</x:v>
      </x:c>
      <x:c r="C6058" s="16" t="n">
        <x:v>21895.150521863</x:v>
      </x:c>
      <x:c r="D6058" s="13" t="str">
        <x:v>Banks</x:v>
      </x:c>
      <x:c r="E6058" s="13" t="str">
        <x:v>Banks</x:v>
      </x:c>
      <x:c r="F6058" s="13" t="str">
        <x:v>Financials</x:v>
      </x:c>
      <x:c r="G6058" s="13" t="str">
        <x:v>grid_cqzdsc3v.xlsx</x:v>
      </x:c>
    </x:row>
    <x:row r="6059">
      <x:c r="A6059" s="15" t="n">
        <x:v>43191</x:v>
      </x:c>
      <x:c r="B6059" s="13" t="str">
        <x:v>BANCO DO BRASIL S.A.</x:v>
      </x:c>
      <x:c r="C6059" s="16" t="n">
        <x:v>13553.9342237808</x:v>
      </x:c>
      <x:c r="D6059" s="13" t="str">
        <x:v>Banks</x:v>
      </x:c>
      <x:c r="E6059" s="13" t="str">
        <x:v>Banks</x:v>
      </x:c>
      <x:c r="F6059" s="13" t="str">
        <x:v>Financials</x:v>
      </x:c>
      <x:c r="G6059" s="13" t="str">
        <x:v>grid_cqzdsc3v.xlsx</x:v>
      </x:c>
    </x:row>
    <x:row r="6060">
      <x:c r="A6060" s="15" t="n">
        <x:v>43191</x:v>
      </x:c>
      <x:c r="B6060" s="13" t="str">
        <x:v>BANCO SANTANDER  BRASIL-UNIT</x:v>
      </x:c>
      <x:c r="C6060" s="16" t="n">
        <x:v>11464.918086137</x:v>
      </x:c>
      <x:c r="D6060" s="13" t="str">
        <x:v>Banks</x:v>
      </x:c>
      <x:c r="E6060" s="13" t="str">
        <x:v>Banks</x:v>
      </x:c>
      <x:c r="F6060" s="13" t="str">
        <x:v>Financials</x:v>
      </x:c>
      <x:c r="G6060" s="13" t="str">
        <x:v>grid_cqzdsc3v.xlsx</x:v>
      </x:c>
    </x:row>
    <x:row r="6061">
      <x:c r="A6061" s="15" t="n">
        <x:v>43191</x:v>
      </x:c>
      <x:c r="B6061" s="13" t="str">
        <x:v>ITAU UNIBANCO HOLDING S-PREF</x:v>
      </x:c>
      <x:c r="C6061" s="16" t="n">
        <x:v>26854.2400596164</x:v>
      </x:c>
      <x:c r="D6061" s="13" t="str">
        <x:v>Banks</x:v>
      </x:c>
      <x:c r="E6061" s="13" t="str">
        <x:v>Banks</x:v>
      </x:c>
      <x:c r="F6061" s="13" t="str">
        <x:v>Financials</x:v>
      </x:c>
      <x:c r="G6061" s="13" t="str">
        <x:v>grid_cqzdsc3v.xlsx</x:v>
      </x:c>
    </x:row>
    <x:row r="6062">
      <x:c r="A6062" s="15" t="n">
        <x:v>43191</x:v>
      </x:c>
      <x:c r="B6062" s="13" t="str">
        <x:v>EMBRAER SA</x:v>
      </x:c>
      <x:c r="C6062" s="16" t="n">
        <x:v>779.2294417534</x:v>
      </x:c>
      <x:c r="D6062" s="13" t="str">
        <x:v>Capital Goods</x:v>
      </x:c>
      <x:c r="E6062" s="13" t="str">
        <x:v>Capital Goods</x:v>
      </x:c>
      <x:c r="F6062" s="13" t="str">
        <x:v>Deep Cyclicals</x:v>
      </x:c>
      <x:c r="G6062" s="13" t="str">
        <x:v>grid_cqzdsc3v.xlsx</x:v>
      </x:c>
    </x:row>
    <x:row r="6063">
      <x:c r="A6063" s="15" t="n">
        <x:v>43191</x:v>
      </x:c>
      <x:c r="B6063" s="13" t="str">
        <x:v>WEG SA</x:v>
      </x:c>
      <x:c r="C6063" s="16" t="n">
        <x:v>1387.1506954521</x:v>
      </x:c>
      <x:c r="D6063" s="13" t="str">
        <x:v>Capital Goods</x:v>
      </x:c>
      <x:c r="E6063" s="13" t="str">
        <x:v>Capital Goods</x:v>
      </x:c>
      <x:c r="F6063" s="13" t="str">
        <x:v>Deep Cyclicals</x:v>
      </x:c>
      <x:c r="G6063" s="13" t="str">
        <x:v>grid_cqzdsc3v.xlsx</x:v>
      </x:c>
    </x:row>
    <x:row r="6064">
      <x:c r="A6064" s="15" t="n">
        <x:v>43191</x:v>
      </x:c>
      <x:c r="B6064" s="13" t="str">
        <x:v>COGNA EDUCACAO</x:v>
      </x:c>
      <x:c r="C6064" s="16" t="n">
        <x:v>2136.9010428493</x:v>
      </x:c>
      <x:c r="D6064" s="13" t="str">
        <x:v>Education</x:v>
      </x:c>
      <x:c r="E6064" s="13" t="str">
        <x:v>Education</x:v>
      </x:c>
      <x:c r="F6064" s="13" t="str">
        <x:v>Early Cyclicals</x:v>
      </x:c>
      <x:c r="G6064" s="13" t="str">
        <x:v>grid_cqzdsc3v.xlsx</x:v>
      </x:c>
    </x:row>
    <x:row r="6065">
      <x:c r="A6065" s="15" t="n">
        <x:v>43191</x:v>
      </x:c>
      <x:c r="B6065" s="13" t="str">
        <x:v>YDUQS PARTICIPACOES SA</x:v>
      </x:c>
      <x:c r="C6065" s="16" t="n">
        <x:v>792.2862693699</x:v>
      </x:c>
      <x:c r="D6065" s="13" t="str">
        <x:v>Education</x:v>
      </x:c>
      <x:c r="E6065" s="13" t="str">
        <x:v>Education</x:v>
      </x:c>
      <x:c r="F6065" s="13" t="str">
        <x:v>Early Cyclicals</x:v>
      </x:c>
      <x:c r="G6065" s="13" t="str">
        <x:v>grid_cqzdsc3v.xlsx</x:v>
      </x:c>
    </x:row>
    <x:row r="6066">
      <x:c r="A6066" s="15" t="n">
        <x:v>43191</x:v>
      </x:c>
      <x:c r="B6066" s="13" t="str">
        <x:v>B3 SA-BRASIL BOLSA BALCAO</x:v>
      </x:c>
      <x:c r="C6066" s="16" t="n">
        <x:v>2589.4444326575</x:v>
      </x:c>
      <x:c r="D6066" s="13" t="str">
        <x:v>Financials Non-Banks</x:v>
      </x:c>
      <x:c r="E6066" s="13" t="str">
        <x:v>Financials Non-Banks</x:v>
      </x:c>
      <x:c r="F6066" s="13" t="str">
        <x:v>Financials</x:v>
      </x:c>
      <x:c r="G6066" s="13" t="str">
        <x:v>grid_cqzdsc3v.xlsx</x:v>
      </x:c>
    </x:row>
    <x:row r="6067">
      <x:c r="A6067" s="15" t="n">
        <x:v>43191</x:v>
      </x:c>
      <x:c r="B6067" s="13" t="str">
        <x:v>BB SEGURIDADE PARTICIPACOES</x:v>
      </x:c>
      <x:c r="C6067" s="16" t="n">
        <x:v>4151.2833262466</x:v>
      </x:c>
      <x:c r="D6067" s="13" t="str">
        <x:v>Financials Non-Banks</x:v>
      </x:c>
      <x:c r="E6067" s="13" t="str">
        <x:v>Financials Non-Banks</x:v>
      </x:c>
      <x:c r="F6067" s="13" t="str">
        <x:v>Financials</x:v>
      </x:c>
      <x:c r="G6067" s="13" t="str">
        <x:v>grid_cqzdsc3v.xlsx</x:v>
      </x:c>
    </x:row>
    <x:row r="6068">
      <x:c r="A6068" s="15" t="n">
        <x:v>43191</x:v>
      </x:c>
      <x:c r="B6068" s="13" t="str">
        <x:v>CIELO SA - INSTITUICAO DE PA</x:v>
      </x:c>
      <x:c r="C6068" s="16" t="n">
        <x:v>4344.6426090959</x:v>
      </x:c>
      <x:c r="D6068" s="13" t="str">
        <x:v>Financials Non-Banks</x:v>
      </x:c>
      <x:c r="E6068" s="13" t="str">
        <x:v>Financials Non-Banks</x:v>
      </x:c>
      <x:c r="F6068" s="13" t="str">
        <x:v>Financials</x:v>
      </x:c>
      <x:c r="G6068" s="13" t="str">
        <x:v>grid_cqzdsc3v.xlsx</x:v>
      </x:c>
    </x:row>
    <x:row r="6069">
      <x:c r="A6069" s="15" t="n">
        <x:v>43191</x:v>
      </x:c>
      <x:c r="B6069" s="13" t="str">
        <x:v>ITAUSA SA</x:v>
      </x:c>
      <x:c r="C6069" s="16" t="n">
        <x:v>9835.6781589041</x:v>
      </x:c>
      <x:c r="D6069" s="13" t="str">
        <x:v>Financials Non-Banks</x:v>
      </x:c>
      <x:c r="E6069" s="13" t="str">
        <x:v>Financials Non-Banks</x:v>
      </x:c>
      <x:c r="F6069" s="13" t="str">
        <x:v>Financials</x:v>
      </x:c>
      <x:c r="G6069" s="13" t="str">
        <x:v>grid_cqzdsc3v.xlsx</x:v>
      </x:c>
    </x:row>
    <x:row r="6070">
      <x:c r="A6070" s="15" t="n">
        <x:v>43191</x:v>
      </x:c>
      <x:c r="B6070" s="13" t="str">
        <x:v>AMBEV SA</x:v>
      </x:c>
      <x:c r="C6070" s="16" t="n">
        <x:v>14706.9383329315</x:v>
      </x:c>
      <x:c r="D6070" s="13" t="str">
        <x:v>Food &amp; Beverages</x:v>
      </x:c>
      <x:c r="E6070" s="13" t="str">
        <x:v>Agri, Food &amp; Beverages</x:v>
      </x:c>
      <x:c r="F6070" s="13" t="str">
        <x:v>Defensives</x:v>
      </x:c>
      <x:c r="G6070" s="13" t="str">
        <x:v>grid_cqzdsc3v.xlsx</x:v>
      </x:c>
    </x:row>
    <x:row r="6071">
      <x:c r="A6071" s="15" t="n">
        <x:v>43191</x:v>
      </x:c>
      <x:c r="B6071" s="13" t="str">
        <x:v>BRF SA</x:v>
      </x:c>
      <x:c r="C6071" s="16" t="n">
        <x:v>727.4421961644</x:v>
      </x:c>
      <x:c r="D6071" s="13" t="str">
        <x:v>Food &amp; Beverages</x:v>
      </x:c>
      <x:c r="E6071" s="13" t="str">
        <x:v>Agri, Food &amp; Beverages</x:v>
      </x:c>
      <x:c r="F6071" s="13" t="str">
        <x:v>Defensives</x:v>
      </x:c>
      <x:c r="G6071" s="13" t="str">
        <x:v>grid_cqzdsc3v.xlsx</x:v>
      </x:c>
    </x:row>
    <x:row r="6072">
      <x:c r="A6072" s="15" t="n">
        <x:v>43191</x:v>
      </x:c>
      <x:c r="B6072" s="13" t="str">
        <x:v>JBS SA</x:v>
      </x:c>
      <x:c r="C6072" s="16" t="n">
        <x:v>3452.815570411</x:v>
      </x:c>
      <x:c r="D6072" s="13" t="str">
        <x:v>Food &amp; Beverages</x:v>
      </x:c>
      <x:c r="E6072" s="13" t="str">
        <x:v>Agri, Food &amp; Beverages</x:v>
      </x:c>
      <x:c r="F6072" s="13" t="str">
        <x:v>Defensives</x:v>
      </x:c>
      <x:c r="G6072" s="13" t="str">
        <x:v>grid_cqzdsc3v.xlsx</x:v>
      </x:c>
    </x:row>
    <x:row r="6073">
      <x:c r="A6073" s="15" t="n">
        <x:v>43191</x:v>
      </x:c>
      <x:c r="B6073" s="13" t="str">
        <x:v>MBRF GLOBAL FOODS COMPANY SA</x:v>
      </x:c>
      <x:c r="C6073" s="16" t="n">
        <x:v>283.5915533151</x:v>
      </x:c>
      <x:c r="D6073" s="13" t="str">
        <x:v>Food &amp; Beverages</x:v>
      </x:c>
      <x:c r="E6073" s="13" t="str">
        <x:v>Agri, Food &amp; Beverages</x:v>
      </x:c>
      <x:c r="F6073" s="13" t="str">
        <x:v>Defensives</x:v>
      </x:c>
      <x:c r="G6073" s="13" t="str">
        <x:v>grid_cqzdsc3v.xlsx</x:v>
      </x:c>
    </x:row>
    <x:row r="6074">
      <x:c r="A6074" s="15" t="n">
        <x:v>43191</x:v>
      </x:c>
      <x:c r="B6074" s="13" t="str">
        <x:v>FLEURY SA</x:v>
      </x:c>
      <x:c r="C6074" s="16" t="n">
        <x:v>396.0230575342</x:v>
      </x:c>
      <x:c r="D6074" s="13" t="str">
        <x:v>Health Care</x:v>
      </x:c>
      <x:c r="E6074" s="13" t="str">
        <x:v>Health Care</x:v>
      </x:c>
      <x:c r="F6074" s="13" t="str">
        <x:v>Defensives</x:v>
      </x:c>
      <x:c r="G6074" s="13" t="str">
        <x:v>grid_cqzdsc3v.xlsx</x:v>
      </x:c>
    </x:row>
    <x:row r="6075">
      <x:c r="A6075" s="15" t="n">
        <x:v>43191</x:v>
      </x:c>
      <x:c r="B6075" s="13" t="str">
        <x:v>HYPERA SA</x:v>
      </x:c>
      <x:c r="C6075" s="16" t="n">
        <x:v>1140.7657801644</x:v>
      </x:c>
      <x:c r="D6075" s="13" t="str">
        <x:v>Health Care</x:v>
      </x:c>
      <x:c r="E6075" s="13" t="str">
        <x:v>Health Care</x:v>
      </x:c>
      <x:c r="F6075" s="13" t="str">
        <x:v>Defensives</x:v>
      </x:c>
      <x:c r="G6075" s="13" t="str">
        <x:v>grid_cqzdsc3v.xlsx</x:v>
      </x:c>
    </x:row>
    <x:row r="6076">
      <x:c r="A6076" s="15" t="n">
        <x:v>43191</x:v>
      </x:c>
      <x:c r="B6076" s="13" t="str">
        <x:v>QUALICORP CONS E CORR SEG SA</x:v>
      </x:c>
      <x:c r="C6076" s="16" t="n">
        <x:v>541.3068493151</x:v>
      </x:c>
      <x:c r="D6076" s="13" t="str">
        <x:v>Health Care</x:v>
      </x:c>
      <x:c r="E6076" s="13" t="str">
        <x:v>Health Care</x:v>
      </x:c>
      <x:c r="F6076" s="13" t="str">
        <x:v>Defensives</x:v>
      </x:c>
      <x:c r="G6076" s="13" t="str">
        <x:v>grid_cqzdsc3v.xlsx</x:v>
      </x:c>
    </x:row>
    <x:row r="6077">
      <x:c r="A6077" s="15" t="n">
        <x:v>43191</x:v>
      </x:c>
      <x:c r="B6077" s="13" t="str">
        <x:v>CYRELA BRAZIL REALTY SA EMP</x:v>
      </x:c>
      <x:c r="C6077" s="16" t="n">
        <x:v>289.3184109589</x:v>
      </x:c>
      <x:c r="D6077" s="13" t="str">
        <x:v>Homebuilders</x:v>
      </x:c>
      <x:c r="E6077" s="13" t="str">
        <x:v>Real Estate</x:v>
      </x:c>
      <x:c r="F6077" s="13" t="str">
        <x:v>Early Cyclicals</x:v>
      </x:c>
      <x:c r="G6077" s="13" t="str">
        <x:v>grid_cqzdsc3v.xlsx</x:v>
      </x:c>
    </x:row>
    <x:row r="6078">
      <x:c r="A6078" s="15" t="n">
        <x:v>43191</x:v>
      </x:c>
      <x:c r="B6078" s="13" t="str">
        <x:v>MRV ENGENHARIA</x:v>
      </x:c>
      <x:c r="C6078" s="16" t="n">
        <x:v>763.2064403288</x:v>
      </x:c>
      <x:c r="D6078" s="13" t="str">
        <x:v>Homebuilders</x:v>
      </x:c>
      <x:c r="E6078" s="13" t="str">
        <x:v>Real Estate</x:v>
      </x:c>
      <x:c r="F6078" s="13" t="str">
        <x:v>Early Cyclicals</x:v>
      </x:c>
      <x:c r="G6078" s="13" t="str">
        <x:v>grid_cqzdsc3v.xlsx</x:v>
      </x:c>
    </x:row>
    <x:row r="6079">
      <x:c r="A6079" s="15" t="n">
        <x:v>43191</x:v>
      </x:c>
      <x:c r="B6079" s="13" t="str">
        <x:v>BR MALLS PARTICIPACOES SA</x:v>
      </x:c>
      <x:c r="C6079" s="16" t="n">
        <x:v>559.9726053699</x:v>
      </x:c>
      <x:c r="D6079" s="13" t="str">
        <x:v>Income Properties</x:v>
      </x:c>
      <x:c r="E6079" s="13" t="str">
        <x:v>Real Estate</x:v>
      </x:c>
      <x:c r="F6079" s="13" t="str">
        <x:v>Early Cyclicals</x:v>
      </x:c>
      <x:c r="G6079" s="13" t="str">
        <x:v>grid_cqzdsc3v.xlsx</x:v>
      </x:c>
    </x:row>
    <x:row r="6080">
      <x:c r="A6080" s="15" t="n">
        <x:v>43191</x:v>
      </x:c>
      <x:c r="B6080" s="13" t="str">
        <x:v>IGUATEMI EMP DE SHOPPING</x:v>
      </x:c>
      <x:c r="C6080" s="16" t="n">
        <x:v>274.867065863</x:v>
      </x:c>
      <x:c r="D6080" s="13" t="str">
        <x:v>Income Properties</x:v>
      </x:c>
      <x:c r="E6080" s="13" t="str">
        <x:v>Real Estate</x:v>
      </x:c>
      <x:c r="F6080" s="13" t="str">
        <x:v>Early Cyclicals</x:v>
      </x:c>
      <x:c r="G6080" s="13" t="str">
        <x:v>grid_cqzdsc3v.xlsx</x:v>
      </x:c>
    </x:row>
    <x:row r="6081">
      <x:c r="A6081" s="15" t="n">
        <x:v>43191</x:v>
      </x:c>
      <x:c r="B6081" s="13" t="str">
        <x:v>MULTIPLAN EMPREENDIMENTOS</x:v>
      </x:c>
      <x:c r="C6081" s="16" t="n">
        <x:v>519.3525558356</x:v>
      </x:c>
      <x:c r="D6081" s="13" t="str">
        <x:v>Income Properties</x:v>
      </x:c>
      <x:c r="E6081" s="13" t="str">
        <x:v>Real Estate</x:v>
      </x:c>
      <x:c r="F6081" s="13" t="str">
        <x:v>Early Cyclicals</x:v>
      </x:c>
      <x:c r="G6081" s="13" t="str">
        <x:v>grid_cqzdsc3v.xlsx</x:v>
      </x:c>
    </x:row>
    <x:row r="6082">
      <x:c r="A6082" s="15" t="n">
        <x:v>43191</x:v>
      </x:c>
      <x:c r="B6082" s="13" t="str">
        <x:v>BRADESPAR SA -PREF</x:v>
      </x:c>
      <x:c r="C6082" s="16" t="n">
        <x:v>887.0136986301</x:v>
      </x:c>
      <x:c r="D6082" s="13" t="str">
        <x:v>Metals &amp; Mining</x:v>
      </x:c>
      <x:c r="E6082" s="13" t="str">
        <x:v>Metals &amp; Mining</x:v>
      </x:c>
      <x:c r="F6082" s="13" t="str">
        <x:v>Deep Cyclicals</x:v>
      </x:c>
      <x:c r="G6082" s="13" t="str">
        <x:v>grid_cqzdsc3v.xlsx</x:v>
      </x:c>
    </x:row>
    <x:row r="6083">
      <x:c r="A6083" s="15" t="n">
        <x:v>43191</x:v>
      </x:c>
      <x:c r="B6083" s="13" t="str">
        <x:v>CIA SIDERURGICA NACIONAL SA</x:v>
      </x:c>
      <x:c r="C6083" s="16" t="n">
        <x:v>924.2542465753</x:v>
      </x:c>
      <x:c r="D6083" s="13" t="str">
        <x:v>Metals &amp; Mining</x:v>
      </x:c>
      <x:c r="E6083" s="13" t="str">
        <x:v>Metals &amp; Mining</x:v>
      </x:c>
      <x:c r="F6083" s="13" t="str">
        <x:v>Deep Cyclicals</x:v>
      </x:c>
      <x:c r="G6083" s="13" t="str">
        <x:v>grid_cqzdsc3v.xlsx</x:v>
      </x:c>
    </x:row>
    <x:row r="6084">
      <x:c r="A6084" s="15" t="n">
        <x:v>43191</x:v>
      </x:c>
      <x:c r="B6084" s="13" t="str">
        <x:v>GERDAU SA-PREF</x:v>
      </x:c>
      <x:c r="C6084" s="16" t="n">
        <x:v>1784.1041306301</x:v>
      </x:c>
      <x:c r="D6084" s="13" t="str">
        <x:v>Metals &amp; Mining</x:v>
      </x:c>
      <x:c r="E6084" s="13" t="str">
        <x:v>Metals &amp; Mining</x:v>
      </x:c>
      <x:c r="F6084" s="13" t="str">
        <x:v>Deep Cyclicals</x:v>
      </x:c>
      <x:c r="G6084" s="13" t="str">
        <x:v>grid_cqzdsc3v.xlsx</x:v>
      </x:c>
    </x:row>
    <x:row r="6085">
      <x:c r="A6085" s="15" t="n">
        <x:v>43191</x:v>
      </x:c>
      <x:c r="B6085" s="13" t="str">
        <x:v>USINAS SIDER MINAS GER-PF A</x:v>
      </x:c>
      <x:c r="C6085" s="16" t="n">
        <x:v>931.3152499726</x:v>
      </x:c>
      <x:c r="D6085" s="13" t="str">
        <x:v>Metals &amp; Mining</x:v>
      </x:c>
      <x:c r="E6085" s="13" t="str">
        <x:v>Metals &amp; Mining</x:v>
      </x:c>
      <x:c r="F6085" s="13" t="str">
        <x:v>Deep Cyclicals</x:v>
      </x:c>
      <x:c r="G6085" s="13" t="str">
        <x:v>grid_cqzdsc3v.xlsx</x:v>
      </x:c>
    </x:row>
    <x:row r="6086">
      <x:c r="A6086" s="15" t="n">
        <x:v>43191</x:v>
      </x:c>
      <x:c r="B6086" s="13" t="str">
        <x:v>VALE SA</x:v>
      </x:c>
      <x:c r="C6086" s="16" t="n">
        <x:v>25633.1945731507</x:v>
      </x:c>
      <x:c r="D6086" s="13" t="str">
        <x:v>Metals &amp; Mining</x:v>
      </x:c>
      <x:c r="E6086" s="13" t="str">
        <x:v>Metals &amp; Mining</x:v>
      </x:c>
      <x:c r="F6086" s="13" t="str">
        <x:v>Deep Cyclicals</x:v>
      </x:c>
      <x:c r="G6086" s="13" t="str">
        <x:v>grid_cqzdsc3v.xlsx</x:v>
      </x:c>
    </x:row>
    <x:row r="6087">
      <x:c r="A6087" s="15" t="n">
        <x:v>43191</x:v>
      </x:c>
      <x:c r="B6087" s="13" t="str">
        <x:v>BRASKEM SA-PREF A</x:v>
      </x:c>
      <x:c r="C6087" s="16" t="n">
        <x:v>3264.7396716712</x:v>
      </x:c>
      <x:c r="D6087" s="13" t="str">
        <x:v>Oil, Gas &amp; Petrochemicals</x:v>
      </x:c>
      <x:c r="E6087" s="13" t="str">
        <x:v>Oil, Gas &amp; Petrochemicals</x:v>
      </x:c>
      <x:c r="F6087" s="13" t="str">
        <x:v>Deep Cyclicals</x:v>
      </x:c>
      <x:c r="G6087" s="13" t="str">
        <x:v>grid_cqzdsc3v.xlsx</x:v>
      </x:c>
    </x:row>
    <x:row r="6088">
      <x:c r="A6088" s="15" t="n">
        <x:v>43191</x:v>
      </x:c>
      <x:c r="B6088" s="13" t="str">
        <x:v>COSAN SA</x:v>
      </x:c>
      <x:c r="C6088" s="16" t="n">
        <x:v>1294.3706844932</x:v>
      </x:c>
      <x:c r="D6088" s="13" t="str">
        <x:v>Oil, Gas &amp; Petrochemicals</x:v>
      </x:c>
      <x:c r="E6088" s="13" t="str">
        <x:v>Oil, Gas &amp; Petrochemicals</x:v>
      </x:c>
      <x:c r="F6088" s="13" t="str">
        <x:v>Deep Cyclicals</x:v>
      </x:c>
      <x:c r="G6088" s="13" t="str">
        <x:v>grid_cqzdsc3v.xlsx</x:v>
      </x:c>
    </x:row>
    <x:row r="6089">
      <x:c r="A6089" s="15" t="n">
        <x:v>43191</x:v>
      </x:c>
      <x:c r="B6089" s="13" t="str">
        <x:v>PETROBRAS - PETROLEO BRAS</x:v>
      </x:c>
      <x:c r="C6089" s="16" t="n">
        <x:v>27653.0278961096</x:v>
      </x:c>
      <x:c r="D6089" s="13" t="str">
        <x:v>Oil, Gas &amp; Petrochemicals</x:v>
      </x:c>
      <x:c r="E6089" s="13" t="str">
        <x:v>Oil, Gas &amp; Petrochemicals</x:v>
      </x:c>
      <x:c r="F6089" s="13" t="str">
        <x:v>Deep Cyclicals</x:v>
      </x:c>
      <x:c r="G6089" s="13" t="str">
        <x:v>grid_cqzdsc3v.xlsx</x:v>
      </x:c>
    </x:row>
    <x:row r="6090">
      <x:c r="A6090" s="15" t="n">
        <x:v>43191</x:v>
      </x:c>
      <x:c r="B6090" s="13" t="str">
        <x:v>ULTRAPAR PARTICIPACOES SA</x:v>
      </x:c>
      <x:c r="C6090" s="16" t="n">
        <x:v>1828.5959329315</x:v>
      </x:c>
      <x:c r="D6090" s="13" t="str">
        <x:v>Oil, Gas &amp; Petrochemicals</x:v>
      </x:c>
      <x:c r="E6090" s="13" t="str">
        <x:v>Oil, Gas &amp; Petrochemicals</x:v>
      </x:c>
      <x:c r="F6090" s="13" t="str">
        <x:v>Deep Cyclicals</x:v>
      </x:c>
      <x:c r="G6090" s="13" t="str">
        <x:v>grid_cqzdsc3v.xlsx</x:v>
      </x:c>
    </x:row>
    <x:row r="6091">
      <x:c r="A6091" s="15" t="n">
        <x:v>43191</x:v>
      </x:c>
      <x:c r="B6091" s="13" t="str">
        <x:v>FIBRIA CELULOSE S/A</x:v>
      </x:c>
      <x:c r="C6091" s="16" t="n">
        <x:v>3799.5057271233</x:v>
      </x:c>
      <x:c r="D6091" s="13" t="str">
        <x:v>Pulp &amp; Paper</x:v>
      </x:c>
      <x:c r="E6091" s="13" t="str">
        <x:v>Pulp &amp; Paper</x:v>
      </x:c>
      <x:c r="F6091" s="13" t="str">
        <x:v>Deep Cyclicals</x:v>
      </x:c>
      <x:c r="G6091" s="13" t="str">
        <x:v>grid_cqzdsc3v.xlsx</x:v>
      </x:c>
    </x:row>
    <x:row r="6092">
      <x:c r="A6092" s="15" t="n">
        <x:v>43191</x:v>
      </x:c>
      <x:c r="B6092" s="13" t="str">
        <x:v>KLABIN SA - UNIT</x:v>
      </x:c>
      <x:c r="C6092" s="16" t="n">
        <x:v>1182.0902952329</x:v>
      </x:c>
      <x:c r="D6092" s="13" t="str">
        <x:v>Pulp &amp; Paper</x:v>
      </x:c>
      <x:c r="E6092" s="13" t="str">
        <x:v>Pulp &amp; Paper</x:v>
      </x:c>
      <x:c r="F6092" s="13" t="str">
        <x:v>Deep Cyclicals</x:v>
      </x:c>
      <x:c r="G6092" s="13" t="str">
        <x:v>grid_cqzdsc3v.xlsx</x:v>
      </x:c>
    </x:row>
    <x:row r="6093">
      <x:c r="A6093" s="15" t="n">
        <x:v>43191</x:v>
      </x:c>
      <x:c r="B6093" s="13" t="str">
        <x:v>SUZANO SA</x:v>
      </x:c>
      <x:c r="C6093" s="16" t="n">
        <x:v>2805.652992</x:v>
      </x:c>
      <x:c r="D6093" s="13" t="str">
        <x:v>Pulp &amp; Paper</x:v>
      </x:c>
      <x:c r="E6093" s="13" t="str">
        <x:v>Pulp &amp; Paper</x:v>
      </x:c>
      <x:c r="F6093" s="13" t="str">
        <x:v>Deep Cyclicals</x:v>
      </x:c>
      <x:c r="G6093" s="13" t="str">
        <x:v>grid_cqzdsc3v.xlsx</x:v>
      </x:c>
    </x:row>
    <x:row r="6094">
      <x:c r="A6094" s="15" t="n">
        <x:v>43191</x:v>
      </x:c>
      <x:c r="B6094" s="13" t="str">
        <x:v>CIA BRASILEIRA DE DIS-PREF</x:v>
      </x:c>
      <x:c r="C6094" s="16" t="n">
        <x:v>935.7775596712</x:v>
      </x:c>
      <x:c r="D6094" s="13" t="str">
        <x:v>Retail</x:v>
      </x:c>
      <x:c r="E6094" s="13" t="str">
        <x:v>Retail</x:v>
      </x:c>
      <x:c r="F6094" s="13" t="str">
        <x:v>Early Cyclicals</x:v>
      </x:c>
      <x:c r="G6094" s="13" t="str">
        <x:v>grid_cqzdsc3v.xlsx</x:v>
      </x:c>
    </x:row>
    <x:row r="6095">
      <x:c r="A6095" s="15" t="n">
        <x:v>43191</x:v>
      </x:c>
      <x:c r="B6095" s="13" t="str">
        <x:v>LOJAS AMERICANAS SA-PREF</x:v>
      </x:c>
      <x:c r="C6095" s="16" t="n">
        <x:v>852.7819230685</x:v>
      </x:c>
      <x:c r="D6095" s="13" t="str">
        <x:v>Retail</x:v>
      </x:c>
      <x:c r="E6095" s="13" t="str">
        <x:v>Retail</x:v>
      </x:c>
      <x:c r="F6095" s="13" t="str">
        <x:v>Early Cyclicals</x:v>
      </x:c>
      <x:c r="G6095" s="13" t="str">
        <x:v>grid_cqzdsc3v.xlsx</x:v>
      </x:c>
    </x:row>
    <x:row r="6096">
      <x:c r="A6096" s="15" t="n">
        <x:v>43191</x:v>
      </x:c>
      <x:c r="B6096" s="13" t="str">
        <x:v>LOJAS RENNER S.A.</x:v>
      </x:c>
      <x:c r="C6096" s="16" t="n">
        <x:v>998.1534246575</x:v>
      </x:c>
      <x:c r="D6096" s="13" t="str">
        <x:v>Retail</x:v>
      </x:c>
      <x:c r="E6096" s="13" t="str">
        <x:v>Retail</x:v>
      </x:c>
      <x:c r="F6096" s="13" t="str">
        <x:v>Early Cyclicals</x:v>
      </x:c>
      <x:c r="G6096" s="13" t="str">
        <x:v>grid_cqzdsc3v.xlsx</x:v>
      </x:c>
    </x:row>
    <x:row r="6097">
      <x:c r="A6097" s="15" t="n">
        <x:v>43191</x:v>
      </x:c>
      <x:c r="B6097" s="13" t="str">
        <x:v>MAGAZINE LUIZA SA</x:v>
      </x:c>
      <x:c r="C6097" s="16" t="n">
        <x:v>595.7089253699</x:v>
      </x:c>
      <x:c r="D6097" s="13" t="str">
        <x:v>Retail</x:v>
      </x:c>
      <x:c r="E6097" s="13" t="str">
        <x:v>Retail</x:v>
      </x:c>
      <x:c r="F6097" s="13" t="str">
        <x:v>Early Cyclicals</x:v>
      </x:c>
      <x:c r="G6097" s="13" t="str">
        <x:v>grid_cqzdsc3v.xlsx</x:v>
      </x:c>
    </x:row>
    <x:row r="6098">
      <x:c r="A6098" s="15" t="n">
        <x:v>43191</x:v>
      </x:c>
      <x:c r="B6098" s="13" t="str">
        <x:v>RAIA DROGASIL SA</x:v>
      </x:c>
      <x:c r="C6098" s="16" t="n">
        <x:v>694.2314143562</x:v>
      </x:c>
      <x:c r="D6098" s="13" t="str">
        <x:v>Retail</x:v>
      </x:c>
      <x:c r="E6098" s="13" t="str">
        <x:v>Retail</x:v>
      </x:c>
      <x:c r="F6098" s="13" t="str">
        <x:v>Early Cyclicals</x:v>
      </x:c>
      <x:c r="G6098" s="13" t="str">
        <x:v>grid_cqzdsc3v.xlsx</x:v>
      </x:c>
    </x:row>
    <x:row r="6099">
      <x:c r="A6099" s="15" t="n">
        <x:v>43191</x:v>
      </x:c>
      <x:c r="B6099" s="13" t="str">
        <x:v>VIA VAREJO SA</x:v>
      </x:c>
      <x:c r="C6099" s="16" t="n">
        <x:v>669.5981010411</x:v>
      </x:c>
      <x:c r="D6099" s="13" t="str">
        <x:v>Retail</x:v>
      </x:c>
      <x:c r="E6099" s="13" t="str">
        <x:v>Retail</x:v>
      </x:c>
      <x:c r="F6099" s="13" t="str">
        <x:v>Early Cyclicals</x:v>
      </x:c>
      <x:c r="G6099" s="13" t="str">
        <x:v>grid_cqzdsc3v.xlsx</x:v>
      </x:c>
    </x:row>
    <x:row r="6100">
      <x:c r="A6100" s="15" t="n">
        <x:v>43191</x:v>
      </x:c>
      <x:c r="B6100" s="13" t="str">
        <x:v>CIA DE SANEAMENTO DO PA-UNIT</x:v>
      </x:c>
      <x:c r="C6100" s="16" t="n">
        <x:v>928.7568438356</x:v>
      </x:c>
      <x:c r="D6100" s="13" t="str">
        <x:v>Sanitation</x:v>
      </x:c>
      <x:c r="E6100" s="13" t="str">
        <x:v>Utilities</x:v>
      </x:c>
      <x:c r="F6100" s="13" t="str">
        <x:v>Defensives</x:v>
      </x:c>
      <x:c r="G6100" s="13" t="str">
        <x:v>grid_cqzdsc3v.xlsx</x:v>
      </x:c>
    </x:row>
    <x:row r="6101">
      <x:c r="A6101" s="15" t="n">
        <x:v>43191</x:v>
      </x:c>
      <x:c r="B6101" s="13" t="str">
        <x:v>CIA SANEAMENTO BASICO DE SP</x:v>
      </x:c>
      <x:c r="C6101" s="16" t="n">
        <x:v>3000.5239829041</x:v>
      </x:c>
      <x:c r="D6101" s="13" t="str">
        <x:v>Sanitation</x:v>
      </x:c>
      <x:c r="E6101" s="13" t="str">
        <x:v>Utilities</x:v>
      </x:c>
      <x:c r="F6101" s="13" t="str">
        <x:v>Defensives</x:v>
      </x:c>
      <x:c r="G6101" s="13" t="str">
        <x:v>grid_cqzdsc3v.xlsx</x:v>
      </x:c>
    </x:row>
    <x:row r="6102">
      <x:c r="A6102" s="15" t="n">
        <x:v>43191</x:v>
      </x:c>
      <x:c r="B6102" s="13" t="str">
        <x:v>SMILES FIDELIDADE SA</x:v>
      </x:c>
      <x:c r="C6102" s="16" t="n">
        <x:v>628.4675454247</x:v>
      </x:c>
      <x:c r="D6102" s="13" t="str">
        <x:v>TMT</x:v>
      </x:c>
      <x:c r="E6102" s="13" t="str">
        <x:v>TMT</x:v>
      </x:c>
      <x:c r="F6102" s="13" t="str">
        <x:v>Early Cyclicals</x:v>
      </x:c>
      <x:c r="G6102" s="13" t="str">
        <x:v>grid_cqzdsc3v.xlsx</x:v>
      </x:c>
    </x:row>
    <x:row r="6103">
      <x:c r="A6103" s="15" t="n">
        <x:v>43191</x:v>
      </x:c>
      <x:c r="B6103" s="13" t="str">
        <x:v>TELEFONICA BRASIL S.A.-PREF</x:v>
      </x:c>
      <x:c r="C6103" s="16" t="n">
        <x:v>5707.688588274</x:v>
      </x:c>
      <x:c r="D6103" s="13" t="str">
        <x:v>TMT</x:v>
      </x:c>
      <x:c r="E6103" s="13" t="str">
        <x:v>TMT</x:v>
      </x:c>
      <x:c r="F6103" s="13" t="str">
        <x:v>Early Cyclicals</x:v>
      </x:c>
      <x:c r="G6103" s="13" t="str">
        <x:v>grid_cqzdsc3v.xlsx</x:v>
      </x:c>
    </x:row>
    <x:row r="6104">
      <x:c r="A6104" s="15" t="n">
        <x:v>43191</x:v>
      </x:c>
      <x:c r="B6104" s="13" t="str">
        <x:v>TIM SA</x:v>
      </x:c>
      <x:c r="C6104" s="16" t="n">
        <x:v>1715.0239351233</x:v>
      </x:c>
      <x:c r="D6104" s="13" t="str">
        <x:v>TMT</x:v>
      </x:c>
      <x:c r="E6104" s="13" t="str">
        <x:v>TMT</x:v>
      </x:c>
      <x:c r="F6104" s="13" t="str">
        <x:v>Early Cyclicals</x:v>
      </x:c>
      <x:c r="G6104" s="13" t="str">
        <x:v>grid_cqzdsc3v.xlsx</x:v>
      </x:c>
    </x:row>
    <x:row r="6105">
      <x:c r="A6105" s="15" t="n">
        <x:v>43191</x:v>
      </x:c>
      <x:c r="B6105" s="13" t="str">
        <x:v>ECORODOVIAS INFRA E LOG SA</x:v>
      </x:c>
      <x:c r="C6105" s="16" t="n">
        <x:v>543.1410432877</x:v>
      </x:c>
      <x:c r="D6105" s="13" t="str">
        <x:v>Transportation</x:v>
      </x:c>
      <x:c r="E6105" s="13" t="str">
        <x:v>Transportation</x:v>
      </x:c>
      <x:c r="F6105" s="13" t="str">
        <x:v>Deep Cyclicals</x:v>
      </x:c>
      <x:c r="G6105" s="13" t="str">
        <x:v>grid_cqzdsc3v.xlsx</x:v>
      </x:c>
    </x:row>
    <x:row r="6106">
      <x:c r="A6106" s="15" t="n">
        <x:v>43191</x:v>
      </x:c>
      <x:c r="B6106" s="13" t="str">
        <x:v>LOCALIZA RENT A CAR</x:v>
      </x:c>
      <x:c r="C6106" s="16" t="n">
        <x:v>754.8433674521</x:v>
      </x:c>
      <x:c r="D6106" s="13" t="str">
        <x:v>Transportation</x:v>
      </x:c>
      <x:c r="E6106" s="13" t="str">
        <x:v>Transportation</x:v>
      </x:c>
      <x:c r="F6106" s="13" t="str">
        <x:v>Deep Cyclicals</x:v>
      </x:c>
      <x:c r="G6106" s="13" t="str">
        <x:v>grid_cqzdsc3v.xlsx</x:v>
      </x:c>
    </x:row>
    <x:row r="6107">
      <x:c r="A6107" s="15" t="n">
        <x:v>43191</x:v>
      </x:c>
      <x:c r="B6107" s="13" t="str">
        <x:v>MOTIVA INFRAESTRUTURA DE MOB</x:v>
      </x:c>
      <x:c r="C6107" s="16" t="n">
        <x:v>2039.9125707397</x:v>
      </x:c>
      <x:c r="D6107" s="13" t="str">
        <x:v>Transportation</x:v>
      </x:c>
      <x:c r="E6107" s="13" t="str">
        <x:v>Transportation</x:v>
      </x:c>
      <x:c r="F6107" s="13" t="str">
        <x:v>Deep Cyclicals</x:v>
      </x:c>
      <x:c r="G6107" s="13" t="str">
        <x:v>grid_cqzdsc3v.xlsx</x:v>
      </x:c>
    </x:row>
    <x:row r="6108">
      <x:c r="A6108" s="15" t="n">
        <x:v>43191</x:v>
      </x:c>
      <x:c r="B6108" s="13" t="str">
        <x:v>RUMO SA</x:v>
      </x:c>
      <x:c r="C6108" s="16" t="n">
        <x:v>510.1134715616</x:v>
      </x:c>
      <x:c r="D6108" s="13" t="str">
        <x:v>Transportation</x:v>
      </x:c>
      <x:c r="E6108" s="13" t="str">
        <x:v>Transportation</x:v>
      </x:c>
      <x:c r="F6108" s="13" t="str">
        <x:v>Deep Cyclicals</x:v>
      </x:c>
      <x:c r="G6108" s="13" t="str">
        <x:v>grid_cqzdsc3v.xlsx</x:v>
      </x:c>
    </x:row>
    <x:row r="6109">
      <x:c r="A6109" s="15" t="n">
        <x:v>43191</x:v>
      </x:c>
      <x:c r="B6109" s="13" t="str">
        <x:v>AXIA ENERGIA SA</x:v>
      </x:c>
      <x:c r="C6109" s="16" t="n">
        <x:v>2831.2705052055</x:v>
      </x:c>
      <x:c r="D6109" s="13" t="str">
        <x:v>Utilities &amp; Energy</x:v>
      </x:c>
      <x:c r="E6109" s="13" t="str">
        <x:v>Utilities</x:v>
      </x:c>
      <x:c r="F6109" s="13" t="str">
        <x:v>Defensives</x:v>
      </x:c>
      <x:c r="G6109" s="13" t="str">
        <x:v>grid_cqzdsc3v.xlsx</x:v>
      </x:c>
    </x:row>
    <x:row r="6110">
      <x:c r="A6110" s="15" t="n">
        <x:v>43191</x:v>
      </x:c>
      <x:c r="B6110" s="13" t="str">
        <x:v>AXIA ENERGIA-PR B</x:v>
      </x:c>
      <x:c r="C6110" s="16" t="n">
        <x:v>2831.2705052055</x:v>
      </x:c>
      <x:c r="D6110" s="13" t="str">
        <x:v>Utilities &amp; Energy</x:v>
      </x:c>
      <x:c r="E6110" s="13" t="str">
        <x:v>Utilities</x:v>
      </x:c>
      <x:c r="F6110" s="13" t="str">
        <x:v>Defensives</x:v>
      </x:c>
      <x:c r="G6110" s="13" t="str">
        <x:v>grid_cqzdsc3v.xlsx</x:v>
      </x:c>
    </x:row>
    <x:row r="6111">
      <x:c r="A6111" s="15" t="n">
        <x:v>43191</x:v>
      </x:c>
      <x:c r="B6111" s="13" t="str">
        <x:v>CIA ENERGETICA MINAS GER-PRF</x:v>
      </x:c>
      <x:c r="C6111" s="16" t="n">
        <x:v>1801.120953863</x:v>
      </x:c>
      <x:c r="D6111" s="13" t="str">
        <x:v>Utilities &amp; Energy</x:v>
      </x:c>
      <x:c r="E6111" s="13" t="str">
        <x:v>Utilities</x:v>
      </x:c>
      <x:c r="F6111" s="13" t="str">
        <x:v>Defensives</x:v>
      </x:c>
      <x:c r="G6111" s="13" t="str">
        <x:v>grid_cqzdsc3v.xlsx</x:v>
      </x:c>
    </x:row>
    <x:row r="6112">
      <x:c r="A6112" s="15" t="n">
        <x:v>43191</x:v>
      </x:c>
      <x:c r="B6112" s="13" t="str">
        <x:v>COMPANHIA PARANAENSE -PREF B</x:v>
      </x:c>
      <x:c r="C6112" s="16" t="n">
        <x:v>1424.9143513425</x:v>
      </x:c>
      <x:c r="D6112" s="13" t="str">
        <x:v>Utilities &amp; Energy</x:v>
      </x:c>
      <x:c r="E6112" s="13" t="str">
        <x:v>Utilities</x:v>
      </x:c>
      <x:c r="F6112" s="13" t="str">
        <x:v>Defensives</x:v>
      </x:c>
      <x:c r="G6112" s="13" t="str">
        <x:v>grid_cqzdsc3v.xlsx</x:v>
      </x:c>
    </x:row>
    <x:row r="6113">
      <x:c r="A6113" s="15" t="n">
        <x:v>43191</x:v>
      </x:c>
      <x:c r="B6113" s="13" t="str">
        <x:v>CPFL ENERGIA SA</x:v>
      </x:c>
      <x:c r="C6113" s="16" t="n">
        <x:v>1423.1780821918</x:v>
      </x:c>
      <x:c r="D6113" s="13" t="str">
        <x:v>Utilities &amp; Energy</x:v>
      </x:c>
      <x:c r="E6113" s="13" t="str">
        <x:v>Utilities</x:v>
      </x:c>
      <x:c r="F6113" s="13" t="str">
        <x:v>Defensives</x:v>
      </x:c>
      <x:c r="G6113" s="13" t="str">
        <x:v>grid_cqzdsc3v.xlsx</x:v>
      </x:c>
    </x:row>
    <x:row r="6114">
      <x:c r="A6114" s="15" t="n">
        <x:v>43191</x:v>
      </x:c>
      <x:c r="B6114" s="13" t="str">
        <x:v>EDP - ENERGIAS DO BRASIL SA</x:v>
      </x:c>
      <x:c r="C6114" s="16" t="n">
        <x:v>787.2151259178</x:v>
      </x:c>
      <x:c r="D6114" s="13" t="str">
        <x:v>Utilities &amp; Energy</x:v>
      </x:c>
      <x:c r="E6114" s="13" t="str">
        <x:v>Utilities</x:v>
      </x:c>
      <x:c r="F6114" s="13" t="str">
        <x:v>Defensives</x:v>
      </x:c>
      <x:c r="G6114" s="13" t="str">
        <x:v>grid_cqzdsc3v.xlsx</x:v>
      </x:c>
    </x:row>
    <x:row r="6115">
      <x:c r="A6115" s="15" t="n">
        <x:v>43191</x:v>
      </x:c>
      <x:c r="B6115" s="13" t="str">
        <x:v>ENGIE BRASIL ENERGIA SA</x:v>
      </x:c>
      <x:c r="C6115" s="16" t="n">
        <x:v>2147.105490411</x:v>
      </x:c>
      <x:c r="D6115" s="13" t="str">
        <x:v>Utilities &amp; Energy</x:v>
      </x:c>
      <x:c r="E6115" s="13" t="str">
        <x:v>Utilities</x:v>
      </x:c>
      <x:c r="F6115" s="13" t="str">
        <x:v>Defensives</x:v>
      </x:c>
      <x:c r="G6115" s="13" t="str">
        <x:v>grid_cqzdsc3v.xlsx</x:v>
      </x:c>
    </x:row>
    <x:row r="6116">
      <x:c r="A6116" s="15" t="n">
        <x:v>43191</x:v>
      </x:c>
      <x:c r="B6116" s="13" t="str">
        <x:v>EQUATORIAL SA - ORD</x:v>
      </x:c>
      <x:c r="C6116" s="16" t="n">
        <x:v>900.2844686027</x:v>
      </x:c>
      <x:c r="D6116" s="13" t="str">
        <x:v>Utilities &amp; Energy</x:v>
      </x:c>
      <x:c r="E6116" s="13" t="str">
        <x:v>Utilities</x:v>
      </x:c>
      <x:c r="F6116" s="13" t="str">
        <x:v>Defensives</x:v>
      </x:c>
      <x:c r="G6116" s="13" t="str">
        <x:v>grid_cqzdsc3v.xlsx</x:v>
      </x:c>
    </x:row>
    <x:row r="6117">
      <x:c r="A6117" s="15" t="n">
        <x:v>43191</x:v>
      </x:c>
      <x:c r="B6117" s="13" t="str">
        <x:v>TRANSMISSORA ALIANCA DE-UNIT</x:v>
      </x:c>
      <x:c r="C6117" s="16" t="n">
        <x:v>794.0246680548</x:v>
      </x:c>
      <x:c r="D6117" s="13" t="str">
        <x:v>Utilities &amp; Energy</x:v>
      </x:c>
      <x:c r="E6117" s="13" t="str">
        <x:v>Utilities</x:v>
      </x:c>
      <x:c r="F6117" s="13" t="str">
        <x:v>Defensives</x:v>
      </x:c>
      <x:c r="G6117" s="13" t="str">
        <x:v>grid_cqzdsc3v.xlsx</x:v>
      </x:c>
    </x:row>
    <x:row r="6118">
      <x:c r="A6118" s="15" t="n">
        <x:v>43221</x:v>
      </x:c>
      <x:c r="B6118" s="13" t="str">
        <x:v>BANCO BRADESCO S.A.</x:v>
      </x:c>
      <x:c r="C6118" s="16" t="n">
        <x:v>22066.4464089425</x:v>
      </x:c>
      <x:c r="D6118" s="13" t="str">
        <x:v>Banks</x:v>
      </x:c>
      <x:c r="E6118" s="13" t="str">
        <x:v>Banks</x:v>
      </x:c>
      <x:c r="F6118" s="13" t="str">
        <x:v>Financials</x:v>
      </x:c>
      <x:c r="G6118" s="13" t="str">
        <x:v>grid_cqzdsc3v.xlsx</x:v>
      </x:c>
    </x:row>
    <x:row r="6119">
      <x:c r="A6119" s="15" t="n">
        <x:v>43221</x:v>
      </x:c>
      <x:c r="B6119" s="13" t="str">
        <x:v>BANCO BRADESCO SA-PREF</x:v>
      </x:c>
      <x:c r="C6119" s="16" t="n">
        <x:v>22066.4464089425</x:v>
      </x:c>
      <x:c r="D6119" s="13" t="str">
        <x:v>Banks</x:v>
      </x:c>
      <x:c r="E6119" s="13" t="str">
        <x:v>Banks</x:v>
      </x:c>
      <x:c r="F6119" s="13" t="str">
        <x:v>Financials</x:v>
      </x:c>
      <x:c r="G6119" s="13" t="str">
        <x:v>grid_cqzdsc3v.xlsx</x:v>
      </x:c>
    </x:row>
    <x:row r="6120">
      <x:c r="A6120" s="15" t="n">
        <x:v>43221</x:v>
      </x:c>
      <x:c r="B6120" s="13" t="str">
        <x:v>BANCO DO BRASIL S.A.</x:v>
      </x:c>
      <x:c r="C6120" s="16" t="n">
        <x:v>13705.399635463</x:v>
      </x:c>
      <x:c r="D6120" s="13" t="str">
        <x:v>Banks</x:v>
      </x:c>
      <x:c r="E6120" s="13" t="str">
        <x:v>Banks</x:v>
      </x:c>
      <x:c r="F6120" s="13" t="str">
        <x:v>Financials</x:v>
      </x:c>
      <x:c r="G6120" s="13" t="str">
        <x:v>grid_cqzdsc3v.xlsx</x:v>
      </x:c>
    </x:row>
    <x:row r="6121">
      <x:c r="A6121" s="15" t="n">
        <x:v>43221</x:v>
      </x:c>
      <x:c r="B6121" s="13" t="str">
        <x:v>BANCO SANTANDER  BRASIL-UNIT</x:v>
      </x:c>
      <x:c r="C6121" s="16" t="n">
        <x:v>11703.7159381918</x:v>
      </x:c>
      <x:c r="D6121" s="13" t="str">
        <x:v>Banks</x:v>
      </x:c>
      <x:c r="E6121" s="13" t="str">
        <x:v>Banks</x:v>
      </x:c>
      <x:c r="F6121" s="13" t="str">
        <x:v>Financials</x:v>
      </x:c>
      <x:c r="G6121" s="13" t="str">
        <x:v>grid_cqzdsc3v.xlsx</x:v>
      </x:c>
    </x:row>
    <x:row r="6122">
      <x:c r="A6122" s="15" t="n">
        <x:v>43221</x:v>
      </x:c>
      <x:c r="B6122" s="13" t="str">
        <x:v>ITAU UNIBANCO HOLDING S-PREF</x:v>
      </x:c>
      <x:c r="C6122" s="16" t="n">
        <x:v>28115.2626126904</x:v>
      </x:c>
      <x:c r="D6122" s="13" t="str">
        <x:v>Banks</x:v>
      </x:c>
      <x:c r="E6122" s="13" t="str">
        <x:v>Banks</x:v>
      </x:c>
      <x:c r="F6122" s="13" t="str">
        <x:v>Financials</x:v>
      </x:c>
      <x:c r="G6122" s="13" t="str">
        <x:v>grid_cqzdsc3v.xlsx</x:v>
      </x:c>
    </x:row>
    <x:row r="6123">
      <x:c r="A6123" s="15" t="n">
        <x:v>43221</x:v>
      </x:c>
      <x:c r="B6123" s="13" t="str">
        <x:v>EMBRAER SA</x:v>
      </x:c>
      <x:c r="C6123" s="16" t="n">
        <x:v>802.5330410959</x:v>
      </x:c>
      <x:c r="D6123" s="13" t="str">
        <x:v>Capital Goods</x:v>
      </x:c>
      <x:c r="E6123" s="13" t="str">
        <x:v>Capital Goods</x:v>
      </x:c>
      <x:c r="F6123" s="13" t="str">
        <x:v>Deep Cyclicals</x:v>
      </x:c>
      <x:c r="G6123" s="13" t="str">
        <x:v>grid_cqzdsc3v.xlsx</x:v>
      </x:c>
    </x:row>
    <x:row r="6124">
      <x:c r="A6124" s="15" t="n">
        <x:v>43221</x:v>
      </x:c>
      <x:c r="B6124" s="13" t="str">
        <x:v>WEG SA</x:v>
      </x:c>
      <x:c r="C6124" s="16" t="n">
        <x:v>1423.923480548</x:v>
      </x:c>
      <x:c r="D6124" s="13" t="str">
        <x:v>Capital Goods</x:v>
      </x:c>
      <x:c r="E6124" s="13" t="str">
        <x:v>Capital Goods</x:v>
      </x:c>
      <x:c r="F6124" s="13" t="str">
        <x:v>Deep Cyclicals</x:v>
      </x:c>
      <x:c r="G6124" s="13" t="str">
        <x:v>grid_cqzdsc3v.xlsx</x:v>
      </x:c>
    </x:row>
    <x:row r="6125">
      <x:c r="A6125" s="15" t="n">
        <x:v>43221</x:v>
      </x:c>
      <x:c r="B6125" s="13" t="str">
        <x:v>COGNA EDUCACAO</x:v>
      </x:c>
      <x:c r="C6125" s="16" t="n">
        <x:v>2075.8575644055</x:v>
      </x:c>
      <x:c r="D6125" s="13" t="str">
        <x:v>Education</x:v>
      </x:c>
      <x:c r="E6125" s="13" t="str">
        <x:v>Education</x:v>
      </x:c>
      <x:c r="F6125" s="13" t="str">
        <x:v>Early Cyclicals</x:v>
      </x:c>
      <x:c r="G6125" s="13" t="str">
        <x:v>grid_cqzdsc3v.xlsx</x:v>
      </x:c>
    </x:row>
    <x:row r="6126">
      <x:c r="A6126" s="15" t="n">
        <x:v>43221</x:v>
      </x:c>
      <x:c r="B6126" s="13" t="str">
        <x:v>YDUQS PARTICIPACOES SA</x:v>
      </x:c>
      <x:c r="C6126" s="16" t="n">
        <x:v>837.2462478027</x:v>
      </x:c>
      <x:c r="D6126" s="13" t="str">
        <x:v>Education</x:v>
      </x:c>
      <x:c r="E6126" s="13" t="str">
        <x:v>Education</x:v>
      </x:c>
      <x:c r="F6126" s="13" t="str">
        <x:v>Early Cyclicals</x:v>
      </x:c>
      <x:c r="G6126" s="13" t="str">
        <x:v>grid_cqzdsc3v.xlsx</x:v>
      </x:c>
    </x:row>
    <x:row r="6127">
      <x:c r="A6127" s="15" t="n">
        <x:v>43221</x:v>
      </x:c>
      <x:c r="B6127" s="13" t="str">
        <x:v>B3 SA-BRASIL BOLSA BALCAO</x:v>
      </x:c>
      <x:c r="C6127" s="16" t="n">
        <x:v>2578.4719963178</x:v>
      </x:c>
      <x:c r="D6127" s="13" t="str">
        <x:v>Financials Non-Banks</x:v>
      </x:c>
      <x:c r="E6127" s="13" t="str">
        <x:v>Financials Non-Banks</x:v>
      </x:c>
      <x:c r="F6127" s="13" t="str">
        <x:v>Financials</x:v>
      </x:c>
      <x:c r="G6127" s="13" t="str">
        <x:v>grid_cqzdsc3v.xlsx</x:v>
      </x:c>
    </x:row>
    <x:row r="6128">
      <x:c r="A6128" s="15" t="n">
        <x:v>43221</x:v>
      </x:c>
      <x:c r="B6128" s="13" t="str">
        <x:v>BB SEGURIDADE PARTICIPACOES</x:v>
      </x:c>
      <x:c r="C6128" s="16" t="n">
        <x:v>4126.0739724274</x:v>
      </x:c>
      <x:c r="D6128" s="13" t="str">
        <x:v>Financials Non-Banks</x:v>
      </x:c>
      <x:c r="E6128" s="13" t="str">
        <x:v>Financials Non-Banks</x:v>
      </x:c>
      <x:c r="F6128" s="13" t="str">
        <x:v>Financials</x:v>
      </x:c>
      <x:c r="G6128" s="13" t="str">
        <x:v>grid_cqzdsc3v.xlsx</x:v>
      </x:c>
    </x:row>
    <x:row r="6129">
      <x:c r="A6129" s="15" t="n">
        <x:v>43221</x:v>
      </x:c>
      <x:c r="B6129" s="13" t="str">
        <x:v>CIELO SA - INSTITUICAO DE PA</x:v>
      </x:c>
      <x:c r="C6129" s="16" t="n">
        <x:v>4223.2444142466</x:v>
      </x:c>
      <x:c r="D6129" s="13" t="str">
        <x:v>Financials Non-Banks</x:v>
      </x:c>
      <x:c r="E6129" s="13" t="str">
        <x:v>Financials Non-Banks</x:v>
      </x:c>
      <x:c r="F6129" s="13" t="str">
        <x:v>Financials</x:v>
      </x:c>
      <x:c r="G6129" s="13" t="str">
        <x:v>grid_cqzdsc3v.xlsx</x:v>
      </x:c>
    </x:row>
    <x:row r="6130">
      <x:c r="A6130" s="15" t="n">
        <x:v>43221</x:v>
      </x:c>
      <x:c r="B6130" s="13" t="str">
        <x:v>ITAUSA SA</x:v>
      </x:c>
      <x:c r="C6130" s="16" t="n">
        <x:v>10094.9803849644</x:v>
      </x:c>
      <x:c r="D6130" s="13" t="str">
        <x:v>Financials Non-Banks</x:v>
      </x:c>
      <x:c r="E6130" s="13" t="str">
        <x:v>Financials Non-Banks</x:v>
      </x:c>
      <x:c r="F6130" s="13" t="str">
        <x:v>Financials</x:v>
      </x:c>
      <x:c r="G6130" s="13" t="str">
        <x:v>grid_cqzdsc3v.xlsx</x:v>
      </x:c>
    </x:row>
    <x:row r="6131">
      <x:c r="A6131" s="15" t="n">
        <x:v>43221</x:v>
      </x:c>
      <x:c r="B6131" s="13" t="str">
        <x:v>AMBEV SA</x:v>
      </x:c>
      <x:c r="C6131" s="16" t="n">
        <x:v>14597.3789934466</x:v>
      </x:c>
      <x:c r="D6131" s="13" t="str">
        <x:v>Food &amp; Beverages</x:v>
      </x:c>
      <x:c r="E6131" s="13" t="str">
        <x:v>Agri, Food &amp; Beverages</x:v>
      </x:c>
      <x:c r="F6131" s="13" t="str">
        <x:v>Defensives</x:v>
      </x:c>
      <x:c r="G6131" s="13" t="str">
        <x:v>grid_cqzdsc3v.xlsx</x:v>
      </x:c>
    </x:row>
    <x:row r="6132">
      <x:c r="A6132" s="15" t="n">
        <x:v>43221</x:v>
      </x:c>
      <x:c r="B6132" s="13" t="str">
        <x:v>BRF SA</x:v>
      </x:c>
      <x:c r="C6132" s="16" t="n">
        <x:v>407.5654076493</x:v>
      </x:c>
      <x:c r="D6132" s="13" t="str">
        <x:v>Food &amp; Beverages</x:v>
      </x:c>
      <x:c r="E6132" s="13" t="str">
        <x:v>Agri, Food &amp; Beverages</x:v>
      </x:c>
      <x:c r="F6132" s="13" t="str">
        <x:v>Defensives</x:v>
      </x:c>
      <x:c r="G6132" s="13" t="str">
        <x:v>grid_cqzdsc3v.xlsx</x:v>
      </x:c>
    </x:row>
    <x:row r="6133">
      <x:c r="A6133" s="15" t="n">
        <x:v>43221</x:v>
      </x:c>
      <x:c r="B6133" s="13" t="str">
        <x:v>JBS SA</x:v>
      </x:c>
      <x:c r="C6133" s="16" t="n">
        <x:v>3523.140236274</x:v>
      </x:c>
      <x:c r="D6133" s="13" t="str">
        <x:v>Food &amp; Beverages</x:v>
      </x:c>
      <x:c r="E6133" s="13" t="str">
        <x:v>Agri, Food &amp; Beverages</x:v>
      </x:c>
      <x:c r="F6133" s="13" t="str">
        <x:v>Defensives</x:v>
      </x:c>
      <x:c r="G6133" s="13" t="str">
        <x:v>grid_cqzdsc3v.xlsx</x:v>
      </x:c>
    </x:row>
    <x:row r="6134">
      <x:c r="A6134" s="15" t="n">
        <x:v>43221</x:v>
      </x:c>
      <x:c r="B6134" s="13" t="str">
        <x:v>MBRF GLOBAL FOODS COMPANY SA</x:v>
      </x:c>
      <x:c r="C6134" s="16" t="n">
        <x:v>279.0332205589</x:v>
      </x:c>
      <x:c r="D6134" s="13" t="str">
        <x:v>Food &amp; Beverages</x:v>
      </x:c>
      <x:c r="E6134" s="13" t="str">
        <x:v>Agri, Food &amp; Beverages</x:v>
      </x:c>
      <x:c r="F6134" s="13" t="str">
        <x:v>Defensives</x:v>
      </x:c>
      <x:c r="G6134" s="13" t="str">
        <x:v>grid_cqzdsc3v.xlsx</x:v>
      </x:c>
    </x:row>
    <x:row r="6135">
      <x:c r="A6135" s="15" t="n">
        <x:v>43221</x:v>
      </x:c>
      <x:c r="B6135" s="13" t="str">
        <x:v>FLEURY SA</x:v>
      </x:c>
      <x:c r="C6135" s="16" t="n">
        <x:v>400.5150462247</x:v>
      </x:c>
      <x:c r="D6135" s="13" t="str">
        <x:v>Health Care</x:v>
      </x:c>
      <x:c r="E6135" s="13" t="str">
        <x:v>Health Care</x:v>
      </x:c>
      <x:c r="F6135" s="13" t="str">
        <x:v>Defensives</x:v>
      </x:c>
      <x:c r="G6135" s="13" t="str">
        <x:v>grid_cqzdsc3v.xlsx</x:v>
      </x:c>
    </x:row>
    <x:row r="6136">
      <x:c r="A6136" s="15" t="n">
        <x:v>43221</x:v>
      </x:c>
      <x:c r="B6136" s="13" t="str">
        <x:v>HYPERA SA</x:v>
      </x:c>
      <x:c r="C6136" s="16" t="n">
        <x:v>1150.0287537096</x:v>
      </x:c>
      <x:c r="D6136" s="13" t="str">
        <x:v>Health Care</x:v>
      </x:c>
      <x:c r="E6136" s="13" t="str">
        <x:v>Health Care</x:v>
      </x:c>
      <x:c r="F6136" s="13" t="str">
        <x:v>Defensives</x:v>
      </x:c>
      <x:c r="G6136" s="13" t="str">
        <x:v>grid_cqzdsc3v.xlsx</x:v>
      </x:c>
    </x:row>
    <x:row r="6137">
      <x:c r="A6137" s="15" t="n">
        <x:v>43221</x:v>
      </x:c>
      <x:c r="B6137" s="13" t="str">
        <x:v>QUALICORP CONS E CORR SEG SA</x:v>
      </x:c>
      <x:c r="C6137" s="16" t="n">
        <x:v>566.5295579178</x:v>
      </x:c>
      <x:c r="D6137" s="13" t="str">
        <x:v>Health Care</x:v>
      </x:c>
      <x:c r="E6137" s="13" t="str">
        <x:v>Health Care</x:v>
      </x:c>
      <x:c r="F6137" s="13" t="str">
        <x:v>Defensives</x:v>
      </x:c>
      <x:c r="G6137" s="13" t="str">
        <x:v>grid_cqzdsc3v.xlsx</x:v>
      </x:c>
    </x:row>
    <x:row r="6138">
      <x:c r="A6138" s="15" t="n">
        <x:v>43221</x:v>
      </x:c>
      <x:c r="B6138" s="13" t="str">
        <x:v>CYRELA BRAZIL REALTY SA EMP</x:v>
      </x:c>
      <x:c r="C6138" s="16" t="n">
        <x:v>272.2341312877</x:v>
      </x:c>
      <x:c r="D6138" s="13" t="str">
        <x:v>Homebuilders</x:v>
      </x:c>
      <x:c r="E6138" s="13" t="str">
        <x:v>Real Estate</x:v>
      </x:c>
      <x:c r="F6138" s="13" t="str">
        <x:v>Early Cyclicals</x:v>
      </x:c>
      <x:c r="G6138" s="13" t="str">
        <x:v>grid_cqzdsc3v.xlsx</x:v>
      </x:c>
    </x:row>
    <x:row r="6139">
      <x:c r="A6139" s="15" t="n">
        <x:v>43221</x:v>
      </x:c>
      <x:c r="B6139" s="13" t="str">
        <x:v>MRV ENGENHARIA</x:v>
      </x:c>
      <x:c r="C6139" s="16" t="n">
        <x:v>780.3027084274</x:v>
      </x:c>
      <x:c r="D6139" s="13" t="str">
        <x:v>Homebuilders</x:v>
      </x:c>
      <x:c r="E6139" s="13" t="str">
        <x:v>Real Estate</x:v>
      </x:c>
      <x:c r="F6139" s="13" t="str">
        <x:v>Early Cyclicals</x:v>
      </x:c>
      <x:c r="G6139" s="13" t="str">
        <x:v>grid_cqzdsc3v.xlsx</x:v>
      </x:c>
    </x:row>
    <x:row r="6140">
      <x:c r="A6140" s="15" t="n">
        <x:v>43221</x:v>
      </x:c>
      <x:c r="B6140" s="13" t="str">
        <x:v>BR MALLS PARTICIPACOES SA</x:v>
      </x:c>
      <x:c r="C6140" s="16" t="n">
        <x:v>592.7154393425</x:v>
      </x:c>
      <x:c r="D6140" s="13" t="str">
        <x:v>Income Properties</x:v>
      </x:c>
      <x:c r="E6140" s="13" t="str">
        <x:v>Real Estate</x:v>
      </x:c>
      <x:c r="F6140" s="13" t="str">
        <x:v>Early Cyclicals</x:v>
      </x:c>
      <x:c r="G6140" s="13" t="str">
        <x:v>grid_cqzdsc3v.xlsx</x:v>
      </x:c>
    </x:row>
    <x:row r="6141">
      <x:c r="A6141" s="15" t="n">
        <x:v>43221</x:v>
      </x:c>
      <x:c r="B6141" s="13" t="str">
        <x:v>IGUATEMI EMP DE SHOPPING</x:v>
      </x:c>
      <x:c r="C6141" s="16" t="n">
        <x:v>279.2523128986</x:v>
      </x:c>
      <x:c r="D6141" s="13" t="str">
        <x:v>Income Properties</x:v>
      </x:c>
      <x:c r="E6141" s="13" t="str">
        <x:v>Real Estate</x:v>
      </x:c>
      <x:c r="F6141" s="13" t="str">
        <x:v>Early Cyclicals</x:v>
      </x:c>
      <x:c r="G6141" s="13" t="str">
        <x:v>grid_cqzdsc3v.xlsx</x:v>
      </x:c>
    </x:row>
    <x:row r="6142">
      <x:c r="A6142" s="15" t="n">
        <x:v>43221</x:v>
      </x:c>
      <x:c r="B6142" s="13" t="str">
        <x:v>MULTIPLAN EMPREENDIMENTOS</x:v>
      </x:c>
      <x:c r="C6142" s="16" t="n">
        <x:v>521.8830635836</x:v>
      </x:c>
      <x:c r="D6142" s="13" t="str">
        <x:v>Income Properties</x:v>
      </x:c>
      <x:c r="E6142" s="13" t="str">
        <x:v>Real Estate</x:v>
      </x:c>
      <x:c r="F6142" s="13" t="str">
        <x:v>Early Cyclicals</x:v>
      </x:c>
      <x:c r="G6142" s="13" t="str">
        <x:v>grid_cqzdsc3v.xlsx</x:v>
      </x:c>
    </x:row>
    <x:row r="6143">
      <x:c r="A6143" s="15" t="n">
        <x:v>43221</x:v>
      </x:c>
      <x:c r="B6143" s="13" t="str">
        <x:v>BRADESPAR SA -PREF</x:v>
      </x:c>
      <x:c r="C6143" s="16" t="n">
        <x:v>861.9589041096</x:v>
      </x:c>
      <x:c r="D6143" s="13" t="str">
        <x:v>Metals &amp; Mining</x:v>
      </x:c>
      <x:c r="E6143" s="13" t="str">
        <x:v>Metals &amp; Mining</x:v>
      </x:c>
      <x:c r="F6143" s="13" t="str">
        <x:v>Deep Cyclicals</x:v>
      </x:c>
      <x:c r="G6143" s="13" t="str">
        <x:v>grid_cqzdsc3v.xlsx</x:v>
      </x:c>
    </x:row>
    <x:row r="6144">
      <x:c r="A6144" s="15" t="n">
        <x:v>43221</x:v>
      </x:c>
      <x:c r="B6144" s="13" t="str">
        <x:v>CIA SIDERURGICA NACIONAL SA</x:v>
      </x:c>
      <x:c r="C6144" s="16" t="n">
        <x:v>1048.508491748</x:v>
      </x:c>
      <x:c r="D6144" s="13" t="str">
        <x:v>Metals &amp; Mining</x:v>
      </x:c>
      <x:c r="E6144" s="13" t="str">
        <x:v>Metals &amp; Mining</x:v>
      </x:c>
      <x:c r="F6144" s="13" t="str">
        <x:v>Deep Cyclicals</x:v>
      </x:c>
      <x:c r="G6144" s="13" t="str">
        <x:v>grid_cqzdsc3v.xlsx</x:v>
      </x:c>
    </x:row>
    <x:row r="6145">
      <x:c r="A6145" s="15" t="n">
        <x:v>43221</x:v>
      </x:c>
      <x:c r="B6145" s="13" t="str">
        <x:v>GERDAU SA-PREF</x:v>
      </x:c>
      <x:c r="C6145" s="16" t="n">
        <x:v>2018.8832424329</x:v>
      </x:c>
      <x:c r="D6145" s="13" t="str">
        <x:v>Metals &amp; Mining</x:v>
      </x:c>
      <x:c r="E6145" s="13" t="str">
        <x:v>Metals &amp; Mining</x:v>
      </x:c>
      <x:c r="F6145" s="13" t="str">
        <x:v>Deep Cyclicals</x:v>
      </x:c>
      <x:c r="G6145" s="13" t="str">
        <x:v>grid_cqzdsc3v.xlsx</x:v>
      </x:c>
    </x:row>
    <x:row r="6146">
      <x:c r="A6146" s="15" t="n">
        <x:v>43221</x:v>
      </x:c>
      <x:c r="B6146" s="13" t="str">
        <x:v>USINAS SIDER MINAS GER-PF A</x:v>
      </x:c>
      <x:c r="C6146" s="16" t="n">
        <x:v>976.8828289753</x:v>
      </x:c>
      <x:c r="D6146" s="13" t="str">
        <x:v>Metals &amp; Mining</x:v>
      </x:c>
      <x:c r="E6146" s="13" t="str">
        <x:v>Metals &amp; Mining</x:v>
      </x:c>
      <x:c r="F6146" s="13" t="str">
        <x:v>Deep Cyclicals</x:v>
      </x:c>
      <x:c r="G6146" s="13" t="str">
        <x:v>grid_cqzdsc3v.xlsx</x:v>
      </x:c>
    </x:row>
    <x:row r="6147">
      <x:c r="A6147" s="15" t="n">
        <x:v>43221</x:v>
      </x:c>
      <x:c r="B6147" s="13" t="str">
        <x:v>VALE SA</x:v>
      </x:c>
      <x:c r="C6147" s="16" t="n">
        <x:v>27021.9773138411</x:v>
      </x:c>
      <x:c r="D6147" s="13" t="str">
        <x:v>Metals &amp; Mining</x:v>
      </x:c>
      <x:c r="E6147" s="13" t="str">
        <x:v>Metals &amp; Mining</x:v>
      </x:c>
      <x:c r="F6147" s="13" t="str">
        <x:v>Deep Cyclicals</x:v>
      </x:c>
      <x:c r="G6147" s="13" t="str">
        <x:v>grid_cqzdsc3v.xlsx</x:v>
      </x:c>
    </x:row>
    <x:row r="6148">
      <x:c r="A6148" s="15" t="n">
        <x:v>43221</x:v>
      </x:c>
      <x:c r="B6148" s="13" t="str">
        <x:v>BRASKEM SA-PREF A</x:v>
      </x:c>
      <x:c r="C6148" s="16" t="n">
        <x:v>3006.3987073753</x:v>
      </x:c>
      <x:c r="D6148" s="13" t="str">
        <x:v>Oil, Gas &amp; Petrochemicals</x:v>
      </x:c>
      <x:c r="E6148" s="13" t="str">
        <x:v>Oil, Gas &amp; Petrochemicals</x:v>
      </x:c>
      <x:c r="F6148" s="13" t="str">
        <x:v>Deep Cyclicals</x:v>
      </x:c>
      <x:c r="G6148" s="13" t="str">
        <x:v>grid_cqzdsc3v.xlsx</x:v>
      </x:c>
    </x:row>
    <x:row r="6149">
      <x:c r="A6149" s="15" t="n">
        <x:v>43221</x:v>
      </x:c>
      <x:c r="B6149" s="13" t="str">
        <x:v>COSAN SA</x:v>
      </x:c>
      <x:c r="C6149" s="16" t="n">
        <x:v>1360.174201337</x:v>
      </x:c>
      <x:c r="D6149" s="13" t="str">
        <x:v>Oil, Gas &amp; Petrochemicals</x:v>
      </x:c>
      <x:c r="E6149" s="13" t="str">
        <x:v>Oil, Gas &amp; Petrochemicals</x:v>
      </x:c>
      <x:c r="F6149" s="13" t="str">
        <x:v>Deep Cyclicals</x:v>
      </x:c>
      <x:c r="G6149" s="13" t="str">
        <x:v>grid_cqzdsc3v.xlsx</x:v>
      </x:c>
    </x:row>
    <x:row r="6150">
      <x:c r="A6150" s="15" t="n">
        <x:v>43221</x:v>
      </x:c>
      <x:c r="B6150" s="13" t="str">
        <x:v>PETROBRAS - PETROLEO BRAS</x:v>
      </x:c>
      <x:c r="C6150" s="16" t="n">
        <x:v>31242.9382838356</x:v>
      </x:c>
      <x:c r="D6150" s="13" t="str">
        <x:v>Oil, Gas &amp; Petrochemicals</x:v>
      </x:c>
      <x:c r="E6150" s="13" t="str">
        <x:v>Oil, Gas &amp; Petrochemicals</x:v>
      </x:c>
      <x:c r="F6150" s="13" t="str">
        <x:v>Deep Cyclicals</x:v>
      </x:c>
      <x:c r="G6150" s="13" t="str">
        <x:v>grid_cqzdsc3v.xlsx</x:v>
      </x:c>
    </x:row>
    <x:row r="6151">
      <x:c r="A6151" s="15" t="n">
        <x:v>43221</x:v>
      </x:c>
      <x:c r="B6151" s="13" t="str">
        <x:v>ULTRAPAR PARTICIPACOES SA</x:v>
      </x:c>
      <x:c r="C6151" s="16" t="n">
        <x:v>1645.8966990904</x:v>
      </x:c>
      <x:c r="D6151" s="13" t="str">
        <x:v>Oil, Gas &amp; Petrochemicals</x:v>
      </x:c>
      <x:c r="E6151" s="13" t="str">
        <x:v>Oil, Gas &amp; Petrochemicals</x:v>
      </x:c>
      <x:c r="F6151" s="13" t="str">
        <x:v>Deep Cyclicals</x:v>
      </x:c>
      <x:c r="G6151" s="13" t="str">
        <x:v>grid_cqzdsc3v.xlsx</x:v>
      </x:c>
    </x:row>
    <x:row r="6152">
      <x:c r="A6152" s="15" t="n">
        <x:v>43221</x:v>
      </x:c>
      <x:c r="B6152" s="13" t="str">
        <x:v>FIBRIA CELULOSE S/A</x:v>
      </x:c>
      <x:c r="C6152" s="16" t="n">
        <x:v>4045.1403151781</x:v>
      </x:c>
      <x:c r="D6152" s="13" t="str">
        <x:v>Pulp &amp; Paper</x:v>
      </x:c>
      <x:c r="E6152" s="13" t="str">
        <x:v>Pulp &amp; Paper</x:v>
      </x:c>
      <x:c r="F6152" s="13" t="str">
        <x:v>Deep Cyclicals</x:v>
      </x:c>
      <x:c r="G6152" s="13" t="str">
        <x:v>grid_cqzdsc3v.xlsx</x:v>
      </x:c>
    </x:row>
    <x:row r="6153">
      <x:c r="A6153" s="15" t="n">
        <x:v>43221</x:v>
      </x:c>
      <x:c r="B6153" s="13" t="str">
        <x:v>KLABIN SA - UNIT</x:v>
      </x:c>
      <x:c r="C6153" s="16" t="n">
        <x:v>1281.6809731507</x:v>
      </x:c>
      <x:c r="D6153" s="13" t="str">
        <x:v>Pulp &amp; Paper</x:v>
      </x:c>
      <x:c r="E6153" s="13" t="str">
        <x:v>Pulp &amp; Paper</x:v>
      </x:c>
      <x:c r="F6153" s="13" t="str">
        <x:v>Deep Cyclicals</x:v>
      </x:c>
      <x:c r="G6153" s="13" t="str">
        <x:v>grid_cqzdsc3v.xlsx</x:v>
      </x:c>
    </x:row>
    <x:row r="6154">
      <x:c r="A6154" s="15" t="n">
        <x:v>43221</x:v>
      </x:c>
      <x:c r="B6154" s="13" t="str">
        <x:v>SUZANO SA</x:v>
      </x:c>
      <x:c r="C6154" s="16" t="n">
        <x:v>3588.7745220384</x:v>
      </x:c>
      <x:c r="D6154" s="13" t="str">
        <x:v>Pulp &amp; Paper</x:v>
      </x:c>
      <x:c r="E6154" s="13" t="str">
        <x:v>Pulp &amp; Paper</x:v>
      </x:c>
      <x:c r="F6154" s="13" t="str">
        <x:v>Deep Cyclicals</x:v>
      </x:c>
      <x:c r="G6154" s="13" t="str">
        <x:v>grid_cqzdsc3v.xlsx</x:v>
      </x:c>
    </x:row>
    <x:row r="6155">
      <x:c r="A6155" s="15" t="n">
        <x:v>43221</x:v>
      </x:c>
      <x:c r="B6155" s="13" t="str">
        <x:v>AMERICANAS SA</x:v>
      </x:c>
      <x:c r="C6155" s="16" t="n">
        <x:v>-38.462870411</x:v>
      </x:c>
      <x:c r="D6155" s="13" t="str">
        <x:v>Retail</x:v>
      </x:c>
      <x:c r="E6155" s="13" t="str">
        <x:v>Retail</x:v>
      </x:c>
      <x:c r="F6155" s="13" t="str">
        <x:v>Early Cyclicals</x:v>
      </x:c>
      <x:c r="G6155" s="13" t="str">
        <x:v>grid_cqzdsc3v.xlsx</x:v>
      </x:c>
    </x:row>
    <x:row r="6156">
      <x:c r="A6156" s="15" t="n">
        <x:v>43221</x:v>
      </x:c>
      <x:c r="B6156" s="13" t="str">
        <x:v>CIA BRASILEIRA DE DIS-PREF</x:v>
      </x:c>
      <x:c r="C6156" s="16" t="n">
        <x:v>949.449965063</x:v>
      </x:c>
      <x:c r="D6156" s="13" t="str">
        <x:v>Retail</x:v>
      </x:c>
      <x:c r="E6156" s="13" t="str">
        <x:v>Retail</x:v>
      </x:c>
      <x:c r="F6156" s="13" t="str">
        <x:v>Early Cyclicals</x:v>
      </x:c>
      <x:c r="G6156" s="13" t="str">
        <x:v>grid_cqzdsc3v.xlsx</x:v>
      </x:c>
    </x:row>
    <x:row r="6157">
      <x:c r="A6157" s="15" t="n">
        <x:v>43221</x:v>
      </x:c>
      <x:c r="B6157" s="13" t="str">
        <x:v>CVC BRASIL OPERADORA E AGENC</x:v>
      </x:c>
      <x:c r="C6157" s="16" t="n">
        <x:v>355.0602739726</x:v>
      </x:c>
      <x:c r="D6157" s="13" t="str">
        <x:v>Retail</x:v>
      </x:c>
      <x:c r="E6157" s="13" t="str">
        <x:v>Retail</x:v>
      </x:c>
      <x:c r="F6157" s="13" t="str">
        <x:v>Early Cyclicals</x:v>
      </x:c>
      <x:c r="G6157" s="13" t="str">
        <x:v>grid_cqzdsc3v.xlsx</x:v>
      </x:c>
    </x:row>
    <x:row r="6158">
      <x:c r="A6158" s="15" t="n">
        <x:v>43221</x:v>
      </x:c>
      <x:c r="B6158" s="13" t="str">
        <x:v>LOJAS AMERICANAS SA-PREF</x:v>
      </x:c>
      <x:c r="C6158" s="16" t="n">
        <x:v>961.2017534247</x:v>
      </x:c>
      <x:c r="D6158" s="13" t="str">
        <x:v>Retail</x:v>
      </x:c>
      <x:c r="E6158" s="13" t="str">
        <x:v>Retail</x:v>
      </x:c>
      <x:c r="F6158" s="13" t="str">
        <x:v>Early Cyclicals</x:v>
      </x:c>
      <x:c r="G6158" s="13" t="str">
        <x:v>grid_cqzdsc3v.xlsx</x:v>
      </x:c>
    </x:row>
    <x:row r="6159">
      <x:c r="A6159" s="15" t="n">
        <x:v>43221</x:v>
      </x:c>
      <x:c r="B6159" s="13" t="str">
        <x:v>LOJAS RENNER S.A.</x:v>
      </x:c>
      <x:c r="C6159" s="16" t="n">
        <x:v>1018.8737181808</x:v>
      </x:c>
      <x:c r="D6159" s="13" t="str">
        <x:v>Retail</x:v>
      </x:c>
      <x:c r="E6159" s="13" t="str">
        <x:v>Retail</x:v>
      </x:c>
      <x:c r="F6159" s="13" t="str">
        <x:v>Early Cyclicals</x:v>
      </x:c>
      <x:c r="G6159" s="13" t="str">
        <x:v>grid_cqzdsc3v.xlsx</x:v>
      </x:c>
    </x:row>
    <x:row r="6160">
      <x:c r="A6160" s="15" t="n">
        <x:v>43221</x:v>
      </x:c>
      <x:c r="B6160" s="13" t="str">
        <x:v>MAGAZINE LUIZA SA</x:v>
      </x:c>
      <x:c r="C6160" s="16" t="n">
        <x:v>623.4731256986</x:v>
      </x:c>
      <x:c r="D6160" s="13" t="str">
        <x:v>Retail</x:v>
      </x:c>
      <x:c r="E6160" s="13" t="str">
        <x:v>Retail</x:v>
      </x:c>
      <x:c r="F6160" s="13" t="str">
        <x:v>Early Cyclicals</x:v>
      </x:c>
      <x:c r="G6160" s="13" t="str">
        <x:v>grid_cqzdsc3v.xlsx</x:v>
      </x:c>
    </x:row>
    <x:row r="6161">
      <x:c r="A6161" s="15" t="n">
        <x:v>43221</x:v>
      </x:c>
      <x:c r="B6161" s="13" t="str">
        <x:v>RAIA DROGASIL SA</x:v>
      </x:c>
      <x:c r="C6161" s="16" t="n">
        <x:v>680.0109794192</x:v>
      </x:c>
      <x:c r="D6161" s="13" t="str">
        <x:v>Retail</x:v>
      </x:c>
      <x:c r="E6161" s="13" t="str">
        <x:v>Retail</x:v>
      </x:c>
      <x:c r="F6161" s="13" t="str">
        <x:v>Early Cyclicals</x:v>
      </x:c>
      <x:c r="G6161" s="13" t="str">
        <x:v>grid_cqzdsc3v.xlsx</x:v>
      </x:c>
    </x:row>
    <x:row r="6162">
      <x:c r="A6162" s="15" t="n">
        <x:v>43221</x:v>
      </x:c>
      <x:c r="B6162" s="13" t="str">
        <x:v>VIA VAREJO SA</x:v>
      </x:c>
      <x:c r="C6162" s="16" t="n">
        <x:v>674.2766890082</x:v>
      </x:c>
      <x:c r="D6162" s="13" t="str">
        <x:v>Retail</x:v>
      </x:c>
      <x:c r="E6162" s="13" t="str">
        <x:v>Retail</x:v>
      </x:c>
      <x:c r="F6162" s="13" t="str">
        <x:v>Early Cyclicals</x:v>
      </x:c>
      <x:c r="G6162" s="13" t="str">
        <x:v>grid_cqzdsc3v.xlsx</x:v>
      </x:c>
    </x:row>
    <x:row r="6163">
      <x:c r="A6163" s="15" t="n">
        <x:v>43221</x:v>
      </x:c>
      <x:c r="B6163" s="13" t="str">
        <x:v>CIA DE SANEAMENTO DO PA-UNIT</x:v>
      </x:c>
      <x:c r="C6163" s="16" t="n">
        <x:v>886.2191191671</x:v>
      </x:c>
      <x:c r="D6163" s="13" t="str">
        <x:v>Sanitation</x:v>
      </x:c>
      <x:c r="E6163" s="13" t="str">
        <x:v>Utilities</x:v>
      </x:c>
      <x:c r="F6163" s="13" t="str">
        <x:v>Defensives</x:v>
      </x:c>
      <x:c r="G6163" s="13" t="str">
        <x:v>grid_cqzdsc3v.xlsx</x:v>
      </x:c>
    </x:row>
    <x:row r="6164">
      <x:c r="A6164" s="15" t="n">
        <x:v>43221</x:v>
      </x:c>
      <x:c r="B6164" s="13" t="str">
        <x:v>CIA SANEAMENTO BASICO DE SP</x:v>
      </x:c>
      <x:c r="C6164" s="16" t="n">
        <x:v>2886.873273863</x:v>
      </x:c>
      <x:c r="D6164" s="13" t="str">
        <x:v>Sanitation</x:v>
      </x:c>
      <x:c r="E6164" s="13" t="str">
        <x:v>Utilities</x:v>
      </x:c>
      <x:c r="F6164" s="13" t="str">
        <x:v>Defensives</x:v>
      </x:c>
      <x:c r="G6164" s="13" t="str">
        <x:v>grid_cqzdsc3v.xlsx</x:v>
      </x:c>
    </x:row>
    <x:row r="6165">
      <x:c r="A6165" s="15" t="n">
        <x:v>43221</x:v>
      </x:c>
      <x:c r="B6165" s="13" t="str">
        <x:v>SMILES FIDELIDADE SA</x:v>
      </x:c>
      <x:c r="C6165" s="16" t="n">
        <x:v>636.511801863</x:v>
      </x:c>
      <x:c r="D6165" s="13" t="str">
        <x:v>TMT</x:v>
      </x:c>
      <x:c r="E6165" s="13" t="str">
        <x:v>TMT</x:v>
      </x:c>
      <x:c r="F6165" s="13" t="str">
        <x:v>Early Cyclicals</x:v>
      </x:c>
      <x:c r="G6165" s="13" t="str">
        <x:v>grid_cqzdsc3v.xlsx</x:v>
      </x:c>
    </x:row>
    <x:row r="6166">
      <x:c r="A6166" s="15" t="n">
        <x:v>43221</x:v>
      </x:c>
      <x:c r="B6166" s="13" t="str">
        <x:v>TELEFONICA BRASIL S.A.-PREF</x:v>
      </x:c>
      <x:c r="C6166" s="16" t="n">
        <x:v>5694.7658948384</x:v>
      </x:c>
      <x:c r="D6166" s="13" t="str">
        <x:v>TMT</x:v>
      </x:c>
      <x:c r="E6166" s="13" t="str">
        <x:v>TMT</x:v>
      </x:c>
      <x:c r="F6166" s="13" t="str">
        <x:v>Early Cyclicals</x:v>
      </x:c>
      <x:c r="G6166" s="13" t="str">
        <x:v>grid_cqzdsc3v.xlsx</x:v>
      </x:c>
    </x:row>
    <x:row r="6167">
      <x:c r="A6167" s="15" t="n">
        <x:v>43221</x:v>
      </x:c>
      <x:c r="B6167" s="13" t="str">
        <x:v>TIM SA</x:v>
      </x:c>
      <x:c r="C6167" s="16" t="n">
        <x:v>1825.6636864877</x:v>
      </x:c>
      <x:c r="D6167" s="13" t="str">
        <x:v>TMT</x:v>
      </x:c>
      <x:c r="E6167" s="13" t="str">
        <x:v>TMT</x:v>
      </x:c>
      <x:c r="F6167" s="13" t="str">
        <x:v>Early Cyclicals</x:v>
      </x:c>
      <x:c r="G6167" s="13" t="str">
        <x:v>grid_cqzdsc3v.xlsx</x:v>
      </x:c>
    </x:row>
    <x:row r="6168">
      <x:c r="A6168" s="15" t="n">
        <x:v>43221</x:v>
      </x:c>
      <x:c r="B6168" s="13" t="str">
        <x:v>ECORODOVIAS INFRA E LOG SA</x:v>
      </x:c>
      <x:c r="C6168" s="16" t="n">
        <x:v>545.2928899507</x:v>
      </x:c>
      <x:c r="D6168" s="13" t="str">
        <x:v>Transportation</x:v>
      </x:c>
      <x:c r="E6168" s="13" t="str">
        <x:v>Transportation</x:v>
      </x:c>
      <x:c r="F6168" s="13" t="str">
        <x:v>Deep Cyclicals</x:v>
      </x:c>
      <x:c r="G6168" s="13" t="str">
        <x:v>grid_cqzdsc3v.xlsx</x:v>
      </x:c>
    </x:row>
    <x:row r="6169">
      <x:c r="A6169" s="15" t="n">
        <x:v>43221</x:v>
      </x:c>
      <x:c r="B6169" s="13" t="str">
        <x:v>GOL LINHAS AEREAS INT SA-PRE</x:v>
      </x:c>
      <x:c r="C6169" s="16" t="n">
        <x:v>284.953929337</x:v>
      </x:c>
      <x:c r="D6169" s="13" t="str">
        <x:v>Transportation</x:v>
      </x:c>
      <x:c r="E6169" s="13" t="str">
        <x:v>Transportation</x:v>
      </x:c>
      <x:c r="F6169" s="13" t="str">
        <x:v>Deep Cyclicals</x:v>
      </x:c>
      <x:c r="G6169" s="13" t="str">
        <x:v>grid_cqzdsc3v.xlsx</x:v>
      </x:c>
    </x:row>
    <x:row r="6170">
      <x:c r="A6170" s="15" t="n">
        <x:v>43221</x:v>
      </x:c>
      <x:c r="B6170" s="13" t="str">
        <x:v>LOCALIZA RENT A CAR</x:v>
      </x:c>
      <x:c r="C6170" s="16" t="n">
        <x:v>779.2089284384</x:v>
      </x:c>
      <x:c r="D6170" s="13" t="str">
        <x:v>Transportation</x:v>
      </x:c>
      <x:c r="E6170" s="13" t="str">
        <x:v>Transportation</x:v>
      </x:c>
      <x:c r="F6170" s="13" t="str">
        <x:v>Deep Cyclicals</x:v>
      </x:c>
      <x:c r="G6170" s="13" t="str">
        <x:v>grid_cqzdsc3v.xlsx</x:v>
      </x:c>
    </x:row>
    <x:row r="6171">
      <x:c r="A6171" s="15" t="n">
        <x:v>43221</x:v>
      </x:c>
      <x:c r="B6171" s="13" t="str">
        <x:v>MOTIVA INFRAESTRUTURA DE MOB</x:v>
      </x:c>
      <x:c r="C6171" s="16" t="n">
        <x:v>2010.9825451836</x:v>
      </x:c>
      <x:c r="D6171" s="13" t="str">
        <x:v>Transportation</x:v>
      </x:c>
      <x:c r="E6171" s="13" t="str">
        <x:v>Transportation</x:v>
      </x:c>
      <x:c r="F6171" s="13" t="str">
        <x:v>Deep Cyclicals</x:v>
      </x:c>
      <x:c r="G6171" s="13" t="str">
        <x:v>grid_cqzdsc3v.xlsx</x:v>
      </x:c>
    </x:row>
    <x:row r="6172">
      <x:c r="A6172" s="15" t="n">
        <x:v>43221</x:v>
      </x:c>
      <x:c r="B6172" s="13" t="str">
        <x:v>RUMO SA</x:v>
      </x:c>
      <x:c r="C6172" s="16" t="n">
        <x:v>547.4103743123</x:v>
      </x:c>
      <x:c r="D6172" s="13" t="str">
        <x:v>Transportation</x:v>
      </x:c>
      <x:c r="E6172" s="13" t="str">
        <x:v>Transportation</x:v>
      </x:c>
      <x:c r="F6172" s="13" t="str">
        <x:v>Deep Cyclicals</x:v>
      </x:c>
      <x:c r="G6172" s="13" t="str">
        <x:v>grid_cqzdsc3v.xlsx</x:v>
      </x:c>
    </x:row>
    <x:row r="6173">
      <x:c r="A6173" s="15" t="n">
        <x:v>43221</x:v>
      </x:c>
      <x:c r="B6173" s="13" t="str">
        <x:v>AXIA ENERGIA SA</x:v>
      </x:c>
      <x:c r="C6173" s="16" t="n">
        <x:v>5132.2411863671</x:v>
      </x:c>
      <x:c r="D6173" s="13" t="str">
        <x:v>Utilities &amp; Energy</x:v>
      </x:c>
      <x:c r="E6173" s="13" t="str">
        <x:v>Utilities</x:v>
      </x:c>
      <x:c r="F6173" s="13" t="str">
        <x:v>Defensives</x:v>
      </x:c>
      <x:c r="G6173" s="13" t="str">
        <x:v>grid_cqzdsc3v.xlsx</x:v>
      </x:c>
    </x:row>
    <x:row r="6174">
      <x:c r="A6174" s="15" t="n">
        <x:v>43221</x:v>
      </x:c>
      <x:c r="B6174" s="13" t="str">
        <x:v>AXIA ENERGIA-PR B</x:v>
      </x:c>
      <x:c r="C6174" s="16" t="n">
        <x:v>5132.2411863671</x:v>
      </x:c>
      <x:c r="D6174" s="13" t="str">
        <x:v>Utilities &amp; Energy</x:v>
      </x:c>
      <x:c r="E6174" s="13" t="str">
        <x:v>Utilities</x:v>
      </x:c>
      <x:c r="F6174" s="13" t="str">
        <x:v>Defensives</x:v>
      </x:c>
      <x:c r="G6174" s="13" t="str">
        <x:v>grid_cqzdsc3v.xlsx</x:v>
      </x:c>
    </x:row>
    <x:row r="6175">
      <x:c r="A6175" s="15" t="n">
        <x:v>43221</x:v>
      </x:c>
      <x:c r="B6175" s="13" t="str">
        <x:v>CIA ENERGETICA MINAS GER-PRF</x:v>
      </x:c>
      <x:c r="C6175" s="16" t="n">
        <x:v>1802.3418006794</x:v>
      </x:c>
      <x:c r="D6175" s="13" t="str">
        <x:v>Utilities &amp; Energy</x:v>
      </x:c>
      <x:c r="E6175" s="13" t="str">
        <x:v>Utilities</x:v>
      </x:c>
      <x:c r="F6175" s="13" t="str">
        <x:v>Defensives</x:v>
      </x:c>
      <x:c r="G6175" s="13" t="str">
        <x:v>grid_cqzdsc3v.xlsx</x:v>
      </x:c>
    </x:row>
    <x:row r="6176">
      <x:c r="A6176" s="15" t="n">
        <x:v>43221</x:v>
      </x:c>
      <x:c r="B6176" s="13" t="str">
        <x:v>COMPANHIA PARANAENSE -PREF B</x:v>
      </x:c>
      <x:c r="C6176" s="16" t="n">
        <x:v>1503.2530600329</x:v>
      </x:c>
      <x:c r="D6176" s="13" t="str">
        <x:v>Utilities &amp; Energy</x:v>
      </x:c>
      <x:c r="E6176" s="13" t="str">
        <x:v>Utilities</x:v>
      </x:c>
      <x:c r="F6176" s="13" t="str">
        <x:v>Defensives</x:v>
      </x:c>
      <x:c r="G6176" s="13" t="str">
        <x:v>grid_cqzdsc3v.xlsx</x:v>
      </x:c>
    </x:row>
    <x:row r="6177">
      <x:c r="A6177" s="15" t="n">
        <x:v>43221</x:v>
      </x:c>
      <x:c r="B6177" s="13" t="str">
        <x:v>CPFL ENERGIA SA</x:v>
      </x:c>
      <x:c r="C6177" s="16" t="n">
        <x:v>1438.4657534247</x:v>
      </x:c>
      <x:c r="D6177" s="13" t="str">
        <x:v>Utilities &amp; Energy</x:v>
      </x:c>
      <x:c r="E6177" s="13" t="str">
        <x:v>Utilities</x:v>
      </x:c>
      <x:c r="F6177" s="13" t="str">
        <x:v>Defensives</x:v>
      </x:c>
      <x:c r="G6177" s="13" t="str">
        <x:v>grid_cqzdsc3v.xlsx</x:v>
      </x:c>
    </x:row>
    <x:row r="6178">
      <x:c r="A6178" s="15" t="n">
        <x:v>43221</x:v>
      </x:c>
      <x:c r="B6178" s="13" t="str">
        <x:v>EDP - ENERGIAS DO BRASIL SA</x:v>
      </x:c>
      <x:c r="C6178" s="16" t="n">
        <x:v>804.1084845589</x:v>
      </x:c>
      <x:c r="D6178" s="13" t="str">
        <x:v>Utilities &amp; Energy</x:v>
      </x:c>
      <x:c r="E6178" s="13" t="str">
        <x:v>Utilities</x:v>
      </x:c>
      <x:c r="F6178" s="13" t="str">
        <x:v>Defensives</x:v>
      </x:c>
      <x:c r="G6178" s="13" t="str">
        <x:v>grid_cqzdsc3v.xlsx</x:v>
      </x:c>
    </x:row>
    <x:row r="6179">
      <x:c r="A6179" s="15" t="n">
        <x:v>43221</x:v>
      </x:c>
      <x:c r="B6179" s="13" t="str">
        <x:v>ENGIE BRASIL ENERGIA SA</x:v>
      </x:c>
      <x:c r="C6179" s="16" t="n">
        <x:v>2254.0955767233</x:v>
      </x:c>
      <x:c r="D6179" s="13" t="str">
        <x:v>Utilities &amp; Energy</x:v>
      </x:c>
      <x:c r="E6179" s="13" t="str">
        <x:v>Utilities</x:v>
      </x:c>
      <x:c r="F6179" s="13" t="str">
        <x:v>Defensives</x:v>
      </x:c>
      <x:c r="G6179" s="13" t="str">
        <x:v>grid_cqzdsc3v.xlsx</x:v>
      </x:c>
    </x:row>
    <x:row r="6180">
      <x:c r="A6180" s="15" t="n">
        <x:v>43221</x:v>
      </x:c>
      <x:c r="B6180" s="13" t="str">
        <x:v>EQUATORIAL SA - ORD</x:v>
      </x:c>
      <x:c r="C6180" s="16" t="n">
        <x:v>871.9613566247</x:v>
      </x:c>
      <x:c r="D6180" s="13" t="str">
        <x:v>Utilities &amp; Energy</x:v>
      </x:c>
      <x:c r="E6180" s="13" t="str">
        <x:v>Utilities</x:v>
      </x:c>
      <x:c r="F6180" s="13" t="str">
        <x:v>Defensives</x:v>
      </x:c>
      <x:c r="G6180" s="13" t="str">
        <x:v>grid_cqzdsc3v.xlsx</x:v>
      </x:c>
    </x:row>
    <x:row r="6181">
      <x:c r="A6181" s="15" t="n">
        <x:v>43221</x:v>
      </x:c>
      <x:c r="B6181" s="13" t="str">
        <x:v>TRANSMISSORA ALIANCA DE-UNIT</x:v>
      </x:c>
      <x:c r="C6181" s="16" t="n">
        <x:v>780.6015475726</x:v>
      </x:c>
      <x:c r="D6181" s="13" t="str">
        <x:v>Utilities &amp; Energy</x:v>
      </x:c>
      <x:c r="E6181" s="13" t="str">
        <x:v>Utilities</x:v>
      </x:c>
      <x:c r="F6181" s="13" t="str">
        <x:v>Defensives</x:v>
      </x:c>
      <x:c r="G6181" s="13" t="str">
        <x:v>grid_cqzdsc3v.xlsx</x:v>
      </x:c>
    </x:row>
    <x:row r="6182">
      <x:c r="A6182" s="15" t="n">
        <x:v>43252</x:v>
      </x:c>
      <x:c r="B6182" s="13" t="str">
        <x:v>BANCO BRADESCO S.A.</x:v>
      </x:c>
      <x:c r="C6182" s="16" t="n">
        <x:v>22140.2548532603</x:v>
      </x:c>
      <x:c r="D6182" s="13" t="str">
        <x:v>Banks</x:v>
      </x:c>
      <x:c r="E6182" s="13" t="str">
        <x:v>Banks</x:v>
      </x:c>
      <x:c r="F6182" s="13" t="str">
        <x:v>Financials</x:v>
      </x:c>
      <x:c r="G6182" s="13" t="str">
        <x:v>grid_cqzdsc3v.xlsx</x:v>
      </x:c>
    </x:row>
    <x:row r="6183">
      <x:c r="A6183" s="15" t="n">
        <x:v>43252</x:v>
      </x:c>
      <x:c r="B6183" s="13" t="str">
        <x:v>BANCO BRADESCO SA-PREF</x:v>
      </x:c>
      <x:c r="C6183" s="16" t="n">
        <x:v>22140.2548532603</x:v>
      </x:c>
      <x:c r="D6183" s="13" t="str">
        <x:v>Banks</x:v>
      </x:c>
      <x:c r="E6183" s="13" t="str">
        <x:v>Banks</x:v>
      </x:c>
      <x:c r="F6183" s="13" t="str">
        <x:v>Financials</x:v>
      </x:c>
      <x:c r="G6183" s="13" t="str">
        <x:v>grid_cqzdsc3v.xlsx</x:v>
      </x:c>
    </x:row>
    <x:row r="6184">
      <x:c r="A6184" s="15" t="n">
        <x:v>43252</x:v>
      </x:c>
      <x:c r="B6184" s="13" t="str">
        <x:v>BANCO DO BRASIL S.A.</x:v>
      </x:c>
      <x:c r="C6184" s="16" t="n">
        <x:v>13880.9510364932</x:v>
      </x:c>
      <x:c r="D6184" s="13" t="str">
        <x:v>Banks</x:v>
      </x:c>
      <x:c r="E6184" s="13" t="str">
        <x:v>Banks</x:v>
      </x:c>
      <x:c r="F6184" s="13" t="str">
        <x:v>Financials</x:v>
      </x:c>
      <x:c r="G6184" s="13" t="str">
        <x:v>grid_cqzdsc3v.xlsx</x:v>
      </x:c>
    </x:row>
    <x:row r="6185">
      <x:c r="A6185" s="15" t="n">
        <x:v>43252</x:v>
      </x:c>
      <x:c r="B6185" s="13" t="str">
        <x:v>BANCO SANTANDER  BRASIL-UNIT</x:v>
      </x:c>
      <x:c r="C6185" s="16" t="n">
        <x:v>11922.1177301918</x:v>
      </x:c>
      <x:c r="D6185" s="13" t="str">
        <x:v>Banks</x:v>
      </x:c>
      <x:c r="E6185" s="13" t="str">
        <x:v>Banks</x:v>
      </x:c>
      <x:c r="F6185" s="13" t="str">
        <x:v>Financials</x:v>
      </x:c>
      <x:c r="G6185" s="13" t="str">
        <x:v>grid_cqzdsc3v.xlsx</x:v>
      </x:c>
    </x:row>
    <x:row r="6186">
      <x:c r="A6186" s="15" t="n">
        <x:v>43252</x:v>
      </x:c>
      <x:c r="B6186" s="13" t="str">
        <x:v>ITAU UNIBANCO HOLDING S-PREF</x:v>
      </x:c>
      <x:c r="C6186" s="16" t="n">
        <x:v>27806.2029220822</x:v>
      </x:c>
      <x:c r="D6186" s="13" t="str">
        <x:v>Banks</x:v>
      </x:c>
      <x:c r="E6186" s="13" t="str">
        <x:v>Banks</x:v>
      </x:c>
      <x:c r="F6186" s="13" t="str">
        <x:v>Financials</x:v>
      </x:c>
      <x:c r="G6186" s="13" t="str">
        <x:v>grid_cqzdsc3v.xlsx</x:v>
      </x:c>
    </x:row>
    <x:row r="6187">
      <x:c r="A6187" s="15" t="n">
        <x:v>43252</x:v>
      </x:c>
      <x:c r="B6187" s="13" t="str">
        <x:v>EMBRAER SA</x:v>
      </x:c>
      <x:c r="C6187" s="16" t="n">
        <x:v>844.9254794521</x:v>
      </x:c>
      <x:c r="D6187" s="13" t="str">
        <x:v>Capital Goods</x:v>
      </x:c>
      <x:c r="E6187" s="13" t="str">
        <x:v>Capital Goods</x:v>
      </x:c>
      <x:c r="F6187" s="13" t="str">
        <x:v>Deep Cyclicals</x:v>
      </x:c>
      <x:c r="G6187" s="13" t="str">
        <x:v>grid_cqzdsc3v.xlsx</x:v>
      </x:c>
    </x:row>
    <x:row r="6188">
      <x:c r="A6188" s="15" t="n">
        <x:v>43252</x:v>
      </x:c>
      <x:c r="B6188" s="13" t="str">
        <x:v>WEG SA</x:v>
      </x:c>
      <x:c r="C6188" s="16" t="n">
        <x:v>1443.9571235068</x:v>
      </x:c>
      <x:c r="D6188" s="13" t="str">
        <x:v>Capital Goods</x:v>
      </x:c>
      <x:c r="E6188" s="13" t="str">
        <x:v>Capital Goods</x:v>
      </x:c>
      <x:c r="F6188" s="13" t="str">
        <x:v>Deep Cyclicals</x:v>
      </x:c>
      <x:c r="G6188" s="13" t="str">
        <x:v>grid_cqzdsc3v.xlsx</x:v>
      </x:c>
    </x:row>
    <x:row r="6189">
      <x:c r="A6189" s="15" t="n">
        <x:v>43252</x:v>
      </x:c>
      <x:c r="B6189" s="13" t="str">
        <x:v>COGNA EDUCACAO</x:v>
      </x:c>
      <x:c r="C6189" s="16" t="n">
        <x:v>1945.5512249863</x:v>
      </x:c>
      <x:c r="D6189" s="13" t="str">
        <x:v>Education</x:v>
      </x:c>
      <x:c r="E6189" s="13" t="str">
        <x:v>Education</x:v>
      </x:c>
      <x:c r="F6189" s="13" t="str">
        <x:v>Early Cyclicals</x:v>
      </x:c>
      <x:c r="G6189" s="13" t="str">
        <x:v>grid_cqzdsc3v.xlsx</x:v>
      </x:c>
    </x:row>
    <x:row r="6190">
      <x:c r="A6190" s="15" t="n">
        <x:v>43252</x:v>
      </x:c>
      <x:c r="B6190" s="13" t="str">
        <x:v>YDUQS PARTICIPACOES SA</x:v>
      </x:c>
      <x:c r="C6190" s="16" t="n">
        <x:v>865.0589036712</x:v>
      </x:c>
      <x:c r="D6190" s="13" t="str">
        <x:v>Education</x:v>
      </x:c>
      <x:c r="E6190" s="13" t="str">
        <x:v>Education</x:v>
      </x:c>
      <x:c r="F6190" s="13" t="str">
        <x:v>Early Cyclicals</x:v>
      </x:c>
      <x:c r="G6190" s="13" t="str">
        <x:v>grid_cqzdsc3v.xlsx</x:v>
      </x:c>
    </x:row>
    <x:row r="6191">
      <x:c r="A6191" s="15" t="n">
        <x:v>43252</x:v>
      </x:c>
      <x:c r="B6191" s="13" t="str">
        <x:v>B3 SA-BRASIL BOLSA BALCAO</x:v>
      </x:c>
      <x:c r="C6191" s="16" t="n">
        <x:v>2539.0726663014</x:v>
      </x:c>
      <x:c r="D6191" s="13" t="str">
        <x:v>Financials Non-Banks</x:v>
      </x:c>
      <x:c r="E6191" s="13" t="str">
        <x:v>Financials Non-Banks</x:v>
      </x:c>
      <x:c r="F6191" s="13" t="str">
        <x:v>Financials</x:v>
      </x:c>
      <x:c r="G6191" s="13" t="str">
        <x:v>grid_cqzdsc3v.xlsx</x:v>
      </x:c>
    </x:row>
    <x:row r="6192">
      <x:c r="A6192" s="15" t="n">
        <x:v>43252</x:v>
      </x:c>
      <x:c r="B6192" s="13" t="str">
        <x:v>BB SEGURIDADE PARTICIPACOES</x:v>
      </x:c>
      <x:c r="C6192" s="16" t="n">
        <x:v>4121.2184056986</x:v>
      </x:c>
      <x:c r="D6192" s="13" t="str">
        <x:v>Financials Non-Banks</x:v>
      </x:c>
      <x:c r="E6192" s="13" t="str">
        <x:v>Financials Non-Banks</x:v>
      </x:c>
      <x:c r="F6192" s="13" t="str">
        <x:v>Financials</x:v>
      </x:c>
      <x:c r="G6192" s="13" t="str">
        <x:v>grid_cqzdsc3v.xlsx</x:v>
      </x:c>
    </x:row>
    <x:row r="6193">
      <x:c r="A6193" s="15" t="n">
        <x:v>43252</x:v>
      </x:c>
      <x:c r="B6193" s="13" t="str">
        <x:v>CIELO SA - INSTITUICAO DE PA</x:v>
      </x:c>
      <x:c r="C6193" s="16" t="n">
        <x:v>4198.2205825753</x:v>
      </x:c>
      <x:c r="D6193" s="13" t="str">
        <x:v>Financials Non-Banks</x:v>
      </x:c>
      <x:c r="E6193" s="13" t="str">
        <x:v>Financials Non-Banks</x:v>
      </x:c>
      <x:c r="F6193" s="13" t="str">
        <x:v>Financials</x:v>
      </x:c>
      <x:c r="G6193" s="13" t="str">
        <x:v>grid_cqzdsc3v.xlsx</x:v>
      </x:c>
    </x:row>
    <x:row r="6194">
      <x:c r="A6194" s="15" t="n">
        <x:v>43252</x:v>
      </x:c>
      <x:c r="B6194" s="13" t="str">
        <x:v>ITAUSA SA</x:v>
      </x:c>
      <x:c r="C6194" s="16" t="n">
        <x:v>10091.7945582466</x:v>
      </x:c>
      <x:c r="D6194" s="13" t="str">
        <x:v>Financials Non-Banks</x:v>
      </x:c>
      <x:c r="E6194" s="13" t="str">
        <x:v>Financials Non-Banks</x:v>
      </x:c>
      <x:c r="F6194" s="13" t="str">
        <x:v>Financials</x:v>
      </x:c>
      <x:c r="G6194" s="13" t="str">
        <x:v>grid_cqzdsc3v.xlsx</x:v>
      </x:c>
    </x:row>
    <x:row r="6195">
      <x:c r="A6195" s="15" t="n">
        <x:v>43252</x:v>
      </x:c>
      <x:c r="B6195" s="13" t="str">
        <x:v>AMBEV SA</x:v>
      </x:c>
      <x:c r="C6195" s="16" t="n">
        <x:v>14193.4300370411</x:v>
      </x:c>
      <x:c r="D6195" s="13" t="str">
        <x:v>Food &amp; Beverages</x:v>
      </x:c>
      <x:c r="E6195" s="13" t="str">
        <x:v>Agri, Food &amp; Beverages</x:v>
      </x:c>
      <x:c r="F6195" s="13" t="str">
        <x:v>Defensives</x:v>
      </x:c>
      <x:c r="G6195" s="13" t="str">
        <x:v>grid_cqzdsc3v.xlsx</x:v>
      </x:c>
    </x:row>
    <x:row r="6196">
      <x:c r="A6196" s="15" t="n">
        <x:v>43252</x:v>
      </x:c>
      <x:c r="B6196" s="13" t="str">
        <x:v>BRF SA</x:v>
      </x:c>
      <x:c r="C6196" s="16" t="n">
        <x:v>127.0305560548</x:v>
      </x:c>
      <x:c r="D6196" s="13" t="str">
        <x:v>Food &amp; Beverages</x:v>
      </x:c>
      <x:c r="E6196" s="13" t="str">
        <x:v>Agri, Food &amp; Beverages</x:v>
      </x:c>
      <x:c r="F6196" s="13" t="str">
        <x:v>Defensives</x:v>
      </x:c>
      <x:c r="G6196" s="13" t="str">
        <x:v>grid_cqzdsc3v.xlsx</x:v>
      </x:c>
    </x:row>
    <x:row r="6197">
      <x:c r="A6197" s="15" t="n">
        <x:v>43252</x:v>
      </x:c>
      <x:c r="B6197" s="13" t="str">
        <x:v>JBS SA</x:v>
      </x:c>
      <x:c r="C6197" s="16" t="n">
        <x:v>3625.2360767123</x:v>
      </x:c>
      <x:c r="D6197" s="13" t="str">
        <x:v>Food &amp; Beverages</x:v>
      </x:c>
      <x:c r="E6197" s="13" t="str">
        <x:v>Agri, Food &amp; Beverages</x:v>
      </x:c>
      <x:c r="F6197" s="13" t="str">
        <x:v>Defensives</x:v>
      </x:c>
      <x:c r="G6197" s="13" t="str">
        <x:v>grid_cqzdsc3v.xlsx</x:v>
      </x:c>
    </x:row>
    <x:row r="6198">
      <x:c r="A6198" s="15" t="n">
        <x:v>43252</x:v>
      </x:c>
      <x:c r="B6198" s="13" t="str">
        <x:v>MBRF GLOBAL FOODS COMPANY SA</x:v>
      </x:c>
      <x:c r="C6198" s="16" t="n">
        <x:v>224.4724236164</x:v>
      </x:c>
      <x:c r="D6198" s="13" t="str">
        <x:v>Food &amp; Beverages</x:v>
      </x:c>
      <x:c r="E6198" s="13" t="str">
        <x:v>Agri, Food &amp; Beverages</x:v>
      </x:c>
      <x:c r="F6198" s="13" t="str">
        <x:v>Defensives</x:v>
      </x:c>
      <x:c r="G6198" s="13" t="str">
        <x:v>grid_cqzdsc3v.xlsx</x:v>
      </x:c>
    </x:row>
    <x:row r="6199">
      <x:c r="A6199" s="15" t="n">
        <x:v>43252</x:v>
      </x:c>
      <x:c r="B6199" s="13" t="str">
        <x:v>FLEURY SA</x:v>
      </x:c>
      <x:c r="C6199" s="16" t="n">
        <x:v>402.5702053699</x:v>
      </x:c>
      <x:c r="D6199" s="13" t="str">
        <x:v>Health Care</x:v>
      </x:c>
      <x:c r="E6199" s="13" t="str">
        <x:v>Health Care</x:v>
      </x:c>
      <x:c r="F6199" s="13" t="str">
        <x:v>Defensives</x:v>
      </x:c>
      <x:c r="G6199" s="13" t="str">
        <x:v>grid_cqzdsc3v.xlsx</x:v>
      </x:c>
    </x:row>
    <x:row r="6200">
      <x:c r="A6200" s="15" t="n">
        <x:v>43252</x:v>
      </x:c>
      <x:c r="B6200" s="13" t="str">
        <x:v>HYPERA SA</x:v>
      </x:c>
      <x:c r="C6200" s="16" t="n">
        <x:v>1148.4684694795</x:v>
      </x:c>
      <x:c r="D6200" s="13" t="str">
        <x:v>Health Care</x:v>
      </x:c>
      <x:c r="E6200" s="13" t="str">
        <x:v>Health Care</x:v>
      </x:c>
      <x:c r="F6200" s="13" t="str">
        <x:v>Defensives</x:v>
      </x:c>
      <x:c r="G6200" s="13" t="str">
        <x:v>grid_cqzdsc3v.xlsx</x:v>
      </x:c>
    </x:row>
    <x:row r="6201">
      <x:c r="A6201" s="15" t="n">
        <x:v>43252</x:v>
      </x:c>
      <x:c r="B6201" s="13" t="str">
        <x:v>QUALICORP CONS E CORR SEG SA</x:v>
      </x:c>
      <x:c r="C6201" s="16" t="n">
        <x:v>576.2301369863</x:v>
      </x:c>
      <x:c r="D6201" s="13" t="str">
        <x:v>Health Care</x:v>
      </x:c>
      <x:c r="E6201" s="13" t="str">
        <x:v>Health Care</x:v>
      </x:c>
      <x:c r="F6201" s="13" t="str">
        <x:v>Defensives</x:v>
      </x:c>
      <x:c r="G6201" s="13" t="str">
        <x:v>grid_cqzdsc3v.xlsx</x:v>
      </x:c>
    </x:row>
    <x:row r="6202">
      <x:c r="A6202" s="15" t="n">
        <x:v>43252</x:v>
      </x:c>
      <x:c r="B6202" s="13" t="str">
        <x:v>CYRELA BRAZIL REALTY SA EMP</x:v>
      </x:c>
      <x:c r="C6202" s="16" t="n">
        <x:v>260.1337299726</x:v>
      </x:c>
      <x:c r="D6202" s="13" t="str">
        <x:v>Homebuilders</x:v>
      </x:c>
      <x:c r="E6202" s="13" t="str">
        <x:v>Real Estate</x:v>
      </x:c>
      <x:c r="F6202" s="13" t="str">
        <x:v>Early Cyclicals</x:v>
      </x:c>
      <x:c r="G6202" s="13" t="str">
        <x:v>grid_cqzdsc3v.xlsx</x:v>
      </x:c>
    </x:row>
    <x:row r="6203">
      <x:c r="A6203" s="15" t="n">
        <x:v>43252</x:v>
      </x:c>
      <x:c r="B6203" s="13" t="str">
        <x:v>MRV ENGENHARIA</x:v>
      </x:c>
      <x:c r="C6203" s="16" t="n">
        <x:v>796.0428002192</x:v>
      </x:c>
      <x:c r="D6203" s="13" t="str">
        <x:v>Homebuilders</x:v>
      </x:c>
      <x:c r="E6203" s="13" t="str">
        <x:v>Real Estate</x:v>
      </x:c>
      <x:c r="F6203" s="13" t="str">
        <x:v>Early Cyclicals</x:v>
      </x:c>
      <x:c r="G6203" s="13" t="str">
        <x:v>grid_cqzdsc3v.xlsx</x:v>
      </x:c>
    </x:row>
    <x:row r="6204">
      <x:c r="A6204" s="15" t="n">
        <x:v>43252</x:v>
      </x:c>
      <x:c r="B6204" s="13" t="str">
        <x:v>BR MALLS PARTICIPACOES SA</x:v>
      </x:c>
      <x:c r="C6204" s="16" t="n">
        <x:v>622.548882411</x:v>
      </x:c>
      <x:c r="D6204" s="13" t="str">
        <x:v>Income Properties</x:v>
      </x:c>
      <x:c r="E6204" s="13" t="str">
        <x:v>Real Estate</x:v>
      </x:c>
      <x:c r="F6204" s="13" t="str">
        <x:v>Early Cyclicals</x:v>
      </x:c>
      <x:c r="G6204" s="13" t="str">
        <x:v>grid_cqzdsc3v.xlsx</x:v>
      </x:c>
    </x:row>
    <x:row r="6205">
      <x:c r="A6205" s="15" t="n">
        <x:v>43252</x:v>
      </x:c>
      <x:c r="B6205" s="13" t="str">
        <x:v>IGUATEMI EMP DE SHOPPING</x:v>
      </x:c>
      <x:c r="C6205" s="16" t="n">
        <x:v>285.9176398904</x:v>
      </x:c>
      <x:c r="D6205" s="13" t="str">
        <x:v>Income Properties</x:v>
      </x:c>
      <x:c r="E6205" s="13" t="str">
        <x:v>Real Estate</x:v>
      </x:c>
      <x:c r="F6205" s="13" t="str">
        <x:v>Early Cyclicals</x:v>
      </x:c>
      <x:c r="G6205" s="13" t="str">
        <x:v>grid_cqzdsc3v.xlsx</x:v>
      </x:c>
    </x:row>
    <x:row r="6206">
      <x:c r="A6206" s="15" t="n">
        <x:v>43252</x:v>
      </x:c>
      <x:c r="B6206" s="13" t="str">
        <x:v>MULTIPLAN EMPREENDIMENTOS</x:v>
      </x:c>
      <x:c r="C6206" s="16" t="n">
        <x:v>512.9804304658</x:v>
      </x:c>
      <x:c r="D6206" s="13" t="str">
        <x:v>Income Properties</x:v>
      </x:c>
      <x:c r="E6206" s="13" t="str">
        <x:v>Real Estate</x:v>
      </x:c>
      <x:c r="F6206" s="13" t="str">
        <x:v>Early Cyclicals</x:v>
      </x:c>
      <x:c r="G6206" s="13" t="str">
        <x:v>grid_cqzdsc3v.xlsx</x:v>
      </x:c>
    </x:row>
    <x:row r="6207">
      <x:c r="A6207" s="15" t="n">
        <x:v>43252</x:v>
      </x:c>
      <x:c r="B6207" s="13" t="str">
        <x:v>BRADESPAR SA -PREF</x:v>
      </x:c>
      <x:c r="C6207" s="16" t="n">
        <x:v>838.5205479452</x:v>
      </x:c>
      <x:c r="D6207" s="13" t="str">
        <x:v>Metals &amp; Mining</x:v>
      </x:c>
      <x:c r="E6207" s="13" t="str">
        <x:v>Metals &amp; Mining</x:v>
      </x:c>
      <x:c r="F6207" s="13" t="str">
        <x:v>Deep Cyclicals</x:v>
      </x:c>
      <x:c r="G6207" s="13" t="str">
        <x:v>grid_cqzdsc3v.xlsx</x:v>
      </x:c>
    </x:row>
    <x:row r="6208">
      <x:c r="A6208" s="15" t="n">
        <x:v>43252</x:v>
      </x:c>
      <x:c r="B6208" s="13" t="str">
        <x:v>CIA SIDERURGICA NACIONAL SA</x:v>
      </x:c>
      <x:c r="C6208" s="16" t="n">
        <x:v>1247.2994595069</x:v>
      </x:c>
      <x:c r="D6208" s="13" t="str">
        <x:v>Metals &amp; Mining</x:v>
      </x:c>
      <x:c r="E6208" s="13" t="str">
        <x:v>Metals &amp; Mining</x:v>
      </x:c>
      <x:c r="F6208" s="13" t="str">
        <x:v>Deep Cyclicals</x:v>
      </x:c>
      <x:c r="G6208" s="13" t="str">
        <x:v>grid_cqzdsc3v.xlsx</x:v>
      </x:c>
    </x:row>
    <x:row r="6209">
      <x:c r="A6209" s="15" t="n">
        <x:v>43252</x:v>
      </x:c>
      <x:c r="B6209" s="13" t="str">
        <x:v>GERDAU SA-PREF</x:v>
      </x:c>
      <x:c r="C6209" s="16" t="n">
        <x:v>1955.3740519452</x:v>
      </x:c>
      <x:c r="D6209" s="13" t="str">
        <x:v>Metals &amp; Mining</x:v>
      </x:c>
      <x:c r="E6209" s="13" t="str">
        <x:v>Metals &amp; Mining</x:v>
      </x:c>
      <x:c r="F6209" s="13" t="str">
        <x:v>Deep Cyclicals</x:v>
      </x:c>
      <x:c r="G6209" s="13" t="str">
        <x:v>grid_cqzdsc3v.xlsx</x:v>
      </x:c>
    </x:row>
    <x:row r="6210">
      <x:c r="A6210" s="15" t="n">
        <x:v>43252</x:v>
      </x:c>
      <x:c r="B6210" s="13" t="str">
        <x:v>USINAS SIDER MINAS GER-PF A</x:v>
      </x:c>
      <x:c r="C6210" s="16" t="n">
        <x:v>1033.8794283836</x:v>
      </x:c>
      <x:c r="D6210" s="13" t="str">
        <x:v>Metals &amp; Mining</x:v>
      </x:c>
      <x:c r="E6210" s="13" t="str">
        <x:v>Metals &amp; Mining</x:v>
      </x:c>
      <x:c r="F6210" s="13" t="str">
        <x:v>Deep Cyclicals</x:v>
      </x:c>
      <x:c r="G6210" s="13" t="str">
        <x:v>grid_cqzdsc3v.xlsx</x:v>
      </x:c>
    </x:row>
    <x:row r="6211">
      <x:c r="A6211" s="15" t="n">
        <x:v>43252</x:v>
      </x:c>
      <x:c r="B6211" s="13" t="str">
        <x:v>VALE SA</x:v>
      </x:c>
      <x:c r="C6211" s="16" t="n">
        <x:v>28010.4318386849</x:v>
      </x:c>
      <x:c r="D6211" s="13" t="str">
        <x:v>Metals &amp; Mining</x:v>
      </x:c>
      <x:c r="E6211" s="13" t="str">
        <x:v>Metals &amp; Mining</x:v>
      </x:c>
      <x:c r="F6211" s="13" t="str">
        <x:v>Deep Cyclicals</x:v>
      </x:c>
      <x:c r="G6211" s="13" t="str">
        <x:v>grid_cqzdsc3v.xlsx</x:v>
      </x:c>
    </x:row>
    <x:row r="6212">
      <x:c r="A6212" s="15" t="n">
        <x:v>43252</x:v>
      </x:c>
      <x:c r="B6212" s="13" t="str">
        <x:v>BRASKEM SA-PREF A</x:v>
      </x:c>
      <x:c r="C6212" s="16" t="n">
        <x:v>2755.9417336986</x:v>
      </x:c>
      <x:c r="D6212" s="13" t="str">
        <x:v>Oil, Gas &amp; Petrochemicals</x:v>
      </x:c>
      <x:c r="E6212" s="13" t="str">
        <x:v>Oil, Gas &amp; Petrochemicals</x:v>
      </x:c>
      <x:c r="F6212" s="13" t="str">
        <x:v>Deep Cyclicals</x:v>
      </x:c>
      <x:c r="G6212" s="13" t="str">
        <x:v>grid_cqzdsc3v.xlsx</x:v>
      </x:c>
    </x:row>
    <x:row r="6213">
      <x:c r="A6213" s="15" t="n">
        <x:v>43252</x:v>
      </x:c>
      <x:c r="B6213" s="13" t="str">
        <x:v>COSAN SA</x:v>
      </x:c>
      <x:c r="C6213" s="16" t="n">
        <x:v>1367.9440938082</x:v>
      </x:c>
      <x:c r="D6213" s="13" t="str">
        <x:v>Oil, Gas &amp; Petrochemicals</x:v>
      </x:c>
      <x:c r="E6213" s="13" t="str">
        <x:v>Oil, Gas &amp; Petrochemicals</x:v>
      </x:c>
      <x:c r="F6213" s="13" t="str">
        <x:v>Deep Cyclicals</x:v>
      </x:c>
      <x:c r="G6213" s="13" t="str">
        <x:v>grid_cqzdsc3v.xlsx</x:v>
      </x:c>
    </x:row>
    <x:row r="6214">
      <x:c r="A6214" s="15" t="n">
        <x:v>43252</x:v>
      </x:c>
      <x:c r="B6214" s="13" t="str">
        <x:v>PETROBRAS - PETROLEO BRAS</x:v>
      </x:c>
      <x:c r="C6214" s="16" t="n">
        <x:v>32289.096914411</x:v>
      </x:c>
      <x:c r="D6214" s="13" t="str">
        <x:v>Oil, Gas &amp; Petrochemicals</x:v>
      </x:c>
      <x:c r="E6214" s="13" t="str">
        <x:v>Oil, Gas &amp; Petrochemicals</x:v>
      </x:c>
      <x:c r="F6214" s="13" t="str">
        <x:v>Deep Cyclicals</x:v>
      </x:c>
      <x:c r="G6214" s="13" t="str">
        <x:v>grid_cqzdsc3v.xlsx</x:v>
      </x:c>
    </x:row>
    <x:row r="6215">
      <x:c r="A6215" s="15" t="n">
        <x:v>43252</x:v>
      </x:c>
      <x:c r="B6215" s="13" t="str">
        <x:v>ULTRAPAR PARTICIPACOES SA</x:v>
      </x:c>
      <x:c r="C6215" s="16" t="n">
        <x:v>1637.0520232329</x:v>
      </x:c>
      <x:c r="D6215" s="13" t="str">
        <x:v>Oil, Gas &amp; Petrochemicals</x:v>
      </x:c>
      <x:c r="E6215" s="13" t="str">
        <x:v>Oil, Gas &amp; Petrochemicals</x:v>
      </x:c>
      <x:c r="F6215" s="13" t="str">
        <x:v>Deep Cyclicals</x:v>
      </x:c>
      <x:c r="G6215" s="13" t="str">
        <x:v>grid_cqzdsc3v.xlsx</x:v>
      </x:c>
    </x:row>
    <x:row r="6216">
      <x:c r="A6216" s="15" t="n">
        <x:v>43252</x:v>
      </x:c>
      <x:c r="B6216" s="13" t="str">
        <x:v>FIBRIA CELULOSE S/A</x:v>
      </x:c>
      <x:c r="C6216" s="16" t="n">
        <x:v>4345.3135921096</x:v>
      </x:c>
      <x:c r="D6216" s="13" t="str">
        <x:v>Pulp &amp; Paper</x:v>
      </x:c>
      <x:c r="E6216" s="13" t="str">
        <x:v>Pulp &amp; Paper</x:v>
      </x:c>
      <x:c r="F6216" s="13" t="str">
        <x:v>Deep Cyclicals</x:v>
      </x:c>
      <x:c r="G6216" s="13" t="str">
        <x:v>grid_cqzdsc3v.xlsx</x:v>
      </x:c>
    </x:row>
    <x:row r="6217">
      <x:c r="A6217" s="15" t="n">
        <x:v>43252</x:v>
      </x:c>
      <x:c r="B6217" s="13" t="str">
        <x:v>KLABIN SA - UNIT</x:v>
      </x:c>
      <x:c r="C6217" s="16" t="n">
        <x:v>1272.3139883836</x:v>
      </x:c>
      <x:c r="D6217" s="13" t="str">
        <x:v>Pulp &amp; Paper</x:v>
      </x:c>
      <x:c r="E6217" s="13" t="str">
        <x:v>Pulp &amp; Paper</x:v>
      </x:c>
      <x:c r="F6217" s="13" t="str">
        <x:v>Deep Cyclicals</x:v>
      </x:c>
      <x:c r="G6217" s="13" t="str">
        <x:v>grid_cqzdsc3v.xlsx</x:v>
      </x:c>
    </x:row>
    <x:row r="6218">
      <x:c r="A6218" s="15" t="n">
        <x:v>43252</x:v>
      </x:c>
      <x:c r="B6218" s="13" t="str">
        <x:v>SUZANO SA</x:v>
      </x:c>
      <x:c r="C6218" s="16" t="n">
        <x:v>3984.0402165479</x:v>
      </x:c>
      <x:c r="D6218" s="13" t="str">
        <x:v>Pulp &amp; Paper</x:v>
      </x:c>
      <x:c r="E6218" s="13" t="str">
        <x:v>Pulp &amp; Paper</x:v>
      </x:c>
      <x:c r="F6218" s="13" t="str">
        <x:v>Deep Cyclicals</x:v>
      </x:c>
      <x:c r="G6218" s="13" t="str">
        <x:v>grid_cqzdsc3v.xlsx</x:v>
      </x:c>
    </x:row>
    <x:row r="6219">
      <x:c r="A6219" s="15" t="n">
        <x:v>43252</x:v>
      </x:c>
      <x:c r="B6219" s="13" t="str">
        <x:v>AMERICANAS SA</x:v>
      </x:c>
      <x:c r="C6219" s="16" t="n">
        <x:v>-36.597430137</x:v>
      </x:c>
      <x:c r="D6219" s="13" t="str">
        <x:v>Retail</x:v>
      </x:c>
      <x:c r="E6219" s="13" t="str">
        <x:v>Retail</x:v>
      </x:c>
      <x:c r="F6219" s="13" t="str">
        <x:v>Early Cyclicals</x:v>
      </x:c>
      <x:c r="G6219" s="13" t="str">
        <x:v>grid_cqzdsc3v.xlsx</x:v>
      </x:c>
    </x:row>
    <x:row r="6220">
      <x:c r="A6220" s="15" t="n">
        <x:v>43252</x:v>
      </x:c>
      <x:c r="B6220" s="13" t="str">
        <x:v>CIA BRASILEIRA DE DIS-PREF</x:v>
      </x:c>
      <x:c r="C6220" s="16" t="n">
        <x:v>921.9400644384</x:v>
      </x:c>
      <x:c r="D6220" s="13" t="str">
        <x:v>Retail</x:v>
      </x:c>
      <x:c r="E6220" s="13" t="str">
        <x:v>Retail</x:v>
      </x:c>
      <x:c r="F6220" s="13" t="str">
        <x:v>Early Cyclicals</x:v>
      </x:c>
      <x:c r="G6220" s="13" t="str">
        <x:v>grid_cqzdsc3v.xlsx</x:v>
      </x:c>
    </x:row>
    <x:row r="6221">
      <x:c r="A6221" s="15" t="n">
        <x:v>43252</x:v>
      </x:c>
      <x:c r="B6221" s="13" t="str">
        <x:v>CVC BRASIL OPERADORA E AGENC</x:v>
      </x:c>
      <x:c r="C6221" s="16" t="n">
        <x:v>367.7835616438</x:v>
      </x:c>
      <x:c r="D6221" s="13" t="str">
        <x:v>Retail</x:v>
      </x:c>
      <x:c r="E6221" s="13" t="str">
        <x:v>Retail</x:v>
      </x:c>
      <x:c r="F6221" s="13" t="str">
        <x:v>Early Cyclicals</x:v>
      </x:c>
      <x:c r="G6221" s="13" t="str">
        <x:v>grid_cqzdsc3v.xlsx</x:v>
      </x:c>
    </x:row>
    <x:row r="6222">
      <x:c r="A6222" s="15" t="n">
        <x:v>43252</x:v>
      </x:c>
      <x:c r="B6222" s="13" t="str">
        <x:v>LOJAS AMERICANAS SA-PREF</x:v>
      </x:c>
      <x:c r="C6222" s="16" t="n">
        <x:v>938.3520227945</x:v>
      </x:c>
      <x:c r="D6222" s="13" t="str">
        <x:v>Retail</x:v>
      </x:c>
      <x:c r="E6222" s="13" t="str">
        <x:v>Retail</x:v>
      </x:c>
      <x:c r="F6222" s="13" t="str">
        <x:v>Early Cyclicals</x:v>
      </x:c>
      <x:c r="G6222" s="13" t="str">
        <x:v>grid_cqzdsc3v.xlsx</x:v>
      </x:c>
    </x:row>
    <x:row r="6223">
      <x:c r="A6223" s="15" t="n">
        <x:v>43252</x:v>
      </x:c>
      <x:c r="B6223" s="13" t="str">
        <x:v>LOJAS RENNER S.A.</x:v>
      </x:c>
      <x:c r="C6223" s="16" t="n">
        <x:v>1026.3535973699</x:v>
      </x:c>
      <x:c r="D6223" s="13" t="str">
        <x:v>Retail</x:v>
      </x:c>
      <x:c r="E6223" s="13" t="str">
        <x:v>Retail</x:v>
      </x:c>
      <x:c r="F6223" s="13" t="str">
        <x:v>Early Cyclicals</x:v>
      </x:c>
      <x:c r="G6223" s="13" t="str">
        <x:v>grid_cqzdsc3v.xlsx</x:v>
      </x:c>
    </x:row>
    <x:row r="6224">
      <x:c r="A6224" s="15" t="n">
        <x:v>43252</x:v>
      </x:c>
      <x:c r="B6224" s="13" t="str">
        <x:v>MAGAZINE LUIZA SA</x:v>
      </x:c>
      <x:c r="C6224" s="16" t="n">
        <x:v>646.4189790685</x:v>
      </x:c>
      <x:c r="D6224" s="13" t="str">
        <x:v>Retail</x:v>
      </x:c>
      <x:c r="E6224" s="13" t="str">
        <x:v>Retail</x:v>
      </x:c>
      <x:c r="F6224" s="13" t="str">
        <x:v>Early Cyclicals</x:v>
      </x:c>
      <x:c r="G6224" s="13" t="str">
        <x:v>grid_cqzdsc3v.xlsx</x:v>
      </x:c>
    </x:row>
    <x:row r="6225">
      <x:c r="A6225" s="15" t="n">
        <x:v>43252</x:v>
      </x:c>
      <x:c r="B6225" s="13" t="str">
        <x:v>RAIA DROGASIL SA</x:v>
      </x:c>
      <x:c r="C6225" s="16" t="n">
        <x:v>691.863021589</x:v>
      </x:c>
      <x:c r="D6225" s="13" t="str">
        <x:v>Retail</x:v>
      </x:c>
      <x:c r="E6225" s="13" t="str">
        <x:v>Retail</x:v>
      </x:c>
      <x:c r="F6225" s="13" t="str">
        <x:v>Early Cyclicals</x:v>
      </x:c>
      <x:c r="G6225" s="13" t="str">
        <x:v>grid_cqzdsc3v.xlsx</x:v>
      </x:c>
    </x:row>
    <x:row r="6226">
      <x:c r="A6226" s="15" t="n">
        <x:v>43252</x:v>
      </x:c>
      <x:c r="B6226" s="13" t="str">
        <x:v>VIA VAREJO SA</x:v>
      </x:c>
      <x:c r="C6226" s="16" t="n">
        <x:v>685.3955357808</x:v>
      </x:c>
      <x:c r="D6226" s="13" t="str">
        <x:v>Retail</x:v>
      </x:c>
      <x:c r="E6226" s="13" t="str">
        <x:v>Retail</x:v>
      </x:c>
      <x:c r="F6226" s="13" t="str">
        <x:v>Early Cyclicals</x:v>
      </x:c>
      <x:c r="G6226" s="13" t="str">
        <x:v>grid_cqzdsc3v.xlsx</x:v>
      </x:c>
    </x:row>
    <x:row r="6227">
      <x:c r="A6227" s="15" t="n">
        <x:v>43252</x:v>
      </x:c>
      <x:c r="B6227" s="13" t="str">
        <x:v>CIA DE SANEAMENTO DO PA-UNIT</x:v>
      </x:c>
      <x:c r="C6227" s="16" t="n">
        <x:v>895.2237396164</x:v>
      </x:c>
      <x:c r="D6227" s="13" t="str">
        <x:v>Sanitation</x:v>
      </x:c>
      <x:c r="E6227" s="13" t="str">
        <x:v>Utilities</x:v>
      </x:c>
      <x:c r="F6227" s="13" t="str">
        <x:v>Defensives</x:v>
      </x:c>
      <x:c r="G6227" s="13" t="str">
        <x:v>grid_cqzdsc3v.xlsx</x:v>
      </x:c>
    </x:row>
    <x:row r="6228">
      <x:c r="A6228" s="15" t="n">
        <x:v>43252</x:v>
      </x:c>
      <x:c r="B6228" s="13" t="str">
        <x:v>CIA SANEAMENTO BASICO DE SP</x:v>
      </x:c>
      <x:c r="C6228" s="16" t="n">
        <x:v>2709.761024</x:v>
      </x:c>
      <x:c r="D6228" s="13" t="str">
        <x:v>Sanitation</x:v>
      </x:c>
      <x:c r="E6228" s="13" t="str">
        <x:v>Utilities</x:v>
      </x:c>
      <x:c r="F6228" s="13" t="str">
        <x:v>Defensives</x:v>
      </x:c>
      <x:c r="G6228" s="13" t="str">
        <x:v>grid_cqzdsc3v.xlsx</x:v>
      </x:c>
    </x:row>
    <x:row r="6229">
      <x:c r="A6229" s="15" t="n">
        <x:v>43252</x:v>
      </x:c>
      <x:c r="B6229" s="13" t="str">
        <x:v>SMILES FIDELIDADE SA</x:v>
      </x:c>
      <x:c r="C6229" s="16" t="n">
        <x:v>635.757382137</x:v>
      </x:c>
      <x:c r="D6229" s="13" t="str">
        <x:v>TMT</x:v>
      </x:c>
      <x:c r="E6229" s="13" t="str">
        <x:v>TMT</x:v>
      </x:c>
      <x:c r="F6229" s="13" t="str">
        <x:v>Early Cyclicals</x:v>
      </x:c>
      <x:c r="G6229" s="13" t="str">
        <x:v>grid_cqzdsc3v.xlsx</x:v>
      </x:c>
    </x:row>
    <x:row r="6230">
      <x:c r="A6230" s="15" t="n">
        <x:v>43252</x:v>
      </x:c>
      <x:c r="B6230" s="13" t="str">
        <x:v>TELEFONICA BRASIL S.A.-PREF</x:v>
      </x:c>
      <x:c r="C6230" s="16" t="n">
        <x:v>5762.0192508493</x:v>
      </x:c>
      <x:c r="D6230" s="13" t="str">
        <x:v>TMT</x:v>
      </x:c>
      <x:c r="E6230" s="13" t="str">
        <x:v>TMT</x:v>
      </x:c>
      <x:c r="F6230" s="13" t="str">
        <x:v>Early Cyclicals</x:v>
      </x:c>
      <x:c r="G6230" s="13" t="str">
        <x:v>grid_cqzdsc3v.xlsx</x:v>
      </x:c>
    </x:row>
    <x:row r="6231">
      <x:c r="A6231" s="15" t="n">
        <x:v>43252</x:v>
      </x:c>
      <x:c r="B6231" s="13" t="str">
        <x:v>TIM SA</x:v>
      </x:c>
      <x:c r="C6231" s="16" t="n">
        <x:v>1870.592466411</x:v>
      </x:c>
      <x:c r="D6231" s="13" t="str">
        <x:v>TMT</x:v>
      </x:c>
      <x:c r="E6231" s="13" t="str">
        <x:v>TMT</x:v>
      </x:c>
      <x:c r="F6231" s="13" t="str">
        <x:v>Early Cyclicals</x:v>
      </x:c>
      <x:c r="G6231" s="13" t="str">
        <x:v>grid_cqzdsc3v.xlsx</x:v>
      </x:c>
    </x:row>
    <x:row r="6232">
      <x:c r="A6232" s="15" t="n">
        <x:v>43252</x:v>
      </x:c>
      <x:c r="B6232" s="13" t="str">
        <x:v>ECORODOVIAS INFRA E LOG SA</x:v>
      </x:c>
      <x:c r="C6232" s="16" t="n">
        <x:v>540.8863013699</x:v>
      </x:c>
      <x:c r="D6232" s="13" t="str">
        <x:v>Transportation</x:v>
      </x:c>
      <x:c r="E6232" s="13" t="str">
        <x:v>Transportation</x:v>
      </x:c>
      <x:c r="F6232" s="13" t="str">
        <x:v>Deep Cyclicals</x:v>
      </x:c>
      <x:c r="G6232" s="13" t="str">
        <x:v>grid_cqzdsc3v.xlsx</x:v>
      </x:c>
    </x:row>
    <x:row r="6233">
      <x:c r="A6233" s="15" t="n">
        <x:v>43252</x:v>
      </x:c>
      <x:c r="B6233" s="13" t="str">
        <x:v>GOL LINHAS AEREAS INT SA-PRE</x:v>
      </x:c>
      <x:c r="C6233" s="16" t="n">
        <x:v>270.9512041096</x:v>
      </x:c>
      <x:c r="D6233" s="13" t="str">
        <x:v>Transportation</x:v>
      </x:c>
      <x:c r="E6233" s="13" t="str">
        <x:v>Transportation</x:v>
      </x:c>
      <x:c r="F6233" s="13" t="str">
        <x:v>Deep Cyclicals</x:v>
      </x:c>
      <x:c r="G6233" s="13" t="str">
        <x:v>grid_cqzdsc3v.xlsx</x:v>
      </x:c>
    </x:row>
    <x:row r="6234">
      <x:c r="A6234" s="15" t="n">
        <x:v>43252</x:v>
      </x:c>
      <x:c r="B6234" s="13" t="str">
        <x:v>LOCALIZA RENT A CAR</x:v>
      </x:c>
      <x:c r="C6234" s="16" t="n">
        <x:v>801.6987020274</x:v>
      </x:c>
      <x:c r="D6234" s="13" t="str">
        <x:v>Transportation</x:v>
      </x:c>
      <x:c r="E6234" s="13" t="str">
        <x:v>Transportation</x:v>
      </x:c>
      <x:c r="F6234" s="13" t="str">
        <x:v>Deep Cyclicals</x:v>
      </x:c>
      <x:c r="G6234" s="13" t="str">
        <x:v>grid_cqzdsc3v.xlsx</x:v>
      </x:c>
    </x:row>
    <x:row r="6235">
      <x:c r="A6235" s="15" t="n">
        <x:v>43252</x:v>
      </x:c>
      <x:c r="B6235" s="13" t="str">
        <x:v>MOTIVA INFRAESTRUTURA DE MOB</x:v>
      </x:c>
      <x:c r="C6235" s="16" t="n">
        <x:v>2019.2939011507</x:v>
      </x:c>
      <x:c r="D6235" s="13" t="str">
        <x:v>Transportation</x:v>
      </x:c>
      <x:c r="E6235" s="13" t="str">
        <x:v>Transportation</x:v>
      </x:c>
      <x:c r="F6235" s="13" t="str">
        <x:v>Deep Cyclicals</x:v>
      </x:c>
      <x:c r="G6235" s="13" t="str">
        <x:v>grid_cqzdsc3v.xlsx</x:v>
      </x:c>
    </x:row>
    <x:row r="6236">
      <x:c r="A6236" s="15" t="n">
        <x:v>43252</x:v>
      </x:c>
      <x:c r="B6236" s="13" t="str">
        <x:v>RUMO SA</x:v>
      </x:c>
      <x:c r="C6236" s="16" t="n">
        <x:v>553.8688863562</x:v>
      </x:c>
      <x:c r="D6236" s="13" t="str">
        <x:v>Transportation</x:v>
      </x:c>
      <x:c r="E6236" s="13" t="str">
        <x:v>Transportation</x:v>
      </x:c>
      <x:c r="F6236" s="13" t="str">
        <x:v>Deep Cyclicals</x:v>
      </x:c>
      <x:c r="G6236" s="13" t="str">
        <x:v>grid_cqzdsc3v.xlsx</x:v>
      </x:c>
    </x:row>
    <x:row r="6237">
      <x:c r="A6237" s="15" t="n">
        <x:v>43252</x:v>
      </x:c>
      <x:c r="B6237" s="13" t="str">
        <x:v>AXIA ENERGIA SA</x:v>
      </x:c>
      <x:c r="C6237" s="16" t="n">
        <x:v>4911.9314586301</x:v>
      </x:c>
      <x:c r="D6237" s="13" t="str">
        <x:v>Utilities &amp; Energy</x:v>
      </x:c>
      <x:c r="E6237" s="13" t="str">
        <x:v>Utilities</x:v>
      </x:c>
      <x:c r="F6237" s="13" t="str">
        <x:v>Defensives</x:v>
      </x:c>
      <x:c r="G6237" s="13" t="str">
        <x:v>grid_cqzdsc3v.xlsx</x:v>
      </x:c>
    </x:row>
    <x:row r="6238">
      <x:c r="A6238" s="15" t="n">
        <x:v>43252</x:v>
      </x:c>
      <x:c r="B6238" s="13" t="str">
        <x:v>AXIA ENERGIA-PR B</x:v>
      </x:c>
      <x:c r="C6238" s="16" t="n">
        <x:v>4911.9314586301</x:v>
      </x:c>
      <x:c r="D6238" s="13" t="str">
        <x:v>Utilities &amp; Energy</x:v>
      </x:c>
      <x:c r="E6238" s="13" t="str">
        <x:v>Utilities</x:v>
      </x:c>
      <x:c r="F6238" s="13" t="str">
        <x:v>Defensives</x:v>
      </x:c>
      <x:c r="G6238" s="13" t="str">
        <x:v>grid_cqzdsc3v.xlsx</x:v>
      </x:c>
    </x:row>
    <x:row r="6239">
      <x:c r="A6239" s="15" t="n">
        <x:v>43252</x:v>
      </x:c>
      <x:c r="B6239" s="13" t="str">
        <x:v>CIA ENERGETICA MINAS GER-PRF</x:v>
      </x:c>
      <x:c r="C6239" s="16" t="n">
        <x:v>1903.0740129315</x:v>
      </x:c>
      <x:c r="D6239" s="13" t="str">
        <x:v>Utilities &amp; Energy</x:v>
      </x:c>
      <x:c r="E6239" s="13" t="str">
        <x:v>Utilities</x:v>
      </x:c>
      <x:c r="F6239" s="13" t="str">
        <x:v>Defensives</x:v>
      </x:c>
      <x:c r="G6239" s="13" t="str">
        <x:v>grid_cqzdsc3v.xlsx</x:v>
      </x:c>
    </x:row>
    <x:row r="6240">
      <x:c r="A6240" s="15" t="n">
        <x:v>43252</x:v>
      </x:c>
      <x:c r="B6240" s="13" t="str">
        <x:v>COMPANHIA PARANAENSE -PREF B</x:v>
      </x:c>
      <x:c r="C6240" s="16" t="n">
        <x:v>1522.9416276164</x:v>
      </x:c>
      <x:c r="D6240" s="13" t="str">
        <x:v>Utilities &amp; Energy</x:v>
      </x:c>
      <x:c r="E6240" s="13" t="str">
        <x:v>Utilities</x:v>
      </x:c>
      <x:c r="F6240" s="13" t="str">
        <x:v>Defensives</x:v>
      </x:c>
      <x:c r="G6240" s="13" t="str">
        <x:v>grid_cqzdsc3v.xlsx</x:v>
      </x:c>
    </x:row>
    <x:row r="6241">
      <x:c r="A6241" s="15" t="n">
        <x:v>43252</x:v>
      </x:c>
      <x:c r="B6241" s="13" t="str">
        <x:v>EDP - ENERGIAS DO BRASIL SA</x:v>
      </x:c>
      <x:c r="C6241" s="16" t="n">
        <x:v>818.1035993425</x:v>
      </x:c>
      <x:c r="D6241" s="13" t="str">
        <x:v>Utilities &amp; Energy</x:v>
      </x:c>
      <x:c r="E6241" s="13" t="str">
        <x:v>Utilities</x:v>
      </x:c>
      <x:c r="F6241" s="13" t="str">
        <x:v>Defensives</x:v>
      </x:c>
      <x:c r="G6241" s="13" t="str">
        <x:v>grid_cqzdsc3v.xlsx</x:v>
      </x:c>
    </x:row>
    <x:row r="6242">
      <x:c r="A6242" s="15" t="n">
        <x:v>43252</x:v>
      </x:c>
      <x:c r="B6242" s="13" t="str">
        <x:v>ENGIE BRASIL ENERGIA SA</x:v>
      </x:c>
      <x:c r="C6242" s="16" t="n">
        <x:v>2280.1493865205</x:v>
      </x:c>
      <x:c r="D6242" s="13" t="str">
        <x:v>Utilities &amp; Energy</x:v>
      </x:c>
      <x:c r="E6242" s="13" t="str">
        <x:v>Utilities</x:v>
      </x:c>
      <x:c r="F6242" s="13" t="str">
        <x:v>Defensives</x:v>
      </x:c>
      <x:c r="G6242" s="13" t="str">
        <x:v>grid_cqzdsc3v.xlsx</x:v>
      </x:c>
    </x:row>
    <x:row r="6243">
      <x:c r="A6243" s="15" t="n">
        <x:v>43252</x:v>
      </x:c>
      <x:c r="B6243" s="13" t="str">
        <x:v>EQUATORIAL SA - ORD</x:v>
      </x:c>
      <x:c r="C6243" s="16" t="n">
        <x:v>865.3917650411</x:v>
      </x:c>
      <x:c r="D6243" s="13" t="str">
        <x:v>Utilities &amp; Energy</x:v>
      </x:c>
      <x:c r="E6243" s="13" t="str">
        <x:v>Utilities</x:v>
      </x:c>
      <x:c r="F6243" s="13" t="str">
        <x:v>Defensives</x:v>
      </x:c>
      <x:c r="G6243" s="13" t="str">
        <x:v>grid_cqzdsc3v.xlsx</x:v>
      </x:c>
    </x:row>
    <x:row r="6244">
      <x:c r="A6244" s="15" t="n">
        <x:v>43252</x:v>
      </x:c>
      <x:c r="B6244" s="13" t="str">
        <x:v>TRANSMISSORA ALIANCA DE-UNIT</x:v>
      </x:c>
      <x:c r="C6244" s="16" t="n">
        <x:v>771.6032070137</x:v>
      </x:c>
      <x:c r="D6244" s="13" t="str">
        <x:v>Utilities &amp; Energy</x:v>
      </x:c>
      <x:c r="E6244" s="13" t="str">
        <x:v>Utilities</x:v>
      </x:c>
      <x:c r="F6244" s="13" t="str">
        <x:v>Defensives</x:v>
      </x:c>
      <x:c r="G6244" s="13" t="str">
        <x:v>grid_cqzdsc3v.xlsx</x:v>
      </x:c>
    </x:row>
    <x:row r="6245">
      <x:c r="A6245" s="15" t="n">
        <x:v>43282</x:v>
      </x:c>
      <x:c r="B6245" s="13" t="str">
        <x:v>BANCO BRADESCO S.A.</x:v>
      </x:c>
      <x:c r="C6245" s="16" t="n">
        <x:v>22494.169637874</x:v>
      </x:c>
      <x:c r="D6245" s="13" t="str">
        <x:v>Banks</x:v>
      </x:c>
      <x:c r="E6245" s="13" t="str">
        <x:v>Banks</x:v>
      </x:c>
      <x:c r="F6245" s="13" t="str">
        <x:v>Financials</x:v>
      </x:c>
      <x:c r="G6245" s="13" t="str">
        <x:v>grid_cqzdsc3v.xlsx</x:v>
      </x:c>
    </x:row>
    <x:row r="6246">
      <x:c r="A6246" s="15" t="n">
        <x:v>43282</x:v>
      </x:c>
      <x:c r="B6246" s="13" t="str">
        <x:v>BANCO BRADESCO SA-PREF</x:v>
      </x:c>
      <x:c r="C6246" s="16" t="n">
        <x:v>22494.169637874</x:v>
      </x:c>
      <x:c r="D6246" s="13" t="str">
        <x:v>Banks</x:v>
      </x:c>
      <x:c r="E6246" s="13" t="str">
        <x:v>Banks</x:v>
      </x:c>
      <x:c r="F6246" s="13" t="str">
        <x:v>Financials</x:v>
      </x:c>
      <x:c r="G6246" s="13" t="str">
        <x:v>grid_cqzdsc3v.xlsx</x:v>
      </x:c>
    </x:row>
    <x:row r="6247">
      <x:c r="A6247" s="15" t="n">
        <x:v>43282</x:v>
      </x:c>
      <x:c r="B6247" s="13" t="str">
        <x:v>BANCO DO BRASIL S.A.</x:v>
      </x:c>
      <x:c r="C6247" s="16" t="n">
        <x:v>14043.1683724274</x:v>
      </x:c>
      <x:c r="D6247" s="13" t="str">
        <x:v>Banks</x:v>
      </x:c>
      <x:c r="E6247" s="13" t="str">
        <x:v>Banks</x:v>
      </x:c>
      <x:c r="F6247" s="13" t="str">
        <x:v>Financials</x:v>
      </x:c>
      <x:c r="G6247" s="13" t="str">
        <x:v>grid_cqzdsc3v.xlsx</x:v>
      </x:c>
    </x:row>
    <x:row r="6248">
      <x:c r="A6248" s="15" t="n">
        <x:v>43282</x:v>
      </x:c>
      <x:c r="B6248" s="13" t="str">
        <x:v>BANCO SANTANDER  BRASIL-UNIT</x:v>
      </x:c>
      <x:c r="C6248" s="16" t="n">
        <x:v>12166.5385037151</x:v>
      </x:c>
      <x:c r="D6248" s="13" t="str">
        <x:v>Banks</x:v>
      </x:c>
      <x:c r="E6248" s="13" t="str">
        <x:v>Banks</x:v>
      </x:c>
      <x:c r="F6248" s="13" t="str">
        <x:v>Financials</x:v>
      </x:c>
      <x:c r="G6248" s="13" t="str">
        <x:v>grid_cqzdsc3v.xlsx</x:v>
      </x:c>
    </x:row>
    <x:row r="6249">
      <x:c r="A6249" s="15" t="n">
        <x:v>43282</x:v>
      </x:c>
      <x:c r="B6249" s="13" t="str">
        <x:v>ITAU UNIBANCO HOLDING S-PREF</x:v>
      </x:c>
      <x:c r="C6249" s="16" t="n">
        <x:v>28138.5311638795</x:v>
      </x:c>
      <x:c r="D6249" s="13" t="str">
        <x:v>Banks</x:v>
      </x:c>
      <x:c r="E6249" s="13" t="str">
        <x:v>Banks</x:v>
      </x:c>
      <x:c r="F6249" s="13" t="str">
        <x:v>Financials</x:v>
      </x:c>
      <x:c r="G6249" s="13" t="str">
        <x:v>grid_cqzdsc3v.xlsx</x:v>
      </x:c>
    </x:row>
    <x:row r="6250">
      <x:c r="A6250" s="15" t="n">
        <x:v>43282</x:v>
      </x:c>
      <x:c r="B6250" s="13" t="str">
        <x:v>EMBRAER SA</x:v>
      </x:c>
      <x:c r="C6250" s="16" t="n">
        <x:v>904.6484383562</x:v>
      </x:c>
      <x:c r="D6250" s="13" t="str">
        <x:v>Capital Goods</x:v>
      </x:c>
      <x:c r="E6250" s="13" t="str">
        <x:v>Capital Goods</x:v>
      </x:c>
      <x:c r="F6250" s="13" t="str">
        <x:v>Deep Cyclicals</x:v>
      </x:c>
      <x:c r="G6250" s="13" t="str">
        <x:v>grid_cqzdsc3v.xlsx</x:v>
      </x:c>
    </x:row>
    <x:row r="6251">
      <x:c r="A6251" s="15" t="n">
        <x:v>43282</x:v>
      </x:c>
      <x:c r="B6251" s="13" t="str">
        <x:v>WEG SA</x:v>
      </x:c>
      <x:c r="C6251" s="16" t="n">
        <x:v>1491.6644404603</x:v>
      </x:c>
      <x:c r="D6251" s="13" t="str">
        <x:v>Capital Goods</x:v>
      </x:c>
      <x:c r="E6251" s="13" t="str">
        <x:v>Capital Goods</x:v>
      </x:c>
      <x:c r="F6251" s="13" t="str">
        <x:v>Deep Cyclicals</x:v>
      </x:c>
      <x:c r="G6251" s="13" t="str">
        <x:v>grid_cqzdsc3v.xlsx</x:v>
      </x:c>
    </x:row>
    <x:row r="6252">
      <x:c r="A6252" s="15" t="n">
        <x:v>43282</x:v>
      </x:c>
      <x:c r="B6252" s="13" t="str">
        <x:v>COGNA EDUCACAO</x:v>
      </x:c>
      <x:c r="C6252" s="16" t="n">
        <x:v>1968.6556577315</x:v>
      </x:c>
      <x:c r="D6252" s="13" t="str">
        <x:v>Education</x:v>
      </x:c>
      <x:c r="E6252" s="13" t="str">
        <x:v>Education</x:v>
      </x:c>
      <x:c r="F6252" s="13" t="str">
        <x:v>Early Cyclicals</x:v>
      </x:c>
      <x:c r="G6252" s="13" t="str">
        <x:v>grid_cqzdsc3v.xlsx</x:v>
      </x:c>
    </x:row>
    <x:row r="6253">
      <x:c r="A6253" s="15" t="n">
        <x:v>43282</x:v>
      </x:c>
      <x:c r="B6253" s="13" t="str">
        <x:v>YDUQS PARTICIPACOES SA</x:v>
      </x:c>
      <x:c r="C6253" s="16" t="n">
        <x:v>875.2068359014</x:v>
      </x:c>
      <x:c r="D6253" s="13" t="str">
        <x:v>Education</x:v>
      </x:c>
      <x:c r="E6253" s="13" t="str">
        <x:v>Education</x:v>
      </x:c>
      <x:c r="F6253" s="13" t="str">
        <x:v>Early Cyclicals</x:v>
      </x:c>
      <x:c r="G6253" s="13" t="str">
        <x:v>grid_cqzdsc3v.xlsx</x:v>
      </x:c>
    </x:row>
    <x:row r="6254">
      <x:c r="A6254" s="15" t="n">
        <x:v>43282</x:v>
      </x:c>
      <x:c r="B6254" s="13" t="str">
        <x:v>B3 SA-BRASIL BOLSA BALCAO</x:v>
      </x:c>
      <x:c r="C6254" s="16" t="n">
        <x:v>2644.8222383342</x:v>
      </x:c>
      <x:c r="D6254" s="13" t="str">
        <x:v>Financials Non-Banks</x:v>
      </x:c>
      <x:c r="E6254" s="13" t="str">
        <x:v>Financials Non-Banks</x:v>
      </x:c>
      <x:c r="F6254" s="13" t="str">
        <x:v>Financials</x:v>
      </x:c>
      <x:c r="G6254" s="13" t="str">
        <x:v>grid_cqzdsc3v.xlsx</x:v>
      </x:c>
    </x:row>
    <x:row r="6255">
      <x:c r="A6255" s="15" t="n">
        <x:v>43282</x:v>
      </x:c>
      <x:c r="B6255" s="13" t="str">
        <x:v>BB SEGURIDADE PARTICIPACOES</x:v>
      </x:c>
      <x:c r="C6255" s="16" t="n">
        <x:v>4168.4182836603</x:v>
      </x:c>
      <x:c r="D6255" s="13" t="str">
        <x:v>Financials Non-Banks</x:v>
      </x:c>
      <x:c r="E6255" s="13" t="str">
        <x:v>Financials Non-Banks</x:v>
      </x:c>
      <x:c r="F6255" s="13" t="str">
        <x:v>Financials</x:v>
      </x:c>
      <x:c r="G6255" s="13" t="str">
        <x:v>grid_cqzdsc3v.xlsx</x:v>
      </x:c>
    </x:row>
    <x:row r="6256">
      <x:c r="A6256" s="15" t="n">
        <x:v>43282</x:v>
      </x:c>
      <x:c r="B6256" s="13" t="str">
        <x:v>CIELO SA - INSTITUICAO DE PA</x:v>
      </x:c>
      <x:c r="C6256" s="16" t="n">
        <x:v>4053.6499354301</x:v>
      </x:c>
      <x:c r="D6256" s="13" t="str">
        <x:v>Financials Non-Banks</x:v>
      </x:c>
      <x:c r="E6256" s="13" t="str">
        <x:v>Financials Non-Banks</x:v>
      </x:c>
      <x:c r="F6256" s="13" t="str">
        <x:v>Financials</x:v>
      </x:c>
      <x:c r="G6256" s="13" t="str">
        <x:v>grid_cqzdsc3v.xlsx</x:v>
      </x:c>
    </x:row>
    <x:row r="6257">
      <x:c r="A6257" s="15" t="n">
        <x:v>43282</x:v>
      </x:c>
      <x:c r="B6257" s="13" t="str">
        <x:v>ITAUSA SA</x:v>
      </x:c>
      <x:c r="C6257" s="16" t="n">
        <x:v>10942.3727265315</x:v>
      </x:c>
      <x:c r="D6257" s="13" t="str">
        <x:v>Financials Non-Banks</x:v>
      </x:c>
      <x:c r="E6257" s="13" t="str">
        <x:v>Financials Non-Banks</x:v>
      </x:c>
      <x:c r="F6257" s="13" t="str">
        <x:v>Financials</x:v>
      </x:c>
      <x:c r="G6257" s="13" t="str">
        <x:v>grid_cqzdsc3v.xlsx</x:v>
      </x:c>
    </x:row>
    <x:row r="6258">
      <x:c r="A6258" s="15" t="n">
        <x:v>43282</x:v>
      </x:c>
      <x:c r="B6258" s="13" t="str">
        <x:v>AMBEV SA</x:v>
      </x:c>
      <x:c r="C6258" s="16" t="n">
        <x:v>14105.4195571726</x:v>
      </x:c>
      <x:c r="D6258" s="13" t="str">
        <x:v>Food &amp; Beverages</x:v>
      </x:c>
      <x:c r="E6258" s="13" t="str">
        <x:v>Agri, Food &amp; Beverages</x:v>
      </x:c>
      <x:c r="F6258" s="13" t="str">
        <x:v>Defensives</x:v>
      </x:c>
      <x:c r="G6258" s="13" t="str">
        <x:v>grid_cqzdsc3v.xlsx</x:v>
      </x:c>
    </x:row>
    <x:row r="6259">
      <x:c r="A6259" s="15" t="n">
        <x:v>43282</x:v>
      </x:c>
      <x:c r="B6259" s="13" t="str">
        <x:v>BRF SA</x:v>
      </x:c>
      <x:c r="C6259" s="16" t="n">
        <x:v>17.1309589041</x:v>
      </x:c>
      <x:c r="D6259" s="13" t="str">
        <x:v>Food &amp; Beverages</x:v>
      </x:c>
      <x:c r="E6259" s="13" t="str">
        <x:v>Agri, Food &amp; Beverages</x:v>
      </x:c>
      <x:c r="F6259" s="13" t="str">
        <x:v>Defensives</x:v>
      </x:c>
      <x:c r="G6259" s="13" t="str">
        <x:v>grid_cqzdsc3v.xlsx</x:v>
      </x:c>
    </x:row>
    <x:row r="6260">
      <x:c r="A6260" s="15" t="n">
        <x:v>43282</x:v>
      </x:c>
      <x:c r="B6260" s="13" t="str">
        <x:v>JBS SA</x:v>
      </x:c>
      <x:c r="C6260" s="16" t="n">
        <x:v>3637.1428751781</x:v>
      </x:c>
      <x:c r="D6260" s="13" t="str">
        <x:v>Food &amp; Beverages</x:v>
      </x:c>
      <x:c r="E6260" s="13" t="str">
        <x:v>Agri, Food &amp; Beverages</x:v>
      </x:c>
      <x:c r="F6260" s="13" t="str">
        <x:v>Defensives</x:v>
      </x:c>
      <x:c r="G6260" s="13" t="str">
        <x:v>grid_cqzdsc3v.xlsx</x:v>
      </x:c>
    </x:row>
    <x:row r="6261">
      <x:c r="A6261" s="15" t="n">
        <x:v>43282</x:v>
      </x:c>
      <x:c r="B6261" s="13" t="str">
        <x:v>MBRF GLOBAL FOODS COMPANY SA</x:v>
      </x:c>
      <x:c r="C6261" s="16" t="n">
        <x:v>274.0958087781</x:v>
      </x:c>
      <x:c r="D6261" s="13" t="str">
        <x:v>Food &amp; Beverages</x:v>
      </x:c>
      <x:c r="E6261" s="13" t="str">
        <x:v>Agri, Food &amp; Beverages</x:v>
      </x:c>
      <x:c r="F6261" s="13" t="str">
        <x:v>Defensives</x:v>
      </x:c>
      <x:c r="G6261" s="13" t="str">
        <x:v>grid_cqzdsc3v.xlsx</x:v>
      </x:c>
    </x:row>
    <x:row r="6262">
      <x:c r="A6262" s="15" t="n">
        <x:v>43282</x:v>
      </x:c>
      <x:c r="B6262" s="13" t="str">
        <x:v>FLEURY SA</x:v>
      </x:c>
      <x:c r="C6262" s="16" t="n">
        <x:v>409.4952034192</x:v>
      </x:c>
      <x:c r="D6262" s="13" t="str">
        <x:v>Health Care</x:v>
      </x:c>
      <x:c r="E6262" s="13" t="str">
        <x:v>Health Care</x:v>
      </x:c>
      <x:c r="F6262" s="13" t="str">
        <x:v>Defensives</x:v>
      </x:c>
      <x:c r="G6262" s="13" t="str">
        <x:v>grid_cqzdsc3v.xlsx</x:v>
      </x:c>
    </x:row>
    <x:row r="6263">
      <x:c r="A6263" s="15" t="n">
        <x:v>43282</x:v>
      </x:c>
      <x:c r="B6263" s="13" t="str">
        <x:v>HYPERA SA</x:v>
      </x:c>
      <x:c r="C6263" s="16" t="n">
        <x:v>1154.9300914849</x:v>
      </x:c>
      <x:c r="D6263" s="13" t="str">
        <x:v>Health Care</x:v>
      </x:c>
      <x:c r="E6263" s="13" t="str">
        <x:v>Health Care</x:v>
      </x:c>
      <x:c r="F6263" s="13" t="str">
        <x:v>Defensives</x:v>
      </x:c>
      <x:c r="G6263" s="13" t="str">
        <x:v>grid_cqzdsc3v.xlsx</x:v>
      </x:c>
    </x:row>
    <x:row r="6264">
      <x:c r="A6264" s="15" t="n">
        <x:v>43282</x:v>
      </x:c>
      <x:c r="B6264" s="13" t="str">
        <x:v>QUALICORP CONS E CORR SEG SA</x:v>
      </x:c>
      <x:c r="C6264" s="16" t="n">
        <x:v>578.4242695014</x:v>
      </x:c>
      <x:c r="D6264" s="13" t="str">
        <x:v>Health Care</x:v>
      </x:c>
      <x:c r="E6264" s="13" t="str">
        <x:v>Health Care</x:v>
      </x:c>
      <x:c r="F6264" s="13" t="str">
        <x:v>Defensives</x:v>
      </x:c>
      <x:c r="G6264" s="13" t="str">
        <x:v>grid_cqzdsc3v.xlsx</x:v>
      </x:c>
    </x:row>
    <x:row r="6265">
      <x:c r="A6265" s="15" t="n">
        <x:v>43282</x:v>
      </x:c>
      <x:c r="B6265" s="13" t="str">
        <x:v>CYRELA BRAZIL REALTY SA EMP</x:v>
      </x:c>
      <x:c r="C6265" s="16" t="n">
        <x:v>262.8938811178</x:v>
      </x:c>
      <x:c r="D6265" s="13" t="str">
        <x:v>Homebuilders</x:v>
      </x:c>
      <x:c r="E6265" s="13" t="str">
        <x:v>Real Estate</x:v>
      </x:c>
      <x:c r="F6265" s="13" t="str">
        <x:v>Early Cyclicals</x:v>
      </x:c>
      <x:c r="G6265" s="13" t="str">
        <x:v>grid_cqzdsc3v.xlsx</x:v>
      </x:c>
    </x:row>
    <x:row r="6266">
      <x:c r="A6266" s="15" t="n">
        <x:v>43282</x:v>
      </x:c>
      <x:c r="B6266" s="13" t="str">
        <x:v>MRV ENGENHARIA</x:v>
      </x:c>
      <x:c r="C6266" s="16" t="n">
        <x:v>816.3267242082</x:v>
      </x:c>
      <x:c r="D6266" s="13" t="str">
        <x:v>Homebuilders</x:v>
      </x:c>
      <x:c r="E6266" s="13" t="str">
        <x:v>Real Estate</x:v>
      </x:c>
      <x:c r="F6266" s="13" t="str">
        <x:v>Early Cyclicals</x:v>
      </x:c>
      <x:c r="G6266" s="13" t="str">
        <x:v>grid_cqzdsc3v.xlsx</x:v>
      </x:c>
    </x:row>
    <x:row r="6267">
      <x:c r="A6267" s="15" t="n">
        <x:v>43282</x:v>
      </x:c>
      <x:c r="B6267" s="13" t="str">
        <x:v>BR MALLS PARTICIPACOES SA</x:v>
      </x:c>
      <x:c r="C6267" s="16" t="n">
        <x:v>627.0328200767</x:v>
      </x:c>
      <x:c r="D6267" s="13" t="str">
        <x:v>Income Properties</x:v>
      </x:c>
      <x:c r="E6267" s="13" t="str">
        <x:v>Real Estate</x:v>
      </x:c>
      <x:c r="F6267" s="13" t="str">
        <x:v>Early Cyclicals</x:v>
      </x:c>
      <x:c r="G6267" s="13" t="str">
        <x:v>grid_cqzdsc3v.xlsx</x:v>
      </x:c>
    </x:row>
    <x:row r="6268">
      <x:c r="A6268" s="15" t="n">
        <x:v>43282</x:v>
      </x:c>
      <x:c r="B6268" s="13" t="str">
        <x:v>IGUATEMI EMP DE SHOPPING</x:v>
      </x:c>
      <x:c r="C6268" s="16" t="n">
        <x:v>286.8914088329</x:v>
      </x:c>
      <x:c r="D6268" s="13" t="str">
        <x:v>Income Properties</x:v>
      </x:c>
      <x:c r="E6268" s="13" t="str">
        <x:v>Real Estate</x:v>
      </x:c>
      <x:c r="F6268" s="13" t="str">
        <x:v>Early Cyclicals</x:v>
      </x:c>
      <x:c r="G6268" s="13" t="str">
        <x:v>grid_cqzdsc3v.xlsx</x:v>
      </x:c>
    </x:row>
    <x:row r="6269">
      <x:c r="A6269" s="15" t="n">
        <x:v>43282</x:v>
      </x:c>
      <x:c r="B6269" s="13" t="str">
        <x:v>MULTIPLAN EMPREENDIMENTOS</x:v>
      </x:c>
      <x:c r="C6269" s="16" t="n">
        <x:v>507.0041481644</x:v>
      </x:c>
      <x:c r="D6269" s="13" t="str">
        <x:v>Income Properties</x:v>
      </x:c>
      <x:c r="E6269" s="13" t="str">
        <x:v>Real Estate</x:v>
      </x:c>
      <x:c r="F6269" s="13" t="str">
        <x:v>Early Cyclicals</x:v>
      </x:c>
      <x:c r="G6269" s="13" t="str">
        <x:v>grid_cqzdsc3v.xlsx</x:v>
      </x:c>
    </x:row>
    <x:row r="6270">
      <x:c r="A6270" s="15" t="n">
        <x:v>43282</x:v>
      </x:c>
      <x:c r="B6270" s="13" t="str">
        <x:v>BRADESPAR SA -PREF</x:v>
      </x:c>
      <x:c r="C6270" s="16" t="n">
        <x:v>812.6575342466</x:v>
      </x:c>
      <x:c r="D6270" s="13" t="str">
        <x:v>Metals &amp; Mining</x:v>
      </x:c>
      <x:c r="E6270" s="13" t="str">
        <x:v>Metals &amp; Mining</x:v>
      </x:c>
      <x:c r="F6270" s="13" t="str">
        <x:v>Deep Cyclicals</x:v>
      </x:c>
      <x:c r="G6270" s="13" t="str">
        <x:v>grid_cqzdsc3v.xlsx</x:v>
      </x:c>
    </x:row>
    <x:row r="6271">
      <x:c r="A6271" s="15" t="n">
        <x:v>43282</x:v>
      </x:c>
      <x:c r="B6271" s="13" t="str">
        <x:v>CIA SIDERURGICA NACIONAL SA</x:v>
      </x:c>
      <x:c r="C6271" s="16" t="n">
        <x:v>1328.4432401534</x:v>
      </x:c>
      <x:c r="D6271" s="13" t="str">
        <x:v>Metals &amp; Mining</x:v>
      </x:c>
      <x:c r="E6271" s="13" t="str">
        <x:v>Metals &amp; Mining</x:v>
      </x:c>
      <x:c r="F6271" s="13" t="str">
        <x:v>Deep Cyclicals</x:v>
      </x:c>
      <x:c r="G6271" s="13" t="str">
        <x:v>grid_cqzdsc3v.xlsx</x:v>
      </x:c>
    </x:row>
    <x:row r="6272">
      <x:c r="A6272" s="15" t="n">
        <x:v>43282</x:v>
      </x:c>
      <x:c r="B6272" s="13" t="str">
        <x:v>GERDAU SA-PREF</x:v>
      </x:c>
      <x:c r="C6272" s="16" t="n">
        <x:v>2150.2971062356</x:v>
      </x:c>
      <x:c r="D6272" s="13" t="str">
        <x:v>Metals &amp; Mining</x:v>
      </x:c>
      <x:c r="E6272" s="13" t="str">
        <x:v>Metals &amp; Mining</x:v>
      </x:c>
      <x:c r="F6272" s="13" t="str">
        <x:v>Deep Cyclicals</x:v>
      </x:c>
      <x:c r="G6272" s="13" t="str">
        <x:v>grid_cqzdsc3v.xlsx</x:v>
      </x:c>
    </x:row>
    <x:row r="6273">
      <x:c r="A6273" s="15" t="n">
        <x:v>43282</x:v>
      </x:c>
      <x:c r="B6273" s="13" t="str">
        <x:v>USINAS SIDER MINAS GER-PF A</x:v>
      </x:c>
      <x:c r="C6273" s="16" t="n">
        <x:v>908.2142430685</x:v>
      </x:c>
      <x:c r="D6273" s="13" t="str">
        <x:v>Metals &amp; Mining</x:v>
      </x:c>
      <x:c r="E6273" s="13" t="str">
        <x:v>Metals &amp; Mining</x:v>
      </x:c>
      <x:c r="F6273" s="13" t="str">
        <x:v>Deep Cyclicals</x:v>
      </x:c>
      <x:c r="G6273" s="13" t="str">
        <x:v>grid_cqzdsc3v.xlsx</x:v>
      </x:c>
    </x:row>
    <x:row r="6274">
      <x:c r="A6274" s="15" t="n">
        <x:v>43282</x:v>
      </x:c>
      <x:c r="B6274" s="13" t="str">
        <x:v>VALE SA</x:v>
      </x:c>
      <x:c r="C6274" s="16" t="n">
        <x:v>29348.7413107726</x:v>
      </x:c>
      <x:c r="D6274" s="13" t="str">
        <x:v>Metals &amp; Mining</x:v>
      </x:c>
      <x:c r="E6274" s="13" t="str">
        <x:v>Metals &amp; Mining</x:v>
      </x:c>
      <x:c r="F6274" s="13" t="str">
        <x:v>Deep Cyclicals</x:v>
      </x:c>
      <x:c r="G6274" s="13" t="str">
        <x:v>grid_cqzdsc3v.xlsx</x:v>
      </x:c>
    </x:row>
    <x:row r="6275">
      <x:c r="A6275" s="15" t="n">
        <x:v>43282</x:v>
      </x:c>
      <x:c r="B6275" s="13" t="str">
        <x:v>BRASKEM SA-PREF A</x:v>
      </x:c>
      <x:c r="C6275" s="16" t="n">
        <x:v>2699.0396857863</x:v>
      </x:c>
      <x:c r="D6275" s="13" t="str">
        <x:v>Oil, Gas &amp; Petrochemicals</x:v>
      </x:c>
      <x:c r="E6275" s="13" t="str">
        <x:v>Oil, Gas &amp; Petrochemicals</x:v>
      </x:c>
      <x:c r="F6275" s="13" t="str">
        <x:v>Deep Cyclicals</x:v>
      </x:c>
      <x:c r="G6275" s="13" t="str">
        <x:v>grid_cqzdsc3v.xlsx</x:v>
      </x:c>
    </x:row>
    <x:row r="6276">
      <x:c r="A6276" s="15" t="n">
        <x:v>43282</x:v>
      </x:c>
      <x:c r="B6276" s="13" t="str">
        <x:v>COSAN SA</x:v>
      </x:c>
      <x:c r="C6276" s="16" t="n">
        <x:v>1384.4161406247</x:v>
      </x:c>
      <x:c r="D6276" s="13" t="str">
        <x:v>Oil, Gas &amp; Petrochemicals</x:v>
      </x:c>
      <x:c r="E6276" s="13" t="str">
        <x:v>Oil, Gas &amp; Petrochemicals</x:v>
      </x:c>
      <x:c r="F6276" s="13" t="str">
        <x:v>Deep Cyclicals</x:v>
      </x:c>
      <x:c r="G6276" s="13" t="str">
        <x:v>grid_cqzdsc3v.xlsx</x:v>
      </x:c>
    </x:row>
    <x:row r="6277">
      <x:c r="A6277" s="15" t="n">
        <x:v>43282</x:v>
      </x:c>
      <x:c r="B6277" s="13" t="str">
        <x:v>PETROBRAS - PETROLEO BRAS</x:v>
      </x:c>
      <x:c r="C6277" s="16" t="n">
        <x:v>33905.8481628932</x:v>
      </x:c>
      <x:c r="D6277" s="13" t="str">
        <x:v>Oil, Gas &amp; Petrochemicals</x:v>
      </x:c>
      <x:c r="E6277" s="13" t="str">
        <x:v>Oil, Gas &amp; Petrochemicals</x:v>
      </x:c>
      <x:c r="F6277" s="13" t="str">
        <x:v>Deep Cyclicals</x:v>
      </x:c>
      <x:c r="G6277" s="13" t="str">
        <x:v>grid_cqzdsc3v.xlsx</x:v>
      </x:c>
    </x:row>
    <x:row r="6278">
      <x:c r="A6278" s="15" t="n">
        <x:v>43282</x:v>
      </x:c>
      <x:c r="B6278" s="13" t="str">
        <x:v>ULTRAPAR PARTICIPACOES SA</x:v>
      </x:c>
      <x:c r="C6278" s="16" t="n">
        <x:v>1538.4138723945</x:v>
      </x:c>
      <x:c r="D6278" s="13" t="str">
        <x:v>Oil, Gas &amp; Petrochemicals</x:v>
      </x:c>
      <x:c r="E6278" s="13" t="str">
        <x:v>Oil, Gas &amp; Petrochemicals</x:v>
      </x:c>
      <x:c r="F6278" s="13" t="str">
        <x:v>Deep Cyclicals</x:v>
      </x:c>
      <x:c r="G6278" s="13" t="str">
        <x:v>grid_cqzdsc3v.xlsx</x:v>
      </x:c>
    </x:row>
    <x:row r="6279">
      <x:c r="A6279" s="15" t="n">
        <x:v>43282</x:v>
      </x:c>
      <x:c r="B6279" s="13" t="str">
        <x:v>FIBRIA CELULOSE S/A</x:v>
      </x:c>
      <x:c r="C6279" s="16" t="n">
        <x:v>4318.0026901041</x:v>
      </x:c>
      <x:c r="D6279" s="13" t="str">
        <x:v>Pulp &amp; Paper</x:v>
      </x:c>
      <x:c r="E6279" s="13" t="str">
        <x:v>Pulp &amp; Paper</x:v>
      </x:c>
      <x:c r="F6279" s="13" t="str">
        <x:v>Deep Cyclicals</x:v>
      </x:c>
      <x:c r="G6279" s="13" t="str">
        <x:v>grid_cqzdsc3v.xlsx</x:v>
      </x:c>
    </x:row>
    <x:row r="6280">
      <x:c r="A6280" s="15" t="n">
        <x:v>43282</x:v>
      </x:c>
      <x:c r="B6280" s="13" t="str">
        <x:v>KLABIN SA - UNIT</x:v>
      </x:c>
      <x:c r="C6280" s="16" t="n">
        <x:v>1277.162853874</x:v>
      </x:c>
      <x:c r="D6280" s="13" t="str">
        <x:v>Pulp &amp; Paper</x:v>
      </x:c>
      <x:c r="E6280" s="13" t="str">
        <x:v>Pulp &amp; Paper</x:v>
      </x:c>
      <x:c r="F6280" s="13" t="str">
        <x:v>Deep Cyclicals</x:v>
      </x:c>
      <x:c r="G6280" s="13" t="str">
        <x:v>grid_cqzdsc3v.xlsx</x:v>
      </x:c>
    </x:row>
    <x:row r="6281">
      <x:c r="A6281" s="15" t="n">
        <x:v>43282</x:v>
      </x:c>
      <x:c r="B6281" s="13" t="str">
        <x:v>SUZANO SA</x:v>
      </x:c>
      <x:c r="C6281" s="16" t="n">
        <x:v>3664.6859467397</x:v>
      </x:c>
      <x:c r="D6281" s="13" t="str">
        <x:v>Pulp &amp; Paper</x:v>
      </x:c>
      <x:c r="E6281" s="13" t="str">
        <x:v>Pulp &amp; Paper</x:v>
      </x:c>
      <x:c r="F6281" s="13" t="str">
        <x:v>Deep Cyclicals</x:v>
      </x:c>
      <x:c r="G6281" s="13" t="str">
        <x:v>grid_cqzdsc3v.xlsx</x:v>
      </x:c>
    </x:row>
    <x:row r="6282">
      <x:c r="A6282" s="15" t="n">
        <x:v>43282</x:v>
      </x:c>
      <x:c r="B6282" s="13" t="str">
        <x:v>AMERICANAS SA</x:v>
      </x:c>
      <x:c r="C6282" s="16" t="n">
        <x:v>-22.5097287671</x:v>
      </x:c>
      <x:c r="D6282" s="13" t="str">
        <x:v>Retail</x:v>
      </x:c>
      <x:c r="E6282" s="13" t="str">
        <x:v>Retail</x:v>
      </x:c>
      <x:c r="F6282" s="13" t="str">
        <x:v>Early Cyclicals</x:v>
      </x:c>
      <x:c r="G6282" s="13" t="str">
        <x:v>grid_cqzdsc3v.xlsx</x:v>
      </x:c>
    </x:row>
    <x:row r="6283">
      <x:c r="A6283" s="15" t="n">
        <x:v>43282</x:v>
      </x:c>
      <x:c r="B6283" s="13" t="str">
        <x:v>CIA BRASILEIRA DE DIS-PREF</x:v>
      </x:c>
      <x:c r="C6283" s="16" t="n">
        <x:v>991.0591594959</x:v>
      </x:c>
      <x:c r="D6283" s="13" t="str">
        <x:v>Retail</x:v>
      </x:c>
      <x:c r="E6283" s="13" t="str">
        <x:v>Retail</x:v>
      </x:c>
      <x:c r="F6283" s="13" t="str">
        <x:v>Early Cyclicals</x:v>
      </x:c>
      <x:c r="G6283" s="13" t="str">
        <x:v>grid_cqzdsc3v.xlsx</x:v>
      </x:c>
    </x:row>
    <x:row r="6284">
      <x:c r="A6284" s="15" t="n">
        <x:v>43282</x:v>
      </x:c>
      <x:c r="B6284" s="13" t="str">
        <x:v>CVC BRASIL OPERADORA E AGENC</x:v>
      </x:c>
      <x:c r="C6284" s="16" t="n">
        <x:v>368.3769863014</x:v>
      </x:c>
      <x:c r="D6284" s="13" t="str">
        <x:v>Retail</x:v>
      </x:c>
      <x:c r="E6284" s="13" t="str">
        <x:v>Retail</x:v>
      </x:c>
      <x:c r="F6284" s="13" t="str">
        <x:v>Early Cyclicals</x:v>
      </x:c>
      <x:c r="G6284" s="13" t="str">
        <x:v>grid_cqzdsc3v.xlsx</x:v>
      </x:c>
    </x:row>
    <x:row r="6285">
      <x:c r="A6285" s="15" t="n">
        <x:v>43282</x:v>
      </x:c>
      <x:c r="B6285" s="13" t="str">
        <x:v>LOJAS AMERICANAS SA-PREF</x:v>
      </x:c>
      <x:c r="C6285" s="16" t="n">
        <x:v>923.795066389</x:v>
      </x:c>
      <x:c r="D6285" s="13" t="str">
        <x:v>Retail</x:v>
      </x:c>
      <x:c r="E6285" s="13" t="str">
        <x:v>Retail</x:v>
      </x:c>
      <x:c r="F6285" s="13" t="str">
        <x:v>Early Cyclicals</x:v>
      </x:c>
      <x:c r="G6285" s="13" t="str">
        <x:v>grid_cqzdsc3v.xlsx</x:v>
      </x:c>
    </x:row>
    <x:row r="6286">
      <x:c r="A6286" s="15" t="n">
        <x:v>43282</x:v>
      </x:c>
      <x:c r="B6286" s="13" t="str">
        <x:v>LOJAS RENNER S.A.</x:v>
      </x:c>
      <x:c r="C6286" s="16" t="n">
        <x:v>1028.4698764274</x:v>
      </x:c>
      <x:c r="D6286" s="13" t="str">
        <x:v>Retail</x:v>
      </x:c>
      <x:c r="E6286" s="13" t="str">
        <x:v>Retail</x:v>
      </x:c>
      <x:c r="F6286" s="13" t="str">
        <x:v>Early Cyclicals</x:v>
      </x:c>
      <x:c r="G6286" s="13" t="str">
        <x:v>grid_cqzdsc3v.xlsx</x:v>
      </x:c>
    </x:row>
    <x:row r="6287">
      <x:c r="A6287" s="15" t="n">
        <x:v>43282</x:v>
      </x:c>
      <x:c r="B6287" s="13" t="str">
        <x:v>MAGAZINE LUIZA SA</x:v>
      </x:c>
      <x:c r="C6287" s="16" t="n">
        <x:v>669.5385163397</x:v>
      </x:c>
      <x:c r="D6287" s="13" t="str">
        <x:v>Retail</x:v>
      </x:c>
      <x:c r="E6287" s="13" t="str">
        <x:v>Retail</x:v>
      </x:c>
      <x:c r="F6287" s="13" t="str">
        <x:v>Early Cyclicals</x:v>
      </x:c>
      <x:c r="G6287" s="13" t="str">
        <x:v>grid_cqzdsc3v.xlsx</x:v>
      </x:c>
    </x:row>
    <x:row r="6288">
      <x:c r="A6288" s="15" t="n">
        <x:v>43282</x:v>
      </x:c>
      <x:c r="B6288" s="13" t="str">
        <x:v>RAIA DROGASIL SA</x:v>
      </x:c>
      <x:c r="C6288" s="16" t="n">
        <x:v>697.3538090082</x:v>
      </x:c>
      <x:c r="D6288" s="13" t="str">
        <x:v>Retail</x:v>
      </x:c>
      <x:c r="E6288" s="13" t="str">
        <x:v>Retail</x:v>
      </x:c>
      <x:c r="F6288" s="13" t="str">
        <x:v>Early Cyclicals</x:v>
      </x:c>
      <x:c r="G6288" s="13" t="str">
        <x:v>grid_cqzdsc3v.xlsx</x:v>
      </x:c>
    </x:row>
    <x:row r="6289">
      <x:c r="A6289" s="15" t="n">
        <x:v>43282</x:v>
      </x:c>
      <x:c r="B6289" s="13" t="str">
        <x:v>VIA VAREJO SA</x:v>
      </x:c>
      <x:c r="C6289" s="16" t="n">
        <x:v>657.032364011</x:v>
      </x:c>
      <x:c r="D6289" s="13" t="str">
        <x:v>Retail</x:v>
      </x:c>
      <x:c r="E6289" s="13" t="str">
        <x:v>Retail</x:v>
      </x:c>
      <x:c r="F6289" s="13" t="str">
        <x:v>Early Cyclicals</x:v>
      </x:c>
      <x:c r="G6289" s="13" t="str">
        <x:v>grid_cqzdsc3v.xlsx</x:v>
      </x:c>
    </x:row>
    <x:row r="6290">
      <x:c r="A6290" s="15" t="n">
        <x:v>43282</x:v>
      </x:c>
      <x:c r="B6290" s="13" t="str">
        <x:v>CIA DE SANEAMENTO DO PA-UNIT</x:v>
      </x:c>
      <x:c r="C6290" s="16" t="n">
        <x:v>893.583570937</x:v>
      </x:c>
      <x:c r="D6290" s="13" t="str">
        <x:v>Sanitation</x:v>
      </x:c>
      <x:c r="E6290" s="13" t="str">
        <x:v>Utilities</x:v>
      </x:c>
      <x:c r="F6290" s="13" t="str">
        <x:v>Defensives</x:v>
      </x:c>
      <x:c r="G6290" s="13" t="str">
        <x:v>grid_cqzdsc3v.xlsx</x:v>
      </x:c>
    </x:row>
    <x:row r="6291">
      <x:c r="A6291" s="15" t="n">
        <x:v>43282</x:v>
      </x:c>
      <x:c r="B6291" s="13" t="str">
        <x:v>CIA SANEAMENTO BASICO DE SP</x:v>
      </x:c>
      <x:c r="C6291" s="16" t="n">
        <x:v>2728.8882947507</x:v>
      </x:c>
      <x:c r="D6291" s="13" t="str">
        <x:v>Sanitation</x:v>
      </x:c>
      <x:c r="E6291" s="13" t="str">
        <x:v>Utilities</x:v>
      </x:c>
      <x:c r="F6291" s="13" t="str">
        <x:v>Defensives</x:v>
      </x:c>
      <x:c r="G6291" s="13" t="str">
        <x:v>grid_cqzdsc3v.xlsx</x:v>
      </x:c>
    </x:row>
    <x:row r="6292">
      <x:c r="A6292" s="15" t="n">
        <x:v>43282</x:v>
      </x:c>
      <x:c r="B6292" s="13" t="str">
        <x:v>SMILES FIDELIDADE SA</x:v>
      </x:c>
      <x:c r="C6292" s="16" t="n">
        <x:v>613.8343359123</x:v>
      </x:c>
      <x:c r="D6292" s="13" t="str">
        <x:v>TMT</x:v>
      </x:c>
      <x:c r="E6292" s="13" t="str">
        <x:v>TMT</x:v>
      </x:c>
      <x:c r="F6292" s="13" t="str">
        <x:v>Early Cyclicals</x:v>
      </x:c>
      <x:c r="G6292" s="13" t="str">
        <x:v>grid_cqzdsc3v.xlsx</x:v>
      </x:c>
    </x:row>
    <x:row r="6293">
      <x:c r="A6293" s="15" t="n">
        <x:v>43282</x:v>
      </x:c>
      <x:c r="B6293" s="13" t="str">
        <x:v>TELEFONICA BRASIL S.A.-PREF</x:v>
      </x:c>
      <x:c r="C6293" s="16" t="n">
        <x:v>5928.7324475616</x:v>
      </x:c>
      <x:c r="D6293" s="13" t="str">
        <x:v>TMT</x:v>
      </x:c>
      <x:c r="E6293" s="13" t="str">
        <x:v>TMT</x:v>
      </x:c>
      <x:c r="F6293" s="13" t="str">
        <x:v>Early Cyclicals</x:v>
      </x:c>
      <x:c r="G6293" s="13" t="str">
        <x:v>grid_cqzdsc3v.xlsx</x:v>
      </x:c>
    </x:row>
    <x:row r="6294">
      <x:c r="A6294" s="15" t="n">
        <x:v>43282</x:v>
      </x:c>
      <x:c r="B6294" s="13" t="str">
        <x:v>TIM SA</x:v>
      </x:c>
      <x:c r="C6294" s="16" t="n">
        <x:v>1906.9368085041</x:v>
      </x:c>
      <x:c r="D6294" s="13" t="str">
        <x:v>TMT</x:v>
      </x:c>
      <x:c r="E6294" s="13" t="str">
        <x:v>TMT</x:v>
      </x:c>
      <x:c r="F6294" s="13" t="str">
        <x:v>Early Cyclicals</x:v>
      </x:c>
      <x:c r="G6294" s="13" t="str">
        <x:v>grid_cqzdsc3v.xlsx</x:v>
      </x:c>
    </x:row>
    <x:row r="6295">
      <x:c r="A6295" s="15" t="n">
        <x:v>43282</x:v>
      </x:c>
      <x:c r="B6295" s="13" t="str">
        <x:v>ECORODOVIAS INFRA E LOG SA</x:v>
      </x:c>
      <x:c r="C6295" s="16" t="n">
        <x:v>549.9483346411</x:v>
      </x:c>
      <x:c r="D6295" s="13" t="str">
        <x:v>Transportation</x:v>
      </x:c>
      <x:c r="E6295" s="13" t="str">
        <x:v>Transportation</x:v>
      </x:c>
      <x:c r="F6295" s="13" t="str">
        <x:v>Deep Cyclicals</x:v>
      </x:c>
      <x:c r="G6295" s="13" t="str">
        <x:v>grid_cqzdsc3v.xlsx</x:v>
      </x:c>
    </x:row>
    <x:row r="6296">
      <x:c r="A6296" s="15" t="n">
        <x:v>43282</x:v>
      </x:c>
      <x:c r="B6296" s="13" t="str">
        <x:v>GOL LINHAS AEREAS INT SA-PRE</x:v>
      </x:c>
      <x:c r="C6296" s="16" t="n">
        <x:v>215.9059241205</x:v>
      </x:c>
      <x:c r="D6296" s="13" t="str">
        <x:v>Transportation</x:v>
      </x:c>
      <x:c r="E6296" s="13" t="str">
        <x:v>Transportation</x:v>
      </x:c>
      <x:c r="F6296" s="13" t="str">
        <x:v>Deep Cyclicals</x:v>
      </x:c>
      <x:c r="G6296" s="13" t="str">
        <x:v>grid_cqzdsc3v.xlsx</x:v>
      </x:c>
    </x:row>
    <x:row r="6297">
      <x:c r="A6297" s="15" t="n">
        <x:v>43282</x:v>
      </x:c>
      <x:c r="B6297" s="13" t="str">
        <x:v>LOCALIZA RENT A CAR</x:v>
      </x:c>
      <x:c r="C6297" s="16" t="n">
        <x:v>800.9928737315</x:v>
      </x:c>
      <x:c r="D6297" s="13" t="str">
        <x:v>Transportation</x:v>
      </x:c>
      <x:c r="E6297" s="13" t="str">
        <x:v>Transportation</x:v>
      </x:c>
      <x:c r="F6297" s="13" t="str">
        <x:v>Deep Cyclicals</x:v>
      </x:c>
      <x:c r="G6297" s="13" t="str">
        <x:v>grid_cqzdsc3v.xlsx</x:v>
      </x:c>
    </x:row>
    <x:row r="6298">
      <x:c r="A6298" s="15" t="n">
        <x:v>43282</x:v>
      </x:c>
      <x:c r="B6298" s="13" t="str">
        <x:v>MOTIVA INFRAESTRUTURA DE MOB</x:v>
      </x:c>
      <x:c r="C6298" s="16" t="n">
        <x:v>1986.5813356712</x:v>
      </x:c>
      <x:c r="D6298" s="13" t="str">
        <x:v>Transportation</x:v>
      </x:c>
      <x:c r="E6298" s="13" t="str">
        <x:v>Transportation</x:v>
      </x:c>
      <x:c r="F6298" s="13" t="str">
        <x:v>Deep Cyclicals</x:v>
      </x:c>
      <x:c r="G6298" s="13" t="str">
        <x:v>grid_cqzdsc3v.xlsx</x:v>
      </x:c>
    </x:row>
    <x:row r="6299">
      <x:c r="A6299" s="15" t="n">
        <x:v>43282</x:v>
      </x:c>
      <x:c r="B6299" s="13" t="str">
        <x:v>RUMO SA</x:v>
      </x:c>
      <x:c r="C6299" s="16" t="n">
        <x:v>583.8360271781</x:v>
      </x:c>
      <x:c r="D6299" s="13" t="str">
        <x:v>Transportation</x:v>
      </x:c>
      <x:c r="E6299" s="13" t="str">
        <x:v>Transportation</x:v>
      </x:c>
      <x:c r="F6299" s="13" t="str">
        <x:v>Deep Cyclicals</x:v>
      </x:c>
      <x:c r="G6299" s="13" t="str">
        <x:v>grid_cqzdsc3v.xlsx</x:v>
      </x:c>
    </x:row>
    <x:row r="6300">
      <x:c r="A6300" s="15" t="n">
        <x:v>43282</x:v>
      </x:c>
      <x:c r="B6300" s="13" t="str">
        <x:v>AXIA ENERGIA SA</x:v>
      </x:c>
      <x:c r="C6300" s="16" t="n">
        <x:v>5076.0081737644</x:v>
      </x:c>
      <x:c r="D6300" s="13" t="str">
        <x:v>Utilities &amp; Energy</x:v>
      </x:c>
      <x:c r="E6300" s="13" t="str">
        <x:v>Utilities</x:v>
      </x:c>
      <x:c r="F6300" s="13" t="str">
        <x:v>Defensives</x:v>
      </x:c>
      <x:c r="G6300" s="13" t="str">
        <x:v>grid_cqzdsc3v.xlsx</x:v>
      </x:c>
    </x:row>
    <x:row r="6301">
      <x:c r="A6301" s="15" t="n">
        <x:v>43282</x:v>
      </x:c>
      <x:c r="B6301" s="13" t="str">
        <x:v>AXIA ENERGIA-PR B</x:v>
      </x:c>
      <x:c r="C6301" s="16" t="n">
        <x:v>5076.0081737644</x:v>
      </x:c>
      <x:c r="D6301" s="13" t="str">
        <x:v>Utilities &amp; Energy</x:v>
      </x:c>
      <x:c r="E6301" s="13" t="str">
        <x:v>Utilities</x:v>
      </x:c>
      <x:c r="F6301" s="13" t="str">
        <x:v>Defensives</x:v>
      </x:c>
      <x:c r="G6301" s="13" t="str">
        <x:v>grid_cqzdsc3v.xlsx</x:v>
      </x:c>
    </x:row>
    <x:row r="6302">
      <x:c r="A6302" s="15" t="n">
        <x:v>43282</x:v>
      </x:c>
      <x:c r="B6302" s="13" t="str">
        <x:v>CIA ENERGETICA MINAS GER-PRF</x:v>
      </x:c>
      <x:c r="C6302" s="16" t="n">
        <x:v>1942.6058857206</x:v>
      </x:c>
      <x:c r="D6302" s="13" t="str">
        <x:v>Utilities &amp; Energy</x:v>
      </x:c>
      <x:c r="E6302" s="13" t="str">
        <x:v>Utilities</x:v>
      </x:c>
      <x:c r="F6302" s="13" t="str">
        <x:v>Defensives</x:v>
      </x:c>
      <x:c r="G6302" s="13" t="str">
        <x:v>grid_cqzdsc3v.xlsx</x:v>
      </x:c>
    </x:row>
    <x:row r="6303">
      <x:c r="A6303" s="15" t="n">
        <x:v>43282</x:v>
      </x:c>
      <x:c r="B6303" s="13" t="str">
        <x:v>COMPANHIA PARANAENSE -PREF B</x:v>
      </x:c>
      <x:c r="C6303" s="16" t="n">
        <x:v>1467.3047422247</x:v>
      </x:c>
      <x:c r="D6303" s="13" t="str">
        <x:v>Utilities &amp; Energy</x:v>
      </x:c>
      <x:c r="E6303" s="13" t="str">
        <x:v>Utilities</x:v>
      </x:c>
      <x:c r="F6303" s="13" t="str">
        <x:v>Defensives</x:v>
      </x:c>
      <x:c r="G6303" s="13" t="str">
        <x:v>grid_cqzdsc3v.xlsx</x:v>
      </x:c>
    </x:row>
    <x:row r="6304">
      <x:c r="A6304" s="15" t="n">
        <x:v>43282</x:v>
      </x:c>
      <x:c r="B6304" s="13" t="str">
        <x:v>EDP - ENERGIAS DO BRASIL SA</x:v>
      </x:c>
      <x:c r="C6304" s="16" t="n">
        <x:v>817.1789722301</x:v>
      </x:c>
      <x:c r="D6304" s="13" t="str">
        <x:v>Utilities &amp; Energy</x:v>
      </x:c>
      <x:c r="E6304" s="13" t="str">
        <x:v>Utilities</x:v>
      </x:c>
      <x:c r="F6304" s="13" t="str">
        <x:v>Defensives</x:v>
      </x:c>
      <x:c r="G6304" s="13" t="str">
        <x:v>grid_cqzdsc3v.xlsx</x:v>
      </x:c>
    </x:row>
    <x:row r="6305">
      <x:c r="A6305" s="15" t="n">
        <x:v>43282</x:v>
      </x:c>
      <x:c r="B6305" s="13" t="str">
        <x:v>ENGIE BRASIL ENERGIA SA</x:v>
      </x:c>
      <x:c r="C6305" s="16" t="n">
        <x:v>2296.3292240658</x:v>
      </x:c>
      <x:c r="D6305" s="13" t="str">
        <x:v>Utilities &amp; Energy</x:v>
      </x:c>
      <x:c r="E6305" s="13" t="str">
        <x:v>Utilities</x:v>
      </x:c>
      <x:c r="F6305" s="13" t="str">
        <x:v>Defensives</x:v>
      </x:c>
      <x:c r="G6305" s="13" t="str">
        <x:v>grid_cqzdsc3v.xlsx</x:v>
      </x:c>
    </x:row>
    <x:row r="6306">
      <x:c r="A6306" s="15" t="n">
        <x:v>43282</x:v>
      </x:c>
      <x:c r="B6306" s="13" t="str">
        <x:v>EQUATORIAL SA - ORD</x:v>
      </x:c>
      <x:c r="C6306" s="16" t="n">
        <x:v>837.5088499726</x:v>
      </x:c>
      <x:c r="D6306" s="13" t="str">
        <x:v>Utilities &amp; Energy</x:v>
      </x:c>
      <x:c r="E6306" s="13" t="str">
        <x:v>Utilities</x:v>
      </x:c>
      <x:c r="F6306" s="13" t="str">
        <x:v>Defensives</x:v>
      </x:c>
      <x:c r="G6306" s="13" t="str">
        <x:v>grid_cqzdsc3v.xlsx</x:v>
      </x:c>
    </x:row>
    <x:row r="6307">
      <x:c r="A6307" s="15" t="n">
        <x:v>43282</x:v>
      </x:c>
      <x:c r="B6307" s="13" t="str">
        <x:v>TRANSMISSORA ALIANCA DE-UNIT</x:v>
      </x:c>
      <x:c r="C6307" s="16" t="n">
        <x:v>780.5658645041</x:v>
      </x:c>
      <x:c r="D6307" s="13" t="str">
        <x:v>Utilities &amp; Energy</x:v>
      </x:c>
      <x:c r="E6307" s="13" t="str">
        <x:v>Utilities</x:v>
      </x:c>
      <x:c r="F6307" s="13" t="str">
        <x:v>Defensives</x:v>
      </x:c>
      <x:c r="G6307" s="13" t="str">
        <x:v>grid_cqzdsc3v.xlsx</x:v>
      </x:c>
    </x:row>
    <x:row r="6308">
      <x:c r="A6308" s="15" t="n">
        <x:v>43313</x:v>
      </x:c>
      <x:c r="B6308" s="13" t="str">
        <x:v>BANCO BRADESCO S.A.</x:v>
      </x:c>
      <x:c r="C6308" s="16" t="n">
        <x:v>22743.5952717151</x:v>
      </x:c>
      <x:c r="D6308" s="13" t="str">
        <x:v>Banks</x:v>
      </x:c>
      <x:c r="E6308" s="13" t="str">
        <x:v>Banks</x:v>
      </x:c>
      <x:c r="F6308" s="13" t="str">
        <x:v>Financials</x:v>
      </x:c>
      <x:c r="G6308" s="13" t="str">
        <x:v>grid_cqzdsc3v.xlsx</x:v>
      </x:c>
    </x:row>
    <x:row r="6309">
      <x:c r="A6309" s="15" t="n">
        <x:v>43313</x:v>
      </x:c>
      <x:c r="B6309" s="13" t="str">
        <x:v>BANCO BRADESCO SA-PREF</x:v>
      </x:c>
      <x:c r="C6309" s="16" t="n">
        <x:v>22743.5952717151</x:v>
      </x:c>
      <x:c r="D6309" s="13" t="str">
        <x:v>Banks</x:v>
      </x:c>
      <x:c r="E6309" s="13" t="str">
        <x:v>Banks</x:v>
      </x:c>
      <x:c r="F6309" s="13" t="str">
        <x:v>Financials</x:v>
      </x:c>
      <x:c r="G6309" s="13" t="str">
        <x:v>grid_cqzdsc3v.xlsx</x:v>
      </x:c>
    </x:row>
    <x:row r="6310">
      <x:c r="A6310" s="15" t="n">
        <x:v>43313</x:v>
      </x:c>
      <x:c r="B6310" s="13" t="str">
        <x:v>BANCO DO BRASIL S.A.</x:v>
      </x:c>
      <x:c r="C6310" s="16" t="n">
        <x:v>14488.8105100274</x:v>
      </x:c>
      <x:c r="D6310" s="13" t="str">
        <x:v>Banks</x:v>
      </x:c>
      <x:c r="E6310" s="13" t="str">
        <x:v>Banks</x:v>
      </x:c>
      <x:c r="F6310" s="13" t="str">
        <x:v>Financials</x:v>
      </x:c>
      <x:c r="G6310" s="13" t="str">
        <x:v>grid_cqzdsc3v.xlsx</x:v>
      </x:c>
    </x:row>
    <x:row r="6311">
      <x:c r="A6311" s="15" t="n">
        <x:v>43313</x:v>
      </x:c>
      <x:c r="B6311" s="13" t="str">
        <x:v>BANCO SANTANDER  BRASIL-UNIT</x:v>
      </x:c>
      <x:c r="C6311" s="16" t="n">
        <x:v>12397.2201486027</x:v>
      </x:c>
      <x:c r="D6311" s="13" t="str">
        <x:v>Banks</x:v>
      </x:c>
      <x:c r="E6311" s="13" t="str">
        <x:v>Banks</x:v>
      </x:c>
      <x:c r="F6311" s="13" t="str">
        <x:v>Financials</x:v>
      </x:c>
      <x:c r="G6311" s="13" t="str">
        <x:v>grid_cqzdsc3v.xlsx</x:v>
      </x:c>
    </x:row>
    <x:row r="6312">
      <x:c r="A6312" s="15" t="n">
        <x:v>43313</x:v>
      </x:c>
      <x:c r="B6312" s="13" t="str">
        <x:v>ITAU UNIBANCO HOLDING S-PREF</x:v>
      </x:c>
      <x:c r="C6312" s="16" t="n">
        <x:v>28389.3154745863</x:v>
      </x:c>
      <x:c r="D6312" s="13" t="str">
        <x:v>Banks</x:v>
      </x:c>
      <x:c r="E6312" s="13" t="str">
        <x:v>Banks</x:v>
      </x:c>
      <x:c r="F6312" s="13" t="str">
        <x:v>Financials</x:v>
      </x:c>
      <x:c r="G6312" s="13" t="str">
        <x:v>grid_cqzdsc3v.xlsx</x:v>
      </x:c>
    </x:row>
    <x:row r="6313">
      <x:c r="A6313" s="15" t="n">
        <x:v>43313</x:v>
      </x:c>
      <x:c r="B6313" s="13" t="str">
        <x:v>EMBRAER SA</x:v>
      </x:c>
      <x:c r="C6313" s="16" t="n">
        <x:v>758.2497400986</x:v>
      </x:c>
      <x:c r="D6313" s="13" t="str">
        <x:v>Capital Goods</x:v>
      </x:c>
      <x:c r="E6313" s="13" t="str">
        <x:v>Capital Goods</x:v>
      </x:c>
      <x:c r="F6313" s="13" t="str">
        <x:v>Deep Cyclicals</x:v>
      </x:c>
      <x:c r="G6313" s="13" t="str">
        <x:v>grid_cqzdsc3v.xlsx</x:v>
      </x:c>
    </x:row>
    <x:row r="6314">
      <x:c r="A6314" s="15" t="n">
        <x:v>43313</x:v>
      </x:c>
      <x:c r="B6314" s="13" t="str">
        <x:v>WEG SA</x:v>
      </x:c>
      <x:c r="C6314" s="16" t="n">
        <x:v>1512.5652336219</x:v>
      </x:c>
      <x:c r="D6314" s="13" t="str">
        <x:v>Capital Goods</x:v>
      </x:c>
      <x:c r="E6314" s="13" t="str">
        <x:v>Capital Goods</x:v>
      </x:c>
      <x:c r="F6314" s="13" t="str">
        <x:v>Deep Cyclicals</x:v>
      </x:c>
      <x:c r="G6314" s="13" t="str">
        <x:v>grid_cqzdsc3v.xlsx</x:v>
      </x:c>
    </x:row>
    <x:row r="6315">
      <x:c r="A6315" s="15" t="n">
        <x:v>43313</x:v>
      </x:c>
      <x:c r="B6315" s="13" t="str">
        <x:v>COGNA EDUCACAO</x:v>
      </x:c>
      <x:c r="C6315" s="16" t="n">
        <x:v>1961.0455236384</x:v>
      </x:c>
      <x:c r="D6315" s="13" t="str">
        <x:v>Education</x:v>
      </x:c>
      <x:c r="E6315" s="13" t="str">
        <x:v>Education</x:v>
      </x:c>
      <x:c r="F6315" s="13" t="str">
        <x:v>Early Cyclicals</x:v>
      </x:c>
      <x:c r="G6315" s="13" t="str">
        <x:v>grid_cqzdsc3v.xlsx</x:v>
      </x:c>
    </x:row>
    <x:row r="6316">
      <x:c r="A6316" s="15" t="n">
        <x:v>43313</x:v>
      </x:c>
      <x:c r="B6316" s="13" t="str">
        <x:v>YDUQS PARTICIPACOES SA</x:v>
      </x:c>
      <x:c r="C6316" s="16" t="n">
        <x:v>886.4515068493</x:v>
      </x:c>
      <x:c r="D6316" s="13" t="str">
        <x:v>Education</x:v>
      </x:c>
      <x:c r="E6316" s="13" t="str">
        <x:v>Education</x:v>
      </x:c>
      <x:c r="F6316" s="13" t="str">
        <x:v>Early Cyclicals</x:v>
      </x:c>
      <x:c r="G6316" s="13" t="str">
        <x:v>grid_cqzdsc3v.xlsx</x:v>
      </x:c>
    </x:row>
    <x:row r="6317">
      <x:c r="A6317" s="15" t="n">
        <x:v>43313</x:v>
      </x:c>
      <x:c r="B6317" s="13" t="str">
        <x:v>B3 SA-BRASIL BOLSA BALCAO</x:v>
      </x:c>
      <x:c r="C6317" s="16" t="n">
        <x:v>2829.0752497973</x:v>
      </x:c>
      <x:c r="D6317" s="13" t="str">
        <x:v>Financials Non-Banks</x:v>
      </x:c>
      <x:c r="E6317" s="13" t="str">
        <x:v>Financials Non-Banks</x:v>
      </x:c>
      <x:c r="F6317" s="13" t="str">
        <x:v>Financials</x:v>
      </x:c>
      <x:c r="G6317" s="13" t="str">
        <x:v>grid_cqzdsc3v.xlsx</x:v>
      </x:c>
    </x:row>
    <x:row r="6318">
      <x:c r="A6318" s="15" t="n">
        <x:v>43313</x:v>
      </x:c>
      <x:c r="B6318" s="13" t="str">
        <x:v>BB SEGURIDADE PARTICIPACOES</x:v>
      </x:c>
      <x:c r="C6318" s="16" t="n">
        <x:v>4151.3369810411</x:v>
      </x:c>
      <x:c r="D6318" s="13" t="str">
        <x:v>Financials Non-Banks</x:v>
      </x:c>
      <x:c r="E6318" s="13" t="str">
        <x:v>Financials Non-Banks</x:v>
      </x:c>
      <x:c r="F6318" s="13" t="str">
        <x:v>Financials</x:v>
      </x:c>
      <x:c r="G6318" s="13" t="str">
        <x:v>grid_cqzdsc3v.xlsx</x:v>
      </x:c>
    </x:row>
    <x:row r="6319">
      <x:c r="A6319" s="15" t="n">
        <x:v>43313</x:v>
      </x:c>
      <x:c r="B6319" s="13" t="str">
        <x:v>CIELO SA - INSTITUICAO DE PA</x:v>
      </x:c>
      <x:c r="C6319" s="16" t="n">
        <x:v>3827.9854886575</x:v>
      </x:c>
      <x:c r="D6319" s="13" t="str">
        <x:v>Financials Non-Banks</x:v>
      </x:c>
      <x:c r="E6319" s="13" t="str">
        <x:v>Financials Non-Banks</x:v>
      </x:c>
      <x:c r="F6319" s="13" t="str">
        <x:v>Financials</x:v>
      </x:c>
      <x:c r="G6319" s="13" t="str">
        <x:v>grid_cqzdsc3v.xlsx</x:v>
      </x:c>
    </x:row>
    <x:row r="6320">
      <x:c r="A6320" s="15" t="n">
        <x:v>43313</x:v>
      </x:c>
      <x:c r="B6320" s="13" t="str">
        <x:v>ITAUSA SA</x:v>
      </x:c>
      <x:c r="C6320" s="16" t="n">
        <x:v>11168.6354467069</x:v>
      </x:c>
      <x:c r="D6320" s="13" t="str">
        <x:v>Financials Non-Banks</x:v>
      </x:c>
      <x:c r="E6320" s="13" t="str">
        <x:v>Financials Non-Banks</x:v>
      </x:c>
      <x:c r="F6320" s="13" t="str">
        <x:v>Financials</x:v>
      </x:c>
      <x:c r="G6320" s="13" t="str">
        <x:v>grid_cqzdsc3v.xlsx</x:v>
      </x:c>
    </x:row>
    <x:row r="6321">
      <x:c r="A6321" s="15" t="n">
        <x:v>43313</x:v>
      </x:c>
      <x:c r="B6321" s="13" t="str">
        <x:v>AMBEV SA</x:v>
      </x:c>
      <x:c r="C6321" s="16" t="n">
        <x:v>14227.2500553644</x:v>
      </x:c>
      <x:c r="D6321" s="13" t="str">
        <x:v>Food &amp; Beverages</x:v>
      </x:c>
      <x:c r="E6321" s="13" t="str">
        <x:v>Agri, Food &amp; Beverages</x:v>
      </x:c>
      <x:c r="F6321" s="13" t="str">
        <x:v>Defensives</x:v>
      </x:c>
      <x:c r="G6321" s="13" t="str">
        <x:v>grid_cqzdsc3v.xlsx</x:v>
      </x:c>
    </x:row>
    <x:row r="6322">
      <x:c r="A6322" s="15" t="n">
        <x:v>43313</x:v>
      </x:c>
      <x:c r="B6322" s="13" t="str">
        <x:v>BRF SA</x:v>
      </x:c>
      <x:c r="C6322" s="16" t="n">
        <x:v>-114.3750938301</x:v>
      </x:c>
      <x:c r="D6322" s="13" t="str">
        <x:v>Food &amp; Beverages</x:v>
      </x:c>
      <x:c r="E6322" s="13" t="str">
        <x:v>Agri, Food &amp; Beverages</x:v>
      </x:c>
      <x:c r="F6322" s="13" t="str">
        <x:v>Defensives</x:v>
      </x:c>
      <x:c r="G6322" s="13" t="str">
        <x:v>grid_cqzdsc3v.xlsx</x:v>
      </x:c>
    </x:row>
    <x:row r="6323">
      <x:c r="A6323" s="15" t="n">
        <x:v>43313</x:v>
      </x:c>
      <x:c r="B6323" s="13" t="str">
        <x:v>JBS SA</x:v>
      </x:c>
      <x:c r="C6323" s="16" t="n">
        <x:v>3681.6479344219</x:v>
      </x:c>
      <x:c r="D6323" s="13" t="str">
        <x:v>Food &amp; Beverages</x:v>
      </x:c>
      <x:c r="E6323" s="13" t="str">
        <x:v>Agri, Food &amp; Beverages</x:v>
      </x:c>
      <x:c r="F6323" s="13" t="str">
        <x:v>Defensives</x:v>
      </x:c>
      <x:c r="G6323" s="13" t="str">
        <x:v>grid_cqzdsc3v.xlsx</x:v>
      </x:c>
    </x:row>
    <x:row r="6324">
      <x:c r="A6324" s="15" t="n">
        <x:v>43313</x:v>
      </x:c>
      <x:c r="B6324" s="13" t="str">
        <x:v>MBRF GLOBAL FOODS COMPANY SA</x:v>
      </x:c>
      <x:c r="C6324" s="16" t="n">
        <x:v>291.2410958904</x:v>
      </x:c>
      <x:c r="D6324" s="13" t="str">
        <x:v>Food &amp; Beverages</x:v>
      </x:c>
      <x:c r="E6324" s="13" t="str">
        <x:v>Agri, Food &amp; Beverages</x:v>
      </x:c>
      <x:c r="F6324" s="13" t="str">
        <x:v>Defensives</x:v>
      </x:c>
      <x:c r="G6324" s="13" t="str">
        <x:v>grid_cqzdsc3v.xlsx</x:v>
      </x:c>
    </x:row>
    <x:row r="6325">
      <x:c r="A6325" s="15" t="n">
        <x:v>43313</x:v>
      </x:c>
      <x:c r="B6325" s="13" t="str">
        <x:v>FLEURY SA</x:v>
      </x:c>
      <x:c r="C6325" s="16" t="n">
        <x:v>410.7543975452</x:v>
      </x:c>
      <x:c r="D6325" s="13" t="str">
        <x:v>Health Care</x:v>
      </x:c>
      <x:c r="E6325" s="13" t="str">
        <x:v>Health Care</x:v>
      </x:c>
      <x:c r="F6325" s="13" t="str">
        <x:v>Defensives</x:v>
      </x:c>
      <x:c r="G6325" s="13" t="str">
        <x:v>grid_cqzdsc3v.xlsx</x:v>
      </x:c>
    </x:row>
    <x:row r="6326">
      <x:c r="A6326" s="15" t="n">
        <x:v>43313</x:v>
      </x:c>
      <x:c r="B6326" s="13" t="str">
        <x:v>HYPERA SA</x:v>
      </x:c>
      <x:c r="C6326" s="16" t="n">
        <x:v>1184.9577152877</x:v>
      </x:c>
      <x:c r="D6326" s="13" t="str">
        <x:v>Health Care</x:v>
      </x:c>
      <x:c r="E6326" s="13" t="str">
        <x:v>Health Care</x:v>
      </x:c>
      <x:c r="F6326" s="13" t="str">
        <x:v>Defensives</x:v>
      </x:c>
      <x:c r="G6326" s="13" t="str">
        <x:v>grid_cqzdsc3v.xlsx</x:v>
      </x:c>
    </x:row>
    <x:row r="6327">
      <x:c r="A6327" s="15" t="n">
        <x:v>43313</x:v>
      </x:c>
      <x:c r="B6327" s="13" t="str">
        <x:v>QUALICORP CONS E CORR SEG SA</x:v>
      </x:c>
      <x:c r="C6327" s="16" t="n">
        <x:v>582.8416443616</x:v>
      </x:c>
      <x:c r="D6327" s="13" t="str">
        <x:v>Health Care</x:v>
      </x:c>
      <x:c r="E6327" s="13" t="str">
        <x:v>Health Care</x:v>
      </x:c>
      <x:c r="F6327" s="13" t="str">
        <x:v>Defensives</x:v>
      </x:c>
      <x:c r="G6327" s="13" t="str">
        <x:v>grid_cqzdsc3v.xlsx</x:v>
      </x:c>
    </x:row>
    <x:row r="6328">
      <x:c r="A6328" s="15" t="n">
        <x:v>43313</x:v>
      </x:c>
      <x:c r="B6328" s="13" t="str">
        <x:v>CYRELA BRAZIL REALTY SA EMP</x:v>
      </x:c>
      <x:c r="C6328" s="16" t="n">
        <x:v>275.3904767123</x:v>
      </x:c>
      <x:c r="D6328" s="13" t="str">
        <x:v>Homebuilders</x:v>
      </x:c>
      <x:c r="E6328" s="13" t="str">
        <x:v>Real Estate</x:v>
      </x:c>
      <x:c r="F6328" s="13" t="str">
        <x:v>Early Cyclicals</x:v>
      </x:c>
      <x:c r="G6328" s="13" t="str">
        <x:v>grid_cqzdsc3v.xlsx</x:v>
      </x:c>
    </x:row>
    <x:row r="6329">
      <x:c r="A6329" s="15" t="n">
        <x:v>43313</x:v>
      </x:c>
      <x:c r="B6329" s="13" t="str">
        <x:v>MRV ENGENHARIA</x:v>
      </x:c>
      <x:c r="C6329" s="16" t="n">
        <x:v>818.1015895671</x:v>
      </x:c>
      <x:c r="D6329" s="13" t="str">
        <x:v>Homebuilders</x:v>
      </x:c>
      <x:c r="E6329" s="13" t="str">
        <x:v>Real Estate</x:v>
      </x:c>
      <x:c r="F6329" s="13" t="str">
        <x:v>Early Cyclicals</x:v>
      </x:c>
      <x:c r="G6329" s="13" t="str">
        <x:v>grid_cqzdsc3v.xlsx</x:v>
      </x:c>
    </x:row>
    <x:row r="6330">
      <x:c r="A6330" s="15" t="n">
        <x:v>43313</x:v>
      </x:c>
      <x:c r="B6330" s="13" t="str">
        <x:v>BR MALLS PARTICIPACOES SA</x:v>
      </x:c>
      <x:c r="C6330" s="16" t="n">
        <x:v>631.135047189</x:v>
      </x:c>
      <x:c r="D6330" s="13" t="str">
        <x:v>Income Properties</x:v>
      </x:c>
      <x:c r="E6330" s="13" t="str">
        <x:v>Real Estate</x:v>
      </x:c>
      <x:c r="F6330" s="13" t="str">
        <x:v>Early Cyclicals</x:v>
      </x:c>
      <x:c r="G6330" s="13" t="str">
        <x:v>grid_cqzdsc3v.xlsx</x:v>
      </x:c>
    </x:row>
    <x:row r="6331">
      <x:c r="A6331" s="15" t="n">
        <x:v>43313</x:v>
      </x:c>
      <x:c r="B6331" s="13" t="str">
        <x:v>IGUATEMI EMP DE SHOPPING</x:v>
      </x:c>
      <x:c r="C6331" s="16" t="n">
        <x:v>283.7005479452</x:v>
      </x:c>
      <x:c r="D6331" s="13" t="str">
        <x:v>Income Properties</x:v>
      </x:c>
      <x:c r="E6331" s="13" t="str">
        <x:v>Real Estate</x:v>
      </x:c>
      <x:c r="F6331" s="13" t="str">
        <x:v>Early Cyclicals</x:v>
      </x:c>
      <x:c r="G6331" s="13" t="str">
        <x:v>grid_cqzdsc3v.xlsx</x:v>
      </x:c>
    </x:row>
    <x:row r="6332">
      <x:c r="A6332" s="15" t="n">
        <x:v>43313</x:v>
      </x:c>
      <x:c r="B6332" s="13" t="str">
        <x:v>MULTIPLAN EMPREENDIMENTOS</x:v>
      </x:c>
      <x:c r="C6332" s="16" t="n">
        <x:v>522.1797260274</x:v>
      </x:c>
      <x:c r="D6332" s="13" t="str">
        <x:v>Income Properties</x:v>
      </x:c>
      <x:c r="E6332" s="13" t="str">
        <x:v>Real Estate</x:v>
      </x:c>
      <x:c r="F6332" s="13" t="str">
        <x:v>Early Cyclicals</x:v>
      </x:c>
      <x:c r="G6332" s="13" t="str">
        <x:v>grid_cqzdsc3v.xlsx</x:v>
      </x:c>
    </x:row>
    <x:row r="6333">
      <x:c r="A6333" s="15" t="n">
        <x:v>43313</x:v>
      </x:c>
      <x:c r="B6333" s="13" t="str">
        <x:v>BRADESPAR SA -PREF</x:v>
      </x:c>
      <x:c r="C6333" s="16" t="n">
        <x:v>787.602739726</x:v>
      </x:c>
      <x:c r="D6333" s="13" t="str">
        <x:v>Metals &amp; Mining</x:v>
      </x:c>
      <x:c r="E6333" s="13" t="str">
        <x:v>Metals &amp; Mining</x:v>
      </x:c>
      <x:c r="F6333" s="13" t="str">
        <x:v>Deep Cyclicals</x:v>
      </x:c>
      <x:c r="G6333" s="13" t="str">
        <x:v>grid_cqzdsc3v.xlsx</x:v>
      </x:c>
    </x:row>
    <x:row r="6334">
      <x:c r="A6334" s="15" t="n">
        <x:v>43313</x:v>
      </x:c>
      <x:c r="B6334" s="13" t="str">
        <x:v>CIA SIDERURGICA NACIONAL SA</x:v>
      </x:c>
      <x:c r="C6334" s="16" t="n">
        <x:v>1640.5647268822</x:v>
      </x:c>
      <x:c r="D6334" s="13" t="str">
        <x:v>Metals &amp; Mining</x:v>
      </x:c>
      <x:c r="E6334" s="13" t="str">
        <x:v>Metals &amp; Mining</x:v>
      </x:c>
      <x:c r="F6334" s="13" t="str">
        <x:v>Deep Cyclicals</x:v>
      </x:c>
      <x:c r="G6334" s="13" t="str">
        <x:v>grid_cqzdsc3v.xlsx</x:v>
      </x:c>
    </x:row>
    <x:row r="6335">
      <x:c r="A6335" s="15" t="n">
        <x:v>43313</x:v>
      </x:c>
      <x:c r="B6335" s="13" t="str">
        <x:v>GERDAU SA-PREF</x:v>
      </x:c>
      <x:c r="C6335" s="16" t="n">
        <x:v>2408.5456896</x:v>
      </x:c>
      <x:c r="D6335" s="13" t="str">
        <x:v>Metals &amp; Mining</x:v>
      </x:c>
      <x:c r="E6335" s="13" t="str">
        <x:v>Metals &amp; Mining</x:v>
      </x:c>
      <x:c r="F6335" s="13" t="str">
        <x:v>Deep Cyclicals</x:v>
      </x:c>
      <x:c r="G6335" s="13" t="str">
        <x:v>grid_cqzdsc3v.xlsx</x:v>
      </x:c>
    </x:row>
    <x:row r="6336">
      <x:c r="A6336" s="15" t="n">
        <x:v>43313</x:v>
      </x:c>
      <x:c r="B6336" s="13" t="str">
        <x:v>USINAS SIDER MINAS GER-PF A</x:v>
      </x:c>
      <x:c r="C6336" s="16" t="n">
        <x:v>852.1515015014</x:v>
      </x:c>
      <x:c r="D6336" s="13" t="str">
        <x:v>Metals &amp; Mining</x:v>
      </x:c>
      <x:c r="E6336" s="13" t="str">
        <x:v>Metals &amp; Mining</x:v>
      </x:c>
      <x:c r="F6336" s="13" t="str">
        <x:v>Deep Cyclicals</x:v>
      </x:c>
      <x:c r="G6336" s="13" t="str">
        <x:v>grid_cqzdsc3v.xlsx</x:v>
      </x:c>
    </x:row>
    <x:row r="6337">
      <x:c r="A6337" s="15" t="n">
        <x:v>43313</x:v>
      </x:c>
      <x:c r="B6337" s="13" t="str">
        <x:v>VALE SA</x:v>
      </x:c>
      <x:c r="C6337" s="16" t="n">
        <x:v>29755.7618239123</x:v>
      </x:c>
      <x:c r="D6337" s="13" t="str">
        <x:v>Metals &amp; Mining</x:v>
      </x:c>
      <x:c r="E6337" s="13" t="str">
        <x:v>Metals &amp; Mining</x:v>
      </x:c>
      <x:c r="F6337" s="13" t="str">
        <x:v>Deep Cyclicals</x:v>
      </x:c>
      <x:c r="G6337" s="13" t="str">
        <x:v>grid_cqzdsc3v.xlsx</x:v>
      </x:c>
    </x:row>
    <x:row r="6338">
      <x:c r="A6338" s="15" t="n">
        <x:v>43313</x:v>
      </x:c>
      <x:c r="B6338" s="13" t="str">
        <x:v>BRASKEM SA-PREF A</x:v>
      </x:c>
      <x:c r="C6338" s="16" t="n">
        <x:v>2621.484166663</x:v>
      </x:c>
      <x:c r="D6338" s="13" t="str">
        <x:v>Oil, Gas &amp; Petrochemicals</x:v>
      </x:c>
      <x:c r="E6338" s="13" t="str">
        <x:v>Oil, Gas &amp; Petrochemicals</x:v>
      </x:c>
      <x:c r="F6338" s="13" t="str">
        <x:v>Deep Cyclicals</x:v>
      </x:c>
      <x:c r="G6338" s="13" t="str">
        <x:v>grid_cqzdsc3v.xlsx</x:v>
      </x:c>
    </x:row>
    <x:row r="6339">
      <x:c r="A6339" s="15" t="n">
        <x:v>43313</x:v>
      </x:c>
      <x:c r="B6339" s="13" t="str">
        <x:v>COSAN SA</x:v>
      </x:c>
      <x:c r="C6339" s="16" t="n">
        <x:v>1395.4633089753</x:v>
      </x:c>
      <x:c r="D6339" s="13" t="str">
        <x:v>Oil, Gas &amp; Petrochemicals</x:v>
      </x:c>
      <x:c r="E6339" s="13" t="str">
        <x:v>Oil, Gas &amp; Petrochemicals</x:v>
      </x:c>
      <x:c r="F6339" s="13" t="str">
        <x:v>Deep Cyclicals</x:v>
      </x:c>
      <x:c r="G6339" s="13" t="str">
        <x:v>grid_cqzdsc3v.xlsx</x:v>
      </x:c>
    </x:row>
    <x:row r="6340">
      <x:c r="A6340" s="15" t="n">
        <x:v>43313</x:v>
      </x:c>
      <x:c r="B6340" s="13" t="str">
        <x:v>PETROBRAS - PETROLEO BRAS</x:v>
      </x:c>
      <x:c r="C6340" s="16" t="n">
        <x:v>37167.0989838027</x:v>
      </x:c>
      <x:c r="D6340" s="13" t="str">
        <x:v>Oil, Gas &amp; Petrochemicals</x:v>
      </x:c>
      <x:c r="E6340" s="13" t="str">
        <x:v>Oil, Gas &amp; Petrochemicals</x:v>
      </x:c>
      <x:c r="F6340" s="13" t="str">
        <x:v>Deep Cyclicals</x:v>
      </x:c>
      <x:c r="G6340" s="13" t="str">
        <x:v>grid_cqzdsc3v.xlsx</x:v>
      </x:c>
    </x:row>
    <x:row r="6341">
      <x:c r="A6341" s="15" t="n">
        <x:v>43313</x:v>
      </x:c>
      <x:c r="B6341" s="13" t="str">
        <x:v>ULTRAPAR PARTICIPACOES SA</x:v>
      </x:c>
      <x:c r="C6341" s="16" t="n">
        <x:v>1418.1190350904</x:v>
      </x:c>
      <x:c r="D6341" s="13" t="str">
        <x:v>Oil, Gas &amp; Petrochemicals</x:v>
      </x:c>
      <x:c r="E6341" s="13" t="str">
        <x:v>Oil, Gas &amp; Petrochemicals</x:v>
      </x:c>
      <x:c r="F6341" s="13" t="str">
        <x:v>Deep Cyclicals</x:v>
      </x:c>
      <x:c r="G6341" s="13" t="str">
        <x:v>grid_cqzdsc3v.xlsx</x:v>
      </x:c>
    </x:row>
    <x:row r="6342">
      <x:c r="A6342" s="15" t="n">
        <x:v>43313</x:v>
      </x:c>
      <x:c r="B6342" s="13" t="str">
        <x:v>FIBRIA CELULOSE S/A</x:v>
      </x:c>
      <x:c r="C6342" s="16" t="n">
        <x:v>4391.7859545425</x:v>
      </x:c>
      <x:c r="D6342" s="13" t="str">
        <x:v>Pulp &amp; Paper</x:v>
      </x:c>
      <x:c r="E6342" s="13" t="str">
        <x:v>Pulp &amp; Paper</x:v>
      </x:c>
      <x:c r="F6342" s="13" t="str">
        <x:v>Deep Cyclicals</x:v>
      </x:c>
      <x:c r="G6342" s="13" t="str">
        <x:v>grid_cqzdsc3v.xlsx</x:v>
      </x:c>
    </x:row>
    <x:row r="6343">
      <x:c r="A6343" s="15" t="n">
        <x:v>43313</x:v>
      </x:c>
      <x:c r="B6343" s="13" t="str">
        <x:v>KLABIN SA - UNIT</x:v>
      </x:c>
      <x:c r="C6343" s="16" t="n">
        <x:v>1324.1724300274</x:v>
      </x:c>
      <x:c r="D6343" s="13" t="str">
        <x:v>Pulp &amp; Paper</x:v>
      </x:c>
      <x:c r="E6343" s="13" t="str">
        <x:v>Pulp &amp; Paper</x:v>
      </x:c>
      <x:c r="F6343" s="13" t="str">
        <x:v>Deep Cyclicals</x:v>
      </x:c>
      <x:c r="G6343" s="13" t="str">
        <x:v>grid_cqzdsc3v.xlsx</x:v>
      </x:c>
    </x:row>
    <x:row r="6344">
      <x:c r="A6344" s="15" t="n">
        <x:v>43313</x:v>
      </x:c>
      <x:c r="B6344" s="13" t="str">
        <x:v>SUZANO SA</x:v>
      </x:c>
      <x:c r="C6344" s="16" t="n">
        <x:v>3444.1275791781</x:v>
      </x:c>
      <x:c r="D6344" s="13" t="str">
        <x:v>Pulp &amp; Paper</x:v>
      </x:c>
      <x:c r="E6344" s="13" t="str">
        <x:v>Pulp &amp; Paper</x:v>
      </x:c>
      <x:c r="F6344" s="13" t="str">
        <x:v>Deep Cyclicals</x:v>
      </x:c>
      <x:c r="G6344" s="13" t="str">
        <x:v>grid_cqzdsc3v.xlsx</x:v>
      </x:c>
    </x:row>
    <x:row r="6345">
      <x:c r="A6345" s="15" t="n">
        <x:v>43313</x:v>
      </x:c>
      <x:c r="B6345" s="13" t="str">
        <x:v>AMERICANAS SA</x:v>
      </x:c>
      <x:c r="C6345" s="16" t="n">
        <x:v>-27.0284931507</x:v>
      </x:c>
      <x:c r="D6345" s="13" t="str">
        <x:v>Retail</x:v>
      </x:c>
      <x:c r="E6345" s="13" t="str">
        <x:v>Retail</x:v>
      </x:c>
      <x:c r="F6345" s="13" t="str">
        <x:v>Early Cyclicals</x:v>
      </x:c>
      <x:c r="G6345" s="13" t="str">
        <x:v>grid_cqzdsc3v.xlsx</x:v>
      </x:c>
    </x:row>
    <x:row r="6346">
      <x:c r="A6346" s="15" t="n">
        <x:v>43313</x:v>
      </x:c>
      <x:c r="B6346" s="13" t="str">
        <x:v>CIA BRASILEIRA DE DIS-PREF</x:v>
      </x:c>
      <x:c r="C6346" s="16" t="n">
        <x:v>1012.1197473315</x:v>
      </x:c>
      <x:c r="D6346" s="13" t="str">
        <x:v>Retail</x:v>
      </x:c>
      <x:c r="E6346" s="13" t="str">
        <x:v>Retail</x:v>
      </x:c>
      <x:c r="F6346" s="13" t="str">
        <x:v>Early Cyclicals</x:v>
      </x:c>
      <x:c r="G6346" s="13" t="str">
        <x:v>grid_cqzdsc3v.xlsx</x:v>
      </x:c>
    </x:row>
    <x:row r="6347">
      <x:c r="A6347" s="15" t="n">
        <x:v>43313</x:v>
      </x:c>
      <x:c r="B6347" s="13" t="str">
        <x:v>CVC BRASIL OPERADORA E AGENC</x:v>
      </x:c>
      <x:c r="C6347" s="16" t="n">
        <x:v>372.0213013041</x:v>
      </x:c>
      <x:c r="D6347" s="13" t="str">
        <x:v>Retail</x:v>
      </x:c>
      <x:c r="E6347" s="13" t="str">
        <x:v>Retail</x:v>
      </x:c>
      <x:c r="F6347" s="13" t="str">
        <x:v>Early Cyclicals</x:v>
      </x:c>
      <x:c r="G6347" s="13" t="str">
        <x:v>grid_cqzdsc3v.xlsx</x:v>
      </x:c>
    </x:row>
    <x:row r="6348">
      <x:c r="A6348" s="15" t="n">
        <x:v>43313</x:v>
      </x:c>
      <x:c r="B6348" s="13" t="str">
        <x:v>LOJAS AMERICANAS SA-PREF</x:v>
      </x:c>
      <x:c r="C6348" s="16" t="n">
        <x:v>941.1255783452</x:v>
      </x:c>
      <x:c r="D6348" s="13" t="str">
        <x:v>Retail</x:v>
      </x:c>
      <x:c r="E6348" s="13" t="str">
        <x:v>Retail</x:v>
      </x:c>
      <x:c r="F6348" s="13" t="str">
        <x:v>Early Cyclicals</x:v>
      </x:c>
      <x:c r="G6348" s="13" t="str">
        <x:v>grid_cqzdsc3v.xlsx</x:v>
      </x:c>
    </x:row>
    <x:row r="6349">
      <x:c r="A6349" s="15" t="n">
        <x:v>43313</x:v>
      </x:c>
      <x:c r="B6349" s="13" t="str">
        <x:v>LOJAS RENNER S.A.</x:v>
      </x:c>
      <x:c r="C6349" s="16" t="n">
        <x:v>1039.4236114411</x:v>
      </x:c>
      <x:c r="D6349" s="13" t="str">
        <x:v>Retail</x:v>
      </x:c>
      <x:c r="E6349" s="13" t="str">
        <x:v>Retail</x:v>
      </x:c>
      <x:c r="F6349" s="13" t="str">
        <x:v>Early Cyclicals</x:v>
      </x:c>
      <x:c r="G6349" s="13" t="str">
        <x:v>grid_cqzdsc3v.xlsx</x:v>
      </x:c>
    </x:row>
    <x:row r="6350">
      <x:c r="A6350" s="15" t="n">
        <x:v>43313</x:v>
      </x:c>
      <x:c r="B6350" s="13" t="str">
        <x:v>MAGAZINE LUIZA SA</x:v>
      </x:c>
      <x:c r="C6350" s="16" t="n">
        <x:v>714.9921613151</x:v>
      </x:c>
      <x:c r="D6350" s="13" t="str">
        <x:v>Retail</x:v>
      </x:c>
      <x:c r="E6350" s="13" t="str">
        <x:v>Retail</x:v>
      </x:c>
      <x:c r="F6350" s="13" t="str">
        <x:v>Early Cyclicals</x:v>
      </x:c>
      <x:c r="G6350" s="13" t="str">
        <x:v>grid_cqzdsc3v.xlsx</x:v>
      </x:c>
    </x:row>
    <x:row r="6351">
      <x:c r="A6351" s="15" t="n">
        <x:v>43313</x:v>
      </x:c>
      <x:c r="B6351" s="13" t="str">
        <x:v>RAIA DROGASIL SA</x:v>
      </x:c>
      <x:c r="C6351" s="16" t="n">
        <x:v>686.4854794521</x:v>
      </x:c>
      <x:c r="D6351" s="13" t="str">
        <x:v>Retail</x:v>
      </x:c>
      <x:c r="E6351" s="13" t="str">
        <x:v>Retail</x:v>
      </x:c>
      <x:c r="F6351" s="13" t="str">
        <x:v>Early Cyclicals</x:v>
      </x:c>
      <x:c r="G6351" s="13" t="str">
        <x:v>grid_cqzdsc3v.xlsx</x:v>
      </x:c>
    </x:row>
    <x:row r="6352">
      <x:c r="A6352" s="15" t="n">
        <x:v>43313</x:v>
      </x:c>
      <x:c r="B6352" s="13" t="str">
        <x:v>VIA VAREJO SA</x:v>
      </x:c>
      <x:c r="C6352" s="16" t="n">
        <x:v>689.9506901918</x:v>
      </x:c>
      <x:c r="D6352" s="13" t="str">
        <x:v>Retail</x:v>
      </x:c>
      <x:c r="E6352" s="13" t="str">
        <x:v>Retail</x:v>
      </x:c>
      <x:c r="F6352" s="13" t="str">
        <x:v>Early Cyclicals</x:v>
      </x:c>
      <x:c r="G6352" s="13" t="str">
        <x:v>grid_cqzdsc3v.xlsx</x:v>
      </x:c>
    </x:row>
    <x:row r="6353">
      <x:c r="A6353" s="15" t="n">
        <x:v>43313</x:v>
      </x:c>
      <x:c r="B6353" s="13" t="str">
        <x:v>CIA DE SANEAMENTO DO PA-UNIT</x:v>
      </x:c>
      <x:c r="C6353" s="16" t="n">
        <x:v>891.7349421589</x:v>
      </x:c>
      <x:c r="D6353" s="13" t="str">
        <x:v>Sanitation</x:v>
      </x:c>
      <x:c r="E6353" s="13" t="str">
        <x:v>Utilities</x:v>
      </x:c>
      <x:c r="F6353" s="13" t="str">
        <x:v>Defensives</x:v>
      </x:c>
      <x:c r="G6353" s="13" t="str">
        <x:v>grid_cqzdsc3v.xlsx</x:v>
      </x:c>
    </x:row>
    <x:row r="6354">
      <x:c r="A6354" s="15" t="n">
        <x:v>43313</x:v>
      </x:c>
      <x:c r="B6354" s="13" t="str">
        <x:v>CIA SANEAMENTO BASICO DE SP</x:v>
      </x:c>
      <x:c r="C6354" s="16" t="n">
        <x:v>2792.3138286466</x:v>
      </x:c>
      <x:c r="D6354" s="13" t="str">
        <x:v>Sanitation</x:v>
      </x:c>
      <x:c r="E6354" s="13" t="str">
        <x:v>Utilities</x:v>
      </x:c>
      <x:c r="F6354" s="13" t="str">
        <x:v>Defensives</x:v>
      </x:c>
      <x:c r="G6354" s="13" t="str">
        <x:v>grid_cqzdsc3v.xlsx</x:v>
      </x:c>
    </x:row>
    <x:row r="6355">
      <x:c r="A6355" s="15" t="n">
        <x:v>43313</x:v>
      </x:c>
      <x:c r="B6355" s="13" t="str">
        <x:v>SMILES FIDELIDADE SA</x:v>
      </x:c>
      <x:c r="C6355" s="16" t="n">
        <x:v>617.874304</x:v>
      </x:c>
      <x:c r="D6355" s="13" t="str">
        <x:v>TMT</x:v>
      </x:c>
      <x:c r="E6355" s="13" t="str">
        <x:v>TMT</x:v>
      </x:c>
      <x:c r="F6355" s="13" t="str">
        <x:v>Early Cyclicals</x:v>
      </x:c>
      <x:c r="G6355" s="13" t="str">
        <x:v>grid_cqzdsc3v.xlsx</x:v>
      </x:c>
    </x:row>
    <x:row r="6356">
      <x:c r="A6356" s="15" t="n">
        <x:v>43313</x:v>
      </x:c>
      <x:c r="B6356" s="13" t="str">
        <x:v>TELEFONICA BRASIL S.A.-PREF</x:v>
      </x:c>
      <x:c r="C6356" s="16" t="n">
        <x:v>5884.5960023671</x:v>
      </x:c>
      <x:c r="D6356" s="13" t="str">
        <x:v>TMT</x:v>
      </x:c>
      <x:c r="E6356" s="13" t="str">
        <x:v>TMT</x:v>
      </x:c>
      <x:c r="F6356" s="13" t="str">
        <x:v>Early Cyclicals</x:v>
      </x:c>
      <x:c r="G6356" s="13" t="str">
        <x:v>grid_cqzdsc3v.xlsx</x:v>
      </x:c>
    </x:row>
    <x:row r="6357">
      <x:c r="A6357" s="15" t="n">
        <x:v>43313</x:v>
      </x:c>
      <x:c r="B6357" s="13" t="str">
        <x:v>TIM SA</x:v>
      </x:c>
      <x:c r="C6357" s="16" t="n">
        <x:v>1955.9445980932</x:v>
      </x:c>
      <x:c r="D6357" s="13" t="str">
        <x:v>TMT</x:v>
      </x:c>
      <x:c r="E6357" s="13" t="str">
        <x:v>TMT</x:v>
      </x:c>
      <x:c r="F6357" s="13" t="str">
        <x:v>Early Cyclicals</x:v>
      </x:c>
      <x:c r="G6357" s="13" t="str">
        <x:v>grid_cqzdsc3v.xlsx</x:v>
      </x:c>
    </x:row>
    <x:row r="6358">
      <x:c r="A6358" s="15" t="n">
        <x:v>43313</x:v>
      </x:c>
      <x:c r="B6358" s="13" t="str">
        <x:v>ECORODOVIAS INFRA E LOG SA</x:v>
      </x:c>
      <x:c r="C6358" s="16" t="n">
        <x:v>551.2380740384</x:v>
      </x:c>
      <x:c r="D6358" s="13" t="str">
        <x:v>Transportation</x:v>
      </x:c>
      <x:c r="E6358" s="13" t="str">
        <x:v>Transportation</x:v>
      </x:c>
      <x:c r="F6358" s="13" t="str">
        <x:v>Deep Cyclicals</x:v>
      </x:c>
      <x:c r="G6358" s="13" t="str">
        <x:v>grid_cqzdsc3v.xlsx</x:v>
      </x:c>
    </x:row>
    <x:row r="6359">
      <x:c r="A6359" s="15" t="n">
        <x:v>43313</x:v>
      </x:c>
      <x:c r="B6359" s="13" t="str">
        <x:v>GOL LINHAS AEREAS INT SA-PRE</x:v>
      </x:c>
      <x:c r="C6359" s="16" t="n">
        <x:v>49.6702904986</x:v>
      </x:c>
      <x:c r="D6359" s="13" t="str">
        <x:v>Transportation</x:v>
      </x:c>
      <x:c r="E6359" s="13" t="str">
        <x:v>Transportation</x:v>
      </x:c>
      <x:c r="F6359" s="13" t="str">
        <x:v>Deep Cyclicals</x:v>
      </x:c>
      <x:c r="G6359" s="13" t="str">
        <x:v>grid_cqzdsc3v.xlsx</x:v>
      </x:c>
    </x:row>
    <x:row r="6360">
      <x:c r="A6360" s="15" t="n">
        <x:v>43313</x:v>
      </x:c>
      <x:c r="B6360" s="13" t="str">
        <x:v>LOCALIZA RENT A CAR</x:v>
      </x:c>
      <x:c r="C6360" s="16" t="n">
        <x:v>811.7827454247</x:v>
      </x:c>
      <x:c r="D6360" s="13" t="str">
        <x:v>Transportation</x:v>
      </x:c>
      <x:c r="E6360" s="13" t="str">
        <x:v>Transportation</x:v>
      </x:c>
      <x:c r="F6360" s="13" t="str">
        <x:v>Deep Cyclicals</x:v>
      </x:c>
      <x:c r="G6360" s="13" t="str">
        <x:v>grid_cqzdsc3v.xlsx</x:v>
      </x:c>
    </x:row>
    <x:row r="6361">
      <x:c r="A6361" s="15" t="n">
        <x:v>43313</x:v>
      </x:c>
      <x:c r="B6361" s="13" t="str">
        <x:v>MOTIVA INFRAESTRUTURA DE MOB</x:v>
      </x:c>
      <x:c r="C6361" s="16" t="n">
        <x:v>1982.8007329315</x:v>
      </x:c>
      <x:c r="D6361" s="13" t="str">
        <x:v>Transportation</x:v>
      </x:c>
      <x:c r="E6361" s="13" t="str">
        <x:v>Transportation</x:v>
      </x:c>
      <x:c r="F6361" s="13" t="str">
        <x:v>Deep Cyclicals</x:v>
      </x:c>
      <x:c r="G6361" s="13" t="str">
        <x:v>grid_cqzdsc3v.xlsx</x:v>
      </x:c>
    </x:row>
    <x:row r="6362">
      <x:c r="A6362" s="15" t="n">
        <x:v>43313</x:v>
      </x:c>
      <x:c r="B6362" s="13" t="str">
        <x:v>RUMO SA</x:v>
      </x:c>
      <x:c r="C6362" s="16" t="n">
        <x:v>569.4447417863</x:v>
      </x:c>
      <x:c r="D6362" s="13" t="str">
        <x:v>Transportation</x:v>
      </x:c>
      <x:c r="E6362" s="13" t="str">
        <x:v>Transportation</x:v>
      </x:c>
      <x:c r="F6362" s="13" t="str">
        <x:v>Deep Cyclicals</x:v>
      </x:c>
      <x:c r="G6362" s="13" t="str">
        <x:v>grid_cqzdsc3v.xlsx</x:v>
      </x:c>
    </x:row>
    <x:row r="6363">
      <x:c r="A6363" s="15" t="n">
        <x:v>43313</x:v>
      </x:c>
      <x:c r="B6363" s="13" t="str">
        <x:v>AXIA ENERGIA SA</x:v>
      </x:c>
      <x:c r="C6363" s="16" t="n">
        <x:v>5391.6616437479</x:v>
      </x:c>
      <x:c r="D6363" s="13" t="str">
        <x:v>Utilities &amp; Energy</x:v>
      </x:c>
      <x:c r="E6363" s="13" t="str">
        <x:v>Utilities</x:v>
      </x:c>
      <x:c r="F6363" s="13" t="str">
        <x:v>Defensives</x:v>
      </x:c>
      <x:c r="G6363" s="13" t="str">
        <x:v>grid_cqzdsc3v.xlsx</x:v>
      </x:c>
    </x:row>
    <x:row r="6364">
      <x:c r="A6364" s="15" t="n">
        <x:v>43313</x:v>
      </x:c>
      <x:c r="B6364" s="13" t="str">
        <x:v>AXIA ENERGIA-PR B</x:v>
      </x:c>
      <x:c r="C6364" s="16" t="n">
        <x:v>5391.6616437479</x:v>
      </x:c>
      <x:c r="D6364" s="13" t="str">
        <x:v>Utilities &amp; Energy</x:v>
      </x:c>
      <x:c r="E6364" s="13" t="str">
        <x:v>Utilities</x:v>
      </x:c>
      <x:c r="F6364" s="13" t="str">
        <x:v>Defensives</x:v>
      </x:c>
      <x:c r="G6364" s="13" t="str">
        <x:v>grid_cqzdsc3v.xlsx</x:v>
      </x:c>
    </x:row>
    <x:row r="6365">
      <x:c r="A6365" s="15" t="n">
        <x:v>43313</x:v>
      </x:c>
      <x:c r="B6365" s="13" t="str">
        <x:v>CIA ENERGETICA MINAS GER-PRF</x:v>
      </x:c>
      <x:c r="C6365" s="16" t="n">
        <x:v>1876.9091019397</x:v>
      </x:c>
      <x:c r="D6365" s="13" t="str">
        <x:v>Utilities &amp; Energy</x:v>
      </x:c>
      <x:c r="E6365" s="13" t="str">
        <x:v>Utilities</x:v>
      </x:c>
      <x:c r="F6365" s="13" t="str">
        <x:v>Defensives</x:v>
      </x:c>
      <x:c r="G6365" s="13" t="str">
        <x:v>grid_cqzdsc3v.xlsx</x:v>
      </x:c>
    </x:row>
    <x:row r="6366">
      <x:c r="A6366" s="15" t="n">
        <x:v>43313</x:v>
      </x:c>
      <x:c r="B6366" s="13" t="str">
        <x:v>COMPANHIA PARANAENSE -PREF B</x:v>
      </x:c>
      <x:c r="C6366" s="16" t="n">
        <x:v>1483.0174916384</x:v>
      </x:c>
      <x:c r="D6366" s="13" t="str">
        <x:v>Utilities &amp; Energy</x:v>
      </x:c>
      <x:c r="E6366" s="13" t="str">
        <x:v>Utilities</x:v>
      </x:c>
      <x:c r="F6366" s="13" t="str">
        <x:v>Defensives</x:v>
      </x:c>
      <x:c r="G6366" s="13" t="str">
        <x:v>grid_cqzdsc3v.xlsx</x:v>
      </x:c>
    </x:row>
    <x:row r="6367">
      <x:c r="A6367" s="15" t="n">
        <x:v>43313</x:v>
      </x:c>
      <x:c r="B6367" s="13" t="str">
        <x:v>EDP - ENERGIAS DO BRASIL SA</x:v>
      </x:c>
      <x:c r="C6367" s="16" t="n">
        <x:v>844.0839373151</x:v>
      </x:c>
      <x:c r="D6367" s="13" t="str">
        <x:v>Utilities &amp; Energy</x:v>
      </x:c>
      <x:c r="E6367" s="13" t="str">
        <x:v>Utilities</x:v>
      </x:c>
      <x:c r="F6367" s="13" t="str">
        <x:v>Defensives</x:v>
      </x:c>
      <x:c r="G6367" s="13" t="str">
        <x:v>grid_cqzdsc3v.xlsx</x:v>
      </x:c>
    </x:row>
    <x:row r="6368">
      <x:c r="A6368" s="15" t="n">
        <x:v>43313</x:v>
      </x:c>
      <x:c r="B6368" s="13" t="str">
        <x:v>ENGIE BRASIL ENERGIA SA</x:v>
      </x:c>
      <x:c r="C6368" s="16" t="n">
        <x:v>2328.9870890082</x:v>
      </x:c>
      <x:c r="D6368" s="13" t="str">
        <x:v>Utilities &amp; Energy</x:v>
      </x:c>
      <x:c r="E6368" s="13" t="str">
        <x:v>Utilities</x:v>
      </x:c>
      <x:c r="F6368" s="13" t="str">
        <x:v>Defensives</x:v>
      </x:c>
      <x:c r="G6368" s="13" t="str">
        <x:v>grid_cqzdsc3v.xlsx</x:v>
      </x:c>
    </x:row>
    <x:row r="6369">
      <x:c r="A6369" s="15" t="n">
        <x:v>43313</x:v>
      </x:c>
      <x:c r="B6369" s="13" t="str">
        <x:v>EQUATORIAL SA - ORD</x:v>
      </x:c>
      <x:c r="C6369" s="16" t="n">
        <x:v>852.6722603836</x:v>
      </x:c>
      <x:c r="D6369" s="13" t="str">
        <x:v>Utilities &amp; Energy</x:v>
      </x:c>
      <x:c r="E6369" s="13" t="str">
        <x:v>Utilities</x:v>
      </x:c>
      <x:c r="F6369" s="13" t="str">
        <x:v>Defensives</x:v>
      </x:c>
      <x:c r="G6369" s="13" t="str">
        <x:v>grid_cqzdsc3v.xlsx</x:v>
      </x:c>
    </x:row>
    <x:row r="6370">
      <x:c r="A6370" s="15" t="n">
        <x:v>43313</x:v>
      </x:c>
      <x:c r="B6370" s="13" t="str">
        <x:v>TRANSMISSORA ALIANCA DE-UNIT</x:v>
      </x:c>
      <x:c r="C6370" s="16" t="n">
        <x:v>773.8874224219</x:v>
      </x:c>
      <x:c r="D6370" s="13" t="str">
        <x:v>Utilities &amp; Energy</x:v>
      </x:c>
      <x:c r="E6370" s="13" t="str">
        <x:v>Utilities</x:v>
      </x:c>
      <x:c r="F6370" s="13" t="str">
        <x:v>Defensives</x:v>
      </x:c>
      <x:c r="G6370" s="13" t="str">
        <x:v>grid_cqzdsc3v.xlsx</x:v>
      </x:c>
    </x:row>
    <x:row r="6371">
      <x:c r="A6371" s="15" t="n">
        <x:v>43344</x:v>
      </x:c>
      <x:c r="B6371" s="13" t="str">
        <x:v>BANCO BRADESCO S.A.</x:v>
      </x:c>
      <x:c r="C6371" s="16" t="n">
        <x:v>23042.2676465973</x:v>
      </x:c>
      <x:c r="D6371" s="13" t="str">
        <x:v>Banks</x:v>
      </x:c>
      <x:c r="E6371" s="13" t="str">
        <x:v>Banks</x:v>
      </x:c>
      <x:c r="F6371" s="13" t="str">
        <x:v>Financials</x:v>
      </x:c>
      <x:c r="G6371" s="13" t="str">
        <x:v>grid_cqzdsc3v.xlsx</x:v>
      </x:c>
    </x:row>
    <x:row r="6372">
      <x:c r="A6372" s="15" t="n">
        <x:v>43344</x:v>
      </x:c>
      <x:c r="B6372" s="13" t="str">
        <x:v>BANCO BRADESCO SA-PREF</x:v>
      </x:c>
      <x:c r="C6372" s="16" t="n">
        <x:v>23042.2676465973</x:v>
      </x:c>
      <x:c r="D6372" s="13" t="str">
        <x:v>Banks</x:v>
      </x:c>
      <x:c r="E6372" s="13" t="str">
        <x:v>Banks</x:v>
      </x:c>
      <x:c r="F6372" s="13" t="str">
        <x:v>Financials</x:v>
      </x:c>
      <x:c r="G6372" s="13" t="str">
        <x:v>grid_cqzdsc3v.xlsx</x:v>
      </x:c>
    </x:row>
    <x:row r="6373">
      <x:c r="A6373" s="15" t="n">
        <x:v>43344</x:v>
      </x:c>
      <x:c r="B6373" s="13" t="str">
        <x:v>BANCO DO BRASIL S.A.</x:v>
      </x:c>
      <x:c r="C6373" s="16" t="n">
        <x:v>14711.4883661151</x:v>
      </x:c>
      <x:c r="D6373" s="13" t="str">
        <x:v>Banks</x:v>
      </x:c>
      <x:c r="E6373" s="13" t="str">
        <x:v>Banks</x:v>
      </x:c>
      <x:c r="F6373" s="13" t="str">
        <x:v>Financials</x:v>
      </x:c>
      <x:c r="G6373" s="13" t="str">
        <x:v>grid_cqzdsc3v.xlsx</x:v>
      </x:c>
    </x:row>
    <x:row r="6374">
      <x:c r="A6374" s="15" t="n">
        <x:v>43344</x:v>
      </x:c>
      <x:c r="B6374" s="13" t="str">
        <x:v>BANCO SANTANDER  BRASIL-UNIT</x:v>
      </x:c>
      <x:c r="C6374" s="16" t="n">
        <x:v>12555.598368263</x:v>
      </x:c>
      <x:c r="D6374" s="13" t="str">
        <x:v>Banks</x:v>
      </x:c>
      <x:c r="E6374" s="13" t="str">
        <x:v>Banks</x:v>
      </x:c>
      <x:c r="F6374" s="13" t="str">
        <x:v>Financials</x:v>
      </x:c>
      <x:c r="G6374" s="13" t="str">
        <x:v>grid_cqzdsc3v.xlsx</x:v>
      </x:c>
    </x:row>
    <x:row r="6375">
      <x:c r="A6375" s="15" t="n">
        <x:v>43344</x:v>
      </x:c>
      <x:c r="B6375" s="13" t="str">
        <x:v>ITAU UNIBANCO HOLDING S-PREF</x:v>
      </x:c>
      <x:c r="C6375" s="16" t="n">
        <x:v>28482.5616608438</x:v>
      </x:c>
      <x:c r="D6375" s="13" t="str">
        <x:v>Banks</x:v>
      </x:c>
      <x:c r="E6375" s="13" t="str">
        <x:v>Banks</x:v>
      </x:c>
      <x:c r="F6375" s="13" t="str">
        <x:v>Financials</x:v>
      </x:c>
      <x:c r="G6375" s="13" t="str">
        <x:v>grid_cqzdsc3v.xlsx</x:v>
      </x:c>
    </x:row>
    <x:row r="6376">
      <x:c r="A6376" s="15" t="n">
        <x:v>43344</x:v>
      </x:c>
      <x:c r="B6376" s="13" t="str">
        <x:v>EMBRAER SA</x:v>
      </x:c>
      <x:c r="C6376" s="16" t="n">
        <x:v>818.5589525041</x:v>
      </x:c>
      <x:c r="D6376" s="13" t="str">
        <x:v>Capital Goods</x:v>
      </x:c>
      <x:c r="E6376" s="13" t="str">
        <x:v>Capital Goods</x:v>
      </x:c>
      <x:c r="F6376" s="13" t="str">
        <x:v>Deep Cyclicals</x:v>
      </x:c>
      <x:c r="G6376" s="13" t="str">
        <x:v>grid_cqzdsc3v.xlsx</x:v>
      </x:c>
    </x:row>
    <x:row r="6377">
      <x:c r="A6377" s="15" t="n">
        <x:v>43344</x:v>
      </x:c>
      <x:c r="B6377" s="13" t="str">
        <x:v>WEG SA</x:v>
      </x:c>
      <x:c r="C6377" s="16" t="n">
        <x:v>1531.4433693808</x:v>
      </x:c>
      <x:c r="D6377" s="13" t="str">
        <x:v>Capital Goods</x:v>
      </x:c>
      <x:c r="E6377" s="13" t="str">
        <x:v>Capital Goods</x:v>
      </x:c>
      <x:c r="F6377" s="13" t="str">
        <x:v>Deep Cyclicals</x:v>
      </x:c>
      <x:c r="G6377" s="13" t="str">
        <x:v>grid_cqzdsc3v.xlsx</x:v>
      </x:c>
    </x:row>
    <x:row r="6378">
      <x:c r="A6378" s="15" t="n">
        <x:v>43344</x:v>
      </x:c>
      <x:c r="B6378" s="13" t="str">
        <x:v>COGNA EDUCACAO</x:v>
      </x:c>
      <x:c r="C6378" s="16" t="n">
        <x:v>1906.5610369753</x:v>
      </x:c>
      <x:c r="D6378" s="13" t="str">
        <x:v>Education</x:v>
      </x:c>
      <x:c r="E6378" s="13" t="str">
        <x:v>Education</x:v>
      </x:c>
      <x:c r="F6378" s="13" t="str">
        <x:v>Early Cyclicals</x:v>
      </x:c>
      <x:c r="G6378" s="13" t="str">
        <x:v>grid_cqzdsc3v.xlsx</x:v>
      </x:c>
    </x:row>
    <x:row r="6379">
      <x:c r="A6379" s="15" t="n">
        <x:v>43344</x:v>
      </x:c>
      <x:c r="B6379" s="13" t="str">
        <x:v>YDUQS PARTICIPACOES SA</x:v>
      </x:c>
      <x:c r="C6379" s="16" t="n">
        <x:v>882.6122278575</x:v>
      </x:c>
      <x:c r="D6379" s="13" t="str">
        <x:v>Education</x:v>
      </x:c>
      <x:c r="E6379" s="13" t="str">
        <x:v>Education</x:v>
      </x:c>
      <x:c r="F6379" s="13" t="str">
        <x:v>Early Cyclicals</x:v>
      </x:c>
      <x:c r="G6379" s="13" t="str">
        <x:v>grid_cqzdsc3v.xlsx</x:v>
      </x:c>
    </x:row>
    <x:row r="6380">
      <x:c r="A6380" s="15" t="n">
        <x:v>43344</x:v>
      </x:c>
      <x:c r="B6380" s="13" t="str">
        <x:v>B3 SA-BRASIL BOLSA BALCAO</x:v>
      </x:c>
      <x:c r="C6380" s="16" t="n">
        <x:v>2813.9005418959</x:v>
      </x:c>
      <x:c r="D6380" s="13" t="str">
        <x:v>Financials Non-Banks</x:v>
      </x:c>
      <x:c r="E6380" s="13" t="str">
        <x:v>Financials Non-Banks</x:v>
      </x:c>
      <x:c r="F6380" s="13" t="str">
        <x:v>Financials</x:v>
      </x:c>
      <x:c r="G6380" s="13" t="str">
        <x:v>grid_cqzdsc3v.xlsx</x:v>
      </x:c>
    </x:row>
    <x:row r="6381">
      <x:c r="A6381" s="15" t="n">
        <x:v>43344</x:v>
      </x:c>
      <x:c r="B6381" s="13" t="str">
        <x:v>BB SEGURIDADE PARTICIPACOES</x:v>
      </x:c>
      <x:c r="C6381" s="16" t="n">
        <x:v>4133.0539456877</x:v>
      </x:c>
      <x:c r="D6381" s="13" t="str">
        <x:v>Financials Non-Banks</x:v>
      </x:c>
      <x:c r="E6381" s="13" t="str">
        <x:v>Financials Non-Banks</x:v>
      </x:c>
      <x:c r="F6381" s="13" t="str">
        <x:v>Financials</x:v>
      </x:c>
      <x:c r="G6381" s="13" t="str">
        <x:v>grid_cqzdsc3v.xlsx</x:v>
      </x:c>
    </x:row>
    <x:row r="6382">
      <x:c r="A6382" s="15" t="n">
        <x:v>43344</x:v>
      </x:c>
      <x:c r="B6382" s="13" t="str">
        <x:v>CIELO SA - INSTITUICAO DE PA</x:v>
      </x:c>
      <x:c r="C6382" s="16" t="n">
        <x:v>3798.7241479014</x:v>
      </x:c>
      <x:c r="D6382" s="13" t="str">
        <x:v>Financials Non-Banks</x:v>
      </x:c>
      <x:c r="E6382" s="13" t="str">
        <x:v>Financials Non-Banks</x:v>
      </x:c>
      <x:c r="F6382" s="13" t="str">
        <x:v>Financials</x:v>
      </x:c>
      <x:c r="G6382" s="13" t="str">
        <x:v>grid_cqzdsc3v.xlsx</x:v>
      </x:c>
    </x:row>
    <x:row r="6383">
      <x:c r="A6383" s="15" t="n">
        <x:v>43344</x:v>
      </x:c>
      <x:c r="B6383" s="13" t="str">
        <x:v>ITAUSA SA</x:v>
      </x:c>
      <x:c r="C6383" s="16" t="n">
        <x:v>11339.2435873315</x:v>
      </x:c>
      <x:c r="D6383" s="13" t="str">
        <x:v>Financials Non-Banks</x:v>
      </x:c>
      <x:c r="E6383" s="13" t="str">
        <x:v>Financials Non-Banks</x:v>
      </x:c>
      <x:c r="F6383" s="13" t="str">
        <x:v>Financials</x:v>
      </x:c>
      <x:c r="G6383" s="13" t="str">
        <x:v>grid_cqzdsc3v.xlsx</x:v>
      </x:c>
    </x:row>
    <x:row r="6384">
      <x:c r="A6384" s="15" t="n">
        <x:v>43344</x:v>
      </x:c>
      <x:c r="B6384" s="13" t="str">
        <x:v>AMBEV SA</x:v>
      </x:c>
      <x:c r="C6384" s="16" t="n">
        <x:v>14381.9412970959</x:v>
      </x:c>
      <x:c r="D6384" s="13" t="str">
        <x:v>Food &amp; Beverages</x:v>
      </x:c>
      <x:c r="E6384" s="13" t="str">
        <x:v>Agri, Food &amp; Beverages</x:v>
      </x:c>
      <x:c r="F6384" s="13" t="str">
        <x:v>Defensives</x:v>
      </x:c>
      <x:c r="G6384" s="13" t="str">
        <x:v>grid_cqzdsc3v.xlsx</x:v>
      </x:c>
    </x:row>
    <x:row r="6385">
      <x:c r="A6385" s="15" t="n">
        <x:v>43344</x:v>
      </x:c>
      <x:c r="B6385" s="13" t="str">
        <x:v>BRF SA</x:v>
      </x:c>
      <x:c r="C6385" s="16" t="n">
        <x:v>-130.7112328767</x:v>
      </x:c>
      <x:c r="D6385" s="13" t="str">
        <x:v>Food &amp; Beverages</x:v>
      </x:c>
      <x:c r="E6385" s="13" t="str">
        <x:v>Agri, Food &amp; Beverages</x:v>
      </x:c>
      <x:c r="F6385" s="13" t="str">
        <x:v>Defensives</x:v>
      </x:c>
      <x:c r="G6385" s="13" t="str">
        <x:v>grid_cqzdsc3v.xlsx</x:v>
      </x:c>
    </x:row>
    <x:row r="6386">
      <x:c r="A6386" s="15" t="n">
        <x:v>43344</x:v>
      </x:c>
      <x:c r="B6386" s="13" t="str">
        <x:v>JBS SA</x:v>
      </x:c>
      <x:c r="C6386" s="16" t="n">
        <x:v>3721.3699745315</x:v>
      </x:c>
      <x:c r="D6386" s="13" t="str">
        <x:v>Food &amp; Beverages</x:v>
      </x:c>
      <x:c r="E6386" s="13" t="str">
        <x:v>Agri, Food &amp; Beverages</x:v>
      </x:c>
      <x:c r="F6386" s="13" t="str">
        <x:v>Defensives</x:v>
      </x:c>
      <x:c r="G6386" s="13" t="str">
        <x:v>grid_cqzdsc3v.xlsx</x:v>
      </x:c>
    </x:row>
    <x:row r="6387">
      <x:c r="A6387" s="15" t="n">
        <x:v>43344</x:v>
      </x:c>
      <x:c r="B6387" s="13" t="str">
        <x:v>MBRF GLOBAL FOODS COMPANY SA</x:v>
      </x:c>
      <x:c r="C6387" s="16" t="n">
        <x:v>279.3522796712</x:v>
      </x:c>
      <x:c r="D6387" s="13" t="str">
        <x:v>Food &amp; Beverages</x:v>
      </x:c>
      <x:c r="E6387" s="13" t="str">
        <x:v>Agri, Food &amp; Beverages</x:v>
      </x:c>
      <x:c r="F6387" s="13" t="str">
        <x:v>Defensives</x:v>
      </x:c>
      <x:c r="G6387" s="13" t="str">
        <x:v>grid_cqzdsc3v.xlsx</x:v>
      </x:c>
    </x:row>
    <x:row r="6388">
      <x:c r="A6388" s="15" t="n">
        <x:v>43344</x:v>
      </x:c>
      <x:c r="B6388" s="13" t="str">
        <x:v>FLEURY SA</x:v>
      </x:c>
      <x:c r="C6388" s="16" t="n">
        <x:v>407.7076723726</x:v>
      </x:c>
      <x:c r="D6388" s="13" t="str">
        <x:v>Health Care</x:v>
      </x:c>
      <x:c r="E6388" s="13" t="str">
        <x:v>Health Care</x:v>
      </x:c>
      <x:c r="F6388" s="13" t="str">
        <x:v>Defensives</x:v>
      </x:c>
      <x:c r="G6388" s="13" t="str">
        <x:v>grid_cqzdsc3v.xlsx</x:v>
      </x:c>
    </x:row>
    <x:row r="6389">
      <x:c r="A6389" s="15" t="n">
        <x:v>43344</x:v>
      </x:c>
      <x:c r="B6389" s="13" t="str">
        <x:v>HYPERA SA</x:v>
      </x:c>
      <x:c r="C6389" s="16" t="n">
        <x:v>1190.0728653151</x:v>
      </x:c>
      <x:c r="D6389" s="13" t="str">
        <x:v>Health Care</x:v>
      </x:c>
      <x:c r="E6389" s="13" t="str">
        <x:v>Health Care</x:v>
      </x:c>
      <x:c r="F6389" s="13" t="str">
        <x:v>Defensives</x:v>
      </x:c>
      <x:c r="G6389" s="13" t="str">
        <x:v>grid_cqzdsc3v.xlsx</x:v>
      </x:c>
    </x:row>
    <x:row r="6390">
      <x:c r="A6390" s="15" t="n">
        <x:v>43344</x:v>
      </x:c>
      <x:c r="B6390" s="13" t="str">
        <x:v>QUALICORP CONS E CORR SEG SA</x:v>
      </x:c>
      <x:c r="C6390" s="16" t="n">
        <x:v>586.8179499836</x:v>
      </x:c>
      <x:c r="D6390" s="13" t="str">
        <x:v>Health Care</x:v>
      </x:c>
      <x:c r="E6390" s="13" t="str">
        <x:v>Health Care</x:v>
      </x:c>
      <x:c r="F6390" s="13" t="str">
        <x:v>Defensives</x:v>
      </x:c>
      <x:c r="G6390" s="13" t="str">
        <x:v>grid_cqzdsc3v.xlsx</x:v>
      </x:c>
    </x:row>
    <x:row r="6391">
      <x:c r="A6391" s="15" t="n">
        <x:v>43344</x:v>
      </x:c>
      <x:c r="B6391" s="13" t="str">
        <x:v>CYRELA BRAZIL REALTY SA EMP</x:v>
      </x:c>
      <x:c r="C6391" s="16" t="n">
        <x:v>278.0957808219</x:v>
      </x:c>
      <x:c r="D6391" s="13" t="str">
        <x:v>Homebuilders</x:v>
      </x:c>
      <x:c r="E6391" s="13" t="str">
        <x:v>Real Estate</x:v>
      </x:c>
      <x:c r="F6391" s="13" t="str">
        <x:v>Early Cyclicals</x:v>
      </x:c>
      <x:c r="G6391" s="13" t="str">
        <x:v>grid_cqzdsc3v.xlsx</x:v>
      </x:c>
    </x:row>
    <x:row r="6392">
      <x:c r="A6392" s="15" t="n">
        <x:v>43344</x:v>
      </x:c>
      <x:c r="B6392" s="13" t="str">
        <x:v>MRV ENGENHARIA</x:v>
      </x:c>
      <x:c r="C6392" s="16" t="n">
        <x:v>829.5864979288</x:v>
      </x:c>
      <x:c r="D6392" s="13" t="str">
        <x:v>Homebuilders</x:v>
      </x:c>
      <x:c r="E6392" s="13" t="str">
        <x:v>Real Estate</x:v>
      </x:c>
      <x:c r="F6392" s="13" t="str">
        <x:v>Early Cyclicals</x:v>
      </x:c>
      <x:c r="G6392" s="13" t="str">
        <x:v>grid_cqzdsc3v.xlsx</x:v>
      </x:c>
    </x:row>
    <x:row r="6393">
      <x:c r="A6393" s="15" t="n">
        <x:v>43344</x:v>
      </x:c>
      <x:c r="B6393" s="13" t="str">
        <x:v>BR MALLS PARTICIPACOES SA</x:v>
      </x:c>
      <x:c r="C6393" s="16" t="n">
        <x:v>629.9619022904</x:v>
      </x:c>
      <x:c r="D6393" s="13" t="str">
        <x:v>Income Properties</x:v>
      </x:c>
      <x:c r="E6393" s="13" t="str">
        <x:v>Real Estate</x:v>
      </x:c>
      <x:c r="F6393" s="13" t="str">
        <x:v>Early Cyclicals</x:v>
      </x:c>
      <x:c r="G6393" s="13" t="str">
        <x:v>grid_cqzdsc3v.xlsx</x:v>
      </x:c>
    </x:row>
    <x:row r="6394">
      <x:c r="A6394" s="15" t="n">
        <x:v>43344</x:v>
      </x:c>
      <x:c r="B6394" s="13" t="str">
        <x:v>IGUATEMI EMP DE SHOPPING</x:v>
      </x:c>
      <x:c r="C6394" s="16" t="n">
        <x:v>280.4225621041</x:v>
      </x:c>
      <x:c r="D6394" s="13" t="str">
        <x:v>Income Properties</x:v>
      </x:c>
      <x:c r="E6394" s="13" t="str">
        <x:v>Real Estate</x:v>
      </x:c>
      <x:c r="F6394" s="13" t="str">
        <x:v>Early Cyclicals</x:v>
      </x:c>
      <x:c r="G6394" s="13" t="str">
        <x:v>grid_cqzdsc3v.xlsx</x:v>
      </x:c>
    </x:row>
    <x:row r="6395">
      <x:c r="A6395" s="15" t="n">
        <x:v>43344</x:v>
      </x:c>
      <x:c r="B6395" s="13" t="str">
        <x:v>MULTIPLAN EMPREENDIMENTOS</x:v>
      </x:c>
      <x:c r="C6395" s="16" t="n">
        <x:v>511.6398420164</x:v>
      </x:c>
      <x:c r="D6395" s="13" t="str">
        <x:v>Income Properties</x:v>
      </x:c>
      <x:c r="E6395" s="13" t="str">
        <x:v>Real Estate</x:v>
      </x:c>
      <x:c r="F6395" s="13" t="str">
        <x:v>Early Cyclicals</x:v>
      </x:c>
      <x:c r="G6395" s="13" t="str">
        <x:v>grid_cqzdsc3v.xlsx</x:v>
      </x:c>
    </x:row>
    <x:row r="6396">
      <x:c r="A6396" s="15" t="n">
        <x:v>43344</x:v>
      </x:c>
      <x:c r="B6396" s="13" t="str">
        <x:v>BRADESPAR SA -PREF</x:v>
      </x:c>
      <x:c r="C6396" s="16" t="n">
        <x:v>764.9726027397</x:v>
      </x:c>
      <x:c r="D6396" s="13" t="str">
        <x:v>Metals &amp; Mining</x:v>
      </x:c>
      <x:c r="E6396" s="13" t="str">
        <x:v>Metals &amp; Mining</x:v>
      </x:c>
      <x:c r="F6396" s="13" t="str">
        <x:v>Deep Cyclicals</x:v>
      </x:c>
      <x:c r="G6396" s="13" t="str">
        <x:v>grid_cqzdsc3v.xlsx</x:v>
      </x:c>
    </x:row>
    <x:row r="6397">
      <x:c r="A6397" s="15" t="n">
        <x:v>43344</x:v>
      </x:c>
      <x:c r="B6397" s="13" t="str">
        <x:v>CIA SIDERURGICA NACIONAL SA</x:v>
      </x:c>
      <x:c r="C6397" s="16" t="n">
        <x:v>1618.6114808986</x:v>
      </x:c>
      <x:c r="D6397" s="13" t="str">
        <x:v>Metals &amp; Mining</x:v>
      </x:c>
      <x:c r="E6397" s="13" t="str">
        <x:v>Metals &amp; Mining</x:v>
      </x:c>
      <x:c r="F6397" s="13" t="str">
        <x:v>Deep Cyclicals</x:v>
      </x:c>
      <x:c r="G6397" s="13" t="str">
        <x:v>grid_cqzdsc3v.xlsx</x:v>
      </x:c>
    </x:row>
    <x:row r="6398">
      <x:c r="A6398" s="15" t="n">
        <x:v>43344</x:v>
      </x:c>
      <x:c r="B6398" s="13" t="str">
        <x:v>GERDAU SA-PREF</x:v>
      </x:c>
      <x:c r="C6398" s="16" t="n">
        <x:v>2510.912</x:v>
      </x:c>
      <x:c r="D6398" s="13" t="str">
        <x:v>Metals &amp; Mining</x:v>
      </x:c>
      <x:c r="E6398" s="13" t="str">
        <x:v>Metals &amp; Mining</x:v>
      </x:c>
      <x:c r="F6398" s="13" t="str">
        <x:v>Deep Cyclicals</x:v>
      </x:c>
      <x:c r="G6398" s="13" t="str">
        <x:v>grid_cqzdsc3v.xlsx</x:v>
      </x:c>
    </x:row>
    <x:row r="6399">
      <x:c r="A6399" s="15" t="n">
        <x:v>43344</x:v>
      </x:c>
      <x:c r="B6399" s="13" t="str">
        <x:v>USINAS SIDER MINAS GER-PF A</x:v>
      </x:c>
      <x:c r="C6399" s="16" t="n">
        <x:v>915.4560098192</x:v>
      </x:c>
      <x:c r="D6399" s="13" t="str">
        <x:v>Metals &amp; Mining</x:v>
      </x:c>
      <x:c r="E6399" s="13" t="str">
        <x:v>Metals &amp; Mining</x:v>
      </x:c>
      <x:c r="F6399" s="13" t="str">
        <x:v>Deep Cyclicals</x:v>
      </x:c>
      <x:c r="G6399" s="13" t="str">
        <x:v>grid_cqzdsc3v.xlsx</x:v>
      </x:c>
    </x:row>
    <x:row r="6400">
      <x:c r="A6400" s="15" t="n">
        <x:v>43344</x:v>
      </x:c>
      <x:c r="B6400" s="13" t="str">
        <x:v>VALE SA</x:v>
      </x:c>
      <x:c r="C6400" s="16" t="n">
        <x:v>33696.4766677918</x:v>
      </x:c>
      <x:c r="D6400" s="13" t="str">
        <x:v>Metals &amp; Mining</x:v>
      </x:c>
      <x:c r="E6400" s="13" t="str">
        <x:v>Metals &amp; Mining</x:v>
      </x:c>
      <x:c r="F6400" s="13" t="str">
        <x:v>Deep Cyclicals</x:v>
      </x:c>
      <x:c r="G6400" s="13" t="str">
        <x:v>grid_cqzdsc3v.xlsx</x:v>
      </x:c>
    </x:row>
    <x:row r="6401">
      <x:c r="A6401" s="15" t="n">
        <x:v>43344</x:v>
      </x:c>
      <x:c r="B6401" s="13" t="str">
        <x:v>BRASKEM SA-PREF A</x:v>
      </x:c>
      <x:c r="C6401" s="16" t="n">
        <x:v>2706.2677405808</x:v>
      </x:c>
      <x:c r="D6401" s="13" t="str">
        <x:v>Oil, Gas &amp; Petrochemicals</x:v>
      </x:c>
      <x:c r="E6401" s="13" t="str">
        <x:v>Oil, Gas &amp; Petrochemicals</x:v>
      </x:c>
      <x:c r="F6401" s="13" t="str">
        <x:v>Deep Cyclicals</x:v>
      </x:c>
      <x:c r="G6401" s="13" t="str">
        <x:v>grid_cqzdsc3v.xlsx</x:v>
      </x:c>
    </x:row>
    <x:row r="6402">
      <x:c r="A6402" s="15" t="n">
        <x:v>43344</x:v>
      </x:c>
      <x:c r="B6402" s="13" t="str">
        <x:v>COSAN SA</x:v>
      </x:c>
      <x:c r="C6402" s="16" t="n">
        <x:v>1236.1471470466</x:v>
      </x:c>
      <x:c r="D6402" s="13" t="str">
        <x:v>Oil, Gas &amp; Petrochemicals</x:v>
      </x:c>
      <x:c r="E6402" s="13" t="str">
        <x:v>Oil, Gas &amp; Petrochemicals</x:v>
      </x:c>
      <x:c r="F6402" s="13" t="str">
        <x:v>Deep Cyclicals</x:v>
      </x:c>
      <x:c r="G6402" s="13" t="str">
        <x:v>grid_cqzdsc3v.xlsx</x:v>
      </x:c>
    </x:row>
    <x:row r="6403">
      <x:c r="A6403" s="15" t="n">
        <x:v>43344</x:v>
      </x:c>
      <x:c r="B6403" s="13" t="str">
        <x:v>PETROBRAS - PETROLEO BRAS</x:v>
      </x:c>
      <x:c r="C6403" s="16" t="n">
        <x:v>40215.8085330411</x:v>
      </x:c>
      <x:c r="D6403" s="13" t="str">
        <x:v>Oil, Gas &amp; Petrochemicals</x:v>
      </x:c>
      <x:c r="E6403" s="13" t="str">
        <x:v>Oil, Gas &amp; Petrochemicals</x:v>
      </x:c>
      <x:c r="F6403" s="13" t="str">
        <x:v>Deep Cyclicals</x:v>
      </x:c>
      <x:c r="G6403" s="13" t="str">
        <x:v>grid_cqzdsc3v.xlsx</x:v>
      </x:c>
    </x:row>
    <x:row r="6404">
      <x:c r="A6404" s="15" t="n">
        <x:v>43344</x:v>
      </x:c>
      <x:c r="B6404" s="13" t="str">
        <x:v>ULTRAPAR PARTICIPACOES SA</x:v>
      </x:c>
      <x:c r="C6404" s="16" t="n">
        <x:v>1410.5820552767</x:v>
      </x:c>
      <x:c r="D6404" s="13" t="str">
        <x:v>Oil, Gas &amp; Petrochemicals</x:v>
      </x:c>
      <x:c r="E6404" s="13" t="str">
        <x:v>Oil, Gas &amp; Petrochemicals</x:v>
      </x:c>
      <x:c r="F6404" s="13" t="str">
        <x:v>Deep Cyclicals</x:v>
      </x:c>
      <x:c r="G6404" s="13" t="str">
        <x:v>grid_cqzdsc3v.xlsx</x:v>
      </x:c>
    </x:row>
    <x:row r="6405">
      <x:c r="A6405" s="15" t="n">
        <x:v>43344</x:v>
      </x:c>
      <x:c r="B6405" s="13" t="str">
        <x:v>FIBRIA CELULOSE S/A</x:v>
      </x:c>
      <x:c r="C6405" s="16" t="n">
        <x:v>4501.7800858301</x:v>
      </x:c>
      <x:c r="D6405" s="13" t="str">
        <x:v>Pulp &amp; Paper</x:v>
      </x:c>
      <x:c r="E6405" s="13" t="str">
        <x:v>Pulp &amp; Paper</x:v>
      </x:c>
      <x:c r="F6405" s="13" t="str">
        <x:v>Deep Cyclicals</x:v>
      </x:c>
      <x:c r="G6405" s="13" t="str">
        <x:v>grid_cqzdsc3v.xlsx</x:v>
      </x:c>
    </x:row>
    <x:row r="6406">
      <x:c r="A6406" s="15" t="n">
        <x:v>43344</x:v>
      </x:c>
      <x:c r="B6406" s="13" t="str">
        <x:v>KLABIN SA - UNIT</x:v>
      </x:c>
      <x:c r="C6406" s="16" t="n">
        <x:v>1440.3882632767</x:v>
      </x:c>
      <x:c r="D6406" s="13" t="str">
        <x:v>Pulp &amp; Paper</x:v>
      </x:c>
      <x:c r="E6406" s="13" t="str">
        <x:v>Pulp &amp; Paper</x:v>
      </x:c>
      <x:c r="F6406" s="13" t="str">
        <x:v>Deep Cyclicals</x:v>
      </x:c>
      <x:c r="G6406" s="13" t="str">
        <x:v>grid_cqzdsc3v.xlsx</x:v>
      </x:c>
    </x:row>
    <x:row r="6407">
      <x:c r="A6407" s="15" t="n">
        <x:v>43344</x:v>
      </x:c>
      <x:c r="B6407" s="13" t="str">
        <x:v>SUZANO SA</x:v>
      </x:c>
      <x:c r="C6407" s="16" t="n">
        <x:v>3428.0056200767</x:v>
      </x:c>
      <x:c r="D6407" s="13" t="str">
        <x:v>Pulp &amp; Paper</x:v>
      </x:c>
      <x:c r="E6407" s="13" t="str">
        <x:v>Pulp &amp; Paper</x:v>
      </x:c>
      <x:c r="F6407" s="13" t="str">
        <x:v>Deep Cyclicals</x:v>
      </x:c>
      <x:c r="G6407" s="13" t="str">
        <x:v>grid_cqzdsc3v.xlsx</x:v>
      </x:c>
    </x:row>
    <x:row r="6408">
      <x:c r="A6408" s="15" t="n">
        <x:v>43344</x:v>
      </x:c>
      <x:c r="B6408" s="13" t="str">
        <x:v>AMERICANAS SA</x:v>
      </x:c>
      <x:c r="C6408" s="16" t="n">
        <x:v>-149.5433568438</x:v>
      </x:c>
      <x:c r="D6408" s="13" t="str">
        <x:v>Retail</x:v>
      </x:c>
      <x:c r="E6408" s="13" t="str">
        <x:v>Retail</x:v>
      </x:c>
      <x:c r="F6408" s="13" t="str">
        <x:v>Early Cyclicals</x:v>
      </x:c>
      <x:c r="G6408" s="13" t="str">
        <x:v>grid_cqzdsc3v.xlsx</x:v>
      </x:c>
    </x:row>
    <x:row r="6409">
      <x:c r="A6409" s="15" t="n">
        <x:v>43344</x:v>
      </x:c>
      <x:c r="B6409" s="13" t="str">
        <x:v>CIA BRASILEIRA DE DIS-PREF</x:v>
      </x:c>
      <x:c r="C6409" s="16" t="n">
        <x:v>1066.5503954411</x:v>
      </x:c>
      <x:c r="D6409" s="13" t="str">
        <x:v>Retail</x:v>
      </x:c>
      <x:c r="E6409" s="13" t="str">
        <x:v>Retail</x:v>
      </x:c>
      <x:c r="F6409" s="13" t="str">
        <x:v>Early Cyclicals</x:v>
      </x:c>
      <x:c r="G6409" s="13" t="str">
        <x:v>grid_cqzdsc3v.xlsx</x:v>
      </x:c>
    </x:row>
    <x:row r="6410">
      <x:c r="A6410" s="15" t="n">
        <x:v>43344</x:v>
      </x:c>
      <x:c r="B6410" s="13" t="str">
        <x:v>CVC BRASIL OPERADORA E AGENC</x:v>
      </x:c>
      <x:c r="C6410" s="16" t="n">
        <x:v>377.7082157589</x:v>
      </x:c>
      <x:c r="D6410" s="13" t="str">
        <x:v>Retail</x:v>
      </x:c>
      <x:c r="E6410" s="13" t="str">
        <x:v>Retail</x:v>
      </x:c>
      <x:c r="F6410" s="13" t="str">
        <x:v>Early Cyclicals</x:v>
      </x:c>
      <x:c r="G6410" s="13" t="str">
        <x:v>grid_cqzdsc3v.xlsx</x:v>
      </x:c>
    </x:row>
    <x:row r="6411">
      <x:c r="A6411" s="15" t="n">
        <x:v>43344</x:v>
      </x:c>
      <x:c r="B6411" s="13" t="str">
        <x:v>LOJAS AMERICANAS SA-PREF</x:v>
      </x:c>
      <x:c r="C6411" s="16" t="n">
        <x:v>895.176377863</x:v>
      </x:c>
      <x:c r="D6411" s="13" t="str">
        <x:v>Retail</x:v>
      </x:c>
      <x:c r="E6411" s="13" t="str">
        <x:v>Retail</x:v>
      </x:c>
      <x:c r="F6411" s="13" t="str">
        <x:v>Early Cyclicals</x:v>
      </x:c>
      <x:c r="G6411" s="13" t="str">
        <x:v>grid_cqzdsc3v.xlsx</x:v>
      </x:c>
    </x:row>
    <x:row r="6412">
      <x:c r="A6412" s="15" t="n">
        <x:v>43344</x:v>
      </x:c>
      <x:c r="B6412" s="13" t="str">
        <x:v>LOJAS RENNER S.A.</x:v>
      </x:c>
      <x:c r="C6412" s="16" t="n">
        <x:v>1057.0285406685</x:v>
      </x:c>
      <x:c r="D6412" s="13" t="str">
        <x:v>Retail</x:v>
      </x:c>
      <x:c r="E6412" s="13" t="str">
        <x:v>Retail</x:v>
      </x:c>
      <x:c r="F6412" s="13" t="str">
        <x:v>Early Cyclicals</x:v>
      </x:c>
      <x:c r="G6412" s="13" t="str">
        <x:v>grid_cqzdsc3v.xlsx</x:v>
      </x:c>
    </x:row>
    <x:row r="6413">
      <x:c r="A6413" s="15" t="n">
        <x:v>43344</x:v>
      </x:c>
      <x:c r="B6413" s="13" t="str">
        <x:v>MAGAZINE LUIZA SA</x:v>
      </x:c>
      <x:c r="C6413" s="16" t="n">
        <x:v>740.5638000219</x:v>
      </x:c>
      <x:c r="D6413" s="13" t="str">
        <x:v>Retail</x:v>
      </x:c>
      <x:c r="E6413" s="13" t="str">
        <x:v>Retail</x:v>
      </x:c>
      <x:c r="F6413" s="13" t="str">
        <x:v>Early Cyclicals</x:v>
      </x:c>
      <x:c r="G6413" s="13" t="str">
        <x:v>grid_cqzdsc3v.xlsx</x:v>
      </x:c>
    </x:row>
    <x:row r="6414">
      <x:c r="A6414" s="15" t="n">
        <x:v>43344</x:v>
      </x:c>
      <x:c r="B6414" s="13" t="str">
        <x:v>RAIA DROGASIL SA</x:v>
      </x:c>
      <x:c r="C6414" s="16" t="n">
        <x:v>693.2945443068</x:v>
      </x:c>
      <x:c r="D6414" s="13" t="str">
        <x:v>Retail</x:v>
      </x:c>
      <x:c r="E6414" s="13" t="str">
        <x:v>Retail</x:v>
      </x:c>
      <x:c r="F6414" s="13" t="str">
        <x:v>Early Cyclicals</x:v>
      </x:c>
      <x:c r="G6414" s="13" t="str">
        <x:v>grid_cqzdsc3v.xlsx</x:v>
      </x:c>
    </x:row>
    <x:row r="6415">
      <x:c r="A6415" s="15" t="n">
        <x:v>43344</x:v>
      </x:c>
      <x:c r="B6415" s="13" t="str">
        <x:v>VIA VAREJO SA</x:v>
      </x:c>
      <x:c r="C6415" s="16" t="n">
        <x:v>665.3150851507</x:v>
      </x:c>
      <x:c r="D6415" s="13" t="str">
        <x:v>Retail</x:v>
      </x:c>
      <x:c r="E6415" s="13" t="str">
        <x:v>Retail</x:v>
      </x:c>
      <x:c r="F6415" s="13" t="str">
        <x:v>Early Cyclicals</x:v>
      </x:c>
      <x:c r="G6415" s="13" t="str">
        <x:v>grid_cqzdsc3v.xlsx</x:v>
      </x:c>
    </x:row>
    <x:row r="6416">
      <x:c r="A6416" s="15" t="n">
        <x:v>43344</x:v>
      </x:c>
      <x:c r="B6416" s="13" t="str">
        <x:v>CIA SANEAMENTO BASICO DE SP</x:v>
      </x:c>
      <x:c r="C6416" s="16" t="n">
        <x:v>2819.1531744438</x:v>
      </x:c>
      <x:c r="D6416" s="13" t="str">
        <x:v>Sanitation</x:v>
      </x:c>
      <x:c r="E6416" s="13" t="str">
        <x:v>Utilities</x:v>
      </x:c>
      <x:c r="F6416" s="13" t="str">
        <x:v>Defensives</x:v>
      </x:c>
      <x:c r="G6416" s="13" t="str">
        <x:v>grid_cqzdsc3v.xlsx</x:v>
      </x:c>
    </x:row>
    <x:row r="6417">
      <x:c r="A6417" s="15" t="n">
        <x:v>43344</x:v>
      </x:c>
      <x:c r="B6417" s="13" t="str">
        <x:v>SMILES FIDELIDADE SA</x:v>
      </x:c>
      <x:c r="C6417" s="16" t="n">
        <x:v>612.438252537</x:v>
      </x:c>
      <x:c r="D6417" s="13" t="str">
        <x:v>TMT</x:v>
      </x:c>
      <x:c r="E6417" s="13" t="str">
        <x:v>TMT</x:v>
      </x:c>
      <x:c r="F6417" s="13" t="str">
        <x:v>Early Cyclicals</x:v>
      </x:c>
      <x:c r="G6417" s="13" t="str">
        <x:v>grid_cqzdsc3v.xlsx</x:v>
      </x:c>
    </x:row>
    <x:row r="6418">
      <x:c r="A6418" s="15" t="n">
        <x:v>43344</x:v>
      </x:c>
      <x:c r="B6418" s="13" t="str">
        <x:v>TELEFONICA BRASIL S.A.-PREF</x:v>
      </x:c>
      <x:c r="C6418" s="16" t="n">
        <x:v>5907.745420274</x:v>
      </x:c>
      <x:c r="D6418" s="13" t="str">
        <x:v>TMT</x:v>
      </x:c>
      <x:c r="E6418" s="13" t="str">
        <x:v>TMT</x:v>
      </x:c>
      <x:c r="F6418" s="13" t="str">
        <x:v>Early Cyclicals</x:v>
      </x:c>
      <x:c r="G6418" s="13" t="str">
        <x:v>grid_cqzdsc3v.xlsx</x:v>
      </x:c>
    </x:row>
    <x:row r="6419">
      <x:c r="A6419" s="15" t="n">
        <x:v>43344</x:v>
      </x:c>
      <x:c r="B6419" s="13" t="str">
        <x:v>TIM SA</x:v>
      </x:c>
      <x:c r="C6419" s="16" t="n">
        <x:v>1996.5248168329</x:v>
      </x:c>
      <x:c r="D6419" s="13" t="str">
        <x:v>TMT</x:v>
      </x:c>
      <x:c r="E6419" s="13" t="str">
        <x:v>TMT</x:v>
      </x:c>
      <x:c r="F6419" s="13" t="str">
        <x:v>Early Cyclicals</x:v>
      </x:c>
      <x:c r="G6419" s="13" t="str">
        <x:v>grid_cqzdsc3v.xlsx</x:v>
      </x:c>
    </x:row>
    <x:row r="6420">
      <x:c r="A6420" s="15" t="n">
        <x:v>43344</x:v>
      </x:c>
      <x:c r="B6420" s="13" t="str">
        <x:v>ECORODOVIAS INFRA E LOG SA</x:v>
      </x:c>
      <x:c r="C6420" s="16" t="n">
        <x:v>529.5254499945</x:v>
      </x:c>
      <x:c r="D6420" s="13" t="str">
        <x:v>Transportation</x:v>
      </x:c>
      <x:c r="E6420" s="13" t="str">
        <x:v>Transportation</x:v>
      </x:c>
      <x:c r="F6420" s="13" t="str">
        <x:v>Deep Cyclicals</x:v>
      </x:c>
      <x:c r="G6420" s="13" t="str">
        <x:v>grid_cqzdsc3v.xlsx</x:v>
      </x:c>
    </x:row>
    <x:row r="6421">
      <x:c r="A6421" s="15" t="n">
        <x:v>43344</x:v>
      </x:c>
      <x:c r="B6421" s="13" t="str">
        <x:v>GOL LINHAS AEREAS INT SA-PRE</x:v>
      </x:c>
      <x:c r="C6421" s="16" t="n">
        <x:v>88.1585995397</x:v>
      </x:c>
      <x:c r="D6421" s="13" t="str">
        <x:v>Transportation</x:v>
      </x:c>
      <x:c r="E6421" s="13" t="str">
        <x:v>Transportation</x:v>
      </x:c>
      <x:c r="F6421" s="13" t="str">
        <x:v>Deep Cyclicals</x:v>
      </x:c>
      <x:c r="G6421" s="13" t="str">
        <x:v>grid_cqzdsc3v.xlsx</x:v>
      </x:c>
    </x:row>
    <x:row r="6422">
      <x:c r="A6422" s="15" t="n">
        <x:v>43344</x:v>
      </x:c>
      <x:c r="B6422" s="13" t="str">
        <x:v>LOCALIZA RENT A CAR</x:v>
      </x:c>
      <x:c r="C6422" s="16" t="n">
        <x:v>823.0594577534</x:v>
      </x:c>
      <x:c r="D6422" s="13" t="str">
        <x:v>Transportation</x:v>
      </x:c>
      <x:c r="E6422" s="13" t="str">
        <x:v>Transportation</x:v>
      </x:c>
      <x:c r="F6422" s="13" t="str">
        <x:v>Deep Cyclicals</x:v>
      </x:c>
      <x:c r="G6422" s="13" t="str">
        <x:v>grid_cqzdsc3v.xlsx</x:v>
      </x:c>
    </x:row>
    <x:row r="6423">
      <x:c r="A6423" s="15" t="n">
        <x:v>43344</x:v>
      </x:c>
      <x:c r="B6423" s="13" t="str">
        <x:v>MOTIVA INFRAESTRUTURA DE MOB</x:v>
      </x:c>
      <x:c r="C6423" s="16" t="n">
        <x:v>1933.7964196822</x:v>
      </x:c>
      <x:c r="D6423" s="13" t="str">
        <x:v>Transportation</x:v>
      </x:c>
      <x:c r="E6423" s="13" t="str">
        <x:v>Transportation</x:v>
      </x:c>
      <x:c r="F6423" s="13" t="str">
        <x:v>Deep Cyclicals</x:v>
      </x:c>
      <x:c r="G6423" s="13" t="str">
        <x:v>grid_cqzdsc3v.xlsx</x:v>
      </x:c>
    </x:row>
    <x:row r="6424">
      <x:c r="A6424" s="15" t="n">
        <x:v>43344</x:v>
      </x:c>
      <x:c r="B6424" s="13" t="str">
        <x:v>RUMO SA</x:v>
      </x:c>
      <x:c r="C6424" s="16" t="n">
        <x:v>652.7906751123</x:v>
      </x:c>
      <x:c r="D6424" s="13" t="str">
        <x:v>Transportation</x:v>
      </x:c>
      <x:c r="E6424" s="13" t="str">
        <x:v>Transportation</x:v>
      </x:c>
      <x:c r="F6424" s="13" t="str">
        <x:v>Deep Cyclicals</x:v>
      </x:c>
      <x:c r="G6424" s="13" t="str">
        <x:v>grid_cqzdsc3v.xlsx</x:v>
      </x:c>
    </x:row>
    <x:row r="6425">
      <x:c r="A6425" s="15" t="n">
        <x:v>43344</x:v>
      </x:c>
      <x:c r="B6425" s="13" t="str">
        <x:v>AXIA ENERGIA SA</x:v>
      </x:c>
      <x:c r="C6425" s="16" t="n">
        <x:v>5532.0835689205</x:v>
      </x:c>
      <x:c r="D6425" s="13" t="str">
        <x:v>Utilities &amp; Energy</x:v>
      </x:c>
      <x:c r="E6425" s="13" t="str">
        <x:v>Utilities</x:v>
      </x:c>
      <x:c r="F6425" s="13" t="str">
        <x:v>Defensives</x:v>
      </x:c>
      <x:c r="G6425" s="13" t="str">
        <x:v>grid_cqzdsc3v.xlsx</x:v>
      </x:c>
    </x:row>
    <x:row r="6426">
      <x:c r="A6426" s="15" t="n">
        <x:v>43344</x:v>
      </x:c>
      <x:c r="B6426" s="13" t="str">
        <x:v>AXIA ENERGIA-PR B</x:v>
      </x:c>
      <x:c r="C6426" s="16" t="n">
        <x:v>5532.0835689205</x:v>
      </x:c>
      <x:c r="D6426" s="13" t="str">
        <x:v>Utilities &amp; Energy</x:v>
      </x:c>
      <x:c r="E6426" s="13" t="str">
        <x:v>Utilities</x:v>
      </x:c>
      <x:c r="F6426" s="13" t="str">
        <x:v>Defensives</x:v>
      </x:c>
      <x:c r="G6426" s="13" t="str">
        <x:v>grid_cqzdsc3v.xlsx</x:v>
      </x:c>
    </x:row>
    <x:row r="6427">
      <x:c r="A6427" s="15" t="n">
        <x:v>43344</x:v>
      </x:c>
      <x:c r="B6427" s="13" t="str">
        <x:v>CIA ENERGETICA MINAS GER-PRF</x:v>
      </x:c>
      <x:c r="C6427" s="16" t="n">
        <x:v>1926.2181246247</x:v>
      </x:c>
      <x:c r="D6427" s="13" t="str">
        <x:v>Utilities &amp; Energy</x:v>
      </x:c>
      <x:c r="E6427" s="13" t="str">
        <x:v>Utilities</x:v>
      </x:c>
      <x:c r="F6427" s="13" t="str">
        <x:v>Defensives</x:v>
      </x:c>
      <x:c r="G6427" s="13" t="str">
        <x:v>grid_cqzdsc3v.xlsx</x:v>
      </x:c>
    </x:row>
    <x:row r="6428">
      <x:c r="A6428" s="15" t="n">
        <x:v>43344</x:v>
      </x:c>
      <x:c r="B6428" s="13" t="str">
        <x:v>COMPANHIA PARANAENSE -PREF B</x:v>
      </x:c>
      <x:c r="C6428" s="16" t="n">
        <x:v>1500.5846100164</x:v>
      </x:c>
      <x:c r="D6428" s="13" t="str">
        <x:v>Utilities &amp; Energy</x:v>
      </x:c>
      <x:c r="E6428" s="13" t="str">
        <x:v>Utilities</x:v>
      </x:c>
      <x:c r="F6428" s="13" t="str">
        <x:v>Defensives</x:v>
      </x:c>
      <x:c r="G6428" s="13" t="str">
        <x:v>grid_cqzdsc3v.xlsx</x:v>
      </x:c>
    </x:row>
    <x:row r="6429">
      <x:c r="A6429" s="15" t="n">
        <x:v>43344</x:v>
      </x:c>
      <x:c r="B6429" s="13" t="str">
        <x:v>EDP - ENERGIAS DO BRASIL SA</x:v>
      </x:c>
      <x:c r="C6429" s="16" t="n">
        <x:v>853.0483068493</x:v>
      </x:c>
      <x:c r="D6429" s="13" t="str">
        <x:v>Utilities &amp; Energy</x:v>
      </x:c>
      <x:c r="E6429" s="13" t="str">
        <x:v>Utilities</x:v>
      </x:c>
      <x:c r="F6429" s="13" t="str">
        <x:v>Defensives</x:v>
      </x:c>
      <x:c r="G6429" s="13" t="str">
        <x:v>grid_cqzdsc3v.xlsx</x:v>
      </x:c>
    </x:row>
    <x:row r="6430">
      <x:c r="A6430" s="15" t="n">
        <x:v>43344</x:v>
      </x:c>
      <x:c r="B6430" s="13" t="str">
        <x:v>ENGIE BRASIL ENERGIA SA</x:v>
      </x:c>
      <x:c r="C6430" s="16" t="n">
        <x:v>2366.4203474411</x:v>
      </x:c>
      <x:c r="D6430" s="13" t="str">
        <x:v>Utilities &amp; Energy</x:v>
      </x:c>
      <x:c r="E6430" s="13" t="str">
        <x:v>Utilities</x:v>
      </x:c>
      <x:c r="F6430" s="13" t="str">
        <x:v>Defensives</x:v>
      </x:c>
      <x:c r="G6430" s="13" t="str">
        <x:v>grid_cqzdsc3v.xlsx</x:v>
      </x:c>
    </x:row>
    <x:row r="6431">
      <x:c r="A6431" s="15" t="n">
        <x:v>43344</x:v>
      </x:c>
      <x:c r="B6431" s="13" t="str">
        <x:v>EQUATORIAL SA - ORD</x:v>
      </x:c>
      <x:c r="C6431" s="16" t="n">
        <x:v>841.0122052384</x:v>
      </x:c>
      <x:c r="D6431" s="13" t="str">
        <x:v>Utilities &amp; Energy</x:v>
      </x:c>
      <x:c r="E6431" s="13" t="str">
        <x:v>Utilities</x:v>
      </x:c>
      <x:c r="F6431" s="13" t="str">
        <x:v>Defensives</x:v>
      </x:c>
      <x:c r="G6431" s="13" t="str">
        <x:v>grid_cqzdsc3v.xlsx</x:v>
      </x:c>
    </x:row>
    <x:row r="6432">
      <x:c r="A6432" s="15" t="n">
        <x:v>43344</x:v>
      </x:c>
      <x:c r="B6432" s="13" t="str">
        <x:v>TRANSMISSORA ALIANCA DE-UNIT</x:v>
      </x:c>
      <x:c r="C6432" s="16" t="n">
        <x:v>767.2790817315</x:v>
      </x:c>
      <x:c r="D6432" s="13" t="str">
        <x:v>Utilities &amp; Energy</x:v>
      </x:c>
      <x:c r="E6432" s="13" t="str">
        <x:v>Utilities</x:v>
      </x:c>
      <x:c r="F6432" s="13" t="str">
        <x:v>Defensives</x:v>
      </x:c>
      <x:c r="G6432" s="13" t="str">
        <x:v>grid_cqzdsc3v.xlsx</x:v>
      </x:c>
    </x:row>
    <x:row r="6433">
      <x:c r="A6433" s="15" t="n">
        <x:v>43374</x:v>
      </x:c>
      <x:c r="B6433" s="13" t="str">
        <x:v>BANCO BRADESCO S.A.</x:v>
      </x:c>
      <x:c r="C6433" s="16" t="n">
        <x:v>22270.4996520329</x:v>
      </x:c>
      <x:c r="D6433" s="13" t="str">
        <x:v>Banks</x:v>
      </x:c>
      <x:c r="E6433" s="13" t="str">
        <x:v>Banks</x:v>
      </x:c>
      <x:c r="F6433" s="13" t="str">
        <x:v>Financials</x:v>
      </x:c>
      <x:c r="G6433" s="13" t="str">
        <x:v>grid_cqzdsc3v.xlsx</x:v>
      </x:c>
    </x:row>
    <x:row r="6434">
      <x:c r="A6434" s="15" t="n">
        <x:v>43374</x:v>
      </x:c>
      <x:c r="B6434" s="13" t="str">
        <x:v>BANCO BRADESCO SA-PREF</x:v>
      </x:c>
      <x:c r="C6434" s="16" t="n">
        <x:v>22270.4996520329</x:v>
      </x:c>
      <x:c r="D6434" s="13" t="str">
        <x:v>Banks</x:v>
      </x:c>
      <x:c r="E6434" s="13" t="str">
        <x:v>Banks</x:v>
      </x:c>
      <x:c r="F6434" s="13" t="str">
        <x:v>Financials</x:v>
      </x:c>
      <x:c r="G6434" s="13" t="str">
        <x:v>grid_cqzdsc3v.xlsx</x:v>
      </x:c>
    </x:row>
    <x:row r="6435">
      <x:c r="A6435" s="15" t="n">
        <x:v>43374</x:v>
      </x:c>
      <x:c r="B6435" s="13" t="str">
        <x:v>BANCO DO BRASIL S.A.</x:v>
      </x:c>
      <x:c r="C6435" s="16" t="n">
        <x:v>15045.3295440658</x:v>
      </x:c>
      <x:c r="D6435" s="13" t="str">
        <x:v>Banks</x:v>
      </x:c>
      <x:c r="E6435" s="13" t="str">
        <x:v>Banks</x:v>
      </x:c>
      <x:c r="F6435" s="13" t="str">
        <x:v>Financials</x:v>
      </x:c>
      <x:c r="G6435" s="13" t="str">
        <x:v>grid_cqzdsc3v.xlsx</x:v>
      </x:c>
    </x:row>
    <x:row r="6436">
      <x:c r="A6436" s="15" t="n">
        <x:v>43374</x:v>
      </x:c>
      <x:c r="B6436" s="13" t="str">
        <x:v>BANCO SANTANDER  BRASIL-UNIT</x:v>
      </x:c>
      <x:c r="C6436" s="16" t="n">
        <x:v>12771.4762527562</x:v>
      </x:c>
      <x:c r="D6436" s="13" t="str">
        <x:v>Banks</x:v>
      </x:c>
      <x:c r="E6436" s="13" t="str">
        <x:v>Banks</x:v>
      </x:c>
      <x:c r="F6436" s="13" t="str">
        <x:v>Financials</x:v>
      </x:c>
      <x:c r="G6436" s="13" t="str">
        <x:v>grid_cqzdsc3v.xlsx</x:v>
      </x:c>
    </x:row>
    <x:row r="6437">
      <x:c r="A6437" s="15" t="n">
        <x:v>43374</x:v>
      </x:c>
      <x:c r="B6437" s="13" t="str">
        <x:v>ITAU UNIBANCO HOLDING S-PREF</x:v>
      </x:c>
      <x:c r="C6437" s="16" t="n">
        <x:v>28538.5877700384</x:v>
      </x:c>
      <x:c r="D6437" s="13" t="str">
        <x:v>Banks</x:v>
      </x:c>
      <x:c r="E6437" s="13" t="str">
        <x:v>Banks</x:v>
      </x:c>
      <x:c r="F6437" s="13" t="str">
        <x:v>Financials</x:v>
      </x:c>
      <x:c r="G6437" s="13" t="str">
        <x:v>grid_cqzdsc3v.xlsx</x:v>
      </x:c>
    </x:row>
    <x:row r="6438">
      <x:c r="A6438" s="15" t="n">
        <x:v>43374</x:v>
      </x:c>
      <x:c r="B6438" s="13" t="str">
        <x:v>EMBRAER SA</x:v>
      </x:c>
      <x:c r="C6438" s="16" t="n">
        <x:v>809.0585734137</x:v>
      </x:c>
      <x:c r="D6438" s="13" t="str">
        <x:v>Capital Goods</x:v>
      </x:c>
      <x:c r="E6438" s="13" t="str">
        <x:v>Capital Goods</x:v>
      </x:c>
      <x:c r="F6438" s="13" t="str">
        <x:v>Deep Cyclicals</x:v>
      </x:c>
      <x:c r="G6438" s="13" t="str">
        <x:v>grid_cqzdsc3v.xlsx</x:v>
      </x:c>
    </x:row>
    <x:row r="6439">
      <x:c r="A6439" s="15" t="n">
        <x:v>43374</x:v>
      </x:c>
      <x:c r="B6439" s="13" t="str">
        <x:v>WEG SA</x:v>
      </x:c>
      <x:c r="C6439" s="16" t="n">
        <x:v>1537.481214948</x:v>
      </x:c>
      <x:c r="D6439" s="13" t="str">
        <x:v>Capital Goods</x:v>
      </x:c>
      <x:c r="E6439" s="13" t="str">
        <x:v>Capital Goods</x:v>
      </x:c>
      <x:c r="F6439" s="13" t="str">
        <x:v>Deep Cyclicals</x:v>
      </x:c>
      <x:c r="G6439" s="13" t="str">
        <x:v>grid_cqzdsc3v.xlsx</x:v>
      </x:c>
    </x:row>
    <x:row r="6440">
      <x:c r="A6440" s="15" t="n">
        <x:v>43374</x:v>
      </x:c>
      <x:c r="B6440" s="13" t="str">
        <x:v>COGNA EDUCACAO</x:v>
      </x:c>
      <x:c r="C6440" s="16" t="n">
        <x:v>1876.3726122082</x:v>
      </x:c>
      <x:c r="D6440" s="13" t="str">
        <x:v>Education</x:v>
      </x:c>
      <x:c r="E6440" s="13" t="str">
        <x:v>Education</x:v>
      </x:c>
      <x:c r="F6440" s="13" t="str">
        <x:v>Early Cyclicals</x:v>
      </x:c>
      <x:c r="G6440" s="13" t="str">
        <x:v>grid_cqzdsc3v.xlsx</x:v>
      </x:c>
    </x:row>
    <x:row r="6441">
      <x:c r="A6441" s="15" t="n">
        <x:v>43374</x:v>
      </x:c>
      <x:c r="B6441" s="13" t="str">
        <x:v>YDUQS PARTICIPACOES SA</x:v>
      </x:c>
      <x:c r="C6441" s="16" t="n">
        <x:v>889.6340388822</x:v>
      </x:c>
      <x:c r="D6441" s="13" t="str">
        <x:v>Education</x:v>
      </x:c>
      <x:c r="E6441" s="13" t="str">
        <x:v>Education</x:v>
      </x:c>
      <x:c r="F6441" s="13" t="str">
        <x:v>Early Cyclicals</x:v>
      </x:c>
      <x:c r="G6441" s="13" t="str">
        <x:v>grid_cqzdsc3v.xlsx</x:v>
      </x:c>
    </x:row>
    <x:row r="6442">
      <x:c r="A6442" s="15" t="n">
        <x:v>43374</x:v>
      </x:c>
      <x:c r="B6442" s="13" t="str">
        <x:v>B3 SA-BRASIL BOLSA BALCAO</x:v>
      </x:c>
      <x:c r="C6442" s="16" t="n">
        <x:v>2768.0331256986</x:v>
      </x:c>
      <x:c r="D6442" s="13" t="str">
        <x:v>Financials Non-Banks</x:v>
      </x:c>
      <x:c r="E6442" s="13" t="str">
        <x:v>Financials Non-Banks</x:v>
      </x:c>
      <x:c r="F6442" s="13" t="str">
        <x:v>Financials</x:v>
      </x:c>
      <x:c r="G6442" s="13" t="str">
        <x:v>grid_cqzdsc3v.xlsx</x:v>
      </x:c>
    </x:row>
    <x:row r="6443">
      <x:c r="A6443" s="15" t="n">
        <x:v>43374</x:v>
      </x:c>
      <x:c r="B6443" s="13" t="str">
        <x:v>BB SEGURIDADE PARTICIPACOES</x:v>
      </x:c>
      <x:c r="C6443" s="16" t="n">
        <x:v>4171.4252442301</x:v>
      </x:c>
      <x:c r="D6443" s="13" t="str">
        <x:v>Financials Non-Banks</x:v>
      </x:c>
      <x:c r="E6443" s="13" t="str">
        <x:v>Financials Non-Banks</x:v>
      </x:c>
      <x:c r="F6443" s="13" t="str">
        <x:v>Financials</x:v>
      </x:c>
      <x:c r="G6443" s="13" t="str">
        <x:v>grid_cqzdsc3v.xlsx</x:v>
      </x:c>
    </x:row>
    <x:row r="6444">
      <x:c r="A6444" s="15" t="n">
        <x:v>43374</x:v>
      </x:c>
      <x:c r="B6444" s="13" t="str">
        <x:v>CIELO SA - INSTITUICAO DE PA</x:v>
      </x:c>
      <x:c r="C6444" s="16" t="n">
        <x:v>3585.1076860493</x:v>
      </x:c>
      <x:c r="D6444" s="13" t="str">
        <x:v>Financials Non-Banks</x:v>
      </x:c>
      <x:c r="E6444" s="13" t="str">
        <x:v>Financials Non-Banks</x:v>
      </x:c>
      <x:c r="F6444" s="13" t="str">
        <x:v>Financials</x:v>
      </x:c>
      <x:c r="G6444" s="13" t="str">
        <x:v>grid_cqzdsc3v.xlsx</x:v>
      </x:c>
    </x:row>
    <x:row r="6445">
      <x:c r="A6445" s="15" t="n">
        <x:v>43374</x:v>
      </x:c>
      <x:c r="B6445" s="13" t="str">
        <x:v>ITAUSA SA</x:v>
      </x:c>
      <x:c r="C6445" s="16" t="n">
        <x:v>11262.6599543233</x:v>
      </x:c>
      <x:c r="D6445" s="13" t="str">
        <x:v>Financials Non-Banks</x:v>
      </x:c>
      <x:c r="E6445" s="13" t="str">
        <x:v>Financials Non-Banks</x:v>
      </x:c>
      <x:c r="F6445" s="13" t="str">
        <x:v>Financials</x:v>
      </x:c>
      <x:c r="G6445" s="13" t="str">
        <x:v>grid_cqzdsc3v.xlsx</x:v>
      </x:c>
    </x:row>
    <x:row r="6446">
      <x:c r="A6446" s="15" t="n">
        <x:v>43374</x:v>
      </x:c>
      <x:c r="B6446" s="13" t="str">
        <x:v>AMBEV SA</x:v>
      </x:c>
      <x:c r="C6446" s="16" t="n">
        <x:v>13618.690387463</x:v>
      </x:c>
      <x:c r="D6446" s="13" t="str">
        <x:v>Food &amp; Beverages</x:v>
      </x:c>
      <x:c r="E6446" s="13" t="str">
        <x:v>Agri, Food &amp; Beverages</x:v>
      </x:c>
      <x:c r="F6446" s="13" t="str">
        <x:v>Defensives</x:v>
      </x:c>
      <x:c r="G6446" s="13" t="str">
        <x:v>grid_cqzdsc3v.xlsx</x:v>
      </x:c>
    </x:row>
    <x:row r="6447">
      <x:c r="A6447" s="15" t="n">
        <x:v>43374</x:v>
      </x:c>
      <x:c r="B6447" s="13" t="str">
        <x:v>BRF SA</x:v>
      </x:c>
      <x:c r="C6447" s="16" t="n">
        <x:v>-412.1699673425</x:v>
      </x:c>
      <x:c r="D6447" s="13" t="str">
        <x:v>Food &amp; Beverages</x:v>
      </x:c>
      <x:c r="E6447" s="13" t="str">
        <x:v>Agri, Food &amp; Beverages</x:v>
      </x:c>
      <x:c r="F6447" s="13" t="str">
        <x:v>Defensives</x:v>
      </x:c>
      <x:c r="G6447" s="13" t="str">
        <x:v>grid_cqzdsc3v.xlsx</x:v>
      </x:c>
    </x:row>
    <x:row r="6448">
      <x:c r="A6448" s="15" t="n">
        <x:v>43374</x:v>
      </x:c>
      <x:c r="B6448" s="13" t="str">
        <x:v>JBS SA</x:v>
      </x:c>
      <x:c r="C6448" s="16" t="n">
        <x:v>3708.3252641315</x:v>
      </x:c>
      <x:c r="D6448" s="13" t="str">
        <x:v>Food &amp; Beverages</x:v>
      </x:c>
      <x:c r="E6448" s="13" t="str">
        <x:v>Agri, Food &amp; Beverages</x:v>
      </x:c>
      <x:c r="F6448" s="13" t="str">
        <x:v>Defensives</x:v>
      </x:c>
      <x:c r="G6448" s="13" t="str">
        <x:v>grid_cqzdsc3v.xlsx</x:v>
      </x:c>
    </x:row>
    <x:row r="6449">
      <x:c r="A6449" s="15" t="n">
        <x:v>43374</x:v>
      </x:c>
      <x:c r="B6449" s="13" t="str">
        <x:v>MBRF GLOBAL FOODS COMPANY SA</x:v>
      </x:c>
      <x:c r="C6449" s="16" t="n">
        <x:v>350.3589793315</x:v>
      </x:c>
      <x:c r="D6449" s="13" t="str">
        <x:v>Food &amp; Beverages</x:v>
      </x:c>
      <x:c r="E6449" s="13" t="str">
        <x:v>Agri, Food &amp; Beverages</x:v>
      </x:c>
      <x:c r="F6449" s="13" t="str">
        <x:v>Defensives</x:v>
      </x:c>
      <x:c r="G6449" s="13" t="str">
        <x:v>grid_cqzdsc3v.xlsx</x:v>
      </x:c>
    </x:row>
    <x:row r="6450">
      <x:c r="A6450" s="15" t="n">
        <x:v>43374</x:v>
      </x:c>
      <x:c r="B6450" s="13" t="str">
        <x:v>FLEURY SA</x:v>
      </x:c>
      <x:c r="C6450" s="16" t="n">
        <x:v>392.0832338411</x:v>
      </x:c>
      <x:c r="D6450" s="13" t="str">
        <x:v>Health Care</x:v>
      </x:c>
      <x:c r="E6450" s="13" t="str">
        <x:v>Health Care</x:v>
      </x:c>
      <x:c r="F6450" s="13" t="str">
        <x:v>Defensives</x:v>
      </x:c>
      <x:c r="G6450" s="13" t="str">
        <x:v>grid_cqzdsc3v.xlsx</x:v>
      </x:c>
    </x:row>
    <x:row r="6451">
      <x:c r="A6451" s="15" t="n">
        <x:v>43374</x:v>
      </x:c>
      <x:c r="B6451" s="13" t="str">
        <x:v>HYPERA SA</x:v>
      </x:c>
      <x:c r="C6451" s="16" t="n">
        <x:v>1215.1446910247</x:v>
      </x:c>
      <x:c r="D6451" s="13" t="str">
        <x:v>Health Care</x:v>
      </x:c>
      <x:c r="E6451" s="13" t="str">
        <x:v>Health Care</x:v>
      </x:c>
      <x:c r="F6451" s="13" t="str">
        <x:v>Defensives</x:v>
      </x:c>
      <x:c r="G6451" s="13" t="str">
        <x:v>grid_cqzdsc3v.xlsx</x:v>
      </x:c>
    </x:row>
    <x:row r="6452">
      <x:c r="A6452" s="15" t="n">
        <x:v>43374</x:v>
      </x:c>
      <x:c r="B6452" s="13" t="str">
        <x:v>QUALICORP CONS E CORR SEG SA</x:v>
      </x:c>
      <x:c r="C6452" s="16" t="n">
        <x:v>541.4768542685</x:v>
      </x:c>
      <x:c r="D6452" s="13" t="str">
        <x:v>Health Care</x:v>
      </x:c>
      <x:c r="E6452" s="13" t="str">
        <x:v>Health Care</x:v>
      </x:c>
      <x:c r="F6452" s="13" t="str">
        <x:v>Defensives</x:v>
      </x:c>
      <x:c r="G6452" s="13" t="str">
        <x:v>grid_cqzdsc3v.xlsx</x:v>
      </x:c>
    </x:row>
    <x:row r="6453">
      <x:c r="A6453" s="15" t="n">
        <x:v>43374</x:v>
      </x:c>
      <x:c r="B6453" s="13" t="str">
        <x:v>CYRELA BRAZIL REALTY SA EMP</x:v>
      </x:c>
      <x:c r="C6453" s="16" t="n">
        <x:v>289.6152328767</x:v>
      </x:c>
      <x:c r="D6453" s="13" t="str">
        <x:v>Homebuilders</x:v>
      </x:c>
      <x:c r="E6453" s="13" t="str">
        <x:v>Real Estate</x:v>
      </x:c>
      <x:c r="F6453" s="13" t="str">
        <x:v>Early Cyclicals</x:v>
      </x:c>
      <x:c r="G6453" s="13" t="str">
        <x:v>grid_cqzdsc3v.xlsx</x:v>
      </x:c>
    </x:row>
    <x:row r="6454">
      <x:c r="A6454" s="15" t="n">
        <x:v>43374</x:v>
      </x:c>
      <x:c r="B6454" s="13" t="str">
        <x:v>MRV ENGENHARIA</x:v>
      </x:c>
      <x:c r="C6454" s="16" t="n">
        <x:v>833.697285611</x:v>
      </x:c>
      <x:c r="D6454" s="13" t="str">
        <x:v>Homebuilders</x:v>
      </x:c>
      <x:c r="E6454" s="13" t="str">
        <x:v>Real Estate</x:v>
      </x:c>
      <x:c r="F6454" s="13" t="str">
        <x:v>Early Cyclicals</x:v>
      </x:c>
      <x:c r="G6454" s="13" t="str">
        <x:v>grid_cqzdsc3v.xlsx</x:v>
      </x:c>
    </x:row>
    <x:row r="6455">
      <x:c r="A6455" s="15" t="n">
        <x:v>43374</x:v>
      </x:c>
      <x:c r="B6455" s="13" t="str">
        <x:v>BR MALLS PARTICIPACOES SA</x:v>
      </x:c>
      <x:c r="C6455" s="16" t="n">
        <x:v>632.2824444493</x:v>
      </x:c>
      <x:c r="D6455" s="13" t="str">
        <x:v>Income Properties</x:v>
      </x:c>
      <x:c r="E6455" s="13" t="str">
        <x:v>Real Estate</x:v>
      </x:c>
      <x:c r="F6455" s="13" t="str">
        <x:v>Early Cyclicals</x:v>
      </x:c>
      <x:c r="G6455" s="13" t="str">
        <x:v>grid_cqzdsc3v.xlsx</x:v>
      </x:c>
    </x:row>
    <x:row r="6456">
      <x:c r="A6456" s="15" t="n">
        <x:v>43374</x:v>
      </x:c>
      <x:c r="B6456" s="13" t="str">
        <x:v>IGUATEMI EMP DE SHOPPING</x:v>
      </x:c>
      <x:c r="C6456" s="16" t="n">
        <x:v>283.0340040767</x:v>
      </x:c>
      <x:c r="D6456" s="13" t="str">
        <x:v>Income Properties</x:v>
      </x:c>
      <x:c r="E6456" s="13" t="str">
        <x:v>Real Estate</x:v>
      </x:c>
      <x:c r="F6456" s="13" t="str">
        <x:v>Early Cyclicals</x:v>
      </x:c>
      <x:c r="G6456" s="13" t="str">
        <x:v>grid_cqzdsc3v.xlsx</x:v>
      </x:c>
    </x:row>
    <x:row r="6457">
      <x:c r="A6457" s="15" t="n">
        <x:v>43374</x:v>
      </x:c>
      <x:c r="B6457" s="13" t="str">
        <x:v>MULTIPLAN EMPREENDIMENTOS</x:v>
      </x:c>
      <x:c r="C6457" s="16" t="n">
        <x:v>517.408889074</x:v>
      </x:c>
      <x:c r="D6457" s="13" t="str">
        <x:v>Income Properties</x:v>
      </x:c>
      <x:c r="E6457" s="13" t="str">
        <x:v>Real Estate</x:v>
      </x:c>
      <x:c r="F6457" s="13" t="str">
        <x:v>Early Cyclicals</x:v>
      </x:c>
      <x:c r="G6457" s="13" t="str">
        <x:v>grid_cqzdsc3v.xlsx</x:v>
      </x:c>
    </x:row>
    <x:row r="6458">
      <x:c r="A6458" s="15" t="n">
        <x:v>43374</x:v>
      </x:c>
      <x:c r="B6458" s="13" t="str">
        <x:v>BRADESPAR SA -PREF</x:v>
      </x:c>
      <x:c r="C6458" s="16" t="n">
        <x:v>738.301369863</x:v>
      </x:c>
      <x:c r="D6458" s="13" t="str">
        <x:v>Metals &amp; Mining</x:v>
      </x:c>
      <x:c r="E6458" s="13" t="str">
        <x:v>Metals &amp; Mining</x:v>
      </x:c>
      <x:c r="F6458" s="13" t="str">
        <x:v>Deep Cyclicals</x:v>
      </x:c>
      <x:c r="G6458" s="13" t="str">
        <x:v>grid_cqzdsc3v.xlsx</x:v>
      </x:c>
    </x:row>
    <x:row r="6459">
      <x:c r="A6459" s="15" t="n">
        <x:v>43374</x:v>
      </x:c>
      <x:c r="B6459" s="13" t="str">
        <x:v>CIA SIDERURGICA NACIONAL SA</x:v>
      </x:c>
      <x:c r="C6459" s="16" t="n">
        <x:v>1692.291775474</x:v>
      </x:c>
      <x:c r="D6459" s="13" t="str">
        <x:v>Metals &amp; Mining</x:v>
      </x:c>
      <x:c r="E6459" s="13" t="str">
        <x:v>Metals &amp; Mining</x:v>
      </x:c>
      <x:c r="F6459" s="13" t="str">
        <x:v>Deep Cyclicals</x:v>
      </x:c>
      <x:c r="G6459" s="13" t="str">
        <x:v>grid_cqzdsc3v.xlsx</x:v>
      </x:c>
    </x:row>
    <x:row r="6460">
      <x:c r="A6460" s="15" t="n">
        <x:v>43374</x:v>
      </x:c>
      <x:c r="B6460" s="13" t="str">
        <x:v>GERDAU SA-PREF</x:v>
      </x:c>
      <x:c r="C6460" s="16" t="n">
        <x:v>2593.3004372164</x:v>
      </x:c>
      <x:c r="D6460" s="13" t="str">
        <x:v>Metals &amp; Mining</x:v>
      </x:c>
      <x:c r="E6460" s="13" t="str">
        <x:v>Metals &amp; Mining</x:v>
      </x:c>
      <x:c r="F6460" s="13" t="str">
        <x:v>Deep Cyclicals</x:v>
      </x:c>
      <x:c r="G6460" s="13" t="str">
        <x:v>grid_cqzdsc3v.xlsx</x:v>
      </x:c>
    </x:row>
    <x:row r="6461">
      <x:c r="A6461" s="15" t="n">
        <x:v>43374</x:v>
      </x:c>
      <x:c r="B6461" s="13" t="str">
        <x:v>USINAS SIDER MINAS GER-PF A</x:v>
      </x:c>
      <x:c r="C6461" s="16" t="n">
        <x:v>952.0407543233</x:v>
      </x:c>
      <x:c r="D6461" s="13" t="str">
        <x:v>Metals &amp; Mining</x:v>
      </x:c>
      <x:c r="E6461" s="13" t="str">
        <x:v>Metals &amp; Mining</x:v>
      </x:c>
      <x:c r="F6461" s="13" t="str">
        <x:v>Deep Cyclicals</x:v>
      </x:c>
      <x:c r="G6461" s="13" t="str">
        <x:v>grid_cqzdsc3v.xlsx</x:v>
      </x:c>
    </x:row>
    <x:row r="6462">
      <x:c r="A6462" s="15" t="n">
        <x:v>43374</x:v>
      </x:c>
      <x:c r="B6462" s="13" t="str">
        <x:v>VALE SA</x:v>
      </x:c>
      <x:c r="C6462" s="16" t="n">
        <x:v>33897.0217542137</x:v>
      </x:c>
      <x:c r="D6462" s="13" t="str">
        <x:v>Metals &amp; Mining</x:v>
      </x:c>
      <x:c r="E6462" s="13" t="str">
        <x:v>Metals &amp; Mining</x:v>
      </x:c>
      <x:c r="F6462" s="13" t="str">
        <x:v>Deep Cyclicals</x:v>
      </x:c>
      <x:c r="G6462" s="13" t="str">
        <x:v>grid_cqzdsc3v.xlsx</x:v>
      </x:c>
    </x:row>
    <x:row r="6463">
      <x:c r="A6463" s="15" t="n">
        <x:v>43374</x:v>
      </x:c>
      <x:c r="B6463" s="13" t="str">
        <x:v>BRASKEM SA-PREF A</x:v>
      </x:c>
      <x:c r="C6463" s="16" t="n">
        <x:v>2914.6092403726</x:v>
      </x:c>
      <x:c r="D6463" s="13" t="str">
        <x:v>Oil, Gas &amp; Petrochemicals</x:v>
      </x:c>
      <x:c r="E6463" s="13" t="str">
        <x:v>Oil, Gas &amp; Petrochemicals</x:v>
      </x:c>
      <x:c r="F6463" s="13" t="str">
        <x:v>Deep Cyclicals</x:v>
      </x:c>
      <x:c r="G6463" s="13" t="str">
        <x:v>grid_cqzdsc3v.xlsx</x:v>
      </x:c>
    </x:row>
    <x:row r="6464">
      <x:c r="A6464" s="15" t="n">
        <x:v>43374</x:v>
      </x:c>
      <x:c r="B6464" s="13" t="str">
        <x:v>COSAN SA</x:v>
      </x:c>
      <x:c r="C6464" s="16" t="n">
        <x:v>1270.0843474411</x:v>
      </x:c>
      <x:c r="D6464" s="13" t="str">
        <x:v>Oil, Gas &amp; Petrochemicals</x:v>
      </x:c>
      <x:c r="E6464" s="13" t="str">
        <x:v>Oil, Gas &amp; Petrochemicals</x:v>
      </x:c>
      <x:c r="F6464" s="13" t="str">
        <x:v>Deep Cyclicals</x:v>
      </x:c>
      <x:c r="G6464" s="13" t="str">
        <x:v>grid_cqzdsc3v.xlsx</x:v>
      </x:c>
    </x:row>
    <x:row r="6465">
      <x:c r="A6465" s="15" t="n">
        <x:v>43374</x:v>
      </x:c>
      <x:c r="B6465" s="13" t="str">
        <x:v>PETROBRAS - PETROLEO BRAS</x:v>
      </x:c>
      <x:c r="C6465" s="16" t="n">
        <x:v>46121.9973316384</x:v>
      </x:c>
      <x:c r="D6465" s="13" t="str">
        <x:v>Oil, Gas &amp; Petrochemicals</x:v>
      </x:c>
      <x:c r="E6465" s="13" t="str">
        <x:v>Oil, Gas &amp; Petrochemicals</x:v>
      </x:c>
      <x:c r="F6465" s="13" t="str">
        <x:v>Deep Cyclicals</x:v>
      </x:c>
      <x:c r="G6465" s="13" t="str">
        <x:v>grid_cqzdsc3v.xlsx</x:v>
      </x:c>
    </x:row>
    <x:row r="6466">
      <x:c r="A6466" s="15" t="n">
        <x:v>43374</x:v>
      </x:c>
      <x:c r="B6466" s="13" t="str">
        <x:v>ULTRAPAR PARTICIPACOES SA</x:v>
      </x:c>
      <x:c r="C6466" s="16" t="n">
        <x:v>1411.5604630795</x:v>
      </x:c>
      <x:c r="D6466" s="13" t="str">
        <x:v>Oil, Gas &amp; Petrochemicals</x:v>
      </x:c>
      <x:c r="E6466" s="13" t="str">
        <x:v>Oil, Gas &amp; Petrochemicals</x:v>
      </x:c>
      <x:c r="F6466" s="13" t="str">
        <x:v>Deep Cyclicals</x:v>
      </x:c>
      <x:c r="G6466" s="13" t="str">
        <x:v>grid_cqzdsc3v.xlsx</x:v>
      </x:c>
    </x:row>
    <x:row r="6467">
      <x:c r="A6467" s="15" t="n">
        <x:v>43374</x:v>
      </x:c>
      <x:c r="B6467" s="13" t="str">
        <x:v>FIBRIA CELULOSE S/A</x:v>
      </x:c>
      <x:c r="C6467" s="16" t="n">
        <x:v>4789.0244608</x:v>
      </x:c>
      <x:c r="D6467" s="13" t="str">
        <x:v>Pulp &amp; Paper</x:v>
      </x:c>
      <x:c r="E6467" s="13" t="str">
        <x:v>Pulp &amp; Paper</x:v>
      </x:c>
      <x:c r="F6467" s="13" t="str">
        <x:v>Deep Cyclicals</x:v>
      </x:c>
      <x:c r="G6467" s="13" t="str">
        <x:v>grid_cqzdsc3v.xlsx</x:v>
      </x:c>
    </x:row>
    <x:row r="6468">
      <x:c r="A6468" s="15" t="n">
        <x:v>43374</x:v>
      </x:c>
      <x:c r="B6468" s="13" t="str">
        <x:v>KLABIN SA - UNIT</x:v>
      </x:c>
      <x:c r="C6468" s="16" t="n">
        <x:v>1488.9616671562</x:v>
      </x:c>
      <x:c r="D6468" s="13" t="str">
        <x:v>Pulp &amp; Paper</x:v>
      </x:c>
      <x:c r="E6468" s="13" t="str">
        <x:v>Pulp &amp; Paper</x:v>
      </x:c>
      <x:c r="F6468" s="13" t="str">
        <x:v>Deep Cyclicals</x:v>
      </x:c>
      <x:c r="G6468" s="13" t="str">
        <x:v>grid_cqzdsc3v.xlsx</x:v>
      </x:c>
    </x:row>
    <x:row r="6469">
      <x:c r="A6469" s="15" t="n">
        <x:v>43374</x:v>
      </x:c>
      <x:c r="B6469" s="13" t="str">
        <x:v>SUZANO SA</x:v>
      </x:c>
      <x:c r="C6469" s="16" t="n">
        <x:v>4272.7686803288</x:v>
      </x:c>
      <x:c r="D6469" s="13" t="str">
        <x:v>Pulp &amp; Paper</x:v>
      </x:c>
      <x:c r="E6469" s="13" t="str">
        <x:v>Pulp &amp; Paper</x:v>
      </x:c>
      <x:c r="F6469" s="13" t="str">
        <x:v>Deep Cyclicals</x:v>
      </x:c>
      <x:c r="G6469" s="13" t="str">
        <x:v>grid_cqzdsc3v.xlsx</x:v>
      </x:c>
    </x:row>
    <x:row r="6470">
      <x:c r="A6470" s="15" t="n">
        <x:v>43374</x:v>
      </x:c>
      <x:c r="B6470" s="13" t="str">
        <x:v>AMERICANAS SA</x:v>
      </x:c>
      <x:c r="C6470" s="16" t="n">
        <x:v>-114.7285533808</x:v>
      </x:c>
      <x:c r="D6470" s="13" t="str">
        <x:v>Retail</x:v>
      </x:c>
      <x:c r="E6470" s="13" t="str">
        <x:v>Retail</x:v>
      </x:c>
      <x:c r="F6470" s="13" t="str">
        <x:v>Early Cyclicals</x:v>
      </x:c>
      <x:c r="G6470" s="13" t="str">
        <x:v>grid_cqzdsc3v.xlsx</x:v>
      </x:c>
    </x:row>
    <x:row r="6471">
      <x:c r="A6471" s="15" t="n">
        <x:v>43374</x:v>
      </x:c>
      <x:c r="B6471" s="13" t="str">
        <x:v>CIA BRASILEIRA DE DIS-PREF</x:v>
      </x:c>
      <x:c r="C6471" s="16" t="n">
        <x:v>1073.5605212932</x:v>
      </x:c>
      <x:c r="D6471" s="13" t="str">
        <x:v>Retail</x:v>
      </x:c>
      <x:c r="E6471" s="13" t="str">
        <x:v>Retail</x:v>
      </x:c>
      <x:c r="F6471" s="13" t="str">
        <x:v>Early Cyclicals</x:v>
      </x:c>
      <x:c r="G6471" s="13" t="str">
        <x:v>grid_cqzdsc3v.xlsx</x:v>
      </x:c>
    </x:row>
    <x:row r="6472">
      <x:c r="A6472" s="15" t="n">
        <x:v>43374</x:v>
      </x:c>
      <x:c r="B6472" s="13" t="str">
        <x:v>CVC BRASIL OPERADORA E AGENC</x:v>
      </x:c>
      <x:c r="C6472" s="16" t="n">
        <x:v>380.0673505315</x:v>
      </x:c>
      <x:c r="D6472" s="13" t="str">
        <x:v>Retail</x:v>
      </x:c>
      <x:c r="E6472" s="13" t="str">
        <x:v>Retail</x:v>
      </x:c>
      <x:c r="F6472" s="13" t="str">
        <x:v>Early Cyclicals</x:v>
      </x:c>
      <x:c r="G6472" s="13" t="str">
        <x:v>grid_cqzdsc3v.xlsx</x:v>
      </x:c>
    </x:row>
    <x:row r="6473">
      <x:c r="A6473" s="15" t="n">
        <x:v>43374</x:v>
      </x:c>
      <x:c r="B6473" s="13" t="str">
        <x:v>LOJAS AMERICANAS SA-PREF</x:v>
      </x:c>
      <x:c r="C6473" s="16" t="n">
        <x:v>849.3981999342</x:v>
      </x:c>
      <x:c r="D6473" s="13" t="str">
        <x:v>Retail</x:v>
      </x:c>
      <x:c r="E6473" s="13" t="str">
        <x:v>Retail</x:v>
      </x:c>
      <x:c r="F6473" s="13" t="str">
        <x:v>Early Cyclicals</x:v>
      </x:c>
      <x:c r="G6473" s="13" t="str">
        <x:v>grid_cqzdsc3v.xlsx</x:v>
      </x:c>
    </x:row>
    <x:row r="6474">
      <x:c r="A6474" s="15" t="n">
        <x:v>43374</x:v>
      </x:c>
      <x:c r="B6474" s="13" t="str">
        <x:v>LOJAS RENNER S.A.</x:v>
      </x:c>
      <x:c r="C6474" s="16" t="n">
        <x:v>1074.8670423671</x:v>
      </x:c>
      <x:c r="D6474" s="13" t="str">
        <x:v>Retail</x:v>
      </x:c>
      <x:c r="E6474" s="13" t="str">
        <x:v>Retail</x:v>
      </x:c>
      <x:c r="F6474" s="13" t="str">
        <x:v>Early Cyclicals</x:v>
      </x:c>
      <x:c r="G6474" s="13" t="str">
        <x:v>grid_cqzdsc3v.xlsx</x:v>
      </x:c>
    </x:row>
    <x:row r="6475">
      <x:c r="A6475" s="15" t="n">
        <x:v>43374</x:v>
      </x:c>
      <x:c r="B6475" s="13" t="str">
        <x:v>MAGAZINE LUIZA SA</x:v>
      </x:c>
      <x:c r="C6475" s="16" t="n">
        <x:v>749.6964383562</x:v>
      </x:c>
      <x:c r="D6475" s="13" t="str">
        <x:v>Retail</x:v>
      </x:c>
      <x:c r="E6475" s="13" t="str">
        <x:v>Retail</x:v>
      </x:c>
      <x:c r="F6475" s="13" t="str">
        <x:v>Early Cyclicals</x:v>
      </x:c>
      <x:c r="G6475" s="13" t="str">
        <x:v>grid_cqzdsc3v.xlsx</x:v>
      </x:c>
    </x:row>
    <x:row r="6476">
      <x:c r="A6476" s="15" t="n">
        <x:v>43374</x:v>
      </x:c>
      <x:c r="B6476" s="13" t="str">
        <x:v>RAIA DROGASIL SA</x:v>
      </x:c>
      <x:c r="C6476" s="16" t="n">
        <x:v>624.2290354849</x:v>
      </x:c>
      <x:c r="D6476" s="13" t="str">
        <x:v>Retail</x:v>
      </x:c>
      <x:c r="E6476" s="13" t="str">
        <x:v>Retail</x:v>
      </x:c>
      <x:c r="F6476" s="13" t="str">
        <x:v>Early Cyclicals</x:v>
      </x:c>
      <x:c r="G6476" s="13" t="str">
        <x:v>grid_cqzdsc3v.xlsx</x:v>
      </x:c>
    </x:row>
    <x:row r="6477">
      <x:c r="A6477" s="15" t="n">
        <x:v>43374</x:v>
      </x:c>
      <x:c r="B6477" s="13" t="str">
        <x:v>VIA VAREJO SA</x:v>
      </x:c>
      <x:c r="C6477" s="16" t="n">
        <x:v>540.9022308822</x:v>
      </x:c>
      <x:c r="D6477" s="13" t="str">
        <x:v>Retail</x:v>
      </x:c>
      <x:c r="E6477" s="13" t="str">
        <x:v>Retail</x:v>
      </x:c>
      <x:c r="F6477" s="13" t="str">
        <x:v>Early Cyclicals</x:v>
      </x:c>
      <x:c r="G6477" s="13" t="str">
        <x:v>grid_cqzdsc3v.xlsx</x:v>
      </x:c>
    </x:row>
    <x:row r="6478">
      <x:c r="A6478" s="15" t="n">
        <x:v>43374</x:v>
      </x:c>
      <x:c r="B6478" s="13" t="str">
        <x:v>CIA SANEAMENTO BASICO DE SP</x:v>
      </x:c>
      <x:c r="C6478" s="16" t="n">
        <x:v>2860.8892458082</x:v>
      </x:c>
      <x:c r="D6478" s="13" t="str">
        <x:v>Sanitation</x:v>
      </x:c>
      <x:c r="E6478" s="13" t="str">
        <x:v>Utilities</x:v>
      </x:c>
      <x:c r="F6478" s="13" t="str">
        <x:v>Defensives</x:v>
      </x:c>
      <x:c r="G6478" s="13" t="str">
        <x:v>grid_cqzdsc3v.xlsx</x:v>
      </x:c>
    </x:row>
    <x:row r="6479">
      <x:c r="A6479" s="15" t="n">
        <x:v>43374</x:v>
      </x:c>
      <x:c r="B6479" s="13" t="str">
        <x:v>SMILES FIDELIDADE SA</x:v>
      </x:c>
      <x:c r="C6479" s="16" t="n">
        <x:v>631.0775022466</x:v>
      </x:c>
      <x:c r="D6479" s="13" t="str">
        <x:v>TMT</x:v>
      </x:c>
      <x:c r="E6479" s="13" t="str">
        <x:v>TMT</x:v>
      </x:c>
      <x:c r="F6479" s="13" t="str">
        <x:v>Early Cyclicals</x:v>
      </x:c>
      <x:c r="G6479" s="13" t="str">
        <x:v>grid_cqzdsc3v.xlsx</x:v>
      </x:c>
    </x:row>
    <x:row r="6480">
      <x:c r="A6480" s="15" t="n">
        <x:v>43374</x:v>
      </x:c>
      <x:c r="B6480" s="13" t="str">
        <x:v>TELEFONICA BRASIL S.A.-PREF</x:v>
      </x:c>
      <x:c r="C6480" s="16" t="n">
        <x:v>5878.7093041096</x:v>
      </x:c>
      <x:c r="D6480" s="13" t="str">
        <x:v>TMT</x:v>
      </x:c>
      <x:c r="E6480" s="13" t="str">
        <x:v>TMT</x:v>
      </x:c>
      <x:c r="F6480" s="13" t="str">
        <x:v>Early Cyclicals</x:v>
      </x:c>
      <x:c r="G6480" s="13" t="str">
        <x:v>grid_cqzdsc3v.xlsx</x:v>
      </x:c>
    </x:row>
    <x:row r="6481">
      <x:c r="A6481" s="15" t="n">
        <x:v>43374</x:v>
      </x:c>
      <x:c r="B6481" s="13" t="str">
        <x:v>TIM SA</x:v>
      </x:c>
      <x:c r="C6481" s="16" t="n">
        <x:v>1957.5748211726</x:v>
      </x:c>
      <x:c r="D6481" s="13" t="str">
        <x:v>TMT</x:v>
      </x:c>
      <x:c r="E6481" s="13" t="str">
        <x:v>TMT</x:v>
      </x:c>
      <x:c r="F6481" s="13" t="str">
        <x:v>Early Cyclicals</x:v>
      </x:c>
      <x:c r="G6481" s="13" t="str">
        <x:v>grid_cqzdsc3v.xlsx</x:v>
      </x:c>
    </x:row>
    <x:row r="6482">
      <x:c r="A6482" s="15" t="n">
        <x:v>43374</x:v>
      </x:c>
      <x:c r="B6482" s="13" t="str">
        <x:v>ECORODOVIAS INFRA E LOG SA</x:v>
      </x:c>
      <x:c r="C6482" s="16" t="n">
        <x:v>529.597792526</x:v>
      </x:c>
      <x:c r="D6482" s="13" t="str">
        <x:v>Transportation</x:v>
      </x:c>
      <x:c r="E6482" s="13" t="str">
        <x:v>Transportation</x:v>
      </x:c>
      <x:c r="F6482" s="13" t="str">
        <x:v>Deep Cyclicals</x:v>
      </x:c>
      <x:c r="G6482" s="13" t="str">
        <x:v>grid_cqzdsc3v.xlsx</x:v>
      </x:c>
    </x:row>
    <x:row r="6483">
      <x:c r="A6483" s="15" t="n">
        <x:v>43374</x:v>
      </x:c>
      <x:c r="B6483" s="13" t="str">
        <x:v>GOL LINHAS AEREAS INT SA-PRE</x:v>
      </x:c>
      <x:c r="C6483" s="16" t="n">
        <x:v>54.6325837151</x:v>
      </x:c>
      <x:c r="D6483" s="13" t="str">
        <x:v>Transportation</x:v>
      </x:c>
      <x:c r="E6483" s="13" t="str">
        <x:v>Transportation</x:v>
      </x:c>
      <x:c r="F6483" s="13" t="str">
        <x:v>Deep Cyclicals</x:v>
      </x:c>
      <x:c r="G6483" s="13" t="str">
        <x:v>grid_cqzdsc3v.xlsx</x:v>
      </x:c>
    </x:row>
    <x:row r="6484">
      <x:c r="A6484" s="15" t="n">
        <x:v>43374</x:v>
      </x:c>
      <x:c r="B6484" s="13" t="str">
        <x:v>LOCALIZA RENT A CAR</x:v>
      </x:c>
      <x:c r="C6484" s="16" t="n">
        <x:v>805.3011825973</x:v>
      </x:c>
      <x:c r="D6484" s="13" t="str">
        <x:v>Transportation</x:v>
      </x:c>
      <x:c r="E6484" s="13" t="str">
        <x:v>Transportation</x:v>
      </x:c>
      <x:c r="F6484" s="13" t="str">
        <x:v>Deep Cyclicals</x:v>
      </x:c>
      <x:c r="G6484" s="13" t="str">
        <x:v>grid_cqzdsc3v.xlsx</x:v>
      </x:c>
    </x:row>
    <x:row r="6485">
      <x:c r="A6485" s="15" t="n">
        <x:v>43374</x:v>
      </x:c>
      <x:c r="B6485" s="13" t="str">
        <x:v>MOTIVA INFRAESTRUTURA DE MOB</x:v>
      </x:c>
      <x:c r="C6485" s="16" t="n">
        <x:v>1875.2565707397</x:v>
      </x:c>
      <x:c r="D6485" s="13" t="str">
        <x:v>Transportation</x:v>
      </x:c>
      <x:c r="E6485" s="13" t="str">
        <x:v>Transportation</x:v>
      </x:c>
      <x:c r="F6485" s="13" t="str">
        <x:v>Deep Cyclicals</x:v>
      </x:c>
      <x:c r="G6485" s="13" t="str">
        <x:v>grid_cqzdsc3v.xlsx</x:v>
      </x:c>
    </x:row>
    <x:row r="6486">
      <x:c r="A6486" s="15" t="n">
        <x:v>43374</x:v>
      </x:c>
      <x:c r="B6486" s="13" t="str">
        <x:v>RUMO SA</x:v>
      </x:c>
      <x:c r="C6486" s="16" t="n">
        <x:v>710.8539383233</x:v>
      </x:c>
      <x:c r="D6486" s="13" t="str">
        <x:v>Transportation</x:v>
      </x:c>
      <x:c r="E6486" s="13" t="str">
        <x:v>Transportation</x:v>
      </x:c>
      <x:c r="F6486" s="13" t="str">
        <x:v>Deep Cyclicals</x:v>
      </x:c>
      <x:c r="G6486" s="13" t="str">
        <x:v>grid_cqzdsc3v.xlsx</x:v>
      </x:c>
    </x:row>
    <x:row r="6487">
      <x:c r="A6487" s="15" t="n">
        <x:v>43374</x:v>
      </x:c>
      <x:c r="B6487" s="13" t="str">
        <x:v>AXIA ENERGIA SA</x:v>
      </x:c>
      <x:c r="C6487" s="16" t="n">
        <x:v>4217.0008526904</x:v>
      </x:c>
      <x:c r="D6487" s="13" t="str">
        <x:v>Utilities &amp; Energy</x:v>
      </x:c>
      <x:c r="E6487" s="13" t="str">
        <x:v>Utilities</x:v>
      </x:c>
      <x:c r="F6487" s="13" t="str">
        <x:v>Defensives</x:v>
      </x:c>
      <x:c r="G6487" s="13" t="str">
        <x:v>grid_cqzdsc3v.xlsx</x:v>
      </x:c>
    </x:row>
    <x:row r="6488">
      <x:c r="A6488" s="15" t="n">
        <x:v>43374</x:v>
      </x:c>
      <x:c r="B6488" s="13" t="str">
        <x:v>AXIA ENERGIA-PR B</x:v>
      </x:c>
      <x:c r="C6488" s="16" t="n">
        <x:v>4217.0008526904</x:v>
      </x:c>
      <x:c r="D6488" s="13" t="str">
        <x:v>Utilities &amp; Energy</x:v>
      </x:c>
      <x:c r="E6488" s="13" t="str">
        <x:v>Utilities</x:v>
      </x:c>
      <x:c r="F6488" s="13" t="str">
        <x:v>Defensives</x:v>
      </x:c>
      <x:c r="G6488" s="13" t="str">
        <x:v>grid_cqzdsc3v.xlsx</x:v>
      </x:c>
    </x:row>
    <x:row r="6489">
      <x:c r="A6489" s="15" t="n">
        <x:v>43374</x:v>
      </x:c>
      <x:c r="B6489" s="13" t="str">
        <x:v>CIA ENERGETICA MINAS GER-PRF</x:v>
      </x:c>
      <x:c r="C6489" s="16" t="n">
        <x:v>1763.2520262137</x:v>
      </x:c>
      <x:c r="D6489" s="13" t="str">
        <x:v>Utilities &amp; Energy</x:v>
      </x:c>
      <x:c r="E6489" s="13" t="str">
        <x:v>Utilities</x:v>
      </x:c>
      <x:c r="F6489" s="13" t="str">
        <x:v>Defensives</x:v>
      </x:c>
      <x:c r="G6489" s="13" t="str">
        <x:v>grid_cqzdsc3v.xlsx</x:v>
      </x:c>
    </x:row>
    <x:row r="6490">
      <x:c r="A6490" s="15" t="n">
        <x:v>43374</x:v>
      </x:c>
      <x:c r="B6490" s="13" t="str">
        <x:v>COMPANHIA PARANAENSE -PREF B</x:v>
      </x:c>
      <x:c r="C6490" s="16" t="n">
        <x:v>1488.5381088438</x:v>
      </x:c>
      <x:c r="D6490" s="13" t="str">
        <x:v>Utilities &amp; Energy</x:v>
      </x:c>
      <x:c r="E6490" s="13" t="str">
        <x:v>Utilities</x:v>
      </x:c>
      <x:c r="F6490" s="13" t="str">
        <x:v>Defensives</x:v>
      </x:c>
      <x:c r="G6490" s="13" t="str">
        <x:v>grid_cqzdsc3v.xlsx</x:v>
      </x:c>
    </x:row>
    <x:row r="6491">
      <x:c r="A6491" s="15" t="n">
        <x:v>43374</x:v>
      </x:c>
      <x:c r="B6491" s="13" t="str">
        <x:v>EDP - ENERGIAS DO BRASIL SA</x:v>
      </x:c>
      <x:c r="C6491" s="16" t="n">
        <x:v>871.5717912548</x:v>
      </x:c>
      <x:c r="D6491" s="13" t="str">
        <x:v>Utilities &amp; Energy</x:v>
      </x:c>
      <x:c r="E6491" s="13" t="str">
        <x:v>Utilities</x:v>
      </x:c>
      <x:c r="F6491" s="13" t="str">
        <x:v>Defensives</x:v>
      </x:c>
      <x:c r="G6491" s="13" t="str">
        <x:v>grid_cqzdsc3v.xlsx</x:v>
      </x:c>
    </x:row>
    <x:row r="6492">
      <x:c r="A6492" s="15" t="n">
        <x:v>43374</x:v>
      </x:c>
      <x:c r="B6492" s="13" t="str">
        <x:v>ENGIE BRASIL ENERGIA SA</x:v>
      </x:c>
      <x:c r="C6492" s="16" t="n">
        <x:v>2430.8810646794</x:v>
      </x:c>
      <x:c r="D6492" s="13" t="str">
        <x:v>Utilities &amp; Energy</x:v>
      </x:c>
      <x:c r="E6492" s="13" t="str">
        <x:v>Utilities</x:v>
      </x:c>
      <x:c r="F6492" s="13" t="str">
        <x:v>Defensives</x:v>
      </x:c>
      <x:c r="G6492" s="13" t="str">
        <x:v>grid_cqzdsc3v.xlsx</x:v>
      </x:c>
    </x:row>
    <x:row r="6493">
      <x:c r="A6493" s="15" t="n">
        <x:v>43374</x:v>
      </x:c>
      <x:c r="B6493" s="13" t="str">
        <x:v>EQUATORIAL SA - ORD</x:v>
      </x:c>
      <x:c r="C6493" s="16" t="n">
        <x:v>907.8571249973</x:v>
      </x:c>
      <x:c r="D6493" s="13" t="str">
        <x:v>Utilities &amp; Energy</x:v>
      </x:c>
      <x:c r="E6493" s="13" t="str">
        <x:v>Utilities</x:v>
      </x:c>
      <x:c r="F6493" s="13" t="str">
        <x:v>Defensives</x:v>
      </x:c>
      <x:c r="G6493" s="13" t="str">
        <x:v>grid_cqzdsc3v.xlsx</x:v>
      </x:c>
    </x:row>
    <x:row r="6494">
      <x:c r="A6494" s="15" t="n">
        <x:v>43374</x:v>
      </x:c>
      <x:c r="B6494" s="13" t="str">
        <x:v>TRANSMISSORA ALIANCA DE-UNIT</x:v>
      </x:c>
      <x:c r="C6494" s="16" t="n">
        <x:v>767.8260644822</x:v>
      </x:c>
      <x:c r="D6494" s="13" t="str">
        <x:v>Utilities &amp; Energy</x:v>
      </x:c>
      <x:c r="E6494" s="13" t="str">
        <x:v>Utilities</x:v>
      </x:c>
      <x:c r="F6494" s="13" t="str">
        <x:v>Defensives</x:v>
      </x:c>
      <x:c r="G6494" s="13" t="str">
        <x:v>grid_cqzdsc3v.xlsx</x:v>
      </x:c>
    </x:row>
    <x:row r="6495">
      <x:c r="A6495" s="15" t="n">
        <x:v>43405</x:v>
      </x:c>
      <x:c r="B6495" s="13" t="str">
        <x:v>BANCO BRADESCO S.A.</x:v>
      </x:c>
      <x:c r="C6495" s="16" t="n">
        <x:v>22857.9507550685</x:v>
      </x:c>
      <x:c r="D6495" s="13" t="str">
        <x:v>Banks</x:v>
      </x:c>
      <x:c r="E6495" s="13" t="str">
        <x:v>Banks</x:v>
      </x:c>
      <x:c r="F6495" s="13" t="str">
        <x:v>Financials</x:v>
      </x:c>
      <x:c r="G6495" s="13" t="str">
        <x:v>grid_cqzdsc3v.xlsx</x:v>
      </x:c>
    </x:row>
    <x:row r="6496">
      <x:c r="A6496" s="15" t="n">
        <x:v>43405</x:v>
      </x:c>
      <x:c r="B6496" s="13" t="str">
        <x:v>BANCO BRADESCO SA-PREF</x:v>
      </x:c>
      <x:c r="C6496" s="16" t="n">
        <x:v>22857.9507550685</x:v>
      </x:c>
      <x:c r="D6496" s="13" t="str">
        <x:v>Banks</x:v>
      </x:c>
      <x:c r="E6496" s="13" t="str">
        <x:v>Banks</x:v>
      </x:c>
      <x:c r="F6496" s="13" t="str">
        <x:v>Financials</x:v>
      </x:c>
      <x:c r="G6496" s="13" t="str">
        <x:v>grid_cqzdsc3v.xlsx</x:v>
      </x:c>
    </x:row>
    <x:row r="6497">
      <x:c r="A6497" s="15" t="n">
        <x:v>43405</x:v>
      </x:c>
      <x:c r="B6497" s="13" t="str">
        <x:v>BANCO DO BRASIL S.A.</x:v>
      </x:c>
      <x:c r="C6497" s="16" t="n">
        <x:v>15389.4930965041</x:v>
      </x:c>
      <x:c r="D6497" s="13" t="str">
        <x:v>Banks</x:v>
      </x:c>
      <x:c r="E6497" s="13" t="str">
        <x:v>Banks</x:v>
      </x:c>
      <x:c r="F6497" s="13" t="str">
        <x:v>Financials</x:v>
      </x:c>
      <x:c r="G6497" s="13" t="str">
        <x:v>grid_cqzdsc3v.xlsx</x:v>
      </x:c>
    </x:row>
    <x:row r="6498">
      <x:c r="A6498" s="15" t="n">
        <x:v>43405</x:v>
      </x:c>
      <x:c r="B6498" s="13" t="str">
        <x:v>BANCO SANTANDER  BRASIL-UNIT</x:v>
      </x:c>
      <x:c r="C6498" s="16" t="n">
        <x:v>12895.943200263</x:v>
      </x:c>
      <x:c r="D6498" s="13" t="str">
        <x:v>Banks</x:v>
      </x:c>
      <x:c r="E6498" s="13" t="str">
        <x:v>Banks</x:v>
      </x:c>
      <x:c r="F6498" s="13" t="str">
        <x:v>Financials</x:v>
      </x:c>
      <x:c r="G6498" s="13" t="str">
        <x:v>grid_cqzdsc3v.xlsx</x:v>
      </x:c>
    </x:row>
    <x:row r="6499">
      <x:c r="A6499" s="15" t="n">
        <x:v>43405</x:v>
      </x:c>
      <x:c r="B6499" s="13" t="str">
        <x:v>ITAU UNIBANCO HOLDING S-PREF</x:v>
      </x:c>
      <x:c r="C6499" s="16" t="n">
        <x:v>28723.9526876931</x:v>
      </x:c>
      <x:c r="D6499" s="13" t="str">
        <x:v>Banks</x:v>
      </x:c>
      <x:c r="E6499" s="13" t="str">
        <x:v>Banks</x:v>
      </x:c>
      <x:c r="F6499" s="13" t="str">
        <x:v>Financials</x:v>
      </x:c>
      <x:c r="G6499" s="13" t="str">
        <x:v>grid_cqzdsc3v.xlsx</x:v>
      </x:c>
    </x:row>
    <x:row r="6500">
      <x:c r="A6500" s="15" t="n">
        <x:v>43405</x:v>
      </x:c>
      <x:c r="B6500" s="13" t="str">
        <x:v>EMBRAER SA</x:v>
      </x:c>
      <x:c r="C6500" s="16" t="n">
        <x:v>901.1330867288</x:v>
      </x:c>
      <x:c r="D6500" s="13" t="str">
        <x:v>Capital Goods</x:v>
      </x:c>
      <x:c r="E6500" s="13" t="str">
        <x:v>Capital Goods</x:v>
      </x:c>
      <x:c r="F6500" s="13" t="str">
        <x:v>Deep Cyclicals</x:v>
      </x:c>
      <x:c r="G6500" s="13" t="str">
        <x:v>grid_cqzdsc3v.xlsx</x:v>
      </x:c>
    </x:row>
    <x:row r="6501">
      <x:c r="A6501" s="15" t="n">
        <x:v>43405</x:v>
      </x:c>
      <x:c r="B6501" s="13" t="str">
        <x:v>WEG SA</x:v>
      </x:c>
      <x:c r="C6501" s="16" t="n">
        <x:v>1543.5112844274</x:v>
      </x:c>
      <x:c r="D6501" s="13" t="str">
        <x:v>Capital Goods</x:v>
      </x:c>
      <x:c r="E6501" s="13" t="str">
        <x:v>Capital Goods</x:v>
      </x:c>
      <x:c r="F6501" s="13" t="str">
        <x:v>Deep Cyclicals</x:v>
      </x:c>
      <x:c r="G6501" s="13" t="str">
        <x:v>grid_cqzdsc3v.xlsx</x:v>
      </x:c>
    </x:row>
    <x:row r="6502">
      <x:c r="A6502" s="15" t="n">
        <x:v>43405</x:v>
      </x:c>
      <x:c r="B6502" s="13" t="str">
        <x:v>COGNA EDUCACAO</x:v>
      </x:c>
      <x:c r="C6502" s="16" t="n">
        <x:v>1814.9057707836</x:v>
      </x:c>
      <x:c r="D6502" s="13" t="str">
        <x:v>Education</x:v>
      </x:c>
      <x:c r="E6502" s="13" t="str">
        <x:v>Education</x:v>
      </x:c>
      <x:c r="F6502" s="13" t="str">
        <x:v>Early Cyclicals</x:v>
      </x:c>
      <x:c r="G6502" s="13" t="str">
        <x:v>grid_cqzdsc3v.xlsx</x:v>
      </x:c>
    </x:row>
    <x:row r="6503">
      <x:c r="A6503" s="15" t="n">
        <x:v>43405</x:v>
      </x:c>
      <x:c r="B6503" s="13" t="str">
        <x:v>YDUQS PARTICIPACOES SA</x:v>
      </x:c>
      <x:c r="C6503" s="16" t="n">
        <x:v>887.5222815562</x:v>
      </x:c>
      <x:c r="D6503" s="13" t="str">
        <x:v>Education</x:v>
      </x:c>
      <x:c r="E6503" s="13" t="str">
        <x:v>Education</x:v>
      </x:c>
      <x:c r="F6503" s="13" t="str">
        <x:v>Early Cyclicals</x:v>
      </x:c>
      <x:c r="G6503" s="13" t="str">
        <x:v>grid_cqzdsc3v.xlsx</x:v>
      </x:c>
    </x:row>
    <x:row r="6504">
      <x:c r="A6504" s="15" t="n">
        <x:v>43405</x:v>
      </x:c>
      <x:c r="B6504" s="13" t="str">
        <x:v>B3 SA-BRASIL BOLSA BALCAO</x:v>
      </x:c>
      <x:c r="C6504" s="16" t="n">
        <x:v>2867.3555946959</x:v>
      </x:c>
      <x:c r="D6504" s="13" t="str">
        <x:v>Financials Non-Banks</x:v>
      </x:c>
      <x:c r="E6504" s="13" t="str">
        <x:v>Financials Non-Banks</x:v>
      </x:c>
      <x:c r="F6504" s="13" t="str">
        <x:v>Financials</x:v>
      </x:c>
      <x:c r="G6504" s="13" t="str">
        <x:v>grid_cqzdsc3v.xlsx</x:v>
      </x:c>
    </x:row>
    <x:row r="6505">
      <x:c r="A6505" s="15" t="n">
        <x:v>43405</x:v>
      </x:c>
      <x:c r="B6505" s="13" t="str">
        <x:v>BB SEGURIDADE PARTICIPACOES</x:v>
      </x:c>
      <x:c r="C6505" s="16" t="n">
        <x:v>4099.5019677808</x:v>
      </x:c>
      <x:c r="D6505" s="13" t="str">
        <x:v>Financials Non-Banks</x:v>
      </x:c>
      <x:c r="E6505" s="13" t="str">
        <x:v>Financials Non-Banks</x:v>
      </x:c>
      <x:c r="F6505" s="13" t="str">
        <x:v>Financials</x:v>
      </x:c>
      <x:c r="G6505" s="13" t="str">
        <x:v>grid_cqzdsc3v.xlsx</x:v>
      </x:c>
    </x:row>
    <x:row r="6506">
      <x:c r="A6506" s="15" t="n">
        <x:v>43405</x:v>
      </x:c>
      <x:c r="B6506" s="13" t="str">
        <x:v>CIELO SA - INSTITUICAO DE PA</x:v>
      </x:c>
      <x:c r="C6506" s="16" t="n">
        <x:v>3194.9046054575</x:v>
      </x:c>
      <x:c r="D6506" s="13" t="str">
        <x:v>Financials Non-Banks</x:v>
      </x:c>
      <x:c r="E6506" s="13" t="str">
        <x:v>Financials Non-Banks</x:v>
      </x:c>
      <x:c r="F6506" s="13" t="str">
        <x:v>Financials</x:v>
      </x:c>
      <x:c r="G6506" s="13" t="str">
        <x:v>grid_cqzdsc3v.xlsx</x:v>
      </x:c>
    </x:row>
    <x:row r="6507">
      <x:c r="A6507" s="15" t="n">
        <x:v>43405</x:v>
      </x:c>
      <x:c r="B6507" s="13" t="str">
        <x:v>ITAUSA SA</x:v>
      </x:c>
      <x:c r="C6507" s="16" t="n">
        <x:v>11649.408134663</x:v>
      </x:c>
      <x:c r="D6507" s="13" t="str">
        <x:v>Financials Non-Banks</x:v>
      </x:c>
      <x:c r="E6507" s="13" t="str">
        <x:v>Financials Non-Banks</x:v>
      </x:c>
      <x:c r="F6507" s="13" t="str">
        <x:v>Financials</x:v>
      </x:c>
      <x:c r="G6507" s="13" t="str">
        <x:v>grid_cqzdsc3v.xlsx</x:v>
      </x:c>
    </x:row>
    <x:row r="6508">
      <x:c r="A6508" s="15" t="n">
        <x:v>43405</x:v>
      </x:c>
      <x:c r="B6508" s="13" t="str">
        <x:v>AMBEV SA</x:v>
      </x:c>
      <x:c r="C6508" s="16" t="n">
        <x:v>13402.2171914521</x:v>
      </x:c>
      <x:c r="D6508" s="13" t="str">
        <x:v>Food &amp; Beverages</x:v>
      </x:c>
      <x:c r="E6508" s="13" t="str">
        <x:v>Agri, Food &amp; Beverages</x:v>
      </x:c>
      <x:c r="F6508" s="13" t="str">
        <x:v>Defensives</x:v>
      </x:c>
      <x:c r="G6508" s="13" t="str">
        <x:v>grid_cqzdsc3v.xlsx</x:v>
      </x:c>
    </x:row>
    <x:row r="6509">
      <x:c r="A6509" s="15" t="n">
        <x:v>43405</x:v>
      </x:c>
      <x:c r="B6509" s="13" t="str">
        <x:v>BRF SA</x:v>
      </x:c>
      <x:c r="C6509" s="16" t="n">
        <x:v>-205.9508452384</x:v>
      </x:c>
      <x:c r="D6509" s="13" t="str">
        <x:v>Food &amp; Beverages</x:v>
      </x:c>
      <x:c r="E6509" s="13" t="str">
        <x:v>Agri, Food &amp; Beverages</x:v>
      </x:c>
      <x:c r="F6509" s="13" t="str">
        <x:v>Defensives</x:v>
      </x:c>
      <x:c r="G6509" s="13" t="str">
        <x:v>grid_cqzdsc3v.xlsx</x:v>
      </x:c>
    </x:row>
    <x:row r="6510">
      <x:c r="A6510" s="15" t="n">
        <x:v>43405</x:v>
      </x:c>
      <x:c r="B6510" s="13" t="str">
        <x:v>JBS SA</x:v>
      </x:c>
      <x:c r="C6510" s="16" t="n">
        <x:v>4308.0161448329</x:v>
      </x:c>
      <x:c r="D6510" s="13" t="str">
        <x:v>Food &amp; Beverages</x:v>
      </x:c>
      <x:c r="E6510" s="13" t="str">
        <x:v>Agri, Food &amp; Beverages</x:v>
      </x:c>
      <x:c r="F6510" s="13" t="str">
        <x:v>Defensives</x:v>
      </x:c>
      <x:c r="G6510" s="13" t="str">
        <x:v>grid_cqzdsc3v.xlsx</x:v>
      </x:c>
    </x:row>
    <x:row r="6511">
      <x:c r="A6511" s="15" t="n">
        <x:v>43405</x:v>
      </x:c>
      <x:c r="B6511" s="13" t="str">
        <x:v>MBRF GLOBAL FOODS COMPANY SA</x:v>
      </x:c>
      <x:c r="C6511" s="16" t="n">
        <x:v>320.9519744</x:v>
      </x:c>
      <x:c r="D6511" s="13" t="str">
        <x:v>Food &amp; Beverages</x:v>
      </x:c>
      <x:c r="E6511" s="13" t="str">
        <x:v>Agri, Food &amp; Beverages</x:v>
      </x:c>
      <x:c r="F6511" s="13" t="str">
        <x:v>Defensives</x:v>
      </x:c>
      <x:c r="G6511" s="13" t="str">
        <x:v>grid_cqzdsc3v.xlsx</x:v>
      </x:c>
    </x:row>
    <x:row r="6512">
      <x:c r="A6512" s="15" t="n">
        <x:v>43405</x:v>
      </x:c>
      <x:c r="B6512" s="13" t="str">
        <x:v>FLEURY SA</x:v>
      </x:c>
      <x:c r="C6512" s="16" t="n">
        <x:v>384.3197260274</x:v>
      </x:c>
      <x:c r="D6512" s="13" t="str">
        <x:v>Health Care</x:v>
      </x:c>
      <x:c r="E6512" s="13" t="str">
        <x:v>Health Care</x:v>
      </x:c>
      <x:c r="F6512" s="13" t="str">
        <x:v>Defensives</x:v>
      </x:c>
      <x:c r="G6512" s="13" t="str">
        <x:v>grid_cqzdsc3v.xlsx</x:v>
      </x:c>
    </x:row>
    <x:row r="6513">
      <x:c r="A6513" s="15" t="n">
        <x:v>43405</x:v>
      </x:c>
      <x:c r="B6513" s="13" t="str">
        <x:v>HYPERA SA</x:v>
      </x:c>
      <x:c r="C6513" s="16" t="n">
        <x:v>1216.0715095671</x:v>
      </x:c>
      <x:c r="D6513" s="13" t="str">
        <x:v>Health Care</x:v>
      </x:c>
      <x:c r="E6513" s="13" t="str">
        <x:v>Health Care</x:v>
      </x:c>
      <x:c r="F6513" s="13" t="str">
        <x:v>Defensives</x:v>
      </x:c>
      <x:c r="G6513" s="13" t="str">
        <x:v>grid_cqzdsc3v.xlsx</x:v>
      </x:c>
    </x:row>
    <x:row r="6514">
      <x:c r="A6514" s="15" t="n">
        <x:v>43405</x:v>
      </x:c>
      <x:c r="B6514" s="13" t="str">
        <x:v>QUALICORP CONS E CORR SEG SA</x:v>
      </x:c>
      <x:c r="C6514" s="16" t="n">
        <x:v>515.8914376767</x:v>
      </x:c>
      <x:c r="D6514" s="13" t="str">
        <x:v>Health Care</x:v>
      </x:c>
      <x:c r="E6514" s="13" t="str">
        <x:v>Health Care</x:v>
      </x:c>
      <x:c r="F6514" s="13" t="str">
        <x:v>Defensives</x:v>
      </x:c>
      <x:c r="G6514" s="13" t="str">
        <x:v>grid_cqzdsc3v.xlsx</x:v>
      </x:c>
    </x:row>
    <x:row r="6515">
      <x:c r="A6515" s="15" t="n">
        <x:v>43405</x:v>
      </x:c>
      <x:c r="B6515" s="13" t="str">
        <x:v>CYRELA BRAZIL REALTY SA EMP</x:v>
      </x:c>
      <x:c r="C6515" s="16" t="n">
        <x:v>309.7665205479</x:v>
      </x:c>
      <x:c r="D6515" s="13" t="str">
        <x:v>Homebuilders</x:v>
      </x:c>
      <x:c r="E6515" s="13" t="str">
        <x:v>Real Estate</x:v>
      </x:c>
      <x:c r="F6515" s="13" t="str">
        <x:v>Early Cyclicals</x:v>
      </x:c>
      <x:c r="G6515" s="13" t="str">
        <x:v>grid_cqzdsc3v.xlsx</x:v>
      </x:c>
    </x:row>
    <x:row r="6516">
      <x:c r="A6516" s="15" t="n">
        <x:v>43405</x:v>
      </x:c>
      <x:c r="B6516" s="13" t="str">
        <x:v>MRV ENGENHARIA</x:v>
      </x:c>
      <x:c r="C6516" s="16" t="n">
        <x:v>840.3516175781</x:v>
      </x:c>
      <x:c r="D6516" s="13" t="str">
        <x:v>Homebuilders</x:v>
      </x:c>
      <x:c r="E6516" s="13" t="str">
        <x:v>Real Estate</x:v>
      </x:c>
      <x:c r="F6516" s="13" t="str">
        <x:v>Early Cyclicals</x:v>
      </x:c>
      <x:c r="G6516" s="13" t="str">
        <x:v>grid_cqzdsc3v.xlsx</x:v>
      </x:c>
    </x:row>
    <x:row r="6517">
      <x:c r="A6517" s="15" t="n">
        <x:v>43405</x:v>
      </x:c>
      <x:c r="B6517" s="13" t="str">
        <x:v>BR MALLS PARTICIPACOES SA</x:v>
      </x:c>
      <x:c r="C6517" s="16" t="n">
        <x:v>644.4254474521</x:v>
      </x:c>
      <x:c r="D6517" s="13" t="str">
        <x:v>Income Properties</x:v>
      </x:c>
      <x:c r="E6517" s="13" t="str">
        <x:v>Real Estate</x:v>
      </x:c>
      <x:c r="F6517" s="13" t="str">
        <x:v>Early Cyclicals</x:v>
      </x:c>
      <x:c r="G6517" s="13" t="str">
        <x:v>grid_cqzdsc3v.xlsx</x:v>
      </x:c>
    </x:row>
    <x:row r="6518">
      <x:c r="A6518" s="15" t="n">
        <x:v>43405</x:v>
      </x:c>
      <x:c r="B6518" s="13" t="str">
        <x:v>IGUATEMI EMP DE SHOPPING</x:v>
      </x:c>
      <x:c r="C6518" s="16" t="n">
        <x:v>289.2623120658</x:v>
      </x:c>
      <x:c r="D6518" s="13" t="str">
        <x:v>Income Properties</x:v>
      </x:c>
      <x:c r="E6518" s="13" t="str">
        <x:v>Real Estate</x:v>
      </x:c>
      <x:c r="F6518" s="13" t="str">
        <x:v>Early Cyclicals</x:v>
      </x:c>
      <x:c r="G6518" s="13" t="str">
        <x:v>grid_cqzdsc3v.xlsx</x:v>
      </x:c>
    </x:row>
    <x:row r="6519">
      <x:c r="A6519" s="15" t="n">
        <x:v>43405</x:v>
      </x:c>
      <x:c r="B6519" s="13" t="str">
        <x:v>MULTIPLAN EMPREENDIMENTOS</x:v>
      </x:c>
      <x:c r="C6519" s="16" t="n">
        <x:v>521.5629132274</x:v>
      </x:c>
      <x:c r="D6519" s="13" t="str">
        <x:v>Income Properties</x:v>
      </x:c>
      <x:c r="E6519" s="13" t="str">
        <x:v>Real Estate</x:v>
      </x:c>
      <x:c r="F6519" s="13" t="str">
        <x:v>Early Cyclicals</x:v>
      </x:c>
      <x:c r="G6519" s="13" t="str">
        <x:v>grid_cqzdsc3v.xlsx</x:v>
      </x:c>
    </x:row>
    <x:row r="6520">
      <x:c r="A6520" s="15" t="n">
        <x:v>43405</x:v>
      </x:c>
      <x:c r="B6520" s="13" t="str">
        <x:v>BRADESPAR SA -PREF</x:v>
      </x:c>
      <x:c r="C6520" s="16" t="n">
        <x:v>714.0547945205</x:v>
      </x:c>
      <x:c r="D6520" s="13" t="str">
        <x:v>Metals &amp; Mining</x:v>
      </x:c>
      <x:c r="E6520" s="13" t="str">
        <x:v>Metals &amp; Mining</x:v>
      </x:c>
      <x:c r="F6520" s="13" t="str">
        <x:v>Deep Cyclicals</x:v>
      </x:c>
      <x:c r="G6520" s="13" t="str">
        <x:v>grid_cqzdsc3v.xlsx</x:v>
      </x:c>
    </x:row>
    <x:row r="6521">
      <x:c r="A6521" s="15" t="n">
        <x:v>43405</x:v>
      </x:c>
      <x:c r="B6521" s="13" t="str">
        <x:v>CIA SIDERURGICA NACIONAL SA</x:v>
      </x:c>
      <x:c r="C6521" s="16" t="n">
        <x:v>1536.7602652932</x:v>
      </x:c>
      <x:c r="D6521" s="13" t="str">
        <x:v>Metals &amp; Mining</x:v>
      </x:c>
      <x:c r="E6521" s="13" t="str">
        <x:v>Metals &amp; Mining</x:v>
      </x:c>
      <x:c r="F6521" s="13" t="str">
        <x:v>Deep Cyclicals</x:v>
      </x:c>
      <x:c r="G6521" s="13" t="str">
        <x:v>grid_cqzdsc3v.xlsx</x:v>
      </x:c>
    </x:row>
    <x:row r="6522">
      <x:c r="A6522" s="15" t="n">
        <x:v>43405</x:v>
      </x:c>
      <x:c r="B6522" s="13" t="str">
        <x:v>GERDAU SA-PREF</x:v>
      </x:c>
      <x:c r="C6522" s="16" t="n">
        <x:v>2744.2364366904</x:v>
      </x:c>
      <x:c r="D6522" s="13" t="str">
        <x:v>Metals &amp; Mining</x:v>
      </x:c>
      <x:c r="E6522" s="13" t="str">
        <x:v>Metals &amp; Mining</x:v>
      </x:c>
      <x:c r="F6522" s="13" t="str">
        <x:v>Deep Cyclicals</x:v>
      </x:c>
      <x:c r="G6522" s="13" t="str">
        <x:v>grid_cqzdsc3v.xlsx</x:v>
      </x:c>
    </x:row>
    <x:row r="6523">
      <x:c r="A6523" s="15" t="n">
        <x:v>43405</x:v>
      </x:c>
      <x:c r="B6523" s="13" t="str">
        <x:v>USINAS SIDER MINAS GER-PF A</x:v>
      </x:c>
      <x:c r="C6523" s="16" t="n">
        <x:v>947.2808465534</x:v>
      </x:c>
      <x:c r="D6523" s="13" t="str">
        <x:v>Metals &amp; Mining</x:v>
      </x:c>
      <x:c r="E6523" s="13" t="str">
        <x:v>Metals &amp; Mining</x:v>
      </x:c>
      <x:c r="F6523" s="13" t="str">
        <x:v>Deep Cyclicals</x:v>
      </x:c>
      <x:c r="G6523" s="13" t="str">
        <x:v>grid_cqzdsc3v.xlsx</x:v>
      </x:c>
    </x:row>
    <x:row r="6524">
      <x:c r="A6524" s="15" t="n">
        <x:v>43405</x:v>
      </x:c>
      <x:c r="B6524" s="13" t="str">
        <x:v>VALE SA</x:v>
      </x:c>
      <x:c r="C6524" s="16" t="n">
        <x:v>34277.3480574247</x:v>
      </x:c>
      <x:c r="D6524" s="13" t="str">
        <x:v>Metals &amp; Mining</x:v>
      </x:c>
      <x:c r="E6524" s="13" t="str">
        <x:v>Metals &amp; Mining</x:v>
      </x:c>
      <x:c r="F6524" s="13" t="str">
        <x:v>Deep Cyclicals</x:v>
      </x:c>
      <x:c r="G6524" s="13" t="str">
        <x:v>grid_cqzdsc3v.xlsx</x:v>
      </x:c>
    </x:row>
    <x:row r="6525">
      <x:c r="A6525" s="15" t="n">
        <x:v>43405</x:v>
      </x:c>
      <x:c r="B6525" s="13" t="str">
        <x:v>BRASKEM SA-PREF A</x:v>
      </x:c>
      <x:c r="C6525" s="16" t="n">
        <x:v>2873.9791780822</x:v>
      </x:c>
      <x:c r="D6525" s="13" t="str">
        <x:v>Oil, Gas &amp; Petrochemicals</x:v>
      </x:c>
      <x:c r="E6525" s="13" t="str">
        <x:v>Oil, Gas &amp; Petrochemicals</x:v>
      </x:c>
      <x:c r="F6525" s="13" t="str">
        <x:v>Deep Cyclicals</x:v>
      </x:c>
      <x:c r="G6525" s="13" t="str">
        <x:v>grid_cqzdsc3v.xlsx</x:v>
      </x:c>
    </x:row>
    <x:row r="6526">
      <x:c r="A6526" s="15" t="n">
        <x:v>43405</x:v>
      </x:c>
      <x:c r="B6526" s="13" t="str">
        <x:v>COSAN SA</x:v>
      </x:c>
      <x:c r="C6526" s="16" t="n">
        <x:v>1323.5756340603</x:v>
      </x:c>
      <x:c r="D6526" s="13" t="str">
        <x:v>Oil, Gas &amp; Petrochemicals</x:v>
      </x:c>
      <x:c r="E6526" s="13" t="str">
        <x:v>Oil, Gas &amp; Petrochemicals</x:v>
      </x:c>
      <x:c r="F6526" s="13" t="str">
        <x:v>Deep Cyclicals</x:v>
      </x:c>
      <x:c r="G6526" s="13" t="str">
        <x:v>grid_cqzdsc3v.xlsx</x:v>
      </x:c>
    </x:row>
    <x:row r="6527">
      <x:c r="A6527" s="15" t="n">
        <x:v>43405</x:v>
      </x:c>
      <x:c r="B6527" s="13" t="str">
        <x:v>PETROBRAS - PETROLEO BRAS</x:v>
      </x:c>
      <x:c r="C6527" s="16" t="n">
        <x:v>44268.5998851507</x:v>
      </x:c>
      <x:c r="D6527" s="13" t="str">
        <x:v>Oil, Gas &amp; Petrochemicals</x:v>
      </x:c>
      <x:c r="E6527" s="13" t="str">
        <x:v>Oil, Gas &amp; Petrochemicals</x:v>
      </x:c>
      <x:c r="F6527" s="13" t="str">
        <x:v>Deep Cyclicals</x:v>
      </x:c>
      <x:c r="G6527" s="13" t="str">
        <x:v>grid_cqzdsc3v.xlsx</x:v>
      </x:c>
    </x:row>
    <x:row r="6528">
      <x:c r="A6528" s="15" t="n">
        <x:v>43405</x:v>
      </x:c>
      <x:c r="B6528" s="13" t="str">
        <x:v>ULTRAPAR PARTICIPACOES SA</x:v>
      </x:c>
      <x:c r="C6528" s="16" t="n">
        <x:v>1392.8676967452</x:v>
      </x:c>
      <x:c r="D6528" s="13" t="str">
        <x:v>Oil, Gas &amp; Petrochemicals</x:v>
      </x:c>
      <x:c r="E6528" s="13" t="str">
        <x:v>Oil, Gas &amp; Petrochemicals</x:v>
      </x:c>
      <x:c r="F6528" s="13" t="str">
        <x:v>Deep Cyclicals</x:v>
      </x:c>
      <x:c r="G6528" s="13" t="str">
        <x:v>grid_cqzdsc3v.xlsx</x:v>
      </x:c>
    </x:row>
    <x:row r="6529">
      <x:c r="A6529" s="15" t="n">
        <x:v>43405</x:v>
      </x:c>
      <x:c r="B6529" s="13" t="str">
        <x:v>FIBRIA CELULOSE S/A</x:v>
      </x:c>
      <x:c r="C6529" s="16" t="n">
        <x:v>5042.6601731507</x:v>
      </x:c>
      <x:c r="D6529" s="13" t="str">
        <x:v>Pulp &amp; Paper</x:v>
      </x:c>
      <x:c r="E6529" s="13" t="str">
        <x:v>Pulp &amp; Paper</x:v>
      </x:c>
      <x:c r="F6529" s="13" t="str">
        <x:v>Deep Cyclicals</x:v>
      </x:c>
      <x:c r="G6529" s="13" t="str">
        <x:v>grid_cqzdsc3v.xlsx</x:v>
      </x:c>
    </x:row>
    <x:row r="6530">
      <x:c r="A6530" s="15" t="n">
        <x:v>43405</x:v>
      </x:c>
      <x:c r="B6530" s="13" t="str">
        <x:v>KLABIN SA - UNIT</x:v>
      </x:c>
      <x:c r="C6530" s="16" t="n">
        <x:v>1539.2592915288</x:v>
      </x:c>
      <x:c r="D6530" s="13" t="str">
        <x:v>Pulp &amp; Paper</x:v>
      </x:c>
      <x:c r="E6530" s="13" t="str">
        <x:v>Pulp &amp; Paper</x:v>
      </x:c>
      <x:c r="F6530" s="13" t="str">
        <x:v>Deep Cyclicals</x:v>
      </x:c>
      <x:c r="G6530" s="13" t="str">
        <x:v>grid_cqzdsc3v.xlsx</x:v>
      </x:c>
    </x:row>
    <x:row r="6531">
      <x:c r="A6531" s="15" t="n">
        <x:v>43405</x:v>
      </x:c>
      <x:c r="B6531" s="13" t="str">
        <x:v>SUZANO SA</x:v>
      </x:c>
      <x:c r="C6531" s="16" t="n">
        <x:v>4032.0566163288</x:v>
      </x:c>
      <x:c r="D6531" s="13" t="str">
        <x:v>Pulp &amp; Paper</x:v>
      </x:c>
      <x:c r="E6531" s="13" t="str">
        <x:v>Pulp &amp; Paper</x:v>
      </x:c>
      <x:c r="F6531" s="13" t="str">
        <x:v>Deep Cyclicals</x:v>
      </x:c>
      <x:c r="G6531" s="13" t="str">
        <x:v>grid_cqzdsc3v.xlsx</x:v>
      </x:c>
    </x:row>
    <x:row r="6532">
      <x:c r="A6532" s="15" t="n">
        <x:v>43405</x:v>
      </x:c>
      <x:c r="B6532" s="13" t="str">
        <x:v>AMERICANAS SA</x:v>
      </x:c>
      <x:c r="C6532" s="16" t="n">
        <x:v>-138.8537315068</x:v>
      </x:c>
      <x:c r="D6532" s="13" t="str">
        <x:v>Retail</x:v>
      </x:c>
      <x:c r="E6532" s="13" t="str">
        <x:v>Retail</x:v>
      </x:c>
      <x:c r="F6532" s="13" t="str">
        <x:v>Early Cyclicals</x:v>
      </x:c>
      <x:c r="G6532" s="13" t="str">
        <x:v>grid_cqzdsc3v.xlsx</x:v>
      </x:c>
    </x:row>
    <x:row r="6533">
      <x:c r="A6533" s="15" t="n">
        <x:v>43405</x:v>
      </x:c>
      <x:c r="B6533" s="13" t="str">
        <x:v>CIA BRASILEIRA DE DIS-PREF</x:v>
      </x:c>
      <x:c r="C6533" s="16" t="n">
        <x:v>1077.1424657534</x:v>
      </x:c>
      <x:c r="D6533" s="13" t="str">
        <x:v>Retail</x:v>
      </x:c>
      <x:c r="E6533" s="13" t="str">
        <x:v>Retail</x:v>
      </x:c>
      <x:c r="F6533" s="13" t="str">
        <x:v>Early Cyclicals</x:v>
      </x:c>
      <x:c r="G6533" s="13" t="str">
        <x:v>grid_cqzdsc3v.xlsx</x:v>
      </x:c>
    </x:row>
    <x:row r="6534">
      <x:c r="A6534" s="15" t="n">
        <x:v>43405</x:v>
      </x:c>
      <x:c r="B6534" s="13" t="str">
        <x:v>CVC BRASIL OPERADORA E AGENC</x:v>
      </x:c>
      <x:c r="C6534" s="16" t="n">
        <x:v>394.3119180274</x:v>
      </x:c>
      <x:c r="D6534" s="13" t="str">
        <x:v>Retail</x:v>
      </x:c>
      <x:c r="E6534" s="13" t="str">
        <x:v>Retail</x:v>
      </x:c>
      <x:c r="F6534" s="13" t="str">
        <x:v>Early Cyclicals</x:v>
      </x:c>
      <x:c r="G6534" s="13" t="str">
        <x:v>grid_cqzdsc3v.xlsx</x:v>
      </x:c>
    </x:row>
    <x:row r="6535">
      <x:c r="A6535" s="15" t="n">
        <x:v>43405</x:v>
      </x:c>
      <x:c r="B6535" s="13" t="str">
        <x:v>GRUPO CASAS BAHIA SA</x:v>
      </x:c>
      <x:c r="C6535" s="16" t="n">
        <x:v>558.2702061589</x:v>
      </x:c>
      <x:c r="D6535" s="13" t="str">
        <x:v>Retail</x:v>
      </x:c>
      <x:c r="E6535" s="13" t="str">
        <x:v>Retail</x:v>
      </x:c>
      <x:c r="F6535" s="13" t="str">
        <x:v>Early Cyclicals</x:v>
      </x:c>
      <x:c r="G6535" s="13" t="str">
        <x:v>grid_cqzdsc3v.xlsx</x:v>
      </x:c>
    </x:row>
    <x:row r="6536">
      <x:c r="A6536" s="15" t="n">
        <x:v>43405</x:v>
      </x:c>
      <x:c r="B6536" s="13" t="str">
        <x:v>LOJAS AMERICANAS SA-PREF</x:v>
      </x:c>
      <x:c r="C6536" s="16" t="n">
        <x:v>852.3320547945</x:v>
      </x:c>
      <x:c r="D6536" s="13" t="str">
        <x:v>Retail</x:v>
      </x:c>
      <x:c r="E6536" s="13" t="str">
        <x:v>Retail</x:v>
      </x:c>
      <x:c r="F6536" s="13" t="str">
        <x:v>Early Cyclicals</x:v>
      </x:c>
      <x:c r="G6536" s="13" t="str">
        <x:v>grid_cqzdsc3v.xlsx</x:v>
      </x:c>
    </x:row>
    <x:row r="6537">
      <x:c r="A6537" s="15" t="n">
        <x:v>43405</x:v>
      </x:c>
      <x:c r="B6537" s="13" t="str">
        <x:v>LOJAS RENNER S.A.</x:v>
      </x:c>
      <x:c r="C6537" s="16" t="n">
        <x:v>1111.432550926</x:v>
      </x:c>
      <x:c r="D6537" s="13" t="str">
        <x:v>Retail</x:v>
      </x:c>
      <x:c r="E6537" s="13" t="str">
        <x:v>Retail</x:v>
      </x:c>
      <x:c r="F6537" s="13" t="str">
        <x:v>Early Cyclicals</x:v>
      </x:c>
      <x:c r="G6537" s="13" t="str">
        <x:v>grid_cqzdsc3v.xlsx</x:v>
      </x:c>
    </x:row>
    <x:row r="6538">
      <x:c r="A6538" s="15" t="n">
        <x:v>43405</x:v>
      </x:c>
      <x:c r="B6538" s="13" t="str">
        <x:v>MAGAZINE LUIZA SA</x:v>
      </x:c>
      <x:c r="C6538" s="16" t="n">
        <x:v>725.2125354082</x:v>
      </x:c>
      <x:c r="D6538" s="13" t="str">
        <x:v>Retail</x:v>
      </x:c>
      <x:c r="E6538" s="13" t="str">
        <x:v>Retail</x:v>
      </x:c>
      <x:c r="F6538" s="13" t="str">
        <x:v>Early Cyclicals</x:v>
      </x:c>
      <x:c r="G6538" s="13" t="str">
        <x:v>grid_cqzdsc3v.xlsx</x:v>
      </x:c>
    </x:row>
    <x:row r="6539">
      <x:c r="A6539" s="15" t="n">
        <x:v>43405</x:v>
      </x:c>
      <x:c r="B6539" s="13" t="str">
        <x:v>RAIA DROGASIL SA</x:v>
      </x:c>
      <x:c r="C6539" s="16" t="n">
        <x:v>623.5693150685</x:v>
      </x:c>
      <x:c r="D6539" s="13" t="str">
        <x:v>Retail</x:v>
      </x:c>
      <x:c r="E6539" s="13" t="str">
        <x:v>Retail</x:v>
      </x:c>
      <x:c r="F6539" s="13" t="str">
        <x:v>Early Cyclicals</x:v>
      </x:c>
      <x:c r="G6539" s="13" t="str">
        <x:v>grid_cqzdsc3v.xlsx</x:v>
      </x:c>
    </x:row>
    <x:row r="6540">
      <x:c r="A6540" s="15" t="n">
        <x:v>43405</x:v>
      </x:c>
      <x:c r="B6540" s="13" t="str">
        <x:v>CIA SANEAMENTO BASICO DE SP</x:v>
      </x:c>
      <x:c r="C6540" s="16" t="n">
        <x:v>2879.1976139397</x:v>
      </x:c>
      <x:c r="D6540" s="13" t="str">
        <x:v>Sanitation</x:v>
      </x:c>
      <x:c r="E6540" s="13" t="str">
        <x:v>Utilities</x:v>
      </x:c>
      <x:c r="F6540" s="13" t="str">
        <x:v>Defensives</x:v>
      </x:c>
      <x:c r="G6540" s="13" t="str">
        <x:v>grid_cqzdsc3v.xlsx</x:v>
      </x:c>
    </x:row>
    <x:row r="6541">
      <x:c r="A6541" s="15" t="n">
        <x:v>43405</x:v>
      </x:c>
      <x:c r="B6541" s="13" t="str">
        <x:v>SMILES FIDELIDADE SA</x:v>
      </x:c>
      <x:c r="C6541" s="16" t="n">
        <x:v>634.9261552219</x:v>
      </x:c>
      <x:c r="D6541" s="13" t="str">
        <x:v>TMT</x:v>
      </x:c>
      <x:c r="E6541" s="13" t="str">
        <x:v>TMT</x:v>
      </x:c>
      <x:c r="F6541" s="13" t="str">
        <x:v>Early Cyclicals</x:v>
      </x:c>
      <x:c r="G6541" s="13" t="str">
        <x:v>grid_cqzdsc3v.xlsx</x:v>
      </x:c>
    </x:row>
    <x:row r="6542">
      <x:c r="A6542" s="15" t="n">
        <x:v>43405</x:v>
      </x:c>
      <x:c r="B6542" s="13" t="str">
        <x:v>TELEFONICA BRASIL S.A.-PREF</x:v>
      </x:c>
      <x:c r="C6542" s="16" t="n">
        <x:v>5863.286962148</x:v>
      </x:c>
      <x:c r="D6542" s="13" t="str">
        <x:v>TMT</x:v>
      </x:c>
      <x:c r="E6542" s="13" t="str">
        <x:v>TMT</x:v>
      </x:c>
      <x:c r="F6542" s="13" t="str">
        <x:v>Early Cyclicals</x:v>
      </x:c>
      <x:c r="G6542" s="13" t="str">
        <x:v>grid_cqzdsc3v.xlsx</x:v>
      </x:c>
    </x:row>
    <x:row r="6543">
      <x:c r="A6543" s="15" t="n">
        <x:v>43405</x:v>
      </x:c>
      <x:c r="B6543" s="13" t="str">
        <x:v>TIM SA</x:v>
      </x:c>
      <x:c r="C6543" s="16" t="n">
        <x:v>1981.3502758575</x:v>
      </x:c>
      <x:c r="D6543" s="13" t="str">
        <x:v>TMT</x:v>
      </x:c>
      <x:c r="E6543" s="13" t="str">
        <x:v>TMT</x:v>
      </x:c>
      <x:c r="F6543" s="13" t="str">
        <x:v>Early Cyclicals</x:v>
      </x:c>
      <x:c r="G6543" s="13" t="str">
        <x:v>grid_cqzdsc3v.xlsx</x:v>
      </x:c>
    </x:row>
    <x:row r="6544">
      <x:c r="A6544" s="15" t="n">
        <x:v>43405</x:v>
      </x:c>
      <x:c r="B6544" s="13" t="str">
        <x:v>ECORODOVIAS INFRA E LOG SA</x:v>
      </x:c>
      <x:c r="C6544" s="16" t="n">
        <x:v>542.3536892493</x:v>
      </x:c>
      <x:c r="D6544" s="13" t="str">
        <x:v>Transportation</x:v>
      </x:c>
      <x:c r="E6544" s="13" t="str">
        <x:v>Transportation</x:v>
      </x:c>
      <x:c r="F6544" s="13" t="str">
        <x:v>Deep Cyclicals</x:v>
      </x:c>
      <x:c r="G6544" s="13" t="str">
        <x:v>grid_cqzdsc3v.xlsx</x:v>
      </x:c>
    </x:row>
    <x:row r="6545">
      <x:c r="A6545" s="15" t="n">
        <x:v>43405</x:v>
      </x:c>
      <x:c r="B6545" s="13" t="str">
        <x:v>GOL LINHAS AEREAS INT SA-PRE</x:v>
      </x:c>
      <x:c r="C6545" s="16" t="n">
        <x:v>164.1158068603</x:v>
      </x:c>
      <x:c r="D6545" s="13" t="str">
        <x:v>Transportation</x:v>
      </x:c>
      <x:c r="E6545" s="13" t="str">
        <x:v>Transportation</x:v>
      </x:c>
      <x:c r="F6545" s="13" t="str">
        <x:v>Deep Cyclicals</x:v>
      </x:c>
      <x:c r="G6545" s="13" t="str">
        <x:v>grid_cqzdsc3v.xlsx</x:v>
      </x:c>
    </x:row>
    <x:row r="6546">
      <x:c r="A6546" s="15" t="n">
        <x:v>43405</x:v>
      </x:c>
      <x:c r="B6546" s="13" t="str">
        <x:v>LOCALIZA RENT A CAR</x:v>
      </x:c>
      <x:c r="C6546" s="16" t="n">
        <x:v>809.9759726466</x:v>
      </x:c>
      <x:c r="D6546" s="13" t="str">
        <x:v>Transportation</x:v>
      </x:c>
      <x:c r="E6546" s="13" t="str">
        <x:v>Transportation</x:v>
      </x:c>
      <x:c r="F6546" s="13" t="str">
        <x:v>Deep Cyclicals</x:v>
      </x:c>
      <x:c r="G6546" s="13" t="str">
        <x:v>grid_cqzdsc3v.xlsx</x:v>
      </x:c>
    </x:row>
    <x:row r="6547">
      <x:c r="A6547" s="15" t="n">
        <x:v>43405</x:v>
      </x:c>
      <x:c r="B6547" s="13" t="str">
        <x:v>MOTIVA INFRAESTRUTURA DE MOB</x:v>
      </x:c>
      <x:c r="C6547" s="16" t="n">
        <x:v>1967.1283803178</x:v>
      </x:c>
      <x:c r="D6547" s="13" t="str">
        <x:v>Transportation</x:v>
      </x:c>
      <x:c r="E6547" s="13" t="str">
        <x:v>Transportation</x:v>
      </x:c>
      <x:c r="F6547" s="13" t="str">
        <x:v>Deep Cyclicals</x:v>
      </x:c>
      <x:c r="G6547" s="13" t="str">
        <x:v>grid_cqzdsc3v.xlsx</x:v>
      </x:c>
    </x:row>
    <x:row r="6548">
      <x:c r="A6548" s="15" t="n">
        <x:v>43405</x:v>
      </x:c>
      <x:c r="B6548" s="13" t="str">
        <x:v>RUMO SA</x:v>
      </x:c>
      <x:c r="C6548" s="16" t="n">
        <x:v>732.6330137425</x:v>
      </x:c>
      <x:c r="D6548" s="13" t="str">
        <x:v>Transportation</x:v>
      </x:c>
      <x:c r="E6548" s="13" t="str">
        <x:v>Transportation</x:v>
      </x:c>
      <x:c r="F6548" s="13" t="str">
        <x:v>Deep Cyclicals</x:v>
      </x:c>
      <x:c r="G6548" s="13" t="str">
        <x:v>grid_cqzdsc3v.xlsx</x:v>
      </x:c>
    </x:row>
    <x:row r="6549">
      <x:c r="A6549" s="15" t="n">
        <x:v>43405</x:v>
      </x:c>
      <x:c r="B6549" s="13" t="str">
        <x:v>AXIA ENERGIA SA</x:v>
      </x:c>
      <x:c r="C6549" s="16" t="n">
        <x:v>2563.2828021479</x:v>
      </x:c>
      <x:c r="D6549" s="13" t="str">
        <x:v>Utilities &amp; Energy</x:v>
      </x:c>
      <x:c r="E6549" s="13" t="str">
        <x:v>Utilities</x:v>
      </x:c>
      <x:c r="F6549" s="13" t="str">
        <x:v>Defensives</x:v>
      </x:c>
      <x:c r="G6549" s="13" t="str">
        <x:v>grid_cqzdsc3v.xlsx</x:v>
      </x:c>
    </x:row>
    <x:row r="6550">
      <x:c r="A6550" s="15" t="n">
        <x:v>43405</x:v>
      </x:c>
      <x:c r="B6550" s="13" t="str">
        <x:v>AXIA ENERGIA-PR B</x:v>
      </x:c>
      <x:c r="C6550" s="16" t="n">
        <x:v>2563.2828021479</x:v>
      </x:c>
      <x:c r="D6550" s="13" t="str">
        <x:v>Utilities &amp; Energy</x:v>
      </x:c>
      <x:c r="E6550" s="13" t="str">
        <x:v>Utilities</x:v>
      </x:c>
      <x:c r="F6550" s="13" t="str">
        <x:v>Defensives</x:v>
      </x:c>
      <x:c r="G6550" s="13" t="str">
        <x:v>grid_cqzdsc3v.xlsx</x:v>
      </x:c>
    </x:row>
    <x:row r="6551">
      <x:c r="A6551" s="15" t="n">
        <x:v>43405</x:v>
      </x:c>
      <x:c r="B6551" s="13" t="str">
        <x:v>CIA ENERGETICA MINAS GER-PRF</x:v>
      </x:c>
      <x:c r="C6551" s="16" t="n">
        <x:v>1813.8823311781</x:v>
      </x:c>
      <x:c r="D6551" s="13" t="str">
        <x:v>Utilities &amp; Energy</x:v>
      </x:c>
      <x:c r="E6551" s="13" t="str">
        <x:v>Utilities</x:v>
      </x:c>
      <x:c r="F6551" s="13" t="str">
        <x:v>Defensives</x:v>
      </x:c>
      <x:c r="G6551" s="13" t="str">
        <x:v>grid_cqzdsc3v.xlsx</x:v>
      </x:c>
    </x:row>
    <x:row r="6552">
      <x:c r="A6552" s="15" t="n">
        <x:v>43405</x:v>
      </x:c>
      <x:c r="B6552" s="13" t="str">
        <x:v>COMPANHIA PARANAENSE -PREF B</x:v>
      </x:c>
      <x:c r="C6552" s="16" t="n">
        <x:v>1519.4860859616</x:v>
      </x:c>
      <x:c r="D6552" s="13" t="str">
        <x:v>Utilities &amp; Energy</x:v>
      </x:c>
      <x:c r="E6552" s="13" t="str">
        <x:v>Utilities</x:v>
      </x:c>
      <x:c r="F6552" s="13" t="str">
        <x:v>Defensives</x:v>
      </x:c>
      <x:c r="G6552" s="13" t="str">
        <x:v>grid_cqzdsc3v.xlsx</x:v>
      </x:c>
    </x:row>
    <x:row r="6553">
      <x:c r="A6553" s="15" t="n">
        <x:v>43405</x:v>
      </x:c>
      <x:c r="B6553" s="13" t="str">
        <x:v>EDP - ENERGIAS DO BRASIL SA</x:v>
      </x:c>
      <x:c r="C6553" s="16" t="n">
        <x:v>897.0274032219</x:v>
      </x:c>
      <x:c r="D6553" s="13" t="str">
        <x:v>Utilities &amp; Energy</x:v>
      </x:c>
      <x:c r="E6553" s="13" t="str">
        <x:v>Utilities</x:v>
      </x:c>
      <x:c r="F6553" s="13" t="str">
        <x:v>Defensives</x:v>
      </x:c>
      <x:c r="G6553" s="13" t="str">
        <x:v>grid_cqzdsc3v.xlsx</x:v>
      </x:c>
    </x:row>
    <x:row r="6554">
      <x:c r="A6554" s="15" t="n">
        <x:v>43405</x:v>
      </x:c>
      <x:c r="B6554" s="13" t="str">
        <x:v>ENGIE BRASIL ENERGIA SA</x:v>
      </x:c>
      <x:c r="C6554" s="16" t="n">
        <x:v>2488.0747120219</x:v>
      </x:c>
      <x:c r="D6554" s="13" t="str">
        <x:v>Utilities &amp; Energy</x:v>
      </x:c>
      <x:c r="E6554" s="13" t="str">
        <x:v>Utilities</x:v>
      </x:c>
      <x:c r="F6554" s="13" t="str">
        <x:v>Defensives</x:v>
      </x:c>
      <x:c r="G6554" s="13" t="str">
        <x:v>grid_cqzdsc3v.xlsx</x:v>
      </x:c>
    </x:row>
    <x:row r="6555">
      <x:c r="A6555" s="15" t="n">
        <x:v>43405</x:v>
      </x:c>
      <x:c r="B6555" s="13" t="str">
        <x:v>EQUATORIAL SA - ORD</x:v>
      </x:c>
      <x:c r="C6555" s="16" t="n">
        <x:v>902.4103967562</x:v>
      </x:c>
      <x:c r="D6555" s="13" t="str">
        <x:v>Utilities &amp; Energy</x:v>
      </x:c>
      <x:c r="E6555" s="13" t="str">
        <x:v>Utilities</x:v>
      </x:c>
      <x:c r="F6555" s="13" t="str">
        <x:v>Defensives</x:v>
      </x:c>
      <x:c r="G6555" s="13" t="str">
        <x:v>grid_cqzdsc3v.xlsx</x:v>
      </x:c>
    </x:row>
    <x:row r="6556">
      <x:c r="A6556" s="15" t="n">
        <x:v>43405</x:v>
      </x:c>
      <x:c r="B6556" s="13" t="str">
        <x:v>TRANSMISSORA ALIANCA DE-UNIT</x:v>
      </x:c>
      <x:c r="C6556" s="16" t="n">
        <x:v>754.1004975342</x:v>
      </x:c>
      <x:c r="D6556" s="13" t="str">
        <x:v>Utilities &amp; Energy</x:v>
      </x:c>
      <x:c r="E6556" s="13" t="str">
        <x:v>Utilities</x:v>
      </x:c>
      <x:c r="F6556" s="13" t="str">
        <x:v>Defensives</x:v>
      </x:c>
      <x:c r="G6556" s="13" t="str">
        <x:v>grid_cqzdsc3v.xlsx</x:v>
      </x:c>
    </x:row>
    <x:row r="6557">
      <x:c r="A6557" s="15" t="n">
        <x:v>43435</x:v>
      </x:c>
      <x:c r="B6557" s="13" t="str">
        <x:v>BANCO BRADESCO S.A.</x:v>
      </x:c>
      <x:c r="C6557" s="16" t="n">
        <x:v>24318.799872</x:v>
      </x:c>
      <x:c r="D6557" s="13" t="str">
        <x:v>Banks</x:v>
      </x:c>
      <x:c r="E6557" s="13" t="str">
        <x:v>Banks</x:v>
      </x:c>
      <x:c r="F6557" s="13" t="str">
        <x:v>Financials</x:v>
      </x:c>
      <x:c r="G6557" s="13" t="str">
        <x:v>grid_cqzdsc3v.xlsx</x:v>
      </x:c>
    </x:row>
    <x:row r="6558">
      <x:c r="A6558" s="15" t="n">
        <x:v>43435</x:v>
      </x:c>
      <x:c r="B6558" s="13" t="str">
        <x:v>BANCO BRADESCO SA-PREF</x:v>
      </x:c>
      <x:c r="C6558" s="16" t="n">
        <x:v>24318.799872</x:v>
      </x:c>
      <x:c r="D6558" s="13" t="str">
        <x:v>Banks</x:v>
      </x:c>
      <x:c r="E6558" s="13" t="str">
        <x:v>Banks</x:v>
      </x:c>
      <x:c r="F6558" s="13" t="str">
        <x:v>Financials</x:v>
      </x:c>
      <x:c r="G6558" s="13" t="str">
        <x:v>grid_cqzdsc3v.xlsx</x:v>
      </x:c>
    </x:row>
    <x:row r="6559">
      <x:c r="A6559" s="15" t="n">
        <x:v>43435</x:v>
      </x:c>
      <x:c r="B6559" s="13" t="str">
        <x:v>BANCO DO BRASIL S.A.</x:v>
      </x:c>
      <x:c r="C6559" s="16" t="n">
        <x:v>15687.90016</x:v>
      </x:c>
      <x:c r="D6559" s="13" t="str">
        <x:v>Banks</x:v>
      </x:c>
      <x:c r="E6559" s="13" t="str">
        <x:v>Banks</x:v>
      </x:c>
      <x:c r="F6559" s="13" t="str">
        <x:v>Financials</x:v>
      </x:c>
      <x:c r="G6559" s="13" t="str">
        <x:v>grid_cqzdsc3v.xlsx</x:v>
      </x:c>
    </x:row>
    <x:row r="6560">
      <x:c r="A6560" s="15" t="n">
        <x:v>43435</x:v>
      </x:c>
      <x:c r="B6560" s="13" t="str">
        <x:v>BANCO SANTANDER  BRASIL-UNIT</x:v>
      </x:c>
      <x:c r="C6560" s="16" t="n">
        <x:v>13231.500288</x:v>
      </x:c>
      <x:c r="D6560" s="13" t="str">
        <x:v>Banks</x:v>
      </x:c>
      <x:c r="E6560" s="13" t="str">
        <x:v>Banks</x:v>
      </x:c>
      <x:c r="F6560" s="13" t="str">
        <x:v>Financials</x:v>
      </x:c>
      <x:c r="G6560" s="13" t="str">
        <x:v>grid_cqzdsc3v.xlsx</x:v>
      </x:c>
    </x:row>
    <x:row r="6561">
      <x:c r="A6561" s="15" t="n">
        <x:v>43435</x:v>
      </x:c>
      <x:c r="B6561" s="13" t="str">
        <x:v>ITAU UNIBANCO HOLDING S-PREF</x:v>
      </x:c>
      <x:c r="C6561" s="16" t="n">
        <x:v>29189.500928</x:v>
      </x:c>
      <x:c r="D6561" s="13" t="str">
        <x:v>Banks</x:v>
      </x:c>
      <x:c r="E6561" s="13" t="str">
        <x:v>Banks</x:v>
      </x:c>
      <x:c r="F6561" s="13" t="str">
        <x:v>Financials</x:v>
      </x:c>
      <x:c r="G6561" s="13" t="str">
        <x:v>grid_cqzdsc3v.xlsx</x:v>
      </x:c>
    </x:row>
    <x:row r="6562">
      <x:c r="A6562" s="15" t="n">
        <x:v>43435</x:v>
      </x:c>
      <x:c r="B6562" s="13" t="str">
        <x:v>EMBRAER SA</x:v>
      </x:c>
      <x:c r="C6562" s="16" t="n">
        <x:v>995.726976</x:v>
      </x:c>
      <x:c r="D6562" s="13" t="str">
        <x:v>Capital Goods</x:v>
      </x:c>
      <x:c r="E6562" s="13" t="str">
        <x:v>Capital Goods</x:v>
      </x:c>
      <x:c r="F6562" s="13" t="str">
        <x:v>Deep Cyclicals</x:v>
      </x:c>
      <x:c r="G6562" s="13" t="str">
        <x:v>grid_cqzdsc3v.xlsx</x:v>
      </x:c>
    </x:row>
    <x:row r="6563">
      <x:c r="A6563" s="15" t="n">
        <x:v>43435</x:v>
      </x:c>
      <x:c r="B6563" s="13" t="str">
        <x:v>WEG SA</x:v>
      </x:c>
      <x:c r="C6563" s="16" t="n">
        <x:v>1550.200064</x:v>
      </x:c>
      <x:c r="D6563" s="13" t="str">
        <x:v>Capital Goods</x:v>
      </x:c>
      <x:c r="E6563" s="13" t="str">
        <x:v>Capital Goods</x:v>
      </x:c>
      <x:c r="F6563" s="13" t="str">
        <x:v>Deep Cyclicals</x:v>
      </x:c>
      <x:c r="G6563" s="13" t="str">
        <x:v>grid_cqzdsc3v.xlsx</x:v>
      </x:c>
    </x:row>
    <x:row r="6564">
      <x:c r="A6564" s="15" t="n">
        <x:v>43435</x:v>
      </x:c>
      <x:c r="B6564" s="13" t="str">
        <x:v>COGNA EDUCACAO</x:v>
      </x:c>
      <x:c r="C6564" s="16" t="n">
        <x:v>1761.890048</x:v>
      </x:c>
      <x:c r="D6564" s="13" t="str">
        <x:v>Education</x:v>
      </x:c>
      <x:c r="E6564" s="13" t="str">
        <x:v>Education</x:v>
      </x:c>
      <x:c r="F6564" s="13" t="str">
        <x:v>Early Cyclicals</x:v>
      </x:c>
      <x:c r="G6564" s="13" t="str">
        <x:v>grid_cqzdsc3v.xlsx</x:v>
      </x:c>
    </x:row>
    <x:row r="6565">
      <x:c r="A6565" s="15" t="n">
        <x:v>43435</x:v>
      </x:c>
      <x:c r="B6565" s="13" t="str">
        <x:v>YDUQS PARTICIPACOES SA</x:v>
      </x:c>
      <x:c r="C6565" s="16" t="n">
        <x:v>883</x:v>
      </x:c>
      <x:c r="D6565" s="13" t="str">
        <x:v>Education</x:v>
      </x:c>
      <x:c r="E6565" s="13" t="str">
        <x:v>Education</x:v>
      </x:c>
      <x:c r="F6565" s="13" t="str">
        <x:v>Early Cyclicals</x:v>
      </x:c>
      <x:c r="G6565" s="13" t="str">
        <x:v>grid_cqzdsc3v.xlsx</x:v>
      </x:c>
    </x:row>
    <x:row r="6566">
      <x:c r="A6566" s="15" t="n">
        <x:v>43435</x:v>
      </x:c>
      <x:c r="B6566" s="13" t="str">
        <x:v>B3 SA-BRASIL BOLSA BALCAO</x:v>
      </x:c>
      <x:c r="C6566" s="16" t="n">
        <x:v>2897.55008</x:v>
      </x:c>
      <x:c r="D6566" s="13" t="str">
        <x:v>Financials Non-Banks</x:v>
      </x:c>
      <x:c r="E6566" s="13" t="str">
        <x:v>Financials Non-Banks</x:v>
      </x:c>
      <x:c r="F6566" s="13" t="str">
        <x:v>Financials</x:v>
      </x:c>
      <x:c r="G6566" s="13" t="str">
        <x:v>grid_cqzdsc3v.xlsx</x:v>
      </x:c>
    </x:row>
    <x:row r="6567">
      <x:c r="A6567" s="15" t="n">
        <x:v>43435</x:v>
      </x:c>
      <x:c r="B6567" s="13" t="str">
        <x:v>BB SEGURIDADE PARTICIPACOES</x:v>
      </x:c>
      <x:c r="C6567" s="16" t="n">
        <x:v>4128.999936</x:v>
      </x:c>
      <x:c r="D6567" s="13" t="str">
        <x:v>Financials Non-Banks</x:v>
      </x:c>
      <x:c r="E6567" s="13" t="str">
        <x:v>Financials Non-Banks</x:v>
      </x:c>
      <x:c r="F6567" s="13" t="str">
        <x:v>Financials</x:v>
      </x:c>
      <x:c r="G6567" s="13" t="str">
        <x:v>grid_cqzdsc3v.xlsx</x:v>
      </x:c>
    </x:row>
    <x:row r="6568">
      <x:c r="A6568" s="15" t="n">
        <x:v>43435</x:v>
      </x:c>
      <x:c r="B6568" s="13" t="str">
        <x:v>CIELO SA - INSTITUICAO DE PA</x:v>
      </x:c>
      <x:c r="C6568" s="16" t="n">
        <x:v>3080.549888</x:v>
      </x:c>
      <x:c r="D6568" s="13" t="str">
        <x:v>Financials Non-Banks</x:v>
      </x:c>
      <x:c r="E6568" s="13" t="str">
        <x:v>Financials Non-Banks</x:v>
      </x:c>
      <x:c r="F6568" s="13" t="str">
        <x:v>Financials</x:v>
      </x:c>
      <x:c r="G6568" s="13" t="str">
        <x:v>grid_cqzdsc3v.xlsx</x:v>
      </x:c>
    </x:row>
    <x:row r="6569">
      <x:c r="A6569" s="15" t="n">
        <x:v>43435</x:v>
      </x:c>
      <x:c r="B6569" s="13" t="str">
        <x:v>ITAUSA SA</x:v>
      </x:c>
      <x:c r="C6569" s="16" t="n">
        <x:v>11804.000256</x:v>
      </x:c>
      <x:c r="D6569" s="13" t="str">
        <x:v>Financials Non-Banks</x:v>
      </x:c>
      <x:c r="E6569" s="13" t="str">
        <x:v>Financials Non-Banks</x:v>
      </x:c>
      <x:c r="F6569" s="13" t="str">
        <x:v>Financials</x:v>
      </x:c>
      <x:c r="G6569" s="13" t="str">
        <x:v>grid_cqzdsc3v.xlsx</x:v>
      </x:c>
    </x:row>
    <x:row r="6570">
      <x:c r="A6570" s="15" t="n">
        <x:v>43435</x:v>
      </x:c>
      <x:c r="B6570" s="13" t="str">
        <x:v>AMBEV SA</x:v>
      </x:c>
      <x:c r="C6570" s="16" t="n">
        <x:v>13436.8</x:v>
      </x:c>
      <x:c r="D6570" s="13" t="str">
        <x:v>Food &amp; Beverages</x:v>
      </x:c>
      <x:c r="E6570" s="13" t="str">
        <x:v>Agri, Food &amp; Beverages</x:v>
      </x:c>
      <x:c r="F6570" s="13" t="str">
        <x:v>Defensives</x:v>
      </x:c>
      <x:c r="G6570" s="13" t="str">
        <x:v>grid_cqzdsc3v.xlsx</x:v>
      </x:c>
    </x:row>
    <x:row r="6571">
      <x:c r="A6571" s="15" t="n">
        <x:v>43435</x:v>
      </x:c>
      <x:c r="B6571" s="13" t="str">
        <x:v>BRF SA</x:v>
      </x:c>
      <x:c r="C6571" s="16" t="n">
        <x:v>-26.1333</x:v>
      </x:c>
      <x:c r="D6571" s="13" t="str">
        <x:v>Food &amp; Beverages</x:v>
      </x:c>
      <x:c r="E6571" s="13" t="str">
        <x:v>Agri, Food &amp; Beverages</x:v>
      </x:c>
      <x:c r="F6571" s="13" t="str">
        <x:v>Defensives</x:v>
      </x:c>
      <x:c r="G6571" s="13" t="str">
        <x:v>grid_cqzdsc3v.xlsx</x:v>
      </x:c>
    </x:row>
    <x:row r="6572">
      <x:c r="A6572" s="15" t="n">
        <x:v>43435</x:v>
      </x:c>
      <x:c r="B6572" s="13" t="str">
        <x:v>JBS SA</x:v>
      </x:c>
      <x:c r="C6572" s="16" t="n">
        <x:v>4564.639744</x:v>
      </x:c>
      <x:c r="D6572" s="13" t="str">
        <x:v>Food &amp; Beverages</x:v>
      </x:c>
      <x:c r="E6572" s="13" t="str">
        <x:v>Agri, Food &amp; Beverages</x:v>
      </x:c>
      <x:c r="F6572" s="13" t="str">
        <x:v>Defensives</x:v>
      </x:c>
      <x:c r="G6572" s="13" t="str">
        <x:v>grid_cqzdsc3v.xlsx</x:v>
      </x:c>
    </x:row>
    <x:row r="6573">
      <x:c r="A6573" s="15" t="n">
        <x:v>43435</x:v>
      </x:c>
      <x:c r="B6573" s="13" t="str">
        <x:v>MBRF GLOBAL FOODS COMPANY SA</x:v>
      </x:c>
      <x:c r="C6573" s="16" t="n">
        <x:v>387.571008</x:v>
      </x:c>
      <x:c r="D6573" s="13" t="str">
        <x:v>Food &amp; Beverages</x:v>
      </x:c>
      <x:c r="E6573" s="13" t="str">
        <x:v>Agri, Food &amp; Beverages</x:v>
      </x:c>
      <x:c r="F6573" s="13" t="str">
        <x:v>Defensives</x:v>
      </x:c>
      <x:c r="G6573" s="13" t="str">
        <x:v>grid_cqzdsc3v.xlsx</x:v>
      </x:c>
    </x:row>
    <x:row r="6574">
      <x:c r="A6574" s="15" t="n">
        <x:v>43435</x:v>
      </x:c>
      <x:c r="B6574" s="13" t="str">
        <x:v>FLEURY SA</x:v>
      </x:c>
      <x:c r="C6574" s="16" t="n">
        <x:v>377.4</x:v>
      </x:c>
      <x:c r="D6574" s="13" t="str">
        <x:v>Health Care</x:v>
      </x:c>
      <x:c r="E6574" s="13" t="str">
        <x:v>Health Care</x:v>
      </x:c>
      <x:c r="F6574" s="13" t="str">
        <x:v>Defensives</x:v>
      </x:c>
      <x:c r="G6574" s="13" t="str">
        <x:v>grid_cqzdsc3v.xlsx</x:v>
      </x:c>
    </x:row>
    <x:row r="6575">
      <x:c r="A6575" s="15" t="n">
        <x:v>43435</x:v>
      </x:c>
      <x:c r="B6575" s="13" t="str">
        <x:v>HYPERA SA</x:v>
      </x:c>
      <x:c r="C6575" s="16" t="n">
        <x:v>1216.140032</x:v>
      </x:c>
      <x:c r="D6575" s="13" t="str">
        <x:v>Health Care</x:v>
      </x:c>
      <x:c r="E6575" s="13" t="str">
        <x:v>Health Care</x:v>
      </x:c>
      <x:c r="F6575" s="13" t="str">
        <x:v>Defensives</x:v>
      </x:c>
      <x:c r="G6575" s="13" t="str">
        <x:v>grid_cqzdsc3v.xlsx</x:v>
      </x:c>
    </x:row>
    <x:row r="6576">
      <x:c r="A6576" s="15" t="n">
        <x:v>43435</x:v>
      </x:c>
      <x:c r="B6576" s="13" t="str">
        <x:v>QUALICORP CONS E CORR SEG SA</x:v>
      </x:c>
      <x:c r="C6576" s="16" t="n">
        <x:v>489.875008</x:v>
      </x:c>
      <x:c r="D6576" s="13" t="str">
        <x:v>Health Care</x:v>
      </x:c>
      <x:c r="E6576" s="13" t="str">
        <x:v>Health Care</x:v>
      </x:c>
      <x:c r="F6576" s="13" t="str">
        <x:v>Defensives</x:v>
      </x:c>
      <x:c r="G6576" s="13" t="str">
        <x:v>grid_cqzdsc3v.xlsx</x:v>
      </x:c>
    </x:row>
    <x:row r="6577">
      <x:c r="A6577" s="15" t="n">
        <x:v>43435</x:v>
      </x:c>
      <x:c r="B6577" s="13" t="str">
        <x:v>CYRELA BRAZIL REALTY SA EMP</x:v>
      </x:c>
      <x:c r="C6577" s="16" t="n">
        <x:v>324.111008</x:v>
      </x:c>
      <x:c r="D6577" s="13" t="str">
        <x:v>Homebuilders</x:v>
      </x:c>
      <x:c r="E6577" s="13" t="str">
        <x:v>Real Estate</x:v>
      </x:c>
      <x:c r="F6577" s="13" t="str">
        <x:v>Early Cyclicals</x:v>
      </x:c>
      <x:c r="G6577" s="13" t="str">
        <x:v>grid_cqzdsc3v.xlsx</x:v>
      </x:c>
    </x:row>
    <x:row r="6578">
      <x:c r="A6578" s="15" t="n">
        <x:v>43435</x:v>
      </x:c>
      <x:c r="B6578" s="13" t="str">
        <x:v>MRV ENGENHARIA</x:v>
      </x:c>
      <x:c r="C6578" s="16" t="n">
        <x:v>825.625024</x:v>
      </x:c>
      <x:c r="D6578" s="13" t="str">
        <x:v>Homebuilders</x:v>
      </x:c>
      <x:c r="E6578" s="13" t="str">
        <x:v>Real Estate</x:v>
      </x:c>
      <x:c r="F6578" s="13" t="str">
        <x:v>Early Cyclicals</x:v>
      </x:c>
      <x:c r="G6578" s="13" t="str">
        <x:v>grid_cqzdsc3v.xlsx</x:v>
      </x:c>
    </x:row>
    <x:row r="6579">
      <x:c r="A6579" s="15" t="n">
        <x:v>43435</x:v>
      </x:c>
      <x:c r="B6579" s="13" t="str">
        <x:v>BR MALLS PARTICIPACOES SA</x:v>
      </x:c>
      <x:c r="C6579" s="16" t="n">
        <x:v>633.900032</x:v>
      </x:c>
      <x:c r="D6579" s="13" t="str">
        <x:v>Income Properties</x:v>
      </x:c>
      <x:c r="E6579" s="13" t="str">
        <x:v>Real Estate</x:v>
      </x:c>
      <x:c r="F6579" s="13" t="str">
        <x:v>Early Cyclicals</x:v>
      </x:c>
      <x:c r="G6579" s="13" t="str">
        <x:v>grid_cqzdsc3v.xlsx</x:v>
      </x:c>
    </x:row>
    <x:row r="6580">
      <x:c r="A6580" s="15" t="n">
        <x:v>43435</x:v>
      </x:c>
      <x:c r="B6580" s="13" t="str">
        <x:v>IGUATEMI EMP DE SHOPPING</x:v>
      </x:c>
      <x:c r="C6580" s="16" t="n">
        <x:v>291.3</x:v>
      </x:c>
      <x:c r="D6580" s="13" t="str">
        <x:v>Income Properties</x:v>
      </x:c>
      <x:c r="E6580" s="13" t="str">
        <x:v>Real Estate</x:v>
      </x:c>
      <x:c r="F6580" s="13" t="str">
        <x:v>Early Cyclicals</x:v>
      </x:c>
      <x:c r="G6580" s="13" t="str">
        <x:v>grid_cqzdsc3v.xlsx</x:v>
      </x:c>
    </x:row>
    <x:row r="6581">
      <x:c r="A6581" s="15" t="n">
        <x:v>43435</x:v>
      </x:c>
      <x:c r="B6581" s="13" t="str">
        <x:v>MULTIPLAN EMPREENDIMENTOS</x:v>
      </x:c>
      <x:c r="C6581" s="16" t="n">
        <x:v>513.091008</x:v>
      </x:c>
      <x:c r="D6581" s="13" t="str">
        <x:v>Income Properties</x:v>
      </x:c>
      <x:c r="E6581" s="13" t="str">
        <x:v>Real Estate</x:v>
      </x:c>
      <x:c r="F6581" s="13" t="str">
        <x:v>Early Cyclicals</x:v>
      </x:c>
      <x:c r="G6581" s="13" t="str">
        <x:v>grid_cqzdsc3v.xlsx</x:v>
      </x:c>
    </x:row>
    <x:row r="6582">
      <x:c r="A6582" s="15" t="n">
        <x:v>43435</x:v>
      </x:c>
      <x:c r="B6582" s="13" t="str">
        <x:v>BRADESPAR SA -PREF</x:v>
      </x:c>
      <x:c r="C6582" s="16" t="n">
        <x:v>938</x:v>
      </x:c>
      <x:c r="D6582" s="13" t="str">
        <x:v>Metals &amp; Mining</x:v>
      </x:c>
      <x:c r="E6582" s="13" t="str">
        <x:v>Metals &amp; Mining</x:v>
      </x:c>
      <x:c r="F6582" s="13" t="str">
        <x:v>Deep Cyclicals</x:v>
      </x:c>
      <x:c r="G6582" s="13" t="str">
        <x:v>grid_cqzdsc3v.xlsx</x:v>
      </x:c>
    </x:row>
    <x:row r="6583">
      <x:c r="A6583" s="15" t="n">
        <x:v>43435</x:v>
      </x:c>
      <x:c r="B6583" s="13" t="str">
        <x:v>CIA SIDERURGICA NACIONAL SA</x:v>
      </x:c>
      <x:c r="C6583" s="16" t="n">
        <x:v>1381.619968</x:v>
      </x:c>
      <x:c r="D6583" s="13" t="str">
        <x:v>Metals &amp; Mining</x:v>
      </x:c>
      <x:c r="E6583" s="13" t="str">
        <x:v>Metals &amp; Mining</x:v>
      </x:c>
      <x:c r="F6583" s="13" t="str">
        <x:v>Deep Cyclicals</x:v>
      </x:c>
      <x:c r="G6583" s="13" t="str">
        <x:v>grid_cqzdsc3v.xlsx</x:v>
      </x:c>
    </x:row>
    <x:row r="6584">
      <x:c r="A6584" s="15" t="n">
        <x:v>43435</x:v>
      </x:c>
      <x:c r="B6584" s="13" t="str">
        <x:v>GERDAU SA-PREF</x:v>
      </x:c>
      <x:c r="C6584" s="16" t="n">
        <x:v>2840.329984</x:v>
      </x:c>
      <x:c r="D6584" s="13" t="str">
        <x:v>Metals &amp; Mining</x:v>
      </x:c>
      <x:c r="E6584" s="13" t="str">
        <x:v>Metals &amp; Mining</x:v>
      </x:c>
      <x:c r="F6584" s="13" t="str">
        <x:v>Deep Cyclicals</x:v>
      </x:c>
      <x:c r="G6584" s="13" t="str">
        <x:v>grid_cqzdsc3v.xlsx</x:v>
      </x:c>
    </x:row>
    <x:row r="6585">
      <x:c r="A6585" s="15" t="n">
        <x:v>43435</x:v>
      </x:c>
      <x:c r="B6585" s="13" t="str">
        <x:v>USINAS SIDER MINAS GER-PF A</x:v>
      </x:c>
      <x:c r="C6585" s="16" t="n">
        <x:v>1000.449984</x:v>
      </x:c>
      <x:c r="D6585" s="13" t="str">
        <x:v>Metals &amp; Mining</x:v>
      </x:c>
      <x:c r="E6585" s="13" t="str">
        <x:v>Metals &amp; Mining</x:v>
      </x:c>
      <x:c r="F6585" s="13" t="str">
        <x:v>Deep Cyclicals</x:v>
      </x:c>
      <x:c r="G6585" s="13" t="str">
        <x:v>grid_cqzdsc3v.xlsx</x:v>
      </x:c>
    </x:row>
    <x:row r="6586">
      <x:c r="A6586" s="15" t="n">
        <x:v>43435</x:v>
      </x:c>
      <x:c r="B6586" s="13" t="str">
        <x:v>VALE SA</x:v>
      </x:c>
      <x:c r="C6586" s="16" t="n">
        <x:v>34930.098176</x:v>
      </x:c>
      <x:c r="D6586" s="13" t="str">
        <x:v>Metals &amp; Mining</x:v>
      </x:c>
      <x:c r="E6586" s="13" t="str">
        <x:v>Metals &amp; Mining</x:v>
      </x:c>
      <x:c r="F6586" s="13" t="str">
        <x:v>Deep Cyclicals</x:v>
      </x:c>
      <x:c r="G6586" s="13" t="str">
        <x:v>grid_cqzdsc3v.xlsx</x:v>
      </x:c>
    </x:row>
    <x:row r="6587">
      <x:c r="A6587" s="15" t="n">
        <x:v>43435</x:v>
      </x:c>
      <x:c r="B6587" s="13" t="str">
        <x:v>BRASKEM SA-PREF A</x:v>
      </x:c>
      <x:c r="C6587" s="16" t="n">
        <x:v>2818.4</x:v>
      </x:c>
      <x:c r="D6587" s="13" t="str">
        <x:v>Oil, Gas &amp; Petrochemicals</x:v>
      </x:c>
      <x:c r="E6587" s="13" t="str">
        <x:v>Oil, Gas &amp; Petrochemicals</x:v>
      </x:c>
      <x:c r="F6587" s="13" t="str">
        <x:v>Deep Cyclicals</x:v>
      </x:c>
      <x:c r="G6587" s="13" t="str">
        <x:v>grid_cqzdsc3v.xlsx</x:v>
      </x:c>
    </x:row>
    <x:row r="6588">
      <x:c r="A6588" s="15" t="n">
        <x:v>43435</x:v>
      </x:c>
      <x:c r="B6588" s="13" t="str">
        <x:v>COSAN SA</x:v>
      </x:c>
      <x:c r="C6588" s="16" t="n">
        <x:v>1474.700032</x:v>
      </x:c>
      <x:c r="D6588" s="13" t="str">
        <x:v>Oil, Gas &amp; Petrochemicals</x:v>
      </x:c>
      <x:c r="E6588" s="13" t="str">
        <x:v>Oil, Gas &amp; Petrochemicals</x:v>
      </x:c>
      <x:c r="F6588" s="13" t="str">
        <x:v>Deep Cyclicals</x:v>
      </x:c>
      <x:c r="G6588" s="13" t="str">
        <x:v>grid_cqzdsc3v.xlsx</x:v>
      </x:c>
    </x:row>
    <x:row r="6589">
      <x:c r="A6589" s="15" t="n">
        <x:v>43435</x:v>
      </x:c>
      <x:c r="B6589" s="13" t="str">
        <x:v>PETROBRAS - PETROLEO BRAS</x:v>
      </x:c>
      <x:c r="C6589" s="16" t="n">
        <x:v>40895.598592</x:v>
      </x:c>
      <x:c r="D6589" s="13" t="str">
        <x:v>Oil, Gas &amp; Petrochemicals</x:v>
      </x:c>
      <x:c r="E6589" s="13" t="str">
        <x:v>Oil, Gas &amp; Petrochemicals</x:v>
      </x:c>
      <x:c r="F6589" s="13" t="str">
        <x:v>Deep Cyclicals</x:v>
      </x:c>
      <x:c r="G6589" s="13" t="str">
        <x:v>grid_cqzdsc3v.xlsx</x:v>
      </x:c>
    </x:row>
    <x:row r="6590">
      <x:c r="A6590" s="15" t="n">
        <x:v>43435</x:v>
      </x:c>
      <x:c r="B6590" s="13" t="str">
        <x:v>ULTRAPAR PARTICIPACOES SA</x:v>
      </x:c>
      <x:c r="C6590" s="16" t="n">
        <x:v>1413.170048</x:v>
      </x:c>
      <x:c r="D6590" s="13" t="str">
        <x:v>Oil, Gas &amp; Petrochemicals</x:v>
      </x:c>
      <x:c r="E6590" s="13" t="str">
        <x:v>Oil, Gas &amp; Petrochemicals</x:v>
      </x:c>
      <x:c r="F6590" s="13" t="str">
        <x:v>Deep Cyclicals</x:v>
      </x:c>
      <x:c r="G6590" s="13" t="str">
        <x:v>grid_cqzdsc3v.xlsx</x:v>
      </x:c>
    </x:row>
    <x:row r="6591">
      <x:c r="A6591" s="15" t="n">
        <x:v>43435</x:v>
      </x:c>
      <x:c r="B6591" s="13" t="str">
        <x:v>FIBRIA CELULOSE S/A</x:v>
      </x:c>
      <x:c r="C6591" s="16" t="n">
        <x:v>5270.450176</x:v>
      </x:c>
      <x:c r="D6591" s="13" t="str">
        <x:v>Pulp &amp; Paper</x:v>
      </x:c>
      <x:c r="E6591" s="13" t="str">
        <x:v>Pulp &amp; Paper</x:v>
      </x:c>
      <x:c r="F6591" s="13" t="str">
        <x:v>Deep Cyclicals</x:v>
      </x:c>
      <x:c r="G6591" s="13" t="str">
        <x:v>grid_cqzdsc3v.xlsx</x:v>
      </x:c>
    </x:row>
    <x:row r="6592">
      <x:c r="A6592" s="15" t="n">
        <x:v>43435</x:v>
      </x:c>
      <x:c r="B6592" s="13" t="str">
        <x:v>KLABIN SA - UNIT</x:v>
      </x:c>
      <x:c r="C6592" s="16" t="n">
        <x:v>1723.820032</x:v>
      </x:c>
      <x:c r="D6592" s="13" t="str">
        <x:v>Pulp &amp; Paper</x:v>
      </x:c>
      <x:c r="E6592" s="13" t="str">
        <x:v>Pulp &amp; Paper</x:v>
      </x:c>
      <x:c r="F6592" s="13" t="str">
        <x:v>Deep Cyclicals</x:v>
      </x:c>
      <x:c r="G6592" s="13" t="str">
        <x:v>grid_cqzdsc3v.xlsx</x:v>
      </x:c>
    </x:row>
    <x:row r="6593">
      <x:c r="A6593" s="15" t="n">
        <x:v>43435</x:v>
      </x:c>
      <x:c r="B6593" s="13" t="str">
        <x:v>SUZANO SA</x:v>
      </x:c>
      <x:c r="C6593" s="16" t="n">
        <x:v>6354.220032</x:v>
      </x:c>
      <x:c r="D6593" s="13" t="str">
        <x:v>Pulp &amp; Paper</x:v>
      </x:c>
      <x:c r="E6593" s="13" t="str">
        <x:v>Pulp &amp; Paper</x:v>
      </x:c>
      <x:c r="F6593" s="13" t="str">
        <x:v>Deep Cyclicals</x:v>
      </x:c>
      <x:c r="G6593" s="13" t="str">
        <x:v>grid_cqzdsc3v.xlsx</x:v>
      </x:c>
    </x:row>
    <x:row r="6594">
      <x:c r="A6594" s="15" t="n">
        <x:v>43435</x:v>
      </x:c>
      <x:c r="B6594" s="13" t="str">
        <x:v>AMERICANAS SA</x:v>
      </x:c>
      <x:c r="C6594" s="16" t="n">
        <x:v>-168.556</x:v>
      </x:c>
      <x:c r="D6594" s="13" t="str">
        <x:v>Retail</x:v>
      </x:c>
      <x:c r="E6594" s="13" t="str">
        <x:v>Retail</x:v>
      </x:c>
      <x:c r="F6594" s="13" t="str">
        <x:v>Early Cyclicals</x:v>
      </x:c>
      <x:c r="G6594" s="13" t="str">
        <x:v>grid_cqzdsc3v.xlsx</x:v>
      </x:c>
    </x:row>
    <x:row r="6595">
      <x:c r="A6595" s="15" t="n">
        <x:v>43435</x:v>
      </x:c>
      <x:c r="B6595" s="13" t="str">
        <x:v>CIA BRASILEIRA DE DIS-PREF</x:v>
      </x:c>
      <x:c r="C6595" s="16" t="n">
        <x:v>1077.44</x:v>
      </x:c>
      <x:c r="D6595" s="13" t="str">
        <x:v>Retail</x:v>
      </x:c>
      <x:c r="E6595" s="13" t="str">
        <x:v>Retail</x:v>
      </x:c>
      <x:c r="F6595" s="13" t="str">
        <x:v>Early Cyclicals</x:v>
      </x:c>
      <x:c r="G6595" s="13" t="str">
        <x:v>grid_cqzdsc3v.xlsx</x:v>
      </x:c>
    </x:row>
    <x:row r="6596">
      <x:c r="A6596" s="15" t="n">
        <x:v>43435</x:v>
      </x:c>
      <x:c r="B6596" s="13" t="str">
        <x:v>CVC BRASIL OPERADORA E AGENC</x:v>
      </x:c>
      <x:c r="C6596" s="16" t="n">
        <x:v>395.124992</x:v>
      </x:c>
      <x:c r="D6596" s="13" t="str">
        <x:v>Retail</x:v>
      </x:c>
      <x:c r="E6596" s="13" t="str">
        <x:v>Retail</x:v>
      </x:c>
      <x:c r="F6596" s="13" t="str">
        <x:v>Early Cyclicals</x:v>
      </x:c>
      <x:c r="G6596" s="13" t="str">
        <x:v>grid_cqzdsc3v.xlsx</x:v>
      </x:c>
    </x:row>
    <x:row r="6597">
      <x:c r="A6597" s="15" t="n">
        <x:v>43435</x:v>
      </x:c>
      <x:c r="B6597" s="13" t="str">
        <x:v>GRUPO CASAS BAHIA SA</x:v>
      </x:c>
      <x:c r="C6597" s="16" t="n">
        <x:v>525.222016</x:v>
      </x:c>
      <x:c r="D6597" s="13" t="str">
        <x:v>Retail</x:v>
      </x:c>
      <x:c r="E6597" s="13" t="str">
        <x:v>Retail</x:v>
      </x:c>
      <x:c r="F6597" s="13" t="str">
        <x:v>Early Cyclicals</x:v>
      </x:c>
      <x:c r="G6597" s="13" t="str">
        <x:v>grid_cqzdsc3v.xlsx</x:v>
      </x:c>
    </x:row>
    <x:row r="6598">
      <x:c r="A6598" s="15" t="n">
        <x:v>43435</x:v>
      </x:c>
      <x:c r="B6598" s="13" t="str">
        <x:v>LOJAS AMERICANAS SA-PREF</x:v>
      </x:c>
      <x:c r="C6598" s="16" t="n">
        <x:v>828.777984</x:v>
      </x:c>
      <x:c r="D6598" s="13" t="str">
        <x:v>Retail</x:v>
      </x:c>
      <x:c r="E6598" s="13" t="str">
        <x:v>Retail</x:v>
      </x:c>
      <x:c r="F6598" s="13" t="str">
        <x:v>Early Cyclicals</x:v>
      </x:c>
      <x:c r="G6598" s="13" t="str">
        <x:v>grid_cqzdsc3v.xlsx</x:v>
      </x:c>
    </x:row>
    <x:row r="6599">
      <x:c r="A6599" s="15" t="n">
        <x:v>43435</x:v>
      </x:c>
      <x:c r="B6599" s="13" t="str">
        <x:v>LOJAS RENNER S.A.</x:v>
      </x:c>
      <x:c r="C6599" s="16" t="n">
        <x:v>1123.709952</x:v>
      </x:c>
      <x:c r="D6599" s="13" t="str">
        <x:v>Retail</x:v>
      </x:c>
      <x:c r="E6599" s="13" t="str">
        <x:v>Retail</x:v>
      </x:c>
      <x:c r="F6599" s="13" t="str">
        <x:v>Early Cyclicals</x:v>
      </x:c>
      <x:c r="G6599" s="13" t="str">
        <x:v>grid_cqzdsc3v.xlsx</x:v>
      </x:c>
    </x:row>
    <x:row r="6600">
      <x:c r="A6600" s="15" t="n">
        <x:v>43435</x:v>
      </x:c>
      <x:c r="B6600" s="13" t="str">
        <x:v>MAGAZINE LUIZA SA</x:v>
      </x:c>
      <x:c r="C6600" s="16" t="n">
        <x:v>750.750016</x:v>
      </x:c>
      <x:c r="D6600" s="13" t="str">
        <x:v>Retail</x:v>
      </x:c>
      <x:c r="E6600" s="13" t="str">
        <x:v>Retail</x:v>
      </x:c>
      <x:c r="F6600" s="13" t="str">
        <x:v>Early Cyclicals</x:v>
      </x:c>
      <x:c r="G6600" s="13" t="str">
        <x:v>grid_cqzdsc3v.xlsx</x:v>
      </x:c>
    </x:row>
    <x:row r="6601">
      <x:c r="A6601" s="15" t="n">
        <x:v>43435</x:v>
      </x:c>
      <x:c r="B6601" s="13" t="str">
        <x:v>RAIA DROGASIL SA</x:v>
      </x:c>
      <x:c r="C6601" s="16" t="n">
        <x:v>611.777984</x:v>
      </x:c>
      <x:c r="D6601" s="13" t="str">
        <x:v>Retail</x:v>
      </x:c>
      <x:c r="E6601" s="13" t="str">
        <x:v>Retail</x:v>
      </x:c>
      <x:c r="F6601" s="13" t="str">
        <x:v>Early Cyclicals</x:v>
      </x:c>
      <x:c r="G6601" s="13" t="str">
        <x:v>grid_cqzdsc3v.xlsx</x:v>
      </x:c>
    </x:row>
    <x:row r="6602">
      <x:c r="A6602" s="15" t="n">
        <x:v>43435</x:v>
      </x:c>
      <x:c r="B6602" s="13" t="str">
        <x:v>CIA SANEAMENTO BASICO DE SP</x:v>
      </x:c>
      <x:c r="C6602" s="16" t="n">
        <x:v>2922.200064</x:v>
      </x:c>
      <x:c r="D6602" s="13" t="str">
        <x:v>Sanitation</x:v>
      </x:c>
      <x:c r="E6602" s="13" t="str">
        <x:v>Utilities</x:v>
      </x:c>
      <x:c r="F6602" s="13" t="str">
        <x:v>Defensives</x:v>
      </x:c>
      <x:c r="G6602" s="13" t="str">
        <x:v>grid_cqzdsc3v.xlsx</x:v>
      </x:c>
    </x:row>
    <x:row r="6603">
      <x:c r="A6603" s="15" t="n">
        <x:v>43435</x:v>
      </x:c>
      <x:c r="B6603" s="13" t="str">
        <x:v>SMILES FIDELIDADE SA</x:v>
      </x:c>
      <x:c r="C6603" s="16" t="n">
        <x:v>634.499968</x:v>
      </x:c>
      <x:c r="D6603" s="13" t="str">
        <x:v>TMT</x:v>
      </x:c>
      <x:c r="E6603" s="13" t="str">
        <x:v>TMT</x:v>
      </x:c>
      <x:c r="F6603" s="13" t="str">
        <x:v>Early Cyclicals</x:v>
      </x:c>
      <x:c r="G6603" s="13" t="str">
        <x:v>grid_cqzdsc3v.xlsx</x:v>
      </x:c>
    </x:row>
    <x:row r="6604">
      <x:c r="A6604" s="15" t="n">
        <x:v>43435</x:v>
      </x:c>
      <x:c r="B6604" s="13" t="str">
        <x:v>TELEFONICA BRASIL S.A.-PREF</x:v>
      </x:c>
      <x:c r="C6604" s="16" t="n">
        <x:v>5726.430208</x:v>
      </x:c>
      <x:c r="D6604" s="13" t="str">
        <x:v>TMT</x:v>
      </x:c>
      <x:c r="E6604" s="13" t="str">
        <x:v>TMT</x:v>
      </x:c>
      <x:c r="F6604" s="13" t="str">
        <x:v>Early Cyclicals</x:v>
      </x:c>
      <x:c r="G6604" s="13" t="str">
        <x:v>grid_cqzdsc3v.xlsx</x:v>
      </x:c>
    </x:row>
    <x:row r="6605">
      <x:c r="A6605" s="15" t="n">
        <x:v>43435</x:v>
      </x:c>
      <x:c r="B6605" s="13" t="str">
        <x:v>TIM SA</x:v>
      </x:c>
      <x:c r="C6605" s="16" t="n">
        <x:v>1920</x:v>
      </x:c>
      <x:c r="D6605" s="13" t="str">
        <x:v>TMT</x:v>
      </x:c>
      <x:c r="E6605" s="13" t="str">
        <x:v>TMT</x:v>
      </x:c>
      <x:c r="F6605" s="13" t="str">
        <x:v>Early Cyclicals</x:v>
      </x:c>
      <x:c r="G6605" s="13" t="str">
        <x:v>grid_cqzdsc3v.xlsx</x:v>
      </x:c>
    </x:row>
    <x:row r="6606">
      <x:c r="A6606" s="15" t="n">
        <x:v>43435</x:v>
      </x:c>
      <x:c r="B6606" s="13" t="str">
        <x:v>ECORODOVIAS INFRA E LOG SA</x:v>
      </x:c>
      <x:c r="C6606" s="16" t="n">
        <x:v>550.2</x:v>
      </x:c>
      <x:c r="D6606" s="13" t="str">
        <x:v>Transportation</x:v>
      </x:c>
      <x:c r="E6606" s="13" t="str">
        <x:v>Transportation</x:v>
      </x:c>
      <x:c r="F6606" s="13" t="str">
        <x:v>Deep Cyclicals</x:v>
      </x:c>
      <x:c r="G6606" s="13" t="str">
        <x:v>grid_cqzdsc3v.xlsx</x:v>
      </x:c>
    </x:row>
    <x:row r="6607">
      <x:c r="A6607" s="15" t="n">
        <x:v>43435</x:v>
      </x:c>
      <x:c r="B6607" s="13" t="str">
        <x:v>GOL LINHAS AEREAS INT SA-PRE</x:v>
      </x:c>
      <x:c r="C6607" s="16" t="n">
        <x:v>255.24</x:v>
      </x:c>
      <x:c r="D6607" s="13" t="str">
        <x:v>Transportation</x:v>
      </x:c>
      <x:c r="E6607" s="13" t="str">
        <x:v>Transportation</x:v>
      </x:c>
      <x:c r="F6607" s="13" t="str">
        <x:v>Deep Cyclicals</x:v>
      </x:c>
      <x:c r="G6607" s="13" t="str">
        <x:v>grid_cqzdsc3v.xlsx</x:v>
      </x:c>
    </x:row>
    <x:row r="6608">
      <x:c r="A6608" s="15" t="n">
        <x:v>43435</x:v>
      </x:c>
      <x:c r="B6608" s="13" t="str">
        <x:v>LOCALIZA RENT A CAR</x:v>
      </x:c>
      <x:c r="C6608" s="16" t="n">
        <x:v>812.726976</x:v>
      </x:c>
      <x:c r="D6608" s="13" t="str">
        <x:v>Transportation</x:v>
      </x:c>
      <x:c r="E6608" s="13" t="str">
        <x:v>Transportation</x:v>
      </x:c>
      <x:c r="F6608" s="13" t="str">
        <x:v>Deep Cyclicals</x:v>
      </x:c>
      <x:c r="G6608" s="13" t="str">
        <x:v>grid_cqzdsc3v.xlsx</x:v>
      </x:c>
    </x:row>
    <x:row r="6609">
      <x:c r="A6609" s="15" t="n">
        <x:v>43435</x:v>
      </x:c>
      <x:c r="B6609" s="13" t="str">
        <x:v>MOTIVA INFRAESTRUTURA DE MOB</x:v>
      </x:c>
      <x:c r="C6609" s="16" t="n">
        <x:v>1984.920064</x:v>
      </x:c>
      <x:c r="D6609" s="13" t="str">
        <x:v>Transportation</x:v>
      </x:c>
      <x:c r="E6609" s="13" t="str">
        <x:v>Transportation</x:v>
      </x:c>
      <x:c r="F6609" s="13" t="str">
        <x:v>Deep Cyclicals</x:v>
      </x:c>
      <x:c r="G6609" s="13" t="str">
        <x:v>grid_cqzdsc3v.xlsx</x:v>
      </x:c>
    </x:row>
    <x:row r="6610">
      <x:c r="A6610" s="15" t="n">
        <x:v>43435</x:v>
      </x:c>
      <x:c r="B6610" s="13" t="str">
        <x:v>RUMO SA</x:v>
      </x:c>
      <x:c r="C6610" s="16" t="n">
        <x:v>760</x:v>
      </x:c>
      <x:c r="D6610" s="13" t="str">
        <x:v>Transportation</x:v>
      </x:c>
      <x:c r="E6610" s="13" t="str">
        <x:v>Transportation</x:v>
      </x:c>
      <x:c r="F6610" s="13" t="str">
        <x:v>Deep Cyclicals</x:v>
      </x:c>
      <x:c r="G6610" s="13" t="str">
        <x:v>grid_cqzdsc3v.xlsx</x:v>
      </x:c>
    </x:row>
    <x:row r="6611">
      <x:c r="A6611" s="15" t="n">
        <x:v>43435</x:v>
      </x:c>
      <x:c r="B6611" s="13" t="str">
        <x:v>AXIA ENERGIA SA</x:v>
      </x:c>
      <x:c r="C6611" s="16" t="n">
        <x:v>2511.670016</x:v>
      </x:c>
      <x:c r="D6611" s="13" t="str">
        <x:v>Utilities &amp; Energy</x:v>
      </x:c>
      <x:c r="E6611" s="13" t="str">
        <x:v>Utilities</x:v>
      </x:c>
      <x:c r="F6611" s="13" t="str">
        <x:v>Defensives</x:v>
      </x:c>
      <x:c r="G6611" s="13" t="str">
        <x:v>grid_cqzdsc3v.xlsx</x:v>
      </x:c>
    </x:row>
    <x:row r="6612">
      <x:c r="A6612" s="15" t="n">
        <x:v>43435</x:v>
      </x:c>
      <x:c r="B6612" s="13" t="str">
        <x:v>AXIA ENERGIA-PR B</x:v>
      </x:c>
      <x:c r="C6612" s="16" t="n">
        <x:v>2511.670016</x:v>
      </x:c>
      <x:c r="D6612" s="13" t="str">
        <x:v>Utilities &amp; Energy</x:v>
      </x:c>
      <x:c r="E6612" s="13" t="str">
        <x:v>Utilities</x:v>
      </x:c>
      <x:c r="F6612" s="13" t="str">
        <x:v>Defensives</x:v>
      </x:c>
      <x:c r="G6612" s="13" t="str">
        <x:v>grid_cqzdsc3v.xlsx</x:v>
      </x:c>
    </x:row>
    <x:row r="6613">
      <x:c r="A6613" s="15" t="n">
        <x:v>43435</x:v>
      </x:c>
      <x:c r="B6613" s="13" t="str">
        <x:v>CIA ENERGETICA MINAS GER-PRF</x:v>
      </x:c>
      <x:c r="C6613" s="16" t="n">
        <x:v>1885.299968</x:v>
      </x:c>
      <x:c r="D6613" s="13" t="str">
        <x:v>Utilities &amp; Energy</x:v>
      </x:c>
      <x:c r="E6613" s="13" t="str">
        <x:v>Utilities</x:v>
      </x:c>
      <x:c r="F6613" s="13" t="str">
        <x:v>Defensives</x:v>
      </x:c>
      <x:c r="G6613" s="13" t="str">
        <x:v>grid_cqzdsc3v.xlsx</x:v>
      </x:c>
    </x:row>
    <x:row r="6614">
      <x:c r="A6614" s="15" t="n">
        <x:v>43435</x:v>
      </x:c>
      <x:c r="B6614" s="13" t="str">
        <x:v>COMPANHIA PARANAENSE -PREF B</x:v>
      </x:c>
      <x:c r="C6614" s="16" t="n">
        <x:v>1454.300032</x:v>
      </x:c>
      <x:c r="D6614" s="13" t="str">
        <x:v>Utilities &amp; Energy</x:v>
      </x:c>
      <x:c r="E6614" s="13" t="str">
        <x:v>Utilities</x:v>
      </x:c>
      <x:c r="F6614" s="13" t="str">
        <x:v>Defensives</x:v>
      </x:c>
      <x:c r="G6614" s="13" t="str">
        <x:v>grid_cqzdsc3v.xlsx</x:v>
      </x:c>
    </x:row>
    <x:row r="6615">
      <x:c r="A6615" s="15" t="n">
        <x:v>43435</x:v>
      </x:c>
      <x:c r="B6615" s="13" t="str">
        <x:v>EDP - ENERGIAS DO BRASIL SA</x:v>
      </x:c>
      <x:c r="C6615" s="16" t="n">
        <x:v>884.777984</x:v>
      </x:c>
      <x:c r="D6615" s="13" t="str">
        <x:v>Utilities &amp; Energy</x:v>
      </x:c>
      <x:c r="E6615" s="13" t="str">
        <x:v>Utilities</x:v>
      </x:c>
      <x:c r="F6615" s="13" t="str">
        <x:v>Defensives</x:v>
      </x:c>
      <x:c r="G6615" s="13" t="str">
        <x:v>grid_cqzdsc3v.xlsx</x:v>
      </x:c>
    </x:row>
    <x:row r="6616">
      <x:c r="A6616" s="15" t="n">
        <x:v>43435</x:v>
      </x:c>
      <x:c r="B6616" s="13" t="str">
        <x:v>ENGIE BRASIL ENERGIA SA</x:v>
      </x:c>
      <x:c r="C6616" s="16" t="n">
        <x:v>2510.860032</x:v>
      </x:c>
      <x:c r="D6616" s="13" t="str">
        <x:v>Utilities &amp; Energy</x:v>
      </x:c>
      <x:c r="E6616" s="13" t="str">
        <x:v>Utilities</x:v>
      </x:c>
      <x:c r="F6616" s="13" t="str">
        <x:v>Defensives</x:v>
      </x:c>
      <x:c r="G6616" s="13" t="str">
        <x:v>grid_cqzdsc3v.xlsx</x:v>
      </x:c>
    </x:row>
    <x:row r="6617">
      <x:c r="A6617" s="15" t="n">
        <x:v>43435</x:v>
      </x:c>
      <x:c r="B6617" s="13" t="str">
        <x:v>EQUATORIAL SA - ORD</x:v>
      </x:c>
      <x:c r="C6617" s="16" t="n">
        <x:v>949.417024</x:v>
      </x:c>
      <x:c r="D6617" s="13" t="str">
        <x:v>Utilities &amp; Energy</x:v>
      </x:c>
      <x:c r="E6617" s="13" t="str">
        <x:v>Utilities</x:v>
      </x:c>
      <x:c r="F6617" s="13" t="str">
        <x:v>Defensives</x:v>
      </x:c>
      <x:c r="G6617" s="13" t="str">
        <x:v>grid_cqzdsc3v.xlsx</x:v>
      </x:c>
    </x:row>
    <x:row r="6618">
      <x:c r="A6618" s="15" t="n">
        <x:v>43435</x:v>
      </x:c>
      <x:c r="B6618" s="13" t="str">
        <x:v>TRANSMISSORA ALIANCA DE-UNIT</x:v>
      </x:c>
      <x:c r="C6618" s="16" t="n">
        <x:v>757.454976</x:v>
      </x:c>
      <x:c r="D6618" s="13" t="str">
        <x:v>Utilities &amp; Energy</x:v>
      </x:c>
      <x:c r="E6618" s="13" t="str">
        <x:v>Utilities</x:v>
      </x:c>
      <x:c r="F6618" s="13" t="str">
        <x:v>Defensives</x:v>
      </x:c>
      <x:c r="G6618" s="13" t="str">
        <x:v>grid_cqzdsc3v.xlsx</x:v>
      </x:c>
    </x:row>
    <x:row r="6619">
      <x:c r="A6619" s="15" t="n">
        <x:v>43466</x:v>
      </x:c>
      <x:c r="B6619" s="13" t="str">
        <x:v>BANCO BRADESCO S.A.</x:v>
      </x:c>
      <x:c r="C6619" s="16" t="n">
        <x:v>23624.543036153</x:v>
      </x:c>
      <x:c r="D6619" s="13" t="str">
        <x:v>Banks</x:v>
      </x:c>
      <x:c r="E6619" s="13" t="str">
        <x:v>Banks</x:v>
      </x:c>
      <x:c r="F6619" s="13" t="str">
        <x:v>Financials</x:v>
      </x:c>
      <x:c r="G6619" s="13" t="str">
        <x:v>grid_cqzdsc3v.xlsx</x:v>
      </x:c>
    </x:row>
    <x:row r="6620">
      <x:c r="A6620" s="15" t="n">
        <x:v>43466</x:v>
      </x:c>
      <x:c r="B6620" s="13" t="str">
        <x:v>BANCO BRADESCO SA-PREF</x:v>
      </x:c>
      <x:c r="C6620" s="16" t="n">
        <x:v>23624.543036153</x:v>
      </x:c>
      <x:c r="D6620" s="13" t="str">
        <x:v>Banks</x:v>
      </x:c>
      <x:c r="E6620" s="13" t="str">
        <x:v>Banks</x:v>
      </x:c>
      <x:c r="F6620" s="13" t="str">
        <x:v>Financials</x:v>
      </x:c>
      <x:c r="G6620" s="13" t="str">
        <x:v>grid_cqzdsc3v.xlsx</x:v>
      </x:c>
    </x:row>
    <x:row r="6621">
      <x:c r="A6621" s="15" t="n">
        <x:v>43466</x:v>
      </x:c>
      <x:c r="B6621" s="13" t="str">
        <x:v>BANCO DO BRASIL S.A.</x:v>
      </x:c>
      <x:c r="C6621" s="16" t="n">
        <x:v>15911.4906159563</x:v>
      </x:c>
      <x:c r="D6621" s="13" t="str">
        <x:v>Banks</x:v>
      </x:c>
      <x:c r="E6621" s="13" t="str">
        <x:v>Banks</x:v>
      </x:c>
      <x:c r="F6621" s="13" t="str">
        <x:v>Financials</x:v>
      </x:c>
      <x:c r="G6621" s="13" t="str">
        <x:v>grid_cqzdsc3v.xlsx</x:v>
      </x:c>
    </x:row>
    <x:row r="6622">
      <x:c r="A6622" s="15" t="n">
        <x:v>43466</x:v>
      </x:c>
      <x:c r="B6622" s="13" t="str">
        <x:v>BANCO SANTANDER  BRASIL-UNIT</x:v>
      </x:c>
      <x:c r="C6622" s="16" t="n">
        <x:v>13582.8703097705</x:v>
      </x:c>
      <x:c r="D6622" s="13" t="str">
        <x:v>Banks</x:v>
      </x:c>
      <x:c r="E6622" s="13" t="str">
        <x:v>Banks</x:v>
      </x:c>
      <x:c r="F6622" s="13" t="str">
        <x:v>Financials</x:v>
      </x:c>
      <x:c r="G6622" s="13" t="str">
        <x:v>grid_cqzdsc3v.xlsx</x:v>
      </x:c>
    </x:row>
    <x:row r="6623">
      <x:c r="A6623" s="15" t="n">
        <x:v>43466</x:v>
      </x:c>
      <x:c r="B6623" s="13" t="str">
        <x:v>ITAU UNIBANCO HOLDING S-PREF</x:v>
      </x:c>
      <x:c r="C6623" s="16" t="n">
        <x:v>29414.6269139235</x:v>
      </x:c>
      <x:c r="D6623" s="13" t="str">
        <x:v>Banks</x:v>
      </x:c>
      <x:c r="E6623" s="13" t="str">
        <x:v>Banks</x:v>
      </x:c>
      <x:c r="F6623" s="13" t="str">
        <x:v>Financials</x:v>
      </x:c>
      <x:c r="G6623" s="13" t="str">
        <x:v>grid_cqzdsc3v.xlsx</x:v>
      </x:c>
    </x:row>
    <x:row r="6624">
      <x:c r="A6624" s="15" t="n">
        <x:v>43466</x:v>
      </x:c>
      <x:c r="B6624" s="13" t="str">
        <x:v>EMBRAER SA</x:v>
      </x:c>
      <x:c r="C6624" s="16" t="n">
        <x:v>197.3130791694</x:v>
      </x:c>
      <x:c r="D6624" s="13" t="str">
        <x:v>Capital Goods</x:v>
      </x:c>
      <x:c r="E6624" s="13" t="str">
        <x:v>Capital Goods</x:v>
      </x:c>
      <x:c r="F6624" s="13" t="str">
        <x:v>Deep Cyclicals</x:v>
      </x:c>
      <x:c r="G6624" s="13" t="str">
        <x:v>grid_cqzdsc3v.xlsx</x:v>
      </x:c>
    </x:row>
    <x:row r="6625">
      <x:c r="A6625" s="15" t="n">
        <x:v>43466</x:v>
      </x:c>
      <x:c r="B6625" s="13" t="str">
        <x:v>WEG SA</x:v>
      </x:c>
      <x:c r="C6625" s="16" t="n">
        <x:v>1569.4463958033</x:v>
      </x:c>
      <x:c r="D6625" s="13" t="str">
        <x:v>Capital Goods</x:v>
      </x:c>
      <x:c r="E6625" s="13" t="str">
        <x:v>Capital Goods</x:v>
      </x:c>
      <x:c r="F6625" s="13" t="str">
        <x:v>Deep Cyclicals</x:v>
      </x:c>
      <x:c r="G6625" s="13" t="str">
        <x:v>grid_cqzdsc3v.xlsx</x:v>
      </x:c>
    </x:row>
    <x:row r="6626">
      <x:c r="A6626" s="15" t="n">
        <x:v>43466</x:v>
      </x:c>
      <x:c r="B6626" s="13" t="str">
        <x:v>COGNA EDUCACAO</x:v>
      </x:c>
      <x:c r="C6626" s="16" t="n">
        <x:v>1741.100190776</x:v>
      </x:c>
      <x:c r="D6626" s="13" t="str">
        <x:v>Education</x:v>
      </x:c>
      <x:c r="E6626" s="13" t="str">
        <x:v>Education</x:v>
      </x:c>
      <x:c r="F6626" s="13" t="str">
        <x:v>Early Cyclicals</x:v>
      </x:c>
      <x:c r="G6626" s="13" t="str">
        <x:v>grid_cqzdsc3v.xlsx</x:v>
      </x:c>
    </x:row>
    <x:row r="6627">
      <x:c r="A6627" s="15" t="n">
        <x:v>43466</x:v>
      </x:c>
      <x:c r="B6627" s="13" t="str">
        <x:v>YDUQS PARTICIPACOES SA</x:v>
      </x:c>
      <x:c r="C6627" s="16" t="n">
        <x:v>881.9755432568</x:v>
      </x:c>
      <x:c r="D6627" s="13" t="str">
        <x:v>Education</x:v>
      </x:c>
      <x:c r="E6627" s="13" t="str">
        <x:v>Education</x:v>
      </x:c>
      <x:c r="F6627" s="13" t="str">
        <x:v>Early Cyclicals</x:v>
      </x:c>
      <x:c r="G6627" s="13" t="str">
        <x:v>grid_cqzdsc3v.xlsx</x:v>
      </x:c>
    </x:row>
    <x:row r="6628">
      <x:c r="A6628" s="15" t="n">
        <x:v>43466</x:v>
      </x:c>
      <x:c r="B6628" s="13" t="str">
        <x:v>B3 SA-BRASIL BOLSA BALCAO</x:v>
      </x:c>
      <x:c r="C6628" s="16" t="n">
        <x:v>3050.2911216612</x:v>
      </x:c>
      <x:c r="D6628" s="13" t="str">
        <x:v>Financials Non-Banks</x:v>
      </x:c>
      <x:c r="E6628" s="13" t="str">
        <x:v>Financials Non-Banks</x:v>
      </x:c>
      <x:c r="F6628" s="13" t="str">
        <x:v>Financials</x:v>
      </x:c>
      <x:c r="G6628" s="13" t="str">
        <x:v>grid_cqzdsc3v.xlsx</x:v>
      </x:c>
    </x:row>
    <x:row r="6629">
      <x:c r="A6629" s="15" t="n">
        <x:v>43466</x:v>
      </x:c>
      <x:c r="B6629" s="13" t="str">
        <x:v>BB SEGURIDADE PARTICIPACOES</x:v>
      </x:c>
      <x:c r="C6629" s="16" t="n">
        <x:v>4160.8673671694</x:v>
      </x:c>
      <x:c r="D6629" s="13" t="str">
        <x:v>Financials Non-Banks</x:v>
      </x:c>
      <x:c r="E6629" s="13" t="str">
        <x:v>Financials Non-Banks</x:v>
      </x:c>
      <x:c r="F6629" s="13" t="str">
        <x:v>Financials</x:v>
      </x:c>
      <x:c r="G6629" s="13" t="str">
        <x:v>grid_cqzdsc3v.xlsx</x:v>
      </x:c>
    </x:row>
    <x:row r="6630">
      <x:c r="A6630" s="15" t="n">
        <x:v>43466</x:v>
      </x:c>
      <x:c r="B6630" s="13" t="str">
        <x:v>CIELO SA - INSTITUICAO DE PA</x:v>
      </x:c>
      <x:c r="C6630" s="16" t="n">
        <x:v>2740.2080860328</x:v>
      </x:c>
      <x:c r="D6630" s="13" t="str">
        <x:v>Financials Non-Banks</x:v>
      </x:c>
      <x:c r="E6630" s="13" t="str">
        <x:v>Financials Non-Banks</x:v>
      </x:c>
      <x:c r="F6630" s="13" t="str">
        <x:v>Financials</x:v>
      </x:c>
      <x:c r="G6630" s="13" t="str">
        <x:v>grid_cqzdsc3v.xlsx</x:v>
      </x:c>
    </x:row>
    <x:row r="6631">
      <x:c r="A6631" s="15" t="n">
        <x:v>43466</x:v>
      </x:c>
      <x:c r="B6631" s="13" t="str">
        <x:v>ITAUSA SA</x:v>
      </x:c>
      <x:c r="C6631" s="16" t="n">
        <x:v>11643.4425453115</x:v>
      </x:c>
      <x:c r="D6631" s="13" t="str">
        <x:v>Financials Non-Banks</x:v>
      </x:c>
      <x:c r="E6631" s="13" t="str">
        <x:v>Financials Non-Banks</x:v>
      </x:c>
      <x:c r="F6631" s="13" t="str">
        <x:v>Financials</x:v>
      </x:c>
      <x:c r="G6631" s="13" t="str">
        <x:v>grid_cqzdsc3v.xlsx</x:v>
      </x:c>
    </x:row>
    <x:row r="6632">
      <x:c r="A6632" s="15" t="n">
        <x:v>43466</x:v>
      </x:c>
      <x:c r="B6632" s="13" t="str">
        <x:v>AMBEV SA</x:v>
      </x:c>
      <x:c r="C6632" s="16" t="n">
        <x:v>13430.6581487213</x:v>
      </x:c>
      <x:c r="D6632" s="13" t="str">
        <x:v>Food &amp; Beverages</x:v>
      </x:c>
      <x:c r="E6632" s="13" t="str">
        <x:v>Agri, Food &amp; Beverages</x:v>
      </x:c>
      <x:c r="F6632" s="13" t="str">
        <x:v>Defensives</x:v>
      </x:c>
      <x:c r="G6632" s="13" t="str">
        <x:v>grid_cqzdsc3v.xlsx</x:v>
      </x:c>
    </x:row>
    <x:row r="6633">
      <x:c r="A6633" s="15" t="n">
        <x:v>43466</x:v>
      </x:c>
      <x:c r="B6633" s="13" t="str">
        <x:v>BRF SA</x:v>
      </x:c>
      <x:c r="C6633" s="16" t="n">
        <x:v>-28.0679655519</x:v>
      </x:c>
      <x:c r="D6633" s="13" t="str">
        <x:v>Food &amp; Beverages</x:v>
      </x:c>
      <x:c r="E6633" s="13" t="str">
        <x:v>Agri, Food &amp; Beverages</x:v>
      </x:c>
      <x:c r="F6633" s="13" t="str">
        <x:v>Defensives</x:v>
      </x:c>
      <x:c r="G6633" s="13" t="str">
        <x:v>grid_cqzdsc3v.xlsx</x:v>
      </x:c>
    </x:row>
    <x:row r="6634">
      <x:c r="A6634" s="15" t="n">
        <x:v>43466</x:v>
      </x:c>
      <x:c r="B6634" s="13" t="str">
        <x:v>JBS SA</x:v>
      </x:c>
      <x:c r="C6634" s="16" t="n">
        <x:v>4938.6480416175</x:v>
      </x:c>
      <x:c r="D6634" s="13" t="str">
        <x:v>Food &amp; Beverages</x:v>
      </x:c>
      <x:c r="E6634" s="13" t="str">
        <x:v>Agri, Food &amp; Beverages</x:v>
      </x:c>
      <x:c r="F6634" s="13" t="str">
        <x:v>Defensives</x:v>
      </x:c>
      <x:c r="G6634" s="13" t="str">
        <x:v>grid_cqzdsc3v.xlsx</x:v>
      </x:c>
    </x:row>
    <x:row r="6635">
      <x:c r="A6635" s="15" t="n">
        <x:v>43466</x:v>
      </x:c>
      <x:c r="B6635" s="13" t="str">
        <x:v>MBRF GLOBAL FOODS COMPANY SA</x:v>
      </x:c>
      <x:c r="C6635" s="16" t="n">
        <x:v>469.1546448087</x:v>
      </x:c>
      <x:c r="D6635" s="13" t="str">
        <x:v>Food &amp; Beverages</x:v>
      </x:c>
      <x:c r="E6635" s="13" t="str">
        <x:v>Agri, Food &amp; Beverages</x:v>
      </x:c>
      <x:c r="F6635" s="13" t="str">
        <x:v>Defensives</x:v>
      </x:c>
      <x:c r="G6635" s="13" t="str">
        <x:v>grid_cqzdsc3v.xlsx</x:v>
      </x:c>
    </x:row>
    <x:row r="6636">
      <x:c r="A6636" s="15" t="n">
        <x:v>43466</x:v>
      </x:c>
      <x:c r="B6636" s="13" t="str">
        <x:v>FLEURY SA</x:v>
      </x:c>
      <x:c r="C6636" s="16" t="n">
        <x:v>382.4357800219</x:v>
      </x:c>
      <x:c r="D6636" s="13" t="str">
        <x:v>Health Care</x:v>
      </x:c>
      <x:c r="E6636" s="13" t="str">
        <x:v>Health Care</x:v>
      </x:c>
      <x:c r="F6636" s="13" t="str">
        <x:v>Defensives</x:v>
      </x:c>
      <x:c r="G6636" s="13" t="str">
        <x:v>grid_cqzdsc3v.xlsx</x:v>
      </x:c>
    </x:row>
    <x:row r="6637">
      <x:c r="A6637" s="15" t="n">
        <x:v>43466</x:v>
      </x:c>
      <x:c r="B6637" s="13" t="str">
        <x:v>HYPERA SA</x:v>
      </x:c>
      <x:c r="C6637" s="16" t="n">
        <x:v>1212.151920612</x:v>
      </x:c>
      <x:c r="D6637" s="13" t="str">
        <x:v>Health Care</x:v>
      </x:c>
      <x:c r="E6637" s="13" t="str">
        <x:v>Health Care</x:v>
      </x:c>
      <x:c r="F6637" s="13" t="str">
        <x:v>Defensives</x:v>
      </x:c>
      <x:c r="G6637" s="13" t="str">
        <x:v>grid_cqzdsc3v.xlsx</x:v>
      </x:c>
    </x:row>
    <x:row r="6638">
      <x:c r="A6638" s="15" t="n">
        <x:v>43466</x:v>
      </x:c>
      <x:c r="B6638" s="13" t="str">
        <x:v>QUALICORP CONS E CORR SEG SA</x:v>
      </x:c>
      <x:c r="C6638" s="16" t="n">
        <x:v>487.4935977268</x:v>
      </x:c>
      <x:c r="D6638" s="13" t="str">
        <x:v>Health Care</x:v>
      </x:c>
      <x:c r="E6638" s="13" t="str">
        <x:v>Health Care</x:v>
      </x:c>
      <x:c r="F6638" s="13" t="str">
        <x:v>Defensives</x:v>
      </x:c>
      <x:c r="G6638" s="13" t="str">
        <x:v>grid_cqzdsc3v.xlsx</x:v>
      </x:c>
    </x:row>
    <x:row r="6639">
      <x:c r="A6639" s="15" t="n">
        <x:v>43466</x:v>
      </x:c>
      <x:c r="B6639" s="13" t="str">
        <x:v>CYRELA BRAZIL REALTY SA EMP</x:v>
      </x:c>
      <x:c r="C6639" s="16" t="n">
        <x:v>315.1583062732</x:v>
      </x:c>
      <x:c r="D6639" s="13" t="str">
        <x:v>Homebuilders</x:v>
      </x:c>
      <x:c r="E6639" s="13" t="str">
        <x:v>Real Estate</x:v>
      </x:c>
      <x:c r="F6639" s="13" t="str">
        <x:v>Early Cyclicals</x:v>
      </x:c>
      <x:c r="G6639" s="13" t="str">
        <x:v>grid_cqzdsc3v.xlsx</x:v>
      </x:c>
    </x:row>
    <x:row r="6640">
      <x:c r="A6640" s="15" t="n">
        <x:v>43466</x:v>
      </x:c>
      <x:c r="B6640" s="13" t="str">
        <x:v>MRV ENGENHARIA</x:v>
      </x:c>
      <x:c r="C6640" s="16" t="n">
        <x:v>797.6823704481</x:v>
      </x:c>
      <x:c r="D6640" s="13" t="str">
        <x:v>Homebuilders</x:v>
      </x:c>
      <x:c r="E6640" s="13" t="str">
        <x:v>Real Estate</x:v>
      </x:c>
      <x:c r="F6640" s="13" t="str">
        <x:v>Early Cyclicals</x:v>
      </x:c>
      <x:c r="G6640" s="13" t="str">
        <x:v>grid_cqzdsc3v.xlsx</x:v>
      </x:c>
    </x:row>
    <x:row r="6641">
      <x:c r="A6641" s="15" t="n">
        <x:v>43466</x:v>
      </x:c>
      <x:c r="B6641" s="13" t="str">
        <x:v>BR MALLS PARTICIPACOES SA</x:v>
      </x:c>
      <x:c r="C6641" s="16" t="n">
        <x:v>645.1762171803</x:v>
      </x:c>
      <x:c r="D6641" s="13" t="str">
        <x:v>Income Properties</x:v>
      </x:c>
      <x:c r="E6641" s="13" t="str">
        <x:v>Real Estate</x:v>
      </x:c>
      <x:c r="F6641" s="13" t="str">
        <x:v>Early Cyclicals</x:v>
      </x:c>
      <x:c r="G6641" s="13" t="str">
        <x:v>grid_cqzdsc3v.xlsx</x:v>
      </x:c>
    </x:row>
    <x:row r="6642">
      <x:c r="A6642" s="15" t="n">
        <x:v>43466</x:v>
      </x:c>
      <x:c r="B6642" s="13" t="str">
        <x:v>IGUATEMI EMP DE SHOPPING</x:v>
      </x:c>
      <x:c r="C6642" s="16" t="n">
        <x:v>293.6774433224</x:v>
      </x:c>
      <x:c r="D6642" s="13" t="str">
        <x:v>Income Properties</x:v>
      </x:c>
      <x:c r="E6642" s="13" t="str">
        <x:v>Real Estate</x:v>
      </x:c>
      <x:c r="F6642" s="13" t="str">
        <x:v>Early Cyclicals</x:v>
      </x:c>
      <x:c r="G6642" s="13" t="str">
        <x:v>grid_cqzdsc3v.xlsx</x:v>
      </x:c>
    </x:row>
    <x:row r="6643">
      <x:c r="A6643" s="15" t="n">
        <x:v>43466</x:v>
      </x:c>
      <x:c r="B6643" s="13" t="str">
        <x:v>LOG COMMERCIAL PROPERTIES E</x:v>
      </x:c>
      <x:c r="C6643" s="16" t="n">
        <x:v>60.306557377</x:v>
      </x:c>
      <x:c r="D6643" s="13" t="str">
        <x:v>Income Properties</x:v>
      </x:c>
      <x:c r="E6643" s="13" t="str">
        <x:v>Real Estate</x:v>
      </x:c>
      <x:c r="F6643" s="13" t="str">
        <x:v>Early Cyclicals</x:v>
      </x:c>
      <x:c r="G6643" s="13" t="str">
        <x:v>grid_cqzdsc3v.xlsx</x:v>
      </x:c>
    </x:row>
    <x:row r="6644">
      <x:c r="A6644" s="15" t="n">
        <x:v>43466</x:v>
      </x:c>
      <x:c r="B6644" s="13" t="str">
        <x:v>MULTIPLAN EMPREENDIMENTOS</x:v>
      </x:c>
      <x:c r="C6644" s="16" t="n">
        <x:v>523.4219116066</x:v>
      </x:c>
      <x:c r="D6644" s="13" t="str">
        <x:v>Income Properties</x:v>
      </x:c>
      <x:c r="E6644" s="13" t="str">
        <x:v>Real Estate</x:v>
      </x:c>
      <x:c r="F6644" s="13" t="str">
        <x:v>Early Cyclicals</x:v>
      </x:c>
      <x:c r="G6644" s="13" t="str">
        <x:v>grid_cqzdsc3v.xlsx</x:v>
      </x:c>
    </x:row>
    <x:row r="6645">
      <x:c r="A6645" s="15" t="n">
        <x:v>43466</x:v>
      </x:c>
      <x:c r="B6645" s="13" t="str">
        <x:v>CIA SIDERURGICA NACIONAL SA</x:v>
      </x:c>
      <x:c r="C6645" s="16" t="n">
        <x:v>1540.0690668415</x:v>
      </x:c>
      <x:c r="D6645" s="13" t="str">
        <x:v>Metals &amp; Mining</x:v>
      </x:c>
      <x:c r="E6645" s="13" t="str">
        <x:v>Metals &amp; Mining</x:v>
      </x:c>
      <x:c r="F6645" s="13" t="str">
        <x:v>Deep Cyclicals</x:v>
      </x:c>
      <x:c r="G6645" s="13" t="str">
        <x:v>grid_cqzdsc3v.xlsx</x:v>
      </x:c>
    </x:row>
    <x:row r="6646">
      <x:c r="A6646" s="15" t="n">
        <x:v>43466</x:v>
      </x:c>
      <x:c r="B6646" s="13" t="str">
        <x:v>GERDAU SA-PREF</x:v>
      </x:c>
      <x:c r="C6646" s="16" t="n">
        <x:v>2867.844592612</x:v>
      </x:c>
      <x:c r="D6646" s="13" t="str">
        <x:v>Metals &amp; Mining</x:v>
      </x:c>
      <x:c r="E6646" s="13" t="str">
        <x:v>Metals &amp; Mining</x:v>
      </x:c>
      <x:c r="F6646" s="13" t="str">
        <x:v>Deep Cyclicals</x:v>
      </x:c>
      <x:c r="G6646" s="13" t="str">
        <x:v>grid_cqzdsc3v.xlsx</x:v>
      </x:c>
    </x:row>
    <x:row r="6647">
      <x:c r="A6647" s="15" t="n">
        <x:v>43466</x:v>
      </x:c>
      <x:c r="B6647" s="13" t="str">
        <x:v>USINAS SIDER MINAS GER-PF A</x:v>
      </x:c>
      <x:c r="C6647" s="16" t="n">
        <x:v>1027.0928989727</x:v>
      </x:c>
      <x:c r="D6647" s="13" t="str">
        <x:v>Metals &amp; Mining</x:v>
      </x:c>
      <x:c r="E6647" s="13" t="str">
        <x:v>Metals &amp; Mining</x:v>
      </x:c>
      <x:c r="F6647" s="13" t="str">
        <x:v>Deep Cyclicals</x:v>
      </x:c>
      <x:c r="G6647" s="13" t="str">
        <x:v>grid_cqzdsc3v.xlsx</x:v>
      </x:c>
    </x:row>
    <x:row r="6648">
      <x:c r="A6648" s="15" t="n">
        <x:v>43466</x:v>
      </x:c>
      <x:c r="B6648" s="13" t="str">
        <x:v>VALE SA</x:v>
      </x:c>
      <x:c r="C6648" s="16" t="n">
        <x:v>33726.2260962623</x:v>
      </x:c>
      <x:c r="D6648" s="13" t="str">
        <x:v>Metals &amp; Mining</x:v>
      </x:c>
      <x:c r="E6648" s="13" t="str">
        <x:v>Metals &amp; Mining</x:v>
      </x:c>
      <x:c r="F6648" s="13" t="str">
        <x:v>Deep Cyclicals</x:v>
      </x:c>
      <x:c r="G6648" s="13" t="str">
        <x:v>grid_cqzdsc3v.xlsx</x:v>
      </x:c>
    </x:row>
    <x:row r="6649">
      <x:c r="A6649" s="15" t="n">
        <x:v>43466</x:v>
      </x:c>
      <x:c r="B6649" s="13" t="str">
        <x:v>BRASKEM SA-PREF A</x:v>
      </x:c>
      <x:c r="C6649" s="16" t="n">
        <x:v>2625.710757071</x:v>
      </x:c>
      <x:c r="D6649" s="13" t="str">
        <x:v>Oil, Gas &amp; Petrochemicals</x:v>
      </x:c>
      <x:c r="E6649" s="13" t="str">
        <x:v>Oil, Gas &amp; Petrochemicals</x:v>
      </x:c>
      <x:c r="F6649" s="13" t="str">
        <x:v>Deep Cyclicals</x:v>
      </x:c>
      <x:c r="G6649" s="13" t="str">
        <x:v>grid_cqzdsc3v.xlsx</x:v>
      </x:c>
    </x:row>
    <x:row r="6650">
      <x:c r="A6650" s="15" t="n">
        <x:v>43466</x:v>
      </x:c>
      <x:c r="B6650" s="13" t="str">
        <x:v>COSAN SA</x:v>
      </x:c>
      <x:c r="C6650" s="16" t="n">
        <x:v>1474.7790856393</x:v>
      </x:c>
      <x:c r="D6650" s="13" t="str">
        <x:v>Oil, Gas &amp; Petrochemicals</x:v>
      </x:c>
      <x:c r="E6650" s="13" t="str">
        <x:v>Oil, Gas &amp; Petrochemicals</x:v>
      </x:c>
      <x:c r="F6650" s="13" t="str">
        <x:v>Deep Cyclicals</x:v>
      </x:c>
      <x:c r="G6650" s="13" t="str">
        <x:v>grid_cqzdsc3v.xlsx</x:v>
      </x:c>
    </x:row>
    <x:row r="6651">
      <x:c r="A6651" s="15" t="n">
        <x:v>43466</x:v>
      </x:c>
      <x:c r="B6651" s="13" t="str">
        <x:v>PETROBRAS - PETROLEO BRAS</x:v>
      </x:c>
      <x:c r="C6651" s="16" t="n">
        <x:v>38261.2847297049</x:v>
      </x:c>
      <x:c r="D6651" s="13" t="str">
        <x:v>Oil, Gas &amp; Petrochemicals</x:v>
      </x:c>
      <x:c r="E6651" s="13" t="str">
        <x:v>Oil, Gas &amp; Petrochemicals</x:v>
      </x:c>
      <x:c r="F6651" s="13" t="str">
        <x:v>Deep Cyclicals</x:v>
      </x:c>
      <x:c r="G6651" s="13" t="str">
        <x:v>grid_cqzdsc3v.xlsx</x:v>
      </x:c>
    </x:row>
    <x:row r="6652">
      <x:c r="A6652" s="15" t="n">
        <x:v>43466</x:v>
      </x:c>
      <x:c r="B6652" s="13" t="str">
        <x:v>ULTRAPAR PARTICIPACOES SA</x:v>
      </x:c>
      <x:c r="C6652" s="16" t="n">
        <x:v>1509.4962535519</x:v>
      </x:c>
      <x:c r="D6652" s="13" t="str">
        <x:v>Oil, Gas &amp; Petrochemicals</x:v>
      </x:c>
      <x:c r="E6652" s="13" t="str">
        <x:v>Oil, Gas &amp; Petrochemicals</x:v>
      </x:c>
      <x:c r="F6652" s="13" t="str">
        <x:v>Deep Cyclicals</x:v>
      </x:c>
      <x:c r="G6652" s="13" t="str">
        <x:v>grid_cqzdsc3v.xlsx</x:v>
      </x:c>
    </x:row>
    <x:row r="6653">
      <x:c r="A6653" s="15" t="n">
        <x:v>43466</x:v>
      </x:c>
      <x:c r="B6653" s="13" t="str">
        <x:v>VIBRA ENERGIA SA</x:v>
      </x:c>
      <x:c r="C6653" s="16" t="n">
        <x:v>2027.3538049399</x:v>
      </x:c>
      <x:c r="D6653" s="13" t="str">
        <x:v>Oil, Gas &amp; Petrochemicals</x:v>
      </x:c>
      <x:c r="E6653" s="13" t="str">
        <x:v>Oil, Gas &amp; Petrochemicals</x:v>
      </x:c>
      <x:c r="F6653" s="13" t="str">
        <x:v>Deep Cyclicals</x:v>
      </x:c>
      <x:c r="G6653" s="13" t="str">
        <x:v>grid_cqzdsc3v.xlsx</x:v>
      </x:c>
    </x:row>
    <x:row r="6654">
      <x:c r="A6654" s="15" t="n">
        <x:v>43466</x:v>
      </x:c>
      <x:c r="B6654" s="13" t="str">
        <x:v>KLABIN SA - UNIT</x:v>
      </x:c>
      <x:c r="C6654" s="16" t="n">
        <x:v>1800.1195086339</x:v>
      </x:c>
      <x:c r="D6654" s="13" t="str">
        <x:v>Pulp &amp; Paper</x:v>
      </x:c>
      <x:c r="E6654" s="13" t="str">
        <x:v>Pulp &amp; Paper</x:v>
      </x:c>
      <x:c r="F6654" s="13" t="str">
        <x:v>Deep Cyclicals</x:v>
      </x:c>
      <x:c r="G6654" s="13" t="str">
        <x:v>grid_cqzdsc3v.xlsx</x:v>
      </x:c>
    </x:row>
    <x:row r="6655">
      <x:c r="A6655" s="15" t="n">
        <x:v>43466</x:v>
      </x:c>
      <x:c r="B6655" s="13" t="str">
        <x:v>SUZANO SA</x:v>
      </x:c>
      <x:c r="C6655" s="16" t="n">
        <x:v>6886.4198868634</x:v>
      </x:c>
      <x:c r="D6655" s="13" t="str">
        <x:v>Pulp &amp; Paper</x:v>
      </x:c>
      <x:c r="E6655" s="13" t="str">
        <x:v>Pulp &amp; Paper</x:v>
      </x:c>
      <x:c r="F6655" s="13" t="str">
        <x:v>Deep Cyclicals</x:v>
      </x:c>
      <x:c r="G6655" s="13" t="str">
        <x:v>grid_cqzdsc3v.xlsx</x:v>
      </x:c>
    </x:row>
    <x:row r="6656">
      <x:c r="A6656" s="15" t="n">
        <x:v>43466</x:v>
      </x:c>
      <x:c r="B6656" s="13" t="str">
        <x:v>AMERICANAS SA</x:v>
      </x:c>
      <x:c r="C6656" s="16" t="n">
        <x:v>-177.4400983607</x:v>
      </x:c>
      <x:c r="D6656" s="13" t="str">
        <x:v>Retail</x:v>
      </x:c>
      <x:c r="E6656" s="13" t="str">
        <x:v>Retail</x:v>
      </x:c>
      <x:c r="F6656" s="13" t="str">
        <x:v>Early Cyclicals</x:v>
      </x:c>
      <x:c r="G6656" s="13" t="str">
        <x:v>grid_cqzdsc3v.xlsx</x:v>
      </x:c>
    </x:row>
    <x:row r="6657">
      <x:c r="A6657" s="15" t="n">
        <x:v>43466</x:v>
      </x:c>
      <x:c r="B6657" s="13" t="str">
        <x:v>CIA BRASILEIRA DE DIS-PREF</x:v>
      </x:c>
      <x:c r="C6657" s="16" t="n">
        <x:v>1189.8185764372</x:v>
      </x:c>
      <x:c r="D6657" s="13" t="str">
        <x:v>Retail</x:v>
      </x:c>
      <x:c r="E6657" s="13" t="str">
        <x:v>Retail</x:v>
      </x:c>
      <x:c r="F6657" s="13" t="str">
        <x:v>Early Cyclicals</x:v>
      </x:c>
      <x:c r="G6657" s="13" t="str">
        <x:v>grid_cqzdsc3v.xlsx</x:v>
      </x:c>
    </x:row>
    <x:row r="6658">
      <x:c r="A6658" s="15" t="n">
        <x:v>43466</x:v>
      </x:c>
      <x:c r="B6658" s="13" t="str">
        <x:v>CVC BRASIL OPERADORA E AGENC</x:v>
      </x:c>
      <x:c r="C6658" s="16" t="n">
        <x:v>401.6250824044</x:v>
      </x:c>
      <x:c r="D6658" s="13" t="str">
        <x:v>Retail</x:v>
      </x:c>
      <x:c r="E6658" s="13" t="str">
        <x:v>Retail</x:v>
      </x:c>
      <x:c r="F6658" s="13" t="str">
        <x:v>Early Cyclicals</x:v>
      </x:c>
      <x:c r="G6658" s="13" t="str">
        <x:v>grid_cqzdsc3v.xlsx</x:v>
      </x:c>
    </x:row>
    <x:row r="6659">
      <x:c r="A6659" s="15" t="n">
        <x:v>43466</x:v>
      </x:c>
      <x:c r="B6659" s="13" t="str">
        <x:v>GRUPO CASAS BAHIA SA</x:v>
      </x:c>
      <x:c r="C6659" s="16" t="n">
        <x:v>433.3231673005</x:v>
      </x:c>
      <x:c r="D6659" s="13" t="str">
        <x:v>Retail</x:v>
      </x:c>
      <x:c r="E6659" s="13" t="str">
        <x:v>Retail</x:v>
      </x:c>
      <x:c r="F6659" s="13" t="str">
        <x:v>Early Cyclicals</x:v>
      </x:c>
      <x:c r="G6659" s="13" t="str">
        <x:v>grid_cqzdsc3v.xlsx</x:v>
      </x:c>
    </x:row>
    <x:row r="6660">
      <x:c r="A6660" s="15" t="n">
        <x:v>43466</x:v>
      </x:c>
      <x:c r="B6660" s="13" t="str">
        <x:v>LOJAS AMERICANAS SA-PREF</x:v>
      </x:c>
      <x:c r="C6660" s="16" t="n">
        <x:v>837.9181352568</x:v>
      </x:c>
      <x:c r="D6660" s="13" t="str">
        <x:v>Retail</x:v>
      </x:c>
      <x:c r="E6660" s="13" t="str">
        <x:v>Retail</x:v>
      </x:c>
      <x:c r="F6660" s="13" t="str">
        <x:v>Early Cyclicals</x:v>
      </x:c>
      <x:c r="G6660" s="13" t="str">
        <x:v>grid_cqzdsc3v.xlsx</x:v>
      </x:c>
    </x:row>
    <x:row r="6661">
      <x:c r="A6661" s="15" t="n">
        <x:v>43466</x:v>
      </x:c>
      <x:c r="B6661" s="13" t="str">
        <x:v>LOJAS RENNER S.A.</x:v>
      </x:c>
      <x:c r="C6661" s="16" t="n">
        <x:v>1182.5817250273</x:v>
      </x:c>
      <x:c r="D6661" s="13" t="str">
        <x:v>Retail</x:v>
      </x:c>
      <x:c r="E6661" s="13" t="str">
        <x:v>Retail</x:v>
      </x:c>
      <x:c r="F6661" s="13" t="str">
        <x:v>Early Cyclicals</x:v>
      </x:c>
      <x:c r="G6661" s="13" t="str">
        <x:v>grid_cqzdsc3v.xlsx</x:v>
      </x:c>
    </x:row>
    <x:row r="6662">
      <x:c r="A6662" s="15" t="n">
        <x:v>43466</x:v>
      </x:c>
      <x:c r="B6662" s="13" t="str">
        <x:v>MAGAZINE LUIZA SA</x:v>
      </x:c>
      <x:c r="C6662" s="16" t="n">
        <x:v>793.5801001967</x:v>
      </x:c>
      <x:c r="D6662" s="13" t="str">
        <x:v>Retail</x:v>
      </x:c>
      <x:c r="E6662" s="13" t="str">
        <x:v>Retail</x:v>
      </x:c>
      <x:c r="F6662" s="13" t="str">
        <x:v>Early Cyclicals</x:v>
      </x:c>
      <x:c r="G6662" s="13" t="str">
        <x:v>grid_cqzdsc3v.xlsx</x:v>
      </x:c>
    </x:row>
    <x:row r="6663">
      <x:c r="A6663" s="15" t="n">
        <x:v>43466</x:v>
      </x:c>
      <x:c r="B6663" s="13" t="str">
        <x:v>RAIA DROGASIL SA</x:v>
      </x:c>
      <x:c r="C6663" s="16" t="n">
        <x:v>591.4458435847</x:v>
      </x:c>
      <x:c r="D6663" s="13" t="str">
        <x:v>Retail</x:v>
      </x:c>
      <x:c r="E6663" s="13" t="str">
        <x:v>Retail</x:v>
      </x:c>
      <x:c r="F6663" s="13" t="str">
        <x:v>Early Cyclicals</x:v>
      </x:c>
      <x:c r="G6663" s="13" t="str">
        <x:v>grid_cqzdsc3v.xlsx</x:v>
      </x:c>
    </x:row>
    <x:row r="6664">
      <x:c r="A6664" s="15" t="n">
        <x:v>43466</x:v>
      </x:c>
      <x:c r="B6664" s="13" t="str">
        <x:v>CIA SANEAMENTO BASICO DE SP</x:v>
      </x:c>
      <x:c r="C6664" s="16" t="n">
        <x:v>3121.5516243934</x:v>
      </x:c>
      <x:c r="D6664" s="13" t="str">
        <x:v>Sanitation</x:v>
      </x:c>
      <x:c r="E6664" s="13" t="str">
        <x:v>Utilities</x:v>
      </x:c>
      <x:c r="F6664" s="13" t="str">
        <x:v>Defensives</x:v>
      </x:c>
      <x:c r="G6664" s="13" t="str">
        <x:v>grid_cqzdsc3v.xlsx</x:v>
      </x:c>
    </x:row>
    <x:row r="6665">
      <x:c r="A6665" s="15" t="n">
        <x:v>43466</x:v>
      </x:c>
      <x:c r="B6665" s="13" t="str">
        <x:v>SMILES FIDELIDADE SA</x:v>
      </x:c>
      <x:c r="C6665" s="16" t="n">
        <x:v>649.9469803716</x:v>
      </x:c>
      <x:c r="D6665" s="13" t="str">
        <x:v>TMT</x:v>
      </x:c>
      <x:c r="E6665" s="13" t="str">
        <x:v>TMT</x:v>
      </x:c>
      <x:c r="F6665" s="13" t="str">
        <x:v>Early Cyclicals</x:v>
      </x:c>
      <x:c r="G6665" s="13" t="str">
        <x:v>grid_cqzdsc3v.xlsx</x:v>
      </x:c>
    </x:row>
    <x:row r="6666">
      <x:c r="A6666" s="15" t="n">
        <x:v>43466</x:v>
      </x:c>
      <x:c r="B6666" s="13" t="str">
        <x:v>TELEFONICA BRASIL S.A.-PREF</x:v>
      </x:c>
      <x:c r="C6666" s="16" t="n">
        <x:v>5777.1936734426</x:v>
      </x:c>
      <x:c r="D6666" s="13" t="str">
        <x:v>TMT</x:v>
      </x:c>
      <x:c r="E6666" s="13" t="str">
        <x:v>TMT</x:v>
      </x:c>
      <x:c r="F6666" s="13" t="str">
        <x:v>Early Cyclicals</x:v>
      </x:c>
      <x:c r="G6666" s="13" t="str">
        <x:v>grid_cqzdsc3v.xlsx</x:v>
      </x:c>
    </x:row>
    <x:row r="6667">
      <x:c r="A6667" s="15" t="n">
        <x:v>43466</x:v>
      </x:c>
      <x:c r="B6667" s="13" t="str">
        <x:v>TIM SA</x:v>
      </x:c>
      <x:c r="C6667" s="16" t="n">
        <x:v>1921.1258824044</x:v>
      </x:c>
      <x:c r="D6667" s="13" t="str">
        <x:v>TMT</x:v>
      </x:c>
      <x:c r="E6667" s="13" t="str">
        <x:v>TMT</x:v>
      </x:c>
      <x:c r="F6667" s="13" t="str">
        <x:v>Early Cyclicals</x:v>
      </x:c>
      <x:c r="G6667" s="13" t="str">
        <x:v>grid_cqzdsc3v.xlsx</x:v>
      </x:c>
    </x:row>
    <x:row r="6668">
      <x:c r="A6668" s="15" t="n">
        <x:v>43466</x:v>
      </x:c>
      <x:c r="B6668" s="13" t="str">
        <x:v>ECORODOVIAS INFRA E LOG SA</x:v>
      </x:c>
      <x:c r="C6668" s="16" t="n">
        <x:v>527.8091628415</x:v>
      </x:c>
      <x:c r="D6668" s="13" t="str">
        <x:v>Transportation</x:v>
      </x:c>
      <x:c r="E6668" s="13" t="str">
        <x:v>Transportation</x:v>
      </x:c>
      <x:c r="F6668" s="13" t="str">
        <x:v>Deep Cyclicals</x:v>
      </x:c>
      <x:c r="G6668" s="13" t="str">
        <x:v>grid_cqzdsc3v.xlsx</x:v>
      </x:c>
    </x:row>
    <x:row r="6669">
      <x:c r="A6669" s="15" t="n">
        <x:v>43466</x:v>
      </x:c>
      <x:c r="B6669" s="13" t="str">
        <x:v>GOL LINHAS AEREAS INT SA-PRE</x:v>
      </x:c>
      <x:c r="C6669" s="16" t="n">
        <x:v>389.3245824699</x:v>
      </x:c>
      <x:c r="D6669" s="13" t="str">
        <x:v>Transportation</x:v>
      </x:c>
      <x:c r="E6669" s="13" t="str">
        <x:v>Transportation</x:v>
      </x:c>
      <x:c r="F6669" s="13" t="str">
        <x:v>Deep Cyclicals</x:v>
      </x:c>
      <x:c r="G6669" s="13" t="str">
        <x:v>grid_cqzdsc3v.xlsx</x:v>
      </x:c>
    </x:row>
    <x:row r="6670">
      <x:c r="A6670" s="15" t="n">
        <x:v>43466</x:v>
      </x:c>
      <x:c r="B6670" s="13" t="str">
        <x:v>LOCALIZA RENT A CAR</x:v>
      </x:c>
      <x:c r="C6670" s="16" t="n">
        <x:v>858.9404663607</x:v>
      </x:c>
      <x:c r="D6670" s="13" t="str">
        <x:v>Transportation</x:v>
      </x:c>
      <x:c r="E6670" s="13" t="str">
        <x:v>Transportation</x:v>
      </x:c>
      <x:c r="F6670" s="13" t="str">
        <x:v>Deep Cyclicals</x:v>
      </x:c>
      <x:c r="G6670" s="13" t="str">
        <x:v>grid_cqzdsc3v.xlsx</x:v>
      </x:c>
    </x:row>
    <x:row r="6671">
      <x:c r="A6671" s="15" t="n">
        <x:v>43466</x:v>
      </x:c>
      <x:c r="B6671" s="13" t="str">
        <x:v>MOTIVA INFRAESTRUTURA DE MOB</x:v>
      </x:c>
      <x:c r="C6671" s="16" t="n">
        <x:v>2024.6852525465</x:v>
      </x:c>
      <x:c r="D6671" s="13" t="str">
        <x:v>Transportation</x:v>
      </x:c>
      <x:c r="E6671" s="13" t="str">
        <x:v>Transportation</x:v>
      </x:c>
      <x:c r="F6671" s="13" t="str">
        <x:v>Deep Cyclicals</x:v>
      </x:c>
      <x:c r="G6671" s="13" t="str">
        <x:v>grid_cqzdsc3v.xlsx</x:v>
      </x:c>
    </x:row>
    <x:row r="6672">
      <x:c r="A6672" s="15" t="n">
        <x:v>43466</x:v>
      </x:c>
      <x:c r="B6672" s="13" t="str">
        <x:v>RUMO SA</x:v>
      </x:c>
      <x:c r="C6672" s="16" t="n">
        <x:v>810.2298274973</x:v>
      </x:c>
      <x:c r="D6672" s="13" t="str">
        <x:v>Transportation</x:v>
      </x:c>
      <x:c r="E6672" s="13" t="str">
        <x:v>Transportation</x:v>
      </x:c>
      <x:c r="F6672" s="13" t="str">
        <x:v>Deep Cyclicals</x:v>
      </x:c>
      <x:c r="G6672" s="13" t="str">
        <x:v>grid_cqzdsc3v.xlsx</x:v>
      </x:c>
    </x:row>
    <x:row r="6673">
      <x:c r="A6673" s="15" t="n">
        <x:v>43466</x:v>
      </x:c>
      <x:c r="B6673" s="13" t="str">
        <x:v>AXIA ENERGIA SA</x:v>
      </x:c>
      <x:c r="C6673" s="16" t="n">
        <x:v>5651.3417456612</x:v>
      </x:c>
      <x:c r="D6673" s="13" t="str">
        <x:v>Utilities &amp; Energy</x:v>
      </x:c>
      <x:c r="E6673" s="13" t="str">
        <x:v>Utilities</x:v>
      </x:c>
      <x:c r="F6673" s="13" t="str">
        <x:v>Defensives</x:v>
      </x:c>
      <x:c r="G6673" s="13" t="str">
        <x:v>grid_cqzdsc3v.xlsx</x:v>
      </x:c>
    </x:row>
    <x:row r="6674">
      <x:c r="A6674" s="15" t="n">
        <x:v>43466</x:v>
      </x:c>
      <x:c r="B6674" s="13" t="str">
        <x:v>AXIA ENERGIA-PR B</x:v>
      </x:c>
      <x:c r="C6674" s="16" t="n">
        <x:v>5651.3417456612</x:v>
      </x:c>
      <x:c r="D6674" s="13" t="str">
        <x:v>Utilities &amp; Energy</x:v>
      </x:c>
      <x:c r="E6674" s="13" t="str">
        <x:v>Utilities</x:v>
      </x:c>
      <x:c r="F6674" s="13" t="str">
        <x:v>Defensives</x:v>
      </x:c>
      <x:c r="G6674" s="13" t="str">
        <x:v>grid_cqzdsc3v.xlsx</x:v>
      </x:c>
    </x:row>
    <x:row r="6675">
      <x:c r="A6675" s="15" t="n">
        <x:v>43466</x:v>
      </x:c>
      <x:c r="B6675" s="13" t="str">
        <x:v>CIA ENERGETICA MINAS GER-PRF</x:v>
      </x:c>
      <x:c r="C6675" s="16" t="n">
        <x:v>1940.2281911257</x:v>
      </x:c>
      <x:c r="D6675" s="13" t="str">
        <x:v>Utilities &amp; Energy</x:v>
      </x:c>
      <x:c r="E6675" s="13" t="str">
        <x:v>Utilities</x:v>
      </x:c>
      <x:c r="F6675" s="13" t="str">
        <x:v>Defensives</x:v>
      </x:c>
      <x:c r="G6675" s="13" t="str">
        <x:v>grid_cqzdsc3v.xlsx</x:v>
      </x:c>
    </x:row>
    <x:row r="6676">
      <x:c r="A6676" s="15" t="n">
        <x:v>43466</x:v>
      </x:c>
      <x:c r="B6676" s="13" t="str">
        <x:v>EDP - ENERGIAS DO BRASIL SA</x:v>
      </x:c>
      <x:c r="C6676" s="16" t="n">
        <x:v>945.6911234098</x:v>
      </x:c>
      <x:c r="D6676" s="13" t="str">
        <x:v>Utilities &amp; Energy</x:v>
      </x:c>
      <x:c r="E6676" s="13" t="str">
        <x:v>Utilities</x:v>
      </x:c>
      <x:c r="F6676" s="13" t="str">
        <x:v>Defensives</x:v>
      </x:c>
      <x:c r="G6676" s="13" t="str">
        <x:v>grid_cqzdsc3v.xlsx</x:v>
      </x:c>
    </x:row>
    <x:row r="6677">
      <x:c r="A6677" s="15" t="n">
        <x:v>43466</x:v>
      </x:c>
      <x:c r="B6677" s="13" t="str">
        <x:v>ENGIE BRASIL ENERGIA SA</x:v>
      </x:c>
      <x:c r="C6677" s="16" t="n">
        <x:v>2480.4352685465</x:v>
      </x:c>
      <x:c r="D6677" s="13" t="str">
        <x:v>Utilities &amp; Energy</x:v>
      </x:c>
      <x:c r="E6677" s="13" t="str">
        <x:v>Utilities</x:v>
      </x:c>
      <x:c r="F6677" s="13" t="str">
        <x:v>Defensives</x:v>
      </x:c>
      <x:c r="G6677" s="13" t="str">
        <x:v>grid_cqzdsc3v.xlsx</x:v>
      </x:c>
    </x:row>
    <x:row r="6678">
      <x:c r="A6678" s="15" t="n">
        <x:v>43466</x:v>
      </x:c>
      <x:c r="B6678" s="13" t="str">
        <x:v>EQUATORIAL SA - ORD</x:v>
      </x:c>
      <x:c r="C6678" s="16" t="n">
        <x:v>803.6456788634</x:v>
      </x:c>
      <x:c r="D6678" s="13" t="str">
        <x:v>Utilities &amp; Energy</x:v>
      </x:c>
      <x:c r="E6678" s="13" t="str">
        <x:v>Utilities</x:v>
      </x:c>
      <x:c r="F6678" s="13" t="str">
        <x:v>Defensives</x:v>
      </x:c>
      <x:c r="G6678" s="13" t="str">
        <x:v>grid_cqzdsc3v.xlsx</x:v>
      </x:c>
    </x:row>
    <x:row r="6679">
      <x:c r="A6679" s="15" t="n">
        <x:v>43466</x:v>
      </x:c>
      <x:c r="B6679" s="13" t="str">
        <x:v>TRANSMISSORA ALIANCA DE-UNIT</x:v>
      </x:c>
      <x:c r="C6679" s="16" t="n">
        <x:v>765.6681435628</x:v>
      </x:c>
      <x:c r="D6679" s="13" t="str">
        <x:v>Utilities &amp; Energy</x:v>
      </x:c>
      <x:c r="E6679" s="13" t="str">
        <x:v>Utilities</x:v>
      </x:c>
      <x:c r="F6679" s="13" t="str">
        <x:v>Defensives</x:v>
      </x:c>
      <x:c r="G6679" s="13" t="str">
        <x:v>grid_cqzdsc3v.xlsx</x:v>
      </x:c>
    </x:row>
    <x:row r="6680">
      <x:c r="A6680" s="15" t="n">
        <x:v>43497</x:v>
      </x:c>
      <x:c r="B6680" s="13" t="str">
        <x:v>BANCO BRADESCO S.A.</x:v>
      </x:c>
      <x:c r="C6680" s="16" t="n">
        <x:v>24134.9562166557</x:v>
      </x:c>
      <x:c r="D6680" s="13" t="str">
        <x:v>Banks</x:v>
      </x:c>
      <x:c r="E6680" s="13" t="str">
        <x:v>Banks</x:v>
      </x:c>
      <x:c r="F6680" s="13" t="str">
        <x:v>Financials</x:v>
      </x:c>
      <x:c r="G6680" s="13" t="str">
        <x:v>grid_cqzdsc3v.xlsx</x:v>
      </x:c>
    </x:row>
    <x:row r="6681">
      <x:c r="A6681" s="15" t="n">
        <x:v>43497</x:v>
      </x:c>
      <x:c r="B6681" s="13" t="str">
        <x:v>BANCO BRADESCO SA-PREF</x:v>
      </x:c>
      <x:c r="C6681" s="16" t="n">
        <x:v>24134.9562166557</x:v>
      </x:c>
      <x:c r="D6681" s="13" t="str">
        <x:v>Banks</x:v>
      </x:c>
      <x:c r="E6681" s="13" t="str">
        <x:v>Banks</x:v>
      </x:c>
      <x:c r="F6681" s="13" t="str">
        <x:v>Financials</x:v>
      </x:c>
      <x:c r="G6681" s="13" t="str">
        <x:v>grid_cqzdsc3v.xlsx</x:v>
      </x:c>
    </x:row>
    <x:row r="6682">
      <x:c r="A6682" s="15" t="n">
        <x:v>43497</x:v>
      </x:c>
      <x:c r="B6682" s="13" t="str">
        <x:v>BANCO DO BRASIL S.A.</x:v>
      </x:c>
      <x:c r="C6682" s="16" t="n">
        <x:v>16594.5145579016</x:v>
      </x:c>
      <x:c r="D6682" s="13" t="str">
        <x:v>Banks</x:v>
      </x:c>
      <x:c r="E6682" s="13" t="str">
        <x:v>Banks</x:v>
      </x:c>
      <x:c r="F6682" s="13" t="str">
        <x:v>Financials</x:v>
      </x:c>
      <x:c r="G6682" s="13" t="str">
        <x:v>grid_cqzdsc3v.xlsx</x:v>
      </x:c>
    </x:row>
    <x:row r="6683">
      <x:c r="A6683" s="15" t="n">
        <x:v>43497</x:v>
      </x:c>
      <x:c r="B6683" s="13" t="str">
        <x:v>BANCO SANTANDER  BRASIL-UNIT</x:v>
      </x:c>
      <x:c r="C6683" s="16" t="n">
        <x:v>13961.9604647869</x:v>
      </x:c>
      <x:c r="D6683" s="13" t="str">
        <x:v>Banks</x:v>
      </x:c>
      <x:c r="E6683" s="13" t="str">
        <x:v>Banks</x:v>
      </x:c>
      <x:c r="F6683" s="13" t="str">
        <x:v>Financials</x:v>
      </x:c>
      <x:c r="G6683" s="13" t="str">
        <x:v>grid_cqzdsc3v.xlsx</x:v>
      </x:c>
    </x:row>
    <x:row r="6684">
      <x:c r="A6684" s="15" t="n">
        <x:v>43497</x:v>
      </x:c>
      <x:c r="B6684" s="13" t="str">
        <x:v>ITAU UNIBANCO HOLDING S-PREF</x:v>
      </x:c>
      <x:c r="C6684" s="16" t="n">
        <x:v>28050.2193773115</x:v>
      </x:c>
      <x:c r="D6684" s="13" t="str">
        <x:v>Banks</x:v>
      </x:c>
      <x:c r="E6684" s="13" t="str">
        <x:v>Banks</x:v>
      </x:c>
      <x:c r="F6684" s="13" t="str">
        <x:v>Financials</x:v>
      </x:c>
      <x:c r="G6684" s="13" t="str">
        <x:v>grid_cqzdsc3v.xlsx</x:v>
      </x:c>
    </x:row>
    <x:row r="6685">
      <x:c r="A6685" s="15" t="n">
        <x:v>43497</x:v>
      </x:c>
      <x:c r="B6685" s="13" t="str">
        <x:v>EMBRAER SA</x:v>
      </x:c>
      <x:c r="C6685" s="16" t="n">
        <x:v>330.5601691803</x:v>
      </x:c>
      <x:c r="D6685" s="13" t="str">
        <x:v>Capital Goods</x:v>
      </x:c>
      <x:c r="E6685" s="13" t="str">
        <x:v>Capital Goods</x:v>
      </x:c>
      <x:c r="F6685" s="13" t="str">
        <x:v>Deep Cyclicals</x:v>
      </x:c>
      <x:c r="G6685" s="13" t="str">
        <x:v>grid_cqzdsc3v.xlsx</x:v>
      </x:c>
    </x:row>
    <x:row r="6686">
      <x:c r="A6686" s="15" t="n">
        <x:v>43497</x:v>
      </x:c>
      <x:c r="B6686" s="13" t="str">
        <x:v>WEG SA</x:v>
      </x:c>
      <x:c r="C6686" s="16" t="n">
        <x:v>1536.312983082</x:v>
      </x:c>
      <x:c r="D6686" s="13" t="str">
        <x:v>Capital Goods</x:v>
      </x:c>
      <x:c r="E6686" s="13" t="str">
        <x:v>Capital Goods</x:v>
      </x:c>
      <x:c r="F6686" s="13" t="str">
        <x:v>Deep Cyclicals</x:v>
      </x:c>
      <x:c r="G6686" s="13" t="str">
        <x:v>grid_cqzdsc3v.xlsx</x:v>
      </x:c>
    </x:row>
    <x:row r="6687">
      <x:c r="A6687" s="15" t="n">
        <x:v>43497</x:v>
      </x:c>
      <x:c r="B6687" s="13" t="str">
        <x:v>COGNA EDUCACAO</x:v>
      </x:c>
      <x:c r="C6687" s="16" t="n">
        <x:v>1725.9537731147</x:v>
      </x:c>
      <x:c r="D6687" s="13" t="str">
        <x:v>Education</x:v>
      </x:c>
      <x:c r="E6687" s="13" t="str">
        <x:v>Education</x:v>
      </x:c>
      <x:c r="F6687" s="13" t="str">
        <x:v>Early Cyclicals</x:v>
      </x:c>
      <x:c r="G6687" s="13" t="str">
        <x:v>grid_cqzdsc3v.xlsx</x:v>
      </x:c>
    </x:row>
    <x:row r="6688">
      <x:c r="A6688" s="15" t="n">
        <x:v>43497</x:v>
      </x:c>
      <x:c r="B6688" s="13" t="str">
        <x:v>YDUQS PARTICIPACOES SA</x:v>
      </x:c>
      <x:c r="C6688" s="16" t="n">
        <x:v>922.1688739672</x:v>
      </x:c>
      <x:c r="D6688" s="13" t="str">
        <x:v>Education</x:v>
      </x:c>
      <x:c r="E6688" s="13" t="str">
        <x:v>Education</x:v>
      </x:c>
      <x:c r="F6688" s="13" t="str">
        <x:v>Early Cyclicals</x:v>
      </x:c>
      <x:c r="G6688" s="13" t="str">
        <x:v>grid_cqzdsc3v.xlsx</x:v>
      </x:c>
    </x:row>
    <x:row r="6689">
      <x:c r="A6689" s="15" t="n">
        <x:v>43497</x:v>
      </x:c>
      <x:c r="B6689" s="13" t="str">
        <x:v>B3 SA-BRASIL BOLSA BALCAO</x:v>
      </x:c>
      <x:c r="C6689" s="16" t="n">
        <x:v>3072.416436459</x:v>
      </x:c>
      <x:c r="D6689" s="13" t="str">
        <x:v>Financials Non-Banks</x:v>
      </x:c>
      <x:c r="E6689" s="13" t="str">
        <x:v>Financials Non-Banks</x:v>
      </x:c>
      <x:c r="F6689" s="13" t="str">
        <x:v>Financials</x:v>
      </x:c>
      <x:c r="G6689" s="13" t="str">
        <x:v>grid_cqzdsc3v.xlsx</x:v>
      </x:c>
    </x:row>
    <x:row r="6690">
      <x:c r="A6690" s="15" t="n">
        <x:v>43497</x:v>
      </x:c>
      <x:c r="B6690" s="13" t="str">
        <x:v>BB SEGURIDADE PARTICIPACOES</x:v>
      </x:c>
      <x:c r="C6690" s="16" t="n">
        <x:v>4008.2536414426</x:v>
      </x:c>
      <x:c r="D6690" s="13" t="str">
        <x:v>Financials Non-Banks</x:v>
      </x:c>
      <x:c r="E6690" s="13" t="str">
        <x:v>Financials Non-Banks</x:v>
      </x:c>
      <x:c r="F6690" s="13" t="str">
        <x:v>Financials</x:v>
      </x:c>
      <x:c r="G6690" s="13" t="str">
        <x:v>grid_cqzdsc3v.xlsx</x:v>
      </x:c>
    </x:row>
    <x:row r="6691">
      <x:c r="A6691" s="15" t="n">
        <x:v>43497</x:v>
      </x:c>
      <x:c r="B6691" s="13" t="str">
        <x:v>CIELO SA - INSTITUICAO DE PA</x:v>
      </x:c>
      <x:c r="C6691" s="16" t="n">
        <x:v>2718.5490003934</x:v>
      </x:c>
      <x:c r="D6691" s="13" t="str">
        <x:v>Financials Non-Banks</x:v>
      </x:c>
      <x:c r="E6691" s="13" t="str">
        <x:v>Financials Non-Banks</x:v>
      </x:c>
      <x:c r="F6691" s="13" t="str">
        <x:v>Financials</x:v>
      </x:c>
      <x:c r="G6691" s="13" t="str">
        <x:v>grid_cqzdsc3v.xlsx</x:v>
      </x:c>
    </x:row>
    <x:row r="6692">
      <x:c r="A6692" s="15" t="n">
        <x:v>43497</x:v>
      </x:c>
      <x:c r="B6692" s="13" t="str">
        <x:v>AMBEV SA</x:v>
      </x:c>
      <x:c r="C6692" s="16" t="n">
        <x:v>12699.2033489836</x:v>
      </x:c>
      <x:c r="D6692" s="13" t="str">
        <x:v>Food &amp; Beverages</x:v>
      </x:c>
      <x:c r="E6692" s="13" t="str">
        <x:v>Agri, Food &amp; Beverages</x:v>
      </x:c>
      <x:c r="F6692" s="13" t="str">
        <x:v>Defensives</x:v>
      </x:c>
      <x:c r="G6692" s="13" t="str">
        <x:v>grid_cqzdsc3v.xlsx</x:v>
      </x:c>
    </x:row>
    <x:row r="6693">
      <x:c r="A6693" s="15" t="n">
        <x:v>43497</x:v>
      </x:c>
      <x:c r="B6693" s="13" t="str">
        <x:v>BRF SA</x:v>
      </x:c>
      <x:c r="C6693" s="16" t="n">
        <x:v>56.0957072131</x:v>
      </x:c>
      <x:c r="D6693" s="13" t="str">
        <x:v>Food &amp; Beverages</x:v>
      </x:c>
      <x:c r="E6693" s="13" t="str">
        <x:v>Agri, Food &amp; Beverages</x:v>
      </x:c>
      <x:c r="F6693" s="13" t="str">
        <x:v>Defensives</x:v>
      </x:c>
      <x:c r="G6693" s="13" t="str">
        <x:v>grid_cqzdsc3v.xlsx</x:v>
      </x:c>
    </x:row>
    <x:row r="6694">
      <x:c r="A6694" s="15" t="n">
        <x:v>43497</x:v>
      </x:c>
      <x:c r="B6694" s="13" t="str">
        <x:v>JBS SA</x:v>
      </x:c>
      <x:c r="C6694" s="16" t="n">
        <x:v>4904.2784692459</x:v>
      </x:c>
      <x:c r="D6694" s="13" t="str">
        <x:v>Food &amp; Beverages</x:v>
      </x:c>
      <x:c r="E6694" s="13" t="str">
        <x:v>Agri, Food &amp; Beverages</x:v>
      </x:c>
      <x:c r="F6694" s="13" t="str">
        <x:v>Defensives</x:v>
      </x:c>
      <x:c r="G6694" s="13" t="str">
        <x:v>grid_cqzdsc3v.xlsx</x:v>
      </x:c>
    </x:row>
    <x:row r="6695">
      <x:c r="A6695" s="15" t="n">
        <x:v>43497</x:v>
      </x:c>
      <x:c r="B6695" s="13" t="str">
        <x:v>MBRF GLOBAL FOODS COMPANY SA</x:v>
      </x:c>
      <x:c r="C6695" s="16" t="n">
        <x:v>464.8360655738</x:v>
      </x:c>
      <x:c r="D6695" s="13" t="str">
        <x:v>Food &amp; Beverages</x:v>
      </x:c>
      <x:c r="E6695" s="13" t="str">
        <x:v>Agri, Food &amp; Beverages</x:v>
      </x:c>
      <x:c r="F6695" s="13" t="str">
        <x:v>Defensives</x:v>
      </x:c>
      <x:c r="G6695" s="13" t="str">
        <x:v>grid_cqzdsc3v.xlsx</x:v>
      </x:c>
    </x:row>
    <x:row r="6696">
      <x:c r="A6696" s="15" t="n">
        <x:v>43497</x:v>
      </x:c>
      <x:c r="B6696" s="13" t="str">
        <x:v>FLEURY SA</x:v>
      </x:c>
      <x:c r="C6696" s="16" t="n">
        <x:v>383.9107053115</x:v>
      </x:c>
      <x:c r="D6696" s="13" t="str">
        <x:v>Health Care</x:v>
      </x:c>
      <x:c r="E6696" s="13" t="str">
        <x:v>Health Care</x:v>
      </x:c>
      <x:c r="F6696" s="13" t="str">
        <x:v>Defensives</x:v>
      </x:c>
      <x:c r="G6696" s="13" t="str">
        <x:v>grid_cqzdsc3v.xlsx</x:v>
      </x:c>
    </x:row>
    <x:row r="6697">
      <x:c r="A6697" s="15" t="n">
        <x:v>43497</x:v>
      </x:c>
      <x:c r="B6697" s="13" t="str">
        <x:v>HYPERA SA</x:v>
      </x:c>
      <x:c r="C6697" s="16" t="n">
        <x:v>1247.9802145574</x:v>
      </x:c>
      <x:c r="D6697" s="13" t="str">
        <x:v>Health Care</x:v>
      </x:c>
      <x:c r="E6697" s="13" t="str">
        <x:v>Health Care</x:v>
      </x:c>
      <x:c r="F6697" s="13" t="str">
        <x:v>Defensives</x:v>
      </x:c>
      <x:c r="G6697" s="13" t="str">
        <x:v>grid_cqzdsc3v.xlsx</x:v>
      </x:c>
    </x:row>
    <x:row r="6698">
      <x:c r="A6698" s="15" t="n">
        <x:v>43497</x:v>
      </x:c>
      <x:c r="B6698" s="13" t="str">
        <x:v>QUALICORP CONS E CORR SEG SA</x:v>
      </x:c>
      <x:c r="C6698" s="16" t="n">
        <x:v>470.2524590164</x:v>
      </x:c>
      <x:c r="D6698" s="13" t="str">
        <x:v>Health Care</x:v>
      </x:c>
      <x:c r="E6698" s="13" t="str">
        <x:v>Health Care</x:v>
      </x:c>
      <x:c r="F6698" s="13" t="str">
        <x:v>Defensives</x:v>
      </x:c>
      <x:c r="G6698" s="13" t="str">
        <x:v>grid_cqzdsc3v.xlsx</x:v>
      </x:c>
    </x:row>
    <x:row r="6699">
      <x:c r="A6699" s="15" t="n">
        <x:v>43497</x:v>
      </x:c>
      <x:c r="B6699" s="13" t="str">
        <x:v>CYRELA BRAZIL REALTY SA EMP</x:v>
      </x:c>
      <x:c r="C6699" s="16" t="n">
        <x:v>344.3360655738</x:v>
      </x:c>
      <x:c r="D6699" s="13" t="str">
        <x:v>Homebuilders</x:v>
      </x:c>
      <x:c r="E6699" s="13" t="str">
        <x:v>Real Estate</x:v>
      </x:c>
      <x:c r="F6699" s="13" t="str">
        <x:v>Early Cyclicals</x:v>
      </x:c>
      <x:c r="G6699" s="13" t="str">
        <x:v>grid_cqzdsc3v.xlsx</x:v>
      </x:c>
    </x:row>
    <x:row r="6700">
      <x:c r="A6700" s="15" t="n">
        <x:v>43497</x:v>
      </x:c>
      <x:c r="B6700" s="13" t="str">
        <x:v>MRV ENGENHARIA</x:v>
      </x:c>
      <x:c r="C6700" s="16" t="n">
        <x:v>815.1582405246</x:v>
      </x:c>
      <x:c r="D6700" s="13" t="str">
        <x:v>Homebuilders</x:v>
      </x:c>
      <x:c r="E6700" s="13" t="str">
        <x:v>Real Estate</x:v>
      </x:c>
      <x:c r="F6700" s="13" t="str">
        <x:v>Early Cyclicals</x:v>
      </x:c>
      <x:c r="G6700" s="13" t="str">
        <x:v>grid_cqzdsc3v.xlsx</x:v>
      </x:c>
    </x:row>
    <x:row r="6701">
      <x:c r="A6701" s="15" t="n">
        <x:v>43497</x:v>
      </x:c>
      <x:c r="B6701" s="13" t="str">
        <x:v>BR MALLS PARTICIPACOES SA</x:v>
      </x:c>
      <x:c r="C6701" s="16" t="n">
        <x:v>634.7118059016</x:v>
      </x:c>
      <x:c r="D6701" s="13" t="str">
        <x:v>Income Properties</x:v>
      </x:c>
      <x:c r="E6701" s="13" t="str">
        <x:v>Real Estate</x:v>
      </x:c>
      <x:c r="F6701" s="13" t="str">
        <x:v>Early Cyclicals</x:v>
      </x:c>
      <x:c r="G6701" s="13" t="str">
        <x:v>grid_cqzdsc3v.xlsx</x:v>
      </x:c>
    </x:row>
    <x:row r="6702">
      <x:c r="A6702" s="15" t="n">
        <x:v>43497</x:v>
      </x:c>
      <x:c r="B6702" s="13" t="str">
        <x:v>IGUATEMI EMP DE SHOPPING</x:v>
      </x:c>
      <x:c r="C6702" s="16" t="n">
        <x:v>288.3719659016</x:v>
      </x:c>
      <x:c r="D6702" s="13" t="str">
        <x:v>Income Properties</x:v>
      </x:c>
      <x:c r="E6702" s="13" t="str">
        <x:v>Real Estate</x:v>
      </x:c>
      <x:c r="F6702" s="13" t="str">
        <x:v>Early Cyclicals</x:v>
      </x:c>
      <x:c r="G6702" s="13" t="str">
        <x:v>grid_cqzdsc3v.xlsx</x:v>
      </x:c>
    </x:row>
    <x:row r="6703">
      <x:c r="A6703" s="15" t="n">
        <x:v>43497</x:v>
      </x:c>
      <x:c r="B6703" s="13" t="str">
        <x:v>LOG COMMERCIAL PROPERTIES E</x:v>
      </x:c>
      <x:c r="C6703" s="16" t="n">
        <x:v>61.362295082</x:v>
      </x:c>
      <x:c r="D6703" s="13" t="str">
        <x:v>Income Properties</x:v>
      </x:c>
      <x:c r="E6703" s="13" t="str">
        <x:v>Real Estate</x:v>
      </x:c>
      <x:c r="F6703" s="13" t="str">
        <x:v>Early Cyclicals</x:v>
      </x:c>
      <x:c r="G6703" s="13" t="str">
        <x:v>grid_cqzdsc3v.xlsx</x:v>
      </x:c>
    </x:row>
    <x:row r="6704">
      <x:c r="A6704" s="15" t="n">
        <x:v>43497</x:v>
      </x:c>
      <x:c r="B6704" s="13" t="str">
        <x:v>MULTIPLAN EMPREENDIMENTOS</x:v>
      </x:c>
      <x:c r="C6704" s="16" t="n">
        <x:v>524.755554623</x:v>
      </x:c>
      <x:c r="D6704" s="13" t="str">
        <x:v>Income Properties</x:v>
      </x:c>
      <x:c r="E6704" s="13" t="str">
        <x:v>Real Estate</x:v>
      </x:c>
      <x:c r="F6704" s="13" t="str">
        <x:v>Early Cyclicals</x:v>
      </x:c>
      <x:c r="G6704" s="13" t="str">
        <x:v>grid_cqzdsc3v.xlsx</x:v>
      </x:c>
    </x:row>
    <x:row r="6705">
      <x:c r="A6705" s="15" t="n">
        <x:v>43497</x:v>
      </x:c>
      <x:c r="B6705" s="13" t="str">
        <x:v>CIA SIDERURGICA NACIONAL SA</x:v>
      </x:c>
      <x:c r="C6705" s="16" t="n">
        <x:v>2104.3755897705</x:v>
      </x:c>
      <x:c r="D6705" s="13" t="str">
        <x:v>Metals &amp; Mining</x:v>
      </x:c>
      <x:c r="E6705" s="13" t="str">
        <x:v>Metals &amp; Mining</x:v>
      </x:c>
      <x:c r="F6705" s="13" t="str">
        <x:v>Deep Cyclicals</x:v>
      </x:c>
      <x:c r="G6705" s="13" t="str">
        <x:v>grid_cqzdsc3v.xlsx</x:v>
      </x:c>
    </x:row>
    <x:row r="6706">
      <x:c r="A6706" s="15" t="n">
        <x:v>43497</x:v>
      </x:c>
      <x:c r="B6706" s="13" t="str">
        <x:v>GERDAU SA-PREF</x:v>
      </x:c>
      <x:c r="C6706" s="16" t="n">
        <x:v>2851.7169605246</x:v>
      </x:c>
      <x:c r="D6706" s="13" t="str">
        <x:v>Metals &amp; Mining</x:v>
      </x:c>
      <x:c r="E6706" s="13" t="str">
        <x:v>Metals &amp; Mining</x:v>
      </x:c>
      <x:c r="F6706" s="13" t="str">
        <x:v>Deep Cyclicals</x:v>
      </x:c>
      <x:c r="G6706" s="13" t="str">
        <x:v>grid_cqzdsc3v.xlsx</x:v>
      </x:c>
    </x:row>
    <x:row r="6707">
      <x:c r="A6707" s="15" t="n">
        <x:v>43497</x:v>
      </x:c>
      <x:c r="B6707" s="13" t="str">
        <x:v>USINAS SIDER MINAS GER-PF A</x:v>
      </x:c>
      <x:c r="C6707" s="16" t="n">
        <x:v>1151.9334504918</x:v>
      </x:c>
      <x:c r="D6707" s="13" t="str">
        <x:v>Metals &amp; Mining</x:v>
      </x:c>
      <x:c r="E6707" s="13" t="str">
        <x:v>Metals &amp; Mining</x:v>
      </x:c>
      <x:c r="F6707" s="13" t="str">
        <x:v>Deep Cyclicals</x:v>
      </x:c>
      <x:c r="G6707" s="13" t="str">
        <x:v>grid_cqzdsc3v.xlsx</x:v>
      </x:c>
    </x:row>
    <x:row r="6708">
      <x:c r="A6708" s="15" t="n">
        <x:v>43497</x:v>
      </x:c>
      <x:c r="B6708" s="13" t="str">
        <x:v>VALE SA</x:v>
      </x:c>
      <x:c r="C6708" s="16" t="n">
        <x:v>34474.4816304262</x:v>
      </x:c>
      <x:c r="D6708" s="13" t="str">
        <x:v>Metals &amp; Mining</x:v>
      </x:c>
      <x:c r="E6708" s="13" t="str">
        <x:v>Metals &amp; Mining</x:v>
      </x:c>
      <x:c r="F6708" s="13" t="str">
        <x:v>Deep Cyclicals</x:v>
      </x:c>
      <x:c r="G6708" s="13" t="str">
        <x:v>grid_cqzdsc3v.xlsx</x:v>
      </x:c>
    </x:row>
    <x:row r="6709">
      <x:c r="A6709" s="15" t="n">
        <x:v>43497</x:v>
      </x:c>
      <x:c r="B6709" s="13" t="str">
        <x:v>BRASKEM SA-PREF A</x:v>
      </x:c>
      <x:c r="C6709" s="16" t="n">
        <x:v>2985.8851714098</x:v>
      </x:c>
      <x:c r="D6709" s="13" t="str">
        <x:v>Oil, Gas &amp; Petrochemicals</x:v>
      </x:c>
      <x:c r="E6709" s="13" t="str">
        <x:v>Oil, Gas &amp; Petrochemicals</x:v>
      </x:c>
      <x:c r="F6709" s="13" t="str">
        <x:v>Deep Cyclicals</x:v>
      </x:c>
      <x:c r="G6709" s="13" t="str">
        <x:v>grid_cqzdsc3v.xlsx</x:v>
      </x:c>
    </x:row>
    <x:row r="6710">
      <x:c r="A6710" s="15" t="n">
        <x:v>43497</x:v>
      </x:c>
      <x:c r="B6710" s="13" t="str">
        <x:v>COSAN SA</x:v>
      </x:c>
      <x:c r="C6710" s="16" t="n">
        <x:v>1647.8984141639</x:v>
      </x:c>
      <x:c r="D6710" s="13" t="str">
        <x:v>Oil, Gas &amp; Petrochemicals</x:v>
      </x:c>
      <x:c r="E6710" s="13" t="str">
        <x:v>Oil, Gas &amp; Petrochemicals</x:v>
      </x:c>
      <x:c r="F6710" s="13" t="str">
        <x:v>Deep Cyclicals</x:v>
      </x:c>
      <x:c r="G6710" s="13" t="str">
        <x:v>grid_cqzdsc3v.xlsx</x:v>
      </x:c>
    </x:row>
    <x:row r="6711">
      <x:c r="A6711" s="15" t="n">
        <x:v>43497</x:v>
      </x:c>
      <x:c r="B6711" s="13" t="str">
        <x:v>PETROBRAS - PETROLEO BRAS</x:v>
      </x:c>
      <x:c r="C6711" s="16" t="n">
        <x:v>40482.485096918</x:v>
      </x:c>
      <x:c r="D6711" s="13" t="str">
        <x:v>Oil, Gas &amp; Petrochemicals</x:v>
      </x:c>
      <x:c r="E6711" s="13" t="str">
        <x:v>Oil, Gas &amp; Petrochemicals</x:v>
      </x:c>
      <x:c r="F6711" s="13" t="str">
        <x:v>Deep Cyclicals</x:v>
      </x:c>
      <x:c r="G6711" s="13" t="str">
        <x:v>grid_cqzdsc3v.xlsx</x:v>
      </x:c>
    </x:row>
    <x:row r="6712">
      <x:c r="A6712" s="15" t="n">
        <x:v>43497</x:v>
      </x:c>
      <x:c r="B6712" s="13" t="str">
        <x:v>ULTRAPAR PARTICIPACOES SA</x:v>
      </x:c>
      <x:c r="C6712" s="16" t="n">
        <x:v>1526.2114832787</x:v>
      </x:c>
      <x:c r="D6712" s="13" t="str">
        <x:v>Oil, Gas &amp; Petrochemicals</x:v>
      </x:c>
      <x:c r="E6712" s="13" t="str">
        <x:v>Oil, Gas &amp; Petrochemicals</x:v>
      </x:c>
      <x:c r="F6712" s="13" t="str">
        <x:v>Deep Cyclicals</x:v>
      </x:c>
      <x:c r="G6712" s="13" t="str">
        <x:v>grid_cqzdsc3v.xlsx</x:v>
      </x:c>
    </x:row>
    <x:row r="6713">
      <x:c r="A6713" s="15" t="n">
        <x:v>43497</x:v>
      </x:c>
      <x:c r="B6713" s="13" t="str">
        <x:v>VIBRA ENERGIA SA</x:v>
      </x:c>
      <x:c r="C6713" s="16" t="n">
        <x:v>1927.3950740984</x:v>
      </x:c>
      <x:c r="D6713" s="13" t="str">
        <x:v>Oil, Gas &amp; Petrochemicals</x:v>
      </x:c>
      <x:c r="E6713" s="13" t="str">
        <x:v>Oil, Gas &amp; Petrochemicals</x:v>
      </x:c>
      <x:c r="F6713" s="13" t="str">
        <x:v>Deep Cyclicals</x:v>
      </x:c>
      <x:c r="G6713" s="13" t="str">
        <x:v>grid_cqzdsc3v.xlsx</x:v>
      </x:c>
    </x:row>
    <x:row r="6714">
      <x:c r="A6714" s="15" t="n">
        <x:v>43497</x:v>
      </x:c>
      <x:c r="B6714" s="13" t="str">
        <x:v>KLABIN SA - UNIT</x:v>
      </x:c>
      <x:c r="C6714" s="16" t="n">
        <x:v>1777.9865788853</x:v>
      </x:c>
      <x:c r="D6714" s="13" t="str">
        <x:v>Pulp &amp; Paper</x:v>
      </x:c>
      <x:c r="E6714" s="13" t="str">
        <x:v>Pulp &amp; Paper</x:v>
      </x:c>
      <x:c r="F6714" s="13" t="str">
        <x:v>Deep Cyclicals</x:v>
      </x:c>
      <x:c r="G6714" s="13" t="str">
        <x:v>grid_cqzdsc3v.xlsx</x:v>
      </x:c>
    </x:row>
    <x:row r="6715">
      <x:c r="A6715" s="15" t="n">
        <x:v>43497</x:v>
      </x:c>
      <x:c r="B6715" s="13" t="str">
        <x:v>SUZANO SA</x:v>
      </x:c>
      <x:c r="C6715" s="16" t="n">
        <x:v>6887.6737133115</x:v>
      </x:c>
      <x:c r="D6715" s="13" t="str">
        <x:v>Pulp &amp; Paper</x:v>
      </x:c>
      <x:c r="E6715" s="13" t="str">
        <x:v>Pulp &amp; Paper</x:v>
      </x:c>
      <x:c r="F6715" s="13" t="str">
        <x:v>Deep Cyclicals</x:v>
      </x:c>
      <x:c r="G6715" s="13" t="str">
        <x:v>grid_cqzdsc3v.xlsx</x:v>
      </x:c>
    </x:row>
    <x:row r="6716">
      <x:c r="A6716" s="15" t="n">
        <x:v>43497</x:v>
      </x:c>
      <x:c r="B6716" s="13" t="str">
        <x:v>AMERICANAS SA</x:v>
      </x:c>
      <x:c r="C6716" s="16" t="n">
        <x:v>-194.4036624262</x:v>
      </x:c>
      <x:c r="D6716" s="13" t="str">
        <x:v>Retail</x:v>
      </x:c>
      <x:c r="E6716" s="13" t="str">
        <x:v>Retail</x:v>
      </x:c>
      <x:c r="F6716" s="13" t="str">
        <x:v>Early Cyclicals</x:v>
      </x:c>
      <x:c r="G6716" s="13" t="str">
        <x:v>grid_cqzdsc3v.xlsx</x:v>
      </x:c>
    </x:row>
    <x:row r="6717">
      <x:c r="A6717" s="15" t="n">
        <x:v>43497</x:v>
      </x:c>
      <x:c r="B6717" s="13" t="str">
        <x:v>CIA BRASILEIRA DE DIS-PREF</x:v>
      </x:c>
      <x:c r="C6717" s="16" t="n">
        <x:v>1213.2226392131</x:v>
      </x:c>
      <x:c r="D6717" s="13" t="str">
        <x:v>Retail</x:v>
      </x:c>
      <x:c r="E6717" s="13" t="str">
        <x:v>Retail</x:v>
      </x:c>
      <x:c r="F6717" s="13" t="str">
        <x:v>Early Cyclicals</x:v>
      </x:c>
      <x:c r="G6717" s="13" t="str">
        <x:v>grid_cqzdsc3v.xlsx</x:v>
      </x:c>
    </x:row>
    <x:row r="6718">
      <x:c r="A6718" s="15" t="n">
        <x:v>43497</x:v>
      </x:c>
      <x:c r="B6718" s="13" t="str">
        <x:v>CVC BRASIL OPERADORA E AGENC</x:v>
      </x:c>
      <x:c r="C6718" s="16" t="n">
        <x:v>410.9429083279</x:v>
      </x:c>
      <x:c r="D6718" s="13" t="str">
        <x:v>Retail</x:v>
      </x:c>
      <x:c r="E6718" s="13" t="str">
        <x:v>Retail</x:v>
      </x:c>
      <x:c r="F6718" s="13" t="str">
        <x:v>Early Cyclicals</x:v>
      </x:c>
      <x:c r="G6718" s="13" t="str">
        <x:v>grid_cqzdsc3v.xlsx</x:v>
      </x:c>
    </x:row>
    <x:row r="6719">
      <x:c r="A6719" s="15" t="n">
        <x:v>43497</x:v>
      </x:c>
      <x:c r="B6719" s="13" t="str">
        <x:v>GRUPO CASAS BAHIA SA</x:v>
      </x:c>
      <x:c r="C6719" s="16" t="n">
        <x:v>329.8734887869</x:v>
      </x:c>
      <x:c r="D6719" s="13" t="str">
        <x:v>Retail</x:v>
      </x:c>
      <x:c r="E6719" s="13" t="str">
        <x:v>Retail</x:v>
      </x:c>
      <x:c r="F6719" s="13" t="str">
        <x:v>Early Cyclicals</x:v>
      </x:c>
      <x:c r="G6719" s="13" t="str">
        <x:v>grid_cqzdsc3v.xlsx</x:v>
      </x:c>
    </x:row>
    <x:row r="6720">
      <x:c r="A6720" s="15" t="n">
        <x:v>43497</x:v>
      </x:c>
      <x:c r="B6720" s="13" t="str">
        <x:v>LOJAS AMERICANAS SA-PREF</x:v>
      </x:c>
      <x:c r="C6720" s="16" t="n">
        <x:v>826.0914497049</x:v>
      </x:c>
      <x:c r="D6720" s="13" t="str">
        <x:v>Retail</x:v>
      </x:c>
      <x:c r="E6720" s="13" t="str">
        <x:v>Retail</x:v>
      </x:c>
      <x:c r="F6720" s="13" t="str">
        <x:v>Early Cyclicals</x:v>
      </x:c>
      <x:c r="G6720" s="13" t="str">
        <x:v>grid_cqzdsc3v.xlsx</x:v>
      </x:c>
    </x:row>
    <x:row r="6721">
      <x:c r="A6721" s="15" t="n">
        <x:v>43497</x:v>
      </x:c>
      <x:c r="B6721" s="13" t="str">
        <x:v>LOJAS RENNER S.A.</x:v>
      </x:c>
      <x:c r="C6721" s="16" t="n">
        <x:v>1209.8871837377</x:v>
      </x:c>
      <x:c r="D6721" s="13" t="str">
        <x:v>Retail</x:v>
      </x:c>
      <x:c r="E6721" s="13" t="str">
        <x:v>Retail</x:v>
      </x:c>
      <x:c r="F6721" s="13" t="str">
        <x:v>Early Cyclicals</x:v>
      </x:c>
      <x:c r="G6721" s="13" t="str">
        <x:v>grid_cqzdsc3v.xlsx</x:v>
      </x:c>
    </x:row>
    <x:row r="6722">
      <x:c r="A6722" s="15" t="n">
        <x:v>43497</x:v>
      </x:c>
      <x:c r="B6722" s="13" t="str">
        <x:v>MAGAZINE LUIZA SA</x:v>
      </x:c>
      <x:c r="C6722" s="16" t="n">
        <x:v>777.7704918033</x:v>
      </x:c>
      <x:c r="D6722" s="13" t="str">
        <x:v>Retail</x:v>
      </x:c>
      <x:c r="E6722" s="13" t="str">
        <x:v>Retail</x:v>
      </x:c>
      <x:c r="F6722" s="13" t="str">
        <x:v>Early Cyclicals</x:v>
      </x:c>
      <x:c r="G6722" s="13" t="str">
        <x:v>grid_cqzdsc3v.xlsx</x:v>
      </x:c>
    </x:row>
    <x:row r="6723">
      <x:c r="A6723" s="15" t="n">
        <x:v>43497</x:v>
      </x:c>
      <x:c r="B6723" s="13" t="str">
        <x:v>RAIA DROGASIL SA</x:v>
      </x:c>
      <x:c r="C6723" s="16" t="n">
        <x:v>552.2404878689</x:v>
      </x:c>
      <x:c r="D6723" s="13" t="str">
        <x:v>Retail</x:v>
      </x:c>
      <x:c r="E6723" s="13" t="str">
        <x:v>Retail</x:v>
      </x:c>
      <x:c r="F6723" s="13" t="str">
        <x:v>Early Cyclicals</x:v>
      </x:c>
      <x:c r="G6723" s="13" t="str">
        <x:v>grid_cqzdsc3v.xlsx</x:v>
      </x:c>
    </x:row>
    <x:row r="6724">
      <x:c r="A6724" s="15" t="n">
        <x:v>43497</x:v>
      </x:c>
      <x:c r="B6724" s="13" t="str">
        <x:v>CIA SANEAMENTO BASICO DE SP</x:v>
      </x:c>
      <x:c r="C6724" s="16" t="n">
        <x:v>3092.7382074754</x:v>
      </x:c>
      <x:c r="D6724" s="13" t="str">
        <x:v>Sanitation</x:v>
      </x:c>
      <x:c r="E6724" s="13" t="str">
        <x:v>Utilities</x:v>
      </x:c>
      <x:c r="F6724" s="13" t="str">
        <x:v>Defensives</x:v>
      </x:c>
      <x:c r="G6724" s="13" t="str">
        <x:v>grid_cqzdsc3v.xlsx</x:v>
      </x:c>
    </x:row>
    <x:row r="6725">
      <x:c r="A6725" s="15" t="n">
        <x:v>43497</x:v>
      </x:c>
      <x:c r="B6725" s="13" t="str">
        <x:v>SMILES FIDELIDADE SA</x:v>
      </x:c>
      <x:c r="C6725" s="16" t="n">
        <x:v>657.0485392787</x:v>
      </x:c>
      <x:c r="D6725" s="13" t="str">
        <x:v>TMT</x:v>
      </x:c>
      <x:c r="E6725" s="13" t="str">
        <x:v>TMT</x:v>
      </x:c>
      <x:c r="F6725" s="13" t="str">
        <x:v>Early Cyclicals</x:v>
      </x:c>
      <x:c r="G6725" s="13" t="str">
        <x:v>grid_cqzdsc3v.xlsx</x:v>
      </x:c>
    </x:row>
    <x:row r="6726">
      <x:c r="A6726" s="15" t="n">
        <x:v>43497</x:v>
      </x:c>
      <x:c r="B6726" s="13" t="str">
        <x:v>TELEFONICA BRASIL S.A.-PREF</x:v>
      </x:c>
      <x:c r="C6726" s="16" t="n">
        <x:v>5811.7253287869</x:v>
      </x:c>
      <x:c r="D6726" s="13" t="str">
        <x:v>TMT</x:v>
      </x:c>
      <x:c r="E6726" s="13" t="str">
        <x:v>TMT</x:v>
      </x:c>
      <x:c r="F6726" s="13" t="str">
        <x:v>Early Cyclicals</x:v>
      </x:c>
      <x:c r="G6726" s="13" t="str">
        <x:v>grid_cqzdsc3v.xlsx</x:v>
      </x:c>
    </x:row>
    <x:row r="6727">
      <x:c r="A6727" s="15" t="n">
        <x:v>43497</x:v>
      </x:c>
      <x:c r="B6727" s="13" t="str">
        <x:v>TIM SA</x:v>
      </x:c>
      <x:c r="C6727" s="16" t="n">
        <x:v>1987.7158483934</x:v>
      </x:c>
      <x:c r="D6727" s="13" t="str">
        <x:v>TMT</x:v>
      </x:c>
      <x:c r="E6727" s="13" t="str">
        <x:v>TMT</x:v>
      </x:c>
      <x:c r="F6727" s="13" t="str">
        <x:v>Early Cyclicals</x:v>
      </x:c>
      <x:c r="G6727" s="13" t="str">
        <x:v>grid_cqzdsc3v.xlsx</x:v>
      </x:c>
    </x:row>
    <x:row r="6728">
      <x:c r="A6728" s="15" t="n">
        <x:v>43497</x:v>
      </x:c>
      <x:c r="B6728" s="13" t="str">
        <x:v>ECORODOVIAS INFRA E LOG SA</x:v>
      </x:c>
      <x:c r="C6728" s="16" t="n">
        <x:v>537.9470027541</x:v>
      </x:c>
      <x:c r="D6728" s="13" t="str">
        <x:v>Transportation</x:v>
      </x:c>
      <x:c r="E6728" s="13" t="str">
        <x:v>Transportation</x:v>
      </x:c>
      <x:c r="F6728" s="13" t="str">
        <x:v>Deep Cyclicals</x:v>
      </x:c>
      <x:c r="G6728" s="13" t="str">
        <x:v>grid_cqzdsc3v.xlsx</x:v>
      </x:c>
    </x:row>
    <x:row r="6729">
      <x:c r="A6729" s="15" t="n">
        <x:v>43497</x:v>
      </x:c>
      <x:c r="B6729" s="13" t="str">
        <x:v>GOL LINHAS AEREAS INT SA-PRE</x:v>
      </x:c>
      <x:c r="C6729" s="16" t="n">
        <x:v>444.5618045902</x:v>
      </x:c>
      <x:c r="D6729" s="13" t="str">
        <x:v>Transportation</x:v>
      </x:c>
      <x:c r="E6729" s="13" t="str">
        <x:v>Transportation</x:v>
      </x:c>
      <x:c r="F6729" s="13" t="str">
        <x:v>Deep Cyclicals</x:v>
      </x:c>
      <x:c r="G6729" s="13" t="str">
        <x:v>grid_cqzdsc3v.xlsx</x:v>
      </x:c>
    </x:row>
    <x:row r="6730">
      <x:c r="A6730" s="15" t="n">
        <x:v>43497</x:v>
      </x:c>
      <x:c r="B6730" s="13" t="str">
        <x:v>LOCALIZA RENT A CAR</x:v>
      </x:c>
      <x:c r="C6730" s="16" t="n">
        <x:v>949.7823307541</x:v>
      </x:c>
      <x:c r="D6730" s="13" t="str">
        <x:v>Transportation</x:v>
      </x:c>
      <x:c r="E6730" s="13" t="str">
        <x:v>Transportation</x:v>
      </x:c>
      <x:c r="F6730" s="13" t="str">
        <x:v>Deep Cyclicals</x:v>
      </x:c>
      <x:c r="G6730" s="13" t="str">
        <x:v>grid_cqzdsc3v.xlsx</x:v>
      </x:c>
    </x:row>
    <x:row r="6731">
      <x:c r="A6731" s="15" t="n">
        <x:v>43497</x:v>
      </x:c>
      <x:c r="B6731" s="13" t="str">
        <x:v>MOTIVA INFRAESTRUTURA DE MOB</x:v>
      </x:c>
      <x:c r="C6731" s="16" t="n">
        <x:v>2042.7923220984</x:v>
      </x:c>
      <x:c r="D6731" s="13" t="str">
        <x:v>Transportation</x:v>
      </x:c>
      <x:c r="E6731" s="13" t="str">
        <x:v>Transportation</x:v>
      </x:c>
      <x:c r="F6731" s="13" t="str">
        <x:v>Deep Cyclicals</x:v>
      </x:c>
      <x:c r="G6731" s="13" t="str">
        <x:v>grid_cqzdsc3v.xlsx</x:v>
      </x:c>
    </x:row>
    <x:row r="6732">
      <x:c r="A6732" s="15" t="n">
        <x:v>43497</x:v>
      </x:c>
      <x:c r="B6732" s="13" t="str">
        <x:v>RUMO SA</x:v>
      </x:c>
      <x:c r="C6732" s="16" t="n">
        <x:v>862.042228459</x:v>
      </x:c>
      <x:c r="D6732" s="13" t="str">
        <x:v>Transportation</x:v>
      </x:c>
      <x:c r="E6732" s="13" t="str">
        <x:v>Transportation</x:v>
      </x:c>
      <x:c r="F6732" s="13" t="str">
        <x:v>Deep Cyclicals</x:v>
      </x:c>
      <x:c r="G6732" s="13" t="str">
        <x:v>grid_cqzdsc3v.xlsx</x:v>
      </x:c>
    </x:row>
    <x:row r="6733">
      <x:c r="A6733" s="15" t="n">
        <x:v>43497</x:v>
      </x:c>
      <x:c r="B6733" s="13" t="str">
        <x:v>AXIA ENERGIA SA</x:v>
      </x:c>
      <x:c r="C6733" s="16" t="n">
        <x:v>5695.8280771148</x:v>
      </x:c>
      <x:c r="D6733" s="13" t="str">
        <x:v>Utilities &amp; Energy</x:v>
      </x:c>
      <x:c r="E6733" s="13" t="str">
        <x:v>Utilities</x:v>
      </x:c>
      <x:c r="F6733" s="13" t="str">
        <x:v>Defensives</x:v>
      </x:c>
      <x:c r="G6733" s="13" t="str">
        <x:v>grid_cqzdsc3v.xlsx</x:v>
      </x:c>
    </x:row>
    <x:row r="6734">
      <x:c r="A6734" s="15" t="n">
        <x:v>43497</x:v>
      </x:c>
      <x:c r="B6734" s="13" t="str">
        <x:v>AXIA ENERGIA-PR B</x:v>
      </x:c>
      <x:c r="C6734" s="16" t="n">
        <x:v>5695.8280771148</x:v>
      </x:c>
      <x:c r="D6734" s="13" t="str">
        <x:v>Utilities &amp; Energy</x:v>
      </x:c>
      <x:c r="E6734" s="13" t="str">
        <x:v>Utilities</x:v>
      </x:c>
      <x:c r="F6734" s="13" t="str">
        <x:v>Defensives</x:v>
      </x:c>
      <x:c r="G6734" s="13" t="str">
        <x:v>grid_cqzdsc3v.xlsx</x:v>
      </x:c>
    </x:row>
    <x:row r="6735">
      <x:c r="A6735" s="15" t="n">
        <x:v>43497</x:v>
      </x:c>
      <x:c r="B6735" s="13" t="str">
        <x:v>CIA ENERGETICA MINAS GER-PRF</x:v>
      </x:c>
      <x:c r="C6735" s="16" t="n">
        <x:v>1984.0795509508</x:v>
      </x:c>
      <x:c r="D6735" s="13" t="str">
        <x:v>Utilities &amp; Energy</x:v>
      </x:c>
      <x:c r="E6735" s="13" t="str">
        <x:v>Utilities</x:v>
      </x:c>
      <x:c r="F6735" s="13" t="str">
        <x:v>Defensives</x:v>
      </x:c>
      <x:c r="G6735" s="13" t="str">
        <x:v>grid_cqzdsc3v.xlsx</x:v>
      </x:c>
    </x:row>
    <x:row r="6736">
      <x:c r="A6736" s="15" t="n">
        <x:v>43497</x:v>
      </x:c>
      <x:c r="B6736" s="13" t="str">
        <x:v>EDP - ENERGIAS DO BRASIL SA</x:v>
      </x:c>
      <x:c r="C6736" s="16" t="n">
        <x:v>844.7654368525</x:v>
      </x:c>
      <x:c r="D6736" s="13" t="str">
        <x:v>Utilities &amp; Energy</x:v>
      </x:c>
      <x:c r="E6736" s="13" t="str">
        <x:v>Utilities</x:v>
      </x:c>
      <x:c r="F6736" s="13" t="str">
        <x:v>Defensives</x:v>
      </x:c>
      <x:c r="G6736" s="13" t="str">
        <x:v>grid_cqzdsc3v.xlsx</x:v>
      </x:c>
    </x:row>
    <x:row r="6737">
      <x:c r="A6737" s="15" t="n">
        <x:v>43497</x:v>
      </x:c>
      <x:c r="B6737" s="13" t="str">
        <x:v>ENGIE BRASIL ENERGIA SA</x:v>
      </x:c>
      <x:c r="C6737" s="16" t="n">
        <x:v>2514.6725015082</x:v>
      </x:c>
      <x:c r="D6737" s="13" t="str">
        <x:v>Utilities &amp; Energy</x:v>
      </x:c>
      <x:c r="E6737" s="13" t="str">
        <x:v>Utilities</x:v>
      </x:c>
      <x:c r="F6737" s="13" t="str">
        <x:v>Defensives</x:v>
      </x:c>
      <x:c r="G6737" s="13" t="str">
        <x:v>grid_cqzdsc3v.xlsx</x:v>
      </x:c>
    </x:row>
    <x:row r="6738">
      <x:c r="A6738" s="15" t="n">
        <x:v>43497</x:v>
      </x:c>
      <x:c r="B6738" s="13" t="str">
        <x:v>EQUATORIAL SA - ORD</x:v>
      </x:c>
      <x:c r="C6738" s="16" t="n">
        <x:v>796.5127302295</x:v>
      </x:c>
      <x:c r="D6738" s="13" t="str">
        <x:v>Utilities &amp; Energy</x:v>
      </x:c>
      <x:c r="E6738" s="13" t="str">
        <x:v>Utilities</x:v>
      </x:c>
      <x:c r="F6738" s="13" t="str">
        <x:v>Defensives</x:v>
      </x:c>
      <x:c r="G6738" s="13" t="str">
        <x:v>grid_cqzdsc3v.xlsx</x:v>
      </x:c>
    </x:row>
    <x:row r="6739">
      <x:c r="A6739" s="15" t="n">
        <x:v>43497</x:v>
      </x:c>
      <x:c r="B6739" s="13" t="str">
        <x:v>TRANSMISSORA ALIANCA DE-UNIT</x:v>
      </x:c>
      <x:c r="C6739" s="16" t="n">
        <x:v>753.631901377</x:v>
      </x:c>
      <x:c r="D6739" s="13" t="str">
        <x:v>Utilities &amp; Energy</x:v>
      </x:c>
      <x:c r="E6739" s="13" t="str">
        <x:v>Utilities</x:v>
      </x:c>
      <x:c r="F6739" s="13" t="str">
        <x:v>Defensives</x:v>
      </x:c>
      <x:c r="G6739" s="13" t="str">
        <x:v>grid_cqzdsc3v.xlsx</x:v>
      </x:c>
    </x:row>
    <x:row r="6740">
      <x:c r="A6740" s="15" t="n">
        <x:v>43525</x:v>
      </x:c>
      <x:c r="B6740" s="13" t="str">
        <x:v>BANCO BRADESCO S.A.</x:v>
      </x:c>
      <x:c r="C6740" s="16" t="n">
        <x:v>24960.2049566776</x:v>
      </x:c>
      <x:c r="D6740" s="13" t="str">
        <x:v>Banks</x:v>
      </x:c>
      <x:c r="E6740" s="13" t="str">
        <x:v>Banks</x:v>
      </x:c>
      <x:c r="F6740" s="13" t="str">
        <x:v>Financials</x:v>
      </x:c>
      <x:c r="G6740" s="13" t="str">
        <x:v>grid_cqzdsc3v.xlsx</x:v>
      </x:c>
    </x:row>
    <x:row r="6741">
      <x:c r="A6741" s="15" t="n">
        <x:v>43525</x:v>
      </x:c>
      <x:c r="B6741" s="13" t="str">
        <x:v>BANCO BRADESCO SA-PREF</x:v>
      </x:c>
      <x:c r="C6741" s="16" t="n">
        <x:v>24960.2049566776</x:v>
      </x:c>
      <x:c r="D6741" s="13" t="str">
        <x:v>Banks</x:v>
      </x:c>
      <x:c r="E6741" s="13" t="str">
        <x:v>Banks</x:v>
      </x:c>
      <x:c r="F6741" s="13" t="str">
        <x:v>Financials</x:v>
      </x:c>
      <x:c r="G6741" s="13" t="str">
        <x:v>grid_cqzdsc3v.xlsx</x:v>
      </x:c>
    </x:row>
    <x:row r="6742">
      <x:c r="A6742" s="15" t="n">
        <x:v>43525</x:v>
      </x:c>
      <x:c r="B6742" s="13" t="str">
        <x:v>BANCO DO BRASIL S.A.</x:v>
      </x:c>
      <x:c r="C6742" s="16" t="n">
        <x:v>16826.3953430383</x:v>
      </x:c>
      <x:c r="D6742" s="13" t="str">
        <x:v>Banks</x:v>
      </x:c>
      <x:c r="E6742" s="13" t="str">
        <x:v>Banks</x:v>
      </x:c>
      <x:c r="F6742" s="13" t="str">
        <x:v>Financials</x:v>
      </x:c>
      <x:c r="G6742" s="13" t="str">
        <x:v>grid_cqzdsc3v.xlsx</x:v>
      </x:c>
    </x:row>
    <x:row r="6743">
      <x:c r="A6743" s="15" t="n">
        <x:v>43525</x:v>
      </x:c>
      <x:c r="B6743" s="13" t="str">
        <x:v>BANCO SANTANDER  BRASIL-UNIT</x:v>
      </x:c>
      <x:c r="C6743" s="16" t="n">
        <x:v>14083.7646184918</x:v>
      </x:c>
      <x:c r="D6743" s="13" t="str">
        <x:v>Banks</x:v>
      </x:c>
      <x:c r="E6743" s="13" t="str">
        <x:v>Banks</x:v>
      </x:c>
      <x:c r="F6743" s="13" t="str">
        <x:v>Financials</x:v>
      </x:c>
      <x:c r="G6743" s="13" t="str">
        <x:v>grid_cqzdsc3v.xlsx</x:v>
      </x:c>
    </x:row>
    <x:row r="6744">
      <x:c r="A6744" s="15" t="n">
        <x:v>43525</x:v>
      </x:c>
      <x:c r="B6744" s="13" t="str">
        <x:v>ITAU UNIBANCO HOLDING S-PREF</x:v>
      </x:c>
      <x:c r="C6744" s="16" t="n">
        <x:v>28400.6863653771</x:v>
      </x:c>
      <x:c r="D6744" s="13" t="str">
        <x:v>Banks</x:v>
      </x:c>
      <x:c r="E6744" s="13" t="str">
        <x:v>Banks</x:v>
      </x:c>
      <x:c r="F6744" s="13" t="str">
        <x:v>Financials</x:v>
      </x:c>
      <x:c r="G6744" s="13" t="str">
        <x:v>grid_cqzdsc3v.xlsx</x:v>
      </x:c>
    </x:row>
    <x:row r="6745">
      <x:c r="A6745" s="15" t="n">
        <x:v>43525</x:v>
      </x:c>
      <x:c r="B6745" s="13" t="str">
        <x:v>EMBRAER SA</x:v>
      </x:c>
      <x:c r="C6745" s="16" t="n">
        <x:v>354.2680038907</x:v>
      </x:c>
      <x:c r="D6745" s="13" t="str">
        <x:v>Capital Goods</x:v>
      </x:c>
      <x:c r="E6745" s="13" t="str">
        <x:v>Capital Goods</x:v>
      </x:c>
      <x:c r="F6745" s="13" t="str">
        <x:v>Deep Cyclicals</x:v>
      </x:c>
      <x:c r="G6745" s="13" t="str">
        <x:v>grid_cqzdsc3v.xlsx</x:v>
      </x:c>
    </x:row>
    <x:row r="6746">
      <x:c r="A6746" s="15" t="n">
        <x:v>43525</x:v>
      </x:c>
      <x:c r="B6746" s="13" t="str">
        <x:v>WEG SA</x:v>
      </x:c>
      <x:c r="C6746" s="16" t="n">
        <x:v>1562.020186929</x:v>
      </x:c>
      <x:c r="D6746" s="13" t="str">
        <x:v>Capital Goods</x:v>
      </x:c>
      <x:c r="E6746" s="13" t="str">
        <x:v>Capital Goods</x:v>
      </x:c>
      <x:c r="F6746" s="13" t="str">
        <x:v>Deep Cyclicals</x:v>
      </x:c>
      <x:c r="G6746" s="13" t="str">
        <x:v>grid_cqzdsc3v.xlsx</x:v>
      </x:c>
    </x:row>
    <x:row r="6747">
      <x:c r="A6747" s="15" t="n">
        <x:v>43525</x:v>
      </x:c>
      <x:c r="B6747" s="13" t="str">
        <x:v>COGNA EDUCACAO</x:v>
      </x:c>
      <x:c r="C6747" s="16" t="n">
        <x:v>1745.5673001967</x:v>
      </x:c>
      <x:c r="D6747" s="13" t="str">
        <x:v>Education</x:v>
      </x:c>
      <x:c r="E6747" s="13" t="str">
        <x:v>Education</x:v>
      </x:c>
      <x:c r="F6747" s="13" t="str">
        <x:v>Early Cyclicals</x:v>
      </x:c>
      <x:c r="G6747" s="13" t="str">
        <x:v>grid_cqzdsc3v.xlsx</x:v>
      </x:c>
    </x:row>
    <x:row r="6748">
      <x:c r="A6748" s="15" t="n">
        <x:v>43525</x:v>
      </x:c>
      <x:c r="B6748" s="13" t="str">
        <x:v>YDUQS PARTICIPACOES SA</x:v>
      </x:c>
      <x:c r="C6748" s="16" t="n">
        <x:v>865.4658392131</x:v>
      </x:c>
      <x:c r="D6748" s="13" t="str">
        <x:v>Education</x:v>
      </x:c>
      <x:c r="E6748" s="13" t="str">
        <x:v>Education</x:v>
      </x:c>
      <x:c r="F6748" s="13" t="str">
        <x:v>Early Cyclicals</x:v>
      </x:c>
      <x:c r="G6748" s="13" t="str">
        <x:v>grid_cqzdsc3v.xlsx</x:v>
      </x:c>
    </x:row>
    <x:row r="6749">
      <x:c r="A6749" s="15" t="n">
        <x:v>43525</x:v>
      </x:c>
      <x:c r="B6749" s="13" t="str">
        <x:v>B3 SA-BRASIL BOLSA BALCAO</x:v>
      </x:c>
      <x:c r="C6749" s="16" t="n">
        <x:v>3248.9624515847</x:v>
      </x:c>
      <x:c r="D6749" s="13" t="str">
        <x:v>Financials Non-Banks</x:v>
      </x:c>
      <x:c r="E6749" s="13" t="str">
        <x:v>Financials Non-Banks</x:v>
      </x:c>
      <x:c r="F6749" s="13" t="str">
        <x:v>Financials</x:v>
      </x:c>
      <x:c r="G6749" s="13" t="str">
        <x:v>grid_cqzdsc3v.xlsx</x:v>
      </x:c>
    </x:row>
    <x:row r="6750">
      <x:c r="A6750" s="15" t="n">
        <x:v>43525</x:v>
      </x:c>
      <x:c r="B6750" s="13" t="str">
        <x:v>BB SEGURIDADE PARTICIPACOES</x:v>
      </x:c>
      <x:c r="C6750" s="16" t="n">
        <x:v>4044.3507116066</x:v>
      </x:c>
      <x:c r="D6750" s="13" t="str">
        <x:v>Financials Non-Banks</x:v>
      </x:c>
      <x:c r="E6750" s="13" t="str">
        <x:v>Financials Non-Banks</x:v>
      </x:c>
      <x:c r="F6750" s="13" t="str">
        <x:v>Financials</x:v>
      </x:c>
      <x:c r="G6750" s="13" t="str">
        <x:v>grid_cqzdsc3v.xlsx</x:v>
      </x:c>
    </x:row>
    <x:row r="6751">
      <x:c r="A6751" s="15" t="n">
        <x:v>43525</x:v>
      </x:c>
      <x:c r="B6751" s="13" t="str">
        <x:v>CIELO SA - INSTITUICAO DE PA</x:v>
      </x:c>
      <x:c r="C6751" s="16" t="n">
        <x:v>2724.5708583169</x:v>
      </x:c>
      <x:c r="D6751" s="13" t="str">
        <x:v>Financials Non-Banks</x:v>
      </x:c>
      <x:c r="E6751" s="13" t="str">
        <x:v>Financials Non-Banks</x:v>
      </x:c>
      <x:c r="F6751" s="13" t="str">
        <x:v>Financials</x:v>
      </x:c>
      <x:c r="G6751" s="13" t="str">
        <x:v>grid_cqzdsc3v.xlsx</x:v>
      </x:c>
    </x:row>
    <x:row r="6752">
      <x:c r="A6752" s="15" t="n">
        <x:v>43525</x:v>
      </x:c>
      <x:c r="B6752" s="13" t="str">
        <x:v>AMBEV SA</x:v>
      </x:c>
      <x:c r="C6752" s="16" t="n">
        <x:v>12775.0134935082</x:v>
      </x:c>
      <x:c r="D6752" s="13" t="str">
        <x:v>Food &amp; Beverages</x:v>
      </x:c>
      <x:c r="E6752" s="13" t="str">
        <x:v>Agri, Food &amp; Beverages</x:v>
      </x:c>
      <x:c r="F6752" s="13" t="str">
        <x:v>Defensives</x:v>
      </x:c>
      <x:c r="G6752" s="13" t="str">
        <x:v>grid_cqzdsc3v.xlsx</x:v>
      </x:c>
    </x:row>
    <x:row r="6753">
      <x:c r="A6753" s="15" t="n">
        <x:v>43525</x:v>
      </x:c>
      <x:c r="B6753" s="13" t="str">
        <x:v>BRF SA</x:v>
      </x:c>
      <x:c r="C6753" s="16" t="n">
        <x:v>-74.2753333333</x:v>
      </x:c>
      <x:c r="D6753" s="13" t="str">
        <x:v>Food &amp; Beverages</x:v>
      </x:c>
      <x:c r="E6753" s="13" t="str">
        <x:v>Agri, Food &amp; Beverages</x:v>
      </x:c>
      <x:c r="F6753" s="13" t="str">
        <x:v>Defensives</x:v>
      </x:c>
      <x:c r="G6753" s="13" t="str">
        <x:v>grid_cqzdsc3v.xlsx</x:v>
      </x:c>
    </x:row>
    <x:row r="6754">
      <x:c r="A6754" s="15" t="n">
        <x:v>43525</x:v>
      </x:c>
      <x:c r="B6754" s="13" t="str">
        <x:v>JBS SA</x:v>
      </x:c>
      <x:c r="C6754" s="16" t="n">
        <x:v>4830.7467652896</x:v>
      </x:c>
      <x:c r="D6754" s="13" t="str">
        <x:v>Food &amp; Beverages</x:v>
      </x:c>
      <x:c r="E6754" s="13" t="str">
        <x:v>Agri, Food &amp; Beverages</x:v>
      </x:c>
      <x:c r="F6754" s="13" t="str">
        <x:v>Defensives</x:v>
      </x:c>
      <x:c r="G6754" s="13" t="str">
        <x:v>grid_cqzdsc3v.xlsx</x:v>
      </x:c>
    </x:row>
    <x:row r="6755">
      <x:c r="A6755" s="15" t="n">
        <x:v>43525</x:v>
      </x:c>
      <x:c r="B6755" s="13" t="str">
        <x:v>MBRF GLOBAL FOODS COMPANY SA</x:v>
      </x:c>
      <x:c r="C6755" s="16" t="n">
        <x:v>517.8956284153</x:v>
      </x:c>
      <x:c r="D6755" s="13" t="str">
        <x:v>Food &amp; Beverages</x:v>
      </x:c>
      <x:c r="E6755" s="13" t="str">
        <x:v>Agri, Food &amp; Beverages</x:v>
      </x:c>
      <x:c r="F6755" s="13" t="str">
        <x:v>Defensives</x:v>
      </x:c>
      <x:c r="G6755" s="13" t="str">
        <x:v>grid_cqzdsc3v.xlsx</x:v>
      </x:c>
    </x:row>
    <x:row r="6756">
      <x:c r="A6756" s="15" t="n">
        <x:v>43525</x:v>
      </x:c>
      <x:c r="B6756" s="13" t="str">
        <x:v>FLEURY SA</x:v>
      </x:c>
      <x:c r="C6756" s="16" t="n">
        <x:v>386.6181050055</x:v>
      </x:c>
      <x:c r="D6756" s="13" t="str">
        <x:v>Health Care</x:v>
      </x:c>
      <x:c r="E6756" s="13" t="str">
        <x:v>Health Care</x:v>
      </x:c>
      <x:c r="F6756" s="13" t="str">
        <x:v>Defensives</x:v>
      </x:c>
      <x:c r="G6756" s="13" t="str">
        <x:v>grid_cqzdsc3v.xlsx</x:v>
      </x:c>
    </x:row>
    <x:row r="6757">
      <x:c r="A6757" s="15" t="n">
        <x:v>43525</x:v>
      </x:c>
      <x:c r="B6757" s="13" t="str">
        <x:v>HYPERA SA</x:v>
      </x:c>
      <x:c r="C6757" s="16" t="n">
        <x:v>1228.703717071</x:v>
      </x:c>
      <x:c r="D6757" s="13" t="str">
        <x:v>Health Care</x:v>
      </x:c>
      <x:c r="E6757" s="13" t="str">
        <x:v>Health Care</x:v>
      </x:c>
      <x:c r="F6757" s="13" t="str">
        <x:v>Defensives</x:v>
      </x:c>
      <x:c r="G6757" s="13" t="str">
        <x:v>grid_cqzdsc3v.xlsx</x:v>
      </x:c>
    </x:row>
    <x:row r="6758">
      <x:c r="A6758" s="15" t="n">
        <x:v>43525</x:v>
      </x:c>
      <x:c r="B6758" s="13" t="str">
        <x:v>QUALICORP CONS E CORR SEG SA</x:v>
      </x:c>
      <x:c r="C6758" s="16" t="n">
        <x:v>484.0327868852</x:v>
      </x:c>
      <x:c r="D6758" s="13" t="str">
        <x:v>Health Care</x:v>
      </x:c>
      <x:c r="E6758" s="13" t="str">
        <x:v>Health Care</x:v>
      </x:c>
      <x:c r="F6758" s="13" t="str">
        <x:v>Defensives</x:v>
      </x:c>
      <x:c r="G6758" s="13" t="str">
        <x:v>grid_cqzdsc3v.xlsx</x:v>
      </x:c>
    </x:row>
    <x:row r="6759">
      <x:c r="A6759" s="15" t="n">
        <x:v>43525</x:v>
      </x:c>
      <x:c r="B6759" s="13" t="str">
        <x:v>CYRELA BRAZIL REALTY SA EMP</x:v>
      </x:c>
      <x:c r="C6759" s="16" t="n">
        <x:v>357.3068306011</x:v>
      </x:c>
      <x:c r="D6759" s="13" t="str">
        <x:v>Homebuilders</x:v>
      </x:c>
      <x:c r="E6759" s="13" t="str">
        <x:v>Real Estate</x:v>
      </x:c>
      <x:c r="F6759" s="13" t="str">
        <x:v>Early Cyclicals</x:v>
      </x:c>
      <x:c r="G6759" s="13" t="str">
        <x:v>grid_cqzdsc3v.xlsx</x:v>
      </x:c>
    </x:row>
    <x:row r="6760">
      <x:c r="A6760" s="15" t="n">
        <x:v>43525</x:v>
      </x:c>
      <x:c r="B6760" s="13" t="str">
        <x:v>MRV ENGENHARIA</x:v>
      </x:c>
      <x:c r="C6760" s="16" t="n">
        <x:v>810.3985589508</x:v>
      </x:c>
      <x:c r="D6760" s="13" t="str">
        <x:v>Homebuilders</x:v>
      </x:c>
      <x:c r="E6760" s="13" t="str">
        <x:v>Real Estate</x:v>
      </x:c>
      <x:c r="F6760" s="13" t="str">
        <x:v>Early Cyclicals</x:v>
      </x:c>
      <x:c r="G6760" s="13" t="str">
        <x:v>grid_cqzdsc3v.xlsx</x:v>
      </x:c>
    </x:row>
    <x:row r="6761">
      <x:c r="A6761" s="15" t="n">
        <x:v>43525</x:v>
      </x:c>
      <x:c r="B6761" s="13" t="str">
        <x:v>BR MALLS PARTICIPACOES SA</x:v>
      </x:c>
      <x:c r="C6761" s="16" t="n">
        <x:v>641.256284153</x:v>
      </x:c>
      <x:c r="D6761" s="13" t="str">
        <x:v>Income Properties</x:v>
      </x:c>
      <x:c r="E6761" s="13" t="str">
        <x:v>Real Estate</x:v>
      </x:c>
      <x:c r="F6761" s="13" t="str">
        <x:v>Early Cyclicals</x:v>
      </x:c>
      <x:c r="G6761" s="13" t="str">
        <x:v>grid_cqzdsc3v.xlsx</x:v>
      </x:c>
    </x:row>
    <x:row r="6762">
      <x:c r="A6762" s="15" t="n">
        <x:v>43525</x:v>
      </x:c>
      <x:c r="B6762" s="13" t="str">
        <x:v>IGUATEMI EMP DE SHOPPING</x:v>
      </x:c>
      <x:c r="C6762" s="16" t="n">
        <x:v>298.4330601093</x:v>
      </x:c>
      <x:c r="D6762" s="13" t="str">
        <x:v>Income Properties</x:v>
      </x:c>
      <x:c r="E6762" s="13" t="str">
        <x:v>Real Estate</x:v>
      </x:c>
      <x:c r="F6762" s="13" t="str">
        <x:v>Early Cyclicals</x:v>
      </x:c>
      <x:c r="G6762" s="13" t="str">
        <x:v>grid_cqzdsc3v.xlsx</x:v>
      </x:c>
    </x:row>
    <x:row r="6763">
      <x:c r="A6763" s="15" t="n">
        <x:v>43525</x:v>
      </x:c>
      <x:c r="B6763" s="13" t="str">
        <x:v>LOG COMMERCIAL PROPERTIES E</x:v>
      </x:c>
      <x:c r="C6763" s="16" t="n">
        <x:v>62.4557377049</x:v>
      </x:c>
      <x:c r="D6763" s="13" t="str">
        <x:v>Income Properties</x:v>
      </x:c>
      <x:c r="E6763" s="13" t="str">
        <x:v>Real Estate</x:v>
      </x:c>
      <x:c r="F6763" s="13" t="str">
        <x:v>Early Cyclicals</x:v>
      </x:c>
      <x:c r="G6763" s="13" t="str">
        <x:v>grid_cqzdsc3v.xlsx</x:v>
      </x:c>
    </x:row>
    <x:row r="6764">
      <x:c r="A6764" s="15" t="n">
        <x:v>43525</x:v>
      </x:c>
      <x:c r="B6764" s="13" t="str">
        <x:v>MULTIPLAN EMPREENDIMENTOS</x:v>
      </x:c>
      <x:c r="C6764" s="16" t="n">
        <x:v>527.8681387541</x:v>
      </x:c>
      <x:c r="D6764" s="13" t="str">
        <x:v>Income Properties</x:v>
      </x:c>
      <x:c r="E6764" s="13" t="str">
        <x:v>Real Estate</x:v>
      </x:c>
      <x:c r="F6764" s="13" t="str">
        <x:v>Early Cyclicals</x:v>
      </x:c>
      <x:c r="G6764" s="13" t="str">
        <x:v>grid_cqzdsc3v.xlsx</x:v>
      </x:c>
    </x:row>
    <x:row r="6765">
      <x:c r="A6765" s="15" t="n">
        <x:v>43525</x:v>
      </x:c>
      <x:c r="B6765" s="13" t="str">
        <x:v>BRADESPAR SA -PREF</x:v>
      </x:c>
      <x:c r="C6765" s="16" t="n">
        <x:v>2574.0192069945</x:v>
      </x:c>
      <x:c r="D6765" s="13" t="str">
        <x:v>Metals &amp; Mining</x:v>
      </x:c>
      <x:c r="E6765" s="13" t="str">
        <x:v>Metals &amp; Mining</x:v>
      </x:c>
      <x:c r="F6765" s="13" t="str">
        <x:v>Deep Cyclicals</x:v>
      </x:c>
      <x:c r="G6765" s="13" t="str">
        <x:v>grid_cqzdsc3v.xlsx</x:v>
      </x:c>
    </x:row>
    <x:row r="6766">
      <x:c r="A6766" s="15" t="n">
        <x:v>43525</x:v>
      </x:c>
      <x:c r="B6766" s="13" t="str">
        <x:v>CIA SIDERURGICA NACIONAL SA</x:v>
      </x:c>
      <x:c r="C6766" s="16" t="n">
        <x:v>2674.8578504044</x:v>
      </x:c>
      <x:c r="D6766" s="13" t="str">
        <x:v>Metals &amp; Mining</x:v>
      </x:c>
      <x:c r="E6766" s="13" t="str">
        <x:v>Metals &amp; Mining</x:v>
      </x:c>
      <x:c r="F6766" s="13" t="str">
        <x:v>Deep Cyclicals</x:v>
      </x:c>
      <x:c r="G6766" s="13" t="str">
        <x:v>grid_cqzdsc3v.xlsx</x:v>
      </x:c>
    </x:row>
    <x:row r="6767">
      <x:c r="A6767" s="15" t="n">
        <x:v>43525</x:v>
      </x:c>
      <x:c r="B6767" s="13" t="str">
        <x:v>GERDAU SA-PREF</x:v>
      </x:c>
      <x:c r="C6767" s="16" t="n">
        <x:v>2753.7797665574</x:v>
      </x:c>
      <x:c r="D6767" s="13" t="str">
        <x:v>Metals &amp; Mining</x:v>
      </x:c>
      <x:c r="E6767" s="13" t="str">
        <x:v>Metals &amp; Mining</x:v>
      </x:c>
      <x:c r="F6767" s="13" t="str">
        <x:v>Deep Cyclicals</x:v>
      </x:c>
      <x:c r="G6767" s="13" t="str">
        <x:v>grid_cqzdsc3v.xlsx</x:v>
      </x:c>
    </x:row>
    <x:row r="6768">
      <x:c r="A6768" s="15" t="n">
        <x:v>43525</x:v>
      </x:c>
      <x:c r="B6768" s="13" t="str">
        <x:v>USINAS SIDER MINAS GER-PF A</x:v>
      </x:c>
      <x:c r="C6768" s="16" t="n">
        <x:v>1174.3926858142</x:v>
      </x:c>
      <x:c r="D6768" s="13" t="str">
        <x:v>Metals &amp; Mining</x:v>
      </x:c>
      <x:c r="E6768" s="13" t="str">
        <x:v>Metals &amp; Mining</x:v>
      </x:c>
      <x:c r="F6768" s="13" t="str">
        <x:v>Deep Cyclicals</x:v>
      </x:c>
      <x:c r="G6768" s="13" t="str">
        <x:v>grid_cqzdsc3v.xlsx</x:v>
      </x:c>
    </x:row>
    <x:row r="6769">
      <x:c r="A6769" s="15" t="n">
        <x:v>43525</x:v>
      </x:c>
      <x:c r="B6769" s="13" t="str">
        <x:v>VALE SA</x:v>
      </x:c>
      <x:c r="C6769" s="16" t="n">
        <x:v>35512.3983164153</x:v>
      </x:c>
      <x:c r="D6769" s="13" t="str">
        <x:v>Metals &amp; Mining</x:v>
      </x:c>
      <x:c r="E6769" s="13" t="str">
        <x:v>Metals &amp; Mining</x:v>
      </x:c>
      <x:c r="F6769" s="13" t="str">
        <x:v>Deep Cyclicals</x:v>
      </x:c>
      <x:c r="G6769" s="13" t="str">
        <x:v>grid_cqzdsc3v.xlsx</x:v>
      </x:c>
    </x:row>
    <x:row r="6770">
      <x:c r="A6770" s="15" t="n">
        <x:v>43525</x:v>
      </x:c>
      <x:c r="B6770" s="13" t="str">
        <x:v>BRASKEM SA-PREF A</x:v>
      </x:c>
      <x:c r="C6770" s="16" t="n">
        <x:v>2900.1891679126</x:v>
      </x:c>
      <x:c r="D6770" s="13" t="str">
        <x:v>Oil, Gas &amp; Petrochemicals</x:v>
      </x:c>
      <x:c r="E6770" s="13" t="str">
        <x:v>Oil, Gas &amp; Petrochemicals</x:v>
      </x:c>
      <x:c r="F6770" s="13" t="str">
        <x:v>Deep Cyclicals</x:v>
      </x:c>
      <x:c r="G6770" s="13" t="str">
        <x:v>grid_cqzdsc3v.xlsx</x:v>
      </x:c>
    </x:row>
    <x:row r="6771">
      <x:c r="A6771" s="15" t="n">
        <x:v>43525</x:v>
      </x:c>
      <x:c r="B6771" s="13" t="str">
        <x:v>COSAN SA</x:v>
      </x:c>
      <x:c r="C6771" s="16" t="n">
        <x:v>1513.567586623</x:v>
      </x:c>
      <x:c r="D6771" s="13" t="str">
        <x:v>Oil, Gas &amp; Petrochemicals</x:v>
      </x:c>
      <x:c r="E6771" s="13" t="str">
        <x:v>Oil, Gas &amp; Petrochemicals</x:v>
      </x:c>
      <x:c r="F6771" s="13" t="str">
        <x:v>Deep Cyclicals</x:v>
      </x:c>
      <x:c r="G6771" s="13" t="str">
        <x:v>grid_cqzdsc3v.xlsx</x:v>
      </x:c>
    </x:row>
    <x:row r="6772">
      <x:c r="A6772" s="15" t="n">
        <x:v>43525</x:v>
      </x:c>
      <x:c r="B6772" s="13" t="str">
        <x:v>PETROBRAS - PETROLEO BRAS</x:v>
      </x:c>
      <x:c r="C6772" s="16" t="n">
        <x:v>39610.4062517159</x:v>
      </x:c>
      <x:c r="D6772" s="13" t="str">
        <x:v>Oil, Gas &amp; Petrochemicals</x:v>
      </x:c>
      <x:c r="E6772" s="13" t="str">
        <x:v>Oil, Gas &amp; Petrochemicals</x:v>
      </x:c>
      <x:c r="F6772" s="13" t="str">
        <x:v>Deep Cyclicals</x:v>
      </x:c>
      <x:c r="G6772" s="13" t="str">
        <x:v>grid_cqzdsc3v.xlsx</x:v>
      </x:c>
    </x:row>
    <x:row r="6773">
      <x:c r="A6773" s="15" t="n">
        <x:v>43525</x:v>
      </x:c>
      <x:c r="B6773" s="13" t="str">
        <x:v>ULTRAPAR PARTICIPACOES SA</x:v>
      </x:c>
      <x:c r="C6773" s="16" t="n">
        <x:v>1504.0059156284</x:v>
      </x:c>
      <x:c r="D6773" s="13" t="str">
        <x:v>Oil, Gas &amp; Petrochemicals</x:v>
      </x:c>
      <x:c r="E6773" s="13" t="str">
        <x:v>Oil, Gas &amp; Petrochemicals</x:v>
      </x:c>
      <x:c r="F6773" s="13" t="str">
        <x:v>Deep Cyclicals</x:v>
      </x:c>
      <x:c r="G6773" s="13" t="str">
        <x:v>grid_cqzdsc3v.xlsx</x:v>
      </x:c>
    </x:row>
    <x:row r="6774">
      <x:c r="A6774" s="15" t="n">
        <x:v>43525</x:v>
      </x:c>
      <x:c r="B6774" s="13" t="str">
        <x:v>VIBRA ENERGIA SA</x:v>
      </x:c>
      <x:c r="C6774" s="16" t="n">
        <x:v>2124.9571826011</x:v>
      </x:c>
      <x:c r="D6774" s="13" t="str">
        <x:v>Oil, Gas &amp; Petrochemicals</x:v>
      </x:c>
      <x:c r="E6774" s="13" t="str">
        <x:v>Oil, Gas &amp; Petrochemicals</x:v>
      </x:c>
      <x:c r="F6774" s="13" t="str">
        <x:v>Deep Cyclicals</x:v>
      </x:c>
      <x:c r="G6774" s="13" t="str">
        <x:v>grid_cqzdsc3v.xlsx</x:v>
      </x:c>
    </x:row>
    <x:row r="6775">
      <x:c r="A6775" s="15" t="n">
        <x:v>43525</x:v>
      </x:c>
      <x:c r="B6775" s="13" t="str">
        <x:v>KLABIN SA - UNIT</x:v>
      </x:c>
      <x:c r="C6775" s="16" t="n">
        <x:v>1766.7764098798</x:v>
      </x:c>
      <x:c r="D6775" s="13" t="str">
        <x:v>Pulp &amp; Paper</x:v>
      </x:c>
      <x:c r="E6775" s="13" t="str">
        <x:v>Pulp &amp; Paper</x:v>
      </x:c>
      <x:c r="F6775" s="13" t="str">
        <x:v>Deep Cyclicals</x:v>
      </x:c>
      <x:c r="G6775" s="13" t="str">
        <x:v>grid_cqzdsc3v.xlsx</x:v>
      </x:c>
    </x:row>
    <x:row r="6776">
      <x:c r="A6776" s="15" t="n">
        <x:v>43525</x:v>
      </x:c>
      <x:c r="B6776" s="13" t="str">
        <x:v>SUZANO SA</x:v>
      </x:c>
      <x:c r="C6776" s="16" t="n">
        <x:v>6851.5389426011</x:v>
      </x:c>
      <x:c r="D6776" s="13" t="str">
        <x:v>Pulp &amp; Paper</x:v>
      </x:c>
      <x:c r="E6776" s="13" t="str">
        <x:v>Pulp &amp; Paper</x:v>
      </x:c>
      <x:c r="F6776" s="13" t="str">
        <x:v>Deep Cyclicals</x:v>
      </x:c>
      <x:c r="G6776" s="13" t="str">
        <x:v>grid_cqzdsc3v.xlsx</x:v>
      </x:c>
    </x:row>
    <x:row r="6777">
      <x:c r="A6777" s="15" t="n">
        <x:v>43525</x:v>
      </x:c>
      <x:c r="B6777" s="13" t="str">
        <x:v>AMERICANAS SA</x:v>
      </x:c>
      <x:c r="C6777" s="16" t="n">
        <x:v>-197.6824535519</x:v>
      </x:c>
      <x:c r="D6777" s="13" t="str">
        <x:v>Retail</x:v>
      </x:c>
      <x:c r="E6777" s="13" t="str">
        <x:v>Retail</x:v>
      </x:c>
      <x:c r="F6777" s="13" t="str">
        <x:v>Early Cyclicals</x:v>
      </x:c>
      <x:c r="G6777" s="13" t="str">
        <x:v>grid_cqzdsc3v.xlsx</x:v>
      </x:c>
    </x:row>
    <x:row r="6778">
      <x:c r="A6778" s="15" t="n">
        <x:v>43525</x:v>
      </x:c>
      <x:c r="B6778" s="13" t="str">
        <x:v>CIA BRASILEIRA DE DIS-PREF</x:v>
      </x:c>
      <x:c r="C6778" s="16" t="n">
        <x:v>1227.0289465355</x:v>
      </x:c>
      <x:c r="D6778" s="13" t="str">
        <x:v>Retail</x:v>
      </x:c>
      <x:c r="E6778" s="13" t="str">
        <x:v>Retail</x:v>
      </x:c>
      <x:c r="F6778" s="13" t="str">
        <x:v>Early Cyclicals</x:v>
      </x:c>
      <x:c r="G6778" s="13" t="str">
        <x:v>grid_cqzdsc3v.xlsx</x:v>
      </x:c>
    </x:row>
    <x:row r="6779">
      <x:c r="A6779" s="15" t="n">
        <x:v>43525</x:v>
      </x:c>
      <x:c r="B6779" s="13" t="str">
        <x:v>CVC BRASIL OPERADORA E AGENC</x:v>
      </x:c>
      <x:c r="C6779" s="16" t="n">
        <x:v>424.615747847</x:v>
      </x:c>
      <x:c r="D6779" s="13" t="str">
        <x:v>Retail</x:v>
      </x:c>
      <x:c r="E6779" s="13" t="str">
        <x:v>Retail</x:v>
      </x:c>
      <x:c r="F6779" s="13" t="str">
        <x:v>Early Cyclicals</x:v>
      </x:c>
      <x:c r="G6779" s="13" t="str">
        <x:v>grid_cqzdsc3v.xlsx</x:v>
      </x:c>
    </x:row>
    <x:row r="6780">
      <x:c r="A6780" s="15" t="n">
        <x:v>43525</x:v>
      </x:c>
      <x:c r="B6780" s="13" t="str">
        <x:v>GRUPO CASAS BAHIA SA</x:v>
      </x:c>
      <x:c r="C6780" s="16" t="n">
        <x:v>340.8377343825</x:v>
      </x:c>
      <x:c r="D6780" s="13" t="str">
        <x:v>Retail</x:v>
      </x:c>
      <x:c r="E6780" s="13" t="str">
        <x:v>Retail</x:v>
      </x:c>
      <x:c r="F6780" s="13" t="str">
        <x:v>Early Cyclicals</x:v>
      </x:c>
      <x:c r="G6780" s="13" t="str">
        <x:v>grid_cqzdsc3v.xlsx</x:v>
      </x:c>
    </x:row>
    <x:row r="6781">
      <x:c r="A6781" s="15" t="n">
        <x:v>43525</x:v>
      </x:c>
      <x:c r="B6781" s="13" t="str">
        <x:v>LOJAS AMERICANAS SA-PREF</x:v>
      </x:c>
      <x:c r="C6781" s="16" t="n">
        <x:v>782.4965618361</x:v>
      </x:c>
      <x:c r="D6781" s="13" t="str">
        <x:v>Retail</x:v>
      </x:c>
      <x:c r="E6781" s="13" t="str">
        <x:v>Retail</x:v>
      </x:c>
      <x:c r="F6781" s="13" t="str">
        <x:v>Early Cyclicals</x:v>
      </x:c>
      <x:c r="G6781" s="13" t="str">
        <x:v>grid_cqzdsc3v.xlsx</x:v>
      </x:c>
    </x:row>
    <x:row r="6782">
      <x:c r="A6782" s="15" t="n">
        <x:v>43525</x:v>
      </x:c>
      <x:c r="B6782" s="13" t="str">
        <x:v>LOJAS RENNER S.A.</x:v>
      </x:c>
      <x:c r="C6782" s="16" t="n">
        <x:v>1233.5186276721</x:v>
      </x:c>
      <x:c r="D6782" s="13" t="str">
        <x:v>Retail</x:v>
      </x:c>
      <x:c r="E6782" s="13" t="str">
        <x:v>Retail</x:v>
      </x:c>
      <x:c r="F6782" s="13" t="str">
        <x:v>Early Cyclicals</x:v>
      </x:c>
      <x:c r="G6782" s="13" t="str">
        <x:v>grid_cqzdsc3v.xlsx</x:v>
      </x:c>
    </x:row>
    <x:row r="6783">
      <x:c r="A6783" s="15" t="n">
        <x:v>43525</x:v>
      </x:c>
      <x:c r="B6783" s="13" t="str">
        <x:v>MAGAZINE LUIZA SA</x:v>
      </x:c>
      <x:c r="C6783" s="16" t="n">
        <x:v>789.2595628415</x:v>
      </x:c>
      <x:c r="D6783" s="13" t="str">
        <x:v>Retail</x:v>
      </x:c>
      <x:c r="E6783" s="13" t="str">
        <x:v>Retail</x:v>
      </x:c>
      <x:c r="F6783" s="13" t="str">
        <x:v>Early Cyclicals</x:v>
      </x:c>
      <x:c r="G6783" s="13" t="str">
        <x:v>grid_cqzdsc3v.xlsx</x:v>
      </x:c>
    </x:row>
    <x:row r="6784">
      <x:c r="A6784" s="15" t="n">
        <x:v>43525</x:v>
      </x:c>
      <x:c r="B6784" s="13" t="str">
        <x:v>RAIA DROGASIL SA</x:v>
      </x:c>
      <x:c r="C6784" s="16" t="n">
        <x:v>568.3739377486</x:v>
      </x:c>
      <x:c r="D6784" s="13" t="str">
        <x:v>Retail</x:v>
      </x:c>
      <x:c r="E6784" s="13" t="str">
        <x:v>Retail</x:v>
      </x:c>
      <x:c r="F6784" s="13" t="str">
        <x:v>Early Cyclicals</x:v>
      </x:c>
      <x:c r="G6784" s="13" t="str">
        <x:v>grid_cqzdsc3v.xlsx</x:v>
      </x:c>
    </x:row>
    <x:row r="6785">
      <x:c r="A6785" s="15" t="n">
        <x:v>43525</x:v>
      </x:c>
      <x:c r="B6785" s="13" t="str">
        <x:v>CIA SANEAMENTO BASICO DE SP</x:v>
      </x:c>
      <x:c r="C6785" s="16" t="n">
        <x:v>3188.2490327432</x:v>
      </x:c>
      <x:c r="D6785" s="13" t="str">
        <x:v>Sanitation</x:v>
      </x:c>
      <x:c r="E6785" s="13" t="str">
        <x:v>Utilities</x:v>
      </x:c>
      <x:c r="F6785" s="13" t="str">
        <x:v>Defensives</x:v>
      </x:c>
      <x:c r="G6785" s="13" t="str">
        <x:v>grid_cqzdsc3v.xlsx</x:v>
      </x:c>
    </x:row>
    <x:row r="6786">
      <x:c r="A6786" s="15" t="n">
        <x:v>43525</x:v>
      </x:c>
      <x:c r="B6786" s="13" t="str">
        <x:v>SMILES FIDELIDADE SA</x:v>
      </x:c>
      <x:c r="C6786" s="16" t="n">
        <x:v>666.8798622077</x:v>
      </x:c>
      <x:c r="D6786" s="13" t="str">
        <x:v>TMT</x:v>
      </x:c>
      <x:c r="E6786" s="13" t="str">
        <x:v>TMT</x:v>
      </x:c>
      <x:c r="F6786" s="13" t="str">
        <x:v>Early Cyclicals</x:v>
      </x:c>
      <x:c r="G6786" s="13" t="str">
        <x:v>grid_cqzdsc3v.xlsx</x:v>
      </x:c>
    </x:row>
    <x:row r="6787">
      <x:c r="A6787" s="15" t="n">
        <x:v>43525</x:v>
      </x:c>
      <x:c r="B6787" s="13" t="str">
        <x:v>TELEFONICA BRASIL S.A.-PREF</x:v>
      </x:c>
      <x:c r="C6787" s="16" t="n">
        <x:v>5696.5370390383</x:v>
      </x:c>
      <x:c r="D6787" s="13" t="str">
        <x:v>TMT</x:v>
      </x:c>
      <x:c r="E6787" s="13" t="str">
        <x:v>TMT</x:v>
      </x:c>
      <x:c r="F6787" s="13" t="str">
        <x:v>Early Cyclicals</x:v>
      </x:c>
      <x:c r="G6787" s="13" t="str">
        <x:v>grid_cqzdsc3v.xlsx</x:v>
      </x:c>
    </x:row>
    <x:row r="6788">
      <x:c r="A6788" s="15" t="n">
        <x:v>43525</x:v>
      </x:c>
      <x:c r="B6788" s="13" t="str">
        <x:v>TIM SA</x:v>
      </x:c>
      <x:c r="C6788" s="16" t="n">
        <x:v>2048.4505393661</x:v>
      </x:c>
      <x:c r="D6788" s="13" t="str">
        <x:v>TMT</x:v>
      </x:c>
      <x:c r="E6788" s="13" t="str">
        <x:v>TMT</x:v>
      </x:c>
      <x:c r="F6788" s="13" t="str">
        <x:v>Early Cyclicals</x:v>
      </x:c>
      <x:c r="G6788" s="13" t="str">
        <x:v>grid_cqzdsc3v.xlsx</x:v>
      </x:c>
    </x:row>
    <x:row r="6789">
      <x:c r="A6789" s="15" t="n">
        <x:v>43525</x:v>
      </x:c>
      <x:c r="B6789" s="13" t="str">
        <x:v>ECORODOVIAS INFRA E LOG SA</x:v>
      </x:c>
      <x:c r="C6789" s="16" t="n">
        <x:v>513.1455224481</x:v>
      </x:c>
      <x:c r="D6789" s="13" t="str">
        <x:v>Transportation</x:v>
      </x:c>
      <x:c r="E6789" s="13" t="str">
        <x:v>Transportation</x:v>
      </x:c>
      <x:c r="F6789" s="13" t="str">
        <x:v>Deep Cyclicals</x:v>
      </x:c>
      <x:c r="G6789" s="13" t="str">
        <x:v>grid_cqzdsc3v.xlsx</x:v>
      </x:c>
    </x:row>
    <x:row r="6790">
      <x:c r="A6790" s="15" t="n">
        <x:v>43525</x:v>
      </x:c>
      <x:c r="B6790" s="13" t="str">
        <x:v>GOL LINHAS AEREAS INT SA-PRE</x:v>
      </x:c>
      <x:c r="C6790" s="16" t="n">
        <x:v>494.0201420765</x:v>
      </x:c>
      <x:c r="D6790" s="13" t="str">
        <x:v>Transportation</x:v>
      </x:c>
      <x:c r="E6790" s="13" t="str">
        <x:v>Transportation</x:v>
      </x:c>
      <x:c r="F6790" s="13" t="str">
        <x:v>Deep Cyclicals</x:v>
      </x:c>
      <x:c r="G6790" s="13" t="str">
        <x:v>grid_cqzdsc3v.xlsx</x:v>
      </x:c>
    </x:row>
    <x:row r="6791">
      <x:c r="A6791" s="15" t="n">
        <x:v>43525</x:v>
      </x:c>
      <x:c r="B6791" s="13" t="str">
        <x:v>LOCALIZA RENT A CAR</x:v>
      </x:c>
      <x:c r="C6791" s="16" t="n">
        <x:v>971.8831816393</x:v>
      </x:c>
      <x:c r="D6791" s="13" t="str">
        <x:v>Transportation</x:v>
      </x:c>
      <x:c r="E6791" s="13" t="str">
        <x:v>Transportation</x:v>
      </x:c>
      <x:c r="F6791" s="13" t="str">
        <x:v>Deep Cyclicals</x:v>
      </x:c>
      <x:c r="G6791" s="13" t="str">
        <x:v>grid_cqzdsc3v.xlsx</x:v>
      </x:c>
    </x:row>
    <x:row r="6792">
      <x:c r="A6792" s="15" t="n">
        <x:v>43525</x:v>
      </x:c>
      <x:c r="B6792" s="13" t="str">
        <x:v>MOTIVA INFRAESTRUTURA DE MOB</x:v>
      </x:c>
      <x:c r="C6792" s="16" t="n">
        <x:v>2014.7829648087</x:v>
      </x:c>
      <x:c r="D6792" s="13" t="str">
        <x:v>Transportation</x:v>
      </x:c>
      <x:c r="E6792" s="13" t="str">
        <x:v>Transportation</x:v>
      </x:c>
      <x:c r="F6792" s="13" t="str">
        <x:v>Deep Cyclicals</x:v>
      </x:c>
      <x:c r="G6792" s="13" t="str">
        <x:v>grid_cqzdsc3v.xlsx</x:v>
      </x:c>
    </x:row>
    <x:row r="6793">
      <x:c r="A6793" s="15" t="n">
        <x:v>43525</x:v>
      </x:c>
      <x:c r="B6793" s="13" t="str">
        <x:v>RUMO SA</x:v>
      </x:c>
      <x:c r="C6793" s="16" t="n">
        <x:v>893.570063388</x:v>
      </x:c>
      <x:c r="D6793" s="13" t="str">
        <x:v>Transportation</x:v>
      </x:c>
      <x:c r="E6793" s="13" t="str">
        <x:v>Transportation</x:v>
      </x:c>
      <x:c r="F6793" s="13" t="str">
        <x:v>Deep Cyclicals</x:v>
      </x:c>
      <x:c r="G6793" s="13" t="str">
        <x:v>grid_cqzdsc3v.xlsx</x:v>
      </x:c>
    </x:row>
    <x:row r="6794">
      <x:c r="A6794" s="15" t="n">
        <x:v>43525</x:v>
      </x:c>
      <x:c r="B6794" s="13" t="str">
        <x:v>AXIA ENERGIA SA</x:v>
      </x:c>
      <x:c r="C6794" s="16" t="n">
        <x:v>7447.3796378579</x:v>
      </x:c>
      <x:c r="D6794" s="13" t="str">
        <x:v>Utilities &amp; Energy</x:v>
      </x:c>
      <x:c r="E6794" s="13" t="str">
        <x:v>Utilities</x:v>
      </x:c>
      <x:c r="F6794" s="13" t="str">
        <x:v>Defensives</x:v>
      </x:c>
      <x:c r="G6794" s="13" t="str">
        <x:v>grid_cqzdsc3v.xlsx</x:v>
      </x:c>
    </x:row>
    <x:row r="6795">
      <x:c r="A6795" s="15" t="n">
        <x:v>43525</x:v>
      </x:c>
      <x:c r="B6795" s="13" t="str">
        <x:v>AXIA ENERGIA-PR B</x:v>
      </x:c>
      <x:c r="C6795" s="16" t="n">
        <x:v>7447.3796378579</x:v>
      </x:c>
      <x:c r="D6795" s="13" t="str">
        <x:v>Utilities &amp; Energy</x:v>
      </x:c>
      <x:c r="E6795" s="13" t="str">
        <x:v>Utilities</x:v>
      </x:c>
      <x:c r="F6795" s="13" t="str">
        <x:v>Defensives</x:v>
      </x:c>
      <x:c r="G6795" s="13" t="str">
        <x:v>grid_cqzdsc3v.xlsx</x:v>
      </x:c>
    </x:row>
    <x:row r="6796">
      <x:c r="A6796" s="15" t="n">
        <x:v>43525</x:v>
      </x:c>
      <x:c r="B6796" s="13" t="str">
        <x:v>CIA ENERGETICA MINAS GER-PRF</x:v>
      </x:c>
      <x:c r="C6796" s="16" t="n">
        <x:v>1959.7504765902</x:v>
      </x:c>
      <x:c r="D6796" s="13" t="str">
        <x:v>Utilities &amp; Energy</x:v>
      </x:c>
      <x:c r="E6796" s="13" t="str">
        <x:v>Utilities</x:v>
      </x:c>
      <x:c r="F6796" s="13" t="str">
        <x:v>Defensives</x:v>
      </x:c>
      <x:c r="G6796" s="13" t="str">
        <x:v>grid_cqzdsc3v.xlsx</x:v>
      </x:c>
    </x:row>
    <x:row r="6797">
      <x:c r="A6797" s="15" t="n">
        <x:v>43525</x:v>
      </x:c>
      <x:c r="B6797" s="13" t="str">
        <x:v>EDP - ENERGIAS DO BRASIL SA</x:v>
      </x:c>
      <x:c r="C6797" s="16" t="n">
        <x:v>850.1760774645</x:v>
      </x:c>
      <x:c r="D6797" s="13" t="str">
        <x:v>Utilities &amp; Energy</x:v>
      </x:c>
      <x:c r="E6797" s="13" t="str">
        <x:v>Utilities</x:v>
      </x:c>
      <x:c r="F6797" s="13" t="str">
        <x:v>Defensives</x:v>
      </x:c>
      <x:c r="G6797" s="13" t="str">
        <x:v>grid_cqzdsc3v.xlsx</x:v>
      </x:c>
    </x:row>
    <x:row r="6798">
      <x:c r="A6798" s="15" t="n">
        <x:v>43525</x:v>
      </x:c>
      <x:c r="B6798" s="13" t="str">
        <x:v>ENGIE BRASIL ENERGIA SA</x:v>
      </x:c>
      <x:c r="C6798" s="16" t="n">
        <x:v>2582.6166417486</x:v>
      </x:c>
      <x:c r="D6798" s="13" t="str">
        <x:v>Utilities &amp; Energy</x:v>
      </x:c>
      <x:c r="E6798" s="13" t="str">
        <x:v>Utilities</x:v>
      </x:c>
      <x:c r="F6798" s="13" t="str">
        <x:v>Defensives</x:v>
      </x:c>
      <x:c r="G6798" s="13" t="str">
        <x:v>grid_cqzdsc3v.xlsx</x:v>
      </x:c>
    </x:row>
    <x:row r="6799">
      <x:c r="A6799" s="15" t="n">
        <x:v>43525</x:v>
      </x:c>
      <x:c r="B6799" s="13" t="str">
        <x:v>EQUATORIAL SA - ORD</x:v>
      </x:c>
      <x:c r="C6799" s="16" t="n">
        <x:v>800.389629377</x:v>
      </x:c>
      <x:c r="D6799" s="13" t="str">
        <x:v>Utilities &amp; Energy</x:v>
      </x:c>
      <x:c r="E6799" s="13" t="str">
        <x:v>Utilities</x:v>
      </x:c>
      <x:c r="F6799" s="13" t="str">
        <x:v>Defensives</x:v>
      </x:c>
      <x:c r="G6799" s="13" t="str">
        <x:v>grid_cqzdsc3v.xlsx</x:v>
      </x:c>
    </x:row>
    <x:row r="6800">
      <x:c r="A6800" s="15" t="n">
        <x:v>43525</x:v>
      </x:c>
      <x:c r="B6800" s="13" t="str">
        <x:v>TRANSMISSORA ALIANCA DE-UNIT</x:v>
      </x:c>
      <x:c r="C6800" s="16" t="n">
        <x:v>772.9884369836</x:v>
      </x:c>
      <x:c r="D6800" s="13" t="str">
        <x:v>Utilities &amp; Energy</x:v>
      </x:c>
      <x:c r="E6800" s="13" t="str">
        <x:v>Utilities</x:v>
      </x:c>
      <x:c r="F6800" s="13" t="str">
        <x:v>Defensives</x:v>
      </x:c>
      <x:c r="G6800" s="13" t="str">
        <x:v>grid_cqzdsc3v.xlsx</x:v>
      </x:c>
    </x:row>
    <x:row r="6801">
      <x:c r="A6801" s="15" t="n">
        <x:v>43556</x:v>
      </x:c>
      <x:c r="B6801" s="13" t="str">
        <x:v>BANCO BRADESCO S.A.</x:v>
      </x:c>
      <x:c r="C6801" s="16" t="n">
        <x:v>25556.747068153</x:v>
      </x:c>
      <x:c r="D6801" s="13" t="str">
        <x:v>Banks</x:v>
      </x:c>
      <x:c r="E6801" s="13" t="str">
        <x:v>Banks</x:v>
      </x:c>
      <x:c r="F6801" s="13" t="str">
        <x:v>Financials</x:v>
      </x:c>
      <x:c r="G6801" s="13" t="str">
        <x:v>grid_cqzdsc3v.xlsx</x:v>
      </x:c>
    </x:row>
    <x:row r="6802">
      <x:c r="A6802" s="15" t="n">
        <x:v>43556</x:v>
      </x:c>
      <x:c r="B6802" s="13" t="str">
        <x:v>BANCO BRADESCO SA-PREF</x:v>
      </x:c>
      <x:c r="C6802" s="16" t="n">
        <x:v>25556.747068153</x:v>
      </x:c>
      <x:c r="D6802" s="13" t="str">
        <x:v>Banks</x:v>
      </x:c>
      <x:c r="E6802" s="13" t="str">
        <x:v>Banks</x:v>
      </x:c>
      <x:c r="F6802" s="13" t="str">
        <x:v>Financials</x:v>
      </x:c>
      <x:c r="G6802" s="13" t="str">
        <x:v>grid_cqzdsc3v.xlsx</x:v>
      </x:c>
    </x:row>
    <x:row r="6803">
      <x:c r="A6803" s="15" t="n">
        <x:v>43556</x:v>
      </x:c>
      <x:c r="B6803" s="13" t="str">
        <x:v>BANCO DO BRASIL S.A.</x:v>
      </x:c>
      <x:c r="C6803" s="16" t="n">
        <x:v>17157.2342739235</x:v>
      </x:c>
      <x:c r="D6803" s="13" t="str">
        <x:v>Banks</x:v>
      </x:c>
      <x:c r="E6803" s="13" t="str">
        <x:v>Banks</x:v>
      </x:c>
      <x:c r="F6803" s="13" t="str">
        <x:v>Financials</x:v>
      </x:c>
      <x:c r="G6803" s="13" t="str">
        <x:v>grid_cqzdsc3v.xlsx</x:v>
      </x:c>
    </x:row>
    <x:row r="6804">
      <x:c r="A6804" s="15" t="n">
        <x:v>43556</x:v>
      </x:c>
      <x:c r="B6804" s="13" t="str">
        <x:v>BANCO SANTANDER  BRASIL-UNIT</x:v>
      </x:c>
      <x:c r="C6804" s="16" t="n">
        <x:v>14308.2062338798</x:v>
      </x:c>
      <x:c r="D6804" s="13" t="str">
        <x:v>Banks</x:v>
      </x:c>
      <x:c r="E6804" s="13" t="str">
        <x:v>Banks</x:v>
      </x:c>
      <x:c r="F6804" s="13" t="str">
        <x:v>Financials</x:v>
      </x:c>
      <x:c r="G6804" s="13" t="str">
        <x:v>grid_cqzdsc3v.xlsx</x:v>
      </x:c>
    </x:row>
    <x:row r="6805">
      <x:c r="A6805" s="15" t="n">
        <x:v>43556</x:v>
      </x:c>
      <x:c r="B6805" s="13" t="str">
        <x:v>ITAU UNIBANCO HOLDING S-PREF</x:v>
      </x:c>
      <x:c r="C6805" s="16" t="n">
        <x:v>29032.6672535082</x:v>
      </x:c>
      <x:c r="D6805" s="13" t="str">
        <x:v>Banks</x:v>
      </x:c>
      <x:c r="E6805" s="13" t="str">
        <x:v>Banks</x:v>
      </x:c>
      <x:c r="F6805" s="13" t="str">
        <x:v>Financials</x:v>
      </x:c>
      <x:c r="G6805" s="13" t="str">
        <x:v>grid_cqzdsc3v.xlsx</x:v>
      </x:c>
    </x:row>
    <x:row r="6806">
      <x:c r="A6806" s="15" t="n">
        <x:v>43556</x:v>
      </x:c>
      <x:c r="B6806" s="13" t="str">
        <x:v>EMBRAER SA</x:v>
      </x:c>
      <x:c r="C6806" s="16" t="n">
        <x:v>416.1949559344</x:v>
      </x:c>
      <x:c r="D6806" s="13" t="str">
        <x:v>Capital Goods</x:v>
      </x:c>
      <x:c r="E6806" s="13" t="str">
        <x:v>Capital Goods</x:v>
      </x:c>
      <x:c r="F6806" s="13" t="str">
        <x:v>Deep Cyclicals</x:v>
      </x:c>
      <x:c r="G6806" s="13" t="str">
        <x:v>grid_cqzdsc3v.xlsx</x:v>
      </x:c>
    </x:row>
    <x:row r="6807">
      <x:c r="A6807" s="15" t="n">
        <x:v>43556</x:v>
      </x:c>
      <x:c r="B6807" s="13" t="str">
        <x:v>WEG SA</x:v>
      </x:c>
      <x:c r="C6807" s="16" t="n">
        <x:v>1550.9961516066</x:v>
      </x:c>
      <x:c r="D6807" s="13" t="str">
        <x:v>Capital Goods</x:v>
      </x:c>
      <x:c r="E6807" s="13" t="str">
        <x:v>Capital Goods</x:v>
      </x:c>
      <x:c r="F6807" s="13" t="str">
        <x:v>Deep Cyclicals</x:v>
      </x:c>
      <x:c r="G6807" s="13" t="str">
        <x:v>grid_cqzdsc3v.xlsx</x:v>
      </x:c>
    </x:row>
    <x:row r="6808">
      <x:c r="A6808" s="15" t="n">
        <x:v>43556</x:v>
      </x:c>
      <x:c r="B6808" s="13" t="str">
        <x:v>COGNA EDUCACAO</x:v>
      </x:c>
      <x:c r="C6808" s="16" t="n">
        <x:v>1656.896300765</x:v>
      </x:c>
      <x:c r="D6808" s="13" t="str">
        <x:v>Education</x:v>
      </x:c>
      <x:c r="E6808" s="13" t="str">
        <x:v>Education</x:v>
      </x:c>
      <x:c r="F6808" s="13" t="str">
        <x:v>Early Cyclicals</x:v>
      </x:c>
      <x:c r="G6808" s="13" t="str">
        <x:v>grid_cqzdsc3v.xlsx</x:v>
      </x:c>
    </x:row>
    <x:row r="6809">
      <x:c r="A6809" s="15" t="n">
        <x:v>43556</x:v>
      </x:c>
      <x:c r="B6809" s="13" t="str">
        <x:v>YDUQS PARTICIPACOES SA</x:v>
      </x:c>
      <x:c r="C6809" s="16" t="n">
        <x:v>878.9597074536</x:v>
      </x:c>
      <x:c r="D6809" s="13" t="str">
        <x:v>Education</x:v>
      </x:c>
      <x:c r="E6809" s="13" t="str">
        <x:v>Education</x:v>
      </x:c>
      <x:c r="F6809" s="13" t="str">
        <x:v>Early Cyclicals</x:v>
      </x:c>
      <x:c r="G6809" s="13" t="str">
        <x:v>grid_cqzdsc3v.xlsx</x:v>
      </x:c>
    </x:row>
    <x:row r="6810">
      <x:c r="A6810" s="15" t="n">
        <x:v>43556</x:v>
      </x:c>
      <x:c r="B6810" s="13" t="str">
        <x:v>B3 SA-BRASIL BOLSA BALCAO</x:v>
      </x:c>
      <x:c r="C6810" s="16" t="n">
        <x:v>3214.1398333552</x:v>
      </x:c>
      <x:c r="D6810" s="13" t="str">
        <x:v>Financials Non-Banks</x:v>
      </x:c>
      <x:c r="E6810" s="13" t="str">
        <x:v>Financials Non-Banks</x:v>
      </x:c>
      <x:c r="F6810" s="13" t="str">
        <x:v>Financials</x:v>
      </x:c>
      <x:c r="G6810" s="13" t="str">
        <x:v>grid_cqzdsc3v.xlsx</x:v>
      </x:c>
    </x:row>
    <x:row r="6811">
      <x:c r="A6811" s="15" t="n">
        <x:v>43556</x:v>
      </x:c>
      <x:c r="B6811" s="13" t="str">
        <x:v>BB SEGURIDADE PARTICIPACOES</x:v>
      </x:c>
      <x:c r="C6811" s="16" t="n">
        <x:v>4084.1819614426</x:v>
      </x:c>
      <x:c r="D6811" s="13" t="str">
        <x:v>Financials Non-Banks</x:v>
      </x:c>
      <x:c r="E6811" s="13" t="str">
        <x:v>Financials Non-Banks</x:v>
      </x:c>
      <x:c r="F6811" s="13" t="str">
        <x:v>Financials</x:v>
      </x:c>
      <x:c r="G6811" s="13" t="str">
        <x:v>grid_cqzdsc3v.xlsx</x:v>
      </x:c>
    </x:row>
    <x:row r="6812">
      <x:c r="A6812" s="15" t="n">
        <x:v>43556</x:v>
      </x:c>
      <x:c r="B6812" s="13" t="str">
        <x:v>CIELO SA - INSTITUICAO DE PA</x:v>
      </x:c>
      <x:c r="C6812" s="16" t="n">
        <x:v>2475.0928891803</x:v>
      </x:c>
      <x:c r="D6812" s="13" t="str">
        <x:v>Financials Non-Banks</x:v>
      </x:c>
      <x:c r="E6812" s="13" t="str">
        <x:v>Financials Non-Banks</x:v>
      </x:c>
      <x:c r="F6812" s="13" t="str">
        <x:v>Financials</x:v>
      </x:c>
      <x:c r="G6812" s="13" t="str">
        <x:v>grid_cqzdsc3v.xlsx</x:v>
      </x:c>
    </x:row>
    <x:row r="6813">
      <x:c r="A6813" s="15" t="n">
        <x:v>43556</x:v>
      </x:c>
      <x:c r="B6813" s="13" t="str">
        <x:v>AMBEV SA</x:v>
      </x:c>
      <x:c r="C6813" s="16" t="n">
        <x:v>13116.9603539235</x:v>
      </x:c>
      <x:c r="D6813" s="13" t="str">
        <x:v>Food &amp; Beverages</x:v>
      </x:c>
      <x:c r="E6813" s="13" t="str">
        <x:v>Agri, Food &amp; Beverages</x:v>
      </x:c>
      <x:c r="F6813" s="13" t="str">
        <x:v>Defensives</x:v>
      </x:c>
      <x:c r="G6813" s="13" t="str">
        <x:v>grid_cqzdsc3v.xlsx</x:v>
      </x:c>
    </x:row>
    <x:row r="6814">
      <x:c r="A6814" s="15" t="n">
        <x:v>43556</x:v>
      </x:c>
      <x:c r="B6814" s="13" t="str">
        <x:v>BRF SA</x:v>
      </x:c>
      <x:c r="C6814" s="16" t="n">
        <x:v>119.8517838033</x:v>
      </x:c>
      <x:c r="D6814" s="13" t="str">
        <x:v>Food &amp; Beverages</x:v>
      </x:c>
      <x:c r="E6814" s="13" t="str">
        <x:v>Agri, Food &amp; Beverages</x:v>
      </x:c>
      <x:c r="F6814" s="13" t="str">
        <x:v>Defensives</x:v>
      </x:c>
      <x:c r="G6814" s="13" t="str">
        <x:v>grid_cqzdsc3v.xlsx</x:v>
      </x:c>
    </x:row>
    <x:row r="6815">
      <x:c r="A6815" s="15" t="n">
        <x:v>43556</x:v>
      </x:c>
      <x:c r="B6815" s="13" t="str">
        <x:v>JBS SA</x:v>
      </x:c>
      <x:c r="C6815" s="16" t="n">
        <x:v>5414.8639349508</x:v>
      </x:c>
      <x:c r="D6815" s="13" t="str">
        <x:v>Food &amp; Beverages</x:v>
      </x:c>
      <x:c r="E6815" s="13" t="str">
        <x:v>Agri, Food &amp; Beverages</x:v>
      </x:c>
      <x:c r="F6815" s="13" t="str">
        <x:v>Defensives</x:v>
      </x:c>
      <x:c r="G6815" s="13" t="str">
        <x:v>grid_cqzdsc3v.xlsx</x:v>
      </x:c>
    </x:row>
    <x:row r="6816">
      <x:c r="A6816" s="15" t="n">
        <x:v>43556</x:v>
      </x:c>
      <x:c r="B6816" s="13" t="str">
        <x:v>MBRF GLOBAL FOODS COMPANY SA</x:v>
      </x:c>
      <x:c r="C6816" s="16" t="n">
        <x:v>503.3911861858</x:v>
      </x:c>
      <x:c r="D6816" s="13" t="str">
        <x:v>Food &amp; Beverages</x:v>
      </x:c>
      <x:c r="E6816" s="13" t="str">
        <x:v>Agri, Food &amp; Beverages</x:v>
      </x:c>
      <x:c r="F6816" s="13" t="str">
        <x:v>Defensives</x:v>
      </x:c>
      <x:c r="G6816" s="13" t="str">
        <x:v>grid_cqzdsc3v.xlsx</x:v>
      </x:c>
    </x:row>
    <x:row r="6817">
      <x:c r="A6817" s="15" t="n">
        <x:v>43556</x:v>
      </x:c>
      <x:c r="B6817" s="13" t="str">
        <x:v>FLEURY SA</x:v>
      </x:c>
      <x:c r="C6817" s="16" t="n">
        <x:v>387.0068439781</x:v>
      </x:c>
      <x:c r="D6817" s="13" t="str">
        <x:v>Health Care</x:v>
      </x:c>
      <x:c r="E6817" s="13" t="str">
        <x:v>Health Care</x:v>
      </x:c>
      <x:c r="F6817" s="13" t="str">
        <x:v>Defensives</x:v>
      </x:c>
      <x:c r="G6817" s="13" t="str">
        <x:v>grid_cqzdsc3v.xlsx</x:v>
      </x:c>
    </x:row>
    <x:row r="6818">
      <x:c r="A6818" s="15" t="n">
        <x:v>43556</x:v>
      </x:c>
      <x:c r="B6818" s="13" t="str">
        <x:v>HYPERA SA</x:v>
      </x:c>
      <x:c r="C6818" s="16" t="n">
        <x:v>1222.2361690929</x:v>
      </x:c>
      <x:c r="D6818" s="13" t="str">
        <x:v>Health Care</x:v>
      </x:c>
      <x:c r="E6818" s="13" t="str">
        <x:v>Health Care</x:v>
      </x:c>
      <x:c r="F6818" s="13" t="str">
        <x:v>Defensives</x:v>
      </x:c>
      <x:c r="G6818" s="13" t="str">
        <x:v>grid_cqzdsc3v.xlsx</x:v>
      </x:c>
    </x:row>
    <x:row r="6819">
      <x:c r="A6819" s="15" t="n">
        <x:v>43556</x:v>
      </x:c>
      <x:c r="B6819" s="13" t="str">
        <x:v>QUALICORP CONS E CORR SEG SA</x:v>
      </x:c>
      <x:c r="C6819" s="16" t="n">
        <x:v>503.6907103825</x:v>
      </x:c>
      <x:c r="D6819" s="13" t="str">
        <x:v>Health Care</x:v>
      </x:c>
      <x:c r="E6819" s="13" t="str">
        <x:v>Health Care</x:v>
      </x:c>
      <x:c r="F6819" s="13" t="str">
        <x:v>Defensives</x:v>
      </x:c>
      <x:c r="G6819" s="13" t="str">
        <x:v>grid_cqzdsc3v.xlsx</x:v>
      </x:c>
    </x:row>
    <x:row r="6820">
      <x:c r="A6820" s="15" t="n">
        <x:v>43556</x:v>
      </x:c>
      <x:c r="B6820" s="13" t="str">
        <x:v>CYRELA BRAZIL REALTY SA EMP</x:v>
      </x:c>
      <x:c r="C6820" s="16" t="n">
        <x:v>390.979735082</x:v>
      </x:c>
      <x:c r="D6820" s="13" t="str">
        <x:v>Homebuilders</x:v>
      </x:c>
      <x:c r="E6820" s="13" t="str">
        <x:v>Real Estate</x:v>
      </x:c>
      <x:c r="F6820" s="13" t="str">
        <x:v>Early Cyclicals</x:v>
      </x:c>
      <x:c r="G6820" s="13" t="str">
        <x:v>grid_cqzdsc3v.xlsx</x:v>
      </x:c>
    </x:row>
    <x:row r="6821">
      <x:c r="A6821" s="15" t="n">
        <x:v>43556</x:v>
      </x:c>
      <x:c r="B6821" s="13" t="str">
        <x:v>MRV ENGENHARIA</x:v>
      </x:c>
      <x:c r="C6821" s="16" t="n">
        <x:v>812.1076035847</x:v>
      </x:c>
      <x:c r="D6821" s="13" t="str">
        <x:v>Homebuilders</x:v>
      </x:c>
      <x:c r="E6821" s="13" t="str">
        <x:v>Real Estate</x:v>
      </x:c>
      <x:c r="F6821" s="13" t="str">
        <x:v>Early Cyclicals</x:v>
      </x:c>
      <x:c r="G6821" s="13" t="str">
        <x:v>grid_cqzdsc3v.xlsx</x:v>
      </x:c>
    </x:row>
    <x:row r="6822">
      <x:c r="A6822" s="15" t="n">
        <x:v>43556</x:v>
      </x:c>
      <x:c r="B6822" s="13" t="str">
        <x:v>BR MALLS PARTICIPACOES SA</x:v>
      </x:c>
      <x:c r="C6822" s="16" t="n">
        <x:v>643.7562948197</x:v>
      </x:c>
      <x:c r="D6822" s="13" t="str">
        <x:v>Income Properties</x:v>
      </x:c>
      <x:c r="E6822" s="13" t="str">
        <x:v>Real Estate</x:v>
      </x:c>
      <x:c r="F6822" s="13" t="str">
        <x:v>Early Cyclicals</x:v>
      </x:c>
      <x:c r="G6822" s="13" t="str">
        <x:v>grid_cqzdsc3v.xlsx</x:v>
      </x:c>
    </x:row>
    <x:row r="6823">
      <x:c r="A6823" s="15" t="n">
        <x:v>43556</x:v>
      </x:c>
      <x:c r="B6823" s="13" t="str">
        <x:v>IGUATEMI EMP DE SHOPPING</x:v>
      </x:c>
      <x:c r="C6823" s="16" t="n">
        <x:v>301.6601092896</x:v>
      </x:c>
      <x:c r="D6823" s="13" t="str">
        <x:v>Income Properties</x:v>
      </x:c>
      <x:c r="E6823" s="13" t="str">
        <x:v>Real Estate</x:v>
      </x:c>
      <x:c r="F6823" s="13" t="str">
        <x:v>Early Cyclicals</x:v>
      </x:c>
      <x:c r="G6823" s="13" t="str">
        <x:v>grid_cqzdsc3v.xlsx</x:v>
      </x:c>
    </x:row>
    <x:row r="6824">
      <x:c r="A6824" s="15" t="n">
        <x:v>43556</x:v>
      </x:c>
      <x:c r="B6824" s="13" t="str">
        <x:v>LOG COMMERCIAL PROPERTIES E</x:v>
      </x:c>
      <x:c r="C6824" s="16" t="n">
        <x:v>65.5968579235</x:v>
      </x:c>
      <x:c r="D6824" s="13" t="str">
        <x:v>Income Properties</x:v>
      </x:c>
      <x:c r="E6824" s="13" t="str">
        <x:v>Real Estate</x:v>
      </x:c>
      <x:c r="F6824" s="13" t="str">
        <x:v>Early Cyclicals</x:v>
      </x:c>
      <x:c r="G6824" s="13" t="str">
        <x:v>grid_cqzdsc3v.xlsx</x:v>
      </x:c>
    </x:row>
    <x:row r="6825">
      <x:c r="A6825" s="15" t="n">
        <x:v>43556</x:v>
      </x:c>
      <x:c r="B6825" s="13" t="str">
        <x:v>MULTIPLAN EMPREENDIMENTOS</x:v>
      </x:c>
      <x:c r="C6825" s="16" t="n">
        <x:v>524.483265224</x:v>
      </x:c>
      <x:c r="D6825" s="13" t="str">
        <x:v>Income Properties</x:v>
      </x:c>
      <x:c r="E6825" s="13" t="str">
        <x:v>Real Estate</x:v>
      </x:c>
      <x:c r="F6825" s="13" t="str">
        <x:v>Early Cyclicals</x:v>
      </x:c>
      <x:c r="G6825" s="13" t="str">
        <x:v>grid_cqzdsc3v.xlsx</x:v>
      </x:c>
    </x:row>
    <x:row r="6826">
      <x:c r="A6826" s="15" t="n">
        <x:v>43556</x:v>
      </x:c>
      <x:c r="B6826" s="13" t="str">
        <x:v>BRADESPAR SA -PREF</x:v>
      </x:c>
      <x:c r="C6826" s="16" t="n">
        <x:v>2315.5109078033</x:v>
      </x:c>
      <x:c r="D6826" s="13" t="str">
        <x:v>Metals &amp; Mining</x:v>
      </x:c>
      <x:c r="E6826" s="13" t="str">
        <x:v>Metals &amp; Mining</x:v>
      </x:c>
      <x:c r="F6826" s="13" t="str">
        <x:v>Deep Cyclicals</x:v>
      </x:c>
      <x:c r="G6826" s="13" t="str">
        <x:v>grid_cqzdsc3v.xlsx</x:v>
      </x:c>
    </x:row>
    <x:row r="6827">
      <x:c r="A6827" s="15" t="n">
        <x:v>43556</x:v>
      </x:c>
      <x:c r="B6827" s="13" t="str">
        <x:v>CIA SIDERURGICA NACIONAL SA</x:v>
      </x:c>
      <x:c r="C6827" s="16" t="n">
        <x:v>2988.8672559563</x:v>
      </x:c>
      <x:c r="D6827" s="13" t="str">
        <x:v>Metals &amp; Mining</x:v>
      </x:c>
      <x:c r="E6827" s="13" t="str">
        <x:v>Metals &amp; Mining</x:v>
      </x:c>
      <x:c r="F6827" s="13" t="str">
        <x:v>Deep Cyclicals</x:v>
      </x:c>
      <x:c r="G6827" s="13" t="str">
        <x:v>grid_cqzdsc3v.xlsx</x:v>
      </x:c>
    </x:row>
    <x:row r="6828">
      <x:c r="A6828" s="15" t="n">
        <x:v>43556</x:v>
      </x:c>
      <x:c r="B6828" s="13" t="str">
        <x:v>GERDAU SA-PREF</x:v>
      </x:c>
      <x:c r="C6828" s="16" t="n">
        <x:v>2727.0835766557</x:v>
      </x:c>
      <x:c r="D6828" s="13" t="str">
        <x:v>Metals &amp; Mining</x:v>
      </x:c>
      <x:c r="E6828" s="13" t="str">
        <x:v>Metals &amp; Mining</x:v>
      </x:c>
      <x:c r="F6828" s="13" t="str">
        <x:v>Deep Cyclicals</x:v>
      </x:c>
      <x:c r="G6828" s="13" t="str">
        <x:v>grid_cqzdsc3v.xlsx</x:v>
      </x:c>
    </x:row>
    <x:row r="6829">
      <x:c r="A6829" s="15" t="n">
        <x:v>43556</x:v>
      </x:c>
      <x:c r="B6829" s="13" t="str">
        <x:v>USINAS SIDER MINAS GER-PF A</x:v>
      </x:c>
      <x:c r="C6829" s="16" t="n">
        <x:v>913.568852459</x:v>
      </x:c>
      <x:c r="D6829" s="13" t="str">
        <x:v>Metals &amp; Mining</x:v>
      </x:c>
      <x:c r="E6829" s="13" t="str">
        <x:v>Metals &amp; Mining</x:v>
      </x:c>
      <x:c r="F6829" s="13" t="str">
        <x:v>Deep Cyclicals</x:v>
      </x:c>
      <x:c r="G6829" s="13" t="str">
        <x:v>grid_cqzdsc3v.xlsx</x:v>
      </x:c>
    </x:row>
    <x:row r="6830">
      <x:c r="A6830" s="15" t="n">
        <x:v>43556</x:v>
      </x:c>
      <x:c r="B6830" s="13" t="str">
        <x:v>VALE SA</x:v>
      </x:c>
      <x:c r="C6830" s="16" t="n">
        <x:v>35612.081739541</x:v>
      </x:c>
      <x:c r="D6830" s="13" t="str">
        <x:v>Metals &amp; Mining</x:v>
      </x:c>
      <x:c r="E6830" s="13" t="str">
        <x:v>Metals &amp; Mining</x:v>
      </x:c>
      <x:c r="F6830" s="13" t="str">
        <x:v>Deep Cyclicals</x:v>
      </x:c>
      <x:c r="G6830" s="13" t="str">
        <x:v>grid_cqzdsc3v.xlsx</x:v>
      </x:c>
    </x:row>
    <x:row r="6831">
      <x:c r="A6831" s="15" t="n">
        <x:v>43556</x:v>
      </x:c>
      <x:c r="B6831" s="13" t="str">
        <x:v>BRASKEM SA-PREF A</x:v>
      </x:c>
      <x:c r="C6831" s="16" t="n">
        <x:v>1949.2561636721</x:v>
      </x:c>
      <x:c r="D6831" s="13" t="str">
        <x:v>Oil, Gas &amp; Petrochemicals</x:v>
      </x:c>
      <x:c r="E6831" s="13" t="str">
        <x:v>Oil, Gas &amp; Petrochemicals</x:v>
      </x:c>
      <x:c r="F6831" s="13" t="str">
        <x:v>Deep Cyclicals</x:v>
      </x:c>
      <x:c r="G6831" s="13" t="str">
        <x:v>grid_cqzdsc3v.xlsx</x:v>
      </x:c>
    </x:row>
    <x:row r="6832">
      <x:c r="A6832" s="15" t="n">
        <x:v>43556</x:v>
      </x:c>
      <x:c r="B6832" s="13" t="str">
        <x:v>COSAN SA</x:v>
      </x:c>
      <x:c r="C6832" s="16" t="n">
        <x:v>1598.2633879781</x:v>
      </x:c>
      <x:c r="D6832" s="13" t="str">
        <x:v>Oil, Gas &amp; Petrochemicals</x:v>
      </x:c>
      <x:c r="E6832" s="13" t="str">
        <x:v>Oil, Gas &amp; Petrochemicals</x:v>
      </x:c>
      <x:c r="F6832" s="13" t="str">
        <x:v>Deep Cyclicals</x:v>
      </x:c>
      <x:c r="G6832" s="13" t="str">
        <x:v>grid_cqzdsc3v.xlsx</x:v>
      </x:c>
    </x:row>
    <x:row r="6833">
      <x:c r="A6833" s="15" t="n">
        <x:v>43556</x:v>
      </x:c>
      <x:c r="B6833" s="13" t="str">
        <x:v>PETROBRAS - PETROLEO BRAS</x:v>
      </x:c>
      <x:c r="C6833" s="16" t="n">
        <x:v>39509.657163541</x:v>
      </x:c>
      <x:c r="D6833" s="13" t="str">
        <x:v>Oil, Gas &amp; Petrochemicals</x:v>
      </x:c>
      <x:c r="E6833" s="13" t="str">
        <x:v>Oil, Gas &amp; Petrochemicals</x:v>
      </x:c>
      <x:c r="F6833" s="13" t="str">
        <x:v>Deep Cyclicals</x:v>
      </x:c>
      <x:c r="G6833" s="13" t="str">
        <x:v>grid_cqzdsc3v.xlsx</x:v>
      </x:c>
    </x:row>
    <x:row r="6834">
      <x:c r="A6834" s="15" t="n">
        <x:v>43556</x:v>
      </x:c>
      <x:c r="B6834" s="13" t="str">
        <x:v>ULTRAPAR PARTICIPACOES SA</x:v>
      </x:c>
      <x:c r="C6834" s="16" t="n">
        <x:v>1460.8295190383</x:v>
      </x:c>
      <x:c r="D6834" s="13" t="str">
        <x:v>Oil, Gas &amp; Petrochemicals</x:v>
      </x:c>
      <x:c r="E6834" s="13" t="str">
        <x:v>Oil, Gas &amp; Petrochemicals</x:v>
      </x:c>
      <x:c r="F6834" s="13" t="str">
        <x:v>Deep Cyclicals</x:v>
      </x:c>
      <x:c r="G6834" s="13" t="str">
        <x:v>grid_cqzdsc3v.xlsx</x:v>
      </x:c>
    </x:row>
    <x:row r="6835">
      <x:c r="A6835" s="15" t="n">
        <x:v>43556</x:v>
      </x:c>
      <x:c r="B6835" s="13" t="str">
        <x:v>VIBRA ENERGIA SA</x:v>
      </x:c>
      <x:c r="C6835" s="16" t="n">
        <x:v>2167.8744054208</x:v>
      </x:c>
      <x:c r="D6835" s="13" t="str">
        <x:v>Oil, Gas &amp; Petrochemicals</x:v>
      </x:c>
      <x:c r="E6835" s="13" t="str">
        <x:v>Oil, Gas &amp; Petrochemicals</x:v>
      </x:c>
      <x:c r="F6835" s="13" t="str">
        <x:v>Deep Cyclicals</x:v>
      </x:c>
      <x:c r="G6835" s="13" t="str">
        <x:v>grid_cqzdsc3v.xlsx</x:v>
      </x:c>
    </x:row>
    <x:row r="6836">
      <x:c r="A6836" s="15" t="n">
        <x:v>43556</x:v>
      </x:c>
      <x:c r="B6836" s="13" t="str">
        <x:v>KLABIN SA - UNIT</x:v>
      </x:c>
      <x:c r="C6836" s="16" t="n">
        <x:v>1701.601452765</x:v>
      </x:c>
      <x:c r="D6836" s="13" t="str">
        <x:v>Pulp &amp; Paper</x:v>
      </x:c>
      <x:c r="E6836" s="13" t="str">
        <x:v>Pulp &amp; Paper</x:v>
      </x:c>
      <x:c r="F6836" s="13" t="str">
        <x:v>Deep Cyclicals</x:v>
      </x:c>
      <x:c r="G6836" s="13" t="str">
        <x:v>grid_cqzdsc3v.xlsx</x:v>
      </x:c>
    </x:row>
    <x:row r="6837">
      <x:c r="A6837" s="15" t="n">
        <x:v>43556</x:v>
      </x:c>
      <x:c r="B6837" s="13" t="str">
        <x:v>SUZANO SA</x:v>
      </x:c>
      <x:c r="C6837" s="16" t="n">
        <x:v>7384.3426888743</x:v>
      </x:c>
      <x:c r="D6837" s="13" t="str">
        <x:v>Pulp &amp; Paper</x:v>
      </x:c>
      <x:c r="E6837" s="13" t="str">
        <x:v>Pulp &amp; Paper</x:v>
      </x:c>
      <x:c r="F6837" s="13" t="str">
        <x:v>Deep Cyclicals</x:v>
      </x:c>
      <x:c r="G6837" s="13" t="str">
        <x:v>grid_cqzdsc3v.xlsx</x:v>
      </x:c>
    </x:row>
    <x:row r="6838">
      <x:c r="A6838" s="15" t="n">
        <x:v>43556</x:v>
      </x:c>
      <x:c r="B6838" s="13" t="str">
        <x:v>AMERICANAS SA</x:v>
      </x:c>
      <x:c r="C6838" s="16" t="n">
        <x:v>-207.7265246776</x:v>
      </x:c>
      <x:c r="D6838" s="13" t="str">
        <x:v>Retail</x:v>
      </x:c>
      <x:c r="E6838" s="13" t="str">
        <x:v>Retail</x:v>
      </x:c>
      <x:c r="F6838" s="13" t="str">
        <x:v>Early Cyclicals</x:v>
      </x:c>
      <x:c r="G6838" s="13" t="str">
        <x:v>grid_cqzdsc3v.xlsx</x:v>
      </x:c>
    </x:row>
    <x:row r="6839">
      <x:c r="A6839" s="15" t="n">
        <x:v>43556</x:v>
      </x:c>
      <x:c r="B6839" s="13" t="str">
        <x:v>CIA BRASILEIRA DE DIS-PREF</x:v>
      </x:c>
      <x:c r="C6839" s="16" t="n">
        <x:v>1284.9175249836</x:v>
      </x:c>
      <x:c r="D6839" s="13" t="str">
        <x:v>Retail</x:v>
      </x:c>
      <x:c r="E6839" s="13" t="str">
        <x:v>Retail</x:v>
      </x:c>
      <x:c r="F6839" s="13" t="str">
        <x:v>Early Cyclicals</x:v>
      </x:c>
      <x:c r="G6839" s="13" t="str">
        <x:v>grid_cqzdsc3v.xlsx</x:v>
      </x:c>
    </x:row>
    <x:row r="6840">
      <x:c r="A6840" s="15" t="n">
        <x:v>43556</x:v>
      </x:c>
      <x:c r="B6840" s="13" t="str">
        <x:v>CVC BRASIL OPERADORA E AGENC</x:v>
      </x:c>
      <x:c r="C6840" s="16" t="n">
        <x:v>433.357696612</x:v>
      </x:c>
      <x:c r="D6840" s="13" t="str">
        <x:v>Retail</x:v>
      </x:c>
      <x:c r="E6840" s="13" t="str">
        <x:v>Retail</x:v>
      </x:c>
      <x:c r="F6840" s="13" t="str">
        <x:v>Early Cyclicals</x:v>
      </x:c>
      <x:c r="G6840" s="13" t="str">
        <x:v>grid_cqzdsc3v.xlsx</x:v>
      </x:c>
    </x:row>
    <x:row r="6841">
      <x:c r="A6841" s="15" t="n">
        <x:v>43556</x:v>
      </x:c>
      <x:c r="B6841" s="13" t="str">
        <x:v>GRUPO CASAS BAHIA SA</x:v>
      </x:c>
      <x:c r="C6841" s="16" t="n">
        <x:v>328.7842923716</x:v>
      </x:c>
      <x:c r="D6841" s="13" t="str">
        <x:v>Retail</x:v>
      </x:c>
      <x:c r="E6841" s="13" t="str">
        <x:v>Retail</x:v>
      </x:c>
      <x:c r="F6841" s="13" t="str">
        <x:v>Early Cyclicals</x:v>
      </x:c>
      <x:c r="G6841" s="13" t="str">
        <x:v>grid_cqzdsc3v.xlsx</x:v>
      </x:c>
    </x:row>
    <x:row r="6842">
      <x:c r="A6842" s="15" t="n">
        <x:v>43556</x:v>
      </x:c>
      <x:c r="B6842" s="13" t="str">
        <x:v>LOJAS AMERICANAS SA-PREF</x:v>
      </x:c>
      <x:c r="C6842" s="16" t="n">
        <x:v>766.9142543388</x:v>
      </x:c>
      <x:c r="D6842" s="13" t="str">
        <x:v>Retail</x:v>
      </x:c>
      <x:c r="E6842" s="13" t="str">
        <x:v>Retail</x:v>
      </x:c>
      <x:c r="F6842" s="13" t="str">
        <x:v>Early Cyclicals</x:v>
      </x:c>
      <x:c r="G6842" s="13" t="str">
        <x:v>grid_cqzdsc3v.xlsx</x:v>
      </x:c>
    </x:row>
    <x:row r="6843">
      <x:c r="A6843" s="15" t="n">
        <x:v>43556</x:v>
      </x:c>
      <x:c r="B6843" s="13" t="str">
        <x:v>LOJAS RENNER S.A.</x:v>
      </x:c>
      <x:c r="C6843" s="16" t="n">
        <x:v>1271.3201633224</x:v>
      </x:c>
      <x:c r="D6843" s="13" t="str">
        <x:v>Retail</x:v>
      </x:c>
      <x:c r="E6843" s="13" t="str">
        <x:v>Retail</x:v>
      </x:c>
      <x:c r="F6843" s="13" t="str">
        <x:v>Early Cyclicals</x:v>
      </x:c>
      <x:c r="G6843" s="13" t="str">
        <x:v>grid_cqzdsc3v.xlsx</x:v>
      </x:c>
    </x:row>
    <x:row r="6844">
      <x:c r="A6844" s="15" t="n">
        <x:v>43556</x:v>
      </x:c>
      <x:c r="B6844" s="13" t="str">
        <x:v>MAGAZINE LUIZA SA</x:v>
      </x:c>
      <x:c r="C6844" s="16" t="n">
        <x:v>779.5357674317</x:v>
      </x:c>
      <x:c r="D6844" s="13" t="str">
        <x:v>Retail</x:v>
      </x:c>
      <x:c r="E6844" s="13" t="str">
        <x:v>Retail</x:v>
      </x:c>
      <x:c r="F6844" s="13" t="str">
        <x:v>Early Cyclicals</x:v>
      </x:c>
      <x:c r="G6844" s="13" t="str">
        <x:v>grid_cqzdsc3v.xlsx</x:v>
      </x:c>
    </x:row>
    <x:row r="6845">
      <x:c r="A6845" s="15" t="n">
        <x:v>43556</x:v>
      </x:c>
      <x:c r="B6845" s="13" t="str">
        <x:v>RAIA DROGASIL SA</x:v>
      </x:c>
      <x:c r="C6845" s="16" t="n">
        <x:v>612.1515574208</x:v>
      </x:c>
      <x:c r="D6845" s="13" t="str">
        <x:v>Retail</x:v>
      </x:c>
      <x:c r="E6845" s="13" t="str">
        <x:v>Retail</x:v>
      </x:c>
      <x:c r="F6845" s="13" t="str">
        <x:v>Early Cyclicals</x:v>
      </x:c>
      <x:c r="G6845" s="13" t="str">
        <x:v>grid_cqzdsc3v.xlsx</x:v>
      </x:c>
    </x:row>
    <x:row r="6846">
      <x:c r="A6846" s="15" t="n">
        <x:v>43556</x:v>
      </x:c>
      <x:c r="B6846" s="13" t="str">
        <x:v>CIA SANEAMENTO BASICO DE SP</x:v>
      </x:c>
      <x:c r="C6846" s="16" t="n">
        <x:v>3171.4024085683</x:v>
      </x:c>
      <x:c r="D6846" s="13" t="str">
        <x:v>Sanitation</x:v>
      </x:c>
      <x:c r="E6846" s="13" t="str">
        <x:v>Utilities</x:v>
      </x:c>
      <x:c r="F6846" s="13" t="str">
        <x:v>Defensives</x:v>
      </x:c>
      <x:c r="G6846" s="13" t="str">
        <x:v>grid_cqzdsc3v.xlsx</x:v>
      </x:c>
    </x:row>
    <x:row r="6847">
      <x:c r="A6847" s="15" t="n">
        <x:v>43556</x:v>
      </x:c>
      <x:c r="B6847" s="13" t="str">
        <x:v>SMILES FIDELIDADE SA</x:v>
      </x:c>
      <x:c r="C6847" s="16" t="n">
        <x:v>667.4844457268</x:v>
      </x:c>
      <x:c r="D6847" s="13" t="str">
        <x:v>TMT</x:v>
      </x:c>
      <x:c r="E6847" s="13" t="str">
        <x:v>TMT</x:v>
      </x:c>
      <x:c r="F6847" s="13" t="str">
        <x:v>Early Cyclicals</x:v>
      </x:c>
      <x:c r="G6847" s="13" t="str">
        <x:v>grid_cqzdsc3v.xlsx</x:v>
      </x:c>
    </x:row>
    <x:row r="6848">
      <x:c r="A6848" s="15" t="n">
        <x:v>43556</x:v>
      </x:c>
      <x:c r="B6848" s="13" t="str">
        <x:v>TELEFONICA BRASIL S.A.-PREF</x:v>
      </x:c>
      <x:c r="C6848" s="16" t="n">
        <x:v>5709.2972765027</x:v>
      </x:c>
      <x:c r="D6848" s="13" t="str">
        <x:v>TMT</x:v>
      </x:c>
      <x:c r="E6848" s="13" t="str">
        <x:v>TMT</x:v>
      </x:c>
      <x:c r="F6848" s="13" t="str">
        <x:v>Early Cyclicals</x:v>
      </x:c>
      <x:c r="G6848" s="13" t="str">
        <x:v>grid_cqzdsc3v.xlsx</x:v>
      </x:c>
    </x:row>
    <x:row r="6849">
      <x:c r="A6849" s="15" t="n">
        <x:v>43556</x:v>
      </x:c>
      <x:c r="B6849" s="13" t="str">
        <x:v>TIM SA</x:v>
      </x:c>
      <x:c r="C6849" s="16" t="n">
        <x:v>2088.3816347978</x:v>
      </x:c>
      <x:c r="D6849" s="13" t="str">
        <x:v>TMT</x:v>
      </x:c>
      <x:c r="E6849" s="13" t="str">
        <x:v>TMT</x:v>
      </x:c>
      <x:c r="F6849" s="13" t="str">
        <x:v>Early Cyclicals</x:v>
      </x:c>
      <x:c r="G6849" s="13" t="str">
        <x:v>grid_cqzdsc3v.xlsx</x:v>
      </x:c>
    </x:row>
    <x:row r="6850">
      <x:c r="A6850" s="15" t="n">
        <x:v>43556</x:v>
      </x:c>
      <x:c r="B6850" s="13" t="str">
        <x:v>ECORODOVIAS INFRA E LOG SA</x:v>
      </x:c>
      <x:c r="C6850" s="16" t="n">
        <x:v>498.0150273224</x:v>
      </x:c>
      <x:c r="D6850" s="13" t="str">
        <x:v>Transportation</x:v>
      </x:c>
      <x:c r="E6850" s="13" t="str">
        <x:v>Transportation</x:v>
      </x:c>
      <x:c r="F6850" s="13" t="str">
        <x:v>Deep Cyclicals</x:v>
      </x:c>
      <x:c r="G6850" s="13" t="str">
        <x:v>grid_cqzdsc3v.xlsx</x:v>
      </x:c>
    </x:row>
    <x:row r="6851">
      <x:c r="A6851" s="15" t="n">
        <x:v>43556</x:v>
      </x:c>
      <x:c r="B6851" s="13" t="str">
        <x:v>GOL LINHAS AEREAS INT SA-PRE</x:v>
      </x:c>
      <x:c r="C6851" s="16" t="n">
        <x:v>505.3035355628</x:v>
      </x:c>
      <x:c r="D6851" s="13" t="str">
        <x:v>Transportation</x:v>
      </x:c>
      <x:c r="E6851" s="13" t="str">
        <x:v>Transportation</x:v>
      </x:c>
      <x:c r="F6851" s="13" t="str">
        <x:v>Deep Cyclicals</x:v>
      </x:c>
      <x:c r="G6851" s="13" t="str">
        <x:v>grid_cqzdsc3v.xlsx</x:v>
      </x:c>
    </x:row>
    <x:row r="6852">
      <x:c r="A6852" s="15" t="n">
        <x:v>43556</x:v>
      </x:c>
      <x:c r="B6852" s="13" t="str">
        <x:v>LOCALIZA RENT A CAR</x:v>
      </x:c>
      <x:c r="C6852" s="16" t="n">
        <x:v>986.0688416175</x:v>
      </x:c>
      <x:c r="D6852" s="13" t="str">
        <x:v>Transportation</x:v>
      </x:c>
      <x:c r="E6852" s="13" t="str">
        <x:v>Transportation</x:v>
      </x:c>
      <x:c r="F6852" s="13" t="str">
        <x:v>Deep Cyclicals</x:v>
      </x:c>
      <x:c r="G6852" s="13" t="str">
        <x:v>grid_cqzdsc3v.xlsx</x:v>
      </x:c>
    </x:row>
    <x:row r="6853">
      <x:c r="A6853" s="15" t="n">
        <x:v>43556</x:v>
      </x:c>
      <x:c r="B6853" s="13" t="str">
        <x:v>MOTIVA INFRAESTRUTURA DE MOB</x:v>
      </x:c>
      <x:c r="C6853" s="16" t="n">
        <x:v>1953.6062615082</x:v>
      </x:c>
      <x:c r="D6853" s="13" t="str">
        <x:v>Transportation</x:v>
      </x:c>
      <x:c r="E6853" s="13" t="str">
        <x:v>Transportation</x:v>
      </x:c>
      <x:c r="F6853" s="13" t="str">
        <x:v>Deep Cyclicals</x:v>
      </x:c>
      <x:c r="G6853" s="13" t="str">
        <x:v>grid_cqzdsc3v.xlsx</x:v>
      </x:c>
    </x:row>
    <x:row r="6854">
      <x:c r="A6854" s="15" t="n">
        <x:v>43556</x:v>
      </x:c>
      <x:c r="B6854" s="13" t="str">
        <x:v>RUMO SA</x:v>
      </x:c>
      <x:c r="C6854" s="16" t="n">
        <x:v>940.6105003716</x:v>
      </x:c>
      <x:c r="D6854" s="13" t="str">
        <x:v>Transportation</x:v>
      </x:c>
      <x:c r="E6854" s="13" t="str">
        <x:v>Transportation</x:v>
      </x:c>
      <x:c r="F6854" s="13" t="str">
        <x:v>Deep Cyclicals</x:v>
      </x:c>
      <x:c r="G6854" s="13" t="str">
        <x:v>grid_cqzdsc3v.xlsx</x:v>
      </x:c>
    </x:row>
    <x:row r="6855">
      <x:c r="A6855" s="15" t="n">
        <x:v>43556</x:v>
      </x:c>
      <x:c r="B6855" s="13" t="str">
        <x:v>AXIA ENERGIA SA</x:v>
      </x:c>
      <x:c r="C6855" s="16" t="n">
        <x:v>7019.9342765464</x:v>
      </x:c>
      <x:c r="D6855" s="13" t="str">
        <x:v>Utilities &amp; Energy</x:v>
      </x:c>
      <x:c r="E6855" s="13" t="str">
        <x:v>Utilities</x:v>
      </x:c>
      <x:c r="F6855" s="13" t="str">
        <x:v>Defensives</x:v>
      </x:c>
      <x:c r="G6855" s="13" t="str">
        <x:v>grid_cqzdsc3v.xlsx</x:v>
      </x:c>
    </x:row>
    <x:row r="6856">
      <x:c r="A6856" s="15" t="n">
        <x:v>43556</x:v>
      </x:c>
      <x:c r="B6856" s="13" t="str">
        <x:v>AXIA ENERGIA-PR B</x:v>
      </x:c>
      <x:c r="C6856" s="16" t="n">
        <x:v>7019.9342765464</x:v>
      </x:c>
      <x:c r="D6856" s="13" t="str">
        <x:v>Utilities &amp; Energy</x:v>
      </x:c>
      <x:c r="E6856" s="13" t="str">
        <x:v>Utilities</x:v>
      </x:c>
      <x:c r="F6856" s="13" t="str">
        <x:v>Defensives</x:v>
      </x:c>
      <x:c r="G6856" s="13" t="str">
        <x:v>grid_cqzdsc3v.xlsx</x:v>
      </x:c>
    </x:row>
    <x:row r="6857">
      <x:c r="A6857" s="15" t="n">
        <x:v>43556</x:v>
      </x:c>
      <x:c r="B6857" s="13" t="str">
        <x:v>CIA ENERGETICA MINAS GER-PRF</x:v>
      </x:c>
      <x:c r="C6857" s="16" t="n">
        <x:v>2160.4179280437</x:v>
      </x:c>
      <x:c r="D6857" s="13" t="str">
        <x:v>Utilities &amp; Energy</x:v>
      </x:c>
      <x:c r="E6857" s="13" t="str">
        <x:v>Utilities</x:v>
      </x:c>
      <x:c r="F6857" s="13" t="str">
        <x:v>Defensives</x:v>
      </x:c>
      <x:c r="G6857" s="13" t="str">
        <x:v>grid_cqzdsc3v.xlsx</x:v>
      </x:c>
    </x:row>
    <x:row r="6858">
      <x:c r="A6858" s="15" t="n">
        <x:v>43556</x:v>
      </x:c>
      <x:c r="B6858" s="13" t="str">
        <x:v>EDP - ENERGIAS DO BRASIL SA</x:v>
      </x:c>
      <x:c r="C6858" s="16" t="n">
        <x:v>886.817281224</x:v>
      </x:c>
      <x:c r="D6858" s="13" t="str">
        <x:v>Utilities &amp; Energy</x:v>
      </x:c>
      <x:c r="E6858" s="13" t="str">
        <x:v>Utilities</x:v>
      </x:c>
      <x:c r="F6858" s="13" t="str">
        <x:v>Defensives</x:v>
      </x:c>
      <x:c r="G6858" s="13" t="str">
        <x:v>grid_cqzdsc3v.xlsx</x:v>
      </x:c>
    </x:row>
    <x:row r="6859">
      <x:c r="A6859" s="15" t="n">
        <x:v>43556</x:v>
      </x:c>
      <x:c r="B6859" s="13" t="str">
        <x:v>ENGIE BRASIL ENERGIA SA</x:v>
      </x:c>
      <x:c r="C6859" s="16" t="n">
        <x:v>2515.0443226229</x:v>
      </x:c>
      <x:c r="D6859" s="13" t="str">
        <x:v>Utilities &amp; Energy</x:v>
      </x:c>
      <x:c r="E6859" s="13" t="str">
        <x:v>Utilities</x:v>
      </x:c>
      <x:c r="F6859" s="13" t="str">
        <x:v>Defensives</x:v>
      </x:c>
      <x:c r="G6859" s="13" t="str">
        <x:v>grid_cqzdsc3v.xlsx</x:v>
      </x:c>
    </x:row>
    <x:row r="6860">
      <x:c r="A6860" s="15" t="n">
        <x:v>43556</x:v>
      </x:c>
      <x:c r="B6860" s="13" t="str">
        <x:v>EQUATORIAL SA - ORD</x:v>
      </x:c>
      <x:c r="C6860" s="16" t="n">
        <x:v>827.3647700984</x:v>
      </x:c>
      <x:c r="D6860" s="13" t="str">
        <x:v>Utilities &amp; Energy</x:v>
      </x:c>
      <x:c r="E6860" s="13" t="str">
        <x:v>Utilities</x:v>
      </x:c>
      <x:c r="F6860" s="13" t="str">
        <x:v>Defensives</x:v>
      </x:c>
      <x:c r="G6860" s="13" t="str">
        <x:v>grid_cqzdsc3v.xlsx</x:v>
      </x:c>
    </x:row>
    <x:row r="6861">
      <x:c r="A6861" s="15" t="n">
        <x:v>43556</x:v>
      </x:c>
      <x:c r="B6861" s="13" t="str">
        <x:v>TRANSMISSORA ALIANCA DE-UNIT</x:v>
      </x:c>
      <x:c r="C6861" s="16" t="n">
        <x:v>800.9714156066</x:v>
      </x:c>
      <x:c r="D6861" s="13" t="str">
        <x:v>Utilities &amp; Energy</x:v>
      </x:c>
      <x:c r="E6861" s="13" t="str">
        <x:v>Utilities</x:v>
      </x:c>
      <x:c r="F6861" s="13" t="str">
        <x:v>Defensives</x:v>
      </x:c>
      <x:c r="G6861" s="13" t="str">
        <x:v>grid_cqzdsc3v.xlsx</x:v>
      </x:c>
    </x:row>
    <x:row r="6862">
      <x:c r="A6862" s="15" t="n">
        <x:v>43586</x:v>
      </x:c>
      <x:c r="B6862" s="13" t="str">
        <x:v>BANCO BRADESCO S.A.</x:v>
      </x:c>
      <x:c r="C6862" s="16" t="n">
        <x:v>26234.7242288962</x:v>
      </x:c>
      <x:c r="D6862" s="13" t="str">
        <x:v>Banks</x:v>
      </x:c>
      <x:c r="E6862" s="13" t="str">
        <x:v>Banks</x:v>
      </x:c>
      <x:c r="F6862" s="13" t="str">
        <x:v>Financials</x:v>
      </x:c>
      <x:c r="G6862" s="13" t="str">
        <x:v>grid_cqzdsc3v.xlsx</x:v>
      </x:c>
    </x:row>
    <x:row r="6863">
      <x:c r="A6863" s="15" t="n">
        <x:v>43586</x:v>
      </x:c>
      <x:c r="B6863" s="13" t="str">
        <x:v>BANCO BRADESCO SA-PREF</x:v>
      </x:c>
      <x:c r="C6863" s="16" t="n">
        <x:v>26234.7242288962</x:v>
      </x:c>
      <x:c r="D6863" s="13" t="str">
        <x:v>Banks</x:v>
      </x:c>
      <x:c r="E6863" s="13" t="str">
        <x:v>Banks</x:v>
      </x:c>
      <x:c r="F6863" s="13" t="str">
        <x:v>Financials</x:v>
      </x:c>
      <x:c r="G6863" s="13" t="str">
        <x:v>grid_cqzdsc3v.xlsx</x:v>
      </x:c>
    </x:row>
    <x:row r="6864">
      <x:c r="A6864" s="15" t="n">
        <x:v>43586</x:v>
      </x:c>
      <x:c r="B6864" s="13" t="str">
        <x:v>BANCO DO BRASIL S.A.</x:v>
      </x:c>
      <x:c r="C6864" s="16" t="n">
        <x:v>17974.0185516066</x:v>
      </x:c>
      <x:c r="D6864" s="13" t="str">
        <x:v>Banks</x:v>
      </x:c>
      <x:c r="E6864" s="13" t="str">
        <x:v>Banks</x:v>
      </x:c>
      <x:c r="F6864" s="13" t="str">
        <x:v>Financials</x:v>
      </x:c>
      <x:c r="G6864" s="13" t="str">
        <x:v>grid_cqzdsc3v.xlsx</x:v>
      </x:c>
    </x:row>
    <x:row r="6865">
      <x:c r="A6865" s="15" t="n">
        <x:v>43586</x:v>
      </x:c>
      <x:c r="B6865" s="13" t="str">
        <x:v>BANCO SANTANDER  BRASIL-UNIT</x:v>
      </x:c>
      <x:c r="C6865" s="16" t="n">
        <x:v>14690.564291847</x:v>
      </x:c>
      <x:c r="D6865" s="13" t="str">
        <x:v>Banks</x:v>
      </x:c>
      <x:c r="E6865" s="13" t="str">
        <x:v>Banks</x:v>
      </x:c>
      <x:c r="F6865" s="13" t="str">
        <x:v>Financials</x:v>
      </x:c>
      <x:c r="G6865" s="13" t="str">
        <x:v>grid_cqzdsc3v.xlsx</x:v>
      </x:c>
    </x:row>
    <x:row r="6866">
      <x:c r="A6866" s="15" t="n">
        <x:v>43586</x:v>
      </x:c>
      <x:c r="B6866" s="13" t="str">
        <x:v>ITAU UNIBANCO HOLDING S-PREF</x:v>
      </x:c>
      <x:c r="C6866" s="16" t="n">
        <x:v>29967.5716042842</x:v>
      </x:c>
      <x:c r="D6866" s="13" t="str">
        <x:v>Banks</x:v>
      </x:c>
      <x:c r="E6866" s="13" t="str">
        <x:v>Banks</x:v>
      </x:c>
      <x:c r="F6866" s="13" t="str">
        <x:v>Financials</x:v>
      </x:c>
      <x:c r="G6866" s="13" t="str">
        <x:v>grid_cqzdsc3v.xlsx</x:v>
      </x:c>
    </x:row>
    <x:row r="6867">
      <x:c r="A6867" s="15" t="n">
        <x:v>43586</x:v>
      </x:c>
      <x:c r="B6867" s="13" t="str">
        <x:v>EMBRAER SA</x:v>
      </x:c>
      <x:c r="C6867" s="16" t="n">
        <x:v>469.0511191257</x:v>
      </x:c>
      <x:c r="D6867" s="13" t="str">
        <x:v>Capital Goods</x:v>
      </x:c>
      <x:c r="E6867" s="13" t="str">
        <x:v>Capital Goods</x:v>
      </x:c>
      <x:c r="F6867" s="13" t="str">
        <x:v>Deep Cyclicals</x:v>
      </x:c>
      <x:c r="G6867" s="13" t="str">
        <x:v>grid_cqzdsc3v.xlsx</x:v>
      </x:c>
    </x:row>
    <x:row r="6868">
      <x:c r="A6868" s="15" t="n">
        <x:v>43586</x:v>
      </x:c>
      <x:c r="B6868" s="13" t="str">
        <x:v>WEG SA</x:v>
      </x:c>
      <x:c r="C6868" s="16" t="n">
        <x:v>1591.4719125683</x:v>
      </x:c>
      <x:c r="D6868" s="13" t="str">
        <x:v>Capital Goods</x:v>
      </x:c>
      <x:c r="E6868" s="13" t="str">
        <x:v>Capital Goods</x:v>
      </x:c>
      <x:c r="F6868" s="13" t="str">
        <x:v>Deep Cyclicals</x:v>
      </x:c>
      <x:c r="G6868" s="13" t="str">
        <x:v>grid_cqzdsc3v.xlsx</x:v>
      </x:c>
    </x:row>
    <x:row r="6869">
      <x:c r="A6869" s="15" t="n">
        <x:v>43586</x:v>
      </x:c>
      <x:c r="B6869" s="13" t="str">
        <x:v>COGNA EDUCACAO</x:v>
      </x:c>
      <x:c r="C6869" s="16" t="n">
        <x:v>1671.1512501858</x:v>
      </x:c>
      <x:c r="D6869" s="13" t="str">
        <x:v>Education</x:v>
      </x:c>
      <x:c r="E6869" s="13" t="str">
        <x:v>Education</x:v>
      </x:c>
      <x:c r="F6869" s="13" t="str">
        <x:v>Early Cyclicals</x:v>
      </x:c>
      <x:c r="G6869" s="13" t="str">
        <x:v>grid_cqzdsc3v.xlsx</x:v>
      </x:c>
    </x:row>
    <x:row r="6870">
      <x:c r="A6870" s="15" t="n">
        <x:v>43586</x:v>
      </x:c>
      <x:c r="B6870" s="13" t="str">
        <x:v>YDUQS PARTICIPACOES SA</x:v>
      </x:c>
      <x:c r="C6870" s="16" t="n">
        <x:v>888.0081780109</x:v>
      </x:c>
      <x:c r="D6870" s="13" t="str">
        <x:v>Education</x:v>
      </x:c>
      <x:c r="E6870" s="13" t="str">
        <x:v>Education</x:v>
      </x:c>
      <x:c r="F6870" s="13" t="str">
        <x:v>Early Cyclicals</x:v>
      </x:c>
      <x:c r="G6870" s="13" t="str">
        <x:v>grid_cqzdsc3v.xlsx</x:v>
      </x:c>
    </x:row>
    <x:row r="6871">
      <x:c r="A6871" s="15" t="n">
        <x:v>43586</x:v>
      </x:c>
      <x:c r="B6871" s="13" t="str">
        <x:v>B3 SA-BRASIL BOLSA BALCAO</x:v>
      </x:c>
      <x:c r="C6871" s="16" t="n">
        <x:v>3241.5915128306</x:v>
      </x:c>
      <x:c r="D6871" s="13" t="str">
        <x:v>Financials Non-Banks</x:v>
      </x:c>
      <x:c r="E6871" s="13" t="str">
        <x:v>Financials Non-Banks</x:v>
      </x:c>
      <x:c r="F6871" s="13" t="str">
        <x:v>Financials</x:v>
      </x:c>
      <x:c r="G6871" s="13" t="str">
        <x:v>grid_cqzdsc3v.xlsx</x:v>
      </x:c>
    </x:row>
    <x:row r="6872">
      <x:c r="A6872" s="15" t="n">
        <x:v>43586</x:v>
      </x:c>
      <x:c r="B6872" s="13" t="str">
        <x:v>BB SEGURIDADE PARTICIPACOES</x:v>
      </x:c>
      <x:c r="C6872" s="16" t="n">
        <x:v>4113.8324535956</x:v>
      </x:c>
      <x:c r="D6872" s="13" t="str">
        <x:v>Financials Non-Banks</x:v>
      </x:c>
      <x:c r="E6872" s="13" t="str">
        <x:v>Financials Non-Banks</x:v>
      </x:c>
      <x:c r="F6872" s="13" t="str">
        <x:v>Financials</x:v>
      </x:c>
      <x:c r="G6872" s="13" t="str">
        <x:v>grid_cqzdsc3v.xlsx</x:v>
      </x:c>
    </x:row>
    <x:row r="6873">
      <x:c r="A6873" s="15" t="n">
        <x:v>43586</x:v>
      </x:c>
      <x:c r="B6873" s="13" t="str">
        <x:v>CIELO SA - INSTITUICAO DE PA</x:v>
      </x:c>
      <x:c r="C6873" s="16" t="n">
        <x:v>2146.865980153</x:v>
      </x:c>
      <x:c r="D6873" s="13" t="str">
        <x:v>Financials Non-Banks</x:v>
      </x:c>
      <x:c r="E6873" s="13" t="str">
        <x:v>Financials Non-Banks</x:v>
      </x:c>
      <x:c r="F6873" s="13" t="str">
        <x:v>Financials</x:v>
      </x:c>
      <x:c r="G6873" s="13" t="str">
        <x:v>grid_cqzdsc3v.xlsx</x:v>
      </x:c>
    </x:row>
    <x:row r="6874">
      <x:c r="A6874" s="15" t="n">
        <x:v>43586</x:v>
      </x:c>
      <x:c r="B6874" s="13" t="str">
        <x:v>IRB BRASIL RESSEGUROS SA</x:v>
      </x:c>
      <x:c r="C6874" s="16" t="n">
        <x:v>1721.4863387978</x:v>
      </x:c>
      <x:c r="D6874" s="13" t="str">
        <x:v>Financials Non-Banks</x:v>
      </x:c>
      <x:c r="E6874" s="13" t="str">
        <x:v>Financials Non-Banks</x:v>
      </x:c>
      <x:c r="F6874" s="13" t="str">
        <x:v>Financials</x:v>
      </x:c>
      <x:c r="G6874" s="13" t="str">
        <x:v>grid_cqzdsc3v.xlsx</x:v>
      </x:c>
    </x:row>
    <x:row r="6875">
      <x:c r="A6875" s="15" t="n">
        <x:v>43586</x:v>
      </x:c>
      <x:c r="B6875" s="13" t="str">
        <x:v>ITAUSA SA</x:v>
      </x:c>
      <x:c r="C6875" s="16" t="n">
        <x:v>10481.7980544699</x:v>
      </x:c>
      <x:c r="D6875" s="13" t="str">
        <x:v>Financials Non-Banks</x:v>
      </x:c>
      <x:c r="E6875" s="13" t="str">
        <x:v>Financials Non-Banks</x:v>
      </x:c>
      <x:c r="F6875" s="13" t="str">
        <x:v>Financials</x:v>
      </x:c>
      <x:c r="G6875" s="13" t="str">
        <x:v>grid_cqzdsc3v.xlsx</x:v>
      </x:c>
    </x:row>
    <x:row r="6876">
      <x:c r="A6876" s="15" t="n">
        <x:v>43586</x:v>
      </x:c>
      <x:c r="B6876" s="13" t="str">
        <x:v>AMBEV SA</x:v>
      </x:c>
      <x:c r="C6876" s="16" t="n">
        <x:v>12903.5143302295</x:v>
      </x:c>
      <x:c r="D6876" s="13" t="str">
        <x:v>Food &amp; Beverages</x:v>
      </x:c>
      <x:c r="E6876" s="13" t="str">
        <x:v>Agri, Food &amp; Beverages</x:v>
      </x:c>
      <x:c r="F6876" s="13" t="str">
        <x:v>Defensives</x:v>
      </x:c>
      <x:c r="G6876" s="13" t="str">
        <x:v>grid_cqzdsc3v.xlsx</x:v>
      </x:c>
    </x:row>
    <x:row r="6877">
      <x:c r="A6877" s="15" t="n">
        <x:v>43586</x:v>
      </x:c>
      <x:c r="B6877" s="13" t="str">
        <x:v>BRF SA</x:v>
      </x:c>
      <x:c r="C6877" s="16" t="n">
        <x:v>281.3532777268</x:v>
      </x:c>
      <x:c r="D6877" s="13" t="str">
        <x:v>Food &amp; Beverages</x:v>
      </x:c>
      <x:c r="E6877" s="13" t="str">
        <x:v>Agri, Food &amp; Beverages</x:v>
      </x:c>
      <x:c r="F6877" s="13" t="str">
        <x:v>Defensives</x:v>
      </x:c>
      <x:c r="G6877" s="13" t="str">
        <x:v>grid_cqzdsc3v.xlsx</x:v>
      </x:c>
    </x:row>
    <x:row r="6878">
      <x:c r="A6878" s="15" t="n">
        <x:v>43586</x:v>
      </x:c>
      <x:c r="B6878" s="13" t="str">
        <x:v>JBS SA</x:v>
      </x:c>
      <x:c r="C6878" s="16" t="n">
        <x:v>5540.9571028634</x:v>
      </x:c>
      <x:c r="D6878" s="13" t="str">
        <x:v>Food &amp; Beverages</x:v>
      </x:c>
      <x:c r="E6878" s="13" t="str">
        <x:v>Agri, Food &amp; Beverages</x:v>
      </x:c>
      <x:c r="F6878" s="13" t="str">
        <x:v>Defensives</x:v>
      </x:c>
      <x:c r="G6878" s="13" t="str">
        <x:v>grid_cqzdsc3v.xlsx</x:v>
      </x:c>
    </x:row>
    <x:row r="6879">
      <x:c r="A6879" s="15" t="n">
        <x:v>43586</x:v>
      </x:c>
      <x:c r="B6879" s="13" t="str">
        <x:v>MBRF GLOBAL FOODS COMPANY SA</x:v>
      </x:c>
      <x:c r="C6879" s="16" t="n">
        <x:v>391.5393038689</x:v>
      </x:c>
      <x:c r="D6879" s="13" t="str">
        <x:v>Food &amp; Beverages</x:v>
      </x:c>
      <x:c r="E6879" s="13" t="str">
        <x:v>Agri, Food &amp; Beverages</x:v>
      </x:c>
      <x:c r="F6879" s="13" t="str">
        <x:v>Defensives</x:v>
      </x:c>
      <x:c r="G6879" s="13" t="str">
        <x:v>grid_cqzdsc3v.xlsx</x:v>
      </x:c>
    </x:row>
    <x:row r="6880">
      <x:c r="A6880" s="15" t="n">
        <x:v>43586</x:v>
      </x:c>
      <x:c r="B6880" s="13" t="str">
        <x:v>FLEURY SA</x:v>
      </x:c>
      <x:c r="C6880" s="16" t="n">
        <x:v>393.5840117158</x:v>
      </x:c>
      <x:c r="D6880" s="13" t="str">
        <x:v>Health Care</x:v>
      </x:c>
      <x:c r="E6880" s="13" t="str">
        <x:v>Health Care</x:v>
      </x:c>
      <x:c r="F6880" s="13" t="str">
        <x:v>Defensives</x:v>
      </x:c>
      <x:c r="G6880" s="13" t="str">
        <x:v>grid_cqzdsc3v.xlsx</x:v>
      </x:c>
    </x:row>
    <x:row r="6881">
      <x:c r="A6881" s="15" t="n">
        <x:v>43586</x:v>
      </x:c>
      <x:c r="B6881" s="13" t="str">
        <x:v>HYPERA SA</x:v>
      </x:c>
      <x:c r="C6881" s="16" t="n">
        <x:v>1230.1808688962</x:v>
      </x:c>
      <x:c r="D6881" s="13" t="str">
        <x:v>Health Care</x:v>
      </x:c>
      <x:c r="E6881" s="13" t="str">
        <x:v>Health Care</x:v>
      </x:c>
      <x:c r="F6881" s="13" t="str">
        <x:v>Defensives</x:v>
      </x:c>
      <x:c r="G6881" s="13" t="str">
        <x:v>grid_cqzdsc3v.xlsx</x:v>
      </x:c>
    </x:row>
    <x:row r="6882">
      <x:c r="A6882" s="15" t="n">
        <x:v>43586</x:v>
      </x:c>
      <x:c r="B6882" s="13" t="str">
        <x:v>QUALICORP CONS E CORR SEG SA</x:v>
      </x:c>
      <x:c r="C6882" s="16" t="n">
        <x:v>541.0755745574</x:v>
      </x:c>
      <x:c r="D6882" s="13" t="str">
        <x:v>Health Care</x:v>
      </x:c>
      <x:c r="E6882" s="13" t="str">
        <x:v>Health Care</x:v>
      </x:c>
      <x:c r="F6882" s="13" t="str">
        <x:v>Defensives</x:v>
      </x:c>
      <x:c r="G6882" s="13" t="str">
        <x:v>grid_cqzdsc3v.xlsx</x:v>
      </x:c>
    </x:row>
    <x:row r="6883">
      <x:c r="A6883" s="15" t="n">
        <x:v>43586</x:v>
      </x:c>
      <x:c r="B6883" s="13" t="str">
        <x:v>CYRELA BRAZIL REALTY SA EMP</x:v>
      </x:c>
      <x:c r="C6883" s="16" t="n">
        <x:v>394.7873710164</x:v>
      </x:c>
      <x:c r="D6883" s="13" t="str">
        <x:v>Homebuilders</x:v>
      </x:c>
      <x:c r="E6883" s="13" t="str">
        <x:v>Real Estate</x:v>
      </x:c>
      <x:c r="F6883" s="13" t="str">
        <x:v>Early Cyclicals</x:v>
      </x:c>
      <x:c r="G6883" s="13" t="str">
        <x:v>grid_cqzdsc3v.xlsx</x:v>
      </x:c>
    </x:row>
    <x:row r="6884">
      <x:c r="A6884" s="15" t="n">
        <x:v>43586</x:v>
      </x:c>
      <x:c r="B6884" s="13" t="str">
        <x:v>MRV ENGENHARIA</x:v>
      </x:c>
      <x:c r="C6884" s="16" t="n">
        <x:v>822.7636738798</x:v>
      </x:c>
      <x:c r="D6884" s="13" t="str">
        <x:v>Homebuilders</x:v>
      </x:c>
      <x:c r="E6884" s="13" t="str">
        <x:v>Real Estate</x:v>
      </x:c>
      <x:c r="F6884" s="13" t="str">
        <x:v>Early Cyclicals</x:v>
      </x:c>
      <x:c r="G6884" s="13" t="str">
        <x:v>grid_cqzdsc3v.xlsx</x:v>
      </x:c>
    </x:row>
    <x:row r="6885">
      <x:c r="A6885" s="15" t="n">
        <x:v>43586</x:v>
      </x:c>
      <x:c r="B6885" s="13" t="str">
        <x:v>BR MALLS PARTICIPACOES SA</x:v>
      </x:c>
      <x:c r="C6885" s="16" t="n">
        <x:v>635.4466549508</x:v>
      </x:c>
      <x:c r="D6885" s="13" t="str">
        <x:v>Income Properties</x:v>
      </x:c>
      <x:c r="E6885" s="13" t="str">
        <x:v>Real Estate</x:v>
      </x:c>
      <x:c r="F6885" s="13" t="str">
        <x:v>Early Cyclicals</x:v>
      </x:c>
      <x:c r="G6885" s="13" t="str">
        <x:v>grid_cqzdsc3v.xlsx</x:v>
      </x:c>
    </x:row>
    <x:row r="6886">
      <x:c r="A6886" s="15" t="n">
        <x:v>43586</x:v>
      </x:c>
      <x:c r="B6886" s="13" t="str">
        <x:v>IGUATEMI EMP DE SHOPPING</x:v>
      </x:c>
      <x:c r="C6886" s="16" t="n">
        <x:v>300.9639344262</x:v>
      </x:c>
      <x:c r="D6886" s="13" t="str">
        <x:v>Income Properties</x:v>
      </x:c>
      <x:c r="E6886" s="13" t="str">
        <x:v>Real Estate</x:v>
      </x:c>
      <x:c r="F6886" s="13" t="str">
        <x:v>Early Cyclicals</x:v>
      </x:c>
      <x:c r="G6886" s="13" t="str">
        <x:v>grid_cqzdsc3v.xlsx</x:v>
      </x:c>
    </x:row>
    <x:row r="6887">
      <x:c r="A6887" s="15" t="n">
        <x:v>43586</x:v>
      </x:c>
      <x:c r="B6887" s="13" t="str">
        <x:v>MULTIPLAN EMPREENDIMENTOS</x:v>
      </x:c>
      <x:c r="C6887" s="16" t="n">
        <x:v>524.9624664481</x:v>
      </x:c>
      <x:c r="D6887" s="13" t="str">
        <x:v>Income Properties</x:v>
      </x:c>
      <x:c r="E6887" s="13" t="str">
        <x:v>Real Estate</x:v>
      </x:c>
      <x:c r="F6887" s="13" t="str">
        <x:v>Early Cyclicals</x:v>
      </x:c>
      <x:c r="G6887" s="13" t="str">
        <x:v>grid_cqzdsc3v.xlsx</x:v>
      </x:c>
    </x:row>
    <x:row r="6888">
      <x:c r="A6888" s="15" t="n">
        <x:v>43586</x:v>
      </x:c>
      <x:c r="B6888" s="13" t="str">
        <x:v>BRADESPAR SA -PREF</x:v>
      </x:c>
      <x:c r="C6888" s="16" t="n">
        <x:v>2341.0054379016</x:v>
      </x:c>
      <x:c r="D6888" s="13" t="str">
        <x:v>Metals &amp; Mining</x:v>
      </x:c>
      <x:c r="E6888" s="13" t="str">
        <x:v>Metals &amp; Mining</x:v>
      </x:c>
      <x:c r="F6888" s="13" t="str">
        <x:v>Deep Cyclicals</x:v>
      </x:c>
      <x:c r="G6888" s="13" t="str">
        <x:v>grid_cqzdsc3v.xlsx</x:v>
      </x:c>
    </x:row>
    <x:row r="6889">
      <x:c r="A6889" s="15" t="n">
        <x:v>43586</x:v>
      </x:c>
      <x:c r="B6889" s="13" t="str">
        <x:v>CIA SIDERURGICA NACIONAL SA</x:v>
      </x:c>
      <x:c r="C6889" s="16" t="n">
        <x:v>2751.347591694</x:v>
      </x:c>
      <x:c r="D6889" s="13" t="str">
        <x:v>Metals &amp; Mining</x:v>
      </x:c>
      <x:c r="E6889" s="13" t="str">
        <x:v>Metals &amp; Mining</x:v>
      </x:c>
      <x:c r="F6889" s="13" t="str">
        <x:v>Deep Cyclicals</x:v>
      </x:c>
      <x:c r="G6889" s="13" t="str">
        <x:v>grid_cqzdsc3v.xlsx</x:v>
      </x:c>
    </x:row>
    <x:row r="6890">
      <x:c r="A6890" s="15" t="n">
        <x:v>43586</x:v>
      </x:c>
      <x:c r="B6890" s="13" t="str">
        <x:v>GERDAU SA-PREF</x:v>
      </x:c>
      <x:c r="C6890" s="16" t="n">
        <x:v>2590.0610126339</x:v>
      </x:c>
      <x:c r="D6890" s="13" t="str">
        <x:v>Metals &amp; Mining</x:v>
      </x:c>
      <x:c r="E6890" s="13" t="str">
        <x:v>Metals &amp; Mining</x:v>
      </x:c>
      <x:c r="F6890" s="13" t="str">
        <x:v>Deep Cyclicals</x:v>
      </x:c>
      <x:c r="G6890" s="13" t="str">
        <x:v>grid_cqzdsc3v.xlsx</x:v>
      </x:c>
    </x:row>
    <x:row r="6891">
      <x:c r="A6891" s="15" t="n">
        <x:v>43586</x:v>
      </x:c>
      <x:c r="B6891" s="13" t="str">
        <x:v>USINAS SIDER MINAS GER-PF A</x:v>
      </x:c>
      <x:c r="C6891" s="16" t="n">
        <x:v>885.7048571803</x:v>
      </x:c>
      <x:c r="D6891" s="13" t="str">
        <x:v>Metals &amp; Mining</x:v>
      </x:c>
      <x:c r="E6891" s="13" t="str">
        <x:v>Metals &amp; Mining</x:v>
      </x:c>
      <x:c r="F6891" s="13" t="str">
        <x:v>Deep Cyclicals</x:v>
      </x:c>
      <x:c r="G6891" s="13" t="str">
        <x:v>grid_cqzdsc3v.xlsx</x:v>
      </x:c>
    </x:row>
    <x:row r="6892">
      <x:c r="A6892" s="15" t="n">
        <x:v>43586</x:v>
      </x:c>
      <x:c r="B6892" s="13" t="str">
        <x:v>VALE SA</x:v>
      </x:c>
      <x:c r="C6892" s="16" t="n">
        <x:v>33420.7690449836</x:v>
      </x:c>
      <x:c r="D6892" s="13" t="str">
        <x:v>Metals &amp; Mining</x:v>
      </x:c>
      <x:c r="E6892" s="13" t="str">
        <x:v>Metals &amp; Mining</x:v>
      </x:c>
      <x:c r="F6892" s="13" t="str">
        <x:v>Deep Cyclicals</x:v>
      </x:c>
      <x:c r="G6892" s="13" t="str">
        <x:v>grid_cqzdsc3v.xlsx</x:v>
      </x:c>
    </x:row>
    <x:row r="6893">
      <x:c r="A6893" s="15" t="n">
        <x:v>43586</x:v>
      </x:c>
      <x:c r="B6893" s="13" t="str">
        <x:v>BRASKEM SA-PREF A</x:v>
      </x:c>
      <x:c r="C6893" s="16" t="n">
        <x:v>1509.6321818579</x:v>
      </x:c>
      <x:c r="D6893" s="13" t="str">
        <x:v>Oil, Gas &amp; Petrochemicals</x:v>
      </x:c>
      <x:c r="E6893" s="13" t="str">
        <x:v>Oil, Gas &amp; Petrochemicals</x:v>
      </x:c>
      <x:c r="F6893" s="13" t="str">
        <x:v>Deep Cyclicals</x:v>
      </x:c>
      <x:c r="G6893" s="13" t="str">
        <x:v>grid_cqzdsc3v.xlsx</x:v>
      </x:c>
    </x:row>
    <x:row r="6894">
      <x:c r="A6894" s="15" t="n">
        <x:v>43586</x:v>
      </x:c>
      <x:c r="B6894" s="13" t="str">
        <x:v>COSAN SA</x:v>
      </x:c>
      <x:c r="C6894" s="16" t="n">
        <x:v>1876.9836331366</x:v>
      </x:c>
      <x:c r="D6894" s="13" t="str">
        <x:v>Oil, Gas &amp; Petrochemicals</x:v>
      </x:c>
      <x:c r="E6894" s="13" t="str">
        <x:v>Oil, Gas &amp; Petrochemicals</x:v>
      </x:c>
      <x:c r="F6894" s="13" t="str">
        <x:v>Deep Cyclicals</x:v>
      </x:c>
      <x:c r="G6894" s="13" t="str">
        <x:v>grid_cqzdsc3v.xlsx</x:v>
      </x:c>
    </x:row>
    <x:row r="6895">
      <x:c r="A6895" s="15" t="n">
        <x:v>43586</x:v>
      </x:c>
      <x:c r="B6895" s="13" t="str">
        <x:v>PETROBRAS - PETROLEO BRAS</x:v>
      </x:c>
      <x:c r="C6895" s="16" t="n">
        <x:v>40185.3242810055</x:v>
      </x:c>
      <x:c r="D6895" s="13" t="str">
        <x:v>Oil, Gas &amp; Petrochemicals</x:v>
      </x:c>
      <x:c r="E6895" s="13" t="str">
        <x:v>Oil, Gas &amp; Petrochemicals</x:v>
      </x:c>
      <x:c r="F6895" s="13" t="str">
        <x:v>Deep Cyclicals</x:v>
      </x:c>
      <x:c r="G6895" s="13" t="str">
        <x:v>grid_cqzdsc3v.xlsx</x:v>
      </x:c>
    </x:row>
    <x:row r="6896">
      <x:c r="A6896" s="15" t="n">
        <x:v>43586</x:v>
      </x:c>
      <x:c r="B6896" s="13" t="str">
        <x:v>ULTRAPAR PARTICIPACOES SA</x:v>
      </x:c>
      <x:c r="C6896" s="16" t="n">
        <x:v>1378.2932801749</x:v>
      </x:c>
      <x:c r="D6896" s="13" t="str">
        <x:v>Oil, Gas &amp; Petrochemicals</x:v>
      </x:c>
      <x:c r="E6896" s="13" t="str">
        <x:v>Oil, Gas &amp; Petrochemicals</x:v>
      </x:c>
      <x:c r="F6896" s="13" t="str">
        <x:v>Deep Cyclicals</x:v>
      </x:c>
      <x:c r="G6896" s="13" t="str">
        <x:v>grid_cqzdsc3v.xlsx</x:v>
      </x:c>
    </x:row>
    <x:row r="6897">
      <x:c r="A6897" s="15" t="n">
        <x:v>43586</x:v>
      </x:c>
      <x:c r="B6897" s="13" t="str">
        <x:v>VIBRA ENERGIA SA</x:v>
      </x:c>
      <x:c r="C6897" s="16" t="n">
        <x:v>2330.3834012678</x:v>
      </x:c>
      <x:c r="D6897" s="13" t="str">
        <x:v>Oil, Gas &amp; Petrochemicals</x:v>
      </x:c>
      <x:c r="E6897" s="13" t="str">
        <x:v>Oil, Gas &amp; Petrochemicals</x:v>
      </x:c>
      <x:c r="F6897" s="13" t="str">
        <x:v>Deep Cyclicals</x:v>
      </x:c>
      <x:c r="G6897" s="13" t="str">
        <x:v>grid_cqzdsc3v.xlsx</x:v>
      </x:c>
    </x:row>
    <x:row r="6898">
      <x:c r="A6898" s="15" t="n">
        <x:v>43586</x:v>
      </x:c>
      <x:c r="B6898" s="13" t="str">
        <x:v>KLABIN SA - UNIT</x:v>
      </x:c>
      <x:c r="C6898" s="16" t="n">
        <x:v>1366.3964055082</x:v>
      </x:c>
      <x:c r="D6898" s="13" t="str">
        <x:v>Pulp &amp; Paper</x:v>
      </x:c>
      <x:c r="E6898" s="13" t="str">
        <x:v>Pulp &amp; Paper</x:v>
      </x:c>
      <x:c r="F6898" s="13" t="str">
        <x:v>Deep Cyclicals</x:v>
      </x:c>
      <x:c r="G6898" s="13" t="str">
        <x:v>grid_cqzdsc3v.xlsx</x:v>
      </x:c>
    </x:row>
    <x:row r="6899">
      <x:c r="A6899" s="15" t="n">
        <x:v>43586</x:v>
      </x:c>
      <x:c r="B6899" s="13" t="str">
        <x:v>SUZANO SA</x:v>
      </x:c>
      <x:c r="C6899" s="16" t="n">
        <x:v>6410.5089091148</x:v>
      </x:c>
      <x:c r="D6899" s="13" t="str">
        <x:v>Pulp &amp; Paper</x:v>
      </x:c>
      <x:c r="E6899" s="13" t="str">
        <x:v>Pulp &amp; Paper</x:v>
      </x:c>
      <x:c r="F6899" s="13" t="str">
        <x:v>Deep Cyclicals</x:v>
      </x:c>
      <x:c r="G6899" s="13" t="str">
        <x:v>grid_cqzdsc3v.xlsx</x:v>
      </x:c>
    </x:row>
    <x:row r="6900">
      <x:c r="A6900" s="15" t="n">
        <x:v>43586</x:v>
      </x:c>
      <x:c r="B6900" s="13" t="str">
        <x:v>AMERICANAS SA</x:v>
      </x:c>
      <x:c r="C6900" s="16" t="n">
        <x:v>-208.2531467541</x:v>
      </x:c>
      <x:c r="D6900" s="13" t="str">
        <x:v>Retail</x:v>
      </x:c>
      <x:c r="E6900" s="13" t="str">
        <x:v>Retail</x:v>
      </x:c>
      <x:c r="F6900" s="13" t="str">
        <x:v>Early Cyclicals</x:v>
      </x:c>
      <x:c r="G6900" s="13" t="str">
        <x:v>grid_cqzdsc3v.xlsx</x:v>
      </x:c>
    </x:row>
    <x:row r="6901">
      <x:c r="A6901" s="15" t="n">
        <x:v>43586</x:v>
      </x:c>
      <x:c r="B6901" s="13" t="str">
        <x:v>CIA BRASILEIRA DE DIS-PREF</x:v>
      </x:c>
      <x:c r="C6901" s="16" t="n">
        <x:v>1297.4568106667</x:v>
      </x:c>
      <x:c r="D6901" s="13" t="str">
        <x:v>Retail</x:v>
      </x:c>
      <x:c r="E6901" s="13" t="str">
        <x:v>Retail</x:v>
      </x:c>
      <x:c r="F6901" s="13" t="str">
        <x:v>Early Cyclicals</x:v>
      </x:c>
      <x:c r="G6901" s="13" t="str">
        <x:v>grid_cqzdsc3v.xlsx</x:v>
      </x:c>
    </x:row>
    <x:row r="6902">
      <x:c r="A6902" s="15" t="n">
        <x:v>43586</x:v>
      </x:c>
      <x:c r="B6902" s="13" t="str">
        <x:v>CVC BRASIL OPERADORA E AGENC</x:v>
      </x:c>
      <x:c r="C6902" s="16" t="n">
        <x:v>445.3063522623</x:v>
      </x:c>
      <x:c r="D6902" s="13" t="str">
        <x:v>Retail</x:v>
      </x:c>
      <x:c r="E6902" s="13" t="str">
        <x:v>Retail</x:v>
      </x:c>
      <x:c r="F6902" s="13" t="str">
        <x:v>Early Cyclicals</x:v>
      </x:c>
      <x:c r="G6902" s="13" t="str">
        <x:v>grid_cqzdsc3v.xlsx</x:v>
      </x:c>
    </x:row>
    <x:row r="6903">
      <x:c r="A6903" s="15" t="n">
        <x:v>43586</x:v>
      </x:c>
      <x:c r="B6903" s="13" t="str">
        <x:v>GRUPO CASAS BAHIA SA</x:v>
      </x:c>
      <x:c r="C6903" s="16" t="n">
        <x:v>322.1209248525</x:v>
      </x:c>
      <x:c r="D6903" s="13" t="str">
        <x:v>Retail</x:v>
      </x:c>
      <x:c r="E6903" s="13" t="str">
        <x:v>Retail</x:v>
      </x:c>
      <x:c r="F6903" s="13" t="str">
        <x:v>Early Cyclicals</x:v>
      </x:c>
      <x:c r="G6903" s="13" t="str">
        <x:v>grid_cqzdsc3v.xlsx</x:v>
      </x:c>
    </x:row>
    <x:row r="6904">
      <x:c r="A6904" s="15" t="n">
        <x:v>43586</x:v>
      </x:c>
      <x:c r="B6904" s="13" t="str">
        <x:v>LOJAS AMERICANAS SA-PREF</x:v>
      </x:c>
      <x:c r="C6904" s="16" t="n">
        <x:v>788.4136631257</x:v>
      </x:c>
      <x:c r="D6904" s="13" t="str">
        <x:v>Retail</x:v>
      </x:c>
      <x:c r="E6904" s="13" t="str">
        <x:v>Retail</x:v>
      </x:c>
      <x:c r="F6904" s="13" t="str">
        <x:v>Early Cyclicals</x:v>
      </x:c>
      <x:c r="G6904" s="13" t="str">
        <x:v>grid_cqzdsc3v.xlsx</x:v>
      </x:c>
    </x:row>
    <x:row r="6905">
      <x:c r="A6905" s="15" t="n">
        <x:v>43586</x:v>
      </x:c>
      <x:c r="B6905" s="13" t="str">
        <x:v>LOJAS RENNER S.A.</x:v>
      </x:c>
      <x:c r="C6905" s="16" t="n">
        <x:v>1299.4503505137</x:v>
      </x:c>
      <x:c r="D6905" s="13" t="str">
        <x:v>Retail</x:v>
      </x:c>
      <x:c r="E6905" s="13" t="str">
        <x:v>Retail</x:v>
      </x:c>
      <x:c r="F6905" s="13" t="str">
        <x:v>Early Cyclicals</x:v>
      </x:c>
      <x:c r="G6905" s="13" t="str">
        <x:v>grid_cqzdsc3v.xlsx</x:v>
      </x:c>
    </x:row>
    <x:row r="6906">
      <x:c r="A6906" s="15" t="n">
        <x:v>43586</x:v>
      </x:c>
      <x:c r="B6906" s="13" t="str">
        <x:v>MAGAZINE LUIZA SA</x:v>
      </x:c>
      <x:c r="C6906" s="16" t="n">
        <x:v>751.2366034536</x:v>
      </x:c>
      <x:c r="D6906" s="13" t="str">
        <x:v>Retail</x:v>
      </x:c>
      <x:c r="E6906" s="13" t="str">
        <x:v>Retail</x:v>
      </x:c>
      <x:c r="F6906" s="13" t="str">
        <x:v>Early Cyclicals</x:v>
      </x:c>
      <x:c r="G6906" s="13" t="str">
        <x:v>grid_cqzdsc3v.xlsx</x:v>
      </x:c>
    </x:row>
    <x:row r="6907">
      <x:c r="A6907" s="15" t="n">
        <x:v>43586</x:v>
      </x:c>
      <x:c r="B6907" s="13" t="str">
        <x:v>RAIA DROGASIL SA</x:v>
      </x:c>
      <x:c r="C6907" s="16" t="n">
        <x:v>616.2919547104</x:v>
      </x:c>
      <x:c r="D6907" s="13" t="str">
        <x:v>Retail</x:v>
      </x:c>
      <x:c r="E6907" s="13" t="str">
        <x:v>Retail</x:v>
      </x:c>
      <x:c r="F6907" s="13" t="str">
        <x:v>Early Cyclicals</x:v>
      </x:c>
      <x:c r="G6907" s="13" t="str">
        <x:v>grid_cqzdsc3v.xlsx</x:v>
      </x:c>
    </x:row>
    <x:row r="6908">
      <x:c r="A6908" s="15" t="n">
        <x:v>43586</x:v>
      </x:c>
      <x:c r="B6908" s="13" t="str">
        <x:v>CIA SANEAMENTO BASICO DE SP</x:v>
      </x:c>
      <x:c r="C6908" s="16" t="n">
        <x:v>3084.2459922186</x:v>
      </x:c>
      <x:c r="D6908" s="13" t="str">
        <x:v>Sanitation</x:v>
      </x:c>
      <x:c r="E6908" s="13" t="str">
        <x:v>Utilities</x:v>
      </x:c>
      <x:c r="F6908" s="13" t="str">
        <x:v>Defensives</x:v>
      </x:c>
      <x:c r="G6908" s="13" t="str">
        <x:v>grid_cqzdsc3v.xlsx</x:v>
      </x:c>
    </x:row>
    <x:row r="6909">
      <x:c r="A6909" s="15" t="n">
        <x:v>43586</x:v>
      </x:c>
      <x:c r="B6909" s="13" t="str">
        <x:v>SMILES FIDELIDADE SA</x:v>
      </x:c>
      <x:c r="C6909" s="16" t="n">
        <x:v>652.2291451803</x:v>
      </x:c>
      <x:c r="D6909" s="13" t="str">
        <x:v>TMT</x:v>
      </x:c>
      <x:c r="E6909" s="13" t="str">
        <x:v>TMT</x:v>
      </x:c>
      <x:c r="F6909" s="13" t="str">
        <x:v>Early Cyclicals</x:v>
      </x:c>
      <x:c r="G6909" s="13" t="str">
        <x:v>grid_cqzdsc3v.xlsx</x:v>
      </x:c>
    </x:row>
    <x:row r="6910">
      <x:c r="A6910" s="15" t="n">
        <x:v>43586</x:v>
      </x:c>
      <x:c r="B6910" s="13" t="str">
        <x:v>TELEFONICA BRASIL S.A.-PREF</x:v>
      </x:c>
      <x:c r="C6910" s="16" t="n">
        <x:v>5691.5285753006</x:v>
      </x:c>
      <x:c r="D6910" s="13" t="str">
        <x:v>TMT</x:v>
      </x:c>
      <x:c r="E6910" s="13" t="str">
        <x:v>TMT</x:v>
      </x:c>
      <x:c r="F6910" s="13" t="str">
        <x:v>Early Cyclicals</x:v>
      </x:c>
      <x:c r="G6910" s="13" t="str">
        <x:v>grid_cqzdsc3v.xlsx</x:v>
      </x:c>
    </x:row>
    <x:row r="6911">
      <x:c r="A6911" s="15" t="n">
        <x:v>43586</x:v>
      </x:c>
      <x:c r="B6911" s="13" t="str">
        <x:v>TIM SA</x:v>
      </x:c>
      <x:c r="C6911" s="16" t="n">
        <x:v>1990.7287123934</x:v>
      </x:c>
      <x:c r="D6911" s="13" t="str">
        <x:v>TMT</x:v>
      </x:c>
      <x:c r="E6911" s="13" t="str">
        <x:v>TMT</x:v>
      </x:c>
      <x:c r="F6911" s="13" t="str">
        <x:v>Early Cyclicals</x:v>
      </x:c>
      <x:c r="G6911" s="13" t="str">
        <x:v>grid_cqzdsc3v.xlsx</x:v>
      </x:c>
    </x:row>
    <x:row r="6912">
      <x:c r="A6912" s="15" t="n">
        <x:v>43586</x:v>
      </x:c>
      <x:c r="B6912" s="13" t="str">
        <x:v>AZUL SA</x:v>
      </x:c>
      <x:c r="C6912" s="16" t="n">
        <x:v>847.2934644809</x:v>
      </x:c>
      <x:c r="D6912" s="13" t="str">
        <x:v>Transportation</x:v>
      </x:c>
      <x:c r="E6912" s="13" t="str">
        <x:v>Transportation</x:v>
      </x:c>
      <x:c r="F6912" s="13" t="str">
        <x:v>Deep Cyclicals</x:v>
      </x:c>
      <x:c r="G6912" s="13" t="str">
        <x:v>grid_cqzdsc3v.xlsx</x:v>
      </x:c>
    </x:row>
    <x:row r="6913">
      <x:c r="A6913" s="15" t="n">
        <x:v>43586</x:v>
      </x:c>
      <x:c r="B6913" s="13" t="str">
        <x:v>ECORODOVIAS INFRA E LOG SA</x:v>
      </x:c>
      <x:c r="C6913" s="16" t="n">
        <x:v>533.587431694</x:v>
      </x:c>
      <x:c r="D6913" s="13" t="str">
        <x:v>Transportation</x:v>
      </x:c>
      <x:c r="E6913" s="13" t="str">
        <x:v>Transportation</x:v>
      </x:c>
      <x:c r="F6913" s="13" t="str">
        <x:v>Deep Cyclicals</x:v>
      </x:c>
      <x:c r="G6913" s="13" t="str">
        <x:v>grid_cqzdsc3v.xlsx</x:v>
      </x:c>
    </x:row>
    <x:row r="6914">
      <x:c r="A6914" s="15" t="n">
        <x:v>43586</x:v>
      </x:c>
      <x:c r="B6914" s="13" t="str">
        <x:v>GOL LINHAS AEREAS INT SA-PRE</x:v>
      </x:c>
      <x:c r="C6914" s="16" t="n">
        <x:v>513.6379754317</x:v>
      </x:c>
      <x:c r="D6914" s="13" t="str">
        <x:v>Transportation</x:v>
      </x:c>
      <x:c r="E6914" s="13" t="str">
        <x:v>Transportation</x:v>
      </x:c>
      <x:c r="F6914" s="13" t="str">
        <x:v>Deep Cyclicals</x:v>
      </x:c>
      <x:c r="G6914" s="13" t="str">
        <x:v>grid_cqzdsc3v.xlsx</x:v>
      </x:c>
    </x:row>
    <x:row r="6915">
      <x:c r="A6915" s="15" t="n">
        <x:v>43586</x:v>
      </x:c>
      <x:c r="B6915" s="13" t="str">
        <x:v>LOCALIZA RENT A CAR</x:v>
      </x:c>
      <x:c r="C6915" s="16" t="n">
        <x:v>1011.5326541639</x:v>
      </x:c>
      <x:c r="D6915" s="13" t="str">
        <x:v>Transportation</x:v>
      </x:c>
      <x:c r="E6915" s="13" t="str">
        <x:v>Transportation</x:v>
      </x:c>
      <x:c r="F6915" s="13" t="str">
        <x:v>Deep Cyclicals</x:v>
      </x:c>
      <x:c r="G6915" s="13" t="str">
        <x:v>grid_cqzdsc3v.xlsx</x:v>
      </x:c>
    </x:row>
    <x:row r="6916">
      <x:c r="A6916" s="15" t="n">
        <x:v>43586</x:v>
      </x:c>
      <x:c r="B6916" s="13" t="str">
        <x:v>MOTIVA INFRAESTRUTURA DE MOB</x:v>
      </x:c>
      <x:c r="C6916" s="16" t="n">
        <x:v>1940.1221217924</x:v>
      </x:c>
      <x:c r="D6916" s="13" t="str">
        <x:v>Transportation</x:v>
      </x:c>
      <x:c r="E6916" s="13" t="str">
        <x:v>Transportation</x:v>
      </x:c>
      <x:c r="F6916" s="13" t="str">
        <x:v>Deep Cyclicals</x:v>
      </x:c>
      <x:c r="G6916" s="13" t="str">
        <x:v>grid_cqzdsc3v.xlsx</x:v>
      </x:c>
    </x:row>
    <x:row r="6917">
      <x:c r="A6917" s="15" t="n">
        <x:v>43586</x:v>
      </x:c>
      <x:c r="B6917" s="13" t="str">
        <x:v>RUMO SA</x:v>
      </x:c>
      <x:c r="C6917" s="16" t="n">
        <x:v>935.3152587541</x:v>
      </x:c>
      <x:c r="D6917" s="13" t="str">
        <x:v>Transportation</x:v>
      </x:c>
      <x:c r="E6917" s="13" t="str">
        <x:v>Transportation</x:v>
      </x:c>
      <x:c r="F6917" s="13" t="str">
        <x:v>Deep Cyclicals</x:v>
      </x:c>
      <x:c r="G6917" s="13" t="str">
        <x:v>grid_cqzdsc3v.xlsx</x:v>
      </x:c>
    </x:row>
    <x:row r="6918">
      <x:c r="A6918" s="15" t="n">
        <x:v>43586</x:v>
      </x:c>
      <x:c r="B6918" s="13" t="str">
        <x:v>AXIA ENERGIA SA</x:v>
      </x:c>
      <x:c r="C6918" s="16" t="n">
        <x:v>7052.9670742732</x:v>
      </x:c>
      <x:c r="D6918" s="13" t="str">
        <x:v>Utilities &amp; Energy</x:v>
      </x:c>
      <x:c r="E6918" s="13" t="str">
        <x:v>Utilities</x:v>
      </x:c>
      <x:c r="F6918" s="13" t="str">
        <x:v>Defensives</x:v>
      </x:c>
      <x:c r="G6918" s="13" t="str">
        <x:v>grid_cqzdsc3v.xlsx</x:v>
      </x:c>
    </x:row>
    <x:row r="6919">
      <x:c r="A6919" s="15" t="n">
        <x:v>43586</x:v>
      </x:c>
      <x:c r="B6919" s="13" t="str">
        <x:v>AXIA ENERGIA-PR B</x:v>
      </x:c>
      <x:c r="C6919" s="16" t="n">
        <x:v>7052.9670742732</x:v>
      </x:c>
      <x:c r="D6919" s="13" t="str">
        <x:v>Utilities &amp; Energy</x:v>
      </x:c>
      <x:c r="E6919" s="13" t="str">
        <x:v>Utilities</x:v>
      </x:c>
      <x:c r="F6919" s="13" t="str">
        <x:v>Defensives</x:v>
      </x:c>
      <x:c r="G6919" s="13" t="str">
        <x:v>grid_cqzdsc3v.xlsx</x:v>
      </x:c>
    </x:row>
    <x:row r="6920">
      <x:c r="A6920" s="15" t="n">
        <x:v>43586</x:v>
      </x:c>
      <x:c r="B6920" s="13" t="str">
        <x:v>CIA ENERGETICA MINAS GER-PRF</x:v>
      </x:c>
      <x:c r="C6920" s="16" t="n">
        <x:v>2166.1177634973</x:v>
      </x:c>
      <x:c r="D6920" s="13" t="str">
        <x:v>Utilities &amp; Energy</x:v>
      </x:c>
      <x:c r="E6920" s="13" t="str">
        <x:v>Utilities</x:v>
      </x:c>
      <x:c r="F6920" s="13" t="str">
        <x:v>Defensives</x:v>
      </x:c>
      <x:c r="G6920" s="13" t="str">
        <x:v>grid_cqzdsc3v.xlsx</x:v>
      </x:c>
    </x:row>
    <x:row r="6921">
      <x:c r="A6921" s="15" t="n">
        <x:v>43586</x:v>
      </x:c>
      <x:c r="B6921" s="13" t="str">
        <x:v>EDP - ENERGIAS DO BRASIL SA</x:v>
      </x:c>
      <x:c r="C6921" s="16" t="n">
        <x:v>993.8364153005</x:v>
      </x:c>
      <x:c r="D6921" s="13" t="str">
        <x:v>Utilities &amp; Energy</x:v>
      </x:c>
      <x:c r="E6921" s="13" t="str">
        <x:v>Utilities</x:v>
      </x:c>
      <x:c r="F6921" s="13" t="str">
        <x:v>Defensives</x:v>
      </x:c>
      <x:c r="G6921" s="13" t="str">
        <x:v>grid_cqzdsc3v.xlsx</x:v>
      </x:c>
    </x:row>
    <x:row r="6922">
      <x:c r="A6922" s="15" t="n">
        <x:v>43586</x:v>
      </x:c>
      <x:c r="B6922" s="13" t="str">
        <x:v>ENGIE BRASIL ENERGIA SA</x:v>
      </x:c>
      <x:c r="C6922" s="16" t="n">
        <x:v>2587.9180436284</x:v>
      </x:c>
      <x:c r="D6922" s="13" t="str">
        <x:v>Utilities &amp; Energy</x:v>
      </x:c>
      <x:c r="E6922" s="13" t="str">
        <x:v>Utilities</x:v>
      </x:c>
      <x:c r="F6922" s="13" t="str">
        <x:v>Defensives</x:v>
      </x:c>
      <x:c r="G6922" s="13" t="str">
        <x:v>grid_cqzdsc3v.xlsx</x:v>
      </x:c>
    </x:row>
    <x:row r="6923">
      <x:c r="A6923" s="15" t="n">
        <x:v>43586</x:v>
      </x:c>
      <x:c r="B6923" s="13" t="str">
        <x:v>EQUATORIAL SA - ORD</x:v>
      </x:c>
      <x:c r="C6923" s="16" t="n">
        <x:v>918.389699847</x:v>
      </x:c>
      <x:c r="D6923" s="13" t="str">
        <x:v>Utilities &amp; Energy</x:v>
      </x:c>
      <x:c r="E6923" s="13" t="str">
        <x:v>Utilities</x:v>
      </x:c>
      <x:c r="F6923" s="13" t="str">
        <x:v>Defensives</x:v>
      </x:c>
      <x:c r="G6923" s="13" t="str">
        <x:v>grid_cqzdsc3v.xlsx</x:v>
      </x:c>
    </x:row>
    <x:row r="6924">
      <x:c r="A6924" s="15" t="n">
        <x:v>43586</x:v>
      </x:c>
      <x:c r="B6924" s="13" t="str">
        <x:v>TRANSMISSORA ALIANCA DE-UNIT</x:v>
      </x:c>
      <x:c r="C6924" s="16" t="n">
        <x:v>807.0410156066</x:v>
      </x:c>
      <x:c r="D6924" s="13" t="str">
        <x:v>Utilities &amp; Energy</x:v>
      </x:c>
      <x:c r="E6924" s="13" t="str">
        <x:v>Utilities</x:v>
      </x:c>
      <x:c r="F6924" s="13" t="str">
        <x:v>Defensives</x:v>
      </x:c>
      <x:c r="G6924" s="13" t="str">
        <x:v>grid_cqzdsc3v.xlsx</x:v>
      </x:c>
    </x:row>
    <x:row r="6925">
      <x:c r="A6925" s="15" t="n">
        <x:v>43617</x:v>
      </x:c>
      <x:c r="B6925" s="13" t="str">
        <x:v>BANCO BRADESCO S.A.</x:v>
      </x:c>
      <x:c r="C6925" s="16" t="n">
        <x:v>26374.1985238033</x:v>
      </x:c>
      <x:c r="D6925" s="13" t="str">
        <x:v>Banks</x:v>
      </x:c>
      <x:c r="E6925" s="13" t="str">
        <x:v>Banks</x:v>
      </x:c>
      <x:c r="F6925" s="13" t="str">
        <x:v>Financials</x:v>
      </x:c>
      <x:c r="G6925" s="13" t="str">
        <x:v>grid_cqzdsc3v.xlsx</x:v>
      </x:c>
    </x:row>
    <x:row r="6926">
      <x:c r="A6926" s="15" t="n">
        <x:v>43617</x:v>
      </x:c>
      <x:c r="B6926" s="13" t="str">
        <x:v>BANCO BRADESCO SA-PREF</x:v>
      </x:c>
      <x:c r="C6926" s="16" t="n">
        <x:v>26374.1985238033</x:v>
      </x:c>
      <x:c r="D6926" s="13" t="str">
        <x:v>Banks</x:v>
      </x:c>
      <x:c r="E6926" s="13" t="str">
        <x:v>Banks</x:v>
      </x:c>
      <x:c r="F6926" s="13" t="str">
        <x:v>Financials</x:v>
      </x:c>
      <x:c r="G6926" s="13" t="str">
        <x:v>grid_cqzdsc3v.xlsx</x:v>
      </x:c>
    </x:row>
    <x:row r="6927">
      <x:c r="A6927" s="15" t="n">
        <x:v>43617</x:v>
      </x:c>
      <x:c r="B6927" s="13" t="str">
        <x:v>BANCO DO BRASIL S.A.</x:v>
      </x:c>
      <x:c r="C6927" s="16" t="n">
        <x:v>18054.775371541</x:v>
      </x:c>
      <x:c r="D6927" s="13" t="str">
        <x:v>Banks</x:v>
      </x:c>
      <x:c r="E6927" s="13" t="str">
        <x:v>Banks</x:v>
      </x:c>
      <x:c r="F6927" s="13" t="str">
        <x:v>Financials</x:v>
      </x:c>
      <x:c r="G6927" s="13" t="str">
        <x:v>grid_cqzdsc3v.xlsx</x:v>
      </x:c>
    </x:row>
    <x:row r="6928">
      <x:c r="A6928" s="15" t="n">
        <x:v>43617</x:v>
      </x:c>
      <x:c r="B6928" s="13" t="str">
        <x:v>BANCO SANTANDER  BRASIL-UNIT</x:v>
      </x:c>
      <x:c r="C6928" s="16" t="n">
        <x:v>14765.686632918</x:v>
      </x:c>
      <x:c r="D6928" s="13" t="str">
        <x:v>Banks</x:v>
      </x:c>
      <x:c r="E6928" s="13" t="str">
        <x:v>Banks</x:v>
      </x:c>
      <x:c r="F6928" s="13" t="str">
        <x:v>Financials</x:v>
      </x:c>
      <x:c r="G6928" s="13" t="str">
        <x:v>grid_cqzdsc3v.xlsx</x:v>
      </x:c>
    </x:row>
    <x:row r="6929">
      <x:c r="A6929" s="15" t="n">
        <x:v>43617</x:v>
      </x:c>
      <x:c r="B6929" s="13" t="str">
        <x:v>ITAU UNIBANCO HOLDING S-PREF</x:v>
      </x:c>
      <x:c r="C6929" s="16" t="n">
        <x:v>29899.4087700984</x:v>
      </x:c>
      <x:c r="D6929" s="13" t="str">
        <x:v>Banks</x:v>
      </x:c>
      <x:c r="E6929" s="13" t="str">
        <x:v>Banks</x:v>
      </x:c>
      <x:c r="F6929" s="13" t="str">
        <x:v>Financials</x:v>
      </x:c>
      <x:c r="G6929" s="13" t="str">
        <x:v>grid_cqzdsc3v.xlsx</x:v>
      </x:c>
    </x:row>
    <x:row r="6930">
      <x:c r="A6930" s="15" t="n">
        <x:v>43617</x:v>
      </x:c>
      <x:c r="B6930" s="13" t="str">
        <x:v>EMBRAER SA</x:v>
      </x:c>
      <x:c r="C6930" s="16" t="n">
        <x:v>590.7265731148</x:v>
      </x:c>
      <x:c r="D6930" s="13" t="str">
        <x:v>Capital Goods</x:v>
      </x:c>
      <x:c r="E6930" s="13" t="str">
        <x:v>Capital Goods</x:v>
      </x:c>
      <x:c r="F6930" s="13" t="str">
        <x:v>Deep Cyclicals</x:v>
      </x:c>
      <x:c r="G6930" s="13" t="str">
        <x:v>grid_cqzdsc3v.xlsx</x:v>
      </x:c>
    </x:row>
    <x:row r="6931">
      <x:c r="A6931" s="15" t="n">
        <x:v>43617</x:v>
      </x:c>
      <x:c r="B6931" s="13" t="str">
        <x:v>WEG SA</x:v>
      </x:c>
      <x:c r="C6931" s="16" t="n">
        <x:v>1610.9212034098</x:v>
      </x:c>
      <x:c r="D6931" s="13" t="str">
        <x:v>Capital Goods</x:v>
      </x:c>
      <x:c r="E6931" s="13" t="str">
        <x:v>Capital Goods</x:v>
      </x:c>
      <x:c r="F6931" s="13" t="str">
        <x:v>Deep Cyclicals</x:v>
      </x:c>
      <x:c r="G6931" s="13" t="str">
        <x:v>grid_cqzdsc3v.xlsx</x:v>
      </x:c>
    </x:row>
    <x:row r="6932">
      <x:c r="A6932" s="15" t="n">
        <x:v>43617</x:v>
      </x:c>
      <x:c r="B6932" s="13" t="str">
        <x:v>COGNA EDUCACAO</x:v>
      </x:c>
      <x:c r="C6932" s="16" t="n">
        <x:v>1431.2987047869</x:v>
      </x:c>
      <x:c r="D6932" s="13" t="str">
        <x:v>Education</x:v>
      </x:c>
      <x:c r="E6932" s="13" t="str">
        <x:v>Education</x:v>
      </x:c>
      <x:c r="F6932" s="13" t="str">
        <x:v>Early Cyclicals</x:v>
      </x:c>
      <x:c r="G6932" s="13" t="str">
        <x:v>grid_cqzdsc3v.xlsx</x:v>
      </x:c>
    </x:row>
    <x:row r="6933">
      <x:c r="A6933" s="15" t="n">
        <x:v>43617</x:v>
      </x:c>
      <x:c r="B6933" s="13" t="str">
        <x:v>YDUQS PARTICIPACOES SA</x:v>
      </x:c>
      <x:c r="C6933" s="16" t="n">
        <x:v>875.4134462951</x:v>
      </x:c>
      <x:c r="D6933" s="13" t="str">
        <x:v>Education</x:v>
      </x:c>
      <x:c r="E6933" s="13" t="str">
        <x:v>Education</x:v>
      </x:c>
      <x:c r="F6933" s="13" t="str">
        <x:v>Early Cyclicals</x:v>
      </x:c>
      <x:c r="G6933" s="13" t="str">
        <x:v>grid_cqzdsc3v.xlsx</x:v>
      </x:c>
    </x:row>
    <x:row r="6934">
      <x:c r="A6934" s="15" t="n">
        <x:v>43617</x:v>
      </x:c>
      <x:c r="B6934" s="13" t="str">
        <x:v>B3 SA-BRASIL BOLSA BALCAO</x:v>
      </x:c>
      <x:c r="C6934" s="16" t="n">
        <x:v>3228.1185657705</x:v>
      </x:c>
      <x:c r="D6934" s="13" t="str">
        <x:v>Financials Non-Banks</x:v>
      </x:c>
      <x:c r="E6934" s="13" t="str">
        <x:v>Financials Non-Banks</x:v>
      </x:c>
      <x:c r="F6934" s="13" t="str">
        <x:v>Financials</x:v>
      </x:c>
      <x:c r="G6934" s="13" t="str">
        <x:v>grid_cqzdsc3v.xlsx</x:v>
      </x:c>
    </x:row>
    <x:row r="6935">
      <x:c r="A6935" s="15" t="n">
        <x:v>43617</x:v>
      </x:c>
      <x:c r="B6935" s="13" t="str">
        <x:v>BB SEGURIDADE PARTICIPACOES</x:v>
      </x:c>
      <x:c r="C6935" s="16" t="n">
        <x:v>4156.6739976393</x:v>
      </x:c>
      <x:c r="D6935" s="13" t="str">
        <x:v>Financials Non-Banks</x:v>
      </x:c>
      <x:c r="E6935" s="13" t="str">
        <x:v>Financials Non-Banks</x:v>
      </x:c>
      <x:c r="F6935" s="13" t="str">
        <x:v>Financials</x:v>
      </x:c>
      <x:c r="G6935" s="13" t="str">
        <x:v>grid_cqzdsc3v.xlsx</x:v>
      </x:c>
    </x:row>
    <x:row r="6936">
      <x:c r="A6936" s="15" t="n">
        <x:v>43617</x:v>
      </x:c>
      <x:c r="B6936" s="13" t="str">
        <x:v>CIELO SA - INSTITUICAO DE PA</x:v>
      </x:c>
      <x:c r="C6936" s="16" t="n">
        <x:v>2078.7193117377</x:v>
      </x:c>
      <x:c r="D6936" s="13" t="str">
        <x:v>Financials Non-Banks</x:v>
      </x:c>
      <x:c r="E6936" s="13" t="str">
        <x:v>Financials Non-Banks</x:v>
      </x:c>
      <x:c r="F6936" s="13" t="str">
        <x:v>Financials</x:v>
      </x:c>
      <x:c r="G6936" s="13" t="str">
        <x:v>grid_cqzdsc3v.xlsx</x:v>
      </x:c>
    </x:row>
    <x:row r="6937">
      <x:c r="A6937" s="15" t="n">
        <x:v>43617</x:v>
      </x:c>
      <x:c r="B6937" s="13" t="str">
        <x:v>IRB BRASIL RESSEGUROS SA</x:v>
      </x:c>
      <x:c r="C6937" s="16" t="n">
        <x:v>1766.1094840656</x:v>
      </x:c>
      <x:c r="D6937" s="13" t="str">
        <x:v>Financials Non-Banks</x:v>
      </x:c>
      <x:c r="E6937" s="13" t="str">
        <x:v>Financials Non-Banks</x:v>
      </x:c>
      <x:c r="F6937" s="13" t="str">
        <x:v>Financials</x:v>
      </x:c>
      <x:c r="G6937" s="13" t="str">
        <x:v>grid_cqzdsc3v.xlsx</x:v>
      </x:c>
    </x:row>
    <x:row r="6938">
      <x:c r="A6938" s="15" t="n">
        <x:v>43617</x:v>
      </x:c>
      <x:c r="B6938" s="13" t="str">
        <x:v>ITAUSA SA</x:v>
      </x:c>
      <x:c r="C6938" s="16" t="n">
        <x:v>10222.270312918</x:v>
      </x:c>
      <x:c r="D6938" s="13" t="str">
        <x:v>Financials Non-Banks</x:v>
      </x:c>
      <x:c r="E6938" s="13" t="str">
        <x:v>Financials Non-Banks</x:v>
      </x:c>
      <x:c r="F6938" s="13" t="str">
        <x:v>Financials</x:v>
      </x:c>
      <x:c r="G6938" s="13" t="str">
        <x:v>grid_cqzdsc3v.xlsx</x:v>
      </x:c>
    </x:row>
    <x:row r="6939">
      <x:c r="A6939" s="15" t="n">
        <x:v>43617</x:v>
      </x:c>
      <x:c r="B6939" s="13" t="str">
        <x:v>AMBEV SA</x:v>
      </x:c>
      <x:c r="C6939" s="16" t="n">
        <x:v>13024.421149377</x:v>
      </x:c>
      <x:c r="D6939" s="13" t="str">
        <x:v>Food &amp; Beverages</x:v>
      </x:c>
      <x:c r="E6939" s="13" t="str">
        <x:v>Agri, Food &amp; Beverages</x:v>
      </x:c>
      <x:c r="F6939" s="13" t="str">
        <x:v>Defensives</x:v>
      </x:c>
      <x:c r="G6939" s="13" t="str">
        <x:v>grid_cqzdsc3v.xlsx</x:v>
      </x:c>
    </x:row>
    <x:row r="6940">
      <x:c r="A6940" s="15" t="n">
        <x:v>43617</x:v>
      </x:c>
      <x:c r="B6940" s="13" t="str">
        <x:v>BRF SA</x:v>
      </x:c>
      <x:c r="C6940" s="16" t="n">
        <x:v>375.87064</x:v>
      </x:c>
      <x:c r="D6940" s="13" t="str">
        <x:v>Food &amp; Beverages</x:v>
      </x:c>
      <x:c r="E6940" s="13" t="str">
        <x:v>Agri, Food &amp; Beverages</x:v>
      </x:c>
      <x:c r="F6940" s="13" t="str">
        <x:v>Defensives</x:v>
      </x:c>
      <x:c r="G6940" s="13" t="str">
        <x:v>grid_cqzdsc3v.xlsx</x:v>
      </x:c>
    </x:row>
    <x:row r="6941">
      <x:c r="A6941" s="15" t="n">
        <x:v>43617</x:v>
      </x:c>
      <x:c r="B6941" s="13" t="str">
        <x:v>JBS SA</x:v>
      </x:c>
      <x:c r="C6941" s="16" t="n">
        <x:v>5726.1995478033</x:v>
      </x:c>
      <x:c r="D6941" s="13" t="str">
        <x:v>Food &amp; Beverages</x:v>
      </x:c>
      <x:c r="E6941" s="13" t="str">
        <x:v>Agri, Food &amp; Beverages</x:v>
      </x:c>
      <x:c r="F6941" s="13" t="str">
        <x:v>Defensives</x:v>
      </x:c>
      <x:c r="G6941" s="13" t="str">
        <x:v>grid_cqzdsc3v.xlsx</x:v>
      </x:c>
    </x:row>
    <x:row r="6942">
      <x:c r="A6942" s="15" t="n">
        <x:v>43617</x:v>
      </x:c>
      <x:c r="B6942" s="13" t="str">
        <x:v>MBRF GLOBAL FOODS COMPANY SA</x:v>
      </x:c>
      <x:c r="C6942" s="16" t="n">
        <x:v>380.373602623</x:v>
      </x:c>
      <x:c r="D6942" s="13" t="str">
        <x:v>Food &amp; Beverages</x:v>
      </x:c>
      <x:c r="E6942" s="13" t="str">
        <x:v>Agri, Food &amp; Beverages</x:v>
      </x:c>
      <x:c r="F6942" s="13" t="str">
        <x:v>Defensives</x:v>
      </x:c>
      <x:c r="G6942" s="13" t="str">
        <x:v>grid_cqzdsc3v.xlsx</x:v>
      </x:c>
    </x:row>
    <x:row r="6943">
      <x:c r="A6943" s="15" t="n">
        <x:v>43617</x:v>
      </x:c>
      <x:c r="B6943" s="13" t="str">
        <x:v>FLEURY SA</x:v>
      </x:c>
      <x:c r="C6943" s="16" t="n">
        <x:v>386.9139304918</x:v>
      </x:c>
      <x:c r="D6943" s="13" t="str">
        <x:v>Health Care</x:v>
      </x:c>
      <x:c r="E6943" s="13" t="str">
        <x:v>Health Care</x:v>
      </x:c>
      <x:c r="F6943" s="13" t="str">
        <x:v>Defensives</x:v>
      </x:c>
      <x:c r="G6943" s="13" t="str">
        <x:v>grid_cqzdsc3v.xlsx</x:v>
      </x:c>
    </x:row>
    <x:row r="6944">
      <x:c r="A6944" s="15" t="n">
        <x:v>43617</x:v>
      </x:c>
      <x:c r="B6944" s="13" t="str">
        <x:v>HYPERA SA</x:v>
      </x:c>
      <x:c r="C6944" s="16" t="n">
        <x:v>1220.6529342951</x:v>
      </x:c>
      <x:c r="D6944" s="13" t="str">
        <x:v>Health Care</x:v>
      </x:c>
      <x:c r="E6944" s="13" t="str">
        <x:v>Health Care</x:v>
      </x:c>
      <x:c r="F6944" s="13" t="str">
        <x:v>Defensives</x:v>
      </x:c>
      <x:c r="G6944" s="13" t="str">
        <x:v>grid_cqzdsc3v.xlsx</x:v>
      </x:c>
    </x:row>
    <x:row r="6945">
      <x:c r="A6945" s="15" t="n">
        <x:v>43617</x:v>
      </x:c>
      <x:c r="B6945" s="13" t="str">
        <x:v>QUALICORP CONS E CORR SEG SA</x:v>
      </x:c>
      <x:c r="C6945" s="16" t="n">
        <x:v>531.4683074098</x:v>
      </x:c>
      <x:c r="D6945" s="13" t="str">
        <x:v>Health Care</x:v>
      </x:c>
      <x:c r="E6945" s="13" t="str">
        <x:v>Health Care</x:v>
      </x:c>
      <x:c r="F6945" s="13" t="str">
        <x:v>Defensives</x:v>
      </x:c>
      <x:c r="G6945" s="13" t="str">
        <x:v>grid_cqzdsc3v.xlsx</x:v>
      </x:c>
    </x:row>
    <x:row r="6946">
      <x:c r="A6946" s="15" t="n">
        <x:v>43617</x:v>
      </x:c>
      <x:c r="B6946" s="13" t="str">
        <x:v>CYRELA BRAZIL REALTY SA EMP</x:v>
      </x:c>
      <x:c r="C6946" s="16" t="n">
        <x:v>402.7316763279</x:v>
      </x:c>
      <x:c r="D6946" s="13" t="str">
        <x:v>Homebuilders</x:v>
      </x:c>
      <x:c r="E6946" s="13" t="str">
        <x:v>Real Estate</x:v>
      </x:c>
      <x:c r="F6946" s="13" t="str">
        <x:v>Early Cyclicals</x:v>
      </x:c>
      <x:c r="G6946" s="13" t="str">
        <x:v>grid_cqzdsc3v.xlsx</x:v>
      </x:c>
    </x:row>
    <x:row r="6947">
      <x:c r="A6947" s="15" t="n">
        <x:v>43617</x:v>
      </x:c>
      <x:c r="B6947" s="13" t="str">
        <x:v>MRV ENGENHARIA</x:v>
      </x:c>
      <x:c r="C6947" s="16" t="n">
        <x:v>829.5819792787</x:v>
      </x:c>
      <x:c r="D6947" s="13" t="str">
        <x:v>Homebuilders</x:v>
      </x:c>
      <x:c r="E6947" s="13" t="str">
        <x:v>Real Estate</x:v>
      </x:c>
      <x:c r="F6947" s="13" t="str">
        <x:v>Early Cyclicals</x:v>
      </x:c>
      <x:c r="G6947" s="13" t="str">
        <x:v>grid_cqzdsc3v.xlsx</x:v>
      </x:c>
    </x:row>
    <x:row r="6948">
      <x:c r="A6948" s="15" t="n">
        <x:v>43617</x:v>
      </x:c>
      <x:c r="B6948" s="13" t="str">
        <x:v>BR MALLS PARTICIPACOES SA</x:v>
      </x:c>
      <x:c r="C6948" s="16" t="n">
        <x:v>642.4757917377</x:v>
      </x:c>
      <x:c r="D6948" s="13" t="str">
        <x:v>Income Properties</x:v>
      </x:c>
      <x:c r="E6948" s="13" t="str">
        <x:v>Real Estate</x:v>
      </x:c>
      <x:c r="F6948" s="13" t="str">
        <x:v>Early Cyclicals</x:v>
      </x:c>
      <x:c r="G6948" s="13" t="str">
        <x:v>grid_cqzdsc3v.xlsx</x:v>
      </x:c>
    </x:row>
    <x:row r="6949">
      <x:c r="A6949" s="15" t="n">
        <x:v>43617</x:v>
      </x:c>
      <x:c r="B6949" s="13" t="str">
        <x:v>IGUATEMI EMP DE SHOPPING</x:v>
      </x:c>
      <x:c r="C6949" s="16" t="n">
        <x:v>300.4264099672</x:v>
      </x:c>
      <x:c r="D6949" s="13" t="str">
        <x:v>Income Properties</x:v>
      </x:c>
      <x:c r="E6949" s="13" t="str">
        <x:v>Real Estate</x:v>
      </x:c>
      <x:c r="F6949" s="13" t="str">
        <x:v>Early Cyclicals</x:v>
      </x:c>
      <x:c r="G6949" s="13" t="str">
        <x:v>grid_cqzdsc3v.xlsx</x:v>
      </x:c>
    </x:row>
    <x:row r="6950">
      <x:c r="A6950" s="15" t="n">
        <x:v>43617</x:v>
      </x:c>
      <x:c r="B6950" s="13" t="str">
        <x:v>MULTIPLAN EMPREENDIMENTOS</x:v>
      </x:c>
      <x:c r="C6950" s="16" t="n">
        <x:v>528.5370691148</x:v>
      </x:c>
      <x:c r="D6950" s="13" t="str">
        <x:v>Income Properties</x:v>
      </x:c>
      <x:c r="E6950" s="13" t="str">
        <x:v>Real Estate</x:v>
      </x:c>
      <x:c r="F6950" s="13" t="str">
        <x:v>Early Cyclicals</x:v>
      </x:c>
      <x:c r="G6950" s="13" t="str">
        <x:v>grid_cqzdsc3v.xlsx</x:v>
      </x:c>
    </x:row>
    <x:row r="6951">
      <x:c r="A6951" s="15" t="n">
        <x:v>43617</x:v>
      </x:c>
      <x:c r="B6951" s="13" t="str">
        <x:v>BRADESPAR SA -PREF</x:v>
      </x:c>
      <x:c r="C6951" s="16" t="n">
        <x:v>2364.0327554098</x:v>
      </x:c>
      <x:c r="D6951" s="13" t="str">
        <x:v>Metals &amp; Mining</x:v>
      </x:c>
      <x:c r="E6951" s="13" t="str">
        <x:v>Metals &amp; Mining</x:v>
      </x:c>
      <x:c r="F6951" s="13" t="str">
        <x:v>Deep Cyclicals</x:v>
      </x:c>
      <x:c r="G6951" s="13" t="str">
        <x:v>grid_cqzdsc3v.xlsx</x:v>
      </x:c>
    </x:row>
    <x:row r="6952">
      <x:c r="A6952" s="15" t="n">
        <x:v>43617</x:v>
      </x:c>
      <x:c r="B6952" s="13" t="str">
        <x:v>CIA SIDERURGICA NACIONAL SA</x:v>
      </x:c>
      <x:c r="C6952" s="16" t="n">
        <x:v>2677.4392949508</x:v>
      </x:c>
      <x:c r="D6952" s="13" t="str">
        <x:v>Metals &amp; Mining</x:v>
      </x:c>
      <x:c r="E6952" s="13" t="str">
        <x:v>Metals &amp; Mining</x:v>
      </x:c>
      <x:c r="F6952" s="13" t="str">
        <x:v>Deep Cyclicals</x:v>
      </x:c>
      <x:c r="G6952" s="13" t="str">
        <x:v>grid_cqzdsc3v.xlsx</x:v>
      </x:c>
    </x:row>
    <x:row r="6953">
      <x:c r="A6953" s="15" t="n">
        <x:v>43617</x:v>
      </x:c>
      <x:c r="B6953" s="13" t="str">
        <x:v>GERDAU SA-PREF</x:v>
      </x:c>
      <x:c r="C6953" s="16" t="n">
        <x:v>2533.0757707541</x:v>
      </x:c>
      <x:c r="D6953" s="13" t="str">
        <x:v>Metals &amp; Mining</x:v>
      </x:c>
      <x:c r="E6953" s="13" t="str">
        <x:v>Metals &amp; Mining</x:v>
      </x:c>
      <x:c r="F6953" s="13" t="str">
        <x:v>Deep Cyclicals</x:v>
      </x:c>
      <x:c r="G6953" s="13" t="str">
        <x:v>grid_cqzdsc3v.xlsx</x:v>
      </x:c>
    </x:row>
    <x:row r="6954">
      <x:c r="A6954" s="15" t="n">
        <x:v>43617</x:v>
      </x:c>
      <x:c r="B6954" s="13" t="str">
        <x:v>USINAS SIDER MINAS GER-PF A</x:v>
      </x:c>
      <x:c r="C6954" s="16" t="n">
        <x:v>787.1328723934</x:v>
      </x:c>
      <x:c r="D6954" s="13" t="str">
        <x:v>Metals &amp; Mining</x:v>
      </x:c>
      <x:c r="E6954" s="13" t="str">
        <x:v>Metals &amp; Mining</x:v>
      </x:c>
      <x:c r="F6954" s="13" t="str">
        <x:v>Deep Cyclicals</x:v>
      </x:c>
      <x:c r="G6954" s="13" t="str">
        <x:v>grid_cqzdsc3v.xlsx</x:v>
      </x:c>
    </x:row>
    <x:row r="6955">
      <x:c r="A6955" s="15" t="n">
        <x:v>43617</x:v>
      </x:c>
      <x:c r="B6955" s="13" t="str">
        <x:v>VALE SA</x:v>
      </x:c>
      <x:c r="C6955" s="16" t="n">
        <x:v>32794.2652978361</x:v>
      </x:c>
      <x:c r="D6955" s="13" t="str">
        <x:v>Metals &amp; Mining</x:v>
      </x:c>
      <x:c r="E6955" s="13" t="str">
        <x:v>Metals &amp; Mining</x:v>
      </x:c>
      <x:c r="F6955" s="13" t="str">
        <x:v>Deep Cyclicals</x:v>
      </x:c>
      <x:c r="G6955" s="13" t="str">
        <x:v>grid_cqzdsc3v.xlsx</x:v>
      </x:c>
    </x:row>
    <x:row r="6956">
      <x:c r="A6956" s="15" t="n">
        <x:v>43617</x:v>
      </x:c>
      <x:c r="B6956" s="13" t="str">
        <x:v>BRASKEM SA-PREF A</x:v>
      </x:c>
      <x:c r="C6956" s="16" t="n">
        <x:v>1521.7831071475</x:v>
      </x:c>
      <x:c r="D6956" s="13" t="str">
        <x:v>Oil, Gas &amp; Petrochemicals</x:v>
      </x:c>
      <x:c r="E6956" s="13" t="str">
        <x:v>Oil, Gas &amp; Petrochemicals</x:v>
      </x:c>
      <x:c r="F6956" s="13" t="str">
        <x:v>Deep Cyclicals</x:v>
      </x:c>
      <x:c r="G6956" s="13" t="str">
        <x:v>grid_cqzdsc3v.xlsx</x:v>
      </x:c>
    </x:row>
    <x:row r="6957">
      <x:c r="A6957" s="15" t="n">
        <x:v>43617</x:v>
      </x:c>
      <x:c r="B6957" s="13" t="str">
        <x:v>COSAN SA</x:v>
      </x:c>
      <x:c r="C6957" s="16" t="n">
        <x:v>1777.4983931803</x:v>
      </x:c>
      <x:c r="D6957" s="13" t="str">
        <x:v>Oil, Gas &amp; Petrochemicals</x:v>
      </x:c>
      <x:c r="E6957" s="13" t="str">
        <x:v>Oil, Gas &amp; Petrochemicals</x:v>
      </x:c>
      <x:c r="F6957" s="13" t="str">
        <x:v>Deep Cyclicals</x:v>
      </x:c>
      <x:c r="G6957" s="13" t="str">
        <x:v>grid_cqzdsc3v.xlsx</x:v>
      </x:c>
    </x:row>
    <x:row r="6958">
      <x:c r="A6958" s="15" t="n">
        <x:v>43617</x:v>
      </x:c>
      <x:c r="B6958" s="13" t="str">
        <x:v>PETROBRAS - PETROLEO BRAS</x:v>
      </x:c>
      <x:c r="C6958" s="16" t="n">
        <x:v>41076.0062405246</x:v>
      </x:c>
      <x:c r="D6958" s="13" t="str">
        <x:v>Oil, Gas &amp; Petrochemicals</x:v>
      </x:c>
      <x:c r="E6958" s="13" t="str">
        <x:v>Oil, Gas &amp; Petrochemicals</x:v>
      </x:c>
      <x:c r="F6958" s="13" t="str">
        <x:v>Deep Cyclicals</x:v>
      </x:c>
      <x:c r="G6958" s="13" t="str">
        <x:v>grid_cqzdsc3v.xlsx</x:v>
      </x:c>
    </x:row>
    <x:row r="6959">
      <x:c r="A6959" s="15" t="n">
        <x:v>43617</x:v>
      </x:c>
      <x:c r="B6959" s="13" t="str">
        <x:v>ULTRAPAR PARTICIPACOES SA</x:v>
      </x:c>
      <x:c r="C6959" s="16" t="n">
        <x:v>1348.5680010492</x:v>
      </x:c>
      <x:c r="D6959" s="13" t="str">
        <x:v>Oil, Gas &amp; Petrochemicals</x:v>
      </x:c>
      <x:c r="E6959" s="13" t="str">
        <x:v>Oil, Gas &amp; Petrochemicals</x:v>
      </x:c>
      <x:c r="F6959" s="13" t="str">
        <x:v>Deep Cyclicals</x:v>
      </x:c>
      <x:c r="G6959" s="13" t="str">
        <x:v>grid_cqzdsc3v.xlsx</x:v>
      </x:c>
    </x:row>
    <x:row r="6960">
      <x:c r="A6960" s="15" t="n">
        <x:v>43617</x:v>
      </x:c>
      <x:c r="B6960" s="13" t="str">
        <x:v>VIBRA ENERGIA SA</x:v>
      </x:c>
      <x:c r="C6960" s="16" t="n">
        <x:v>2454.1218916721</x:v>
      </x:c>
      <x:c r="D6960" s="13" t="str">
        <x:v>Oil, Gas &amp; Petrochemicals</x:v>
      </x:c>
      <x:c r="E6960" s="13" t="str">
        <x:v>Oil, Gas &amp; Petrochemicals</x:v>
      </x:c>
      <x:c r="F6960" s="13" t="str">
        <x:v>Deep Cyclicals</x:v>
      </x:c>
      <x:c r="G6960" s="13" t="str">
        <x:v>grid_cqzdsc3v.xlsx</x:v>
      </x:c>
    </x:row>
    <x:row r="6961">
      <x:c r="A6961" s="15" t="n">
        <x:v>43617</x:v>
      </x:c>
      <x:c r="B6961" s="13" t="str">
        <x:v>KLABIN SA - UNIT</x:v>
      </x:c>
      <x:c r="C6961" s="16" t="n">
        <x:v>962.3403572459</x:v>
      </x:c>
      <x:c r="D6961" s="13" t="str">
        <x:v>Pulp &amp; Paper</x:v>
      </x:c>
      <x:c r="E6961" s="13" t="str">
        <x:v>Pulp &amp; Paper</x:v>
      </x:c>
      <x:c r="F6961" s="13" t="str">
        <x:v>Deep Cyclicals</x:v>
      </x:c>
      <x:c r="G6961" s="13" t="str">
        <x:v>grid_cqzdsc3v.xlsx</x:v>
      </x:c>
    </x:row>
    <x:row r="6962">
      <x:c r="A6962" s="15" t="n">
        <x:v>43617</x:v>
      </x:c>
      <x:c r="B6962" s="13" t="str">
        <x:v>SUZANO SA</x:v>
      </x:c>
      <x:c r="C6962" s="16" t="n">
        <x:v>4478.943668459</x:v>
      </x:c>
      <x:c r="D6962" s="13" t="str">
        <x:v>Pulp &amp; Paper</x:v>
      </x:c>
      <x:c r="E6962" s="13" t="str">
        <x:v>Pulp &amp; Paper</x:v>
      </x:c>
      <x:c r="F6962" s="13" t="str">
        <x:v>Deep Cyclicals</x:v>
      </x:c>
      <x:c r="G6962" s="13" t="str">
        <x:v>grid_cqzdsc3v.xlsx</x:v>
      </x:c>
    </x:row>
    <x:row r="6963">
      <x:c r="A6963" s="15" t="n">
        <x:v>43617</x:v>
      </x:c>
      <x:c r="B6963" s="13" t="str">
        <x:v>AMERICANAS SA</x:v>
      </x:c>
      <x:c r="C6963" s="16" t="n">
        <x:v>-217.7087664262</x:v>
      </x:c>
      <x:c r="D6963" s="13" t="str">
        <x:v>Retail</x:v>
      </x:c>
      <x:c r="E6963" s="13" t="str">
        <x:v>Retail</x:v>
      </x:c>
      <x:c r="F6963" s="13" t="str">
        <x:v>Early Cyclicals</x:v>
      </x:c>
      <x:c r="G6963" s="13" t="str">
        <x:v>grid_cqzdsc3v.xlsx</x:v>
      </x:c>
    </x:row>
    <x:row r="6964">
      <x:c r="A6964" s="15" t="n">
        <x:v>43617</x:v>
      </x:c>
      <x:c r="B6964" s="13" t="str">
        <x:v>CIA BRASILEIRA DE DIS-PREF</x:v>
      </x:c>
      <x:c r="C6964" s="16" t="n">
        <x:v>1350.0983774426</x:v>
      </x:c>
      <x:c r="D6964" s="13" t="str">
        <x:v>Retail</x:v>
      </x:c>
      <x:c r="E6964" s="13" t="str">
        <x:v>Retail</x:v>
      </x:c>
      <x:c r="F6964" s="13" t="str">
        <x:v>Early Cyclicals</x:v>
      </x:c>
      <x:c r="G6964" s="13" t="str">
        <x:v>grid_cqzdsc3v.xlsx</x:v>
      </x:c>
    </x:row>
    <x:row r="6965">
      <x:c r="A6965" s="15" t="n">
        <x:v>43617</x:v>
      </x:c>
      <x:c r="B6965" s="13" t="str">
        <x:v>CVC BRASIL OPERADORA E AGENC</x:v>
      </x:c>
      <x:c r="C6965" s="16" t="n">
        <x:v>451.5030735738</x:v>
      </x:c>
      <x:c r="D6965" s="13" t="str">
        <x:v>Retail</x:v>
      </x:c>
      <x:c r="E6965" s="13" t="str">
        <x:v>Retail</x:v>
      </x:c>
      <x:c r="F6965" s="13" t="str">
        <x:v>Early Cyclicals</x:v>
      </x:c>
      <x:c r="G6965" s="13" t="str">
        <x:v>grid_cqzdsc3v.xlsx</x:v>
      </x:c>
    </x:row>
    <x:row r="6966">
      <x:c r="A6966" s="15" t="n">
        <x:v>43617</x:v>
      </x:c>
      <x:c r="B6966" s="13" t="str">
        <x:v>GRUPO CASAS BAHIA SA</x:v>
      </x:c>
      <x:c r="C6966" s="16" t="n">
        <x:v>345.03216</x:v>
      </x:c>
      <x:c r="D6966" s="13" t="str">
        <x:v>Retail</x:v>
      </x:c>
      <x:c r="E6966" s="13" t="str">
        <x:v>Retail</x:v>
      </x:c>
      <x:c r="F6966" s="13" t="str">
        <x:v>Early Cyclicals</x:v>
      </x:c>
      <x:c r="G6966" s="13" t="str">
        <x:v>grid_cqzdsc3v.xlsx</x:v>
      </x:c>
    </x:row>
    <x:row r="6967">
      <x:c r="A6967" s="15" t="n">
        <x:v>43617</x:v>
      </x:c>
      <x:c r="B6967" s="13" t="str">
        <x:v>LOJAS AMERICANAS SA-PREF</x:v>
      </x:c>
      <x:c r="C6967" s="16" t="n">
        <x:v>774.8830573115</x:v>
      </x:c>
      <x:c r="D6967" s="13" t="str">
        <x:v>Retail</x:v>
      </x:c>
      <x:c r="E6967" s="13" t="str">
        <x:v>Retail</x:v>
      </x:c>
      <x:c r="F6967" s="13" t="str">
        <x:v>Early Cyclicals</x:v>
      </x:c>
      <x:c r="G6967" s="13" t="str">
        <x:v>grid_cqzdsc3v.xlsx</x:v>
      </x:c>
    </x:row>
    <x:row r="6968">
      <x:c r="A6968" s="15" t="n">
        <x:v>43617</x:v>
      </x:c>
      <x:c r="B6968" s="13" t="str">
        <x:v>LOJAS RENNER S.A.</x:v>
      </x:c>
      <x:c r="C6968" s="16" t="n">
        <x:v>1321.3606798688</x:v>
      </x:c>
      <x:c r="D6968" s="13" t="str">
        <x:v>Retail</x:v>
      </x:c>
      <x:c r="E6968" s="13" t="str">
        <x:v>Retail</x:v>
      </x:c>
      <x:c r="F6968" s="13" t="str">
        <x:v>Early Cyclicals</x:v>
      </x:c>
      <x:c r="G6968" s="13" t="str">
        <x:v>grid_cqzdsc3v.xlsx</x:v>
      </x:c>
    </x:row>
    <x:row r="6969">
      <x:c r="A6969" s="15" t="n">
        <x:v>43617</x:v>
      </x:c>
      <x:c r="B6969" s="13" t="str">
        <x:v>MAGAZINE LUIZA SA</x:v>
      </x:c>
      <x:c r="C6969" s="16" t="n">
        <x:v>758.0225332459</x:v>
      </x:c>
      <x:c r="D6969" s="13" t="str">
        <x:v>Retail</x:v>
      </x:c>
      <x:c r="E6969" s="13" t="str">
        <x:v>Retail</x:v>
      </x:c>
      <x:c r="F6969" s="13" t="str">
        <x:v>Early Cyclicals</x:v>
      </x:c>
      <x:c r="G6969" s="13" t="str">
        <x:v>grid_cqzdsc3v.xlsx</x:v>
      </x:c>
    </x:row>
    <x:row r="6970">
      <x:c r="A6970" s="15" t="n">
        <x:v>43617</x:v>
      </x:c>
      <x:c r="B6970" s="13" t="str">
        <x:v>RAIA DROGASIL SA</x:v>
      </x:c>
      <x:c r="C6970" s="16" t="n">
        <x:v>608.2969925246</x:v>
      </x:c>
      <x:c r="D6970" s="13" t="str">
        <x:v>Retail</x:v>
      </x:c>
      <x:c r="E6970" s="13" t="str">
        <x:v>Retail</x:v>
      </x:c>
      <x:c r="F6970" s="13" t="str">
        <x:v>Early Cyclicals</x:v>
      </x:c>
      <x:c r="G6970" s="13" t="str">
        <x:v>grid_cqzdsc3v.xlsx</x:v>
      </x:c>
    </x:row>
    <x:row r="6971">
      <x:c r="A6971" s="15" t="n">
        <x:v>43617</x:v>
      </x:c>
      <x:c r="B6971" s="13" t="str">
        <x:v>CIA SANEAMENTO BASICO DE SP</x:v>
      </x:c>
      <x:c r="C6971" s="16" t="n">
        <x:v>3062.2624020984</x:v>
      </x:c>
      <x:c r="D6971" s="13" t="str">
        <x:v>Sanitation</x:v>
      </x:c>
      <x:c r="E6971" s="13" t="str">
        <x:v>Utilities</x:v>
      </x:c>
      <x:c r="F6971" s="13" t="str">
        <x:v>Defensives</x:v>
      </x:c>
      <x:c r="G6971" s="13" t="str">
        <x:v>grid_cqzdsc3v.xlsx</x:v>
      </x:c>
    </x:row>
    <x:row r="6972">
      <x:c r="A6972" s="15" t="n">
        <x:v>43617</x:v>
      </x:c>
      <x:c r="B6972" s="13" t="str">
        <x:v>SMILES FIDELIDADE SA</x:v>
      </x:c>
      <x:c r="C6972" s="16" t="n">
        <x:v>649.7652007869</x:v>
      </x:c>
      <x:c r="D6972" s="13" t="str">
        <x:v>TMT</x:v>
      </x:c>
      <x:c r="E6972" s="13" t="str">
        <x:v>TMT</x:v>
      </x:c>
      <x:c r="F6972" s="13" t="str">
        <x:v>Early Cyclicals</x:v>
      </x:c>
      <x:c r="G6972" s="13" t="str">
        <x:v>grid_cqzdsc3v.xlsx</x:v>
      </x:c>
    </x:row>
    <x:row r="6973">
      <x:c r="A6973" s="15" t="n">
        <x:v>43617</x:v>
      </x:c>
      <x:c r="B6973" s="13" t="str">
        <x:v>TELEFONICA BRASIL S.A.-PREF</x:v>
      </x:c>
      <x:c r="C6973" s="16" t="n">
        <x:v>5757.8703737705</x:v>
      </x:c>
      <x:c r="D6973" s="13" t="str">
        <x:v>TMT</x:v>
      </x:c>
      <x:c r="E6973" s="13" t="str">
        <x:v>TMT</x:v>
      </x:c>
      <x:c r="F6973" s="13" t="str">
        <x:v>Early Cyclicals</x:v>
      </x:c>
      <x:c r="G6973" s="13" t="str">
        <x:v>grid_cqzdsc3v.xlsx</x:v>
      </x:c>
    </x:row>
    <x:row r="6974">
      <x:c r="A6974" s="15" t="n">
        <x:v>43617</x:v>
      </x:c>
      <x:c r="B6974" s="13" t="str">
        <x:v>TIM SA</x:v>
      </x:c>
      <x:c r="C6974" s="16" t="n">
        <x:v>1708.1193358688</x:v>
      </x:c>
      <x:c r="D6974" s="13" t="str">
        <x:v>TMT</x:v>
      </x:c>
      <x:c r="E6974" s="13" t="str">
        <x:v>TMT</x:v>
      </x:c>
      <x:c r="F6974" s="13" t="str">
        <x:v>Early Cyclicals</x:v>
      </x:c>
      <x:c r="G6974" s="13" t="str">
        <x:v>grid_cqzdsc3v.xlsx</x:v>
      </x:c>
    </x:row>
    <x:row r="6975">
      <x:c r="A6975" s="15" t="n">
        <x:v>43617</x:v>
      </x:c>
      <x:c r="B6975" s="13" t="str">
        <x:v>AZUL SA</x:v>
      </x:c>
      <x:c r="C6975" s="16" t="n">
        <x:v>910.9327548852</x:v>
      </x:c>
      <x:c r="D6975" s="13" t="str">
        <x:v>Transportation</x:v>
      </x:c>
      <x:c r="E6975" s="13" t="str">
        <x:v>Transportation</x:v>
      </x:c>
      <x:c r="F6975" s="13" t="str">
        <x:v>Deep Cyclicals</x:v>
      </x:c>
      <x:c r="G6975" s="13" t="str">
        <x:v>grid_cqzdsc3v.xlsx</x:v>
      </x:c>
    </x:row>
    <x:row r="6976">
      <x:c r="A6976" s="15" t="n">
        <x:v>43617</x:v>
      </x:c>
      <x:c r="B6976" s="13" t="str">
        <x:v>ECORODOVIAS INFRA E LOG SA</x:v>
      </x:c>
      <x:c r="C6976" s="16" t="n">
        <x:v>551.7035252459</x:v>
      </x:c>
      <x:c r="D6976" s="13" t="str">
        <x:v>Transportation</x:v>
      </x:c>
      <x:c r="E6976" s="13" t="str">
        <x:v>Transportation</x:v>
      </x:c>
      <x:c r="F6976" s="13" t="str">
        <x:v>Deep Cyclicals</x:v>
      </x:c>
      <x:c r="G6976" s="13" t="str">
        <x:v>grid_cqzdsc3v.xlsx</x:v>
      </x:c>
    </x:row>
    <x:row r="6977">
      <x:c r="A6977" s="15" t="n">
        <x:v>43617</x:v>
      </x:c>
      <x:c r="B6977" s="13" t="str">
        <x:v>GOL LINHAS AEREAS INT SA-PRE</x:v>
      </x:c>
      <x:c r="C6977" s="16" t="n">
        <x:v>626.2387137049</x:v>
      </x:c>
      <x:c r="D6977" s="13" t="str">
        <x:v>Transportation</x:v>
      </x:c>
      <x:c r="E6977" s="13" t="str">
        <x:v>Transportation</x:v>
      </x:c>
      <x:c r="F6977" s="13" t="str">
        <x:v>Deep Cyclicals</x:v>
      </x:c>
      <x:c r="G6977" s="13" t="str">
        <x:v>grid_cqzdsc3v.xlsx</x:v>
      </x:c>
    </x:row>
    <x:row r="6978">
      <x:c r="A6978" s="15" t="n">
        <x:v>43617</x:v>
      </x:c>
      <x:c r="B6978" s="13" t="str">
        <x:v>LOCALIZA RENT A CAR</x:v>
      </x:c>
      <x:c r="C6978" s="16" t="n">
        <x:v>1038.8225773115</x:v>
      </x:c>
      <x:c r="D6978" s="13" t="str">
        <x:v>Transportation</x:v>
      </x:c>
      <x:c r="E6978" s="13" t="str">
        <x:v>Transportation</x:v>
      </x:c>
      <x:c r="F6978" s="13" t="str">
        <x:v>Deep Cyclicals</x:v>
      </x:c>
      <x:c r="G6978" s="13" t="str">
        <x:v>grid_cqzdsc3v.xlsx</x:v>
      </x:c>
    </x:row>
    <x:row r="6979">
      <x:c r="A6979" s="15" t="n">
        <x:v>43617</x:v>
      </x:c>
      <x:c r="B6979" s="13" t="str">
        <x:v>MOTIVA INFRAESTRUTURA DE MOB</x:v>
      </x:c>
      <x:c r="C6979" s="16" t="n">
        <x:v>2037.0535596066</x:v>
      </x:c>
      <x:c r="D6979" s="13" t="str">
        <x:v>Transportation</x:v>
      </x:c>
      <x:c r="E6979" s="13" t="str">
        <x:v>Transportation</x:v>
      </x:c>
      <x:c r="F6979" s="13" t="str">
        <x:v>Deep Cyclicals</x:v>
      </x:c>
      <x:c r="G6979" s="13" t="str">
        <x:v>grid_cqzdsc3v.xlsx</x:v>
      </x:c>
    </x:row>
    <x:row r="6980">
      <x:c r="A6980" s="15" t="n">
        <x:v>43617</x:v>
      </x:c>
      <x:c r="B6980" s="13" t="str">
        <x:v>RUMO SA</x:v>
      </x:c>
      <x:c r="C6980" s="16" t="n">
        <x:v>948.8430699016</x:v>
      </x:c>
      <x:c r="D6980" s="13" t="str">
        <x:v>Transportation</x:v>
      </x:c>
      <x:c r="E6980" s="13" t="str">
        <x:v>Transportation</x:v>
      </x:c>
      <x:c r="F6980" s="13" t="str">
        <x:v>Deep Cyclicals</x:v>
      </x:c>
      <x:c r="G6980" s="13" t="str">
        <x:v>grid_cqzdsc3v.xlsx</x:v>
      </x:c>
    </x:row>
    <x:row r="6981">
      <x:c r="A6981" s="15" t="n">
        <x:v>43617</x:v>
      </x:c>
      <x:c r="B6981" s="13" t="str">
        <x:v>AXIA ENERGIA SA</x:v>
      </x:c>
      <x:c r="C6981" s="16" t="n">
        <x:v>7249.6720660984</x:v>
      </x:c>
      <x:c r="D6981" s="13" t="str">
        <x:v>Utilities &amp; Energy</x:v>
      </x:c>
      <x:c r="E6981" s="13" t="str">
        <x:v>Utilities</x:v>
      </x:c>
      <x:c r="F6981" s="13" t="str">
        <x:v>Defensives</x:v>
      </x:c>
      <x:c r="G6981" s="13" t="str">
        <x:v>grid_cqzdsc3v.xlsx</x:v>
      </x:c>
    </x:row>
    <x:row r="6982">
      <x:c r="A6982" s="15" t="n">
        <x:v>43617</x:v>
      </x:c>
      <x:c r="B6982" s="13" t="str">
        <x:v>AXIA ENERGIA-PR B</x:v>
      </x:c>
      <x:c r="C6982" s="16" t="n">
        <x:v>7249.6720660984</x:v>
      </x:c>
      <x:c r="D6982" s="13" t="str">
        <x:v>Utilities &amp; Energy</x:v>
      </x:c>
      <x:c r="E6982" s="13" t="str">
        <x:v>Utilities</x:v>
      </x:c>
      <x:c r="F6982" s="13" t="str">
        <x:v>Defensives</x:v>
      </x:c>
      <x:c r="G6982" s="13" t="str">
        <x:v>grid_cqzdsc3v.xlsx</x:v>
      </x:c>
    </x:row>
    <x:row r="6983">
      <x:c r="A6983" s="15" t="n">
        <x:v>43617</x:v>
      </x:c>
      <x:c r="B6983" s="13" t="str">
        <x:v>CIA ENERGETICA MINAS GER-PRF</x:v>
      </x:c>
      <x:c r="C6983" s="16" t="n">
        <x:v>2147.2253628852</x:v>
      </x:c>
      <x:c r="D6983" s="13" t="str">
        <x:v>Utilities &amp; Energy</x:v>
      </x:c>
      <x:c r="E6983" s="13" t="str">
        <x:v>Utilities</x:v>
      </x:c>
      <x:c r="F6983" s="13" t="str">
        <x:v>Defensives</x:v>
      </x:c>
      <x:c r="G6983" s="13" t="str">
        <x:v>grid_cqzdsc3v.xlsx</x:v>
      </x:c>
    </x:row>
    <x:row r="6984">
      <x:c r="A6984" s="15" t="n">
        <x:v>43617</x:v>
      </x:c>
      <x:c r="B6984" s="13" t="str">
        <x:v>EDP - ENERGIAS DO BRASIL SA</x:v>
      </x:c>
      <x:c r="C6984" s="16" t="n">
        <x:v>982.5619137049</x:v>
      </x:c>
      <x:c r="D6984" s="13" t="str">
        <x:v>Utilities &amp; Energy</x:v>
      </x:c>
      <x:c r="E6984" s="13" t="str">
        <x:v>Utilities</x:v>
      </x:c>
      <x:c r="F6984" s="13" t="str">
        <x:v>Defensives</x:v>
      </x:c>
      <x:c r="G6984" s="13" t="str">
        <x:v>grid_cqzdsc3v.xlsx</x:v>
      </x:c>
    </x:row>
    <x:row r="6985">
      <x:c r="A6985" s="15" t="n">
        <x:v>43617</x:v>
      </x:c>
      <x:c r="B6985" s="13" t="str">
        <x:v>ENGIE BRASIL ENERGIA SA</x:v>
      </x:c>
      <x:c r="C6985" s="16" t="n">
        <x:v>2645.6147472787</x:v>
      </x:c>
      <x:c r="D6985" s="13" t="str">
        <x:v>Utilities &amp; Energy</x:v>
      </x:c>
      <x:c r="E6985" s="13" t="str">
        <x:v>Utilities</x:v>
      </x:c>
      <x:c r="F6985" s="13" t="str">
        <x:v>Defensives</x:v>
      </x:c>
      <x:c r="G6985" s="13" t="str">
        <x:v>grid_cqzdsc3v.xlsx</x:v>
      </x:c>
    </x:row>
    <x:row r="6986">
      <x:c r="A6986" s="15" t="n">
        <x:v>43617</x:v>
      </x:c>
      <x:c r="B6986" s="13" t="str">
        <x:v>EQUATORIAL SA - ORD</x:v>
      </x:c>
      <x:c r="C6986" s="16" t="n">
        <x:v>936.0420941639</x:v>
      </x:c>
      <x:c r="D6986" s="13" t="str">
        <x:v>Utilities &amp; Energy</x:v>
      </x:c>
      <x:c r="E6986" s="13" t="str">
        <x:v>Utilities</x:v>
      </x:c>
      <x:c r="F6986" s="13" t="str">
        <x:v>Defensives</x:v>
      </x:c>
      <x:c r="G6986" s="13" t="str">
        <x:v>grid_cqzdsc3v.xlsx</x:v>
      </x:c>
    </x:row>
    <x:row r="6987">
      <x:c r="A6987" s="15" t="n">
        <x:v>43617</x:v>
      </x:c>
      <x:c r="B6987" s="13" t="str">
        <x:v>TRANSMISSORA ALIANCA DE-UNIT</x:v>
      </x:c>
      <x:c r="C6987" s="16" t="n">
        <x:v>812.9639344262</x:v>
      </x:c>
      <x:c r="D6987" s="13" t="str">
        <x:v>Utilities &amp; Energy</x:v>
      </x:c>
      <x:c r="E6987" s="13" t="str">
        <x:v>Utilities</x:v>
      </x:c>
      <x:c r="F6987" s="13" t="str">
        <x:v>Defensives</x:v>
      </x:c>
      <x:c r="G6987" s="13" t="str">
        <x:v>grid_cqzdsc3v.xlsx</x:v>
      </x:c>
    </x:row>
    <x:row r="6988">
      <x:c r="A6988" s="15" t="n">
        <x:v>43647</x:v>
      </x:c>
      <x:c r="B6988" s="13" t="str">
        <x:v>BANCO BRADESCO S.A.</x:v>
      </x:c>
      <x:c r="C6988" s="16" t="n">
        <x:v>26319.4506827541</x:v>
      </x:c>
      <x:c r="D6988" s="13" t="str">
        <x:v>Banks</x:v>
      </x:c>
      <x:c r="E6988" s="13" t="str">
        <x:v>Banks</x:v>
      </x:c>
      <x:c r="F6988" s="13" t="str">
        <x:v>Financials</x:v>
      </x:c>
      <x:c r="G6988" s="13" t="str">
        <x:v>grid_cqzdsc3v.xlsx</x:v>
      </x:c>
    </x:row>
    <x:row r="6989">
      <x:c r="A6989" s="15" t="n">
        <x:v>43647</x:v>
      </x:c>
      <x:c r="B6989" s="13" t="str">
        <x:v>BANCO BRADESCO SA-PREF</x:v>
      </x:c>
      <x:c r="C6989" s="16" t="n">
        <x:v>26319.4506827541</x:v>
      </x:c>
      <x:c r="D6989" s="13" t="str">
        <x:v>Banks</x:v>
      </x:c>
      <x:c r="E6989" s="13" t="str">
        <x:v>Banks</x:v>
      </x:c>
      <x:c r="F6989" s="13" t="str">
        <x:v>Financials</x:v>
      </x:c>
      <x:c r="G6989" s="13" t="str">
        <x:v>grid_cqzdsc3v.xlsx</x:v>
      </x:c>
    </x:row>
    <x:row r="6990">
      <x:c r="A6990" s="15" t="n">
        <x:v>43647</x:v>
      </x:c>
      <x:c r="B6990" s="13" t="str">
        <x:v>BANCO DO BRASIL S.A.</x:v>
      </x:c>
      <x:c r="C6990" s="16" t="n">
        <x:v>18264.5198898361</x:v>
      </x:c>
      <x:c r="D6990" s="13" t="str">
        <x:v>Banks</x:v>
      </x:c>
      <x:c r="E6990" s="13" t="str">
        <x:v>Banks</x:v>
      </x:c>
      <x:c r="F6990" s="13" t="str">
        <x:v>Financials</x:v>
      </x:c>
      <x:c r="G6990" s="13" t="str">
        <x:v>grid_cqzdsc3v.xlsx</x:v>
      </x:c>
    </x:row>
    <x:row r="6991">
      <x:c r="A6991" s="15" t="n">
        <x:v>43647</x:v>
      </x:c>
      <x:c r="B6991" s="13" t="str">
        <x:v>BANCO SANTANDER  BRASIL-UNIT</x:v>
      </x:c>
      <x:c r="C6991" s="16" t="n">
        <x:v>14848.5641736393</x:v>
      </x:c>
      <x:c r="D6991" s="13" t="str">
        <x:v>Banks</x:v>
      </x:c>
      <x:c r="E6991" s="13" t="str">
        <x:v>Banks</x:v>
      </x:c>
      <x:c r="F6991" s="13" t="str">
        <x:v>Financials</x:v>
      </x:c>
      <x:c r="G6991" s="13" t="str">
        <x:v>grid_cqzdsc3v.xlsx</x:v>
      </x:c>
    </x:row>
    <x:row r="6992">
      <x:c r="A6992" s="15" t="n">
        <x:v>43647</x:v>
      </x:c>
      <x:c r="B6992" s="13" t="str">
        <x:v>ITAU UNIBANCO HOLDING S-PREF</x:v>
      </x:c>
      <x:c r="C6992" s="16" t="n">
        <x:v>29270.6077377049</x:v>
      </x:c>
      <x:c r="D6992" s="13" t="str">
        <x:v>Banks</x:v>
      </x:c>
      <x:c r="E6992" s="13" t="str">
        <x:v>Banks</x:v>
      </x:c>
      <x:c r="F6992" s="13" t="str">
        <x:v>Financials</x:v>
      </x:c>
      <x:c r="G6992" s="13" t="str">
        <x:v>grid_cqzdsc3v.xlsx</x:v>
      </x:c>
    </x:row>
    <x:row r="6993">
      <x:c r="A6993" s="15" t="n">
        <x:v>43647</x:v>
      </x:c>
      <x:c r="B6993" s="13" t="str">
        <x:v>EMBRAER SA</x:v>
      </x:c>
      <x:c r="C6993" s="16" t="n">
        <x:v>634.7688338361</x:v>
      </x:c>
      <x:c r="D6993" s="13" t="str">
        <x:v>Capital Goods</x:v>
      </x:c>
      <x:c r="E6993" s="13" t="str">
        <x:v>Capital Goods</x:v>
      </x:c>
      <x:c r="F6993" s="13" t="str">
        <x:v>Deep Cyclicals</x:v>
      </x:c>
      <x:c r="G6993" s="13" t="str">
        <x:v>grid_cqzdsc3v.xlsx</x:v>
      </x:c>
    </x:row>
    <x:row r="6994">
      <x:c r="A6994" s="15" t="n">
        <x:v>43647</x:v>
      </x:c>
      <x:c r="B6994" s="13" t="str">
        <x:v>WEG SA</x:v>
      </x:c>
      <x:c r="C6994" s="16" t="n">
        <x:v>1662.999936</x:v>
      </x:c>
      <x:c r="D6994" s="13" t="str">
        <x:v>Capital Goods</x:v>
      </x:c>
      <x:c r="E6994" s="13" t="str">
        <x:v>Capital Goods</x:v>
      </x:c>
      <x:c r="F6994" s="13" t="str">
        <x:v>Deep Cyclicals</x:v>
      </x:c>
      <x:c r="G6994" s="13" t="str">
        <x:v>grid_cqzdsc3v.xlsx</x:v>
      </x:c>
    </x:row>
    <x:row r="6995">
      <x:c r="A6995" s="15" t="n">
        <x:v>43647</x:v>
      </x:c>
      <x:c r="B6995" s="13" t="str">
        <x:v>COGNA EDUCACAO</x:v>
      </x:c>
      <x:c r="C6995" s="16" t="n">
        <x:v>1413.2324563934</x:v>
      </x:c>
      <x:c r="D6995" s="13" t="str">
        <x:v>Education</x:v>
      </x:c>
      <x:c r="E6995" s="13" t="str">
        <x:v>Education</x:v>
      </x:c>
      <x:c r="F6995" s="13" t="str">
        <x:v>Early Cyclicals</x:v>
      </x:c>
      <x:c r="G6995" s="13" t="str">
        <x:v>grid_cqzdsc3v.xlsx</x:v>
      </x:c>
    </x:row>
    <x:row r="6996">
      <x:c r="A6996" s="15" t="n">
        <x:v>43647</x:v>
      </x:c>
      <x:c r="B6996" s="13" t="str">
        <x:v>YDUQS PARTICIPACOES SA</x:v>
      </x:c>
      <x:c r="C6996" s="16" t="n">
        <x:v>837.4926384262</x:v>
      </x:c>
      <x:c r="D6996" s="13" t="str">
        <x:v>Education</x:v>
      </x:c>
      <x:c r="E6996" s="13" t="str">
        <x:v>Education</x:v>
      </x:c>
      <x:c r="F6996" s="13" t="str">
        <x:v>Early Cyclicals</x:v>
      </x:c>
      <x:c r="G6996" s="13" t="str">
        <x:v>grid_cqzdsc3v.xlsx</x:v>
      </x:c>
    </x:row>
    <x:row r="6997">
      <x:c r="A6997" s="15" t="n">
        <x:v>43647</x:v>
      </x:c>
      <x:c r="B6997" s="13" t="str">
        <x:v>B3 SA-BRASIL BOLSA BALCAO</x:v>
      </x:c>
      <x:c r="C6997" s="16" t="n">
        <x:v>3314.0319937049</x:v>
      </x:c>
      <x:c r="D6997" s="13" t="str">
        <x:v>Financials Non-Banks</x:v>
      </x:c>
      <x:c r="E6997" s="13" t="str">
        <x:v>Financials Non-Banks</x:v>
      </x:c>
      <x:c r="F6997" s="13" t="str">
        <x:v>Financials</x:v>
      </x:c>
      <x:c r="G6997" s="13" t="str">
        <x:v>grid_cqzdsc3v.xlsx</x:v>
      </x:c>
    </x:row>
    <x:row r="6998">
      <x:c r="A6998" s="15" t="n">
        <x:v>43647</x:v>
      </x:c>
      <x:c r="B6998" s="13" t="str">
        <x:v>BB SEGURIDADE PARTICIPACOES</x:v>
      </x:c>
      <x:c r="C6998" s="16" t="n">
        <x:v>4189.3007276066</x:v>
      </x:c>
      <x:c r="D6998" s="13" t="str">
        <x:v>Financials Non-Banks</x:v>
      </x:c>
      <x:c r="E6998" s="13" t="str">
        <x:v>Financials Non-Banks</x:v>
      </x:c>
      <x:c r="F6998" s="13" t="str">
        <x:v>Financials</x:v>
      </x:c>
      <x:c r="G6998" s="13" t="str">
        <x:v>grid_cqzdsc3v.xlsx</x:v>
      </x:c>
    </x:row>
    <x:row r="6999">
      <x:c r="A6999" s="15" t="n">
        <x:v>43647</x:v>
      </x:c>
      <x:c r="B6999" s="13" t="str">
        <x:v>CIELO SA - INSTITUICAO DE PA</x:v>
      </x:c>
      <x:c r="C6999" s="16" t="n">
        <x:v>1864.516299541</x:v>
      </x:c>
      <x:c r="D6999" s="13" t="str">
        <x:v>Financials Non-Banks</x:v>
      </x:c>
      <x:c r="E6999" s="13" t="str">
        <x:v>Financials Non-Banks</x:v>
      </x:c>
      <x:c r="F6999" s="13" t="str">
        <x:v>Financials</x:v>
      </x:c>
      <x:c r="G6999" s="13" t="str">
        <x:v>grid_cqzdsc3v.xlsx</x:v>
      </x:c>
    </x:row>
    <x:row r="7000">
      <x:c r="A7000" s="15" t="n">
        <x:v>43647</x:v>
      </x:c>
      <x:c r="B7000" s="13" t="str">
        <x:v>IRB BRASIL RESSEGUROS SA</x:v>
      </x:c>
      <x:c r="C7000" s="16" t="n">
        <x:v>1789.7098953443</x:v>
      </x:c>
      <x:c r="D7000" s="13" t="str">
        <x:v>Financials Non-Banks</x:v>
      </x:c>
      <x:c r="E7000" s="13" t="str">
        <x:v>Financials Non-Banks</x:v>
      </x:c>
      <x:c r="F7000" s="13" t="str">
        <x:v>Financials</x:v>
      </x:c>
      <x:c r="G7000" s="13" t="str">
        <x:v>grid_cqzdsc3v.xlsx</x:v>
      </x:c>
    </x:row>
    <x:row r="7001">
      <x:c r="A7001" s="15" t="n">
        <x:v>43647</x:v>
      </x:c>
      <x:c r="B7001" s="13" t="str">
        <x:v>ITAUSA SA</x:v>
      </x:c>
      <x:c r="C7001" s="16" t="n">
        <x:v>10485.9921122623</x:v>
      </x:c>
      <x:c r="D7001" s="13" t="str">
        <x:v>Financials Non-Banks</x:v>
      </x:c>
      <x:c r="E7001" s="13" t="str">
        <x:v>Financials Non-Banks</x:v>
      </x:c>
      <x:c r="F7001" s="13" t="str">
        <x:v>Financials</x:v>
      </x:c>
      <x:c r="G7001" s="13" t="str">
        <x:v>grid_cqzdsc3v.xlsx</x:v>
      </x:c>
    </x:row>
    <x:row r="7002">
      <x:c r="A7002" s="15" t="n">
        <x:v>43647</x:v>
      </x:c>
      <x:c r="B7002" s="13" t="str">
        <x:v>AMBEV SA</x:v>
      </x:c>
      <x:c r="C7002" s="16" t="n">
        <x:v>13187.3291834754</x:v>
      </x:c>
      <x:c r="D7002" s="13" t="str">
        <x:v>Food &amp; Beverages</x:v>
      </x:c>
      <x:c r="E7002" s="13" t="str">
        <x:v>Agri, Food &amp; Beverages</x:v>
      </x:c>
      <x:c r="F7002" s="13" t="str">
        <x:v>Defensives</x:v>
      </x:c>
      <x:c r="G7002" s="13" t="str">
        <x:v>grid_cqzdsc3v.xlsx</x:v>
      </x:c>
    </x:row>
    <x:row r="7003">
      <x:c r="A7003" s="15" t="n">
        <x:v>43647</x:v>
      </x:c>
      <x:c r="B7003" s="13" t="str">
        <x:v>BRF SA</x:v>
      </x:c>
      <x:c r="C7003" s="16" t="n">
        <x:v>400.093133377</x:v>
      </x:c>
      <x:c r="D7003" s="13" t="str">
        <x:v>Food &amp; Beverages</x:v>
      </x:c>
      <x:c r="E7003" s="13" t="str">
        <x:v>Agri, Food &amp; Beverages</x:v>
      </x:c>
      <x:c r="F7003" s="13" t="str">
        <x:v>Defensives</x:v>
      </x:c>
      <x:c r="G7003" s="13" t="str">
        <x:v>grid_cqzdsc3v.xlsx</x:v>
      </x:c>
    </x:row>
    <x:row r="7004">
      <x:c r="A7004" s="15" t="n">
        <x:v>43647</x:v>
      </x:c>
      <x:c r="B7004" s="13" t="str">
        <x:v>JBS SA</x:v>
      </x:c>
      <x:c r="C7004" s="16" t="n">
        <x:v>5943.0609458361</x:v>
      </x:c>
      <x:c r="D7004" s="13" t="str">
        <x:v>Food &amp; Beverages</x:v>
      </x:c>
      <x:c r="E7004" s="13" t="str">
        <x:v>Agri, Food &amp; Beverages</x:v>
      </x:c>
      <x:c r="F7004" s="13" t="str">
        <x:v>Defensives</x:v>
      </x:c>
      <x:c r="G7004" s="13" t="str">
        <x:v>grid_cqzdsc3v.xlsx</x:v>
      </x:c>
    </x:row>
    <x:row r="7005">
      <x:c r="A7005" s="15" t="n">
        <x:v>43647</x:v>
      </x:c>
      <x:c r="B7005" s="13" t="str">
        <x:v>MBRF GLOBAL FOODS COMPANY SA</x:v>
      </x:c>
      <x:c r="C7005" s="16" t="n">
        <x:v>435.1906872131</x:v>
      </x:c>
      <x:c r="D7005" s="13" t="str">
        <x:v>Food &amp; Beverages</x:v>
      </x:c>
      <x:c r="E7005" s="13" t="str">
        <x:v>Agri, Food &amp; Beverages</x:v>
      </x:c>
      <x:c r="F7005" s="13" t="str">
        <x:v>Defensives</x:v>
      </x:c>
      <x:c r="G7005" s="13" t="str">
        <x:v>grid_cqzdsc3v.xlsx</x:v>
      </x:c>
    </x:row>
    <x:row r="7006">
      <x:c r="A7006" s="15" t="n">
        <x:v>43647</x:v>
      </x:c>
      <x:c r="B7006" s="13" t="str">
        <x:v>FLEURY SA</x:v>
      </x:c>
      <x:c r="C7006" s="16" t="n">
        <x:v>391.7356464262</x:v>
      </x:c>
      <x:c r="D7006" s="13" t="str">
        <x:v>Health Care</x:v>
      </x:c>
      <x:c r="E7006" s="13" t="str">
        <x:v>Health Care</x:v>
      </x:c>
      <x:c r="F7006" s="13" t="str">
        <x:v>Defensives</x:v>
      </x:c>
      <x:c r="G7006" s="13" t="str">
        <x:v>grid_cqzdsc3v.xlsx</x:v>
      </x:c>
    </x:row>
    <x:row r="7007">
      <x:c r="A7007" s="15" t="n">
        <x:v>43647</x:v>
      </x:c>
      <x:c r="B7007" s="13" t="str">
        <x:v>HYPERA SA</x:v>
      </x:c>
      <x:c r="C7007" s="16" t="n">
        <x:v>1225.3809940984</x:v>
      </x:c>
      <x:c r="D7007" s="13" t="str">
        <x:v>Health Care</x:v>
      </x:c>
      <x:c r="E7007" s="13" t="str">
        <x:v>Health Care</x:v>
      </x:c>
      <x:c r="F7007" s="13" t="str">
        <x:v>Defensives</x:v>
      </x:c>
      <x:c r="G7007" s="13" t="str">
        <x:v>grid_cqzdsc3v.xlsx</x:v>
      </x:c>
    </x:row>
    <x:row r="7008">
      <x:c r="A7008" s="15" t="n">
        <x:v>43647</x:v>
      </x:c>
      <x:c r="B7008" s="13" t="str">
        <x:v>QUALICORP CONS E CORR SEG SA</x:v>
      </x:c>
      <x:c r="C7008" s="16" t="n">
        <x:v>535.1506114098</x:v>
      </x:c>
      <x:c r="D7008" s="13" t="str">
        <x:v>Health Care</x:v>
      </x:c>
      <x:c r="E7008" s="13" t="str">
        <x:v>Health Care</x:v>
      </x:c>
      <x:c r="F7008" s="13" t="str">
        <x:v>Defensives</x:v>
      </x:c>
      <x:c r="G7008" s="13" t="str">
        <x:v>grid_cqzdsc3v.xlsx</x:v>
      </x:c>
    </x:row>
    <x:row r="7009">
      <x:c r="A7009" s="15" t="n">
        <x:v>43647</x:v>
      </x:c>
      <x:c r="B7009" s="13" t="str">
        <x:v>CYRELA BRAZIL REALTY SA EMP</x:v>
      </x:c>
      <x:c r="C7009" s="16" t="n">
        <x:v>416.2807310164</x:v>
      </x:c>
      <x:c r="D7009" s="13" t="str">
        <x:v>Homebuilders</x:v>
      </x:c>
      <x:c r="E7009" s="13" t="str">
        <x:v>Real Estate</x:v>
      </x:c>
      <x:c r="F7009" s="13" t="str">
        <x:v>Early Cyclicals</x:v>
      </x:c>
      <x:c r="G7009" s="13" t="str">
        <x:v>grid_cqzdsc3v.xlsx</x:v>
      </x:c>
    </x:row>
    <x:row r="7010">
      <x:c r="A7010" s="15" t="n">
        <x:v>43647</x:v>
      </x:c>
      <x:c r="B7010" s="13" t="str">
        <x:v>MRV ENGENHARIA</x:v>
      </x:c>
      <x:c r="C7010" s="16" t="n">
        <x:v>836.7305348197</x:v>
      </x:c>
      <x:c r="D7010" s="13" t="str">
        <x:v>Homebuilders</x:v>
      </x:c>
      <x:c r="E7010" s="13" t="str">
        <x:v>Real Estate</x:v>
      </x:c>
      <x:c r="F7010" s="13" t="str">
        <x:v>Early Cyclicals</x:v>
      </x:c>
      <x:c r="G7010" s="13" t="str">
        <x:v>grid_cqzdsc3v.xlsx</x:v>
      </x:c>
    </x:row>
    <x:row r="7011">
      <x:c r="A7011" s="15" t="n">
        <x:v>43647</x:v>
      </x:c>
      <x:c r="B7011" s="13" t="str">
        <x:v>BR MALLS PARTICIPACOES SA</x:v>
      </x:c>
      <x:c r="C7011" s="16" t="n">
        <x:v>652.2853602623</x:v>
      </x:c>
      <x:c r="D7011" s="13" t="str">
        <x:v>Income Properties</x:v>
      </x:c>
      <x:c r="E7011" s="13" t="str">
        <x:v>Real Estate</x:v>
      </x:c>
      <x:c r="F7011" s="13" t="str">
        <x:v>Early Cyclicals</x:v>
      </x:c>
      <x:c r="G7011" s="13" t="str">
        <x:v>grid_cqzdsc3v.xlsx</x:v>
      </x:c>
    </x:row>
    <x:row r="7012">
      <x:c r="A7012" s="15" t="n">
        <x:v>43647</x:v>
      </x:c>
      <x:c r="B7012" s="13" t="str">
        <x:v>IGUATEMI EMP DE SHOPPING</x:v>
      </x:c>
      <x:c r="C7012" s="16" t="n">
        <x:v>300.3496708197</x:v>
      </x:c>
      <x:c r="D7012" s="13" t="str">
        <x:v>Income Properties</x:v>
      </x:c>
      <x:c r="E7012" s="13" t="str">
        <x:v>Real Estate</x:v>
      </x:c>
      <x:c r="F7012" s="13" t="str">
        <x:v>Early Cyclicals</x:v>
      </x:c>
      <x:c r="G7012" s="13" t="str">
        <x:v>grid_cqzdsc3v.xlsx</x:v>
      </x:c>
    </x:row>
    <x:row r="7013">
      <x:c r="A7013" s="15" t="n">
        <x:v>43647</x:v>
      </x:c>
      <x:c r="B7013" s="13" t="str">
        <x:v>MULTIPLAN EMPREENDIMENTOS</x:v>
      </x:c>
      <x:c r="C7013" s="16" t="n">
        <x:v>526.5126145574</x:v>
      </x:c>
      <x:c r="D7013" s="13" t="str">
        <x:v>Income Properties</x:v>
      </x:c>
      <x:c r="E7013" s="13" t="str">
        <x:v>Real Estate</x:v>
      </x:c>
      <x:c r="F7013" s="13" t="str">
        <x:v>Early Cyclicals</x:v>
      </x:c>
      <x:c r="G7013" s="13" t="str">
        <x:v>grid_cqzdsc3v.xlsx</x:v>
      </x:c>
    </x:row>
    <x:row r="7014">
      <x:c r="A7014" s="15" t="n">
        <x:v>43647</x:v>
      </x:c>
      <x:c r="B7014" s="13" t="str">
        <x:v>BRADESPAR SA -PREF</x:v>
      </x:c>
      <x:c r="C7014" s="16" t="n">
        <x:v>2199.1638704262</x:v>
      </x:c>
      <x:c r="D7014" s="13" t="str">
        <x:v>Metals &amp; Mining</x:v>
      </x:c>
      <x:c r="E7014" s="13" t="str">
        <x:v>Metals &amp; Mining</x:v>
      </x:c>
      <x:c r="F7014" s="13" t="str">
        <x:v>Deep Cyclicals</x:v>
      </x:c>
      <x:c r="G7014" s="13" t="str">
        <x:v>grid_cqzdsc3v.xlsx</x:v>
      </x:c>
    </x:row>
    <x:row r="7015">
      <x:c r="A7015" s="15" t="n">
        <x:v>43647</x:v>
      </x:c>
      <x:c r="B7015" s="13" t="str">
        <x:v>CIA SIDERURGICA NACIONAL SA</x:v>
      </x:c>
      <x:c r="C7015" s="16" t="n">
        <x:v>2766.4451273443</x:v>
      </x:c>
      <x:c r="D7015" s="13" t="str">
        <x:v>Metals &amp; Mining</x:v>
      </x:c>
      <x:c r="E7015" s="13" t="str">
        <x:v>Metals &amp; Mining</x:v>
      </x:c>
      <x:c r="F7015" s="13" t="str">
        <x:v>Deep Cyclicals</x:v>
      </x:c>
      <x:c r="G7015" s="13" t="str">
        <x:v>grid_cqzdsc3v.xlsx</x:v>
      </x:c>
    </x:row>
    <x:row r="7016">
      <x:c r="A7016" s="15" t="n">
        <x:v>43647</x:v>
      </x:c>
      <x:c r="B7016" s="13" t="str">
        <x:v>GERDAU SA-PREF</x:v>
      </x:c>
      <x:c r="C7016" s="16" t="n">
        <x:v>2540.5986476066</x:v>
      </x:c>
      <x:c r="D7016" s="13" t="str">
        <x:v>Metals &amp; Mining</x:v>
      </x:c>
      <x:c r="E7016" s="13" t="str">
        <x:v>Metals &amp; Mining</x:v>
      </x:c>
      <x:c r="F7016" s="13" t="str">
        <x:v>Deep Cyclicals</x:v>
      </x:c>
      <x:c r="G7016" s="13" t="str">
        <x:v>grid_cqzdsc3v.xlsx</x:v>
      </x:c>
    </x:row>
    <x:row r="7017">
      <x:c r="A7017" s="15" t="n">
        <x:v>43647</x:v>
      </x:c>
      <x:c r="B7017" s="13" t="str">
        <x:v>USINAS SIDER MINAS GER-PF A</x:v>
      </x:c>
      <x:c r="C7017" s="16" t="n">
        <x:v>805.6831076721</x:v>
      </x:c>
      <x:c r="D7017" s="13" t="str">
        <x:v>Metals &amp; Mining</x:v>
      </x:c>
      <x:c r="E7017" s="13" t="str">
        <x:v>Metals &amp; Mining</x:v>
      </x:c>
      <x:c r="F7017" s="13" t="str">
        <x:v>Deep Cyclicals</x:v>
      </x:c>
      <x:c r="G7017" s="13" t="str">
        <x:v>grid_cqzdsc3v.xlsx</x:v>
      </x:c>
    </x:row>
    <x:row r="7018">
      <x:c r="A7018" s="15" t="n">
        <x:v>43647</x:v>
      </x:c>
      <x:c r="B7018" s="13" t="str">
        <x:v>VALE SA</x:v>
      </x:c>
      <x:c r="C7018" s="16" t="n">
        <x:v>34943.030423082</x:v>
      </x:c>
      <x:c r="D7018" s="13" t="str">
        <x:v>Metals &amp; Mining</x:v>
      </x:c>
      <x:c r="E7018" s="13" t="str">
        <x:v>Metals &amp; Mining</x:v>
      </x:c>
      <x:c r="F7018" s="13" t="str">
        <x:v>Deep Cyclicals</x:v>
      </x:c>
      <x:c r="G7018" s="13" t="str">
        <x:v>grid_cqzdsc3v.xlsx</x:v>
      </x:c>
    </x:row>
    <x:row r="7019">
      <x:c r="A7019" s="15" t="n">
        <x:v>43647</x:v>
      </x:c>
      <x:c r="B7019" s="13" t="str">
        <x:v>BRASKEM SA-PREF A</x:v>
      </x:c>
      <x:c r="C7019" s="16" t="n">
        <x:v>1527.8984246557</x:v>
      </x:c>
      <x:c r="D7019" s="13" t="str">
        <x:v>Oil, Gas &amp; Petrochemicals</x:v>
      </x:c>
      <x:c r="E7019" s="13" t="str">
        <x:v>Oil, Gas &amp; Petrochemicals</x:v>
      </x:c>
      <x:c r="F7019" s="13" t="str">
        <x:v>Deep Cyclicals</x:v>
      </x:c>
      <x:c r="G7019" s="13" t="str">
        <x:v>grid_cqzdsc3v.xlsx</x:v>
      </x:c>
    </x:row>
    <x:row r="7020">
      <x:c r="A7020" s="15" t="n">
        <x:v>43647</x:v>
      </x:c>
      <x:c r="B7020" s="13" t="str">
        <x:v>COSAN SA</x:v>
      </x:c>
      <x:c r="C7020" s="16" t="n">
        <x:v>1899.182004459</x:v>
      </x:c>
      <x:c r="D7020" s="13" t="str">
        <x:v>Oil, Gas &amp; Petrochemicals</x:v>
      </x:c>
      <x:c r="E7020" s="13" t="str">
        <x:v>Oil, Gas &amp; Petrochemicals</x:v>
      </x:c>
      <x:c r="F7020" s="13" t="str">
        <x:v>Deep Cyclicals</x:v>
      </x:c>
      <x:c r="G7020" s="13" t="str">
        <x:v>grid_cqzdsc3v.xlsx</x:v>
      </x:c>
    </x:row>
    <x:row r="7021">
      <x:c r="A7021" s="15" t="n">
        <x:v>43647</x:v>
      </x:c>
      <x:c r="B7021" s="13" t="str">
        <x:v>PETROBRAS - PETROLEO BRAS</x:v>
      </x:c>
      <x:c r="C7021" s="16" t="n">
        <x:v>40935.2073148852</x:v>
      </x:c>
      <x:c r="D7021" s="13" t="str">
        <x:v>Oil, Gas &amp; Petrochemicals</x:v>
      </x:c>
      <x:c r="E7021" s="13" t="str">
        <x:v>Oil, Gas &amp; Petrochemicals</x:v>
      </x:c>
      <x:c r="F7021" s="13" t="str">
        <x:v>Deep Cyclicals</x:v>
      </x:c>
      <x:c r="G7021" s="13" t="str">
        <x:v>grid_cqzdsc3v.xlsx</x:v>
      </x:c>
    </x:row>
    <x:row r="7022">
      <x:c r="A7022" s="15" t="n">
        <x:v>43647</x:v>
      </x:c>
      <x:c r="B7022" s="13" t="str">
        <x:v>ULTRAPAR PARTICIPACOES SA</x:v>
      </x:c>
      <x:c r="C7022" s="16" t="n">
        <x:v>1317.937640918</x:v>
      </x:c>
      <x:c r="D7022" s="13" t="str">
        <x:v>Oil, Gas &amp; Petrochemicals</x:v>
      </x:c>
      <x:c r="E7022" s="13" t="str">
        <x:v>Oil, Gas &amp; Petrochemicals</x:v>
      </x:c>
      <x:c r="F7022" s="13" t="str">
        <x:v>Deep Cyclicals</x:v>
      </x:c>
      <x:c r="G7022" s="13" t="str">
        <x:v>grid_cqzdsc3v.xlsx</x:v>
      </x:c>
    </x:row>
    <x:row r="7023">
      <x:c r="A7023" s="15" t="n">
        <x:v>43647</x:v>
      </x:c>
      <x:c r="B7023" s="13" t="str">
        <x:v>VIBRA ENERGIA SA</x:v>
      </x:c>
      <x:c r="C7023" s="16" t="n">
        <x:v>2283.2065196066</x:v>
      </x:c>
      <x:c r="D7023" s="13" t="str">
        <x:v>Oil, Gas &amp; Petrochemicals</x:v>
      </x:c>
      <x:c r="E7023" s="13" t="str">
        <x:v>Oil, Gas &amp; Petrochemicals</x:v>
      </x:c>
      <x:c r="F7023" s="13" t="str">
        <x:v>Deep Cyclicals</x:v>
      </x:c>
      <x:c r="G7023" s="13" t="str">
        <x:v>grid_cqzdsc3v.xlsx</x:v>
      </x:c>
    </x:row>
    <x:row r="7024">
      <x:c r="A7024" s="15" t="n">
        <x:v>43647</x:v>
      </x:c>
      <x:c r="B7024" s="13" t="str">
        <x:v>KLABIN SA - UNIT</x:v>
      </x:c>
      <x:c r="C7024" s="16" t="n">
        <x:v>933.2175711475</x:v>
      </x:c>
      <x:c r="D7024" s="13" t="str">
        <x:v>Pulp &amp; Paper</x:v>
      </x:c>
      <x:c r="E7024" s="13" t="str">
        <x:v>Pulp &amp; Paper</x:v>
      </x:c>
      <x:c r="F7024" s="13" t="str">
        <x:v>Deep Cyclicals</x:v>
      </x:c>
      <x:c r="G7024" s="13" t="str">
        <x:v>grid_cqzdsc3v.xlsx</x:v>
      </x:c>
    </x:row>
    <x:row r="7025">
      <x:c r="A7025" s="15" t="n">
        <x:v>43647</x:v>
      </x:c>
      <x:c r="B7025" s="13" t="str">
        <x:v>SUZANO SA</x:v>
      </x:c>
      <x:c r="C7025" s="16" t="n">
        <x:v>4303.3619116066</x:v>
      </x:c>
      <x:c r="D7025" s="13" t="str">
        <x:v>Pulp &amp; Paper</x:v>
      </x:c>
      <x:c r="E7025" s="13" t="str">
        <x:v>Pulp &amp; Paper</x:v>
      </x:c>
      <x:c r="F7025" s="13" t="str">
        <x:v>Deep Cyclicals</x:v>
      </x:c>
      <x:c r="G7025" s="13" t="str">
        <x:v>grid_cqzdsc3v.xlsx</x:v>
      </x:c>
    </x:row>
    <x:row r="7026">
      <x:c r="A7026" s="15" t="n">
        <x:v>43647</x:v>
      </x:c>
      <x:c r="B7026" s="13" t="str">
        <x:v>AMERICANAS SA</x:v>
      </x:c>
      <x:c r="C7026" s="16" t="n">
        <x:v>-218.430141377</x:v>
      </x:c>
      <x:c r="D7026" s="13" t="str">
        <x:v>Retail</x:v>
      </x:c>
      <x:c r="E7026" s="13" t="str">
        <x:v>Retail</x:v>
      </x:c>
      <x:c r="F7026" s="13" t="str">
        <x:v>Early Cyclicals</x:v>
      </x:c>
      <x:c r="G7026" s="13" t="str">
        <x:v>grid_cqzdsc3v.xlsx</x:v>
      </x:c>
    </x:row>
    <x:row r="7027">
      <x:c r="A7027" s="15" t="n">
        <x:v>43647</x:v>
      </x:c>
      <x:c r="B7027" s="13" t="str">
        <x:v>CIA BRASILEIRA DE DIS-PREF</x:v>
      </x:c>
      <x:c r="C7027" s="16" t="n">
        <x:v>1340.3295968525</x:v>
      </x:c>
      <x:c r="D7027" s="13" t="str">
        <x:v>Retail</x:v>
      </x:c>
      <x:c r="E7027" s="13" t="str">
        <x:v>Retail</x:v>
      </x:c>
      <x:c r="F7027" s="13" t="str">
        <x:v>Early Cyclicals</x:v>
      </x:c>
      <x:c r="G7027" s="13" t="str">
        <x:v>grid_cqzdsc3v.xlsx</x:v>
      </x:c>
    </x:row>
    <x:row r="7028">
      <x:c r="A7028" s="15" t="n">
        <x:v>43647</x:v>
      </x:c>
      <x:c r="B7028" s="13" t="str">
        <x:v>CVC BRASIL OPERADORA E AGENC</x:v>
      </x:c>
      <x:c r="C7028" s="16" t="n">
        <x:v>450.8413314098</x:v>
      </x:c>
      <x:c r="D7028" s="13" t="str">
        <x:v>Retail</x:v>
      </x:c>
      <x:c r="E7028" s="13" t="str">
        <x:v>Retail</x:v>
      </x:c>
      <x:c r="F7028" s="13" t="str">
        <x:v>Early Cyclicals</x:v>
      </x:c>
      <x:c r="G7028" s="13" t="str">
        <x:v>grid_cqzdsc3v.xlsx</x:v>
      </x:c>
    </x:row>
    <x:row r="7029">
      <x:c r="A7029" s="15" t="n">
        <x:v>43647</x:v>
      </x:c>
      <x:c r="B7029" s="13" t="str">
        <x:v>GRUPO CASAS BAHIA SA</x:v>
      </x:c>
      <x:c r="C7029" s="16" t="n">
        <x:v>368.0459543607</x:v>
      </x:c>
      <x:c r="D7029" s="13" t="str">
        <x:v>Retail</x:v>
      </x:c>
      <x:c r="E7029" s="13" t="str">
        <x:v>Retail</x:v>
      </x:c>
      <x:c r="F7029" s="13" t="str">
        <x:v>Early Cyclicals</x:v>
      </x:c>
      <x:c r="G7029" s="13" t="str">
        <x:v>grid_cqzdsc3v.xlsx</x:v>
      </x:c>
    </x:row>
    <x:row r="7030">
      <x:c r="A7030" s="15" t="n">
        <x:v>43647</x:v>
      </x:c>
      <x:c r="B7030" s="13" t="str">
        <x:v>LOJAS AMERICANAS SA-PREF</x:v>
      </x:c>
      <x:c r="C7030" s="16" t="n">
        <x:v>797.8515320656</x:v>
      </x:c>
      <x:c r="D7030" s="13" t="str">
        <x:v>Retail</x:v>
      </x:c>
      <x:c r="E7030" s="13" t="str">
        <x:v>Retail</x:v>
      </x:c>
      <x:c r="F7030" s="13" t="str">
        <x:v>Early Cyclicals</x:v>
      </x:c>
      <x:c r="G7030" s="13" t="str">
        <x:v>grid_cqzdsc3v.xlsx</x:v>
      </x:c>
    </x:row>
    <x:row r="7031">
      <x:c r="A7031" s="15" t="n">
        <x:v>43647</x:v>
      </x:c>
      <x:c r="B7031" s="13" t="str">
        <x:v>LOJAS RENNER S.A.</x:v>
      </x:c>
      <x:c r="C7031" s="16" t="n">
        <x:v>1332.9415186885</x:v>
      </x:c>
      <x:c r="D7031" s="13" t="str">
        <x:v>Retail</x:v>
      </x:c>
      <x:c r="E7031" s="13" t="str">
        <x:v>Retail</x:v>
      </x:c>
      <x:c r="F7031" s="13" t="str">
        <x:v>Early Cyclicals</x:v>
      </x:c>
      <x:c r="G7031" s="13" t="str">
        <x:v>grid_cqzdsc3v.xlsx</x:v>
      </x:c>
    </x:row>
    <x:row r="7032">
      <x:c r="A7032" s="15" t="n">
        <x:v>43647</x:v>
      </x:c>
      <x:c r="B7032" s="13" t="str">
        <x:v>MAGAZINE LUIZA SA</x:v>
      </x:c>
      <x:c r="C7032" s="16" t="n">
        <x:v>768.4636039344</x:v>
      </x:c>
      <x:c r="D7032" s="13" t="str">
        <x:v>Retail</x:v>
      </x:c>
      <x:c r="E7032" s="13" t="str">
        <x:v>Retail</x:v>
      </x:c>
      <x:c r="F7032" s="13" t="str">
        <x:v>Early Cyclicals</x:v>
      </x:c>
      <x:c r="G7032" s="13" t="str">
        <x:v>grid_cqzdsc3v.xlsx</x:v>
      </x:c>
    </x:row>
    <x:row r="7033">
      <x:c r="A7033" s="15" t="n">
        <x:v>43647</x:v>
      </x:c>
      <x:c r="B7033" s="13" t="str">
        <x:v>RAIA DROGASIL SA</x:v>
      </x:c>
      <x:c r="C7033" s="16" t="n">
        <x:v>613.4661851803</x:v>
      </x:c>
      <x:c r="D7033" s="13" t="str">
        <x:v>Retail</x:v>
      </x:c>
      <x:c r="E7033" s="13" t="str">
        <x:v>Retail</x:v>
      </x:c>
      <x:c r="F7033" s="13" t="str">
        <x:v>Early Cyclicals</x:v>
      </x:c>
      <x:c r="G7033" s="13" t="str">
        <x:v>grid_cqzdsc3v.xlsx</x:v>
      </x:c>
    </x:row>
    <x:row r="7034">
      <x:c r="A7034" s="15" t="n">
        <x:v>43647</x:v>
      </x:c>
      <x:c r="B7034" s="13" t="str">
        <x:v>CIA SANEAMENTO BASICO DE SP</x:v>
      </x:c>
      <x:c r="C7034" s="16" t="n">
        <x:v>3063.2803630164</x:v>
      </x:c>
      <x:c r="D7034" s="13" t="str">
        <x:v>Sanitation</x:v>
      </x:c>
      <x:c r="E7034" s="13" t="str">
        <x:v>Utilities</x:v>
      </x:c>
      <x:c r="F7034" s="13" t="str">
        <x:v>Defensives</x:v>
      </x:c>
      <x:c r="G7034" s="13" t="str">
        <x:v>grid_cqzdsc3v.xlsx</x:v>
      </x:c>
    </x:row>
    <x:row r="7035">
      <x:c r="A7035" s="15" t="n">
        <x:v>43647</x:v>
      </x:c>
      <x:c r="B7035" s="13" t="str">
        <x:v>SMILES FIDELIDADE SA</x:v>
      </x:c>
      <x:c r="C7035" s="16" t="n">
        <x:v>648.7244474754</x:v>
      </x:c>
      <x:c r="D7035" s="13" t="str">
        <x:v>TMT</x:v>
      </x:c>
      <x:c r="E7035" s="13" t="str">
        <x:v>TMT</x:v>
      </x:c>
      <x:c r="F7035" s="13" t="str">
        <x:v>Early Cyclicals</x:v>
      </x:c>
      <x:c r="G7035" s="13" t="str">
        <x:v>grid_cqzdsc3v.xlsx</x:v>
      </x:c>
    </x:row>
    <x:row r="7036">
      <x:c r="A7036" s="15" t="n">
        <x:v>43647</x:v>
      </x:c>
      <x:c r="B7036" s="13" t="str">
        <x:v>TELEFONICA BRASIL S.A.-PREF</x:v>
      </x:c>
      <x:c r="C7036" s="16" t="n">
        <x:v>5902.8081437377</x:v>
      </x:c>
      <x:c r="D7036" s="13" t="str">
        <x:v>TMT</x:v>
      </x:c>
      <x:c r="E7036" s="13" t="str">
        <x:v>TMT</x:v>
      </x:c>
      <x:c r="F7036" s="13" t="str">
        <x:v>Early Cyclicals</x:v>
      </x:c>
      <x:c r="G7036" s="13" t="str">
        <x:v>grid_cqzdsc3v.xlsx</x:v>
      </x:c>
    </x:row>
    <x:row r="7037">
      <x:c r="A7037" s="15" t="n">
        <x:v>43647</x:v>
      </x:c>
      <x:c r="B7037" s="13" t="str">
        <x:v>TIM SA</x:v>
      </x:c>
      <x:c r="C7037" s="16" t="n">
        <x:v>1729.989143082</x:v>
      </x:c>
      <x:c r="D7037" s="13" t="str">
        <x:v>TMT</x:v>
      </x:c>
      <x:c r="E7037" s="13" t="str">
        <x:v>TMT</x:v>
      </x:c>
      <x:c r="F7037" s="13" t="str">
        <x:v>Early Cyclicals</x:v>
      </x:c>
      <x:c r="G7037" s="13" t="str">
        <x:v>grid_cqzdsc3v.xlsx</x:v>
      </x:c>
    </x:row>
    <x:row r="7038">
      <x:c r="A7038" s="15" t="n">
        <x:v>43647</x:v>
      </x:c>
      <x:c r="B7038" s="13" t="str">
        <x:v>AZUL SA</x:v>
      </x:c>
      <x:c r="C7038" s="16" t="n">
        <x:v>989.6817678689</x:v>
      </x:c>
      <x:c r="D7038" s="13" t="str">
        <x:v>Transportation</x:v>
      </x:c>
      <x:c r="E7038" s="13" t="str">
        <x:v>Transportation</x:v>
      </x:c>
      <x:c r="F7038" s="13" t="str">
        <x:v>Deep Cyclicals</x:v>
      </x:c>
      <x:c r="G7038" s="13" t="str">
        <x:v>grid_cqzdsc3v.xlsx</x:v>
      </x:c>
    </x:row>
    <x:row r="7039">
      <x:c r="A7039" s="15" t="n">
        <x:v>43647</x:v>
      </x:c>
      <x:c r="B7039" s="13" t="str">
        <x:v>ECORODOVIAS INFRA E LOG SA</x:v>
      </x:c>
      <x:c r="C7039" s="16" t="n">
        <x:v>545.4491630164</x:v>
      </x:c>
      <x:c r="D7039" s="13" t="str">
        <x:v>Transportation</x:v>
      </x:c>
      <x:c r="E7039" s="13" t="str">
        <x:v>Transportation</x:v>
      </x:c>
      <x:c r="F7039" s="13" t="str">
        <x:v>Deep Cyclicals</x:v>
      </x:c>
      <x:c r="G7039" s="13" t="str">
        <x:v>grid_cqzdsc3v.xlsx</x:v>
      </x:c>
    </x:row>
    <x:row r="7040">
      <x:c r="A7040" s="15" t="n">
        <x:v>43647</x:v>
      </x:c>
      <x:c r="B7040" s="13" t="str">
        <x:v>GOL LINHAS AEREAS INT SA-PRE</x:v>
      </x:c>
      <x:c r="C7040" s="16" t="n">
        <x:v>813.7716438033</x:v>
      </x:c>
      <x:c r="D7040" s="13" t="str">
        <x:v>Transportation</x:v>
      </x:c>
      <x:c r="E7040" s="13" t="str">
        <x:v>Transportation</x:v>
      </x:c>
      <x:c r="F7040" s="13" t="str">
        <x:v>Deep Cyclicals</x:v>
      </x:c>
      <x:c r="G7040" s="13" t="str">
        <x:v>grid_cqzdsc3v.xlsx</x:v>
      </x:c>
    </x:row>
    <x:row r="7041">
      <x:c r="A7041" s="15" t="n">
        <x:v>43647</x:v>
      </x:c>
      <x:c r="B7041" s="13" t="str">
        <x:v>LOCALIZA RENT A CAR</x:v>
      </x:c>
      <x:c r="C7041" s="16" t="n">
        <x:v>1075.3091944918</x:v>
      </x:c>
      <x:c r="D7041" s="13" t="str">
        <x:v>Transportation</x:v>
      </x:c>
      <x:c r="E7041" s="13" t="str">
        <x:v>Transportation</x:v>
      </x:c>
      <x:c r="F7041" s="13" t="str">
        <x:v>Deep Cyclicals</x:v>
      </x:c>
      <x:c r="G7041" s="13" t="str">
        <x:v>grid_cqzdsc3v.xlsx</x:v>
      </x:c>
    </x:row>
    <x:row r="7042">
      <x:c r="A7042" s="15" t="n">
        <x:v>43647</x:v>
      </x:c>
      <x:c r="B7042" s="13" t="str">
        <x:v>MOTIVA INFRAESTRUTURA DE MOB</x:v>
      </x:c>
      <x:c r="C7042" s="16" t="n">
        <x:v>2128.3973476721</x:v>
      </x:c>
      <x:c r="D7042" s="13" t="str">
        <x:v>Transportation</x:v>
      </x:c>
      <x:c r="E7042" s="13" t="str">
        <x:v>Transportation</x:v>
      </x:c>
      <x:c r="F7042" s="13" t="str">
        <x:v>Deep Cyclicals</x:v>
      </x:c>
      <x:c r="G7042" s="13" t="str">
        <x:v>grid_cqzdsc3v.xlsx</x:v>
      </x:c>
    </x:row>
    <x:row r="7043">
      <x:c r="A7043" s="15" t="n">
        <x:v>43647</x:v>
      </x:c>
      <x:c r="B7043" s="13" t="str">
        <x:v>RUMO SA</x:v>
      </x:c>
      <x:c r="C7043" s="16" t="n">
        <x:v>1000.7379210492</x:v>
      </x:c>
      <x:c r="D7043" s="13" t="str">
        <x:v>Transportation</x:v>
      </x:c>
      <x:c r="E7043" s="13" t="str">
        <x:v>Transportation</x:v>
      </x:c>
      <x:c r="F7043" s="13" t="str">
        <x:v>Deep Cyclicals</x:v>
      </x:c>
      <x:c r="G7043" s="13" t="str">
        <x:v>grid_cqzdsc3v.xlsx</x:v>
      </x:c>
    </x:row>
    <x:row r="7044">
      <x:c r="A7044" s="15" t="n">
        <x:v>43647</x:v>
      </x:c>
      <x:c r="B7044" s="13" t="str">
        <x:v>AXIA ENERGIA SA</x:v>
      </x:c>
      <x:c r="C7044" s="16" t="n">
        <x:v>5737.5820422295</x:v>
      </x:c>
      <x:c r="D7044" s="13" t="str">
        <x:v>Utilities &amp; Energy</x:v>
      </x:c>
      <x:c r="E7044" s="13" t="str">
        <x:v>Utilities</x:v>
      </x:c>
      <x:c r="F7044" s="13" t="str">
        <x:v>Defensives</x:v>
      </x:c>
      <x:c r="G7044" s="13" t="str">
        <x:v>grid_cqzdsc3v.xlsx</x:v>
      </x:c>
    </x:row>
    <x:row r="7045">
      <x:c r="A7045" s="15" t="n">
        <x:v>43647</x:v>
      </x:c>
      <x:c r="B7045" s="13" t="str">
        <x:v>AXIA ENERGIA-PR B</x:v>
      </x:c>
      <x:c r="C7045" s="16" t="n">
        <x:v>5737.5820422295</x:v>
      </x:c>
      <x:c r="D7045" s="13" t="str">
        <x:v>Utilities &amp; Energy</x:v>
      </x:c>
      <x:c r="E7045" s="13" t="str">
        <x:v>Utilities</x:v>
      </x:c>
      <x:c r="F7045" s="13" t="str">
        <x:v>Defensives</x:v>
      </x:c>
      <x:c r="G7045" s="13" t="str">
        <x:v>grid_cqzdsc3v.xlsx</x:v>
      </x:c>
    </x:row>
    <x:row r="7046">
      <x:c r="A7046" s="15" t="n">
        <x:v>43647</x:v>
      </x:c>
      <x:c r="B7046" s="13" t="str">
        <x:v>CIA ENERGETICA MINAS GER-PRF</x:v>
      </x:c>
      <x:c r="C7046" s="16" t="n">
        <x:v>2217.135947541</x:v>
      </x:c>
      <x:c r="D7046" s="13" t="str">
        <x:v>Utilities &amp; Energy</x:v>
      </x:c>
      <x:c r="E7046" s="13" t="str">
        <x:v>Utilities</x:v>
      </x:c>
      <x:c r="F7046" s="13" t="str">
        <x:v>Defensives</x:v>
      </x:c>
      <x:c r="G7046" s="13" t="str">
        <x:v>grid_cqzdsc3v.xlsx</x:v>
      </x:c>
    </x:row>
    <x:row r="7047">
      <x:c r="A7047" s="15" t="n">
        <x:v>43647</x:v>
      </x:c>
      <x:c r="B7047" s="13" t="str">
        <x:v>EDP - ENERGIAS DO BRASIL SA</x:v>
      </x:c>
      <x:c r="C7047" s="16" t="n">
        <x:v>967.337704918</x:v>
      </x:c>
      <x:c r="D7047" s="13" t="str">
        <x:v>Utilities &amp; Energy</x:v>
      </x:c>
      <x:c r="E7047" s="13" t="str">
        <x:v>Utilities</x:v>
      </x:c>
      <x:c r="F7047" s="13" t="str">
        <x:v>Defensives</x:v>
      </x:c>
      <x:c r="G7047" s="13" t="str">
        <x:v>grid_cqzdsc3v.xlsx</x:v>
      </x:c>
    </x:row>
    <x:row r="7048">
      <x:c r="A7048" s="15" t="n">
        <x:v>43647</x:v>
      </x:c>
      <x:c r="B7048" s="13" t="str">
        <x:v>ENGIE BRASIL ENERGIA SA</x:v>
      </x:c>
      <x:c r="C7048" s="16" t="n">
        <x:v>2658.7971483279</x:v>
      </x:c>
      <x:c r="D7048" s="13" t="str">
        <x:v>Utilities &amp; Energy</x:v>
      </x:c>
      <x:c r="E7048" s="13" t="str">
        <x:v>Utilities</x:v>
      </x:c>
      <x:c r="F7048" s="13" t="str">
        <x:v>Defensives</x:v>
      </x:c>
      <x:c r="G7048" s="13" t="str">
        <x:v>grid_cqzdsc3v.xlsx</x:v>
      </x:c>
    </x:row>
    <x:row r="7049">
      <x:c r="A7049" s="15" t="n">
        <x:v>43647</x:v>
      </x:c>
      <x:c r="B7049" s="13" t="str">
        <x:v>EQUATORIAL SA - ORD</x:v>
      </x:c>
      <x:c r="C7049" s="16" t="n">
        <x:v>881.4836065574</x:v>
      </x:c>
      <x:c r="D7049" s="13" t="str">
        <x:v>Utilities &amp; Energy</x:v>
      </x:c>
      <x:c r="E7049" s="13" t="str">
        <x:v>Utilities</x:v>
      </x:c>
      <x:c r="F7049" s="13" t="str">
        <x:v>Defensives</x:v>
      </x:c>
      <x:c r="G7049" s="13" t="str">
        <x:v>grid_cqzdsc3v.xlsx</x:v>
      </x:c>
    </x:row>
    <x:row r="7050">
      <x:c r="A7050" s="15" t="n">
        <x:v>43647</x:v>
      </x:c>
      <x:c r="B7050" s="13" t="str">
        <x:v>TRANSMISSORA ALIANCA DE-UNIT</x:v>
      </x:c>
      <x:c r="C7050" s="16" t="n">
        <x:v>800.3032786885</x:v>
      </x:c>
      <x:c r="D7050" s="13" t="str">
        <x:v>Utilities &amp; Energy</x:v>
      </x:c>
      <x:c r="E7050" s="13" t="str">
        <x:v>Utilities</x:v>
      </x:c>
      <x:c r="F7050" s="13" t="str">
        <x:v>Defensives</x:v>
      </x:c>
      <x:c r="G7050" s="13" t="str">
        <x:v>grid_cqzdsc3v.xlsx</x:v>
      </x:c>
    </x:row>
    <x:row r="7051">
      <x:c r="A7051" s="15" t="n">
        <x:v>43678</x:v>
      </x:c>
      <x:c r="B7051" s="13" t="str">
        <x:v>BANCO BRADESCO S.A.</x:v>
      </x:c>
      <x:c r="C7051" s="16" t="n">
        <x:v>27610.094004459</x:v>
      </x:c>
      <x:c r="D7051" s="13" t="str">
        <x:v>Banks</x:v>
      </x:c>
      <x:c r="E7051" s="13" t="str">
        <x:v>Banks</x:v>
      </x:c>
      <x:c r="F7051" s="13" t="str">
        <x:v>Financials</x:v>
      </x:c>
      <x:c r="G7051" s="13" t="str">
        <x:v>grid_cqzdsc3v.xlsx</x:v>
      </x:c>
    </x:row>
    <x:row r="7052">
      <x:c r="A7052" s="15" t="n">
        <x:v>43678</x:v>
      </x:c>
      <x:c r="B7052" s="13" t="str">
        <x:v>BANCO BRADESCO SA-PREF</x:v>
      </x:c>
      <x:c r="C7052" s="16" t="n">
        <x:v>27610.094004459</x:v>
      </x:c>
      <x:c r="D7052" s="13" t="str">
        <x:v>Banks</x:v>
      </x:c>
      <x:c r="E7052" s="13" t="str">
        <x:v>Banks</x:v>
      </x:c>
      <x:c r="F7052" s="13" t="str">
        <x:v>Financials</x:v>
      </x:c>
      <x:c r="G7052" s="13" t="str">
        <x:v>grid_cqzdsc3v.xlsx</x:v>
      </x:c>
    </x:row>
    <x:row r="7053">
      <x:c r="A7053" s="15" t="n">
        <x:v>43678</x:v>
      </x:c>
      <x:c r="B7053" s="13" t="str">
        <x:v>BANCO DO BRASIL S.A.</x:v>
      </x:c>
      <x:c r="C7053" s="16" t="n">
        <x:v>18210.5987357377</x:v>
      </x:c>
      <x:c r="D7053" s="13" t="str">
        <x:v>Banks</x:v>
      </x:c>
      <x:c r="E7053" s="13" t="str">
        <x:v>Banks</x:v>
      </x:c>
      <x:c r="F7053" s="13" t="str">
        <x:v>Financials</x:v>
      </x:c>
      <x:c r="G7053" s="13" t="str">
        <x:v>grid_cqzdsc3v.xlsx</x:v>
      </x:c>
    </x:row>
    <x:row r="7054">
      <x:c r="A7054" s="15" t="n">
        <x:v>43678</x:v>
      </x:c>
      <x:c r="B7054" s="13" t="str">
        <x:v>BANCO SANTANDER  BRASIL-UNIT</x:v>
      </x:c>
      <x:c r="C7054" s="16" t="n">
        <x:v>15052.4367485902</x:v>
      </x:c>
      <x:c r="D7054" s="13" t="str">
        <x:v>Banks</x:v>
      </x:c>
      <x:c r="E7054" s="13" t="str">
        <x:v>Banks</x:v>
      </x:c>
      <x:c r="F7054" s="13" t="str">
        <x:v>Financials</x:v>
      </x:c>
      <x:c r="G7054" s="13" t="str">
        <x:v>grid_cqzdsc3v.xlsx</x:v>
      </x:c>
    </x:row>
    <x:row r="7055">
      <x:c r="A7055" s="15" t="n">
        <x:v>43678</x:v>
      </x:c>
      <x:c r="B7055" s="13" t="str">
        <x:v>ITAU UNIBANCO HOLDING S-PREF</x:v>
      </x:c>
      <x:c r="C7055" s="16" t="n">
        <x:v>29600.7140301639</x:v>
      </x:c>
      <x:c r="D7055" s="13" t="str">
        <x:v>Banks</x:v>
      </x:c>
      <x:c r="E7055" s="13" t="str">
        <x:v>Banks</x:v>
      </x:c>
      <x:c r="F7055" s="13" t="str">
        <x:v>Financials</x:v>
      </x:c>
      <x:c r="G7055" s="13" t="str">
        <x:v>grid_cqzdsc3v.xlsx</x:v>
      </x:c>
    </x:row>
    <x:row r="7056">
      <x:c r="A7056" s="15" t="n">
        <x:v>43678</x:v>
      </x:c>
      <x:c r="B7056" s="13" t="str">
        <x:v>EMBRAER SA</x:v>
      </x:c>
      <x:c r="C7056" s="16" t="n">
        <x:v>759.9056660984</x:v>
      </x:c>
      <x:c r="D7056" s="13" t="str">
        <x:v>Capital Goods</x:v>
      </x:c>
      <x:c r="E7056" s="13" t="str">
        <x:v>Capital Goods</x:v>
      </x:c>
      <x:c r="F7056" s="13" t="str">
        <x:v>Deep Cyclicals</x:v>
      </x:c>
      <x:c r="G7056" s="13" t="str">
        <x:v>grid_cqzdsc3v.xlsx</x:v>
      </x:c>
    </x:row>
    <x:row r="7057">
      <x:c r="A7057" s="15" t="n">
        <x:v>43678</x:v>
      </x:c>
      <x:c r="B7057" s="13" t="str">
        <x:v>WEG SA</x:v>
      </x:c>
      <x:c r="C7057" s="16" t="n">
        <x:v>1677.9075304918</x:v>
      </x:c>
      <x:c r="D7057" s="13" t="str">
        <x:v>Capital Goods</x:v>
      </x:c>
      <x:c r="E7057" s="13" t="str">
        <x:v>Capital Goods</x:v>
      </x:c>
      <x:c r="F7057" s="13" t="str">
        <x:v>Deep Cyclicals</x:v>
      </x:c>
      <x:c r="G7057" s="13" t="str">
        <x:v>grid_cqzdsc3v.xlsx</x:v>
      </x:c>
    </x:row>
    <x:row r="7058">
      <x:c r="A7058" s="15" t="n">
        <x:v>43678</x:v>
      </x:c>
      <x:c r="B7058" s="13" t="str">
        <x:v>COGNA EDUCACAO</x:v>
      </x:c>
      <x:c r="C7058" s="16" t="n">
        <x:v>1439.8961101639</x:v>
      </x:c>
      <x:c r="D7058" s="13" t="str">
        <x:v>Education</x:v>
      </x:c>
      <x:c r="E7058" s="13" t="str">
        <x:v>Education</x:v>
      </x:c>
      <x:c r="F7058" s="13" t="str">
        <x:v>Early Cyclicals</x:v>
      </x:c>
      <x:c r="G7058" s="13" t="str">
        <x:v>grid_cqzdsc3v.xlsx</x:v>
      </x:c>
    </x:row>
    <x:row r="7059">
      <x:c r="A7059" s="15" t="n">
        <x:v>43678</x:v>
      </x:c>
      <x:c r="B7059" s="13" t="str">
        <x:v>YDUQS PARTICIPACOES SA</x:v>
      </x:c>
      <x:c r="C7059" s="16" t="n">
        <x:v>836.2440849836</x:v>
      </x:c>
      <x:c r="D7059" s="13" t="str">
        <x:v>Education</x:v>
      </x:c>
      <x:c r="E7059" s="13" t="str">
        <x:v>Education</x:v>
      </x:c>
      <x:c r="F7059" s="13" t="str">
        <x:v>Early Cyclicals</x:v>
      </x:c>
      <x:c r="G7059" s="13" t="str">
        <x:v>grid_cqzdsc3v.xlsx</x:v>
      </x:c>
    </x:row>
    <x:row r="7060">
      <x:c r="A7060" s="15" t="n">
        <x:v>43678</x:v>
      </x:c>
      <x:c r="B7060" s="13" t="str">
        <x:v>B3 SA-BRASIL BOLSA BALCAO</x:v>
      </x:c>
      <x:c r="C7060" s="16" t="n">
        <x:v>3568.9551318033</x:v>
      </x:c>
      <x:c r="D7060" s="13" t="str">
        <x:v>Financials Non-Banks</x:v>
      </x:c>
      <x:c r="E7060" s="13" t="str">
        <x:v>Financials Non-Banks</x:v>
      </x:c>
      <x:c r="F7060" s="13" t="str">
        <x:v>Financials</x:v>
      </x:c>
      <x:c r="G7060" s="13" t="str">
        <x:v>grid_cqzdsc3v.xlsx</x:v>
      </x:c>
    </x:row>
    <x:row r="7061">
      <x:c r="A7061" s="15" t="n">
        <x:v>43678</x:v>
      </x:c>
      <x:c r="B7061" s="13" t="str">
        <x:v>BB SEGURIDADE PARTICIPACOES</x:v>
      </x:c>
      <x:c r="C7061" s="16" t="n">
        <x:v>4156.7809657705</x:v>
      </x:c>
      <x:c r="D7061" s="13" t="str">
        <x:v>Financials Non-Banks</x:v>
      </x:c>
      <x:c r="E7061" s="13" t="str">
        <x:v>Financials Non-Banks</x:v>
      </x:c>
      <x:c r="F7061" s="13" t="str">
        <x:v>Financials</x:v>
      </x:c>
      <x:c r="G7061" s="13" t="str">
        <x:v>grid_cqzdsc3v.xlsx</x:v>
      </x:c>
    </x:row>
    <x:row r="7062">
      <x:c r="A7062" s="15" t="n">
        <x:v>43678</x:v>
      </x:c>
      <x:c r="B7062" s="13" t="str">
        <x:v>CIELO SA - INSTITUICAO DE PA</x:v>
      </x:c>
      <x:c r="C7062" s="16" t="n">
        <x:v>1807.3814987541</x:v>
      </x:c>
      <x:c r="D7062" s="13" t="str">
        <x:v>Financials Non-Banks</x:v>
      </x:c>
      <x:c r="E7062" s="13" t="str">
        <x:v>Financials Non-Banks</x:v>
      </x:c>
      <x:c r="F7062" s="13" t="str">
        <x:v>Financials</x:v>
      </x:c>
      <x:c r="G7062" s="13" t="str">
        <x:v>grid_cqzdsc3v.xlsx</x:v>
      </x:c>
    </x:row>
    <x:row r="7063">
      <x:c r="A7063" s="15" t="n">
        <x:v>43678</x:v>
      </x:c>
      <x:c r="B7063" s="13" t="str">
        <x:v>IRB BRASIL RESSEGUROS SA</x:v>
      </x:c>
      <x:c r="C7063" s="16" t="n">
        <x:v>1813.9672131147</x:v>
      </x:c>
      <x:c r="D7063" s="13" t="str">
        <x:v>Financials Non-Banks</x:v>
      </x:c>
      <x:c r="E7063" s="13" t="str">
        <x:v>Financials Non-Banks</x:v>
      </x:c>
      <x:c r="F7063" s="13" t="str">
        <x:v>Financials</x:v>
      </x:c>
      <x:c r="G7063" s="13" t="str">
        <x:v>grid_cqzdsc3v.xlsx</x:v>
      </x:c>
    </x:row>
    <x:row r="7064">
      <x:c r="A7064" s="15" t="n">
        <x:v>43678</x:v>
      </x:c>
      <x:c r="B7064" s="13" t="str">
        <x:v>ITAUSA SA</x:v>
      </x:c>
      <x:c r="C7064" s="16" t="n">
        <x:v>10841.4888120656</x:v>
      </x:c>
      <x:c r="D7064" s="13" t="str">
        <x:v>Financials Non-Banks</x:v>
      </x:c>
      <x:c r="E7064" s="13" t="str">
        <x:v>Financials Non-Banks</x:v>
      </x:c>
      <x:c r="F7064" s="13" t="str">
        <x:v>Financials</x:v>
      </x:c>
      <x:c r="G7064" s="13" t="str">
        <x:v>grid_cqzdsc3v.xlsx</x:v>
      </x:c>
    </x:row>
    <x:row r="7065">
      <x:c r="A7065" s="15" t="n">
        <x:v>43678</x:v>
      </x:c>
      <x:c r="B7065" s="13" t="str">
        <x:v>AMBEV SA</x:v>
      </x:c>
      <x:c r="C7065" s="16" t="n">
        <x:v>13322.7273148852</x:v>
      </x:c>
      <x:c r="D7065" s="13" t="str">
        <x:v>Food &amp; Beverages</x:v>
      </x:c>
      <x:c r="E7065" s="13" t="str">
        <x:v>Agri, Food &amp; Beverages</x:v>
      </x:c>
      <x:c r="F7065" s="13" t="str">
        <x:v>Defensives</x:v>
      </x:c>
      <x:c r="G7065" s="13" t="str">
        <x:v>grid_cqzdsc3v.xlsx</x:v>
      </x:c>
    </x:row>
    <x:row r="7066">
      <x:c r="A7066" s="15" t="n">
        <x:v>43678</x:v>
      </x:c>
      <x:c r="B7066" s="13" t="str">
        <x:v>BRF SA</x:v>
      </x:c>
      <x:c r="C7066" s="16" t="n">
        <x:v>633.770056918</x:v>
      </x:c>
      <x:c r="D7066" s="13" t="str">
        <x:v>Food &amp; Beverages</x:v>
      </x:c>
      <x:c r="E7066" s="13" t="str">
        <x:v>Agri, Food &amp; Beverages</x:v>
      </x:c>
      <x:c r="F7066" s="13" t="str">
        <x:v>Defensives</x:v>
      </x:c>
      <x:c r="G7066" s="13" t="str">
        <x:v>grid_cqzdsc3v.xlsx</x:v>
      </x:c>
    </x:row>
    <x:row r="7067">
      <x:c r="A7067" s="15" t="n">
        <x:v>43678</x:v>
      </x:c>
      <x:c r="B7067" s="13" t="str">
        <x:v>JBS SA</x:v>
      </x:c>
      <x:c r="C7067" s="16" t="n">
        <x:v>6725.5430504918</x:v>
      </x:c>
      <x:c r="D7067" s="13" t="str">
        <x:v>Food &amp; Beverages</x:v>
      </x:c>
      <x:c r="E7067" s="13" t="str">
        <x:v>Agri, Food &amp; Beverages</x:v>
      </x:c>
      <x:c r="F7067" s="13" t="str">
        <x:v>Defensives</x:v>
      </x:c>
      <x:c r="G7067" s="13" t="str">
        <x:v>grid_cqzdsc3v.xlsx</x:v>
      </x:c>
    </x:row>
    <x:row r="7068">
      <x:c r="A7068" s="15" t="n">
        <x:v>43678</x:v>
      </x:c>
      <x:c r="B7068" s="13" t="str">
        <x:v>MBRF GLOBAL FOODS COMPANY SA</x:v>
      </x:c>
      <x:c r="C7068" s="16" t="n">
        <x:v>400.5921912131</x:v>
      </x:c>
      <x:c r="D7068" s="13" t="str">
        <x:v>Food &amp; Beverages</x:v>
      </x:c>
      <x:c r="E7068" s="13" t="str">
        <x:v>Agri, Food &amp; Beverages</x:v>
      </x:c>
      <x:c r="F7068" s="13" t="str">
        <x:v>Defensives</x:v>
      </x:c>
      <x:c r="G7068" s="13" t="str">
        <x:v>grid_cqzdsc3v.xlsx</x:v>
      </x:c>
    </x:row>
    <x:row r="7069">
      <x:c r="A7069" s="15" t="n">
        <x:v>43678</x:v>
      </x:c>
      <x:c r="B7069" s="13" t="str">
        <x:v>FLEURY SA</x:v>
      </x:c>
      <x:c r="C7069" s="16" t="n">
        <x:v>396.3463008525</x:v>
      </x:c>
      <x:c r="D7069" s="13" t="str">
        <x:v>Health Care</x:v>
      </x:c>
      <x:c r="E7069" s="13" t="str">
        <x:v>Health Care</x:v>
      </x:c>
      <x:c r="F7069" s="13" t="str">
        <x:v>Defensives</x:v>
      </x:c>
      <x:c r="G7069" s="13" t="str">
        <x:v>grid_cqzdsc3v.xlsx</x:v>
      </x:c>
    </x:row>
    <x:row r="7070">
      <x:c r="A7070" s="15" t="n">
        <x:v>43678</x:v>
      </x:c>
      <x:c r="B7070" s="13" t="str">
        <x:v>HYPERA SA</x:v>
      </x:c>
      <x:c r="C7070" s="16" t="n">
        <x:v>1224.7385694426</x:v>
      </x:c>
      <x:c r="D7070" s="13" t="str">
        <x:v>Health Care</x:v>
      </x:c>
      <x:c r="E7070" s="13" t="str">
        <x:v>Health Care</x:v>
      </x:c>
      <x:c r="F7070" s="13" t="str">
        <x:v>Defensives</x:v>
      </x:c>
      <x:c r="G7070" s="13" t="str">
        <x:v>grid_cqzdsc3v.xlsx</x:v>
      </x:c>
    </x:row>
    <x:row r="7071">
      <x:c r="A7071" s="15" t="n">
        <x:v>43678</x:v>
      </x:c>
      <x:c r="B7071" s="13" t="str">
        <x:v>QUALICORP CONS E CORR SEG SA</x:v>
      </x:c>
      <x:c r="C7071" s="16" t="n">
        <x:v>547.533832918</x:v>
      </x:c>
      <x:c r="D7071" s="13" t="str">
        <x:v>Health Care</x:v>
      </x:c>
      <x:c r="E7071" s="13" t="str">
        <x:v>Health Care</x:v>
      </x:c>
      <x:c r="F7071" s="13" t="str">
        <x:v>Defensives</x:v>
      </x:c>
      <x:c r="G7071" s="13" t="str">
        <x:v>grid_cqzdsc3v.xlsx</x:v>
      </x:c>
    </x:row>
    <x:row r="7072">
      <x:c r="A7072" s="15" t="n">
        <x:v>43678</x:v>
      </x:c>
      <x:c r="B7072" s="13" t="str">
        <x:v>CYRELA BRAZIL REALTY SA EMP</x:v>
      </x:c>
      <x:c r="C7072" s="16" t="n">
        <x:v>470.6321906885</x:v>
      </x:c>
      <x:c r="D7072" s="13" t="str">
        <x:v>Homebuilders</x:v>
      </x:c>
      <x:c r="E7072" s="13" t="str">
        <x:v>Real Estate</x:v>
      </x:c>
      <x:c r="F7072" s="13" t="str">
        <x:v>Early Cyclicals</x:v>
      </x:c>
      <x:c r="G7072" s="13" t="str">
        <x:v>grid_cqzdsc3v.xlsx</x:v>
      </x:c>
    </x:row>
    <x:row r="7073">
      <x:c r="A7073" s="15" t="n">
        <x:v>43678</x:v>
      </x:c>
      <x:c r="B7073" s="13" t="str">
        <x:v>MRV ENGENHARIA</x:v>
      </x:c>
      <x:c r="C7073" s="16" t="n">
        <x:v>797.6459478033</x:v>
      </x:c>
      <x:c r="D7073" s="13" t="str">
        <x:v>Homebuilders</x:v>
      </x:c>
      <x:c r="E7073" s="13" t="str">
        <x:v>Real Estate</x:v>
      </x:c>
      <x:c r="F7073" s="13" t="str">
        <x:v>Early Cyclicals</x:v>
      </x:c>
      <x:c r="G7073" s="13" t="str">
        <x:v>grid_cqzdsc3v.xlsx</x:v>
      </x:c>
    </x:row>
    <x:row r="7074">
      <x:c r="A7074" s="15" t="n">
        <x:v>43678</x:v>
      </x:c>
      <x:c r="B7074" s="13" t="str">
        <x:v>BR MALLS PARTICIPACOES SA</x:v>
      </x:c>
      <x:c r="C7074" s="16" t="n">
        <x:v>667.9221151475</x:v>
      </x:c>
      <x:c r="D7074" s="13" t="str">
        <x:v>Income Properties</x:v>
      </x:c>
      <x:c r="E7074" s="13" t="str">
        <x:v>Real Estate</x:v>
      </x:c>
      <x:c r="F7074" s="13" t="str">
        <x:v>Early Cyclicals</x:v>
      </x:c>
      <x:c r="G7074" s="13" t="str">
        <x:v>grid_cqzdsc3v.xlsx</x:v>
      </x:c>
    </x:row>
    <x:row r="7075">
      <x:c r="A7075" s="15" t="n">
        <x:v>43678</x:v>
      </x:c>
      <x:c r="B7075" s="13" t="str">
        <x:v>IGUATEMI EMP DE SHOPPING</x:v>
      </x:c>
      <x:c r="C7075" s="16" t="n">
        <x:v>299.2120928525</x:v>
      </x:c>
      <x:c r="D7075" s="13" t="str">
        <x:v>Income Properties</x:v>
      </x:c>
      <x:c r="E7075" s="13" t="str">
        <x:v>Real Estate</x:v>
      </x:c>
      <x:c r="F7075" s="13" t="str">
        <x:v>Early Cyclicals</x:v>
      </x:c>
      <x:c r="G7075" s="13" t="str">
        <x:v>grid_cqzdsc3v.xlsx</x:v>
      </x:c>
    </x:row>
    <x:row r="7076">
      <x:c r="A7076" s="15" t="n">
        <x:v>43678</x:v>
      </x:c>
      <x:c r="B7076" s="13" t="str">
        <x:v>MULTIPLAN EMPREENDIMENTOS</x:v>
      </x:c>
      <x:c r="C7076" s="16" t="n">
        <x:v>535.7360655738</x:v>
      </x:c>
      <x:c r="D7076" s="13" t="str">
        <x:v>Income Properties</x:v>
      </x:c>
      <x:c r="E7076" s="13" t="str">
        <x:v>Real Estate</x:v>
      </x:c>
      <x:c r="F7076" s="13" t="str">
        <x:v>Early Cyclicals</x:v>
      </x:c>
      <x:c r="G7076" s="13" t="str">
        <x:v>grid_cqzdsc3v.xlsx</x:v>
      </x:c>
    </x:row>
    <x:row r="7077">
      <x:c r="A7077" s="15" t="n">
        <x:v>43678</x:v>
      </x:c>
      <x:c r="B7077" s="13" t="str">
        <x:v>BRADESPAR SA -PREF</x:v>
      </x:c>
      <x:c r="C7077" s="16" t="n">
        <x:v>1200.6610549508</x:v>
      </x:c>
      <x:c r="D7077" s="13" t="str">
        <x:v>Metals &amp; Mining</x:v>
      </x:c>
      <x:c r="E7077" s="13" t="str">
        <x:v>Metals &amp; Mining</x:v>
      </x:c>
      <x:c r="F7077" s="13" t="str">
        <x:v>Deep Cyclicals</x:v>
      </x:c>
      <x:c r="G7077" s="13" t="str">
        <x:v>grid_cqzdsc3v.xlsx</x:v>
      </x:c>
    </x:row>
    <x:row r="7078">
      <x:c r="A7078" s="15" t="n">
        <x:v>43678</x:v>
      </x:c>
      <x:c r="B7078" s="13" t="str">
        <x:v>CIA SIDERURGICA NACIONAL SA</x:v>
      </x:c>
      <x:c r="C7078" s="16" t="n">
        <x:v>3239.8844789508</x:v>
      </x:c>
      <x:c r="D7078" s="13" t="str">
        <x:v>Metals &amp; Mining</x:v>
      </x:c>
      <x:c r="E7078" s="13" t="str">
        <x:v>Metals &amp; Mining</x:v>
      </x:c>
      <x:c r="F7078" s="13" t="str">
        <x:v>Deep Cyclicals</x:v>
      </x:c>
      <x:c r="G7078" s="13" t="str">
        <x:v>grid_cqzdsc3v.xlsx</x:v>
      </x:c>
    </x:row>
    <x:row r="7079">
      <x:c r="A7079" s="15" t="n">
        <x:v>43678</x:v>
      </x:c>
      <x:c r="B7079" s="13" t="str">
        <x:v>GERDAU SA-PREF</x:v>
      </x:c>
      <x:c r="C7079" s="16" t="n">
        <x:v>2419.7656613771</x:v>
      </x:c>
      <x:c r="D7079" s="13" t="str">
        <x:v>Metals &amp; Mining</x:v>
      </x:c>
      <x:c r="E7079" s="13" t="str">
        <x:v>Metals &amp; Mining</x:v>
      </x:c>
      <x:c r="F7079" s="13" t="str">
        <x:v>Deep Cyclicals</x:v>
      </x:c>
      <x:c r="G7079" s="13" t="str">
        <x:v>grid_cqzdsc3v.xlsx</x:v>
      </x:c>
    </x:row>
    <x:row r="7080">
      <x:c r="A7080" s="15" t="n">
        <x:v>43678</x:v>
      </x:c>
      <x:c r="B7080" s="13" t="str">
        <x:v>USINAS SIDER MINAS GER-PF A</x:v>
      </x:c>
      <x:c r="C7080" s="16" t="n">
        <x:v>799.300235541</x:v>
      </x:c>
      <x:c r="D7080" s="13" t="str">
        <x:v>Metals &amp; Mining</x:v>
      </x:c>
      <x:c r="E7080" s="13" t="str">
        <x:v>Metals &amp; Mining</x:v>
      </x:c>
      <x:c r="F7080" s="13" t="str">
        <x:v>Deep Cyclicals</x:v>
      </x:c>
      <x:c r="G7080" s="13" t="str">
        <x:v>grid_cqzdsc3v.xlsx</x:v>
      </x:c>
    </x:row>
    <x:row r="7081">
      <x:c r="A7081" s="15" t="n">
        <x:v>43678</x:v>
      </x:c>
      <x:c r="B7081" s="13" t="str">
        <x:v>VALE SA</x:v>
      </x:c>
      <x:c r="C7081" s="16" t="n">
        <x:v>34540.3555672131</x:v>
      </x:c>
      <x:c r="D7081" s="13" t="str">
        <x:v>Metals &amp; Mining</x:v>
      </x:c>
      <x:c r="E7081" s="13" t="str">
        <x:v>Metals &amp; Mining</x:v>
      </x:c>
      <x:c r="F7081" s="13" t="str">
        <x:v>Deep Cyclicals</x:v>
      </x:c>
      <x:c r="G7081" s="13" t="str">
        <x:v>grid_cqzdsc3v.xlsx</x:v>
      </x:c>
    </x:row>
    <x:row r="7082">
      <x:c r="A7082" s="15" t="n">
        <x:v>43678</x:v>
      </x:c>
      <x:c r="B7082" s="13" t="str">
        <x:v>BRASKEM SA-PREF A</x:v>
      </x:c>
      <x:c r="C7082" s="16" t="n">
        <x:v>826.0049180328</x:v>
      </x:c>
      <x:c r="D7082" s="13" t="str">
        <x:v>Oil, Gas &amp; Petrochemicals</x:v>
      </x:c>
      <x:c r="E7082" s="13" t="str">
        <x:v>Oil, Gas &amp; Petrochemicals</x:v>
      </x:c>
      <x:c r="F7082" s="13" t="str">
        <x:v>Deep Cyclicals</x:v>
      </x:c>
      <x:c r="G7082" s="13" t="str">
        <x:v>grid_cqzdsc3v.xlsx</x:v>
      </x:c>
    </x:row>
    <x:row r="7083">
      <x:c r="A7083" s="15" t="n">
        <x:v>43678</x:v>
      </x:c>
      <x:c r="B7083" s="13" t="str">
        <x:v>COSAN SA</x:v>
      </x:c>
      <x:c r="C7083" s="16" t="n">
        <x:v>1780.5348521967</x:v>
      </x:c>
      <x:c r="D7083" s="13" t="str">
        <x:v>Oil, Gas &amp; Petrochemicals</x:v>
      </x:c>
      <x:c r="E7083" s="13" t="str">
        <x:v>Oil, Gas &amp; Petrochemicals</x:v>
      </x:c>
      <x:c r="F7083" s="13" t="str">
        <x:v>Deep Cyclicals</x:v>
      </x:c>
      <x:c r="G7083" s="13" t="str">
        <x:v>grid_cqzdsc3v.xlsx</x:v>
      </x:c>
    </x:row>
    <x:row r="7084">
      <x:c r="A7084" s="15" t="n">
        <x:v>43678</x:v>
      </x:c>
      <x:c r="B7084" s="13" t="str">
        <x:v>PETROBRAS - PETROLEO BRAS</x:v>
      </x:c>
      <x:c r="C7084" s="16" t="n">
        <x:v>36937.3267934426</x:v>
      </x:c>
      <x:c r="D7084" s="13" t="str">
        <x:v>Oil, Gas &amp; Petrochemicals</x:v>
      </x:c>
      <x:c r="E7084" s="13" t="str">
        <x:v>Oil, Gas &amp; Petrochemicals</x:v>
      </x:c>
      <x:c r="F7084" s="13" t="str">
        <x:v>Deep Cyclicals</x:v>
      </x:c>
      <x:c r="G7084" s="13" t="str">
        <x:v>grid_cqzdsc3v.xlsx</x:v>
      </x:c>
    </x:row>
    <x:row r="7085">
      <x:c r="A7085" s="15" t="n">
        <x:v>43678</x:v>
      </x:c>
      <x:c r="B7085" s="13" t="str">
        <x:v>ULTRAPAR PARTICIPACOES SA</x:v>
      </x:c>
      <x:c r="C7085" s="16" t="n">
        <x:v>1236.6647543607</x:v>
      </x:c>
      <x:c r="D7085" s="13" t="str">
        <x:v>Oil, Gas &amp; Petrochemicals</x:v>
      </x:c>
      <x:c r="E7085" s="13" t="str">
        <x:v>Oil, Gas &amp; Petrochemicals</x:v>
      </x:c>
      <x:c r="F7085" s="13" t="str">
        <x:v>Deep Cyclicals</x:v>
      </x:c>
      <x:c r="G7085" s="13" t="str">
        <x:v>grid_cqzdsc3v.xlsx</x:v>
      </x:c>
    </x:row>
    <x:row r="7086">
      <x:c r="A7086" s="15" t="n">
        <x:v>43678</x:v>
      </x:c>
      <x:c r="B7086" s="13" t="str">
        <x:v>VIBRA ENERGIA SA</x:v>
      </x:c>
      <x:c r="C7086" s="16" t="n">
        <x:v>2469.8710368525</x:v>
      </x:c>
      <x:c r="D7086" s="13" t="str">
        <x:v>Oil, Gas &amp; Petrochemicals</x:v>
      </x:c>
      <x:c r="E7086" s="13" t="str">
        <x:v>Oil, Gas &amp; Petrochemicals</x:v>
      </x:c>
      <x:c r="F7086" s="13" t="str">
        <x:v>Deep Cyclicals</x:v>
      </x:c>
      <x:c r="G7086" s="13" t="str">
        <x:v>grid_cqzdsc3v.xlsx</x:v>
      </x:c>
    </x:row>
    <x:row r="7087">
      <x:c r="A7087" s="15" t="n">
        <x:v>43678</x:v>
      </x:c>
      <x:c r="B7087" s="13" t="str">
        <x:v>KLABIN SA - UNIT</x:v>
      </x:c>
      <x:c r="C7087" s="16" t="n">
        <x:v>544.4527024262</x:v>
      </x:c>
      <x:c r="D7087" s="13" t="str">
        <x:v>Pulp &amp; Paper</x:v>
      </x:c>
      <x:c r="E7087" s="13" t="str">
        <x:v>Pulp &amp; Paper</x:v>
      </x:c>
      <x:c r="F7087" s="13" t="str">
        <x:v>Deep Cyclicals</x:v>
      </x:c>
      <x:c r="G7087" s="13" t="str">
        <x:v>grid_cqzdsc3v.xlsx</x:v>
      </x:c>
    </x:row>
    <x:row r="7088">
      <x:c r="A7088" s="15" t="n">
        <x:v>43678</x:v>
      </x:c>
      <x:c r="B7088" s="13" t="str">
        <x:v>SUZANO SA</x:v>
      </x:c>
      <x:c r="C7088" s="16" t="n">
        <x:v>4122.9069933115</x:v>
      </x:c>
      <x:c r="D7088" s="13" t="str">
        <x:v>Pulp &amp; Paper</x:v>
      </x:c>
      <x:c r="E7088" s="13" t="str">
        <x:v>Pulp &amp; Paper</x:v>
      </x:c>
      <x:c r="F7088" s="13" t="str">
        <x:v>Deep Cyclicals</x:v>
      </x:c>
      <x:c r="G7088" s="13" t="str">
        <x:v>grid_cqzdsc3v.xlsx</x:v>
      </x:c>
    </x:row>
    <x:row r="7089">
      <x:c r="A7089" s="15" t="n">
        <x:v>43678</x:v>
      </x:c>
      <x:c r="B7089" s="13" t="str">
        <x:v>AMERICANAS SA</x:v>
      </x:c>
      <x:c r="C7089" s="16" t="n">
        <x:v>-174.5868032787</x:v>
      </x:c>
      <x:c r="D7089" s="13" t="str">
        <x:v>Retail</x:v>
      </x:c>
      <x:c r="E7089" s="13" t="str">
        <x:v>Retail</x:v>
      </x:c>
      <x:c r="F7089" s="13" t="str">
        <x:v>Early Cyclicals</x:v>
      </x:c>
      <x:c r="G7089" s="13" t="str">
        <x:v>grid_cqzdsc3v.xlsx</x:v>
      </x:c>
    </x:row>
    <x:row r="7090">
      <x:c r="A7090" s="15" t="n">
        <x:v>43678</x:v>
      </x:c>
      <x:c r="B7090" s="13" t="str">
        <x:v>CIA BRASILEIRA DE DIS-PREF</x:v>
      </x:c>
      <x:c r="C7090" s="16" t="n">
        <x:v>1324.6566232131</x:v>
      </x:c>
      <x:c r="D7090" s="13" t="str">
        <x:v>Retail</x:v>
      </x:c>
      <x:c r="E7090" s="13" t="str">
        <x:v>Retail</x:v>
      </x:c>
      <x:c r="F7090" s="13" t="str">
        <x:v>Early Cyclicals</x:v>
      </x:c>
      <x:c r="G7090" s="13" t="str">
        <x:v>grid_cqzdsc3v.xlsx</x:v>
      </x:c>
    </x:row>
    <x:row r="7091">
      <x:c r="A7091" s="15" t="n">
        <x:v>43678</x:v>
      </x:c>
      <x:c r="B7091" s="13" t="str">
        <x:v>CVC BRASIL OPERADORA E AGENC</x:v>
      </x:c>
      <x:c r="C7091" s="16" t="n">
        <x:v>437.1198772459</x:v>
      </x:c>
      <x:c r="D7091" s="13" t="str">
        <x:v>Retail</x:v>
      </x:c>
      <x:c r="E7091" s="13" t="str">
        <x:v>Retail</x:v>
      </x:c>
      <x:c r="F7091" s="13" t="str">
        <x:v>Early Cyclicals</x:v>
      </x:c>
      <x:c r="G7091" s="13" t="str">
        <x:v>grid_cqzdsc3v.xlsx</x:v>
      </x:c>
    </x:row>
    <x:row r="7092">
      <x:c r="A7092" s="15" t="n">
        <x:v>43678</x:v>
      </x:c>
      <x:c r="B7092" s="13" t="str">
        <x:v>GRUPO CASAS BAHIA SA</x:v>
      </x:c>
      <x:c r="C7092" s="16" t="n">
        <x:v>364.150773377</x:v>
      </x:c>
      <x:c r="D7092" s="13" t="str">
        <x:v>Retail</x:v>
      </x:c>
      <x:c r="E7092" s="13" t="str">
        <x:v>Retail</x:v>
      </x:c>
      <x:c r="F7092" s="13" t="str">
        <x:v>Early Cyclicals</x:v>
      </x:c>
      <x:c r="G7092" s="13" t="str">
        <x:v>grid_cqzdsc3v.xlsx</x:v>
      </x:c>
    </x:row>
    <x:row r="7093">
      <x:c r="A7093" s="15" t="n">
        <x:v>43678</x:v>
      </x:c>
      <x:c r="B7093" s="13" t="str">
        <x:v>LOJAS AMERICANAS SA-PREF</x:v>
      </x:c>
      <x:c r="C7093" s="16" t="n">
        <x:v>828.4602371148</x:v>
      </x:c>
      <x:c r="D7093" s="13" t="str">
        <x:v>Retail</x:v>
      </x:c>
      <x:c r="E7093" s="13" t="str">
        <x:v>Retail</x:v>
      </x:c>
      <x:c r="F7093" s="13" t="str">
        <x:v>Early Cyclicals</x:v>
      </x:c>
      <x:c r="G7093" s="13" t="str">
        <x:v>grid_cqzdsc3v.xlsx</x:v>
      </x:c>
    </x:row>
    <x:row r="7094">
      <x:c r="A7094" s="15" t="n">
        <x:v>43678</x:v>
      </x:c>
      <x:c r="B7094" s="13" t="str">
        <x:v>LOJAS RENNER S.A.</x:v>
      </x:c>
      <x:c r="C7094" s="16" t="n">
        <x:v>1345.4018140328</x:v>
      </x:c>
      <x:c r="D7094" s="13" t="str">
        <x:v>Retail</x:v>
      </x:c>
      <x:c r="E7094" s="13" t="str">
        <x:v>Retail</x:v>
      </x:c>
      <x:c r="F7094" s="13" t="str">
        <x:v>Early Cyclicals</x:v>
      </x:c>
      <x:c r="G7094" s="13" t="str">
        <x:v>grid_cqzdsc3v.xlsx</x:v>
      </x:c>
    </x:row>
    <x:row r="7095">
      <x:c r="A7095" s="15" t="n">
        <x:v>43678</x:v>
      </x:c>
      <x:c r="B7095" s="13" t="str">
        <x:v>MAGAZINE LUIZA SA</x:v>
      </x:c>
      <x:c r="C7095" s="16" t="n">
        <x:v>755.2242953443</x:v>
      </x:c>
      <x:c r="D7095" s="13" t="str">
        <x:v>Retail</x:v>
      </x:c>
      <x:c r="E7095" s="13" t="str">
        <x:v>Retail</x:v>
      </x:c>
      <x:c r="F7095" s="13" t="str">
        <x:v>Early Cyclicals</x:v>
      </x:c>
      <x:c r="G7095" s="13" t="str">
        <x:v>grid_cqzdsc3v.xlsx</x:v>
      </x:c>
    </x:row>
    <x:row r="7096">
      <x:c r="A7096" s="15" t="n">
        <x:v>43678</x:v>
      </x:c>
      <x:c r="B7096" s="13" t="str">
        <x:v>RAIA DROGASIL SA</x:v>
      </x:c>
      <x:c r="C7096" s="16" t="n">
        <x:v>634.7366908852</x:v>
      </x:c>
      <x:c r="D7096" s="13" t="str">
        <x:v>Retail</x:v>
      </x:c>
      <x:c r="E7096" s="13" t="str">
        <x:v>Retail</x:v>
      </x:c>
      <x:c r="F7096" s="13" t="str">
        <x:v>Early Cyclicals</x:v>
      </x:c>
      <x:c r="G7096" s="13" t="str">
        <x:v>grid_cqzdsc3v.xlsx</x:v>
      </x:c>
    </x:row>
    <x:row r="7097">
      <x:c r="A7097" s="15" t="n">
        <x:v>43678</x:v>
      </x:c>
      <x:c r="B7097" s="13" t="str">
        <x:v>CIA SANEAMENTO BASICO DE SP</x:v>
      </x:c>
      <x:c r="C7097" s="16" t="n">
        <x:v>3016.8215144918</x:v>
      </x:c>
      <x:c r="D7097" s="13" t="str">
        <x:v>Sanitation</x:v>
      </x:c>
      <x:c r="E7097" s="13" t="str">
        <x:v>Utilities</x:v>
      </x:c>
      <x:c r="F7097" s="13" t="str">
        <x:v>Defensives</x:v>
      </x:c>
      <x:c r="G7097" s="13" t="str">
        <x:v>grid_cqzdsc3v.xlsx</x:v>
      </x:c>
    </x:row>
    <x:row r="7098">
      <x:c r="A7098" s="15" t="n">
        <x:v>43678</x:v>
      </x:c>
      <x:c r="B7098" s="13" t="str">
        <x:v>SMILES FIDELIDADE SA</x:v>
      </x:c>
      <x:c r="C7098" s="16" t="n">
        <x:v>653.5823989508</x:v>
      </x:c>
      <x:c r="D7098" s="13" t="str">
        <x:v>TMT</x:v>
      </x:c>
      <x:c r="E7098" s="13" t="str">
        <x:v>TMT</x:v>
      </x:c>
      <x:c r="F7098" s="13" t="str">
        <x:v>Early Cyclicals</x:v>
      </x:c>
      <x:c r="G7098" s="13" t="str">
        <x:v>grid_cqzdsc3v.xlsx</x:v>
      </x:c>
    </x:row>
    <x:row r="7099">
      <x:c r="A7099" s="15" t="n">
        <x:v>43678</x:v>
      </x:c>
      <x:c r="B7099" s="13" t="str">
        <x:v>TELEFONICA BRASIL S.A.-PREF</x:v>
      </x:c>
      <x:c r="C7099" s="16" t="n">
        <x:v>5893.4325843934</x:v>
      </x:c>
      <x:c r="D7099" s="13" t="str">
        <x:v>TMT</x:v>
      </x:c>
      <x:c r="E7099" s="13" t="str">
        <x:v>TMT</x:v>
      </x:c>
      <x:c r="F7099" s="13" t="str">
        <x:v>Early Cyclicals</x:v>
      </x:c>
      <x:c r="G7099" s="13" t="str">
        <x:v>grid_cqzdsc3v.xlsx</x:v>
      </x:c>
    </x:row>
    <x:row r="7100">
      <x:c r="A7100" s="15" t="n">
        <x:v>43678</x:v>
      </x:c>
      <x:c r="B7100" s="13" t="str">
        <x:v>TIM SA</x:v>
      </x:c>
      <x:c r="C7100" s="16" t="n">
        <x:v>1921.2623003279</x:v>
      </x:c>
      <x:c r="D7100" s="13" t="str">
        <x:v>TMT</x:v>
      </x:c>
      <x:c r="E7100" s="13" t="str">
        <x:v>TMT</x:v>
      </x:c>
      <x:c r="F7100" s="13" t="str">
        <x:v>Early Cyclicals</x:v>
      </x:c>
      <x:c r="G7100" s="13" t="str">
        <x:v>grid_cqzdsc3v.xlsx</x:v>
      </x:c>
    </x:row>
    <x:row r="7101">
      <x:c r="A7101" s="15" t="n">
        <x:v>43678</x:v>
      </x:c>
      <x:c r="B7101" s="13" t="str">
        <x:v>AZUL SA</x:v>
      </x:c>
      <x:c r="C7101" s="16" t="n">
        <x:v>1118.6826601967</x:v>
      </x:c>
      <x:c r="D7101" s="13" t="str">
        <x:v>Transportation</x:v>
      </x:c>
      <x:c r="E7101" s="13" t="str">
        <x:v>Transportation</x:v>
      </x:c>
      <x:c r="F7101" s="13" t="str">
        <x:v>Deep Cyclicals</x:v>
      </x:c>
      <x:c r="G7101" s="13" t="str">
        <x:v>grid_cqzdsc3v.xlsx</x:v>
      </x:c>
    </x:row>
    <x:row r="7102">
      <x:c r="A7102" s="15" t="n">
        <x:v>43678</x:v>
      </x:c>
      <x:c r="B7102" s="13" t="str">
        <x:v>ECORODOVIAS INFRA E LOG SA</x:v>
      </x:c>
      <x:c r="C7102" s="16" t="n">
        <x:v>545.2976697705</x:v>
      </x:c>
      <x:c r="D7102" s="13" t="str">
        <x:v>Transportation</x:v>
      </x:c>
      <x:c r="E7102" s="13" t="str">
        <x:v>Transportation</x:v>
      </x:c>
      <x:c r="F7102" s="13" t="str">
        <x:v>Deep Cyclicals</x:v>
      </x:c>
      <x:c r="G7102" s="13" t="str">
        <x:v>grid_cqzdsc3v.xlsx</x:v>
      </x:c>
    </x:row>
    <x:row r="7103">
      <x:c r="A7103" s="15" t="n">
        <x:v>43678</x:v>
      </x:c>
      <x:c r="B7103" s="13" t="str">
        <x:v>GOL LINHAS AEREAS INT SA-PRE</x:v>
      </x:c>
      <x:c r="C7103" s="16" t="n">
        <x:v>909.921972459</x:v>
      </x:c>
      <x:c r="D7103" s="13" t="str">
        <x:v>Transportation</x:v>
      </x:c>
      <x:c r="E7103" s="13" t="str">
        <x:v>Transportation</x:v>
      </x:c>
      <x:c r="F7103" s="13" t="str">
        <x:v>Deep Cyclicals</x:v>
      </x:c>
      <x:c r="G7103" s="13" t="str">
        <x:v>grid_cqzdsc3v.xlsx</x:v>
      </x:c>
    </x:row>
    <x:row r="7104">
      <x:c r="A7104" s="15" t="n">
        <x:v>43678</x:v>
      </x:c>
      <x:c r="B7104" s="13" t="str">
        <x:v>LOCALIZA RENT A CAR</x:v>
      </x:c>
      <x:c r="C7104" s="16" t="n">
        <x:v>1104.405748459</x:v>
      </x:c>
      <x:c r="D7104" s="13" t="str">
        <x:v>Transportation</x:v>
      </x:c>
      <x:c r="E7104" s="13" t="str">
        <x:v>Transportation</x:v>
      </x:c>
      <x:c r="F7104" s="13" t="str">
        <x:v>Deep Cyclicals</x:v>
      </x:c>
      <x:c r="G7104" s="13" t="str">
        <x:v>grid_cqzdsc3v.xlsx</x:v>
      </x:c>
    </x:row>
    <x:row r="7105">
      <x:c r="A7105" s="15" t="n">
        <x:v>43678</x:v>
      </x:c>
      <x:c r="B7105" s="13" t="str">
        <x:v>MOTIVA INFRAESTRUTURA DE MOB</x:v>
      </x:c>
      <x:c r="C7105" s="16" t="n">
        <x:v>2150.9393227541</x:v>
      </x:c>
      <x:c r="D7105" s="13" t="str">
        <x:v>Transportation</x:v>
      </x:c>
      <x:c r="E7105" s="13" t="str">
        <x:v>Transportation</x:v>
      </x:c>
      <x:c r="F7105" s="13" t="str">
        <x:v>Deep Cyclicals</x:v>
      </x:c>
      <x:c r="G7105" s="13" t="str">
        <x:v>grid_cqzdsc3v.xlsx</x:v>
      </x:c>
    </x:row>
    <x:row r="7106">
      <x:c r="A7106" s="15" t="n">
        <x:v>43678</x:v>
      </x:c>
      <x:c r="B7106" s="13" t="str">
        <x:v>RUMO SA</x:v>
      </x:c>
      <x:c r="C7106" s="16" t="n">
        <x:v>1048.3639281312</x:v>
      </x:c>
      <x:c r="D7106" s="13" t="str">
        <x:v>Transportation</x:v>
      </x:c>
      <x:c r="E7106" s="13" t="str">
        <x:v>Transportation</x:v>
      </x:c>
      <x:c r="F7106" s="13" t="str">
        <x:v>Deep Cyclicals</x:v>
      </x:c>
      <x:c r="G7106" s="13" t="str">
        <x:v>grid_cqzdsc3v.xlsx</x:v>
      </x:c>
    </x:row>
    <x:row r="7107">
      <x:c r="A7107" s="15" t="n">
        <x:v>43678</x:v>
      </x:c>
      <x:c r="B7107" s="13" t="str">
        <x:v>AXIA ENERGIA SA</x:v>
      </x:c>
      <x:c r="C7107" s="16" t="n">
        <x:v>7319.5573340328</x:v>
      </x:c>
      <x:c r="D7107" s="13" t="str">
        <x:v>Utilities &amp; Energy</x:v>
      </x:c>
      <x:c r="E7107" s="13" t="str">
        <x:v>Utilities</x:v>
      </x:c>
      <x:c r="F7107" s="13" t="str">
        <x:v>Defensives</x:v>
      </x:c>
      <x:c r="G7107" s="13" t="str">
        <x:v>grid_cqzdsc3v.xlsx</x:v>
      </x:c>
    </x:row>
    <x:row r="7108">
      <x:c r="A7108" s="15" t="n">
        <x:v>43678</x:v>
      </x:c>
      <x:c r="B7108" s="13" t="str">
        <x:v>AXIA ENERGIA-PR B</x:v>
      </x:c>
      <x:c r="C7108" s="16" t="n">
        <x:v>7319.5573340328</x:v>
      </x:c>
      <x:c r="D7108" s="13" t="str">
        <x:v>Utilities &amp; Energy</x:v>
      </x:c>
      <x:c r="E7108" s="13" t="str">
        <x:v>Utilities</x:v>
      </x:c>
      <x:c r="F7108" s="13" t="str">
        <x:v>Defensives</x:v>
      </x:c>
      <x:c r="G7108" s="13" t="str">
        <x:v>grid_cqzdsc3v.xlsx</x:v>
      </x:c>
    </x:row>
    <x:row r="7109">
      <x:c r="A7109" s="15" t="n">
        <x:v>43678</x:v>
      </x:c>
      <x:c r="B7109" s="13" t="str">
        <x:v>CIA ENERGETICA MINAS GER-PRF</x:v>
      </x:c>
      <x:c r="C7109" s="16" t="n">
        <x:v>2290.2150337049</x:v>
      </x:c>
      <x:c r="D7109" s="13" t="str">
        <x:v>Utilities &amp; Energy</x:v>
      </x:c>
      <x:c r="E7109" s="13" t="str">
        <x:v>Utilities</x:v>
      </x:c>
      <x:c r="F7109" s="13" t="str">
        <x:v>Defensives</x:v>
      </x:c>
      <x:c r="G7109" s="13" t="str">
        <x:v>grid_cqzdsc3v.xlsx</x:v>
      </x:c>
    </x:row>
    <x:row r="7110">
      <x:c r="A7110" s="15" t="n">
        <x:v>43678</x:v>
      </x:c>
      <x:c r="B7110" s="13" t="str">
        <x:v>EDP - ENERGIAS DO BRASIL SA</x:v>
      </x:c>
      <x:c r="C7110" s="16" t="n">
        <x:v>962.0674376393</x:v>
      </x:c>
      <x:c r="D7110" s="13" t="str">
        <x:v>Utilities &amp; Energy</x:v>
      </x:c>
      <x:c r="E7110" s="13" t="str">
        <x:v>Utilities</x:v>
      </x:c>
      <x:c r="F7110" s="13" t="str">
        <x:v>Defensives</x:v>
      </x:c>
      <x:c r="G7110" s="13" t="str">
        <x:v>grid_cqzdsc3v.xlsx</x:v>
      </x:c>
    </x:row>
    <x:row r="7111">
      <x:c r="A7111" s="15" t="n">
        <x:v>43678</x:v>
      </x:c>
      <x:c r="B7111" s="13" t="str">
        <x:v>ENGIE BRASIL ENERGIA SA</x:v>
      </x:c>
      <x:c r="C7111" s="16" t="n">
        <x:v>2660.6211210492</x:v>
      </x:c>
      <x:c r="D7111" s="13" t="str">
        <x:v>Utilities &amp; Energy</x:v>
      </x:c>
      <x:c r="E7111" s="13" t="str">
        <x:v>Utilities</x:v>
      </x:c>
      <x:c r="F7111" s="13" t="str">
        <x:v>Defensives</x:v>
      </x:c>
      <x:c r="G7111" s="13" t="str">
        <x:v>grid_cqzdsc3v.xlsx</x:v>
      </x:c>
    </x:row>
    <x:row r="7112">
      <x:c r="A7112" s="15" t="n">
        <x:v>43678</x:v>
      </x:c>
      <x:c r="B7112" s="13" t="str">
        <x:v>EQUATORIAL SA - ORD</x:v>
      </x:c>
      <x:c r="C7112" s="16" t="n">
        <x:v>900.668852459</x:v>
      </x:c>
      <x:c r="D7112" s="13" t="str">
        <x:v>Utilities &amp; Energy</x:v>
      </x:c>
      <x:c r="E7112" s="13" t="str">
        <x:v>Utilities</x:v>
      </x:c>
      <x:c r="F7112" s="13" t="str">
        <x:v>Defensives</x:v>
      </x:c>
      <x:c r="G7112" s="13" t="str">
        <x:v>grid_cqzdsc3v.xlsx</x:v>
      </x:c>
    </x:row>
    <x:row r="7113">
      <x:c r="A7113" s="15" t="n">
        <x:v>43678</x:v>
      </x:c>
      <x:c r="B7113" s="13" t="str">
        <x:v>TRANSMISSORA ALIANCA DE-UNIT</x:v>
      </x:c>
      <x:c r="C7113" s="16" t="n">
        <x:v>809.0774483934</x:v>
      </x:c>
      <x:c r="D7113" s="13" t="str">
        <x:v>Utilities &amp; Energy</x:v>
      </x:c>
      <x:c r="E7113" s="13" t="str">
        <x:v>Utilities</x:v>
      </x:c>
      <x:c r="F7113" s="13" t="str">
        <x:v>Defensives</x:v>
      </x:c>
      <x:c r="G7113" s="13" t="str">
        <x:v>grid_cqzdsc3v.xlsx</x:v>
      </x:c>
    </x:row>
    <x:row r="7114">
      <x:c r="A7114" s="15" t="n">
        <x:v>43709</x:v>
      </x:c>
      <x:c r="B7114" s="13" t="str">
        <x:v>BANCO BRADESCO S.A.</x:v>
      </x:c>
      <x:c r="C7114" s="16" t="n">
        <x:v>27803.7312405683</x:v>
      </x:c>
      <x:c r="D7114" s="13" t="str">
        <x:v>Banks</x:v>
      </x:c>
      <x:c r="E7114" s="13" t="str">
        <x:v>Banks</x:v>
      </x:c>
      <x:c r="F7114" s="13" t="str">
        <x:v>Financials</x:v>
      </x:c>
      <x:c r="G7114" s="13" t="str">
        <x:v>grid_cqzdsc3v.xlsx</x:v>
      </x:c>
    </x:row>
    <x:row r="7115">
      <x:c r="A7115" s="15" t="n">
        <x:v>43709</x:v>
      </x:c>
      <x:c r="B7115" s="13" t="str">
        <x:v>BANCO BRADESCO SA-PREF</x:v>
      </x:c>
      <x:c r="C7115" s="16" t="n">
        <x:v>27803.7312405683</x:v>
      </x:c>
      <x:c r="D7115" s="13" t="str">
        <x:v>Banks</x:v>
      </x:c>
      <x:c r="E7115" s="13" t="str">
        <x:v>Banks</x:v>
      </x:c>
      <x:c r="F7115" s="13" t="str">
        <x:v>Financials</x:v>
      </x:c>
      <x:c r="G7115" s="13" t="str">
        <x:v>grid_cqzdsc3v.xlsx</x:v>
      </x:c>
    </x:row>
    <x:row r="7116">
      <x:c r="A7116" s="15" t="n">
        <x:v>43709</x:v>
      </x:c>
      <x:c r="B7116" s="13" t="str">
        <x:v>BANCO BTG PACTUAL SA-UNIT</x:v>
      </x:c>
      <x:c r="C7116" s="16" t="n">
        <x:v>3827.595896306</x:v>
      </x:c>
      <x:c r="D7116" s="13" t="str">
        <x:v>Banks</x:v>
      </x:c>
      <x:c r="E7116" s="13" t="str">
        <x:v>Banks</x:v>
      </x:c>
      <x:c r="F7116" s="13" t="str">
        <x:v>Financials</x:v>
      </x:c>
      <x:c r="G7116" s="13" t="str">
        <x:v>grid_cqzdsc3v.xlsx</x:v>
      </x:c>
    </x:row>
    <x:row r="7117">
      <x:c r="A7117" s="15" t="n">
        <x:v>43709</x:v>
      </x:c>
      <x:c r="B7117" s="13" t="str">
        <x:v>BANCO DO BRASIL S.A.</x:v>
      </x:c>
      <x:c r="C7117" s="16" t="n">
        <x:v>18330.5863749945</x:v>
      </x:c>
      <x:c r="D7117" s="13" t="str">
        <x:v>Banks</x:v>
      </x:c>
      <x:c r="E7117" s="13" t="str">
        <x:v>Banks</x:v>
      </x:c>
      <x:c r="F7117" s="13" t="str">
        <x:v>Financials</x:v>
      </x:c>
      <x:c r="G7117" s="13" t="str">
        <x:v>grid_cqzdsc3v.xlsx</x:v>
      </x:c>
    </x:row>
    <x:row r="7118">
      <x:c r="A7118" s="15" t="n">
        <x:v>43709</x:v>
      </x:c>
      <x:c r="B7118" s="13" t="str">
        <x:v>BANCO SANTANDER  BRASIL-UNIT</x:v>
      </x:c>
      <x:c r="C7118" s="16" t="n">
        <x:v>15156.0882500546</x:v>
      </x:c>
      <x:c r="D7118" s="13" t="str">
        <x:v>Banks</x:v>
      </x:c>
      <x:c r="E7118" s="13" t="str">
        <x:v>Banks</x:v>
      </x:c>
      <x:c r="F7118" s="13" t="str">
        <x:v>Financials</x:v>
      </x:c>
      <x:c r="G7118" s="13" t="str">
        <x:v>grid_cqzdsc3v.xlsx</x:v>
      </x:c>
    </x:row>
    <x:row r="7119">
      <x:c r="A7119" s="15" t="n">
        <x:v>43709</x:v>
      </x:c>
      <x:c r="B7119" s="13" t="str">
        <x:v>ITAU UNIBANCO HOLDING S-PREF</x:v>
      </x:c>
      <x:c r="C7119" s="16" t="n">
        <x:v>29768.6777005464</x:v>
      </x:c>
      <x:c r="D7119" s="13" t="str">
        <x:v>Banks</x:v>
      </x:c>
      <x:c r="E7119" s="13" t="str">
        <x:v>Banks</x:v>
      </x:c>
      <x:c r="F7119" s="13" t="str">
        <x:v>Financials</x:v>
      </x:c>
      <x:c r="G7119" s="13" t="str">
        <x:v>grid_cqzdsc3v.xlsx</x:v>
      </x:c>
    </x:row>
    <x:row r="7120">
      <x:c r="A7120" s="15" t="n">
        <x:v>43709</x:v>
      </x:c>
      <x:c r="B7120" s="13" t="str">
        <x:v>EMBRAER SA</x:v>
      </x:c>
      <x:c r="C7120" s="16" t="n">
        <x:v>856.3690054645</x:v>
      </x:c>
      <x:c r="D7120" s="13" t="str">
        <x:v>Capital Goods</x:v>
      </x:c>
      <x:c r="E7120" s="13" t="str">
        <x:v>Capital Goods</x:v>
      </x:c>
      <x:c r="F7120" s="13" t="str">
        <x:v>Deep Cyclicals</x:v>
      </x:c>
      <x:c r="G7120" s="13" t="str">
        <x:v>grid_cqzdsc3v.xlsx</x:v>
      </x:c>
    </x:row>
    <x:row r="7121">
      <x:c r="A7121" s="15" t="n">
        <x:v>43709</x:v>
      </x:c>
      <x:c r="B7121" s="13" t="str">
        <x:v>WEG SA</x:v>
      </x:c>
      <x:c r="C7121" s="16" t="n">
        <x:v>1697.5137545792</x:v>
      </x:c>
      <x:c r="D7121" s="13" t="str">
        <x:v>Capital Goods</x:v>
      </x:c>
      <x:c r="E7121" s="13" t="str">
        <x:v>Capital Goods</x:v>
      </x:c>
      <x:c r="F7121" s="13" t="str">
        <x:v>Deep Cyclicals</x:v>
      </x:c>
      <x:c r="G7121" s="13" t="str">
        <x:v>grid_cqzdsc3v.xlsx</x:v>
      </x:c>
    </x:row>
    <x:row r="7122">
      <x:c r="A7122" s="15" t="n">
        <x:v>43709</x:v>
      </x:c>
      <x:c r="B7122" s="13" t="str">
        <x:v>COGNA EDUCACAO</x:v>
      </x:c>
      <x:c r="C7122" s="16" t="n">
        <x:v>1375.213763847</x:v>
      </x:c>
      <x:c r="D7122" s="13" t="str">
        <x:v>Education</x:v>
      </x:c>
      <x:c r="E7122" s="13" t="str">
        <x:v>Education</x:v>
      </x:c>
      <x:c r="F7122" s="13" t="str">
        <x:v>Early Cyclicals</x:v>
      </x:c>
      <x:c r="G7122" s="13" t="str">
        <x:v>grid_cqzdsc3v.xlsx</x:v>
      </x:c>
    </x:row>
    <x:row r="7123">
      <x:c r="A7123" s="15" t="n">
        <x:v>43709</x:v>
      </x:c>
      <x:c r="B7123" s="13" t="str">
        <x:v>YDUQS PARTICIPACOES SA</x:v>
      </x:c>
      <x:c r="C7123" s="16" t="n">
        <x:v>877.1344262295</x:v>
      </x:c>
      <x:c r="D7123" s="13" t="str">
        <x:v>Education</x:v>
      </x:c>
      <x:c r="E7123" s="13" t="str">
        <x:v>Education</x:v>
      </x:c>
      <x:c r="F7123" s="13" t="str">
        <x:v>Early Cyclicals</x:v>
      </x:c>
      <x:c r="G7123" s="13" t="str">
        <x:v>grid_cqzdsc3v.xlsx</x:v>
      </x:c>
    </x:row>
    <x:row r="7124">
      <x:c r="A7124" s="15" t="n">
        <x:v>43709</x:v>
      </x:c>
      <x:c r="B7124" s="13" t="str">
        <x:v>B3 SA-BRASIL BOLSA BALCAO</x:v>
      </x:c>
      <x:c r="C7124" s="16" t="n">
        <x:v>3614.3650539016</x:v>
      </x:c>
      <x:c r="D7124" s="13" t="str">
        <x:v>Financials Non-Banks</x:v>
      </x:c>
      <x:c r="E7124" s="13" t="str">
        <x:v>Financials Non-Banks</x:v>
      </x:c>
      <x:c r="F7124" s="13" t="str">
        <x:v>Financials</x:v>
      </x:c>
      <x:c r="G7124" s="13" t="str">
        <x:v>grid_cqzdsc3v.xlsx</x:v>
      </x:c>
    </x:row>
    <x:row r="7125">
      <x:c r="A7125" s="15" t="n">
        <x:v>43709</x:v>
      </x:c>
      <x:c r="B7125" s="13" t="str">
        <x:v>BB SEGURIDADE PARTICIPACOES</x:v>
      </x:c>
      <x:c r="C7125" s="16" t="n">
        <x:v>4182.5863442186</x:v>
      </x:c>
      <x:c r="D7125" s="13" t="str">
        <x:v>Financials Non-Banks</x:v>
      </x:c>
      <x:c r="E7125" s="13" t="str">
        <x:v>Financials Non-Banks</x:v>
      </x:c>
      <x:c r="F7125" s="13" t="str">
        <x:v>Financials</x:v>
      </x:c>
      <x:c r="G7125" s="13" t="str">
        <x:v>grid_cqzdsc3v.xlsx</x:v>
      </x:c>
    </x:row>
    <x:row r="7126">
      <x:c r="A7126" s="15" t="n">
        <x:v>43709</x:v>
      </x:c>
      <x:c r="B7126" s="13" t="str">
        <x:v>CIELO SA - INSTITUICAO DE PA</x:v>
      </x:c>
      <x:c r="C7126" s="16" t="n">
        <x:v>1798.2710529399</x:v>
      </x:c>
      <x:c r="D7126" s="13" t="str">
        <x:v>Financials Non-Banks</x:v>
      </x:c>
      <x:c r="E7126" s="13" t="str">
        <x:v>Financials Non-Banks</x:v>
      </x:c>
      <x:c r="F7126" s="13" t="str">
        <x:v>Financials</x:v>
      </x:c>
      <x:c r="G7126" s="13" t="str">
        <x:v>grid_cqzdsc3v.xlsx</x:v>
      </x:c>
    </x:row>
    <x:row r="7127">
      <x:c r="A7127" s="15" t="n">
        <x:v>43709</x:v>
      </x:c>
      <x:c r="B7127" s="13" t="str">
        <x:v>IRB BRASIL RESSEGUROS SA</x:v>
      </x:c>
      <x:c r="C7127" s="16" t="n">
        <x:v>1826.5823111694</x:v>
      </x:c>
      <x:c r="D7127" s="13" t="str">
        <x:v>Financials Non-Banks</x:v>
      </x:c>
      <x:c r="E7127" s="13" t="str">
        <x:v>Financials Non-Banks</x:v>
      </x:c>
      <x:c r="F7127" s="13" t="str">
        <x:v>Financials</x:v>
      </x:c>
      <x:c r="G7127" s="13" t="str">
        <x:v>grid_cqzdsc3v.xlsx</x:v>
      </x:c>
    </x:row>
    <x:row r="7128">
      <x:c r="A7128" s="15" t="n">
        <x:v>43709</x:v>
      </x:c>
      <x:c r="B7128" s="13" t="str">
        <x:v>ITAUSA SA</x:v>
      </x:c>
      <x:c r="C7128" s="16" t="n">
        <x:v>10928.6445660328</x:v>
      </x:c>
      <x:c r="D7128" s="13" t="str">
        <x:v>Financials Non-Banks</x:v>
      </x:c>
      <x:c r="E7128" s="13" t="str">
        <x:v>Financials Non-Banks</x:v>
      </x:c>
      <x:c r="F7128" s="13" t="str">
        <x:v>Financials</x:v>
      </x:c>
      <x:c r="G7128" s="13" t="str">
        <x:v>grid_cqzdsc3v.xlsx</x:v>
      </x:c>
    </x:row>
    <x:row r="7129">
      <x:c r="A7129" s="15" t="n">
        <x:v>43709</x:v>
      </x:c>
      <x:c r="B7129" s="13" t="str">
        <x:v>AMBEV SA</x:v>
      </x:c>
      <x:c r="C7129" s="16" t="n">
        <x:v>13410.2971565464</x:v>
      </x:c>
      <x:c r="D7129" s="13" t="str">
        <x:v>Food &amp; Beverages</x:v>
      </x:c>
      <x:c r="E7129" s="13" t="str">
        <x:v>Agri, Food &amp; Beverages</x:v>
      </x:c>
      <x:c r="F7129" s="13" t="str">
        <x:v>Defensives</x:v>
      </x:c>
      <x:c r="G7129" s="13" t="str">
        <x:v>grid_cqzdsc3v.xlsx</x:v>
      </x:c>
    </x:row>
    <x:row r="7130">
      <x:c r="A7130" s="15" t="n">
        <x:v>43709</x:v>
      </x:c>
      <x:c r="B7130" s="13" t="str">
        <x:v>BRF SA</x:v>
      </x:c>
      <x:c r="C7130" s="16" t="n">
        <x:v>946.8467759563</x:v>
      </x:c>
      <x:c r="D7130" s="13" t="str">
        <x:v>Food &amp; Beverages</x:v>
      </x:c>
      <x:c r="E7130" s="13" t="str">
        <x:v>Agri, Food &amp; Beverages</x:v>
      </x:c>
      <x:c r="F7130" s="13" t="str">
        <x:v>Defensives</x:v>
      </x:c>
      <x:c r="G7130" s="13" t="str">
        <x:v>grid_cqzdsc3v.xlsx</x:v>
      </x:c>
    </x:row>
    <x:row r="7131">
      <x:c r="A7131" s="15" t="n">
        <x:v>43709</x:v>
      </x:c>
      <x:c r="B7131" s="13" t="str">
        <x:v>JBS SA</x:v>
      </x:c>
      <x:c r="C7131" s="16" t="n">
        <x:v>7359.5409933989</x:v>
      </x:c>
      <x:c r="D7131" s="13" t="str">
        <x:v>Food &amp; Beverages</x:v>
      </x:c>
      <x:c r="E7131" s="13" t="str">
        <x:v>Agri, Food &amp; Beverages</x:v>
      </x:c>
      <x:c r="F7131" s="13" t="str">
        <x:v>Defensives</x:v>
      </x:c>
      <x:c r="G7131" s="13" t="str">
        <x:v>grid_cqzdsc3v.xlsx</x:v>
      </x:c>
    </x:row>
    <x:row r="7132">
      <x:c r="A7132" s="15" t="n">
        <x:v>43709</x:v>
      </x:c>
      <x:c r="B7132" s="13" t="str">
        <x:v>MBRF GLOBAL FOODS COMPANY SA</x:v>
      </x:c>
      <x:c r="C7132" s="16" t="n">
        <x:v>346.2820938142</x:v>
      </x:c>
      <x:c r="D7132" s="13" t="str">
        <x:v>Food &amp; Beverages</x:v>
      </x:c>
      <x:c r="E7132" s="13" t="str">
        <x:v>Agri, Food &amp; Beverages</x:v>
      </x:c>
      <x:c r="F7132" s="13" t="str">
        <x:v>Defensives</x:v>
      </x:c>
      <x:c r="G7132" s="13" t="str">
        <x:v>grid_cqzdsc3v.xlsx</x:v>
      </x:c>
    </x:row>
    <x:row r="7133">
      <x:c r="A7133" s="15" t="n">
        <x:v>43709</x:v>
      </x:c>
      <x:c r="B7133" s="13" t="str">
        <x:v>FLEURY SA</x:v>
      </x:c>
      <x:c r="C7133" s="16" t="n">
        <x:v>399.4588072568</x:v>
      </x:c>
      <x:c r="D7133" s="13" t="str">
        <x:v>Health Care</x:v>
      </x:c>
      <x:c r="E7133" s="13" t="str">
        <x:v>Health Care</x:v>
      </x:c>
      <x:c r="F7133" s="13" t="str">
        <x:v>Defensives</x:v>
      </x:c>
      <x:c r="G7133" s="13" t="str">
        <x:v>grid_cqzdsc3v.xlsx</x:v>
      </x:c>
    </x:row>
    <x:row r="7134">
      <x:c r="A7134" s="15" t="n">
        <x:v>43709</x:v>
      </x:c>
      <x:c r="B7134" s="13" t="str">
        <x:v>HYPERA SA</x:v>
      </x:c>
      <x:c r="C7134" s="16" t="n">
        <x:v>1216.144007694</x:v>
      </x:c>
      <x:c r="D7134" s="13" t="str">
        <x:v>Health Care</x:v>
      </x:c>
      <x:c r="E7134" s="13" t="str">
        <x:v>Health Care</x:v>
      </x:c>
      <x:c r="F7134" s="13" t="str">
        <x:v>Defensives</x:v>
      </x:c>
      <x:c r="G7134" s="13" t="str">
        <x:v>grid_cqzdsc3v.xlsx</x:v>
      </x:c>
    </x:row>
    <x:row r="7135">
      <x:c r="A7135" s="15" t="n">
        <x:v>43709</x:v>
      </x:c>
      <x:c r="B7135" s="13" t="str">
        <x:v>NOTRE DAME INTERMED PAR SA</x:v>
      </x:c>
      <x:c r="C7135" s="16" t="n">
        <x:v>756.4596875191</x:v>
      </x:c>
      <x:c r="D7135" s="13" t="str">
        <x:v>Health Care</x:v>
      </x:c>
      <x:c r="E7135" s="13" t="str">
        <x:v>Health Care</x:v>
      </x:c>
      <x:c r="F7135" s="13" t="str">
        <x:v>Defensives</x:v>
      </x:c>
      <x:c r="G7135" s="13" t="str">
        <x:v>grid_cqzdsc3v.xlsx</x:v>
      </x:c>
    </x:row>
    <x:row r="7136">
      <x:c r="A7136" s="15" t="n">
        <x:v>43709</x:v>
      </x:c>
      <x:c r="B7136" s="13" t="str">
        <x:v>QUALICORP CONS E CORR SEG SA</x:v>
      </x:c>
      <x:c r="C7136" s="16" t="n">
        <x:v>542.5781420765</x:v>
      </x:c>
      <x:c r="D7136" s="13" t="str">
        <x:v>Health Care</x:v>
      </x:c>
      <x:c r="E7136" s="13" t="str">
        <x:v>Health Care</x:v>
      </x:c>
      <x:c r="F7136" s="13" t="str">
        <x:v>Defensives</x:v>
      </x:c>
      <x:c r="G7136" s="13" t="str">
        <x:v>grid_cqzdsc3v.xlsx</x:v>
      </x:c>
    </x:row>
    <x:row r="7137">
      <x:c r="A7137" s="15" t="n">
        <x:v>43709</x:v>
      </x:c>
      <x:c r="B7137" s="13" t="str">
        <x:v>CYRELA BRAZIL REALTY SA EMP</x:v>
      </x:c>
      <x:c r="C7137" s="16" t="n">
        <x:v>488.4931913443</x:v>
      </x:c>
      <x:c r="D7137" s="13" t="str">
        <x:v>Homebuilders</x:v>
      </x:c>
      <x:c r="E7137" s="13" t="str">
        <x:v>Real Estate</x:v>
      </x:c>
      <x:c r="F7137" s="13" t="str">
        <x:v>Early Cyclicals</x:v>
      </x:c>
      <x:c r="G7137" s="13" t="str">
        <x:v>grid_cqzdsc3v.xlsx</x:v>
      </x:c>
    </x:row>
    <x:row r="7138">
      <x:c r="A7138" s="15" t="n">
        <x:v>43709</x:v>
      </x:c>
      <x:c r="B7138" s="13" t="str">
        <x:v>MRV ENGENHARIA</x:v>
      </x:c>
      <x:c r="C7138" s="16" t="n">
        <x:v>801.739731235</x:v>
      </x:c>
      <x:c r="D7138" s="13" t="str">
        <x:v>Homebuilders</x:v>
      </x:c>
      <x:c r="E7138" s="13" t="str">
        <x:v>Real Estate</x:v>
      </x:c>
      <x:c r="F7138" s="13" t="str">
        <x:v>Early Cyclicals</x:v>
      </x:c>
      <x:c r="G7138" s="13" t="str">
        <x:v>grid_cqzdsc3v.xlsx</x:v>
      </x:c>
    </x:row>
    <x:row r="7139">
      <x:c r="A7139" s="15" t="n">
        <x:v>43709</x:v>
      </x:c>
      <x:c r="B7139" s="13" t="str">
        <x:v>BR MALLS PARTICIPACOES SA</x:v>
      </x:c>
      <x:c r="C7139" s="16" t="n">
        <x:v>667.7527162404</x:v>
      </x:c>
      <x:c r="D7139" s="13" t="str">
        <x:v>Income Properties</x:v>
      </x:c>
      <x:c r="E7139" s="13" t="str">
        <x:v>Real Estate</x:v>
      </x:c>
      <x:c r="F7139" s="13" t="str">
        <x:v>Early Cyclicals</x:v>
      </x:c>
      <x:c r="G7139" s="13" t="str">
        <x:v>grid_cqzdsc3v.xlsx</x:v>
      </x:c>
    </x:row>
    <x:row r="7140">
      <x:c r="A7140" s="15" t="n">
        <x:v>43709</x:v>
      </x:c>
      <x:c r="B7140" s="13" t="str">
        <x:v>IGUATEMI EMP DE SHOPPING</x:v>
      </x:c>
      <x:c r="C7140" s="16" t="n">
        <x:v>301.6789637596</x:v>
      </x:c>
      <x:c r="D7140" s="13" t="str">
        <x:v>Income Properties</x:v>
      </x:c>
      <x:c r="E7140" s="13" t="str">
        <x:v>Real Estate</x:v>
      </x:c>
      <x:c r="F7140" s="13" t="str">
        <x:v>Early Cyclicals</x:v>
      </x:c>
      <x:c r="G7140" s="13" t="str">
        <x:v>grid_cqzdsc3v.xlsx</x:v>
      </x:c>
    </x:row>
    <x:row r="7141">
      <x:c r="A7141" s="15" t="n">
        <x:v>43709</x:v>
      </x:c>
      <x:c r="B7141" s="13" t="str">
        <x:v>MULTIPLAN EMPREENDIMENTOS</x:v>
      </x:c>
      <x:c r="C7141" s="16" t="n">
        <x:v>541.8513661202</x:v>
      </x:c>
      <x:c r="D7141" s="13" t="str">
        <x:v>Income Properties</x:v>
      </x:c>
      <x:c r="E7141" s="13" t="str">
        <x:v>Real Estate</x:v>
      </x:c>
      <x:c r="F7141" s="13" t="str">
        <x:v>Early Cyclicals</x:v>
      </x:c>
      <x:c r="G7141" s="13" t="str">
        <x:v>grid_cqzdsc3v.xlsx</x:v>
      </x:c>
    </x:row>
    <x:row r="7142">
      <x:c r="A7142" s="15" t="n">
        <x:v>43709</x:v>
      </x:c>
      <x:c r="B7142" s="13" t="str">
        <x:v>BRADESPAR SA -PREF</x:v>
      </x:c>
      <x:c r="C7142" s="16" t="n">
        <x:v>1214.2680208087</x:v>
      </x:c>
      <x:c r="D7142" s="13" t="str">
        <x:v>Metals &amp; Mining</x:v>
      </x:c>
      <x:c r="E7142" s="13" t="str">
        <x:v>Metals &amp; Mining</x:v>
      </x:c>
      <x:c r="F7142" s="13" t="str">
        <x:v>Deep Cyclicals</x:v>
      </x:c>
      <x:c r="G7142" s="13" t="str">
        <x:v>grid_cqzdsc3v.xlsx</x:v>
      </x:c>
    </x:row>
    <x:row r="7143">
      <x:c r="A7143" s="15" t="n">
        <x:v>43709</x:v>
      </x:c>
      <x:c r="B7143" s="13" t="str">
        <x:v>CIA SIDERURGICA NACIONAL SA</x:v>
      </x:c>
      <x:c r="C7143" s="16" t="n">
        <x:v>2929.6993028197</x:v>
      </x:c>
      <x:c r="D7143" s="13" t="str">
        <x:v>Metals &amp; Mining</x:v>
      </x:c>
      <x:c r="E7143" s="13" t="str">
        <x:v>Metals &amp; Mining</x:v>
      </x:c>
      <x:c r="F7143" s="13" t="str">
        <x:v>Deep Cyclicals</x:v>
      </x:c>
      <x:c r="G7143" s="13" t="str">
        <x:v>grid_cqzdsc3v.xlsx</x:v>
      </x:c>
    </x:row>
    <x:row r="7144">
      <x:c r="A7144" s="15" t="n">
        <x:v>43709</x:v>
      </x:c>
      <x:c r="B7144" s="13" t="str">
        <x:v>GERDAU SA-PREF</x:v>
      </x:c>
      <x:c r="C7144" s="16" t="n">
        <x:v>2387.6126468197</x:v>
      </x:c>
      <x:c r="D7144" s="13" t="str">
        <x:v>Metals &amp; Mining</x:v>
      </x:c>
      <x:c r="E7144" s="13" t="str">
        <x:v>Metals &amp; Mining</x:v>
      </x:c>
      <x:c r="F7144" s="13" t="str">
        <x:v>Deep Cyclicals</x:v>
      </x:c>
      <x:c r="G7144" s="13" t="str">
        <x:v>grid_cqzdsc3v.xlsx</x:v>
      </x:c>
    </x:row>
    <x:row r="7145">
      <x:c r="A7145" s="15" t="n">
        <x:v>43709</x:v>
      </x:c>
      <x:c r="B7145" s="13" t="str">
        <x:v>USINAS SIDER MINAS GER-PF A</x:v>
      </x:c>
      <x:c r="C7145" s="16" t="n">
        <x:v>710.563655694</x:v>
      </x:c>
      <x:c r="D7145" s="13" t="str">
        <x:v>Metals &amp; Mining</x:v>
      </x:c>
      <x:c r="E7145" s="13" t="str">
        <x:v>Metals &amp; Mining</x:v>
      </x:c>
      <x:c r="F7145" s="13" t="str">
        <x:v>Deep Cyclicals</x:v>
      </x:c>
      <x:c r="G7145" s="13" t="str">
        <x:v>grid_cqzdsc3v.xlsx</x:v>
      </x:c>
    </x:row>
    <x:row r="7146">
      <x:c r="A7146" s="15" t="n">
        <x:v>43709</x:v>
      </x:c>
      <x:c r="B7146" s="13" t="str">
        <x:v>VALE SA</x:v>
      </x:c>
      <x:c r="C7146" s="16" t="n">
        <x:v>35198.4760641749</x:v>
      </x:c>
      <x:c r="D7146" s="13" t="str">
        <x:v>Metals &amp; Mining</x:v>
      </x:c>
      <x:c r="E7146" s="13" t="str">
        <x:v>Metals &amp; Mining</x:v>
      </x:c>
      <x:c r="F7146" s="13" t="str">
        <x:v>Deep Cyclicals</x:v>
      </x:c>
      <x:c r="G7146" s="13" t="str">
        <x:v>grid_cqzdsc3v.xlsx</x:v>
      </x:c>
    </x:row>
    <x:row r="7147">
      <x:c r="A7147" s="15" t="n">
        <x:v>43709</x:v>
      </x:c>
      <x:c r="B7147" s="13" t="str">
        <x:v>BRASKEM SA-PREF A</x:v>
      </x:c>
      <x:c r="C7147" s="16" t="n">
        <x:v>633.2459016393</x:v>
      </x:c>
      <x:c r="D7147" s="13" t="str">
        <x:v>Oil, Gas &amp; Petrochemicals</x:v>
      </x:c>
      <x:c r="E7147" s="13" t="str">
        <x:v>Oil, Gas &amp; Petrochemicals</x:v>
      </x:c>
      <x:c r="F7147" s="13" t="str">
        <x:v>Deep Cyclicals</x:v>
      </x:c>
      <x:c r="G7147" s="13" t="str">
        <x:v>grid_cqzdsc3v.xlsx</x:v>
      </x:c>
    </x:row>
    <x:row r="7148">
      <x:c r="A7148" s="15" t="n">
        <x:v>43709</x:v>
      </x:c>
      <x:c r="B7148" s="13" t="str">
        <x:v>COSAN SA</x:v>
      </x:c>
      <x:c r="C7148" s="16" t="n">
        <x:v>1693.6994455082</x:v>
      </x:c>
      <x:c r="D7148" s="13" t="str">
        <x:v>Oil, Gas &amp; Petrochemicals</x:v>
      </x:c>
      <x:c r="E7148" s="13" t="str">
        <x:v>Oil, Gas &amp; Petrochemicals</x:v>
      </x:c>
      <x:c r="F7148" s="13" t="str">
        <x:v>Deep Cyclicals</x:v>
      </x:c>
      <x:c r="G7148" s="13" t="str">
        <x:v>grid_cqzdsc3v.xlsx</x:v>
      </x:c>
    </x:row>
    <x:row r="7149">
      <x:c r="A7149" s="15" t="n">
        <x:v>43709</x:v>
      </x:c>
      <x:c r="B7149" s="13" t="str">
        <x:v>PETROBRAS - PETROLEO BRAS</x:v>
      </x:c>
      <x:c r="C7149" s="16" t="n">
        <x:v>37058.5714374645</x:v>
      </x:c>
      <x:c r="D7149" s="13" t="str">
        <x:v>Oil, Gas &amp; Petrochemicals</x:v>
      </x:c>
      <x:c r="E7149" s="13" t="str">
        <x:v>Oil, Gas &amp; Petrochemicals</x:v>
      </x:c>
      <x:c r="F7149" s="13" t="str">
        <x:v>Deep Cyclicals</x:v>
      </x:c>
      <x:c r="G7149" s="13" t="str">
        <x:v>grid_cqzdsc3v.xlsx</x:v>
      </x:c>
    </x:row>
    <x:row r="7150">
      <x:c r="A7150" s="15" t="n">
        <x:v>43709</x:v>
      </x:c>
      <x:c r="B7150" s="13" t="str">
        <x:v>ULTRAPAR PARTICIPACOES SA</x:v>
      </x:c>
      <x:c r="C7150" s="16" t="n">
        <x:v>1219.2431373989</x:v>
      </x:c>
      <x:c r="D7150" s="13" t="str">
        <x:v>Oil, Gas &amp; Petrochemicals</x:v>
      </x:c>
      <x:c r="E7150" s="13" t="str">
        <x:v>Oil, Gas &amp; Petrochemicals</x:v>
      </x:c>
      <x:c r="F7150" s="13" t="str">
        <x:v>Deep Cyclicals</x:v>
      </x:c>
      <x:c r="G7150" s="13" t="str">
        <x:v>grid_cqzdsc3v.xlsx</x:v>
      </x:c>
    </x:row>
    <x:row r="7151">
      <x:c r="A7151" s="15" t="n">
        <x:v>43709</x:v>
      </x:c>
      <x:c r="B7151" s="13" t="str">
        <x:v>VIBRA ENERGIA SA</x:v>
      </x:c>
      <x:c r="C7151" s="16" t="n">
        <x:v>2363.3199464918</x:v>
      </x:c>
      <x:c r="D7151" s="13" t="str">
        <x:v>Oil, Gas &amp; Petrochemicals</x:v>
      </x:c>
      <x:c r="E7151" s="13" t="str">
        <x:v>Oil, Gas &amp; Petrochemicals</x:v>
      </x:c>
      <x:c r="F7151" s="13" t="str">
        <x:v>Deep Cyclicals</x:v>
      </x:c>
      <x:c r="G7151" s="13" t="str">
        <x:v>grid_cqzdsc3v.xlsx</x:v>
      </x:c>
    </x:row>
    <x:row r="7152">
      <x:c r="A7152" s="15" t="n">
        <x:v>43709</x:v>
      </x:c>
      <x:c r="B7152" s="13" t="str">
        <x:v>KLABIN SA - UNIT</x:v>
      </x:c>
      <x:c r="C7152" s="16" t="n">
        <x:v>334.5108371585</x:v>
      </x:c>
      <x:c r="D7152" s="13" t="str">
        <x:v>Pulp &amp; Paper</x:v>
      </x:c>
      <x:c r="E7152" s="13" t="str">
        <x:v>Pulp &amp; Paper</x:v>
      </x:c>
      <x:c r="F7152" s="13" t="str">
        <x:v>Deep Cyclicals</x:v>
      </x:c>
      <x:c r="G7152" s="13" t="str">
        <x:v>grid_cqzdsc3v.xlsx</x:v>
      </x:c>
    </x:row>
    <x:row r="7153">
      <x:c r="A7153" s="15" t="n">
        <x:v>43709</x:v>
      </x:c>
      <x:c r="B7153" s="13" t="str">
        <x:v>SUZANO SA</x:v>
      </x:c>
      <x:c r="C7153" s="16" t="n">
        <x:v>1966.1918590601</x:v>
      </x:c>
      <x:c r="D7153" s="13" t="str">
        <x:v>Pulp &amp; Paper</x:v>
      </x:c>
      <x:c r="E7153" s="13" t="str">
        <x:v>Pulp &amp; Paper</x:v>
      </x:c>
      <x:c r="F7153" s="13" t="str">
        <x:v>Deep Cyclicals</x:v>
      </x:c>
      <x:c r="G7153" s="13" t="str">
        <x:v>grid_cqzdsc3v.xlsx</x:v>
      </x:c>
    </x:row>
    <x:row r="7154">
      <x:c r="A7154" s="15" t="n">
        <x:v>43709</x:v>
      </x:c>
      <x:c r="B7154" s="13" t="str">
        <x:v>AMERICANAS SA</x:v>
      </x:c>
      <x:c r="C7154" s="16" t="n">
        <x:v>-143.5510802186</x:v>
      </x:c>
      <x:c r="D7154" s="13" t="str">
        <x:v>Retail</x:v>
      </x:c>
      <x:c r="E7154" s="13" t="str">
        <x:v>Retail</x:v>
      </x:c>
      <x:c r="F7154" s="13" t="str">
        <x:v>Early Cyclicals</x:v>
      </x:c>
      <x:c r="G7154" s="13" t="str">
        <x:v>grid_cqzdsc3v.xlsx</x:v>
      </x:c>
    </x:row>
    <x:row r="7155">
      <x:c r="A7155" s="15" t="n">
        <x:v>43709</x:v>
      </x:c>
      <x:c r="B7155" s="13" t="str">
        <x:v>CIA BRASILEIRA DE DIS-PREF</x:v>
      </x:c>
      <x:c r="C7155" s="16" t="n">
        <x:v>1299.6834280219</x:v>
      </x:c>
      <x:c r="D7155" s="13" t="str">
        <x:v>Retail</x:v>
      </x:c>
      <x:c r="E7155" s="13" t="str">
        <x:v>Retail</x:v>
      </x:c>
      <x:c r="F7155" s="13" t="str">
        <x:v>Early Cyclicals</x:v>
      </x:c>
      <x:c r="G7155" s="13" t="str">
        <x:v>grid_cqzdsc3v.xlsx</x:v>
      </x:c>
    </x:row>
    <x:row r="7156">
      <x:c r="A7156" s="15" t="n">
        <x:v>43709</x:v>
      </x:c>
      <x:c r="B7156" s="13" t="str">
        <x:v>CVC BRASIL OPERADORA E AGENC</x:v>
      </x:c>
      <x:c r="C7156" s="16" t="n">
        <x:v>440.233320918</x:v>
      </x:c>
      <x:c r="D7156" s="13" t="str">
        <x:v>Retail</x:v>
      </x:c>
      <x:c r="E7156" s="13" t="str">
        <x:v>Retail</x:v>
      </x:c>
      <x:c r="F7156" s="13" t="str">
        <x:v>Early Cyclicals</x:v>
      </x:c>
      <x:c r="G7156" s="13" t="str">
        <x:v>grid_cqzdsc3v.xlsx</x:v>
      </x:c>
    </x:row>
    <x:row r="7157">
      <x:c r="A7157" s="15" t="n">
        <x:v>43709</x:v>
      </x:c>
      <x:c r="B7157" s="13" t="str">
        <x:v>GRUPO CASAS BAHIA SA</x:v>
      </x:c>
      <x:c r="C7157" s="16" t="n">
        <x:v>359.2886973552</x:v>
      </x:c>
      <x:c r="D7157" s="13" t="str">
        <x:v>Retail</x:v>
      </x:c>
      <x:c r="E7157" s="13" t="str">
        <x:v>Retail</x:v>
      </x:c>
      <x:c r="F7157" s="13" t="str">
        <x:v>Early Cyclicals</x:v>
      </x:c>
      <x:c r="G7157" s="13" t="str">
        <x:v>grid_cqzdsc3v.xlsx</x:v>
      </x:c>
    </x:row>
    <x:row r="7158">
      <x:c r="A7158" s="15" t="n">
        <x:v>43709</x:v>
      </x:c>
      <x:c r="B7158" s="13" t="str">
        <x:v>LOJAS AMERICANAS SA-PREF</x:v>
      </x:c>
      <x:c r="C7158" s="16" t="n">
        <x:v>828.5753155847</x:v>
      </x:c>
      <x:c r="D7158" s="13" t="str">
        <x:v>Retail</x:v>
      </x:c>
      <x:c r="E7158" s="13" t="str">
        <x:v>Retail</x:v>
      </x:c>
      <x:c r="F7158" s="13" t="str">
        <x:v>Early Cyclicals</x:v>
      </x:c>
      <x:c r="G7158" s="13" t="str">
        <x:v>grid_cqzdsc3v.xlsx</x:v>
      </x:c>
    </x:row>
    <x:row r="7159">
      <x:c r="A7159" s="15" t="n">
        <x:v>43709</x:v>
      </x:c>
      <x:c r="B7159" s="13" t="str">
        <x:v>LOJAS RENNER S.A.</x:v>
      </x:c>
      <x:c r="C7159" s="16" t="n">
        <x:v>1354.8451126557</x:v>
      </x:c>
      <x:c r="D7159" s="13" t="str">
        <x:v>Retail</x:v>
      </x:c>
      <x:c r="E7159" s="13" t="str">
        <x:v>Retail</x:v>
      </x:c>
      <x:c r="F7159" s="13" t="str">
        <x:v>Early Cyclicals</x:v>
      </x:c>
      <x:c r="G7159" s="13" t="str">
        <x:v>grid_cqzdsc3v.xlsx</x:v>
      </x:c>
    </x:row>
    <x:row r="7160">
      <x:c r="A7160" s="15" t="n">
        <x:v>43709</x:v>
      </x:c>
      <x:c r="B7160" s="13" t="str">
        <x:v>MAGAZINE LUIZA SA</x:v>
      </x:c>
      <x:c r="C7160" s="16" t="n">
        <x:v>743.3411227978</x:v>
      </x:c>
      <x:c r="D7160" s="13" t="str">
        <x:v>Retail</x:v>
      </x:c>
      <x:c r="E7160" s="13" t="str">
        <x:v>Retail</x:v>
      </x:c>
      <x:c r="F7160" s="13" t="str">
        <x:v>Early Cyclicals</x:v>
      </x:c>
      <x:c r="G7160" s="13" t="str">
        <x:v>grid_cqzdsc3v.xlsx</x:v>
      </x:c>
    </x:row>
    <x:row r="7161">
      <x:c r="A7161" s="15" t="n">
        <x:v>43709</x:v>
      </x:c>
      <x:c r="B7161" s="13" t="str">
        <x:v>RAIA DROGASIL SA</x:v>
      </x:c>
      <x:c r="C7161" s="16" t="n">
        <x:v>636.0403283934</x:v>
      </x:c>
      <x:c r="D7161" s="13" t="str">
        <x:v>Retail</x:v>
      </x:c>
      <x:c r="E7161" s="13" t="str">
        <x:v>Retail</x:v>
      </x:c>
      <x:c r="F7161" s="13" t="str">
        <x:v>Early Cyclicals</x:v>
      </x:c>
      <x:c r="G7161" s="13" t="str">
        <x:v>grid_cqzdsc3v.xlsx</x:v>
      </x:c>
    </x:row>
    <x:row r="7162">
      <x:c r="A7162" s="15" t="n">
        <x:v>43709</x:v>
      </x:c>
      <x:c r="B7162" s="13" t="str">
        <x:v>CIA SANEAMENTO BASICO DE SP</x:v>
      </x:c>
      <x:c r="C7162" s="16" t="n">
        <x:v>3001.1642530273</x:v>
      </x:c>
      <x:c r="D7162" s="13" t="str">
        <x:v>Sanitation</x:v>
      </x:c>
      <x:c r="E7162" s="13" t="str">
        <x:v>Utilities</x:v>
      </x:c>
      <x:c r="F7162" s="13" t="str">
        <x:v>Defensives</x:v>
      </x:c>
      <x:c r="G7162" s="13" t="str">
        <x:v>grid_cqzdsc3v.xlsx</x:v>
      </x:c>
    </x:row>
    <x:row r="7163">
      <x:c r="A7163" s="15" t="n">
        <x:v>43709</x:v>
      </x:c>
      <x:c r="B7163" s="13" t="str">
        <x:v>SMILES FIDELIDADE SA</x:v>
      </x:c>
      <x:c r="C7163" s="16" t="n">
        <x:v>656.0775956284</x:v>
      </x:c>
      <x:c r="D7163" s="13" t="str">
        <x:v>TMT</x:v>
      </x:c>
      <x:c r="E7163" s="13" t="str">
        <x:v>TMT</x:v>
      </x:c>
      <x:c r="F7163" s="13" t="str">
        <x:v>Early Cyclicals</x:v>
      </x:c>
      <x:c r="G7163" s="13" t="str">
        <x:v>grid_cqzdsc3v.xlsx</x:v>
      </x:c>
    </x:row>
    <x:row r="7164">
      <x:c r="A7164" s="15" t="n">
        <x:v>43709</x:v>
      </x:c>
      <x:c r="B7164" s="13" t="str">
        <x:v>TELEFONICA BRASIL S.A.-PREF</x:v>
      </x:c>
      <x:c r="C7164" s="16" t="n">
        <x:v>5820.3297321967</x:v>
      </x:c>
      <x:c r="D7164" s="13" t="str">
        <x:v>TMT</x:v>
      </x:c>
      <x:c r="E7164" s="13" t="str">
        <x:v>TMT</x:v>
      </x:c>
      <x:c r="F7164" s="13" t="str">
        <x:v>Early Cyclicals</x:v>
      </x:c>
      <x:c r="G7164" s="13" t="str">
        <x:v>grid_cqzdsc3v.xlsx</x:v>
      </x:c>
    </x:row>
    <x:row r="7165">
      <x:c r="A7165" s="15" t="n">
        <x:v>43709</x:v>
      </x:c>
      <x:c r="B7165" s="13" t="str">
        <x:v>TIM SA</x:v>
      </x:c>
      <x:c r="C7165" s="16" t="n">
        <x:v>1932.1969906011</x:v>
      </x:c>
      <x:c r="D7165" s="13" t="str">
        <x:v>TMT</x:v>
      </x:c>
      <x:c r="E7165" s="13" t="str">
        <x:v>TMT</x:v>
      </x:c>
      <x:c r="F7165" s="13" t="str">
        <x:v>Early Cyclicals</x:v>
      </x:c>
      <x:c r="G7165" s="13" t="str">
        <x:v>grid_cqzdsc3v.xlsx</x:v>
      </x:c>
    </x:row>
    <x:row r="7166">
      <x:c r="A7166" s="15" t="n">
        <x:v>43709</x:v>
      </x:c>
      <x:c r="B7166" s="13" t="str">
        <x:v>AZUL SA</x:v>
      </x:c>
      <x:c r="C7166" s="16" t="n">
        <x:v>1089.1434505792</x:v>
      </x:c>
      <x:c r="D7166" s="13" t="str">
        <x:v>Transportation</x:v>
      </x:c>
      <x:c r="E7166" s="13" t="str">
        <x:v>Transportation</x:v>
      </x:c>
      <x:c r="F7166" s="13" t="str">
        <x:v>Deep Cyclicals</x:v>
      </x:c>
      <x:c r="G7166" s="13" t="str">
        <x:v>grid_cqzdsc3v.xlsx</x:v>
      </x:c>
    </x:row>
    <x:row r="7167">
      <x:c r="A7167" s="15" t="n">
        <x:v>43709</x:v>
      </x:c>
      <x:c r="B7167" s="13" t="str">
        <x:v>ECORODOVIAS INFRA E LOG SA</x:v>
      </x:c>
      <x:c r="C7167" s="16" t="n">
        <x:v>506.9521738142</x:v>
      </x:c>
      <x:c r="D7167" s="13" t="str">
        <x:v>Transportation</x:v>
      </x:c>
      <x:c r="E7167" s="13" t="str">
        <x:v>Transportation</x:v>
      </x:c>
      <x:c r="F7167" s="13" t="str">
        <x:v>Deep Cyclicals</x:v>
      </x:c>
      <x:c r="G7167" s="13" t="str">
        <x:v>grid_cqzdsc3v.xlsx</x:v>
      </x:c>
    </x:row>
    <x:row r="7168">
      <x:c r="A7168" s="15" t="n">
        <x:v>43709</x:v>
      </x:c>
      <x:c r="B7168" s="13" t="str">
        <x:v>GOL LINHAS AEREAS INT SA-PRE</x:v>
      </x:c>
      <x:c r="C7168" s="16" t="n">
        <x:v>865.2689696175</x:v>
      </x:c>
      <x:c r="D7168" s="13" t="str">
        <x:v>Transportation</x:v>
      </x:c>
      <x:c r="E7168" s="13" t="str">
        <x:v>Transportation</x:v>
      </x:c>
      <x:c r="F7168" s="13" t="str">
        <x:v>Deep Cyclicals</x:v>
      </x:c>
      <x:c r="G7168" s="13" t="str">
        <x:v>grid_cqzdsc3v.xlsx</x:v>
      </x:c>
    </x:row>
    <x:row r="7169">
      <x:c r="A7169" s="15" t="n">
        <x:v>43709</x:v>
      </x:c>
      <x:c r="B7169" s="13" t="str">
        <x:v>LOCALIZA RENT A CAR</x:v>
      </x:c>
      <x:c r="C7169" s="16" t="n">
        <x:v>1114.1107829508</x:v>
      </x:c>
      <x:c r="D7169" s="13" t="str">
        <x:v>Transportation</x:v>
      </x:c>
      <x:c r="E7169" s="13" t="str">
        <x:v>Transportation</x:v>
      </x:c>
      <x:c r="F7169" s="13" t="str">
        <x:v>Deep Cyclicals</x:v>
      </x:c>
      <x:c r="G7169" s="13" t="str">
        <x:v>grid_cqzdsc3v.xlsx</x:v>
      </x:c>
    </x:row>
    <x:row r="7170">
      <x:c r="A7170" s="15" t="n">
        <x:v>43709</x:v>
      </x:c>
      <x:c r="B7170" s="13" t="str">
        <x:v>MOTIVA INFRAESTRUTURA DE MOB</x:v>
      </x:c>
      <x:c r="C7170" s="16" t="n">
        <x:v>2073.8118938579</x:v>
      </x:c>
      <x:c r="D7170" s="13" t="str">
        <x:v>Transportation</x:v>
      </x:c>
      <x:c r="E7170" s="13" t="str">
        <x:v>Transportation</x:v>
      </x:c>
      <x:c r="F7170" s="13" t="str">
        <x:v>Deep Cyclicals</x:v>
      </x:c>
      <x:c r="G7170" s="13" t="str">
        <x:v>grid_cqzdsc3v.xlsx</x:v>
      </x:c>
    </x:row>
    <x:row r="7171">
      <x:c r="A7171" s="15" t="n">
        <x:v>43709</x:v>
      </x:c>
      <x:c r="B7171" s="13" t="str">
        <x:v>RUMO SA</x:v>
      </x:c>
      <x:c r="C7171" s="16" t="n">
        <x:v>1100.1990651803</x:v>
      </x:c>
      <x:c r="D7171" s="13" t="str">
        <x:v>Transportation</x:v>
      </x:c>
      <x:c r="E7171" s="13" t="str">
        <x:v>Transportation</x:v>
      </x:c>
      <x:c r="F7171" s="13" t="str">
        <x:v>Deep Cyclicals</x:v>
      </x:c>
      <x:c r="G7171" s="13" t="str">
        <x:v>grid_cqzdsc3v.xlsx</x:v>
      </x:c>
    </x:row>
    <x:row r="7172">
      <x:c r="A7172" s="15" t="n">
        <x:v>43709</x:v>
      </x:c>
      <x:c r="B7172" s="13" t="str">
        <x:v>AXIA ENERGIA SA</x:v>
      </x:c>
      <x:c r="C7172" s="16" t="n">
        <x:v>6463.5575368743</x:v>
      </x:c>
      <x:c r="D7172" s="13" t="str">
        <x:v>Utilities &amp; Energy</x:v>
      </x:c>
      <x:c r="E7172" s="13" t="str">
        <x:v>Utilities</x:v>
      </x:c>
      <x:c r="F7172" s="13" t="str">
        <x:v>Defensives</x:v>
      </x:c>
      <x:c r="G7172" s="13" t="str">
        <x:v>grid_cqzdsc3v.xlsx</x:v>
      </x:c>
    </x:row>
    <x:row r="7173">
      <x:c r="A7173" s="15" t="n">
        <x:v>43709</x:v>
      </x:c>
      <x:c r="B7173" s="13" t="str">
        <x:v>AXIA ENERGIA-PR B</x:v>
      </x:c>
      <x:c r="C7173" s="16" t="n">
        <x:v>6463.5575368743</x:v>
      </x:c>
      <x:c r="D7173" s="13" t="str">
        <x:v>Utilities &amp; Energy</x:v>
      </x:c>
      <x:c r="E7173" s="13" t="str">
        <x:v>Utilities</x:v>
      </x:c>
      <x:c r="F7173" s="13" t="str">
        <x:v>Defensives</x:v>
      </x:c>
      <x:c r="G7173" s="13" t="str">
        <x:v>grid_cqzdsc3v.xlsx</x:v>
      </x:c>
    </x:row>
    <x:row r="7174">
      <x:c r="A7174" s="15" t="n">
        <x:v>43709</x:v>
      </x:c>
      <x:c r="B7174" s="13" t="str">
        <x:v>CIA ENERGETICA MINAS GER-PRF</x:v>
      </x:c>
      <x:c r="C7174" s="16" t="n">
        <x:v>2450.5606546885</x:v>
      </x:c>
      <x:c r="D7174" s="13" t="str">
        <x:v>Utilities &amp; Energy</x:v>
      </x:c>
      <x:c r="E7174" s="13" t="str">
        <x:v>Utilities</x:v>
      </x:c>
      <x:c r="F7174" s="13" t="str">
        <x:v>Defensives</x:v>
      </x:c>
      <x:c r="G7174" s="13" t="str">
        <x:v>grid_cqzdsc3v.xlsx</x:v>
      </x:c>
    </x:row>
    <x:row r="7175">
      <x:c r="A7175" s="15" t="n">
        <x:v>43709</x:v>
      </x:c>
      <x:c r="B7175" s="13" t="str">
        <x:v>EDP - ENERGIAS DO BRASIL SA</x:v>
      </x:c>
      <x:c r="C7175" s="16" t="n">
        <x:v>971.962876153</x:v>
      </x:c>
      <x:c r="D7175" s="13" t="str">
        <x:v>Utilities &amp; Energy</x:v>
      </x:c>
      <x:c r="E7175" s="13" t="str">
        <x:v>Utilities</x:v>
      </x:c>
      <x:c r="F7175" s="13" t="str">
        <x:v>Defensives</x:v>
      </x:c>
      <x:c r="G7175" s="13" t="str">
        <x:v>grid_cqzdsc3v.xlsx</x:v>
      </x:c>
    </x:row>
    <x:row r="7176">
      <x:c r="A7176" s="15" t="n">
        <x:v>43709</x:v>
      </x:c>
      <x:c r="B7176" s="13" t="str">
        <x:v>ENGIE BRASIL ENERGIA SA</x:v>
      </x:c>
      <x:c r="C7176" s="16" t="n">
        <x:v>2691.7666161311</x:v>
      </x:c>
      <x:c r="D7176" s="13" t="str">
        <x:v>Utilities &amp; Energy</x:v>
      </x:c>
      <x:c r="E7176" s="13" t="str">
        <x:v>Utilities</x:v>
      </x:c>
      <x:c r="F7176" s="13" t="str">
        <x:v>Defensives</x:v>
      </x:c>
      <x:c r="G7176" s="13" t="str">
        <x:v>grid_cqzdsc3v.xlsx</x:v>
      </x:c>
    </x:row>
    <x:row r="7177">
      <x:c r="A7177" s="15" t="n">
        <x:v>43709</x:v>
      </x:c>
      <x:c r="B7177" s="13" t="str">
        <x:v>EQUATORIAL SA - ORD</x:v>
      </x:c>
      <x:c r="C7177" s="16" t="n">
        <x:v>934.3639344262</x:v>
      </x:c>
      <x:c r="D7177" s="13" t="str">
        <x:v>Utilities &amp; Energy</x:v>
      </x:c>
      <x:c r="E7177" s="13" t="str">
        <x:v>Utilities</x:v>
      </x:c>
      <x:c r="F7177" s="13" t="str">
        <x:v>Defensives</x:v>
      </x:c>
      <x:c r="G7177" s="13" t="str">
        <x:v>grid_cqzdsc3v.xlsx</x:v>
      </x:c>
    </x:row>
    <x:row r="7178">
      <x:c r="A7178" s="15" t="n">
        <x:v>43709</x:v>
      </x:c>
      <x:c r="B7178" s="13" t="str">
        <x:v>TRANSMISSORA ALIANCA DE-UNIT</x:v>
      </x:c>
      <x:c r="C7178" s="16" t="n">
        <x:v>815.7046567869</x:v>
      </x:c>
      <x:c r="D7178" s="13" t="str">
        <x:v>Utilities &amp; Energy</x:v>
      </x:c>
      <x:c r="E7178" s="13" t="str">
        <x:v>Utilities</x:v>
      </x:c>
      <x:c r="F7178" s="13" t="str">
        <x:v>Defensives</x:v>
      </x:c>
      <x:c r="G7178" s="13" t="str">
        <x:v>grid_cqzdsc3v.xlsx</x:v>
      </x:c>
    </x:row>
    <x:row r="7179">
      <x:c r="A7179" s="15" t="n">
        <x:v>43739</x:v>
      </x:c>
      <x:c r="B7179" s="13" t="str">
        <x:v>BANCO BRADESCO S.A.</x:v>
      </x:c>
      <x:c r="C7179" s="16" t="n">
        <x:v>27934.4831146667</x:v>
      </x:c>
      <x:c r="D7179" s="13" t="str">
        <x:v>Banks</x:v>
      </x:c>
      <x:c r="E7179" s="13" t="str">
        <x:v>Banks</x:v>
      </x:c>
      <x:c r="F7179" s="13" t="str">
        <x:v>Financials</x:v>
      </x:c>
      <x:c r="G7179" s="13" t="str">
        <x:v>grid_cqzdsc3v.xlsx</x:v>
      </x:c>
    </x:row>
    <x:row r="7180">
      <x:c r="A7180" s="15" t="n">
        <x:v>43739</x:v>
      </x:c>
      <x:c r="B7180" s="13" t="str">
        <x:v>BANCO BRADESCO SA-PREF</x:v>
      </x:c>
      <x:c r="C7180" s="16" t="n">
        <x:v>27934.4831146667</x:v>
      </x:c>
      <x:c r="D7180" s="13" t="str">
        <x:v>Banks</x:v>
      </x:c>
      <x:c r="E7180" s="13" t="str">
        <x:v>Banks</x:v>
      </x:c>
      <x:c r="F7180" s="13" t="str">
        <x:v>Financials</x:v>
      </x:c>
      <x:c r="G7180" s="13" t="str">
        <x:v>grid_cqzdsc3v.xlsx</x:v>
      </x:c>
    </x:row>
    <x:row r="7181">
      <x:c r="A7181" s="15" t="n">
        <x:v>43739</x:v>
      </x:c>
      <x:c r="B7181" s="13" t="str">
        <x:v>BANCO BTG PACTUAL SA-UNIT</x:v>
      </x:c>
      <x:c r="C7181" s="16" t="n">
        <x:v>3878.3867733333</x:v>
      </x:c>
      <x:c r="D7181" s="13" t="str">
        <x:v>Banks</x:v>
      </x:c>
      <x:c r="E7181" s="13" t="str">
        <x:v>Banks</x:v>
      </x:c>
      <x:c r="F7181" s="13" t="str">
        <x:v>Financials</x:v>
      </x:c>
      <x:c r="G7181" s="13" t="str">
        <x:v>grid_cqzdsc3v.xlsx</x:v>
      </x:c>
    </x:row>
    <x:row r="7182">
      <x:c r="A7182" s="15" t="n">
        <x:v>43739</x:v>
      </x:c>
      <x:c r="B7182" s="13" t="str">
        <x:v>BANCO DO BRASIL S.A.</x:v>
      </x:c>
      <x:c r="C7182" s="16" t="n">
        <x:v>18546.5504426667</x:v>
      </x:c>
      <x:c r="D7182" s="13" t="str">
        <x:v>Banks</x:v>
      </x:c>
      <x:c r="E7182" s="13" t="str">
        <x:v>Banks</x:v>
      </x:c>
      <x:c r="F7182" s="13" t="str">
        <x:v>Financials</x:v>
      </x:c>
      <x:c r="G7182" s="13" t="str">
        <x:v>grid_cqzdsc3v.xlsx</x:v>
      </x:c>
    </x:row>
    <x:row r="7183">
      <x:c r="A7183" s="15" t="n">
        <x:v>43739</x:v>
      </x:c>
      <x:c r="B7183" s="13" t="str">
        <x:v>BANCO SANTANDER  BRASIL-UNIT</x:v>
      </x:c>
      <x:c r="C7183" s="16" t="n">
        <x:v>15186.61632</x:v>
      </x:c>
      <x:c r="D7183" s="13" t="str">
        <x:v>Banks</x:v>
      </x:c>
      <x:c r="E7183" s="13" t="str">
        <x:v>Banks</x:v>
      </x:c>
      <x:c r="F7183" s="13" t="str">
        <x:v>Financials</x:v>
      </x:c>
      <x:c r="G7183" s="13" t="str">
        <x:v>grid_cqzdsc3v.xlsx</x:v>
      </x:c>
    </x:row>
    <x:row r="7184">
      <x:c r="A7184" s="15" t="n">
        <x:v>43739</x:v>
      </x:c>
      <x:c r="B7184" s="13" t="str">
        <x:v>ITAU UNIBANCO HOLDING S-PREF</x:v>
      </x:c>
      <x:c r="C7184" s="16" t="n">
        <x:v>30030.0332373333</x:v>
      </x:c>
      <x:c r="D7184" s="13" t="str">
        <x:v>Banks</x:v>
      </x:c>
      <x:c r="E7184" s="13" t="str">
        <x:v>Banks</x:v>
      </x:c>
      <x:c r="F7184" s="13" t="str">
        <x:v>Financials</x:v>
      </x:c>
      <x:c r="G7184" s="13" t="str">
        <x:v>grid_cqzdsc3v.xlsx</x:v>
      </x:c>
    </x:row>
    <x:row r="7185">
      <x:c r="A7185" s="15" t="n">
        <x:v>43739</x:v>
      </x:c>
      <x:c r="B7185" s="13" t="str">
        <x:v>EMBRAER SA</x:v>
      </x:c>
      <x:c r="C7185" s="16" t="n">
        <x:v>923.4603333333</x:v>
      </x:c>
      <x:c r="D7185" s="13" t="str">
        <x:v>Capital Goods</x:v>
      </x:c>
      <x:c r="E7185" s="13" t="str">
        <x:v>Capital Goods</x:v>
      </x:c>
      <x:c r="F7185" s="13" t="str">
        <x:v>Deep Cyclicals</x:v>
      </x:c>
      <x:c r="G7185" s="13" t="str">
        <x:v>grid_cqzdsc3v.xlsx</x:v>
      </x:c>
    </x:row>
    <x:row r="7186">
      <x:c r="A7186" s="15" t="n">
        <x:v>43739</x:v>
      </x:c>
      <x:c r="B7186" s="13" t="str">
        <x:v>WEG SA</x:v>
      </x:c>
      <x:c r="C7186" s="16" t="n">
        <x:v>1723.166656</x:v>
      </x:c>
      <x:c r="D7186" s="13" t="str">
        <x:v>Capital Goods</x:v>
      </x:c>
      <x:c r="E7186" s="13" t="str">
        <x:v>Capital Goods</x:v>
      </x:c>
      <x:c r="F7186" s="13" t="str">
        <x:v>Deep Cyclicals</x:v>
      </x:c>
      <x:c r="G7186" s="13" t="str">
        <x:v>grid_cqzdsc3v.xlsx</x:v>
      </x:c>
    </x:row>
    <x:row r="7187">
      <x:c r="A7187" s="15" t="n">
        <x:v>43739</x:v>
      </x:c>
      <x:c r="B7187" s="13" t="str">
        <x:v>COGNA EDUCACAO</x:v>
      </x:c>
      <x:c r="C7187" s="16" t="n">
        <x:v>1314.500032</x:v>
      </x:c>
      <x:c r="D7187" s="13" t="str">
        <x:v>Education</x:v>
      </x:c>
      <x:c r="E7187" s="13" t="str">
        <x:v>Education</x:v>
      </x:c>
      <x:c r="F7187" s="13" t="str">
        <x:v>Early Cyclicals</x:v>
      </x:c>
      <x:c r="G7187" s="13" t="str">
        <x:v>grid_cqzdsc3v.xlsx</x:v>
      </x:c>
    </x:row>
    <x:row r="7188">
      <x:c r="A7188" s="15" t="n">
        <x:v>43739</x:v>
      </x:c>
      <x:c r="B7188" s="13" t="str">
        <x:v>YDUQS PARTICIPACOES SA</x:v>
      </x:c>
      <x:c r="C7188" s="16" t="n">
        <x:v>839.8336426667</x:v>
      </x:c>
      <x:c r="D7188" s="13" t="str">
        <x:v>Education</x:v>
      </x:c>
      <x:c r="E7188" s="13" t="str">
        <x:v>Education</x:v>
      </x:c>
      <x:c r="F7188" s="13" t="str">
        <x:v>Early Cyclicals</x:v>
      </x:c>
      <x:c r="G7188" s="13" t="str">
        <x:v>grid_cqzdsc3v.xlsx</x:v>
      </x:c>
    </x:row>
    <x:row r="7189">
      <x:c r="A7189" s="15" t="n">
        <x:v>43739</x:v>
      </x:c>
      <x:c r="B7189" s="13" t="str">
        <x:v>B3 SA-BRASIL BOLSA BALCAO</x:v>
      </x:c>
      <x:c r="C7189" s="16" t="n">
        <x:v>3786.9983573333</x:v>
      </x:c>
      <x:c r="D7189" s="13" t="str">
        <x:v>Financials Non-Banks</x:v>
      </x:c>
      <x:c r="E7189" s="13" t="str">
        <x:v>Financials Non-Banks</x:v>
      </x:c>
      <x:c r="F7189" s="13" t="str">
        <x:v>Financials</x:v>
      </x:c>
      <x:c r="G7189" s="13" t="str">
        <x:v>grid_cqzdsc3v.xlsx</x:v>
      </x:c>
    </x:row>
    <x:row r="7190">
      <x:c r="A7190" s="15" t="n">
        <x:v>43739</x:v>
      </x:c>
      <x:c r="B7190" s="13" t="str">
        <x:v>BB SEGURIDADE PARTICIPACOES</x:v>
      </x:c>
      <x:c r="C7190" s="16" t="n">
        <x:v>4228.3067306667</x:v>
      </x:c>
      <x:c r="D7190" s="13" t="str">
        <x:v>Financials Non-Banks</x:v>
      </x:c>
      <x:c r="E7190" s="13" t="str">
        <x:v>Financials Non-Banks</x:v>
      </x:c>
      <x:c r="F7190" s="13" t="str">
        <x:v>Financials</x:v>
      </x:c>
      <x:c r="G7190" s="13" t="str">
        <x:v>grid_cqzdsc3v.xlsx</x:v>
      </x:c>
    </x:row>
    <x:row r="7191">
      <x:c r="A7191" s="15" t="n">
        <x:v>43739</x:v>
      </x:c>
      <x:c r="B7191" s="13" t="str">
        <x:v>CIELO SA - INSTITUICAO DE PA</x:v>
      </x:c>
      <x:c r="C7191" s="16" t="n">
        <x:v>1701.0416426667</x:v>
      </x:c>
      <x:c r="D7191" s="13" t="str">
        <x:v>Financials Non-Banks</x:v>
      </x:c>
      <x:c r="E7191" s="13" t="str">
        <x:v>Financials Non-Banks</x:v>
      </x:c>
      <x:c r="F7191" s="13" t="str">
        <x:v>Financials</x:v>
      </x:c>
      <x:c r="G7191" s="13" t="str">
        <x:v>grid_cqzdsc3v.xlsx</x:v>
      </x:c>
    </x:row>
    <x:row r="7192">
      <x:c r="A7192" s="15" t="n">
        <x:v>43739</x:v>
      </x:c>
      <x:c r="B7192" s="13" t="str">
        <x:v>IRB BRASIL RESSEGUROS SA</x:v>
      </x:c>
      <x:c r="C7192" s="16" t="n">
        <x:v>1897.8383573333</x:v>
      </x:c>
      <x:c r="D7192" s="13" t="str">
        <x:v>Financials Non-Banks</x:v>
      </x:c>
      <x:c r="E7192" s="13" t="str">
        <x:v>Financials Non-Banks</x:v>
      </x:c>
      <x:c r="F7192" s="13" t="str">
        <x:v>Financials</x:v>
      </x:c>
      <x:c r="G7192" s="13" t="str">
        <x:v>grid_cqzdsc3v.xlsx</x:v>
      </x:c>
    </x:row>
    <x:row r="7193">
      <x:c r="A7193" s="15" t="n">
        <x:v>43739</x:v>
      </x:c>
      <x:c r="B7193" s="13" t="str">
        <x:v>ITAUSA SA</x:v>
      </x:c>
      <x:c r="C7193" s="16" t="n">
        <x:v>11015.80032</x:v>
      </x:c>
      <x:c r="D7193" s="13" t="str">
        <x:v>Financials Non-Banks</x:v>
      </x:c>
      <x:c r="E7193" s="13" t="str">
        <x:v>Financials Non-Banks</x:v>
      </x:c>
      <x:c r="F7193" s="13" t="str">
        <x:v>Financials</x:v>
      </x:c>
      <x:c r="G7193" s="13" t="str">
        <x:v>grid_cqzdsc3v.xlsx</x:v>
      </x:c>
    </x:row>
    <x:row r="7194">
      <x:c r="A7194" s="15" t="n">
        <x:v>43739</x:v>
      </x:c>
      <x:c r="B7194" s="13" t="str">
        <x:v>AMBEV SA</x:v>
      </x:c>
      <x:c r="C7194" s="16" t="n">
        <x:v>13378.9329066667</x:v>
      </x:c>
      <x:c r="D7194" s="13" t="str">
        <x:v>Food &amp; Beverages</x:v>
      </x:c>
      <x:c r="E7194" s="13" t="str">
        <x:v>Agri, Food &amp; Beverages</x:v>
      </x:c>
      <x:c r="F7194" s="13" t="str">
        <x:v>Defensives</x:v>
      </x:c>
      <x:c r="G7194" s="13" t="str">
        <x:v>grid_cqzdsc3v.xlsx</x:v>
      </x:c>
    </x:row>
    <x:row r="7195">
      <x:c r="A7195" s="15" t="n">
        <x:v>43739</x:v>
      </x:c>
      <x:c r="B7195" s="13" t="str">
        <x:v>BRF SA</x:v>
      </x:c>
      <x:c r="C7195" s="16" t="n">
        <x:v>1193.6695146667</x:v>
      </x:c>
      <x:c r="D7195" s="13" t="str">
        <x:v>Food &amp; Beverages</x:v>
      </x:c>
      <x:c r="E7195" s="13" t="str">
        <x:v>Agri, Food &amp; Beverages</x:v>
      </x:c>
      <x:c r="F7195" s="13" t="str">
        <x:v>Defensives</x:v>
      </x:c>
      <x:c r="G7195" s="13" t="str">
        <x:v>grid_cqzdsc3v.xlsx</x:v>
      </x:c>
    </x:row>
    <x:row r="7196">
      <x:c r="A7196" s="15" t="n">
        <x:v>43739</x:v>
      </x:c>
      <x:c r="B7196" s="13" t="str">
        <x:v>JBS SA</x:v>
      </x:c>
      <x:c r="C7196" s="16" t="n">
        <x:v>7857.684992</x:v>
      </x:c>
      <x:c r="D7196" s="13" t="str">
        <x:v>Food &amp; Beverages</x:v>
      </x:c>
      <x:c r="E7196" s="13" t="str">
        <x:v>Agri, Food &amp; Beverages</x:v>
      </x:c>
      <x:c r="F7196" s="13" t="str">
        <x:v>Defensives</x:v>
      </x:c>
      <x:c r="G7196" s="13" t="str">
        <x:v>grid_cqzdsc3v.xlsx</x:v>
      </x:c>
    </x:row>
    <x:row r="7197">
      <x:c r="A7197" s="15" t="n">
        <x:v>43739</x:v>
      </x:c>
      <x:c r="B7197" s="13" t="str">
        <x:v>MBRF GLOBAL FOODS COMPANY SA</x:v>
      </x:c>
      <x:c r="C7197" s="16" t="n">
        <x:v>380.857168</x:v>
      </x:c>
      <x:c r="D7197" s="13" t="str">
        <x:v>Food &amp; Beverages</x:v>
      </x:c>
      <x:c r="E7197" s="13" t="str">
        <x:v>Agri, Food &amp; Beverages</x:v>
      </x:c>
      <x:c r="F7197" s="13" t="str">
        <x:v>Defensives</x:v>
      </x:c>
      <x:c r="G7197" s="13" t="str">
        <x:v>grid_cqzdsc3v.xlsx</x:v>
      </x:c>
    </x:row>
    <x:row r="7198">
      <x:c r="A7198" s="15" t="n">
        <x:v>43739</x:v>
      </x:c>
      <x:c r="B7198" s="13" t="str">
        <x:v>FLEURY SA</x:v>
      </x:c>
      <x:c r="C7198" s="16" t="n">
        <x:v>403.3519946667</x:v>
      </x:c>
      <x:c r="D7198" s="13" t="str">
        <x:v>Health Care</x:v>
      </x:c>
      <x:c r="E7198" s="13" t="str">
        <x:v>Health Care</x:v>
      </x:c>
      <x:c r="F7198" s="13" t="str">
        <x:v>Defensives</x:v>
      </x:c>
      <x:c r="G7198" s="13" t="str">
        <x:v>grid_cqzdsc3v.xlsx</x:v>
      </x:c>
    </x:row>
    <x:row r="7199">
      <x:c r="A7199" s="15" t="n">
        <x:v>43739</x:v>
      </x:c>
      <x:c r="B7199" s="13" t="str">
        <x:v>HYPERA SA</x:v>
      </x:c>
      <x:c r="C7199" s="16" t="n">
        <x:v>1212.268352</x:v>
      </x:c>
      <x:c r="D7199" s="13" t="str">
        <x:v>Health Care</x:v>
      </x:c>
      <x:c r="E7199" s="13" t="str">
        <x:v>Health Care</x:v>
      </x:c>
      <x:c r="F7199" s="13" t="str">
        <x:v>Defensives</x:v>
      </x:c>
      <x:c r="G7199" s="13" t="str">
        <x:v>grid_cqzdsc3v.xlsx</x:v>
      </x:c>
    </x:row>
    <x:row r="7200">
      <x:c r="A7200" s="15" t="n">
        <x:v>43739</x:v>
      </x:c>
      <x:c r="B7200" s="13" t="str">
        <x:v>NOTRE DAME INTERMED PAR SA</x:v>
      </x:c>
      <x:c r="C7200" s="16" t="n">
        <x:v>750.7038186667</x:v>
      </x:c>
      <x:c r="D7200" s="13" t="str">
        <x:v>Health Care</x:v>
      </x:c>
      <x:c r="E7200" s="13" t="str">
        <x:v>Health Care</x:v>
      </x:c>
      <x:c r="F7200" s="13" t="str">
        <x:v>Defensives</x:v>
      </x:c>
      <x:c r="G7200" s="13" t="str">
        <x:v>grid_cqzdsc3v.xlsx</x:v>
      </x:c>
    </x:row>
    <x:row r="7201">
      <x:c r="A7201" s="15" t="n">
        <x:v>43739</x:v>
      </x:c>
      <x:c r="B7201" s="13" t="str">
        <x:v>QUALICORP CONS E CORR SEG SA</x:v>
      </x:c>
      <x:c r="C7201" s="16" t="n">
        <x:v>558.7083306667</x:v>
      </x:c>
      <x:c r="D7201" s="13" t="str">
        <x:v>Health Care</x:v>
      </x:c>
      <x:c r="E7201" s="13" t="str">
        <x:v>Health Care</x:v>
      </x:c>
      <x:c r="F7201" s="13" t="str">
        <x:v>Defensives</x:v>
      </x:c>
      <x:c r="G7201" s="13" t="str">
        <x:v>grid_cqzdsc3v.xlsx</x:v>
      </x:c>
    </x:row>
    <x:row r="7202">
      <x:c r="A7202" s="15" t="n">
        <x:v>43739</x:v>
      </x:c>
      <x:c r="B7202" s="13" t="str">
        <x:v>CYRELA BRAZIL REALTY SA EMP</x:v>
      </x:c>
      <x:c r="C7202" s="16" t="n">
        <x:v>520.2083146667</x:v>
      </x:c>
      <x:c r="D7202" s="13" t="str">
        <x:v>Homebuilders</x:v>
      </x:c>
      <x:c r="E7202" s="13" t="str">
        <x:v>Real Estate</x:v>
      </x:c>
      <x:c r="F7202" s="13" t="str">
        <x:v>Early Cyclicals</x:v>
      </x:c>
      <x:c r="G7202" s="13" t="str">
        <x:v>grid_cqzdsc3v.xlsx</x:v>
      </x:c>
    </x:row>
    <x:row r="7203">
      <x:c r="A7203" s="15" t="n">
        <x:v>43739</x:v>
      </x:c>
      <x:c r="B7203" s="13" t="str">
        <x:v>MRV ENGENHARIA</x:v>
      </x:c>
      <x:c r="C7203" s="16" t="n">
        <x:v>777.7778346667</x:v>
      </x:c>
      <x:c r="D7203" s="13" t="str">
        <x:v>Homebuilders</x:v>
      </x:c>
      <x:c r="E7203" s="13" t="str">
        <x:v>Real Estate</x:v>
      </x:c>
      <x:c r="F7203" s="13" t="str">
        <x:v>Early Cyclicals</x:v>
      </x:c>
      <x:c r="G7203" s="13" t="str">
        <x:v>grid_cqzdsc3v.xlsx</x:v>
      </x:c>
    </x:row>
    <x:row r="7204">
      <x:c r="A7204" s="15" t="n">
        <x:v>43739</x:v>
      </x:c>
      <x:c r="B7204" s="13" t="str">
        <x:v>BR MALLS PARTICIPACOES SA</x:v>
      </x:c>
      <x:c r="C7204" s="16" t="n">
        <x:v>679.6664853333</x:v>
      </x:c>
      <x:c r="D7204" s="13" t="str">
        <x:v>Income Properties</x:v>
      </x:c>
      <x:c r="E7204" s="13" t="str">
        <x:v>Real Estate</x:v>
      </x:c>
      <x:c r="F7204" s="13" t="str">
        <x:v>Early Cyclicals</x:v>
      </x:c>
      <x:c r="G7204" s="13" t="str">
        <x:v>grid_cqzdsc3v.xlsx</x:v>
      </x:c>
    </x:row>
    <x:row r="7205">
      <x:c r="A7205" s="15" t="n">
        <x:v>43739</x:v>
      </x:c>
      <x:c r="B7205" s="13" t="str">
        <x:v>IGUATEMI EMP DE SHOPPING</x:v>
      </x:c>
      <x:c r="C7205" s="16" t="n">
        <x:v>298.4583413333</x:v>
      </x:c>
      <x:c r="D7205" s="13" t="str">
        <x:v>Income Properties</x:v>
      </x:c>
      <x:c r="E7205" s="13" t="str">
        <x:v>Real Estate</x:v>
      </x:c>
      <x:c r="F7205" s="13" t="str">
        <x:v>Early Cyclicals</x:v>
      </x:c>
      <x:c r="G7205" s="13" t="str">
        <x:v>grid_cqzdsc3v.xlsx</x:v>
      </x:c>
    </x:row>
    <x:row r="7206">
      <x:c r="A7206" s="15" t="n">
        <x:v>43739</x:v>
      </x:c>
      <x:c r="B7206" s="13" t="str">
        <x:v>MULTIPLAN EMPREENDIMENTOS</x:v>
      </x:c>
      <x:c r="C7206" s="16" t="n">
        <x:v>561.9818613333</x:v>
      </x:c>
      <x:c r="D7206" s="13" t="str">
        <x:v>Income Properties</x:v>
      </x:c>
      <x:c r="E7206" s="13" t="str">
        <x:v>Real Estate</x:v>
      </x:c>
      <x:c r="F7206" s="13" t="str">
        <x:v>Early Cyclicals</x:v>
      </x:c>
      <x:c r="G7206" s="13" t="str">
        <x:v>grid_cqzdsc3v.xlsx</x:v>
      </x:c>
    </x:row>
    <x:row r="7207">
      <x:c r="A7207" s="15" t="n">
        <x:v>43739</x:v>
      </x:c>
      <x:c r="B7207" s="13" t="str">
        <x:v>BRADESPAR SA -PREF</x:v>
      </x:c>
      <x:c r="C7207" s="16" t="n">
        <x:v>1073.0417066667</x:v>
      </x:c>
      <x:c r="D7207" s="13" t="str">
        <x:v>Metals &amp; Mining</x:v>
      </x:c>
      <x:c r="E7207" s="13" t="str">
        <x:v>Metals &amp; Mining</x:v>
      </x:c>
      <x:c r="F7207" s="13" t="str">
        <x:v>Deep Cyclicals</x:v>
      </x:c>
      <x:c r="G7207" s="13" t="str">
        <x:v>grid_cqzdsc3v.xlsx</x:v>
      </x:c>
    </x:row>
    <x:row r="7208">
      <x:c r="A7208" s="15" t="n">
        <x:v>43739</x:v>
      </x:c>
      <x:c r="B7208" s="13" t="str">
        <x:v>CIA SIDERURGICA NACIONAL SA</x:v>
      </x:c>
      <x:c r="C7208" s="16" t="n">
        <x:v>2695.6682666667</x:v>
      </x:c>
      <x:c r="D7208" s="13" t="str">
        <x:v>Metals &amp; Mining</x:v>
      </x:c>
      <x:c r="E7208" s="13" t="str">
        <x:v>Metals &amp; Mining</x:v>
      </x:c>
      <x:c r="F7208" s="13" t="str">
        <x:v>Deep Cyclicals</x:v>
      </x:c>
      <x:c r="G7208" s="13" t="str">
        <x:v>grid_cqzdsc3v.xlsx</x:v>
      </x:c>
    </x:row>
    <x:row r="7209">
      <x:c r="A7209" s="15" t="n">
        <x:v>43739</x:v>
      </x:c>
      <x:c r="B7209" s="13" t="str">
        <x:v>GERDAU SA-PREF</x:v>
      </x:c>
      <x:c r="C7209" s="16" t="n">
        <x:v>2225.6033706667</x:v>
      </x:c>
      <x:c r="D7209" s="13" t="str">
        <x:v>Metals &amp; Mining</x:v>
      </x:c>
      <x:c r="E7209" s="13" t="str">
        <x:v>Metals &amp; Mining</x:v>
      </x:c>
      <x:c r="F7209" s="13" t="str">
        <x:v>Deep Cyclicals</x:v>
      </x:c>
      <x:c r="G7209" s="13" t="str">
        <x:v>grid_cqzdsc3v.xlsx</x:v>
      </x:c>
    </x:row>
    <x:row r="7210">
      <x:c r="A7210" s="15" t="n">
        <x:v>43739</x:v>
      </x:c>
      <x:c r="B7210" s="13" t="str">
        <x:v>USINAS SIDER MINAS GER-PF A</x:v>
      </x:c>
      <x:c r="C7210" s="16" t="n">
        <x:v>646.7361813333</x:v>
      </x:c>
      <x:c r="D7210" s="13" t="str">
        <x:v>Metals &amp; Mining</x:v>
      </x:c>
      <x:c r="E7210" s="13" t="str">
        <x:v>Metals &amp; Mining</x:v>
      </x:c>
      <x:c r="F7210" s="13" t="str">
        <x:v>Deep Cyclicals</x:v>
      </x:c>
      <x:c r="G7210" s="13" t="str">
        <x:v>grid_cqzdsc3v.xlsx</x:v>
      </x:c>
    </x:row>
    <x:row r="7211">
      <x:c r="A7211" s="15" t="n">
        <x:v>43739</x:v>
      </x:c>
      <x:c r="B7211" s="13" t="str">
        <x:v>VALE SA</x:v>
      </x:c>
      <x:c r="C7211" s="16" t="n">
        <x:v>33849.4675626667</x:v>
      </x:c>
      <x:c r="D7211" s="13" t="str">
        <x:v>Metals &amp; Mining</x:v>
      </x:c>
      <x:c r="E7211" s="13" t="str">
        <x:v>Metals &amp; Mining</x:v>
      </x:c>
      <x:c r="F7211" s="13" t="str">
        <x:v>Deep Cyclicals</x:v>
      </x:c>
      <x:c r="G7211" s="13" t="str">
        <x:v>grid_cqzdsc3v.xlsx</x:v>
      </x:c>
    </x:row>
    <x:row r="7212">
      <x:c r="A7212" s="15" t="n">
        <x:v>43739</x:v>
      </x:c>
      <x:c r="B7212" s="13" t="str">
        <x:v>BRASKEM SA-PREF A</x:v>
      </x:c>
      <x:c r="C7212" s="16" t="n">
        <x:v>444.3533226667</x:v>
      </x:c>
      <x:c r="D7212" s="13" t="str">
        <x:v>Oil, Gas &amp; Petrochemicals</x:v>
      </x:c>
      <x:c r="E7212" s="13" t="str">
        <x:v>Oil, Gas &amp; Petrochemicals</x:v>
      </x:c>
      <x:c r="F7212" s="13" t="str">
        <x:v>Deep Cyclicals</x:v>
      </x:c>
      <x:c r="G7212" s="13" t="str">
        <x:v>grid_cqzdsc3v.xlsx</x:v>
      </x:c>
    </x:row>
    <x:row r="7213">
      <x:c r="A7213" s="15" t="n">
        <x:v>43739</x:v>
      </x:c>
      <x:c r="B7213" s="13" t="str">
        <x:v>COSAN SA</x:v>
      </x:c>
      <x:c r="C7213" s="16" t="n">
        <x:v>1953.4499626667</x:v>
      </x:c>
      <x:c r="D7213" s="13" t="str">
        <x:v>Oil, Gas &amp; Petrochemicals</x:v>
      </x:c>
      <x:c r="E7213" s="13" t="str">
        <x:v>Oil, Gas &amp; Petrochemicals</x:v>
      </x:c>
      <x:c r="F7213" s="13" t="str">
        <x:v>Deep Cyclicals</x:v>
      </x:c>
      <x:c r="G7213" s="13" t="str">
        <x:v>grid_cqzdsc3v.xlsx</x:v>
      </x:c>
    </x:row>
    <x:row r="7214">
      <x:c r="A7214" s="15" t="n">
        <x:v>43739</x:v>
      </x:c>
      <x:c r="B7214" s="13" t="str">
        <x:v>PETROBRAS - PETROLEO BRAS</x:v>
      </x:c>
      <x:c r="C7214" s="16" t="n">
        <x:v>34620.2671786667</x:v>
      </x:c>
      <x:c r="D7214" s="13" t="str">
        <x:v>Oil, Gas &amp; Petrochemicals</x:v>
      </x:c>
      <x:c r="E7214" s="13" t="str">
        <x:v>Oil, Gas &amp; Petrochemicals</x:v>
      </x:c>
      <x:c r="F7214" s="13" t="str">
        <x:v>Deep Cyclicals</x:v>
      </x:c>
      <x:c r="G7214" s="13" t="str">
        <x:v>grid_cqzdsc3v.xlsx</x:v>
      </x:c>
    </x:row>
    <x:row r="7215">
      <x:c r="A7215" s="15" t="n">
        <x:v>43739</x:v>
      </x:c>
      <x:c r="B7215" s="13" t="str">
        <x:v>ULTRAPAR PARTICIPACOES SA</x:v>
      </x:c>
      <x:c r="C7215" s="16" t="n">
        <x:v>1180.4050346667</x:v>
      </x:c>
      <x:c r="D7215" s="13" t="str">
        <x:v>Oil, Gas &amp; Petrochemicals</x:v>
      </x:c>
      <x:c r="E7215" s="13" t="str">
        <x:v>Oil, Gas &amp; Petrochemicals</x:v>
      </x:c>
      <x:c r="F7215" s="13" t="str">
        <x:v>Deep Cyclicals</x:v>
      </x:c>
      <x:c r="G7215" s="13" t="str">
        <x:v>grid_cqzdsc3v.xlsx</x:v>
      </x:c>
    </x:row>
    <x:row r="7216">
      <x:c r="A7216" s="15" t="n">
        <x:v>43739</x:v>
      </x:c>
      <x:c r="B7216" s="13" t="str">
        <x:v>VIBRA ENERGIA SA</x:v>
      </x:c>
      <x:c r="C7216" s="16" t="n">
        <x:v>2050.5467306667</x:v>
      </x:c>
      <x:c r="D7216" s="13" t="str">
        <x:v>Oil, Gas &amp; Petrochemicals</x:v>
      </x:c>
      <x:c r="E7216" s="13" t="str">
        <x:v>Oil, Gas &amp; Petrochemicals</x:v>
      </x:c>
      <x:c r="F7216" s="13" t="str">
        <x:v>Deep Cyclicals</x:v>
      </x:c>
      <x:c r="G7216" s="13" t="str">
        <x:v>grid_cqzdsc3v.xlsx</x:v>
      </x:c>
    </x:row>
    <x:row r="7217">
      <x:c r="A7217" s="15" t="n">
        <x:v>43739</x:v>
      </x:c>
      <x:c r="B7217" s="13" t="str">
        <x:v>KLABIN SA - UNIT</x:v>
      </x:c>
      <x:c r="C7217" s="16" t="n">
        <x:v>475.83606</x:v>
      </x:c>
      <x:c r="D7217" s="13" t="str">
        <x:v>Pulp &amp; Paper</x:v>
      </x:c>
      <x:c r="E7217" s="13" t="str">
        <x:v>Pulp &amp; Paper</x:v>
      </x:c>
      <x:c r="F7217" s="13" t="str">
        <x:v>Deep Cyclicals</x:v>
      </x:c>
      <x:c r="G7217" s="13" t="str">
        <x:v>grid_cqzdsc3v.xlsx</x:v>
      </x:c>
    </x:row>
    <x:row r="7218">
      <x:c r="A7218" s="15" t="n">
        <x:v>43739</x:v>
      </x:c>
      <x:c r="B7218" s="13" t="str">
        <x:v>SUZANO SA</x:v>
      </x:c>
      <x:c r="C7218" s="16" t="n">
        <x:v>2362.435008</x:v>
      </x:c>
      <x:c r="D7218" s="13" t="str">
        <x:v>Pulp &amp; Paper</x:v>
      </x:c>
      <x:c r="E7218" s="13" t="str">
        <x:v>Pulp &amp; Paper</x:v>
      </x:c>
      <x:c r="F7218" s="13" t="str">
        <x:v>Deep Cyclicals</x:v>
      </x:c>
      <x:c r="G7218" s="13" t="str">
        <x:v>grid_cqzdsc3v.xlsx</x:v>
      </x:c>
    </x:row>
    <x:row r="7219">
      <x:c r="A7219" s="15" t="n">
        <x:v>43739</x:v>
      </x:c>
      <x:c r="B7219" s="13" t="str">
        <x:v>AMERICANAS SA</x:v>
      </x:c>
      <x:c r="C7219" s="16" t="n">
        <x:v>-128.020912</x:v>
      </x:c>
      <x:c r="D7219" s="13" t="str">
        <x:v>Retail</x:v>
      </x:c>
      <x:c r="E7219" s="13" t="str">
        <x:v>Retail</x:v>
      </x:c>
      <x:c r="F7219" s="13" t="str">
        <x:v>Early Cyclicals</x:v>
      </x:c>
      <x:c r="G7219" s="13" t="str">
        <x:v>grid_cqzdsc3v.xlsx</x:v>
      </x:c>
    </x:row>
    <x:row r="7220">
      <x:c r="A7220" s="15" t="n">
        <x:v>43739</x:v>
      </x:c>
      <x:c r="B7220" s="13" t="str">
        <x:v>CIA BRASILEIRA DE DIS-PREF</x:v>
      </x:c>
      <x:c r="C7220" s="16" t="n">
        <x:v>1326.111616</x:v>
      </x:c>
      <x:c r="D7220" s="13" t="str">
        <x:v>Retail</x:v>
      </x:c>
      <x:c r="E7220" s="13" t="str">
        <x:v>Retail</x:v>
      </x:c>
      <x:c r="F7220" s="13" t="str">
        <x:v>Early Cyclicals</x:v>
      </x:c>
      <x:c r="G7220" s="13" t="str">
        <x:v>grid_cqzdsc3v.xlsx</x:v>
      </x:c>
    </x:row>
    <x:row r="7221">
      <x:c r="A7221" s="15" t="n">
        <x:v>43739</x:v>
      </x:c>
      <x:c r="B7221" s="13" t="str">
        <x:v>CVC BRASIL OPERADORA E AGENC</x:v>
      </x:c>
      <x:c r="C7221" s="16" t="n">
        <x:v>377.7219946667</x:v>
      </x:c>
      <x:c r="D7221" s="13" t="str">
        <x:v>Retail</x:v>
      </x:c>
      <x:c r="E7221" s="13" t="str">
        <x:v>Retail</x:v>
      </x:c>
      <x:c r="F7221" s="13" t="str">
        <x:v>Early Cyclicals</x:v>
      </x:c>
      <x:c r="G7221" s="13" t="str">
        <x:v>grid_cqzdsc3v.xlsx</x:v>
      </x:c>
    </x:row>
    <x:row r="7222">
      <x:c r="A7222" s="15" t="n">
        <x:v>43739</x:v>
      </x:c>
      <x:c r="B7222" s="13" t="str">
        <x:v>GRUPO CASAS BAHIA SA</x:v>
      </x:c>
      <x:c r="C7222" s="16" t="n">
        <x:v>388.3425066667</x:v>
      </x:c>
      <x:c r="D7222" s="13" t="str">
        <x:v>Retail</x:v>
      </x:c>
      <x:c r="E7222" s="13" t="str">
        <x:v>Retail</x:v>
      </x:c>
      <x:c r="F7222" s="13" t="str">
        <x:v>Early Cyclicals</x:v>
      </x:c>
      <x:c r="G7222" s="13" t="str">
        <x:v>grid_cqzdsc3v.xlsx</x:v>
      </x:c>
    </x:row>
    <x:row r="7223">
      <x:c r="A7223" s="15" t="n">
        <x:v>43739</x:v>
      </x:c>
      <x:c r="B7223" s="13" t="str">
        <x:v>LOJAS AMERICANAS SA-PREF</x:v>
      </x:c>
      <x:c r="C7223" s="16" t="n">
        <x:v>811.9551893333</x:v>
      </x:c>
      <x:c r="D7223" s="13" t="str">
        <x:v>Retail</x:v>
      </x:c>
      <x:c r="E7223" s="13" t="str">
        <x:v>Retail</x:v>
      </x:c>
      <x:c r="F7223" s="13" t="str">
        <x:v>Early Cyclicals</x:v>
      </x:c>
      <x:c r="G7223" s="13" t="str">
        <x:v>grid_cqzdsc3v.xlsx</x:v>
      </x:c>
    </x:row>
    <x:row r="7224">
      <x:c r="A7224" s="15" t="n">
        <x:v>43739</x:v>
      </x:c>
      <x:c r="B7224" s="13" t="str">
        <x:v>LOJAS RENNER S.A.</x:v>
      </x:c>
      <x:c r="C7224" s="16" t="n">
        <x:v>1362.9083306667</x:v>
      </x:c>
      <x:c r="D7224" s="13" t="str">
        <x:v>Retail</x:v>
      </x:c>
      <x:c r="E7224" s="13" t="str">
        <x:v>Retail</x:v>
      </x:c>
      <x:c r="F7224" s="13" t="str">
        <x:v>Early Cyclicals</x:v>
      </x:c>
      <x:c r="G7224" s="13" t="str">
        <x:v>grid_cqzdsc3v.xlsx</x:v>
      </x:c>
    </x:row>
    <x:row r="7225">
      <x:c r="A7225" s="15" t="n">
        <x:v>43739</x:v>
      </x:c>
      <x:c r="B7225" s="13" t="str">
        <x:v>MAGAZINE LUIZA SA</x:v>
      </x:c>
      <x:c r="C7225" s="16" t="n">
        <x:v>736.833696</x:v>
      </x:c>
      <x:c r="D7225" s="13" t="str">
        <x:v>Retail</x:v>
      </x:c>
      <x:c r="E7225" s="13" t="str">
        <x:v>Retail</x:v>
      </x:c>
      <x:c r="F7225" s="13" t="str">
        <x:v>Early Cyclicals</x:v>
      </x:c>
      <x:c r="G7225" s="13" t="str">
        <x:v>grid_cqzdsc3v.xlsx</x:v>
      </x:c>
    </x:row>
    <x:row r="7226">
      <x:c r="A7226" s="15" t="n">
        <x:v>43739</x:v>
      </x:c>
      <x:c r="B7226" s="13" t="str">
        <x:v>RAIA DROGASIL SA</x:v>
      </x:c>
      <x:c r="C7226" s="16" t="n">
        <x:v>667.218352</x:v>
      </x:c>
      <x:c r="D7226" s="13" t="str">
        <x:v>Retail</x:v>
      </x:c>
      <x:c r="E7226" s="13" t="str">
        <x:v>Retail</x:v>
      </x:c>
      <x:c r="F7226" s="13" t="str">
        <x:v>Early Cyclicals</x:v>
      </x:c>
      <x:c r="G7226" s="13" t="str">
        <x:v>grid_cqzdsc3v.xlsx</x:v>
      </x:c>
    </x:row>
    <x:row r="7227">
      <x:c r="A7227" s="15" t="n">
        <x:v>43739</x:v>
      </x:c>
      <x:c r="B7227" s="13" t="str">
        <x:v>CIA SANEAMENTO BASICO DE SP</x:v>
      </x:c>
      <x:c r="C7227" s="16" t="n">
        <x:v>2899.7915733333</x:v>
      </x:c>
      <x:c r="D7227" s="13" t="str">
        <x:v>Sanitation</x:v>
      </x:c>
      <x:c r="E7227" s="13" t="str">
        <x:v>Utilities</x:v>
      </x:c>
      <x:c r="F7227" s="13" t="str">
        <x:v>Defensives</x:v>
      </x:c>
      <x:c r="G7227" s="13" t="str">
        <x:v>grid_cqzdsc3v.xlsx</x:v>
      </x:c>
    </x:row>
    <x:row r="7228">
      <x:c r="A7228" s="15" t="n">
        <x:v>43739</x:v>
      </x:c>
      <x:c r="B7228" s="13" t="str">
        <x:v>SMILES FIDELIDADE SA</x:v>
      </x:c>
      <x:c r="C7228" s="16" t="n">
        <x:v>656.8333333333</x:v>
      </x:c>
      <x:c r="D7228" s="13" t="str">
        <x:v>TMT</x:v>
      </x:c>
      <x:c r="E7228" s="13" t="str">
        <x:v>TMT</x:v>
      </x:c>
      <x:c r="F7228" s="13" t="str">
        <x:v>Early Cyclicals</x:v>
      </x:c>
      <x:c r="G7228" s="13" t="str">
        <x:v>grid_cqzdsc3v.xlsx</x:v>
      </x:c>
    </x:row>
    <x:row r="7229">
      <x:c r="A7229" s="15" t="n">
        <x:v>43739</x:v>
      </x:c>
      <x:c r="B7229" s="13" t="str">
        <x:v>TELEFONICA BRASIL S.A.-PREF</x:v>
      </x:c>
      <x:c r="C7229" s="16" t="n">
        <x:v>5832.06656</x:v>
      </x:c>
      <x:c r="D7229" s="13" t="str">
        <x:v>TMT</x:v>
      </x:c>
      <x:c r="E7229" s="13" t="str">
        <x:v>TMT</x:v>
      </x:c>
      <x:c r="F7229" s="13" t="str">
        <x:v>Early Cyclicals</x:v>
      </x:c>
      <x:c r="G7229" s="13" t="str">
        <x:v>grid_cqzdsc3v.xlsx</x:v>
      </x:c>
    </x:row>
    <x:row r="7230">
      <x:c r="A7230" s="15" t="n">
        <x:v>43739</x:v>
      </x:c>
      <x:c r="B7230" s="13" t="str">
        <x:v>TIM SA</x:v>
      </x:c>
      <x:c r="C7230" s="16" t="n">
        <x:v>2016.733312</x:v>
      </x:c>
      <x:c r="D7230" s="13" t="str">
        <x:v>TMT</x:v>
      </x:c>
      <x:c r="E7230" s="13" t="str">
        <x:v>TMT</x:v>
      </x:c>
      <x:c r="F7230" s="13" t="str">
        <x:v>Early Cyclicals</x:v>
      </x:c>
      <x:c r="G7230" s="13" t="str">
        <x:v>grid_cqzdsc3v.xlsx</x:v>
      </x:c>
    </x:row>
    <x:row r="7231">
      <x:c r="A7231" s="15" t="n">
        <x:v>43739</x:v>
      </x:c>
      <x:c r="B7231" s="13" t="str">
        <x:v>AZUL SA</x:v>
      </x:c>
      <x:c r="C7231" s="16" t="n">
        <x:v>1051.1041493333</x:v>
      </x:c>
      <x:c r="D7231" s="13" t="str">
        <x:v>Transportation</x:v>
      </x:c>
      <x:c r="E7231" s="13" t="str">
        <x:v>Transportation</x:v>
      </x:c>
      <x:c r="F7231" s="13" t="str">
        <x:v>Deep Cyclicals</x:v>
      </x:c>
      <x:c r="G7231" s="13" t="str">
        <x:v>grid_cqzdsc3v.xlsx</x:v>
      </x:c>
    </x:row>
    <x:row r="7232">
      <x:c r="A7232" s="15" t="n">
        <x:v>43739</x:v>
      </x:c>
      <x:c r="B7232" s="13" t="str">
        <x:v>ECORODOVIAS INFRA E LOG SA</x:v>
      </x:c>
      <x:c r="C7232" s="16" t="n">
        <x:v>487.111168</x:v>
      </x:c>
      <x:c r="D7232" s="13" t="str">
        <x:v>Transportation</x:v>
      </x:c>
      <x:c r="E7232" s="13" t="str">
        <x:v>Transportation</x:v>
      </x:c>
      <x:c r="F7232" s="13" t="str">
        <x:v>Deep Cyclicals</x:v>
      </x:c>
      <x:c r="G7232" s="13" t="str">
        <x:v>grid_cqzdsc3v.xlsx</x:v>
      </x:c>
    </x:row>
    <x:row r="7233">
      <x:c r="A7233" s="15" t="n">
        <x:v>43739</x:v>
      </x:c>
      <x:c r="B7233" s="13" t="str">
        <x:v>GOL LINHAS AEREAS INT SA-PRE</x:v>
      </x:c>
      <x:c r="C7233" s="16" t="n">
        <x:v>864.2413066667</x:v>
      </x:c>
      <x:c r="D7233" s="13" t="str">
        <x:v>Transportation</x:v>
      </x:c>
      <x:c r="E7233" s="13" t="str">
        <x:v>Transportation</x:v>
      </x:c>
      <x:c r="F7233" s="13" t="str">
        <x:v>Deep Cyclicals</x:v>
      </x:c>
      <x:c r="G7233" s="13" t="str">
        <x:v>grid_cqzdsc3v.xlsx</x:v>
      </x:c>
    </x:row>
    <x:row r="7234">
      <x:c r="A7234" s="15" t="n">
        <x:v>43739</x:v>
      </x:c>
      <x:c r="B7234" s="13" t="str">
        <x:v>LOCALIZA RENT A CAR</x:v>
      </x:c>
      <x:c r="C7234" s="16" t="n">
        <x:v>1134.0695573333</x:v>
      </x:c>
      <x:c r="D7234" s="13" t="str">
        <x:v>Transportation</x:v>
      </x:c>
      <x:c r="E7234" s="13" t="str">
        <x:v>Transportation</x:v>
      </x:c>
      <x:c r="F7234" s="13" t="str">
        <x:v>Deep Cyclicals</x:v>
      </x:c>
      <x:c r="G7234" s="13" t="str">
        <x:v>grid_cqzdsc3v.xlsx</x:v>
      </x:c>
    </x:row>
    <x:row r="7235">
      <x:c r="A7235" s="15" t="n">
        <x:v>43739</x:v>
      </x:c>
      <x:c r="B7235" s="13" t="str">
        <x:v>MOTIVA INFRAESTRUTURA DE MOB</x:v>
      </x:c>
      <x:c r="C7235" s="16" t="n">
        <x:v>2004.2132906667</x:v>
      </x:c>
      <x:c r="D7235" s="13" t="str">
        <x:v>Transportation</x:v>
      </x:c>
      <x:c r="E7235" s="13" t="str">
        <x:v>Transportation</x:v>
      </x:c>
      <x:c r="F7235" s="13" t="str">
        <x:v>Deep Cyclicals</x:v>
      </x:c>
      <x:c r="G7235" s="13" t="str">
        <x:v>grid_cqzdsc3v.xlsx</x:v>
      </x:c>
    </x:row>
    <x:row r="7236">
      <x:c r="A7236" s="15" t="n">
        <x:v>43739</x:v>
      </x:c>
      <x:c r="B7236" s="13" t="str">
        <x:v>RUMO SA</x:v>
      </x:c>
      <x:c r="C7236" s="16" t="n">
        <x:v>1141.2738346667</x:v>
      </x:c>
      <x:c r="D7236" s="13" t="str">
        <x:v>Transportation</x:v>
      </x:c>
      <x:c r="E7236" s="13" t="str">
        <x:v>Transportation</x:v>
      </x:c>
      <x:c r="F7236" s="13" t="str">
        <x:v>Deep Cyclicals</x:v>
      </x:c>
      <x:c r="G7236" s="13" t="str">
        <x:v>grid_cqzdsc3v.xlsx</x:v>
      </x:c>
    </x:row>
    <x:row r="7237">
      <x:c r="A7237" s="15" t="n">
        <x:v>43739</x:v>
      </x:c>
      <x:c r="B7237" s="13" t="str">
        <x:v>AXIA ENERGIA SA</x:v>
      </x:c>
      <x:c r="C7237" s="16" t="n">
        <x:v>6584.0001706667</x:v>
      </x:c>
      <x:c r="D7237" s="13" t="str">
        <x:v>Utilities &amp; Energy</x:v>
      </x:c>
      <x:c r="E7237" s="13" t="str">
        <x:v>Utilities</x:v>
      </x:c>
      <x:c r="F7237" s="13" t="str">
        <x:v>Defensives</x:v>
      </x:c>
      <x:c r="G7237" s="13" t="str">
        <x:v>grid_cqzdsc3v.xlsx</x:v>
      </x:c>
    </x:row>
    <x:row r="7238">
      <x:c r="A7238" s="15" t="n">
        <x:v>43739</x:v>
      </x:c>
      <x:c r="B7238" s="13" t="str">
        <x:v>AXIA ENERGIA-PR B</x:v>
      </x:c>
      <x:c r="C7238" s="16" t="n">
        <x:v>6584.0001706667</x:v>
      </x:c>
      <x:c r="D7238" s="13" t="str">
        <x:v>Utilities &amp; Energy</x:v>
      </x:c>
      <x:c r="E7238" s="13" t="str">
        <x:v>Utilities</x:v>
      </x:c>
      <x:c r="F7238" s="13" t="str">
        <x:v>Defensives</x:v>
      </x:c>
      <x:c r="G7238" s="13" t="str">
        <x:v>grid_cqzdsc3v.xlsx</x:v>
      </x:c>
    </x:row>
    <x:row r="7239">
      <x:c r="A7239" s="15" t="n">
        <x:v>43739</x:v>
      </x:c>
      <x:c r="B7239" s="13" t="str">
        <x:v>CIA ENERGETICA MINAS GER-PRF</x:v>
      </x:c>
      <x:c r="C7239" s="16" t="n">
        <x:v>2465.5034453333</x:v>
      </x:c>
      <x:c r="D7239" s="13" t="str">
        <x:v>Utilities &amp; Energy</x:v>
      </x:c>
      <x:c r="E7239" s="13" t="str">
        <x:v>Utilities</x:v>
      </x:c>
      <x:c r="F7239" s="13" t="str">
        <x:v>Defensives</x:v>
      </x:c>
      <x:c r="G7239" s="13" t="str">
        <x:v>grid_cqzdsc3v.xlsx</x:v>
      </x:c>
    </x:row>
    <x:row r="7240">
      <x:c r="A7240" s="15" t="n">
        <x:v>43739</x:v>
      </x:c>
      <x:c r="B7240" s="13" t="str">
        <x:v>EDP - ENERGIAS DO BRASIL SA</x:v>
      </x:c>
      <x:c r="C7240" s="16" t="n">
        <x:v>958.1391786667</x:v>
      </x:c>
      <x:c r="D7240" s="13" t="str">
        <x:v>Utilities &amp; Energy</x:v>
      </x:c>
      <x:c r="E7240" s="13" t="str">
        <x:v>Utilities</x:v>
      </x:c>
      <x:c r="F7240" s="13" t="str">
        <x:v>Defensives</x:v>
      </x:c>
      <x:c r="G7240" s="13" t="str">
        <x:v>grid_cqzdsc3v.xlsx</x:v>
      </x:c>
    </x:row>
    <x:row r="7241">
      <x:c r="A7241" s="15" t="n">
        <x:v>43739</x:v>
      </x:c>
      <x:c r="B7241" s="13" t="str">
        <x:v>ENGIE BRASIL ENERGIA SA</x:v>
      </x:c>
      <x:c r="C7241" s="16" t="n">
        <x:v>2658.6300586667</x:v>
      </x:c>
      <x:c r="D7241" s="13" t="str">
        <x:v>Utilities &amp; Energy</x:v>
      </x:c>
      <x:c r="E7241" s="13" t="str">
        <x:v>Utilities</x:v>
      </x:c>
      <x:c r="F7241" s="13" t="str">
        <x:v>Defensives</x:v>
      </x:c>
      <x:c r="G7241" s="13" t="str">
        <x:v>grid_cqzdsc3v.xlsx</x:v>
      </x:c>
    </x:row>
    <x:row r="7242">
      <x:c r="A7242" s="15" t="n">
        <x:v>43739</x:v>
      </x:c>
      <x:c r="B7242" s="13" t="str">
        <x:v>EQUATORIAL SA - ORD</x:v>
      </x:c>
      <x:c r="C7242" s="16" t="n">
        <x:v>986.9333333333</x:v>
      </x:c>
      <x:c r="D7242" s="13" t="str">
        <x:v>Utilities &amp; Energy</x:v>
      </x:c>
      <x:c r="E7242" s="13" t="str">
        <x:v>Utilities</x:v>
      </x:c>
      <x:c r="F7242" s="13" t="str">
        <x:v>Defensives</x:v>
      </x:c>
      <x:c r="G7242" s="13" t="str">
        <x:v>grid_cqzdsc3v.xlsx</x:v>
      </x:c>
    </x:row>
    <x:row r="7243">
      <x:c r="A7243" s="15" t="n">
        <x:v>43739</x:v>
      </x:c>
      <x:c r="B7243" s="13" t="str">
        <x:v>TRANSMISSORA ALIANCA DE-UNIT</x:v>
      </x:c>
      <x:c r="C7243" s="16" t="n">
        <x:v>815.2749866667</x:v>
      </x:c>
      <x:c r="D7243" s="13" t="str">
        <x:v>Utilities &amp; Energy</x:v>
      </x:c>
      <x:c r="E7243" s="13" t="str">
        <x:v>Utilities</x:v>
      </x:c>
      <x:c r="F7243" s="13" t="str">
        <x:v>Defensives</x:v>
      </x:c>
      <x:c r="G7243" s="13" t="str">
        <x:v>grid_cqzdsc3v.xlsx</x:v>
      </x:c>
    </x:row>
    <x:row r="7244">
      <x:c r="A7244" s="15" t="n">
        <x:v>43770</x:v>
      </x:c>
      <x:c r="B7244" s="13" t="str">
        <x:v>BANCO BRADESCO S.A.</x:v>
      </x:c>
      <x:c r="C7244" s="16" t="n">
        <x:v>28111.2052696831</x:v>
      </x:c>
      <x:c r="D7244" s="13" t="str">
        <x:v>Banks</x:v>
      </x:c>
      <x:c r="E7244" s="13" t="str">
        <x:v>Banks</x:v>
      </x:c>
      <x:c r="F7244" s="13" t="str">
        <x:v>Financials</x:v>
      </x:c>
      <x:c r="G7244" s="13" t="str">
        <x:v>grid_cqzdsc3v.xlsx</x:v>
      </x:c>
    </x:row>
    <x:row r="7245">
      <x:c r="A7245" s="15" t="n">
        <x:v>43770</x:v>
      </x:c>
      <x:c r="B7245" s="13" t="str">
        <x:v>BANCO BRADESCO SA-PREF</x:v>
      </x:c>
      <x:c r="C7245" s="16" t="n">
        <x:v>28111.2052696831</x:v>
      </x:c>
      <x:c r="D7245" s="13" t="str">
        <x:v>Banks</x:v>
      </x:c>
      <x:c r="E7245" s="13" t="str">
        <x:v>Banks</x:v>
      </x:c>
      <x:c r="F7245" s="13" t="str">
        <x:v>Financials</x:v>
      </x:c>
      <x:c r="G7245" s="13" t="str">
        <x:v>grid_cqzdsc3v.xlsx</x:v>
      </x:c>
    </x:row>
    <x:row r="7246">
      <x:c r="A7246" s="15" t="n">
        <x:v>43770</x:v>
      </x:c>
      <x:c r="B7246" s="13" t="str">
        <x:v>BANCO BTG PACTUAL SA-UNIT</x:v>
      </x:c>
      <x:c r="C7246" s="16" t="n">
        <x:v>4049.7854405246</x:v>
      </x:c>
      <x:c r="D7246" s="13" t="str">
        <x:v>Banks</x:v>
      </x:c>
      <x:c r="E7246" s="13" t="str">
        <x:v>Banks</x:v>
      </x:c>
      <x:c r="F7246" s="13" t="str">
        <x:v>Financials</x:v>
      </x:c>
      <x:c r="G7246" s="13" t="str">
        <x:v>grid_cqzdsc3v.xlsx</x:v>
      </x:c>
    </x:row>
    <x:row r="7247">
      <x:c r="A7247" s="15" t="n">
        <x:v>43770</x:v>
      </x:c>
      <x:c r="B7247" s="13" t="str">
        <x:v>BANCO DO BRASIL S.A.</x:v>
      </x:c>
      <x:c r="C7247" s="16" t="n">
        <x:v>18947.5617741639</x:v>
      </x:c>
      <x:c r="D7247" s="13" t="str">
        <x:v>Banks</x:v>
      </x:c>
      <x:c r="E7247" s="13" t="str">
        <x:v>Banks</x:v>
      </x:c>
      <x:c r="F7247" s="13" t="str">
        <x:v>Financials</x:v>
      </x:c>
      <x:c r="G7247" s="13" t="str">
        <x:v>grid_cqzdsc3v.xlsx</x:v>
      </x:c>
    </x:row>
    <x:row r="7248">
      <x:c r="A7248" s="15" t="n">
        <x:v>43770</x:v>
      </x:c>
      <x:c r="B7248" s="13" t="str">
        <x:v>BANCO SANTANDER  BRASIL-UNIT</x:v>
      </x:c>
      <x:c r="C7248" s="16" t="n">
        <x:v>15376.9331997377</x:v>
      </x:c>
      <x:c r="D7248" s="13" t="str">
        <x:v>Banks</x:v>
      </x:c>
      <x:c r="E7248" s="13" t="str">
        <x:v>Banks</x:v>
      </x:c>
      <x:c r="F7248" s="13" t="str">
        <x:v>Financials</x:v>
      </x:c>
      <x:c r="G7248" s="13" t="str">
        <x:v>grid_cqzdsc3v.xlsx</x:v>
      </x:c>
    </x:row>
    <x:row r="7249">
      <x:c r="A7249" s="15" t="n">
        <x:v>43770</x:v>
      </x:c>
      <x:c r="B7249" s="13" t="str">
        <x:v>ITAU UNIBANCO HOLDING S-PREF</x:v>
      </x:c>
      <x:c r="C7249" s="16" t="n">
        <x:v>29299.5602465574</x:v>
      </x:c>
      <x:c r="D7249" s="13" t="str">
        <x:v>Banks</x:v>
      </x:c>
      <x:c r="E7249" s="13" t="str">
        <x:v>Banks</x:v>
      </x:c>
      <x:c r="F7249" s="13" t="str">
        <x:v>Financials</x:v>
      </x:c>
      <x:c r="G7249" s="13" t="str">
        <x:v>grid_cqzdsc3v.xlsx</x:v>
      </x:c>
    </x:row>
    <x:row r="7250">
      <x:c r="A7250" s="15" t="n">
        <x:v>43770</x:v>
      </x:c>
      <x:c r="B7250" s="13" t="str">
        <x:v>EMBRAER SA</x:v>
      </x:c>
      <x:c r="C7250" s="16" t="n">
        <x:v>883.8943566339</x:v>
      </x:c>
      <x:c r="D7250" s="13" t="str">
        <x:v>Capital Goods</x:v>
      </x:c>
      <x:c r="E7250" s="13" t="str">
        <x:v>Capital Goods</x:v>
      </x:c>
      <x:c r="F7250" s="13" t="str">
        <x:v>Deep Cyclicals</x:v>
      </x:c>
      <x:c r="G7250" s="13" t="str">
        <x:v>grid_cqzdsc3v.xlsx</x:v>
      </x:c>
    </x:row>
    <x:row r="7251">
      <x:c r="A7251" s="15" t="n">
        <x:v>43770</x:v>
      </x:c>
      <x:c r="B7251" s="13" t="str">
        <x:v>WEG SA</x:v>
      </x:c>
      <x:c r="C7251" s="16" t="n">
        <x:v>1751.9841888525</x:v>
      </x:c>
      <x:c r="D7251" s="13" t="str">
        <x:v>Capital Goods</x:v>
      </x:c>
      <x:c r="E7251" s="13" t="str">
        <x:v>Capital Goods</x:v>
      </x:c>
      <x:c r="F7251" s="13" t="str">
        <x:v>Deep Cyclicals</x:v>
      </x:c>
      <x:c r="G7251" s="13" t="str">
        <x:v>grid_cqzdsc3v.xlsx</x:v>
      </x:c>
    </x:row>
    <x:row r="7252">
      <x:c r="A7252" s="15" t="n">
        <x:v>43770</x:v>
      </x:c>
      <x:c r="B7252" s="13" t="str">
        <x:v>COGNA EDUCACAO</x:v>
      </x:c>
      <x:c r="C7252" s="16" t="n">
        <x:v>1332.6944342732</x:v>
      </x:c>
      <x:c r="D7252" s="13" t="str">
        <x:v>Education</x:v>
      </x:c>
      <x:c r="E7252" s="13" t="str">
        <x:v>Education</x:v>
      </x:c>
      <x:c r="F7252" s="13" t="str">
        <x:v>Early Cyclicals</x:v>
      </x:c>
      <x:c r="G7252" s="13" t="str">
        <x:v>grid_cqzdsc3v.xlsx</x:v>
      </x:c>
    </x:row>
    <x:row r="7253">
      <x:c r="A7253" s="15" t="n">
        <x:v>43770</x:v>
      </x:c>
      <x:c r="B7253" s="13" t="str">
        <x:v>YDUQS PARTICIPACOES SA</x:v>
      </x:c>
      <x:c r="C7253" s="16" t="n">
        <x:v>845.4179476284</x:v>
      </x:c>
      <x:c r="D7253" s="13" t="str">
        <x:v>Education</x:v>
      </x:c>
      <x:c r="E7253" s="13" t="str">
        <x:v>Education</x:v>
      </x:c>
      <x:c r="F7253" s="13" t="str">
        <x:v>Early Cyclicals</x:v>
      </x:c>
      <x:c r="G7253" s="13" t="str">
        <x:v>grid_cqzdsc3v.xlsx</x:v>
      </x:c>
    </x:row>
    <x:row r="7254">
      <x:c r="A7254" s="15" t="n">
        <x:v>43770</x:v>
      </x:c>
      <x:c r="B7254" s="13" t="str">
        <x:v>B3 SA-BRASIL BOLSA BALCAO</x:v>
      </x:c>
      <x:c r="C7254" s="16" t="n">
        <x:v>3760.3948611147</x:v>
      </x:c>
      <x:c r="D7254" s="13" t="str">
        <x:v>Financials Non-Banks</x:v>
      </x:c>
      <x:c r="E7254" s="13" t="str">
        <x:v>Financials Non-Banks</x:v>
      </x:c>
      <x:c r="F7254" s="13" t="str">
        <x:v>Financials</x:v>
      </x:c>
      <x:c r="G7254" s="13" t="str">
        <x:v>grid_cqzdsc3v.xlsx</x:v>
      </x:c>
    </x:row>
    <x:row r="7255">
      <x:c r="A7255" s="15" t="n">
        <x:v>43770</x:v>
      </x:c>
      <x:c r="B7255" s="13" t="str">
        <x:v>BB SEGURIDADE PARTICIPACOES</x:v>
      </x:c>
      <x:c r="C7255" s="16" t="n">
        <x:v>4326.4459233224</x:v>
      </x:c>
      <x:c r="D7255" s="13" t="str">
        <x:v>Financials Non-Banks</x:v>
      </x:c>
      <x:c r="E7255" s="13" t="str">
        <x:v>Financials Non-Banks</x:v>
      </x:c>
      <x:c r="F7255" s="13" t="str">
        <x:v>Financials</x:v>
      </x:c>
      <x:c r="G7255" s="13" t="str">
        <x:v>grid_cqzdsc3v.xlsx</x:v>
      </x:c>
    </x:row>
    <x:row r="7256">
      <x:c r="A7256" s="15" t="n">
        <x:v>43770</x:v>
      </x:c>
      <x:c r="B7256" s="13" t="str">
        <x:v>CIELO SA - INSTITUICAO DE PA</x:v>
      </x:c>
      <x:c r="C7256" s="16" t="n">
        <x:v>1636.2471330273</x:v>
      </x:c>
      <x:c r="D7256" s="13" t="str">
        <x:v>Financials Non-Banks</x:v>
      </x:c>
      <x:c r="E7256" s="13" t="str">
        <x:v>Financials Non-Banks</x:v>
      </x:c>
      <x:c r="F7256" s="13" t="str">
        <x:v>Financials</x:v>
      </x:c>
      <x:c r="G7256" s="13" t="str">
        <x:v>grid_cqzdsc3v.xlsx</x:v>
      </x:c>
    </x:row>
    <x:row r="7257">
      <x:c r="A7257" s="15" t="n">
        <x:v>43770</x:v>
      </x:c>
      <x:c r="B7257" s="13" t="str">
        <x:v>IRB BRASIL RESSEGUROS SA</x:v>
      </x:c>
      <x:c r="C7257" s="16" t="n">
        <x:v>1899.2014499672</x:v>
      </x:c>
      <x:c r="D7257" s="13" t="str">
        <x:v>Financials Non-Banks</x:v>
      </x:c>
      <x:c r="E7257" s="13" t="str">
        <x:v>Financials Non-Banks</x:v>
      </x:c>
      <x:c r="F7257" s="13" t="str">
        <x:v>Financials</x:v>
      </x:c>
      <x:c r="G7257" s="13" t="str">
        <x:v>grid_cqzdsc3v.xlsx</x:v>
      </x:c>
    </x:row>
    <x:row r="7258">
      <x:c r="A7258" s="15" t="n">
        <x:v>43770</x:v>
      </x:c>
      <x:c r="B7258" s="13" t="str">
        <x:v>ITAUSA SA</x:v>
      </x:c>
      <x:c r="C7258" s="16" t="n">
        <x:v>11097.3331220984</x:v>
      </x:c>
      <x:c r="D7258" s="13" t="str">
        <x:v>Financials Non-Banks</x:v>
      </x:c>
      <x:c r="E7258" s="13" t="str">
        <x:v>Financials Non-Banks</x:v>
      </x:c>
      <x:c r="F7258" s="13" t="str">
        <x:v>Financials</x:v>
      </x:c>
      <x:c r="G7258" s="13" t="str">
        <x:v>grid_cqzdsc3v.xlsx</x:v>
      </x:c>
    </x:row>
    <x:row r="7259">
      <x:c r="A7259" s="15" t="n">
        <x:v>43770</x:v>
      </x:c>
      <x:c r="B7259" s="13" t="str">
        <x:v>AMBEV SA</x:v>
      </x:c>
      <x:c r="C7259" s="16" t="n">
        <x:v>13515.4807130929</x:v>
      </x:c>
      <x:c r="D7259" s="13" t="str">
        <x:v>Food &amp; Beverages</x:v>
      </x:c>
      <x:c r="E7259" s="13" t="str">
        <x:v>Agri, Food &amp; Beverages</x:v>
      </x:c>
      <x:c r="F7259" s="13" t="str">
        <x:v>Defensives</x:v>
      </x:c>
      <x:c r="G7259" s="13" t="str">
        <x:v>grid_cqzdsc3v.xlsx</x:v>
      </x:c>
    </x:row>
    <x:row r="7260">
      <x:c r="A7260" s="15" t="n">
        <x:v>43770</x:v>
      </x:c>
      <x:c r="B7260" s="13" t="str">
        <x:v>BRF SA</x:v>
      </x:c>
      <x:c r="C7260" s="16" t="n">
        <x:v>1386.032188153</x:v>
      </x:c>
      <x:c r="D7260" s="13" t="str">
        <x:v>Food &amp; Beverages</x:v>
      </x:c>
      <x:c r="E7260" s="13" t="str">
        <x:v>Agri, Food &amp; Beverages</x:v>
      </x:c>
      <x:c r="F7260" s="13" t="str">
        <x:v>Defensives</x:v>
      </x:c>
      <x:c r="G7260" s="13" t="str">
        <x:v>grid_cqzdsc3v.xlsx</x:v>
      </x:c>
    </x:row>
    <x:row r="7261">
      <x:c r="A7261" s="15" t="n">
        <x:v>43770</x:v>
      </x:c>
      <x:c r="B7261" s="13" t="str">
        <x:v>JBS SA</x:v>
      </x:c>
      <x:c r="C7261" s="16" t="n">
        <x:v>8080.0510265355</x:v>
      </x:c>
      <x:c r="D7261" s="13" t="str">
        <x:v>Food &amp; Beverages</x:v>
      </x:c>
      <x:c r="E7261" s="13" t="str">
        <x:v>Agri, Food &amp; Beverages</x:v>
      </x:c>
      <x:c r="F7261" s="13" t="str">
        <x:v>Defensives</x:v>
      </x:c>
      <x:c r="G7261" s="13" t="str">
        <x:v>grid_cqzdsc3v.xlsx</x:v>
      </x:c>
    </x:row>
    <x:row r="7262">
      <x:c r="A7262" s="15" t="n">
        <x:v>43770</x:v>
      </x:c>
      <x:c r="B7262" s="13" t="str">
        <x:v>MBRF GLOBAL FOODS COMPANY SA</x:v>
      </x:c>
      <x:c r="C7262" s="16" t="n">
        <x:v>399.5809391913</x:v>
      </x:c>
      <x:c r="D7262" s="13" t="str">
        <x:v>Food &amp; Beverages</x:v>
      </x:c>
      <x:c r="E7262" s="13" t="str">
        <x:v>Agri, Food &amp; Beverages</x:v>
      </x:c>
      <x:c r="F7262" s="13" t="str">
        <x:v>Defensives</x:v>
      </x:c>
      <x:c r="G7262" s="13" t="str">
        <x:v>grid_cqzdsc3v.xlsx</x:v>
      </x:c>
    </x:row>
    <x:row r="7263">
      <x:c r="A7263" s="15" t="n">
        <x:v>43770</x:v>
      </x:c>
      <x:c r="B7263" s="13" t="str">
        <x:v>FLEURY SA</x:v>
      </x:c>
      <x:c r="C7263" s="16" t="n">
        <x:v>407.6450589727</x:v>
      </x:c>
      <x:c r="D7263" s="13" t="str">
        <x:v>Health Care</x:v>
      </x:c>
      <x:c r="E7263" s="13" t="str">
        <x:v>Health Care</x:v>
      </x:c>
      <x:c r="F7263" s="13" t="str">
        <x:v>Defensives</x:v>
      </x:c>
      <x:c r="G7263" s="13" t="str">
        <x:v>grid_cqzdsc3v.xlsx</x:v>
      </x:c>
    </x:row>
    <x:row r="7264">
      <x:c r="A7264" s="15" t="n">
        <x:v>43770</x:v>
      </x:c>
      <x:c r="B7264" s="13" t="str">
        <x:v>HYPERA SA</x:v>
      </x:c>
      <x:c r="C7264" s="16" t="n">
        <x:v>1214.6239664262</x:v>
      </x:c>
      <x:c r="D7264" s="13" t="str">
        <x:v>Health Care</x:v>
      </x:c>
      <x:c r="E7264" s="13" t="str">
        <x:v>Health Care</x:v>
      </x:c>
      <x:c r="F7264" s="13" t="str">
        <x:v>Defensives</x:v>
      </x:c>
      <x:c r="G7264" s="13" t="str">
        <x:v>grid_cqzdsc3v.xlsx</x:v>
      </x:c>
    </x:row>
    <x:row r="7265">
      <x:c r="A7265" s="15" t="n">
        <x:v>43770</x:v>
      </x:c>
      <x:c r="B7265" s="13" t="str">
        <x:v>NOTRE DAME INTERMED PAR SA</x:v>
      </x:c>
      <x:c r="C7265" s="16" t="n">
        <x:v>777.2308875191</x:v>
      </x:c>
      <x:c r="D7265" s="13" t="str">
        <x:v>Health Care</x:v>
      </x:c>
      <x:c r="E7265" s="13" t="str">
        <x:v>Health Care</x:v>
      </x:c>
      <x:c r="F7265" s="13" t="str">
        <x:v>Defensives</x:v>
      </x:c>
      <x:c r="G7265" s="13" t="str">
        <x:v>grid_cqzdsc3v.xlsx</x:v>
      </x:c>
    </x:row>
    <x:row r="7266">
      <x:c r="A7266" s="15" t="n">
        <x:v>43770</x:v>
      </x:c>
      <x:c r="B7266" s="13" t="str">
        <x:v>QUALICORP CONS E CORR SEG SA</x:v>
      </x:c>
      <x:c r="C7266" s="16" t="n">
        <x:v>560.8688538579</x:v>
      </x:c>
      <x:c r="D7266" s="13" t="str">
        <x:v>Health Care</x:v>
      </x:c>
      <x:c r="E7266" s="13" t="str">
        <x:v>Health Care</x:v>
      </x:c>
      <x:c r="F7266" s="13" t="str">
        <x:v>Defensives</x:v>
      </x:c>
      <x:c r="G7266" s="13" t="str">
        <x:v>grid_cqzdsc3v.xlsx</x:v>
      </x:c>
    </x:row>
    <x:row r="7267">
      <x:c r="A7267" s="15" t="n">
        <x:v>43770</x:v>
      </x:c>
      <x:c r="B7267" s="13" t="str">
        <x:v>CYRELA BRAZIL REALTY SA EMP</x:v>
      </x:c>
      <x:c r="C7267" s="16" t="n">
        <x:v>543.4774802186</x:v>
      </x:c>
      <x:c r="D7267" s="13" t="str">
        <x:v>Homebuilders</x:v>
      </x:c>
      <x:c r="E7267" s="13" t="str">
        <x:v>Real Estate</x:v>
      </x:c>
      <x:c r="F7267" s="13" t="str">
        <x:v>Early Cyclicals</x:v>
      </x:c>
      <x:c r="G7267" s="13" t="str">
        <x:v>grid_cqzdsc3v.xlsx</x:v>
      </x:c>
    </x:row>
    <x:row r="7268">
      <x:c r="A7268" s="15" t="n">
        <x:v>43770</x:v>
      </x:c>
      <x:c r="B7268" s="13" t="str">
        <x:v>MRV ENGENHARIA</x:v>
      </x:c>
      <x:c r="C7268" s="16" t="n">
        <x:v>744.1382791694</x:v>
      </x:c>
      <x:c r="D7268" s="13" t="str">
        <x:v>Homebuilders</x:v>
      </x:c>
      <x:c r="E7268" s="13" t="str">
        <x:v>Real Estate</x:v>
      </x:c>
      <x:c r="F7268" s="13" t="str">
        <x:v>Early Cyclicals</x:v>
      </x:c>
      <x:c r="G7268" s="13" t="str">
        <x:v>grid_cqzdsc3v.xlsx</x:v>
      </x:c>
    </x:row>
    <x:row r="7269">
      <x:c r="A7269" s="15" t="n">
        <x:v>43770</x:v>
      </x:c>
      <x:c r="B7269" s="13" t="str">
        <x:v>BR MALLS PARTICIPACOES SA</x:v>
      </x:c>
      <x:c r="C7269" s="16" t="n">
        <x:v>691.7070510164</x:v>
      </x:c>
      <x:c r="D7269" s="13" t="str">
        <x:v>Income Properties</x:v>
      </x:c>
      <x:c r="E7269" s="13" t="str">
        <x:v>Real Estate</x:v>
      </x:c>
      <x:c r="F7269" s="13" t="str">
        <x:v>Early Cyclicals</x:v>
      </x:c>
      <x:c r="G7269" s="13" t="str">
        <x:v>grid_cqzdsc3v.xlsx</x:v>
      </x:c>
    </x:row>
    <x:row r="7270">
      <x:c r="A7270" s="15" t="n">
        <x:v>43770</x:v>
      </x:c>
      <x:c r="B7270" s="13" t="str">
        <x:v>IGUATEMI EMP DE SHOPPING</x:v>
      </x:c>
      <x:c r="C7270" s="16" t="n">
        <x:v>301.1317898142</x:v>
      </x:c>
      <x:c r="D7270" s="13" t="str">
        <x:v>Income Properties</x:v>
      </x:c>
      <x:c r="E7270" s="13" t="str">
        <x:v>Real Estate</x:v>
      </x:c>
      <x:c r="F7270" s="13" t="str">
        <x:v>Early Cyclicals</x:v>
      </x:c>
      <x:c r="G7270" s="13" t="str">
        <x:v>grid_cqzdsc3v.xlsx</x:v>
      </x:c>
    </x:row>
    <x:row r="7271">
      <x:c r="A7271" s="15" t="n">
        <x:v>43770</x:v>
      </x:c>
      <x:c r="B7271" s="13" t="str">
        <x:v>MULTIPLAN EMPREENDIMENTOS</x:v>
      </x:c>
      <x:c r="C7271" s="16" t="n">
        <x:v>572.5316563934</x:v>
      </x:c>
      <x:c r="D7271" s="13" t="str">
        <x:v>Income Properties</x:v>
      </x:c>
      <x:c r="E7271" s="13" t="str">
        <x:v>Real Estate</x:v>
      </x:c>
      <x:c r="F7271" s="13" t="str">
        <x:v>Early Cyclicals</x:v>
      </x:c>
      <x:c r="G7271" s="13" t="str">
        <x:v>grid_cqzdsc3v.xlsx</x:v>
      </x:c>
    </x:row>
    <x:row r="7272">
      <x:c r="A7272" s="15" t="n">
        <x:v>43770</x:v>
      </x:c>
      <x:c r="B7272" s="13" t="str">
        <x:v>BRADESPAR SA -PREF</x:v>
      </x:c>
      <x:c r="C7272" s="16" t="n">
        <x:v>1851.1093480219</x:v>
      </x:c>
      <x:c r="D7272" s="13" t="str">
        <x:v>Metals &amp; Mining</x:v>
      </x:c>
      <x:c r="E7272" s="13" t="str">
        <x:v>Metals &amp; Mining</x:v>
      </x:c>
      <x:c r="F7272" s="13" t="str">
        <x:v>Deep Cyclicals</x:v>
      </x:c>
      <x:c r="G7272" s="13" t="str">
        <x:v>grid_cqzdsc3v.xlsx</x:v>
      </x:c>
    </x:row>
    <x:row r="7273">
      <x:c r="A7273" s="15" t="n">
        <x:v>43770</x:v>
      </x:c>
      <x:c r="B7273" s="13" t="str">
        <x:v>CIA SIDERURGICA NACIONAL SA</x:v>
      </x:c>
      <x:c r="C7273" s="16" t="n">
        <x:v>2648.8212088306</x:v>
      </x:c>
      <x:c r="D7273" s="13" t="str">
        <x:v>Metals &amp; Mining</x:v>
      </x:c>
      <x:c r="E7273" s="13" t="str">
        <x:v>Metals &amp; Mining</x:v>
      </x:c>
      <x:c r="F7273" s="13" t="str">
        <x:v>Deep Cyclicals</x:v>
      </x:c>
      <x:c r="G7273" s="13" t="str">
        <x:v>grid_cqzdsc3v.xlsx</x:v>
      </x:c>
    </x:row>
    <x:row r="7274">
      <x:c r="A7274" s="15" t="n">
        <x:v>43770</x:v>
      </x:c>
      <x:c r="B7274" s="13" t="str">
        <x:v>GERDAU SA-PREF</x:v>
      </x:c>
      <x:c r="C7274" s="16" t="n">
        <x:v>2276.226906929</x:v>
      </x:c>
      <x:c r="D7274" s="13" t="str">
        <x:v>Metals &amp; Mining</x:v>
      </x:c>
      <x:c r="E7274" s="13" t="str">
        <x:v>Metals &amp; Mining</x:v>
      </x:c>
      <x:c r="F7274" s="13" t="str">
        <x:v>Deep Cyclicals</x:v>
      </x:c>
      <x:c r="G7274" s="13" t="str">
        <x:v>grid_cqzdsc3v.xlsx</x:v>
      </x:c>
    </x:row>
    <x:row r="7275">
      <x:c r="A7275" s="15" t="n">
        <x:v>43770</x:v>
      </x:c>
      <x:c r="B7275" s="13" t="str">
        <x:v>USINAS SIDER MINAS GER-PF A</x:v>
      </x:c>
      <x:c r="C7275" s="16" t="n">
        <x:v>648.4134025792</x:v>
      </x:c>
      <x:c r="D7275" s="13" t="str">
        <x:v>Metals &amp; Mining</x:v>
      </x:c>
      <x:c r="E7275" s="13" t="str">
        <x:v>Metals &amp; Mining</x:v>
      </x:c>
      <x:c r="F7275" s="13" t="str">
        <x:v>Deep Cyclicals</x:v>
      </x:c>
      <x:c r="G7275" s="13" t="str">
        <x:v>grid_cqzdsc3v.xlsx</x:v>
      </x:c>
    </x:row>
    <x:row r="7276">
      <x:c r="A7276" s="15" t="n">
        <x:v>43770</x:v>
      </x:c>
      <x:c r="B7276" s="13" t="str">
        <x:v>VALE SA</x:v>
      </x:c>
      <x:c r="C7276" s="16" t="n">
        <x:v>33913.2286629071</x:v>
      </x:c>
      <x:c r="D7276" s="13" t="str">
        <x:v>Metals &amp; Mining</x:v>
      </x:c>
      <x:c r="E7276" s="13" t="str">
        <x:v>Metals &amp; Mining</x:v>
      </x:c>
      <x:c r="F7276" s="13" t="str">
        <x:v>Deep Cyclicals</x:v>
      </x:c>
      <x:c r="G7276" s="13" t="str">
        <x:v>grid_cqzdsc3v.xlsx</x:v>
      </x:c>
    </x:row>
    <x:row r="7277">
      <x:c r="A7277" s="15" t="n">
        <x:v>43770</x:v>
      </x:c>
      <x:c r="B7277" s="13" t="str">
        <x:v>BRASKEM SA-PREF A</x:v>
      </x:c>
      <x:c r="C7277" s="16" t="n">
        <x:v>1369.1249857049</x:v>
      </x:c>
      <x:c r="D7277" s="13" t="str">
        <x:v>Oil, Gas &amp; Petrochemicals</x:v>
      </x:c>
      <x:c r="E7277" s="13" t="str">
        <x:v>Oil, Gas &amp; Petrochemicals</x:v>
      </x:c>
      <x:c r="F7277" s="13" t="str">
        <x:v>Deep Cyclicals</x:v>
      </x:c>
      <x:c r="G7277" s="13" t="str">
        <x:v>grid_cqzdsc3v.xlsx</x:v>
      </x:c>
    </x:row>
    <x:row r="7278">
      <x:c r="A7278" s="15" t="n">
        <x:v>43770</x:v>
      </x:c>
      <x:c r="B7278" s="13" t="str">
        <x:v>COSAN SA</x:v>
      </x:c>
      <x:c r="C7278" s="16" t="n">
        <x:v>1748.3425000219</x:v>
      </x:c>
      <x:c r="D7278" s="13" t="str">
        <x:v>Oil, Gas &amp; Petrochemicals</x:v>
      </x:c>
      <x:c r="E7278" s="13" t="str">
        <x:v>Oil, Gas &amp; Petrochemicals</x:v>
      </x:c>
      <x:c r="F7278" s="13" t="str">
        <x:v>Deep Cyclicals</x:v>
      </x:c>
      <x:c r="G7278" s="13" t="str">
        <x:v>grid_cqzdsc3v.xlsx</x:v>
      </x:c>
    </x:row>
    <x:row r="7279">
      <x:c r="A7279" s="15" t="n">
        <x:v>43770</x:v>
      </x:c>
      <x:c r="B7279" s="13" t="str">
        <x:v>PETROBRAS - PETROLEO BRAS</x:v>
      </x:c>
      <x:c r="C7279" s="16" t="n">
        <x:v>35830.8080388197</x:v>
      </x:c>
      <x:c r="D7279" s="13" t="str">
        <x:v>Oil, Gas &amp; Petrochemicals</x:v>
      </x:c>
      <x:c r="E7279" s="13" t="str">
        <x:v>Oil, Gas &amp; Petrochemicals</x:v>
      </x:c>
      <x:c r="F7279" s="13" t="str">
        <x:v>Deep Cyclicals</x:v>
      </x:c>
      <x:c r="G7279" s="13" t="str">
        <x:v>grid_cqzdsc3v.xlsx</x:v>
      </x:c>
    </x:row>
    <x:row r="7280">
      <x:c r="A7280" s="15" t="n">
        <x:v>43770</x:v>
      </x:c>
      <x:c r="B7280" s="13" t="str">
        <x:v>ULTRAPAR PARTICIPACOES SA</x:v>
      </x:c>
      <x:c r="C7280" s="16" t="n">
        <x:v>1202.699685071</x:v>
      </x:c>
      <x:c r="D7280" s="13" t="str">
        <x:v>Oil, Gas &amp; Petrochemicals</x:v>
      </x:c>
      <x:c r="E7280" s="13" t="str">
        <x:v>Oil, Gas &amp; Petrochemicals</x:v>
      </x:c>
      <x:c r="F7280" s="13" t="str">
        <x:v>Deep Cyclicals</x:v>
      </x:c>
      <x:c r="G7280" s="13" t="str">
        <x:v>grid_cqzdsc3v.xlsx</x:v>
      </x:c>
    </x:row>
    <x:row r="7281">
      <x:c r="A7281" s="15" t="n">
        <x:v>43770</x:v>
      </x:c>
      <x:c r="B7281" s="13" t="str">
        <x:v>VIBRA ENERGIA SA</x:v>
      </x:c>
      <x:c r="C7281" s="16" t="n">
        <x:v>1975.2711141421</x:v>
      </x:c>
      <x:c r="D7281" s="13" t="str">
        <x:v>Oil, Gas &amp; Petrochemicals</x:v>
      </x:c>
      <x:c r="E7281" s="13" t="str">
        <x:v>Oil, Gas &amp; Petrochemicals</x:v>
      </x:c>
      <x:c r="F7281" s="13" t="str">
        <x:v>Deep Cyclicals</x:v>
      </x:c>
      <x:c r="G7281" s="13" t="str">
        <x:v>grid_cqzdsc3v.xlsx</x:v>
      </x:c>
    </x:row>
    <x:row r="7282">
      <x:c r="A7282" s="15" t="n">
        <x:v>43770</x:v>
      </x:c>
      <x:c r="B7282" s="13" t="str">
        <x:v>KLABIN SA - UNIT</x:v>
      </x:c>
      <x:c r="C7282" s="16" t="n">
        <x:v>363.463100153</x:v>
      </x:c>
      <x:c r="D7282" s="13" t="str">
        <x:v>Pulp &amp; Paper</x:v>
      </x:c>
      <x:c r="E7282" s="13" t="str">
        <x:v>Pulp &amp; Paper</x:v>
      </x:c>
      <x:c r="F7282" s="13" t="str">
        <x:v>Deep Cyclicals</x:v>
      </x:c>
      <x:c r="G7282" s="13" t="str">
        <x:v>grid_cqzdsc3v.xlsx</x:v>
      </x:c>
    </x:row>
    <x:row r="7283">
      <x:c r="A7283" s="15" t="n">
        <x:v>43770</x:v>
      </x:c>
      <x:c r="B7283" s="13" t="str">
        <x:v>SUZANO SA</x:v>
      </x:c>
      <x:c r="C7283" s="16" t="n">
        <x:v>1647.0687083716</x:v>
      </x:c>
      <x:c r="D7283" s="13" t="str">
        <x:v>Pulp &amp; Paper</x:v>
      </x:c>
      <x:c r="E7283" s="13" t="str">
        <x:v>Pulp &amp; Paper</x:v>
      </x:c>
      <x:c r="F7283" s="13" t="str">
        <x:v>Deep Cyclicals</x:v>
      </x:c>
      <x:c r="G7283" s="13" t="str">
        <x:v>grid_cqzdsc3v.xlsx</x:v>
      </x:c>
    </x:row>
    <x:row r="7284">
      <x:c r="A7284" s="15" t="n">
        <x:v>43770</x:v>
      </x:c>
      <x:c r="B7284" s="13" t="str">
        <x:v>AMERICANAS SA</x:v>
      </x:c>
      <x:c r="C7284" s="16" t="n">
        <x:v>-110.9722063388</x:v>
      </x:c>
      <x:c r="D7284" s="13" t="str">
        <x:v>Retail</x:v>
      </x:c>
      <x:c r="E7284" s="13" t="str">
        <x:v>Retail</x:v>
      </x:c>
      <x:c r="F7284" s="13" t="str">
        <x:v>Early Cyclicals</x:v>
      </x:c>
      <x:c r="G7284" s="13" t="str">
        <x:v>grid_cqzdsc3v.xlsx</x:v>
      </x:c>
    </x:row>
    <x:row r="7285">
      <x:c r="A7285" s="15" t="n">
        <x:v>43770</x:v>
      </x:c>
      <x:c r="B7285" s="13" t="str">
        <x:v>CIA BRASILEIRA DE DIS-PREF</x:v>
      </x:c>
      <x:c r="C7285" s="16" t="n">
        <x:v>1350.8828999344</x:v>
      </x:c>
      <x:c r="D7285" s="13" t="str">
        <x:v>Retail</x:v>
      </x:c>
      <x:c r="E7285" s="13" t="str">
        <x:v>Retail</x:v>
      </x:c>
      <x:c r="F7285" s="13" t="str">
        <x:v>Early Cyclicals</x:v>
      </x:c>
      <x:c r="G7285" s="13" t="str">
        <x:v>grid_cqzdsc3v.xlsx</x:v>
      </x:c>
    </x:row>
    <x:row r="7286">
      <x:c r="A7286" s="15" t="n">
        <x:v>43770</x:v>
      </x:c>
      <x:c r="B7286" s="13" t="str">
        <x:v>CVC BRASIL OPERADORA E AGENC</x:v>
      </x:c>
      <x:c r="C7286" s="16" t="n">
        <x:v>407.868852459</x:v>
      </x:c>
      <x:c r="D7286" s="13" t="str">
        <x:v>Retail</x:v>
      </x:c>
      <x:c r="E7286" s="13" t="str">
        <x:v>Retail</x:v>
      </x:c>
      <x:c r="F7286" s="13" t="str">
        <x:v>Early Cyclicals</x:v>
      </x:c>
      <x:c r="G7286" s="13" t="str">
        <x:v>grid_cqzdsc3v.xlsx</x:v>
      </x:c>
    </x:row>
    <x:row r="7287">
      <x:c r="A7287" s="15" t="n">
        <x:v>43770</x:v>
      </x:c>
      <x:c r="B7287" s="13" t="str">
        <x:v>GRUPO CASAS BAHIA SA</x:v>
      </x:c>
      <x:c r="C7287" s="16" t="n">
        <x:v>421.1898233005</x:v>
      </x:c>
      <x:c r="D7287" s="13" t="str">
        <x:v>Retail</x:v>
      </x:c>
      <x:c r="E7287" s="13" t="str">
        <x:v>Retail</x:v>
      </x:c>
      <x:c r="F7287" s="13" t="str">
        <x:v>Early Cyclicals</x:v>
      </x:c>
      <x:c r="G7287" s="13" t="str">
        <x:v>grid_cqzdsc3v.xlsx</x:v>
      </x:c>
    </x:row>
    <x:row r="7288">
      <x:c r="A7288" s="15" t="n">
        <x:v>43770</x:v>
      </x:c>
      <x:c r="B7288" s="13" t="str">
        <x:v>LOJAS AMERICANAS SA-PREF</x:v>
      </x:c>
      <x:c r="C7288" s="16" t="n">
        <x:v>834.1985196066</x:v>
      </x:c>
      <x:c r="D7288" s="13" t="str">
        <x:v>Retail</x:v>
      </x:c>
      <x:c r="E7288" s="13" t="str">
        <x:v>Retail</x:v>
      </x:c>
      <x:c r="F7288" s="13" t="str">
        <x:v>Early Cyclicals</x:v>
      </x:c>
      <x:c r="G7288" s="13" t="str">
        <x:v>grid_cqzdsc3v.xlsx</x:v>
      </x:c>
    </x:row>
    <x:row r="7289">
      <x:c r="A7289" s="15" t="n">
        <x:v>43770</x:v>
      </x:c>
      <x:c r="B7289" s="13" t="str">
        <x:v>LOJAS RENNER S.A.</x:v>
      </x:c>
      <x:c r="C7289" s="16" t="n">
        <x:v>1368.1497117377</x:v>
      </x:c>
      <x:c r="D7289" s="13" t="str">
        <x:v>Retail</x:v>
      </x:c>
      <x:c r="E7289" s="13" t="str">
        <x:v>Retail</x:v>
      </x:c>
      <x:c r="F7289" s="13" t="str">
        <x:v>Early Cyclicals</x:v>
      </x:c>
      <x:c r="G7289" s="13" t="str">
        <x:v>grid_cqzdsc3v.xlsx</x:v>
      </x:c>
    </x:row>
    <x:row r="7290">
      <x:c r="A7290" s="15" t="n">
        <x:v>43770</x:v>
      </x:c>
      <x:c r="B7290" s="13" t="str">
        <x:v>MAGAZINE LUIZA SA</x:v>
      </x:c>
      <x:c r="C7290" s="16" t="n">
        <x:v>755.3981314098</x:v>
      </x:c>
      <x:c r="D7290" s="13" t="str">
        <x:v>Retail</x:v>
      </x:c>
      <x:c r="E7290" s="13" t="str">
        <x:v>Retail</x:v>
      </x:c>
      <x:c r="F7290" s="13" t="str">
        <x:v>Early Cyclicals</x:v>
      </x:c>
      <x:c r="G7290" s="13" t="str">
        <x:v>grid_cqzdsc3v.xlsx</x:v>
      </x:c>
    </x:row>
    <x:row r="7291">
      <x:c r="A7291" s="15" t="n">
        <x:v>43770</x:v>
      </x:c>
      <x:c r="B7291" s="13" t="str">
        <x:v>RAIA DROGASIL SA</x:v>
      </x:c>
      <x:c r="C7291" s="16" t="n">
        <x:v>685.9237857924</x:v>
      </x:c>
      <x:c r="D7291" s="13" t="str">
        <x:v>Retail</x:v>
      </x:c>
      <x:c r="E7291" s="13" t="str">
        <x:v>Retail</x:v>
      </x:c>
      <x:c r="F7291" s="13" t="str">
        <x:v>Early Cyclicals</x:v>
      </x:c>
      <x:c r="G7291" s="13" t="str">
        <x:v>grid_cqzdsc3v.xlsx</x:v>
      </x:c>
    </x:row>
    <x:row r="7292">
      <x:c r="A7292" s="15" t="n">
        <x:v>43770</x:v>
      </x:c>
      <x:c r="B7292" s="13" t="str">
        <x:v>CIA SANEAMENTO BASICO DE SP</x:v>
      </x:c>
      <x:c r="C7292" s="16" t="n">
        <x:v>2797.037944306</x:v>
      </x:c>
      <x:c r="D7292" s="13" t="str">
        <x:v>Sanitation</x:v>
      </x:c>
      <x:c r="E7292" s="13" t="str">
        <x:v>Utilities</x:v>
      </x:c>
      <x:c r="F7292" s="13" t="str">
        <x:v>Defensives</x:v>
      </x:c>
      <x:c r="G7292" s="13" t="str">
        <x:v>grid_cqzdsc3v.xlsx</x:v>
      </x:c>
    </x:row>
    <x:row r="7293">
      <x:c r="A7293" s="15" t="n">
        <x:v>43770</x:v>
      </x:c>
      <x:c r="B7293" s="13" t="str">
        <x:v>SMILES FIDELIDADE SA</x:v>
      </x:c>
      <x:c r="C7293" s="16" t="n">
        <x:v>649.0139198251</x:v>
      </x:c>
      <x:c r="D7293" s="13" t="str">
        <x:v>TMT</x:v>
      </x:c>
      <x:c r="E7293" s="13" t="str">
        <x:v>TMT</x:v>
      </x:c>
      <x:c r="F7293" s="13" t="str">
        <x:v>Early Cyclicals</x:v>
      </x:c>
      <x:c r="G7293" s="13" t="str">
        <x:v>grid_cqzdsc3v.xlsx</x:v>
      </x:c>
    </x:row>
    <x:row r="7294">
      <x:c r="A7294" s="15" t="n">
        <x:v>43770</x:v>
      </x:c>
      <x:c r="B7294" s="13" t="str">
        <x:v>TELEFONICA BRASIL S.A.-PREF</x:v>
      </x:c>
      <x:c r="C7294" s="16" t="n">
        <x:v>5785.0698897486</x:v>
      </x:c>
      <x:c r="D7294" s="13" t="str">
        <x:v>TMT</x:v>
      </x:c>
      <x:c r="E7294" s="13" t="str">
        <x:v>TMT</x:v>
      </x:c>
      <x:c r="F7294" s="13" t="str">
        <x:v>Early Cyclicals</x:v>
      </x:c>
      <x:c r="G7294" s="13" t="str">
        <x:v>grid_cqzdsc3v.xlsx</x:v>
      </x:c>
    </x:row>
    <x:row r="7295">
      <x:c r="A7295" s="15" t="n">
        <x:v>43770</x:v>
      </x:c>
      <x:c r="B7295" s="13" t="str">
        <x:v>TIM SA</x:v>
      </x:c>
      <x:c r="C7295" s="16" t="n">
        <x:v>2061.6572733552</x:v>
      </x:c>
      <x:c r="D7295" s="13" t="str">
        <x:v>TMT</x:v>
      </x:c>
      <x:c r="E7295" s="13" t="str">
        <x:v>TMT</x:v>
      </x:c>
      <x:c r="F7295" s="13" t="str">
        <x:v>Early Cyclicals</x:v>
      </x:c>
      <x:c r="G7295" s="13" t="str">
        <x:v>grid_cqzdsc3v.xlsx</x:v>
      </x:c>
    </x:row>
    <x:row r="7296">
      <x:c r="A7296" s="15" t="n">
        <x:v>43770</x:v>
      </x:c>
      <x:c r="B7296" s="13" t="str">
        <x:v>AZUL SA</x:v>
      </x:c>
      <x:c r="C7296" s="16" t="n">
        <x:v>1078.1833974208</x:v>
      </x:c>
      <x:c r="D7296" s="13" t="str">
        <x:v>Transportation</x:v>
      </x:c>
      <x:c r="E7296" s="13" t="str">
        <x:v>Transportation</x:v>
      </x:c>
      <x:c r="F7296" s="13" t="str">
        <x:v>Deep Cyclicals</x:v>
      </x:c>
      <x:c r="G7296" s="13" t="str">
        <x:v>grid_cqzdsc3v.xlsx</x:v>
      </x:c>
    </x:row>
    <x:row r="7297">
      <x:c r="A7297" s="15" t="n">
        <x:v>43770</x:v>
      </x:c>
      <x:c r="B7297" s="13" t="str">
        <x:v>ECORODOVIAS INFRA E LOG SA</x:v>
      </x:c>
      <x:c r="C7297" s="16" t="n">
        <x:v>443.8327868852</x:v>
      </x:c>
      <x:c r="D7297" s="13" t="str">
        <x:v>Transportation</x:v>
      </x:c>
      <x:c r="E7297" s="13" t="str">
        <x:v>Transportation</x:v>
      </x:c>
      <x:c r="F7297" s="13" t="str">
        <x:v>Deep Cyclicals</x:v>
      </x:c>
      <x:c r="G7297" s="13" t="str">
        <x:v>grid_cqzdsc3v.xlsx</x:v>
      </x:c>
    </x:row>
    <x:row r="7298">
      <x:c r="A7298" s="15" t="n">
        <x:v>43770</x:v>
      </x:c>
      <x:c r="B7298" s="13" t="str">
        <x:v>GOL LINHAS AEREAS INT SA-PRE</x:v>
      </x:c>
      <x:c r="C7298" s="16" t="n">
        <x:v>888.5632185355</x:v>
      </x:c>
      <x:c r="D7298" s="13" t="str">
        <x:v>Transportation</x:v>
      </x:c>
      <x:c r="E7298" s="13" t="str">
        <x:v>Transportation</x:v>
      </x:c>
      <x:c r="F7298" s="13" t="str">
        <x:v>Deep Cyclicals</x:v>
      </x:c>
      <x:c r="G7298" s="13" t="str">
        <x:v>grid_cqzdsc3v.xlsx</x:v>
      </x:c>
    </x:row>
    <x:row r="7299">
      <x:c r="A7299" s="15" t="n">
        <x:v>43770</x:v>
      </x:c>
      <x:c r="B7299" s="13" t="str">
        <x:v>LOCALIZA RENT A CAR</x:v>
      </x:c>
      <x:c r="C7299" s="16" t="n">
        <x:v>1146.2526419235</x:v>
      </x:c>
      <x:c r="D7299" s="13" t="str">
        <x:v>Transportation</x:v>
      </x:c>
      <x:c r="E7299" s="13" t="str">
        <x:v>Transportation</x:v>
      </x:c>
      <x:c r="F7299" s="13" t="str">
        <x:v>Deep Cyclicals</x:v>
      </x:c>
      <x:c r="G7299" s="13" t="str">
        <x:v>grid_cqzdsc3v.xlsx</x:v>
      </x:c>
    </x:row>
    <x:row r="7300">
      <x:c r="A7300" s="15" t="n">
        <x:v>43770</x:v>
      </x:c>
      <x:c r="B7300" s="13" t="str">
        <x:v>MOTIVA INFRAESTRUTURA DE MOB</x:v>
      </x:c>
      <x:c r="C7300" s="16" t="n">
        <x:v>2101.4002416612</x:v>
      </x:c>
      <x:c r="D7300" s="13" t="str">
        <x:v>Transportation</x:v>
      </x:c>
      <x:c r="E7300" s="13" t="str">
        <x:v>Transportation</x:v>
      </x:c>
      <x:c r="F7300" s="13" t="str">
        <x:v>Deep Cyclicals</x:v>
      </x:c>
      <x:c r="G7300" s="13" t="str">
        <x:v>grid_cqzdsc3v.xlsx</x:v>
      </x:c>
    </x:row>
    <x:row r="7301">
      <x:c r="A7301" s="15" t="n">
        <x:v>43770</x:v>
      </x:c>
      <x:c r="B7301" s="13" t="str">
        <x:v>RUMO SA</x:v>
      </x:c>
      <x:c r="C7301" s="16" t="n">
        <x:v>1176.5579387104</x:v>
      </x:c>
      <x:c r="D7301" s="13" t="str">
        <x:v>Transportation</x:v>
      </x:c>
      <x:c r="E7301" s="13" t="str">
        <x:v>Transportation</x:v>
      </x:c>
      <x:c r="F7301" s="13" t="str">
        <x:v>Deep Cyclicals</x:v>
      </x:c>
      <x:c r="G7301" s="13" t="str">
        <x:v>grid_cqzdsc3v.xlsx</x:v>
      </x:c>
    </x:row>
    <x:row r="7302">
      <x:c r="A7302" s="15" t="n">
        <x:v>43770</x:v>
      </x:c>
      <x:c r="B7302" s="13" t="str">
        <x:v>AXIA ENERGIA SA</x:v>
      </x:c>
      <x:c r="C7302" s="16" t="n">
        <x:v>5519.1339617924</x:v>
      </x:c>
      <x:c r="D7302" s="13" t="str">
        <x:v>Utilities &amp; Energy</x:v>
      </x:c>
      <x:c r="E7302" s="13" t="str">
        <x:v>Utilities</x:v>
      </x:c>
      <x:c r="F7302" s="13" t="str">
        <x:v>Defensives</x:v>
      </x:c>
      <x:c r="G7302" s="13" t="str">
        <x:v>grid_cqzdsc3v.xlsx</x:v>
      </x:c>
    </x:row>
    <x:row r="7303">
      <x:c r="A7303" s="15" t="n">
        <x:v>43770</x:v>
      </x:c>
      <x:c r="B7303" s="13" t="str">
        <x:v>AXIA ENERGIA-PR B</x:v>
      </x:c>
      <x:c r="C7303" s="16" t="n">
        <x:v>5519.1339617924</x:v>
      </x:c>
      <x:c r="D7303" s="13" t="str">
        <x:v>Utilities &amp; Energy</x:v>
      </x:c>
      <x:c r="E7303" s="13" t="str">
        <x:v>Utilities</x:v>
      </x:c>
      <x:c r="F7303" s="13" t="str">
        <x:v>Defensives</x:v>
      </x:c>
      <x:c r="G7303" s="13" t="str">
        <x:v>grid_cqzdsc3v.xlsx</x:v>
      </x:c>
    </x:row>
    <x:row r="7304">
      <x:c r="A7304" s="15" t="n">
        <x:v>43770</x:v>
      </x:c>
      <x:c r="B7304" s="13" t="str">
        <x:v>CIA ENERGETICA MINAS GER-PRF</x:v>
      </x:c>
      <x:c r="C7304" s="16" t="n">
        <x:v>2483.6096419672</x:v>
      </x:c>
      <x:c r="D7304" s="13" t="str">
        <x:v>Utilities &amp; Energy</x:v>
      </x:c>
      <x:c r="E7304" s="13" t="str">
        <x:v>Utilities</x:v>
      </x:c>
      <x:c r="F7304" s="13" t="str">
        <x:v>Defensives</x:v>
      </x:c>
      <x:c r="G7304" s="13" t="str">
        <x:v>grid_cqzdsc3v.xlsx</x:v>
      </x:c>
    </x:row>
    <x:row r="7305">
      <x:c r="A7305" s="15" t="n">
        <x:v>43770</x:v>
      </x:c>
      <x:c r="B7305" s="13" t="str">
        <x:v>EDP - ENERGIAS DO BRASIL SA</x:v>
      </x:c>
      <x:c r="C7305" s="16" t="n">
        <x:v>947.1188025355</x:v>
      </x:c>
      <x:c r="D7305" s="13" t="str">
        <x:v>Utilities &amp; Energy</x:v>
      </x:c>
      <x:c r="E7305" s="13" t="str">
        <x:v>Utilities</x:v>
      </x:c>
      <x:c r="F7305" s="13" t="str">
        <x:v>Defensives</x:v>
      </x:c>
      <x:c r="G7305" s="13" t="str">
        <x:v>grid_cqzdsc3v.xlsx</x:v>
      </x:c>
    </x:row>
    <x:row r="7306">
      <x:c r="A7306" s="15" t="n">
        <x:v>43770</x:v>
      </x:c>
      <x:c r="B7306" s="13" t="str">
        <x:v>ENGIE BRASIL ENERGIA SA</x:v>
      </x:c>
      <x:c r="C7306" s="16" t="n">
        <x:v>2646.5260471257</x:v>
      </x:c>
      <x:c r="D7306" s="13" t="str">
        <x:v>Utilities &amp; Energy</x:v>
      </x:c>
      <x:c r="E7306" s="13" t="str">
        <x:v>Utilities</x:v>
      </x:c>
      <x:c r="F7306" s="13" t="str">
        <x:v>Defensives</x:v>
      </x:c>
      <x:c r="G7306" s="13" t="str">
        <x:v>grid_cqzdsc3v.xlsx</x:v>
      </x:c>
    </x:row>
    <x:row r="7307">
      <x:c r="A7307" s="15" t="n">
        <x:v>43770</x:v>
      </x:c>
      <x:c r="B7307" s="13" t="str">
        <x:v>EQUATORIAL SA - ORD</x:v>
      </x:c>
      <x:c r="C7307" s="16" t="n">
        <x:v>975.0418178798</x:v>
      </x:c>
      <x:c r="D7307" s="13" t="str">
        <x:v>Utilities &amp; Energy</x:v>
      </x:c>
      <x:c r="E7307" s="13" t="str">
        <x:v>Utilities</x:v>
      </x:c>
      <x:c r="F7307" s="13" t="str">
        <x:v>Defensives</x:v>
      </x:c>
      <x:c r="G7307" s="13" t="str">
        <x:v>grid_cqzdsc3v.xlsx</x:v>
      </x:c>
    </x:row>
    <x:row r="7308">
      <x:c r="A7308" s="15" t="n">
        <x:v>43770</x:v>
      </x:c>
      <x:c r="B7308" s="13" t="str">
        <x:v>TRANSMISSORA ALIANCA DE-UNIT</x:v>
      </x:c>
      <x:c r="C7308" s="16" t="n">
        <x:v>849.6387158033</x:v>
      </x:c>
      <x:c r="D7308" s="13" t="str">
        <x:v>Utilities &amp; Energy</x:v>
      </x:c>
      <x:c r="E7308" s="13" t="str">
        <x:v>Utilities</x:v>
      </x:c>
      <x:c r="F7308" s="13" t="str">
        <x:v>Defensives</x:v>
      </x:c>
      <x:c r="G7308" s="13" t="str">
        <x:v>grid_cqzdsc3v.xlsx</x:v>
      </x:c>
    </x:row>
    <x:row r="7309">
      <x:c r="A7309" s="15" t="n">
        <x:v>43800</x:v>
      </x:c>
      <x:c r="B7309" s="13" t="str">
        <x:v>BANCO BRADESCO S.A.</x:v>
      </x:c>
      <x:c r="C7309" s="16" t="n">
        <x:v>28348.801024</x:v>
      </x:c>
      <x:c r="D7309" s="13" t="str">
        <x:v>Banks</x:v>
      </x:c>
      <x:c r="E7309" s="13" t="str">
        <x:v>Banks</x:v>
      </x:c>
      <x:c r="F7309" s="13" t="str">
        <x:v>Financials</x:v>
      </x:c>
      <x:c r="G7309" s="13" t="str">
        <x:v>grid_cqzdsc3v.xlsx</x:v>
      </x:c>
    </x:row>
    <x:row r="7310">
      <x:c r="A7310" s="15" t="n">
        <x:v>43800</x:v>
      </x:c>
      <x:c r="B7310" s="13" t="str">
        <x:v>BANCO BRADESCO SA-PREF</x:v>
      </x:c>
      <x:c r="C7310" s="16" t="n">
        <x:v>28348.801024</x:v>
      </x:c>
      <x:c r="D7310" s="13" t="str">
        <x:v>Banks</x:v>
      </x:c>
      <x:c r="E7310" s="13" t="str">
        <x:v>Banks</x:v>
      </x:c>
      <x:c r="F7310" s="13" t="str">
        <x:v>Financials</x:v>
      </x:c>
      <x:c r="G7310" s="13" t="str">
        <x:v>grid_cqzdsc3v.xlsx</x:v>
      </x:c>
    </x:row>
    <x:row r="7311">
      <x:c r="A7311" s="15" t="n">
        <x:v>43800</x:v>
      </x:c>
      <x:c r="B7311" s="13" t="str">
        <x:v>BANCO BTG PACTUAL SA-UNIT</x:v>
      </x:c>
      <x:c r="C7311" s="16" t="n">
        <x:v>4151.24992</x:v>
      </x:c>
      <x:c r="D7311" s="13" t="str">
        <x:v>Banks</x:v>
      </x:c>
      <x:c r="E7311" s="13" t="str">
        <x:v>Banks</x:v>
      </x:c>
      <x:c r="F7311" s="13" t="str">
        <x:v>Financials</x:v>
      </x:c>
      <x:c r="G7311" s="13" t="str">
        <x:v>grid_cqzdsc3v.xlsx</x:v>
      </x:c>
    </x:row>
    <x:row r="7312">
      <x:c r="A7312" s="15" t="n">
        <x:v>43800</x:v>
      </x:c>
      <x:c r="B7312" s="13" t="str">
        <x:v>BANCO DO BRASIL S.A.</x:v>
      </x:c>
      <x:c r="C7312" s="16" t="n">
        <x:v>19099.500544</x:v>
      </x:c>
      <x:c r="D7312" s="13" t="str">
        <x:v>Banks</x:v>
      </x:c>
      <x:c r="E7312" s="13" t="str">
        <x:v>Banks</x:v>
      </x:c>
      <x:c r="F7312" s="13" t="str">
        <x:v>Financials</x:v>
      </x:c>
      <x:c r="G7312" s="13" t="str">
        <x:v>grid_cqzdsc3v.xlsx</x:v>
      </x:c>
    </x:row>
    <x:row r="7313">
      <x:c r="A7313" s="15" t="n">
        <x:v>43800</x:v>
      </x:c>
      <x:c r="B7313" s="13" t="str">
        <x:v>BANCO SANTANDER  BRASIL-UNIT</x:v>
      </x:c>
      <x:c r="C7313" s="16" t="n">
        <x:v>15457.30048</x:v>
      </x:c>
      <x:c r="D7313" s="13" t="str">
        <x:v>Banks</x:v>
      </x:c>
      <x:c r="E7313" s="13" t="str">
        <x:v>Banks</x:v>
      </x:c>
      <x:c r="F7313" s="13" t="str">
        <x:v>Financials</x:v>
      </x:c>
      <x:c r="G7313" s="13" t="str">
        <x:v>grid_cqzdsc3v.xlsx</x:v>
      </x:c>
    </x:row>
    <x:row r="7314">
      <x:c r="A7314" s="15" t="n">
        <x:v>43800</x:v>
      </x:c>
      <x:c r="B7314" s="13" t="str">
        <x:v>ITAU UNIBANCO HOLDING S-PREF</x:v>
      </x:c>
      <x:c r="C7314" s="16" t="n">
        <x:v>29397.999616</x:v>
      </x:c>
      <x:c r="D7314" s="13" t="str">
        <x:v>Banks</x:v>
      </x:c>
      <x:c r="E7314" s="13" t="str">
        <x:v>Banks</x:v>
      </x:c>
      <x:c r="F7314" s="13" t="str">
        <x:v>Financials</x:v>
      </x:c>
      <x:c r="G7314" s="13" t="str">
        <x:v>grid_cqzdsc3v.xlsx</x:v>
      </x:c>
    </x:row>
    <x:row r="7315">
      <x:c r="A7315" s="15" t="n">
        <x:v>43800</x:v>
      </x:c>
      <x:c r="B7315" s="13" t="str">
        <x:v>EMBRAER SA</x:v>
      </x:c>
      <x:c r="C7315" s="16" t="n">
        <x:v>959.249984</x:v>
      </x:c>
      <x:c r="D7315" s="13" t="str">
        <x:v>Capital Goods</x:v>
      </x:c>
      <x:c r="E7315" s="13" t="str">
        <x:v>Capital Goods</x:v>
      </x:c>
      <x:c r="F7315" s="13" t="str">
        <x:v>Deep Cyclicals</x:v>
      </x:c>
      <x:c r="G7315" s="13" t="str">
        <x:v>grid_cqzdsc3v.xlsx</x:v>
      </x:c>
    </x:row>
    <x:row r="7316">
      <x:c r="A7316" s="15" t="n">
        <x:v>43800</x:v>
      </x:c>
      <x:c r="B7316" s="13" t="str">
        <x:v>WEG SA</x:v>
      </x:c>
      <x:c r="C7316" s="16" t="n">
        <x:v>1812.109952</x:v>
      </x:c>
      <x:c r="D7316" s="13" t="str">
        <x:v>Capital Goods</x:v>
      </x:c>
      <x:c r="E7316" s="13" t="str">
        <x:v>Capital Goods</x:v>
      </x:c>
      <x:c r="F7316" s="13" t="str">
        <x:v>Deep Cyclicals</x:v>
      </x:c>
      <x:c r="G7316" s="13" t="str">
        <x:v>grid_cqzdsc3v.xlsx</x:v>
      </x:c>
    </x:row>
    <x:row r="7317">
      <x:c r="A7317" s="15" t="n">
        <x:v>43800</x:v>
      </x:c>
      <x:c r="B7317" s="13" t="str">
        <x:v>COGNA EDUCACAO</x:v>
      </x:c>
      <x:c r="C7317" s="16" t="n">
        <x:v>1204.329984</x:v>
      </x:c>
      <x:c r="D7317" s="13" t="str">
        <x:v>Education</x:v>
      </x:c>
      <x:c r="E7317" s="13" t="str">
        <x:v>Education</x:v>
      </x:c>
      <x:c r="F7317" s="13" t="str">
        <x:v>Early Cyclicals</x:v>
      </x:c>
      <x:c r="G7317" s="13" t="str">
        <x:v>grid_cqzdsc3v.xlsx</x:v>
      </x:c>
    </x:row>
    <x:row r="7318">
      <x:c r="A7318" s="15" t="n">
        <x:v>43800</x:v>
      </x:c>
      <x:c r="B7318" s="13" t="str">
        <x:v>YDUQS PARTICIPACOES SA</x:v>
      </x:c>
      <x:c r="C7318" s="16" t="n">
        <x:v>854.2</x:v>
      </x:c>
      <x:c r="D7318" s="13" t="str">
        <x:v>Education</x:v>
      </x:c>
      <x:c r="E7318" s="13" t="str">
        <x:v>Education</x:v>
      </x:c>
      <x:c r="F7318" s="13" t="str">
        <x:v>Early Cyclicals</x:v>
      </x:c>
      <x:c r="G7318" s="13" t="str">
        <x:v>grid_cqzdsc3v.xlsx</x:v>
      </x:c>
    </x:row>
    <x:row r="7319">
      <x:c r="A7319" s="15" t="n">
        <x:v>43800</x:v>
      </x:c>
      <x:c r="B7319" s="13" t="str">
        <x:v>B3 SA-BRASIL BOLSA BALCAO</x:v>
      </x:c>
      <x:c r="C7319" s="16" t="n">
        <x:v>3809.669888</x:v>
      </x:c>
      <x:c r="D7319" s="13" t="str">
        <x:v>Financials Non-Banks</x:v>
      </x:c>
      <x:c r="E7319" s="13" t="str">
        <x:v>Financials Non-Banks</x:v>
      </x:c>
      <x:c r="F7319" s="13" t="str">
        <x:v>Financials</x:v>
      </x:c>
      <x:c r="G7319" s="13" t="str">
        <x:v>grid_cqzdsc3v.xlsx</x:v>
      </x:c>
    </x:row>
    <x:row r="7320">
      <x:c r="A7320" s="15" t="n">
        <x:v>43800</x:v>
      </x:c>
      <x:c r="B7320" s="13" t="str">
        <x:v>BB SEGURIDADE PARTICIPACOES</x:v>
      </x:c>
      <x:c r="C7320" s="16" t="n">
        <x:v>4360.999936</x:v>
      </x:c>
      <x:c r="D7320" s="13" t="str">
        <x:v>Financials Non-Banks</x:v>
      </x:c>
      <x:c r="E7320" s="13" t="str">
        <x:v>Financials Non-Banks</x:v>
      </x:c>
      <x:c r="F7320" s="13" t="str">
        <x:v>Financials</x:v>
      </x:c>
      <x:c r="G7320" s="13" t="str">
        <x:v>grid_cqzdsc3v.xlsx</x:v>
      </x:c>
    </x:row>
    <x:row r="7321">
      <x:c r="A7321" s="15" t="n">
        <x:v>43800</x:v>
      </x:c>
      <x:c r="B7321" s="13" t="str">
        <x:v>CIELO SA - INSTITUICAO DE PA</x:v>
      </x:c>
      <x:c r="C7321" s="16" t="n">
        <x:v>1559.36</x:v>
      </x:c>
      <x:c r="D7321" s="13" t="str">
        <x:v>Financials Non-Banks</x:v>
      </x:c>
      <x:c r="E7321" s="13" t="str">
        <x:v>Financials Non-Banks</x:v>
      </x:c>
      <x:c r="F7321" s="13" t="str">
        <x:v>Financials</x:v>
      </x:c>
      <x:c r="G7321" s="13" t="str">
        <x:v>grid_cqzdsc3v.xlsx</x:v>
      </x:c>
    </x:row>
    <x:row r="7322">
      <x:c r="A7322" s="15" t="n">
        <x:v>43800</x:v>
      </x:c>
      <x:c r="B7322" s="13" t="str">
        <x:v>IRB BRASIL RESSEGUROS SA</x:v>
      </x:c>
      <x:c r="C7322" s="16" t="n">
        <x:v>1953.750016</x:v>
      </x:c>
      <x:c r="D7322" s="13" t="str">
        <x:v>Financials Non-Banks</x:v>
      </x:c>
      <x:c r="E7322" s="13" t="str">
        <x:v>Financials Non-Banks</x:v>
      </x:c>
      <x:c r="F7322" s="13" t="str">
        <x:v>Financials</x:v>
      </x:c>
      <x:c r="G7322" s="13" t="str">
        <x:v>grid_cqzdsc3v.xlsx</x:v>
      </x:c>
    </x:row>
    <x:row r="7323">
      <x:c r="A7323" s="15" t="n">
        <x:v>43800</x:v>
      </x:c>
      <x:c r="B7323" s="13" t="str">
        <x:v>ITAUSA SA</x:v>
      </x:c>
      <x:c r="C7323" s="16" t="n">
        <x:v>11187.300352</x:v>
      </x:c>
      <x:c r="D7323" s="13" t="str">
        <x:v>Financials Non-Banks</x:v>
      </x:c>
      <x:c r="E7323" s="13" t="str">
        <x:v>Financials Non-Banks</x:v>
      </x:c>
      <x:c r="F7323" s="13" t="str">
        <x:v>Financials</x:v>
      </x:c>
      <x:c r="G7323" s="13" t="str">
        <x:v>grid_cqzdsc3v.xlsx</x:v>
      </x:c>
    </x:row>
    <x:row r="7324">
      <x:c r="A7324" s="15" t="n">
        <x:v>43800</x:v>
      </x:c>
      <x:c r="B7324" s="13" t="str">
        <x:v>AMBEV SA</x:v>
      </x:c>
      <x:c r="C7324" s="16" t="n">
        <x:v>13489.50016</x:v>
      </x:c>
      <x:c r="D7324" s="13" t="str">
        <x:v>Food &amp; Beverages</x:v>
      </x:c>
      <x:c r="E7324" s="13" t="str">
        <x:v>Agri, Food &amp; Beverages</x:v>
      </x:c>
      <x:c r="F7324" s="13" t="str">
        <x:v>Defensives</x:v>
      </x:c>
      <x:c r="G7324" s="13" t="str">
        <x:v>grid_cqzdsc3v.xlsx</x:v>
      </x:c>
    </x:row>
    <x:row r="7325">
      <x:c r="A7325" s="15" t="n">
        <x:v>43800</x:v>
      </x:c>
      <x:c r="B7325" s="13" t="str">
        <x:v>BRF SA</x:v>
      </x:c>
      <x:c r="C7325" s="16" t="n">
        <x:v>1518</x:v>
      </x:c>
      <x:c r="D7325" s="13" t="str">
        <x:v>Food &amp; Beverages</x:v>
      </x:c>
      <x:c r="E7325" s="13" t="str">
        <x:v>Agri, Food &amp; Beverages</x:v>
      </x:c>
      <x:c r="F7325" s="13" t="str">
        <x:v>Defensives</x:v>
      </x:c>
      <x:c r="G7325" s="13" t="str">
        <x:v>grid_cqzdsc3v.xlsx</x:v>
      </x:c>
    </x:row>
    <x:row r="7326">
      <x:c r="A7326" s="15" t="n">
        <x:v>43800</x:v>
      </x:c>
      <x:c r="B7326" s="13" t="str">
        <x:v>JBS SA</x:v>
      </x:c>
      <x:c r="C7326" s="16" t="n">
        <x:v>8227.559936</x:v>
      </x:c>
      <x:c r="D7326" s="13" t="str">
        <x:v>Food &amp; Beverages</x:v>
      </x:c>
      <x:c r="E7326" s="13" t="str">
        <x:v>Agri, Food &amp; Beverages</x:v>
      </x:c>
      <x:c r="F7326" s="13" t="str">
        <x:v>Defensives</x:v>
      </x:c>
      <x:c r="G7326" s="13" t="str">
        <x:v>grid_cqzdsc3v.xlsx</x:v>
      </x:c>
    </x:row>
    <x:row r="7327">
      <x:c r="A7327" s="15" t="n">
        <x:v>43800</x:v>
      </x:c>
      <x:c r="B7327" s="13" t="str">
        <x:v>MBRF GLOBAL FOODS COMPANY SA</x:v>
      </x:c>
      <x:c r="C7327" s="16" t="n">
        <x:v>683.166976</x:v>
      </x:c>
      <x:c r="D7327" s="13" t="str">
        <x:v>Food &amp; Beverages</x:v>
      </x:c>
      <x:c r="E7327" s="13" t="str">
        <x:v>Agri, Food &amp; Beverages</x:v>
      </x:c>
      <x:c r="F7327" s="13" t="str">
        <x:v>Defensives</x:v>
      </x:c>
      <x:c r="G7327" s="13" t="str">
        <x:v>grid_cqzdsc3v.xlsx</x:v>
      </x:c>
    </x:row>
    <x:row r="7328">
      <x:c r="A7328" s="15" t="n">
        <x:v>43800</x:v>
      </x:c>
      <x:c r="B7328" s="13" t="str">
        <x:v>FLEURY SA</x:v>
      </x:c>
      <x:c r="C7328" s="16" t="n">
        <x:v>409.249984</x:v>
      </x:c>
      <x:c r="D7328" s="13" t="str">
        <x:v>Health Care</x:v>
      </x:c>
      <x:c r="E7328" s="13" t="str">
        <x:v>Health Care</x:v>
      </x:c>
      <x:c r="F7328" s="13" t="str">
        <x:v>Defensives</x:v>
      </x:c>
      <x:c r="G7328" s="13" t="str">
        <x:v>grid_cqzdsc3v.xlsx</x:v>
      </x:c>
    </x:row>
    <x:row r="7329">
      <x:c r="A7329" s="15" t="n">
        <x:v>43800</x:v>
      </x:c>
      <x:c r="B7329" s="13" t="str">
        <x:v>HYPERA SA</x:v>
      </x:c>
      <x:c r="C7329" s="16" t="n">
        <x:v>1189.44</x:v>
      </x:c>
      <x:c r="D7329" s="13" t="str">
        <x:v>Health Care</x:v>
      </x:c>
      <x:c r="E7329" s="13" t="str">
        <x:v>Health Care</x:v>
      </x:c>
      <x:c r="F7329" s="13" t="str">
        <x:v>Defensives</x:v>
      </x:c>
      <x:c r="G7329" s="13" t="str">
        <x:v>grid_cqzdsc3v.xlsx</x:v>
      </x:c>
    </x:row>
    <x:row r="7330">
      <x:c r="A7330" s="15" t="n">
        <x:v>43800</x:v>
      </x:c>
      <x:c r="B7330" s="13" t="str">
        <x:v>NOTRE DAME INTERMED PAR SA</x:v>
      </x:c>
      <x:c r="C7330" s="16" t="n">
        <x:v>806.374976</x:v>
      </x:c>
      <x:c r="D7330" s="13" t="str">
        <x:v>Health Care</x:v>
      </x:c>
      <x:c r="E7330" s="13" t="str">
        <x:v>Health Care</x:v>
      </x:c>
      <x:c r="F7330" s="13" t="str">
        <x:v>Defensives</x:v>
      </x:c>
      <x:c r="G7330" s="13" t="str">
        <x:v>grid_cqzdsc3v.xlsx</x:v>
      </x:c>
    </x:row>
    <x:row r="7331">
      <x:c r="A7331" s="15" t="n">
        <x:v>43800</x:v>
      </x:c>
      <x:c r="B7331" s="13" t="str">
        <x:v>QUALICORP CONS E CORR SEG SA</x:v>
      </x:c>
      <x:c r="C7331" s="16" t="n">
        <x:v>576.499968</x:v>
      </x:c>
      <x:c r="D7331" s="13" t="str">
        <x:v>Health Care</x:v>
      </x:c>
      <x:c r="E7331" s="13" t="str">
        <x:v>Health Care</x:v>
      </x:c>
      <x:c r="F7331" s="13" t="str">
        <x:v>Defensives</x:v>
      </x:c>
      <x:c r="G7331" s="13" t="str">
        <x:v>grid_cqzdsc3v.xlsx</x:v>
      </x:c>
    </x:row>
    <x:row r="7332">
      <x:c r="A7332" s="15" t="n">
        <x:v>43800</x:v>
      </x:c>
      <x:c r="B7332" s="13" t="str">
        <x:v>CYRELA BRAZIL REALTY SA EMP</x:v>
      </x:c>
      <x:c r="C7332" s="16" t="n">
        <x:v>552.571008</x:v>
      </x:c>
      <x:c r="D7332" s="13" t="str">
        <x:v>Homebuilders</x:v>
      </x:c>
      <x:c r="E7332" s="13" t="str">
        <x:v>Real Estate</x:v>
      </x:c>
      <x:c r="F7332" s="13" t="str">
        <x:v>Early Cyclicals</x:v>
      </x:c>
      <x:c r="G7332" s="13" t="str">
        <x:v>grid_cqzdsc3v.xlsx</x:v>
      </x:c>
    </x:row>
    <x:row r="7333">
      <x:c r="A7333" s="15" t="n">
        <x:v>43800</x:v>
      </x:c>
      <x:c r="B7333" s="13" t="str">
        <x:v>MRV ENGENHARIA</x:v>
      </x:c>
      <x:c r="C7333" s="16" t="n">
        <x:v>736.124992</x:v>
      </x:c>
      <x:c r="D7333" s="13" t="str">
        <x:v>Homebuilders</x:v>
      </x:c>
      <x:c r="E7333" s="13" t="str">
        <x:v>Real Estate</x:v>
      </x:c>
      <x:c r="F7333" s="13" t="str">
        <x:v>Early Cyclicals</x:v>
      </x:c>
      <x:c r="G7333" s="13" t="str">
        <x:v>grid_cqzdsc3v.xlsx</x:v>
      </x:c>
    </x:row>
    <x:row r="7334">
      <x:c r="A7334" s="15" t="n">
        <x:v>43800</x:v>
      </x:c>
      <x:c r="B7334" s="13" t="str">
        <x:v>BR MALLS PARTICIPACOES SA</x:v>
      </x:c>
      <x:c r="C7334" s="16" t="n">
        <x:v>673.667008</x:v>
      </x:c>
      <x:c r="D7334" s="13" t="str">
        <x:v>Income Properties</x:v>
      </x:c>
      <x:c r="E7334" s="13" t="str">
        <x:v>Real Estate</x:v>
      </x:c>
      <x:c r="F7334" s="13" t="str">
        <x:v>Early Cyclicals</x:v>
      </x:c>
      <x:c r="G7334" s="13" t="str">
        <x:v>grid_cqzdsc3v.xlsx</x:v>
      </x:c>
    </x:row>
    <x:row r="7335">
      <x:c r="A7335" s="15" t="n">
        <x:v>43800</x:v>
      </x:c>
      <x:c r="B7335" s="13" t="str">
        <x:v>IGUATEMI EMP DE SHOPPING</x:v>
      </x:c>
      <x:c r="C7335" s="16" t="n">
        <x:v>275.062016</x:v>
      </x:c>
      <x:c r="D7335" s="13" t="str">
        <x:v>Income Properties</x:v>
      </x:c>
      <x:c r="E7335" s="13" t="str">
        <x:v>Real Estate</x:v>
      </x:c>
      <x:c r="F7335" s="13" t="str">
        <x:v>Early Cyclicals</x:v>
      </x:c>
      <x:c r="G7335" s="13" t="str">
        <x:v>grid_cqzdsc3v.xlsx</x:v>
      </x:c>
    </x:row>
    <x:row r="7336">
      <x:c r="A7336" s="15" t="n">
        <x:v>43800</x:v>
      </x:c>
      <x:c r="B7336" s="13" t="str">
        <x:v>MULTIPLAN EMPREENDIMENTOS</x:v>
      </x:c>
      <x:c r="C7336" s="16" t="n">
        <x:v>574.124992</x:v>
      </x:c>
      <x:c r="D7336" s="13" t="str">
        <x:v>Income Properties</x:v>
      </x:c>
      <x:c r="E7336" s="13" t="str">
        <x:v>Real Estate</x:v>
      </x:c>
      <x:c r="F7336" s="13" t="str">
        <x:v>Early Cyclicals</x:v>
      </x:c>
      <x:c r="G7336" s="13" t="str">
        <x:v>grid_cqzdsc3v.xlsx</x:v>
      </x:c>
    </x:row>
    <x:row r="7337">
      <x:c r="A7337" s="15" t="n">
        <x:v>43800</x:v>
      </x:c>
      <x:c r="B7337" s="13" t="str">
        <x:v>BRADESPAR SA -PREF</x:v>
      </x:c>
      <x:c r="C7337" s="16" t="n">
        <x:v>1975.000064</x:v>
      </x:c>
      <x:c r="D7337" s="13" t="str">
        <x:v>Metals &amp; Mining</x:v>
      </x:c>
      <x:c r="E7337" s="13" t="str">
        <x:v>Metals &amp; Mining</x:v>
      </x:c>
      <x:c r="F7337" s="13" t="str">
        <x:v>Deep Cyclicals</x:v>
      </x:c>
      <x:c r="G7337" s="13" t="str">
        <x:v>grid_cqzdsc3v.xlsx</x:v>
      </x:c>
    </x:row>
    <x:row r="7338">
      <x:c r="A7338" s="15" t="n">
        <x:v>43800</x:v>
      </x:c>
      <x:c r="B7338" s="13" t="str">
        <x:v>CIA SIDERURGICA NACIONAL SA</x:v>
      </x:c>
      <x:c r="C7338" s="16" t="n">
        <x:v>2487.640064</x:v>
      </x:c>
      <x:c r="D7338" s="13" t="str">
        <x:v>Metals &amp; Mining</x:v>
      </x:c>
      <x:c r="E7338" s="13" t="str">
        <x:v>Metals &amp; Mining</x:v>
      </x:c>
      <x:c r="F7338" s="13" t="str">
        <x:v>Deep Cyclicals</x:v>
      </x:c>
      <x:c r="G7338" s="13" t="str">
        <x:v>grid_cqzdsc3v.xlsx</x:v>
      </x:c>
    </x:row>
    <x:row r="7339">
      <x:c r="A7339" s="15" t="n">
        <x:v>43800</x:v>
      </x:c>
      <x:c r="B7339" s="13" t="str">
        <x:v>GERDAU SA-PREF</x:v>
      </x:c>
      <x:c r="C7339" s="16" t="n">
        <x:v>2421.850112</x:v>
      </x:c>
      <x:c r="D7339" s="13" t="str">
        <x:v>Metals &amp; Mining</x:v>
      </x:c>
      <x:c r="E7339" s="13" t="str">
        <x:v>Metals &amp; Mining</x:v>
      </x:c>
      <x:c r="F7339" s="13" t="str">
        <x:v>Deep Cyclicals</x:v>
      </x:c>
      <x:c r="G7339" s="13" t="str">
        <x:v>grid_cqzdsc3v.xlsx</x:v>
      </x:c>
    </x:row>
    <x:row r="7340">
      <x:c r="A7340" s="15" t="n">
        <x:v>43800</x:v>
      </x:c>
      <x:c r="B7340" s="13" t="str">
        <x:v>USINAS SIDER MINAS GER-PF A</x:v>
      </x:c>
      <x:c r="C7340" s="16" t="n">
        <x:v>662.750016</x:v>
      </x:c>
      <x:c r="D7340" s="13" t="str">
        <x:v>Metals &amp; Mining</x:v>
      </x:c>
      <x:c r="E7340" s="13" t="str">
        <x:v>Metals &amp; Mining</x:v>
      </x:c>
      <x:c r="F7340" s="13" t="str">
        <x:v>Deep Cyclicals</x:v>
      </x:c>
      <x:c r="G7340" s="13" t="str">
        <x:v>grid_cqzdsc3v.xlsx</x:v>
      </x:c>
    </x:row>
    <x:row r="7341">
      <x:c r="A7341" s="15" t="n">
        <x:v>43800</x:v>
      </x:c>
      <x:c r="B7341" s="13" t="str">
        <x:v>VALE SA</x:v>
      </x:c>
      <x:c r="C7341" s="16" t="n">
        <x:v>35400.798208</x:v>
      </x:c>
      <x:c r="D7341" s="13" t="str">
        <x:v>Metals &amp; Mining</x:v>
      </x:c>
      <x:c r="E7341" s="13" t="str">
        <x:v>Metals &amp; Mining</x:v>
      </x:c>
      <x:c r="F7341" s="13" t="str">
        <x:v>Deep Cyclicals</x:v>
      </x:c>
      <x:c r="G7341" s="13" t="str">
        <x:v>grid_cqzdsc3v.xlsx</x:v>
      </x:c>
    </x:row>
    <x:row r="7342">
      <x:c r="A7342" s="15" t="n">
        <x:v>43800</x:v>
      </x:c>
      <x:c r="B7342" s="13" t="str">
        <x:v>BRASKEM SA-PREF A</x:v>
      </x:c>
      <x:c r="C7342" s="16" t="n">
        <x:v>40.8333</x:v>
      </x:c>
      <x:c r="D7342" s="13" t="str">
        <x:v>Oil, Gas &amp; Petrochemicals</x:v>
      </x:c>
      <x:c r="E7342" s="13" t="str">
        <x:v>Oil, Gas &amp; Petrochemicals</x:v>
      </x:c>
      <x:c r="F7342" s="13" t="str">
        <x:v>Deep Cyclicals</x:v>
      </x:c>
      <x:c r="G7342" s="13" t="str">
        <x:v>grid_cqzdsc3v.xlsx</x:v>
      </x:c>
    </x:row>
    <x:row r="7343">
      <x:c r="A7343" s="15" t="n">
        <x:v>43800</x:v>
      </x:c>
      <x:c r="B7343" s="13" t="str">
        <x:v>COSAN SA</x:v>
      </x:c>
      <x:c r="C7343" s="16" t="n">
        <x:v>1907.549952</x:v>
      </x:c>
      <x:c r="D7343" s="13" t="str">
        <x:v>Oil, Gas &amp; Petrochemicals</x:v>
      </x:c>
      <x:c r="E7343" s="13" t="str">
        <x:v>Oil, Gas &amp; Petrochemicals</x:v>
      </x:c>
      <x:c r="F7343" s="13" t="str">
        <x:v>Deep Cyclicals</x:v>
      </x:c>
      <x:c r="G7343" s="13" t="str">
        <x:v>grid_cqzdsc3v.xlsx</x:v>
      </x:c>
    </x:row>
    <x:row r="7344">
      <x:c r="A7344" s="15" t="n">
        <x:v>43800</x:v>
      </x:c>
      <x:c r="B7344" s="13" t="str">
        <x:v>PETROBRAS - PETROLEO BRAS</x:v>
      </x:c>
      <x:c r="C7344" s="16" t="n">
        <x:v>36095.299584</x:v>
      </x:c>
      <x:c r="D7344" s="13" t="str">
        <x:v>Oil, Gas &amp; Petrochemicals</x:v>
      </x:c>
      <x:c r="E7344" s="13" t="str">
        <x:v>Oil, Gas &amp; Petrochemicals</x:v>
      </x:c>
      <x:c r="F7344" s="13" t="str">
        <x:v>Deep Cyclicals</x:v>
      </x:c>
      <x:c r="G7344" s="13" t="str">
        <x:v>grid_cqzdsc3v.xlsx</x:v>
      </x:c>
    </x:row>
    <x:row r="7345">
      <x:c r="A7345" s="15" t="n">
        <x:v>43800</x:v>
      </x:c>
      <x:c r="B7345" s="13" t="str">
        <x:v>ULTRAPAR PARTICIPACOES SA</x:v>
      </x:c>
      <x:c r="C7345" s="16" t="n">
        <x:v>1249.580032</x:v>
      </x:c>
      <x:c r="D7345" s="13" t="str">
        <x:v>Oil, Gas &amp; Petrochemicals</x:v>
      </x:c>
      <x:c r="E7345" s="13" t="str">
        <x:v>Oil, Gas &amp; Petrochemicals</x:v>
      </x:c>
      <x:c r="F7345" s="13" t="str">
        <x:v>Deep Cyclicals</x:v>
      </x:c>
      <x:c r="G7345" s="13" t="str">
        <x:v>grid_cqzdsc3v.xlsx</x:v>
      </x:c>
    </x:row>
    <x:row r="7346">
      <x:c r="A7346" s="15" t="n">
        <x:v>43800</x:v>
      </x:c>
      <x:c r="B7346" s="13" t="str">
        <x:v>VIBRA ENERGIA SA</x:v>
      </x:c>
      <x:c r="C7346" s="16" t="n">
        <x:v>1778</x:v>
      </x:c>
      <x:c r="D7346" s="13" t="str">
        <x:v>Oil, Gas &amp; Petrochemicals</x:v>
      </x:c>
      <x:c r="E7346" s="13" t="str">
        <x:v>Oil, Gas &amp; Petrochemicals</x:v>
      </x:c>
      <x:c r="F7346" s="13" t="str">
        <x:v>Deep Cyclicals</x:v>
      </x:c>
      <x:c r="G7346" s="13" t="str">
        <x:v>grid_cqzdsc3v.xlsx</x:v>
      </x:c>
    </x:row>
    <x:row r="7347">
      <x:c r="A7347" s="15" t="n">
        <x:v>43800</x:v>
      </x:c>
      <x:c r="B7347" s="13" t="str">
        <x:v>KLABIN SA - UNIT</x:v>
      </x:c>
      <x:c r="C7347" s="16" t="n">
        <x:v>503.768992</x:v>
      </x:c>
      <x:c r="D7347" s="13" t="str">
        <x:v>Pulp &amp; Paper</x:v>
      </x:c>
      <x:c r="E7347" s="13" t="str">
        <x:v>Pulp &amp; Paper</x:v>
      </x:c>
      <x:c r="F7347" s="13" t="str">
        <x:v>Deep Cyclicals</x:v>
      </x:c>
      <x:c r="G7347" s="13" t="str">
        <x:v>grid_cqzdsc3v.xlsx</x:v>
      </x:c>
    </x:row>
    <x:row r="7348">
      <x:c r="A7348" s="15" t="n">
        <x:v>43800</x:v>
      </x:c>
      <x:c r="B7348" s="13" t="str">
        <x:v>SUZANO SA</x:v>
      </x:c>
      <x:c r="C7348" s="16" t="n">
        <x:v>1846.109952</x:v>
      </x:c>
      <x:c r="D7348" s="13" t="str">
        <x:v>Pulp &amp; Paper</x:v>
      </x:c>
      <x:c r="E7348" s="13" t="str">
        <x:v>Pulp &amp; Paper</x:v>
      </x:c>
      <x:c r="F7348" s="13" t="str">
        <x:v>Deep Cyclicals</x:v>
      </x:c>
      <x:c r="G7348" s="13" t="str">
        <x:v>grid_cqzdsc3v.xlsx</x:v>
      </x:c>
    </x:row>
    <x:row r="7349">
      <x:c r="A7349" s="15" t="n">
        <x:v>43800</x:v>
      </x:c>
      <x:c r="B7349" s="13" t="str">
        <x:v>AMERICANAS SA</x:v>
      </x:c>
      <x:c r="C7349" s="16" t="n">
        <x:v>-88.892304</x:v>
      </x:c>
      <x:c r="D7349" s="13" t="str">
        <x:v>Retail</x:v>
      </x:c>
      <x:c r="E7349" s="13" t="str">
        <x:v>Retail</x:v>
      </x:c>
      <x:c r="F7349" s="13" t="str">
        <x:v>Early Cyclicals</x:v>
      </x:c>
      <x:c r="G7349" s="13" t="str">
        <x:v>grid_cqzdsc3v.xlsx</x:v>
      </x:c>
    </x:row>
    <x:row r="7350">
      <x:c r="A7350" s="15" t="n">
        <x:v>43800</x:v>
      </x:c>
      <x:c r="B7350" s="13" t="str">
        <x:v>CIA BRASILEIRA DE DIS-PREF</x:v>
      </x:c>
      <x:c r="C7350" s="16" t="n">
        <x:v>1377.110016</x:v>
      </x:c>
      <x:c r="D7350" s="13" t="str">
        <x:v>Retail</x:v>
      </x:c>
      <x:c r="E7350" s="13" t="str">
        <x:v>Retail</x:v>
      </x:c>
      <x:c r="F7350" s="13" t="str">
        <x:v>Early Cyclicals</x:v>
      </x:c>
      <x:c r="G7350" s="13" t="str">
        <x:v>grid_cqzdsc3v.xlsx</x:v>
      </x:c>
    </x:row>
    <x:row r="7351">
      <x:c r="A7351" s="15" t="n">
        <x:v>43800</x:v>
      </x:c>
      <x:c r="B7351" s="13" t="str">
        <x:v>CVC BRASIL OPERADORA E AGENC</x:v>
      </x:c>
      <x:c r="C7351" s="16" t="n">
        <x:v>407.667008</x:v>
      </x:c>
      <x:c r="D7351" s="13" t="str">
        <x:v>Retail</x:v>
      </x:c>
      <x:c r="E7351" s="13" t="str">
        <x:v>Retail</x:v>
      </x:c>
      <x:c r="F7351" s="13" t="str">
        <x:v>Early Cyclicals</x:v>
      </x:c>
      <x:c r="G7351" s="13" t="str">
        <x:v>grid_cqzdsc3v.xlsx</x:v>
      </x:c>
    </x:row>
    <x:row r="7352">
      <x:c r="A7352" s="15" t="n">
        <x:v>43800</x:v>
      </x:c>
      <x:c r="B7352" s="13" t="str">
        <x:v>GRUPO CASAS BAHIA SA</x:v>
      </x:c>
      <x:c r="C7352" s="16" t="n">
        <x:v>469.5</x:v>
      </x:c>
      <x:c r="D7352" s="13" t="str">
        <x:v>Retail</x:v>
      </x:c>
      <x:c r="E7352" s="13" t="str">
        <x:v>Retail</x:v>
      </x:c>
      <x:c r="F7352" s="13" t="str">
        <x:v>Early Cyclicals</x:v>
      </x:c>
      <x:c r="G7352" s="13" t="str">
        <x:v>grid_cqzdsc3v.xlsx</x:v>
      </x:c>
    </x:row>
    <x:row r="7353">
      <x:c r="A7353" s="15" t="n">
        <x:v>43800</x:v>
      </x:c>
      <x:c r="B7353" s="13" t="str">
        <x:v>LOJAS AMERICANAS SA-PREF</x:v>
      </x:c>
      <x:c r="C7353" s="16" t="n">
        <x:v>850.499968</x:v>
      </x:c>
      <x:c r="D7353" s="13" t="str">
        <x:v>Retail</x:v>
      </x:c>
      <x:c r="E7353" s="13" t="str">
        <x:v>Retail</x:v>
      </x:c>
      <x:c r="F7353" s="13" t="str">
        <x:v>Early Cyclicals</x:v>
      </x:c>
      <x:c r="G7353" s="13" t="str">
        <x:v>grid_cqzdsc3v.xlsx</x:v>
      </x:c>
    </x:row>
    <x:row r="7354">
      <x:c r="A7354" s="15" t="n">
        <x:v>43800</x:v>
      </x:c>
      <x:c r="B7354" s="13" t="str">
        <x:v>LOJAS RENNER S.A.</x:v>
      </x:c>
      <x:c r="C7354" s="16" t="n">
        <x:v>1389.170048</x:v>
      </x:c>
      <x:c r="D7354" s="13" t="str">
        <x:v>Retail</x:v>
      </x:c>
      <x:c r="E7354" s="13" t="str">
        <x:v>Retail</x:v>
      </x:c>
      <x:c r="F7354" s="13" t="str">
        <x:v>Early Cyclicals</x:v>
      </x:c>
      <x:c r="G7354" s="13" t="str">
        <x:v>grid_cqzdsc3v.xlsx</x:v>
      </x:c>
    </x:row>
    <x:row r="7355">
      <x:c r="A7355" s="15" t="n">
        <x:v>43800</x:v>
      </x:c>
      <x:c r="B7355" s="13" t="str">
        <x:v>MAGAZINE LUIZA SA</x:v>
      </x:c>
      <x:c r="C7355" s="16" t="n">
        <x:v>765.299968</x:v>
      </x:c>
      <x:c r="D7355" s="13" t="str">
        <x:v>Retail</x:v>
      </x:c>
      <x:c r="E7355" s="13" t="str">
        <x:v>Retail</x:v>
      </x:c>
      <x:c r="F7355" s="13" t="str">
        <x:v>Early Cyclicals</x:v>
      </x:c>
      <x:c r="G7355" s="13" t="str">
        <x:v>grid_cqzdsc3v.xlsx</x:v>
      </x:c>
    </x:row>
    <x:row r="7356">
      <x:c r="A7356" s="15" t="n">
        <x:v>43800</x:v>
      </x:c>
      <x:c r="B7356" s="13" t="str">
        <x:v>NATURA &amp;CO HOLDING SA</x:v>
      </x:c>
      <x:c r="C7356" s="16" t="n">
        <x:v>854.713984</x:v>
      </x:c>
      <x:c r="D7356" s="13" t="str">
        <x:v>Retail</x:v>
      </x:c>
      <x:c r="E7356" s="13" t="str">
        <x:v>Retail</x:v>
      </x:c>
      <x:c r="F7356" s="13" t="str">
        <x:v>Early Cyclicals</x:v>
      </x:c>
      <x:c r="G7356" s="13" t="str">
        <x:v>grid_cqzdsc3v.xlsx</x:v>
      </x:c>
    </x:row>
    <x:row r="7357">
      <x:c r="A7357" s="15" t="n">
        <x:v>43800</x:v>
      </x:c>
      <x:c r="B7357" s="13" t="str">
        <x:v>RAIA DROGASIL SA</x:v>
      </x:c>
      <x:c r="C7357" s="16" t="n">
        <x:v>694.833024</x:v>
      </x:c>
      <x:c r="D7357" s="13" t="str">
        <x:v>Retail</x:v>
      </x:c>
      <x:c r="E7357" s="13" t="str">
        <x:v>Retail</x:v>
      </x:c>
      <x:c r="F7357" s="13" t="str">
        <x:v>Early Cyclicals</x:v>
      </x:c>
      <x:c r="G7357" s="13" t="str">
        <x:v>grid_cqzdsc3v.xlsx</x:v>
      </x:c>
    </x:row>
    <x:row r="7358">
      <x:c r="A7358" s="15" t="n">
        <x:v>43800</x:v>
      </x:c>
      <x:c r="B7358" s="13" t="str">
        <x:v>CIA SANEAMENTO BASICO DE SP</x:v>
      </x:c>
      <x:c r="C7358" s="16" t="n">
        <x:v>2778.220032</x:v>
      </x:c>
      <x:c r="D7358" s="13" t="str">
        <x:v>Sanitation</x:v>
      </x:c>
      <x:c r="E7358" s="13" t="str">
        <x:v>Utilities</x:v>
      </x:c>
      <x:c r="F7358" s="13" t="str">
        <x:v>Defensives</x:v>
      </x:c>
      <x:c r="G7358" s="13" t="str">
        <x:v>grid_cqzdsc3v.xlsx</x:v>
      </x:c>
    </x:row>
    <x:row r="7359">
      <x:c r="A7359" s="15" t="n">
        <x:v>43800</x:v>
      </x:c>
      <x:c r="B7359" s="13" t="str">
        <x:v>SMILES FIDELIDADE SA</x:v>
      </x:c>
      <x:c r="C7359" s="16" t="n">
        <x:v>659.332992</x:v>
      </x:c>
      <x:c r="D7359" s="13" t="str">
        <x:v>TMT</x:v>
      </x:c>
      <x:c r="E7359" s="13" t="str">
        <x:v>TMT</x:v>
      </x:c>
      <x:c r="F7359" s="13" t="str">
        <x:v>Early Cyclicals</x:v>
      </x:c>
      <x:c r="G7359" s="13" t="str">
        <x:v>grid_cqzdsc3v.xlsx</x:v>
      </x:c>
    </x:row>
    <x:row r="7360">
      <x:c r="A7360" s="15" t="n">
        <x:v>43800</x:v>
      </x:c>
      <x:c r="B7360" s="13" t="str">
        <x:v>TELEFONICA BRASIL S.A.-PREF</x:v>
      </x:c>
      <x:c r="C7360" s="16" t="n">
        <x:v>5824.999936</x:v>
      </x:c>
      <x:c r="D7360" s="13" t="str">
        <x:v>TMT</x:v>
      </x:c>
      <x:c r="E7360" s="13" t="str">
        <x:v>TMT</x:v>
      </x:c>
      <x:c r="F7360" s="13" t="str">
        <x:v>Early Cyclicals</x:v>
      </x:c>
      <x:c r="G7360" s="13" t="str">
        <x:v>grid_cqzdsc3v.xlsx</x:v>
      </x:c>
    </x:row>
    <x:row r="7361">
      <x:c r="A7361" s="15" t="n">
        <x:v>43800</x:v>
      </x:c>
      <x:c r="B7361" s="13" t="str">
        <x:v>TIM SA</x:v>
      </x:c>
      <x:c r="C7361" s="16" t="n">
        <x:v>2038.360064</x:v>
      </x:c>
      <x:c r="D7361" s="13" t="str">
        <x:v>TMT</x:v>
      </x:c>
      <x:c r="E7361" s="13" t="str">
        <x:v>TMT</x:v>
      </x:c>
      <x:c r="F7361" s="13" t="str">
        <x:v>Early Cyclicals</x:v>
      </x:c>
      <x:c r="G7361" s="13" t="str">
        <x:v>grid_cqzdsc3v.xlsx</x:v>
      </x:c>
    </x:row>
    <x:row r="7362">
      <x:c r="A7362" s="15" t="n">
        <x:v>43800</x:v>
      </x:c>
      <x:c r="B7362" s="13" t="str">
        <x:v>AZUL SA</x:v>
      </x:c>
      <x:c r="C7362" s="16" t="n">
        <x:v>1139.830016</x:v>
      </x:c>
      <x:c r="D7362" s="13" t="str">
        <x:v>Transportation</x:v>
      </x:c>
      <x:c r="E7362" s="13" t="str">
        <x:v>Transportation</x:v>
      </x:c>
      <x:c r="F7362" s="13" t="str">
        <x:v>Deep Cyclicals</x:v>
      </x:c>
      <x:c r="G7362" s="13" t="str">
        <x:v>grid_cqzdsc3v.xlsx</x:v>
      </x:c>
    </x:row>
    <x:row r="7363">
      <x:c r="A7363" s="15" t="n">
        <x:v>43800</x:v>
      </x:c>
      <x:c r="B7363" s="13" t="str">
        <x:v>ECORODOVIAS INFRA E LOG SA</x:v>
      </x:c>
      <x:c r="C7363" s="16" t="n">
        <x:v>482.428992</x:v>
      </x:c>
      <x:c r="D7363" s="13" t="str">
        <x:v>Transportation</x:v>
      </x:c>
      <x:c r="E7363" s="13" t="str">
        <x:v>Transportation</x:v>
      </x:c>
      <x:c r="F7363" s="13" t="str">
        <x:v>Deep Cyclicals</x:v>
      </x:c>
      <x:c r="G7363" s="13" t="str">
        <x:v>grid_cqzdsc3v.xlsx</x:v>
      </x:c>
    </x:row>
    <x:row r="7364">
      <x:c r="A7364" s="15" t="n">
        <x:v>43800</x:v>
      </x:c>
      <x:c r="B7364" s="13" t="str">
        <x:v>GOL LINHAS AEREAS INT SA-PRE</x:v>
      </x:c>
      <x:c r="C7364" s="16" t="n">
        <x:v>954.364032</x:v>
      </x:c>
      <x:c r="D7364" s="13" t="str">
        <x:v>Transportation</x:v>
      </x:c>
      <x:c r="E7364" s="13" t="str">
        <x:v>Transportation</x:v>
      </x:c>
      <x:c r="F7364" s="13" t="str">
        <x:v>Deep Cyclicals</x:v>
      </x:c>
      <x:c r="G7364" s="13" t="str">
        <x:v>grid_cqzdsc3v.xlsx</x:v>
      </x:c>
    </x:row>
    <x:row r="7365">
      <x:c r="A7365" s="15" t="n">
        <x:v>43800</x:v>
      </x:c>
      <x:c r="B7365" s="13" t="str">
        <x:v>LOCALIZA RENT A CAR</x:v>
      </x:c>
      <x:c r="C7365" s="16" t="n">
        <x:v>1148</x:v>
      </x:c>
      <x:c r="D7365" s="13" t="str">
        <x:v>Transportation</x:v>
      </x:c>
      <x:c r="E7365" s="13" t="str">
        <x:v>Transportation</x:v>
      </x:c>
      <x:c r="F7365" s="13" t="str">
        <x:v>Deep Cyclicals</x:v>
      </x:c>
      <x:c r="G7365" s="13" t="str">
        <x:v>grid_cqzdsc3v.xlsx</x:v>
      </x:c>
    </x:row>
    <x:row r="7366">
      <x:c r="A7366" s="15" t="n">
        <x:v>43800</x:v>
      </x:c>
      <x:c r="B7366" s="13" t="str">
        <x:v>MOTIVA INFRAESTRUTURA DE MOB</x:v>
      </x:c>
      <x:c r="C7366" s="16" t="n">
        <x:v>2201.220096</x:v>
      </x:c>
      <x:c r="D7366" s="13" t="str">
        <x:v>Transportation</x:v>
      </x:c>
      <x:c r="E7366" s="13" t="str">
        <x:v>Transportation</x:v>
      </x:c>
      <x:c r="F7366" s="13" t="str">
        <x:v>Deep Cyclicals</x:v>
      </x:c>
      <x:c r="G7366" s="13" t="str">
        <x:v>grid_cqzdsc3v.xlsx</x:v>
      </x:c>
    </x:row>
    <x:row r="7367">
      <x:c r="A7367" s="15" t="n">
        <x:v>43800</x:v>
      </x:c>
      <x:c r="B7367" s="13" t="str">
        <x:v>RUMO SA</x:v>
      </x:c>
      <x:c r="C7367" s="16" t="n">
        <x:v>1094.329984</x:v>
      </x:c>
      <x:c r="D7367" s="13" t="str">
        <x:v>Transportation</x:v>
      </x:c>
      <x:c r="E7367" s="13" t="str">
        <x:v>Transportation</x:v>
      </x:c>
      <x:c r="F7367" s="13" t="str">
        <x:v>Deep Cyclicals</x:v>
      </x:c>
      <x:c r="G7367" s="13" t="str">
        <x:v>grid_cqzdsc3v.xlsx</x:v>
      </x:c>
    </x:row>
    <x:row r="7368">
      <x:c r="A7368" s="15" t="n">
        <x:v>43800</x:v>
      </x:c>
      <x:c r="B7368" s="13" t="str">
        <x:v>AXIA ENERGIA SA</x:v>
      </x:c>
      <x:c r="C7368" s="16" t="n">
        <x:v>5392.500224</x:v>
      </x:c>
      <x:c r="D7368" s="13" t="str">
        <x:v>Utilities &amp; Energy</x:v>
      </x:c>
      <x:c r="E7368" s="13" t="str">
        <x:v>Utilities</x:v>
      </x:c>
      <x:c r="F7368" s="13" t="str">
        <x:v>Defensives</x:v>
      </x:c>
      <x:c r="G7368" s="13" t="str">
        <x:v>grid_cqzdsc3v.xlsx</x:v>
      </x:c>
    </x:row>
    <x:row r="7369">
      <x:c r="A7369" s="15" t="n">
        <x:v>43800</x:v>
      </x:c>
      <x:c r="B7369" s="13" t="str">
        <x:v>AXIA ENERGIA-PR B</x:v>
      </x:c>
      <x:c r="C7369" s="16" t="n">
        <x:v>5392.500224</x:v>
      </x:c>
      <x:c r="D7369" s="13" t="str">
        <x:v>Utilities &amp; Energy</x:v>
      </x:c>
      <x:c r="E7369" s="13" t="str">
        <x:v>Utilities</x:v>
      </x:c>
      <x:c r="F7369" s="13" t="str">
        <x:v>Defensives</x:v>
      </x:c>
      <x:c r="G7369" s="13" t="str">
        <x:v>grid_cqzdsc3v.xlsx</x:v>
      </x:c>
    </x:row>
    <x:row r="7370">
      <x:c r="A7370" s="15" t="n">
        <x:v>43800</x:v>
      </x:c>
      <x:c r="B7370" s="13" t="str">
        <x:v>CIA ENERGETICA MINAS GER-PRF</x:v>
      </x:c>
      <x:c r="C7370" s="16" t="n">
        <x:v>2417.380096</x:v>
      </x:c>
      <x:c r="D7370" s="13" t="str">
        <x:v>Utilities &amp; Energy</x:v>
      </x:c>
      <x:c r="E7370" s="13" t="str">
        <x:v>Utilities</x:v>
      </x:c>
      <x:c r="F7370" s="13" t="str">
        <x:v>Defensives</x:v>
      </x:c>
      <x:c r="G7370" s="13" t="str">
        <x:v>grid_cqzdsc3v.xlsx</x:v>
      </x:c>
    </x:row>
    <x:row r="7371">
      <x:c r="A7371" s="15" t="n">
        <x:v>43800</x:v>
      </x:c>
      <x:c r="B7371" s="13" t="str">
        <x:v>EDP - ENERGIAS DO BRASIL SA</x:v>
      </x:c>
      <x:c r="C7371" s="16" t="n">
        <x:v>960.713984</x:v>
      </x:c>
      <x:c r="D7371" s="13" t="str">
        <x:v>Utilities &amp; Energy</x:v>
      </x:c>
      <x:c r="E7371" s="13" t="str">
        <x:v>Utilities</x:v>
      </x:c>
      <x:c r="F7371" s="13" t="str">
        <x:v>Defensives</x:v>
      </x:c>
      <x:c r="G7371" s="13" t="str">
        <x:v>grid_cqzdsc3v.xlsx</x:v>
      </x:c>
    </x:row>
    <x:row r="7372">
      <x:c r="A7372" s="15" t="n">
        <x:v>43800</x:v>
      </x:c>
      <x:c r="B7372" s="13" t="str">
        <x:v>ENGIE BRASIL ENERGIA SA</x:v>
      </x:c>
      <x:c r="C7372" s="16" t="n">
        <x:v>2733.44</x:v>
      </x:c>
      <x:c r="D7372" s="13" t="str">
        <x:v>Utilities &amp; Energy</x:v>
      </x:c>
      <x:c r="E7372" s="13" t="str">
        <x:v>Utilities</x:v>
      </x:c>
      <x:c r="F7372" s="13" t="str">
        <x:v>Defensives</x:v>
      </x:c>
      <x:c r="G7372" s="13" t="str">
        <x:v>grid_cqzdsc3v.xlsx</x:v>
      </x:c>
    </x:row>
    <x:row r="7373">
      <x:c r="A7373" s="15" t="n">
        <x:v>43800</x:v>
      </x:c>
      <x:c r="B7373" s="13" t="str">
        <x:v>EQUATORIAL SA - ORD</x:v>
      </x:c>
      <x:c r="C7373" s="16" t="n">
        <x:v>1076.780032</x:v>
      </x:c>
      <x:c r="D7373" s="13" t="str">
        <x:v>Utilities &amp; Energy</x:v>
      </x:c>
      <x:c r="E7373" s="13" t="str">
        <x:v>Utilities</x:v>
      </x:c>
      <x:c r="F7373" s="13" t="str">
        <x:v>Defensives</x:v>
      </x:c>
      <x:c r="G7373" s="13" t="str">
        <x:v>grid_cqzdsc3v.xlsx</x:v>
      </x:c>
    </x:row>
    <x:row r="7374">
      <x:c r="A7374" s="15" t="n">
        <x:v>43800</x:v>
      </x:c>
      <x:c r="B7374" s="13" t="str">
        <x:v>TRANSMISSORA ALIANCA DE-UNIT</x:v>
      </x:c>
      <x:c r="C7374" s="16" t="n">
        <x:v>859.571008</x:v>
      </x:c>
      <x:c r="D7374" s="13" t="str">
        <x:v>Utilities &amp; Energy</x:v>
      </x:c>
      <x:c r="E7374" s="13" t="str">
        <x:v>Utilities</x:v>
      </x:c>
      <x:c r="F7374" s="13" t="str">
        <x:v>Defensives</x:v>
      </x:c>
      <x:c r="G7374" s="13" t="str">
        <x:v>grid_cqzdsc3v.xlsx</x:v>
      </x:c>
    </x:row>
    <x:row r="7375">
      <x:c r="A7375" s="15" t="n">
        <x:v>43831</x:v>
      </x:c>
      <x:c r="B7375" s="13" t="str">
        <x:v>BANCO BRADESCO S.A.</x:v>
      </x:c>
      <x:c r="C7375" s="16" t="n">
        <x:v>27933.640704</x:v>
      </x:c>
      <x:c r="D7375" s="13" t="str">
        <x:v>Banks</x:v>
      </x:c>
      <x:c r="E7375" s="13" t="str">
        <x:v>Banks</x:v>
      </x:c>
      <x:c r="F7375" s="13" t="str">
        <x:v>Financials</x:v>
      </x:c>
      <x:c r="G7375" s="13" t="str">
        <x:v>grid_cqzdsc3v.xlsx</x:v>
      </x:c>
    </x:row>
    <x:row r="7376">
      <x:c r="A7376" s="15" t="n">
        <x:v>43831</x:v>
      </x:c>
      <x:c r="B7376" s="13" t="str">
        <x:v>BANCO BRADESCO SA-PREF</x:v>
      </x:c>
      <x:c r="C7376" s="16" t="n">
        <x:v>27933.640704</x:v>
      </x:c>
      <x:c r="D7376" s="13" t="str">
        <x:v>Banks</x:v>
      </x:c>
      <x:c r="E7376" s="13" t="str">
        <x:v>Banks</x:v>
      </x:c>
      <x:c r="F7376" s="13" t="str">
        <x:v>Financials</x:v>
      </x:c>
      <x:c r="G7376" s="13" t="str">
        <x:v>grid_cqzdsc3v.xlsx</x:v>
      </x:c>
    </x:row>
    <x:row r="7377">
      <x:c r="A7377" s="15" t="n">
        <x:v>43831</x:v>
      </x:c>
      <x:c r="B7377" s="13" t="str">
        <x:v>BANCO BTG PACTUAL SA-UNIT</x:v>
      </x:c>
      <x:c r="C7377" s="16" t="n">
        <x:v>4201.1540865753</x:v>
      </x:c>
      <x:c r="D7377" s="13" t="str">
        <x:v>Banks</x:v>
      </x:c>
      <x:c r="E7377" s="13" t="str">
        <x:v>Banks</x:v>
      </x:c>
      <x:c r="F7377" s="13" t="str">
        <x:v>Financials</x:v>
      </x:c>
      <x:c r="G7377" s="13" t="str">
        <x:v>grid_cqzdsc3v.xlsx</x:v>
      </x:c>
    </x:row>
    <x:row r="7378">
      <x:c r="A7378" s="15" t="n">
        <x:v>43831</x:v>
      </x:c>
      <x:c r="B7378" s="13" t="str">
        <x:v>BANCO DO BRASIL S.A.</x:v>
      </x:c>
      <x:c r="C7378" s="16" t="n">
        <x:v>19489.8258340822</x:v>
      </x:c>
      <x:c r="D7378" s="13" t="str">
        <x:v>Banks</x:v>
      </x:c>
      <x:c r="E7378" s="13" t="str">
        <x:v>Banks</x:v>
      </x:c>
      <x:c r="F7378" s="13" t="str">
        <x:v>Financials</x:v>
      </x:c>
      <x:c r="G7378" s="13" t="str">
        <x:v>grid_cqzdsc3v.xlsx</x:v>
      </x:c>
    </x:row>
    <x:row r="7379">
      <x:c r="A7379" s="15" t="n">
        <x:v>43831</x:v>
      </x:c>
      <x:c r="B7379" s="13" t="str">
        <x:v>BANCO SANTANDER  BRASIL-UNIT</x:v>
      </x:c>
      <x:c r="C7379" s="16" t="n">
        <x:v>15175.5955270137</x:v>
      </x:c>
      <x:c r="D7379" s="13" t="str">
        <x:v>Banks</x:v>
      </x:c>
      <x:c r="E7379" s="13" t="str">
        <x:v>Banks</x:v>
      </x:c>
      <x:c r="F7379" s="13" t="str">
        <x:v>Financials</x:v>
      </x:c>
      <x:c r="G7379" s="13" t="str">
        <x:v>grid_cqzdsc3v.xlsx</x:v>
      </x:c>
    </x:row>
    <x:row r="7380">
      <x:c r="A7380" s="15" t="n">
        <x:v>43831</x:v>
      </x:c>
      <x:c r="B7380" s="13" t="str">
        <x:v>ITAU UNIBANCO HOLDING S-PREF</x:v>
      </x:c>
      <x:c r="C7380" s="16" t="n">
        <x:v>29817.1416407671</x:v>
      </x:c>
      <x:c r="D7380" s="13" t="str">
        <x:v>Banks</x:v>
      </x:c>
      <x:c r="E7380" s="13" t="str">
        <x:v>Banks</x:v>
      </x:c>
      <x:c r="F7380" s="13" t="str">
        <x:v>Financials</x:v>
      </x:c>
      <x:c r="G7380" s="13" t="str">
        <x:v>grid_cqzdsc3v.xlsx</x:v>
      </x:c>
    </x:row>
    <x:row r="7381">
      <x:c r="A7381" s="15" t="n">
        <x:v>43831</x:v>
      </x:c>
      <x:c r="B7381" s="13" t="str">
        <x:v>EMBRAER SA</x:v>
      </x:c>
      <x:c r="C7381" s="16" t="n">
        <x:v>650.8826976438</x:v>
      </x:c>
      <x:c r="D7381" s="13" t="str">
        <x:v>Capital Goods</x:v>
      </x:c>
      <x:c r="E7381" s="13" t="str">
        <x:v>Capital Goods</x:v>
      </x:c>
      <x:c r="F7381" s="13" t="str">
        <x:v>Deep Cyclicals</x:v>
      </x:c>
      <x:c r="G7381" s="13" t="str">
        <x:v>grid_cqzdsc3v.xlsx</x:v>
      </x:c>
    </x:row>
    <x:row r="7382">
      <x:c r="A7382" s="15" t="n">
        <x:v>43831</x:v>
      </x:c>
      <x:c r="B7382" s="13" t="str">
        <x:v>WEG SA</x:v>
      </x:c>
      <x:c r="C7382" s="16" t="n">
        <x:v>1825.456685589</x:v>
      </x:c>
      <x:c r="D7382" s="13" t="str">
        <x:v>Capital Goods</x:v>
      </x:c>
      <x:c r="E7382" s="13" t="str">
        <x:v>Capital Goods</x:v>
      </x:c>
      <x:c r="F7382" s="13" t="str">
        <x:v>Deep Cyclicals</x:v>
      </x:c>
      <x:c r="G7382" s="13" t="str">
        <x:v>grid_cqzdsc3v.xlsx</x:v>
      </x:c>
    </x:row>
    <x:row r="7383">
      <x:c r="A7383" s="15" t="n">
        <x:v>43831</x:v>
      </x:c>
      <x:c r="B7383" s="13" t="str">
        <x:v>COGNA EDUCACAO</x:v>
      </x:c>
      <x:c r="C7383" s="16" t="n">
        <x:v>1148.3755221918</x:v>
      </x:c>
      <x:c r="D7383" s="13" t="str">
        <x:v>Education</x:v>
      </x:c>
      <x:c r="E7383" s="13" t="str">
        <x:v>Education</x:v>
      </x:c>
      <x:c r="F7383" s="13" t="str">
        <x:v>Early Cyclicals</x:v>
      </x:c>
      <x:c r="G7383" s="13" t="str">
        <x:v>grid_cqzdsc3v.xlsx</x:v>
      </x:c>
    </x:row>
    <x:row r="7384">
      <x:c r="A7384" s="15" t="n">
        <x:v>43831</x:v>
      </x:c>
      <x:c r="B7384" s="13" t="str">
        <x:v>YDUQS PARTICIPACOES SA</x:v>
      </x:c>
      <x:c r="C7384" s="16" t="n">
        <x:v>869.5850634521</x:v>
      </x:c>
      <x:c r="D7384" s="13" t="str">
        <x:v>Education</x:v>
      </x:c>
      <x:c r="E7384" s="13" t="str">
        <x:v>Education</x:v>
      </x:c>
      <x:c r="F7384" s="13" t="str">
        <x:v>Early Cyclicals</x:v>
      </x:c>
      <x:c r="G7384" s="13" t="str">
        <x:v>grid_cqzdsc3v.xlsx</x:v>
      </x:c>
    </x:row>
    <x:row r="7385">
      <x:c r="A7385" s="15" t="n">
        <x:v>43831</x:v>
      </x:c>
      <x:c r="B7385" s="13" t="str">
        <x:v>B3 SA-BRASIL BOLSA BALCAO</x:v>
      </x:c>
      <x:c r="C7385" s="16" t="n">
        <x:v>3731.2549172603</x:v>
      </x:c>
      <x:c r="D7385" s="13" t="str">
        <x:v>Financials Non-Banks</x:v>
      </x:c>
      <x:c r="E7385" s="13" t="str">
        <x:v>Financials Non-Banks</x:v>
      </x:c>
      <x:c r="F7385" s="13" t="str">
        <x:v>Financials</x:v>
      </x:c>
      <x:c r="G7385" s="13" t="str">
        <x:v>grid_cqzdsc3v.xlsx</x:v>
      </x:c>
    </x:row>
    <x:row r="7386">
      <x:c r="A7386" s="15" t="n">
        <x:v>43831</x:v>
      </x:c>
      <x:c r="B7386" s="13" t="str">
        <x:v>BB SEGURIDADE PARTICIPACOES</x:v>
      </x:c>
      <x:c r="C7386" s="16" t="n">
        <x:v>4397.0903460822</x:v>
      </x:c>
      <x:c r="D7386" s="13" t="str">
        <x:v>Financials Non-Banks</x:v>
      </x:c>
      <x:c r="E7386" s="13" t="str">
        <x:v>Financials Non-Banks</x:v>
      </x:c>
      <x:c r="F7386" s="13" t="str">
        <x:v>Financials</x:v>
      </x:c>
      <x:c r="G7386" s="13" t="str">
        <x:v>grid_cqzdsc3v.xlsx</x:v>
      </x:c>
    </x:row>
    <x:row r="7387">
      <x:c r="A7387" s="15" t="n">
        <x:v>43831</x:v>
      </x:c>
      <x:c r="B7387" s="13" t="str">
        <x:v>CIELO SA</x:v>
      </x:c>
      <x:c r="C7387" s="16" t="n">
        <x:v>1436.8753744657</x:v>
      </x:c>
      <x:c r="D7387" s="13" t="str">
        <x:v>Financials Non-Banks</x:v>
      </x:c>
      <x:c r="E7387" s="13" t="str">
        <x:v>Financials Non-Banks</x:v>
      </x:c>
      <x:c r="F7387" s="13" t="str">
        <x:v>Financials</x:v>
      </x:c>
      <x:c r="G7387" s="13" t="str">
        <x:v>Ibovespa_earnings_consolidated.xlsx</x:v>
      </x:c>
    </x:row>
    <x:row r="7388">
      <x:c r="A7388" s="15" t="n">
        <x:v>43831</x:v>
      </x:c>
      <x:c r="B7388" s="13" t="str">
        <x:v>CIELO SA - INSTITUICAO DE PA</x:v>
      </x:c>
      <x:c r="C7388" s="16" t="n">
        <x:v>1436.8753744657</x:v>
      </x:c>
      <x:c r="D7388" s="13" t="str">
        <x:v>Financials Non-Banks</x:v>
      </x:c>
      <x:c r="E7388" s="13" t="str">
        <x:v>Financials Non-Banks</x:v>
      </x:c>
      <x:c r="F7388" s="13" t="str">
        <x:v>Financials</x:v>
      </x:c>
      <x:c r="G7388" s="13" t="str">
        <x:v>grid_cqzdsc3v.xlsx</x:v>
      </x:c>
    </x:row>
    <x:row r="7389">
      <x:c r="A7389" s="15" t="n">
        <x:v>43831</x:v>
      </x:c>
      <x:c r="B7389" s="13" t="str">
        <x:v>IRB BRASIL RESSEGUROS SA</x:v>
      </x:c>
      <x:c r="C7389" s="16" t="n">
        <x:v>1983.7668558904</x:v>
      </x:c>
      <x:c r="D7389" s="13" t="str">
        <x:v>Financials Non-Banks</x:v>
      </x:c>
      <x:c r="E7389" s="13" t="str">
        <x:v>Financials Non-Banks</x:v>
      </x:c>
      <x:c r="F7389" s="13" t="str">
        <x:v>Financials</x:v>
      </x:c>
      <x:c r="G7389" s="13" t="str">
        <x:v>grid_cqzdsc3v.xlsx</x:v>
      </x:c>
    </x:row>
    <x:row r="7390">
      <x:c r="A7390" s="15" t="n">
        <x:v>43831</x:v>
      </x:c>
      <x:c r="B7390" s="13" t="str">
        <x:v>ITAUSA SA</x:v>
      </x:c>
      <x:c r="C7390" s="16" t="n">
        <x:v>11391.424582137</x:v>
      </x:c>
      <x:c r="D7390" s="13" t="str">
        <x:v>Financials Non-Banks</x:v>
      </x:c>
      <x:c r="E7390" s="13" t="str">
        <x:v>Financials Non-Banks</x:v>
      </x:c>
      <x:c r="F7390" s="13" t="str">
        <x:v>Financials</x:v>
      </x:c>
      <x:c r="G7390" s="13" t="str">
        <x:v>grid_cqzdsc3v.xlsx</x:v>
      </x:c>
    </x:row>
    <x:row r="7391">
      <x:c r="A7391" s="15" t="n">
        <x:v>43831</x:v>
      </x:c>
      <x:c r="B7391" s="13" t="str">
        <x:v>AMBEV SA</x:v>
      </x:c>
      <x:c r="C7391" s="16" t="n">
        <x:v>13404.6000394521</x:v>
      </x:c>
      <x:c r="D7391" s="13" t="str">
        <x:v>Food &amp; Beverages</x:v>
      </x:c>
      <x:c r="E7391" s="13" t="str">
        <x:v>Agri, Food &amp; Beverages</x:v>
      </x:c>
      <x:c r="F7391" s="13" t="str">
        <x:v>Defensives</x:v>
      </x:c>
      <x:c r="G7391" s="13" t="str">
        <x:v>grid_cqzdsc3v.xlsx</x:v>
      </x:c>
    </x:row>
    <x:row r="7392">
      <x:c r="A7392" s="15" t="n">
        <x:v>43831</x:v>
      </x:c>
      <x:c r="B7392" s="13" t="str">
        <x:v>BRF SA</x:v>
      </x:c>
      <x:c r="C7392" s="16" t="n">
        <x:v>1291.932903452</x:v>
      </x:c>
      <x:c r="D7392" s="13" t="str">
        <x:v>Food &amp; Beverages</x:v>
      </x:c>
      <x:c r="E7392" s="13" t="str">
        <x:v>Agri, Food &amp; Beverages</x:v>
      </x:c>
      <x:c r="F7392" s="13" t="str">
        <x:v>Defensives</x:v>
      </x:c>
      <x:c r="G7392" s="13" t="str">
        <x:v>grid_cqzdsc3v.xlsx</x:v>
      </x:c>
    </x:row>
    <x:row r="7393">
      <x:c r="A7393" s="15" t="n">
        <x:v>43831</x:v>
      </x:c>
      <x:c r="B7393" s="13" t="str">
        <x:v>JBS SA</x:v>
      </x:c>
      <x:c r="C7393" s="16" t="n">
        <x:v>7411.5407184657</x:v>
      </x:c>
      <x:c r="D7393" s="13" t="str">
        <x:v>Food &amp; Beverages</x:v>
      </x:c>
      <x:c r="E7393" s="13" t="str">
        <x:v>Agri, Food &amp; Beverages</x:v>
      </x:c>
      <x:c r="F7393" s="13" t="str">
        <x:v>Defensives</x:v>
      </x:c>
      <x:c r="G7393" s="13" t="str">
        <x:v>grid_cqzdsc3v.xlsx</x:v>
      </x:c>
    </x:row>
    <x:row r="7394">
      <x:c r="A7394" s="15" t="n">
        <x:v>43831</x:v>
      </x:c>
      <x:c r="B7394" s="13" t="str">
        <x:v>MBRF GLOBAL FOODS COMPANY SA</x:v>
      </x:c>
      <x:c r="C7394" s="16" t="n">
        <x:v>599.9205479452</x:v>
      </x:c>
      <x:c r="D7394" s="13" t="str">
        <x:v>Food &amp; Beverages</x:v>
      </x:c>
      <x:c r="E7394" s="13" t="str">
        <x:v>Agri, Food &amp; Beverages</x:v>
      </x:c>
      <x:c r="F7394" s="13" t="str">
        <x:v>Defensives</x:v>
      </x:c>
      <x:c r="G7394" s="13" t="str">
        <x:v>grid_cqzdsc3v.xlsx</x:v>
      </x:c>
    </x:row>
    <x:row r="7395">
      <x:c r="A7395" s="15" t="n">
        <x:v>43831</x:v>
      </x:c>
      <x:c r="B7395" s="13" t="str">
        <x:v>FLEURY SA</x:v>
      </x:c>
      <x:c r="C7395" s="16" t="n">
        <x:v>412.4214119452</x:v>
      </x:c>
      <x:c r="D7395" s="13" t="str">
        <x:v>Health Care</x:v>
      </x:c>
      <x:c r="E7395" s="13" t="str">
        <x:v>Health Care</x:v>
      </x:c>
      <x:c r="F7395" s="13" t="str">
        <x:v>Defensives</x:v>
      </x:c>
      <x:c r="G7395" s="13" t="str">
        <x:v>grid_cqzdsc3v.xlsx</x:v>
      </x:c>
    </x:row>
    <x:row r="7396">
      <x:c r="A7396" s="15" t="n">
        <x:v>43831</x:v>
      </x:c>
      <x:c r="B7396" s="13" t="str">
        <x:v>HAPVIDA PARTICIPACOES E INVE</x:v>
      </x:c>
      <x:c r="C7396" s="16" t="n">
        <x:v>1036.255064548</x:v>
      </x:c>
      <x:c r="D7396" s="13" t="str">
        <x:v>Health Care</x:v>
      </x:c>
      <x:c r="E7396" s="13" t="str">
        <x:v>Health Care</x:v>
      </x:c>
      <x:c r="F7396" s="13" t="str">
        <x:v>Defensives</x:v>
      </x:c>
      <x:c r="G7396" s="13" t="str">
        <x:v>grid_cqzdsc3v.xlsx</x:v>
      </x:c>
    </x:row>
    <x:row r="7397">
      <x:c r="A7397" s="15" t="n">
        <x:v>43831</x:v>
      </x:c>
      <x:c r="B7397" s="13" t="str">
        <x:v>HYPERA SA</x:v>
      </x:c>
      <x:c r="C7397" s="16" t="n">
        <x:v>1184.5136973151</x:v>
      </x:c>
      <x:c r="D7397" s="13" t="str">
        <x:v>Health Care</x:v>
      </x:c>
      <x:c r="E7397" s="13" t="str">
        <x:v>Health Care</x:v>
      </x:c>
      <x:c r="F7397" s="13" t="str">
        <x:v>Defensives</x:v>
      </x:c>
      <x:c r="G7397" s="13" t="str">
        <x:v>grid_cqzdsc3v.xlsx</x:v>
      </x:c>
    </x:row>
    <x:row r="7398">
      <x:c r="A7398" s="15" t="n">
        <x:v>43831</x:v>
      </x:c>
      <x:c r="B7398" s="13" t="str">
        <x:v>NOTRE DAME INTERMED PAR SA</x:v>
      </x:c>
      <x:c r="C7398" s="16" t="n">
        <x:v>834.9486448219</x:v>
      </x:c>
      <x:c r="D7398" s="13" t="str">
        <x:v>Health Care</x:v>
      </x:c>
      <x:c r="E7398" s="13" t="str">
        <x:v>Health Care</x:v>
      </x:c>
      <x:c r="F7398" s="13" t="str">
        <x:v>Defensives</x:v>
      </x:c>
      <x:c r="G7398" s="13" t="str">
        <x:v>grid_cqzdsc3v.xlsx</x:v>
      </x:c>
    </x:row>
    <x:row r="7399">
      <x:c r="A7399" s="15" t="n">
        <x:v>43831</x:v>
      </x:c>
      <x:c r="B7399" s="13" t="str">
        <x:v>QUALICORP CONS E CORR SEG SA</x:v>
      </x:c>
      <x:c r="C7399" s="16" t="n">
        <x:v>571.7630150137</x:v>
      </x:c>
      <x:c r="D7399" s="13" t="str">
        <x:v>Health Care</x:v>
      </x:c>
      <x:c r="E7399" s="13" t="str">
        <x:v>Health Care</x:v>
      </x:c>
      <x:c r="F7399" s="13" t="str">
        <x:v>Defensives</x:v>
      </x:c>
      <x:c r="G7399" s="13" t="str">
        <x:v>grid_cqzdsc3v.xlsx</x:v>
      </x:c>
    </x:row>
    <x:row r="7400">
      <x:c r="A7400" s="15" t="n">
        <x:v>43831</x:v>
      </x:c>
      <x:c r="B7400" s="13" t="str">
        <x:v>SUL AMERICA SA - UNITS</x:v>
      </x:c>
      <x:c r="C7400" s="16" t="n">
        <x:v>1194.3116010959</x:v>
      </x:c>
      <x:c r="D7400" s="13" t="str">
        <x:v>Health Care</x:v>
      </x:c>
      <x:c r="E7400" s="13" t="str">
        <x:v>Health Care</x:v>
      </x:c>
      <x:c r="F7400" s="13" t="str">
        <x:v>Defensives</x:v>
      </x:c>
      <x:c r="G7400" s="13" t="str">
        <x:v>grid_cqzdsc3v.xlsx</x:v>
      </x:c>
    </x:row>
    <x:row r="7401">
      <x:c r="A7401" s="15" t="n">
        <x:v>43831</x:v>
      </x:c>
      <x:c r="B7401" s="13" t="str">
        <x:v>CYRELA BRAZIL REALTY SA EMP</x:v>
      </x:c>
      <x:c r="C7401" s="16" t="n">
        <x:v>591.8551022466</x:v>
      </x:c>
      <x:c r="D7401" s="13" t="str">
        <x:v>Homebuilders</x:v>
      </x:c>
      <x:c r="E7401" s="13" t="str">
        <x:v>Real Estate</x:v>
      </x:c>
      <x:c r="F7401" s="13" t="str">
        <x:v>Early Cyclicals</x:v>
      </x:c>
      <x:c r="G7401" s="13" t="str">
        <x:v>grid_cqzdsc3v.xlsx</x:v>
      </x:c>
    </x:row>
    <x:row r="7402">
      <x:c r="A7402" s="15" t="n">
        <x:v>43831</x:v>
      </x:c>
      <x:c r="B7402" s="13" t="str">
        <x:v>MRV ENGENHARIA</x:v>
      </x:c>
      <x:c r="C7402" s="16" t="n">
        <x:v>762.8767403836</x:v>
      </x:c>
      <x:c r="D7402" s="13" t="str">
        <x:v>Homebuilders</x:v>
      </x:c>
      <x:c r="E7402" s="13" t="str">
        <x:v>Real Estate</x:v>
      </x:c>
      <x:c r="F7402" s="13" t="str">
        <x:v>Early Cyclicals</x:v>
      </x:c>
      <x:c r="G7402" s="13" t="str">
        <x:v>grid_cqzdsc3v.xlsx</x:v>
      </x:c>
    </x:row>
    <x:row r="7403">
      <x:c r="A7403" s="15" t="n">
        <x:v>43831</x:v>
      </x:c>
      <x:c r="B7403" s="13" t="str">
        <x:v>BR MALLS PARTICIPACOES SA</x:v>
      </x:c>
      <x:c r="C7403" s="16" t="n">
        <x:v>700.1176355068</x:v>
      </x:c>
      <x:c r="D7403" s="13" t="str">
        <x:v>Income Properties</x:v>
      </x:c>
      <x:c r="E7403" s="13" t="str">
        <x:v>Real Estate</x:v>
      </x:c>
      <x:c r="F7403" s="13" t="str">
        <x:v>Early Cyclicals</x:v>
      </x:c>
      <x:c r="G7403" s="13" t="str">
        <x:v>grid_cqzdsc3v.xlsx</x:v>
      </x:c>
    </x:row>
    <x:row r="7404">
      <x:c r="A7404" s="15" t="n">
        <x:v>43831</x:v>
      </x:c>
      <x:c r="B7404" s="13" t="str">
        <x:v>IGUATEMI EMP DE SHOPPING</x:v>
      </x:c>
      <x:c r="C7404" s="16" t="n">
        <x:v>301.0246575342</x:v>
      </x:c>
      <x:c r="D7404" s="13" t="str">
        <x:v>Income Properties</x:v>
      </x:c>
      <x:c r="E7404" s="13" t="str">
        <x:v>Real Estate</x:v>
      </x:c>
      <x:c r="F7404" s="13" t="str">
        <x:v>Early Cyclicals</x:v>
      </x:c>
      <x:c r="G7404" s="13" t="str">
        <x:v>grid_cqzdsc3v.xlsx</x:v>
      </x:c>
    </x:row>
    <x:row r="7405">
      <x:c r="A7405" s="15" t="n">
        <x:v>43831</x:v>
      </x:c>
      <x:c r="B7405" s="13" t="str">
        <x:v>MULTIPLAN EMPREENDIMENTOS</x:v>
      </x:c>
      <x:c r="C7405" s="16" t="n">
        <x:v>587.3421834521</x:v>
      </x:c>
      <x:c r="D7405" s="13" t="str">
        <x:v>Income Properties</x:v>
      </x:c>
      <x:c r="E7405" s="13" t="str">
        <x:v>Real Estate</x:v>
      </x:c>
      <x:c r="F7405" s="13" t="str">
        <x:v>Early Cyclicals</x:v>
      </x:c>
      <x:c r="G7405" s="13" t="str">
        <x:v>grid_cqzdsc3v.xlsx</x:v>
      </x:c>
    </x:row>
    <x:row r="7406">
      <x:c r="A7406" s="15" t="n">
        <x:v>43831</x:v>
      </x:c>
      <x:c r="B7406" s="13" t="str">
        <x:v>BRADESPAR SA -PREF</x:v>
      </x:c>
      <x:c r="C7406" s="16" t="n">
        <x:v>1733.5547598904</x:v>
      </x:c>
      <x:c r="D7406" s="13" t="str">
        <x:v>Metals &amp; Mining</x:v>
      </x:c>
      <x:c r="E7406" s="13" t="str">
        <x:v>Metals &amp; Mining</x:v>
      </x:c>
      <x:c r="F7406" s="13" t="str">
        <x:v>Deep Cyclicals</x:v>
      </x:c>
      <x:c r="G7406" s="13" t="str">
        <x:v>grid_cqzdsc3v.xlsx</x:v>
      </x:c>
    </x:row>
    <x:row r="7407">
      <x:c r="A7407" s="15" t="n">
        <x:v>43831</x:v>
      </x:c>
      <x:c r="B7407" s="13" t="str">
        <x:v>CIA SIDERURGICA NACIONAL SA</x:v>
      </x:c>
      <x:c r="C7407" s="16" t="n">
        <x:v>2344.1008780274</x:v>
      </x:c>
      <x:c r="D7407" s="13" t="str">
        <x:v>Metals &amp; Mining</x:v>
      </x:c>
      <x:c r="E7407" s="13" t="str">
        <x:v>Metals &amp; Mining</x:v>
      </x:c>
      <x:c r="F7407" s="13" t="str">
        <x:v>Deep Cyclicals</x:v>
      </x:c>
      <x:c r="G7407" s="13" t="str">
        <x:v>grid_cqzdsc3v.xlsx</x:v>
      </x:c>
    </x:row>
    <x:row r="7408">
      <x:c r="A7408" s="15" t="n">
        <x:v>43831</x:v>
      </x:c>
      <x:c r="B7408" s="13" t="str">
        <x:v>GERDAU SA-PREF</x:v>
      </x:c>
      <x:c r="C7408" s="16" t="n">
        <x:v>2600.0429834521</x:v>
      </x:c>
      <x:c r="D7408" s="13" t="str">
        <x:v>Metals &amp; Mining</x:v>
      </x:c>
      <x:c r="E7408" s="13" t="str">
        <x:v>Metals &amp; Mining</x:v>
      </x:c>
      <x:c r="F7408" s="13" t="str">
        <x:v>Deep Cyclicals</x:v>
      </x:c>
      <x:c r="G7408" s="13" t="str">
        <x:v>grid_cqzdsc3v.xlsx</x:v>
      </x:c>
    </x:row>
    <x:row r="7409">
      <x:c r="A7409" s="15" t="n">
        <x:v>43831</x:v>
      </x:c>
      <x:c r="B7409" s="13" t="str">
        <x:v>USINAS SIDER MINAS GER-PF A</x:v>
      </x:c>
      <x:c r="C7409" s="16" t="n">
        <x:v>735.0869716164</x:v>
      </x:c>
      <x:c r="D7409" s="13" t="str">
        <x:v>Metals &amp; Mining</x:v>
      </x:c>
      <x:c r="E7409" s="13" t="str">
        <x:v>Metals &amp; Mining</x:v>
      </x:c>
      <x:c r="F7409" s="13" t="str">
        <x:v>Deep Cyclicals</x:v>
      </x:c>
      <x:c r="G7409" s="13" t="str">
        <x:v>grid_cqzdsc3v.xlsx</x:v>
      </x:c>
    </x:row>
    <x:row r="7410">
      <x:c r="A7410" s="15" t="n">
        <x:v>43831</x:v>
      </x:c>
      <x:c r="B7410" s="13" t="str">
        <x:v>VALE SA</x:v>
      </x:c>
      <x:c r="C7410" s="16" t="n">
        <x:v>36268.122112</x:v>
      </x:c>
      <x:c r="D7410" s="13" t="str">
        <x:v>Metals &amp; Mining</x:v>
      </x:c>
      <x:c r="E7410" s="13" t="str">
        <x:v>Metals &amp; Mining</x:v>
      </x:c>
      <x:c r="F7410" s="13" t="str">
        <x:v>Deep Cyclicals</x:v>
      </x:c>
      <x:c r="G7410" s="13" t="str">
        <x:v>grid_cqzdsc3v.xlsx</x:v>
      </x:c>
    </x:row>
    <x:row r="7411">
      <x:c r="A7411" s="15" t="n">
        <x:v>43831</x:v>
      </x:c>
      <x:c r="B7411" s="13" t="str">
        <x:v>BRASKEM SA-PREF A</x:v>
      </x:c>
      <x:c r="C7411" s="16" t="n">
        <x:v>-332.4849315068</x:v>
      </x:c>
      <x:c r="D7411" s="13" t="str">
        <x:v>Oil, Gas &amp; Petrochemicals</x:v>
      </x:c>
      <x:c r="E7411" s="13" t="str">
        <x:v>Oil, Gas &amp; Petrochemicals</x:v>
      </x:c>
      <x:c r="F7411" s="13" t="str">
        <x:v>Deep Cyclicals</x:v>
      </x:c>
      <x:c r="G7411" s="13" t="str">
        <x:v>grid_cqzdsc3v.xlsx</x:v>
      </x:c>
    </x:row>
    <x:row r="7412">
      <x:c r="A7412" s="15" t="n">
        <x:v>43831</x:v>
      </x:c>
      <x:c r="B7412" s="13" t="str">
        <x:v>COSAN SA</x:v>
      </x:c>
      <x:c r="C7412" s="16" t="n">
        <x:v>1966.8586327671</x:v>
      </x:c>
      <x:c r="D7412" s="13" t="str">
        <x:v>Oil, Gas &amp; Petrochemicals</x:v>
      </x:c>
      <x:c r="E7412" s="13" t="str">
        <x:v>Oil, Gas &amp; Petrochemicals</x:v>
      </x:c>
      <x:c r="F7412" s="13" t="str">
        <x:v>Deep Cyclicals</x:v>
      </x:c>
      <x:c r="G7412" s="13" t="str">
        <x:v>grid_cqzdsc3v.xlsx</x:v>
      </x:c>
    </x:row>
    <x:row r="7413">
      <x:c r="A7413" s="15" t="n">
        <x:v>43831</x:v>
      </x:c>
      <x:c r="B7413" s="13" t="str">
        <x:v>PETROBRAS - PETROLEO BRAS</x:v>
      </x:c>
      <x:c r="C7413" s="16" t="n">
        <x:v>36691.5466730959</x:v>
      </x:c>
      <x:c r="D7413" s="13" t="str">
        <x:v>Oil, Gas &amp; Petrochemicals</x:v>
      </x:c>
      <x:c r="E7413" s="13" t="str">
        <x:v>Oil, Gas &amp; Petrochemicals</x:v>
      </x:c>
      <x:c r="F7413" s="13" t="str">
        <x:v>Deep Cyclicals</x:v>
      </x:c>
      <x:c r="G7413" s="13" t="str">
        <x:v>grid_cqzdsc3v.xlsx</x:v>
      </x:c>
    </x:row>
    <x:row r="7414">
      <x:c r="A7414" s="15" t="n">
        <x:v>43831</x:v>
      </x:c>
      <x:c r="B7414" s="13" t="str">
        <x:v>ULTRAPAR PARTICIPACOES SA</x:v>
      </x:c>
      <x:c r="C7414" s="16" t="n">
        <x:v>1272.573299726</x:v>
      </x:c>
      <x:c r="D7414" s="13" t="str">
        <x:v>Oil, Gas &amp; Petrochemicals</x:v>
      </x:c>
      <x:c r="E7414" s="13" t="str">
        <x:v>Oil, Gas &amp; Petrochemicals</x:v>
      </x:c>
      <x:c r="F7414" s="13" t="str">
        <x:v>Deep Cyclicals</x:v>
      </x:c>
      <x:c r="G7414" s="13" t="str">
        <x:v>grid_cqzdsc3v.xlsx</x:v>
      </x:c>
    </x:row>
    <x:row r="7415">
      <x:c r="A7415" s="15" t="n">
        <x:v>43831</x:v>
      </x:c>
      <x:c r="B7415" s="13" t="str">
        <x:v>VIBRA ENERGIA SA</x:v>
      </x:c>
      <x:c r="C7415" s="16" t="n">
        <x:v>1884.3985078356</x:v>
      </x:c>
      <x:c r="D7415" s="13" t="str">
        <x:v>Oil, Gas &amp; Petrochemicals</x:v>
      </x:c>
      <x:c r="E7415" s="13" t="str">
        <x:v>Oil, Gas &amp; Petrochemicals</x:v>
      </x:c>
      <x:c r="F7415" s="13" t="str">
        <x:v>Deep Cyclicals</x:v>
      </x:c>
      <x:c r="G7415" s="13" t="str">
        <x:v>grid_cqzdsc3v.xlsx</x:v>
      </x:c>
    </x:row>
    <x:row r="7416">
      <x:c r="A7416" s="15" t="n">
        <x:v>43831</x:v>
      </x:c>
      <x:c r="B7416" s="13" t="str">
        <x:v>KLABIN SA - UNIT</x:v>
      </x:c>
      <x:c r="C7416" s="16" t="n">
        <x:v>569.5104306849</x:v>
      </x:c>
      <x:c r="D7416" s="13" t="str">
        <x:v>Pulp &amp; Paper</x:v>
      </x:c>
      <x:c r="E7416" s="13" t="str">
        <x:v>Pulp &amp; Paper</x:v>
      </x:c>
      <x:c r="F7416" s="13" t="str">
        <x:v>Deep Cyclicals</x:v>
      </x:c>
      <x:c r="G7416" s="13" t="str">
        <x:v>grid_cqzdsc3v.xlsx</x:v>
      </x:c>
    </x:row>
    <x:row r="7417">
      <x:c r="A7417" s="15" t="n">
        <x:v>43831</x:v>
      </x:c>
      <x:c r="B7417" s="13" t="str">
        <x:v>SUZANO SA</x:v>
      </x:c>
      <x:c r="C7417" s="16" t="n">
        <x:v>1689.6717326027</x:v>
      </x:c>
      <x:c r="D7417" s="13" t="str">
        <x:v>Pulp &amp; Paper</x:v>
      </x:c>
      <x:c r="E7417" s="13" t="str">
        <x:v>Pulp &amp; Paper</x:v>
      </x:c>
      <x:c r="F7417" s="13" t="str">
        <x:v>Deep Cyclicals</x:v>
      </x:c>
      <x:c r="G7417" s="13" t="str">
        <x:v>grid_cqzdsc3v.xlsx</x:v>
      </x:c>
    </x:row>
    <x:row r="7418">
      <x:c r="A7418" s="15" t="n">
        <x:v>43831</x:v>
      </x:c>
      <x:c r="B7418" s="13" t="str">
        <x:v>AMERICANAS SA</x:v>
      </x:c>
      <x:c r="C7418" s="16" t="n">
        <x:v>-68.4532054795</x:v>
      </x:c>
      <x:c r="D7418" s="13" t="str">
        <x:v>Retail</x:v>
      </x:c>
      <x:c r="E7418" s="13" t="str">
        <x:v>Retail</x:v>
      </x:c>
      <x:c r="F7418" s="13" t="str">
        <x:v>Early Cyclicals</x:v>
      </x:c>
      <x:c r="G7418" s="13" t="str">
        <x:v>grid_cqzdsc3v.xlsx</x:v>
      </x:c>
    </x:row>
    <x:row r="7419">
      <x:c r="A7419" s="15" t="n">
        <x:v>43831</x:v>
      </x:c>
      <x:c r="B7419" s="13" t="str">
        <x:v>ATACADAO SA</x:v>
      </x:c>
      <x:c r="C7419" s="16" t="n">
        <x:v>2140.9852668493</x:v>
      </x:c>
      <x:c r="D7419" s="13" t="str">
        <x:v>Retail</x:v>
      </x:c>
      <x:c r="E7419" s="13" t="str">
        <x:v>Retail</x:v>
      </x:c>
      <x:c r="F7419" s="13" t="str">
        <x:v>Early Cyclicals</x:v>
      </x:c>
      <x:c r="G7419" s="13" t="str">
        <x:v>grid_cqzdsc3v.xlsx</x:v>
      </x:c>
    </x:row>
    <x:row r="7420">
      <x:c r="A7420" s="15" t="n">
        <x:v>43831</x:v>
      </x:c>
      <x:c r="B7420" s="13" t="str">
        <x:v>CIA BRASILEIRA DE DIS-PREF</x:v>
      </x:c>
      <x:c r="C7420" s="16" t="n">
        <x:v>1353.130194411</x:v>
      </x:c>
      <x:c r="D7420" s="13" t="str">
        <x:v>Retail</x:v>
      </x:c>
      <x:c r="E7420" s="13" t="str">
        <x:v>Retail</x:v>
      </x:c>
      <x:c r="F7420" s="13" t="str">
        <x:v>Early Cyclicals</x:v>
      </x:c>
      <x:c r="G7420" s="13" t="str">
        <x:v>grid_cqzdsc3v.xlsx</x:v>
      </x:c>
    </x:row>
    <x:row r="7421">
      <x:c r="A7421" s="15" t="n">
        <x:v>43831</x:v>
      </x:c>
      <x:c r="B7421" s="13" t="str">
        <x:v>CIA HERING</x:v>
      </x:c>
      <x:c r="C7421" s="16" t="n">
        <x:v>260.2715883836</x:v>
      </x:c>
      <x:c r="D7421" s="13" t="str">
        <x:v>Retail</x:v>
      </x:c>
      <x:c r="E7421" s="13" t="str">
        <x:v>Retail</x:v>
      </x:c>
      <x:c r="F7421" s="13" t="str">
        <x:v>Early Cyclicals</x:v>
      </x:c>
      <x:c r="G7421" s="13" t="str">
        <x:v>grid_cqzdsc3v.xlsx</x:v>
      </x:c>
    </x:row>
    <x:row r="7422">
      <x:c r="A7422" s="15" t="n">
        <x:v>43831</x:v>
      </x:c>
      <x:c r="B7422" s="13" t="str">
        <x:v>CVC BRASIL OPERADORA E AGENC</x:v>
      </x:c>
      <x:c r="C7422" s="16" t="n">
        <x:v>321.242322411</x:v>
      </x:c>
      <x:c r="D7422" s="13" t="str">
        <x:v>Retail</x:v>
      </x:c>
      <x:c r="E7422" s="13" t="str">
        <x:v>Retail</x:v>
      </x:c>
      <x:c r="F7422" s="13" t="str">
        <x:v>Early Cyclicals</x:v>
      </x:c>
      <x:c r="G7422" s="13" t="str">
        <x:v>grid_cqzdsc3v.xlsx</x:v>
      </x:c>
    </x:row>
    <x:row r="7423">
      <x:c r="A7423" s="15" t="n">
        <x:v>43831</x:v>
      </x:c>
      <x:c r="B7423" s="13" t="str">
        <x:v>GRUPO CASAS BAHIA SA</x:v>
      </x:c>
      <x:c r="C7423" s="16" t="n">
        <x:v>444.3629404932</x:v>
      </x:c>
      <x:c r="D7423" s="13" t="str">
        <x:v>Retail</x:v>
      </x:c>
      <x:c r="E7423" s="13" t="str">
        <x:v>Retail</x:v>
      </x:c>
      <x:c r="F7423" s="13" t="str">
        <x:v>Early Cyclicals</x:v>
      </x:c>
      <x:c r="G7423" s="13" t="str">
        <x:v>grid_cqzdsc3v.xlsx</x:v>
      </x:c>
    </x:row>
    <x:row r="7424">
      <x:c r="A7424" s="15" t="n">
        <x:v>43831</x:v>
      </x:c>
      <x:c r="B7424" s="13" t="str">
        <x:v>LOJAS AMERICANAS SA-PREF</x:v>
      </x:c>
      <x:c r="C7424" s="16" t="n">
        <x:v>862.6165084932</x:v>
      </x:c>
      <x:c r="D7424" s="13" t="str">
        <x:v>Retail</x:v>
      </x:c>
      <x:c r="E7424" s="13" t="str">
        <x:v>Retail</x:v>
      </x:c>
      <x:c r="F7424" s="13" t="str">
        <x:v>Early Cyclicals</x:v>
      </x:c>
      <x:c r="G7424" s="13" t="str">
        <x:v>grid_cqzdsc3v.xlsx</x:v>
      </x:c>
    </x:row>
    <x:row r="7425">
      <x:c r="A7425" s="15" t="n">
        <x:v>43831</x:v>
      </x:c>
      <x:c r="B7425" s="13" t="str">
        <x:v>LOJAS RENNER S.A.</x:v>
      </x:c>
      <x:c r="C7425" s="16" t="n">
        <x:v>1402.1232289315</x:v>
      </x:c>
      <x:c r="D7425" s="13" t="str">
        <x:v>Retail</x:v>
      </x:c>
      <x:c r="E7425" s="13" t="str">
        <x:v>Retail</x:v>
      </x:c>
      <x:c r="F7425" s="13" t="str">
        <x:v>Early Cyclicals</x:v>
      </x:c>
      <x:c r="G7425" s="13" t="str">
        <x:v>grid_cqzdsc3v.xlsx</x:v>
      </x:c>
    </x:row>
    <x:row r="7426">
      <x:c r="A7426" s="15" t="n">
        <x:v>43831</x:v>
      </x:c>
      <x:c r="B7426" s="13" t="str">
        <x:v>MAGAZINE LUIZA SA</x:v>
      </x:c>
      <x:c r="C7426" s="16" t="n">
        <x:v>796.1133939726</x:v>
      </x:c>
      <x:c r="D7426" s="13" t="str">
        <x:v>Retail</x:v>
      </x:c>
      <x:c r="E7426" s="13" t="str">
        <x:v>Retail</x:v>
      </x:c>
      <x:c r="F7426" s="13" t="str">
        <x:v>Early Cyclicals</x:v>
      </x:c>
      <x:c r="G7426" s="13" t="str">
        <x:v>grid_cqzdsc3v.xlsx</x:v>
      </x:c>
    </x:row>
    <x:row r="7427">
      <x:c r="A7427" s="15" t="n">
        <x:v>43831</x:v>
      </x:c>
      <x:c r="B7427" s="13" t="str">
        <x:v>NATURA &amp;CO HOLDING SA</x:v>
      </x:c>
      <x:c r="C7427" s="16" t="n">
        <x:v>990.1010174247</x:v>
      </x:c>
      <x:c r="D7427" s="13" t="str">
        <x:v>Retail</x:v>
      </x:c>
      <x:c r="E7427" s="13" t="str">
        <x:v>Retail</x:v>
      </x:c>
      <x:c r="F7427" s="13" t="str">
        <x:v>Early Cyclicals</x:v>
      </x:c>
      <x:c r="G7427" s="13" t="str">
        <x:v>grid_cqzdsc3v.xlsx</x:v>
      </x:c>
    </x:row>
    <x:row r="7428">
      <x:c r="A7428" s="15" t="n">
        <x:v>43831</x:v>
      </x:c>
      <x:c r="B7428" s="13" t="str">
        <x:v>RAIA DROGASIL SA</x:v>
      </x:c>
      <x:c r="C7428" s="16" t="n">
        <x:v>738.9274985205</x:v>
      </x:c>
      <x:c r="D7428" s="13" t="str">
        <x:v>Retail</x:v>
      </x:c>
      <x:c r="E7428" s="13" t="str">
        <x:v>Retail</x:v>
      </x:c>
      <x:c r="F7428" s="13" t="str">
        <x:v>Early Cyclicals</x:v>
      </x:c>
      <x:c r="G7428" s="13" t="str">
        <x:v>grid_cqzdsc3v.xlsx</x:v>
      </x:c>
    </x:row>
    <x:row r="7429">
      <x:c r="A7429" s="15" t="n">
        <x:v>43831</x:v>
      </x:c>
      <x:c r="B7429" s="13" t="str">
        <x:v>CIA SANEAMENTO BASICO DE SP</x:v>
      </x:c>
      <x:c r="C7429" s="16" t="n">
        <x:v>2733.4274980822</x:v>
      </x:c>
      <x:c r="D7429" s="13" t="str">
        <x:v>Sanitation</x:v>
      </x:c>
      <x:c r="E7429" s="13" t="str">
        <x:v>Utilities</x:v>
      </x:c>
      <x:c r="F7429" s="13" t="str">
        <x:v>Defensives</x:v>
      </x:c>
      <x:c r="G7429" s="13" t="str">
        <x:v>grid_cqzdsc3v.xlsx</x:v>
      </x:c>
    </x:row>
    <x:row r="7430">
      <x:c r="A7430" s="15" t="n">
        <x:v>43831</x:v>
      </x:c>
      <x:c r="B7430" s="13" t="str">
        <x:v>SMILES FIDELIDADE SA</x:v>
      </x:c>
      <x:c r="C7430" s="16" t="n">
        <x:v>629.5616412055</x:v>
      </x:c>
      <x:c r="D7430" s="13" t="str">
        <x:v>TMT</x:v>
      </x:c>
      <x:c r="E7430" s="13" t="str">
        <x:v>TMT</x:v>
      </x:c>
      <x:c r="F7430" s="13" t="str">
        <x:v>Early Cyclicals</x:v>
      </x:c>
      <x:c r="G7430" s="13" t="str">
        <x:v>grid_cqzdsc3v.xlsx</x:v>
      </x:c>
    </x:row>
    <x:row r="7431">
      <x:c r="A7431" s="15" t="n">
        <x:v>43831</x:v>
      </x:c>
      <x:c r="B7431" s="13" t="str">
        <x:v>TELEFONICA BRASIL S.A.-PREF</x:v>
      </x:c>
      <x:c r="C7431" s="16" t="n">
        <x:v>5845.3505683288</x:v>
      </x:c>
      <x:c r="D7431" s="13" t="str">
        <x:v>TMT</x:v>
      </x:c>
      <x:c r="E7431" s="13" t="str">
        <x:v>TMT</x:v>
      </x:c>
      <x:c r="F7431" s="13" t="str">
        <x:v>Early Cyclicals</x:v>
      </x:c>
      <x:c r="G7431" s="13" t="str">
        <x:v>grid_cqzdsc3v.xlsx</x:v>
      </x:c>
    </x:row>
    <x:row r="7432">
      <x:c r="A7432" s="15" t="n">
        <x:v>43831</x:v>
      </x:c>
      <x:c r="B7432" s="13" t="str">
        <x:v>TIM SA</x:v>
      </x:c>
      <x:c r="C7432" s="16" t="n">
        <x:v>1994.1212580822</x:v>
      </x:c>
      <x:c r="D7432" s="13" t="str">
        <x:v>TMT</x:v>
      </x:c>
      <x:c r="E7432" s="13" t="str">
        <x:v>TMT</x:v>
      </x:c>
      <x:c r="F7432" s="13" t="str">
        <x:v>Early Cyclicals</x:v>
      </x:c>
      <x:c r="G7432" s="13" t="str">
        <x:v>grid_cqzdsc3v.xlsx</x:v>
      </x:c>
    </x:row>
    <x:row r="7433">
      <x:c r="A7433" s="15" t="n">
        <x:v>43831</x:v>
      </x:c>
      <x:c r="B7433" s="13" t="str">
        <x:v>TOTVS SA</x:v>
      </x:c>
      <x:c r="C7433" s="16" t="n">
        <x:v>342.3995686575</x:v>
      </x:c>
      <x:c r="D7433" s="13" t="str">
        <x:v>TMT</x:v>
      </x:c>
      <x:c r="E7433" s="13" t="str">
        <x:v>TMT</x:v>
      </x:c>
      <x:c r="F7433" s="13" t="str">
        <x:v>Early Cyclicals</x:v>
      </x:c>
      <x:c r="G7433" s="13" t="str">
        <x:v>grid_cqzdsc3v.xlsx</x:v>
      </x:c>
    </x:row>
    <x:row r="7434">
      <x:c r="A7434" s="15" t="n">
        <x:v>43831</x:v>
      </x:c>
      <x:c r="B7434" s="13" t="str">
        <x:v>AZUL SA</x:v>
      </x:c>
      <x:c r="C7434" s="16" t="n">
        <x:v>1153.1613071781</x:v>
      </x:c>
      <x:c r="D7434" s="13" t="str">
        <x:v>Transportation</x:v>
      </x:c>
      <x:c r="E7434" s="13" t="str">
        <x:v>Transportation</x:v>
      </x:c>
      <x:c r="F7434" s="13" t="str">
        <x:v>Deep Cyclicals</x:v>
      </x:c>
      <x:c r="G7434" s="13" t="str">
        <x:v>grid_cqzdsc3v.xlsx</x:v>
      </x:c>
    </x:row>
    <x:row r="7435">
      <x:c r="A7435" s="15" t="n">
        <x:v>43831</x:v>
      </x:c>
      <x:c r="B7435" s="13" t="str">
        <x:v>ECORODOVIAS INFRA E LOG SA</x:v>
      </x:c>
      <x:c r="C7435" s="16" t="n">
        <x:v>497.7980484384</x:v>
      </x:c>
      <x:c r="D7435" s="13" t="str">
        <x:v>Transportation</x:v>
      </x:c>
      <x:c r="E7435" s="13" t="str">
        <x:v>Transportation</x:v>
      </x:c>
      <x:c r="F7435" s="13" t="str">
        <x:v>Deep Cyclicals</x:v>
      </x:c>
      <x:c r="G7435" s="13" t="str">
        <x:v>grid_cqzdsc3v.xlsx</x:v>
      </x:c>
    </x:row>
    <x:row r="7436">
      <x:c r="A7436" s="15" t="n">
        <x:v>43831</x:v>
      </x:c>
      <x:c r="B7436" s="13" t="str">
        <x:v>GOL LINHAS AEREAS INT SA-PRE</x:v>
      </x:c>
      <x:c r="C7436" s="16" t="n">
        <x:v>1082.0950391233</x:v>
      </x:c>
      <x:c r="D7436" s="13" t="str">
        <x:v>Transportation</x:v>
      </x:c>
      <x:c r="E7436" s="13" t="str">
        <x:v>Transportation</x:v>
      </x:c>
      <x:c r="F7436" s="13" t="str">
        <x:v>Deep Cyclicals</x:v>
      </x:c>
      <x:c r="G7436" s="13" t="str">
        <x:v>grid_cqzdsc3v.xlsx</x:v>
      </x:c>
    </x:row>
    <x:row r="7437">
      <x:c r="A7437" s="15" t="n">
        <x:v>43831</x:v>
      </x:c>
      <x:c r="B7437" s="13" t="str">
        <x:v>LOCALIZA RENT A CAR</x:v>
      </x:c>
      <x:c r="C7437" s="16" t="n">
        <x:v>1183.5999947397</x:v>
      </x:c>
      <x:c r="D7437" s="13" t="str">
        <x:v>Transportation</x:v>
      </x:c>
      <x:c r="E7437" s="13" t="str">
        <x:v>Transportation</x:v>
      </x:c>
      <x:c r="F7437" s="13" t="str">
        <x:v>Deep Cyclicals</x:v>
      </x:c>
      <x:c r="G7437" s="13" t="str">
        <x:v>grid_cqzdsc3v.xlsx</x:v>
      </x:c>
    </x:row>
    <x:row r="7438">
      <x:c r="A7438" s="15" t="n">
        <x:v>43831</x:v>
      </x:c>
      <x:c r="B7438" s="13" t="str">
        <x:v>MOTIVA INFRAESTRUTURA DE MOB</x:v>
      </x:c>
      <x:c r="C7438" s="16" t="n">
        <x:v>2225.0621650411</x:v>
      </x:c>
      <x:c r="D7438" s="13" t="str">
        <x:v>Transportation</x:v>
      </x:c>
      <x:c r="E7438" s="13" t="str">
        <x:v>Transportation</x:v>
      </x:c>
      <x:c r="F7438" s="13" t="str">
        <x:v>Deep Cyclicals</x:v>
      </x:c>
      <x:c r="G7438" s="13" t="str">
        <x:v>grid_cqzdsc3v.xlsx</x:v>
      </x:c>
    </x:row>
    <x:row r="7439">
      <x:c r="A7439" s="15" t="n">
        <x:v>43831</x:v>
      </x:c>
      <x:c r="B7439" s="13" t="str">
        <x:v>RUMO SA</x:v>
      </x:c>
      <x:c r="C7439" s="16" t="n">
        <x:v>1141.3712622466</x:v>
      </x:c>
      <x:c r="D7439" s="13" t="str">
        <x:v>Transportation</x:v>
      </x:c>
      <x:c r="E7439" s="13" t="str">
        <x:v>Transportation</x:v>
      </x:c>
      <x:c r="F7439" s="13" t="str">
        <x:v>Deep Cyclicals</x:v>
      </x:c>
      <x:c r="G7439" s="13" t="str">
        <x:v>grid_cqzdsc3v.xlsx</x:v>
      </x:c>
    </x:row>
    <x:row r="7440">
      <x:c r="A7440" s="15" t="n">
        <x:v>43831</x:v>
      </x:c>
      <x:c r="B7440" s="13" t="str">
        <x:v>AXIA ENERGIA SA</x:v>
      </x:c>
      <x:c r="C7440" s="16" t="n">
        <x:v>5831.6643313973</x:v>
      </x:c>
      <x:c r="D7440" s="13" t="str">
        <x:v>Utilities &amp; Energy</x:v>
      </x:c>
      <x:c r="E7440" s="13" t="str">
        <x:v>Utilities</x:v>
      </x:c>
      <x:c r="F7440" s="13" t="str">
        <x:v>Defensives</x:v>
      </x:c>
      <x:c r="G7440" s="13" t="str">
        <x:v>grid_cqzdsc3v.xlsx</x:v>
      </x:c>
    </x:row>
    <x:row r="7441">
      <x:c r="A7441" s="15" t="n">
        <x:v>43831</x:v>
      </x:c>
      <x:c r="B7441" s="13" t="str">
        <x:v>AXIA ENERGIA-PR B</x:v>
      </x:c>
      <x:c r="C7441" s="16" t="n">
        <x:v>5831.6643313973</x:v>
      </x:c>
      <x:c r="D7441" s="13" t="str">
        <x:v>Utilities &amp; Energy</x:v>
      </x:c>
      <x:c r="E7441" s="13" t="str">
        <x:v>Utilities</x:v>
      </x:c>
      <x:c r="F7441" s="13" t="str">
        <x:v>Defensives</x:v>
      </x:c>
      <x:c r="G7441" s="13" t="str">
        <x:v>grid_cqzdsc3v.xlsx</x:v>
      </x:c>
    </x:row>
    <x:row r="7442">
      <x:c r="A7442" s="15" t="n">
        <x:v>43831</x:v>
      </x:c>
      <x:c r="B7442" s="13" t="str">
        <x:v>CIA ENERGETICA MINAS GER-PRF</x:v>
      </x:c>
      <x:c r="C7442" s="16" t="n">
        <x:v>2334.9009008219</x:v>
      </x:c>
      <x:c r="D7442" s="13" t="str">
        <x:v>Utilities &amp; Energy</x:v>
      </x:c>
      <x:c r="E7442" s="13" t="str">
        <x:v>Utilities</x:v>
      </x:c>
      <x:c r="F7442" s="13" t="str">
        <x:v>Defensives</x:v>
      </x:c>
      <x:c r="G7442" s="13" t="str">
        <x:v>grid_cqzdsc3v.xlsx</x:v>
      </x:c>
    </x:row>
    <x:row r="7443">
      <x:c r="A7443" s="15" t="n">
        <x:v>43831</x:v>
      </x:c>
      <x:c r="B7443" s="13" t="str">
        <x:v>EDP - ENERGIAS DO BRASIL SA</x:v>
      </x:c>
      <x:c r="C7443" s="16" t="n">
        <x:v>951.6517724932</x:v>
      </x:c>
      <x:c r="D7443" s="13" t="str">
        <x:v>Utilities &amp; Energy</x:v>
      </x:c>
      <x:c r="E7443" s="13" t="str">
        <x:v>Utilities</x:v>
      </x:c>
      <x:c r="F7443" s="13" t="str">
        <x:v>Defensives</x:v>
      </x:c>
      <x:c r="G7443" s="13" t="str">
        <x:v>grid_cqzdsc3v.xlsx</x:v>
      </x:c>
    </x:row>
    <x:row r="7444">
      <x:c r="A7444" s="15" t="n">
        <x:v>43831</x:v>
      </x:c>
      <x:c r="B7444" s="13" t="str">
        <x:v>ENGIE BRASIL ENERGIA SA</x:v>
      </x:c>
      <x:c r="C7444" s="16" t="n">
        <x:v>2790.0643594521</x:v>
      </x:c>
      <x:c r="D7444" s="13" t="str">
        <x:v>Utilities &amp; Energy</x:v>
      </x:c>
      <x:c r="E7444" s="13" t="str">
        <x:v>Utilities</x:v>
      </x:c>
      <x:c r="F7444" s="13" t="str">
        <x:v>Defensives</x:v>
      </x:c>
      <x:c r="G7444" s="13" t="str">
        <x:v>grid_cqzdsc3v.xlsx</x:v>
      </x:c>
    </x:row>
    <x:row r="7445">
      <x:c r="A7445" s="15" t="n">
        <x:v>43831</x:v>
      </x:c>
      <x:c r="B7445" s="13" t="str">
        <x:v>EQUATORIAL SA - ORD</x:v>
      </x:c>
      <x:c r="C7445" s="16" t="n">
        <x:v>1154.7260808767</x:v>
      </x:c>
      <x:c r="D7445" s="13" t="str">
        <x:v>Utilities &amp; Energy</x:v>
      </x:c>
      <x:c r="E7445" s="13" t="str">
        <x:v>Utilities</x:v>
      </x:c>
      <x:c r="F7445" s="13" t="str">
        <x:v>Defensives</x:v>
      </x:c>
      <x:c r="G7445" s="13" t="str">
        <x:v>grid_cqzdsc3v.xlsx</x:v>
      </x:c>
    </x:row>
    <x:row r="7446">
      <x:c r="A7446" s="15" t="n">
        <x:v>43831</x:v>
      </x:c>
      <x:c r="B7446" s="13" t="str">
        <x:v>TRANSMISSORA ALIANCA DE-UNIT</x:v>
      </x:c>
      <x:c r="C7446" s="16" t="n">
        <x:v>852.3893233973</x:v>
      </x:c>
      <x:c r="D7446" s="13" t="str">
        <x:v>Utilities &amp; Energy</x:v>
      </x:c>
      <x:c r="E7446" s="13" t="str">
        <x:v>Utilities</x:v>
      </x:c>
      <x:c r="F7446" s="13" t="str">
        <x:v>Defensives</x:v>
      </x:c>
      <x:c r="G7446" s="13" t="str">
        <x:v>grid_cqzdsc3v.xlsx</x:v>
      </x:c>
    </x:row>
    <x:row r="7447">
      <x:c r="A7447" s="15" t="n">
        <x:v>43862</x:v>
      </x:c>
      <x:c r="B7447" s="13" t="str">
        <x:v>BANCO BRADESCO S.A.</x:v>
      </x:c>
      <x:c r="C7447" s="16" t="n">
        <x:v>27981.2563112329</x:v>
      </x:c>
      <x:c r="D7447" s="13" t="str">
        <x:v>Banks</x:v>
      </x:c>
      <x:c r="E7447" s="13" t="str">
        <x:v>Banks</x:v>
      </x:c>
      <x:c r="F7447" s="13" t="str">
        <x:v>Financials</x:v>
      </x:c>
      <x:c r="G7447" s="13" t="str">
        <x:v>grid_cqzdsc3v.xlsx</x:v>
      </x:c>
    </x:row>
    <x:row r="7448">
      <x:c r="A7448" s="15" t="n">
        <x:v>43862</x:v>
      </x:c>
      <x:c r="B7448" s="13" t="str">
        <x:v>BANCO BRADESCO SA-PREF</x:v>
      </x:c>
      <x:c r="C7448" s="16" t="n">
        <x:v>27981.2563112329</x:v>
      </x:c>
      <x:c r="D7448" s="13" t="str">
        <x:v>Banks</x:v>
      </x:c>
      <x:c r="E7448" s="13" t="str">
        <x:v>Banks</x:v>
      </x:c>
      <x:c r="F7448" s="13" t="str">
        <x:v>Financials</x:v>
      </x:c>
      <x:c r="G7448" s="13" t="str">
        <x:v>grid_cqzdsc3v.xlsx</x:v>
      </x:c>
    </x:row>
    <x:row r="7449">
      <x:c r="A7449" s="15" t="n">
        <x:v>43862</x:v>
      </x:c>
      <x:c r="B7449" s="13" t="str">
        <x:v>BANCO BTG PACTUAL SA-UNIT</x:v>
      </x:c>
      <x:c r="C7449" s="16" t="n">
        <x:v>4248.1979455123</x:v>
      </x:c>
      <x:c r="D7449" s="13" t="str">
        <x:v>Banks</x:v>
      </x:c>
      <x:c r="E7449" s="13" t="str">
        <x:v>Banks</x:v>
      </x:c>
      <x:c r="F7449" s="13" t="str">
        <x:v>Financials</x:v>
      </x:c>
      <x:c r="G7449" s="13" t="str">
        <x:v>grid_cqzdsc3v.xlsx</x:v>
      </x:c>
    </x:row>
    <x:row r="7450">
      <x:c r="A7450" s="15" t="n">
        <x:v>43862</x:v>
      </x:c>
      <x:c r="B7450" s="13" t="str">
        <x:v>BANCO DO BRASIL S.A.</x:v>
      </x:c>
      <x:c r="C7450" s="16" t="n">
        <x:v>19678.6096885479</x:v>
      </x:c>
      <x:c r="D7450" s="13" t="str">
        <x:v>Banks</x:v>
      </x:c>
      <x:c r="E7450" s="13" t="str">
        <x:v>Banks</x:v>
      </x:c>
      <x:c r="F7450" s="13" t="str">
        <x:v>Financials</x:v>
      </x:c>
      <x:c r="G7450" s="13" t="str">
        <x:v>grid_cqzdsc3v.xlsx</x:v>
      </x:c>
    </x:row>
    <x:row r="7451">
      <x:c r="A7451" s="15" t="n">
        <x:v>43862</x:v>
      </x:c>
      <x:c r="B7451" s="13" t="str">
        <x:v>BANCO SANTANDER  BRASIL-UNIT</x:v>
      </x:c>
      <x:c r="C7451" s="16" t="n">
        <x:v>15122.5310025644</x:v>
      </x:c>
      <x:c r="D7451" s="13" t="str">
        <x:v>Banks</x:v>
      </x:c>
      <x:c r="E7451" s="13" t="str">
        <x:v>Banks</x:v>
      </x:c>
      <x:c r="F7451" s="13" t="str">
        <x:v>Financials</x:v>
      </x:c>
      <x:c r="G7451" s="13" t="str">
        <x:v>grid_cqzdsc3v.xlsx</x:v>
      </x:c>
    </x:row>
    <x:row r="7452">
      <x:c r="A7452" s="15" t="n">
        <x:v>43862</x:v>
      </x:c>
      <x:c r="B7452" s="13" t="str">
        <x:v>ITAU UNIBANCO HOLDING S-PREF</x:v>
      </x:c>
      <x:c r="C7452" s="16" t="n">
        <x:v>29669.3961545644</x:v>
      </x:c>
      <x:c r="D7452" s="13" t="str">
        <x:v>Banks</x:v>
      </x:c>
      <x:c r="E7452" s="13" t="str">
        <x:v>Banks</x:v>
      </x:c>
      <x:c r="F7452" s="13" t="str">
        <x:v>Financials</x:v>
      </x:c>
      <x:c r="G7452" s="13" t="str">
        <x:v>grid_cqzdsc3v.xlsx</x:v>
      </x:c>
    </x:row>
    <x:row r="7453">
      <x:c r="A7453" s="15" t="n">
        <x:v>43862</x:v>
      </x:c>
      <x:c r="B7453" s="13" t="str">
        <x:v>EMBRAER SA</x:v>
      </x:c>
      <x:c r="C7453" s="16" t="n">
        <x:v>708.8309803836</x:v>
      </x:c>
      <x:c r="D7453" s="13" t="str">
        <x:v>Capital Goods</x:v>
      </x:c>
      <x:c r="E7453" s="13" t="str">
        <x:v>Capital Goods</x:v>
      </x:c>
      <x:c r="F7453" s="13" t="str">
        <x:v>Deep Cyclicals</x:v>
      </x:c>
      <x:c r="G7453" s="13" t="str">
        <x:v>grid_cqzdsc3v.xlsx</x:v>
      </x:c>
    </x:row>
    <x:row r="7454">
      <x:c r="A7454" s="15" t="n">
        <x:v>43862</x:v>
      </x:c>
      <x:c r="B7454" s="13" t="str">
        <x:v>WEG SA</x:v>
      </x:c>
      <x:c r="C7454" s="16" t="n">
        <x:v>1935.7116303781</x:v>
      </x:c>
      <x:c r="D7454" s="13" t="str">
        <x:v>Capital Goods</x:v>
      </x:c>
      <x:c r="E7454" s="13" t="str">
        <x:v>Capital Goods</x:v>
      </x:c>
      <x:c r="F7454" s="13" t="str">
        <x:v>Deep Cyclicals</x:v>
      </x:c>
      <x:c r="G7454" s="13" t="str">
        <x:v>grid_cqzdsc3v.xlsx</x:v>
      </x:c>
    </x:row>
    <x:row r="7455">
      <x:c r="A7455" s="15" t="n">
        <x:v>43862</x:v>
      </x:c>
      <x:c r="B7455" s="13" t="str">
        <x:v>COGNA EDUCACAO</x:v>
      </x:c>
      <x:c r="C7455" s="16" t="n">
        <x:v>966.4840163945</x:v>
      </x:c>
      <x:c r="D7455" s="13" t="str">
        <x:v>Education</x:v>
      </x:c>
      <x:c r="E7455" s="13" t="str">
        <x:v>Education</x:v>
      </x:c>
      <x:c r="F7455" s="13" t="str">
        <x:v>Early Cyclicals</x:v>
      </x:c>
      <x:c r="G7455" s="13" t="str">
        <x:v>grid_cqzdsc3v.xlsx</x:v>
      </x:c>
    </x:row>
    <x:row r="7456">
      <x:c r="A7456" s="15" t="n">
        <x:v>43862</x:v>
      </x:c>
      <x:c r="B7456" s="13" t="str">
        <x:v>YDUQS PARTICIPACOES SA</x:v>
      </x:c>
      <x:c r="C7456" s="16" t="n">
        <x:v>882.7328497973</x:v>
      </x:c>
      <x:c r="D7456" s="13" t="str">
        <x:v>Education</x:v>
      </x:c>
      <x:c r="E7456" s="13" t="str">
        <x:v>Education</x:v>
      </x:c>
      <x:c r="F7456" s="13" t="str">
        <x:v>Early Cyclicals</x:v>
      </x:c>
      <x:c r="G7456" s="13" t="str">
        <x:v>grid_cqzdsc3v.xlsx</x:v>
      </x:c>
    </x:row>
    <x:row r="7457">
      <x:c r="A7457" s="15" t="n">
        <x:v>43862</x:v>
      </x:c>
      <x:c r="B7457" s="13" t="str">
        <x:v>B3 SA-BRASIL BOLSA BALCAO</x:v>
      </x:c>
      <x:c r="C7457" s="16" t="n">
        <x:v>3760.0527205699</x:v>
      </x:c>
      <x:c r="D7457" s="13" t="str">
        <x:v>Financials Non-Banks</x:v>
      </x:c>
      <x:c r="E7457" s="13" t="str">
        <x:v>Financials Non-Banks</x:v>
      </x:c>
      <x:c r="F7457" s="13" t="str">
        <x:v>Financials</x:v>
      </x:c>
      <x:c r="G7457" s="13" t="str">
        <x:v>grid_cqzdsc3v.xlsx</x:v>
      </x:c>
    </x:row>
    <x:row r="7458">
      <x:c r="A7458" s="15" t="n">
        <x:v>43862</x:v>
      </x:c>
      <x:c r="B7458" s="13" t="str">
        <x:v>BB SEGURIDADE PARTICIPACOES</x:v>
      </x:c>
      <x:c r="C7458" s="16" t="n">
        <x:v>4409.895084537</x:v>
      </x:c>
      <x:c r="D7458" s="13" t="str">
        <x:v>Financials Non-Banks</x:v>
      </x:c>
      <x:c r="E7458" s="13" t="str">
        <x:v>Financials Non-Banks</x:v>
      </x:c>
      <x:c r="F7458" s="13" t="str">
        <x:v>Financials</x:v>
      </x:c>
      <x:c r="G7458" s="13" t="str">
        <x:v>grid_cqzdsc3v.xlsx</x:v>
      </x:c>
    </x:row>
    <x:row r="7459">
      <x:c r="A7459" s="15" t="n">
        <x:v>43862</x:v>
      </x:c>
      <x:c r="B7459" s="13" t="str">
        <x:v>CIELO SA</x:v>
      </x:c>
      <x:c r="C7459" s="16" t="n">
        <x:v>1397.9962739726</x:v>
      </x:c>
      <x:c r="D7459" s="13" t="str">
        <x:v>Financials Non-Banks</x:v>
      </x:c>
      <x:c r="E7459" s="13" t="str">
        <x:v>Financials Non-Banks</x:v>
      </x:c>
      <x:c r="F7459" s="13" t="str">
        <x:v>Financials</x:v>
      </x:c>
      <x:c r="G7459" s="13" t="str">
        <x:v>Ibovespa_earnings_consolidated.xlsx</x:v>
      </x:c>
    </x:row>
    <x:row r="7460">
      <x:c r="A7460" s="15" t="n">
        <x:v>43862</x:v>
      </x:c>
      <x:c r="B7460" s="13" t="str">
        <x:v>CIELO SA - INSTITUICAO DE PA</x:v>
      </x:c>
      <x:c r="C7460" s="16" t="n">
        <x:v>1397.9962739726</x:v>
      </x:c>
      <x:c r="D7460" s="13" t="str">
        <x:v>Financials Non-Banks</x:v>
      </x:c>
      <x:c r="E7460" s="13" t="str">
        <x:v>Financials Non-Banks</x:v>
      </x:c>
      <x:c r="F7460" s="13" t="str">
        <x:v>Financials</x:v>
      </x:c>
      <x:c r="G7460" s="13" t="str">
        <x:v>grid_cqzdsc3v.xlsx</x:v>
      </x:c>
    </x:row>
    <x:row r="7461">
      <x:c r="A7461" s="15" t="n">
        <x:v>43862</x:v>
      </x:c>
      <x:c r="B7461" s="13" t="str">
        <x:v>IRB BRASIL RESSEGUROS SA</x:v>
      </x:c>
      <x:c r="C7461" s="16" t="n">
        <x:v>2009.5514992219</x:v>
      </x:c>
      <x:c r="D7461" s="13" t="str">
        <x:v>Financials Non-Banks</x:v>
      </x:c>
      <x:c r="E7461" s="13" t="str">
        <x:v>Financials Non-Banks</x:v>
      </x:c>
      <x:c r="F7461" s="13" t="str">
        <x:v>Financials</x:v>
      </x:c>
      <x:c r="G7461" s="13" t="str">
        <x:v>grid_cqzdsc3v.xlsx</x:v>
      </x:c>
    </x:row>
    <x:row r="7462">
      <x:c r="A7462" s="15" t="n">
        <x:v>43862</x:v>
      </x:c>
      <x:c r="B7462" s="13" t="str">
        <x:v>ITAUSA SA</x:v>
      </x:c>
      <x:c r="C7462" s="16" t="n">
        <x:v>10659.5397547836</x:v>
      </x:c>
      <x:c r="D7462" s="13" t="str">
        <x:v>Financials Non-Banks</x:v>
      </x:c>
      <x:c r="E7462" s="13" t="str">
        <x:v>Financials Non-Banks</x:v>
      </x:c>
      <x:c r="F7462" s="13" t="str">
        <x:v>Financials</x:v>
      </x:c>
      <x:c r="G7462" s="13" t="str">
        <x:v>grid_cqzdsc3v.xlsx</x:v>
      </x:c>
    </x:row>
    <x:row r="7463">
      <x:c r="A7463" s="15" t="n">
        <x:v>43862</x:v>
      </x:c>
      <x:c r="B7463" s="13" t="str">
        <x:v>AMBEV SA</x:v>
      </x:c>
      <x:c r="C7463" s="16" t="n">
        <x:v>13006.8303843945</x:v>
      </x:c>
      <x:c r="D7463" s="13" t="str">
        <x:v>Food &amp; Beverages</x:v>
      </x:c>
      <x:c r="E7463" s="13" t="str">
        <x:v>Agri, Food &amp; Beverages</x:v>
      </x:c>
      <x:c r="F7463" s="13" t="str">
        <x:v>Defensives</x:v>
      </x:c>
      <x:c r="G7463" s="13" t="str">
        <x:v>grid_cqzdsc3v.xlsx</x:v>
      </x:c>
    </x:row>
    <x:row r="7464">
      <x:c r="A7464" s="15" t="n">
        <x:v>43862</x:v>
      </x:c>
      <x:c r="B7464" s="13" t="str">
        <x:v>BRF SA</x:v>
      </x:c>
      <x:c r="C7464" s="16" t="n">
        <x:v>1317.2537736767</x:v>
      </x:c>
      <x:c r="D7464" s="13" t="str">
        <x:v>Food &amp; Beverages</x:v>
      </x:c>
      <x:c r="E7464" s="13" t="str">
        <x:v>Agri, Food &amp; Beverages</x:v>
      </x:c>
      <x:c r="F7464" s="13" t="str">
        <x:v>Defensives</x:v>
      </x:c>
      <x:c r="G7464" s="13" t="str">
        <x:v>grid_cqzdsc3v.xlsx</x:v>
      </x:c>
    </x:row>
    <x:row r="7465">
      <x:c r="A7465" s="15" t="n">
        <x:v>43862</x:v>
      </x:c>
      <x:c r="B7465" s="13" t="str">
        <x:v>JBS SA</x:v>
      </x:c>
      <x:c r="C7465" s="16" t="n">
        <x:v>7262.902643726</x:v>
      </x:c>
      <x:c r="D7465" s="13" t="str">
        <x:v>Food &amp; Beverages</x:v>
      </x:c>
      <x:c r="E7465" s="13" t="str">
        <x:v>Agri, Food &amp; Beverages</x:v>
      </x:c>
      <x:c r="F7465" s="13" t="str">
        <x:v>Defensives</x:v>
      </x:c>
      <x:c r="G7465" s="13" t="str">
        <x:v>grid_cqzdsc3v.xlsx</x:v>
      </x:c>
    </x:row>
    <x:row r="7466">
      <x:c r="A7466" s="15" t="n">
        <x:v>43862</x:v>
      </x:c>
      <x:c r="B7466" s="13" t="str">
        <x:v>MBRF GLOBAL FOODS COMPANY SA</x:v>
      </x:c>
      <x:c r="C7466" s="16" t="n">
        <x:v>800.9810547726</x:v>
      </x:c>
      <x:c r="D7466" s="13" t="str">
        <x:v>Food &amp; Beverages</x:v>
      </x:c>
      <x:c r="E7466" s="13" t="str">
        <x:v>Agri, Food &amp; Beverages</x:v>
      </x:c>
      <x:c r="F7466" s="13" t="str">
        <x:v>Defensives</x:v>
      </x:c>
      <x:c r="G7466" s="13" t="str">
        <x:v>grid_cqzdsc3v.xlsx</x:v>
      </x:c>
    </x:row>
    <x:row r="7467">
      <x:c r="A7467" s="15" t="n">
        <x:v>43862</x:v>
      </x:c>
      <x:c r="B7467" s="13" t="str">
        <x:v>FLEURY SA</x:v>
      </x:c>
      <x:c r="C7467" s="16" t="n">
        <x:v>405.2652054795</x:v>
      </x:c>
      <x:c r="D7467" s="13" t="str">
        <x:v>Health Care</x:v>
      </x:c>
      <x:c r="E7467" s="13" t="str">
        <x:v>Health Care</x:v>
      </x:c>
      <x:c r="F7467" s="13" t="str">
        <x:v>Defensives</x:v>
      </x:c>
      <x:c r="G7467" s="13" t="str">
        <x:v>grid_cqzdsc3v.xlsx</x:v>
      </x:c>
    </x:row>
    <x:row r="7468">
      <x:c r="A7468" s="15" t="n">
        <x:v>43862</x:v>
      </x:c>
      <x:c r="B7468" s="13" t="str">
        <x:v>HAPVIDA PARTICIPACOES E INVE</x:v>
      </x:c>
      <x:c r="C7468" s="16" t="n">
        <x:v>1092.1578145315</x:v>
      </x:c>
      <x:c r="D7468" s="13" t="str">
        <x:v>Health Care</x:v>
      </x:c>
      <x:c r="E7468" s="13" t="str">
        <x:v>Health Care</x:v>
      </x:c>
      <x:c r="F7468" s="13" t="str">
        <x:v>Defensives</x:v>
      </x:c>
      <x:c r="G7468" s="13" t="str">
        <x:v>grid_cqzdsc3v.xlsx</x:v>
      </x:c>
    </x:row>
    <x:row r="7469">
      <x:c r="A7469" s="15" t="n">
        <x:v>43862</x:v>
      </x:c>
      <x:c r="B7469" s="13" t="str">
        <x:v>HYPERA SA</x:v>
      </x:c>
      <x:c r="C7469" s="16" t="n">
        <x:v>1205.8850756384</x:v>
      </x:c>
      <x:c r="D7469" s="13" t="str">
        <x:v>Health Care</x:v>
      </x:c>
      <x:c r="E7469" s="13" t="str">
        <x:v>Health Care</x:v>
      </x:c>
      <x:c r="F7469" s="13" t="str">
        <x:v>Defensives</x:v>
      </x:c>
      <x:c r="G7469" s="13" t="str">
        <x:v>grid_cqzdsc3v.xlsx</x:v>
      </x:c>
    </x:row>
    <x:row r="7470">
      <x:c r="A7470" s="15" t="n">
        <x:v>43862</x:v>
      </x:c>
      <x:c r="B7470" s="13" t="str">
        <x:v>NOTRE DAME INTERMED PAR SA</x:v>
      </x:c>
      <x:c r="C7470" s="16" t="n">
        <x:v>885.6487860603</x:v>
      </x:c>
      <x:c r="D7470" s="13" t="str">
        <x:v>Health Care</x:v>
      </x:c>
      <x:c r="E7470" s="13" t="str">
        <x:v>Health Care</x:v>
      </x:c>
      <x:c r="F7470" s="13" t="str">
        <x:v>Defensives</x:v>
      </x:c>
      <x:c r="G7470" s="13" t="str">
        <x:v>grid_cqzdsc3v.xlsx</x:v>
      </x:c>
    </x:row>
    <x:row r="7471">
      <x:c r="A7471" s="15" t="n">
        <x:v>43862</x:v>
      </x:c>
      <x:c r="B7471" s="13" t="str">
        <x:v>QUALICORP CONS E CORR SEG SA</x:v>
      </x:c>
      <x:c r="C7471" s="16" t="n">
        <x:v>582.149317611</x:v>
      </x:c>
      <x:c r="D7471" s="13" t="str">
        <x:v>Health Care</x:v>
      </x:c>
      <x:c r="E7471" s="13" t="str">
        <x:v>Health Care</x:v>
      </x:c>
      <x:c r="F7471" s="13" t="str">
        <x:v>Defensives</x:v>
      </x:c>
      <x:c r="G7471" s="13" t="str">
        <x:v>grid_cqzdsc3v.xlsx</x:v>
      </x:c>
    </x:row>
    <x:row r="7472">
      <x:c r="A7472" s="15" t="n">
        <x:v>43862</x:v>
      </x:c>
      <x:c r="B7472" s="13" t="str">
        <x:v>SUL AMERICA SA - UNITS</x:v>
      </x:c>
      <x:c r="C7472" s="16" t="n">
        <x:v>1171.2378196164</x:v>
      </x:c>
      <x:c r="D7472" s="13" t="str">
        <x:v>Health Care</x:v>
      </x:c>
      <x:c r="E7472" s="13" t="str">
        <x:v>Health Care</x:v>
      </x:c>
      <x:c r="F7472" s="13" t="str">
        <x:v>Defensives</x:v>
      </x:c>
      <x:c r="G7472" s="13" t="str">
        <x:v>grid_cqzdsc3v.xlsx</x:v>
      </x:c>
    </x:row>
    <x:row r="7473">
      <x:c r="A7473" s="15" t="n">
        <x:v>43862</x:v>
      </x:c>
      <x:c r="B7473" s="13" t="str">
        <x:v>CYRELA BRAZIL REALTY SA EMP</x:v>
      </x:c>
      <x:c r="C7473" s="16" t="n">
        <x:v>616.1906849315</x:v>
      </x:c>
      <x:c r="D7473" s="13" t="str">
        <x:v>Homebuilders</x:v>
      </x:c>
      <x:c r="E7473" s="13" t="str">
        <x:v>Real Estate</x:v>
      </x:c>
      <x:c r="F7473" s="13" t="str">
        <x:v>Early Cyclicals</x:v>
      </x:c>
      <x:c r="G7473" s="13" t="str">
        <x:v>grid_cqzdsc3v.xlsx</x:v>
      </x:c>
    </x:row>
    <x:row r="7474">
      <x:c r="A7474" s="15" t="n">
        <x:v>43862</x:v>
      </x:c>
      <x:c r="B7474" s="13" t="str">
        <x:v>MRV ENGENHARIA</x:v>
      </x:c>
      <x:c r="C7474" s="16" t="n">
        <x:v>774.5763976767</x:v>
      </x:c>
      <x:c r="D7474" s="13" t="str">
        <x:v>Homebuilders</x:v>
      </x:c>
      <x:c r="E7474" s="13" t="str">
        <x:v>Real Estate</x:v>
      </x:c>
      <x:c r="F7474" s="13" t="str">
        <x:v>Early Cyclicals</x:v>
      </x:c>
      <x:c r="G7474" s="13" t="str">
        <x:v>grid_cqzdsc3v.xlsx</x:v>
      </x:c>
    </x:row>
    <x:row r="7475">
      <x:c r="A7475" s="15" t="n">
        <x:v>43862</x:v>
      </x:c>
      <x:c r="B7475" s="13" t="str">
        <x:v>BR MALLS PARTICIPACOES SA</x:v>
      </x:c>
      <x:c r="C7475" s="16" t="n">
        <x:v>742.4410958904</x:v>
      </x:c>
      <x:c r="D7475" s="13" t="str">
        <x:v>Income Properties</x:v>
      </x:c>
      <x:c r="E7475" s="13" t="str">
        <x:v>Real Estate</x:v>
      </x:c>
      <x:c r="F7475" s="13" t="str">
        <x:v>Early Cyclicals</x:v>
      </x:c>
      <x:c r="G7475" s="13" t="str">
        <x:v>grid_cqzdsc3v.xlsx</x:v>
      </x:c>
    </x:row>
    <x:row r="7476">
      <x:c r="A7476" s="15" t="n">
        <x:v>43862</x:v>
      </x:c>
      <x:c r="B7476" s="13" t="str">
        <x:v>IGUATEMI EMP DE SHOPPING</x:v>
      </x:c>
      <x:c r="C7476" s="16" t="n">
        <x:v>326.2364383562</x:v>
      </x:c>
      <x:c r="D7476" s="13" t="str">
        <x:v>Income Properties</x:v>
      </x:c>
      <x:c r="E7476" s="13" t="str">
        <x:v>Real Estate</x:v>
      </x:c>
      <x:c r="F7476" s="13" t="str">
        <x:v>Early Cyclicals</x:v>
      </x:c>
      <x:c r="G7476" s="13" t="str">
        <x:v>grid_cqzdsc3v.xlsx</x:v>
      </x:c>
    </x:row>
    <x:row r="7477">
      <x:c r="A7477" s="15" t="n">
        <x:v>43862</x:v>
      </x:c>
      <x:c r="B7477" s="13" t="str">
        <x:v>MULTIPLAN EMPREENDIMENTOS</x:v>
      </x:c>
      <x:c r="C7477" s="16" t="n">
        <x:v>605.0821968658</x:v>
      </x:c>
      <x:c r="D7477" s="13" t="str">
        <x:v>Income Properties</x:v>
      </x:c>
      <x:c r="E7477" s="13" t="str">
        <x:v>Real Estate</x:v>
      </x:c>
      <x:c r="F7477" s="13" t="str">
        <x:v>Early Cyclicals</x:v>
      </x:c>
      <x:c r="G7477" s="13" t="str">
        <x:v>grid_cqzdsc3v.xlsx</x:v>
      </x:c>
    </x:row>
    <x:row r="7478">
      <x:c r="A7478" s="15" t="n">
        <x:v>43862</x:v>
      </x:c>
      <x:c r="B7478" s="13" t="str">
        <x:v>BRADESPAR SA -PREF</x:v>
      </x:c>
      <x:c r="C7478" s="16" t="n">
        <x:v>1721.4725656548</x:v>
      </x:c>
      <x:c r="D7478" s="13" t="str">
        <x:v>Metals &amp; Mining</x:v>
      </x:c>
      <x:c r="E7478" s="13" t="str">
        <x:v>Metals &amp; Mining</x:v>
      </x:c>
      <x:c r="F7478" s="13" t="str">
        <x:v>Deep Cyclicals</x:v>
      </x:c>
      <x:c r="G7478" s="13" t="str">
        <x:v>grid_cqzdsc3v.xlsx</x:v>
      </x:c>
    </x:row>
    <x:row r="7479">
      <x:c r="A7479" s="15" t="n">
        <x:v>43862</x:v>
      </x:c>
      <x:c r="B7479" s="13" t="str">
        <x:v>CIA SIDERURGICA NACIONAL SA</x:v>
      </x:c>
      <x:c r="C7479" s="16" t="n">
        <x:v>2198.2670181699</x:v>
      </x:c>
      <x:c r="D7479" s="13" t="str">
        <x:v>Metals &amp; Mining</x:v>
      </x:c>
      <x:c r="E7479" s="13" t="str">
        <x:v>Metals &amp; Mining</x:v>
      </x:c>
      <x:c r="F7479" s="13" t="str">
        <x:v>Deep Cyclicals</x:v>
      </x:c>
      <x:c r="G7479" s="13" t="str">
        <x:v>grid_cqzdsc3v.xlsx</x:v>
      </x:c>
    </x:row>
    <x:row r="7480">
      <x:c r="A7480" s="15" t="n">
        <x:v>43862</x:v>
      </x:c>
      <x:c r="B7480" s="13" t="str">
        <x:v>GERDAU SA-PREF</x:v>
      </x:c>
      <x:c r="C7480" s="16" t="n">
        <x:v>2556.5069073534</x:v>
      </x:c>
      <x:c r="D7480" s="13" t="str">
        <x:v>Metals &amp; Mining</x:v>
      </x:c>
      <x:c r="E7480" s="13" t="str">
        <x:v>Metals &amp; Mining</x:v>
      </x:c>
      <x:c r="F7480" s="13" t="str">
        <x:v>Deep Cyclicals</x:v>
      </x:c>
      <x:c r="G7480" s="13" t="str">
        <x:v>grid_cqzdsc3v.xlsx</x:v>
      </x:c>
    </x:row>
    <x:row r="7481">
      <x:c r="A7481" s="15" t="n">
        <x:v>43862</x:v>
      </x:c>
      <x:c r="B7481" s="13" t="str">
        <x:v>USINAS SIDER MINAS GER-PF A</x:v>
      </x:c>
      <x:c r="C7481" s="16" t="n">
        <x:v>762.0238967233</x:v>
      </x:c>
      <x:c r="D7481" s="13" t="str">
        <x:v>Metals &amp; Mining</x:v>
      </x:c>
      <x:c r="E7481" s="13" t="str">
        <x:v>Metals &amp; Mining</x:v>
      </x:c>
      <x:c r="F7481" s="13" t="str">
        <x:v>Deep Cyclicals</x:v>
      </x:c>
      <x:c r="G7481" s="13" t="str">
        <x:v>grid_cqzdsc3v.xlsx</x:v>
      </x:c>
    </x:row>
    <x:row r="7482">
      <x:c r="A7482" s="15" t="n">
        <x:v>43862</x:v>
      </x:c>
      <x:c r="B7482" s="13" t="str">
        <x:v>VALE SA</x:v>
      </x:c>
      <x:c r="C7482" s="16" t="n">
        <x:v>36332.9922482849</x:v>
      </x:c>
      <x:c r="D7482" s="13" t="str">
        <x:v>Metals &amp; Mining</x:v>
      </x:c>
      <x:c r="E7482" s="13" t="str">
        <x:v>Metals &amp; Mining</x:v>
      </x:c>
      <x:c r="F7482" s="13" t="str">
        <x:v>Deep Cyclicals</x:v>
      </x:c>
      <x:c r="G7482" s="13" t="str">
        <x:v>grid_cqzdsc3v.xlsx</x:v>
      </x:c>
    </x:row>
    <x:row r="7483">
      <x:c r="A7483" s="15" t="n">
        <x:v>43862</x:v>
      </x:c>
      <x:c r="B7483" s="13" t="str">
        <x:v>BRASKEM SA-PREF A</x:v>
      </x:c>
      <x:c r="C7483" s="16" t="n">
        <x:v>-304.5550684932</x:v>
      </x:c>
      <x:c r="D7483" s="13" t="str">
        <x:v>Oil, Gas &amp; Petrochemicals</x:v>
      </x:c>
      <x:c r="E7483" s="13" t="str">
        <x:v>Oil, Gas &amp; Petrochemicals</x:v>
      </x:c>
      <x:c r="F7483" s="13" t="str">
        <x:v>Deep Cyclicals</x:v>
      </x:c>
      <x:c r="G7483" s="13" t="str">
        <x:v>grid_cqzdsc3v.xlsx</x:v>
      </x:c>
    </x:row>
    <x:row r="7484">
      <x:c r="A7484" s="15" t="n">
        <x:v>43862</x:v>
      </x:c>
      <x:c r="B7484" s="13" t="str">
        <x:v>COSAN SA</x:v>
      </x:c>
      <x:c r="C7484" s="16" t="n">
        <x:v>2139.138348537</x:v>
      </x:c>
      <x:c r="D7484" s="13" t="str">
        <x:v>Oil, Gas &amp; Petrochemicals</x:v>
      </x:c>
      <x:c r="E7484" s="13" t="str">
        <x:v>Oil, Gas &amp; Petrochemicals</x:v>
      </x:c>
      <x:c r="F7484" s="13" t="str">
        <x:v>Deep Cyclicals</x:v>
      </x:c>
      <x:c r="G7484" s="13" t="str">
        <x:v>grid_cqzdsc3v.xlsx</x:v>
      </x:c>
    </x:row>
    <x:row r="7485">
      <x:c r="A7485" s="15" t="n">
        <x:v>43862</x:v>
      </x:c>
      <x:c r="B7485" s="13" t="str">
        <x:v>PETROBRAS - PETROLEO BRAS</x:v>
      </x:c>
      <x:c r="C7485" s="16" t="n">
        <x:v>36448.8134936548</x:v>
      </x:c>
      <x:c r="D7485" s="13" t="str">
        <x:v>Oil, Gas &amp; Petrochemicals</x:v>
      </x:c>
      <x:c r="E7485" s="13" t="str">
        <x:v>Oil, Gas &amp; Petrochemicals</x:v>
      </x:c>
      <x:c r="F7485" s="13" t="str">
        <x:v>Deep Cyclicals</x:v>
      </x:c>
      <x:c r="G7485" s="13" t="str">
        <x:v>grid_cqzdsc3v.xlsx</x:v>
      </x:c>
    </x:row>
    <x:row r="7486">
      <x:c r="A7486" s="15" t="n">
        <x:v>43862</x:v>
      </x:c>
      <x:c r="B7486" s="13" t="str">
        <x:v>ULTRAPAR PARTICIPACOES SA</x:v>
      </x:c>
      <x:c r="C7486" s="16" t="n">
        <x:v>1302.170297863</x:v>
      </x:c>
      <x:c r="D7486" s="13" t="str">
        <x:v>Oil, Gas &amp; Petrochemicals</x:v>
      </x:c>
      <x:c r="E7486" s="13" t="str">
        <x:v>Oil, Gas &amp; Petrochemicals</x:v>
      </x:c>
      <x:c r="F7486" s="13" t="str">
        <x:v>Deep Cyclicals</x:v>
      </x:c>
      <x:c r="G7486" s="13" t="str">
        <x:v>grid_cqzdsc3v.xlsx</x:v>
      </x:c>
    </x:row>
    <x:row r="7487">
      <x:c r="A7487" s="15" t="n">
        <x:v>43862</x:v>
      </x:c>
      <x:c r="B7487" s="13" t="str">
        <x:v>VIBRA ENERGIA SA</x:v>
      </x:c>
      <x:c r="C7487" s="16" t="n">
        <x:v>1864.8797973041</x:v>
      </x:c>
      <x:c r="D7487" s="13" t="str">
        <x:v>Oil, Gas &amp; Petrochemicals</x:v>
      </x:c>
      <x:c r="E7487" s="13" t="str">
        <x:v>Oil, Gas &amp; Petrochemicals</x:v>
      </x:c>
      <x:c r="F7487" s="13" t="str">
        <x:v>Deep Cyclicals</x:v>
      </x:c>
      <x:c r="G7487" s="13" t="str">
        <x:v>grid_cqzdsc3v.xlsx</x:v>
      </x:c>
    </x:row>
    <x:row r="7488">
      <x:c r="A7488" s="15" t="n">
        <x:v>43862</x:v>
      </x:c>
      <x:c r="B7488" s="13" t="str">
        <x:v>KLABIN SA - UNIT</x:v>
      </x:c>
      <x:c r="C7488" s="16" t="n">
        <x:v>739.4133977425</x:v>
      </x:c>
      <x:c r="D7488" s="13" t="str">
        <x:v>Pulp &amp; Paper</x:v>
      </x:c>
      <x:c r="E7488" s="13" t="str">
        <x:v>Pulp &amp; Paper</x:v>
      </x:c>
      <x:c r="F7488" s="13" t="str">
        <x:v>Deep Cyclicals</x:v>
      </x:c>
      <x:c r="G7488" s="13" t="str">
        <x:v>grid_cqzdsc3v.xlsx</x:v>
      </x:c>
    </x:row>
    <x:row r="7489">
      <x:c r="A7489" s="15" t="n">
        <x:v>43862</x:v>
      </x:c>
      <x:c r="B7489" s="13" t="str">
        <x:v>SUZANO SA</x:v>
      </x:c>
      <x:c r="C7489" s="16" t="n">
        <x:v>1807.8345205479</x:v>
      </x:c>
      <x:c r="D7489" s="13" t="str">
        <x:v>Pulp &amp; Paper</x:v>
      </x:c>
      <x:c r="E7489" s="13" t="str">
        <x:v>Pulp &amp; Paper</x:v>
      </x:c>
      <x:c r="F7489" s="13" t="str">
        <x:v>Deep Cyclicals</x:v>
      </x:c>
      <x:c r="G7489" s="13" t="str">
        <x:v>grid_cqzdsc3v.xlsx</x:v>
      </x:c>
    </x:row>
    <x:row r="7490">
      <x:c r="A7490" s="15" t="n">
        <x:v>43862</x:v>
      </x:c>
      <x:c r="B7490" s="13" t="str">
        <x:v>AMERICANAS SA</x:v>
      </x:c>
      <x:c r="C7490" s="16" t="n">
        <x:v>-55.4300679452</x:v>
      </x:c>
      <x:c r="D7490" s="13" t="str">
        <x:v>Retail</x:v>
      </x:c>
      <x:c r="E7490" s="13" t="str">
        <x:v>Retail</x:v>
      </x:c>
      <x:c r="F7490" s="13" t="str">
        <x:v>Early Cyclicals</x:v>
      </x:c>
      <x:c r="G7490" s="13" t="str">
        <x:v>grid_cqzdsc3v.xlsx</x:v>
      </x:c>
    </x:row>
    <x:row r="7491">
      <x:c r="A7491" s="15" t="n">
        <x:v>43862</x:v>
      </x:c>
      <x:c r="B7491" s="13" t="str">
        <x:v>ATACADAO SA</x:v>
      </x:c>
      <x:c r="C7491" s="16" t="n">
        <x:v>2145.5507207014</x:v>
      </x:c>
      <x:c r="D7491" s="13" t="str">
        <x:v>Retail</x:v>
      </x:c>
      <x:c r="E7491" s="13" t="str">
        <x:v>Retail</x:v>
      </x:c>
      <x:c r="F7491" s="13" t="str">
        <x:v>Early Cyclicals</x:v>
      </x:c>
      <x:c r="G7491" s="13" t="str">
        <x:v>grid_cqzdsc3v.xlsx</x:v>
      </x:c>
    </x:row>
    <x:row r="7492">
      <x:c r="A7492" s="15" t="n">
        <x:v>43862</x:v>
      </x:c>
      <x:c r="B7492" s="13" t="str">
        <x:v>CIA BRASILEIRA DE DIS-PREF</x:v>
      </x:c>
      <x:c r="C7492" s="16" t="n">
        <x:v>1389.6239233753</x:v>
      </x:c>
      <x:c r="D7492" s="13" t="str">
        <x:v>Retail</x:v>
      </x:c>
      <x:c r="E7492" s="13" t="str">
        <x:v>Retail</x:v>
      </x:c>
      <x:c r="F7492" s="13" t="str">
        <x:v>Early Cyclicals</x:v>
      </x:c>
      <x:c r="G7492" s="13" t="str">
        <x:v>grid_cqzdsc3v.xlsx</x:v>
      </x:c>
    </x:row>
    <x:row r="7493">
      <x:c r="A7493" s="15" t="n">
        <x:v>43862</x:v>
      </x:c>
      <x:c r="B7493" s="13" t="str">
        <x:v>CIA HERING</x:v>
      </x:c>
      <x:c r="C7493" s="16" t="n">
        <x:v>260.5254794521</x:v>
      </x:c>
      <x:c r="D7493" s="13" t="str">
        <x:v>Retail</x:v>
      </x:c>
      <x:c r="E7493" s="13" t="str">
        <x:v>Retail</x:v>
      </x:c>
      <x:c r="F7493" s="13" t="str">
        <x:v>Early Cyclicals</x:v>
      </x:c>
      <x:c r="G7493" s="13" t="str">
        <x:v>grid_cqzdsc3v.xlsx</x:v>
      </x:c>
    </x:row>
    <x:row r="7494">
      <x:c r="A7494" s="15" t="n">
        <x:v>43862</x:v>
      </x:c>
      <x:c r="B7494" s="13" t="str">
        <x:v>CVC BRASIL OPERADORA E AGENC</x:v>
      </x:c>
      <x:c r="C7494" s="16" t="n">
        <x:v>323.6459491945</x:v>
      </x:c>
      <x:c r="D7494" s="13" t="str">
        <x:v>Retail</x:v>
      </x:c>
      <x:c r="E7494" s="13" t="str">
        <x:v>Retail</x:v>
      </x:c>
      <x:c r="F7494" s="13" t="str">
        <x:v>Early Cyclicals</x:v>
      </x:c>
      <x:c r="G7494" s="13" t="str">
        <x:v>grid_cqzdsc3v.xlsx</x:v>
      </x:c>
    </x:row>
    <x:row r="7495">
      <x:c r="A7495" s="15" t="n">
        <x:v>43862</x:v>
      </x:c>
      <x:c r="B7495" s="13" t="str">
        <x:v>GRUPO CASAS BAHIA SA</x:v>
      </x:c>
      <x:c r="C7495" s="16" t="n">
        <x:v>431.7026972055</x:v>
      </x:c>
      <x:c r="D7495" s="13" t="str">
        <x:v>Retail</x:v>
      </x:c>
      <x:c r="E7495" s="13" t="str">
        <x:v>Retail</x:v>
      </x:c>
      <x:c r="F7495" s="13" t="str">
        <x:v>Early Cyclicals</x:v>
      </x:c>
      <x:c r="G7495" s="13" t="str">
        <x:v>grid_cqzdsc3v.xlsx</x:v>
      </x:c>
    </x:row>
    <x:row r="7496">
      <x:c r="A7496" s="15" t="n">
        <x:v>43862</x:v>
      </x:c>
      <x:c r="B7496" s="13" t="str">
        <x:v>LOJAS AMERICANAS SA-PREF</x:v>
      </x:c>
      <x:c r="C7496" s="16" t="n">
        <x:v>899.666450411</x:v>
      </x:c>
      <x:c r="D7496" s="13" t="str">
        <x:v>Retail</x:v>
      </x:c>
      <x:c r="E7496" s="13" t="str">
        <x:v>Retail</x:v>
      </x:c>
      <x:c r="F7496" s="13" t="str">
        <x:v>Early Cyclicals</x:v>
      </x:c>
      <x:c r="G7496" s="13" t="str">
        <x:v>grid_cqzdsc3v.xlsx</x:v>
      </x:c>
    </x:row>
    <x:row r="7497">
      <x:c r="A7497" s="15" t="n">
        <x:v>43862</x:v>
      </x:c>
      <x:c r="B7497" s="13" t="str">
        <x:v>LOJAS RENNER S.A.</x:v>
      </x:c>
      <x:c r="C7497" s="16" t="n">
        <x:v>1393.239161337</x:v>
      </x:c>
      <x:c r="D7497" s="13" t="str">
        <x:v>Retail</x:v>
      </x:c>
      <x:c r="E7497" s="13" t="str">
        <x:v>Retail</x:v>
      </x:c>
      <x:c r="F7497" s="13" t="str">
        <x:v>Early Cyclicals</x:v>
      </x:c>
      <x:c r="G7497" s="13" t="str">
        <x:v>grid_cqzdsc3v.xlsx</x:v>
      </x:c>
    </x:row>
    <x:row r="7498">
      <x:c r="A7498" s="15" t="n">
        <x:v>43862</x:v>
      </x:c>
      <x:c r="B7498" s="13" t="str">
        <x:v>MAGAZINE LUIZA SA</x:v>
      </x:c>
      <x:c r="C7498" s="16" t="n">
        <x:v>759.7640612822</x:v>
      </x:c>
      <x:c r="D7498" s="13" t="str">
        <x:v>Retail</x:v>
      </x:c>
      <x:c r="E7498" s="13" t="str">
        <x:v>Retail</x:v>
      </x:c>
      <x:c r="F7498" s="13" t="str">
        <x:v>Early Cyclicals</x:v>
      </x:c>
      <x:c r="G7498" s="13" t="str">
        <x:v>grid_cqzdsc3v.xlsx</x:v>
      </x:c>
    </x:row>
    <x:row r="7499">
      <x:c r="A7499" s="15" t="n">
        <x:v>43862</x:v>
      </x:c>
      <x:c r="B7499" s="13" t="str">
        <x:v>NATURA &amp;CO HOLDING SA</x:v>
      </x:c>
      <x:c r="C7499" s="16" t="n">
        <x:v>939.2220074082</x:v>
      </x:c>
      <x:c r="D7499" s="13" t="str">
        <x:v>Retail</x:v>
      </x:c>
      <x:c r="E7499" s="13" t="str">
        <x:v>Retail</x:v>
      </x:c>
      <x:c r="F7499" s="13" t="str">
        <x:v>Early Cyclicals</x:v>
      </x:c>
      <x:c r="G7499" s="13" t="str">
        <x:v>grid_cqzdsc3v.xlsx</x:v>
      </x:c>
    </x:row>
    <x:row r="7500">
      <x:c r="A7500" s="15" t="n">
        <x:v>43862</x:v>
      </x:c>
      <x:c r="B7500" s="13" t="str">
        <x:v>RAIA DROGASIL SA</x:v>
      </x:c>
      <x:c r="C7500" s="16" t="n">
        <x:v>765.879724537</x:v>
      </x:c>
      <x:c r="D7500" s="13" t="str">
        <x:v>Retail</x:v>
      </x:c>
      <x:c r="E7500" s="13" t="str">
        <x:v>Retail</x:v>
      </x:c>
      <x:c r="F7500" s="13" t="str">
        <x:v>Early Cyclicals</x:v>
      </x:c>
      <x:c r="G7500" s="13" t="str">
        <x:v>grid_cqzdsc3v.xlsx</x:v>
      </x:c>
    </x:row>
    <x:row r="7501">
      <x:c r="A7501" s="15" t="n">
        <x:v>43862</x:v>
      </x:c>
      <x:c r="B7501" s="13" t="str">
        <x:v>CIA SANEAMENTO BASICO DE SP</x:v>
      </x:c>
      <x:c r="C7501" s="16" t="n">
        <x:v>2830.5446217644</x:v>
      </x:c>
      <x:c r="D7501" s="13" t="str">
        <x:v>Sanitation</x:v>
      </x:c>
      <x:c r="E7501" s="13" t="str">
        <x:v>Utilities</x:v>
      </x:c>
      <x:c r="F7501" s="13" t="str">
        <x:v>Defensives</x:v>
      </x:c>
      <x:c r="G7501" s="13" t="str">
        <x:v>grid_cqzdsc3v.xlsx</x:v>
      </x:c>
    </x:row>
    <x:row r="7502">
      <x:c r="A7502" s="15" t="n">
        <x:v>43862</x:v>
      </x:c>
      <x:c r="B7502" s="13" t="str">
        <x:v>SMILES FIDELIDADE SA</x:v>
      </x:c>
      <x:c r="C7502" s="16" t="n">
        <x:v>584.194515463</x:v>
      </x:c>
      <x:c r="D7502" s="13" t="str">
        <x:v>TMT</x:v>
      </x:c>
      <x:c r="E7502" s="13" t="str">
        <x:v>TMT</x:v>
      </x:c>
      <x:c r="F7502" s="13" t="str">
        <x:v>Early Cyclicals</x:v>
      </x:c>
      <x:c r="G7502" s="13" t="str">
        <x:v>grid_cqzdsc3v.xlsx</x:v>
      </x:c>
    </x:row>
    <x:row r="7503">
      <x:c r="A7503" s="15" t="n">
        <x:v>43862</x:v>
      </x:c>
      <x:c r="B7503" s="13" t="str">
        <x:v>TELEFONICA BRASIL S.A.-PREF</x:v>
      </x:c>
      <x:c r="C7503" s="16" t="n">
        <x:v>5762.0134575342</x:v>
      </x:c>
      <x:c r="D7503" s="13" t="str">
        <x:v>TMT</x:v>
      </x:c>
      <x:c r="E7503" s="13" t="str">
        <x:v>TMT</x:v>
      </x:c>
      <x:c r="F7503" s="13" t="str">
        <x:v>Early Cyclicals</x:v>
      </x:c>
      <x:c r="G7503" s="13" t="str">
        <x:v>grid_cqzdsc3v.xlsx</x:v>
      </x:c>
    </x:row>
    <x:row r="7504">
      <x:c r="A7504" s="15" t="n">
        <x:v>43862</x:v>
      </x:c>
      <x:c r="B7504" s="13" t="str">
        <x:v>TIM SA</x:v>
      </x:c>
      <x:c r="C7504" s="16" t="n">
        <x:v>1993.9887822904</x:v>
      </x:c>
      <x:c r="D7504" s="13" t="str">
        <x:v>TMT</x:v>
      </x:c>
      <x:c r="E7504" s="13" t="str">
        <x:v>TMT</x:v>
      </x:c>
      <x:c r="F7504" s="13" t="str">
        <x:v>Early Cyclicals</x:v>
      </x:c>
      <x:c r="G7504" s="13" t="str">
        <x:v>grid_cqzdsc3v.xlsx</x:v>
      </x:c>
    </x:row>
    <x:row r="7505">
      <x:c r="A7505" s="15" t="n">
        <x:v>43862</x:v>
      </x:c>
      <x:c r="B7505" s="13" t="str">
        <x:v>TOTVS SA</x:v>
      </x:c>
      <x:c r="C7505" s="16" t="n">
        <x:v>347.1980821918</x:v>
      </x:c>
      <x:c r="D7505" s="13" t="str">
        <x:v>TMT</x:v>
      </x:c>
      <x:c r="E7505" s="13" t="str">
        <x:v>TMT</x:v>
      </x:c>
      <x:c r="F7505" s="13" t="str">
        <x:v>Early Cyclicals</x:v>
      </x:c>
      <x:c r="G7505" s="13" t="str">
        <x:v>grid_cqzdsc3v.xlsx</x:v>
      </x:c>
    </x:row>
    <x:row r="7506">
      <x:c r="A7506" s="15" t="n">
        <x:v>43862</x:v>
      </x:c>
      <x:c r="B7506" s="13" t="str">
        <x:v>AZUL SA</x:v>
      </x:c>
      <x:c r="C7506" s="16" t="n">
        <x:v>1193.083328526</x:v>
      </x:c>
      <x:c r="D7506" s="13" t="str">
        <x:v>Transportation</x:v>
      </x:c>
      <x:c r="E7506" s="13" t="str">
        <x:v>Transportation</x:v>
      </x:c>
      <x:c r="F7506" s="13" t="str">
        <x:v>Deep Cyclicals</x:v>
      </x:c>
      <x:c r="G7506" s="13" t="str">
        <x:v>grid_cqzdsc3v.xlsx</x:v>
      </x:c>
    </x:row>
    <x:row r="7507">
      <x:c r="A7507" s="15" t="n">
        <x:v>43862</x:v>
      </x:c>
      <x:c r="B7507" s="13" t="str">
        <x:v>ECORODOVIAS INFRA E LOG SA</x:v>
      </x:c>
      <x:c r="C7507" s="16" t="n">
        <x:v>505.0503382795</x:v>
      </x:c>
      <x:c r="D7507" s="13" t="str">
        <x:v>Transportation</x:v>
      </x:c>
      <x:c r="E7507" s="13" t="str">
        <x:v>Transportation</x:v>
      </x:c>
      <x:c r="F7507" s="13" t="str">
        <x:v>Deep Cyclicals</x:v>
      </x:c>
      <x:c r="G7507" s="13" t="str">
        <x:v>grid_cqzdsc3v.xlsx</x:v>
      </x:c>
    </x:row>
    <x:row r="7508">
      <x:c r="A7508" s="15" t="n">
        <x:v>43862</x:v>
      </x:c>
      <x:c r="B7508" s="13" t="str">
        <x:v>GOL LINHAS AEREAS INT SA-PRE</x:v>
      </x:c>
      <x:c r="C7508" s="16" t="n">
        <x:v>1253.8966882192</x:v>
      </x:c>
      <x:c r="D7508" s="13" t="str">
        <x:v>Transportation</x:v>
      </x:c>
      <x:c r="E7508" s="13" t="str">
        <x:v>Transportation</x:v>
      </x:c>
      <x:c r="F7508" s="13" t="str">
        <x:v>Deep Cyclicals</x:v>
      </x:c>
      <x:c r="G7508" s="13" t="str">
        <x:v>grid_cqzdsc3v.xlsx</x:v>
      </x:c>
    </x:row>
    <x:row r="7509">
      <x:c r="A7509" s="15" t="n">
        <x:v>43862</x:v>
      </x:c>
      <x:c r="B7509" s="13" t="str">
        <x:v>LOCALIZA RENT A CAR</x:v>
      </x:c>
      <x:c r="C7509" s="16" t="n">
        <x:v>1222.9578110247</x:v>
      </x:c>
      <x:c r="D7509" s="13" t="str">
        <x:v>Transportation</x:v>
      </x:c>
      <x:c r="E7509" s="13" t="str">
        <x:v>Transportation</x:v>
      </x:c>
      <x:c r="F7509" s="13" t="str">
        <x:v>Deep Cyclicals</x:v>
      </x:c>
      <x:c r="G7509" s="13" t="str">
        <x:v>grid_cqzdsc3v.xlsx</x:v>
      </x:c>
    </x:row>
    <x:row r="7510">
      <x:c r="A7510" s="15" t="n">
        <x:v>43862</x:v>
      </x:c>
      <x:c r="B7510" s="13" t="str">
        <x:v>MOTIVA INFRAESTRUTURA DE MOB</x:v>
      </x:c>
      <x:c r="C7510" s="16" t="n">
        <x:v>2175.2612948164</x:v>
      </x:c>
      <x:c r="D7510" s="13" t="str">
        <x:v>Transportation</x:v>
      </x:c>
      <x:c r="E7510" s="13" t="str">
        <x:v>Transportation</x:v>
      </x:c>
      <x:c r="F7510" s="13" t="str">
        <x:v>Deep Cyclicals</x:v>
      </x:c>
      <x:c r="G7510" s="13" t="str">
        <x:v>grid_cqzdsc3v.xlsx</x:v>
      </x:c>
    </x:row>
    <x:row r="7511">
      <x:c r="A7511" s="15" t="n">
        <x:v>43862</x:v>
      </x:c>
      <x:c r="B7511" s="13" t="str">
        <x:v>RUMO SA</x:v>
      </x:c>
      <x:c r="C7511" s="16" t="n">
        <x:v>1144.3150570959</x:v>
      </x:c>
      <x:c r="D7511" s="13" t="str">
        <x:v>Transportation</x:v>
      </x:c>
      <x:c r="E7511" s="13" t="str">
        <x:v>Transportation</x:v>
      </x:c>
      <x:c r="F7511" s="13" t="str">
        <x:v>Deep Cyclicals</x:v>
      </x:c>
      <x:c r="G7511" s="13" t="str">
        <x:v>grid_cqzdsc3v.xlsx</x:v>
      </x:c>
    </x:row>
    <x:row r="7512">
      <x:c r="A7512" s="15" t="n">
        <x:v>43862</x:v>
      </x:c>
      <x:c r="B7512" s="13" t="str">
        <x:v>AXIA ENERGIA SA</x:v>
      </x:c>
      <x:c r="C7512" s="16" t="n">
        <x:v>6510.3544768877</x:v>
      </x:c>
      <x:c r="D7512" s="13" t="str">
        <x:v>Utilities &amp; Energy</x:v>
      </x:c>
      <x:c r="E7512" s="13" t="str">
        <x:v>Utilities</x:v>
      </x:c>
      <x:c r="F7512" s="13" t="str">
        <x:v>Defensives</x:v>
      </x:c>
      <x:c r="G7512" s="13" t="str">
        <x:v>grid_cqzdsc3v.xlsx</x:v>
      </x:c>
    </x:row>
    <x:row r="7513">
      <x:c r="A7513" s="15" t="n">
        <x:v>43862</x:v>
      </x:c>
      <x:c r="B7513" s="13" t="str">
        <x:v>AXIA ENERGIA-PR B</x:v>
      </x:c>
      <x:c r="C7513" s="16" t="n">
        <x:v>6510.3544768877</x:v>
      </x:c>
      <x:c r="D7513" s="13" t="str">
        <x:v>Utilities &amp; Energy</x:v>
      </x:c>
      <x:c r="E7513" s="13" t="str">
        <x:v>Utilities</x:v>
      </x:c>
      <x:c r="F7513" s="13" t="str">
        <x:v>Defensives</x:v>
      </x:c>
      <x:c r="G7513" s="13" t="str">
        <x:v>grid_cqzdsc3v.xlsx</x:v>
      </x:c>
    </x:row>
    <x:row r="7514">
      <x:c r="A7514" s="15" t="n">
        <x:v>43862</x:v>
      </x:c>
      <x:c r="B7514" s="13" t="str">
        <x:v>CIA ENERGETICA MINAS GER-PRF</x:v>
      </x:c>
      <x:c r="C7514" s="16" t="n">
        <x:v>2320.4354707288</x:v>
      </x:c>
      <x:c r="D7514" s="13" t="str">
        <x:v>Utilities &amp; Energy</x:v>
      </x:c>
      <x:c r="E7514" s="13" t="str">
        <x:v>Utilities</x:v>
      </x:c>
      <x:c r="F7514" s="13" t="str">
        <x:v>Defensives</x:v>
      </x:c>
      <x:c r="G7514" s="13" t="str">
        <x:v>grid_cqzdsc3v.xlsx</x:v>
      </x:c>
    </x:row>
    <x:row r="7515">
      <x:c r="A7515" s="15" t="n">
        <x:v>43862</x:v>
      </x:c>
      <x:c r="B7515" s="13" t="str">
        <x:v>EDP - ENERGIAS DO BRASIL SA</x:v>
      </x:c>
      <x:c r="C7515" s="16" t="n">
        <x:v>966.3005596055</x:v>
      </x:c>
      <x:c r="D7515" s="13" t="str">
        <x:v>Utilities &amp; Energy</x:v>
      </x:c>
      <x:c r="E7515" s="13" t="str">
        <x:v>Utilities</x:v>
      </x:c>
      <x:c r="F7515" s="13" t="str">
        <x:v>Defensives</x:v>
      </x:c>
      <x:c r="G7515" s="13" t="str">
        <x:v>grid_cqzdsc3v.xlsx</x:v>
      </x:c>
    </x:row>
    <x:row r="7516">
      <x:c r="A7516" s="15" t="n">
        <x:v>43862</x:v>
      </x:c>
      <x:c r="B7516" s="13" t="str">
        <x:v>ENGIE BRASIL ENERGIA SA</x:v>
      </x:c>
      <x:c r="C7516" s="16" t="n">
        <x:v>2865.2008412932</x:v>
      </x:c>
      <x:c r="D7516" s="13" t="str">
        <x:v>Utilities &amp; Energy</x:v>
      </x:c>
      <x:c r="E7516" s="13" t="str">
        <x:v>Utilities</x:v>
      </x:c>
      <x:c r="F7516" s="13" t="str">
        <x:v>Defensives</x:v>
      </x:c>
      <x:c r="G7516" s="13" t="str">
        <x:v>grid_cqzdsc3v.xlsx</x:v>
      </x:c>
    </x:row>
    <x:row r="7517">
      <x:c r="A7517" s="15" t="n">
        <x:v>43862</x:v>
      </x:c>
      <x:c r="B7517" s="13" t="str">
        <x:v>EQUATORIAL SA - ORD</x:v>
      </x:c>
      <x:c r="C7517" s="16" t="n">
        <x:v>1222.6823143452</x:v>
      </x:c>
      <x:c r="D7517" s="13" t="str">
        <x:v>Utilities &amp; Energy</x:v>
      </x:c>
      <x:c r="E7517" s="13" t="str">
        <x:v>Utilities</x:v>
      </x:c>
      <x:c r="F7517" s="13" t="str">
        <x:v>Defensives</x:v>
      </x:c>
      <x:c r="G7517" s="13" t="str">
        <x:v>grid_cqzdsc3v.xlsx</x:v>
      </x:c>
    </x:row>
    <x:row r="7518">
      <x:c r="A7518" s="15" t="n">
        <x:v>43862</x:v>
      </x:c>
      <x:c r="B7518" s="13" t="str">
        <x:v>TRANSMISSORA ALIANCA DE-UNIT</x:v>
      </x:c>
      <x:c r="C7518" s="16" t="n">
        <x:v>872.1191806247</x:v>
      </x:c>
      <x:c r="D7518" s="13" t="str">
        <x:v>Utilities &amp; Energy</x:v>
      </x:c>
      <x:c r="E7518" s="13" t="str">
        <x:v>Utilities</x:v>
      </x:c>
      <x:c r="F7518" s="13" t="str">
        <x:v>Defensives</x:v>
      </x:c>
      <x:c r="G7518" s="13" t="str">
        <x:v>grid_cqzdsc3v.xlsx</x:v>
      </x:c>
    </x:row>
    <x:row r="7519">
      <x:c r="A7519" s="15" t="n">
        <x:v>43891</x:v>
      </x:c>
      <x:c r="B7519" s="13" t="str">
        <x:v>BANCO BRADESCO S.A.</x:v>
      </x:c>
      <x:c r="C7519" s="16" t="n">
        <x:v>26815.7410542466</x:v>
      </x:c>
      <x:c r="D7519" s="13" t="str">
        <x:v>Banks</x:v>
      </x:c>
      <x:c r="E7519" s="13" t="str">
        <x:v>Banks</x:v>
      </x:c>
      <x:c r="F7519" s="13" t="str">
        <x:v>Financials</x:v>
      </x:c>
      <x:c r="G7519" s="13" t="str">
        <x:v>grid_cqzdsc3v.xlsx</x:v>
      </x:c>
    </x:row>
    <x:row r="7520">
      <x:c r="A7520" s="15" t="n">
        <x:v>43891</x:v>
      </x:c>
      <x:c r="B7520" s="13" t="str">
        <x:v>BANCO BRADESCO SA-PREF</x:v>
      </x:c>
      <x:c r="C7520" s="16" t="n">
        <x:v>26815.7410542466</x:v>
      </x:c>
      <x:c r="D7520" s="13" t="str">
        <x:v>Banks</x:v>
      </x:c>
      <x:c r="E7520" s="13" t="str">
        <x:v>Banks</x:v>
      </x:c>
      <x:c r="F7520" s="13" t="str">
        <x:v>Financials</x:v>
      </x:c>
      <x:c r="G7520" s="13" t="str">
        <x:v>grid_cqzdsc3v.xlsx</x:v>
      </x:c>
    </x:row>
    <x:row r="7521">
      <x:c r="A7521" s="15" t="n">
        <x:v>43891</x:v>
      </x:c>
      <x:c r="B7521" s="13" t="str">
        <x:v>BANCO BTG PACTUAL SA-UNIT</x:v>
      </x:c>
      <x:c r="C7521" s="16" t="n">
        <x:v>3951.797970411</x:v>
      </x:c>
      <x:c r="D7521" s="13" t="str">
        <x:v>Banks</x:v>
      </x:c>
      <x:c r="E7521" s="13" t="str">
        <x:v>Banks</x:v>
      </x:c>
      <x:c r="F7521" s="13" t="str">
        <x:v>Financials</x:v>
      </x:c>
      <x:c r="G7521" s="13" t="str">
        <x:v>grid_cqzdsc3v.xlsx</x:v>
      </x:c>
    </x:row>
    <x:row r="7522">
      <x:c r="A7522" s="15" t="n">
        <x:v>43891</x:v>
      </x:c>
      <x:c r="B7522" s="13" t="str">
        <x:v>BANCO DO BRASIL S.A.</x:v>
      </x:c>
      <x:c r="C7522" s="16" t="n">
        <x:v>19162.6118803288</x:v>
      </x:c>
      <x:c r="D7522" s="13" t="str">
        <x:v>Banks</x:v>
      </x:c>
      <x:c r="E7522" s="13" t="str">
        <x:v>Banks</x:v>
      </x:c>
      <x:c r="F7522" s="13" t="str">
        <x:v>Financials</x:v>
      </x:c>
      <x:c r="G7522" s="13" t="str">
        <x:v>grid_cqzdsc3v.xlsx</x:v>
      </x:c>
    </x:row>
    <x:row r="7523">
      <x:c r="A7523" s="15" t="n">
        <x:v>43891</x:v>
      </x:c>
      <x:c r="B7523" s="13" t="str">
        <x:v>BANCO SANTANDER  BRASIL-UNIT</x:v>
      </x:c>
      <x:c r="C7523" s="16" t="n">
        <x:v>14888.3833196712</x:v>
      </x:c>
      <x:c r="D7523" s="13" t="str">
        <x:v>Banks</x:v>
      </x:c>
      <x:c r="E7523" s="13" t="str">
        <x:v>Banks</x:v>
      </x:c>
      <x:c r="F7523" s="13" t="str">
        <x:v>Financials</x:v>
      </x:c>
      <x:c r="G7523" s="13" t="str">
        <x:v>grid_cqzdsc3v.xlsx</x:v>
      </x:c>
    </x:row>
    <x:row r="7524">
      <x:c r="A7524" s="15" t="n">
        <x:v>43891</x:v>
      </x:c>
      <x:c r="B7524" s="13" t="str">
        <x:v>ITAU UNIBANCO HOLDING S-PREF</x:v>
      </x:c>
      <x:c r="C7524" s="16" t="n">
        <x:v>28882.7388633425</x:v>
      </x:c>
      <x:c r="D7524" s="13" t="str">
        <x:v>Banks</x:v>
      </x:c>
      <x:c r="E7524" s="13" t="str">
        <x:v>Banks</x:v>
      </x:c>
      <x:c r="F7524" s="13" t="str">
        <x:v>Financials</x:v>
      </x:c>
      <x:c r="G7524" s="13" t="str">
        <x:v>grid_cqzdsc3v.xlsx</x:v>
      </x:c>
    </x:row>
    <x:row r="7525">
      <x:c r="A7525" s="15" t="n">
        <x:v>43891</x:v>
      </x:c>
      <x:c r="B7525" s="13" t="str">
        <x:v>EMBRAER SA</x:v>
      </x:c>
      <x:c r="C7525" s="16" t="n">
        <x:v>288.6163541918</x:v>
      </x:c>
      <x:c r="D7525" s="13" t="str">
        <x:v>Capital Goods</x:v>
      </x:c>
      <x:c r="E7525" s="13" t="str">
        <x:v>Capital Goods</x:v>
      </x:c>
      <x:c r="F7525" s="13" t="str">
        <x:v>Deep Cyclicals</x:v>
      </x:c>
      <x:c r="G7525" s="13" t="str">
        <x:v>grid_cqzdsc3v.xlsx</x:v>
      </x:c>
    </x:row>
    <x:row r="7526">
      <x:c r="A7526" s="15" t="n">
        <x:v>43891</x:v>
      </x:c>
      <x:c r="B7526" s="13" t="str">
        <x:v>WEG SA</x:v>
      </x:c>
      <x:c r="C7526" s="16" t="n">
        <x:v>1952.2362652055</x:v>
      </x:c>
      <x:c r="D7526" s="13" t="str">
        <x:v>Capital Goods</x:v>
      </x:c>
      <x:c r="E7526" s="13" t="str">
        <x:v>Capital Goods</x:v>
      </x:c>
      <x:c r="F7526" s="13" t="str">
        <x:v>Deep Cyclicals</x:v>
      </x:c>
      <x:c r="G7526" s="13" t="str">
        <x:v>grid_cqzdsc3v.xlsx</x:v>
      </x:c>
    </x:row>
    <x:row r="7527">
      <x:c r="A7527" s="15" t="n">
        <x:v>43891</x:v>
      </x:c>
      <x:c r="B7527" s="13" t="str">
        <x:v>COGNA EDUCACAO</x:v>
      </x:c>
      <x:c r="C7527" s="16" t="n">
        <x:v>908.7260195068</x:v>
      </x:c>
      <x:c r="D7527" s="13" t="str">
        <x:v>Education</x:v>
      </x:c>
      <x:c r="E7527" s="13" t="str">
        <x:v>Education</x:v>
      </x:c>
      <x:c r="F7527" s="13" t="str">
        <x:v>Early Cyclicals</x:v>
      </x:c>
      <x:c r="G7527" s="13" t="str">
        <x:v>grid_cqzdsc3v.xlsx</x:v>
      </x:c>
    </x:row>
    <x:row r="7528">
      <x:c r="A7528" s="15" t="n">
        <x:v>43891</x:v>
      </x:c>
      <x:c r="B7528" s="13" t="str">
        <x:v>YDUQS PARTICIPACOES SA</x:v>
      </x:c>
      <x:c r="C7528" s="16" t="n">
        <x:v>885.9430136986</x:v>
      </x:c>
      <x:c r="D7528" s="13" t="str">
        <x:v>Education</x:v>
      </x:c>
      <x:c r="E7528" s="13" t="str">
        <x:v>Education</x:v>
      </x:c>
      <x:c r="F7528" s="13" t="str">
        <x:v>Early Cyclicals</x:v>
      </x:c>
      <x:c r="G7528" s="13" t="str">
        <x:v>grid_cqzdsc3v.xlsx</x:v>
      </x:c>
    </x:row>
    <x:row r="7529">
      <x:c r="A7529" s="15" t="n">
        <x:v>43891</x:v>
      </x:c>
      <x:c r="B7529" s="13" t="str">
        <x:v>B3 SA-BRASIL BOLSA BALCAO</x:v>
      </x:c>
      <x:c r="C7529" s="16" t="n">
        <x:v>3773.6504670685</x:v>
      </x:c>
      <x:c r="D7529" s="13" t="str">
        <x:v>Financials Non-Banks</x:v>
      </x:c>
      <x:c r="E7529" s="13" t="str">
        <x:v>Financials Non-Banks</x:v>
      </x:c>
      <x:c r="F7529" s="13" t="str">
        <x:v>Financials</x:v>
      </x:c>
      <x:c r="G7529" s="13" t="str">
        <x:v>grid_cqzdsc3v.xlsx</x:v>
      </x:c>
    </x:row>
    <x:row r="7530">
      <x:c r="A7530" s="15" t="n">
        <x:v>43891</x:v>
      </x:c>
      <x:c r="B7530" s="13" t="str">
        <x:v>BB SEGURIDADE PARTICIPACOES</x:v>
      </x:c>
      <x:c r="C7530" s="16" t="n">
        <x:v>4384.8298643288</x:v>
      </x:c>
      <x:c r="D7530" s="13" t="str">
        <x:v>Financials Non-Banks</x:v>
      </x:c>
      <x:c r="E7530" s="13" t="str">
        <x:v>Financials Non-Banks</x:v>
      </x:c>
      <x:c r="F7530" s="13" t="str">
        <x:v>Financials</x:v>
      </x:c>
      <x:c r="G7530" s="13" t="str">
        <x:v>grid_cqzdsc3v.xlsx</x:v>
      </x:c>
    </x:row>
    <x:row r="7531">
      <x:c r="A7531" s="15" t="n">
        <x:v>43891</x:v>
      </x:c>
      <x:c r="B7531" s="13" t="str">
        <x:v>CIELO SA</x:v>
      </x:c>
      <x:c r="C7531" s="16" t="n">
        <x:v>1264.323328</x:v>
      </x:c>
      <x:c r="D7531" s="13" t="str">
        <x:v>Financials Non-Banks</x:v>
      </x:c>
      <x:c r="E7531" s="13" t="str">
        <x:v>Financials Non-Banks</x:v>
      </x:c>
      <x:c r="F7531" s="13" t="str">
        <x:v>Financials</x:v>
      </x:c>
      <x:c r="G7531" s="13" t="str">
        <x:v>Ibovespa_earnings_consolidated.xlsx</x:v>
      </x:c>
    </x:row>
    <x:row r="7532">
      <x:c r="A7532" s="15" t="n">
        <x:v>43891</x:v>
      </x:c>
      <x:c r="B7532" s="13" t="str">
        <x:v>CIELO SA - INSTITUICAO DE PA</x:v>
      </x:c>
      <x:c r="C7532" s="16" t="n">
        <x:v>1264.323328</x:v>
      </x:c>
      <x:c r="D7532" s="13" t="str">
        <x:v>Financials Non-Banks</x:v>
      </x:c>
      <x:c r="E7532" s="13" t="str">
        <x:v>Financials Non-Banks</x:v>
      </x:c>
      <x:c r="F7532" s="13" t="str">
        <x:v>Financials</x:v>
      </x:c>
      <x:c r="G7532" s="13" t="str">
        <x:v>grid_cqzdsc3v.xlsx</x:v>
      </x:c>
    </x:row>
    <x:row r="7533">
      <x:c r="A7533" s="15" t="n">
        <x:v>43891</x:v>
      </x:c>
      <x:c r="B7533" s="13" t="str">
        <x:v>IRB BRASIL RESSEGUROS SA</x:v>
      </x:c>
      <x:c r="C7533" s="16" t="n">
        <x:v>1957.7493391781</x:v>
      </x:c>
      <x:c r="D7533" s="13" t="str">
        <x:v>Financials Non-Banks</x:v>
      </x:c>
      <x:c r="E7533" s="13" t="str">
        <x:v>Financials Non-Banks</x:v>
      </x:c>
      <x:c r="F7533" s="13" t="str">
        <x:v>Financials</x:v>
      </x:c>
      <x:c r="G7533" s="13" t="str">
        <x:v>grid_cqzdsc3v.xlsx</x:v>
      </x:c>
    </x:row>
    <x:row r="7534">
      <x:c r="A7534" s="15" t="n">
        <x:v>43891</x:v>
      </x:c>
      <x:c r="B7534" s="13" t="str">
        <x:v>ITAUSA SA</x:v>
      </x:c>
      <x:c r="C7534" s="16" t="n">
        <x:v>10278.5409052055</x:v>
      </x:c>
      <x:c r="D7534" s="13" t="str">
        <x:v>Financials Non-Banks</x:v>
      </x:c>
      <x:c r="E7534" s="13" t="str">
        <x:v>Financials Non-Banks</x:v>
      </x:c>
      <x:c r="F7534" s="13" t="str">
        <x:v>Financials</x:v>
      </x:c>
      <x:c r="G7534" s="13" t="str">
        <x:v>grid_cqzdsc3v.xlsx</x:v>
      </x:c>
    </x:row>
    <x:row r="7535">
      <x:c r="A7535" s="15" t="n">
        <x:v>43891</x:v>
      </x:c>
      <x:c r="B7535" s="13" t="str">
        <x:v>AMBEV SA</x:v>
      </x:c>
      <x:c r="C7535" s="16" t="n">
        <x:v>11728.288697863</x:v>
      </x:c>
      <x:c r="D7535" s="13" t="str">
        <x:v>Food &amp; Beverages</x:v>
      </x:c>
      <x:c r="E7535" s="13" t="str">
        <x:v>Agri, Food &amp; Beverages</x:v>
      </x:c>
      <x:c r="F7535" s="13" t="str">
        <x:v>Defensives</x:v>
      </x:c>
      <x:c r="G7535" s="13" t="str">
        <x:v>grid_cqzdsc3v.xlsx</x:v>
      </x:c>
    </x:row>
    <x:row r="7536">
      <x:c r="A7536" s="15" t="n">
        <x:v>43891</x:v>
      </x:c>
      <x:c r="B7536" s="13" t="str">
        <x:v>BRF SA</x:v>
      </x:c>
      <x:c r="C7536" s="16" t="n">
        <x:v>429.893837589</x:v>
      </x:c>
      <x:c r="D7536" s="13" t="str">
        <x:v>Food &amp; Beverages</x:v>
      </x:c>
      <x:c r="E7536" s="13" t="str">
        <x:v>Agri, Food &amp; Beverages</x:v>
      </x:c>
      <x:c r="F7536" s="13" t="str">
        <x:v>Defensives</x:v>
      </x:c>
      <x:c r="G7536" s="13" t="str">
        <x:v>grid_cqzdsc3v.xlsx</x:v>
      </x:c>
    </x:row>
    <x:row r="7537">
      <x:c r="A7537" s="15" t="n">
        <x:v>43891</x:v>
      </x:c>
      <x:c r="B7537" s="13" t="str">
        <x:v>JBS SA</x:v>
      </x:c>
      <x:c r="C7537" s="16" t="n">
        <x:v>5686.2998794521</x:v>
      </x:c>
      <x:c r="D7537" s="13" t="str">
        <x:v>Food &amp; Beverages</x:v>
      </x:c>
      <x:c r="E7537" s="13" t="str">
        <x:v>Agri, Food &amp; Beverages</x:v>
      </x:c>
      <x:c r="F7537" s="13" t="str">
        <x:v>Defensives</x:v>
      </x:c>
      <x:c r="G7537" s="13" t="str">
        <x:v>grid_cqzdsc3v.xlsx</x:v>
      </x:c>
    </x:row>
    <x:row r="7538">
      <x:c r="A7538" s="15" t="n">
        <x:v>43891</x:v>
      </x:c>
      <x:c r="B7538" s="13" t="str">
        <x:v>MBRF GLOBAL FOODS COMPANY SA</x:v>
      </x:c>
      <x:c r="C7538" s="16" t="n">
        <x:v>628.4402235616</x:v>
      </x:c>
      <x:c r="D7538" s="13" t="str">
        <x:v>Food &amp; Beverages</x:v>
      </x:c>
      <x:c r="E7538" s="13" t="str">
        <x:v>Agri, Food &amp; Beverages</x:v>
      </x:c>
      <x:c r="F7538" s="13" t="str">
        <x:v>Defensives</x:v>
      </x:c>
      <x:c r="G7538" s="13" t="str">
        <x:v>grid_cqzdsc3v.xlsx</x:v>
      </x:c>
    </x:row>
    <x:row r="7539">
      <x:c r="A7539" s="15" t="n">
        <x:v>43891</x:v>
      </x:c>
      <x:c r="B7539" s="13" t="str">
        <x:v>FLEURY SA</x:v>
      </x:c>
      <x:c r="C7539" s="16" t="n">
        <x:v>395.6874717808</x:v>
      </x:c>
      <x:c r="D7539" s="13" t="str">
        <x:v>Health Care</x:v>
      </x:c>
      <x:c r="E7539" s="13" t="str">
        <x:v>Health Care</x:v>
      </x:c>
      <x:c r="F7539" s="13" t="str">
        <x:v>Defensives</x:v>
      </x:c>
      <x:c r="G7539" s="13" t="str">
        <x:v>grid_cqzdsc3v.xlsx</x:v>
      </x:c>
    </x:row>
    <x:row r="7540">
      <x:c r="A7540" s="15" t="n">
        <x:v>43891</x:v>
      </x:c>
      <x:c r="B7540" s="13" t="str">
        <x:v>HAPVIDA PARTICIPACOES E INVE</x:v>
      </x:c>
      <x:c r="C7540" s="16" t="n">
        <x:v>1112.4520547945</x:v>
      </x:c>
      <x:c r="D7540" s="13" t="str">
        <x:v>Health Care</x:v>
      </x:c>
      <x:c r="E7540" s="13" t="str">
        <x:v>Health Care</x:v>
      </x:c>
      <x:c r="F7540" s="13" t="str">
        <x:v>Defensives</x:v>
      </x:c>
      <x:c r="G7540" s="13" t="str">
        <x:v>grid_cqzdsc3v.xlsx</x:v>
      </x:c>
    </x:row>
    <x:row r="7541">
      <x:c r="A7541" s="15" t="n">
        <x:v>43891</x:v>
      </x:c>
      <x:c r="B7541" s="13" t="str">
        <x:v>HYPERA SA</x:v>
      </x:c>
      <x:c r="C7541" s="16" t="n">
        <x:v>1172.6329898082</x:v>
      </x:c>
      <x:c r="D7541" s="13" t="str">
        <x:v>Health Care</x:v>
      </x:c>
      <x:c r="E7541" s="13" t="str">
        <x:v>Health Care</x:v>
      </x:c>
      <x:c r="F7541" s="13" t="str">
        <x:v>Defensives</x:v>
      </x:c>
      <x:c r="G7541" s="13" t="str">
        <x:v>grid_cqzdsc3v.xlsx</x:v>
      </x:c>
    </x:row>
    <x:row r="7542">
      <x:c r="A7542" s="15" t="n">
        <x:v>43891</x:v>
      </x:c>
      <x:c r="B7542" s="13" t="str">
        <x:v>NOTRE DAME INTERMED PAR SA</x:v>
      </x:c>
      <x:c r="C7542" s="16" t="n">
        <x:v>908.0437812603</x:v>
      </x:c>
      <x:c r="D7542" s="13" t="str">
        <x:v>Health Care</x:v>
      </x:c>
      <x:c r="E7542" s="13" t="str">
        <x:v>Health Care</x:v>
      </x:c>
      <x:c r="F7542" s="13" t="str">
        <x:v>Defensives</x:v>
      </x:c>
      <x:c r="G7542" s="13" t="str">
        <x:v>grid_cqzdsc3v.xlsx</x:v>
      </x:c>
    </x:row>
    <x:row r="7543">
      <x:c r="A7543" s="15" t="n">
        <x:v>43891</x:v>
      </x:c>
      <x:c r="B7543" s="13" t="str">
        <x:v>QUALICORP CONS E CORR SEG SA</x:v>
      </x:c>
      <x:c r="C7543" s="16" t="n">
        <x:v>589.4041135342</x:v>
      </x:c>
      <x:c r="D7543" s="13" t="str">
        <x:v>Health Care</x:v>
      </x:c>
      <x:c r="E7543" s="13" t="str">
        <x:v>Health Care</x:v>
      </x:c>
      <x:c r="F7543" s="13" t="str">
        <x:v>Defensives</x:v>
      </x:c>
      <x:c r="G7543" s="13" t="str">
        <x:v>grid_cqzdsc3v.xlsx</x:v>
      </x:c>
    </x:row>
    <x:row r="7544">
      <x:c r="A7544" s="15" t="n">
        <x:v>43891</x:v>
      </x:c>
      <x:c r="B7544" s="13" t="str">
        <x:v>SUL AMERICA SA - UNITS</x:v>
      </x:c>
      <x:c r="C7544" s="16" t="n">
        <x:v>1166.1417328219</x:v>
      </x:c>
      <x:c r="D7544" s="13" t="str">
        <x:v>Health Care</x:v>
      </x:c>
      <x:c r="E7544" s="13" t="str">
        <x:v>Health Care</x:v>
      </x:c>
      <x:c r="F7544" s="13" t="str">
        <x:v>Defensives</x:v>
      </x:c>
      <x:c r="G7544" s="13" t="str">
        <x:v>grid_cqzdsc3v.xlsx</x:v>
      </x:c>
    </x:row>
    <x:row r="7545">
      <x:c r="A7545" s="15" t="n">
        <x:v>43891</x:v>
      </x:c>
      <x:c r="B7545" s="13" t="str">
        <x:v>CYRELA BRAZIL REALTY SA EMP</x:v>
      </x:c>
      <x:c r="C7545" s="16" t="n">
        <x:v>470.9657534247</x:v>
      </x:c>
      <x:c r="D7545" s="13" t="str">
        <x:v>Homebuilders</x:v>
      </x:c>
      <x:c r="E7545" s="13" t="str">
        <x:v>Real Estate</x:v>
      </x:c>
      <x:c r="F7545" s="13" t="str">
        <x:v>Early Cyclicals</x:v>
      </x:c>
      <x:c r="G7545" s="13" t="str">
        <x:v>grid_cqzdsc3v.xlsx</x:v>
      </x:c>
    </x:row>
    <x:row r="7546">
      <x:c r="A7546" s="15" t="n">
        <x:v>43891</x:v>
      </x:c>
      <x:c r="B7546" s="13" t="str">
        <x:v>MRV ENGENHARIA</x:v>
      </x:c>
      <x:c r="C7546" s="16" t="n">
        <x:v>628.1532010959</x:v>
      </x:c>
      <x:c r="D7546" s="13" t="str">
        <x:v>Homebuilders</x:v>
      </x:c>
      <x:c r="E7546" s="13" t="str">
        <x:v>Real Estate</x:v>
      </x:c>
      <x:c r="F7546" s="13" t="str">
        <x:v>Early Cyclicals</x:v>
      </x:c>
      <x:c r="G7546" s="13" t="str">
        <x:v>grid_cqzdsc3v.xlsx</x:v>
      </x:c>
    </x:row>
    <x:row r="7547">
      <x:c r="A7547" s="15" t="n">
        <x:v>43891</x:v>
      </x:c>
      <x:c r="B7547" s="13" t="str">
        <x:v>BR MALLS PARTICIPACOES SA</x:v>
      </x:c>
      <x:c r="C7547" s="16" t="n">
        <x:v>509.6669238356</x:v>
      </x:c>
      <x:c r="D7547" s="13" t="str">
        <x:v>Income Properties</x:v>
      </x:c>
      <x:c r="E7547" s="13" t="str">
        <x:v>Real Estate</x:v>
      </x:c>
      <x:c r="F7547" s="13" t="str">
        <x:v>Early Cyclicals</x:v>
      </x:c>
      <x:c r="G7547" s="13" t="str">
        <x:v>grid_cqzdsc3v.xlsx</x:v>
      </x:c>
    </x:row>
    <x:row r="7548">
      <x:c r="A7548" s="15" t="n">
        <x:v>43891</x:v>
      </x:c>
      <x:c r="B7548" s="13" t="str">
        <x:v>IGUATEMI EMP DE SHOPPING</x:v>
      </x:c>
      <x:c r="C7548" s="16" t="n">
        <x:v>267.5831723836</x:v>
      </x:c>
      <x:c r="D7548" s="13" t="str">
        <x:v>Income Properties</x:v>
      </x:c>
      <x:c r="E7548" s="13" t="str">
        <x:v>Real Estate</x:v>
      </x:c>
      <x:c r="F7548" s="13" t="str">
        <x:v>Early Cyclicals</x:v>
      </x:c>
      <x:c r="G7548" s="13" t="str">
        <x:v>grid_cqzdsc3v.xlsx</x:v>
      </x:c>
    </x:row>
    <x:row r="7549">
      <x:c r="A7549" s="15" t="n">
        <x:v>43891</x:v>
      </x:c>
      <x:c r="B7549" s="13" t="str">
        <x:v>MULTIPLAN EMPREENDIMENTOS</x:v>
      </x:c>
      <x:c r="C7549" s="16" t="n">
        <x:v>437.1207513425</x:v>
      </x:c>
      <x:c r="D7549" s="13" t="str">
        <x:v>Income Properties</x:v>
      </x:c>
      <x:c r="E7549" s="13" t="str">
        <x:v>Real Estate</x:v>
      </x:c>
      <x:c r="F7549" s="13" t="str">
        <x:v>Early Cyclicals</x:v>
      </x:c>
      <x:c r="G7549" s="13" t="str">
        <x:v>grid_cqzdsc3v.xlsx</x:v>
      </x:c>
    </x:row>
    <x:row r="7550">
      <x:c r="A7550" s="15" t="n">
        <x:v>43891</x:v>
      </x:c>
      <x:c r="B7550" s="13" t="str">
        <x:v>BRADESPAR SA -PREF</x:v>
      </x:c>
      <x:c r="C7550" s="16" t="n">
        <x:v>1707.6643436712</x:v>
      </x:c>
      <x:c r="D7550" s="13" t="str">
        <x:v>Metals &amp; Mining</x:v>
      </x:c>
      <x:c r="E7550" s="13" t="str">
        <x:v>Metals &amp; Mining</x:v>
      </x:c>
      <x:c r="F7550" s="13" t="str">
        <x:v>Deep Cyclicals</x:v>
      </x:c>
      <x:c r="G7550" s="13" t="str">
        <x:v>grid_cqzdsc3v.xlsx</x:v>
      </x:c>
    </x:row>
    <x:row r="7551">
      <x:c r="A7551" s="15" t="n">
        <x:v>43891</x:v>
      </x:c>
      <x:c r="B7551" s="13" t="str">
        <x:v>CIA SIDERURGICA NACIONAL SA</x:v>
      </x:c>
      <x:c r="C7551" s="16" t="n">
        <x:v>1418.1329288767</x:v>
      </x:c>
      <x:c r="D7551" s="13" t="str">
        <x:v>Metals &amp; Mining</x:v>
      </x:c>
      <x:c r="E7551" s="13" t="str">
        <x:v>Metals &amp; Mining</x:v>
      </x:c>
      <x:c r="F7551" s="13" t="str">
        <x:v>Deep Cyclicals</x:v>
      </x:c>
      <x:c r="G7551" s="13" t="str">
        <x:v>grid_cqzdsc3v.xlsx</x:v>
      </x:c>
    </x:row>
    <x:row r="7552">
      <x:c r="A7552" s="15" t="n">
        <x:v>43891</x:v>
      </x:c>
      <x:c r="B7552" s="13" t="str">
        <x:v>GERDAU SA-PREF</x:v>
      </x:c>
      <x:c r="C7552" s="16" t="n">
        <x:v>1737.383609863</x:v>
      </x:c>
      <x:c r="D7552" s="13" t="str">
        <x:v>Metals &amp; Mining</x:v>
      </x:c>
      <x:c r="E7552" s="13" t="str">
        <x:v>Metals &amp; Mining</x:v>
      </x:c>
      <x:c r="F7552" s="13" t="str">
        <x:v>Deep Cyclicals</x:v>
      </x:c>
      <x:c r="G7552" s="13" t="str">
        <x:v>grid_cqzdsc3v.xlsx</x:v>
      </x:c>
    </x:row>
    <x:row r="7553">
      <x:c r="A7553" s="15" t="n">
        <x:v>43891</x:v>
      </x:c>
      <x:c r="B7553" s="13" t="str">
        <x:v>USINAS SIDER MINAS GER-PF A</x:v>
      </x:c>
      <x:c r="C7553" s="16" t="n">
        <x:v>398.6834538082</x:v>
      </x:c>
      <x:c r="D7553" s="13" t="str">
        <x:v>Metals &amp; Mining</x:v>
      </x:c>
      <x:c r="E7553" s="13" t="str">
        <x:v>Metals &amp; Mining</x:v>
      </x:c>
      <x:c r="F7553" s="13" t="str">
        <x:v>Deep Cyclicals</x:v>
      </x:c>
      <x:c r="G7553" s="13" t="str">
        <x:v>grid_cqzdsc3v.xlsx</x:v>
      </x:c>
    </x:row>
    <x:row r="7554">
      <x:c r="A7554" s="15" t="n">
        <x:v>43891</x:v>
      </x:c>
      <x:c r="B7554" s="13" t="str">
        <x:v>VALE SA</x:v>
      </x:c>
      <x:c r="C7554" s="16" t="n">
        <x:v>36411.2215951781</x:v>
      </x:c>
      <x:c r="D7554" s="13" t="str">
        <x:v>Metals &amp; Mining</x:v>
      </x:c>
      <x:c r="E7554" s="13" t="str">
        <x:v>Metals &amp; Mining</x:v>
      </x:c>
      <x:c r="F7554" s="13" t="str">
        <x:v>Deep Cyclicals</x:v>
      </x:c>
      <x:c r="G7554" s="13" t="str">
        <x:v>grid_cqzdsc3v.xlsx</x:v>
      </x:c>
    </x:row>
    <x:row r="7555">
      <x:c r="A7555" s="15" t="n">
        <x:v>43891</x:v>
      </x:c>
      <x:c r="B7555" s="13" t="str">
        <x:v>BRASKEM SA-PREF A</x:v>
      </x:c>
      <x:c r="C7555" s="16" t="n">
        <x:v>-902.0767123288</x:v>
      </x:c>
      <x:c r="D7555" s="13" t="str">
        <x:v>Oil, Gas &amp; Petrochemicals</x:v>
      </x:c>
      <x:c r="E7555" s="13" t="str">
        <x:v>Oil, Gas &amp; Petrochemicals</x:v>
      </x:c>
      <x:c r="F7555" s="13" t="str">
        <x:v>Deep Cyclicals</x:v>
      </x:c>
      <x:c r="G7555" s="13" t="str">
        <x:v>grid_cqzdsc3v.xlsx</x:v>
      </x:c>
    </x:row>
    <x:row r="7556">
      <x:c r="A7556" s="15" t="n">
        <x:v>43891</x:v>
      </x:c>
      <x:c r="B7556" s="13" t="str">
        <x:v>COSAN SA</x:v>
      </x:c>
      <x:c r="C7556" s="16" t="n">
        <x:v>1704.3664341918</x:v>
      </x:c>
      <x:c r="D7556" s="13" t="str">
        <x:v>Oil, Gas &amp; Petrochemicals</x:v>
      </x:c>
      <x:c r="E7556" s="13" t="str">
        <x:v>Oil, Gas &amp; Petrochemicals</x:v>
      </x:c>
      <x:c r="F7556" s="13" t="str">
        <x:v>Deep Cyclicals</x:v>
      </x:c>
      <x:c r="G7556" s="13" t="str">
        <x:v>grid_cqzdsc3v.xlsx</x:v>
      </x:c>
    </x:row>
    <x:row r="7557">
      <x:c r="A7557" s="15" t="n">
        <x:v>43891</x:v>
      </x:c>
      <x:c r="B7557" s="13" t="str">
        <x:v>PETROBRAS - PETROLEO BRAS</x:v>
      </x:c>
      <x:c r="C7557" s="16" t="n">
        <x:v>13820.3484721096</x:v>
      </x:c>
      <x:c r="D7557" s="13" t="str">
        <x:v>Oil, Gas &amp; Petrochemicals</x:v>
      </x:c>
      <x:c r="E7557" s="13" t="str">
        <x:v>Oil, Gas &amp; Petrochemicals</x:v>
      </x:c>
      <x:c r="F7557" s="13" t="str">
        <x:v>Deep Cyclicals</x:v>
      </x:c>
      <x:c r="G7557" s="13" t="str">
        <x:v>grid_cqzdsc3v.xlsx</x:v>
      </x:c>
    </x:row>
    <x:row r="7558">
      <x:c r="A7558" s="15" t="n">
        <x:v>43891</x:v>
      </x:c>
      <x:c r="B7558" s="13" t="str">
        <x:v>ULTRAPAR PARTICIPACOES SA</x:v>
      </x:c>
      <x:c r="C7558" s="16" t="n">
        <x:v>1019.5504771507</x:v>
      </x:c>
      <x:c r="D7558" s="13" t="str">
        <x:v>Oil, Gas &amp; Petrochemicals</x:v>
      </x:c>
      <x:c r="E7558" s="13" t="str">
        <x:v>Oil, Gas &amp; Petrochemicals</x:v>
      </x:c>
      <x:c r="F7558" s="13" t="str">
        <x:v>Deep Cyclicals</x:v>
      </x:c>
      <x:c r="G7558" s="13" t="str">
        <x:v>grid_cqzdsc3v.xlsx</x:v>
      </x:c>
    </x:row>
    <x:row r="7559">
      <x:c r="A7559" s="15" t="n">
        <x:v>43891</x:v>
      </x:c>
      <x:c r="B7559" s="13" t="str">
        <x:v>VIBRA ENERGIA SA</x:v>
      </x:c>
      <x:c r="C7559" s="16" t="n">
        <x:v>1396.1768732055</x:v>
      </x:c>
      <x:c r="D7559" s="13" t="str">
        <x:v>Oil, Gas &amp; Petrochemicals</x:v>
      </x:c>
      <x:c r="E7559" s="13" t="str">
        <x:v>Oil, Gas &amp; Petrochemicals</x:v>
      </x:c>
      <x:c r="F7559" s="13" t="str">
        <x:v>Deep Cyclicals</x:v>
      </x:c>
      <x:c r="G7559" s="13" t="str">
        <x:v>grid_cqzdsc3v.xlsx</x:v>
      </x:c>
    </x:row>
    <x:row r="7560">
      <x:c r="A7560" s="15" t="n">
        <x:v>43891</x:v>
      </x:c>
      <x:c r="B7560" s="13" t="str">
        <x:v>KLABIN SA - UNIT</x:v>
      </x:c>
      <x:c r="C7560" s="16" t="n">
        <x:v>-259.6493071781</x:v>
      </x:c>
      <x:c r="D7560" s="13" t="str">
        <x:v>Pulp &amp; Paper</x:v>
      </x:c>
      <x:c r="E7560" s="13" t="str">
        <x:v>Pulp &amp; Paper</x:v>
      </x:c>
      <x:c r="F7560" s="13" t="str">
        <x:v>Deep Cyclicals</x:v>
      </x:c>
      <x:c r="G7560" s="13" t="str">
        <x:v>grid_cqzdsc3v.xlsx</x:v>
      </x:c>
    </x:row>
    <x:row r="7561">
      <x:c r="A7561" s="15" t="n">
        <x:v>43891</x:v>
      </x:c>
      <x:c r="B7561" s="13" t="str">
        <x:v>SUZANO SA</x:v>
      </x:c>
      <x:c r="C7561" s="16" t="n">
        <x:v>1000.5131644932</x:v>
      </x:c>
      <x:c r="D7561" s="13" t="str">
        <x:v>Pulp &amp; Paper</x:v>
      </x:c>
      <x:c r="E7561" s="13" t="str">
        <x:v>Pulp &amp; Paper</x:v>
      </x:c>
      <x:c r="F7561" s="13" t="str">
        <x:v>Deep Cyclicals</x:v>
      </x:c>
      <x:c r="G7561" s="13" t="str">
        <x:v>grid_cqzdsc3v.xlsx</x:v>
      </x:c>
    </x:row>
    <x:row r="7562">
      <x:c r="A7562" s="15" t="n">
        <x:v>43891</x:v>
      </x:c>
      <x:c r="B7562" s="13" t="str">
        <x:v>AMERICANAS SA</x:v>
      </x:c>
      <x:c r="C7562" s="16" t="n">
        <x:v>-66.6915068493</x:v>
      </x:c>
      <x:c r="D7562" s="13" t="str">
        <x:v>Retail</x:v>
      </x:c>
      <x:c r="E7562" s="13" t="str">
        <x:v>Retail</x:v>
      </x:c>
      <x:c r="F7562" s="13" t="str">
        <x:v>Early Cyclicals</x:v>
      </x:c>
      <x:c r="G7562" s="13" t="str">
        <x:v>grid_cqzdsc3v.xlsx</x:v>
      </x:c>
    </x:row>
    <x:row r="7563">
      <x:c r="A7563" s="15" t="n">
        <x:v>43891</x:v>
      </x:c>
      <x:c r="B7563" s="13" t="str">
        <x:v>ATACADAO SA</x:v>
      </x:c>
      <x:c r="C7563" s="16" t="n">
        <x:v>2130.1587673425</x:v>
      </x:c>
      <x:c r="D7563" s="13" t="str">
        <x:v>Retail</x:v>
      </x:c>
      <x:c r="E7563" s="13" t="str">
        <x:v>Retail</x:v>
      </x:c>
      <x:c r="F7563" s="13" t="str">
        <x:v>Early Cyclicals</x:v>
      </x:c>
      <x:c r="G7563" s="13" t="str">
        <x:v>grid_cqzdsc3v.xlsx</x:v>
      </x:c>
    </x:row>
    <x:row r="7564">
      <x:c r="A7564" s="15" t="n">
        <x:v>43891</x:v>
      </x:c>
      <x:c r="B7564" s="13" t="str">
        <x:v>CIA BRASILEIRA DE DISTRIBUIC</x:v>
      </x:c>
      <x:c r="C7564" s="16" t="n">
        <x:v>1421.9172523836</x:v>
      </x:c>
      <x:c r="D7564" s="13" t="str">
        <x:v>Retail</x:v>
      </x:c>
      <x:c r="E7564" s="13" t="str">
        <x:v>Retail</x:v>
      </x:c>
      <x:c r="F7564" s="13" t="str">
        <x:v>Early Cyclicals</x:v>
      </x:c>
      <x:c r="G7564" s="13" t="str">
        <x:v>grid_cqzdsc3v.xlsx</x:v>
      </x:c>
    </x:row>
    <x:row r="7565">
      <x:c r="A7565" s="15" t="n">
        <x:v>43891</x:v>
      </x:c>
      <x:c r="B7565" s="13" t="str">
        <x:v>CIA HERING</x:v>
      </x:c>
      <x:c r="C7565" s="16" t="n">
        <x:v>186.9917808219</x:v>
      </x:c>
      <x:c r="D7565" s="13" t="str">
        <x:v>Retail</x:v>
      </x:c>
      <x:c r="E7565" s="13" t="str">
        <x:v>Retail</x:v>
      </x:c>
      <x:c r="F7565" s="13" t="str">
        <x:v>Early Cyclicals</x:v>
      </x:c>
      <x:c r="G7565" s="13" t="str">
        <x:v>grid_cqzdsc3v.xlsx</x:v>
      </x:c>
    </x:row>
    <x:row r="7566">
      <x:c r="A7566" s="15" t="n">
        <x:v>43891</x:v>
      </x:c>
      <x:c r="B7566" s="13" t="str">
        <x:v>CVC BRASIL OPERADORA E AGENC</x:v>
      </x:c>
      <x:c r="C7566" s="16" t="n">
        <x:v>298.2284835068</x:v>
      </x:c>
      <x:c r="D7566" s="13" t="str">
        <x:v>Retail</x:v>
      </x:c>
      <x:c r="E7566" s="13" t="str">
        <x:v>Retail</x:v>
      </x:c>
      <x:c r="F7566" s="13" t="str">
        <x:v>Early Cyclicals</x:v>
      </x:c>
      <x:c r="G7566" s="13" t="str">
        <x:v>grid_cqzdsc3v.xlsx</x:v>
      </x:c>
    </x:row>
    <x:row r="7567">
      <x:c r="A7567" s="15" t="n">
        <x:v>43891</x:v>
      </x:c>
      <x:c r="B7567" s="13" t="str">
        <x:v>GRUPO CASAS BAHIA SA</x:v>
      </x:c>
      <x:c r="C7567" s="16" t="n">
        <x:v>323.4937613151</x:v>
      </x:c>
      <x:c r="D7567" s="13" t="str">
        <x:v>Retail</x:v>
      </x:c>
      <x:c r="E7567" s="13" t="str">
        <x:v>Retail</x:v>
      </x:c>
      <x:c r="F7567" s="13" t="str">
        <x:v>Early Cyclicals</x:v>
      </x:c>
      <x:c r="G7567" s="13" t="str">
        <x:v>grid_cqzdsc3v.xlsx</x:v>
      </x:c>
    </x:row>
    <x:row r="7568">
      <x:c r="A7568" s="15" t="n">
        <x:v>43891</x:v>
      </x:c>
      <x:c r="B7568" s="13" t="str">
        <x:v>LOJAS AMERICANAS SA-PREF</x:v>
      </x:c>
      <x:c r="C7568" s="16" t="n">
        <x:v>894.263283726</x:v>
      </x:c>
      <x:c r="D7568" s="13" t="str">
        <x:v>Retail</x:v>
      </x:c>
      <x:c r="E7568" s="13" t="str">
        <x:v>Retail</x:v>
      </x:c>
      <x:c r="F7568" s="13" t="str">
        <x:v>Early Cyclicals</x:v>
      </x:c>
      <x:c r="G7568" s="13" t="str">
        <x:v>grid_cqzdsc3v.xlsx</x:v>
      </x:c>
    </x:row>
    <x:row r="7569">
      <x:c r="A7569" s="15" t="n">
        <x:v>43891</x:v>
      </x:c>
      <x:c r="B7569" s="13" t="str">
        <x:v>LOJAS RENNER S.A.</x:v>
      </x:c>
      <x:c r="C7569" s="16" t="n">
        <x:v>1254.1762612603</x:v>
      </x:c>
      <x:c r="D7569" s="13" t="str">
        <x:v>Retail</x:v>
      </x:c>
      <x:c r="E7569" s="13" t="str">
        <x:v>Retail</x:v>
      </x:c>
      <x:c r="F7569" s="13" t="str">
        <x:v>Early Cyclicals</x:v>
      </x:c>
      <x:c r="G7569" s="13" t="str">
        <x:v>grid_cqzdsc3v.xlsx</x:v>
      </x:c>
    </x:row>
    <x:row r="7570">
      <x:c r="A7570" s="15" t="n">
        <x:v>43891</x:v>
      </x:c>
      <x:c r="B7570" s="13" t="str">
        <x:v>MAGAZINE LUIZA SA</x:v>
      </x:c>
      <x:c r="C7570" s="16" t="n">
        <x:v>592.7682305753</x:v>
      </x:c>
      <x:c r="D7570" s="13" t="str">
        <x:v>Retail</x:v>
      </x:c>
      <x:c r="E7570" s="13" t="str">
        <x:v>Retail</x:v>
      </x:c>
      <x:c r="F7570" s="13" t="str">
        <x:v>Early Cyclicals</x:v>
      </x:c>
      <x:c r="G7570" s="13" t="str">
        <x:v>grid_cqzdsc3v.xlsx</x:v>
      </x:c>
    </x:row>
    <x:row r="7571">
      <x:c r="A7571" s="15" t="n">
        <x:v>43891</x:v>
      </x:c>
      <x:c r="B7571" s="13" t="str">
        <x:v>NATURA &amp;CO HOLDING SA</x:v>
      </x:c>
      <x:c r="C7571" s="16" t="n">
        <x:v>1044.5515029041</x:v>
      </x:c>
      <x:c r="D7571" s="13" t="str">
        <x:v>Retail</x:v>
      </x:c>
      <x:c r="E7571" s="13" t="str">
        <x:v>Retail</x:v>
      </x:c>
      <x:c r="F7571" s="13" t="str">
        <x:v>Early Cyclicals</x:v>
      </x:c>
      <x:c r="G7571" s="13" t="str">
        <x:v>grid_cqzdsc3v.xlsx</x:v>
      </x:c>
    </x:row>
    <x:row r="7572">
      <x:c r="A7572" s="15" t="n">
        <x:v>43891</x:v>
      </x:c>
      <x:c r="B7572" s="13" t="str">
        <x:v>RAIA DROGASIL SA</x:v>
      </x:c>
      <x:c r="C7572" s="16" t="n">
        <x:v>773.3929310685</x:v>
      </x:c>
      <x:c r="D7572" s="13" t="str">
        <x:v>Retail</x:v>
      </x:c>
      <x:c r="E7572" s="13" t="str">
        <x:v>Retail</x:v>
      </x:c>
      <x:c r="F7572" s="13" t="str">
        <x:v>Early Cyclicals</x:v>
      </x:c>
      <x:c r="G7572" s="13" t="str">
        <x:v>grid_cqzdsc3v.xlsx</x:v>
      </x:c>
    </x:row>
    <x:row r="7573">
      <x:c r="A7573" s="15" t="n">
        <x:v>43891</x:v>
      </x:c>
      <x:c r="B7573" s="13" t="str">
        <x:v>CIA SANEAMENTO BASICO DE SP</x:v>
      </x:c>
      <x:c r="C7573" s="16" t="n">
        <x:v>2939.4216924932</x:v>
      </x:c>
      <x:c r="D7573" s="13" t="str">
        <x:v>Sanitation</x:v>
      </x:c>
      <x:c r="E7573" s="13" t="str">
        <x:v>Utilities</x:v>
      </x:c>
      <x:c r="F7573" s="13" t="str">
        <x:v>Defensives</x:v>
      </x:c>
      <x:c r="G7573" s="13" t="str">
        <x:v>grid_cqzdsc3v.xlsx</x:v>
      </x:c>
    </x:row>
    <x:row r="7574">
      <x:c r="A7574" s="15" t="n">
        <x:v>43891</x:v>
      </x:c>
      <x:c r="B7574" s="13" t="str">
        <x:v>SMILES FIDELIDADE SA</x:v>
      </x:c>
      <x:c r="C7574" s="16" t="n">
        <x:v>576.9178082192</x:v>
      </x:c>
      <x:c r="D7574" s="13" t="str">
        <x:v>TMT</x:v>
      </x:c>
      <x:c r="E7574" s="13" t="str">
        <x:v>TMT</x:v>
      </x:c>
      <x:c r="F7574" s="13" t="str">
        <x:v>Early Cyclicals</x:v>
      </x:c>
      <x:c r="G7574" s="13" t="str">
        <x:v>grid_cqzdsc3v.xlsx</x:v>
      </x:c>
    </x:row>
    <x:row r="7575">
      <x:c r="A7575" s="15" t="n">
        <x:v>43891</x:v>
      </x:c>
      <x:c r="B7575" s="13" t="str">
        <x:v>TELEFONICA BRASIL S.A.-PREF</x:v>
      </x:c>
      <x:c r="C7575" s="16" t="n">
        <x:v>5669.5938244384</x:v>
      </x:c>
      <x:c r="D7575" s="13" t="str">
        <x:v>TMT</x:v>
      </x:c>
      <x:c r="E7575" s="13" t="str">
        <x:v>TMT</x:v>
      </x:c>
      <x:c r="F7575" s="13" t="str">
        <x:v>Early Cyclicals</x:v>
      </x:c>
      <x:c r="G7575" s="13" t="str">
        <x:v>grid_cqzdsc3v.xlsx</x:v>
      </x:c>
    </x:row>
    <x:row r="7576">
      <x:c r="A7576" s="15" t="n">
        <x:v>43891</x:v>
      </x:c>
      <x:c r="B7576" s="13" t="str">
        <x:v>TIM SA</x:v>
      </x:c>
      <x:c r="C7576" s="16" t="n">
        <x:v>1929.34272</x:v>
      </x:c>
      <x:c r="D7576" s="13" t="str">
        <x:v>TMT</x:v>
      </x:c>
      <x:c r="E7576" s="13" t="str">
        <x:v>TMT</x:v>
      </x:c>
      <x:c r="F7576" s="13" t="str">
        <x:v>Early Cyclicals</x:v>
      </x:c>
      <x:c r="G7576" s="13" t="str">
        <x:v>grid_cqzdsc3v.xlsx</x:v>
      </x:c>
    </x:row>
    <x:row r="7577">
      <x:c r="A7577" s="15" t="n">
        <x:v>43891</x:v>
      </x:c>
      <x:c r="B7577" s="13" t="str">
        <x:v>TOTVS SA</x:v>
      </x:c>
      <x:c r="C7577" s="16" t="n">
        <x:v>341.9428747397</x:v>
      </x:c>
      <x:c r="D7577" s="13" t="str">
        <x:v>TMT</x:v>
      </x:c>
      <x:c r="E7577" s="13" t="str">
        <x:v>TMT</x:v>
      </x:c>
      <x:c r="F7577" s="13" t="str">
        <x:v>Early Cyclicals</x:v>
      </x:c>
      <x:c r="G7577" s="13" t="str">
        <x:v>grid_cqzdsc3v.xlsx</x:v>
      </x:c>
    </x:row>
    <x:row r="7578">
      <x:c r="A7578" s="15" t="n">
        <x:v>43891</x:v>
      </x:c>
      <x:c r="B7578" s="13" t="str">
        <x:v>AZUL SA</x:v>
      </x:c>
      <x:c r="C7578" s="16" t="n">
        <x:v>832.222528</x:v>
      </x:c>
      <x:c r="D7578" s="13" t="str">
        <x:v>Transportation</x:v>
      </x:c>
      <x:c r="E7578" s="13" t="str">
        <x:v>Transportation</x:v>
      </x:c>
      <x:c r="F7578" s="13" t="str">
        <x:v>Deep Cyclicals</x:v>
      </x:c>
      <x:c r="G7578" s="13" t="str">
        <x:v>grid_cqzdsc3v.xlsx</x:v>
      </x:c>
    </x:row>
    <x:row r="7579">
      <x:c r="A7579" s="15" t="n">
        <x:v>43891</x:v>
      </x:c>
      <x:c r="B7579" s="13" t="str">
        <x:v>ECORODOVIAS INFRA E LOG SA</x:v>
      </x:c>
      <x:c r="C7579" s="16" t="n">
        <x:v>475.7416929315</x:v>
      </x:c>
      <x:c r="D7579" s="13" t="str">
        <x:v>Transportation</x:v>
      </x:c>
      <x:c r="E7579" s="13" t="str">
        <x:v>Transportation</x:v>
      </x:c>
      <x:c r="F7579" s="13" t="str">
        <x:v>Deep Cyclicals</x:v>
      </x:c>
      <x:c r="G7579" s="13" t="str">
        <x:v>grid_cqzdsc3v.xlsx</x:v>
      </x:c>
    </x:row>
    <x:row r="7580">
      <x:c r="A7580" s="15" t="n">
        <x:v>43891</x:v>
      </x:c>
      <x:c r="B7580" s="13" t="str">
        <x:v>GOL LINHAS AEREAS INT SA-PRE</x:v>
      </x:c>
      <x:c r="C7580" s="16" t="n">
        <x:v>731.180626411</x:v>
      </x:c>
      <x:c r="D7580" s="13" t="str">
        <x:v>Transportation</x:v>
      </x:c>
      <x:c r="E7580" s="13" t="str">
        <x:v>Transportation</x:v>
      </x:c>
      <x:c r="F7580" s="13" t="str">
        <x:v>Deep Cyclicals</x:v>
      </x:c>
      <x:c r="G7580" s="13" t="str">
        <x:v>grid_cqzdsc3v.xlsx</x:v>
      </x:c>
    </x:row>
    <x:row r="7581">
      <x:c r="A7581" s="15" t="n">
        <x:v>43891</x:v>
      </x:c>
      <x:c r="B7581" s="13" t="str">
        <x:v>LOCALIZA RENT A CAR</x:v>
      </x:c>
      <x:c r="C7581" s="16" t="n">
        <x:v>1169.9856447123</x:v>
      </x:c>
      <x:c r="D7581" s="13" t="str">
        <x:v>Transportation</x:v>
      </x:c>
      <x:c r="E7581" s="13" t="str">
        <x:v>Transportation</x:v>
      </x:c>
      <x:c r="F7581" s="13" t="str">
        <x:v>Deep Cyclicals</x:v>
      </x:c>
      <x:c r="G7581" s="13" t="str">
        <x:v>grid_cqzdsc3v.xlsx</x:v>
      </x:c>
    </x:row>
    <x:row r="7582">
      <x:c r="A7582" s="15" t="n">
        <x:v>43891</x:v>
      </x:c>
      <x:c r="B7582" s="13" t="str">
        <x:v>MOTIVA INFRAESTRUTURA DE MOB</x:v>
      </x:c>
      <x:c r="C7582" s="16" t="n">
        <x:v>1954.0768490959</x:v>
      </x:c>
      <x:c r="D7582" s="13" t="str">
        <x:v>Transportation</x:v>
      </x:c>
      <x:c r="E7582" s="13" t="str">
        <x:v>Transportation</x:v>
      </x:c>
      <x:c r="F7582" s="13" t="str">
        <x:v>Deep Cyclicals</x:v>
      </x:c>
      <x:c r="G7582" s="13" t="str">
        <x:v>grid_cqzdsc3v.xlsx</x:v>
      </x:c>
    </x:row>
    <x:row r="7583">
      <x:c r="A7583" s="15" t="n">
        <x:v>43891</x:v>
      </x:c>
      <x:c r="B7583" s="13" t="str">
        <x:v>RUMO SA</x:v>
      </x:c>
      <x:c r="C7583" s="16" t="n">
        <x:v>1098.3808219178</x:v>
      </x:c>
      <x:c r="D7583" s="13" t="str">
        <x:v>Transportation</x:v>
      </x:c>
      <x:c r="E7583" s="13" t="str">
        <x:v>Transportation</x:v>
      </x:c>
      <x:c r="F7583" s="13" t="str">
        <x:v>Deep Cyclicals</x:v>
      </x:c>
      <x:c r="G7583" s="13" t="str">
        <x:v>grid_cqzdsc3v.xlsx</x:v>
      </x:c>
    </x:row>
    <x:row r="7584">
      <x:c r="A7584" s="15" t="n">
        <x:v>43891</x:v>
      </x:c>
      <x:c r="B7584" s="13" t="str">
        <x:v>AXIA ENERGIA SA</x:v>
      </x:c>
      <x:c r="C7584" s="16" t="n">
        <x:v>6761.3286540274</x:v>
      </x:c>
      <x:c r="D7584" s="13" t="str">
        <x:v>Utilities &amp; Energy</x:v>
      </x:c>
      <x:c r="E7584" s="13" t="str">
        <x:v>Utilities</x:v>
      </x:c>
      <x:c r="F7584" s="13" t="str">
        <x:v>Defensives</x:v>
      </x:c>
      <x:c r="G7584" s="13" t="str">
        <x:v>grid_cqzdsc3v.xlsx</x:v>
      </x:c>
    </x:row>
    <x:row r="7585">
      <x:c r="A7585" s="15" t="n">
        <x:v>43891</x:v>
      </x:c>
      <x:c r="B7585" s="13" t="str">
        <x:v>AXIA ENERGIA-PR B</x:v>
      </x:c>
      <x:c r="C7585" s="16" t="n">
        <x:v>6761.3286540274</x:v>
      </x:c>
      <x:c r="D7585" s="13" t="str">
        <x:v>Utilities &amp; Energy</x:v>
      </x:c>
      <x:c r="E7585" s="13" t="str">
        <x:v>Utilities</x:v>
      </x:c>
      <x:c r="F7585" s="13" t="str">
        <x:v>Defensives</x:v>
      </x:c>
      <x:c r="G7585" s="13" t="str">
        <x:v>grid_cqzdsc3v.xlsx</x:v>
      </x:c>
    </x:row>
    <x:row r="7586">
      <x:c r="A7586" s="15" t="n">
        <x:v>43891</x:v>
      </x:c>
      <x:c r="B7586" s="13" t="str">
        <x:v>CIA ENERGETICA MINAS GER-PRF</x:v>
      </x:c>
      <x:c r="C7586" s="16" t="n">
        <x:v>2286.4060317808</x:v>
      </x:c>
      <x:c r="D7586" s="13" t="str">
        <x:v>Utilities &amp; Energy</x:v>
      </x:c>
      <x:c r="E7586" s="13" t="str">
        <x:v>Utilities</x:v>
      </x:c>
      <x:c r="F7586" s="13" t="str">
        <x:v>Defensives</x:v>
      </x:c>
      <x:c r="G7586" s="13" t="str">
        <x:v>grid_cqzdsc3v.xlsx</x:v>
      </x:c>
    </x:row>
    <x:row r="7587">
      <x:c r="A7587" s="15" t="n">
        <x:v>43891</x:v>
      </x:c>
      <x:c r="B7587" s="13" t="str">
        <x:v>EDP - ENERGIAS DO BRASIL SA</x:v>
      </x:c>
      <x:c r="C7587" s="16" t="n">
        <x:v>985.8236440548</x:v>
      </x:c>
      <x:c r="D7587" s="13" t="str">
        <x:v>Utilities &amp; Energy</x:v>
      </x:c>
      <x:c r="E7587" s="13" t="str">
        <x:v>Utilities</x:v>
      </x:c>
      <x:c r="F7587" s="13" t="str">
        <x:v>Defensives</x:v>
      </x:c>
      <x:c r="G7587" s="13" t="str">
        <x:v>grid_cqzdsc3v.xlsx</x:v>
      </x:c>
    </x:row>
    <x:row r="7588">
      <x:c r="A7588" s="15" t="n">
        <x:v>43891</x:v>
      </x:c>
      <x:c r="B7588" s="13" t="str">
        <x:v>ENGIE BRASIL ENERGIA SA</x:v>
      </x:c>
      <x:c r="C7588" s="16" t="n">
        <x:v>2890.9568210411</x:v>
      </x:c>
      <x:c r="D7588" s="13" t="str">
        <x:v>Utilities &amp; Energy</x:v>
      </x:c>
      <x:c r="E7588" s="13" t="str">
        <x:v>Utilities</x:v>
      </x:c>
      <x:c r="F7588" s="13" t="str">
        <x:v>Defensives</x:v>
      </x:c>
      <x:c r="G7588" s="13" t="str">
        <x:v>grid_cqzdsc3v.xlsx</x:v>
      </x:c>
    </x:row>
    <x:row r="7589">
      <x:c r="A7589" s="15" t="n">
        <x:v>43891</x:v>
      </x:c>
      <x:c r="B7589" s="13" t="str">
        <x:v>EQUATORIAL SA - ORD</x:v>
      </x:c>
      <x:c r="C7589" s="16" t="n">
        <x:v>1251.8910439452</x:v>
      </x:c>
      <x:c r="D7589" s="13" t="str">
        <x:v>Utilities &amp; Energy</x:v>
      </x:c>
      <x:c r="E7589" s="13" t="str">
        <x:v>Utilities</x:v>
      </x:c>
      <x:c r="F7589" s="13" t="str">
        <x:v>Defensives</x:v>
      </x:c>
      <x:c r="G7589" s="13" t="str">
        <x:v>grid_cqzdsc3v.xlsx</x:v>
      </x:c>
    </x:row>
    <x:row r="7590">
      <x:c r="A7590" s="15" t="n">
        <x:v>43891</x:v>
      </x:c>
      <x:c r="B7590" s="13" t="str">
        <x:v>TRANSMISSORA ALIANCA DE-UNIT</x:v>
      </x:c>
      <x:c r="C7590" s="16" t="n">
        <x:v>887.8424696986</x:v>
      </x:c>
      <x:c r="D7590" s="13" t="str">
        <x:v>Utilities &amp; Energy</x:v>
      </x:c>
      <x:c r="E7590" s="13" t="str">
        <x:v>Utilities</x:v>
      </x:c>
      <x:c r="F7590" s="13" t="str">
        <x:v>Defensives</x:v>
      </x:c>
      <x:c r="G7590" s="13" t="str">
        <x:v>grid_cqzdsc3v.xlsx</x:v>
      </x:c>
    </x:row>
    <x:row r="7591">
      <x:c r="A7591" s="15" t="n">
        <x:v>43922</x:v>
      </x:c>
      <x:c r="B7591" s="13" t="str">
        <x:v>BANCO BRADESCO S.A.</x:v>
      </x:c>
      <x:c r="C7591" s="16" t="n">
        <x:v>25783.6957808219</x:v>
      </x:c>
      <x:c r="D7591" s="13" t="str">
        <x:v>Banks</x:v>
      </x:c>
      <x:c r="E7591" s="13" t="str">
        <x:v>Banks</x:v>
      </x:c>
      <x:c r="F7591" s="13" t="str">
        <x:v>Financials</x:v>
      </x:c>
      <x:c r="G7591" s="13" t="str">
        <x:v>grid_cqzdsc3v.xlsx</x:v>
      </x:c>
    </x:row>
    <x:row r="7592">
      <x:c r="A7592" s="15" t="n">
        <x:v>43922</x:v>
      </x:c>
      <x:c r="B7592" s="13" t="str">
        <x:v>BANCO BRADESCO SA-PREF</x:v>
      </x:c>
      <x:c r="C7592" s="16" t="n">
        <x:v>25783.6957808219</x:v>
      </x:c>
      <x:c r="D7592" s="13" t="str">
        <x:v>Banks</x:v>
      </x:c>
      <x:c r="E7592" s="13" t="str">
        <x:v>Banks</x:v>
      </x:c>
      <x:c r="F7592" s="13" t="str">
        <x:v>Financials</x:v>
      </x:c>
      <x:c r="G7592" s="13" t="str">
        <x:v>grid_cqzdsc3v.xlsx</x:v>
      </x:c>
    </x:row>
    <x:row r="7593">
      <x:c r="A7593" s="15" t="n">
        <x:v>43922</x:v>
      </x:c>
      <x:c r="B7593" s="13" t="str">
        <x:v>BANCO BTG PACTUAL SA-UNIT</x:v>
      </x:c>
      <x:c r="C7593" s="16" t="n">
        <x:v>3585.8664539178</x:v>
      </x:c>
      <x:c r="D7593" s="13" t="str">
        <x:v>Banks</x:v>
      </x:c>
      <x:c r="E7593" s="13" t="str">
        <x:v>Banks</x:v>
      </x:c>
      <x:c r="F7593" s="13" t="str">
        <x:v>Financials</x:v>
      </x:c>
      <x:c r="G7593" s="13" t="str">
        <x:v>grid_cqzdsc3v.xlsx</x:v>
      </x:c>
    </x:row>
    <x:row r="7594">
      <x:c r="A7594" s="15" t="n">
        <x:v>43922</x:v>
      </x:c>
      <x:c r="B7594" s="13" t="str">
        <x:v>BANCO DO BRASIL S.A.</x:v>
      </x:c>
      <x:c r="C7594" s="16" t="n">
        <x:v>18018.3778402192</x:v>
      </x:c>
      <x:c r="D7594" s="13" t="str">
        <x:v>Banks</x:v>
      </x:c>
      <x:c r="E7594" s="13" t="str">
        <x:v>Banks</x:v>
      </x:c>
      <x:c r="F7594" s="13" t="str">
        <x:v>Financials</x:v>
      </x:c>
      <x:c r="G7594" s="13" t="str">
        <x:v>grid_cqzdsc3v.xlsx</x:v>
      </x:c>
    </x:row>
    <x:row r="7595">
      <x:c r="A7595" s="15" t="n">
        <x:v>43922</x:v>
      </x:c>
      <x:c r="B7595" s="13" t="str">
        <x:v>BANCO SANTANDER  BRASIL-UNIT</x:v>
      </x:c>
      <x:c r="C7595" s="16" t="n">
        <x:v>13459.5875068493</x:v>
      </x:c>
      <x:c r="D7595" s="13" t="str">
        <x:v>Banks</x:v>
      </x:c>
      <x:c r="E7595" s="13" t="str">
        <x:v>Banks</x:v>
      </x:c>
      <x:c r="F7595" s="13" t="str">
        <x:v>Financials</x:v>
      </x:c>
      <x:c r="G7595" s="13" t="str">
        <x:v>grid_cqzdsc3v.xlsx</x:v>
      </x:c>
    </x:row>
    <x:row r="7596">
      <x:c r="A7596" s="15" t="n">
        <x:v>43922</x:v>
      </x:c>
      <x:c r="B7596" s="13" t="str">
        <x:v>ITAU UNIBANCO HOLDING S-PREF</x:v>
      </x:c>
      <x:c r="C7596" s="16" t="n">
        <x:v>26112.2187151781</x:v>
      </x:c>
      <x:c r="D7596" s="13" t="str">
        <x:v>Banks</x:v>
      </x:c>
      <x:c r="E7596" s="13" t="str">
        <x:v>Banks</x:v>
      </x:c>
      <x:c r="F7596" s="13" t="str">
        <x:v>Financials</x:v>
      </x:c>
      <x:c r="G7596" s="13" t="str">
        <x:v>grid_cqzdsc3v.xlsx</x:v>
      </x:c>
    </x:row>
    <x:row r="7597">
      <x:c r="A7597" s="15" t="n">
        <x:v>43922</x:v>
      </x:c>
      <x:c r="B7597" s="13" t="str">
        <x:v>EMBRAER SA</x:v>
      </x:c>
      <x:c r="C7597" s="16" t="n">
        <x:v>-929.847378411</x:v>
      </x:c>
      <x:c r="D7597" s="13" t="str">
        <x:v>Capital Goods</x:v>
      </x:c>
      <x:c r="E7597" s="13" t="str">
        <x:v>Capital Goods</x:v>
      </x:c>
      <x:c r="F7597" s="13" t="str">
        <x:v>Deep Cyclicals</x:v>
      </x:c>
      <x:c r="G7597" s="13" t="str">
        <x:v>grid_cqzdsc3v.xlsx</x:v>
      </x:c>
    </x:row>
    <x:row r="7598">
      <x:c r="A7598" s="15" t="n">
        <x:v>43922</x:v>
      </x:c>
      <x:c r="B7598" s="13" t="str">
        <x:v>WEG SA</x:v>
      </x:c>
      <x:c r="C7598" s="16" t="n">
        <x:v>1804.6320657534</x:v>
      </x:c>
      <x:c r="D7598" s="13" t="str">
        <x:v>Capital Goods</x:v>
      </x:c>
      <x:c r="E7598" s="13" t="str">
        <x:v>Capital Goods</x:v>
      </x:c>
      <x:c r="F7598" s="13" t="str">
        <x:v>Deep Cyclicals</x:v>
      </x:c>
      <x:c r="G7598" s="13" t="str">
        <x:v>grid_cqzdsc3v.xlsx</x:v>
      </x:c>
    </x:row>
    <x:row r="7599">
      <x:c r="A7599" s="15" t="n">
        <x:v>43922</x:v>
      </x:c>
      <x:c r="B7599" s="13" t="str">
        <x:v>COGNA EDUCACAO</x:v>
      </x:c>
      <x:c r="C7599" s="16" t="n">
        <x:v>636.4432876712</x:v>
      </x:c>
      <x:c r="D7599" s="13" t="str">
        <x:v>Education</x:v>
      </x:c>
      <x:c r="E7599" s="13" t="str">
        <x:v>Education</x:v>
      </x:c>
      <x:c r="F7599" s="13" t="str">
        <x:v>Early Cyclicals</x:v>
      </x:c>
      <x:c r="G7599" s="13" t="str">
        <x:v>grid_cqzdsc3v.xlsx</x:v>
      </x:c>
    </x:row>
    <x:row r="7600">
      <x:c r="A7600" s="15" t="n">
        <x:v>43922</x:v>
      </x:c>
      <x:c r="B7600" s="13" t="str">
        <x:v>YDUQS PARTICIPACOES SA</x:v>
      </x:c>
      <x:c r="C7600" s="16" t="n">
        <x:v>766.2790934795</x:v>
      </x:c>
      <x:c r="D7600" s="13" t="str">
        <x:v>Education</x:v>
      </x:c>
      <x:c r="E7600" s="13" t="str">
        <x:v>Education</x:v>
      </x:c>
      <x:c r="F7600" s="13" t="str">
        <x:v>Early Cyclicals</x:v>
      </x:c>
      <x:c r="G7600" s="13" t="str">
        <x:v>grid_cqzdsc3v.xlsx</x:v>
      </x:c>
    </x:row>
    <x:row r="7601">
      <x:c r="A7601" s="15" t="n">
        <x:v>43922</x:v>
      </x:c>
      <x:c r="B7601" s="13" t="str">
        <x:v>B3 SA-BRASIL BOLSA BALCAO</x:v>
      </x:c>
      <x:c r="C7601" s="16" t="n">
        <x:v>3745.6169275616</x:v>
      </x:c>
      <x:c r="D7601" s="13" t="str">
        <x:v>Financials Non-Banks</x:v>
      </x:c>
      <x:c r="E7601" s="13" t="str">
        <x:v>Financials Non-Banks</x:v>
      </x:c>
      <x:c r="F7601" s="13" t="str">
        <x:v>Financials</x:v>
      </x:c>
      <x:c r="G7601" s="13" t="str">
        <x:v>grid_cqzdsc3v.xlsx</x:v>
      </x:c>
    </x:row>
    <x:row r="7602">
      <x:c r="A7602" s="15" t="n">
        <x:v>43922</x:v>
      </x:c>
      <x:c r="B7602" s="13" t="str">
        <x:v>BB SEGURIDADE PARTICIPACOES</x:v>
      </x:c>
      <x:c r="C7602" s="16" t="n">
        <x:v>4322.6974334247</x:v>
      </x:c>
      <x:c r="D7602" s="13" t="str">
        <x:v>Financials Non-Banks</x:v>
      </x:c>
      <x:c r="E7602" s="13" t="str">
        <x:v>Financials Non-Banks</x:v>
      </x:c>
      <x:c r="F7602" s="13" t="str">
        <x:v>Financials</x:v>
      </x:c>
      <x:c r="G7602" s="13" t="str">
        <x:v>grid_cqzdsc3v.xlsx</x:v>
      </x:c>
    </x:row>
    <x:row r="7603">
      <x:c r="A7603" s="15" t="n">
        <x:v>43922</x:v>
      </x:c>
      <x:c r="B7603" s="13" t="str">
        <x:v>CIELO SA</x:v>
      </x:c>
      <x:c r="C7603" s="16" t="n">
        <x:v>1022.7001117808</x:v>
      </x:c>
      <x:c r="D7603" s="13" t="str">
        <x:v>Financials Non-Banks</x:v>
      </x:c>
      <x:c r="E7603" s="13" t="str">
        <x:v>Financials Non-Banks</x:v>
      </x:c>
      <x:c r="F7603" s="13" t="str">
        <x:v>Financials</x:v>
      </x:c>
      <x:c r="G7603" s="13" t="str">
        <x:v>Ibovespa_earnings_consolidated.xlsx</x:v>
      </x:c>
    </x:row>
    <x:row r="7604">
      <x:c r="A7604" s="15" t="n">
        <x:v>43922</x:v>
      </x:c>
      <x:c r="B7604" s="13" t="str">
        <x:v>CIELO SA - INSTITUICAO DE PA</x:v>
      </x:c>
      <x:c r="C7604" s="16" t="n">
        <x:v>1022.7001117808</x:v>
      </x:c>
      <x:c r="D7604" s="13" t="str">
        <x:v>Financials Non-Banks</x:v>
      </x:c>
      <x:c r="E7604" s="13" t="str">
        <x:v>Financials Non-Banks</x:v>
      </x:c>
      <x:c r="F7604" s="13" t="str">
        <x:v>Financials</x:v>
      </x:c>
      <x:c r="G7604" s="13" t="str">
        <x:v>grid_cqzdsc3v.xlsx</x:v>
      </x:c>
    </x:row>
    <x:row r="7605">
      <x:c r="A7605" s="15" t="n">
        <x:v>43922</x:v>
      </x:c>
      <x:c r="B7605" s="13" t="str">
        <x:v>IRB BRASIL RESSEGUROS SA</x:v>
      </x:c>
      <x:c r="C7605" s="16" t="n">
        <x:v>1822.8767228493</x:v>
      </x:c>
      <x:c r="D7605" s="13" t="str">
        <x:v>Financials Non-Banks</x:v>
      </x:c>
      <x:c r="E7605" s="13" t="str">
        <x:v>Financials Non-Banks</x:v>
      </x:c>
      <x:c r="F7605" s="13" t="str">
        <x:v>Financials</x:v>
      </x:c>
      <x:c r="G7605" s="13" t="str">
        <x:v>grid_cqzdsc3v.xlsx</x:v>
      </x:c>
    </x:row>
    <x:row r="7606">
      <x:c r="A7606" s="15" t="n">
        <x:v>43922</x:v>
      </x:c>
      <x:c r="B7606" s="13" t="str">
        <x:v>ITAUSA SA</x:v>
      </x:c>
      <x:c r="C7606" s="16" t="n">
        <x:v>9958.0665266849</x:v>
      </x:c>
      <x:c r="D7606" s="13" t="str">
        <x:v>Financials Non-Banks</x:v>
      </x:c>
      <x:c r="E7606" s="13" t="str">
        <x:v>Financials Non-Banks</x:v>
      </x:c>
      <x:c r="F7606" s="13" t="str">
        <x:v>Financials</x:v>
      </x:c>
      <x:c r="G7606" s="13" t="str">
        <x:v>grid_cqzdsc3v.xlsx</x:v>
      </x:c>
    </x:row>
    <x:row r="7607">
      <x:c r="A7607" s="15" t="n">
        <x:v>43922</x:v>
      </x:c>
      <x:c r="B7607" s="13" t="str">
        <x:v>AMBEV SA</x:v>
      </x:c>
      <x:c r="C7607" s="16" t="n">
        <x:v>10933.5219270137</x:v>
      </x:c>
      <x:c r="D7607" s="13" t="str">
        <x:v>Food &amp; Beverages</x:v>
      </x:c>
      <x:c r="E7607" s="13" t="str">
        <x:v>Agri, Food &amp; Beverages</x:v>
      </x:c>
      <x:c r="F7607" s="13" t="str">
        <x:v>Defensives</x:v>
      </x:c>
      <x:c r="G7607" s="13" t="str">
        <x:v>grid_cqzdsc3v.xlsx</x:v>
      </x:c>
    </x:row>
    <x:row r="7608">
      <x:c r="A7608" s="15" t="n">
        <x:v>43922</x:v>
      </x:c>
      <x:c r="B7608" s="13" t="str">
        <x:v>BRF SA</x:v>
      </x:c>
      <x:c r="C7608" s="16" t="n">
        <x:v>367.4178029589</x:v>
      </x:c>
      <x:c r="D7608" s="13" t="str">
        <x:v>Food &amp; Beverages</x:v>
      </x:c>
      <x:c r="E7608" s="13" t="str">
        <x:v>Agri, Food &amp; Beverages</x:v>
      </x:c>
      <x:c r="F7608" s="13" t="str">
        <x:v>Defensives</x:v>
      </x:c>
      <x:c r="G7608" s="13" t="str">
        <x:v>grid_cqzdsc3v.xlsx</x:v>
      </x:c>
    </x:row>
    <x:row r="7609">
      <x:c r="A7609" s="15" t="n">
        <x:v>43922</x:v>
      </x:c>
      <x:c r="B7609" s="13" t="str">
        <x:v>JBS SA</x:v>
      </x:c>
      <x:c r="C7609" s="16" t="n">
        <x:v>5201.4915191233</x:v>
      </x:c>
      <x:c r="D7609" s="13" t="str">
        <x:v>Food &amp; Beverages</x:v>
      </x:c>
      <x:c r="E7609" s="13" t="str">
        <x:v>Agri, Food &amp; Beverages</x:v>
      </x:c>
      <x:c r="F7609" s="13" t="str">
        <x:v>Defensives</x:v>
      </x:c>
      <x:c r="G7609" s="13" t="str">
        <x:v>grid_cqzdsc3v.xlsx</x:v>
      </x:c>
    </x:row>
    <x:row r="7610">
      <x:c r="A7610" s="15" t="n">
        <x:v>43922</x:v>
      </x:c>
      <x:c r="B7610" s="13" t="str">
        <x:v>MBRF GLOBAL FOODS COMPANY SA</x:v>
      </x:c>
      <x:c r="C7610" s="16" t="n">
        <x:v>807.6558790137</x:v>
      </x:c>
      <x:c r="D7610" s="13" t="str">
        <x:v>Food &amp; Beverages</x:v>
      </x:c>
      <x:c r="E7610" s="13" t="str">
        <x:v>Agri, Food &amp; Beverages</x:v>
      </x:c>
      <x:c r="F7610" s="13" t="str">
        <x:v>Defensives</x:v>
      </x:c>
      <x:c r="G7610" s="13" t="str">
        <x:v>grid_cqzdsc3v.xlsx</x:v>
      </x:c>
    </x:row>
    <x:row r="7611">
      <x:c r="A7611" s="15" t="n">
        <x:v>43922</x:v>
      </x:c>
      <x:c r="B7611" s="13" t="str">
        <x:v>FLEURY SA</x:v>
      </x:c>
      <x:c r="C7611" s="16" t="n">
        <x:v>329.2287013699</x:v>
      </x:c>
      <x:c r="D7611" s="13" t="str">
        <x:v>Health Care</x:v>
      </x:c>
      <x:c r="E7611" s="13" t="str">
        <x:v>Health Care</x:v>
      </x:c>
      <x:c r="F7611" s="13" t="str">
        <x:v>Defensives</x:v>
      </x:c>
      <x:c r="G7611" s="13" t="str">
        <x:v>grid_cqzdsc3v.xlsx</x:v>
      </x:c>
    </x:row>
    <x:row r="7612">
      <x:c r="A7612" s="15" t="n">
        <x:v>43922</x:v>
      </x:c>
      <x:c r="B7612" s="13" t="str">
        <x:v>HAPVIDA PARTICIPACOES E INVE</x:v>
      </x:c>
      <x:c r="C7612" s="16" t="n">
        <x:v>1047.7851800548</x:v>
      </x:c>
      <x:c r="D7612" s="13" t="str">
        <x:v>Health Care</x:v>
      </x:c>
      <x:c r="E7612" s="13" t="str">
        <x:v>Health Care</x:v>
      </x:c>
      <x:c r="F7612" s="13" t="str">
        <x:v>Defensives</x:v>
      </x:c>
      <x:c r="G7612" s="13" t="str">
        <x:v>grid_cqzdsc3v.xlsx</x:v>
      </x:c>
    </x:row>
    <x:row r="7613">
      <x:c r="A7613" s="15" t="n">
        <x:v>43922</x:v>
      </x:c>
      <x:c r="B7613" s="13" t="str">
        <x:v>HYPERA SA</x:v>
      </x:c>
      <x:c r="C7613" s="16" t="n">
        <x:v>1237.574284274</x:v>
      </x:c>
      <x:c r="D7613" s="13" t="str">
        <x:v>Health Care</x:v>
      </x:c>
      <x:c r="E7613" s="13" t="str">
        <x:v>Health Care</x:v>
      </x:c>
      <x:c r="F7613" s="13" t="str">
        <x:v>Defensives</x:v>
      </x:c>
      <x:c r="G7613" s="13" t="str">
        <x:v>grid_cqzdsc3v.xlsx</x:v>
      </x:c>
    </x:row>
    <x:row r="7614">
      <x:c r="A7614" s="15" t="n">
        <x:v>43922</x:v>
      </x:c>
      <x:c r="B7614" s="13" t="str">
        <x:v>NOTRE DAME INTERMED PAR SA</x:v>
      </x:c>
      <x:c r="C7614" s="16" t="n">
        <x:v>851.4989308493</x:v>
      </x:c>
      <x:c r="D7614" s="13" t="str">
        <x:v>Health Care</x:v>
      </x:c>
      <x:c r="E7614" s="13" t="str">
        <x:v>Health Care</x:v>
      </x:c>
      <x:c r="F7614" s="13" t="str">
        <x:v>Defensives</x:v>
      </x:c>
      <x:c r="G7614" s="13" t="str">
        <x:v>grid_cqzdsc3v.xlsx</x:v>
      </x:c>
    </x:row>
    <x:row r="7615">
      <x:c r="A7615" s="15" t="n">
        <x:v>43922</x:v>
      </x:c>
      <x:c r="B7615" s="13" t="str">
        <x:v>QUALICORP CONS E CORR SEG SA</x:v>
      </x:c>
      <x:c r="C7615" s="16" t="n">
        <x:v>583.4314748493</x:v>
      </x:c>
      <x:c r="D7615" s="13" t="str">
        <x:v>Health Care</x:v>
      </x:c>
      <x:c r="E7615" s="13" t="str">
        <x:v>Health Care</x:v>
      </x:c>
      <x:c r="F7615" s="13" t="str">
        <x:v>Defensives</x:v>
      </x:c>
      <x:c r="G7615" s="13" t="str">
        <x:v>grid_cqzdsc3v.xlsx</x:v>
      </x:c>
    </x:row>
    <x:row r="7616">
      <x:c r="A7616" s="15" t="n">
        <x:v>43922</x:v>
      </x:c>
      <x:c r="B7616" s="13" t="str">
        <x:v>SUL AMERICA SA - UNITS</x:v>
      </x:c>
      <x:c r="C7616" s="16" t="n">
        <x:v>1179.2989930959</x:v>
      </x:c>
      <x:c r="D7616" s="13" t="str">
        <x:v>Health Care</x:v>
      </x:c>
      <x:c r="E7616" s="13" t="str">
        <x:v>Health Care</x:v>
      </x:c>
      <x:c r="F7616" s="13" t="str">
        <x:v>Defensives</x:v>
      </x:c>
      <x:c r="G7616" s="13" t="str">
        <x:v>grid_cqzdsc3v.xlsx</x:v>
      </x:c>
    </x:row>
    <x:row r="7617">
      <x:c r="A7617" s="15" t="n">
        <x:v>43922</x:v>
      </x:c>
      <x:c r="B7617" s="13" t="str">
        <x:v>CYRELA BRAZIL REALTY SA EMP</x:v>
      </x:c>
      <x:c r="C7617" s="16" t="n">
        <x:v>406.1345205479</x:v>
      </x:c>
      <x:c r="D7617" s="13" t="str">
        <x:v>Homebuilders</x:v>
      </x:c>
      <x:c r="E7617" s="13" t="str">
        <x:v>Real Estate</x:v>
      </x:c>
      <x:c r="F7617" s="13" t="str">
        <x:v>Early Cyclicals</x:v>
      </x:c>
      <x:c r="G7617" s="13" t="str">
        <x:v>grid_cqzdsc3v.xlsx</x:v>
      </x:c>
    </x:row>
    <x:row r="7618">
      <x:c r="A7618" s="15" t="n">
        <x:v>43922</x:v>
      </x:c>
      <x:c r="B7618" s="13" t="str">
        <x:v>MRV ENGENHARIA</x:v>
      </x:c>
      <x:c r="C7618" s="16" t="n">
        <x:v>511.3916686027</x:v>
      </x:c>
      <x:c r="D7618" s="13" t="str">
        <x:v>Homebuilders</x:v>
      </x:c>
      <x:c r="E7618" s="13" t="str">
        <x:v>Real Estate</x:v>
      </x:c>
      <x:c r="F7618" s="13" t="str">
        <x:v>Early Cyclicals</x:v>
      </x:c>
      <x:c r="G7618" s="13" t="str">
        <x:v>grid_cqzdsc3v.xlsx</x:v>
      </x:c>
    </x:row>
    <x:row r="7619">
      <x:c r="A7619" s="15" t="n">
        <x:v>43922</x:v>
      </x:c>
      <x:c r="B7619" s="13" t="str">
        <x:v>BR MALLS PARTICIPACOES SA</x:v>
      </x:c>
      <x:c r="C7619" s="16" t="n">
        <x:v>380.0372462466</x:v>
      </x:c>
      <x:c r="D7619" s="13" t="str">
        <x:v>Income Properties</x:v>
      </x:c>
      <x:c r="E7619" s="13" t="str">
        <x:v>Real Estate</x:v>
      </x:c>
      <x:c r="F7619" s="13" t="str">
        <x:v>Early Cyclicals</x:v>
      </x:c>
      <x:c r="G7619" s="13" t="str">
        <x:v>grid_cqzdsc3v.xlsx</x:v>
      </x:c>
    </x:row>
    <x:row r="7620">
      <x:c r="A7620" s="15" t="n">
        <x:v>43922</x:v>
      </x:c>
      <x:c r="B7620" s="13" t="str">
        <x:v>IGUATEMI EMP DE SHOPPING</x:v>
      </x:c>
      <x:c r="C7620" s="16" t="n">
        <x:v>193.4842465753</x:v>
      </x:c>
      <x:c r="D7620" s="13" t="str">
        <x:v>Income Properties</x:v>
      </x:c>
      <x:c r="E7620" s="13" t="str">
        <x:v>Real Estate</x:v>
      </x:c>
      <x:c r="F7620" s="13" t="str">
        <x:v>Early Cyclicals</x:v>
      </x:c>
      <x:c r="G7620" s="13" t="str">
        <x:v>grid_cqzdsc3v.xlsx</x:v>
      </x:c>
    </x:row>
    <x:row r="7621">
      <x:c r="A7621" s="15" t="n">
        <x:v>43922</x:v>
      </x:c>
      <x:c r="B7621" s="13" t="str">
        <x:v>MULTIPLAN EMPREENDIMENTOS</x:v>
      </x:c>
      <x:c r="C7621" s="16" t="n">
        <x:v>383.6523892603</x:v>
      </x:c>
      <x:c r="D7621" s="13" t="str">
        <x:v>Income Properties</x:v>
      </x:c>
      <x:c r="E7621" s="13" t="str">
        <x:v>Real Estate</x:v>
      </x:c>
      <x:c r="F7621" s="13" t="str">
        <x:v>Early Cyclicals</x:v>
      </x:c>
      <x:c r="G7621" s="13" t="str">
        <x:v>grid_cqzdsc3v.xlsx</x:v>
      </x:c>
    </x:row>
    <x:row r="7622">
      <x:c r="A7622" s="15" t="n">
        <x:v>43922</x:v>
      </x:c>
      <x:c r="B7622" s="13" t="str">
        <x:v>BRADESPAR SA -PREF</x:v>
      </x:c>
      <x:c r="C7622" s="16" t="n">
        <x:v>1922.6781036712</x:v>
      </x:c>
      <x:c r="D7622" s="13" t="str">
        <x:v>Metals &amp; Mining</x:v>
      </x:c>
      <x:c r="E7622" s="13" t="str">
        <x:v>Metals &amp; Mining</x:v>
      </x:c>
      <x:c r="F7622" s="13" t="str">
        <x:v>Deep Cyclicals</x:v>
      </x:c>
      <x:c r="G7622" s="13" t="str">
        <x:v>grid_cqzdsc3v.xlsx</x:v>
      </x:c>
    </x:row>
    <x:row r="7623">
      <x:c r="A7623" s="15" t="n">
        <x:v>43922</x:v>
      </x:c>
      <x:c r="B7623" s="13" t="str">
        <x:v>CIA SIDERURGICA NACIONAL SA</x:v>
      </x:c>
      <x:c r="C7623" s="16" t="n">
        <x:v>725.2945205479</x:v>
      </x:c>
      <x:c r="D7623" s="13" t="str">
        <x:v>Metals &amp; Mining</x:v>
      </x:c>
      <x:c r="E7623" s="13" t="str">
        <x:v>Metals &amp; Mining</x:v>
      </x:c>
      <x:c r="F7623" s="13" t="str">
        <x:v>Deep Cyclicals</x:v>
      </x:c>
      <x:c r="G7623" s="13" t="str">
        <x:v>grid_cqzdsc3v.xlsx</x:v>
      </x:c>
    </x:row>
    <x:row r="7624">
      <x:c r="A7624" s="15" t="n">
        <x:v>43922</x:v>
      </x:c>
      <x:c r="B7624" s="13" t="str">
        <x:v>GERDAU SA-PREF</x:v>
      </x:c>
      <x:c r="C7624" s="16" t="n">
        <x:v>206.3698713425</x:v>
      </x:c>
      <x:c r="D7624" s="13" t="str">
        <x:v>Metals &amp; Mining</x:v>
      </x:c>
      <x:c r="E7624" s="13" t="str">
        <x:v>Metals &amp; Mining</x:v>
      </x:c>
      <x:c r="F7624" s="13" t="str">
        <x:v>Deep Cyclicals</x:v>
      </x:c>
      <x:c r="G7624" s="13" t="str">
        <x:v>grid_cqzdsc3v.xlsx</x:v>
      </x:c>
    </x:row>
    <x:row r="7625">
      <x:c r="A7625" s="15" t="n">
        <x:v>43922</x:v>
      </x:c>
      <x:c r="B7625" s="13" t="str">
        <x:v>METALURGICA GERDAU SA-PREF</x:v>
      </x:c>
      <x:c r="C7625" s="16" t="n">
        <x:v>849.7397260274</x:v>
      </x:c>
      <x:c r="D7625" s="13" t="str">
        <x:v>Metals &amp; Mining</x:v>
      </x:c>
      <x:c r="E7625" s="13" t="str">
        <x:v>Metals &amp; Mining</x:v>
      </x:c>
      <x:c r="F7625" s="13" t="str">
        <x:v>Deep Cyclicals</x:v>
      </x:c>
      <x:c r="G7625" s="13" t="str">
        <x:v>grid_cqzdsc3v.xlsx</x:v>
      </x:c>
    </x:row>
    <x:row r="7626">
      <x:c r="A7626" s="15" t="n">
        <x:v>43922</x:v>
      </x:c>
      <x:c r="B7626" s="13" t="str">
        <x:v>USINAS SIDER MINAS GER-PF A</x:v>
      </x:c>
      <x:c r="C7626" s="16" t="n">
        <x:v>-69.5122248767</x:v>
      </x:c>
      <x:c r="D7626" s="13" t="str">
        <x:v>Metals &amp; Mining</x:v>
      </x:c>
      <x:c r="E7626" s="13" t="str">
        <x:v>Metals &amp; Mining</x:v>
      </x:c>
      <x:c r="F7626" s="13" t="str">
        <x:v>Deep Cyclicals</x:v>
      </x:c>
      <x:c r="G7626" s="13" t="str">
        <x:v>grid_cqzdsc3v.xlsx</x:v>
      </x:c>
    </x:row>
    <x:row r="7627">
      <x:c r="A7627" s="15" t="n">
        <x:v>43922</x:v>
      </x:c>
      <x:c r="B7627" s="13" t="str">
        <x:v>VALE SA</x:v>
      </x:c>
      <x:c r="C7627" s="16" t="n">
        <x:v>35422.0180129315</x:v>
      </x:c>
      <x:c r="D7627" s="13" t="str">
        <x:v>Metals &amp; Mining</x:v>
      </x:c>
      <x:c r="E7627" s="13" t="str">
        <x:v>Metals &amp; Mining</x:v>
      </x:c>
      <x:c r="F7627" s="13" t="str">
        <x:v>Deep Cyclicals</x:v>
      </x:c>
      <x:c r="G7627" s="13" t="str">
        <x:v>grid_cqzdsc3v.xlsx</x:v>
      </x:c>
    </x:row>
    <x:row r="7628">
      <x:c r="A7628" s="15" t="n">
        <x:v>43922</x:v>
      </x:c>
      <x:c r="B7628" s="13" t="str">
        <x:v>BRASKEM SA-PREF A</x:v>
      </x:c>
      <x:c r="C7628" s="16" t="n">
        <x:v>-903.0520547945</x:v>
      </x:c>
      <x:c r="D7628" s="13" t="str">
        <x:v>Oil, Gas &amp; Petrochemicals</x:v>
      </x:c>
      <x:c r="E7628" s="13" t="str">
        <x:v>Oil, Gas &amp; Petrochemicals</x:v>
      </x:c>
      <x:c r="F7628" s="13" t="str">
        <x:v>Deep Cyclicals</x:v>
      </x:c>
      <x:c r="G7628" s="13" t="str">
        <x:v>grid_cqzdsc3v.xlsx</x:v>
      </x:c>
    </x:row>
    <x:row r="7629">
      <x:c r="A7629" s="15" t="n">
        <x:v>43922</x:v>
      </x:c>
      <x:c r="B7629" s="13" t="str">
        <x:v>COSAN SA</x:v>
      </x:c>
      <x:c r="C7629" s="16" t="n">
        <x:v>1866.9463601096</x:v>
      </x:c>
      <x:c r="D7629" s="13" t="str">
        <x:v>Oil, Gas &amp; Petrochemicals</x:v>
      </x:c>
      <x:c r="E7629" s="13" t="str">
        <x:v>Oil, Gas &amp; Petrochemicals</x:v>
      </x:c>
      <x:c r="F7629" s="13" t="str">
        <x:v>Deep Cyclicals</x:v>
      </x:c>
      <x:c r="G7629" s="13" t="str">
        <x:v>grid_cqzdsc3v.xlsx</x:v>
      </x:c>
    </x:row>
    <x:row r="7630">
      <x:c r="A7630" s="15" t="n">
        <x:v>43922</x:v>
      </x:c>
      <x:c r="B7630" s="13" t="str">
        <x:v>PETROBRAS - PETROLEO BRAS</x:v>
      </x:c>
      <x:c r="C7630" s="16" t="n">
        <x:v>6703.7099936438</x:v>
      </x:c>
      <x:c r="D7630" s="13" t="str">
        <x:v>Oil, Gas &amp; Petrochemicals</x:v>
      </x:c>
      <x:c r="E7630" s="13" t="str">
        <x:v>Oil, Gas &amp; Petrochemicals</x:v>
      </x:c>
      <x:c r="F7630" s="13" t="str">
        <x:v>Deep Cyclicals</x:v>
      </x:c>
      <x:c r="G7630" s="13" t="str">
        <x:v>grid_cqzdsc3v.xlsx</x:v>
      </x:c>
    </x:row>
    <x:row r="7631">
      <x:c r="A7631" s="15" t="n">
        <x:v>43922</x:v>
      </x:c>
      <x:c r="B7631" s="13" t="str">
        <x:v>ULTRAPAR PARTICIPACOES SA</x:v>
      </x:c>
      <x:c r="C7631" s="16" t="n">
        <x:v>946.285010411</x:v>
      </x:c>
      <x:c r="D7631" s="13" t="str">
        <x:v>Oil, Gas &amp; Petrochemicals</x:v>
      </x:c>
      <x:c r="E7631" s="13" t="str">
        <x:v>Oil, Gas &amp; Petrochemicals</x:v>
      </x:c>
      <x:c r="F7631" s="13" t="str">
        <x:v>Deep Cyclicals</x:v>
      </x:c>
      <x:c r="G7631" s="13" t="str">
        <x:v>grid_cqzdsc3v.xlsx</x:v>
      </x:c>
    </x:row>
    <x:row r="7632">
      <x:c r="A7632" s="15" t="n">
        <x:v>43922</x:v>
      </x:c>
      <x:c r="B7632" s="13" t="str">
        <x:v>VIBRA ENERGIA SA</x:v>
      </x:c>
      <x:c r="C7632" s="16" t="n">
        <x:v>1395.5127180274</x:v>
      </x:c>
      <x:c r="D7632" s="13" t="str">
        <x:v>Oil, Gas &amp; Petrochemicals</x:v>
      </x:c>
      <x:c r="E7632" s="13" t="str">
        <x:v>Oil, Gas &amp; Petrochemicals</x:v>
      </x:c>
      <x:c r="F7632" s="13" t="str">
        <x:v>Deep Cyclicals</x:v>
      </x:c>
      <x:c r="G7632" s="13" t="str">
        <x:v>grid_cqzdsc3v.xlsx</x:v>
      </x:c>
    </x:row>
    <x:row r="7633">
      <x:c r="A7633" s="15" t="n">
        <x:v>43922</x:v>
      </x:c>
      <x:c r="B7633" s="13" t="str">
        <x:v>KLABIN SA - UNIT</x:v>
      </x:c>
      <x:c r="C7633" s="16" t="n">
        <x:v>-468.1152</x:v>
      </x:c>
      <x:c r="D7633" s="13" t="str">
        <x:v>Pulp &amp; Paper</x:v>
      </x:c>
      <x:c r="E7633" s="13" t="str">
        <x:v>Pulp &amp; Paper</x:v>
      </x:c>
      <x:c r="F7633" s="13" t="str">
        <x:v>Deep Cyclicals</x:v>
      </x:c>
      <x:c r="G7633" s="13" t="str">
        <x:v>grid_cqzdsc3v.xlsx</x:v>
      </x:c>
    </x:row>
    <x:row r="7634">
      <x:c r="A7634" s="15" t="n">
        <x:v>43922</x:v>
      </x:c>
      <x:c r="B7634" s="13" t="str">
        <x:v>SUZANO SA</x:v>
      </x:c>
      <x:c r="C7634" s="16" t="n">
        <x:v>-2555.8714213699</x:v>
      </x:c>
      <x:c r="D7634" s="13" t="str">
        <x:v>Pulp &amp; Paper</x:v>
      </x:c>
      <x:c r="E7634" s="13" t="str">
        <x:v>Pulp &amp; Paper</x:v>
      </x:c>
      <x:c r="F7634" s="13" t="str">
        <x:v>Deep Cyclicals</x:v>
      </x:c>
      <x:c r="G7634" s="13" t="str">
        <x:v>grid_cqzdsc3v.xlsx</x:v>
      </x:c>
    </x:row>
    <x:row r="7635">
      <x:c r="A7635" s="15" t="n">
        <x:v>43922</x:v>
      </x:c>
      <x:c r="B7635" s="13" t="str">
        <x:v>AMERICANAS SA</x:v>
      </x:c>
      <x:c r="C7635" s="16" t="n">
        <x:v>-83.8945205479</x:v>
      </x:c>
      <x:c r="D7635" s="13" t="str">
        <x:v>Retail</x:v>
      </x:c>
      <x:c r="E7635" s="13" t="str">
        <x:v>Retail</x:v>
      </x:c>
      <x:c r="F7635" s="13" t="str">
        <x:v>Early Cyclicals</x:v>
      </x:c>
      <x:c r="G7635" s="13" t="str">
        <x:v>grid_cqzdsc3v.xlsx</x:v>
      </x:c>
    </x:row>
    <x:row r="7636">
      <x:c r="A7636" s="15" t="n">
        <x:v>43922</x:v>
      </x:c>
      <x:c r="B7636" s="13" t="str">
        <x:v>ATACADAO SA</x:v>
      </x:c>
      <x:c r="C7636" s="16" t="n">
        <x:v>2181.9725711781</x:v>
      </x:c>
      <x:c r="D7636" s="13" t="str">
        <x:v>Retail</x:v>
      </x:c>
      <x:c r="E7636" s="13" t="str">
        <x:v>Retail</x:v>
      </x:c>
      <x:c r="F7636" s="13" t="str">
        <x:v>Early Cyclicals</x:v>
      </x:c>
      <x:c r="G7636" s="13" t="str">
        <x:v>grid_cqzdsc3v.xlsx</x:v>
      </x:c>
    </x:row>
    <x:row r="7637">
      <x:c r="A7637" s="15" t="n">
        <x:v>43922</x:v>
      </x:c>
      <x:c r="B7637" s="13" t="str">
        <x:v>CIA BRASILEIRA DE DISTRIBUIC</x:v>
      </x:c>
      <x:c r="C7637" s="16" t="n">
        <x:v>1435.9487666849</x:v>
      </x:c>
      <x:c r="D7637" s="13" t="str">
        <x:v>Retail</x:v>
      </x:c>
      <x:c r="E7637" s="13" t="str">
        <x:v>Retail</x:v>
      </x:c>
      <x:c r="F7637" s="13" t="str">
        <x:v>Early Cyclicals</x:v>
      </x:c>
      <x:c r="G7637" s="13" t="str">
        <x:v>grid_cqzdsc3v.xlsx</x:v>
      </x:c>
    </x:row>
    <x:row r="7638">
      <x:c r="A7638" s="15" t="n">
        <x:v>43922</x:v>
      </x:c>
      <x:c r="B7638" s="13" t="str">
        <x:v>CIA HERING</x:v>
      </x:c>
      <x:c r="C7638" s="16" t="n">
        <x:v>146.6448603836</x:v>
      </x:c>
      <x:c r="D7638" s="13" t="str">
        <x:v>Retail</x:v>
      </x:c>
      <x:c r="E7638" s="13" t="str">
        <x:v>Retail</x:v>
      </x:c>
      <x:c r="F7638" s="13" t="str">
        <x:v>Early Cyclicals</x:v>
      </x:c>
      <x:c r="G7638" s="13" t="str">
        <x:v>grid_cqzdsc3v.xlsx</x:v>
      </x:c>
    </x:row>
    <x:row r="7639">
      <x:c r="A7639" s="15" t="n">
        <x:v>43922</x:v>
      </x:c>
      <x:c r="B7639" s="13" t="str">
        <x:v>CVC BRASIL OPERADORA E AGENC</x:v>
      </x:c>
      <x:c r="C7639" s="16" t="n">
        <x:v>323.0479452055</x:v>
      </x:c>
      <x:c r="D7639" s="13" t="str">
        <x:v>Retail</x:v>
      </x:c>
      <x:c r="E7639" s="13" t="str">
        <x:v>Retail</x:v>
      </x:c>
      <x:c r="F7639" s="13" t="str">
        <x:v>Early Cyclicals</x:v>
      </x:c>
      <x:c r="G7639" s="13" t="str">
        <x:v>grid_cqzdsc3v.xlsx</x:v>
      </x:c>
    </x:row>
    <x:row r="7640">
      <x:c r="A7640" s="15" t="n">
        <x:v>43922</x:v>
      </x:c>
      <x:c r="B7640" s="13" t="str">
        <x:v>GRUPO CASAS BAHIA SA</x:v>
      </x:c>
      <x:c r="C7640" s="16" t="n">
        <x:v>229.7092766027</x:v>
      </x:c>
      <x:c r="D7640" s="13" t="str">
        <x:v>Retail</x:v>
      </x:c>
      <x:c r="E7640" s="13" t="str">
        <x:v>Retail</x:v>
      </x:c>
      <x:c r="F7640" s="13" t="str">
        <x:v>Early Cyclicals</x:v>
      </x:c>
      <x:c r="G7640" s="13" t="str">
        <x:v>grid_cqzdsc3v.xlsx</x:v>
      </x:c>
    </x:row>
    <x:row r="7641">
      <x:c r="A7641" s="15" t="n">
        <x:v>43922</x:v>
      </x:c>
      <x:c r="B7641" s="13" t="str">
        <x:v>LOJAS AMERICANAS SA-PREF</x:v>
      </x:c>
      <x:c r="C7641" s="16" t="n">
        <x:v>827.8164795616</x:v>
      </x:c>
      <x:c r="D7641" s="13" t="str">
        <x:v>Retail</x:v>
      </x:c>
      <x:c r="E7641" s="13" t="str">
        <x:v>Retail</x:v>
      </x:c>
      <x:c r="F7641" s="13" t="str">
        <x:v>Early Cyclicals</x:v>
      </x:c>
      <x:c r="G7641" s="13" t="str">
        <x:v>grid_cqzdsc3v.xlsx</x:v>
      </x:c>
    </x:row>
    <x:row r="7642">
      <x:c r="A7642" s="15" t="n">
        <x:v>43922</x:v>
      </x:c>
      <x:c r="B7642" s="13" t="str">
        <x:v>LOJAS RENNER S.A.</x:v>
      </x:c>
      <x:c r="C7642" s="16" t="n">
        <x:v>1070.9736740822</x:v>
      </x:c>
      <x:c r="D7642" s="13" t="str">
        <x:v>Retail</x:v>
      </x:c>
      <x:c r="E7642" s="13" t="str">
        <x:v>Retail</x:v>
      </x:c>
      <x:c r="F7642" s="13" t="str">
        <x:v>Early Cyclicals</x:v>
      </x:c>
      <x:c r="G7642" s="13" t="str">
        <x:v>grid_cqzdsc3v.xlsx</x:v>
      </x:c>
    </x:row>
    <x:row r="7643">
      <x:c r="A7643" s="15" t="n">
        <x:v>43922</x:v>
      </x:c>
      <x:c r="B7643" s="13" t="str">
        <x:v>MAGAZINE LUIZA SA</x:v>
      </x:c>
      <x:c r="C7643" s="16" t="n">
        <x:v>532.2664714521</x:v>
      </x:c>
      <x:c r="D7643" s="13" t="str">
        <x:v>Retail</x:v>
      </x:c>
      <x:c r="E7643" s="13" t="str">
        <x:v>Retail</x:v>
      </x:c>
      <x:c r="F7643" s="13" t="str">
        <x:v>Early Cyclicals</x:v>
      </x:c>
      <x:c r="G7643" s="13" t="str">
        <x:v>grid_cqzdsc3v.xlsx</x:v>
      </x:c>
    </x:row>
    <x:row r="7644">
      <x:c r="A7644" s="15" t="n">
        <x:v>43922</x:v>
      </x:c>
      <x:c r="B7644" s="13" t="str">
        <x:v>NATURA &amp;CO HOLDING SA</x:v>
      </x:c>
      <x:c r="C7644" s="16" t="n">
        <x:v>926.2301580274</x:v>
      </x:c>
      <x:c r="D7644" s="13" t="str">
        <x:v>Retail</x:v>
      </x:c>
      <x:c r="E7644" s="13" t="str">
        <x:v>Retail</x:v>
      </x:c>
      <x:c r="F7644" s="13" t="str">
        <x:v>Early Cyclicals</x:v>
      </x:c>
      <x:c r="G7644" s="13" t="str">
        <x:v>grid_cqzdsc3v.xlsx</x:v>
      </x:c>
    </x:row>
    <x:row r="7645">
      <x:c r="A7645" s="15" t="n">
        <x:v>43922</x:v>
      </x:c>
      <x:c r="B7645" s="13" t="str">
        <x:v>RAIA DROGASIL SA</x:v>
      </x:c>
      <x:c r="C7645" s="16" t="n">
        <x:v>746.1343833425</x:v>
      </x:c>
      <x:c r="D7645" s="13" t="str">
        <x:v>Retail</x:v>
      </x:c>
      <x:c r="E7645" s="13" t="str">
        <x:v>Retail</x:v>
      </x:c>
      <x:c r="F7645" s="13" t="str">
        <x:v>Early Cyclicals</x:v>
      </x:c>
      <x:c r="G7645" s="13" t="str">
        <x:v>grid_cqzdsc3v.xlsx</x:v>
      </x:c>
    </x:row>
    <x:row r="7646">
      <x:c r="A7646" s="15" t="n">
        <x:v>43922</x:v>
      </x:c>
      <x:c r="B7646" s="13" t="str">
        <x:v>CIA SANEAMENTO BASICO DE SP</x:v>
      </x:c>
      <x:c r="C7646" s="16" t="n">
        <x:v>2781.5395243836</x:v>
      </x:c>
      <x:c r="D7646" s="13" t="str">
        <x:v>Sanitation</x:v>
      </x:c>
      <x:c r="E7646" s="13" t="str">
        <x:v>Utilities</x:v>
      </x:c>
      <x:c r="F7646" s="13" t="str">
        <x:v>Defensives</x:v>
      </x:c>
      <x:c r="G7646" s="13" t="str">
        <x:v>grid_cqzdsc3v.xlsx</x:v>
      </x:c>
    </x:row>
    <x:row r="7647">
      <x:c r="A7647" s="15" t="n">
        <x:v>43922</x:v>
      </x:c>
      <x:c r="B7647" s="13" t="str">
        <x:v>SMILES FIDELIDADE SA</x:v>
      </x:c>
      <x:c r="C7647" s="16" t="n">
        <x:v>584.8904109589</x:v>
      </x:c>
      <x:c r="D7647" s="13" t="str">
        <x:v>TMT</x:v>
      </x:c>
      <x:c r="E7647" s="13" t="str">
        <x:v>TMT</x:v>
      </x:c>
      <x:c r="F7647" s="13" t="str">
        <x:v>Early Cyclicals</x:v>
      </x:c>
      <x:c r="G7647" s="13" t="str">
        <x:v>grid_cqzdsc3v.xlsx</x:v>
      </x:c>
    </x:row>
    <x:row r="7648">
      <x:c r="A7648" s="15" t="n">
        <x:v>43922</x:v>
      </x:c>
      <x:c r="B7648" s="13" t="str">
        <x:v>TELEFONICA BRASIL S.A.-PREF</x:v>
      </x:c>
      <x:c r="C7648" s="16" t="n">
        <x:v>5549.177273863</x:v>
      </x:c>
      <x:c r="D7648" s="13" t="str">
        <x:v>TMT</x:v>
      </x:c>
      <x:c r="E7648" s="13" t="str">
        <x:v>TMT</x:v>
      </x:c>
      <x:c r="F7648" s="13" t="str">
        <x:v>Early Cyclicals</x:v>
      </x:c>
      <x:c r="G7648" s="13" t="str">
        <x:v>grid_cqzdsc3v.xlsx</x:v>
      </x:c>
    </x:row>
    <x:row r="7649">
      <x:c r="A7649" s="15" t="n">
        <x:v>43922</x:v>
      </x:c>
      <x:c r="B7649" s="13" t="str">
        <x:v>TIM SA</x:v>
      </x:c>
      <x:c r="C7649" s="16" t="n">
        <x:v>2022.3480144658</x:v>
      </x:c>
      <x:c r="D7649" s="13" t="str">
        <x:v>TMT</x:v>
      </x:c>
      <x:c r="E7649" s="13" t="str">
        <x:v>TMT</x:v>
      </x:c>
      <x:c r="F7649" s="13" t="str">
        <x:v>Early Cyclicals</x:v>
      </x:c>
      <x:c r="G7649" s="13" t="str">
        <x:v>grid_cqzdsc3v.xlsx</x:v>
      </x:c>
    </x:row>
    <x:row r="7650">
      <x:c r="A7650" s="15" t="n">
        <x:v>43922</x:v>
      </x:c>
      <x:c r="B7650" s="13" t="str">
        <x:v>TOTVS SA</x:v>
      </x:c>
      <x:c r="C7650" s="16" t="n">
        <x:v>347.0444383562</x:v>
      </x:c>
      <x:c r="D7650" s="13" t="str">
        <x:v>TMT</x:v>
      </x:c>
      <x:c r="E7650" s="13" t="str">
        <x:v>TMT</x:v>
      </x:c>
      <x:c r="F7650" s="13" t="str">
        <x:v>Early Cyclicals</x:v>
      </x:c>
      <x:c r="G7650" s="13" t="str">
        <x:v>grid_cqzdsc3v.xlsx</x:v>
      </x:c>
    </x:row>
    <x:row r="7651">
      <x:c r="A7651" s="15" t="n">
        <x:v>43922</x:v>
      </x:c>
      <x:c r="B7651" s="13" t="str">
        <x:v>AZUL SA</x:v>
      </x:c>
      <x:c r="C7651" s="16" t="n">
        <x:v>-358.7948352877</x:v>
      </x:c>
      <x:c r="D7651" s="13" t="str">
        <x:v>Transportation</x:v>
      </x:c>
      <x:c r="E7651" s="13" t="str">
        <x:v>Transportation</x:v>
      </x:c>
      <x:c r="F7651" s="13" t="str">
        <x:v>Deep Cyclicals</x:v>
      </x:c>
      <x:c r="G7651" s="13" t="str">
        <x:v>grid_cqzdsc3v.xlsx</x:v>
      </x:c>
    </x:row>
    <x:row r="7652">
      <x:c r="A7652" s="15" t="n">
        <x:v>43922</x:v>
      </x:c>
      <x:c r="B7652" s="13" t="str">
        <x:v>ECORODOVIAS INFRA E LOG SA</x:v>
      </x:c>
      <x:c r="C7652" s="16" t="n">
        <x:v>473.6082191781</x:v>
      </x:c>
      <x:c r="D7652" s="13" t="str">
        <x:v>Transportation</x:v>
      </x:c>
      <x:c r="E7652" s="13" t="str">
        <x:v>Transportation</x:v>
      </x:c>
      <x:c r="F7652" s="13" t="str">
        <x:v>Deep Cyclicals</x:v>
      </x:c>
      <x:c r="G7652" s="13" t="str">
        <x:v>grid_cqzdsc3v.xlsx</x:v>
      </x:c>
    </x:row>
    <x:row r="7653">
      <x:c r="A7653" s="15" t="n">
        <x:v>43922</x:v>
      </x:c>
      <x:c r="B7653" s="13" t="str">
        <x:v>GOL LINHAS AEREAS INT SA-PRE</x:v>
      </x:c>
      <x:c r="C7653" s="16" t="n">
        <x:v>-479.6683809315</x:v>
      </x:c>
      <x:c r="D7653" s="13" t="str">
        <x:v>Transportation</x:v>
      </x:c>
      <x:c r="E7653" s="13" t="str">
        <x:v>Transportation</x:v>
      </x:c>
      <x:c r="F7653" s="13" t="str">
        <x:v>Deep Cyclicals</x:v>
      </x:c>
      <x:c r="G7653" s="13" t="str">
        <x:v>grid_cqzdsc3v.xlsx</x:v>
      </x:c>
    </x:row>
    <x:row r="7654">
      <x:c r="A7654" s="15" t="n">
        <x:v>43922</x:v>
      </x:c>
      <x:c r="B7654" s="13" t="str">
        <x:v>LOCALIZA RENT A CAR</x:v>
      </x:c>
      <x:c r="C7654" s="16" t="n">
        <x:v>920.3025227397</x:v>
      </x:c>
      <x:c r="D7654" s="13" t="str">
        <x:v>Transportation</x:v>
      </x:c>
      <x:c r="E7654" s="13" t="str">
        <x:v>Transportation</x:v>
      </x:c>
      <x:c r="F7654" s="13" t="str">
        <x:v>Deep Cyclicals</x:v>
      </x:c>
      <x:c r="G7654" s="13" t="str">
        <x:v>grid_cqzdsc3v.xlsx</x:v>
      </x:c>
    </x:row>
    <x:row r="7655">
      <x:c r="A7655" s="15" t="n">
        <x:v>43922</x:v>
      </x:c>
      <x:c r="B7655" s="13" t="str">
        <x:v>MOTIVA INFRAESTRUTURA DE MOB</x:v>
      </x:c>
      <x:c r="C7655" s="16" t="n">
        <x:v>1711.1722345206</x:v>
      </x:c>
      <x:c r="D7655" s="13" t="str">
        <x:v>Transportation</x:v>
      </x:c>
      <x:c r="E7655" s="13" t="str">
        <x:v>Transportation</x:v>
      </x:c>
      <x:c r="F7655" s="13" t="str">
        <x:v>Deep Cyclicals</x:v>
      </x:c>
      <x:c r="G7655" s="13" t="str">
        <x:v>grid_cqzdsc3v.xlsx</x:v>
      </x:c>
    </x:row>
    <x:row r="7656">
      <x:c r="A7656" s="15" t="n">
        <x:v>43922</x:v>
      </x:c>
      <x:c r="B7656" s="13" t="str">
        <x:v>RUMO SA</x:v>
      </x:c>
      <x:c r="C7656" s="16" t="n">
        <x:v>1035.8509483836</x:v>
      </x:c>
      <x:c r="D7656" s="13" t="str">
        <x:v>Transportation</x:v>
      </x:c>
      <x:c r="E7656" s="13" t="str">
        <x:v>Transportation</x:v>
      </x:c>
      <x:c r="F7656" s="13" t="str">
        <x:v>Deep Cyclicals</x:v>
      </x:c>
      <x:c r="G7656" s="13" t="str">
        <x:v>grid_cqzdsc3v.xlsx</x:v>
      </x:c>
    </x:row>
    <x:row r="7657">
      <x:c r="A7657" s="15" t="n">
        <x:v>43922</x:v>
      </x:c>
      <x:c r="B7657" s="13" t="str">
        <x:v>AXIA ENERGIA SA</x:v>
      </x:c>
      <x:c r="C7657" s="16" t="n">
        <x:v>6546.953426411</x:v>
      </x:c>
      <x:c r="D7657" s="13" t="str">
        <x:v>Utilities &amp; Energy</x:v>
      </x:c>
      <x:c r="E7657" s="13" t="str">
        <x:v>Utilities</x:v>
      </x:c>
      <x:c r="F7657" s="13" t="str">
        <x:v>Defensives</x:v>
      </x:c>
      <x:c r="G7657" s="13" t="str">
        <x:v>grid_cqzdsc3v.xlsx</x:v>
      </x:c>
    </x:row>
    <x:row r="7658">
      <x:c r="A7658" s="15" t="n">
        <x:v>43922</x:v>
      </x:c>
      <x:c r="B7658" s="13" t="str">
        <x:v>AXIA ENERGIA-PR B</x:v>
      </x:c>
      <x:c r="C7658" s="16" t="n">
        <x:v>6546.953426411</x:v>
      </x:c>
      <x:c r="D7658" s="13" t="str">
        <x:v>Utilities &amp; Energy</x:v>
      </x:c>
      <x:c r="E7658" s="13" t="str">
        <x:v>Utilities</x:v>
      </x:c>
      <x:c r="F7658" s="13" t="str">
        <x:v>Defensives</x:v>
      </x:c>
      <x:c r="G7658" s="13" t="str">
        <x:v>grid_cqzdsc3v.xlsx</x:v>
      </x:c>
    </x:row>
    <x:row r="7659">
      <x:c r="A7659" s="15" t="n">
        <x:v>43922</x:v>
      </x:c>
      <x:c r="B7659" s="13" t="str">
        <x:v>CIA ENERGETICA MINAS GER-PRF</x:v>
      </x:c>
      <x:c r="C7659" s="16" t="n">
        <x:v>2120.6653106849</x:v>
      </x:c>
      <x:c r="D7659" s="13" t="str">
        <x:v>Utilities &amp; Energy</x:v>
      </x:c>
      <x:c r="E7659" s="13" t="str">
        <x:v>Utilities</x:v>
      </x:c>
      <x:c r="F7659" s="13" t="str">
        <x:v>Defensives</x:v>
      </x:c>
      <x:c r="G7659" s="13" t="str">
        <x:v>grid_cqzdsc3v.xlsx</x:v>
      </x:c>
    </x:row>
    <x:row r="7660">
      <x:c r="A7660" s="15" t="n">
        <x:v>43922</x:v>
      </x:c>
      <x:c r="B7660" s="13" t="str">
        <x:v>EDP - ENERGIAS DO BRASIL SA</x:v>
      </x:c>
      <x:c r="C7660" s="16" t="n">
        <x:v>973.5082494247</x:v>
      </x:c>
      <x:c r="D7660" s="13" t="str">
        <x:v>Utilities &amp; Energy</x:v>
      </x:c>
      <x:c r="E7660" s="13" t="str">
        <x:v>Utilities</x:v>
      </x:c>
      <x:c r="F7660" s="13" t="str">
        <x:v>Defensives</x:v>
      </x:c>
      <x:c r="G7660" s="13" t="str">
        <x:v>grid_cqzdsc3v.xlsx</x:v>
      </x:c>
    </x:row>
    <x:row r="7661">
      <x:c r="A7661" s="15" t="n">
        <x:v>43922</x:v>
      </x:c>
      <x:c r="B7661" s="13" t="str">
        <x:v>ENGIE BRASIL ENERGIA SA</x:v>
      </x:c>
      <x:c r="C7661" s="16" t="n">
        <x:v>2821.9873490411</x:v>
      </x:c>
      <x:c r="D7661" s="13" t="str">
        <x:v>Utilities &amp; Energy</x:v>
      </x:c>
      <x:c r="E7661" s="13" t="str">
        <x:v>Utilities</x:v>
      </x:c>
      <x:c r="F7661" s="13" t="str">
        <x:v>Defensives</x:v>
      </x:c>
      <x:c r="G7661" s="13" t="str">
        <x:v>grid_cqzdsc3v.xlsx</x:v>
      </x:c>
    </x:row>
    <x:row r="7662">
      <x:c r="A7662" s="15" t="n">
        <x:v>43922</x:v>
      </x:c>
      <x:c r="B7662" s="13" t="str">
        <x:v>EQUATORIAL SA - ORD</x:v>
      </x:c>
      <x:c r="C7662" s="16" t="n">
        <x:v>1186.3812383562</x:v>
      </x:c>
      <x:c r="D7662" s="13" t="str">
        <x:v>Utilities &amp; Energy</x:v>
      </x:c>
      <x:c r="E7662" s="13" t="str">
        <x:v>Utilities</x:v>
      </x:c>
      <x:c r="F7662" s="13" t="str">
        <x:v>Defensives</x:v>
      </x:c>
      <x:c r="G7662" s="13" t="str">
        <x:v>grid_cqzdsc3v.xlsx</x:v>
      </x:c>
    </x:row>
    <x:row r="7663">
      <x:c r="A7663" s="15" t="n">
        <x:v>43922</x:v>
      </x:c>
      <x:c r="B7663" s="13" t="str">
        <x:v>TRANSMISSORA ALIANCA DE-UNIT</x:v>
      </x:c>
      <x:c r="C7663" s="16" t="n">
        <x:v>879.5260326575</x:v>
      </x:c>
      <x:c r="D7663" s="13" t="str">
        <x:v>Utilities &amp; Energy</x:v>
      </x:c>
      <x:c r="E7663" s="13" t="str">
        <x:v>Utilities</x:v>
      </x:c>
      <x:c r="F7663" s="13" t="str">
        <x:v>Defensives</x:v>
      </x:c>
      <x:c r="G7663" s="13" t="str">
        <x:v>grid_cqzdsc3v.xlsx</x:v>
      </x:c>
    </x:row>
    <x:row r="7664">
      <x:c r="A7664" s="15" t="n">
        <x:v>43952</x:v>
      </x:c>
      <x:c r="B7664" s="13" t="str">
        <x:v>BANCO BRADESCO S.A.</x:v>
      </x:c>
      <x:c r="C7664" s="16" t="n">
        <x:v>22931.2068173151</x:v>
      </x:c>
      <x:c r="D7664" s="13" t="str">
        <x:v>Banks</x:v>
      </x:c>
      <x:c r="E7664" s="13" t="str">
        <x:v>Banks</x:v>
      </x:c>
      <x:c r="F7664" s="13" t="str">
        <x:v>Financials</x:v>
      </x:c>
      <x:c r="G7664" s="13" t="str">
        <x:v>grid_cqzdsc3v.xlsx</x:v>
      </x:c>
    </x:row>
    <x:row r="7665">
      <x:c r="A7665" s="15" t="n">
        <x:v>43952</x:v>
      </x:c>
      <x:c r="B7665" s="13" t="str">
        <x:v>BANCO BRADESCO SA-PREF</x:v>
      </x:c>
      <x:c r="C7665" s="16" t="n">
        <x:v>22931.2068173151</x:v>
      </x:c>
      <x:c r="D7665" s="13" t="str">
        <x:v>Banks</x:v>
      </x:c>
      <x:c r="E7665" s="13" t="str">
        <x:v>Banks</x:v>
      </x:c>
      <x:c r="F7665" s="13" t="str">
        <x:v>Financials</x:v>
      </x:c>
      <x:c r="G7665" s="13" t="str">
        <x:v>grid_cqzdsc3v.xlsx</x:v>
      </x:c>
    </x:row>
    <x:row r="7666">
      <x:c r="A7666" s="15" t="n">
        <x:v>43952</x:v>
      </x:c>
      <x:c r="B7666" s="13" t="str">
        <x:v>BANCO BTG PACTUAL SA-UNIT</x:v>
      </x:c>
      <x:c r="C7666" s="16" t="n">
        <x:v>3422.2341933589</x:v>
      </x:c>
      <x:c r="D7666" s="13" t="str">
        <x:v>Banks</x:v>
      </x:c>
      <x:c r="E7666" s="13" t="str">
        <x:v>Banks</x:v>
      </x:c>
      <x:c r="F7666" s="13" t="str">
        <x:v>Financials</x:v>
      </x:c>
      <x:c r="G7666" s="13" t="str">
        <x:v>grid_cqzdsc3v.xlsx</x:v>
      </x:c>
    </x:row>
    <x:row r="7667">
      <x:c r="A7667" s="15" t="n">
        <x:v>43952</x:v>
      </x:c>
      <x:c r="B7667" s="13" t="str">
        <x:v>BANCO DO BRASIL S.A.</x:v>
      </x:c>
      <x:c r="C7667" s="16" t="n">
        <x:v>16904.2498209315</x:v>
      </x:c>
      <x:c r="D7667" s="13" t="str">
        <x:v>Banks</x:v>
      </x:c>
      <x:c r="E7667" s="13" t="str">
        <x:v>Banks</x:v>
      </x:c>
      <x:c r="F7667" s="13" t="str">
        <x:v>Financials</x:v>
      </x:c>
      <x:c r="G7667" s="13" t="str">
        <x:v>grid_cqzdsc3v.xlsx</x:v>
      </x:c>
    </x:row>
    <x:row r="7668">
      <x:c r="A7668" s="15" t="n">
        <x:v>43952</x:v>
      </x:c>
      <x:c r="B7668" s="13" t="str">
        <x:v>BANCO SANTANDER  BRASIL-UNIT</x:v>
      </x:c>
      <x:c r="C7668" s="16" t="n">
        <x:v>12604.6053866959</x:v>
      </x:c>
      <x:c r="D7668" s="13" t="str">
        <x:v>Banks</x:v>
      </x:c>
      <x:c r="E7668" s="13" t="str">
        <x:v>Banks</x:v>
      </x:c>
      <x:c r="F7668" s="13" t="str">
        <x:v>Financials</x:v>
      </x:c>
      <x:c r="G7668" s="13" t="str">
        <x:v>grid_cqzdsc3v.xlsx</x:v>
      </x:c>
    </x:row>
    <x:row r="7669">
      <x:c r="A7669" s="15" t="n">
        <x:v>43952</x:v>
      </x:c>
      <x:c r="B7669" s="13" t="str">
        <x:v>ITAU UNIBANCO HOLDING S-PREF</x:v>
      </x:c>
      <x:c r="C7669" s="16" t="n">
        <x:v>24423.3236592219</x:v>
      </x:c>
      <x:c r="D7669" s="13" t="str">
        <x:v>Banks</x:v>
      </x:c>
      <x:c r="E7669" s="13" t="str">
        <x:v>Banks</x:v>
      </x:c>
      <x:c r="F7669" s="13" t="str">
        <x:v>Financials</x:v>
      </x:c>
      <x:c r="G7669" s="13" t="str">
        <x:v>grid_cqzdsc3v.xlsx</x:v>
      </x:c>
    </x:row>
    <x:row r="7670">
      <x:c r="A7670" s="15" t="n">
        <x:v>43952</x:v>
      </x:c>
      <x:c r="B7670" s="13" t="str">
        <x:v>EMBRAER SA</x:v>
      </x:c>
      <x:c r="C7670" s="16" t="n">
        <x:v>-1057.2099187726</x:v>
      </x:c>
      <x:c r="D7670" s="13" t="str">
        <x:v>Capital Goods</x:v>
      </x:c>
      <x:c r="E7670" s="13" t="str">
        <x:v>Capital Goods</x:v>
      </x:c>
      <x:c r="F7670" s="13" t="str">
        <x:v>Deep Cyclicals</x:v>
      </x:c>
      <x:c r="G7670" s="13" t="str">
        <x:v>grid_cqzdsc3v.xlsx</x:v>
      </x:c>
    </x:row>
    <x:row r="7671">
      <x:c r="A7671" s="15" t="n">
        <x:v>43952</x:v>
      </x:c>
      <x:c r="B7671" s="13" t="str">
        <x:v>WEG SA</x:v>
      </x:c>
      <x:c r="C7671" s="16" t="n">
        <x:v>1781.807826411</x:v>
      </x:c>
      <x:c r="D7671" s="13" t="str">
        <x:v>Capital Goods</x:v>
      </x:c>
      <x:c r="E7671" s="13" t="str">
        <x:v>Capital Goods</x:v>
      </x:c>
      <x:c r="F7671" s="13" t="str">
        <x:v>Deep Cyclicals</x:v>
      </x:c>
      <x:c r="G7671" s="13" t="str">
        <x:v>grid_cqzdsc3v.xlsx</x:v>
      </x:c>
    </x:row>
    <x:row r="7672">
      <x:c r="A7672" s="15" t="n">
        <x:v>43952</x:v>
      </x:c>
      <x:c r="B7672" s="13" t="str">
        <x:v>COGNA EDUCACAO</x:v>
      </x:c>
      <x:c r="C7672" s="16" t="n">
        <x:v>775.3605668822</x:v>
      </x:c>
      <x:c r="D7672" s="13" t="str">
        <x:v>Education</x:v>
      </x:c>
      <x:c r="E7672" s="13" t="str">
        <x:v>Education</x:v>
      </x:c>
      <x:c r="F7672" s="13" t="str">
        <x:v>Early Cyclicals</x:v>
      </x:c>
      <x:c r="G7672" s="13" t="str">
        <x:v>grid_cqzdsc3v.xlsx</x:v>
      </x:c>
    </x:row>
    <x:row r="7673">
      <x:c r="A7673" s="15" t="n">
        <x:v>43952</x:v>
      </x:c>
      <x:c r="B7673" s="13" t="str">
        <x:v>YDUQS PARTICIPACOES SA</x:v>
      </x:c>
      <x:c r="C7673" s="16" t="n">
        <x:v>750.9087577425</x:v>
      </x:c>
      <x:c r="D7673" s="13" t="str">
        <x:v>Education</x:v>
      </x:c>
      <x:c r="E7673" s="13" t="str">
        <x:v>Education</x:v>
      </x:c>
      <x:c r="F7673" s="13" t="str">
        <x:v>Early Cyclicals</x:v>
      </x:c>
      <x:c r="G7673" s="13" t="str">
        <x:v>grid_cqzdsc3v.xlsx</x:v>
      </x:c>
    </x:row>
    <x:row r="7674">
      <x:c r="A7674" s="15" t="n">
        <x:v>43952</x:v>
      </x:c>
      <x:c r="B7674" s="13" t="str">
        <x:v>B3 SA-BRASIL BOLSA BALCAO</x:v>
      </x:c>
      <x:c r="C7674" s="16" t="n">
        <x:v>3828.3387090411</x:v>
      </x:c>
      <x:c r="D7674" s="13" t="str">
        <x:v>Financials Non-Banks</x:v>
      </x:c>
      <x:c r="E7674" s="13" t="str">
        <x:v>Financials Non-Banks</x:v>
      </x:c>
      <x:c r="F7674" s="13" t="str">
        <x:v>Financials</x:v>
      </x:c>
      <x:c r="G7674" s="13" t="str">
        <x:v>grid_cqzdsc3v.xlsx</x:v>
      </x:c>
    </x:row>
    <x:row r="7675">
      <x:c r="A7675" s="15" t="n">
        <x:v>43952</x:v>
      </x:c>
      <x:c r="B7675" s="13" t="str">
        <x:v>BB SEGURIDADE PARTICIPACOES</x:v>
      </x:c>
      <x:c r="C7675" s="16" t="n">
        <x:v>4123.748006926</x:v>
      </x:c>
      <x:c r="D7675" s="13" t="str">
        <x:v>Financials Non-Banks</x:v>
      </x:c>
      <x:c r="E7675" s="13" t="str">
        <x:v>Financials Non-Banks</x:v>
      </x:c>
      <x:c r="F7675" s="13" t="str">
        <x:v>Financials</x:v>
      </x:c>
      <x:c r="G7675" s="13" t="str">
        <x:v>grid_cqzdsc3v.xlsx</x:v>
      </x:c>
    </x:row>
    <x:row r="7676">
      <x:c r="A7676" s="15" t="n">
        <x:v>43952</x:v>
      </x:c>
      <x:c r="B7676" s="13" t="str">
        <x:v>CIELO SA</x:v>
      </x:c>
      <x:c r="C7676" s="16" t="n">
        <x:v>930.5172811397</x:v>
      </x:c>
      <x:c r="D7676" s="13" t="str">
        <x:v>Financials Non-Banks</x:v>
      </x:c>
      <x:c r="E7676" s="13" t="str">
        <x:v>Financials Non-Banks</x:v>
      </x:c>
      <x:c r="F7676" s="13" t="str">
        <x:v>Financials</x:v>
      </x:c>
      <x:c r="G7676" s="13" t="str">
        <x:v>Ibovespa_earnings_consolidated.xlsx</x:v>
      </x:c>
    </x:row>
    <x:row r="7677">
      <x:c r="A7677" s="15" t="n">
        <x:v>43952</x:v>
      </x:c>
      <x:c r="B7677" s="13" t="str">
        <x:v>CIELO SA - INSTITUICAO DE PA</x:v>
      </x:c>
      <x:c r="C7677" s="16" t="n">
        <x:v>930.5172811397</x:v>
      </x:c>
      <x:c r="D7677" s="13" t="str">
        <x:v>Financials Non-Banks</x:v>
      </x:c>
      <x:c r="E7677" s="13" t="str">
        <x:v>Financials Non-Banks</x:v>
      </x:c>
      <x:c r="F7677" s="13" t="str">
        <x:v>Financials</x:v>
      </x:c>
      <x:c r="G7677" s="13" t="str">
        <x:v>grid_cqzdsc3v.xlsx</x:v>
      </x:c>
    </x:row>
    <x:row r="7678">
      <x:c r="A7678" s="15" t="n">
        <x:v>43952</x:v>
      </x:c>
      <x:c r="B7678" s="13" t="str">
        <x:v>IRB BRASIL RESSEGUROS SA</x:v>
      </x:c>
      <x:c r="C7678" s="16" t="n">
        <x:v>1776.5111688767</x:v>
      </x:c>
      <x:c r="D7678" s="13" t="str">
        <x:v>Financials Non-Banks</x:v>
      </x:c>
      <x:c r="E7678" s="13" t="str">
        <x:v>Financials Non-Banks</x:v>
      </x:c>
      <x:c r="F7678" s="13" t="str">
        <x:v>Financials</x:v>
      </x:c>
      <x:c r="G7678" s="13" t="str">
        <x:v>grid_cqzdsc3v.xlsx</x:v>
      </x:c>
    </x:row>
    <x:row r="7679">
      <x:c r="A7679" s="15" t="n">
        <x:v>43952</x:v>
      </x:c>
      <x:c r="B7679" s="13" t="str">
        <x:v>ITAUSA SA</x:v>
      </x:c>
      <x:c r="C7679" s="16" t="n">
        <x:v>10008.1872727671</x:v>
      </x:c>
      <x:c r="D7679" s="13" t="str">
        <x:v>Financials Non-Banks</x:v>
      </x:c>
      <x:c r="E7679" s="13" t="str">
        <x:v>Financials Non-Banks</x:v>
      </x:c>
      <x:c r="F7679" s="13" t="str">
        <x:v>Financials</x:v>
      </x:c>
      <x:c r="G7679" s="13" t="str">
        <x:v>grid_cqzdsc3v.xlsx</x:v>
      </x:c>
    </x:row>
    <x:row r="7680">
      <x:c r="A7680" s="15" t="n">
        <x:v>43952</x:v>
      </x:c>
      <x:c r="B7680" s="13" t="str">
        <x:v>AMBEV SA</x:v>
      </x:c>
      <x:c r="C7680" s="16" t="n">
        <x:v>10491.940729337</x:v>
      </x:c>
      <x:c r="D7680" s="13" t="str">
        <x:v>Food &amp; Beverages</x:v>
      </x:c>
      <x:c r="E7680" s="13" t="str">
        <x:v>Agri, Food &amp; Beverages</x:v>
      </x:c>
      <x:c r="F7680" s="13" t="str">
        <x:v>Defensives</x:v>
      </x:c>
      <x:c r="G7680" s="13" t="str">
        <x:v>grid_cqzdsc3v.xlsx</x:v>
      </x:c>
    </x:row>
    <x:row r="7681">
      <x:c r="A7681" s="15" t="n">
        <x:v>43952</x:v>
      </x:c>
      <x:c r="B7681" s="13" t="str">
        <x:v>BRF SA</x:v>
      </x:c>
      <x:c r="C7681" s="16" t="n">
        <x:v>698.6368282301</x:v>
      </x:c>
      <x:c r="D7681" s="13" t="str">
        <x:v>Food &amp; Beverages</x:v>
      </x:c>
      <x:c r="E7681" s="13" t="str">
        <x:v>Agri, Food &amp; Beverages</x:v>
      </x:c>
      <x:c r="F7681" s="13" t="str">
        <x:v>Defensives</x:v>
      </x:c>
      <x:c r="G7681" s="13" t="str">
        <x:v>grid_cqzdsc3v.xlsx</x:v>
      </x:c>
    </x:row>
    <x:row r="7682">
      <x:c r="A7682" s="15" t="n">
        <x:v>43952</x:v>
      </x:c>
      <x:c r="B7682" s="13" t="str">
        <x:v>JBS SA</x:v>
      </x:c>
      <x:c r="C7682" s="16" t="n">
        <x:v>5714.504844274</x:v>
      </x:c>
      <x:c r="D7682" s="13" t="str">
        <x:v>Food &amp; Beverages</x:v>
      </x:c>
      <x:c r="E7682" s="13" t="str">
        <x:v>Agri, Food &amp; Beverages</x:v>
      </x:c>
      <x:c r="F7682" s="13" t="str">
        <x:v>Defensives</x:v>
      </x:c>
      <x:c r="G7682" s="13" t="str">
        <x:v>grid_cqzdsc3v.xlsx</x:v>
      </x:c>
    </x:row>
    <x:row r="7683">
      <x:c r="A7683" s="15" t="n">
        <x:v>43952</x:v>
      </x:c>
      <x:c r="B7683" s="13" t="str">
        <x:v>MBRF GLOBAL FOODS COMPANY SA</x:v>
      </x:c>
      <x:c r="C7683" s="16" t="n">
        <x:v>1085.139366926</x:v>
      </x:c>
      <x:c r="D7683" s="13" t="str">
        <x:v>Food &amp; Beverages</x:v>
      </x:c>
      <x:c r="E7683" s="13" t="str">
        <x:v>Agri, Food &amp; Beverages</x:v>
      </x:c>
      <x:c r="F7683" s="13" t="str">
        <x:v>Defensives</x:v>
      </x:c>
      <x:c r="G7683" s="13" t="str">
        <x:v>grid_cqzdsc3v.xlsx</x:v>
      </x:c>
    </x:row>
    <x:row r="7684">
      <x:c r="A7684" s="15" t="n">
        <x:v>43952</x:v>
      </x:c>
      <x:c r="B7684" s="13" t="str">
        <x:v>MINERVA SA</x:v>
      </x:c>
      <x:c r="C7684" s="16" t="n">
        <x:v>565.5347945205</x:v>
      </x:c>
      <x:c r="D7684" s="13" t="str">
        <x:v>Food &amp; Beverages</x:v>
      </x:c>
      <x:c r="E7684" s="13" t="str">
        <x:v>Agri, Food &amp; Beverages</x:v>
      </x:c>
      <x:c r="F7684" s="13" t="str">
        <x:v>Defensives</x:v>
      </x:c>
      <x:c r="G7684" s="13" t="str">
        <x:v>grid_cqzdsc3v.xlsx</x:v>
      </x:c>
    </x:row>
    <x:row r="7685">
      <x:c r="A7685" s="15" t="n">
        <x:v>43952</x:v>
      </x:c>
      <x:c r="B7685" s="13" t="str">
        <x:v>FLEURY SA</x:v>
      </x:c>
      <x:c r="C7685" s="16" t="n">
        <x:v>196.0180811397</x:v>
      </x:c>
      <x:c r="D7685" s="13" t="str">
        <x:v>Health Care</x:v>
      </x:c>
      <x:c r="E7685" s="13" t="str">
        <x:v>Health Care</x:v>
      </x:c>
      <x:c r="F7685" s="13" t="str">
        <x:v>Defensives</x:v>
      </x:c>
      <x:c r="G7685" s="13" t="str">
        <x:v>grid_cqzdsc3v.xlsx</x:v>
      </x:c>
    </x:row>
    <x:row r="7686">
      <x:c r="A7686" s="15" t="n">
        <x:v>43952</x:v>
      </x:c>
      <x:c r="B7686" s="13" t="str">
        <x:v>HAPVIDA PARTICIPACOES E INVE</x:v>
      </x:c>
      <x:c r="C7686" s="16" t="n">
        <x:v>956.0164383562</x:v>
      </x:c>
      <x:c r="D7686" s="13" t="str">
        <x:v>Health Care</x:v>
      </x:c>
      <x:c r="E7686" s="13" t="str">
        <x:v>Health Care</x:v>
      </x:c>
      <x:c r="F7686" s="13" t="str">
        <x:v>Defensives</x:v>
      </x:c>
      <x:c r="G7686" s="13" t="str">
        <x:v>grid_cqzdsc3v.xlsx</x:v>
      </x:c>
    </x:row>
    <x:row r="7687">
      <x:c r="A7687" s="15" t="n">
        <x:v>43952</x:v>
      </x:c>
      <x:c r="B7687" s="13" t="str">
        <x:v>HYPERA SA</x:v>
      </x:c>
      <x:c r="C7687" s="16" t="n">
        <x:v>1259.185842148</x:v>
      </x:c>
      <x:c r="D7687" s="13" t="str">
        <x:v>Health Care</x:v>
      </x:c>
      <x:c r="E7687" s="13" t="str">
        <x:v>Health Care</x:v>
      </x:c>
      <x:c r="F7687" s="13" t="str">
        <x:v>Defensives</x:v>
      </x:c>
      <x:c r="G7687" s="13" t="str">
        <x:v>grid_cqzdsc3v.xlsx</x:v>
      </x:c>
    </x:row>
    <x:row r="7688">
      <x:c r="A7688" s="15" t="n">
        <x:v>43952</x:v>
      </x:c>
      <x:c r="B7688" s="13" t="str">
        <x:v>NOTRE DAME INTERMED PAR SA</x:v>
      </x:c>
      <x:c r="C7688" s="16" t="n">
        <x:v>839.2632156932</x:v>
      </x:c>
      <x:c r="D7688" s="13" t="str">
        <x:v>Health Care</x:v>
      </x:c>
      <x:c r="E7688" s="13" t="str">
        <x:v>Health Care</x:v>
      </x:c>
      <x:c r="F7688" s="13" t="str">
        <x:v>Defensives</x:v>
      </x:c>
      <x:c r="G7688" s="13" t="str">
        <x:v>grid_cqzdsc3v.xlsx</x:v>
      </x:c>
    </x:row>
    <x:row r="7689">
      <x:c r="A7689" s="15" t="n">
        <x:v>43952</x:v>
      </x:c>
      <x:c r="B7689" s="13" t="str">
        <x:v>QUALICORP CONS E CORR SEG SA</x:v>
      </x:c>
      <x:c r="C7689" s="16" t="n">
        <x:v>559.8276842959</x:v>
      </x:c>
      <x:c r="D7689" s="13" t="str">
        <x:v>Health Care</x:v>
      </x:c>
      <x:c r="E7689" s="13" t="str">
        <x:v>Health Care</x:v>
      </x:c>
      <x:c r="F7689" s="13" t="str">
        <x:v>Defensives</x:v>
      </x:c>
      <x:c r="G7689" s="13" t="str">
        <x:v>grid_cqzdsc3v.xlsx</x:v>
      </x:c>
    </x:row>
    <x:row r="7690">
      <x:c r="A7690" s="15" t="n">
        <x:v>43952</x:v>
      </x:c>
      <x:c r="B7690" s="13" t="str">
        <x:v>SUL AMERICA SA - UNITS</x:v>
      </x:c>
      <x:c r="C7690" s="16" t="n">
        <x:v>1150.7128141151</x:v>
      </x:c>
      <x:c r="D7690" s="13" t="str">
        <x:v>Health Care</x:v>
      </x:c>
      <x:c r="E7690" s="13" t="str">
        <x:v>Health Care</x:v>
      </x:c>
      <x:c r="F7690" s="13" t="str">
        <x:v>Defensives</x:v>
      </x:c>
      <x:c r="G7690" s="13" t="str">
        <x:v>grid_cqzdsc3v.xlsx</x:v>
      </x:c>
    </x:row>
    <x:row r="7691">
      <x:c r="A7691" s="15" t="n">
        <x:v>43952</x:v>
      </x:c>
      <x:c r="B7691" s="13" t="str">
        <x:v>CYRELA BRAZIL REALTY SA EMP</x:v>
      </x:c>
      <x:c r="C7691" s="16" t="n">
        <x:v>348.1395683945</x:v>
      </x:c>
      <x:c r="D7691" s="13" t="str">
        <x:v>Homebuilders</x:v>
      </x:c>
      <x:c r="E7691" s="13" t="str">
        <x:v>Real Estate</x:v>
      </x:c>
      <x:c r="F7691" s="13" t="str">
        <x:v>Early Cyclicals</x:v>
      </x:c>
      <x:c r="G7691" s="13" t="str">
        <x:v>grid_cqzdsc3v.xlsx</x:v>
      </x:c>
    </x:row>
    <x:row r="7692">
      <x:c r="A7692" s="15" t="n">
        <x:v>43952</x:v>
      </x:c>
      <x:c r="B7692" s="13" t="str">
        <x:v>MRV ENGENHARIA</x:v>
      </x:c>
      <x:c r="C7692" s="16" t="n">
        <x:v>574.2731220164</x:v>
      </x:c>
      <x:c r="D7692" s="13" t="str">
        <x:v>Homebuilders</x:v>
      </x:c>
      <x:c r="E7692" s="13" t="str">
        <x:v>Real Estate</x:v>
      </x:c>
      <x:c r="F7692" s="13" t="str">
        <x:v>Early Cyclicals</x:v>
      </x:c>
      <x:c r="G7692" s="13" t="str">
        <x:v>grid_cqzdsc3v.xlsx</x:v>
      </x:c>
    </x:row>
    <x:row r="7693">
      <x:c r="A7693" s="15" t="n">
        <x:v>43952</x:v>
      </x:c>
      <x:c r="B7693" s="13" t="str">
        <x:v>BR MALLS PARTICIPACOES SA</x:v>
      </x:c>
      <x:c r="C7693" s="16" t="n">
        <x:v>397.6187935562</x:v>
      </x:c>
      <x:c r="D7693" s="13" t="str">
        <x:v>Income Properties</x:v>
      </x:c>
      <x:c r="E7693" s="13" t="str">
        <x:v>Real Estate</x:v>
      </x:c>
      <x:c r="F7693" s="13" t="str">
        <x:v>Early Cyclicals</x:v>
      </x:c>
      <x:c r="G7693" s="13" t="str">
        <x:v>grid_cqzdsc3v.xlsx</x:v>
      </x:c>
    </x:row>
    <x:row r="7694">
      <x:c r="A7694" s="15" t="n">
        <x:v>43952</x:v>
      </x:c>
      <x:c r="B7694" s="13" t="str">
        <x:v>IGUATEMI EMP DE SHOPPING</x:v>
      </x:c>
      <x:c r="C7694" s="16" t="n">
        <x:v>199.5178515288</x:v>
      </x:c>
      <x:c r="D7694" s="13" t="str">
        <x:v>Income Properties</x:v>
      </x:c>
      <x:c r="E7694" s="13" t="str">
        <x:v>Real Estate</x:v>
      </x:c>
      <x:c r="F7694" s="13" t="str">
        <x:v>Early Cyclicals</x:v>
      </x:c>
      <x:c r="G7694" s="13" t="str">
        <x:v>grid_cqzdsc3v.xlsx</x:v>
      </x:c>
    </x:row>
    <x:row r="7695">
      <x:c r="A7695" s="15" t="n">
        <x:v>43952</x:v>
      </x:c>
      <x:c r="B7695" s="13" t="str">
        <x:v>MULTIPLAN EMPREENDIMENTOS</x:v>
      </x:c>
      <x:c r="C7695" s="16" t="n">
        <x:v>398.4530807233</x:v>
      </x:c>
      <x:c r="D7695" s="13" t="str">
        <x:v>Income Properties</x:v>
      </x:c>
      <x:c r="E7695" s="13" t="str">
        <x:v>Real Estate</x:v>
      </x:c>
      <x:c r="F7695" s="13" t="str">
        <x:v>Early Cyclicals</x:v>
      </x:c>
      <x:c r="G7695" s="13" t="str">
        <x:v>grid_cqzdsc3v.xlsx</x:v>
      </x:c>
    </x:row>
    <x:row r="7696">
      <x:c r="A7696" s="15" t="n">
        <x:v>43952</x:v>
      </x:c>
      <x:c r="B7696" s="13" t="str">
        <x:v>BRADESPAR SA -PREF</x:v>
      </x:c>
      <x:c r="C7696" s="16" t="n">
        <x:v>1893.4794709918</x:v>
      </x:c>
      <x:c r="D7696" s="13" t="str">
        <x:v>Metals &amp; Mining</x:v>
      </x:c>
      <x:c r="E7696" s="13" t="str">
        <x:v>Metals &amp; Mining</x:v>
      </x:c>
      <x:c r="F7696" s="13" t="str">
        <x:v>Deep Cyclicals</x:v>
      </x:c>
      <x:c r="G7696" s="13" t="str">
        <x:v>grid_cqzdsc3v.xlsx</x:v>
      </x:c>
    </x:row>
    <x:row r="7697">
      <x:c r="A7697" s="15" t="n">
        <x:v>43952</x:v>
      </x:c>
      <x:c r="B7697" s="13" t="str">
        <x:v>CIA SIDERURGICA NACIONAL SA</x:v>
      </x:c>
      <x:c r="C7697" s="16" t="n">
        <x:v>1092.3224803945</x:v>
      </x:c>
      <x:c r="D7697" s="13" t="str">
        <x:v>Metals &amp; Mining</x:v>
      </x:c>
      <x:c r="E7697" s="13" t="str">
        <x:v>Metals &amp; Mining</x:v>
      </x:c>
      <x:c r="F7697" s="13" t="str">
        <x:v>Deep Cyclicals</x:v>
      </x:c>
      <x:c r="G7697" s="13" t="str">
        <x:v>grid_cqzdsc3v.xlsx</x:v>
      </x:c>
    </x:row>
    <x:row r="7698">
      <x:c r="A7698" s="15" t="n">
        <x:v>43952</x:v>
      </x:c>
      <x:c r="B7698" s="13" t="str">
        <x:v>GERDAU SA-PREF</x:v>
      </x:c>
      <x:c r="C7698" s="16" t="n">
        <x:v>585.971424526</x:v>
      </x:c>
      <x:c r="D7698" s="13" t="str">
        <x:v>Metals &amp; Mining</x:v>
      </x:c>
      <x:c r="E7698" s="13" t="str">
        <x:v>Metals &amp; Mining</x:v>
      </x:c>
      <x:c r="F7698" s="13" t="str">
        <x:v>Deep Cyclicals</x:v>
      </x:c>
      <x:c r="G7698" s="13" t="str">
        <x:v>grid_cqzdsc3v.xlsx</x:v>
      </x:c>
    </x:row>
    <x:row r="7699">
      <x:c r="A7699" s="15" t="n">
        <x:v>43952</x:v>
      </x:c>
      <x:c r="B7699" s="13" t="str">
        <x:v>METALURGICA GERDAU SA-PREF</x:v>
      </x:c>
      <x:c r="C7699" s="16" t="n">
        <x:v>860.0684931507</x:v>
      </x:c>
      <x:c r="D7699" s="13" t="str">
        <x:v>Metals &amp; Mining</x:v>
      </x:c>
      <x:c r="E7699" s="13" t="str">
        <x:v>Metals &amp; Mining</x:v>
      </x:c>
      <x:c r="F7699" s="13" t="str">
        <x:v>Deep Cyclicals</x:v>
      </x:c>
      <x:c r="G7699" s="13" t="str">
        <x:v>grid_cqzdsc3v.xlsx</x:v>
      </x:c>
    </x:row>
    <x:row r="7700">
      <x:c r="A7700" s="15" t="n">
        <x:v>43952</x:v>
      </x:c>
      <x:c r="B7700" s="13" t="str">
        <x:v>USINAS SIDER MINAS GER-PF A</x:v>
      </x:c>
      <x:c r="C7700" s="16" t="n">
        <x:v>-180.7787945205</x:v>
      </x:c>
      <x:c r="D7700" s="13" t="str">
        <x:v>Metals &amp; Mining</x:v>
      </x:c>
      <x:c r="E7700" s="13" t="str">
        <x:v>Metals &amp; Mining</x:v>
      </x:c>
      <x:c r="F7700" s="13" t="str">
        <x:v>Deep Cyclicals</x:v>
      </x:c>
      <x:c r="G7700" s="13" t="str">
        <x:v>grid_cqzdsc3v.xlsx</x:v>
      </x:c>
    </x:row>
    <x:row r="7701">
      <x:c r="A7701" s="15" t="n">
        <x:v>43952</x:v>
      </x:c>
      <x:c r="B7701" s="13" t="str">
        <x:v>VALE SA</x:v>
      </x:c>
      <x:c r="C7701" s="16" t="n">
        <x:v>37896.9339932055</x:v>
      </x:c>
      <x:c r="D7701" s="13" t="str">
        <x:v>Metals &amp; Mining</x:v>
      </x:c>
      <x:c r="E7701" s="13" t="str">
        <x:v>Metals &amp; Mining</x:v>
      </x:c>
      <x:c r="F7701" s="13" t="str">
        <x:v>Deep Cyclicals</x:v>
      </x:c>
      <x:c r="G7701" s="13" t="str">
        <x:v>grid_cqzdsc3v.xlsx</x:v>
      </x:c>
    </x:row>
    <x:row r="7702">
      <x:c r="A7702" s="15" t="n">
        <x:v>43952</x:v>
      </x:c>
      <x:c r="B7702" s="13" t="str">
        <x:v>BRASKEM SA-PREF A</x:v>
      </x:c>
      <x:c r="C7702" s="16" t="n">
        <x:v>-1659.1610580164</x:v>
      </x:c>
      <x:c r="D7702" s="13" t="str">
        <x:v>Oil, Gas &amp; Petrochemicals</x:v>
      </x:c>
      <x:c r="E7702" s="13" t="str">
        <x:v>Oil, Gas &amp; Petrochemicals</x:v>
      </x:c>
      <x:c r="F7702" s="13" t="str">
        <x:v>Deep Cyclicals</x:v>
      </x:c>
      <x:c r="G7702" s="13" t="str">
        <x:v>grid_cqzdsc3v.xlsx</x:v>
      </x:c>
    </x:row>
    <x:row r="7703">
      <x:c r="A7703" s="15" t="n">
        <x:v>43952</x:v>
      </x:c>
      <x:c r="B7703" s="13" t="str">
        <x:v>COSAN SA</x:v>
      </x:c>
      <x:c r="C7703" s="16" t="n">
        <x:v>1713.9386908055</x:v>
      </x:c>
      <x:c r="D7703" s="13" t="str">
        <x:v>Oil, Gas &amp; Petrochemicals</x:v>
      </x:c>
      <x:c r="E7703" s="13" t="str">
        <x:v>Oil, Gas &amp; Petrochemicals</x:v>
      </x:c>
      <x:c r="F7703" s="13" t="str">
        <x:v>Deep Cyclicals</x:v>
      </x:c>
      <x:c r="G7703" s="13" t="str">
        <x:v>grid_cqzdsc3v.xlsx</x:v>
      </x:c>
    </x:row>
    <x:row r="7704">
      <x:c r="A7704" s="15" t="n">
        <x:v>43952</x:v>
      </x:c>
      <x:c r="B7704" s="13" t="str">
        <x:v>PETROBRAS - PETROLEO BRAS</x:v>
      </x:c>
      <x:c r="C7704" s="16" t="n">
        <x:v>2076.5146799343</x:v>
      </x:c>
      <x:c r="D7704" s="13" t="str">
        <x:v>Oil, Gas &amp; Petrochemicals</x:v>
      </x:c>
      <x:c r="E7704" s="13" t="str">
        <x:v>Oil, Gas &amp; Petrochemicals</x:v>
      </x:c>
      <x:c r="F7704" s="13" t="str">
        <x:v>Deep Cyclicals</x:v>
      </x:c>
      <x:c r="G7704" s="13" t="str">
        <x:v>grid_cqzdsc3v.xlsx</x:v>
      </x:c>
    </x:row>
    <x:row r="7705">
      <x:c r="A7705" s="15" t="n">
        <x:v>43952</x:v>
      </x:c>
      <x:c r="B7705" s="13" t="str">
        <x:v>ULTRAPAR PARTICIPACOES SA</x:v>
      </x:c>
      <x:c r="C7705" s="16" t="n">
        <x:v>1017.3039524822</x:v>
      </x:c>
      <x:c r="D7705" s="13" t="str">
        <x:v>Oil, Gas &amp; Petrochemicals</x:v>
      </x:c>
      <x:c r="E7705" s="13" t="str">
        <x:v>Oil, Gas &amp; Petrochemicals</x:v>
      </x:c>
      <x:c r="F7705" s="13" t="str">
        <x:v>Deep Cyclicals</x:v>
      </x:c>
      <x:c r="G7705" s="13" t="str">
        <x:v>grid_cqzdsc3v.xlsx</x:v>
      </x:c>
    </x:row>
    <x:row r="7706">
      <x:c r="A7706" s="15" t="n">
        <x:v>43952</x:v>
      </x:c>
      <x:c r="B7706" s="13" t="str">
        <x:v>VIBRA ENERGIA SA</x:v>
      </x:c>
      <x:c r="C7706" s="16" t="n">
        <x:v>1349.9777192329</x:v>
      </x:c>
      <x:c r="D7706" s="13" t="str">
        <x:v>Oil, Gas &amp; Petrochemicals</x:v>
      </x:c>
      <x:c r="E7706" s="13" t="str">
        <x:v>Oil, Gas &amp; Petrochemicals</x:v>
      </x:c>
      <x:c r="F7706" s="13" t="str">
        <x:v>Deep Cyclicals</x:v>
      </x:c>
      <x:c r="G7706" s="13" t="str">
        <x:v>grid_cqzdsc3v.xlsx</x:v>
      </x:c>
    </x:row>
    <x:row r="7707">
      <x:c r="A7707" s="15" t="n">
        <x:v>43952</x:v>
      </x:c>
      <x:c r="B7707" s="13" t="str">
        <x:v>KLABIN SA - UNIT</x:v>
      </x:c>
      <x:c r="C7707" s="16" t="n">
        <x:v>-140.3774849753</x:v>
      </x:c>
      <x:c r="D7707" s="13" t="str">
        <x:v>Pulp &amp; Paper</x:v>
      </x:c>
      <x:c r="E7707" s="13" t="str">
        <x:v>Pulp &amp; Paper</x:v>
      </x:c>
      <x:c r="F7707" s="13" t="str">
        <x:v>Deep Cyclicals</x:v>
      </x:c>
      <x:c r="G7707" s="13" t="str">
        <x:v>grid_cqzdsc3v.xlsx</x:v>
      </x:c>
    </x:row>
    <x:row r="7708">
      <x:c r="A7708" s="15" t="n">
        <x:v>43952</x:v>
      </x:c>
      <x:c r="B7708" s="13" t="str">
        <x:v>SUZANO SA</x:v>
      </x:c>
      <x:c r="C7708" s="16" t="n">
        <x:v>-6086.5849736767</x:v>
      </x:c>
      <x:c r="D7708" s="13" t="str">
        <x:v>Pulp &amp; Paper</x:v>
      </x:c>
      <x:c r="E7708" s="13" t="str">
        <x:v>Pulp &amp; Paper</x:v>
      </x:c>
      <x:c r="F7708" s="13" t="str">
        <x:v>Deep Cyclicals</x:v>
      </x:c>
      <x:c r="G7708" s="13" t="str">
        <x:v>grid_cqzdsc3v.xlsx</x:v>
      </x:c>
    </x:row>
    <x:row r="7709">
      <x:c r="A7709" s="15" t="n">
        <x:v>43952</x:v>
      </x:c>
      <x:c r="B7709" s="13" t="str">
        <x:v>AMERICANAS SA</x:v>
      </x:c>
      <x:c r="C7709" s="16" t="n">
        <x:v>-55.8384561644</x:v>
      </x:c>
      <x:c r="D7709" s="13" t="str">
        <x:v>Retail</x:v>
      </x:c>
      <x:c r="E7709" s="13" t="str">
        <x:v>Retail</x:v>
      </x:c>
      <x:c r="F7709" s="13" t="str">
        <x:v>Early Cyclicals</x:v>
      </x:c>
      <x:c r="G7709" s="13" t="str">
        <x:v>grid_cqzdsc3v.xlsx</x:v>
      </x:c>
    </x:row>
    <x:row r="7710">
      <x:c r="A7710" s="15" t="n">
        <x:v>43952</x:v>
      </x:c>
      <x:c r="B7710" s="13" t="str">
        <x:v>ATACADAO SA</x:v>
      </x:c>
      <x:c r="C7710" s="16" t="n">
        <x:v>2186.8384368219</x:v>
      </x:c>
      <x:c r="D7710" s="13" t="str">
        <x:v>Retail</x:v>
      </x:c>
      <x:c r="E7710" s="13" t="str">
        <x:v>Retail</x:v>
      </x:c>
      <x:c r="F7710" s="13" t="str">
        <x:v>Early Cyclicals</x:v>
      </x:c>
      <x:c r="G7710" s="13" t="str">
        <x:v>grid_cqzdsc3v.xlsx</x:v>
      </x:c>
    </x:row>
    <x:row r="7711">
      <x:c r="A7711" s="15" t="n">
        <x:v>43952</x:v>
      </x:c>
      <x:c r="B7711" s="13" t="str">
        <x:v>CIA BRASILEIRA DE DISTRIBUIC</x:v>
      </x:c>
      <x:c r="C7711" s="16" t="n">
        <x:v>1324.3504278795</x:v>
      </x:c>
      <x:c r="D7711" s="13" t="str">
        <x:v>Retail</x:v>
      </x:c>
      <x:c r="E7711" s="13" t="str">
        <x:v>Retail</x:v>
      </x:c>
      <x:c r="F7711" s="13" t="str">
        <x:v>Early Cyclicals</x:v>
      </x:c>
      <x:c r="G7711" s="13" t="str">
        <x:v>grid_cqzdsc3v.xlsx</x:v>
      </x:c>
    </x:row>
    <x:row r="7712">
      <x:c r="A7712" s="15" t="n">
        <x:v>43952</x:v>
      </x:c>
      <x:c r="B7712" s="13" t="str">
        <x:v>CIA HERING</x:v>
      </x:c>
      <x:c r="C7712" s="16" t="n">
        <x:v>154.7781917808</x:v>
      </x:c>
      <x:c r="D7712" s="13" t="str">
        <x:v>Retail</x:v>
      </x:c>
      <x:c r="E7712" s="13" t="str">
        <x:v>Retail</x:v>
      </x:c>
      <x:c r="F7712" s="13" t="str">
        <x:v>Early Cyclicals</x:v>
      </x:c>
      <x:c r="G7712" s="13" t="str">
        <x:v>grid_cqzdsc3v.xlsx</x:v>
      </x:c>
    </x:row>
    <x:row r="7713">
      <x:c r="A7713" s="15" t="n">
        <x:v>43952</x:v>
      </x:c>
      <x:c r="B7713" s="13" t="str">
        <x:v>CVC BRASIL OPERADORA E AGENC</x:v>
      </x:c>
      <x:c r="C7713" s="16" t="n">
        <x:v>325.1136986301</x:v>
      </x:c>
      <x:c r="D7713" s="13" t="str">
        <x:v>Retail</x:v>
      </x:c>
      <x:c r="E7713" s="13" t="str">
        <x:v>Retail</x:v>
      </x:c>
      <x:c r="F7713" s="13" t="str">
        <x:v>Early Cyclicals</x:v>
      </x:c>
      <x:c r="G7713" s="13" t="str">
        <x:v>grid_cqzdsc3v.xlsx</x:v>
      </x:c>
    </x:row>
    <x:row r="7714">
      <x:c r="A7714" s="15" t="n">
        <x:v>43952</x:v>
      </x:c>
      <x:c r="B7714" s="13" t="str">
        <x:v>GRUPO CASAS BAHIA SA</x:v>
      </x:c>
      <x:c r="C7714" s="16" t="n">
        <x:v>198.2363950466</x:v>
      </x:c>
      <x:c r="D7714" s="13" t="str">
        <x:v>Retail</x:v>
      </x:c>
      <x:c r="E7714" s="13" t="str">
        <x:v>Retail</x:v>
      </x:c>
      <x:c r="F7714" s="13" t="str">
        <x:v>Early Cyclicals</x:v>
      </x:c>
      <x:c r="G7714" s="13" t="str">
        <x:v>grid_cqzdsc3v.xlsx</x:v>
      </x:c>
    </x:row>
    <x:row r="7715">
      <x:c r="A7715" s="15" t="n">
        <x:v>43952</x:v>
      </x:c>
      <x:c r="B7715" s="13" t="str">
        <x:v>LOJAS AMERICANAS SA-PREF</x:v>
      </x:c>
      <x:c r="C7715" s="16" t="n">
        <x:v>890.9945063452</x:v>
      </x:c>
      <x:c r="D7715" s="13" t="str">
        <x:v>Retail</x:v>
      </x:c>
      <x:c r="E7715" s="13" t="str">
        <x:v>Retail</x:v>
      </x:c>
      <x:c r="F7715" s="13" t="str">
        <x:v>Early Cyclicals</x:v>
      </x:c>
      <x:c r="G7715" s="13" t="str">
        <x:v>grid_cqzdsc3v.xlsx</x:v>
      </x:c>
    </x:row>
    <x:row r="7716">
      <x:c r="A7716" s="15" t="n">
        <x:v>43952</x:v>
      </x:c>
      <x:c r="B7716" s="13" t="str">
        <x:v>LOJAS RENNER S.A.</x:v>
      </x:c>
      <x:c r="C7716" s="16" t="n">
        <x:v>1128.2608541808</x:v>
      </x:c>
      <x:c r="D7716" s="13" t="str">
        <x:v>Retail</x:v>
      </x:c>
      <x:c r="E7716" s="13" t="str">
        <x:v>Retail</x:v>
      </x:c>
      <x:c r="F7716" s="13" t="str">
        <x:v>Early Cyclicals</x:v>
      </x:c>
      <x:c r="G7716" s="13" t="str">
        <x:v>grid_cqzdsc3v.xlsx</x:v>
      </x:c>
    </x:row>
    <x:row r="7717">
      <x:c r="A7717" s="15" t="n">
        <x:v>43952</x:v>
      </x:c>
      <x:c r="B7717" s="13" t="str">
        <x:v>MAGAZINE LUIZA SA</x:v>
      </x:c>
      <x:c r="C7717" s="16" t="n">
        <x:v>505.7956586959</x:v>
      </x:c>
      <x:c r="D7717" s="13" t="str">
        <x:v>Retail</x:v>
      </x:c>
      <x:c r="E7717" s="13" t="str">
        <x:v>Retail</x:v>
      </x:c>
      <x:c r="F7717" s="13" t="str">
        <x:v>Early Cyclicals</x:v>
      </x:c>
      <x:c r="G7717" s="13" t="str">
        <x:v>grid_cqzdsc3v.xlsx</x:v>
      </x:c>
    </x:row>
    <x:row r="7718">
      <x:c r="A7718" s="15" t="n">
        <x:v>43952</x:v>
      </x:c>
      <x:c r="B7718" s="13" t="str">
        <x:v>NATURA &amp;CO HOLDING SA</x:v>
      </x:c>
      <x:c r="C7718" s="16" t="n">
        <x:v>879.445888</x:v>
      </x:c>
      <x:c r="D7718" s="13" t="str">
        <x:v>Retail</x:v>
      </x:c>
      <x:c r="E7718" s="13" t="str">
        <x:v>Retail</x:v>
      </x:c>
      <x:c r="F7718" s="13" t="str">
        <x:v>Early Cyclicals</x:v>
      </x:c>
      <x:c r="G7718" s="13" t="str">
        <x:v>grid_cqzdsc3v.xlsx</x:v>
      </x:c>
    </x:row>
    <x:row r="7719">
      <x:c r="A7719" s="15" t="n">
        <x:v>43952</x:v>
      </x:c>
      <x:c r="B7719" s="13" t="str">
        <x:v>RAIA DROGASIL SA</x:v>
      </x:c>
      <x:c r="C7719" s="16" t="n">
        <x:v>789.2994756384</x:v>
      </x:c>
      <x:c r="D7719" s="13" t="str">
        <x:v>Retail</x:v>
      </x:c>
      <x:c r="E7719" s="13" t="str">
        <x:v>Retail</x:v>
      </x:c>
      <x:c r="F7719" s="13" t="str">
        <x:v>Early Cyclicals</x:v>
      </x:c>
      <x:c r="G7719" s="13" t="str">
        <x:v>grid_cqzdsc3v.xlsx</x:v>
      </x:c>
    </x:row>
    <x:row r="7720">
      <x:c r="A7720" s="15" t="n">
        <x:v>43952</x:v>
      </x:c>
      <x:c r="B7720" s="13" t="str">
        <x:v>CIA SANEAMENTO BASICO DE SP</x:v>
      </x:c>
      <x:c r="C7720" s="16" t="n">
        <x:v>2238.8222807671</x:v>
      </x:c>
      <x:c r="D7720" s="13" t="str">
        <x:v>Sanitation</x:v>
      </x:c>
      <x:c r="E7720" s="13" t="str">
        <x:v>Utilities</x:v>
      </x:c>
      <x:c r="F7720" s="13" t="str">
        <x:v>Defensives</x:v>
      </x:c>
      <x:c r="G7720" s="13" t="str">
        <x:v>grid_cqzdsc3v.xlsx</x:v>
      </x:c>
    </x:row>
    <x:row r="7721">
      <x:c r="A7721" s="15" t="n">
        <x:v>43952</x:v>
      </x:c>
      <x:c r="B7721" s="13" t="str">
        <x:v>TELEFONICA BRASIL S.A.-PREF</x:v>
      </x:c>
      <x:c r="C7721" s="16" t="n">
        <x:v>5373.0435156164</x:v>
      </x:c>
      <x:c r="D7721" s="13" t="str">
        <x:v>TMT</x:v>
      </x:c>
      <x:c r="E7721" s="13" t="str">
        <x:v>TMT</x:v>
      </x:c>
      <x:c r="F7721" s="13" t="str">
        <x:v>Early Cyclicals</x:v>
      </x:c>
      <x:c r="G7721" s="13" t="str">
        <x:v>grid_cqzdsc3v.xlsx</x:v>
      </x:c>
    </x:row>
    <x:row r="7722">
      <x:c r="A7722" s="15" t="n">
        <x:v>43952</x:v>
      </x:c>
      <x:c r="B7722" s="13" t="str">
        <x:v>TIM SA</x:v>
      </x:c>
      <x:c r="C7722" s="16" t="n">
        <x:v>1945.8231892164</x:v>
      </x:c>
      <x:c r="D7722" s="13" t="str">
        <x:v>TMT</x:v>
      </x:c>
      <x:c r="E7722" s="13" t="str">
        <x:v>TMT</x:v>
      </x:c>
      <x:c r="F7722" s="13" t="str">
        <x:v>Early Cyclicals</x:v>
      </x:c>
      <x:c r="G7722" s="13" t="str">
        <x:v>grid_cqzdsc3v.xlsx</x:v>
      </x:c>
    </x:row>
    <x:row r="7723">
      <x:c r="A7723" s="15" t="n">
        <x:v>43952</x:v>
      </x:c>
      <x:c r="B7723" s="13" t="str">
        <x:v>TOTVS SA</x:v>
      </x:c>
      <x:c r="C7723" s="16" t="n">
        <x:v>357.7873539507</x:v>
      </x:c>
      <x:c r="D7723" s="13" t="str">
        <x:v>TMT</x:v>
      </x:c>
      <x:c r="E7723" s="13" t="str">
        <x:v>TMT</x:v>
      </x:c>
      <x:c r="F7723" s="13" t="str">
        <x:v>Early Cyclicals</x:v>
      </x:c>
      <x:c r="G7723" s="13" t="str">
        <x:v>grid_cqzdsc3v.xlsx</x:v>
      </x:c>
    </x:row>
    <x:row r="7724">
      <x:c r="A7724" s="15" t="n">
        <x:v>43952</x:v>
      </x:c>
      <x:c r="B7724" s="13" t="str">
        <x:v>AZUL SA</x:v>
      </x:c>
      <x:c r="C7724" s="16" t="n">
        <x:v>-3593.2720219178</x:v>
      </x:c>
      <x:c r="D7724" s="13" t="str">
        <x:v>Transportation</x:v>
      </x:c>
      <x:c r="E7724" s="13" t="str">
        <x:v>Transportation</x:v>
      </x:c>
      <x:c r="F7724" s="13" t="str">
        <x:v>Deep Cyclicals</x:v>
      </x:c>
      <x:c r="G7724" s="13" t="str">
        <x:v>grid_cqzdsc3v.xlsx</x:v>
      </x:c>
    </x:row>
    <x:row r="7725">
      <x:c r="A7725" s="15" t="n">
        <x:v>43952</x:v>
      </x:c>
      <x:c r="B7725" s="13" t="str">
        <x:v>ECORODOVIAS INFRA E LOG SA</x:v>
      </x:c>
      <x:c r="C7725" s="16" t="n">
        <x:v>452.2657534247</x:v>
      </x:c>
      <x:c r="D7725" s="13" t="str">
        <x:v>Transportation</x:v>
      </x:c>
      <x:c r="E7725" s="13" t="str">
        <x:v>Transportation</x:v>
      </x:c>
      <x:c r="F7725" s="13" t="str">
        <x:v>Deep Cyclicals</x:v>
      </x:c>
      <x:c r="G7725" s="13" t="str">
        <x:v>grid_cqzdsc3v.xlsx</x:v>
      </x:c>
    </x:row>
    <x:row r="7726">
      <x:c r="A7726" s="15" t="n">
        <x:v>43952</x:v>
      </x:c>
      <x:c r="B7726" s="13" t="str">
        <x:v>GOL LINHAS AEREAS INT SA-PRE</x:v>
      </x:c>
      <x:c r="C7726" s="16" t="n">
        <x:v>-1638.029055474</x:v>
      </x:c>
      <x:c r="D7726" s="13" t="str">
        <x:v>Transportation</x:v>
      </x:c>
      <x:c r="E7726" s="13" t="str">
        <x:v>Transportation</x:v>
      </x:c>
      <x:c r="F7726" s="13" t="str">
        <x:v>Deep Cyclicals</x:v>
      </x:c>
      <x:c r="G7726" s="13" t="str">
        <x:v>grid_cqzdsc3v.xlsx</x:v>
      </x:c>
    </x:row>
    <x:row r="7727">
      <x:c r="A7727" s="15" t="n">
        <x:v>43952</x:v>
      </x:c>
      <x:c r="B7727" s="13" t="str">
        <x:v>LOCALIZA RENT A CAR</x:v>
      </x:c>
      <x:c r="C7727" s="16" t="n">
        <x:v>906.3060143342</x:v>
      </x:c>
      <x:c r="D7727" s="13" t="str">
        <x:v>Transportation</x:v>
      </x:c>
      <x:c r="E7727" s="13" t="str">
        <x:v>Transportation</x:v>
      </x:c>
      <x:c r="F7727" s="13" t="str">
        <x:v>Deep Cyclicals</x:v>
      </x:c>
      <x:c r="G7727" s="13" t="str">
        <x:v>grid_cqzdsc3v.xlsx</x:v>
      </x:c>
    </x:row>
    <x:row r="7728">
      <x:c r="A7728" s="15" t="n">
        <x:v>43952</x:v>
      </x:c>
      <x:c r="B7728" s="13" t="str">
        <x:v>MOTIVA INFRAESTRUTURA DE MOB</x:v>
      </x:c>
      <x:c r="C7728" s="16" t="n">
        <x:v>1510.287929863</x:v>
      </x:c>
      <x:c r="D7728" s="13" t="str">
        <x:v>Transportation</x:v>
      </x:c>
      <x:c r="E7728" s="13" t="str">
        <x:v>Transportation</x:v>
      </x:c>
      <x:c r="F7728" s="13" t="str">
        <x:v>Deep Cyclicals</x:v>
      </x:c>
      <x:c r="G7728" s="13" t="str">
        <x:v>grid_cqzdsc3v.xlsx</x:v>
      </x:c>
    </x:row>
    <x:row r="7729">
      <x:c r="A7729" s="15" t="n">
        <x:v>43952</x:v>
      </x:c>
      <x:c r="B7729" s="13" t="str">
        <x:v>RUMO SA</x:v>
      </x:c>
      <x:c r="C7729" s="16" t="n">
        <x:v>1039.2713875288</x:v>
      </x:c>
      <x:c r="D7729" s="13" t="str">
        <x:v>Transportation</x:v>
      </x:c>
      <x:c r="E7729" s="13" t="str">
        <x:v>Transportation</x:v>
      </x:c>
      <x:c r="F7729" s="13" t="str">
        <x:v>Deep Cyclicals</x:v>
      </x:c>
      <x:c r="G7729" s="13" t="str">
        <x:v>grid_cqzdsc3v.xlsx</x:v>
      </x:c>
    </x:row>
    <x:row r="7730">
      <x:c r="A7730" s="15" t="n">
        <x:v>43952</x:v>
      </x:c>
      <x:c r="B7730" s="13" t="str">
        <x:v>AXIA ENERGIA SA</x:v>
      </x:c>
      <x:c r="C7730" s="16" t="n">
        <x:v>5329.5178036603</x:v>
      </x:c>
      <x:c r="D7730" s="13" t="str">
        <x:v>Utilities &amp; Energy</x:v>
      </x:c>
      <x:c r="E7730" s="13" t="str">
        <x:v>Utilities</x:v>
      </x:c>
      <x:c r="F7730" s="13" t="str">
        <x:v>Defensives</x:v>
      </x:c>
      <x:c r="G7730" s="13" t="str">
        <x:v>grid_cqzdsc3v.xlsx</x:v>
      </x:c>
    </x:row>
    <x:row r="7731">
      <x:c r="A7731" s="15" t="n">
        <x:v>43952</x:v>
      </x:c>
      <x:c r="B7731" s="13" t="str">
        <x:v>AXIA ENERGIA-PR B</x:v>
      </x:c>
      <x:c r="C7731" s="16" t="n">
        <x:v>5329.5178036603</x:v>
      </x:c>
      <x:c r="D7731" s="13" t="str">
        <x:v>Utilities &amp; Energy</x:v>
      </x:c>
      <x:c r="E7731" s="13" t="str">
        <x:v>Utilities</x:v>
      </x:c>
      <x:c r="F7731" s="13" t="str">
        <x:v>Defensives</x:v>
      </x:c>
      <x:c r="G7731" s="13" t="str">
        <x:v>grid_cqzdsc3v.xlsx</x:v>
      </x:c>
    </x:row>
    <x:row r="7732">
      <x:c r="A7732" s="15" t="n">
        <x:v>43952</x:v>
      </x:c>
      <x:c r="B7732" s="13" t="str">
        <x:v>CIA ENERGETICA MINAS GER-PRF</x:v>
      </x:c>
      <x:c r="C7732" s="16" t="n">
        <x:v>2259.8284491397</x:v>
      </x:c>
      <x:c r="D7732" s="13" t="str">
        <x:v>Utilities &amp; Energy</x:v>
      </x:c>
      <x:c r="E7732" s="13" t="str">
        <x:v>Utilities</x:v>
      </x:c>
      <x:c r="F7732" s="13" t="str">
        <x:v>Defensives</x:v>
      </x:c>
      <x:c r="G7732" s="13" t="str">
        <x:v>grid_cqzdsc3v.xlsx</x:v>
      </x:c>
    </x:row>
    <x:row r="7733">
      <x:c r="A7733" s="15" t="n">
        <x:v>43952</x:v>
      </x:c>
      <x:c r="B7733" s="13" t="str">
        <x:v>CPFL ENERGIA SA</x:v>
      </x:c>
      <x:c r="C7733" s="16" t="n">
        <x:v>2839.5533985315</x:v>
      </x:c>
      <x:c r="D7733" s="13" t="str">
        <x:v>Utilities &amp; Energy</x:v>
      </x:c>
      <x:c r="E7733" s="13" t="str">
        <x:v>Utilities</x:v>
      </x:c>
      <x:c r="F7733" s="13" t="str">
        <x:v>Defensives</x:v>
      </x:c>
      <x:c r="G7733" s="13" t="str">
        <x:v>grid_cqzdsc3v.xlsx</x:v>
      </x:c>
    </x:row>
    <x:row r="7734">
      <x:c r="A7734" s="15" t="n">
        <x:v>43952</x:v>
      </x:c>
      <x:c r="B7734" s="13" t="str">
        <x:v>EDP - ENERGIAS DO BRASIL SA</x:v>
      </x:c>
      <x:c r="C7734" s="16" t="n">
        <x:v>1029.2230915507</x:v>
      </x:c>
      <x:c r="D7734" s="13" t="str">
        <x:v>Utilities &amp; Energy</x:v>
      </x:c>
      <x:c r="E7734" s="13" t="str">
        <x:v>Utilities</x:v>
      </x:c>
      <x:c r="F7734" s="13" t="str">
        <x:v>Defensives</x:v>
      </x:c>
      <x:c r="G7734" s="13" t="str">
        <x:v>grid_cqzdsc3v.xlsx</x:v>
      </x:c>
    </x:row>
    <x:row r="7735">
      <x:c r="A7735" s="15" t="n">
        <x:v>43952</x:v>
      </x:c>
      <x:c r="B7735" s="13" t="str">
        <x:v>ENERGISA SA-UNITS</x:v>
      </x:c>
      <x:c r="C7735" s="16" t="n">
        <x:v>1159.775967737</x:v>
      </x:c>
      <x:c r="D7735" s="13" t="str">
        <x:v>Utilities &amp; Energy</x:v>
      </x:c>
      <x:c r="E7735" s="13" t="str">
        <x:v>Utilities</x:v>
      </x:c>
      <x:c r="F7735" s="13" t="str">
        <x:v>Defensives</x:v>
      </x:c>
      <x:c r="G7735" s="13" t="str">
        <x:v>grid_cqzdsc3v.xlsx</x:v>
      </x:c>
    </x:row>
    <x:row r="7736">
      <x:c r="A7736" s="15" t="n">
        <x:v>43952</x:v>
      </x:c>
      <x:c r="B7736" s="13" t="str">
        <x:v>ENGIE BRASIL ENERGIA SA</x:v>
      </x:c>
      <x:c r="C7736" s="16" t="n">
        <x:v>2896.7906451288</x:v>
      </x:c>
      <x:c r="D7736" s="13" t="str">
        <x:v>Utilities &amp; Energy</x:v>
      </x:c>
      <x:c r="E7736" s="13" t="str">
        <x:v>Utilities</x:v>
      </x:c>
      <x:c r="F7736" s="13" t="str">
        <x:v>Defensives</x:v>
      </x:c>
      <x:c r="G7736" s="13" t="str">
        <x:v>grid_cqzdsc3v.xlsx</x:v>
      </x:c>
    </x:row>
    <x:row r="7737">
      <x:c r="A7737" s="15" t="n">
        <x:v>43952</x:v>
      </x:c>
      <x:c r="B7737" s="13" t="str">
        <x:v>EQUATORIAL SA - ORD</x:v>
      </x:c>
      <x:c r="C7737" s="16" t="n">
        <x:v>1289.8076086356</x:v>
      </x:c>
      <x:c r="D7737" s="13" t="str">
        <x:v>Utilities &amp; Energy</x:v>
      </x:c>
      <x:c r="E7737" s="13" t="str">
        <x:v>Utilities</x:v>
      </x:c>
      <x:c r="F7737" s="13" t="str">
        <x:v>Defensives</x:v>
      </x:c>
      <x:c r="G7737" s="13" t="str">
        <x:v>grid_cqzdsc3v.xlsx</x:v>
      </x:c>
    </x:row>
    <x:row r="7738">
      <x:c r="A7738" s="15" t="n">
        <x:v>43952</x:v>
      </x:c>
      <x:c r="B7738" s="13" t="str">
        <x:v>TRANSMISSORA ALIANCA DE-UNIT</x:v>
      </x:c>
      <x:c r="C7738" s="16" t="n">
        <x:v>917.4619178082</x:v>
      </x:c>
      <x:c r="D7738" s="13" t="str">
        <x:v>Utilities &amp; Energy</x:v>
      </x:c>
      <x:c r="E7738" s="13" t="str">
        <x:v>Utilities</x:v>
      </x:c>
      <x:c r="F7738" s="13" t="str">
        <x:v>Defensives</x:v>
      </x:c>
      <x:c r="G7738" s="13" t="str">
        <x:v>grid_cqzdsc3v.xlsx</x:v>
      </x:c>
    </x:row>
    <x:row r="7739">
      <x:c r="A7739" s="15" t="n">
        <x:v>43983</x:v>
      </x:c>
      <x:c r="B7739" s="13" t="str">
        <x:v>BANCO BRADESCO S.A.</x:v>
      </x:c>
      <x:c r="C7739" s="16" t="n">
        <x:v>19511.8655067178</x:v>
      </x:c>
      <x:c r="D7739" s="13" t="str">
        <x:v>Banks</x:v>
      </x:c>
      <x:c r="E7739" s="13" t="str">
        <x:v>Banks</x:v>
      </x:c>
      <x:c r="F7739" s="13" t="str">
        <x:v>Financials</x:v>
      </x:c>
      <x:c r="G7739" s="13" t="str">
        <x:v>grid_cqzdsc3v.xlsx</x:v>
      </x:c>
    </x:row>
    <x:row r="7740">
      <x:c r="A7740" s="15" t="n">
        <x:v>43983</x:v>
      </x:c>
      <x:c r="B7740" s="13" t="str">
        <x:v>BANCO BRADESCO SA-PREF</x:v>
      </x:c>
      <x:c r="C7740" s="16" t="n">
        <x:v>19511.8655067178</x:v>
      </x:c>
      <x:c r="D7740" s="13" t="str">
        <x:v>Banks</x:v>
      </x:c>
      <x:c r="E7740" s="13" t="str">
        <x:v>Banks</x:v>
      </x:c>
      <x:c r="F7740" s="13" t="str">
        <x:v>Financials</x:v>
      </x:c>
      <x:c r="G7740" s="13" t="str">
        <x:v>grid_cqzdsc3v.xlsx</x:v>
      </x:c>
    </x:row>
    <x:row r="7741">
      <x:c r="A7741" s="15" t="n">
        <x:v>43983</x:v>
      </x:c>
      <x:c r="B7741" s="13" t="str">
        <x:v>BANCO BTG PACTUAL SA-UNIT</x:v>
      </x:c>
      <x:c r="C7741" s="16" t="n">
        <x:v>3605.2725788055</x:v>
      </x:c>
      <x:c r="D7741" s="13" t="str">
        <x:v>Banks</x:v>
      </x:c>
      <x:c r="E7741" s="13" t="str">
        <x:v>Banks</x:v>
      </x:c>
      <x:c r="F7741" s="13" t="str">
        <x:v>Financials</x:v>
      </x:c>
      <x:c r="G7741" s="13" t="str">
        <x:v>grid_cqzdsc3v.xlsx</x:v>
      </x:c>
    </x:row>
    <x:row r="7742">
      <x:c r="A7742" s="15" t="n">
        <x:v>43983</x:v>
      </x:c>
      <x:c r="B7742" s="13" t="str">
        <x:v>BANCO DO BRASIL S.A.</x:v>
      </x:c>
      <x:c r="C7742" s="16" t="n">
        <x:v>15795.1622438575</x:v>
      </x:c>
      <x:c r="D7742" s="13" t="str">
        <x:v>Banks</x:v>
      </x:c>
      <x:c r="E7742" s="13" t="str">
        <x:v>Banks</x:v>
      </x:c>
      <x:c r="F7742" s="13" t="str">
        <x:v>Financials</x:v>
      </x:c>
      <x:c r="G7742" s="13" t="str">
        <x:v>grid_cqzdsc3v.xlsx</x:v>
      </x:c>
    </x:row>
    <x:row r="7743">
      <x:c r="A7743" s="15" t="n">
        <x:v>43983</x:v>
      </x:c>
      <x:c r="B7743" s="13" t="str">
        <x:v>BANCO SANTANDER  BRASIL-UNIT</x:v>
      </x:c>
      <x:c r="C7743" s="16" t="n">
        <x:v>12231.971085326</x:v>
      </x:c>
      <x:c r="D7743" s="13" t="str">
        <x:v>Banks</x:v>
      </x:c>
      <x:c r="E7743" s="13" t="str">
        <x:v>Banks</x:v>
      </x:c>
      <x:c r="F7743" s="13" t="str">
        <x:v>Financials</x:v>
      </x:c>
      <x:c r="G7743" s="13" t="str">
        <x:v>grid_cqzdsc3v.xlsx</x:v>
      </x:c>
    </x:row>
    <x:row r="7744">
      <x:c r="A7744" s="15" t="n">
        <x:v>43983</x:v>
      </x:c>
      <x:c r="B7744" s="13" t="str">
        <x:v>ITAU UNIBANCO HOLDING S-PREF</x:v>
      </x:c>
      <x:c r="C7744" s="16" t="n">
        <x:v>22431.9282863342</x:v>
      </x:c>
      <x:c r="D7744" s="13" t="str">
        <x:v>Banks</x:v>
      </x:c>
      <x:c r="E7744" s="13" t="str">
        <x:v>Banks</x:v>
      </x:c>
      <x:c r="F7744" s="13" t="str">
        <x:v>Financials</x:v>
      </x:c>
      <x:c r="G7744" s="13" t="str">
        <x:v>grid_cqzdsc3v.xlsx</x:v>
      </x:c>
    </x:row>
    <x:row r="7745">
      <x:c r="A7745" s="15" t="n">
        <x:v>43983</x:v>
      </x:c>
      <x:c r="B7745" s="13" t="str">
        <x:v>EMBRAER SA</x:v>
      </x:c>
      <x:c r="C7745" s="16" t="n">
        <x:v>-1234.7151344219</x:v>
      </x:c>
      <x:c r="D7745" s="13" t="str">
        <x:v>Capital Goods</x:v>
      </x:c>
      <x:c r="E7745" s="13" t="str">
        <x:v>Capital Goods</x:v>
      </x:c>
      <x:c r="F7745" s="13" t="str">
        <x:v>Deep Cyclicals</x:v>
      </x:c>
      <x:c r="G7745" s="13" t="str">
        <x:v>grid_cqzdsc3v.xlsx</x:v>
      </x:c>
    </x:row>
    <x:row r="7746">
      <x:c r="A7746" s="15" t="n">
        <x:v>43983</x:v>
      </x:c>
      <x:c r="B7746" s="13" t="str">
        <x:v>WEG SA</x:v>
      </x:c>
      <x:c r="C7746" s="16" t="n">
        <x:v>1846.5563574356</x:v>
      </x:c>
      <x:c r="D7746" s="13" t="str">
        <x:v>Capital Goods</x:v>
      </x:c>
      <x:c r="E7746" s="13" t="str">
        <x:v>Capital Goods</x:v>
      </x:c>
      <x:c r="F7746" s="13" t="str">
        <x:v>Deep Cyclicals</x:v>
      </x:c>
      <x:c r="G7746" s="13" t="str">
        <x:v>grid_cqzdsc3v.xlsx</x:v>
      </x:c>
    </x:row>
    <x:row r="7747">
      <x:c r="A7747" s="15" t="n">
        <x:v>43983</x:v>
      </x:c>
      <x:c r="B7747" s="13" t="str">
        <x:v>COGNA EDUCACAO</x:v>
      </x:c>
      <x:c r="C7747" s="16" t="n">
        <x:v>552.4425464986</x:v>
      </x:c>
      <x:c r="D7747" s="13" t="str">
        <x:v>Education</x:v>
      </x:c>
      <x:c r="E7747" s="13" t="str">
        <x:v>Education</x:v>
      </x:c>
      <x:c r="F7747" s="13" t="str">
        <x:v>Early Cyclicals</x:v>
      </x:c>
      <x:c r="G7747" s="13" t="str">
        <x:v>grid_cqzdsc3v.xlsx</x:v>
      </x:c>
    </x:row>
    <x:row r="7748">
      <x:c r="A7748" s="15" t="n">
        <x:v>43983</x:v>
      </x:c>
      <x:c r="B7748" s="13" t="str">
        <x:v>YDUQS PARTICIPACOES SA</x:v>
      </x:c>
      <x:c r="C7748" s="16" t="n">
        <x:v>625.3650167233</x:v>
      </x:c>
      <x:c r="D7748" s="13" t="str">
        <x:v>Education</x:v>
      </x:c>
      <x:c r="E7748" s="13" t="str">
        <x:v>Education</x:v>
      </x:c>
      <x:c r="F7748" s="13" t="str">
        <x:v>Early Cyclicals</x:v>
      </x:c>
      <x:c r="G7748" s="13" t="str">
        <x:v>grid_cqzdsc3v.xlsx</x:v>
      </x:c>
    </x:row>
    <x:row r="7749">
      <x:c r="A7749" s="15" t="n">
        <x:v>43983</x:v>
      </x:c>
      <x:c r="B7749" s="13" t="str">
        <x:v>B3 SA-BRASIL BOLSA BALCAO</x:v>
      </x:c>
      <x:c r="C7749" s="16" t="n">
        <x:v>3980.3718578849</x:v>
      </x:c>
      <x:c r="D7749" s="13" t="str">
        <x:v>Financials Non-Banks</x:v>
      </x:c>
      <x:c r="E7749" s="13" t="str">
        <x:v>Financials Non-Banks</x:v>
      </x:c>
      <x:c r="F7749" s="13" t="str">
        <x:v>Financials</x:v>
      </x:c>
      <x:c r="G7749" s="13" t="str">
        <x:v>grid_cqzdsc3v.xlsx</x:v>
      </x:c>
    </x:row>
    <x:row r="7750">
      <x:c r="A7750" s="15" t="n">
        <x:v>43983</x:v>
      </x:c>
      <x:c r="B7750" s="13" t="str">
        <x:v>BB SEGURIDADE PARTICIPACOES</x:v>
      </x:c>
      <x:c r="C7750" s="16" t="n">
        <x:v>4059.1024387507</x:v>
      </x:c>
      <x:c r="D7750" s="13" t="str">
        <x:v>Financials Non-Banks</x:v>
      </x:c>
      <x:c r="E7750" s="13" t="str">
        <x:v>Financials Non-Banks</x:v>
      </x:c>
      <x:c r="F7750" s="13" t="str">
        <x:v>Financials</x:v>
      </x:c>
      <x:c r="G7750" s="13" t="str">
        <x:v>grid_cqzdsc3v.xlsx</x:v>
      </x:c>
    </x:row>
    <x:row r="7751">
      <x:c r="A7751" s="15" t="n">
        <x:v>43983</x:v>
      </x:c>
      <x:c r="B7751" s="13" t="str">
        <x:v>CIELO SA</x:v>
      </x:c>
      <x:c r="C7751" s="16" t="n">
        <x:v>882.295808526</x:v>
      </x:c>
      <x:c r="D7751" s="13" t="str">
        <x:v>Financials Non-Banks</x:v>
      </x:c>
      <x:c r="E7751" s="13" t="str">
        <x:v>Financials Non-Banks</x:v>
      </x:c>
      <x:c r="F7751" s="13" t="str">
        <x:v>Financials</x:v>
      </x:c>
      <x:c r="G7751" s="13" t="str">
        <x:v>Ibovespa_earnings_consolidated.xlsx</x:v>
      </x:c>
    </x:row>
    <x:row r="7752">
      <x:c r="A7752" s="15" t="n">
        <x:v>43983</x:v>
      </x:c>
      <x:c r="B7752" s="13" t="str">
        <x:v>CIELO SA - INSTITUICAO DE PA</x:v>
      </x:c>
      <x:c r="C7752" s="16" t="n">
        <x:v>882.295808526</x:v>
      </x:c>
      <x:c r="D7752" s="13" t="str">
        <x:v>Financials Non-Banks</x:v>
      </x:c>
      <x:c r="E7752" s="13" t="str">
        <x:v>Financials Non-Banks</x:v>
      </x:c>
      <x:c r="F7752" s="13" t="str">
        <x:v>Financials</x:v>
      </x:c>
      <x:c r="G7752" s="13" t="str">
        <x:v>grid_cqzdsc3v.xlsx</x:v>
      </x:c>
    </x:row>
    <x:row r="7753">
      <x:c r="A7753" s="15" t="n">
        <x:v>43983</x:v>
      </x:c>
      <x:c r="B7753" s="13" t="str">
        <x:v>IRB BRASIL RESSEGUROS SA</x:v>
      </x:c>
      <x:c r="C7753" s="16" t="n">
        <x:v>768.3095248658</x:v>
      </x:c>
      <x:c r="D7753" s="13" t="str">
        <x:v>Financials Non-Banks</x:v>
      </x:c>
      <x:c r="E7753" s="13" t="str">
        <x:v>Financials Non-Banks</x:v>
      </x:c>
      <x:c r="F7753" s="13" t="str">
        <x:v>Financials</x:v>
      </x:c>
      <x:c r="G7753" s="13" t="str">
        <x:v>grid_cqzdsc3v.xlsx</x:v>
      </x:c>
    </x:row>
    <x:row r="7754">
      <x:c r="A7754" s="15" t="n">
        <x:v>43983</x:v>
      </x:c>
      <x:c r="B7754" s="13" t="str">
        <x:v>ITAUSA SA</x:v>
      </x:c>
      <x:c r="C7754" s="16" t="n">
        <x:v>8818.4684291507</x:v>
      </x:c>
      <x:c r="D7754" s="13" t="str">
        <x:v>Financials Non-Banks</x:v>
      </x:c>
      <x:c r="E7754" s="13" t="str">
        <x:v>Financials Non-Banks</x:v>
      </x:c>
      <x:c r="F7754" s="13" t="str">
        <x:v>Financials</x:v>
      </x:c>
      <x:c r="G7754" s="13" t="str">
        <x:v>grid_cqzdsc3v.xlsx</x:v>
      </x:c>
    </x:row>
    <x:row r="7755">
      <x:c r="A7755" s="15" t="n">
        <x:v>43983</x:v>
      </x:c>
      <x:c r="B7755" s="13" t="str">
        <x:v>AMBEV SA</x:v>
      </x:c>
      <x:c r="C7755" s="16" t="n">
        <x:v>10366.1668744767</x:v>
      </x:c>
      <x:c r="D7755" s="13" t="str">
        <x:v>Food &amp; Beverages</x:v>
      </x:c>
      <x:c r="E7755" s="13" t="str">
        <x:v>Agri, Food &amp; Beverages</x:v>
      </x:c>
      <x:c r="F7755" s="13" t="str">
        <x:v>Defensives</x:v>
      </x:c>
      <x:c r="G7755" s="13" t="str">
        <x:v>grid_cqzdsc3v.xlsx</x:v>
      </x:c>
    </x:row>
    <x:row r="7756">
      <x:c r="A7756" s="15" t="n">
        <x:v>43983</x:v>
      </x:c>
      <x:c r="B7756" s="13" t="str">
        <x:v>BRF SA</x:v>
      </x:c>
      <x:c r="C7756" s="16" t="n">
        <x:v>766.4118738411</x:v>
      </x:c>
      <x:c r="D7756" s="13" t="str">
        <x:v>Food &amp; Beverages</x:v>
      </x:c>
      <x:c r="E7756" s="13" t="str">
        <x:v>Agri, Food &amp; Beverages</x:v>
      </x:c>
      <x:c r="F7756" s="13" t="str">
        <x:v>Defensives</x:v>
      </x:c>
      <x:c r="G7756" s="13" t="str">
        <x:v>grid_cqzdsc3v.xlsx</x:v>
      </x:c>
    </x:row>
    <x:row r="7757">
      <x:c r="A7757" s="15" t="n">
        <x:v>43983</x:v>
      </x:c>
      <x:c r="B7757" s="13" t="str">
        <x:v>JBS SA</x:v>
      </x:c>
      <x:c r="C7757" s="16" t="n">
        <x:v>4757.0924908712</x:v>
      </x:c>
      <x:c r="D7757" s="13" t="str">
        <x:v>Food &amp; Beverages</x:v>
      </x:c>
      <x:c r="E7757" s="13" t="str">
        <x:v>Agri, Food &amp; Beverages</x:v>
      </x:c>
      <x:c r="F7757" s="13" t="str">
        <x:v>Defensives</x:v>
      </x:c>
      <x:c r="G7757" s="13" t="str">
        <x:v>grid_cqzdsc3v.xlsx</x:v>
      </x:c>
    </x:row>
    <x:row r="7758">
      <x:c r="A7758" s="15" t="n">
        <x:v>43983</x:v>
      </x:c>
      <x:c r="B7758" s="13" t="str">
        <x:v>MBRF GLOBAL FOODS COMPANY SA</x:v>
      </x:c>
      <x:c r="C7758" s="16" t="n">
        <x:v>1274.0075663781</x:v>
      </x:c>
      <x:c r="D7758" s="13" t="str">
        <x:v>Food &amp; Beverages</x:v>
      </x:c>
      <x:c r="E7758" s="13" t="str">
        <x:v>Agri, Food &amp; Beverages</x:v>
      </x:c>
      <x:c r="F7758" s="13" t="str">
        <x:v>Defensives</x:v>
      </x:c>
      <x:c r="G7758" s="13" t="str">
        <x:v>grid_cqzdsc3v.xlsx</x:v>
      </x:c>
    </x:row>
    <x:row r="7759">
      <x:c r="A7759" s="15" t="n">
        <x:v>43983</x:v>
      </x:c>
      <x:c r="B7759" s="13" t="str">
        <x:v>MINERVA SA</x:v>
      </x:c>
      <x:c r="C7759" s="16" t="n">
        <x:v>542.026559474</x:v>
      </x:c>
      <x:c r="D7759" s="13" t="str">
        <x:v>Food &amp; Beverages</x:v>
      </x:c>
      <x:c r="E7759" s="13" t="str">
        <x:v>Agri, Food &amp; Beverages</x:v>
      </x:c>
      <x:c r="F7759" s="13" t="str">
        <x:v>Defensives</x:v>
      </x:c>
      <x:c r="G7759" s="13" t="str">
        <x:v>grid_cqzdsc3v.xlsx</x:v>
      </x:c>
    </x:row>
    <x:row r="7760">
      <x:c r="A7760" s="15" t="n">
        <x:v>43983</x:v>
      </x:c>
      <x:c r="B7760" s="13" t="str">
        <x:v>FLEURY SA</x:v>
      </x:c>
      <x:c r="C7760" s="16" t="n">
        <x:v>215.6570398685</x:v>
      </x:c>
      <x:c r="D7760" s="13" t="str">
        <x:v>Health Care</x:v>
      </x:c>
      <x:c r="E7760" s="13" t="str">
        <x:v>Health Care</x:v>
      </x:c>
      <x:c r="F7760" s="13" t="str">
        <x:v>Defensives</x:v>
      </x:c>
      <x:c r="G7760" s="13" t="str">
        <x:v>grid_cqzdsc3v.xlsx</x:v>
      </x:c>
    </x:row>
    <x:row r="7761">
      <x:c r="A7761" s="15" t="n">
        <x:v>43983</x:v>
      </x:c>
      <x:c r="B7761" s="13" t="str">
        <x:v>HAPVIDA PARTICIPACOES E INVE</x:v>
      </x:c>
      <x:c r="C7761" s="16" t="n">
        <x:v>996.8214016</x:v>
      </x:c>
      <x:c r="D7761" s="13" t="str">
        <x:v>Health Care</x:v>
      </x:c>
      <x:c r="E7761" s="13" t="str">
        <x:v>Health Care</x:v>
      </x:c>
      <x:c r="F7761" s="13" t="str">
        <x:v>Defensives</x:v>
      </x:c>
      <x:c r="G7761" s="13" t="str">
        <x:v>grid_cqzdsc3v.xlsx</x:v>
      </x:c>
    </x:row>
    <x:row r="7762">
      <x:c r="A7762" s="15" t="n">
        <x:v>43983</x:v>
      </x:c>
      <x:c r="B7762" s="13" t="str">
        <x:v>HYPERA SA</x:v>
      </x:c>
      <x:c r="C7762" s="16" t="n">
        <x:v>1377.5128772384</x:v>
      </x:c>
      <x:c r="D7762" s="13" t="str">
        <x:v>Health Care</x:v>
      </x:c>
      <x:c r="E7762" s="13" t="str">
        <x:v>Health Care</x:v>
      </x:c>
      <x:c r="F7762" s="13" t="str">
        <x:v>Defensives</x:v>
      </x:c>
      <x:c r="G7762" s="13" t="str">
        <x:v>grid_cqzdsc3v.xlsx</x:v>
      </x:c>
    </x:row>
    <x:row r="7763">
      <x:c r="A7763" s="15" t="n">
        <x:v>43983</x:v>
      </x:c>
      <x:c r="B7763" s="13" t="str">
        <x:v>NOTRE DAME INTERMED PAR SA</x:v>
      </x:c>
      <x:c r="C7763" s="16" t="n">
        <x:v>817.8288985425</x:v>
      </x:c>
      <x:c r="D7763" s="13" t="str">
        <x:v>Health Care</x:v>
      </x:c>
      <x:c r="E7763" s="13" t="str">
        <x:v>Health Care</x:v>
      </x:c>
      <x:c r="F7763" s="13" t="str">
        <x:v>Defensives</x:v>
      </x:c>
      <x:c r="G7763" s="13" t="str">
        <x:v>grid_cqzdsc3v.xlsx</x:v>
      </x:c>
    </x:row>
    <x:row r="7764">
      <x:c r="A7764" s="15" t="n">
        <x:v>43983</x:v>
      </x:c>
      <x:c r="B7764" s="13" t="str">
        <x:v>QUALICORP CONS E CORR SEG SA</x:v>
      </x:c>
      <x:c r="C7764" s="16" t="n">
        <x:v>533.9421110356</x:v>
      </x:c>
      <x:c r="D7764" s="13" t="str">
        <x:v>Health Care</x:v>
      </x:c>
      <x:c r="E7764" s="13" t="str">
        <x:v>Health Care</x:v>
      </x:c>
      <x:c r="F7764" s="13" t="str">
        <x:v>Defensives</x:v>
      </x:c>
      <x:c r="G7764" s="13" t="str">
        <x:v>grid_cqzdsc3v.xlsx</x:v>
      </x:c>
    </x:row>
    <x:row r="7765">
      <x:c r="A7765" s="15" t="n">
        <x:v>43983</x:v>
      </x:c>
      <x:c r="B7765" s="13" t="str">
        <x:v>SUL AMERICA SA - UNITS</x:v>
      </x:c>
      <x:c r="C7765" s="16" t="n">
        <x:v>1120.522086926</x:v>
      </x:c>
      <x:c r="D7765" s="13" t="str">
        <x:v>Health Care</x:v>
      </x:c>
      <x:c r="E7765" s="13" t="str">
        <x:v>Health Care</x:v>
      </x:c>
      <x:c r="F7765" s="13" t="str">
        <x:v>Defensives</x:v>
      </x:c>
      <x:c r="G7765" s="13" t="str">
        <x:v>grid_cqzdsc3v.xlsx</x:v>
      </x:c>
    </x:row>
    <x:row r="7766">
      <x:c r="A7766" s="15" t="n">
        <x:v>43983</x:v>
      </x:c>
      <x:c r="B7766" s="13" t="str">
        <x:v>CYRELA BRAZIL REALTY SA EMP</x:v>
      </x:c>
      <x:c r="C7766" s="16" t="n">
        <x:v>360.8337765699</x:v>
      </x:c>
      <x:c r="D7766" s="13" t="str">
        <x:v>Homebuilders</x:v>
      </x:c>
      <x:c r="E7766" s="13" t="str">
        <x:v>Real Estate</x:v>
      </x:c>
      <x:c r="F7766" s="13" t="str">
        <x:v>Early Cyclicals</x:v>
      </x:c>
      <x:c r="G7766" s="13" t="str">
        <x:v>grid_cqzdsc3v.xlsx</x:v>
      </x:c>
    </x:row>
    <x:row r="7767">
      <x:c r="A7767" s="15" t="n">
        <x:v>43983</x:v>
      </x:c>
      <x:c r="B7767" s="13" t="str">
        <x:v>MRV ENGENHARIA</x:v>
      </x:c>
      <x:c r="C7767" s="16" t="n">
        <x:v>592.7526834849</x:v>
      </x:c>
      <x:c r="D7767" s="13" t="str">
        <x:v>Homebuilders</x:v>
      </x:c>
      <x:c r="E7767" s="13" t="str">
        <x:v>Real Estate</x:v>
      </x:c>
      <x:c r="F7767" s="13" t="str">
        <x:v>Early Cyclicals</x:v>
      </x:c>
      <x:c r="G7767" s="13" t="str">
        <x:v>grid_cqzdsc3v.xlsx</x:v>
      </x:c>
    </x:row>
    <x:row r="7768">
      <x:c r="A7768" s="15" t="n">
        <x:v>43983</x:v>
      </x:c>
      <x:c r="B7768" s="13" t="str">
        <x:v>BR MALLS PARTICIPACOES SA</x:v>
      </x:c>
      <x:c r="C7768" s="16" t="n">
        <x:v>470.5071956164</x:v>
      </x:c>
      <x:c r="D7768" s="13" t="str">
        <x:v>Income Properties</x:v>
      </x:c>
      <x:c r="E7768" s="13" t="str">
        <x:v>Real Estate</x:v>
      </x:c>
      <x:c r="F7768" s="13" t="str">
        <x:v>Early Cyclicals</x:v>
      </x:c>
      <x:c r="G7768" s="13" t="str">
        <x:v>grid_cqzdsc3v.xlsx</x:v>
      </x:c>
    </x:row>
    <x:row r="7769">
      <x:c r="A7769" s="15" t="n">
        <x:v>43983</x:v>
      </x:c>
      <x:c r="B7769" s="13" t="str">
        <x:v>IGUATEMI EMP DE SHOPPING</x:v>
      </x:c>
      <x:c r="C7769" s="16" t="n">
        <x:v>181.6851605918</x:v>
      </x:c>
      <x:c r="D7769" s="13" t="str">
        <x:v>Income Properties</x:v>
      </x:c>
      <x:c r="E7769" s="13" t="str">
        <x:v>Real Estate</x:v>
      </x:c>
      <x:c r="F7769" s="13" t="str">
        <x:v>Early Cyclicals</x:v>
      </x:c>
      <x:c r="G7769" s="13" t="str">
        <x:v>grid_cqzdsc3v.xlsx</x:v>
      </x:c>
    </x:row>
    <x:row r="7770">
      <x:c r="A7770" s="15" t="n">
        <x:v>43983</x:v>
      </x:c>
      <x:c r="B7770" s="13" t="str">
        <x:v>MULTIPLAN EMPREENDIMENTOS</x:v>
      </x:c>
      <x:c r="C7770" s="16" t="n">
        <x:v>419.7890410959</x:v>
      </x:c>
      <x:c r="D7770" s="13" t="str">
        <x:v>Income Properties</x:v>
      </x:c>
      <x:c r="E7770" s="13" t="str">
        <x:v>Real Estate</x:v>
      </x:c>
      <x:c r="F7770" s="13" t="str">
        <x:v>Early Cyclicals</x:v>
      </x:c>
      <x:c r="G7770" s="13" t="str">
        <x:v>grid_cqzdsc3v.xlsx</x:v>
      </x:c>
    </x:row>
    <x:row r="7771">
      <x:c r="A7771" s="15" t="n">
        <x:v>43983</x:v>
      </x:c>
      <x:c r="B7771" s="13" t="str">
        <x:v>BRADESPAR SA -PREF</x:v>
      </x:c>
      <x:c r="C7771" s="16" t="n">
        <x:v>1861.2602901041</x:v>
      </x:c>
      <x:c r="D7771" s="13" t="str">
        <x:v>Metals &amp; Mining</x:v>
      </x:c>
      <x:c r="E7771" s="13" t="str">
        <x:v>Metals &amp; Mining</x:v>
      </x:c>
      <x:c r="F7771" s="13" t="str">
        <x:v>Deep Cyclicals</x:v>
      </x:c>
      <x:c r="G7771" s="13" t="str">
        <x:v>grid_cqzdsc3v.xlsx</x:v>
      </x:c>
    </x:row>
    <x:row r="7772">
      <x:c r="A7772" s="15" t="n">
        <x:v>43983</x:v>
      </x:c>
      <x:c r="B7772" s="13" t="str">
        <x:v>CIA SIDERURGICA NACIONAL SA</x:v>
      </x:c>
      <x:c r="C7772" s="16" t="n">
        <x:v>1282.9527541479</x:v>
      </x:c>
      <x:c r="D7772" s="13" t="str">
        <x:v>Metals &amp; Mining</x:v>
      </x:c>
      <x:c r="E7772" s="13" t="str">
        <x:v>Metals &amp; Mining</x:v>
      </x:c>
      <x:c r="F7772" s="13" t="str">
        <x:v>Deep Cyclicals</x:v>
      </x:c>
      <x:c r="G7772" s="13" t="str">
        <x:v>grid_cqzdsc3v.xlsx</x:v>
      </x:c>
    </x:row>
    <x:row r="7773">
      <x:c r="A7773" s="15" t="n">
        <x:v>43983</x:v>
      </x:c>
      <x:c r="B7773" s="13" t="str">
        <x:v>GERDAU SA-PREF</x:v>
      </x:c>
      <x:c r="C7773" s="16" t="n">
        <x:v>910.5900280986</x:v>
      </x:c>
      <x:c r="D7773" s="13" t="str">
        <x:v>Metals &amp; Mining</x:v>
      </x:c>
      <x:c r="E7773" s="13" t="str">
        <x:v>Metals &amp; Mining</x:v>
      </x:c>
      <x:c r="F7773" s="13" t="str">
        <x:v>Deep Cyclicals</x:v>
      </x:c>
      <x:c r="G7773" s="13" t="str">
        <x:v>grid_cqzdsc3v.xlsx</x:v>
      </x:c>
    </x:row>
    <x:row r="7774">
      <x:c r="A7774" s="15" t="n">
        <x:v>43983</x:v>
      </x:c>
      <x:c r="B7774" s="13" t="str">
        <x:v>METALURGICA GERDAU SA-PREF</x:v>
      </x:c>
      <x:c r="C7774" s="16" t="n">
        <x:v>871.4657534247</x:v>
      </x:c>
      <x:c r="D7774" s="13" t="str">
        <x:v>Metals &amp; Mining</x:v>
      </x:c>
      <x:c r="E7774" s="13" t="str">
        <x:v>Metals &amp; Mining</x:v>
      </x:c>
      <x:c r="F7774" s="13" t="str">
        <x:v>Deep Cyclicals</x:v>
      </x:c>
      <x:c r="G7774" s="13" t="str">
        <x:v>grid_cqzdsc3v.xlsx</x:v>
      </x:c>
    </x:row>
    <x:row r="7775">
      <x:c r="A7775" s="15" t="n">
        <x:v>43983</x:v>
      </x:c>
      <x:c r="B7775" s="13" t="str">
        <x:v>USINAS SIDER MINAS GER-PF A</x:v>
      </x:c>
      <x:c r="C7775" s="16" t="n">
        <x:v>-82.6376121863</x:v>
      </x:c>
      <x:c r="D7775" s="13" t="str">
        <x:v>Metals &amp; Mining</x:v>
      </x:c>
      <x:c r="E7775" s="13" t="str">
        <x:v>Metals &amp; Mining</x:v>
      </x:c>
      <x:c r="F7775" s="13" t="str">
        <x:v>Deep Cyclicals</x:v>
      </x:c>
      <x:c r="G7775" s="13" t="str">
        <x:v>grid_cqzdsc3v.xlsx</x:v>
      </x:c>
    </x:row>
    <x:row r="7776">
      <x:c r="A7776" s="15" t="n">
        <x:v>43983</x:v>
      </x:c>
      <x:c r="B7776" s="13" t="str">
        <x:v>VALE SA</x:v>
      </x:c>
      <x:c r="C7776" s="16" t="n">
        <x:v>39332.9538538959</x:v>
      </x:c>
      <x:c r="D7776" s="13" t="str">
        <x:v>Metals &amp; Mining</x:v>
      </x:c>
      <x:c r="E7776" s="13" t="str">
        <x:v>Metals &amp; Mining</x:v>
      </x:c>
      <x:c r="F7776" s="13" t="str">
        <x:v>Deep Cyclicals</x:v>
      </x:c>
      <x:c r="G7776" s="13" t="str">
        <x:v>grid_cqzdsc3v.xlsx</x:v>
      </x:c>
    </x:row>
    <x:row r="7777">
      <x:c r="A7777" s="15" t="n">
        <x:v>43983</x:v>
      </x:c>
      <x:c r="B7777" s="13" t="str">
        <x:v>BRASKEM SA-PREF A</x:v>
      </x:c>
      <x:c r="C7777" s="16" t="n">
        <x:v>-1947.2580048658</x:v>
      </x:c>
      <x:c r="D7777" s="13" t="str">
        <x:v>Oil, Gas &amp; Petrochemicals</x:v>
      </x:c>
      <x:c r="E7777" s="13" t="str">
        <x:v>Oil, Gas &amp; Petrochemicals</x:v>
      </x:c>
      <x:c r="F7777" s="13" t="str">
        <x:v>Deep Cyclicals</x:v>
      </x:c>
      <x:c r="G7777" s="13" t="str">
        <x:v>grid_cqzdsc3v.xlsx</x:v>
      </x:c>
    </x:row>
    <x:row r="7778">
      <x:c r="A7778" s="15" t="n">
        <x:v>43983</x:v>
      </x:c>
      <x:c r="B7778" s="13" t="str">
        <x:v>COSAN SA</x:v>
      </x:c>
      <x:c r="C7778" s="16" t="n">
        <x:v>1617.4998128219</x:v>
      </x:c>
      <x:c r="D7778" s="13" t="str">
        <x:v>Oil, Gas &amp; Petrochemicals</x:v>
      </x:c>
      <x:c r="E7778" s="13" t="str">
        <x:v>Oil, Gas &amp; Petrochemicals</x:v>
      </x:c>
      <x:c r="F7778" s="13" t="str">
        <x:v>Deep Cyclicals</x:v>
      </x:c>
      <x:c r="G7778" s="13" t="str">
        <x:v>grid_cqzdsc3v.xlsx</x:v>
      </x:c>
    </x:row>
    <x:row r="7779">
      <x:c r="A7779" s="15" t="n">
        <x:v>43983</x:v>
      </x:c>
      <x:c r="B7779" s="13" t="str">
        <x:v>PETROBRAS - PETROLEO BRAS</x:v>
      </x:c>
      <x:c r="C7779" s="16" t="n">
        <x:v>-1170.5429174356</x:v>
      </x:c>
      <x:c r="D7779" s="13" t="str">
        <x:v>Oil, Gas &amp; Petrochemicals</x:v>
      </x:c>
      <x:c r="E7779" s="13" t="str">
        <x:v>Oil, Gas &amp; Petrochemicals</x:v>
      </x:c>
      <x:c r="F7779" s="13" t="str">
        <x:v>Deep Cyclicals</x:v>
      </x:c>
      <x:c r="G7779" s="13" t="str">
        <x:v>grid_cqzdsc3v.xlsx</x:v>
      </x:c>
    </x:row>
    <x:row r="7780">
      <x:c r="A7780" s="15" t="n">
        <x:v>43983</x:v>
      </x:c>
      <x:c r="B7780" s="13" t="str">
        <x:v>ULTRAPAR PARTICIPACOES SA</x:v>
      </x:c>
      <x:c r="C7780" s="16" t="n">
        <x:v>1053.9114341699</x:v>
      </x:c>
      <x:c r="D7780" s="13" t="str">
        <x:v>Oil, Gas &amp; Petrochemicals</x:v>
      </x:c>
      <x:c r="E7780" s="13" t="str">
        <x:v>Oil, Gas &amp; Petrochemicals</x:v>
      </x:c>
      <x:c r="F7780" s="13" t="str">
        <x:v>Deep Cyclicals</x:v>
      </x:c>
      <x:c r="G7780" s="13" t="str">
        <x:v>grid_cqzdsc3v.xlsx</x:v>
      </x:c>
    </x:row>
    <x:row r="7781">
      <x:c r="A7781" s="15" t="n">
        <x:v>43983</x:v>
      </x:c>
      <x:c r="B7781" s="13" t="str">
        <x:v>VIBRA ENERGIA SA</x:v>
      </x:c>
      <x:c r="C7781" s="16" t="n">
        <x:v>1321.3435616438</x:v>
      </x:c>
      <x:c r="D7781" s="13" t="str">
        <x:v>Oil, Gas &amp; Petrochemicals</x:v>
      </x:c>
      <x:c r="E7781" s="13" t="str">
        <x:v>Oil, Gas &amp; Petrochemicals</x:v>
      </x:c>
      <x:c r="F7781" s="13" t="str">
        <x:v>Deep Cyclicals</x:v>
      </x:c>
      <x:c r="G7781" s="13" t="str">
        <x:v>grid_cqzdsc3v.xlsx</x:v>
      </x:c>
    </x:row>
    <x:row r="7782">
      <x:c r="A7782" s="15" t="n">
        <x:v>43983</x:v>
      </x:c>
      <x:c r="B7782" s="13" t="str">
        <x:v>KLABIN SA - UNIT</x:v>
      </x:c>
      <x:c r="C7782" s="16" t="n">
        <x:v>-32.4477243616</x:v>
      </x:c>
      <x:c r="D7782" s="13" t="str">
        <x:v>Pulp &amp; Paper</x:v>
      </x:c>
      <x:c r="E7782" s="13" t="str">
        <x:v>Pulp &amp; Paper</x:v>
      </x:c>
      <x:c r="F7782" s="13" t="str">
        <x:v>Deep Cyclicals</x:v>
      </x:c>
      <x:c r="G7782" s="13" t="str">
        <x:v>grid_cqzdsc3v.xlsx</x:v>
      </x:c>
    </x:row>
    <x:row r="7783">
      <x:c r="A7783" s="15" t="n">
        <x:v>43983</x:v>
      </x:c>
      <x:c r="B7783" s="13" t="str">
        <x:v>SUZANO SA</x:v>
      </x:c>
      <x:c r="C7783" s="16" t="n">
        <x:v>-5250.7761495671</x:v>
      </x:c>
      <x:c r="D7783" s="13" t="str">
        <x:v>Pulp &amp; Paper</x:v>
      </x:c>
      <x:c r="E7783" s="13" t="str">
        <x:v>Pulp &amp; Paper</x:v>
      </x:c>
      <x:c r="F7783" s="13" t="str">
        <x:v>Deep Cyclicals</x:v>
      </x:c>
      <x:c r="G7783" s="13" t="str">
        <x:v>grid_cqzdsc3v.xlsx</x:v>
      </x:c>
    </x:row>
    <x:row r="7784">
      <x:c r="A7784" s="15" t="n">
        <x:v>43983</x:v>
      </x:c>
      <x:c r="B7784" s="13" t="str">
        <x:v>AMERICANAS SA</x:v>
      </x:c>
      <x:c r="C7784" s="16" t="n">
        <x:v>-25.5258238356</x:v>
      </x:c>
      <x:c r="D7784" s="13" t="str">
        <x:v>Retail</x:v>
      </x:c>
      <x:c r="E7784" s="13" t="str">
        <x:v>Retail</x:v>
      </x:c>
      <x:c r="F7784" s="13" t="str">
        <x:v>Early Cyclicals</x:v>
      </x:c>
      <x:c r="G7784" s="13" t="str">
        <x:v>grid_cqzdsc3v.xlsx</x:v>
      </x:c>
    </x:row>
    <x:row r="7785">
      <x:c r="A7785" s="15" t="n">
        <x:v>43983</x:v>
      </x:c>
      <x:c r="B7785" s="13" t="str">
        <x:v>ATACADAO SA</x:v>
      </x:c>
      <x:c r="C7785" s="16" t="n">
        <x:v>2169.6410399562</x:v>
      </x:c>
      <x:c r="D7785" s="13" t="str">
        <x:v>Retail</x:v>
      </x:c>
      <x:c r="E7785" s="13" t="str">
        <x:v>Retail</x:v>
      </x:c>
      <x:c r="F7785" s="13" t="str">
        <x:v>Early Cyclicals</x:v>
      </x:c>
      <x:c r="G7785" s="13" t="str">
        <x:v>grid_cqzdsc3v.xlsx</x:v>
      </x:c>
    </x:row>
    <x:row r="7786">
      <x:c r="A7786" s="15" t="n">
        <x:v>43983</x:v>
      </x:c>
      <x:c r="B7786" s="13" t="str">
        <x:v>CIA BRASILEIRA DE DISTRIBUIC</x:v>
      </x:c>
      <x:c r="C7786" s="16" t="n">
        <x:v>1167.0086883945</x:v>
      </x:c>
      <x:c r="D7786" s="13" t="str">
        <x:v>Retail</x:v>
      </x:c>
      <x:c r="E7786" s="13" t="str">
        <x:v>Retail</x:v>
      </x:c>
      <x:c r="F7786" s="13" t="str">
        <x:v>Early Cyclicals</x:v>
      </x:c>
      <x:c r="G7786" s="13" t="str">
        <x:v>grid_cqzdsc3v.xlsx</x:v>
      </x:c>
    </x:row>
    <x:row r="7787">
      <x:c r="A7787" s="15" t="n">
        <x:v>43983</x:v>
      </x:c>
      <x:c r="B7787" s="13" t="str">
        <x:v>CIA HERING</x:v>
      </x:c>
      <x:c r="C7787" s="16" t="n">
        <x:v>121.3834112</x:v>
      </x:c>
      <x:c r="D7787" s="13" t="str">
        <x:v>Retail</x:v>
      </x:c>
      <x:c r="E7787" s="13" t="str">
        <x:v>Retail</x:v>
      </x:c>
      <x:c r="F7787" s="13" t="str">
        <x:v>Early Cyclicals</x:v>
      </x:c>
      <x:c r="G7787" s="13" t="str">
        <x:v>grid_cqzdsc3v.xlsx</x:v>
      </x:c>
    </x:row>
    <x:row r="7788">
      <x:c r="A7788" s="15" t="n">
        <x:v>43983</x:v>
      </x:c>
      <x:c r="B7788" s="13" t="str">
        <x:v>CVC BRASIL OPERADORA E AGENC</x:v>
      </x:c>
      <x:c r="C7788" s="16" t="n">
        <x:v>351.3397260274</x:v>
      </x:c>
      <x:c r="D7788" s="13" t="str">
        <x:v>Retail</x:v>
      </x:c>
      <x:c r="E7788" s="13" t="str">
        <x:v>Retail</x:v>
      </x:c>
      <x:c r="F7788" s="13" t="str">
        <x:v>Early Cyclicals</x:v>
      </x:c>
      <x:c r="G7788" s="13" t="str">
        <x:v>grid_cqzdsc3v.xlsx</x:v>
      </x:c>
    </x:row>
    <x:row r="7789">
      <x:c r="A7789" s="15" t="n">
        <x:v>43983</x:v>
      </x:c>
      <x:c r="B7789" s="13" t="str">
        <x:v>GRUPO CASAS BAHIA SA</x:v>
      </x:c>
      <x:c r="C7789" s="16" t="n">
        <x:v>340.0564032877</x:v>
      </x:c>
      <x:c r="D7789" s="13" t="str">
        <x:v>Retail</x:v>
      </x:c>
      <x:c r="E7789" s="13" t="str">
        <x:v>Retail</x:v>
      </x:c>
      <x:c r="F7789" s="13" t="str">
        <x:v>Early Cyclicals</x:v>
      </x:c>
      <x:c r="G7789" s="13" t="str">
        <x:v>grid_cqzdsc3v.xlsx</x:v>
      </x:c>
    </x:row>
    <x:row r="7790">
      <x:c r="A7790" s="15" t="n">
        <x:v>43983</x:v>
      </x:c>
      <x:c r="B7790" s="13" t="str">
        <x:v>LOJAS AMERICANAS SA-PREF</x:v>
      </x:c>
      <x:c r="C7790" s="16" t="n">
        <x:v>880.6419175452</x:v>
      </x:c>
      <x:c r="D7790" s="13" t="str">
        <x:v>Retail</x:v>
      </x:c>
      <x:c r="E7790" s="13" t="str">
        <x:v>Retail</x:v>
      </x:c>
      <x:c r="F7790" s="13" t="str">
        <x:v>Early Cyclicals</x:v>
      </x:c>
      <x:c r="G7790" s="13" t="str">
        <x:v>grid_cqzdsc3v.xlsx</x:v>
      </x:c>
    </x:row>
    <x:row r="7791">
      <x:c r="A7791" s="15" t="n">
        <x:v>43983</x:v>
      </x:c>
      <x:c r="B7791" s="13" t="str">
        <x:v>LOJAS RENNER S.A.</x:v>
      </x:c>
      <x:c r="C7791" s="16" t="n">
        <x:v>1112.3842816</x:v>
      </x:c>
      <x:c r="D7791" s="13" t="str">
        <x:v>Retail</x:v>
      </x:c>
      <x:c r="E7791" s="13" t="str">
        <x:v>Retail</x:v>
      </x:c>
      <x:c r="F7791" s="13" t="str">
        <x:v>Early Cyclicals</x:v>
      </x:c>
      <x:c r="G7791" s="13" t="str">
        <x:v>grid_cqzdsc3v.xlsx</x:v>
      </x:c>
    </x:row>
    <x:row r="7792">
      <x:c r="A7792" s="15" t="n">
        <x:v>43983</x:v>
      </x:c>
      <x:c r="B7792" s="13" t="str">
        <x:v>MAGAZINE LUIZA SA</x:v>
      </x:c>
      <x:c r="C7792" s="16" t="n">
        <x:v>539.3388582575</x:v>
      </x:c>
      <x:c r="D7792" s="13" t="str">
        <x:v>Retail</x:v>
      </x:c>
      <x:c r="E7792" s="13" t="str">
        <x:v>Retail</x:v>
      </x:c>
      <x:c r="F7792" s="13" t="str">
        <x:v>Early Cyclicals</x:v>
      </x:c>
      <x:c r="G7792" s="13" t="str">
        <x:v>grid_cqzdsc3v.xlsx</x:v>
      </x:c>
    </x:row>
    <x:row r="7793">
      <x:c r="A7793" s="15" t="n">
        <x:v>43983</x:v>
      </x:c>
      <x:c r="B7793" s="13" t="str">
        <x:v>NATURA &amp;CO HOLDING SA</x:v>
      </x:c>
      <x:c r="C7793" s="16" t="n">
        <x:v>1166.9006378082</x:v>
      </x:c>
      <x:c r="D7793" s="13" t="str">
        <x:v>Retail</x:v>
      </x:c>
      <x:c r="E7793" s="13" t="str">
        <x:v>Retail</x:v>
      </x:c>
      <x:c r="F7793" s="13" t="str">
        <x:v>Early Cyclicals</x:v>
      </x:c>
      <x:c r="G7793" s="13" t="str">
        <x:v>grid_cqzdsc3v.xlsx</x:v>
      </x:c>
    </x:row>
    <x:row r="7794">
      <x:c r="A7794" s="15" t="n">
        <x:v>43983</x:v>
      </x:c>
      <x:c r="B7794" s="13" t="str">
        <x:v>RAIA DROGASIL SA</x:v>
      </x:c>
      <x:c r="C7794" s="16" t="n">
        <x:v>802.0724788603</x:v>
      </x:c>
      <x:c r="D7794" s="13" t="str">
        <x:v>Retail</x:v>
      </x:c>
      <x:c r="E7794" s="13" t="str">
        <x:v>Retail</x:v>
      </x:c>
      <x:c r="F7794" s="13" t="str">
        <x:v>Early Cyclicals</x:v>
      </x:c>
      <x:c r="G7794" s="13" t="str">
        <x:v>grid_cqzdsc3v.xlsx</x:v>
      </x:c>
    </x:row>
    <x:row r="7795">
      <x:c r="A7795" s="15" t="n">
        <x:v>43983</x:v>
      </x:c>
      <x:c r="B7795" s="13" t="str">
        <x:v>CIA SANEAMENTO BASICO DE SP</x:v>
      </x:c>
      <x:c r="C7795" s="16" t="n">
        <x:v>2288.6988687781</x:v>
      </x:c>
      <x:c r="D7795" s="13" t="str">
        <x:v>Sanitation</x:v>
      </x:c>
      <x:c r="E7795" s="13" t="str">
        <x:v>Utilities</x:v>
      </x:c>
      <x:c r="F7795" s="13" t="str">
        <x:v>Defensives</x:v>
      </x:c>
      <x:c r="G7795" s="13" t="str">
        <x:v>grid_cqzdsc3v.xlsx</x:v>
      </x:c>
    </x:row>
    <x:row r="7796">
      <x:c r="A7796" s="15" t="n">
        <x:v>43983</x:v>
      </x:c>
      <x:c r="B7796" s="13" t="str">
        <x:v>TELEFONICA BRASIL S.A.-PREF</x:v>
      </x:c>
      <x:c r="C7796" s="16" t="n">
        <x:v>5342.5960917918</x:v>
      </x:c>
      <x:c r="D7796" s="13" t="str">
        <x:v>TMT</x:v>
      </x:c>
      <x:c r="E7796" s="13" t="str">
        <x:v>TMT</x:v>
      </x:c>
      <x:c r="F7796" s="13" t="str">
        <x:v>Early Cyclicals</x:v>
      </x:c>
      <x:c r="G7796" s="13" t="str">
        <x:v>grid_cqzdsc3v.xlsx</x:v>
      </x:c>
    </x:row>
    <x:row r="7797">
      <x:c r="A7797" s="15" t="n">
        <x:v>43983</x:v>
      </x:c>
      <x:c r="B7797" s="13" t="str">
        <x:v>TIM SA</x:v>
      </x:c>
      <x:c r="C7797" s="16" t="n">
        <x:v>1786.408109589</x:v>
      </x:c>
      <x:c r="D7797" s="13" t="str">
        <x:v>TMT</x:v>
      </x:c>
      <x:c r="E7797" s="13" t="str">
        <x:v>TMT</x:v>
      </x:c>
      <x:c r="F7797" s="13" t="str">
        <x:v>Early Cyclicals</x:v>
      </x:c>
      <x:c r="G7797" s="13" t="str">
        <x:v>grid_cqzdsc3v.xlsx</x:v>
      </x:c>
    </x:row>
    <x:row r="7798">
      <x:c r="A7798" s="15" t="n">
        <x:v>43983</x:v>
      </x:c>
      <x:c r="B7798" s="13" t="str">
        <x:v>TOTVS SA</x:v>
      </x:c>
      <x:c r="C7798" s="16" t="n">
        <x:v>356.7541016548</x:v>
      </x:c>
      <x:c r="D7798" s="13" t="str">
        <x:v>TMT</x:v>
      </x:c>
      <x:c r="E7798" s="13" t="str">
        <x:v>TMT</x:v>
      </x:c>
      <x:c r="F7798" s="13" t="str">
        <x:v>Early Cyclicals</x:v>
      </x:c>
      <x:c r="G7798" s="13" t="str">
        <x:v>grid_cqzdsc3v.xlsx</x:v>
      </x:c>
    </x:row>
    <x:row r="7799">
      <x:c r="A7799" s="15" t="n">
        <x:v>43983</x:v>
      </x:c>
      <x:c r="B7799" s="13" t="str">
        <x:v>AZUL SA</x:v>
      </x:c>
      <x:c r="C7799" s="16" t="n">
        <x:v>-3075.005057052</x:v>
      </x:c>
      <x:c r="D7799" s="13" t="str">
        <x:v>Transportation</x:v>
      </x:c>
      <x:c r="E7799" s="13" t="str">
        <x:v>Transportation</x:v>
      </x:c>
      <x:c r="F7799" s="13" t="str">
        <x:v>Deep Cyclicals</x:v>
      </x:c>
      <x:c r="G7799" s="13" t="str">
        <x:v>grid_cqzdsc3v.xlsx</x:v>
      </x:c>
    </x:row>
    <x:row r="7800">
      <x:c r="A7800" s="15" t="n">
        <x:v>43983</x:v>
      </x:c>
      <x:c r="B7800" s="13" t="str">
        <x:v>ECORODOVIAS INFRA E LOG SA</x:v>
      </x:c>
      <x:c r="C7800" s="16" t="n">
        <x:v>478.2678831342</x:v>
      </x:c>
      <x:c r="D7800" s="13" t="str">
        <x:v>Transportation</x:v>
      </x:c>
      <x:c r="E7800" s="13" t="str">
        <x:v>Transportation</x:v>
      </x:c>
      <x:c r="F7800" s="13" t="str">
        <x:v>Deep Cyclicals</x:v>
      </x:c>
      <x:c r="G7800" s="13" t="str">
        <x:v>grid_cqzdsc3v.xlsx</x:v>
      </x:c>
    </x:row>
    <x:row r="7801">
      <x:c r="A7801" s="15" t="n">
        <x:v>43983</x:v>
      </x:c>
      <x:c r="B7801" s="13" t="str">
        <x:v>GOL LINHAS AEREAS INT SA-PRE</x:v>
      </x:c>
      <x:c r="C7801" s="16" t="n">
        <x:v>-1614.7876873644</x:v>
      </x:c>
      <x:c r="D7801" s="13" t="str">
        <x:v>Transportation</x:v>
      </x:c>
      <x:c r="E7801" s="13" t="str">
        <x:v>Transportation</x:v>
      </x:c>
      <x:c r="F7801" s="13" t="str">
        <x:v>Deep Cyclicals</x:v>
      </x:c>
      <x:c r="G7801" s="13" t="str">
        <x:v>grid_cqzdsc3v.xlsx</x:v>
      </x:c>
    </x:row>
    <x:row r="7802">
      <x:c r="A7802" s="15" t="n">
        <x:v>43983</x:v>
      </x:c>
      <x:c r="B7802" s="13" t="str">
        <x:v>LOCALIZA RENT A CAR</x:v>
      </x:c>
      <x:c r="C7802" s="16" t="n">
        <x:v>746.9933012164</x:v>
      </x:c>
      <x:c r="D7802" s="13" t="str">
        <x:v>Transportation</x:v>
      </x:c>
      <x:c r="E7802" s="13" t="str">
        <x:v>Transportation</x:v>
      </x:c>
      <x:c r="F7802" s="13" t="str">
        <x:v>Deep Cyclicals</x:v>
      </x:c>
      <x:c r="G7802" s="13" t="str">
        <x:v>grid_cqzdsc3v.xlsx</x:v>
      </x:c>
    </x:row>
    <x:row r="7803">
      <x:c r="A7803" s="15" t="n">
        <x:v>43983</x:v>
      </x:c>
      <x:c r="B7803" s="13" t="str">
        <x:v>MOTIVA INFRAESTRUTURA DE MOB</x:v>
      </x:c>
      <x:c r="C7803" s="16" t="n">
        <x:v>1232.0468139836</x:v>
      </x:c>
      <x:c r="D7803" s="13" t="str">
        <x:v>Transportation</x:v>
      </x:c>
      <x:c r="E7803" s="13" t="str">
        <x:v>Transportation</x:v>
      </x:c>
      <x:c r="F7803" s="13" t="str">
        <x:v>Deep Cyclicals</x:v>
      </x:c>
      <x:c r="G7803" s="13" t="str">
        <x:v>grid_cqzdsc3v.xlsx</x:v>
      </x:c>
    </x:row>
    <x:row r="7804">
      <x:c r="A7804" s="15" t="n">
        <x:v>43983</x:v>
      </x:c>
      <x:c r="B7804" s="13" t="str">
        <x:v>RUMO SA</x:v>
      </x:c>
      <x:c r="C7804" s="16" t="n">
        <x:v>1089.4063261808</x:v>
      </x:c>
      <x:c r="D7804" s="13" t="str">
        <x:v>Transportation</x:v>
      </x:c>
      <x:c r="E7804" s="13" t="str">
        <x:v>Transportation</x:v>
      </x:c>
      <x:c r="F7804" s="13" t="str">
        <x:v>Deep Cyclicals</x:v>
      </x:c>
      <x:c r="G7804" s="13" t="str">
        <x:v>grid_cqzdsc3v.xlsx</x:v>
      </x:c>
    </x:row>
    <x:row r="7805">
      <x:c r="A7805" s="15" t="n">
        <x:v>43983</x:v>
      </x:c>
      <x:c r="B7805" s="13" t="str">
        <x:v>AXIA ENERGIA SA</x:v>
      </x:c>
      <x:c r="C7805" s="16" t="n">
        <x:v>6478.3841490411</x:v>
      </x:c>
      <x:c r="D7805" s="13" t="str">
        <x:v>Utilities &amp; Energy</x:v>
      </x:c>
      <x:c r="E7805" s="13" t="str">
        <x:v>Utilities</x:v>
      </x:c>
      <x:c r="F7805" s="13" t="str">
        <x:v>Defensives</x:v>
      </x:c>
      <x:c r="G7805" s="13" t="str">
        <x:v>grid_cqzdsc3v.xlsx</x:v>
      </x:c>
    </x:row>
    <x:row r="7806">
      <x:c r="A7806" s="15" t="n">
        <x:v>43983</x:v>
      </x:c>
      <x:c r="B7806" s="13" t="str">
        <x:v>AXIA ENERGIA-PR B</x:v>
      </x:c>
      <x:c r="C7806" s="16" t="n">
        <x:v>6478.3841490411</x:v>
      </x:c>
      <x:c r="D7806" s="13" t="str">
        <x:v>Utilities &amp; Energy</x:v>
      </x:c>
      <x:c r="E7806" s="13" t="str">
        <x:v>Utilities</x:v>
      </x:c>
      <x:c r="F7806" s="13" t="str">
        <x:v>Defensives</x:v>
      </x:c>
      <x:c r="G7806" s="13" t="str">
        <x:v>grid_cqzdsc3v.xlsx</x:v>
      </x:c>
    </x:row>
    <x:row r="7807">
      <x:c r="A7807" s="15" t="n">
        <x:v>43983</x:v>
      </x:c>
      <x:c r="B7807" s="13" t="str">
        <x:v>CIA ENERGETICA MINAS GER-PRF</x:v>
      </x:c>
      <x:c r="C7807" s="16" t="n">
        <x:v>2273.1875496329</x:v>
      </x:c>
      <x:c r="D7807" s="13" t="str">
        <x:v>Utilities &amp; Energy</x:v>
      </x:c>
      <x:c r="E7807" s="13" t="str">
        <x:v>Utilities</x:v>
      </x:c>
      <x:c r="F7807" s="13" t="str">
        <x:v>Defensives</x:v>
      </x:c>
      <x:c r="G7807" s="13" t="str">
        <x:v>grid_cqzdsc3v.xlsx</x:v>
      </x:c>
    </x:row>
    <x:row r="7808">
      <x:c r="A7808" s="15" t="n">
        <x:v>43983</x:v>
      </x:c>
      <x:c r="B7808" s="13" t="str">
        <x:v>CPFL ENERGIA SA</x:v>
      </x:c>
      <x:c r="C7808" s="16" t="n">
        <x:v>2957.471749611</x:v>
      </x:c>
      <x:c r="D7808" s="13" t="str">
        <x:v>Utilities &amp; Energy</x:v>
      </x:c>
      <x:c r="E7808" s="13" t="str">
        <x:v>Utilities</x:v>
      </x:c>
      <x:c r="F7808" s="13" t="str">
        <x:v>Defensives</x:v>
      </x:c>
      <x:c r="G7808" s="13" t="str">
        <x:v>grid_cqzdsc3v.xlsx</x:v>
      </x:c>
    </x:row>
    <x:row r="7809">
      <x:c r="A7809" s="15" t="n">
        <x:v>43983</x:v>
      </x:c>
      <x:c r="B7809" s="13" t="str">
        <x:v>EDP - ENERGIAS DO BRASIL SA</x:v>
      </x:c>
      <x:c r="C7809" s="16" t="n">
        <x:v>1051.0910393863</x:v>
      </x:c>
      <x:c r="D7809" s="13" t="str">
        <x:v>Utilities &amp; Energy</x:v>
      </x:c>
      <x:c r="E7809" s="13" t="str">
        <x:v>Utilities</x:v>
      </x:c>
      <x:c r="F7809" s="13" t="str">
        <x:v>Defensives</x:v>
      </x:c>
      <x:c r="G7809" s="13" t="str">
        <x:v>grid_cqzdsc3v.xlsx</x:v>
      </x:c>
    </x:row>
    <x:row r="7810">
      <x:c r="A7810" s="15" t="n">
        <x:v>43983</x:v>
      </x:c>
      <x:c r="B7810" s="13" t="str">
        <x:v>ENERGISA SA-UNITS</x:v>
      </x:c>
      <x:c r="C7810" s="16" t="n">
        <x:v>1300.3540465973</x:v>
      </x:c>
      <x:c r="D7810" s="13" t="str">
        <x:v>Utilities &amp; Energy</x:v>
      </x:c>
      <x:c r="E7810" s="13" t="str">
        <x:v>Utilities</x:v>
      </x:c>
      <x:c r="F7810" s="13" t="str">
        <x:v>Defensives</x:v>
      </x:c>
      <x:c r="G7810" s="13" t="str">
        <x:v>grid_cqzdsc3v.xlsx</x:v>
      </x:c>
    </x:row>
    <x:row r="7811">
      <x:c r="A7811" s="15" t="n">
        <x:v>43983</x:v>
      </x:c>
      <x:c r="B7811" s="13" t="str">
        <x:v>ENGIE BRASIL ENERGIA SA</x:v>
      </x:c>
      <x:c r="C7811" s="16" t="n">
        <x:v>2782.8596960438</x:v>
      </x:c>
      <x:c r="D7811" s="13" t="str">
        <x:v>Utilities &amp; Energy</x:v>
      </x:c>
      <x:c r="E7811" s="13" t="str">
        <x:v>Utilities</x:v>
      </x:c>
      <x:c r="F7811" s="13" t="str">
        <x:v>Defensives</x:v>
      </x:c>
      <x:c r="G7811" s="13" t="str">
        <x:v>grid_cqzdsc3v.xlsx</x:v>
      </x:c>
    </x:row>
    <x:row r="7812">
      <x:c r="A7812" s="15" t="n">
        <x:v>43983</x:v>
      </x:c>
      <x:c r="B7812" s="13" t="str">
        <x:v>EQUATORIAL SA - ORD</x:v>
      </x:c>
      <x:c r="C7812" s="16" t="n">
        <x:v>1479.3732678137</x:v>
      </x:c>
      <x:c r="D7812" s="13" t="str">
        <x:v>Utilities &amp; Energy</x:v>
      </x:c>
      <x:c r="E7812" s="13" t="str">
        <x:v>Utilities</x:v>
      </x:c>
      <x:c r="F7812" s="13" t="str">
        <x:v>Defensives</x:v>
      </x:c>
      <x:c r="G7812" s="13" t="str">
        <x:v>grid_cqzdsc3v.xlsx</x:v>
      </x:c>
    </x:row>
    <x:row r="7813">
      <x:c r="A7813" s="15" t="n">
        <x:v>43983</x:v>
      </x:c>
      <x:c r="B7813" s="13" t="str">
        <x:v>TRANSMISSORA ALIANCA DE-UNIT</x:v>
      </x:c>
      <x:c r="C7813" s="16" t="n">
        <x:v>931.9961643836</x:v>
      </x:c>
      <x:c r="D7813" s="13" t="str">
        <x:v>Utilities &amp; Energy</x:v>
      </x:c>
      <x:c r="E7813" s="13" t="str">
        <x:v>Utilities</x:v>
      </x:c>
      <x:c r="F7813" s="13" t="str">
        <x:v>Defensives</x:v>
      </x:c>
      <x:c r="G7813" s="13" t="str">
        <x:v>grid_cqzdsc3v.xlsx</x:v>
      </x:c>
    </x:row>
    <x:row r="7814">
      <x:c r="A7814" s="15" t="n">
        <x:v>44013</x:v>
      </x:c>
      <x:c r="B7814" s="13" t="str">
        <x:v>BANCO BRADESCO S.A.</x:v>
      </x:c>
      <x:c r="C7814" s="16" t="n">
        <x:v>19481.5088808329</x:v>
      </x:c>
      <x:c r="D7814" s="13" t="str">
        <x:v>Banks</x:v>
      </x:c>
      <x:c r="E7814" s="13" t="str">
        <x:v>Banks</x:v>
      </x:c>
      <x:c r="F7814" s="13" t="str">
        <x:v>Financials</x:v>
      </x:c>
      <x:c r="G7814" s="13" t="str">
        <x:v>grid_cqzdsc3v.xlsx</x:v>
      </x:c>
    </x:row>
    <x:row r="7815">
      <x:c r="A7815" s="15" t="n">
        <x:v>44013</x:v>
      </x:c>
      <x:c r="B7815" s="13" t="str">
        <x:v>BANCO BRADESCO SA-PREF</x:v>
      </x:c>
      <x:c r="C7815" s="16" t="n">
        <x:v>19481.5088808329</x:v>
      </x:c>
      <x:c r="D7815" s="13" t="str">
        <x:v>Banks</x:v>
      </x:c>
      <x:c r="E7815" s="13" t="str">
        <x:v>Banks</x:v>
      </x:c>
      <x:c r="F7815" s="13" t="str">
        <x:v>Financials</x:v>
      </x:c>
      <x:c r="G7815" s="13" t="str">
        <x:v>grid_cqzdsc3v.xlsx</x:v>
      </x:c>
    </x:row>
    <x:row r="7816">
      <x:c r="A7816" s="15" t="n">
        <x:v>44013</x:v>
      </x:c>
      <x:c r="B7816" s="13" t="str">
        <x:v>BANCO BTG PACTUAL SA-UNIT</x:v>
      </x:c>
      <x:c r="C7816" s="16" t="n">
        <x:v>3546.3464223562</x:v>
      </x:c>
      <x:c r="D7816" s="13" t="str">
        <x:v>Banks</x:v>
      </x:c>
      <x:c r="E7816" s="13" t="str">
        <x:v>Banks</x:v>
      </x:c>
      <x:c r="F7816" s="13" t="str">
        <x:v>Financials</x:v>
      </x:c>
      <x:c r="G7816" s="13" t="str">
        <x:v>grid_cqzdsc3v.xlsx</x:v>
      </x:c>
    </x:row>
    <x:row r="7817">
      <x:c r="A7817" s="15" t="n">
        <x:v>44013</x:v>
      </x:c>
      <x:c r="B7817" s="13" t="str">
        <x:v>BANCO DO BRASIL S.A.</x:v>
      </x:c>
      <x:c r="C7817" s="16" t="n">
        <x:v>15041.2674567014</x:v>
      </x:c>
      <x:c r="D7817" s="13" t="str">
        <x:v>Banks</x:v>
      </x:c>
      <x:c r="E7817" s="13" t="str">
        <x:v>Banks</x:v>
      </x:c>
      <x:c r="F7817" s="13" t="str">
        <x:v>Financials</x:v>
      </x:c>
      <x:c r="G7817" s="13" t="str">
        <x:v>grid_cqzdsc3v.xlsx</x:v>
      </x:c>
    </x:row>
    <x:row r="7818">
      <x:c r="A7818" s="15" t="n">
        <x:v>44013</x:v>
      </x:c>
      <x:c r="B7818" s="13" t="str">
        <x:v>BANCO SANTANDER  BRASIL-UNIT</x:v>
      </x:c>
      <x:c r="C7818" s="16" t="n">
        <x:v>11973.9554942247</x:v>
      </x:c>
      <x:c r="D7818" s="13" t="str">
        <x:v>Banks</x:v>
      </x:c>
      <x:c r="E7818" s="13" t="str">
        <x:v>Banks</x:v>
      </x:c>
      <x:c r="F7818" s="13" t="str">
        <x:v>Financials</x:v>
      </x:c>
      <x:c r="G7818" s="13" t="str">
        <x:v>grid_cqzdsc3v.xlsx</x:v>
      </x:c>
    </x:row>
    <x:row r="7819">
      <x:c r="A7819" s="15" t="n">
        <x:v>44013</x:v>
      </x:c>
      <x:c r="B7819" s="13" t="str">
        <x:v>ITAU UNIBANCO HOLDING S-PREF</x:v>
      </x:c>
      <x:c r="C7819" s="16" t="n">
        <x:v>21985.7441834082</x:v>
      </x:c>
      <x:c r="D7819" s="13" t="str">
        <x:v>Banks</x:v>
      </x:c>
      <x:c r="E7819" s="13" t="str">
        <x:v>Banks</x:v>
      </x:c>
      <x:c r="F7819" s="13" t="str">
        <x:v>Financials</x:v>
      </x:c>
      <x:c r="G7819" s="13" t="str">
        <x:v>grid_cqzdsc3v.xlsx</x:v>
      </x:c>
    </x:row>
    <x:row r="7820">
      <x:c r="A7820" s="15" t="n">
        <x:v>44013</x:v>
      </x:c>
      <x:c r="B7820" s="13" t="str">
        <x:v>EMBRAER SA</x:v>
      </x:c>
      <x:c r="C7820" s="16" t="n">
        <x:v>-1026.526445063</x:v>
      </x:c>
      <x:c r="D7820" s="13" t="str">
        <x:v>Capital Goods</x:v>
      </x:c>
      <x:c r="E7820" s="13" t="str">
        <x:v>Capital Goods</x:v>
      </x:c>
      <x:c r="F7820" s="13" t="str">
        <x:v>Deep Cyclicals</x:v>
      </x:c>
      <x:c r="G7820" s="13" t="str">
        <x:v>grid_cqzdsc3v.xlsx</x:v>
      </x:c>
    </x:row>
    <x:row r="7821">
      <x:c r="A7821" s="15" t="n">
        <x:v>44013</x:v>
      </x:c>
      <x:c r="B7821" s="13" t="str">
        <x:v>WEG SA</x:v>
      </x:c>
      <x:c r="C7821" s="16" t="n">
        <x:v>2031.7219229808</x:v>
      </x:c>
      <x:c r="D7821" s="13" t="str">
        <x:v>Capital Goods</x:v>
      </x:c>
      <x:c r="E7821" s="13" t="str">
        <x:v>Capital Goods</x:v>
      </x:c>
      <x:c r="F7821" s="13" t="str">
        <x:v>Deep Cyclicals</x:v>
      </x:c>
      <x:c r="G7821" s="13" t="str">
        <x:v>grid_cqzdsc3v.xlsx</x:v>
      </x:c>
    </x:row>
    <x:row r="7822">
      <x:c r="A7822" s="15" t="n">
        <x:v>44013</x:v>
      </x:c>
      <x:c r="B7822" s="13" t="str">
        <x:v>COGNA EDUCACAO</x:v>
      </x:c>
      <x:c r="C7822" s="16" t="n">
        <x:v>318.9107145096</x:v>
      </x:c>
      <x:c r="D7822" s="13" t="str">
        <x:v>Education</x:v>
      </x:c>
      <x:c r="E7822" s="13" t="str">
        <x:v>Education</x:v>
      </x:c>
      <x:c r="F7822" s="13" t="str">
        <x:v>Early Cyclicals</x:v>
      </x:c>
      <x:c r="G7822" s="13" t="str">
        <x:v>grid_cqzdsc3v.xlsx</x:v>
      </x:c>
    </x:row>
    <x:row r="7823">
      <x:c r="A7823" s="15" t="n">
        <x:v>44013</x:v>
      </x:c>
      <x:c r="B7823" s="13" t="str">
        <x:v>YDUQS PARTICIPACOES SA</x:v>
      </x:c>
      <x:c r="C7823" s="16" t="n">
        <x:v>563.7861542575</x:v>
      </x:c>
      <x:c r="D7823" s="13" t="str">
        <x:v>Education</x:v>
      </x:c>
      <x:c r="E7823" s="13" t="str">
        <x:v>Education</x:v>
      </x:c>
      <x:c r="F7823" s="13" t="str">
        <x:v>Early Cyclicals</x:v>
      </x:c>
      <x:c r="G7823" s="13" t="str">
        <x:v>grid_cqzdsc3v.xlsx</x:v>
      </x:c>
    </x:row>
    <x:row r="7824">
      <x:c r="A7824" s="15" t="n">
        <x:v>44013</x:v>
      </x:c>
      <x:c r="B7824" s="13" t="str">
        <x:v>B3 SA-BRASIL BOLSA BALCAO</x:v>
      </x:c>
      <x:c r="C7824" s="16" t="n">
        <x:v>4123.913722389</x:v>
      </x:c>
      <x:c r="D7824" s="13" t="str">
        <x:v>Financials Non-Banks</x:v>
      </x:c>
      <x:c r="E7824" s="13" t="str">
        <x:v>Financials Non-Banks</x:v>
      </x:c>
      <x:c r="F7824" s="13" t="str">
        <x:v>Financials</x:v>
      </x:c>
      <x:c r="G7824" s="13" t="str">
        <x:v>grid_cqzdsc3v.xlsx</x:v>
      </x:c>
    </x:row>
    <x:row r="7825">
      <x:c r="A7825" s="15" t="n">
        <x:v>44013</x:v>
      </x:c>
      <x:c r="B7825" s="13" t="str">
        <x:v>BB SEGURIDADE PARTICIPACOES</x:v>
      </x:c>
      <x:c r="C7825" s="16" t="n">
        <x:v>4090.8787045699</x:v>
      </x:c>
      <x:c r="D7825" s="13" t="str">
        <x:v>Financials Non-Banks</x:v>
      </x:c>
      <x:c r="E7825" s="13" t="str">
        <x:v>Financials Non-Banks</x:v>
      </x:c>
      <x:c r="F7825" s="13" t="str">
        <x:v>Financials</x:v>
      </x:c>
      <x:c r="G7825" s="13" t="str">
        <x:v>grid_cqzdsc3v.xlsx</x:v>
      </x:c>
    </x:row>
    <x:row r="7826">
      <x:c r="A7826" s="15" t="n">
        <x:v>44013</x:v>
      </x:c>
      <x:c r="B7826" s="13" t="str">
        <x:v>CIELO SA</x:v>
      </x:c>
      <x:c r="C7826" s="16" t="n">
        <x:v>835.2332065315</x:v>
      </x:c>
      <x:c r="D7826" s="13" t="str">
        <x:v>Financials Non-Banks</x:v>
      </x:c>
      <x:c r="E7826" s="13" t="str">
        <x:v>Financials Non-Banks</x:v>
      </x:c>
      <x:c r="F7826" s="13" t="str">
        <x:v>Financials</x:v>
      </x:c>
      <x:c r="G7826" s="13" t="str">
        <x:v>Ibovespa_earnings_consolidated.xlsx</x:v>
      </x:c>
    </x:row>
    <x:row r="7827">
      <x:c r="A7827" s="15" t="n">
        <x:v>44013</x:v>
      </x:c>
      <x:c r="B7827" s="13" t="str">
        <x:v>CIELO SA - INSTITUICAO DE PA</x:v>
      </x:c>
      <x:c r="C7827" s="16" t="n">
        <x:v>835.2332065315</x:v>
      </x:c>
      <x:c r="D7827" s="13" t="str">
        <x:v>Financials Non-Banks</x:v>
      </x:c>
      <x:c r="E7827" s="13" t="str">
        <x:v>Financials Non-Banks</x:v>
      </x:c>
      <x:c r="F7827" s="13" t="str">
        <x:v>Financials</x:v>
      </x:c>
      <x:c r="G7827" s="13" t="str">
        <x:v>grid_cqzdsc3v.xlsx</x:v>
      </x:c>
    </x:row>
    <x:row r="7828">
      <x:c r="A7828" s="15" t="n">
        <x:v>44013</x:v>
      </x:c>
      <x:c r="B7828" s="13" t="str">
        <x:v>IRB BRASIL RESSEGUROS SA</x:v>
      </x:c>
      <x:c r="C7828" s="16" t="n">
        <x:v>656.8345205479</x:v>
      </x:c>
      <x:c r="D7828" s="13" t="str">
        <x:v>Financials Non-Banks</x:v>
      </x:c>
      <x:c r="E7828" s="13" t="str">
        <x:v>Financials Non-Banks</x:v>
      </x:c>
      <x:c r="F7828" s="13" t="str">
        <x:v>Financials</x:v>
      </x:c>
      <x:c r="G7828" s="13" t="str">
        <x:v>grid_cqzdsc3v.xlsx</x:v>
      </x:c>
    </x:row>
    <x:row r="7829">
      <x:c r="A7829" s="15" t="n">
        <x:v>44013</x:v>
      </x:c>
      <x:c r="B7829" s="13" t="str">
        <x:v>ITAUSA SA</x:v>
      </x:c>
      <x:c r="C7829" s="16" t="n">
        <x:v>8426.876728811</x:v>
      </x:c>
      <x:c r="D7829" s="13" t="str">
        <x:v>Financials Non-Banks</x:v>
      </x:c>
      <x:c r="E7829" s="13" t="str">
        <x:v>Financials Non-Banks</x:v>
      </x:c>
      <x:c r="F7829" s="13" t="str">
        <x:v>Financials</x:v>
      </x:c>
      <x:c r="G7829" s="13" t="str">
        <x:v>grid_cqzdsc3v.xlsx</x:v>
      </x:c>
    </x:row>
    <x:row r="7830">
      <x:c r="A7830" s="15" t="n">
        <x:v>44013</x:v>
      </x:c>
      <x:c r="B7830" s="13" t="str">
        <x:v>AMBEV SA</x:v>
      </x:c>
      <x:c r="C7830" s="16" t="n">
        <x:v>10129.0033909479</x:v>
      </x:c>
      <x:c r="D7830" s="13" t="str">
        <x:v>Food &amp; Beverages</x:v>
      </x:c>
      <x:c r="E7830" s="13" t="str">
        <x:v>Agri, Food &amp; Beverages</x:v>
      </x:c>
      <x:c r="F7830" s="13" t="str">
        <x:v>Defensives</x:v>
      </x:c>
      <x:c r="G7830" s="13" t="str">
        <x:v>grid_cqzdsc3v.xlsx</x:v>
      </x:c>
    </x:row>
    <x:row r="7831">
      <x:c r="A7831" s="15" t="n">
        <x:v>44013</x:v>
      </x:c>
      <x:c r="B7831" s="13" t="str">
        <x:v>BRF SA</x:v>
      </x:c>
      <x:c r="C7831" s="16" t="n">
        <x:v>634.8833032767</x:v>
      </x:c>
      <x:c r="D7831" s="13" t="str">
        <x:v>Food &amp; Beverages</x:v>
      </x:c>
      <x:c r="E7831" s="13" t="str">
        <x:v>Agri, Food &amp; Beverages</x:v>
      </x:c>
      <x:c r="F7831" s="13" t="str">
        <x:v>Defensives</x:v>
      </x:c>
      <x:c r="G7831" s="13" t="str">
        <x:v>grid_cqzdsc3v.xlsx</x:v>
      </x:c>
    </x:row>
    <x:row r="7832">
      <x:c r="A7832" s="15" t="n">
        <x:v>44013</x:v>
      </x:c>
      <x:c r="B7832" s="13" t="str">
        <x:v>JBS SA</x:v>
      </x:c>
      <x:c r="C7832" s="16" t="n">
        <x:v>4953.6388937644</x:v>
      </x:c>
      <x:c r="D7832" s="13" t="str">
        <x:v>Food &amp; Beverages</x:v>
      </x:c>
      <x:c r="E7832" s="13" t="str">
        <x:v>Agri, Food &amp; Beverages</x:v>
      </x:c>
      <x:c r="F7832" s="13" t="str">
        <x:v>Defensives</x:v>
      </x:c>
      <x:c r="G7832" s="13" t="str">
        <x:v>grid_cqzdsc3v.xlsx</x:v>
      </x:c>
    </x:row>
    <x:row r="7833">
      <x:c r="A7833" s="15" t="n">
        <x:v>44013</x:v>
      </x:c>
      <x:c r="B7833" s="13" t="str">
        <x:v>MBRF GLOBAL FOODS COMPANY SA</x:v>
      </x:c>
      <x:c r="C7833" s="16" t="n">
        <x:v>1731.141842411</x:v>
      </x:c>
      <x:c r="D7833" s="13" t="str">
        <x:v>Food &amp; Beverages</x:v>
      </x:c>
      <x:c r="E7833" s="13" t="str">
        <x:v>Agri, Food &amp; Beverages</x:v>
      </x:c>
      <x:c r="F7833" s="13" t="str">
        <x:v>Defensives</x:v>
      </x:c>
      <x:c r="G7833" s="13" t="str">
        <x:v>grid_cqzdsc3v.xlsx</x:v>
      </x:c>
    </x:row>
    <x:row r="7834">
      <x:c r="A7834" s="15" t="n">
        <x:v>44013</x:v>
      </x:c>
      <x:c r="B7834" s="13" t="str">
        <x:v>MINERVA SA</x:v>
      </x:c>
      <x:c r="C7834" s="16" t="n">
        <x:v>721.6164394082</x:v>
      </x:c>
      <x:c r="D7834" s="13" t="str">
        <x:v>Food &amp; Beverages</x:v>
      </x:c>
      <x:c r="E7834" s="13" t="str">
        <x:v>Agri, Food &amp; Beverages</x:v>
      </x:c>
      <x:c r="F7834" s="13" t="str">
        <x:v>Defensives</x:v>
      </x:c>
      <x:c r="G7834" s="13" t="str">
        <x:v>grid_cqzdsc3v.xlsx</x:v>
      </x:c>
    </x:row>
    <x:row r="7835">
      <x:c r="A7835" s="15" t="n">
        <x:v>44013</x:v>
      </x:c>
      <x:c r="B7835" s="13" t="str">
        <x:v>FLEURY SA</x:v>
      </x:c>
      <x:c r="C7835" s="16" t="n">
        <x:v>194.9071118027</x:v>
      </x:c>
      <x:c r="D7835" s="13" t="str">
        <x:v>Health Care</x:v>
      </x:c>
      <x:c r="E7835" s="13" t="str">
        <x:v>Health Care</x:v>
      </x:c>
      <x:c r="F7835" s="13" t="str">
        <x:v>Defensives</x:v>
      </x:c>
      <x:c r="G7835" s="13" t="str">
        <x:v>grid_cqzdsc3v.xlsx</x:v>
      </x:c>
    </x:row>
    <x:row r="7836">
      <x:c r="A7836" s="15" t="n">
        <x:v>44013</x:v>
      </x:c>
      <x:c r="B7836" s="13" t="str">
        <x:v>HAPVIDA PARTICIPACOES E INVE</x:v>
      </x:c>
      <x:c r="C7836" s="16" t="n">
        <x:v>1018.6290156712</x:v>
      </x:c>
      <x:c r="D7836" s="13" t="str">
        <x:v>Health Care</x:v>
      </x:c>
      <x:c r="E7836" s="13" t="str">
        <x:v>Health Care</x:v>
      </x:c>
      <x:c r="F7836" s="13" t="str">
        <x:v>Defensives</x:v>
      </x:c>
      <x:c r="G7836" s="13" t="str">
        <x:v>grid_cqzdsc3v.xlsx</x:v>
      </x:c>
    </x:row>
    <x:row r="7837">
      <x:c r="A7837" s="15" t="n">
        <x:v>44013</x:v>
      </x:c>
      <x:c r="B7837" s="13" t="str">
        <x:v>HYPERA SA</x:v>
      </x:c>
      <x:c r="C7837" s="16" t="n">
        <x:v>1334.911085063</x:v>
      </x:c>
      <x:c r="D7837" s="13" t="str">
        <x:v>Health Care</x:v>
      </x:c>
      <x:c r="E7837" s="13" t="str">
        <x:v>Health Care</x:v>
      </x:c>
      <x:c r="F7837" s="13" t="str">
        <x:v>Defensives</x:v>
      </x:c>
      <x:c r="G7837" s="13" t="str">
        <x:v>grid_cqzdsc3v.xlsx</x:v>
      </x:c>
    </x:row>
    <x:row r="7838">
      <x:c r="A7838" s="15" t="n">
        <x:v>44013</x:v>
      </x:c>
      <x:c r="B7838" s="13" t="str">
        <x:v>NOTRE DAME INTERMED PAR SA</x:v>
      </x:c>
      <x:c r="C7838" s="16" t="n">
        <x:v>800.2257534247</x:v>
      </x:c>
      <x:c r="D7838" s="13" t="str">
        <x:v>Health Care</x:v>
      </x:c>
      <x:c r="E7838" s="13" t="str">
        <x:v>Health Care</x:v>
      </x:c>
      <x:c r="F7838" s="13" t="str">
        <x:v>Defensives</x:v>
      </x:c>
      <x:c r="G7838" s="13" t="str">
        <x:v>grid_cqzdsc3v.xlsx</x:v>
      </x:c>
    </x:row>
    <x:row r="7839">
      <x:c r="A7839" s="15" t="n">
        <x:v>44013</x:v>
      </x:c>
      <x:c r="B7839" s="13" t="str">
        <x:v>QUALICORP CONS E CORR SEG SA</x:v>
      </x:c>
      <x:c r="C7839" s="16" t="n">
        <x:v>514.7331506849</x:v>
      </x:c>
      <x:c r="D7839" s="13" t="str">
        <x:v>Health Care</x:v>
      </x:c>
      <x:c r="E7839" s="13" t="str">
        <x:v>Health Care</x:v>
      </x:c>
      <x:c r="F7839" s="13" t="str">
        <x:v>Defensives</x:v>
      </x:c>
      <x:c r="G7839" s="13" t="str">
        <x:v>grid_cqzdsc3v.xlsx</x:v>
      </x:c>
    </x:row>
    <x:row r="7840">
      <x:c r="A7840" s="15" t="n">
        <x:v>44013</x:v>
      </x:c>
      <x:c r="B7840" s="13" t="str">
        <x:v>SUL AMERICA SA - UNITS</x:v>
      </x:c>
      <x:c r="C7840" s="16" t="n">
        <x:v>1053.8169863014</x:v>
      </x:c>
      <x:c r="D7840" s="13" t="str">
        <x:v>Health Care</x:v>
      </x:c>
      <x:c r="E7840" s="13" t="str">
        <x:v>Health Care</x:v>
      </x:c>
      <x:c r="F7840" s="13" t="str">
        <x:v>Defensives</x:v>
      </x:c>
      <x:c r="G7840" s="13" t="str">
        <x:v>grid_cqzdsc3v.xlsx</x:v>
      </x:c>
    </x:row>
    <x:row r="7841">
      <x:c r="A7841" s="15" t="n">
        <x:v>44013</x:v>
      </x:c>
      <x:c r="B7841" s="13" t="str">
        <x:v>CYRELA BRAZIL REALTY SA EMP</x:v>
      </x:c>
      <x:c r="C7841" s="16" t="n">
        <x:v>387.1337148493</x:v>
      </x:c>
      <x:c r="D7841" s="13" t="str">
        <x:v>Homebuilders</x:v>
      </x:c>
      <x:c r="E7841" s="13" t="str">
        <x:v>Real Estate</x:v>
      </x:c>
      <x:c r="F7841" s="13" t="str">
        <x:v>Early Cyclicals</x:v>
      </x:c>
      <x:c r="G7841" s="13" t="str">
        <x:v>grid_cqzdsc3v.xlsx</x:v>
      </x:c>
    </x:row>
    <x:row r="7842">
      <x:c r="A7842" s="15" t="n">
        <x:v>44013</x:v>
      </x:c>
      <x:c r="B7842" s="13" t="str">
        <x:v>MRV ENGENHARIA</x:v>
      </x:c>
      <x:c r="C7842" s="16" t="n">
        <x:v>606.5608219178</x:v>
      </x:c>
      <x:c r="D7842" s="13" t="str">
        <x:v>Homebuilders</x:v>
      </x:c>
      <x:c r="E7842" s="13" t="str">
        <x:v>Real Estate</x:v>
      </x:c>
      <x:c r="F7842" s="13" t="str">
        <x:v>Early Cyclicals</x:v>
      </x:c>
      <x:c r="G7842" s="13" t="str">
        <x:v>grid_cqzdsc3v.xlsx</x:v>
      </x:c>
    </x:row>
    <x:row r="7843">
      <x:c r="A7843" s="15" t="n">
        <x:v>44013</x:v>
      </x:c>
      <x:c r="B7843" s="13" t="str">
        <x:v>BR MALLS PARTICIPACOES SA</x:v>
      </x:c>
      <x:c r="C7843" s="16" t="n">
        <x:v>480.3226094466</x:v>
      </x:c>
      <x:c r="D7843" s="13" t="str">
        <x:v>Income Properties</x:v>
      </x:c>
      <x:c r="E7843" s="13" t="str">
        <x:v>Real Estate</x:v>
      </x:c>
      <x:c r="F7843" s="13" t="str">
        <x:v>Early Cyclicals</x:v>
      </x:c>
      <x:c r="G7843" s="13" t="str">
        <x:v>grid_cqzdsc3v.xlsx</x:v>
      </x:c>
    </x:row>
    <x:row r="7844">
      <x:c r="A7844" s="15" t="n">
        <x:v>44013</x:v>
      </x:c>
      <x:c r="B7844" s="13" t="str">
        <x:v>IGUATEMI EMP DE SHOPPING</x:v>
      </x:c>
      <x:c r="C7844" s="16" t="n">
        <x:v>170.9214838247</x:v>
      </x:c>
      <x:c r="D7844" s="13" t="str">
        <x:v>Income Properties</x:v>
      </x:c>
      <x:c r="E7844" s="13" t="str">
        <x:v>Real Estate</x:v>
      </x:c>
      <x:c r="F7844" s="13" t="str">
        <x:v>Early Cyclicals</x:v>
      </x:c>
      <x:c r="G7844" s="13" t="str">
        <x:v>grid_cqzdsc3v.xlsx</x:v>
      </x:c>
    </x:row>
    <x:row r="7845">
      <x:c r="A7845" s="15" t="n">
        <x:v>44013</x:v>
      </x:c>
      <x:c r="B7845" s="13" t="str">
        <x:v>MULTIPLAN EMPREENDIMENTOS</x:v>
      </x:c>
      <x:c r="C7845" s="16" t="n">
        <x:v>440.9691940822</x:v>
      </x:c>
      <x:c r="D7845" s="13" t="str">
        <x:v>Income Properties</x:v>
      </x:c>
      <x:c r="E7845" s="13" t="str">
        <x:v>Real Estate</x:v>
      </x:c>
      <x:c r="F7845" s="13" t="str">
        <x:v>Early Cyclicals</x:v>
      </x:c>
      <x:c r="G7845" s="13" t="str">
        <x:v>grid_cqzdsc3v.xlsx</x:v>
      </x:c>
    </x:row>
    <x:row r="7846">
      <x:c r="A7846" s="15" t="n">
        <x:v>44013</x:v>
      </x:c>
      <x:c r="B7846" s="13" t="str">
        <x:v>BRADESPAR SA -PREF</x:v>
      </x:c>
      <x:c r="C7846" s="16" t="n">
        <x:v>2535.5094878685</x:v>
      </x:c>
      <x:c r="D7846" s="13" t="str">
        <x:v>Metals &amp; Mining</x:v>
      </x:c>
      <x:c r="E7846" s="13" t="str">
        <x:v>Metals &amp; Mining</x:v>
      </x:c>
      <x:c r="F7846" s="13" t="str">
        <x:v>Deep Cyclicals</x:v>
      </x:c>
      <x:c r="G7846" s="13" t="str">
        <x:v>grid_cqzdsc3v.xlsx</x:v>
      </x:c>
    </x:row>
    <x:row r="7847">
      <x:c r="A7847" s="15" t="n">
        <x:v>44013</x:v>
      </x:c>
      <x:c r="B7847" s="13" t="str">
        <x:v>CIA SIDERURGICA NACIONAL SA</x:v>
      </x:c>
      <x:c r="C7847" s="16" t="n">
        <x:v>1479.1807067178</x:v>
      </x:c>
      <x:c r="D7847" s="13" t="str">
        <x:v>Metals &amp; Mining</x:v>
      </x:c>
      <x:c r="E7847" s="13" t="str">
        <x:v>Metals &amp; Mining</x:v>
      </x:c>
      <x:c r="F7847" s="13" t="str">
        <x:v>Deep Cyclicals</x:v>
      </x:c>
      <x:c r="G7847" s="13" t="str">
        <x:v>grid_cqzdsc3v.xlsx</x:v>
      </x:c>
    </x:row>
    <x:row r="7848">
      <x:c r="A7848" s="15" t="n">
        <x:v>44013</x:v>
      </x:c>
      <x:c r="B7848" s="13" t="str">
        <x:v>GERDAU SA-PREF</x:v>
      </x:c>
      <x:c r="C7848" s="16" t="n">
        <x:v>1086.6395200877</x:v>
      </x:c>
      <x:c r="D7848" s="13" t="str">
        <x:v>Metals &amp; Mining</x:v>
      </x:c>
      <x:c r="E7848" s="13" t="str">
        <x:v>Metals &amp; Mining</x:v>
      </x:c>
      <x:c r="F7848" s="13" t="str">
        <x:v>Deep Cyclicals</x:v>
      </x:c>
      <x:c r="G7848" s="13" t="str">
        <x:v>grid_cqzdsc3v.xlsx</x:v>
      </x:c>
    </x:row>
    <x:row r="7849">
      <x:c r="A7849" s="15" t="n">
        <x:v>44013</x:v>
      </x:c>
      <x:c r="B7849" s="13" t="str">
        <x:v>USINAS SIDER MINAS GER-PF A</x:v>
      </x:c>
      <x:c r="C7849" s="16" t="n">
        <x:v>-55.5705344</x:v>
      </x:c>
      <x:c r="D7849" s="13" t="str">
        <x:v>Metals &amp; Mining</x:v>
      </x:c>
      <x:c r="E7849" s="13" t="str">
        <x:v>Metals &amp; Mining</x:v>
      </x:c>
      <x:c r="F7849" s="13" t="str">
        <x:v>Deep Cyclicals</x:v>
      </x:c>
      <x:c r="G7849" s="13" t="str">
        <x:v>grid_cqzdsc3v.xlsx</x:v>
      </x:c>
    </x:row>
    <x:row r="7850">
      <x:c r="A7850" s="15" t="n">
        <x:v>44013</x:v>
      </x:c>
      <x:c r="B7850" s="13" t="str">
        <x:v>VALE SA</x:v>
      </x:c>
      <x:c r="C7850" s="16" t="n">
        <x:v>41625.3173984438</x:v>
      </x:c>
      <x:c r="D7850" s="13" t="str">
        <x:v>Metals &amp; Mining</x:v>
      </x:c>
      <x:c r="E7850" s="13" t="str">
        <x:v>Metals &amp; Mining</x:v>
      </x:c>
      <x:c r="F7850" s="13" t="str">
        <x:v>Deep Cyclicals</x:v>
      </x:c>
      <x:c r="G7850" s="13" t="str">
        <x:v>grid_cqzdsc3v.xlsx</x:v>
      </x:c>
    </x:row>
    <x:row r="7851">
      <x:c r="A7851" s="15" t="n">
        <x:v>44013</x:v>
      </x:c>
      <x:c r="B7851" s="13" t="str">
        <x:v>BRASKEM SA-PREF A</x:v>
      </x:c>
      <x:c r="C7851" s="16" t="n">
        <x:v>-1479.1711926356</x:v>
      </x:c>
      <x:c r="D7851" s="13" t="str">
        <x:v>Oil, Gas &amp; Petrochemicals</x:v>
      </x:c>
      <x:c r="E7851" s="13" t="str">
        <x:v>Oil, Gas &amp; Petrochemicals</x:v>
      </x:c>
      <x:c r="F7851" s="13" t="str">
        <x:v>Deep Cyclicals</x:v>
      </x:c>
      <x:c r="G7851" s="13" t="str">
        <x:v>grid_cqzdsc3v.xlsx</x:v>
      </x:c>
    </x:row>
    <x:row r="7852">
      <x:c r="A7852" s="15" t="n">
        <x:v>44013</x:v>
      </x:c>
      <x:c r="B7852" s="13" t="str">
        <x:v>COSAN SA</x:v>
      </x:c>
      <x:c r="C7852" s="16" t="n">
        <x:v>1721.3506374137</x:v>
      </x:c>
      <x:c r="D7852" s="13" t="str">
        <x:v>Oil, Gas &amp; Petrochemicals</x:v>
      </x:c>
      <x:c r="E7852" s="13" t="str">
        <x:v>Oil, Gas &amp; Petrochemicals</x:v>
      </x:c>
      <x:c r="F7852" s="13" t="str">
        <x:v>Deep Cyclicals</x:v>
      </x:c>
      <x:c r="G7852" s="13" t="str">
        <x:v>grid_cqzdsc3v.xlsx</x:v>
      </x:c>
    </x:row>
    <x:row r="7853">
      <x:c r="A7853" s="15" t="n">
        <x:v>44013</x:v>
      </x:c>
      <x:c r="B7853" s="13" t="str">
        <x:v>PETROBRAS - PETROLEO BRAS</x:v>
      </x:c>
      <x:c r="C7853" s="16" t="n">
        <x:v>2054.6892954301</x:v>
      </x:c>
      <x:c r="D7853" s="13" t="str">
        <x:v>Oil, Gas &amp; Petrochemicals</x:v>
      </x:c>
      <x:c r="E7853" s="13" t="str">
        <x:v>Oil, Gas &amp; Petrochemicals</x:v>
      </x:c>
      <x:c r="F7853" s="13" t="str">
        <x:v>Deep Cyclicals</x:v>
      </x:c>
      <x:c r="G7853" s="13" t="str">
        <x:v>grid_cqzdsc3v.xlsx</x:v>
      </x:c>
    </x:row>
    <x:row r="7854">
      <x:c r="A7854" s="15" t="n">
        <x:v>44013</x:v>
      </x:c>
      <x:c r="B7854" s="13" t="str">
        <x:v>ULTRAPAR PARTICIPACOES SA</x:v>
      </x:c>
      <x:c r="C7854" s="16" t="n">
        <x:v>1085.1471181151</x:v>
      </x:c>
      <x:c r="D7854" s="13" t="str">
        <x:v>Oil, Gas &amp; Petrochemicals</x:v>
      </x:c>
      <x:c r="E7854" s="13" t="str">
        <x:v>Oil, Gas &amp; Petrochemicals</x:v>
      </x:c>
      <x:c r="F7854" s="13" t="str">
        <x:v>Deep Cyclicals</x:v>
      </x:c>
      <x:c r="G7854" s="13" t="str">
        <x:v>grid_cqzdsc3v.xlsx</x:v>
      </x:c>
    </x:row>
    <x:row r="7855">
      <x:c r="A7855" s="15" t="n">
        <x:v>44013</x:v>
      </x:c>
      <x:c r="B7855" s="13" t="str">
        <x:v>VIBRA ENERGIA SA</x:v>
      </x:c>
      <x:c r="C7855" s="16" t="n">
        <x:v>1390.1251734795</x:v>
      </x:c>
      <x:c r="D7855" s="13" t="str">
        <x:v>Oil, Gas &amp; Petrochemicals</x:v>
      </x:c>
      <x:c r="E7855" s="13" t="str">
        <x:v>Oil, Gas &amp; Petrochemicals</x:v>
      </x:c>
      <x:c r="F7855" s="13" t="str">
        <x:v>Deep Cyclicals</x:v>
      </x:c>
      <x:c r="G7855" s="13" t="str">
        <x:v>grid_cqzdsc3v.xlsx</x:v>
      </x:c>
    </x:row>
    <x:row r="7856">
      <x:c r="A7856" s="15" t="n">
        <x:v>44013</x:v>
      </x:c>
      <x:c r="B7856" s="13" t="str">
        <x:v>KLABIN SA - UNIT</x:v>
      </x:c>
      <x:c r="C7856" s="16" t="n">
        <x:v>151.4216675945</x:v>
      </x:c>
      <x:c r="D7856" s="13" t="str">
        <x:v>Pulp &amp; Paper</x:v>
      </x:c>
      <x:c r="E7856" s="13" t="str">
        <x:v>Pulp &amp; Paper</x:v>
      </x:c>
      <x:c r="F7856" s="13" t="str">
        <x:v>Deep Cyclicals</x:v>
      </x:c>
      <x:c r="G7856" s="13" t="str">
        <x:v>grid_cqzdsc3v.xlsx</x:v>
      </x:c>
    </x:row>
    <x:row r="7857">
      <x:c r="A7857" s="15" t="n">
        <x:v>44013</x:v>
      </x:c>
      <x:c r="B7857" s="13" t="str">
        <x:v>SUZANO SA</x:v>
      </x:c>
      <x:c r="C7857" s="16" t="n">
        <x:v>-2080.215110137</x:v>
      </x:c>
      <x:c r="D7857" s="13" t="str">
        <x:v>Pulp &amp; Paper</x:v>
      </x:c>
      <x:c r="E7857" s="13" t="str">
        <x:v>Pulp &amp; Paper</x:v>
      </x:c>
      <x:c r="F7857" s="13" t="str">
        <x:v>Deep Cyclicals</x:v>
      </x:c>
      <x:c r="G7857" s="13" t="str">
        <x:v>grid_cqzdsc3v.xlsx</x:v>
      </x:c>
    </x:row>
    <x:row r="7858">
      <x:c r="A7858" s="15" t="n">
        <x:v>44013</x:v>
      </x:c>
      <x:c r="B7858" s="13" t="str">
        <x:v>AMERICANAS SA</x:v>
      </x:c>
      <x:c r="C7858" s="16" t="n">
        <x:v>32.4201567123</x:v>
      </x:c>
      <x:c r="D7858" s="13" t="str">
        <x:v>Retail</x:v>
      </x:c>
      <x:c r="E7858" s="13" t="str">
        <x:v>Retail</x:v>
      </x:c>
      <x:c r="F7858" s="13" t="str">
        <x:v>Early Cyclicals</x:v>
      </x:c>
      <x:c r="G7858" s="13" t="str">
        <x:v>grid_cqzdsc3v.xlsx</x:v>
      </x:c>
    </x:row>
    <x:row r="7859">
      <x:c r="A7859" s="15" t="n">
        <x:v>44013</x:v>
      </x:c>
      <x:c r="B7859" s="13" t="str">
        <x:v>ATACADAO SA</x:v>
      </x:c>
      <x:c r="C7859" s="16" t="n">
        <x:v>2169.1283277151</x:v>
      </x:c>
      <x:c r="D7859" s="13" t="str">
        <x:v>Retail</x:v>
      </x:c>
      <x:c r="E7859" s="13" t="str">
        <x:v>Retail</x:v>
      </x:c>
      <x:c r="F7859" s="13" t="str">
        <x:v>Early Cyclicals</x:v>
      </x:c>
      <x:c r="G7859" s="13" t="str">
        <x:v>grid_cqzdsc3v.xlsx</x:v>
      </x:c>
    </x:row>
    <x:row r="7860">
      <x:c r="A7860" s="15" t="n">
        <x:v>44013</x:v>
      </x:c>
      <x:c r="B7860" s="13" t="str">
        <x:v>CIA BRASILEIRA DE DISTRIBUIC</x:v>
      </x:c>
      <x:c r="C7860" s="16" t="n">
        <x:v>1171.2396836822</x:v>
      </x:c>
      <x:c r="D7860" s="13" t="str">
        <x:v>Retail</x:v>
      </x:c>
      <x:c r="E7860" s="13" t="str">
        <x:v>Retail</x:v>
      </x:c>
      <x:c r="F7860" s="13" t="str">
        <x:v>Early Cyclicals</x:v>
      </x:c>
      <x:c r="G7860" s="13" t="str">
        <x:v>grid_cqzdsc3v.xlsx</x:v>
      </x:c>
    </x:row>
    <x:row r="7861">
      <x:c r="A7861" s="15" t="n">
        <x:v>44013</x:v>
      </x:c>
      <x:c r="B7861" s="13" t="str">
        <x:v>CIA HERING</x:v>
      </x:c>
      <x:c r="C7861" s="16" t="n">
        <x:v>113.6758608329</x:v>
      </x:c>
      <x:c r="D7861" s="13" t="str">
        <x:v>Retail</x:v>
      </x:c>
      <x:c r="E7861" s="13" t="str">
        <x:v>Retail</x:v>
      </x:c>
      <x:c r="F7861" s="13" t="str">
        <x:v>Early Cyclicals</x:v>
      </x:c>
      <x:c r="G7861" s="13" t="str">
        <x:v>grid_cqzdsc3v.xlsx</x:v>
      </x:c>
    </x:row>
    <x:row r="7862">
      <x:c r="A7862" s="15" t="n">
        <x:v>44013</x:v>
      </x:c>
      <x:c r="B7862" s="13" t="str">
        <x:v>GRUPO CASAS BAHIA SA</x:v>
      </x:c>
      <x:c r="C7862" s="16" t="n">
        <x:v>425.2120282301</x:v>
      </x:c>
      <x:c r="D7862" s="13" t="str">
        <x:v>Retail</x:v>
      </x:c>
      <x:c r="E7862" s="13" t="str">
        <x:v>Retail</x:v>
      </x:c>
      <x:c r="F7862" s="13" t="str">
        <x:v>Early Cyclicals</x:v>
      </x:c>
      <x:c r="G7862" s="13" t="str">
        <x:v>grid_cqzdsc3v.xlsx</x:v>
      </x:c>
    </x:row>
    <x:row r="7863">
      <x:c r="A7863" s="15" t="n">
        <x:v>44013</x:v>
      </x:c>
      <x:c r="B7863" s="13" t="str">
        <x:v>LOJAS AMERICANAS SA-PREF</x:v>
      </x:c>
      <x:c r="C7863" s="16" t="n">
        <x:v>950.3896914411</x:v>
      </x:c>
      <x:c r="D7863" s="13" t="str">
        <x:v>Retail</x:v>
      </x:c>
      <x:c r="E7863" s="13" t="str">
        <x:v>Retail</x:v>
      </x:c>
      <x:c r="F7863" s="13" t="str">
        <x:v>Early Cyclicals</x:v>
      </x:c>
      <x:c r="G7863" s="13" t="str">
        <x:v>grid_cqzdsc3v.xlsx</x:v>
      </x:c>
    </x:row>
    <x:row r="7864">
      <x:c r="A7864" s="15" t="n">
        <x:v>44013</x:v>
      </x:c>
      <x:c r="B7864" s="13" t="str">
        <x:v>LOJAS RENNER S.A.</x:v>
      </x:c>
      <x:c r="C7864" s="16" t="n">
        <x:v>1192.5235347288</x:v>
      </x:c>
      <x:c r="D7864" s="13" t="str">
        <x:v>Retail</x:v>
      </x:c>
      <x:c r="E7864" s="13" t="str">
        <x:v>Retail</x:v>
      </x:c>
      <x:c r="F7864" s="13" t="str">
        <x:v>Early Cyclicals</x:v>
      </x:c>
      <x:c r="G7864" s="13" t="str">
        <x:v>grid_cqzdsc3v.xlsx</x:v>
      </x:c>
    </x:row>
    <x:row r="7865">
      <x:c r="A7865" s="15" t="n">
        <x:v>44013</x:v>
      </x:c>
      <x:c r="B7865" s="13" t="str">
        <x:v>MAGAZINE LUIZA SA</x:v>
      </x:c>
      <x:c r="C7865" s="16" t="n">
        <x:v>659.2876851726</x:v>
      </x:c>
      <x:c r="D7865" s="13" t="str">
        <x:v>Retail</x:v>
      </x:c>
      <x:c r="E7865" s="13" t="str">
        <x:v>Retail</x:v>
      </x:c>
      <x:c r="F7865" s="13" t="str">
        <x:v>Early Cyclicals</x:v>
      </x:c>
      <x:c r="G7865" s="13" t="str">
        <x:v>grid_cqzdsc3v.xlsx</x:v>
      </x:c>
    </x:row>
    <x:row r="7866">
      <x:c r="A7866" s="15" t="n">
        <x:v>44013</x:v>
      </x:c>
      <x:c r="B7866" s="13" t="str">
        <x:v>NATURA &amp;CO HOLDING SA</x:v>
      </x:c>
      <x:c r="C7866" s="16" t="n">
        <x:v>1236.2766855014</x:v>
      </x:c>
      <x:c r="D7866" s="13" t="str">
        <x:v>Retail</x:v>
      </x:c>
      <x:c r="E7866" s="13" t="str">
        <x:v>Retail</x:v>
      </x:c>
      <x:c r="F7866" s="13" t="str">
        <x:v>Early Cyclicals</x:v>
      </x:c>
      <x:c r="G7866" s="13" t="str">
        <x:v>grid_cqzdsc3v.xlsx</x:v>
      </x:c>
    </x:row>
    <x:row r="7867">
      <x:c r="A7867" s="15" t="n">
        <x:v>44013</x:v>
      </x:c>
      <x:c r="B7867" s="13" t="str">
        <x:v>RAIA DROGASIL SA</x:v>
      </x:c>
      <x:c r="C7867" s="16" t="n">
        <x:v>808.5367772932</x:v>
      </x:c>
      <x:c r="D7867" s="13" t="str">
        <x:v>Retail</x:v>
      </x:c>
      <x:c r="E7867" s="13" t="str">
        <x:v>Retail</x:v>
      </x:c>
      <x:c r="F7867" s="13" t="str">
        <x:v>Early Cyclicals</x:v>
      </x:c>
      <x:c r="G7867" s="13" t="str">
        <x:v>grid_cqzdsc3v.xlsx</x:v>
      </x:c>
    </x:row>
    <x:row r="7868">
      <x:c r="A7868" s="15" t="n">
        <x:v>44013</x:v>
      </x:c>
      <x:c r="B7868" s="13" t="str">
        <x:v>CIA SANEAMENTO BASICO DE SP</x:v>
      </x:c>
      <x:c r="C7868" s="16" t="n">
        <x:v>2472.0538732712</x:v>
      </x:c>
      <x:c r="D7868" s="13" t="str">
        <x:v>Sanitation</x:v>
      </x:c>
      <x:c r="E7868" s="13" t="str">
        <x:v>Utilities</x:v>
      </x:c>
      <x:c r="F7868" s="13" t="str">
        <x:v>Defensives</x:v>
      </x:c>
      <x:c r="G7868" s="13" t="str">
        <x:v>grid_cqzdsc3v.xlsx</x:v>
      </x:c>
    </x:row>
    <x:row r="7869">
      <x:c r="A7869" s="15" t="n">
        <x:v>44013</x:v>
      </x:c>
      <x:c r="B7869" s="13" t="str">
        <x:v>TELEFONICA BRASIL S.A.-PREF</x:v>
      </x:c>
      <x:c r="C7869" s="16" t="n">
        <x:v>5032.9952256</x:v>
      </x:c>
      <x:c r="D7869" s="13" t="str">
        <x:v>TMT</x:v>
      </x:c>
      <x:c r="E7869" s="13" t="str">
        <x:v>TMT</x:v>
      </x:c>
      <x:c r="F7869" s="13" t="str">
        <x:v>Early Cyclicals</x:v>
      </x:c>
      <x:c r="G7869" s="13" t="str">
        <x:v>grid_cqzdsc3v.xlsx</x:v>
      </x:c>
    </x:row>
    <x:row r="7870">
      <x:c r="A7870" s="15" t="n">
        <x:v>44013</x:v>
      </x:c>
      <x:c r="B7870" s="13" t="str">
        <x:v>TIM SA</x:v>
      </x:c>
      <x:c r="C7870" s="16" t="n">
        <x:v>1706.0887671233</x:v>
      </x:c>
      <x:c r="D7870" s="13" t="str">
        <x:v>TMT</x:v>
      </x:c>
      <x:c r="E7870" s="13" t="str">
        <x:v>TMT</x:v>
      </x:c>
      <x:c r="F7870" s="13" t="str">
        <x:v>Early Cyclicals</x:v>
      </x:c>
      <x:c r="G7870" s="13" t="str">
        <x:v>grid_cqzdsc3v.xlsx</x:v>
      </x:c>
    </x:row>
    <x:row r="7871">
      <x:c r="A7871" s="15" t="n">
        <x:v>44013</x:v>
      </x:c>
      <x:c r="B7871" s="13" t="str">
        <x:v>TOTVS SA</x:v>
      </x:c>
      <x:c r="C7871" s="16" t="n">
        <x:v>363.5456807452</x:v>
      </x:c>
      <x:c r="D7871" s="13" t="str">
        <x:v>TMT</x:v>
      </x:c>
      <x:c r="E7871" s="13" t="str">
        <x:v>TMT</x:v>
      </x:c>
      <x:c r="F7871" s="13" t="str">
        <x:v>Early Cyclicals</x:v>
      </x:c>
      <x:c r="G7871" s="13" t="str">
        <x:v>grid_cqzdsc3v.xlsx</x:v>
      </x:c>
    </x:row>
    <x:row r="7872">
      <x:c r="A7872" s="15" t="n">
        <x:v>44013</x:v>
      </x:c>
      <x:c r="B7872" s="13" t="str">
        <x:v>AZUL SA</x:v>
      </x:c>
      <x:c r="C7872" s="16" t="n">
        <x:v>-2768.2718232548</x:v>
      </x:c>
      <x:c r="D7872" s="13" t="str">
        <x:v>Transportation</x:v>
      </x:c>
      <x:c r="E7872" s="13" t="str">
        <x:v>Transportation</x:v>
      </x:c>
      <x:c r="F7872" s="13" t="str">
        <x:v>Deep Cyclicals</x:v>
      </x:c>
      <x:c r="G7872" s="13" t="str">
        <x:v>grid_cqzdsc3v.xlsx</x:v>
      </x:c>
    </x:row>
    <x:row r="7873">
      <x:c r="A7873" s="15" t="n">
        <x:v>44013</x:v>
      </x:c>
      <x:c r="B7873" s="13" t="str">
        <x:v>ECORODOVIAS INFRA E LOG SA</x:v>
      </x:c>
      <x:c r="C7873" s="16" t="n">
        <x:v>453.6821824877</x:v>
      </x:c>
      <x:c r="D7873" s="13" t="str">
        <x:v>Transportation</x:v>
      </x:c>
      <x:c r="E7873" s="13" t="str">
        <x:v>Transportation</x:v>
      </x:c>
      <x:c r="F7873" s="13" t="str">
        <x:v>Deep Cyclicals</x:v>
      </x:c>
      <x:c r="G7873" s="13" t="str">
        <x:v>grid_cqzdsc3v.xlsx</x:v>
      </x:c>
    </x:row>
    <x:row r="7874">
      <x:c r="A7874" s="15" t="n">
        <x:v>44013</x:v>
      </x:c>
      <x:c r="B7874" s="13" t="str">
        <x:v>GOL LINHAS AEREAS INT SA-PRE</x:v>
      </x:c>
      <x:c r="C7874" s="16" t="n">
        <x:v>-1674.4491531397</x:v>
      </x:c>
      <x:c r="D7874" s="13" t="str">
        <x:v>Transportation</x:v>
      </x:c>
      <x:c r="E7874" s="13" t="str">
        <x:v>Transportation</x:v>
      </x:c>
      <x:c r="F7874" s="13" t="str">
        <x:v>Deep Cyclicals</x:v>
      </x:c>
      <x:c r="G7874" s="13" t="str">
        <x:v>grid_cqzdsc3v.xlsx</x:v>
      </x:c>
    </x:row>
    <x:row r="7875">
      <x:c r="A7875" s="15" t="n">
        <x:v>44013</x:v>
      </x:c>
      <x:c r="B7875" s="13" t="str">
        <x:v>LOCALIZA RENT A CAR</x:v>
      </x:c>
      <x:c r="C7875" s="16" t="n">
        <x:v>825.3217385205</x:v>
      </x:c>
      <x:c r="D7875" s="13" t="str">
        <x:v>Transportation</x:v>
      </x:c>
      <x:c r="E7875" s="13" t="str">
        <x:v>Transportation</x:v>
      </x:c>
      <x:c r="F7875" s="13" t="str">
        <x:v>Deep Cyclicals</x:v>
      </x:c>
      <x:c r="G7875" s="13" t="str">
        <x:v>grid_cqzdsc3v.xlsx</x:v>
      </x:c>
    </x:row>
    <x:row r="7876">
      <x:c r="A7876" s="15" t="n">
        <x:v>44013</x:v>
      </x:c>
      <x:c r="B7876" s="13" t="str">
        <x:v>MOTIVA INFRAESTRUTURA DE MOB</x:v>
      </x:c>
      <x:c r="C7876" s="16" t="n">
        <x:v>1210.0872723288</x:v>
      </x:c>
      <x:c r="D7876" s="13" t="str">
        <x:v>Transportation</x:v>
      </x:c>
      <x:c r="E7876" s="13" t="str">
        <x:v>Transportation</x:v>
      </x:c>
      <x:c r="F7876" s="13" t="str">
        <x:v>Deep Cyclicals</x:v>
      </x:c>
      <x:c r="G7876" s="13" t="str">
        <x:v>grid_cqzdsc3v.xlsx</x:v>
      </x:c>
    </x:row>
    <x:row r="7877">
      <x:c r="A7877" s="15" t="n">
        <x:v>44013</x:v>
      </x:c>
      <x:c r="B7877" s="13" t="str">
        <x:v>RUMO SA</x:v>
      </x:c>
      <x:c r="C7877" s="16" t="n">
        <x:v>1057.899462137</x:v>
      </x:c>
      <x:c r="D7877" s="13" t="str">
        <x:v>Transportation</x:v>
      </x:c>
      <x:c r="E7877" s="13" t="str">
        <x:v>Transportation</x:v>
      </x:c>
      <x:c r="F7877" s="13" t="str">
        <x:v>Deep Cyclicals</x:v>
      </x:c>
      <x:c r="G7877" s="13" t="str">
        <x:v>grid_cqzdsc3v.xlsx</x:v>
      </x:c>
    </x:row>
    <x:row r="7878">
      <x:c r="A7878" s="15" t="n">
        <x:v>44013</x:v>
      </x:c>
      <x:c r="B7878" s="13" t="str">
        <x:v>AXIA ENERGIA SA</x:v>
      </x:c>
      <x:c r="C7878" s="16" t="n">
        <x:v>6287.178073074</x:v>
      </x:c>
      <x:c r="D7878" s="13" t="str">
        <x:v>Utilities &amp; Energy</x:v>
      </x:c>
      <x:c r="E7878" s="13" t="str">
        <x:v>Utilities</x:v>
      </x:c>
      <x:c r="F7878" s="13" t="str">
        <x:v>Defensives</x:v>
      </x:c>
      <x:c r="G7878" s="13" t="str">
        <x:v>grid_cqzdsc3v.xlsx</x:v>
      </x:c>
    </x:row>
    <x:row r="7879">
      <x:c r="A7879" s="15" t="n">
        <x:v>44013</x:v>
      </x:c>
      <x:c r="B7879" s="13" t="str">
        <x:v>AXIA ENERGIA-PR B</x:v>
      </x:c>
      <x:c r="C7879" s="16" t="n">
        <x:v>6287.178073074</x:v>
      </x:c>
      <x:c r="D7879" s="13" t="str">
        <x:v>Utilities &amp; Energy</x:v>
      </x:c>
      <x:c r="E7879" s="13" t="str">
        <x:v>Utilities</x:v>
      </x:c>
      <x:c r="F7879" s="13" t="str">
        <x:v>Defensives</x:v>
      </x:c>
      <x:c r="G7879" s="13" t="str">
        <x:v>grid_cqzdsc3v.xlsx</x:v>
      </x:c>
    </x:row>
    <x:row r="7880">
      <x:c r="A7880" s="15" t="n">
        <x:v>44013</x:v>
      </x:c>
      <x:c r="B7880" s="13" t="str">
        <x:v>CIA ENERGETICA MINAS GER-PRF</x:v>
      </x:c>
      <x:c r="C7880" s="16" t="n">
        <x:v>2368.3030962849</x:v>
      </x:c>
      <x:c r="D7880" s="13" t="str">
        <x:v>Utilities &amp; Energy</x:v>
      </x:c>
      <x:c r="E7880" s="13" t="str">
        <x:v>Utilities</x:v>
      </x:c>
      <x:c r="F7880" s="13" t="str">
        <x:v>Defensives</x:v>
      </x:c>
      <x:c r="G7880" s="13" t="str">
        <x:v>grid_cqzdsc3v.xlsx</x:v>
      </x:c>
    </x:row>
    <x:row r="7881">
      <x:c r="A7881" s="15" t="n">
        <x:v>44013</x:v>
      </x:c>
      <x:c r="B7881" s="13" t="str">
        <x:v>CPFL ENERGIA SA</x:v>
      </x:c>
      <x:c r="C7881" s="16" t="n">
        <x:v>2925.2349404932</x:v>
      </x:c>
      <x:c r="D7881" s="13" t="str">
        <x:v>Utilities &amp; Energy</x:v>
      </x:c>
      <x:c r="E7881" s="13" t="str">
        <x:v>Utilities</x:v>
      </x:c>
      <x:c r="F7881" s="13" t="str">
        <x:v>Defensives</x:v>
      </x:c>
      <x:c r="G7881" s="13" t="str">
        <x:v>grid_cqzdsc3v.xlsx</x:v>
      </x:c>
    </x:row>
    <x:row r="7882">
      <x:c r="A7882" s="15" t="n">
        <x:v>44013</x:v>
      </x:c>
      <x:c r="B7882" s="13" t="str">
        <x:v>EDP - ENERGIAS DO BRASIL SA</x:v>
      </x:c>
      <x:c r="C7882" s="16" t="n">
        <x:v>1089.8465753425</x:v>
      </x:c>
      <x:c r="D7882" s="13" t="str">
        <x:v>Utilities &amp; Energy</x:v>
      </x:c>
      <x:c r="E7882" s="13" t="str">
        <x:v>Utilities</x:v>
      </x:c>
      <x:c r="F7882" s="13" t="str">
        <x:v>Defensives</x:v>
      </x:c>
      <x:c r="G7882" s="13" t="str">
        <x:v>grid_cqzdsc3v.xlsx</x:v>
      </x:c>
    </x:row>
    <x:row r="7883">
      <x:c r="A7883" s="15" t="n">
        <x:v>44013</x:v>
      </x:c>
      <x:c r="B7883" s="13" t="str">
        <x:v>ENERGISA SA-UNITS</x:v>
      </x:c>
      <x:c r="C7883" s="16" t="n">
        <x:v>1325.9700273096</x:v>
      </x:c>
      <x:c r="D7883" s="13" t="str">
        <x:v>Utilities &amp; Energy</x:v>
      </x:c>
      <x:c r="E7883" s="13" t="str">
        <x:v>Utilities</x:v>
      </x:c>
      <x:c r="F7883" s="13" t="str">
        <x:v>Defensives</x:v>
      </x:c>
      <x:c r="G7883" s="13" t="str">
        <x:v>grid_cqzdsc3v.xlsx</x:v>
      </x:c>
    </x:row>
    <x:row r="7884">
      <x:c r="A7884" s="15" t="n">
        <x:v>44013</x:v>
      </x:c>
      <x:c r="B7884" s="13" t="str">
        <x:v>ENGIE BRASIL ENERGIA SA</x:v>
      </x:c>
      <x:c r="C7884" s="16" t="n">
        <x:v>2747.7328096438</x:v>
      </x:c>
      <x:c r="D7884" s="13" t="str">
        <x:v>Utilities &amp; Energy</x:v>
      </x:c>
      <x:c r="E7884" s="13" t="str">
        <x:v>Utilities</x:v>
      </x:c>
      <x:c r="F7884" s="13" t="str">
        <x:v>Defensives</x:v>
      </x:c>
      <x:c r="G7884" s="13" t="str">
        <x:v>grid_cqzdsc3v.xlsx</x:v>
      </x:c>
    </x:row>
    <x:row r="7885">
      <x:c r="A7885" s="15" t="n">
        <x:v>44013</x:v>
      </x:c>
      <x:c r="B7885" s="13" t="str">
        <x:v>EQUATORIAL SA - ORD</x:v>
      </x:c>
      <x:c r="C7885" s="16" t="n">
        <x:v>1588.5476878027</x:v>
      </x:c>
      <x:c r="D7885" s="13" t="str">
        <x:v>Utilities &amp; Energy</x:v>
      </x:c>
      <x:c r="E7885" s="13" t="str">
        <x:v>Utilities</x:v>
      </x:c>
      <x:c r="F7885" s="13" t="str">
        <x:v>Defensives</x:v>
      </x:c>
      <x:c r="G7885" s="13" t="str">
        <x:v>grid_cqzdsc3v.xlsx</x:v>
      </x:c>
    </x:row>
    <x:row r="7886">
      <x:c r="A7886" s="15" t="n">
        <x:v>44013</x:v>
      </x:c>
      <x:c r="B7886" s="13" t="str">
        <x:v>TRANSMISSORA ALIANCA DE-UNIT</x:v>
      </x:c>
      <x:c r="C7886" s="16" t="n">
        <x:v>936.2087671233</x:v>
      </x:c>
      <x:c r="D7886" s="13" t="str">
        <x:v>Utilities &amp; Energy</x:v>
      </x:c>
      <x:c r="E7886" s="13" t="str">
        <x:v>Utilities</x:v>
      </x:c>
      <x:c r="F7886" s="13" t="str">
        <x:v>Defensives</x:v>
      </x:c>
      <x:c r="G7886" s="13" t="str">
        <x:v>grid_cqzdsc3v.xlsx</x:v>
      </x:c>
    </x:row>
    <x:row r="7887">
      <x:c r="A7887" s="15" t="n">
        <x:v>44044</x:v>
      </x:c>
      <x:c r="B7887" s="13" t="str">
        <x:v>BANCO BRADESCO S.A.</x:v>
      </x:c>
      <x:c r="C7887" s="16" t="n">
        <x:v>19924.4578142685</x:v>
      </x:c>
      <x:c r="D7887" s="13" t="str">
        <x:v>Banks</x:v>
      </x:c>
      <x:c r="E7887" s="13" t="str">
        <x:v>Banks</x:v>
      </x:c>
      <x:c r="F7887" s="13" t="str">
        <x:v>Financials</x:v>
      </x:c>
      <x:c r="G7887" s="13" t="str">
        <x:v>grid_cqzdsc3v.xlsx</x:v>
      </x:c>
    </x:row>
    <x:row r="7888">
      <x:c r="A7888" s="15" t="n">
        <x:v>44044</x:v>
      </x:c>
      <x:c r="B7888" s="13" t="str">
        <x:v>BANCO BRADESCO SA-PREF</x:v>
      </x:c>
      <x:c r="C7888" s="16" t="n">
        <x:v>19924.4578142685</x:v>
      </x:c>
      <x:c r="D7888" s="13" t="str">
        <x:v>Banks</x:v>
      </x:c>
      <x:c r="E7888" s="13" t="str">
        <x:v>Banks</x:v>
      </x:c>
      <x:c r="F7888" s="13" t="str">
        <x:v>Financials</x:v>
      </x:c>
      <x:c r="G7888" s="13" t="str">
        <x:v>grid_cqzdsc3v.xlsx</x:v>
      </x:c>
    </x:row>
    <x:row r="7889">
      <x:c r="A7889" s="15" t="n">
        <x:v>44044</x:v>
      </x:c>
      <x:c r="B7889" s="13" t="str">
        <x:v>BANCO BTG PACTUAL SA-UNIT</x:v>
      </x:c>
      <x:c r="C7889" s="16" t="n">
        <x:v>3897.2344207781</x:v>
      </x:c>
      <x:c r="D7889" s="13" t="str">
        <x:v>Banks</x:v>
      </x:c>
      <x:c r="E7889" s="13" t="str">
        <x:v>Banks</x:v>
      </x:c>
      <x:c r="F7889" s="13" t="str">
        <x:v>Financials</x:v>
      </x:c>
      <x:c r="G7889" s="13" t="str">
        <x:v>grid_cqzdsc3v.xlsx</x:v>
      </x:c>
    </x:row>
    <x:row r="7890">
      <x:c r="A7890" s="15" t="n">
        <x:v>44044</x:v>
      </x:c>
      <x:c r="B7890" s="13" t="str">
        <x:v>BANCO DO BRASIL S.A.</x:v>
      </x:c>
      <x:c r="C7890" s="16" t="n">
        <x:v>15469.9734030027</x:v>
      </x:c>
      <x:c r="D7890" s="13" t="str">
        <x:v>Banks</x:v>
      </x:c>
      <x:c r="E7890" s="13" t="str">
        <x:v>Banks</x:v>
      </x:c>
      <x:c r="F7890" s="13" t="str">
        <x:v>Financials</x:v>
      </x:c>
      <x:c r="G7890" s="13" t="str">
        <x:v>grid_cqzdsc3v.xlsx</x:v>
      </x:c>
    </x:row>
    <x:row r="7891">
      <x:c r="A7891" s="15" t="n">
        <x:v>44044</x:v>
      </x:c>
      <x:c r="B7891" s="13" t="str">
        <x:v>BANCO SANTANDER  BRASIL-UNIT</x:v>
      </x:c>
      <x:c r="C7891" s="16" t="n">
        <x:v>12235.2860566795</x:v>
      </x:c>
      <x:c r="D7891" s="13" t="str">
        <x:v>Banks</x:v>
      </x:c>
      <x:c r="E7891" s="13" t="str">
        <x:v>Banks</x:v>
      </x:c>
      <x:c r="F7891" s="13" t="str">
        <x:v>Financials</x:v>
      </x:c>
      <x:c r="G7891" s="13" t="str">
        <x:v>grid_cqzdsc3v.xlsx</x:v>
      </x:c>
    </x:row>
    <x:row r="7892">
      <x:c r="A7892" s="15" t="n">
        <x:v>44044</x:v>
      </x:c>
      <x:c r="B7892" s="13" t="str">
        <x:v>ITAU UNIBANCO HOLDING S-PREF</x:v>
      </x:c>
      <x:c r="C7892" s="16" t="n">
        <x:v>22241.742578674</x:v>
      </x:c>
      <x:c r="D7892" s="13" t="str">
        <x:v>Banks</x:v>
      </x:c>
      <x:c r="E7892" s="13" t="str">
        <x:v>Banks</x:v>
      </x:c>
      <x:c r="F7892" s="13" t="str">
        <x:v>Financials</x:v>
      </x:c>
      <x:c r="G7892" s="13" t="str">
        <x:v>grid_cqzdsc3v.xlsx</x:v>
      </x:c>
    </x:row>
    <x:row r="7893">
      <x:c r="A7893" s="15" t="n">
        <x:v>44044</x:v>
      </x:c>
      <x:c r="B7893" s="13" t="str">
        <x:v>EMBRAER SA</x:v>
      </x:c>
      <x:c r="C7893" s="16" t="n">
        <x:v>-1364.3437788932</x:v>
      </x:c>
      <x:c r="D7893" s="13" t="str">
        <x:v>Capital Goods</x:v>
      </x:c>
      <x:c r="E7893" s="13" t="str">
        <x:v>Capital Goods</x:v>
      </x:c>
      <x:c r="F7893" s="13" t="str">
        <x:v>Deep Cyclicals</x:v>
      </x:c>
      <x:c r="G7893" s="13" t="str">
        <x:v>grid_cqzdsc3v.xlsx</x:v>
      </x:c>
    </x:row>
    <x:row r="7894">
      <x:c r="A7894" s="15" t="n">
        <x:v>44044</x:v>
      </x:c>
      <x:c r="B7894" s="13" t="str">
        <x:v>WEG SA</x:v>
      </x:c>
      <x:c r="C7894" s="16" t="n">
        <x:v>2087.3124527343</x:v>
      </x:c>
      <x:c r="D7894" s="13" t="str">
        <x:v>Capital Goods</x:v>
      </x:c>
      <x:c r="E7894" s="13" t="str">
        <x:v>Capital Goods</x:v>
      </x:c>
      <x:c r="F7894" s="13" t="str">
        <x:v>Deep Cyclicals</x:v>
      </x:c>
      <x:c r="G7894" s="13" t="str">
        <x:v>grid_cqzdsc3v.xlsx</x:v>
      </x:c>
    </x:row>
    <x:row r="7895">
      <x:c r="A7895" s="15" t="n">
        <x:v>44044</x:v>
      </x:c>
      <x:c r="B7895" s="13" t="str">
        <x:v>COGNA EDUCACAO</x:v>
      </x:c>
      <x:c r="C7895" s="16" t="n">
        <x:v>48.0690410959</x:v>
      </x:c>
      <x:c r="D7895" s="13" t="str">
        <x:v>Education</x:v>
      </x:c>
      <x:c r="E7895" s="13" t="str">
        <x:v>Education</x:v>
      </x:c>
      <x:c r="F7895" s="13" t="str">
        <x:v>Early Cyclicals</x:v>
      </x:c>
      <x:c r="G7895" s="13" t="str">
        <x:v>grid_cqzdsc3v.xlsx</x:v>
      </x:c>
    </x:row>
    <x:row r="7896">
      <x:c r="A7896" s="15" t="n">
        <x:v>44044</x:v>
      </x:c>
      <x:c r="B7896" s="13" t="str">
        <x:v>YDUQS PARTICIPACOES SA</x:v>
      </x:c>
      <x:c r="C7896" s="16" t="n">
        <x:v>560.4980816658</x:v>
      </x:c>
      <x:c r="D7896" s="13" t="str">
        <x:v>Education</x:v>
      </x:c>
      <x:c r="E7896" s="13" t="str">
        <x:v>Education</x:v>
      </x:c>
      <x:c r="F7896" s="13" t="str">
        <x:v>Early Cyclicals</x:v>
      </x:c>
      <x:c r="G7896" s="13" t="str">
        <x:v>grid_cqzdsc3v.xlsx</x:v>
      </x:c>
    </x:row>
    <x:row r="7897">
      <x:c r="A7897" s="15" t="n">
        <x:v>44044</x:v>
      </x:c>
      <x:c r="B7897" s="13" t="str">
        <x:v>B3 SA-BRASIL BOLSA BALCAO</x:v>
      </x:c>
      <x:c r="C7897" s="16" t="n">
        <x:v>4345.878598137</x:v>
      </x:c>
      <x:c r="D7897" s="13" t="str">
        <x:v>Financials Non-Banks</x:v>
      </x:c>
      <x:c r="E7897" s="13" t="str">
        <x:v>Financials Non-Banks</x:v>
      </x:c>
      <x:c r="F7897" s="13" t="str">
        <x:v>Financials</x:v>
      </x:c>
      <x:c r="G7897" s="13" t="str">
        <x:v>grid_cqzdsc3v.xlsx</x:v>
      </x:c>
    </x:row>
    <x:row r="7898">
      <x:c r="A7898" s="15" t="n">
        <x:v>44044</x:v>
      </x:c>
      <x:c r="B7898" s="13" t="str">
        <x:v>BB SEGURIDADE PARTICIPACOES</x:v>
      </x:c>
      <x:c r="C7898" s="16" t="n">
        <x:v>4106.0440014904</x:v>
      </x:c>
      <x:c r="D7898" s="13" t="str">
        <x:v>Financials Non-Banks</x:v>
      </x:c>
      <x:c r="E7898" s="13" t="str">
        <x:v>Financials Non-Banks</x:v>
      </x:c>
      <x:c r="F7898" s="13" t="str">
        <x:v>Financials</x:v>
      </x:c>
      <x:c r="G7898" s="13" t="str">
        <x:v>grid_cqzdsc3v.xlsx</x:v>
      </x:c>
    </x:row>
    <x:row r="7899">
      <x:c r="A7899" s="15" t="n">
        <x:v>44044</x:v>
      </x:c>
      <x:c r="B7899" s="13" t="str">
        <x:v>CIELO SA</x:v>
      </x:c>
      <x:c r="C7899" s="16" t="n">
        <x:v>867.8575209205</x:v>
      </x:c>
      <x:c r="D7899" s="13" t="str">
        <x:v>Financials Non-Banks</x:v>
      </x:c>
      <x:c r="E7899" s="13" t="str">
        <x:v>Financials Non-Banks</x:v>
      </x:c>
      <x:c r="F7899" s="13" t="str">
        <x:v>Financials</x:v>
      </x:c>
      <x:c r="G7899" s="13" t="str">
        <x:v>Ibovespa_earnings_consolidated.xlsx</x:v>
      </x:c>
    </x:row>
    <x:row r="7900">
      <x:c r="A7900" s="15" t="n">
        <x:v>44044</x:v>
      </x:c>
      <x:c r="B7900" s="13" t="str">
        <x:v>CIELO SA - INSTITUICAO DE PA</x:v>
      </x:c>
      <x:c r="C7900" s="16" t="n">
        <x:v>867.8575209205</x:v>
      </x:c>
      <x:c r="D7900" s="13" t="str">
        <x:v>Financials Non-Banks</x:v>
      </x:c>
      <x:c r="E7900" s="13" t="str">
        <x:v>Financials Non-Banks</x:v>
      </x:c>
      <x:c r="F7900" s="13" t="str">
        <x:v>Financials</x:v>
      </x:c>
      <x:c r="G7900" s="13" t="str">
        <x:v>grid_cqzdsc3v.xlsx</x:v>
      </x:c>
    </x:row>
    <x:row r="7901">
      <x:c r="A7901" s="15" t="n">
        <x:v>44044</x:v>
      </x:c>
      <x:c r="B7901" s="13" t="str">
        <x:v>IRB BRASIL RESSEGUROS SA</x:v>
      </x:c>
      <x:c r="C7901" s="16" t="n">
        <x:v>689.2613013041</x:v>
      </x:c>
      <x:c r="D7901" s="13" t="str">
        <x:v>Financials Non-Banks</x:v>
      </x:c>
      <x:c r="E7901" s="13" t="str">
        <x:v>Financials Non-Banks</x:v>
      </x:c>
      <x:c r="F7901" s="13" t="str">
        <x:v>Financials</x:v>
      </x:c>
      <x:c r="G7901" s="13" t="str">
        <x:v>grid_cqzdsc3v.xlsx</x:v>
      </x:c>
    </x:row>
    <x:row r="7902">
      <x:c r="A7902" s="15" t="n">
        <x:v>44044</x:v>
      </x:c>
      <x:c r="B7902" s="13" t="str">
        <x:v>ITAUSA SA</x:v>
      </x:c>
      <x:c r="C7902" s="16" t="n">
        <x:v>7764.3998614795</x:v>
      </x:c>
      <x:c r="D7902" s="13" t="str">
        <x:v>Financials Non-Banks</x:v>
      </x:c>
      <x:c r="E7902" s="13" t="str">
        <x:v>Financials Non-Banks</x:v>
      </x:c>
      <x:c r="F7902" s="13" t="str">
        <x:v>Financials</x:v>
      </x:c>
      <x:c r="G7902" s="13" t="str">
        <x:v>grid_cqzdsc3v.xlsx</x:v>
      </x:c>
    </x:row>
    <x:row r="7903">
      <x:c r="A7903" s="15" t="n">
        <x:v>44044</x:v>
      </x:c>
      <x:c r="B7903" s="13" t="str">
        <x:v>AMBEV SA</x:v>
      </x:c>
      <x:c r="C7903" s="16" t="n">
        <x:v>9957.216940537</x:v>
      </x:c>
      <x:c r="D7903" s="13" t="str">
        <x:v>Food &amp; Beverages</x:v>
      </x:c>
      <x:c r="E7903" s="13" t="str">
        <x:v>Agri, Food &amp; Beverages</x:v>
      </x:c>
      <x:c r="F7903" s="13" t="str">
        <x:v>Defensives</x:v>
      </x:c>
      <x:c r="G7903" s="13" t="str">
        <x:v>grid_cqzdsc3v.xlsx</x:v>
      </x:c>
    </x:row>
    <x:row r="7904">
      <x:c r="A7904" s="15" t="n">
        <x:v>44044</x:v>
      </x:c>
      <x:c r="B7904" s="13" t="str">
        <x:v>BRF SA</x:v>
      </x:c>
      <x:c r="C7904" s="16" t="n">
        <x:v>788.8654321973</x:v>
      </x:c>
      <x:c r="D7904" s="13" t="str">
        <x:v>Food &amp; Beverages</x:v>
      </x:c>
      <x:c r="E7904" s="13" t="str">
        <x:v>Agri, Food &amp; Beverages</x:v>
      </x:c>
      <x:c r="F7904" s="13" t="str">
        <x:v>Defensives</x:v>
      </x:c>
      <x:c r="G7904" s="13" t="str">
        <x:v>grid_cqzdsc3v.xlsx</x:v>
      </x:c>
    </x:row>
    <x:row r="7905">
      <x:c r="A7905" s="15" t="n">
        <x:v>44044</x:v>
      </x:c>
      <x:c r="B7905" s="13" t="str">
        <x:v>JBS SA</x:v>
      </x:c>
      <x:c r="C7905" s="16" t="n">
        <x:v>6830.0437251507</x:v>
      </x:c>
      <x:c r="D7905" s="13" t="str">
        <x:v>Food &amp; Beverages</x:v>
      </x:c>
      <x:c r="E7905" s="13" t="str">
        <x:v>Agri, Food &amp; Beverages</x:v>
      </x:c>
      <x:c r="F7905" s="13" t="str">
        <x:v>Defensives</x:v>
      </x:c>
      <x:c r="G7905" s="13" t="str">
        <x:v>grid_cqzdsc3v.xlsx</x:v>
      </x:c>
    </x:row>
    <x:row r="7906">
      <x:c r="A7906" s="15" t="n">
        <x:v>44044</x:v>
      </x:c>
      <x:c r="B7906" s="13" t="str">
        <x:v>MBRF GLOBAL FOODS COMPANY SA</x:v>
      </x:c>
      <x:c r="C7906" s="16" t="n">
        <x:v>2086.4534513973</x:v>
      </x:c>
      <x:c r="D7906" s="13" t="str">
        <x:v>Food &amp; Beverages</x:v>
      </x:c>
      <x:c r="E7906" s="13" t="str">
        <x:v>Agri, Food &amp; Beverages</x:v>
      </x:c>
      <x:c r="F7906" s="13" t="str">
        <x:v>Defensives</x:v>
      </x:c>
      <x:c r="G7906" s="13" t="str">
        <x:v>grid_cqzdsc3v.xlsx</x:v>
      </x:c>
    </x:row>
    <x:row r="7907">
      <x:c r="A7907" s="15" t="n">
        <x:v>44044</x:v>
      </x:c>
      <x:c r="B7907" s="13" t="str">
        <x:v>MINERVA SA</x:v>
      </x:c>
      <x:c r="C7907" s="16" t="n">
        <x:v>793.6416438356</x:v>
      </x:c>
      <x:c r="D7907" s="13" t="str">
        <x:v>Food &amp; Beverages</x:v>
      </x:c>
      <x:c r="E7907" s="13" t="str">
        <x:v>Agri, Food &amp; Beverages</x:v>
      </x:c>
      <x:c r="F7907" s="13" t="str">
        <x:v>Defensives</x:v>
      </x:c>
      <x:c r="G7907" s="13" t="str">
        <x:v>grid_cqzdsc3v.xlsx</x:v>
      </x:c>
    </x:row>
    <x:row r="7908">
      <x:c r="A7908" s="15" t="n">
        <x:v>44044</x:v>
      </x:c>
      <x:c r="B7908" s="13" t="str">
        <x:v>FLEURY SA</x:v>
      </x:c>
      <x:c r="C7908" s="16" t="n">
        <x:v>218.6944138521</x:v>
      </x:c>
      <x:c r="D7908" s="13" t="str">
        <x:v>Health Care</x:v>
      </x:c>
      <x:c r="E7908" s="13" t="str">
        <x:v>Health Care</x:v>
      </x:c>
      <x:c r="F7908" s="13" t="str">
        <x:v>Defensives</x:v>
      </x:c>
      <x:c r="G7908" s="13" t="str">
        <x:v>grid_cqzdsc3v.xlsx</x:v>
      </x:c>
    </x:row>
    <x:row r="7909">
      <x:c r="A7909" s="15" t="n">
        <x:v>44044</x:v>
      </x:c>
      <x:c r="B7909" s="13" t="str">
        <x:v>HAPVIDA PARTICIPACOES E INVE</x:v>
      </x:c>
      <x:c r="C7909" s="16" t="n">
        <x:v>1021.8019086027</x:v>
      </x:c>
      <x:c r="D7909" s="13" t="str">
        <x:v>Health Care</x:v>
      </x:c>
      <x:c r="E7909" s="13" t="str">
        <x:v>Health Care</x:v>
      </x:c>
      <x:c r="F7909" s="13" t="str">
        <x:v>Defensives</x:v>
      </x:c>
      <x:c r="G7909" s="13" t="str">
        <x:v>grid_cqzdsc3v.xlsx</x:v>
      </x:c>
    </x:row>
    <x:row r="7910">
      <x:c r="A7910" s="15" t="n">
        <x:v>44044</x:v>
      </x:c>
      <x:c r="B7910" s="13" t="str">
        <x:v>HYPERA SA</x:v>
      </x:c>
      <x:c r="C7910" s="16" t="n">
        <x:v>1314.0578637151</x:v>
      </x:c>
      <x:c r="D7910" s="13" t="str">
        <x:v>Health Care</x:v>
      </x:c>
      <x:c r="E7910" s="13" t="str">
        <x:v>Health Care</x:v>
      </x:c>
      <x:c r="F7910" s="13" t="str">
        <x:v>Defensives</x:v>
      </x:c>
      <x:c r="G7910" s="13" t="str">
        <x:v>grid_cqzdsc3v.xlsx</x:v>
      </x:c>
    </x:row>
    <x:row r="7911">
      <x:c r="A7911" s="15" t="n">
        <x:v>44044</x:v>
      </x:c>
      <x:c r="B7911" s="13" t="str">
        <x:v>NOTRE DAME INTERMED PAR SA</x:v>
      </x:c>
      <x:c r="C7911" s="16" t="n">
        <x:v>833.2991780822</x:v>
      </x:c>
      <x:c r="D7911" s="13" t="str">
        <x:v>Health Care</x:v>
      </x:c>
      <x:c r="E7911" s="13" t="str">
        <x:v>Health Care</x:v>
      </x:c>
      <x:c r="F7911" s="13" t="str">
        <x:v>Defensives</x:v>
      </x:c>
      <x:c r="G7911" s="13" t="str">
        <x:v>grid_cqzdsc3v.xlsx</x:v>
      </x:c>
    </x:row>
    <x:row r="7912">
      <x:c r="A7912" s="15" t="n">
        <x:v>44044</x:v>
      </x:c>
      <x:c r="B7912" s="13" t="str">
        <x:v>QUALICORP CONS E CORR SEG SA</x:v>
      </x:c>
      <x:c r="C7912" s="16" t="n">
        <x:v>491.1232876712</x:v>
      </x:c>
      <x:c r="D7912" s="13" t="str">
        <x:v>Health Care</x:v>
      </x:c>
      <x:c r="E7912" s="13" t="str">
        <x:v>Health Care</x:v>
      </x:c>
      <x:c r="F7912" s="13" t="str">
        <x:v>Defensives</x:v>
      </x:c>
      <x:c r="G7912" s="13" t="str">
        <x:v>grid_cqzdsc3v.xlsx</x:v>
      </x:c>
    </x:row>
    <x:row r="7913">
      <x:c r="A7913" s="15" t="n">
        <x:v>44044</x:v>
      </x:c>
      <x:c r="B7913" s="13" t="str">
        <x:v>SUL AMERICA SA - UNITS</x:v>
      </x:c>
      <x:c r="C7913" s="16" t="n">
        <x:v>1016.8328767123</x:v>
      </x:c>
      <x:c r="D7913" s="13" t="str">
        <x:v>Health Care</x:v>
      </x:c>
      <x:c r="E7913" s="13" t="str">
        <x:v>Health Care</x:v>
      </x:c>
      <x:c r="F7913" s="13" t="str">
        <x:v>Defensives</x:v>
      </x:c>
      <x:c r="G7913" s="13" t="str">
        <x:v>grid_cqzdsc3v.xlsx</x:v>
      </x:c>
    </x:row>
    <x:row r="7914">
      <x:c r="A7914" s="15" t="n">
        <x:v>44044</x:v>
      </x:c>
      <x:c r="B7914" s="13" t="str">
        <x:v>CYRELA BRAZIL REALTY SA EMP</x:v>
      </x:c>
      <x:c r="C7914" s="16" t="n">
        <x:v>420.9635536658</x:v>
      </x:c>
      <x:c r="D7914" s="13" t="str">
        <x:v>Homebuilders</x:v>
      </x:c>
      <x:c r="E7914" s="13" t="str">
        <x:v>Real Estate</x:v>
      </x:c>
      <x:c r="F7914" s="13" t="str">
        <x:v>Early Cyclicals</x:v>
      </x:c>
      <x:c r="G7914" s="13" t="str">
        <x:v>grid_cqzdsc3v.xlsx</x:v>
      </x:c>
    </x:row>
    <x:row r="7915">
      <x:c r="A7915" s="15" t="n">
        <x:v>44044</x:v>
      </x:c>
      <x:c r="B7915" s="13" t="str">
        <x:v>MRV ENGENHARIA</x:v>
      </x:c>
      <x:c r="C7915" s="16" t="n">
        <x:v>679.3147998685</x:v>
      </x:c>
      <x:c r="D7915" s="13" t="str">
        <x:v>Homebuilders</x:v>
      </x:c>
      <x:c r="E7915" s="13" t="str">
        <x:v>Real Estate</x:v>
      </x:c>
      <x:c r="F7915" s="13" t="str">
        <x:v>Early Cyclicals</x:v>
      </x:c>
      <x:c r="G7915" s="13" t="str">
        <x:v>grid_cqzdsc3v.xlsx</x:v>
      </x:c>
    </x:row>
    <x:row r="7916">
      <x:c r="A7916" s="15" t="n">
        <x:v>44044</x:v>
      </x:c>
      <x:c r="B7916" s="13" t="str">
        <x:v>BR MALLS PARTICIPACOES SA</x:v>
      </x:c>
      <x:c r="C7916" s="16" t="n">
        <x:v>482.7816656658</x:v>
      </x:c>
      <x:c r="D7916" s="13" t="str">
        <x:v>Income Properties</x:v>
      </x:c>
      <x:c r="E7916" s="13" t="str">
        <x:v>Real Estate</x:v>
      </x:c>
      <x:c r="F7916" s="13" t="str">
        <x:v>Early Cyclicals</x:v>
      </x:c>
      <x:c r="G7916" s="13" t="str">
        <x:v>grid_cqzdsc3v.xlsx</x:v>
      </x:c>
    </x:row>
    <x:row r="7917">
      <x:c r="A7917" s="15" t="n">
        <x:v>44044</x:v>
      </x:c>
      <x:c r="B7917" s="13" t="str">
        <x:v>IGUATEMI EMP DE SHOPPING</x:v>
      </x:c>
      <x:c r="C7917" s="16" t="n">
        <x:v>191.0798495562</x:v>
      </x:c>
      <x:c r="D7917" s="13" t="str">
        <x:v>Income Properties</x:v>
      </x:c>
      <x:c r="E7917" s="13" t="str">
        <x:v>Real Estate</x:v>
      </x:c>
      <x:c r="F7917" s="13" t="str">
        <x:v>Early Cyclicals</x:v>
      </x:c>
      <x:c r="G7917" s="13" t="str">
        <x:v>grid_cqzdsc3v.xlsx</x:v>
      </x:c>
    </x:row>
    <x:row r="7918">
      <x:c r="A7918" s="15" t="n">
        <x:v>44044</x:v>
      </x:c>
      <x:c r="B7918" s="13" t="str">
        <x:v>MULTIPLAN EMPREENDIMENTOS</x:v>
      </x:c>
      <x:c r="C7918" s="16" t="n">
        <x:v>447.5369863014</x:v>
      </x:c>
      <x:c r="D7918" s="13" t="str">
        <x:v>Income Properties</x:v>
      </x:c>
      <x:c r="E7918" s="13" t="str">
        <x:v>Real Estate</x:v>
      </x:c>
      <x:c r="F7918" s="13" t="str">
        <x:v>Early Cyclicals</x:v>
      </x:c>
      <x:c r="G7918" s="13" t="str">
        <x:v>grid_cqzdsc3v.xlsx</x:v>
      </x:c>
    </x:row>
    <x:row r="7919">
      <x:c r="A7919" s="15" t="n">
        <x:v>44044</x:v>
      </x:c>
      <x:c r="B7919" s="13" t="str">
        <x:v>BRADESPAR SA -PREF</x:v>
      </x:c>
      <x:c r="C7919" s="16" t="n">
        <x:v>2594.3670166794</x:v>
      </x:c>
      <x:c r="D7919" s="13" t="str">
        <x:v>Metals &amp; Mining</x:v>
      </x:c>
      <x:c r="E7919" s="13" t="str">
        <x:v>Metals &amp; Mining</x:v>
      </x:c>
      <x:c r="F7919" s="13" t="str">
        <x:v>Deep Cyclicals</x:v>
      </x:c>
      <x:c r="G7919" s="13" t="str">
        <x:v>grid_cqzdsc3v.xlsx</x:v>
      </x:c>
    </x:row>
    <x:row r="7920">
      <x:c r="A7920" s="15" t="n">
        <x:v>44044</x:v>
      </x:c>
      <x:c r="B7920" s="13" t="str">
        <x:v>CIA SIDERURGICA NACIONAL SA</x:v>
      </x:c>
      <x:c r="C7920" s="16" t="n">
        <x:v>1813.9473674521</x:v>
      </x:c>
      <x:c r="D7920" s="13" t="str">
        <x:v>Metals &amp; Mining</x:v>
      </x:c>
      <x:c r="E7920" s="13" t="str">
        <x:v>Metals &amp; Mining</x:v>
      </x:c>
      <x:c r="F7920" s="13" t="str">
        <x:v>Deep Cyclicals</x:v>
      </x:c>
      <x:c r="G7920" s="13" t="str">
        <x:v>grid_cqzdsc3v.xlsx</x:v>
      </x:c>
    </x:row>
    <x:row r="7921">
      <x:c r="A7921" s="15" t="n">
        <x:v>44044</x:v>
      </x:c>
      <x:c r="B7921" s="13" t="str">
        <x:v>GERDAU SA-PREF</x:v>
      </x:c>
      <x:c r="C7921" s="16" t="n">
        <x:v>1353.4625781479</x:v>
      </x:c>
      <x:c r="D7921" s="13" t="str">
        <x:v>Metals &amp; Mining</x:v>
      </x:c>
      <x:c r="E7921" s="13" t="str">
        <x:v>Metals &amp; Mining</x:v>
      </x:c>
      <x:c r="F7921" s="13" t="str">
        <x:v>Deep Cyclicals</x:v>
      </x:c>
      <x:c r="G7921" s="13" t="str">
        <x:v>grid_cqzdsc3v.xlsx</x:v>
      </x:c>
    </x:row>
    <x:row r="7922">
      <x:c r="A7922" s="15" t="n">
        <x:v>44044</x:v>
      </x:c>
      <x:c r="B7922" s="13" t="str">
        <x:v>USINAS SIDER MINAS GER-PF A</x:v>
      </x:c>
      <x:c r="C7922" s="16" t="n">
        <x:v>120.1110271123</x:v>
      </x:c>
      <x:c r="D7922" s="13" t="str">
        <x:v>Metals &amp; Mining</x:v>
      </x:c>
      <x:c r="E7922" s="13" t="str">
        <x:v>Metals &amp; Mining</x:v>
      </x:c>
      <x:c r="F7922" s="13" t="str">
        <x:v>Deep Cyclicals</x:v>
      </x:c>
      <x:c r="G7922" s="13" t="str">
        <x:v>grid_cqzdsc3v.xlsx</x:v>
      </x:c>
    </x:row>
    <x:row r="7923">
      <x:c r="A7923" s="15" t="n">
        <x:v>44044</x:v>
      </x:c>
      <x:c r="B7923" s="13" t="str">
        <x:v>VALE SA</x:v>
      </x:c>
      <x:c r="C7923" s="16" t="n">
        <x:v>46618.0772232767</x:v>
      </x:c>
      <x:c r="D7923" s="13" t="str">
        <x:v>Metals &amp; Mining</x:v>
      </x:c>
      <x:c r="E7923" s="13" t="str">
        <x:v>Metals &amp; Mining</x:v>
      </x:c>
      <x:c r="F7923" s="13" t="str">
        <x:v>Deep Cyclicals</x:v>
      </x:c>
      <x:c r="G7923" s="13" t="str">
        <x:v>grid_cqzdsc3v.xlsx</x:v>
      </x:c>
    </x:row>
    <x:row r="7924">
      <x:c r="A7924" s="15" t="n">
        <x:v>44044</x:v>
      </x:c>
      <x:c r="B7924" s="13" t="str">
        <x:v>BRASKEM SA-PREF A</x:v>
      </x:c>
      <x:c r="C7924" s="16" t="n">
        <x:v>-1049.6883782137</x:v>
      </x:c>
      <x:c r="D7924" s="13" t="str">
        <x:v>Oil, Gas &amp; Petrochemicals</x:v>
      </x:c>
      <x:c r="E7924" s="13" t="str">
        <x:v>Oil, Gas &amp; Petrochemicals</x:v>
      </x:c>
      <x:c r="F7924" s="13" t="str">
        <x:v>Deep Cyclicals</x:v>
      </x:c>
      <x:c r="G7924" s="13" t="str">
        <x:v>grid_cqzdsc3v.xlsx</x:v>
      </x:c>
    </x:row>
    <x:row r="7925">
      <x:c r="A7925" s="15" t="n">
        <x:v>44044</x:v>
      </x:c>
      <x:c r="B7925" s="13" t="str">
        <x:v>COSAN SA</x:v>
      </x:c>
      <x:c r="C7925" s="16" t="n">
        <x:v>1723.5332443178</x:v>
      </x:c>
      <x:c r="D7925" s="13" t="str">
        <x:v>Oil, Gas &amp; Petrochemicals</x:v>
      </x:c>
      <x:c r="E7925" s="13" t="str">
        <x:v>Oil, Gas &amp; Petrochemicals</x:v>
      </x:c>
      <x:c r="F7925" s="13" t="str">
        <x:v>Deep Cyclicals</x:v>
      </x:c>
      <x:c r="G7925" s="13" t="str">
        <x:v>grid_cqzdsc3v.xlsx</x:v>
      </x:c>
    </x:row>
    <x:row r="7926">
      <x:c r="A7926" s="15" t="n">
        <x:v>44044</x:v>
      </x:c>
      <x:c r="B7926" s="13" t="str">
        <x:v>PETROBRAS - PETROLEO BRAS</x:v>
      </x:c>
      <x:c r="C7926" s="16" t="n">
        <x:v>6956.8558234301</x:v>
      </x:c>
      <x:c r="D7926" s="13" t="str">
        <x:v>Oil, Gas &amp; Petrochemicals</x:v>
      </x:c>
      <x:c r="E7926" s="13" t="str">
        <x:v>Oil, Gas &amp; Petrochemicals</x:v>
      </x:c>
      <x:c r="F7926" s="13" t="str">
        <x:v>Deep Cyclicals</x:v>
      </x:c>
      <x:c r="G7926" s="13" t="str">
        <x:v>grid_cqzdsc3v.xlsx</x:v>
      </x:c>
    </x:row>
    <x:row r="7927">
      <x:c r="A7927" s="15" t="n">
        <x:v>44044</x:v>
      </x:c>
      <x:c r="B7927" s="13" t="str">
        <x:v>ULTRAPAR PARTICIPACOES SA</x:v>
      </x:c>
      <x:c r="C7927" s="16" t="n">
        <x:v>1159.2017905973</x:v>
      </x:c>
      <x:c r="D7927" s="13" t="str">
        <x:v>Oil, Gas &amp; Petrochemicals</x:v>
      </x:c>
      <x:c r="E7927" s="13" t="str">
        <x:v>Oil, Gas &amp; Petrochemicals</x:v>
      </x:c>
      <x:c r="F7927" s="13" t="str">
        <x:v>Deep Cyclicals</x:v>
      </x:c>
      <x:c r="G7927" s="13" t="str">
        <x:v>grid_cqzdsc3v.xlsx</x:v>
      </x:c>
    </x:row>
    <x:row r="7928">
      <x:c r="A7928" s="15" t="n">
        <x:v>44044</x:v>
      </x:c>
      <x:c r="B7928" s="13" t="str">
        <x:v>VIBRA ENERGIA SA</x:v>
      </x:c>
      <x:c r="C7928" s="16" t="n">
        <x:v>1455.0827663781</x:v>
      </x:c>
      <x:c r="D7928" s="13" t="str">
        <x:v>Oil, Gas &amp; Petrochemicals</x:v>
      </x:c>
      <x:c r="E7928" s="13" t="str">
        <x:v>Oil, Gas &amp; Petrochemicals</x:v>
      </x:c>
      <x:c r="F7928" s="13" t="str">
        <x:v>Deep Cyclicals</x:v>
      </x:c>
      <x:c r="G7928" s="13" t="str">
        <x:v>grid_cqzdsc3v.xlsx</x:v>
      </x:c>
    </x:row>
    <x:row r="7929">
      <x:c r="A7929" s="15" t="n">
        <x:v>44044</x:v>
      </x:c>
      <x:c r="B7929" s="13" t="str">
        <x:v>KLABIN SA - UNIT</x:v>
      </x:c>
      <x:c r="C7929" s="16" t="n">
        <x:v>645.4374641973</x:v>
      </x:c>
      <x:c r="D7929" s="13" t="str">
        <x:v>Pulp &amp; Paper</x:v>
      </x:c>
      <x:c r="E7929" s="13" t="str">
        <x:v>Pulp &amp; Paper</x:v>
      </x:c>
      <x:c r="F7929" s="13" t="str">
        <x:v>Deep Cyclicals</x:v>
      </x:c>
      <x:c r="G7929" s="13" t="str">
        <x:v>grid_cqzdsc3v.xlsx</x:v>
      </x:c>
    </x:row>
    <x:row r="7930">
      <x:c r="A7930" s="15" t="n">
        <x:v>44044</x:v>
      </x:c>
      <x:c r="B7930" s="13" t="str">
        <x:v>SUZANO SA</x:v>
      </x:c>
      <x:c r="C7930" s="16" t="n">
        <x:v>-707.7928651397</x:v>
      </x:c>
      <x:c r="D7930" s="13" t="str">
        <x:v>Pulp &amp; Paper</x:v>
      </x:c>
      <x:c r="E7930" s="13" t="str">
        <x:v>Pulp &amp; Paper</x:v>
      </x:c>
      <x:c r="F7930" s="13" t="str">
        <x:v>Deep Cyclicals</x:v>
      </x:c>
      <x:c r="G7930" s="13" t="str">
        <x:v>grid_cqzdsc3v.xlsx</x:v>
      </x:c>
    </x:row>
    <x:row r="7931">
      <x:c r="A7931" s="15" t="n">
        <x:v>44044</x:v>
      </x:c>
      <x:c r="B7931" s="13" t="str">
        <x:v>AMERICANAS SA</x:v>
      </x:c>
      <x:c r="C7931" s="16" t="n">
        <x:v>49.5687534247</x:v>
      </x:c>
      <x:c r="D7931" s="13" t="str">
        <x:v>Retail</x:v>
      </x:c>
      <x:c r="E7931" s="13" t="str">
        <x:v>Retail</x:v>
      </x:c>
      <x:c r="F7931" s="13" t="str">
        <x:v>Early Cyclicals</x:v>
      </x:c>
      <x:c r="G7931" s="13" t="str">
        <x:v>grid_cqzdsc3v.xlsx</x:v>
      </x:c>
    </x:row>
    <x:row r="7932">
      <x:c r="A7932" s="15" t="n">
        <x:v>44044</x:v>
      </x:c>
      <x:c r="B7932" s="13" t="str">
        <x:v>ATACADAO SA</x:v>
      </x:c>
      <x:c r="C7932" s="16" t="n">
        <x:v>2313.1462480658</x:v>
      </x:c>
      <x:c r="D7932" s="13" t="str">
        <x:v>Retail</x:v>
      </x:c>
      <x:c r="E7932" s="13" t="str">
        <x:v>Retail</x:v>
      </x:c>
      <x:c r="F7932" s="13" t="str">
        <x:v>Early Cyclicals</x:v>
      </x:c>
      <x:c r="G7932" s="13" t="str">
        <x:v>grid_cqzdsc3v.xlsx</x:v>
      </x:c>
    </x:row>
    <x:row r="7933">
      <x:c r="A7933" s="15" t="n">
        <x:v>44044</x:v>
      </x:c>
      <x:c r="B7933" s="13" t="str">
        <x:v>CIA BRASILEIRA DE DISTRIBUIC</x:v>
      </x:c>
      <x:c r="C7933" s="16" t="n">
        <x:v>1231.5469361096</x:v>
      </x:c>
      <x:c r="D7933" s="13" t="str">
        <x:v>Retail</x:v>
      </x:c>
      <x:c r="E7933" s="13" t="str">
        <x:v>Retail</x:v>
      </x:c>
      <x:c r="F7933" s="13" t="str">
        <x:v>Early Cyclicals</x:v>
      </x:c>
      <x:c r="G7933" s="13" t="str">
        <x:v>grid_cqzdsc3v.xlsx</x:v>
      </x:c>
    </x:row>
    <x:row r="7934">
      <x:c r="A7934" s="15" t="n">
        <x:v>44044</x:v>
      </x:c>
      <x:c r="B7934" s="13" t="str">
        <x:v>CIA HERING</x:v>
      </x:c>
      <x:c r="C7934" s="16" t="n">
        <x:v>117.4222465753</x:v>
      </x:c>
      <x:c r="D7934" s="13" t="str">
        <x:v>Retail</x:v>
      </x:c>
      <x:c r="E7934" s="13" t="str">
        <x:v>Retail</x:v>
      </x:c>
      <x:c r="F7934" s="13" t="str">
        <x:v>Early Cyclicals</x:v>
      </x:c>
      <x:c r="G7934" s="13" t="str">
        <x:v>grid_cqzdsc3v.xlsx</x:v>
      </x:c>
    </x:row>
    <x:row r="7935">
      <x:c r="A7935" s="15" t="n">
        <x:v>44044</x:v>
      </x:c>
      <x:c r="B7935" s="13" t="str">
        <x:v>GRUPO CASAS BAHIA SA</x:v>
      </x:c>
      <x:c r="C7935" s="16" t="n">
        <x:v>445.0476412493</x:v>
      </x:c>
      <x:c r="D7935" s="13" t="str">
        <x:v>Retail</x:v>
      </x:c>
      <x:c r="E7935" s="13" t="str">
        <x:v>Retail</x:v>
      </x:c>
      <x:c r="F7935" s="13" t="str">
        <x:v>Early Cyclicals</x:v>
      </x:c>
      <x:c r="G7935" s="13" t="str">
        <x:v>grid_cqzdsc3v.xlsx</x:v>
      </x:c>
    </x:row>
    <x:row r="7936">
      <x:c r="A7936" s="15" t="n">
        <x:v>44044</x:v>
      </x:c>
      <x:c r="B7936" s="13" t="str">
        <x:v>LOJAS AMERICANAS SA-PREF</x:v>
      </x:c>
      <x:c r="C7936" s="16" t="n">
        <x:v>976.0799161863</x:v>
      </x:c>
      <x:c r="D7936" s="13" t="str">
        <x:v>Retail</x:v>
      </x:c>
      <x:c r="E7936" s="13" t="str">
        <x:v>Retail</x:v>
      </x:c>
      <x:c r="F7936" s="13" t="str">
        <x:v>Early Cyclicals</x:v>
      </x:c>
      <x:c r="G7936" s="13" t="str">
        <x:v>grid_cqzdsc3v.xlsx</x:v>
      </x:c>
    </x:row>
    <x:row r="7937">
      <x:c r="A7937" s="15" t="n">
        <x:v>44044</x:v>
      </x:c>
      <x:c r="B7937" s="13" t="str">
        <x:v>LOJAS RENNER S.A.</x:v>
      </x:c>
      <x:c r="C7937" s="16" t="n">
        <x:v>1126.5986514411</x:v>
      </x:c>
      <x:c r="D7937" s="13" t="str">
        <x:v>Retail</x:v>
      </x:c>
      <x:c r="E7937" s="13" t="str">
        <x:v>Retail</x:v>
      </x:c>
      <x:c r="F7937" s="13" t="str">
        <x:v>Early Cyclicals</x:v>
      </x:c>
      <x:c r="G7937" s="13" t="str">
        <x:v>grid_cqzdsc3v.xlsx</x:v>
      </x:c>
    </x:row>
    <x:row r="7938">
      <x:c r="A7938" s="15" t="n">
        <x:v>44044</x:v>
      </x:c>
      <x:c r="B7938" s="13" t="str">
        <x:v>MAGAZINE LUIZA SA</x:v>
      </x:c>
      <x:c r="C7938" s="16" t="n">
        <x:v>677.0950903233</x:v>
      </x:c>
      <x:c r="D7938" s="13" t="str">
        <x:v>Retail</x:v>
      </x:c>
      <x:c r="E7938" s="13" t="str">
        <x:v>Retail</x:v>
      </x:c>
      <x:c r="F7938" s="13" t="str">
        <x:v>Early Cyclicals</x:v>
      </x:c>
      <x:c r="G7938" s="13" t="str">
        <x:v>grid_cqzdsc3v.xlsx</x:v>
      </x:c>
    </x:row>
    <x:row r="7939">
      <x:c r="A7939" s="15" t="n">
        <x:v>44044</x:v>
      </x:c>
      <x:c r="B7939" s="13" t="str">
        <x:v>NATURA &amp;CO HOLDING SA</x:v>
      </x:c>
      <x:c r="C7939" s="16" t="n">
        <x:v>497.2794307507</x:v>
      </x:c>
      <x:c r="D7939" s="13" t="str">
        <x:v>Retail</x:v>
      </x:c>
      <x:c r="E7939" s="13" t="str">
        <x:v>Retail</x:v>
      </x:c>
      <x:c r="F7939" s="13" t="str">
        <x:v>Early Cyclicals</x:v>
      </x:c>
      <x:c r="G7939" s="13" t="str">
        <x:v>grid_cqzdsc3v.xlsx</x:v>
      </x:c>
    </x:row>
    <x:row r="7940">
      <x:c r="A7940" s="15" t="n">
        <x:v>44044</x:v>
      </x:c>
      <x:c r="B7940" s="13" t="str">
        <x:v>RAIA DROGASIL SA</x:v>
      </x:c>
      <x:c r="C7940" s="16" t="n">
        <x:v>814.1726186959</x:v>
      </x:c>
      <x:c r="D7940" s="13" t="str">
        <x:v>Retail</x:v>
      </x:c>
      <x:c r="E7940" s="13" t="str">
        <x:v>Retail</x:v>
      </x:c>
      <x:c r="F7940" s="13" t="str">
        <x:v>Early Cyclicals</x:v>
      </x:c>
      <x:c r="G7940" s="13" t="str">
        <x:v>grid_cqzdsc3v.xlsx</x:v>
      </x:c>
    </x:row>
    <x:row r="7941">
      <x:c r="A7941" s="15" t="n">
        <x:v>44044</x:v>
      </x:c>
      <x:c r="B7941" s="13" t="str">
        <x:v>CIA SANEAMENTO BASICO DE SP</x:v>
      </x:c>
      <x:c r="C7941" s="16" t="n">
        <x:v>2714.5435037808</x:v>
      </x:c>
      <x:c r="D7941" s="13" t="str">
        <x:v>Sanitation</x:v>
      </x:c>
      <x:c r="E7941" s="13" t="str">
        <x:v>Utilities</x:v>
      </x:c>
      <x:c r="F7941" s="13" t="str">
        <x:v>Defensives</x:v>
      </x:c>
      <x:c r="G7941" s="13" t="str">
        <x:v>grid_cqzdsc3v.xlsx</x:v>
      </x:c>
    </x:row>
    <x:row r="7942">
      <x:c r="A7942" s="15" t="n">
        <x:v>44044</x:v>
      </x:c>
      <x:c r="B7942" s="13" t="str">
        <x:v>TELEFONICA BRASIL S.A.-PREF</x:v>
      </x:c>
      <x:c r="C7942" s="16" t="n">
        <x:v>5246.3696924055</x:v>
      </x:c>
      <x:c r="D7942" s="13" t="str">
        <x:v>TMT</x:v>
      </x:c>
      <x:c r="E7942" s="13" t="str">
        <x:v>TMT</x:v>
      </x:c>
      <x:c r="F7942" s="13" t="str">
        <x:v>Early Cyclicals</x:v>
      </x:c>
      <x:c r="G7942" s="13" t="str">
        <x:v>grid_cqzdsc3v.xlsx</x:v>
      </x:c>
    </x:row>
    <x:row r="7943">
      <x:c r="A7943" s="15" t="n">
        <x:v>44044</x:v>
      </x:c>
      <x:c r="B7943" s="13" t="str">
        <x:v>TIM SA</x:v>
      </x:c>
      <x:c r="C7943" s="16" t="n">
        <x:v>1854.1429710904</x:v>
      </x:c>
      <x:c r="D7943" s="13" t="str">
        <x:v>TMT</x:v>
      </x:c>
      <x:c r="E7943" s="13" t="str">
        <x:v>TMT</x:v>
      </x:c>
      <x:c r="F7943" s="13" t="str">
        <x:v>Early Cyclicals</x:v>
      </x:c>
      <x:c r="G7943" s="13" t="str">
        <x:v>grid_cqzdsc3v.xlsx</x:v>
      </x:c>
    </x:row>
    <x:row r="7944">
      <x:c r="A7944" s="15" t="n">
        <x:v>44044</x:v>
      </x:c>
      <x:c r="B7944" s="13" t="str">
        <x:v>TOTVS SA</x:v>
      </x:c>
      <x:c r="C7944" s="16" t="n">
        <x:v>352.2202625753</x:v>
      </x:c>
      <x:c r="D7944" s="13" t="str">
        <x:v>TMT</x:v>
      </x:c>
      <x:c r="E7944" s="13" t="str">
        <x:v>TMT</x:v>
      </x:c>
      <x:c r="F7944" s="13" t="str">
        <x:v>Early Cyclicals</x:v>
      </x:c>
      <x:c r="G7944" s="13" t="str">
        <x:v>grid_cqzdsc3v.xlsx</x:v>
      </x:c>
    </x:row>
    <x:row r="7945">
      <x:c r="A7945" s="15" t="n">
        <x:v>44044</x:v>
      </x:c>
      <x:c r="B7945" s="13" t="str">
        <x:v>AZUL SA</x:v>
      </x:c>
      <x:c r="C7945" s="16" t="n">
        <x:v>-2697.1972816657</x:v>
      </x:c>
      <x:c r="D7945" s="13" t="str">
        <x:v>Transportation</x:v>
      </x:c>
      <x:c r="E7945" s="13" t="str">
        <x:v>Transportation</x:v>
      </x:c>
      <x:c r="F7945" s="13" t="str">
        <x:v>Deep Cyclicals</x:v>
      </x:c>
      <x:c r="G7945" s="13" t="str">
        <x:v>grid_cqzdsc3v.xlsx</x:v>
      </x:c>
    </x:row>
    <x:row r="7946">
      <x:c r="A7946" s="15" t="n">
        <x:v>44044</x:v>
      </x:c>
      <x:c r="B7946" s="13" t="str">
        <x:v>ECORODOVIAS INFRA E LOG SA</x:v>
      </x:c>
      <x:c r="C7946" s="16" t="n">
        <x:v>394.7004740384</x:v>
      </x:c>
      <x:c r="D7946" s="13" t="str">
        <x:v>Transportation</x:v>
      </x:c>
      <x:c r="E7946" s="13" t="str">
        <x:v>Transportation</x:v>
      </x:c>
      <x:c r="F7946" s="13" t="str">
        <x:v>Deep Cyclicals</x:v>
      </x:c>
      <x:c r="G7946" s="13" t="str">
        <x:v>grid_cqzdsc3v.xlsx</x:v>
      </x:c>
    </x:row>
    <x:row r="7947">
      <x:c r="A7947" s="15" t="n">
        <x:v>44044</x:v>
      </x:c>
      <x:c r="B7947" s="13" t="str">
        <x:v>GOL LINHAS AEREAS INT SA-PRE</x:v>
      </x:c>
      <x:c r="C7947" s="16" t="n">
        <x:v>-1398.7694612164</x:v>
      </x:c>
      <x:c r="D7947" s="13" t="str">
        <x:v>Transportation</x:v>
      </x:c>
      <x:c r="E7947" s="13" t="str">
        <x:v>Transportation</x:v>
      </x:c>
      <x:c r="F7947" s="13" t="str">
        <x:v>Deep Cyclicals</x:v>
      </x:c>
      <x:c r="G7947" s="13" t="str">
        <x:v>grid_cqzdsc3v.xlsx</x:v>
      </x:c>
    </x:row>
    <x:row r="7948">
      <x:c r="A7948" s="15" t="n">
        <x:v>44044</x:v>
      </x:c>
      <x:c r="B7948" s="13" t="str">
        <x:v>LOCALIZA RENT A CAR</x:v>
      </x:c>
      <x:c r="C7948" s="16" t="n">
        <x:v>872.5102816438</x:v>
      </x:c>
      <x:c r="D7948" s="13" t="str">
        <x:v>Transportation</x:v>
      </x:c>
      <x:c r="E7948" s="13" t="str">
        <x:v>Transportation</x:v>
      </x:c>
      <x:c r="F7948" s="13" t="str">
        <x:v>Deep Cyclicals</x:v>
      </x:c>
      <x:c r="G7948" s="13" t="str">
        <x:v>grid_cqzdsc3v.xlsx</x:v>
      </x:c>
    </x:row>
    <x:row r="7949">
      <x:c r="A7949" s="15" t="n">
        <x:v>44044</x:v>
      </x:c>
      <x:c r="B7949" s="13" t="str">
        <x:v>MOTIVA INFRAESTRUTURA DE MOB</x:v>
      </x:c>
      <x:c r="C7949" s="16" t="n">
        <x:v>1335.1875790904</x:v>
      </x:c>
      <x:c r="D7949" s="13" t="str">
        <x:v>Transportation</x:v>
      </x:c>
      <x:c r="E7949" s="13" t="str">
        <x:v>Transportation</x:v>
      </x:c>
      <x:c r="F7949" s="13" t="str">
        <x:v>Deep Cyclicals</x:v>
      </x:c>
      <x:c r="G7949" s="13" t="str">
        <x:v>grid_cqzdsc3v.xlsx</x:v>
      </x:c>
    </x:row>
    <x:row r="7950">
      <x:c r="A7950" s="15" t="n">
        <x:v>44044</x:v>
      </x:c>
      <x:c r="B7950" s="13" t="str">
        <x:v>RUMO SA</x:v>
      </x:c>
      <x:c r="C7950" s="16" t="n">
        <x:v>1124.7923287671</x:v>
      </x:c>
      <x:c r="D7950" s="13" t="str">
        <x:v>Transportation</x:v>
      </x:c>
      <x:c r="E7950" s="13" t="str">
        <x:v>Transportation</x:v>
      </x:c>
      <x:c r="F7950" s="13" t="str">
        <x:v>Deep Cyclicals</x:v>
      </x:c>
      <x:c r="G7950" s="13" t="str">
        <x:v>grid_cqzdsc3v.xlsx</x:v>
      </x:c>
    </x:row>
    <x:row r="7951">
      <x:c r="A7951" s="15" t="n">
        <x:v>44044</x:v>
      </x:c>
      <x:c r="B7951" s="13" t="str">
        <x:v>AXIA ENERGIA SA</x:v>
      </x:c>
      <x:c r="C7951" s="16" t="n">
        <x:v>7391.2088085041</x:v>
      </x:c>
      <x:c r="D7951" s="13" t="str">
        <x:v>Utilities &amp; Energy</x:v>
      </x:c>
      <x:c r="E7951" s="13" t="str">
        <x:v>Utilities</x:v>
      </x:c>
      <x:c r="F7951" s="13" t="str">
        <x:v>Defensives</x:v>
      </x:c>
      <x:c r="G7951" s="13" t="str">
        <x:v>grid_cqzdsc3v.xlsx</x:v>
      </x:c>
    </x:row>
    <x:row r="7952">
      <x:c r="A7952" s="15" t="n">
        <x:v>44044</x:v>
      </x:c>
      <x:c r="B7952" s="13" t="str">
        <x:v>AXIA ENERGIA-PR B</x:v>
      </x:c>
      <x:c r="C7952" s="16" t="n">
        <x:v>7391.2088085041</x:v>
      </x:c>
      <x:c r="D7952" s="13" t="str">
        <x:v>Utilities &amp; Energy</x:v>
      </x:c>
      <x:c r="E7952" s="13" t="str">
        <x:v>Utilities</x:v>
      </x:c>
      <x:c r="F7952" s="13" t="str">
        <x:v>Defensives</x:v>
      </x:c>
      <x:c r="G7952" s="13" t="str">
        <x:v>grid_cqzdsc3v.xlsx</x:v>
      </x:c>
    </x:row>
    <x:row r="7953">
      <x:c r="A7953" s="15" t="n">
        <x:v>44044</x:v>
      </x:c>
      <x:c r="B7953" s="13" t="str">
        <x:v>CIA ENERGETICA MINAS GER-PRF</x:v>
      </x:c>
      <x:c r="C7953" s="16" t="n">
        <x:v>2386.9576872329</x:v>
      </x:c>
      <x:c r="D7953" s="13" t="str">
        <x:v>Utilities &amp; Energy</x:v>
      </x:c>
      <x:c r="E7953" s="13" t="str">
        <x:v>Utilities</x:v>
      </x:c>
      <x:c r="F7953" s="13" t="str">
        <x:v>Defensives</x:v>
      </x:c>
      <x:c r="G7953" s="13" t="str">
        <x:v>grid_cqzdsc3v.xlsx</x:v>
      </x:c>
    </x:row>
    <x:row r="7954">
      <x:c r="A7954" s="15" t="n">
        <x:v>44044</x:v>
      </x:c>
      <x:c r="B7954" s="13" t="str">
        <x:v>CPFL ENERGIA SA</x:v>
      </x:c>
      <x:c r="C7954" s="16" t="n">
        <x:v>2893.6252731616</x:v>
      </x:c>
      <x:c r="D7954" s="13" t="str">
        <x:v>Utilities &amp; Energy</x:v>
      </x:c>
      <x:c r="E7954" s="13" t="str">
        <x:v>Utilities</x:v>
      </x:c>
      <x:c r="F7954" s="13" t="str">
        <x:v>Defensives</x:v>
      </x:c>
      <x:c r="G7954" s="13" t="str">
        <x:v>grid_cqzdsc3v.xlsx</x:v>
      </x:c>
    </x:row>
    <x:row r="7955">
      <x:c r="A7955" s="15" t="n">
        <x:v>44044</x:v>
      </x:c>
      <x:c r="B7955" s="13" t="str">
        <x:v>EDP - ENERGIAS DO BRASIL SA</x:v>
      </x:c>
      <x:c r="C7955" s="16" t="n">
        <x:v>1151.4534193096</x:v>
      </x:c>
      <x:c r="D7955" s="13" t="str">
        <x:v>Utilities &amp; Energy</x:v>
      </x:c>
      <x:c r="E7955" s="13" t="str">
        <x:v>Utilities</x:v>
      </x:c>
      <x:c r="F7955" s="13" t="str">
        <x:v>Defensives</x:v>
      </x:c>
      <x:c r="G7955" s="13" t="str">
        <x:v>grid_cqzdsc3v.xlsx</x:v>
      </x:c>
    </x:row>
    <x:row r="7956">
      <x:c r="A7956" s="15" t="n">
        <x:v>44044</x:v>
      </x:c>
      <x:c r="B7956" s="13" t="str">
        <x:v>ENERGISA SA-UNITS</x:v>
      </x:c>
      <x:c r="C7956" s="16" t="n">
        <x:v>1304.3534672657</x:v>
      </x:c>
      <x:c r="D7956" s="13" t="str">
        <x:v>Utilities &amp; Energy</x:v>
      </x:c>
      <x:c r="E7956" s="13" t="str">
        <x:v>Utilities</x:v>
      </x:c>
      <x:c r="F7956" s="13" t="str">
        <x:v>Defensives</x:v>
      </x:c>
      <x:c r="G7956" s="13" t="str">
        <x:v>grid_cqzdsc3v.xlsx</x:v>
      </x:c>
    </x:row>
    <x:row r="7957">
      <x:c r="A7957" s="15" t="n">
        <x:v>44044</x:v>
      </x:c>
      <x:c r="B7957" s="13" t="str">
        <x:v>ENGIE BRASIL ENERGIA SA</x:v>
      </x:c>
      <x:c r="C7957" s="16" t="n">
        <x:v>2999.1592763616</x:v>
      </x:c>
      <x:c r="D7957" s="13" t="str">
        <x:v>Utilities &amp; Energy</x:v>
      </x:c>
      <x:c r="E7957" s="13" t="str">
        <x:v>Utilities</x:v>
      </x:c>
      <x:c r="F7957" s="13" t="str">
        <x:v>Defensives</x:v>
      </x:c>
      <x:c r="G7957" s="13" t="str">
        <x:v>grid_cqzdsc3v.xlsx</x:v>
      </x:c>
    </x:row>
    <x:row r="7958">
      <x:c r="A7958" s="15" t="n">
        <x:v>44044</x:v>
      </x:c>
      <x:c r="B7958" s="13" t="str">
        <x:v>EQUATORIAL SA - ORD</x:v>
      </x:c>
      <x:c r="C7958" s="16" t="n">
        <x:v>1680.620050937</x:v>
      </x:c>
      <x:c r="D7958" s="13" t="str">
        <x:v>Utilities &amp; Energy</x:v>
      </x:c>
      <x:c r="E7958" s="13" t="str">
        <x:v>Utilities</x:v>
      </x:c>
      <x:c r="F7958" s="13" t="str">
        <x:v>Defensives</x:v>
      </x:c>
      <x:c r="G7958" s="13" t="str">
        <x:v>grid_cqzdsc3v.xlsx</x:v>
      </x:c>
    </x:row>
    <x:row r="7959">
      <x:c r="A7959" s="15" t="n">
        <x:v>44044</x:v>
      </x:c>
      <x:c r="B7959" s="13" t="str">
        <x:v>TRANSMISSORA ALIANCA DE-UNIT</x:v>
      </x:c>
      <x:c r="C7959" s="16" t="n">
        <x:v>806.0013911671</x:v>
      </x:c>
      <x:c r="D7959" s="13" t="str">
        <x:v>Utilities &amp; Energy</x:v>
      </x:c>
      <x:c r="E7959" s="13" t="str">
        <x:v>Utilities</x:v>
      </x:c>
      <x:c r="F7959" s="13" t="str">
        <x:v>Defensives</x:v>
      </x:c>
      <x:c r="G7959" s="13" t="str">
        <x:v>grid_cqzdsc3v.xlsx</x:v>
      </x:c>
    </x:row>
    <x:row r="7960">
      <x:c r="A7960" s="15" t="n">
        <x:v>44075</x:v>
      </x:c>
      <x:c r="B7960" s="13" t="str">
        <x:v>BANCO BRADESCO S.A.</x:v>
      </x:c>
      <x:c r="C7960" s="16" t="n">
        <x:v>20600.7830948822</x:v>
      </x:c>
      <x:c r="D7960" s="13" t="str">
        <x:v>Banks</x:v>
      </x:c>
      <x:c r="E7960" s="13" t="str">
        <x:v>Banks</x:v>
      </x:c>
      <x:c r="F7960" s="13" t="str">
        <x:v>Financials</x:v>
      </x:c>
      <x:c r="G7960" s="13" t="str">
        <x:v>grid_cqzdsc3v.xlsx</x:v>
      </x:c>
    </x:row>
    <x:row r="7961">
      <x:c r="A7961" s="15" t="n">
        <x:v>44075</x:v>
      </x:c>
      <x:c r="B7961" s="13" t="str">
        <x:v>BANCO BRADESCO SA-PREF</x:v>
      </x:c>
      <x:c r="C7961" s="16" t="n">
        <x:v>20600.7830948822</x:v>
      </x:c>
      <x:c r="D7961" s="13" t="str">
        <x:v>Banks</x:v>
      </x:c>
      <x:c r="E7961" s="13" t="str">
        <x:v>Banks</x:v>
      </x:c>
      <x:c r="F7961" s="13" t="str">
        <x:v>Financials</x:v>
      </x:c>
      <x:c r="G7961" s="13" t="str">
        <x:v>grid_cqzdsc3v.xlsx</x:v>
      </x:c>
    </x:row>
    <x:row r="7962">
      <x:c r="A7962" s="15" t="n">
        <x:v>44075</x:v>
      </x:c>
      <x:c r="B7962" s="13" t="str">
        <x:v>BANCO BTG PACTUAL SA-UNIT</x:v>
      </x:c>
      <x:c r="C7962" s="16" t="n">
        <x:v>3966.4399107507</x:v>
      </x:c>
      <x:c r="D7962" s="13" t="str">
        <x:v>Banks</x:v>
      </x:c>
      <x:c r="E7962" s="13" t="str">
        <x:v>Banks</x:v>
      </x:c>
      <x:c r="F7962" s="13" t="str">
        <x:v>Financials</x:v>
      </x:c>
      <x:c r="G7962" s="13" t="str">
        <x:v>grid_cqzdsc3v.xlsx</x:v>
      </x:c>
    </x:row>
    <x:row r="7963">
      <x:c r="A7963" s="15" t="n">
        <x:v>44075</x:v>
      </x:c>
      <x:c r="B7963" s="13" t="str">
        <x:v>BANCO DO BRASIL S.A.</x:v>
      </x:c>
      <x:c r="C7963" s="16" t="n">
        <x:v>15814.9950926904</x:v>
      </x:c>
      <x:c r="D7963" s="13" t="str">
        <x:v>Banks</x:v>
      </x:c>
      <x:c r="E7963" s="13" t="str">
        <x:v>Banks</x:v>
      </x:c>
      <x:c r="F7963" s="13" t="str">
        <x:v>Financials</x:v>
      </x:c>
      <x:c r="G7963" s="13" t="str">
        <x:v>grid_cqzdsc3v.xlsx</x:v>
      </x:c>
    </x:row>
    <x:row r="7964">
      <x:c r="A7964" s="15" t="n">
        <x:v>44075</x:v>
      </x:c>
      <x:c r="B7964" s="13" t="str">
        <x:v>BANCO SANTANDER  BRASIL-UNIT</x:v>
      </x:c>
      <x:c r="C7964" s="16" t="n">
        <x:v>12701.0288373479</x:v>
      </x:c>
      <x:c r="D7964" s="13" t="str">
        <x:v>Banks</x:v>
      </x:c>
      <x:c r="E7964" s="13" t="str">
        <x:v>Banks</x:v>
      </x:c>
      <x:c r="F7964" s="13" t="str">
        <x:v>Financials</x:v>
      </x:c>
      <x:c r="G7964" s="13" t="str">
        <x:v>grid_cqzdsc3v.xlsx</x:v>
      </x:c>
    </x:row>
    <x:row r="7965">
      <x:c r="A7965" s="15" t="n">
        <x:v>44075</x:v>
      </x:c>
      <x:c r="B7965" s="13" t="str">
        <x:v>ITAU UNIBANCO HOLDING S-PREF</x:v>
      </x:c>
      <x:c r="C7965" s="16" t="n">
        <x:v>22899.4697636822</x:v>
      </x:c>
      <x:c r="D7965" s="13" t="str">
        <x:v>Banks</x:v>
      </x:c>
      <x:c r="E7965" s="13" t="str">
        <x:v>Banks</x:v>
      </x:c>
      <x:c r="F7965" s="13" t="str">
        <x:v>Financials</x:v>
      </x:c>
      <x:c r="G7965" s="13" t="str">
        <x:v>grid_cqzdsc3v.xlsx</x:v>
      </x:c>
    </x:row>
    <x:row r="7966">
      <x:c r="A7966" s="15" t="n">
        <x:v>44075</x:v>
      </x:c>
      <x:c r="B7966" s="13" t="str">
        <x:v>EMBRAER SA</x:v>
      </x:c>
      <x:c r="C7966" s="16" t="n">
        <x:v>-1206.2654286904</x:v>
      </x:c>
      <x:c r="D7966" s="13" t="str">
        <x:v>Capital Goods</x:v>
      </x:c>
      <x:c r="E7966" s="13" t="str">
        <x:v>Capital Goods</x:v>
      </x:c>
      <x:c r="F7966" s="13" t="str">
        <x:v>Deep Cyclicals</x:v>
      </x:c>
      <x:c r="G7966" s="13" t="str">
        <x:v>grid_cqzdsc3v.xlsx</x:v>
      </x:c>
    </x:row>
    <x:row r="7967">
      <x:c r="A7967" s="15" t="n">
        <x:v>44075</x:v>
      </x:c>
      <x:c r="B7967" s="13" t="str">
        <x:v>WEG SA</x:v>
      </x:c>
      <x:c r="C7967" s="16" t="n">
        <x:v>2239.5504268274</x:v>
      </x:c>
      <x:c r="D7967" s="13" t="str">
        <x:v>Capital Goods</x:v>
      </x:c>
      <x:c r="E7967" s="13" t="str">
        <x:v>Capital Goods</x:v>
      </x:c>
      <x:c r="F7967" s="13" t="str">
        <x:v>Deep Cyclicals</x:v>
      </x:c>
      <x:c r="G7967" s="13" t="str">
        <x:v>grid_cqzdsc3v.xlsx</x:v>
      </x:c>
    </x:row>
    <x:row r="7968">
      <x:c r="A7968" s="15" t="n">
        <x:v>44075</x:v>
      </x:c>
      <x:c r="B7968" s="13" t="str">
        <x:v>COGNA EDUCACAO</x:v>
      </x:c>
      <x:c r="C7968" s="16" t="n">
        <x:v>134.4503452055</x:v>
      </x:c>
      <x:c r="D7968" s="13" t="str">
        <x:v>Education</x:v>
      </x:c>
      <x:c r="E7968" s="13" t="str">
        <x:v>Education</x:v>
      </x:c>
      <x:c r="F7968" s="13" t="str">
        <x:v>Early Cyclicals</x:v>
      </x:c>
      <x:c r="G7968" s="13" t="str">
        <x:v>grid_cqzdsc3v.xlsx</x:v>
      </x:c>
    </x:row>
    <x:row r="7969">
      <x:c r="A7969" s="15" t="n">
        <x:v>44075</x:v>
      </x:c>
      <x:c r="B7969" s="13" t="str">
        <x:v>YDUQS PARTICIPACOES SA</x:v>
      </x:c>
      <x:c r="C7969" s="16" t="n">
        <x:v>558.1112328767</x:v>
      </x:c>
      <x:c r="D7969" s="13" t="str">
        <x:v>Education</x:v>
      </x:c>
      <x:c r="E7969" s="13" t="str">
        <x:v>Education</x:v>
      </x:c>
      <x:c r="F7969" s="13" t="str">
        <x:v>Early Cyclicals</x:v>
      </x:c>
      <x:c r="G7969" s="13" t="str">
        <x:v>grid_cqzdsc3v.xlsx</x:v>
      </x:c>
    </x:row>
    <x:row r="7970">
      <x:c r="A7970" s="15" t="n">
        <x:v>44075</x:v>
      </x:c>
      <x:c r="B7970" s="13" t="str">
        <x:v>B3 SA-BRASIL BOLSA BALCAO</x:v>
      </x:c>
      <x:c r="C7970" s="16" t="n">
        <x:v>4585.1434979945</x:v>
      </x:c>
      <x:c r="D7970" s="13" t="str">
        <x:v>Financials Non-Banks</x:v>
      </x:c>
      <x:c r="E7970" s="13" t="str">
        <x:v>Financials Non-Banks</x:v>
      </x:c>
      <x:c r="F7970" s="13" t="str">
        <x:v>Financials</x:v>
      </x:c>
      <x:c r="G7970" s="13" t="str">
        <x:v>grid_cqzdsc3v.xlsx</x:v>
      </x:c>
    </x:row>
    <x:row r="7971">
      <x:c r="A7971" s="15" t="n">
        <x:v>44075</x:v>
      </x:c>
      <x:c r="B7971" s="13" t="str">
        <x:v>BB SEGURIDADE PARTICIPACOES</x:v>
      </x:c>
      <x:c r="C7971" s="16" t="n">
        <x:v>4136.2790673534</x:v>
      </x:c>
      <x:c r="D7971" s="13" t="str">
        <x:v>Financials Non-Banks</x:v>
      </x:c>
      <x:c r="E7971" s="13" t="str">
        <x:v>Financials Non-Banks</x:v>
      </x:c>
      <x:c r="F7971" s="13" t="str">
        <x:v>Financials</x:v>
      </x:c>
      <x:c r="G7971" s="13" t="str">
        <x:v>grid_cqzdsc3v.xlsx</x:v>
      </x:c>
    </x:row>
    <x:row r="7972">
      <x:c r="A7972" s="15" t="n">
        <x:v>44075</x:v>
      </x:c>
      <x:c r="B7972" s="13" t="str">
        <x:v>CIELO SA</x:v>
      </x:c>
      <x:c r="C7972" s="16" t="n">
        <x:v>894.860946937</x:v>
      </x:c>
      <x:c r="D7972" s="13" t="str">
        <x:v>Financials Non-Banks</x:v>
      </x:c>
      <x:c r="E7972" s="13" t="str">
        <x:v>Financials Non-Banks</x:v>
      </x:c>
      <x:c r="F7972" s="13" t="str">
        <x:v>Financials</x:v>
      </x:c>
      <x:c r="G7972" s="13" t="str">
        <x:v>Ibovespa_earnings_consolidated.xlsx</x:v>
      </x:c>
    </x:row>
    <x:row r="7973">
      <x:c r="A7973" s="15" t="n">
        <x:v>44075</x:v>
      </x:c>
      <x:c r="B7973" s="13" t="str">
        <x:v>CIELO SA - INSTITUICAO DE PA</x:v>
      </x:c>
      <x:c r="C7973" s="16" t="n">
        <x:v>894.860946937</x:v>
      </x:c>
      <x:c r="D7973" s="13" t="str">
        <x:v>Financials Non-Banks</x:v>
      </x:c>
      <x:c r="E7973" s="13" t="str">
        <x:v>Financials Non-Banks</x:v>
      </x:c>
      <x:c r="F7973" s="13" t="str">
        <x:v>Financials</x:v>
      </x:c>
      <x:c r="G7973" s="13" t="str">
        <x:v>grid_cqzdsc3v.xlsx</x:v>
      </x:c>
    </x:row>
    <x:row r="7974">
      <x:c r="A7974" s="15" t="n">
        <x:v>44075</x:v>
      </x:c>
      <x:c r="B7974" s="13" t="str">
        <x:v>IRB BRASIL RESSEGUROS SA</x:v>
      </x:c>
      <x:c r="C7974" s="16" t="n">
        <x:v>302.1118805479</x:v>
      </x:c>
      <x:c r="D7974" s="13" t="str">
        <x:v>Financials Non-Banks</x:v>
      </x:c>
      <x:c r="E7974" s="13" t="str">
        <x:v>Financials Non-Banks</x:v>
      </x:c>
      <x:c r="F7974" s="13" t="str">
        <x:v>Financials</x:v>
      </x:c>
      <x:c r="G7974" s="13" t="str">
        <x:v>grid_cqzdsc3v.xlsx</x:v>
      </x:c>
    </x:row>
    <x:row r="7975">
      <x:c r="A7975" s="15" t="n">
        <x:v>44075</x:v>
      </x:c>
      <x:c r="B7975" s="13" t="str">
        <x:v>ITAUSA SA</x:v>
      </x:c>
      <x:c r="C7975" s="16" t="n">
        <x:v>7923.3998483288</x:v>
      </x:c>
      <x:c r="D7975" s="13" t="str">
        <x:v>Financials Non-Banks</x:v>
      </x:c>
      <x:c r="E7975" s="13" t="str">
        <x:v>Financials Non-Banks</x:v>
      </x:c>
      <x:c r="F7975" s="13" t="str">
        <x:v>Financials</x:v>
      </x:c>
      <x:c r="G7975" s="13" t="str">
        <x:v>grid_cqzdsc3v.xlsx</x:v>
      </x:c>
    </x:row>
    <x:row r="7976">
      <x:c r="A7976" s="15" t="n">
        <x:v>44075</x:v>
      </x:c>
      <x:c r="B7976" s="13" t="str">
        <x:v>AMBEV SA</x:v>
      </x:c>
      <x:c r="C7976" s="16" t="n">
        <x:v>10269.6368801315</x:v>
      </x:c>
      <x:c r="D7976" s="13" t="str">
        <x:v>Food &amp; Beverages</x:v>
      </x:c>
      <x:c r="E7976" s="13" t="str">
        <x:v>Agri, Food &amp; Beverages</x:v>
      </x:c>
      <x:c r="F7976" s="13" t="str">
        <x:v>Defensives</x:v>
      </x:c>
      <x:c r="G7976" s="13" t="str">
        <x:v>grid_cqzdsc3v.xlsx</x:v>
      </x:c>
    </x:row>
    <x:row r="7977">
      <x:c r="A7977" s="15" t="n">
        <x:v>44075</x:v>
      </x:c>
      <x:c r="B7977" s="13" t="str">
        <x:v>BRF SA</x:v>
      </x:c>
      <x:c r="C7977" s="16" t="n">
        <x:v>808.0820444932</x:v>
      </x:c>
      <x:c r="D7977" s="13" t="str">
        <x:v>Food &amp; Beverages</x:v>
      </x:c>
      <x:c r="E7977" s="13" t="str">
        <x:v>Agri, Food &amp; Beverages</x:v>
      </x:c>
      <x:c r="F7977" s="13" t="str">
        <x:v>Defensives</x:v>
      </x:c>
      <x:c r="G7977" s="13" t="str">
        <x:v>grid_cqzdsc3v.xlsx</x:v>
      </x:c>
    </x:row>
    <x:row r="7978">
      <x:c r="A7978" s="15" t="n">
        <x:v>44075</x:v>
      </x:c>
      <x:c r="B7978" s="13" t="str">
        <x:v>JBS SA</x:v>
      </x:c>
      <x:c r="C7978" s="16" t="n">
        <x:v>7176.855212537</x:v>
      </x:c>
      <x:c r="D7978" s="13" t="str">
        <x:v>Food &amp; Beverages</x:v>
      </x:c>
      <x:c r="E7978" s="13" t="str">
        <x:v>Agri, Food &amp; Beverages</x:v>
      </x:c>
      <x:c r="F7978" s="13" t="str">
        <x:v>Defensives</x:v>
      </x:c>
      <x:c r="G7978" s="13" t="str">
        <x:v>grid_cqzdsc3v.xlsx</x:v>
      </x:c>
    </x:row>
    <x:row r="7979">
      <x:c r="A7979" s="15" t="n">
        <x:v>44075</x:v>
      </x:c>
      <x:c r="B7979" s="13" t="str">
        <x:v>MBRF GLOBAL FOODS COMPANY SA</x:v>
      </x:c>
      <x:c r="C7979" s="16" t="n">
        <x:v>1992.9328850411</x:v>
      </x:c>
      <x:c r="D7979" s="13" t="str">
        <x:v>Food &amp; Beverages</x:v>
      </x:c>
      <x:c r="E7979" s="13" t="str">
        <x:v>Agri, Food &amp; Beverages</x:v>
      </x:c>
      <x:c r="F7979" s="13" t="str">
        <x:v>Defensives</x:v>
      </x:c>
      <x:c r="G7979" s="13" t="str">
        <x:v>grid_cqzdsc3v.xlsx</x:v>
      </x:c>
    </x:row>
    <x:row r="7980">
      <x:c r="A7980" s="15" t="n">
        <x:v>44075</x:v>
      </x:c>
      <x:c r="B7980" s="13" t="str">
        <x:v>MINERVA SA</x:v>
      </x:c>
      <x:c r="C7980" s="16" t="n">
        <x:v>783.5277687233</x:v>
      </x:c>
      <x:c r="D7980" s="13" t="str">
        <x:v>Food &amp; Beverages</x:v>
      </x:c>
      <x:c r="E7980" s="13" t="str">
        <x:v>Agri, Food &amp; Beverages</x:v>
      </x:c>
      <x:c r="F7980" s="13" t="str">
        <x:v>Defensives</x:v>
      </x:c>
      <x:c r="G7980" s="13" t="str">
        <x:v>grid_cqzdsc3v.xlsx</x:v>
      </x:c>
    </x:row>
    <x:row r="7981">
      <x:c r="A7981" s="15" t="n">
        <x:v>44075</x:v>
      </x:c>
      <x:c r="B7981" s="13" t="str">
        <x:v>FLEURY SA</x:v>
      </x:c>
      <x:c r="C7981" s="16" t="n">
        <x:v>248.996339726</x:v>
      </x:c>
      <x:c r="D7981" s="13" t="str">
        <x:v>Health Care</x:v>
      </x:c>
      <x:c r="E7981" s="13" t="str">
        <x:v>Health Care</x:v>
      </x:c>
      <x:c r="F7981" s="13" t="str">
        <x:v>Defensives</x:v>
      </x:c>
      <x:c r="G7981" s="13" t="str">
        <x:v>grid_cqzdsc3v.xlsx</x:v>
      </x:c>
    </x:row>
    <x:row r="7982">
      <x:c r="A7982" s="15" t="n">
        <x:v>44075</x:v>
      </x:c>
      <x:c r="B7982" s="13" t="str">
        <x:v>HAPVIDA PARTICIPACOES E INVE</x:v>
      </x:c>
      <x:c r="C7982" s="16" t="n">
        <x:v>1051.7056234959</x:v>
      </x:c>
      <x:c r="D7982" s="13" t="str">
        <x:v>Health Care</x:v>
      </x:c>
      <x:c r="E7982" s="13" t="str">
        <x:v>Health Care</x:v>
      </x:c>
      <x:c r="F7982" s="13" t="str">
        <x:v>Defensives</x:v>
      </x:c>
      <x:c r="G7982" s="13" t="str">
        <x:v>grid_cqzdsc3v.xlsx</x:v>
      </x:c>
    </x:row>
    <x:row r="7983">
      <x:c r="A7983" s="15" t="n">
        <x:v>44075</x:v>
      </x:c>
      <x:c r="B7983" s="13" t="str">
        <x:v>HYPERA SA</x:v>
      </x:c>
      <x:c r="C7983" s="16" t="n">
        <x:v>1318.7903333699</x:v>
      </x:c>
      <x:c r="D7983" s="13" t="str">
        <x:v>Health Care</x:v>
      </x:c>
      <x:c r="E7983" s="13" t="str">
        <x:v>Health Care</x:v>
      </x:c>
      <x:c r="F7983" s="13" t="str">
        <x:v>Defensives</x:v>
      </x:c>
      <x:c r="G7983" s="13" t="str">
        <x:v>grid_cqzdsc3v.xlsx</x:v>
      </x:c>
    </x:row>
    <x:row r="7984">
      <x:c r="A7984" s="15" t="n">
        <x:v>44075</x:v>
      </x:c>
      <x:c r="B7984" s="13" t="str">
        <x:v>NOTRE DAME INTERMED PAR SA</x:v>
      </x:c>
      <x:c r="C7984" s="16" t="n">
        <x:v>831.5282191781</x:v>
      </x:c>
      <x:c r="D7984" s="13" t="str">
        <x:v>Health Care</x:v>
      </x:c>
      <x:c r="E7984" s="13" t="str">
        <x:v>Health Care</x:v>
      </x:c>
      <x:c r="F7984" s="13" t="str">
        <x:v>Defensives</x:v>
      </x:c>
      <x:c r="G7984" s="13" t="str">
        <x:v>grid_cqzdsc3v.xlsx</x:v>
      </x:c>
    </x:row>
    <x:row r="7985">
      <x:c r="A7985" s="15" t="n">
        <x:v>44075</x:v>
      </x:c>
      <x:c r="B7985" s="13" t="str">
        <x:v>QUALICORP CONS E CORR SEG SA</x:v>
      </x:c>
      <x:c r="C7985" s="16" t="n">
        <x:v>495.0273972603</x:v>
      </x:c>
      <x:c r="D7985" s="13" t="str">
        <x:v>Health Care</x:v>
      </x:c>
      <x:c r="E7985" s="13" t="str">
        <x:v>Health Care</x:v>
      </x:c>
      <x:c r="F7985" s="13" t="str">
        <x:v>Defensives</x:v>
      </x:c>
      <x:c r="G7985" s="13" t="str">
        <x:v>grid_cqzdsc3v.xlsx</x:v>
      </x:c>
    </x:row>
    <x:row r="7986">
      <x:c r="A7986" s="15" t="n">
        <x:v>44075</x:v>
      </x:c>
      <x:c r="B7986" s="13" t="str">
        <x:v>SUL AMERICA SA - UNITS</x:v>
      </x:c>
      <x:c r="C7986" s="16" t="n">
        <x:v>1172.7501208548</x:v>
      </x:c>
      <x:c r="D7986" s="13" t="str">
        <x:v>Health Care</x:v>
      </x:c>
      <x:c r="E7986" s="13" t="str">
        <x:v>Health Care</x:v>
      </x:c>
      <x:c r="F7986" s="13" t="str">
        <x:v>Defensives</x:v>
      </x:c>
      <x:c r="G7986" s="13" t="str">
        <x:v>grid_cqzdsc3v.xlsx</x:v>
      </x:c>
    </x:row>
    <x:row r="7987">
      <x:c r="A7987" s="15" t="n">
        <x:v>44075</x:v>
      </x:c>
      <x:c r="B7987" s="13" t="str">
        <x:v>CYRELA BRAZIL REALTY SA EMP</x:v>
      </x:c>
      <x:c r="C7987" s="16" t="n">
        <x:v>438.4930037479</x:v>
      </x:c>
      <x:c r="D7987" s="13" t="str">
        <x:v>Homebuilders</x:v>
      </x:c>
      <x:c r="E7987" s="13" t="str">
        <x:v>Real Estate</x:v>
      </x:c>
      <x:c r="F7987" s="13" t="str">
        <x:v>Early Cyclicals</x:v>
      </x:c>
      <x:c r="G7987" s="13" t="str">
        <x:v>grid_cqzdsc3v.xlsx</x:v>
      </x:c>
    </x:row>
    <x:row r="7988">
      <x:c r="A7988" s="15" t="n">
        <x:v>44075</x:v>
      </x:c>
      <x:c r="B7988" s="13" t="str">
        <x:v>EZ TEC EMPREENDIMENTOS E PAR</x:v>
      </x:c>
      <x:c r="C7988" s="16" t="n">
        <x:v>481.7835616438</x:v>
      </x:c>
      <x:c r="D7988" s="13" t="str">
        <x:v>Homebuilders</x:v>
      </x:c>
      <x:c r="E7988" s="13" t="str">
        <x:v>Real Estate</x:v>
      </x:c>
      <x:c r="F7988" s="13" t="str">
        <x:v>Early Cyclicals</x:v>
      </x:c>
      <x:c r="G7988" s="13" t="str">
        <x:v>grid_cqzdsc3v.xlsx</x:v>
      </x:c>
    </x:row>
    <x:row r="7989">
      <x:c r="A7989" s="15" t="n">
        <x:v>44075</x:v>
      </x:c>
      <x:c r="B7989" s="13" t="str">
        <x:v>MRV ENGENHARIA</x:v>
      </x:c>
      <x:c r="C7989" s="16" t="n">
        <x:v>691.4832917041</x:v>
      </x:c>
      <x:c r="D7989" s="13" t="str">
        <x:v>Homebuilders</x:v>
      </x:c>
      <x:c r="E7989" s="13" t="str">
        <x:v>Real Estate</x:v>
      </x:c>
      <x:c r="F7989" s="13" t="str">
        <x:v>Early Cyclicals</x:v>
      </x:c>
      <x:c r="G7989" s="13" t="str">
        <x:v>grid_cqzdsc3v.xlsx</x:v>
      </x:c>
    </x:row>
    <x:row r="7990">
      <x:c r="A7990" s="15" t="n">
        <x:v>44075</x:v>
      </x:c>
      <x:c r="B7990" s="13" t="str">
        <x:v>BR MALLS PARTICIPACOES SA</x:v>
      </x:c>
      <x:c r="C7990" s="16" t="n">
        <x:v>436.6452054795</x:v>
      </x:c>
      <x:c r="D7990" s="13" t="str">
        <x:v>Income Properties</x:v>
      </x:c>
      <x:c r="E7990" s="13" t="str">
        <x:v>Real Estate</x:v>
      </x:c>
      <x:c r="F7990" s="13" t="str">
        <x:v>Early Cyclicals</x:v>
      </x:c>
      <x:c r="G7990" s="13" t="str">
        <x:v>grid_cqzdsc3v.xlsx</x:v>
      </x:c>
    </x:row>
    <x:row r="7991">
      <x:c r="A7991" s="15" t="n">
        <x:v>44075</x:v>
      </x:c>
      <x:c r="B7991" s="13" t="str">
        <x:v>IGUATEMI EMP DE SHOPPING</x:v>
      </x:c>
      <x:c r="C7991" s="16" t="n">
        <x:v>173.6367123288</x:v>
      </x:c>
      <x:c r="D7991" s="13" t="str">
        <x:v>Income Properties</x:v>
      </x:c>
      <x:c r="E7991" s="13" t="str">
        <x:v>Real Estate</x:v>
      </x:c>
      <x:c r="F7991" s="13" t="str">
        <x:v>Early Cyclicals</x:v>
      </x:c>
      <x:c r="G7991" s="13" t="str">
        <x:v>grid_cqzdsc3v.xlsx</x:v>
      </x:c>
    </x:row>
    <x:row r="7992">
      <x:c r="A7992" s="15" t="n">
        <x:v>44075</x:v>
      </x:c>
      <x:c r="B7992" s="13" t="str">
        <x:v>MULTIPLAN EMPREENDIMENTOS</x:v>
      </x:c>
      <x:c r="C7992" s="16" t="n">
        <x:v>420.122739726</x:v>
      </x:c>
      <x:c r="D7992" s="13" t="str">
        <x:v>Income Properties</x:v>
      </x:c>
      <x:c r="E7992" s="13" t="str">
        <x:v>Real Estate</x:v>
      </x:c>
      <x:c r="F7992" s="13" t="str">
        <x:v>Early Cyclicals</x:v>
      </x:c>
      <x:c r="G7992" s="13" t="str">
        <x:v>grid_cqzdsc3v.xlsx</x:v>
      </x:c>
    </x:row>
    <x:row r="7993">
      <x:c r="A7993" s="15" t="n">
        <x:v>44075</x:v>
      </x:c>
      <x:c r="B7993" s="13" t="str">
        <x:v>BRADESPAR SA -PREF</x:v>
      </x:c>
      <x:c r="C7993" s="16" t="n">
        <x:v>2651.3259155288</x:v>
      </x:c>
      <x:c r="D7993" s="13" t="str">
        <x:v>Metals &amp; Mining</x:v>
      </x:c>
      <x:c r="E7993" s="13" t="str">
        <x:v>Metals &amp; Mining</x:v>
      </x:c>
      <x:c r="F7993" s="13" t="str">
        <x:v>Deep Cyclicals</x:v>
      </x:c>
      <x:c r="G7993" s="13" t="str">
        <x:v>grid_cqzdsc3v.xlsx</x:v>
      </x:c>
    </x:row>
    <x:row r="7994">
      <x:c r="A7994" s="15" t="n">
        <x:v>44075</x:v>
      </x:c>
      <x:c r="B7994" s="13" t="str">
        <x:v>CIA SIDERURGICA NACIONAL SA</x:v>
      </x:c>
      <x:c r="C7994" s="16" t="n">
        <x:v>2999.4197251507</x:v>
      </x:c>
      <x:c r="D7994" s="13" t="str">
        <x:v>Metals &amp; Mining</x:v>
      </x:c>
      <x:c r="E7994" s="13" t="str">
        <x:v>Metals &amp; Mining</x:v>
      </x:c>
      <x:c r="F7994" s="13" t="str">
        <x:v>Deep Cyclicals</x:v>
      </x:c>
      <x:c r="G7994" s="13" t="str">
        <x:v>grid_cqzdsc3v.xlsx</x:v>
      </x:c>
    </x:row>
    <x:row r="7995">
      <x:c r="A7995" s="15" t="n">
        <x:v>44075</x:v>
      </x:c>
      <x:c r="B7995" s="13" t="str">
        <x:v>GERDAU SA-PREF</x:v>
      </x:c>
      <x:c r="C7995" s="16" t="n">
        <x:v>1877.1600713644</x:v>
      </x:c>
      <x:c r="D7995" s="13" t="str">
        <x:v>Metals &amp; Mining</x:v>
      </x:c>
      <x:c r="E7995" s="13" t="str">
        <x:v>Metals &amp; Mining</x:v>
      </x:c>
      <x:c r="F7995" s="13" t="str">
        <x:v>Deep Cyclicals</x:v>
      </x:c>
      <x:c r="G7995" s="13" t="str">
        <x:v>grid_cqzdsc3v.xlsx</x:v>
      </x:c>
    </x:row>
    <x:row r="7996">
      <x:c r="A7996" s="15" t="n">
        <x:v>44075</x:v>
      </x:c>
      <x:c r="B7996" s="13" t="str">
        <x:v>USINAS SIDER MINAS GER-PF A</x:v>
      </x:c>
      <x:c r="C7996" s="16" t="n">
        <x:v>402.9268976219</x:v>
      </x:c>
      <x:c r="D7996" s="13" t="str">
        <x:v>Metals &amp; Mining</x:v>
      </x:c>
      <x:c r="E7996" s="13" t="str">
        <x:v>Metals &amp; Mining</x:v>
      </x:c>
      <x:c r="F7996" s="13" t="str">
        <x:v>Deep Cyclicals</x:v>
      </x:c>
      <x:c r="G7996" s="13" t="str">
        <x:v>grid_cqzdsc3v.xlsx</x:v>
      </x:c>
    </x:row>
    <x:row r="7997">
      <x:c r="A7997" s="15" t="n">
        <x:v>44075</x:v>
      </x:c>
      <x:c r="B7997" s="13" t="str">
        <x:v>VALE SA</x:v>
      </x:c>
      <x:c r="C7997" s="16" t="n">
        <x:v>53271.587090937</x:v>
      </x:c>
      <x:c r="D7997" s="13" t="str">
        <x:v>Metals &amp; Mining</x:v>
      </x:c>
      <x:c r="E7997" s="13" t="str">
        <x:v>Metals &amp; Mining</x:v>
      </x:c>
      <x:c r="F7997" s="13" t="str">
        <x:v>Deep Cyclicals</x:v>
      </x:c>
      <x:c r="G7997" s="13" t="str">
        <x:v>grid_cqzdsc3v.xlsx</x:v>
      </x:c>
    </x:row>
    <x:row r="7998">
      <x:c r="A7998" s="15" t="n">
        <x:v>44075</x:v>
      </x:c>
      <x:c r="B7998" s="13" t="str">
        <x:v>BRASKEM SA-PREF A</x:v>
      </x:c>
      <x:c r="C7998" s="16" t="n">
        <x:v>-667.6338589808</x:v>
      </x:c>
      <x:c r="D7998" s="13" t="str">
        <x:v>Oil, Gas &amp; Petrochemicals</x:v>
      </x:c>
      <x:c r="E7998" s="13" t="str">
        <x:v>Oil, Gas &amp; Petrochemicals</x:v>
      </x:c>
      <x:c r="F7998" s="13" t="str">
        <x:v>Deep Cyclicals</x:v>
      </x:c>
      <x:c r="G7998" s="13" t="str">
        <x:v>grid_cqzdsc3v.xlsx</x:v>
      </x:c>
    </x:row>
    <x:row r="7999">
      <x:c r="A7999" s="15" t="n">
        <x:v>44075</x:v>
      </x:c>
      <x:c r="B7999" s="13" t="str">
        <x:v>COSAN SA</x:v>
      </x:c>
      <x:c r="C7999" s="16" t="n">
        <x:v>1724.0204428274</x:v>
      </x:c>
      <x:c r="D7999" s="13" t="str">
        <x:v>Oil, Gas &amp; Petrochemicals</x:v>
      </x:c>
      <x:c r="E7999" s="13" t="str">
        <x:v>Oil, Gas &amp; Petrochemicals</x:v>
      </x:c>
      <x:c r="F7999" s="13" t="str">
        <x:v>Deep Cyclicals</x:v>
      </x:c>
      <x:c r="G7999" s="13" t="str">
        <x:v>grid_cqzdsc3v.xlsx</x:v>
      </x:c>
    </x:row>
    <x:row r="8000">
      <x:c r="A8000" s="15" t="n">
        <x:v>44075</x:v>
      </x:c>
      <x:c r="B8000" s="13" t="str">
        <x:v>PETROBRAS - PETROLEO BRAS</x:v>
      </x:c>
      <x:c r="C8000" s="16" t="n">
        <x:v>11253.9853024438</x:v>
      </x:c>
      <x:c r="D8000" s="13" t="str">
        <x:v>Oil, Gas &amp; Petrochemicals</x:v>
      </x:c>
      <x:c r="E8000" s="13" t="str">
        <x:v>Oil, Gas &amp; Petrochemicals</x:v>
      </x:c>
      <x:c r="F8000" s="13" t="str">
        <x:v>Deep Cyclicals</x:v>
      </x:c>
      <x:c r="G8000" s="13" t="str">
        <x:v>grid_cqzdsc3v.xlsx</x:v>
      </x:c>
    </x:row>
    <x:row r="8001">
      <x:c r="A8001" s="15" t="n">
        <x:v>44075</x:v>
      </x:c>
      <x:c r="B8001" s="13" t="str">
        <x:v>PRIO SA</x:v>
      </x:c>
      <x:c r="C8001" s="16" t="n">
        <x:v>701.1780821918</x:v>
      </x:c>
      <x:c r="D8001" s="13" t="str">
        <x:v>Oil, Gas &amp; Petrochemicals</x:v>
      </x:c>
      <x:c r="E8001" s="13" t="str">
        <x:v>Oil, Gas &amp; Petrochemicals</x:v>
      </x:c>
      <x:c r="F8001" s="13" t="str">
        <x:v>Deep Cyclicals</x:v>
      </x:c>
      <x:c r="G8001" s="13" t="str">
        <x:v>grid_cqzdsc3v.xlsx</x:v>
      </x:c>
    </x:row>
    <x:row r="8002">
      <x:c r="A8002" s="15" t="n">
        <x:v>44075</x:v>
      </x:c>
      <x:c r="B8002" s="13" t="str">
        <x:v>ULTRAPAR PARTICIPACOES SA</x:v>
      </x:c>
      <x:c r="C8002" s="16" t="n">
        <x:v>1187.9234086575</x:v>
      </x:c>
      <x:c r="D8002" s="13" t="str">
        <x:v>Oil, Gas &amp; Petrochemicals</x:v>
      </x:c>
      <x:c r="E8002" s="13" t="str">
        <x:v>Oil, Gas &amp; Petrochemicals</x:v>
      </x:c>
      <x:c r="F8002" s="13" t="str">
        <x:v>Deep Cyclicals</x:v>
      </x:c>
      <x:c r="G8002" s="13" t="str">
        <x:v>grid_cqzdsc3v.xlsx</x:v>
      </x:c>
    </x:row>
    <x:row r="8003">
      <x:c r="A8003" s="15" t="n">
        <x:v>44075</x:v>
      </x:c>
      <x:c r="B8003" s="13" t="str">
        <x:v>VIBRA ENERGIA SA</x:v>
      </x:c>
      <x:c r="C8003" s="16" t="n">
        <x:v>1473.8520905644</x:v>
      </x:c>
      <x:c r="D8003" s="13" t="str">
        <x:v>Oil, Gas &amp; Petrochemicals</x:v>
      </x:c>
      <x:c r="E8003" s="13" t="str">
        <x:v>Oil, Gas &amp; Petrochemicals</x:v>
      </x:c>
      <x:c r="F8003" s="13" t="str">
        <x:v>Deep Cyclicals</x:v>
      </x:c>
      <x:c r="G8003" s="13" t="str">
        <x:v>grid_cqzdsc3v.xlsx</x:v>
      </x:c>
    </x:row>
    <x:row r="8004">
      <x:c r="A8004" s="15" t="n">
        <x:v>44075</x:v>
      </x:c>
      <x:c r="B8004" s="13" t="str">
        <x:v>KLABIN SA - UNIT</x:v>
      </x:c>
      <x:c r="C8004" s="16" t="n">
        <x:v>669.5315182466</x:v>
      </x:c>
      <x:c r="D8004" s="13" t="str">
        <x:v>Pulp &amp; Paper</x:v>
      </x:c>
      <x:c r="E8004" s="13" t="str">
        <x:v>Pulp &amp; Paper</x:v>
      </x:c>
      <x:c r="F8004" s="13" t="str">
        <x:v>Deep Cyclicals</x:v>
      </x:c>
      <x:c r="G8004" s="13" t="str">
        <x:v>grid_cqzdsc3v.xlsx</x:v>
      </x:c>
    </x:row>
    <x:row r="8005">
      <x:c r="A8005" s="15" t="n">
        <x:v>44075</x:v>
      </x:c>
      <x:c r="B8005" s="13" t="str">
        <x:v>SUZANO SA</x:v>
      </x:c>
      <x:c r="C8005" s="16" t="n">
        <x:v>1242.5615486247</x:v>
      </x:c>
      <x:c r="D8005" s="13" t="str">
        <x:v>Pulp &amp; Paper</x:v>
      </x:c>
      <x:c r="E8005" s="13" t="str">
        <x:v>Pulp &amp; Paper</x:v>
      </x:c>
      <x:c r="F8005" s="13" t="str">
        <x:v>Deep Cyclicals</x:v>
      </x:c>
      <x:c r="G8005" s="13" t="str">
        <x:v>grid_cqzdsc3v.xlsx</x:v>
      </x:c>
    </x:row>
    <x:row r="8006">
      <x:c r="A8006" s="15" t="n">
        <x:v>44075</x:v>
      </x:c>
      <x:c r="B8006" s="13" t="str">
        <x:v>AMERICANAS SA</x:v>
      </x:c>
      <x:c r="C8006" s="16" t="n">
        <x:v>37.0287775562</x:v>
      </x:c>
      <x:c r="D8006" s="13" t="str">
        <x:v>Retail</x:v>
      </x:c>
      <x:c r="E8006" s="13" t="str">
        <x:v>Retail</x:v>
      </x:c>
      <x:c r="F8006" s="13" t="str">
        <x:v>Early Cyclicals</x:v>
      </x:c>
      <x:c r="G8006" s="13" t="str">
        <x:v>grid_cqzdsc3v.xlsx</x:v>
      </x:c>
    </x:row>
    <x:row r="8007">
      <x:c r="A8007" s="15" t="n">
        <x:v>44075</x:v>
      </x:c>
      <x:c r="B8007" s="13" t="str">
        <x:v>ATACADAO SA</x:v>
      </x:c>
      <x:c r="C8007" s="16" t="n">
        <x:v>2402.3759065425</x:v>
      </x:c>
      <x:c r="D8007" s="13" t="str">
        <x:v>Retail</x:v>
      </x:c>
      <x:c r="E8007" s="13" t="str">
        <x:v>Retail</x:v>
      </x:c>
      <x:c r="F8007" s="13" t="str">
        <x:v>Early Cyclicals</x:v>
      </x:c>
      <x:c r="G8007" s="13" t="str">
        <x:v>grid_cqzdsc3v.xlsx</x:v>
      </x:c>
    </x:row>
    <x:row r="8008">
      <x:c r="A8008" s="15" t="n">
        <x:v>44075</x:v>
      </x:c>
      <x:c r="B8008" s="13" t="str">
        <x:v>CIA BRASILEIRA DE DISTRIBUIC</x:v>
      </x:c>
      <x:c r="C8008" s="16" t="n">
        <x:v>1271.489805326</x:v>
      </x:c>
      <x:c r="D8008" s="13" t="str">
        <x:v>Retail</x:v>
      </x:c>
      <x:c r="E8008" s="13" t="str">
        <x:v>Retail</x:v>
      </x:c>
      <x:c r="F8008" s="13" t="str">
        <x:v>Early Cyclicals</x:v>
      </x:c>
      <x:c r="G8008" s="13" t="str">
        <x:v>grid_cqzdsc3v.xlsx</x:v>
      </x:c>
    </x:row>
    <x:row r="8009">
      <x:c r="A8009" s="15" t="n">
        <x:v>44075</x:v>
      </x:c>
      <x:c r="B8009" s="13" t="str">
        <x:v>CIA HERING</x:v>
      </x:c>
      <x:c r="C8009" s="16" t="n">
        <x:v>147.1499178082</x:v>
      </x:c>
      <x:c r="D8009" s="13" t="str">
        <x:v>Retail</x:v>
      </x:c>
      <x:c r="E8009" s="13" t="str">
        <x:v>Retail</x:v>
      </x:c>
      <x:c r="F8009" s="13" t="str">
        <x:v>Early Cyclicals</x:v>
      </x:c>
      <x:c r="G8009" s="13" t="str">
        <x:v>grid_cqzdsc3v.xlsx</x:v>
      </x:c>
    </x:row>
    <x:row r="8010">
      <x:c r="A8010" s="15" t="n">
        <x:v>44075</x:v>
      </x:c>
      <x:c r="B8010" s="13" t="str">
        <x:v>GRUPO CASAS BAHIA SA</x:v>
      </x:c>
      <x:c r="C8010" s="16" t="n">
        <x:v>507.5040231452</x:v>
      </x:c>
      <x:c r="D8010" s="13" t="str">
        <x:v>Retail</x:v>
      </x:c>
      <x:c r="E8010" s="13" t="str">
        <x:v>Retail</x:v>
      </x:c>
      <x:c r="F8010" s="13" t="str">
        <x:v>Early Cyclicals</x:v>
      </x:c>
      <x:c r="G8010" s="13" t="str">
        <x:v>grid_cqzdsc3v.xlsx</x:v>
      </x:c>
    </x:row>
    <x:row r="8011">
      <x:c r="A8011" s="15" t="n">
        <x:v>44075</x:v>
      </x:c>
      <x:c r="B8011" s="13" t="str">
        <x:v>LOJAS AMERICANAS SA-PREF</x:v>
      </x:c>
      <x:c r="C8011" s="16" t="n">
        <x:v>979.9379855781</x:v>
      </x:c>
      <x:c r="D8011" s="13" t="str">
        <x:v>Retail</x:v>
      </x:c>
      <x:c r="E8011" s="13" t="str">
        <x:v>Retail</x:v>
      </x:c>
      <x:c r="F8011" s="13" t="str">
        <x:v>Early Cyclicals</x:v>
      </x:c>
      <x:c r="G8011" s="13" t="str">
        <x:v>grid_cqzdsc3v.xlsx</x:v>
      </x:c>
    </x:row>
    <x:row r="8012">
      <x:c r="A8012" s="15" t="n">
        <x:v>44075</x:v>
      </x:c>
      <x:c r="B8012" s="13" t="str">
        <x:v>LOJAS RENNER S.A.</x:v>
      </x:c>
      <x:c r="C8012" s="16" t="n">
        <x:v>1204.3093065644</x:v>
      </x:c>
      <x:c r="D8012" s="13" t="str">
        <x:v>Retail</x:v>
      </x:c>
      <x:c r="E8012" s="13" t="str">
        <x:v>Retail</x:v>
      </x:c>
      <x:c r="F8012" s="13" t="str">
        <x:v>Early Cyclicals</x:v>
      </x:c>
      <x:c r="G8012" s="13" t="str">
        <x:v>grid_cqzdsc3v.xlsx</x:v>
      </x:c>
    </x:row>
    <x:row r="8013">
      <x:c r="A8013" s="15" t="n">
        <x:v>44075</x:v>
      </x:c>
      <x:c r="B8013" s="13" t="str">
        <x:v>MAGAZINE LUIZA SA</x:v>
      </x:c>
      <x:c r="C8013" s="16" t="n">
        <x:v>714.5998607781</x:v>
      </x:c>
      <x:c r="D8013" s="13" t="str">
        <x:v>Retail</x:v>
      </x:c>
      <x:c r="E8013" s="13" t="str">
        <x:v>Retail</x:v>
      </x:c>
      <x:c r="F8013" s="13" t="str">
        <x:v>Early Cyclicals</x:v>
      </x:c>
      <x:c r="G8013" s="13" t="str">
        <x:v>grid_cqzdsc3v.xlsx</x:v>
      </x:c>
    </x:row>
    <x:row r="8014">
      <x:c r="A8014" s="15" t="n">
        <x:v>44075</x:v>
      </x:c>
      <x:c r="B8014" s="13" t="str">
        <x:v>NATURA &amp;CO HOLDING SA</x:v>
      </x:c>
      <x:c r="C8014" s="16" t="n">
        <x:v>549.7095890411</x:v>
      </x:c>
      <x:c r="D8014" s="13" t="str">
        <x:v>Retail</x:v>
      </x:c>
      <x:c r="E8014" s="13" t="str">
        <x:v>Retail</x:v>
      </x:c>
      <x:c r="F8014" s="13" t="str">
        <x:v>Early Cyclicals</x:v>
      </x:c>
      <x:c r="G8014" s="13" t="str">
        <x:v>grid_cqzdsc3v.xlsx</x:v>
      </x:c>
    </x:row>
    <x:row r="8015">
      <x:c r="A8015" s="15" t="n">
        <x:v>44075</x:v>
      </x:c>
      <x:c r="B8015" s="13" t="str">
        <x:v>RAIA DROGASIL SA</x:v>
      </x:c>
      <x:c r="C8015" s="16" t="n">
        <x:v>808.2967622137</x:v>
      </x:c>
      <x:c r="D8015" s="13" t="str">
        <x:v>Retail</x:v>
      </x:c>
      <x:c r="E8015" s="13" t="str">
        <x:v>Retail</x:v>
      </x:c>
      <x:c r="F8015" s="13" t="str">
        <x:v>Early Cyclicals</x:v>
      </x:c>
      <x:c r="G8015" s="13" t="str">
        <x:v>grid_cqzdsc3v.xlsx</x:v>
      </x:c>
    </x:row>
    <x:row r="8016">
      <x:c r="A8016" s="15" t="n">
        <x:v>44075</x:v>
      </x:c>
      <x:c r="B8016" s="13" t="str">
        <x:v>CIA SANEAMENTO BASICO DE SP</x:v>
      </x:c>
      <x:c r="C8016" s="16" t="n">
        <x:v>2867.2204835069</x:v>
      </x:c>
      <x:c r="D8016" s="13" t="str">
        <x:v>Sanitation</x:v>
      </x:c>
      <x:c r="E8016" s="13" t="str">
        <x:v>Utilities</x:v>
      </x:c>
      <x:c r="F8016" s="13" t="str">
        <x:v>Defensives</x:v>
      </x:c>
      <x:c r="G8016" s="13" t="str">
        <x:v>grid_cqzdsc3v.xlsx</x:v>
      </x:c>
    </x:row>
    <x:row r="8017">
      <x:c r="A8017" s="15" t="n">
        <x:v>44075</x:v>
      </x:c>
      <x:c r="B8017" s="13" t="str">
        <x:v>TELEFONICA BRASIL S.A.-PREF</x:v>
      </x:c>
      <x:c r="C8017" s="16" t="n">
        <x:v>5282.2582833096</x:v>
      </x:c>
      <x:c r="D8017" s="13" t="str">
        <x:v>TMT</x:v>
      </x:c>
      <x:c r="E8017" s="13" t="str">
        <x:v>TMT</x:v>
      </x:c>
      <x:c r="F8017" s="13" t="str">
        <x:v>Early Cyclicals</x:v>
      </x:c>
      <x:c r="G8017" s="13" t="str">
        <x:v>grid_cqzdsc3v.xlsx</x:v>
      </x:c>
    </x:row>
    <x:row r="8018">
      <x:c r="A8018" s="15" t="n">
        <x:v>44075</x:v>
      </x:c>
      <x:c r="B8018" s="13" t="str">
        <x:v>TIM SA</x:v>
      </x:c>
      <x:c r="C8018" s="16" t="n">
        <x:v>1899.1811198247</x:v>
      </x:c>
      <x:c r="D8018" s="13" t="str">
        <x:v>TMT</x:v>
      </x:c>
      <x:c r="E8018" s="13" t="str">
        <x:v>TMT</x:v>
      </x:c>
      <x:c r="F8018" s="13" t="str">
        <x:v>Early Cyclicals</x:v>
      </x:c>
      <x:c r="G8018" s="13" t="str">
        <x:v>grid_cqzdsc3v.xlsx</x:v>
      </x:c>
    </x:row>
    <x:row r="8019">
      <x:c r="A8019" s="15" t="n">
        <x:v>44075</x:v>
      </x:c>
      <x:c r="B8019" s="13" t="str">
        <x:v>TOTVS SA</x:v>
      </x:c>
      <x:c r="C8019" s="16" t="n">
        <x:v>348.4200369096</x:v>
      </x:c>
      <x:c r="D8019" s="13" t="str">
        <x:v>TMT</x:v>
      </x:c>
      <x:c r="E8019" s="13" t="str">
        <x:v>TMT</x:v>
      </x:c>
      <x:c r="F8019" s="13" t="str">
        <x:v>Early Cyclicals</x:v>
      </x:c>
      <x:c r="G8019" s="13" t="str">
        <x:v>grid_cqzdsc3v.xlsx</x:v>
      </x:c>
    </x:row>
    <x:row r="8020">
      <x:c r="A8020" s="15" t="n">
        <x:v>44075</x:v>
      </x:c>
      <x:c r="B8020" s="13" t="str">
        <x:v>AZUL SA</x:v>
      </x:c>
      <x:c r="C8020" s="16" t="n">
        <x:v>-2180.0678314082</x:v>
      </x:c>
      <x:c r="D8020" s="13" t="str">
        <x:v>Transportation</x:v>
      </x:c>
      <x:c r="E8020" s="13" t="str">
        <x:v>Transportation</x:v>
      </x:c>
      <x:c r="F8020" s="13" t="str">
        <x:v>Deep Cyclicals</x:v>
      </x:c>
      <x:c r="G8020" s="13" t="str">
        <x:v>grid_cqzdsc3v.xlsx</x:v>
      </x:c>
    </x:row>
    <x:row r="8021">
      <x:c r="A8021" s="15" t="n">
        <x:v>44075</x:v>
      </x:c>
      <x:c r="B8021" s="13" t="str">
        <x:v>ECORODOVIAS INFRA E LOG SA</x:v>
      </x:c>
      <x:c r="C8021" s="16" t="n">
        <x:v>424.7237987068</x:v>
      </x:c>
      <x:c r="D8021" s="13" t="str">
        <x:v>Transportation</x:v>
      </x:c>
      <x:c r="E8021" s="13" t="str">
        <x:v>Transportation</x:v>
      </x:c>
      <x:c r="F8021" s="13" t="str">
        <x:v>Deep Cyclicals</x:v>
      </x:c>
      <x:c r="G8021" s="13" t="str">
        <x:v>grid_cqzdsc3v.xlsx</x:v>
      </x:c>
    </x:row>
    <x:row r="8022">
      <x:c r="A8022" s="15" t="n">
        <x:v>44075</x:v>
      </x:c>
      <x:c r="B8022" s="13" t="str">
        <x:v>GOL LINHAS AEREAS INT SA-PRE</x:v>
      </x:c>
      <x:c r="C8022" s="16" t="n">
        <x:v>-1479.8718500822</x:v>
      </x:c>
      <x:c r="D8022" s="13" t="str">
        <x:v>Transportation</x:v>
      </x:c>
      <x:c r="E8022" s="13" t="str">
        <x:v>Transportation</x:v>
      </x:c>
      <x:c r="F8022" s="13" t="str">
        <x:v>Deep Cyclicals</x:v>
      </x:c>
      <x:c r="G8022" s="13" t="str">
        <x:v>grid_cqzdsc3v.xlsx</x:v>
      </x:c>
    </x:row>
    <x:row r="8023">
      <x:c r="A8023" s="15" t="n">
        <x:v>44075</x:v>
      </x:c>
      <x:c r="B8023" s="13" t="str">
        <x:v>LOCALIZA RENT A CAR</x:v>
      </x:c>
      <x:c r="C8023" s="16" t="n">
        <x:v>1042.8192722411</x:v>
      </x:c>
      <x:c r="D8023" s="13" t="str">
        <x:v>Transportation</x:v>
      </x:c>
      <x:c r="E8023" s="13" t="str">
        <x:v>Transportation</x:v>
      </x:c>
      <x:c r="F8023" s="13" t="str">
        <x:v>Deep Cyclicals</x:v>
      </x:c>
      <x:c r="G8023" s="13" t="str">
        <x:v>grid_cqzdsc3v.xlsx</x:v>
      </x:c>
    </x:row>
    <x:row r="8024">
      <x:c r="A8024" s="15" t="n">
        <x:v>44075</x:v>
      </x:c>
      <x:c r="B8024" s="13" t="str">
        <x:v>MOTIVA INFRAESTRUTURA DE MOB</x:v>
      </x:c>
      <x:c r="C8024" s="16" t="n">
        <x:v>1426.4245998466</x:v>
      </x:c>
      <x:c r="D8024" s="13" t="str">
        <x:v>Transportation</x:v>
      </x:c>
      <x:c r="E8024" s="13" t="str">
        <x:v>Transportation</x:v>
      </x:c>
      <x:c r="F8024" s="13" t="str">
        <x:v>Deep Cyclicals</x:v>
      </x:c>
      <x:c r="G8024" s="13" t="str">
        <x:v>grid_cqzdsc3v.xlsx</x:v>
      </x:c>
    </x:row>
    <x:row r="8025">
      <x:c r="A8025" s="15" t="n">
        <x:v>44075</x:v>
      </x:c>
      <x:c r="B8025" s="13" t="str">
        <x:v>RUMO SA</x:v>
      </x:c>
      <x:c r="C8025" s="16" t="n">
        <x:v>1225.017362937</x:v>
      </x:c>
      <x:c r="D8025" s="13" t="str">
        <x:v>Transportation</x:v>
      </x:c>
      <x:c r="E8025" s="13" t="str">
        <x:v>Transportation</x:v>
      </x:c>
      <x:c r="F8025" s="13" t="str">
        <x:v>Deep Cyclicals</x:v>
      </x:c>
      <x:c r="G8025" s="13" t="str">
        <x:v>grid_cqzdsc3v.xlsx</x:v>
      </x:c>
    </x:row>
    <x:row r="8026">
      <x:c r="A8026" s="15" t="n">
        <x:v>44075</x:v>
      </x:c>
      <x:c r="B8026" s="13" t="str">
        <x:v>AXIA ENERGIA SA</x:v>
      </x:c>
      <x:c r="C8026" s="16" t="n">
        <x:v>6634.2359306521</x:v>
      </x:c>
      <x:c r="D8026" s="13" t="str">
        <x:v>Utilities &amp; Energy</x:v>
      </x:c>
      <x:c r="E8026" s="13" t="str">
        <x:v>Utilities</x:v>
      </x:c>
      <x:c r="F8026" s="13" t="str">
        <x:v>Defensives</x:v>
      </x:c>
      <x:c r="G8026" s="13" t="str">
        <x:v>grid_cqzdsc3v.xlsx</x:v>
      </x:c>
    </x:row>
    <x:row r="8027">
      <x:c r="A8027" s="15" t="n">
        <x:v>44075</x:v>
      </x:c>
      <x:c r="B8027" s="13" t="str">
        <x:v>AXIA ENERGIA-PR B</x:v>
      </x:c>
      <x:c r="C8027" s="16" t="n">
        <x:v>6634.2359306521</x:v>
      </x:c>
      <x:c r="D8027" s="13" t="str">
        <x:v>Utilities &amp; Energy</x:v>
      </x:c>
      <x:c r="E8027" s="13" t="str">
        <x:v>Utilities</x:v>
      </x:c>
      <x:c r="F8027" s="13" t="str">
        <x:v>Defensives</x:v>
      </x:c>
      <x:c r="G8027" s="13" t="str">
        <x:v>grid_cqzdsc3v.xlsx</x:v>
      </x:c>
    </x:row>
    <x:row r="8028">
      <x:c r="A8028" s="15" t="n">
        <x:v>44075</x:v>
      </x:c>
      <x:c r="B8028" s="13" t="str">
        <x:v>CIA ENERGETICA MINAS GER-PRF</x:v>
      </x:c>
      <x:c r="C8028" s="16" t="n">
        <x:v>2599.2256876712</x:v>
      </x:c>
      <x:c r="D8028" s="13" t="str">
        <x:v>Utilities &amp; Energy</x:v>
      </x:c>
      <x:c r="E8028" s="13" t="str">
        <x:v>Utilities</x:v>
      </x:c>
      <x:c r="F8028" s="13" t="str">
        <x:v>Defensives</x:v>
      </x:c>
      <x:c r="G8028" s="13" t="str">
        <x:v>grid_cqzdsc3v.xlsx</x:v>
      </x:c>
    </x:row>
    <x:row r="8029">
      <x:c r="A8029" s="15" t="n">
        <x:v>44075</x:v>
      </x:c>
      <x:c r="B8029" s="13" t="str">
        <x:v>CPFL ENERGIA SA</x:v>
      </x:c>
      <x:c r="C8029" s="16" t="n">
        <x:v>2961.3873972603</x:v>
      </x:c>
      <x:c r="D8029" s="13" t="str">
        <x:v>Utilities &amp; Energy</x:v>
      </x:c>
      <x:c r="E8029" s="13" t="str">
        <x:v>Utilities</x:v>
      </x:c>
      <x:c r="F8029" s="13" t="str">
        <x:v>Defensives</x:v>
      </x:c>
      <x:c r="G8029" s="13" t="str">
        <x:v>grid_cqzdsc3v.xlsx</x:v>
      </x:c>
    </x:row>
    <x:row r="8030">
      <x:c r="A8030" s="15" t="n">
        <x:v>44075</x:v>
      </x:c>
      <x:c r="B8030" s="13" t="str">
        <x:v>EDP - ENERGIAS DO BRASIL SA</x:v>
      </x:c>
      <x:c r="C8030" s="16" t="n">
        <x:v>1196.9698630137</x:v>
      </x:c>
      <x:c r="D8030" s="13" t="str">
        <x:v>Utilities &amp; Energy</x:v>
      </x:c>
      <x:c r="E8030" s="13" t="str">
        <x:v>Utilities</x:v>
      </x:c>
      <x:c r="F8030" s="13" t="str">
        <x:v>Defensives</x:v>
      </x:c>
      <x:c r="G8030" s="13" t="str">
        <x:v>grid_cqzdsc3v.xlsx</x:v>
      </x:c>
    </x:row>
    <x:row r="8031">
      <x:c r="A8031" s="15" t="n">
        <x:v>44075</x:v>
      </x:c>
      <x:c r="B8031" s="13" t="str">
        <x:v>ENERGISA SA-UNITS</x:v>
      </x:c>
      <x:c r="C8031" s="16" t="n">
        <x:v>1333.8650683616</x:v>
      </x:c>
      <x:c r="D8031" s="13" t="str">
        <x:v>Utilities &amp; Energy</x:v>
      </x:c>
      <x:c r="E8031" s="13" t="str">
        <x:v>Utilities</x:v>
      </x:c>
      <x:c r="F8031" s="13" t="str">
        <x:v>Defensives</x:v>
      </x:c>
      <x:c r="G8031" s="13" t="str">
        <x:v>grid_cqzdsc3v.xlsx</x:v>
      </x:c>
    </x:row>
    <x:row r="8032">
      <x:c r="A8032" s="15" t="n">
        <x:v>44075</x:v>
      </x:c>
      <x:c r="B8032" s="13" t="str">
        <x:v>ENGIE BRASIL ENERGIA SA</x:v>
      </x:c>
      <x:c r="C8032" s="16" t="n">
        <x:v>3000.7432612822</x:v>
      </x:c>
      <x:c r="D8032" s="13" t="str">
        <x:v>Utilities &amp; Energy</x:v>
      </x:c>
      <x:c r="E8032" s="13" t="str">
        <x:v>Utilities</x:v>
      </x:c>
      <x:c r="F8032" s="13" t="str">
        <x:v>Defensives</x:v>
      </x:c>
      <x:c r="G8032" s="13" t="str">
        <x:v>grid_cqzdsc3v.xlsx</x:v>
      </x:c>
    </x:row>
    <x:row r="8033">
      <x:c r="A8033" s="15" t="n">
        <x:v>44075</x:v>
      </x:c>
      <x:c r="B8033" s="13" t="str">
        <x:v>EQUATORIAL SA - ORD</x:v>
      </x:c>
      <x:c r="C8033" s="16" t="n">
        <x:v>1647.3492750027</x:v>
      </x:c>
      <x:c r="D8033" s="13" t="str">
        <x:v>Utilities &amp; Energy</x:v>
      </x:c>
      <x:c r="E8033" s="13" t="str">
        <x:v>Utilities</x:v>
      </x:c>
      <x:c r="F8033" s="13" t="str">
        <x:v>Defensives</x:v>
      </x:c>
      <x:c r="G8033" s="13" t="str">
        <x:v>grid_cqzdsc3v.xlsx</x:v>
      </x:c>
    </x:row>
    <x:row r="8034">
      <x:c r="A8034" s="15" t="n">
        <x:v>44075</x:v>
      </x:c>
      <x:c r="B8034" s="13" t="str">
        <x:v>TRANSMISSORA ALIANCA DE-UNIT</x:v>
      </x:c>
      <x:c r="C8034" s="16" t="n">
        <x:v>824.7379855781</x:v>
      </x:c>
      <x:c r="D8034" s="13" t="str">
        <x:v>Utilities &amp; Energy</x:v>
      </x:c>
      <x:c r="E8034" s="13" t="str">
        <x:v>Utilities</x:v>
      </x:c>
      <x:c r="F8034" s="13" t="str">
        <x:v>Defensives</x:v>
      </x:c>
      <x:c r="G8034" s="13" t="str">
        <x:v>grid_cqzdsc3v.xlsx</x:v>
      </x:c>
    </x:row>
    <x:row r="8035">
      <x:c r="A8035" s="15" t="n">
        <x:v>44105</x:v>
      </x:c>
      <x:c r="B8035" s="13" t="str">
        <x:v>BANCO BRADESCO S.A.</x:v>
      </x:c>
      <x:c r="C8035" s="16" t="n">
        <x:v>21813.3849073973</x:v>
      </x:c>
      <x:c r="D8035" s="13" t="str">
        <x:v>Banks</x:v>
      </x:c>
      <x:c r="E8035" s="13" t="str">
        <x:v>Banks</x:v>
      </x:c>
      <x:c r="F8035" s="13" t="str">
        <x:v>Financials</x:v>
      </x:c>
      <x:c r="G8035" s="13" t="str">
        <x:v>grid_cqzdsc3v.xlsx</x:v>
      </x:c>
    </x:row>
    <x:row r="8036">
      <x:c r="A8036" s="15" t="n">
        <x:v>44105</x:v>
      </x:c>
      <x:c r="B8036" s="13" t="str">
        <x:v>BANCO BRADESCO SA-PREF</x:v>
      </x:c>
      <x:c r="C8036" s="16" t="n">
        <x:v>21813.3849073973</x:v>
      </x:c>
      <x:c r="D8036" s="13" t="str">
        <x:v>Banks</x:v>
      </x:c>
      <x:c r="E8036" s="13" t="str">
        <x:v>Banks</x:v>
      </x:c>
      <x:c r="F8036" s="13" t="str">
        <x:v>Financials</x:v>
      </x:c>
      <x:c r="G8036" s="13" t="str">
        <x:v>grid_cqzdsc3v.xlsx</x:v>
      </x:c>
    </x:row>
    <x:row r="8037">
      <x:c r="A8037" s="15" t="n">
        <x:v>44105</x:v>
      </x:c>
      <x:c r="B8037" s="13" t="str">
        <x:v>BANCO BTG PACTUAL SA-UNIT</x:v>
      </x:c>
      <x:c r="C8037" s="16" t="n">
        <x:v>4172.8959137315</x:v>
      </x:c>
      <x:c r="D8037" s="13" t="str">
        <x:v>Banks</x:v>
      </x:c>
      <x:c r="E8037" s="13" t="str">
        <x:v>Banks</x:v>
      </x:c>
      <x:c r="F8037" s="13" t="str">
        <x:v>Financials</x:v>
      </x:c>
      <x:c r="G8037" s="13" t="str">
        <x:v>grid_cqzdsc3v.xlsx</x:v>
      </x:c>
    </x:row>
    <x:row r="8038">
      <x:c r="A8038" s="15" t="n">
        <x:v>44105</x:v>
      </x:c>
      <x:c r="B8038" s="13" t="str">
        <x:v>BANCO DO BRASIL S.A.</x:v>
      </x:c>
      <x:c r="C8038" s="16" t="n">
        <x:v>15868.6154499507</x:v>
      </x:c>
      <x:c r="D8038" s="13" t="str">
        <x:v>Banks</x:v>
      </x:c>
      <x:c r="E8038" s="13" t="str">
        <x:v>Banks</x:v>
      </x:c>
      <x:c r="F8038" s="13" t="str">
        <x:v>Financials</x:v>
      </x:c>
      <x:c r="G8038" s="13" t="str">
        <x:v>grid_cqzdsc3v.xlsx</x:v>
      </x:c>
    </x:row>
    <x:row r="8039">
      <x:c r="A8039" s="15" t="n">
        <x:v>44105</x:v>
      </x:c>
      <x:c r="B8039" s="13" t="str">
        <x:v>BANCO SANTANDER  BRASIL-UNIT</x:v>
      </x:c>
      <x:c r="C8039" s="16" t="n">
        <x:v>13218.3555001863</x:v>
      </x:c>
      <x:c r="D8039" s="13" t="str">
        <x:v>Banks</x:v>
      </x:c>
      <x:c r="E8039" s="13" t="str">
        <x:v>Banks</x:v>
      </x:c>
      <x:c r="F8039" s="13" t="str">
        <x:v>Financials</x:v>
      </x:c>
      <x:c r="G8039" s="13" t="str">
        <x:v>grid_cqzdsc3v.xlsx</x:v>
      </x:c>
    </x:row>
    <x:row r="8040">
      <x:c r="A8040" s="15" t="n">
        <x:v>44105</x:v>
      </x:c>
      <x:c r="B8040" s="13" t="str">
        <x:v>ITAU UNIBANCO HOLDING S-PREF</x:v>
      </x:c>
      <x:c r="C8040" s="16" t="n">
        <x:v>23513.4877022685</x:v>
      </x:c>
      <x:c r="D8040" s="13" t="str">
        <x:v>Banks</x:v>
      </x:c>
      <x:c r="E8040" s="13" t="str">
        <x:v>Banks</x:v>
      </x:c>
      <x:c r="F8040" s="13" t="str">
        <x:v>Financials</x:v>
      </x:c>
      <x:c r="G8040" s="13" t="str">
        <x:v>grid_cqzdsc3v.xlsx</x:v>
      </x:c>
    </x:row>
    <x:row r="8041">
      <x:c r="A8041" s="15" t="n">
        <x:v>44105</x:v>
      </x:c>
      <x:c r="B8041" s="13" t="str">
        <x:v>EMBRAER SA</x:v>
      </x:c>
      <x:c r="C8041" s="16" t="n">
        <x:v>-1126.0749182247</x:v>
      </x:c>
      <x:c r="D8041" s="13" t="str">
        <x:v>Capital Goods</x:v>
      </x:c>
      <x:c r="E8041" s="13" t="str">
        <x:v>Capital Goods</x:v>
      </x:c>
      <x:c r="F8041" s="13" t="str">
        <x:v>Deep Cyclicals</x:v>
      </x:c>
      <x:c r="G8041" s="13" t="str">
        <x:v>grid_cqzdsc3v.xlsx</x:v>
      </x:c>
    </x:row>
    <x:row r="8042">
      <x:c r="A8042" s="15" t="n">
        <x:v>44105</x:v>
      </x:c>
      <x:c r="B8042" s="13" t="str">
        <x:v>WEG SA</x:v>
      </x:c>
      <x:c r="C8042" s="16" t="n">
        <x:v>2508.0816969644</x:v>
      </x:c>
      <x:c r="D8042" s="13" t="str">
        <x:v>Capital Goods</x:v>
      </x:c>
      <x:c r="E8042" s="13" t="str">
        <x:v>Capital Goods</x:v>
      </x:c>
      <x:c r="F8042" s="13" t="str">
        <x:v>Deep Cyclicals</x:v>
      </x:c>
      <x:c r="G8042" s="13" t="str">
        <x:v>grid_cqzdsc3v.xlsx</x:v>
      </x:c>
    </x:row>
    <x:row r="8043">
      <x:c r="A8043" s="15" t="n">
        <x:v>44105</x:v>
      </x:c>
      <x:c r="B8043" s="13" t="str">
        <x:v>COGNA EDUCACAO</x:v>
      </x:c>
      <x:c r="C8043" s="16" t="n">
        <x:v>217.5705972603</x:v>
      </x:c>
      <x:c r="D8043" s="13" t="str">
        <x:v>Education</x:v>
      </x:c>
      <x:c r="E8043" s="13" t="str">
        <x:v>Education</x:v>
      </x:c>
      <x:c r="F8043" s="13" t="str">
        <x:v>Early Cyclicals</x:v>
      </x:c>
      <x:c r="G8043" s="13" t="str">
        <x:v>grid_cqzdsc3v.xlsx</x:v>
      </x:c>
    </x:row>
    <x:row r="8044">
      <x:c r="A8044" s="15" t="n">
        <x:v>44105</x:v>
      </x:c>
      <x:c r="B8044" s="13" t="str">
        <x:v>YDUQS PARTICIPACOES SA</x:v>
      </x:c>
      <x:c r="C8044" s="16" t="n">
        <x:v>549.5339632219</x:v>
      </x:c>
      <x:c r="D8044" s="13" t="str">
        <x:v>Education</x:v>
      </x:c>
      <x:c r="E8044" s="13" t="str">
        <x:v>Education</x:v>
      </x:c>
      <x:c r="F8044" s="13" t="str">
        <x:v>Early Cyclicals</x:v>
      </x:c>
      <x:c r="G8044" s="13" t="str">
        <x:v>grid_cqzdsc3v.xlsx</x:v>
      </x:c>
    </x:row>
    <x:row r="8045">
      <x:c r="A8045" s="15" t="n">
        <x:v>44105</x:v>
      </x:c>
      <x:c r="B8045" s="13" t="str">
        <x:v>B3 SA-BRASIL BOLSA BALCAO</x:v>
      </x:c>
      <x:c r="C8045" s="16" t="n">
        <x:v>4656.3778700274</x:v>
      </x:c>
      <x:c r="D8045" s="13" t="str">
        <x:v>Financials Non-Banks</x:v>
      </x:c>
      <x:c r="E8045" s="13" t="str">
        <x:v>Financials Non-Banks</x:v>
      </x:c>
      <x:c r="F8045" s="13" t="str">
        <x:v>Financials</x:v>
      </x:c>
      <x:c r="G8045" s="13" t="str">
        <x:v>grid_cqzdsc3v.xlsx</x:v>
      </x:c>
    </x:row>
    <x:row r="8046">
      <x:c r="A8046" s="15" t="n">
        <x:v>44105</x:v>
      </x:c>
      <x:c r="B8046" s="13" t="str">
        <x:v>BB SEGURIDADE PARTICIPACOES</x:v>
      </x:c>
      <x:c r="C8046" s="16" t="n">
        <x:v>4176.8107744438</x:v>
      </x:c>
      <x:c r="D8046" s="13" t="str">
        <x:v>Financials Non-Banks</x:v>
      </x:c>
      <x:c r="E8046" s="13" t="str">
        <x:v>Financials Non-Banks</x:v>
      </x:c>
      <x:c r="F8046" s="13" t="str">
        <x:v>Financials</x:v>
      </x:c>
      <x:c r="G8046" s="13" t="str">
        <x:v>grid_cqzdsc3v.xlsx</x:v>
      </x:c>
    </x:row>
    <x:row r="8047">
      <x:c r="A8047" s="15" t="n">
        <x:v>44105</x:v>
      </x:c>
      <x:c r="B8047" s="13" t="str">
        <x:v>CIELO SA</x:v>
      </x:c>
      <x:c r="C8047" s="16" t="n">
        <x:v>834.4833753425</x:v>
      </x:c>
      <x:c r="D8047" s="13" t="str">
        <x:v>Financials Non-Banks</x:v>
      </x:c>
      <x:c r="E8047" s="13" t="str">
        <x:v>Financials Non-Banks</x:v>
      </x:c>
      <x:c r="F8047" s="13" t="str">
        <x:v>Financials</x:v>
      </x:c>
      <x:c r="G8047" s="13" t="str">
        <x:v>Ibovespa_earnings_consolidated.xlsx</x:v>
      </x:c>
    </x:row>
    <x:row r="8048">
      <x:c r="A8048" s="15" t="n">
        <x:v>44105</x:v>
      </x:c>
      <x:c r="B8048" s="13" t="str">
        <x:v>CIELO SA - INSTITUICAO DE PA</x:v>
      </x:c>
      <x:c r="C8048" s="16" t="n">
        <x:v>834.4833753425</x:v>
      </x:c>
      <x:c r="D8048" s="13" t="str">
        <x:v>Financials Non-Banks</x:v>
      </x:c>
      <x:c r="E8048" s="13" t="str">
        <x:v>Financials Non-Banks</x:v>
      </x:c>
      <x:c r="F8048" s="13" t="str">
        <x:v>Financials</x:v>
      </x:c>
      <x:c r="G8048" s="13" t="str">
        <x:v>grid_cqzdsc3v.xlsx</x:v>
      </x:c>
    </x:row>
    <x:row r="8049">
      <x:c r="A8049" s="15" t="n">
        <x:v>44105</x:v>
      </x:c>
      <x:c r="B8049" s="13" t="str">
        <x:v>IRB BRASIL RESSEGUROS SA</x:v>
      </x:c>
      <x:c r="C8049" s="16" t="n">
        <x:v>131.5835616438</x:v>
      </x:c>
      <x:c r="D8049" s="13" t="str">
        <x:v>Financials Non-Banks</x:v>
      </x:c>
      <x:c r="E8049" s="13" t="str">
        <x:v>Financials Non-Banks</x:v>
      </x:c>
      <x:c r="F8049" s="13" t="str">
        <x:v>Financials</x:v>
      </x:c>
      <x:c r="G8049" s="13" t="str">
        <x:v>grid_cqzdsc3v.xlsx</x:v>
      </x:c>
    </x:row>
    <x:row r="8050">
      <x:c r="A8050" s="15" t="n">
        <x:v>44105</x:v>
      </x:c>
      <x:c r="B8050" s="13" t="str">
        <x:v>ITAUSA SA</x:v>
      </x:c>
      <x:c r="C8050" s="16" t="n">
        <x:v>8441.7888817096</x:v>
      </x:c>
      <x:c r="D8050" s="13" t="str">
        <x:v>Financials Non-Banks</x:v>
      </x:c>
      <x:c r="E8050" s="13" t="str">
        <x:v>Financials Non-Banks</x:v>
      </x:c>
      <x:c r="F8050" s="13" t="str">
        <x:v>Financials</x:v>
      </x:c>
      <x:c r="G8050" s="13" t="str">
        <x:v>grid_cqzdsc3v.xlsx</x:v>
      </x:c>
    </x:row>
    <x:row r="8051">
      <x:c r="A8051" s="15" t="n">
        <x:v>44105</x:v>
      </x:c>
      <x:c r="B8051" s="13" t="str">
        <x:v>AMBEV SA</x:v>
      </x:c>
      <x:c r="C8051" s="16" t="n">
        <x:v>10740.4978035726</x:v>
      </x:c>
      <x:c r="D8051" s="13" t="str">
        <x:v>Food &amp; Beverages</x:v>
      </x:c>
      <x:c r="E8051" s="13" t="str">
        <x:v>Agri, Food &amp; Beverages</x:v>
      </x:c>
      <x:c r="F8051" s="13" t="str">
        <x:v>Defensives</x:v>
      </x:c>
      <x:c r="G8051" s="13" t="str">
        <x:v>grid_cqzdsc3v.xlsx</x:v>
      </x:c>
    </x:row>
    <x:row r="8052">
      <x:c r="A8052" s="15" t="n">
        <x:v>44105</x:v>
      </x:c>
      <x:c r="B8052" s="13" t="str">
        <x:v>BRF SA</x:v>
      </x:c>
      <x:c r="C8052" s="16" t="n">
        <x:v>967.5331506849</x:v>
      </x:c>
      <x:c r="D8052" s="13" t="str">
        <x:v>Food &amp; Beverages</x:v>
      </x:c>
      <x:c r="E8052" s="13" t="str">
        <x:v>Agri, Food &amp; Beverages</x:v>
      </x:c>
      <x:c r="F8052" s="13" t="str">
        <x:v>Defensives</x:v>
      </x:c>
      <x:c r="G8052" s="13" t="str">
        <x:v>grid_cqzdsc3v.xlsx</x:v>
      </x:c>
    </x:row>
    <x:row r="8053">
      <x:c r="A8053" s="15" t="n">
        <x:v>44105</x:v>
      </x:c>
      <x:c r="B8053" s="13" t="str">
        <x:v>JBS SA</x:v>
      </x:c>
      <x:c r="C8053" s="16" t="n">
        <x:v>7387.6830642849</x:v>
      </x:c>
      <x:c r="D8053" s="13" t="str">
        <x:v>Food &amp; Beverages</x:v>
      </x:c>
      <x:c r="E8053" s="13" t="str">
        <x:v>Agri, Food &amp; Beverages</x:v>
      </x:c>
      <x:c r="F8053" s="13" t="str">
        <x:v>Defensives</x:v>
      </x:c>
      <x:c r="G8053" s="13" t="str">
        <x:v>grid_cqzdsc3v.xlsx</x:v>
      </x:c>
    </x:row>
    <x:row r="8054">
      <x:c r="A8054" s="15" t="n">
        <x:v>44105</x:v>
      </x:c>
      <x:c r="B8054" s="13" t="str">
        <x:v>MBRF GLOBAL FOODS COMPANY SA</x:v>
      </x:c>
      <x:c r="C8054" s="16" t="n">
        <x:v>2103.5438963726</x:v>
      </x:c>
      <x:c r="D8054" s="13" t="str">
        <x:v>Food &amp; Beverages</x:v>
      </x:c>
      <x:c r="E8054" s="13" t="str">
        <x:v>Agri, Food &amp; Beverages</x:v>
      </x:c>
      <x:c r="F8054" s="13" t="str">
        <x:v>Defensives</x:v>
      </x:c>
      <x:c r="G8054" s="13" t="str">
        <x:v>grid_cqzdsc3v.xlsx</x:v>
      </x:c>
    </x:row>
    <x:row r="8055">
      <x:c r="A8055" s="15" t="n">
        <x:v>44105</x:v>
      </x:c>
      <x:c r="B8055" s="13" t="str">
        <x:v>MINERVA SA</x:v>
      </x:c>
      <x:c r="C8055" s="16" t="n">
        <x:v>901.3524504548</x:v>
      </x:c>
      <x:c r="D8055" s="13" t="str">
        <x:v>Food &amp; Beverages</x:v>
      </x:c>
      <x:c r="E8055" s="13" t="str">
        <x:v>Agri, Food &amp; Beverages</x:v>
      </x:c>
      <x:c r="F8055" s="13" t="str">
        <x:v>Defensives</x:v>
      </x:c>
      <x:c r="G8055" s="13" t="str">
        <x:v>grid_cqzdsc3v.xlsx</x:v>
      </x:c>
    </x:row>
    <x:row r="8056">
      <x:c r="A8056" s="15" t="n">
        <x:v>44105</x:v>
      </x:c>
      <x:c r="B8056" s="13" t="str">
        <x:v>FLEURY SA</x:v>
      </x:c>
      <x:c r="C8056" s="16" t="n">
        <x:v>238.8030136986</x:v>
      </x:c>
      <x:c r="D8056" s="13" t="str">
        <x:v>Health Care</x:v>
      </x:c>
      <x:c r="E8056" s="13" t="str">
        <x:v>Health Care</x:v>
      </x:c>
      <x:c r="F8056" s="13" t="str">
        <x:v>Defensives</x:v>
      </x:c>
      <x:c r="G8056" s="13" t="str">
        <x:v>grid_cqzdsc3v.xlsx</x:v>
      </x:c>
    </x:row>
    <x:row r="8057">
      <x:c r="A8057" s="15" t="n">
        <x:v>44105</x:v>
      </x:c>
      <x:c r="B8057" s="13" t="str">
        <x:v>HAPVIDA PARTICIPACOES E INVE</x:v>
      </x:c>
      <x:c r="C8057" s="16" t="n">
        <x:v>1081.2832876712</x:v>
      </x:c>
      <x:c r="D8057" s="13" t="str">
        <x:v>Health Care</x:v>
      </x:c>
      <x:c r="E8057" s="13" t="str">
        <x:v>Health Care</x:v>
      </x:c>
      <x:c r="F8057" s="13" t="str">
        <x:v>Defensives</x:v>
      </x:c>
      <x:c r="G8057" s="13" t="str">
        <x:v>grid_cqzdsc3v.xlsx</x:v>
      </x:c>
    </x:row>
    <x:row r="8058">
      <x:c r="A8058" s="15" t="n">
        <x:v>44105</x:v>
      </x:c>
      <x:c r="B8058" s="13" t="str">
        <x:v>HYPERA SA</x:v>
      </x:c>
      <x:c r="C8058" s="16" t="n">
        <x:v>1388.6460219616</x:v>
      </x:c>
      <x:c r="D8058" s="13" t="str">
        <x:v>Health Care</x:v>
      </x:c>
      <x:c r="E8058" s="13" t="str">
        <x:v>Health Care</x:v>
      </x:c>
      <x:c r="F8058" s="13" t="str">
        <x:v>Defensives</x:v>
      </x:c>
      <x:c r="G8058" s="13" t="str">
        <x:v>grid_cqzdsc3v.xlsx</x:v>
      </x:c>
    </x:row>
    <x:row r="8059">
      <x:c r="A8059" s="15" t="n">
        <x:v>44105</x:v>
      </x:c>
      <x:c r="B8059" s="13" t="str">
        <x:v>NOTRE DAME INTERMED PAR SA</x:v>
      </x:c>
      <x:c r="C8059" s="16" t="n">
        <x:v>904.9273761315</x:v>
      </x:c>
      <x:c r="D8059" s="13" t="str">
        <x:v>Health Care</x:v>
      </x:c>
      <x:c r="E8059" s="13" t="str">
        <x:v>Health Care</x:v>
      </x:c>
      <x:c r="F8059" s="13" t="str">
        <x:v>Defensives</x:v>
      </x:c>
      <x:c r="G8059" s="13" t="str">
        <x:v>grid_cqzdsc3v.xlsx</x:v>
      </x:c>
    </x:row>
    <x:row r="8060">
      <x:c r="A8060" s="15" t="n">
        <x:v>44105</x:v>
      </x:c>
      <x:c r="B8060" s="13" t="str">
        <x:v>QUALICORP CONS E CORR SEG SA</x:v>
      </x:c>
      <x:c r="C8060" s="16" t="n">
        <x:v>507.3616438356</x:v>
      </x:c>
      <x:c r="D8060" s="13" t="str">
        <x:v>Health Care</x:v>
      </x:c>
      <x:c r="E8060" s="13" t="str">
        <x:v>Health Care</x:v>
      </x:c>
      <x:c r="F8060" s="13" t="str">
        <x:v>Defensives</x:v>
      </x:c>
      <x:c r="G8060" s="13" t="str">
        <x:v>grid_cqzdsc3v.xlsx</x:v>
      </x:c>
    </x:row>
    <x:row r="8061">
      <x:c r="A8061" s="15" t="n">
        <x:v>44105</x:v>
      </x:c>
      <x:c r="B8061" s="13" t="str">
        <x:v>SUL AMERICA SA - UNITS</x:v>
      </x:c>
      <x:c r="C8061" s="16" t="n">
        <x:v>1033.3413589918</x:v>
      </x:c>
      <x:c r="D8061" s="13" t="str">
        <x:v>Health Care</x:v>
      </x:c>
      <x:c r="E8061" s="13" t="str">
        <x:v>Health Care</x:v>
      </x:c>
      <x:c r="F8061" s="13" t="str">
        <x:v>Defensives</x:v>
      </x:c>
      <x:c r="G8061" s="13" t="str">
        <x:v>grid_cqzdsc3v.xlsx</x:v>
      </x:c>
    </x:row>
    <x:row r="8062">
      <x:c r="A8062" s="15" t="n">
        <x:v>44105</x:v>
      </x:c>
      <x:c r="B8062" s="13" t="str">
        <x:v>CYRELA BRAZIL REALTY SA EMP</x:v>
      </x:c>
      <x:c r="C8062" s="16" t="n">
        <x:v>360.4430230795</x:v>
      </x:c>
      <x:c r="D8062" s="13" t="str">
        <x:v>Homebuilders</x:v>
      </x:c>
      <x:c r="E8062" s="13" t="str">
        <x:v>Real Estate</x:v>
      </x:c>
      <x:c r="F8062" s="13" t="str">
        <x:v>Early Cyclicals</x:v>
      </x:c>
      <x:c r="G8062" s="13" t="str">
        <x:v>grid_cqzdsc3v.xlsx</x:v>
      </x:c>
    </x:row>
    <x:row r="8063">
      <x:c r="A8063" s="15" t="n">
        <x:v>44105</x:v>
      </x:c>
      <x:c r="B8063" s="13" t="str">
        <x:v>EZ TEC EMPREENDIMENTOS E PAR</x:v>
      </x:c>
      <x:c r="C8063" s="16" t="n">
        <x:v>500.4410958904</x:v>
      </x:c>
      <x:c r="D8063" s="13" t="str">
        <x:v>Homebuilders</x:v>
      </x:c>
      <x:c r="E8063" s="13" t="str">
        <x:v>Real Estate</x:v>
      </x:c>
      <x:c r="F8063" s="13" t="str">
        <x:v>Early Cyclicals</x:v>
      </x:c>
      <x:c r="G8063" s="13" t="str">
        <x:v>grid_cqzdsc3v.xlsx</x:v>
      </x:c>
    </x:row>
    <x:row r="8064">
      <x:c r="A8064" s="15" t="n">
        <x:v>44105</x:v>
      </x:c>
      <x:c r="B8064" s="13" t="str">
        <x:v>MRV ENGENHARIA</x:v>
      </x:c>
      <x:c r="C8064" s="16" t="n">
        <x:v>712.4620424767</x:v>
      </x:c>
      <x:c r="D8064" s="13" t="str">
        <x:v>Homebuilders</x:v>
      </x:c>
      <x:c r="E8064" s="13" t="str">
        <x:v>Real Estate</x:v>
      </x:c>
      <x:c r="F8064" s="13" t="str">
        <x:v>Early Cyclicals</x:v>
      </x:c>
      <x:c r="G8064" s="13" t="str">
        <x:v>grid_cqzdsc3v.xlsx</x:v>
      </x:c>
    </x:row>
    <x:row r="8065">
      <x:c r="A8065" s="15" t="n">
        <x:v>44105</x:v>
      </x:c>
      <x:c r="B8065" s="13" t="str">
        <x:v>BR MALLS PARTICIPACOES SA</x:v>
      </x:c>
      <x:c r="C8065" s="16" t="n">
        <x:v>507.4808192</x:v>
      </x:c>
      <x:c r="D8065" s="13" t="str">
        <x:v>Income Properties</x:v>
      </x:c>
      <x:c r="E8065" s="13" t="str">
        <x:v>Real Estate</x:v>
      </x:c>
      <x:c r="F8065" s="13" t="str">
        <x:v>Early Cyclicals</x:v>
      </x:c>
      <x:c r="G8065" s="13" t="str">
        <x:v>grid_cqzdsc3v.xlsx</x:v>
      </x:c>
    </x:row>
    <x:row r="8066">
      <x:c r="A8066" s="15" t="n">
        <x:v>44105</x:v>
      </x:c>
      <x:c r="B8066" s="13" t="str">
        <x:v>IGUATEMI EMP DE SHOPPING</x:v>
      </x:c>
      <x:c r="C8066" s="16" t="n">
        <x:v>208.0454794521</x:v>
      </x:c>
      <x:c r="D8066" s="13" t="str">
        <x:v>Income Properties</x:v>
      </x:c>
      <x:c r="E8066" s="13" t="str">
        <x:v>Real Estate</x:v>
      </x:c>
      <x:c r="F8066" s="13" t="str">
        <x:v>Early Cyclicals</x:v>
      </x:c>
      <x:c r="G8066" s="13" t="str">
        <x:v>grid_cqzdsc3v.xlsx</x:v>
      </x:c>
    </x:row>
    <x:row r="8067">
      <x:c r="A8067" s="15" t="n">
        <x:v>44105</x:v>
      </x:c>
      <x:c r="B8067" s="13" t="str">
        <x:v>MULTIPLAN EMPREENDIMENTOS</x:v>
      </x:c>
      <x:c r="C8067" s="16" t="n">
        <x:v>498.4313575452</x:v>
      </x:c>
      <x:c r="D8067" s="13" t="str">
        <x:v>Income Properties</x:v>
      </x:c>
      <x:c r="E8067" s="13" t="str">
        <x:v>Real Estate</x:v>
      </x:c>
      <x:c r="F8067" s="13" t="str">
        <x:v>Early Cyclicals</x:v>
      </x:c>
      <x:c r="G8067" s="13" t="str">
        <x:v>grid_cqzdsc3v.xlsx</x:v>
      </x:c>
    </x:row>
    <x:row r="8068">
      <x:c r="A8068" s="15" t="n">
        <x:v>44105</x:v>
      </x:c>
      <x:c r="B8068" s="13" t="str">
        <x:v>CIA SIDERURGICA NACIONAL SA</x:v>
      </x:c>
      <x:c r="C8068" s="16" t="n">
        <x:v>2284.147450389</x:v>
      </x:c>
      <x:c r="D8068" s="13" t="str">
        <x:v>Metals &amp; Mining</x:v>
      </x:c>
      <x:c r="E8068" s="13" t="str">
        <x:v>Metals &amp; Mining</x:v>
      </x:c>
      <x:c r="F8068" s="13" t="str">
        <x:v>Deep Cyclicals</x:v>
      </x:c>
      <x:c r="G8068" s="13" t="str">
        <x:v>grid_cqzdsc3v.xlsx</x:v>
      </x:c>
    </x:row>
    <x:row r="8069">
      <x:c r="A8069" s="15" t="n">
        <x:v>44105</x:v>
      </x:c>
      <x:c r="B8069" s="13" t="str">
        <x:v>GERDAU SA-PREF</x:v>
      </x:c>
      <x:c r="C8069" s="16" t="n">
        <x:v>2564.9516908712</x:v>
      </x:c>
      <x:c r="D8069" s="13" t="str">
        <x:v>Metals &amp; Mining</x:v>
      </x:c>
      <x:c r="E8069" s="13" t="str">
        <x:v>Metals &amp; Mining</x:v>
      </x:c>
      <x:c r="F8069" s="13" t="str">
        <x:v>Deep Cyclicals</x:v>
      </x:c>
      <x:c r="G8069" s="13" t="str">
        <x:v>grid_cqzdsc3v.xlsx</x:v>
      </x:c>
    </x:row>
    <x:row r="8070">
      <x:c r="A8070" s="15" t="n">
        <x:v>44105</x:v>
      </x:c>
      <x:c r="B8070" s="13" t="str">
        <x:v>USINAS SIDER MINAS GER-PF A</x:v>
      </x:c>
      <x:c r="C8070" s="16" t="n">
        <x:v>752.3740493151</x:v>
      </x:c>
      <x:c r="D8070" s="13" t="str">
        <x:v>Metals &amp; Mining</x:v>
      </x:c>
      <x:c r="E8070" s="13" t="str">
        <x:v>Metals &amp; Mining</x:v>
      </x:c>
      <x:c r="F8070" s="13" t="str">
        <x:v>Deep Cyclicals</x:v>
      </x:c>
      <x:c r="G8070" s="13" t="str">
        <x:v>grid_cqzdsc3v.xlsx</x:v>
      </x:c>
    </x:row>
    <x:row r="8071">
      <x:c r="A8071" s="15" t="n">
        <x:v>44105</x:v>
      </x:c>
      <x:c r="B8071" s="13" t="str">
        <x:v>VALE SA</x:v>
      </x:c>
      <x:c r="C8071" s="16" t="n">
        <x:v>63130.0407632658</x:v>
      </x:c>
      <x:c r="D8071" s="13" t="str">
        <x:v>Metals &amp; Mining</x:v>
      </x:c>
      <x:c r="E8071" s="13" t="str">
        <x:v>Metals &amp; Mining</x:v>
      </x:c>
      <x:c r="F8071" s="13" t="str">
        <x:v>Deep Cyclicals</x:v>
      </x:c>
      <x:c r="G8071" s="13" t="str">
        <x:v>grid_cqzdsc3v.xlsx</x:v>
      </x:c>
    </x:row>
    <x:row r="8072">
      <x:c r="A8072" s="15" t="n">
        <x:v>44105</x:v>
      </x:c>
      <x:c r="B8072" s="13" t="str">
        <x:v>BRASKEM SA-PREF A</x:v>
      </x:c>
      <x:c r="C8072" s="16" t="n">
        <x:v>-5.3267038685</x:v>
      </x:c>
      <x:c r="D8072" s="13" t="str">
        <x:v>Oil, Gas &amp; Petrochemicals</x:v>
      </x:c>
      <x:c r="E8072" s="13" t="str">
        <x:v>Oil, Gas &amp; Petrochemicals</x:v>
      </x:c>
      <x:c r="F8072" s="13" t="str">
        <x:v>Deep Cyclicals</x:v>
      </x:c>
      <x:c r="G8072" s="13" t="str">
        <x:v>grid_cqzdsc3v.xlsx</x:v>
      </x:c>
    </x:row>
    <x:row r="8073">
      <x:c r="A8073" s="15" t="n">
        <x:v>44105</x:v>
      </x:c>
      <x:c r="B8073" s="13" t="str">
        <x:v>COSAN SA</x:v>
      </x:c>
      <x:c r="C8073" s="16" t="n">
        <x:v>1888.0109084055</x:v>
      </x:c>
      <x:c r="D8073" s="13" t="str">
        <x:v>Oil, Gas &amp; Petrochemicals</x:v>
      </x:c>
      <x:c r="E8073" s="13" t="str">
        <x:v>Oil, Gas &amp; Petrochemicals</x:v>
      </x:c>
      <x:c r="F8073" s="13" t="str">
        <x:v>Deep Cyclicals</x:v>
      </x:c>
      <x:c r="G8073" s="13" t="str">
        <x:v>grid_cqzdsc3v.xlsx</x:v>
      </x:c>
    </x:row>
    <x:row r="8074">
      <x:c r="A8074" s="15" t="n">
        <x:v>44105</x:v>
      </x:c>
      <x:c r="B8074" s="13" t="str">
        <x:v>PETROBRAS - PETROLEO BRAS</x:v>
      </x:c>
      <x:c r="C8074" s="16" t="n">
        <x:v>19631.0804788603</x:v>
      </x:c>
      <x:c r="D8074" s="13" t="str">
        <x:v>Oil, Gas &amp; Petrochemicals</x:v>
      </x:c>
      <x:c r="E8074" s="13" t="str">
        <x:v>Oil, Gas &amp; Petrochemicals</x:v>
      </x:c>
      <x:c r="F8074" s="13" t="str">
        <x:v>Deep Cyclicals</x:v>
      </x:c>
      <x:c r="G8074" s="13" t="str">
        <x:v>grid_cqzdsc3v.xlsx</x:v>
      </x:c>
    </x:row>
    <x:row r="8075">
      <x:c r="A8075" s="15" t="n">
        <x:v>44105</x:v>
      </x:c>
      <x:c r="B8075" s="13" t="str">
        <x:v>PRIO SA</x:v>
      </x:c>
      <x:c r="C8075" s="16" t="n">
        <x:v>689.6328767123</x:v>
      </x:c>
      <x:c r="D8075" s="13" t="str">
        <x:v>Oil, Gas &amp; Petrochemicals</x:v>
      </x:c>
      <x:c r="E8075" s="13" t="str">
        <x:v>Oil, Gas &amp; Petrochemicals</x:v>
      </x:c>
      <x:c r="F8075" s="13" t="str">
        <x:v>Deep Cyclicals</x:v>
      </x:c>
      <x:c r="G8075" s="13" t="str">
        <x:v>grid_cqzdsc3v.xlsx</x:v>
      </x:c>
    </x:row>
    <x:row r="8076">
      <x:c r="A8076" s="15" t="n">
        <x:v>44105</x:v>
      </x:c>
      <x:c r="B8076" s="13" t="str">
        <x:v>ULTRAPAR PARTICIPACOES SA</x:v>
      </x:c>
      <x:c r="C8076" s="16" t="n">
        <x:v>1263.4952209534</x:v>
      </x:c>
      <x:c r="D8076" s="13" t="str">
        <x:v>Oil, Gas &amp; Petrochemicals</x:v>
      </x:c>
      <x:c r="E8076" s="13" t="str">
        <x:v>Oil, Gas &amp; Petrochemicals</x:v>
      </x:c>
      <x:c r="F8076" s="13" t="str">
        <x:v>Deep Cyclicals</x:v>
      </x:c>
      <x:c r="G8076" s="13" t="str">
        <x:v>grid_cqzdsc3v.xlsx</x:v>
      </x:c>
    </x:row>
    <x:row r="8077">
      <x:c r="A8077" s="15" t="n">
        <x:v>44105</x:v>
      </x:c>
      <x:c r="B8077" s="13" t="str">
        <x:v>VIBRA ENERGIA SA</x:v>
      </x:c>
      <x:c r="C8077" s="16" t="n">
        <x:v>1563.2470359671</x:v>
      </x:c>
      <x:c r="D8077" s="13" t="str">
        <x:v>Oil, Gas &amp; Petrochemicals</x:v>
      </x:c>
      <x:c r="E8077" s="13" t="str">
        <x:v>Oil, Gas &amp; Petrochemicals</x:v>
      </x:c>
      <x:c r="F8077" s="13" t="str">
        <x:v>Deep Cyclicals</x:v>
      </x:c>
      <x:c r="G8077" s="13" t="str">
        <x:v>grid_cqzdsc3v.xlsx</x:v>
      </x:c>
    </x:row>
    <x:row r="8078">
      <x:c r="A8078" s="15" t="n">
        <x:v>44105</x:v>
      </x:c>
      <x:c r="B8078" s="13" t="str">
        <x:v>KLABIN SA - UNIT</x:v>
      </x:c>
      <x:c r="C8078" s="16" t="n">
        <x:v>1214.3658766027</x:v>
      </x:c>
      <x:c r="D8078" s="13" t="str">
        <x:v>Pulp &amp; Paper</x:v>
      </x:c>
      <x:c r="E8078" s="13" t="str">
        <x:v>Pulp &amp; Paper</x:v>
      </x:c>
      <x:c r="F8078" s="13" t="str">
        <x:v>Deep Cyclicals</x:v>
      </x:c>
      <x:c r="G8078" s="13" t="str">
        <x:v>grid_cqzdsc3v.xlsx</x:v>
      </x:c>
    </x:row>
    <x:row r="8079">
      <x:c r="A8079" s="15" t="n">
        <x:v>44105</x:v>
      </x:c>
      <x:c r="B8079" s="13" t="str">
        <x:v>SUZANO SA</x:v>
      </x:c>
      <x:c r="C8079" s="16" t="n">
        <x:v>3245.3791295123</x:v>
      </x:c>
      <x:c r="D8079" s="13" t="str">
        <x:v>Pulp &amp; Paper</x:v>
      </x:c>
      <x:c r="E8079" s="13" t="str">
        <x:v>Pulp &amp; Paper</x:v>
      </x:c>
      <x:c r="F8079" s="13" t="str">
        <x:v>Deep Cyclicals</x:v>
      </x:c>
      <x:c r="G8079" s="13" t="str">
        <x:v>grid_cqzdsc3v.xlsx</x:v>
      </x:c>
    </x:row>
    <x:row r="8080">
      <x:c r="A8080" s="15" t="n">
        <x:v>44105</x:v>
      </x:c>
      <x:c r="B8080" s="13" t="str">
        <x:v>AMERICANAS SA</x:v>
      </x:c>
      <x:c r="C8080" s="16" t="n">
        <x:v>96.4108577315</x:v>
      </x:c>
      <x:c r="D8080" s="13" t="str">
        <x:v>Retail</x:v>
      </x:c>
      <x:c r="E8080" s="13" t="str">
        <x:v>Retail</x:v>
      </x:c>
      <x:c r="F8080" s="13" t="str">
        <x:v>Early Cyclicals</x:v>
      </x:c>
      <x:c r="G8080" s="13" t="str">
        <x:v>grid_cqzdsc3v.xlsx</x:v>
      </x:c>
    </x:row>
    <x:row r="8081">
      <x:c r="A8081" s="15" t="n">
        <x:v>44105</x:v>
      </x:c>
      <x:c r="B8081" s="13" t="str">
        <x:v>ATACADAO SA</x:v>
      </x:c>
      <x:c r="C8081" s="16" t="n">
        <x:v>2401.824646663</x:v>
      </x:c>
      <x:c r="D8081" s="13" t="str">
        <x:v>Retail</x:v>
      </x:c>
      <x:c r="E8081" s="13" t="str">
        <x:v>Retail</x:v>
      </x:c>
      <x:c r="F8081" s="13" t="str">
        <x:v>Early Cyclicals</x:v>
      </x:c>
      <x:c r="G8081" s="13" t="str">
        <x:v>grid_cqzdsc3v.xlsx</x:v>
      </x:c>
    </x:row>
    <x:row r="8082">
      <x:c r="A8082" s="15" t="n">
        <x:v>44105</x:v>
      </x:c>
      <x:c r="B8082" s="13" t="str">
        <x:v>CIA BRASILEIRA DE DISTRIBUIC</x:v>
      </x:c>
      <x:c r="C8082" s="16" t="n">
        <x:v>1363.2266176877</x:v>
      </x:c>
      <x:c r="D8082" s="13" t="str">
        <x:v>Retail</x:v>
      </x:c>
      <x:c r="E8082" s="13" t="str">
        <x:v>Retail</x:v>
      </x:c>
      <x:c r="F8082" s="13" t="str">
        <x:v>Early Cyclicals</x:v>
      </x:c>
      <x:c r="G8082" s="13" t="str">
        <x:v>grid_cqzdsc3v.xlsx</x:v>
      </x:c>
    </x:row>
    <x:row r="8083">
      <x:c r="A8083" s="15" t="n">
        <x:v>44105</x:v>
      </x:c>
      <x:c r="B8083" s="13" t="str">
        <x:v>CIA HERING</x:v>
      </x:c>
      <x:c r="C8083" s="16" t="n">
        <x:v>147.7532054795</x:v>
      </x:c>
      <x:c r="D8083" s="13" t="str">
        <x:v>Retail</x:v>
      </x:c>
      <x:c r="E8083" s="13" t="str">
        <x:v>Retail</x:v>
      </x:c>
      <x:c r="F8083" s="13" t="str">
        <x:v>Early Cyclicals</x:v>
      </x:c>
      <x:c r="G8083" s="13" t="str">
        <x:v>grid_cqzdsc3v.xlsx</x:v>
      </x:c>
    </x:row>
    <x:row r="8084">
      <x:c r="A8084" s="15" t="n">
        <x:v>44105</x:v>
      </x:c>
      <x:c r="B8084" s="13" t="str">
        <x:v>GRUPO CASAS BAHIA SA</x:v>
      </x:c>
      <x:c r="C8084" s="16" t="n">
        <x:v>576.8252170521</x:v>
      </x:c>
      <x:c r="D8084" s="13" t="str">
        <x:v>Retail</x:v>
      </x:c>
      <x:c r="E8084" s="13" t="str">
        <x:v>Retail</x:v>
      </x:c>
      <x:c r="F8084" s="13" t="str">
        <x:v>Early Cyclicals</x:v>
      </x:c>
      <x:c r="G8084" s="13" t="str">
        <x:v>grid_cqzdsc3v.xlsx</x:v>
      </x:c>
    </x:row>
    <x:row r="8085">
      <x:c r="A8085" s="15" t="n">
        <x:v>44105</x:v>
      </x:c>
      <x:c r="B8085" s="13" t="str">
        <x:v>LOJAS AMERICANAS SA-PREF</x:v>
      </x:c>
      <x:c r="C8085" s="16" t="n">
        <x:v>1105.2987602411</x:v>
      </x:c>
      <x:c r="D8085" s="13" t="str">
        <x:v>Retail</x:v>
      </x:c>
      <x:c r="E8085" s="13" t="str">
        <x:v>Retail</x:v>
      </x:c>
      <x:c r="F8085" s="13" t="str">
        <x:v>Early Cyclicals</x:v>
      </x:c>
      <x:c r="G8085" s="13" t="str">
        <x:v>grid_cqzdsc3v.xlsx</x:v>
      </x:c>
    </x:row>
    <x:row r="8086">
      <x:c r="A8086" s="15" t="n">
        <x:v>44105</x:v>
      </x:c>
      <x:c r="B8086" s="13" t="str">
        <x:v>LOJAS RENNER S.A.</x:v>
      </x:c>
      <x:c r="C8086" s="16" t="n">
        <x:v>1263.0211408658</x:v>
      </x:c>
      <x:c r="D8086" s="13" t="str">
        <x:v>Retail</x:v>
      </x:c>
      <x:c r="E8086" s="13" t="str">
        <x:v>Retail</x:v>
      </x:c>
      <x:c r="F8086" s="13" t="str">
        <x:v>Early Cyclicals</x:v>
      </x:c>
      <x:c r="G8086" s="13" t="str">
        <x:v>grid_cqzdsc3v.xlsx</x:v>
      </x:c>
    </x:row>
    <x:row r="8087">
      <x:c r="A8087" s="15" t="n">
        <x:v>44105</x:v>
      </x:c>
      <x:c r="B8087" s="13" t="str">
        <x:v>MAGAZINE LUIZA SA</x:v>
      </x:c>
      <x:c r="C8087" s="16" t="n">
        <x:v>587.380152811</x:v>
      </x:c>
      <x:c r="D8087" s="13" t="str">
        <x:v>Retail</x:v>
      </x:c>
      <x:c r="E8087" s="13" t="str">
        <x:v>Retail</x:v>
      </x:c>
      <x:c r="F8087" s="13" t="str">
        <x:v>Early Cyclicals</x:v>
      </x:c>
      <x:c r="G8087" s="13" t="str">
        <x:v>grid_cqzdsc3v.xlsx</x:v>
      </x:c>
    </x:row>
    <x:row r="8088">
      <x:c r="A8088" s="15" t="n">
        <x:v>44105</x:v>
      </x:c>
      <x:c r="B8088" s="13" t="str">
        <x:v>NATURA &amp;CO HOLDING SA</x:v>
      </x:c>
      <x:c r="C8088" s="16" t="n">
        <x:v>537.2979319233</x:v>
      </x:c>
      <x:c r="D8088" s="13" t="str">
        <x:v>Retail</x:v>
      </x:c>
      <x:c r="E8088" s="13" t="str">
        <x:v>Retail</x:v>
      </x:c>
      <x:c r="F8088" s="13" t="str">
        <x:v>Early Cyclicals</x:v>
      </x:c>
      <x:c r="G8088" s="13" t="str">
        <x:v>grid_cqzdsc3v.xlsx</x:v>
      </x:c>
    </x:row>
    <x:row r="8089">
      <x:c r="A8089" s="15" t="n">
        <x:v>44105</x:v>
      </x:c>
      <x:c r="B8089" s="13" t="str">
        <x:v>RAIA DROGASIL SA</x:v>
      </x:c>
      <x:c r="C8089" s="16" t="n">
        <x:v>826.0529032767</x:v>
      </x:c>
      <x:c r="D8089" s="13" t="str">
        <x:v>Retail</x:v>
      </x:c>
      <x:c r="E8089" s="13" t="str">
        <x:v>Retail</x:v>
      </x:c>
      <x:c r="F8089" s="13" t="str">
        <x:v>Early Cyclicals</x:v>
      </x:c>
      <x:c r="G8089" s="13" t="str">
        <x:v>grid_cqzdsc3v.xlsx</x:v>
      </x:c>
    </x:row>
    <x:row r="8090">
      <x:c r="A8090" s="15" t="n">
        <x:v>44105</x:v>
      </x:c>
      <x:c r="B8090" s="13" t="str">
        <x:v>CIA SANEAMENTO BASICO DE SP</x:v>
      </x:c>
      <x:c r="C8090" s="16" t="n">
        <x:v>2966.8734583233</x:v>
      </x:c>
      <x:c r="D8090" s="13" t="str">
        <x:v>Sanitation</x:v>
      </x:c>
      <x:c r="E8090" s="13" t="str">
        <x:v>Utilities</x:v>
      </x:c>
      <x:c r="F8090" s="13" t="str">
        <x:v>Defensives</x:v>
      </x:c>
      <x:c r="G8090" s="13" t="str">
        <x:v>grid_cqzdsc3v.xlsx</x:v>
      </x:c>
    </x:row>
    <x:row r="8091">
      <x:c r="A8091" s="15" t="n">
        <x:v>44105</x:v>
      </x:c>
      <x:c r="B8091" s="13" t="str">
        <x:v>TELEFONICA BRASIL S.A.-PREF</x:v>
      </x:c>
      <x:c r="C8091" s="16" t="n">
        <x:v>5380.2617631562</x:v>
      </x:c>
      <x:c r="D8091" s="13" t="str">
        <x:v>TMT</x:v>
      </x:c>
      <x:c r="E8091" s="13" t="str">
        <x:v>TMT</x:v>
      </x:c>
      <x:c r="F8091" s="13" t="str">
        <x:v>Early Cyclicals</x:v>
      </x:c>
      <x:c r="G8091" s="13" t="str">
        <x:v>grid_cqzdsc3v.xlsx</x:v>
      </x:c>
    </x:row>
    <x:row r="8092">
      <x:c r="A8092" s="15" t="n">
        <x:v>44105</x:v>
      </x:c>
      <x:c r="B8092" s="13" t="str">
        <x:v>TIM SA</x:v>
      </x:c>
      <x:c r="C8092" s="16" t="n">
        <x:v>1956.7784739068</x:v>
      </x:c>
      <x:c r="D8092" s="13" t="str">
        <x:v>TMT</x:v>
      </x:c>
      <x:c r="E8092" s="13" t="str">
        <x:v>TMT</x:v>
      </x:c>
      <x:c r="F8092" s="13" t="str">
        <x:v>Early Cyclicals</x:v>
      </x:c>
      <x:c r="G8092" s="13" t="str">
        <x:v>grid_cqzdsc3v.xlsx</x:v>
      </x:c>
    </x:row>
    <x:row r="8093">
      <x:c r="A8093" s="15" t="n">
        <x:v>44105</x:v>
      </x:c>
      <x:c r="B8093" s="13" t="str">
        <x:v>TOTVS SA</x:v>
      </x:c>
      <x:c r="C8093" s="16" t="n">
        <x:v>381.8673972603</x:v>
      </x:c>
      <x:c r="D8093" s="13" t="str">
        <x:v>TMT</x:v>
      </x:c>
      <x:c r="E8093" s="13" t="str">
        <x:v>TMT</x:v>
      </x:c>
      <x:c r="F8093" s="13" t="str">
        <x:v>Early Cyclicals</x:v>
      </x:c>
      <x:c r="G8093" s="13" t="str">
        <x:v>grid_cqzdsc3v.xlsx</x:v>
      </x:c>
    </x:row>
    <x:row r="8094">
      <x:c r="A8094" s="15" t="n">
        <x:v>44105</x:v>
      </x:c>
      <x:c r="B8094" s="13" t="str">
        <x:v>AZUL SA</x:v>
      </x:c>
      <x:c r="C8094" s="16" t="n">
        <x:v>-1796.546752526</x:v>
      </x:c>
      <x:c r="D8094" s="13" t="str">
        <x:v>Transportation</x:v>
      </x:c>
      <x:c r="E8094" s="13" t="str">
        <x:v>Transportation</x:v>
      </x:c>
      <x:c r="F8094" s="13" t="str">
        <x:v>Deep Cyclicals</x:v>
      </x:c>
      <x:c r="G8094" s="13" t="str">
        <x:v>grid_cqzdsc3v.xlsx</x:v>
      </x:c>
    </x:row>
    <x:row r="8095">
      <x:c r="A8095" s="15" t="n">
        <x:v>44105</x:v>
      </x:c>
      <x:c r="B8095" s="13" t="str">
        <x:v>ECORODOVIAS INFRA E LOG SA</x:v>
      </x:c>
      <x:c r="C8095" s="16" t="n">
        <x:v>441.96</x:v>
      </x:c>
      <x:c r="D8095" s="13" t="str">
        <x:v>Transportation</x:v>
      </x:c>
      <x:c r="E8095" s="13" t="str">
        <x:v>Transportation</x:v>
      </x:c>
      <x:c r="F8095" s="13" t="str">
        <x:v>Deep Cyclicals</x:v>
      </x:c>
      <x:c r="G8095" s="13" t="str">
        <x:v>grid_cqzdsc3v.xlsx</x:v>
      </x:c>
    </x:row>
    <x:row r="8096">
      <x:c r="A8096" s="15" t="n">
        <x:v>44105</x:v>
      </x:c>
      <x:c r="B8096" s="13" t="str">
        <x:v>GOL LINHAS AEREAS INT SA-PRE</x:v>
      </x:c>
      <x:c r="C8096" s="16" t="n">
        <x:v>-900.1057176548</x:v>
      </x:c>
      <x:c r="D8096" s="13" t="str">
        <x:v>Transportation</x:v>
      </x:c>
      <x:c r="E8096" s="13" t="str">
        <x:v>Transportation</x:v>
      </x:c>
      <x:c r="F8096" s="13" t="str">
        <x:v>Deep Cyclicals</x:v>
      </x:c>
      <x:c r="G8096" s="13" t="str">
        <x:v>grid_cqzdsc3v.xlsx</x:v>
      </x:c>
    </x:row>
    <x:row r="8097">
      <x:c r="A8097" s="15" t="n">
        <x:v>44105</x:v>
      </x:c>
      <x:c r="B8097" s="13" t="str">
        <x:v>LOCALIZA RENT A CAR</x:v>
      </x:c>
      <x:c r="C8097" s="16" t="n">
        <x:v>1147.8055539726</x:v>
      </x:c>
      <x:c r="D8097" s="13" t="str">
        <x:v>Transportation</x:v>
      </x:c>
      <x:c r="E8097" s="13" t="str">
        <x:v>Transportation</x:v>
      </x:c>
      <x:c r="F8097" s="13" t="str">
        <x:v>Deep Cyclicals</x:v>
      </x:c>
      <x:c r="G8097" s="13" t="str">
        <x:v>grid_cqzdsc3v.xlsx</x:v>
      </x:c>
    </x:row>
    <x:row r="8098">
      <x:c r="A8098" s="15" t="n">
        <x:v>44105</x:v>
      </x:c>
      <x:c r="B8098" s="13" t="str">
        <x:v>MOTIVA INFRAESTRUTURA DE MOB</x:v>
      </x:c>
      <x:c r="C8098" s="16" t="n">
        <x:v>1321.7676712329</x:v>
      </x:c>
      <x:c r="D8098" s="13" t="str">
        <x:v>Transportation</x:v>
      </x:c>
      <x:c r="E8098" s="13" t="str">
        <x:v>Transportation</x:v>
      </x:c>
      <x:c r="F8098" s="13" t="str">
        <x:v>Deep Cyclicals</x:v>
      </x:c>
      <x:c r="G8098" s="13" t="str">
        <x:v>grid_cqzdsc3v.xlsx</x:v>
      </x:c>
    </x:row>
    <x:row r="8099">
      <x:c r="A8099" s="15" t="n">
        <x:v>44105</x:v>
      </x:c>
      <x:c r="B8099" s="13" t="str">
        <x:v>RUMO SA</x:v>
      </x:c>
      <x:c r="C8099" s="16" t="n">
        <x:v>1169.2860573808</x:v>
      </x:c>
      <x:c r="D8099" s="13" t="str">
        <x:v>Transportation</x:v>
      </x:c>
      <x:c r="E8099" s="13" t="str">
        <x:v>Transportation</x:v>
      </x:c>
      <x:c r="F8099" s="13" t="str">
        <x:v>Deep Cyclicals</x:v>
      </x:c>
      <x:c r="G8099" s="13" t="str">
        <x:v>grid_cqzdsc3v.xlsx</x:v>
      </x:c>
    </x:row>
    <x:row r="8100">
      <x:c r="A8100" s="15" t="n">
        <x:v>44105</x:v>
      </x:c>
      <x:c r="B8100" s="13" t="str">
        <x:v>AXIA ENERGIA SA</x:v>
      </x:c>
      <x:c r="C8100" s="16" t="n">
        <x:v>6301.5082460931</x:v>
      </x:c>
      <x:c r="D8100" s="13" t="str">
        <x:v>Utilities &amp; Energy</x:v>
      </x:c>
      <x:c r="E8100" s="13" t="str">
        <x:v>Utilities</x:v>
      </x:c>
      <x:c r="F8100" s="13" t="str">
        <x:v>Defensives</x:v>
      </x:c>
      <x:c r="G8100" s="13" t="str">
        <x:v>grid_cqzdsc3v.xlsx</x:v>
      </x:c>
    </x:row>
    <x:row r="8101">
      <x:c r="A8101" s="15" t="n">
        <x:v>44105</x:v>
      </x:c>
      <x:c r="B8101" s="13" t="str">
        <x:v>AXIA ENERGIA-PR B</x:v>
      </x:c>
      <x:c r="C8101" s="16" t="n">
        <x:v>6301.5082460931</x:v>
      </x:c>
      <x:c r="D8101" s="13" t="str">
        <x:v>Utilities &amp; Energy</x:v>
      </x:c>
      <x:c r="E8101" s="13" t="str">
        <x:v>Utilities</x:v>
      </x:c>
      <x:c r="F8101" s="13" t="str">
        <x:v>Defensives</x:v>
      </x:c>
      <x:c r="G8101" s="13" t="str">
        <x:v>grid_cqzdsc3v.xlsx</x:v>
      </x:c>
    </x:row>
    <x:row r="8102">
      <x:c r="A8102" s="15" t="n">
        <x:v>44105</x:v>
      </x:c>
      <x:c r="B8102" s="13" t="str">
        <x:v>CIA ENERGETICA MINAS GER-PRF</x:v>
      </x:c>
      <x:c r="C8102" s="16" t="n">
        <x:v>2600.9301581151</x:v>
      </x:c>
      <x:c r="D8102" s="13" t="str">
        <x:v>Utilities &amp; Energy</x:v>
      </x:c>
      <x:c r="E8102" s="13" t="str">
        <x:v>Utilities</x:v>
      </x:c>
      <x:c r="F8102" s="13" t="str">
        <x:v>Defensives</x:v>
      </x:c>
      <x:c r="G8102" s="13" t="str">
        <x:v>grid_cqzdsc3v.xlsx</x:v>
      </x:c>
    </x:row>
    <x:row r="8103">
      <x:c r="A8103" s="15" t="n">
        <x:v>44105</x:v>
      </x:c>
      <x:c r="B8103" s="13" t="str">
        <x:v>CPFL ENERGIA SA</x:v>
      </x:c>
      <x:c r="C8103" s="16" t="n">
        <x:v>3006.4547180712</x:v>
      </x:c>
      <x:c r="D8103" s="13" t="str">
        <x:v>Utilities &amp; Energy</x:v>
      </x:c>
      <x:c r="E8103" s="13" t="str">
        <x:v>Utilities</x:v>
      </x:c>
      <x:c r="F8103" s="13" t="str">
        <x:v>Defensives</x:v>
      </x:c>
      <x:c r="G8103" s="13" t="str">
        <x:v>grid_cqzdsc3v.xlsx</x:v>
      </x:c>
    </x:row>
    <x:row r="8104">
      <x:c r="A8104" s="15" t="n">
        <x:v>44105</x:v>
      </x:c>
      <x:c r="B8104" s="13" t="str">
        <x:v>EDP - ENERGIAS DO BRASIL SA</x:v>
      </x:c>
      <x:c r="C8104" s="16" t="n">
        <x:v>1229.7540990247</x:v>
      </x:c>
      <x:c r="D8104" s="13" t="str">
        <x:v>Utilities &amp; Energy</x:v>
      </x:c>
      <x:c r="E8104" s="13" t="str">
        <x:v>Utilities</x:v>
      </x:c>
      <x:c r="F8104" s="13" t="str">
        <x:v>Defensives</x:v>
      </x:c>
      <x:c r="G8104" s="13" t="str">
        <x:v>grid_cqzdsc3v.xlsx</x:v>
      </x:c>
    </x:row>
    <x:row r="8105">
      <x:c r="A8105" s="15" t="n">
        <x:v>44105</x:v>
      </x:c>
      <x:c r="B8105" s="13" t="str">
        <x:v>ENERGISA SA-UNITS</x:v>
      </x:c>
      <x:c r="C8105" s="16" t="n">
        <x:v>1299.7123412164</x:v>
      </x:c>
      <x:c r="D8105" s="13" t="str">
        <x:v>Utilities &amp; Energy</x:v>
      </x:c>
      <x:c r="E8105" s="13" t="str">
        <x:v>Utilities</x:v>
      </x:c>
      <x:c r="F8105" s="13" t="str">
        <x:v>Defensives</x:v>
      </x:c>
      <x:c r="G8105" s="13" t="str">
        <x:v>grid_cqzdsc3v.xlsx</x:v>
      </x:c>
    </x:row>
    <x:row r="8106">
      <x:c r="A8106" s="15" t="n">
        <x:v>44105</x:v>
      </x:c>
      <x:c r="B8106" s="13" t="str">
        <x:v>ENGIE BRASIL ENERGIA SA</x:v>
      </x:c>
      <x:c r="C8106" s="16" t="n">
        <x:v>2979.1165208548</x:v>
      </x:c>
      <x:c r="D8106" s="13" t="str">
        <x:v>Utilities &amp; Energy</x:v>
      </x:c>
      <x:c r="E8106" s="13" t="str">
        <x:v>Utilities</x:v>
      </x:c>
      <x:c r="F8106" s="13" t="str">
        <x:v>Defensives</x:v>
      </x:c>
      <x:c r="G8106" s="13" t="str">
        <x:v>grid_cqzdsc3v.xlsx</x:v>
      </x:c>
    </x:row>
    <x:row r="8107">
      <x:c r="A8107" s="15" t="n">
        <x:v>44105</x:v>
      </x:c>
      <x:c r="B8107" s="13" t="str">
        <x:v>EQUATORIAL SA - ORD</x:v>
      </x:c>
      <x:c r="C8107" s="16" t="n">
        <x:v>1779.3461511014</x:v>
      </x:c>
      <x:c r="D8107" s="13" t="str">
        <x:v>Utilities &amp; Energy</x:v>
      </x:c>
      <x:c r="E8107" s="13" t="str">
        <x:v>Utilities</x:v>
      </x:c>
      <x:c r="F8107" s="13" t="str">
        <x:v>Defensives</x:v>
      </x:c>
      <x:c r="G8107" s="13" t="str">
        <x:v>grid_cqzdsc3v.xlsx</x:v>
      </x:c>
    </x:row>
    <x:row r="8108">
      <x:c r="A8108" s="15" t="n">
        <x:v>44105</x:v>
      </x:c>
      <x:c r="B8108" s="13" t="str">
        <x:v>TRANSMISSORA ALIANCA DE-UNIT</x:v>
      </x:c>
      <x:c r="C8108" s="16" t="n">
        <x:v>776.5190627945</x:v>
      </x:c>
      <x:c r="D8108" s="13" t="str">
        <x:v>Utilities &amp; Energy</x:v>
      </x:c>
      <x:c r="E8108" s="13" t="str">
        <x:v>Utilities</x:v>
      </x:c>
      <x:c r="F8108" s="13" t="str">
        <x:v>Defensives</x:v>
      </x:c>
      <x:c r="G8108" s="13" t="str">
        <x:v>grid_cqzdsc3v.xlsx</x:v>
      </x:c>
    </x:row>
    <x:row r="8109">
      <x:c r="A8109" s="15" t="n">
        <x:v>44136</x:v>
      </x:c>
      <x:c r="B8109" s="13" t="str">
        <x:v>BANCO BRADESCO S.A.</x:v>
      </x:c>
      <x:c r="C8109" s="16" t="n">
        <x:v>23344.2630726137</x:v>
      </x:c>
      <x:c r="D8109" s="13" t="str">
        <x:v>Banks</x:v>
      </x:c>
      <x:c r="E8109" s="13" t="str">
        <x:v>Banks</x:v>
      </x:c>
      <x:c r="F8109" s="13" t="str">
        <x:v>Financials</x:v>
      </x:c>
      <x:c r="G8109" s="13" t="str">
        <x:v>grid_cqzdsc3v.xlsx</x:v>
      </x:c>
    </x:row>
    <x:row r="8110">
      <x:c r="A8110" s="15" t="n">
        <x:v>44136</x:v>
      </x:c>
      <x:c r="B8110" s="13" t="str">
        <x:v>BANCO BRADESCO SA-PREF</x:v>
      </x:c>
      <x:c r="C8110" s="16" t="n">
        <x:v>23344.2630726137</x:v>
      </x:c>
      <x:c r="D8110" s="13" t="str">
        <x:v>Banks</x:v>
      </x:c>
      <x:c r="E8110" s="13" t="str">
        <x:v>Banks</x:v>
      </x:c>
      <x:c r="F8110" s="13" t="str">
        <x:v>Financials</x:v>
      </x:c>
      <x:c r="G8110" s="13" t="str">
        <x:v>grid_cqzdsc3v.xlsx</x:v>
      </x:c>
    </x:row>
    <x:row r="8111">
      <x:c r="A8111" s="15" t="n">
        <x:v>44136</x:v>
      </x:c>
      <x:c r="B8111" s="13" t="str">
        <x:v>BANCO BTG PACTUAL SA-UNIT</x:v>
      </x:c>
      <x:c r="C8111" s="16" t="n">
        <x:v>4352.3791233753</x:v>
      </x:c>
      <x:c r="D8111" s="13" t="str">
        <x:v>Banks</x:v>
      </x:c>
      <x:c r="E8111" s="13" t="str">
        <x:v>Banks</x:v>
      </x:c>
      <x:c r="F8111" s="13" t="str">
        <x:v>Financials</x:v>
      </x:c>
      <x:c r="G8111" s="13" t="str">
        <x:v>grid_cqzdsc3v.xlsx</x:v>
      </x:c>
    </x:row>
    <x:row r="8112">
      <x:c r="A8112" s="15" t="n">
        <x:v>44136</x:v>
      </x:c>
      <x:c r="B8112" s="13" t="str">
        <x:v>BANCO DO BRASIL S.A.</x:v>
      </x:c>
      <x:c r="C8112" s="16" t="n">
        <x:v>16316.4224582137</x:v>
      </x:c>
      <x:c r="D8112" s="13" t="str">
        <x:v>Banks</x:v>
      </x:c>
      <x:c r="E8112" s="13" t="str">
        <x:v>Banks</x:v>
      </x:c>
      <x:c r="F8112" s="13" t="str">
        <x:v>Financials</x:v>
      </x:c>
      <x:c r="G8112" s="13" t="str">
        <x:v>grid_cqzdsc3v.xlsx</x:v>
      </x:c>
    </x:row>
    <x:row r="8113">
      <x:c r="A8113" s="15" t="n">
        <x:v>44136</x:v>
      </x:c>
      <x:c r="B8113" s="13" t="str">
        <x:v>BANCO SANTANDER  BRASIL-UNIT</x:v>
      </x:c>
      <x:c r="C8113" s="16" t="n">
        <x:v>13776.0330092712</x:v>
      </x:c>
      <x:c r="D8113" s="13" t="str">
        <x:v>Banks</x:v>
      </x:c>
      <x:c r="E8113" s="13" t="str">
        <x:v>Banks</x:v>
      </x:c>
      <x:c r="F8113" s="13" t="str">
        <x:v>Financials</x:v>
      </x:c>
      <x:c r="G8113" s="13" t="str">
        <x:v>grid_cqzdsc3v.xlsx</x:v>
      </x:c>
    </x:row>
    <x:row r="8114">
      <x:c r="A8114" s="15" t="n">
        <x:v>44136</x:v>
      </x:c>
      <x:c r="B8114" s="13" t="str">
        <x:v>ITAU UNIBANCO HOLDING S-PREF</x:v>
      </x:c>
      <x:c r="C8114" s="16" t="n">
        <x:v>24950.0351502027</x:v>
      </x:c>
      <x:c r="D8114" s="13" t="str">
        <x:v>Banks</x:v>
      </x:c>
      <x:c r="E8114" s="13" t="str">
        <x:v>Banks</x:v>
      </x:c>
      <x:c r="F8114" s="13" t="str">
        <x:v>Financials</x:v>
      </x:c>
      <x:c r="G8114" s="13" t="str">
        <x:v>grid_cqzdsc3v.xlsx</x:v>
      </x:c>
    </x:row>
    <x:row r="8115">
      <x:c r="A8115" s="15" t="n">
        <x:v>44136</x:v>
      </x:c>
      <x:c r="B8115" s="13" t="str">
        <x:v>EMBRAER SA</x:v>
      </x:c>
      <x:c r="C8115" s="16" t="n">
        <x:v>-884.8067657644</x:v>
      </x:c>
      <x:c r="D8115" s="13" t="str">
        <x:v>Capital Goods</x:v>
      </x:c>
      <x:c r="E8115" s="13" t="str">
        <x:v>Capital Goods</x:v>
      </x:c>
      <x:c r="F8115" s="13" t="str">
        <x:v>Deep Cyclicals</x:v>
      </x:c>
      <x:c r="G8115" s="13" t="str">
        <x:v>grid_cqzdsc3v.xlsx</x:v>
      </x:c>
    </x:row>
    <x:row r="8116">
      <x:c r="A8116" s="15" t="n">
        <x:v>44136</x:v>
      </x:c>
      <x:c r="B8116" s="13" t="str">
        <x:v>WEG SA</x:v>
      </x:c>
      <x:c r="C8116" s="16" t="n">
        <x:v>2682.6815495014</x:v>
      </x:c>
      <x:c r="D8116" s="13" t="str">
        <x:v>Capital Goods</x:v>
      </x:c>
      <x:c r="E8116" s="13" t="str">
        <x:v>Capital Goods</x:v>
      </x:c>
      <x:c r="F8116" s="13" t="str">
        <x:v>Deep Cyclicals</x:v>
      </x:c>
      <x:c r="G8116" s="13" t="str">
        <x:v>grid_cqzdsc3v.xlsx</x:v>
      </x:c>
    </x:row>
    <x:row r="8117">
      <x:c r="A8117" s="15" t="n">
        <x:v>44136</x:v>
      </x:c>
      <x:c r="B8117" s="13" t="str">
        <x:v>COGNA EDUCACAO</x:v>
      </x:c>
      <x:c r="C8117" s="16" t="n">
        <x:v>260.4852986301</x:v>
      </x:c>
      <x:c r="D8117" s="13" t="str">
        <x:v>Education</x:v>
      </x:c>
      <x:c r="E8117" s="13" t="str">
        <x:v>Education</x:v>
      </x:c>
      <x:c r="F8117" s="13" t="str">
        <x:v>Early Cyclicals</x:v>
      </x:c>
      <x:c r="G8117" s="13" t="str">
        <x:v>grid_cqzdsc3v.xlsx</x:v>
      </x:c>
    </x:row>
    <x:row r="8118">
      <x:c r="A8118" s="15" t="n">
        <x:v>44136</x:v>
      </x:c>
      <x:c r="B8118" s="13" t="str">
        <x:v>YDUQS PARTICIPACOES SA</x:v>
      </x:c>
      <x:c r="C8118" s="16" t="n">
        <x:v>602.8417821808</x:v>
      </x:c>
      <x:c r="D8118" s="13" t="str">
        <x:v>Education</x:v>
      </x:c>
      <x:c r="E8118" s="13" t="str">
        <x:v>Education</x:v>
      </x:c>
      <x:c r="F8118" s="13" t="str">
        <x:v>Early Cyclicals</x:v>
      </x:c>
      <x:c r="G8118" s="13" t="str">
        <x:v>grid_cqzdsc3v.xlsx</x:v>
      </x:c>
    </x:row>
    <x:row r="8119">
      <x:c r="A8119" s="15" t="n">
        <x:v>44136</x:v>
      </x:c>
      <x:c r="B8119" s="13" t="str">
        <x:v>B3 SA-BRASIL BOLSA BALCAO</x:v>
      </x:c>
      <x:c r="C8119" s="16" t="n">
        <x:v>4591.9586696767</x:v>
      </x:c>
      <x:c r="D8119" s="13" t="str">
        <x:v>Financials Non-Banks</x:v>
      </x:c>
      <x:c r="E8119" s="13" t="str">
        <x:v>Financials Non-Banks</x:v>
      </x:c>
      <x:c r="F8119" s="13" t="str">
        <x:v>Financials</x:v>
      </x:c>
      <x:c r="G8119" s="13" t="str">
        <x:v>grid_cqzdsc3v.xlsx</x:v>
      </x:c>
    </x:row>
    <x:row r="8120">
      <x:c r="A8120" s="15" t="n">
        <x:v>44136</x:v>
      </x:c>
      <x:c r="B8120" s="13" t="str">
        <x:v>BB SEGURIDADE PARTICIPACOES</x:v>
      </x:c>
      <x:c r="C8120" s="16" t="n">
        <x:v>4276.1718096657</x:v>
      </x:c>
      <x:c r="D8120" s="13" t="str">
        <x:v>Financials Non-Banks</x:v>
      </x:c>
      <x:c r="E8120" s="13" t="str">
        <x:v>Financials Non-Banks</x:v>
      </x:c>
      <x:c r="F8120" s="13" t="str">
        <x:v>Financials</x:v>
      </x:c>
      <x:c r="G8120" s="13" t="str">
        <x:v>grid_cqzdsc3v.xlsx</x:v>
      </x:c>
    </x:row>
    <x:row r="8121">
      <x:c r="A8121" s="15" t="n">
        <x:v>44136</x:v>
      </x:c>
      <x:c r="B8121" s="13" t="str">
        <x:v>CIELO SA</x:v>
      </x:c>
      <x:c r="C8121" s="16" t="n">
        <x:v>866.1940495781</x:v>
      </x:c>
      <x:c r="D8121" s="13" t="str">
        <x:v>Financials Non-Banks</x:v>
      </x:c>
      <x:c r="E8121" s="13" t="str">
        <x:v>Financials Non-Banks</x:v>
      </x:c>
      <x:c r="F8121" s="13" t="str">
        <x:v>Financials</x:v>
      </x:c>
      <x:c r="G8121" s="13" t="str">
        <x:v>Ibovespa_earnings_consolidated.xlsx</x:v>
      </x:c>
    </x:row>
    <x:row r="8122">
      <x:c r="A8122" s="15" t="n">
        <x:v>44136</x:v>
      </x:c>
      <x:c r="B8122" s="13" t="str">
        <x:v>CIELO SA - INSTITUICAO DE PA</x:v>
      </x:c>
      <x:c r="C8122" s="16" t="n">
        <x:v>866.1940495781</x:v>
      </x:c>
      <x:c r="D8122" s="13" t="str">
        <x:v>Financials Non-Banks</x:v>
      </x:c>
      <x:c r="E8122" s="13" t="str">
        <x:v>Financials Non-Banks</x:v>
      </x:c>
      <x:c r="F8122" s="13" t="str">
        <x:v>Financials</x:v>
      </x:c>
      <x:c r="G8122" s="13" t="str">
        <x:v>grid_cqzdsc3v.xlsx</x:v>
      </x:c>
    </x:row>
    <x:row r="8123">
      <x:c r="A8123" s="15" t="n">
        <x:v>44136</x:v>
      </x:c>
      <x:c r="B8123" s="13" t="str">
        <x:v>IRB BRASIL RESSEGUROS SA</x:v>
      </x:c>
      <x:c r="C8123" s="16" t="n">
        <x:v>221.7074502137</x:v>
      </x:c>
      <x:c r="D8123" s="13" t="str">
        <x:v>Financials Non-Banks</x:v>
      </x:c>
      <x:c r="E8123" s="13" t="str">
        <x:v>Financials Non-Banks</x:v>
      </x:c>
      <x:c r="F8123" s="13" t="str">
        <x:v>Financials</x:v>
      </x:c>
      <x:c r="G8123" s="13" t="str">
        <x:v>grid_cqzdsc3v.xlsx</x:v>
      </x:c>
    </x:row>
    <x:row r="8124">
      <x:c r="A8124" s="15" t="n">
        <x:v>44136</x:v>
      </x:c>
      <x:c r="B8124" s="13" t="str">
        <x:v>ITAUSA SA</x:v>
      </x:c>
      <x:c r="C8124" s="16" t="n">
        <x:v>8602.3943448548</x:v>
      </x:c>
      <x:c r="D8124" s="13" t="str">
        <x:v>Financials Non-Banks</x:v>
      </x:c>
      <x:c r="E8124" s="13" t="str">
        <x:v>Financials Non-Banks</x:v>
      </x:c>
      <x:c r="F8124" s="13" t="str">
        <x:v>Financials</x:v>
      </x:c>
      <x:c r="G8124" s="13" t="str">
        <x:v>grid_cqzdsc3v.xlsx</x:v>
      </x:c>
    </x:row>
    <x:row r="8125">
      <x:c r="A8125" s="15" t="n">
        <x:v>44136</x:v>
      </x:c>
      <x:c r="B8125" s="13" t="str">
        <x:v>AMBEV SA</x:v>
      </x:c>
      <x:c r="C8125" s="16" t="n">
        <x:v>10922.386086926</x:v>
      </x:c>
      <x:c r="D8125" s="13" t="str">
        <x:v>Food &amp; Beverages</x:v>
      </x:c>
      <x:c r="E8125" s="13" t="str">
        <x:v>Agri, Food &amp; Beverages</x:v>
      </x:c>
      <x:c r="F8125" s="13" t="str">
        <x:v>Defensives</x:v>
      </x:c>
      <x:c r="G8125" s="13" t="str">
        <x:v>grid_cqzdsc3v.xlsx</x:v>
      </x:c>
    </x:row>
    <x:row r="8126">
      <x:c r="A8126" s="15" t="n">
        <x:v>44136</x:v>
      </x:c>
      <x:c r="B8126" s="13" t="str">
        <x:v>BRF SA</x:v>
      </x:c>
      <x:c r="C8126" s="16" t="n">
        <x:v>901.3540376548</x:v>
      </x:c>
      <x:c r="D8126" s="13" t="str">
        <x:v>Food &amp; Beverages</x:v>
      </x:c>
      <x:c r="E8126" s="13" t="str">
        <x:v>Agri, Food &amp; Beverages</x:v>
      </x:c>
      <x:c r="F8126" s="13" t="str">
        <x:v>Defensives</x:v>
      </x:c>
      <x:c r="G8126" s="13" t="str">
        <x:v>grid_cqzdsc3v.xlsx</x:v>
      </x:c>
    </x:row>
    <x:row r="8127">
      <x:c r="A8127" s="15" t="n">
        <x:v>44136</x:v>
      </x:c>
      <x:c r="B8127" s="13" t="str">
        <x:v>JBS SA</x:v>
      </x:c>
      <x:c r="C8127" s="16" t="n">
        <x:v>7711.8199288986</x:v>
      </x:c>
      <x:c r="D8127" s="13" t="str">
        <x:v>Food &amp; Beverages</x:v>
      </x:c>
      <x:c r="E8127" s="13" t="str">
        <x:v>Agri, Food &amp; Beverages</x:v>
      </x:c>
      <x:c r="F8127" s="13" t="str">
        <x:v>Defensives</x:v>
      </x:c>
      <x:c r="G8127" s="13" t="str">
        <x:v>grid_cqzdsc3v.xlsx</x:v>
      </x:c>
    </x:row>
    <x:row r="8128">
      <x:c r="A8128" s="15" t="n">
        <x:v>44136</x:v>
      </x:c>
      <x:c r="B8128" s="13" t="str">
        <x:v>MBRF GLOBAL FOODS COMPANY SA</x:v>
      </x:c>
      <x:c r="C8128" s="16" t="n">
        <x:v>1693.7671764164</x:v>
      </x:c>
      <x:c r="D8128" s="13" t="str">
        <x:v>Food &amp; Beverages</x:v>
      </x:c>
      <x:c r="E8128" s="13" t="str">
        <x:v>Agri, Food &amp; Beverages</x:v>
      </x:c>
      <x:c r="F8128" s="13" t="str">
        <x:v>Defensives</x:v>
      </x:c>
      <x:c r="G8128" s="13" t="str">
        <x:v>grid_cqzdsc3v.xlsx</x:v>
      </x:c>
    </x:row>
    <x:row r="8129">
      <x:c r="A8129" s="15" t="n">
        <x:v>44136</x:v>
      </x:c>
      <x:c r="B8129" s="13" t="str">
        <x:v>MINERVA SA</x:v>
      </x:c>
      <x:c r="C8129" s="16" t="n">
        <x:v>687.5376150795</x:v>
      </x:c>
      <x:c r="D8129" s="13" t="str">
        <x:v>Food &amp; Beverages</x:v>
      </x:c>
      <x:c r="E8129" s="13" t="str">
        <x:v>Agri, Food &amp; Beverages</x:v>
      </x:c>
      <x:c r="F8129" s="13" t="str">
        <x:v>Defensives</x:v>
      </x:c>
      <x:c r="G8129" s="13" t="str">
        <x:v>grid_cqzdsc3v.xlsx</x:v>
      </x:c>
    </x:row>
    <x:row r="8130">
      <x:c r="A8130" s="15" t="n">
        <x:v>44136</x:v>
      </x:c>
      <x:c r="B8130" s="13" t="str">
        <x:v>FLEURY SA</x:v>
      </x:c>
      <x:c r="C8130" s="16" t="n">
        <x:v>303.1243835616</x:v>
      </x:c>
      <x:c r="D8130" s="13" t="str">
        <x:v>Health Care</x:v>
      </x:c>
      <x:c r="E8130" s="13" t="str">
        <x:v>Health Care</x:v>
      </x:c>
      <x:c r="F8130" s="13" t="str">
        <x:v>Defensives</x:v>
      </x:c>
      <x:c r="G8130" s="13" t="str">
        <x:v>grid_cqzdsc3v.xlsx</x:v>
      </x:c>
    </x:row>
    <x:row r="8131">
      <x:c r="A8131" s="15" t="n">
        <x:v>44136</x:v>
      </x:c>
      <x:c r="B8131" s="13" t="str">
        <x:v>HAPVIDA PARTICIPACOES E INVE</x:v>
      </x:c>
      <x:c r="C8131" s="16" t="n">
        <x:v>1165.1000768877</x:v>
      </x:c>
      <x:c r="D8131" s="13" t="str">
        <x:v>Health Care</x:v>
      </x:c>
      <x:c r="E8131" s="13" t="str">
        <x:v>Health Care</x:v>
      </x:c>
      <x:c r="F8131" s="13" t="str">
        <x:v>Defensives</x:v>
      </x:c>
      <x:c r="G8131" s="13" t="str">
        <x:v>grid_cqzdsc3v.xlsx</x:v>
      </x:c>
    </x:row>
    <x:row r="8132">
      <x:c r="A8132" s="15" t="n">
        <x:v>44136</x:v>
      </x:c>
      <x:c r="B8132" s="13" t="str">
        <x:v>HYPERA SA</x:v>
      </x:c>
      <x:c r="C8132" s="16" t="n">
        <x:v>1440.9868200329</x:v>
      </x:c>
      <x:c r="D8132" s="13" t="str">
        <x:v>Health Care</x:v>
      </x:c>
      <x:c r="E8132" s="13" t="str">
        <x:v>Health Care</x:v>
      </x:c>
      <x:c r="F8132" s="13" t="str">
        <x:v>Defensives</x:v>
      </x:c>
      <x:c r="G8132" s="13" t="str">
        <x:v>grid_cqzdsc3v.xlsx</x:v>
      </x:c>
    </x:row>
    <x:row r="8133">
      <x:c r="A8133" s="15" t="n">
        <x:v>44136</x:v>
      </x:c>
      <x:c r="B8133" s="13" t="str">
        <x:v>NOTRE DAME INTERMED PAR SA</x:v>
      </x:c>
      <x:c r="C8133" s="16" t="n">
        <x:v>870.7132130192</x:v>
      </x:c>
      <x:c r="D8133" s="13" t="str">
        <x:v>Health Care</x:v>
      </x:c>
      <x:c r="E8133" s="13" t="str">
        <x:v>Health Care</x:v>
      </x:c>
      <x:c r="F8133" s="13" t="str">
        <x:v>Defensives</x:v>
      </x:c>
      <x:c r="G8133" s="13" t="str">
        <x:v>grid_cqzdsc3v.xlsx</x:v>
      </x:c>
    </x:row>
    <x:row r="8134">
      <x:c r="A8134" s="15" t="n">
        <x:v>44136</x:v>
      </x:c>
      <x:c r="B8134" s="13" t="str">
        <x:v>QUALICORP CONS E CORR SEG SA</x:v>
      </x:c>
      <x:c r="C8134" s="16" t="n">
        <x:v>511.9917808219</x:v>
      </x:c>
      <x:c r="D8134" s="13" t="str">
        <x:v>Health Care</x:v>
      </x:c>
      <x:c r="E8134" s="13" t="str">
        <x:v>Health Care</x:v>
      </x:c>
      <x:c r="F8134" s="13" t="str">
        <x:v>Defensives</x:v>
      </x:c>
      <x:c r="G8134" s="13" t="str">
        <x:v>grid_cqzdsc3v.xlsx</x:v>
      </x:c>
    </x:row>
    <x:row r="8135">
      <x:c r="A8135" s="15" t="n">
        <x:v>44136</x:v>
      </x:c>
      <x:c r="B8135" s="13" t="str">
        <x:v>SUL AMERICA SA - UNITS</x:v>
      </x:c>
      <x:c r="C8135" s="16" t="n">
        <x:v>1016.4588214356</x:v>
      </x:c>
      <x:c r="D8135" s="13" t="str">
        <x:v>Health Care</x:v>
      </x:c>
      <x:c r="E8135" s="13" t="str">
        <x:v>Health Care</x:v>
      </x:c>
      <x:c r="F8135" s="13" t="str">
        <x:v>Defensives</x:v>
      </x:c>
      <x:c r="G8135" s="13" t="str">
        <x:v>grid_cqzdsc3v.xlsx</x:v>
      </x:c>
    </x:row>
    <x:row r="8136">
      <x:c r="A8136" s="15" t="n">
        <x:v>44136</x:v>
      </x:c>
      <x:c r="B8136" s="13" t="str">
        <x:v>CYRELA BRAZIL REALTY SA EMP</x:v>
      </x:c>
      <x:c r="C8136" s="16" t="n">
        <x:v>731.3214614795</x:v>
      </x:c>
      <x:c r="D8136" s="13" t="str">
        <x:v>Homebuilders</x:v>
      </x:c>
      <x:c r="E8136" s="13" t="str">
        <x:v>Real Estate</x:v>
      </x:c>
      <x:c r="F8136" s="13" t="str">
        <x:v>Early Cyclicals</x:v>
      </x:c>
      <x:c r="G8136" s="13" t="str">
        <x:v>grid_cqzdsc3v.xlsx</x:v>
      </x:c>
    </x:row>
    <x:row r="8137">
      <x:c r="A8137" s="15" t="n">
        <x:v>44136</x:v>
      </x:c>
      <x:c r="B8137" s="13" t="str">
        <x:v>EZ TEC EMPREENDIMENTOS E PAR</x:v>
      </x:c>
      <x:c r="C8137" s="16" t="n">
        <x:v>531.7397260274</x:v>
      </x:c>
      <x:c r="D8137" s="13" t="str">
        <x:v>Homebuilders</x:v>
      </x:c>
      <x:c r="E8137" s="13" t="str">
        <x:v>Real Estate</x:v>
      </x:c>
      <x:c r="F8137" s="13" t="str">
        <x:v>Early Cyclicals</x:v>
      </x:c>
      <x:c r="G8137" s="13" t="str">
        <x:v>grid_cqzdsc3v.xlsx</x:v>
      </x:c>
    </x:row>
    <x:row r="8138">
      <x:c r="A8138" s="15" t="n">
        <x:v>44136</x:v>
      </x:c>
      <x:c r="B8138" s="13" t="str">
        <x:v>MRV ENGENHARIA</x:v>
      </x:c>
      <x:c r="C8138" s="16" t="n">
        <x:v>715.1766976877</x:v>
      </x:c>
      <x:c r="D8138" s="13" t="str">
        <x:v>Homebuilders</x:v>
      </x:c>
      <x:c r="E8138" s="13" t="str">
        <x:v>Real Estate</x:v>
      </x:c>
      <x:c r="F8138" s="13" t="str">
        <x:v>Early Cyclicals</x:v>
      </x:c>
      <x:c r="G8138" s="13" t="str">
        <x:v>grid_cqzdsc3v.xlsx</x:v>
      </x:c>
    </x:row>
    <x:row r="8139">
      <x:c r="A8139" s="15" t="n">
        <x:v>44136</x:v>
      </x:c>
      <x:c r="B8139" s="13" t="str">
        <x:v>BR MALLS PARTICIPACOES SA</x:v>
      </x:c>
      <x:c r="C8139" s="16" t="n">
        <x:v>560.8355324055</x:v>
      </x:c>
      <x:c r="D8139" s="13" t="str">
        <x:v>Income Properties</x:v>
      </x:c>
      <x:c r="E8139" s="13" t="str">
        <x:v>Real Estate</x:v>
      </x:c>
      <x:c r="F8139" s="13" t="str">
        <x:v>Early Cyclicals</x:v>
      </x:c>
      <x:c r="G8139" s="13" t="str">
        <x:v>grid_cqzdsc3v.xlsx</x:v>
      </x:c>
    </x:row>
    <x:row r="8140">
      <x:c r="A8140" s="15" t="n">
        <x:v>44136</x:v>
      </x:c>
      <x:c r="B8140" s="13" t="str">
        <x:v>IGUATEMI EMP DE SHOPPING</x:v>
      </x:c>
      <x:c r="C8140" s="16" t="n">
        <x:v>228.7163287671</x:v>
      </x:c>
      <x:c r="D8140" s="13" t="str">
        <x:v>Income Properties</x:v>
      </x:c>
      <x:c r="E8140" s="13" t="str">
        <x:v>Real Estate</x:v>
      </x:c>
      <x:c r="F8140" s="13" t="str">
        <x:v>Early Cyclicals</x:v>
      </x:c>
      <x:c r="G8140" s="13" t="str">
        <x:v>grid_cqzdsc3v.xlsx</x:v>
      </x:c>
    </x:row>
    <x:row r="8141">
      <x:c r="A8141" s="15" t="n">
        <x:v>44136</x:v>
      </x:c>
      <x:c r="B8141" s="13" t="str">
        <x:v>MULTIPLAN EMPREENDIMENTOS</x:v>
      </x:c>
      <x:c r="C8141" s="16" t="n">
        <x:v>486.8330883507</x:v>
      </x:c>
      <x:c r="D8141" s="13" t="str">
        <x:v>Income Properties</x:v>
      </x:c>
      <x:c r="E8141" s="13" t="str">
        <x:v>Real Estate</x:v>
      </x:c>
      <x:c r="F8141" s="13" t="str">
        <x:v>Early Cyclicals</x:v>
      </x:c>
      <x:c r="G8141" s="13" t="str">
        <x:v>grid_cqzdsc3v.xlsx</x:v>
      </x:c>
    </x:row>
    <x:row r="8142">
      <x:c r="A8142" s="15" t="n">
        <x:v>44136</x:v>
      </x:c>
      <x:c r="B8142" s="13" t="str">
        <x:v>CIA SIDERURGICA NACIONAL SA</x:v>
      </x:c>
      <x:c r="C8142" s="16" t="n">
        <x:v>2907.8384478685</x:v>
      </x:c>
      <x:c r="D8142" s="13" t="str">
        <x:v>Metals &amp; Mining</x:v>
      </x:c>
      <x:c r="E8142" s="13" t="str">
        <x:v>Metals &amp; Mining</x:v>
      </x:c>
      <x:c r="F8142" s="13" t="str">
        <x:v>Deep Cyclicals</x:v>
      </x:c>
      <x:c r="G8142" s="13" t="str">
        <x:v>grid_cqzdsc3v.xlsx</x:v>
      </x:c>
    </x:row>
    <x:row r="8143">
      <x:c r="A8143" s="15" t="n">
        <x:v>44136</x:v>
      </x:c>
      <x:c r="B8143" s="13" t="str">
        <x:v>GERDAU SA-PREF</x:v>
      </x:c>
      <x:c r="C8143" s="16" t="n">
        <x:v>2980.7040743452</x:v>
      </x:c>
      <x:c r="D8143" s="13" t="str">
        <x:v>Metals &amp; Mining</x:v>
      </x:c>
      <x:c r="E8143" s="13" t="str">
        <x:v>Metals &amp; Mining</x:v>
      </x:c>
      <x:c r="F8143" s="13" t="str">
        <x:v>Deep Cyclicals</x:v>
      </x:c>
      <x:c r="G8143" s="13" t="str">
        <x:v>grid_cqzdsc3v.xlsx</x:v>
      </x:c>
    </x:row>
    <x:row r="8144">
      <x:c r="A8144" s="15" t="n">
        <x:v>44136</x:v>
      </x:c>
      <x:c r="B8144" s="13" t="str">
        <x:v>USINAS SIDER MINAS GER-PF A</x:v>
      </x:c>
      <x:c r="C8144" s="16" t="n">
        <x:v>1137.4029844164</x:v>
      </x:c>
      <x:c r="D8144" s="13" t="str">
        <x:v>Metals &amp; Mining</x:v>
      </x:c>
      <x:c r="E8144" s="13" t="str">
        <x:v>Metals &amp; Mining</x:v>
      </x:c>
      <x:c r="F8144" s="13" t="str">
        <x:v>Deep Cyclicals</x:v>
      </x:c>
      <x:c r="G8144" s="13" t="str">
        <x:v>grid_cqzdsc3v.xlsx</x:v>
      </x:c>
    </x:row>
    <x:row r="8145">
      <x:c r="A8145" s="15" t="n">
        <x:v>44136</x:v>
      </x:c>
      <x:c r="B8145" s="13" t="str">
        <x:v>VALE SA</x:v>
      </x:c>
      <x:c r="C8145" s="16" t="n">
        <x:v>66290.0612671123</x:v>
      </x:c>
      <x:c r="D8145" s="13" t="str">
        <x:v>Metals &amp; Mining</x:v>
      </x:c>
      <x:c r="E8145" s="13" t="str">
        <x:v>Metals &amp; Mining</x:v>
      </x:c>
      <x:c r="F8145" s="13" t="str">
        <x:v>Deep Cyclicals</x:v>
      </x:c>
      <x:c r="G8145" s="13" t="str">
        <x:v>grid_cqzdsc3v.xlsx</x:v>
      </x:c>
    </x:row>
    <x:row r="8146">
      <x:c r="A8146" s="15" t="n">
        <x:v>44136</x:v>
      </x:c>
      <x:c r="B8146" s="13" t="str">
        <x:v>BRASKEM SA-PREF A</x:v>
      </x:c>
      <x:c r="C8146" s="16" t="n">
        <x:v>93.3260035507</x:v>
      </x:c>
      <x:c r="D8146" s="13" t="str">
        <x:v>Oil, Gas &amp; Petrochemicals</x:v>
      </x:c>
      <x:c r="E8146" s="13" t="str">
        <x:v>Oil, Gas &amp; Petrochemicals</x:v>
      </x:c>
      <x:c r="F8146" s="13" t="str">
        <x:v>Deep Cyclicals</x:v>
      </x:c>
      <x:c r="G8146" s="13" t="str">
        <x:v>grid_cqzdsc3v.xlsx</x:v>
      </x:c>
    </x:row>
    <x:row r="8147">
      <x:c r="A8147" s="15" t="n">
        <x:v>44136</x:v>
      </x:c>
      <x:c r="B8147" s="13" t="str">
        <x:v>COSAN SA</x:v>
      </x:c>
      <x:c r="C8147" s="16" t="n">
        <x:v>1919.1205354959</x:v>
      </x:c>
      <x:c r="D8147" s="13" t="str">
        <x:v>Oil, Gas &amp; Petrochemicals</x:v>
      </x:c>
      <x:c r="E8147" s="13" t="str">
        <x:v>Oil, Gas &amp; Petrochemicals</x:v>
      </x:c>
      <x:c r="F8147" s="13" t="str">
        <x:v>Deep Cyclicals</x:v>
      </x:c>
      <x:c r="G8147" s="13" t="str">
        <x:v>grid_cqzdsc3v.xlsx</x:v>
      </x:c>
    </x:row>
    <x:row r="8148">
      <x:c r="A8148" s="15" t="n">
        <x:v>44136</x:v>
      </x:c>
      <x:c r="B8148" s="13" t="str">
        <x:v>PETROBRAS - PETROLEO BRAS</x:v>
      </x:c>
      <x:c r="C8148" s="16" t="n">
        <x:v>27031.5609550904</x:v>
      </x:c>
      <x:c r="D8148" s="13" t="str">
        <x:v>Oil, Gas &amp; Petrochemicals</x:v>
      </x:c>
      <x:c r="E8148" s="13" t="str">
        <x:v>Oil, Gas &amp; Petrochemicals</x:v>
      </x:c>
      <x:c r="F8148" s="13" t="str">
        <x:v>Deep Cyclicals</x:v>
      </x:c>
      <x:c r="G8148" s="13" t="str">
        <x:v>grid_cqzdsc3v.xlsx</x:v>
      </x:c>
    </x:row>
    <x:row r="8149">
      <x:c r="A8149" s="15" t="n">
        <x:v>44136</x:v>
      </x:c>
      <x:c r="B8149" s="13" t="str">
        <x:v>PRIO SA</x:v>
      </x:c>
      <x:c r="C8149" s="16" t="n">
        <x:v>734.8164383562</x:v>
      </x:c>
      <x:c r="D8149" s="13" t="str">
        <x:v>Oil, Gas &amp; Petrochemicals</x:v>
      </x:c>
      <x:c r="E8149" s="13" t="str">
        <x:v>Oil, Gas &amp; Petrochemicals</x:v>
      </x:c>
      <x:c r="F8149" s="13" t="str">
        <x:v>Deep Cyclicals</x:v>
      </x:c>
      <x:c r="G8149" s="13" t="str">
        <x:v>grid_cqzdsc3v.xlsx</x:v>
      </x:c>
    </x:row>
    <x:row r="8150">
      <x:c r="A8150" s="15" t="n">
        <x:v>44136</x:v>
      </x:c>
      <x:c r="B8150" s="13" t="str">
        <x:v>ULTRAPAR PARTICIPACOES SA</x:v>
      </x:c>
      <x:c r="C8150" s="16" t="n">
        <x:v>1265.8744796932</x:v>
      </x:c>
      <x:c r="D8150" s="13" t="str">
        <x:v>Oil, Gas &amp; Petrochemicals</x:v>
      </x:c>
      <x:c r="E8150" s="13" t="str">
        <x:v>Oil, Gas &amp; Petrochemicals</x:v>
      </x:c>
      <x:c r="F8150" s="13" t="str">
        <x:v>Deep Cyclicals</x:v>
      </x:c>
      <x:c r="G8150" s="13" t="str">
        <x:v>grid_cqzdsc3v.xlsx</x:v>
      </x:c>
    </x:row>
    <x:row r="8151">
      <x:c r="A8151" s="15" t="n">
        <x:v>44136</x:v>
      </x:c>
      <x:c r="B8151" s="13" t="str">
        <x:v>VIBRA ENERGIA SA</x:v>
      </x:c>
      <x:c r="C8151" s="16" t="n">
        <x:v>1615.9431753644</x:v>
      </x:c>
      <x:c r="D8151" s="13" t="str">
        <x:v>Oil, Gas &amp; Petrochemicals</x:v>
      </x:c>
      <x:c r="E8151" s="13" t="str">
        <x:v>Oil, Gas &amp; Petrochemicals</x:v>
      </x:c>
      <x:c r="F8151" s="13" t="str">
        <x:v>Deep Cyclicals</x:v>
      </x:c>
      <x:c r="G8151" s="13" t="str">
        <x:v>grid_cqzdsc3v.xlsx</x:v>
      </x:c>
    </x:row>
    <x:row r="8152">
      <x:c r="A8152" s="15" t="n">
        <x:v>44136</x:v>
      </x:c>
      <x:c r="B8152" s="13" t="str">
        <x:v>KLABIN SA - UNIT</x:v>
      </x:c>
      <x:c r="C8152" s="16" t="n">
        <x:v>1680.310471189</x:v>
      </x:c>
      <x:c r="D8152" s="13" t="str">
        <x:v>Pulp &amp; Paper</x:v>
      </x:c>
      <x:c r="E8152" s="13" t="str">
        <x:v>Pulp &amp; Paper</x:v>
      </x:c>
      <x:c r="F8152" s="13" t="str">
        <x:v>Deep Cyclicals</x:v>
      </x:c>
      <x:c r="G8152" s="13" t="str">
        <x:v>grid_cqzdsc3v.xlsx</x:v>
      </x:c>
    </x:row>
    <x:row r="8153">
      <x:c r="A8153" s="15" t="n">
        <x:v>44136</x:v>
      </x:c>
      <x:c r="B8153" s="13" t="str">
        <x:v>SUZANO SA</x:v>
      </x:c>
      <x:c r="C8153" s="16" t="n">
        <x:v>5564.589880811</x:v>
      </x:c>
      <x:c r="D8153" s="13" t="str">
        <x:v>Pulp &amp; Paper</x:v>
      </x:c>
      <x:c r="E8153" s="13" t="str">
        <x:v>Pulp &amp; Paper</x:v>
      </x:c>
      <x:c r="F8153" s="13" t="str">
        <x:v>Deep Cyclicals</x:v>
      </x:c>
      <x:c r="G8153" s="13" t="str">
        <x:v>grid_cqzdsc3v.xlsx</x:v>
      </x:c>
    </x:row>
    <x:row r="8154">
      <x:c r="A8154" s="15" t="n">
        <x:v>44136</x:v>
      </x:c>
      <x:c r="B8154" s="13" t="str">
        <x:v>AMERICANAS SA</x:v>
      </x:c>
      <x:c r="C8154" s="16" t="n">
        <x:v>111.2985609644</x:v>
      </x:c>
      <x:c r="D8154" s="13" t="str">
        <x:v>Retail</x:v>
      </x:c>
      <x:c r="E8154" s="13" t="str">
        <x:v>Retail</x:v>
      </x:c>
      <x:c r="F8154" s="13" t="str">
        <x:v>Early Cyclicals</x:v>
      </x:c>
      <x:c r="G8154" s="13" t="str">
        <x:v>grid_cqzdsc3v.xlsx</x:v>
      </x:c>
    </x:row>
    <x:row r="8155">
      <x:c r="A8155" s="15" t="n">
        <x:v>44136</x:v>
      </x:c>
      <x:c r="B8155" s="13" t="str">
        <x:v>ATACADAO SA</x:v>
      </x:c>
      <x:c r="C8155" s="16" t="n">
        <x:v>2460.538093063</x:v>
      </x:c>
      <x:c r="D8155" s="13" t="str">
        <x:v>Retail</x:v>
      </x:c>
      <x:c r="E8155" s="13" t="str">
        <x:v>Retail</x:v>
      </x:c>
      <x:c r="F8155" s="13" t="str">
        <x:v>Early Cyclicals</x:v>
      </x:c>
      <x:c r="G8155" s="13" t="str">
        <x:v>grid_cqzdsc3v.xlsx</x:v>
      </x:c>
    </x:row>
    <x:row r="8156">
      <x:c r="A8156" s="15" t="n">
        <x:v>44136</x:v>
      </x:c>
      <x:c r="B8156" s="13" t="str">
        <x:v>CIA BRASILEIRA DE DISTRIBUIC</x:v>
      </x:c>
      <x:c r="C8156" s="16" t="n">
        <x:v>1380.6056188493</x:v>
      </x:c>
      <x:c r="D8156" s="13" t="str">
        <x:v>Retail</x:v>
      </x:c>
      <x:c r="E8156" s="13" t="str">
        <x:v>Retail</x:v>
      </x:c>
      <x:c r="F8156" s="13" t="str">
        <x:v>Early Cyclicals</x:v>
      </x:c>
      <x:c r="G8156" s="13" t="str">
        <x:v>grid_cqzdsc3v.xlsx</x:v>
      </x:c>
    </x:row>
    <x:row r="8157">
      <x:c r="A8157" s="15" t="n">
        <x:v>44136</x:v>
      </x:c>
      <x:c r="B8157" s="13" t="str">
        <x:v>CIA HERING</x:v>
      </x:c>
      <x:c r="C8157" s="16" t="n">
        <x:v>162.3744582137</x:v>
      </x:c>
      <x:c r="D8157" s="13" t="str">
        <x:v>Retail</x:v>
      </x:c>
      <x:c r="E8157" s="13" t="str">
        <x:v>Retail</x:v>
      </x:c>
      <x:c r="F8157" s="13" t="str">
        <x:v>Early Cyclicals</x:v>
      </x:c>
      <x:c r="G8157" s="13" t="str">
        <x:v>grid_cqzdsc3v.xlsx</x:v>
      </x:c>
    </x:row>
    <x:row r="8158">
      <x:c r="A8158" s="15" t="n">
        <x:v>44136</x:v>
      </x:c>
      <x:c r="B8158" s="13" t="str">
        <x:v>CVC BRASIL OPERADORA E AGENC</x:v>
      </x:c>
      <x:c r="C8158" s="16" t="n">
        <x:v>-87.5835616438</x:v>
      </x:c>
      <x:c r="D8158" s="13" t="str">
        <x:v>Retail</x:v>
      </x:c>
      <x:c r="E8158" s="13" t="str">
        <x:v>Retail</x:v>
      </x:c>
      <x:c r="F8158" s="13" t="str">
        <x:v>Early Cyclicals</x:v>
      </x:c>
      <x:c r="G8158" s="13" t="str">
        <x:v>grid_cqzdsc3v.xlsx</x:v>
      </x:c>
    </x:row>
    <x:row r="8159">
      <x:c r="A8159" s="15" t="n">
        <x:v>44136</x:v>
      </x:c>
      <x:c r="B8159" s="13" t="str">
        <x:v>GRUPO CASAS BAHIA SA</x:v>
      </x:c>
      <x:c r="C8159" s="16" t="n">
        <x:v>561.4052417753</x:v>
      </x:c>
      <x:c r="D8159" s="13" t="str">
        <x:v>Retail</x:v>
      </x:c>
      <x:c r="E8159" s="13" t="str">
        <x:v>Retail</x:v>
      </x:c>
      <x:c r="F8159" s="13" t="str">
        <x:v>Early Cyclicals</x:v>
      </x:c>
      <x:c r="G8159" s="13" t="str">
        <x:v>grid_cqzdsc3v.xlsx</x:v>
      </x:c>
    </x:row>
    <x:row r="8160">
      <x:c r="A8160" s="15" t="n">
        <x:v>44136</x:v>
      </x:c>
      <x:c r="B8160" s="13" t="str">
        <x:v>LOJAS AMERICANAS SA-PREF</x:v>
      </x:c>
      <x:c r="C8160" s="16" t="n">
        <x:v>1092.7449457973</x:v>
      </x:c>
      <x:c r="D8160" s="13" t="str">
        <x:v>Retail</x:v>
      </x:c>
      <x:c r="E8160" s="13" t="str">
        <x:v>Retail</x:v>
      </x:c>
      <x:c r="F8160" s="13" t="str">
        <x:v>Early Cyclicals</x:v>
      </x:c>
      <x:c r="G8160" s="13" t="str">
        <x:v>grid_cqzdsc3v.xlsx</x:v>
      </x:c>
    </x:row>
    <x:row r="8161">
      <x:c r="A8161" s="15" t="n">
        <x:v>44136</x:v>
      </x:c>
      <x:c r="B8161" s="13" t="str">
        <x:v>LOJAS RENNER S.A.</x:v>
      </x:c>
      <x:c r="C8161" s="16" t="n">
        <x:v>1209.8432876712</x:v>
      </x:c>
      <x:c r="D8161" s="13" t="str">
        <x:v>Retail</x:v>
      </x:c>
      <x:c r="E8161" s="13" t="str">
        <x:v>Retail</x:v>
      </x:c>
      <x:c r="F8161" s="13" t="str">
        <x:v>Early Cyclicals</x:v>
      </x:c>
      <x:c r="G8161" s="13" t="str">
        <x:v>grid_cqzdsc3v.xlsx</x:v>
      </x:c>
    </x:row>
    <x:row r="8162">
      <x:c r="A8162" s="15" t="n">
        <x:v>44136</x:v>
      </x:c>
      <x:c r="B8162" s="13" t="str">
        <x:v>MAGAZINE LUIZA SA</x:v>
      </x:c>
      <x:c r="C8162" s="16" t="n">
        <x:v>816.3835616438</x:v>
      </x:c>
      <x:c r="D8162" s="13" t="str">
        <x:v>Retail</x:v>
      </x:c>
      <x:c r="E8162" s="13" t="str">
        <x:v>Retail</x:v>
      </x:c>
      <x:c r="F8162" s="13" t="str">
        <x:v>Early Cyclicals</x:v>
      </x:c>
      <x:c r="G8162" s="13" t="str">
        <x:v>grid_cqzdsc3v.xlsx</x:v>
      </x:c>
    </x:row>
    <x:row r="8163">
      <x:c r="A8163" s="15" t="n">
        <x:v>44136</x:v>
      </x:c>
      <x:c r="B8163" s="13" t="str">
        <x:v>NATURA &amp;CO HOLDING SA</x:v>
      </x:c>
      <x:c r="C8163" s="16" t="n">
        <x:v>712.0128732932</x:v>
      </x:c>
      <x:c r="D8163" s="13" t="str">
        <x:v>Retail</x:v>
      </x:c>
      <x:c r="E8163" s="13" t="str">
        <x:v>Retail</x:v>
      </x:c>
      <x:c r="F8163" s="13" t="str">
        <x:v>Early Cyclicals</x:v>
      </x:c>
      <x:c r="G8163" s="13" t="str">
        <x:v>grid_cqzdsc3v.xlsx</x:v>
      </x:c>
    </x:row>
    <x:row r="8164">
      <x:c r="A8164" s="15" t="n">
        <x:v>44136</x:v>
      </x:c>
      <x:c r="B8164" s="13" t="str">
        <x:v>RAIA DROGASIL SA</x:v>
      </x:c>
      <x:c r="C8164" s="16" t="n">
        <x:v>834.452415474</x:v>
      </x:c>
      <x:c r="D8164" s="13" t="str">
        <x:v>Retail</x:v>
      </x:c>
      <x:c r="E8164" s="13" t="str">
        <x:v>Retail</x:v>
      </x:c>
      <x:c r="F8164" s="13" t="str">
        <x:v>Early Cyclicals</x:v>
      </x:c>
      <x:c r="G8164" s="13" t="str">
        <x:v>grid_cqzdsc3v.xlsx</x:v>
      </x:c>
    </x:row>
    <x:row r="8165">
      <x:c r="A8165" s="15" t="n">
        <x:v>44136</x:v>
      </x:c>
      <x:c r="B8165" s="13" t="str">
        <x:v>CIA SANEAMENTO BASICO DE SP</x:v>
      </x:c>
      <x:c r="C8165" s="16" t="n">
        <x:v>2802.7002154082</x:v>
      </x:c>
      <x:c r="D8165" s="13" t="str">
        <x:v>Sanitation</x:v>
      </x:c>
      <x:c r="E8165" s="13" t="str">
        <x:v>Utilities</x:v>
      </x:c>
      <x:c r="F8165" s="13" t="str">
        <x:v>Defensives</x:v>
      </x:c>
      <x:c r="G8165" s="13" t="str">
        <x:v>grid_cqzdsc3v.xlsx</x:v>
      </x:c>
    </x:row>
    <x:row r="8166">
      <x:c r="A8166" s="15" t="n">
        <x:v>44136</x:v>
      </x:c>
      <x:c r="B8166" s="13" t="str">
        <x:v>TIM SA</x:v>
      </x:c>
      <x:c r="C8166" s="16" t="n">
        <x:v>1855.4913441315</x:v>
      </x:c>
      <x:c r="D8166" s="13" t="str">
        <x:v>TMT</x:v>
      </x:c>
      <x:c r="E8166" s="13" t="str">
        <x:v>TMT</x:v>
      </x:c>
      <x:c r="F8166" s="13" t="str">
        <x:v>Early Cyclicals</x:v>
      </x:c>
      <x:c r="G8166" s="13" t="str">
        <x:v>grid_cqzdsc3v.xlsx</x:v>
      </x:c>
    </x:row>
    <x:row r="8167">
      <x:c r="A8167" s="15" t="n">
        <x:v>44136</x:v>
      </x:c>
      <x:c r="B8167" s="13" t="str">
        <x:v>TOTVS SA</x:v>
      </x:c>
      <x:c r="C8167" s="16" t="n">
        <x:v>392.0487671233</x:v>
      </x:c>
      <x:c r="D8167" s="13" t="str">
        <x:v>TMT</x:v>
      </x:c>
      <x:c r="E8167" s="13" t="str">
        <x:v>TMT</x:v>
      </x:c>
      <x:c r="F8167" s="13" t="str">
        <x:v>Early Cyclicals</x:v>
      </x:c>
      <x:c r="G8167" s="13" t="str">
        <x:v>grid_cqzdsc3v.xlsx</x:v>
      </x:c>
    </x:row>
    <x:row r="8168">
      <x:c r="A8168" s="15" t="n">
        <x:v>44136</x:v>
      </x:c>
      <x:c r="B8168" s="13" t="str">
        <x:v>AZUL SA</x:v>
      </x:c>
      <x:c r="C8168" s="16" t="n">
        <x:v>-1552.0019985534</x:v>
      </x:c>
      <x:c r="D8168" s="13" t="str">
        <x:v>Transportation</x:v>
      </x:c>
      <x:c r="E8168" s="13" t="str">
        <x:v>Transportation</x:v>
      </x:c>
      <x:c r="F8168" s="13" t="str">
        <x:v>Deep Cyclicals</x:v>
      </x:c>
      <x:c r="G8168" s="13" t="str">
        <x:v>grid_cqzdsc3v.xlsx</x:v>
      </x:c>
    </x:row>
    <x:row r="8169">
      <x:c r="A8169" s="15" t="n">
        <x:v>44136</x:v>
      </x:c>
      <x:c r="B8169" s="13" t="str">
        <x:v>ECORODOVIAS INFRA E LOG SA</x:v>
      </x:c>
      <x:c r="C8169" s="16" t="n">
        <x:v>464.168377863</x:v>
      </x:c>
      <x:c r="D8169" s="13" t="str">
        <x:v>Transportation</x:v>
      </x:c>
      <x:c r="E8169" s="13" t="str">
        <x:v>Transportation</x:v>
      </x:c>
      <x:c r="F8169" s="13" t="str">
        <x:v>Deep Cyclicals</x:v>
      </x:c>
      <x:c r="G8169" s="13" t="str">
        <x:v>grid_cqzdsc3v.xlsx</x:v>
      </x:c>
    </x:row>
    <x:row r="8170">
      <x:c r="A8170" s="15" t="n">
        <x:v>44136</x:v>
      </x:c>
      <x:c r="B8170" s="13" t="str">
        <x:v>GOL LINHAS AEREAS INT SA-PRE</x:v>
      </x:c>
      <x:c r="C8170" s="16" t="n">
        <x:v>-893.4500415123</x:v>
      </x:c>
      <x:c r="D8170" s="13" t="str">
        <x:v>Transportation</x:v>
      </x:c>
      <x:c r="E8170" s="13" t="str">
        <x:v>Transportation</x:v>
      </x:c>
      <x:c r="F8170" s="13" t="str">
        <x:v>Deep Cyclicals</x:v>
      </x:c>
      <x:c r="G8170" s="13" t="str">
        <x:v>grid_cqzdsc3v.xlsx</x:v>
      </x:c>
    </x:row>
    <x:row r="8171">
      <x:c r="A8171" s="15" t="n">
        <x:v>44136</x:v>
      </x:c>
      <x:c r="B8171" s="13" t="str">
        <x:v>LOCALIZA RENT A CAR</x:v>
      </x:c>
      <x:c r="C8171" s="16" t="n">
        <x:v>1292.1577759562</x:v>
      </x:c>
      <x:c r="D8171" s="13" t="str">
        <x:v>Transportation</x:v>
      </x:c>
      <x:c r="E8171" s="13" t="str">
        <x:v>Transportation</x:v>
      </x:c>
      <x:c r="F8171" s="13" t="str">
        <x:v>Deep Cyclicals</x:v>
      </x:c>
      <x:c r="G8171" s="13" t="str">
        <x:v>grid_cqzdsc3v.xlsx</x:v>
      </x:c>
    </x:row>
    <x:row r="8172">
      <x:c r="A8172" s="15" t="n">
        <x:v>44136</x:v>
      </x:c>
      <x:c r="B8172" s="13" t="str">
        <x:v>MOTIVA INFRAESTRUTURA DE MOB</x:v>
      </x:c>
      <x:c r="C8172" s="16" t="n">
        <x:v>1423.0596159123</x:v>
      </x:c>
      <x:c r="D8172" s="13" t="str">
        <x:v>Transportation</x:v>
      </x:c>
      <x:c r="E8172" s="13" t="str">
        <x:v>Transportation</x:v>
      </x:c>
      <x:c r="F8172" s="13" t="str">
        <x:v>Deep Cyclicals</x:v>
      </x:c>
      <x:c r="G8172" s="13" t="str">
        <x:v>grid_cqzdsc3v.xlsx</x:v>
      </x:c>
    </x:row>
    <x:row r="8173">
      <x:c r="A8173" s="15" t="n">
        <x:v>44136</x:v>
      </x:c>
      <x:c r="B8173" s="13" t="str">
        <x:v>RUMO SA</x:v>
      </x:c>
      <x:c r="C8173" s="16" t="n">
        <x:v>1034.5117326027</x:v>
      </x:c>
      <x:c r="D8173" s="13" t="str">
        <x:v>Transportation</x:v>
      </x:c>
      <x:c r="E8173" s="13" t="str">
        <x:v>Transportation</x:v>
      </x:c>
      <x:c r="F8173" s="13" t="str">
        <x:v>Deep Cyclicals</x:v>
      </x:c>
      <x:c r="G8173" s="13" t="str">
        <x:v>grid_cqzdsc3v.xlsx</x:v>
      </x:c>
    </x:row>
    <x:row r="8174">
      <x:c r="A8174" s="15" t="n">
        <x:v>44136</x:v>
      </x:c>
      <x:c r="B8174" s="13" t="str">
        <x:v>AXIA ENERGIA SA</x:v>
      </x:c>
      <x:c r="C8174" s="16" t="n">
        <x:v>5978.8341598685</x:v>
      </x:c>
      <x:c r="D8174" s="13" t="str">
        <x:v>Utilities &amp; Energy</x:v>
      </x:c>
      <x:c r="E8174" s="13" t="str">
        <x:v>Utilities</x:v>
      </x:c>
      <x:c r="F8174" s="13" t="str">
        <x:v>Defensives</x:v>
      </x:c>
      <x:c r="G8174" s="13" t="str">
        <x:v>grid_cqzdsc3v.xlsx</x:v>
      </x:c>
    </x:row>
    <x:row r="8175">
      <x:c r="A8175" s="15" t="n">
        <x:v>44136</x:v>
      </x:c>
      <x:c r="B8175" s="13" t="str">
        <x:v>AXIA ENERGIA-PR B</x:v>
      </x:c>
      <x:c r="C8175" s="16" t="n">
        <x:v>5978.8341598685</x:v>
      </x:c>
      <x:c r="D8175" s="13" t="str">
        <x:v>Utilities &amp; Energy</x:v>
      </x:c>
      <x:c r="E8175" s="13" t="str">
        <x:v>Utilities</x:v>
      </x:c>
      <x:c r="F8175" s="13" t="str">
        <x:v>Defensives</x:v>
      </x:c>
      <x:c r="G8175" s="13" t="str">
        <x:v>grid_cqzdsc3v.xlsx</x:v>
      </x:c>
    </x:row>
    <x:row r="8176">
      <x:c r="A8176" s="15" t="n">
        <x:v>44136</x:v>
      </x:c>
      <x:c r="B8176" s="13" t="str">
        <x:v>CIA ENERGETICA MINAS GER-PRF</x:v>
      </x:c>
      <x:c r="C8176" s="16" t="n">
        <x:v>2525.0506545096</x:v>
      </x:c>
      <x:c r="D8176" s="13" t="str">
        <x:v>Utilities &amp; Energy</x:v>
      </x:c>
      <x:c r="E8176" s="13" t="str">
        <x:v>Utilities</x:v>
      </x:c>
      <x:c r="F8176" s="13" t="str">
        <x:v>Defensives</x:v>
      </x:c>
      <x:c r="G8176" s="13" t="str">
        <x:v>grid_cqzdsc3v.xlsx</x:v>
      </x:c>
    </x:row>
    <x:row r="8177">
      <x:c r="A8177" s="15" t="n">
        <x:v>44136</x:v>
      </x:c>
      <x:c r="B8177" s="13" t="str">
        <x:v>CPFL ENERGIA SA</x:v>
      </x:c>
      <x:c r="C8177" s="16" t="n">
        <x:v>3406.2663182027</x:v>
      </x:c>
      <x:c r="D8177" s="13" t="str">
        <x:v>Utilities &amp; Energy</x:v>
      </x:c>
      <x:c r="E8177" s="13" t="str">
        <x:v>Utilities</x:v>
      </x:c>
      <x:c r="F8177" s="13" t="str">
        <x:v>Defensives</x:v>
      </x:c>
      <x:c r="G8177" s="13" t="str">
        <x:v>grid_cqzdsc3v.xlsx</x:v>
      </x:c>
    </x:row>
    <x:row r="8178">
      <x:c r="A8178" s="15" t="n">
        <x:v>44136</x:v>
      </x:c>
      <x:c r="B8178" s="13" t="str">
        <x:v>EDP - ENERGIAS DO BRASIL SA</x:v>
      </x:c>
      <x:c r="C8178" s="16" t="n">
        <x:v>1231.3518393863</x:v>
      </x:c>
      <x:c r="D8178" s="13" t="str">
        <x:v>Utilities &amp; Energy</x:v>
      </x:c>
      <x:c r="E8178" s="13" t="str">
        <x:v>Utilities</x:v>
      </x:c>
      <x:c r="F8178" s="13" t="str">
        <x:v>Defensives</x:v>
      </x:c>
      <x:c r="G8178" s="13" t="str">
        <x:v>grid_cqzdsc3v.xlsx</x:v>
      </x:c>
    </x:row>
    <x:row r="8179">
      <x:c r="A8179" s="15" t="n">
        <x:v>44136</x:v>
      </x:c>
      <x:c r="B8179" s="13" t="str">
        <x:v>ENERGISA SA-UNITS</x:v>
      </x:c>
      <x:c r="C8179" s="16" t="n">
        <x:v>1484.5695277589</x:v>
      </x:c>
      <x:c r="D8179" s="13" t="str">
        <x:v>Utilities &amp; Energy</x:v>
      </x:c>
      <x:c r="E8179" s="13" t="str">
        <x:v>Utilities</x:v>
      </x:c>
      <x:c r="F8179" s="13" t="str">
        <x:v>Defensives</x:v>
      </x:c>
      <x:c r="G8179" s="13" t="str">
        <x:v>grid_cqzdsc3v.xlsx</x:v>
      </x:c>
    </x:row>
    <x:row r="8180">
      <x:c r="A8180" s="15" t="n">
        <x:v>44136</x:v>
      </x:c>
      <x:c r="B8180" s="13" t="str">
        <x:v>ENGIE BRASIL ENERGIA SA</x:v>
      </x:c>
      <x:c r="C8180" s="16" t="n">
        <x:v>2963.6868867507</x:v>
      </x:c>
      <x:c r="D8180" s="13" t="str">
        <x:v>Utilities &amp; Energy</x:v>
      </x:c>
      <x:c r="E8180" s="13" t="str">
        <x:v>Utilities</x:v>
      </x:c>
      <x:c r="F8180" s="13" t="str">
        <x:v>Defensives</x:v>
      </x:c>
      <x:c r="G8180" s="13" t="str">
        <x:v>grid_cqzdsc3v.xlsx</x:v>
      </x:c>
    </x:row>
    <x:row r="8181">
      <x:c r="A8181" s="15" t="n">
        <x:v>44136</x:v>
      </x:c>
      <x:c r="B8181" s="13" t="str">
        <x:v>EQUATORIAL SA - ORD</x:v>
      </x:c>
      <x:c r="C8181" s="16" t="n">
        <x:v>1880.9546524055</x:v>
      </x:c>
      <x:c r="D8181" s="13" t="str">
        <x:v>Utilities &amp; Energy</x:v>
      </x:c>
      <x:c r="E8181" s="13" t="str">
        <x:v>Utilities</x:v>
      </x:c>
      <x:c r="F8181" s="13" t="str">
        <x:v>Defensives</x:v>
      </x:c>
      <x:c r="G8181" s="13" t="str">
        <x:v>grid_cqzdsc3v.xlsx</x:v>
      </x:c>
    </x:row>
    <x:row r="8182">
      <x:c r="A8182" s="15" t="n">
        <x:v>44136</x:v>
      </x:c>
      <x:c r="B8182" s="13" t="str">
        <x:v>TRANSMISSORA ALIANCA DE-UNIT</x:v>
      </x:c>
      <x:c r="C8182" s="16" t="n">
        <x:v>771.5930353973</x:v>
      </x:c>
      <x:c r="D8182" s="13" t="str">
        <x:v>Utilities &amp; Energy</x:v>
      </x:c>
      <x:c r="E8182" s="13" t="str">
        <x:v>Utilities</x:v>
      </x:c>
      <x:c r="F8182" s="13" t="str">
        <x:v>Defensives</x:v>
      </x:c>
      <x:c r="G8182" s="13" t="str">
        <x:v>grid_cqzdsc3v.xlsx</x:v>
      </x:c>
    </x:row>
    <x:row r="8183">
      <x:c r="A8183" s="15" t="n">
        <x:v>44166</x:v>
      </x:c>
      <x:c r="B8183" s="13" t="str">
        <x:v>BANCO BRADESCO S.A.</x:v>
      </x:c>
      <x:c r="C8183" s="16" t="n">
        <x:v>23565.600768</x:v>
      </x:c>
      <x:c r="D8183" s="13" t="str">
        <x:v>Banks</x:v>
      </x:c>
      <x:c r="E8183" s="13" t="str">
        <x:v>Banks</x:v>
      </x:c>
      <x:c r="F8183" s="13" t="str">
        <x:v>Financials</x:v>
      </x:c>
      <x:c r="G8183" s="13" t="str">
        <x:v>grid_cqzdsc3v.xlsx</x:v>
      </x:c>
    </x:row>
    <x:row r="8184">
      <x:c r="A8184" s="15" t="n">
        <x:v>44166</x:v>
      </x:c>
      <x:c r="B8184" s="13" t="str">
        <x:v>BANCO BRADESCO SA-PREF</x:v>
      </x:c>
      <x:c r="C8184" s="16" t="n">
        <x:v>23565.600768</x:v>
      </x:c>
      <x:c r="D8184" s="13" t="str">
        <x:v>Banks</x:v>
      </x:c>
      <x:c r="E8184" s="13" t="str">
        <x:v>Banks</x:v>
      </x:c>
      <x:c r="F8184" s="13" t="str">
        <x:v>Financials</x:v>
      </x:c>
      <x:c r="G8184" s="13" t="str">
        <x:v>grid_cqzdsc3v.xlsx</x:v>
      </x:c>
    </x:row>
    <x:row r="8185">
      <x:c r="A8185" s="15" t="n">
        <x:v>44166</x:v>
      </x:c>
      <x:c r="B8185" s="13" t="str">
        <x:v>BANCO BTG PACTUAL SA-UNIT</x:v>
      </x:c>
      <x:c r="C8185" s="16" t="n">
        <x:v>4446.000128</x:v>
      </x:c>
      <x:c r="D8185" s="13" t="str">
        <x:v>Banks</x:v>
      </x:c>
      <x:c r="E8185" s="13" t="str">
        <x:v>Banks</x:v>
      </x:c>
      <x:c r="F8185" s="13" t="str">
        <x:v>Financials</x:v>
      </x:c>
      <x:c r="G8185" s="13" t="str">
        <x:v>grid_cqzdsc3v.xlsx</x:v>
      </x:c>
    </x:row>
    <x:row r="8186">
      <x:c r="A8186" s="15" t="n">
        <x:v>44166</x:v>
      </x:c>
      <x:c r="B8186" s="13" t="str">
        <x:v>BANCO DO BRASIL S.A.</x:v>
      </x:c>
      <x:c r="C8186" s="16" t="n">
        <x:v>16690.700288</x:v>
      </x:c>
      <x:c r="D8186" s="13" t="str">
        <x:v>Banks</x:v>
      </x:c>
      <x:c r="E8186" s="13" t="str">
        <x:v>Banks</x:v>
      </x:c>
      <x:c r="F8186" s="13" t="str">
        <x:v>Financials</x:v>
      </x:c>
      <x:c r="G8186" s="13" t="str">
        <x:v>grid_cqzdsc3v.xlsx</x:v>
      </x:c>
    </x:row>
    <x:row r="8187">
      <x:c r="A8187" s="15" t="n">
        <x:v>44166</x:v>
      </x:c>
      <x:c r="B8187" s="13" t="str">
        <x:v>BANCO SANTANDER  BRASIL-UNIT</x:v>
      </x:c>
      <x:c r="C8187" s="16" t="n">
        <x:v>14139.700224</x:v>
      </x:c>
      <x:c r="D8187" s="13" t="str">
        <x:v>Banks</x:v>
      </x:c>
      <x:c r="E8187" s="13" t="str">
        <x:v>Banks</x:v>
      </x:c>
      <x:c r="F8187" s="13" t="str">
        <x:v>Financials</x:v>
      </x:c>
      <x:c r="G8187" s="13" t="str">
        <x:v>grid_cqzdsc3v.xlsx</x:v>
      </x:c>
    </x:row>
    <x:row r="8188">
      <x:c r="A8188" s="15" t="n">
        <x:v>44166</x:v>
      </x:c>
      <x:c r="B8188" s="13" t="str">
        <x:v>ITAU UNIBANCO HOLDING S-PREF</x:v>
      </x:c>
      <x:c r="C8188" s="16" t="n">
        <x:v>25804.8</x:v>
      </x:c>
      <x:c r="D8188" s="13" t="str">
        <x:v>Banks</x:v>
      </x:c>
      <x:c r="E8188" s="13" t="str">
        <x:v>Banks</x:v>
      </x:c>
      <x:c r="F8188" s="13" t="str">
        <x:v>Financials</x:v>
      </x:c>
      <x:c r="G8188" s="13" t="str">
        <x:v>grid_cqzdsc3v.xlsx</x:v>
      </x:c>
    </x:row>
    <x:row r="8189">
      <x:c r="A8189" s="15" t="n">
        <x:v>44166</x:v>
      </x:c>
      <x:c r="B8189" s="13" t="str">
        <x:v>EMBRAER SA</x:v>
      </x:c>
      <x:c r="C8189" s="16" t="n">
        <x:v>-645.740032</x:v>
      </x:c>
      <x:c r="D8189" s="13" t="str">
        <x:v>Capital Goods</x:v>
      </x:c>
      <x:c r="E8189" s="13" t="str">
        <x:v>Capital Goods</x:v>
      </x:c>
      <x:c r="F8189" s="13" t="str">
        <x:v>Deep Cyclicals</x:v>
      </x:c>
      <x:c r="G8189" s="13" t="str">
        <x:v>grid_cqzdsc3v.xlsx</x:v>
      </x:c>
    </x:row>
    <x:row r="8190">
      <x:c r="A8190" s="15" t="n">
        <x:v>44166</x:v>
      </x:c>
      <x:c r="B8190" s="13" t="str">
        <x:v>WEG SA</x:v>
      </x:c>
      <x:c r="C8190" s="16" t="n">
        <x:v>2692.620032</x:v>
      </x:c>
      <x:c r="D8190" s="13" t="str">
        <x:v>Capital Goods</x:v>
      </x:c>
      <x:c r="E8190" s="13" t="str">
        <x:v>Capital Goods</x:v>
      </x:c>
      <x:c r="F8190" s="13" t="str">
        <x:v>Deep Cyclicals</x:v>
      </x:c>
      <x:c r="G8190" s="13" t="str">
        <x:v>grid_cqzdsc3v.xlsx</x:v>
      </x:c>
    </x:row>
    <x:row r="8191">
      <x:c r="A8191" s="15" t="n">
        <x:v>44166</x:v>
      </x:c>
      <x:c r="B8191" s="13" t="str">
        <x:v>COGNA EDUCACAO</x:v>
      </x:c>
      <x:c r="C8191" s="16" t="n">
        <x:v>107</x:v>
      </x:c>
      <x:c r="D8191" s="13" t="str">
        <x:v>Education</x:v>
      </x:c>
      <x:c r="E8191" s="13" t="str">
        <x:v>Education</x:v>
      </x:c>
      <x:c r="F8191" s="13" t="str">
        <x:v>Early Cyclicals</x:v>
      </x:c>
      <x:c r="G8191" s="13" t="str">
        <x:v>grid_cqzdsc3v.xlsx</x:v>
      </x:c>
    </x:row>
    <x:row r="8192">
      <x:c r="A8192" s="15" t="n">
        <x:v>44166</x:v>
      </x:c>
      <x:c r="B8192" s="13" t="str">
        <x:v>YDUQS PARTICIPACOES SA</x:v>
      </x:c>
      <x:c r="C8192" s="16" t="n">
        <x:v>609.4</x:v>
      </x:c>
      <x:c r="D8192" s="13" t="str">
        <x:v>Education</x:v>
      </x:c>
      <x:c r="E8192" s="13" t="str">
        <x:v>Education</x:v>
      </x:c>
      <x:c r="F8192" s="13" t="str">
        <x:v>Early Cyclicals</x:v>
      </x:c>
      <x:c r="G8192" s="13" t="str">
        <x:v>grid_cqzdsc3v.xlsx</x:v>
      </x:c>
    </x:row>
    <x:row r="8193">
      <x:c r="A8193" s="15" t="n">
        <x:v>44166</x:v>
      </x:c>
      <x:c r="B8193" s="13" t="str">
        <x:v>B3 SA-BRASIL BOLSA BALCAO</x:v>
      </x:c>
      <x:c r="C8193" s="16" t="n">
        <x:v>4732.140032</x:v>
      </x:c>
      <x:c r="D8193" s="13" t="str">
        <x:v>Financials Non-Banks</x:v>
      </x:c>
      <x:c r="E8193" s="13" t="str">
        <x:v>Financials Non-Banks</x:v>
      </x:c>
      <x:c r="F8193" s="13" t="str">
        <x:v>Financials</x:v>
      </x:c>
      <x:c r="G8193" s="13" t="str">
        <x:v>grid_cqzdsc3v.xlsx</x:v>
      </x:c>
    </x:row>
    <x:row r="8194">
      <x:c r="A8194" s="15" t="n">
        <x:v>44166</x:v>
      </x:c>
      <x:c r="B8194" s="13" t="str">
        <x:v>BB SEGURIDADE PARTICIPACOES</x:v>
      </x:c>
      <x:c r="C8194" s="16" t="n">
        <x:v>4295.830016</x:v>
      </x:c>
      <x:c r="D8194" s="13" t="str">
        <x:v>Financials Non-Banks</x:v>
      </x:c>
      <x:c r="E8194" s="13" t="str">
        <x:v>Financials Non-Banks</x:v>
      </x:c>
      <x:c r="F8194" s="13" t="str">
        <x:v>Financials</x:v>
      </x:c>
      <x:c r="G8194" s="13" t="str">
        <x:v>grid_cqzdsc3v.xlsx</x:v>
      </x:c>
    </x:row>
    <x:row r="8195">
      <x:c r="A8195" s="15" t="n">
        <x:v>44166</x:v>
      </x:c>
      <x:c r="B8195" s="13" t="str">
        <x:v>CIELO SA</x:v>
      </x:c>
      <x:c r="C8195" s="16" t="n">
        <x:v>849.750016</x:v>
      </x:c>
      <x:c r="D8195" s="13" t="str">
        <x:v>Financials Non-Banks</x:v>
      </x:c>
      <x:c r="E8195" s="13" t="str">
        <x:v>Financials Non-Banks</x:v>
      </x:c>
      <x:c r="F8195" s="13" t="str">
        <x:v>Financials</x:v>
      </x:c>
      <x:c r="G8195" s="13" t="str">
        <x:v>Ibovespa_earnings_consolidated.xlsx</x:v>
      </x:c>
    </x:row>
    <x:row r="8196">
      <x:c r="A8196" s="15" t="n">
        <x:v>44166</x:v>
      </x:c>
      <x:c r="B8196" s="13" t="str">
        <x:v>CIELO SA - INSTITUICAO DE PA</x:v>
      </x:c>
      <x:c r="C8196" s="16" t="n">
        <x:v>849.750016</x:v>
      </x:c>
      <x:c r="D8196" s="13" t="str">
        <x:v>Financials Non-Banks</x:v>
      </x:c>
      <x:c r="E8196" s="13" t="str">
        <x:v>Financials Non-Banks</x:v>
      </x:c>
      <x:c r="F8196" s="13" t="str">
        <x:v>Financials</x:v>
      </x:c>
      <x:c r="G8196" s="13" t="str">
        <x:v>grid_cqzdsc3v.xlsx</x:v>
      </x:c>
    </x:row>
    <x:row r="8197">
      <x:c r="A8197" s="15" t="n">
        <x:v>44166</x:v>
      </x:c>
      <x:c r="B8197" s="13" t="str">
        <x:v>IRB BRASIL RESSEGUROS SA</x:v>
      </x:c>
      <x:c r="C8197" s="16" t="n">
        <x:v>324.332992</x:v>
      </x:c>
      <x:c r="D8197" s="13" t="str">
        <x:v>Financials Non-Banks</x:v>
      </x:c>
      <x:c r="E8197" s="13" t="str">
        <x:v>Financials Non-Banks</x:v>
      </x:c>
      <x:c r="F8197" s="13" t="str">
        <x:v>Financials</x:v>
      </x:c>
      <x:c r="G8197" s="13" t="str">
        <x:v>grid_cqzdsc3v.xlsx</x:v>
      </x:c>
    </x:row>
    <x:row r="8198">
      <x:c r="A8198" s="15" t="n">
        <x:v>44166</x:v>
      </x:c>
      <x:c r="B8198" s="13" t="str">
        <x:v>ITAUSA SA</x:v>
      </x:c>
      <x:c r="C8198" s="16" t="n">
        <x:v>8762.999808</x:v>
      </x:c>
      <x:c r="D8198" s="13" t="str">
        <x:v>Financials Non-Banks</x:v>
      </x:c>
      <x:c r="E8198" s="13" t="str">
        <x:v>Financials Non-Banks</x:v>
      </x:c>
      <x:c r="F8198" s="13" t="str">
        <x:v>Financials</x:v>
      </x:c>
      <x:c r="G8198" s="13" t="str">
        <x:v>grid_cqzdsc3v.xlsx</x:v>
      </x:c>
    </x:row>
    <x:row r="8199">
      <x:c r="A8199" s="15" t="n">
        <x:v>44166</x:v>
      </x:c>
      <x:c r="B8199" s="13" t="str">
        <x:v>AMBEV SA</x:v>
      </x:c>
      <x:c r="C8199" s="16" t="n">
        <x:v>10789.600256</x:v>
      </x:c>
      <x:c r="D8199" s="13" t="str">
        <x:v>Food &amp; Beverages</x:v>
      </x:c>
      <x:c r="E8199" s="13" t="str">
        <x:v>Agri, Food &amp; Beverages</x:v>
      </x:c>
      <x:c r="F8199" s="13" t="str">
        <x:v>Defensives</x:v>
      </x:c>
      <x:c r="G8199" s="13" t="str">
        <x:v>grid_cqzdsc3v.xlsx</x:v>
      </x:c>
    </x:row>
    <x:row r="8200">
      <x:c r="A8200" s="15" t="n">
        <x:v>44166</x:v>
      </x:c>
      <x:c r="B8200" s="13" t="str">
        <x:v>BRF SA</x:v>
      </x:c>
      <x:c r="C8200" s="16" t="n">
        <x:v>951.667008</x:v>
      </x:c>
      <x:c r="D8200" s="13" t="str">
        <x:v>Food &amp; Beverages</x:v>
      </x:c>
      <x:c r="E8200" s="13" t="str">
        <x:v>Agri, Food &amp; Beverages</x:v>
      </x:c>
      <x:c r="F8200" s="13" t="str">
        <x:v>Defensives</x:v>
      </x:c>
      <x:c r="G8200" s="13" t="str">
        <x:v>grid_cqzdsc3v.xlsx</x:v>
      </x:c>
    </x:row>
    <x:row r="8201">
      <x:c r="A8201" s="15" t="n">
        <x:v>44166</x:v>
      </x:c>
      <x:c r="B8201" s="13" t="str">
        <x:v>JBS SA</x:v>
      </x:c>
      <x:c r="C8201" s="16" t="n">
        <x:v>8557.000192</x:v>
      </x:c>
      <x:c r="D8201" s="13" t="str">
        <x:v>Food &amp; Beverages</x:v>
      </x:c>
      <x:c r="E8201" s="13" t="str">
        <x:v>Agri, Food &amp; Beverages</x:v>
      </x:c>
      <x:c r="F8201" s="13" t="str">
        <x:v>Defensives</x:v>
      </x:c>
      <x:c r="G8201" s="13" t="str">
        <x:v>grid_cqzdsc3v.xlsx</x:v>
      </x:c>
    </x:row>
    <x:row r="8202">
      <x:c r="A8202" s="15" t="n">
        <x:v>44166</x:v>
      </x:c>
      <x:c r="B8202" s="13" t="str">
        <x:v>MBRF GLOBAL FOODS COMPANY SA</x:v>
      </x:c>
      <x:c r="C8202" s="16" t="n">
        <x:v>1581.6</x:v>
      </x:c>
      <x:c r="D8202" s="13" t="str">
        <x:v>Food &amp; Beverages</x:v>
      </x:c>
      <x:c r="E8202" s="13" t="str">
        <x:v>Agri, Food &amp; Beverages</x:v>
      </x:c>
      <x:c r="F8202" s="13" t="str">
        <x:v>Defensives</x:v>
      </x:c>
      <x:c r="G8202" s="13" t="str">
        <x:v>grid_cqzdsc3v.xlsx</x:v>
      </x:c>
    </x:row>
    <x:row r="8203">
      <x:c r="A8203" s="15" t="n">
        <x:v>44166</x:v>
      </x:c>
      <x:c r="B8203" s="13" t="str">
        <x:v>MINERVA SA</x:v>
      </x:c>
      <x:c r="C8203" s="16" t="n">
        <x:v>603.332992</x:v>
      </x:c>
      <x:c r="D8203" s="13" t="str">
        <x:v>Food &amp; Beverages</x:v>
      </x:c>
      <x:c r="E8203" s="13" t="str">
        <x:v>Agri, Food &amp; Beverages</x:v>
      </x:c>
      <x:c r="F8203" s="13" t="str">
        <x:v>Defensives</x:v>
      </x:c>
      <x:c r="G8203" s="13" t="str">
        <x:v>grid_cqzdsc3v.xlsx</x:v>
      </x:c>
    </x:row>
    <x:row r="8204">
      <x:c r="A8204" s="15" t="n">
        <x:v>44166</x:v>
      </x:c>
      <x:c r="B8204" s="13" t="str">
        <x:v>FLEURY SA</x:v>
      </x:c>
      <x:c r="C8204" s="16" t="n">
        <x:v>331.5</x:v>
      </x:c>
      <x:c r="D8204" s="13" t="str">
        <x:v>Health Care</x:v>
      </x:c>
      <x:c r="E8204" s="13" t="str">
        <x:v>Health Care</x:v>
      </x:c>
      <x:c r="F8204" s="13" t="str">
        <x:v>Defensives</x:v>
      </x:c>
      <x:c r="G8204" s="13" t="str">
        <x:v>grid_cqzdsc3v.xlsx</x:v>
      </x:c>
    </x:row>
    <x:row r="8205">
      <x:c r="A8205" s="15" t="n">
        <x:v>44166</x:v>
      </x:c>
      <x:c r="B8205" s="13" t="str">
        <x:v>HAPVIDA PARTICIPACOES E INVE</x:v>
      </x:c>
      <x:c r="C8205" s="16" t="n">
        <x:v>1104.749952</x:v>
      </x:c>
      <x:c r="D8205" s="13" t="str">
        <x:v>Health Care</x:v>
      </x:c>
      <x:c r="E8205" s="13" t="str">
        <x:v>Health Care</x:v>
      </x:c>
      <x:c r="F8205" s="13" t="str">
        <x:v>Defensives</x:v>
      </x:c>
      <x:c r="G8205" s="13" t="str">
        <x:v>grid_cqzdsc3v.xlsx</x:v>
      </x:c>
    </x:row>
    <x:row r="8206">
      <x:c r="A8206" s="15" t="n">
        <x:v>44166</x:v>
      </x:c>
      <x:c r="B8206" s="13" t="str">
        <x:v>HYPERA SA</x:v>
      </x:c>
      <x:c r="C8206" s="16" t="n">
        <x:v>1484.999936</x:v>
      </x:c>
      <x:c r="D8206" s="13" t="str">
        <x:v>Health Care</x:v>
      </x:c>
      <x:c r="E8206" s="13" t="str">
        <x:v>Health Care</x:v>
      </x:c>
      <x:c r="F8206" s="13" t="str">
        <x:v>Defensives</x:v>
      </x:c>
      <x:c r="G8206" s="13" t="str">
        <x:v>grid_cqzdsc3v.xlsx</x:v>
      </x:c>
    </x:row>
    <x:row r="8207">
      <x:c r="A8207" s="15" t="n">
        <x:v>44166</x:v>
      </x:c>
      <x:c r="B8207" s="13" t="str">
        <x:v>NOTRE DAME INTERMED PAR SA</x:v>
      </x:c>
      <x:c r="C8207" s="16" t="n">
        <x:v>981.2</x:v>
      </x:c>
      <x:c r="D8207" s="13" t="str">
        <x:v>Health Care</x:v>
      </x:c>
      <x:c r="E8207" s="13" t="str">
        <x:v>Health Care</x:v>
      </x:c>
      <x:c r="F8207" s="13" t="str">
        <x:v>Defensives</x:v>
      </x:c>
      <x:c r="G8207" s="13" t="str">
        <x:v>grid_cqzdsc3v.xlsx</x:v>
      </x:c>
    </x:row>
    <x:row r="8208">
      <x:c r="A8208" s="15" t="n">
        <x:v>44166</x:v>
      </x:c>
      <x:c r="B8208" s="13" t="str">
        <x:v>QUALICORP CONS E CORR SEG SA</x:v>
      </x:c>
      <x:c r="C8208" s="16" t="n">
        <x:v>584.249984</x:v>
      </x:c>
      <x:c r="D8208" s="13" t="str">
        <x:v>Health Care</x:v>
      </x:c>
      <x:c r="E8208" s="13" t="str">
        <x:v>Health Care</x:v>
      </x:c>
      <x:c r="F8208" s="13" t="str">
        <x:v>Defensives</x:v>
      </x:c>
      <x:c r="G8208" s="13" t="str">
        <x:v>grid_cqzdsc3v.xlsx</x:v>
      </x:c>
    </x:row>
    <x:row r="8209">
      <x:c r="A8209" s="15" t="n">
        <x:v>44166</x:v>
      </x:c>
      <x:c r="B8209" s="13" t="str">
        <x:v>SUL AMERICA SA - UNITS</x:v>
      </x:c>
      <x:c r="C8209" s="16" t="n">
        <x:v>967.2</x:v>
      </x:c>
      <x:c r="D8209" s="13" t="str">
        <x:v>Health Care</x:v>
      </x:c>
      <x:c r="E8209" s="13" t="str">
        <x:v>Health Care</x:v>
      </x:c>
      <x:c r="F8209" s="13" t="str">
        <x:v>Defensives</x:v>
      </x:c>
      <x:c r="G8209" s="13" t="str">
        <x:v>grid_cqzdsc3v.xlsx</x:v>
      </x:c>
    </x:row>
    <x:row r="8210">
      <x:c r="A8210" s="15" t="n">
        <x:v>44166</x:v>
      </x:c>
      <x:c r="B8210" s="13" t="str">
        <x:v>CYRELA BRAZIL REALTY SA EMP</x:v>
      </x:c>
      <x:c r="C8210" s="16" t="n">
        <x:v>777.713984</x:v>
      </x:c>
      <x:c r="D8210" s="13" t="str">
        <x:v>Homebuilders</x:v>
      </x:c>
      <x:c r="E8210" s="13" t="str">
        <x:v>Real Estate</x:v>
      </x:c>
      <x:c r="F8210" s="13" t="str">
        <x:v>Early Cyclicals</x:v>
      </x:c>
      <x:c r="G8210" s="13" t="str">
        <x:v>grid_cqzdsc3v.xlsx</x:v>
      </x:c>
    </x:row>
    <x:row r="8211">
      <x:c r="A8211" s="15" t="n">
        <x:v>44166</x:v>
      </x:c>
      <x:c r="B8211" s="13" t="str">
        <x:v>EZ TEC EMPREENDIMENTOS E PAR</x:v>
      </x:c>
      <x:c r="C8211" s="16" t="n">
        <x:v>541.332992</x:v>
      </x:c>
      <x:c r="D8211" s="13" t="str">
        <x:v>Homebuilders</x:v>
      </x:c>
      <x:c r="E8211" s="13" t="str">
        <x:v>Real Estate</x:v>
      </x:c>
      <x:c r="F8211" s="13" t="str">
        <x:v>Early Cyclicals</x:v>
      </x:c>
      <x:c r="G8211" s="13" t="str">
        <x:v>grid_cqzdsc3v.xlsx</x:v>
      </x:c>
    </x:row>
    <x:row r="8212">
      <x:c r="A8212" s="15" t="n">
        <x:v>44166</x:v>
      </x:c>
      <x:c r="B8212" s="13" t="str">
        <x:v>MRV ENGENHARIA</x:v>
      </x:c>
      <x:c r="C8212" s="16" t="n">
        <x:v>743</x:v>
      </x:c>
      <x:c r="D8212" s="13" t="str">
        <x:v>Homebuilders</x:v>
      </x:c>
      <x:c r="E8212" s="13" t="str">
        <x:v>Real Estate</x:v>
      </x:c>
      <x:c r="F8212" s="13" t="str">
        <x:v>Early Cyclicals</x:v>
      </x:c>
      <x:c r="G8212" s="13" t="str">
        <x:v>grid_cqzdsc3v.xlsx</x:v>
      </x:c>
    </x:row>
    <x:row r="8213">
      <x:c r="A8213" s="15" t="n">
        <x:v>44166</x:v>
      </x:c>
      <x:c r="B8213" s="13" t="str">
        <x:v>BR MALLS PARTICIPACOES SA</x:v>
      </x:c>
      <x:c r="C8213" s="16" t="n">
        <x:v>557.500032</x:v>
      </x:c>
      <x:c r="D8213" s="13" t="str">
        <x:v>Income Properties</x:v>
      </x:c>
      <x:c r="E8213" s="13" t="str">
        <x:v>Real Estate</x:v>
      </x:c>
      <x:c r="F8213" s="13" t="str">
        <x:v>Early Cyclicals</x:v>
      </x:c>
      <x:c r="G8213" s="13" t="str">
        <x:v>grid_cqzdsc3v.xlsx</x:v>
      </x:c>
    </x:row>
    <x:row r="8214">
      <x:c r="A8214" s="15" t="n">
        <x:v>44166</x:v>
      </x:c>
      <x:c r="B8214" s="13" t="str">
        <x:v>IGUATEMI EMP DE SHOPPING</x:v>
      </x:c>
      <x:c r="C8214" s="16" t="n">
        <x:v>238.4</x:v>
      </x:c>
      <x:c r="D8214" s="13" t="str">
        <x:v>Income Properties</x:v>
      </x:c>
      <x:c r="E8214" s="13" t="str">
        <x:v>Real Estate</x:v>
      </x:c>
      <x:c r="F8214" s="13" t="str">
        <x:v>Early Cyclicals</x:v>
      </x:c>
      <x:c r="G8214" s="13" t="str">
        <x:v>grid_cqzdsc3v.xlsx</x:v>
      </x:c>
    </x:row>
    <x:row r="8215">
      <x:c r="A8215" s="15" t="n">
        <x:v>44166</x:v>
      </x:c>
      <x:c r="B8215" s="13" t="str">
        <x:v>JHSF PARTICIPACOES SA</x:v>
      </x:c>
      <x:c r="C8215" s="16" t="n">
        <x:v>265</x:v>
      </x:c>
      <x:c r="D8215" s="13" t="str">
        <x:v>Income Properties</x:v>
      </x:c>
      <x:c r="E8215" s="13" t="str">
        <x:v>Real Estate</x:v>
      </x:c>
      <x:c r="F8215" s="13" t="str">
        <x:v>Early Cyclicals</x:v>
      </x:c>
      <x:c r="G8215" s="13" t="str">
        <x:v>grid_cqzdsc3v.xlsx</x:v>
      </x:c>
    </x:row>
    <x:row r="8216">
      <x:c r="A8216" s="15" t="n">
        <x:v>44166</x:v>
      </x:c>
      <x:c r="B8216" s="13" t="str">
        <x:v>MULTIPLAN EMPREENDIMENTOS</x:v>
      </x:c>
      <x:c r="C8216" s="16" t="n">
        <x:v>487.167008</x:v>
      </x:c>
      <x:c r="D8216" s="13" t="str">
        <x:v>Income Properties</x:v>
      </x:c>
      <x:c r="E8216" s="13" t="str">
        <x:v>Real Estate</x:v>
      </x:c>
      <x:c r="F8216" s="13" t="str">
        <x:v>Early Cyclicals</x:v>
      </x:c>
      <x:c r="G8216" s="13" t="str">
        <x:v>grid_cqzdsc3v.xlsx</x:v>
      </x:c>
    </x:row>
    <x:row r="8217">
      <x:c r="A8217" s="15" t="n">
        <x:v>44166</x:v>
      </x:c>
      <x:c r="B8217" s="13" t="str">
        <x:v>CIA SIDERURGICA NACIONAL SA</x:v>
      </x:c>
      <x:c r="C8217" s="16" t="n">
        <x:v>4618.200064</x:v>
      </x:c>
      <x:c r="D8217" s="13" t="str">
        <x:v>Metals &amp; Mining</x:v>
      </x:c>
      <x:c r="E8217" s="13" t="str">
        <x:v>Metals &amp; Mining</x:v>
      </x:c>
      <x:c r="F8217" s="13" t="str">
        <x:v>Deep Cyclicals</x:v>
      </x:c>
      <x:c r="G8217" s="13" t="str">
        <x:v>grid_cqzdsc3v.xlsx</x:v>
      </x:c>
    </x:row>
    <x:row r="8218">
      <x:c r="A8218" s="15" t="n">
        <x:v>44166</x:v>
      </x:c>
      <x:c r="B8218" s="13" t="str">
        <x:v>GERDAU SA-PREF</x:v>
      </x:c>
      <x:c r="C8218" s="16" t="n">
        <x:v>3016.27008</x:v>
      </x:c>
      <x:c r="D8218" s="13" t="str">
        <x:v>Metals &amp; Mining</x:v>
      </x:c>
      <x:c r="E8218" s="13" t="str">
        <x:v>Metals &amp; Mining</x:v>
      </x:c>
      <x:c r="F8218" s="13" t="str">
        <x:v>Deep Cyclicals</x:v>
      </x:c>
      <x:c r="G8218" s="13" t="str">
        <x:v>grid_cqzdsc3v.xlsx</x:v>
      </x:c>
    </x:row>
    <x:row r="8219">
      <x:c r="A8219" s="15" t="n">
        <x:v>44166</x:v>
      </x:c>
      <x:c r="B8219" s="13" t="str">
        <x:v>USINAS SIDER MINAS GER-PF A</x:v>
      </x:c>
      <x:c r="C8219" s="16" t="n">
        <x:v>1418.4</x:v>
      </x:c>
      <x:c r="D8219" s="13" t="str">
        <x:v>Metals &amp; Mining</x:v>
      </x:c>
      <x:c r="E8219" s="13" t="str">
        <x:v>Metals &amp; Mining</x:v>
      </x:c>
      <x:c r="F8219" s="13" t="str">
        <x:v>Deep Cyclicals</x:v>
      </x:c>
      <x:c r="G8219" s="13" t="str">
        <x:v>grid_cqzdsc3v.xlsx</x:v>
      </x:c>
    </x:row>
    <x:row r="8220">
      <x:c r="A8220" s="15" t="n">
        <x:v>44166</x:v>
      </x:c>
      <x:c r="B8220" s="13" t="str">
        <x:v>VALE SA</x:v>
      </x:c>
      <x:c r="C8220" s="16" t="n">
        <x:v>68381.499392</x:v>
      </x:c>
      <x:c r="D8220" s="13" t="str">
        <x:v>Metals &amp; Mining</x:v>
      </x:c>
      <x:c r="E8220" s="13" t="str">
        <x:v>Metals &amp; Mining</x:v>
      </x:c>
      <x:c r="F8220" s="13" t="str">
        <x:v>Deep Cyclicals</x:v>
      </x:c>
      <x:c r="G8220" s="13" t="str">
        <x:v>grid_cqzdsc3v.xlsx</x:v>
      </x:c>
    </x:row>
    <x:row r="8221">
      <x:c r="A8221" s="15" t="n">
        <x:v>44166</x:v>
      </x:c>
      <x:c r="B8221" s="13" t="str">
        <x:v>BRASKEM SA-PREF A</x:v>
      </x:c>
      <x:c r="C8221" s="16" t="n">
        <x:v>1741.2</x:v>
      </x:c>
      <x:c r="D8221" s="13" t="str">
        <x:v>Oil, Gas &amp; Petrochemicals</x:v>
      </x:c>
      <x:c r="E8221" s="13" t="str">
        <x:v>Oil, Gas &amp; Petrochemicals</x:v>
      </x:c>
      <x:c r="F8221" s="13" t="str">
        <x:v>Deep Cyclicals</x:v>
      </x:c>
      <x:c r="G8221" s="13" t="str">
        <x:v>grid_cqzdsc3v.xlsx</x:v>
      </x:c>
    </x:row>
    <x:row r="8222">
      <x:c r="A8222" s="15" t="n">
        <x:v>44166</x:v>
      </x:c>
      <x:c r="B8222" s="13" t="str">
        <x:v>COSAN SA</x:v>
      </x:c>
      <x:c r="C8222" s="16" t="n">
        <x:v>1984.569984</x:v>
      </x:c>
      <x:c r="D8222" s="13" t="str">
        <x:v>Oil, Gas &amp; Petrochemicals</x:v>
      </x:c>
      <x:c r="E8222" s="13" t="str">
        <x:v>Oil, Gas &amp; Petrochemicals</x:v>
      </x:c>
      <x:c r="F8222" s="13" t="str">
        <x:v>Deep Cyclicals</x:v>
      </x:c>
      <x:c r="G8222" s="13" t="str">
        <x:v>grid_cqzdsc3v.xlsx</x:v>
      </x:c>
    </x:row>
    <x:row r="8223">
      <x:c r="A8223" s="15" t="n">
        <x:v>44166</x:v>
      </x:c>
      <x:c r="B8223" s="13" t="str">
        <x:v>PETROBRAS - PETROLEO BRAS</x:v>
      </x:c>
      <x:c r="C8223" s="16" t="n">
        <x:v>34519.699456</x:v>
      </x:c>
      <x:c r="D8223" s="13" t="str">
        <x:v>Oil, Gas &amp; Petrochemicals</x:v>
      </x:c>
      <x:c r="E8223" s="13" t="str">
        <x:v>Oil, Gas &amp; Petrochemicals</x:v>
      </x:c>
      <x:c r="F8223" s="13" t="str">
        <x:v>Deep Cyclicals</x:v>
      </x:c>
      <x:c r="G8223" s="13" t="str">
        <x:v>grid_cqzdsc3v.xlsx</x:v>
      </x:c>
    </x:row>
    <x:row r="8224">
      <x:c r="A8224" s="15" t="n">
        <x:v>44166</x:v>
      </x:c>
      <x:c r="B8224" s="13" t="str">
        <x:v>PRIO SA</x:v>
      </x:c>
      <x:c r="C8224" s="16" t="n">
        <x:v>1102</x:v>
      </x:c>
      <x:c r="D8224" s="13" t="str">
        <x:v>Oil, Gas &amp; Petrochemicals</x:v>
      </x:c>
      <x:c r="E8224" s="13" t="str">
        <x:v>Oil, Gas &amp; Petrochemicals</x:v>
      </x:c>
      <x:c r="F8224" s="13" t="str">
        <x:v>Deep Cyclicals</x:v>
      </x:c>
      <x:c r="G8224" s="13" t="str">
        <x:v>grid_cqzdsc3v.xlsx</x:v>
      </x:c>
    </x:row>
    <x:row r="8225">
      <x:c r="A8225" s="15" t="n">
        <x:v>44166</x:v>
      </x:c>
      <x:c r="B8225" s="13" t="str">
        <x:v>ULTRAPAR PARTICIPACOES SA</x:v>
      </x:c>
      <x:c r="C8225" s="16" t="n">
        <x:v>1336.179968</x:v>
      </x:c>
      <x:c r="D8225" s="13" t="str">
        <x:v>Oil, Gas &amp; Petrochemicals</x:v>
      </x:c>
      <x:c r="E8225" s="13" t="str">
        <x:v>Oil, Gas &amp; Petrochemicals</x:v>
      </x:c>
      <x:c r="F8225" s="13" t="str">
        <x:v>Deep Cyclicals</x:v>
      </x:c>
      <x:c r="G8225" s="13" t="str">
        <x:v>grid_cqzdsc3v.xlsx</x:v>
      </x:c>
    </x:row>
    <x:row r="8226">
      <x:c r="A8226" s="15" t="n">
        <x:v>44166</x:v>
      </x:c>
      <x:c r="B8226" s="13" t="str">
        <x:v>VIBRA ENERGIA SA</x:v>
      </x:c>
      <x:c r="C8226" s="16" t="n">
        <x:v>1682.290048</x:v>
      </x:c>
      <x:c r="D8226" s="13" t="str">
        <x:v>Oil, Gas &amp; Petrochemicals</x:v>
      </x:c>
      <x:c r="E8226" s="13" t="str">
        <x:v>Oil, Gas &amp; Petrochemicals</x:v>
      </x:c>
      <x:c r="F8226" s="13" t="str">
        <x:v>Deep Cyclicals</x:v>
      </x:c>
      <x:c r="G8226" s="13" t="str">
        <x:v>grid_cqzdsc3v.xlsx</x:v>
      </x:c>
    </x:row>
    <x:row r="8227">
      <x:c r="A8227" s="15" t="n">
        <x:v>44166</x:v>
      </x:c>
      <x:c r="B8227" s="13" t="str">
        <x:v>KLABIN SA - UNIT</x:v>
      </x:c>
      <x:c r="C8227" s="16" t="n">
        <x:v>1884.329984</x:v>
      </x:c>
      <x:c r="D8227" s="13" t="str">
        <x:v>Pulp &amp; Paper</x:v>
      </x:c>
      <x:c r="E8227" s="13" t="str">
        <x:v>Pulp &amp; Paper</x:v>
      </x:c>
      <x:c r="F8227" s="13" t="str">
        <x:v>Deep Cyclicals</x:v>
      </x:c>
      <x:c r="G8227" s="13" t="str">
        <x:v>grid_cqzdsc3v.xlsx</x:v>
      </x:c>
    </x:row>
    <x:row r="8228">
      <x:c r="A8228" s="15" t="n">
        <x:v>44166</x:v>
      </x:c>
      <x:c r="B8228" s="13" t="str">
        <x:v>SUZANO SA</x:v>
      </x:c>
      <x:c r="C8228" s="16" t="n">
        <x:v>7373.55008</x:v>
      </x:c>
      <x:c r="D8228" s="13" t="str">
        <x:v>Pulp &amp; Paper</x:v>
      </x:c>
      <x:c r="E8228" s="13" t="str">
        <x:v>Pulp &amp; Paper</x:v>
      </x:c>
      <x:c r="F8228" s="13" t="str">
        <x:v>Deep Cyclicals</x:v>
      </x:c>
      <x:c r="G8228" s="13" t="str">
        <x:v>grid_cqzdsc3v.xlsx</x:v>
      </x:c>
    </x:row>
    <x:row r="8229">
      <x:c r="A8229" s="15" t="n">
        <x:v>44166</x:v>
      </x:c>
      <x:c r="B8229" s="13" t="str">
        <x:v>AMERICANAS SA</x:v>
      </x:c>
      <x:c r="C8229" s="16" t="n">
        <x:v>123.988</x:v>
      </x:c>
      <x:c r="D8229" s="13" t="str">
        <x:v>Retail</x:v>
      </x:c>
      <x:c r="E8229" s="13" t="str">
        <x:v>Retail</x:v>
      </x:c>
      <x:c r="F8229" s="13" t="str">
        <x:v>Early Cyclicals</x:v>
      </x:c>
      <x:c r="G8229" s="13" t="str">
        <x:v>grid_cqzdsc3v.xlsx</x:v>
      </x:c>
    </x:row>
    <x:row r="8230">
      <x:c r="A8230" s="15" t="n">
        <x:v>44166</x:v>
      </x:c>
      <x:c r="B8230" s="13" t="str">
        <x:v>ATACADAO SA</x:v>
      </x:c>
      <x:c r="C8230" s="16" t="n">
        <x:v>2457.999872</x:v>
      </x:c>
      <x:c r="D8230" s="13" t="str">
        <x:v>Retail</x:v>
      </x:c>
      <x:c r="E8230" s="13" t="str">
        <x:v>Retail</x:v>
      </x:c>
      <x:c r="F8230" s="13" t="str">
        <x:v>Early Cyclicals</x:v>
      </x:c>
      <x:c r="G8230" s="13" t="str">
        <x:v>grid_cqzdsc3v.xlsx</x:v>
      </x:c>
    </x:row>
    <x:row r="8231">
      <x:c r="A8231" s="15" t="n">
        <x:v>44166</x:v>
      </x:c>
      <x:c r="B8231" s="13" t="str">
        <x:v>CIA BRASILEIRA DE DISTRIBUIC</x:v>
      </x:c>
      <x:c r="C8231" s="16" t="n">
        <x:v>1414.909952</x:v>
      </x:c>
      <x:c r="D8231" s="13" t="str">
        <x:v>Retail</x:v>
      </x:c>
      <x:c r="E8231" s="13" t="str">
        <x:v>Retail</x:v>
      </x:c>
      <x:c r="F8231" s="13" t="str">
        <x:v>Early Cyclicals</x:v>
      </x:c>
      <x:c r="G8231" s="13" t="str">
        <x:v>grid_cqzdsc3v.xlsx</x:v>
      </x:c>
    </x:row>
    <x:row r="8232">
      <x:c r="A8232" s="15" t="n">
        <x:v>44166</x:v>
      </x:c>
      <x:c r="B8232" s="13" t="str">
        <x:v>CIA HERING</x:v>
      </x:c>
      <x:c r="C8232" s="16" t="n">
        <x:v>159.832992</x:v>
      </x:c>
      <x:c r="D8232" s="13" t="str">
        <x:v>Retail</x:v>
      </x:c>
      <x:c r="E8232" s="13" t="str">
        <x:v>Retail</x:v>
      </x:c>
      <x:c r="F8232" s="13" t="str">
        <x:v>Early Cyclicals</x:v>
      </x:c>
      <x:c r="G8232" s="13" t="str">
        <x:v>grid_cqzdsc3v.xlsx</x:v>
      </x:c>
    </x:row>
    <x:row r="8233">
      <x:c r="A8233" s="15" t="n">
        <x:v>44166</x:v>
      </x:c>
      <x:c r="B8233" s="13" t="str">
        <x:v>CVC BRASIL OPERADORA E AGENC</x:v>
      </x:c>
      <x:c r="C8233" s="16" t="n">
        <x:v>300</x:v>
      </x:c>
      <x:c r="D8233" s="13" t="str">
        <x:v>Retail</x:v>
      </x:c>
      <x:c r="E8233" s="13" t="str">
        <x:v>Retail</x:v>
      </x:c>
      <x:c r="F8233" s="13" t="str">
        <x:v>Early Cyclicals</x:v>
      </x:c>
      <x:c r="G8233" s="13" t="str">
        <x:v>grid_cqzdsc3v.xlsx</x:v>
      </x:c>
    </x:row>
    <x:row r="8234">
      <x:c r="A8234" s="15" t="n">
        <x:v>44166</x:v>
      </x:c>
      <x:c r="B8234" s="13" t="str">
        <x:v>GRUPO CASAS BAHIA SA</x:v>
      </x:c>
      <x:c r="C8234" s="16" t="n">
        <x:v>590.140032</x:v>
      </x:c>
      <x:c r="D8234" s="13" t="str">
        <x:v>Retail</x:v>
      </x:c>
      <x:c r="E8234" s="13" t="str">
        <x:v>Retail</x:v>
      </x:c>
      <x:c r="F8234" s="13" t="str">
        <x:v>Early Cyclicals</x:v>
      </x:c>
      <x:c r="G8234" s="13" t="str">
        <x:v>grid_cqzdsc3v.xlsx</x:v>
      </x:c>
    </x:row>
    <x:row r="8235">
      <x:c r="A8235" s="15" t="n">
        <x:v>44166</x:v>
      </x:c>
      <x:c r="B8235" s="13" t="str">
        <x:v>LOJAS AMERICANAS SA-PREF</x:v>
      </x:c>
      <x:c r="C8235" s="16" t="n">
        <x:v>1157.289984</x:v>
      </x:c>
      <x:c r="D8235" s="13" t="str">
        <x:v>Retail</x:v>
      </x:c>
      <x:c r="E8235" s="13" t="str">
        <x:v>Retail</x:v>
      </x:c>
      <x:c r="F8235" s="13" t="str">
        <x:v>Early Cyclicals</x:v>
      </x:c>
      <x:c r="G8235" s="13" t="str">
        <x:v>grid_cqzdsc3v.xlsx</x:v>
      </x:c>
    </x:row>
    <x:row r="8236">
      <x:c r="A8236" s="15" t="n">
        <x:v>44166</x:v>
      </x:c>
      <x:c r="B8236" s="13" t="str">
        <x:v>LOJAS RENNER S.A.</x:v>
      </x:c>
      <x:c r="C8236" s="16" t="n">
        <x:v>1173.750016</x:v>
      </x:c>
      <x:c r="D8236" s="13" t="str">
        <x:v>Retail</x:v>
      </x:c>
      <x:c r="E8236" s="13" t="str">
        <x:v>Retail</x:v>
      </x:c>
      <x:c r="F8236" s="13" t="str">
        <x:v>Early Cyclicals</x:v>
      </x:c>
      <x:c r="G8236" s="13" t="str">
        <x:v>grid_cqzdsc3v.xlsx</x:v>
      </x:c>
    </x:row>
    <x:row r="8237">
      <x:c r="A8237" s="15" t="n">
        <x:v>44166</x:v>
      </x:c>
      <x:c r="B8237" s="13" t="str">
        <x:v>MAGAZINE LUIZA SA</x:v>
      </x:c>
      <x:c r="C8237" s="16" t="n">
        <x:v>833.374976</x:v>
      </x:c>
      <x:c r="D8237" s="13" t="str">
        <x:v>Retail</x:v>
      </x:c>
      <x:c r="E8237" s="13" t="str">
        <x:v>Retail</x:v>
      </x:c>
      <x:c r="F8237" s="13" t="str">
        <x:v>Early Cyclicals</x:v>
      </x:c>
      <x:c r="G8237" s="13" t="str">
        <x:v>grid_cqzdsc3v.xlsx</x:v>
      </x:c>
    </x:row>
    <x:row r="8238">
      <x:c r="A8238" s="15" t="n">
        <x:v>44166</x:v>
      </x:c>
      <x:c r="B8238" s="13" t="str">
        <x:v>NATURA &amp;CO HOLDING SA</x:v>
      </x:c>
      <x:c r="C8238" s="16" t="n">
        <x:v>903.500032</x:v>
      </x:c>
      <x:c r="D8238" s="13" t="str">
        <x:v>Retail</x:v>
      </x:c>
      <x:c r="E8238" s="13" t="str">
        <x:v>Retail</x:v>
      </x:c>
      <x:c r="F8238" s="13" t="str">
        <x:v>Early Cyclicals</x:v>
      </x:c>
      <x:c r="G8238" s="13" t="str">
        <x:v>grid_cqzdsc3v.xlsx</x:v>
      </x:c>
    </x:row>
    <x:row r="8239">
      <x:c r="A8239" s="15" t="n">
        <x:v>44166</x:v>
      </x:c>
      <x:c r="B8239" s="13" t="str">
        <x:v>RAIA DROGASIL SA</x:v>
      </x:c>
      <x:c r="C8239" s="16" t="n">
        <x:v>846.6</x:v>
      </x:c>
      <x:c r="D8239" s="13" t="str">
        <x:v>Retail</x:v>
      </x:c>
      <x:c r="E8239" s="13" t="str">
        <x:v>Retail</x:v>
      </x:c>
      <x:c r="F8239" s="13" t="str">
        <x:v>Early Cyclicals</x:v>
      </x:c>
      <x:c r="G8239" s="13" t="str">
        <x:v>grid_cqzdsc3v.xlsx</x:v>
      </x:c>
    </x:row>
    <x:row r="8240">
      <x:c r="A8240" s="15" t="n">
        <x:v>44166</x:v>
      </x:c>
      <x:c r="B8240" s="13" t="str">
        <x:v>CIA SANEAMENTO BASICO DE SP</x:v>
      </x:c>
      <x:c r="C8240" s="16" t="n">
        <x:v>2939.830016</x:v>
      </x:c>
      <x:c r="D8240" s="13" t="str">
        <x:v>Sanitation</x:v>
      </x:c>
      <x:c r="E8240" s="13" t="str">
        <x:v>Utilities</x:v>
      </x:c>
      <x:c r="F8240" s="13" t="str">
        <x:v>Defensives</x:v>
      </x:c>
      <x:c r="G8240" s="13" t="str">
        <x:v>grid_cqzdsc3v.xlsx</x:v>
      </x:c>
    </x:row>
    <x:row r="8241">
      <x:c r="A8241" s="15" t="n">
        <x:v>44166</x:v>
      </x:c>
      <x:c r="B8241" s="13" t="str">
        <x:v>TIM SA</x:v>
      </x:c>
      <x:c r="C8241" s="16" t="n">
        <x:v>2061.110016</x:v>
      </x:c>
      <x:c r="D8241" s="13" t="str">
        <x:v>TMT</x:v>
      </x:c>
      <x:c r="E8241" s="13" t="str">
        <x:v>TMT</x:v>
      </x:c>
      <x:c r="F8241" s="13" t="str">
        <x:v>Early Cyclicals</x:v>
      </x:c>
      <x:c r="G8241" s="13" t="str">
        <x:v>grid_cqzdsc3v.xlsx</x:v>
      </x:c>
    </x:row>
    <x:row r="8242">
      <x:c r="A8242" s="15" t="n">
        <x:v>44166</x:v>
      </x:c>
      <x:c r="B8242" s="13" t="str">
        <x:v>TOTVS SA</x:v>
      </x:c>
      <x:c r="C8242" s="16" t="n">
        <x:v>402</x:v>
      </x:c>
      <x:c r="D8242" s="13" t="str">
        <x:v>TMT</x:v>
      </x:c>
      <x:c r="E8242" s="13" t="str">
        <x:v>TMT</x:v>
      </x:c>
      <x:c r="F8242" s="13" t="str">
        <x:v>Early Cyclicals</x:v>
      </x:c>
      <x:c r="G8242" s="13" t="str">
        <x:v>grid_cqzdsc3v.xlsx</x:v>
      </x:c>
    </x:row>
    <x:row r="8243">
      <x:c r="A8243" s="15" t="n">
        <x:v>44166</x:v>
      </x:c>
      <x:c r="B8243" s="13" t="str">
        <x:v>AZUL SA</x:v>
      </x:c>
      <x:c r="C8243" s="16" t="n">
        <x:v>-730.942016</x:v>
      </x:c>
      <x:c r="D8243" s="13" t="str">
        <x:v>Transportation</x:v>
      </x:c>
      <x:c r="E8243" s="13" t="str">
        <x:v>Transportation</x:v>
      </x:c>
      <x:c r="F8243" s="13" t="str">
        <x:v>Deep Cyclicals</x:v>
      </x:c>
      <x:c r="G8243" s="13" t="str">
        <x:v>grid_cqzdsc3v.xlsx</x:v>
      </x:c>
    </x:row>
    <x:row r="8244">
      <x:c r="A8244" s="15" t="n">
        <x:v>44166</x:v>
      </x:c>
      <x:c r="B8244" s="13" t="str">
        <x:v>CIA DE LOCACAO DAS AMERICAS</x:v>
      </x:c>
      <x:c r="C8244" s="16" t="n">
        <x:v>575.750016</x:v>
      </x:c>
      <x:c r="D8244" s="13" t="str">
        <x:v>Transportation</x:v>
      </x:c>
      <x:c r="E8244" s="13" t="str">
        <x:v>Transportation</x:v>
      </x:c>
      <x:c r="F8244" s="13" t="str">
        <x:v>Deep Cyclicals</x:v>
      </x:c>
      <x:c r="G8244" s="13" t="str">
        <x:v>grid_cqzdsc3v.xlsx</x:v>
      </x:c>
    </x:row>
    <x:row r="8245">
      <x:c r="A8245" s="15" t="n">
        <x:v>44166</x:v>
      </x:c>
      <x:c r="B8245" s="13" t="str">
        <x:v>ECORODOVIAS INFRA E LOG SA</x:v>
      </x:c>
      <x:c r="C8245" s="16" t="n">
        <x:v>518.856992</x:v>
      </x:c>
      <x:c r="D8245" s="13" t="str">
        <x:v>Transportation</x:v>
      </x:c>
      <x:c r="E8245" s="13" t="str">
        <x:v>Transportation</x:v>
      </x:c>
      <x:c r="F8245" s="13" t="str">
        <x:v>Deep Cyclicals</x:v>
      </x:c>
      <x:c r="G8245" s="13" t="str">
        <x:v>grid_cqzdsc3v.xlsx</x:v>
      </x:c>
    </x:row>
    <x:row r="8246">
      <x:c r="A8246" s="15" t="n">
        <x:v>44166</x:v>
      </x:c>
      <x:c r="B8246" s="13" t="str">
        <x:v>GOL LINHAS AEREAS INT SA-PRE</x:v>
      </x:c>
      <x:c r="C8246" s="16" t="n">
        <x:v>-555.500032</x:v>
      </x:c>
      <x:c r="D8246" s="13" t="str">
        <x:v>Transportation</x:v>
      </x:c>
      <x:c r="E8246" s="13" t="str">
        <x:v>Transportation</x:v>
      </x:c>
      <x:c r="F8246" s="13" t="str">
        <x:v>Deep Cyclicals</x:v>
      </x:c>
      <x:c r="G8246" s="13" t="str">
        <x:v>grid_cqzdsc3v.xlsx</x:v>
      </x:c>
    </x:row>
    <x:row r="8247">
      <x:c r="A8247" s="15" t="n">
        <x:v>44166</x:v>
      </x:c>
      <x:c r="B8247" s="13" t="str">
        <x:v>LOCALIZA RENT A CAR</x:v>
      </x:c>
      <x:c r="C8247" s="16" t="n">
        <x:v>1302.220032</x:v>
      </x:c>
      <x:c r="D8247" s="13" t="str">
        <x:v>Transportation</x:v>
      </x:c>
      <x:c r="E8247" s="13" t="str">
        <x:v>Transportation</x:v>
      </x:c>
      <x:c r="F8247" s="13" t="str">
        <x:v>Deep Cyclicals</x:v>
      </x:c>
      <x:c r="G8247" s="13" t="str">
        <x:v>grid_cqzdsc3v.xlsx</x:v>
      </x:c>
    </x:row>
    <x:row r="8248">
      <x:c r="A8248" s="15" t="n">
        <x:v>44166</x:v>
      </x:c>
      <x:c r="B8248" s="13" t="str">
        <x:v>MOTIVA INFRAESTRUTURA DE MOB</x:v>
      </x:c>
      <x:c r="C8248" s="16" t="n">
        <x:v>1163.779968</x:v>
      </x:c>
      <x:c r="D8248" s="13" t="str">
        <x:v>Transportation</x:v>
      </x:c>
      <x:c r="E8248" s="13" t="str">
        <x:v>Transportation</x:v>
      </x:c>
      <x:c r="F8248" s="13" t="str">
        <x:v>Deep Cyclicals</x:v>
      </x:c>
      <x:c r="G8248" s="13" t="str">
        <x:v>grid_cqzdsc3v.xlsx</x:v>
      </x:c>
    </x:row>
    <x:row r="8249">
      <x:c r="A8249" s="15" t="n">
        <x:v>44166</x:v>
      </x:c>
      <x:c r="B8249" s="13" t="str">
        <x:v>RUMO SA</x:v>
      </x:c>
      <x:c r="C8249" s="16" t="n">
        <x:v>939.124992</x:v>
      </x:c>
      <x:c r="D8249" s="13" t="str">
        <x:v>Transportation</x:v>
      </x:c>
      <x:c r="E8249" s="13" t="str">
        <x:v>Transportation</x:v>
      </x:c>
      <x:c r="F8249" s="13" t="str">
        <x:v>Deep Cyclicals</x:v>
      </x:c>
      <x:c r="G8249" s="13" t="str">
        <x:v>grid_cqzdsc3v.xlsx</x:v>
      </x:c>
    </x:row>
    <x:row r="8250">
      <x:c r="A8250" s="15" t="n">
        <x:v>44166</x:v>
      </x:c>
      <x:c r="B8250" s="13" t="str">
        <x:v>AXIA ENERGIA SA</x:v>
      </x:c>
      <x:c r="C8250" s="16" t="n">
        <x:v>7934.000128</x:v>
      </x:c>
      <x:c r="D8250" s="13" t="str">
        <x:v>Utilities &amp; Energy</x:v>
      </x:c>
      <x:c r="E8250" s="13" t="str">
        <x:v>Utilities</x:v>
      </x:c>
      <x:c r="F8250" s="13" t="str">
        <x:v>Defensives</x:v>
      </x:c>
      <x:c r="G8250" s="13" t="str">
        <x:v>grid_cqzdsc3v.xlsx</x:v>
      </x:c>
    </x:row>
    <x:row r="8251">
      <x:c r="A8251" s="15" t="n">
        <x:v>44166</x:v>
      </x:c>
      <x:c r="B8251" s="13" t="str">
        <x:v>AXIA ENERGIA-PR B</x:v>
      </x:c>
      <x:c r="C8251" s="16" t="n">
        <x:v>7934.000128</x:v>
      </x:c>
      <x:c r="D8251" s="13" t="str">
        <x:v>Utilities &amp; Energy</x:v>
      </x:c>
      <x:c r="E8251" s="13" t="str">
        <x:v>Utilities</x:v>
      </x:c>
      <x:c r="F8251" s="13" t="str">
        <x:v>Defensives</x:v>
      </x:c>
      <x:c r="G8251" s="13" t="str">
        <x:v>grid_cqzdsc3v.xlsx</x:v>
      </x:c>
    </x:row>
    <x:row r="8252">
      <x:c r="A8252" s="15" t="n">
        <x:v>44166</x:v>
      </x:c>
      <x:c r="B8252" s="13" t="str">
        <x:v>CIA ENERGETICA MINAS GER-PRF</x:v>
      </x:c>
      <x:c r="C8252" s="16" t="n">
        <x:v>2638.749952</x:v>
      </x:c>
      <x:c r="D8252" s="13" t="str">
        <x:v>Utilities &amp; Energy</x:v>
      </x:c>
      <x:c r="E8252" s="13" t="str">
        <x:v>Utilities</x:v>
      </x:c>
      <x:c r="F8252" s="13" t="str">
        <x:v>Defensives</x:v>
      </x:c>
      <x:c r="G8252" s="13" t="str">
        <x:v>grid_cqzdsc3v.xlsx</x:v>
      </x:c>
    </x:row>
    <x:row r="8253">
      <x:c r="A8253" s="15" t="n">
        <x:v>44166</x:v>
      </x:c>
      <x:c r="B8253" s="13" t="str">
        <x:v>COMPANHIA PARANAENSE -PREF B</x:v>
      </x:c>
      <x:c r="C8253" s="16" t="n">
        <x:v>2958.200064</x:v>
      </x:c>
      <x:c r="D8253" s="13" t="str">
        <x:v>Utilities &amp; Energy</x:v>
      </x:c>
      <x:c r="E8253" s="13" t="str">
        <x:v>Utilities</x:v>
      </x:c>
      <x:c r="F8253" s="13" t="str">
        <x:v>Defensives</x:v>
      </x:c>
      <x:c r="G8253" s="13" t="str">
        <x:v>grid_cqzdsc3v.xlsx</x:v>
      </x:c>
    </x:row>
    <x:row r="8254">
      <x:c r="A8254" s="15" t="n">
        <x:v>44166</x:v>
      </x:c>
      <x:c r="B8254" s="13" t="str">
        <x:v>CPFL ENERGIA SA</x:v>
      </x:c>
      <x:c r="C8254" s="16" t="n">
        <x:v>3379.000064</x:v>
      </x:c>
      <x:c r="D8254" s="13" t="str">
        <x:v>Utilities &amp; Energy</x:v>
      </x:c>
      <x:c r="E8254" s="13" t="str">
        <x:v>Utilities</x:v>
      </x:c>
      <x:c r="F8254" s="13" t="str">
        <x:v>Defensives</x:v>
      </x:c>
      <x:c r="G8254" s="13" t="str">
        <x:v>grid_cqzdsc3v.xlsx</x:v>
      </x:c>
    </x:row>
    <x:row r="8255">
      <x:c r="A8255" s="15" t="n">
        <x:v>44166</x:v>
      </x:c>
      <x:c r="B8255" s="13" t="str">
        <x:v>EDP - ENERGIAS DO BRASIL SA</x:v>
      </x:c>
      <x:c r="C8255" s="16" t="n">
        <x:v>1178.140032</x:v>
      </x:c>
      <x:c r="D8255" s="13" t="str">
        <x:v>Utilities &amp; Energy</x:v>
      </x:c>
      <x:c r="E8255" s="13" t="str">
        <x:v>Utilities</x:v>
      </x:c>
      <x:c r="F8255" s="13" t="str">
        <x:v>Defensives</x:v>
      </x:c>
      <x:c r="G8255" s="13" t="str">
        <x:v>grid_cqzdsc3v.xlsx</x:v>
      </x:c>
    </x:row>
    <x:row r="8256">
      <x:c r="A8256" s="15" t="n">
        <x:v>44166</x:v>
      </x:c>
      <x:c r="B8256" s="13" t="str">
        <x:v>ENERGISA SA-UNITS</x:v>
      </x:c>
      <x:c r="C8256" s="16" t="n">
        <x:v>1494.599936</x:v>
      </x:c>
      <x:c r="D8256" s="13" t="str">
        <x:v>Utilities &amp; Energy</x:v>
      </x:c>
      <x:c r="E8256" s="13" t="str">
        <x:v>Utilities</x:v>
      </x:c>
      <x:c r="F8256" s="13" t="str">
        <x:v>Defensives</x:v>
      </x:c>
      <x:c r="G8256" s="13" t="str">
        <x:v>grid_cqzdsc3v.xlsx</x:v>
      </x:c>
    </x:row>
    <x:row r="8257">
      <x:c r="A8257" s="15" t="n">
        <x:v>44166</x:v>
      </x:c>
      <x:c r="B8257" s="13" t="str">
        <x:v>ENEVA SA</x:v>
      </x:c>
      <x:c r="C8257" s="16" t="n">
        <x:v>779</x:v>
      </x:c>
      <x:c r="D8257" s="13" t="str">
        <x:v>Utilities &amp; Energy</x:v>
      </x:c>
      <x:c r="E8257" s="13" t="str">
        <x:v>Utilities</x:v>
      </x:c>
      <x:c r="F8257" s="13" t="str">
        <x:v>Defensives</x:v>
      </x:c>
      <x:c r="G8257" s="13" t="str">
        <x:v>grid_cqzdsc3v.xlsx</x:v>
      </x:c>
    </x:row>
    <x:row r="8258">
      <x:c r="A8258" s="15" t="n">
        <x:v>44166</x:v>
      </x:c>
      <x:c r="B8258" s="13" t="str">
        <x:v>ENGIE BRASIL ENERGIA SA</x:v>
      </x:c>
      <x:c r="C8258" s="16" t="n">
        <x:v>3090.249984</x:v>
      </x:c>
      <x:c r="D8258" s="13" t="str">
        <x:v>Utilities &amp; Energy</x:v>
      </x:c>
      <x:c r="E8258" s="13" t="str">
        <x:v>Utilities</x:v>
      </x:c>
      <x:c r="F8258" s="13" t="str">
        <x:v>Defensives</x:v>
      </x:c>
      <x:c r="G8258" s="13" t="str">
        <x:v>grid_cqzdsc3v.xlsx</x:v>
      </x:c>
    </x:row>
    <x:row r="8259">
      <x:c r="A8259" s="15" t="n">
        <x:v>44166</x:v>
      </x:c>
      <x:c r="B8259" s="13" t="str">
        <x:v>EQUATORIAL SA - ORD</x:v>
      </x:c>
      <x:c r="C8259" s="16" t="n">
        <x:v>1906.4</x:v>
      </x:c>
      <x:c r="D8259" s="13" t="str">
        <x:v>Utilities &amp; Energy</x:v>
      </x:c>
      <x:c r="E8259" s="13" t="str">
        <x:v>Utilities</x:v>
      </x:c>
      <x:c r="F8259" s="13" t="str">
        <x:v>Defensives</x:v>
      </x:c>
      <x:c r="G8259" s="13" t="str">
        <x:v>grid_cqzdsc3v.xlsx</x:v>
      </x:c>
    </x:row>
    <x:row r="8260">
      <x:c r="A8260" s="15" t="n">
        <x:v>44166</x:v>
      </x:c>
      <x:c r="B8260" s="13" t="str">
        <x:v>TRANSMISSORA ALIANCA DE-UNIT</x:v>
      </x:c>
      <x:c r="C8260" s="16" t="n">
        <x:v>995.249984</x:v>
      </x:c>
      <x:c r="D8260" s="13" t="str">
        <x:v>Utilities &amp; Energy</x:v>
      </x:c>
      <x:c r="E8260" s="13" t="str">
        <x:v>Utilities</x:v>
      </x:c>
      <x:c r="F8260" s="13" t="str">
        <x:v>Defensives</x:v>
      </x:c>
      <x:c r="G8260" s="13" t="str">
        <x:v>grid_cqzdsc3v.xlsx</x:v>
      </x:c>
    </x:row>
    <x:row r="8261">
      <x:c r="A8261" s="15" t="n">
        <x:v>44197</x:v>
      </x:c>
      <x:c r="B8261" s="13" t="str">
        <x:v>BANCO BRADESCO S.A.</x:v>
      </x:c>
      <x:c r="C8261" s="16" t="n">
        <x:v>24282.2737302795</x:v>
      </x:c>
      <x:c r="D8261" s="13" t="str">
        <x:v>Banks</x:v>
      </x:c>
      <x:c r="E8261" s="13" t="str">
        <x:v>Banks</x:v>
      </x:c>
      <x:c r="F8261" s="13" t="str">
        <x:v>Financials</x:v>
      </x:c>
      <x:c r="G8261" s="13" t="str">
        <x:v>grid_cqzdsc3v.xlsx</x:v>
      </x:c>
    </x:row>
    <x:row r="8262">
      <x:c r="A8262" s="15" t="n">
        <x:v>44197</x:v>
      </x:c>
      <x:c r="B8262" s="13" t="str">
        <x:v>BANCO BRADESCO SA-PREF</x:v>
      </x:c>
      <x:c r="C8262" s="16" t="n">
        <x:v>24282.2737302795</x:v>
      </x:c>
      <x:c r="D8262" s="13" t="str">
        <x:v>Banks</x:v>
      </x:c>
      <x:c r="E8262" s="13" t="str">
        <x:v>Banks</x:v>
      </x:c>
      <x:c r="F8262" s="13" t="str">
        <x:v>Financials</x:v>
      </x:c>
      <x:c r="G8262" s="13" t="str">
        <x:v>grid_cqzdsc3v.xlsx</x:v>
      </x:c>
    </x:row>
    <x:row r="8263">
      <x:c r="A8263" s="15" t="n">
        <x:v>44197</x:v>
      </x:c>
      <x:c r="B8263" s="13" t="str">
        <x:v>BANCO BTG PACTUAL SA-UNIT</x:v>
      </x:c>
      <x:c r="C8263" s="16" t="n">
        <x:v>4520.8638253589</x:v>
      </x:c>
      <x:c r="D8263" s="13" t="str">
        <x:v>Banks</x:v>
      </x:c>
      <x:c r="E8263" s="13" t="str">
        <x:v>Banks</x:v>
      </x:c>
      <x:c r="F8263" s="13" t="str">
        <x:v>Financials</x:v>
      </x:c>
      <x:c r="G8263" s="13" t="str">
        <x:v>grid_cqzdsc3v.xlsx</x:v>
      </x:c>
    </x:row>
    <x:row r="8264">
      <x:c r="A8264" s="15" t="n">
        <x:v>44197</x:v>
      </x:c>
      <x:c r="B8264" s="13" t="str">
        <x:v>BANCO DO BRASIL S.A.</x:v>
      </x:c>
      <x:c r="C8264" s="16" t="n">
        <x:v>17150.7739998685</x:v>
      </x:c>
      <x:c r="D8264" s="13" t="str">
        <x:v>Banks</x:v>
      </x:c>
      <x:c r="E8264" s="13" t="str">
        <x:v>Banks</x:v>
      </x:c>
      <x:c r="F8264" s="13" t="str">
        <x:v>Financials</x:v>
      </x:c>
      <x:c r="G8264" s="13" t="str">
        <x:v>grid_cqzdsc3v.xlsx</x:v>
      </x:c>
    </x:row>
    <x:row r="8265">
      <x:c r="A8265" s="15" t="n">
        <x:v>44197</x:v>
      </x:c>
      <x:c r="B8265" s="13" t="str">
        <x:v>BANCO SANTANDER  BRASIL-UNIT</x:v>
      </x:c>
      <x:c r="C8265" s="16" t="n">
        <x:v>14618.2664163945</x:v>
      </x:c>
      <x:c r="D8265" s="13" t="str">
        <x:v>Banks</x:v>
      </x:c>
      <x:c r="E8265" s="13" t="str">
        <x:v>Banks</x:v>
      </x:c>
      <x:c r="F8265" s="13" t="str">
        <x:v>Financials</x:v>
      </x:c>
      <x:c r="G8265" s="13" t="str">
        <x:v>grid_cqzdsc3v.xlsx</x:v>
      </x:c>
    </x:row>
    <x:row r="8266">
      <x:c r="A8266" s="15" t="n">
        <x:v>44197</x:v>
      </x:c>
      <x:c r="B8266" s="13" t="str">
        <x:v>ITAU UNIBANCO HOLDING S-PREF</x:v>
      </x:c>
      <x:c r="C8266" s="16" t="n">
        <x:v>26242.3170398685</x:v>
      </x:c>
      <x:c r="D8266" s="13" t="str">
        <x:v>Banks</x:v>
      </x:c>
      <x:c r="E8266" s="13" t="str">
        <x:v>Banks</x:v>
      </x:c>
      <x:c r="F8266" s="13" t="str">
        <x:v>Financials</x:v>
      </x:c>
      <x:c r="G8266" s="13" t="str">
        <x:v>grid_cqzdsc3v.xlsx</x:v>
      </x:c>
    </x:row>
    <x:row r="8267">
      <x:c r="A8267" s="15" t="n">
        <x:v>44197</x:v>
      </x:c>
      <x:c r="B8267" s="13" t="str">
        <x:v>EMBRAER SA</x:v>
      </x:c>
      <x:c r="C8267" s="16" t="n">
        <x:v>-587.9748746521</x:v>
      </x:c>
      <x:c r="D8267" s="13" t="str">
        <x:v>Capital Goods</x:v>
      </x:c>
      <x:c r="E8267" s="13" t="str">
        <x:v>Capital Goods</x:v>
      </x:c>
      <x:c r="F8267" s="13" t="str">
        <x:v>Deep Cyclicals</x:v>
      </x:c>
      <x:c r="G8267" s="13" t="str">
        <x:v>grid_cqzdsc3v.xlsx</x:v>
      </x:c>
    </x:row>
    <x:row r="8268">
      <x:c r="A8268" s="15" t="n">
        <x:v>44197</x:v>
      </x:c>
      <x:c r="B8268" s="13" t="str">
        <x:v>WEG SA</x:v>
      </x:c>
      <x:c r="C8268" s="16" t="n">
        <x:v>2821.1665849863</x:v>
      </x:c>
      <x:c r="D8268" s="13" t="str">
        <x:v>Capital Goods</x:v>
      </x:c>
      <x:c r="E8268" s="13" t="str">
        <x:v>Capital Goods</x:v>
      </x:c>
      <x:c r="F8268" s="13" t="str">
        <x:v>Deep Cyclicals</x:v>
      </x:c>
      <x:c r="G8268" s="13" t="str">
        <x:v>grid_cqzdsc3v.xlsx</x:v>
      </x:c>
    </x:row>
    <x:row r="8269">
      <x:c r="A8269" s="15" t="n">
        <x:v>44197</x:v>
      </x:c>
      <x:c r="B8269" s="13" t="str">
        <x:v>COGNA EDUCACAO</x:v>
      </x:c>
      <x:c r="C8269" s="16" t="n">
        <x:v>21.4340223562</x:v>
      </x:c>
      <x:c r="D8269" s="13" t="str">
        <x:v>Education</x:v>
      </x:c>
      <x:c r="E8269" s="13" t="str">
        <x:v>Education</x:v>
      </x:c>
      <x:c r="F8269" s="13" t="str">
        <x:v>Early Cyclicals</x:v>
      </x:c>
      <x:c r="G8269" s="13" t="str">
        <x:v>grid_cqzdsc3v.xlsx</x:v>
      </x:c>
    </x:row>
    <x:row r="8270">
      <x:c r="A8270" s="15" t="n">
        <x:v>44197</x:v>
      </x:c>
      <x:c r="B8270" s="13" t="str">
        <x:v>YDUQS PARTICIPACOES SA</x:v>
      </x:c>
      <x:c r="C8270" s="16" t="n">
        <x:v>654.0516760548</x:v>
      </x:c>
      <x:c r="D8270" s="13" t="str">
        <x:v>Education</x:v>
      </x:c>
      <x:c r="E8270" s="13" t="str">
        <x:v>Education</x:v>
      </x:c>
      <x:c r="F8270" s="13" t="str">
        <x:v>Early Cyclicals</x:v>
      </x:c>
      <x:c r="G8270" s="13" t="str">
        <x:v>grid_cqzdsc3v.xlsx</x:v>
      </x:c>
    </x:row>
    <x:row r="8271">
      <x:c r="A8271" s="15" t="n">
        <x:v>44197</x:v>
      </x:c>
      <x:c r="B8271" s="13" t="str">
        <x:v>B3 SA-BRASIL BOLSA BALCAO</x:v>
      </x:c>
      <x:c r="C8271" s="16" t="n">
        <x:v>4786.4321963836</x:v>
      </x:c>
      <x:c r="D8271" s="13" t="str">
        <x:v>Financials Non-Banks</x:v>
      </x:c>
      <x:c r="E8271" s="13" t="str">
        <x:v>Financials Non-Banks</x:v>
      </x:c>
      <x:c r="F8271" s="13" t="str">
        <x:v>Financials</x:v>
      </x:c>
      <x:c r="G8271" s="13" t="str">
        <x:v>grid_cqzdsc3v.xlsx</x:v>
      </x:c>
    </x:row>
    <x:row r="8272">
      <x:c r="A8272" s="15" t="n">
        <x:v>44197</x:v>
      </x:c>
      <x:c r="B8272" s="13" t="str">
        <x:v>BB SEGURIDADE PARTICIPACOES</x:v>
      </x:c>
      <x:c r="C8272" s="16" t="n">
        <x:v>4284.3648238466</x:v>
      </x:c>
      <x:c r="D8272" s="13" t="str">
        <x:v>Financials Non-Banks</x:v>
      </x:c>
      <x:c r="E8272" s="13" t="str">
        <x:v>Financials Non-Banks</x:v>
      </x:c>
      <x:c r="F8272" s="13" t="str">
        <x:v>Financials</x:v>
      </x:c>
      <x:c r="G8272" s="13" t="str">
        <x:v>grid_cqzdsc3v.xlsx</x:v>
      </x:c>
    </x:row>
    <x:row r="8273">
      <x:c r="A8273" s="15" t="n">
        <x:v>44197</x:v>
      </x:c>
      <x:c r="B8273" s="13" t="str">
        <x:v>CIELO SA</x:v>
      </x:c>
      <x:c r="C8273" s="16" t="n">
        <x:v>911.1292303781</x:v>
      </x:c>
      <x:c r="D8273" s="13" t="str">
        <x:v>Financials Non-Banks</x:v>
      </x:c>
      <x:c r="E8273" s="13" t="str">
        <x:v>Financials Non-Banks</x:v>
      </x:c>
      <x:c r="F8273" s="13" t="str">
        <x:v>Financials</x:v>
      </x:c>
      <x:c r="G8273" s="13" t="str">
        <x:v>Ibovespa_earnings_consolidated.xlsx</x:v>
      </x:c>
    </x:row>
    <x:row r="8274">
      <x:c r="A8274" s="15" t="n">
        <x:v>44197</x:v>
      </x:c>
      <x:c r="B8274" s="13" t="str">
        <x:v>CIELO SA - INSTITUICAO DE PA</x:v>
      </x:c>
      <x:c r="C8274" s="16" t="n">
        <x:v>911.1292303781</x:v>
      </x:c>
      <x:c r="D8274" s="13" t="str">
        <x:v>Financials Non-Banks</x:v>
      </x:c>
      <x:c r="E8274" s="13" t="str">
        <x:v>Financials Non-Banks</x:v>
      </x:c>
      <x:c r="F8274" s="13" t="str">
        <x:v>Financials</x:v>
      </x:c>
      <x:c r="G8274" s="13" t="str">
        <x:v>grid_cqzdsc3v.xlsx</x:v>
      </x:c>
    </x:row>
    <x:row r="8275">
      <x:c r="A8275" s="15" t="n">
        <x:v>44197</x:v>
      </x:c>
      <x:c r="B8275" s="13" t="str">
        <x:v>IRB BRASIL RESSEGUROS SA</x:v>
      </x:c>
      <x:c r="C8275" s="16" t="n">
        <x:v>338.0781974795</x:v>
      </x:c>
      <x:c r="D8275" s="13" t="str">
        <x:v>Financials Non-Banks</x:v>
      </x:c>
      <x:c r="E8275" s="13" t="str">
        <x:v>Financials Non-Banks</x:v>
      </x:c>
      <x:c r="F8275" s="13" t="str">
        <x:v>Financials</x:v>
      </x:c>
      <x:c r="G8275" s="13" t="str">
        <x:v>grid_cqzdsc3v.xlsx</x:v>
      </x:c>
    </x:row>
    <x:row r="8276">
      <x:c r="A8276" s="15" t="n">
        <x:v>44197</x:v>
      </x:c>
      <x:c r="B8276" s="13" t="str">
        <x:v>ITAUSA SA</x:v>
      </x:c>
      <x:c r="C8276" s="16" t="n">
        <x:v>9557.1206424548</x:v>
      </x:c>
      <x:c r="D8276" s="13" t="str">
        <x:v>Financials Non-Banks</x:v>
      </x:c>
      <x:c r="E8276" s="13" t="str">
        <x:v>Financials Non-Banks</x:v>
      </x:c>
      <x:c r="F8276" s="13" t="str">
        <x:v>Financials</x:v>
      </x:c>
      <x:c r="G8276" s="13" t="str">
        <x:v>grid_cqzdsc3v.xlsx</x:v>
      </x:c>
    </x:row>
    <x:row r="8277">
      <x:c r="A8277" s="15" t="n">
        <x:v>44197</x:v>
      </x:c>
      <x:c r="B8277" s="13" t="str">
        <x:v>AMBEV SA</x:v>
      </x:c>
      <x:c r="C8277" s="16" t="n">
        <x:v>10772.9954282959</x:v>
      </x:c>
      <x:c r="D8277" s="13" t="str">
        <x:v>Food &amp; Beverages</x:v>
      </x:c>
      <x:c r="E8277" s="13" t="str">
        <x:v>Agri, Food &amp; Beverages</x:v>
      </x:c>
      <x:c r="F8277" s="13" t="str">
        <x:v>Defensives</x:v>
      </x:c>
      <x:c r="G8277" s="13" t="str">
        <x:v>grid_cqzdsc3v.xlsx</x:v>
      </x:c>
    </x:row>
    <x:row r="8278">
      <x:c r="A8278" s="15" t="n">
        <x:v>44197</x:v>
      </x:c>
      <x:c r="B8278" s="13" t="str">
        <x:v>BRF SA</x:v>
      </x:c>
      <x:c r="C8278" s="16" t="n">
        <x:v>912.5953514959</x:v>
      </x:c>
      <x:c r="D8278" s="13" t="str">
        <x:v>Food &amp; Beverages</x:v>
      </x:c>
      <x:c r="E8278" s="13" t="str">
        <x:v>Agri, Food &amp; Beverages</x:v>
      </x:c>
      <x:c r="F8278" s="13" t="str">
        <x:v>Defensives</x:v>
      </x:c>
      <x:c r="G8278" s="13" t="str">
        <x:v>grid_cqzdsc3v.xlsx</x:v>
      </x:c>
    </x:row>
    <x:row r="8279">
      <x:c r="A8279" s="15" t="n">
        <x:v>44197</x:v>
      </x:c>
      <x:c r="B8279" s="13" t="str">
        <x:v>JBS SA</x:v>
      </x:c>
      <x:c r="C8279" s="16" t="n">
        <x:v>8773.0403328</x:v>
      </x:c>
      <x:c r="D8279" s="13" t="str">
        <x:v>Food &amp; Beverages</x:v>
      </x:c>
      <x:c r="E8279" s="13" t="str">
        <x:v>Agri, Food &amp; Beverages</x:v>
      </x:c>
      <x:c r="F8279" s="13" t="str">
        <x:v>Defensives</x:v>
      </x:c>
      <x:c r="G8279" s="13" t="str">
        <x:v>grid_cqzdsc3v.xlsx</x:v>
      </x:c>
    </x:row>
    <x:row r="8280">
      <x:c r="A8280" s="15" t="n">
        <x:v>44197</x:v>
      </x:c>
      <x:c r="B8280" s="13" t="str">
        <x:v>MBRF GLOBAL FOODS COMPANY SA</x:v>
      </x:c>
      <x:c r="C8280" s="16" t="n">
        <x:v>1553.1402688877</x:v>
      </x:c>
      <x:c r="D8280" s="13" t="str">
        <x:v>Food &amp; Beverages</x:v>
      </x:c>
      <x:c r="E8280" s="13" t="str">
        <x:v>Agri, Food &amp; Beverages</x:v>
      </x:c>
      <x:c r="F8280" s="13" t="str">
        <x:v>Defensives</x:v>
      </x:c>
      <x:c r="G8280" s="13" t="str">
        <x:v>grid_cqzdsc3v.xlsx</x:v>
      </x:c>
    </x:row>
    <x:row r="8281">
      <x:c r="A8281" s="15" t="n">
        <x:v>44197</x:v>
      </x:c>
      <x:c r="B8281" s="13" t="str">
        <x:v>MINERVA SA</x:v>
      </x:c>
      <x:c r="C8281" s="16" t="n">
        <x:v>598.4599597589</x:v>
      </x:c>
      <x:c r="D8281" s="13" t="str">
        <x:v>Food &amp; Beverages</x:v>
      </x:c>
      <x:c r="E8281" s="13" t="str">
        <x:v>Agri, Food &amp; Beverages</x:v>
      </x:c>
      <x:c r="F8281" s="13" t="str">
        <x:v>Defensives</x:v>
      </x:c>
      <x:c r="G8281" s="13" t="str">
        <x:v>grid_cqzdsc3v.xlsx</x:v>
      </x:c>
    </x:row>
    <x:row r="8282">
      <x:c r="A8282" s="15" t="n">
        <x:v>44197</x:v>
      </x:c>
      <x:c r="B8282" s="13" t="str">
        <x:v>FLEURY SA</x:v>
      </x:c>
      <x:c r="C8282" s="16" t="n">
        <x:v>335.5171392877</x:v>
      </x:c>
      <x:c r="D8282" s="13" t="str">
        <x:v>Health Care</x:v>
      </x:c>
      <x:c r="E8282" s="13" t="str">
        <x:v>Health Care</x:v>
      </x:c>
      <x:c r="F8282" s="13" t="str">
        <x:v>Defensives</x:v>
      </x:c>
      <x:c r="G8282" s="13" t="str">
        <x:v>grid_cqzdsc3v.xlsx</x:v>
      </x:c>
    </x:row>
    <x:row r="8283">
      <x:c r="A8283" s="15" t="n">
        <x:v>44197</x:v>
      </x:c>
      <x:c r="B8283" s="13" t="str">
        <x:v>HAPVIDA PARTICIPACOES E INVE</x:v>
      </x:c>
      <x:c r="C8283" s="16" t="n">
        <x:v>1143.4964644822</x:v>
      </x:c>
      <x:c r="D8283" s="13" t="str">
        <x:v>Health Care</x:v>
      </x:c>
      <x:c r="E8283" s="13" t="str">
        <x:v>Health Care</x:v>
      </x:c>
      <x:c r="F8283" s="13" t="str">
        <x:v>Defensives</x:v>
      </x:c>
      <x:c r="G8283" s="13" t="str">
        <x:v>grid_cqzdsc3v.xlsx</x:v>
      </x:c>
    </x:row>
    <x:row r="8284">
      <x:c r="A8284" s="15" t="n">
        <x:v>44197</x:v>
      </x:c>
      <x:c r="B8284" s="13" t="str">
        <x:v>HYPERA SA</x:v>
      </x:c>
      <x:c r="C8284" s="16" t="n">
        <x:v>1491.4001930521</x:v>
      </x:c>
      <x:c r="D8284" s="13" t="str">
        <x:v>Health Care</x:v>
      </x:c>
      <x:c r="E8284" s="13" t="str">
        <x:v>Health Care</x:v>
      </x:c>
      <x:c r="F8284" s="13" t="str">
        <x:v>Defensives</x:v>
      </x:c>
      <x:c r="G8284" s="13" t="str">
        <x:v>grid_cqzdsc3v.xlsx</x:v>
      </x:c>
    </x:row>
    <x:row r="8285">
      <x:c r="A8285" s="15" t="n">
        <x:v>44197</x:v>
      </x:c>
      <x:c r="B8285" s="13" t="str">
        <x:v>NOTRE DAME INTERMED PAR SA</x:v>
      </x:c>
      <x:c r="C8285" s="16" t="n">
        <x:v>1051.9167123288</x:v>
      </x:c>
      <x:c r="D8285" s="13" t="str">
        <x:v>Health Care</x:v>
      </x:c>
      <x:c r="E8285" s="13" t="str">
        <x:v>Health Care</x:v>
      </x:c>
      <x:c r="F8285" s="13" t="str">
        <x:v>Defensives</x:v>
      </x:c>
      <x:c r="G8285" s="13" t="str">
        <x:v>grid_cqzdsc3v.xlsx</x:v>
      </x:c>
    </x:row>
    <x:row r="8286">
      <x:c r="A8286" s="15" t="n">
        <x:v>44197</x:v>
      </x:c>
      <x:c r="B8286" s="13" t="str">
        <x:v>QUALICORP CONS E CORR SEG SA</x:v>
      </x:c>
      <x:c r="C8286" s="16" t="n">
        <x:v>585.2017795507</x:v>
      </x:c>
      <x:c r="D8286" s="13" t="str">
        <x:v>Health Care</x:v>
      </x:c>
      <x:c r="E8286" s="13" t="str">
        <x:v>Health Care</x:v>
      </x:c>
      <x:c r="F8286" s="13" t="str">
        <x:v>Defensives</x:v>
      </x:c>
      <x:c r="G8286" s="13" t="str">
        <x:v>grid_cqzdsc3v.xlsx</x:v>
      </x:c>
    </x:row>
    <x:row r="8287">
      <x:c r="A8287" s="15" t="n">
        <x:v>44197</x:v>
      </x:c>
      <x:c r="B8287" s="13" t="str">
        <x:v>SUL AMERICA SA - UNITS</x:v>
      </x:c>
      <x:c r="C8287" s="16" t="n">
        <x:v>977.7102777863</x:v>
      </x:c>
      <x:c r="D8287" s="13" t="str">
        <x:v>Health Care</x:v>
      </x:c>
      <x:c r="E8287" s="13" t="str">
        <x:v>Health Care</x:v>
      </x:c>
      <x:c r="F8287" s="13" t="str">
        <x:v>Defensives</x:v>
      </x:c>
      <x:c r="G8287" s="13" t="str">
        <x:v>grid_cqzdsc3v.xlsx</x:v>
      </x:c>
    </x:row>
    <x:row r="8288">
      <x:c r="A8288" s="15" t="n">
        <x:v>44197</x:v>
      </x:c>
      <x:c r="B8288" s="13" t="str">
        <x:v>CYRELA BRAZIL REALTY SA EMP</x:v>
      </x:c>
      <x:c r="C8288" s="16" t="n">
        <x:v>769.9802739726</x:v>
      </x:c>
      <x:c r="D8288" s="13" t="str">
        <x:v>Homebuilders</x:v>
      </x:c>
      <x:c r="E8288" s="13" t="str">
        <x:v>Real Estate</x:v>
      </x:c>
      <x:c r="F8288" s="13" t="str">
        <x:v>Early Cyclicals</x:v>
      </x:c>
      <x:c r="G8288" s="13" t="str">
        <x:v>grid_cqzdsc3v.xlsx</x:v>
      </x:c>
    </x:row>
    <x:row r="8289">
      <x:c r="A8289" s="15" t="n">
        <x:v>44197</x:v>
      </x:c>
      <x:c r="B8289" s="13" t="str">
        <x:v>EZ TEC EMPREENDIMENTOS E PAR</x:v>
      </x:c>
      <x:c r="C8289" s="16" t="n">
        <x:v>577.4921955945</x:v>
      </x:c>
      <x:c r="D8289" s="13" t="str">
        <x:v>Homebuilders</x:v>
      </x:c>
      <x:c r="E8289" s="13" t="str">
        <x:v>Real Estate</x:v>
      </x:c>
      <x:c r="F8289" s="13" t="str">
        <x:v>Early Cyclicals</x:v>
      </x:c>
      <x:c r="G8289" s="13" t="str">
        <x:v>grid_cqzdsc3v.xlsx</x:v>
      </x:c>
    </x:row>
    <x:row r="8290">
      <x:c r="A8290" s="15" t="n">
        <x:v>44197</x:v>
      </x:c>
      <x:c r="B8290" s="13" t="str">
        <x:v>MRV ENGENHARIA</x:v>
      </x:c>
      <x:c r="C8290" s="16" t="n">
        <x:v>769.7227462137</x:v>
      </x:c>
      <x:c r="D8290" s="13" t="str">
        <x:v>Homebuilders</x:v>
      </x:c>
      <x:c r="E8290" s="13" t="str">
        <x:v>Real Estate</x:v>
      </x:c>
      <x:c r="F8290" s="13" t="str">
        <x:v>Early Cyclicals</x:v>
      </x:c>
      <x:c r="G8290" s="13" t="str">
        <x:v>grid_cqzdsc3v.xlsx</x:v>
      </x:c>
    </x:row>
    <x:row r="8291">
      <x:c r="A8291" s="15" t="n">
        <x:v>44197</x:v>
      </x:c>
      <x:c r="B8291" s="13" t="str">
        <x:v>BR MALLS PARTICIPACOES SA</x:v>
      </x:c>
      <x:c r="C8291" s="16" t="n">
        <x:v>563.8959198685</x:v>
      </x:c>
      <x:c r="D8291" s="13" t="str">
        <x:v>Income Properties</x:v>
      </x:c>
      <x:c r="E8291" s="13" t="str">
        <x:v>Real Estate</x:v>
      </x:c>
      <x:c r="F8291" s="13" t="str">
        <x:v>Early Cyclicals</x:v>
      </x:c>
      <x:c r="G8291" s="13" t="str">
        <x:v>grid_cqzdsc3v.xlsx</x:v>
      </x:c>
    </x:row>
    <x:row r="8292">
      <x:c r="A8292" s="15" t="n">
        <x:v>44197</x:v>
      </x:c>
      <x:c r="B8292" s="13" t="str">
        <x:v>IGUATEMI EMP DE SHOPPING</x:v>
      </x:c>
      <x:c r="C8292" s="16" t="n">
        <x:v>222.6001388712</x:v>
      </x:c>
      <x:c r="D8292" s="13" t="str">
        <x:v>Income Properties</x:v>
      </x:c>
      <x:c r="E8292" s="13" t="str">
        <x:v>Real Estate</x:v>
      </x:c>
      <x:c r="F8292" s="13" t="str">
        <x:v>Early Cyclicals</x:v>
      </x:c>
      <x:c r="G8292" s="13" t="str">
        <x:v>grid_cqzdsc3v.xlsx</x:v>
      </x:c>
    </x:row>
    <x:row r="8293">
      <x:c r="A8293" s="15" t="n">
        <x:v>44197</x:v>
      </x:c>
      <x:c r="B8293" s="13" t="str">
        <x:v>JHSF PARTICIPACOES SA</x:v>
      </x:c>
      <x:c r="C8293" s="16" t="n">
        <x:v>278.6657534247</x:v>
      </x:c>
      <x:c r="D8293" s="13" t="str">
        <x:v>Income Properties</x:v>
      </x:c>
      <x:c r="E8293" s="13" t="str">
        <x:v>Real Estate</x:v>
      </x:c>
      <x:c r="F8293" s="13" t="str">
        <x:v>Early Cyclicals</x:v>
      </x:c>
      <x:c r="G8293" s="13" t="str">
        <x:v>grid_cqzdsc3v.xlsx</x:v>
      </x:c>
    </x:row>
    <x:row r="8294">
      <x:c r="A8294" s="15" t="n">
        <x:v>44197</x:v>
      </x:c>
      <x:c r="B8294" s="13" t="str">
        <x:v>MULTIPLAN EMPREENDIMENTOS</x:v>
      </x:c>
      <x:c r="C8294" s="16" t="n">
        <x:v>453.7299673425</x:v>
      </x:c>
      <x:c r="D8294" s="13" t="str">
        <x:v>Income Properties</x:v>
      </x:c>
      <x:c r="E8294" s="13" t="str">
        <x:v>Real Estate</x:v>
      </x:c>
      <x:c r="F8294" s="13" t="str">
        <x:v>Early Cyclicals</x:v>
      </x:c>
      <x:c r="G8294" s="13" t="str">
        <x:v>grid_cqzdsc3v.xlsx</x:v>
      </x:c>
    </x:row>
    <x:row r="8295">
      <x:c r="A8295" s="15" t="n">
        <x:v>44197</x:v>
      </x:c>
      <x:c r="B8295" s="13" t="str">
        <x:v>BRADESPAR SA -PREF</x:v>
      </x:c>
      <x:c r="C8295" s="16" t="n">
        <x:v>3098.4451836493</x:v>
      </x:c>
      <x:c r="D8295" s="13" t="str">
        <x:v>Metals &amp; Mining</x:v>
      </x:c>
      <x:c r="E8295" s="13" t="str">
        <x:v>Metals &amp; Mining</x:v>
      </x:c>
      <x:c r="F8295" s="13" t="str">
        <x:v>Deep Cyclicals</x:v>
      </x:c>
      <x:c r="G8295" s="13" t="str">
        <x:v>grid_cqzdsc3v.xlsx</x:v>
      </x:c>
    </x:row>
    <x:row r="8296">
      <x:c r="A8296" s="15" t="n">
        <x:v>44197</x:v>
      </x:c>
      <x:c r="B8296" s="13" t="str">
        <x:v>CIA SIDERURGICA NACIONAL SA</x:v>
      </x:c>
      <x:c r="C8296" s="16" t="n">
        <x:v>5708.7650479343</x:v>
      </x:c>
      <x:c r="D8296" s="13" t="str">
        <x:v>Metals &amp; Mining</x:v>
      </x:c>
      <x:c r="E8296" s="13" t="str">
        <x:v>Metals &amp; Mining</x:v>
      </x:c>
      <x:c r="F8296" s="13" t="str">
        <x:v>Deep Cyclicals</x:v>
      </x:c>
      <x:c r="G8296" s="13" t="str">
        <x:v>grid_cqzdsc3v.xlsx</x:v>
      </x:c>
    </x:row>
    <x:row r="8297">
      <x:c r="A8297" s="15" t="n">
        <x:v>44197</x:v>
      </x:c>
      <x:c r="B8297" s="13" t="str">
        <x:v>GERDAU SA-PREF</x:v>
      </x:c>
      <x:c r="C8297" s="16" t="n">
        <x:v>3360.5863914959</x:v>
      </x:c>
      <x:c r="D8297" s="13" t="str">
        <x:v>Metals &amp; Mining</x:v>
      </x:c>
      <x:c r="E8297" s="13" t="str">
        <x:v>Metals &amp; Mining</x:v>
      </x:c>
      <x:c r="F8297" s="13" t="str">
        <x:v>Deep Cyclicals</x:v>
      </x:c>
      <x:c r="G8297" s="13" t="str">
        <x:v>grid_cqzdsc3v.xlsx</x:v>
      </x:c>
    </x:row>
    <x:row r="8298">
      <x:c r="A8298" s="15" t="n">
        <x:v>44197</x:v>
      </x:c>
      <x:c r="B8298" s="13" t="str">
        <x:v>METALURGICA GERDAU SA-PREF</x:v>
      </x:c>
      <x:c r="C8298" s="16" t="n">
        <x:v>1417.1150735781</x:v>
      </x:c>
      <x:c r="D8298" s="13" t="str">
        <x:v>Metals &amp; Mining</x:v>
      </x:c>
      <x:c r="E8298" s="13" t="str">
        <x:v>Metals &amp; Mining</x:v>
      </x:c>
      <x:c r="F8298" s="13" t="str">
        <x:v>Deep Cyclicals</x:v>
      </x:c>
      <x:c r="G8298" s="13" t="str">
        <x:v>grid_cqzdsc3v.xlsx</x:v>
      </x:c>
    </x:row>
    <x:row r="8299">
      <x:c r="A8299" s="15" t="n">
        <x:v>44197</x:v>
      </x:c>
      <x:c r="B8299" s="13" t="str">
        <x:v>USINAS SIDER MINAS GER-PF A</x:v>
      </x:c>
      <x:c r="C8299" s="16" t="n">
        <x:v>1636.0521040657</x:v>
      </x:c>
      <x:c r="D8299" s="13" t="str">
        <x:v>Metals &amp; Mining</x:v>
      </x:c>
      <x:c r="E8299" s="13" t="str">
        <x:v>Metals &amp; Mining</x:v>
      </x:c>
      <x:c r="F8299" s="13" t="str">
        <x:v>Deep Cyclicals</x:v>
      </x:c>
      <x:c r="G8299" s="13" t="str">
        <x:v>grid_cqzdsc3v.xlsx</x:v>
      </x:c>
    </x:row>
    <x:row r="8300">
      <x:c r="A8300" s="15" t="n">
        <x:v>44197</x:v>
      </x:c>
      <x:c r="B8300" s="13" t="str">
        <x:v>VALE SA</x:v>
      </x:c>
      <x:c r="C8300" s="16" t="n">
        <x:v>87188.035589611</x:v>
      </x:c>
      <x:c r="D8300" s="13" t="str">
        <x:v>Metals &amp; Mining</x:v>
      </x:c>
      <x:c r="E8300" s="13" t="str">
        <x:v>Metals &amp; Mining</x:v>
      </x:c>
      <x:c r="F8300" s="13" t="str">
        <x:v>Deep Cyclicals</x:v>
      </x:c>
      <x:c r="G8300" s="13" t="str">
        <x:v>grid_cqzdsc3v.xlsx</x:v>
      </x:c>
    </x:row>
    <x:row r="8301">
      <x:c r="A8301" s="15" t="n">
        <x:v>44197</x:v>
      </x:c>
      <x:c r="B8301" s="13" t="str">
        <x:v>BRASKEM SA-PREF A</x:v>
      </x:c>
      <x:c r="C8301" s="16" t="n">
        <x:v>1616.3229867836</x:v>
      </x:c>
      <x:c r="D8301" s="13" t="str">
        <x:v>Oil, Gas &amp; Petrochemicals</x:v>
      </x:c>
      <x:c r="E8301" s="13" t="str">
        <x:v>Oil, Gas &amp; Petrochemicals</x:v>
      </x:c>
      <x:c r="F8301" s="13" t="str">
        <x:v>Deep Cyclicals</x:v>
      </x:c>
      <x:c r="G8301" s="13" t="str">
        <x:v>grid_cqzdsc3v.xlsx</x:v>
      </x:c>
    </x:row>
    <x:row r="8302">
      <x:c r="A8302" s="15" t="n">
        <x:v>44197</x:v>
      </x:c>
      <x:c r="B8302" s="13" t="str">
        <x:v>COSAN SA</x:v>
      </x:c>
      <x:c r="C8302" s="16" t="n">
        <x:v>1878.3835616438</x:v>
      </x:c>
      <x:c r="D8302" s="13" t="str">
        <x:v>Oil, Gas &amp; Petrochemicals</x:v>
      </x:c>
      <x:c r="E8302" s="13" t="str">
        <x:v>Oil, Gas &amp; Petrochemicals</x:v>
      </x:c>
      <x:c r="F8302" s="13" t="str">
        <x:v>Deep Cyclicals</x:v>
      </x:c>
      <x:c r="G8302" s="13" t="str">
        <x:v>grid_cqzdsc3v.xlsx</x:v>
      </x:c>
    </x:row>
    <x:row r="8303">
      <x:c r="A8303" s="15" t="n">
        <x:v>44197</x:v>
      </x:c>
      <x:c r="B8303" s="13" t="str">
        <x:v>PETROBRAS - PETROLEO BRAS</x:v>
      </x:c>
      <x:c r="C8303" s="16" t="n">
        <x:v>35886.0106934356</x:v>
      </x:c>
      <x:c r="D8303" s="13" t="str">
        <x:v>Oil, Gas &amp; Petrochemicals</x:v>
      </x:c>
      <x:c r="E8303" s="13" t="str">
        <x:v>Oil, Gas &amp; Petrochemicals</x:v>
      </x:c>
      <x:c r="F8303" s="13" t="str">
        <x:v>Deep Cyclicals</x:v>
      </x:c>
      <x:c r="G8303" s="13" t="str">
        <x:v>grid_cqzdsc3v.xlsx</x:v>
      </x:c>
    </x:row>
    <x:row r="8304">
      <x:c r="A8304" s="15" t="n">
        <x:v>44197</x:v>
      </x:c>
      <x:c r="B8304" s="13" t="str">
        <x:v>PRIO SA</x:v>
      </x:c>
      <x:c r="C8304" s="16" t="n">
        <x:v>1117.6450738849</x:v>
      </x:c>
      <x:c r="D8304" s="13" t="str">
        <x:v>Oil, Gas &amp; Petrochemicals</x:v>
      </x:c>
      <x:c r="E8304" s="13" t="str">
        <x:v>Oil, Gas &amp; Petrochemicals</x:v>
      </x:c>
      <x:c r="F8304" s="13" t="str">
        <x:v>Deep Cyclicals</x:v>
      </x:c>
      <x:c r="G8304" s="13" t="str">
        <x:v>grid_cqzdsc3v.xlsx</x:v>
      </x:c>
    </x:row>
    <x:row r="8305">
      <x:c r="A8305" s="15" t="n">
        <x:v>44197</x:v>
      </x:c>
      <x:c r="B8305" s="13" t="str">
        <x:v>ULTRAPAR PARTICIPACOES SA</x:v>
      </x:c>
      <x:c r="C8305" s="16" t="n">
        <x:v>1344.993588252</x:v>
      </x:c>
      <x:c r="D8305" s="13" t="str">
        <x:v>Oil, Gas &amp; Petrochemicals</x:v>
      </x:c>
      <x:c r="E8305" s="13" t="str">
        <x:v>Oil, Gas &amp; Petrochemicals</x:v>
      </x:c>
      <x:c r="F8305" s="13" t="str">
        <x:v>Deep Cyclicals</x:v>
      </x:c>
      <x:c r="G8305" s="13" t="str">
        <x:v>grid_cqzdsc3v.xlsx</x:v>
      </x:c>
    </x:row>
    <x:row r="8306">
      <x:c r="A8306" s="15" t="n">
        <x:v>44197</x:v>
      </x:c>
      <x:c r="B8306" s="13" t="str">
        <x:v>VIBRA ENERGIA SA</x:v>
      </x:c>
      <x:c r="C8306" s="16" t="n">
        <x:v>1736.7810230356</x:v>
      </x:c>
      <x:c r="D8306" s="13" t="str">
        <x:v>Oil, Gas &amp; Petrochemicals</x:v>
      </x:c>
      <x:c r="E8306" s="13" t="str">
        <x:v>Oil, Gas &amp; Petrochemicals</x:v>
      </x:c>
      <x:c r="F8306" s="13" t="str">
        <x:v>Deep Cyclicals</x:v>
      </x:c>
      <x:c r="G8306" s="13" t="str">
        <x:v>grid_cqzdsc3v.xlsx</x:v>
      </x:c>
    </x:row>
    <x:row r="8307">
      <x:c r="A8307" s="15" t="n">
        <x:v>44197</x:v>
      </x:c>
      <x:c r="B8307" s="13" t="str">
        <x:v>KLABIN SA - UNIT</x:v>
      </x:c>
      <x:c r="C8307" s="16" t="n">
        <x:v>2149.5387854904</x:v>
      </x:c>
      <x:c r="D8307" s="13" t="str">
        <x:v>Pulp &amp; Paper</x:v>
      </x:c>
      <x:c r="E8307" s="13" t="str">
        <x:v>Pulp &amp; Paper</x:v>
      </x:c>
      <x:c r="F8307" s="13" t="str">
        <x:v>Deep Cyclicals</x:v>
      </x:c>
      <x:c r="G8307" s="13" t="str">
        <x:v>grid_cqzdsc3v.xlsx</x:v>
      </x:c>
    </x:row>
    <x:row r="8308">
      <x:c r="A8308" s="15" t="n">
        <x:v>44197</x:v>
      </x:c>
      <x:c r="B8308" s="13" t="str">
        <x:v>SUZANO SA</x:v>
      </x:c>
      <x:c r="C8308" s="16" t="n">
        <x:v>7617.9479566027</x:v>
      </x:c>
      <x:c r="D8308" s="13" t="str">
        <x:v>Pulp &amp; Paper</x:v>
      </x:c>
      <x:c r="E8308" s="13" t="str">
        <x:v>Pulp &amp; Paper</x:v>
      </x:c>
      <x:c r="F8308" s="13" t="str">
        <x:v>Deep Cyclicals</x:v>
      </x:c>
      <x:c r="G8308" s="13" t="str">
        <x:v>grid_cqzdsc3v.xlsx</x:v>
      </x:c>
    </x:row>
    <x:row r="8309">
      <x:c r="A8309" s="15" t="n">
        <x:v>44197</x:v>
      </x:c>
      <x:c r="B8309" s="13" t="str">
        <x:v>AMERICANAS SA</x:v>
      </x:c>
      <x:c r="C8309" s="16" t="n">
        <x:v>-12.0191150685</x:v>
      </x:c>
      <x:c r="D8309" s="13" t="str">
        <x:v>Retail</x:v>
      </x:c>
      <x:c r="E8309" s="13" t="str">
        <x:v>Retail</x:v>
      </x:c>
      <x:c r="F8309" s="13" t="str">
        <x:v>Early Cyclicals</x:v>
      </x:c>
      <x:c r="G8309" s="13" t="str">
        <x:v>grid_cqzdsc3v.xlsx</x:v>
      </x:c>
    </x:row>
    <x:row r="8310">
      <x:c r="A8310" s="15" t="n">
        <x:v>44197</x:v>
      </x:c>
      <x:c r="B8310" s="13" t="str">
        <x:v>ATACADAO SA</x:v>
      </x:c>
      <x:c r="C8310" s="16" t="n">
        <x:v>2509.9862079123</x:v>
      </x:c>
      <x:c r="D8310" s="13" t="str">
        <x:v>Retail</x:v>
      </x:c>
      <x:c r="E8310" s="13" t="str">
        <x:v>Retail</x:v>
      </x:c>
      <x:c r="F8310" s="13" t="str">
        <x:v>Early Cyclicals</x:v>
      </x:c>
      <x:c r="G8310" s="13" t="str">
        <x:v>grid_cqzdsc3v.xlsx</x:v>
      </x:c>
    </x:row>
    <x:row r="8311">
      <x:c r="A8311" s="15" t="n">
        <x:v>44197</x:v>
      </x:c>
      <x:c r="B8311" s="13" t="str">
        <x:v>CIA BRASILEIRA DE DISTRIBUIC</x:v>
      </x:c>
      <x:c r="C8311" s="16" t="n">
        <x:v>1494.1321187945</x:v>
      </x:c>
      <x:c r="D8311" s="13" t="str">
        <x:v>Retail</x:v>
      </x:c>
      <x:c r="E8311" s="13" t="str">
        <x:v>Retail</x:v>
      </x:c>
      <x:c r="F8311" s="13" t="str">
        <x:v>Early Cyclicals</x:v>
      </x:c>
      <x:c r="G8311" s="13" t="str">
        <x:v>grid_cqzdsc3v.xlsx</x:v>
      </x:c>
    </x:row>
    <x:row r="8312">
      <x:c r="A8312" s="15" t="n">
        <x:v>44197</x:v>
      </x:c>
      <x:c r="B8312" s="13" t="str">
        <x:v>CIA HERING</x:v>
      </x:c>
      <x:c r="C8312" s="16" t="n">
        <x:v>162.086809074</x:v>
      </x:c>
      <x:c r="D8312" s="13" t="str">
        <x:v>Retail</x:v>
      </x:c>
      <x:c r="E8312" s="13" t="str">
        <x:v>Retail</x:v>
      </x:c>
      <x:c r="F8312" s="13" t="str">
        <x:v>Early Cyclicals</x:v>
      </x:c>
      <x:c r="G8312" s="13" t="str">
        <x:v>grid_cqzdsc3v.xlsx</x:v>
      </x:c>
    </x:row>
    <x:row r="8313">
      <x:c r="A8313" s="15" t="n">
        <x:v>44197</x:v>
      </x:c>
      <x:c r="B8313" s="13" t="str">
        <x:v>CVC BRASIL OPERADORA E AGENC</x:v>
      </x:c>
      <x:c r="C8313" s="16" t="n">
        <x:v>302.9397260274</x:v>
      </x:c>
      <x:c r="D8313" s="13" t="str">
        <x:v>Retail</x:v>
      </x:c>
      <x:c r="E8313" s="13" t="str">
        <x:v>Retail</x:v>
      </x:c>
      <x:c r="F8313" s="13" t="str">
        <x:v>Early Cyclicals</x:v>
      </x:c>
      <x:c r="G8313" s="13" t="str">
        <x:v>grid_cqzdsc3v.xlsx</x:v>
      </x:c>
    </x:row>
    <x:row r="8314">
      <x:c r="A8314" s="15" t="n">
        <x:v>44197</x:v>
      </x:c>
      <x:c r="B8314" s="13" t="str">
        <x:v>GRUPO CASAS BAHIA SA</x:v>
      </x:c>
      <x:c r="C8314" s="16" t="n">
        <x:v>666.671635463</x:v>
      </x:c>
      <x:c r="D8314" s="13" t="str">
        <x:v>Retail</x:v>
      </x:c>
      <x:c r="E8314" s="13" t="str">
        <x:v>Retail</x:v>
      </x:c>
      <x:c r="F8314" s="13" t="str">
        <x:v>Early Cyclicals</x:v>
      </x:c>
      <x:c r="G8314" s="13" t="str">
        <x:v>grid_cqzdsc3v.xlsx</x:v>
      </x:c>
    </x:row>
    <x:row r="8315">
      <x:c r="A8315" s="15" t="n">
        <x:v>44197</x:v>
      </x:c>
      <x:c r="B8315" s="13" t="str">
        <x:v>LOJAS AMERICANAS SA-PREF</x:v>
      </x:c>
      <x:c r="C8315" s="16" t="n">
        <x:v>1068.7791258301</x:v>
      </x:c>
      <x:c r="D8315" s="13" t="str">
        <x:v>Retail</x:v>
      </x:c>
      <x:c r="E8315" s="13" t="str">
        <x:v>Retail</x:v>
      </x:c>
      <x:c r="F8315" s="13" t="str">
        <x:v>Early Cyclicals</x:v>
      </x:c>
      <x:c r="G8315" s="13" t="str">
        <x:v>grid_cqzdsc3v.xlsx</x:v>
      </x:c>
    </x:row>
    <x:row r="8316">
      <x:c r="A8316" s="15" t="n">
        <x:v>44197</x:v>
      </x:c>
      <x:c r="B8316" s="13" t="str">
        <x:v>LOJAS RENNER S.A.</x:v>
      </x:c>
      <x:c r="C8316" s="16" t="n">
        <x:v>1172.8321963836</x:v>
      </x:c>
      <x:c r="D8316" s="13" t="str">
        <x:v>Retail</x:v>
      </x:c>
      <x:c r="E8316" s="13" t="str">
        <x:v>Retail</x:v>
      </x:c>
      <x:c r="F8316" s="13" t="str">
        <x:v>Early Cyclicals</x:v>
      </x:c>
      <x:c r="G8316" s="13" t="str">
        <x:v>grid_cqzdsc3v.xlsx</x:v>
      </x:c>
    </x:row>
    <x:row r="8317">
      <x:c r="A8317" s="15" t="n">
        <x:v>44197</x:v>
      </x:c>
      <x:c r="B8317" s="13" t="str">
        <x:v>MAGAZINE LUIZA SA</x:v>
      </x:c>
      <x:c r="C8317" s="16" t="n">
        <x:v>816.5289924384</x:v>
      </x:c>
      <x:c r="D8317" s="13" t="str">
        <x:v>Retail</x:v>
      </x:c>
      <x:c r="E8317" s="13" t="str">
        <x:v>Retail</x:v>
      </x:c>
      <x:c r="F8317" s="13" t="str">
        <x:v>Early Cyclicals</x:v>
      </x:c>
      <x:c r="G8317" s="13" t="str">
        <x:v>grid_cqzdsc3v.xlsx</x:v>
      </x:c>
    </x:row>
    <x:row r="8318">
      <x:c r="A8318" s="15" t="n">
        <x:v>44197</x:v>
      </x:c>
      <x:c r="B8318" s="13" t="str">
        <x:v>NATURA &amp;CO HOLDING SA</x:v>
      </x:c>
      <x:c r="C8318" s="16" t="n">
        <x:v>957.6465997151</x:v>
      </x:c>
      <x:c r="D8318" s="13" t="str">
        <x:v>Retail</x:v>
      </x:c>
      <x:c r="E8318" s="13" t="str">
        <x:v>Retail</x:v>
      </x:c>
      <x:c r="F8318" s="13" t="str">
        <x:v>Early Cyclicals</x:v>
      </x:c>
      <x:c r="G8318" s="13" t="str">
        <x:v>grid_cqzdsc3v.xlsx</x:v>
      </x:c>
    </x:row>
    <x:row r="8319">
      <x:c r="A8319" s="15" t="n">
        <x:v>44197</x:v>
      </x:c>
      <x:c r="B8319" s="13" t="str">
        <x:v>RAIA DROGASIL SA</x:v>
      </x:c>
      <x:c r="C8319" s="16" t="n">
        <x:v>864.4618916822</x:v>
      </x:c>
      <x:c r="D8319" s="13" t="str">
        <x:v>Retail</x:v>
      </x:c>
      <x:c r="E8319" s="13" t="str">
        <x:v>Retail</x:v>
      </x:c>
      <x:c r="F8319" s="13" t="str">
        <x:v>Early Cyclicals</x:v>
      </x:c>
      <x:c r="G8319" s="13" t="str">
        <x:v>grid_cqzdsc3v.xlsx</x:v>
      </x:c>
    </x:row>
    <x:row r="8320">
      <x:c r="A8320" s="15" t="n">
        <x:v>44197</x:v>
      </x:c>
      <x:c r="B8320" s="13" t="str">
        <x:v>CIA SANEAMENTO BASICO DE SP</x:v>
      </x:c>
      <x:c r="C8320" s="16" t="n">
        <x:v>2982.4964615014</x:v>
      </x:c>
      <x:c r="D8320" s="13" t="str">
        <x:v>Sanitation</x:v>
      </x:c>
      <x:c r="E8320" s="13" t="str">
        <x:v>Utilities</x:v>
      </x:c>
      <x:c r="F8320" s="13" t="str">
        <x:v>Defensives</x:v>
      </x:c>
      <x:c r="G8320" s="13" t="str">
        <x:v>grid_cqzdsc3v.xlsx</x:v>
      </x:c>
    </x:row>
    <x:row r="8321">
      <x:c r="A8321" s="15" t="n">
        <x:v>44197</x:v>
      </x:c>
      <x:c r="B8321" s="13" t="str">
        <x:v>TIM SA</x:v>
      </x:c>
      <x:c r="C8321" s="16" t="n">
        <x:v>2032.6268724603</x:v>
      </x:c>
      <x:c r="D8321" s="13" t="str">
        <x:v>TMT</x:v>
      </x:c>
      <x:c r="E8321" s="13" t="str">
        <x:v>TMT</x:v>
      </x:c>
      <x:c r="F8321" s="13" t="str">
        <x:v>Early Cyclicals</x:v>
      </x:c>
      <x:c r="G8321" s="13" t="str">
        <x:v>grid_cqzdsc3v.xlsx</x:v>
      </x:c>
    </x:row>
    <x:row r="8322">
      <x:c r="A8322" s="15" t="n">
        <x:v>44197</x:v>
      </x:c>
      <x:c r="B8322" s="13" t="str">
        <x:v>TOTVS SA</x:v>
      </x:c>
      <x:c r="C8322" s="16" t="n">
        <x:v>395.2858389918</x:v>
      </x:c>
      <x:c r="D8322" s="13" t="str">
        <x:v>TMT</x:v>
      </x:c>
      <x:c r="E8322" s="13" t="str">
        <x:v>TMT</x:v>
      </x:c>
      <x:c r="F8322" s="13" t="str">
        <x:v>Early Cyclicals</x:v>
      </x:c>
      <x:c r="G8322" s="13" t="str">
        <x:v>grid_cqzdsc3v.xlsx</x:v>
      </x:c>
    </x:row>
    <x:row r="8323">
      <x:c r="A8323" s="15" t="n">
        <x:v>44197</x:v>
      </x:c>
      <x:c r="B8323" s="13" t="str">
        <x:v>AZUL SA</x:v>
      </x:c>
      <x:c r="C8323" s="16" t="n">
        <x:v>-666.8966619836</x:v>
      </x:c>
      <x:c r="D8323" s="13" t="str">
        <x:v>Transportation</x:v>
      </x:c>
      <x:c r="E8323" s="13" t="str">
        <x:v>Transportation</x:v>
      </x:c>
      <x:c r="F8323" s="13" t="str">
        <x:v>Deep Cyclicals</x:v>
      </x:c>
      <x:c r="G8323" s="13" t="str">
        <x:v>grid_cqzdsc3v.xlsx</x:v>
      </x:c>
    </x:row>
    <x:row r="8324">
      <x:c r="A8324" s="15" t="n">
        <x:v>44197</x:v>
      </x:c>
      <x:c r="B8324" s="13" t="str">
        <x:v>CIA DE LOCACAO DAS AMERICAS</x:v>
      </x:c>
      <x:c r="C8324" s="16" t="n">
        <x:v>596.7301270795</x:v>
      </x:c>
      <x:c r="D8324" s="13" t="str">
        <x:v>Transportation</x:v>
      </x:c>
      <x:c r="E8324" s="13" t="str">
        <x:v>Transportation</x:v>
      </x:c>
      <x:c r="F8324" s="13" t="str">
        <x:v>Deep Cyclicals</x:v>
      </x:c>
      <x:c r="G8324" s="13" t="str">
        <x:v>grid_cqzdsc3v.xlsx</x:v>
      </x:c>
    </x:row>
    <x:row r="8325">
      <x:c r="A8325" s="15" t="n">
        <x:v>44197</x:v>
      </x:c>
      <x:c r="B8325" s="13" t="str">
        <x:v>ECORODOVIAS INFRA E LOG SA</x:v>
      </x:c>
      <x:c r="C8325" s="16" t="n">
        <x:v>495.2166179068</x:v>
      </x:c>
      <x:c r="D8325" s="13" t="str">
        <x:v>Transportation</x:v>
      </x:c>
      <x:c r="E8325" s="13" t="str">
        <x:v>Transportation</x:v>
      </x:c>
      <x:c r="F8325" s="13" t="str">
        <x:v>Deep Cyclicals</x:v>
      </x:c>
      <x:c r="G8325" s="13" t="str">
        <x:v>grid_cqzdsc3v.xlsx</x:v>
      </x:c>
    </x:row>
    <x:row r="8326">
      <x:c r="A8326" s="15" t="n">
        <x:v>44197</x:v>
      </x:c>
      <x:c r="B8326" s="13" t="str">
        <x:v>GOL LINHAS AEREAS INT SA-PRE</x:v>
      </x:c>
      <x:c r="C8326" s="16" t="n">
        <x:v>-455.6295097863</x:v>
      </x:c>
      <x:c r="D8326" s="13" t="str">
        <x:v>Transportation</x:v>
      </x:c>
      <x:c r="E8326" s="13" t="str">
        <x:v>Transportation</x:v>
      </x:c>
      <x:c r="F8326" s="13" t="str">
        <x:v>Deep Cyclicals</x:v>
      </x:c>
      <x:c r="G8326" s="13" t="str">
        <x:v>grid_cqzdsc3v.xlsx</x:v>
      </x:c>
    </x:row>
    <x:row r="8327">
      <x:c r="A8327" s="15" t="n">
        <x:v>44197</x:v>
      </x:c>
      <x:c r="B8327" s="13" t="str">
        <x:v>LOCALIZA RENT A CAR</x:v>
      </x:c>
      <x:c r="C8327" s="16" t="n">
        <x:v>1384.6380796493</x:v>
      </x:c>
      <x:c r="D8327" s="13" t="str">
        <x:v>Transportation</x:v>
      </x:c>
      <x:c r="E8327" s="13" t="str">
        <x:v>Transportation</x:v>
      </x:c>
      <x:c r="F8327" s="13" t="str">
        <x:v>Deep Cyclicals</x:v>
      </x:c>
      <x:c r="G8327" s="13" t="str">
        <x:v>grid_cqzdsc3v.xlsx</x:v>
      </x:c>
    </x:row>
    <x:row r="8328">
      <x:c r="A8328" s="15" t="n">
        <x:v>44197</x:v>
      </x:c>
      <x:c r="B8328" s="13" t="str">
        <x:v>MOTIVA INFRAESTRUTURA DE MOB</x:v>
      </x:c>
      <x:c r="C8328" s="16" t="n">
        <x:v>1165.6864231452</x:v>
      </x:c>
      <x:c r="D8328" s="13" t="str">
        <x:v>Transportation</x:v>
      </x:c>
      <x:c r="E8328" s="13" t="str">
        <x:v>Transportation</x:v>
      </x:c>
      <x:c r="F8328" s="13" t="str">
        <x:v>Deep Cyclicals</x:v>
      </x:c>
      <x:c r="G8328" s="13" t="str">
        <x:v>grid_cqzdsc3v.xlsx</x:v>
      </x:c>
    </x:row>
    <x:row r="8329">
      <x:c r="A8329" s="15" t="n">
        <x:v>44197</x:v>
      </x:c>
      <x:c r="B8329" s="13" t="str">
        <x:v>RUMO SA</x:v>
      </x:c>
      <x:c r="C8329" s="16" t="n">
        <x:v>1027.6107625205</x:v>
      </x:c>
      <x:c r="D8329" s="13" t="str">
        <x:v>Transportation</x:v>
      </x:c>
      <x:c r="E8329" s="13" t="str">
        <x:v>Transportation</x:v>
      </x:c>
      <x:c r="F8329" s="13" t="str">
        <x:v>Deep Cyclicals</x:v>
      </x:c>
      <x:c r="G8329" s="13" t="str">
        <x:v>grid_cqzdsc3v.xlsx</x:v>
      </x:c>
    </x:row>
    <x:row r="8330">
      <x:c r="A8330" s="15" t="n">
        <x:v>44197</x:v>
      </x:c>
      <x:c r="B8330" s="13" t="str">
        <x:v>AXIA ENERGIA SA</x:v>
      </x:c>
      <x:c r="C8330" s="16" t="n">
        <x:v>7899.2863372274</x:v>
      </x:c>
      <x:c r="D8330" s="13" t="str">
        <x:v>Utilities &amp; Energy</x:v>
      </x:c>
      <x:c r="E8330" s="13" t="str">
        <x:v>Utilities</x:v>
      </x:c>
      <x:c r="F8330" s="13" t="str">
        <x:v>Defensives</x:v>
      </x:c>
      <x:c r="G8330" s="13" t="str">
        <x:v>grid_cqzdsc3v.xlsx</x:v>
      </x:c>
    </x:row>
    <x:row r="8331">
      <x:c r="A8331" s="15" t="n">
        <x:v>44197</x:v>
      </x:c>
      <x:c r="B8331" s="13" t="str">
        <x:v>AXIA ENERGIA-PR B</x:v>
      </x:c>
      <x:c r="C8331" s="16" t="n">
        <x:v>7899.2863372274</x:v>
      </x:c>
      <x:c r="D8331" s="13" t="str">
        <x:v>Utilities &amp; Energy</x:v>
      </x:c>
      <x:c r="E8331" s="13" t="str">
        <x:v>Utilities</x:v>
      </x:c>
      <x:c r="F8331" s="13" t="str">
        <x:v>Defensives</x:v>
      </x:c>
      <x:c r="G8331" s="13" t="str">
        <x:v>grid_cqzdsc3v.xlsx</x:v>
      </x:c>
    </x:row>
    <x:row r="8332">
      <x:c r="A8332" s="15" t="n">
        <x:v>44197</x:v>
      </x:c>
      <x:c r="B8332" s="13" t="str">
        <x:v>CIA ENERGETICA MINAS GER-PRF</x:v>
      </x:c>
      <x:c r="C8332" s="16" t="n">
        <x:v>2663.1862279014</x:v>
      </x:c>
      <x:c r="D8332" s="13" t="str">
        <x:v>Utilities &amp; Energy</x:v>
      </x:c>
      <x:c r="E8332" s="13" t="str">
        <x:v>Utilities</x:v>
      </x:c>
      <x:c r="F8332" s="13" t="str">
        <x:v>Defensives</x:v>
      </x:c>
      <x:c r="G8332" s="13" t="str">
        <x:v>grid_cqzdsc3v.xlsx</x:v>
      </x:c>
    </x:row>
    <x:row r="8333">
      <x:c r="A8333" s="15" t="n">
        <x:v>44197</x:v>
      </x:c>
      <x:c r="B8333" s="13" t="str">
        <x:v>COMPANHIA PARANAENSE -PREF B</x:v>
      </x:c>
      <x:c r="C8333" s="16" t="n">
        <x:v>2603.542349852</x:v>
      </x:c>
      <x:c r="D8333" s="13" t="str">
        <x:v>Utilities &amp; Energy</x:v>
      </x:c>
      <x:c r="E8333" s="13" t="str">
        <x:v>Utilities</x:v>
      </x:c>
      <x:c r="F8333" s="13" t="str">
        <x:v>Defensives</x:v>
      </x:c>
      <x:c r="G8333" s="13" t="str">
        <x:v>grid_cqzdsc3v.xlsx</x:v>
      </x:c>
    </x:row>
    <x:row r="8334">
      <x:c r="A8334" s="15" t="n">
        <x:v>44197</x:v>
      </x:c>
      <x:c r="B8334" s="13" t="str">
        <x:v>CPFL ENERGIA SA</x:v>
      </x:c>
      <x:c r="C8334" s="16" t="n">
        <x:v>3512.9801152877</x:v>
      </x:c>
      <x:c r="D8334" s="13" t="str">
        <x:v>Utilities &amp; Energy</x:v>
      </x:c>
      <x:c r="E8334" s="13" t="str">
        <x:v>Utilities</x:v>
      </x:c>
      <x:c r="F8334" s="13" t="str">
        <x:v>Defensives</x:v>
      </x:c>
      <x:c r="G8334" s="13" t="str">
        <x:v>grid_cqzdsc3v.xlsx</x:v>
      </x:c>
    </x:row>
    <x:row r="8335">
      <x:c r="A8335" s="15" t="n">
        <x:v>44197</x:v>
      </x:c>
      <x:c r="B8335" s="13" t="str">
        <x:v>EDP - ENERGIAS DO BRASIL SA</x:v>
      </x:c>
      <x:c r="C8335" s="16" t="n">
        <x:v>1211.7876083726</x:v>
      </x:c>
      <x:c r="D8335" s="13" t="str">
        <x:v>Utilities &amp; Energy</x:v>
      </x:c>
      <x:c r="E8335" s="13" t="str">
        <x:v>Utilities</x:v>
      </x:c>
      <x:c r="F8335" s="13" t="str">
        <x:v>Defensives</x:v>
      </x:c>
      <x:c r="G8335" s="13" t="str">
        <x:v>grid_cqzdsc3v.xlsx</x:v>
      </x:c>
    </x:row>
    <x:row r="8336">
      <x:c r="A8336" s="15" t="n">
        <x:v>44197</x:v>
      </x:c>
      <x:c r="B8336" s="13" t="str">
        <x:v>ENERGISA SA-UNITS</x:v>
      </x:c>
      <x:c r="C8336" s="16" t="n">
        <x:v>1668.431916537</x:v>
      </x:c>
      <x:c r="D8336" s="13" t="str">
        <x:v>Utilities &amp; Energy</x:v>
      </x:c>
      <x:c r="E8336" s="13" t="str">
        <x:v>Utilities</x:v>
      </x:c>
      <x:c r="F8336" s="13" t="str">
        <x:v>Defensives</x:v>
      </x:c>
      <x:c r="G8336" s="13" t="str">
        <x:v>grid_cqzdsc3v.xlsx</x:v>
      </x:c>
    </x:row>
    <x:row r="8337">
      <x:c r="A8337" s="15" t="n">
        <x:v>44197</x:v>
      </x:c>
      <x:c r="B8337" s="13" t="str">
        <x:v>ENEVA SA</x:v>
      </x:c>
      <x:c r="C8337" s="16" t="n">
        <x:v>815.349312526</x:v>
      </x:c>
      <x:c r="D8337" s="13" t="str">
        <x:v>Utilities &amp; Energy</x:v>
      </x:c>
      <x:c r="E8337" s="13" t="str">
        <x:v>Utilities</x:v>
      </x:c>
      <x:c r="F8337" s="13" t="str">
        <x:v>Defensives</x:v>
      </x:c>
      <x:c r="G8337" s="13" t="str">
        <x:v>grid_cqzdsc3v.xlsx</x:v>
      </x:c>
    </x:row>
    <x:row r="8338">
      <x:c r="A8338" s="15" t="n">
        <x:v>44197</x:v>
      </x:c>
      <x:c r="B8338" s="13" t="str">
        <x:v>ENGIE BRASIL ENERGIA SA</x:v>
      </x:c>
      <x:c r="C8338" s="16" t="n">
        <x:v>3138.3291518247</x:v>
      </x:c>
      <x:c r="D8338" s="13" t="str">
        <x:v>Utilities &amp; Energy</x:v>
      </x:c>
      <x:c r="E8338" s="13" t="str">
        <x:v>Utilities</x:v>
      </x:c>
      <x:c r="F8338" s="13" t="str">
        <x:v>Defensives</x:v>
      </x:c>
      <x:c r="G8338" s="13" t="str">
        <x:v>grid_cqzdsc3v.xlsx</x:v>
      </x:c>
    </x:row>
    <x:row r="8339">
      <x:c r="A8339" s="15" t="n">
        <x:v>44197</x:v>
      </x:c>
      <x:c r="B8339" s="13" t="str">
        <x:v>EQUATORIAL SA - ORD</x:v>
      </x:c>
      <x:c r="C8339" s="16" t="n">
        <x:v>1977.9699789151</x:v>
      </x:c>
      <x:c r="D8339" s="13" t="str">
        <x:v>Utilities &amp; Energy</x:v>
      </x:c>
      <x:c r="E8339" s="13" t="str">
        <x:v>Utilities</x:v>
      </x:c>
      <x:c r="F8339" s="13" t="str">
        <x:v>Defensives</x:v>
      </x:c>
      <x:c r="G8339" s="13" t="str">
        <x:v>grid_cqzdsc3v.xlsx</x:v>
      </x:c>
    </x:row>
    <x:row r="8340">
      <x:c r="A8340" s="15" t="n">
        <x:v>44197</x:v>
      </x:c>
      <x:c r="B8340" s="13" t="str">
        <x:v>TRANSMISSORA ALIANCA DE-UNIT</x:v>
      </x:c>
      <x:c r="C8340" s="16" t="n">
        <x:v>991.2328914411</x:v>
      </x:c>
      <x:c r="D8340" s="13" t="str">
        <x:v>Utilities &amp; Energy</x:v>
      </x:c>
      <x:c r="E8340" s="13" t="str">
        <x:v>Utilities</x:v>
      </x:c>
      <x:c r="F8340" s="13" t="str">
        <x:v>Defensives</x:v>
      </x:c>
      <x:c r="G8340" s="13" t="str">
        <x:v>grid_cqzdsc3v.xlsx</x:v>
      </x:c>
    </x:row>
    <x:row r="8341">
      <x:c r="A8341" s="15" t="n">
        <x:v>44228</x:v>
      </x:c>
      <x:c r="B8341" s="13" t="str">
        <x:v>BANCO BRADESCO S.A.</x:v>
      </x:c>
      <x:c r="C8341" s="16" t="n">
        <x:v>25852.5364672877</x:v>
      </x:c>
      <x:c r="D8341" s="13" t="str">
        <x:v>Banks</x:v>
      </x:c>
      <x:c r="E8341" s="13" t="str">
        <x:v>Banks</x:v>
      </x:c>
      <x:c r="F8341" s="13" t="str">
        <x:v>Financials</x:v>
      </x:c>
      <x:c r="G8341" s="13" t="str">
        <x:v>grid_cqzdsc3v.xlsx</x:v>
      </x:c>
    </x:row>
    <x:row r="8342">
      <x:c r="A8342" s="15" t="n">
        <x:v>44228</x:v>
      </x:c>
      <x:c r="B8342" s="13" t="str">
        <x:v>BANCO BRADESCO SA-PREF</x:v>
      </x:c>
      <x:c r="C8342" s="16" t="n">
        <x:v>25852.5364672877</x:v>
      </x:c>
      <x:c r="D8342" s="13" t="str">
        <x:v>Banks</x:v>
      </x:c>
      <x:c r="E8342" s="13" t="str">
        <x:v>Banks</x:v>
      </x:c>
      <x:c r="F8342" s="13" t="str">
        <x:v>Financials</x:v>
      </x:c>
      <x:c r="G8342" s="13" t="str">
        <x:v>grid_cqzdsc3v.xlsx</x:v>
      </x:c>
    </x:row>
    <x:row r="8343">
      <x:c r="A8343" s="15" t="n">
        <x:v>44228</x:v>
      </x:c>
      <x:c r="B8343" s="13" t="str">
        <x:v>BANCO BTG PACTUAL SA-UNIT</x:v>
      </x:c>
      <x:c r="C8343" s="16" t="n">
        <x:v>5045.2807469589</x:v>
      </x:c>
      <x:c r="D8343" s="13" t="str">
        <x:v>Banks</x:v>
      </x:c>
      <x:c r="E8343" s="13" t="str">
        <x:v>Banks</x:v>
      </x:c>
      <x:c r="F8343" s="13" t="str">
        <x:v>Financials</x:v>
      </x:c>
      <x:c r="G8343" s="13" t="str">
        <x:v>grid_cqzdsc3v.xlsx</x:v>
      </x:c>
    </x:row>
    <x:row r="8344">
      <x:c r="A8344" s="15" t="n">
        <x:v>44228</x:v>
      </x:c>
      <x:c r="B8344" s="13" t="str">
        <x:v>BANCO DO BRASIL S.A.</x:v>
      </x:c>
      <x:c r="C8344" s="16" t="n">
        <x:v>17816.4819098301</x:v>
      </x:c>
      <x:c r="D8344" s="13" t="str">
        <x:v>Banks</x:v>
      </x:c>
      <x:c r="E8344" s="13" t="str">
        <x:v>Banks</x:v>
      </x:c>
      <x:c r="F8344" s="13" t="str">
        <x:v>Financials</x:v>
      </x:c>
      <x:c r="G8344" s="13" t="str">
        <x:v>grid_cqzdsc3v.xlsx</x:v>
      </x:c>
    </x:row>
    <x:row r="8345">
      <x:c r="A8345" s="15" t="n">
        <x:v>44228</x:v>
      </x:c>
      <x:c r="B8345" s="13" t="str">
        <x:v>BANCO SANTANDER  BRASIL-UNIT</x:v>
      </x:c>
      <x:c r="C8345" s="16" t="n">
        <x:v>15301.7904759233</x:v>
      </x:c>
      <x:c r="D8345" s="13" t="str">
        <x:v>Banks</x:v>
      </x:c>
      <x:c r="E8345" s="13" t="str">
        <x:v>Banks</x:v>
      </x:c>
      <x:c r="F8345" s="13" t="str">
        <x:v>Financials</x:v>
      </x:c>
      <x:c r="G8345" s="13" t="str">
        <x:v>grid_cqzdsc3v.xlsx</x:v>
      </x:c>
    </x:row>
    <x:row r="8346">
      <x:c r="A8346" s="15" t="n">
        <x:v>44228</x:v>
      </x:c>
      <x:c r="B8346" s="13" t="str">
        <x:v>ITAU UNIBANCO HOLDING S-PREF</x:v>
      </x:c>
      <x:c r="C8346" s="16" t="n">
        <x:v>25653.7927175014</x:v>
      </x:c>
      <x:c r="D8346" s="13" t="str">
        <x:v>Banks</x:v>
      </x:c>
      <x:c r="E8346" s="13" t="str">
        <x:v>Banks</x:v>
      </x:c>
      <x:c r="F8346" s="13" t="str">
        <x:v>Financials</x:v>
      </x:c>
      <x:c r="G8346" s="13" t="str">
        <x:v>grid_cqzdsc3v.xlsx</x:v>
      </x:c>
    </x:row>
    <x:row r="8347">
      <x:c r="A8347" s="15" t="n">
        <x:v>44228</x:v>
      </x:c>
      <x:c r="B8347" s="13" t="str">
        <x:v>EMBRAER SA</x:v>
      </x:c>
      <x:c r="C8347" s="16" t="n">
        <x:v>-586.0817673205</x:v>
      </x:c>
      <x:c r="D8347" s="13" t="str">
        <x:v>Capital Goods</x:v>
      </x:c>
      <x:c r="E8347" s="13" t="str">
        <x:v>Capital Goods</x:v>
      </x:c>
      <x:c r="F8347" s="13" t="str">
        <x:v>Deep Cyclicals</x:v>
      </x:c>
      <x:c r="G8347" s="13" t="str">
        <x:v>grid_cqzdsc3v.xlsx</x:v>
      </x:c>
    </x:row>
    <x:row r="8348">
      <x:c r="A8348" s="15" t="n">
        <x:v>44228</x:v>
      </x:c>
      <x:c r="B8348" s="13" t="str">
        <x:v>WEG SA</x:v>
      </x:c>
      <x:c r="C8348" s="16" t="n">
        <x:v>2808.7389780164</x:v>
      </x:c>
      <x:c r="D8348" s="13" t="str">
        <x:v>Capital Goods</x:v>
      </x:c>
      <x:c r="E8348" s="13" t="str">
        <x:v>Capital Goods</x:v>
      </x:c>
      <x:c r="F8348" s="13" t="str">
        <x:v>Deep Cyclicals</x:v>
      </x:c>
      <x:c r="G8348" s="13" t="str">
        <x:v>grid_cqzdsc3v.xlsx</x:v>
      </x:c>
    </x:row>
    <x:row r="8349">
      <x:c r="A8349" s="15" t="n">
        <x:v>44228</x:v>
      </x:c>
      <x:c r="B8349" s="13" t="str">
        <x:v>COGNA EDUCACAO</x:v>
      </x:c>
      <x:c r="C8349" s="16" t="n">
        <x:v>66.142335737</x:v>
      </x:c>
      <x:c r="D8349" s="13" t="str">
        <x:v>Education</x:v>
      </x:c>
      <x:c r="E8349" s="13" t="str">
        <x:v>Education</x:v>
      </x:c>
      <x:c r="F8349" s="13" t="str">
        <x:v>Early Cyclicals</x:v>
      </x:c>
      <x:c r="G8349" s="13" t="str">
        <x:v>grid_cqzdsc3v.xlsx</x:v>
      </x:c>
    </x:row>
    <x:row r="8350">
      <x:c r="A8350" s="15" t="n">
        <x:v>44228</x:v>
      </x:c>
      <x:c r="B8350" s="13" t="str">
        <x:v>YDUQS PARTICIPACOES SA</x:v>
      </x:c>
      <x:c r="C8350" s="16" t="n">
        <x:v>664.1187883836</x:v>
      </x:c>
      <x:c r="D8350" s="13" t="str">
        <x:v>Education</x:v>
      </x:c>
      <x:c r="E8350" s="13" t="str">
        <x:v>Education</x:v>
      </x:c>
      <x:c r="F8350" s="13" t="str">
        <x:v>Early Cyclicals</x:v>
      </x:c>
      <x:c r="G8350" s="13" t="str">
        <x:v>grid_cqzdsc3v.xlsx</x:v>
      </x:c>
    </x:row>
    <x:row r="8351">
      <x:c r="A8351" s="15" t="n">
        <x:v>44228</x:v>
      </x:c>
      <x:c r="B8351" s="13" t="str">
        <x:v>B3 SA-BRASIL BOLSA BALCAO</x:v>
      </x:c>
      <x:c r="C8351" s="16" t="n">
        <x:v>4846.2670609534</x:v>
      </x:c>
      <x:c r="D8351" s="13" t="str">
        <x:v>Financials Non-Banks</x:v>
      </x:c>
      <x:c r="E8351" s="13" t="str">
        <x:v>Financials Non-Banks</x:v>
      </x:c>
      <x:c r="F8351" s="13" t="str">
        <x:v>Financials</x:v>
      </x:c>
      <x:c r="G8351" s="13" t="str">
        <x:v>grid_cqzdsc3v.xlsx</x:v>
      </x:c>
    </x:row>
    <x:row r="8352">
      <x:c r="A8352" s="15" t="n">
        <x:v>44228</x:v>
      </x:c>
      <x:c r="B8352" s="13" t="str">
        <x:v>BB SEGURIDADE PARTICIPACOES</x:v>
      </x:c>
      <x:c r="C8352" s="16" t="n">
        <x:v>4380.8456114849</x:v>
      </x:c>
      <x:c r="D8352" s="13" t="str">
        <x:v>Financials Non-Banks</x:v>
      </x:c>
      <x:c r="E8352" s="13" t="str">
        <x:v>Financials Non-Banks</x:v>
      </x:c>
      <x:c r="F8352" s="13" t="str">
        <x:v>Financials</x:v>
      </x:c>
      <x:c r="G8352" s="13" t="str">
        <x:v>grid_cqzdsc3v.xlsx</x:v>
      </x:c>
    </x:row>
    <x:row r="8353">
      <x:c r="A8353" s="15" t="n">
        <x:v>44228</x:v>
      </x:c>
      <x:c r="B8353" s="13" t="str">
        <x:v>CIELO SA</x:v>
      </x:c>
      <x:c r="C8353" s="16" t="n">
        <x:v>915.8977067836</x:v>
      </x:c>
      <x:c r="D8353" s="13" t="str">
        <x:v>Financials Non-Banks</x:v>
      </x:c>
      <x:c r="E8353" s="13" t="str">
        <x:v>Financials Non-Banks</x:v>
      </x:c>
      <x:c r="F8353" s="13" t="str">
        <x:v>Financials</x:v>
      </x:c>
      <x:c r="G8353" s="13" t="str">
        <x:v>Ibovespa_earnings_consolidated.xlsx</x:v>
      </x:c>
    </x:row>
    <x:row r="8354">
      <x:c r="A8354" s="15" t="n">
        <x:v>44228</x:v>
      </x:c>
      <x:c r="B8354" s="13" t="str">
        <x:v>CIELO SA - INSTITUICAO DE PA</x:v>
      </x:c>
      <x:c r="C8354" s="16" t="n">
        <x:v>915.8977067836</x:v>
      </x:c>
      <x:c r="D8354" s="13" t="str">
        <x:v>Financials Non-Banks</x:v>
      </x:c>
      <x:c r="E8354" s="13" t="str">
        <x:v>Financials Non-Banks</x:v>
      </x:c>
      <x:c r="F8354" s="13" t="str">
        <x:v>Financials</x:v>
      </x:c>
      <x:c r="G8354" s="13" t="str">
        <x:v>grid_cqzdsc3v.xlsx</x:v>
      </x:c>
    </x:row>
    <x:row r="8355">
      <x:c r="A8355" s="15" t="n">
        <x:v>44228</x:v>
      </x:c>
      <x:c r="B8355" s="13" t="str">
        <x:v>IRB BRASIL RESSEGUROS SA</x:v>
      </x:c>
      <x:c r="C8355" s="16" t="n">
        <x:v>413.4766988274</x:v>
      </x:c>
      <x:c r="D8355" s="13" t="str">
        <x:v>Financials Non-Banks</x:v>
      </x:c>
      <x:c r="E8355" s="13" t="str">
        <x:v>Financials Non-Banks</x:v>
      </x:c>
      <x:c r="F8355" s="13" t="str">
        <x:v>Financials</x:v>
      </x:c>
      <x:c r="G8355" s="13" t="str">
        <x:v>grid_cqzdsc3v.xlsx</x:v>
      </x:c>
    </x:row>
    <x:row r="8356">
      <x:c r="A8356" s="15" t="n">
        <x:v>44228</x:v>
      </x:c>
      <x:c r="B8356" s="13" t="str">
        <x:v>ITAUSA SA</x:v>
      </x:c>
      <x:c r="C8356" s="16" t="n">
        <x:v>9291.0519197808</x:v>
      </x:c>
      <x:c r="D8356" s="13" t="str">
        <x:v>Financials Non-Banks</x:v>
      </x:c>
      <x:c r="E8356" s="13" t="str">
        <x:v>Financials Non-Banks</x:v>
      </x:c>
      <x:c r="F8356" s="13" t="str">
        <x:v>Financials</x:v>
      </x:c>
      <x:c r="G8356" s="13" t="str">
        <x:v>grid_cqzdsc3v.xlsx</x:v>
      </x:c>
    </x:row>
    <x:row r="8357">
      <x:c r="A8357" s="15" t="n">
        <x:v>44228</x:v>
      </x:c>
      <x:c r="B8357" s="13" t="str">
        <x:v>AMBEV SA</x:v>
      </x:c>
      <x:c r="C8357" s="16" t="n">
        <x:v>10605.2438016</x:v>
      </x:c>
      <x:c r="D8357" s="13" t="str">
        <x:v>Food &amp; Beverages</x:v>
      </x:c>
      <x:c r="E8357" s="13" t="str">
        <x:v>Agri, Food &amp; Beverages</x:v>
      </x:c>
      <x:c r="F8357" s="13" t="str">
        <x:v>Defensives</x:v>
      </x:c>
      <x:c r="G8357" s="13" t="str">
        <x:v>grid_cqzdsc3v.xlsx</x:v>
      </x:c>
    </x:row>
    <x:row r="8358">
      <x:c r="A8358" s="15" t="n">
        <x:v>44228</x:v>
      </x:c>
      <x:c r="B8358" s="13" t="str">
        <x:v>BRF SA</x:v>
      </x:c>
      <x:c r="C8358" s="16" t="n">
        <x:v>888.0759346849</x:v>
      </x:c>
      <x:c r="D8358" s="13" t="str">
        <x:v>Food &amp; Beverages</x:v>
      </x:c>
      <x:c r="E8358" s="13" t="str">
        <x:v>Agri, Food &amp; Beverages</x:v>
      </x:c>
      <x:c r="F8358" s="13" t="str">
        <x:v>Defensives</x:v>
      </x:c>
      <x:c r="G8358" s="13" t="str">
        <x:v>grid_cqzdsc3v.xlsx</x:v>
      </x:c>
    </x:row>
    <x:row r="8359">
      <x:c r="A8359" s="15" t="n">
        <x:v>44228</x:v>
      </x:c>
      <x:c r="B8359" s="13" t="str">
        <x:v>JBS SA</x:v>
      </x:c>
      <x:c r="C8359" s="16" t="n">
        <x:v>9011.6923097425</x:v>
      </x:c>
      <x:c r="D8359" s="13" t="str">
        <x:v>Food &amp; Beverages</x:v>
      </x:c>
      <x:c r="E8359" s="13" t="str">
        <x:v>Agri, Food &amp; Beverages</x:v>
      </x:c>
      <x:c r="F8359" s="13" t="str">
        <x:v>Defensives</x:v>
      </x:c>
      <x:c r="G8359" s="13" t="str">
        <x:v>grid_cqzdsc3v.xlsx</x:v>
      </x:c>
    </x:row>
    <x:row r="8360">
      <x:c r="A8360" s="15" t="n">
        <x:v>44228</x:v>
      </x:c>
      <x:c r="B8360" s="13" t="str">
        <x:v>MBRF GLOBAL FOODS COMPANY SA</x:v>
      </x:c>
      <x:c r="C8360" s="16" t="n">
        <x:v>1637.6342685808</x:v>
      </x:c>
      <x:c r="D8360" s="13" t="str">
        <x:v>Food &amp; Beverages</x:v>
      </x:c>
      <x:c r="E8360" s="13" t="str">
        <x:v>Agri, Food &amp; Beverages</x:v>
      </x:c>
      <x:c r="F8360" s="13" t="str">
        <x:v>Defensives</x:v>
      </x:c>
      <x:c r="G8360" s="13" t="str">
        <x:v>grid_cqzdsc3v.xlsx</x:v>
      </x:c>
    </x:row>
    <x:row r="8361">
      <x:c r="A8361" s="15" t="n">
        <x:v>44228</x:v>
      </x:c>
      <x:c r="B8361" s="13" t="str">
        <x:v>MINERVA SA</x:v>
      </x:c>
      <x:c r="C8361" s="16" t="n">
        <x:v>454.3726027397</x:v>
      </x:c>
      <x:c r="D8361" s="13" t="str">
        <x:v>Food &amp; Beverages</x:v>
      </x:c>
      <x:c r="E8361" s="13" t="str">
        <x:v>Agri, Food &amp; Beverages</x:v>
      </x:c>
      <x:c r="F8361" s="13" t="str">
        <x:v>Defensives</x:v>
      </x:c>
      <x:c r="G8361" s="13" t="str">
        <x:v>grid_cqzdsc3v.xlsx</x:v>
      </x:c>
    </x:row>
    <x:row r="8362">
      <x:c r="A8362" s="15" t="n">
        <x:v>44228</x:v>
      </x:c>
      <x:c r="B8362" s="13" t="str">
        <x:v>FLEURY SA</x:v>
      </x:c>
      <x:c r="C8362" s="16" t="n">
        <x:v>343.0993999781</x:v>
      </x:c>
      <x:c r="D8362" s="13" t="str">
        <x:v>Health Care</x:v>
      </x:c>
      <x:c r="E8362" s="13" t="str">
        <x:v>Health Care</x:v>
      </x:c>
      <x:c r="F8362" s="13" t="str">
        <x:v>Defensives</x:v>
      </x:c>
      <x:c r="G8362" s="13" t="str">
        <x:v>grid_cqzdsc3v.xlsx</x:v>
      </x:c>
    </x:row>
    <x:row r="8363">
      <x:c r="A8363" s="15" t="n">
        <x:v>44228</x:v>
      </x:c>
      <x:c r="B8363" s="13" t="str">
        <x:v>HAPVIDA PARTICIPACOES E INVE</x:v>
      </x:c>
      <x:c r="C8363" s="16" t="n">
        <x:v>1156.2392193753</x:v>
      </x:c>
      <x:c r="D8363" s="13" t="str">
        <x:v>Health Care</x:v>
      </x:c>
      <x:c r="E8363" s="13" t="str">
        <x:v>Health Care</x:v>
      </x:c>
      <x:c r="F8363" s="13" t="str">
        <x:v>Defensives</x:v>
      </x:c>
      <x:c r="G8363" s="13" t="str">
        <x:v>grid_cqzdsc3v.xlsx</x:v>
      </x:c>
    </x:row>
    <x:row r="8364">
      <x:c r="A8364" s="15" t="n">
        <x:v>44228</x:v>
      </x:c>
      <x:c r="B8364" s="13" t="str">
        <x:v>HYPERA SA</x:v>
      </x:c>
      <x:c r="C8364" s="16" t="n">
        <x:v>1455.6196990247</x:v>
      </x:c>
      <x:c r="D8364" s="13" t="str">
        <x:v>Health Care</x:v>
      </x:c>
      <x:c r="E8364" s="13" t="str">
        <x:v>Health Care</x:v>
      </x:c>
      <x:c r="F8364" s="13" t="str">
        <x:v>Defensives</x:v>
      </x:c>
      <x:c r="G8364" s="13" t="str">
        <x:v>grid_cqzdsc3v.xlsx</x:v>
      </x:c>
    </x:row>
    <x:row r="8365">
      <x:c r="A8365" s="15" t="n">
        <x:v>44228</x:v>
      </x:c>
      <x:c r="B8365" s="13" t="str">
        <x:v>NOTRE DAME INTERMED PAR SA</x:v>
      </x:c>
      <x:c r="C8365" s="16" t="n">
        <x:v>1028.8722582795</x:v>
      </x:c>
      <x:c r="D8365" s="13" t="str">
        <x:v>Health Care</x:v>
      </x:c>
      <x:c r="E8365" s="13" t="str">
        <x:v>Health Care</x:v>
      </x:c>
      <x:c r="F8365" s="13" t="str">
        <x:v>Defensives</x:v>
      </x:c>
      <x:c r="G8365" s="13" t="str">
        <x:v>grid_cqzdsc3v.xlsx</x:v>
      </x:c>
    </x:row>
    <x:row r="8366">
      <x:c r="A8366" s="15" t="n">
        <x:v>44228</x:v>
      </x:c>
      <x:c r="B8366" s="13" t="str">
        <x:v>QUALICORP CONS E CORR SEG SA</x:v>
      </x:c>
      <x:c r="C8366" s="16" t="n">
        <x:v>577.3541205918</x:v>
      </x:c>
      <x:c r="D8366" s="13" t="str">
        <x:v>Health Care</x:v>
      </x:c>
      <x:c r="E8366" s="13" t="str">
        <x:v>Health Care</x:v>
      </x:c>
      <x:c r="F8366" s="13" t="str">
        <x:v>Defensives</x:v>
      </x:c>
      <x:c r="G8366" s="13" t="str">
        <x:v>grid_cqzdsc3v.xlsx</x:v>
      </x:c>
    </x:row>
    <x:row r="8367">
      <x:c r="A8367" s="15" t="n">
        <x:v>44228</x:v>
      </x:c>
      <x:c r="B8367" s="13" t="str">
        <x:v>SUL AMERICA SA - UNITS</x:v>
      </x:c>
      <x:c r="C8367" s="16" t="n">
        <x:v>990.8501419836</x:v>
      </x:c>
      <x:c r="D8367" s="13" t="str">
        <x:v>Health Care</x:v>
      </x:c>
      <x:c r="E8367" s="13" t="str">
        <x:v>Health Care</x:v>
      </x:c>
      <x:c r="F8367" s="13" t="str">
        <x:v>Defensives</x:v>
      </x:c>
      <x:c r="G8367" s="13" t="str">
        <x:v>grid_cqzdsc3v.xlsx</x:v>
      </x:c>
    </x:row>
    <x:row r="8368">
      <x:c r="A8368" s="15" t="n">
        <x:v>44228</x:v>
      </x:c>
      <x:c r="B8368" s="13" t="str">
        <x:v>CYRELA BRAZIL REALTY SA EMP</x:v>
      </x:c>
      <x:c r="C8368" s="16" t="n">
        <x:v>833.7720547945</x:v>
      </x:c>
      <x:c r="D8368" s="13" t="str">
        <x:v>Homebuilders</x:v>
      </x:c>
      <x:c r="E8368" s="13" t="str">
        <x:v>Real Estate</x:v>
      </x:c>
      <x:c r="F8368" s="13" t="str">
        <x:v>Early Cyclicals</x:v>
      </x:c>
      <x:c r="G8368" s="13" t="str">
        <x:v>grid_cqzdsc3v.xlsx</x:v>
      </x:c>
    </x:row>
    <x:row r="8369">
      <x:c r="A8369" s="15" t="n">
        <x:v>44228</x:v>
      </x:c>
      <x:c r="B8369" s="13" t="str">
        <x:v>EZ TEC EMPREENDIMENTOS E PAR</x:v>
      </x:c>
      <x:c r="C8369" s="16" t="n">
        <x:v>585.7893200658</x:v>
      </x:c>
      <x:c r="D8369" s="13" t="str">
        <x:v>Homebuilders</x:v>
      </x:c>
      <x:c r="E8369" s="13" t="str">
        <x:v>Real Estate</x:v>
      </x:c>
      <x:c r="F8369" s="13" t="str">
        <x:v>Early Cyclicals</x:v>
      </x:c>
      <x:c r="G8369" s="13" t="str">
        <x:v>grid_cqzdsc3v.xlsx</x:v>
      </x:c>
    </x:row>
    <x:row r="8370">
      <x:c r="A8370" s="15" t="n">
        <x:v>44228</x:v>
      </x:c>
      <x:c r="B8370" s="13" t="str">
        <x:v>MRV ENGENHARIA</x:v>
      </x:c>
      <x:c r="C8370" s="16" t="n">
        <x:v>747.3027599781</x:v>
      </x:c>
      <x:c r="D8370" s="13" t="str">
        <x:v>Homebuilders</x:v>
      </x:c>
      <x:c r="E8370" s="13" t="str">
        <x:v>Real Estate</x:v>
      </x:c>
      <x:c r="F8370" s="13" t="str">
        <x:v>Early Cyclicals</x:v>
      </x:c>
      <x:c r="G8370" s="13" t="str">
        <x:v>grid_cqzdsc3v.xlsx</x:v>
      </x:c>
    </x:row>
    <x:row r="8371">
      <x:c r="A8371" s="15" t="n">
        <x:v>44228</x:v>
      </x:c>
      <x:c r="B8371" s="13" t="str">
        <x:v>BR MALLS PARTICIPACOES SA</x:v>
      </x:c>
      <x:c r="C8371" s="16" t="n">
        <x:v>530.4136986301</x:v>
      </x:c>
      <x:c r="D8371" s="13" t="str">
        <x:v>Income Properties</x:v>
      </x:c>
      <x:c r="E8371" s="13" t="str">
        <x:v>Real Estate</x:v>
      </x:c>
      <x:c r="F8371" s="13" t="str">
        <x:v>Early Cyclicals</x:v>
      </x:c>
      <x:c r="G8371" s="13" t="str">
        <x:v>grid_cqzdsc3v.xlsx</x:v>
      </x:c>
    </x:row>
    <x:row r="8372">
      <x:c r="A8372" s="15" t="n">
        <x:v>44228</x:v>
      </x:c>
      <x:c r="B8372" s="13" t="str">
        <x:v>IGUATEMI EMP DE SHOPPING</x:v>
      </x:c>
      <x:c r="C8372" s="16" t="n">
        <x:v>225.9334166795</x:v>
      </x:c>
      <x:c r="D8372" s="13" t="str">
        <x:v>Income Properties</x:v>
      </x:c>
      <x:c r="E8372" s="13" t="str">
        <x:v>Real Estate</x:v>
      </x:c>
      <x:c r="F8372" s="13" t="str">
        <x:v>Early Cyclicals</x:v>
      </x:c>
      <x:c r="G8372" s="13" t="str">
        <x:v>grid_cqzdsc3v.xlsx</x:v>
      </x:c>
    </x:row>
    <x:row r="8373">
      <x:c r="A8373" s="15" t="n">
        <x:v>44228</x:v>
      </x:c>
      <x:c r="B8373" s="13" t="str">
        <x:v>JHSF PARTICIPACOES SA</x:v>
      </x:c>
      <x:c r="C8373" s="16" t="n">
        <x:v>291.8602739726</x:v>
      </x:c>
      <x:c r="D8373" s="13" t="str">
        <x:v>Income Properties</x:v>
      </x:c>
      <x:c r="E8373" s="13" t="str">
        <x:v>Real Estate</x:v>
      </x:c>
      <x:c r="F8373" s="13" t="str">
        <x:v>Early Cyclicals</x:v>
      </x:c>
      <x:c r="G8373" s="13" t="str">
        <x:v>grid_cqzdsc3v.xlsx</x:v>
      </x:c>
    </x:row>
    <x:row r="8374">
      <x:c r="A8374" s="15" t="n">
        <x:v>44228</x:v>
      </x:c>
      <x:c r="B8374" s="13" t="str">
        <x:v>MULTIPLAN EMPREENDIMENTOS</x:v>
      </x:c>
      <x:c r="C8374" s="16" t="n">
        <x:v>455.2719018082</x:v>
      </x:c>
      <x:c r="D8374" s="13" t="str">
        <x:v>Income Properties</x:v>
      </x:c>
      <x:c r="E8374" s="13" t="str">
        <x:v>Real Estate</x:v>
      </x:c>
      <x:c r="F8374" s="13" t="str">
        <x:v>Early Cyclicals</x:v>
      </x:c>
      <x:c r="G8374" s="13" t="str">
        <x:v>grid_cqzdsc3v.xlsx</x:v>
      </x:c>
    </x:row>
    <x:row r="8375">
      <x:c r="A8375" s="15" t="n">
        <x:v>44228</x:v>
      </x:c>
      <x:c r="B8375" s="13" t="str">
        <x:v>BRADESPAR SA -PREF</x:v>
      </x:c>
      <x:c r="C8375" s="16" t="n">
        <x:v>3050.1164263452</x:v>
      </x:c>
      <x:c r="D8375" s="13" t="str">
        <x:v>Metals &amp; Mining</x:v>
      </x:c>
      <x:c r="E8375" s="13" t="str">
        <x:v>Metals &amp; Mining</x:v>
      </x:c>
      <x:c r="F8375" s="13" t="str">
        <x:v>Deep Cyclicals</x:v>
      </x:c>
      <x:c r="G8375" s="13" t="str">
        <x:v>grid_cqzdsc3v.xlsx</x:v>
      </x:c>
    </x:row>
    <x:row r="8376">
      <x:c r="A8376" s="15" t="n">
        <x:v>44228</x:v>
      </x:c>
      <x:c r="B8376" s="13" t="str">
        <x:v>CIA SIDERURGICA NACIONAL SA</x:v>
      </x:c>
      <x:c r="C8376" s="16" t="n">
        <x:v>5120.6453795069</x:v>
      </x:c>
      <x:c r="D8376" s="13" t="str">
        <x:v>Metals &amp; Mining</x:v>
      </x:c>
      <x:c r="E8376" s="13" t="str">
        <x:v>Metals &amp; Mining</x:v>
      </x:c>
      <x:c r="F8376" s="13" t="str">
        <x:v>Deep Cyclicals</x:v>
      </x:c>
      <x:c r="G8376" s="13" t="str">
        <x:v>grid_cqzdsc3v.xlsx</x:v>
      </x:c>
    </x:row>
    <x:row r="8377">
      <x:c r="A8377" s="15" t="n">
        <x:v>44228</x:v>
      </x:c>
      <x:c r="B8377" s="13" t="str">
        <x:v>GERDAU SA-PREF</x:v>
      </x:c>
      <x:c r="C8377" s="16" t="n">
        <x:v>3906.7819008</x:v>
      </x:c>
      <x:c r="D8377" s="13" t="str">
        <x:v>Metals &amp; Mining</x:v>
      </x:c>
      <x:c r="E8377" s="13" t="str">
        <x:v>Metals &amp; Mining</x:v>
      </x:c>
      <x:c r="F8377" s="13" t="str">
        <x:v>Deep Cyclicals</x:v>
      </x:c>
      <x:c r="G8377" s="13" t="str">
        <x:v>grid_cqzdsc3v.xlsx</x:v>
      </x:c>
    </x:row>
    <x:row r="8378">
      <x:c r="A8378" s="15" t="n">
        <x:v>44228</x:v>
      </x:c>
      <x:c r="B8378" s="13" t="str">
        <x:v>METALURGICA GERDAU SA-PREF</x:v>
      </x:c>
      <x:c r="C8378" s="16" t="n">
        <x:v>1406.6054894466</x:v>
      </x:c>
      <x:c r="D8378" s="13" t="str">
        <x:v>Metals &amp; Mining</x:v>
      </x:c>
      <x:c r="E8378" s="13" t="str">
        <x:v>Metals &amp; Mining</x:v>
      </x:c>
      <x:c r="F8378" s="13" t="str">
        <x:v>Deep Cyclicals</x:v>
      </x:c>
      <x:c r="G8378" s="13" t="str">
        <x:v>grid_cqzdsc3v.xlsx</x:v>
      </x:c>
    </x:row>
    <x:row r="8379">
      <x:c r="A8379" s="15" t="n">
        <x:v>44228</x:v>
      </x:c>
      <x:c r="B8379" s="13" t="str">
        <x:v>USINAS SIDER MINAS GER-PF A</x:v>
      </x:c>
      <x:c r="C8379" s="16" t="n">
        <x:v>2309.8717247123</x:v>
      </x:c>
      <x:c r="D8379" s="13" t="str">
        <x:v>Metals &amp; Mining</x:v>
      </x:c>
      <x:c r="E8379" s="13" t="str">
        <x:v>Metals &amp; Mining</x:v>
      </x:c>
      <x:c r="F8379" s="13" t="str">
        <x:v>Deep Cyclicals</x:v>
      </x:c>
      <x:c r="G8379" s="13" t="str">
        <x:v>grid_cqzdsc3v.xlsx</x:v>
      </x:c>
    </x:row>
    <x:row r="8380">
      <x:c r="A8380" s="15" t="n">
        <x:v>44228</x:v>
      </x:c>
      <x:c r="B8380" s="13" t="str">
        <x:v>VALE SA</x:v>
      </x:c>
      <x:c r="C8380" s="16" t="n">
        <x:v>92936.3794958027</x:v>
      </x:c>
      <x:c r="D8380" s="13" t="str">
        <x:v>Metals &amp; Mining</x:v>
      </x:c>
      <x:c r="E8380" s="13" t="str">
        <x:v>Metals &amp; Mining</x:v>
      </x:c>
      <x:c r="F8380" s="13" t="str">
        <x:v>Deep Cyclicals</x:v>
      </x:c>
      <x:c r="G8380" s="13" t="str">
        <x:v>grid_cqzdsc3v.xlsx</x:v>
      </x:c>
    </x:row>
    <x:row r="8381">
      <x:c r="A8381" s="15" t="n">
        <x:v>44228</x:v>
      </x:c>
      <x:c r="B8381" s="13" t="str">
        <x:v>BRASKEM SA-PREF A</x:v>
      </x:c>
      <x:c r="C8381" s="16" t="n">
        <x:v>1943.2973862575</x:v>
      </x:c>
      <x:c r="D8381" s="13" t="str">
        <x:v>Oil, Gas &amp; Petrochemicals</x:v>
      </x:c>
      <x:c r="E8381" s="13" t="str">
        <x:v>Oil, Gas &amp; Petrochemicals</x:v>
      </x:c>
      <x:c r="F8381" s="13" t="str">
        <x:v>Deep Cyclicals</x:v>
      </x:c>
      <x:c r="G8381" s="13" t="str">
        <x:v>grid_cqzdsc3v.xlsx</x:v>
      </x:c>
    </x:row>
    <x:row r="8382">
      <x:c r="A8382" s="15" t="n">
        <x:v>44228</x:v>
      </x:c>
      <x:c r="B8382" s="13" t="str">
        <x:v>COSAN SA</x:v>
      </x:c>
      <x:c r="C8382" s="16" t="n">
        <x:v>1827.2251072877</x:v>
      </x:c>
      <x:c r="D8382" s="13" t="str">
        <x:v>Oil, Gas &amp; Petrochemicals</x:v>
      </x:c>
      <x:c r="E8382" s="13" t="str">
        <x:v>Oil, Gas &amp; Petrochemicals</x:v>
      </x:c>
      <x:c r="F8382" s="13" t="str">
        <x:v>Deep Cyclicals</x:v>
      </x:c>
      <x:c r="G8382" s="13" t="str">
        <x:v>grid_cqzdsc3v.xlsx</x:v>
      </x:c>
    </x:row>
    <x:row r="8383">
      <x:c r="A8383" s="15" t="n">
        <x:v>44228</x:v>
      </x:c>
      <x:c r="B8383" s="13" t="str">
        <x:v>PETROBRAS - PETROLEO BRAS</x:v>
      </x:c>
      <x:c r="C8383" s="16" t="n">
        <x:v>40737.3299263123</x:v>
      </x:c>
      <x:c r="D8383" s="13" t="str">
        <x:v>Oil, Gas &amp; Petrochemicals</x:v>
      </x:c>
      <x:c r="E8383" s="13" t="str">
        <x:v>Oil, Gas &amp; Petrochemicals</x:v>
      </x:c>
      <x:c r="F8383" s="13" t="str">
        <x:v>Deep Cyclicals</x:v>
      </x:c>
      <x:c r="G8383" s="13" t="str">
        <x:v>grid_cqzdsc3v.xlsx</x:v>
      </x:c>
    </x:row>
    <x:row r="8384">
      <x:c r="A8384" s="15" t="n">
        <x:v>44228</x:v>
      </x:c>
      <x:c r="B8384" s="13" t="str">
        <x:v>PRIO SA</x:v>
      </x:c>
      <x:c r="C8384" s="16" t="n">
        <x:v>1154.3808119233</x:v>
      </x:c>
      <x:c r="D8384" s="13" t="str">
        <x:v>Oil, Gas &amp; Petrochemicals</x:v>
      </x:c>
      <x:c r="E8384" s="13" t="str">
        <x:v>Oil, Gas &amp; Petrochemicals</x:v>
      </x:c>
      <x:c r="F8384" s="13" t="str">
        <x:v>Deep Cyclicals</x:v>
      </x:c>
      <x:c r="G8384" s="13" t="str">
        <x:v>grid_cqzdsc3v.xlsx</x:v>
      </x:c>
    </x:row>
    <x:row r="8385">
      <x:c r="A8385" s="15" t="n">
        <x:v>44228</x:v>
      </x:c>
      <x:c r="B8385" s="13" t="str">
        <x:v>ULTRAPAR PARTICIPACOES SA</x:v>
      </x:c>
      <x:c r="C8385" s="16" t="n">
        <x:v>1356.402553337</x:v>
      </x:c>
      <x:c r="D8385" s="13" t="str">
        <x:v>Oil, Gas &amp; Petrochemicals</x:v>
      </x:c>
      <x:c r="E8385" s="13" t="str">
        <x:v>Oil, Gas &amp; Petrochemicals</x:v>
      </x:c>
      <x:c r="F8385" s="13" t="str">
        <x:v>Deep Cyclicals</x:v>
      </x:c>
      <x:c r="G8385" s="13" t="str">
        <x:v>grid_cqzdsc3v.xlsx</x:v>
      </x:c>
    </x:row>
    <x:row r="8386">
      <x:c r="A8386" s="15" t="n">
        <x:v>44228</x:v>
      </x:c>
      <x:c r="B8386" s="13" t="str">
        <x:v>VIBRA ENERGIA SA</x:v>
      </x:c>
      <x:c r="C8386" s="16" t="n">
        <x:v>1793.1933513644</x:v>
      </x:c>
      <x:c r="D8386" s="13" t="str">
        <x:v>Oil, Gas &amp; Petrochemicals</x:v>
      </x:c>
      <x:c r="E8386" s="13" t="str">
        <x:v>Oil, Gas &amp; Petrochemicals</x:v>
      </x:c>
      <x:c r="F8386" s="13" t="str">
        <x:v>Deep Cyclicals</x:v>
      </x:c>
      <x:c r="G8386" s="13" t="str">
        <x:v>grid_cqzdsc3v.xlsx</x:v>
      </x:c>
    </x:row>
    <x:row r="8387">
      <x:c r="A8387" s="15" t="n">
        <x:v>44228</x:v>
      </x:c>
      <x:c r="B8387" s="13" t="str">
        <x:v>KLABIN SA - UNIT</x:v>
      </x:c>
      <x:c r="C8387" s="16" t="n">
        <x:v>2129.7531556822</x:v>
      </x:c>
      <x:c r="D8387" s="13" t="str">
        <x:v>Pulp &amp; Paper</x:v>
      </x:c>
      <x:c r="E8387" s="13" t="str">
        <x:v>Pulp &amp; Paper</x:v>
      </x:c>
      <x:c r="F8387" s="13" t="str">
        <x:v>Deep Cyclicals</x:v>
      </x:c>
      <x:c r="G8387" s="13" t="str">
        <x:v>grid_cqzdsc3v.xlsx</x:v>
      </x:c>
    </x:row>
    <x:row r="8388">
      <x:c r="A8388" s="15" t="n">
        <x:v>44228</x:v>
      </x:c>
      <x:c r="B8388" s="13" t="str">
        <x:v>SUZANO SA</x:v>
      </x:c>
      <x:c r="C8388" s="16" t="n">
        <x:v>7193.8073740274</x:v>
      </x:c>
      <x:c r="D8388" s="13" t="str">
        <x:v>Pulp &amp; Paper</x:v>
      </x:c>
      <x:c r="E8388" s="13" t="str">
        <x:v>Pulp &amp; Paper</x:v>
      </x:c>
      <x:c r="F8388" s="13" t="str">
        <x:v>Deep Cyclicals</x:v>
      </x:c>
      <x:c r="G8388" s="13" t="str">
        <x:v>grid_cqzdsc3v.xlsx</x:v>
      </x:c>
    </x:row>
    <x:row r="8389">
      <x:c r="A8389" s="15" t="n">
        <x:v>44228</x:v>
      </x:c>
      <x:c r="B8389" s="13" t="str">
        <x:v>AMERICANAS SA</x:v>
      </x:c>
      <x:c r="C8389" s="16" t="n">
        <x:v>-48.858102926</x:v>
      </x:c>
      <x:c r="D8389" s="13" t="str">
        <x:v>Retail</x:v>
      </x:c>
      <x:c r="E8389" s="13" t="str">
        <x:v>Retail</x:v>
      </x:c>
      <x:c r="F8389" s="13" t="str">
        <x:v>Early Cyclicals</x:v>
      </x:c>
      <x:c r="G8389" s="13" t="str">
        <x:v>grid_cqzdsc3v.xlsx</x:v>
      </x:c>
    </x:row>
    <x:row r="8390">
      <x:c r="A8390" s="15" t="n">
        <x:v>44228</x:v>
      </x:c>
      <x:c r="B8390" s="13" t="str">
        <x:v>ATACADAO SA</x:v>
      </x:c>
      <x:c r="C8390" s="16" t="n">
        <x:v>2549.3266039233</x:v>
      </x:c>
      <x:c r="D8390" s="13" t="str">
        <x:v>Retail</x:v>
      </x:c>
      <x:c r="E8390" s="13" t="str">
        <x:v>Retail</x:v>
      </x:c>
      <x:c r="F8390" s="13" t="str">
        <x:v>Early Cyclicals</x:v>
      </x:c>
      <x:c r="G8390" s="13" t="str">
        <x:v>grid_cqzdsc3v.xlsx</x:v>
      </x:c>
    </x:row>
    <x:row r="8391">
      <x:c r="A8391" s="15" t="n">
        <x:v>44228</x:v>
      </x:c>
      <x:c r="B8391" s="13" t="str">
        <x:v>CIA BRASILEIRA DE DISTRIBUIC</x:v>
      </x:c>
      <x:c r="C8391" s="16" t="n">
        <x:v>1526.1493356712</x:v>
      </x:c>
      <x:c r="D8391" s="13" t="str">
        <x:v>Retail</x:v>
      </x:c>
      <x:c r="E8391" s="13" t="str">
        <x:v>Retail</x:v>
      </x:c>
      <x:c r="F8391" s="13" t="str">
        <x:v>Early Cyclicals</x:v>
      </x:c>
      <x:c r="G8391" s="13" t="str">
        <x:v>grid_cqzdsc3v.xlsx</x:v>
      </x:c>
    </x:row>
    <x:row r="8392">
      <x:c r="A8392" s="15" t="n">
        <x:v>44228</x:v>
      </x:c>
      <x:c r="B8392" s="13" t="str">
        <x:v>CIA HERING</x:v>
      </x:c>
      <x:c r="C8392" s="16" t="n">
        <x:v>165.6535932493</x:v>
      </x:c>
      <x:c r="D8392" s="13" t="str">
        <x:v>Retail</x:v>
      </x:c>
      <x:c r="E8392" s="13" t="str">
        <x:v>Retail</x:v>
      </x:c>
      <x:c r="F8392" s="13" t="str">
        <x:v>Early Cyclicals</x:v>
      </x:c>
      <x:c r="G8392" s="13" t="str">
        <x:v>grid_cqzdsc3v.xlsx</x:v>
      </x:c>
    </x:row>
    <x:row r="8393">
      <x:c r="A8393" s="15" t="n">
        <x:v>44228</x:v>
      </x:c>
      <x:c r="B8393" s="13" t="str">
        <x:v>CVC BRASIL OPERADORA E AGENC</x:v>
      </x:c>
      <x:c r="C8393" s="16" t="n">
        <x:v>305.7780821918</x:v>
      </x:c>
      <x:c r="D8393" s="13" t="str">
        <x:v>Retail</x:v>
      </x:c>
      <x:c r="E8393" s="13" t="str">
        <x:v>Retail</x:v>
      </x:c>
      <x:c r="F8393" s="13" t="str">
        <x:v>Early Cyclicals</x:v>
      </x:c>
      <x:c r="G8393" s="13" t="str">
        <x:v>grid_cqzdsc3v.xlsx</x:v>
      </x:c>
    </x:row>
    <x:row r="8394">
      <x:c r="A8394" s="15" t="n">
        <x:v>44228</x:v>
      </x:c>
      <x:c r="B8394" s="13" t="str">
        <x:v>GRUPO CASAS BAHIA SA</x:v>
      </x:c>
      <x:c r="C8394" s="16" t="n">
        <x:v>650.3187832986</x:v>
      </x:c>
      <x:c r="D8394" s="13" t="str">
        <x:v>Retail</x:v>
      </x:c>
      <x:c r="E8394" s="13" t="str">
        <x:v>Retail</x:v>
      </x:c>
      <x:c r="F8394" s="13" t="str">
        <x:v>Early Cyclicals</x:v>
      </x:c>
      <x:c r="G8394" s="13" t="str">
        <x:v>grid_cqzdsc3v.xlsx</x:v>
      </x:c>
    </x:row>
    <x:row r="8395">
      <x:c r="A8395" s="15" t="n">
        <x:v>44228</x:v>
      </x:c>
      <x:c r="B8395" s="13" t="str">
        <x:v>LOJAS AMERICANAS SA-PREF</x:v>
      </x:c>
      <x:c r="C8395" s="16" t="n">
        <x:v>1054.589152789</x:v>
      </x:c>
      <x:c r="D8395" s="13" t="str">
        <x:v>Retail</x:v>
      </x:c>
      <x:c r="E8395" s="13" t="str">
        <x:v>Retail</x:v>
      </x:c>
      <x:c r="F8395" s="13" t="str">
        <x:v>Early Cyclicals</x:v>
      </x:c>
      <x:c r="G8395" s="13" t="str">
        <x:v>grid_cqzdsc3v.xlsx</x:v>
      </x:c>
    </x:row>
    <x:row r="8396">
      <x:c r="A8396" s="15" t="n">
        <x:v>44228</x:v>
      </x:c>
      <x:c r="B8396" s="13" t="str">
        <x:v>LOJAS RENNER S.A.</x:v>
      </x:c>
      <x:c r="C8396" s="16" t="n">
        <x:v>1217.6176131507</x:v>
      </x:c>
      <x:c r="D8396" s="13" t="str">
        <x:v>Retail</x:v>
      </x:c>
      <x:c r="E8396" s="13" t="str">
        <x:v>Retail</x:v>
      </x:c>
      <x:c r="F8396" s="13" t="str">
        <x:v>Early Cyclicals</x:v>
      </x:c>
      <x:c r="G8396" s="13" t="str">
        <x:v>grid_cqzdsc3v.xlsx</x:v>
      </x:c>
    </x:row>
    <x:row r="8397">
      <x:c r="A8397" s="15" t="n">
        <x:v>44228</x:v>
      </x:c>
      <x:c r="B8397" s="13" t="str">
        <x:v>MAGAZINE LUIZA SA</x:v>
      </x:c>
      <x:c r="C8397" s="16" t="n">
        <x:v>832.1107789151</x:v>
      </x:c>
      <x:c r="D8397" s="13" t="str">
        <x:v>Retail</x:v>
      </x:c>
      <x:c r="E8397" s="13" t="str">
        <x:v>Retail</x:v>
      </x:c>
      <x:c r="F8397" s="13" t="str">
        <x:v>Early Cyclicals</x:v>
      </x:c>
      <x:c r="G8397" s="13" t="str">
        <x:v>grid_cqzdsc3v.xlsx</x:v>
      </x:c>
    </x:row>
    <x:row r="8398">
      <x:c r="A8398" s="15" t="n">
        <x:v>44228</x:v>
      </x:c>
      <x:c r="B8398" s="13" t="str">
        <x:v>NATURA &amp;CO HOLDING SA</x:v>
      </x:c>
      <x:c r="C8398" s="16" t="n">
        <x:v>1036.7784416438</x:v>
      </x:c>
      <x:c r="D8398" s="13" t="str">
        <x:v>Retail</x:v>
      </x:c>
      <x:c r="E8398" s="13" t="str">
        <x:v>Retail</x:v>
      </x:c>
      <x:c r="F8398" s="13" t="str">
        <x:v>Early Cyclicals</x:v>
      </x:c>
      <x:c r="G8398" s="13" t="str">
        <x:v>grid_cqzdsc3v.xlsx</x:v>
      </x:c>
    </x:row>
    <x:row r="8399">
      <x:c r="A8399" s="15" t="n">
        <x:v>44228</x:v>
      </x:c>
      <x:c r="B8399" s="13" t="str">
        <x:v>RAIA DROGASIL SA</x:v>
      </x:c>
      <x:c r="C8399" s="16" t="n">
        <x:v>897.2755368329</x:v>
      </x:c>
      <x:c r="D8399" s="13" t="str">
        <x:v>Retail</x:v>
      </x:c>
      <x:c r="E8399" s="13" t="str">
        <x:v>Retail</x:v>
      </x:c>
      <x:c r="F8399" s="13" t="str">
        <x:v>Early Cyclicals</x:v>
      </x:c>
      <x:c r="G8399" s="13" t="str">
        <x:v>grid_cqzdsc3v.xlsx</x:v>
      </x:c>
    </x:row>
    <x:row r="8400">
      <x:c r="A8400" s="15" t="n">
        <x:v>44228</x:v>
      </x:c>
      <x:c r="B8400" s="13" t="str">
        <x:v>CIA SANEAMENTO BASICO DE SP</x:v>
      </x:c>
      <x:c r="C8400" s="16" t="n">
        <x:v>3086.4454354411</x:v>
      </x:c>
      <x:c r="D8400" s="13" t="str">
        <x:v>Sanitation</x:v>
      </x:c>
      <x:c r="E8400" s="13" t="str">
        <x:v>Utilities</x:v>
      </x:c>
      <x:c r="F8400" s="13" t="str">
        <x:v>Defensives</x:v>
      </x:c>
      <x:c r="G8400" s="13" t="str">
        <x:v>grid_cqzdsc3v.xlsx</x:v>
      </x:c>
    </x:row>
    <x:row r="8401">
      <x:c r="A8401" s="15" t="n">
        <x:v>44228</x:v>
      </x:c>
      <x:c r="B8401" s="13" t="str">
        <x:v>TIM SA</x:v>
      </x:c>
      <x:c r="C8401" s="16" t="n">
        <x:v>2104.1396862247</x:v>
      </x:c>
      <x:c r="D8401" s="13" t="str">
        <x:v>TMT</x:v>
      </x:c>
      <x:c r="E8401" s="13" t="str">
        <x:v>TMT</x:v>
      </x:c>
      <x:c r="F8401" s="13" t="str">
        <x:v>Early Cyclicals</x:v>
      </x:c>
      <x:c r="G8401" s="13" t="str">
        <x:v>grid_cqzdsc3v.xlsx</x:v>
      </x:c>
    </x:row>
    <x:row r="8402">
      <x:c r="A8402" s="15" t="n">
        <x:v>44228</x:v>
      </x:c>
      <x:c r="B8402" s="13" t="str">
        <x:v>TOTVS SA</x:v>
      </x:c>
      <x:c r="C8402" s="16" t="n">
        <x:v>411.2137372055</x:v>
      </x:c>
      <x:c r="D8402" s="13" t="str">
        <x:v>TMT</x:v>
      </x:c>
      <x:c r="E8402" s="13" t="str">
        <x:v>TMT</x:v>
      </x:c>
      <x:c r="F8402" s="13" t="str">
        <x:v>Early Cyclicals</x:v>
      </x:c>
      <x:c r="G8402" s="13" t="str">
        <x:v>grid_cqzdsc3v.xlsx</x:v>
      </x:c>
    </x:row>
    <x:row r="8403">
      <x:c r="A8403" s="15" t="n">
        <x:v>44228</x:v>
      </x:c>
      <x:c r="B8403" s="13" t="str">
        <x:v>AZUL SA</x:v>
      </x:c>
      <x:c r="C8403" s="16" t="n">
        <x:v>-693.6323818959</x:v>
      </x:c>
      <x:c r="D8403" s="13" t="str">
        <x:v>Transportation</x:v>
      </x:c>
      <x:c r="E8403" s="13" t="str">
        <x:v>Transportation</x:v>
      </x:c>
      <x:c r="F8403" s="13" t="str">
        <x:v>Deep Cyclicals</x:v>
      </x:c>
      <x:c r="G8403" s="13" t="str">
        <x:v>grid_cqzdsc3v.xlsx</x:v>
      </x:c>
    </x:row>
    <x:row r="8404">
      <x:c r="A8404" s="15" t="n">
        <x:v>44228</x:v>
      </x:c>
      <x:c r="B8404" s="13" t="str">
        <x:v>CIA DE LOCACAO DAS AMERICAS</x:v>
      </x:c>
      <x:c r="C8404" s="16" t="n">
        <x:v>614.1560840767</x:v>
      </x:c>
      <x:c r="D8404" s="13" t="str">
        <x:v>Transportation</x:v>
      </x:c>
      <x:c r="E8404" s="13" t="str">
        <x:v>Transportation</x:v>
      </x:c>
      <x:c r="F8404" s="13" t="str">
        <x:v>Deep Cyclicals</x:v>
      </x:c>
      <x:c r="G8404" s="13" t="str">
        <x:v>grid_cqzdsc3v.xlsx</x:v>
      </x:c>
    </x:row>
    <x:row r="8405">
      <x:c r="A8405" s="15" t="n">
        <x:v>44228</x:v>
      </x:c>
      <x:c r="B8405" s="13" t="str">
        <x:v>ECORODOVIAS INFRA E LOG SA</x:v>
      </x:c>
      <x:c r="C8405" s="16" t="n">
        <x:v>483.3027317479</x:v>
      </x:c>
      <x:c r="D8405" s="13" t="str">
        <x:v>Transportation</x:v>
      </x:c>
      <x:c r="E8405" s="13" t="str">
        <x:v>Transportation</x:v>
      </x:c>
      <x:c r="F8405" s="13" t="str">
        <x:v>Deep Cyclicals</x:v>
      </x:c>
      <x:c r="G8405" s="13" t="str">
        <x:v>grid_cqzdsc3v.xlsx</x:v>
      </x:c>
    </x:row>
    <x:row r="8406">
      <x:c r="A8406" s="15" t="n">
        <x:v>44228</x:v>
      </x:c>
      <x:c r="B8406" s="13" t="str">
        <x:v>GOL LINHAS AEREAS INT SA-PRE</x:v>
      </x:c>
      <x:c r="C8406" s="16" t="n">
        <x:v>-444.6846625315</x:v>
      </x:c>
      <x:c r="D8406" s="13" t="str">
        <x:v>Transportation</x:v>
      </x:c>
      <x:c r="E8406" s="13" t="str">
        <x:v>Transportation</x:v>
      </x:c>
      <x:c r="F8406" s="13" t="str">
        <x:v>Deep Cyclicals</x:v>
      </x:c>
      <x:c r="G8406" s="13" t="str">
        <x:v>grid_cqzdsc3v.xlsx</x:v>
      </x:c>
    </x:row>
    <x:row r="8407">
      <x:c r="A8407" s="15" t="n">
        <x:v>44228</x:v>
      </x:c>
      <x:c r="B8407" s="13" t="str">
        <x:v>LOCALIZA RENT A CAR</x:v>
      </x:c>
      <x:c r="C8407" s="16" t="n">
        <x:v>1427.627424263</x:v>
      </x:c>
      <x:c r="D8407" s="13" t="str">
        <x:v>Transportation</x:v>
      </x:c>
      <x:c r="E8407" s="13" t="str">
        <x:v>Transportation</x:v>
      </x:c>
      <x:c r="F8407" s="13" t="str">
        <x:v>Deep Cyclicals</x:v>
      </x:c>
      <x:c r="G8407" s="13" t="str">
        <x:v>grid_cqzdsc3v.xlsx</x:v>
      </x:c>
    </x:row>
    <x:row r="8408">
      <x:c r="A8408" s="15" t="n">
        <x:v>44228</x:v>
      </x:c>
      <x:c r="B8408" s="13" t="str">
        <x:v>MOTIVA INFRAESTRUTURA DE MOB</x:v>
      </x:c>
      <x:c r="C8408" s="16" t="n">
        <x:v>1225.8116278356</x:v>
      </x:c>
      <x:c r="D8408" s="13" t="str">
        <x:v>Transportation</x:v>
      </x:c>
      <x:c r="E8408" s="13" t="str">
        <x:v>Transportation</x:v>
      </x:c>
      <x:c r="F8408" s="13" t="str">
        <x:v>Deep Cyclicals</x:v>
      </x:c>
      <x:c r="G8408" s="13" t="str">
        <x:v>grid_cqzdsc3v.xlsx</x:v>
      </x:c>
    </x:row>
    <x:row r="8409">
      <x:c r="A8409" s="15" t="n">
        <x:v>44228</x:v>
      </x:c>
      <x:c r="B8409" s="13" t="str">
        <x:v>RUMO SA</x:v>
      </x:c>
      <x:c r="C8409" s="16" t="n">
        <x:v>1108.6322305753</x:v>
      </x:c>
      <x:c r="D8409" s="13" t="str">
        <x:v>Transportation</x:v>
      </x:c>
      <x:c r="E8409" s="13" t="str">
        <x:v>Transportation</x:v>
      </x:c>
      <x:c r="F8409" s="13" t="str">
        <x:v>Deep Cyclicals</x:v>
      </x:c>
      <x:c r="G8409" s="13" t="str">
        <x:v>grid_cqzdsc3v.xlsx</x:v>
      </x:c>
    </x:row>
    <x:row r="8410">
      <x:c r="A8410" s="15" t="n">
        <x:v>44228</x:v>
      </x:c>
      <x:c r="B8410" s="13" t="str">
        <x:v>AXIA ENERGIA SA</x:v>
      </x:c>
      <x:c r="C8410" s="16" t="n">
        <x:v>7932.8535117151</x:v>
      </x:c>
      <x:c r="D8410" s="13" t="str">
        <x:v>Utilities &amp; Energy</x:v>
      </x:c>
      <x:c r="E8410" s="13" t="str">
        <x:v>Utilities</x:v>
      </x:c>
      <x:c r="F8410" s="13" t="str">
        <x:v>Defensives</x:v>
      </x:c>
      <x:c r="G8410" s="13" t="str">
        <x:v>grid_cqzdsc3v.xlsx</x:v>
      </x:c>
    </x:row>
    <x:row r="8411">
      <x:c r="A8411" s="15" t="n">
        <x:v>44228</x:v>
      </x:c>
      <x:c r="B8411" s="13" t="str">
        <x:v>AXIA ENERGIA-PR B</x:v>
      </x:c>
      <x:c r="C8411" s="16" t="n">
        <x:v>7932.8535117151</x:v>
      </x:c>
      <x:c r="D8411" s="13" t="str">
        <x:v>Utilities &amp; Energy</x:v>
      </x:c>
      <x:c r="E8411" s="13" t="str">
        <x:v>Utilities</x:v>
      </x:c>
      <x:c r="F8411" s="13" t="str">
        <x:v>Defensives</x:v>
      </x:c>
      <x:c r="G8411" s="13" t="str">
        <x:v>grid_cqzdsc3v.xlsx</x:v>
      </x:c>
    </x:row>
    <x:row r="8412">
      <x:c r="A8412" s="15" t="n">
        <x:v>44228</x:v>
      </x:c>
      <x:c r="B8412" s="13" t="str">
        <x:v>CIA ENERGETICA MINAS GER-PRF</x:v>
      </x:c>
      <x:c r="C8412" s="16" t="n">
        <x:v>2721.0775811507</x:v>
      </x:c>
      <x:c r="D8412" s="13" t="str">
        <x:v>Utilities &amp; Energy</x:v>
      </x:c>
      <x:c r="E8412" s="13" t="str">
        <x:v>Utilities</x:v>
      </x:c>
      <x:c r="F8412" s="13" t="str">
        <x:v>Defensives</x:v>
      </x:c>
      <x:c r="G8412" s="13" t="str">
        <x:v>grid_cqzdsc3v.xlsx</x:v>
      </x:c>
    </x:row>
    <x:row r="8413">
      <x:c r="A8413" s="15" t="n">
        <x:v>44228</x:v>
      </x:c>
      <x:c r="B8413" s="13" t="str">
        <x:v>COMPANHIA PARANAENSE -PREF B</x:v>
      </x:c>
      <x:c r="C8413" s="16" t="n">
        <x:v>2596.7976041206</x:v>
      </x:c>
      <x:c r="D8413" s="13" t="str">
        <x:v>Utilities &amp; Energy</x:v>
      </x:c>
      <x:c r="E8413" s="13" t="str">
        <x:v>Utilities</x:v>
      </x:c>
      <x:c r="F8413" s="13" t="str">
        <x:v>Defensives</x:v>
      </x:c>
      <x:c r="G8413" s="13" t="str">
        <x:v>grid_cqzdsc3v.xlsx</x:v>
      </x:c>
    </x:row>
    <x:row r="8414">
      <x:c r="A8414" s="15" t="n">
        <x:v>44228</x:v>
      </x:c>
      <x:c r="B8414" s="13" t="str">
        <x:v>CPFL ENERGIA SA</x:v>
      </x:c>
      <x:c r="C8414" s="16" t="n">
        <x:v>3512.4724434411</x:v>
      </x:c>
      <x:c r="D8414" s="13" t="str">
        <x:v>Utilities &amp; Energy</x:v>
      </x:c>
      <x:c r="E8414" s="13" t="str">
        <x:v>Utilities</x:v>
      </x:c>
      <x:c r="F8414" s="13" t="str">
        <x:v>Defensives</x:v>
      </x:c>
      <x:c r="G8414" s="13" t="str">
        <x:v>grid_cqzdsc3v.xlsx</x:v>
      </x:c>
    </x:row>
    <x:row r="8415">
      <x:c r="A8415" s="15" t="n">
        <x:v>44228</x:v>
      </x:c>
      <x:c r="B8415" s="13" t="str">
        <x:v>EDP - ENERGIAS DO BRASIL SA</x:v>
      </x:c>
      <x:c r="C8415" s="16" t="n">
        <x:v>1302.173612537</x:v>
      </x:c>
      <x:c r="D8415" s="13" t="str">
        <x:v>Utilities &amp; Energy</x:v>
      </x:c>
      <x:c r="E8415" s="13" t="str">
        <x:v>Utilities</x:v>
      </x:c>
      <x:c r="F8415" s="13" t="str">
        <x:v>Defensives</x:v>
      </x:c>
      <x:c r="G8415" s="13" t="str">
        <x:v>grid_cqzdsc3v.xlsx</x:v>
      </x:c>
    </x:row>
    <x:row r="8416">
      <x:c r="A8416" s="15" t="n">
        <x:v>44228</x:v>
      </x:c>
      <x:c r="B8416" s="13" t="str">
        <x:v>ENERGISA SA-UNITS</x:v>
      </x:c>
      <x:c r="C8416" s="16" t="n">
        <x:v>1661.3338487233</x:v>
      </x:c>
      <x:c r="D8416" s="13" t="str">
        <x:v>Utilities &amp; Energy</x:v>
      </x:c>
      <x:c r="E8416" s="13" t="str">
        <x:v>Utilities</x:v>
      </x:c>
      <x:c r="F8416" s="13" t="str">
        <x:v>Defensives</x:v>
      </x:c>
      <x:c r="G8416" s="13" t="str">
        <x:v>grid_cqzdsc3v.xlsx</x:v>
      </x:c>
    </x:row>
    <x:row r="8417">
      <x:c r="A8417" s="15" t="n">
        <x:v>44228</x:v>
      </x:c>
      <x:c r="B8417" s="13" t="str">
        <x:v>ENEVA SA</x:v>
      </x:c>
      <x:c r="C8417" s="16" t="n">
        <x:v>913.7424657534</x:v>
      </x:c>
      <x:c r="D8417" s="13" t="str">
        <x:v>Utilities &amp; Energy</x:v>
      </x:c>
      <x:c r="E8417" s="13" t="str">
        <x:v>Utilities</x:v>
      </x:c>
      <x:c r="F8417" s="13" t="str">
        <x:v>Defensives</x:v>
      </x:c>
      <x:c r="G8417" s="13" t="str">
        <x:v>grid_cqzdsc3v.xlsx</x:v>
      </x:c>
    </x:row>
    <x:row r="8418">
      <x:c r="A8418" s="15" t="n">
        <x:v>44228</x:v>
      </x:c>
      <x:c r="B8418" s="13" t="str">
        <x:v>ENGIE BRASIL ENERGIA SA</x:v>
      </x:c>
      <x:c r="C8418" s="16" t="n">
        <x:v>3173.518848</x:v>
      </x:c>
      <x:c r="D8418" s="13" t="str">
        <x:v>Utilities &amp; Energy</x:v>
      </x:c>
      <x:c r="E8418" s="13" t="str">
        <x:v>Utilities</x:v>
      </x:c>
      <x:c r="F8418" s="13" t="str">
        <x:v>Defensives</x:v>
      </x:c>
      <x:c r="G8418" s="13" t="str">
        <x:v>grid_cqzdsc3v.xlsx</x:v>
      </x:c>
    </x:row>
    <x:row r="8419">
      <x:c r="A8419" s="15" t="n">
        <x:v>44228</x:v>
      </x:c>
      <x:c r="B8419" s="13" t="str">
        <x:v>EQUATORIAL SA - ORD</x:v>
      </x:c>
      <x:c r="C8419" s="16" t="n">
        <x:v>1974.6672043836</x:v>
      </x:c>
      <x:c r="D8419" s="13" t="str">
        <x:v>Utilities &amp; Energy</x:v>
      </x:c>
      <x:c r="E8419" s="13" t="str">
        <x:v>Utilities</x:v>
      </x:c>
      <x:c r="F8419" s="13" t="str">
        <x:v>Defensives</x:v>
      </x:c>
      <x:c r="G8419" s="13" t="str">
        <x:v>grid_cqzdsc3v.xlsx</x:v>
      </x:c>
    </x:row>
    <x:row r="8420">
      <x:c r="A8420" s="15" t="n">
        <x:v>44228</x:v>
      </x:c>
      <x:c r="B8420" s="13" t="str">
        <x:v>TRANSMISSORA ALIANCA DE-UNIT</x:v>
      </x:c>
      <x:c r="C8420" s="16" t="n">
        <x:v>1041.4684931507</x:v>
      </x:c>
      <x:c r="D8420" s="13" t="str">
        <x:v>Utilities &amp; Energy</x:v>
      </x:c>
      <x:c r="E8420" s="13" t="str">
        <x:v>Utilities</x:v>
      </x:c>
      <x:c r="F8420" s="13" t="str">
        <x:v>Defensives</x:v>
      </x:c>
      <x:c r="G8420" s="13" t="str">
        <x:v>grid_cqzdsc3v.xlsx</x:v>
      </x:c>
    </x:row>
    <x:row r="8421">
      <x:c r="A8421" s="15" t="n">
        <x:v>44256</x:v>
      </x:c>
      <x:c r="B8421" s="13" t="str">
        <x:v>BANCO BRADESCO S.A.</x:v>
      </x:c>
      <x:c r="C8421" s="16" t="n">
        <x:v>26442.1176810959</x:v>
      </x:c>
      <x:c r="D8421" s="13" t="str">
        <x:v>Banks</x:v>
      </x:c>
      <x:c r="E8421" s="13" t="str">
        <x:v>Banks</x:v>
      </x:c>
      <x:c r="F8421" s="13" t="str">
        <x:v>Financials</x:v>
      </x:c>
      <x:c r="G8421" s="13" t="str">
        <x:v>grid_cqzdsc3v.xlsx</x:v>
      </x:c>
    </x:row>
    <x:row r="8422">
      <x:c r="A8422" s="15" t="n">
        <x:v>44256</x:v>
      </x:c>
      <x:c r="B8422" s="13" t="str">
        <x:v>BANCO BRADESCO SA-PREF</x:v>
      </x:c>
      <x:c r="C8422" s="16" t="n">
        <x:v>26442.1176810959</x:v>
      </x:c>
      <x:c r="D8422" s="13" t="str">
        <x:v>Banks</x:v>
      </x:c>
      <x:c r="E8422" s="13" t="str">
        <x:v>Banks</x:v>
      </x:c>
      <x:c r="F8422" s="13" t="str">
        <x:v>Financials</x:v>
      </x:c>
      <x:c r="G8422" s="13" t="str">
        <x:v>grid_cqzdsc3v.xlsx</x:v>
      </x:c>
    </x:row>
    <x:row r="8423">
      <x:c r="A8423" s="15" t="n">
        <x:v>44256</x:v>
      </x:c>
      <x:c r="B8423" s="13" t="str">
        <x:v>BANCO BTG PACTUAL SA-UNIT</x:v>
      </x:c>
      <x:c r="C8423" s="16" t="n">
        <x:v>5131.2887443288</x:v>
      </x:c>
      <x:c r="D8423" s="13" t="str">
        <x:v>Banks</x:v>
      </x:c>
      <x:c r="E8423" s="13" t="str">
        <x:v>Banks</x:v>
      </x:c>
      <x:c r="F8423" s="13" t="str">
        <x:v>Financials</x:v>
      </x:c>
      <x:c r="G8423" s="13" t="str">
        <x:v>grid_cqzdsc3v.xlsx</x:v>
      </x:c>
    </x:row>
    <x:row r="8424">
      <x:c r="A8424" s="15" t="n">
        <x:v>44256</x:v>
      </x:c>
      <x:c r="B8424" s="13" t="str">
        <x:v>BANCO DO BRASIL S.A.</x:v>
      </x:c>
      <x:c r="C8424" s="16" t="n">
        <x:v>17924.460544</x:v>
      </x:c>
      <x:c r="D8424" s="13" t="str">
        <x:v>Banks</x:v>
      </x:c>
      <x:c r="E8424" s="13" t="str">
        <x:v>Banks</x:v>
      </x:c>
      <x:c r="F8424" s="13" t="str">
        <x:v>Financials</x:v>
      </x:c>
      <x:c r="G8424" s="13" t="str">
        <x:v>grid_cqzdsc3v.xlsx</x:v>
      </x:c>
    </x:row>
    <x:row r="8425">
      <x:c r="A8425" s="15" t="n">
        <x:v>44256</x:v>
      </x:c>
      <x:c r="B8425" s="13" t="str">
        <x:v>BANCO SANTANDER  BRASIL-UNIT</x:v>
      </x:c>
      <x:c r="C8425" s="16" t="n">
        <x:v>15497.6892843836</x:v>
      </x:c>
      <x:c r="D8425" s="13" t="str">
        <x:v>Banks</x:v>
      </x:c>
      <x:c r="E8425" s="13" t="str">
        <x:v>Banks</x:v>
      </x:c>
      <x:c r="F8425" s="13" t="str">
        <x:v>Financials</x:v>
      </x:c>
      <x:c r="G8425" s="13" t="str">
        <x:v>grid_cqzdsc3v.xlsx</x:v>
      </x:c>
    </x:row>
    <x:row r="8426">
      <x:c r="A8426" s="15" t="n">
        <x:v>44256</x:v>
      </x:c>
      <x:c r="B8426" s="13" t="str">
        <x:v>ITAU UNIBANCO HOLDING S-PREF</x:v>
      </x:c>
      <x:c r="C8426" s="16" t="n">
        <x:v>25171.6718816438</x:v>
      </x:c>
      <x:c r="D8426" s="13" t="str">
        <x:v>Banks</x:v>
      </x:c>
      <x:c r="E8426" s="13" t="str">
        <x:v>Banks</x:v>
      </x:c>
      <x:c r="F8426" s="13" t="str">
        <x:v>Financials</x:v>
      </x:c>
      <x:c r="G8426" s="13" t="str">
        <x:v>grid_cqzdsc3v.xlsx</x:v>
      </x:c>
    </x:row>
    <x:row r="8427">
      <x:c r="A8427" s="15" t="n">
        <x:v>44256</x:v>
      </x:c>
      <x:c r="B8427" s="13" t="str">
        <x:v>EMBRAER SA</x:v>
      </x:c>
      <x:c r="C8427" s="16" t="n">
        <x:v>-486.5672412055</x:v>
      </x:c>
      <x:c r="D8427" s="13" t="str">
        <x:v>Capital Goods</x:v>
      </x:c>
      <x:c r="E8427" s="13" t="str">
        <x:v>Capital Goods</x:v>
      </x:c>
      <x:c r="F8427" s="13" t="str">
        <x:v>Deep Cyclicals</x:v>
      </x:c>
      <x:c r="G8427" s="13" t="str">
        <x:v>grid_cqzdsc3v.xlsx</x:v>
      </x:c>
    </x:row>
    <x:row r="8428">
      <x:c r="A8428" s="15" t="n">
        <x:v>44256</x:v>
      </x:c>
      <x:c r="B8428" s="13" t="str">
        <x:v>WEG SA</x:v>
      </x:c>
      <x:c r="C8428" s="16" t="n">
        <x:v>2871.8423776438</x:v>
      </x:c>
      <x:c r="D8428" s="13" t="str">
        <x:v>Capital Goods</x:v>
      </x:c>
      <x:c r="E8428" s="13" t="str">
        <x:v>Capital Goods</x:v>
      </x:c>
      <x:c r="F8428" s="13" t="str">
        <x:v>Deep Cyclicals</x:v>
      </x:c>
      <x:c r="G8428" s="13" t="str">
        <x:v>grid_cqzdsc3v.xlsx</x:v>
      </x:c>
    </x:row>
    <x:row r="8429">
      <x:c r="A8429" s="15" t="n">
        <x:v>44256</x:v>
      </x:c>
      <x:c r="B8429" s="13" t="str">
        <x:v>COGNA EDUCACAO</x:v>
      </x:c>
      <x:c r="C8429" s="16" t="n">
        <x:v>14.3452054795</x:v>
      </x:c>
      <x:c r="D8429" s="13" t="str">
        <x:v>Education</x:v>
      </x:c>
      <x:c r="E8429" s="13" t="str">
        <x:v>Education</x:v>
      </x:c>
      <x:c r="F8429" s="13" t="str">
        <x:v>Early Cyclicals</x:v>
      </x:c>
      <x:c r="G8429" s="13" t="str">
        <x:v>grid_cqzdsc3v.xlsx</x:v>
      </x:c>
    </x:row>
    <x:row r="8430">
      <x:c r="A8430" s="15" t="n">
        <x:v>44256</x:v>
      </x:c>
      <x:c r="B8430" s="13" t="str">
        <x:v>YDUQS PARTICIPACOES SA</x:v>
      </x:c>
      <x:c r="C8430" s="16" t="n">
        <x:v>678.1780059178</x:v>
      </x:c>
      <x:c r="D8430" s="13" t="str">
        <x:v>Education</x:v>
      </x:c>
      <x:c r="E8430" s="13" t="str">
        <x:v>Education</x:v>
      </x:c>
      <x:c r="F8430" s="13" t="str">
        <x:v>Early Cyclicals</x:v>
      </x:c>
      <x:c r="G8430" s="13" t="str">
        <x:v>grid_cqzdsc3v.xlsx</x:v>
      </x:c>
    </x:row>
    <x:row r="8431">
      <x:c r="A8431" s="15" t="n">
        <x:v>44256</x:v>
      </x:c>
      <x:c r="B8431" s="13" t="str">
        <x:v>B3 SA-BRASIL BOLSA BALCAO</x:v>
      </x:c>
      <x:c r="C8431" s="16" t="n">
        <x:v>4966.6287517808</x:v>
      </x:c>
      <x:c r="D8431" s="13" t="str">
        <x:v>Financials Non-Banks</x:v>
      </x:c>
      <x:c r="E8431" s="13" t="str">
        <x:v>Financials Non-Banks</x:v>
      </x:c>
      <x:c r="F8431" s="13" t="str">
        <x:v>Financials</x:v>
      </x:c>
      <x:c r="G8431" s="13" t="str">
        <x:v>grid_cqzdsc3v.xlsx</x:v>
      </x:c>
    </x:row>
    <x:row r="8432">
      <x:c r="A8432" s="15" t="n">
        <x:v>44256</x:v>
      </x:c>
      <x:c r="B8432" s="13" t="str">
        <x:v>BB SEGURIDADE PARTICIPACOES</x:v>
      </x:c>
      <x:c r="C8432" s="16" t="n">
        <x:v>4407.4821435616</x:v>
      </x:c>
      <x:c r="D8432" s="13" t="str">
        <x:v>Financials Non-Banks</x:v>
      </x:c>
      <x:c r="E8432" s="13" t="str">
        <x:v>Financials Non-Banks</x:v>
      </x:c>
      <x:c r="F8432" s="13" t="str">
        <x:v>Financials</x:v>
      </x:c>
      <x:c r="G8432" s="13" t="str">
        <x:v>grid_cqzdsc3v.xlsx</x:v>
      </x:c>
    </x:row>
    <x:row r="8433">
      <x:c r="A8433" s="15" t="n">
        <x:v>44256</x:v>
      </x:c>
      <x:c r="B8433" s="13" t="str">
        <x:v>CIELO SA</x:v>
      </x:c>
      <x:c r="C8433" s="16" t="n">
        <x:v>876.8301799452</x:v>
      </x:c>
      <x:c r="D8433" s="13" t="str">
        <x:v>Financials Non-Banks</x:v>
      </x:c>
      <x:c r="E8433" s="13" t="str">
        <x:v>Financials Non-Banks</x:v>
      </x:c>
      <x:c r="F8433" s="13" t="str">
        <x:v>Financials</x:v>
      </x:c>
      <x:c r="G8433" s="13" t="str">
        <x:v>Ibovespa_earnings_consolidated.xlsx</x:v>
      </x:c>
    </x:row>
    <x:row r="8434">
      <x:c r="A8434" s="15" t="n">
        <x:v>44256</x:v>
      </x:c>
      <x:c r="B8434" s="13" t="str">
        <x:v>CIELO SA - INSTITUICAO DE PA</x:v>
      </x:c>
      <x:c r="C8434" s="16" t="n">
        <x:v>876.8301799452</x:v>
      </x:c>
      <x:c r="D8434" s="13" t="str">
        <x:v>Financials Non-Banks</x:v>
      </x:c>
      <x:c r="E8434" s="13" t="str">
        <x:v>Financials Non-Banks</x:v>
      </x:c>
      <x:c r="F8434" s="13" t="str">
        <x:v>Financials</x:v>
      </x:c>
      <x:c r="G8434" s="13" t="str">
        <x:v>grid_cqzdsc3v.xlsx</x:v>
      </x:c>
    </x:row>
    <x:row r="8435">
      <x:c r="A8435" s="15" t="n">
        <x:v>44256</x:v>
      </x:c>
      <x:c r="B8435" s="13" t="str">
        <x:v>IRB BRASIL RESSEGUROS SA</x:v>
      </x:c>
      <x:c r="C8435" s="16" t="n">
        <x:v>429.8184810959</x:v>
      </x:c>
      <x:c r="D8435" s="13" t="str">
        <x:v>Financials Non-Banks</x:v>
      </x:c>
      <x:c r="E8435" s="13" t="str">
        <x:v>Financials Non-Banks</x:v>
      </x:c>
      <x:c r="F8435" s="13" t="str">
        <x:v>Financials</x:v>
      </x:c>
      <x:c r="G8435" s="13" t="str">
        <x:v>grid_cqzdsc3v.xlsx</x:v>
      </x:c>
    </x:row>
    <x:row r="8436">
      <x:c r="A8436" s="15" t="n">
        <x:v>44256</x:v>
      </x:c>
      <x:c r="B8436" s="13" t="str">
        <x:v>ITAUSA SA</x:v>
      </x:c>
      <x:c r="C8436" s="16" t="n">
        <x:v>9483.5820712329</x:v>
      </x:c>
      <x:c r="D8436" s="13" t="str">
        <x:v>Financials Non-Banks</x:v>
      </x:c>
      <x:c r="E8436" s="13" t="str">
        <x:v>Financials Non-Banks</x:v>
      </x:c>
      <x:c r="F8436" s="13" t="str">
        <x:v>Financials</x:v>
      </x:c>
      <x:c r="G8436" s="13" t="str">
        <x:v>grid_cqzdsc3v.xlsx</x:v>
      </x:c>
    </x:row>
    <x:row r="8437">
      <x:c r="A8437" s="15" t="n">
        <x:v>44256</x:v>
      </x:c>
      <x:c r="B8437" s="13" t="str">
        <x:v>AMBEV SA</x:v>
      </x:c>
      <x:c r="C8437" s="16" t="n">
        <x:v>10664.8918829589</x:v>
      </x:c>
      <x:c r="D8437" s="13" t="str">
        <x:v>Food &amp; Beverages</x:v>
      </x:c>
      <x:c r="E8437" s="13" t="str">
        <x:v>Agri, Food &amp; Beverages</x:v>
      </x:c>
      <x:c r="F8437" s="13" t="str">
        <x:v>Defensives</x:v>
      </x:c>
      <x:c r="G8437" s="13" t="str">
        <x:v>grid_cqzdsc3v.xlsx</x:v>
      </x:c>
    </x:row>
    <x:row r="8438">
      <x:c r="A8438" s="15" t="n">
        <x:v>44256</x:v>
      </x:c>
      <x:c r="B8438" s="13" t="str">
        <x:v>BRF SA</x:v>
      </x:c>
      <x:c r="C8438" s="16" t="n">
        <x:v>1119.7457814794</x:v>
      </x:c>
      <x:c r="D8438" s="13" t="str">
        <x:v>Food &amp; Beverages</x:v>
      </x:c>
      <x:c r="E8438" s="13" t="str">
        <x:v>Agri, Food &amp; Beverages</x:v>
      </x:c>
      <x:c r="F8438" s="13" t="str">
        <x:v>Defensives</x:v>
      </x:c>
      <x:c r="G8438" s="13" t="str">
        <x:v>grid_cqzdsc3v.xlsx</x:v>
      </x:c>
    </x:row>
    <x:row r="8439">
      <x:c r="A8439" s="15" t="n">
        <x:v>44256</x:v>
      </x:c>
      <x:c r="B8439" s="13" t="str">
        <x:v>JBS SA</x:v>
      </x:c>
      <x:c r="C8439" s="16" t="n">
        <x:v>9693.4570853699</x:v>
      </x:c>
      <x:c r="D8439" s="13" t="str">
        <x:v>Food &amp; Beverages</x:v>
      </x:c>
      <x:c r="E8439" s="13" t="str">
        <x:v>Agri, Food &amp; Beverages</x:v>
      </x:c>
      <x:c r="F8439" s="13" t="str">
        <x:v>Defensives</x:v>
      </x:c>
      <x:c r="G8439" s="13" t="str">
        <x:v>grid_cqzdsc3v.xlsx</x:v>
      </x:c>
    </x:row>
    <x:row r="8440">
      <x:c r="A8440" s="15" t="n">
        <x:v>44256</x:v>
      </x:c>
      <x:c r="B8440" s="13" t="str">
        <x:v>MBRF GLOBAL FOODS COMPANY SA</x:v>
      </x:c>
      <x:c r="C8440" s="16" t="n">
        <x:v>1989.4842669589</x:v>
      </x:c>
      <x:c r="D8440" s="13" t="str">
        <x:v>Food &amp; Beverages</x:v>
      </x:c>
      <x:c r="E8440" s="13" t="str">
        <x:v>Agri, Food &amp; Beverages</x:v>
      </x:c>
      <x:c r="F8440" s="13" t="str">
        <x:v>Defensives</x:v>
      </x:c>
      <x:c r="G8440" s="13" t="str">
        <x:v>grid_cqzdsc3v.xlsx</x:v>
      </x:c>
    </x:row>
    <x:row r="8441">
      <x:c r="A8441" s="15" t="n">
        <x:v>44256</x:v>
      </x:c>
      <x:c r="B8441" s="13" t="str">
        <x:v>MINERVA SA</x:v>
      </x:c>
      <x:c r="C8441" s="16" t="n">
        <x:v>456.904109589</x:v>
      </x:c>
      <x:c r="D8441" s="13" t="str">
        <x:v>Food &amp; Beverages</x:v>
      </x:c>
      <x:c r="E8441" s="13" t="str">
        <x:v>Agri, Food &amp; Beverages</x:v>
      </x:c>
      <x:c r="F8441" s="13" t="str">
        <x:v>Defensives</x:v>
      </x:c>
      <x:c r="G8441" s="13" t="str">
        <x:v>grid_cqzdsc3v.xlsx</x:v>
      </x:c>
    </x:row>
    <x:row r="8442">
      <x:c r="A8442" s="15" t="n">
        <x:v>44256</x:v>
      </x:c>
      <x:c r="B8442" s="13" t="str">
        <x:v>FLEURY SA</x:v>
      </x:c>
      <x:c r="C8442" s="16" t="n">
        <x:v>351.197260274</x:v>
      </x:c>
      <x:c r="D8442" s="13" t="str">
        <x:v>Health Care</x:v>
      </x:c>
      <x:c r="E8442" s="13" t="str">
        <x:v>Health Care</x:v>
      </x:c>
      <x:c r="F8442" s="13" t="str">
        <x:v>Defensives</x:v>
      </x:c>
      <x:c r="G8442" s="13" t="str">
        <x:v>grid_cqzdsc3v.xlsx</x:v>
      </x:c>
    </x:row>
    <x:row r="8443">
      <x:c r="A8443" s="15" t="n">
        <x:v>44256</x:v>
      </x:c>
      <x:c r="B8443" s="13" t="str">
        <x:v>HAPVIDA PARTICIPACOES E INVE</x:v>
      </x:c>
      <x:c r="C8443" s="16" t="n">
        <x:v>1220.9725545205</x:v>
      </x:c>
      <x:c r="D8443" s="13" t="str">
        <x:v>Health Care</x:v>
      </x:c>
      <x:c r="E8443" s="13" t="str">
        <x:v>Health Care</x:v>
      </x:c>
      <x:c r="F8443" s="13" t="str">
        <x:v>Defensives</x:v>
      </x:c>
      <x:c r="G8443" s="13" t="str">
        <x:v>grid_cqzdsc3v.xlsx</x:v>
      </x:c>
    </x:row>
    <x:row r="8444">
      <x:c r="A8444" s="15" t="n">
        <x:v>44256</x:v>
      </x:c>
      <x:c r="B8444" s="13" t="str">
        <x:v>HYPERA SA</x:v>
      </x:c>
      <x:c r="C8444" s="16" t="n">
        <x:v>1473.4071110137</x:v>
      </x:c>
      <x:c r="D8444" s="13" t="str">
        <x:v>Health Care</x:v>
      </x:c>
      <x:c r="E8444" s="13" t="str">
        <x:v>Health Care</x:v>
      </x:c>
      <x:c r="F8444" s="13" t="str">
        <x:v>Defensives</x:v>
      </x:c>
      <x:c r="G8444" s="13" t="str">
        <x:v>grid_cqzdsc3v.xlsx</x:v>
      </x:c>
    </x:row>
    <x:row r="8445">
      <x:c r="A8445" s="15" t="n">
        <x:v>44256</x:v>
      </x:c>
      <x:c r="B8445" s="13" t="str">
        <x:v>NOTRE DAME INTERMED PAR SA</x:v>
      </x:c>
      <x:c r="C8445" s="16" t="n">
        <x:v>1116.5508138082</x:v>
      </x:c>
      <x:c r="D8445" s="13" t="str">
        <x:v>Health Care</x:v>
      </x:c>
      <x:c r="E8445" s="13" t="str">
        <x:v>Health Care</x:v>
      </x:c>
      <x:c r="F8445" s="13" t="str">
        <x:v>Defensives</x:v>
      </x:c>
      <x:c r="G8445" s="13" t="str">
        <x:v>grid_cqzdsc3v.xlsx</x:v>
      </x:c>
    </x:row>
    <x:row r="8446">
      <x:c r="A8446" s="15" t="n">
        <x:v>44256</x:v>
      </x:c>
      <x:c r="B8446" s="13" t="str">
        <x:v>QUALICORP CONS E CORR SEG SA</x:v>
      </x:c>
      <x:c r="C8446" s="16" t="n">
        <x:v>588.7808219178</x:v>
      </x:c>
      <x:c r="D8446" s="13" t="str">
        <x:v>Health Care</x:v>
      </x:c>
      <x:c r="E8446" s="13" t="str">
        <x:v>Health Care</x:v>
      </x:c>
      <x:c r="F8446" s="13" t="str">
        <x:v>Defensives</x:v>
      </x:c>
      <x:c r="G8446" s="13" t="str">
        <x:v>grid_cqzdsc3v.xlsx</x:v>
      </x:c>
    </x:row>
    <x:row r="8447">
      <x:c r="A8447" s="15" t="n">
        <x:v>44256</x:v>
      </x:c>
      <x:c r="B8447" s="13" t="str">
        <x:v>SUL AMERICA SA - UNITS</x:v>
      </x:c>
      <x:c r="C8447" s="16" t="n">
        <x:v>862.7799960548</x:v>
      </x:c>
      <x:c r="D8447" s="13" t="str">
        <x:v>Health Care</x:v>
      </x:c>
      <x:c r="E8447" s="13" t="str">
        <x:v>Health Care</x:v>
      </x:c>
      <x:c r="F8447" s="13" t="str">
        <x:v>Defensives</x:v>
      </x:c>
      <x:c r="G8447" s="13" t="str">
        <x:v>grid_cqzdsc3v.xlsx</x:v>
      </x:c>
    </x:row>
    <x:row r="8448">
      <x:c r="A8448" s="15" t="n">
        <x:v>44256</x:v>
      </x:c>
      <x:c r="B8448" s="13" t="str">
        <x:v>CYRELA BRAZIL REALTY SA EMP</x:v>
      </x:c>
      <x:c r="C8448" s="16" t="n">
        <x:v>884.6849315068</x:v>
      </x:c>
      <x:c r="D8448" s="13" t="str">
        <x:v>Homebuilders</x:v>
      </x:c>
      <x:c r="E8448" s="13" t="str">
        <x:v>Real Estate</x:v>
      </x:c>
      <x:c r="F8448" s="13" t="str">
        <x:v>Early Cyclicals</x:v>
      </x:c>
      <x:c r="G8448" s="13" t="str">
        <x:v>grid_cqzdsc3v.xlsx</x:v>
      </x:c>
    </x:row>
    <x:row r="8449">
      <x:c r="A8449" s="15" t="n">
        <x:v>44256</x:v>
      </x:c>
      <x:c r="B8449" s="13" t="str">
        <x:v>EZ TEC EMPREENDIMENTOS E PAR</x:v>
      </x:c>
      <x:c r="C8449" s="16" t="n">
        <x:v>586.1164423014</x:v>
      </x:c>
      <x:c r="D8449" s="13" t="str">
        <x:v>Homebuilders</x:v>
      </x:c>
      <x:c r="E8449" s="13" t="str">
        <x:v>Real Estate</x:v>
      </x:c>
      <x:c r="F8449" s="13" t="str">
        <x:v>Early Cyclicals</x:v>
      </x:c>
      <x:c r="G8449" s="13" t="str">
        <x:v>grid_cqzdsc3v.xlsx</x:v>
      </x:c>
    </x:row>
    <x:row r="8450">
      <x:c r="A8450" s="15" t="n">
        <x:v>44256</x:v>
      </x:c>
      <x:c r="B8450" s="13" t="str">
        <x:v>MRV ENGENHARIA</x:v>
      </x:c>
      <x:c r="C8450" s="16" t="n">
        <x:v>750.9657494795</x:v>
      </x:c>
      <x:c r="D8450" s="13" t="str">
        <x:v>Homebuilders</x:v>
      </x:c>
      <x:c r="E8450" s="13" t="str">
        <x:v>Real Estate</x:v>
      </x:c>
      <x:c r="F8450" s="13" t="str">
        <x:v>Early Cyclicals</x:v>
      </x:c>
      <x:c r="G8450" s="13" t="str">
        <x:v>grid_cqzdsc3v.xlsx</x:v>
      </x:c>
    </x:row>
    <x:row r="8451">
      <x:c r="A8451" s="15" t="n">
        <x:v>44256</x:v>
      </x:c>
      <x:c r="B8451" s="13" t="str">
        <x:v>BR MALLS PARTICIPACOES SA</x:v>
      </x:c>
      <x:c r="C8451" s="16" t="n">
        <x:v>496.6109589041</x:v>
      </x:c>
      <x:c r="D8451" s="13" t="str">
        <x:v>Income Properties</x:v>
      </x:c>
      <x:c r="E8451" s="13" t="str">
        <x:v>Real Estate</x:v>
      </x:c>
      <x:c r="F8451" s="13" t="str">
        <x:v>Early Cyclicals</x:v>
      </x:c>
      <x:c r="G8451" s="13" t="str">
        <x:v>grid_cqzdsc3v.xlsx</x:v>
      </x:c>
    </x:row>
    <x:row r="8452">
      <x:c r="A8452" s="15" t="n">
        <x:v>44256</x:v>
      </x:c>
      <x:c r="B8452" s="13" t="str">
        <x:v>IGUATEMI EMP DE SHOPPING</x:v>
      </x:c>
      <x:c r="C8452" s="16" t="n">
        <x:v>213.542272</x:v>
      </x:c>
      <x:c r="D8452" s="13" t="str">
        <x:v>Income Properties</x:v>
      </x:c>
      <x:c r="E8452" s="13" t="str">
        <x:v>Real Estate</x:v>
      </x:c>
      <x:c r="F8452" s="13" t="str">
        <x:v>Early Cyclicals</x:v>
      </x:c>
      <x:c r="G8452" s="13" t="str">
        <x:v>grid_cqzdsc3v.xlsx</x:v>
      </x:c>
    </x:row>
    <x:row r="8453">
      <x:c r="A8453" s="15" t="n">
        <x:v>44256</x:v>
      </x:c>
      <x:c r="B8453" s="13" t="str">
        <x:v>JHSF PARTICIPACOES SA</x:v>
      </x:c>
      <x:c r="C8453" s="16" t="n">
        <x:v>307.4109589041</x:v>
      </x:c>
      <x:c r="D8453" s="13" t="str">
        <x:v>Income Properties</x:v>
      </x:c>
      <x:c r="E8453" s="13" t="str">
        <x:v>Real Estate</x:v>
      </x:c>
      <x:c r="F8453" s="13" t="str">
        <x:v>Early Cyclicals</x:v>
      </x:c>
      <x:c r="G8453" s="13" t="str">
        <x:v>grid_cqzdsc3v.xlsx</x:v>
      </x:c>
    </x:row>
    <x:row r="8454">
      <x:c r="A8454" s="15" t="n">
        <x:v>44256</x:v>
      </x:c>
      <x:c r="B8454" s="13" t="str">
        <x:v>MULTIPLAN EMPREENDIMENTOS</x:v>
      </x:c>
      <x:c r="C8454" s="16" t="n">
        <x:v>461.7909979178</x:v>
      </x:c>
      <x:c r="D8454" s="13" t="str">
        <x:v>Income Properties</x:v>
      </x:c>
      <x:c r="E8454" s="13" t="str">
        <x:v>Real Estate</x:v>
      </x:c>
      <x:c r="F8454" s="13" t="str">
        <x:v>Early Cyclicals</x:v>
      </x:c>
      <x:c r="G8454" s="13" t="str">
        <x:v>grid_cqzdsc3v.xlsx</x:v>
      </x:c>
    </x:row>
    <x:row r="8455">
      <x:c r="A8455" s="15" t="n">
        <x:v>44256</x:v>
      </x:c>
      <x:c r="B8455" s="13" t="str">
        <x:v>BRADESPAR SA -PREF</x:v>
      </x:c>
      <x:c r="C8455" s="16" t="n">
        <x:v>2993.1575338082</x:v>
      </x:c>
      <x:c r="D8455" s="13" t="str">
        <x:v>Metals &amp; Mining</x:v>
      </x:c>
      <x:c r="E8455" s="13" t="str">
        <x:v>Metals &amp; Mining</x:v>
      </x:c>
      <x:c r="F8455" s="13" t="str">
        <x:v>Deep Cyclicals</x:v>
      </x:c>
      <x:c r="G8455" s="13" t="str">
        <x:v>grid_cqzdsc3v.xlsx</x:v>
      </x:c>
    </x:row>
    <x:row r="8456">
      <x:c r="A8456" s="15" t="n">
        <x:v>44256</x:v>
      </x:c>
      <x:c r="B8456" s="13" t="str">
        <x:v>CIA SIDERURGICA NACIONAL SA</x:v>
      </x:c>
      <x:c r="C8456" s="16" t="n">
        <x:v>9067.7807412603</x:v>
      </x:c>
      <x:c r="D8456" s="13" t="str">
        <x:v>Metals &amp; Mining</x:v>
      </x:c>
      <x:c r="E8456" s="13" t="str">
        <x:v>Metals &amp; Mining</x:v>
      </x:c>
      <x:c r="F8456" s="13" t="str">
        <x:v>Deep Cyclicals</x:v>
      </x:c>
      <x:c r="G8456" s="13" t="str">
        <x:v>grid_cqzdsc3v.xlsx</x:v>
      </x:c>
    </x:row>
    <x:row r="8457">
      <x:c r="A8457" s="15" t="n">
        <x:v>44256</x:v>
      </x:c>
      <x:c r="B8457" s="13" t="str">
        <x:v>GERDAU SA-PREF</x:v>
      </x:c>
      <x:c r="C8457" s="16" t="n">
        <x:v>4718.860217863</x:v>
      </x:c>
      <x:c r="D8457" s="13" t="str">
        <x:v>Metals &amp; Mining</x:v>
      </x:c>
      <x:c r="E8457" s="13" t="str">
        <x:v>Metals &amp; Mining</x:v>
      </x:c>
      <x:c r="F8457" s="13" t="str">
        <x:v>Deep Cyclicals</x:v>
      </x:c>
      <x:c r="G8457" s="13" t="str">
        <x:v>grid_cqzdsc3v.xlsx</x:v>
      </x:c>
    </x:row>
    <x:row r="8458">
      <x:c r="A8458" s="15" t="n">
        <x:v>44256</x:v>
      </x:c>
      <x:c r="B8458" s="13" t="str">
        <x:v>METALURGICA GERDAU SA-PREF</x:v>
      </x:c>
      <x:c r="C8458" s="16" t="n">
        <x:v>1394.219193863</x:v>
      </x:c>
      <x:c r="D8458" s="13" t="str">
        <x:v>Metals &amp; Mining</x:v>
      </x:c>
      <x:c r="E8458" s="13" t="str">
        <x:v>Metals &amp; Mining</x:v>
      </x:c>
      <x:c r="F8458" s="13" t="str">
        <x:v>Deep Cyclicals</x:v>
      </x:c>
      <x:c r="G8458" s="13" t="str">
        <x:v>grid_cqzdsc3v.xlsx</x:v>
      </x:c>
    </x:row>
    <x:row r="8459">
      <x:c r="A8459" s="15" t="n">
        <x:v>44256</x:v>
      </x:c>
      <x:c r="B8459" s="13" t="str">
        <x:v>USINAS SIDER MINAS GER-PF A</x:v>
      </x:c>
      <x:c r="C8459" s="16" t="n">
        <x:v>2722.4198592877</x:v>
      </x:c>
      <x:c r="D8459" s="13" t="str">
        <x:v>Metals &amp; Mining</x:v>
      </x:c>
      <x:c r="E8459" s="13" t="str">
        <x:v>Metals &amp; Mining</x:v>
      </x:c>
      <x:c r="F8459" s="13" t="str">
        <x:v>Deep Cyclicals</x:v>
      </x:c>
      <x:c r="G8459" s="13" t="str">
        <x:v>grid_cqzdsc3v.xlsx</x:v>
      </x:c>
    </x:row>
    <x:row r="8460">
      <x:c r="A8460" s="15" t="n">
        <x:v>44256</x:v>
      </x:c>
      <x:c r="B8460" s="13" t="str">
        <x:v>VALE SA</x:v>
      </x:c>
      <x:c r="C8460" s="16" t="n">
        <x:v>106847.339505973</x:v>
      </x:c>
      <x:c r="D8460" s="13" t="str">
        <x:v>Metals &amp; Mining</x:v>
      </x:c>
      <x:c r="E8460" s="13" t="str">
        <x:v>Metals &amp; Mining</x:v>
      </x:c>
      <x:c r="F8460" s="13" t="str">
        <x:v>Deep Cyclicals</x:v>
      </x:c>
      <x:c r="G8460" s="13" t="str">
        <x:v>grid_cqzdsc3v.xlsx</x:v>
      </x:c>
    </x:row>
    <x:row r="8461">
      <x:c r="A8461" s="15" t="n">
        <x:v>44256</x:v>
      </x:c>
      <x:c r="B8461" s="13" t="str">
        <x:v>BRASKEM SA-PREF A</x:v>
      </x:c>
      <x:c r="C8461" s="16" t="n">
        <x:v>4024.6273332603</x:v>
      </x:c>
      <x:c r="D8461" s="13" t="str">
        <x:v>Oil, Gas &amp; Petrochemicals</x:v>
      </x:c>
      <x:c r="E8461" s="13" t="str">
        <x:v>Oil, Gas &amp; Petrochemicals</x:v>
      </x:c>
      <x:c r="F8461" s="13" t="str">
        <x:v>Deep Cyclicals</x:v>
      </x:c>
      <x:c r="G8461" s="13" t="str">
        <x:v>grid_cqzdsc3v.xlsx</x:v>
      </x:c>
    </x:row>
    <x:row r="8462">
      <x:c r="A8462" s="15" t="n">
        <x:v>44256</x:v>
      </x:c>
      <x:c r="B8462" s="13" t="str">
        <x:v>COSAN SA</x:v>
      </x:c>
      <x:c r="C8462" s="16" t="n">
        <x:v>2298.0683081644</x:v>
      </x:c>
      <x:c r="D8462" s="13" t="str">
        <x:v>Oil, Gas &amp; Petrochemicals</x:v>
      </x:c>
      <x:c r="E8462" s="13" t="str">
        <x:v>Oil, Gas &amp; Petrochemicals</x:v>
      </x:c>
      <x:c r="F8462" s="13" t="str">
        <x:v>Deep Cyclicals</x:v>
      </x:c>
      <x:c r="G8462" s="13" t="str">
        <x:v>grid_cqzdsc3v.xlsx</x:v>
      </x:c>
    </x:row>
    <x:row r="8463">
      <x:c r="A8463" s="15" t="n">
        <x:v>44256</x:v>
      </x:c>
      <x:c r="B8463" s="13" t="str">
        <x:v>PETROBRAS - PETROLEO BRAS</x:v>
      </x:c>
      <x:c r="C8463" s="16" t="n">
        <x:v>47324.8933523288</x:v>
      </x:c>
      <x:c r="D8463" s="13" t="str">
        <x:v>Oil, Gas &amp; Petrochemicals</x:v>
      </x:c>
      <x:c r="E8463" s="13" t="str">
        <x:v>Oil, Gas &amp; Petrochemicals</x:v>
      </x:c>
      <x:c r="F8463" s="13" t="str">
        <x:v>Deep Cyclicals</x:v>
      </x:c>
      <x:c r="G8463" s="13" t="str">
        <x:v>grid_cqzdsc3v.xlsx</x:v>
      </x:c>
    </x:row>
    <x:row r="8464">
      <x:c r="A8464" s="15" t="n">
        <x:v>44256</x:v>
      </x:c>
      <x:c r="B8464" s="13" t="str">
        <x:v>PRIO SA</x:v>
      </x:c>
      <x:c r="C8464" s="16" t="n">
        <x:v>1368.4718167671</x:v>
      </x:c>
      <x:c r="D8464" s="13" t="str">
        <x:v>Oil, Gas &amp; Petrochemicals</x:v>
      </x:c>
      <x:c r="E8464" s="13" t="str">
        <x:v>Oil, Gas &amp; Petrochemicals</x:v>
      </x:c>
      <x:c r="F8464" s="13" t="str">
        <x:v>Deep Cyclicals</x:v>
      </x:c>
      <x:c r="G8464" s="13" t="str">
        <x:v>grid_cqzdsc3v.xlsx</x:v>
      </x:c>
    </x:row>
    <x:row r="8465">
      <x:c r="A8465" s="15" t="n">
        <x:v>44256</x:v>
      </x:c>
      <x:c r="B8465" s="13" t="str">
        <x:v>ULTRAPAR PARTICIPACOES SA</x:v>
      </x:c>
      <x:c r="C8465" s="16" t="n">
        <x:v>1338.0513420274</x:v>
      </x:c>
      <x:c r="D8465" s="13" t="str">
        <x:v>Oil, Gas &amp; Petrochemicals</x:v>
      </x:c>
      <x:c r="E8465" s="13" t="str">
        <x:v>Oil, Gas &amp; Petrochemicals</x:v>
      </x:c>
      <x:c r="F8465" s="13" t="str">
        <x:v>Deep Cyclicals</x:v>
      </x:c>
      <x:c r="G8465" s="13" t="str">
        <x:v>grid_cqzdsc3v.xlsx</x:v>
      </x:c>
    </x:row>
    <x:row r="8466">
      <x:c r="A8466" s="15" t="n">
        <x:v>44256</x:v>
      </x:c>
      <x:c r="B8466" s="13" t="str">
        <x:v>VIBRA ENERGIA SA</x:v>
      </x:c>
      <x:c r="C8466" s="16" t="n">
        <x:v>1757.3971515616</x:v>
      </x:c>
      <x:c r="D8466" s="13" t="str">
        <x:v>Oil, Gas &amp; Petrochemicals</x:v>
      </x:c>
      <x:c r="E8466" s="13" t="str">
        <x:v>Oil, Gas &amp; Petrochemicals</x:v>
      </x:c>
      <x:c r="F8466" s="13" t="str">
        <x:v>Deep Cyclicals</x:v>
      </x:c>
      <x:c r="G8466" s="13" t="str">
        <x:v>grid_cqzdsc3v.xlsx</x:v>
      </x:c>
    </x:row>
    <x:row r="8467">
      <x:c r="A8467" s="15" t="n">
        <x:v>44256</x:v>
      </x:c>
      <x:c r="B8467" s="13" t="str">
        <x:v>KLABIN SA - UNIT</x:v>
      </x:c>
      <x:c r="C8467" s="16" t="n">
        <x:v>2653.096192</x:v>
      </x:c>
      <x:c r="D8467" s="13" t="str">
        <x:v>Pulp &amp; Paper</x:v>
      </x:c>
      <x:c r="E8467" s="13" t="str">
        <x:v>Pulp &amp; Paper</x:v>
      </x:c>
      <x:c r="F8467" s="13" t="str">
        <x:v>Deep Cyclicals</x:v>
      </x:c>
      <x:c r="G8467" s="13" t="str">
        <x:v>grid_cqzdsc3v.xlsx</x:v>
      </x:c>
    </x:row>
    <x:row r="8468">
      <x:c r="A8468" s="15" t="n">
        <x:v>44256</x:v>
      </x:c>
      <x:c r="B8468" s="13" t="str">
        <x:v>SUZANO SA</x:v>
      </x:c>
      <x:c r="C8468" s="16" t="n">
        <x:v>9879.5482126027</x:v>
      </x:c>
      <x:c r="D8468" s="13" t="str">
        <x:v>Pulp &amp; Paper</x:v>
      </x:c>
      <x:c r="E8468" s="13" t="str">
        <x:v>Pulp &amp; Paper</x:v>
      </x:c>
      <x:c r="F8468" s="13" t="str">
        <x:v>Deep Cyclicals</x:v>
      </x:c>
      <x:c r="G8468" s="13" t="str">
        <x:v>grid_cqzdsc3v.xlsx</x:v>
      </x:c>
    </x:row>
    <x:row r="8469">
      <x:c r="A8469" s="15" t="n">
        <x:v>44256</x:v>
      </x:c>
      <x:c r="B8469" s="13" t="str">
        <x:v>AMERICANAS SA</x:v>
      </x:c>
      <x:c r="C8469" s="16" t="n">
        <x:v>-129.0434246575</x:v>
      </x:c>
      <x:c r="D8469" s="13" t="str">
        <x:v>Retail</x:v>
      </x:c>
      <x:c r="E8469" s="13" t="str">
        <x:v>Retail</x:v>
      </x:c>
      <x:c r="F8469" s="13" t="str">
        <x:v>Early Cyclicals</x:v>
      </x:c>
      <x:c r="G8469" s="13" t="str">
        <x:v>grid_cqzdsc3v.xlsx</x:v>
      </x:c>
    </x:row>
    <x:row r="8470">
      <x:c r="A8470" s="15" t="n">
        <x:v>44256</x:v>
      </x:c>
      <x:c r="B8470" s="13" t="str">
        <x:v>ATACADAO SA</x:v>
      </x:c>
      <x:c r="C8470" s="16" t="n">
        <x:v>2597.3149843288</x:v>
      </x:c>
      <x:c r="D8470" s="13" t="str">
        <x:v>Retail</x:v>
      </x:c>
      <x:c r="E8470" s="13" t="str">
        <x:v>Retail</x:v>
      </x:c>
      <x:c r="F8470" s="13" t="str">
        <x:v>Early Cyclicals</x:v>
      </x:c>
      <x:c r="G8470" s="13" t="str">
        <x:v>grid_cqzdsc3v.xlsx</x:v>
      </x:c>
    </x:row>
    <x:row r="8471">
      <x:c r="A8471" s="15" t="n">
        <x:v>44256</x:v>
      </x:c>
      <x:c r="B8471" s="13" t="str">
        <x:v>CIA BRASILEIRA DE DISTRIBUIC</x:v>
      </x:c>
      <x:c r="C8471" s="16" t="n">
        <x:v>752.6824232329</x:v>
      </x:c>
      <x:c r="D8471" s="13" t="str">
        <x:v>Retail</x:v>
      </x:c>
      <x:c r="E8471" s="13" t="str">
        <x:v>Retail</x:v>
      </x:c>
      <x:c r="F8471" s="13" t="str">
        <x:v>Early Cyclicals</x:v>
      </x:c>
      <x:c r="G8471" s="13" t="str">
        <x:v>grid_cqzdsc3v.xlsx</x:v>
      </x:c>
    </x:row>
    <x:row r="8472">
      <x:c r="A8472" s="15" t="n">
        <x:v>44256</x:v>
      </x:c>
      <x:c r="B8472" s="13" t="str">
        <x:v>CIA HERING</x:v>
      </x:c>
      <x:c r="C8472" s="16" t="n">
        <x:v>174.6481446575</x:v>
      </x:c>
      <x:c r="D8472" s="13" t="str">
        <x:v>Retail</x:v>
      </x:c>
      <x:c r="E8472" s="13" t="str">
        <x:v>Retail</x:v>
      </x:c>
      <x:c r="F8472" s="13" t="str">
        <x:v>Early Cyclicals</x:v>
      </x:c>
      <x:c r="G8472" s="13" t="str">
        <x:v>grid_cqzdsc3v.xlsx</x:v>
      </x:c>
    </x:row>
    <x:row r="8473">
      <x:c r="A8473" s="15" t="n">
        <x:v>44256</x:v>
      </x:c>
      <x:c r="B8473" s="13" t="str">
        <x:v>GRUPO CASAS BAHIA SA</x:v>
      </x:c>
      <x:c r="C8473" s="16" t="n">
        <x:v>656.1000758356</x:v>
      </x:c>
      <x:c r="D8473" s="13" t="str">
        <x:v>Retail</x:v>
      </x:c>
      <x:c r="E8473" s="13" t="str">
        <x:v>Retail</x:v>
      </x:c>
      <x:c r="F8473" s="13" t="str">
        <x:v>Early Cyclicals</x:v>
      </x:c>
      <x:c r="G8473" s="13" t="str">
        <x:v>grid_cqzdsc3v.xlsx</x:v>
      </x:c>
    </x:row>
    <x:row r="8474">
      <x:c r="A8474" s="15" t="n">
        <x:v>44256</x:v>
      </x:c>
      <x:c r="B8474" s="13" t="str">
        <x:v>LOJAS AMERICANAS SA-PREF</x:v>
      </x:c>
      <x:c r="C8474" s="16" t="n">
        <x:v>937.9104613699</x:v>
      </x:c>
      <x:c r="D8474" s="13" t="str">
        <x:v>Retail</x:v>
      </x:c>
      <x:c r="E8474" s="13" t="str">
        <x:v>Retail</x:v>
      </x:c>
      <x:c r="F8474" s="13" t="str">
        <x:v>Early Cyclicals</x:v>
      </x:c>
      <x:c r="G8474" s="13" t="str">
        <x:v>grid_cqzdsc3v.xlsx</x:v>
      </x:c>
    </x:row>
    <x:row r="8475">
      <x:c r="A8475" s="15" t="n">
        <x:v>44256</x:v>
      </x:c>
      <x:c r="B8475" s="13" t="str">
        <x:v>LOJAS RENNER S.A.</x:v>
      </x:c>
      <x:c r="C8475" s="16" t="n">
        <x:v>1203.4315029041</x:v>
      </x:c>
      <x:c r="D8475" s="13" t="str">
        <x:v>Retail</x:v>
      </x:c>
      <x:c r="E8475" s="13" t="str">
        <x:v>Retail</x:v>
      </x:c>
      <x:c r="F8475" s="13" t="str">
        <x:v>Early Cyclicals</x:v>
      </x:c>
      <x:c r="G8475" s="13" t="str">
        <x:v>grid_cqzdsc3v.xlsx</x:v>
      </x:c>
    </x:row>
    <x:row r="8476">
      <x:c r="A8476" s="15" t="n">
        <x:v>44256</x:v>
      </x:c>
      <x:c r="B8476" s="13" t="str">
        <x:v>MAGAZINE LUIZA SA</x:v>
      </x:c>
      <x:c r="C8476" s="16" t="n">
        <x:v>853.0128806575</x:v>
      </x:c>
      <x:c r="D8476" s="13" t="str">
        <x:v>Retail</x:v>
      </x:c>
      <x:c r="E8476" s="13" t="str">
        <x:v>Retail</x:v>
      </x:c>
      <x:c r="F8476" s="13" t="str">
        <x:v>Early Cyclicals</x:v>
      </x:c>
      <x:c r="G8476" s="13" t="str">
        <x:v>grid_cqzdsc3v.xlsx</x:v>
      </x:c>
    </x:row>
    <x:row r="8477">
      <x:c r="A8477" s="15" t="n">
        <x:v>44256</x:v>
      </x:c>
      <x:c r="B8477" s="13" t="str">
        <x:v>NATURA &amp;CO HOLDING SA</x:v>
      </x:c>
      <x:c r="C8477" s="16" t="n">
        <x:v>1048.2991114521</x:v>
      </x:c>
      <x:c r="D8477" s="13" t="str">
        <x:v>Retail</x:v>
      </x:c>
      <x:c r="E8477" s="13" t="str">
        <x:v>Retail</x:v>
      </x:c>
      <x:c r="F8477" s="13" t="str">
        <x:v>Early Cyclicals</x:v>
      </x:c>
      <x:c r="G8477" s="13" t="str">
        <x:v>grid_cqzdsc3v.xlsx</x:v>
      </x:c>
    </x:row>
    <x:row r="8478">
      <x:c r="A8478" s="15" t="n">
        <x:v>44256</x:v>
      </x:c>
      <x:c r="B8478" s="13" t="str">
        <x:v>RAIA DROGASIL SA</x:v>
      </x:c>
      <x:c r="C8478" s="16" t="n">
        <x:v>917.1886299178</x:v>
      </x:c>
      <x:c r="D8478" s="13" t="str">
        <x:v>Retail</x:v>
      </x:c>
      <x:c r="E8478" s="13" t="str">
        <x:v>Retail</x:v>
      </x:c>
      <x:c r="F8478" s="13" t="str">
        <x:v>Early Cyclicals</x:v>
      </x:c>
      <x:c r="G8478" s="13" t="str">
        <x:v>grid_cqzdsc3v.xlsx</x:v>
      </x:c>
    </x:row>
    <x:row r="8479">
      <x:c r="A8479" s="15" t="n">
        <x:v>44256</x:v>
      </x:c>
      <x:c r="B8479" s="13" t="str">
        <x:v>SENDAS DISTRIBUIDORA SA</x:v>
      </x:c>
      <x:c r="C8479" s="16" t="n">
        <x:v>1201.9520227945</x:v>
      </x:c>
      <x:c r="D8479" s="13" t="str">
        <x:v>Retail</x:v>
      </x:c>
      <x:c r="E8479" s="13" t="str">
        <x:v>Retail</x:v>
      </x:c>
      <x:c r="F8479" s="13" t="str">
        <x:v>Early Cyclicals</x:v>
      </x:c>
      <x:c r="G8479" s="13" t="str">
        <x:v>grid_cqzdsc3v.xlsx</x:v>
      </x:c>
    </x:row>
    <x:row r="8480">
      <x:c r="A8480" s="15" t="n">
        <x:v>44256</x:v>
      </x:c>
      <x:c r="B8480" s="13" t="str">
        <x:v>CIA SANEAMENTO BASICO DE SP</x:v>
      </x:c>
      <x:c r="C8480" s="16" t="n">
        <x:v>3130.8191456438</x:v>
      </x:c>
      <x:c r="D8480" s="13" t="str">
        <x:v>Sanitation</x:v>
      </x:c>
      <x:c r="E8480" s="13" t="str">
        <x:v>Utilities</x:v>
      </x:c>
      <x:c r="F8480" s="13" t="str">
        <x:v>Defensives</x:v>
      </x:c>
      <x:c r="G8480" s="13" t="str">
        <x:v>grid_cqzdsc3v.xlsx</x:v>
      </x:c>
    </x:row>
    <x:row r="8481">
      <x:c r="A8481" s="15" t="n">
        <x:v>44256</x:v>
      </x:c>
      <x:c r="B8481" s="13" t="str">
        <x:v>TIM SA</x:v>
      </x:c>
      <x:c r="C8481" s="16" t="n">
        <x:v>2239.9129617534</x:v>
      </x:c>
      <x:c r="D8481" s="13" t="str">
        <x:v>TMT</x:v>
      </x:c>
      <x:c r="E8481" s="13" t="str">
        <x:v>TMT</x:v>
      </x:c>
      <x:c r="F8481" s="13" t="str">
        <x:v>Early Cyclicals</x:v>
      </x:c>
      <x:c r="G8481" s="13" t="str">
        <x:v>grid_cqzdsc3v.xlsx</x:v>
      </x:c>
    </x:row>
    <x:row r="8482">
      <x:c r="A8482" s="15" t="n">
        <x:v>44256</x:v>
      </x:c>
      <x:c r="B8482" s="13" t="str">
        <x:v>TOTVS SA</x:v>
      </x:c>
      <x:c r="C8482" s="16" t="n">
        <x:v>424.5923936438</x:v>
      </x:c>
      <x:c r="D8482" s="13" t="str">
        <x:v>TMT</x:v>
      </x:c>
      <x:c r="E8482" s="13" t="str">
        <x:v>TMT</x:v>
      </x:c>
      <x:c r="F8482" s="13" t="str">
        <x:v>Early Cyclicals</x:v>
      </x:c>
      <x:c r="G8482" s="13" t="str">
        <x:v>grid_cqzdsc3v.xlsx</x:v>
      </x:c>
    </x:row>
    <x:row r="8483">
      <x:c r="A8483" s="15" t="n">
        <x:v>44256</x:v>
      </x:c>
      <x:c r="B8483" s="13" t="str">
        <x:v>AZUL SA</x:v>
      </x:c>
      <x:c r="C8483" s="16" t="n">
        <x:v>-1144.1534794521</x:v>
      </x:c>
      <x:c r="D8483" s="13" t="str">
        <x:v>Transportation</x:v>
      </x:c>
      <x:c r="E8483" s="13" t="str">
        <x:v>Transportation</x:v>
      </x:c>
      <x:c r="F8483" s="13" t="str">
        <x:v>Deep Cyclicals</x:v>
      </x:c>
      <x:c r="G8483" s="13" t="str">
        <x:v>grid_cqzdsc3v.xlsx</x:v>
      </x:c>
    </x:row>
    <x:row r="8484">
      <x:c r="A8484" s="15" t="n">
        <x:v>44256</x:v>
      </x:c>
      <x:c r="B8484" s="13" t="str">
        <x:v>CIA DE LOCACAO DAS AMERICAS</x:v>
      </x:c>
      <x:c r="C8484" s="16" t="n">
        <x:v>663.237101589</x:v>
      </x:c>
      <x:c r="D8484" s="13" t="str">
        <x:v>Transportation</x:v>
      </x:c>
      <x:c r="E8484" s="13" t="str">
        <x:v>Transportation</x:v>
      </x:c>
      <x:c r="F8484" s="13" t="str">
        <x:v>Deep Cyclicals</x:v>
      </x:c>
      <x:c r="G8484" s="13" t="str">
        <x:v>grid_cqzdsc3v.xlsx</x:v>
      </x:c>
    </x:row>
    <x:row r="8485">
      <x:c r="A8485" s="15" t="n">
        <x:v>44256</x:v>
      </x:c>
      <x:c r="B8485" s="13" t="str">
        <x:v>ECORODOVIAS INFRA E LOG SA</x:v>
      </x:c>
      <x:c r="C8485" s="16" t="n">
        <x:v>397.8186340822</x:v>
      </x:c>
      <x:c r="D8485" s="13" t="str">
        <x:v>Transportation</x:v>
      </x:c>
      <x:c r="E8485" s="13" t="str">
        <x:v>Transportation</x:v>
      </x:c>
      <x:c r="F8485" s="13" t="str">
        <x:v>Deep Cyclicals</x:v>
      </x:c>
      <x:c r="G8485" s="13" t="str">
        <x:v>grid_cqzdsc3v.xlsx</x:v>
      </x:c>
    </x:row>
    <x:row r="8486">
      <x:c r="A8486" s="15" t="n">
        <x:v>44256</x:v>
      </x:c>
      <x:c r="B8486" s="13" t="str">
        <x:v>GOL LINHAS AEREAS INT SA-PRE</x:v>
      </x:c>
      <x:c r="C8486" s="16" t="n">
        <x:v>-957.0887210959</x:v>
      </x:c>
      <x:c r="D8486" s="13" t="str">
        <x:v>Transportation</x:v>
      </x:c>
      <x:c r="E8486" s="13" t="str">
        <x:v>Transportation</x:v>
      </x:c>
      <x:c r="F8486" s="13" t="str">
        <x:v>Deep Cyclicals</x:v>
      </x:c>
      <x:c r="G8486" s="13" t="str">
        <x:v>grid_cqzdsc3v.xlsx</x:v>
      </x:c>
    </x:row>
    <x:row r="8487">
      <x:c r="A8487" s="15" t="n">
        <x:v>44256</x:v>
      </x:c>
      <x:c r="B8487" s="13" t="str">
        <x:v>LOCALIZA RENT A CAR</x:v>
      </x:c>
      <x:c r="C8487" s="16" t="n">
        <x:v>1486.0213339178</x:v>
      </x:c>
      <x:c r="D8487" s="13" t="str">
        <x:v>Transportation</x:v>
      </x:c>
      <x:c r="E8487" s="13" t="str">
        <x:v>Transportation</x:v>
      </x:c>
      <x:c r="F8487" s="13" t="str">
        <x:v>Deep Cyclicals</x:v>
      </x:c>
      <x:c r="G8487" s="13" t="str">
        <x:v>grid_cqzdsc3v.xlsx</x:v>
      </x:c>
    </x:row>
    <x:row r="8488">
      <x:c r="A8488" s="15" t="n">
        <x:v>44256</x:v>
      </x:c>
      <x:c r="B8488" s="13" t="str">
        <x:v>MOTIVA INFRAESTRUTURA DE MOB</x:v>
      </x:c>
      <x:c r="C8488" s="16" t="n">
        <x:v>1160.933561863</x:v>
      </x:c>
      <x:c r="D8488" s="13" t="str">
        <x:v>Transportation</x:v>
      </x:c>
      <x:c r="E8488" s="13" t="str">
        <x:v>Transportation</x:v>
      </x:c>
      <x:c r="F8488" s="13" t="str">
        <x:v>Deep Cyclicals</x:v>
      </x:c>
      <x:c r="G8488" s="13" t="str">
        <x:v>grid_cqzdsc3v.xlsx</x:v>
      </x:c>
    </x:row>
    <x:row r="8489">
      <x:c r="A8489" s="15" t="n">
        <x:v>44256</x:v>
      </x:c>
      <x:c r="B8489" s="13" t="str">
        <x:v>RUMO SA</x:v>
      </x:c>
      <x:c r="C8489" s="16" t="n">
        <x:v>940.8633380822</x:v>
      </x:c>
      <x:c r="D8489" s="13" t="str">
        <x:v>Transportation</x:v>
      </x:c>
      <x:c r="E8489" s="13" t="str">
        <x:v>Transportation</x:v>
      </x:c>
      <x:c r="F8489" s="13" t="str">
        <x:v>Deep Cyclicals</x:v>
      </x:c>
      <x:c r="G8489" s="13" t="str">
        <x:v>grid_cqzdsc3v.xlsx</x:v>
      </x:c>
    </x:row>
    <x:row r="8490">
      <x:c r="A8490" s="15" t="n">
        <x:v>44256</x:v>
      </x:c>
      <x:c r="B8490" s="13" t="str">
        <x:v>AXIA ENERGIA SA</x:v>
      </x:c>
      <x:c r="C8490" s="16" t="n">
        <x:v>8102.735570411</x:v>
      </x:c>
      <x:c r="D8490" s="13" t="str">
        <x:v>Utilities &amp; Energy</x:v>
      </x:c>
      <x:c r="E8490" s="13" t="str">
        <x:v>Utilities</x:v>
      </x:c>
      <x:c r="F8490" s="13" t="str">
        <x:v>Defensives</x:v>
      </x:c>
      <x:c r="G8490" s="13" t="str">
        <x:v>grid_cqzdsc3v.xlsx</x:v>
      </x:c>
    </x:row>
    <x:row r="8491">
      <x:c r="A8491" s="15" t="n">
        <x:v>44256</x:v>
      </x:c>
      <x:c r="B8491" s="13" t="str">
        <x:v>AXIA ENERGIA-PR B</x:v>
      </x:c>
      <x:c r="C8491" s="16" t="n">
        <x:v>8102.735570411</x:v>
      </x:c>
      <x:c r="D8491" s="13" t="str">
        <x:v>Utilities &amp; Energy</x:v>
      </x:c>
      <x:c r="E8491" s="13" t="str">
        <x:v>Utilities</x:v>
      </x:c>
      <x:c r="F8491" s="13" t="str">
        <x:v>Defensives</x:v>
      </x:c>
      <x:c r="G8491" s="13" t="str">
        <x:v>grid_cqzdsc3v.xlsx</x:v>
      </x:c>
    </x:row>
    <x:row r="8492">
      <x:c r="A8492" s="15" t="n">
        <x:v>44256</x:v>
      </x:c>
      <x:c r="B8492" s="13" t="str">
        <x:v>CIA ENERGETICA MINAS GER-PRF</x:v>
      </x:c>
      <x:c r="C8492" s="16" t="n">
        <x:v>2812.2505398356</x:v>
      </x:c>
      <x:c r="D8492" s="13" t="str">
        <x:v>Utilities &amp; Energy</x:v>
      </x:c>
      <x:c r="E8492" s="13" t="str">
        <x:v>Utilities</x:v>
      </x:c>
      <x:c r="F8492" s="13" t="str">
        <x:v>Defensives</x:v>
      </x:c>
      <x:c r="G8492" s="13" t="str">
        <x:v>grid_cqzdsc3v.xlsx</x:v>
      </x:c>
    </x:row>
    <x:row r="8493">
      <x:c r="A8493" s="15" t="n">
        <x:v>44256</x:v>
      </x:c>
      <x:c r="B8493" s="13" t="str">
        <x:v>COMPANHIA PARANAENSE -PREF B</x:v>
      </x:c>
      <x:c r="C8493" s="16" t="n">
        <x:v>2676.3293843288</x:v>
      </x:c>
      <x:c r="D8493" s="13" t="str">
        <x:v>Utilities &amp; Energy</x:v>
      </x:c>
      <x:c r="E8493" s="13" t="str">
        <x:v>Utilities</x:v>
      </x:c>
      <x:c r="F8493" s="13" t="str">
        <x:v>Defensives</x:v>
      </x:c>
      <x:c r="G8493" s="13" t="str">
        <x:v>grid_cqzdsc3v.xlsx</x:v>
      </x:c>
    </x:row>
    <x:row r="8494">
      <x:c r="A8494" s="15" t="n">
        <x:v>44256</x:v>
      </x:c>
      <x:c r="B8494" s="13" t="str">
        <x:v>CPFL ENERGIA SA</x:v>
      </x:c>
      <x:c r="C8494" s="16" t="n">
        <x:v>3557.2130823014</x:v>
      </x:c>
      <x:c r="D8494" s="13" t="str">
        <x:v>Utilities &amp; Energy</x:v>
      </x:c>
      <x:c r="E8494" s="13" t="str">
        <x:v>Utilities</x:v>
      </x:c>
      <x:c r="F8494" s="13" t="str">
        <x:v>Defensives</x:v>
      </x:c>
      <x:c r="G8494" s="13" t="str">
        <x:v>grid_cqzdsc3v.xlsx</x:v>
      </x:c>
    </x:row>
    <x:row r="8495">
      <x:c r="A8495" s="15" t="n">
        <x:v>44256</x:v>
      </x:c>
      <x:c r="B8495" s="13" t="str">
        <x:v>EDP - ENERGIAS DO BRASIL SA</x:v>
      </x:c>
      <x:c r="C8495" s="16" t="n">
        <x:v>1324.3342623562</x:v>
      </x:c>
      <x:c r="D8495" s="13" t="str">
        <x:v>Utilities &amp; Energy</x:v>
      </x:c>
      <x:c r="E8495" s="13" t="str">
        <x:v>Utilities</x:v>
      </x:c>
      <x:c r="F8495" s="13" t="str">
        <x:v>Defensives</x:v>
      </x:c>
      <x:c r="G8495" s="13" t="str">
        <x:v>grid_cqzdsc3v.xlsx</x:v>
      </x:c>
    </x:row>
    <x:row r="8496">
      <x:c r="A8496" s="15" t="n">
        <x:v>44256</x:v>
      </x:c>
      <x:c r="B8496" s="13" t="str">
        <x:v>ENERGISA SA-UNITS</x:v>
      </x:c>
      <x:c r="C8496" s="16" t="n">
        <x:v>1707.6988072329</x:v>
      </x:c>
      <x:c r="D8496" s="13" t="str">
        <x:v>Utilities &amp; Energy</x:v>
      </x:c>
      <x:c r="E8496" s="13" t="str">
        <x:v>Utilities</x:v>
      </x:c>
      <x:c r="F8496" s="13" t="str">
        <x:v>Defensives</x:v>
      </x:c>
      <x:c r="G8496" s="13" t="str">
        <x:v>grid_cqzdsc3v.xlsx</x:v>
      </x:c>
    </x:row>
    <x:row r="8497">
      <x:c r="A8497" s="15" t="n">
        <x:v>44256</x:v>
      </x:c>
      <x:c r="B8497" s="13" t="str">
        <x:v>ENEVA SA</x:v>
      </x:c>
      <x:c r="C8497" s="16" t="n">
        <x:v>992.2191780822</x:v>
      </x:c>
      <x:c r="D8497" s="13" t="str">
        <x:v>Utilities &amp; Energy</x:v>
      </x:c>
      <x:c r="E8497" s="13" t="str">
        <x:v>Utilities</x:v>
      </x:c>
      <x:c r="F8497" s="13" t="str">
        <x:v>Defensives</x:v>
      </x:c>
      <x:c r="G8497" s="13" t="str">
        <x:v>grid_cqzdsc3v.xlsx</x:v>
      </x:c>
    </x:row>
    <x:row r="8498">
      <x:c r="A8498" s="15" t="n">
        <x:v>44256</x:v>
      </x:c>
      <x:c r="B8498" s="13" t="str">
        <x:v>ENGIE BRASIL ENERGIA SA</x:v>
      </x:c>
      <x:c r="C8498" s="16" t="n">
        <x:v>3255.4314625753</x:v>
      </x:c>
      <x:c r="D8498" s="13" t="str">
        <x:v>Utilities &amp; Energy</x:v>
      </x:c>
      <x:c r="E8498" s="13" t="str">
        <x:v>Utilities</x:v>
      </x:c>
      <x:c r="F8498" s="13" t="str">
        <x:v>Defensives</x:v>
      </x:c>
      <x:c r="G8498" s="13" t="str">
        <x:v>grid_cqzdsc3v.xlsx</x:v>
      </x:c>
    </x:row>
    <x:row r="8499">
      <x:c r="A8499" s="15" t="n">
        <x:v>44256</x:v>
      </x:c>
      <x:c r="B8499" s="13" t="str">
        <x:v>EQUATORIAL SA - ORD</x:v>
      </x:c>
      <x:c r="C8499" s="16" t="n">
        <x:v>2163.121849863</x:v>
      </x:c>
      <x:c r="D8499" s="13" t="str">
        <x:v>Utilities &amp; Energy</x:v>
      </x:c>
      <x:c r="E8499" s="13" t="str">
        <x:v>Utilities</x:v>
      </x:c>
      <x:c r="F8499" s="13" t="str">
        <x:v>Defensives</x:v>
      </x:c>
      <x:c r="G8499" s="13" t="str">
        <x:v>grid_cqzdsc3v.xlsx</x:v>
      </x:c>
    </x:row>
    <x:row r="8500">
      <x:c r="A8500" s="15" t="n">
        <x:v>44256</x:v>
      </x:c>
      <x:c r="B8500" s="13" t="str">
        <x:v>TRANSMISSORA ALIANCA DE-UNIT</x:v>
      </x:c>
      <x:c r="C8500" s="16" t="n">
        <x:v>967.9212449315</x:v>
      </x:c>
      <x:c r="D8500" s="13" t="str">
        <x:v>Utilities &amp; Energy</x:v>
      </x:c>
      <x:c r="E8500" s="13" t="str">
        <x:v>Utilities</x:v>
      </x:c>
      <x:c r="F8500" s="13" t="str">
        <x:v>Defensives</x:v>
      </x:c>
      <x:c r="G8500" s="13" t="str">
        <x:v>grid_cqzdsc3v.xlsx</x:v>
      </x:c>
    </x:row>
    <x:row r="8501">
      <x:c r="A8501" s="15" t="n">
        <x:v>44287</x:v>
      </x:c>
      <x:c r="B8501" s="13" t="str">
        <x:v>BANCO BRADESCO S.A.</x:v>
      </x:c>
      <x:c r="C8501" s="16" t="n">
        <x:v>26016.3486369315</x:v>
      </x:c>
      <x:c r="D8501" s="13" t="str">
        <x:v>Banks</x:v>
      </x:c>
      <x:c r="E8501" s="13" t="str">
        <x:v>Banks</x:v>
      </x:c>
      <x:c r="F8501" s="13" t="str">
        <x:v>Financials</x:v>
      </x:c>
      <x:c r="G8501" s="13" t="str">
        <x:v>grid_cqzdsc3v.xlsx</x:v>
      </x:c>
    </x:row>
    <x:row r="8502">
      <x:c r="A8502" s="15" t="n">
        <x:v>44287</x:v>
      </x:c>
      <x:c r="B8502" s="13" t="str">
        <x:v>BANCO BRADESCO SA-PREF</x:v>
      </x:c>
      <x:c r="C8502" s="16" t="n">
        <x:v>26016.3486369315</x:v>
      </x:c>
      <x:c r="D8502" s="13" t="str">
        <x:v>Banks</x:v>
      </x:c>
      <x:c r="E8502" s="13" t="str">
        <x:v>Banks</x:v>
      </x:c>
      <x:c r="F8502" s="13" t="str">
        <x:v>Financials</x:v>
      </x:c>
      <x:c r="G8502" s="13" t="str">
        <x:v>grid_cqzdsc3v.xlsx</x:v>
      </x:c>
    </x:row>
    <x:row r="8503">
      <x:c r="A8503" s="15" t="n">
        <x:v>44287</x:v>
      </x:c>
      <x:c r="B8503" s="13" t="str">
        <x:v>BANCO BTG PACTUAL SA-UNIT</x:v>
      </x:c>
      <x:c r="C8503" s="16" t="n">
        <x:v>5211.3322923836</x:v>
      </x:c>
      <x:c r="D8503" s="13" t="str">
        <x:v>Banks</x:v>
      </x:c>
      <x:c r="E8503" s="13" t="str">
        <x:v>Banks</x:v>
      </x:c>
      <x:c r="F8503" s="13" t="str">
        <x:v>Financials</x:v>
      </x:c>
      <x:c r="G8503" s="13" t="str">
        <x:v>grid_cqzdsc3v.xlsx</x:v>
      </x:c>
    </x:row>
    <x:row r="8504">
      <x:c r="A8504" s="15" t="n">
        <x:v>44287</x:v>
      </x:c>
      <x:c r="B8504" s="13" t="str">
        <x:v>BANCO DO BRASIL S.A.</x:v>
      </x:c>
      <x:c r="C8504" s="16" t="n">
        <x:v>17851.6833209863</x:v>
      </x:c>
      <x:c r="D8504" s="13" t="str">
        <x:v>Banks</x:v>
      </x:c>
      <x:c r="E8504" s="13" t="str">
        <x:v>Banks</x:v>
      </x:c>
      <x:c r="F8504" s="13" t="str">
        <x:v>Financials</x:v>
      </x:c>
      <x:c r="G8504" s="13" t="str">
        <x:v>grid_cqzdsc3v.xlsx</x:v>
      </x:c>
    </x:row>
    <x:row r="8505">
      <x:c r="A8505" s="15" t="n">
        <x:v>44287</x:v>
      </x:c>
      <x:c r="B8505" s="13" t="str">
        <x:v>BANCO SANTANDER  BRASIL-UNIT</x:v>
      </x:c>
      <x:c r="C8505" s="16" t="n">
        <x:v>15650.681785863</x:v>
      </x:c>
      <x:c r="D8505" s="13" t="str">
        <x:v>Banks</x:v>
      </x:c>
      <x:c r="E8505" s="13" t="str">
        <x:v>Banks</x:v>
      </x:c>
      <x:c r="F8505" s="13" t="str">
        <x:v>Financials</x:v>
      </x:c>
      <x:c r="G8505" s="13" t="str">
        <x:v>grid_cqzdsc3v.xlsx</x:v>
      </x:c>
    </x:row>
    <x:row r="8506">
      <x:c r="A8506" s="15" t="n">
        <x:v>44287</x:v>
      </x:c>
      <x:c r="B8506" s="13" t="str">
        <x:v>ITAU UNIBANCO HOLDING S-PREF</x:v>
      </x:c>
      <x:c r="C8506" s="16" t="n">
        <x:v>25857.3747410411</x:v>
      </x:c>
      <x:c r="D8506" s="13" t="str">
        <x:v>Banks</x:v>
      </x:c>
      <x:c r="E8506" s="13" t="str">
        <x:v>Banks</x:v>
      </x:c>
      <x:c r="F8506" s="13" t="str">
        <x:v>Financials</x:v>
      </x:c>
      <x:c r="G8506" s="13" t="str">
        <x:v>grid_cqzdsc3v.xlsx</x:v>
      </x:c>
    </x:row>
    <x:row r="8507">
      <x:c r="A8507" s="15" t="n">
        <x:v>44287</x:v>
      </x:c>
      <x:c r="B8507" s="13" t="str">
        <x:v>EMBRAER SA</x:v>
      </x:c>
      <x:c r="C8507" s="16" t="n">
        <x:v>-508.5878575342</x:v>
      </x:c>
      <x:c r="D8507" s="13" t="str">
        <x:v>Capital Goods</x:v>
      </x:c>
      <x:c r="E8507" s="13" t="str">
        <x:v>Capital Goods</x:v>
      </x:c>
      <x:c r="F8507" s="13" t="str">
        <x:v>Deep Cyclicals</x:v>
      </x:c>
      <x:c r="G8507" s="13" t="str">
        <x:v>grid_cqzdsc3v.xlsx</x:v>
      </x:c>
    </x:row>
    <x:row r="8508">
      <x:c r="A8508" s="15" t="n">
        <x:v>44287</x:v>
      </x:c>
      <x:c r="B8508" s="13" t="str">
        <x:v>WEG SA</x:v>
      </x:c>
      <x:c r="C8508" s="16" t="n">
        <x:v>3137.2866805479</x:v>
      </x:c>
      <x:c r="D8508" s="13" t="str">
        <x:v>Capital Goods</x:v>
      </x:c>
      <x:c r="E8508" s="13" t="str">
        <x:v>Capital Goods</x:v>
      </x:c>
      <x:c r="F8508" s="13" t="str">
        <x:v>Deep Cyclicals</x:v>
      </x:c>
      <x:c r="G8508" s="13" t="str">
        <x:v>grid_cqzdsc3v.xlsx</x:v>
      </x:c>
    </x:row>
    <x:row r="8509">
      <x:c r="A8509" s="15" t="n">
        <x:v>44287</x:v>
      </x:c>
      <x:c r="B8509" s="13" t="str">
        <x:v>COGNA EDUCACAO</x:v>
      </x:c>
      <x:c r="C8509" s="16" t="n">
        <x:v>25.3124122192</x:v>
      </x:c>
      <x:c r="D8509" s="13" t="str">
        <x:v>Education</x:v>
      </x:c>
      <x:c r="E8509" s="13" t="str">
        <x:v>Education</x:v>
      </x:c>
      <x:c r="F8509" s="13" t="str">
        <x:v>Early Cyclicals</x:v>
      </x:c>
      <x:c r="G8509" s="13" t="str">
        <x:v>grid_cqzdsc3v.xlsx</x:v>
      </x:c>
    </x:row>
    <x:row r="8510">
      <x:c r="A8510" s="15" t="n">
        <x:v>44287</x:v>
      </x:c>
      <x:c r="B8510" s="13" t="str">
        <x:v>YDUQS PARTICIPACOES SA</x:v>
      </x:c>
      <x:c r="C8510" s="16" t="n">
        <x:v>639.1052545753</x:v>
      </x:c>
      <x:c r="D8510" s="13" t="str">
        <x:v>Education</x:v>
      </x:c>
      <x:c r="E8510" s="13" t="str">
        <x:v>Education</x:v>
      </x:c>
      <x:c r="F8510" s="13" t="str">
        <x:v>Early Cyclicals</x:v>
      </x:c>
      <x:c r="G8510" s="13" t="str">
        <x:v>grid_cqzdsc3v.xlsx</x:v>
      </x:c>
    </x:row>
    <x:row r="8511">
      <x:c r="A8511" s="15" t="n">
        <x:v>44287</x:v>
      </x:c>
      <x:c r="B8511" s="13" t="str">
        <x:v>B3 SA-BRASIL BOLSA BALCAO</x:v>
      </x:c>
      <x:c r="C8511" s="16" t="n">
        <x:v>4994.6373470685</x:v>
      </x:c>
      <x:c r="D8511" s="13" t="str">
        <x:v>Financials Non-Banks</x:v>
      </x:c>
      <x:c r="E8511" s="13" t="str">
        <x:v>Financials Non-Banks</x:v>
      </x:c>
      <x:c r="F8511" s="13" t="str">
        <x:v>Financials</x:v>
      </x:c>
      <x:c r="G8511" s="13" t="str">
        <x:v>grid_cqzdsc3v.xlsx</x:v>
      </x:c>
    </x:row>
    <x:row r="8512">
      <x:c r="A8512" s="15" t="n">
        <x:v>44287</x:v>
      </x:c>
      <x:c r="B8512" s="13" t="str">
        <x:v>BB SEGURIDADE PARTICIPACOES</x:v>
      </x:c>
      <x:c r="C8512" s="16" t="n">
        <x:v>4457.5478812055</x:v>
      </x:c>
      <x:c r="D8512" s="13" t="str">
        <x:v>Financials Non-Banks</x:v>
      </x:c>
      <x:c r="E8512" s="13" t="str">
        <x:v>Financials Non-Banks</x:v>
      </x:c>
      <x:c r="F8512" s="13" t="str">
        <x:v>Financials</x:v>
      </x:c>
      <x:c r="G8512" s="13" t="str">
        <x:v>grid_cqzdsc3v.xlsx</x:v>
      </x:c>
    </x:row>
    <x:row r="8513">
      <x:c r="A8513" s="15" t="n">
        <x:v>44287</x:v>
      </x:c>
      <x:c r="B8513" s="13" t="str">
        <x:v>CIELO SA</x:v>
      </x:c>
      <x:c r="C8513" s="16" t="n">
        <x:v>861.5560162192</x:v>
      </x:c>
      <x:c r="D8513" s="13" t="str">
        <x:v>Financials Non-Banks</x:v>
      </x:c>
      <x:c r="E8513" s="13" t="str">
        <x:v>Financials Non-Banks</x:v>
      </x:c>
      <x:c r="F8513" s="13" t="str">
        <x:v>Financials</x:v>
      </x:c>
      <x:c r="G8513" s="13" t="str">
        <x:v>Ibovespa_earnings_consolidated.xlsx</x:v>
      </x:c>
    </x:row>
    <x:row r="8514">
      <x:c r="A8514" s="15" t="n">
        <x:v>44287</x:v>
      </x:c>
      <x:c r="B8514" s="13" t="str">
        <x:v>CIELO SA - INSTITUICAO DE PA</x:v>
      </x:c>
      <x:c r="C8514" s="16" t="n">
        <x:v>861.5560162192</x:v>
      </x:c>
      <x:c r="D8514" s="13" t="str">
        <x:v>Financials Non-Banks</x:v>
      </x:c>
      <x:c r="E8514" s="13" t="str">
        <x:v>Financials Non-Banks</x:v>
      </x:c>
      <x:c r="F8514" s="13" t="str">
        <x:v>Financials</x:v>
      </x:c>
      <x:c r="G8514" s="13" t="str">
        <x:v>grid_cqzdsc3v.xlsx</x:v>
      </x:c>
    </x:row>
    <x:row r="8515">
      <x:c r="A8515" s="15" t="n">
        <x:v>44287</x:v>
      </x:c>
      <x:c r="B8515" s="13" t="str">
        <x:v>IRB BRASIL RESSEGUROS SA</x:v>
      </x:c>
      <x:c r="C8515" s="16" t="n">
        <x:v>497.9906384658</x:v>
      </x:c>
      <x:c r="D8515" s="13" t="str">
        <x:v>Financials Non-Banks</x:v>
      </x:c>
      <x:c r="E8515" s="13" t="str">
        <x:v>Financials Non-Banks</x:v>
      </x:c>
      <x:c r="F8515" s="13" t="str">
        <x:v>Financials</x:v>
      </x:c>
      <x:c r="G8515" s="13" t="str">
        <x:v>grid_cqzdsc3v.xlsx</x:v>
      </x:c>
    </x:row>
    <x:row r="8516">
      <x:c r="A8516" s="15" t="n">
        <x:v>44287</x:v>
      </x:c>
      <x:c r="B8516" s="13" t="str">
        <x:v>ITAUSA SA</x:v>
      </x:c>
      <x:c r="C8516" s="16" t="n">
        <x:v>9658.6094816438</x:v>
      </x:c>
      <x:c r="D8516" s="13" t="str">
        <x:v>Financials Non-Banks</x:v>
      </x:c>
      <x:c r="E8516" s="13" t="str">
        <x:v>Financials Non-Banks</x:v>
      </x:c>
      <x:c r="F8516" s="13" t="str">
        <x:v>Financials</x:v>
      </x:c>
      <x:c r="G8516" s="13" t="str">
        <x:v>grid_cqzdsc3v.xlsx</x:v>
      </x:c>
    </x:row>
    <x:row r="8517">
      <x:c r="A8517" s="15" t="n">
        <x:v>44287</x:v>
      </x:c>
      <x:c r="B8517" s="13" t="str">
        <x:v>AMBEV SA</x:v>
      </x:c>
      <x:c r="C8517" s="16" t="n">
        <x:v>10876.5138270685</x:v>
      </x:c>
      <x:c r="D8517" s="13" t="str">
        <x:v>Food &amp; Beverages</x:v>
      </x:c>
      <x:c r="E8517" s="13" t="str">
        <x:v>Agri, Food &amp; Beverages</x:v>
      </x:c>
      <x:c r="F8517" s="13" t="str">
        <x:v>Defensives</x:v>
      </x:c>
      <x:c r="G8517" s="13" t="str">
        <x:v>grid_cqzdsc3v.xlsx</x:v>
      </x:c>
    </x:row>
    <x:row r="8518">
      <x:c r="A8518" s="15" t="n">
        <x:v>44287</x:v>
      </x:c>
      <x:c r="B8518" s="13" t="str">
        <x:v>BRF SA</x:v>
      </x:c>
      <x:c r="C8518" s="16" t="n">
        <x:v>1115.1780611507</x:v>
      </x:c>
      <x:c r="D8518" s="13" t="str">
        <x:v>Food &amp; Beverages</x:v>
      </x:c>
      <x:c r="E8518" s="13" t="str">
        <x:v>Agri, Food &amp; Beverages</x:v>
      </x:c>
      <x:c r="F8518" s="13" t="str">
        <x:v>Defensives</x:v>
      </x:c>
      <x:c r="G8518" s="13" t="str">
        <x:v>grid_cqzdsc3v.xlsx</x:v>
      </x:c>
    </x:row>
    <x:row r="8519">
      <x:c r="A8519" s="15" t="n">
        <x:v>44287</x:v>
      </x:c>
      <x:c r="B8519" s="13" t="str">
        <x:v>JBS SA</x:v>
      </x:c>
      <x:c r="C8519" s="16" t="n">
        <x:v>10365.8914858082</x:v>
      </x:c>
      <x:c r="D8519" s="13" t="str">
        <x:v>Food &amp; Beverages</x:v>
      </x:c>
      <x:c r="E8519" s="13" t="str">
        <x:v>Agri, Food &amp; Beverages</x:v>
      </x:c>
      <x:c r="F8519" s="13" t="str">
        <x:v>Defensives</x:v>
      </x:c>
      <x:c r="G8519" s="13" t="str">
        <x:v>grid_cqzdsc3v.xlsx</x:v>
      </x:c>
    </x:row>
    <x:row r="8520">
      <x:c r="A8520" s="15" t="n">
        <x:v>44287</x:v>
      </x:c>
      <x:c r="B8520" s="13" t="str">
        <x:v>MBRF GLOBAL FOODS COMPANY SA</x:v>
      </x:c>
      <x:c r="C8520" s="16" t="n">
        <x:v>2030.4231346849</x:v>
      </x:c>
      <x:c r="D8520" s="13" t="str">
        <x:v>Food &amp; Beverages</x:v>
      </x:c>
      <x:c r="E8520" s="13" t="str">
        <x:v>Agri, Food &amp; Beverages</x:v>
      </x:c>
      <x:c r="F8520" s="13" t="str">
        <x:v>Defensives</x:v>
      </x:c>
      <x:c r="G8520" s="13" t="str">
        <x:v>grid_cqzdsc3v.xlsx</x:v>
      </x:c>
    </x:row>
    <x:row r="8521">
      <x:c r="A8521" s="15" t="n">
        <x:v>44287</x:v>
      </x:c>
      <x:c r="B8521" s="13" t="str">
        <x:v>MINERVA SA</x:v>
      </x:c>
      <x:c r="C8521" s="16" t="n">
        <x:v>669.8630084384</x:v>
      </x:c>
      <x:c r="D8521" s="13" t="str">
        <x:v>Food &amp; Beverages</x:v>
      </x:c>
      <x:c r="E8521" s="13" t="str">
        <x:v>Agri, Food &amp; Beverages</x:v>
      </x:c>
      <x:c r="F8521" s="13" t="str">
        <x:v>Defensives</x:v>
      </x:c>
      <x:c r="G8521" s="13" t="str">
        <x:v>grid_cqzdsc3v.xlsx</x:v>
      </x:c>
    </x:row>
    <x:row r="8522">
      <x:c r="A8522" s="15" t="n">
        <x:v>44287</x:v>
      </x:c>
      <x:c r="B8522" s="13" t="str">
        <x:v>FLEURY SA</x:v>
      </x:c>
      <x:c r="C8522" s="16" t="n">
        <x:v>363.4906384658</x:v>
      </x:c>
      <x:c r="D8522" s="13" t="str">
        <x:v>Health Care</x:v>
      </x:c>
      <x:c r="E8522" s="13" t="str">
        <x:v>Health Care</x:v>
      </x:c>
      <x:c r="F8522" s="13" t="str">
        <x:v>Defensives</x:v>
      </x:c>
      <x:c r="G8522" s="13" t="str">
        <x:v>grid_cqzdsc3v.xlsx</x:v>
      </x:c>
    </x:row>
    <x:row r="8523">
      <x:c r="A8523" s="15" t="n">
        <x:v>44287</x:v>
      </x:c>
      <x:c r="B8523" s="13" t="str">
        <x:v>HAPVIDA PARTICIPACOES E INVE</x:v>
      </x:c>
      <x:c r="C8523" s="16" t="n">
        <x:v>1211.5752784657</x:v>
      </x:c>
      <x:c r="D8523" s="13" t="str">
        <x:v>Health Care</x:v>
      </x:c>
      <x:c r="E8523" s="13" t="str">
        <x:v>Health Care</x:v>
      </x:c>
      <x:c r="F8523" s="13" t="str">
        <x:v>Defensives</x:v>
      </x:c>
      <x:c r="G8523" s="13" t="str">
        <x:v>grid_cqzdsc3v.xlsx</x:v>
      </x:c>
    </x:row>
    <x:row r="8524">
      <x:c r="A8524" s="15" t="n">
        <x:v>44287</x:v>
      </x:c>
      <x:c r="B8524" s="13" t="str">
        <x:v>HYPERA SA</x:v>
      </x:c>
      <x:c r="C8524" s="16" t="n">
        <x:v>1521.5492050411</x:v>
      </x:c>
      <x:c r="D8524" s="13" t="str">
        <x:v>Health Care</x:v>
      </x:c>
      <x:c r="E8524" s="13" t="str">
        <x:v>Health Care</x:v>
      </x:c>
      <x:c r="F8524" s="13" t="str">
        <x:v>Defensives</x:v>
      </x:c>
      <x:c r="G8524" s="13" t="str">
        <x:v>grid_cqzdsc3v.xlsx</x:v>
      </x:c>
    </x:row>
    <x:row r="8525">
      <x:c r="A8525" s="15" t="n">
        <x:v>44287</x:v>
      </x:c>
      <x:c r="B8525" s="13" t="str">
        <x:v>NOTRE DAME INTERMED PAR SA</x:v>
      </x:c>
      <x:c r="C8525" s="16" t="n">
        <x:v>1022.6712328767</x:v>
      </x:c>
      <x:c r="D8525" s="13" t="str">
        <x:v>Health Care</x:v>
      </x:c>
      <x:c r="E8525" s="13" t="str">
        <x:v>Health Care</x:v>
      </x:c>
      <x:c r="F8525" s="13" t="str">
        <x:v>Defensives</x:v>
      </x:c>
      <x:c r="G8525" s="13" t="str">
        <x:v>grid_cqzdsc3v.xlsx</x:v>
      </x:c>
    </x:row>
    <x:row r="8526">
      <x:c r="A8526" s="15" t="n">
        <x:v>44287</x:v>
      </x:c>
      <x:c r="B8526" s="13" t="str">
        <x:v>QUALICORP CONS E CORR SEG SA</x:v>
      </x:c>
      <x:c r="C8526" s="16" t="n">
        <x:v>597.6780607123</x:v>
      </x:c>
      <x:c r="D8526" s="13" t="str">
        <x:v>Health Care</x:v>
      </x:c>
      <x:c r="E8526" s="13" t="str">
        <x:v>Health Care</x:v>
      </x:c>
      <x:c r="F8526" s="13" t="str">
        <x:v>Defensives</x:v>
      </x:c>
      <x:c r="G8526" s="13" t="str">
        <x:v>grid_cqzdsc3v.xlsx</x:v>
      </x:c>
    </x:row>
    <x:row r="8527">
      <x:c r="A8527" s="15" t="n">
        <x:v>44287</x:v>
      </x:c>
      <x:c r="B8527" s="13" t="str">
        <x:v>SUL AMERICA SA - UNITS</x:v>
      </x:c>
      <x:c r="C8527" s="16" t="n">
        <x:v>899.7726027397</x:v>
      </x:c>
      <x:c r="D8527" s="13" t="str">
        <x:v>Health Care</x:v>
      </x:c>
      <x:c r="E8527" s="13" t="str">
        <x:v>Health Care</x:v>
      </x:c>
      <x:c r="F8527" s="13" t="str">
        <x:v>Defensives</x:v>
      </x:c>
      <x:c r="G8527" s="13" t="str">
        <x:v>grid_cqzdsc3v.xlsx</x:v>
      </x:c>
    </x:row>
    <x:row r="8528">
      <x:c r="A8528" s="15" t="n">
        <x:v>44287</x:v>
      </x:c>
      <x:c r="B8528" s="13" t="str">
        <x:v>CYRELA BRAZIL REALTY SA EMP</x:v>
      </x:c>
      <x:c r="C8528" s="16" t="n">
        <x:v>924.2431614247</x:v>
      </x:c>
      <x:c r="D8528" s="13" t="str">
        <x:v>Homebuilders</x:v>
      </x:c>
      <x:c r="E8528" s="13" t="str">
        <x:v>Real Estate</x:v>
      </x:c>
      <x:c r="F8528" s="13" t="str">
        <x:v>Early Cyclicals</x:v>
      </x:c>
      <x:c r="G8528" s="13" t="str">
        <x:v>grid_cqzdsc3v.xlsx</x:v>
      </x:c>
    </x:row>
    <x:row r="8529">
      <x:c r="A8529" s="15" t="n">
        <x:v>44287</x:v>
      </x:c>
      <x:c r="B8529" s="13" t="str">
        <x:v>EZ TEC EMPREENDIMENTOS E PAR</x:v>
      </x:c>
      <x:c r="C8529" s="16" t="n">
        <x:v>598.8301369863</x:v>
      </x:c>
      <x:c r="D8529" s="13" t="str">
        <x:v>Homebuilders</x:v>
      </x:c>
      <x:c r="E8529" s="13" t="str">
        <x:v>Real Estate</x:v>
      </x:c>
      <x:c r="F8529" s="13" t="str">
        <x:v>Early Cyclicals</x:v>
      </x:c>
      <x:c r="G8529" s="13" t="str">
        <x:v>grid_cqzdsc3v.xlsx</x:v>
      </x:c>
    </x:row>
    <x:row r="8530">
      <x:c r="A8530" s="15" t="n">
        <x:v>44287</x:v>
      </x:c>
      <x:c r="B8530" s="13" t="str">
        <x:v>MRV ENGENHARIA</x:v>
      </x:c>
      <x:c r="C8530" s="16" t="n">
        <x:v>836.6890625753</x:v>
      </x:c>
      <x:c r="D8530" s="13" t="str">
        <x:v>Homebuilders</x:v>
      </x:c>
      <x:c r="E8530" s="13" t="str">
        <x:v>Real Estate</x:v>
      </x:c>
      <x:c r="F8530" s="13" t="str">
        <x:v>Early Cyclicals</x:v>
      </x:c>
      <x:c r="G8530" s="13" t="str">
        <x:v>grid_cqzdsc3v.xlsx</x:v>
      </x:c>
    </x:row>
    <x:row r="8531">
      <x:c r="A8531" s="15" t="n">
        <x:v>44287</x:v>
      </x:c>
      <x:c r="B8531" s="13" t="str">
        <x:v>BR MALLS PARTICIPACOES SA</x:v>
      </x:c>
      <x:c r="C8531" s="16" t="n">
        <x:v>454.3286549041</x:v>
      </x:c>
      <x:c r="D8531" s="13" t="str">
        <x:v>Income Properties</x:v>
      </x:c>
      <x:c r="E8531" s="13" t="str">
        <x:v>Real Estate</x:v>
      </x:c>
      <x:c r="F8531" s="13" t="str">
        <x:v>Early Cyclicals</x:v>
      </x:c>
      <x:c r="G8531" s="13" t="str">
        <x:v>grid_cqzdsc3v.xlsx</x:v>
      </x:c>
    </x:row>
    <x:row r="8532">
      <x:c r="A8532" s="15" t="n">
        <x:v>44287</x:v>
      </x:c>
      <x:c r="B8532" s="13" t="str">
        <x:v>IGUATEMI EMP DE SHOPPING</x:v>
      </x:c>
      <x:c r="C8532" s="16" t="n">
        <x:v>199.6890410959</x:v>
      </x:c>
      <x:c r="D8532" s="13" t="str">
        <x:v>Income Properties</x:v>
      </x:c>
      <x:c r="E8532" s="13" t="str">
        <x:v>Real Estate</x:v>
      </x:c>
      <x:c r="F8532" s="13" t="str">
        <x:v>Early Cyclicals</x:v>
      </x:c>
      <x:c r="G8532" s="13" t="str">
        <x:v>grid_cqzdsc3v.xlsx</x:v>
      </x:c>
    </x:row>
    <x:row r="8533">
      <x:c r="A8533" s="15" t="n">
        <x:v>44287</x:v>
      </x:c>
      <x:c r="B8533" s="13" t="str">
        <x:v>JHSF PARTICIPACOES SA</x:v>
      </x:c>
      <x:c r="C8533" s="16" t="n">
        <x:v>321.5479452055</x:v>
      </x:c>
      <x:c r="D8533" s="13" t="str">
        <x:v>Income Properties</x:v>
      </x:c>
      <x:c r="E8533" s="13" t="str">
        <x:v>Real Estate</x:v>
      </x:c>
      <x:c r="F8533" s="13" t="str">
        <x:v>Early Cyclicals</x:v>
      </x:c>
      <x:c r="G8533" s="13" t="str">
        <x:v>grid_cqzdsc3v.xlsx</x:v>
      </x:c>
    </x:row>
    <x:row r="8534">
      <x:c r="A8534" s="15" t="n">
        <x:v>44287</x:v>
      </x:c>
      <x:c r="B8534" s="13" t="str">
        <x:v>MULTIPLAN EMPREENDIMENTOS</x:v>
      </x:c>
      <x:c r="C8534" s="16" t="n">
        <x:v>436.4739726027</x:v>
      </x:c>
      <x:c r="D8534" s="13" t="str">
        <x:v>Income Properties</x:v>
      </x:c>
      <x:c r="E8534" s="13" t="str">
        <x:v>Real Estate</x:v>
      </x:c>
      <x:c r="F8534" s="13" t="str">
        <x:v>Early Cyclicals</x:v>
      </x:c>
      <x:c r="G8534" s="13" t="str">
        <x:v>grid_cqzdsc3v.xlsx</x:v>
      </x:c>
    </x:row>
    <x:row r="8535">
      <x:c r="A8535" s="15" t="n">
        <x:v>44287</x:v>
      </x:c>
      <x:c r="B8535" s="13" t="str">
        <x:v>CIA SIDERURGICA NACIONAL SA</x:v>
      </x:c>
      <x:c r="C8535" s="16" t="n">
        <x:v>10673.2273972603</x:v>
      </x:c>
      <x:c r="D8535" s="13" t="str">
        <x:v>Metals &amp; Mining</x:v>
      </x:c>
      <x:c r="E8535" s="13" t="str">
        <x:v>Metals &amp; Mining</x:v>
      </x:c>
      <x:c r="F8535" s="13" t="str">
        <x:v>Deep Cyclicals</x:v>
      </x:c>
      <x:c r="G8535" s="13" t="str">
        <x:v>grid_cqzdsc3v.xlsx</x:v>
      </x:c>
    </x:row>
    <x:row r="8536">
      <x:c r="A8536" s="15" t="n">
        <x:v>44287</x:v>
      </x:c>
      <x:c r="B8536" s="13" t="str">
        <x:v>GERDAU SA-PREF</x:v>
      </x:c>
      <x:c r="C8536" s="16" t="n">
        <x:v>5357.4630680548</x:v>
      </x:c>
      <x:c r="D8536" s="13" t="str">
        <x:v>Metals &amp; Mining</x:v>
      </x:c>
      <x:c r="E8536" s="13" t="str">
        <x:v>Metals &amp; Mining</x:v>
      </x:c>
      <x:c r="F8536" s="13" t="str">
        <x:v>Deep Cyclicals</x:v>
      </x:c>
      <x:c r="G8536" s="13" t="str">
        <x:v>grid_cqzdsc3v.xlsx</x:v>
      </x:c>
    </x:row>
    <x:row r="8537">
      <x:c r="A8537" s="15" t="n">
        <x:v>44287</x:v>
      </x:c>
      <x:c r="B8537" s="13" t="str">
        <x:v>METALURGICA GERDAU SA-PREF</x:v>
      </x:c>
      <x:c r="C8537" s="16" t="n">
        <x:v>2083.0411818082</x:v>
      </x:c>
      <x:c r="D8537" s="13" t="str">
        <x:v>Metals &amp; Mining</x:v>
      </x:c>
      <x:c r="E8537" s="13" t="str">
        <x:v>Metals &amp; Mining</x:v>
      </x:c>
      <x:c r="F8537" s="13" t="str">
        <x:v>Deep Cyclicals</x:v>
      </x:c>
      <x:c r="G8537" s="13" t="str">
        <x:v>grid_cqzdsc3v.xlsx</x:v>
      </x:c>
    </x:row>
    <x:row r="8538">
      <x:c r="A8538" s="15" t="n">
        <x:v>44287</x:v>
      </x:c>
      <x:c r="B8538" s="13" t="str">
        <x:v>USINAS SIDER MINAS GER-PF A</x:v>
      </x:c>
      <x:c r="C8538" s="16" t="n">
        <x:v>3782.2414027397</x:v>
      </x:c>
      <x:c r="D8538" s="13" t="str">
        <x:v>Metals &amp; Mining</x:v>
      </x:c>
      <x:c r="E8538" s="13" t="str">
        <x:v>Metals &amp; Mining</x:v>
      </x:c>
      <x:c r="F8538" s="13" t="str">
        <x:v>Deep Cyclicals</x:v>
      </x:c>
      <x:c r="G8538" s="13" t="str">
        <x:v>grid_cqzdsc3v.xlsx</x:v>
      </x:c>
    </x:row>
    <x:row r="8539">
      <x:c r="A8539" s="15" t="n">
        <x:v>44287</x:v>
      </x:c>
      <x:c r="B8539" s="13" t="str">
        <x:v>VALE SA</x:v>
      </x:c>
      <x:c r="C8539" s="16" t="n">
        <x:v>115693.161991014</x:v>
      </x:c>
      <x:c r="D8539" s="13" t="str">
        <x:v>Metals &amp; Mining</x:v>
      </x:c>
      <x:c r="E8539" s="13" t="str">
        <x:v>Metals &amp; Mining</x:v>
      </x:c>
      <x:c r="F8539" s="13" t="str">
        <x:v>Deep Cyclicals</x:v>
      </x:c>
      <x:c r="G8539" s="13" t="str">
        <x:v>grid_cqzdsc3v.xlsx</x:v>
      </x:c>
    </x:row>
    <x:row r="8540">
      <x:c r="A8540" s="15" t="n">
        <x:v>44287</x:v>
      </x:c>
      <x:c r="B8540" s="13" t="str">
        <x:v>BRASKEM SA-PREF A</x:v>
      </x:c>
      <x:c r="C8540" s="16" t="n">
        <x:v>8059.2819410411</x:v>
      </x:c>
      <x:c r="D8540" s="13" t="str">
        <x:v>Oil, Gas &amp; Petrochemicals</x:v>
      </x:c>
      <x:c r="E8540" s="13" t="str">
        <x:v>Oil, Gas &amp; Petrochemicals</x:v>
      </x:c>
      <x:c r="F8540" s="13" t="str">
        <x:v>Deep Cyclicals</x:v>
      </x:c>
      <x:c r="G8540" s="13" t="str">
        <x:v>grid_cqzdsc3v.xlsx</x:v>
      </x:c>
    </x:row>
    <x:row r="8541">
      <x:c r="A8541" s="15" t="n">
        <x:v>44287</x:v>
      </x:c>
      <x:c r="B8541" s="13" t="str">
        <x:v>COSAN SA</x:v>
      </x:c>
      <x:c r="C8541" s="16" t="n">
        <x:v>2168.7561854247</x:v>
      </x:c>
      <x:c r="D8541" s="13" t="str">
        <x:v>Oil, Gas &amp; Petrochemicals</x:v>
      </x:c>
      <x:c r="E8541" s="13" t="str">
        <x:v>Oil, Gas &amp; Petrochemicals</x:v>
      </x:c>
      <x:c r="F8541" s="13" t="str">
        <x:v>Deep Cyclicals</x:v>
      </x:c>
      <x:c r="G8541" s="13" t="str">
        <x:v>grid_cqzdsc3v.xlsx</x:v>
      </x:c>
    </x:row>
    <x:row r="8542">
      <x:c r="A8542" s="15" t="n">
        <x:v>44287</x:v>
      </x:c>
      <x:c r="B8542" s="13" t="str">
        <x:v>PETROBRAS - PETROLEO BRAS</x:v>
      </x:c>
      <x:c r="C8542" s="16" t="n">
        <x:v>59894.081676274</x:v>
      </x:c>
      <x:c r="D8542" s="13" t="str">
        <x:v>Oil, Gas &amp; Petrochemicals</x:v>
      </x:c>
      <x:c r="E8542" s="13" t="str">
        <x:v>Oil, Gas &amp; Petrochemicals</x:v>
      </x:c>
      <x:c r="F8542" s="13" t="str">
        <x:v>Deep Cyclicals</x:v>
      </x:c>
      <x:c r="G8542" s="13" t="str">
        <x:v>grid_cqzdsc3v.xlsx</x:v>
      </x:c>
    </x:row>
    <x:row r="8543">
      <x:c r="A8543" s="15" t="n">
        <x:v>44287</x:v>
      </x:c>
      <x:c r="B8543" s="13" t="str">
        <x:v>PRIO SA</x:v>
      </x:c>
      <x:c r="C8543" s="16" t="n">
        <x:v>1380.1290783562</x:v>
      </x:c>
      <x:c r="D8543" s="13" t="str">
        <x:v>Oil, Gas &amp; Petrochemicals</x:v>
      </x:c>
      <x:c r="E8543" s="13" t="str">
        <x:v>Oil, Gas &amp; Petrochemicals</x:v>
      </x:c>
      <x:c r="F8543" s="13" t="str">
        <x:v>Deep Cyclicals</x:v>
      </x:c>
      <x:c r="G8543" s="13" t="str">
        <x:v>grid_cqzdsc3v.xlsx</x:v>
      </x:c>
    </x:row>
    <x:row r="8544">
      <x:c r="A8544" s="15" t="n">
        <x:v>44287</x:v>
      </x:c>
      <x:c r="B8544" s="13" t="str">
        <x:v>ULTRAPAR PARTICIPACOES SA</x:v>
      </x:c>
      <x:c r="C8544" s="16" t="n">
        <x:v>1354.9298358356</x:v>
      </x:c>
      <x:c r="D8544" s="13" t="str">
        <x:v>Oil, Gas &amp; Petrochemicals</x:v>
      </x:c>
      <x:c r="E8544" s="13" t="str">
        <x:v>Oil, Gas &amp; Petrochemicals</x:v>
      </x:c>
      <x:c r="F8544" s="13" t="str">
        <x:v>Deep Cyclicals</x:v>
      </x:c>
      <x:c r="G8544" s="13" t="str">
        <x:v>grid_cqzdsc3v.xlsx</x:v>
      </x:c>
    </x:row>
    <x:row r="8545">
      <x:c r="A8545" s="15" t="n">
        <x:v>44287</x:v>
      </x:c>
      <x:c r="B8545" s="13" t="str">
        <x:v>VIBRA ENERGIA SA</x:v>
      </x:c>
      <x:c r="C8545" s="16" t="n">
        <x:v>1761.8612006575</x:v>
      </x:c>
      <x:c r="D8545" s="13" t="str">
        <x:v>Oil, Gas &amp; Petrochemicals</x:v>
      </x:c>
      <x:c r="E8545" s="13" t="str">
        <x:v>Oil, Gas &amp; Petrochemicals</x:v>
      </x:c>
      <x:c r="F8545" s="13" t="str">
        <x:v>Deep Cyclicals</x:v>
      </x:c>
      <x:c r="G8545" s="13" t="str">
        <x:v>grid_cqzdsc3v.xlsx</x:v>
      </x:c>
    </x:row>
    <x:row r="8546">
      <x:c r="A8546" s="15" t="n">
        <x:v>44287</x:v>
      </x:c>
      <x:c r="B8546" s="13" t="str">
        <x:v>KLABIN SA - UNIT</x:v>
      </x:c>
      <x:c r="C8546" s="16" t="n">
        <x:v>2907.7910128219</x:v>
      </x:c>
      <x:c r="D8546" s="13" t="str">
        <x:v>Pulp &amp; Paper</x:v>
      </x:c>
      <x:c r="E8546" s="13" t="str">
        <x:v>Pulp &amp; Paper</x:v>
      </x:c>
      <x:c r="F8546" s="13" t="str">
        <x:v>Deep Cyclicals</x:v>
      </x:c>
      <x:c r="G8546" s="13" t="str">
        <x:v>grid_cqzdsc3v.xlsx</x:v>
      </x:c>
    </x:row>
    <x:row r="8547">
      <x:c r="A8547" s="15" t="n">
        <x:v>44287</x:v>
      </x:c>
      <x:c r="B8547" s="13" t="str">
        <x:v>SUZANO SA</x:v>
      </x:c>
      <x:c r="C8547" s="16" t="n">
        <x:v>11000.1119596712</x:v>
      </x:c>
      <x:c r="D8547" s="13" t="str">
        <x:v>Pulp &amp; Paper</x:v>
      </x:c>
      <x:c r="E8547" s="13" t="str">
        <x:v>Pulp &amp; Paper</x:v>
      </x:c>
      <x:c r="F8547" s="13" t="str">
        <x:v>Deep Cyclicals</x:v>
      </x:c>
      <x:c r="G8547" s="13" t="str">
        <x:v>grid_cqzdsc3v.xlsx</x:v>
      </x:c>
    </x:row>
    <x:row r="8548">
      <x:c r="A8548" s="15" t="n">
        <x:v>44287</x:v>
      </x:c>
      <x:c r="B8548" s="13" t="str">
        <x:v>AMERICANAS SA</x:v>
      </x:c>
      <x:c r="C8548" s="16" t="n">
        <x:v>-190.1787861918</x:v>
      </x:c>
      <x:c r="D8548" s="13" t="str">
        <x:v>Retail</x:v>
      </x:c>
      <x:c r="E8548" s="13" t="str">
        <x:v>Retail</x:v>
      </x:c>
      <x:c r="F8548" s="13" t="str">
        <x:v>Early Cyclicals</x:v>
      </x:c>
      <x:c r="G8548" s="13" t="str">
        <x:v>grid_cqzdsc3v.xlsx</x:v>
      </x:c>
    </x:row>
    <x:row r="8549">
      <x:c r="A8549" s="15" t="n">
        <x:v>44287</x:v>
      </x:c>
      <x:c r="B8549" s="13" t="str">
        <x:v>ATACADAO SA</x:v>
      </x:c>
      <x:c r="C8549" s="16" t="n">
        <x:v>2605.0838794521</x:v>
      </x:c>
      <x:c r="D8549" s="13" t="str">
        <x:v>Retail</x:v>
      </x:c>
      <x:c r="E8549" s="13" t="str">
        <x:v>Retail</x:v>
      </x:c>
      <x:c r="F8549" s="13" t="str">
        <x:v>Early Cyclicals</x:v>
      </x:c>
      <x:c r="G8549" s="13" t="str">
        <x:v>grid_cqzdsc3v.xlsx</x:v>
      </x:c>
    </x:row>
    <x:row r="8550">
      <x:c r="A8550" s="15" t="n">
        <x:v>44287</x:v>
      </x:c>
      <x:c r="B8550" s="13" t="str">
        <x:v>CIA BRASILEIRA DE DISTRIBUIC</x:v>
      </x:c>
      <x:c r="C8550" s="16" t="n">
        <x:v>414.5890410959</x:v>
      </x:c>
      <x:c r="D8550" s="13" t="str">
        <x:v>Retail</x:v>
      </x:c>
      <x:c r="E8550" s="13" t="str">
        <x:v>Retail</x:v>
      </x:c>
      <x:c r="F8550" s="13" t="str">
        <x:v>Early Cyclicals</x:v>
      </x:c>
      <x:c r="G8550" s="13" t="str">
        <x:v>grid_cqzdsc3v.xlsx</x:v>
      </x:c>
    </x:row>
    <x:row r="8551">
      <x:c r="A8551" s="15" t="n">
        <x:v>44287</x:v>
      </x:c>
      <x:c r="B8551" s="13" t="str">
        <x:v>CIA HERING</x:v>
      </x:c>
      <x:c r="C8551" s="16" t="n">
        <x:v>177.7602739726</x:v>
      </x:c>
      <x:c r="D8551" s="13" t="str">
        <x:v>Retail</x:v>
      </x:c>
      <x:c r="E8551" s="13" t="str">
        <x:v>Retail</x:v>
      </x:c>
      <x:c r="F8551" s="13" t="str">
        <x:v>Early Cyclicals</x:v>
      </x:c>
      <x:c r="G8551" s="13" t="str">
        <x:v>grid_cqzdsc3v.xlsx</x:v>
      </x:c>
    </x:row>
    <x:row r="8552">
      <x:c r="A8552" s="15" t="n">
        <x:v>44287</x:v>
      </x:c>
      <x:c r="B8552" s="13" t="str">
        <x:v>GRUPO CASAS BAHIA SA</x:v>
      </x:c>
      <x:c r="C8552" s="16" t="n">
        <x:v>688.6670939178</x:v>
      </x:c>
      <x:c r="D8552" s="13" t="str">
        <x:v>Retail</x:v>
      </x:c>
      <x:c r="E8552" s="13" t="str">
        <x:v>Retail</x:v>
      </x:c>
      <x:c r="F8552" s="13" t="str">
        <x:v>Early Cyclicals</x:v>
      </x:c>
      <x:c r="G8552" s="13" t="str">
        <x:v>grid_cqzdsc3v.xlsx</x:v>
      </x:c>
    </x:row>
    <x:row r="8553">
      <x:c r="A8553" s="15" t="n">
        <x:v>44287</x:v>
      </x:c>
      <x:c r="B8553" s="13" t="str">
        <x:v>LOJAS AMERICANAS SA-PREF</x:v>
      </x:c>
      <x:c r="C8553" s="16" t="n">
        <x:v>927.2421277808</x:v>
      </x:c>
      <x:c r="D8553" s="13" t="str">
        <x:v>Retail</x:v>
      </x:c>
      <x:c r="E8553" s="13" t="str">
        <x:v>Retail</x:v>
      </x:c>
      <x:c r="F8553" s="13" t="str">
        <x:v>Early Cyclicals</x:v>
      </x:c>
      <x:c r="G8553" s="13" t="str">
        <x:v>grid_cqzdsc3v.xlsx</x:v>
      </x:c>
    </x:row>
    <x:row r="8554">
      <x:c r="A8554" s="15" t="n">
        <x:v>44287</x:v>
      </x:c>
      <x:c r="B8554" s="13" t="str">
        <x:v>LOJAS RENNER S.A.</x:v>
      </x:c>
      <x:c r="C8554" s="16" t="n">
        <x:v>1222.0683344658</x:v>
      </x:c>
      <x:c r="D8554" s="13" t="str">
        <x:v>Retail</x:v>
      </x:c>
      <x:c r="E8554" s="13" t="str">
        <x:v>Retail</x:v>
      </x:c>
      <x:c r="F8554" s="13" t="str">
        <x:v>Early Cyclicals</x:v>
      </x:c>
      <x:c r="G8554" s="13" t="str">
        <x:v>grid_cqzdsc3v.xlsx</x:v>
      </x:c>
    </x:row>
    <x:row r="8555">
      <x:c r="A8555" s="15" t="n">
        <x:v>44287</x:v>
      </x:c>
      <x:c r="B8555" s="13" t="str">
        <x:v>MAGAZINE LUIZA SA</x:v>
      </x:c>
      <x:c r="C8555" s="16" t="n">
        <x:v>829.745216</x:v>
      </x:c>
      <x:c r="D8555" s="13" t="str">
        <x:v>Retail</x:v>
      </x:c>
      <x:c r="E8555" s="13" t="str">
        <x:v>Retail</x:v>
      </x:c>
      <x:c r="F8555" s="13" t="str">
        <x:v>Early Cyclicals</x:v>
      </x:c>
      <x:c r="G8555" s="13" t="str">
        <x:v>grid_cqzdsc3v.xlsx</x:v>
      </x:c>
    </x:row>
    <x:row r="8556">
      <x:c r="A8556" s="15" t="n">
        <x:v>44287</x:v>
      </x:c>
      <x:c r="B8556" s="13" t="str">
        <x:v>NATURA &amp;CO HOLDING SA</x:v>
      </x:c>
      <x:c r="C8556" s="16" t="n">
        <x:v>1239.2764756164</x:v>
      </x:c>
      <x:c r="D8556" s="13" t="str">
        <x:v>Retail</x:v>
      </x:c>
      <x:c r="E8556" s="13" t="str">
        <x:v>Retail</x:v>
      </x:c>
      <x:c r="F8556" s="13" t="str">
        <x:v>Early Cyclicals</x:v>
      </x:c>
      <x:c r="G8556" s="13" t="str">
        <x:v>grid_cqzdsc3v.xlsx</x:v>
      </x:c>
    </x:row>
    <x:row r="8557">
      <x:c r="A8557" s="15" t="n">
        <x:v>44287</x:v>
      </x:c>
      <x:c r="B8557" s="13" t="str">
        <x:v>RAIA DROGASIL SA</x:v>
      </x:c>
      <x:c r="C8557" s="16" t="n">
        <x:v>941.3479241644</x:v>
      </x:c>
      <x:c r="D8557" s="13" t="str">
        <x:v>Retail</x:v>
      </x:c>
      <x:c r="E8557" s="13" t="str">
        <x:v>Retail</x:v>
      </x:c>
      <x:c r="F8557" s="13" t="str">
        <x:v>Early Cyclicals</x:v>
      </x:c>
      <x:c r="G8557" s="13" t="str">
        <x:v>grid_cqzdsc3v.xlsx</x:v>
      </x:c>
    </x:row>
    <x:row r="8558">
      <x:c r="A8558" s="15" t="n">
        <x:v>44287</x:v>
      </x:c>
      <x:c r="B8558" s="13" t="str">
        <x:v>SENDAS DISTRIBUIDORA SA</x:v>
      </x:c>
      <x:c r="C8558" s="16" t="n">
        <x:v>1279.5308484384</x:v>
      </x:c>
      <x:c r="D8558" s="13" t="str">
        <x:v>Retail</x:v>
      </x:c>
      <x:c r="E8558" s="13" t="str">
        <x:v>Retail</x:v>
      </x:c>
      <x:c r="F8558" s="13" t="str">
        <x:v>Early Cyclicals</x:v>
      </x:c>
      <x:c r="G8558" s="13" t="str">
        <x:v>grid_cqzdsc3v.xlsx</x:v>
      </x:c>
    </x:row>
    <x:row r="8559">
      <x:c r="A8559" s="15" t="n">
        <x:v>44287</x:v>
      </x:c>
      <x:c r="B8559" s="13" t="str">
        <x:v>CIA SANEAMENTO BASICO DE SP</x:v>
      </x:c>
      <x:c r="C8559" s="16" t="n">
        <x:v>3357.376813589</x:v>
      </x:c>
      <x:c r="D8559" s="13" t="str">
        <x:v>Sanitation</x:v>
      </x:c>
      <x:c r="E8559" s="13" t="str">
        <x:v>Utilities</x:v>
      </x:c>
      <x:c r="F8559" s="13" t="str">
        <x:v>Defensives</x:v>
      </x:c>
      <x:c r="G8559" s="13" t="str">
        <x:v>grid_cqzdsc3v.xlsx</x:v>
      </x:c>
    </x:row>
    <x:row r="8560">
      <x:c r="A8560" s="15" t="n">
        <x:v>44287</x:v>
      </x:c>
      <x:c r="B8560" s="13" t="str">
        <x:v>TIM SA</x:v>
      </x:c>
      <x:c r="C8560" s="16" t="n">
        <x:v>2443.6739506849</x:v>
      </x:c>
      <x:c r="D8560" s="13" t="str">
        <x:v>TMT</x:v>
      </x:c>
      <x:c r="E8560" s="13" t="str">
        <x:v>TMT</x:v>
      </x:c>
      <x:c r="F8560" s="13" t="str">
        <x:v>Early Cyclicals</x:v>
      </x:c>
      <x:c r="G8560" s="13" t="str">
        <x:v>grid_cqzdsc3v.xlsx</x:v>
      </x:c>
    </x:row>
    <x:row r="8561">
      <x:c r="A8561" s="15" t="n">
        <x:v>44287</x:v>
      </x:c>
      <x:c r="B8561" s="13" t="str">
        <x:v>TOTVS SA</x:v>
      </x:c>
      <x:c r="C8561" s="16" t="n">
        <x:v>427.1506849315</x:v>
      </x:c>
      <x:c r="D8561" s="13" t="str">
        <x:v>TMT</x:v>
      </x:c>
      <x:c r="E8561" s="13" t="str">
        <x:v>TMT</x:v>
      </x:c>
      <x:c r="F8561" s="13" t="str">
        <x:v>Early Cyclicals</x:v>
      </x:c>
      <x:c r="G8561" s="13" t="str">
        <x:v>grid_cqzdsc3v.xlsx</x:v>
      </x:c>
    </x:row>
    <x:row r="8562">
      <x:c r="A8562" s="15" t="n">
        <x:v>44287</x:v>
      </x:c>
      <x:c r="B8562" s="13" t="str">
        <x:v>AZUL SA</x:v>
      </x:c>
      <x:c r="C8562" s="16" t="n">
        <x:v>-1427.4559018082</x:v>
      </x:c>
      <x:c r="D8562" s="13" t="str">
        <x:v>Transportation</x:v>
      </x:c>
      <x:c r="E8562" s="13" t="str">
        <x:v>Transportation</x:v>
      </x:c>
      <x:c r="F8562" s="13" t="str">
        <x:v>Deep Cyclicals</x:v>
      </x:c>
      <x:c r="G8562" s="13" t="str">
        <x:v>grid_cqzdsc3v.xlsx</x:v>
      </x:c>
    </x:row>
    <x:row r="8563">
      <x:c r="A8563" s="15" t="n">
        <x:v>44287</x:v>
      </x:c>
      <x:c r="B8563" s="13" t="str">
        <x:v>CIA DE LOCACAO DAS AMERICAS</x:v>
      </x:c>
      <x:c r="C8563" s="16" t="n">
        <x:v>800.0718965479</x:v>
      </x:c>
      <x:c r="D8563" s="13" t="str">
        <x:v>Transportation</x:v>
      </x:c>
      <x:c r="E8563" s="13" t="str">
        <x:v>Transportation</x:v>
      </x:c>
      <x:c r="F8563" s="13" t="str">
        <x:v>Deep Cyclicals</x:v>
      </x:c>
      <x:c r="G8563" s="13" t="str">
        <x:v>grid_cqzdsc3v.xlsx</x:v>
      </x:c>
    </x:row>
    <x:row r="8564">
      <x:c r="A8564" s="15" t="n">
        <x:v>44287</x:v>
      </x:c>
      <x:c r="B8564" s="13" t="str">
        <x:v>ECORODOVIAS INFRA E LOG SA</x:v>
      </x:c>
      <x:c r="C8564" s="16" t="n">
        <x:v>345.1042739726</x:v>
      </x:c>
      <x:c r="D8564" s="13" t="str">
        <x:v>Transportation</x:v>
      </x:c>
      <x:c r="E8564" s="13" t="str">
        <x:v>Transportation</x:v>
      </x:c>
      <x:c r="F8564" s="13" t="str">
        <x:v>Deep Cyclicals</x:v>
      </x:c>
      <x:c r="G8564" s="13" t="str">
        <x:v>grid_cqzdsc3v.xlsx</x:v>
      </x:c>
    </x:row>
    <x:row r="8565">
      <x:c r="A8565" s="15" t="n">
        <x:v>44287</x:v>
      </x:c>
      <x:c r="B8565" s="13" t="str">
        <x:v>GOL LINHAS AEREAS INT SA-PRE</x:v>
      </x:c>
      <x:c r="C8565" s="16" t="n">
        <x:v>-1139.4656666301</x:v>
      </x:c>
      <x:c r="D8565" s="13" t="str">
        <x:v>Transportation</x:v>
      </x:c>
      <x:c r="E8565" s="13" t="str">
        <x:v>Transportation</x:v>
      </x:c>
      <x:c r="F8565" s="13" t="str">
        <x:v>Deep Cyclicals</x:v>
      </x:c>
      <x:c r="G8565" s="13" t="str">
        <x:v>grid_cqzdsc3v.xlsx</x:v>
      </x:c>
    </x:row>
    <x:row r="8566">
      <x:c r="A8566" s="15" t="n">
        <x:v>44287</x:v>
      </x:c>
      <x:c r="B8566" s="13" t="str">
        <x:v>LOCALIZA RENT A CAR</x:v>
      </x:c>
      <x:c r="C8566" s="16" t="n">
        <x:v>1630.8483506849</x:v>
      </x:c>
      <x:c r="D8566" s="13" t="str">
        <x:v>Transportation</x:v>
      </x:c>
      <x:c r="E8566" s="13" t="str">
        <x:v>Transportation</x:v>
      </x:c>
      <x:c r="F8566" s="13" t="str">
        <x:v>Deep Cyclicals</x:v>
      </x:c>
      <x:c r="G8566" s="13" t="str">
        <x:v>grid_cqzdsc3v.xlsx</x:v>
      </x:c>
    </x:row>
    <x:row r="8567">
      <x:c r="A8567" s="15" t="n">
        <x:v>44287</x:v>
      </x:c>
      <x:c r="B8567" s="13" t="str">
        <x:v>MOTIVA INFRAESTRUTURA DE MOB</x:v>
      </x:c>
      <x:c r="C8567" s="16" t="n">
        <x:v>1104.2222220274</x:v>
      </x:c>
      <x:c r="D8567" s="13" t="str">
        <x:v>Transportation</x:v>
      </x:c>
      <x:c r="E8567" s="13" t="str">
        <x:v>Transportation</x:v>
      </x:c>
      <x:c r="F8567" s="13" t="str">
        <x:v>Deep Cyclicals</x:v>
      </x:c>
      <x:c r="G8567" s="13" t="str">
        <x:v>grid_cqzdsc3v.xlsx</x:v>
      </x:c>
    </x:row>
    <x:row r="8568">
      <x:c r="A8568" s="15" t="n">
        <x:v>44287</x:v>
      </x:c>
      <x:c r="B8568" s="13" t="str">
        <x:v>RUMO SA</x:v>
      </x:c>
      <x:c r="C8568" s="16" t="n">
        <x:v>1079.2791566027</x:v>
      </x:c>
      <x:c r="D8568" s="13" t="str">
        <x:v>Transportation</x:v>
      </x:c>
      <x:c r="E8568" s="13" t="str">
        <x:v>Transportation</x:v>
      </x:c>
      <x:c r="F8568" s="13" t="str">
        <x:v>Deep Cyclicals</x:v>
      </x:c>
      <x:c r="G8568" s="13" t="str">
        <x:v>grid_cqzdsc3v.xlsx</x:v>
      </x:c>
    </x:row>
    <x:row r="8569">
      <x:c r="A8569" s="15" t="n">
        <x:v>44287</x:v>
      </x:c>
      <x:c r="B8569" s="13" t="str">
        <x:v>AXIA ENERGIA SA</x:v>
      </x:c>
      <x:c r="C8569" s="16" t="n">
        <x:v>7798.8275340274</x:v>
      </x:c>
      <x:c r="D8569" s="13" t="str">
        <x:v>Utilities &amp; Energy</x:v>
      </x:c>
      <x:c r="E8569" s="13" t="str">
        <x:v>Utilities</x:v>
      </x:c>
      <x:c r="F8569" s="13" t="str">
        <x:v>Defensives</x:v>
      </x:c>
      <x:c r="G8569" s="13" t="str">
        <x:v>grid_cqzdsc3v.xlsx</x:v>
      </x:c>
    </x:row>
    <x:row r="8570">
      <x:c r="A8570" s="15" t="n">
        <x:v>44287</x:v>
      </x:c>
      <x:c r="B8570" s="13" t="str">
        <x:v>AXIA ENERGIA-PR B</x:v>
      </x:c>
      <x:c r="C8570" s="16" t="n">
        <x:v>7798.8275340274</x:v>
      </x:c>
      <x:c r="D8570" s="13" t="str">
        <x:v>Utilities &amp; Energy</x:v>
      </x:c>
      <x:c r="E8570" s="13" t="str">
        <x:v>Utilities</x:v>
      </x:c>
      <x:c r="F8570" s="13" t="str">
        <x:v>Defensives</x:v>
      </x:c>
      <x:c r="G8570" s="13" t="str">
        <x:v>grid_cqzdsc3v.xlsx</x:v>
      </x:c>
    </x:row>
    <x:row r="8571">
      <x:c r="A8571" s="15" t="n">
        <x:v>44287</x:v>
      </x:c>
      <x:c r="B8571" s="13" t="str">
        <x:v>CIA ENERGETICA MINAS GER-PRF</x:v>
      </x:c>
      <x:c r="C8571" s="16" t="n">
        <x:v>2866.4839609863</x:v>
      </x:c>
      <x:c r="D8571" s="13" t="str">
        <x:v>Utilities &amp; Energy</x:v>
      </x:c>
      <x:c r="E8571" s="13" t="str">
        <x:v>Utilities</x:v>
      </x:c>
      <x:c r="F8571" s="13" t="str">
        <x:v>Defensives</x:v>
      </x:c>
      <x:c r="G8571" s="13" t="str">
        <x:v>grid_cqzdsc3v.xlsx</x:v>
      </x:c>
    </x:row>
    <x:row r="8572">
      <x:c r="A8572" s="15" t="n">
        <x:v>44287</x:v>
      </x:c>
      <x:c r="B8572" s="13" t="str">
        <x:v>COMPANHIA PARANAENSE -PREF B</x:v>
      </x:c>
      <x:c r="C8572" s="16" t="n">
        <x:v>3020.0485558356</x:v>
      </x:c>
      <x:c r="D8572" s="13" t="str">
        <x:v>Utilities &amp; Energy</x:v>
      </x:c>
      <x:c r="E8572" s="13" t="str">
        <x:v>Utilities</x:v>
      </x:c>
      <x:c r="F8572" s="13" t="str">
        <x:v>Defensives</x:v>
      </x:c>
      <x:c r="G8572" s="13" t="str">
        <x:v>grid_cqzdsc3v.xlsx</x:v>
      </x:c>
    </x:row>
    <x:row r="8573">
      <x:c r="A8573" s="15" t="n">
        <x:v>44287</x:v>
      </x:c>
      <x:c r="B8573" s="13" t="str">
        <x:v>CPFL ENERGIA SA</x:v>
      </x:c>
      <x:c r="C8573" s="16" t="n">
        <x:v>3529.0177437808</x:v>
      </x:c>
      <x:c r="D8573" s="13" t="str">
        <x:v>Utilities &amp; Energy</x:v>
      </x:c>
      <x:c r="E8573" s="13" t="str">
        <x:v>Utilities</x:v>
      </x:c>
      <x:c r="F8573" s="13" t="str">
        <x:v>Defensives</x:v>
      </x:c>
      <x:c r="G8573" s="13" t="str">
        <x:v>grid_cqzdsc3v.xlsx</x:v>
      </x:c>
    </x:row>
    <x:row r="8574">
      <x:c r="A8574" s="15" t="n">
        <x:v>44287</x:v>
      </x:c>
      <x:c r="B8574" s="13" t="str">
        <x:v>EDP - ENERGIAS DO BRASIL SA</x:v>
      </x:c>
      <x:c r="C8574" s="16" t="n">
        <x:v>1375.8849315069</x:v>
      </x:c>
      <x:c r="D8574" s="13" t="str">
        <x:v>Utilities &amp; Energy</x:v>
      </x:c>
      <x:c r="E8574" s="13" t="str">
        <x:v>Utilities</x:v>
      </x:c>
      <x:c r="F8574" s="13" t="str">
        <x:v>Defensives</x:v>
      </x:c>
      <x:c r="G8574" s="13" t="str">
        <x:v>grid_cqzdsc3v.xlsx</x:v>
      </x:c>
    </x:row>
    <x:row r="8575">
      <x:c r="A8575" s="15" t="n">
        <x:v>44287</x:v>
      </x:c>
      <x:c r="B8575" s="13" t="str">
        <x:v>ENERGISA SA-UNITS</x:v>
      </x:c>
      <x:c r="C8575" s="16" t="n">
        <x:v>1763.7890840548</x:v>
      </x:c>
      <x:c r="D8575" s="13" t="str">
        <x:v>Utilities &amp; Energy</x:v>
      </x:c>
      <x:c r="E8575" s="13" t="str">
        <x:v>Utilities</x:v>
      </x:c>
      <x:c r="F8575" s="13" t="str">
        <x:v>Defensives</x:v>
      </x:c>
      <x:c r="G8575" s="13" t="str">
        <x:v>grid_cqzdsc3v.xlsx</x:v>
      </x:c>
    </x:row>
    <x:row r="8576">
      <x:c r="A8576" s="15" t="n">
        <x:v>44287</x:v>
      </x:c>
      <x:c r="B8576" s="13" t="str">
        <x:v>ENEVA SA</x:v>
      </x:c>
      <x:c r="C8576" s="16" t="n">
        <x:v>1034.9589041096</x:v>
      </x:c>
      <x:c r="D8576" s="13" t="str">
        <x:v>Utilities &amp; Energy</x:v>
      </x:c>
      <x:c r="E8576" s="13" t="str">
        <x:v>Utilities</x:v>
      </x:c>
      <x:c r="F8576" s="13" t="str">
        <x:v>Defensives</x:v>
      </x:c>
      <x:c r="G8576" s="13" t="str">
        <x:v>grid_cqzdsc3v.xlsx</x:v>
      </x:c>
    </x:row>
    <x:row r="8577">
      <x:c r="A8577" s="15" t="n">
        <x:v>44287</x:v>
      </x:c>
      <x:c r="B8577" s="13" t="str">
        <x:v>ENGIE BRASIL ENERGIA SA</x:v>
      </x:c>
      <x:c r="C8577" s="16" t="n">
        <x:v>3240.1454570959</x:v>
      </x:c>
      <x:c r="D8577" s="13" t="str">
        <x:v>Utilities &amp; Energy</x:v>
      </x:c>
      <x:c r="E8577" s="13" t="str">
        <x:v>Utilities</x:v>
      </x:c>
      <x:c r="F8577" s="13" t="str">
        <x:v>Defensives</x:v>
      </x:c>
      <x:c r="G8577" s="13" t="str">
        <x:v>grid_cqzdsc3v.xlsx</x:v>
      </x:c>
    </x:row>
    <x:row r="8578">
      <x:c r="A8578" s="15" t="n">
        <x:v>44287</x:v>
      </x:c>
      <x:c r="B8578" s="13" t="str">
        <x:v>EQUATORIAL SA - ORD</x:v>
      </x:c>
      <x:c r="C8578" s="16" t="n">
        <x:v>2037.6404374794</x:v>
      </x:c>
      <x:c r="D8578" s="13" t="str">
        <x:v>Utilities &amp; Energy</x:v>
      </x:c>
      <x:c r="E8578" s="13" t="str">
        <x:v>Utilities</x:v>
      </x:c>
      <x:c r="F8578" s="13" t="str">
        <x:v>Defensives</x:v>
      </x:c>
      <x:c r="G8578" s="13" t="str">
        <x:v>grid_cqzdsc3v.xlsx</x:v>
      </x:c>
    </x:row>
    <x:row r="8579">
      <x:c r="A8579" s="15" t="n">
        <x:v>44287</x:v>
      </x:c>
      <x:c r="B8579" s="13" t="str">
        <x:v>TRANSMISSORA ALIANCA DE-UNIT</x:v>
      </x:c>
      <x:c r="C8579" s="16" t="n">
        <x:v>832.1986086575</x:v>
      </x:c>
      <x:c r="D8579" s="13" t="str">
        <x:v>Utilities &amp; Energy</x:v>
      </x:c>
      <x:c r="E8579" s="13" t="str">
        <x:v>Utilities</x:v>
      </x:c>
      <x:c r="F8579" s="13" t="str">
        <x:v>Defensives</x:v>
      </x:c>
      <x:c r="G8579" s="13" t="str">
        <x:v>grid_cqzdsc3v.xlsx</x:v>
      </x:c>
    </x:row>
    <x:row r="8580">
      <x:c r="A8580" s="15" t="n">
        <x:v>44317</x:v>
      </x:c>
      <x:c r="B8580" s="13" t="str">
        <x:v>BANCO BRADESCO S.A.</x:v>
      </x:c>
      <x:c r="C8580" s="16" t="n">
        <x:v>26737.4524387945</x:v>
      </x:c>
      <x:c r="D8580" s="13" t="str">
        <x:v>Banks</x:v>
      </x:c>
      <x:c r="E8580" s="13" t="str">
        <x:v>Banks</x:v>
      </x:c>
      <x:c r="F8580" s="13" t="str">
        <x:v>Financials</x:v>
      </x:c>
      <x:c r="G8580" s="13" t="str">
        <x:v>grid_cqzdsc3v.xlsx</x:v>
      </x:c>
    </x:row>
    <x:row r="8581">
      <x:c r="A8581" s="15" t="n">
        <x:v>44317</x:v>
      </x:c>
      <x:c r="B8581" s="13" t="str">
        <x:v>BANCO BRADESCO SA-PREF</x:v>
      </x:c>
      <x:c r="C8581" s="16" t="n">
        <x:v>26737.4524387945</x:v>
      </x:c>
      <x:c r="D8581" s="13" t="str">
        <x:v>Banks</x:v>
      </x:c>
      <x:c r="E8581" s="13" t="str">
        <x:v>Banks</x:v>
      </x:c>
      <x:c r="F8581" s="13" t="str">
        <x:v>Financials</x:v>
      </x:c>
      <x:c r="G8581" s="13" t="str">
        <x:v>grid_cqzdsc3v.xlsx</x:v>
      </x:c>
    </x:row>
    <x:row r="8582">
      <x:c r="A8582" s="15" t="n">
        <x:v>44317</x:v>
      </x:c>
      <x:c r="B8582" s="13" t="str">
        <x:v>BANCO BTG PACTUAL SA-UNIT</x:v>
      </x:c>
      <x:c r="C8582" s="16" t="n">
        <x:v>5486.5211798794</x:v>
      </x:c>
      <x:c r="D8582" s="13" t="str">
        <x:v>Banks</x:v>
      </x:c>
      <x:c r="E8582" s="13" t="str">
        <x:v>Banks</x:v>
      </x:c>
      <x:c r="F8582" s="13" t="str">
        <x:v>Financials</x:v>
      </x:c>
      <x:c r="G8582" s="13" t="str">
        <x:v>grid_cqzdsc3v.xlsx</x:v>
      </x:c>
    </x:row>
    <x:row r="8583">
      <x:c r="A8583" s="15" t="n">
        <x:v>44317</x:v>
      </x:c>
      <x:c r="B8583" s="13" t="str">
        <x:v>BANCO DO BRASIL S.A.</x:v>
      </x:c>
      <x:c r="C8583" s="16" t="n">
        <x:v>18858.0868825425</x:v>
      </x:c>
      <x:c r="D8583" s="13" t="str">
        <x:v>Banks</x:v>
      </x:c>
      <x:c r="E8583" s="13" t="str">
        <x:v>Banks</x:v>
      </x:c>
      <x:c r="F8583" s="13" t="str">
        <x:v>Financials</x:v>
      </x:c>
      <x:c r="G8583" s="13" t="str">
        <x:v>grid_cqzdsc3v.xlsx</x:v>
      </x:c>
    </x:row>
    <x:row r="8584">
      <x:c r="A8584" s="15" t="n">
        <x:v>44317</x:v>
      </x:c>
      <x:c r="B8584" s="13" t="str">
        <x:v>BANCO INTER SA</x:v>
      </x:c>
      <x:c r="C8584" s="16" t="n">
        <x:v>217.0703415233</x:v>
      </x:c>
      <x:c r="D8584" s="13" t="str">
        <x:v>Banks</x:v>
      </x:c>
      <x:c r="E8584" s="13" t="str">
        <x:v>Banks</x:v>
      </x:c>
      <x:c r="F8584" s="13" t="str">
        <x:v>Financials</x:v>
      </x:c>
      <x:c r="G8584" s="13" t="str">
        <x:v>grid_cqzdsc3v.xlsx</x:v>
      </x:c>
    </x:row>
    <x:row r="8585">
      <x:c r="A8585" s="15" t="n">
        <x:v>44317</x:v>
      </x:c>
      <x:c r="B8585" s="13" t="str">
        <x:v>BANCO SANTANDER  BRASIL-UNIT</x:v>
      </x:c>
      <x:c r="C8585" s="16" t="n">
        <x:v>16118.6317999342</x:v>
      </x:c>
      <x:c r="D8585" s="13" t="str">
        <x:v>Banks</x:v>
      </x:c>
      <x:c r="E8585" s="13" t="str">
        <x:v>Banks</x:v>
      </x:c>
      <x:c r="F8585" s="13" t="str">
        <x:v>Financials</x:v>
      </x:c>
      <x:c r="G8585" s="13" t="str">
        <x:v>grid_cqzdsc3v.xlsx</x:v>
      </x:c>
    </x:row>
    <x:row r="8586">
      <x:c r="A8586" s="15" t="n">
        <x:v>44317</x:v>
      </x:c>
      <x:c r="B8586" s="13" t="str">
        <x:v>ITAU UNIBANCO HOLDING S-PREF</x:v>
      </x:c>
      <x:c r="C8586" s="16" t="n">
        <x:v>25903.1256470795</x:v>
      </x:c>
      <x:c r="D8586" s="13" t="str">
        <x:v>Banks</x:v>
      </x:c>
      <x:c r="E8586" s="13" t="str">
        <x:v>Banks</x:v>
      </x:c>
      <x:c r="F8586" s="13" t="str">
        <x:v>Financials</x:v>
      </x:c>
      <x:c r="G8586" s="13" t="str">
        <x:v>grid_cqzdsc3v.xlsx</x:v>
      </x:c>
    </x:row>
    <x:row r="8587">
      <x:c r="A8587" s="15" t="n">
        <x:v>44317</x:v>
      </x:c>
      <x:c r="B8587" s="13" t="str">
        <x:v>EMBRAER SA</x:v>
      </x:c>
      <x:c r="C8587" s="16" t="n">
        <x:v>-389.4032174466</x:v>
      </x:c>
      <x:c r="D8587" s="13" t="str">
        <x:v>Capital Goods</x:v>
      </x:c>
      <x:c r="E8587" s="13" t="str">
        <x:v>Capital Goods</x:v>
      </x:c>
      <x:c r="F8587" s="13" t="str">
        <x:v>Deep Cyclicals</x:v>
      </x:c>
      <x:c r="G8587" s="13" t="str">
        <x:v>grid_cqzdsc3v.xlsx</x:v>
      </x:c>
    </x:row>
    <x:row r="8588">
      <x:c r="A8588" s="15" t="n">
        <x:v>44317</x:v>
      </x:c>
      <x:c r="B8588" s="13" t="str">
        <x:v>WEG SA</x:v>
      </x:c>
      <x:c r="C8588" s="16" t="n">
        <x:v>3175.8875697096</x:v>
      </x:c>
      <x:c r="D8588" s="13" t="str">
        <x:v>Capital Goods</x:v>
      </x:c>
      <x:c r="E8588" s="13" t="str">
        <x:v>Capital Goods</x:v>
      </x:c>
      <x:c r="F8588" s="13" t="str">
        <x:v>Deep Cyclicals</x:v>
      </x:c>
      <x:c r="G8588" s="13" t="str">
        <x:v>grid_cqzdsc3v.xlsx</x:v>
      </x:c>
    </x:row>
    <x:row r="8589">
      <x:c r="A8589" s="15" t="n">
        <x:v>44317</x:v>
      </x:c>
      <x:c r="B8589" s="13" t="str">
        <x:v>COGNA EDUCACAO</x:v>
      </x:c>
      <x:c r="C8589" s="16" t="n">
        <x:v>16.6029461479</x:v>
      </x:c>
      <x:c r="D8589" s="13" t="str">
        <x:v>Education</x:v>
      </x:c>
      <x:c r="E8589" s="13" t="str">
        <x:v>Education</x:v>
      </x:c>
      <x:c r="F8589" s="13" t="str">
        <x:v>Early Cyclicals</x:v>
      </x:c>
      <x:c r="G8589" s="13" t="str">
        <x:v>grid_cqzdsc3v.xlsx</x:v>
      </x:c>
    </x:row>
    <x:row r="8590">
      <x:c r="A8590" s="15" t="n">
        <x:v>44317</x:v>
      </x:c>
      <x:c r="B8590" s="13" t="str">
        <x:v>YDUQS PARTICIPACOES SA</x:v>
      </x:c>
      <x:c r="C8590" s="16" t="n">
        <x:v>588.8206095781</x:v>
      </x:c>
      <x:c r="D8590" s="13" t="str">
        <x:v>Education</x:v>
      </x:c>
      <x:c r="E8590" s="13" t="str">
        <x:v>Education</x:v>
      </x:c>
      <x:c r="F8590" s="13" t="str">
        <x:v>Early Cyclicals</x:v>
      </x:c>
      <x:c r="G8590" s="13" t="str">
        <x:v>grid_cqzdsc3v.xlsx</x:v>
      </x:c>
    </x:row>
    <x:row r="8591">
      <x:c r="A8591" s="15" t="n">
        <x:v>44317</x:v>
      </x:c>
      <x:c r="B8591" s="13" t="str">
        <x:v>B3 SA-BRASIL BOLSA BALCAO</x:v>
      </x:c>
      <x:c r="C8591" s="16" t="n">
        <x:v>5130.4070929534</x:v>
      </x:c>
      <x:c r="D8591" s="13" t="str">
        <x:v>Financials Non-Banks</x:v>
      </x:c>
      <x:c r="E8591" s="13" t="str">
        <x:v>Financials Non-Banks</x:v>
      </x:c>
      <x:c r="F8591" s="13" t="str">
        <x:v>Financials</x:v>
      </x:c>
      <x:c r="G8591" s="13" t="str">
        <x:v>grid_cqzdsc3v.xlsx</x:v>
      </x:c>
    </x:row>
    <x:row r="8592">
      <x:c r="A8592" s="15" t="n">
        <x:v>44317</x:v>
      </x:c>
      <x:c r="B8592" s="13" t="str">
        <x:v>BB SEGURIDADE PARTICIPACOES</x:v>
      </x:c>
      <x:c r="C8592" s="16" t="n">
        <x:v>4447.684845063</x:v>
      </x:c>
      <x:c r="D8592" s="13" t="str">
        <x:v>Financials Non-Banks</x:v>
      </x:c>
      <x:c r="E8592" s="13" t="str">
        <x:v>Financials Non-Banks</x:v>
      </x:c>
      <x:c r="F8592" s="13" t="str">
        <x:v>Financials</x:v>
      </x:c>
      <x:c r="G8592" s="13" t="str">
        <x:v>grid_cqzdsc3v.xlsx</x:v>
      </x:c>
    </x:row>
    <x:row r="8593">
      <x:c r="A8593" s="15" t="n">
        <x:v>44317</x:v>
      </x:c>
      <x:c r="B8593" s="13" t="str">
        <x:v>CIELO SA</x:v>
      </x:c>
      <x:c r="C8593" s="16" t="n">
        <x:v>811.1096479562</x:v>
      </x:c>
      <x:c r="D8593" s="13" t="str">
        <x:v>Financials Non-Banks</x:v>
      </x:c>
      <x:c r="E8593" s="13" t="str">
        <x:v>Financials Non-Banks</x:v>
      </x:c>
      <x:c r="F8593" s="13" t="str">
        <x:v>Financials</x:v>
      </x:c>
      <x:c r="G8593" s="13" t="str">
        <x:v>Ibovespa_earnings_consolidated.xlsx</x:v>
      </x:c>
    </x:row>
    <x:row r="8594">
      <x:c r="A8594" s="15" t="n">
        <x:v>44317</x:v>
      </x:c>
      <x:c r="B8594" s="13" t="str">
        <x:v>CIELO SA - INSTITUICAO DE PA</x:v>
      </x:c>
      <x:c r="C8594" s="16" t="n">
        <x:v>811.1096479562</x:v>
      </x:c>
      <x:c r="D8594" s="13" t="str">
        <x:v>Financials Non-Banks</x:v>
      </x:c>
      <x:c r="E8594" s="13" t="str">
        <x:v>Financials Non-Banks</x:v>
      </x:c>
      <x:c r="F8594" s="13" t="str">
        <x:v>Financials</x:v>
      </x:c>
      <x:c r="G8594" s="13" t="str">
        <x:v>grid_cqzdsc3v.xlsx</x:v>
      </x:c>
    </x:row>
    <x:row r="8595">
      <x:c r="A8595" s="15" t="n">
        <x:v>44317</x:v>
      </x:c>
      <x:c r="B8595" s="13" t="str">
        <x:v>IRB BRASIL RESSEGUROS SA</x:v>
      </x:c>
      <x:c r="C8595" s="16" t="n">
        <x:v>343.2350684932</x:v>
      </x:c>
      <x:c r="D8595" s="13" t="str">
        <x:v>Financials Non-Banks</x:v>
      </x:c>
      <x:c r="E8595" s="13" t="str">
        <x:v>Financials Non-Banks</x:v>
      </x:c>
      <x:c r="F8595" s="13" t="str">
        <x:v>Financials</x:v>
      </x:c>
      <x:c r="G8595" s="13" t="str">
        <x:v>grid_cqzdsc3v.xlsx</x:v>
      </x:c>
    </x:row>
    <x:row r="8596">
      <x:c r="A8596" s="15" t="n">
        <x:v>44317</x:v>
      </x:c>
      <x:c r="B8596" s="13" t="str">
        <x:v>ITAUSA SA</x:v>
      </x:c>
      <x:c r="C8596" s="16" t="n">
        <x:v>9839.4711390685</x:v>
      </x:c>
      <x:c r="D8596" s="13" t="str">
        <x:v>Financials Non-Banks</x:v>
      </x:c>
      <x:c r="E8596" s="13" t="str">
        <x:v>Financials Non-Banks</x:v>
      </x:c>
      <x:c r="F8596" s="13" t="str">
        <x:v>Financials</x:v>
      </x:c>
      <x:c r="G8596" s="13" t="str">
        <x:v>grid_cqzdsc3v.xlsx</x:v>
      </x:c>
    </x:row>
    <x:row r="8597">
      <x:c r="A8597" s="15" t="n">
        <x:v>44317</x:v>
      </x:c>
      <x:c r="B8597" s="13" t="str">
        <x:v>AMBEV SA</x:v>
      </x:c>
      <x:c r="C8597" s="16" t="n">
        <x:v>11439.2036786849</x:v>
      </x:c>
      <x:c r="D8597" s="13" t="str">
        <x:v>Food &amp; Beverages</x:v>
      </x:c>
      <x:c r="E8597" s="13" t="str">
        <x:v>Agri, Food &amp; Beverages</x:v>
      </x:c>
      <x:c r="F8597" s="13" t="str">
        <x:v>Defensives</x:v>
      </x:c>
      <x:c r="G8597" s="13" t="str">
        <x:v>grid_cqzdsc3v.xlsx</x:v>
      </x:c>
    </x:row>
    <x:row r="8598">
      <x:c r="A8598" s="15" t="n">
        <x:v>44317</x:v>
      </x:c>
      <x:c r="B8598" s="13" t="str">
        <x:v>BRF SA</x:v>
      </x:c>
      <x:c r="C8598" s="16" t="n">
        <x:v>1215.3324551014</x:v>
      </x:c>
      <x:c r="D8598" s="13" t="str">
        <x:v>Food &amp; Beverages</x:v>
      </x:c>
      <x:c r="E8598" s="13" t="str">
        <x:v>Agri, Food &amp; Beverages</x:v>
      </x:c>
      <x:c r="F8598" s="13" t="str">
        <x:v>Defensives</x:v>
      </x:c>
      <x:c r="G8598" s="13" t="str">
        <x:v>grid_cqzdsc3v.xlsx</x:v>
      </x:c>
    </x:row>
    <x:row r="8599">
      <x:c r="A8599" s="15" t="n">
        <x:v>44317</x:v>
      </x:c>
      <x:c r="B8599" s="13" t="str">
        <x:v>JBS SA</x:v>
      </x:c>
      <x:c r="C8599" s="16" t="n">
        <x:v>9744.8999332822</x:v>
      </x:c>
      <x:c r="D8599" s="13" t="str">
        <x:v>Food &amp; Beverages</x:v>
      </x:c>
      <x:c r="E8599" s="13" t="str">
        <x:v>Agri, Food &amp; Beverages</x:v>
      </x:c>
      <x:c r="F8599" s="13" t="str">
        <x:v>Defensives</x:v>
      </x:c>
      <x:c r="G8599" s="13" t="str">
        <x:v>grid_cqzdsc3v.xlsx</x:v>
      </x:c>
    </x:row>
    <x:row r="8600">
      <x:c r="A8600" s="15" t="n">
        <x:v>44317</x:v>
      </x:c>
      <x:c r="B8600" s="13" t="str">
        <x:v>MBRF GLOBAL FOODS COMPANY SA</x:v>
      </x:c>
      <x:c r="C8600" s="16" t="n">
        <x:v>2022.1543427507</x:v>
      </x:c>
      <x:c r="D8600" s="13" t="str">
        <x:v>Food &amp; Beverages</x:v>
      </x:c>
      <x:c r="E8600" s="13" t="str">
        <x:v>Agri, Food &amp; Beverages</x:v>
      </x:c>
      <x:c r="F8600" s="13" t="str">
        <x:v>Defensives</x:v>
      </x:c>
      <x:c r="G8600" s="13" t="str">
        <x:v>grid_cqzdsc3v.xlsx</x:v>
      </x:c>
    </x:row>
    <x:row r="8601">
      <x:c r="A8601" s="15" t="n">
        <x:v>44317</x:v>
      </x:c>
      <x:c r="B8601" s="13" t="str">
        <x:v>FLEURY SA</x:v>
      </x:c>
      <x:c r="C8601" s="16" t="n">
        <x:v>354.4098630137</x:v>
      </x:c>
      <x:c r="D8601" s="13" t="str">
        <x:v>Health Care</x:v>
      </x:c>
      <x:c r="E8601" s="13" t="str">
        <x:v>Health Care</x:v>
      </x:c>
      <x:c r="F8601" s="13" t="str">
        <x:v>Defensives</x:v>
      </x:c>
      <x:c r="G8601" s="13" t="str">
        <x:v>grid_cqzdsc3v.xlsx</x:v>
      </x:c>
    </x:row>
    <x:row r="8602">
      <x:c r="A8602" s="15" t="n">
        <x:v>44317</x:v>
      </x:c>
      <x:c r="B8602" s="13" t="str">
        <x:v>HAPVIDA PARTICIPACOES E INVE</x:v>
      </x:c>
      <x:c r="C8602" s="16" t="n">
        <x:v>1047.1287671233</x:v>
      </x:c>
      <x:c r="D8602" s="13" t="str">
        <x:v>Health Care</x:v>
      </x:c>
      <x:c r="E8602" s="13" t="str">
        <x:v>Health Care</x:v>
      </x:c>
      <x:c r="F8602" s="13" t="str">
        <x:v>Defensives</x:v>
      </x:c>
      <x:c r="G8602" s="13" t="str">
        <x:v>grid_cqzdsc3v.xlsx</x:v>
      </x:c>
    </x:row>
    <x:row r="8603">
      <x:c r="A8603" s="15" t="n">
        <x:v>44317</x:v>
      </x:c>
      <x:c r="B8603" s="13" t="str">
        <x:v>HYPERA SA</x:v>
      </x:c>
      <x:c r="C8603" s="16" t="n">
        <x:v>1523.5501259397</x:v>
      </x:c>
      <x:c r="D8603" s="13" t="str">
        <x:v>Health Care</x:v>
      </x:c>
      <x:c r="E8603" s="13" t="str">
        <x:v>Health Care</x:v>
      </x:c>
      <x:c r="F8603" s="13" t="str">
        <x:v>Defensives</x:v>
      </x:c>
      <x:c r="G8603" s="13" t="str">
        <x:v>grid_cqzdsc3v.xlsx</x:v>
      </x:c>
    </x:row>
    <x:row r="8604">
      <x:c r="A8604" s="15" t="n">
        <x:v>44317</x:v>
      </x:c>
      <x:c r="B8604" s="13" t="str">
        <x:v>NOTRE DAME INTERMED PAR SA</x:v>
      </x:c>
      <x:c r="C8604" s="16" t="n">
        <x:v>1076.9413067397</x:v>
      </x:c>
      <x:c r="D8604" s="13" t="str">
        <x:v>Health Care</x:v>
      </x:c>
      <x:c r="E8604" s="13" t="str">
        <x:v>Health Care</x:v>
      </x:c>
      <x:c r="F8604" s="13" t="str">
        <x:v>Defensives</x:v>
      </x:c>
      <x:c r="G8604" s="13" t="str">
        <x:v>grid_cqzdsc3v.xlsx</x:v>
      </x:c>
    </x:row>
    <x:row r="8605">
      <x:c r="A8605" s="15" t="n">
        <x:v>44317</x:v>
      </x:c>
      <x:c r="B8605" s="13" t="str">
        <x:v>QUALICORP CONS E CORR SEG SA</x:v>
      </x:c>
      <x:c r="C8605" s="16" t="n">
        <x:v>572.5643648</x:v>
      </x:c>
      <x:c r="D8605" s="13" t="str">
        <x:v>Health Care</x:v>
      </x:c>
      <x:c r="E8605" s="13" t="str">
        <x:v>Health Care</x:v>
      </x:c>
      <x:c r="F8605" s="13" t="str">
        <x:v>Defensives</x:v>
      </x:c>
      <x:c r="G8605" s="13" t="str">
        <x:v>grid_cqzdsc3v.xlsx</x:v>
      </x:c>
    </x:row>
    <x:row r="8606">
      <x:c r="A8606" s="15" t="n">
        <x:v>44317</x:v>
      </x:c>
      <x:c r="B8606" s="13" t="str">
        <x:v>SUL AMERICA SA - UNITS</x:v>
      </x:c>
      <x:c r="C8606" s="16" t="n">
        <x:v>860.260255211</x:v>
      </x:c>
      <x:c r="D8606" s="13" t="str">
        <x:v>Health Care</x:v>
      </x:c>
      <x:c r="E8606" s="13" t="str">
        <x:v>Health Care</x:v>
      </x:c>
      <x:c r="F8606" s="13" t="str">
        <x:v>Defensives</x:v>
      </x:c>
      <x:c r="G8606" s="13" t="str">
        <x:v>grid_cqzdsc3v.xlsx</x:v>
      </x:c>
    </x:row>
    <x:row r="8607">
      <x:c r="A8607" s="15" t="n">
        <x:v>44317</x:v>
      </x:c>
      <x:c r="B8607" s="13" t="str">
        <x:v>CYRELA BRAZIL REALTY SA EMP</x:v>
      </x:c>
      <x:c r="C8607" s="16" t="n">
        <x:v>966.4139393753</x:v>
      </x:c>
      <x:c r="D8607" s="13" t="str">
        <x:v>Homebuilders</x:v>
      </x:c>
      <x:c r="E8607" s="13" t="str">
        <x:v>Real Estate</x:v>
      </x:c>
      <x:c r="F8607" s="13" t="str">
        <x:v>Early Cyclicals</x:v>
      </x:c>
      <x:c r="G8607" s="13" t="str">
        <x:v>grid_cqzdsc3v.xlsx</x:v>
      </x:c>
    </x:row>
    <x:row r="8608">
      <x:c r="A8608" s="15" t="n">
        <x:v>44317</x:v>
      </x:c>
      <x:c r="B8608" s="13" t="str">
        <x:v>EZ TEC EMPREENDIMENTOS E PAR</x:v>
      </x:c>
      <x:c r="C8608" s="16" t="n">
        <x:v>605.5938289973</x:v>
      </x:c>
      <x:c r="D8608" s="13" t="str">
        <x:v>Homebuilders</x:v>
      </x:c>
      <x:c r="E8608" s="13" t="str">
        <x:v>Real Estate</x:v>
      </x:c>
      <x:c r="F8608" s="13" t="str">
        <x:v>Early Cyclicals</x:v>
      </x:c>
      <x:c r="G8608" s="13" t="str">
        <x:v>grid_cqzdsc3v.xlsx</x:v>
      </x:c>
    </x:row>
    <x:row r="8609">
      <x:c r="A8609" s="15" t="n">
        <x:v>44317</x:v>
      </x:c>
      <x:c r="B8609" s="13" t="str">
        <x:v>MRV ENGENHARIA</x:v>
      </x:c>
      <x:c r="C8609" s="16" t="n">
        <x:v>827.0257534247</x:v>
      </x:c>
      <x:c r="D8609" s="13" t="str">
        <x:v>Homebuilders</x:v>
      </x:c>
      <x:c r="E8609" s="13" t="str">
        <x:v>Real Estate</x:v>
      </x:c>
      <x:c r="F8609" s="13" t="str">
        <x:v>Early Cyclicals</x:v>
      </x:c>
      <x:c r="G8609" s="13" t="str">
        <x:v>grid_cqzdsc3v.xlsx</x:v>
      </x:c>
    </x:row>
    <x:row r="8610">
      <x:c r="A8610" s="15" t="n">
        <x:v>44317</x:v>
      </x:c>
      <x:c r="B8610" s="13" t="str">
        <x:v>BR MALLS PARTICIPACOES SA</x:v>
      </x:c>
      <x:c r="C8610" s="16" t="n">
        <x:v>466.9506444274</x:v>
      </x:c>
      <x:c r="D8610" s="13" t="str">
        <x:v>Income Properties</x:v>
      </x:c>
      <x:c r="E8610" s="13" t="str">
        <x:v>Real Estate</x:v>
      </x:c>
      <x:c r="F8610" s="13" t="str">
        <x:v>Early Cyclicals</x:v>
      </x:c>
      <x:c r="G8610" s="13" t="str">
        <x:v>grid_cqzdsc3v.xlsx</x:v>
      </x:c>
    </x:row>
    <x:row r="8611">
      <x:c r="A8611" s="15" t="n">
        <x:v>44317</x:v>
      </x:c>
      <x:c r="B8611" s="13" t="str">
        <x:v>IGUATEMI EMP DE SHOPPING</x:v>
      </x:c>
      <x:c r="C8611" s="16" t="n">
        <x:v>207.9528767123</x:v>
      </x:c>
      <x:c r="D8611" s="13" t="str">
        <x:v>Income Properties</x:v>
      </x:c>
      <x:c r="E8611" s="13" t="str">
        <x:v>Real Estate</x:v>
      </x:c>
      <x:c r="F8611" s="13" t="str">
        <x:v>Early Cyclicals</x:v>
      </x:c>
      <x:c r="G8611" s="13" t="str">
        <x:v>grid_cqzdsc3v.xlsx</x:v>
      </x:c>
    </x:row>
    <x:row r="8612">
      <x:c r="A8612" s="15" t="n">
        <x:v>44317</x:v>
      </x:c>
      <x:c r="B8612" s="13" t="str">
        <x:v>JHSF PARTICIPACOES SA</x:v>
      </x:c>
      <x:c r="C8612" s="16" t="n">
        <x:v>443.7424657534</x:v>
      </x:c>
      <x:c r="D8612" s="13" t="str">
        <x:v>Income Properties</x:v>
      </x:c>
      <x:c r="E8612" s="13" t="str">
        <x:v>Real Estate</x:v>
      </x:c>
      <x:c r="F8612" s="13" t="str">
        <x:v>Early Cyclicals</x:v>
      </x:c>
      <x:c r="G8612" s="13" t="str">
        <x:v>grid_cqzdsc3v.xlsx</x:v>
      </x:c>
    </x:row>
    <x:row r="8613">
      <x:c r="A8613" s="15" t="n">
        <x:v>44317</x:v>
      </x:c>
      <x:c r="B8613" s="13" t="str">
        <x:v>MULTIPLAN EMPREENDIMENTOS</x:v>
      </x:c>
      <x:c r="C8613" s="16" t="n">
        <x:v>451.2180821918</x:v>
      </x:c>
      <x:c r="D8613" s="13" t="str">
        <x:v>Income Properties</x:v>
      </x:c>
      <x:c r="E8613" s="13" t="str">
        <x:v>Real Estate</x:v>
      </x:c>
      <x:c r="F8613" s="13" t="str">
        <x:v>Early Cyclicals</x:v>
      </x:c>
      <x:c r="G8613" s="13" t="str">
        <x:v>grid_cqzdsc3v.xlsx</x:v>
      </x:c>
    </x:row>
    <x:row r="8614">
      <x:c r="A8614" s="15" t="n">
        <x:v>44317</x:v>
      </x:c>
      <x:c r="B8614" s="13" t="str">
        <x:v>CIA SIDERURGICA NACIONAL SA</x:v>
      </x:c>
      <x:c r="C8614" s="16" t="n">
        <x:v>12234.9811094795</x:v>
      </x:c>
      <x:c r="D8614" s="13" t="str">
        <x:v>Metals &amp; Mining</x:v>
      </x:c>
      <x:c r="E8614" s="13" t="str">
        <x:v>Metals &amp; Mining</x:v>
      </x:c>
      <x:c r="F8614" s="13" t="str">
        <x:v>Deep Cyclicals</x:v>
      </x:c>
      <x:c r="G8614" s="13" t="str">
        <x:v>grid_cqzdsc3v.xlsx</x:v>
      </x:c>
    </x:row>
    <x:row r="8615">
      <x:c r="A8615" s="15" t="n">
        <x:v>44317</x:v>
      </x:c>
      <x:c r="B8615" s="13" t="str">
        <x:v>GERDAU SA-PREF</x:v>
      </x:c>
      <x:c r="C8615" s="16" t="n">
        <x:v>7840.0701552219</x:v>
      </x:c>
      <x:c r="D8615" s="13" t="str">
        <x:v>Metals &amp; Mining</x:v>
      </x:c>
      <x:c r="E8615" s="13" t="str">
        <x:v>Metals &amp; Mining</x:v>
      </x:c>
      <x:c r="F8615" s="13" t="str">
        <x:v>Deep Cyclicals</x:v>
      </x:c>
      <x:c r="G8615" s="13" t="str">
        <x:v>grid_cqzdsc3v.xlsx</x:v>
      </x:c>
    </x:row>
    <x:row r="8616">
      <x:c r="A8616" s="15" t="n">
        <x:v>44317</x:v>
      </x:c>
      <x:c r="B8616" s="13" t="str">
        <x:v>METALURGICA GERDAU SA-PREF</x:v>
      </x:c>
      <x:c r="C8616" s="16" t="n">
        <x:v>1989.2767873753</x:v>
      </x:c>
      <x:c r="D8616" s="13" t="str">
        <x:v>Metals &amp; Mining</x:v>
      </x:c>
      <x:c r="E8616" s="13" t="str">
        <x:v>Metals &amp; Mining</x:v>
      </x:c>
      <x:c r="F8616" s="13" t="str">
        <x:v>Deep Cyclicals</x:v>
      </x:c>
      <x:c r="G8616" s="13" t="str">
        <x:v>grid_cqzdsc3v.xlsx</x:v>
      </x:c>
    </x:row>
    <x:row r="8617">
      <x:c r="A8617" s="15" t="n">
        <x:v>44317</x:v>
      </x:c>
      <x:c r="B8617" s="13" t="str">
        <x:v>USINAS SIDER MINAS GER-PF A</x:v>
      </x:c>
      <x:c r="C8617" s="16" t="n">
        <x:v>4002.3641298411</x:v>
      </x:c>
      <x:c r="D8617" s="13" t="str">
        <x:v>Metals &amp; Mining</x:v>
      </x:c>
      <x:c r="E8617" s="13" t="str">
        <x:v>Metals &amp; Mining</x:v>
      </x:c>
      <x:c r="F8617" s="13" t="str">
        <x:v>Deep Cyclicals</x:v>
      </x:c>
      <x:c r="G8617" s="13" t="str">
        <x:v>grid_cqzdsc3v.xlsx</x:v>
      </x:c>
    </x:row>
    <x:row r="8618">
      <x:c r="A8618" s="15" t="n">
        <x:v>44317</x:v>
      </x:c>
      <x:c r="B8618" s="13" t="str">
        <x:v>VALE SA</x:v>
      </x:c>
      <x:c r="C8618" s="16" t="n">
        <x:v>116215.720222159</x:v>
      </x:c>
      <x:c r="D8618" s="13" t="str">
        <x:v>Metals &amp; Mining</x:v>
      </x:c>
      <x:c r="E8618" s="13" t="str">
        <x:v>Metals &amp; Mining</x:v>
      </x:c>
      <x:c r="F8618" s="13" t="str">
        <x:v>Deep Cyclicals</x:v>
      </x:c>
      <x:c r="G8618" s="13" t="str">
        <x:v>grid_cqzdsc3v.xlsx</x:v>
      </x:c>
    </x:row>
    <x:row r="8619">
      <x:c r="A8619" s="15" t="n">
        <x:v>44317</x:v>
      </x:c>
      <x:c r="B8619" s="13" t="str">
        <x:v>BRASKEM SA-PREF A</x:v>
      </x:c>
      <x:c r="C8619" s="16" t="n">
        <x:v>8525.4953843726</x:v>
      </x:c>
      <x:c r="D8619" s="13" t="str">
        <x:v>Oil, Gas &amp; Petrochemicals</x:v>
      </x:c>
      <x:c r="E8619" s="13" t="str">
        <x:v>Oil, Gas &amp; Petrochemicals</x:v>
      </x:c>
      <x:c r="F8619" s="13" t="str">
        <x:v>Deep Cyclicals</x:v>
      </x:c>
      <x:c r="G8619" s="13" t="str">
        <x:v>grid_cqzdsc3v.xlsx</x:v>
      </x:c>
    </x:row>
    <x:row r="8620">
      <x:c r="A8620" s="15" t="n">
        <x:v>44317</x:v>
      </x:c>
      <x:c r="B8620" s="13" t="str">
        <x:v>COSAN SA</x:v>
      </x:c>
      <x:c r="C8620" s="16" t="n">
        <x:v>2409.672922126</x:v>
      </x:c>
      <x:c r="D8620" s="13" t="str">
        <x:v>Oil, Gas &amp; Petrochemicals</x:v>
      </x:c>
      <x:c r="E8620" s="13" t="str">
        <x:v>Oil, Gas &amp; Petrochemicals</x:v>
      </x:c>
      <x:c r="F8620" s="13" t="str">
        <x:v>Deep Cyclicals</x:v>
      </x:c>
      <x:c r="G8620" s="13" t="str">
        <x:v>grid_cqzdsc3v.xlsx</x:v>
      </x:c>
    </x:row>
    <x:row r="8621">
      <x:c r="A8621" s="15" t="n">
        <x:v>44317</x:v>
      </x:c>
      <x:c r="B8621" s="13" t="str">
        <x:v>PETROBRAS - PETROLEO BRAS</x:v>
      </x:c>
      <x:c r="C8621" s="16" t="n">
        <x:v>59614.1361685041</x:v>
      </x:c>
      <x:c r="D8621" s="13" t="str">
        <x:v>Oil, Gas &amp; Petrochemicals</x:v>
      </x:c>
      <x:c r="E8621" s="13" t="str">
        <x:v>Oil, Gas &amp; Petrochemicals</x:v>
      </x:c>
      <x:c r="F8621" s="13" t="str">
        <x:v>Deep Cyclicals</x:v>
      </x:c>
      <x:c r="G8621" s="13" t="str">
        <x:v>grid_cqzdsc3v.xlsx</x:v>
      </x:c>
    </x:row>
    <x:row r="8622">
      <x:c r="A8622" s="15" t="n">
        <x:v>44317</x:v>
      </x:c>
      <x:c r="B8622" s="13" t="str">
        <x:v>PRIO SA</x:v>
      </x:c>
      <x:c r="C8622" s="16" t="n">
        <x:v>1392.1749153315</x:v>
      </x:c>
      <x:c r="D8622" s="13" t="str">
        <x:v>Oil, Gas &amp; Petrochemicals</x:v>
      </x:c>
      <x:c r="E8622" s="13" t="str">
        <x:v>Oil, Gas &amp; Petrochemicals</x:v>
      </x:c>
      <x:c r="F8622" s="13" t="str">
        <x:v>Deep Cyclicals</x:v>
      </x:c>
      <x:c r="G8622" s="13" t="str">
        <x:v>grid_cqzdsc3v.xlsx</x:v>
      </x:c>
    </x:row>
    <x:row r="8623">
      <x:c r="A8623" s="15" t="n">
        <x:v>44317</x:v>
      </x:c>
      <x:c r="B8623" s="13" t="str">
        <x:v>ULTRAPAR PARTICIPACOES SA</x:v>
      </x:c>
      <x:c r="C8623" s="16" t="n">
        <x:v>1304.131949063</x:v>
      </x:c>
      <x:c r="D8623" s="13" t="str">
        <x:v>Oil, Gas &amp; Petrochemicals</x:v>
      </x:c>
      <x:c r="E8623" s="13" t="str">
        <x:v>Oil, Gas &amp; Petrochemicals</x:v>
      </x:c>
      <x:c r="F8623" s="13" t="str">
        <x:v>Deep Cyclicals</x:v>
      </x:c>
      <x:c r="G8623" s="13" t="str">
        <x:v>grid_cqzdsc3v.xlsx</x:v>
      </x:c>
    </x:row>
    <x:row r="8624">
      <x:c r="A8624" s="15" t="n">
        <x:v>44317</x:v>
      </x:c>
      <x:c r="B8624" s="13" t="str">
        <x:v>VIBRA ENERGIA SA</x:v>
      </x:c>
      <x:c r="C8624" s="16" t="n">
        <x:v>1893.9391400329</x:v>
      </x:c>
      <x:c r="D8624" s="13" t="str">
        <x:v>Oil, Gas &amp; Petrochemicals</x:v>
      </x:c>
      <x:c r="E8624" s="13" t="str">
        <x:v>Oil, Gas &amp; Petrochemicals</x:v>
      </x:c>
      <x:c r="F8624" s="13" t="str">
        <x:v>Deep Cyclicals</x:v>
      </x:c>
      <x:c r="G8624" s="13" t="str">
        <x:v>grid_cqzdsc3v.xlsx</x:v>
      </x:c>
    </x:row>
    <x:row r="8625">
      <x:c r="A8625" s="15" t="n">
        <x:v>44317</x:v>
      </x:c>
      <x:c r="B8625" s="13" t="str">
        <x:v>KLABIN SA - UNIT</x:v>
      </x:c>
      <x:c r="C8625" s="16" t="n">
        <x:v>2605.2543600219</x:v>
      </x:c>
      <x:c r="D8625" s="13" t="str">
        <x:v>Pulp &amp; Paper</x:v>
      </x:c>
      <x:c r="E8625" s="13" t="str">
        <x:v>Pulp &amp; Paper</x:v>
      </x:c>
      <x:c r="F8625" s="13" t="str">
        <x:v>Deep Cyclicals</x:v>
      </x:c>
      <x:c r="G8625" s="13" t="str">
        <x:v>grid_cqzdsc3v.xlsx</x:v>
      </x:c>
    </x:row>
    <x:row r="8626">
      <x:c r="A8626" s="15" t="n">
        <x:v>44317</x:v>
      </x:c>
      <x:c r="B8626" s="13" t="str">
        <x:v>SUZANO SA</x:v>
      </x:c>
      <x:c r="C8626" s="16" t="n">
        <x:v>10353.7900558027</x:v>
      </x:c>
      <x:c r="D8626" s="13" t="str">
        <x:v>Pulp &amp; Paper</x:v>
      </x:c>
      <x:c r="E8626" s="13" t="str">
        <x:v>Pulp &amp; Paper</x:v>
      </x:c>
      <x:c r="F8626" s="13" t="str">
        <x:v>Deep Cyclicals</x:v>
      </x:c>
      <x:c r="G8626" s="13" t="str">
        <x:v>grid_cqzdsc3v.xlsx</x:v>
      </x:c>
    </x:row>
    <x:row r="8627">
      <x:c r="A8627" s="15" t="n">
        <x:v>44317</x:v>
      </x:c>
      <x:c r="B8627" s="13" t="str">
        <x:v>AMERICANAS SA</x:v>
      </x:c>
      <x:c r="C8627" s="16" t="n">
        <x:v>-307.9567931616</x:v>
      </x:c>
      <x:c r="D8627" s="13" t="str">
        <x:v>Retail</x:v>
      </x:c>
      <x:c r="E8627" s="13" t="str">
        <x:v>Retail</x:v>
      </x:c>
      <x:c r="F8627" s="13" t="str">
        <x:v>Early Cyclicals</x:v>
      </x:c>
      <x:c r="G8627" s="13" t="str">
        <x:v>grid_cqzdsc3v.xlsx</x:v>
      </x:c>
    </x:row>
    <x:row r="8628">
      <x:c r="A8628" s="15" t="n">
        <x:v>44317</x:v>
      </x:c>
      <x:c r="B8628" s="13" t="str">
        <x:v>ATACADAO SA</x:v>
      </x:c>
      <x:c r="C8628" s="16" t="n">
        <x:v>2776.3940597479</x:v>
      </x:c>
      <x:c r="D8628" s="13" t="str">
        <x:v>Retail</x:v>
      </x:c>
      <x:c r="E8628" s="13" t="str">
        <x:v>Retail</x:v>
      </x:c>
      <x:c r="F8628" s="13" t="str">
        <x:v>Early Cyclicals</x:v>
      </x:c>
      <x:c r="G8628" s="13" t="str">
        <x:v>grid_cqzdsc3v.xlsx</x:v>
      </x:c>
    </x:row>
    <x:row r="8629">
      <x:c r="A8629" s="15" t="n">
        <x:v>44317</x:v>
      </x:c>
      <x:c r="B8629" s="13" t="str">
        <x:v>CIA BRASILEIRA DE DISTRIBUIC</x:v>
      </x:c>
      <x:c r="C8629" s="16" t="n">
        <x:v>515.0341744219</x:v>
      </x:c>
      <x:c r="D8629" s="13" t="str">
        <x:v>Retail</x:v>
      </x:c>
      <x:c r="E8629" s="13" t="str">
        <x:v>Retail</x:v>
      </x:c>
      <x:c r="F8629" s="13" t="str">
        <x:v>Early Cyclicals</x:v>
      </x:c>
      <x:c r="G8629" s="13" t="str">
        <x:v>grid_cqzdsc3v.xlsx</x:v>
      </x:c>
    </x:row>
    <x:row r="8630">
      <x:c r="A8630" s="15" t="n">
        <x:v>44317</x:v>
      </x:c>
      <x:c r="B8630" s="13" t="str">
        <x:v>CIA HERING</x:v>
      </x:c>
      <x:c r="C8630" s="16" t="n">
        <x:v>192.2726027397</x:v>
      </x:c>
      <x:c r="D8630" s="13" t="str">
        <x:v>Retail</x:v>
      </x:c>
      <x:c r="E8630" s="13" t="str">
        <x:v>Retail</x:v>
      </x:c>
      <x:c r="F8630" s="13" t="str">
        <x:v>Early Cyclicals</x:v>
      </x:c>
      <x:c r="G8630" s="13" t="str">
        <x:v>grid_cqzdsc3v.xlsx</x:v>
      </x:c>
    </x:row>
    <x:row r="8631">
      <x:c r="A8631" s="15" t="n">
        <x:v>44317</x:v>
      </x:c>
      <x:c r="B8631" s="13" t="str">
        <x:v>GRUPO CASAS BAHIA SA</x:v>
      </x:c>
      <x:c r="C8631" s="16" t="n">
        <x:v>731.4142465753</x:v>
      </x:c>
      <x:c r="D8631" s="13" t="str">
        <x:v>Retail</x:v>
      </x:c>
      <x:c r="E8631" s="13" t="str">
        <x:v>Retail</x:v>
      </x:c>
      <x:c r="F8631" s="13" t="str">
        <x:v>Early Cyclicals</x:v>
      </x:c>
      <x:c r="G8631" s="13" t="str">
        <x:v>grid_cqzdsc3v.xlsx</x:v>
      </x:c>
    </x:row>
    <x:row r="8632">
      <x:c r="A8632" s="15" t="n">
        <x:v>44317</x:v>
      </x:c>
      <x:c r="B8632" s="13" t="str">
        <x:v>LOJAS AMERICANAS SA-PREF</x:v>
      </x:c>
      <x:c r="C8632" s="16" t="n">
        <x:v>751.2905582466</x:v>
      </x:c>
      <x:c r="D8632" s="13" t="str">
        <x:v>Retail</x:v>
      </x:c>
      <x:c r="E8632" s="13" t="str">
        <x:v>Retail</x:v>
      </x:c>
      <x:c r="F8632" s="13" t="str">
        <x:v>Early Cyclicals</x:v>
      </x:c>
      <x:c r="G8632" s="13" t="str">
        <x:v>grid_cqzdsc3v.xlsx</x:v>
      </x:c>
    </x:row>
    <x:row r="8633">
      <x:c r="A8633" s="15" t="n">
        <x:v>44317</x:v>
      </x:c>
      <x:c r="B8633" s="13" t="str">
        <x:v>LOJAS RENNER S.A.</x:v>
      </x:c>
      <x:c r="C8633" s="16" t="n">
        <x:v>1221.660319211</x:v>
      </x:c>
      <x:c r="D8633" s="13" t="str">
        <x:v>Retail</x:v>
      </x:c>
      <x:c r="E8633" s="13" t="str">
        <x:v>Retail</x:v>
      </x:c>
      <x:c r="F8633" s="13" t="str">
        <x:v>Early Cyclicals</x:v>
      </x:c>
      <x:c r="G8633" s="13" t="str">
        <x:v>grid_cqzdsc3v.xlsx</x:v>
      </x:c>
    </x:row>
    <x:row r="8634">
      <x:c r="A8634" s="15" t="n">
        <x:v>44317</x:v>
      </x:c>
      <x:c r="B8634" s="13" t="str">
        <x:v>MAGAZINE LUIZA SA</x:v>
      </x:c>
      <x:c r="C8634" s="16" t="n">
        <x:v>852.4197072658</x:v>
      </x:c>
      <x:c r="D8634" s="13" t="str">
        <x:v>Retail</x:v>
      </x:c>
      <x:c r="E8634" s="13" t="str">
        <x:v>Retail</x:v>
      </x:c>
      <x:c r="F8634" s="13" t="str">
        <x:v>Early Cyclicals</x:v>
      </x:c>
      <x:c r="G8634" s="13" t="str">
        <x:v>grid_cqzdsc3v.xlsx</x:v>
      </x:c>
    </x:row>
    <x:row r="8635">
      <x:c r="A8635" s="15" t="n">
        <x:v>44317</x:v>
      </x:c>
      <x:c r="B8635" s="13" t="str">
        <x:v>NATURA &amp;CO HOLDING SA</x:v>
      </x:c>
      <x:c r="C8635" s="16" t="n">
        <x:v>1226.5694926904</x:v>
      </x:c>
      <x:c r="D8635" s="13" t="str">
        <x:v>Retail</x:v>
      </x:c>
      <x:c r="E8635" s="13" t="str">
        <x:v>Retail</x:v>
      </x:c>
      <x:c r="F8635" s="13" t="str">
        <x:v>Early Cyclicals</x:v>
      </x:c>
      <x:c r="G8635" s="13" t="str">
        <x:v>grid_cqzdsc3v.xlsx</x:v>
      </x:c>
    </x:row>
    <x:row r="8636">
      <x:c r="A8636" s="15" t="n">
        <x:v>44317</x:v>
      </x:c>
      <x:c r="B8636" s="13" t="str">
        <x:v>RAIA DROGASIL SA</x:v>
      </x:c>
      <x:c r="C8636" s="16" t="n">
        <x:v>940.6230892712</x:v>
      </x:c>
      <x:c r="D8636" s="13" t="str">
        <x:v>Retail</x:v>
      </x:c>
      <x:c r="E8636" s="13" t="str">
        <x:v>Retail</x:v>
      </x:c>
      <x:c r="F8636" s="13" t="str">
        <x:v>Early Cyclicals</x:v>
      </x:c>
      <x:c r="G8636" s="13" t="str">
        <x:v>grid_cqzdsc3v.xlsx</x:v>
      </x:c>
    </x:row>
    <x:row r="8637">
      <x:c r="A8637" s="15" t="n">
        <x:v>44317</x:v>
      </x:c>
      <x:c r="B8637" s="13" t="str">
        <x:v>SENDAS DISTRIBUIDORA SA</x:v>
      </x:c>
      <x:c r="C8637" s="16" t="n">
        <x:v>1397.9704905644</x:v>
      </x:c>
      <x:c r="D8637" s="13" t="str">
        <x:v>Retail</x:v>
      </x:c>
      <x:c r="E8637" s="13" t="str">
        <x:v>Retail</x:v>
      </x:c>
      <x:c r="F8637" s="13" t="str">
        <x:v>Early Cyclicals</x:v>
      </x:c>
      <x:c r="G8637" s="13" t="str">
        <x:v>grid_cqzdsc3v.xlsx</x:v>
      </x:c>
    </x:row>
    <x:row r="8638">
      <x:c r="A8638" s="15" t="n">
        <x:v>44317</x:v>
      </x:c>
      <x:c r="B8638" s="13" t="str">
        <x:v>CIA SANEAMENTO BASICO DE SP</x:v>
      </x:c>
      <x:c r="C8638" s="16" t="n">
        <x:v>3414.3665488657</x:v>
      </x:c>
      <x:c r="D8638" s="13" t="str">
        <x:v>Sanitation</x:v>
      </x:c>
      <x:c r="E8638" s="13" t="str">
        <x:v>Utilities</x:v>
      </x:c>
      <x:c r="F8638" s="13" t="str">
        <x:v>Defensives</x:v>
      </x:c>
      <x:c r="G8638" s="13" t="str">
        <x:v>grid_cqzdsc3v.xlsx</x:v>
      </x:c>
    </x:row>
    <x:row r="8639">
      <x:c r="A8639" s="15" t="n">
        <x:v>44317</x:v>
      </x:c>
      <x:c r="B8639" s="13" t="str">
        <x:v>LWSA SA</x:v>
      </x:c>
      <x:c r="C8639" s="16" t="n">
        <x:v>126.1493150685</x:v>
      </x:c>
      <x:c r="D8639" s="13" t="str">
        <x:v>TMT</x:v>
      </x:c>
      <x:c r="E8639" s="13" t="str">
        <x:v>TMT</x:v>
      </x:c>
      <x:c r="F8639" s="13" t="str">
        <x:v>Early Cyclicals</x:v>
      </x:c>
      <x:c r="G8639" s="13" t="str">
        <x:v>grid_cqzdsc3v.xlsx</x:v>
      </x:c>
    </x:row>
    <x:row r="8640">
      <x:c r="A8640" s="15" t="n">
        <x:v>44317</x:v>
      </x:c>
      <x:c r="B8640" s="13" t="str">
        <x:v>TIM SA</x:v>
      </x:c>
      <x:c r="C8640" s="16" t="n">
        <x:v>2171.2054342137</x:v>
      </x:c>
      <x:c r="D8640" s="13" t="str">
        <x:v>TMT</x:v>
      </x:c>
      <x:c r="E8640" s="13" t="str">
        <x:v>TMT</x:v>
      </x:c>
      <x:c r="F8640" s="13" t="str">
        <x:v>Early Cyclicals</x:v>
      </x:c>
      <x:c r="G8640" s="13" t="str">
        <x:v>grid_cqzdsc3v.xlsx</x:v>
      </x:c>
    </x:row>
    <x:row r="8641">
      <x:c r="A8641" s="15" t="n">
        <x:v>44317</x:v>
      </x:c>
      <x:c r="B8641" s="13" t="str">
        <x:v>TOTVS SA</x:v>
      </x:c>
      <x:c r="C8641" s="16" t="n">
        <x:v>408.2965800329</x:v>
      </x:c>
      <x:c r="D8641" s="13" t="str">
        <x:v>TMT</x:v>
      </x:c>
      <x:c r="E8641" s="13" t="str">
        <x:v>TMT</x:v>
      </x:c>
      <x:c r="F8641" s="13" t="str">
        <x:v>Early Cyclicals</x:v>
      </x:c>
      <x:c r="G8641" s="13" t="str">
        <x:v>grid_cqzdsc3v.xlsx</x:v>
      </x:c>
    </x:row>
    <x:row r="8642">
      <x:c r="A8642" s="15" t="n">
        <x:v>44317</x:v>
      </x:c>
      <x:c r="B8642" s="13" t="str">
        <x:v>AZUL SA</x:v>
      </x:c>
      <x:c r="C8642" s="16" t="n">
        <x:v>-1698.6301838904</x:v>
      </x:c>
      <x:c r="D8642" s="13" t="str">
        <x:v>Transportation</x:v>
      </x:c>
      <x:c r="E8642" s="13" t="str">
        <x:v>Transportation</x:v>
      </x:c>
      <x:c r="F8642" s="13" t="str">
        <x:v>Deep Cyclicals</x:v>
      </x:c>
      <x:c r="G8642" s="13" t="str">
        <x:v>grid_cqzdsc3v.xlsx</x:v>
      </x:c>
    </x:row>
    <x:row r="8643">
      <x:c r="A8643" s="15" t="n">
        <x:v>44317</x:v>
      </x:c>
      <x:c r="B8643" s="13" t="str">
        <x:v>CIA DE LOCACAO DAS AMERICAS</x:v>
      </x:c>
      <x:c r="C8643" s="16" t="n">
        <x:v>870.2089322959</x:v>
      </x:c>
      <x:c r="D8643" s="13" t="str">
        <x:v>Transportation</x:v>
      </x:c>
      <x:c r="E8643" s="13" t="str">
        <x:v>Transportation</x:v>
      </x:c>
      <x:c r="F8643" s="13" t="str">
        <x:v>Deep Cyclicals</x:v>
      </x:c>
      <x:c r="G8643" s="13" t="str">
        <x:v>grid_cqzdsc3v.xlsx</x:v>
      </x:c>
    </x:row>
    <x:row r="8644">
      <x:c r="A8644" s="15" t="n">
        <x:v>44317</x:v>
      </x:c>
      <x:c r="B8644" s="13" t="str">
        <x:v>ECORODOVIAS INFRA E LOG SA</x:v>
      </x:c>
      <x:c r="C8644" s="16" t="n">
        <x:v>290.6684931507</x:v>
      </x:c>
      <x:c r="D8644" s="13" t="str">
        <x:v>Transportation</x:v>
      </x:c>
      <x:c r="E8644" s="13" t="str">
        <x:v>Transportation</x:v>
      </x:c>
      <x:c r="F8644" s="13" t="str">
        <x:v>Deep Cyclicals</x:v>
      </x:c>
      <x:c r="G8644" s="13" t="str">
        <x:v>grid_cqzdsc3v.xlsx</x:v>
      </x:c>
    </x:row>
    <x:row r="8645">
      <x:c r="A8645" s="15" t="n">
        <x:v>44317</x:v>
      </x:c>
      <x:c r="B8645" s="13" t="str">
        <x:v>GOL LINHAS AEREAS INT SA-PRE</x:v>
      </x:c>
      <x:c r="C8645" s="16" t="n">
        <x:v>-1061.3787549808</x:v>
      </x:c>
      <x:c r="D8645" s="13" t="str">
        <x:v>Transportation</x:v>
      </x:c>
      <x:c r="E8645" s="13" t="str">
        <x:v>Transportation</x:v>
      </x:c>
      <x:c r="F8645" s="13" t="str">
        <x:v>Deep Cyclicals</x:v>
      </x:c>
      <x:c r="G8645" s="13" t="str">
        <x:v>grid_cqzdsc3v.xlsx</x:v>
      </x:c>
    </x:row>
    <x:row r="8646">
      <x:c r="A8646" s="15" t="n">
        <x:v>44317</x:v>
      </x:c>
      <x:c r="B8646" s="13" t="str">
        <x:v>LOCALIZA RENT A CAR</x:v>
      </x:c>
      <x:c r="C8646" s="16" t="n">
        <x:v>1713.3468230137</x:v>
      </x:c>
      <x:c r="D8646" s="13" t="str">
        <x:v>Transportation</x:v>
      </x:c>
      <x:c r="E8646" s="13" t="str">
        <x:v>Transportation</x:v>
      </x:c>
      <x:c r="F8646" s="13" t="str">
        <x:v>Deep Cyclicals</x:v>
      </x:c>
      <x:c r="G8646" s="13" t="str">
        <x:v>grid_cqzdsc3v.xlsx</x:v>
      </x:c>
    </x:row>
    <x:row r="8647">
      <x:c r="A8647" s="15" t="n">
        <x:v>44317</x:v>
      </x:c>
      <x:c r="B8647" s="13" t="str">
        <x:v>MOTIVA INFRAESTRUTURA DE MOB</x:v>
      </x:c>
      <x:c r="C8647" s="16" t="n">
        <x:v>1263.6414660384</x:v>
      </x:c>
      <x:c r="D8647" s="13" t="str">
        <x:v>Transportation</x:v>
      </x:c>
      <x:c r="E8647" s="13" t="str">
        <x:v>Transportation</x:v>
      </x:c>
      <x:c r="F8647" s="13" t="str">
        <x:v>Deep Cyclicals</x:v>
      </x:c>
      <x:c r="G8647" s="13" t="str">
        <x:v>grid_cqzdsc3v.xlsx</x:v>
      </x:c>
    </x:row>
    <x:row r="8648">
      <x:c r="A8648" s="15" t="n">
        <x:v>44317</x:v>
      </x:c>
      <x:c r="B8648" s="13" t="str">
        <x:v>RUMO SA</x:v>
      </x:c>
      <x:c r="C8648" s="16" t="n">
        <x:v>1145.1019428822</x:v>
      </x:c>
      <x:c r="D8648" s="13" t="str">
        <x:v>Transportation</x:v>
      </x:c>
      <x:c r="E8648" s="13" t="str">
        <x:v>Transportation</x:v>
      </x:c>
      <x:c r="F8648" s="13" t="str">
        <x:v>Deep Cyclicals</x:v>
      </x:c>
      <x:c r="G8648" s="13" t="str">
        <x:v>grid_cqzdsc3v.xlsx</x:v>
      </x:c>
    </x:row>
    <x:row r="8649">
      <x:c r="A8649" s="15" t="n">
        <x:v>44317</x:v>
      </x:c>
      <x:c r="B8649" s="13" t="str">
        <x:v>AXIA ENERGIA SA</x:v>
      </x:c>
      <x:c r="C8649" s="16" t="n">
        <x:v>8470.9389017425</x:v>
      </x:c>
      <x:c r="D8649" s="13" t="str">
        <x:v>Utilities &amp; Energy</x:v>
      </x:c>
      <x:c r="E8649" s="13" t="str">
        <x:v>Utilities</x:v>
      </x:c>
      <x:c r="F8649" s="13" t="str">
        <x:v>Defensives</x:v>
      </x:c>
      <x:c r="G8649" s="13" t="str">
        <x:v>grid_cqzdsc3v.xlsx</x:v>
      </x:c>
    </x:row>
    <x:row r="8650">
      <x:c r="A8650" s="15" t="n">
        <x:v>44317</x:v>
      </x:c>
      <x:c r="B8650" s="13" t="str">
        <x:v>AXIA ENERGIA-PR B</x:v>
      </x:c>
      <x:c r="C8650" s="16" t="n">
        <x:v>8470.9389017425</x:v>
      </x:c>
      <x:c r="D8650" s="13" t="str">
        <x:v>Utilities &amp; Energy</x:v>
      </x:c>
      <x:c r="E8650" s="13" t="str">
        <x:v>Utilities</x:v>
      </x:c>
      <x:c r="F8650" s="13" t="str">
        <x:v>Defensives</x:v>
      </x:c>
      <x:c r="G8650" s="13" t="str">
        <x:v>grid_cqzdsc3v.xlsx</x:v>
      </x:c>
    </x:row>
    <x:row r="8651">
      <x:c r="A8651" s="15" t="n">
        <x:v>44317</x:v>
      </x:c>
      <x:c r="B8651" s="13" t="str">
        <x:v>CIA ENERGETICA MINAS GER-PRF</x:v>
      </x:c>
      <x:c r="C8651" s="16" t="n">
        <x:v>3077.1594780055</x:v>
      </x:c>
      <x:c r="D8651" s="13" t="str">
        <x:v>Utilities &amp; Energy</x:v>
      </x:c>
      <x:c r="E8651" s="13" t="str">
        <x:v>Utilities</x:v>
      </x:c>
      <x:c r="F8651" s="13" t="str">
        <x:v>Defensives</x:v>
      </x:c>
      <x:c r="G8651" s="13" t="str">
        <x:v>grid_cqzdsc3v.xlsx</x:v>
      </x:c>
    </x:row>
    <x:row r="8652">
      <x:c r="A8652" s="15" t="n">
        <x:v>44317</x:v>
      </x:c>
      <x:c r="B8652" s="13" t="str">
        <x:v>COMPANHIA PARANAENSE -PREF B</x:v>
      </x:c>
      <x:c r="C8652" s="16" t="n">
        <x:v>2712.9534246575</x:v>
      </x:c>
      <x:c r="D8652" s="13" t="str">
        <x:v>Utilities &amp; Energy</x:v>
      </x:c>
      <x:c r="E8652" s="13" t="str">
        <x:v>Utilities</x:v>
      </x:c>
      <x:c r="F8652" s="13" t="str">
        <x:v>Defensives</x:v>
      </x:c>
      <x:c r="G8652" s="13" t="str">
        <x:v>grid_cqzdsc3v.xlsx</x:v>
      </x:c>
    </x:row>
    <x:row r="8653">
      <x:c r="A8653" s="15" t="n">
        <x:v>44317</x:v>
      </x:c>
      <x:c r="B8653" s="13" t="str">
        <x:v>CPFL ENERGIA SA</x:v>
      </x:c>
      <x:c r="C8653" s="16" t="n">
        <x:v>3569.8376872329</x:v>
      </x:c>
      <x:c r="D8653" s="13" t="str">
        <x:v>Utilities &amp; Energy</x:v>
      </x:c>
      <x:c r="E8653" s="13" t="str">
        <x:v>Utilities</x:v>
      </x:c>
      <x:c r="F8653" s="13" t="str">
        <x:v>Defensives</x:v>
      </x:c>
      <x:c r="G8653" s="13" t="str">
        <x:v>grid_cqzdsc3v.xlsx</x:v>
      </x:c>
    </x:row>
    <x:row r="8654">
      <x:c r="A8654" s="15" t="n">
        <x:v>44317</x:v>
      </x:c>
      <x:c r="B8654" s="13" t="str">
        <x:v>EDP - ENERGIAS DO BRASIL SA</x:v>
      </x:c>
      <x:c r="C8654" s="16" t="n">
        <x:v>1447.0088311233</x:v>
      </x:c>
      <x:c r="D8654" s="13" t="str">
        <x:v>Utilities &amp; Energy</x:v>
      </x:c>
      <x:c r="E8654" s="13" t="str">
        <x:v>Utilities</x:v>
      </x:c>
      <x:c r="F8654" s="13" t="str">
        <x:v>Defensives</x:v>
      </x:c>
      <x:c r="G8654" s="13" t="str">
        <x:v>grid_cqzdsc3v.xlsx</x:v>
      </x:c>
    </x:row>
    <x:row r="8655">
      <x:c r="A8655" s="15" t="n">
        <x:v>44317</x:v>
      </x:c>
      <x:c r="B8655" s="13" t="str">
        <x:v>ENERGISA SA-UNITS</x:v>
      </x:c>
      <x:c r="C8655" s="16" t="n">
        <x:v>1933.9502009863</x:v>
      </x:c>
      <x:c r="D8655" s="13" t="str">
        <x:v>Utilities &amp; Energy</x:v>
      </x:c>
      <x:c r="E8655" s="13" t="str">
        <x:v>Utilities</x:v>
      </x:c>
      <x:c r="F8655" s="13" t="str">
        <x:v>Defensives</x:v>
      </x:c>
      <x:c r="G8655" s="13" t="str">
        <x:v>grid_cqzdsc3v.xlsx</x:v>
      </x:c>
    </x:row>
    <x:row r="8656">
      <x:c r="A8656" s="15" t="n">
        <x:v>44317</x:v>
      </x:c>
      <x:c r="B8656" s="13" t="str">
        <x:v>ENEVA SA</x:v>
      </x:c>
      <x:c r="C8656" s="16" t="n">
        <x:v>1209.6657159014</x:v>
      </x:c>
      <x:c r="D8656" s="13" t="str">
        <x:v>Utilities &amp; Energy</x:v>
      </x:c>
      <x:c r="E8656" s="13" t="str">
        <x:v>Utilities</x:v>
      </x:c>
      <x:c r="F8656" s="13" t="str">
        <x:v>Defensives</x:v>
      </x:c>
      <x:c r="G8656" s="13" t="str">
        <x:v>grid_cqzdsc3v.xlsx</x:v>
      </x:c>
    </x:row>
    <x:row r="8657">
      <x:c r="A8657" s="15" t="n">
        <x:v>44317</x:v>
      </x:c>
      <x:c r="B8657" s="13" t="str">
        <x:v>ENGIE BRASIL ENERGIA SA</x:v>
      </x:c>
      <x:c r="C8657" s="16" t="n">
        <x:v>3180.0164604493</x:v>
      </x:c>
      <x:c r="D8657" s="13" t="str">
        <x:v>Utilities &amp; Energy</x:v>
      </x:c>
      <x:c r="E8657" s="13" t="str">
        <x:v>Utilities</x:v>
      </x:c>
      <x:c r="F8657" s="13" t="str">
        <x:v>Defensives</x:v>
      </x:c>
      <x:c r="G8657" s="13" t="str">
        <x:v>grid_cqzdsc3v.xlsx</x:v>
      </x:c>
    </x:row>
    <x:row r="8658">
      <x:c r="A8658" s="15" t="n">
        <x:v>44317</x:v>
      </x:c>
      <x:c r="B8658" s="13" t="str">
        <x:v>EQUATORIAL SA - ORD</x:v>
      </x:c>
      <x:c r="C8658" s="16" t="n">
        <x:v>2028.3582351781</x:v>
      </x:c>
      <x:c r="D8658" s="13" t="str">
        <x:v>Utilities &amp; Energy</x:v>
      </x:c>
      <x:c r="E8658" s="13" t="str">
        <x:v>Utilities</x:v>
      </x:c>
      <x:c r="F8658" s="13" t="str">
        <x:v>Defensives</x:v>
      </x:c>
      <x:c r="G8658" s="13" t="str">
        <x:v>grid_cqzdsc3v.xlsx</x:v>
      </x:c>
    </x:row>
    <x:row r="8659">
      <x:c r="A8659" s="15" t="n">
        <x:v>44317</x:v>
      </x:c>
      <x:c r="B8659" s="13" t="str">
        <x:v>TRANSMISSORA ALIANCA DE-UNIT</x:v>
      </x:c>
      <x:c r="C8659" s="16" t="n">
        <x:v>1016.1972236274</x:v>
      </x:c>
      <x:c r="D8659" s="13" t="str">
        <x:v>Utilities &amp; Energy</x:v>
      </x:c>
      <x:c r="E8659" s="13" t="str">
        <x:v>Utilities</x:v>
      </x:c>
      <x:c r="F8659" s="13" t="str">
        <x:v>Defensives</x:v>
      </x:c>
      <x:c r="G8659" s="13" t="str">
        <x:v>grid_cqzdsc3v.xlsx</x:v>
      </x:c>
    </x:row>
    <x:row r="8660">
      <x:c r="A8660" s="15" t="n">
        <x:v>44348</x:v>
      </x:c>
      <x:c r="B8660" s="13" t="str">
        <x:v>BANCO BRADESCO S.A.</x:v>
      </x:c>
      <x:c r="C8660" s="16" t="n">
        <x:v>27024.7800158685</x:v>
      </x:c>
      <x:c r="D8660" s="13" t="str">
        <x:v>Banks</x:v>
      </x:c>
      <x:c r="E8660" s="13" t="str">
        <x:v>Banks</x:v>
      </x:c>
      <x:c r="F8660" s="13" t="str">
        <x:v>Financials</x:v>
      </x:c>
      <x:c r="G8660" s="13" t="str">
        <x:v>grid_cqzdsc3v.xlsx</x:v>
      </x:c>
    </x:row>
    <x:row r="8661">
      <x:c r="A8661" s="15" t="n">
        <x:v>44348</x:v>
      </x:c>
      <x:c r="B8661" s="13" t="str">
        <x:v>BANCO BRADESCO SA-PREF</x:v>
      </x:c>
      <x:c r="C8661" s="16" t="n">
        <x:v>27024.7800158685</x:v>
      </x:c>
      <x:c r="D8661" s="13" t="str">
        <x:v>Banks</x:v>
      </x:c>
      <x:c r="E8661" s="13" t="str">
        <x:v>Banks</x:v>
      </x:c>
      <x:c r="F8661" s="13" t="str">
        <x:v>Financials</x:v>
      </x:c>
      <x:c r="G8661" s="13" t="str">
        <x:v>grid_cqzdsc3v.xlsx</x:v>
      </x:c>
    </x:row>
    <x:row r="8662">
      <x:c r="A8662" s="15" t="n">
        <x:v>44348</x:v>
      </x:c>
      <x:c r="B8662" s="13" t="str">
        <x:v>BANCO BTG PACTUAL SA-UNIT</x:v>
      </x:c>
      <x:c r="C8662" s="16" t="n">
        <x:v>5891.8405624986</x:v>
      </x:c>
      <x:c r="D8662" s="13" t="str">
        <x:v>Banks</x:v>
      </x:c>
      <x:c r="E8662" s="13" t="str">
        <x:v>Banks</x:v>
      </x:c>
      <x:c r="F8662" s="13" t="str">
        <x:v>Financials</x:v>
      </x:c>
      <x:c r="G8662" s="13" t="str">
        <x:v>grid_cqzdsc3v.xlsx</x:v>
      </x:c>
    </x:row>
    <x:row r="8663">
      <x:c r="A8663" s="15" t="n">
        <x:v>44348</x:v>
      </x:c>
      <x:c r="B8663" s="13" t="str">
        <x:v>BANCO DO BRASIL S.A.</x:v>
      </x:c>
      <x:c r="C8663" s="16" t="n">
        <x:v>19056.2665345753</x:v>
      </x:c>
      <x:c r="D8663" s="13" t="str">
        <x:v>Banks</x:v>
      </x:c>
      <x:c r="E8663" s="13" t="str">
        <x:v>Banks</x:v>
      </x:c>
      <x:c r="F8663" s="13" t="str">
        <x:v>Financials</x:v>
      </x:c>
      <x:c r="G8663" s="13" t="str">
        <x:v>grid_cqzdsc3v.xlsx</x:v>
      </x:c>
    </x:row>
    <x:row r="8664">
      <x:c r="A8664" s="15" t="n">
        <x:v>44348</x:v>
      </x:c>
      <x:c r="B8664" s="13" t="str">
        <x:v>BANCO INTER SA</x:v>
      </x:c>
      <x:c r="C8664" s="16" t="n">
        <x:v>277.0465753425</x:v>
      </x:c>
      <x:c r="D8664" s="13" t="str">
        <x:v>Banks</x:v>
      </x:c>
      <x:c r="E8664" s="13" t="str">
        <x:v>Banks</x:v>
      </x:c>
      <x:c r="F8664" s="13" t="str">
        <x:v>Financials</x:v>
      </x:c>
      <x:c r="G8664" s="13" t="str">
        <x:v>grid_cqzdsc3v.xlsx</x:v>
      </x:c>
    </x:row>
    <x:row r="8665">
      <x:c r="A8665" s="15" t="n">
        <x:v>44348</x:v>
      </x:c>
      <x:c r="B8665" s="13" t="str">
        <x:v>BANCO SANTANDER  BRASIL-UNIT</x:v>
      </x:c>
      <x:c r="C8665" s="16" t="n">
        <x:v>16142.8358073863</x:v>
      </x:c>
      <x:c r="D8665" s="13" t="str">
        <x:v>Banks</x:v>
      </x:c>
      <x:c r="E8665" s="13" t="str">
        <x:v>Banks</x:v>
      </x:c>
      <x:c r="F8665" s="13" t="str">
        <x:v>Financials</x:v>
      </x:c>
      <x:c r="G8665" s="13" t="str">
        <x:v>grid_cqzdsc3v.xlsx</x:v>
      </x:c>
    </x:row>
    <x:row r="8666">
      <x:c r="A8666" s="15" t="n">
        <x:v>44348</x:v>
      </x:c>
      <x:c r="B8666" s="13" t="str">
        <x:v>ITAU UNIBANCO HOLDING S-PREF</x:v>
      </x:c>
      <x:c r="C8666" s="16" t="n">
        <x:v>26107.3348018849</x:v>
      </x:c>
      <x:c r="D8666" s="13" t="str">
        <x:v>Banks</x:v>
      </x:c>
      <x:c r="E8666" s="13" t="str">
        <x:v>Banks</x:v>
      </x:c>
      <x:c r="F8666" s="13" t="str">
        <x:v>Financials</x:v>
      </x:c>
      <x:c r="G8666" s="13" t="str">
        <x:v>grid_cqzdsc3v.xlsx</x:v>
      </x:c>
    </x:row>
    <x:row r="8667">
      <x:c r="A8667" s="15" t="n">
        <x:v>44348</x:v>
      </x:c>
      <x:c r="B8667" s="13" t="str">
        <x:v>EMBRAER SA</x:v>
      </x:c>
      <x:c r="C8667" s="16" t="n">
        <x:v>-285.2491737425</x:v>
      </x:c>
      <x:c r="D8667" s="13" t="str">
        <x:v>Capital Goods</x:v>
      </x:c>
      <x:c r="E8667" s="13" t="str">
        <x:v>Capital Goods</x:v>
      </x:c>
      <x:c r="F8667" s="13" t="str">
        <x:v>Deep Cyclicals</x:v>
      </x:c>
      <x:c r="G8667" s="13" t="str">
        <x:v>grid_cqzdsc3v.xlsx</x:v>
      </x:c>
    </x:row>
    <x:row r="8668">
      <x:c r="A8668" s="15" t="n">
        <x:v>44348</x:v>
      </x:c>
      <x:c r="B8668" s="13" t="str">
        <x:v>WEG SA</x:v>
      </x:c>
      <x:c r="C8668" s="16" t="n">
        <x:v>3237.7239509918</x:v>
      </x:c>
      <x:c r="D8668" s="13" t="str">
        <x:v>Capital Goods</x:v>
      </x:c>
      <x:c r="E8668" s="13" t="str">
        <x:v>Capital Goods</x:v>
      </x:c>
      <x:c r="F8668" s="13" t="str">
        <x:v>Deep Cyclicals</x:v>
      </x:c>
      <x:c r="G8668" s="13" t="str">
        <x:v>grid_cqzdsc3v.xlsx</x:v>
      </x:c>
    </x:row>
    <x:row r="8669">
      <x:c r="A8669" s="15" t="n">
        <x:v>44348</x:v>
      </x:c>
      <x:c r="B8669" s="13" t="str">
        <x:v>COGNA EDUCACAO</x:v>
      </x:c>
      <x:c r="C8669" s="16" t="n">
        <x:v>4.2987671233</x:v>
      </x:c>
      <x:c r="D8669" s="13" t="str">
        <x:v>Education</x:v>
      </x:c>
      <x:c r="E8669" s="13" t="str">
        <x:v>Education</x:v>
      </x:c>
      <x:c r="F8669" s="13" t="str">
        <x:v>Early Cyclicals</x:v>
      </x:c>
      <x:c r="G8669" s="13" t="str">
        <x:v>grid_cqzdsc3v.xlsx</x:v>
      </x:c>
    </x:row>
    <x:row r="8670">
      <x:c r="A8670" s="15" t="n">
        <x:v>44348</x:v>
      </x:c>
      <x:c r="B8670" s="13" t="str">
        <x:v>YDUQS PARTICIPACOES SA</x:v>
      </x:c>
      <x:c r="C8670" s="16" t="n">
        <x:v>632.1234808986</x:v>
      </x:c>
      <x:c r="D8670" s="13" t="str">
        <x:v>Education</x:v>
      </x:c>
      <x:c r="E8670" s="13" t="str">
        <x:v>Education</x:v>
      </x:c>
      <x:c r="F8670" s="13" t="str">
        <x:v>Early Cyclicals</x:v>
      </x:c>
      <x:c r="G8670" s="13" t="str">
        <x:v>grid_cqzdsc3v.xlsx</x:v>
      </x:c>
    </x:row>
    <x:row r="8671">
      <x:c r="A8671" s="15" t="n">
        <x:v>44348</x:v>
      </x:c>
      <x:c r="B8671" s="13" t="str">
        <x:v>B3 SA-BRASIL BOLSA BALCAO</x:v>
      </x:c>
      <x:c r="C8671" s="16" t="n">
        <x:v>5210.2068841206</x:v>
      </x:c>
      <x:c r="D8671" s="13" t="str">
        <x:v>Financials Non-Banks</x:v>
      </x:c>
      <x:c r="E8671" s="13" t="str">
        <x:v>Financials Non-Banks</x:v>
      </x:c>
      <x:c r="F8671" s="13" t="str">
        <x:v>Financials</x:v>
      </x:c>
      <x:c r="G8671" s="13" t="str">
        <x:v>grid_cqzdsc3v.xlsx</x:v>
      </x:c>
    </x:row>
    <x:row r="8672">
      <x:c r="A8672" s="15" t="n">
        <x:v>44348</x:v>
      </x:c>
      <x:c r="B8672" s="13" t="str">
        <x:v>BB SEGURIDADE PARTICIPACOES</x:v>
      </x:c>
      <x:c r="C8672" s="16" t="n">
        <x:v>4607.1667361315</x:v>
      </x:c>
      <x:c r="D8672" s="13" t="str">
        <x:v>Financials Non-Banks</x:v>
      </x:c>
      <x:c r="E8672" s="13" t="str">
        <x:v>Financials Non-Banks</x:v>
      </x:c>
      <x:c r="F8672" s="13" t="str">
        <x:v>Financials</x:v>
      </x:c>
      <x:c r="G8672" s="13" t="str">
        <x:v>grid_cqzdsc3v.xlsx</x:v>
      </x:c>
    </x:row>
    <x:row r="8673">
      <x:c r="A8673" s="15" t="n">
        <x:v>44348</x:v>
      </x:c>
      <x:c r="B8673" s="13" t="str">
        <x:v>CIELO SA</x:v>
      </x:c>
      <x:c r="C8673" s="16" t="n">
        <x:v>804.3526384219</x:v>
      </x:c>
      <x:c r="D8673" s="13" t="str">
        <x:v>Financials Non-Banks</x:v>
      </x:c>
      <x:c r="E8673" s="13" t="str">
        <x:v>Financials Non-Banks</x:v>
      </x:c>
      <x:c r="F8673" s="13" t="str">
        <x:v>Financials</x:v>
      </x:c>
      <x:c r="G8673" s="13" t="str">
        <x:v>Ibovespa_earnings_consolidated.xlsx</x:v>
      </x:c>
    </x:row>
    <x:row r="8674">
      <x:c r="A8674" s="15" t="n">
        <x:v>44348</x:v>
      </x:c>
      <x:c r="B8674" s="13" t="str">
        <x:v>CIELO SA - INSTITUICAO DE PA</x:v>
      </x:c>
      <x:c r="C8674" s="16" t="n">
        <x:v>804.3526384219</x:v>
      </x:c>
      <x:c r="D8674" s="13" t="str">
        <x:v>Financials Non-Banks</x:v>
      </x:c>
      <x:c r="E8674" s="13" t="str">
        <x:v>Financials Non-Banks</x:v>
      </x:c>
      <x:c r="F8674" s="13" t="str">
        <x:v>Financials</x:v>
      </x:c>
      <x:c r="G8674" s="13" t="str">
        <x:v>grid_cqzdsc3v.xlsx</x:v>
      </x:c>
    </x:row>
    <x:row r="8675">
      <x:c r="A8675" s="15" t="n">
        <x:v>44348</x:v>
      </x:c>
      <x:c r="B8675" s="13" t="str">
        <x:v>IRB BRASIL RESSEGUROS SA</x:v>
      </x:c>
      <x:c r="C8675" s="16" t="n">
        <x:v>385.8637576767</x:v>
      </x:c>
      <x:c r="D8675" s="13" t="str">
        <x:v>Financials Non-Banks</x:v>
      </x:c>
      <x:c r="E8675" s="13" t="str">
        <x:v>Financials Non-Banks</x:v>
      </x:c>
      <x:c r="F8675" s="13" t="str">
        <x:v>Financials</x:v>
      </x:c>
      <x:c r="G8675" s="13" t="str">
        <x:v>grid_cqzdsc3v.xlsx</x:v>
      </x:c>
    </x:row>
    <x:row r="8676">
      <x:c r="A8676" s="15" t="n">
        <x:v>44348</x:v>
      </x:c>
      <x:c r="B8676" s="13" t="str">
        <x:v>ITAUSA SA</x:v>
      </x:c>
      <x:c r="C8676" s="16" t="n">
        <x:v>10014.4985494795</x:v>
      </x:c>
      <x:c r="D8676" s="13" t="str">
        <x:v>Financials Non-Banks</x:v>
      </x:c>
      <x:c r="E8676" s="13" t="str">
        <x:v>Financials Non-Banks</x:v>
      </x:c>
      <x:c r="F8676" s="13" t="str">
        <x:v>Financials</x:v>
      </x:c>
      <x:c r="G8676" s="13" t="str">
        <x:v>grid_cqzdsc3v.xlsx</x:v>
      </x:c>
    </x:row>
    <x:row r="8677">
      <x:c r="A8677" s="15" t="n">
        <x:v>44348</x:v>
      </x:c>
      <x:c r="B8677" s="13" t="str">
        <x:v>AMBEV SA</x:v>
      </x:c>
      <x:c r="C8677" s="16" t="n">
        <x:v>11616.9470064219</x:v>
      </x:c>
      <x:c r="D8677" s="13" t="str">
        <x:v>Food &amp; Beverages</x:v>
      </x:c>
      <x:c r="E8677" s="13" t="str">
        <x:v>Agri, Food &amp; Beverages</x:v>
      </x:c>
      <x:c r="F8677" s="13" t="str">
        <x:v>Defensives</x:v>
      </x:c>
      <x:c r="G8677" s="13" t="str">
        <x:v>grid_cqzdsc3v.xlsx</x:v>
      </x:c>
    </x:row>
    <x:row r="8678">
      <x:c r="A8678" s="15" t="n">
        <x:v>44348</x:v>
      </x:c>
      <x:c r="B8678" s="13" t="str">
        <x:v>BRF SA</x:v>
      </x:c>
      <x:c r="C8678" s="16" t="n">
        <x:v>1096.9302899726</x:v>
      </x:c>
      <x:c r="D8678" s="13" t="str">
        <x:v>Food &amp; Beverages</x:v>
      </x:c>
      <x:c r="E8678" s="13" t="str">
        <x:v>Agri, Food &amp; Beverages</x:v>
      </x:c>
      <x:c r="F8678" s="13" t="str">
        <x:v>Defensives</x:v>
      </x:c>
      <x:c r="G8678" s="13" t="str">
        <x:v>grid_cqzdsc3v.xlsx</x:v>
      </x:c>
    </x:row>
    <x:row r="8679">
      <x:c r="A8679" s="15" t="n">
        <x:v>44348</x:v>
      </x:c>
      <x:c r="B8679" s="13" t="str">
        <x:v>JBS SA</x:v>
      </x:c>
      <x:c r="C8679" s="16" t="n">
        <x:v>9674.4511207452</x:v>
      </x:c>
      <x:c r="D8679" s="13" t="str">
        <x:v>Food &amp; Beverages</x:v>
      </x:c>
      <x:c r="E8679" s="13" t="str">
        <x:v>Agri, Food &amp; Beverages</x:v>
      </x:c>
      <x:c r="F8679" s="13" t="str">
        <x:v>Defensives</x:v>
      </x:c>
      <x:c r="G8679" s="13" t="str">
        <x:v>grid_cqzdsc3v.xlsx</x:v>
      </x:c>
    </x:row>
    <x:row r="8680">
      <x:c r="A8680" s="15" t="n">
        <x:v>44348</x:v>
      </x:c>
      <x:c r="B8680" s="13" t="str">
        <x:v>MBRF GLOBAL FOODS COMPANY SA</x:v>
      </x:c>
      <x:c r="C8680" s="16" t="n">
        <x:v>2015.1693326027</x:v>
      </x:c>
      <x:c r="D8680" s="13" t="str">
        <x:v>Food &amp; Beverages</x:v>
      </x:c>
      <x:c r="E8680" s="13" t="str">
        <x:v>Agri, Food &amp; Beverages</x:v>
      </x:c>
      <x:c r="F8680" s="13" t="str">
        <x:v>Defensives</x:v>
      </x:c>
      <x:c r="G8680" s="13" t="str">
        <x:v>grid_cqzdsc3v.xlsx</x:v>
      </x:c>
    </x:row>
    <x:row r="8681">
      <x:c r="A8681" s="15" t="n">
        <x:v>44348</x:v>
      </x:c>
      <x:c r="B8681" s="13" t="str">
        <x:v>MINERVA SA</x:v>
      </x:c>
      <x:c r="C8681" s="16" t="n">
        <x:v>588.2233038027</x:v>
      </x:c>
      <x:c r="D8681" s="13" t="str">
        <x:v>Food &amp; Beverages</x:v>
      </x:c>
      <x:c r="E8681" s="13" t="str">
        <x:v>Agri, Food &amp; Beverages</x:v>
      </x:c>
      <x:c r="F8681" s="13" t="str">
        <x:v>Defensives</x:v>
      </x:c>
      <x:c r="G8681" s="13" t="str">
        <x:v>grid_cqzdsc3v.xlsx</x:v>
      </x:c>
    </x:row>
    <x:row r="8682">
      <x:c r="A8682" s="15" t="n">
        <x:v>44348</x:v>
      </x:c>
      <x:c r="B8682" s="13" t="str">
        <x:v>FLEURY SA</x:v>
      </x:c>
      <x:c r="C8682" s="16" t="n">
        <x:v>358.9615285479</x:v>
      </x:c>
      <x:c r="D8682" s="13" t="str">
        <x:v>Health Care</x:v>
      </x:c>
      <x:c r="E8682" s="13" t="str">
        <x:v>Health Care</x:v>
      </x:c>
      <x:c r="F8682" s="13" t="str">
        <x:v>Defensives</x:v>
      </x:c>
      <x:c r="G8682" s="13" t="str">
        <x:v>grid_cqzdsc3v.xlsx</x:v>
      </x:c>
    </x:row>
    <x:row r="8683">
      <x:c r="A8683" s="15" t="n">
        <x:v>44348</x:v>
      </x:c>
      <x:c r="B8683" s="13" t="str">
        <x:v>HAPVIDA PARTICIPACOES E INVE</x:v>
      </x:c>
      <x:c r="C8683" s="16" t="n">
        <x:v>1340.500645874</x:v>
      </x:c>
      <x:c r="D8683" s="13" t="str">
        <x:v>Health Care</x:v>
      </x:c>
      <x:c r="E8683" s="13" t="str">
        <x:v>Health Care</x:v>
      </x:c>
      <x:c r="F8683" s="13" t="str">
        <x:v>Defensives</x:v>
      </x:c>
      <x:c r="G8683" s="13" t="str">
        <x:v>grid_cqzdsc3v.xlsx</x:v>
      </x:c>
    </x:row>
    <x:row r="8684">
      <x:c r="A8684" s="15" t="n">
        <x:v>44348</x:v>
      </x:c>
      <x:c r="B8684" s="13" t="str">
        <x:v>HYPERA SA</x:v>
      </x:c>
      <x:c r="C8684" s="16" t="n">
        <x:v>1507.1786927343</x:v>
      </x:c>
      <x:c r="D8684" s="13" t="str">
        <x:v>Health Care</x:v>
      </x:c>
      <x:c r="E8684" s="13" t="str">
        <x:v>Health Care</x:v>
      </x:c>
      <x:c r="F8684" s="13" t="str">
        <x:v>Defensives</x:v>
      </x:c>
      <x:c r="G8684" s="13" t="str">
        <x:v>grid_cqzdsc3v.xlsx</x:v>
      </x:c>
    </x:row>
    <x:row r="8685">
      <x:c r="A8685" s="15" t="n">
        <x:v>44348</x:v>
      </x:c>
      <x:c r="B8685" s="13" t="str">
        <x:v>NOTRE DAME INTERMED PAR SA</x:v>
      </x:c>
      <x:c r="C8685" s="16" t="n">
        <x:v>990.2615566027</x:v>
      </x:c>
      <x:c r="D8685" s="13" t="str">
        <x:v>Health Care</x:v>
      </x:c>
      <x:c r="E8685" s="13" t="str">
        <x:v>Health Care</x:v>
      </x:c>
      <x:c r="F8685" s="13" t="str">
        <x:v>Defensives</x:v>
      </x:c>
      <x:c r="G8685" s="13" t="str">
        <x:v>grid_cqzdsc3v.xlsx</x:v>
      </x:c>
    </x:row>
    <x:row r="8686">
      <x:c r="A8686" s="15" t="n">
        <x:v>44348</x:v>
      </x:c>
      <x:c r="B8686" s="13" t="str">
        <x:v>QUALICORP CONS E CORR SEG SA</x:v>
      </x:c>
      <x:c r="C8686" s="16" t="n">
        <x:v>481.2342465753</x:v>
      </x:c>
      <x:c r="D8686" s="13" t="str">
        <x:v>Health Care</x:v>
      </x:c>
      <x:c r="E8686" s="13" t="str">
        <x:v>Health Care</x:v>
      </x:c>
      <x:c r="F8686" s="13" t="str">
        <x:v>Defensives</x:v>
      </x:c>
      <x:c r="G8686" s="13" t="str">
        <x:v>grid_cqzdsc3v.xlsx</x:v>
      </x:c>
    </x:row>
    <x:row r="8687">
      <x:c r="A8687" s="15" t="n">
        <x:v>44348</x:v>
      </x:c>
      <x:c r="B8687" s="13" t="str">
        <x:v>SUL AMERICA SA - UNITS</x:v>
      </x:c>
      <x:c r="C8687" s="16" t="n">
        <x:v>882.9040999452</x:v>
      </x:c>
      <x:c r="D8687" s="13" t="str">
        <x:v>Health Care</x:v>
      </x:c>
      <x:c r="E8687" s="13" t="str">
        <x:v>Health Care</x:v>
      </x:c>
      <x:c r="F8687" s="13" t="str">
        <x:v>Defensives</x:v>
      </x:c>
      <x:c r="G8687" s="13" t="str">
        <x:v>grid_cqzdsc3v.xlsx</x:v>
      </x:c>
    </x:row>
    <x:row r="8688">
      <x:c r="A8688" s="15" t="n">
        <x:v>44348</x:v>
      </x:c>
      <x:c r="B8688" s="13" t="str">
        <x:v>CYRELA BRAZIL REALTY SA EMP</x:v>
      </x:c>
      <x:c r="C8688" s="16" t="n">
        <x:v>950.5541642521</x:v>
      </x:c>
      <x:c r="D8688" s="13" t="str">
        <x:v>Homebuilders</x:v>
      </x:c>
      <x:c r="E8688" s="13" t="str">
        <x:v>Real Estate</x:v>
      </x:c>
      <x:c r="F8688" s="13" t="str">
        <x:v>Early Cyclicals</x:v>
      </x:c>
      <x:c r="G8688" s="13" t="str">
        <x:v>grid_cqzdsc3v.xlsx</x:v>
      </x:c>
    </x:row>
    <x:row r="8689">
      <x:c r="A8689" s="15" t="n">
        <x:v>44348</x:v>
      </x:c>
      <x:c r="B8689" s="13" t="str">
        <x:v>EZ TEC EMPREENDIMENTOS E PAR</x:v>
      </x:c>
      <x:c r="C8689" s="16" t="n">
        <x:v>604.3184932822</x:v>
      </x:c>
      <x:c r="D8689" s="13" t="str">
        <x:v>Homebuilders</x:v>
      </x:c>
      <x:c r="E8689" s="13" t="str">
        <x:v>Real Estate</x:v>
      </x:c>
      <x:c r="F8689" s="13" t="str">
        <x:v>Early Cyclicals</x:v>
      </x:c>
      <x:c r="G8689" s="13" t="str">
        <x:v>grid_cqzdsc3v.xlsx</x:v>
      </x:c>
    </x:row>
    <x:row r="8690">
      <x:c r="A8690" s="15" t="n">
        <x:v>44348</x:v>
      </x:c>
      <x:c r="B8690" s="13" t="str">
        <x:v>MRV ENGENHARIA</x:v>
      </x:c>
      <x:c r="C8690" s="16" t="n">
        <x:v>848.1073972603</x:v>
      </x:c>
      <x:c r="D8690" s="13" t="str">
        <x:v>Homebuilders</x:v>
      </x:c>
      <x:c r="E8690" s="13" t="str">
        <x:v>Real Estate</x:v>
      </x:c>
      <x:c r="F8690" s="13" t="str">
        <x:v>Early Cyclicals</x:v>
      </x:c>
      <x:c r="G8690" s="13" t="str">
        <x:v>grid_cqzdsc3v.xlsx</x:v>
      </x:c>
    </x:row>
    <x:row r="8691">
      <x:c r="A8691" s="15" t="n">
        <x:v>44348</x:v>
      </x:c>
      <x:c r="B8691" s="13" t="str">
        <x:v>BR MALLS PARTICIPACOES SA</x:v>
      </x:c>
      <x:c r="C8691" s="16" t="n">
        <x:v>487.1736872329</x:v>
      </x:c>
      <x:c r="D8691" s="13" t="str">
        <x:v>Income Properties</x:v>
      </x:c>
      <x:c r="E8691" s="13" t="str">
        <x:v>Real Estate</x:v>
      </x:c>
      <x:c r="F8691" s="13" t="str">
        <x:v>Early Cyclicals</x:v>
      </x:c>
      <x:c r="G8691" s="13" t="str">
        <x:v>grid_cqzdsc3v.xlsx</x:v>
      </x:c>
    </x:row>
    <x:row r="8692">
      <x:c r="A8692" s="15" t="n">
        <x:v>44348</x:v>
      </x:c>
      <x:c r="B8692" s="13" t="str">
        <x:v>IGUATEMI EMP DE SHOPPING</x:v>
      </x:c>
      <x:c r="C8692" s="16" t="n">
        <x:v>246.4301369863</x:v>
      </x:c>
      <x:c r="D8692" s="13" t="str">
        <x:v>Income Properties</x:v>
      </x:c>
      <x:c r="E8692" s="13" t="str">
        <x:v>Real Estate</x:v>
      </x:c>
      <x:c r="F8692" s="13" t="str">
        <x:v>Early Cyclicals</x:v>
      </x:c>
      <x:c r="G8692" s="13" t="str">
        <x:v>grid_cqzdsc3v.xlsx</x:v>
      </x:c>
    </x:row>
    <x:row r="8693">
      <x:c r="A8693" s="15" t="n">
        <x:v>44348</x:v>
      </x:c>
      <x:c r="B8693" s="13" t="str">
        <x:v>JHSF PARTICIPACOES SA</x:v>
      </x:c>
      <x:c r="C8693" s="16" t="n">
        <x:v>442.797260274</x:v>
      </x:c>
      <x:c r="D8693" s="13" t="str">
        <x:v>Income Properties</x:v>
      </x:c>
      <x:c r="E8693" s="13" t="str">
        <x:v>Real Estate</x:v>
      </x:c>
      <x:c r="F8693" s="13" t="str">
        <x:v>Early Cyclicals</x:v>
      </x:c>
      <x:c r="G8693" s="13" t="str">
        <x:v>grid_cqzdsc3v.xlsx</x:v>
      </x:c>
    </x:row>
    <x:row r="8694">
      <x:c r="A8694" s="15" t="n">
        <x:v>44348</x:v>
      </x:c>
      <x:c r="B8694" s="13" t="str">
        <x:v>MULTIPLAN EMPREENDIMENTOS</x:v>
      </x:c>
      <x:c r="C8694" s="16" t="n">
        <x:v>497.5335025973</x:v>
      </x:c>
      <x:c r="D8694" s="13" t="str">
        <x:v>Income Properties</x:v>
      </x:c>
      <x:c r="E8694" s="13" t="str">
        <x:v>Real Estate</x:v>
      </x:c>
      <x:c r="F8694" s="13" t="str">
        <x:v>Early Cyclicals</x:v>
      </x:c>
      <x:c r="G8694" s="13" t="str">
        <x:v>grid_cqzdsc3v.xlsx</x:v>
      </x:c>
    </x:row>
    <x:row r="8695">
      <x:c r="A8695" s="15" t="n">
        <x:v>44348</x:v>
      </x:c>
      <x:c r="B8695" s="13" t="str">
        <x:v>CIA SIDERURGICA NACIONAL SA</x:v>
      </x:c>
      <x:c r="C8695" s="16" t="n">
        <x:v>14255.2173385644</x:v>
      </x:c>
      <x:c r="D8695" s="13" t="str">
        <x:v>Metals &amp; Mining</x:v>
      </x:c>
      <x:c r="E8695" s="13" t="str">
        <x:v>Metals &amp; Mining</x:v>
      </x:c>
      <x:c r="F8695" s="13" t="str">
        <x:v>Deep Cyclicals</x:v>
      </x:c>
      <x:c r="G8695" s="13" t="str">
        <x:v>grid_cqzdsc3v.xlsx</x:v>
      </x:c>
    </x:row>
    <x:row r="8696">
      <x:c r="A8696" s="15" t="n">
        <x:v>44348</x:v>
      </x:c>
      <x:c r="B8696" s="13" t="str">
        <x:v>GERDAU SA-PREF</x:v>
      </x:c>
      <x:c r="C8696" s="16" t="n">
        <x:v>8419.730507748</x:v>
      </x:c>
      <x:c r="D8696" s="13" t="str">
        <x:v>Metals &amp; Mining</x:v>
      </x:c>
      <x:c r="E8696" s="13" t="str">
        <x:v>Metals &amp; Mining</x:v>
      </x:c>
      <x:c r="F8696" s="13" t="str">
        <x:v>Deep Cyclicals</x:v>
      </x:c>
      <x:c r="G8696" s="13" t="str">
        <x:v>grid_cqzdsc3v.xlsx</x:v>
      </x:c>
    </x:row>
    <x:row r="8697">
      <x:c r="A8697" s="15" t="n">
        <x:v>44348</x:v>
      </x:c>
      <x:c r="B8697" s="13" t="str">
        <x:v>USINAS SIDER MINAS GER-PF A</x:v>
      </x:c>
      <x:c r="C8697" s="16" t="n">
        <x:v>4422.5314879123</x:v>
      </x:c>
      <x:c r="D8697" s="13" t="str">
        <x:v>Metals &amp; Mining</x:v>
      </x:c>
      <x:c r="E8697" s="13" t="str">
        <x:v>Metals &amp; Mining</x:v>
      </x:c>
      <x:c r="F8697" s="13" t="str">
        <x:v>Deep Cyclicals</x:v>
      </x:c>
      <x:c r="G8697" s="13" t="str">
        <x:v>grid_cqzdsc3v.xlsx</x:v>
      </x:c>
    </x:row>
    <x:row r="8698">
      <x:c r="A8698" s="15" t="n">
        <x:v>44348</x:v>
      </x:c>
      <x:c r="B8698" s="13" t="str">
        <x:v>VALE SA</x:v>
      </x:c>
      <x:c r="C8698" s="16" t="n">
        <x:v>116468.198492581</x:v>
      </x:c>
      <x:c r="D8698" s="13" t="str">
        <x:v>Metals &amp; Mining</x:v>
      </x:c>
      <x:c r="E8698" s="13" t="str">
        <x:v>Metals &amp; Mining</x:v>
      </x:c>
      <x:c r="F8698" s="13" t="str">
        <x:v>Deep Cyclicals</x:v>
      </x:c>
      <x:c r="G8698" s="13" t="str">
        <x:v>grid_cqzdsc3v.xlsx</x:v>
      </x:c>
    </x:row>
    <x:row r="8699">
      <x:c r="A8699" s="15" t="n">
        <x:v>44348</x:v>
      </x:c>
      <x:c r="B8699" s="13" t="str">
        <x:v>BRASKEM SA-PREF A</x:v>
      </x:c>
      <x:c r="C8699" s="16" t="n">
        <x:v>9448.3119566904</x:v>
      </x:c>
      <x:c r="D8699" s="13" t="str">
        <x:v>Oil, Gas &amp; Petrochemicals</x:v>
      </x:c>
      <x:c r="E8699" s="13" t="str">
        <x:v>Oil, Gas &amp; Petrochemicals</x:v>
      </x:c>
      <x:c r="F8699" s="13" t="str">
        <x:v>Deep Cyclicals</x:v>
      </x:c>
      <x:c r="G8699" s="13" t="str">
        <x:v>grid_cqzdsc3v.xlsx</x:v>
      </x:c>
    </x:row>
    <x:row r="8700">
      <x:c r="A8700" s="15" t="n">
        <x:v>44348</x:v>
      </x:c>
      <x:c r="B8700" s="13" t="str">
        <x:v>COSAN SA</x:v>
      </x:c>
      <x:c r="C8700" s="16" t="n">
        <x:v>2961.8520064</x:v>
      </x:c>
      <x:c r="D8700" s="13" t="str">
        <x:v>Oil, Gas &amp; Petrochemicals</x:v>
      </x:c>
      <x:c r="E8700" s="13" t="str">
        <x:v>Oil, Gas &amp; Petrochemicals</x:v>
      </x:c>
      <x:c r="F8700" s="13" t="str">
        <x:v>Deep Cyclicals</x:v>
      </x:c>
      <x:c r="G8700" s="13" t="str">
        <x:v>grid_cqzdsc3v.xlsx</x:v>
      </x:c>
    </x:row>
    <x:row r="8701">
      <x:c r="A8701" s="15" t="n">
        <x:v>44348</x:v>
      </x:c>
      <x:c r="B8701" s="13" t="str">
        <x:v>PETROBRAS - PETROLEO BRAS</x:v>
      </x:c>
      <x:c r="C8701" s="16" t="n">
        <x:v>66787.5196030247</x:v>
      </x:c>
      <x:c r="D8701" s="13" t="str">
        <x:v>Oil, Gas &amp; Petrochemicals</x:v>
      </x:c>
      <x:c r="E8701" s="13" t="str">
        <x:v>Oil, Gas &amp; Petrochemicals</x:v>
      </x:c>
      <x:c r="F8701" s="13" t="str">
        <x:v>Deep Cyclicals</x:v>
      </x:c>
      <x:c r="G8701" s="13" t="str">
        <x:v>grid_cqzdsc3v.xlsx</x:v>
      </x:c>
    </x:row>
    <x:row r="8702">
      <x:c r="A8702" s="15" t="n">
        <x:v>44348</x:v>
      </x:c>
      <x:c r="B8702" s="13" t="str">
        <x:v>PRIO SA</x:v>
      </x:c>
      <x:c r="C8702" s="16" t="n">
        <x:v>1556.0062271123</x:v>
      </x:c>
      <x:c r="D8702" s="13" t="str">
        <x:v>Oil, Gas &amp; Petrochemicals</x:v>
      </x:c>
      <x:c r="E8702" s="13" t="str">
        <x:v>Oil, Gas &amp; Petrochemicals</x:v>
      </x:c>
      <x:c r="F8702" s="13" t="str">
        <x:v>Deep Cyclicals</x:v>
      </x:c>
      <x:c r="G8702" s="13" t="str">
        <x:v>grid_cqzdsc3v.xlsx</x:v>
      </x:c>
    </x:row>
    <x:row r="8703">
      <x:c r="A8703" s="15" t="n">
        <x:v>44348</x:v>
      </x:c>
      <x:c r="B8703" s="13" t="str">
        <x:v>ULTRAPAR PARTICIPACOES SA</x:v>
      </x:c>
      <x:c r="C8703" s="16" t="n">
        <x:v>1307.908051463</x:v>
      </x:c>
      <x:c r="D8703" s="13" t="str">
        <x:v>Oil, Gas &amp; Petrochemicals</x:v>
      </x:c>
      <x:c r="E8703" s="13" t="str">
        <x:v>Oil, Gas &amp; Petrochemicals</x:v>
      </x:c>
      <x:c r="F8703" s="13" t="str">
        <x:v>Deep Cyclicals</x:v>
      </x:c>
      <x:c r="G8703" s="13" t="str">
        <x:v>grid_cqzdsc3v.xlsx</x:v>
      </x:c>
    </x:row>
    <x:row r="8704">
      <x:c r="A8704" s="15" t="n">
        <x:v>44348</x:v>
      </x:c>
      <x:c r="B8704" s="13" t="str">
        <x:v>VIBRA ENERGIA SA</x:v>
      </x:c>
      <x:c r="C8704" s="16" t="n">
        <x:v>1976.8952295452</x:v>
      </x:c>
      <x:c r="D8704" s="13" t="str">
        <x:v>Oil, Gas &amp; Petrochemicals</x:v>
      </x:c>
      <x:c r="E8704" s="13" t="str">
        <x:v>Oil, Gas &amp; Petrochemicals</x:v>
      </x:c>
      <x:c r="F8704" s="13" t="str">
        <x:v>Deep Cyclicals</x:v>
      </x:c>
      <x:c r="G8704" s="13" t="str">
        <x:v>grid_cqzdsc3v.xlsx</x:v>
      </x:c>
    </x:row>
    <x:row r="8705">
      <x:c r="A8705" s="15" t="n">
        <x:v>44348</x:v>
      </x:c>
      <x:c r="B8705" s="13" t="str">
        <x:v>KLABIN SA - UNIT</x:v>
      </x:c>
      <x:c r="C8705" s="16" t="n">
        <x:v>2571.2853879233</x:v>
      </x:c>
      <x:c r="D8705" s="13" t="str">
        <x:v>Pulp &amp; Paper</x:v>
      </x:c>
      <x:c r="E8705" s="13" t="str">
        <x:v>Pulp &amp; Paper</x:v>
      </x:c>
      <x:c r="F8705" s="13" t="str">
        <x:v>Deep Cyclicals</x:v>
      </x:c>
      <x:c r="G8705" s="13" t="str">
        <x:v>grid_cqzdsc3v.xlsx</x:v>
      </x:c>
    </x:row>
    <x:row r="8706">
      <x:c r="A8706" s="15" t="n">
        <x:v>44348</x:v>
      </x:c>
      <x:c r="B8706" s="13" t="str">
        <x:v>SUZANO SA</x:v>
      </x:c>
      <x:c r="C8706" s="16" t="n">
        <x:v>10483.9793790247</x:v>
      </x:c>
      <x:c r="D8706" s="13" t="str">
        <x:v>Pulp &amp; Paper</x:v>
      </x:c>
      <x:c r="E8706" s="13" t="str">
        <x:v>Pulp &amp; Paper</x:v>
      </x:c>
      <x:c r="F8706" s="13" t="str">
        <x:v>Deep Cyclicals</x:v>
      </x:c>
      <x:c r="G8706" s="13" t="str">
        <x:v>grid_cqzdsc3v.xlsx</x:v>
      </x:c>
    </x:row>
    <x:row r="8707">
      <x:c r="A8707" s="15" t="n">
        <x:v>44348</x:v>
      </x:c>
      <x:c r="B8707" s="13" t="str">
        <x:v>AMERICANAS SA</x:v>
      </x:c>
      <x:c r="C8707" s="16" t="n">
        <x:v>-84.2586774521</x:v>
      </x:c>
      <x:c r="D8707" s="13" t="str">
        <x:v>Retail</x:v>
      </x:c>
      <x:c r="E8707" s="13" t="str">
        <x:v>Retail</x:v>
      </x:c>
      <x:c r="F8707" s="13" t="str">
        <x:v>Early Cyclicals</x:v>
      </x:c>
      <x:c r="G8707" s="13" t="str">
        <x:v>grid_cqzdsc3v.xlsx</x:v>
      </x:c>
    </x:row>
    <x:row r="8708">
      <x:c r="A8708" s="15" t="n">
        <x:v>44348</x:v>
      </x:c>
      <x:c r="B8708" s="13" t="str">
        <x:v>ATACADAO SA</x:v>
      </x:c>
      <x:c r="C8708" s="16" t="n">
        <x:v>2741.5988139836</x:v>
      </x:c>
      <x:c r="D8708" s="13" t="str">
        <x:v>Retail</x:v>
      </x:c>
      <x:c r="E8708" s="13" t="str">
        <x:v>Retail</x:v>
      </x:c>
      <x:c r="F8708" s="13" t="str">
        <x:v>Early Cyclicals</x:v>
      </x:c>
      <x:c r="G8708" s="13" t="str">
        <x:v>grid_cqzdsc3v.xlsx</x:v>
      </x:c>
    </x:row>
    <x:row r="8709">
      <x:c r="A8709" s="15" t="n">
        <x:v>44348</x:v>
      </x:c>
      <x:c r="B8709" s="13" t="str">
        <x:v>CIA BRASILEIRA DE DISTRIBUIC</x:v>
      </x:c>
      <x:c r="C8709" s="16" t="n">
        <x:v>514.4931506849</x:v>
      </x:c>
      <x:c r="D8709" s="13" t="str">
        <x:v>Retail</x:v>
      </x:c>
      <x:c r="E8709" s="13" t="str">
        <x:v>Retail</x:v>
      </x:c>
      <x:c r="F8709" s="13" t="str">
        <x:v>Early Cyclicals</x:v>
      </x:c>
      <x:c r="G8709" s="13" t="str">
        <x:v>grid_cqzdsc3v.xlsx</x:v>
      </x:c>
    </x:row>
    <x:row r="8710">
      <x:c r="A8710" s="15" t="n">
        <x:v>44348</x:v>
      </x:c>
      <x:c r="B8710" s="13" t="str">
        <x:v>CIA HERING</x:v>
      </x:c>
      <x:c r="C8710" s="16" t="n">
        <x:v>195.1082191781</x:v>
      </x:c>
      <x:c r="D8710" s="13" t="str">
        <x:v>Retail</x:v>
      </x:c>
      <x:c r="E8710" s="13" t="str">
        <x:v>Retail</x:v>
      </x:c>
      <x:c r="F8710" s="13" t="str">
        <x:v>Early Cyclicals</x:v>
      </x:c>
      <x:c r="G8710" s="13" t="str">
        <x:v>grid_cqzdsc3v.xlsx</x:v>
      </x:c>
    </x:row>
    <x:row r="8711">
      <x:c r="A8711" s="15" t="n">
        <x:v>44348</x:v>
      </x:c>
      <x:c r="B8711" s="13" t="str">
        <x:v>GRUPO CASAS BAHIA SA</x:v>
      </x:c>
      <x:c r="C8711" s="16" t="n">
        <x:v>717.8226617863</x:v>
      </x:c>
      <x:c r="D8711" s="13" t="str">
        <x:v>Retail</x:v>
      </x:c>
      <x:c r="E8711" s="13" t="str">
        <x:v>Retail</x:v>
      </x:c>
      <x:c r="F8711" s="13" t="str">
        <x:v>Early Cyclicals</x:v>
      </x:c>
      <x:c r="G8711" s="13" t="str">
        <x:v>grid_cqzdsc3v.xlsx</x:v>
      </x:c>
    </x:row>
    <x:row r="8712">
      <x:c r="A8712" s="15" t="n">
        <x:v>44348</x:v>
      </x:c>
      <x:c r="B8712" s="13" t="str">
        <x:v>LOJAS AMERICANAS SA-PREF</x:v>
      </x:c>
      <x:c r="C8712" s="16" t="n">
        <x:v>559.0546849315</x:v>
      </x:c>
      <x:c r="D8712" s="13" t="str">
        <x:v>Retail</x:v>
      </x:c>
      <x:c r="E8712" s="13" t="str">
        <x:v>Retail</x:v>
      </x:c>
      <x:c r="F8712" s="13" t="str">
        <x:v>Early Cyclicals</x:v>
      </x:c>
      <x:c r="G8712" s="13" t="str">
        <x:v>grid_cqzdsc3v.xlsx</x:v>
      </x:c>
    </x:row>
    <x:row r="8713">
      <x:c r="A8713" s="15" t="n">
        <x:v>44348</x:v>
      </x:c>
      <x:c r="B8713" s="13" t="str">
        <x:v>LOJAS RENNER S.A.</x:v>
      </x:c>
      <x:c r="C8713" s="16" t="n">
        <x:v>1103.904857074</x:v>
      </x:c>
      <x:c r="D8713" s="13" t="str">
        <x:v>Retail</x:v>
      </x:c>
      <x:c r="E8713" s="13" t="str">
        <x:v>Retail</x:v>
      </x:c>
      <x:c r="F8713" s="13" t="str">
        <x:v>Early Cyclicals</x:v>
      </x:c>
      <x:c r="G8713" s="13" t="str">
        <x:v>grid_cqzdsc3v.xlsx</x:v>
      </x:c>
    </x:row>
    <x:row r="8714">
      <x:c r="A8714" s="15" t="n">
        <x:v>44348</x:v>
      </x:c>
      <x:c r="B8714" s="13" t="str">
        <x:v>MAGAZINE LUIZA SA</x:v>
      </x:c>
      <x:c r="C8714" s="16" t="n">
        <x:v>869.2281610521</x:v>
      </x:c>
      <x:c r="D8714" s="13" t="str">
        <x:v>Retail</x:v>
      </x:c>
      <x:c r="E8714" s="13" t="str">
        <x:v>Retail</x:v>
      </x:c>
      <x:c r="F8714" s="13" t="str">
        <x:v>Early Cyclicals</x:v>
      </x:c>
      <x:c r="G8714" s="13" t="str">
        <x:v>grid_cqzdsc3v.xlsx</x:v>
      </x:c>
    </x:row>
    <x:row r="8715">
      <x:c r="A8715" s="15" t="n">
        <x:v>44348</x:v>
      </x:c>
      <x:c r="B8715" s="13" t="str">
        <x:v>NATURA &amp;CO HOLDING SA</x:v>
      </x:c>
      <x:c r="C8715" s="16" t="n">
        <x:v>1214.3707055342</x:v>
      </x:c>
      <x:c r="D8715" s="13" t="str">
        <x:v>Retail</x:v>
      </x:c>
      <x:c r="E8715" s="13" t="str">
        <x:v>Retail</x:v>
      </x:c>
      <x:c r="F8715" s="13" t="str">
        <x:v>Early Cyclicals</x:v>
      </x:c>
      <x:c r="G8715" s="13" t="str">
        <x:v>grid_cqzdsc3v.xlsx</x:v>
      </x:c>
    </x:row>
    <x:row r="8716">
      <x:c r="A8716" s="15" t="n">
        <x:v>44348</x:v>
      </x:c>
      <x:c r="B8716" s="13" t="str">
        <x:v>RAIA DROGASIL SA</x:v>
      </x:c>
      <x:c r="C8716" s="16" t="n">
        <x:v>957.9773425973</x:v>
      </x:c>
      <x:c r="D8716" s="13" t="str">
        <x:v>Retail</x:v>
      </x:c>
      <x:c r="E8716" s="13" t="str">
        <x:v>Retail</x:v>
      </x:c>
      <x:c r="F8716" s="13" t="str">
        <x:v>Early Cyclicals</x:v>
      </x:c>
      <x:c r="G8716" s="13" t="str">
        <x:v>grid_cqzdsc3v.xlsx</x:v>
      </x:c>
    </x:row>
    <x:row r="8717">
      <x:c r="A8717" s="15" t="n">
        <x:v>44348</x:v>
      </x:c>
      <x:c r="B8717" s="13" t="str">
        <x:v>SENDAS DISTRIBUIDORA SA</x:v>
      </x:c>
      <x:c r="C8717" s="16" t="n">
        <x:v>1409.7852054795</x:v>
      </x:c>
      <x:c r="D8717" s="13" t="str">
        <x:v>Retail</x:v>
      </x:c>
      <x:c r="E8717" s="13" t="str">
        <x:v>Retail</x:v>
      </x:c>
      <x:c r="F8717" s="13" t="str">
        <x:v>Early Cyclicals</x:v>
      </x:c>
      <x:c r="G8717" s="13" t="str">
        <x:v>grid_cqzdsc3v.xlsx</x:v>
      </x:c>
    </x:row>
    <x:row r="8718">
      <x:c r="A8718" s="15" t="n">
        <x:v>44348</x:v>
      </x:c>
      <x:c r="B8718" s="13" t="str">
        <x:v>CIA SANEAMENTO BASICO DE SP</x:v>
      </x:c>
      <x:c r="C8718" s="16" t="n">
        <x:v>3273.9078494685</x:v>
      </x:c>
      <x:c r="D8718" s="13" t="str">
        <x:v>Sanitation</x:v>
      </x:c>
      <x:c r="E8718" s="13" t="str">
        <x:v>Utilities</x:v>
      </x:c>
      <x:c r="F8718" s="13" t="str">
        <x:v>Defensives</x:v>
      </x:c>
      <x:c r="G8718" s="13" t="str">
        <x:v>grid_cqzdsc3v.xlsx</x:v>
      </x:c>
    </x:row>
    <x:row r="8719">
      <x:c r="A8719" s="15" t="n">
        <x:v>44348</x:v>
      </x:c>
      <x:c r="B8719" s="13" t="str">
        <x:v>LWSA SA</x:v>
      </x:c>
      <x:c r="C8719" s="16" t="n">
        <x:v>131.2452054795</x:v>
      </x:c>
      <x:c r="D8719" s="13" t="str">
        <x:v>TMT</x:v>
      </x:c>
      <x:c r="E8719" s="13" t="str">
        <x:v>TMT</x:v>
      </x:c>
      <x:c r="F8719" s="13" t="str">
        <x:v>Early Cyclicals</x:v>
      </x:c>
      <x:c r="G8719" s="13" t="str">
        <x:v>grid_cqzdsc3v.xlsx</x:v>
      </x:c>
    </x:row>
    <x:row r="8720">
      <x:c r="A8720" s="15" t="n">
        <x:v>44348</x:v>
      </x:c>
      <x:c r="B8720" s="13" t="str">
        <x:v>TIM SA</x:v>
      </x:c>
      <x:c r="C8720" s="16" t="n">
        <x:v>2394.2285248877</x:v>
      </x:c>
      <x:c r="D8720" s="13" t="str">
        <x:v>TMT</x:v>
      </x:c>
      <x:c r="E8720" s="13" t="str">
        <x:v>TMT</x:v>
      </x:c>
      <x:c r="F8720" s="13" t="str">
        <x:v>Early Cyclicals</x:v>
      </x:c>
      <x:c r="G8720" s="13" t="str">
        <x:v>grid_cqzdsc3v.xlsx</x:v>
      </x:c>
    </x:row>
    <x:row r="8721">
      <x:c r="A8721" s="15" t="n">
        <x:v>44348</x:v>
      </x:c>
      <x:c r="B8721" s="13" t="str">
        <x:v>TOTVS SA</x:v>
      </x:c>
      <x:c r="C8721" s="16" t="n">
        <x:v>418.3209441315</x:v>
      </x:c>
      <x:c r="D8721" s="13" t="str">
        <x:v>TMT</x:v>
      </x:c>
      <x:c r="E8721" s="13" t="str">
        <x:v>TMT</x:v>
      </x:c>
      <x:c r="F8721" s="13" t="str">
        <x:v>Early Cyclicals</x:v>
      </x:c>
      <x:c r="G8721" s="13" t="str">
        <x:v>grid_cqzdsc3v.xlsx</x:v>
      </x:c>
    </x:row>
    <x:row r="8722">
      <x:c r="A8722" s="15" t="n">
        <x:v>44348</x:v>
      </x:c>
      <x:c r="B8722" s="13" t="str">
        <x:v>AZUL SA</x:v>
      </x:c>
      <x:c r="C8722" s="16" t="n">
        <x:v>-1567.0095489753</x:v>
      </x:c>
      <x:c r="D8722" s="13" t="str">
        <x:v>Transportation</x:v>
      </x:c>
      <x:c r="E8722" s="13" t="str">
        <x:v>Transportation</x:v>
      </x:c>
      <x:c r="F8722" s="13" t="str">
        <x:v>Deep Cyclicals</x:v>
      </x:c>
      <x:c r="G8722" s="13" t="str">
        <x:v>grid_cqzdsc3v.xlsx</x:v>
      </x:c>
    </x:row>
    <x:row r="8723">
      <x:c r="A8723" s="15" t="n">
        <x:v>44348</x:v>
      </x:c>
      <x:c r="B8723" s="13" t="str">
        <x:v>CIA DE LOCACAO DAS AMERICAS</x:v>
      </x:c>
      <x:c r="C8723" s="16" t="n">
        <x:v>863.5043994301</x:v>
      </x:c>
      <x:c r="D8723" s="13" t="str">
        <x:v>Transportation</x:v>
      </x:c>
      <x:c r="E8723" s="13" t="str">
        <x:v>Transportation</x:v>
      </x:c>
      <x:c r="F8723" s="13" t="str">
        <x:v>Deep Cyclicals</x:v>
      </x:c>
      <x:c r="G8723" s="13" t="str">
        <x:v>grid_cqzdsc3v.xlsx</x:v>
      </x:c>
    </x:row>
    <x:row r="8724">
      <x:c r="A8724" s="15" t="n">
        <x:v>44348</x:v>
      </x:c>
      <x:c r="B8724" s="13" t="str">
        <x:v>ECORODOVIAS INFRA E LOG SA</x:v>
      </x:c>
      <x:c r="C8724" s="16" t="n">
        <x:v>271.4151837808</x:v>
      </x:c>
      <x:c r="D8724" s="13" t="str">
        <x:v>Transportation</x:v>
      </x:c>
      <x:c r="E8724" s="13" t="str">
        <x:v>Transportation</x:v>
      </x:c>
      <x:c r="F8724" s="13" t="str">
        <x:v>Deep Cyclicals</x:v>
      </x:c>
      <x:c r="G8724" s="13" t="str">
        <x:v>grid_cqzdsc3v.xlsx</x:v>
      </x:c>
    </x:row>
    <x:row r="8725">
      <x:c r="A8725" s="15" t="n">
        <x:v>44348</x:v>
      </x:c>
      <x:c r="B8725" s="13" t="str">
        <x:v>GOL LINHAS AEREAS INT SA-PRE</x:v>
      </x:c>
      <x:c r="C8725" s="16" t="n">
        <x:v>-901.5771531397</x:v>
      </x:c>
      <x:c r="D8725" s="13" t="str">
        <x:v>Transportation</x:v>
      </x:c>
      <x:c r="E8725" s="13" t="str">
        <x:v>Transportation</x:v>
      </x:c>
      <x:c r="F8725" s="13" t="str">
        <x:v>Deep Cyclicals</x:v>
      </x:c>
      <x:c r="G8725" s="13" t="str">
        <x:v>grid_cqzdsc3v.xlsx</x:v>
      </x:c>
    </x:row>
    <x:row r="8726">
      <x:c r="A8726" s="15" t="n">
        <x:v>44348</x:v>
      </x:c>
      <x:c r="B8726" s="13" t="str">
        <x:v>LOCALIZA RENT A CAR</x:v>
      </x:c>
      <x:c r="C8726" s="16" t="n">
        <x:v>1680.2797101589</x:v>
      </x:c>
      <x:c r="D8726" s="13" t="str">
        <x:v>Transportation</x:v>
      </x:c>
      <x:c r="E8726" s="13" t="str">
        <x:v>Transportation</x:v>
      </x:c>
      <x:c r="F8726" s="13" t="str">
        <x:v>Deep Cyclicals</x:v>
      </x:c>
      <x:c r="G8726" s="13" t="str">
        <x:v>grid_cqzdsc3v.xlsx</x:v>
      </x:c>
    </x:row>
    <x:row r="8727">
      <x:c r="A8727" s="15" t="n">
        <x:v>44348</x:v>
      </x:c>
      <x:c r="B8727" s="13" t="str">
        <x:v>MOTIVA INFRAESTRUTURA DE MOB</x:v>
      </x:c>
      <x:c r="C8727" s="16" t="n">
        <x:v>1297.8723871562</x:v>
      </x:c>
      <x:c r="D8727" s="13" t="str">
        <x:v>Transportation</x:v>
      </x:c>
      <x:c r="E8727" s="13" t="str">
        <x:v>Transportation</x:v>
      </x:c>
      <x:c r="F8727" s="13" t="str">
        <x:v>Deep Cyclicals</x:v>
      </x:c>
      <x:c r="G8727" s="13" t="str">
        <x:v>grid_cqzdsc3v.xlsx</x:v>
      </x:c>
    </x:row>
    <x:row r="8728">
      <x:c r="A8728" s="15" t="n">
        <x:v>44348</x:v>
      </x:c>
      <x:c r="B8728" s="13" t="str">
        <x:v>RUMO SA</x:v>
      </x:c>
      <x:c r="C8728" s="16" t="n">
        <x:v>1169.8153976986</x:v>
      </x:c>
      <x:c r="D8728" s="13" t="str">
        <x:v>Transportation</x:v>
      </x:c>
      <x:c r="E8728" s="13" t="str">
        <x:v>Transportation</x:v>
      </x:c>
      <x:c r="F8728" s="13" t="str">
        <x:v>Deep Cyclicals</x:v>
      </x:c>
      <x:c r="G8728" s="13" t="str">
        <x:v>grid_cqzdsc3v.xlsx</x:v>
      </x:c>
    </x:row>
    <x:row r="8729">
      <x:c r="A8729" s="15" t="n">
        <x:v>44348</x:v>
      </x:c>
      <x:c r="B8729" s="13" t="str">
        <x:v>AXIA ENERGIA SA</x:v>
      </x:c>
      <x:c r="C8729" s="16" t="n">
        <x:v>8937.2521177425</x:v>
      </x:c>
      <x:c r="D8729" s="13" t="str">
        <x:v>Utilities &amp; Energy</x:v>
      </x:c>
      <x:c r="E8729" s="13" t="str">
        <x:v>Utilities</x:v>
      </x:c>
      <x:c r="F8729" s="13" t="str">
        <x:v>Defensives</x:v>
      </x:c>
      <x:c r="G8729" s="13" t="str">
        <x:v>grid_cqzdsc3v.xlsx</x:v>
      </x:c>
    </x:row>
    <x:row r="8730">
      <x:c r="A8730" s="15" t="n">
        <x:v>44348</x:v>
      </x:c>
      <x:c r="B8730" s="13" t="str">
        <x:v>AXIA ENERGIA-PR B</x:v>
      </x:c>
      <x:c r="C8730" s="16" t="n">
        <x:v>8937.2521177425</x:v>
      </x:c>
      <x:c r="D8730" s="13" t="str">
        <x:v>Utilities &amp; Energy</x:v>
      </x:c>
      <x:c r="E8730" s="13" t="str">
        <x:v>Utilities</x:v>
      </x:c>
      <x:c r="F8730" s="13" t="str">
        <x:v>Defensives</x:v>
      </x:c>
      <x:c r="G8730" s="13" t="str">
        <x:v>grid_cqzdsc3v.xlsx</x:v>
      </x:c>
    </x:row>
    <x:row r="8731">
      <x:c r="A8731" s="15" t="n">
        <x:v>44348</x:v>
      </x:c>
      <x:c r="B8731" s="13" t="str">
        <x:v>CIA ENERGETICA MINAS GER-PRF</x:v>
      </x:c>
      <x:c r="C8731" s="16" t="n">
        <x:v>3287.0095086466</x:v>
      </x:c>
      <x:c r="D8731" s="13" t="str">
        <x:v>Utilities &amp; Energy</x:v>
      </x:c>
      <x:c r="E8731" s="13" t="str">
        <x:v>Utilities</x:v>
      </x:c>
      <x:c r="F8731" s="13" t="str">
        <x:v>Defensives</x:v>
      </x:c>
      <x:c r="G8731" s="13" t="str">
        <x:v>grid_cqzdsc3v.xlsx</x:v>
      </x:c>
    </x:row>
    <x:row r="8732">
      <x:c r="A8732" s="15" t="n">
        <x:v>44348</x:v>
      </x:c>
      <x:c r="B8732" s="13" t="str">
        <x:v>COMPANHIA PARANAENSE -PREF B</x:v>
      </x:c>
      <x:c r="C8732" s="16" t="n">
        <x:v>2113.1122491616</x:v>
      </x:c>
      <x:c r="D8732" s="13" t="str">
        <x:v>Utilities &amp; Energy</x:v>
      </x:c>
      <x:c r="E8732" s="13" t="str">
        <x:v>Utilities</x:v>
      </x:c>
      <x:c r="F8732" s="13" t="str">
        <x:v>Defensives</x:v>
      </x:c>
      <x:c r="G8732" s="13" t="str">
        <x:v>grid_cqzdsc3v.xlsx</x:v>
      </x:c>
    </x:row>
    <x:row r="8733">
      <x:c r="A8733" s="15" t="n">
        <x:v>44348</x:v>
      </x:c>
      <x:c r="B8733" s="13" t="str">
        <x:v>CPFL ENERGIA SA</x:v>
      </x:c>
      <x:c r="C8733" s="16" t="n">
        <x:v>3641.7898285589</x:v>
      </x:c>
      <x:c r="D8733" s="13" t="str">
        <x:v>Utilities &amp; Energy</x:v>
      </x:c>
      <x:c r="E8733" s="13" t="str">
        <x:v>Utilities</x:v>
      </x:c>
      <x:c r="F8733" s="13" t="str">
        <x:v>Defensives</x:v>
      </x:c>
      <x:c r="G8733" s="13" t="str">
        <x:v>grid_cqzdsc3v.xlsx</x:v>
      </x:c>
    </x:row>
    <x:row r="8734">
      <x:c r="A8734" s="15" t="n">
        <x:v>44348</x:v>
      </x:c>
      <x:c r="B8734" s="13" t="str">
        <x:v>EDP - ENERGIAS DO BRASIL SA</x:v>
      </x:c>
      <x:c r="C8734" s="16" t="n">
        <x:v>1466.1589121753</x:v>
      </x:c>
      <x:c r="D8734" s="13" t="str">
        <x:v>Utilities &amp; Energy</x:v>
      </x:c>
      <x:c r="E8734" s="13" t="str">
        <x:v>Utilities</x:v>
      </x:c>
      <x:c r="F8734" s="13" t="str">
        <x:v>Defensives</x:v>
      </x:c>
      <x:c r="G8734" s="13" t="str">
        <x:v>grid_cqzdsc3v.xlsx</x:v>
      </x:c>
    </x:row>
    <x:row r="8735">
      <x:c r="A8735" s="15" t="n">
        <x:v>44348</x:v>
      </x:c>
      <x:c r="B8735" s="13" t="str">
        <x:v>ENERGISA SA-UNITS</x:v>
      </x:c>
      <x:c r="C8735" s="16" t="n">
        <x:v>2112.7702184329</x:v>
      </x:c>
      <x:c r="D8735" s="13" t="str">
        <x:v>Utilities &amp; Energy</x:v>
      </x:c>
      <x:c r="E8735" s="13" t="str">
        <x:v>Utilities</x:v>
      </x:c>
      <x:c r="F8735" s="13" t="str">
        <x:v>Defensives</x:v>
      </x:c>
      <x:c r="G8735" s="13" t="str">
        <x:v>grid_cqzdsc3v.xlsx</x:v>
      </x:c>
    </x:row>
    <x:row r="8736">
      <x:c r="A8736" s="15" t="n">
        <x:v>44348</x:v>
      </x:c>
      <x:c r="B8736" s="13" t="str">
        <x:v>ENEVA SA</x:v>
      </x:c>
      <x:c r="C8736" s="16" t="n">
        <x:v>1230.4602417096</x:v>
      </x:c>
      <x:c r="D8736" s="13" t="str">
        <x:v>Utilities &amp; Energy</x:v>
      </x:c>
      <x:c r="E8736" s="13" t="str">
        <x:v>Utilities</x:v>
      </x:c>
      <x:c r="F8736" s="13" t="str">
        <x:v>Defensives</x:v>
      </x:c>
      <x:c r="G8736" s="13" t="str">
        <x:v>grid_cqzdsc3v.xlsx</x:v>
      </x:c>
    </x:row>
    <x:row r="8737">
      <x:c r="A8737" s="15" t="n">
        <x:v>44348</x:v>
      </x:c>
      <x:c r="B8737" s="13" t="str">
        <x:v>ENGIE BRASIL ENERGIA SA</x:v>
      </x:c>
      <x:c r="C8737" s="16" t="n">
        <x:v>3206.2650052384</x:v>
      </x:c>
      <x:c r="D8737" s="13" t="str">
        <x:v>Utilities &amp; Energy</x:v>
      </x:c>
      <x:c r="E8737" s="13" t="str">
        <x:v>Utilities</x:v>
      </x:c>
      <x:c r="F8737" s="13" t="str">
        <x:v>Defensives</x:v>
      </x:c>
      <x:c r="G8737" s="13" t="str">
        <x:v>grid_cqzdsc3v.xlsx</x:v>
      </x:c>
    </x:row>
    <x:row r="8738">
      <x:c r="A8738" s="15" t="n">
        <x:v>44348</x:v>
      </x:c>
      <x:c r="B8738" s="13" t="str">
        <x:v>EQUATORIAL SA - ORD</x:v>
      </x:c>
      <x:c r="C8738" s="16" t="n">
        <x:v>2039.2075502466</x:v>
      </x:c>
      <x:c r="D8738" s="13" t="str">
        <x:v>Utilities &amp; Energy</x:v>
      </x:c>
      <x:c r="E8738" s="13" t="str">
        <x:v>Utilities</x:v>
      </x:c>
      <x:c r="F8738" s="13" t="str">
        <x:v>Defensives</x:v>
      </x:c>
      <x:c r="G8738" s="13" t="str">
        <x:v>grid_cqzdsc3v.xlsx</x:v>
      </x:c>
    </x:row>
    <x:row r="8739">
      <x:c r="A8739" s="15" t="n">
        <x:v>44348</x:v>
      </x:c>
      <x:c r="B8739" s="13" t="str">
        <x:v>TRANSMISSORA ALIANCA DE-UNIT</x:v>
      </x:c>
      <x:c r="C8739" s="16" t="n">
        <x:v>1021.130610674</x:v>
      </x:c>
      <x:c r="D8739" s="13" t="str">
        <x:v>Utilities &amp; Energy</x:v>
      </x:c>
      <x:c r="E8739" s="13" t="str">
        <x:v>Utilities</x:v>
      </x:c>
      <x:c r="F8739" s="13" t="str">
        <x:v>Defensives</x:v>
      </x:c>
      <x:c r="G8739" s="13" t="str">
        <x:v>grid_cqzdsc3v.xlsx</x:v>
      </x:c>
    </x:row>
    <x:row r="8740">
      <x:c r="A8740" s="15" t="n">
        <x:v>44378</x:v>
      </x:c>
      <x:c r="B8740" s="13" t="str">
        <x:v>BANCO BRADESCO S.A.</x:v>
      </x:c>
      <x:c r="C8740" s="16" t="n">
        <x:v>27430.9700004822</x:v>
      </x:c>
      <x:c r="D8740" s="13" t="str">
        <x:v>Banks</x:v>
      </x:c>
      <x:c r="E8740" s="13" t="str">
        <x:v>Banks</x:v>
      </x:c>
      <x:c r="F8740" s="13" t="str">
        <x:v>Financials</x:v>
      </x:c>
      <x:c r="G8740" s="13" t="str">
        <x:v>grid_cqzdsc3v.xlsx</x:v>
      </x:c>
    </x:row>
    <x:row r="8741">
      <x:c r="A8741" s="15" t="n">
        <x:v>44378</x:v>
      </x:c>
      <x:c r="B8741" s="13" t="str">
        <x:v>BANCO BRADESCO SA-PREF</x:v>
      </x:c>
      <x:c r="C8741" s="16" t="n">
        <x:v>27430.9700004822</x:v>
      </x:c>
      <x:c r="D8741" s="13" t="str">
        <x:v>Banks</x:v>
      </x:c>
      <x:c r="E8741" s="13" t="str">
        <x:v>Banks</x:v>
      </x:c>
      <x:c r="F8741" s="13" t="str">
        <x:v>Financials</x:v>
      </x:c>
      <x:c r="G8741" s="13" t="str">
        <x:v>grid_cqzdsc3v.xlsx</x:v>
      </x:c>
    </x:row>
    <x:row r="8742">
      <x:c r="A8742" s="15" t="n">
        <x:v>44378</x:v>
      </x:c>
      <x:c r="B8742" s="13" t="str">
        <x:v>BANCO BTG PACTUAL SA-UNIT</x:v>
      </x:c>
      <x:c r="C8742" s="16" t="n">
        <x:v>5955.2426587178</x:v>
      </x:c>
      <x:c r="D8742" s="13" t="str">
        <x:v>Banks</x:v>
      </x:c>
      <x:c r="E8742" s="13" t="str">
        <x:v>Banks</x:v>
      </x:c>
      <x:c r="F8742" s="13" t="str">
        <x:v>Financials</x:v>
      </x:c>
      <x:c r="G8742" s="13" t="str">
        <x:v>grid_cqzdsc3v.xlsx</x:v>
      </x:c>
    </x:row>
    <x:row r="8743">
      <x:c r="A8743" s="15" t="n">
        <x:v>44378</x:v>
      </x:c>
      <x:c r="B8743" s="13" t="str">
        <x:v>BANCO DO BRASIL S.A.</x:v>
      </x:c>
      <x:c r="C8743" s="16" t="n">
        <x:v>19278.9303744877</x:v>
      </x:c>
      <x:c r="D8743" s="13" t="str">
        <x:v>Banks</x:v>
      </x:c>
      <x:c r="E8743" s="13" t="str">
        <x:v>Banks</x:v>
      </x:c>
      <x:c r="F8743" s="13" t="str">
        <x:v>Financials</x:v>
      </x:c>
      <x:c r="G8743" s="13" t="str">
        <x:v>grid_cqzdsc3v.xlsx</x:v>
      </x:c>
    </x:row>
    <x:row r="8744">
      <x:c r="A8744" s="15" t="n">
        <x:v>44378</x:v>
      </x:c>
      <x:c r="B8744" s="13" t="str">
        <x:v>BANCO INTER SA</x:v>
      </x:c>
      <x:c r="C8744" s="16" t="n">
        <x:v>307.3650684932</x:v>
      </x:c>
      <x:c r="D8744" s="13" t="str">
        <x:v>Banks</x:v>
      </x:c>
      <x:c r="E8744" s="13" t="str">
        <x:v>Banks</x:v>
      </x:c>
      <x:c r="F8744" s="13" t="str">
        <x:v>Financials</x:v>
      </x:c>
      <x:c r="G8744" s="13" t="str">
        <x:v>grid_cqzdsc3v.xlsx</x:v>
      </x:c>
    </x:row>
    <x:row r="8745">
      <x:c r="A8745" s="15" t="n">
        <x:v>44378</x:v>
      </x:c>
      <x:c r="B8745" s="13" t="str">
        <x:v>BANCO SANTANDER  BRASIL-UNIT</x:v>
      </x:c>
      <x:c r="C8745" s="16" t="n">
        <x:v>16321.1507178959</x:v>
      </x:c>
      <x:c r="D8745" s="13" t="str">
        <x:v>Banks</x:v>
      </x:c>
      <x:c r="E8745" s="13" t="str">
        <x:v>Banks</x:v>
      </x:c>
      <x:c r="F8745" s="13" t="str">
        <x:v>Financials</x:v>
      </x:c>
      <x:c r="G8745" s="13" t="str">
        <x:v>grid_cqzdsc3v.xlsx</x:v>
      </x:c>
    </x:row>
    <x:row r="8746">
      <x:c r="A8746" s="15" t="n">
        <x:v>44378</x:v>
      </x:c>
      <x:c r="B8746" s="13" t="str">
        <x:v>ITAU UNIBANCO HOLDING S-PREF</x:v>
      </x:c>
      <x:c r="C8746" s="16" t="n">
        <x:v>26759.5210864219</x:v>
      </x:c>
      <x:c r="D8746" s="13" t="str">
        <x:v>Banks</x:v>
      </x:c>
      <x:c r="E8746" s="13" t="str">
        <x:v>Banks</x:v>
      </x:c>
      <x:c r="F8746" s="13" t="str">
        <x:v>Financials</x:v>
      </x:c>
      <x:c r="G8746" s="13" t="str">
        <x:v>grid_cqzdsc3v.xlsx</x:v>
      </x:c>
    </x:row>
    <x:row r="8747">
      <x:c r="A8747" s="15" t="n">
        <x:v>44378</x:v>
      </x:c>
      <x:c r="B8747" s="13" t="str">
        <x:v>EMBRAER SA</x:v>
      </x:c>
      <x:c r="C8747" s="16" t="n">
        <x:v>-156.5118347836</x:v>
      </x:c>
      <x:c r="D8747" s="13" t="str">
        <x:v>Capital Goods</x:v>
      </x:c>
      <x:c r="E8747" s="13" t="str">
        <x:v>Capital Goods</x:v>
      </x:c>
      <x:c r="F8747" s="13" t="str">
        <x:v>Deep Cyclicals</x:v>
      </x:c>
      <x:c r="G8747" s="13" t="str">
        <x:v>grid_cqzdsc3v.xlsx</x:v>
      </x:c>
    </x:row>
    <x:row r="8748">
      <x:c r="A8748" s="15" t="n">
        <x:v>44378</x:v>
      </x:c>
      <x:c r="B8748" s="13" t="str">
        <x:v>WEG SA</x:v>
      </x:c>
      <x:c r="C8748" s="16" t="n">
        <x:v>3395.8407539726</x:v>
      </x:c>
      <x:c r="D8748" s="13" t="str">
        <x:v>Capital Goods</x:v>
      </x:c>
      <x:c r="E8748" s="13" t="str">
        <x:v>Capital Goods</x:v>
      </x:c>
      <x:c r="F8748" s="13" t="str">
        <x:v>Deep Cyclicals</x:v>
      </x:c>
      <x:c r="G8748" s="13" t="str">
        <x:v>grid_cqzdsc3v.xlsx</x:v>
      </x:c>
    </x:row>
    <x:row r="8749">
      <x:c r="A8749" s="15" t="n">
        <x:v>44378</x:v>
      </x:c>
      <x:c r="B8749" s="13" t="str">
        <x:v>COGNA EDUCACAO</x:v>
      </x:c>
      <x:c r="C8749" s="16" t="n">
        <x:v>74.4867123288</x:v>
      </x:c>
      <x:c r="D8749" s="13" t="str">
        <x:v>Education</x:v>
      </x:c>
      <x:c r="E8749" s="13" t="str">
        <x:v>Education</x:v>
      </x:c>
      <x:c r="F8749" s="13" t="str">
        <x:v>Early Cyclicals</x:v>
      </x:c>
      <x:c r="G8749" s="13" t="str">
        <x:v>grid_cqzdsc3v.xlsx</x:v>
      </x:c>
    </x:row>
    <x:row r="8750">
      <x:c r="A8750" s="15" t="n">
        <x:v>44378</x:v>
      </x:c>
      <x:c r="B8750" s="13" t="str">
        <x:v>YDUQS PARTICIPACOES SA</x:v>
      </x:c>
      <x:c r="C8750" s="16" t="n">
        <x:v>654.1212002192</x:v>
      </x:c>
      <x:c r="D8750" s="13" t="str">
        <x:v>Education</x:v>
      </x:c>
      <x:c r="E8750" s="13" t="str">
        <x:v>Education</x:v>
      </x:c>
      <x:c r="F8750" s="13" t="str">
        <x:v>Early Cyclicals</x:v>
      </x:c>
      <x:c r="G8750" s="13" t="str">
        <x:v>grid_cqzdsc3v.xlsx</x:v>
      </x:c>
    </x:row>
    <x:row r="8751">
      <x:c r="A8751" s="15" t="n">
        <x:v>44378</x:v>
      </x:c>
      <x:c r="B8751" s="13" t="str">
        <x:v>B3 SA-BRASIL BOLSA BALCAO</x:v>
      </x:c>
      <x:c r="C8751" s="16" t="n">
        <x:v>5334.6550208877</x:v>
      </x:c>
      <x:c r="D8751" s="13" t="str">
        <x:v>Financials Non-Banks</x:v>
      </x:c>
      <x:c r="E8751" s="13" t="str">
        <x:v>Financials Non-Banks</x:v>
      </x:c>
      <x:c r="F8751" s="13" t="str">
        <x:v>Financials</x:v>
      </x:c>
      <x:c r="G8751" s="13" t="str">
        <x:v>grid_cqzdsc3v.xlsx</x:v>
      </x:c>
    </x:row>
    <x:row r="8752">
      <x:c r="A8752" s="15" t="n">
        <x:v>44378</x:v>
      </x:c>
      <x:c r="B8752" s="13" t="str">
        <x:v>BB SEGURIDADE PARTICIPACOES</x:v>
      </x:c>
      <x:c r="C8752" s="16" t="n">
        <x:v>4472.4131306959</x:v>
      </x:c>
      <x:c r="D8752" s="13" t="str">
        <x:v>Financials Non-Banks</x:v>
      </x:c>
      <x:c r="E8752" s="13" t="str">
        <x:v>Financials Non-Banks</x:v>
      </x:c>
      <x:c r="F8752" s="13" t="str">
        <x:v>Financials</x:v>
      </x:c>
      <x:c r="G8752" s="13" t="str">
        <x:v>grid_cqzdsc3v.xlsx</x:v>
      </x:c>
    </x:row>
    <x:row r="8753">
      <x:c r="A8753" s="15" t="n">
        <x:v>44378</x:v>
      </x:c>
      <x:c r="B8753" s="13" t="str">
        <x:v>CIELO SA</x:v>
      </x:c>
      <x:c r="C8753" s="16" t="n">
        <x:v>858.620550663</x:v>
      </x:c>
      <x:c r="D8753" s="13" t="str">
        <x:v>Financials Non-Banks</x:v>
      </x:c>
      <x:c r="E8753" s="13" t="str">
        <x:v>Financials Non-Banks</x:v>
      </x:c>
      <x:c r="F8753" s="13" t="str">
        <x:v>Financials</x:v>
      </x:c>
      <x:c r="G8753" s="13" t="str">
        <x:v>Ibovespa_earnings_consolidated.xlsx</x:v>
      </x:c>
    </x:row>
    <x:row r="8754">
      <x:c r="A8754" s="15" t="n">
        <x:v>44378</x:v>
      </x:c>
      <x:c r="B8754" s="13" t="str">
        <x:v>CIELO SA - INSTITUICAO DE PA</x:v>
      </x:c>
      <x:c r="C8754" s="16" t="n">
        <x:v>858.620550663</x:v>
      </x:c>
      <x:c r="D8754" s="13" t="str">
        <x:v>Financials Non-Banks</x:v>
      </x:c>
      <x:c r="E8754" s="13" t="str">
        <x:v>Financials Non-Banks</x:v>
      </x:c>
      <x:c r="F8754" s="13" t="str">
        <x:v>Financials</x:v>
      </x:c>
      <x:c r="G8754" s="13" t="str">
        <x:v>grid_cqzdsc3v.xlsx</x:v>
      </x:c>
    </x:row>
    <x:row r="8755">
      <x:c r="A8755" s="15" t="n">
        <x:v>44378</x:v>
      </x:c>
      <x:c r="B8755" s="13" t="str">
        <x:v>IRB BRASIL RESSEGUROS SA</x:v>
      </x:c>
      <x:c r="C8755" s="16" t="n">
        <x:v>379.5315601534</x:v>
      </x:c>
      <x:c r="D8755" s="13" t="str">
        <x:v>Financials Non-Banks</x:v>
      </x:c>
      <x:c r="E8755" s="13" t="str">
        <x:v>Financials Non-Banks</x:v>
      </x:c>
      <x:c r="F8755" s="13" t="str">
        <x:v>Financials</x:v>
      </x:c>
      <x:c r="G8755" s="13" t="str">
        <x:v>grid_cqzdsc3v.xlsx</x:v>
      </x:c>
    </x:row>
    <x:row r="8756">
      <x:c r="A8756" s="15" t="n">
        <x:v>44378</x:v>
      </x:c>
      <x:c r="B8756" s="13" t="str">
        <x:v>ITAUSA SA</x:v>
      </x:c>
      <x:c r="C8756" s="16" t="n">
        <x:v>10455.1231796603</x:v>
      </x:c>
      <x:c r="D8756" s="13" t="str">
        <x:v>Financials Non-Banks</x:v>
      </x:c>
      <x:c r="E8756" s="13" t="str">
        <x:v>Financials Non-Banks</x:v>
      </x:c>
      <x:c r="F8756" s="13" t="str">
        <x:v>Financials</x:v>
      </x:c>
      <x:c r="G8756" s="13" t="str">
        <x:v>grid_cqzdsc3v.xlsx</x:v>
      </x:c>
    </x:row>
    <x:row r="8757">
      <x:c r="A8757" s="15" t="n">
        <x:v>44378</x:v>
      </x:c>
      <x:c r="B8757" s="13" t="str">
        <x:v>AMBEV SA</x:v>
      </x:c>
      <x:c r="C8757" s="16" t="n">
        <x:v>12004.2419438466</x:v>
      </x:c>
      <x:c r="D8757" s="13" t="str">
        <x:v>Food &amp; Beverages</x:v>
      </x:c>
      <x:c r="E8757" s="13" t="str">
        <x:v>Agri, Food &amp; Beverages</x:v>
      </x:c>
      <x:c r="F8757" s="13" t="str">
        <x:v>Defensives</x:v>
      </x:c>
      <x:c r="G8757" s="13" t="str">
        <x:v>grid_cqzdsc3v.xlsx</x:v>
      </x:c>
    </x:row>
    <x:row r="8758">
      <x:c r="A8758" s="15" t="n">
        <x:v>44378</x:v>
      </x:c>
      <x:c r="B8758" s="13" t="str">
        <x:v>BRF SA</x:v>
      </x:c>
      <x:c r="C8758" s="16" t="n">
        <x:v>853.8246042301</x:v>
      </x:c>
      <x:c r="D8758" s="13" t="str">
        <x:v>Food &amp; Beverages</x:v>
      </x:c>
      <x:c r="E8758" s="13" t="str">
        <x:v>Agri, Food &amp; Beverages</x:v>
      </x:c>
      <x:c r="F8758" s="13" t="str">
        <x:v>Defensives</x:v>
      </x:c>
      <x:c r="G8758" s="13" t="str">
        <x:v>grid_cqzdsc3v.xlsx</x:v>
      </x:c>
    </x:row>
    <x:row r="8759">
      <x:c r="A8759" s="15" t="n">
        <x:v>44378</x:v>
      </x:c>
      <x:c r="B8759" s="13" t="str">
        <x:v>JBS SA</x:v>
      </x:c>
      <x:c r="C8759" s="16" t="n">
        <x:v>10496.0721737644</x:v>
      </x:c>
      <x:c r="D8759" s="13" t="str">
        <x:v>Food &amp; Beverages</x:v>
      </x:c>
      <x:c r="E8759" s="13" t="str">
        <x:v>Agri, Food &amp; Beverages</x:v>
      </x:c>
      <x:c r="F8759" s="13" t="str">
        <x:v>Defensives</x:v>
      </x:c>
      <x:c r="G8759" s="13" t="str">
        <x:v>grid_cqzdsc3v.xlsx</x:v>
      </x:c>
    </x:row>
    <x:row r="8760">
      <x:c r="A8760" s="15" t="n">
        <x:v>44378</x:v>
      </x:c>
      <x:c r="B8760" s="13" t="str">
        <x:v>MBRF GLOBAL FOODS COMPANY SA</x:v>
      </x:c>
      <x:c r="C8760" s="16" t="n">
        <x:v>2026.2224927562</x:v>
      </x:c>
      <x:c r="D8760" s="13" t="str">
        <x:v>Food &amp; Beverages</x:v>
      </x:c>
      <x:c r="E8760" s="13" t="str">
        <x:v>Agri, Food &amp; Beverages</x:v>
      </x:c>
      <x:c r="F8760" s="13" t="str">
        <x:v>Defensives</x:v>
      </x:c>
      <x:c r="G8760" s="13" t="str">
        <x:v>grid_cqzdsc3v.xlsx</x:v>
      </x:c>
    </x:row>
    <x:row r="8761">
      <x:c r="A8761" s="15" t="n">
        <x:v>44378</x:v>
      </x:c>
      <x:c r="B8761" s="13" t="str">
        <x:v>MINERVA SA</x:v>
      </x:c>
      <x:c r="C8761" s="16" t="n">
        <x:v>608.8123287671</x:v>
      </x:c>
      <x:c r="D8761" s="13" t="str">
        <x:v>Food &amp; Beverages</x:v>
      </x:c>
      <x:c r="E8761" s="13" t="str">
        <x:v>Agri, Food &amp; Beverages</x:v>
      </x:c>
      <x:c r="F8761" s="13" t="str">
        <x:v>Defensives</x:v>
      </x:c>
      <x:c r="G8761" s="13" t="str">
        <x:v>grid_cqzdsc3v.xlsx</x:v>
      </x:c>
    </x:row>
    <x:row r="8762">
      <x:c r="A8762" s="15" t="n">
        <x:v>44378</x:v>
      </x:c>
      <x:c r="B8762" s="13" t="str">
        <x:v>FLEURY SA</x:v>
      </x:c>
      <x:c r="C8762" s="16" t="n">
        <x:v>363.3458996603</x:v>
      </x:c>
      <x:c r="D8762" s="13" t="str">
        <x:v>Health Care</x:v>
      </x:c>
      <x:c r="E8762" s="13" t="str">
        <x:v>Health Care</x:v>
      </x:c>
      <x:c r="F8762" s="13" t="str">
        <x:v>Defensives</x:v>
      </x:c>
      <x:c r="G8762" s="13" t="str">
        <x:v>grid_cqzdsc3v.xlsx</x:v>
      </x:c>
    </x:row>
    <x:row r="8763">
      <x:c r="A8763" s="15" t="n">
        <x:v>44378</x:v>
      </x:c>
      <x:c r="B8763" s="13" t="str">
        <x:v>HAPVIDA PARTICIPACOES E INVE</x:v>
      </x:c>
      <x:c r="C8763" s="16" t="n">
        <x:v>1219.4616488329</x:v>
      </x:c>
      <x:c r="D8763" s="13" t="str">
        <x:v>Health Care</x:v>
      </x:c>
      <x:c r="E8763" s="13" t="str">
        <x:v>Health Care</x:v>
      </x:c>
      <x:c r="F8763" s="13" t="str">
        <x:v>Defensives</x:v>
      </x:c>
      <x:c r="G8763" s="13" t="str">
        <x:v>grid_cqzdsc3v.xlsx</x:v>
      </x:c>
    </x:row>
    <x:row r="8764">
      <x:c r="A8764" s="15" t="n">
        <x:v>44378</x:v>
      </x:c>
      <x:c r="B8764" s="13" t="str">
        <x:v>HYPERA SA</x:v>
      </x:c>
      <x:c r="C8764" s="16" t="n">
        <x:v>1553.1330296986</x:v>
      </x:c>
      <x:c r="D8764" s="13" t="str">
        <x:v>Health Care</x:v>
      </x:c>
      <x:c r="E8764" s="13" t="str">
        <x:v>Health Care</x:v>
      </x:c>
      <x:c r="F8764" s="13" t="str">
        <x:v>Defensives</x:v>
      </x:c>
      <x:c r="G8764" s="13" t="str">
        <x:v>grid_cqzdsc3v.xlsx</x:v>
      </x:c>
    </x:row>
    <x:row r="8765">
      <x:c r="A8765" s="15" t="n">
        <x:v>44378</x:v>
      </x:c>
      <x:c r="B8765" s="13" t="str">
        <x:v>NOTRE DAME INTERMED PAR SA</x:v>
      </x:c>
      <x:c r="C8765" s="16" t="n">
        <x:v>1218.1360387507</x:v>
      </x:c>
      <x:c r="D8765" s="13" t="str">
        <x:v>Health Care</x:v>
      </x:c>
      <x:c r="E8765" s="13" t="str">
        <x:v>Health Care</x:v>
      </x:c>
      <x:c r="F8765" s="13" t="str">
        <x:v>Defensives</x:v>
      </x:c>
      <x:c r="G8765" s="13" t="str">
        <x:v>grid_cqzdsc3v.xlsx</x:v>
      </x:c>
    </x:row>
    <x:row r="8766">
      <x:c r="A8766" s="15" t="n">
        <x:v>44378</x:v>
      </x:c>
      <x:c r="B8766" s="13" t="str">
        <x:v>QUALICORP CONS E CORR SEG SA</x:v>
      </x:c>
      <x:c r="C8766" s="16" t="n">
        <x:v>499.6774282521</x:v>
      </x:c>
      <x:c r="D8766" s="13" t="str">
        <x:v>Health Care</x:v>
      </x:c>
      <x:c r="E8766" s="13" t="str">
        <x:v>Health Care</x:v>
      </x:c>
      <x:c r="F8766" s="13" t="str">
        <x:v>Defensives</x:v>
      </x:c>
      <x:c r="G8766" s="13" t="str">
        <x:v>grid_cqzdsc3v.xlsx</x:v>
      </x:c>
    </x:row>
    <x:row r="8767">
      <x:c r="A8767" s="15" t="n">
        <x:v>44378</x:v>
      </x:c>
      <x:c r="B8767" s="13" t="str">
        <x:v>SUL AMERICA SA - UNITS</x:v>
      </x:c>
      <x:c r="C8767" s="16" t="n">
        <x:v>903.4332940274</x:v>
      </x:c>
      <x:c r="D8767" s="13" t="str">
        <x:v>Health Care</x:v>
      </x:c>
      <x:c r="E8767" s="13" t="str">
        <x:v>Health Care</x:v>
      </x:c>
      <x:c r="F8767" s="13" t="str">
        <x:v>Defensives</x:v>
      </x:c>
      <x:c r="G8767" s="13" t="str">
        <x:v>grid_cqzdsc3v.xlsx</x:v>
      </x:c>
    </x:row>
    <x:row r="8768">
      <x:c r="A8768" s="15" t="n">
        <x:v>44378</x:v>
      </x:c>
      <x:c r="B8768" s="13" t="str">
        <x:v>CYRELA BRAZIL REALTY SA EMP</x:v>
      </x:c>
      <x:c r="C8768" s="16" t="n">
        <x:v>968.670879211</x:v>
      </x:c>
      <x:c r="D8768" s="13" t="str">
        <x:v>Homebuilders</x:v>
      </x:c>
      <x:c r="E8768" s="13" t="str">
        <x:v>Real Estate</x:v>
      </x:c>
      <x:c r="F8768" s="13" t="str">
        <x:v>Early Cyclicals</x:v>
      </x:c>
      <x:c r="G8768" s="13" t="str">
        <x:v>grid_cqzdsc3v.xlsx</x:v>
      </x:c>
    </x:row>
    <x:row r="8769">
      <x:c r="A8769" s="15" t="n">
        <x:v>44378</x:v>
      </x:c>
      <x:c r="B8769" s="13" t="str">
        <x:v>EZ TEC EMPREENDIMENTOS E PAR</x:v>
      </x:c>
      <x:c r="C8769" s="16" t="n">
        <x:v>627.9486276384</x:v>
      </x:c>
      <x:c r="D8769" s="13" t="str">
        <x:v>Homebuilders</x:v>
      </x:c>
      <x:c r="E8769" s="13" t="str">
        <x:v>Real Estate</x:v>
      </x:c>
      <x:c r="F8769" s="13" t="str">
        <x:v>Early Cyclicals</x:v>
      </x:c>
      <x:c r="G8769" s="13" t="str">
        <x:v>grid_cqzdsc3v.xlsx</x:v>
      </x:c>
    </x:row>
    <x:row r="8770">
      <x:c r="A8770" s="15" t="n">
        <x:v>44378</x:v>
      </x:c>
      <x:c r="B8770" s="13" t="str">
        <x:v>MRV ENGENHARIA</x:v>
      </x:c>
      <x:c r="C8770" s="16" t="n">
        <x:v>853.9594520548</x:v>
      </x:c>
      <x:c r="D8770" s="13" t="str">
        <x:v>Homebuilders</x:v>
      </x:c>
      <x:c r="E8770" s="13" t="str">
        <x:v>Real Estate</x:v>
      </x:c>
      <x:c r="F8770" s="13" t="str">
        <x:v>Early Cyclicals</x:v>
      </x:c>
      <x:c r="G8770" s="13" t="str">
        <x:v>grid_cqzdsc3v.xlsx</x:v>
      </x:c>
    </x:row>
    <x:row r="8771">
      <x:c r="A8771" s="15" t="n">
        <x:v>44378</x:v>
      </x:c>
      <x:c r="B8771" s="13" t="str">
        <x:v>BR MALLS PARTICIPACOES SA</x:v>
      </x:c>
      <x:c r="C8771" s="16" t="n">
        <x:v>495.2674723068</x:v>
      </x:c>
      <x:c r="D8771" s="13" t="str">
        <x:v>Income Properties</x:v>
      </x:c>
      <x:c r="E8771" s="13" t="str">
        <x:v>Real Estate</x:v>
      </x:c>
      <x:c r="F8771" s="13" t="str">
        <x:v>Early Cyclicals</x:v>
      </x:c>
      <x:c r="G8771" s="13" t="str">
        <x:v>grid_cqzdsc3v.xlsx</x:v>
      </x:c>
    </x:row>
    <x:row r="8772">
      <x:c r="A8772" s="15" t="n">
        <x:v>44378</x:v>
      </x:c>
      <x:c r="B8772" s="13" t="str">
        <x:v>IGUATEMI EMP DE SHOPPING</x:v>
      </x:c>
      <x:c r="C8772" s="16" t="n">
        <x:v>250.7917808219</x:v>
      </x:c>
      <x:c r="D8772" s="13" t="str">
        <x:v>Income Properties</x:v>
      </x:c>
      <x:c r="E8772" s="13" t="str">
        <x:v>Real Estate</x:v>
      </x:c>
      <x:c r="F8772" s="13" t="str">
        <x:v>Early Cyclicals</x:v>
      </x:c>
      <x:c r="G8772" s="13" t="str">
        <x:v>grid_cqzdsc3v.xlsx</x:v>
      </x:c>
    </x:row>
    <x:row r="8773">
      <x:c r="A8773" s="15" t="n">
        <x:v>44378</x:v>
      </x:c>
      <x:c r="B8773" s="13" t="str">
        <x:v>JHSF PARTICIPACOES SA</x:v>
      </x:c>
      <x:c r="C8773" s="16" t="n">
        <x:v>441.8520547945</x:v>
      </x:c>
      <x:c r="D8773" s="13" t="str">
        <x:v>Income Properties</x:v>
      </x:c>
      <x:c r="E8773" s="13" t="str">
        <x:v>Real Estate</x:v>
      </x:c>
      <x:c r="F8773" s="13" t="str">
        <x:v>Early Cyclicals</x:v>
      </x:c>
      <x:c r="G8773" s="13" t="str">
        <x:v>grid_cqzdsc3v.xlsx</x:v>
      </x:c>
    </x:row>
    <x:row r="8774">
      <x:c r="A8774" s="15" t="n">
        <x:v>44378</x:v>
      </x:c>
      <x:c r="B8774" s="13" t="str">
        <x:v>MULTIPLAN EMPREENDIMENTOS</x:v>
      </x:c>
      <x:c r="C8774" s="16" t="n">
        <x:v>491.6717808219</x:v>
      </x:c>
      <x:c r="D8774" s="13" t="str">
        <x:v>Income Properties</x:v>
      </x:c>
      <x:c r="E8774" s="13" t="str">
        <x:v>Real Estate</x:v>
      </x:c>
      <x:c r="F8774" s="13" t="str">
        <x:v>Early Cyclicals</x:v>
      </x:c>
      <x:c r="G8774" s="13" t="str">
        <x:v>grid_cqzdsc3v.xlsx</x:v>
      </x:c>
    </x:row>
    <x:row r="8775">
      <x:c r="A8775" s="15" t="n">
        <x:v>44378</x:v>
      </x:c>
      <x:c r="B8775" s="13" t="str">
        <x:v>CIA SIDERURGICA NACIONAL SA</x:v>
      </x:c>
      <x:c r="C8775" s="16" t="n">
        <x:v>13796.3092136329</x:v>
      </x:c>
      <x:c r="D8775" s="13" t="str">
        <x:v>Metals &amp; Mining</x:v>
      </x:c>
      <x:c r="E8775" s="13" t="str">
        <x:v>Metals &amp; Mining</x:v>
      </x:c>
      <x:c r="F8775" s="13" t="str">
        <x:v>Deep Cyclicals</x:v>
      </x:c>
      <x:c r="G8775" s="13" t="str">
        <x:v>grid_cqzdsc3v.xlsx</x:v>
      </x:c>
    </x:row>
    <x:row r="8776">
      <x:c r="A8776" s="15" t="n">
        <x:v>44378</x:v>
      </x:c>
      <x:c r="B8776" s="13" t="str">
        <x:v>GERDAU SA-PREF</x:v>
      </x:c>
      <x:c r="C8776" s="16" t="n">
        <x:v>8187.8605319014</x:v>
      </x:c>
      <x:c r="D8776" s="13" t="str">
        <x:v>Metals &amp; Mining</x:v>
      </x:c>
      <x:c r="E8776" s="13" t="str">
        <x:v>Metals &amp; Mining</x:v>
      </x:c>
      <x:c r="F8776" s="13" t="str">
        <x:v>Deep Cyclicals</x:v>
      </x:c>
      <x:c r="G8776" s="13" t="str">
        <x:v>grid_cqzdsc3v.xlsx</x:v>
      </x:c>
    </x:row>
    <x:row r="8777">
      <x:c r="A8777" s="15" t="n">
        <x:v>44378</x:v>
      </x:c>
      <x:c r="B8777" s="13" t="str">
        <x:v>USINAS SIDER MINAS GER-PF A</x:v>
      </x:c>
      <x:c r="C8777" s="16" t="n">
        <x:v>4812.9435872438</x:v>
      </x:c>
      <x:c r="D8777" s="13" t="str">
        <x:v>Metals &amp; Mining</x:v>
      </x:c>
      <x:c r="E8777" s="13" t="str">
        <x:v>Metals &amp; Mining</x:v>
      </x:c>
      <x:c r="F8777" s="13" t="str">
        <x:v>Deep Cyclicals</x:v>
      </x:c>
      <x:c r="G8777" s="13" t="str">
        <x:v>grid_cqzdsc3v.xlsx</x:v>
      </x:c>
    </x:row>
    <x:row r="8778">
      <x:c r="A8778" s="15" t="n">
        <x:v>44378</x:v>
      </x:c>
      <x:c r="B8778" s="13" t="str">
        <x:v>VALE SA</x:v>
      </x:c>
      <x:c r="C8778" s="16" t="n">
        <x:v>127924.312518488</x:v>
      </x:c>
      <x:c r="D8778" s="13" t="str">
        <x:v>Metals &amp; Mining</x:v>
      </x:c>
      <x:c r="E8778" s="13" t="str">
        <x:v>Metals &amp; Mining</x:v>
      </x:c>
      <x:c r="F8778" s="13" t="str">
        <x:v>Deep Cyclicals</x:v>
      </x:c>
      <x:c r="G8778" s="13" t="str">
        <x:v>grid_cqzdsc3v.xlsx</x:v>
      </x:c>
    </x:row>
    <x:row r="8779">
      <x:c r="A8779" s="15" t="n">
        <x:v>44378</x:v>
      </x:c>
      <x:c r="B8779" s="13" t="str">
        <x:v>BRASKEM SA-PREF A</x:v>
      </x:c>
      <x:c r="C8779" s="16" t="n">
        <x:v>11055.7012318685</x:v>
      </x:c>
      <x:c r="D8779" s="13" t="str">
        <x:v>Oil, Gas &amp; Petrochemicals</x:v>
      </x:c>
      <x:c r="E8779" s="13" t="str">
        <x:v>Oil, Gas &amp; Petrochemicals</x:v>
      </x:c>
      <x:c r="F8779" s="13" t="str">
        <x:v>Deep Cyclicals</x:v>
      </x:c>
      <x:c r="G8779" s="13" t="str">
        <x:v>grid_cqzdsc3v.xlsx</x:v>
      </x:c>
    </x:row>
    <x:row r="8780">
      <x:c r="A8780" s="15" t="n">
        <x:v>44378</x:v>
      </x:c>
      <x:c r="B8780" s="13" t="str">
        <x:v>COSAN SA</x:v>
      </x:c>
      <x:c r="C8780" s="16" t="n">
        <x:v>3639.301305863</x:v>
      </x:c>
      <x:c r="D8780" s="13" t="str">
        <x:v>Oil, Gas &amp; Petrochemicals</x:v>
      </x:c>
      <x:c r="E8780" s="13" t="str">
        <x:v>Oil, Gas &amp; Petrochemicals</x:v>
      </x:c>
      <x:c r="F8780" s="13" t="str">
        <x:v>Deep Cyclicals</x:v>
      </x:c>
      <x:c r="G8780" s="13" t="str">
        <x:v>grid_cqzdsc3v.xlsx</x:v>
      </x:c>
    </x:row>
    <x:row r="8781">
      <x:c r="A8781" s="15" t="n">
        <x:v>44378</x:v>
      </x:c>
      <x:c r="B8781" s="13" t="str">
        <x:v>PETROBRAS - PETROLEO BRAS</x:v>
      </x:c>
      <x:c r="C8781" s="16" t="n">
        <x:v>67324.2802035726</x:v>
      </x:c>
      <x:c r="D8781" s="13" t="str">
        <x:v>Oil, Gas &amp; Petrochemicals</x:v>
      </x:c>
      <x:c r="E8781" s="13" t="str">
        <x:v>Oil, Gas &amp; Petrochemicals</x:v>
      </x:c>
      <x:c r="F8781" s="13" t="str">
        <x:v>Deep Cyclicals</x:v>
      </x:c>
      <x:c r="G8781" s="13" t="str">
        <x:v>grid_cqzdsc3v.xlsx</x:v>
      </x:c>
    </x:row>
    <x:row r="8782">
      <x:c r="A8782" s="15" t="n">
        <x:v>44378</x:v>
      </x:c>
      <x:c r="B8782" s="13" t="str">
        <x:v>PRIO SA</x:v>
      </x:c>
      <x:c r="C8782" s="16" t="n">
        <x:v>1647.8959139068</x:v>
      </x:c>
      <x:c r="D8782" s="13" t="str">
        <x:v>Oil, Gas &amp; Petrochemicals</x:v>
      </x:c>
      <x:c r="E8782" s="13" t="str">
        <x:v>Oil, Gas &amp; Petrochemicals</x:v>
      </x:c>
      <x:c r="F8782" s="13" t="str">
        <x:v>Deep Cyclicals</x:v>
      </x:c>
      <x:c r="G8782" s="13" t="str">
        <x:v>grid_cqzdsc3v.xlsx</x:v>
      </x:c>
    </x:row>
    <x:row r="8783">
      <x:c r="A8783" s="15" t="n">
        <x:v>44378</x:v>
      </x:c>
      <x:c r="B8783" s="13" t="str">
        <x:v>ULTRAPAR PARTICIPACOES SA</x:v>
      </x:c>
      <x:c r="C8783" s="16" t="n">
        <x:v>1323.213177337</x:v>
      </x:c>
      <x:c r="D8783" s="13" t="str">
        <x:v>Oil, Gas &amp; Petrochemicals</x:v>
      </x:c>
      <x:c r="E8783" s="13" t="str">
        <x:v>Oil, Gas &amp; Petrochemicals</x:v>
      </x:c>
      <x:c r="F8783" s="13" t="str">
        <x:v>Deep Cyclicals</x:v>
      </x:c>
      <x:c r="G8783" s="13" t="str">
        <x:v>grid_cqzdsc3v.xlsx</x:v>
      </x:c>
    </x:row>
    <x:row r="8784">
      <x:c r="A8784" s="15" t="n">
        <x:v>44378</x:v>
      </x:c>
      <x:c r="B8784" s="13" t="str">
        <x:v>VIBRA ENERGIA SA</x:v>
      </x:c>
      <x:c r="C8784" s="16" t="n">
        <x:v>2120.3616683836</x:v>
      </x:c>
      <x:c r="D8784" s="13" t="str">
        <x:v>Oil, Gas &amp; Petrochemicals</x:v>
      </x:c>
      <x:c r="E8784" s="13" t="str">
        <x:v>Oil, Gas &amp; Petrochemicals</x:v>
      </x:c>
      <x:c r="F8784" s="13" t="str">
        <x:v>Deep Cyclicals</x:v>
      </x:c>
      <x:c r="G8784" s="13" t="str">
        <x:v>grid_cqzdsc3v.xlsx</x:v>
      </x:c>
    </x:row>
    <x:row r="8785">
      <x:c r="A8785" s="15" t="n">
        <x:v>44378</x:v>
      </x:c>
      <x:c r="B8785" s="13" t="str">
        <x:v>KLABIN SA - UNIT</x:v>
      </x:c>
      <x:c r="C8785" s="16" t="n">
        <x:v>2461.5166877808</x:v>
      </x:c>
      <x:c r="D8785" s="13" t="str">
        <x:v>Pulp &amp; Paper</x:v>
      </x:c>
      <x:c r="E8785" s="13" t="str">
        <x:v>Pulp &amp; Paper</x:v>
      </x:c>
      <x:c r="F8785" s="13" t="str">
        <x:v>Deep Cyclicals</x:v>
      </x:c>
      <x:c r="G8785" s="13" t="str">
        <x:v>grid_cqzdsc3v.xlsx</x:v>
      </x:c>
    </x:row>
    <x:row r="8786">
      <x:c r="A8786" s="15" t="n">
        <x:v>44378</x:v>
      </x:c>
      <x:c r="B8786" s="13" t="str">
        <x:v>SUZANO SA</x:v>
      </x:c>
      <x:c r="C8786" s="16" t="n">
        <x:v>10656.3363573479</x:v>
      </x:c>
      <x:c r="D8786" s="13" t="str">
        <x:v>Pulp &amp; Paper</x:v>
      </x:c>
      <x:c r="E8786" s="13" t="str">
        <x:v>Pulp &amp; Paper</x:v>
      </x:c>
      <x:c r="F8786" s="13" t="str">
        <x:v>Deep Cyclicals</x:v>
      </x:c>
      <x:c r="G8786" s="13" t="str">
        <x:v>grid_cqzdsc3v.xlsx</x:v>
      </x:c>
    </x:row>
    <x:row r="8787">
      <x:c r="A8787" s="15" t="n">
        <x:v>44378</x:v>
      </x:c>
      <x:c r="B8787" s="13" t="str">
        <x:v>AMERICANAS SA</x:v>
      </x:c>
      <x:c r="C8787" s="16" t="n">
        <x:v>-24.8780362521</x:v>
      </x:c>
      <x:c r="D8787" s="13" t="str">
        <x:v>Retail</x:v>
      </x:c>
      <x:c r="E8787" s="13" t="str">
        <x:v>Retail</x:v>
      </x:c>
      <x:c r="F8787" s="13" t="str">
        <x:v>Early Cyclicals</x:v>
      </x:c>
      <x:c r="G8787" s="13" t="str">
        <x:v>grid_cqzdsc3v.xlsx</x:v>
      </x:c>
    </x:row>
    <x:row r="8788">
      <x:c r="A8788" s="15" t="n">
        <x:v>44378</x:v>
      </x:c>
      <x:c r="B8788" s="13" t="str">
        <x:v>ATACADAO SA</x:v>
      </x:c>
      <x:c r="C8788" s="16" t="n">
        <x:v>2803.908869611</x:v>
      </x:c>
      <x:c r="D8788" s="13" t="str">
        <x:v>Retail</x:v>
      </x:c>
      <x:c r="E8788" s="13" t="str">
        <x:v>Retail</x:v>
      </x:c>
      <x:c r="F8788" s="13" t="str">
        <x:v>Early Cyclicals</x:v>
      </x:c>
      <x:c r="G8788" s="13" t="str">
        <x:v>grid_cqzdsc3v.xlsx</x:v>
      </x:c>
    </x:row>
    <x:row r="8789">
      <x:c r="A8789" s="15" t="n">
        <x:v>44378</x:v>
      </x:c>
      <x:c r="B8789" s="13" t="str">
        <x:v>CIA BRASILEIRA DE DISTRIBUIC</x:v>
      </x:c>
      <x:c r="C8789" s="16" t="n">
        <x:v>501.4589041096</x:v>
      </x:c>
      <x:c r="D8789" s="13" t="str">
        <x:v>Retail</x:v>
      </x:c>
      <x:c r="E8789" s="13" t="str">
        <x:v>Retail</x:v>
      </x:c>
      <x:c r="F8789" s="13" t="str">
        <x:v>Early Cyclicals</x:v>
      </x:c>
      <x:c r="G8789" s="13" t="str">
        <x:v>grid_cqzdsc3v.xlsx</x:v>
      </x:c>
    </x:row>
    <x:row r="8790">
      <x:c r="A8790" s="15" t="n">
        <x:v>44378</x:v>
      </x:c>
      <x:c r="B8790" s="13" t="str">
        <x:v>CIA HERING</x:v>
      </x:c>
      <x:c r="C8790" s="16" t="n">
        <x:v>199.0452054795</x:v>
      </x:c>
      <x:c r="D8790" s="13" t="str">
        <x:v>Retail</x:v>
      </x:c>
      <x:c r="E8790" s="13" t="str">
        <x:v>Retail</x:v>
      </x:c>
      <x:c r="F8790" s="13" t="str">
        <x:v>Early Cyclicals</x:v>
      </x:c>
      <x:c r="G8790" s="13" t="str">
        <x:v>grid_cqzdsc3v.xlsx</x:v>
      </x:c>
    </x:row>
    <x:row r="8791">
      <x:c r="A8791" s="15" t="n">
        <x:v>44378</x:v>
      </x:c>
      <x:c r="B8791" s="13" t="str">
        <x:v>GRUPO CASAS BAHIA SA</x:v>
      </x:c>
      <x:c r="C8791" s="16" t="n">
        <x:v>733.8069763507</x:v>
      </x:c>
      <x:c r="D8791" s="13" t="str">
        <x:v>Retail</x:v>
      </x:c>
      <x:c r="E8791" s="13" t="str">
        <x:v>Retail</x:v>
      </x:c>
      <x:c r="F8791" s="13" t="str">
        <x:v>Early Cyclicals</x:v>
      </x:c>
      <x:c r="G8791" s="13" t="str">
        <x:v>grid_cqzdsc3v.xlsx</x:v>
      </x:c>
    </x:row>
    <x:row r="8792">
      <x:c r="A8792" s="15" t="n">
        <x:v>44378</x:v>
      </x:c>
      <x:c r="B8792" s="13" t="str">
        <x:v>LOJAS AMERICANAS SA-PREF</x:v>
      </x:c>
      <x:c r="C8792" s="16" t="n">
        <x:v>394.2436288877</x:v>
      </x:c>
      <x:c r="D8792" s="13" t="str">
        <x:v>Retail</x:v>
      </x:c>
      <x:c r="E8792" s="13" t="str">
        <x:v>Retail</x:v>
      </x:c>
      <x:c r="F8792" s="13" t="str">
        <x:v>Early Cyclicals</x:v>
      </x:c>
      <x:c r="G8792" s="13" t="str">
        <x:v>grid_cqzdsc3v.xlsx</x:v>
      </x:c>
    </x:row>
    <x:row r="8793">
      <x:c r="A8793" s="15" t="n">
        <x:v>44378</x:v>
      </x:c>
      <x:c r="B8793" s="13" t="str">
        <x:v>LOJAS RENNER S.A.</x:v>
      </x:c>
      <x:c r="C8793" s="16" t="n">
        <x:v>1122.6752143781</x:v>
      </x:c>
      <x:c r="D8793" s="13" t="str">
        <x:v>Retail</x:v>
      </x:c>
      <x:c r="E8793" s="13" t="str">
        <x:v>Retail</x:v>
      </x:c>
      <x:c r="F8793" s="13" t="str">
        <x:v>Early Cyclicals</x:v>
      </x:c>
      <x:c r="G8793" s="13" t="str">
        <x:v>grid_cqzdsc3v.xlsx</x:v>
      </x:c>
    </x:row>
    <x:row r="8794">
      <x:c r="A8794" s="15" t="n">
        <x:v>44378</x:v>
      </x:c>
      <x:c r="B8794" s="13" t="str">
        <x:v>MAGAZINE LUIZA SA</x:v>
      </x:c>
      <x:c r="C8794" s="16" t="n">
        <x:v>898.0953217753</x:v>
      </x:c>
      <x:c r="D8794" s="13" t="str">
        <x:v>Retail</x:v>
      </x:c>
      <x:c r="E8794" s="13" t="str">
        <x:v>Retail</x:v>
      </x:c>
      <x:c r="F8794" s="13" t="str">
        <x:v>Early Cyclicals</x:v>
      </x:c>
      <x:c r="G8794" s="13" t="str">
        <x:v>grid_cqzdsc3v.xlsx</x:v>
      </x:c>
    </x:row>
    <x:row r="8795">
      <x:c r="A8795" s="15" t="n">
        <x:v>44378</x:v>
      </x:c>
      <x:c r="B8795" s="13" t="str">
        <x:v>NATURA &amp;CO HOLDING SA</x:v>
      </x:c>
      <x:c r="C8795" s="16" t="n">
        <x:v>1092.2940223123</x:v>
      </x:c>
      <x:c r="D8795" s="13" t="str">
        <x:v>Retail</x:v>
      </x:c>
      <x:c r="E8795" s="13" t="str">
        <x:v>Retail</x:v>
      </x:c>
      <x:c r="F8795" s="13" t="str">
        <x:v>Early Cyclicals</x:v>
      </x:c>
      <x:c r="G8795" s="13" t="str">
        <x:v>grid_cqzdsc3v.xlsx</x:v>
      </x:c>
    </x:row>
    <x:row r="8796">
      <x:c r="A8796" s="15" t="n">
        <x:v>44378</x:v>
      </x:c>
      <x:c r="B8796" s="13" t="str">
        <x:v>RAIA DROGASIL SA</x:v>
      </x:c>
      <x:c r="C8796" s="16" t="n">
        <x:v>1006.4651712877</x:v>
      </x:c>
      <x:c r="D8796" s="13" t="str">
        <x:v>Retail</x:v>
      </x:c>
      <x:c r="E8796" s="13" t="str">
        <x:v>Retail</x:v>
      </x:c>
      <x:c r="F8796" s="13" t="str">
        <x:v>Early Cyclicals</x:v>
      </x:c>
      <x:c r="G8796" s="13" t="str">
        <x:v>grid_cqzdsc3v.xlsx</x:v>
      </x:c>
    </x:row>
    <x:row r="8797">
      <x:c r="A8797" s="15" t="n">
        <x:v>44378</x:v>
      </x:c>
      <x:c r="B8797" s="13" t="str">
        <x:v>SENDAS DISTRIBUIDORA SA</x:v>
      </x:c>
      <x:c r="C8797" s="16" t="n">
        <x:v>1474.9479452055</x:v>
      </x:c>
      <x:c r="D8797" s="13" t="str">
        <x:v>Retail</x:v>
      </x:c>
      <x:c r="E8797" s="13" t="str">
        <x:v>Retail</x:v>
      </x:c>
      <x:c r="F8797" s="13" t="str">
        <x:v>Early Cyclicals</x:v>
      </x:c>
      <x:c r="G8797" s="13" t="str">
        <x:v>grid_cqzdsc3v.xlsx</x:v>
      </x:c>
    </x:row>
    <x:row r="8798">
      <x:c r="A8798" s="15" t="n">
        <x:v>44378</x:v>
      </x:c>
      <x:c r="B8798" s="13" t="str">
        <x:v>CIA SANEAMENTO BASICO DE SP</x:v>
      </x:c>
      <x:c r="C8798" s="16" t="n">
        <x:v>3266.3928172712</x:v>
      </x:c>
      <x:c r="D8798" s="13" t="str">
        <x:v>Sanitation</x:v>
      </x:c>
      <x:c r="E8798" s="13" t="str">
        <x:v>Utilities</x:v>
      </x:c>
      <x:c r="F8798" s="13" t="str">
        <x:v>Defensives</x:v>
      </x:c>
      <x:c r="G8798" s="13" t="str">
        <x:v>grid_cqzdsc3v.xlsx</x:v>
      </x:c>
    </x:row>
    <x:row r="8799">
      <x:c r="A8799" s="15" t="n">
        <x:v>44378</x:v>
      </x:c>
      <x:c r="B8799" s="13" t="str">
        <x:v>TIM SA</x:v>
      </x:c>
      <x:c r="C8799" s="16" t="n">
        <x:v>2583.8592420822</x:v>
      </x:c>
      <x:c r="D8799" s="13" t="str">
        <x:v>TMT</x:v>
      </x:c>
      <x:c r="E8799" s="13" t="str">
        <x:v>TMT</x:v>
      </x:c>
      <x:c r="F8799" s="13" t="str">
        <x:v>Early Cyclicals</x:v>
      </x:c>
      <x:c r="G8799" s="13" t="str">
        <x:v>grid_cqzdsc3v.xlsx</x:v>
      </x:c>
    </x:row>
    <x:row r="8800">
      <x:c r="A8800" s="15" t="n">
        <x:v>44378</x:v>
      </x:c>
      <x:c r="B8800" s="13" t="str">
        <x:v>TOTVS SA</x:v>
      </x:c>
      <x:c r="C8800" s="16" t="n">
        <x:v>436.9924967452</x:v>
      </x:c>
      <x:c r="D8800" s="13" t="str">
        <x:v>TMT</x:v>
      </x:c>
      <x:c r="E8800" s="13" t="str">
        <x:v>TMT</x:v>
      </x:c>
      <x:c r="F8800" s="13" t="str">
        <x:v>Early Cyclicals</x:v>
      </x:c>
      <x:c r="G8800" s="13" t="str">
        <x:v>grid_cqzdsc3v.xlsx</x:v>
      </x:c>
    </x:row>
    <x:row r="8801">
      <x:c r="A8801" s="15" t="n">
        <x:v>44378</x:v>
      </x:c>
      <x:c r="B8801" s="13" t="str">
        <x:v>AZUL SA</x:v>
      </x:c>
      <x:c r="C8801" s="16" t="n">
        <x:v>-1393.9399783452</x:v>
      </x:c>
      <x:c r="D8801" s="13" t="str">
        <x:v>Transportation</x:v>
      </x:c>
      <x:c r="E8801" s="13" t="str">
        <x:v>Transportation</x:v>
      </x:c>
      <x:c r="F8801" s="13" t="str">
        <x:v>Deep Cyclicals</x:v>
      </x:c>
      <x:c r="G8801" s="13" t="str">
        <x:v>grid_cqzdsc3v.xlsx</x:v>
      </x:c>
    </x:row>
    <x:row r="8802">
      <x:c r="A8802" s="15" t="n">
        <x:v>44378</x:v>
      </x:c>
      <x:c r="B8802" s="13" t="str">
        <x:v>CIA DE LOCACAO DAS AMERICAS</x:v>
      </x:c>
      <x:c r="C8802" s="16" t="n">
        <x:v>873.9567123288</x:v>
      </x:c>
      <x:c r="D8802" s="13" t="str">
        <x:v>Transportation</x:v>
      </x:c>
      <x:c r="E8802" s="13" t="str">
        <x:v>Transportation</x:v>
      </x:c>
      <x:c r="F8802" s="13" t="str">
        <x:v>Deep Cyclicals</x:v>
      </x:c>
      <x:c r="G8802" s="13" t="str">
        <x:v>grid_cqzdsc3v.xlsx</x:v>
      </x:c>
    </x:row>
    <x:row r="8803">
      <x:c r="A8803" s="15" t="n">
        <x:v>44378</x:v>
      </x:c>
      <x:c r="B8803" s="13" t="str">
        <x:v>ECORODOVIAS INFRA E LOG SA</x:v>
      </x:c>
      <x:c r="C8803" s="16" t="n">
        <x:v>264.6055321425</x:v>
      </x:c>
      <x:c r="D8803" s="13" t="str">
        <x:v>Transportation</x:v>
      </x:c>
      <x:c r="E8803" s="13" t="str">
        <x:v>Transportation</x:v>
      </x:c>
      <x:c r="F8803" s="13" t="str">
        <x:v>Deep Cyclicals</x:v>
      </x:c>
      <x:c r="G8803" s="13" t="str">
        <x:v>grid_cqzdsc3v.xlsx</x:v>
      </x:c>
    </x:row>
    <x:row r="8804">
      <x:c r="A8804" s="15" t="n">
        <x:v>44378</x:v>
      </x:c>
      <x:c r="B8804" s="13" t="str">
        <x:v>GOL LINHAS AEREAS INT SA-PRE</x:v>
      </x:c>
      <x:c r="C8804" s="16" t="n">
        <x:v>-1142.9244173151</x:v>
      </x:c>
      <x:c r="D8804" s="13" t="str">
        <x:v>Transportation</x:v>
      </x:c>
      <x:c r="E8804" s="13" t="str">
        <x:v>Transportation</x:v>
      </x:c>
      <x:c r="F8804" s="13" t="str">
        <x:v>Deep Cyclicals</x:v>
      </x:c>
      <x:c r="G8804" s="13" t="str">
        <x:v>grid_cqzdsc3v.xlsx</x:v>
      </x:c>
    </x:row>
    <x:row r="8805">
      <x:c r="A8805" s="15" t="n">
        <x:v>44378</x:v>
      </x:c>
      <x:c r="B8805" s="13" t="str">
        <x:v>LOCALIZA RENT A CAR</x:v>
      </x:c>
      <x:c r="C8805" s="16" t="n">
        <x:v>1683.3785315945</x:v>
      </x:c>
      <x:c r="D8805" s="13" t="str">
        <x:v>Transportation</x:v>
      </x:c>
      <x:c r="E8805" s="13" t="str">
        <x:v>Transportation</x:v>
      </x:c>
      <x:c r="F8805" s="13" t="str">
        <x:v>Deep Cyclicals</x:v>
      </x:c>
      <x:c r="G8805" s="13" t="str">
        <x:v>grid_cqzdsc3v.xlsx</x:v>
      </x:c>
    </x:row>
    <x:row r="8806">
      <x:c r="A8806" s="15" t="n">
        <x:v>44378</x:v>
      </x:c>
      <x:c r="B8806" s="13" t="str">
        <x:v>MOTIVA INFRAESTRUTURA DE MOB</x:v>
      </x:c>
      <x:c r="C8806" s="16" t="n">
        <x:v>1307.866105337</x:v>
      </x:c>
      <x:c r="D8806" s="13" t="str">
        <x:v>Transportation</x:v>
      </x:c>
      <x:c r="E8806" s="13" t="str">
        <x:v>Transportation</x:v>
      </x:c>
      <x:c r="F8806" s="13" t="str">
        <x:v>Deep Cyclicals</x:v>
      </x:c>
      <x:c r="G8806" s="13" t="str">
        <x:v>grid_cqzdsc3v.xlsx</x:v>
      </x:c>
    </x:row>
    <x:row r="8807">
      <x:c r="A8807" s="15" t="n">
        <x:v>44378</x:v>
      </x:c>
      <x:c r="B8807" s="13" t="str">
        <x:v>RUMO SA</x:v>
      </x:c>
      <x:c r="C8807" s="16" t="n">
        <x:v>1274.8306614356</x:v>
      </x:c>
      <x:c r="D8807" s="13" t="str">
        <x:v>Transportation</x:v>
      </x:c>
      <x:c r="E8807" s="13" t="str">
        <x:v>Transportation</x:v>
      </x:c>
      <x:c r="F8807" s="13" t="str">
        <x:v>Deep Cyclicals</x:v>
      </x:c>
      <x:c r="G8807" s="13" t="str">
        <x:v>grid_cqzdsc3v.xlsx</x:v>
      </x:c>
    </x:row>
    <x:row r="8808">
      <x:c r="A8808" s="15" t="n">
        <x:v>44378</x:v>
      </x:c>
      <x:c r="B8808" s="13" t="str">
        <x:v>AXIA ENERGIA SA</x:v>
      </x:c>
      <x:c r="C8808" s="16" t="n">
        <x:v>9490.8413418959</x:v>
      </x:c>
      <x:c r="D8808" s="13" t="str">
        <x:v>Utilities &amp; Energy</x:v>
      </x:c>
      <x:c r="E8808" s="13" t="str">
        <x:v>Utilities</x:v>
      </x:c>
      <x:c r="F8808" s="13" t="str">
        <x:v>Defensives</x:v>
      </x:c>
      <x:c r="G8808" s="13" t="str">
        <x:v>grid_cqzdsc3v.xlsx</x:v>
      </x:c>
    </x:row>
    <x:row r="8809">
      <x:c r="A8809" s="15" t="n">
        <x:v>44378</x:v>
      </x:c>
      <x:c r="B8809" s="13" t="str">
        <x:v>AXIA ENERGIA-PR B</x:v>
      </x:c>
      <x:c r="C8809" s="16" t="n">
        <x:v>9490.8413418959</x:v>
      </x:c>
      <x:c r="D8809" s="13" t="str">
        <x:v>Utilities &amp; Energy</x:v>
      </x:c>
      <x:c r="E8809" s="13" t="str">
        <x:v>Utilities</x:v>
      </x:c>
      <x:c r="F8809" s="13" t="str">
        <x:v>Defensives</x:v>
      </x:c>
      <x:c r="G8809" s="13" t="str">
        <x:v>grid_cqzdsc3v.xlsx</x:v>
      </x:c>
    </x:row>
    <x:row r="8810">
      <x:c r="A8810" s="15" t="n">
        <x:v>44378</x:v>
      </x:c>
      <x:c r="B8810" s="13" t="str">
        <x:v>CIA ENERGETICA MINAS GER-PRF</x:v>
      </x:c>
      <x:c r="C8810" s="16" t="n">
        <x:v>3245.0498111123</x:v>
      </x:c>
      <x:c r="D8810" s="13" t="str">
        <x:v>Utilities &amp; Energy</x:v>
      </x:c>
      <x:c r="E8810" s="13" t="str">
        <x:v>Utilities</x:v>
      </x:c>
      <x:c r="F8810" s="13" t="str">
        <x:v>Defensives</x:v>
      </x:c>
      <x:c r="G8810" s="13" t="str">
        <x:v>grid_cqzdsc3v.xlsx</x:v>
      </x:c>
    </x:row>
    <x:row r="8811">
      <x:c r="A8811" s="15" t="n">
        <x:v>44378</x:v>
      </x:c>
      <x:c r="B8811" s="13" t="str">
        <x:v>COMPANHIA PARANAENSE -PREF B</x:v>
      </x:c>
      <x:c r="C8811" s="16" t="n">
        <x:v>2373.5341995836</x:v>
      </x:c>
      <x:c r="D8811" s="13" t="str">
        <x:v>Utilities &amp; Energy</x:v>
      </x:c>
      <x:c r="E8811" s="13" t="str">
        <x:v>Utilities</x:v>
      </x:c>
      <x:c r="F8811" s="13" t="str">
        <x:v>Defensives</x:v>
      </x:c>
      <x:c r="G8811" s="13" t="str">
        <x:v>grid_cqzdsc3v.xlsx</x:v>
      </x:c>
    </x:row>
    <x:row r="8812">
      <x:c r="A8812" s="15" t="n">
        <x:v>44378</x:v>
      </x:c>
      <x:c r="B8812" s="13" t="str">
        <x:v>CPFL ENERGIA SA</x:v>
      </x:c>
      <x:c r="C8812" s="16" t="n">
        <x:v>3690.1942173808</x:v>
      </x:c>
      <x:c r="D8812" s="13" t="str">
        <x:v>Utilities &amp; Energy</x:v>
      </x:c>
      <x:c r="E8812" s="13" t="str">
        <x:v>Utilities</x:v>
      </x:c>
      <x:c r="F8812" s="13" t="str">
        <x:v>Defensives</x:v>
      </x:c>
      <x:c r="G8812" s="13" t="str">
        <x:v>grid_cqzdsc3v.xlsx</x:v>
      </x:c>
    </x:row>
    <x:row r="8813">
      <x:c r="A8813" s="15" t="n">
        <x:v>44378</x:v>
      </x:c>
      <x:c r="B8813" s="13" t="str">
        <x:v>EDP - ENERGIAS DO BRASIL SA</x:v>
      </x:c>
      <x:c r="C8813" s="16" t="n">
        <x:v>1315.7347464767</x:v>
      </x:c>
      <x:c r="D8813" s="13" t="str">
        <x:v>Utilities &amp; Energy</x:v>
      </x:c>
      <x:c r="E8813" s="13" t="str">
        <x:v>Utilities</x:v>
      </x:c>
      <x:c r="F8813" s="13" t="str">
        <x:v>Defensives</x:v>
      </x:c>
      <x:c r="G8813" s="13" t="str">
        <x:v>grid_cqzdsc3v.xlsx</x:v>
      </x:c>
    </x:row>
    <x:row r="8814">
      <x:c r="A8814" s="15" t="n">
        <x:v>44378</x:v>
      </x:c>
      <x:c r="B8814" s="13" t="str">
        <x:v>ENERGISA SA-UNITS</x:v>
      </x:c>
      <x:c r="C8814" s="16" t="n">
        <x:v>2139.0499622575</x:v>
      </x:c>
      <x:c r="D8814" s="13" t="str">
        <x:v>Utilities &amp; Energy</x:v>
      </x:c>
      <x:c r="E8814" s="13" t="str">
        <x:v>Utilities</x:v>
      </x:c>
      <x:c r="F8814" s="13" t="str">
        <x:v>Defensives</x:v>
      </x:c>
      <x:c r="G8814" s="13" t="str">
        <x:v>grid_cqzdsc3v.xlsx</x:v>
      </x:c>
    </x:row>
    <x:row r="8815">
      <x:c r="A8815" s="15" t="n">
        <x:v>44378</x:v>
      </x:c>
      <x:c r="B8815" s="13" t="str">
        <x:v>ENEVA SA</x:v>
      </x:c>
      <x:c r="C8815" s="16" t="n">
        <x:v>1331.4192050849</x:v>
      </x:c>
      <x:c r="D8815" s="13" t="str">
        <x:v>Utilities &amp; Energy</x:v>
      </x:c>
      <x:c r="E8815" s="13" t="str">
        <x:v>Utilities</x:v>
      </x:c>
      <x:c r="F8815" s="13" t="str">
        <x:v>Defensives</x:v>
      </x:c>
      <x:c r="G8815" s="13" t="str">
        <x:v>grid_cqzdsc3v.xlsx</x:v>
      </x:c>
    </x:row>
    <x:row r="8816">
      <x:c r="A8816" s="15" t="n">
        <x:v>44378</x:v>
      </x:c>
      <x:c r="B8816" s="13" t="str">
        <x:v>ENGIE BRASIL ENERGIA SA</x:v>
      </x:c>
      <x:c r="C8816" s="16" t="n">
        <x:v>3045.9703099616</x:v>
      </x:c>
      <x:c r="D8816" s="13" t="str">
        <x:v>Utilities &amp; Energy</x:v>
      </x:c>
      <x:c r="E8816" s="13" t="str">
        <x:v>Utilities</x:v>
      </x:c>
      <x:c r="F8816" s="13" t="str">
        <x:v>Defensives</x:v>
      </x:c>
      <x:c r="G8816" s="13" t="str">
        <x:v>grid_cqzdsc3v.xlsx</x:v>
      </x:c>
    </x:row>
    <x:row r="8817">
      <x:c r="A8817" s="15" t="n">
        <x:v>44378</x:v>
      </x:c>
      <x:c r="B8817" s="13" t="str">
        <x:v>EQUATORIAL SA - ORD</x:v>
      </x:c>
      <x:c r="C8817" s="16" t="n">
        <x:v>2084.8951457315</x:v>
      </x:c>
      <x:c r="D8817" s="13" t="str">
        <x:v>Utilities &amp; Energy</x:v>
      </x:c>
      <x:c r="E8817" s="13" t="str">
        <x:v>Utilities</x:v>
      </x:c>
      <x:c r="F8817" s="13" t="str">
        <x:v>Defensives</x:v>
      </x:c>
      <x:c r="G8817" s="13" t="str">
        <x:v>grid_cqzdsc3v.xlsx</x:v>
      </x:c>
    </x:row>
    <x:row r="8818">
      <x:c r="A8818" s="15" t="n">
        <x:v>44378</x:v>
      </x:c>
      <x:c r="B8818" s="13" t="str">
        <x:v>TRANSMISSORA ALIANCA DE-UNIT</x:v>
      </x:c>
      <x:c r="C8818" s="16" t="n">
        <x:v>1179.7777537753</x:v>
      </x:c>
      <x:c r="D8818" s="13" t="str">
        <x:v>Utilities &amp; Energy</x:v>
      </x:c>
      <x:c r="E8818" s="13" t="str">
        <x:v>Utilities</x:v>
      </x:c>
      <x:c r="F8818" s="13" t="str">
        <x:v>Defensives</x:v>
      </x:c>
      <x:c r="G8818" s="13" t="str">
        <x:v>grid_cqzdsc3v.xlsx</x:v>
      </x:c>
    </x:row>
    <x:row r="8819">
      <x:c r="A8819" s="15" t="n">
        <x:v>44409</x:v>
      </x:c>
      <x:c r="B8819" s="13" t="str">
        <x:v>BANCO BRADESCO S.A.</x:v>
      </x:c>
      <x:c r="C8819" s="16" t="n">
        <x:v>27821.9355178082</x:v>
      </x:c>
      <x:c r="D8819" s="13" t="str">
        <x:v>Banks</x:v>
      </x:c>
      <x:c r="E8819" s="13" t="str">
        <x:v>Banks</x:v>
      </x:c>
      <x:c r="F8819" s="13" t="str">
        <x:v>Financials</x:v>
      </x:c>
      <x:c r="G8819" s="13" t="str">
        <x:v>grid_cqzdsc3v.xlsx</x:v>
      </x:c>
    </x:row>
    <x:row r="8820">
      <x:c r="A8820" s="15" t="n">
        <x:v>44409</x:v>
      </x:c>
      <x:c r="B8820" s="13" t="str">
        <x:v>BANCO BRADESCO SA-PREF</x:v>
      </x:c>
      <x:c r="C8820" s="16" t="n">
        <x:v>27821.9355178082</x:v>
      </x:c>
      <x:c r="D8820" s="13" t="str">
        <x:v>Banks</x:v>
      </x:c>
      <x:c r="E8820" s="13" t="str">
        <x:v>Banks</x:v>
      </x:c>
      <x:c r="F8820" s="13" t="str">
        <x:v>Financials</x:v>
      </x:c>
      <x:c r="G8820" s="13" t="str">
        <x:v>grid_cqzdsc3v.xlsx</x:v>
      </x:c>
    </x:row>
    <x:row r="8821">
      <x:c r="A8821" s="15" t="n">
        <x:v>44409</x:v>
      </x:c>
      <x:c r="B8821" s="13" t="str">
        <x:v>BANCO BTG PACTUAL SA-UNIT</x:v>
      </x:c>
      <x:c r="C8821" s="16" t="n">
        <x:v>6545.6979757589</x:v>
      </x:c>
      <x:c r="D8821" s="13" t="str">
        <x:v>Banks</x:v>
      </x:c>
      <x:c r="E8821" s="13" t="str">
        <x:v>Banks</x:v>
      </x:c>
      <x:c r="F8821" s="13" t="str">
        <x:v>Financials</x:v>
      </x:c>
      <x:c r="G8821" s="13" t="str">
        <x:v>grid_cqzdsc3v.xlsx</x:v>
      </x:c>
    </x:row>
    <x:row r="8822">
      <x:c r="A8822" s="15" t="n">
        <x:v>44409</x:v>
      </x:c>
      <x:c r="B8822" s="13" t="str">
        <x:v>BANCO DO BRASIL S.A.</x:v>
      </x:c>
      <x:c r="C8822" s="16" t="n">
        <x:v>19281.4542399123</x:v>
      </x:c>
      <x:c r="D8822" s="13" t="str">
        <x:v>Banks</x:v>
      </x:c>
      <x:c r="E8822" s="13" t="str">
        <x:v>Banks</x:v>
      </x:c>
      <x:c r="F8822" s="13" t="str">
        <x:v>Financials</x:v>
      </x:c>
      <x:c r="G8822" s="13" t="str">
        <x:v>grid_cqzdsc3v.xlsx</x:v>
      </x:c>
    </x:row>
    <x:row r="8823">
      <x:c r="A8823" s="15" t="n">
        <x:v>44409</x:v>
      </x:c>
      <x:c r="B8823" s="13" t="str">
        <x:v>BANCO INTER SA</x:v>
      </x:c>
      <x:c r="C8823" s="16" t="n">
        <x:v>389.1635068493</x:v>
      </x:c>
      <x:c r="D8823" s="13" t="str">
        <x:v>Banks</x:v>
      </x:c>
      <x:c r="E8823" s="13" t="str">
        <x:v>Banks</x:v>
      </x:c>
      <x:c r="F8823" s="13" t="str">
        <x:v>Financials</x:v>
      </x:c>
      <x:c r="G8823" s="13" t="str">
        <x:v>grid_cqzdsc3v.xlsx</x:v>
      </x:c>
    </x:row>
    <x:row r="8824">
      <x:c r="A8824" s="15" t="n">
        <x:v>44409</x:v>
      </x:c>
      <x:c r="B8824" s="13" t="str">
        <x:v>BANCO SANTANDER  BRASIL-UNIT</x:v>
      </x:c>
      <x:c r="C8824" s="16" t="n">
        <x:v>16442.0543502027</x:v>
      </x:c>
      <x:c r="D8824" s="13" t="str">
        <x:v>Banks</x:v>
      </x:c>
      <x:c r="E8824" s="13" t="str">
        <x:v>Banks</x:v>
      </x:c>
      <x:c r="F8824" s="13" t="str">
        <x:v>Financials</x:v>
      </x:c>
      <x:c r="G8824" s="13" t="str">
        <x:v>grid_cqzdsc3v.xlsx</x:v>
      </x:c>
    </x:row>
    <x:row r="8825">
      <x:c r="A8825" s="15" t="n">
        <x:v>44409</x:v>
      </x:c>
      <x:c r="B8825" s="13" t="str">
        <x:v>ITAU UNIBANCO HOLDING S-PREF</x:v>
      </x:c>
      <x:c r="C8825" s="16" t="n">
        <x:v>27570.9863907945</x:v>
      </x:c>
      <x:c r="D8825" s="13" t="str">
        <x:v>Banks</x:v>
      </x:c>
      <x:c r="E8825" s="13" t="str">
        <x:v>Banks</x:v>
      </x:c>
      <x:c r="F8825" s="13" t="str">
        <x:v>Financials</x:v>
      </x:c>
      <x:c r="G8825" s="13" t="str">
        <x:v>grid_cqzdsc3v.xlsx</x:v>
      </x:c>
    </x:row>
    <x:row r="8826">
      <x:c r="A8826" s="15" t="n">
        <x:v>44409</x:v>
      </x:c>
      <x:c r="B8826" s="13" t="str">
        <x:v>EMBRAER SA</x:v>
      </x:c>
      <x:c r="C8826" s="16" t="n">
        <x:v>122.9821917808</x:v>
      </x:c>
      <x:c r="D8826" s="13" t="str">
        <x:v>Capital Goods</x:v>
      </x:c>
      <x:c r="E8826" s="13" t="str">
        <x:v>Capital Goods</x:v>
      </x:c>
      <x:c r="F8826" s="13" t="str">
        <x:v>Deep Cyclicals</x:v>
      </x:c>
      <x:c r="G8826" s="13" t="str">
        <x:v>grid_cqzdsc3v.xlsx</x:v>
      </x:c>
    </x:row>
    <x:row r="8827">
      <x:c r="A8827" s="15" t="n">
        <x:v>44409</x:v>
      </x:c>
      <x:c r="B8827" s="13" t="str">
        <x:v>WEG SA</x:v>
      </x:c>
      <x:c r="C8827" s="16" t="n">
        <x:v>3503.4762022575</x:v>
      </x:c>
      <x:c r="D8827" s="13" t="str">
        <x:v>Capital Goods</x:v>
      </x:c>
      <x:c r="E8827" s="13" t="str">
        <x:v>Capital Goods</x:v>
      </x:c>
      <x:c r="F8827" s="13" t="str">
        <x:v>Deep Cyclicals</x:v>
      </x:c>
      <x:c r="G8827" s="13" t="str">
        <x:v>grid_cqzdsc3v.xlsx</x:v>
      </x:c>
    </x:row>
    <x:row r="8828">
      <x:c r="A8828" s="15" t="n">
        <x:v>44409</x:v>
      </x:c>
      <x:c r="B8828" s="13" t="str">
        <x:v>COGNA EDUCACAO</x:v>
      </x:c>
      <x:c r="C8828" s="16" t="n">
        <x:v>14.4136764384</x:v>
      </x:c>
      <x:c r="D8828" s="13" t="str">
        <x:v>Education</x:v>
      </x:c>
      <x:c r="E8828" s="13" t="str">
        <x:v>Education</x:v>
      </x:c>
      <x:c r="F8828" s="13" t="str">
        <x:v>Early Cyclicals</x:v>
      </x:c>
      <x:c r="G8828" s="13" t="str">
        <x:v>grid_cqzdsc3v.xlsx</x:v>
      </x:c>
    </x:row>
    <x:row r="8829">
      <x:c r="A8829" s="15" t="n">
        <x:v>44409</x:v>
      </x:c>
      <x:c r="B8829" s="13" t="str">
        <x:v>YDUQS PARTICIPACOES SA</x:v>
      </x:c>
      <x:c r="C8829" s="16" t="n">
        <x:v>551.7265067836</x:v>
      </x:c>
      <x:c r="D8829" s="13" t="str">
        <x:v>Education</x:v>
      </x:c>
      <x:c r="E8829" s="13" t="str">
        <x:v>Education</x:v>
      </x:c>
      <x:c r="F8829" s="13" t="str">
        <x:v>Early Cyclicals</x:v>
      </x:c>
      <x:c r="G8829" s="13" t="str">
        <x:v>grid_cqzdsc3v.xlsx</x:v>
      </x:c>
    </x:row>
    <x:row r="8830">
      <x:c r="A8830" s="15" t="n">
        <x:v>44409</x:v>
      </x:c>
      <x:c r="B8830" s="13" t="str">
        <x:v>B3 SA-BRASIL BOLSA BALCAO</x:v>
      </x:c>
      <x:c r="C8830" s="16" t="n">
        <x:v>5365.8499268384</x:v>
      </x:c>
      <x:c r="D8830" s="13" t="str">
        <x:v>Financials Non-Banks</x:v>
      </x:c>
      <x:c r="E8830" s="13" t="str">
        <x:v>Financials Non-Banks</x:v>
      </x:c>
      <x:c r="F8830" s="13" t="str">
        <x:v>Financials</x:v>
      </x:c>
      <x:c r="G8830" s="13" t="str">
        <x:v>grid_cqzdsc3v.xlsx</x:v>
      </x:c>
    </x:row>
    <x:row r="8831">
      <x:c r="A8831" s="15" t="n">
        <x:v>44409</x:v>
      </x:c>
      <x:c r="B8831" s="13" t="str">
        <x:v>BB SEGURIDADE PARTICIPACOES</x:v>
      </x:c>
      <x:c r="C8831" s="16" t="n">
        <x:v>4472.8711476603</x:v>
      </x:c>
      <x:c r="D8831" s="13" t="str">
        <x:v>Financials Non-Banks</x:v>
      </x:c>
      <x:c r="E8831" s="13" t="str">
        <x:v>Financials Non-Banks</x:v>
      </x:c>
      <x:c r="F8831" s="13" t="str">
        <x:v>Financials</x:v>
      </x:c>
      <x:c r="G8831" s="13" t="str">
        <x:v>grid_cqzdsc3v.xlsx</x:v>
      </x:c>
    </x:row>
    <x:row r="8832">
      <x:c r="A8832" s="15" t="n">
        <x:v>44409</x:v>
      </x:c>
      <x:c r="B8832" s="13" t="str">
        <x:v>CIELO SA</x:v>
      </x:c>
      <x:c r="C8832" s="16" t="n">
        <x:v>903.0195178959</x:v>
      </x:c>
      <x:c r="D8832" s="13" t="str">
        <x:v>Financials Non-Banks</x:v>
      </x:c>
      <x:c r="E8832" s="13" t="str">
        <x:v>Financials Non-Banks</x:v>
      </x:c>
      <x:c r="F8832" s="13" t="str">
        <x:v>Financials</x:v>
      </x:c>
      <x:c r="G8832" s="13" t="str">
        <x:v>Ibovespa_earnings_consolidated.xlsx</x:v>
      </x:c>
    </x:row>
    <x:row r="8833">
      <x:c r="A8833" s="15" t="n">
        <x:v>44409</x:v>
      </x:c>
      <x:c r="B8833" s="13" t="str">
        <x:v>CIELO SA - INSTITUICAO DE PA</x:v>
      </x:c>
      <x:c r="C8833" s="16" t="n">
        <x:v>903.0195178959</x:v>
      </x:c>
      <x:c r="D8833" s="13" t="str">
        <x:v>Financials Non-Banks</x:v>
      </x:c>
      <x:c r="E8833" s="13" t="str">
        <x:v>Financials Non-Banks</x:v>
      </x:c>
      <x:c r="F8833" s="13" t="str">
        <x:v>Financials</x:v>
      </x:c>
      <x:c r="G8833" s="13" t="str">
        <x:v>grid_cqzdsc3v.xlsx</x:v>
      </x:c>
    </x:row>
    <x:row r="8834">
      <x:c r="A8834" s="15" t="n">
        <x:v>44409</x:v>
      </x:c>
      <x:c r="B8834" s="13" t="str">
        <x:v>IRB BRASIL RESSEGUROS SA</x:v>
      </x:c>
      <x:c r="C8834" s="16" t="n">
        <x:v>442.752729074</x:v>
      </x:c>
      <x:c r="D8834" s="13" t="str">
        <x:v>Financials Non-Banks</x:v>
      </x:c>
      <x:c r="E8834" s="13" t="str">
        <x:v>Financials Non-Banks</x:v>
      </x:c>
      <x:c r="F8834" s="13" t="str">
        <x:v>Financials</x:v>
      </x:c>
      <x:c r="G8834" s="13" t="str">
        <x:v>grid_cqzdsc3v.xlsx</x:v>
      </x:c>
    </x:row>
    <x:row r="8835">
      <x:c r="A8835" s="15" t="n">
        <x:v>44409</x:v>
      </x:c>
      <x:c r="B8835" s="13" t="str">
        <x:v>ITAUSA SA</x:v>
      </x:c>
      <x:c r="C8835" s="16" t="n">
        <x:v>10953.2906033096</x:v>
      </x:c>
      <x:c r="D8835" s="13" t="str">
        <x:v>Financials Non-Banks</x:v>
      </x:c>
      <x:c r="E8835" s="13" t="str">
        <x:v>Financials Non-Banks</x:v>
      </x:c>
      <x:c r="F8835" s="13" t="str">
        <x:v>Financials</x:v>
      </x:c>
      <x:c r="G8835" s="13" t="str">
        <x:v>grid_cqzdsc3v.xlsx</x:v>
      </x:c>
    </x:row>
    <x:row r="8836">
      <x:c r="A8836" s="15" t="n">
        <x:v>44409</x:v>
      </x:c>
      <x:c r="B8836" s="13" t="str">
        <x:v>AMBEV SA</x:v>
      </x:c>
      <x:c r="C8836" s="16" t="n">
        <x:v>11937.9293254137</x:v>
      </x:c>
      <x:c r="D8836" s="13" t="str">
        <x:v>Food &amp; Beverages</x:v>
      </x:c>
      <x:c r="E8836" s="13" t="str">
        <x:v>Agri, Food &amp; Beverages</x:v>
      </x:c>
      <x:c r="F8836" s="13" t="str">
        <x:v>Defensives</x:v>
      </x:c>
      <x:c r="G8836" s="13" t="str">
        <x:v>grid_cqzdsc3v.xlsx</x:v>
      </x:c>
    </x:row>
    <x:row r="8837">
      <x:c r="A8837" s="15" t="n">
        <x:v>44409</x:v>
      </x:c>
      <x:c r="B8837" s="13" t="str">
        <x:v>BRF SA</x:v>
      </x:c>
      <x:c r="C8837" s="16" t="n">
        <x:v>871.5925809096</x:v>
      </x:c>
      <x:c r="D8837" s="13" t="str">
        <x:v>Food &amp; Beverages</x:v>
      </x:c>
      <x:c r="E8837" s="13" t="str">
        <x:v>Agri, Food &amp; Beverages</x:v>
      </x:c>
      <x:c r="F8837" s="13" t="str">
        <x:v>Defensives</x:v>
      </x:c>
      <x:c r="G8837" s="13" t="str">
        <x:v>grid_cqzdsc3v.xlsx</x:v>
      </x:c>
    </x:row>
    <x:row r="8838">
      <x:c r="A8838" s="15" t="n">
        <x:v>44409</x:v>
      </x:c>
      <x:c r="B8838" s="13" t="str">
        <x:v>JBS SA</x:v>
      </x:c>
      <x:c r="C8838" s="16" t="n">
        <x:v>9574.7728566356</x:v>
      </x:c>
      <x:c r="D8838" s="13" t="str">
        <x:v>Food &amp; Beverages</x:v>
      </x:c>
      <x:c r="E8838" s="13" t="str">
        <x:v>Agri, Food &amp; Beverages</x:v>
      </x:c>
      <x:c r="F8838" s="13" t="str">
        <x:v>Defensives</x:v>
      </x:c>
      <x:c r="G8838" s="13" t="str">
        <x:v>grid_cqzdsc3v.xlsx</x:v>
      </x:c>
    </x:row>
    <x:row r="8839">
      <x:c r="A8839" s="15" t="n">
        <x:v>44409</x:v>
      </x:c>
      <x:c r="B8839" s="13" t="str">
        <x:v>MBRF GLOBAL FOODS COMPANY SA</x:v>
      </x:c>
      <x:c r="C8839" s="16" t="n">
        <x:v>2255.3033030137</x:v>
      </x:c>
      <x:c r="D8839" s="13" t="str">
        <x:v>Food &amp; Beverages</x:v>
      </x:c>
      <x:c r="E8839" s="13" t="str">
        <x:v>Agri, Food &amp; Beverages</x:v>
      </x:c>
      <x:c r="F8839" s="13" t="str">
        <x:v>Defensives</x:v>
      </x:c>
      <x:c r="G8839" s="13" t="str">
        <x:v>grid_cqzdsc3v.xlsx</x:v>
      </x:c>
    </x:row>
    <x:row r="8840">
      <x:c r="A8840" s="15" t="n">
        <x:v>44409</x:v>
      </x:c>
      <x:c r="B8840" s="13" t="str">
        <x:v>MINERVA SA</x:v>
      </x:c>
      <x:c r="C8840" s="16" t="n">
        <x:v>633.8410958904</x:v>
      </x:c>
      <x:c r="D8840" s="13" t="str">
        <x:v>Food &amp; Beverages</x:v>
      </x:c>
      <x:c r="E8840" s="13" t="str">
        <x:v>Agri, Food &amp; Beverages</x:v>
      </x:c>
      <x:c r="F8840" s="13" t="str">
        <x:v>Defensives</x:v>
      </x:c>
      <x:c r="G8840" s="13" t="str">
        <x:v>grid_cqzdsc3v.xlsx</x:v>
      </x:c>
    </x:row>
    <x:row r="8841">
      <x:c r="A8841" s="15" t="n">
        <x:v>44409</x:v>
      </x:c>
      <x:c r="B8841" s="13" t="str">
        <x:v>FLEURY SA</x:v>
      </x:c>
      <x:c r="C8841" s="16" t="n">
        <x:v>365.9658687123</x:v>
      </x:c>
      <x:c r="D8841" s="13" t="str">
        <x:v>Health Care</x:v>
      </x:c>
      <x:c r="E8841" s="13" t="str">
        <x:v>Health Care</x:v>
      </x:c>
      <x:c r="F8841" s="13" t="str">
        <x:v>Defensives</x:v>
      </x:c>
      <x:c r="G8841" s="13" t="str">
        <x:v>grid_cqzdsc3v.xlsx</x:v>
      </x:c>
    </x:row>
    <x:row r="8842">
      <x:c r="A8842" s="15" t="n">
        <x:v>44409</x:v>
      </x:c>
      <x:c r="B8842" s="13" t="str">
        <x:v>HAPVIDA PARTICIPACOES E INVE</x:v>
      </x:c>
      <x:c r="C8842" s="16" t="n">
        <x:v>1266.0150791014</x:v>
      </x:c>
      <x:c r="D8842" s="13" t="str">
        <x:v>Health Care</x:v>
      </x:c>
      <x:c r="E8842" s="13" t="str">
        <x:v>Health Care</x:v>
      </x:c>
      <x:c r="F8842" s="13" t="str">
        <x:v>Defensives</x:v>
      </x:c>
      <x:c r="G8842" s="13" t="str">
        <x:v>grid_cqzdsc3v.xlsx</x:v>
      </x:c>
    </x:row>
    <x:row r="8843">
      <x:c r="A8843" s="15" t="n">
        <x:v>44409</x:v>
      </x:c>
      <x:c r="B8843" s="13" t="str">
        <x:v>HYPERA SA</x:v>
      </x:c>
      <x:c r="C8843" s="16" t="n">
        <x:v>1654.9266582795</x:v>
      </x:c>
      <x:c r="D8843" s="13" t="str">
        <x:v>Health Care</x:v>
      </x:c>
      <x:c r="E8843" s="13" t="str">
        <x:v>Health Care</x:v>
      </x:c>
      <x:c r="F8843" s="13" t="str">
        <x:v>Defensives</x:v>
      </x:c>
      <x:c r="G8843" s="13" t="str">
        <x:v>grid_cqzdsc3v.xlsx</x:v>
      </x:c>
    </x:row>
    <x:row r="8844">
      <x:c r="A8844" s="15" t="n">
        <x:v>44409</x:v>
      </x:c>
      <x:c r="B8844" s="13" t="str">
        <x:v>NOTRE DAME INTERMED PAR SA</x:v>
      </x:c>
      <x:c r="C8844" s="16" t="n">
        <x:v>1271.4929962082</x:v>
      </x:c>
      <x:c r="D8844" s="13" t="str">
        <x:v>Health Care</x:v>
      </x:c>
      <x:c r="E8844" s="13" t="str">
        <x:v>Health Care</x:v>
      </x:c>
      <x:c r="F8844" s="13" t="str">
        <x:v>Defensives</x:v>
      </x:c>
      <x:c r="G8844" s="13" t="str">
        <x:v>grid_cqzdsc3v.xlsx</x:v>
      </x:c>
    </x:row>
    <x:row r="8845">
      <x:c r="A8845" s="15" t="n">
        <x:v>44409</x:v>
      </x:c>
      <x:c r="B8845" s="13" t="str">
        <x:v>QUALICORP CONS E CORR SEG SA</x:v>
      </x:c>
      <x:c r="C8845" s="16" t="n">
        <x:v>431.8804793863</x:v>
      </x:c>
      <x:c r="D8845" s="13" t="str">
        <x:v>Health Care</x:v>
      </x:c>
      <x:c r="E8845" s="13" t="str">
        <x:v>Health Care</x:v>
      </x:c>
      <x:c r="F8845" s="13" t="str">
        <x:v>Defensives</x:v>
      </x:c>
      <x:c r="G8845" s="13" t="str">
        <x:v>grid_cqzdsc3v.xlsx</x:v>
      </x:c>
    </x:row>
    <x:row r="8846">
      <x:c r="A8846" s="15" t="n">
        <x:v>44409</x:v>
      </x:c>
      <x:c r="B8846" s="13" t="str">
        <x:v>SUL AMERICA SA - UNITS</x:v>
      </x:c>
      <x:c r="C8846" s="16" t="n">
        <x:v>893.6142160658</x:v>
      </x:c>
      <x:c r="D8846" s="13" t="str">
        <x:v>Health Care</x:v>
      </x:c>
      <x:c r="E8846" s="13" t="str">
        <x:v>Health Care</x:v>
      </x:c>
      <x:c r="F8846" s="13" t="str">
        <x:v>Defensives</x:v>
      </x:c>
      <x:c r="G8846" s="13" t="str">
        <x:v>grid_cqzdsc3v.xlsx</x:v>
      </x:c>
    </x:row>
    <x:row r="8847">
      <x:c r="A8847" s="15" t="n">
        <x:v>44409</x:v>
      </x:c>
      <x:c r="B8847" s="13" t="str">
        <x:v>CYRELA BRAZIL REALTY SA EMP</x:v>
      </x:c>
      <x:c r="C8847" s="16" t="n">
        <x:v>1019.4180074959</x:v>
      </x:c>
      <x:c r="D8847" s="13" t="str">
        <x:v>Homebuilders</x:v>
      </x:c>
      <x:c r="E8847" s="13" t="str">
        <x:v>Real Estate</x:v>
      </x:c>
      <x:c r="F8847" s="13" t="str">
        <x:v>Early Cyclicals</x:v>
      </x:c>
      <x:c r="G8847" s="13" t="str">
        <x:v>grid_cqzdsc3v.xlsx</x:v>
      </x:c>
    </x:row>
    <x:row r="8848">
      <x:c r="A8848" s="15" t="n">
        <x:v>44409</x:v>
      </x:c>
      <x:c r="B8848" s="13" t="str">
        <x:v>EZ TEC EMPREENDIMENTOS E PAR</x:v>
      </x:c>
      <x:c r="C8848" s="16" t="n">
        <x:v>665.7554688</x:v>
      </x:c>
      <x:c r="D8848" s="13" t="str">
        <x:v>Homebuilders</x:v>
      </x:c>
      <x:c r="E8848" s="13" t="str">
        <x:v>Real Estate</x:v>
      </x:c>
      <x:c r="F8848" s="13" t="str">
        <x:v>Early Cyclicals</x:v>
      </x:c>
      <x:c r="G8848" s="13" t="str">
        <x:v>grid_cqzdsc3v.xlsx</x:v>
      </x:c>
    </x:row>
    <x:row r="8849">
      <x:c r="A8849" s="15" t="n">
        <x:v>44409</x:v>
      </x:c>
      <x:c r="B8849" s="13" t="str">
        <x:v>MRV ENGENHARIA</x:v>
      </x:c>
      <x:c r="C8849" s="16" t="n">
        <x:v>782.4617698192</x:v>
      </x:c>
      <x:c r="D8849" s="13" t="str">
        <x:v>Homebuilders</x:v>
      </x:c>
      <x:c r="E8849" s="13" t="str">
        <x:v>Real Estate</x:v>
      </x:c>
      <x:c r="F8849" s="13" t="str">
        <x:v>Early Cyclicals</x:v>
      </x:c>
      <x:c r="G8849" s="13" t="str">
        <x:v>grid_cqzdsc3v.xlsx</x:v>
      </x:c>
    </x:row>
    <x:row r="8850">
      <x:c r="A8850" s="15" t="n">
        <x:v>44409</x:v>
      </x:c>
      <x:c r="B8850" s="13" t="str">
        <x:v>BR MALLS PARTICIPACOES SA</x:v>
      </x:c>
      <x:c r="C8850" s="16" t="n">
        <x:v>492.9318280767</x:v>
      </x:c>
      <x:c r="D8850" s="13" t="str">
        <x:v>Income Properties</x:v>
      </x:c>
      <x:c r="E8850" s="13" t="str">
        <x:v>Real Estate</x:v>
      </x:c>
      <x:c r="F8850" s="13" t="str">
        <x:v>Early Cyclicals</x:v>
      </x:c>
      <x:c r="G8850" s="13" t="str">
        <x:v>grid_cqzdsc3v.xlsx</x:v>
      </x:c>
    </x:row>
    <x:row r="8851">
      <x:c r="A8851" s="15" t="n">
        <x:v>44409</x:v>
      </x:c>
      <x:c r="B8851" s="13" t="str">
        <x:v>IGUATEMI EMP DE SHOPPING</x:v>
      </x:c>
      <x:c r="C8851" s="16" t="n">
        <x:v>294.3729344877</x:v>
      </x:c>
      <x:c r="D8851" s="13" t="str">
        <x:v>Income Properties</x:v>
      </x:c>
      <x:c r="E8851" s="13" t="str">
        <x:v>Real Estate</x:v>
      </x:c>
      <x:c r="F8851" s="13" t="str">
        <x:v>Early Cyclicals</x:v>
      </x:c>
      <x:c r="G8851" s="13" t="str">
        <x:v>grid_cqzdsc3v.xlsx</x:v>
      </x:c>
    </x:row>
    <x:row r="8852">
      <x:c r="A8852" s="15" t="n">
        <x:v>44409</x:v>
      </x:c>
      <x:c r="B8852" s="13" t="str">
        <x:v>JHSF PARTICIPACOES SA</x:v>
      </x:c>
      <x:c r="C8852" s="16" t="n">
        <x:v>367.3095890411</x:v>
      </x:c>
      <x:c r="D8852" s="13" t="str">
        <x:v>Income Properties</x:v>
      </x:c>
      <x:c r="E8852" s="13" t="str">
        <x:v>Real Estate</x:v>
      </x:c>
      <x:c r="F8852" s="13" t="str">
        <x:v>Early Cyclicals</x:v>
      </x:c>
      <x:c r="G8852" s="13" t="str">
        <x:v>grid_cqzdsc3v.xlsx</x:v>
      </x:c>
    </x:row>
    <x:row r="8853">
      <x:c r="A8853" s="15" t="n">
        <x:v>44409</x:v>
      </x:c>
      <x:c r="B8853" s="13" t="str">
        <x:v>MULTIPLAN EMPREENDIMENTOS</x:v>
      </x:c>
      <x:c r="C8853" s="16" t="n">
        <x:v>500.4684771945</x:v>
      </x:c>
      <x:c r="D8853" s="13" t="str">
        <x:v>Income Properties</x:v>
      </x:c>
      <x:c r="E8853" s="13" t="str">
        <x:v>Real Estate</x:v>
      </x:c>
      <x:c r="F8853" s="13" t="str">
        <x:v>Early Cyclicals</x:v>
      </x:c>
      <x:c r="G8853" s="13" t="str">
        <x:v>grid_cqzdsc3v.xlsx</x:v>
      </x:c>
    </x:row>
    <x:row r="8854">
      <x:c r="A8854" s="15" t="n">
        <x:v>44409</x:v>
      </x:c>
      <x:c r="B8854" s="13" t="str">
        <x:v>CIA SIDERURGICA NACIONAL SA</x:v>
      </x:c>
      <x:c r="C8854" s="16" t="n">
        <x:v>13529.3233123945</x:v>
      </x:c>
      <x:c r="D8854" s="13" t="str">
        <x:v>Metals &amp; Mining</x:v>
      </x:c>
      <x:c r="E8854" s="13" t="str">
        <x:v>Metals &amp; Mining</x:v>
      </x:c>
      <x:c r="F8854" s="13" t="str">
        <x:v>Deep Cyclicals</x:v>
      </x:c>
      <x:c r="G8854" s="13" t="str">
        <x:v>grid_cqzdsc3v.xlsx</x:v>
      </x:c>
    </x:row>
    <x:row r="8855">
      <x:c r="A8855" s="15" t="n">
        <x:v>44409</x:v>
      </x:c>
      <x:c r="B8855" s="13" t="str">
        <x:v>GERDAU SA-PREF</x:v>
      </x:c>
      <x:c r="C8855" s="16" t="n">
        <x:v>8548.192601074</x:v>
      </x:c>
      <x:c r="D8855" s="13" t="str">
        <x:v>Metals &amp; Mining</x:v>
      </x:c>
      <x:c r="E8855" s="13" t="str">
        <x:v>Metals &amp; Mining</x:v>
      </x:c>
      <x:c r="F8855" s="13" t="str">
        <x:v>Deep Cyclicals</x:v>
      </x:c>
      <x:c r="G8855" s="13" t="str">
        <x:v>grid_cqzdsc3v.xlsx</x:v>
      </x:c>
    </x:row>
    <x:row r="8856">
      <x:c r="A8856" s="15" t="n">
        <x:v>44409</x:v>
      </x:c>
      <x:c r="B8856" s="13" t="str">
        <x:v>USINAS SIDER MINAS GER-PF A</x:v>
      </x:c>
      <x:c r="C8856" s="16" t="n">
        <x:v>5852.6480636493</x:v>
      </x:c>
      <x:c r="D8856" s="13" t="str">
        <x:v>Metals &amp; Mining</x:v>
      </x:c>
      <x:c r="E8856" s="13" t="str">
        <x:v>Metals &amp; Mining</x:v>
      </x:c>
      <x:c r="F8856" s="13" t="str">
        <x:v>Deep Cyclicals</x:v>
      </x:c>
      <x:c r="G8856" s="13" t="str">
        <x:v>grid_cqzdsc3v.xlsx</x:v>
      </x:c>
    </x:row>
    <x:row r="8857">
      <x:c r="A8857" s="15" t="n">
        <x:v>44409</x:v>
      </x:c>
      <x:c r="B8857" s="13" t="str">
        <x:v>VALE SA</x:v>
      </x:c>
      <x:c r="C8857" s="16" t="n">
        <x:v>122170.550176614</x:v>
      </x:c>
      <x:c r="D8857" s="13" t="str">
        <x:v>Metals &amp; Mining</x:v>
      </x:c>
      <x:c r="E8857" s="13" t="str">
        <x:v>Metals &amp; Mining</x:v>
      </x:c>
      <x:c r="F8857" s="13" t="str">
        <x:v>Deep Cyclicals</x:v>
      </x:c>
      <x:c r="G8857" s="13" t="str">
        <x:v>grid_cqzdsc3v.xlsx</x:v>
      </x:c>
    </x:row>
    <x:row r="8858">
      <x:c r="A8858" s="15" t="n">
        <x:v>44409</x:v>
      </x:c>
      <x:c r="B8858" s="13" t="str">
        <x:v>BRASKEM SA-PREF A</x:v>
      </x:c>
      <x:c r="C8858" s="16" t="n">
        <x:v>10701.0041856</x:v>
      </x:c>
      <x:c r="D8858" s="13" t="str">
        <x:v>Oil, Gas &amp; Petrochemicals</x:v>
      </x:c>
      <x:c r="E8858" s="13" t="str">
        <x:v>Oil, Gas &amp; Petrochemicals</x:v>
      </x:c>
      <x:c r="F8858" s="13" t="str">
        <x:v>Deep Cyclicals</x:v>
      </x:c>
      <x:c r="G8858" s="13" t="str">
        <x:v>grid_cqzdsc3v.xlsx</x:v>
      </x:c>
    </x:row>
    <x:row r="8859">
      <x:c r="A8859" s="15" t="n">
        <x:v>44409</x:v>
      </x:c>
      <x:c r="B8859" s="13" t="str">
        <x:v>COSAN SA</x:v>
      </x:c>
      <x:c r="C8859" s="16" t="n">
        <x:v>3662.095826411</x:v>
      </x:c>
      <x:c r="D8859" s="13" t="str">
        <x:v>Oil, Gas &amp; Petrochemicals</x:v>
      </x:c>
      <x:c r="E8859" s="13" t="str">
        <x:v>Oil, Gas &amp; Petrochemicals</x:v>
      </x:c>
      <x:c r="F8859" s="13" t="str">
        <x:v>Deep Cyclicals</x:v>
      </x:c>
      <x:c r="G8859" s="13" t="str">
        <x:v>grid_cqzdsc3v.xlsx</x:v>
      </x:c>
    </x:row>
    <x:row r="8860">
      <x:c r="A8860" s="15" t="n">
        <x:v>44409</x:v>
      </x:c>
      <x:c r="B8860" s="13" t="str">
        <x:v>PETROBRAS - PETROLEO BRAS</x:v>
      </x:c>
      <x:c r="C8860" s="16" t="n">
        <x:v>71636.6058089205</x:v>
      </x:c>
      <x:c r="D8860" s="13" t="str">
        <x:v>Oil, Gas &amp; Petrochemicals</x:v>
      </x:c>
      <x:c r="E8860" s="13" t="str">
        <x:v>Oil, Gas &amp; Petrochemicals</x:v>
      </x:c>
      <x:c r="F8860" s="13" t="str">
        <x:v>Deep Cyclicals</x:v>
      </x:c>
      <x:c r="G8860" s="13" t="str">
        <x:v>grid_cqzdsc3v.xlsx</x:v>
      </x:c>
    </x:row>
    <x:row r="8861">
      <x:c r="A8861" s="15" t="n">
        <x:v>44409</x:v>
      </x:c>
      <x:c r="B8861" s="13" t="str">
        <x:v>PRIO SA</x:v>
      </x:c>
      <x:c r="C8861" s="16" t="n">
        <x:v>1655.7137358904</x:v>
      </x:c>
      <x:c r="D8861" s="13" t="str">
        <x:v>Oil, Gas &amp; Petrochemicals</x:v>
      </x:c>
      <x:c r="E8861" s="13" t="str">
        <x:v>Oil, Gas &amp; Petrochemicals</x:v>
      </x:c>
      <x:c r="F8861" s="13" t="str">
        <x:v>Deep Cyclicals</x:v>
      </x:c>
      <x:c r="G8861" s="13" t="str">
        <x:v>grid_cqzdsc3v.xlsx</x:v>
      </x:c>
    </x:row>
    <x:row r="8862">
      <x:c r="A8862" s="15" t="n">
        <x:v>44409</x:v>
      </x:c>
      <x:c r="B8862" s="13" t="str">
        <x:v>ULTRAPAR PARTICIPACOES SA</x:v>
      </x:c>
      <x:c r="C8862" s="16" t="n">
        <x:v>1301.6668942027</x:v>
      </x:c>
      <x:c r="D8862" s="13" t="str">
        <x:v>Oil, Gas &amp; Petrochemicals</x:v>
      </x:c>
      <x:c r="E8862" s="13" t="str">
        <x:v>Oil, Gas &amp; Petrochemicals</x:v>
      </x:c>
      <x:c r="F8862" s="13" t="str">
        <x:v>Deep Cyclicals</x:v>
      </x:c>
      <x:c r="G8862" s="13" t="str">
        <x:v>grid_cqzdsc3v.xlsx</x:v>
      </x:c>
    </x:row>
    <x:row r="8863">
      <x:c r="A8863" s="15" t="n">
        <x:v>44409</x:v>
      </x:c>
      <x:c r="B8863" s="13" t="str">
        <x:v>VIBRA ENERGIA SA</x:v>
      </x:c>
      <x:c r="C8863" s="16" t="n">
        <x:v>2169.2097823562</x:v>
      </x:c>
      <x:c r="D8863" s="13" t="str">
        <x:v>Oil, Gas &amp; Petrochemicals</x:v>
      </x:c>
      <x:c r="E8863" s="13" t="str">
        <x:v>Oil, Gas &amp; Petrochemicals</x:v>
      </x:c>
      <x:c r="F8863" s="13" t="str">
        <x:v>Deep Cyclicals</x:v>
      </x:c>
      <x:c r="G8863" s="13" t="str">
        <x:v>grid_cqzdsc3v.xlsx</x:v>
      </x:c>
    </x:row>
    <x:row r="8864">
      <x:c r="A8864" s="15" t="n">
        <x:v>44409</x:v>
      </x:c>
      <x:c r="B8864" s="13" t="str">
        <x:v>KLABIN SA - UNIT</x:v>
      </x:c>
      <x:c r="C8864" s="16" t="n">
        <x:v>2129.1712336658</x:v>
      </x:c>
      <x:c r="D8864" s="13" t="str">
        <x:v>Pulp &amp; Paper</x:v>
      </x:c>
      <x:c r="E8864" s="13" t="str">
        <x:v>Pulp &amp; Paper</x:v>
      </x:c>
      <x:c r="F8864" s="13" t="str">
        <x:v>Deep Cyclicals</x:v>
      </x:c>
      <x:c r="G8864" s="13" t="str">
        <x:v>grid_cqzdsc3v.xlsx</x:v>
      </x:c>
    </x:row>
    <x:row r="8865">
      <x:c r="A8865" s="15" t="n">
        <x:v>44409</x:v>
      </x:c>
      <x:c r="B8865" s="13" t="str">
        <x:v>SUZANO SA</x:v>
      </x:c>
      <x:c r="C8865" s="16" t="n">
        <x:v>9545.6061033205</x:v>
      </x:c>
      <x:c r="D8865" s="13" t="str">
        <x:v>Pulp &amp; Paper</x:v>
      </x:c>
      <x:c r="E8865" s="13" t="str">
        <x:v>Pulp &amp; Paper</x:v>
      </x:c>
      <x:c r="F8865" s="13" t="str">
        <x:v>Deep Cyclicals</x:v>
      </x:c>
      <x:c r="G8865" s="13" t="str">
        <x:v>grid_cqzdsc3v.xlsx</x:v>
      </x:c>
    </x:row>
    <x:row r="8866">
      <x:c r="A8866" s="15" t="n">
        <x:v>44409</x:v>
      </x:c>
      <x:c r="B8866" s="13" t="str">
        <x:v>AMERICANAS SA</x:v>
      </x:c>
      <x:c r="C8866" s="16" t="n">
        <x:v>296.9485312</x:v>
      </x:c>
      <x:c r="D8866" s="13" t="str">
        <x:v>Retail</x:v>
      </x:c>
      <x:c r="E8866" s="13" t="str">
        <x:v>Retail</x:v>
      </x:c>
      <x:c r="F8866" s="13" t="str">
        <x:v>Early Cyclicals</x:v>
      </x:c>
      <x:c r="G8866" s="13" t="str">
        <x:v>grid_cqzdsc3v.xlsx</x:v>
      </x:c>
    </x:row>
    <x:row r="8867">
      <x:c r="A8867" s="15" t="n">
        <x:v>44409</x:v>
      </x:c>
      <x:c r="B8867" s="13" t="str">
        <x:v>ATACADAO SA</x:v>
      </x:c>
      <x:c r="C8867" s="16" t="n">
        <x:v>2815.250642411</x:v>
      </x:c>
      <x:c r="D8867" s="13" t="str">
        <x:v>Retail</x:v>
      </x:c>
      <x:c r="E8867" s="13" t="str">
        <x:v>Retail</x:v>
      </x:c>
      <x:c r="F8867" s="13" t="str">
        <x:v>Early Cyclicals</x:v>
      </x:c>
      <x:c r="G8867" s="13" t="str">
        <x:v>grid_cqzdsc3v.xlsx</x:v>
      </x:c>
    </x:row>
    <x:row r="8868">
      <x:c r="A8868" s="15" t="n">
        <x:v>44409</x:v>
      </x:c>
      <x:c r="B8868" s="13" t="str">
        <x:v>CIA BRASILEIRA DE DISTRIBUIC</x:v>
      </x:c>
      <x:c r="C8868" s="16" t="n">
        <x:v>487.0678242192</x:v>
      </x:c>
      <x:c r="D8868" s="13" t="str">
        <x:v>Retail</x:v>
      </x:c>
      <x:c r="E8868" s="13" t="str">
        <x:v>Retail</x:v>
      </x:c>
      <x:c r="F8868" s="13" t="str">
        <x:v>Early Cyclicals</x:v>
      </x:c>
      <x:c r="G8868" s="13" t="str">
        <x:v>grid_cqzdsc3v.xlsx</x:v>
      </x:c>
    </x:row>
    <x:row r="8869">
      <x:c r="A8869" s="15" t="n">
        <x:v>44409</x:v>
      </x:c>
      <x:c r="B8869" s="13" t="str">
        <x:v>CIA HERING</x:v>
      </x:c>
      <x:c r="C8869" s="16" t="n">
        <x:v>202.8650684932</x:v>
      </x:c>
      <x:c r="D8869" s="13" t="str">
        <x:v>Retail</x:v>
      </x:c>
      <x:c r="E8869" s="13" t="str">
        <x:v>Retail</x:v>
      </x:c>
      <x:c r="F8869" s="13" t="str">
        <x:v>Early Cyclicals</x:v>
      </x:c>
      <x:c r="G8869" s="13" t="str">
        <x:v>grid_cqzdsc3v.xlsx</x:v>
      </x:c>
    </x:row>
    <x:row r="8870">
      <x:c r="A8870" s="15" t="n">
        <x:v>44409</x:v>
      </x:c>
      <x:c r="B8870" s="13" t="str">
        <x:v>CVC BRASIL OPERADORA E AGENC</x:v>
      </x:c>
      <x:c r="C8870" s="16" t="n">
        <x:v>-150.7945205479</x:v>
      </x:c>
      <x:c r="D8870" s="13" t="str">
        <x:v>Retail</x:v>
      </x:c>
      <x:c r="E8870" s="13" t="str">
        <x:v>Retail</x:v>
      </x:c>
      <x:c r="F8870" s="13" t="str">
        <x:v>Early Cyclicals</x:v>
      </x:c>
      <x:c r="G8870" s="13" t="str">
        <x:v>grid_cqzdsc3v.xlsx</x:v>
      </x:c>
    </x:row>
    <x:row r="8871">
      <x:c r="A8871" s="15" t="n">
        <x:v>44409</x:v>
      </x:c>
      <x:c r="B8871" s="13" t="str">
        <x:v>GRUPO CASAS BAHIA SA</x:v>
      </x:c>
      <x:c r="C8871" s="16" t="n">
        <x:v>745.9358735781</x:v>
      </x:c>
      <x:c r="D8871" s="13" t="str">
        <x:v>Retail</x:v>
      </x:c>
      <x:c r="E8871" s="13" t="str">
        <x:v>Retail</x:v>
      </x:c>
      <x:c r="F8871" s="13" t="str">
        <x:v>Early Cyclicals</x:v>
      </x:c>
      <x:c r="G8871" s="13" t="str">
        <x:v>grid_cqzdsc3v.xlsx</x:v>
      </x:c>
    </x:row>
    <x:row r="8872">
      <x:c r="A8872" s="15" t="n">
        <x:v>44409</x:v>
      </x:c>
      <x:c r="B8872" s="13" t="str">
        <x:v>LOJAS AMERICANAS SA-PREF</x:v>
      </x:c>
      <x:c r="C8872" s="16" t="n">
        <x:v>422.748882411</x:v>
      </x:c>
      <x:c r="D8872" s="13" t="str">
        <x:v>Retail</x:v>
      </x:c>
      <x:c r="E8872" s="13" t="str">
        <x:v>Retail</x:v>
      </x:c>
      <x:c r="F8872" s="13" t="str">
        <x:v>Early Cyclicals</x:v>
      </x:c>
      <x:c r="G8872" s="13" t="str">
        <x:v>grid_cqzdsc3v.xlsx</x:v>
      </x:c>
    </x:row>
    <x:row r="8873">
      <x:c r="A8873" s="15" t="n">
        <x:v>44409</x:v>
      </x:c>
      <x:c r="B8873" s="13" t="str">
        <x:v>LOJAS RENNER S.A.</x:v>
      </x:c>
      <x:c r="C8873" s="16" t="n">
        <x:v>1122.0510807671</x:v>
      </x:c>
      <x:c r="D8873" s="13" t="str">
        <x:v>Retail</x:v>
      </x:c>
      <x:c r="E8873" s="13" t="str">
        <x:v>Retail</x:v>
      </x:c>
      <x:c r="F8873" s="13" t="str">
        <x:v>Early Cyclicals</x:v>
      </x:c>
      <x:c r="G8873" s="13" t="str">
        <x:v>grid_cqzdsc3v.xlsx</x:v>
      </x:c>
    </x:row>
    <x:row r="8874">
      <x:c r="A8874" s="15" t="n">
        <x:v>44409</x:v>
      </x:c>
      <x:c r="B8874" s="13" t="str">
        <x:v>MAGAZINE LUIZA SA</x:v>
      </x:c>
      <x:c r="C8874" s="16" t="n">
        <x:v>979.761677326</x:v>
      </x:c>
      <x:c r="D8874" s="13" t="str">
        <x:v>Retail</x:v>
      </x:c>
      <x:c r="E8874" s="13" t="str">
        <x:v>Retail</x:v>
      </x:c>
      <x:c r="F8874" s="13" t="str">
        <x:v>Early Cyclicals</x:v>
      </x:c>
      <x:c r="G8874" s="13" t="str">
        <x:v>grid_cqzdsc3v.xlsx</x:v>
      </x:c>
    </x:row>
    <x:row r="8875">
      <x:c r="A8875" s="15" t="n">
        <x:v>44409</x:v>
      </x:c>
      <x:c r="B8875" s="13" t="str">
        <x:v>NATURA &amp;CO HOLDING SA</x:v>
      </x:c>
      <x:c r="C8875" s="16" t="n">
        <x:v>1194.3476963945</x:v>
      </x:c>
      <x:c r="D8875" s="13" t="str">
        <x:v>Retail</x:v>
      </x:c>
      <x:c r="E8875" s="13" t="str">
        <x:v>Retail</x:v>
      </x:c>
      <x:c r="F8875" s="13" t="str">
        <x:v>Early Cyclicals</x:v>
      </x:c>
      <x:c r="G8875" s="13" t="str">
        <x:v>grid_cqzdsc3v.xlsx</x:v>
      </x:c>
    </x:row>
    <x:row r="8876">
      <x:c r="A8876" s="15" t="n">
        <x:v>44409</x:v>
      </x:c>
      <x:c r="B8876" s="13" t="str">
        <x:v>RAIA DROGASIL SA</x:v>
      </x:c>
      <x:c r="C8876" s="16" t="n">
        <x:v>1024.5474353096</x:v>
      </x:c>
      <x:c r="D8876" s="13" t="str">
        <x:v>Retail</x:v>
      </x:c>
      <x:c r="E8876" s="13" t="str">
        <x:v>Retail</x:v>
      </x:c>
      <x:c r="F8876" s="13" t="str">
        <x:v>Early Cyclicals</x:v>
      </x:c>
      <x:c r="G8876" s="13" t="str">
        <x:v>grid_cqzdsc3v.xlsx</x:v>
      </x:c>
    </x:row>
    <x:row r="8877">
      <x:c r="A8877" s="15" t="n">
        <x:v>44409</x:v>
      </x:c>
      <x:c r="B8877" s="13" t="str">
        <x:v>SENDAS DISTRIBUIDORA SA</x:v>
      </x:c>
      <x:c r="C8877" s="16" t="n">
        <x:v>1504.7561643836</x:v>
      </x:c>
      <x:c r="D8877" s="13" t="str">
        <x:v>Retail</x:v>
      </x:c>
      <x:c r="E8877" s="13" t="str">
        <x:v>Retail</x:v>
      </x:c>
      <x:c r="F8877" s="13" t="str">
        <x:v>Early Cyclicals</x:v>
      </x:c>
      <x:c r="G8877" s="13" t="str">
        <x:v>grid_cqzdsc3v.xlsx</x:v>
      </x:c>
    </x:row>
    <x:row r="8878">
      <x:c r="A8878" s="15" t="n">
        <x:v>44409</x:v>
      </x:c>
      <x:c r="B8878" s="13" t="str">
        <x:v>CIA SANEAMENTO BASICO DE SP</x:v>
      </x:c>
      <x:c r="C8878" s="16" t="n">
        <x:v>3142.0942595507</x:v>
      </x:c>
      <x:c r="D8878" s="13" t="str">
        <x:v>Sanitation</x:v>
      </x:c>
      <x:c r="E8878" s="13" t="str">
        <x:v>Utilities</x:v>
      </x:c>
      <x:c r="F8878" s="13" t="str">
        <x:v>Defensives</x:v>
      </x:c>
      <x:c r="G8878" s="13" t="str">
        <x:v>grid_cqzdsc3v.xlsx</x:v>
      </x:c>
    </x:row>
    <x:row r="8879">
      <x:c r="A8879" s="15" t="n">
        <x:v>44409</x:v>
      </x:c>
      <x:c r="B8879" s="13" t="str">
        <x:v>TIM SA</x:v>
      </x:c>
      <x:c r="C8879" s="16" t="n">
        <x:v>2547.3473865644</x:v>
      </x:c>
      <x:c r="D8879" s="13" t="str">
        <x:v>TMT</x:v>
      </x:c>
      <x:c r="E8879" s="13" t="str">
        <x:v>TMT</x:v>
      </x:c>
      <x:c r="F8879" s="13" t="str">
        <x:v>Early Cyclicals</x:v>
      </x:c>
      <x:c r="G8879" s="13" t="str">
        <x:v>grid_cqzdsc3v.xlsx</x:v>
      </x:c>
    </x:row>
    <x:row r="8880">
      <x:c r="A8880" s="15" t="n">
        <x:v>44409</x:v>
      </x:c>
      <x:c r="B8880" s="13" t="str">
        <x:v>TOTVS SA</x:v>
      </x:c>
      <x:c r="C8880" s="16" t="n">
        <x:v>409.7452054795</x:v>
      </x:c>
      <x:c r="D8880" s="13" t="str">
        <x:v>TMT</x:v>
      </x:c>
      <x:c r="E8880" s="13" t="str">
        <x:v>TMT</x:v>
      </x:c>
      <x:c r="F8880" s="13" t="str">
        <x:v>Early Cyclicals</x:v>
      </x:c>
      <x:c r="G8880" s="13" t="str">
        <x:v>grid_cqzdsc3v.xlsx</x:v>
      </x:c>
    </x:row>
    <x:row r="8881">
      <x:c r="A8881" s="15" t="n">
        <x:v>44409</x:v>
      </x:c>
      <x:c r="B8881" s="13" t="str">
        <x:v>AZUL SA</x:v>
      </x:c>
      <x:c r="C8881" s="16" t="n">
        <x:v>-1308.4499093041</x:v>
      </x:c>
      <x:c r="D8881" s="13" t="str">
        <x:v>Transportation</x:v>
      </x:c>
      <x:c r="E8881" s="13" t="str">
        <x:v>Transportation</x:v>
      </x:c>
      <x:c r="F8881" s="13" t="str">
        <x:v>Deep Cyclicals</x:v>
      </x:c>
      <x:c r="G8881" s="13" t="str">
        <x:v>grid_cqzdsc3v.xlsx</x:v>
      </x:c>
    </x:row>
    <x:row r="8882">
      <x:c r="A8882" s="15" t="n">
        <x:v>44409</x:v>
      </x:c>
      <x:c r="B8882" s="13" t="str">
        <x:v>CIA DE LOCACAO DAS AMERICAS</x:v>
      </x:c>
      <x:c r="C8882" s="16" t="n">
        <x:v>932.264109589</x:v>
      </x:c>
      <x:c r="D8882" s="13" t="str">
        <x:v>Transportation</x:v>
      </x:c>
      <x:c r="E8882" s="13" t="str">
        <x:v>Transportation</x:v>
      </x:c>
      <x:c r="F8882" s="13" t="str">
        <x:v>Deep Cyclicals</x:v>
      </x:c>
      <x:c r="G8882" s="13" t="str">
        <x:v>grid_cqzdsc3v.xlsx</x:v>
      </x:c>
    </x:row>
    <x:row r="8883">
      <x:c r="A8883" s="15" t="n">
        <x:v>44409</x:v>
      </x:c>
      <x:c r="B8883" s="13" t="str">
        <x:v>ECORODOVIAS INFRA E LOG SA</x:v>
      </x:c>
      <x:c r="C8883" s="16" t="n">
        <x:v>258.194994674</x:v>
      </x:c>
      <x:c r="D8883" s="13" t="str">
        <x:v>Transportation</x:v>
      </x:c>
      <x:c r="E8883" s="13" t="str">
        <x:v>Transportation</x:v>
      </x:c>
      <x:c r="F8883" s="13" t="str">
        <x:v>Deep Cyclicals</x:v>
      </x:c>
      <x:c r="G8883" s="13" t="str">
        <x:v>grid_cqzdsc3v.xlsx</x:v>
      </x:c>
    </x:row>
    <x:row r="8884">
      <x:c r="A8884" s="15" t="n">
        <x:v>44409</x:v>
      </x:c>
      <x:c r="B8884" s="13" t="str">
        <x:v>GOL LINHAS AEREAS INT SA-PRE</x:v>
      </x:c>
      <x:c r="C8884" s="16" t="n">
        <x:v>-1028.0797281753</x:v>
      </x:c>
      <x:c r="D8884" s="13" t="str">
        <x:v>Transportation</x:v>
      </x:c>
      <x:c r="E8884" s="13" t="str">
        <x:v>Transportation</x:v>
      </x:c>
      <x:c r="F8884" s="13" t="str">
        <x:v>Deep Cyclicals</x:v>
      </x:c>
      <x:c r="G8884" s="13" t="str">
        <x:v>grid_cqzdsc3v.xlsx</x:v>
      </x:c>
    </x:row>
    <x:row r="8885">
      <x:c r="A8885" s="15" t="n">
        <x:v>44409</x:v>
      </x:c>
      <x:c r="B8885" s="13" t="str">
        <x:v>LOCALIZA RENT A CAR</x:v>
      </x:c>
      <x:c r="C8885" s="16" t="n">
        <x:v>1743.8225320329</x:v>
      </x:c>
      <x:c r="D8885" s="13" t="str">
        <x:v>Transportation</x:v>
      </x:c>
      <x:c r="E8885" s="13" t="str">
        <x:v>Transportation</x:v>
      </x:c>
      <x:c r="F8885" s="13" t="str">
        <x:v>Deep Cyclicals</x:v>
      </x:c>
      <x:c r="G8885" s="13" t="str">
        <x:v>grid_cqzdsc3v.xlsx</x:v>
      </x:c>
    </x:row>
    <x:row r="8886">
      <x:c r="A8886" s="15" t="n">
        <x:v>44409</x:v>
      </x:c>
      <x:c r="B8886" s="13" t="str">
        <x:v>MOTIVA INFRAESTRUTURA DE MOB</x:v>
      </x:c>
      <x:c r="C8886" s="16" t="n">
        <x:v>1217.1900913973</x:v>
      </x:c>
      <x:c r="D8886" s="13" t="str">
        <x:v>Transportation</x:v>
      </x:c>
      <x:c r="E8886" s="13" t="str">
        <x:v>Transportation</x:v>
      </x:c>
      <x:c r="F8886" s="13" t="str">
        <x:v>Deep Cyclicals</x:v>
      </x:c>
      <x:c r="G8886" s="13" t="str">
        <x:v>grid_cqzdsc3v.xlsx</x:v>
      </x:c>
    </x:row>
    <x:row r="8887">
      <x:c r="A8887" s="15" t="n">
        <x:v>44409</x:v>
      </x:c>
      <x:c r="B8887" s="13" t="str">
        <x:v>RUMO SA</x:v>
      </x:c>
      <x:c r="C8887" s="16" t="n">
        <x:v>1181.7907813699</x:v>
      </x:c>
      <x:c r="D8887" s="13" t="str">
        <x:v>Transportation</x:v>
      </x:c>
      <x:c r="E8887" s="13" t="str">
        <x:v>Transportation</x:v>
      </x:c>
      <x:c r="F8887" s="13" t="str">
        <x:v>Deep Cyclicals</x:v>
      </x:c>
      <x:c r="G8887" s="13" t="str">
        <x:v>grid_cqzdsc3v.xlsx</x:v>
      </x:c>
    </x:row>
    <x:row r="8888">
      <x:c r="A8888" s="15" t="n">
        <x:v>44409</x:v>
      </x:c>
      <x:c r="B8888" s="13" t="str">
        <x:v>AXIA ENERGIA SA</x:v>
      </x:c>
      <x:c r="C8888" s="16" t="n">
        <x:v>9237.3880579507</x:v>
      </x:c>
      <x:c r="D8888" s="13" t="str">
        <x:v>Utilities &amp; Energy</x:v>
      </x:c>
      <x:c r="E8888" s="13" t="str">
        <x:v>Utilities</x:v>
      </x:c>
      <x:c r="F8888" s="13" t="str">
        <x:v>Defensives</x:v>
      </x:c>
      <x:c r="G8888" s="13" t="str">
        <x:v>grid_cqzdsc3v.xlsx</x:v>
      </x:c>
    </x:row>
    <x:row r="8889">
      <x:c r="A8889" s="15" t="n">
        <x:v>44409</x:v>
      </x:c>
      <x:c r="B8889" s="13" t="str">
        <x:v>AXIA ENERGIA-PR B</x:v>
      </x:c>
      <x:c r="C8889" s="16" t="n">
        <x:v>9237.3880579507</x:v>
      </x:c>
      <x:c r="D8889" s="13" t="str">
        <x:v>Utilities &amp; Energy</x:v>
      </x:c>
      <x:c r="E8889" s="13" t="str">
        <x:v>Utilities</x:v>
      </x:c>
      <x:c r="F8889" s="13" t="str">
        <x:v>Defensives</x:v>
      </x:c>
      <x:c r="G8889" s="13" t="str">
        <x:v>grid_cqzdsc3v.xlsx</x:v>
      </x:c>
    </x:row>
    <x:row r="8890">
      <x:c r="A8890" s="15" t="n">
        <x:v>44409</x:v>
      </x:c>
      <x:c r="B8890" s="13" t="str">
        <x:v>CIA ENERGETICA MINAS GER-PRF</x:v>
      </x:c>
      <x:c r="C8890" s="16" t="n">
        <x:v>2969.1127639671</x:v>
      </x:c>
      <x:c r="D8890" s="13" t="str">
        <x:v>Utilities &amp; Energy</x:v>
      </x:c>
      <x:c r="E8890" s="13" t="str">
        <x:v>Utilities</x:v>
      </x:c>
      <x:c r="F8890" s="13" t="str">
        <x:v>Defensives</x:v>
      </x:c>
      <x:c r="G8890" s="13" t="str">
        <x:v>grid_cqzdsc3v.xlsx</x:v>
      </x:c>
    </x:row>
    <x:row r="8891">
      <x:c r="A8891" s="15" t="n">
        <x:v>44409</x:v>
      </x:c>
      <x:c r="B8891" s="13" t="str">
        <x:v>CPFL ENERGIA SA</x:v>
      </x:c>
      <x:c r="C8891" s="16" t="n">
        <x:v>3922.1513805151</x:v>
      </x:c>
      <x:c r="D8891" s="13" t="str">
        <x:v>Utilities &amp; Energy</x:v>
      </x:c>
      <x:c r="E8891" s="13" t="str">
        <x:v>Utilities</x:v>
      </x:c>
      <x:c r="F8891" s="13" t="str">
        <x:v>Defensives</x:v>
      </x:c>
      <x:c r="G8891" s="13" t="str">
        <x:v>grid_cqzdsc3v.xlsx</x:v>
      </x:c>
    </x:row>
    <x:row r="8892">
      <x:c r="A8892" s="15" t="n">
        <x:v>44409</x:v>
      </x:c>
      <x:c r="B8892" s="13" t="str">
        <x:v>EDP - ENERGIAS DO BRASIL SA</x:v>
      </x:c>
      <x:c r="C8892" s="16" t="n">
        <x:v>1358.6096780274</x:v>
      </x:c>
      <x:c r="D8892" s="13" t="str">
        <x:v>Utilities &amp; Energy</x:v>
      </x:c>
      <x:c r="E8892" s="13" t="str">
        <x:v>Utilities</x:v>
      </x:c>
      <x:c r="F8892" s="13" t="str">
        <x:v>Defensives</x:v>
      </x:c>
      <x:c r="G8892" s="13" t="str">
        <x:v>grid_cqzdsc3v.xlsx</x:v>
      </x:c>
    </x:row>
    <x:row r="8893">
      <x:c r="A8893" s="15" t="n">
        <x:v>44409</x:v>
      </x:c>
      <x:c r="B8893" s="13" t="str">
        <x:v>ENERGISA SA-UNITS</x:v>
      </x:c>
      <x:c r="C8893" s="16" t="n">
        <x:v>2150.2297578959</x:v>
      </x:c>
      <x:c r="D8893" s="13" t="str">
        <x:v>Utilities &amp; Energy</x:v>
      </x:c>
      <x:c r="E8893" s="13" t="str">
        <x:v>Utilities</x:v>
      </x:c>
      <x:c r="F8893" s="13" t="str">
        <x:v>Defensives</x:v>
      </x:c>
      <x:c r="G8893" s="13" t="str">
        <x:v>grid_cqzdsc3v.xlsx</x:v>
      </x:c>
    </x:row>
    <x:row r="8894">
      <x:c r="A8894" s="15" t="n">
        <x:v>44409</x:v>
      </x:c>
      <x:c r="B8894" s="13" t="str">
        <x:v>ENEVA SA</x:v>
      </x:c>
      <x:c r="C8894" s="16" t="n">
        <x:v>1299.3726239562</x:v>
      </x:c>
      <x:c r="D8894" s="13" t="str">
        <x:v>Utilities &amp; Energy</x:v>
      </x:c>
      <x:c r="E8894" s="13" t="str">
        <x:v>Utilities</x:v>
      </x:c>
      <x:c r="F8894" s="13" t="str">
        <x:v>Defensives</x:v>
      </x:c>
      <x:c r="G8894" s="13" t="str">
        <x:v>grid_cqzdsc3v.xlsx</x:v>
      </x:c>
    </x:row>
    <x:row r="8895">
      <x:c r="A8895" s="15" t="n">
        <x:v>44409</x:v>
      </x:c>
      <x:c r="B8895" s="13" t="str">
        <x:v>ENGIE BRASIL ENERGIA SA</x:v>
      </x:c>
      <x:c r="C8895" s="16" t="n">
        <x:v>2924.2206278137</x:v>
      </x:c>
      <x:c r="D8895" s="13" t="str">
        <x:v>Utilities &amp; Energy</x:v>
      </x:c>
      <x:c r="E8895" s="13" t="str">
        <x:v>Utilities</x:v>
      </x:c>
      <x:c r="F8895" s="13" t="str">
        <x:v>Defensives</x:v>
      </x:c>
      <x:c r="G8895" s="13" t="str">
        <x:v>grid_cqzdsc3v.xlsx</x:v>
      </x:c>
    </x:row>
    <x:row r="8896">
      <x:c r="A8896" s="15" t="n">
        <x:v>44409</x:v>
      </x:c>
      <x:c r="B8896" s="13" t="str">
        <x:v>EQUATORIAL SA - ORD</x:v>
      </x:c>
      <x:c r="C8896" s="16" t="n">
        <x:v>2101.8540670247</x:v>
      </x:c>
      <x:c r="D8896" s="13" t="str">
        <x:v>Utilities &amp; Energy</x:v>
      </x:c>
      <x:c r="E8896" s="13" t="str">
        <x:v>Utilities</x:v>
      </x:c>
      <x:c r="F8896" s="13" t="str">
        <x:v>Defensives</x:v>
      </x:c>
      <x:c r="G8896" s="13" t="str">
        <x:v>grid_cqzdsc3v.xlsx</x:v>
      </x:c>
    </x:row>
    <x:row r="8897">
      <x:c r="A8897" s="15" t="n">
        <x:v>44409</x:v>
      </x:c>
      <x:c r="B8897" s="13" t="str">
        <x:v>TRANSMISSORA ALIANCA DE-UNIT</x:v>
      </x:c>
      <x:c r="C8897" s="16" t="n">
        <x:v>1279.7192991562</x:v>
      </x:c>
      <x:c r="D8897" s="13" t="str">
        <x:v>Utilities &amp; Energy</x:v>
      </x:c>
      <x:c r="E8897" s="13" t="str">
        <x:v>Utilities</x:v>
      </x:c>
      <x:c r="F8897" s="13" t="str">
        <x:v>Defensives</x:v>
      </x:c>
      <x:c r="G8897" s="13" t="str">
        <x:v>grid_cqzdsc3v.xlsx</x:v>
      </x:c>
    </x:row>
    <x:row r="8898">
      <x:c r="A8898" s="15" t="n">
        <x:v>44440</x:v>
      </x:c>
      <x:c r="B8898" s="13" t="str">
        <x:v>BANCO BRADESCO S.A.</x:v>
      </x:c>
      <x:c r="C8898" s="16" t="n">
        <x:v>28114.9752025425</x:v>
      </x:c>
      <x:c r="D8898" s="13" t="str">
        <x:v>Banks</x:v>
      </x:c>
      <x:c r="E8898" s="13" t="str">
        <x:v>Banks</x:v>
      </x:c>
      <x:c r="F8898" s="13" t="str">
        <x:v>Financials</x:v>
      </x:c>
      <x:c r="G8898" s="13" t="str">
        <x:v>grid_cqzdsc3v.xlsx</x:v>
      </x:c>
    </x:row>
    <x:row r="8899">
      <x:c r="A8899" s="15" t="n">
        <x:v>44440</x:v>
      </x:c>
      <x:c r="B8899" s="13" t="str">
        <x:v>BANCO BRADESCO SA-PREF</x:v>
      </x:c>
      <x:c r="C8899" s="16" t="n">
        <x:v>28114.9752025425</x:v>
      </x:c>
      <x:c r="D8899" s="13" t="str">
        <x:v>Banks</x:v>
      </x:c>
      <x:c r="E8899" s="13" t="str">
        <x:v>Banks</x:v>
      </x:c>
      <x:c r="F8899" s="13" t="str">
        <x:v>Financials</x:v>
      </x:c>
      <x:c r="G8899" s="13" t="str">
        <x:v>grid_cqzdsc3v.xlsx</x:v>
      </x:c>
    </x:row>
    <x:row r="8900">
      <x:c r="A8900" s="15" t="n">
        <x:v>44440</x:v>
      </x:c>
      <x:c r="B8900" s="13" t="str">
        <x:v>BANCO BTG PACTUAL SA-UNIT</x:v>
      </x:c>
      <x:c r="C8900" s="16" t="n">
        <x:v>6754.8376807452</x:v>
      </x:c>
      <x:c r="D8900" s="13" t="str">
        <x:v>Banks</x:v>
      </x:c>
      <x:c r="E8900" s="13" t="str">
        <x:v>Banks</x:v>
      </x:c>
      <x:c r="F8900" s="13" t="str">
        <x:v>Financials</x:v>
      </x:c>
      <x:c r="G8900" s="13" t="str">
        <x:v>grid_cqzdsc3v.xlsx</x:v>
      </x:c>
    </x:row>
    <x:row r="8901">
      <x:c r="A8901" s="15" t="n">
        <x:v>44440</x:v>
      </x:c>
      <x:c r="B8901" s="13" t="str">
        <x:v>BANCO DO BRASIL S.A.</x:v>
      </x:c>
      <x:c r="C8901" s="16" t="n">
        <x:v>19563.1842963288</x:v>
      </x:c>
      <x:c r="D8901" s="13" t="str">
        <x:v>Banks</x:v>
      </x:c>
      <x:c r="E8901" s="13" t="str">
        <x:v>Banks</x:v>
      </x:c>
      <x:c r="F8901" s="13" t="str">
        <x:v>Financials</x:v>
      </x:c>
      <x:c r="G8901" s="13" t="str">
        <x:v>grid_cqzdsc3v.xlsx</x:v>
      </x:c>
    </x:row>
    <x:row r="8902">
      <x:c r="A8902" s="15" t="n">
        <x:v>44440</x:v>
      </x:c>
      <x:c r="B8902" s="13" t="str">
        <x:v>BANCO INTER SA</x:v>
      </x:c>
      <x:c r="C8902" s="16" t="n">
        <x:v>428.6435068493</x:v>
      </x:c>
      <x:c r="D8902" s="13" t="str">
        <x:v>Banks</x:v>
      </x:c>
      <x:c r="E8902" s="13" t="str">
        <x:v>Banks</x:v>
      </x:c>
      <x:c r="F8902" s="13" t="str">
        <x:v>Financials</x:v>
      </x:c>
      <x:c r="G8902" s="13" t="str">
        <x:v>grid_cqzdsc3v.xlsx</x:v>
      </x:c>
    </x:row>
    <x:row r="8903">
      <x:c r="A8903" s="15" t="n">
        <x:v>44440</x:v>
      </x:c>
      <x:c r="B8903" s="13" t="str">
        <x:v>BANCO PAN SA</x:v>
      </x:c>
      <x:c r="C8903" s="16" t="n">
        <x:v>1133.4314829151</x:v>
      </x:c>
      <x:c r="D8903" s="13" t="str">
        <x:v>Banks</x:v>
      </x:c>
      <x:c r="E8903" s="13" t="str">
        <x:v>Banks</x:v>
      </x:c>
      <x:c r="F8903" s="13" t="str">
        <x:v>Financials</x:v>
      </x:c>
      <x:c r="G8903" s="13" t="str">
        <x:v>grid_cqzdsc3v.xlsx</x:v>
      </x:c>
    </x:row>
    <x:row r="8904">
      <x:c r="A8904" s="15" t="n">
        <x:v>44440</x:v>
      </x:c>
      <x:c r="B8904" s="13" t="str">
        <x:v>BANCO SANTANDER  BRASIL-UNIT</x:v>
      </x:c>
      <x:c r="C8904" s="16" t="n">
        <x:v>16624.5689091507</x:v>
      </x:c>
      <x:c r="D8904" s="13" t="str">
        <x:v>Banks</x:v>
      </x:c>
      <x:c r="E8904" s="13" t="str">
        <x:v>Banks</x:v>
      </x:c>
      <x:c r="F8904" s="13" t="str">
        <x:v>Financials</x:v>
      </x:c>
      <x:c r="G8904" s="13" t="str">
        <x:v>grid_cqzdsc3v.xlsx</x:v>
      </x:c>
    </x:row>
    <x:row r="8905">
      <x:c r="A8905" s="15" t="n">
        <x:v>44440</x:v>
      </x:c>
      <x:c r="B8905" s="13" t="str">
        <x:v>INTER &amp; CO INC/BRAZIL</x:v>
      </x:c>
      <x:c r="C8905" s="16" t="n">
        <x:v>170.2838630137</x:v>
      </x:c>
      <x:c r="D8905" s="13" t="str">
        <x:v>Banks</x:v>
      </x:c>
      <x:c r="E8905" s="13" t="str">
        <x:v>Banks</x:v>
      </x:c>
      <x:c r="F8905" s="13" t="str">
        <x:v>Financials</x:v>
      </x:c>
      <x:c r="G8905" s="13" t="str">
        <x:v>grid_cqzdsc3v.xlsx</x:v>
      </x:c>
    </x:row>
    <x:row r="8906">
      <x:c r="A8906" s="15" t="n">
        <x:v>44440</x:v>
      </x:c>
      <x:c r="B8906" s="13" t="str">
        <x:v>ITAU UNIBANCO HOLDING S-PREF</x:v>
      </x:c>
      <x:c r="C8906" s="16" t="n">
        <x:v>27966.6477813479</x:v>
      </x:c>
      <x:c r="D8906" s="13" t="str">
        <x:v>Banks</x:v>
      </x:c>
      <x:c r="E8906" s="13" t="str">
        <x:v>Banks</x:v>
      </x:c>
      <x:c r="F8906" s="13" t="str">
        <x:v>Financials</x:v>
      </x:c>
      <x:c r="G8906" s="13" t="str">
        <x:v>grid_cqzdsc3v.xlsx</x:v>
      </x:c>
    </x:row>
    <x:row r="8907">
      <x:c r="A8907" s="15" t="n">
        <x:v>44440</x:v>
      </x:c>
      <x:c r="B8907" s="13" t="str">
        <x:v>EMBRAER SA</x:v>
      </x:c>
      <x:c r="C8907" s="16" t="n">
        <x:v>171.6389860822</x:v>
      </x:c>
      <x:c r="D8907" s="13" t="str">
        <x:v>Capital Goods</x:v>
      </x:c>
      <x:c r="E8907" s="13" t="str">
        <x:v>Capital Goods</x:v>
      </x:c>
      <x:c r="F8907" s="13" t="str">
        <x:v>Deep Cyclicals</x:v>
      </x:c>
      <x:c r="G8907" s="13" t="str">
        <x:v>grid_cqzdsc3v.xlsx</x:v>
      </x:c>
    </x:row>
    <x:row r="8908">
      <x:c r="A8908" s="15" t="n">
        <x:v>44440</x:v>
      </x:c>
      <x:c r="B8908" s="13" t="str">
        <x:v>WEG SA</x:v>
      </x:c>
      <x:c r="C8908" s="16" t="n">
        <x:v>3482.682106389</x:v>
      </x:c>
      <x:c r="D8908" s="13" t="str">
        <x:v>Capital Goods</x:v>
      </x:c>
      <x:c r="E8908" s="13" t="str">
        <x:v>Capital Goods</x:v>
      </x:c>
      <x:c r="F8908" s="13" t="str">
        <x:v>Deep Cyclicals</x:v>
      </x:c>
      <x:c r="G8908" s="13" t="str">
        <x:v>grid_cqzdsc3v.xlsx</x:v>
      </x:c>
    </x:row>
    <x:row r="8909">
      <x:c r="A8909" s="15" t="n">
        <x:v>44440</x:v>
      </x:c>
      <x:c r="B8909" s="13" t="str">
        <x:v>COGNA EDUCACAO</x:v>
      </x:c>
      <x:c r="C8909" s="16" t="n">
        <x:v>-41.8199726027</x:v>
      </x:c>
      <x:c r="D8909" s="13" t="str">
        <x:v>Education</x:v>
      </x:c>
      <x:c r="E8909" s="13" t="str">
        <x:v>Education</x:v>
      </x:c>
      <x:c r="F8909" s="13" t="str">
        <x:v>Early Cyclicals</x:v>
      </x:c>
      <x:c r="G8909" s="13" t="str">
        <x:v>grid_cqzdsc3v.xlsx</x:v>
      </x:c>
    </x:row>
    <x:row r="8910">
      <x:c r="A8910" s="15" t="n">
        <x:v>44440</x:v>
      </x:c>
      <x:c r="B8910" s="13" t="str">
        <x:v>YDUQS PARTICIPACOES SA</x:v>
      </x:c>
      <x:c r="C8910" s="16" t="n">
        <x:v>527.7056284055</x:v>
      </x:c>
      <x:c r="D8910" s="13" t="str">
        <x:v>Education</x:v>
      </x:c>
      <x:c r="E8910" s="13" t="str">
        <x:v>Education</x:v>
      </x:c>
      <x:c r="F8910" s="13" t="str">
        <x:v>Early Cyclicals</x:v>
      </x:c>
      <x:c r="G8910" s="13" t="str">
        <x:v>grid_cqzdsc3v.xlsx</x:v>
      </x:c>
    </x:row>
    <x:row r="8911">
      <x:c r="A8911" s="15" t="n">
        <x:v>44440</x:v>
      </x:c>
      <x:c r="B8911" s="13" t="str">
        <x:v>B3 SA-BRASIL BOLSA BALCAO</x:v>
      </x:c>
      <x:c r="C8911" s="16" t="n">
        <x:v>5406.9318824329</x:v>
      </x:c>
      <x:c r="D8911" s="13" t="str">
        <x:v>Financials Non-Banks</x:v>
      </x:c>
      <x:c r="E8911" s="13" t="str">
        <x:v>Financials Non-Banks</x:v>
      </x:c>
      <x:c r="F8911" s="13" t="str">
        <x:v>Financials</x:v>
      </x:c>
      <x:c r="G8911" s="13" t="str">
        <x:v>grid_cqzdsc3v.xlsx</x:v>
      </x:c>
    </x:row>
    <x:row r="8912">
      <x:c r="A8912" s="15" t="n">
        <x:v>44440</x:v>
      </x:c>
      <x:c r="B8912" s="13" t="str">
        <x:v>BB SEGURIDADE PARTICIPACOES</x:v>
      </x:c>
      <x:c r="C8912" s="16" t="n">
        <x:v>4537.3007100493</x:v>
      </x:c>
      <x:c r="D8912" s="13" t="str">
        <x:v>Financials Non-Banks</x:v>
      </x:c>
      <x:c r="E8912" s="13" t="str">
        <x:v>Financials Non-Banks</x:v>
      </x:c>
      <x:c r="F8912" s="13" t="str">
        <x:v>Financials</x:v>
      </x:c>
      <x:c r="G8912" s="13" t="str">
        <x:v>grid_cqzdsc3v.xlsx</x:v>
      </x:c>
    </x:row>
    <x:row r="8913">
      <x:c r="A8913" s="15" t="n">
        <x:v>44440</x:v>
      </x:c>
      <x:c r="B8913" s="13" t="str">
        <x:v>CIELO SA</x:v>
      </x:c>
      <x:c r="C8913" s="16" t="n">
        <x:v>920.8133451397</x:v>
      </x:c>
      <x:c r="D8913" s="13" t="str">
        <x:v>Financials Non-Banks</x:v>
      </x:c>
      <x:c r="E8913" s="13" t="str">
        <x:v>Financials Non-Banks</x:v>
      </x:c>
      <x:c r="F8913" s="13" t="str">
        <x:v>Financials</x:v>
      </x:c>
      <x:c r="G8913" s="13" t="str">
        <x:v>Ibovespa_earnings_consolidated.xlsx</x:v>
      </x:c>
    </x:row>
    <x:row r="8914">
      <x:c r="A8914" s="15" t="n">
        <x:v>44440</x:v>
      </x:c>
      <x:c r="B8914" s="13" t="str">
        <x:v>CIELO SA - INSTITUICAO DE PA</x:v>
      </x:c>
      <x:c r="C8914" s="16" t="n">
        <x:v>920.8133451397</x:v>
      </x:c>
      <x:c r="D8914" s="13" t="str">
        <x:v>Financials Non-Banks</x:v>
      </x:c>
      <x:c r="E8914" s="13" t="str">
        <x:v>Financials Non-Banks</x:v>
      </x:c>
      <x:c r="F8914" s="13" t="str">
        <x:v>Financials</x:v>
      </x:c>
      <x:c r="G8914" s="13" t="str">
        <x:v>grid_cqzdsc3v.xlsx</x:v>
      </x:c>
    </x:row>
    <x:row r="8915">
      <x:c r="A8915" s="15" t="n">
        <x:v>44440</x:v>
      </x:c>
      <x:c r="B8915" s="13" t="str">
        <x:v>IRB BRASIL RESSEGUROS SA</x:v>
      </x:c>
      <x:c r="C8915" s="16" t="n">
        <x:v>384.9256284055</x:v>
      </x:c>
      <x:c r="D8915" s="13" t="str">
        <x:v>Financials Non-Banks</x:v>
      </x:c>
      <x:c r="E8915" s="13" t="str">
        <x:v>Financials Non-Banks</x:v>
      </x:c>
      <x:c r="F8915" s="13" t="str">
        <x:v>Financials</x:v>
      </x:c>
      <x:c r="G8915" s="13" t="str">
        <x:v>grid_cqzdsc3v.xlsx</x:v>
      </x:c>
    </x:row>
    <x:row r="8916">
      <x:c r="A8916" s="15" t="n">
        <x:v>44440</x:v>
      </x:c>
      <x:c r="B8916" s="13" t="str">
        <x:v>ITAUSA SA</x:v>
      </x:c>
      <x:c r="C8916" s="16" t="n">
        <x:v>10531.6687647562</x:v>
      </x:c>
      <x:c r="D8916" s="13" t="str">
        <x:v>Financials Non-Banks</x:v>
      </x:c>
      <x:c r="E8916" s="13" t="str">
        <x:v>Financials Non-Banks</x:v>
      </x:c>
      <x:c r="F8916" s="13" t="str">
        <x:v>Financials</x:v>
      </x:c>
      <x:c r="G8916" s="13" t="str">
        <x:v>grid_cqzdsc3v.xlsx</x:v>
      </x:c>
    </x:row>
    <x:row r="8917">
      <x:c r="A8917" s="15" t="n">
        <x:v>44440</x:v>
      </x:c>
      <x:c r="B8917" s="13" t="str">
        <x:v>MELIUZ SA - ON</x:v>
      </x:c>
      <x:c r="C8917" s="16" t="n">
        <x:v>18.4623945205</x:v>
      </x:c>
      <x:c r="D8917" s="13" t="str">
        <x:v>Financials Non-Banks</x:v>
      </x:c>
      <x:c r="E8917" s="13" t="str">
        <x:v>Financials Non-Banks</x:v>
      </x:c>
      <x:c r="F8917" s="13" t="str">
        <x:v>Financials</x:v>
      </x:c>
      <x:c r="G8917" s="13" t="str">
        <x:v>grid_cqzdsc3v.xlsx</x:v>
      </x:c>
    </x:row>
    <x:row r="8918">
      <x:c r="A8918" s="15" t="n">
        <x:v>44440</x:v>
      </x:c>
      <x:c r="B8918" s="13" t="str">
        <x:v>AMBEV SA</x:v>
      </x:c>
      <x:c r="C8918" s="16" t="n">
        <x:v>12105.2282431123</x:v>
      </x:c>
      <x:c r="D8918" s="13" t="str">
        <x:v>Food &amp; Beverages</x:v>
      </x:c>
      <x:c r="E8918" s="13" t="str">
        <x:v>Agri, Food &amp; Beverages</x:v>
      </x:c>
      <x:c r="F8918" s="13" t="str">
        <x:v>Defensives</x:v>
      </x:c>
      <x:c r="G8918" s="13" t="str">
        <x:v>grid_cqzdsc3v.xlsx</x:v>
      </x:c>
    </x:row>
    <x:row r="8919">
      <x:c r="A8919" s="15" t="n">
        <x:v>44440</x:v>
      </x:c>
      <x:c r="B8919" s="13" t="str">
        <x:v>BRF SA</x:v>
      </x:c>
      <x:c r="C8919" s="16" t="n">
        <x:v>789.0350684932</x:v>
      </x:c>
      <x:c r="D8919" s="13" t="str">
        <x:v>Food &amp; Beverages</x:v>
      </x:c>
      <x:c r="E8919" s="13" t="str">
        <x:v>Agri, Food &amp; Beverages</x:v>
      </x:c>
      <x:c r="F8919" s="13" t="str">
        <x:v>Defensives</x:v>
      </x:c>
      <x:c r="G8919" s="13" t="str">
        <x:v>grid_cqzdsc3v.xlsx</x:v>
      </x:c>
    </x:row>
    <x:row r="8920">
      <x:c r="A8920" s="15" t="n">
        <x:v>44440</x:v>
      </x:c>
      <x:c r="B8920" s="13" t="str">
        <x:v>JBS SA</x:v>
      </x:c>
      <x:c r="C8920" s="16" t="n">
        <x:v>12436.5093116493</x:v>
      </x:c>
      <x:c r="D8920" s="13" t="str">
        <x:v>Food &amp; Beverages</x:v>
      </x:c>
      <x:c r="E8920" s="13" t="str">
        <x:v>Agri, Food &amp; Beverages</x:v>
      </x:c>
      <x:c r="F8920" s="13" t="str">
        <x:v>Defensives</x:v>
      </x:c>
      <x:c r="G8920" s="13" t="str">
        <x:v>grid_cqzdsc3v.xlsx</x:v>
      </x:c>
    </x:row>
    <x:row r="8921">
      <x:c r="A8921" s="15" t="n">
        <x:v>44440</x:v>
      </x:c>
      <x:c r="B8921" s="13" t="str">
        <x:v>MBRF GLOBAL FOODS COMPANY SA</x:v>
      </x:c>
      <x:c r="C8921" s="16" t="n">
        <x:v>2555.9782038795</x:v>
      </x:c>
      <x:c r="D8921" s="13" t="str">
        <x:v>Food &amp; Beverages</x:v>
      </x:c>
      <x:c r="E8921" s="13" t="str">
        <x:v>Agri, Food &amp; Beverages</x:v>
      </x:c>
      <x:c r="F8921" s="13" t="str">
        <x:v>Defensives</x:v>
      </x:c>
      <x:c r="G8921" s="13" t="str">
        <x:v>grid_cqzdsc3v.xlsx</x:v>
      </x:c>
    </x:row>
    <x:row r="8922">
      <x:c r="A8922" s="15" t="n">
        <x:v>44440</x:v>
      </x:c>
      <x:c r="B8922" s="13" t="str">
        <x:v>MINERVA SA</x:v>
      </x:c>
      <x:c r="C8922" s="16" t="n">
        <x:v>756.1637105973</x:v>
      </x:c>
      <x:c r="D8922" s="13" t="str">
        <x:v>Food &amp; Beverages</x:v>
      </x:c>
      <x:c r="E8922" s="13" t="str">
        <x:v>Agri, Food &amp; Beverages</x:v>
      </x:c>
      <x:c r="F8922" s="13" t="str">
        <x:v>Defensives</x:v>
      </x:c>
      <x:c r="G8922" s="13" t="str">
        <x:v>grid_cqzdsc3v.xlsx</x:v>
      </x:c>
    </x:row>
    <x:row r="8923">
      <x:c r="A8923" s="15" t="n">
        <x:v>44440</x:v>
      </x:c>
      <x:c r="B8923" s="13" t="str">
        <x:v>FLEURY SA</x:v>
      </x:c>
      <x:c r="C8923" s="16" t="n">
        <x:v>369.0069646027</x:v>
      </x:c>
      <x:c r="D8923" s="13" t="str">
        <x:v>Health Care</x:v>
      </x:c>
      <x:c r="E8923" s="13" t="str">
        <x:v>Health Care</x:v>
      </x:c>
      <x:c r="F8923" s="13" t="str">
        <x:v>Defensives</x:v>
      </x:c>
      <x:c r="G8923" s="13" t="str">
        <x:v>grid_cqzdsc3v.xlsx</x:v>
      </x:c>
    </x:row>
    <x:row r="8924">
      <x:c r="A8924" s="15" t="n">
        <x:v>44440</x:v>
      </x:c>
      <x:c r="B8924" s="13" t="str">
        <x:v>HAPVIDA PARTICIPACOES E INVE</x:v>
      </x:c>
      <x:c r="C8924" s="16" t="n">
        <x:v>1444.3205600438</x:v>
      </x:c>
      <x:c r="D8924" s="13" t="str">
        <x:v>Health Care</x:v>
      </x:c>
      <x:c r="E8924" s="13" t="str">
        <x:v>Health Care</x:v>
      </x:c>
      <x:c r="F8924" s="13" t="str">
        <x:v>Defensives</x:v>
      </x:c>
      <x:c r="G8924" s="13" t="str">
        <x:v>grid_cqzdsc3v.xlsx</x:v>
      </x:c>
    </x:row>
    <x:row r="8925">
      <x:c r="A8925" s="15" t="n">
        <x:v>44440</x:v>
      </x:c>
      <x:c r="B8925" s="13" t="str">
        <x:v>HYPERA SA</x:v>
      </x:c>
      <x:c r="C8925" s="16" t="n">
        <x:v>1695.7556164384</x:v>
      </x:c>
      <x:c r="D8925" s="13" t="str">
        <x:v>Health Care</x:v>
      </x:c>
      <x:c r="E8925" s="13" t="str">
        <x:v>Health Care</x:v>
      </x:c>
      <x:c r="F8925" s="13" t="str">
        <x:v>Defensives</x:v>
      </x:c>
      <x:c r="G8925" s="13" t="str">
        <x:v>grid_cqzdsc3v.xlsx</x:v>
      </x:c>
    </x:row>
    <x:row r="8926">
      <x:c r="A8926" s="15" t="n">
        <x:v>44440</x:v>
      </x:c>
      <x:c r="B8926" s="13" t="str">
        <x:v>NOTRE DAME INTERMED PAR SA</x:v>
      </x:c>
      <x:c r="C8926" s="16" t="n">
        <x:v>1156.6777116055</x:v>
      </x:c>
      <x:c r="D8926" s="13" t="str">
        <x:v>Health Care</x:v>
      </x:c>
      <x:c r="E8926" s="13" t="str">
        <x:v>Health Care</x:v>
      </x:c>
      <x:c r="F8926" s="13" t="str">
        <x:v>Defensives</x:v>
      </x:c>
      <x:c r="G8926" s="13" t="str">
        <x:v>grid_cqzdsc3v.xlsx</x:v>
      </x:c>
    </x:row>
    <x:row r="8927">
      <x:c r="A8927" s="15" t="n">
        <x:v>44440</x:v>
      </x:c>
      <x:c r="B8927" s="13" t="str">
        <x:v>QUALICORP CONS E CORR SEG SA</x:v>
      </x:c>
      <x:c r="C8927" s="16" t="n">
        <x:v>432.6475746192</x:v>
      </x:c>
      <x:c r="D8927" s="13" t="str">
        <x:v>Health Care</x:v>
      </x:c>
      <x:c r="E8927" s="13" t="str">
        <x:v>Health Care</x:v>
      </x:c>
      <x:c r="F8927" s="13" t="str">
        <x:v>Defensives</x:v>
      </x:c>
      <x:c r="G8927" s="13" t="str">
        <x:v>grid_cqzdsc3v.xlsx</x:v>
      </x:c>
    </x:row>
    <x:row r="8928">
      <x:c r="A8928" s="15" t="n">
        <x:v>44440</x:v>
      </x:c>
      <x:c r="B8928" s="13" t="str">
        <x:v>REDE D'OR SAO LUIZ SA</x:v>
      </x:c>
      <x:c r="C8928" s="16" t="n">
        <x:v>2716.0723491069</x:v>
      </x:c>
      <x:c r="D8928" s="13" t="str">
        <x:v>Health Care</x:v>
      </x:c>
      <x:c r="E8928" s="13" t="str">
        <x:v>Health Care</x:v>
      </x:c>
      <x:c r="F8928" s="13" t="str">
        <x:v>Defensives</x:v>
      </x:c>
      <x:c r="G8928" s="13" t="str">
        <x:v>grid_cqzdsc3v.xlsx</x:v>
      </x:c>
    </x:row>
    <x:row r="8929">
      <x:c r="A8929" s="15" t="n">
        <x:v>44440</x:v>
      </x:c>
      <x:c r="B8929" s="13" t="str">
        <x:v>SUL AMERICA SA - UNITS</x:v>
      </x:c>
      <x:c r="C8929" s="16" t="n">
        <x:v>926.3819178082</x:v>
      </x:c>
      <x:c r="D8929" s="13" t="str">
        <x:v>Health Care</x:v>
      </x:c>
      <x:c r="E8929" s="13" t="str">
        <x:v>Health Care</x:v>
      </x:c>
      <x:c r="F8929" s="13" t="str">
        <x:v>Defensives</x:v>
      </x:c>
      <x:c r="G8929" s="13" t="str">
        <x:v>grid_cqzdsc3v.xlsx</x:v>
      </x:c>
    </x:row>
    <x:row r="8930">
      <x:c r="A8930" s="15" t="n">
        <x:v>44440</x:v>
      </x:c>
      <x:c r="B8930" s="13" t="str">
        <x:v>CYRELA BRAZIL REALTY SA EMP</x:v>
      </x:c>
      <x:c r="C8930" s="16" t="n">
        <x:v>1063.2999841315</x:v>
      </x:c>
      <x:c r="D8930" s="13" t="str">
        <x:v>Homebuilders</x:v>
      </x:c>
      <x:c r="E8930" s="13" t="str">
        <x:v>Real Estate</x:v>
      </x:c>
      <x:c r="F8930" s="13" t="str">
        <x:v>Early Cyclicals</x:v>
      </x:c>
      <x:c r="G8930" s="13" t="str">
        <x:v>grid_cqzdsc3v.xlsx</x:v>
      </x:c>
    </x:row>
    <x:row r="8931">
      <x:c r="A8931" s="15" t="n">
        <x:v>44440</x:v>
      </x:c>
      <x:c r="B8931" s="13" t="str">
        <x:v>EZ TEC EMPREENDIMENTOS E PAR</x:v>
      </x:c>
      <x:c r="C8931" s="16" t="n">
        <x:v>674.3424617205</x:v>
      </x:c>
      <x:c r="D8931" s="13" t="str">
        <x:v>Homebuilders</x:v>
      </x:c>
      <x:c r="E8931" s="13" t="str">
        <x:v>Real Estate</x:v>
      </x:c>
      <x:c r="F8931" s="13" t="str">
        <x:v>Early Cyclicals</x:v>
      </x:c>
      <x:c r="G8931" s="13" t="str">
        <x:v>grid_cqzdsc3v.xlsx</x:v>
      </x:c>
    </x:row>
    <x:row r="8932">
      <x:c r="A8932" s="15" t="n">
        <x:v>44440</x:v>
      </x:c>
      <x:c r="B8932" s="13" t="str">
        <x:v>MRV ENGENHARIA</x:v>
      </x:c>
      <x:c r="C8932" s="16" t="n">
        <x:v>741.8350064219</x:v>
      </x:c>
      <x:c r="D8932" s="13" t="str">
        <x:v>Homebuilders</x:v>
      </x:c>
      <x:c r="E8932" s="13" t="str">
        <x:v>Real Estate</x:v>
      </x:c>
      <x:c r="F8932" s="13" t="str">
        <x:v>Early Cyclicals</x:v>
      </x:c>
      <x:c r="G8932" s="13" t="str">
        <x:v>grid_cqzdsc3v.xlsx</x:v>
      </x:c>
    </x:row>
    <x:row r="8933">
      <x:c r="A8933" s="15" t="n">
        <x:v>44440</x:v>
      </x:c>
      <x:c r="B8933" s="13" t="str">
        <x:v>BR MALLS PARTICIPACOES SA</x:v>
      </x:c>
      <x:c r="C8933" s="16" t="n">
        <x:v>480.6581361973</x:v>
      </x:c>
      <x:c r="D8933" s="13" t="str">
        <x:v>Income Properties</x:v>
      </x:c>
      <x:c r="E8933" s="13" t="str">
        <x:v>Real Estate</x:v>
      </x:c>
      <x:c r="F8933" s="13" t="str">
        <x:v>Early Cyclicals</x:v>
      </x:c>
      <x:c r="G8933" s="13" t="str">
        <x:v>grid_cqzdsc3v.xlsx</x:v>
      </x:c>
    </x:row>
    <x:row r="8934">
      <x:c r="A8934" s="15" t="n">
        <x:v>44440</x:v>
      </x:c>
      <x:c r="B8934" s="13" t="str">
        <x:v>IGUATEMI EMP DE SHOPPING</x:v>
      </x:c>
      <x:c r="C8934" s="16" t="n">
        <x:v>306.898630137</x:v>
      </x:c>
      <x:c r="D8934" s="13" t="str">
        <x:v>Income Properties</x:v>
      </x:c>
      <x:c r="E8934" s="13" t="str">
        <x:v>Real Estate</x:v>
      </x:c>
      <x:c r="F8934" s="13" t="str">
        <x:v>Early Cyclicals</x:v>
      </x:c>
      <x:c r="G8934" s="13" t="str">
        <x:v>grid_cqzdsc3v.xlsx</x:v>
      </x:c>
    </x:row>
    <x:row r="8935">
      <x:c r="A8935" s="15" t="n">
        <x:v>44440</x:v>
      </x:c>
      <x:c r="B8935" s="13" t="str">
        <x:v>JHSF PARTICIPACOES SA</x:v>
      </x:c>
      <x:c r="C8935" s="16" t="n">
        <x:v>393.6465753425</x:v>
      </x:c>
      <x:c r="D8935" s="13" t="str">
        <x:v>Income Properties</x:v>
      </x:c>
      <x:c r="E8935" s="13" t="str">
        <x:v>Real Estate</x:v>
      </x:c>
      <x:c r="F8935" s="13" t="str">
        <x:v>Early Cyclicals</x:v>
      </x:c>
      <x:c r="G8935" s="13" t="str">
        <x:v>grid_cqzdsc3v.xlsx</x:v>
      </x:c>
    </x:row>
    <x:row r="8936">
      <x:c r="A8936" s="15" t="n">
        <x:v>44440</x:v>
      </x:c>
      <x:c r="B8936" s="13" t="str">
        <x:v>MULTIPLAN EMPREENDIMENTOS</x:v>
      </x:c>
      <x:c r="C8936" s="16" t="n">
        <x:v>507.8185051178</x:v>
      </x:c>
      <x:c r="D8936" s="13" t="str">
        <x:v>Income Properties</x:v>
      </x:c>
      <x:c r="E8936" s="13" t="str">
        <x:v>Real Estate</x:v>
      </x:c>
      <x:c r="F8936" s="13" t="str">
        <x:v>Early Cyclicals</x:v>
      </x:c>
      <x:c r="G8936" s="13" t="str">
        <x:v>grid_cqzdsc3v.xlsx</x:v>
      </x:c>
    </x:row>
    <x:row r="8937">
      <x:c r="A8937" s="15" t="n">
        <x:v>44440</x:v>
      </x:c>
      <x:c r="B8937" s="13" t="str">
        <x:v>BRADESPAR SA -PREF</x:v>
      </x:c>
      <x:c r="C8937" s="16" t="n">
        <x:v>5605.9973716164</x:v>
      </x:c>
      <x:c r="D8937" s="13" t="str">
        <x:v>Metals &amp; Mining</x:v>
      </x:c>
      <x:c r="E8937" s="13" t="str">
        <x:v>Metals &amp; Mining</x:v>
      </x:c>
      <x:c r="F8937" s="13" t="str">
        <x:v>Deep Cyclicals</x:v>
      </x:c>
      <x:c r="G8937" s="13" t="str">
        <x:v>grid_cqzdsc3v.xlsx</x:v>
      </x:c>
    </x:row>
    <x:row r="8938">
      <x:c r="A8938" s="15" t="n">
        <x:v>44440</x:v>
      </x:c>
      <x:c r="B8938" s="13" t="str">
        <x:v>CIA SIDERURGICA NACIONAL SA</x:v>
      </x:c>
      <x:c r="C8938" s="16" t="n">
        <x:v>12098.4174423671</x:v>
      </x:c>
      <x:c r="D8938" s="13" t="str">
        <x:v>Metals &amp; Mining</x:v>
      </x:c>
      <x:c r="E8938" s="13" t="str">
        <x:v>Metals &amp; Mining</x:v>
      </x:c>
      <x:c r="F8938" s="13" t="str">
        <x:v>Deep Cyclicals</x:v>
      </x:c>
      <x:c r="G8938" s="13" t="str">
        <x:v>grid_cqzdsc3v.xlsx</x:v>
      </x:c>
    </x:row>
    <x:row r="8939">
      <x:c r="A8939" s="15" t="n">
        <x:v>44440</x:v>
      </x:c>
      <x:c r="B8939" s="13" t="str">
        <x:v>GERDAU SA-PREF</x:v>
      </x:c>
      <x:c r="C8939" s="16" t="n">
        <x:v>8662.7692067068</x:v>
      </x:c>
      <x:c r="D8939" s="13" t="str">
        <x:v>Metals &amp; Mining</x:v>
      </x:c>
      <x:c r="E8939" s="13" t="str">
        <x:v>Metals &amp; Mining</x:v>
      </x:c>
      <x:c r="F8939" s="13" t="str">
        <x:v>Deep Cyclicals</x:v>
      </x:c>
      <x:c r="G8939" s="13" t="str">
        <x:v>grid_cqzdsc3v.xlsx</x:v>
      </x:c>
    </x:row>
    <x:row r="8940">
      <x:c r="A8940" s="15" t="n">
        <x:v>44440</x:v>
      </x:c>
      <x:c r="B8940" s="13" t="str">
        <x:v>METALURGICA GERDAU SA-PREF</x:v>
      </x:c>
      <x:c r="C8940" s="16" t="n">
        <x:v>2872.6575342466</x:v>
      </x:c>
      <x:c r="D8940" s="13" t="str">
        <x:v>Metals &amp; Mining</x:v>
      </x:c>
      <x:c r="E8940" s="13" t="str">
        <x:v>Metals &amp; Mining</x:v>
      </x:c>
      <x:c r="F8940" s="13" t="str">
        <x:v>Deep Cyclicals</x:v>
      </x:c>
      <x:c r="G8940" s="13" t="str">
        <x:v>grid_cqzdsc3v.xlsx</x:v>
      </x:c>
    </x:row>
    <x:row r="8941">
      <x:c r="A8941" s="15" t="n">
        <x:v>44440</x:v>
      </x:c>
      <x:c r="B8941" s="13" t="str">
        <x:v>USINAS SIDER MINAS GER-PF A</x:v>
      </x:c>
      <x:c r="C8941" s="16" t="n">
        <x:v>5345.6546549479</x:v>
      </x:c>
      <x:c r="D8941" s="13" t="str">
        <x:v>Metals &amp; Mining</x:v>
      </x:c>
      <x:c r="E8941" s="13" t="str">
        <x:v>Metals &amp; Mining</x:v>
      </x:c>
      <x:c r="F8941" s="13" t="str">
        <x:v>Deep Cyclicals</x:v>
      </x:c>
      <x:c r="G8941" s="13" t="str">
        <x:v>grid_cqzdsc3v.xlsx</x:v>
      </x:c>
    </x:row>
    <x:row r="8942">
      <x:c r="A8942" s="15" t="n">
        <x:v>44440</x:v>
      </x:c>
      <x:c r="B8942" s="13" t="str">
        <x:v>VALE SA</x:v>
      </x:c>
      <x:c r="C8942" s="16" t="n">
        <x:v>104632.366907616</x:v>
      </x:c>
      <x:c r="D8942" s="13" t="str">
        <x:v>Metals &amp; Mining</x:v>
      </x:c>
      <x:c r="E8942" s="13" t="str">
        <x:v>Metals &amp; Mining</x:v>
      </x:c>
      <x:c r="F8942" s="13" t="str">
        <x:v>Deep Cyclicals</x:v>
      </x:c>
      <x:c r="G8942" s="13" t="str">
        <x:v>grid_cqzdsc3v.xlsx</x:v>
      </x:c>
    </x:row>
    <x:row r="8943">
      <x:c r="A8943" s="15" t="n">
        <x:v>44440</x:v>
      </x:c>
      <x:c r="B8943" s="13" t="str">
        <x:v>BRASKEM SA-PREF A</x:v>
      </x:c>
      <x:c r="C8943" s="16" t="n">
        <x:v>10869.3126915507</x:v>
      </x:c>
      <x:c r="D8943" s="13" t="str">
        <x:v>Oil, Gas &amp; Petrochemicals</x:v>
      </x:c>
      <x:c r="E8943" s="13" t="str">
        <x:v>Oil, Gas &amp; Petrochemicals</x:v>
      </x:c>
      <x:c r="F8943" s="13" t="str">
        <x:v>Deep Cyclicals</x:v>
      </x:c>
      <x:c r="G8943" s="13" t="str">
        <x:v>grid_cqzdsc3v.xlsx</x:v>
      </x:c>
    </x:row>
    <x:row r="8944">
      <x:c r="A8944" s="15" t="n">
        <x:v>44440</x:v>
      </x:c>
      <x:c r="B8944" s="13" t="str">
        <x:v>COSAN SA</x:v>
      </x:c>
      <x:c r="C8944" s="16" t="n">
        <x:v>3889.0290428493</x:v>
      </x:c>
      <x:c r="D8944" s="13" t="str">
        <x:v>Oil, Gas &amp; Petrochemicals</x:v>
      </x:c>
      <x:c r="E8944" s="13" t="str">
        <x:v>Oil, Gas &amp; Petrochemicals</x:v>
      </x:c>
      <x:c r="F8944" s="13" t="str">
        <x:v>Deep Cyclicals</x:v>
      </x:c>
      <x:c r="G8944" s="13" t="str">
        <x:v>grid_cqzdsc3v.xlsx</x:v>
      </x:c>
    </x:row>
    <x:row r="8945">
      <x:c r="A8945" s="15" t="n">
        <x:v>44440</x:v>
      </x:c>
      <x:c r="B8945" s="13" t="str">
        <x:v>PETROBRAS - PETROLEO BRAS</x:v>
      </x:c>
      <x:c r="C8945" s="16" t="n">
        <x:v>74310.2949235726</x:v>
      </x:c>
      <x:c r="D8945" s="13" t="str">
        <x:v>Oil, Gas &amp; Petrochemicals</x:v>
      </x:c>
      <x:c r="E8945" s="13" t="str">
        <x:v>Oil, Gas &amp; Petrochemicals</x:v>
      </x:c>
      <x:c r="F8945" s="13" t="str">
        <x:v>Deep Cyclicals</x:v>
      </x:c>
      <x:c r="G8945" s="13" t="str">
        <x:v>grid_cqzdsc3v.xlsx</x:v>
      </x:c>
    </x:row>
    <x:row r="8946">
      <x:c r="A8946" s="15" t="n">
        <x:v>44440</x:v>
      </x:c>
      <x:c r="B8946" s="13" t="str">
        <x:v>PRIO SA</x:v>
      </x:c>
      <x:c r="C8946" s="16" t="n">
        <x:v>1800.3835616438</x:v>
      </x:c>
      <x:c r="D8946" s="13" t="str">
        <x:v>Oil, Gas &amp; Petrochemicals</x:v>
      </x:c>
      <x:c r="E8946" s="13" t="str">
        <x:v>Oil, Gas &amp; Petrochemicals</x:v>
      </x:c>
      <x:c r="F8946" s="13" t="str">
        <x:v>Deep Cyclicals</x:v>
      </x:c>
      <x:c r="G8946" s="13" t="str">
        <x:v>grid_cqzdsc3v.xlsx</x:v>
      </x:c>
    </x:row>
    <x:row r="8947">
      <x:c r="A8947" s="15" t="n">
        <x:v>44440</x:v>
      </x:c>
      <x:c r="B8947" s="13" t="str">
        <x:v>ULTRAPAR PARTICIPACOES SA</x:v>
      </x:c>
      <x:c r="C8947" s="16" t="n">
        <x:v>1215.394725874</x:v>
      </x:c>
      <x:c r="D8947" s="13" t="str">
        <x:v>Oil, Gas &amp; Petrochemicals</x:v>
      </x:c>
      <x:c r="E8947" s="13" t="str">
        <x:v>Oil, Gas &amp; Petrochemicals</x:v>
      </x:c>
      <x:c r="F8947" s="13" t="str">
        <x:v>Deep Cyclicals</x:v>
      </x:c>
      <x:c r="G8947" s="13" t="str">
        <x:v>grid_cqzdsc3v.xlsx</x:v>
      </x:c>
    </x:row>
    <x:row r="8948">
      <x:c r="A8948" s="15" t="n">
        <x:v>44440</x:v>
      </x:c>
      <x:c r="B8948" s="13" t="str">
        <x:v>VIBRA ENERGIA SA</x:v>
      </x:c>
      <x:c r="C8948" s="16" t="n">
        <x:v>2214.4276620274</x:v>
      </x:c>
      <x:c r="D8948" s="13" t="str">
        <x:v>Oil, Gas &amp; Petrochemicals</x:v>
      </x:c>
      <x:c r="E8948" s="13" t="str">
        <x:v>Oil, Gas &amp; Petrochemicals</x:v>
      </x:c>
      <x:c r="F8948" s="13" t="str">
        <x:v>Deep Cyclicals</x:v>
      </x:c>
      <x:c r="G8948" s="13" t="str">
        <x:v>grid_cqzdsc3v.xlsx</x:v>
      </x:c>
    </x:row>
    <x:row r="8949">
      <x:c r="A8949" s="15" t="n">
        <x:v>44440</x:v>
      </x:c>
      <x:c r="B8949" s="13" t="str">
        <x:v>DEXCO SA</x:v>
      </x:c>
      <x:c r="C8949" s="16" t="n">
        <x:v>957.8712328767</x:v>
      </x:c>
      <x:c r="D8949" s="13" t="str">
        <x:v>Pulp &amp; Paper</x:v>
      </x:c>
      <x:c r="E8949" s="13" t="str">
        <x:v>Pulp &amp; Paper</x:v>
      </x:c>
      <x:c r="F8949" s="13" t="str">
        <x:v>Deep Cyclicals</x:v>
      </x:c>
      <x:c r="G8949" s="13" t="str">
        <x:v>grid_cqzdsc3v.xlsx</x:v>
      </x:c>
    </x:row>
    <x:row r="8950">
      <x:c r="A8950" s="15" t="n">
        <x:v>44440</x:v>
      </x:c>
      <x:c r="B8950" s="13" t="str">
        <x:v>KLABIN SA - UNIT</x:v>
      </x:c>
      <x:c r="C8950" s="16" t="n">
        <x:v>1993.8835028164</x:v>
      </x:c>
      <x:c r="D8950" s="13" t="str">
        <x:v>Pulp &amp; Paper</x:v>
      </x:c>
      <x:c r="E8950" s="13" t="str">
        <x:v>Pulp &amp; Paper</x:v>
      </x:c>
      <x:c r="F8950" s="13" t="str">
        <x:v>Deep Cyclicals</x:v>
      </x:c>
      <x:c r="G8950" s="13" t="str">
        <x:v>grid_cqzdsc3v.xlsx</x:v>
      </x:c>
    </x:row>
    <x:row r="8951">
      <x:c r="A8951" s="15" t="n">
        <x:v>44440</x:v>
      </x:c>
      <x:c r="B8951" s="13" t="str">
        <x:v>SUZANO SA</x:v>
      </x:c>
      <x:c r="C8951" s="16" t="n">
        <x:v>8661.7915896986</x:v>
      </x:c>
      <x:c r="D8951" s="13" t="str">
        <x:v>Pulp &amp; Paper</x:v>
      </x:c>
      <x:c r="E8951" s="13" t="str">
        <x:v>Pulp &amp; Paper</x:v>
      </x:c>
      <x:c r="F8951" s="13" t="str">
        <x:v>Deep Cyclicals</x:v>
      </x:c>
      <x:c r="G8951" s="13" t="str">
        <x:v>grid_cqzdsc3v.xlsx</x:v>
      </x:c>
    </x:row>
    <x:row r="8952">
      <x:c r="A8952" s="15" t="n">
        <x:v>44440</x:v>
      </x:c>
      <x:c r="B8952" s="13" t="str">
        <x:v>ALPARGATAS SA - PREF</x:v>
      </x:c>
      <x:c r="C8952" s="16" t="n">
        <x:v>807.1178082192</x:v>
      </x:c>
      <x:c r="D8952" s="13" t="str">
        <x:v>Retail</x:v>
      </x:c>
      <x:c r="E8952" s="13" t="str">
        <x:v>Retail</x:v>
      </x:c>
      <x:c r="F8952" s="13" t="str">
        <x:v>Early Cyclicals</x:v>
      </x:c>
      <x:c r="G8952" s="13" t="str">
        <x:v>grid_cqzdsc3v.xlsx</x:v>
      </x:c>
    </x:row>
    <x:row r="8953">
      <x:c r="A8953" s="15" t="n">
        <x:v>44440</x:v>
      </x:c>
      <x:c r="B8953" s="13" t="str">
        <x:v>AMERICANAS SA</x:v>
      </x:c>
      <x:c r="C8953" s="16" t="n">
        <x:v>295.6305753425</x:v>
      </x:c>
      <x:c r="D8953" s="13" t="str">
        <x:v>Retail</x:v>
      </x:c>
      <x:c r="E8953" s="13" t="str">
        <x:v>Retail</x:v>
      </x:c>
      <x:c r="F8953" s="13" t="str">
        <x:v>Early Cyclicals</x:v>
      </x:c>
      <x:c r="G8953" s="13" t="str">
        <x:v>grid_cqzdsc3v.xlsx</x:v>
      </x:c>
    </x:row>
    <x:row r="8954">
      <x:c r="A8954" s="15" t="n">
        <x:v>44440</x:v>
      </x:c>
      <x:c r="B8954" s="13" t="str">
        <x:v>ATACADAO SA</x:v>
      </x:c>
      <x:c r="C8954" s="16" t="n">
        <x:v>2776.2829711781</x:v>
      </x:c>
      <x:c r="D8954" s="13" t="str">
        <x:v>Retail</x:v>
      </x:c>
      <x:c r="E8954" s="13" t="str">
        <x:v>Retail</x:v>
      </x:c>
      <x:c r="F8954" s="13" t="str">
        <x:v>Early Cyclicals</x:v>
      </x:c>
      <x:c r="G8954" s="13" t="str">
        <x:v>grid_cqzdsc3v.xlsx</x:v>
      </x:c>
    </x:row>
    <x:row r="8955">
      <x:c r="A8955" s="15" t="n">
        <x:v>44440</x:v>
      </x:c>
      <x:c r="B8955" s="13" t="str">
        <x:v>CIA BRASILEIRA DE DISTRIBUIC</x:v>
      </x:c>
      <x:c r="C8955" s="16" t="n">
        <x:v>449.8485300603</x:v>
      </x:c>
      <x:c r="D8955" s="13" t="str">
        <x:v>Retail</x:v>
      </x:c>
      <x:c r="E8955" s="13" t="str">
        <x:v>Retail</x:v>
      </x:c>
      <x:c r="F8955" s="13" t="str">
        <x:v>Early Cyclicals</x:v>
      </x:c>
      <x:c r="G8955" s="13" t="str">
        <x:v>grid_cqzdsc3v.xlsx</x:v>
      </x:c>
    </x:row>
    <x:row r="8956">
      <x:c r="A8956" s="15" t="n">
        <x:v>44440</x:v>
      </x:c>
      <x:c r="B8956" s="13" t="str">
        <x:v>CVC BRASIL OPERADORA E AGENC</x:v>
      </x:c>
      <x:c r="C8956" s="16" t="n">
        <x:v>-109.2876712329</x:v>
      </x:c>
      <x:c r="D8956" s="13" t="str">
        <x:v>Retail</x:v>
      </x:c>
      <x:c r="E8956" s="13" t="str">
        <x:v>Retail</x:v>
      </x:c>
      <x:c r="F8956" s="13" t="str">
        <x:v>Early Cyclicals</x:v>
      </x:c>
      <x:c r="G8956" s="13" t="str">
        <x:v>grid_cqzdsc3v.xlsx</x:v>
      </x:c>
    </x:row>
    <x:row r="8957">
      <x:c r="A8957" s="15" t="n">
        <x:v>44440</x:v>
      </x:c>
      <x:c r="B8957" s="13" t="str">
        <x:v>GRUPO CASAS BAHIA SA</x:v>
      </x:c>
      <x:c r="C8957" s="16" t="n">
        <x:v>751.1300136329</x:v>
      </x:c>
      <x:c r="D8957" s="13" t="str">
        <x:v>Retail</x:v>
      </x:c>
      <x:c r="E8957" s="13" t="str">
        <x:v>Retail</x:v>
      </x:c>
      <x:c r="F8957" s="13" t="str">
        <x:v>Early Cyclicals</x:v>
      </x:c>
      <x:c r="G8957" s="13" t="str">
        <x:v>grid_cqzdsc3v.xlsx</x:v>
      </x:c>
    </x:row>
    <x:row r="8958">
      <x:c r="A8958" s="15" t="n">
        <x:v>44440</x:v>
      </x:c>
      <x:c r="B8958" s="13" t="str">
        <x:v>LOJAS AMERICANAS SA-PREF</x:v>
      </x:c>
      <x:c r="C8958" s="16" t="n">
        <x:v>121.0434246575</x:v>
      </x:c>
      <x:c r="D8958" s="13" t="str">
        <x:v>Retail</x:v>
      </x:c>
      <x:c r="E8958" s="13" t="str">
        <x:v>Retail</x:v>
      </x:c>
      <x:c r="F8958" s="13" t="str">
        <x:v>Early Cyclicals</x:v>
      </x:c>
      <x:c r="G8958" s="13" t="str">
        <x:v>grid_cqzdsc3v.xlsx</x:v>
      </x:c>
    </x:row>
    <x:row r="8959">
      <x:c r="A8959" s="15" t="n">
        <x:v>44440</x:v>
      </x:c>
      <x:c r="B8959" s="13" t="str">
        <x:v>LOJAS RENNER S.A.</x:v>
      </x:c>
      <x:c r="C8959" s="16" t="n">
        <x:v>1181.6413012164</x:v>
      </x:c>
      <x:c r="D8959" s="13" t="str">
        <x:v>Retail</x:v>
      </x:c>
      <x:c r="E8959" s="13" t="str">
        <x:v>Retail</x:v>
      </x:c>
      <x:c r="F8959" s="13" t="str">
        <x:v>Early Cyclicals</x:v>
      </x:c>
      <x:c r="G8959" s="13" t="str">
        <x:v>grid_cqzdsc3v.xlsx</x:v>
      </x:c>
    </x:row>
    <x:row r="8960">
      <x:c r="A8960" s="15" t="n">
        <x:v>44440</x:v>
      </x:c>
      <x:c r="B8960" s="13" t="str">
        <x:v>MAGAZINE LUIZA SA</x:v>
      </x:c>
      <x:c r="C8960" s="16" t="n">
        <x:v>1016.7860960438</x:v>
      </x:c>
      <x:c r="D8960" s="13" t="str">
        <x:v>Retail</x:v>
      </x:c>
      <x:c r="E8960" s="13" t="str">
        <x:v>Retail</x:v>
      </x:c>
      <x:c r="F8960" s="13" t="str">
        <x:v>Early Cyclicals</x:v>
      </x:c>
      <x:c r="G8960" s="13" t="str">
        <x:v>grid_cqzdsc3v.xlsx</x:v>
      </x:c>
    </x:row>
    <x:row r="8961">
      <x:c r="A8961" s="15" t="n">
        <x:v>44440</x:v>
      </x:c>
      <x:c r="B8961" s="13" t="str">
        <x:v>NATURA &amp;CO HOLDING SA</x:v>
      </x:c>
      <x:c r="C8961" s="16" t="n">
        <x:v>1291.6234983452</x:v>
      </x:c>
      <x:c r="D8961" s="13" t="str">
        <x:v>Retail</x:v>
      </x:c>
      <x:c r="E8961" s="13" t="str">
        <x:v>Retail</x:v>
      </x:c>
      <x:c r="F8961" s="13" t="str">
        <x:v>Early Cyclicals</x:v>
      </x:c>
      <x:c r="G8961" s="13" t="str">
        <x:v>grid_cqzdsc3v.xlsx</x:v>
      </x:c>
    </x:row>
    <x:row r="8962">
      <x:c r="A8962" s="15" t="n">
        <x:v>44440</x:v>
      </x:c>
      <x:c r="B8962" s="13" t="str">
        <x:v>PET CENTER COMERCIO E PARTIC</x:v>
      </x:c>
      <x:c r="C8962" s="16" t="n">
        <x:v>121.1537993644</x:v>
      </x:c>
      <x:c r="D8962" s="13" t="str">
        <x:v>Retail</x:v>
      </x:c>
      <x:c r="E8962" s="13" t="str">
        <x:v>Retail</x:v>
      </x:c>
      <x:c r="F8962" s="13" t="str">
        <x:v>Early Cyclicals</x:v>
      </x:c>
      <x:c r="G8962" s="13" t="str">
        <x:v>grid_cqzdsc3v.xlsx</x:v>
      </x:c>
    </x:row>
    <x:row r="8963">
      <x:c r="A8963" s="15" t="n">
        <x:v>44440</x:v>
      </x:c>
      <x:c r="B8963" s="13" t="str">
        <x:v>RAIA DROGASIL SA</x:v>
      </x:c>
      <x:c r="C8963" s="16" t="n">
        <x:v>1040.0410918575</x:v>
      </x:c>
      <x:c r="D8963" s="13" t="str">
        <x:v>Retail</x:v>
      </x:c>
      <x:c r="E8963" s="13" t="str">
        <x:v>Retail</x:v>
      </x:c>
      <x:c r="F8963" s="13" t="str">
        <x:v>Early Cyclicals</x:v>
      </x:c>
      <x:c r="G8963" s="13" t="str">
        <x:v>grid_cqzdsc3v.xlsx</x:v>
      </x:c>
    </x:row>
    <x:row r="8964">
      <x:c r="A8964" s="15" t="n">
        <x:v>44440</x:v>
      </x:c>
      <x:c r="B8964" s="13" t="str">
        <x:v>SENDAS DISTRIBUIDORA SA</x:v>
      </x:c>
      <x:c r="C8964" s="16" t="n">
        <x:v>1561.8472840767</x:v>
      </x:c>
      <x:c r="D8964" s="13" t="str">
        <x:v>Retail</x:v>
      </x:c>
      <x:c r="E8964" s="13" t="str">
        <x:v>Retail</x:v>
      </x:c>
      <x:c r="F8964" s="13" t="str">
        <x:v>Early Cyclicals</x:v>
      </x:c>
      <x:c r="G8964" s="13" t="str">
        <x:v>grid_cqzdsc3v.xlsx</x:v>
      </x:c>
    </x:row>
    <x:row r="8965">
      <x:c r="A8965" s="15" t="n">
        <x:v>44440</x:v>
      </x:c>
      <x:c r="B8965" s="13" t="str">
        <x:v>CIA SANEAMENTO BASICO DE SP</x:v>
      </x:c>
      <x:c r="C8965" s="16" t="n">
        <x:v>3048.7097435178</x:v>
      </x:c>
      <x:c r="D8965" s="13" t="str">
        <x:v>Sanitation</x:v>
      </x:c>
      <x:c r="E8965" s="13" t="str">
        <x:v>Utilities</x:v>
      </x:c>
      <x:c r="F8965" s="13" t="str">
        <x:v>Defensives</x:v>
      </x:c>
      <x:c r="G8965" s="13" t="str">
        <x:v>grid_cqzdsc3v.xlsx</x:v>
      </x:c>
    </x:row>
    <x:row r="8966">
      <x:c r="A8966" s="15" t="n">
        <x:v>44440</x:v>
      </x:c>
      <x:c r="B8966" s="13" t="str">
        <x:v>LWSA SA</x:v>
      </x:c>
      <x:c r="C8966" s="16" t="n">
        <x:v>181.7039155726</x:v>
      </x:c>
      <x:c r="D8966" s="13" t="str">
        <x:v>TMT</x:v>
      </x:c>
      <x:c r="E8966" s="13" t="str">
        <x:v>TMT</x:v>
      </x:c>
      <x:c r="F8966" s="13" t="str">
        <x:v>Early Cyclicals</x:v>
      </x:c>
      <x:c r="G8966" s="13" t="str">
        <x:v>grid_cqzdsc3v.xlsx</x:v>
      </x:c>
    </x:row>
    <x:row r="8967">
      <x:c r="A8967" s="15" t="n">
        <x:v>44440</x:v>
      </x:c>
      <x:c r="B8967" s="13" t="str">
        <x:v>TIM SA</x:v>
      </x:c>
      <x:c r="C8967" s="16" t="n">
        <x:v>2531.1823219726</x:v>
      </x:c>
      <x:c r="D8967" s="13" t="str">
        <x:v>TMT</x:v>
      </x:c>
      <x:c r="E8967" s="13" t="str">
        <x:v>TMT</x:v>
      </x:c>
      <x:c r="F8967" s="13" t="str">
        <x:v>Early Cyclicals</x:v>
      </x:c>
      <x:c r="G8967" s="13" t="str">
        <x:v>grid_cqzdsc3v.xlsx</x:v>
      </x:c>
    </x:row>
    <x:row r="8968">
      <x:c r="A8968" s="15" t="n">
        <x:v>44440</x:v>
      </x:c>
      <x:c r="B8968" s="13" t="str">
        <x:v>TOTVS SA</x:v>
      </x:c>
      <x:c r="C8968" s="16" t="n">
        <x:v>455.9368710137</x:v>
      </x:c>
      <x:c r="D8968" s="13" t="str">
        <x:v>TMT</x:v>
      </x:c>
      <x:c r="E8968" s="13" t="str">
        <x:v>TMT</x:v>
      </x:c>
      <x:c r="F8968" s="13" t="str">
        <x:v>Early Cyclicals</x:v>
      </x:c>
      <x:c r="G8968" s="13" t="str">
        <x:v>grid_cqzdsc3v.xlsx</x:v>
      </x:c>
    </x:row>
    <x:row r="8969">
      <x:c r="A8969" s="15" t="n">
        <x:v>44440</x:v>
      </x:c>
      <x:c r="B8969" s="13" t="str">
        <x:v>AZUL SA</x:v>
      </x:c>
      <x:c r="C8969" s="16" t="n">
        <x:v>-1018.4774802411</x:v>
      </x:c>
      <x:c r="D8969" s="13" t="str">
        <x:v>Transportation</x:v>
      </x:c>
      <x:c r="E8969" s="13" t="str">
        <x:v>Transportation</x:v>
      </x:c>
      <x:c r="F8969" s="13" t="str">
        <x:v>Deep Cyclicals</x:v>
      </x:c>
      <x:c r="G8969" s="13" t="str">
        <x:v>grid_cqzdsc3v.xlsx</x:v>
      </x:c>
    </x:row>
    <x:row r="8970">
      <x:c r="A8970" s="15" t="n">
        <x:v>44440</x:v>
      </x:c>
      <x:c r="B8970" s="13" t="str">
        <x:v>CIA DE LOCACAO DAS AMERICAS</x:v>
      </x:c>
      <x:c r="C8970" s="16" t="n">
        <x:v>932.4942465753</x:v>
      </x:c>
      <x:c r="D8970" s="13" t="str">
        <x:v>Transportation</x:v>
      </x:c>
      <x:c r="E8970" s="13" t="str">
        <x:v>Transportation</x:v>
      </x:c>
      <x:c r="F8970" s="13" t="str">
        <x:v>Deep Cyclicals</x:v>
      </x:c>
      <x:c r="G8970" s="13" t="str">
        <x:v>grid_cqzdsc3v.xlsx</x:v>
      </x:c>
    </x:row>
    <x:row r="8971">
      <x:c r="A8971" s="15" t="n">
        <x:v>44440</x:v>
      </x:c>
      <x:c r="B8971" s="13" t="str">
        <x:v>ECORODOVIAS INFRA E LOG SA</x:v>
      </x:c>
      <x:c r="C8971" s="16" t="n">
        <x:v>245.0469589041</x:v>
      </x:c>
      <x:c r="D8971" s="13" t="str">
        <x:v>Transportation</x:v>
      </x:c>
      <x:c r="E8971" s="13" t="str">
        <x:v>Transportation</x:v>
      </x:c>
      <x:c r="F8971" s="13" t="str">
        <x:v>Deep Cyclicals</x:v>
      </x:c>
      <x:c r="G8971" s="13" t="str">
        <x:v>grid_cqzdsc3v.xlsx</x:v>
      </x:c>
    </x:row>
    <x:row r="8972">
      <x:c r="A8972" s="15" t="n">
        <x:v>44440</x:v>
      </x:c>
      <x:c r="B8972" s="13" t="str">
        <x:v>GOL LINHAS AEREAS INT SA-PRE</x:v>
      </x:c>
      <x:c r="C8972" s="16" t="n">
        <x:v>-849.0927039123</x:v>
      </x:c>
      <x:c r="D8972" s="13" t="str">
        <x:v>Transportation</x:v>
      </x:c>
      <x:c r="E8972" s="13" t="str">
        <x:v>Transportation</x:v>
      </x:c>
      <x:c r="F8972" s="13" t="str">
        <x:v>Deep Cyclicals</x:v>
      </x:c>
      <x:c r="G8972" s="13" t="str">
        <x:v>grid_cqzdsc3v.xlsx</x:v>
      </x:c>
    </x:row>
    <x:row r="8973">
      <x:c r="A8973" s="15" t="n">
        <x:v>44440</x:v>
      </x:c>
      <x:c r="B8973" s="13" t="str">
        <x:v>LOCALIZA RENT A CAR</x:v>
      </x:c>
      <x:c r="C8973" s="16" t="n">
        <x:v>1758.1071479233</x:v>
      </x:c>
      <x:c r="D8973" s="13" t="str">
        <x:v>Transportation</x:v>
      </x:c>
      <x:c r="E8973" s="13" t="str">
        <x:v>Transportation</x:v>
      </x:c>
      <x:c r="F8973" s="13" t="str">
        <x:v>Deep Cyclicals</x:v>
      </x:c>
      <x:c r="G8973" s="13" t="str">
        <x:v>grid_cqzdsc3v.xlsx</x:v>
      </x:c>
    </x:row>
    <x:row r="8974">
      <x:c r="A8974" s="15" t="n">
        <x:v>44440</x:v>
      </x:c>
      <x:c r="B8974" s="13" t="str">
        <x:v>MOTIVA INFRAESTRUTURA DE MOB</x:v>
      </x:c>
      <x:c r="C8974" s="16" t="n">
        <x:v>1152.324120548</x:v>
      </x:c>
      <x:c r="D8974" s="13" t="str">
        <x:v>Transportation</x:v>
      </x:c>
      <x:c r="E8974" s="13" t="str">
        <x:v>Transportation</x:v>
      </x:c>
      <x:c r="F8974" s="13" t="str">
        <x:v>Deep Cyclicals</x:v>
      </x:c>
      <x:c r="G8974" s="13" t="str">
        <x:v>grid_cqzdsc3v.xlsx</x:v>
      </x:c>
    </x:row>
    <x:row r="8975">
      <x:c r="A8975" s="15" t="n">
        <x:v>44440</x:v>
      </x:c>
      <x:c r="B8975" s="13" t="str">
        <x:v>RUMO SA</x:v>
      </x:c>
      <x:c r="C8975" s="16" t="n">
        <x:v>1164.5024024548</x:v>
      </x:c>
      <x:c r="D8975" s="13" t="str">
        <x:v>Transportation</x:v>
      </x:c>
      <x:c r="E8975" s="13" t="str">
        <x:v>Transportation</x:v>
      </x:c>
      <x:c r="F8975" s="13" t="str">
        <x:v>Deep Cyclicals</x:v>
      </x:c>
      <x:c r="G8975" s="13" t="str">
        <x:v>grid_cqzdsc3v.xlsx</x:v>
      </x:c>
    </x:row>
    <x:row r="8976">
      <x:c r="A8976" s="15" t="n">
        <x:v>44440</x:v>
      </x:c>
      <x:c r="B8976" s="13" t="str">
        <x:v>AXIA ENERGIA SA</x:v>
      </x:c>
      <x:c r="C8976" s="16" t="n">
        <x:v>9536.8885121753</x:v>
      </x:c>
      <x:c r="D8976" s="13" t="str">
        <x:v>Utilities &amp; Energy</x:v>
      </x:c>
      <x:c r="E8976" s="13" t="str">
        <x:v>Utilities</x:v>
      </x:c>
      <x:c r="F8976" s="13" t="str">
        <x:v>Defensives</x:v>
      </x:c>
      <x:c r="G8976" s="13" t="str">
        <x:v>grid_cqzdsc3v.xlsx</x:v>
      </x:c>
    </x:row>
    <x:row r="8977">
      <x:c r="A8977" s="15" t="n">
        <x:v>44440</x:v>
      </x:c>
      <x:c r="B8977" s="13" t="str">
        <x:v>AXIA ENERGIA-PR B</x:v>
      </x:c>
      <x:c r="C8977" s="16" t="n">
        <x:v>9536.8885121753</x:v>
      </x:c>
      <x:c r="D8977" s="13" t="str">
        <x:v>Utilities &amp; Energy</x:v>
      </x:c>
      <x:c r="E8977" s="13" t="str">
        <x:v>Utilities</x:v>
      </x:c>
      <x:c r="F8977" s="13" t="str">
        <x:v>Defensives</x:v>
      </x:c>
      <x:c r="G8977" s="13" t="str">
        <x:v>grid_cqzdsc3v.xlsx</x:v>
      </x:c>
    </x:row>
    <x:row r="8978">
      <x:c r="A8978" s="15" t="n">
        <x:v>44440</x:v>
      </x:c>
      <x:c r="B8978" s="13" t="str">
        <x:v>CIA ENERGETICA MINAS GER-PRF</x:v>
      </x:c>
      <x:c r="C8978" s="16" t="n">
        <x:v>2947.8534768219</x:v>
      </x:c>
      <x:c r="D8978" s="13" t="str">
        <x:v>Utilities &amp; Energy</x:v>
      </x:c>
      <x:c r="E8978" s="13" t="str">
        <x:v>Utilities</x:v>
      </x:c>
      <x:c r="F8978" s="13" t="str">
        <x:v>Defensives</x:v>
      </x:c>
      <x:c r="G8978" s="13" t="str">
        <x:v>grid_cqzdsc3v.xlsx</x:v>
      </x:c>
    </x:row>
    <x:row r="8979">
      <x:c r="A8979" s="15" t="n">
        <x:v>44440</x:v>
      </x:c>
      <x:c r="B8979" s="13" t="str">
        <x:v>COMPANHIA PARANAENSE -PREF B</x:v>
      </x:c>
      <x:c r="C8979" s="16" t="n">
        <x:v>2277.5561482521</x:v>
      </x:c>
      <x:c r="D8979" s="13" t="str">
        <x:v>Utilities &amp; Energy</x:v>
      </x:c>
      <x:c r="E8979" s="13" t="str">
        <x:v>Utilities</x:v>
      </x:c>
      <x:c r="F8979" s="13" t="str">
        <x:v>Defensives</x:v>
      </x:c>
      <x:c r="G8979" s="13" t="str">
        <x:v>grid_cqzdsc3v.xlsx</x:v>
      </x:c>
    </x:row>
    <x:row r="8980">
      <x:c r="A8980" s="15" t="n">
        <x:v>44440</x:v>
      </x:c>
      <x:c r="B8980" s="13" t="str">
        <x:v>CPFL ENERGIA SA</x:v>
      </x:c>
      <x:c r="C8980" s="16" t="n">
        <x:v>4038.6606935671</x:v>
      </x:c>
      <x:c r="D8980" s="13" t="str">
        <x:v>Utilities &amp; Energy</x:v>
      </x:c>
      <x:c r="E8980" s="13" t="str">
        <x:v>Utilities</x:v>
      </x:c>
      <x:c r="F8980" s="13" t="str">
        <x:v>Defensives</x:v>
      </x:c>
      <x:c r="G8980" s="13" t="str">
        <x:v>grid_cqzdsc3v.xlsx</x:v>
      </x:c>
    </x:row>
    <x:row r="8981">
      <x:c r="A8981" s="15" t="n">
        <x:v>44440</x:v>
      </x:c>
      <x:c r="B8981" s="13" t="str">
        <x:v>EDP - ENERGIAS DO BRASIL SA</x:v>
      </x:c>
      <x:c r="C8981" s="16" t="n">
        <x:v>1428.9157414575</x:v>
      </x:c>
      <x:c r="D8981" s="13" t="str">
        <x:v>Utilities &amp; Energy</x:v>
      </x:c>
      <x:c r="E8981" s="13" t="str">
        <x:v>Utilities</x:v>
      </x:c>
      <x:c r="F8981" s="13" t="str">
        <x:v>Defensives</x:v>
      </x:c>
      <x:c r="G8981" s="13" t="str">
        <x:v>grid_cqzdsc3v.xlsx</x:v>
      </x:c>
    </x:row>
    <x:row r="8982">
      <x:c r="A8982" s="15" t="n">
        <x:v>44440</x:v>
      </x:c>
      <x:c r="B8982" s="13" t="str">
        <x:v>ENERGISA SA-UNITS</x:v>
      </x:c>
      <x:c r="C8982" s="16" t="n">
        <x:v>1643.4716444055</x:v>
      </x:c>
      <x:c r="D8982" s="13" t="str">
        <x:v>Utilities &amp; Energy</x:v>
      </x:c>
      <x:c r="E8982" s="13" t="str">
        <x:v>Utilities</x:v>
      </x:c>
      <x:c r="F8982" s="13" t="str">
        <x:v>Defensives</x:v>
      </x:c>
      <x:c r="G8982" s="13" t="str">
        <x:v>grid_cqzdsc3v.xlsx</x:v>
      </x:c>
    </x:row>
    <x:row r="8983">
      <x:c r="A8983" s="15" t="n">
        <x:v>44440</x:v>
      </x:c>
      <x:c r="B8983" s="13" t="str">
        <x:v>ENEVA SA</x:v>
      </x:c>
      <x:c r="C8983" s="16" t="n">
        <x:v>1299.1205958137</x:v>
      </x:c>
      <x:c r="D8983" s="13" t="str">
        <x:v>Utilities &amp; Energy</x:v>
      </x:c>
      <x:c r="E8983" s="13" t="str">
        <x:v>Utilities</x:v>
      </x:c>
      <x:c r="F8983" s="13" t="str">
        <x:v>Defensives</x:v>
      </x:c>
      <x:c r="G8983" s="13" t="str">
        <x:v>grid_cqzdsc3v.xlsx</x:v>
      </x:c>
    </x:row>
    <x:row r="8984">
      <x:c r="A8984" s="15" t="n">
        <x:v>44440</x:v>
      </x:c>
      <x:c r="B8984" s="13" t="str">
        <x:v>ENGIE BRASIL ENERGIA SA</x:v>
      </x:c>
      <x:c r="C8984" s="16" t="n">
        <x:v>3237.6390648986</x:v>
      </x:c>
      <x:c r="D8984" s="13" t="str">
        <x:v>Utilities &amp; Energy</x:v>
      </x:c>
      <x:c r="E8984" s="13" t="str">
        <x:v>Utilities</x:v>
      </x:c>
      <x:c r="F8984" s="13" t="str">
        <x:v>Defensives</x:v>
      </x:c>
      <x:c r="G8984" s="13" t="str">
        <x:v>grid_cqzdsc3v.xlsx</x:v>
      </x:c>
    </x:row>
    <x:row r="8985">
      <x:c r="A8985" s="15" t="n">
        <x:v>44440</x:v>
      </x:c>
      <x:c r="B8985" s="13" t="str">
        <x:v>EQUATORIAL SA - ORD</x:v>
      </x:c>
      <x:c r="C8985" s="16" t="n">
        <x:v>2410.5056087671</x:v>
      </x:c>
      <x:c r="D8985" s="13" t="str">
        <x:v>Utilities &amp; Energy</x:v>
      </x:c>
      <x:c r="E8985" s="13" t="str">
        <x:v>Utilities</x:v>
      </x:c>
      <x:c r="F8985" s="13" t="str">
        <x:v>Defensives</x:v>
      </x:c>
      <x:c r="G8985" s="13" t="str">
        <x:v>grid_cqzdsc3v.xlsx</x:v>
      </x:c>
    </x:row>
    <x:row r="8986">
      <x:c r="A8986" s="15" t="n">
        <x:v>44440</x:v>
      </x:c>
      <x:c r="B8986" s="13" t="str">
        <x:v>TRANSMISSORA ALIANCA DE-UNIT</x:v>
      </x:c>
      <x:c r="C8986" s="16" t="n">
        <x:v>1291.683256811</x:v>
      </x:c>
      <x:c r="D8986" s="13" t="str">
        <x:v>Utilities &amp; Energy</x:v>
      </x:c>
      <x:c r="E8986" s="13" t="str">
        <x:v>Utilities</x:v>
      </x:c>
      <x:c r="F8986" s="13" t="str">
        <x:v>Defensives</x:v>
      </x:c>
      <x:c r="G8986" s="13" t="str">
        <x:v>grid_cqzdsc3v.xlsx</x:v>
      </x:c>
    </x:row>
    <x:row r="8987">
      <x:c r="A8987" s="15" t="n">
        <x:v>44470</x:v>
      </x:c>
      <x:c r="B8987" s="13" t="str">
        <x:v>BANCO BRADESCO S.A.</x:v>
      </x:c>
      <x:c r="C8987" s="16" t="n">
        <x:v>28254.2253939726</x:v>
      </x:c>
      <x:c r="D8987" s="13" t="str">
        <x:v>Banks</x:v>
      </x:c>
      <x:c r="E8987" s="13" t="str">
        <x:v>Banks</x:v>
      </x:c>
      <x:c r="F8987" s="13" t="str">
        <x:v>Financials</x:v>
      </x:c>
      <x:c r="G8987" s="13" t="str">
        <x:v>grid_cqzdsc3v.xlsx</x:v>
      </x:c>
    </x:row>
    <x:row r="8988">
      <x:c r="A8988" s="15" t="n">
        <x:v>44470</x:v>
      </x:c>
      <x:c r="B8988" s="13" t="str">
        <x:v>BANCO BRADESCO SA-PREF</x:v>
      </x:c>
      <x:c r="C8988" s="16" t="n">
        <x:v>28254.2253939726</x:v>
      </x:c>
      <x:c r="D8988" s="13" t="str">
        <x:v>Banks</x:v>
      </x:c>
      <x:c r="E8988" s="13" t="str">
        <x:v>Banks</x:v>
      </x:c>
      <x:c r="F8988" s="13" t="str">
        <x:v>Financials</x:v>
      </x:c>
      <x:c r="G8988" s="13" t="str">
        <x:v>grid_cqzdsc3v.xlsx</x:v>
      </x:c>
    </x:row>
    <x:row r="8989">
      <x:c r="A8989" s="15" t="n">
        <x:v>44470</x:v>
      </x:c>
      <x:c r="B8989" s="13" t="str">
        <x:v>BANCO BTG PACTUAL SA-UNIT</x:v>
      </x:c>
      <x:c r="C8989" s="16" t="n">
        <x:v>7006.8175184658</x:v>
      </x:c>
      <x:c r="D8989" s="13" t="str">
        <x:v>Banks</x:v>
      </x:c>
      <x:c r="E8989" s="13" t="str">
        <x:v>Banks</x:v>
      </x:c>
      <x:c r="F8989" s="13" t="str">
        <x:v>Financials</x:v>
      </x:c>
      <x:c r="G8989" s="13" t="str">
        <x:v>grid_cqzdsc3v.xlsx</x:v>
      </x:c>
    </x:row>
    <x:row r="8990">
      <x:c r="A8990" s="15" t="n">
        <x:v>44470</x:v>
      </x:c>
      <x:c r="B8990" s="13" t="str">
        <x:v>BANCO DO BRASIL S.A.</x:v>
      </x:c>
      <x:c r="C8990" s="16" t="n">
        <x:v>19719.9420149479</x:v>
      </x:c>
      <x:c r="D8990" s="13" t="str">
        <x:v>Banks</x:v>
      </x:c>
      <x:c r="E8990" s="13" t="str">
        <x:v>Banks</x:v>
      </x:c>
      <x:c r="F8990" s="13" t="str">
        <x:v>Financials</x:v>
      </x:c>
      <x:c r="G8990" s="13" t="str">
        <x:v>grid_cqzdsc3v.xlsx</x:v>
      </x:c>
    </x:row>
    <x:row r="8991">
      <x:c r="A8991" s="15" t="n">
        <x:v>44470</x:v>
      </x:c>
      <x:c r="B8991" s="13" t="str">
        <x:v>BANCO INTER SA</x:v>
      </x:c>
      <x:c r="C8991" s="16" t="n">
        <x:v>381.8547880767</x:v>
      </x:c>
      <x:c r="D8991" s="13" t="str">
        <x:v>Banks</x:v>
      </x:c>
      <x:c r="E8991" s="13" t="str">
        <x:v>Banks</x:v>
      </x:c>
      <x:c r="F8991" s="13" t="str">
        <x:v>Financials</x:v>
      </x:c>
      <x:c r="G8991" s="13" t="str">
        <x:v>grid_cqzdsc3v.xlsx</x:v>
      </x:c>
    </x:row>
    <x:row r="8992">
      <x:c r="A8992" s="15" t="n">
        <x:v>44470</x:v>
      </x:c>
      <x:c r="B8992" s="13" t="str">
        <x:v>BANCO PAN SA</x:v>
      </x:c>
      <x:c r="C8992" s="16" t="n">
        <x:v>1058.1379370082</x:v>
      </x:c>
      <x:c r="D8992" s="13" t="str">
        <x:v>Banks</x:v>
      </x:c>
      <x:c r="E8992" s="13" t="str">
        <x:v>Banks</x:v>
      </x:c>
      <x:c r="F8992" s="13" t="str">
        <x:v>Financials</x:v>
      </x:c>
      <x:c r="G8992" s="13" t="str">
        <x:v>grid_cqzdsc3v.xlsx</x:v>
      </x:c>
    </x:row>
    <x:row r="8993">
      <x:c r="A8993" s="15" t="n">
        <x:v>44470</x:v>
      </x:c>
      <x:c r="B8993" s="13" t="str">
        <x:v>BANCO SANTANDER  BRASIL-UNIT</x:v>
      </x:c>
      <x:c r="C8993" s="16" t="n">
        <x:v>16729.1116726356</x:v>
      </x:c>
      <x:c r="D8993" s="13" t="str">
        <x:v>Banks</x:v>
      </x:c>
      <x:c r="E8993" s="13" t="str">
        <x:v>Banks</x:v>
      </x:c>
      <x:c r="F8993" s="13" t="str">
        <x:v>Financials</x:v>
      </x:c>
      <x:c r="G8993" s="13" t="str">
        <x:v>grid_cqzdsc3v.xlsx</x:v>
      </x:c>
    </x:row>
    <x:row r="8994">
      <x:c r="A8994" s="15" t="n">
        <x:v>44470</x:v>
      </x:c>
      <x:c r="B8994" s="13" t="str">
        <x:v>INTER &amp; CO INC/BRAZIL</x:v>
      </x:c>
      <x:c r="C8994" s="16" t="n">
        <x:v>210.5761643836</x:v>
      </x:c>
      <x:c r="D8994" s="13" t="str">
        <x:v>Banks</x:v>
      </x:c>
      <x:c r="E8994" s="13" t="str">
        <x:v>Banks</x:v>
      </x:c>
      <x:c r="F8994" s="13" t="str">
        <x:v>Financials</x:v>
      </x:c>
      <x:c r="G8994" s="13" t="str">
        <x:v>grid_cqzdsc3v.xlsx</x:v>
      </x:c>
    </x:row>
    <x:row r="8995">
      <x:c r="A8995" s="15" t="n">
        <x:v>44470</x:v>
      </x:c>
      <x:c r="B8995" s="13" t="str">
        <x:v>ITAU UNIBANCO HOLDING S-PREF</x:v>
      </x:c>
      <x:c r="C8995" s="16" t="n">
        <x:v>28326.956652011</x:v>
      </x:c>
      <x:c r="D8995" s="13" t="str">
        <x:v>Banks</x:v>
      </x:c>
      <x:c r="E8995" s="13" t="str">
        <x:v>Banks</x:v>
      </x:c>
      <x:c r="F8995" s="13" t="str">
        <x:v>Financials</x:v>
      </x:c>
      <x:c r="G8995" s="13" t="str">
        <x:v>grid_cqzdsc3v.xlsx</x:v>
      </x:c>
    </x:row>
    <x:row r="8996">
      <x:c r="A8996" s="15" t="n">
        <x:v>44470</x:v>
      </x:c>
      <x:c r="B8996" s="13" t="str">
        <x:v>EMBRAER SA</x:v>
      </x:c>
      <x:c r="C8996" s="16" t="n">
        <x:v>215.9828767123</x:v>
      </x:c>
      <x:c r="D8996" s="13" t="str">
        <x:v>Capital Goods</x:v>
      </x:c>
      <x:c r="E8996" s="13" t="str">
        <x:v>Capital Goods</x:v>
      </x:c>
      <x:c r="F8996" s="13" t="str">
        <x:v>Deep Cyclicals</x:v>
      </x:c>
      <x:c r="G8996" s="13" t="str">
        <x:v>grid_cqzdsc3v.xlsx</x:v>
      </x:c>
    </x:row>
    <x:row r="8997">
      <x:c r="A8997" s="15" t="n">
        <x:v>44470</x:v>
      </x:c>
      <x:c r="B8997" s="13" t="str">
        <x:v>WEG SA</x:v>
      </x:c>
      <x:c r="C8997" s="16" t="n">
        <x:v>3516.1650870356</x:v>
      </x:c>
      <x:c r="D8997" s="13" t="str">
        <x:v>Capital Goods</x:v>
      </x:c>
      <x:c r="E8997" s="13" t="str">
        <x:v>Capital Goods</x:v>
      </x:c>
      <x:c r="F8997" s="13" t="str">
        <x:v>Deep Cyclicals</x:v>
      </x:c>
      <x:c r="G8997" s="13" t="str">
        <x:v>grid_cqzdsc3v.xlsx</x:v>
      </x:c>
    </x:row>
    <x:row r="8998">
      <x:c r="A8998" s="15" t="n">
        <x:v>44470</x:v>
      </x:c>
      <x:c r="B8998" s="13" t="str">
        <x:v>COGNA EDUCACAO</x:v>
      </x:c>
      <x:c r="C8998" s="16" t="n">
        <x:v>-37.8576986301</x:v>
      </x:c>
      <x:c r="D8998" s="13" t="str">
        <x:v>Education</x:v>
      </x:c>
      <x:c r="E8998" s="13" t="str">
        <x:v>Education</x:v>
      </x:c>
      <x:c r="F8998" s="13" t="str">
        <x:v>Early Cyclicals</x:v>
      </x:c>
      <x:c r="G8998" s="13" t="str">
        <x:v>grid_cqzdsc3v.xlsx</x:v>
      </x:c>
    </x:row>
    <x:row r="8999">
      <x:c r="A8999" s="15" t="n">
        <x:v>44470</x:v>
      </x:c>
      <x:c r="B8999" s="13" t="str">
        <x:v>YDUQS PARTICIPACOES SA</x:v>
      </x:c>
      <x:c r="C8999" s="16" t="n">
        <x:v>545.3717940603</x:v>
      </x:c>
      <x:c r="D8999" s="13" t="str">
        <x:v>Education</x:v>
      </x:c>
      <x:c r="E8999" s="13" t="str">
        <x:v>Education</x:v>
      </x:c>
      <x:c r="F8999" s="13" t="str">
        <x:v>Early Cyclicals</x:v>
      </x:c>
      <x:c r="G8999" s="13" t="str">
        <x:v>grid_cqzdsc3v.xlsx</x:v>
      </x:c>
    </x:row>
    <x:row r="9000">
      <x:c r="A9000" s="15" t="n">
        <x:v>44470</x:v>
      </x:c>
      <x:c r="B9000" s="13" t="str">
        <x:v>B3 SA-BRASIL BOLSA BALCAO</x:v>
      </x:c>
      <x:c r="C9000" s="16" t="n">
        <x:v>5517.510559211</x:v>
      </x:c>
      <x:c r="D9000" s="13" t="str">
        <x:v>Financials Non-Banks</x:v>
      </x:c>
      <x:c r="E9000" s="13" t="str">
        <x:v>Financials Non-Banks</x:v>
      </x:c>
      <x:c r="F9000" s="13" t="str">
        <x:v>Financials</x:v>
      </x:c>
      <x:c r="G9000" s="13" t="str">
        <x:v>grid_cqzdsc3v.xlsx</x:v>
      </x:c>
    </x:row>
    <x:row r="9001">
      <x:c r="A9001" s="15" t="n">
        <x:v>44470</x:v>
      </x:c>
      <x:c r="B9001" s="13" t="str">
        <x:v>BB SEGURIDADE PARTICIPACOES</x:v>
      </x:c>
      <x:c r="C9001" s="16" t="n">
        <x:v>4728.6927836931</x:v>
      </x:c>
      <x:c r="D9001" s="13" t="str">
        <x:v>Financials Non-Banks</x:v>
      </x:c>
      <x:c r="E9001" s="13" t="str">
        <x:v>Financials Non-Banks</x:v>
      </x:c>
      <x:c r="F9001" s="13" t="str">
        <x:v>Financials</x:v>
      </x:c>
      <x:c r="G9001" s="13" t="str">
        <x:v>grid_cqzdsc3v.xlsx</x:v>
      </x:c>
    </x:row>
    <x:row r="9002">
      <x:c r="A9002" s="15" t="n">
        <x:v>44470</x:v>
      </x:c>
      <x:c r="B9002" s="13" t="str">
        <x:v>CIELO SA</x:v>
      </x:c>
      <x:c r="C9002" s="16" t="n">
        <x:v>892.6965116493</x:v>
      </x:c>
      <x:c r="D9002" s="13" t="str">
        <x:v>Financials Non-Banks</x:v>
      </x:c>
      <x:c r="E9002" s="13" t="str">
        <x:v>Financials Non-Banks</x:v>
      </x:c>
      <x:c r="F9002" s="13" t="str">
        <x:v>Financials</x:v>
      </x:c>
      <x:c r="G9002" s="13" t="str">
        <x:v>Ibovespa_earnings_consolidated.xlsx</x:v>
      </x:c>
    </x:row>
    <x:row r="9003">
      <x:c r="A9003" s="15" t="n">
        <x:v>44470</x:v>
      </x:c>
      <x:c r="B9003" s="13" t="str">
        <x:v>CIELO SA - INSTITUICAO DE PA</x:v>
      </x:c>
      <x:c r="C9003" s="16" t="n">
        <x:v>892.6965116493</x:v>
      </x:c>
      <x:c r="D9003" s="13" t="str">
        <x:v>Financials Non-Banks</x:v>
      </x:c>
      <x:c r="E9003" s="13" t="str">
        <x:v>Financials Non-Banks</x:v>
      </x:c>
      <x:c r="F9003" s="13" t="str">
        <x:v>Financials</x:v>
      </x:c>
      <x:c r="G9003" s="13" t="str">
        <x:v>grid_cqzdsc3v.xlsx</x:v>
      </x:c>
    </x:row>
    <x:row r="9004">
      <x:c r="A9004" s="15" t="n">
        <x:v>44470</x:v>
      </x:c>
      <x:c r="B9004" s="13" t="str">
        <x:v>GETNET ADQUIRENCIA E SERVICO</x:v>
      </x:c>
      <x:c r="C9004" s="16" t="n">
        <x:v>531.3534246575</x:v>
      </x:c>
      <x:c r="D9004" s="13" t="str">
        <x:v>Financials Non-Banks</x:v>
      </x:c>
      <x:c r="E9004" s="13" t="str">
        <x:v>Financials Non-Banks</x:v>
      </x:c>
      <x:c r="F9004" s="13" t="str">
        <x:v>Financials</x:v>
      </x:c>
      <x:c r="G9004" s="13" t="str">
        <x:v>grid_cqzdsc3v.xlsx</x:v>
      </x:c>
    </x:row>
    <x:row r="9005">
      <x:c r="A9005" s="15" t="n">
        <x:v>44470</x:v>
      </x:c>
      <x:c r="B9005" s="13" t="str">
        <x:v>IRB BRASIL RESSEGUROS SA</x:v>
      </x:c>
      <x:c r="C9005" s="16" t="n">
        <x:v>400.5833816877</x:v>
      </x:c>
      <x:c r="D9005" s="13" t="str">
        <x:v>Financials Non-Banks</x:v>
      </x:c>
      <x:c r="E9005" s="13" t="str">
        <x:v>Financials Non-Banks</x:v>
      </x:c>
      <x:c r="F9005" s="13" t="str">
        <x:v>Financials</x:v>
      </x:c>
      <x:c r="G9005" s="13" t="str">
        <x:v>grid_cqzdsc3v.xlsx</x:v>
      </x:c>
    </x:row>
    <x:row r="9006">
      <x:c r="A9006" s="15" t="n">
        <x:v>44470</x:v>
      </x:c>
      <x:c r="B9006" s="13" t="str">
        <x:v>MELIUZ SA - ON</x:v>
      </x:c>
      <x:c r="C9006" s="16" t="n">
        <x:v>9.0287646575</x:v>
      </x:c>
      <x:c r="D9006" s="13" t="str">
        <x:v>Financials Non-Banks</x:v>
      </x:c>
      <x:c r="E9006" s="13" t="str">
        <x:v>Financials Non-Banks</x:v>
      </x:c>
      <x:c r="F9006" s="13" t="str">
        <x:v>Financials</x:v>
      </x:c>
      <x:c r="G9006" s="13" t="str">
        <x:v>grid_cqzdsc3v.xlsx</x:v>
      </x:c>
    </x:row>
    <x:row r="9007">
      <x:c r="A9007" s="15" t="n">
        <x:v>44470</x:v>
      </x:c>
      <x:c r="B9007" s="13" t="str">
        <x:v>AMBEV SA</x:v>
      </x:c>
      <x:c r="C9007" s="16" t="n">
        <x:v>12052.6713645589</x:v>
      </x:c>
      <x:c r="D9007" s="13" t="str">
        <x:v>Food &amp; Beverages</x:v>
      </x:c>
      <x:c r="E9007" s="13" t="str">
        <x:v>Agri, Food &amp; Beverages</x:v>
      </x:c>
      <x:c r="F9007" s="13" t="str">
        <x:v>Defensives</x:v>
      </x:c>
      <x:c r="G9007" s="13" t="str">
        <x:v>grid_cqzdsc3v.xlsx</x:v>
      </x:c>
    </x:row>
    <x:row r="9008">
      <x:c r="A9008" s="15" t="n">
        <x:v>44470</x:v>
      </x:c>
      <x:c r="B9008" s="13" t="str">
        <x:v>BRF SA</x:v>
      </x:c>
      <x:c r="C9008" s="16" t="n">
        <x:v>955.0073273863</x:v>
      </x:c>
      <x:c r="D9008" s="13" t="str">
        <x:v>Food &amp; Beverages</x:v>
      </x:c>
      <x:c r="E9008" s="13" t="str">
        <x:v>Agri, Food &amp; Beverages</x:v>
      </x:c>
      <x:c r="F9008" s="13" t="str">
        <x:v>Defensives</x:v>
      </x:c>
      <x:c r="G9008" s="13" t="str">
        <x:v>grid_cqzdsc3v.xlsx</x:v>
      </x:c>
    </x:row>
    <x:row r="9009">
      <x:c r="A9009" s="15" t="n">
        <x:v>44470</x:v>
      </x:c>
      <x:c r="B9009" s="13" t="str">
        <x:v>JBS SA</x:v>
      </x:c>
      <x:c r="C9009" s="16" t="n">
        <x:v>13231.0627173699</x:v>
      </x:c>
      <x:c r="D9009" s="13" t="str">
        <x:v>Food &amp; Beverages</x:v>
      </x:c>
      <x:c r="E9009" s="13" t="str">
        <x:v>Agri, Food &amp; Beverages</x:v>
      </x:c>
      <x:c r="F9009" s="13" t="str">
        <x:v>Defensives</x:v>
      </x:c>
      <x:c r="G9009" s="13" t="str">
        <x:v>grid_cqzdsc3v.xlsx</x:v>
      </x:c>
    </x:row>
    <x:row r="9010">
      <x:c r="A9010" s="15" t="n">
        <x:v>44470</x:v>
      </x:c>
      <x:c r="B9010" s="13" t="str">
        <x:v>MBRF GLOBAL FOODS COMPANY SA</x:v>
      </x:c>
      <x:c r="C9010" s="16" t="n">
        <x:v>2906.071929337</x:v>
      </x:c>
      <x:c r="D9010" s="13" t="str">
        <x:v>Food &amp; Beverages</x:v>
      </x:c>
      <x:c r="E9010" s="13" t="str">
        <x:v>Agri, Food &amp; Beverages</x:v>
      </x:c>
      <x:c r="F9010" s="13" t="str">
        <x:v>Defensives</x:v>
      </x:c>
      <x:c r="G9010" s="13" t="str">
        <x:v>grid_cqzdsc3v.xlsx</x:v>
      </x:c>
    </x:row>
    <x:row r="9011">
      <x:c r="A9011" s="15" t="n">
        <x:v>44470</x:v>
      </x:c>
      <x:c r="B9011" s="13" t="str">
        <x:v>MINERVA SA</x:v>
      </x:c>
      <x:c r="C9011" s="16" t="n">
        <x:v>753.6965593425</x:v>
      </x:c>
      <x:c r="D9011" s="13" t="str">
        <x:v>Food &amp; Beverages</x:v>
      </x:c>
      <x:c r="E9011" s="13" t="str">
        <x:v>Agri, Food &amp; Beverages</x:v>
      </x:c>
      <x:c r="F9011" s="13" t="str">
        <x:v>Defensives</x:v>
      </x:c>
      <x:c r="G9011" s="13" t="str">
        <x:v>grid_cqzdsc3v.xlsx</x:v>
      </x:c>
    </x:row>
    <x:row r="9012">
      <x:c r="A9012" s="15" t="n">
        <x:v>44470</x:v>
      </x:c>
      <x:c r="B9012" s="13" t="str">
        <x:v>FLEURY SA</x:v>
      </x:c>
      <x:c r="C9012" s="16" t="n">
        <x:v>376.0657534247</x:v>
      </x:c>
      <x:c r="D9012" s="13" t="str">
        <x:v>Health Care</x:v>
      </x:c>
      <x:c r="E9012" s="13" t="str">
        <x:v>Health Care</x:v>
      </x:c>
      <x:c r="F9012" s="13" t="str">
        <x:v>Defensives</x:v>
      </x:c>
      <x:c r="G9012" s="13" t="str">
        <x:v>grid_cqzdsc3v.xlsx</x:v>
      </x:c>
    </x:row>
    <x:row r="9013">
      <x:c r="A9013" s="15" t="n">
        <x:v>44470</x:v>
      </x:c>
      <x:c r="B9013" s="13" t="str">
        <x:v>HAPVIDA PARTICIPACOES E INVE</x:v>
      </x:c>
      <x:c r="C9013" s="16" t="n">
        <x:v>1491.7983561644</x:v>
      </x:c>
      <x:c r="D9013" s="13" t="str">
        <x:v>Health Care</x:v>
      </x:c>
      <x:c r="E9013" s="13" t="str">
        <x:v>Health Care</x:v>
      </x:c>
      <x:c r="F9013" s="13" t="str">
        <x:v>Defensives</x:v>
      </x:c>
      <x:c r="G9013" s="13" t="str">
        <x:v>grid_cqzdsc3v.xlsx</x:v>
      </x:c>
    </x:row>
    <x:row r="9014">
      <x:c r="A9014" s="15" t="n">
        <x:v>44470</x:v>
      </x:c>
      <x:c r="B9014" s="13" t="str">
        <x:v>HYPERA SA</x:v>
      </x:c>
      <x:c r="C9014" s="16" t="n">
        <x:v>1614.2169487781</x:v>
      </x:c>
      <x:c r="D9014" s="13" t="str">
        <x:v>Health Care</x:v>
      </x:c>
      <x:c r="E9014" s="13" t="str">
        <x:v>Health Care</x:v>
      </x:c>
      <x:c r="F9014" s="13" t="str">
        <x:v>Defensives</x:v>
      </x:c>
      <x:c r="G9014" s="13" t="str">
        <x:v>grid_cqzdsc3v.xlsx</x:v>
      </x:c>
    </x:row>
    <x:row r="9015">
      <x:c r="A9015" s="15" t="n">
        <x:v>44470</x:v>
      </x:c>
      <x:c r="B9015" s="13" t="str">
        <x:v>NOTRE DAME INTERMED PAR SA</x:v>
      </x:c>
      <x:c r="C9015" s="16" t="n">
        <x:v>1108.6431402082</x:v>
      </x:c>
      <x:c r="D9015" s="13" t="str">
        <x:v>Health Care</x:v>
      </x:c>
      <x:c r="E9015" s="13" t="str">
        <x:v>Health Care</x:v>
      </x:c>
      <x:c r="F9015" s="13" t="str">
        <x:v>Defensives</x:v>
      </x:c>
      <x:c r="G9015" s="13" t="str">
        <x:v>grid_cqzdsc3v.xlsx</x:v>
      </x:c>
    </x:row>
    <x:row r="9016">
      <x:c r="A9016" s="15" t="n">
        <x:v>44470</x:v>
      </x:c>
      <x:c r="B9016" s="13" t="str">
        <x:v>QUALICORP CONS E CORR SEG SA</x:v>
      </x:c>
      <x:c r="C9016" s="16" t="n">
        <x:v>433.389100011</x:v>
      </x:c>
      <x:c r="D9016" s="13" t="str">
        <x:v>Health Care</x:v>
      </x:c>
      <x:c r="E9016" s="13" t="str">
        <x:v>Health Care</x:v>
      </x:c>
      <x:c r="F9016" s="13" t="str">
        <x:v>Defensives</x:v>
      </x:c>
      <x:c r="G9016" s="13" t="str">
        <x:v>grid_cqzdsc3v.xlsx</x:v>
      </x:c>
    </x:row>
    <x:row r="9017">
      <x:c r="A9017" s="15" t="n">
        <x:v>44470</x:v>
      </x:c>
      <x:c r="B9017" s="13" t="str">
        <x:v>REDE D'OR SAO LUIZ SA</x:v>
      </x:c>
      <x:c r="C9017" s="16" t="n">
        <x:v>2762.8018972055</x:v>
      </x:c>
      <x:c r="D9017" s="13" t="str">
        <x:v>Health Care</x:v>
      </x:c>
      <x:c r="E9017" s="13" t="str">
        <x:v>Health Care</x:v>
      </x:c>
      <x:c r="F9017" s="13" t="str">
        <x:v>Defensives</x:v>
      </x:c>
      <x:c r="G9017" s="13" t="str">
        <x:v>grid_cqzdsc3v.xlsx</x:v>
      </x:c>
    </x:row>
    <x:row r="9018">
      <x:c r="A9018" s="15" t="n">
        <x:v>44470</x:v>
      </x:c>
      <x:c r="B9018" s="13" t="str">
        <x:v>SUL AMERICA SA - UNITS</x:v>
      </x:c>
      <x:c r="C9018" s="16" t="n">
        <x:v>967.3743388055</x:v>
      </x:c>
      <x:c r="D9018" s="13" t="str">
        <x:v>Health Care</x:v>
      </x:c>
      <x:c r="E9018" s="13" t="str">
        <x:v>Health Care</x:v>
      </x:c>
      <x:c r="F9018" s="13" t="str">
        <x:v>Defensives</x:v>
      </x:c>
      <x:c r="G9018" s="13" t="str">
        <x:v>grid_cqzdsc3v.xlsx</x:v>
      </x:c>
    </x:row>
    <x:row r="9019">
      <x:c r="A9019" s="15" t="n">
        <x:v>44470</x:v>
      </x:c>
      <x:c r="B9019" s="13" t="str">
        <x:v>CYRELA BRAZIL REALTY SA EMP</x:v>
      </x:c>
      <x:c r="C9019" s="16" t="n">
        <x:v>1054.184109589</x:v>
      </x:c>
      <x:c r="D9019" s="13" t="str">
        <x:v>Homebuilders</x:v>
      </x:c>
      <x:c r="E9019" s="13" t="str">
        <x:v>Real Estate</x:v>
      </x:c>
      <x:c r="F9019" s="13" t="str">
        <x:v>Early Cyclicals</x:v>
      </x:c>
      <x:c r="G9019" s="13" t="str">
        <x:v>grid_cqzdsc3v.xlsx</x:v>
      </x:c>
    </x:row>
    <x:row r="9020">
      <x:c r="A9020" s="15" t="n">
        <x:v>44470</x:v>
      </x:c>
      <x:c r="B9020" s="13" t="str">
        <x:v>EZ TEC EMPREENDIMENTOS E PAR</x:v>
      </x:c>
      <x:c r="C9020" s="16" t="n">
        <x:v>669.5989041096</x:v>
      </x:c>
      <x:c r="D9020" s="13" t="str">
        <x:v>Homebuilders</x:v>
      </x:c>
      <x:c r="E9020" s="13" t="str">
        <x:v>Real Estate</x:v>
      </x:c>
      <x:c r="F9020" s="13" t="str">
        <x:v>Early Cyclicals</x:v>
      </x:c>
      <x:c r="G9020" s="13" t="str">
        <x:v>grid_cqzdsc3v.xlsx</x:v>
      </x:c>
    </x:row>
    <x:row r="9021">
      <x:c r="A9021" s="15" t="n">
        <x:v>44470</x:v>
      </x:c>
      <x:c r="B9021" s="13" t="str">
        <x:v>MRV ENGENHARIA</x:v>
      </x:c>
      <x:c r="C9021" s="16" t="n">
        <x:v>746.6340134575</x:v>
      </x:c>
      <x:c r="D9021" s="13" t="str">
        <x:v>Homebuilders</x:v>
      </x:c>
      <x:c r="E9021" s="13" t="str">
        <x:v>Real Estate</x:v>
      </x:c>
      <x:c r="F9021" s="13" t="str">
        <x:v>Early Cyclicals</x:v>
      </x:c>
      <x:c r="G9021" s="13" t="str">
        <x:v>grid_cqzdsc3v.xlsx</x:v>
      </x:c>
    </x:row>
    <x:row r="9022">
      <x:c r="A9022" s="15" t="n">
        <x:v>44470</x:v>
      </x:c>
      <x:c r="B9022" s="13" t="str">
        <x:v>BR MALLS PARTICIPACOES SA</x:v>
      </x:c>
      <x:c r="C9022" s="16" t="n">
        <x:v>494.9075370082</x:v>
      </x:c>
      <x:c r="D9022" s="13" t="str">
        <x:v>Income Properties</x:v>
      </x:c>
      <x:c r="E9022" s="13" t="str">
        <x:v>Real Estate</x:v>
      </x:c>
      <x:c r="F9022" s="13" t="str">
        <x:v>Early Cyclicals</x:v>
      </x:c>
      <x:c r="G9022" s="13" t="str">
        <x:v>grid_cqzdsc3v.xlsx</x:v>
      </x:c>
    </x:row>
    <x:row r="9023">
      <x:c r="A9023" s="15" t="n">
        <x:v>44470</x:v>
      </x:c>
      <x:c r="B9023" s="13" t="str">
        <x:v>IGUATEMI EMP DE SHOPPING</x:v>
      </x:c>
      <x:c r="C9023" s="16" t="n">
        <x:v>248.0534246575</x:v>
      </x:c>
      <x:c r="D9023" s="13" t="str">
        <x:v>Income Properties</x:v>
      </x:c>
      <x:c r="E9023" s="13" t="str">
        <x:v>Real Estate</x:v>
      </x:c>
      <x:c r="F9023" s="13" t="str">
        <x:v>Early Cyclicals</x:v>
      </x:c>
      <x:c r="G9023" s="13" t="str">
        <x:v>grid_cqzdsc3v.xlsx</x:v>
      </x:c>
    </x:row>
    <x:row r="9024">
      <x:c r="A9024" s="15" t="n">
        <x:v>44470</x:v>
      </x:c>
      <x:c r="B9024" s="13" t="str">
        <x:v>JHSF PARTICIPACOES SA</x:v>
      </x:c>
      <x:c r="C9024" s="16" t="n">
        <x:v>407.3123287671</x:v>
      </x:c>
      <x:c r="D9024" s="13" t="str">
        <x:v>Income Properties</x:v>
      </x:c>
      <x:c r="E9024" s="13" t="str">
        <x:v>Real Estate</x:v>
      </x:c>
      <x:c r="F9024" s="13" t="str">
        <x:v>Early Cyclicals</x:v>
      </x:c>
      <x:c r="G9024" s="13" t="str">
        <x:v>grid_cqzdsc3v.xlsx</x:v>
      </x:c>
    </x:row>
    <x:row r="9025">
      <x:c r="A9025" s="15" t="n">
        <x:v>44470</x:v>
      </x:c>
      <x:c r="B9025" s="13" t="str">
        <x:v>MULTIPLAN EMPREENDIMENTOS</x:v>
      </x:c>
      <x:c r="C9025" s="16" t="n">
        <x:v>542.7164648329</x:v>
      </x:c>
      <x:c r="D9025" s="13" t="str">
        <x:v>Income Properties</x:v>
      </x:c>
      <x:c r="E9025" s="13" t="str">
        <x:v>Real Estate</x:v>
      </x:c>
      <x:c r="F9025" s="13" t="str">
        <x:v>Early Cyclicals</x:v>
      </x:c>
      <x:c r="G9025" s="13" t="str">
        <x:v>grid_cqzdsc3v.xlsx</x:v>
      </x:c>
    </x:row>
    <x:row r="9026">
      <x:c r="A9026" s="15" t="n">
        <x:v>44470</x:v>
      </x:c>
      <x:c r="B9026" s="13" t="str">
        <x:v>CIA SIDERURGICA NACIONAL SA</x:v>
      </x:c>
      <x:c r="C9026" s="16" t="n">
        <x:v>8605.6502286027</x:v>
      </x:c>
      <x:c r="D9026" s="13" t="str">
        <x:v>Metals &amp; Mining</x:v>
      </x:c>
      <x:c r="E9026" s="13" t="str">
        <x:v>Metals &amp; Mining</x:v>
      </x:c>
      <x:c r="F9026" s="13" t="str">
        <x:v>Deep Cyclicals</x:v>
      </x:c>
      <x:c r="G9026" s="13" t="str">
        <x:v>grid_cqzdsc3v.xlsx</x:v>
      </x:c>
    </x:row>
    <x:row r="9027">
      <x:c r="A9027" s="15" t="n">
        <x:v>44470</x:v>
      </x:c>
      <x:c r="B9027" s="13" t="str">
        <x:v>GERDAU SA-PREF</x:v>
      </x:c>
      <x:c r="C9027" s="16" t="n">
        <x:v>8924.5943134685</x:v>
      </x:c>
      <x:c r="D9027" s="13" t="str">
        <x:v>Metals &amp; Mining</x:v>
      </x:c>
      <x:c r="E9027" s="13" t="str">
        <x:v>Metals &amp; Mining</x:v>
      </x:c>
      <x:c r="F9027" s="13" t="str">
        <x:v>Deep Cyclicals</x:v>
      </x:c>
      <x:c r="G9027" s="13" t="str">
        <x:v>grid_cqzdsc3v.xlsx</x:v>
      </x:c>
    </x:row>
    <x:row r="9028">
      <x:c r="A9028" s="15" t="n">
        <x:v>44470</x:v>
      </x:c>
      <x:c r="B9028" s="13" t="str">
        <x:v>USINAS SIDER MINAS GER-PF A</x:v>
      </x:c>
      <x:c r="C9028" s="16" t="n">
        <x:v>4616.3847560767</x:v>
      </x:c>
      <x:c r="D9028" s="13" t="str">
        <x:v>Metals &amp; Mining</x:v>
      </x:c>
      <x:c r="E9028" s="13" t="str">
        <x:v>Metals &amp; Mining</x:v>
      </x:c>
      <x:c r="F9028" s="13" t="str">
        <x:v>Deep Cyclicals</x:v>
      </x:c>
      <x:c r="G9028" s="13" t="str">
        <x:v>grid_cqzdsc3v.xlsx</x:v>
      </x:c>
    </x:row>
    <x:row r="9029">
      <x:c r="A9029" s="15" t="n">
        <x:v>44470</x:v>
      </x:c>
      <x:c r="B9029" s="13" t="str">
        <x:v>VALE SA</x:v>
      </x:c>
      <x:c r="C9029" s="16" t="n">
        <x:v>87982.7902576219</x:v>
      </x:c>
      <x:c r="D9029" s="13" t="str">
        <x:v>Metals &amp; Mining</x:v>
      </x:c>
      <x:c r="E9029" s="13" t="str">
        <x:v>Metals &amp; Mining</x:v>
      </x:c>
      <x:c r="F9029" s="13" t="str">
        <x:v>Deep Cyclicals</x:v>
      </x:c>
      <x:c r="G9029" s="13" t="str">
        <x:v>grid_cqzdsc3v.xlsx</x:v>
      </x:c>
    </x:row>
    <x:row r="9030">
      <x:c r="A9030" s="15" t="n">
        <x:v>44470</x:v>
      </x:c>
      <x:c r="B9030" s="13" t="str">
        <x:v>BRASKEM SA-PREF A</x:v>
      </x:c>
      <x:c r="C9030" s="16" t="n">
        <x:v>10303.5189809096</x:v>
      </x:c>
      <x:c r="D9030" s="13" t="str">
        <x:v>Oil, Gas &amp; Petrochemicals</x:v>
      </x:c>
      <x:c r="E9030" s="13" t="str">
        <x:v>Oil, Gas &amp; Petrochemicals</x:v>
      </x:c>
      <x:c r="F9030" s="13" t="str">
        <x:v>Deep Cyclicals</x:v>
      </x:c>
      <x:c r="G9030" s="13" t="str">
        <x:v>grid_cqzdsc3v.xlsx</x:v>
      </x:c>
    </x:row>
    <x:row r="9031">
      <x:c r="A9031" s="15" t="n">
        <x:v>44470</x:v>
      </x:c>
      <x:c r="B9031" s="13" t="str">
        <x:v>COSAN SA</x:v>
      </x:c>
      <x:c r="C9031" s="16" t="n">
        <x:v>3651.7539615562</x:v>
      </x:c>
      <x:c r="D9031" s="13" t="str">
        <x:v>Oil, Gas &amp; Petrochemicals</x:v>
      </x:c>
      <x:c r="E9031" s="13" t="str">
        <x:v>Oil, Gas &amp; Petrochemicals</x:v>
      </x:c>
      <x:c r="F9031" s="13" t="str">
        <x:v>Deep Cyclicals</x:v>
      </x:c>
      <x:c r="G9031" s="13" t="str">
        <x:v>grid_cqzdsc3v.xlsx</x:v>
      </x:c>
    </x:row>
    <x:row r="9032">
      <x:c r="A9032" s="15" t="n">
        <x:v>44470</x:v>
      </x:c>
      <x:c r="B9032" s="13" t="str">
        <x:v>PETROBRAS - PETROLEO BRAS</x:v>
      </x:c>
      <x:c r="C9032" s="16" t="n">
        <x:v>82969.3378335562</x:v>
      </x:c>
      <x:c r="D9032" s="13" t="str">
        <x:v>Oil, Gas &amp; Petrochemicals</x:v>
      </x:c>
      <x:c r="E9032" s="13" t="str">
        <x:v>Oil, Gas &amp; Petrochemicals</x:v>
      </x:c>
      <x:c r="F9032" s="13" t="str">
        <x:v>Deep Cyclicals</x:v>
      </x:c>
      <x:c r="G9032" s="13" t="str">
        <x:v>grid_cqzdsc3v.xlsx</x:v>
      </x:c>
    </x:row>
    <x:row r="9033">
      <x:c r="A9033" s="15" t="n">
        <x:v>44470</x:v>
      </x:c>
      <x:c r="B9033" s="13" t="str">
        <x:v>PRIO SA</x:v>
      </x:c>
      <x:c r="C9033" s="16" t="n">
        <x:v>1792.2157241863</x:v>
      </x:c>
      <x:c r="D9033" s="13" t="str">
        <x:v>Oil, Gas &amp; Petrochemicals</x:v>
      </x:c>
      <x:c r="E9033" s="13" t="str">
        <x:v>Oil, Gas &amp; Petrochemicals</x:v>
      </x:c>
      <x:c r="F9033" s="13" t="str">
        <x:v>Deep Cyclicals</x:v>
      </x:c>
      <x:c r="G9033" s="13" t="str">
        <x:v>grid_cqzdsc3v.xlsx</x:v>
      </x:c>
    </x:row>
    <x:row r="9034">
      <x:c r="A9034" s="15" t="n">
        <x:v>44470</x:v>
      </x:c>
      <x:c r="B9034" s="13" t="str">
        <x:v>ULTRAPAR PARTICIPACOES SA</x:v>
      </x:c>
      <x:c r="C9034" s="16" t="n">
        <x:v>1208.2751561644</x:v>
      </x:c>
      <x:c r="D9034" s="13" t="str">
        <x:v>Oil, Gas &amp; Petrochemicals</x:v>
      </x:c>
      <x:c r="E9034" s="13" t="str">
        <x:v>Oil, Gas &amp; Petrochemicals</x:v>
      </x:c>
      <x:c r="F9034" s="13" t="str">
        <x:v>Deep Cyclicals</x:v>
      </x:c>
      <x:c r="G9034" s="13" t="str">
        <x:v>grid_cqzdsc3v.xlsx</x:v>
      </x:c>
    </x:row>
    <x:row r="9035">
      <x:c r="A9035" s="15" t="n">
        <x:v>44470</x:v>
      </x:c>
      <x:c r="B9035" s="13" t="str">
        <x:v>VIBRA ENERGIA SA</x:v>
      </x:c>
      <x:c r="C9035" s="16" t="n">
        <x:v>2201.3341671452</x:v>
      </x:c>
      <x:c r="D9035" s="13" t="str">
        <x:v>Oil, Gas &amp; Petrochemicals</x:v>
      </x:c>
      <x:c r="E9035" s="13" t="str">
        <x:v>Oil, Gas &amp; Petrochemicals</x:v>
      </x:c>
      <x:c r="F9035" s="13" t="str">
        <x:v>Deep Cyclicals</x:v>
      </x:c>
      <x:c r="G9035" s="13" t="str">
        <x:v>grid_cqzdsc3v.xlsx</x:v>
      </x:c>
    </x:row>
    <x:row r="9036">
      <x:c r="A9036" s="15" t="n">
        <x:v>44470</x:v>
      </x:c>
      <x:c r="B9036" s="13" t="str">
        <x:v>DEXCO SA</x:v>
      </x:c>
      <x:c r="C9036" s="16" t="n">
        <x:v>980.2219067616</x:v>
      </x:c>
      <x:c r="D9036" s="13" t="str">
        <x:v>Pulp &amp; Paper</x:v>
      </x:c>
      <x:c r="E9036" s="13" t="str">
        <x:v>Pulp &amp; Paper</x:v>
      </x:c>
      <x:c r="F9036" s="13" t="str">
        <x:v>Deep Cyclicals</x:v>
      </x:c>
      <x:c r="G9036" s="13" t="str">
        <x:v>grid_cqzdsc3v.xlsx</x:v>
      </x:c>
    </x:row>
    <x:row r="9037">
      <x:c r="A9037" s="15" t="n">
        <x:v>44470</x:v>
      </x:c>
      <x:c r="B9037" s="13" t="str">
        <x:v>KLABIN SA - UNIT</x:v>
      </x:c>
      <x:c r="C9037" s="16" t="n">
        <x:v>2201.646578674</x:v>
      </x:c>
      <x:c r="D9037" s="13" t="str">
        <x:v>Pulp &amp; Paper</x:v>
      </x:c>
      <x:c r="E9037" s="13" t="str">
        <x:v>Pulp &amp; Paper</x:v>
      </x:c>
      <x:c r="F9037" s="13" t="str">
        <x:v>Deep Cyclicals</x:v>
      </x:c>
      <x:c r="G9037" s="13" t="str">
        <x:v>grid_cqzdsc3v.xlsx</x:v>
      </x:c>
    </x:row>
    <x:row r="9038">
      <x:c r="A9038" s="15" t="n">
        <x:v>44470</x:v>
      </x:c>
      <x:c r="B9038" s="13" t="str">
        <x:v>SUZANO SA</x:v>
      </x:c>
      <x:c r="C9038" s="16" t="n">
        <x:v>6942.7135754521</x:v>
      </x:c>
      <x:c r="D9038" s="13" t="str">
        <x:v>Pulp &amp; Paper</x:v>
      </x:c>
      <x:c r="E9038" s="13" t="str">
        <x:v>Pulp &amp; Paper</x:v>
      </x:c>
      <x:c r="F9038" s="13" t="str">
        <x:v>Deep Cyclicals</x:v>
      </x:c>
      <x:c r="G9038" s="13" t="str">
        <x:v>grid_cqzdsc3v.xlsx</x:v>
      </x:c>
    </x:row>
    <x:row r="9039">
      <x:c r="A9039" s="15" t="n">
        <x:v>44470</x:v>
      </x:c>
      <x:c r="B9039" s="13" t="str">
        <x:v>AMERICANAS SA</x:v>
      </x:c>
      <x:c r="C9039" s="16" t="n">
        <x:v>345.0924383562</x:v>
      </x:c>
      <x:c r="D9039" s="13" t="str">
        <x:v>Retail</x:v>
      </x:c>
      <x:c r="E9039" s="13" t="str">
        <x:v>Retail</x:v>
      </x:c>
      <x:c r="F9039" s="13" t="str">
        <x:v>Early Cyclicals</x:v>
      </x:c>
      <x:c r="G9039" s="13" t="str">
        <x:v>grid_cqzdsc3v.xlsx</x:v>
      </x:c>
    </x:row>
    <x:row r="9040">
      <x:c r="A9040" s="15" t="n">
        <x:v>44470</x:v>
      </x:c>
      <x:c r="B9040" s="13" t="str">
        <x:v>ATACADAO SA</x:v>
      </x:c>
      <x:c r="C9040" s="16" t="n">
        <x:v>2714.1883798795</x:v>
      </x:c>
      <x:c r="D9040" s="13" t="str">
        <x:v>Retail</x:v>
      </x:c>
      <x:c r="E9040" s="13" t="str">
        <x:v>Retail</x:v>
      </x:c>
      <x:c r="F9040" s="13" t="str">
        <x:v>Early Cyclicals</x:v>
      </x:c>
      <x:c r="G9040" s="13" t="str">
        <x:v>grid_cqzdsc3v.xlsx</x:v>
      </x:c>
    </x:row>
    <x:row r="9041">
      <x:c r="A9041" s="15" t="n">
        <x:v>44470</x:v>
      </x:c>
      <x:c r="B9041" s="13" t="str">
        <x:v>CIA BRASILEIRA DE DISTRIBUIC</x:v>
      </x:c>
      <x:c r="C9041" s="16" t="n">
        <x:v>466.9942068603</x:v>
      </x:c>
      <x:c r="D9041" s="13" t="str">
        <x:v>Retail</x:v>
      </x:c>
      <x:c r="E9041" s="13" t="str">
        <x:v>Retail</x:v>
      </x:c>
      <x:c r="F9041" s="13" t="str">
        <x:v>Early Cyclicals</x:v>
      </x:c>
      <x:c r="G9041" s="13" t="str">
        <x:v>grid_cqzdsc3v.xlsx</x:v>
      </x:c>
    </x:row>
    <x:row r="9042">
      <x:c r="A9042" s="15" t="n">
        <x:v>44470</x:v>
      </x:c>
      <x:c r="B9042" s="13" t="str">
        <x:v>CVC BRASIL OPERADORA E AGENC</x:v>
      </x:c>
      <x:c r="C9042" s="16" t="n">
        <x:v>-20.0273972603</x:v>
      </x:c>
      <x:c r="D9042" s="13" t="str">
        <x:v>Retail</x:v>
      </x:c>
      <x:c r="E9042" s="13" t="str">
        <x:v>Retail</x:v>
      </x:c>
      <x:c r="F9042" s="13" t="str">
        <x:v>Early Cyclicals</x:v>
      </x:c>
      <x:c r="G9042" s="13" t="str">
        <x:v>grid_cqzdsc3v.xlsx</x:v>
      </x:c>
    </x:row>
    <x:row r="9043">
      <x:c r="A9043" s="15" t="n">
        <x:v>44470</x:v>
      </x:c>
      <x:c r="B9043" s="13" t="str">
        <x:v>GRUPO CASAS BAHIA SA</x:v>
      </x:c>
      <x:c r="C9043" s="16" t="n">
        <x:v>745.1261348822</x:v>
      </x:c>
      <x:c r="D9043" s="13" t="str">
        <x:v>Retail</x:v>
      </x:c>
      <x:c r="E9043" s="13" t="str">
        <x:v>Retail</x:v>
      </x:c>
      <x:c r="F9043" s="13" t="str">
        <x:v>Early Cyclicals</x:v>
      </x:c>
      <x:c r="G9043" s="13" t="str">
        <x:v>grid_cqzdsc3v.xlsx</x:v>
      </x:c>
    </x:row>
    <x:row r="9044">
      <x:c r="A9044" s="15" t="n">
        <x:v>44470</x:v>
      </x:c>
      <x:c r="B9044" s="13" t="str">
        <x:v>LOJAS AMERICANAS SA-PREF</x:v>
      </x:c>
      <x:c r="C9044" s="16" t="n">
        <x:v>177.3561643836</x:v>
      </x:c>
      <x:c r="D9044" s="13" t="str">
        <x:v>Retail</x:v>
      </x:c>
      <x:c r="E9044" s="13" t="str">
        <x:v>Retail</x:v>
      </x:c>
      <x:c r="F9044" s="13" t="str">
        <x:v>Early Cyclicals</x:v>
      </x:c>
      <x:c r="G9044" s="13" t="str">
        <x:v>grid_cqzdsc3v.xlsx</x:v>
      </x:c>
    </x:row>
    <x:row r="9045">
      <x:c r="A9045" s="15" t="n">
        <x:v>44470</x:v>
      </x:c>
      <x:c r="B9045" s="13" t="str">
        <x:v>LOJAS RENNER S.A.</x:v>
      </x:c>
      <x:c r="C9045" s="16" t="n">
        <x:v>1211.6410104986</x:v>
      </x:c>
      <x:c r="D9045" s="13" t="str">
        <x:v>Retail</x:v>
      </x:c>
      <x:c r="E9045" s="13" t="str">
        <x:v>Retail</x:v>
      </x:c>
      <x:c r="F9045" s="13" t="str">
        <x:v>Early Cyclicals</x:v>
      </x:c>
      <x:c r="G9045" s="13" t="str">
        <x:v>grid_cqzdsc3v.xlsx</x:v>
      </x:c>
    </x:row>
    <x:row r="9046">
      <x:c r="A9046" s="15" t="n">
        <x:v>44470</x:v>
      </x:c>
      <x:c r="B9046" s="13" t="str">
        <x:v>MAGAZINE LUIZA SA</x:v>
      </x:c>
      <x:c r="C9046" s="16" t="n">
        <x:v>967.8783607233</x:v>
      </x:c>
      <x:c r="D9046" s="13" t="str">
        <x:v>Retail</x:v>
      </x:c>
      <x:c r="E9046" s="13" t="str">
        <x:v>Retail</x:v>
      </x:c>
      <x:c r="F9046" s="13" t="str">
        <x:v>Early Cyclicals</x:v>
      </x:c>
      <x:c r="G9046" s="13" t="str">
        <x:v>grid_cqzdsc3v.xlsx</x:v>
      </x:c>
    </x:row>
    <x:row r="9047">
      <x:c r="A9047" s="15" t="n">
        <x:v>44470</x:v>
      </x:c>
      <x:c r="B9047" s="13" t="str">
        <x:v>NATURA &amp;CO HOLDING SA</x:v>
      </x:c>
      <x:c r="C9047" s="16" t="n">
        <x:v>1322.2775981589</x:v>
      </x:c>
      <x:c r="D9047" s="13" t="str">
        <x:v>Retail</x:v>
      </x:c>
      <x:c r="E9047" s="13" t="str">
        <x:v>Retail</x:v>
      </x:c>
      <x:c r="F9047" s="13" t="str">
        <x:v>Early Cyclicals</x:v>
      </x:c>
      <x:c r="G9047" s="13" t="str">
        <x:v>grid_cqzdsc3v.xlsx</x:v>
      </x:c>
    </x:row>
    <x:row r="9048">
      <x:c r="A9048" s="15" t="n">
        <x:v>44470</x:v>
      </x:c>
      <x:c r="B9048" s="13" t="str">
        <x:v>PET CENTER COMERCIO E PARTIC</x:v>
      </x:c>
      <x:c r="C9048" s="16" t="n">
        <x:v>125.5183626082</x:v>
      </x:c>
      <x:c r="D9048" s="13" t="str">
        <x:v>Retail</x:v>
      </x:c>
      <x:c r="E9048" s="13" t="str">
        <x:v>Retail</x:v>
      </x:c>
      <x:c r="F9048" s="13" t="str">
        <x:v>Early Cyclicals</x:v>
      </x:c>
      <x:c r="G9048" s="13" t="str">
        <x:v>grid_cqzdsc3v.xlsx</x:v>
      </x:c>
    </x:row>
    <x:row r="9049">
      <x:c r="A9049" s="15" t="n">
        <x:v>44470</x:v>
      </x:c>
      <x:c r="B9049" s="13" t="str">
        <x:v>RAIA DROGASIL SA</x:v>
      </x:c>
      <x:c r="C9049" s="16" t="n">
        <x:v>1046.8482077808</x:v>
      </x:c>
      <x:c r="D9049" s="13" t="str">
        <x:v>Retail</x:v>
      </x:c>
      <x:c r="E9049" s="13" t="str">
        <x:v>Retail</x:v>
      </x:c>
      <x:c r="F9049" s="13" t="str">
        <x:v>Early Cyclicals</x:v>
      </x:c>
      <x:c r="G9049" s="13" t="str">
        <x:v>grid_cqzdsc3v.xlsx</x:v>
      </x:c>
    </x:row>
    <x:row r="9050">
      <x:c r="A9050" s="15" t="n">
        <x:v>44470</x:v>
      </x:c>
      <x:c r="B9050" s="13" t="str">
        <x:v>SENDAS DISTRIBUIDORA SA</x:v>
      </x:c>
      <x:c r="C9050" s="16" t="n">
        <x:v>1414.4421046356</x:v>
      </x:c>
      <x:c r="D9050" s="13" t="str">
        <x:v>Retail</x:v>
      </x:c>
      <x:c r="E9050" s="13" t="str">
        <x:v>Retail</x:v>
      </x:c>
      <x:c r="F9050" s="13" t="str">
        <x:v>Early Cyclicals</x:v>
      </x:c>
      <x:c r="G9050" s="13" t="str">
        <x:v>grid_cqzdsc3v.xlsx</x:v>
      </x:c>
    </x:row>
    <x:row r="9051">
      <x:c r="A9051" s="15" t="n">
        <x:v>44470</x:v>
      </x:c>
      <x:c r="B9051" s="13" t="str">
        <x:v>CIA SANEAMENTO BASICO DE SP</x:v>
      </x:c>
      <x:c r="C9051" s="16" t="n">
        <x:v>3079.1661034959</x:v>
      </x:c>
      <x:c r="D9051" s="13" t="str">
        <x:v>Sanitation</x:v>
      </x:c>
      <x:c r="E9051" s="13" t="str">
        <x:v>Utilities</x:v>
      </x:c>
      <x:c r="F9051" s="13" t="str">
        <x:v>Defensives</x:v>
      </x:c>
      <x:c r="G9051" s="13" t="str">
        <x:v>grid_cqzdsc3v.xlsx</x:v>
      </x:c>
    </x:row>
    <x:row r="9052">
      <x:c r="A9052" s="15" t="n">
        <x:v>44470</x:v>
      </x:c>
      <x:c r="B9052" s="13" t="str">
        <x:v>LWSA SA</x:v>
      </x:c>
      <x:c r="C9052" s="16" t="n">
        <x:v>187.6814120986</x:v>
      </x:c>
      <x:c r="D9052" s="13" t="str">
        <x:v>TMT</x:v>
      </x:c>
      <x:c r="E9052" s="13" t="str">
        <x:v>TMT</x:v>
      </x:c>
      <x:c r="F9052" s="13" t="str">
        <x:v>Early Cyclicals</x:v>
      </x:c>
      <x:c r="G9052" s="13" t="str">
        <x:v>grid_cqzdsc3v.xlsx</x:v>
      </x:c>
    </x:row>
    <x:row r="9053">
      <x:c r="A9053" s="15" t="n">
        <x:v>44470</x:v>
      </x:c>
      <x:c r="B9053" s="13" t="str">
        <x:v>TIM SA</x:v>
      </x:c>
      <x:c r="C9053" s="16" t="n">
        <x:v>2508.952306674</x:v>
      </x:c>
      <x:c r="D9053" s="13" t="str">
        <x:v>TMT</x:v>
      </x:c>
      <x:c r="E9053" s="13" t="str">
        <x:v>TMT</x:v>
      </x:c>
      <x:c r="F9053" s="13" t="str">
        <x:v>Early Cyclicals</x:v>
      </x:c>
      <x:c r="G9053" s="13" t="str">
        <x:v>grid_cqzdsc3v.xlsx</x:v>
      </x:c>
    </x:row>
    <x:row r="9054">
      <x:c r="A9054" s="15" t="n">
        <x:v>44470</x:v>
      </x:c>
      <x:c r="B9054" s="13" t="str">
        <x:v>TOTVS SA</x:v>
      </x:c>
      <x:c r="C9054" s="16" t="n">
        <x:v>455.7494673534</x:v>
      </x:c>
      <x:c r="D9054" s="13" t="str">
        <x:v>TMT</x:v>
      </x:c>
      <x:c r="E9054" s="13" t="str">
        <x:v>TMT</x:v>
      </x:c>
      <x:c r="F9054" s="13" t="str">
        <x:v>Early Cyclicals</x:v>
      </x:c>
      <x:c r="G9054" s="13" t="str">
        <x:v>grid_cqzdsc3v.xlsx</x:v>
      </x:c>
    </x:row>
    <x:row r="9055">
      <x:c r="A9055" s="15" t="n">
        <x:v>44470</x:v>
      </x:c>
      <x:c r="B9055" s="13" t="str">
        <x:v>AZUL SA</x:v>
      </x:c>
      <x:c r="C9055" s="16" t="n">
        <x:v>-949.6309907288</x:v>
      </x:c>
      <x:c r="D9055" s="13" t="str">
        <x:v>Transportation</x:v>
      </x:c>
      <x:c r="E9055" s="13" t="str">
        <x:v>Transportation</x:v>
      </x:c>
      <x:c r="F9055" s="13" t="str">
        <x:v>Deep Cyclicals</x:v>
      </x:c>
      <x:c r="G9055" s="13" t="str">
        <x:v>grid_cqzdsc3v.xlsx</x:v>
      </x:c>
    </x:row>
    <x:row r="9056">
      <x:c r="A9056" s="15" t="n">
        <x:v>44470</x:v>
      </x:c>
      <x:c r="B9056" s="13" t="str">
        <x:v>CIA DE LOCACAO DAS AMERICAS</x:v>
      </x:c>
      <x:c r="C9056" s="16" t="n">
        <x:v>977.5175806247</x:v>
      </x:c>
      <x:c r="D9056" s="13" t="str">
        <x:v>Transportation</x:v>
      </x:c>
      <x:c r="E9056" s="13" t="str">
        <x:v>Transportation</x:v>
      </x:c>
      <x:c r="F9056" s="13" t="str">
        <x:v>Deep Cyclicals</x:v>
      </x:c>
      <x:c r="G9056" s="13" t="str">
        <x:v>grid_cqzdsc3v.xlsx</x:v>
      </x:c>
    </x:row>
    <x:row r="9057">
      <x:c r="A9057" s="15" t="n">
        <x:v>44470</x:v>
      </x:c>
      <x:c r="B9057" s="13" t="str">
        <x:v>ECORODOVIAS INFRA E LOG SA</x:v>
      </x:c>
      <x:c r="C9057" s="16" t="n">
        <x:v>226.3416438356</x:v>
      </x:c>
      <x:c r="D9057" s="13" t="str">
        <x:v>Transportation</x:v>
      </x:c>
      <x:c r="E9057" s="13" t="str">
        <x:v>Transportation</x:v>
      </x:c>
      <x:c r="F9057" s="13" t="str">
        <x:v>Deep Cyclicals</x:v>
      </x:c>
      <x:c r="G9057" s="13" t="str">
        <x:v>grid_cqzdsc3v.xlsx</x:v>
      </x:c>
    </x:row>
    <x:row r="9058">
      <x:c r="A9058" s="15" t="n">
        <x:v>44470</x:v>
      </x:c>
      <x:c r="B9058" s="13" t="str">
        <x:v>GOL LINHAS AEREAS INT SA-PRE</x:v>
      </x:c>
      <x:c r="C9058" s="16" t="n">
        <x:v>-806.7138519671</x:v>
      </x:c>
      <x:c r="D9058" s="13" t="str">
        <x:v>Transportation</x:v>
      </x:c>
      <x:c r="E9058" s="13" t="str">
        <x:v>Transportation</x:v>
      </x:c>
      <x:c r="F9058" s="13" t="str">
        <x:v>Deep Cyclicals</x:v>
      </x:c>
      <x:c r="G9058" s="13" t="str">
        <x:v>grid_cqzdsc3v.xlsx</x:v>
      </x:c>
    </x:row>
    <x:row r="9059">
      <x:c r="A9059" s="15" t="n">
        <x:v>44470</x:v>
      </x:c>
      <x:c r="B9059" s="13" t="str">
        <x:v>LOCALIZA RENT A CAR</x:v>
      </x:c>
      <x:c r="C9059" s="16" t="n">
        <x:v>1796.5806479781</x:v>
      </x:c>
      <x:c r="D9059" s="13" t="str">
        <x:v>Transportation</x:v>
      </x:c>
      <x:c r="E9059" s="13" t="str">
        <x:v>Transportation</x:v>
      </x:c>
      <x:c r="F9059" s="13" t="str">
        <x:v>Deep Cyclicals</x:v>
      </x:c>
      <x:c r="G9059" s="13" t="str">
        <x:v>grid_cqzdsc3v.xlsx</x:v>
      </x:c>
    </x:row>
    <x:row r="9060">
      <x:c r="A9060" s="15" t="n">
        <x:v>44470</x:v>
      </x:c>
      <x:c r="B9060" s="13" t="str">
        <x:v>MOTIVA INFRAESTRUTURA DE MOB</x:v>
      </x:c>
      <x:c r="C9060" s="16" t="n">
        <x:v>1156.3197580274</x:v>
      </x:c>
      <x:c r="D9060" s="13" t="str">
        <x:v>Transportation</x:v>
      </x:c>
      <x:c r="E9060" s="13" t="str">
        <x:v>Transportation</x:v>
      </x:c>
      <x:c r="F9060" s="13" t="str">
        <x:v>Deep Cyclicals</x:v>
      </x:c>
      <x:c r="G9060" s="13" t="str">
        <x:v>grid_cqzdsc3v.xlsx</x:v>
      </x:c>
    </x:row>
    <x:row r="9061">
      <x:c r="A9061" s="15" t="n">
        <x:v>44470</x:v>
      </x:c>
      <x:c r="B9061" s="13" t="str">
        <x:v>RUMO SA</x:v>
      </x:c>
      <x:c r="C9061" s="16" t="n">
        <x:v>990.2083854027</x:v>
      </x:c>
      <x:c r="D9061" s="13" t="str">
        <x:v>Transportation</x:v>
      </x:c>
      <x:c r="E9061" s="13" t="str">
        <x:v>Transportation</x:v>
      </x:c>
      <x:c r="F9061" s="13" t="str">
        <x:v>Deep Cyclicals</x:v>
      </x:c>
      <x:c r="G9061" s="13" t="str">
        <x:v>grid_cqzdsc3v.xlsx</x:v>
      </x:c>
    </x:row>
    <x:row r="9062">
      <x:c r="A9062" s="15" t="n">
        <x:v>44470</x:v>
      </x:c>
      <x:c r="B9062" s="13" t="str">
        <x:v>AXIA ENERGIA SA</x:v>
      </x:c>
      <x:c r="C9062" s="16" t="n">
        <x:v>9299.819282937</x:v>
      </x:c>
      <x:c r="D9062" s="13" t="str">
        <x:v>Utilities &amp; Energy</x:v>
      </x:c>
      <x:c r="E9062" s="13" t="str">
        <x:v>Utilities</x:v>
      </x:c>
      <x:c r="F9062" s="13" t="str">
        <x:v>Defensives</x:v>
      </x:c>
      <x:c r="G9062" s="13" t="str">
        <x:v>grid_cqzdsc3v.xlsx</x:v>
      </x:c>
    </x:row>
    <x:row r="9063">
      <x:c r="A9063" s="15" t="n">
        <x:v>44470</x:v>
      </x:c>
      <x:c r="B9063" s="13" t="str">
        <x:v>AXIA ENERGIA-PR B</x:v>
      </x:c>
      <x:c r="C9063" s="16" t="n">
        <x:v>9299.819282937</x:v>
      </x:c>
      <x:c r="D9063" s="13" t="str">
        <x:v>Utilities &amp; Energy</x:v>
      </x:c>
      <x:c r="E9063" s="13" t="str">
        <x:v>Utilities</x:v>
      </x:c>
      <x:c r="F9063" s="13" t="str">
        <x:v>Defensives</x:v>
      </x:c>
      <x:c r="G9063" s="13" t="str">
        <x:v>grid_cqzdsc3v.xlsx</x:v>
      </x:c>
    </x:row>
    <x:row r="9064">
      <x:c r="A9064" s="15" t="n">
        <x:v>44470</x:v>
      </x:c>
      <x:c r="B9064" s="13" t="str">
        <x:v>CIA ENERGETICA MINAS GER-PRF</x:v>
      </x:c>
      <x:c r="C9064" s="16" t="n">
        <x:v>2941.4377170411</x:v>
      </x:c>
      <x:c r="D9064" s="13" t="str">
        <x:v>Utilities &amp; Energy</x:v>
      </x:c>
      <x:c r="E9064" s="13" t="str">
        <x:v>Utilities</x:v>
      </x:c>
      <x:c r="F9064" s="13" t="str">
        <x:v>Defensives</x:v>
      </x:c>
      <x:c r="G9064" s="13" t="str">
        <x:v>grid_cqzdsc3v.xlsx</x:v>
      </x:c>
    </x:row>
    <x:row r="9065">
      <x:c r="A9065" s="15" t="n">
        <x:v>44470</x:v>
      </x:c>
      <x:c r="B9065" s="13" t="str">
        <x:v>COMPANHIA PARANAENSE -PREF B</x:v>
      </x:c>
      <x:c r="C9065" s="16" t="n">
        <x:v>2727.9368914411</x:v>
      </x:c>
      <x:c r="D9065" s="13" t="str">
        <x:v>Utilities &amp; Energy</x:v>
      </x:c>
      <x:c r="E9065" s="13" t="str">
        <x:v>Utilities</x:v>
      </x:c>
      <x:c r="F9065" s="13" t="str">
        <x:v>Defensives</x:v>
      </x:c>
      <x:c r="G9065" s="13" t="str">
        <x:v>grid_cqzdsc3v.xlsx</x:v>
      </x:c>
    </x:row>
    <x:row r="9066">
      <x:c r="A9066" s="15" t="n">
        <x:v>44470</x:v>
      </x:c>
      <x:c r="B9066" s="13" t="str">
        <x:v>CPFL ENERGIA SA</x:v>
      </x:c>
      <x:c r="C9066" s="16" t="n">
        <x:v>4067.9252676384</x:v>
      </x:c>
      <x:c r="D9066" s="13" t="str">
        <x:v>Utilities &amp; Energy</x:v>
      </x:c>
      <x:c r="E9066" s="13" t="str">
        <x:v>Utilities</x:v>
      </x:c>
      <x:c r="F9066" s="13" t="str">
        <x:v>Defensives</x:v>
      </x:c>
      <x:c r="G9066" s="13" t="str">
        <x:v>grid_cqzdsc3v.xlsx</x:v>
      </x:c>
    </x:row>
    <x:row r="9067">
      <x:c r="A9067" s="15" t="n">
        <x:v>44470</x:v>
      </x:c>
      <x:c r="B9067" s="13" t="str">
        <x:v>EDP - ENERGIAS DO BRASIL SA</x:v>
      </x:c>
      <x:c r="C9067" s="16" t="n">
        <x:v>1627.2830835726</x:v>
      </x:c>
      <x:c r="D9067" s="13" t="str">
        <x:v>Utilities &amp; Energy</x:v>
      </x:c>
      <x:c r="E9067" s="13" t="str">
        <x:v>Utilities</x:v>
      </x:c>
      <x:c r="F9067" s="13" t="str">
        <x:v>Defensives</x:v>
      </x:c>
      <x:c r="G9067" s="13" t="str">
        <x:v>grid_cqzdsc3v.xlsx</x:v>
      </x:c>
    </x:row>
    <x:row r="9068">
      <x:c r="A9068" s="15" t="n">
        <x:v>44470</x:v>
      </x:c>
      <x:c r="B9068" s="13" t="str">
        <x:v>ENERGISA SA-UNITS</x:v>
      </x:c>
      <x:c r="C9068" s="16" t="n">
        <x:v>1607.5458100603</x:v>
      </x:c>
      <x:c r="D9068" s="13" t="str">
        <x:v>Utilities &amp; Energy</x:v>
      </x:c>
      <x:c r="E9068" s="13" t="str">
        <x:v>Utilities</x:v>
      </x:c>
      <x:c r="F9068" s="13" t="str">
        <x:v>Defensives</x:v>
      </x:c>
      <x:c r="G9068" s="13" t="str">
        <x:v>grid_cqzdsc3v.xlsx</x:v>
      </x:c>
    </x:row>
    <x:row r="9069">
      <x:c r="A9069" s="15" t="n">
        <x:v>44470</x:v>
      </x:c>
      <x:c r="B9069" s="13" t="str">
        <x:v>ENEVA SA</x:v>
      </x:c>
      <x:c r="C9069" s="16" t="n">
        <x:v>1352.5479981589</x:v>
      </x:c>
      <x:c r="D9069" s="13" t="str">
        <x:v>Utilities &amp; Energy</x:v>
      </x:c>
      <x:c r="E9069" s="13" t="str">
        <x:v>Utilities</x:v>
      </x:c>
      <x:c r="F9069" s="13" t="str">
        <x:v>Defensives</x:v>
      </x:c>
      <x:c r="G9069" s="13" t="str">
        <x:v>grid_cqzdsc3v.xlsx</x:v>
      </x:c>
    </x:row>
    <x:row r="9070">
      <x:c r="A9070" s="15" t="n">
        <x:v>44470</x:v>
      </x:c>
      <x:c r="B9070" s="13" t="str">
        <x:v>ENGIE BRASIL ENERGIA SA</x:v>
      </x:c>
      <x:c r="C9070" s="16" t="n">
        <x:v>3119.2871571288</x:v>
      </x:c>
      <x:c r="D9070" s="13" t="str">
        <x:v>Utilities &amp; Energy</x:v>
      </x:c>
      <x:c r="E9070" s="13" t="str">
        <x:v>Utilities</x:v>
      </x:c>
      <x:c r="F9070" s="13" t="str">
        <x:v>Defensives</x:v>
      </x:c>
      <x:c r="G9070" s="13" t="str">
        <x:v>grid_cqzdsc3v.xlsx</x:v>
      </x:c>
    </x:row>
    <x:row r="9071">
      <x:c r="A9071" s="15" t="n">
        <x:v>44470</x:v>
      </x:c>
      <x:c r="B9071" s="13" t="str">
        <x:v>EQUATORIAL SA - ORD</x:v>
      </x:c>
      <x:c r="C9071" s="16" t="n">
        <x:v>2419.4465451836</x:v>
      </x:c>
      <x:c r="D9071" s="13" t="str">
        <x:v>Utilities &amp; Energy</x:v>
      </x:c>
      <x:c r="E9071" s="13" t="str">
        <x:v>Utilities</x:v>
      </x:c>
      <x:c r="F9071" s="13" t="str">
        <x:v>Defensives</x:v>
      </x:c>
      <x:c r="G9071" s="13" t="str">
        <x:v>grid_cqzdsc3v.xlsx</x:v>
      </x:c>
    </x:row>
    <x:row r="9072">
      <x:c r="A9072" s="15" t="n">
        <x:v>44470</x:v>
      </x:c>
      <x:c r="B9072" s="13" t="str">
        <x:v>TRANSMISSORA ALIANCA DE-UNIT</x:v>
      </x:c>
      <x:c r="C9072" s="16" t="n">
        <x:v>1279.7100123178</x:v>
      </x:c>
      <x:c r="D9072" s="13" t="str">
        <x:v>Utilities &amp; Energy</x:v>
      </x:c>
      <x:c r="E9072" s="13" t="str">
        <x:v>Utilities</x:v>
      </x:c>
      <x:c r="F9072" s="13" t="str">
        <x:v>Defensives</x:v>
      </x:c>
      <x:c r="G9072" s="13" t="str">
        <x:v>grid_cqzdsc3v.xlsx</x:v>
      </x:c>
    </x:row>
    <x:row r="9073">
      <x:c r="A9073" s="15" t="n">
        <x:v>44501</x:v>
      </x:c>
      <x:c r="B9073" s="13" t="str">
        <x:v>BANCO BRADESCO S.A.</x:v>
      </x:c>
      <x:c r="C9073" s="16" t="n">
        <x:v>28424.1088175342</x:v>
      </x:c>
      <x:c r="D9073" s="13" t="str">
        <x:v>Banks</x:v>
      </x:c>
      <x:c r="E9073" s="13" t="str">
        <x:v>Banks</x:v>
      </x:c>
      <x:c r="F9073" s="13" t="str">
        <x:v>Financials</x:v>
      </x:c>
      <x:c r="G9073" s="13" t="str">
        <x:v>grid_cqzdsc3v.xlsx</x:v>
      </x:c>
    </x:row>
    <x:row r="9074">
      <x:c r="A9074" s="15" t="n">
        <x:v>44501</x:v>
      </x:c>
      <x:c r="B9074" s="13" t="str">
        <x:v>BANCO BRADESCO SA-PREF</x:v>
      </x:c>
      <x:c r="C9074" s="16" t="n">
        <x:v>28424.1088175342</x:v>
      </x:c>
      <x:c r="D9074" s="13" t="str">
        <x:v>Banks</x:v>
      </x:c>
      <x:c r="E9074" s="13" t="str">
        <x:v>Banks</x:v>
      </x:c>
      <x:c r="F9074" s="13" t="str">
        <x:v>Financials</x:v>
      </x:c>
      <x:c r="G9074" s="13" t="str">
        <x:v>grid_cqzdsc3v.xlsx</x:v>
      </x:c>
    </x:row>
    <x:row r="9075">
      <x:c r="A9075" s="15" t="n">
        <x:v>44501</x:v>
      </x:c>
      <x:c r="B9075" s="13" t="str">
        <x:v>BANCO BTG PACTUAL SA-UNIT</x:v>
      </x:c>
      <x:c r="C9075" s="16" t="n">
        <x:v>7033.7127395945</x:v>
      </x:c>
      <x:c r="D9075" s="13" t="str">
        <x:v>Banks</x:v>
      </x:c>
      <x:c r="E9075" s="13" t="str">
        <x:v>Banks</x:v>
      </x:c>
      <x:c r="F9075" s="13" t="str">
        <x:v>Financials</x:v>
      </x:c>
      <x:c r="G9075" s="13" t="str">
        <x:v>grid_cqzdsc3v.xlsx</x:v>
      </x:c>
    </x:row>
    <x:row r="9076">
      <x:c r="A9076" s="15" t="n">
        <x:v>44501</x:v>
      </x:c>
      <x:c r="B9076" s="13" t="str">
        <x:v>BANCO DO BRASIL S.A.</x:v>
      </x:c>
      <x:c r="C9076" s="16" t="n">
        <x:v>20162.1671936</x:v>
      </x:c>
      <x:c r="D9076" s="13" t="str">
        <x:v>Banks</x:v>
      </x:c>
      <x:c r="E9076" s="13" t="str">
        <x:v>Banks</x:v>
      </x:c>
      <x:c r="F9076" s="13" t="str">
        <x:v>Financials</x:v>
      </x:c>
      <x:c r="G9076" s="13" t="str">
        <x:v>grid_cqzdsc3v.xlsx</x:v>
      </x:c>
    </x:row>
    <x:row r="9077">
      <x:c r="A9077" s="15" t="n">
        <x:v>44501</x:v>
      </x:c>
      <x:c r="B9077" s="13" t="str">
        <x:v>BANCO INTER SA</x:v>
      </x:c>
      <x:c r="C9077" s="16" t="n">
        <x:v>412.4413799233</x:v>
      </x:c>
      <x:c r="D9077" s="13" t="str">
        <x:v>Banks</x:v>
      </x:c>
      <x:c r="E9077" s="13" t="str">
        <x:v>Banks</x:v>
      </x:c>
      <x:c r="F9077" s="13" t="str">
        <x:v>Financials</x:v>
      </x:c>
      <x:c r="G9077" s="13" t="str">
        <x:v>grid_cqzdsc3v.xlsx</x:v>
      </x:c>
    </x:row>
    <x:row r="9078">
      <x:c r="A9078" s="15" t="n">
        <x:v>44501</x:v>
      </x:c>
      <x:c r="B9078" s="13" t="str">
        <x:v>BANCO PAN SA</x:v>
      </x:c>
      <x:c r="C9078" s="16" t="n">
        <x:v>1108.816409074</x:v>
      </x:c>
      <x:c r="D9078" s="13" t="str">
        <x:v>Banks</x:v>
      </x:c>
      <x:c r="E9078" s="13" t="str">
        <x:v>Banks</x:v>
      </x:c>
      <x:c r="F9078" s="13" t="str">
        <x:v>Financials</x:v>
      </x:c>
      <x:c r="G9078" s="13" t="str">
        <x:v>grid_cqzdsc3v.xlsx</x:v>
      </x:c>
    </x:row>
    <x:row r="9079">
      <x:c r="A9079" s="15" t="n">
        <x:v>44501</x:v>
      </x:c>
      <x:c r="B9079" s="13" t="str">
        <x:v>BANCO SANTANDER  BRASIL-UNIT</x:v>
      </x:c>
      <x:c r="C9079" s="16" t="n">
        <x:v>17122.3689777096</x:v>
      </x:c>
      <x:c r="D9079" s="13" t="str">
        <x:v>Banks</x:v>
      </x:c>
      <x:c r="E9079" s="13" t="str">
        <x:v>Banks</x:v>
      </x:c>
      <x:c r="F9079" s="13" t="str">
        <x:v>Financials</x:v>
      </x:c>
      <x:c r="G9079" s="13" t="str">
        <x:v>grid_cqzdsc3v.xlsx</x:v>
      </x:c>
    </x:row>
    <x:row r="9080">
      <x:c r="A9080" s="15" t="n">
        <x:v>44501</x:v>
      </x:c>
      <x:c r="B9080" s="13" t="str">
        <x:v>INTER &amp; CO INC/BRAZIL</x:v>
      </x:c>
      <x:c r="C9080" s="16" t="n">
        <x:v>202.8752099397</x:v>
      </x:c>
      <x:c r="D9080" s="13" t="str">
        <x:v>Banks</x:v>
      </x:c>
      <x:c r="E9080" s="13" t="str">
        <x:v>Banks</x:v>
      </x:c>
      <x:c r="F9080" s="13" t="str">
        <x:v>Financials</x:v>
      </x:c>
      <x:c r="G9080" s="13" t="str">
        <x:v>grid_cqzdsc3v.xlsx</x:v>
      </x:c>
    </x:row>
    <x:row r="9081">
      <x:c r="A9081" s="15" t="n">
        <x:v>44501</x:v>
      </x:c>
      <x:c r="B9081" s="13" t="str">
        <x:v>ITAU UNIBANCO HOLDING S-PREF</x:v>
      </x:c>
      <x:c r="C9081" s="16" t="n">
        <x:v>28558.5478080877</x:v>
      </x:c>
      <x:c r="D9081" s="13" t="str">
        <x:v>Banks</x:v>
      </x:c>
      <x:c r="E9081" s="13" t="str">
        <x:v>Banks</x:v>
      </x:c>
      <x:c r="F9081" s="13" t="str">
        <x:v>Financials</x:v>
      </x:c>
      <x:c r="G9081" s="13" t="str">
        <x:v>grid_cqzdsc3v.xlsx</x:v>
      </x:c>
    </x:row>
    <x:row r="9082">
      <x:c r="A9082" s="15" t="n">
        <x:v>44501</x:v>
      </x:c>
      <x:c r="B9082" s="13" t="str">
        <x:v>EMBRAER SA</x:v>
      </x:c>
      <x:c r="C9082" s="16" t="n">
        <x:v>265.3026479342</x:v>
      </x:c>
      <x:c r="D9082" s="13" t="str">
        <x:v>Capital Goods</x:v>
      </x:c>
      <x:c r="E9082" s="13" t="str">
        <x:v>Capital Goods</x:v>
      </x:c>
      <x:c r="F9082" s="13" t="str">
        <x:v>Deep Cyclicals</x:v>
      </x:c>
      <x:c r="G9082" s="13" t="str">
        <x:v>grid_cqzdsc3v.xlsx</x:v>
      </x:c>
    </x:row>
    <x:row r="9083">
      <x:c r="A9083" s="15" t="n">
        <x:v>44501</x:v>
      </x:c>
      <x:c r="B9083" s="13" t="str">
        <x:v>WEG SA</x:v>
      </x:c>
      <x:c r="C9083" s="16" t="n">
        <x:v>3743.2384771507</x:v>
      </x:c>
      <x:c r="D9083" s="13" t="str">
        <x:v>Capital Goods</x:v>
      </x:c>
      <x:c r="E9083" s="13" t="str">
        <x:v>Capital Goods</x:v>
      </x:c>
      <x:c r="F9083" s="13" t="str">
        <x:v>Deep Cyclicals</x:v>
      </x:c>
      <x:c r="G9083" s="13" t="str">
        <x:v>grid_cqzdsc3v.xlsx</x:v>
      </x:c>
    </x:row>
    <x:row r="9084">
      <x:c r="A9084" s="15" t="n">
        <x:v>44501</x:v>
      </x:c>
      <x:c r="B9084" s="13" t="str">
        <x:v>COGNA EDUCACAO</x:v>
      </x:c>
      <x:c r="C9084" s="16" t="n">
        <x:v>-378.3089881425</x:v>
      </x:c>
      <x:c r="D9084" s="13" t="str">
        <x:v>Education</x:v>
      </x:c>
      <x:c r="E9084" s="13" t="str">
        <x:v>Education</x:v>
      </x:c>
      <x:c r="F9084" s="13" t="str">
        <x:v>Early Cyclicals</x:v>
      </x:c>
      <x:c r="G9084" s="13" t="str">
        <x:v>grid_cqzdsc3v.xlsx</x:v>
      </x:c>
    </x:row>
    <x:row r="9085">
      <x:c r="A9085" s="15" t="n">
        <x:v>44501</x:v>
      </x:c>
      <x:c r="B9085" s="13" t="str">
        <x:v>YDUQS PARTICIPACOES SA</x:v>
      </x:c>
      <x:c r="C9085" s="16" t="n">
        <x:v>526.5074502137</x:v>
      </x:c>
      <x:c r="D9085" s="13" t="str">
        <x:v>Education</x:v>
      </x:c>
      <x:c r="E9085" s="13" t="str">
        <x:v>Education</x:v>
      </x:c>
      <x:c r="F9085" s="13" t="str">
        <x:v>Early Cyclicals</x:v>
      </x:c>
      <x:c r="G9085" s="13" t="str">
        <x:v>grid_cqzdsc3v.xlsx</x:v>
      </x:c>
    </x:row>
    <x:row r="9086">
      <x:c r="A9086" s="15" t="n">
        <x:v>44501</x:v>
      </x:c>
      <x:c r="B9086" s="13" t="str">
        <x:v>B3 SA-BRASIL BOLSA BALCAO</x:v>
      </x:c>
      <x:c r="C9086" s="16" t="n">
        <x:v>5471.3415918466</x:v>
      </x:c>
      <x:c r="D9086" s="13" t="str">
        <x:v>Financials Non-Banks</x:v>
      </x:c>
      <x:c r="E9086" s="13" t="str">
        <x:v>Financials Non-Banks</x:v>
      </x:c>
      <x:c r="F9086" s="13" t="str">
        <x:v>Financials</x:v>
      </x:c>
      <x:c r="G9086" s="13" t="str">
        <x:v>grid_cqzdsc3v.xlsx</x:v>
      </x:c>
    </x:row>
    <x:row r="9087">
      <x:c r="A9087" s="15" t="n">
        <x:v>44501</x:v>
      </x:c>
      <x:c r="B9087" s="13" t="str">
        <x:v>BB SEGURIDADE PARTICIPACOES</x:v>
      </x:c>
      <x:c r="C9087" s="16" t="n">
        <x:v>4885.6447957918</x:v>
      </x:c>
      <x:c r="D9087" s="13" t="str">
        <x:v>Financials Non-Banks</x:v>
      </x:c>
      <x:c r="E9087" s="13" t="str">
        <x:v>Financials Non-Banks</x:v>
      </x:c>
      <x:c r="F9087" s="13" t="str">
        <x:v>Financials</x:v>
      </x:c>
      <x:c r="G9087" s="13" t="str">
        <x:v>grid_cqzdsc3v.xlsx</x:v>
      </x:c>
    </x:row>
    <x:row r="9088">
      <x:c r="A9088" s="15" t="n">
        <x:v>44501</x:v>
      </x:c>
      <x:c r="B9088" s="13" t="str">
        <x:v>CIELO SA</x:v>
      </x:c>
      <x:c r="C9088" s="16" t="n">
        <x:v>891.9214321973</x:v>
      </x:c>
      <x:c r="D9088" s="13" t="str">
        <x:v>Financials Non-Banks</x:v>
      </x:c>
      <x:c r="E9088" s="13" t="str">
        <x:v>Financials Non-Banks</x:v>
      </x:c>
      <x:c r="F9088" s="13" t="str">
        <x:v>Financials</x:v>
      </x:c>
      <x:c r="G9088" s="13" t="str">
        <x:v>Ibovespa_earnings_consolidated.xlsx</x:v>
      </x:c>
    </x:row>
    <x:row r="9089">
      <x:c r="A9089" s="15" t="n">
        <x:v>44501</x:v>
      </x:c>
      <x:c r="B9089" s="13" t="str">
        <x:v>CIELO SA - INSTITUICAO DE PA</x:v>
      </x:c>
      <x:c r="C9089" s="16" t="n">
        <x:v>891.9214321973</x:v>
      </x:c>
      <x:c r="D9089" s="13" t="str">
        <x:v>Financials Non-Banks</x:v>
      </x:c>
      <x:c r="E9089" s="13" t="str">
        <x:v>Financials Non-Banks</x:v>
      </x:c>
      <x:c r="F9089" s="13" t="str">
        <x:v>Financials</x:v>
      </x:c>
      <x:c r="G9089" s="13" t="str">
        <x:v>grid_cqzdsc3v.xlsx</x:v>
      </x:c>
    </x:row>
    <x:row r="9090">
      <x:c r="A9090" s="15" t="n">
        <x:v>44501</x:v>
      </x:c>
      <x:c r="B9090" s="13" t="str">
        <x:v>GETNET ADQUIRENCIA E SERVICO</x:v>
      </x:c>
      <x:c r="C9090" s="16" t="n">
        <x:v>491.5397260274</x:v>
      </x:c>
      <x:c r="D9090" s="13" t="str">
        <x:v>Financials Non-Banks</x:v>
      </x:c>
      <x:c r="E9090" s="13" t="str">
        <x:v>Financials Non-Banks</x:v>
      </x:c>
      <x:c r="F9090" s="13" t="str">
        <x:v>Financials</x:v>
      </x:c>
      <x:c r="G9090" s="13" t="str">
        <x:v>grid_cqzdsc3v.xlsx</x:v>
      </x:c>
    </x:row>
    <x:row r="9091">
      <x:c r="A9091" s="15" t="n">
        <x:v>44501</x:v>
      </x:c>
      <x:c r="B9091" s="13" t="str">
        <x:v>IRB BRASIL RESSEGUROS SA</x:v>
      </x:c>
      <x:c r="C9091" s="16" t="n">
        <x:v>544.0393542795</x:v>
      </x:c>
      <x:c r="D9091" s="13" t="str">
        <x:v>Financials Non-Banks</x:v>
      </x:c>
      <x:c r="E9091" s="13" t="str">
        <x:v>Financials Non-Banks</x:v>
      </x:c>
      <x:c r="F9091" s="13" t="str">
        <x:v>Financials</x:v>
      </x:c>
      <x:c r="G9091" s="13" t="str">
        <x:v>grid_cqzdsc3v.xlsx</x:v>
      </x:c>
    </x:row>
    <x:row r="9092">
      <x:c r="A9092" s="15" t="n">
        <x:v>44501</x:v>
      </x:c>
      <x:c r="B9092" s="13" t="str">
        <x:v>ITAUSA SA</x:v>
      </x:c>
      <x:c r="C9092" s="16" t="n">
        <x:v>10730.4214752438</x:v>
      </x:c>
      <x:c r="D9092" s="13" t="str">
        <x:v>Financials Non-Banks</x:v>
      </x:c>
      <x:c r="E9092" s="13" t="str">
        <x:v>Financials Non-Banks</x:v>
      </x:c>
      <x:c r="F9092" s="13" t="str">
        <x:v>Financials</x:v>
      </x:c>
      <x:c r="G9092" s="13" t="str">
        <x:v>grid_cqzdsc3v.xlsx</x:v>
      </x:c>
    </x:row>
    <x:row r="9093">
      <x:c r="A9093" s="15" t="n">
        <x:v>44501</x:v>
      </x:c>
      <x:c r="B9093" s="13" t="str">
        <x:v>MELIUZ SA - ON</x:v>
      </x:c>
      <x:c r="C9093" s="16" t="n">
        <x:v>10.6108835616</x:v>
      </x:c>
      <x:c r="D9093" s="13" t="str">
        <x:v>Financials Non-Banks</x:v>
      </x:c>
      <x:c r="E9093" s="13" t="str">
        <x:v>Financials Non-Banks</x:v>
      </x:c>
      <x:c r="F9093" s="13" t="str">
        <x:v>Financials</x:v>
      </x:c>
      <x:c r="G9093" s="13" t="str">
        <x:v>grid_cqzdsc3v.xlsx</x:v>
      </x:c>
    </x:row>
    <x:row r="9094">
      <x:c r="A9094" s="15" t="n">
        <x:v>44501</x:v>
      </x:c>
      <x:c r="B9094" s="13" t="str">
        <x:v>AMBEV SA</x:v>
      </x:c>
      <x:c r="C9094" s="16" t="n">
        <x:v>12618.7535093479</x:v>
      </x:c>
      <x:c r="D9094" s="13" t="str">
        <x:v>Food &amp; Beverages</x:v>
      </x:c>
      <x:c r="E9094" s="13" t="str">
        <x:v>Agri, Food &amp; Beverages</x:v>
      </x:c>
      <x:c r="F9094" s="13" t="str">
        <x:v>Defensives</x:v>
      </x:c>
      <x:c r="G9094" s="13" t="str">
        <x:v>grid_cqzdsc3v.xlsx</x:v>
      </x:c>
    </x:row>
    <x:row r="9095">
      <x:c r="A9095" s="15" t="n">
        <x:v>44501</x:v>
      </x:c>
      <x:c r="B9095" s="13" t="str">
        <x:v>BRF SA</x:v>
      </x:c>
      <x:c r="C9095" s="16" t="n">
        <x:v>832.7199177644</x:v>
      </x:c>
      <x:c r="D9095" s="13" t="str">
        <x:v>Food &amp; Beverages</x:v>
      </x:c>
      <x:c r="E9095" s="13" t="str">
        <x:v>Agri, Food &amp; Beverages</x:v>
      </x:c>
      <x:c r="F9095" s="13" t="str">
        <x:v>Defensives</x:v>
      </x:c>
      <x:c r="G9095" s="13" t="str">
        <x:v>grid_cqzdsc3v.xlsx</x:v>
      </x:c>
    </x:row>
    <x:row r="9096">
      <x:c r="A9096" s="15" t="n">
        <x:v>44501</x:v>
      </x:c>
      <x:c r="B9096" s="13" t="str">
        <x:v>JBS SA</x:v>
      </x:c>
      <x:c r="C9096" s="16" t="n">
        <x:v>15061.8443804055</x:v>
      </x:c>
      <x:c r="D9096" s="13" t="str">
        <x:v>Food &amp; Beverages</x:v>
      </x:c>
      <x:c r="E9096" s="13" t="str">
        <x:v>Agri, Food &amp; Beverages</x:v>
      </x:c>
      <x:c r="F9096" s="13" t="str">
        <x:v>Defensives</x:v>
      </x:c>
      <x:c r="G9096" s="13" t="str">
        <x:v>grid_cqzdsc3v.xlsx</x:v>
      </x:c>
    </x:row>
    <x:row r="9097">
      <x:c r="A9097" s="15" t="n">
        <x:v>44501</x:v>
      </x:c>
      <x:c r="B9097" s="13" t="str">
        <x:v>MBRF GLOBAL FOODS COMPANY SA</x:v>
      </x:c>
      <x:c r="C9097" s="16" t="n">
        <x:v>4095.1526961096</x:v>
      </x:c>
      <x:c r="D9097" s="13" t="str">
        <x:v>Food &amp; Beverages</x:v>
      </x:c>
      <x:c r="E9097" s="13" t="str">
        <x:v>Agri, Food &amp; Beverages</x:v>
      </x:c>
      <x:c r="F9097" s="13" t="str">
        <x:v>Defensives</x:v>
      </x:c>
      <x:c r="G9097" s="13" t="str">
        <x:v>grid_cqzdsc3v.xlsx</x:v>
      </x:c>
    </x:row>
    <x:row r="9098">
      <x:c r="A9098" s="15" t="n">
        <x:v>44501</x:v>
      </x:c>
      <x:c r="B9098" s="13" t="str">
        <x:v>MINERVA SA</x:v>
      </x:c>
      <x:c r="C9098" s="16" t="n">
        <x:v>581.226483726</x:v>
      </x:c>
      <x:c r="D9098" s="13" t="str">
        <x:v>Food &amp; Beverages</x:v>
      </x:c>
      <x:c r="E9098" s="13" t="str">
        <x:v>Agri, Food &amp; Beverages</x:v>
      </x:c>
      <x:c r="F9098" s="13" t="str">
        <x:v>Defensives</x:v>
      </x:c>
      <x:c r="G9098" s="13" t="str">
        <x:v>grid_cqzdsc3v.xlsx</x:v>
      </x:c>
    </x:row>
    <x:row r="9099">
      <x:c r="A9099" s="15" t="n">
        <x:v>44501</x:v>
      </x:c>
      <x:c r="B9099" s="13" t="str">
        <x:v>FLEURY SA</x:v>
      </x:c>
      <x:c r="C9099" s="16" t="n">
        <x:v>350.4363854027</x:v>
      </x:c>
      <x:c r="D9099" s="13" t="str">
        <x:v>Health Care</x:v>
      </x:c>
      <x:c r="E9099" s="13" t="str">
        <x:v>Health Care</x:v>
      </x:c>
      <x:c r="F9099" s="13" t="str">
        <x:v>Defensives</x:v>
      </x:c>
      <x:c r="G9099" s="13" t="str">
        <x:v>grid_cqzdsc3v.xlsx</x:v>
      </x:c>
    </x:row>
    <x:row r="9100">
      <x:c r="A9100" s="15" t="n">
        <x:v>44501</x:v>
      </x:c>
      <x:c r="B9100" s="13" t="str">
        <x:v>HAPVIDA PARTICIPACOES E INVE</x:v>
      </x:c>
      <x:c r="C9100" s="16" t="n">
        <x:v>1404.1866737973</x:v>
      </x:c>
      <x:c r="D9100" s="13" t="str">
        <x:v>Health Care</x:v>
      </x:c>
      <x:c r="E9100" s="13" t="str">
        <x:v>Health Care</x:v>
      </x:c>
      <x:c r="F9100" s="13" t="str">
        <x:v>Defensives</x:v>
      </x:c>
      <x:c r="G9100" s="13" t="str">
        <x:v>grid_cqzdsc3v.xlsx</x:v>
      </x:c>
    </x:row>
    <x:row r="9101">
      <x:c r="A9101" s="15" t="n">
        <x:v>44501</x:v>
      </x:c>
      <x:c r="B9101" s="13" t="str">
        <x:v>HYPERA SA</x:v>
      </x:c>
      <x:c r="C9101" s="16" t="n">
        <x:v>1624.9222557808</x:v>
      </x:c>
      <x:c r="D9101" s="13" t="str">
        <x:v>Health Care</x:v>
      </x:c>
      <x:c r="E9101" s="13" t="str">
        <x:v>Health Care</x:v>
      </x:c>
      <x:c r="F9101" s="13" t="str">
        <x:v>Defensives</x:v>
      </x:c>
      <x:c r="G9101" s="13" t="str">
        <x:v>grid_cqzdsc3v.xlsx</x:v>
      </x:c>
    </x:row>
    <x:row r="9102">
      <x:c r="A9102" s="15" t="n">
        <x:v>44501</x:v>
      </x:c>
      <x:c r="B9102" s="13" t="str">
        <x:v>NOTRE DAME INTERMED PAR SA</x:v>
      </x:c>
      <x:c r="C9102" s="16" t="n">
        <x:v>1029.1935360438</x:v>
      </x:c>
      <x:c r="D9102" s="13" t="str">
        <x:v>Health Care</x:v>
      </x:c>
      <x:c r="E9102" s="13" t="str">
        <x:v>Health Care</x:v>
      </x:c>
      <x:c r="F9102" s="13" t="str">
        <x:v>Defensives</x:v>
      </x:c>
      <x:c r="G9102" s="13" t="str">
        <x:v>grid_cqzdsc3v.xlsx</x:v>
      </x:c>
    </x:row>
    <x:row r="9103">
      <x:c r="A9103" s="15" t="n">
        <x:v>44501</x:v>
      </x:c>
      <x:c r="B9103" s="13" t="str">
        <x:v>QUALICORP CONS E CORR SEG SA</x:v>
      </x:c>
      <x:c r="C9103" s="16" t="n">
        <x:v>378.761927189</x:v>
      </x:c>
      <x:c r="D9103" s="13" t="str">
        <x:v>Health Care</x:v>
      </x:c>
      <x:c r="E9103" s="13" t="str">
        <x:v>Health Care</x:v>
      </x:c>
      <x:c r="F9103" s="13" t="str">
        <x:v>Defensives</x:v>
      </x:c>
      <x:c r="G9103" s="13" t="str">
        <x:v>grid_cqzdsc3v.xlsx</x:v>
      </x:c>
    </x:row>
    <x:row r="9104">
      <x:c r="A9104" s="15" t="n">
        <x:v>44501</x:v>
      </x:c>
      <x:c r="B9104" s="13" t="str">
        <x:v>REDE D'OR SAO LUIZ SA</x:v>
      </x:c>
      <x:c r="C9104" s="16" t="n">
        <x:v>2315.9965636384</x:v>
      </x:c>
      <x:c r="D9104" s="13" t="str">
        <x:v>Health Care</x:v>
      </x:c>
      <x:c r="E9104" s="13" t="str">
        <x:v>Health Care</x:v>
      </x:c>
      <x:c r="F9104" s="13" t="str">
        <x:v>Defensives</x:v>
      </x:c>
      <x:c r="G9104" s="13" t="str">
        <x:v>grid_cqzdsc3v.xlsx</x:v>
      </x:c>
    </x:row>
    <x:row r="9105">
      <x:c r="A9105" s="15" t="n">
        <x:v>44501</x:v>
      </x:c>
      <x:c r="B9105" s="13" t="str">
        <x:v>SUL AMERICA SA - UNITS</x:v>
      </x:c>
      <x:c r="C9105" s="16" t="n">
        <x:v>1048.5208910904</x:v>
      </x:c>
      <x:c r="D9105" s="13" t="str">
        <x:v>Health Care</x:v>
      </x:c>
      <x:c r="E9105" s="13" t="str">
        <x:v>Health Care</x:v>
      </x:c>
      <x:c r="F9105" s="13" t="str">
        <x:v>Defensives</x:v>
      </x:c>
      <x:c r="G9105" s="13" t="str">
        <x:v>grid_cqzdsc3v.xlsx</x:v>
      </x:c>
    </x:row>
    <x:row r="9106">
      <x:c r="A9106" s="15" t="n">
        <x:v>44501</x:v>
      </x:c>
      <x:c r="B9106" s="13" t="str">
        <x:v>CYRELA BRAZIL REALTY SA EMP</x:v>
      </x:c>
      <x:c r="C9106" s="16" t="n">
        <x:v>1073.0425682411</x:v>
      </x:c>
      <x:c r="D9106" s="13" t="str">
        <x:v>Homebuilders</x:v>
      </x:c>
      <x:c r="E9106" s="13" t="str">
        <x:v>Real Estate</x:v>
      </x:c>
      <x:c r="F9106" s="13" t="str">
        <x:v>Early Cyclicals</x:v>
      </x:c>
      <x:c r="G9106" s="13" t="str">
        <x:v>grid_cqzdsc3v.xlsx</x:v>
      </x:c>
    </x:row>
    <x:row r="9107">
      <x:c r="A9107" s="15" t="n">
        <x:v>44501</x:v>
      </x:c>
      <x:c r="B9107" s="13" t="str">
        <x:v>EZ TEC EMPREENDIMENTOS E PAR</x:v>
      </x:c>
      <x:c r="C9107" s="16" t="n">
        <x:v>637.664109589</x:v>
      </x:c>
      <x:c r="D9107" s="13" t="str">
        <x:v>Homebuilders</x:v>
      </x:c>
      <x:c r="E9107" s="13" t="str">
        <x:v>Real Estate</x:v>
      </x:c>
      <x:c r="F9107" s="13" t="str">
        <x:v>Early Cyclicals</x:v>
      </x:c>
      <x:c r="G9107" s="13" t="str">
        <x:v>grid_cqzdsc3v.xlsx</x:v>
      </x:c>
    </x:row>
    <x:row r="9108">
      <x:c r="A9108" s="15" t="n">
        <x:v>44501</x:v>
      </x:c>
      <x:c r="B9108" s="13" t="str">
        <x:v>MRV ENGENHARIA</x:v>
      </x:c>
      <x:c r="C9108" s="16" t="n">
        <x:v>734.8991011068</x:v>
      </x:c>
      <x:c r="D9108" s="13" t="str">
        <x:v>Homebuilders</x:v>
      </x:c>
      <x:c r="E9108" s="13" t="str">
        <x:v>Real Estate</x:v>
      </x:c>
      <x:c r="F9108" s="13" t="str">
        <x:v>Early Cyclicals</x:v>
      </x:c>
      <x:c r="G9108" s="13" t="str">
        <x:v>grid_cqzdsc3v.xlsx</x:v>
      </x:c>
    </x:row>
    <x:row r="9109">
      <x:c r="A9109" s="15" t="n">
        <x:v>44501</x:v>
      </x:c>
      <x:c r="B9109" s="13" t="str">
        <x:v>BR MALLS PARTICIPACOES SA</x:v>
      </x:c>
      <x:c r="C9109" s="16" t="n">
        <x:v>517.8116451945</x:v>
      </x:c>
      <x:c r="D9109" s="13" t="str">
        <x:v>Income Properties</x:v>
      </x:c>
      <x:c r="E9109" s="13" t="str">
        <x:v>Real Estate</x:v>
      </x:c>
      <x:c r="F9109" s="13" t="str">
        <x:v>Early Cyclicals</x:v>
      </x:c>
      <x:c r="G9109" s="13" t="str">
        <x:v>grid_cqzdsc3v.xlsx</x:v>
      </x:c>
    </x:row>
    <x:row r="9110">
      <x:c r="A9110" s="15" t="n">
        <x:v>44501</x:v>
      </x:c>
      <x:c r="B9110" s="13" t="str">
        <x:v>JHSF PARTICIPACOES SA</x:v>
      </x:c>
      <x:c r="C9110" s="16" t="n">
        <x:v>642.2890383781</x:v>
      </x:c>
      <x:c r="D9110" s="13" t="str">
        <x:v>Income Properties</x:v>
      </x:c>
      <x:c r="E9110" s="13" t="str">
        <x:v>Real Estate</x:v>
      </x:c>
      <x:c r="F9110" s="13" t="str">
        <x:v>Early Cyclicals</x:v>
      </x:c>
      <x:c r="G9110" s="13" t="str">
        <x:v>grid_cqzdsc3v.xlsx</x:v>
      </x:c>
    </x:row>
    <x:row r="9111">
      <x:c r="A9111" s="15" t="n">
        <x:v>44501</x:v>
      </x:c>
      <x:c r="B9111" s="13" t="str">
        <x:v>MULTIPLAN EMPREENDIMENTOS</x:v>
      </x:c>
      <x:c r="C9111" s="16" t="n">
        <x:v>558.8173226082</x:v>
      </x:c>
      <x:c r="D9111" s="13" t="str">
        <x:v>Income Properties</x:v>
      </x:c>
      <x:c r="E9111" s="13" t="str">
        <x:v>Real Estate</x:v>
      </x:c>
      <x:c r="F9111" s="13" t="str">
        <x:v>Early Cyclicals</x:v>
      </x:c>
      <x:c r="G9111" s="13" t="str">
        <x:v>grid_cqzdsc3v.xlsx</x:v>
      </x:c>
    </x:row>
    <x:row r="9112">
      <x:c r="A9112" s="15" t="n">
        <x:v>44501</x:v>
      </x:c>
      <x:c r="B9112" s="13" t="str">
        <x:v>CIA SIDERURGICA NACIONAL SA</x:v>
      </x:c>
      <x:c r="C9112" s="16" t="n">
        <x:v>7466.5710381589</x:v>
      </x:c>
      <x:c r="D9112" s="13" t="str">
        <x:v>Metals &amp; Mining</x:v>
      </x:c>
      <x:c r="E9112" s="13" t="str">
        <x:v>Metals &amp; Mining</x:v>
      </x:c>
      <x:c r="F9112" s="13" t="str">
        <x:v>Deep Cyclicals</x:v>
      </x:c>
      <x:c r="G9112" s="13" t="str">
        <x:v>grid_cqzdsc3v.xlsx</x:v>
      </x:c>
    </x:row>
    <x:row r="9113">
      <x:c r="A9113" s="15" t="n">
        <x:v>44501</x:v>
      </x:c>
      <x:c r="B9113" s="13" t="str">
        <x:v>GERDAU SA-PREF</x:v>
      </x:c>
      <x:c r="C9113" s="16" t="n">
        <x:v>9303.067782663</x:v>
      </x:c>
      <x:c r="D9113" s="13" t="str">
        <x:v>Metals &amp; Mining</x:v>
      </x:c>
      <x:c r="E9113" s="13" t="str">
        <x:v>Metals &amp; Mining</x:v>
      </x:c>
      <x:c r="F9113" s="13" t="str">
        <x:v>Deep Cyclicals</x:v>
      </x:c>
      <x:c r="G9113" s="13" t="str">
        <x:v>grid_cqzdsc3v.xlsx</x:v>
      </x:c>
    </x:row>
    <x:row r="9114">
      <x:c r="A9114" s="15" t="n">
        <x:v>44501</x:v>
      </x:c>
      <x:c r="B9114" s="13" t="str">
        <x:v>USINAS SIDER MINAS GER-PF A</x:v>
      </x:c>
      <x:c r="C9114" s="16" t="n">
        <x:v>4400.320646663</x:v>
      </x:c>
      <x:c r="D9114" s="13" t="str">
        <x:v>Metals &amp; Mining</x:v>
      </x:c>
      <x:c r="E9114" s="13" t="str">
        <x:v>Metals &amp; Mining</x:v>
      </x:c>
      <x:c r="F9114" s="13" t="str">
        <x:v>Deep Cyclicals</x:v>
      </x:c>
      <x:c r="G9114" s="13" t="str">
        <x:v>grid_cqzdsc3v.xlsx</x:v>
      </x:c>
    </x:row>
    <x:row r="9115">
      <x:c r="A9115" s="15" t="n">
        <x:v>44501</x:v>
      </x:c>
      <x:c r="B9115" s="13" t="str">
        <x:v>VALE SA</x:v>
      </x:c>
      <x:c r="C9115" s="16" t="n">
        <x:v>75209.6254316712</x:v>
      </x:c>
      <x:c r="D9115" s="13" t="str">
        <x:v>Metals &amp; Mining</x:v>
      </x:c>
      <x:c r="E9115" s="13" t="str">
        <x:v>Metals &amp; Mining</x:v>
      </x:c>
      <x:c r="F9115" s="13" t="str">
        <x:v>Deep Cyclicals</x:v>
      </x:c>
      <x:c r="G9115" s="13" t="str">
        <x:v>grid_cqzdsc3v.xlsx</x:v>
      </x:c>
    </x:row>
    <x:row r="9116">
      <x:c r="A9116" s="15" t="n">
        <x:v>44501</x:v>
      </x:c>
      <x:c r="B9116" s="13" t="str">
        <x:v>BRASKEM SA-PREF A</x:v>
      </x:c>
      <x:c r="C9116" s="16" t="n">
        <x:v>10305.5889281753</x:v>
      </x:c>
      <x:c r="D9116" s="13" t="str">
        <x:v>Oil, Gas &amp; Petrochemicals</x:v>
      </x:c>
      <x:c r="E9116" s="13" t="str">
        <x:v>Oil, Gas &amp; Petrochemicals</x:v>
      </x:c>
      <x:c r="F9116" s="13" t="str">
        <x:v>Deep Cyclicals</x:v>
      </x:c>
      <x:c r="G9116" s="13" t="str">
        <x:v>grid_cqzdsc3v.xlsx</x:v>
      </x:c>
    </x:row>
    <x:row r="9117">
      <x:c r="A9117" s="15" t="n">
        <x:v>44501</x:v>
      </x:c>
      <x:c r="B9117" s="13" t="str">
        <x:v>COSAN SA</x:v>
      </x:c>
      <x:c r="C9117" s="16" t="n">
        <x:v>3221.8399673863</x:v>
      </x:c>
      <x:c r="D9117" s="13" t="str">
        <x:v>Oil, Gas &amp; Petrochemicals</x:v>
      </x:c>
      <x:c r="E9117" s="13" t="str">
        <x:v>Oil, Gas &amp; Petrochemicals</x:v>
      </x:c>
      <x:c r="F9117" s="13" t="str">
        <x:v>Deep Cyclicals</x:v>
      </x:c>
      <x:c r="G9117" s="13" t="str">
        <x:v>grid_cqzdsc3v.xlsx</x:v>
      </x:c>
    </x:row>
    <x:row r="9118">
      <x:c r="A9118" s="15" t="n">
        <x:v>44501</x:v>
      </x:c>
      <x:c r="B9118" s="13" t="str">
        <x:v>PETROBRAS - PETROLEO BRAS</x:v>
      </x:c>
      <x:c r="C9118" s="16" t="n">
        <x:v>94168.6173976548</x:v>
      </x:c>
      <x:c r="D9118" s="13" t="str">
        <x:v>Oil, Gas &amp; Petrochemicals</x:v>
      </x:c>
      <x:c r="E9118" s="13" t="str">
        <x:v>Oil, Gas &amp; Petrochemicals</x:v>
      </x:c>
      <x:c r="F9118" s="13" t="str">
        <x:v>Deep Cyclicals</x:v>
      </x:c>
      <x:c r="G9118" s="13" t="str">
        <x:v>grid_cqzdsc3v.xlsx</x:v>
      </x:c>
    </x:row>
    <x:row r="9119">
      <x:c r="A9119" s="15" t="n">
        <x:v>44501</x:v>
      </x:c>
      <x:c r="B9119" s="13" t="str">
        <x:v>PRIO SA</x:v>
      </x:c>
      <x:c r="C9119" s="16" t="n">
        <x:v>1764.212314126</x:v>
      </x:c>
      <x:c r="D9119" s="13" t="str">
        <x:v>Oil, Gas &amp; Petrochemicals</x:v>
      </x:c>
      <x:c r="E9119" s="13" t="str">
        <x:v>Oil, Gas &amp; Petrochemicals</x:v>
      </x:c>
      <x:c r="F9119" s="13" t="str">
        <x:v>Deep Cyclicals</x:v>
      </x:c>
      <x:c r="G9119" s="13" t="str">
        <x:v>grid_cqzdsc3v.xlsx</x:v>
      </x:c>
    </x:row>
    <x:row r="9120">
      <x:c r="A9120" s="15" t="n">
        <x:v>44501</x:v>
      </x:c>
      <x:c r="B9120" s="13" t="str">
        <x:v>ULTRAPAR PARTICIPACOES SA</x:v>
      </x:c>
      <x:c r="C9120" s="16" t="n">
        <x:v>1215.1880146411</x:v>
      </x:c>
      <x:c r="D9120" s="13" t="str">
        <x:v>Oil, Gas &amp; Petrochemicals</x:v>
      </x:c>
      <x:c r="E9120" s="13" t="str">
        <x:v>Oil, Gas &amp; Petrochemicals</x:v>
      </x:c>
      <x:c r="F9120" s="13" t="str">
        <x:v>Deep Cyclicals</x:v>
      </x:c>
      <x:c r="G9120" s="13" t="str">
        <x:v>grid_cqzdsc3v.xlsx</x:v>
      </x:c>
    </x:row>
    <x:row r="9121">
      <x:c r="A9121" s="15" t="n">
        <x:v>44501</x:v>
      </x:c>
      <x:c r="B9121" s="13" t="str">
        <x:v>VIBRA ENERGIA SA</x:v>
      </x:c>
      <x:c r="C9121" s="16" t="n">
        <x:v>2104.6479717699</x:v>
      </x:c>
      <x:c r="D9121" s="13" t="str">
        <x:v>Oil, Gas &amp; Petrochemicals</x:v>
      </x:c>
      <x:c r="E9121" s="13" t="str">
        <x:v>Oil, Gas &amp; Petrochemicals</x:v>
      </x:c>
      <x:c r="F9121" s="13" t="str">
        <x:v>Deep Cyclicals</x:v>
      </x:c>
      <x:c r="G9121" s="13" t="str">
        <x:v>grid_cqzdsc3v.xlsx</x:v>
      </x:c>
    </x:row>
    <x:row r="9122">
      <x:c r="A9122" s="15" t="n">
        <x:v>44501</x:v>
      </x:c>
      <x:c r="B9122" s="13" t="str">
        <x:v>DEXCO SA</x:v>
      </x:c>
      <x:c r="C9122" s="16" t="n">
        <x:v>903.6500360767</x:v>
      </x:c>
      <x:c r="D9122" s="13" t="str">
        <x:v>Pulp &amp; Paper</x:v>
      </x:c>
      <x:c r="E9122" s="13" t="str">
        <x:v>Pulp &amp; Paper</x:v>
      </x:c>
      <x:c r="F9122" s="13" t="str">
        <x:v>Deep Cyclicals</x:v>
      </x:c>
      <x:c r="G9122" s="13" t="str">
        <x:v>grid_cqzdsc3v.xlsx</x:v>
      </x:c>
    </x:row>
    <x:row r="9123">
      <x:c r="A9123" s="15" t="n">
        <x:v>44501</x:v>
      </x:c>
      <x:c r="B9123" s="13" t="str">
        <x:v>KLABIN SA - UNIT</x:v>
      </x:c>
      <x:c r="C9123" s="16" t="n">
        <x:v>2147.5036202082</x:v>
      </x:c>
      <x:c r="D9123" s="13" t="str">
        <x:v>Pulp &amp; Paper</x:v>
      </x:c>
      <x:c r="E9123" s="13" t="str">
        <x:v>Pulp &amp; Paper</x:v>
      </x:c>
      <x:c r="F9123" s="13" t="str">
        <x:v>Deep Cyclicals</x:v>
      </x:c>
      <x:c r="G9123" s="13" t="str">
        <x:v>grid_cqzdsc3v.xlsx</x:v>
      </x:c>
    </x:row>
    <x:row r="9124">
      <x:c r="A9124" s="15" t="n">
        <x:v>44501</x:v>
      </x:c>
      <x:c r="B9124" s="13" t="str">
        <x:v>SUZANO SA</x:v>
      </x:c>
      <x:c r="C9124" s="16" t="n">
        <x:v>5844.3170465315</x:v>
      </x:c>
      <x:c r="D9124" s="13" t="str">
        <x:v>Pulp &amp; Paper</x:v>
      </x:c>
      <x:c r="E9124" s="13" t="str">
        <x:v>Pulp &amp; Paper</x:v>
      </x:c>
      <x:c r="F9124" s="13" t="str">
        <x:v>Deep Cyclicals</x:v>
      </x:c>
      <x:c r="G9124" s="13" t="str">
        <x:v>grid_cqzdsc3v.xlsx</x:v>
      </x:c>
    </x:row>
    <x:row r="9125">
      <x:c r="A9125" s="15" t="n">
        <x:v>44501</x:v>
      </x:c>
      <x:c r="B9125" s="13" t="str">
        <x:v>ALPARGATAS SA - PREF</x:v>
      </x:c>
      <x:c r="C9125" s="16" t="n">
        <x:v>796.0136986301</x:v>
      </x:c>
      <x:c r="D9125" s="13" t="str">
        <x:v>Retail</x:v>
      </x:c>
      <x:c r="E9125" s="13" t="str">
        <x:v>Retail</x:v>
      </x:c>
      <x:c r="F9125" s="13" t="str">
        <x:v>Early Cyclicals</x:v>
      </x:c>
      <x:c r="G9125" s="13" t="str">
        <x:v>grid_cqzdsc3v.xlsx</x:v>
      </x:c>
    </x:row>
    <x:row r="9126">
      <x:c r="A9126" s="15" t="n">
        <x:v>44501</x:v>
      </x:c>
      <x:c r="B9126" s="13" t="str">
        <x:v>AMERICANAS SA</x:v>
      </x:c>
      <x:c r="C9126" s="16" t="n">
        <x:v>357.8160056986</x:v>
      </x:c>
      <x:c r="D9126" s="13" t="str">
        <x:v>Retail</x:v>
      </x:c>
      <x:c r="E9126" s="13" t="str">
        <x:v>Retail</x:v>
      </x:c>
      <x:c r="F9126" s="13" t="str">
        <x:v>Early Cyclicals</x:v>
      </x:c>
      <x:c r="G9126" s="13" t="str">
        <x:v>grid_cqzdsc3v.xlsx</x:v>
      </x:c>
    </x:row>
    <x:row r="9127">
      <x:c r="A9127" s="15" t="n">
        <x:v>44501</x:v>
      </x:c>
      <x:c r="B9127" s="13" t="str">
        <x:v>ATACADAO SA</x:v>
      </x:c>
      <x:c r="C9127" s="16" t="n">
        <x:v>2705.450911211</x:v>
      </x:c>
      <x:c r="D9127" s="13" t="str">
        <x:v>Retail</x:v>
      </x:c>
      <x:c r="E9127" s="13" t="str">
        <x:v>Retail</x:v>
      </x:c>
      <x:c r="F9127" s="13" t="str">
        <x:v>Early Cyclicals</x:v>
      </x:c>
      <x:c r="G9127" s="13" t="str">
        <x:v>grid_cqzdsc3v.xlsx</x:v>
      </x:c>
    </x:row>
    <x:row r="9128">
      <x:c r="A9128" s="15" t="n">
        <x:v>44501</x:v>
      </x:c>
      <x:c r="B9128" s="13" t="str">
        <x:v>CIA BRASILEIRA DE DISTRIBUIC</x:v>
      </x:c>
      <x:c r="C9128" s="16" t="n">
        <x:v>411.2132039014</x:v>
      </x:c>
      <x:c r="D9128" s="13" t="str">
        <x:v>Retail</x:v>
      </x:c>
      <x:c r="E9128" s="13" t="str">
        <x:v>Retail</x:v>
      </x:c>
      <x:c r="F9128" s="13" t="str">
        <x:v>Early Cyclicals</x:v>
      </x:c>
      <x:c r="G9128" s="13" t="str">
        <x:v>grid_cqzdsc3v.xlsx</x:v>
      </x:c>
    </x:row>
    <x:row r="9129">
      <x:c r="A9129" s="15" t="n">
        <x:v>44501</x:v>
      </x:c>
      <x:c r="B9129" s="13" t="str">
        <x:v>CVC BRASIL OPERADORA E AGENC</x:v>
      </x:c>
      <x:c r="C9129" s="16" t="n">
        <x:v>-19.5868493151</x:v>
      </x:c>
      <x:c r="D9129" s="13" t="str">
        <x:v>Retail</x:v>
      </x:c>
      <x:c r="E9129" s="13" t="str">
        <x:v>Retail</x:v>
      </x:c>
      <x:c r="F9129" s="13" t="str">
        <x:v>Early Cyclicals</x:v>
      </x:c>
      <x:c r="G9129" s="13" t="str">
        <x:v>grid_cqzdsc3v.xlsx</x:v>
      </x:c>
    </x:row>
    <x:row r="9130">
      <x:c r="A9130" s="15" t="n">
        <x:v>44501</x:v>
      </x:c>
      <x:c r="B9130" s="13" t="str">
        <x:v>GRUPO CASAS BAHIA SA</x:v>
      </x:c>
      <x:c r="C9130" s="16" t="n">
        <x:v>85.5547635288</x:v>
      </x:c>
      <x:c r="D9130" s="13" t="str">
        <x:v>Retail</x:v>
      </x:c>
      <x:c r="E9130" s="13" t="str">
        <x:v>Retail</x:v>
      </x:c>
      <x:c r="F9130" s="13" t="str">
        <x:v>Early Cyclicals</x:v>
      </x:c>
      <x:c r="G9130" s="13" t="str">
        <x:v>grid_cqzdsc3v.xlsx</x:v>
      </x:c>
    </x:row>
    <x:row r="9131">
      <x:c r="A9131" s="15" t="n">
        <x:v>44501</x:v>
      </x:c>
      <x:c r="B9131" s="13" t="str">
        <x:v>LOJAS AMERICANAS SA-PREF</x:v>
      </x:c>
      <x:c r="C9131" s="16" t="n">
        <x:v>121.1835616438</x:v>
      </x:c>
      <x:c r="D9131" s="13" t="str">
        <x:v>Retail</x:v>
      </x:c>
      <x:c r="E9131" s="13" t="str">
        <x:v>Retail</x:v>
      </x:c>
      <x:c r="F9131" s="13" t="str">
        <x:v>Early Cyclicals</x:v>
      </x:c>
      <x:c r="G9131" s="13" t="str">
        <x:v>grid_cqzdsc3v.xlsx</x:v>
      </x:c>
    </x:row>
    <x:row r="9132">
      <x:c r="A9132" s="15" t="n">
        <x:v>44501</x:v>
      </x:c>
      <x:c r="B9132" s="13" t="str">
        <x:v>LOJAS RENNER S.A.</x:v>
      </x:c>
      <x:c r="C9132" s="16" t="n">
        <x:v>1198.1693150685</x:v>
      </x:c>
      <x:c r="D9132" s="13" t="str">
        <x:v>Retail</x:v>
      </x:c>
      <x:c r="E9132" s="13" t="str">
        <x:v>Retail</x:v>
      </x:c>
      <x:c r="F9132" s="13" t="str">
        <x:v>Early Cyclicals</x:v>
      </x:c>
      <x:c r="G9132" s="13" t="str">
        <x:v>grid_cqzdsc3v.xlsx</x:v>
      </x:c>
    </x:row>
    <x:row r="9133">
      <x:c r="A9133" s="15" t="n">
        <x:v>44501</x:v>
      </x:c>
      <x:c r="B9133" s="13" t="str">
        <x:v>MAGAZINE LUIZA SA</x:v>
      </x:c>
      <x:c r="C9133" s="16" t="n">
        <x:v>624.246291989</x:v>
      </x:c>
      <x:c r="D9133" s="13" t="str">
        <x:v>Retail</x:v>
      </x:c>
      <x:c r="E9133" s="13" t="str">
        <x:v>Retail</x:v>
      </x:c>
      <x:c r="F9133" s="13" t="str">
        <x:v>Early Cyclicals</x:v>
      </x:c>
      <x:c r="G9133" s="13" t="str">
        <x:v>grid_cqzdsc3v.xlsx</x:v>
      </x:c>
    </x:row>
    <x:row r="9134">
      <x:c r="A9134" s="15" t="n">
        <x:v>44501</x:v>
      </x:c>
      <x:c r="B9134" s="13" t="str">
        <x:v>NATURA &amp;CO HOLDING SA</x:v>
      </x:c>
      <x:c r="C9134" s="16" t="n">
        <x:v>883.3273766575</x:v>
      </x:c>
      <x:c r="D9134" s="13" t="str">
        <x:v>Retail</x:v>
      </x:c>
      <x:c r="E9134" s="13" t="str">
        <x:v>Retail</x:v>
      </x:c>
      <x:c r="F9134" s="13" t="str">
        <x:v>Early Cyclicals</x:v>
      </x:c>
      <x:c r="G9134" s="13" t="str">
        <x:v>grid_cqzdsc3v.xlsx</x:v>
      </x:c>
    </x:row>
    <x:row r="9135">
      <x:c r="A9135" s="15" t="n">
        <x:v>44501</x:v>
      </x:c>
      <x:c r="B9135" s="13" t="str">
        <x:v>PET CENTER COMERCIO E PARTIC</x:v>
      </x:c>
      <x:c r="C9135" s="16" t="n">
        <x:v>136.5824657534</x:v>
      </x:c>
      <x:c r="D9135" s="13" t="str">
        <x:v>Retail</x:v>
      </x:c>
      <x:c r="E9135" s="13" t="str">
        <x:v>Retail</x:v>
      </x:c>
      <x:c r="F9135" s="13" t="str">
        <x:v>Early Cyclicals</x:v>
      </x:c>
      <x:c r="G9135" s="13" t="str">
        <x:v>grid_cqzdsc3v.xlsx</x:v>
      </x:c>
    </x:row>
    <x:row r="9136">
      <x:c r="A9136" s="15" t="n">
        <x:v>44501</x:v>
      </x:c>
      <x:c r="B9136" s="13" t="str">
        <x:v>RAIA DROGASIL SA</x:v>
      </x:c>
      <x:c r="C9136" s="16" t="n">
        <x:v>1051.7158529753</x:v>
      </x:c>
      <x:c r="D9136" s="13" t="str">
        <x:v>Retail</x:v>
      </x:c>
      <x:c r="E9136" s="13" t="str">
        <x:v>Retail</x:v>
      </x:c>
      <x:c r="F9136" s="13" t="str">
        <x:v>Early Cyclicals</x:v>
      </x:c>
      <x:c r="G9136" s="13" t="str">
        <x:v>grid_cqzdsc3v.xlsx</x:v>
      </x:c>
    </x:row>
    <x:row r="9137">
      <x:c r="A9137" s="15" t="n">
        <x:v>44501</x:v>
      </x:c>
      <x:c r="B9137" s="13" t="str">
        <x:v>SENDAS DISTRIBUIDORA SA</x:v>
      </x:c>
      <x:c r="C9137" s="16" t="n">
        <x:v>1308.4959821151</x:v>
      </x:c>
      <x:c r="D9137" s="13" t="str">
        <x:v>Retail</x:v>
      </x:c>
      <x:c r="E9137" s="13" t="str">
        <x:v>Retail</x:v>
      </x:c>
      <x:c r="F9137" s="13" t="str">
        <x:v>Early Cyclicals</x:v>
      </x:c>
      <x:c r="G9137" s="13" t="str">
        <x:v>grid_cqzdsc3v.xlsx</x:v>
      </x:c>
    </x:row>
    <x:row r="9138">
      <x:c r="A9138" s="15" t="n">
        <x:v>44501</x:v>
      </x:c>
      <x:c r="B9138" s="13" t="str">
        <x:v>CIA SANEAMENTO BASICO DE SP</x:v>
      </x:c>
      <x:c r="C9138" s="16" t="n">
        <x:v>3047.4072660164</x:v>
      </x:c>
      <x:c r="D9138" s="13" t="str">
        <x:v>Sanitation</x:v>
      </x:c>
      <x:c r="E9138" s="13" t="str">
        <x:v>Utilities</x:v>
      </x:c>
      <x:c r="F9138" s="13" t="str">
        <x:v>Defensives</x:v>
      </x:c>
      <x:c r="G9138" s="13" t="str">
        <x:v>grid_cqzdsc3v.xlsx</x:v>
      </x:c>
    </x:row>
    <x:row r="9139">
      <x:c r="A9139" s="15" t="n">
        <x:v>44501</x:v>
      </x:c>
      <x:c r="B9139" s="13" t="str">
        <x:v>LWSA SA</x:v>
      </x:c>
      <x:c r="C9139" s="16" t="n">
        <x:v>143.0595205479</x:v>
      </x:c>
      <x:c r="D9139" s="13" t="str">
        <x:v>TMT</x:v>
      </x:c>
      <x:c r="E9139" s="13" t="str">
        <x:v>TMT</x:v>
      </x:c>
      <x:c r="F9139" s="13" t="str">
        <x:v>Early Cyclicals</x:v>
      </x:c>
      <x:c r="G9139" s="13" t="str">
        <x:v>grid_cqzdsc3v.xlsx</x:v>
      </x:c>
    </x:row>
    <x:row r="9140">
      <x:c r="A9140" s="15" t="n">
        <x:v>44501</x:v>
      </x:c>
      <x:c r="B9140" s="13" t="str">
        <x:v>TIM SA</x:v>
      </x:c>
      <x:c r="C9140" s="16" t="n">
        <x:v>2440.5452309041</x:v>
      </x:c>
      <x:c r="D9140" s="13" t="str">
        <x:v>TMT</x:v>
      </x:c>
      <x:c r="E9140" s="13" t="str">
        <x:v>TMT</x:v>
      </x:c>
      <x:c r="F9140" s="13" t="str">
        <x:v>Early Cyclicals</x:v>
      </x:c>
      <x:c r="G9140" s="13" t="str">
        <x:v>grid_cqzdsc3v.xlsx</x:v>
      </x:c>
    </x:row>
    <x:row r="9141">
      <x:c r="A9141" s="15" t="n">
        <x:v>44501</x:v>
      </x:c>
      <x:c r="B9141" s="13" t="str">
        <x:v>TOTVS SA</x:v>
      </x:c>
      <x:c r="C9141" s="16" t="n">
        <x:v>527.0150977753</x:v>
      </x:c>
      <x:c r="D9141" s="13" t="str">
        <x:v>TMT</x:v>
      </x:c>
      <x:c r="E9141" s="13" t="str">
        <x:v>TMT</x:v>
      </x:c>
      <x:c r="F9141" s="13" t="str">
        <x:v>Early Cyclicals</x:v>
      </x:c>
      <x:c r="G9141" s="13" t="str">
        <x:v>grid_cqzdsc3v.xlsx</x:v>
      </x:c>
    </x:row>
    <x:row r="9142">
      <x:c r="A9142" s="15" t="n">
        <x:v>44501</x:v>
      </x:c>
      <x:c r="B9142" s="13" t="str">
        <x:v>AZUL SA</x:v>
      </x:c>
      <x:c r="C9142" s="16" t="n">
        <x:v>-1227.2938548603</x:v>
      </x:c>
      <x:c r="D9142" s="13" t="str">
        <x:v>Transportation</x:v>
      </x:c>
      <x:c r="E9142" s="13" t="str">
        <x:v>Transportation</x:v>
      </x:c>
      <x:c r="F9142" s="13" t="str">
        <x:v>Deep Cyclicals</x:v>
      </x:c>
      <x:c r="G9142" s="13" t="str">
        <x:v>grid_cqzdsc3v.xlsx</x:v>
      </x:c>
    </x:row>
    <x:row r="9143">
      <x:c r="A9143" s="15" t="n">
        <x:v>44501</x:v>
      </x:c>
      <x:c r="B9143" s="13" t="str">
        <x:v>CIA DE LOCACAO DAS AMERICAS</x:v>
      </x:c>
      <x:c r="C9143" s="16" t="n">
        <x:v>977.2356164384</x:v>
      </x:c>
      <x:c r="D9143" s="13" t="str">
        <x:v>Transportation</x:v>
      </x:c>
      <x:c r="E9143" s="13" t="str">
        <x:v>Transportation</x:v>
      </x:c>
      <x:c r="F9143" s="13" t="str">
        <x:v>Deep Cyclicals</x:v>
      </x:c>
      <x:c r="G9143" s="13" t="str">
        <x:v>grid_cqzdsc3v.xlsx</x:v>
      </x:c>
    </x:row>
    <x:row r="9144">
      <x:c r="A9144" s="15" t="n">
        <x:v>44501</x:v>
      </x:c>
      <x:c r="B9144" s="13" t="str">
        <x:v>ECORODOVIAS INFRA E LOG SA</x:v>
      </x:c>
      <x:c r="C9144" s="16" t="n">
        <x:v>234.7678095781</x:v>
      </x:c>
      <x:c r="D9144" s="13" t="str">
        <x:v>Transportation</x:v>
      </x:c>
      <x:c r="E9144" s="13" t="str">
        <x:v>Transportation</x:v>
      </x:c>
      <x:c r="F9144" s="13" t="str">
        <x:v>Deep Cyclicals</x:v>
      </x:c>
      <x:c r="G9144" s="13" t="str">
        <x:v>grid_cqzdsc3v.xlsx</x:v>
      </x:c>
    </x:row>
    <x:row r="9145">
      <x:c r="A9145" s="15" t="n">
        <x:v>44501</x:v>
      </x:c>
      <x:c r="B9145" s="13" t="str">
        <x:v>GOL LINHAS AEREAS INT SA-PRE</x:v>
      </x:c>
      <x:c r="C9145" s="16" t="n">
        <x:v>-1131.1949059507</x:v>
      </x:c>
      <x:c r="D9145" s="13" t="str">
        <x:v>Transportation</x:v>
      </x:c>
      <x:c r="E9145" s="13" t="str">
        <x:v>Transportation</x:v>
      </x:c>
      <x:c r="F9145" s="13" t="str">
        <x:v>Deep Cyclicals</x:v>
      </x:c>
      <x:c r="G9145" s="13" t="str">
        <x:v>grid_cqzdsc3v.xlsx</x:v>
      </x:c>
    </x:row>
    <x:row r="9146">
      <x:c r="A9146" s="15" t="n">
        <x:v>44501</x:v>
      </x:c>
      <x:c r="B9146" s="13" t="str">
        <x:v>LOCALIZA RENT A CAR</x:v>
      </x:c>
      <x:c r="C9146" s="16" t="n">
        <x:v>1807.4525457534</x:v>
      </x:c>
      <x:c r="D9146" s="13" t="str">
        <x:v>Transportation</x:v>
      </x:c>
      <x:c r="E9146" s="13" t="str">
        <x:v>Transportation</x:v>
      </x:c>
      <x:c r="F9146" s="13" t="str">
        <x:v>Deep Cyclicals</x:v>
      </x:c>
      <x:c r="G9146" s="13" t="str">
        <x:v>grid_cqzdsc3v.xlsx</x:v>
      </x:c>
    </x:row>
    <x:row r="9147">
      <x:c r="A9147" s="15" t="n">
        <x:v>44501</x:v>
      </x:c>
      <x:c r="B9147" s="13" t="str">
        <x:v>MOTIVA INFRAESTRUTURA DE MOB</x:v>
      </x:c>
      <x:c r="C9147" s="16" t="n">
        <x:v>1160.6966293041</x:v>
      </x:c>
      <x:c r="D9147" s="13" t="str">
        <x:v>Transportation</x:v>
      </x:c>
      <x:c r="E9147" s="13" t="str">
        <x:v>Transportation</x:v>
      </x:c>
      <x:c r="F9147" s="13" t="str">
        <x:v>Deep Cyclicals</x:v>
      </x:c>
      <x:c r="G9147" s="13" t="str">
        <x:v>grid_cqzdsc3v.xlsx</x:v>
      </x:c>
    </x:row>
    <x:row r="9148">
      <x:c r="A9148" s="15" t="n">
        <x:v>44501</x:v>
      </x:c>
      <x:c r="B9148" s="13" t="str">
        <x:v>RUMO SA</x:v>
      </x:c>
      <x:c r="C9148" s="16" t="n">
        <x:v>929.4776093808</x:v>
      </x:c>
      <x:c r="D9148" s="13" t="str">
        <x:v>Transportation</x:v>
      </x:c>
      <x:c r="E9148" s="13" t="str">
        <x:v>Transportation</x:v>
      </x:c>
      <x:c r="F9148" s="13" t="str">
        <x:v>Deep Cyclicals</x:v>
      </x:c>
      <x:c r="G9148" s="13" t="str">
        <x:v>grid_cqzdsc3v.xlsx</x:v>
      </x:c>
    </x:row>
    <x:row r="9149">
      <x:c r="A9149" s="15" t="n">
        <x:v>44501</x:v>
      </x:c>
      <x:c r="B9149" s="13" t="str">
        <x:v>AXIA ENERGIA SA</x:v>
      </x:c>
      <x:c r="C9149" s="16" t="n">
        <x:v>9459.7201022247</x:v>
      </x:c>
      <x:c r="D9149" s="13" t="str">
        <x:v>Utilities &amp; Energy</x:v>
      </x:c>
      <x:c r="E9149" s="13" t="str">
        <x:v>Utilities</x:v>
      </x:c>
      <x:c r="F9149" s="13" t="str">
        <x:v>Defensives</x:v>
      </x:c>
      <x:c r="G9149" s="13" t="str">
        <x:v>grid_cqzdsc3v.xlsx</x:v>
      </x:c>
    </x:row>
    <x:row r="9150">
      <x:c r="A9150" s="15" t="n">
        <x:v>44501</x:v>
      </x:c>
      <x:c r="B9150" s="13" t="str">
        <x:v>AXIA ENERGIA-PR B</x:v>
      </x:c>
      <x:c r="C9150" s="16" t="n">
        <x:v>9459.7201022247</x:v>
      </x:c>
      <x:c r="D9150" s="13" t="str">
        <x:v>Utilities &amp; Energy</x:v>
      </x:c>
      <x:c r="E9150" s="13" t="str">
        <x:v>Utilities</x:v>
      </x:c>
      <x:c r="F9150" s="13" t="str">
        <x:v>Defensives</x:v>
      </x:c>
      <x:c r="G9150" s="13" t="str">
        <x:v>grid_cqzdsc3v.xlsx</x:v>
      </x:c>
    </x:row>
    <x:row r="9151">
      <x:c r="A9151" s="15" t="n">
        <x:v>44501</x:v>
      </x:c>
      <x:c r="B9151" s="13" t="str">
        <x:v>CIA ENERGETICA MINAS GER-PRF</x:v>
      </x:c>
      <x:c r="C9151" s="16" t="n">
        <x:v>3215.9572017096</x:v>
      </x:c>
      <x:c r="D9151" s="13" t="str">
        <x:v>Utilities &amp; Energy</x:v>
      </x:c>
      <x:c r="E9151" s="13" t="str">
        <x:v>Utilities</x:v>
      </x:c>
      <x:c r="F9151" s="13" t="str">
        <x:v>Defensives</x:v>
      </x:c>
      <x:c r="G9151" s="13" t="str">
        <x:v>grid_cqzdsc3v.xlsx</x:v>
      </x:c>
    </x:row>
    <x:row r="9152">
      <x:c r="A9152" s="15" t="n">
        <x:v>44501</x:v>
      </x:c>
      <x:c r="B9152" s="13" t="str">
        <x:v>COMPANHIA PARANAENSE -PREF B</x:v>
      </x:c>
      <x:c r="C9152" s="16" t="n">
        <x:v>2422.4865911233</x:v>
      </x:c>
      <x:c r="D9152" s="13" t="str">
        <x:v>Utilities &amp; Energy</x:v>
      </x:c>
      <x:c r="E9152" s="13" t="str">
        <x:v>Utilities</x:v>
      </x:c>
      <x:c r="F9152" s="13" t="str">
        <x:v>Defensives</x:v>
      </x:c>
      <x:c r="G9152" s="13" t="str">
        <x:v>grid_cqzdsc3v.xlsx</x:v>
      </x:c>
    </x:row>
    <x:row r="9153">
      <x:c r="A9153" s="15" t="n">
        <x:v>44501</x:v>
      </x:c>
      <x:c r="B9153" s="13" t="str">
        <x:v>CPFL ENERGIA SA</x:v>
      </x:c>
      <x:c r="C9153" s="16" t="n">
        <x:v>4169.8745498301</x:v>
      </x:c>
      <x:c r="D9153" s="13" t="str">
        <x:v>Utilities &amp; Energy</x:v>
      </x:c>
      <x:c r="E9153" s="13" t="str">
        <x:v>Utilities</x:v>
      </x:c>
      <x:c r="F9153" s="13" t="str">
        <x:v>Defensives</x:v>
      </x:c>
      <x:c r="G9153" s="13" t="str">
        <x:v>grid_cqzdsc3v.xlsx</x:v>
      </x:c>
    </x:row>
    <x:row r="9154">
      <x:c r="A9154" s="15" t="n">
        <x:v>44501</x:v>
      </x:c>
      <x:c r="B9154" s="13" t="str">
        <x:v>EDP - ENERGIAS DO BRASIL SA</x:v>
      </x:c>
      <x:c r="C9154" s="16" t="n">
        <x:v>1670.992455189</x:v>
      </x:c>
      <x:c r="D9154" s="13" t="str">
        <x:v>Utilities &amp; Energy</x:v>
      </x:c>
      <x:c r="E9154" s="13" t="str">
        <x:v>Utilities</x:v>
      </x:c>
      <x:c r="F9154" s="13" t="str">
        <x:v>Defensives</x:v>
      </x:c>
      <x:c r="G9154" s="13" t="str">
        <x:v>grid_cqzdsc3v.xlsx</x:v>
      </x:c>
    </x:row>
    <x:row r="9155">
      <x:c r="A9155" s="15" t="n">
        <x:v>44501</x:v>
      </x:c>
      <x:c r="B9155" s="13" t="str">
        <x:v>ENERGISA SA-UNITS</x:v>
      </x:c>
      <x:c r="C9155" s="16" t="n">
        <x:v>2076.9415027726</x:v>
      </x:c>
      <x:c r="D9155" s="13" t="str">
        <x:v>Utilities &amp; Energy</x:v>
      </x:c>
      <x:c r="E9155" s="13" t="str">
        <x:v>Utilities</x:v>
      </x:c>
      <x:c r="F9155" s="13" t="str">
        <x:v>Defensives</x:v>
      </x:c>
      <x:c r="G9155" s="13" t="str">
        <x:v>grid_cqzdsc3v.xlsx</x:v>
      </x:c>
    </x:row>
    <x:row r="9156">
      <x:c r="A9156" s="15" t="n">
        <x:v>44501</x:v>
      </x:c>
      <x:c r="B9156" s="13" t="str">
        <x:v>ENEVA SA</x:v>
      </x:c>
      <x:c r="C9156" s="16" t="n">
        <x:v>1578.4082191781</x:v>
      </x:c>
      <x:c r="D9156" s="13" t="str">
        <x:v>Utilities &amp; Energy</x:v>
      </x:c>
      <x:c r="E9156" s="13" t="str">
        <x:v>Utilities</x:v>
      </x:c>
      <x:c r="F9156" s="13" t="str">
        <x:v>Defensives</x:v>
      </x:c>
      <x:c r="G9156" s="13" t="str">
        <x:v>grid_cqzdsc3v.xlsx</x:v>
      </x:c>
    </x:row>
    <x:row r="9157">
      <x:c r="A9157" s="15" t="n">
        <x:v>44501</x:v>
      </x:c>
      <x:c r="B9157" s="13" t="str">
        <x:v>ENGIE BRASIL ENERGIA SA</x:v>
      </x:c>
      <x:c r="C9157" s="16" t="n">
        <x:v>3262.0362099726</x:v>
      </x:c>
      <x:c r="D9157" s="13" t="str">
        <x:v>Utilities &amp; Energy</x:v>
      </x:c>
      <x:c r="E9157" s="13" t="str">
        <x:v>Utilities</x:v>
      </x:c>
      <x:c r="F9157" s="13" t="str">
        <x:v>Defensives</x:v>
      </x:c>
      <x:c r="G9157" s="13" t="str">
        <x:v>grid_cqzdsc3v.xlsx</x:v>
      </x:c>
    </x:row>
    <x:row r="9158">
      <x:c r="A9158" s="15" t="n">
        <x:v>44501</x:v>
      </x:c>
      <x:c r="B9158" s="13" t="str">
        <x:v>EQUATORIAL SA - ORD</x:v>
      </x:c>
      <x:c r="C9158" s="16" t="n">
        <x:v>2398.3304619836</x:v>
      </x:c>
      <x:c r="D9158" s="13" t="str">
        <x:v>Utilities &amp; Energy</x:v>
      </x:c>
      <x:c r="E9158" s="13" t="str">
        <x:v>Utilities</x:v>
      </x:c>
      <x:c r="F9158" s="13" t="str">
        <x:v>Defensives</x:v>
      </x:c>
      <x:c r="G9158" s="13" t="str">
        <x:v>grid_cqzdsc3v.xlsx</x:v>
      </x:c>
    </x:row>
    <x:row r="9159">
      <x:c r="A9159" s="15" t="n">
        <x:v>44501</x:v>
      </x:c>
      <x:c r="B9159" s="13" t="str">
        <x:v>TRANSMISSORA ALIANCA DE-UNIT</x:v>
      </x:c>
      <x:c r="C9159" s="16" t="n">
        <x:v>1270.9999707178</x:v>
      </x:c>
      <x:c r="D9159" s="13" t="str">
        <x:v>Utilities &amp; Energy</x:v>
      </x:c>
      <x:c r="E9159" s="13" t="str">
        <x:v>Utilities</x:v>
      </x:c>
      <x:c r="F9159" s="13" t="str">
        <x:v>Defensives</x:v>
      </x:c>
      <x:c r="G9159" s="13" t="str">
        <x:v>grid_cqzdsc3v.xlsx</x:v>
      </x:c>
    </x:row>
    <x:row r="9160">
      <x:c r="A9160" s="15" t="n">
        <x:v>44531</x:v>
      </x:c>
      <x:c r="B9160" s="13" t="str">
        <x:v>BANCO BRADESCO S.A.</x:v>
      </x:c>
      <x:c r="C9160" s="16" t="n">
        <x:v>28654.000128</x:v>
      </x:c>
      <x:c r="D9160" s="13" t="str">
        <x:v>Banks</x:v>
      </x:c>
      <x:c r="E9160" s="13" t="str">
        <x:v>Banks</x:v>
      </x:c>
      <x:c r="F9160" s="13" t="str">
        <x:v>Financials</x:v>
      </x:c>
      <x:c r="G9160" s="13" t="str">
        <x:v>grid_cqzdsc3v.xlsx</x:v>
      </x:c>
    </x:row>
    <x:row r="9161">
      <x:c r="A9161" s="15" t="n">
        <x:v>44531</x:v>
      </x:c>
      <x:c r="B9161" s="13" t="str">
        <x:v>BANCO BRADESCO SA-PREF</x:v>
      </x:c>
      <x:c r="C9161" s="16" t="n">
        <x:v>28654.000128</x:v>
      </x:c>
      <x:c r="D9161" s="13" t="str">
        <x:v>Banks</x:v>
      </x:c>
      <x:c r="E9161" s="13" t="str">
        <x:v>Banks</x:v>
      </x:c>
      <x:c r="F9161" s="13" t="str">
        <x:v>Financials</x:v>
      </x:c>
      <x:c r="G9161" s="13" t="str">
        <x:v>grid_cqzdsc3v.xlsx</x:v>
      </x:c>
    </x:row>
    <x:row r="9162">
      <x:c r="A9162" s="15" t="n">
        <x:v>44531</x:v>
      </x:c>
      <x:c r="B9162" s="13" t="str">
        <x:v>BANCO BTG PACTUAL SA-UNIT</x:v>
      </x:c>
      <x:c r="C9162" s="16" t="n">
        <x:v>6785.6</x:v>
      </x:c>
      <x:c r="D9162" s="13" t="str">
        <x:v>Banks</x:v>
      </x:c>
      <x:c r="E9162" s="13" t="str">
        <x:v>Banks</x:v>
      </x:c>
      <x:c r="F9162" s="13" t="str">
        <x:v>Financials</x:v>
      </x:c>
      <x:c r="G9162" s="13" t="str">
        <x:v>grid_cqzdsc3v.xlsx</x:v>
      </x:c>
    </x:row>
    <x:row r="9163">
      <x:c r="A9163" s="15" t="n">
        <x:v>44531</x:v>
      </x:c>
      <x:c r="B9163" s="13" t="str">
        <x:v>BANCO DO BRASIL S.A.</x:v>
      </x:c>
      <x:c r="C9163" s="16" t="n">
        <x:v>20811.599872</x:v>
      </x:c>
      <x:c r="D9163" s="13" t="str">
        <x:v>Banks</x:v>
      </x:c>
      <x:c r="E9163" s="13" t="str">
        <x:v>Banks</x:v>
      </x:c>
      <x:c r="F9163" s="13" t="str">
        <x:v>Financials</x:v>
      </x:c>
      <x:c r="G9163" s="13" t="str">
        <x:v>grid_cqzdsc3v.xlsx</x:v>
      </x:c>
    </x:row>
    <x:row r="9164">
      <x:c r="A9164" s="15" t="n">
        <x:v>44531</x:v>
      </x:c>
      <x:c r="B9164" s="13" t="str">
        <x:v>BANCO INTER SA</x:v>
      </x:c>
      <x:c r="C9164" s="16" t="n">
        <x:v>374.4</x:v>
      </x:c>
      <x:c r="D9164" s="13" t="str">
        <x:v>Banks</x:v>
      </x:c>
      <x:c r="E9164" s="13" t="str">
        <x:v>Banks</x:v>
      </x:c>
      <x:c r="F9164" s="13" t="str">
        <x:v>Financials</x:v>
      </x:c>
      <x:c r="G9164" s="13" t="str">
        <x:v>grid_cqzdsc3v.xlsx</x:v>
      </x:c>
    </x:row>
    <x:row r="9165">
      <x:c r="A9165" s="15" t="n">
        <x:v>44531</x:v>
      </x:c>
      <x:c r="B9165" s="13" t="str">
        <x:v>BANCO PAN SA</x:v>
      </x:c>
      <x:c r="C9165" s="16" t="n">
        <x:v>950.750016</x:v>
      </x:c>
      <x:c r="D9165" s="13" t="str">
        <x:v>Banks</x:v>
      </x:c>
      <x:c r="E9165" s="13" t="str">
        <x:v>Banks</x:v>
      </x:c>
      <x:c r="F9165" s="13" t="str">
        <x:v>Financials</x:v>
      </x:c>
      <x:c r="G9165" s="13" t="str">
        <x:v>grid_cqzdsc3v.xlsx</x:v>
      </x:c>
    </x:row>
    <x:row r="9166">
      <x:c r="A9166" s="15" t="n">
        <x:v>44531</x:v>
      </x:c>
      <x:c r="B9166" s="13" t="str">
        <x:v>BANCO SANTANDER  BRASIL-UNIT</x:v>
      </x:c>
      <x:c r="C9166" s="16" t="n">
        <x:v>17173.300224</x:v>
      </x:c>
      <x:c r="D9166" s="13" t="str">
        <x:v>Banks</x:v>
      </x:c>
      <x:c r="E9166" s="13" t="str">
        <x:v>Banks</x:v>
      </x:c>
      <x:c r="F9166" s="13" t="str">
        <x:v>Financials</x:v>
      </x:c>
      <x:c r="G9166" s="13" t="str">
        <x:v>grid_cqzdsc3v.xlsx</x:v>
      </x:c>
    </x:row>
    <x:row r="9167">
      <x:c r="A9167" s="15" t="n">
        <x:v>44531</x:v>
      </x:c>
      <x:c r="B9167" s="13" t="str">
        <x:v>INTER &amp; CO INC/BRAZIL</x:v>
      </x:c>
      <x:c r="C9167" s="16" t="n">
        <x:v>195.35</x:v>
      </x:c>
      <x:c r="D9167" s="13" t="str">
        <x:v>Banks</x:v>
      </x:c>
      <x:c r="E9167" s="13" t="str">
        <x:v>Banks</x:v>
      </x:c>
      <x:c r="F9167" s="13" t="str">
        <x:v>Financials</x:v>
      </x:c>
      <x:c r="G9167" s="13" t="str">
        <x:v>grid_cqzdsc3v.xlsx</x:v>
      </x:c>
    </x:row>
    <x:row r="9168">
      <x:c r="A9168" s="15" t="n">
        <x:v>44531</x:v>
      </x:c>
      <x:c r="B9168" s="13" t="str">
        <x:v>ITAU UNIBANCO HOLDING S-PREF</x:v>
      </x:c>
      <x:c r="C9168" s="16" t="n">
        <x:v>28808.4992</x:v>
      </x:c>
      <x:c r="D9168" s="13" t="str">
        <x:v>Banks</x:v>
      </x:c>
      <x:c r="E9168" s="13" t="str">
        <x:v>Banks</x:v>
      </x:c>
      <x:c r="F9168" s="13" t="str">
        <x:v>Financials</x:v>
      </x:c>
      <x:c r="G9168" s="13" t="str">
        <x:v>grid_cqzdsc3v.xlsx</x:v>
      </x:c>
    </x:row>
    <x:row r="9169">
      <x:c r="A9169" s="15" t="n">
        <x:v>44531</x:v>
      </x:c>
      <x:c r="B9169" s="13" t="str">
        <x:v>EMBRAER SA</x:v>
      </x:c>
      <x:c r="C9169" s="16" t="n">
        <x:v>311.18</x:v>
      </x:c>
      <x:c r="D9169" s="13" t="str">
        <x:v>Capital Goods</x:v>
      </x:c>
      <x:c r="E9169" s="13" t="str">
        <x:v>Capital Goods</x:v>
      </x:c>
      <x:c r="F9169" s="13" t="str">
        <x:v>Deep Cyclicals</x:v>
      </x:c>
      <x:c r="G9169" s="13" t="str">
        <x:v>grid_cqzdsc3v.xlsx</x:v>
      </x:c>
    </x:row>
    <x:row r="9170">
      <x:c r="A9170" s="15" t="n">
        <x:v>44531</x:v>
      </x:c>
      <x:c r="B9170" s="13" t="str">
        <x:v>WEG SA</x:v>
      </x:c>
      <x:c r="C9170" s="16" t="n">
        <x:v>3774.4</x:v>
      </x:c>
      <x:c r="D9170" s="13" t="str">
        <x:v>Capital Goods</x:v>
      </x:c>
      <x:c r="E9170" s="13" t="str">
        <x:v>Capital Goods</x:v>
      </x:c>
      <x:c r="F9170" s="13" t="str">
        <x:v>Deep Cyclicals</x:v>
      </x:c>
      <x:c r="G9170" s="13" t="str">
        <x:v>grid_cqzdsc3v.xlsx</x:v>
      </x:c>
    </x:row>
    <x:row r="9171">
      <x:c r="A9171" s="15" t="n">
        <x:v>44531</x:v>
      </x:c>
      <x:c r="B9171" s="13" t="str">
        <x:v>COGNA EDUCACAO</x:v>
      </x:c>
      <x:c r="C9171" s="16" t="n">
        <x:v>-352</x:v>
      </x:c>
      <x:c r="D9171" s="13" t="str">
        <x:v>Education</x:v>
      </x:c>
      <x:c r="E9171" s="13" t="str">
        <x:v>Education</x:v>
      </x:c>
      <x:c r="F9171" s="13" t="str">
        <x:v>Early Cyclicals</x:v>
      </x:c>
      <x:c r="G9171" s="13" t="str">
        <x:v>grid_cqzdsc3v.xlsx</x:v>
      </x:c>
    </x:row>
    <x:row r="9172">
      <x:c r="A9172" s="15" t="n">
        <x:v>44531</x:v>
      </x:c>
      <x:c r="B9172" s="13" t="str">
        <x:v>YDUQS PARTICIPACOES SA</x:v>
      </x:c>
      <x:c r="C9172" s="16" t="n">
        <x:v>570.499968</x:v>
      </x:c>
      <x:c r="D9172" s="13" t="str">
        <x:v>Education</x:v>
      </x:c>
      <x:c r="E9172" s="13" t="str">
        <x:v>Education</x:v>
      </x:c>
      <x:c r="F9172" s="13" t="str">
        <x:v>Early Cyclicals</x:v>
      </x:c>
      <x:c r="G9172" s="13" t="str">
        <x:v>grid_cqzdsc3v.xlsx</x:v>
      </x:c>
    </x:row>
    <x:row r="9173">
      <x:c r="A9173" s="15" t="n">
        <x:v>44531</x:v>
      </x:c>
      <x:c r="B9173" s="13" t="str">
        <x:v>B3 SA-BRASIL BOLSA BALCAO</x:v>
      </x:c>
      <x:c r="C9173" s="16" t="n">
        <x:v>5299.500032</x:v>
      </x:c>
      <x:c r="D9173" s="13" t="str">
        <x:v>Financials Non-Banks</x:v>
      </x:c>
      <x:c r="E9173" s="13" t="str">
        <x:v>Financials Non-Banks</x:v>
      </x:c>
      <x:c r="F9173" s="13" t="str">
        <x:v>Financials</x:v>
      </x:c>
      <x:c r="G9173" s="13" t="str">
        <x:v>grid_cqzdsc3v.xlsx</x:v>
      </x:c>
    </x:row>
    <x:row r="9174">
      <x:c r="A9174" s="15" t="n">
        <x:v>44531</x:v>
      </x:c>
      <x:c r="B9174" s="13" t="str">
        <x:v>BB SEGURIDADE PARTICIPACOES</x:v>
      </x:c>
      <x:c r="C9174" s="16" t="n">
        <x:v>5019.330048</x:v>
      </x:c>
      <x:c r="D9174" s="13" t="str">
        <x:v>Financials Non-Banks</x:v>
      </x:c>
      <x:c r="E9174" s="13" t="str">
        <x:v>Financials Non-Banks</x:v>
      </x:c>
      <x:c r="F9174" s="13" t="str">
        <x:v>Financials</x:v>
      </x:c>
      <x:c r="G9174" s="13" t="str">
        <x:v>grid_cqzdsc3v.xlsx</x:v>
      </x:c>
    </x:row>
    <x:row r="9175">
      <x:c r="A9175" s="15" t="n">
        <x:v>44531</x:v>
      </x:c>
      <x:c r="B9175" s="13" t="str">
        <x:v>CIELO SA</x:v>
      </x:c>
      <x:c r="C9175" s="16" t="n">
        <x:v>859.363968</x:v>
      </x:c>
      <x:c r="D9175" s="13" t="str">
        <x:v>Financials Non-Banks</x:v>
      </x:c>
      <x:c r="E9175" s="13" t="str">
        <x:v>Financials Non-Banks</x:v>
      </x:c>
      <x:c r="F9175" s="13" t="str">
        <x:v>Financials</x:v>
      </x:c>
      <x:c r="G9175" s="13" t="str">
        <x:v>Ibovespa_earnings_consolidated.xlsx</x:v>
      </x:c>
    </x:row>
    <x:row r="9176">
      <x:c r="A9176" s="15" t="n">
        <x:v>44531</x:v>
      </x:c>
      <x:c r="B9176" s="13" t="str">
        <x:v>CIELO SA - INSTITUICAO DE PA</x:v>
      </x:c>
      <x:c r="C9176" s="16" t="n">
        <x:v>859.363968</x:v>
      </x:c>
      <x:c r="D9176" s="13" t="str">
        <x:v>Financials Non-Banks</x:v>
      </x:c>
      <x:c r="E9176" s="13" t="str">
        <x:v>Financials Non-Banks</x:v>
      </x:c>
      <x:c r="F9176" s="13" t="str">
        <x:v>Financials</x:v>
      </x:c>
      <x:c r="G9176" s="13" t="str">
        <x:v>grid_cqzdsc3v.xlsx</x:v>
      </x:c>
    </x:row>
    <x:row r="9177">
      <x:c r="A9177" s="15" t="n">
        <x:v>44531</x:v>
      </x:c>
      <x:c r="B9177" s="13" t="str">
        <x:v>GETNET ADQUIRENCIA E SERVICO</x:v>
      </x:c>
      <x:c r="C9177" s="16" t="n">
        <x:v>500.5</x:v>
      </x:c>
      <x:c r="D9177" s="13" t="str">
        <x:v>Financials Non-Banks</x:v>
      </x:c>
      <x:c r="E9177" s="13" t="str">
        <x:v>Financials Non-Banks</x:v>
      </x:c>
      <x:c r="F9177" s="13" t="str">
        <x:v>Financials</x:v>
      </x:c>
      <x:c r="G9177" s="13" t="str">
        <x:v>grid_cqzdsc3v.xlsx</x:v>
      </x:c>
    </x:row>
    <x:row r="9178">
      <x:c r="A9178" s="15" t="n">
        <x:v>44531</x:v>
      </x:c>
      <x:c r="B9178" s="13" t="str">
        <x:v>IRB BRASIL RESSEGUROS SA</x:v>
      </x:c>
      <x:c r="C9178" s="16" t="n">
        <x:v>406.167008</x:v>
      </x:c>
      <x:c r="D9178" s="13" t="str">
        <x:v>Financials Non-Banks</x:v>
      </x:c>
      <x:c r="E9178" s="13" t="str">
        <x:v>Financials Non-Banks</x:v>
      </x:c>
      <x:c r="F9178" s="13" t="str">
        <x:v>Financials</x:v>
      </x:c>
      <x:c r="G9178" s="13" t="str">
        <x:v>grid_cqzdsc3v.xlsx</x:v>
      </x:c>
    </x:row>
    <x:row r="9179">
      <x:c r="A9179" s="15" t="n">
        <x:v>44531</x:v>
      </x:c>
      <x:c r="B9179" s="13" t="str">
        <x:v>ITAUSA SA</x:v>
      </x:c>
      <x:c r="C9179" s="16" t="n">
        <x:v>11098.999808</x:v>
      </x:c>
      <x:c r="D9179" s="13" t="str">
        <x:v>Financials Non-Banks</x:v>
      </x:c>
      <x:c r="E9179" s="13" t="str">
        <x:v>Financials Non-Banks</x:v>
      </x:c>
      <x:c r="F9179" s="13" t="str">
        <x:v>Financials</x:v>
      </x:c>
      <x:c r="G9179" s="13" t="str">
        <x:v>grid_cqzdsc3v.xlsx</x:v>
      </x:c>
    </x:row>
    <x:row r="9180">
      <x:c r="A9180" s="15" t="n">
        <x:v>44531</x:v>
      </x:c>
      <x:c r="B9180" s="13" t="str">
        <x:v>MELIUZ SA - ON</x:v>
      </x:c>
      <x:c r="C9180" s="16" t="n">
        <x:v>5.905</x:v>
      </x:c>
      <x:c r="D9180" s="13" t="str">
        <x:v>Financials Non-Banks</x:v>
      </x:c>
      <x:c r="E9180" s="13" t="str">
        <x:v>Financials Non-Banks</x:v>
      </x:c>
      <x:c r="F9180" s="13" t="str">
        <x:v>Financials</x:v>
      </x:c>
      <x:c r="G9180" s="13" t="str">
        <x:v>grid_cqzdsc3v.xlsx</x:v>
      </x:c>
    </x:row>
    <x:row r="9181">
      <x:c r="A9181" s="15" t="n">
        <x:v>44531</x:v>
      </x:c>
      <x:c r="B9181" s="13" t="str">
        <x:v>AMBEV SA</x:v>
      </x:c>
      <x:c r="C9181" s="16" t="n">
        <x:v>12712.29952</x:v>
      </x:c>
      <x:c r="D9181" s="13" t="str">
        <x:v>Food &amp; Beverages</x:v>
      </x:c>
      <x:c r="E9181" s="13" t="str">
        <x:v>Agri, Food &amp; Beverages</x:v>
      </x:c>
      <x:c r="F9181" s="13" t="str">
        <x:v>Defensives</x:v>
      </x:c>
      <x:c r="G9181" s="13" t="str">
        <x:v>grid_cqzdsc3v.xlsx</x:v>
      </x:c>
    </x:row>
    <x:row r="9182">
      <x:c r="A9182" s="15" t="n">
        <x:v>44531</x:v>
      </x:c>
      <x:c r="B9182" s="13" t="str">
        <x:v>BRF SA</x:v>
      </x:c>
      <x:c r="C9182" s="16" t="n">
        <x:v>987.833024</x:v>
      </x:c>
      <x:c r="D9182" s="13" t="str">
        <x:v>Food &amp; Beverages</x:v>
      </x:c>
      <x:c r="E9182" s="13" t="str">
        <x:v>Agri, Food &amp; Beverages</x:v>
      </x:c>
      <x:c r="F9182" s="13" t="str">
        <x:v>Defensives</x:v>
      </x:c>
      <x:c r="G9182" s="13" t="str">
        <x:v>grid_cqzdsc3v.xlsx</x:v>
      </x:c>
    </x:row>
    <x:row r="9183">
      <x:c r="A9183" s="15" t="n">
        <x:v>44531</x:v>
      </x:c>
      <x:c r="B9183" s="13" t="str">
        <x:v>JBS SA</x:v>
      </x:c>
      <x:c r="C9183" s="16" t="n">
        <x:v>13742.600192</x:v>
      </x:c>
      <x:c r="D9183" s="13" t="str">
        <x:v>Food &amp; Beverages</x:v>
      </x:c>
      <x:c r="E9183" s="13" t="str">
        <x:v>Agri, Food &amp; Beverages</x:v>
      </x:c>
      <x:c r="F9183" s="13" t="str">
        <x:v>Defensives</x:v>
      </x:c>
      <x:c r="G9183" s="13" t="str">
        <x:v>grid_cqzdsc3v.xlsx</x:v>
      </x:c>
    </x:row>
    <x:row r="9184">
      <x:c r="A9184" s="15" t="n">
        <x:v>44531</x:v>
      </x:c>
      <x:c r="B9184" s="13" t="str">
        <x:v>MBRF GLOBAL FOODS COMPANY SA</x:v>
      </x:c>
      <x:c r="C9184" s="16" t="n">
        <x:v>3178.12992</x:v>
      </x:c>
      <x:c r="D9184" s="13" t="str">
        <x:v>Food &amp; Beverages</x:v>
      </x:c>
      <x:c r="E9184" s="13" t="str">
        <x:v>Agri, Food &amp; Beverages</x:v>
      </x:c>
      <x:c r="F9184" s="13" t="str">
        <x:v>Defensives</x:v>
      </x:c>
      <x:c r="G9184" s="13" t="str">
        <x:v>grid_cqzdsc3v.xlsx</x:v>
      </x:c>
    </x:row>
    <x:row r="9185">
      <x:c r="A9185" s="15" t="n">
        <x:v>44531</x:v>
      </x:c>
      <x:c r="B9185" s="13" t="str">
        <x:v>MINERVA SA</x:v>
      </x:c>
      <x:c r="C9185" s="16" t="n">
        <x:v>597.289024</x:v>
      </x:c>
      <x:c r="D9185" s="13" t="str">
        <x:v>Food &amp; Beverages</x:v>
      </x:c>
      <x:c r="E9185" s="13" t="str">
        <x:v>Agri, Food &amp; Beverages</x:v>
      </x:c>
      <x:c r="F9185" s="13" t="str">
        <x:v>Defensives</x:v>
      </x:c>
      <x:c r="G9185" s="13" t="str">
        <x:v>grid_cqzdsc3v.xlsx</x:v>
      </x:c>
    </x:row>
    <x:row r="9186">
      <x:c r="A9186" s="15" t="n">
        <x:v>44531</x:v>
      </x:c>
      <x:c r="B9186" s="13" t="str">
        <x:v>FLEURY SA</x:v>
      </x:c>
      <x:c r="C9186" s="16" t="n">
        <x:v>333.9</x:v>
      </x:c>
      <x:c r="D9186" s="13" t="str">
        <x:v>Health Care</x:v>
      </x:c>
      <x:c r="E9186" s="13" t="str">
        <x:v>Health Care</x:v>
      </x:c>
      <x:c r="F9186" s="13" t="str">
        <x:v>Defensives</x:v>
      </x:c>
      <x:c r="G9186" s="13" t="str">
        <x:v>grid_cqzdsc3v.xlsx</x:v>
      </x:c>
    </x:row>
    <x:row r="9187">
      <x:c r="A9187" s="15" t="n">
        <x:v>44531</x:v>
      </x:c>
      <x:c r="B9187" s="13" t="str">
        <x:v>HAPVIDA PARTICIPACOES E INVE</x:v>
      </x:c>
      <x:c r="C9187" s="16" t="n">
        <x:v>1448</x:v>
      </x:c>
      <x:c r="D9187" s="13" t="str">
        <x:v>Health Care</x:v>
      </x:c>
      <x:c r="E9187" s="13" t="str">
        <x:v>Health Care</x:v>
      </x:c>
      <x:c r="F9187" s="13" t="str">
        <x:v>Defensives</x:v>
      </x:c>
      <x:c r="G9187" s="13" t="str">
        <x:v>grid_cqzdsc3v.xlsx</x:v>
      </x:c>
    </x:row>
    <x:row r="9188">
      <x:c r="A9188" s="15" t="n">
        <x:v>44531</x:v>
      </x:c>
      <x:c r="B9188" s="13" t="str">
        <x:v>HYPERA SA</x:v>
      </x:c>
      <x:c r="C9188" s="16" t="n">
        <x:v>1569.449984</x:v>
      </x:c>
      <x:c r="D9188" s="13" t="str">
        <x:v>Health Care</x:v>
      </x:c>
      <x:c r="E9188" s="13" t="str">
        <x:v>Health Care</x:v>
      </x:c>
      <x:c r="F9188" s="13" t="str">
        <x:v>Defensives</x:v>
      </x:c>
      <x:c r="G9188" s="13" t="str">
        <x:v>grid_cqzdsc3v.xlsx</x:v>
      </x:c>
    </x:row>
    <x:row r="9189">
      <x:c r="A9189" s="15" t="n">
        <x:v>44531</x:v>
      </x:c>
      <x:c r="B9189" s="13" t="str">
        <x:v>NOTRE DAME INTERMED PAR SA</x:v>
      </x:c>
      <x:c r="C9189" s="16" t="n">
        <x:v>1120.829952</x:v>
      </x:c>
      <x:c r="D9189" s="13" t="str">
        <x:v>Health Care</x:v>
      </x:c>
      <x:c r="E9189" s="13" t="str">
        <x:v>Health Care</x:v>
      </x:c>
      <x:c r="F9189" s="13" t="str">
        <x:v>Defensives</x:v>
      </x:c>
      <x:c r="G9189" s="13" t="str">
        <x:v>grid_cqzdsc3v.xlsx</x:v>
      </x:c>
    </x:row>
    <x:row r="9190">
      <x:c r="A9190" s="15" t="n">
        <x:v>44531</x:v>
      </x:c>
      <x:c r="B9190" s="13" t="str">
        <x:v>QUALICORP CONS E CORR SEG SA</x:v>
      </x:c>
      <x:c r="C9190" s="16" t="n">
        <x:v>392.832992</x:v>
      </x:c>
      <x:c r="D9190" s="13" t="str">
        <x:v>Health Care</x:v>
      </x:c>
      <x:c r="E9190" s="13" t="str">
        <x:v>Health Care</x:v>
      </x:c>
      <x:c r="F9190" s="13" t="str">
        <x:v>Defensives</x:v>
      </x:c>
      <x:c r="G9190" s="13" t="str">
        <x:v>grid_cqzdsc3v.xlsx</x:v>
      </x:c>
    </x:row>
    <x:row r="9191">
      <x:c r="A9191" s="15" t="n">
        <x:v>44531</x:v>
      </x:c>
      <x:c r="B9191" s="13" t="str">
        <x:v>REDE D'OR SAO LUIZ SA</x:v>
      </x:c>
      <x:c r="C9191" s="16" t="n">
        <x:v>2389.799936</x:v>
      </x:c>
      <x:c r="D9191" s="13" t="str">
        <x:v>Health Care</x:v>
      </x:c>
      <x:c r="E9191" s="13" t="str">
        <x:v>Health Care</x:v>
      </x:c>
      <x:c r="F9191" s="13" t="str">
        <x:v>Defensives</x:v>
      </x:c>
      <x:c r="G9191" s="13" t="str">
        <x:v>grid_cqzdsc3v.xlsx</x:v>
      </x:c>
    </x:row>
    <x:row r="9192">
      <x:c r="A9192" s="15" t="n">
        <x:v>44531</x:v>
      </x:c>
      <x:c r="B9192" s="13" t="str">
        <x:v>SUL AMERICA SA - UNITS</x:v>
      </x:c>
      <x:c r="C9192" s="16" t="n">
        <x:v>1054.380032</x:v>
      </x:c>
      <x:c r="D9192" s="13" t="str">
        <x:v>Health Care</x:v>
      </x:c>
      <x:c r="E9192" s="13" t="str">
        <x:v>Health Care</x:v>
      </x:c>
      <x:c r="F9192" s="13" t="str">
        <x:v>Defensives</x:v>
      </x:c>
      <x:c r="G9192" s="13" t="str">
        <x:v>grid_cqzdsc3v.xlsx</x:v>
      </x:c>
    </x:row>
    <x:row r="9193">
      <x:c r="A9193" s="15" t="n">
        <x:v>44531</x:v>
      </x:c>
      <x:c r="B9193" s="13" t="str">
        <x:v>CYRELA BRAZIL REALTY SA EMP</x:v>
      </x:c>
      <x:c r="C9193" s="16" t="n">
        <x:v>1088</x:v>
      </x:c>
      <x:c r="D9193" s="13" t="str">
        <x:v>Homebuilders</x:v>
      </x:c>
      <x:c r="E9193" s="13" t="str">
        <x:v>Real Estate</x:v>
      </x:c>
      <x:c r="F9193" s="13" t="str">
        <x:v>Early Cyclicals</x:v>
      </x:c>
      <x:c r="G9193" s="13" t="str">
        <x:v>grid_cqzdsc3v.xlsx</x:v>
      </x:c>
    </x:row>
    <x:row r="9194">
      <x:c r="A9194" s="15" t="n">
        <x:v>44531</x:v>
      </x:c>
      <x:c r="B9194" s="13" t="str">
        <x:v>EZ TEC EMPREENDIMENTOS E PAR</x:v>
      </x:c>
      <x:c r="C9194" s="16" t="n">
        <x:v>635</x:v>
      </x:c>
      <x:c r="D9194" s="13" t="str">
        <x:v>Homebuilders</x:v>
      </x:c>
      <x:c r="E9194" s="13" t="str">
        <x:v>Real Estate</x:v>
      </x:c>
      <x:c r="F9194" s="13" t="str">
        <x:v>Early Cyclicals</x:v>
      </x:c>
      <x:c r="G9194" s="13" t="str">
        <x:v>grid_cqzdsc3v.xlsx</x:v>
      </x:c>
    </x:row>
    <x:row r="9195">
      <x:c r="A9195" s="15" t="n">
        <x:v>44531</x:v>
      </x:c>
      <x:c r="B9195" s="13" t="str">
        <x:v>MRV ENGENHARIA</x:v>
      </x:c>
      <x:c r="C9195" s="16" t="n">
        <x:v>729.857024</x:v>
      </x:c>
      <x:c r="D9195" s="13" t="str">
        <x:v>Homebuilders</x:v>
      </x:c>
      <x:c r="E9195" s="13" t="str">
        <x:v>Real Estate</x:v>
      </x:c>
      <x:c r="F9195" s="13" t="str">
        <x:v>Early Cyclicals</x:v>
      </x:c>
      <x:c r="G9195" s="13" t="str">
        <x:v>grid_cqzdsc3v.xlsx</x:v>
      </x:c>
    </x:row>
    <x:row r="9196">
      <x:c r="A9196" s="15" t="n">
        <x:v>44531</x:v>
      </x:c>
      <x:c r="B9196" s="13" t="str">
        <x:v>BR MALLS PARTICIPACOES SA</x:v>
      </x:c>
      <x:c r="C9196" s="16" t="n">
        <x:v>531.5</x:v>
      </x:c>
      <x:c r="D9196" s="13" t="str">
        <x:v>Income Properties</x:v>
      </x:c>
      <x:c r="E9196" s="13" t="str">
        <x:v>Real Estate</x:v>
      </x:c>
      <x:c r="F9196" s="13" t="str">
        <x:v>Early Cyclicals</x:v>
      </x:c>
      <x:c r="G9196" s="13" t="str">
        <x:v>grid_cqzdsc3v.xlsx</x:v>
      </x:c>
    </x:row>
    <x:row r="9197">
      <x:c r="A9197" s="15" t="n">
        <x:v>44531</x:v>
      </x:c>
      <x:c r="B9197" s="13" t="str">
        <x:v>IGUATEMI SA - UNITS</x:v>
      </x:c>
      <x:c r="C9197" s="16" t="n">
        <x:v>211.8</x:v>
      </x:c>
      <x:c r="D9197" s="13" t="str">
        <x:v>Income Properties</x:v>
      </x:c>
      <x:c r="E9197" s="13" t="str">
        <x:v>Real Estate</x:v>
      </x:c>
      <x:c r="F9197" s="13" t="str">
        <x:v>Early Cyclicals</x:v>
      </x:c>
      <x:c r="G9197" s="13" t="str">
        <x:v>grid_cqzdsc3v.xlsx</x:v>
      </x:c>
    </x:row>
    <x:row r="9198">
      <x:c r="A9198" s="15" t="n">
        <x:v>44531</x:v>
      </x:c>
      <x:c r="B9198" s="13" t="str">
        <x:v>JHSF PARTICIPACOES SA</x:v>
      </x:c>
      <x:c r="C9198" s="16" t="n">
        <x:v>655.667008</x:v>
      </x:c>
      <x:c r="D9198" s="13" t="str">
        <x:v>Income Properties</x:v>
      </x:c>
      <x:c r="E9198" s="13" t="str">
        <x:v>Real Estate</x:v>
      </x:c>
      <x:c r="F9198" s="13" t="str">
        <x:v>Early Cyclicals</x:v>
      </x:c>
      <x:c r="G9198" s="13" t="str">
        <x:v>grid_cqzdsc3v.xlsx</x:v>
      </x:c>
    </x:row>
    <x:row r="9199">
      <x:c r="A9199" s="15" t="n">
        <x:v>44531</x:v>
      </x:c>
      <x:c r="B9199" s="13" t="str">
        <x:v>MULTIPLAN EMPREENDIMENTOS</x:v>
      </x:c>
      <x:c r="C9199" s="16" t="n">
        <x:v>569</x:v>
      </x:c>
      <x:c r="D9199" s="13" t="str">
        <x:v>Income Properties</x:v>
      </x:c>
      <x:c r="E9199" s="13" t="str">
        <x:v>Real Estate</x:v>
      </x:c>
      <x:c r="F9199" s="13" t="str">
        <x:v>Early Cyclicals</x:v>
      </x:c>
      <x:c r="G9199" s="13" t="str">
        <x:v>grid_cqzdsc3v.xlsx</x:v>
      </x:c>
    </x:row>
    <x:row r="9200">
      <x:c r="A9200" s="15" t="n">
        <x:v>44531</x:v>
      </x:c>
      <x:c r="B9200" s="13" t="str">
        <x:v>CIA SIDERURGICA NACIONAL SA</x:v>
      </x:c>
      <x:c r="C9200" s="16" t="n">
        <x:v>6631.36</x:v>
      </x:c>
      <x:c r="D9200" s="13" t="str">
        <x:v>Metals &amp; Mining</x:v>
      </x:c>
      <x:c r="E9200" s="13" t="str">
        <x:v>Metals &amp; Mining</x:v>
      </x:c>
      <x:c r="F9200" s="13" t="str">
        <x:v>Deep Cyclicals</x:v>
      </x:c>
      <x:c r="G9200" s="13" t="str">
        <x:v>grid_cqzdsc3v.xlsx</x:v>
      </x:c>
    </x:row>
    <x:row r="9201">
      <x:c r="A9201" s="15" t="n">
        <x:v>44531</x:v>
      </x:c>
      <x:c r="B9201" s="13" t="str">
        <x:v>GERDAU SA-PREF</x:v>
      </x:c>
      <x:c r="C9201" s="16" t="n">
        <x:v>8765.309952</x:v>
      </x:c>
      <x:c r="D9201" s="13" t="str">
        <x:v>Metals &amp; Mining</x:v>
      </x:c>
      <x:c r="E9201" s="13" t="str">
        <x:v>Metals &amp; Mining</x:v>
      </x:c>
      <x:c r="F9201" s="13" t="str">
        <x:v>Deep Cyclicals</x:v>
      </x:c>
      <x:c r="G9201" s="13" t="str">
        <x:v>grid_cqzdsc3v.xlsx</x:v>
      </x:c>
    </x:row>
    <x:row r="9202">
      <x:c r="A9202" s="15" t="n">
        <x:v>44531</x:v>
      </x:c>
      <x:c r="B9202" s="13" t="str">
        <x:v>USINAS SIDER MINAS GER-PF A</x:v>
      </x:c>
      <x:c r="C9202" s="16" t="n">
        <x:v>4006.579968</x:v>
      </x:c>
      <x:c r="D9202" s="13" t="str">
        <x:v>Metals &amp; Mining</x:v>
      </x:c>
      <x:c r="E9202" s="13" t="str">
        <x:v>Metals &amp; Mining</x:v>
      </x:c>
      <x:c r="F9202" s="13" t="str">
        <x:v>Deep Cyclicals</x:v>
      </x:c>
      <x:c r="G9202" s="13" t="str">
        <x:v>grid_cqzdsc3v.xlsx</x:v>
      </x:c>
    </x:row>
    <x:row r="9203">
      <x:c r="A9203" s="15" t="n">
        <x:v>44531</x:v>
      </x:c>
      <x:c r="B9203" s="13" t="str">
        <x:v>VALE SA</x:v>
      </x:c>
      <x:c r="C9203" s="16" t="n">
        <x:v>70255.69792</x:v>
      </x:c>
      <x:c r="D9203" s="13" t="str">
        <x:v>Metals &amp; Mining</x:v>
      </x:c>
      <x:c r="E9203" s="13" t="str">
        <x:v>Metals &amp; Mining</x:v>
      </x:c>
      <x:c r="F9203" s="13" t="str">
        <x:v>Deep Cyclicals</x:v>
      </x:c>
      <x:c r="G9203" s="13" t="str">
        <x:v>grid_cqzdsc3v.xlsx</x:v>
      </x:c>
    </x:row>
    <x:row r="9204">
      <x:c r="A9204" s="15" t="n">
        <x:v>44531</x:v>
      </x:c>
      <x:c r="B9204" s="13" t="str">
        <x:v>BRASKEM SA-PREF A</x:v>
      </x:c>
      <x:c r="C9204" s="16" t="n">
        <x:v>8514.200064</x:v>
      </x:c>
      <x:c r="D9204" s="13" t="str">
        <x:v>Oil, Gas &amp; Petrochemicals</x:v>
      </x:c>
      <x:c r="E9204" s="13" t="str">
        <x:v>Oil, Gas &amp; Petrochemicals</x:v>
      </x:c>
      <x:c r="F9204" s="13" t="str">
        <x:v>Deep Cyclicals</x:v>
      </x:c>
      <x:c r="G9204" s="13" t="str">
        <x:v>grid_cqzdsc3v.xlsx</x:v>
      </x:c>
    </x:row>
    <x:row r="9205">
      <x:c r="A9205" s="15" t="n">
        <x:v>44531</x:v>
      </x:c>
      <x:c r="B9205" s="13" t="str">
        <x:v>COSAN SA</x:v>
      </x:c>
      <x:c r="C9205" s="16" t="n">
        <x:v>3291.109888</x:v>
      </x:c>
      <x:c r="D9205" s="13" t="str">
        <x:v>Oil, Gas &amp; Petrochemicals</x:v>
      </x:c>
      <x:c r="E9205" s="13" t="str">
        <x:v>Oil, Gas &amp; Petrochemicals</x:v>
      </x:c>
      <x:c r="F9205" s="13" t="str">
        <x:v>Deep Cyclicals</x:v>
      </x:c>
      <x:c r="G9205" s="13" t="str">
        <x:v>grid_cqzdsc3v.xlsx</x:v>
      </x:c>
    </x:row>
    <x:row r="9206">
      <x:c r="A9206" s="15" t="n">
        <x:v>44531</x:v>
      </x:c>
      <x:c r="B9206" s="13" t="str">
        <x:v>PETROBRAS - PETROLEO BRAS</x:v>
      </x:c>
      <x:c r="C9206" s="16" t="n">
        <x:v>94144.397312</x:v>
      </x:c>
      <x:c r="D9206" s="13" t="str">
        <x:v>Oil, Gas &amp; Petrochemicals</x:v>
      </x:c>
      <x:c r="E9206" s="13" t="str">
        <x:v>Oil, Gas &amp; Petrochemicals</x:v>
      </x:c>
      <x:c r="F9206" s="13" t="str">
        <x:v>Deep Cyclicals</x:v>
      </x:c>
      <x:c r="G9206" s="13" t="str">
        <x:v>grid_cqzdsc3v.xlsx</x:v>
      </x:c>
    </x:row>
    <x:row r="9207">
      <x:c r="A9207" s="15" t="n">
        <x:v>44531</x:v>
      </x:c>
      <x:c r="B9207" s="13" t="str">
        <x:v>PRIO SA</x:v>
      </x:c>
      <x:c r="C9207" s="16" t="n">
        <x:v>1850.749952</x:v>
      </x:c>
      <x:c r="D9207" s="13" t="str">
        <x:v>Oil, Gas &amp; Petrochemicals</x:v>
      </x:c>
      <x:c r="E9207" s="13" t="str">
        <x:v>Oil, Gas &amp; Petrochemicals</x:v>
      </x:c>
      <x:c r="F9207" s="13" t="str">
        <x:v>Deep Cyclicals</x:v>
      </x:c>
      <x:c r="G9207" s="13" t="str">
        <x:v>grid_cqzdsc3v.xlsx</x:v>
      </x:c>
    </x:row>
    <x:row r="9208">
      <x:c r="A9208" s="15" t="n">
        <x:v>44531</x:v>
      </x:c>
      <x:c r="B9208" s="13" t="str">
        <x:v>ULTRAPAR PARTICIPACOES SA</x:v>
      </x:c>
      <x:c r="C9208" s="16" t="n">
        <x:v>1126.599936</x:v>
      </x:c>
      <x:c r="D9208" s="13" t="str">
        <x:v>Oil, Gas &amp; Petrochemicals</x:v>
      </x:c>
      <x:c r="E9208" s="13" t="str">
        <x:v>Oil, Gas &amp; Petrochemicals</x:v>
      </x:c>
      <x:c r="F9208" s="13" t="str">
        <x:v>Deep Cyclicals</x:v>
      </x:c>
      <x:c r="G9208" s="13" t="str">
        <x:v>grid_cqzdsc3v.xlsx</x:v>
      </x:c>
    </x:row>
    <x:row r="9209">
      <x:c r="A9209" s="15" t="n">
        <x:v>44531</x:v>
      </x:c>
      <x:c r="B9209" s="13" t="str">
        <x:v>VIBRA ENERGIA SA</x:v>
      </x:c>
      <x:c r="C9209" s="16" t="n">
        <x:v>1997.6</x:v>
      </x:c>
      <x:c r="D9209" s="13" t="str">
        <x:v>Oil, Gas &amp; Petrochemicals</x:v>
      </x:c>
      <x:c r="E9209" s="13" t="str">
        <x:v>Oil, Gas &amp; Petrochemicals</x:v>
      </x:c>
      <x:c r="F9209" s="13" t="str">
        <x:v>Deep Cyclicals</x:v>
      </x:c>
      <x:c r="G9209" s="13" t="str">
        <x:v>grid_cqzdsc3v.xlsx</x:v>
      </x:c>
    </x:row>
    <x:row r="9210">
      <x:c r="A9210" s="15" t="n">
        <x:v>44531</x:v>
      </x:c>
      <x:c r="B9210" s="13" t="str">
        <x:v>DEXCO SA</x:v>
      </x:c>
      <x:c r="C9210" s="16" t="n">
        <x:v>883.6</x:v>
      </x:c>
      <x:c r="D9210" s="13" t="str">
        <x:v>Pulp &amp; Paper</x:v>
      </x:c>
      <x:c r="E9210" s="13" t="str">
        <x:v>Pulp &amp; Paper</x:v>
      </x:c>
      <x:c r="F9210" s="13" t="str">
        <x:v>Deep Cyclicals</x:v>
      </x:c>
      <x:c r="G9210" s="13" t="str">
        <x:v>grid_cqzdsc3v.xlsx</x:v>
      </x:c>
    </x:row>
    <x:row r="9211">
      <x:c r="A9211" s="15" t="n">
        <x:v>44531</x:v>
      </x:c>
      <x:c r="B9211" s="13" t="str">
        <x:v>KLABIN SA - UNIT</x:v>
      </x:c>
      <x:c r="C9211" s="16" t="n">
        <x:v>2069.430016</x:v>
      </x:c>
      <x:c r="D9211" s="13" t="str">
        <x:v>Pulp &amp; Paper</x:v>
      </x:c>
      <x:c r="E9211" s="13" t="str">
        <x:v>Pulp &amp; Paper</x:v>
      </x:c>
      <x:c r="F9211" s="13" t="str">
        <x:v>Deep Cyclicals</x:v>
      </x:c>
      <x:c r="G9211" s="13" t="str">
        <x:v>grid_cqzdsc3v.xlsx</x:v>
      </x:c>
    </x:row>
    <x:row r="9212">
      <x:c r="A9212" s="15" t="n">
        <x:v>44531</x:v>
      </x:c>
      <x:c r="B9212" s="13" t="str">
        <x:v>SUZANO SA</x:v>
      </x:c>
      <x:c r="C9212" s="16" t="n">
        <x:v>5582.000128</x:v>
      </x:c>
      <x:c r="D9212" s="13" t="str">
        <x:v>Pulp &amp; Paper</x:v>
      </x:c>
      <x:c r="E9212" s="13" t="str">
        <x:v>Pulp &amp; Paper</x:v>
      </x:c>
      <x:c r="F9212" s="13" t="str">
        <x:v>Deep Cyclicals</x:v>
      </x:c>
      <x:c r="G9212" s="13" t="str">
        <x:v>grid_cqzdsc3v.xlsx</x:v>
      </x:c>
    </x:row>
    <x:row r="9213">
      <x:c r="A9213" s="15" t="n">
        <x:v>44531</x:v>
      </x:c>
      <x:c r="B9213" s="13" t="str">
        <x:v>ALPARGATAS SA - PREF</x:v>
      </x:c>
      <x:c r="C9213" s="16" t="n">
        <x:v>706.499968</x:v>
      </x:c>
      <x:c r="D9213" s="13" t="str">
        <x:v>Retail</x:v>
      </x:c>
      <x:c r="E9213" s="13" t="str">
        <x:v>Retail</x:v>
      </x:c>
      <x:c r="F9213" s="13" t="str">
        <x:v>Early Cyclicals</x:v>
      </x:c>
      <x:c r="G9213" s="13" t="str">
        <x:v>grid_cqzdsc3v.xlsx</x:v>
      </x:c>
    </x:row>
    <x:row r="9214">
      <x:c r="A9214" s="15" t="n">
        <x:v>44531</x:v>
      </x:c>
      <x:c r="B9214" s="13" t="str">
        <x:v>AMERICANAS SA</x:v>
      </x:c>
      <x:c r="C9214" s="16" t="n">
        <x:v>187</x:v>
      </x:c>
      <x:c r="D9214" s="13" t="str">
        <x:v>Retail</x:v>
      </x:c>
      <x:c r="E9214" s="13" t="str">
        <x:v>Retail</x:v>
      </x:c>
      <x:c r="F9214" s="13" t="str">
        <x:v>Early Cyclicals</x:v>
      </x:c>
      <x:c r="G9214" s="13" t="str">
        <x:v>grid_cqzdsc3v.xlsx</x:v>
      </x:c>
    </x:row>
    <x:row r="9215">
      <x:c r="A9215" s="15" t="n">
        <x:v>44531</x:v>
      </x:c>
      <x:c r="B9215" s="13" t="str">
        <x:v>ATACADAO SA</x:v>
      </x:c>
      <x:c r="C9215" s="16" t="n">
        <x:v>2534.12992</x:v>
      </x:c>
      <x:c r="D9215" s="13" t="str">
        <x:v>Retail</x:v>
      </x:c>
      <x:c r="E9215" s="13" t="str">
        <x:v>Retail</x:v>
      </x:c>
      <x:c r="F9215" s="13" t="str">
        <x:v>Early Cyclicals</x:v>
      </x:c>
      <x:c r="G9215" s="13" t="str">
        <x:v>grid_cqzdsc3v.xlsx</x:v>
      </x:c>
    </x:row>
    <x:row r="9216">
      <x:c r="A9216" s="15" t="n">
        <x:v>44531</x:v>
      </x:c>
      <x:c r="B9216" s="13" t="str">
        <x:v>CIA BRASILEIRA DE DISTRIBUIC</x:v>
      </x:c>
      <x:c r="C9216" s="16" t="n">
        <x:v>408.444</x:v>
      </x:c>
      <x:c r="D9216" s="13" t="str">
        <x:v>Retail</x:v>
      </x:c>
      <x:c r="E9216" s="13" t="str">
        <x:v>Retail</x:v>
      </x:c>
      <x:c r="F9216" s="13" t="str">
        <x:v>Early Cyclicals</x:v>
      </x:c>
      <x:c r="G9216" s="13" t="str">
        <x:v>grid_cqzdsc3v.xlsx</x:v>
      </x:c>
    </x:row>
    <x:row r="9217">
      <x:c r="A9217" s="15" t="n">
        <x:v>44531</x:v>
      </x:c>
      <x:c r="B9217" s="13" t="str">
        <x:v>CVC BRASIL OPERADORA E AGENC</x:v>
      </x:c>
      <x:c r="C9217" s="16" t="n">
        <x:v>-82.025</x:v>
      </x:c>
      <x:c r="D9217" s="13" t="str">
        <x:v>Retail</x:v>
      </x:c>
      <x:c r="E9217" s="13" t="str">
        <x:v>Retail</x:v>
      </x:c>
      <x:c r="F9217" s="13" t="str">
        <x:v>Early Cyclicals</x:v>
      </x:c>
      <x:c r="G9217" s="13" t="str">
        <x:v>grid_cqzdsc3v.xlsx</x:v>
      </x:c>
    </x:row>
    <x:row r="9218">
      <x:c r="A9218" s="15" t="n">
        <x:v>44531</x:v>
      </x:c>
      <x:c r="B9218" s="13" t="str">
        <x:v>GRUPO CASAS BAHIA SA</x:v>
      </x:c>
      <x:c r="C9218" s="16" t="n">
        <x:v>-106.5</x:v>
      </x:c>
      <x:c r="D9218" s="13" t="str">
        <x:v>Retail</x:v>
      </x:c>
      <x:c r="E9218" s="13" t="str">
        <x:v>Retail</x:v>
      </x:c>
      <x:c r="F9218" s="13" t="str">
        <x:v>Early Cyclicals</x:v>
      </x:c>
      <x:c r="G9218" s="13" t="str">
        <x:v>grid_cqzdsc3v.xlsx</x:v>
      </x:c>
    </x:row>
    <x:row r="9219">
      <x:c r="A9219" s="15" t="n">
        <x:v>44531</x:v>
      </x:c>
      <x:c r="B9219" s="13" t="str">
        <x:v>GRUPO DE MODA SOMA SA</x:v>
      </x:c>
      <x:c r="C9219" s="16" t="n">
        <x:v>394</x:v>
      </x:c>
      <x:c r="D9219" s="13" t="str">
        <x:v>Retail</x:v>
      </x:c>
      <x:c r="E9219" s="13" t="str">
        <x:v>Retail</x:v>
      </x:c>
      <x:c r="F9219" s="13" t="str">
        <x:v>Early Cyclicals</x:v>
      </x:c>
      <x:c r="G9219" s="13" t="str">
        <x:v>grid_cqzdsc3v.xlsx</x:v>
      </x:c>
    </x:row>
    <x:row r="9220">
      <x:c r="A9220" s="15" t="n">
        <x:v>44531</x:v>
      </x:c>
      <x:c r="B9220" s="13" t="str">
        <x:v>LOJAS AMERICANAS SA-PREF</x:v>
      </x:c>
      <x:c r="C9220" s="16" t="n">
        <x:v>121.5</x:v>
      </x:c>
      <x:c r="D9220" s="13" t="str">
        <x:v>Retail</x:v>
      </x:c>
      <x:c r="E9220" s="13" t="str">
        <x:v>Retail</x:v>
      </x:c>
      <x:c r="F9220" s="13" t="str">
        <x:v>Early Cyclicals</x:v>
      </x:c>
      <x:c r="G9220" s="13" t="str">
        <x:v>grid_cqzdsc3v.xlsx</x:v>
      </x:c>
    </x:row>
    <x:row r="9221">
      <x:c r="A9221" s="15" t="n">
        <x:v>44531</x:v>
      </x:c>
      <x:c r="B9221" s="13" t="str">
        <x:v>LOJAS RENNER S.A.</x:v>
      </x:c>
      <x:c r="C9221" s="16" t="n">
        <x:v>1235.000064</x:v>
      </x:c>
      <x:c r="D9221" s="13" t="str">
        <x:v>Retail</x:v>
      </x:c>
      <x:c r="E9221" s="13" t="str">
        <x:v>Retail</x:v>
      </x:c>
      <x:c r="F9221" s="13" t="str">
        <x:v>Early Cyclicals</x:v>
      </x:c>
      <x:c r="G9221" s="13" t="str">
        <x:v>grid_cqzdsc3v.xlsx</x:v>
      </x:c>
    </x:row>
    <x:row r="9222">
      <x:c r="A9222" s="15" t="n">
        <x:v>44531</x:v>
      </x:c>
      <x:c r="B9222" s="13" t="str">
        <x:v>MAGAZINE LUIZA SA</x:v>
      </x:c>
      <x:c r="C9222" s="16" t="n">
        <x:v>352.167008</x:v>
      </x:c>
      <x:c r="D9222" s="13" t="str">
        <x:v>Retail</x:v>
      </x:c>
      <x:c r="E9222" s="13" t="str">
        <x:v>Retail</x:v>
      </x:c>
      <x:c r="F9222" s="13" t="str">
        <x:v>Early Cyclicals</x:v>
      </x:c>
      <x:c r="G9222" s="13" t="str">
        <x:v>grid_cqzdsc3v.xlsx</x:v>
      </x:c>
    </x:row>
    <x:row r="9223">
      <x:c r="A9223" s="15" t="n">
        <x:v>44531</x:v>
      </x:c>
      <x:c r="B9223" s="13" t="str">
        <x:v>NATURA &amp;CO HOLDING SA</x:v>
      </x:c>
      <x:c r="C9223" s="16" t="n">
        <x:v>857.299968</x:v>
      </x:c>
      <x:c r="D9223" s="13" t="str">
        <x:v>Retail</x:v>
      </x:c>
      <x:c r="E9223" s="13" t="str">
        <x:v>Retail</x:v>
      </x:c>
      <x:c r="F9223" s="13" t="str">
        <x:v>Early Cyclicals</x:v>
      </x:c>
      <x:c r="G9223" s="13" t="str">
        <x:v>grid_cqzdsc3v.xlsx</x:v>
      </x:c>
    </x:row>
    <x:row r="9224">
      <x:c r="A9224" s="15" t="n">
        <x:v>44531</x:v>
      </x:c>
      <x:c r="B9224" s="13" t="str">
        <x:v>PET CENTER COMERCIO E PARTIC</x:v>
      </x:c>
      <x:c r="C9224" s="16" t="n">
        <x:v>154.332992</x:v>
      </x:c>
      <x:c r="D9224" s="13" t="str">
        <x:v>Retail</x:v>
      </x:c>
      <x:c r="E9224" s="13" t="str">
        <x:v>Retail</x:v>
      </x:c>
      <x:c r="F9224" s="13" t="str">
        <x:v>Early Cyclicals</x:v>
      </x:c>
      <x:c r="G9224" s="13" t="str">
        <x:v>grid_cqzdsc3v.xlsx</x:v>
      </x:c>
    </x:row>
    <x:row r="9225">
      <x:c r="A9225" s="15" t="n">
        <x:v>44531</x:v>
      </x:c>
      <x:c r="B9225" s="13" t="str">
        <x:v>RAIA DROGASIL SA</x:v>
      </x:c>
      <x:c r="C9225" s="16" t="n">
        <x:v>1026.630016</x:v>
      </x:c>
      <x:c r="D9225" s="13" t="str">
        <x:v>Retail</x:v>
      </x:c>
      <x:c r="E9225" s="13" t="str">
        <x:v>Retail</x:v>
      </x:c>
      <x:c r="F9225" s="13" t="str">
        <x:v>Early Cyclicals</x:v>
      </x:c>
      <x:c r="G9225" s="13" t="str">
        <x:v>grid_cqzdsc3v.xlsx</x:v>
      </x:c>
    </x:row>
    <x:row r="9226">
      <x:c r="A9226" s="15" t="n">
        <x:v>44531</x:v>
      </x:c>
      <x:c r="B9226" s="13" t="str">
        <x:v>SENDAS DISTRIBUIDORA SA</x:v>
      </x:c>
      <x:c r="C9226" s="16" t="n">
        <x:v>1143.219968</x:v>
      </x:c>
      <x:c r="D9226" s="13" t="str">
        <x:v>Retail</x:v>
      </x:c>
      <x:c r="E9226" s="13" t="str">
        <x:v>Retail</x:v>
      </x:c>
      <x:c r="F9226" s="13" t="str">
        <x:v>Early Cyclicals</x:v>
      </x:c>
      <x:c r="G9226" s="13" t="str">
        <x:v>grid_cqzdsc3v.xlsx</x:v>
      </x:c>
    </x:row>
    <x:row r="9227">
      <x:c r="A9227" s="15" t="n">
        <x:v>44531</x:v>
      </x:c>
      <x:c r="B9227" s="13" t="str">
        <x:v>CIA SANEAMENTO BASICO DE SP</x:v>
      </x:c>
      <x:c r="C9227" s="16" t="n">
        <x:v>3111.500032</x:v>
      </x:c>
      <x:c r="D9227" s="13" t="str">
        <x:v>Sanitation</x:v>
      </x:c>
      <x:c r="E9227" s="13" t="str">
        <x:v>Utilities</x:v>
      </x:c>
      <x:c r="F9227" s="13" t="str">
        <x:v>Defensives</x:v>
      </x:c>
      <x:c r="G9227" s="13" t="str">
        <x:v>grid_cqzdsc3v.xlsx</x:v>
      </x:c>
    </x:row>
    <x:row r="9228">
      <x:c r="A9228" s="15" t="n">
        <x:v>44531</x:v>
      </x:c>
      <x:c r="B9228" s="13" t="str">
        <x:v>LWSA SA</x:v>
      </x:c>
      <x:c r="C9228" s="16" t="n">
        <x:v>136.728992</x:v>
      </x:c>
      <x:c r="D9228" s="13" t="str">
        <x:v>TMT</x:v>
      </x:c>
      <x:c r="E9228" s="13" t="str">
        <x:v>TMT</x:v>
      </x:c>
      <x:c r="F9228" s="13" t="str">
        <x:v>Early Cyclicals</x:v>
      </x:c>
      <x:c r="G9228" s="13" t="str">
        <x:v>grid_cqzdsc3v.xlsx</x:v>
      </x:c>
    </x:row>
    <x:row r="9229">
      <x:c r="A9229" s="15" t="n">
        <x:v>44531</x:v>
      </x:c>
      <x:c r="B9229" s="13" t="str">
        <x:v>TIM SA</x:v>
      </x:c>
      <x:c r="C9229" s="16" t="n">
        <x:v>2414.109952</x:v>
      </x:c>
      <x:c r="D9229" s="13" t="str">
        <x:v>TMT</x:v>
      </x:c>
      <x:c r="E9229" s="13" t="str">
        <x:v>TMT</x:v>
      </x:c>
      <x:c r="F9229" s="13" t="str">
        <x:v>Early Cyclicals</x:v>
      </x:c>
      <x:c r="G9229" s="13" t="str">
        <x:v>grid_cqzdsc3v.xlsx</x:v>
      </x:c>
    </x:row>
    <x:row r="9230">
      <x:c r="A9230" s="15" t="n">
        <x:v>44531</x:v>
      </x:c>
      <x:c r="B9230" s="13" t="str">
        <x:v>TOTVS SA</x:v>
      </x:c>
      <x:c r="C9230" s="16" t="n">
        <x:v>500.583008</x:v>
      </x:c>
      <x:c r="D9230" s="13" t="str">
        <x:v>TMT</x:v>
      </x:c>
      <x:c r="E9230" s="13" t="str">
        <x:v>TMT</x:v>
      </x:c>
      <x:c r="F9230" s="13" t="str">
        <x:v>Early Cyclicals</x:v>
      </x:c>
      <x:c r="G9230" s="13" t="str">
        <x:v>grid_cqzdsc3v.xlsx</x:v>
      </x:c>
    </x:row>
    <x:row r="9231">
      <x:c r="A9231" s="15" t="n">
        <x:v>44531</x:v>
      </x:c>
      <x:c r="B9231" s="13" t="str">
        <x:v>AZUL SA</x:v>
      </x:c>
      <x:c r="C9231" s="16" t="n">
        <x:v>-1215.229952</x:v>
      </x:c>
      <x:c r="D9231" s="13" t="str">
        <x:v>Transportation</x:v>
      </x:c>
      <x:c r="E9231" s="13" t="str">
        <x:v>Transportation</x:v>
      </x:c>
      <x:c r="F9231" s="13" t="str">
        <x:v>Deep Cyclicals</x:v>
      </x:c>
      <x:c r="G9231" s="13" t="str">
        <x:v>grid_cqzdsc3v.xlsx</x:v>
      </x:c>
    </x:row>
    <x:row r="9232">
      <x:c r="A9232" s="15" t="n">
        <x:v>44531</x:v>
      </x:c>
      <x:c r="B9232" s="13" t="str">
        <x:v>CIA DE LOCACAO DAS AMERICAS</x:v>
      </x:c>
      <x:c r="C9232" s="16" t="n">
        <x:v>994.750016</x:v>
      </x:c>
      <x:c r="D9232" s="13" t="str">
        <x:v>Transportation</x:v>
      </x:c>
      <x:c r="E9232" s="13" t="str">
        <x:v>Transportation</x:v>
      </x:c>
      <x:c r="F9232" s="13" t="str">
        <x:v>Deep Cyclicals</x:v>
      </x:c>
      <x:c r="G9232" s="13" t="str">
        <x:v>grid_cqzdsc3v.xlsx</x:v>
      </x:c>
    </x:row>
    <x:row r="9233">
      <x:c r="A9233" s="15" t="n">
        <x:v>44531</x:v>
      </x:c>
      <x:c r="B9233" s="13" t="str">
        <x:v>ECORODOVIAS INFRA E LOG SA</x:v>
      </x:c>
      <x:c r="C9233" s="16" t="n">
        <x:v>221.143008</x:v>
      </x:c>
      <x:c r="D9233" s="13" t="str">
        <x:v>Transportation</x:v>
      </x:c>
      <x:c r="E9233" s="13" t="str">
        <x:v>Transportation</x:v>
      </x:c>
      <x:c r="F9233" s="13" t="str">
        <x:v>Deep Cyclicals</x:v>
      </x:c>
      <x:c r="G9233" s="13" t="str">
        <x:v>grid_cqzdsc3v.xlsx</x:v>
      </x:c>
    </x:row>
    <x:row r="9234">
      <x:c r="A9234" s="15" t="n">
        <x:v>44531</x:v>
      </x:c>
      <x:c r="B9234" s="13" t="str">
        <x:v>GOL LINHAS AEREAS INT SA-PRE</x:v>
      </x:c>
      <x:c r="C9234" s="16" t="n">
        <x:v>-695.785984</x:v>
      </x:c>
      <x:c r="D9234" s="13" t="str">
        <x:v>Transportation</x:v>
      </x:c>
      <x:c r="E9234" s="13" t="str">
        <x:v>Transportation</x:v>
      </x:c>
      <x:c r="F9234" s="13" t="str">
        <x:v>Deep Cyclicals</x:v>
      </x:c>
      <x:c r="G9234" s="13" t="str">
        <x:v>grid_cqzdsc3v.xlsx</x:v>
      </x:c>
    </x:row>
    <x:row r="9235">
      <x:c r="A9235" s="15" t="n">
        <x:v>44531</x:v>
      </x:c>
      <x:c r="B9235" s="13" t="str">
        <x:v>LOCALIZA RENT A CAR</x:v>
      </x:c>
      <x:c r="C9235" s="16" t="n">
        <x:v>1890.579968</x:v>
      </x:c>
      <x:c r="D9235" s="13" t="str">
        <x:v>Transportation</x:v>
      </x:c>
      <x:c r="E9235" s="13" t="str">
        <x:v>Transportation</x:v>
      </x:c>
      <x:c r="F9235" s="13" t="str">
        <x:v>Deep Cyclicals</x:v>
      </x:c>
      <x:c r="G9235" s="13" t="str">
        <x:v>grid_cqzdsc3v.xlsx</x:v>
      </x:c>
    </x:row>
    <x:row r="9236">
      <x:c r="A9236" s="15" t="n">
        <x:v>44531</x:v>
      </x:c>
      <x:c r="B9236" s="13" t="str">
        <x:v>MOTIVA INFRAESTRUTURA DE MOB</x:v>
      </x:c>
      <x:c r="C9236" s="16" t="n">
        <x:v>1247.800064</x:v>
      </x:c>
      <x:c r="D9236" s="13" t="str">
        <x:v>Transportation</x:v>
      </x:c>
      <x:c r="E9236" s="13" t="str">
        <x:v>Transportation</x:v>
      </x:c>
      <x:c r="F9236" s="13" t="str">
        <x:v>Deep Cyclicals</x:v>
      </x:c>
      <x:c r="G9236" s="13" t="str">
        <x:v>grid_cqzdsc3v.xlsx</x:v>
      </x:c>
    </x:row>
    <x:row r="9237">
      <x:c r="A9237" s="15" t="n">
        <x:v>44531</x:v>
      </x:c>
      <x:c r="B9237" s="13" t="str">
        <x:v>RUMO SA</x:v>
      </x:c>
      <x:c r="C9237" s="16" t="n">
        <x:v>899.091008</x:v>
      </x:c>
      <x:c r="D9237" s="13" t="str">
        <x:v>Transportation</x:v>
      </x:c>
      <x:c r="E9237" s="13" t="str">
        <x:v>Transportation</x:v>
      </x:c>
      <x:c r="F9237" s="13" t="str">
        <x:v>Deep Cyclicals</x:v>
      </x:c>
      <x:c r="G9237" s="13" t="str">
        <x:v>grid_cqzdsc3v.xlsx</x:v>
      </x:c>
    </x:row>
    <x:row r="9238">
      <x:c r="A9238" s="15" t="n">
        <x:v>44531</x:v>
      </x:c>
      <x:c r="B9238" s="13" t="str">
        <x:v>AXIA ENERGIA SA</x:v>
      </x:c>
      <x:c r="C9238" s="16" t="n">
        <x:v>8885.74976</x:v>
      </x:c>
      <x:c r="D9238" s="13" t="str">
        <x:v>Utilities &amp; Energy</x:v>
      </x:c>
      <x:c r="E9238" s="13" t="str">
        <x:v>Utilities</x:v>
      </x:c>
      <x:c r="F9238" s="13" t="str">
        <x:v>Defensives</x:v>
      </x:c>
      <x:c r="G9238" s="13" t="str">
        <x:v>grid_cqzdsc3v.xlsx</x:v>
      </x:c>
    </x:row>
    <x:row r="9239">
      <x:c r="A9239" s="15" t="n">
        <x:v>44531</x:v>
      </x:c>
      <x:c r="B9239" s="13" t="str">
        <x:v>AXIA ENERGIA-PR B</x:v>
      </x:c>
      <x:c r="C9239" s="16" t="n">
        <x:v>8885.74976</x:v>
      </x:c>
      <x:c r="D9239" s="13" t="str">
        <x:v>Utilities &amp; Energy</x:v>
      </x:c>
      <x:c r="E9239" s="13" t="str">
        <x:v>Utilities</x:v>
      </x:c>
      <x:c r="F9239" s="13" t="str">
        <x:v>Defensives</x:v>
      </x:c>
      <x:c r="G9239" s="13" t="str">
        <x:v>grid_cqzdsc3v.xlsx</x:v>
      </x:c>
    </x:row>
    <x:row r="9240">
      <x:c r="A9240" s="15" t="n">
        <x:v>44531</x:v>
      </x:c>
      <x:c r="B9240" s="13" t="str">
        <x:v>CIA ENERGETICA MINAS GER-PRF</x:v>
      </x:c>
      <x:c r="C9240" s="16" t="n">
        <x:v>3143.379968</x:v>
      </x:c>
      <x:c r="D9240" s="13" t="str">
        <x:v>Utilities &amp; Energy</x:v>
      </x:c>
      <x:c r="E9240" s="13" t="str">
        <x:v>Utilities</x:v>
      </x:c>
      <x:c r="F9240" s="13" t="str">
        <x:v>Defensives</x:v>
      </x:c>
      <x:c r="G9240" s="13" t="str">
        <x:v>grid_cqzdsc3v.xlsx</x:v>
      </x:c>
    </x:row>
    <x:row r="9241">
      <x:c r="A9241" s="15" t="n">
        <x:v>44531</x:v>
      </x:c>
      <x:c r="B9241" s="13" t="str">
        <x:v>COMPANHIA PARANAENSE -PREF B</x:v>
      </x:c>
      <x:c r="C9241" s="16" t="n">
        <x:v>2605.829888</x:v>
      </x:c>
      <x:c r="D9241" s="13" t="str">
        <x:v>Utilities &amp; Energy</x:v>
      </x:c>
      <x:c r="E9241" s="13" t="str">
        <x:v>Utilities</x:v>
      </x:c>
      <x:c r="F9241" s="13" t="str">
        <x:v>Defensives</x:v>
      </x:c>
      <x:c r="G9241" s="13" t="str">
        <x:v>grid_cqzdsc3v.xlsx</x:v>
      </x:c>
    </x:row>
    <x:row r="9242">
      <x:c r="A9242" s="15" t="n">
        <x:v>44531</x:v>
      </x:c>
      <x:c r="B9242" s="13" t="str">
        <x:v>CPFL ENERGIA SA</x:v>
      </x:c>
      <x:c r="C9242" s="16" t="n">
        <x:v>4209.139968</x:v>
      </x:c>
      <x:c r="D9242" s="13" t="str">
        <x:v>Utilities &amp; Energy</x:v>
      </x:c>
      <x:c r="E9242" s="13" t="str">
        <x:v>Utilities</x:v>
      </x:c>
      <x:c r="F9242" s="13" t="str">
        <x:v>Defensives</x:v>
      </x:c>
      <x:c r="G9242" s="13" t="str">
        <x:v>grid_cqzdsc3v.xlsx</x:v>
      </x:c>
    </x:row>
    <x:row r="9243">
      <x:c r="A9243" s="15" t="n">
        <x:v>44531</x:v>
      </x:c>
      <x:c r="B9243" s="13" t="str">
        <x:v>EDP - ENERGIAS DO BRASIL SA</x:v>
      </x:c>
      <x:c r="C9243" s="16" t="n">
        <x:v>1523.430016</x:v>
      </x:c>
      <x:c r="D9243" s="13" t="str">
        <x:v>Utilities &amp; Energy</x:v>
      </x:c>
      <x:c r="E9243" s="13" t="str">
        <x:v>Utilities</x:v>
      </x:c>
      <x:c r="F9243" s="13" t="str">
        <x:v>Defensives</x:v>
      </x:c>
      <x:c r="G9243" s="13" t="str">
        <x:v>grid_cqzdsc3v.xlsx</x:v>
      </x:c>
    </x:row>
    <x:row r="9244">
      <x:c r="A9244" s="15" t="n">
        <x:v>44531</x:v>
      </x:c>
      <x:c r="B9244" s="13" t="str">
        <x:v>ENERGISA SA-UNITS</x:v>
      </x:c>
      <x:c r="C9244" s="16" t="n">
        <x:v>2084.290048</x:v>
      </x:c>
      <x:c r="D9244" s="13" t="str">
        <x:v>Utilities &amp; Energy</x:v>
      </x:c>
      <x:c r="E9244" s="13" t="str">
        <x:v>Utilities</x:v>
      </x:c>
      <x:c r="F9244" s="13" t="str">
        <x:v>Defensives</x:v>
      </x:c>
      <x:c r="G9244" s="13" t="str">
        <x:v>grid_cqzdsc3v.xlsx</x:v>
      </x:c>
    </x:row>
    <x:row r="9245">
      <x:c r="A9245" s="15" t="n">
        <x:v>44531</x:v>
      </x:c>
      <x:c r="B9245" s="13" t="str">
        <x:v>ENEVA SA</x:v>
      </x:c>
      <x:c r="C9245" s="16" t="n">
        <x:v>1256.499968</x:v>
      </x:c>
      <x:c r="D9245" s="13" t="str">
        <x:v>Utilities &amp; Energy</x:v>
      </x:c>
      <x:c r="E9245" s="13" t="str">
        <x:v>Utilities</x:v>
      </x:c>
      <x:c r="F9245" s="13" t="str">
        <x:v>Defensives</x:v>
      </x:c>
      <x:c r="G9245" s="13" t="str">
        <x:v>grid_cqzdsc3v.xlsx</x:v>
      </x:c>
    </x:row>
    <x:row r="9246">
      <x:c r="A9246" s="15" t="n">
        <x:v>44531</x:v>
      </x:c>
      <x:c r="B9246" s="13" t="str">
        <x:v>ENGIE BRASIL ENERGIA SA</x:v>
      </x:c>
      <x:c r="C9246" s="16" t="n">
        <x:v>2836.290048</x:v>
      </x:c>
      <x:c r="D9246" s="13" t="str">
        <x:v>Utilities &amp; Energy</x:v>
      </x:c>
      <x:c r="E9246" s="13" t="str">
        <x:v>Utilities</x:v>
      </x:c>
      <x:c r="F9246" s="13" t="str">
        <x:v>Defensives</x:v>
      </x:c>
      <x:c r="G9246" s="13" t="str">
        <x:v>grid_cqzdsc3v.xlsx</x:v>
      </x:c>
    </x:row>
    <x:row r="9247">
      <x:c r="A9247" s="15" t="n">
        <x:v>44531</x:v>
      </x:c>
      <x:c r="B9247" s="13" t="str">
        <x:v>EQUATORIAL SA - ORD</x:v>
      </x:c>
      <x:c r="C9247" s="16" t="n">
        <x:v>2389.560064</x:v>
      </x:c>
      <x:c r="D9247" s="13" t="str">
        <x:v>Utilities &amp; Energy</x:v>
      </x:c>
      <x:c r="E9247" s="13" t="str">
        <x:v>Utilities</x:v>
      </x:c>
      <x:c r="F9247" s="13" t="str">
        <x:v>Defensives</x:v>
      </x:c>
      <x:c r="G9247" s="13" t="str">
        <x:v>grid_cqzdsc3v.xlsx</x:v>
      </x:c>
    </x:row>
    <x:row r="9248">
      <x:c r="A9248" s="15" t="n">
        <x:v>44531</x:v>
      </x:c>
      <x:c r="B9248" s="13" t="str">
        <x:v>TRANSMISSORA ALIANCA DE-UNIT</x:v>
      </x:c>
      <x:c r="C9248" s="16" t="n">
        <x:v>1246.599936</x:v>
      </x:c>
      <x:c r="D9248" s="13" t="str">
        <x:v>Utilities &amp; Energy</x:v>
      </x:c>
      <x:c r="E9248" s="13" t="str">
        <x:v>Utilities</x:v>
      </x:c>
      <x:c r="F9248" s="13" t="str">
        <x:v>Defensives</x:v>
      </x:c>
      <x:c r="G9248" s="13" t="str">
        <x:v>grid_cqzdsc3v.xlsx</x:v>
      </x:c>
    </x:row>
    <x:row r="9249">
      <x:c r="A9249" s="15" t="n">
        <x:v>44562</x:v>
      </x:c>
      <x:c r="B9249" s="13" t="str">
        <x:v>BANCO BRADESCO S.A.</x:v>
      </x:c>
      <x:c r="C9249" s="16" t="n">
        <x:v>29520.8827300822</x:v>
      </x:c>
      <x:c r="D9249" s="13" t="str">
        <x:v>Banks</x:v>
      </x:c>
      <x:c r="E9249" s="13" t="str">
        <x:v>Banks</x:v>
      </x:c>
      <x:c r="F9249" s="13" t="str">
        <x:v>Financials</x:v>
      </x:c>
      <x:c r="G9249" s="13" t="str">
        <x:v>Ibovespa_earnings_consolidated.xlsx</x:v>
      </x:c>
    </x:row>
    <x:row r="9250">
      <x:c r="A9250" s="15" t="n">
        <x:v>44562</x:v>
      </x:c>
      <x:c r="B9250" s="13" t="str">
        <x:v>BANCO BRADESCO SA-PREF</x:v>
      </x:c>
      <x:c r="C9250" s="16" t="n">
        <x:v>29520.8827300822</x:v>
      </x:c>
      <x:c r="D9250" s="13" t="str">
        <x:v>Banks</x:v>
      </x:c>
      <x:c r="E9250" s="13" t="str">
        <x:v>Banks</x:v>
      </x:c>
      <x:c r="F9250" s="13" t="str">
        <x:v>Financials</x:v>
      </x:c>
      <x:c r="G9250" s="13" t="str">
        <x:v>Ibovespa_earnings_consolidated.xlsx</x:v>
      </x:c>
    </x:row>
    <x:row r="9251">
      <x:c r="A9251" s="15" t="n">
        <x:v>44562</x:v>
      </x:c>
      <x:c r="B9251" s="13" t="str">
        <x:v>BANCO BTG PACTUAL SA-UNIT</x:v>
      </x:c>
      <x:c r="C9251" s="16" t="n">
        <x:v>6883.9508921863</x:v>
      </x:c>
      <x:c r="D9251" s="13" t="str">
        <x:v>Banks</x:v>
      </x:c>
      <x:c r="E9251" s="13" t="str">
        <x:v>Banks</x:v>
      </x:c>
      <x:c r="F9251" s="13" t="str">
        <x:v>Financials</x:v>
      </x:c>
      <x:c r="G9251" s="13" t="str">
        <x:v>Ibovespa_earnings_consolidated.xlsx</x:v>
      </x:c>
    </x:row>
    <x:row r="9252">
      <x:c r="A9252" s="15" t="n">
        <x:v>44562</x:v>
      </x:c>
      <x:c r="B9252" s="13" t="str">
        <x:v>BANCO DO BRASIL S.A.</x:v>
      </x:c>
      <x:c r="C9252" s="16" t="n">
        <x:v>20990.1121928767</x:v>
      </x:c>
      <x:c r="D9252" s="13" t="str">
        <x:v>Banks</x:v>
      </x:c>
      <x:c r="E9252" s="13" t="str">
        <x:v>Banks</x:v>
      </x:c>
      <x:c r="F9252" s="13" t="str">
        <x:v>Financials</x:v>
      </x:c>
      <x:c r="G9252" s="13" t="str">
        <x:v>Ibovespa_earnings_consolidated.xlsx</x:v>
      </x:c>
    </x:row>
    <x:row r="9253">
      <x:c r="A9253" s="15" t="n">
        <x:v>44562</x:v>
      </x:c>
      <x:c r="B9253" s="13" t="str">
        <x:v>BANCO INTER SA</x:v>
      </x:c>
      <x:c r="C9253" s="16" t="n">
        <x:v>382.2285392658</x:v>
      </x:c>
      <x:c r="D9253" s="13" t="str">
        <x:v>Banks</x:v>
      </x:c>
      <x:c r="E9253" s="13" t="str">
        <x:v>Banks</x:v>
      </x:c>
      <x:c r="F9253" s="13" t="str">
        <x:v>Financials</x:v>
      </x:c>
      <x:c r="G9253" s="13" t="str">
        <x:v>Ibovespa_earnings_consolidated.xlsx</x:v>
      </x:c>
    </x:row>
    <x:row r="9254">
      <x:c r="A9254" s="15" t="n">
        <x:v>44562</x:v>
      </x:c>
      <x:c r="B9254" s="13" t="str">
        <x:v>BANCO PAN SA</x:v>
      </x:c>
      <x:c r="C9254" s="16" t="n">
        <x:v>944.284378126</x:v>
      </x:c>
      <x:c r="D9254" s="13" t="str">
        <x:v>Banks</x:v>
      </x:c>
      <x:c r="E9254" s="13" t="str">
        <x:v>Banks</x:v>
      </x:c>
      <x:c r="F9254" s="13" t="str">
        <x:v>Financials</x:v>
      </x:c>
      <x:c r="G9254" s="13" t="str">
        <x:v>Ibovespa_earnings_consolidated.xlsx</x:v>
      </x:c>
    </x:row>
    <x:row r="9255">
      <x:c r="A9255" s="15" t="n">
        <x:v>44562</x:v>
      </x:c>
      <x:c r="B9255" s="13" t="str">
        <x:v>BANCO SANTANDER  BRASIL-UNIT</x:v>
      </x:c>
      <x:c r="C9255" s="16" t="n">
        <x:v>17228.8374924274</x:v>
      </x:c>
      <x:c r="D9255" s="13" t="str">
        <x:v>Banks</x:v>
      </x:c>
      <x:c r="E9255" s="13" t="str">
        <x:v>Banks</x:v>
      </x:c>
      <x:c r="F9255" s="13" t="str">
        <x:v>Financials</x:v>
      </x:c>
      <x:c r="G9255" s="13" t="str">
        <x:v>Ibovespa_earnings_consolidated.xlsx</x:v>
      </x:c>
    </x:row>
    <x:row r="9256">
      <x:c r="A9256" s="15" t="n">
        <x:v>44562</x:v>
      </x:c>
      <x:c r="B9256" s="13" t="str">
        <x:v>ITAU UNIBANCO HOLDING S-PREF</x:v>
      </x:c>
      <x:c r="C9256" s="16" t="n">
        <x:v>29086.4205262904</x:v>
      </x:c>
      <x:c r="D9256" s="13" t="str">
        <x:v>Banks</x:v>
      </x:c>
      <x:c r="E9256" s="13" t="str">
        <x:v>Banks</x:v>
      </x:c>
      <x:c r="F9256" s="13" t="str">
        <x:v>Financials</x:v>
      </x:c>
      <x:c r="G9256" s="13" t="str">
        <x:v>Ibovespa_earnings_consolidated.xlsx</x:v>
      </x:c>
    </x:row>
    <x:row r="9257">
      <x:c r="A9257" s="15" t="n">
        <x:v>44562</x:v>
      </x:c>
      <x:c r="B9257" s="13" t="str">
        <x:v>EMBRAER SA</x:v>
      </x:c>
      <x:c r="C9257" s="16" t="n">
        <x:v>389.7416388384</x:v>
      </x:c>
      <x:c r="D9257" s="13" t="str">
        <x:v>Capital Goods</x:v>
      </x:c>
      <x:c r="E9257" s="13" t="str">
        <x:v>Capital Goods</x:v>
      </x:c>
      <x:c r="F9257" s="13" t="str">
        <x:v>Deep Cyclicals</x:v>
      </x:c>
      <x:c r="G9257" s="13" t="str">
        <x:v>Ibovespa_earnings_consolidated.xlsx</x:v>
      </x:c>
    </x:row>
    <x:row r="9258">
      <x:c r="A9258" s="15" t="n">
        <x:v>44562</x:v>
      </x:c>
      <x:c r="B9258" s="13" t="str">
        <x:v>WEG SA</x:v>
      </x:c>
      <x:c r="C9258" s="16" t="n">
        <x:v>3850.5277145425</x:v>
      </x:c>
      <x:c r="D9258" s="13" t="str">
        <x:v>Capital Goods</x:v>
      </x:c>
      <x:c r="E9258" s="13" t="str">
        <x:v>Capital Goods</x:v>
      </x:c>
      <x:c r="F9258" s="13" t="str">
        <x:v>Deep Cyclicals</x:v>
      </x:c>
      <x:c r="G9258" s="13" t="str">
        <x:v>Ibovespa_earnings_consolidated.xlsx</x:v>
      </x:c>
    </x:row>
    <x:row r="9259">
      <x:c r="A9259" s="15" t="n">
        <x:v>44562</x:v>
      </x:c>
      <x:c r="B9259" s="13" t="str">
        <x:v>COGNA EDUCACAO</x:v>
      </x:c>
      <x:c r="C9259" s="16" t="n">
        <x:v>-329.6935524822</x:v>
      </x:c>
      <x:c r="D9259" s="13" t="str">
        <x:v>Education</x:v>
      </x:c>
      <x:c r="E9259" s="13" t="str">
        <x:v>Education</x:v>
      </x:c>
      <x:c r="F9259" s="13" t="str">
        <x:v>Early Cyclicals</x:v>
      </x:c>
      <x:c r="G9259" s="13" t="str">
        <x:v>Ibovespa_earnings_consolidated.xlsx</x:v>
      </x:c>
    </x:row>
    <x:row r="9260">
      <x:c r="A9260" s="15" t="n">
        <x:v>44562</x:v>
      </x:c>
      <x:c r="B9260" s="13" t="str">
        <x:v>YDUQS PARTICIPACOES SA</x:v>
      </x:c>
      <x:c r="C9260" s="16" t="n">
        <x:v>489.7789068274</x:v>
      </x:c>
      <x:c r="D9260" s="13" t="str">
        <x:v>Education</x:v>
      </x:c>
      <x:c r="E9260" s="13" t="str">
        <x:v>Education</x:v>
      </x:c>
      <x:c r="F9260" s="13" t="str">
        <x:v>Early Cyclicals</x:v>
      </x:c>
      <x:c r="G9260" s="13" t="str">
        <x:v>Ibovespa_earnings_consolidated.xlsx</x:v>
      </x:c>
    </x:row>
    <x:row r="9261">
      <x:c r="A9261" s="15" t="n">
        <x:v>44562</x:v>
      </x:c>
      <x:c r="B9261" s="13" t="str">
        <x:v>B3 SA-BRASIL BOLSA BALCAO</x:v>
      </x:c>
      <x:c r="C9261" s="16" t="n">
        <x:v>5243.9902488548</x:v>
      </x:c>
      <x:c r="D9261" s="13" t="str">
        <x:v>Financials Non-Banks</x:v>
      </x:c>
      <x:c r="E9261" s="13" t="str">
        <x:v>Financials Non-Banks</x:v>
      </x:c>
      <x:c r="F9261" s="13" t="str">
        <x:v>Financials</x:v>
      </x:c>
      <x:c r="G9261" s="13" t="str">
        <x:v>Ibovespa_earnings_consolidated.xlsx</x:v>
      </x:c>
    </x:row>
    <x:row r="9262">
      <x:c r="A9262" s="15" t="n">
        <x:v>44562</x:v>
      </x:c>
      <x:c r="B9262" s="13" t="str">
        <x:v>BB SEGURIDADE PARTICIPACOES</x:v>
      </x:c>
      <x:c r="C9262" s="16" t="n">
        <x:v>5057.9207476603</x:v>
      </x:c>
      <x:c r="D9262" s="13" t="str">
        <x:v>Financials Non-Banks</x:v>
      </x:c>
      <x:c r="E9262" s="13" t="str">
        <x:v>Financials Non-Banks</x:v>
      </x:c>
      <x:c r="F9262" s="13" t="str">
        <x:v>Financials</x:v>
      </x:c>
      <x:c r="G9262" s="13" t="str">
        <x:v>Ibovespa_earnings_consolidated.xlsx</x:v>
      </x:c>
    </x:row>
    <x:row r="9263">
      <x:c r="A9263" s="15" t="n">
        <x:v>44562</x:v>
      </x:c>
      <x:c r="B9263" s="13" t="str">
        <x:v>CIELO SA</x:v>
      </x:c>
      <x:c r="C9263" s="16" t="n">
        <x:v>841.2210593315</x:v>
      </x:c>
      <x:c r="D9263" s="13" t="str">
        <x:v>Financials Non-Banks</x:v>
      </x:c>
      <x:c r="E9263" s="13" t="str">
        <x:v>Financials Non-Banks</x:v>
      </x:c>
      <x:c r="F9263" s="13" t="str">
        <x:v>Financials</x:v>
      </x:c>
      <x:c r="G9263" s="13" t="str">
        <x:v>Ibovespa_earnings_consolidated.xlsx</x:v>
      </x:c>
    </x:row>
    <x:row r="9264">
      <x:c r="A9264" s="15" t="n">
        <x:v>44562</x:v>
      </x:c>
      <x:c r="B9264" s="13" t="str">
        <x:v>CIELO SA - INSTITUICAO DE PA</x:v>
      </x:c>
      <x:c r="C9264" s="16" t="n">
        <x:v>841.2210593315</x:v>
      </x:c>
      <x:c r="D9264" s="13" t="str">
        <x:v>Financials Non-Banks</x:v>
      </x:c>
      <x:c r="E9264" s="13" t="str">
        <x:v>Financials Non-Banks</x:v>
      </x:c>
      <x:c r="F9264" s="13" t="str">
        <x:v>Financials</x:v>
      </x:c>
      <x:c r="G9264" s="13" t="str">
        <x:v>grid_wbaxp5t0.xlsx</x:v>
      </x:c>
    </x:row>
    <x:row r="9265">
      <x:c r="A9265" s="15" t="n">
        <x:v>44562</x:v>
      </x:c>
      <x:c r="B9265" s="13" t="str">
        <x:v>IRB BRASIL RESSEGUROS SA</x:v>
      </x:c>
      <x:c r="C9265" s="16" t="n">
        <x:v>386.6121431671</x:v>
      </x:c>
      <x:c r="D9265" s="13" t="str">
        <x:v>Financials Non-Banks</x:v>
      </x:c>
      <x:c r="E9265" s="13" t="str">
        <x:v>Financials Non-Banks</x:v>
      </x:c>
      <x:c r="F9265" s="13" t="str">
        <x:v>Financials</x:v>
      </x:c>
      <x:c r="G9265" s="13" t="str">
        <x:v>Ibovespa_earnings_consolidated.xlsx</x:v>
      </x:c>
    </x:row>
    <x:row r="9266">
      <x:c r="A9266" s="15" t="n">
        <x:v>44562</x:v>
      </x:c>
      <x:c r="B9266" s="13" t="str">
        <x:v>ITAUSA SA</x:v>
      </x:c>
      <x:c r="C9266" s="16" t="n">
        <x:v>11065.3064121863</x:v>
      </x:c>
      <x:c r="D9266" s="13" t="str">
        <x:v>Financials Non-Banks</x:v>
      </x:c>
      <x:c r="E9266" s="13" t="str">
        <x:v>Financials Non-Banks</x:v>
      </x:c>
      <x:c r="F9266" s="13" t="str">
        <x:v>Financials</x:v>
      </x:c>
      <x:c r="G9266" s="13" t="str">
        <x:v>Ibovespa_earnings_consolidated.xlsx</x:v>
      </x:c>
    </x:row>
    <x:row r="9267">
      <x:c r="A9267" s="15" t="n">
        <x:v>44562</x:v>
      </x:c>
      <x:c r="B9267" s="13" t="str">
        <x:v>MELIUZ SA - ON</x:v>
      </x:c>
      <x:c r="C9267" s="16" t="n">
        <x:v>12.1235643836</x:v>
      </x:c>
      <x:c r="D9267" s="13" t="str">
        <x:v>Financials Non-Banks</x:v>
      </x:c>
      <x:c r="E9267" s="13" t="str">
        <x:v>Financials Non-Banks</x:v>
      </x:c>
      <x:c r="F9267" s="13" t="str">
        <x:v>Financials</x:v>
      </x:c>
      <x:c r="G9267" s="13" t="str">
        <x:v>Ibovespa_earnings_consolidated.xlsx</x:v>
      </x:c>
    </x:row>
    <x:row r="9268">
      <x:c r="A9268" s="15" t="n">
        <x:v>44562</x:v>
      </x:c>
      <x:c r="B9268" s="13" t="str">
        <x:v>AMBEV SA</x:v>
      </x:c>
      <x:c r="C9268" s="16" t="n">
        <x:v>12727.2580334466</x:v>
      </x:c>
      <x:c r="D9268" s="13" t="str">
        <x:v>Food &amp; Beverages</x:v>
      </x:c>
      <x:c r="E9268" s="13" t="str">
        <x:v>Agri, Food &amp; Beverages</x:v>
      </x:c>
      <x:c r="F9268" s="13" t="str">
        <x:v>Defensives</x:v>
      </x:c>
      <x:c r="G9268" s="13" t="str">
        <x:v>Ibovespa_earnings_consolidated.xlsx</x:v>
      </x:c>
    </x:row>
    <x:row r="9269">
      <x:c r="A9269" s="15" t="n">
        <x:v>44562</x:v>
      </x:c>
      <x:c r="B9269" s="13" t="str">
        <x:v>BRF SA</x:v>
      </x:c>
      <x:c r="C9269" s="16" t="n">
        <x:v>949.4202676603</x:v>
      </x:c>
      <x:c r="D9269" s="13" t="str">
        <x:v>Food &amp; Beverages</x:v>
      </x:c>
      <x:c r="E9269" s="13" t="str">
        <x:v>Agri, Food &amp; Beverages</x:v>
      </x:c>
      <x:c r="F9269" s="13" t="str">
        <x:v>Defensives</x:v>
      </x:c>
      <x:c r="G9269" s="13" t="str">
        <x:v>Ibovespa_earnings_consolidated.xlsx</x:v>
      </x:c>
    </x:row>
    <x:row r="9270">
      <x:c r="A9270" s="15" t="n">
        <x:v>44562</x:v>
      </x:c>
      <x:c r="B9270" s="13" t="str">
        <x:v>JBS SA</x:v>
      </x:c>
      <x:c r="C9270" s="16" t="n">
        <x:v>13535.3691318356</x:v>
      </x:c>
      <x:c r="D9270" s="13" t="str">
        <x:v>Food &amp; Beverages</x:v>
      </x:c>
      <x:c r="E9270" s="13" t="str">
        <x:v>Agri, Food &amp; Beverages</x:v>
      </x:c>
      <x:c r="F9270" s="13" t="str">
        <x:v>Defensives</x:v>
      </x:c>
      <x:c r="G9270" s="13" t="str">
        <x:v>Ibovespa_earnings_consolidated.xlsx</x:v>
      </x:c>
    </x:row>
    <x:row r="9271">
      <x:c r="A9271" s="15" t="n">
        <x:v>44562</x:v>
      </x:c>
      <x:c r="B9271" s="13" t="str">
        <x:v>MBRF GLOBAL FOODS COMPANY SA</x:v>
      </x:c>
      <x:c r="C9271" s="16" t="n">
        <x:v>3096.1082560877</x:v>
      </x:c>
      <x:c r="D9271" s="13" t="str">
        <x:v>Food &amp; Beverages</x:v>
      </x:c>
      <x:c r="E9271" s="13" t="str">
        <x:v>Agri, Food &amp; Beverages</x:v>
      </x:c>
      <x:c r="F9271" s="13" t="str">
        <x:v>Defensives</x:v>
      </x:c>
      <x:c r="G9271" s="13" t="str">
        <x:v>Ibovespa_earnings_consolidated.xlsx</x:v>
      </x:c>
    </x:row>
    <x:row r="9272">
      <x:c r="A9272" s="15" t="n">
        <x:v>44562</x:v>
      </x:c>
      <x:c r="B9272" s="13" t="str">
        <x:v>MINERVA SA</x:v>
      </x:c>
      <x:c r="C9272" s="16" t="n">
        <x:v>631.7513717479</x:v>
      </x:c>
      <x:c r="D9272" s="13" t="str">
        <x:v>Food &amp; Beverages</x:v>
      </x:c>
      <x:c r="E9272" s="13" t="str">
        <x:v>Agri, Food &amp; Beverages</x:v>
      </x:c>
      <x:c r="F9272" s="13" t="str">
        <x:v>Defensives</x:v>
      </x:c>
      <x:c r="G9272" s="13" t="str">
        <x:v>Ibovespa_earnings_consolidated.xlsx</x:v>
      </x:c>
    </x:row>
    <x:row r="9273">
      <x:c r="A9273" s="15" t="n">
        <x:v>44562</x:v>
      </x:c>
      <x:c r="B9273" s="13" t="str">
        <x:v>FLEURY SA</x:v>
      </x:c>
      <x:c r="C9273" s="16" t="n">
        <x:v>331.2112895123</x:v>
      </x:c>
      <x:c r="D9273" s="13" t="str">
        <x:v>Health Care</x:v>
      </x:c>
      <x:c r="E9273" s="13" t="str">
        <x:v>Health Care</x:v>
      </x:c>
      <x:c r="F9273" s="13" t="str">
        <x:v>Defensives</x:v>
      </x:c>
      <x:c r="G9273" s="13" t="str">
        <x:v>Ibovespa_earnings_consolidated.xlsx</x:v>
      </x:c>
    </x:row>
    <x:row r="9274">
      <x:c r="A9274" s="15" t="n">
        <x:v>44562</x:v>
      </x:c>
      <x:c r="B9274" s="13" t="str">
        <x:v>HAPVIDA PARTICIPACOES E INVE</x:v>
      </x:c>
      <x:c r="C9274" s="16" t="n">
        <x:v>1300.6007324055</x:v>
      </x:c>
      <x:c r="D9274" s="13" t="str">
        <x:v>Health Care</x:v>
      </x:c>
      <x:c r="E9274" s="13" t="str">
        <x:v>Health Care</x:v>
      </x:c>
      <x:c r="F9274" s="13" t="str">
        <x:v>Defensives</x:v>
      </x:c>
      <x:c r="G9274" s="13" t="str">
        <x:v>Ibovespa_earnings_consolidated.xlsx</x:v>
      </x:c>
    </x:row>
    <x:row r="9275">
      <x:c r="A9275" s="15" t="n">
        <x:v>44562</x:v>
      </x:c>
      <x:c r="B9275" s="13" t="str">
        <x:v>HYPERA SA</x:v>
      </x:c>
      <x:c r="C9275" s="16" t="n">
        <x:v>1592.4197141041</x:v>
      </x:c>
      <x:c r="D9275" s="13" t="str">
        <x:v>Health Care</x:v>
      </x:c>
      <x:c r="E9275" s="13" t="str">
        <x:v>Health Care</x:v>
      </x:c>
      <x:c r="F9275" s="13" t="str">
        <x:v>Defensives</x:v>
      </x:c>
      <x:c r="G9275" s="13" t="str">
        <x:v>Ibovespa_earnings_consolidated.xlsx</x:v>
      </x:c>
    </x:row>
    <x:row r="9276">
      <x:c r="A9276" s="15" t="n">
        <x:v>44562</x:v>
      </x:c>
      <x:c r="B9276" s="13" t="str">
        <x:v>NOTRE DAME INTERMED PAR SA</x:v>
      </x:c>
      <x:c r="C9276" s="16" t="n">
        <x:v>934.928063474</x:v>
      </x:c>
      <x:c r="D9276" s="13" t="str">
        <x:v>Health Care</x:v>
      </x:c>
      <x:c r="E9276" s="13" t="str">
        <x:v>Health Care</x:v>
      </x:c>
      <x:c r="F9276" s="13" t="str">
        <x:v>Defensives</x:v>
      </x:c>
      <x:c r="G9276" s="13" t="str">
        <x:v>Ibovespa_earnings_consolidated.xlsx</x:v>
      </x:c>
    </x:row>
    <x:row r="9277">
      <x:c r="A9277" s="15" t="n">
        <x:v>44562</x:v>
      </x:c>
      <x:c r="B9277" s="13" t="str">
        <x:v>QUALICORP CONS E CORR SEG SA</x:v>
      </x:c>
      <x:c r="C9277" s="16" t="n">
        <x:v>385.2997260274</x:v>
      </x:c>
      <x:c r="D9277" s="13" t="str">
        <x:v>Health Care</x:v>
      </x:c>
      <x:c r="E9277" s="13" t="str">
        <x:v>Health Care</x:v>
      </x:c>
      <x:c r="F9277" s="13" t="str">
        <x:v>Defensives</x:v>
      </x:c>
      <x:c r="G9277" s="13" t="str">
        <x:v>Ibovespa_earnings_consolidated.xlsx</x:v>
      </x:c>
    </x:row>
    <x:row r="9278">
      <x:c r="A9278" s="15" t="n">
        <x:v>44562</x:v>
      </x:c>
      <x:c r="B9278" s="13" t="str">
        <x:v>REDE D'OR SAO LUIZ SA</x:v>
      </x:c>
      <x:c r="C9278" s="16" t="n">
        <x:v>2343.5089239671</x:v>
      </x:c>
      <x:c r="D9278" s="13" t="str">
        <x:v>Health Care</x:v>
      </x:c>
      <x:c r="E9278" s="13" t="str">
        <x:v>Health Care</x:v>
      </x:c>
      <x:c r="F9278" s="13" t="str">
        <x:v>Defensives</x:v>
      </x:c>
      <x:c r="G9278" s="13" t="str">
        <x:v>Ibovespa_earnings_consolidated.xlsx</x:v>
      </x:c>
    </x:row>
    <x:row r="9279">
      <x:c r="A9279" s="15" t="n">
        <x:v>44562</x:v>
      </x:c>
      <x:c r="B9279" s="13" t="str">
        <x:v>SUL AMERICA SA - UNITS</x:v>
      </x:c>
      <x:c r="C9279" s="16" t="n">
        <x:v>1123.0815228493</x:v>
      </x:c>
      <x:c r="D9279" s="13" t="str">
        <x:v>Health Care</x:v>
      </x:c>
      <x:c r="E9279" s="13" t="str">
        <x:v>Health Care</x:v>
      </x:c>
      <x:c r="F9279" s="13" t="str">
        <x:v>Defensives</x:v>
      </x:c>
      <x:c r="G9279" s="13" t="str">
        <x:v>Ibovespa_earnings_consolidated.xlsx</x:v>
      </x:c>
    </x:row>
    <x:row r="9280">
      <x:c r="A9280" s="15" t="n">
        <x:v>44562</x:v>
      </x:c>
      <x:c r="B9280" s="13" t="str">
        <x:v>CYRELA BRAZIL REALTY SA EMP</x:v>
      </x:c>
      <x:c r="C9280" s="16" t="n">
        <x:v>1039.2702064219</x:v>
      </x:c>
      <x:c r="D9280" s="13" t="str">
        <x:v>Homebuilders</x:v>
      </x:c>
      <x:c r="E9280" s="13" t="str">
        <x:v>Real Estate</x:v>
      </x:c>
      <x:c r="F9280" s="13" t="str">
        <x:v>Early Cyclicals</x:v>
      </x:c>
      <x:c r="G9280" s="13" t="str">
        <x:v>Ibovespa_earnings_consolidated.xlsx</x:v>
      </x:c>
    </x:row>
    <x:row r="9281">
      <x:c r="A9281" s="15" t="n">
        <x:v>44562</x:v>
      </x:c>
      <x:c r="B9281" s="13" t="str">
        <x:v>EZ TEC EMPREENDIMENTOS E PAR</x:v>
      </x:c>
      <x:c r="C9281" s="16" t="n">
        <x:v>622.5561643836</x:v>
      </x:c>
      <x:c r="D9281" s="13" t="str">
        <x:v>Homebuilders</x:v>
      </x:c>
      <x:c r="E9281" s="13" t="str">
        <x:v>Real Estate</x:v>
      </x:c>
      <x:c r="F9281" s="13" t="str">
        <x:v>Early Cyclicals</x:v>
      </x:c>
      <x:c r="G9281" s="13" t="str">
        <x:v>Ibovespa_earnings_consolidated.xlsx</x:v>
      </x:c>
    </x:row>
    <x:row r="9282">
      <x:c r="A9282" s="15" t="n">
        <x:v>44562</x:v>
      </x:c>
      <x:c r="B9282" s="13" t="str">
        <x:v>MRV ENGENHARIA</x:v>
      </x:c>
      <x:c r="C9282" s="16" t="n">
        <x:v>728.4910972493</x:v>
      </x:c>
      <x:c r="D9282" s="13" t="str">
        <x:v>Homebuilders</x:v>
      </x:c>
      <x:c r="E9282" s="13" t="str">
        <x:v>Real Estate</x:v>
      </x:c>
      <x:c r="F9282" s="13" t="str">
        <x:v>Early Cyclicals</x:v>
      </x:c>
      <x:c r="G9282" s="13" t="str">
        <x:v>Ibovespa_earnings_consolidated.xlsx</x:v>
      </x:c>
    </x:row>
    <x:row r="9283">
      <x:c r="A9283" s="15" t="n">
        <x:v>44562</x:v>
      </x:c>
      <x:c r="B9283" s="13" t="str">
        <x:v>BR MALLS PARTICIPACOES SA</x:v>
      </x:c>
      <x:c r="C9283" s="16" t="n">
        <x:v>520.1877404055</x:v>
      </x:c>
      <x:c r="D9283" s="13" t="str">
        <x:v>Income Properties</x:v>
      </x:c>
      <x:c r="E9283" s="13" t="str">
        <x:v>Real Estate</x:v>
      </x:c>
      <x:c r="F9283" s="13" t="str">
        <x:v>Early Cyclicals</x:v>
      </x:c>
      <x:c r="G9283" s="13" t="str">
        <x:v>Ibovespa_earnings_consolidated.xlsx</x:v>
      </x:c>
    </x:row>
    <x:row r="9284">
      <x:c r="A9284" s="15" t="n">
        <x:v>44562</x:v>
      </x:c>
      <x:c r="B9284" s="13" t="str">
        <x:v>IGUATEMI SA - UNITS</x:v>
      </x:c>
      <x:c r="C9284" s="16" t="n">
        <x:v>239.9649315068</x:v>
      </x:c>
      <x:c r="D9284" s="13" t="str">
        <x:v>Income Properties</x:v>
      </x:c>
      <x:c r="E9284" s="13" t="str">
        <x:v>Real Estate</x:v>
      </x:c>
      <x:c r="F9284" s="13" t="str">
        <x:v>Early Cyclicals</x:v>
      </x:c>
      <x:c r="G9284" s="13" t="str">
        <x:v>Ibovespa_earnings_consolidated.xlsx</x:v>
      </x:c>
    </x:row>
    <x:row r="9285">
      <x:c r="A9285" s="15" t="n">
        <x:v>44562</x:v>
      </x:c>
      <x:c r="B9285" s="13" t="str">
        <x:v>JHSF PARTICIPACOES SA</x:v>
      </x:c>
      <x:c r="C9285" s="16" t="n">
        <x:v>718.8972575562</x:v>
      </x:c>
      <x:c r="D9285" s="13" t="str">
        <x:v>Income Properties</x:v>
      </x:c>
      <x:c r="E9285" s="13" t="str">
        <x:v>Real Estate</x:v>
      </x:c>
      <x:c r="F9285" s="13" t="str">
        <x:v>Early Cyclicals</x:v>
      </x:c>
      <x:c r="G9285" s="13" t="str">
        <x:v>Ibovespa_earnings_consolidated.xlsx</x:v>
      </x:c>
    </x:row>
    <x:row r="9286">
      <x:c r="A9286" s="15" t="n">
        <x:v>44562</x:v>
      </x:c>
      <x:c r="B9286" s="13" t="str">
        <x:v>MULTIPLAN EMPREENDIMENTOS</x:v>
      </x:c>
      <x:c r="C9286" s="16" t="n">
        <x:v>571.5181008658</x:v>
      </x:c>
      <x:c r="D9286" s="13" t="str">
        <x:v>Income Properties</x:v>
      </x:c>
      <x:c r="E9286" s="13" t="str">
        <x:v>Real Estate</x:v>
      </x:c>
      <x:c r="F9286" s="13" t="str">
        <x:v>Early Cyclicals</x:v>
      </x:c>
      <x:c r="G9286" s="13" t="str">
        <x:v>Ibovespa_earnings_consolidated.xlsx</x:v>
      </x:c>
    </x:row>
    <x:row r="9287">
      <x:c r="A9287" s="15" t="n">
        <x:v>44562</x:v>
      </x:c>
      <x:c r="B9287" s="13" t="str">
        <x:v>BRADESPAR SA -PREF</x:v>
      </x:c>
      <x:c r="C9287" s="16" t="n">
        <x:v>2408.3562229479</x:v>
      </x:c>
      <x:c r="D9287" s="13" t="str">
        <x:v>Metals &amp; Mining</x:v>
      </x:c>
      <x:c r="E9287" s="13" t="str">
        <x:v>Metals &amp; Mining</x:v>
      </x:c>
      <x:c r="F9287" s="13" t="str">
        <x:v>Deep Cyclicals</x:v>
      </x:c>
      <x:c r="G9287" s="13" t="str">
        <x:v>Ibovespa_earnings_consolidated.xlsx</x:v>
      </x:c>
    </x:row>
    <x:row r="9288">
      <x:c r="A9288" s="15" t="n">
        <x:v>44562</x:v>
      </x:c>
      <x:c r="B9288" s="13" t="str">
        <x:v>CIA SIDERURGICA NACIONAL SA</x:v>
      </x:c>
      <x:c r="C9288" s="16" t="n">
        <x:v>6918.0411946082</x:v>
      </x:c>
      <x:c r="D9288" s="13" t="str">
        <x:v>Metals &amp; Mining</x:v>
      </x:c>
      <x:c r="E9288" s="13" t="str">
        <x:v>Metals &amp; Mining</x:v>
      </x:c>
      <x:c r="F9288" s="13" t="str">
        <x:v>Deep Cyclicals</x:v>
      </x:c>
      <x:c r="G9288" s="13" t="str">
        <x:v>Ibovespa_earnings_consolidated.xlsx</x:v>
      </x:c>
    </x:row>
    <x:row r="9289">
      <x:c r="A9289" s="15" t="n">
        <x:v>44562</x:v>
      </x:c>
      <x:c r="B9289" s="13" t="str">
        <x:v>CSN MINERACAO SA</x:v>
      </x:c>
      <x:c r="C9289" s="16" t="n">
        <x:v>4074.9398633206</x:v>
      </x:c>
      <x:c r="D9289" s="13" t="str">
        <x:v>Metals &amp; Mining</x:v>
      </x:c>
      <x:c r="E9289" s="13" t="str">
        <x:v>Metals &amp; Mining</x:v>
      </x:c>
      <x:c r="F9289" s="13" t="str">
        <x:v>Deep Cyclicals</x:v>
      </x:c>
      <x:c r="G9289" s="13" t="str">
        <x:v>Ibovespa_earnings_consolidated.xlsx</x:v>
      </x:c>
    </x:row>
    <x:row r="9290">
      <x:c r="A9290" s="15" t="n">
        <x:v>44562</x:v>
      </x:c>
      <x:c r="B9290" s="13" t="str">
        <x:v>GERDAU SA-PREF</x:v>
      </x:c>
      <x:c r="C9290" s="16" t="n">
        <x:v>8878.8375047014</x:v>
      </x:c>
      <x:c r="D9290" s="13" t="str">
        <x:v>Metals &amp; Mining</x:v>
      </x:c>
      <x:c r="E9290" s="13" t="str">
        <x:v>Metals &amp; Mining</x:v>
      </x:c>
      <x:c r="F9290" s="13" t="str">
        <x:v>Deep Cyclicals</x:v>
      </x:c>
      <x:c r="G9290" s="13" t="str">
        <x:v>Ibovespa_earnings_consolidated.xlsx</x:v>
      </x:c>
    </x:row>
    <x:row r="9291">
      <x:c r="A9291" s="15" t="n">
        <x:v>44562</x:v>
      </x:c>
      <x:c r="B9291" s="13" t="str">
        <x:v>USINAS SIDER MINAS GER-PF A</x:v>
      </x:c>
      <x:c r="C9291" s="16" t="n">
        <x:v>3991.006407189</x:v>
      </x:c>
      <x:c r="D9291" s="13" t="str">
        <x:v>Metals &amp; Mining</x:v>
      </x:c>
      <x:c r="E9291" s="13" t="str">
        <x:v>Metals &amp; Mining</x:v>
      </x:c>
      <x:c r="F9291" s="13" t="str">
        <x:v>Deep Cyclicals</x:v>
      </x:c>
      <x:c r="G9291" s="13" t="str">
        <x:v>Ibovespa_earnings_consolidated.xlsx</x:v>
      </x:c>
    </x:row>
    <x:row r="9292">
      <x:c r="A9292" s="15" t="n">
        <x:v>44562</x:v>
      </x:c>
      <x:c r="B9292" s="13" t="str">
        <x:v>VALE SA</x:v>
      </x:c>
      <x:c r="C9292" s="16" t="n">
        <x:v>73536.4310226411</x:v>
      </x:c>
      <x:c r="D9292" s="13" t="str">
        <x:v>Metals &amp; Mining</x:v>
      </x:c>
      <x:c r="E9292" s="13" t="str">
        <x:v>Metals &amp; Mining</x:v>
      </x:c>
      <x:c r="F9292" s="13" t="str">
        <x:v>Deep Cyclicals</x:v>
      </x:c>
      <x:c r="G9292" s="13" t="str">
        <x:v>Ibovespa_earnings_consolidated.xlsx</x:v>
      </x:c>
    </x:row>
    <x:row r="9293">
      <x:c r="A9293" s="15" t="n">
        <x:v>44562</x:v>
      </x:c>
      <x:c r="B9293" s="13" t="str">
        <x:v>BRASKEM SA-PREF A</x:v>
      </x:c>
      <x:c r="C9293" s="16" t="n">
        <x:v>9047.5782578849</x:v>
      </x:c>
      <x:c r="D9293" s="13" t="str">
        <x:v>Oil, Gas &amp; Petrochemicals</x:v>
      </x:c>
      <x:c r="E9293" s="13" t="str">
        <x:v>Oil, Gas &amp; Petrochemicals</x:v>
      </x:c>
      <x:c r="F9293" s="13" t="str">
        <x:v>Deep Cyclicals</x:v>
      </x:c>
      <x:c r="G9293" s="13" t="str">
        <x:v>Ibovespa_earnings_consolidated.xlsx</x:v>
      </x:c>
    </x:row>
    <x:row r="9294">
      <x:c r="A9294" s="15" t="n">
        <x:v>44562</x:v>
      </x:c>
      <x:c r="B9294" s="13" t="str">
        <x:v>BRAVA ENERGIA</x:v>
      </x:c>
      <x:c r="C9294" s="16" t="n">
        <x:v>1403.049291748</x:v>
      </x:c>
      <x:c r="D9294" s="13" t="str">
        <x:v>Oil, Gas &amp; Petrochemicals</x:v>
      </x:c>
      <x:c r="E9294" s="13" t="str">
        <x:v>Oil, Gas &amp; Petrochemicals</x:v>
      </x:c>
      <x:c r="F9294" s="13" t="str">
        <x:v>Deep Cyclicals</x:v>
      </x:c>
      <x:c r="G9294" s="13" t="str">
        <x:v>Ibovespa_earnings_consolidated.xlsx</x:v>
      </x:c>
    </x:row>
    <x:row r="9295">
      <x:c r="A9295" s="15" t="n">
        <x:v>44562</x:v>
      </x:c>
      <x:c r="B9295" s="13" t="str">
        <x:v>COSAN SA</x:v>
      </x:c>
      <x:c r="C9295" s="16" t="n">
        <x:v>3588.4888148164</x:v>
      </x:c>
      <x:c r="D9295" s="13" t="str">
        <x:v>Oil, Gas &amp; Petrochemicals</x:v>
      </x:c>
      <x:c r="E9295" s="13" t="str">
        <x:v>Oil, Gas &amp; Petrochemicals</x:v>
      </x:c>
      <x:c r="F9295" s="13" t="str">
        <x:v>Deep Cyclicals</x:v>
      </x:c>
      <x:c r="G9295" s="13" t="str">
        <x:v>Ibovespa_earnings_consolidated.xlsx</x:v>
      </x:c>
    </x:row>
    <x:row r="9296">
      <x:c r="A9296" s="15" t="n">
        <x:v>44562</x:v>
      </x:c>
      <x:c r="B9296" s="13" t="str">
        <x:v>PETROBRAS - PETROLEO BRAS</x:v>
      </x:c>
      <x:c r="C9296" s="16" t="n">
        <x:v>95603.3033426411</x:v>
      </x:c>
      <x:c r="D9296" s="13" t="str">
        <x:v>Oil, Gas &amp; Petrochemicals</x:v>
      </x:c>
      <x:c r="E9296" s="13" t="str">
        <x:v>Oil, Gas &amp; Petrochemicals</x:v>
      </x:c>
      <x:c r="F9296" s="13" t="str">
        <x:v>Deep Cyclicals</x:v>
      </x:c>
      <x:c r="G9296" s="13" t="str">
        <x:v>Ibovespa_earnings_consolidated.xlsx</x:v>
      </x:c>
    </x:row>
    <x:row r="9297">
      <x:c r="A9297" s="15" t="n">
        <x:v>44562</x:v>
      </x:c>
      <x:c r="B9297" s="13" t="str">
        <x:v>PRIO SA</x:v>
      </x:c>
      <x:c r="C9297" s="16" t="n">
        <x:v>1801.6211620822</x:v>
      </x:c>
      <x:c r="D9297" s="13" t="str">
        <x:v>Oil, Gas &amp; Petrochemicals</x:v>
      </x:c>
      <x:c r="E9297" s="13" t="str">
        <x:v>Oil, Gas &amp; Petrochemicals</x:v>
      </x:c>
      <x:c r="F9297" s="13" t="str">
        <x:v>Deep Cyclicals</x:v>
      </x:c>
      <x:c r="G9297" s="13" t="str">
        <x:v>Ibovespa_earnings_consolidated.xlsx</x:v>
      </x:c>
    </x:row>
    <x:row r="9298">
      <x:c r="A9298" s="15" t="n">
        <x:v>44562</x:v>
      </x:c>
      <x:c r="B9298" s="13" t="str">
        <x:v>ULTRAPAR PARTICIPACOES SA</x:v>
      </x:c>
      <x:c r="C9298" s="16" t="n">
        <x:v>1123.2719587945</x:v>
      </x:c>
      <x:c r="D9298" s="13" t="str">
        <x:v>Oil, Gas &amp; Petrochemicals</x:v>
      </x:c>
      <x:c r="E9298" s="13" t="str">
        <x:v>Oil, Gas &amp; Petrochemicals</x:v>
      </x:c>
      <x:c r="F9298" s="13" t="str">
        <x:v>Deep Cyclicals</x:v>
      </x:c>
      <x:c r="G9298" s="13" t="str">
        <x:v>Ibovespa_earnings_consolidated.xlsx</x:v>
      </x:c>
    </x:row>
    <x:row r="9299">
      <x:c r="A9299" s="15" t="n">
        <x:v>44562</x:v>
      </x:c>
      <x:c r="B9299" s="13" t="str">
        <x:v>VIBRA ENERGIA SA</x:v>
      </x:c>
      <x:c r="C9299" s="16" t="n">
        <x:v>2086.8416547069</x:v>
      </x:c>
      <x:c r="D9299" s="13" t="str">
        <x:v>Oil, Gas &amp; Petrochemicals</x:v>
      </x:c>
      <x:c r="E9299" s="13" t="str">
        <x:v>Oil, Gas &amp; Petrochemicals</x:v>
      </x:c>
      <x:c r="F9299" s="13" t="str">
        <x:v>Deep Cyclicals</x:v>
      </x:c>
      <x:c r="G9299" s="13" t="str">
        <x:v>Ibovespa_earnings_consolidated.xlsx</x:v>
      </x:c>
    </x:row>
    <x:row r="9300">
      <x:c r="A9300" s="15" t="n">
        <x:v>44562</x:v>
      </x:c>
      <x:c r="B9300" s="13" t="str">
        <x:v>DEXCO SA</x:v>
      </x:c>
      <x:c r="C9300" s="16" t="n">
        <x:v>891.4513164274</x:v>
      </x:c>
      <x:c r="D9300" s="13" t="str">
        <x:v>Pulp &amp; Paper</x:v>
      </x:c>
      <x:c r="E9300" s="13" t="str">
        <x:v>Pulp &amp; Paper</x:v>
      </x:c>
      <x:c r="F9300" s="13" t="str">
        <x:v>Deep Cyclicals</x:v>
      </x:c>
      <x:c r="G9300" s="13" t="str">
        <x:v>Ibovespa_earnings_consolidated.xlsx</x:v>
      </x:c>
    </x:row>
    <x:row r="9301">
      <x:c r="A9301" s="15" t="n">
        <x:v>44562</x:v>
      </x:c>
      <x:c r="B9301" s="13" t="str">
        <x:v>KLABIN SA - UNIT</x:v>
      </x:c>
      <x:c r="C9301" s="16" t="n">
        <x:v>2173.0162772164</x:v>
      </x:c>
      <x:c r="D9301" s="13" t="str">
        <x:v>Pulp &amp; Paper</x:v>
      </x:c>
      <x:c r="E9301" s="13" t="str">
        <x:v>Pulp &amp; Paper</x:v>
      </x:c>
      <x:c r="F9301" s="13" t="str">
        <x:v>Deep Cyclicals</x:v>
      </x:c>
      <x:c r="G9301" s="13" t="str">
        <x:v>Ibovespa_earnings_consolidated.xlsx</x:v>
      </x:c>
    </x:row>
    <x:row r="9302">
      <x:c r="A9302" s="15" t="n">
        <x:v>44562</x:v>
      </x:c>
      <x:c r="B9302" s="13" t="str">
        <x:v>SUZANO SA</x:v>
      </x:c>
      <x:c r="C9302" s="16" t="n">
        <x:v>6065.4148678137</x:v>
      </x:c>
      <x:c r="D9302" s="13" t="str">
        <x:v>Pulp &amp; Paper</x:v>
      </x:c>
      <x:c r="E9302" s="13" t="str">
        <x:v>Pulp &amp; Paper</x:v>
      </x:c>
      <x:c r="F9302" s="13" t="str">
        <x:v>Deep Cyclicals</x:v>
      </x:c>
      <x:c r="G9302" s="13" t="str">
        <x:v>Ibovespa_earnings_consolidated.xlsx</x:v>
      </x:c>
    </x:row>
    <x:row r="9303">
      <x:c r="A9303" s="15" t="n">
        <x:v>44562</x:v>
      </x:c>
      <x:c r="B9303" s="13" t="str">
        <x:v>ALPARGATAS SA - PREF</x:v>
      </x:c>
      <x:c r="C9303" s="16" t="n">
        <x:v>679.917151211</x:v>
      </x:c>
      <x:c r="D9303" s="13" t="str">
        <x:v>Retail</x:v>
      </x:c>
      <x:c r="E9303" s="13" t="str">
        <x:v>Retail</x:v>
      </x:c>
      <x:c r="F9303" s="13" t="str">
        <x:v>Early Cyclicals</x:v>
      </x:c>
      <x:c r="G9303" s="13" t="str">
        <x:v>Ibovespa_earnings_consolidated.xlsx</x:v>
      </x:c>
    </x:row>
    <x:row r="9304">
      <x:c r="A9304" s="15" t="n">
        <x:v>44562</x:v>
      </x:c>
      <x:c r="B9304" s="13" t="str">
        <x:v>AMERICANAS SA</x:v>
      </x:c>
      <x:c r="C9304" s="16" t="n">
        <x:v>214.9441787616</x:v>
      </x:c>
      <x:c r="D9304" s="13" t="str">
        <x:v>Retail</x:v>
      </x:c>
      <x:c r="E9304" s="13" t="str">
        <x:v>Retail</x:v>
      </x:c>
      <x:c r="F9304" s="13" t="str">
        <x:v>Early Cyclicals</x:v>
      </x:c>
      <x:c r="G9304" s="13" t="str">
        <x:v>Ibovespa_earnings_consolidated.xlsx</x:v>
      </x:c>
    </x:row>
    <x:row r="9305">
      <x:c r="A9305" s="15" t="n">
        <x:v>44562</x:v>
      </x:c>
      <x:c r="B9305" s="13" t="str">
        <x:v>ATACADAO SA</x:v>
      </x:c>
      <x:c r="C9305" s="16" t="n">
        <x:v>2526.9604948164</x:v>
      </x:c>
      <x:c r="D9305" s="13" t="str">
        <x:v>Retail</x:v>
      </x:c>
      <x:c r="E9305" s="13" t="str">
        <x:v>Retail</x:v>
      </x:c>
      <x:c r="F9305" s="13" t="str">
        <x:v>Early Cyclicals</x:v>
      </x:c>
      <x:c r="G9305" s="13" t="str">
        <x:v>Ibovespa_earnings_consolidated.xlsx</x:v>
      </x:c>
    </x:row>
    <x:row r="9306">
      <x:c r="A9306" s="15" t="n">
        <x:v>44562</x:v>
      </x:c>
      <x:c r="B9306" s="13" t="str">
        <x:v>CIA BRASILEIRA DE DISTRIBUIC</x:v>
      </x:c>
      <x:c r="C9306" s="16" t="n">
        <x:v>469.9455577425</x:v>
      </x:c>
      <x:c r="D9306" s="13" t="str">
        <x:v>Retail</x:v>
      </x:c>
      <x:c r="E9306" s="13" t="str">
        <x:v>Retail</x:v>
      </x:c>
      <x:c r="F9306" s="13" t="str">
        <x:v>Early Cyclicals</x:v>
      </x:c>
      <x:c r="G9306" s="13" t="str">
        <x:v>Ibovespa_earnings_consolidated.xlsx</x:v>
      </x:c>
    </x:row>
    <x:row r="9307">
      <x:c r="A9307" s="15" t="n">
        <x:v>44562</x:v>
      </x:c>
      <x:c r="B9307" s="13" t="str">
        <x:v>CVC BRASIL OPERADORA E AGENC</x:v>
      </x:c>
      <x:c r="C9307" s="16" t="n">
        <x:v>-177.1767681425</x:v>
      </x:c>
      <x:c r="D9307" s="13" t="str">
        <x:v>Retail</x:v>
      </x:c>
      <x:c r="E9307" s="13" t="str">
        <x:v>Retail</x:v>
      </x:c>
      <x:c r="F9307" s="13" t="str">
        <x:v>Early Cyclicals</x:v>
      </x:c>
      <x:c r="G9307" s="13" t="str">
        <x:v>Ibovespa_earnings_consolidated.xlsx</x:v>
      </x:c>
    </x:row>
    <x:row r="9308">
      <x:c r="A9308" s="15" t="n">
        <x:v>44562</x:v>
      </x:c>
      <x:c r="B9308" s="13" t="str">
        <x:v>GRUPO CASAS BAHIA SA</x:v>
      </x:c>
      <x:c r="C9308" s="16" t="n">
        <x:v>-87.6180842521</x:v>
      </x:c>
      <x:c r="D9308" s="13" t="str">
        <x:v>Retail</x:v>
      </x:c>
      <x:c r="E9308" s="13" t="str">
        <x:v>Retail</x:v>
      </x:c>
      <x:c r="F9308" s="13" t="str">
        <x:v>Early Cyclicals</x:v>
      </x:c>
      <x:c r="G9308" s="13" t="str">
        <x:v>Ibovespa_earnings_consolidated.xlsx</x:v>
      </x:c>
    </x:row>
    <x:row r="9309">
      <x:c r="A9309" s="15" t="n">
        <x:v>44562</x:v>
      </x:c>
      <x:c r="B9309" s="13" t="str">
        <x:v>GRUPO DE MODA SOMA SA</x:v>
      </x:c>
      <x:c r="C9309" s="16" t="n">
        <x:v>398.6082191781</x:v>
      </x:c>
      <x:c r="D9309" s="13" t="str">
        <x:v>Retail</x:v>
      </x:c>
      <x:c r="E9309" s="13" t="str">
        <x:v>Retail</x:v>
      </x:c>
      <x:c r="F9309" s="13" t="str">
        <x:v>Early Cyclicals</x:v>
      </x:c>
      <x:c r="G9309" s="13" t="str">
        <x:v>Ibovespa_earnings_consolidated.xlsx</x:v>
      </x:c>
    </x:row>
    <x:row r="9310">
      <x:c r="A9310" s="15" t="n">
        <x:v>44562</x:v>
      </x:c>
      <x:c r="B9310" s="13" t="str">
        <x:v>LOJAS RENNER S.A.</x:v>
      </x:c>
      <x:c r="C9310" s="16" t="n">
        <x:v>1256.3986670466</x:v>
      </x:c>
      <x:c r="D9310" s="13" t="str">
        <x:v>Retail</x:v>
      </x:c>
      <x:c r="E9310" s="13" t="str">
        <x:v>Retail</x:v>
      </x:c>
      <x:c r="F9310" s="13" t="str">
        <x:v>Early Cyclicals</x:v>
      </x:c>
      <x:c r="G9310" s="13" t="str">
        <x:v>Ibovespa_earnings_consolidated.xlsx</x:v>
      </x:c>
    </x:row>
    <x:row r="9311">
      <x:c r="A9311" s="15" t="n">
        <x:v>44562</x:v>
      </x:c>
      <x:c r="B9311" s="13" t="str">
        <x:v>MAGAZINE LUIZA SA</x:v>
      </x:c>
      <x:c r="C9311" s="16" t="n">
        <x:v>333.9393828822</x:v>
      </x:c>
      <x:c r="D9311" s="13" t="str">
        <x:v>Retail</x:v>
      </x:c>
      <x:c r="E9311" s="13" t="str">
        <x:v>Retail</x:v>
      </x:c>
      <x:c r="F9311" s="13" t="str">
        <x:v>Early Cyclicals</x:v>
      </x:c>
      <x:c r="G9311" s="13" t="str">
        <x:v>Ibovespa_earnings_consolidated.xlsx</x:v>
      </x:c>
    </x:row>
    <x:row r="9312">
      <x:c r="A9312" s="15" t="n">
        <x:v>44562</x:v>
      </x:c>
      <x:c r="B9312" s="13" t="str">
        <x:v>NATURA &amp;CO HOLDING SA</x:v>
      </x:c>
      <x:c r="C9312" s="16" t="n">
        <x:v>896.3944163945</x:v>
      </x:c>
      <x:c r="D9312" s="13" t="str">
        <x:v>Retail</x:v>
      </x:c>
      <x:c r="E9312" s="13" t="str">
        <x:v>Retail</x:v>
      </x:c>
      <x:c r="F9312" s="13" t="str">
        <x:v>Early Cyclicals</x:v>
      </x:c>
      <x:c r="G9312" s="13" t="str">
        <x:v>Ibovespa_earnings_consolidated.xlsx</x:v>
      </x:c>
    </x:row>
    <x:row r="9313">
      <x:c r="A9313" s="15" t="n">
        <x:v>44562</x:v>
      </x:c>
      <x:c r="B9313" s="13" t="str">
        <x:v>PET CENTER COMERCIO E PARTIC</x:v>
      </x:c>
      <x:c r="C9313" s="16" t="n">
        <x:v>159.0493150685</x:v>
      </x:c>
      <x:c r="D9313" s="13" t="str">
        <x:v>Retail</x:v>
      </x:c>
      <x:c r="E9313" s="13" t="str">
        <x:v>Retail</x:v>
      </x:c>
      <x:c r="F9313" s="13" t="str">
        <x:v>Early Cyclicals</x:v>
      </x:c>
      <x:c r="G9313" s="13" t="str">
        <x:v>Ibovespa_earnings_consolidated.xlsx</x:v>
      </x:c>
    </x:row>
    <x:row r="9314">
      <x:c r="A9314" s="15" t="n">
        <x:v>44562</x:v>
      </x:c>
      <x:c r="B9314" s="13" t="str">
        <x:v>RAIA DROGASIL SA</x:v>
      </x:c>
      <x:c r="C9314" s="16" t="n">
        <x:v>1049.7356305534</x:v>
      </x:c>
      <x:c r="D9314" s="13" t="str">
        <x:v>Retail</x:v>
      </x:c>
      <x:c r="E9314" s="13" t="str">
        <x:v>Retail</x:v>
      </x:c>
      <x:c r="F9314" s="13" t="str">
        <x:v>Early Cyclicals</x:v>
      </x:c>
      <x:c r="G9314" s="13" t="str">
        <x:v>Ibovespa_earnings_consolidated.xlsx</x:v>
      </x:c>
    </x:row>
    <x:row r="9315">
      <x:c r="A9315" s="15" t="n">
        <x:v>44562</x:v>
      </x:c>
      <x:c r="B9315" s="13" t="str">
        <x:v>SENDAS DISTRIBUIDORA SA</x:v>
      </x:c>
      <x:c r="C9315" s="16" t="n">
        <x:v>1154.6293177863</x:v>
      </x:c>
      <x:c r="D9315" s="13" t="str">
        <x:v>Retail</x:v>
      </x:c>
      <x:c r="E9315" s="13" t="str">
        <x:v>Retail</x:v>
      </x:c>
      <x:c r="F9315" s="13" t="str">
        <x:v>Early Cyclicals</x:v>
      </x:c>
      <x:c r="G9315" s="13" t="str">
        <x:v>Ibovespa_earnings_consolidated.xlsx</x:v>
      </x:c>
    </x:row>
    <x:row r="9316">
      <x:c r="A9316" s="15" t="n">
        <x:v>44562</x:v>
      </x:c>
      <x:c r="B9316" s="13" t="str">
        <x:v>CIA SANEAMENTO BASICO DE SP</x:v>
      </x:c>
      <x:c r="C9316" s="16" t="n">
        <x:v>3000.7344310356</x:v>
      </x:c>
      <x:c r="D9316" s="13" t="str">
        <x:v>Sanitation</x:v>
      </x:c>
      <x:c r="E9316" s="13" t="str">
        <x:v>Utilities</x:v>
      </x:c>
      <x:c r="F9316" s="13" t="str">
        <x:v>Defensives</x:v>
      </x:c>
      <x:c r="G9316" s="13" t="str">
        <x:v>Ibovespa_earnings_consolidated.xlsx</x:v>
      </x:c>
    </x:row>
    <x:row r="9317">
      <x:c r="A9317" s="15" t="n">
        <x:v>44562</x:v>
      </x:c>
      <x:c r="B9317" s="13" t="str">
        <x:v>LWSA SA</x:v>
      </x:c>
      <x:c r="C9317" s="16" t="n">
        <x:v>124.1170376767</x:v>
      </x:c>
      <x:c r="D9317" s="13" t="str">
        <x:v>TMT</x:v>
      </x:c>
      <x:c r="E9317" s="13" t="str">
        <x:v>TMT</x:v>
      </x:c>
      <x:c r="F9317" s="13" t="str">
        <x:v>Early Cyclicals</x:v>
      </x:c>
      <x:c r="G9317" s="13" t="str">
        <x:v>Ibovespa_earnings_consolidated.xlsx</x:v>
      </x:c>
    </x:row>
    <x:row r="9318">
      <x:c r="A9318" s="15" t="n">
        <x:v>44562</x:v>
      </x:c>
      <x:c r="B9318" s="13" t="str">
        <x:v>POSITIVO TECNOLOGIA SA</x:v>
      </x:c>
      <x:c r="C9318" s="16" t="n">
        <x:v>167.7561643836</x:v>
      </x:c>
      <x:c r="D9318" s="13" t="str">
        <x:v>TMT</x:v>
      </x:c>
      <x:c r="E9318" s="13" t="str">
        <x:v>TMT</x:v>
      </x:c>
      <x:c r="F9318" s="13" t="str">
        <x:v>Early Cyclicals</x:v>
      </x:c>
      <x:c r="G9318" s="13" t="str">
        <x:v>Ibovespa_earnings_consolidated.xlsx</x:v>
      </x:c>
    </x:row>
    <x:row r="9319">
      <x:c r="A9319" s="15" t="n">
        <x:v>44562</x:v>
      </x:c>
      <x:c r="B9319" s="13" t="str">
        <x:v>TIM SA</x:v>
      </x:c>
      <x:c r="C9319" s="16" t="n">
        <x:v>2413.9560027178</x:v>
      </x:c>
      <x:c r="D9319" s="13" t="str">
        <x:v>TMT</x:v>
      </x:c>
      <x:c r="E9319" s="13" t="str">
        <x:v>TMT</x:v>
      </x:c>
      <x:c r="F9319" s="13" t="str">
        <x:v>Early Cyclicals</x:v>
      </x:c>
      <x:c r="G9319" s="13" t="str">
        <x:v>Ibovespa_earnings_consolidated.xlsx</x:v>
      </x:c>
    </x:row>
    <x:row r="9320">
      <x:c r="A9320" s="15" t="n">
        <x:v>44562</x:v>
      </x:c>
      <x:c r="B9320" s="13" t="str">
        <x:v>TOTVS SA</x:v>
      </x:c>
      <x:c r="C9320" s="16" t="n">
        <x:v>516.289741326</x:v>
      </x:c>
      <x:c r="D9320" s="13" t="str">
        <x:v>TMT</x:v>
      </x:c>
      <x:c r="E9320" s="13" t="str">
        <x:v>TMT</x:v>
      </x:c>
      <x:c r="F9320" s="13" t="str">
        <x:v>Early Cyclicals</x:v>
      </x:c>
      <x:c r="G9320" s="13" t="str">
        <x:v>Ibovespa_earnings_consolidated.xlsx</x:v>
      </x:c>
    </x:row>
    <x:row r="9321">
      <x:c r="A9321" s="15" t="n">
        <x:v>44562</x:v>
      </x:c>
      <x:c r="B9321" s="13" t="str">
        <x:v>AZUL SA</x:v>
      </x:c>
      <x:c r="C9321" s="16" t="n">
        <x:v>-845.0115107616</x:v>
      </x:c>
      <x:c r="D9321" s="13" t="str">
        <x:v>Transportation</x:v>
      </x:c>
      <x:c r="E9321" s="13" t="str">
        <x:v>Transportation</x:v>
      </x:c>
      <x:c r="F9321" s="13" t="str">
        <x:v>Deep Cyclicals</x:v>
      </x:c>
      <x:c r="G9321" s="13" t="str">
        <x:v>Ibovespa_earnings_consolidated.xlsx</x:v>
      </x:c>
    </x:row>
    <x:row r="9322">
      <x:c r="A9322" s="15" t="n">
        <x:v>44562</x:v>
      </x:c>
      <x:c r="B9322" s="13" t="str">
        <x:v>CIA DE LOCACAO DAS AMERICAS</x:v>
      </x:c>
      <x:c r="C9322" s="16" t="n">
        <x:v>1047.8246091397</x:v>
      </x:c>
      <x:c r="D9322" s="13" t="str">
        <x:v>Transportation</x:v>
      </x:c>
      <x:c r="E9322" s="13" t="str">
        <x:v>Transportation</x:v>
      </x:c>
      <x:c r="F9322" s="13" t="str">
        <x:v>Deep Cyclicals</x:v>
      </x:c>
      <x:c r="G9322" s="13" t="str">
        <x:v>Ibovespa_earnings_consolidated.xlsx</x:v>
      </x:c>
    </x:row>
    <x:row r="9323">
      <x:c r="A9323" s="15" t="n">
        <x:v>44562</x:v>
      </x:c>
      <x:c r="B9323" s="13" t="str">
        <x:v>ECORODOVIAS INFRA E LOG SA</x:v>
      </x:c>
      <x:c r="C9323" s="16" t="n">
        <x:v>226.7558299178</x:v>
      </x:c>
      <x:c r="D9323" s="13" t="str">
        <x:v>Transportation</x:v>
      </x:c>
      <x:c r="E9323" s="13" t="str">
        <x:v>Transportation</x:v>
      </x:c>
      <x:c r="F9323" s="13" t="str">
        <x:v>Deep Cyclicals</x:v>
      </x:c>
      <x:c r="G9323" s="13" t="str">
        <x:v>Ibovespa_earnings_consolidated.xlsx</x:v>
      </x:c>
    </x:row>
    <x:row r="9324">
      <x:c r="A9324" s="15" t="n">
        <x:v>44562</x:v>
      </x:c>
      <x:c r="B9324" s="13" t="str">
        <x:v>GOL LINHAS AEREAS INT SA-PRE</x:v>
      </x:c>
      <x:c r="C9324" s="16" t="n">
        <x:v>-664.6366011616</x:v>
      </x:c>
      <x:c r="D9324" s="13" t="str">
        <x:v>Transportation</x:v>
      </x:c>
      <x:c r="E9324" s="13" t="str">
        <x:v>Transportation</x:v>
      </x:c>
      <x:c r="F9324" s="13" t="str">
        <x:v>Deep Cyclicals</x:v>
      </x:c>
      <x:c r="G9324" s="13" t="str">
        <x:v>Ibovespa_earnings_consolidated.xlsx</x:v>
      </x:c>
    </x:row>
    <x:row r="9325">
      <x:c r="A9325" s="15" t="n">
        <x:v>44562</x:v>
      </x:c>
      <x:c r="B9325" s="13" t="str">
        <x:v>LOCALIZA RENT A CAR</x:v>
      </x:c>
      <x:c r="C9325" s="16" t="n">
        <x:v>1923.7961524603</x:v>
      </x:c>
      <x:c r="D9325" s="13" t="str">
        <x:v>Transportation</x:v>
      </x:c>
      <x:c r="E9325" s="13" t="str">
        <x:v>Transportation</x:v>
      </x:c>
      <x:c r="F9325" s="13" t="str">
        <x:v>Deep Cyclicals</x:v>
      </x:c>
      <x:c r="G9325" s="13" t="str">
        <x:v>Ibovespa_earnings_consolidated.xlsx</x:v>
      </x:c>
    </x:row>
    <x:row r="9326">
      <x:c r="A9326" s="15" t="n">
        <x:v>44562</x:v>
      </x:c>
      <x:c r="B9326" s="13" t="str">
        <x:v>MOTIVA INFRAESTRUTURA DE MOB</x:v>
      </x:c>
      <x:c r="C9326" s="16" t="n">
        <x:v>1331.5228205589</x:v>
      </x:c>
      <x:c r="D9326" s="13" t="str">
        <x:v>Transportation</x:v>
      </x:c>
      <x:c r="E9326" s="13" t="str">
        <x:v>Transportation</x:v>
      </x:c>
      <x:c r="F9326" s="13" t="str">
        <x:v>Deep Cyclicals</x:v>
      </x:c>
      <x:c r="G9326" s="13" t="str">
        <x:v>Ibovespa_earnings_consolidated.xlsx</x:v>
      </x:c>
    </x:row>
    <x:row r="9327">
      <x:c r="A9327" s="15" t="n">
        <x:v>44562</x:v>
      </x:c>
      <x:c r="B9327" s="13" t="str">
        <x:v>RUMO SA</x:v>
      </x:c>
      <x:c r="C9327" s="16" t="n">
        <x:v>933.2740127562</x:v>
      </x:c>
      <x:c r="D9327" s="13" t="str">
        <x:v>Transportation</x:v>
      </x:c>
      <x:c r="E9327" s="13" t="str">
        <x:v>Transportation</x:v>
      </x:c>
      <x:c r="F9327" s="13" t="str">
        <x:v>Deep Cyclicals</x:v>
      </x:c>
      <x:c r="G9327" s="13" t="str">
        <x:v>Ibovespa_earnings_consolidated.xlsx</x:v>
      </x:c>
    </x:row>
    <x:row r="9328">
      <x:c r="A9328" s="15" t="n">
        <x:v>44562</x:v>
      </x:c>
      <x:c r="B9328" s="13" t="str">
        <x:v>AXIA ENERGIA SA</x:v>
      </x:c>
      <x:c r="C9328" s="16" t="n">
        <x:v>8771.7585905973</x:v>
      </x:c>
      <x:c r="D9328" s="13" t="str">
        <x:v>Utilities &amp; Energy</x:v>
      </x:c>
      <x:c r="E9328" s="13" t="str">
        <x:v>Utilities</x:v>
      </x:c>
      <x:c r="F9328" s="13" t="str">
        <x:v>Defensives</x:v>
      </x:c>
      <x:c r="G9328" s="13" t="str">
        <x:v>Ibovespa_earnings_consolidated.xlsx</x:v>
      </x:c>
    </x:row>
    <x:row r="9329">
      <x:c r="A9329" s="15" t="n">
        <x:v>44562</x:v>
      </x:c>
      <x:c r="B9329" s="13" t="str">
        <x:v>AXIA ENERGIA-PR B</x:v>
      </x:c>
      <x:c r="C9329" s="16" t="n">
        <x:v>8771.7585905973</x:v>
      </x:c>
      <x:c r="D9329" s="13" t="str">
        <x:v>Utilities &amp; Energy</x:v>
      </x:c>
      <x:c r="E9329" s="13" t="str">
        <x:v>Utilities</x:v>
      </x:c>
      <x:c r="F9329" s="13" t="str">
        <x:v>Defensives</x:v>
      </x:c>
      <x:c r="G9329" s="13" t="str">
        <x:v>Ibovespa_earnings_consolidated.xlsx</x:v>
      </x:c>
    </x:row>
    <x:row r="9330">
      <x:c r="A9330" s="15" t="n">
        <x:v>44562</x:v>
      </x:c>
      <x:c r="B9330" s="13" t="str">
        <x:v>CIA ENERGETICA MINAS GER-PRF</x:v>
      </x:c>
      <x:c r="C9330" s="16" t="n">
        <x:v>3057.0389952877</x:v>
      </x:c>
      <x:c r="D9330" s="13" t="str">
        <x:v>Utilities &amp; Energy</x:v>
      </x:c>
      <x:c r="E9330" s="13" t="str">
        <x:v>Utilities</x:v>
      </x:c>
      <x:c r="F9330" s="13" t="str">
        <x:v>Defensives</x:v>
      </x:c>
      <x:c r="G9330" s="13" t="str">
        <x:v>Ibovespa_earnings_consolidated.xlsx</x:v>
      </x:c>
    </x:row>
    <x:row r="9331">
      <x:c r="A9331" s="15" t="n">
        <x:v>44562</x:v>
      </x:c>
      <x:c r="B9331" s="13" t="str">
        <x:v>COMPANHIA PARANAENSE -PREF B</x:v>
      </x:c>
      <x:c r="C9331" s="16" t="n">
        <x:v>2533.6772706192</x:v>
      </x:c>
      <x:c r="D9331" s="13" t="str">
        <x:v>Utilities &amp; Energy</x:v>
      </x:c>
      <x:c r="E9331" s="13" t="str">
        <x:v>Utilities</x:v>
      </x:c>
      <x:c r="F9331" s="13" t="str">
        <x:v>Defensives</x:v>
      </x:c>
      <x:c r="G9331" s="13" t="str">
        <x:v>Ibovespa_earnings_consolidated.xlsx</x:v>
      </x:c>
    </x:row>
    <x:row r="9332">
      <x:c r="A9332" s="15" t="n">
        <x:v>44562</x:v>
      </x:c>
      <x:c r="B9332" s="13" t="str">
        <x:v>CPFL ENERGIA SA</x:v>
      </x:c>
      <x:c r="C9332" s="16" t="n">
        <x:v>4170.5740778959</x:v>
      </x:c>
      <x:c r="D9332" s="13" t="str">
        <x:v>Utilities &amp; Energy</x:v>
      </x:c>
      <x:c r="E9332" s="13" t="str">
        <x:v>Utilities</x:v>
      </x:c>
      <x:c r="F9332" s="13" t="str">
        <x:v>Defensives</x:v>
      </x:c>
      <x:c r="G9332" s="13" t="str">
        <x:v>Ibovespa_earnings_consolidated.xlsx</x:v>
      </x:c>
    </x:row>
    <x:row r="9333">
      <x:c r="A9333" s="15" t="n">
        <x:v>44562</x:v>
      </x:c>
      <x:c r="B9333" s="13" t="str">
        <x:v>EDP - ENERGIAS DO BRASIL SA</x:v>
      </x:c>
      <x:c r="C9333" s="16" t="n">
        <x:v>1505.6032995945</x:v>
      </x:c>
      <x:c r="D9333" s="13" t="str">
        <x:v>Utilities &amp; Energy</x:v>
      </x:c>
      <x:c r="E9333" s="13" t="str">
        <x:v>Utilities</x:v>
      </x:c>
      <x:c r="F9333" s="13" t="str">
        <x:v>Defensives</x:v>
      </x:c>
      <x:c r="G9333" s="13" t="str">
        <x:v>Ibovespa_earnings_consolidated.xlsx</x:v>
      </x:c>
    </x:row>
    <x:row r="9334">
      <x:c r="A9334" s="15" t="n">
        <x:v>44562</x:v>
      </x:c>
      <x:c r="B9334" s="13" t="str">
        <x:v>ENERGISA SA-UNITS</x:v>
      </x:c>
      <x:c r="C9334" s="16" t="n">
        <x:v>1822.8322251397</x:v>
      </x:c>
      <x:c r="D9334" s="13" t="str">
        <x:v>Utilities &amp; Energy</x:v>
      </x:c>
      <x:c r="E9334" s="13" t="str">
        <x:v>Utilities</x:v>
      </x:c>
      <x:c r="F9334" s="13" t="str">
        <x:v>Defensives</x:v>
      </x:c>
      <x:c r="G9334" s="13" t="str">
        <x:v>Ibovespa_earnings_consolidated.xlsx</x:v>
      </x:c>
    </x:row>
    <x:row r="9335">
      <x:c r="A9335" s="15" t="n">
        <x:v>44562</x:v>
      </x:c>
      <x:c r="B9335" s="13" t="str">
        <x:v>ENEVA SA</x:v>
      </x:c>
      <x:c r="C9335" s="16" t="n">
        <x:v>987.5458009425</x:v>
      </x:c>
      <x:c r="D9335" s="13" t="str">
        <x:v>Utilities &amp; Energy</x:v>
      </x:c>
      <x:c r="E9335" s="13" t="str">
        <x:v>Utilities</x:v>
      </x:c>
      <x:c r="F9335" s="13" t="str">
        <x:v>Defensives</x:v>
      </x:c>
      <x:c r="G9335" s="13" t="str">
        <x:v>Ibovespa_earnings_consolidated.xlsx</x:v>
      </x:c>
    </x:row>
    <x:row r="9336">
      <x:c r="A9336" s="15" t="n">
        <x:v>44562</x:v>
      </x:c>
      <x:c r="B9336" s="13" t="str">
        <x:v>ENGIE BRASIL ENERGIA SA</x:v>
      </x:c>
      <x:c r="C9336" s="16" t="n">
        <x:v>3107.3914010301</x:v>
      </x:c>
      <x:c r="D9336" s="13" t="str">
        <x:v>Utilities &amp; Energy</x:v>
      </x:c>
      <x:c r="E9336" s="13" t="str">
        <x:v>Utilities</x:v>
      </x:c>
      <x:c r="F9336" s="13" t="str">
        <x:v>Defensives</x:v>
      </x:c>
      <x:c r="G9336" s="13" t="str">
        <x:v>Ibovespa_earnings_consolidated.xlsx</x:v>
      </x:c>
    </x:row>
    <x:row r="9337">
      <x:c r="A9337" s="15" t="n">
        <x:v>44562</x:v>
      </x:c>
      <x:c r="B9337" s="13" t="str">
        <x:v>EQUATORIAL SA - ORD</x:v>
      </x:c>
      <x:c r="C9337" s="16" t="n">
        <x:v>2465.5415359123</x:v>
      </x:c>
      <x:c r="D9337" s="13" t="str">
        <x:v>Utilities &amp; Energy</x:v>
      </x:c>
      <x:c r="E9337" s="13" t="str">
        <x:v>Utilities</x:v>
      </x:c>
      <x:c r="F9337" s="13" t="str">
        <x:v>Defensives</x:v>
      </x:c>
      <x:c r="G9337" s="13" t="str">
        <x:v>Ibovespa_earnings_consolidated.xlsx</x:v>
      </x:c>
    </x:row>
    <x:row r="9338">
      <x:c r="A9338" s="15" t="n">
        <x:v>44562</x:v>
      </x:c>
      <x:c r="B9338" s="13" t="str">
        <x:v>TRANSMISSORA ALIANCA DE-UNIT</x:v>
      </x:c>
      <x:c r="C9338" s="16" t="n">
        <x:v>1209.2877119123</x:v>
      </x:c>
      <x:c r="D9338" s="13" t="str">
        <x:v>Utilities &amp; Energy</x:v>
      </x:c>
      <x:c r="E9338" s="13" t="str">
        <x:v>Utilities</x:v>
      </x:c>
      <x:c r="F9338" s="13" t="str">
        <x:v>Defensives</x:v>
      </x:c>
      <x:c r="G9338" s="13" t="str">
        <x:v>Ibovespa_earnings_consolidated.xlsx</x:v>
      </x:c>
    </x:row>
    <x:row r="9339">
      <x:c r="A9339" s="15" t="n">
        <x:v>44593</x:v>
      </x:c>
      <x:c r="B9339" s="13" t="str">
        <x:v>BANCO BRADESCO S.A.</x:v>
      </x:c>
      <x:c r="C9339" s="16" t="n">
        <x:v>29079.9141705644</x:v>
      </x:c>
      <x:c r="D9339" s="13" t="str">
        <x:v>Banks</x:v>
      </x:c>
      <x:c r="E9339" s="13" t="str">
        <x:v>Banks</x:v>
      </x:c>
      <x:c r="F9339" s="13" t="str">
        <x:v>Financials</x:v>
      </x:c>
      <x:c r="G9339" s="13" t="str">
        <x:v>Ibovespa_earnings_consolidated.xlsx</x:v>
      </x:c>
    </x:row>
    <x:row r="9340">
      <x:c r="A9340" s="15" t="n">
        <x:v>44593</x:v>
      </x:c>
      <x:c r="B9340" s="13" t="str">
        <x:v>BANCO BRADESCO SA-PREF</x:v>
      </x:c>
      <x:c r="C9340" s="16" t="n">
        <x:v>29079.9141705644</x:v>
      </x:c>
      <x:c r="D9340" s="13" t="str">
        <x:v>Banks</x:v>
      </x:c>
      <x:c r="E9340" s="13" t="str">
        <x:v>Banks</x:v>
      </x:c>
      <x:c r="F9340" s="13" t="str">
        <x:v>Financials</x:v>
      </x:c>
      <x:c r="G9340" s="13" t="str">
        <x:v>Ibovespa_earnings_consolidated.xlsx</x:v>
      </x:c>
    </x:row>
    <x:row r="9341">
      <x:c r="A9341" s="15" t="n">
        <x:v>44593</x:v>
      </x:c>
      <x:c r="B9341" s="13" t="str">
        <x:v>BANCO BTG PACTUAL SA-UNIT</x:v>
      </x:c>
      <x:c r="C9341" s="16" t="n">
        <x:v>7312.7797184877</x:v>
      </x:c>
      <x:c r="D9341" s="13" t="str">
        <x:v>Banks</x:v>
      </x:c>
      <x:c r="E9341" s="13" t="str">
        <x:v>Banks</x:v>
      </x:c>
      <x:c r="F9341" s="13" t="str">
        <x:v>Financials</x:v>
      </x:c>
      <x:c r="G9341" s="13" t="str">
        <x:v>Ibovespa_earnings_consolidated.xlsx</x:v>
      </x:c>
    </x:row>
    <x:row r="9342">
      <x:c r="A9342" s="15" t="n">
        <x:v>44593</x:v>
      </x:c>
      <x:c r="B9342" s="13" t="str">
        <x:v>BANCO DO BRASIL S.A.</x:v>
      </x:c>
      <x:c r="C9342" s="16" t="n">
        <x:v>22627.2718399123</x:v>
      </x:c>
      <x:c r="D9342" s="13" t="str">
        <x:v>Banks</x:v>
      </x:c>
      <x:c r="E9342" s="13" t="str">
        <x:v>Banks</x:v>
      </x:c>
      <x:c r="F9342" s="13" t="str">
        <x:v>Financials</x:v>
      </x:c>
      <x:c r="G9342" s="13" t="str">
        <x:v>Ibovespa_earnings_consolidated.xlsx</x:v>
      </x:c>
    </x:row>
    <x:row r="9343">
      <x:c r="A9343" s="15" t="n">
        <x:v>44593</x:v>
      </x:c>
      <x:c r="B9343" s="13" t="str">
        <x:v>BANCO INTER SA</x:v>
      </x:c>
      <x:c r="C9343" s="16" t="n">
        <x:v>351.0626780932</x:v>
      </x:c>
      <x:c r="D9343" s="13" t="str">
        <x:v>Banks</x:v>
      </x:c>
      <x:c r="E9343" s="13" t="str">
        <x:v>Banks</x:v>
      </x:c>
      <x:c r="F9343" s="13" t="str">
        <x:v>Financials</x:v>
      </x:c>
      <x:c r="G9343" s="13" t="str">
        <x:v>Ibovespa_earnings_consolidated.xlsx</x:v>
      </x:c>
    </x:row>
    <x:row r="9344">
      <x:c r="A9344" s="15" t="n">
        <x:v>44593</x:v>
      </x:c>
      <x:c r="B9344" s="13" t="str">
        <x:v>BANCO PAN SA</x:v>
      </x:c>
      <x:c r="C9344" s="16" t="n">
        <x:v>942.8717911671</x:v>
      </x:c>
      <x:c r="D9344" s="13" t="str">
        <x:v>Banks</x:v>
      </x:c>
      <x:c r="E9344" s="13" t="str">
        <x:v>Banks</x:v>
      </x:c>
      <x:c r="F9344" s="13" t="str">
        <x:v>Financials</x:v>
      </x:c>
      <x:c r="G9344" s="13" t="str">
        <x:v>Ibovespa_earnings_consolidated.xlsx</x:v>
      </x:c>
    </x:row>
    <x:row r="9345">
      <x:c r="A9345" s="15" t="n">
        <x:v>44593</x:v>
      </x:c>
      <x:c r="B9345" s="13" t="str">
        <x:v>BANCO SANTANDER  BRASIL-UNIT</x:v>
      </x:c>
      <x:c r="C9345" s="16" t="n">
        <x:v>17428.2925490849</x:v>
      </x:c>
      <x:c r="D9345" s="13" t="str">
        <x:v>Banks</x:v>
      </x:c>
      <x:c r="E9345" s="13" t="str">
        <x:v>Banks</x:v>
      </x:c>
      <x:c r="F9345" s="13" t="str">
        <x:v>Financials</x:v>
      </x:c>
      <x:c r="G9345" s="13" t="str">
        <x:v>Ibovespa_earnings_consolidated.xlsx</x:v>
      </x:c>
    </x:row>
    <x:row r="9346">
      <x:c r="A9346" s="15" t="n">
        <x:v>44593</x:v>
      </x:c>
      <x:c r="B9346" s="13" t="str">
        <x:v>ITAU UNIBANCO HOLDING S-PREF</x:v>
      </x:c>
      <x:c r="C9346" s="16" t="n">
        <x:v>30014.2943919342</x:v>
      </x:c>
      <x:c r="D9346" s="13" t="str">
        <x:v>Banks</x:v>
      </x:c>
      <x:c r="E9346" s="13" t="str">
        <x:v>Banks</x:v>
      </x:c>
      <x:c r="F9346" s="13" t="str">
        <x:v>Financials</x:v>
      </x:c>
      <x:c r="G9346" s="13" t="str">
        <x:v>Ibovespa_earnings_consolidated.xlsx</x:v>
      </x:c>
    </x:row>
    <x:row r="9347">
      <x:c r="A9347" s="15" t="n">
        <x:v>44593</x:v>
      </x:c>
      <x:c r="B9347" s="13" t="str">
        <x:v>EMBRAER SA</x:v>
      </x:c>
      <x:c r="C9347" s="16" t="n">
        <x:v>366.7961066959</x:v>
      </x:c>
      <x:c r="D9347" s="13" t="str">
        <x:v>Capital Goods</x:v>
      </x:c>
      <x:c r="E9347" s="13" t="str">
        <x:v>Capital Goods</x:v>
      </x:c>
      <x:c r="F9347" s="13" t="str">
        <x:v>Deep Cyclicals</x:v>
      </x:c>
      <x:c r="G9347" s="13" t="str">
        <x:v>Ibovespa_earnings_consolidated.xlsx</x:v>
      </x:c>
    </x:row>
    <x:row r="9348">
      <x:c r="A9348" s="15" t="n">
        <x:v>44593</x:v>
      </x:c>
      <x:c r="B9348" s="13" t="str">
        <x:v>WEG SA</x:v>
      </x:c>
      <x:c r="C9348" s="16" t="n">
        <x:v>3689.3334093151</x:v>
      </x:c>
      <x:c r="D9348" s="13" t="str">
        <x:v>Capital Goods</x:v>
      </x:c>
      <x:c r="E9348" s="13" t="str">
        <x:v>Capital Goods</x:v>
      </x:c>
      <x:c r="F9348" s="13" t="str">
        <x:v>Deep Cyclicals</x:v>
      </x:c>
      <x:c r="G9348" s="13" t="str">
        <x:v>Ibovespa_earnings_consolidated.xlsx</x:v>
      </x:c>
    </x:row>
    <x:row r="9349">
      <x:c r="A9349" s="15" t="n">
        <x:v>44593</x:v>
      </x:c>
      <x:c r="B9349" s="13" t="str">
        <x:v>COGNA EDUCACAO</x:v>
      </x:c>
      <x:c r="C9349" s="16" t="n">
        <x:v>-269.6406451781</x:v>
      </x:c>
      <x:c r="D9349" s="13" t="str">
        <x:v>Education</x:v>
      </x:c>
      <x:c r="E9349" s="13" t="str">
        <x:v>Education</x:v>
      </x:c>
      <x:c r="F9349" s="13" t="str">
        <x:v>Early Cyclicals</x:v>
      </x:c>
      <x:c r="G9349" s="13" t="str">
        <x:v>Ibovespa_earnings_consolidated.xlsx</x:v>
      </x:c>
    </x:row>
    <x:row r="9350">
      <x:c r="A9350" s="15" t="n">
        <x:v>44593</x:v>
      </x:c>
      <x:c r="B9350" s="13" t="str">
        <x:v>YDUQS PARTICIPACOES SA</x:v>
      </x:c>
      <x:c r="C9350" s="16" t="n">
        <x:v>480.1345153753</x:v>
      </x:c>
      <x:c r="D9350" s="13" t="str">
        <x:v>Education</x:v>
      </x:c>
      <x:c r="E9350" s="13" t="str">
        <x:v>Education</x:v>
      </x:c>
      <x:c r="F9350" s="13" t="str">
        <x:v>Early Cyclicals</x:v>
      </x:c>
      <x:c r="G9350" s="13" t="str">
        <x:v>Ibovespa_earnings_consolidated.xlsx</x:v>
      </x:c>
    </x:row>
    <x:row r="9351">
      <x:c r="A9351" s="15" t="n">
        <x:v>44593</x:v>
      </x:c>
      <x:c r="B9351" s="13" t="str">
        <x:v>B3 SA-BRASIL BOLSA BALCAO</x:v>
      </x:c>
      <x:c r="C9351" s="16" t="n">
        <x:v>5265.8126258849</x:v>
      </x:c>
      <x:c r="D9351" s="13" t="str">
        <x:v>Financials Non-Banks</x:v>
      </x:c>
      <x:c r="E9351" s="13" t="str">
        <x:v>Financials Non-Banks</x:v>
      </x:c>
      <x:c r="F9351" s="13" t="str">
        <x:v>Financials</x:v>
      </x:c>
      <x:c r="G9351" s="13" t="str">
        <x:v>Ibovespa_earnings_consolidated.xlsx</x:v>
      </x:c>
    </x:row>
    <x:row r="9352">
      <x:c r="A9352" s="15" t="n">
        <x:v>44593</x:v>
      </x:c>
      <x:c r="B9352" s="13" t="str">
        <x:v>BB SEGURIDADE PARTICIPACOES</x:v>
      </x:c>
      <x:c r="C9352" s="16" t="n">
        <x:v>5110.4377561425</x:v>
      </x:c>
      <x:c r="D9352" s="13" t="str">
        <x:v>Financials Non-Banks</x:v>
      </x:c>
      <x:c r="E9352" s="13" t="str">
        <x:v>Financials Non-Banks</x:v>
      </x:c>
      <x:c r="F9352" s="13" t="str">
        <x:v>Financials</x:v>
      </x:c>
      <x:c r="G9352" s="13" t="str">
        <x:v>Ibovespa_earnings_consolidated.xlsx</x:v>
      </x:c>
    </x:row>
    <x:row r="9353">
      <x:c r="A9353" s="15" t="n">
        <x:v>44593</x:v>
      </x:c>
      <x:c r="B9353" s="13" t="str">
        <x:v>CIELO SA</x:v>
      </x:c>
      <x:c r="C9353" s="16" t="n">
        <x:v>882.2163231562</x:v>
      </x:c>
      <x:c r="D9353" s="13" t="str">
        <x:v>Financials Non-Banks</x:v>
      </x:c>
      <x:c r="E9353" s="13" t="str">
        <x:v>Financials Non-Banks</x:v>
      </x:c>
      <x:c r="F9353" s="13" t="str">
        <x:v>Financials</x:v>
      </x:c>
      <x:c r="G9353" s="13" t="str">
        <x:v>Ibovespa_earnings_consolidated.xlsx</x:v>
      </x:c>
    </x:row>
    <x:row r="9354">
      <x:c r="A9354" s="15" t="n">
        <x:v>44593</x:v>
      </x:c>
      <x:c r="B9354" s="13" t="str">
        <x:v>CIELO SA - INSTITUICAO DE PA</x:v>
      </x:c>
      <x:c r="C9354" s="16" t="n">
        <x:v>882.2163231562</x:v>
      </x:c>
      <x:c r="D9354" s="13" t="str">
        <x:v>Financials Non-Banks</x:v>
      </x:c>
      <x:c r="E9354" s="13" t="str">
        <x:v>Financials Non-Banks</x:v>
      </x:c>
      <x:c r="F9354" s="13" t="str">
        <x:v>Financials</x:v>
      </x:c>
      <x:c r="G9354" s="13" t="str">
        <x:v>grid_wbaxp5t0.xlsx</x:v>
      </x:c>
    </x:row>
    <x:row r="9355">
      <x:c r="A9355" s="15" t="n">
        <x:v>44593</x:v>
      </x:c>
      <x:c r="B9355" s="13" t="str">
        <x:v>IRB BRASIL RESSEGUROS SA</x:v>
      </x:c>
      <x:c r="C9355" s="16" t="n">
        <x:v>336.054687737</x:v>
      </x:c>
      <x:c r="D9355" s="13" t="str">
        <x:v>Financials Non-Banks</x:v>
      </x:c>
      <x:c r="E9355" s="13" t="str">
        <x:v>Financials Non-Banks</x:v>
      </x:c>
      <x:c r="F9355" s="13" t="str">
        <x:v>Financials</x:v>
      </x:c>
      <x:c r="G9355" s="13" t="str">
        <x:v>Ibovespa_earnings_consolidated.xlsx</x:v>
      </x:c>
    </x:row>
    <x:row r="9356">
      <x:c r="A9356" s="15" t="n">
        <x:v>44593</x:v>
      </x:c>
      <x:c r="B9356" s="13" t="str">
        <x:v>ITAUSA SA</x:v>
      </x:c>
      <x:c r="C9356" s="16" t="n">
        <x:v>12099.242733063</x:v>
      </x:c>
      <x:c r="D9356" s="13" t="str">
        <x:v>Financials Non-Banks</x:v>
      </x:c>
      <x:c r="E9356" s="13" t="str">
        <x:v>Financials Non-Banks</x:v>
      </x:c>
      <x:c r="F9356" s="13" t="str">
        <x:v>Financials</x:v>
      </x:c>
      <x:c r="G9356" s="13" t="str">
        <x:v>Ibovespa_earnings_consolidated.xlsx</x:v>
      </x:c>
    </x:row>
    <x:row r="9357">
      <x:c r="A9357" s="15" t="n">
        <x:v>44593</x:v>
      </x:c>
      <x:c r="B9357" s="13" t="str">
        <x:v>MELIUZ SA - ON</x:v>
      </x:c>
      <x:c r="C9357" s="16" t="n">
        <x:v>9.571339726</x:v>
      </x:c>
      <x:c r="D9357" s="13" t="str">
        <x:v>Financials Non-Banks</x:v>
      </x:c>
      <x:c r="E9357" s="13" t="str">
        <x:v>Financials Non-Banks</x:v>
      </x:c>
      <x:c r="F9357" s="13" t="str">
        <x:v>Financials</x:v>
      </x:c>
      <x:c r="G9357" s="13" t="str">
        <x:v>Ibovespa_earnings_consolidated.xlsx</x:v>
      </x:c>
    </x:row>
    <x:row r="9358">
      <x:c r="A9358" s="15" t="n">
        <x:v>44593</x:v>
      </x:c>
      <x:c r="B9358" s="13" t="str">
        <x:v>AMBEV SA</x:v>
      </x:c>
      <x:c r="C9358" s="16" t="n">
        <x:v>12727.8699309589</x:v>
      </x:c>
      <x:c r="D9358" s="13" t="str">
        <x:v>Food &amp; Beverages</x:v>
      </x:c>
      <x:c r="E9358" s="13" t="str">
        <x:v>Agri, Food &amp; Beverages</x:v>
      </x:c>
      <x:c r="F9358" s="13" t="str">
        <x:v>Defensives</x:v>
      </x:c>
      <x:c r="G9358" s="13" t="str">
        <x:v>Ibovespa_earnings_consolidated.xlsx</x:v>
      </x:c>
    </x:row>
    <x:row r="9359">
      <x:c r="A9359" s="15" t="n">
        <x:v>44593</x:v>
      </x:c>
      <x:c r="B9359" s="13" t="str">
        <x:v>BRF SA</x:v>
      </x:c>
      <x:c r="C9359" s="16" t="n">
        <x:v>1174.8634592438</x:v>
      </x:c>
      <x:c r="D9359" s="13" t="str">
        <x:v>Food &amp; Beverages</x:v>
      </x:c>
      <x:c r="E9359" s="13" t="str">
        <x:v>Agri, Food &amp; Beverages</x:v>
      </x:c>
      <x:c r="F9359" s="13" t="str">
        <x:v>Defensives</x:v>
      </x:c>
      <x:c r="G9359" s="13" t="str">
        <x:v>Ibovespa_earnings_consolidated.xlsx</x:v>
      </x:c>
    </x:row>
    <x:row r="9360">
      <x:c r="A9360" s="15" t="n">
        <x:v>44593</x:v>
      </x:c>
      <x:c r="B9360" s="13" t="str">
        <x:v>JBS SA</x:v>
      </x:c>
      <x:c r="C9360" s="16" t="n">
        <x:v>14660.812805611</x:v>
      </x:c>
      <x:c r="D9360" s="13" t="str">
        <x:v>Food &amp; Beverages</x:v>
      </x:c>
      <x:c r="E9360" s="13" t="str">
        <x:v>Agri, Food &amp; Beverages</x:v>
      </x:c>
      <x:c r="F9360" s="13" t="str">
        <x:v>Defensives</x:v>
      </x:c>
      <x:c r="G9360" s="13" t="str">
        <x:v>Ibovespa_earnings_consolidated.xlsx</x:v>
      </x:c>
    </x:row>
    <x:row r="9361">
      <x:c r="A9361" s="15" t="n">
        <x:v>44593</x:v>
      </x:c>
      <x:c r="B9361" s="13" t="str">
        <x:v>MBRF GLOBAL FOODS COMPANY SA</x:v>
      </x:c>
      <x:c r="C9361" s="16" t="n">
        <x:v>3404.5446575342</x:v>
      </x:c>
      <x:c r="D9361" s="13" t="str">
        <x:v>Food &amp; Beverages</x:v>
      </x:c>
      <x:c r="E9361" s="13" t="str">
        <x:v>Agri, Food &amp; Beverages</x:v>
      </x:c>
      <x:c r="F9361" s="13" t="str">
        <x:v>Defensives</x:v>
      </x:c>
      <x:c r="G9361" s="13" t="str">
        <x:v>Ibovespa_earnings_consolidated.xlsx</x:v>
      </x:c>
    </x:row>
    <x:row r="9362">
      <x:c r="A9362" s="15" t="n">
        <x:v>44593</x:v>
      </x:c>
      <x:c r="B9362" s="13" t="str">
        <x:v>MINERVA SA</x:v>
      </x:c>
      <x:c r="C9362" s="16" t="n">
        <x:v>787.9679836932</x:v>
      </x:c>
      <x:c r="D9362" s="13" t="str">
        <x:v>Food &amp; Beverages</x:v>
      </x:c>
      <x:c r="E9362" s="13" t="str">
        <x:v>Agri, Food &amp; Beverages</x:v>
      </x:c>
      <x:c r="F9362" s="13" t="str">
        <x:v>Defensives</x:v>
      </x:c>
      <x:c r="G9362" s="13" t="str">
        <x:v>Ibovespa_earnings_consolidated.xlsx</x:v>
      </x:c>
    </x:row>
    <x:row r="9363">
      <x:c r="A9363" s="15" t="n">
        <x:v>44593</x:v>
      </x:c>
      <x:c r="B9363" s="13" t="str">
        <x:v>FLEURY SA</x:v>
      </x:c>
      <x:c r="C9363" s="16" t="n">
        <x:v>332.5949439123</x:v>
      </x:c>
      <x:c r="D9363" s="13" t="str">
        <x:v>Health Care</x:v>
      </x:c>
      <x:c r="E9363" s="13" t="str">
        <x:v>Health Care</x:v>
      </x:c>
      <x:c r="F9363" s="13" t="str">
        <x:v>Defensives</x:v>
      </x:c>
      <x:c r="G9363" s="13" t="str">
        <x:v>Ibovespa_earnings_consolidated.xlsx</x:v>
      </x:c>
    </x:row>
    <x:row r="9364">
      <x:c r="A9364" s="15" t="n">
        <x:v>44593</x:v>
      </x:c>
      <x:c r="B9364" s="13" t="str">
        <x:v>HAPVIDA PARTICIPACOES E INVE</x:v>
      </x:c>
      <x:c r="C9364" s="16" t="n">
        <x:v>1390.9153641206</x:v>
      </x:c>
      <x:c r="D9364" s="13" t="str">
        <x:v>Health Care</x:v>
      </x:c>
      <x:c r="E9364" s="13" t="str">
        <x:v>Health Care</x:v>
      </x:c>
      <x:c r="F9364" s="13" t="str">
        <x:v>Defensives</x:v>
      </x:c>
      <x:c r="G9364" s="13" t="str">
        <x:v>Ibovespa_earnings_consolidated.xlsx</x:v>
      </x:c>
    </x:row>
    <x:row r="9365">
      <x:c r="A9365" s="15" t="n">
        <x:v>44593</x:v>
      </x:c>
      <x:c r="B9365" s="13" t="str">
        <x:v>HYPERA SA</x:v>
      </x:c>
      <x:c r="C9365" s="16" t="n">
        <x:v>1615.2051424438</x:v>
      </x:c>
      <x:c r="D9365" s="13" t="str">
        <x:v>Health Care</x:v>
      </x:c>
      <x:c r="E9365" s="13" t="str">
        <x:v>Health Care</x:v>
      </x:c>
      <x:c r="F9365" s="13" t="str">
        <x:v>Defensives</x:v>
      </x:c>
      <x:c r="G9365" s="13" t="str">
        <x:v>Ibovespa_earnings_consolidated.xlsx</x:v>
      </x:c>
    </x:row>
    <x:row r="9366">
      <x:c r="A9366" s="15" t="n">
        <x:v>44593</x:v>
      </x:c>
      <x:c r="B9366" s="13" t="str">
        <x:v>QUALICORP CONS E CORR SEG SA</x:v>
      </x:c>
      <x:c r="C9366" s="16" t="n">
        <x:v>383.5347945205</x:v>
      </x:c>
      <x:c r="D9366" s="13" t="str">
        <x:v>Health Care</x:v>
      </x:c>
      <x:c r="E9366" s="13" t="str">
        <x:v>Health Care</x:v>
      </x:c>
      <x:c r="F9366" s="13" t="str">
        <x:v>Defensives</x:v>
      </x:c>
      <x:c r="G9366" s="13" t="str">
        <x:v>Ibovespa_earnings_consolidated.xlsx</x:v>
      </x:c>
    </x:row>
    <x:row r="9367">
      <x:c r="A9367" s="15" t="n">
        <x:v>44593</x:v>
      </x:c>
      <x:c r="B9367" s="13" t="str">
        <x:v>REDE D'OR SAO LUIZ SA</x:v>
      </x:c>
      <x:c r="C9367" s="16" t="n">
        <x:v>2459.4418239123</x:v>
      </x:c>
      <x:c r="D9367" s="13" t="str">
        <x:v>Health Care</x:v>
      </x:c>
      <x:c r="E9367" s="13" t="str">
        <x:v>Health Care</x:v>
      </x:c>
      <x:c r="F9367" s="13" t="str">
        <x:v>Defensives</x:v>
      </x:c>
      <x:c r="G9367" s="13" t="str">
        <x:v>Ibovespa_earnings_consolidated.xlsx</x:v>
      </x:c>
    </x:row>
    <x:row r="9368">
      <x:c r="A9368" s="15" t="n">
        <x:v>44593</x:v>
      </x:c>
      <x:c r="B9368" s="13" t="str">
        <x:v>SUL AMERICA SA - UNITS</x:v>
      </x:c>
      <x:c r="C9368" s="16" t="n">
        <x:v>1135.8948804384</x:v>
      </x:c>
      <x:c r="D9368" s="13" t="str">
        <x:v>Health Care</x:v>
      </x:c>
      <x:c r="E9368" s="13" t="str">
        <x:v>Health Care</x:v>
      </x:c>
      <x:c r="F9368" s="13" t="str">
        <x:v>Defensives</x:v>
      </x:c>
      <x:c r="G9368" s="13" t="str">
        <x:v>Ibovespa_earnings_consolidated.xlsx</x:v>
      </x:c>
    </x:row>
    <x:row r="9369">
      <x:c r="A9369" s="15" t="n">
        <x:v>44593</x:v>
      </x:c>
      <x:c r="B9369" s="13" t="str">
        <x:v>CYRELA BRAZIL REALTY SA EMP</x:v>
      </x:c>
      <x:c r="C9369" s="16" t="n">
        <x:v>991.2862441205</x:v>
      </x:c>
      <x:c r="D9369" s="13" t="str">
        <x:v>Homebuilders</x:v>
      </x:c>
      <x:c r="E9369" s="13" t="str">
        <x:v>Real Estate</x:v>
      </x:c>
      <x:c r="F9369" s="13" t="str">
        <x:v>Early Cyclicals</x:v>
      </x:c>
      <x:c r="G9369" s="13" t="str">
        <x:v>Ibovespa_earnings_consolidated.xlsx</x:v>
      </x:c>
    </x:row>
    <x:row r="9370">
      <x:c r="A9370" s="15" t="n">
        <x:v>44593</x:v>
      </x:c>
      <x:c r="B9370" s="13" t="str">
        <x:v>EZ TEC EMPREENDIMENTOS E PAR</x:v>
      </x:c>
      <x:c r="C9370" s="16" t="n">
        <x:v>575.8006831342</x:v>
      </x:c>
      <x:c r="D9370" s="13" t="str">
        <x:v>Homebuilders</x:v>
      </x:c>
      <x:c r="E9370" s="13" t="str">
        <x:v>Real Estate</x:v>
      </x:c>
      <x:c r="F9370" s="13" t="str">
        <x:v>Early Cyclicals</x:v>
      </x:c>
      <x:c r="G9370" s="13" t="str">
        <x:v>Ibovespa_earnings_consolidated.xlsx</x:v>
      </x:c>
    </x:row>
    <x:row r="9371">
      <x:c r="A9371" s="15" t="n">
        <x:v>44593</x:v>
      </x:c>
      <x:c r="B9371" s="13" t="str">
        <x:v>MRV ENGENHARIA</x:v>
      </x:c>
      <x:c r="C9371" s="16" t="n">
        <x:v>737.0637012164</x:v>
      </x:c>
      <x:c r="D9371" s="13" t="str">
        <x:v>Homebuilders</x:v>
      </x:c>
      <x:c r="E9371" s="13" t="str">
        <x:v>Real Estate</x:v>
      </x:c>
      <x:c r="F9371" s="13" t="str">
        <x:v>Early Cyclicals</x:v>
      </x:c>
      <x:c r="G9371" s="13" t="str">
        <x:v>Ibovespa_earnings_consolidated.xlsx</x:v>
      </x:c>
    </x:row>
    <x:row r="9372">
      <x:c r="A9372" s="15" t="n">
        <x:v>44593</x:v>
      </x:c>
      <x:c r="B9372" s="13" t="str">
        <x:v>BR MALLS PARTICIPACOES SA</x:v>
      </x:c>
      <x:c r="C9372" s="16" t="n">
        <x:v>529.2992478685</x:v>
      </x:c>
      <x:c r="D9372" s="13" t="str">
        <x:v>Income Properties</x:v>
      </x:c>
      <x:c r="E9372" s="13" t="str">
        <x:v>Real Estate</x:v>
      </x:c>
      <x:c r="F9372" s="13" t="str">
        <x:v>Early Cyclicals</x:v>
      </x:c>
      <x:c r="G9372" s="13" t="str">
        <x:v>Ibovespa_earnings_consolidated.xlsx</x:v>
      </x:c>
    </x:row>
    <x:row r="9373">
      <x:c r="A9373" s="15" t="n">
        <x:v>44593</x:v>
      </x:c>
      <x:c r="B9373" s="13" t="str">
        <x:v>IGUATEMI SA - UNITS</x:v>
      </x:c>
      <x:c r="C9373" s="16" t="n">
        <x:v>245.0816438356</x:v>
      </x:c>
      <x:c r="D9373" s="13" t="str">
        <x:v>Income Properties</x:v>
      </x:c>
      <x:c r="E9373" s="13" t="str">
        <x:v>Real Estate</x:v>
      </x:c>
      <x:c r="F9373" s="13" t="str">
        <x:v>Early Cyclicals</x:v>
      </x:c>
      <x:c r="G9373" s="13" t="str">
        <x:v>Ibovespa_earnings_consolidated.xlsx</x:v>
      </x:c>
    </x:row>
    <x:row r="9374">
      <x:c r="A9374" s="15" t="n">
        <x:v>44593</x:v>
      </x:c>
      <x:c r="B9374" s="13" t="str">
        <x:v>JHSF PARTICIPACOES SA</x:v>
      </x:c>
      <x:c r="C9374" s="16" t="n">
        <x:v>703.6176929315</x:v>
      </x:c>
      <x:c r="D9374" s="13" t="str">
        <x:v>Income Properties</x:v>
      </x:c>
      <x:c r="E9374" s="13" t="str">
        <x:v>Real Estate</x:v>
      </x:c>
      <x:c r="F9374" s="13" t="str">
        <x:v>Early Cyclicals</x:v>
      </x:c>
      <x:c r="G9374" s="13" t="str">
        <x:v>Ibovespa_earnings_consolidated.xlsx</x:v>
      </x:c>
    </x:row>
    <x:row r="9375">
      <x:c r="A9375" s="15" t="n">
        <x:v>44593</x:v>
      </x:c>
      <x:c r="B9375" s="13" t="str">
        <x:v>MULTIPLAN EMPREENDIMENTOS</x:v>
      </x:c>
      <x:c r="C9375" s="16" t="n">
        <x:v>590.9709857315</x:v>
      </x:c>
      <x:c r="D9375" s="13" t="str">
        <x:v>Income Properties</x:v>
      </x:c>
      <x:c r="E9375" s="13" t="str">
        <x:v>Real Estate</x:v>
      </x:c>
      <x:c r="F9375" s="13" t="str">
        <x:v>Early Cyclicals</x:v>
      </x:c>
      <x:c r="G9375" s="13" t="str">
        <x:v>Ibovespa_earnings_consolidated.xlsx</x:v>
      </x:c>
    </x:row>
    <x:row r="9376">
      <x:c r="A9376" s="15" t="n">
        <x:v>44593</x:v>
      </x:c>
      <x:c r="B9376" s="13" t="str">
        <x:v>BRADESPAR SA -PREF</x:v>
      </x:c>
      <x:c r="C9376" s="16" t="n">
        <x:v>2373.4521084493</x:v>
      </x:c>
      <x:c r="D9376" s="13" t="str">
        <x:v>Metals &amp; Mining</x:v>
      </x:c>
      <x:c r="E9376" s="13" t="str">
        <x:v>Metals &amp; Mining</x:v>
      </x:c>
      <x:c r="F9376" s="13" t="str">
        <x:v>Deep Cyclicals</x:v>
      </x:c>
      <x:c r="G9376" s="13" t="str">
        <x:v>Ibovespa_earnings_consolidated.xlsx</x:v>
      </x:c>
    </x:row>
    <x:row r="9377">
      <x:c r="A9377" s="15" t="n">
        <x:v>44593</x:v>
      </x:c>
      <x:c r="B9377" s="13" t="str">
        <x:v>CIA SIDERURGICA NACIONAL SA</x:v>
      </x:c>
      <x:c r="C9377" s="16" t="n">
        <x:v>7435.1724824548</x:v>
      </x:c>
      <x:c r="D9377" s="13" t="str">
        <x:v>Metals &amp; Mining</x:v>
      </x:c>
      <x:c r="E9377" s="13" t="str">
        <x:v>Metals &amp; Mining</x:v>
      </x:c>
      <x:c r="F9377" s="13" t="str">
        <x:v>Deep Cyclicals</x:v>
      </x:c>
      <x:c r="G9377" s="13" t="str">
        <x:v>Ibovespa_earnings_consolidated.xlsx</x:v>
      </x:c>
    </x:row>
    <x:row r="9378">
      <x:c r="A9378" s="15" t="n">
        <x:v>44593</x:v>
      </x:c>
      <x:c r="B9378" s="13" t="str">
        <x:v>CSN MINERACAO SA</x:v>
      </x:c>
      <x:c r="C9378" s="16" t="n">
        <x:v>5171.7711184658</x:v>
      </x:c>
      <x:c r="D9378" s="13" t="str">
        <x:v>Metals &amp; Mining</x:v>
      </x:c>
      <x:c r="E9378" s="13" t="str">
        <x:v>Metals &amp; Mining</x:v>
      </x:c>
      <x:c r="F9378" s="13" t="str">
        <x:v>Deep Cyclicals</x:v>
      </x:c>
      <x:c r="G9378" s="13" t="str">
        <x:v>Ibovespa_earnings_consolidated.xlsx</x:v>
      </x:c>
    </x:row>
    <x:row r="9379">
      <x:c r="A9379" s="15" t="n">
        <x:v>44593</x:v>
      </x:c>
      <x:c r="B9379" s="13" t="str">
        <x:v>GERDAU SA-PREF</x:v>
      </x:c>
      <x:c r="C9379" s="16" t="n">
        <x:v>8770.0996460712</x:v>
      </x:c>
      <x:c r="D9379" s="13" t="str">
        <x:v>Metals &amp; Mining</x:v>
      </x:c>
      <x:c r="E9379" s="13" t="str">
        <x:v>Metals &amp; Mining</x:v>
      </x:c>
      <x:c r="F9379" s="13" t="str">
        <x:v>Deep Cyclicals</x:v>
      </x:c>
      <x:c r="G9379" s="13" t="str">
        <x:v>Ibovespa_earnings_consolidated.xlsx</x:v>
      </x:c>
    </x:row>
    <x:row r="9380">
      <x:c r="A9380" s="15" t="n">
        <x:v>44593</x:v>
      </x:c>
      <x:c r="B9380" s="13" t="str">
        <x:v>USINAS SIDER MINAS GER-PF A</x:v>
      </x:c>
      <x:c r="C9380" s="16" t="n">
        <x:v>4157.4563180712</x:v>
      </x:c>
      <x:c r="D9380" s="13" t="str">
        <x:v>Metals &amp; Mining</x:v>
      </x:c>
      <x:c r="E9380" s="13" t="str">
        <x:v>Metals &amp; Mining</x:v>
      </x:c>
      <x:c r="F9380" s="13" t="str">
        <x:v>Deep Cyclicals</x:v>
      </x:c>
      <x:c r="G9380" s="13" t="str">
        <x:v>Ibovespa_earnings_consolidated.xlsx</x:v>
      </x:c>
    </x:row>
    <x:row r="9381">
      <x:c r="A9381" s="15" t="n">
        <x:v>44593</x:v>
      </x:c>
      <x:c r="B9381" s="13" t="str">
        <x:v>VALE SA</x:v>
      </x:c>
      <x:c r="C9381" s="16" t="n">
        <x:v>75523.6116620274</x:v>
      </x:c>
      <x:c r="D9381" s="13" t="str">
        <x:v>Metals &amp; Mining</x:v>
      </x:c>
      <x:c r="E9381" s="13" t="str">
        <x:v>Metals &amp; Mining</x:v>
      </x:c>
      <x:c r="F9381" s="13" t="str">
        <x:v>Deep Cyclicals</x:v>
      </x:c>
      <x:c r="G9381" s="13" t="str">
        <x:v>Ibovespa_earnings_consolidated.xlsx</x:v>
      </x:c>
    </x:row>
    <x:row r="9382">
      <x:c r="A9382" s="15" t="n">
        <x:v>44593</x:v>
      </x:c>
      <x:c r="B9382" s="13" t="str">
        <x:v>BRASKEM SA-PREF A</x:v>
      </x:c>
      <x:c r="C9382" s="16" t="n">
        <x:v>8626.5956927123</x:v>
      </x:c>
      <x:c r="D9382" s="13" t="str">
        <x:v>Oil, Gas &amp; Petrochemicals</x:v>
      </x:c>
      <x:c r="E9382" s="13" t="str">
        <x:v>Oil, Gas &amp; Petrochemicals</x:v>
      </x:c>
      <x:c r="F9382" s="13" t="str">
        <x:v>Deep Cyclicals</x:v>
      </x:c>
      <x:c r="G9382" s="13" t="str">
        <x:v>Ibovespa_earnings_consolidated.xlsx</x:v>
      </x:c>
    </x:row>
    <x:row r="9383">
      <x:c r="A9383" s="15" t="n">
        <x:v>44593</x:v>
      </x:c>
      <x:c r="B9383" s="13" t="str">
        <x:v>BRAVA ENERGIA</x:v>
      </x:c>
      <x:c r="C9383" s="16" t="n">
        <x:v>1552.5992567233</x:v>
      </x:c>
      <x:c r="D9383" s="13" t="str">
        <x:v>Oil, Gas &amp; Petrochemicals</x:v>
      </x:c>
      <x:c r="E9383" s="13" t="str">
        <x:v>Oil, Gas &amp; Petrochemicals</x:v>
      </x:c>
      <x:c r="F9383" s="13" t="str">
        <x:v>Deep Cyclicals</x:v>
      </x:c>
      <x:c r="G9383" s="13" t="str">
        <x:v>Ibovespa_earnings_consolidated.xlsx</x:v>
      </x:c>
    </x:row>
    <x:row r="9384">
      <x:c r="A9384" s="15" t="n">
        <x:v>44593</x:v>
      </x:c>
      <x:c r="B9384" s="13" t="str">
        <x:v>COSAN SA</x:v>
      </x:c>
      <x:c r="C9384" s="16" t="n">
        <x:v>3325.4108875397</x:v>
      </x:c>
      <x:c r="D9384" s="13" t="str">
        <x:v>Oil, Gas &amp; Petrochemicals</x:v>
      </x:c>
      <x:c r="E9384" s="13" t="str">
        <x:v>Oil, Gas &amp; Petrochemicals</x:v>
      </x:c>
      <x:c r="F9384" s="13" t="str">
        <x:v>Deep Cyclicals</x:v>
      </x:c>
      <x:c r="G9384" s="13" t="str">
        <x:v>Ibovespa_earnings_consolidated.xlsx</x:v>
      </x:c>
    </x:row>
    <x:row r="9385">
      <x:c r="A9385" s="15" t="n">
        <x:v>44593</x:v>
      </x:c>
      <x:c r="B9385" s="13" t="str">
        <x:v>PETROBRAS - PETROLEO BRAS</x:v>
      </x:c>
      <x:c r="C9385" s="16" t="n">
        <x:v>94753.2458741479</x:v>
      </x:c>
      <x:c r="D9385" s="13" t="str">
        <x:v>Oil, Gas &amp; Petrochemicals</x:v>
      </x:c>
      <x:c r="E9385" s="13" t="str">
        <x:v>Oil, Gas &amp; Petrochemicals</x:v>
      </x:c>
      <x:c r="F9385" s="13" t="str">
        <x:v>Deep Cyclicals</x:v>
      </x:c>
      <x:c r="G9385" s="13" t="str">
        <x:v>Ibovespa_earnings_consolidated.xlsx</x:v>
      </x:c>
    </x:row>
    <x:row r="9386">
      <x:c r="A9386" s="15" t="n">
        <x:v>44593</x:v>
      </x:c>
      <x:c r="B9386" s="13" t="str">
        <x:v>PRIO SA</x:v>
      </x:c>
      <x:c r="C9386" s="16" t="n">
        <x:v>1689.4648249863</x:v>
      </x:c>
      <x:c r="D9386" s="13" t="str">
        <x:v>Oil, Gas &amp; Petrochemicals</x:v>
      </x:c>
      <x:c r="E9386" s="13" t="str">
        <x:v>Oil, Gas &amp; Petrochemicals</x:v>
      </x:c>
      <x:c r="F9386" s="13" t="str">
        <x:v>Deep Cyclicals</x:v>
      </x:c>
      <x:c r="G9386" s="13" t="str">
        <x:v>Ibovespa_earnings_consolidated.xlsx</x:v>
      </x:c>
    </x:row>
    <x:row r="9387">
      <x:c r="A9387" s="15" t="n">
        <x:v>44593</x:v>
      </x:c>
      <x:c r="B9387" s="13" t="str">
        <x:v>ULTRAPAR PARTICIPACOES SA</x:v>
      </x:c>
      <x:c r="C9387" s="16" t="n">
        <x:v>997.6934203616</x:v>
      </x:c>
      <x:c r="D9387" s="13" t="str">
        <x:v>Oil, Gas &amp; Petrochemicals</x:v>
      </x:c>
      <x:c r="E9387" s="13" t="str">
        <x:v>Oil, Gas &amp; Petrochemicals</x:v>
      </x:c>
      <x:c r="F9387" s="13" t="str">
        <x:v>Deep Cyclicals</x:v>
      </x:c>
      <x:c r="G9387" s="13" t="str">
        <x:v>Ibovespa_earnings_consolidated.xlsx</x:v>
      </x:c>
    </x:row>
    <x:row r="9388">
      <x:c r="A9388" s="15" t="n">
        <x:v>44593</x:v>
      </x:c>
      <x:c r="B9388" s="13" t="str">
        <x:v>VIBRA ENERGIA SA</x:v>
      </x:c>
      <x:c r="C9388" s="16" t="n">
        <x:v>2099.317202411</x:v>
      </x:c>
      <x:c r="D9388" s="13" t="str">
        <x:v>Oil, Gas &amp; Petrochemicals</x:v>
      </x:c>
      <x:c r="E9388" s="13" t="str">
        <x:v>Oil, Gas &amp; Petrochemicals</x:v>
      </x:c>
      <x:c r="F9388" s="13" t="str">
        <x:v>Deep Cyclicals</x:v>
      </x:c>
      <x:c r="G9388" s="13" t="str">
        <x:v>Ibovespa_earnings_consolidated.xlsx</x:v>
      </x:c>
    </x:row>
    <x:row r="9389">
      <x:c r="A9389" s="15" t="n">
        <x:v>44593</x:v>
      </x:c>
      <x:c r="B9389" s="13" t="str">
        <x:v>DEXCO SA</x:v>
      </x:c>
      <x:c r="C9389" s="16" t="n">
        <x:v>918.2418398685</x:v>
      </x:c>
      <x:c r="D9389" s="13" t="str">
        <x:v>Pulp &amp; Paper</x:v>
      </x:c>
      <x:c r="E9389" s="13" t="str">
        <x:v>Pulp &amp; Paper</x:v>
      </x:c>
      <x:c r="F9389" s="13" t="str">
        <x:v>Deep Cyclicals</x:v>
      </x:c>
      <x:c r="G9389" s="13" t="str">
        <x:v>Ibovespa_earnings_consolidated.xlsx</x:v>
      </x:c>
    </x:row>
    <x:row r="9390">
      <x:c r="A9390" s="15" t="n">
        <x:v>44593</x:v>
      </x:c>
      <x:c r="B9390" s="13" t="str">
        <x:v>KLABIN SA - UNIT</x:v>
      </x:c>
      <x:c r="C9390" s="16" t="n">
        <x:v>2186.285018126</x:v>
      </x:c>
      <x:c r="D9390" s="13" t="str">
        <x:v>Pulp &amp; Paper</x:v>
      </x:c>
      <x:c r="E9390" s="13" t="str">
        <x:v>Pulp &amp; Paper</x:v>
      </x:c>
      <x:c r="F9390" s="13" t="str">
        <x:v>Deep Cyclicals</x:v>
      </x:c>
      <x:c r="G9390" s="13" t="str">
        <x:v>Ibovespa_earnings_consolidated.xlsx</x:v>
      </x:c>
    </x:row>
    <x:row r="9391">
      <x:c r="A9391" s="15" t="n">
        <x:v>44593</x:v>
      </x:c>
      <x:c r="B9391" s="13" t="str">
        <x:v>SUZANO SA</x:v>
      </x:c>
      <x:c r="C9391" s="16" t="n">
        <x:v>6495.609042411</x:v>
      </x:c>
      <x:c r="D9391" s="13" t="str">
        <x:v>Pulp &amp; Paper</x:v>
      </x:c>
      <x:c r="E9391" s="13" t="str">
        <x:v>Pulp &amp; Paper</x:v>
      </x:c>
      <x:c r="F9391" s="13" t="str">
        <x:v>Deep Cyclicals</x:v>
      </x:c>
      <x:c r="G9391" s="13" t="str">
        <x:v>Ibovespa_earnings_consolidated.xlsx</x:v>
      </x:c>
    </x:row>
    <x:row r="9392">
      <x:c r="A9392" s="15" t="n">
        <x:v>44593</x:v>
      </x:c>
      <x:c r="B9392" s="13" t="str">
        <x:v>ALPARGATAS SA - PREF</x:v>
      </x:c>
      <x:c r="C9392" s="16" t="n">
        <x:v>687.8150819068</x:v>
      </x:c>
      <x:c r="D9392" s="13" t="str">
        <x:v>Retail</x:v>
      </x:c>
      <x:c r="E9392" s="13" t="str">
        <x:v>Retail</x:v>
      </x:c>
      <x:c r="F9392" s="13" t="str">
        <x:v>Early Cyclicals</x:v>
      </x:c>
      <x:c r="G9392" s="13" t="str">
        <x:v>Ibovespa_earnings_consolidated.xlsx</x:v>
      </x:c>
    </x:row>
    <x:row r="9393">
      <x:c r="A9393" s="15" t="n">
        <x:v>44593</x:v>
      </x:c>
      <x:c r="B9393" s="13" t="str">
        <x:v>AMERICANAS SA</x:v>
      </x:c>
      <x:c r="C9393" s="16" t="n">
        <x:v>344.4632865315</x:v>
      </x:c>
      <x:c r="D9393" s="13" t="str">
        <x:v>Retail</x:v>
      </x:c>
      <x:c r="E9393" s="13" t="str">
        <x:v>Retail</x:v>
      </x:c>
      <x:c r="F9393" s="13" t="str">
        <x:v>Early Cyclicals</x:v>
      </x:c>
      <x:c r="G9393" s="13" t="str">
        <x:v>Ibovespa_earnings_consolidated.xlsx</x:v>
      </x:c>
    </x:row>
    <x:row r="9394">
      <x:c r="A9394" s="15" t="n">
        <x:v>44593</x:v>
      </x:c>
      <x:c r="B9394" s="13" t="str">
        <x:v>ATACADAO SA</x:v>
      </x:c>
      <x:c r="C9394" s="16" t="n">
        <x:v>2519.2100211726</x:v>
      </x:c>
      <x:c r="D9394" s="13" t="str">
        <x:v>Retail</x:v>
      </x:c>
      <x:c r="E9394" s="13" t="str">
        <x:v>Retail</x:v>
      </x:c>
      <x:c r="F9394" s="13" t="str">
        <x:v>Early Cyclicals</x:v>
      </x:c>
      <x:c r="G9394" s="13" t="str">
        <x:v>Ibovespa_earnings_consolidated.xlsx</x:v>
      </x:c>
    </x:row>
    <x:row r="9395">
      <x:c r="A9395" s="15" t="n">
        <x:v>44593</x:v>
      </x:c>
      <x:c r="B9395" s="13" t="str">
        <x:v>CIA BRASILEIRA DE DISTRIBUIC</x:v>
      </x:c>
      <x:c r="C9395" s="16" t="n">
        <x:v>412.0375387178</x:v>
      </x:c>
      <x:c r="D9395" s="13" t="str">
        <x:v>Retail</x:v>
      </x:c>
      <x:c r="E9395" s="13" t="str">
        <x:v>Retail</x:v>
      </x:c>
      <x:c r="F9395" s="13" t="str">
        <x:v>Early Cyclicals</x:v>
      </x:c>
      <x:c r="G9395" s="13" t="str">
        <x:v>Ibovespa_earnings_consolidated.xlsx</x:v>
      </x:c>
    </x:row>
    <x:row r="9396">
      <x:c r="A9396" s="15" t="n">
        <x:v>44593</x:v>
      </x:c>
      <x:c r="B9396" s="13" t="str">
        <x:v>CVC BRASIL OPERADORA E AGENC</x:v>
      </x:c>
      <x:c r="C9396" s="16" t="n">
        <x:v>-201.4608688986</x:v>
      </x:c>
      <x:c r="D9396" s="13" t="str">
        <x:v>Retail</x:v>
      </x:c>
      <x:c r="E9396" s="13" t="str">
        <x:v>Retail</x:v>
      </x:c>
      <x:c r="F9396" s="13" t="str">
        <x:v>Early Cyclicals</x:v>
      </x:c>
      <x:c r="G9396" s="13" t="str">
        <x:v>Ibovespa_earnings_consolidated.xlsx</x:v>
      </x:c>
    </x:row>
    <x:row r="9397">
      <x:c r="A9397" s="15" t="n">
        <x:v>44593</x:v>
      </x:c>
      <x:c r="B9397" s="13" t="str">
        <x:v>GRUPO CASAS BAHIA SA</x:v>
      </x:c>
      <x:c r="C9397" s="16" t="n">
        <x:v>-214.0145890411</x:v>
      </x:c>
      <x:c r="D9397" s="13" t="str">
        <x:v>Retail</x:v>
      </x:c>
      <x:c r="E9397" s="13" t="str">
        <x:v>Retail</x:v>
      </x:c>
      <x:c r="F9397" s="13" t="str">
        <x:v>Early Cyclicals</x:v>
      </x:c>
      <x:c r="G9397" s="13" t="str">
        <x:v>Ibovespa_earnings_consolidated.xlsx</x:v>
      </x:c>
    </x:row>
    <x:row r="9398">
      <x:c r="A9398" s="15" t="n">
        <x:v>44593</x:v>
      </x:c>
      <x:c r="B9398" s="13" t="str">
        <x:v>GRUPO DE MODA SOMA SA</x:v>
      </x:c>
      <x:c r="C9398" s="16" t="n">
        <x:v>411.802739726</x:v>
      </x:c>
      <x:c r="D9398" s="13" t="str">
        <x:v>Retail</x:v>
      </x:c>
      <x:c r="E9398" s="13" t="str">
        <x:v>Retail</x:v>
      </x:c>
      <x:c r="F9398" s="13" t="str">
        <x:v>Early Cyclicals</x:v>
      </x:c>
      <x:c r="G9398" s="13" t="str">
        <x:v>Ibovespa_earnings_consolidated.xlsx</x:v>
      </x:c>
    </x:row>
    <x:row r="9399">
      <x:c r="A9399" s="15" t="n">
        <x:v>44593</x:v>
      </x:c>
      <x:c r="B9399" s="13" t="str">
        <x:v>LOJAS RENNER S.A.</x:v>
      </x:c>
      <x:c r="C9399" s="16" t="n">
        <x:v>1262.3706332931</x:v>
      </x:c>
      <x:c r="D9399" s="13" t="str">
        <x:v>Retail</x:v>
      </x:c>
      <x:c r="E9399" s="13" t="str">
        <x:v>Retail</x:v>
      </x:c>
      <x:c r="F9399" s="13" t="str">
        <x:v>Early Cyclicals</x:v>
      </x:c>
      <x:c r="G9399" s="13" t="str">
        <x:v>Ibovespa_earnings_consolidated.xlsx</x:v>
      </x:c>
    </x:row>
    <x:row r="9400">
      <x:c r="A9400" s="15" t="n">
        <x:v>44593</x:v>
      </x:c>
      <x:c r="B9400" s="13" t="str">
        <x:v>MAGAZINE LUIZA SA</x:v>
      </x:c>
      <x:c r="C9400" s="16" t="n">
        <x:v>305.704710663</x:v>
      </x:c>
      <x:c r="D9400" s="13" t="str">
        <x:v>Retail</x:v>
      </x:c>
      <x:c r="E9400" s="13" t="str">
        <x:v>Retail</x:v>
      </x:c>
      <x:c r="F9400" s="13" t="str">
        <x:v>Early Cyclicals</x:v>
      </x:c>
      <x:c r="G9400" s="13" t="str">
        <x:v>Ibovespa_earnings_consolidated.xlsx</x:v>
      </x:c>
    </x:row>
    <x:row r="9401">
      <x:c r="A9401" s="15" t="n">
        <x:v>44593</x:v>
      </x:c>
      <x:c r="B9401" s="13" t="str">
        <x:v>NATURA &amp;CO HOLDING SA</x:v>
      </x:c>
      <x:c r="C9401" s="16" t="n">
        <x:v>941.4189725808</x:v>
      </x:c>
      <x:c r="D9401" s="13" t="str">
        <x:v>Retail</x:v>
      </x:c>
      <x:c r="E9401" s="13" t="str">
        <x:v>Retail</x:v>
      </x:c>
      <x:c r="F9401" s="13" t="str">
        <x:v>Early Cyclicals</x:v>
      </x:c>
      <x:c r="G9401" s="13" t="str">
        <x:v>Ibovespa_earnings_consolidated.xlsx</x:v>
      </x:c>
    </x:row>
    <x:row r="9402">
      <x:c r="A9402" s="15" t="n">
        <x:v>44593</x:v>
      </x:c>
      <x:c r="B9402" s="13" t="str">
        <x:v>PET CENTER COMERCIO E PARTIC</x:v>
      </x:c>
      <x:c r="C9402" s="16" t="n">
        <x:v>163.8223287671</x:v>
      </x:c>
      <x:c r="D9402" s="13" t="str">
        <x:v>Retail</x:v>
      </x:c>
      <x:c r="E9402" s="13" t="str">
        <x:v>Retail</x:v>
      </x:c>
      <x:c r="F9402" s="13" t="str">
        <x:v>Early Cyclicals</x:v>
      </x:c>
      <x:c r="G9402" s="13" t="str">
        <x:v>Ibovespa_earnings_consolidated.xlsx</x:v>
      </x:c>
    </x:row>
    <x:row r="9403">
      <x:c r="A9403" s="15" t="n">
        <x:v>44593</x:v>
      </x:c>
      <x:c r="B9403" s="13" t="str">
        <x:v>RAIA DROGASIL SA</x:v>
      </x:c>
      <x:c r="C9403" s="16" t="n">
        <x:v>1080.3890183014</x:v>
      </x:c>
      <x:c r="D9403" s="13" t="str">
        <x:v>Retail</x:v>
      </x:c>
      <x:c r="E9403" s="13" t="str">
        <x:v>Retail</x:v>
      </x:c>
      <x:c r="F9403" s="13" t="str">
        <x:v>Early Cyclicals</x:v>
      </x:c>
      <x:c r="G9403" s="13" t="str">
        <x:v>Ibovespa_earnings_consolidated.xlsx</x:v>
      </x:c>
    </x:row>
    <x:row r="9404">
      <x:c r="A9404" s="15" t="n">
        <x:v>44593</x:v>
      </x:c>
      <x:c r="B9404" s="13" t="str">
        <x:v>SENDAS DISTRIBUIDORA SA</x:v>
      </x:c>
      <x:c r="C9404" s="16" t="n">
        <x:v>1141.132947989</x:v>
      </x:c>
      <x:c r="D9404" s="13" t="str">
        <x:v>Retail</x:v>
      </x:c>
      <x:c r="E9404" s="13" t="str">
        <x:v>Retail</x:v>
      </x:c>
      <x:c r="F9404" s="13" t="str">
        <x:v>Early Cyclicals</x:v>
      </x:c>
      <x:c r="G9404" s="13" t="str">
        <x:v>Ibovespa_earnings_consolidated.xlsx</x:v>
      </x:c>
    </x:row>
    <x:row r="9405">
      <x:c r="A9405" s="15" t="n">
        <x:v>44593</x:v>
      </x:c>
      <x:c r="B9405" s="13" t="str">
        <x:v>CIA SANEAMENTO BASICO DE SP</x:v>
      </x:c>
      <x:c r="C9405" s="16" t="n">
        <x:v>3044.9061607452</x:v>
      </x:c>
      <x:c r="D9405" s="13" t="str">
        <x:v>Sanitation</x:v>
      </x:c>
      <x:c r="E9405" s="13" t="str">
        <x:v>Utilities</x:v>
      </x:c>
      <x:c r="F9405" s="13" t="str">
        <x:v>Defensives</x:v>
      </x:c>
      <x:c r="G9405" s="13" t="str">
        <x:v>Ibovespa_earnings_consolidated.xlsx</x:v>
      </x:c>
    </x:row>
    <x:row r="9406">
      <x:c r="A9406" s="15" t="n">
        <x:v>44593</x:v>
      </x:c>
      <x:c r="B9406" s="13" t="str">
        <x:v>LWSA SA</x:v>
      </x:c>
      <x:c r="C9406" s="16" t="n">
        <x:v>126.8198027397</x:v>
      </x:c>
      <x:c r="D9406" s="13" t="str">
        <x:v>TMT</x:v>
      </x:c>
      <x:c r="E9406" s="13" t="str">
        <x:v>TMT</x:v>
      </x:c>
      <x:c r="F9406" s="13" t="str">
        <x:v>Early Cyclicals</x:v>
      </x:c>
      <x:c r="G9406" s="13" t="str">
        <x:v>Ibovespa_earnings_consolidated.xlsx</x:v>
      </x:c>
    </x:row>
    <x:row r="9407">
      <x:c r="A9407" s="15" t="n">
        <x:v>44593</x:v>
      </x:c>
      <x:c r="B9407" s="13" t="str">
        <x:v>POSITIVO TECNOLOGIA SA</x:v>
      </x:c>
      <x:c r="C9407" s="16" t="n">
        <x:v>172.0520547945</x:v>
      </x:c>
      <x:c r="D9407" s="13" t="str">
        <x:v>TMT</x:v>
      </x:c>
      <x:c r="E9407" s="13" t="str">
        <x:v>TMT</x:v>
      </x:c>
      <x:c r="F9407" s="13" t="str">
        <x:v>Early Cyclicals</x:v>
      </x:c>
      <x:c r="G9407" s="13" t="str">
        <x:v>Ibovespa_earnings_consolidated.xlsx</x:v>
      </x:c>
    </x:row>
    <x:row r="9408">
      <x:c r="A9408" s="15" t="n">
        <x:v>44593</x:v>
      </x:c>
      <x:c r="B9408" s="13" t="str">
        <x:v>TIM SA</x:v>
      </x:c>
      <x:c r="C9408" s="16" t="n">
        <x:v>2584.2413027945</x:v>
      </x:c>
      <x:c r="D9408" s="13" t="str">
        <x:v>TMT</x:v>
      </x:c>
      <x:c r="E9408" s="13" t="str">
        <x:v>TMT</x:v>
      </x:c>
      <x:c r="F9408" s="13" t="str">
        <x:v>Early Cyclicals</x:v>
      </x:c>
      <x:c r="G9408" s="13" t="str">
        <x:v>Ibovespa_earnings_consolidated.xlsx</x:v>
      </x:c>
    </x:row>
    <x:row r="9409">
      <x:c r="A9409" s="15" t="n">
        <x:v>44593</x:v>
      </x:c>
      <x:c r="B9409" s="13" t="str">
        <x:v>TOTVS SA</x:v>
      </x:c>
      <x:c r="C9409" s="16" t="n">
        <x:v>548.7630539397</x:v>
      </x:c>
      <x:c r="D9409" s="13" t="str">
        <x:v>TMT</x:v>
      </x:c>
      <x:c r="E9409" s="13" t="str">
        <x:v>TMT</x:v>
      </x:c>
      <x:c r="F9409" s="13" t="str">
        <x:v>Early Cyclicals</x:v>
      </x:c>
      <x:c r="G9409" s="13" t="str">
        <x:v>Ibovespa_earnings_consolidated.xlsx</x:v>
      </x:c>
    </x:row>
    <x:row r="9410">
      <x:c r="A9410" s="15" t="n">
        <x:v>44593</x:v>
      </x:c>
      <x:c r="B9410" s="13" t="str">
        <x:v>AZUL SA</x:v>
      </x:c>
      <x:c r="C9410" s="16" t="n">
        <x:v>-741.2384413808</x:v>
      </x:c>
      <x:c r="D9410" s="13" t="str">
        <x:v>Transportation</x:v>
      </x:c>
      <x:c r="E9410" s="13" t="str">
        <x:v>Transportation</x:v>
      </x:c>
      <x:c r="F9410" s="13" t="str">
        <x:v>Deep Cyclicals</x:v>
      </x:c>
      <x:c r="G9410" s="13" t="str">
        <x:v>Ibovespa_earnings_consolidated.xlsx</x:v>
      </x:c>
    </x:row>
    <x:row r="9411">
      <x:c r="A9411" s="15" t="n">
        <x:v>44593</x:v>
      </x:c>
      <x:c r="B9411" s="13" t="str">
        <x:v>CIA DE LOCACAO DAS AMERICAS</x:v>
      </x:c>
      <x:c r="C9411" s="16" t="n">
        <x:v>1047.5048085041</x:v>
      </x:c>
      <x:c r="D9411" s="13" t="str">
        <x:v>Transportation</x:v>
      </x:c>
      <x:c r="E9411" s="13" t="str">
        <x:v>Transportation</x:v>
      </x:c>
      <x:c r="F9411" s="13" t="str">
        <x:v>Deep Cyclicals</x:v>
      </x:c>
      <x:c r="G9411" s="13" t="str">
        <x:v>Ibovespa_earnings_consolidated.xlsx</x:v>
      </x:c>
    </x:row>
    <x:row r="9412">
      <x:c r="A9412" s="15" t="n">
        <x:v>44593</x:v>
      </x:c>
      <x:c r="B9412" s="13" t="str">
        <x:v>ECORODOVIAS INFRA E LOG SA</x:v>
      </x:c>
      <x:c r="C9412" s="16" t="n">
        <x:v>233.5801436932</x:v>
      </x:c>
      <x:c r="D9412" s="13" t="str">
        <x:v>Transportation</x:v>
      </x:c>
      <x:c r="E9412" s="13" t="str">
        <x:v>Transportation</x:v>
      </x:c>
      <x:c r="F9412" s="13" t="str">
        <x:v>Deep Cyclicals</x:v>
      </x:c>
      <x:c r="G9412" s="13" t="str">
        <x:v>Ibovespa_earnings_consolidated.xlsx</x:v>
      </x:c>
    </x:row>
    <x:row r="9413">
      <x:c r="A9413" s="15" t="n">
        <x:v>44593</x:v>
      </x:c>
      <x:c r="B9413" s="13" t="str">
        <x:v>GOL LINHAS AEREAS INT SA-PRE</x:v>
      </x:c>
      <x:c r="C9413" s="16" t="n">
        <x:v>-513.9501283945</x:v>
      </x:c>
      <x:c r="D9413" s="13" t="str">
        <x:v>Transportation</x:v>
      </x:c>
      <x:c r="E9413" s="13" t="str">
        <x:v>Transportation</x:v>
      </x:c>
      <x:c r="F9413" s="13" t="str">
        <x:v>Deep Cyclicals</x:v>
      </x:c>
      <x:c r="G9413" s="13" t="str">
        <x:v>Ibovespa_earnings_consolidated.xlsx</x:v>
      </x:c>
    </x:row>
    <x:row r="9414">
      <x:c r="A9414" s="15" t="n">
        <x:v>44593</x:v>
      </x:c>
      <x:c r="B9414" s="13" t="str">
        <x:v>LOCALIZA RENT A CAR</x:v>
      </x:c>
      <x:c r="C9414" s="16" t="n">
        <x:v>1939.4841561425</x:v>
      </x:c>
      <x:c r="D9414" s="13" t="str">
        <x:v>Transportation</x:v>
      </x:c>
      <x:c r="E9414" s="13" t="str">
        <x:v>Transportation</x:v>
      </x:c>
      <x:c r="F9414" s="13" t="str">
        <x:v>Deep Cyclicals</x:v>
      </x:c>
      <x:c r="G9414" s="13" t="str">
        <x:v>Ibovespa_earnings_consolidated.xlsx</x:v>
      </x:c>
    </x:row>
    <x:row r="9415">
      <x:c r="A9415" s="15" t="n">
        <x:v>44593</x:v>
      </x:c>
      <x:c r="B9415" s="13" t="str">
        <x:v>MOTIVA INFRAESTRUTURA DE MOB</x:v>
      </x:c>
      <x:c r="C9415" s="16" t="n">
        <x:v>1246.5183789589</x:v>
      </x:c>
      <x:c r="D9415" s="13" t="str">
        <x:v>Transportation</x:v>
      </x:c>
      <x:c r="E9415" s="13" t="str">
        <x:v>Transportation</x:v>
      </x:c>
      <x:c r="F9415" s="13" t="str">
        <x:v>Deep Cyclicals</x:v>
      </x:c>
      <x:c r="G9415" s="13" t="str">
        <x:v>Ibovespa_earnings_consolidated.xlsx</x:v>
      </x:c>
    </x:row>
    <x:row r="9416">
      <x:c r="A9416" s="15" t="n">
        <x:v>44593</x:v>
      </x:c>
      <x:c r="B9416" s="13" t="str">
        <x:v>RUMO SA</x:v>
      </x:c>
      <x:c r="C9416" s="16" t="n">
        <x:v>856.8441284384</x:v>
      </x:c>
      <x:c r="D9416" s="13" t="str">
        <x:v>Transportation</x:v>
      </x:c>
      <x:c r="E9416" s="13" t="str">
        <x:v>Transportation</x:v>
      </x:c>
      <x:c r="F9416" s="13" t="str">
        <x:v>Deep Cyclicals</x:v>
      </x:c>
      <x:c r="G9416" s="13" t="str">
        <x:v>Ibovespa_earnings_consolidated.xlsx</x:v>
      </x:c>
    </x:row>
    <x:row r="9417">
      <x:c r="A9417" s="15" t="n">
        <x:v>44593</x:v>
      </x:c>
      <x:c r="B9417" s="13" t="str">
        <x:v>AXIA ENERGIA SA</x:v>
      </x:c>
      <x:c r="C9417" s="16" t="n">
        <x:v>7527.1845916055</x:v>
      </x:c>
      <x:c r="D9417" s="13" t="str">
        <x:v>Utilities &amp; Energy</x:v>
      </x:c>
      <x:c r="E9417" s="13" t="str">
        <x:v>Utilities</x:v>
      </x:c>
      <x:c r="F9417" s="13" t="str">
        <x:v>Defensives</x:v>
      </x:c>
      <x:c r="G9417" s="13" t="str">
        <x:v>Ibovespa_earnings_consolidated.xlsx</x:v>
      </x:c>
    </x:row>
    <x:row r="9418">
      <x:c r="A9418" s="15" t="n">
        <x:v>44593</x:v>
      </x:c>
      <x:c r="B9418" s="13" t="str">
        <x:v>AXIA ENERGIA-PR B</x:v>
      </x:c>
      <x:c r="C9418" s="16" t="n">
        <x:v>7527.1845916055</x:v>
      </x:c>
      <x:c r="D9418" s="13" t="str">
        <x:v>Utilities &amp; Energy</x:v>
      </x:c>
      <x:c r="E9418" s="13" t="str">
        <x:v>Utilities</x:v>
      </x:c>
      <x:c r="F9418" s="13" t="str">
        <x:v>Defensives</x:v>
      </x:c>
      <x:c r="G9418" s="13" t="str">
        <x:v>Ibovespa_earnings_consolidated.xlsx</x:v>
      </x:c>
    </x:row>
    <x:row r="9419">
      <x:c r="A9419" s="15" t="n">
        <x:v>44593</x:v>
      </x:c>
      <x:c r="B9419" s="13" t="str">
        <x:v>CIA ENERGETICA MINAS GER-PRF</x:v>
      </x:c>
      <x:c r="C9419" s="16" t="n">
        <x:v>3135.9373802959</x:v>
      </x:c>
      <x:c r="D9419" s="13" t="str">
        <x:v>Utilities &amp; Energy</x:v>
      </x:c>
      <x:c r="E9419" s="13" t="str">
        <x:v>Utilities</x:v>
      </x:c>
      <x:c r="F9419" s="13" t="str">
        <x:v>Defensives</x:v>
      </x:c>
      <x:c r="G9419" s="13" t="str">
        <x:v>Ibovespa_earnings_consolidated.xlsx</x:v>
      </x:c>
    </x:row>
    <x:row r="9420">
      <x:c r="A9420" s="15" t="n">
        <x:v>44593</x:v>
      </x:c>
      <x:c r="B9420" s="13" t="str">
        <x:v>COMPANHIA PARANAENSE -PREF B</x:v>
      </x:c>
      <x:c r="C9420" s="16" t="n">
        <x:v>2534.5842379397</x:v>
      </x:c>
      <x:c r="D9420" s="13" t="str">
        <x:v>Utilities &amp; Energy</x:v>
      </x:c>
      <x:c r="E9420" s="13" t="str">
        <x:v>Utilities</x:v>
      </x:c>
      <x:c r="F9420" s="13" t="str">
        <x:v>Defensives</x:v>
      </x:c>
      <x:c r="G9420" s="13" t="str">
        <x:v>Ibovespa_earnings_consolidated.xlsx</x:v>
      </x:c>
    </x:row>
    <x:row r="9421">
      <x:c r="A9421" s="15" t="n">
        <x:v>44593</x:v>
      </x:c>
      <x:c r="B9421" s="13" t="str">
        <x:v>CPFL ENERGIA SA</x:v>
      </x:c>
      <x:c r="C9421" s="16" t="n">
        <x:v>4514.3376938082</x:v>
      </x:c>
      <x:c r="D9421" s="13" t="str">
        <x:v>Utilities &amp; Energy</x:v>
      </x:c>
      <x:c r="E9421" s="13" t="str">
        <x:v>Utilities</x:v>
      </x:c>
      <x:c r="F9421" s="13" t="str">
        <x:v>Defensives</x:v>
      </x:c>
      <x:c r="G9421" s="13" t="str">
        <x:v>Ibovespa_earnings_consolidated.xlsx</x:v>
      </x:c>
    </x:row>
    <x:row r="9422">
      <x:c r="A9422" s="15" t="n">
        <x:v>44593</x:v>
      </x:c>
      <x:c r="B9422" s="13" t="str">
        <x:v>EDP - ENERGIAS DO BRASIL SA</x:v>
      </x:c>
      <x:c r="C9422" s="16" t="n">
        <x:v>1622.432755726</x:v>
      </x:c>
      <x:c r="D9422" s="13" t="str">
        <x:v>Utilities &amp; Energy</x:v>
      </x:c>
      <x:c r="E9422" s="13" t="str">
        <x:v>Utilities</x:v>
      </x:c>
      <x:c r="F9422" s="13" t="str">
        <x:v>Defensives</x:v>
      </x:c>
      <x:c r="G9422" s="13" t="str">
        <x:v>Ibovespa_earnings_consolidated.xlsx</x:v>
      </x:c>
    </x:row>
    <x:row r="9423">
      <x:c r="A9423" s="15" t="n">
        <x:v>44593</x:v>
      </x:c>
      <x:c r="B9423" s="13" t="str">
        <x:v>ENERGISA SA-UNITS</x:v>
      </x:c>
      <x:c r="C9423" s="16" t="n">
        <x:v>1809.2955420055</x:v>
      </x:c>
      <x:c r="D9423" s="13" t="str">
        <x:v>Utilities &amp; Energy</x:v>
      </x:c>
      <x:c r="E9423" s="13" t="str">
        <x:v>Utilities</x:v>
      </x:c>
      <x:c r="F9423" s="13" t="str">
        <x:v>Defensives</x:v>
      </x:c>
      <x:c r="G9423" s="13" t="str">
        <x:v>Ibovespa_earnings_consolidated.xlsx</x:v>
      </x:c>
    </x:row>
    <x:row r="9424">
      <x:c r="A9424" s="15" t="n">
        <x:v>44593</x:v>
      </x:c>
      <x:c r="B9424" s="13" t="str">
        <x:v>ENEVA SA</x:v>
      </x:c>
      <x:c r="C9424" s="16" t="n">
        <x:v>1097.1225505315</x:v>
      </x:c>
      <x:c r="D9424" s="13" t="str">
        <x:v>Utilities &amp; Energy</x:v>
      </x:c>
      <x:c r="E9424" s="13" t="str">
        <x:v>Utilities</x:v>
      </x:c>
      <x:c r="F9424" s="13" t="str">
        <x:v>Defensives</x:v>
      </x:c>
      <x:c r="G9424" s="13" t="str">
        <x:v>Ibovespa_earnings_consolidated.xlsx</x:v>
      </x:c>
    </x:row>
    <x:row r="9425">
      <x:c r="A9425" s="15" t="n">
        <x:v>44593</x:v>
      </x:c>
      <x:c r="B9425" s="13" t="str">
        <x:v>ENGIE BRASIL ENERGIA SA</x:v>
      </x:c>
      <x:c r="C9425" s="16" t="n">
        <x:v>3059.9807123288</x:v>
      </x:c>
      <x:c r="D9425" s="13" t="str">
        <x:v>Utilities &amp; Energy</x:v>
      </x:c>
      <x:c r="E9425" s="13" t="str">
        <x:v>Utilities</x:v>
      </x:c>
      <x:c r="F9425" s="13" t="str">
        <x:v>Defensives</x:v>
      </x:c>
      <x:c r="G9425" s="13" t="str">
        <x:v>Ibovespa_earnings_consolidated.xlsx</x:v>
      </x:c>
    </x:row>
    <x:row r="9426">
      <x:c r="A9426" s="15" t="n">
        <x:v>44593</x:v>
      </x:c>
      <x:c r="B9426" s="13" t="str">
        <x:v>EQUATORIAL SA - ORD</x:v>
      </x:c>
      <x:c r="C9426" s="16" t="n">
        <x:v>2572.9267347288</x:v>
      </x:c>
      <x:c r="D9426" s="13" t="str">
        <x:v>Utilities &amp; Energy</x:v>
      </x:c>
      <x:c r="E9426" s="13" t="str">
        <x:v>Utilities</x:v>
      </x:c>
      <x:c r="F9426" s="13" t="str">
        <x:v>Defensives</x:v>
      </x:c>
      <x:c r="G9426" s="13" t="str">
        <x:v>Ibovespa_earnings_consolidated.xlsx</x:v>
      </x:c>
    </x:row>
    <x:row r="9427">
      <x:c r="A9427" s="15" t="n">
        <x:v>44593</x:v>
      </x:c>
      <x:c r="B9427" s="13" t="str">
        <x:v>TRANSMISSORA ALIANCA DE-UNIT</x:v>
      </x:c>
      <x:c r="C9427" s="16" t="n">
        <x:v>1283.2064894247</x:v>
      </x:c>
      <x:c r="D9427" s="13" t="str">
        <x:v>Utilities &amp; Energy</x:v>
      </x:c>
      <x:c r="E9427" s="13" t="str">
        <x:v>Utilities</x:v>
      </x:c>
      <x:c r="F9427" s="13" t="str">
        <x:v>Defensives</x:v>
      </x:c>
      <x:c r="G9427" s="13" t="str">
        <x:v>Ibovespa_earnings_consolidated.xlsx</x:v>
      </x:c>
    </x:row>
    <x:row r="9428">
      <x:c r="A9428" s="15" t="n">
        <x:v>44621</x:v>
      </x:c>
      <x:c r="B9428" s="13" t="str">
        <x:v>BANCO BRADESCO S.A.</x:v>
      </x:c>
      <x:c r="C9428" s="16" t="n">
        <x:v>29293.7600631233</x:v>
      </x:c>
      <x:c r="D9428" s="13" t="str">
        <x:v>Banks</x:v>
      </x:c>
      <x:c r="E9428" s="13" t="str">
        <x:v>Banks</x:v>
      </x:c>
      <x:c r="F9428" s="13" t="str">
        <x:v>Financials</x:v>
      </x:c>
      <x:c r="G9428" s="13" t="str">
        <x:v>Ibovespa_earnings_consolidated.xlsx</x:v>
      </x:c>
    </x:row>
    <x:row r="9429">
      <x:c r="A9429" s="15" t="n">
        <x:v>44621</x:v>
      </x:c>
      <x:c r="B9429" s="13" t="str">
        <x:v>BANCO BRADESCO SA-PREF</x:v>
      </x:c>
      <x:c r="C9429" s="16" t="n">
        <x:v>29293.7600631233</x:v>
      </x:c>
      <x:c r="D9429" s="13" t="str">
        <x:v>Banks</x:v>
      </x:c>
      <x:c r="E9429" s="13" t="str">
        <x:v>Banks</x:v>
      </x:c>
      <x:c r="F9429" s="13" t="str">
        <x:v>Financials</x:v>
      </x:c>
      <x:c r="G9429" s="13" t="str">
        <x:v>Ibovespa_earnings_consolidated.xlsx</x:v>
      </x:c>
    </x:row>
    <x:row r="9430">
      <x:c r="A9430" s="15" t="n">
        <x:v>44621</x:v>
      </x:c>
      <x:c r="B9430" s="13" t="str">
        <x:v>BANCO BTG PACTUAL SA-UNIT</x:v>
      </x:c>
      <x:c r="C9430" s="16" t="n">
        <x:v>7693.7464425205</x:v>
      </x:c>
      <x:c r="D9430" s="13" t="str">
        <x:v>Banks</x:v>
      </x:c>
      <x:c r="E9430" s="13" t="str">
        <x:v>Banks</x:v>
      </x:c>
      <x:c r="F9430" s="13" t="str">
        <x:v>Financials</x:v>
      </x:c>
      <x:c r="G9430" s="13" t="str">
        <x:v>Ibovespa_earnings_consolidated.xlsx</x:v>
      </x:c>
    </x:row>
    <x:row r="9431">
      <x:c r="A9431" s="15" t="n">
        <x:v>44621</x:v>
      </x:c>
      <x:c r="B9431" s="13" t="str">
        <x:v>BANCO DO BRASIL S.A.</x:v>
      </x:c>
      <x:c r="C9431" s="16" t="n">
        <x:v>23485.6605387397</x:v>
      </x:c>
      <x:c r="D9431" s="13" t="str">
        <x:v>Banks</x:v>
      </x:c>
      <x:c r="E9431" s="13" t="str">
        <x:v>Banks</x:v>
      </x:c>
      <x:c r="F9431" s="13" t="str">
        <x:v>Financials</x:v>
      </x:c>
      <x:c r="G9431" s="13" t="str">
        <x:v>Ibovespa_earnings_consolidated.xlsx</x:v>
      </x:c>
    </x:row>
    <x:row r="9432">
      <x:c r="A9432" s="15" t="n">
        <x:v>44621</x:v>
      </x:c>
      <x:c r="B9432" s="13" t="str">
        <x:v>BANCO INTER SA</x:v>
      </x:c>
      <x:c r="C9432" s="16" t="n">
        <x:v>344.5123191233</x:v>
      </x:c>
      <x:c r="D9432" s="13" t="str">
        <x:v>Banks</x:v>
      </x:c>
      <x:c r="E9432" s="13" t="str">
        <x:v>Banks</x:v>
      </x:c>
      <x:c r="F9432" s="13" t="str">
        <x:v>Financials</x:v>
      </x:c>
      <x:c r="G9432" s="13" t="str">
        <x:v>Ibovespa_earnings_consolidated.xlsx</x:v>
      </x:c>
    </x:row>
    <x:row r="9433">
      <x:c r="A9433" s="15" t="n">
        <x:v>44621</x:v>
      </x:c>
      <x:c r="B9433" s="13" t="str">
        <x:v>BANCO PAN SA</x:v>
      </x:c>
      <x:c r="C9433" s="16" t="n">
        <x:v>964.7671390685</x:v>
      </x:c>
      <x:c r="D9433" s="13" t="str">
        <x:v>Banks</x:v>
      </x:c>
      <x:c r="E9433" s="13" t="str">
        <x:v>Banks</x:v>
      </x:c>
      <x:c r="F9433" s="13" t="str">
        <x:v>Financials</x:v>
      </x:c>
      <x:c r="G9433" s="13" t="str">
        <x:v>Ibovespa_earnings_consolidated.xlsx</x:v>
      </x:c>
    </x:row>
    <x:row r="9434">
      <x:c r="A9434" s="15" t="n">
        <x:v>44621</x:v>
      </x:c>
      <x:c r="B9434" s="13" t="str">
        <x:v>BANCO SANTANDER  BRASIL-UNIT</x:v>
      </x:c>
      <x:c r="C9434" s="16" t="n">
        <x:v>17627.3634121644</x:v>
      </x:c>
      <x:c r="D9434" s="13" t="str">
        <x:v>Banks</x:v>
      </x:c>
      <x:c r="E9434" s="13" t="str">
        <x:v>Banks</x:v>
      </x:c>
      <x:c r="F9434" s="13" t="str">
        <x:v>Financials</x:v>
      </x:c>
      <x:c r="G9434" s="13" t="str">
        <x:v>Ibovespa_earnings_consolidated.xlsx</x:v>
      </x:c>
    </x:row>
    <x:row r="9435">
      <x:c r="A9435" s="15" t="n">
        <x:v>44621</x:v>
      </x:c>
      <x:c r="B9435" s="13" t="str">
        <x:v>ITAU UNIBANCO HOLDING S-PREF</x:v>
      </x:c>
      <x:c r="C9435" s="16" t="n">
        <x:v>30633.4116821918</x:v>
      </x:c>
      <x:c r="D9435" s="13" t="str">
        <x:v>Banks</x:v>
      </x:c>
      <x:c r="E9435" s="13" t="str">
        <x:v>Banks</x:v>
      </x:c>
      <x:c r="F9435" s="13" t="str">
        <x:v>Financials</x:v>
      </x:c>
      <x:c r="G9435" s="13" t="str">
        <x:v>Ibovespa_earnings_consolidated.xlsx</x:v>
      </x:c>
    </x:row>
    <x:row r="9436">
      <x:c r="A9436" s="15" t="n">
        <x:v>44621</x:v>
      </x:c>
      <x:c r="B9436" s="13" t="str">
        <x:v>EMBRAER SA</x:v>
      </x:c>
      <x:c r="C9436" s="16" t="n">
        <x:v>333.309389589</x:v>
      </x:c>
      <x:c r="D9436" s="13" t="str">
        <x:v>Capital Goods</x:v>
      </x:c>
      <x:c r="E9436" s="13" t="str">
        <x:v>Capital Goods</x:v>
      </x:c>
      <x:c r="F9436" s="13" t="str">
        <x:v>Deep Cyclicals</x:v>
      </x:c>
      <x:c r="G9436" s="13" t="str">
        <x:v>Ibovespa_earnings_consolidated.xlsx</x:v>
      </x:c>
    </x:row>
    <x:row r="9437">
      <x:c r="A9437" s="15" t="n">
        <x:v>44621</x:v>
      </x:c>
      <x:c r="B9437" s="13" t="str">
        <x:v>WEG SA</x:v>
      </x:c>
      <x:c r="C9437" s="16" t="n">
        <x:v>3689.5533764384</x:v>
      </x:c>
      <x:c r="D9437" s="13" t="str">
        <x:v>Capital Goods</x:v>
      </x:c>
      <x:c r="E9437" s="13" t="str">
        <x:v>Capital Goods</x:v>
      </x:c>
      <x:c r="F9437" s="13" t="str">
        <x:v>Deep Cyclicals</x:v>
      </x:c>
      <x:c r="G9437" s="13" t="str">
        <x:v>Ibovespa_earnings_consolidated.xlsx</x:v>
      </x:c>
    </x:row>
    <x:row r="9438">
      <x:c r="A9438" s="15" t="n">
        <x:v>44621</x:v>
      </x:c>
      <x:c r="B9438" s="13" t="str">
        <x:v>COGNA EDUCACAO</x:v>
      </x:c>
      <x:c r="C9438" s="16" t="n">
        <x:v>-297.3609998904</x:v>
      </x:c>
      <x:c r="D9438" s="13" t="str">
        <x:v>Education</x:v>
      </x:c>
      <x:c r="E9438" s="13" t="str">
        <x:v>Education</x:v>
      </x:c>
      <x:c r="F9438" s="13" t="str">
        <x:v>Early Cyclicals</x:v>
      </x:c>
      <x:c r="G9438" s="13" t="str">
        <x:v>Ibovespa_earnings_consolidated.xlsx</x:v>
      </x:c>
    </x:row>
    <x:row r="9439">
      <x:c r="A9439" s="15" t="n">
        <x:v>44621</x:v>
      </x:c>
      <x:c r="B9439" s="13" t="str">
        <x:v>YDUQS PARTICIPACOES SA</x:v>
      </x:c>
      <x:c r="C9439" s="16" t="n">
        <x:v>375.6721293151</x:v>
      </x:c>
      <x:c r="D9439" s="13" t="str">
        <x:v>Education</x:v>
      </x:c>
      <x:c r="E9439" s="13" t="str">
        <x:v>Education</x:v>
      </x:c>
      <x:c r="F9439" s="13" t="str">
        <x:v>Early Cyclicals</x:v>
      </x:c>
      <x:c r="G9439" s="13" t="str">
        <x:v>Ibovespa_earnings_consolidated.xlsx</x:v>
      </x:c>
    </x:row>
    <x:row r="9440">
      <x:c r="A9440" s="15" t="n">
        <x:v>44621</x:v>
      </x:c>
      <x:c r="B9440" s="13" t="str">
        <x:v>B3 SA-BRASIL BOLSA BALCAO</x:v>
      </x:c>
      <x:c r="C9440" s="16" t="n">
        <x:v>5287.013165589</x:v>
      </x:c>
      <x:c r="D9440" s="13" t="str">
        <x:v>Financials Non-Banks</x:v>
      </x:c>
      <x:c r="E9440" s="13" t="str">
        <x:v>Financials Non-Banks</x:v>
      </x:c>
      <x:c r="F9440" s="13" t="str">
        <x:v>Financials</x:v>
      </x:c>
      <x:c r="G9440" s="13" t="str">
        <x:v>Ibovespa_earnings_consolidated.xlsx</x:v>
      </x:c>
    </x:row>
    <x:row r="9441">
      <x:c r="A9441" s="15" t="n">
        <x:v>44621</x:v>
      </x:c>
      <x:c r="B9441" s="13" t="str">
        <x:v>BB SEGURIDADE PARTICIPACOES</x:v>
      </x:c>
      <x:c r="C9441" s="16" t="n">
        <x:v>5171.8391653699</x:v>
      </x:c>
      <x:c r="D9441" s="13" t="str">
        <x:v>Financials Non-Banks</x:v>
      </x:c>
      <x:c r="E9441" s="13" t="str">
        <x:v>Financials Non-Banks</x:v>
      </x:c>
      <x:c r="F9441" s="13" t="str">
        <x:v>Financials</x:v>
      </x:c>
      <x:c r="G9441" s="13" t="str">
        <x:v>Ibovespa_earnings_consolidated.xlsx</x:v>
      </x:c>
    </x:row>
    <x:row r="9442">
      <x:c r="A9442" s="15" t="n">
        <x:v>44621</x:v>
      </x:c>
      <x:c r="B9442" s="13" t="str">
        <x:v>CIELO SA</x:v>
      </x:c>
      <x:c r="C9442" s="16" t="n">
        <x:v>892.1580896438</x:v>
      </x:c>
      <x:c r="D9442" s="13" t="str">
        <x:v>Financials Non-Banks</x:v>
      </x:c>
      <x:c r="E9442" s="13" t="str">
        <x:v>Financials Non-Banks</x:v>
      </x:c>
      <x:c r="F9442" s="13" t="str">
        <x:v>Financials</x:v>
      </x:c>
      <x:c r="G9442" s="13" t="str">
        <x:v>Ibovespa_earnings_consolidated.xlsx</x:v>
      </x:c>
    </x:row>
    <x:row r="9443">
      <x:c r="A9443" s="15" t="n">
        <x:v>44621</x:v>
      </x:c>
      <x:c r="B9443" s="13" t="str">
        <x:v>CIELO SA - INSTITUICAO DE PA</x:v>
      </x:c>
      <x:c r="C9443" s="16" t="n">
        <x:v>892.1580896438</x:v>
      </x:c>
      <x:c r="D9443" s="13" t="str">
        <x:v>Financials Non-Banks</x:v>
      </x:c>
      <x:c r="E9443" s="13" t="str">
        <x:v>Financials Non-Banks</x:v>
      </x:c>
      <x:c r="F9443" s="13" t="str">
        <x:v>Financials</x:v>
      </x:c>
      <x:c r="G9443" s="13" t="str">
        <x:v>grid_wbaxp5t0.xlsx</x:v>
      </x:c>
    </x:row>
    <x:row r="9444">
      <x:c r="A9444" s="15" t="n">
        <x:v>44621</x:v>
      </x:c>
      <x:c r="B9444" s="13" t="str">
        <x:v>IRB BRASIL RESSEGUROS SA</x:v>
      </x:c>
      <x:c r="C9444" s="16" t="n">
        <x:v>294.6764149041</x:v>
      </x:c>
      <x:c r="D9444" s="13" t="str">
        <x:v>Financials Non-Banks</x:v>
      </x:c>
      <x:c r="E9444" s="13" t="str">
        <x:v>Financials Non-Banks</x:v>
      </x:c>
      <x:c r="F9444" s="13" t="str">
        <x:v>Financials</x:v>
      </x:c>
      <x:c r="G9444" s="13" t="str">
        <x:v>Ibovespa_earnings_consolidated.xlsx</x:v>
      </x:c>
    </x:row>
    <x:row r="9445">
      <x:c r="A9445" s="15" t="n">
        <x:v>44621</x:v>
      </x:c>
      <x:c r="B9445" s="13" t="str">
        <x:v>ITAUSA SA</x:v>
      </x:c>
      <x:c r="C9445" s="16" t="n">
        <x:v>12176.8701194521</x:v>
      </x:c>
      <x:c r="D9445" s="13" t="str">
        <x:v>Financials Non-Banks</x:v>
      </x:c>
      <x:c r="E9445" s="13" t="str">
        <x:v>Financials Non-Banks</x:v>
      </x:c>
      <x:c r="F9445" s="13" t="str">
        <x:v>Financials</x:v>
      </x:c>
      <x:c r="G9445" s="13" t="str">
        <x:v>Ibovespa_earnings_consolidated.xlsx</x:v>
      </x:c>
    </x:row>
    <x:row r="9446">
      <x:c r="A9446" s="15" t="n">
        <x:v>44621</x:v>
      </x:c>
      <x:c r="B9446" s="13" t="str">
        <x:v>MELIUZ SA - ON</x:v>
      </x:c>
      <x:c r="C9446" s="16" t="n">
        <x:v>9.6002739726</x:v>
      </x:c>
      <x:c r="D9446" s="13" t="str">
        <x:v>Financials Non-Banks</x:v>
      </x:c>
      <x:c r="E9446" s="13" t="str">
        <x:v>Financials Non-Banks</x:v>
      </x:c>
      <x:c r="F9446" s="13" t="str">
        <x:v>Financials</x:v>
      </x:c>
      <x:c r="G9446" s="13" t="str">
        <x:v>Ibovespa_earnings_consolidated.xlsx</x:v>
      </x:c>
    </x:row>
    <x:row r="9447">
      <x:c r="A9447" s="15" t="n">
        <x:v>44621</x:v>
      </x:c>
      <x:c r="B9447" s="13" t="str">
        <x:v>AMBEV SA</x:v>
      </x:c>
      <x:c r="C9447" s="16" t="n">
        <x:v>13045.2258928219</x:v>
      </x:c>
      <x:c r="D9447" s="13" t="str">
        <x:v>Food &amp; Beverages</x:v>
      </x:c>
      <x:c r="E9447" s="13" t="str">
        <x:v>Agri, Food &amp; Beverages</x:v>
      </x:c>
      <x:c r="F9447" s="13" t="str">
        <x:v>Defensives</x:v>
      </x:c>
      <x:c r="G9447" s="13" t="str">
        <x:v>Ibovespa_earnings_consolidated.xlsx</x:v>
      </x:c>
    </x:row>
    <x:row r="9448">
      <x:c r="A9448" s="15" t="n">
        <x:v>44621</x:v>
      </x:c>
      <x:c r="B9448" s="13" t="str">
        <x:v>BRF SA</x:v>
      </x:c>
      <x:c r="C9448" s="16" t="n">
        <x:v>1092.8883480548</x:v>
      </x:c>
      <x:c r="D9448" s="13" t="str">
        <x:v>Food &amp; Beverages</x:v>
      </x:c>
      <x:c r="E9448" s="13" t="str">
        <x:v>Agri, Food &amp; Beverages</x:v>
      </x:c>
      <x:c r="F9448" s="13" t="str">
        <x:v>Defensives</x:v>
      </x:c>
      <x:c r="G9448" s="13" t="str">
        <x:v>Ibovespa_earnings_consolidated.xlsx</x:v>
      </x:c>
    </x:row>
    <x:row r="9449">
      <x:c r="A9449" s="15" t="n">
        <x:v>44621</x:v>
      </x:c>
      <x:c r="B9449" s="13" t="str">
        <x:v>JBS SA</x:v>
      </x:c>
      <x:c r="C9449" s="16" t="n">
        <x:v>14211.1292317808</x:v>
      </x:c>
      <x:c r="D9449" s="13" t="str">
        <x:v>Food &amp; Beverages</x:v>
      </x:c>
      <x:c r="E9449" s="13" t="str">
        <x:v>Agri, Food &amp; Beverages</x:v>
      </x:c>
      <x:c r="F9449" s="13" t="str">
        <x:v>Defensives</x:v>
      </x:c>
      <x:c r="G9449" s="13" t="str">
        <x:v>Ibovespa_earnings_consolidated.xlsx</x:v>
      </x:c>
    </x:row>
    <x:row r="9450">
      <x:c r="A9450" s="15" t="n">
        <x:v>44621</x:v>
      </x:c>
      <x:c r="B9450" s="13" t="str">
        <x:v>MBRF GLOBAL FOODS COMPANY SA</x:v>
      </x:c>
      <x:c r="C9450" s="16" t="n">
        <x:v>2860.0048955616</x:v>
      </x:c>
      <x:c r="D9450" s="13" t="str">
        <x:v>Food &amp; Beverages</x:v>
      </x:c>
      <x:c r="E9450" s="13" t="str">
        <x:v>Agri, Food &amp; Beverages</x:v>
      </x:c>
      <x:c r="F9450" s="13" t="str">
        <x:v>Defensives</x:v>
      </x:c>
      <x:c r="G9450" s="13" t="str">
        <x:v>Ibovespa_earnings_consolidated.xlsx</x:v>
      </x:c>
    </x:row>
    <x:row r="9451">
      <x:c r="A9451" s="15" t="n">
        <x:v>44621</x:v>
      </x:c>
      <x:c r="B9451" s="13" t="str">
        <x:v>MINERVA SA</x:v>
      </x:c>
      <x:c r="C9451" s="16" t="n">
        <x:v>807.9246307945</x:v>
      </x:c>
      <x:c r="D9451" s="13" t="str">
        <x:v>Food &amp; Beverages</x:v>
      </x:c>
      <x:c r="E9451" s="13" t="str">
        <x:v>Agri, Food &amp; Beverages</x:v>
      </x:c>
      <x:c r="F9451" s="13" t="str">
        <x:v>Defensives</x:v>
      </x:c>
      <x:c r="G9451" s="13" t="str">
        <x:v>Ibovespa_earnings_consolidated.xlsx</x:v>
      </x:c>
    </x:row>
    <x:row r="9452">
      <x:c r="A9452" s="15" t="n">
        <x:v>44621</x:v>
      </x:c>
      <x:c r="B9452" s="13" t="str">
        <x:v>FLEURY SA</x:v>
      </x:c>
      <x:c r="C9452" s="16" t="n">
        <x:v>321.7400096438</x:v>
      </x:c>
      <x:c r="D9452" s="13" t="str">
        <x:v>Health Care</x:v>
      </x:c>
      <x:c r="E9452" s="13" t="str">
        <x:v>Health Care</x:v>
      </x:c>
      <x:c r="F9452" s="13" t="str">
        <x:v>Defensives</x:v>
      </x:c>
      <x:c r="G9452" s="13" t="str">
        <x:v>Ibovespa_earnings_consolidated.xlsx</x:v>
      </x:c>
    </x:row>
    <x:row r="9453">
      <x:c r="A9453" s="15" t="n">
        <x:v>44621</x:v>
      </x:c>
      <x:c r="B9453" s="13" t="str">
        <x:v>HAPVIDA PARTICIPACOES E INVE</x:v>
      </x:c>
      <x:c r="C9453" s="16" t="n">
        <x:v>1783.7923331507</x:v>
      </x:c>
      <x:c r="D9453" s="13" t="str">
        <x:v>Health Care</x:v>
      </x:c>
      <x:c r="E9453" s="13" t="str">
        <x:v>Health Care</x:v>
      </x:c>
      <x:c r="F9453" s="13" t="str">
        <x:v>Defensives</x:v>
      </x:c>
      <x:c r="G9453" s="13" t="str">
        <x:v>Ibovespa_earnings_consolidated.xlsx</x:v>
      </x:c>
    </x:row>
    <x:row r="9454">
      <x:c r="A9454" s="15" t="n">
        <x:v>44621</x:v>
      </x:c>
      <x:c r="B9454" s="13" t="str">
        <x:v>HYPERA SA</x:v>
      </x:c>
      <x:c r="C9454" s="16" t="n">
        <x:v>1705.0190448219</x:v>
      </x:c>
      <x:c r="D9454" s="13" t="str">
        <x:v>Health Care</x:v>
      </x:c>
      <x:c r="E9454" s="13" t="str">
        <x:v>Health Care</x:v>
      </x:c>
      <x:c r="F9454" s="13" t="str">
        <x:v>Defensives</x:v>
      </x:c>
      <x:c r="G9454" s="13" t="str">
        <x:v>Ibovespa_earnings_consolidated.xlsx</x:v>
      </x:c>
    </x:row>
    <x:row r="9455">
      <x:c r="A9455" s="15" t="n">
        <x:v>44621</x:v>
      </x:c>
      <x:c r="B9455" s="13" t="str">
        <x:v>QUALICORP CONS E CORR SEG SA</x:v>
      </x:c>
      <x:c r="C9455" s="16" t="n">
        <x:v>353.4364287123</x:v>
      </x:c>
      <x:c r="D9455" s="13" t="str">
        <x:v>Health Care</x:v>
      </x:c>
      <x:c r="E9455" s="13" t="str">
        <x:v>Health Care</x:v>
      </x:c>
      <x:c r="F9455" s="13" t="str">
        <x:v>Defensives</x:v>
      </x:c>
      <x:c r="G9455" s="13" t="str">
        <x:v>Ibovespa_earnings_consolidated.xlsx</x:v>
      </x:c>
    </x:row>
    <x:row r="9456">
      <x:c r="A9456" s="15" t="n">
        <x:v>44621</x:v>
      </x:c>
      <x:c r="B9456" s="13" t="str">
        <x:v>REDE D'OR SAO LUIZ SA</x:v>
      </x:c>
      <x:c r="C9456" s="16" t="n">
        <x:v>2397.946136548</x:v>
      </x:c>
      <x:c r="D9456" s="13" t="str">
        <x:v>Health Care</x:v>
      </x:c>
      <x:c r="E9456" s="13" t="str">
        <x:v>Health Care</x:v>
      </x:c>
      <x:c r="F9456" s="13" t="str">
        <x:v>Defensives</x:v>
      </x:c>
      <x:c r="G9456" s="13" t="str">
        <x:v>Ibovespa_earnings_consolidated.xlsx</x:v>
      </x:c>
    </x:row>
    <x:row r="9457">
      <x:c r="A9457" s="15" t="n">
        <x:v>44621</x:v>
      </x:c>
      <x:c r="B9457" s="13" t="str">
        <x:v>SUL AMERICA SA - UNITS</x:v>
      </x:c>
      <x:c r="C9457" s="16" t="n">
        <x:v>1144.4851164931</x:v>
      </x:c>
      <x:c r="D9457" s="13" t="str">
        <x:v>Health Care</x:v>
      </x:c>
      <x:c r="E9457" s="13" t="str">
        <x:v>Health Care</x:v>
      </x:c>
      <x:c r="F9457" s="13" t="str">
        <x:v>Defensives</x:v>
      </x:c>
      <x:c r="G9457" s="13" t="str">
        <x:v>Ibovespa_earnings_consolidated.xlsx</x:v>
      </x:c>
    </x:row>
    <x:row r="9458">
      <x:c r="A9458" s="15" t="n">
        <x:v>44621</x:v>
      </x:c>
      <x:c r="B9458" s="13" t="str">
        <x:v>CYRELA BRAZIL REALTY SA EMP</x:v>
      </x:c>
      <x:c r="C9458" s="16" t="n">
        <x:v>1003.9917141918</x:v>
      </x:c>
      <x:c r="D9458" s="13" t="str">
        <x:v>Homebuilders</x:v>
      </x:c>
      <x:c r="E9458" s="13" t="str">
        <x:v>Real Estate</x:v>
      </x:c>
      <x:c r="F9458" s="13" t="str">
        <x:v>Early Cyclicals</x:v>
      </x:c>
      <x:c r="G9458" s="13" t="str">
        <x:v>Ibovespa_earnings_consolidated.xlsx</x:v>
      </x:c>
    </x:row>
    <x:row r="9459">
      <x:c r="A9459" s="15" t="n">
        <x:v>44621</x:v>
      </x:c>
      <x:c r="B9459" s="13" t="str">
        <x:v>EZ TEC EMPREENDIMENTOS E PAR</x:v>
      </x:c>
      <x:c r="C9459" s="16" t="n">
        <x:v>638.729837589</x:v>
      </x:c>
      <x:c r="D9459" s="13" t="str">
        <x:v>Homebuilders</x:v>
      </x:c>
      <x:c r="E9459" s="13" t="str">
        <x:v>Real Estate</x:v>
      </x:c>
      <x:c r="F9459" s="13" t="str">
        <x:v>Early Cyclicals</x:v>
      </x:c>
      <x:c r="G9459" s="13" t="str">
        <x:v>Ibovespa_earnings_consolidated.xlsx</x:v>
      </x:c>
    </x:row>
    <x:row r="9460">
      <x:c r="A9460" s="15" t="n">
        <x:v>44621</x:v>
      </x:c>
      <x:c r="B9460" s="13" t="str">
        <x:v>MRV ENGENHARIA</x:v>
      </x:c>
      <x:c r="C9460" s="16" t="n">
        <x:v>833.3669742466</x:v>
      </x:c>
      <x:c r="D9460" s="13" t="str">
        <x:v>Homebuilders</x:v>
      </x:c>
      <x:c r="E9460" s="13" t="str">
        <x:v>Real Estate</x:v>
      </x:c>
      <x:c r="F9460" s="13" t="str">
        <x:v>Early Cyclicals</x:v>
      </x:c>
      <x:c r="G9460" s="13" t="str">
        <x:v>Ibovespa_earnings_consolidated.xlsx</x:v>
      </x:c>
    </x:row>
    <x:row r="9461">
      <x:c r="A9461" s="15" t="n">
        <x:v>44621</x:v>
      </x:c>
      <x:c r="B9461" s="13" t="str">
        <x:v>BR MALLS PARTICIPACOES SA</x:v>
      </x:c>
      <x:c r="C9461" s="16" t="n">
        <x:v>518.8630176438</x:v>
      </x:c>
      <x:c r="D9461" s="13" t="str">
        <x:v>Income Properties</x:v>
      </x:c>
      <x:c r="E9461" s="13" t="str">
        <x:v>Real Estate</x:v>
      </x:c>
      <x:c r="F9461" s="13" t="str">
        <x:v>Early Cyclicals</x:v>
      </x:c>
      <x:c r="G9461" s="13" t="str">
        <x:v>Ibovespa_earnings_consolidated.xlsx</x:v>
      </x:c>
    </x:row>
    <x:row r="9462">
      <x:c r="A9462" s="15" t="n">
        <x:v>44621</x:v>
      </x:c>
      <x:c r="B9462" s="13" t="str">
        <x:v>IGUATEMI SA - UNITS</x:v>
      </x:c>
      <x:c r="C9462" s="16" t="n">
        <x:v>254.1370371507</x:v>
      </x:c>
      <x:c r="D9462" s="13" t="str">
        <x:v>Income Properties</x:v>
      </x:c>
      <x:c r="E9462" s="13" t="str">
        <x:v>Real Estate</x:v>
      </x:c>
      <x:c r="F9462" s="13" t="str">
        <x:v>Early Cyclicals</x:v>
      </x:c>
      <x:c r="G9462" s="13" t="str">
        <x:v>Ibovespa_earnings_consolidated.xlsx</x:v>
      </x:c>
    </x:row>
    <x:row r="9463">
      <x:c r="A9463" s="15" t="n">
        <x:v>44621</x:v>
      </x:c>
      <x:c r="B9463" s="13" t="str">
        <x:v>JHSF PARTICIPACOES SA</x:v>
      </x:c>
      <x:c r="C9463" s="16" t="n">
        <x:v>719.510278137</x:v>
      </x:c>
      <x:c r="D9463" s="13" t="str">
        <x:v>Income Properties</x:v>
      </x:c>
      <x:c r="E9463" s="13" t="str">
        <x:v>Real Estate</x:v>
      </x:c>
      <x:c r="F9463" s="13" t="str">
        <x:v>Early Cyclicals</x:v>
      </x:c>
      <x:c r="G9463" s="13" t="str">
        <x:v>Ibovespa_earnings_consolidated.xlsx</x:v>
      </x:c>
    </x:row>
    <x:row r="9464">
      <x:c r="A9464" s="15" t="n">
        <x:v>44621</x:v>
      </x:c>
      <x:c r="B9464" s="13" t="str">
        <x:v>MULTIPLAN EMPREENDIMENTOS</x:v>
      </x:c>
      <x:c r="C9464" s="16" t="n">
        <x:v>610.0780659726</x:v>
      </x:c>
      <x:c r="D9464" s="13" t="str">
        <x:v>Income Properties</x:v>
      </x:c>
      <x:c r="E9464" s="13" t="str">
        <x:v>Real Estate</x:v>
      </x:c>
      <x:c r="F9464" s="13" t="str">
        <x:v>Early Cyclicals</x:v>
      </x:c>
      <x:c r="G9464" s="13" t="str">
        <x:v>Ibovespa_earnings_consolidated.xlsx</x:v>
      </x:c>
    </x:row>
    <x:row r="9465">
      <x:c r="A9465" s="15" t="n">
        <x:v>44621</x:v>
      </x:c>
      <x:c r="B9465" s="13" t="str">
        <x:v>BRADESPAR SA -PREF</x:v>
      </x:c>
      <x:c r="C9465" s="16" t="n">
        <x:v>3188.6437873973</x:v>
      </x:c>
      <x:c r="D9465" s="13" t="str">
        <x:v>Metals &amp; Mining</x:v>
      </x:c>
      <x:c r="E9465" s="13" t="str">
        <x:v>Metals &amp; Mining</x:v>
      </x:c>
      <x:c r="F9465" s="13" t="str">
        <x:v>Deep Cyclicals</x:v>
      </x:c>
      <x:c r="G9465" s="13" t="str">
        <x:v>Ibovespa_earnings_consolidated.xlsx</x:v>
      </x:c>
    </x:row>
    <x:row r="9466">
      <x:c r="A9466" s="15" t="n">
        <x:v>44621</x:v>
      </x:c>
      <x:c r="B9466" s="13" t="str">
        <x:v>CIA SIDERURGICA NACIONAL SA</x:v>
      </x:c>
      <x:c r="C9466" s="16" t="n">
        <x:v>7272.7718505206</x:v>
      </x:c>
      <x:c r="D9466" s="13" t="str">
        <x:v>Metals &amp; Mining</x:v>
      </x:c>
      <x:c r="E9466" s="13" t="str">
        <x:v>Metals &amp; Mining</x:v>
      </x:c>
      <x:c r="F9466" s="13" t="str">
        <x:v>Deep Cyclicals</x:v>
      </x:c>
      <x:c r="G9466" s="13" t="str">
        <x:v>Ibovespa_earnings_consolidated.xlsx</x:v>
      </x:c>
    </x:row>
    <x:row r="9467">
      <x:c r="A9467" s="15" t="n">
        <x:v>44621</x:v>
      </x:c>
      <x:c r="B9467" s="13" t="str">
        <x:v>CSN MINERACAO SA</x:v>
      </x:c>
      <x:c r="C9467" s="16" t="n">
        <x:v>5521.1783153973</x:v>
      </x:c>
      <x:c r="D9467" s="13" t="str">
        <x:v>Metals &amp; Mining</x:v>
      </x:c>
      <x:c r="E9467" s="13" t="str">
        <x:v>Metals &amp; Mining</x:v>
      </x:c>
      <x:c r="F9467" s="13" t="str">
        <x:v>Deep Cyclicals</x:v>
      </x:c>
      <x:c r="G9467" s="13" t="str">
        <x:v>Ibovespa_earnings_consolidated.xlsx</x:v>
      </x:c>
    </x:row>
    <x:row r="9468">
      <x:c r="A9468" s="15" t="n">
        <x:v>44621</x:v>
      </x:c>
      <x:c r="B9468" s="13" t="str">
        <x:v>GERDAU SA-PREF</x:v>
      </x:c>
      <x:c r="C9468" s="16" t="n">
        <x:v>8518.6537976986</x:v>
      </x:c>
      <x:c r="D9468" s="13" t="str">
        <x:v>Metals &amp; Mining</x:v>
      </x:c>
      <x:c r="E9468" s="13" t="str">
        <x:v>Metals &amp; Mining</x:v>
      </x:c>
      <x:c r="F9468" s="13" t="str">
        <x:v>Deep Cyclicals</x:v>
      </x:c>
      <x:c r="G9468" s="13" t="str">
        <x:v>Ibovespa_earnings_consolidated.xlsx</x:v>
      </x:c>
    </x:row>
    <x:row r="9469">
      <x:c r="A9469" s="15" t="n">
        <x:v>44621</x:v>
      </x:c>
      <x:c r="B9469" s="13" t="str">
        <x:v>USINAS SIDER MINAS GER-PF A</x:v>
      </x:c>
      <x:c r="C9469" s="16" t="n">
        <x:v>4174.8637106849</x:v>
      </x:c>
      <x:c r="D9469" s="13" t="str">
        <x:v>Metals &amp; Mining</x:v>
      </x:c>
      <x:c r="E9469" s="13" t="str">
        <x:v>Metals &amp; Mining</x:v>
      </x:c>
      <x:c r="F9469" s="13" t="str">
        <x:v>Deep Cyclicals</x:v>
      </x:c>
      <x:c r="G9469" s="13" t="str">
        <x:v>Ibovespa_earnings_consolidated.xlsx</x:v>
      </x:c>
    </x:row>
    <x:row r="9470">
      <x:c r="A9470" s="15" t="n">
        <x:v>44621</x:v>
      </x:c>
      <x:c r="B9470" s="13" t="str">
        <x:v>VALE SA</x:v>
      </x:c>
      <x:c r="C9470" s="16" t="n">
        <x:v>81281.349772274</x:v>
      </x:c>
      <x:c r="D9470" s="13" t="str">
        <x:v>Metals &amp; Mining</x:v>
      </x:c>
      <x:c r="E9470" s="13" t="str">
        <x:v>Metals &amp; Mining</x:v>
      </x:c>
      <x:c r="F9470" s="13" t="str">
        <x:v>Deep Cyclicals</x:v>
      </x:c>
      <x:c r="G9470" s="13" t="str">
        <x:v>Ibovespa_earnings_consolidated.xlsx</x:v>
      </x:c>
    </x:row>
    <x:row r="9471">
      <x:c r="A9471" s="15" t="n">
        <x:v>44621</x:v>
      </x:c>
      <x:c r="B9471" s="13" t="str">
        <x:v>BRASKEM SA-PREF A</x:v>
      </x:c>
      <x:c r="C9471" s="16" t="n">
        <x:v>7300.637043726</x:v>
      </x:c>
      <x:c r="D9471" s="13" t="str">
        <x:v>Oil, Gas &amp; Petrochemicals</x:v>
      </x:c>
      <x:c r="E9471" s="13" t="str">
        <x:v>Oil, Gas &amp; Petrochemicals</x:v>
      </x:c>
      <x:c r="F9471" s="13" t="str">
        <x:v>Deep Cyclicals</x:v>
      </x:c>
      <x:c r="G9471" s="13" t="str">
        <x:v>Ibovespa_earnings_consolidated.xlsx</x:v>
      </x:c>
    </x:row>
    <x:row r="9472">
      <x:c r="A9472" s="15" t="n">
        <x:v>44621</x:v>
      </x:c>
      <x:c r="B9472" s="13" t="str">
        <x:v>BRAVA ENERGIA</x:v>
      </x:c>
      <x:c r="C9472" s="16" t="n">
        <x:v>1676.996595726</x:v>
      </x:c>
      <x:c r="D9472" s="13" t="str">
        <x:v>Oil, Gas &amp; Petrochemicals</x:v>
      </x:c>
      <x:c r="E9472" s="13" t="str">
        <x:v>Oil, Gas &amp; Petrochemicals</x:v>
      </x:c>
      <x:c r="F9472" s="13" t="str">
        <x:v>Deep Cyclicals</x:v>
      </x:c>
      <x:c r="G9472" s="13" t="str">
        <x:v>Ibovespa_earnings_consolidated.xlsx</x:v>
      </x:c>
    </x:row>
    <x:row r="9473">
      <x:c r="A9473" s="15" t="n">
        <x:v>44621</x:v>
      </x:c>
      <x:c r="B9473" s="13" t="str">
        <x:v>COSAN SA</x:v>
      </x:c>
      <x:c r="C9473" s="16" t="n">
        <x:v>3606.1505648219</x:v>
      </x:c>
      <x:c r="D9473" s="13" t="str">
        <x:v>Oil, Gas &amp; Petrochemicals</x:v>
      </x:c>
      <x:c r="E9473" s="13" t="str">
        <x:v>Oil, Gas &amp; Petrochemicals</x:v>
      </x:c>
      <x:c r="F9473" s="13" t="str">
        <x:v>Deep Cyclicals</x:v>
      </x:c>
      <x:c r="G9473" s="13" t="str">
        <x:v>Ibovespa_earnings_consolidated.xlsx</x:v>
      </x:c>
    </x:row>
    <x:row r="9474">
      <x:c r="A9474" s="15" t="n">
        <x:v>44621</x:v>
      </x:c>
      <x:c r="B9474" s="13" t="str">
        <x:v>PETROBRAS - PETROLEO BRAS</x:v>
      </x:c>
      <x:c r="C9474" s="16" t="n">
        <x:v>111657.208004384</x:v>
      </x:c>
      <x:c r="D9474" s="13" t="str">
        <x:v>Oil, Gas &amp; Petrochemicals</x:v>
      </x:c>
      <x:c r="E9474" s="13" t="str">
        <x:v>Oil, Gas &amp; Petrochemicals</x:v>
      </x:c>
      <x:c r="F9474" s="13" t="str">
        <x:v>Deep Cyclicals</x:v>
      </x:c>
      <x:c r="G9474" s="13" t="str">
        <x:v>Ibovespa_earnings_consolidated.xlsx</x:v>
      </x:c>
    </x:row>
    <x:row r="9475">
      <x:c r="A9475" s="15" t="n">
        <x:v>44621</x:v>
      </x:c>
      <x:c r="B9475" s="13" t="str">
        <x:v>PRIO SA</x:v>
      </x:c>
      <x:c r="C9475" s="16" t="n">
        <x:v>2121.6736543562</x:v>
      </x:c>
      <x:c r="D9475" s="13" t="str">
        <x:v>Oil, Gas &amp; Petrochemicals</x:v>
      </x:c>
      <x:c r="E9475" s="13" t="str">
        <x:v>Oil, Gas &amp; Petrochemicals</x:v>
      </x:c>
      <x:c r="F9475" s="13" t="str">
        <x:v>Deep Cyclicals</x:v>
      </x:c>
      <x:c r="G9475" s="13" t="str">
        <x:v>Ibovespa_earnings_consolidated.xlsx</x:v>
      </x:c>
    </x:row>
    <x:row r="9476">
      <x:c r="A9476" s="15" t="n">
        <x:v>44621</x:v>
      </x:c>
      <x:c r="B9476" s="13" t="str">
        <x:v>ULTRAPAR PARTICIPACOES SA</x:v>
      </x:c>
      <x:c r="C9476" s="16" t="n">
        <x:v>1045.4974798904</x:v>
      </x:c>
      <x:c r="D9476" s="13" t="str">
        <x:v>Oil, Gas &amp; Petrochemicals</x:v>
      </x:c>
      <x:c r="E9476" s="13" t="str">
        <x:v>Oil, Gas &amp; Petrochemicals</x:v>
      </x:c>
      <x:c r="F9476" s="13" t="str">
        <x:v>Deep Cyclicals</x:v>
      </x:c>
      <x:c r="G9476" s="13" t="str">
        <x:v>Ibovespa_earnings_consolidated.xlsx</x:v>
      </x:c>
    </x:row>
    <x:row r="9477">
      <x:c r="A9477" s="15" t="n">
        <x:v>44621</x:v>
      </x:c>
      <x:c r="B9477" s="13" t="str">
        <x:v>VIBRA ENERGIA SA</x:v>
      </x:c>
      <x:c r="C9477" s="16" t="n">
        <x:v>2038.4218616986</x:v>
      </x:c>
      <x:c r="D9477" s="13" t="str">
        <x:v>Oil, Gas &amp; Petrochemicals</x:v>
      </x:c>
      <x:c r="E9477" s="13" t="str">
        <x:v>Oil, Gas &amp; Petrochemicals</x:v>
      </x:c>
      <x:c r="F9477" s="13" t="str">
        <x:v>Deep Cyclicals</x:v>
      </x:c>
      <x:c r="G9477" s="13" t="str">
        <x:v>Ibovespa_earnings_consolidated.xlsx</x:v>
      </x:c>
    </x:row>
    <x:row r="9478">
      <x:c r="A9478" s="15" t="n">
        <x:v>44621</x:v>
      </x:c>
      <x:c r="B9478" s="13" t="str">
        <x:v>DEXCO SA</x:v>
      </x:c>
      <x:c r="C9478" s="16" t="n">
        <x:v>921.6420918356</x:v>
      </x:c>
      <x:c r="D9478" s="13" t="str">
        <x:v>Pulp &amp; Paper</x:v>
      </x:c>
      <x:c r="E9478" s="13" t="str">
        <x:v>Pulp &amp; Paper</x:v>
      </x:c>
      <x:c r="F9478" s="13" t="str">
        <x:v>Deep Cyclicals</x:v>
      </x:c>
      <x:c r="G9478" s="13" t="str">
        <x:v>Ibovespa_earnings_consolidated.xlsx</x:v>
      </x:c>
    </x:row>
    <x:row r="9479">
      <x:c r="A9479" s="15" t="n">
        <x:v>44621</x:v>
      </x:c>
      <x:c r="B9479" s="13" t="str">
        <x:v>KLABIN SA - UNIT</x:v>
      </x:c>
      <x:c r="C9479" s="16" t="n">
        <x:v>2711.7748707945</x:v>
      </x:c>
      <x:c r="D9479" s="13" t="str">
        <x:v>Pulp &amp; Paper</x:v>
      </x:c>
      <x:c r="E9479" s="13" t="str">
        <x:v>Pulp &amp; Paper</x:v>
      </x:c>
      <x:c r="F9479" s="13" t="str">
        <x:v>Deep Cyclicals</x:v>
      </x:c>
      <x:c r="G9479" s="13" t="str">
        <x:v>Ibovespa_earnings_consolidated.xlsx</x:v>
      </x:c>
    </x:row>
    <x:row r="9480">
      <x:c r="A9480" s="15" t="n">
        <x:v>44621</x:v>
      </x:c>
      <x:c r="B9480" s="13" t="str">
        <x:v>SUZANO SA</x:v>
      </x:c>
      <x:c r="C9480" s="16" t="n">
        <x:v>9077.8023346849</x:v>
      </x:c>
      <x:c r="D9480" s="13" t="str">
        <x:v>Pulp &amp; Paper</x:v>
      </x:c>
      <x:c r="E9480" s="13" t="str">
        <x:v>Pulp &amp; Paper</x:v>
      </x:c>
      <x:c r="F9480" s="13" t="str">
        <x:v>Deep Cyclicals</x:v>
      </x:c>
      <x:c r="G9480" s="13" t="str">
        <x:v>Ibovespa_earnings_consolidated.xlsx</x:v>
      </x:c>
    </x:row>
    <x:row r="9481">
      <x:c r="A9481" s="15" t="n">
        <x:v>44621</x:v>
      </x:c>
      <x:c r="B9481" s="13" t="str">
        <x:v>ALPARGATAS SA - PREF</x:v>
      </x:c>
      <x:c r="C9481" s="16" t="n">
        <x:v>701.5102860274</x:v>
      </x:c>
      <x:c r="D9481" s="13" t="str">
        <x:v>Retail</x:v>
      </x:c>
      <x:c r="E9481" s="13" t="str">
        <x:v>Retail</x:v>
      </x:c>
      <x:c r="F9481" s="13" t="str">
        <x:v>Early Cyclicals</x:v>
      </x:c>
      <x:c r="G9481" s="13" t="str">
        <x:v>Ibovespa_earnings_consolidated.xlsx</x:v>
      </x:c>
    </x:row>
    <x:row r="9482">
      <x:c r="A9482" s="15" t="n">
        <x:v>44621</x:v>
      </x:c>
      <x:c r="B9482" s="13" t="str">
        <x:v>AMERICANAS SA</x:v>
      </x:c>
      <x:c r="C9482" s="16" t="n">
        <x:v>412.4559022466</x:v>
      </x:c>
      <x:c r="D9482" s="13" t="str">
        <x:v>Retail</x:v>
      </x:c>
      <x:c r="E9482" s="13" t="str">
        <x:v>Retail</x:v>
      </x:c>
      <x:c r="F9482" s="13" t="str">
        <x:v>Early Cyclicals</x:v>
      </x:c>
      <x:c r="G9482" s="13" t="str">
        <x:v>Ibovespa_earnings_consolidated.xlsx</x:v>
      </x:c>
    </x:row>
    <x:row r="9483">
      <x:c r="A9483" s="15" t="n">
        <x:v>44621</x:v>
      </x:c>
      <x:c r="B9483" s="13" t="str">
        <x:v>ATACADAO SA</x:v>
      </x:c>
      <x:c r="C9483" s="16" t="n">
        <x:v>2602.4688604931</x:v>
      </x:c>
      <x:c r="D9483" s="13" t="str">
        <x:v>Retail</x:v>
      </x:c>
      <x:c r="E9483" s="13" t="str">
        <x:v>Retail</x:v>
      </x:c>
      <x:c r="F9483" s="13" t="str">
        <x:v>Early Cyclicals</x:v>
      </x:c>
      <x:c r="G9483" s="13" t="str">
        <x:v>Ibovespa_earnings_consolidated.xlsx</x:v>
      </x:c>
    </x:row>
    <x:row r="9484">
      <x:c r="A9484" s="15" t="n">
        <x:v>44621</x:v>
      </x:c>
      <x:c r="B9484" s="13" t="str">
        <x:v>CIA BRASILEIRA DE DISTRIBUIC</x:v>
      </x:c>
      <x:c r="C9484" s="16" t="n">
        <x:v>475.1585792877</x:v>
      </x:c>
      <x:c r="D9484" s="13" t="str">
        <x:v>Retail</x:v>
      </x:c>
      <x:c r="E9484" s="13" t="str">
        <x:v>Retail</x:v>
      </x:c>
      <x:c r="F9484" s="13" t="str">
        <x:v>Early Cyclicals</x:v>
      </x:c>
      <x:c r="G9484" s="13" t="str">
        <x:v>Ibovespa_earnings_consolidated.xlsx</x:v>
      </x:c>
    </x:row>
    <x:row r="9485">
      <x:c r="A9485" s="15" t="n">
        <x:v>44621</x:v>
      </x:c>
      <x:c r="B9485" s="13" t="str">
        <x:v>CVC BRASIL OPERADORA E AGENC</x:v>
      </x:c>
      <x:c r="C9485" s="16" t="n">
        <x:v>-66.9845972603</x:v>
      </x:c>
      <x:c r="D9485" s="13" t="str">
        <x:v>Retail</x:v>
      </x:c>
      <x:c r="E9485" s="13" t="str">
        <x:v>Retail</x:v>
      </x:c>
      <x:c r="F9485" s="13" t="str">
        <x:v>Early Cyclicals</x:v>
      </x:c>
      <x:c r="G9485" s="13" t="str">
        <x:v>Ibovespa_earnings_consolidated.xlsx</x:v>
      </x:c>
    </x:row>
    <x:row r="9486">
      <x:c r="A9486" s="15" t="n">
        <x:v>44621</x:v>
      </x:c>
      <x:c r="B9486" s="13" t="str">
        <x:v>GRUPO CASAS BAHIA SA</x:v>
      </x:c>
      <x:c r="C9486" s="16" t="n">
        <x:v>-384.6973123288</x:v>
      </x:c>
      <x:c r="D9486" s="13" t="str">
        <x:v>Retail</x:v>
      </x:c>
      <x:c r="E9486" s="13" t="str">
        <x:v>Retail</x:v>
      </x:c>
      <x:c r="F9486" s="13" t="str">
        <x:v>Early Cyclicals</x:v>
      </x:c>
      <x:c r="G9486" s="13" t="str">
        <x:v>Ibovespa_earnings_consolidated.xlsx</x:v>
      </x:c>
    </x:row>
    <x:row r="9487">
      <x:c r="A9487" s="15" t="n">
        <x:v>44621</x:v>
      </x:c>
      <x:c r="B9487" s="13" t="str">
        <x:v>GRUPO DE MODA SOMA SA</x:v>
      </x:c>
      <x:c r="C9487" s="16" t="n">
        <x:v>484.9965834521</x:v>
      </x:c>
      <x:c r="D9487" s="13" t="str">
        <x:v>Retail</x:v>
      </x:c>
      <x:c r="E9487" s="13" t="str">
        <x:v>Retail</x:v>
      </x:c>
      <x:c r="F9487" s="13" t="str">
        <x:v>Early Cyclicals</x:v>
      </x:c>
      <x:c r="G9487" s="13" t="str">
        <x:v>Ibovespa_earnings_consolidated.xlsx</x:v>
      </x:c>
    </x:row>
    <x:row r="9488">
      <x:c r="A9488" s="15" t="n">
        <x:v>44621</x:v>
      </x:c>
      <x:c r="B9488" s="13" t="str">
        <x:v>LOJAS RENNER S.A.</x:v>
      </x:c>
      <x:c r="C9488" s="16" t="n">
        <x:v>1254.9726509589</x:v>
      </x:c>
      <x:c r="D9488" s="13" t="str">
        <x:v>Retail</x:v>
      </x:c>
      <x:c r="E9488" s="13" t="str">
        <x:v>Retail</x:v>
      </x:c>
      <x:c r="F9488" s="13" t="str">
        <x:v>Early Cyclicals</x:v>
      </x:c>
      <x:c r="G9488" s="13" t="str">
        <x:v>Ibovespa_earnings_consolidated.xlsx</x:v>
      </x:c>
    </x:row>
    <x:row r="9489">
      <x:c r="A9489" s="15" t="n">
        <x:v>44621</x:v>
      </x:c>
      <x:c r="B9489" s="13" t="str">
        <x:v>MAGAZINE LUIZA SA</x:v>
      </x:c>
      <x:c r="C9489" s="16" t="n">
        <x:v>202.082902137</x:v>
      </x:c>
      <x:c r="D9489" s="13" t="str">
        <x:v>Retail</x:v>
      </x:c>
      <x:c r="E9489" s="13" t="str">
        <x:v>Retail</x:v>
      </x:c>
      <x:c r="F9489" s="13" t="str">
        <x:v>Early Cyclicals</x:v>
      </x:c>
      <x:c r="G9489" s="13" t="str">
        <x:v>Ibovespa_earnings_consolidated.xlsx</x:v>
      </x:c>
    </x:row>
    <x:row r="9490">
      <x:c r="A9490" s="15" t="n">
        <x:v>44621</x:v>
      </x:c>
      <x:c r="B9490" s="13" t="str">
        <x:v>NATURA &amp;CO HOLDING SA</x:v>
      </x:c>
      <x:c r="C9490" s="16" t="n">
        <x:v>1014.9654128219</x:v>
      </x:c>
      <x:c r="D9490" s="13" t="str">
        <x:v>Retail</x:v>
      </x:c>
      <x:c r="E9490" s="13" t="str">
        <x:v>Retail</x:v>
      </x:c>
      <x:c r="F9490" s="13" t="str">
        <x:v>Early Cyclicals</x:v>
      </x:c>
      <x:c r="G9490" s="13" t="str">
        <x:v>Ibovespa_earnings_consolidated.xlsx</x:v>
      </x:c>
    </x:row>
    <x:row r="9491">
      <x:c r="A9491" s="15" t="n">
        <x:v>44621</x:v>
      </x:c>
      <x:c r="B9491" s="13" t="str">
        <x:v>PET CENTER COMERCIO E PARTIC</x:v>
      </x:c>
      <x:c r="C9491" s="16" t="n">
        <x:v>163.2739726027</x:v>
      </x:c>
      <x:c r="D9491" s="13" t="str">
        <x:v>Retail</x:v>
      </x:c>
      <x:c r="E9491" s="13" t="str">
        <x:v>Retail</x:v>
      </x:c>
      <x:c r="F9491" s="13" t="str">
        <x:v>Early Cyclicals</x:v>
      </x:c>
      <x:c r="G9491" s="13" t="str">
        <x:v>Ibovespa_earnings_consolidated.xlsx</x:v>
      </x:c>
    </x:row>
    <x:row r="9492">
      <x:c r="A9492" s="15" t="n">
        <x:v>44621</x:v>
      </x:c>
      <x:c r="B9492" s="13" t="str">
        <x:v>RAIA DROGASIL SA</x:v>
      </x:c>
      <x:c r="C9492" s="16" t="n">
        <x:v>1049.7279333699</x:v>
      </x:c>
      <x:c r="D9492" s="13" t="str">
        <x:v>Retail</x:v>
      </x:c>
      <x:c r="E9492" s="13" t="str">
        <x:v>Retail</x:v>
      </x:c>
      <x:c r="F9492" s="13" t="str">
        <x:v>Early Cyclicals</x:v>
      </x:c>
      <x:c r="G9492" s="13" t="str">
        <x:v>Ibovespa_earnings_consolidated.xlsx</x:v>
      </x:c>
    </x:row>
    <x:row r="9493">
      <x:c r="A9493" s="15" t="n">
        <x:v>44621</x:v>
      </x:c>
      <x:c r="B9493" s="13" t="str">
        <x:v>SENDAS DISTRIBUIDORA SA</x:v>
      </x:c>
      <x:c r="C9493" s="16" t="n">
        <x:v>1183.8905757808</x:v>
      </x:c>
      <x:c r="D9493" s="13" t="str">
        <x:v>Retail</x:v>
      </x:c>
      <x:c r="E9493" s="13" t="str">
        <x:v>Retail</x:v>
      </x:c>
      <x:c r="F9493" s="13" t="str">
        <x:v>Early Cyclicals</x:v>
      </x:c>
      <x:c r="G9493" s="13" t="str">
        <x:v>Ibovespa_earnings_consolidated.xlsx</x:v>
      </x:c>
    </x:row>
    <x:row r="9494">
      <x:c r="A9494" s="15" t="n">
        <x:v>44621</x:v>
      </x:c>
      <x:c r="B9494" s="13" t="str">
        <x:v>CIA SANEAMENTO BASICO DE SP</x:v>
      </x:c>
      <x:c r="C9494" s="16" t="n">
        <x:v>3088.9096661918</x:v>
      </x:c>
      <x:c r="D9494" s="13" t="str">
        <x:v>Sanitation</x:v>
      </x:c>
      <x:c r="E9494" s="13" t="str">
        <x:v>Utilities</x:v>
      </x:c>
      <x:c r="F9494" s="13" t="str">
        <x:v>Defensives</x:v>
      </x:c>
      <x:c r="G9494" s="13" t="str">
        <x:v>Ibovespa_earnings_consolidated.xlsx</x:v>
      </x:c>
    </x:row>
    <x:row r="9495">
      <x:c r="A9495" s="15" t="n">
        <x:v>44621</x:v>
      </x:c>
      <x:c r="B9495" s="13" t="str">
        <x:v>LWSA SA</x:v>
      </x:c>
      <x:c r="C9495" s="16" t="n">
        <x:v>117.2186966575</x:v>
      </x:c>
      <x:c r="D9495" s="13" t="str">
        <x:v>TMT</x:v>
      </x:c>
      <x:c r="E9495" s="13" t="str">
        <x:v>TMT</x:v>
      </x:c>
      <x:c r="F9495" s="13" t="str">
        <x:v>Early Cyclicals</x:v>
      </x:c>
      <x:c r="G9495" s="13" t="str">
        <x:v>Ibovespa_earnings_consolidated.xlsx</x:v>
      </x:c>
    </x:row>
    <x:row r="9496">
      <x:c r="A9496" s="15" t="n">
        <x:v>44621</x:v>
      </x:c>
      <x:c r="B9496" s="13" t="str">
        <x:v>POSITIVO TECNOLOGIA SA</x:v>
      </x:c>
      <x:c r="C9496" s="16" t="n">
        <x:v>176.8082191781</x:v>
      </x:c>
      <x:c r="D9496" s="13" t="str">
        <x:v>TMT</x:v>
      </x:c>
      <x:c r="E9496" s="13" t="str">
        <x:v>TMT</x:v>
      </x:c>
      <x:c r="F9496" s="13" t="str">
        <x:v>Early Cyclicals</x:v>
      </x:c>
      <x:c r="G9496" s="13" t="str">
        <x:v>Ibovespa_earnings_consolidated.xlsx</x:v>
      </x:c>
    </x:row>
    <x:row r="9497">
      <x:c r="A9497" s="15" t="n">
        <x:v>44621</x:v>
      </x:c>
      <x:c r="B9497" s="13" t="str">
        <x:v>TIM SA</x:v>
      </x:c>
      <x:c r="C9497" s="16" t="n">
        <x:v>2656.4768087671</x:v>
      </x:c>
      <x:c r="D9497" s="13" t="str">
        <x:v>TMT</x:v>
      </x:c>
      <x:c r="E9497" s="13" t="str">
        <x:v>TMT</x:v>
      </x:c>
      <x:c r="F9497" s="13" t="str">
        <x:v>Early Cyclicals</x:v>
      </x:c>
      <x:c r="G9497" s="13" t="str">
        <x:v>Ibovespa_earnings_consolidated.xlsx</x:v>
      </x:c>
    </x:row>
    <x:row r="9498">
      <x:c r="A9498" s="15" t="n">
        <x:v>44621</x:v>
      </x:c>
      <x:c r="B9498" s="13" t="str">
        <x:v>TOTVS SA</x:v>
      </x:c>
      <x:c r="C9498" s="16" t="n">
        <x:v>572.2195129863</x:v>
      </x:c>
      <x:c r="D9498" s="13" t="str">
        <x:v>TMT</x:v>
      </x:c>
      <x:c r="E9498" s="13" t="str">
        <x:v>TMT</x:v>
      </x:c>
      <x:c r="F9498" s="13" t="str">
        <x:v>Early Cyclicals</x:v>
      </x:c>
      <x:c r="G9498" s="13" t="str">
        <x:v>Ibovespa_earnings_consolidated.xlsx</x:v>
      </x:c>
    </x:row>
    <x:row r="9499">
      <x:c r="A9499" s="15" t="n">
        <x:v>44621</x:v>
      </x:c>
      <x:c r="B9499" s="13" t="str">
        <x:v>AZUL SA</x:v>
      </x:c>
      <x:c r="C9499" s="16" t="n">
        <x:v>-901.7325364384</x:v>
      </x:c>
      <x:c r="D9499" s="13" t="str">
        <x:v>Transportation</x:v>
      </x:c>
      <x:c r="E9499" s="13" t="str">
        <x:v>Transportation</x:v>
      </x:c>
      <x:c r="F9499" s="13" t="str">
        <x:v>Deep Cyclicals</x:v>
      </x:c>
      <x:c r="G9499" s="13" t="str">
        <x:v>Ibovespa_earnings_consolidated.xlsx</x:v>
      </x:c>
    </x:row>
    <x:row r="9500">
      <x:c r="A9500" s="15" t="n">
        <x:v>44621</x:v>
      </x:c>
      <x:c r="B9500" s="13" t="str">
        <x:v>CIA DE LOCACAO DAS AMERICAS</x:v>
      </x:c>
      <x:c r="C9500" s="16" t="n">
        <x:v>1104.183448548</x:v>
      </x:c>
      <x:c r="D9500" s="13" t="str">
        <x:v>Transportation</x:v>
      </x:c>
      <x:c r="E9500" s="13" t="str">
        <x:v>Transportation</x:v>
      </x:c>
      <x:c r="F9500" s="13" t="str">
        <x:v>Deep Cyclicals</x:v>
      </x:c>
      <x:c r="G9500" s="13" t="str">
        <x:v>Ibovespa_earnings_consolidated.xlsx</x:v>
      </x:c>
    </x:row>
    <x:row r="9501">
      <x:c r="A9501" s="15" t="n">
        <x:v>44621</x:v>
      </x:c>
      <x:c r="B9501" s="13" t="str">
        <x:v>ECORODOVIAS INFRA E LOG SA</x:v>
      </x:c>
      <x:c r="C9501" s="16" t="n">
        <x:v>202.8674069041</x:v>
      </x:c>
      <x:c r="D9501" s="13" t="str">
        <x:v>Transportation</x:v>
      </x:c>
      <x:c r="E9501" s="13" t="str">
        <x:v>Transportation</x:v>
      </x:c>
      <x:c r="F9501" s="13" t="str">
        <x:v>Deep Cyclicals</x:v>
      </x:c>
      <x:c r="G9501" s="13" t="str">
        <x:v>Ibovespa_earnings_consolidated.xlsx</x:v>
      </x:c>
    </x:row>
    <x:row r="9502">
      <x:c r="A9502" s="15" t="n">
        <x:v>44621</x:v>
      </x:c>
      <x:c r="B9502" s="13" t="str">
        <x:v>GOL LINHAS AEREAS INT SA-PRE</x:v>
      </x:c>
      <x:c r="C9502" s="16" t="n">
        <x:v>-361.9016451507</x:v>
      </x:c>
      <x:c r="D9502" s="13" t="str">
        <x:v>Transportation</x:v>
      </x:c>
      <x:c r="E9502" s="13" t="str">
        <x:v>Transportation</x:v>
      </x:c>
      <x:c r="F9502" s="13" t="str">
        <x:v>Deep Cyclicals</x:v>
      </x:c>
      <x:c r="G9502" s="13" t="str">
        <x:v>Ibovespa_earnings_consolidated.xlsx</x:v>
      </x:c>
    </x:row>
    <x:row r="9503">
      <x:c r="A9503" s="15" t="n">
        <x:v>44621</x:v>
      </x:c>
      <x:c r="B9503" s="13" t="str">
        <x:v>LOCALIZA RENT A CAR</x:v>
      </x:c>
      <x:c r="C9503" s="16" t="n">
        <x:v>2089.448493589</x:v>
      </x:c>
      <x:c r="D9503" s="13" t="str">
        <x:v>Transportation</x:v>
      </x:c>
      <x:c r="E9503" s="13" t="str">
        <x:v>Transportation</x:v>
      </x:c>
      <x:c r="F9503" s="13" t="str">
        <x:v>Deep Cyclicals</x:v>
      </x:c>
      <x:c r="G9503" s="13" t="str">
        <x:v>Ibovespa_earnings_consolidated.xlsx</x:v>
      </x:c>
    </x:row>
    <x:row r="9504">
      <x:c r="A9504" s="15" t="n">
        <x:v>44621</x:v>
      </x:c>
      <x:c r="B9504" s="13" t="str">
        <x:v>MOTIVA INFRAESTRUTURA DE MOB</x:v>
      </x:c>
      <x:c r="C9504" s="16" t="n">
        <x:v>1072.116434411</x:v>
      </x:c>
      <x:c r="D9504" s="13" t="str">
        <x:v>Transportation</x:v>
      </x:c>
      <x:c r="E9504" s="13" t="str">
        <x:v>Transportation</x:v>
      </x:c>
      <x:c r="F9504" s="13" t="str">
        <x:v>Deep Cyclicals</x:v>
      </x:c>
      <x:c r="G9504" s="13" t="str">
        <x:v>Ibovespa_earnings_consolidated.xlsx</x:v>
      </x:c>
    </x:row>
    <x:row r="9505">
      <x:c r="A9505" s="15" t="n">
        <x:v>44621</x:v>
      </x:c>
      <x:c r="B9505" s="13" t="str">
        <x:v>RUMO SA</x:v>
      </x:c>
      <x:c r="C9505" s="16" t="n">
        <x:v>816.5548028493</x:v>
      </x:c>
      <x:c r="D9505" s="13" t="str">
        <x:v>Transportation</x:v>
      </x:c>
      <x:c r="E9505" s="13" t="str">
        <x:v>Transportation</x:v>
      </x:c>
      <x:c r="F9505" s="13" t="str">
        <x:v>Deep Cyclicals</x:v>
      </x:c>
      <x:c r="G9505" s="13" t="str">
        <x:v>Ibovespa_earnings_consolidated.xlsx</x:v>
      </x:c>
    </x:row>
    <x:row r="9506">
      <x:c r="A9506" s="15" t="n">
        <x:v>44621</x:v>
      </x:c>
      <x:c r="B9506" s="13" t="str">
        <x:v>AXIA ENERGIA SA</x:v>
      </x:c>
      <x:c r="C9506" s="16" t="n">
        <x:v>8502.6403524384</x:v>
      </x:c>
      <x:c r="D9506" s="13" t="str">
        <x:v>Utilities &amp; Energy</x:v>
      </x:c>
      <x:c r="E9506" s="13" t="str">
        <x:v>Utilities</x:v>
      </x:c>
      <x:c r="F9506" s="13" t="str">
        <x:v>Defensives</x:v>
      </x:c>
      <x:c r="G9506" s="13" t="str">
        <x:v>Ibovespa_earnings_consolidated.xlsx</x:v>
      </x:c>
    </x:row>
    <x:row r="9507">
      <x:c r="A9507" s="15" t="n">
        <x:v>44621</x:v>
      </x:c>
      <x:c r="B9507" s="13" t="str">
        <x:v>AXIA ENERGIA-PR B</x:v>
      </x:c>
      <x:c r="C9507" s="16" t="n">
        <x:v>8502.6403524384</x:v>
      </x:c>
      <x:c r="D9507" s="13" t="str">
        <x:v>Utilities &amp; Energy</x:v>
      </x:c>
      <x:c r="E9507" s="13" t="str">
        <x:v>Utilities</x:v>
      </x:c>
      <x:c r="F9507" s="13" t="str">
        <x:v>Defensives</x:v>
      </x:c>
      <x:c r="G9507" s="13" t="str">
        <x:v>Ibovespa_earnings_consolidated.xlsx</x:v>
      </x:c>
    </x:row>
    <x:row r="9508">
      <x:c r="A9508" s="15" t="n">
        <x:v>44621</x:v>
      </x:c>
      <x:c r="B9508" s="13" t="str">
        <x:v>CIA ENERGETICA MINAS GER-PRF</x:v>
      </x:c>
      <x:c r="C9508" s="16" t="n">
        <x:v>3224.7512688219</x:v>
      </x:c>
      <x:c r="D9508" s="13" t="str">
        <x:v>Utilities &amp; Energy</x:v>
      </x:c>
      <x:c r="E9508" s="13" t="str">
        <x:v>Utilities</x:v>
      </x:c>
      <x:c r="F9508" s="13" t="str">
        <x:v>Defensives</x:v>
      </x:c>
      <x:c r="G9508" s="13" t="str">
        <x:v>Ibovespa_earnings_consolidated.xlsx</x:v>
      </x:c>
    </x:row>
    <x:row r="9509">
      <x:c r="A9509" s="15" t="n">
        <x:v>44621</x:v>
      </x:c>
      <x:c r="B9509" s="13" t="str">
        <x:v>COMPANHIA PARANAENSE -PREF B</x:v>
      </x:c>
      <x:c r="C9509" s="16" t="n">
        <x:v>2537.9798549041</x:v>
      </x:c>
      <x:c r="D9509" s="13" t="str">
        <x:v>Utilities &amp; Energy</x:v>
      </x:c>
      <x:c r="E9509" s="13" t="str">
        <x:v>Utilities</x:v>
      </x:c>
      <x:c r="F9509" s="13" t="str">
        <x:v>Defensives</x:v>
      </x:c>
      <x:c r="G9509" s="13" t="str">
        <x:v>Ibovespa_earnings_consolidated.xlsx</x:v>
      </x:c>
    </x:row>
    <x:row r="9510">
      <x:c r="A9510" s="15" t="n">
        <x:v>44621</x:v>
      </x:c>
      <x:c r="B9510" s="13" t="str">
        <x:v>CPFL ENERGIA SA</x:v>
      </x:c>
      <x:c r="C9510" s="16" t="n">
        <x:v>4523.9380164384</x:v>
      </x:c>
      <x:c r="D9510" s="13" t="str">
        <x:v>Utilities &amp; Energy</x:v>
      </x:c>
      <x:c r="E9510" s="13" t="str">
        <x:v>Utilities</x:v>
      </x:c>
      <x:c r="F9510" s="13" t="str">
        <x:v>Defensives</x:v>
      </x:c>
      <x:c r="G9510" s="13" t="str">
        <x:v>Ibovespa_earnings_consolidated.xlsx</x:v>
      </x:c>
    </x:row>
    <x:row r="9511">
      <x:c r="A9511" s="15" t="n">
        <x:v>44621</x:v>
      </x:c>
      <x:c r="B9511" s="13" t="str">
        <x:v>EDP - ENERGIAS DO BRASIL SA</x:v>
      </x:c>
      <x:c r="C9511" s="16" t="n">
        <x:v>1659.8630136986</x:v>
      </x:c>
      <x:c r="D9511" s="13" t="str">
        <x:v>Utilities &amp; Energy</x:v>
      </x:c>
      <x:c r="E9511" s="13" t="str">
        <x:v>Utilities</x:v>
      </x:c>
      <x:c r="F9511" s="13" t="str">
        <x:v>Defensives</x:v>
      </x:c>
      <x:c r="G9511" s="13" t="str">
        <x:v>Ibovespa_earnings_consolidated.xlsx</x:v>
      </x:c>
    </x:row>
    <x:row r="9512">
      <x:c r="A9512" s="15" t="n">
        <x:v>44621</x:v>
      </x:c>
      <x:c r="B9512" s="13" t="str">
        <x:v>ENERGISA SA-UNITS</x:v>
      </x:c>
      <x:c r="C9512" s="16" t="n">
        <x:v>1806.8982233425</x:v>
      </x:c>
      <x:c r="D9512" s="13" t="str">
        <x:v>Utilities &amp; Energy</x:v>
      </x:c>
      <x:c r="E9512" s="13" t="str">
        <x:v>Utilities</x:v>
      </x:c>
      <x:c r="F9512" s="13" t="str">
        <x:v>Defensives</x:v>
      </x:c>
      <x:c r="G9512" s="13" t="str">
        <x:v>Ibovespa_earnings_consolidated.xlsx</x:v>
      </x:c>
    </x:row>
    <x:row r="9513">
      <x:c r="A9513" s="15" t="n">
        <x:v>44621</x:v>
      </x:c>
      <x:c r="B9513" s="13" t="str">
        <x:v>ENEVA SA</x:v>
      </x:c>
      <x:c r="C9513" s="16" t="n">
        <x:v>1105.7115186849</x:v>
      </x:c>
      <x:c r="D9513" s="13" t="str">
        <x:v>Utilities &amp; Energy</x:v>
      </x:c>
      <x:c r="E9513" s="13" t="str">
        <x:v>Utilities</x:v>
      </x:c>
      <x:c r="F9513" s="13" t="str">
        <x:v>Defensives</x:v>
      </x:c>
      <x:c r="G9513" s="13" t="str">
        <x:v>Ibovespa_earnings_consolidated.xlsx</x:v>
      </x:c>
    </x:row>
    <x:row r="9514">
      <x:c r="A9514" s="15" t="n">
        <x:v>44621</x:v>
      </x:c>
      <x:c r="B9514" s="13" t="str">
        <x:v>ENGIE BRASIL ENERGIA SA</x:v>
      </x:c>
      <x:c r="C9514" s="16" t="n">
        <x:v>3174.6196374794</x:v>
      </x:c>
      <x:c r="D9514" s="13" t="str">
        <x:v>Utilities &amp; Energy</x:v>
      </x:c>
      <x:c r="E9514" s="13" t="str">
        <x:v>Utilities</x:v>
      </x:c>
      <x:c r="F9514" s="13" t="str">
        <x:v>Defensives</x:v>
      </x:c>
      <x:c r="G9514" s="13" t="str">
        <x:v>Ibovespa_earnings_consolidated.xlsx</x:v>
      </x:c>
    </x:row>
    <x:row r="9515">
      <x:c r="A9515" s="15" t="n">
        <x:v>44621</x:v>
      </x:c>
      <x:c r="B9515" s="13" t="str">
        <x:v>EQUATORIAL SA - ORD</x:v>
      </x:c>
      <x:c r="C9515" s="16" t="n">
        <x:v>2594.0393871781</x:v>
      </x:c>
      <x:c r="D9515" s="13" t="str">
        <x:v>Utilities &amp; Energy</x:v>
      </x:c>
      <x:c r="E9515" s="13" t="str">
        <x:v>Utilities</x:v>
      </x:c>
      <x:c r="F9515" s="13" t="str">
        <x:v>Defensives</x:v>
      </x:c>
      <x:c r="G9515" s="13" t="str">
        <x:v>Ibovespa_earnings_consolidated.xlsx</x:v>
      </x:c>
    </x:row>
    <x:row r="9516">
      <x:c r="A9516" s="15" t="n">
        <x:v>44621</x:v>
      </x:c>
      <x:c r="B9516" s="13" t="str">
        <x:v>TRANSMISSORA ALIANCA DE-UNIT</x:v>
      </x:c>
      <x:c r="C9516" s="16" t="n">
        <x:v>1453.9726588493</x:v>
      </x:c>
      <x:c r="D9516" s="13" t="str">
        <x:v>Utilities &amp; Energy</x:v>
      </x:c>
      <x:c r="E9516" s="13" t="str">
        <x:v>Utilities</x:v>
      </x:c>
      <x:c r="F9516" s="13" t="str">
        <x:v>Defensives</x:v>
      </x:c>
      <x:c r="G9516" s="13" t="str">
        <x:v>Ibovespa_earnings_consolidated.xlsx</x:v>
      </x:c>
    </x:row>
    <x:row r="9517">
      <x:c r="A9517" s="15" t="n">
        <x:v>44652</x:v>
      </x:c>
      <x:c r="B9517" s="13" t="str">
        <x:v>BANCO BRADESCO S.A.</x:v>
      </x:c>
      <x:c r="C9517" s="16" t="n">
        <x:v>29123.8680435726</x:v>
      </x:c>
      <x:c r="D9517" s="13" t="str">
        <x:v>Banks</x:v>
      </x:c>
      <x:c r="E9517" s="13" t="str">
        <x:v>Banks</x:v>
      </x:c>
      <x:c r="F9517" s="13" t="str">
        <x:v>Financials</x:v>
      </x:c>
      <x:c r="G9517" s="13" t="str">
        <x:v>Ibovespa_earnings_consolidated.xlsx</x:v>
      </x:c>
    </x:row>
    <x:row r="9518">
      <x:c r="A9518" s="15" t="n">
        <x:v>44652</x:v>
      </x:c>
      <x:c r="B9518" s="13" t="str">
        <x:v>BANCO BRADESCO SA-PREF</x:v>
      </x:c>
      <x:c r="C9518" s="16" t="n">
        <x:v>29123.8680435726</x:v>
      </x:c>
      <x:c r="D9518" s="13" t="str">
        <x:v>Banks</x:v>
      </x:c>
      <x:c r="E9518" s="13" t="str">
        <x:v>Banks</x:v>
      </x:c>
      <x:c r="F9518" s="13" t="str">
        <x:v>Financials</x:v>
      </x:c>
      <x:c r="G9518" s="13" t="str">
        <x:v>Ibovespa_earnings_consolidated.xlsx</x:v>
      </x:c>
    </x:row>
    <x:row r="9519">
      <x:c r="A9519" s="15" t="n">
        <x:v>44652</x:v>
      </x:c>
      <x:c r="B9519" s="13" t="str">
        <x:v>BANCO BTG PACTUAL SA-UNIT</x:v>
      </x:c>
      <x:c r="C9519" s="16" t="n">
        <x:v>7887.3308608877</x:v>
      </x:c>
      <x:c r="D9519" s="13" t="str">
        <x:v>Banks</x:v>
      </x:c>
      <x:c r="E9519" s="13" t="str">
        <x:v>Banks</x:v>
      </x:c>
      <x:c r="F9519" s="13" t="str">
        <x:v>Financials</x:v>
      </x:c>
      <x:c r="G9519" s="13" t="str">
        <x:v>Ibovespa_earnings_consolidated.xlsx</x:v>
      </x:c>
    </x:row>
    <x:row r="9520">
      <x:c r="A9520" s="15" t="n">
        <x:v>44652</x:v>
      </x:c>
      <x:c r="B9520" s="13" t="str">
        <x:v>BANCO DO BRASIL S.A.</x:v>
      </x:c>
      <x:c r="C9520" s="16" t="n">
        <x:v>23800.3533515397</x:v>
      </x:c>
      <x:c r="D9520" s="13" t="str">
        <x:v>Banks</x:v>
      </x:c>
      <x:c r="E9520" s="13" t="str">
        <x:v>Banks</x:v>
      </x:c>
      <x:c r="F9520" s="13" t="str">
        <x:v>Financials</x:v>
      </x:c>
      <x:c r="G9520" s="13" t="str">
        <x:v>Ibovespa_earnings_consolidated.xlsx</x:v>
      </x:c>
    </x:row>
    <x:row r="9521">
      <x:c r="A9521" s="15" t="n">
        <x:v>44652</x:v>
      </x:c>
      <x:c r="B9521" s="13" t="str">
        <x:v>BANCO INTER SA</x:v>
      </x:c>
      <x:c r="C9521" s="16" t="n">
        <x:v>348.6964436164</x:v>
      </x:c>
      <x:c r="D9521" s="13" t="str">
        <x:v>Banks</x:v>
      </x:c>
      <x:c r="E9521" s="13" t="str">
        <x:v>Banks</x:v>
      </x:c>
      <x:c r="F9521" s="13" t="str">
        <x:v>Financials</x:v>
      </x:c>
      <x:c r="G9521" s="13" t="str">
        <x:v>Ibovespa_earnings_consolidated.xlsx</x:v>
      </x:c>
    </x:row>
    <x:row r="9522">
      <x:c r="A9522" s="15" t="n">
        <x:v>44652</x:v>
      </x:c>
      <x:c r="B9522" s="13" t="str">
        <x:v>BANCO PAN SA</x:v>
      </x:c>
      <x:c r="C9522" s="16" t="n">
        <x:v>965.1346414466</x:v>
      </x:c>
      <x:c r="D9522" s="13" t="str">
        <x:v>Banks</x:v>
      </x:c>
      <x:c r="E9522" s="13" t="str">
        <x:v>Banks</x:v>
      </x:c>
      <x:c r="F9522" s="13" t="str">
        <x:v>Financials</x:v>
      </x:c>
      <x:c r="G9522" s="13" t="str">
        <x:v>Ibovespa_earnings_consolidated.xlsx</x:v>
      </x:c>
    </x:row>
    <x:row r="9523">
      <x:c r="A9523" s="15" t="n">
        <x:v>44652</x:v>
      </x:c>
      <x:c r="B9523" s="13" t="str">
        <x:v>BANCO SANTANDER  BRASIL-UNIT</x:v>
      </x:c>
      <x:c r="C9523" s="16" t="n">
        <x:v>17463.9996759671</x:v>
      </x:c>
      <x:c r="D9523" s="13" t="str">
        <x:v>Banks</x:v>
      </x:c>
      <x:c r="E9523" s="13" t="str">
        <x:v>Banks</x:v>
      </x:c>
      <x:c r="F9523" s="13" t="str">
        <x:v>Financials</x:v>
      </x:c>
      <x:c r="G9523" s="13" t="str">
        <x:v>Ibovespa_earnings_consolidated.xlsx</x:v>
      </x:c>
    </x:row>
    <x:row r="9524">
      <x:c r="A9524" s="15" t="n">
        <x:v>44652</x:v>
      </x:c>
      <x:c r="B9524" s="13" t="str">
        <x:v>ITAU UNIBANCO HOLDING S-PREF</x:v>
      </x:c>
      <x:c r="C9524" s="16" t="n">
        <x:v>31036.9900628164</x:v>
      </x:c>
      <x:c r="D9524" s="13" t="str">
        <x:v>Banks</x:v>
      </x:c>
      <x:c r="E9524" s="13" t="str">
        <x:v>Banks</x:v>
      </x:c>
      <x:c r="F9524" s="13" t="str">
        <x:v>Financials</x:v>
      </x:c>
      <x:c r="G9524" s="13" t="str">
        <x:v>Ibovespa_earnings_consolidated.xlsx</x:v>
      </x:c>
    </x:row>
    <x:row r="9525">
      <x:c r="A9525" s="15" t="n">
        <x:v>44652</x:v>
      </x:c>
      <x:c r="B9525" s="13" t="str">
        <x:v>EMBRAER SA</x:v>
      </x:c>
      <x:c r="C9525" s="16" t="n">
        <x:v>278.8772767123</x:v>
      </x:c>
      <x:c r="D9525" s="13" t="str">
        <x:v>Capital Goods</x:v>
      </x:c>
      <x:c r="E9525" s="13" t="str">
        <x:v>Capital Goods</x:v>
      </x:c>
      <x:c r="F9525" s="13" t="str">
        <x:v>Deep Cyclicals</x:v>
      </x:c>
      <x:c r="G9525" s="13" t="str">
        <x:v>Ibovespa_earnings_consolidated.xlsx</x:v>
      </x:c>
    </x:row>
    <x:row r="9526">
      <x:c r="A9526" s="15" t="n">
        <x:v>44652</x:v>
      </x:c>
      <x:c r="B9526" s="13" t="str">
        <x:v>WEG SA</x:v>
      </x:c>
      <x:c r="C9526" s="16" t="n">
        <x:v>3756.019935737</x:v>
      </x:c>
      <x:c r="D9526" s="13" t="str">
        <x:v>Capital Goods</x:v>
      </x:c>
      <x:c r="E9526" s="13" t="str">
        <x:v>Capital Goods</x:v>
      </x:c>
      <x:c r="F9526" s="13" t="str">
        <x:v>Deep Cyclicals</x:v>
      </x:c>
      <x:c r="G9526" s="13" t="str">
        <x:v>Ibovespa_earnings_consolidated.xlsx</x:v>
      </x:c>
    </x:row>
    <x:row r="9527">
      <x:c r="A9527" s="15" t="n">
        <x:v>44652</x:v>
      </x:c>
      <x:c r="B9527" s="13" t="str">
        <x:v>COGNA EDUCACAO</x:v>
      </x:c>
      <x:c r="C9527" s="16" t="n">
        <x:v>-244.0962118685</x:v>
      </x:c>
      <x:c r="D9527" s="13" t="str">
        <x:v>Education</x:v>
      </x:c>
      <x:c r="E9527" s="13" t="str">
        <x:v>Education</x:v>
      </x:c>
      <x:c r="F9527" s="13" t="str">
        <x:v>Early Cyclicals</x:v>
      </x:c>
      <x:c r="G9527" s="13" t="str">
        <x:v>Ibovespa_earnings_consolidated.xlsx</x:v>
      </x:c>
    </x:row>
    <x:row r="9528">
      <x:c r="A9528" s="15" t="n">
        <x:v>44652</x:v>
      </x:c>
      <x:c r="B9528" s="13" t="str">
        <x:v>YDUQS PARTICIPACOES SA</x:v>
      </x:c>
      <x:c r="C9528" s="16" t="n">
        <x:v>400.1211348164</x:v>
      </x:c>
      <x:c r="D9528" s="13" t="str">
        <x:v>Education</x:v>
      </x:c>
      <x:c r="E9528" s="13" t="str">
        <x:v>Education</x:v>
      </x:c>
      <x:c r="F9528" s="13" t="str">
        <x:v>Early Cyclicals</x:v>
      </x:c>
      <x:c r="G9528" s="13" t="str">
        <x:v>Ibovespa_earnings_consolidated.xlsx</x:v>
      </x:c>
    </x:row>
    <x:row r="9529">
      <x:c r="A9529" s="15" t="n">
        <x:v>44652</x:v>
      </x:c>
      <x:c r="B9529" s="13" t="str">
        <x:v>B3 SA-BRASIL BOLSA BALCAO</x:v>
      </x:c>
      <x:c r="C9529" s="16" t="n">
        <x:v>5221.7469909918</x:v>
      </x:c>
      <x:c r="D9529" s="13" t="str">
        <x:v>Financials Non-Banks</x:v>
      </x:c>
      <x:c r="E9529" s="13" t="str">
        <x:v>Financials Non-Banks</x:v>
      </x:c>
      <x:c r="F9529" s="13" t="str">
        <x:v>Financials</x:v>
      </x:c>
      <x:c r="G9529" s="13" t="str">
        <x:v>Ibovespa_earnings_consolidated.xlsx</x:v>
      </x:c>
    </x:row>
    <x:row r="9530">
      <x:c r="A9530" s="15" t="n">
        <x:v>44652</x:v>
      </x:c>
      <x:c r="B9530" s="13" t="str">
        <x:v>BB SEGURIDADE PARTICIPACOES</x:v>
      </x:c>
      <x:c r="C9530" s="16" t="n">
        <x:v>5229.8351826411</x:v>
      </x:c>
      <x:c r="D9530" s="13" t="str">
        <x:v>Financials Non-Banks</x:v>
      </x:c>
      <x:c r="E9530" s="13" t="str">
        <x:v>Financials Non-Banks</x:v>
      </x:c>
      <x:c r="F9530" s="13" t="str">
        <x:v>Financials</x:v>
      </x:c>
      <x:c r="G9530" s="13" t="str">
        <x:v>Ibovespa_earnings_consolidated.xlsx</x:v>
      </x:c>
    </x:row>
    <x:row r="9531">
      <x:c r="A9531" s="15" t="n">
        <x:v>44652</x:v>
      </x:c>
      <x:c r="B9531" s="13" t="str">
        <x:v>CIELO SA</x:v>
      </x:c>
      <x:c r="C9531" s="16" t="n">
        <x:v>936.0495395068</x:v>
      </x:c>
      <x:c r="D9531" s="13" t="str">
        <x:v>Financials Non-Banks</x:v>
      </x:c>
      <x:c r="E9531" s="13" t="str">
        <x:v>Financials Non-Banks</x:v>
      </x:c>
      <x:c r="F9531" s="13" t="str">
        <x:v>Financials</x:v>
      </x:c>
      <x:c r="G9531" s="13" t="str">
        <x:v>Ibovespa_earnings_consolidated.xlsx</x:v>
      </x:c>
    </x:row>
    <x:row r="9532">
      <x:c r="A9532" s="15" t="n">
        <x:v>44652</x:v>
      </x:c>
      <x:c r="B9532" s="13" t="str">
        <x:v>CIELO SA - INSTITUICAO DE PA</x:v>
      </x:c>
      <x:c r="C9532" s="16" t="n">
        <x:v>936.0495395068</x:v>
      </x:c>
      <x:c r="D9532" s="13" t="str">
        <x:v>Financials Non-Banks</x:v>
      </x:c>
      <x:c r="E9532" s="13" t="str">
        <x:v>Financials Non-Banks</x:v>
      </x:c>
      <x:c r="F9532" s="13" t="str">
        <x:v>Financials</x:v>
      </x:c>
      <x:c r="G9532" s="13" t="str">
        <x:v>grid_wbaxp5t0.xlsx</x:v>
      </x:c>
    </x:row>
    <x:row r="9533">
      <x:c r="A9533" s="15" t="n">
        <x:v>44652</x:v>
      </x:c>
      <x:c r="B9533" s="13" t="str">
        <x:v>IRB BRASIL RESSEGUROS SA</x:v>
      </x:c>
      <x:c r="C9533" s="16" t="n">
        <x:v>321.7693973041</x:v>
      </x:c>
      <x:c r="D9533" s="13" t="str">
        <x:v>Financials Non-Banks</x:v>
      </x:c>
      <x:c r="E9533" s="13" t="str">
        <x:v>Financials Non-Banks</x:v>
      </x:c>
      <x:c r="F9533" s="13" t="str">
        <x:v>Financials</x:v>
      </x:c>
      <x:c r="G9533" s="13" t="str">
        <x:v>Ibovespa_earnings_consolidated.xlsx</x:v>
      </x:c>
    </x:row>
    <x:row r="9534">
      <x:c r="A9534" s="15" t="n">
        <x:v>44652</x:v>
      </x:c>
      <x:c r="B9534" s="13" t="str">
        <x:v>ITAUSA SA</x:v>
      </x:c>
      <x:c r="C9534" s="16" t="n">
        <x:v>12249.4892873644</x:v>
      </x:c>
      <x:c r="D9534" s="13" t="str">
        <x:v>Financials Non-Banks</x:v>
      </x:c>
      <x:c r="E9534" s="13" t="str">
        <x:v>Financials Non-Banks</x:v>
      </x:c>
      <x:c r="F9534" s="13" t="str">
        <x:v>Financials</x:v>
      </x:c>
      <x:c r="G9534" s="13" t="str">
        <x:v>Ibovespa_earnings_consolidated.xlsx</x:v>
      </x:c>
    </x:row>
    <x:row r="9535">
      <x:c r="A9535" s="15" t="n">
        <x:v>44652</x:v>
      </x:c>
      <x:c r="B9535" s="13" t="str">
        <x:v>MELIUZ SA - ON</x:v>
      </x:c>
      <x:c r="C9535" s="16" t="n">
        <x:v>5.2571753425</x:v>
      </x:c>
      <x:c r="D9535" s="13" t="str">
        <x:v>Financials Non-Banks</x:v>
      </x:c>
      <x:c r="E9535" s="13" t="str">
        <x:v>Financials Non-Banks</x:v>
      </x:c>
      <x:c r="F9535" s="13" t="str">
        <x:v>Financials</x:v>
      </x:c>
      <x:c r="G9535" s="13" t="str">
        <x:v>Ibovespa_earnings_consolidated.xlsx</x:v>
      </x:c>
    </x:row>
    <x:row r="9536">
      <x:c r="A9536" s="15" t="n">
        <x:v>44652</x:v>
      </x:c>
      <x:c r="B9536" s="13" t="str">
        <x:v>AMBEV SA</x:v>
      </x:c>
      <x:c r="C9536" s="16" t="n">
        <x:v>12733.6893678466</x:v>
      </x:c>
      <x:c r="D9536" s="13" t="str">
        <x:v>Food &amp; Beverages</x:v>
      </x:c>
      <x:c r="E9536" s="13" t="str">
        <x:v>Agri, Food &amp; Beverages</x:v>
      </x:c>
      <x:c r="F9536" s="13" t="str">
        <x:v>Defensives</x:v>
      </x:c>
      <x:c r="G9536" s="13" t="str">
        <x:v>Ibovespa_earnings_consolidated.xlsx</x:v>
      </x:c>
    </x:row>
    <x:row r="9537">
      <x:c r="A9537" s="15" t="n">
        <x:v>44652</x:v>
      </x:c>
      <x:c r="B9537" s="13" t="str">
        <x:v>BRF SA</x:v>
      </x:c>
      <x:c r="C9537" s="16" t="n">
        <x:v>983.0810403068</x:v>
      </x:c>
      <x:c r="D9537" s="13" t="str">
        <x:v>Food &amp; Beverages</x:v>
      </x:c>
      <x:c r="E9537" s="13" t="str">
        <x:v>Agri, Food &amp; Beverages</x:v>
      </x:c>
      <x:c r="F9537" s="13" t="str">
        <x:v>Defensives</x:v>
      </x:c>
      <x:c r="G9537" s="13" t="str">
        <x:v>Ibovespa_earnings_consolidated.xlsx</x:v>
      </x:c>
    </x:row>
    <x:row r="9538">
      <x:c r="A9538" s="15" t="n">
        <x:v>44652</x:v>
      </x:c>
      <x:c r="B9538" s="13" t="str">
        <x:v>JBS SA</x:v>
      </x:c>
      <x:c r="C9538" s="16" t="n">
        <x:v>15283.8775934247</x:v>
      </x:c>
      <x:c r="D9538" s="13" t="str">
        <x:v>Food &amp; Beverages</x:v>
      </x:c>
      <x:c r="E9538" s="13" t="str">
        <x:v>Agri, Food &amp; Beverages</x:v>
      </x:c>
      <x:c r="F9538" s="13" t="str">
        <x:v>Defensives</x:v>
      </x:c>
      <x:c r="G9538" s="13" t="str">
        <x:v>Ibovespa_earnings_consolidated.xlsx</x:v>
      </x:c>
    </x:row>
    <x:row r="9539">
      <x:c r="A9539" s="15" t="n">
        <x:v>44652</x:v>
      </x:c>
      <x:c r="B9539" s="13" t="str">
        <x:v>MBRF GLOBAL FOODS COMPANY SA</x:v>
      </x:c>
      <x:c r="C9539" s="16" t="n">
        <x:v>2881.982201337</x:v>
      </x:c>
      <x:c r="D9539" s="13" t="str">
        <x:v>Food &amp; Beverages</x:v>
      </x:c>
      <x:c r="E9539" s="13" t="str">
        <x:v>Agri, Food &amp; Beverages</x:v>
      </x:c>
      <x:c r="F9539" s="13" t="str">
        <x:v>Defensives</x:v>
      </x:c>
      <x:c r="G9539" s="13" t="str">
        <x:v>Ibovespa_earnings_consolidated.xlsx</x:v>
      </x:c>
    </x:row>
    <x:row r="9540">
      <x:c r="A9540" s="15" t="n">
        <x:v>44652</x:v>
      </x:c>
      <x:c r="B9540" s="13" t="str">
        <x:v>MINERVA SA</x:v>
      </x:c>
      <x:c r="C9540" s="16" t="n">
        <x:v>900.5934462247</x:v>
      </x:c>
      <x:c r="D9540" s="13" t="str">
        <x:v>Food &amp; Beverages</x:v>
      </x:c>
      <x:c r="E9540" s="13" t="str">
        <x:v>Agri, Food &amp; Beverages</x:v>
      </x:c>
      <x:c r="F9540" s="13" t="str">
        <x:v>Defensives</x:v>
      </x:c>
      <x:c r="G9540" s="13" t="str">
        <x:v>Ibovespa_earnings_consolidated.xlsx</x:v>
      </x:c>
    </x:row>
    <x:row r="9541">
      <x:c r="A9541" s="15" t="n">
        <x:v>44652</x:v>
      </x:c>
      <x:c r="B9541" s="13" t="str">
        <x:v>FLEURY SA</x:v>
      </x:c>
      <x:c r="C9541" s="16" t="n">
        <x:v>321.1545479014</x:v>
      </x:c>
      <x:c r="D9541" s="13" t="str">
        <x:v>Health Care</x:v>
      </x:c>
      <x:c r="E9541" s="13" t="str">
        <x:v>Health Care</x:v>
      </x:c>
      <x:c r="F9541" s="13" t="str">
        <x:v>Defensives</x:v>
      </x:c>
      <x:c r="G9541" s="13" t="str">
        <x:v>Ibovespa_earnings_consolidated.xlsx</x:v>
      </x:c>
    </x:row>
    <x:row r="9542">
      <x:c r="A9542" s="15" t="n">
        <x:v>44652</x:v>
      </x:c>
      <x:c r="B9542" s="13" t="str">
        <x:v>HAPVIDA PARTICIPACOES E INVE</x:v>
      </x:c>
      <x:c r="C9542" s="16" t="n">
        <x:v>1733.1080104329</x:v>
      </x:c>
      <x:c r="D9542" s="13" t="str">
        <x:v>Health Care</x:v>
      </x:c>
      <x:c r="E9542" s="13" t="str">
        <x:v>Health Care</x:v>
      </x:c>
      <x:c r="F9542" s="13" t="str">
        <x:v>Defensives</x:v>
      </x:c>
      <x:c r="G9542" s="13" t="str">
        <x:v>Ibovespa_earnings_consolidated.xlsx</x:v>
      </x:c>
    </x:row>
    <x:row r="9543">
      <x:c r="A9543" s="15" t="n">
        <x:v>44652</x:v>
      </x:c>
      <x:c r="B9543" s="13" t="str">
        <x:v>HYPERA SA</x:v>
      </x:c>
      <x:c r="C9543" s="16" t="n">
        <x:v>1751.3444937644</x:v>
      </x:c>
      <x:c r="D9543" s="13" t="str">
        <x:v>Health Care</x:v>
      </x:c>
      <x:c r="E9543" s="13" t="str">
        <x:v>Health Care</x:v>
      </x:c>
      <x:c r="F9543" s="13" t="str">
        <x:v>Defensives</x:v>
      </x:c>
      <x:c r="G9543" s="13" t="str">
        <x:v>Ibovespa_earnings_consolidated.xlsx</x:v>
      </x:c>
    </x:row>
    <x:row r="9544">
      <x:c r="A9544" s="15" t="n">
        <x:v>44652</x:v>
      </x:c>
      <x:c r="B9544" s="13" t="str">
        <x:v>QUALICORP CONS E CORR SEG SA</x:v>
      </x:c>
      <x:c r="C9544" s="16" t="n">
        <x:v>351.9650247014</x:v>
      </x:c>
      <x:c r="D9544" s="13" t="str">
        <x:v>Health Care</x:v>
      </x:c>
      <x:c r="E9544" s="13" t="str">
        <x:v>Health Care</x:v>
      </x:c>
      <x:c r="F9544" s="13" t="str">
        <x:v>Defensives</x:v>
      </x:c>
      <x:c r="G9544" s="13" t="str">
        <x:v>Ibovespa_earnings_consolidated.xlsx</x:v>
      </x:c>
    </x:row>
    <x:row r="9545">
      <x:c r="A9545" s="15" t="n">
        <x:v>44652</x:v>
      </x:c>
      <x:c r="B9545" s="13" t="str">
        <x:v>REDE D'OR SAO LUIZ SA</x:v>
      </x:c>
      <x:c r="C9545" s="16" t="n">
        <x:v>2463.556985337</x:v>
      </x:c>
      <x:c r="D9545" s="13" t="str">
        <x:v>Health Care</x:v>
      </x:c>
      <x:c r="E9545" s="13" t="str">
        <x:v>Health Care</x:v>
      </x:c>
      <x:c r="F9545" s="13" t="str">
        <x:v>Defensives</x:v>
      </x:c>
      <x:c r="G9545" s="13" t="str">
        <x:v>Ibovespa_earnings_consolidated.xlsx</x:v>
      </x:c>
    </x:row>
    <x:row r="9546">
      <x:c r="A9546" s="15" t="n">
        <x:v>44652</x:v>
      </x:c>
      <x:c r="B9546" s="13" t="str">
        <x:v>SUL AMERICA SA - UNITS</x:v>
      </x:c>
      <x:c r="C9546" s="16" t="n">
        <x:v>1086.3668718466</x:v>
      </x:c>
      <x:c r="D9546" s="13" t="str">
        <x:v>Health Care</x:v>
      </x:c>
      <x:c r="E9546" s="13" t="str">
        <x:v>Health Care</x:v>
      </x:c>
      <x:c r="F9546" s="13" t="str">
        <x:v>Defensives</x:v>
      </x:c>
      <x:c r="G9546" s="13" t="str">
        <x:v>Ibovespa_earnings_consolidated.xlsx</x:v>
      </x:c>
    </x:row>
    <x:row r="9547">
      <x:c r="A9547" s="15" t="n">
        <x:v>44652</x:v>
      </x:c>
      <x:c r="B9547" s="13" t="str">
        <x:v>CYRELA BRAZIL REALTY SA EMP</x:v>
      </x:c>
      <x:c r="C9547" s="16" t="n">
        <x:v>974.5908334466</x:v>
      </x:c>
      <x:c r="D9547" s="13" t="str">
        <x:v>Homebuilders</x:v>
      </x:c>
      <x:c r="E9547" s="13" t="str">
        <x:v>Real Estate</x:v>
      </x:c>
      <x:c r="F9547" s="13" t="str">
        <x:v>Early Cyclicals</x:v>
      </x:c>
      <x:c r="G9547" s="13" t="str">
        <x:v>Ibovespa_earnings_consolidated.xlsx</x:v>
      </x:c>
    </x:row>
    <x:row r="9548">
      <x:c r="A9548" s="15" t="n">
        <x:v>44652</x:v>
      </x:c>
      <x:c r="B9548" s="13" t="str">
        <x:v>EZ TEC EMPREENDIMENTOS E PAR</x:v>
      </x:c>
      <x:c r="C9548" s="16" t="n">
        <x:v>613.3619887342</x:v>
      </x:c>
      <x:c r="D9548" s="13" t="str">
        <x:v>Homebuilders</x:v>
      </x:c>
      <x:c r="E9548" s="13" t="str">
        <x:v>Real Estate</x:v>
      </x:c>
      <x:c r="F9548" s="13" t="str">
        <x:v>Early Cyclicals</x:v>
      </x:c>
      <x:c r="G9548" s="13" t="str">
        <x:v>Ibovespa_earnings_consolidated.xlsx</x:v>
      </x:c>
    </x:row>
    <x:row r="9549">
      <x:c r="A9549" s="15" t="n">
        <x:v>44652</x:v>
      </x:c>
      <x:c r="B9549" s="13" t="str">
        <x:v>MRV ENGENHARIA</x:v>
      </x:c>
      <x:c r="C9549" s="16" t="n">
        <x:v>710.813600263</x:v>
      </x:c>
      <x:c r="D9549" s="13" t="str">
        <x:v>Homebuilders</x:v>
      </x:c>
      <x:c r="E9549" s="13" t="str">
        <x:v>Real Estate</x:v>
      </x:c>
      <x:c r="F9549" s="13" t="str">
        <x:v>Early Cyclicals</x:v>
      </x:c>
      <x:c r="G9549" s="13" t="str">
        <x:v>Ibovespa_earnings_consolidated.xlsx</x:v>
      </x:c>
    </x:row>
    <x:row r="9550">
      <x:c r="A9550" s="15" t="n">
        <x:v>44652</x:v>
      </x:c>
      <x:c r="B9550" s="13" t="str">
        <x:v>BR MALLS PARTICIPACOES SA</x:v>
      </x:c>
      <x:c r="C9550" s="16" t="n">
        <x:v>500.2597260274</x:v>
      </x:c>
      <x:c r="D9550" s="13" t="str">
        <x:v>Income Properties</x:v>
      </x:c>
      <x:c r="E9550" s="13" t="str">
        <x:v>Real Estate</x:v>
      </x:c>
      <x:c r="F9550" s="13" t="str">
        <x:v>Early Cyclicals</x:v>
      </x:c>
      <x:c r="G9550" s="13" t="str">
        <x:v>Ibovespa_earnings_consolidated.xlsx</x:v>
      </x:c>
    </x:row>
    <x:row r="9551">
      <x:c r="A9551" s="15" t="n">
        <x:v>44652</x:v>
      </x:c>
      <x:c r="B9551" s="13" t="str">
        <x:v>IGUATEMI SA - UNITS</x:v>
      </x:c>
      <x:c r="C9551" s="16" t="n">
        <x:v>297.4502352658</x:v>
      </x:c>
      <x:c r="D9551" s="13" t="str">
        <x:v>Income Properties</x:v>
      </x:c>
      <x:c r="E9551" s="13" t="str">
        <x:v>Real Estate</x:v>
      </x:c>
      <x:c r="F9551" s="13" t="str">
        <x:v>Early Cyclicals</x:v>
      </x:c>
      <x:c r="G9551" s="13" t="str">
        <x:v>Ibovespa_earnings_consolidated.xlsx</x:v>
      </x:c>
    </x:row>
    <x:row r="9552">
      <x:c r="A9552" s="15" t="n">
        <x:v>44652</x:v>
      </x:c>
      <x:c r="B9552" s="13" t="str">
        <x:v>JHSF PARTICIPACOES SA</x:v>
      </x:c>
      <x:c r="C9552" s="16" t="n">
        <x:v>682.8807066301</x:v>
      </x:c>
      <x:c r="D9552" s="13" t="str">
        <x:v>Income Properties</x:v>
      </x:c>
      <x:c r="E9552" s="13" t="str">
        <x:v>Real Estate</x:v>
      </x:c>
      <x:c r="F9552" s="13" t="str">
        <x:v>Early Cyclicals</x:v>
      </x:c>
      <x:c r="G9552" s="13" t="str">
        <x:v>Ibovespa_earnings_consolidated.xlsx</x:v>
      </x:c>
    </x:row>
    <x:row r="9553">
      <x:c r="A9553" s="15" t="n">
        <x:v>44652</x:v>
      </x:c>
      <x:c r="B9553" s="13" t="str">
        <x:v>MULTIPLAN EMPREENDIMENTOS</x:v>
      </x:c>
      <x:c r="C9553" s="16" t="n">
        <x:v>681.9130026082</x:v>
      </x:c>
      <x:c r="D9553" s="13" t="str">
        <x:v>Income Properties</x:v>
      </x:c>
      <x:c r="E9553" s="13" t="str">
        <x:v>Real Estate</x:v>
      </x:c>
      <x:c r="F9553" s="13" t="str">
        <x:v>Early Cyclicals</x:v>
      </x:c>
      <x:c r="G9553" s="13" t="str">
        <x:v>Ibovespa_earnings_consolidated.xlsx</x:v>
      </x:c>
    </x:row>
    <x:row r="9554">
      <x:c r="A9554" s="15" t="n">
        <x:v>44652</x:v>
      </x:c>
      <x:c r="B9554" s="13" t="str">
        <x:v>BRADESPAR SA -PREF</x:v>
      </x:c>
      <x:c r="C9554" s="16" t="n">
        <x:v>2620.3780390575</x:v>
      </x:c>
      <x:c r="D9554" s="13" t="str">
        <x:v>Metals &amp; Mining</x:v>
      </x:c>
      <x:c r="E9554" s="13" t="str">
        <x:v>Metals &amp; Mining</x:v>
      </x:c>
      <x:c r="F9554" s="13" t="str">
        <x:v>Deep Cyclicals</x:v>
      </x:c>
      <x:c r="G9554" s="13" t="str">
        <x:v>Ibovespa_earnings_consolidated.xlsx</x:v>
      </x:c>
    </x:row>
    <x:row r="9555">
      <x:c r="A9555" s="15" t="n">
        <x:v>44652</x:v>
      </x:c>
      <x:c r="B9555" s="13" t="str">
        <x:v>CIA SIDERURGICA NACIONAL SA</x:v>
      </x:c>
      <x:c r="C9555" s="16" t="n">
        <x:v>7791.3047376657</x:v>
      </x:c>
      <x:c r="D9555" s="13" t="str">
        <x:v>Metals &amp; Mining</x:v>
      </x:c>
      <x:c r="E9555" s="13" t="str">
        <x:v>Metals &amp; Mining</x:v>
      </x:c>
      <x:c r="F9555" s="13" t="str">
        <x:v>Deep Cyclicals</x:v>
      </x:c>
      <x:c r="G9555" s="13" t="str">
        <x:v>Ibovespa_earnings_consolidated.xlsx</x:v>
      </x:c>
    </x:row>
    <x:row r="9556">
      <x:c r="A9556" s="15" t="n">
        <x:v>44652</x:v>
      </x:c>
      <x:c r="B9556" s="13" t="str">
        <x:v>CSN MINERACAO SA</x:v>
      </x:c>
      <x:c r="C9556" s="16" t="n">
        <x:v>5558.692748274</x:v>
      </x:c>
      <x:c r="D9556" s="13" t="str">
        <x:v>Metals &amp; Mining</x:v>
      </x:c>
      <x:c r="E9556" s="13" t="str">
        <x:v>Metals &amp; Mining</x:v>
      </x:c>
      <x:c r="F9556" s="13" t="str">
        <x:v>Deep Cyclicals</x:v>
      </x:c>
      <x:c r="G9556" s="13" t="str">
        <x:v>Ibovespa_earnings_consolidated.xlsx</x:v>
      </x:c>
    </x:row>
    <x:row r="9557">
      <x:c r="A9557" s="15" t="n">
        <x:v>44652</x:v>
      </x:c>
      <x:c r="B9557" s="13" t="str">
        <x:v>GERDAU SA-PREF</x:v>
      </x:c>
      <x:c r="C9557" s="16" t="n">
        <x:v>9158.8642984329</x:v>
      </x:c>
      <x:c r="D9557" s="13" t="str">
        <x:v>Metals &amp; Mining</x:v>
      </x:c>
      <x:c r="E9557" s="13" t="str">
        <x:v>Metals &amp; Mining</x:v>
      </x:c>
      <x:c r="F9557" s="13" t="str">
        <x:v>Deep Cyclicals</x:v>
      </x:c>
      <x:c r="G9557" s="13" t="str">
        <x:v>Ibovespa_earnings_consolidated.xlsx</x:v>
      </x:c>
    </x:row>
    <x:row r="9558">
      <x:c r="A9558" s="15" t="n">
        <x:v>44652</x:v>
      </x:c>
      <x:c r="B9558" s="13" t="str">
        <x:v>USINAS SIDER MINAS GER-PF A</x:v>
      </x:c>
      <x:c r="C9558" s="16" t="n">
        <x:v>4379.5821056</x:v>
      </x:c>
      <x:c r="D9558" s="13" t="str">
        <x:v>Metals &amp; Mining</x:v>
      </x:c>
      <x:c r="E9558" s="13" t="str">
        <x:v>Metals &amp; Mining</x:v>
      </x:c>
      <x:c r="F9558" s="13" t="str">
        <x:v>Deep Cyclicals</x:v>
      </x:c>
      <x:c r="G9558" s="13" t="str">
        <x:v>Ibovespa_earnings_consolidated.xlsx</x:v>
      </x:c>
    </x:row>
    <x:row r="9559">
      <x:c r="A9559" s="15" t="n">
        <x:v>44652</x:v>
      </x:c>
      <x:c r="B9559" s="13" t="str">
        <x:v>VALE SA</x:v>
      </x:c>
      <x:c r="C9559" s="16" t="n">
        <x:v>89755.9282561753</x:v>
      </x:c>
      <x:c r="D9559" s="13" t="str">
        <x:v>Metals &amp; Mining</x:v>
      </x:c>
      <x:c r="E9559" s="13" t="str">
        <x:v>Metals &amp; Mining</x:v>
      </x:c>
      <x:c r="F9559" s="13" t="str">
        <x:v>Deep Cyclicals</x:v>
      </x:c>
      <x:c r="G9559" s="13" t="str">
        <x:v>Ibovespa_earnings_consolidated.xlsx</x:v>
      </x:c>
    </x:row>
    <x:row r="9560">
      <x:c r="A9560" s="15" t="n">
        <x:v>44652</x:v>
      </x:c>
      <x:c r="B9560" s="13" t="str">
        <x:v>BRASKEM SA-PREF A</x:v>
      </x:c>
      <x:c r="C9560" s="16" t="n">
        <x:v>5361.1981234849</x:v>
      </x:c>
      <x:c r="D9560" s="13" t="str">
        <x:v>Oil, Gas &amp; Petrochemicals</x:v>
      </x:c>
      <x:c r="E9560" s="13" t="str">
        <x:v>Oil, Gas &amp; Petrochemicals</x:v>
      </x:c>
      <x:c r="F9560" s="13" t="str">
        <x:v>Deep Cyclicals</x:v>
      </x:c>
      <x:c r="G9560" s="13" t="str">
        <x:v>Ibovespa_earnings_consolidated.xlsx</x:v>
      </x:c>
    </x:row>
    <x:row r="9561">
      <x:c r="A9561" s="15" t="n">
        <x:v>44652</x:v>
      </x:c>
      <x:c r="B9561" s="13" t="str">
        <x:v>BRAVA ENERGIA</x:v>
      </x:c>
      <x:c r="C9561" s="16" t="n">
        <x:v>1870.1304958247</x:v>
      </x:c>
      <x:c r="D9561" s="13" t="str">
        <x:v>Oil, Gas &amp; Petrochemicals</x:v>
      </x:c>
      <x:c r="E9561" s="13" t="str">
        <x:v>Oil, Gas &amp; Petrochemicals</x:v>
      </x:c>
      <x:c r="F9561" s="13" t="str">
        <x:v>Deep Cyclicals</x:v>
      </x:c>
      <x:c r="G9561" s="13" t="str">
        <x:v>Ibovespa_earnings_consolidated.xlsx</x:v>
      </x:c>
    </x:row>
    <x:row r="9562">
      <x:c r="A9562" s="15" t="n">
        <x:v>44652</x:v>
      </x:c>
      <x:c r="B9562" s="13" t="str">
        <x:v>COSAN SA</x:v>
      </x:c>
      <x:c r="C9562" s="16" t="n">
        <x:v>3853.7134921644</x:v>
      </x:c>
      <x:c r="D9562" s="13" t="str">
        <x:v>Oil, Gas &amp; Petrochemicals</x:v>
      </x:c>
      <x:c r="E9562" s="13" t="str">
        <x:v>Oil, Gas &amp; Petrochemicals</x:v>
      </x:c>
      <x:c r="F9562" s="13" t="str">
        <x:v>Deep Cyclicals</x:v>
      </x:c>
      <x:c r="G9562" s="13" t="str">
        <x:v>Ibovespa_earnings_consolidated.xlsx</x:v>
      </x:c>
    </x:row>
    <x:row r="9563">
      <x:c r="A9563" s="15" t="n">
        <x:v>44652</x:v>
      </x:c>
      <x:c r="B9563" s="13" t="str">
        <x:v>PETROBRAS - PETROLEO BRAS</x:v>
      </x:c>
      <x:c r="C9563" s="16" t="n">
        <x:v>116580.576707682</x:v>
      </x:c>
      <x:c r="D9563" s="13" t="str">
        <x:v>Oil, Gas &amp; Petrochemicals</x:v>
      </x:c>
      <x:c r="E9563" s="13" t="str">
        <x:v>Oil, Gas &amp; Petrochemicals</x:v>
      </x:c>
      <x:c r="F9563" s="13" t="str">
        <x:v>Deep Cyclicals</x:v>
      </x:c>
      <x:c r="G9563" s="13" t="str">
        <x:v>Ibovespa_earnings_consolidated.xlsx</x:v>
      </x:c>
    </x:row>
    <x:row r="9564">
      <x:c r="A9564" s="15" t="n">
        <x:v>44652</x:v>
      </x:c>
      <x:c r="B9564" s="13" t="str">
        <x:v>PRIO SA</x:v>
      </x:c>
      <x:c r="C9564" s="16" t="n">
        <x:v>2572.0218182137</x:v>
      </x:c>
      <x:c r="D9564" s="13" t="str">
        <x:v>Oil, Gas &amp; Petrochemicals</x:v>
      </x:c>
      <x:c r="E9564" s="13" t="str">
        <x:v>Oil, Gas &amp; Petrochemicals</x:v>
      </x:c>
      <x:c r="F9564" s="13" t="str">
        <x:v>Deep Cyclicals</x:v>
      </x:c>
      <x:c r="G9564" s="13" t="str">
        <x:v>Ibovespa_earnings_consolidated.xlsx</x:v>
      </x:c>
    </x:row>
    <x:row r="9565">
      <x:c r="A9565" s="15" t="n">
        <x:v>44652</x:v>
      </x:c>
      <x:c r="B9565" s="13" t="str">
        <x:v>ULTRAPAR PARTICIPACOES SA</x:v>
      </x:c>
      <x:c r="C9565" s="16" t="n">
        <x:v>971.3263118027</x:v>
      </x:c>
      <x:c r="D9565" s="13" t="str">
        <x:v>Oil, Gas &amp; Petrochemicals</x:v>
      </x:c>
      <x:c r="E9565" s="13" t="str">
        <x:v>Oil, Gas &amp; Petrochemicals</x:v>
      </x:c>
      <x:c r="F9565" s="13" t="str">
        <x:v>Deep Cyclicals</x:v>
      </x:c>
      <x:c r="G9565" s="13" t="str">
        <x:v>Ibovespa_earnings_consolidated.xlsx</x:v>
      </x:c>
    </x:row>
    <x:row r="9566">
      <x:c r="A9566" s="15" t="n">
        <x:v>44652</x:v>
      </x:c>
      <x:c r="B9566" s="13" t="str">
        <x:v>VIBRA ENERGIA SA</x:v>
      </x:c>
      <x:c r="C9566" s="16" t="n">
        <x:v>2053.5134811178</x:v>
      </x:c>
      <x:c r="D9566" s="13" t="str">
        <x:v>Oil, Gas &amp; Petrochemicals</x:v>
      </x:c>
      <x:c r="E9566" s="13" t="str">
        <x:v>Oil, Gas &amp; Petrochemicals</x:v>
      </x:c>
      <x:c r="F9566" s="13" t="str">
        <x:v>Deep Cyclicals</x:v>
      </x:c>
      <x:c r="G9566" s="13" t="str">
        <x:v>Ibovespa_earnings_consolidated.xlsx</x:v>
      </x:c>
    </x:row>
    <x:row r="9567">
      <x:c r="A9567" s="15" t="n">
        <x:v>44652</x:v>
      </x:c>
      <x:c r="B9567" s="13" t="str">
        <x:v>DEXCO SA</x:v>
      </x:c>
      <x:c r="C9567" s="16" t="n">
        <x:v>930.5964491397</x:v>
      </x:c>
      <x:c r="D9567" s="13" t="str">
        <x:v>Pulp &amp; Paper</x:v>
      </x:c>
      <x:c r="E9567" s="13" t="str">
        <x:v>Pulp &amp; Paper</x:v>
      </x:c>
      <x:c r="F9567" s="13" t="str">
        <x:v>Deep Cyclicals</x:v>
      </x:c>
      <x:c r="G9567" s="13" t="str">
        <x:v>Ibovespa_earnings_consolidated.xlsx</x:v>
      </x:c>
    </x:row>
    <x:row r="9568">
      <x:c r="A9568" s="15" t="n">
        <x:v>44652</x:v>
      </x:c>
      <x:c r="B9568" s="13" t="str">
        <x:v>KLABIN SA - UNIT</x:v>
      </x:c>
      <x:c r="C9568" s="16" t="n">
        <x:v>2486.1063792219</x:v>
      </x:c>
      <x:c r="D9568" s="13" t="str">
        <x:v>Pulp &amp; Paper</x:v>
      </x:c>
      <x:c r="E9568" s="13" t="str">
        <x:v>Pulp &amp; Paper</x:v>
      </x:c>
      <x:c r="F9568" s="13" t="str">
        <x:v>Deep Cyclicals</x:v>
      </x:c>
      <x:c r="G9568" s="13" t="str">
        <x:v>Ibovespa_earnings_consolidated.xlsx</x:v>
      </x:c>
    </x:row>
    <x:row r="9569">
      <x:c r="A9569" s="15" t="n">
        <x:v>44652</x:v>
      </x:c>
      <x:c r="B9569" s="13" t="str">
        <x:v>SUZANO SA</x:v>
      </x:c>
      <x:c r="C9569" s="16" t="n">
        <x:v>8658.9363171945</x:v>
      </x:c>
      <x:c r="D9569" s="13" t="str">
        <x:v>Pulp &amp; Paper</x:v>
      </x:c>
      <x:c r="E9569" s="13" t="str">
        <x:v>Pulp &amp; Paper</x:v>
      </x:c>
      <x:c r="F9569" s="13" t="str">
        <x:v>Deep Cyclicals</x:v>
      </x:c>
      <x:c r="G9569" s="13" t="str">
        <x:v>Ibovespa_earnings_consolidated.xlsx</x:v>
      </x:c>
    </x:row>
    <x:row r="9570">
      <x:c r="A9570" s="15" t="n">
        <x:v>44652</x:v>
      </x:c>
      <x:c r="B9570" s="13" t="str">
        <x:v>ALPARGATAS SA - PREF</x:v>
      </x:c>
      <x:c r="C9570" s="16" t="n">
        <x:v>586.8095786082</x:v>
      </x:c>
      <x:c r="D9570" s="13" t="str">
        <x:v>Retail</x:v>
      </x:c>
      <x:c r="E9570" s="13" t="str">
        <x:v>Retail</x:v>
      </x:c>
      <x:c r="F9570" s="13" t="str">
        <x:v>Early Cyclicals</x:v>
      </x:c>
      <x:c r="G9570" s="13" t="str">
        <x:v>Ibovespa_earnings_consolidated.xlsx</x:v>
      </x:c>
    </x:row>
    <x:row r="9571">
      <x:c r="A9571" s="15" t="n">
        <x:v>44652</x:v>
      </x:c>
      <x:c r="B9571" s="13" t="str">
        <x:v>AMERICANAS SA</x:v>
      </x:c>
      <x:c r="C9571" s="16" t="n">
        <x:v>486.0781697753</x:v>
      </x:c>
      <x:c r="D9571" s="13" t="str">
        <x:v>Retail</x:v>
      </x:c>
      <x:c r="E9571" s="13" t="str">
        <x:v>Retail</x:v>
      </x:c>
      <x:c r="F9571" s="13" t="str">
        <x:v>Early Cyclicals</x:v>
      </x:c>
      <x:c r="G9571" s="13" t="str">
        <x:v>Ibovespa_earnings_consolidated.xlsx</x:v>
      </x:c>
    </x:row>
    <x:row r="9572">
      <x:c r="A9572" s="15" t="n">
        <x:v>44652</x:v>
      </x:c>
      <x:c r="B9572" s="13" t="str">
        <x:v>ATACADAO SA</x:v>
      </x:c>
      <x:c r="C9572" s="16" t="n">
        <x:v>2577.7820054795</x:v>
      </x:c>
      <x:c r="D9572" s="13" t="str">
        <x:v>Retail</x:v>
      </x:c>
      <x:c r="E9572" s="13" t="str">
        <x:v>Retail</x:v>
      </x:c>
      <x:c r="F9572" s="13" t="str">
        <x:v>Early Cyclicals</x:v>
      </x:c>
      <x:c r="G9572" s="13" t="str">
        <x:v>Ibovespa_earnings_consolidated.xlsx</x:v>
      </x:c>
    </x:row>
    <x:row r="9573">
      <x:c r="A9573" s="15" t="n">
        <x:v>44652</x:v>
      </x:c>
      <x:c r="B9573" s="13" t="str">
        <x:v>CIA BRASILEIRA DE DISTRIBUIC</x:v>
      </x:c>
      <x:c r="C9573" s="16" t="n">
        <x:v>712.0327774685</x:v>
      </x:c>
      <x:c r="D9573" s="13" t="str">
        <x:v>Retail</x:v>
      </x:c>
      <x:c r="E9573" s="13" t="str">
        <x:v>Retail</x:v>
      </x:c>
      <x:c r="F9573" s="13" t="str">
        <x:v>Early Cyclicals</x:v>
      </x:c>
      <x:c r="G9573" s="13" t="str">
        <x:v>Ibovespa_earnings_consolidated.xlsx</x:v>
      </x:c>
    </x:row>
    <x:row r="9574">
      <x:c r="A9574" s="15" t="n">
        <x:v>44652</x:v>
      </x:c>
      <x:c r="B9574" s="13" t="str">
        <x:v>CVC BRASIL OPERADORA E AGENC</x:v>
      </x:c>
      <x:c r="C9574" s="16" t="n">
        <x:v>-56.7431506849</x:v>
      </x:c>
      <x:c r="D9574" s="13" t="str">
        <x:v>Retail</x:v>
      </x:c>
      <x:c r="E9574" s="13" t="str">
        <x:v>Retail</x:v>
      </x:c>
      <x:c r="F9574" s="13" t="str">
        <x:v>Early Cyclicals</x:v>
      </x:c>
      <x:c r="G9574" s="13" t="str">
        <x:v>Ibovespa_earnings_consolidated.xlsx</x:v>
      </x:c>
    </x:row>
    <x:row r="9575">
      <x:c r="A9575" s="15" t="n">
        <x:v>44652</x:v>
      </x:c>
      <x:c r="B9575" s="13" t="str">
        <x:v>GRUPO CASAS BAHIA SA</x:v>
      </x:c>
      <x:c r="C9575" s="16" t="n">
        <x:v>-411.8717534247</x:v>
      </x:c>
      <x:c r="D9575" s="13" t="str">
        <x:v>Retail</x:v>
      </x:c>
      <x:c r="E9575" s="13" t="str">
        <x:v>Retail</x:v>
      </x:c>
      <x:c r="F9575" s="13" t="str">
        <x:v>Early Cyclicals</x:v>
      </x:c>
      <x:c r="G9575" s="13" t="str">
        <x:v>Ibovespa_earnings_consolidated.xlsx</x:v>
      </x:c>
    </x:row>
    <x:row r="9576">
      <x:c r="A9576" s="15" t="n">
        <x:v>44652</x:v>
      </x:c>
      <x:c r="B9576" s="13" t="str">
        <x:v>GRUPO DE MODA SOMA SA</x:v>
      </x:c>
      <x:c r="C9576" s="16" t="n">
        <x:v>499.5760329644</x:v>
      </x:c>
      <x:c r="D9576" s="13" t="str">
        <x:v>Retail</x:v>
      </x:c>
      <x:c r="E9576" s="13" t="str">
        <x:v>Retail</x:v>
      </x:c>
      <x:c r="F9576" s="13" t="str">
        <x:v>Early Cyclicals</x:v>
      </x:c>
      <x:c r="G9576" s="13" t="str">
        <x:v>Ibovespa_earnings_consolidated.xlsx</x:v>
      </x:c>
    </x:row>
    <x:row r="9577">
      <x:c r="A9577" s="15" t="n">
        <x:v>44652</x:v>
      </x:c>
      <x:c r="B9577" s="13" t="str">
        <x:v>LOJAS RENNER S.A.</x:v>
      </x:c>
      <x:c r="C9577" s="16" t="n">
        <x:v>1307.9541591671</x:v>
      </x:c>
      <x:c r="D9577" s="13" t="str">
        <x:v>Retail</x:v>
      </x:c>
      <x:c r="E9577" s="13" t="str">
        <x:v>Retail</x:v>
      </x:c>
      <x:c r="F9577" s="13" t="str">
        <x:v>Early Cyclicals</x:v>
      </x:c>
      <x:c r="G9577" s="13" t="str">
        <x:v>Ibovespa_earnings_consolidated.xlsx</x:v>
      </x:c>
    </x:row>
    <x:row r="9578">
      <x:c r="A9578" s="15" t="n">
        <x:v>44652</x:v>
      </x:c>
      <x:c r="B9578" s="13" t="str">
        <x:v>MAGAZINE LUIZA SA</x:v>
      </x:c>
      <x:c r="C9578" s="16" t="n">
        <x:v>154.1136088986</x:v>
      </x:c>
      <x:c r="D9578" s="13" t="str">
        <x:v>Retail</x:v>
      </x:c>
      <x:c r="E9578" s="13" t="str">
        <x:v>Retail</x:v>
      </x:c>
      <x:c r="F9578" s="13" t="str">
        <x:v>Early Cyclicals</x:v>
      </x:c>
      <x:c r="G9578" s="13" t="str">
        <x:v>Ibovespa_earnings_consolidated.xlsx</x:v>
      </x:c>
    </x:row>
    <x:row r="9579">
      <x:c r="A9579" s="15" t="n">
        <x:v>44652</x:v>
      </x:c>
      <x:c r="B9579" s="13" t="str">
        <x:v>NATURA &amp;CO HOLDING SA</x:v>
      </x:c>
      <x:c r="C9579" s="16" t="n">
        <x:v>912.9165364603</x:v>
      </x:c>
      <x:c r="D9579" s="13" t="str">
        <x:v>Retail</x:v>
      </x:c>
      <x:c r="E9579" s="13" t="str">
        <x:v>Retail</x:v>
      </x:c>
      <x:c r="F9579" s="13" t="str">
        <x:v>Early Cyclicals</x:v>
      </x:c>
      <x:c r="G9579" s="13" t="str">
        <x:v>Ibovespa_earnings_consolidated.xlsx</x:v>
      </x:c>
    </x:row>
    <x:row r="9580">
      <x:c r="A9580" s="15" t="n">
        <x:v>44652</x:v>
      </x:c>
      <x:c r="B9580" s="13" t="str">
        <x:v>PET CENTER COMERCIO E PARTIC</x:v>
      </x:c>
      <x:c r="C9580" s="16" t="n">
        <x:v>163.6487671233</x:v>
      </x:c>
      <x:c r="D9580" s="13" t="str">
        <x:v>Retail</x:v>
      </x:c>
      <x:c r="E9580" s="13" t="str">
        <x:v>Retail</x:v>
      </x:c>
      <x:c r="F9580" s="13" t="str">
        <x:v>Early Cyclicals</x:v>
      </x:c>
      <x:c r="G9580" s="13" t="str">
        <x:v>Ibovespa_earnings_consolidated.xlsx</x:v>
      </x:c>
    </x:row>
    <x:row r="9581">
      <x:c r="A9581" s="15" t="n">
        <x:v>44652</x:v>
      </x:c>
      <x:c r="B9581" s="13" t="str">
        <x:v>RAIA DROGASIL SA</x:v>
      </x:c>
      <x:c r="C9581" s="16" t="n">
        <x:v>1072.5599894794</x:v>
      </x:c>
      <x:c r="D9581" s="13" t="str">
        <x:v>Retail</x:v>
      </x:c>
      <x:c r="E9581" s="13" t="str">
        <x:v>Retail</x:v>
      </x:c>
      <x:c r="F9581" s="13" t="str">
        <x:v>Early Cyclicals</x:v>
      </x:c>
      <x:c r="G9581" s="13" t="str">
        <x:v>Ibovespa_earnings_consolidated.xlsx</x:v>
      </x:c>
    </x:row>
    <x:row r="9582">
      <x:c r="A9582" s="15" t="n">
        <x:v>44652</x:v>
      </x:c>
      <x:c r="B9582" s="13" t="str">
        <x:v>SENDAS DISTRIBUIDORA SA</x:v>
      </x:c>
      <x:c r="C9582" s="16" t="n">
        <x:v>1188.0569431671</x:v>
      </x:c>
      <x:c r="D9582" s="13" t="str">
        <x:v>Retail</x:v>
      </x:c>
      <x:c r="E9582" s="13" t="str">
        <x:v>Retail</x:v>
      </x:c>
      <x:c r="F9582" s="13" t="str">
        <x:v>Early Cyclicals</x:v>
      </x:c>
      <x:c r="G9582" s="13" t="str">
        <x:v>Ibovespa_earnings_consolidated.xlsx</x:v>
      </x:c>
    </x:row>
    <x:row r="9583">
      <x:c r="A9583" s="15" t="n">
        <x:v>44652</x:v>
      </x:c>
      <x:c r="B9583" s="13" t="str">
        <x:v>CIA SANEAMENTO BASICO DE SP</x:v>
      </x:c>
      <x:c r="C9583" s="16" t="n">
        <x:v>3117.3256107836</x:v>
      </x:c>
      <x:c r="D9583" s="13" t="str">
        <x:v>Sanitation</x:v>
      </x:c>
      <x:c r="E9583" s="13" t="str">
        <x:v>Utilities</x:v>
      </x:c>
      <x:c r="F9583" s="13" t="str">
        <x:v>Defensives</x:v>
      </x:c>
      <x:c r="G9583" s="13" t="str">
        <x:v>Ibovespa_earnings_consolidated.xlsx</x:v>
      </x:c>
    </x:row>
    <x:row r="9584">
      <x:c r="A9584" s="15" t="n">
        <x:v>44652</x:v>
      </x:c>
      <x:c r="B9584" s="13" t="str">
        <x:v>LWSA SA</x:v>
      </x:c>
      <x:c r="C9584" s="16" t="n">
        <x:v>109.1346848877</x:v>
      </x:c>
      <x:c r="D9584" s="13" t="str">
        <x:v>TMT</x:v>
      </x:c>
      <x:c r="E9584" s="13" t="str">
        <x:v>TMT</x:v>
      </x:c>
      <x:c r="F9584" s="13" t="str">
        <x:v>Early Cyclicals</x:v>
      </x:c>
      <x:c r="G9584" s="13" t="str">
        <x:v>Ibovespa_earnings_consolidated.xlsx</x:v>
      </x:c>
    </x:row>
    <x:row r="9585">
      <x:c r="A9585" s="15" t="n">
        <x:v>44652</x:v>
      </x:c>
      <x:c r="B9585" s="13" t="str">
        <x:v>POSITIVO TECNOLOGIA SA</x:v>
      </x:c>
      <x:c r="C9585" s="16" t="n">
        <x:v>181.2575342466</x:v>
      </x:c>
      <x:c r="D9585" s="13" t="str">
        <x:v>TMT</x:v>
      </x:c>
      <x:c r="E9585" s="13" t="str">
        <x:v>TMT</x:v>
      </x:c>
      <x:c r="F9585" s="13" t="str">
        <x:v>Early Cyclicals</x:v>
      </x:c>
      <x:c r="G9585" s="13" t="str">
        <x:v>Ibovespa_earnings_consolidated.xlsx</x:v>
      </x:c>
    </x:row>
    <x:row r="9586">
      <x:c r="A9586" s="15" t="n">
        <x:v>44652</x:v>
      </x:c>
      <x:c r="B9586" s="13" t="str">
        <x:v>TIM SA</x:v>
      </x:c>
      <x:c r="C9586" s="16" t="n">
        <x:v>2517.8671454685</x:v>
      </x:c>
      <x:c r="D9586" s="13" t="str">
        <x:v>TMT</x:v>
      </x:c>
      <x:c r="E9586" s="13" t="str">
        <x:v>TMT</x:v>
      </x:c>
      <x:c r="F9586" s="13" t="str">
        <x:v>Early Cyclicals</x:v>
      </x:c>
      <x:c r="G9586" s="13" t="str">
        <x:v>Ibovespa_earnings_consolidated.xlsx</x:v>
      </x:c>
    </x:row>
    <x:row r="9587">
      <x:c r="A9587" s="15" t="n">
        <x:v>44652</x:v>
      </x:c>
      <x:c r="B9587" s="13" t="str">
        <x:v>TOTVS SA</x:v>
      </x:c>
      <x:c r="C9587" s="16" t="n">
        <x:v>605.2170955397</x:v>
      </x:c>
      <x:c r="D9587" s="13" t="str">
        <x:v>TMT</x:v>
      </x:c>
      <x:c r="E9587" s="13" t="str">
        <x:v>TMT</x:v>
      </x:c>
      <x:c r="F9587" s="13" t="str">
        <x:v>Early Cyclicals</x:v>
      </x:c>
      <x:c r="G9587" s="13" t="str">
        <x:v>Ibovespa_earnings_consolidated.xlsx</x:v>
      </x:c>
    </x:row>
    <x:row r="9588">
      <x:c r="A9588" s="15" t="n">
        <x:v>44652</x:v>
      </x:c>
      <x:c r="B9588" s="13" t="str">
        <x:v>AZUL SA</x:v>
      </x:c>
      <x:c r="C9588" s="16" t="n">
        <x:v>-789.5030297425</x:v>
      </x:c>
      <x:c r="D9588" s="13" t="str">
        <x:v>Transportation</x:v>
      </x:c>
      <x:c r="E9588" s="13" t="str">
        <x:v>Transportation</x:v>
      </x:c>
      <x:c r="F9588" s="13" t="str">
        <x:v>Deep Cyclicals</x:v>
      </x:c>
      <x:c r="G9588" s="13" t="str">
        <x:v>Ibovespa_earnings_consolidated.xlsx</x:v>
      </x:c>
    </x:row>
    <x:row r="9589">
      <x:c r="A9589" s="15" t="n">
        <x:v>44652</x:v>
      </x:c>
      <x:c r="B9589" s="13" t="str">
        <x:v>CIA DE LOCACAO DAS AMERICAS</x:v>
      </x:c>
      <x:c r="C9589" s="16" t="n">
        <x:v>1058.2872211288</x:v>
      </x:c>
      <x:c r="D9589" s="13" t="str">
        <x:v>Transportation</x:v>
      </x:c>
      <x:c r="E9589" s="13" t="str">
        <x:v>Transportation</x:v>
      </x:c>
      <x:c r="F9589" s="13" t="str">
        <x:v>Deep Cyclicals</x:v>
      </x:c>
      <x:c r="G9589" s="13" t="str">
        <x:v>Ibovespa_earnings_consolidated.xlsx</x:v>
      </x:c>
    </x:row>
    <x:row r="9590">
      <x:c r="A9590" s="15" t="n">
        <x:v>44652</x:v>
      </x:c>
      <x:c r="B9590" s="13" t="str">
        <x:v>ECORODOVIAS INFRA E LOG SA</x:v>
      </x:c>
      <x:c r="C9590" s="16" t="n">
        <x:v>171.0738628822</x:v>
      </x:c>
      <x:c r="D9590" s="13" t="str">
        <x:v>Transportation</x:v>
      </x:c>
      <x:c r="E9590" s="13" t="str">
        <x:v>Transportation</x:v>
      </x:c>
      <x:c r="F9590" s="13" t="str">
        <x:v>Deep Cyclicals</x:v>
      </x:c>
      <x:c r="G9590" s="13" t="str">
        <x:v>Ibovespa_earnings_consolidated.xlsx</x:v>
      </x:c>
    </x:row>
    <x:row r="9591">
      <x:c r="A9591" s="15" t="n">
        <x:v>44652</x:v>
      </x:c>
      <x:c r="B9591" s="13" t="str">
        <x:v>GOL LINHAS AEREAS INT SA-PRE</x:v>
      </x:c>
      <x:c r="C9591" s="16" t="n">
        <x:v>-115.2231401205</x:v>
      </x:c>
      <x:c r="D9591" s="13" t="str">
        <x:v>Transportation</x:v>
      </x:c>
      <x:c r="E9591" s="13" t="str">
        <x:v>Transportation</x:v>
      </x:c>
      <x:c r="F9591" s="13" t="str">
        <x:v>Deep Cyclicals</x:v>
      </x:c>
      <x:c r="G9591" s="13" t="str">
        <x:v>Ibovespa_earnings_consolidated.xlsx</x:v>
      </x:c>
    </x:row>
    <x:row r="9592">
      <x:c r="A9592" s="15" t="n">
        <x:v>44652</x:v>
      </x:c>
      <x:c r="B9592" s="13" t="str">
        <x:v>LOCALIZA RENT A CAR</x:v>
      </x:c>
      <x:c r="C9592" s="16" t="n">
        <x:v>2128.2049774466</x:v>
      </x:c>
      <x:c r="D9592" s="13" t="str">
        <x:v>Transportation</x:v>
      </x:c>
      <x:c r="E9592" s="13" t="str">
        <x:v>Transportation</x:v>
      </x:c>
      <x:c r="F9592" s="13" t="str">
        <x:v>Deep Cyclicals</x:v>
      </x:c>
      <x:c r="G9592" s="13" t="str">
        <x:v>Ibovespa_earnings_consolidated.xlsx</x:v>
      </x:c>
    </x:row>
    <x:row r="9593">
      <x:c r="A9593" s="15" t="n">
        <x:v>44652</x:v>
      </x:c>
      <x:c r="B9593" s="13" t="str">
        <x:v>MOTIVA INFRAESTRUTURA DE MOB</x:v>
      </x:c>
      <x:c r="C9593" s="16" t="n">
        <x:v>1165.494016</x:v>
      </x:c>
      <x:c r="D9593" s="13" t="str">
        <x:v>Transportation</x:v>
      </x:c>
      <x:c r="E9593" s="13" t="str">
        <x:v>Transportation</x:v>
      </x:c>
      <x:c r="F9593" s="13" t="str">
        <x:v>Deep Cyclicals</x:v>
      </x:c>
      <x:c r="G9593" s="13" t="str">
        <x:v>Ibovespa_earnings_consolidated.xlsx</x:v>
      </x:c>
    </x:row>
    <x:row r="9594">
      <x:c r="A9594" s="15" t="n">
        <x:v>44652</x:v>
      </x:c>
      <x:c r="B9594" s="13" t="str">
        <x:v>RUMO SA</x:v>
      </x:c>
      <x:c r="C9594" s="16" t="n">
        <x:v>892.9822022137</x:v>
      </x:c>
      <x:c r="D9594" s="13" t="str">
        <x:v>Transportation</x:v>
      </x:c>
      <x:c r="E9594" s="13" t="str">
        <x:v>Transportation</x:v>
      </x:c>
      <x:c r="F9594" s="13" t="str">
        <x:v>Deep Cyclicals</x:v>
      </x:c>
      <x:c r="G9594" s="13" t="str">
        <x:v>Ibovespa_earnings_consolidated.xlsx</x:v>
      </x:c>
    </x:row>
    <x:row r="9595">
      <x:c r="A9595" s="15" t="n">
        <x:v>44652</x:v>
      </x:c>
      <x:c r="B9595" s="13" t="str">
        <x:v>AXIA ENERGIA SA</x:v>
      </x:c>
      <x:c r="C9595" s="16" t="n">
        <x:v>7159.6697038904</x:v>
      </x:c>
      <x:c r="D9595" s="13" t="str">
        <x:v>Utilities &amp; Energy</x:v>
      </x:c>
      <x:c r="E9595" s="13" t="str">
        <x:v>Utilities</x:v>
      </x:c>
      <x:c r="F9595" s="13" t="str">
        <x:v>Defensives</x:v>
      </x:c>
      <x:c r="G9595" s="13" t="str">
        <x:v>Ibovespa_earnings_consolidated.xlsx</x:v>
      </x:c>
    </x:row>
    <x:row r="9596">
      <x:c r="A9596" s="15" t="n">
        <x:v>44652</x:v>
      </x:c>
      <x:c r="B9596" s="13" t="str">
        <x:v>AXIA ENERGIA-PR B</x:v>
      </x:c>
      <x:c r="C9596" s="16" t="n">
        <x:v>7159.6697038904</x:v>
      </x:c>
      <x:c r="D9596" s="13" t="str">
        <x:v>Utilities &amp; Energy</x:v>
      </x:c>
      <x:c r="E9596" s="13" t="str">
        <x:v>Utilities</x:v>
      </x:c>
      <x:c r="F9596" s="13" t="str">
        <x:v>Defensives</x:v>
      </x:c>
      <x:c r="G9596" s="13" t="str">
        <x:v>Ibovespa_earnings_consolidated.xlsx</x:v>
      </x:c>
    </x:row>
    <x:row r="9597">
      <x:c r="A9597" s="15" t="n">
        <x:v>44652</x:v>
      </x:c>
      <x:c r="B9597" s="13" t="str">
        <x:v>CIA ENERGETICA MINAS GER-PRF</x:v>
      </x:c>
      <x:c r="C9597" s="16" t="n">
        <x:v>3244.1178953644</x:v>
      </x:c>
      <x:c r="D9597" s="13" t="str">
        <x:v>Utilities &amp; Energy</x:v>
      </x:c>
      <x:c r="E9597" s="13" t="str">
        <x:v>Utilities</x:v>
      </x:c>
      <x:c r="F9597" s="13" t="str">
        <x:v>Defensives</x:v>
      </x:c>
      <x:c r="G9597" s="13" t="str">
        <x:v>Ibovespa_earnings_consolidated.xlsx</x:v>
      </x:c>
    </x:row>
    <x:row r="9598">
      <x:c r="A9598" s="15" t="n">
        <x:v>44652</x:v>
      </x:c>
      <x:c r="B9598" s="13" t="str">
        <x:v>COMPANHIA PARANAENSE -PREF B</x:v>
      </x:c>
      <x:c r="C9598" s="16" t="n">
        <x:v>2393.7041316822</x:v>
      </x:c>
      <x:c r="D9598" s="13" t="str">
        <x:v>Utilities &amp; Energy</x:v>
      </x:c>
      <x:c r="E9598" s="13" t="str">
        <x:v>Utilities</x:v>
      </x:c>
      <x:c r="F9598" s="13" t="str">
        <x:v>Defensives</x:v>
      </x:c>
      <x:c r="G9598" s="13" t="str">
        <x:v>Ibovespa_earnings_consolidated.xlsx</x:v>
      </x:c>
    </x:row>
    <x:row r="9599">
      <x:c r="A9599" s="15" t="n">
        <x:v>44652</x:v>
      </x:c>
      <x:c r="B9599" s="13" t="str">
        <x:v>CPFL ENERGIA SA</x:v>
      </x:c>
      <x:c r="C9599" s="16" t="n">
        <x:v>4647.4708458959</x:v>
      </x:c>
      <x:c r="D9599" s="13" t="str">
        <x:v>Utilities &amp; Energy</x:v>
      </x:c>
      <x:c r="E9599" s="13" t="str">
        <x:v>Utilities</x:v>
      </x:c>
      <x:c r="F9599" s="13" t="str">
        <x:v>Defensives</x:v>
      </x:c>
      <x:c r="G9599" s="13" t="str">
        <x:v>Ibovespa_earnings_consolidated.xlsx</x:v>
      </x:c>
    </x:row>
    <x:row r="9600">
      <x:c r="A9600" s="15" t="n">
        <x:v>44652</x:v>
      </x:c>
      <x:c r="B9600" s="13" t="str">
        <x:v>EDP - ENERGIAS DO BRASIL SA</x:v>
      </x:c>
      <x:c r="C9600" s="16" t="n">
        <x:v>1691.1848991562</x:v>
      </x:c>
      <x:c r="D9600" s="13" t="str">
        <x:v>Utilities &amp; Energy</x:v>
      </x:c>
      <x:c r="E9600" s="13" t="str">
        <x:v>Utilities</x:v>
      </x:c>
      <x:c r="F9600" s="13" t="str">
        <x:v>Defensives</x:v>
      </x:c>
      <x:c r="G9600" s="13" t="str">
        <x:v>Ibovespa_earnings_consolidated.xlsx</x:v>
      </x:c>
    </x:row>
    <x:row r="9601">
      <x:c r="A9601" s="15" t="n">
        <x:v>44652</x:v>
      </x:c>
      <x:c r="B9601" s="13" t="str">
        <x:v>ENERGISA SA-UNITS</x:v>
      </x:c>
      <x:c r="C9601" s="16" t="n">
        <x:v>1826.9148394959</x:v>
      </x:c>
      <x:c r="D9601" s="13" t="str">
        <x:v>Utilities &amp; Energy</x:v>
      </x:c>
      <x:c r="E9601" s="13" t="str">
        <x:v>Utilities</x:v>
      </x:c>
      <x:c r="F9601" s="13" t="str">
        <x:v>Defensives</x:v>
      </x:c>
      <x:c r="G9601" s="13" t="str">
        <x:v>Ibovespa_earnings_consolidated.xlsx</x:v>
      </x:c>
    </x:row>
    <x:row r="9602">
      <x:c r="A9602" s="15" t="n">
        <x:v>44652</x:v>
      </x:c>
      <x:c r="B9602" s="13" t="str">
        <x:v>ENEVA SA</x:v>
      </x:c>
      <x:c r="C9602" s="16" t="n">
        <x:v>1128.2385635945</x:v>
      </x:c>
      <x:c r="D9602" s="13" t="str">
        <x:v>Utilities &amp; Energy</x:v>
      </x:c>
      <x:c r="E9602" s="13" t="str">
        <x:v>Utilities</x:v>
      </x:c>
      <x:c r="F9602" s="13" t="str">
        <x:v>Defensives</x:v>
      </x:c>
      <x:c r="G9602" s="13" t="str">
        <x:v>Ibovespa_earnings_consolidated.xlsx</x:v>
      </x:c>
    </x:row>
    <x:row r="9603">
      <x:c r="A9603" s="15" t="n">
        <x:v>44652</x:v>
      </x:c>
      <x:c r="B9603" s="13" t="str">
        <x:v>ENGIE BRASIL ENERGIA SA</x:v>
      </x:c>
      <x:c r="C9603" s="16" t="n">
        <x:v>3059.5566465753</x:v>
      </x:c>
      <x:c r="D9603" s="13" t="str">
        <x:v>Utilities &amp; Energy</x:v>
      </x:c>
      <x:c r="E9603" s="13" t="str">
        <x:v>Utilities</x:v>
      </x:c>
      <x:c r="F9603" s="13" t="str">
        <x:v>Defensives</x:v>
      </x:c>
      <x:c r="G9603" s="13" t="str">
        <x:v>Ibovespa_earnings_consolidated.xlsx</x:v>
      </x:c>
    </x:row>
    <x:row r="9604">
      <x:c r="A9604" s="15" t="n">
        <x:v>44652</x:v>
      </x:c>
      <x:c r="B9604" s="13" t="str">
        <x:v>EQUATORIAL SA - ORD</x:v>
      </x:c>
      <x:c r="C9604" s="16" t="n">
        <x:v>2615.5576670685</x:v>
      </x:c>
      <x:c r="D9604" s="13" t="str">
        <x:v>Utilities &amp; Energy</x:v>
      </x:c>
      <x:c r="E9604" s="13" t="str">
        <x:v>Utilities</x:v>
      </x:c>
      <x:c r="F9604" s="13" t="str">
        <x:v>Defensives</x:v>
      </x:c>
      <x:c r="G9604" s="13" t="str">
        <x:v>Ibovespa_earnings_consolidated.xlsx</x:v>
      </x:c>
    </x:row>
    <x:row r="9605">
      <x:c r="A9605" s="15" t="n">
        <x:v>44652</x:v>
      </x:c>
      <x:c r="B9605" s="13" t="str">
        <x:v>TRANSMISSORA ALIANCA DE-UNIT</x:v>
      </x:c>
      <x:c r="C9605" s="16" t="n">
        <x:v>1355.8255121534</x:v>
      </x:c>
      <x:c r="D9605" s="13" t="str">
        <x:v>Utilities &amp; Energy</x:v>
      </x:c>
      <x:c r="E9605" s="13" t="str">
        <x:v>Utilities</x:v>
      </x:c>
      <x:c r="F9605" s="13" t="str">
        <x:v>Defensives</x:v>
      </x:c>
      <x:c r="G9605" s="13" t="str">
        <x:v>Ibovespa_earnings_consolidated.xlsx</x:v>
      </x:c>
    </x:row>
    <x:row r="9606">
      <x:c r="A9606" s="15" t="n">
        <x:v>44682</x:v>
      </x:c>
      <x:c r="B9606" s="13" t="str">
        <x:v>SLC AGRICOLA SA</x:v>
      </x:c>
      <x:c r="C9606" s="16" t="n">
        <x:v>1384.3932850849</x:v>
      </x:c>
      <x:c r="D9606" s="13" t="str">
        <x:v>Agribusiness</x:v>
      </x:c>
      <x:c r="E9606" s="13" t="str">
        <x:v>Agri, Food &amp; Beverages</x:v>
      </x:c>
      <x:c r="F9606" s="13" t="str">
        <x:v>Defensives</x:v>
      </x:c>
      <x:c r="G9606" s="13" t="str">
        <x:v>Ibovespa_earnings_consolidated.xlsx</x:v>
      </x:c>
    </x:row>
    <x:row r="9607">
      <x:c r="A9607" s="15" t="n">
        <x:v>44682</x:v>
      </x:c>
      <x:c r="B9607" s="13" t="str">
        <x:v>BANCO BRADESCO S.A.</x:v>
      </x:c>
      <x:c r="C9607" s="16" t="n">
        <x:v>29339.9141558356</x:v>
      </x:c>
      <x:c r="D9607" s="13" t="str">
        <x:v>Banks</x:v>
      </x:c>
      <x:c r="E9607" s="13" t="str">
        <x:v>Banks</x:v>
      </x:c>
      <x:c r="F9607" s="13" t="str">
        <x:v>Financials</x:v>
      </x:c>
      <x:c r="G9607" s="13" t="str">
        <x:v>Ibovespa_earnings_consolidated.xlsx</x:v>
      </x:c>
    </x:row>
    <x:row r="9608">
      <x:c r="A9608" s="15" t="n">
        <x:v>44682</x:v>
      </x:c>
      <x:c r="B9608" s="13" t="str">
        <x:v>BANCO BRADESCO SA-PREF</x:v>
      </x:c>
      <x:c r="C9608" s="16" t="n">
        <x:v>29339.9141558356</x:v>
      </x:c>
      <x:c r="D9608" s="13" t="str">
        <x:v>Banks</x:v>
      </x:c>
      <x:c r="E9608" s="13" t="str">
        <x:v>Banks</x:v>
      </x:c>
      <x:c r="F9608" s="13" t="str">
        <x:v>Financials</x:v>
      </x:c>
      <x:c r="G9608" s="13" t="str">
        <x:v>Ibovespa_earnings_consolidated.xlsx</x:v>
      </x:c>
    </x:row>
    <x:row r="9609">
      <x:c r="A9609" s="15" t="n">
        <x:v>44682</x:v>
      </x:c>
      <x:c r="B9609" s="13" t="str">
        <x:v>BANCO BTG PACTUAL SA-UNIT</x:v>
      </x:c>
      <x:c r="C9609" s="16" t="n">
        <x:v>8242.7370397808</x:v>
      </x:c>
      <x:c r="D9609" s="13" t="str">
        <x:v>Banks</x:v>
      </x:c>
      <x:c r="E9609" s="13" t="str">
        <x:v>Banks</x:v>
      </x:c>
      <x:c r="F9609" s="13" t="str">
        <x:v>Financials</x:v>
      </x:c>
      <x:c r="G9609" s="13" t="str">
        <x:v>Ibovespa_earnings_consolidated.xlsx</x:v>
      </x:c>
    </x:row>
    <x:row r="9610">
      <x:c r="A9610" s="15" t="n">
        <x:v>44682</x:v>
      </x:c>
      <x:c r="B9610" s="13" t="str">
        <x:v>BANCO DO BRASIL S.A.</x:v>
      </x:c>
      <x:c r="C9610" s="16" t="n">
        <x:v>25808.9325217315</x:v>
      </x:c>
      <x:c r="D9610" s="13" t="str">
        <x:v>Banks</x:v>
      </x:c>
      <x:c r="E9610" s="13" t="str">
        <x:v>Banks</x:v>
      </x:c>
      <x:c r="F9610" s="13" t="str">
        <x:v>Financials</x:v>
      </x:c>
      <x:c r="G9610" s="13" t="str">
        <x:v>Ibovespa_earnings_consolidated.xlsx</x:v>
      </x:c>
    </x:row>
    <x:row r="9611">
      <x:c r="A9611" s="15" t="n">
        <x:v>44682</x:v>
      </x:c>
      <x:c r="B9611" s="13" t="str">
        <x:v>BANCO INTER SA</x:v>
      </x:c>
      <x:c r="C9611" s="16" t="n">
        <x:v>338.8719224986</x:v>
      </x:c>
      <x:c r="D9611" s="13" t="str">
        <x:v>Banks</x:v>
      </x:c>
      <x:c r="E9611" s="13" t="str">
        <x:v>Banks</x:v>
      </x:c>
      <x:c r="F9611" s="13" t="str">
        <x:v>Financials</x:v>
      </x:c>
      <x:c r="G9611" s="13" t="str">
        <x:v>Ibovespa_earnings_consolidated.xlsx</x:v>
      </x:c>
    </x:row>
    <x:row r="9612">
      <x:c r="A9612" s="15" t="n">
        <x:v>44682</x:v>
      </x:c>
      <x:c r="B9612" s="13" t="str">
        <x:v>BANCO PAN SA</x:v>
      </x:c>
      <x:c r="C9612" s="16" t="n">
        <x:v>973.4278431562</x:v>
      </x:c>
      <x:c r="D9612" s="13" t="str">
        <x:v>Banks</x:v>
      </x:c>
      <x:c r="E9612" s="13" t="str">
        <x:v>Banks</x:v>
      </x:c>
      <x:c r="F9612" s="13" t="str">
        <x:v>Financials</x:v>
      </x:c>
      <x:c r="G9612" s="13" t="str">
        <x:v>Ibovespa_earnings_consolidated.xlsx</x:v>
      </x:c>
    </x:row>
    <x:row r="9613">
      <x:c r="A9613" s="15" t="n">
        <x:v>44682</x:v>
      </x:c>
      <x:c r="B9613" s="13" t="str">
        <x:v>BANCO SANTANDER  BRASIL-UNIT</x:v>
      </x:c>
      <x:c r="C9613" s="16" t="n">
        <x:v>17333.5743502027</x:v>
      </x:c>
      <x:c r="D9613" s="13" t="str">
        <x:v>Banks</x:v>
      </x:c>
      <x:c r="E9613" s="13" t="str">
        <x:v>Banks</x:v>
      </x:c>
      <x:c r="F9613" s="13" t="str">
        <x:v>Financials</x:v>
      </x:c>
      <x:c r="G9613" s="13" t="str">
        <x:v>Ibovespa_earnings_consolidated.xlsx</x:v>
      </x:c>
    </x:row>
    <x:row r="9614">
      <x:c r="A9614" s="15" t="n">
        <x:v>44682</x:v>
      </x:c>
      <x:c r="B9614" s="13" t="str">
        <x:v>ITAU UNIBANCO HOLDING S-PREF</x:v>
      </x:c>
      <x:c r="C9614" s="16" t="n">
        <x:v>31557.5331292932</x:v>
      </x:c>
      <x:c r="D9614" s="13" t="str">
        <x:v>Banks</x:v>
      </x:c>
      <x:c r="E9614" s="13" t="str">
        <x:v>Banks</x:v>
      </x:c>
      <x:c r="F9614" s="13" t="str">
        <x:v>Financials</x:v>
      </x:c>
      <x:c r="G9614" s="13" t="str">
        <x:v>Ibovespa_earnings_consolidated.xlsx</x:v>
      </x:c>
    </x:row>
    <x:row r="9615">
      <x:c r="A9615" s="15" t="n">
        <x:v>44682</x:v>
      </x:c>
      <x:c r="B9615" s="13" t="str">
        <x:v>EMBRAER SA</x:v>
      </x:c>
      <x:c r="C9615" s="16" t="n">
        <x:v>326.4496799123</x:v>
      </x:c>
      <x:c r="D9615" s="13" t="str">
        <x:v>Capital Goods</x:v>
      </x:c>
      <x:c r="E9615" s="13" t="str">
        <x:v>Capital Goods</x:v>
      </x:c>
      <x:c r="F9615" s="13" t="str">
        <x:v>Deep Cyclicals</x:v>
      </x:c>
      <x:c r="G9615" s="13" t="str">
        <x:v>Ibovespa_earnings_consolidated.xlsx</x:v>
      </x:c>
    </x:row>
    <x:row r="9616">
      <x:c r="A9616" s="15" t="n">
        <x:v>44682</x:v>
      </x:c>
      <x:c r="B9616" s="13" t="str">
        <x:v>WEG SA</x:v>
      </x:c>
      <x:c r="C9616" s="16" t="n">
        <x:v>3821.9802588932</x:v>
      </x:c>
      <x:c r="D9616" s="13" t="str">
        <x:v>Capital Goods</x:v>
      </x:c>
      <x:c r="E9616" s="13" t="str">
        <x:v>Capital Goods</x:v>
      </x:c>
      <x:c r="F9616" s="13" t="str">
        <x:v>Deep Cyclicals</x:v>
      </x:c>
      <x:c r="G9616" s="13" t="str">
        <x:v>Ibovespa_earnings_consolidated.xlsx</x:v>
      </x:c>
    </x:row>
    <x:row r="9617">
      <x:c r="A9617" s="15" t="n">
        <x:v>44682</x:v>
      </x:c>
      <x:c r="B9617" s="13" t="str">
        <x:v>COGNA EDUCACAO</x:v>
      </x:c>
      <x:c r="C9617" s="16" t="n">
        <x:v>-205.8959901699</x:v>
      </x:c>
      <x:c r="D9617" s="13" t="str">
        <x:v>Education</x:v>
      </x:c>
      <x:c r="E9617" s="13" t="str">
        <x:v>Education</x:v>
      </x:c>
      <x:c r="F9617" s="13" t="str">
        <x:v>Early Cyclicals</x:v>
      </x:c>
      <x:c r="G9617" s="13" t="str">
        <x:v>Ibovespa_earnings_consolidated.xlsx</x:v>
      </x:c>
    </x:row>
    <x:row r="9618">
      <x:c r="A9618" s="15" t="n">
        <x:v>44682</x:v>
      </x:c>
      <x:c r="B9618" s="13" t="str">
        <x:v>YDUQS PARTICIPACOES SA</x:v>
      </x:c>
      <x:c r="C9618" s="16" t="n">
        <x:v>367.7515125479</x:v>
      </x:c>
      <x:c r="D9618" s="13" t="str">
        <x:v>Education</x:v>
      </x:c>
      <x:c r="E9618" s="13" t="str">
        <x:v>Education</x:v>
      </x:c>
      <x:c r="F9618" s="13" t="str">
        <x:v>Early Cyclicals</x:v>
      </x:c>
      <x:c r="G9618" s="13" t="str">
        <x:v>Ibovespa_earnings_consolidated.xlsx</x:v>
      </x:c>
    </x:row>
    <x:row r="9619">
      <x:c r="A9619" s="15" t="n">
        <x:v>44682</x:v>
      </x:c>
      <x:c r="B9619" s="13" t="str">
        <x:v>B3 SA-BRASIL BOLSA BALCAO</x:v>
      </x:c>
      <x:c r="C9619" s="16" t="n">
        <x:v>5226.779276274</x:v>
      </x:c>
      <x:c r="D9619" s="13" t="str">
        <x:v>Financials Non-Banks</x:v>
      </x:c>
      <x:c r="E9619" s="13" t="str">
        <x:v>Financials Non-Banks</x:v>
      </x:c>
      <x:c r="F9619" s="13" t="str">
        <x:v>Financials</x:v>
      </x:c>
      <x:c r="G9619" s="13" t="str">
        <x:v>Ibovespa_earnings_consolidated.xlsx</x:v>
      </x:c>
    </x:row>
    <x:row r="9620">
      <x:c r="A9620" s="15" t="n">
        <x:v>44682</x:v>
      </x:c>
      <x:c r="B9620" s="13" t="str">
        <x:v>BB SEGURIDADE PARTICIPACOES</x:v>
      </x:c>
      <x:c r="C9620" s="16" t="n">
        <x:v>5370.1734750685</x:v>
      </x:c>
      <x:c r="D9620" s="13" t="str">
        <x:v>Financials Non-Banks</x:v>
      </x:c>
      <x:c r="E9620" s="13" t="str">
        <x:v>Financials Non-Banks</x:v>
      </x:c>
      <x:c r="F9620" s="13" t="str">
        <x:v>Financials</x:v>
      </x:c>
      <x:c r="G9620" s="13" t="str">
        <x:v>Ibovespa_earnings_consolidated.xlsx</x:v>
      </x:c>
    </x:row>
    <x:row r="9621">
      <x:c r="A9621" s="15" t="n">
        <x:v>44682</x:v>
      </x:c>
      <x:c r="B9621" s="13" t="str">
        <x:v>CIELO SA</x:v>
      </x:c>
      <x:c r="C9621" s="16" t="n">
        <x:v>989.6404469479</x:v>
      </x:c>
      <x:c r="D9621" s="13" t="str">
        <x:v>Financials Non-Banks</x:v>
      </x:c>
      <x:c r="E9621" s="13" t="str">
        <x:v>Financials Non-Banks</x:v>
      </x:c>
      <x:c r="F9621" s="13" t="str">
        <x:v>Financials</x:v>
      </x:c>
      <x:c r="G9621" s="13" t="str">
        <x:v>Ibovespa_earnings_consolidated.xlsx</x:v>
      </x:c>
    </x:row>
    <x:row r="9622">
      <x:c r="A9622" s="15" t="n">
        <x:v>44682</x:v>
      </x:c>
      <x:c r="B9622" s="13" t="str">
        <x:v>CIELO SA - INSTITUICAO DE PA</x:v>
      </x:c>
      <x:c r="C9622" s="16" t="n">
        <x:v>989.6404469479</x:v>
      </x:c>
      <x:c r="D9622" s="13" t="str">
        <x:v>Financials Non-Banks</x:v>
      </x:c>
      <x:c r="E9622" s="13" t="str">
        <x:v>Financials Non-Banks</x:v>
      </x:c>
      <x:c r="F9622" s="13" t="str">
        <x:v>Financials</x:v>
      </x:c>
      <x:c r="G9622" s="13" t="str">
        <x:v>grid_wbaxp5t0.xlsx</x:v>
      </x:c>
    </x:row>
    <x:row r="9623">
      <x:c r="A9623" s="15" t="n">
        <x:v>44682</x:v>
      </x:c>
      <x:c r="B9623" s="13" t="str">
        <x:v>IRB BRASIL RESSEGUROS SA</x:v>
      </x:c>
      <x:c r="C9623" s="16" t="n">
        <x:v>302.3182250082</x:v>
      </x:c>
      <x:c r="D9623" s="13" t="str">
        <x:v>Financials Non-Banks</x:v>
      </x:c>
      <x:c r="E9623" s="13" t="str">
        <x:v>Financials Non-Banks</x:v>
      </x:c>
      <x:c r="F9623" s="13" t="str">
        <x:v>Financials</x:v>
      </x:c>
      <x:c r="G9623" s="13" t="str">
        <x:v>Ibovespa_earnings_consolidated.xlsx</x:v>
      </x:c>
    </x:row>
    <x:row r="9624">
      <x:c r="A9624" s="15" t="n">
        <x:v>44682</x:v>
      </x:c>
      <x:c r="B9624" s="13" t="str">
        <x:v>ITAUSA SA</x:v>
      </x:c>
      <x:c r="C9624" s="16" t="n">
        <x:v>12676.873690126</x:v>
      </x:c>
      <x:c r="D9624" s="13" t="str">
        <x:v>Financials Non-Banks</x:v>
      </x:c>
      <x:c r="E9624" s="13" t="str">
        <x:v>Financials Non-Banks</x:v>
      </x:c>
      <x:c r="F9624" s="13" t="str">
        <x:v>Financials</x:v>
      </x:c>
      <x:c r="G9624" s="13" t="str">
        <x:v>Ibovespa_earnings_consolidated.xlsx</x:v>
      </x:c>
    </x:row>
    <x:row r="9625">
      <x:c r="A9625" s="15" t="n">
        <x:v>44682</x:v>
      </x:c>
      <x:c r="B9625" s="13" t="str">
        <x:v>MELIUZ SA - ON</x:v>
      </x:c>
      <x:c r="C9625" s="16" t="n">
        <x:v>10.0356816438</x:v>
      </x:c>
      <x:c r="D9625" s="13" t="str">
        <x:v>Financials Non-Banks</x:v>
      </x:c>
      <x:c r="E9625" s="13" t="str">
        <x:v>Financials Non-Banks</x:v>
      </x:c>
      <x:c r="F9625" s="13" t="str">
        <x:v>Financials</x:v>
      </x:c>
      <x:c r="G9625" s="13" t="str">
        <x:v>Ibovespa_earnings_consolidated.xlsx</x:v>
      </x:c>
    </x:row>
    <x:row r="9626">
      <x:c r="A9626" s="15" t="n">
        <x:v>44682</x:v>
      </x:c>
      <x:c r="B9626" s="13" t="str">
        <x:v>AMBEV SA</x:v>
      </x:c>
      <x:c r="C9626" s="16" t="n">
        <x:v>12971.6613091945</x:v>
      </x:c>
      <x:c r="D9626" s="13" t="str">
        <x:v>Food &amp; Beverages</x:v>
      </x:c>
      <x:c r="E9626" s="13" t="str">
        <x:v>Agri, Food &amp; Beverages</x:v>
      </x:c>
      <x:c r="F9626" s="13" t="str">
        <x:v>Defensives</x:v>
      </x:c>
      <x:c r="G9626" s="13" t="str">
        <x:v>Ibovespa_earnings_consolidated.xlsx</x:v>
      </x:c>
    </x:row>
    <x:row r="9627">
      <x:c r="A9627" s="15" t="n">
        <x:v>44682</x:v>
      </x:c>
      <x:c r="B9627" s="13" t="str">
        <x:v>BRF SA</x:v>
      </x:c>
      <x:c r="C9627" s="16" t="n">
        <x:v>-497.1402950137</x:v>
      </x:c>
      <x:c r="D9627" s="13" t="str">
        <x:v>Food &amp; Beverages</x:v>
      </x:c>
      <x:c r="E9627" s="13" t="str">
        <x:v>Agri, Food &amp; Beverages</x:v>
      </x:c>
      <x:c r="F9627" s="13" t="str">
        <x:v>Defensives</x:v>
      </x:c>
      <x:c r="G9627" s="13" t="str">
        <x:v>Ibovespa_earnings_consolidated.xlsx</x:v>
      </x:c>
    </x:row>
    <x:row r="9628">
      <x:c r="A9628" s="15" t="n">
        <x:v>44682</x:v>
      </x:c>
      <x:c r="B9628" s="13" t="str">
        <x:v>JBS SA</x:v>
      </x:c>
      <x:c r="C9628" s="16" t="n">
        <x:v>13785.5574436822</x:v>
      </x:c>
      <x:c r="D9628" s="13" t="str">
        <x:v>Food &amp; Beverages</x:v>
      </x:c>
      <x:c r="E9628" s="13" t="str">
        <x:v>Agri, Food &amp; Beverages</x:v>
      </x:c>
      <x:c r="F9628" s="13" t="str">
        <x:v>Defensives</x:v>
      </x:c>
      <x:c r="G9628" s="13" t="str">
        <x:v>Ibovespa_earnings_consolidated.xlsx</x:v>
      </x:c>
    </x:row>
    <x:row r="9629">
      <x:c r="A9629" s="15" t="n">
        <x:v>44682</x:v>
      </x:c>
      <x:c r="B9629" s="13" t="str">
        <x:v>MBRF GLOBAL FOODS COMPANY SA</x:v>
      </x:c>
      <x:c r="C9629" s="16" t="n">
        <x:v>2706.7099479671</x:v>
      </x:c>
      <x:c r="D9629" s="13" t="str">
        <x:v>Food &amp; Beverages</x:v>
      </x:c>
      <x:c r="E9629" s="13" t="str">
        <x:v>Agri, Food &amp; Beverages</x:v>
      </x:c>
      <x:c r="F9629" s="13" t="str">
        <x:v>Defensives</x:v>
      </x:c>
      <x:c r="G9629" s="13" t="str">
        <x:v>Ibovespa_earnings_consolidated.xlsx</x:v>
      </x:c>
    </x:row>
    <x:row r="9630">
      <x:c r="A9630" s="15" t="n">
        <x:v>44682</x:v>
      </x:c>
      <x:c r="B9630" s="13" t="str">
        <x:v>MINERVA SA</x:v>
      </x:c>
      <x:c r="C9630" s="16" t="n">
        <x:v>911.518828537</x:v>
      </x:c>
      <x:c r="D9630" s="13" t="str">
        <x:v>Food &amp; Beverages</x:v>
      </x:c>
      <x:c r="E9630" s="13" t="str">
        <x:v>Agri, Food &amp; Beverages</x:v>
      </x:c>
      <x:c r="F9630" s="13" t="str">
        <x:v>Defensives</x:v>
      </x:c>
      <x:c r="G9630" s="13" t="str">
        <x:v>Ibovespa_earnings_consolidated.xlsx</x:v>
      </x:c>
    </x:row>
    <x:row r="9631">
      <x:c r="A9631" s="15" t="n">
        <x:v>44682</x:v>
      </x:c>
      <x:c r="B9631" s="13" t="str">
        <x:v>FLEURY SA</x:v>
      </x:c>
      <x:c r="C9631" s="16" t="n">
        <x:v>319.9302518356</x:v>
      </x:c>
      <x:c r="D9631" s="13" t="str">
        <x:v>Health Care</x:v>
      </x:c>
      <x:c r="E9631" s="13" t="str">
        <x:v>Health Care</x:v>
      </x:c>
      <x:c r="F9631" s="13" t="str">
        <x:v>Defensives</x:v>
      </x:c>
      <x:c r="G9631" s="13" t="str">
        <x:v>Ibovespa_earnings_consolidated.xlsx</x:v>
      </x:c>
    </x:row>
    <x:row r="9632">
      <x:c r="A9632" s="15" t="n">
        <x:v>44682</x:v>
      </x:c>
      <x:c r="B9632" s="13" t="str">
        <x:v>HAPVIDA PARTICIPACOES E INVE</x:v>
      </x:c>
      <x:c r="C9632" s="16" t="n">
        <x:v>1627.7907946959</x:v>
      </x:c>
      <x:c r="D9632" s="13" t="str">
        <x:v>Health Care</x:v>
      </x:c>
      <x:c r="E9632" s="13" t="str">
        <x:v>Health Care</x:v>
      </x:c>
      <x:c r="F9632" s="13" t="str">
        <x:v>Defensives</x:v>
      </x:c>
      <x:c r="G9632" s="13" t="str">
        <x:v>Ibovespa_earnings_consolidated.xlsx</x:v>
      </x:c>
    </x:row>
    <x:row r="9633">
      <x:c r="A9633" s="15" t="n">
        <x:v>44682</x:v>
      </x:c>
      <x:c r="B9633" s="13" t="str">
        <x:v>HYPERA SA</x:v>
      </x:c>
      <x:c r="C9633" s="16" t="n">
        <x:v>1777.084088811</x:v>
      </x:c>
      <x:c r="D9633" s="13" t="str">
        <x:v>Health Care</x:v>
      </x:c>
      <x:c r="E9633" s="13" t="str">
        <x:v>Health Care</x:v>
      </x:c>
      <x:c r="F9633" s="13" t="str">
        <x:v>Defensives</x:v>
      </x:c>
      <x:c r="G9633" s="13" t="str">
        <x:v>Ibovespa_earnings_consolidated.xlsx</x:v>
      </x:c>
    </x:row>
    <x:row r="9634">
      <x:c r="A9634" s="15" t="n">
        <x:v>44682</x:v>
      </x:c>
      <x:c r="B9634" s="13" t="str">
        <x:v>QUALICORP CONS E CORR SEG SA</x:v>
      </x:c>
      <x:c r="C9634" s="16" t="n">
        <x:v>342.6451385863</x:v>
      </x:c>
      <x:c r="D9634" s="13" t="str">
        <x:v>Health Care</x:v>
      </x:c>
      <x:c r="E9634" s="13" t="str">
        <x:v>Health Care</x:v>
      </x:c>
      <x:c r="F9634" s="13" t="str">
        <x:v>Defensives</x:v>
      </x:c>
      <x:c r="G9634" s="13" t="str">
        <x:v>Ibovespa_earnings_consolidated.xlsx</x:v>
      </x:c>
    </x:row>
    <x:row r="9635">
      <x:c r="A9635" s="15" t="n">
        <x:v>44682</x:v>
      </x:c>
      <x:c r="B9635" s="13" t="str">
        <x:v>REDE D'OR SAO LUIZ SA</x:v>
      </x:c>
      <x:c r="C9635" s="16" t="n">
        <x:v>2453.4435713753</x:v>
      </x:c>
      <x:c r="D9635" s="13" t="str">
        <x:v>Health Care</x:v>
      </x:c>
      <x:c r="E9635" s="13" t="str">
        <x:v>Health Care</x:v>
      </x:c>
      <x:c r="F9635" s="13" t="str">
        <x:v>Defensives</x:v>
      </x:c>
      <x:c r="G9635" s="13" t="str">
        <x:v>Ibovespa_earnings_consolidated.xlsx</x:v>
      </x:c>
    </x:row>
    <x:row r="9636">
      <x:c r="A9636" s="15" t="n">
        <x:v>44682</x:v>
      </x:c>
      <x:c r="B9636" s="13" t="str">
        <x:v>SUL AMERICA SA - UNITS</x:v>
      </x:c>
      <x:c r="C9636" s="16" t="n">
        <x:v>1102.3467292055</x:v>
      </x:c>
      <x:c r="D9636" s="13" t="str">
        <x:v>Health Care</x:v>
      </x:c>
      <x:c r="E9636" s="13" t="str">
        <x:v>Health Care</x:v>
      </x:c>
      <x:c r="F9636" s="13" t="str">
        <x:v>Defensives</x:v>
      </x:c>
      <x:c r="G9636" s="13" t="str">
        <x:v>Ibovespa_earnings_consolidated.xlsx</x:v>
      </x:c>
    </x:row>
    <x:row r="9637">
      <x:c r="A9637" s="15" t="n">
        <x:v>44682</x:v>
      </x:c>
      <x:c r="B9637" s="13" t="str">
        <x:v>CYRELA BRAZIL REALTY SA EMP</x:v>
      </x:c>
      <x:c r="C9637" s="16" t="n">
        <x:v>964.1302775233</x:v>
      </x:c>
      <x:c r="D9637" s="13" t="str">
        <x:v>Homebuilders</x:v>
      </x:c>
      <x:c r="E9637" s="13" t="str">
        <x:v>Real Estate</x:v>
      </x:c>
      <x:c r="F9637" s="13" t="str">
        <x:v>Early Cyclicals</x:v>
      </x:c>
      <x:c r="G9637" s="13" t="str">
        <x:v>Ibovespa_earnings_consolidated.xlsx</x:v>
      </x:c>
    </x:row>
    <x:row r="9638">
      <x:c r="A9638" s="15" t="n">
        <x:v>44682</x:v>
      </x:c>
      <x:c r="B9638" s="13" t="str">
        <x:v>EZ TEC EMPREENDIMENTOS E PAR</x:v>
      </x:c>
      <x:c r="C9638" s="16" t="n">
        <x:v>581.5391640548</x:v>
      </x:c>
      <x:c r="D9638" s="13" t="str">
        <x:v>Homebuilders</x:v>
      </x:c>
      <x:c r="E9638" s="13" t="str">
        <x:v>Real Estate</x:v>
      </x:c>
      <x:c r="F9638" s="13" t="str">
        <x:v>Early Cyclicals</x:v>
      </x:c>
      <x:c r="G9638" s="13" t="str">
        <x:v>Ibovespa_earnings_consolidated.xlsx</x:v>
      </x:c>
    </x:row>
    <x:row r="9639">
      <x:c r="A9639" s="15" t="n">
        <x:v>44682</x:v>
      </x:c>
      <x:c r="B9639" s="13" t="str">
        <x:v>MRV ENGENHARIA</x:v>
      </x:c>
      <x:c r="C9639" s="16" t="n">
        <x:v>663.0602739726</x:v>
      </x:c>
      <x:c r="D9639" s="13" t="str">
        <x:v>Homebuilders</x:v>
      </x:c>
      <x:c r="E9639" s="13" t="str">
        <x:v>Real Estate</x:v>
      </x:c>
      <x:c r="F9639" s="13" t="str">
        <x:v>Early Cyclicals</x:v>
      </x:c>
      <x:c r="G9639" s="13" t="str">
        <x:v>Ibovespa_earnings_consolidated.xlsx</x:v>
      </x:c>
    </x:row>
    <x:row r="9640">
      <x:c r="A9640" s="15" t="n">
        <x:v>44682</x:v>
      </x:c>
      <x:c r="B9640" s="13" t="str">
        <x:v>BR MALLS PARTICIPACOES SA</x:v>
      </x:c>
      <x:c r="C9640" s="16" t="n">
        <x:v>542.3478643726</x:v>
      </x:c>
      <x:c r="D9640" s="13" t="str">
        <x:v>Income Properties</x:v>
      </x:c>
      <x:c r="E9640" s="13" t="str">
        <x:v>Real Estate</x:v>
      </x:c>
      <x:c r="F9640" s="13" t="str">
        <x:v>Early Cyclicals</x:v>
      </x:c>
      <x:c r="G9640" s="13" t="str">
        <x:v>Ibovespa_earnings_consolidated.xlsx</x:v>
      </x:c>
    </x:row>
    <x:row r="9641">
      <x:c r="A9641" s="15" t="n">
        <x:v>44682</x:v>
      </x:c>
      <x:c r="B9641" s="13" t="str">
        <x:v>IGUATEMI SA - UNITS</x:v>
      </x:c>
      <x:c r="C9641" s="16" t="n">
        <x:v>276.010311189</x:v>
      </x:c>
      <x:c r="D9641" s="13" t="str">
        <x:v>Income Properties</x:v>
      </x:c>
      <x:c r="E9641" s="13" t="str">
        <x:v>Real Estate</x:v>
      </x:c>
      <x:c r="F9641" s="13" t="str">
        <x:v>Early Cyclicals</x:v>
      </x:c>
      <x:c r="G9641" s="13" t="str">
        <x:v>Ibovespa_earnings_consolidated.xlsx</x:v>
      </x:c>
    </x:row>
    <x:row r="9642">
      <x:c r="A9642" s="15" t="n">
        <x:v>44682</x:v>
      </x:c>
      <x:c r="B9642" s="13" t="str">
        <x:v>JHSF PARTICIPACOES SA</x:v>
      </x:c>
      <x:c r="C9642" s="16" t="n">
        <x:v>688.3163230685</x:v>
      </x:c>
      <x:c r="D9642" s="13" t="str">
        <x:v>Income Properties</x:v>
      </x:c>
      <x:c r="E9642" s="13" t="str">
        <x:v>Real Estate</x:v>
      </x:c>
      <x:c r="F9642" s="13" t="str">
        <x:v>Early Cyclicals</x:v>
      </x:c>
      <x:c r="G9642" s="13" t="str">
        <x:v>Ibovespa_earnings_consolidated.xlsx</x:v>
      </x:c>
    </x:row>
    <x:row r="9643">
      <x:c r="A9643" s="15" t="n">
        <x:v>44682</x:v>
      </x:c>
      <x:c r="B9643" s="13" t="str">
        <x:v>MULTIPLAN EMPREENDIMENTOS</x:v>
      </x:c>
      <x:c r="C9643" s="16" t="n">
        <x:v>727.3758302685</x:v>
      </x:c>
      <x:c r="D9643" s="13" t="str">
        <x:v>Income Properties</x:v>
      </x:c>
      <x:c r="E9643" s="13" t="str">
        <x:v>Real Estate</x:v>
      </x:c>
      <x:c r="F9643" s="13" t="str">
        <x:v>Early Cyclicals</x:v>
      </x:c>
      <x:c r="G9643" s="13" t="str">
        <x:v>Ibovespa_earnings_consolidated.xlsx</x:v>
      </x:c>
    </x:row>
    <x:row r="9644">
      <x:c r="A9644" s="15" t="n">
        <x:v>44682</x:v>
      </x:c>
      <x:c r="B9644" s="13" t="str">
        <x:v>BRADESPAR SA -PREF</x:v>
      </x:c>
      <x:c r="C9644" s="16" t="n">
        <x:v>2543.8410583671</x:v>
      </x:c>
      <x:c r="D9644" s="13" t="str">
        <x:v>Metals &amp; Mining</x:v>
      </x:c>
      <x:c r="E9644" s="13" t="str">
        <x:v>Metals &amp; Mining</x:v>
      </x:c>
      <x:c r="F9644" s="13" t="str">
        <x:v>Deep Cyclicals</x:v>
      </x:c>
      <x:c r="G9644" s="13" t="str">
        <x:v>Ibovespa_earnings_consolidated.xlsx</x:v>
      </x:c>
    </x:row>
    <x:row r="9645">
      <x:c r="A9645" s="15" t="n">
        <x:v>44682</x:v>
      </x:c>
      <x:c r="B9645" s="13" t="str">
        <x:v>CIA SIDERURGICA NACIONAL SA</x:v>
      </x:c>
      <x:c r="C9645" s="16" t="n">
        <x:v>7480.0192736438</x:v>
      </x:c>
      <x:c r="D9645" s="13" t="str">
        <x:v>Metals &amp; Mining</x:v>
      </x:c>
      <x:c r="E9645" s="13" t="str">
        <x:v>Metals &amp; Mining</x:v>
      </x:c>
      <x:c r="F9645" s="13" t="str">
        <x:v>Deep Cyclicals</x:v>
      </x:c>
      <x:c r="G9645" s="13" t="str">
        <x:v>Ibovespa_earnings_consolidated.xlsx</x:v>
      </x:c>
    </x:row>
    <x:row r="9646">
      <x:c r="A9646" s="15" t="n">
        <x:v>44682</x:v>
      </x:c>
      <x:c r="B9646" s="13" t="str">
        <x:v>CSN MINERACAO SA</x:v>
      </x:c>
      <x:c r="C9646" s="16" t="n">
        <x:v>5010.8714853699</x:v>
      </x:c>
      <x:c r="D9646" s="13" t="str">
        <x:v>Metals &amp; Mining</x:v>
      </x:c>
      <x:c r="E9646" s="13" t="str">
        <x:v>Metals &amp; Mining</x:v>
      </x:c>
      <x:c r="F9646" s="13" t="str">
        <x:v>Deep Cyclicals</x:v>
      </x:c>
      <x:c r="G9646" s="13" t="str">
        <x:v>Ibovespa_earnings_consolidated.xlsx</x:v>
      </x:c>
    </x:row>
    <x:row r="9647">
      <x:c r="A9647" s="15" t="n">
        <x:v>44682</x:v>
      </x:c>
      <x:c r="B9647" s="13" t="str">
        <x:v>GERDAU SA-PREF</x:v>
      </x:c>
      <x:c r="C9647" s="16" t="n">
        <x:v>9791.9334245699</x:v>
      </x:c>
      <x:c r="D9647" s="13" t="str">
        <x:v>Metals &amp; Mining</x:v>
      </x:c>
      <x:c r="E9647" s="13" t="str">
        <x:v>Metals &amp; Mining</x:v>
      </x:c>
      <x:c r="F9647" s="13" t="str">
        <x:v>Deep Cyclicals</x:v>
      </x:c>
      <x:c r="G9647" s="13" t="str">
        <x:v>Ibovespa_earnings_consolidated.xlsx</x:v>
      </x:c>
    </x:row>
    <x:row r="9648">
      <x:c r="A9648" s="15" t="n">
        <x:v>44682</x:v>
      </x:c>
      <x:c r="B9648" s="13" t="str">
        <x:v>USINAS SIDER MINAS GER-PF A</x:v>
      </x:c>
      <x:c r="C9648" s="16" t="n">
        <x:v>4212.2850598575</x:v>
      </x:c>
      <x:c r="D9648" s="13" t="str">
        <x:v>Metals &amp; Mining</x:v>
      </x:c>
      <x:c r="E9648" s="13" t="str">
        <x:v>Metals &amp; Mining</x:v>
      </x:c>
      <x:c r="F9648" s="13" t="str">
        <x:v>Deep Cyclicals</x:v>
      </x:c>
      <x:c r="G9648" s="13" t="str">
        <x:v>Ibovespa_earnings_consolidated.xlsx</x:v>
      </x:c>
    </x:row>
    <x:row r="9649">
      <x:c r="A9649" s="15" t="n">
        <x:v>44682</x:v>
      </x:c>
      <x:c r="B9649" s="13" t="str">
        <x:v>VALE SA</x:v>
      </x:c>
      <x:c r="C9649" s="16" t="n">
        <x:v>87999.9934351781</x:v>
      </x:c>
      <x:c r="D9649" s="13" t="str">
        <x:v>Metals &amp; Mining</x:v>
      </x:c>
      <x:c r="E9649" s="13" t="str">
        <x:v>Metals &amp; Mining</x:v>
      </x:c>
      <x:c r="F9649" s="13" t="str">
        <x:v>Deep Cyclicals</x:v>
      </x:c>
      <x:c r="G9649" s="13" t="str">
        <x:v>Ibovespa_earnings_consolidated.xlsx</x:v>
      </x:c>
    </x:row>
    <x:row r="9650">
      <x:c r="A9650" s="15" t="n">
        <x:v>44682</x:v>
      </x:c>
      <x:c r="B9650" s="13" t="str">
        <x:v>BRASKEM SA-PREF A</x:v>
      </x:c>
      <x:c r="C9650" s="16" t="n">
        <x:v>4693.5912938959</x:v>
      </x:c>
      <x:c r="D9650" s="13" t="str">
        <x:v>Oil, Gas &amp; Petrochemicals</x:v>
      </x:c>
      <x:c r="E9650" s="13" t="str">
        <x:v>Oil, Gas &amp; Petrochemicals</x:v>
      </x:c>
      <x:c r="F9650" s="13" t="str">
        <x:v>Deep Cyclicals</x:v>
      </x:c>
      <x:c r="G9650" s="13" t="str">
        <x:v>Ibovespa_earnings_consolidated.xlsx</x:v>
      </x:c>
    </x:row>
    <x:row r="9651">
      <x:c r="A9651" s="15" t="n">
        <x:v>44682</x:v>
      </x:c>
      <x:c r="B9651" s="13" t="str">
        <x:v>BRAVA ENERGIA</x:v>
      </x:c>
      <x:c r="C9651" s="16" t="n">
        <x:v>1884.4269778411</x:v>
      </x:c>
      <x:c r="D9651" s="13" t="str">
        <x:v>Oil, Gas &amp; Petrochemicals</x:v>
      </x:c>
      <x:c r="E9651" s="13" t="str">
        <x:v>Oil, Gas &amp; Petrochemicals</x:v>
      </x:c>
      <x:c r="F9651" s="13" t="str">
        <x:v>Deep Cyclicals</x:v>
      </x:c>
      <x:c r="G9651" s="13" t="str">
        <x:v>Ibovespa_earnings_consolidated.xlsx</x:v>
      </x:c>
    </x:row>
    <x:row r="9652">
      <x:c r="A9652" s="15" t="n">
        <x:v>44682</x:v>
      </x:c>
      <x:c r="B9652" s="13" t="str">
        <x:v>COSAN SA</x:v>
      </x:c>
      <x:c r="C9652" s="16" t="n">
        <x:v>4085.2293127014</x:v>
      </x:c>
      <x:c r="D9652" s="13" t="str">
        <x:v>Oil, Gas &amp; Petrochemicals</x:v>
      </x:c>
      <x:c r="E9652" s="13" t="str">
        <x:v>Oil, Gas &amp; Petrochemicals</x:v>
      </x:c>
      <x:c r="F9652" s="13" t="str">
        <x:v>Deep Cyclicals</x:v>
      </x:c>
      <x:c r="G9652" s="13" t="str">
        <x:v>Ibovespa_earnings_consolidated.xlsx</x:v>
      </x:c>
    </x:row>
    <x:row r="9653">
      <x:c r="A9653" s="15" t="n">
        <x:v>44682</x:v>
      </x:c>
      <x:c r="B9653" s="13" t="str">
        <x:v>PETROBRAS - PETROLEO BRAS</x:v>
      </x:c>
      <x:c r="C9653" s="16" t="n">
        <x:v>123853.803194564</x:v>
      </x:c>
      <x:c r="D9653" s="13" t="str">
        <x:v>Oil, Gas &amp; Petrochemicals</x:v>
      </x:c>
      <x:c r="E9653" s="13" t="str">
        <x:v>Oil, Gas &amp; Petrochemicals</x:v>
      </x:c>
      <x:c r="F9653" s="13" t="str">
        <x:v>Deep Cyclicals</x:v>
      </x:c>
      <x:c r="G9653" s="13" t="str">
        <x:v>Ibovespa_earnings_consolidated.xlsx</x:v>
      </x:c>
    </x:row>
    <x:row r="9654">
      <x:c r="A9654" s="15" t="n">
        <x:v>44682</x:v>
      </x:c>
      <x:c r="B9654" s="13" t="str">
        <x:v>PRIO SA</x:v>
      </x:c>
      <x:c r="C9654" s="16" t="n">
        <x:v>2686.358560263</x:v>
      </x:c>
      <x:c r="D9654" s="13" t="str">
        <x:v>Oil, Gas &amp; Petrochemicals</x:v>
      </x:c>
      <x:c r="E9654" s="13" t="str">
        <x:v>Oil, Gas &amp; Petrochemicals</x:v>
      </x:c>
      <x:c r="F9654" s="13" t="str">
        <x:v>Deep Cyclicals</x:v>
      </x:c>
      <x:c r="G9654" s="13" t="str">
        <x:v>Ibovespa_earnings_consolidated.xlsx</x:v>
      </x:c>
    </x:row>
    <x:row r="9655">
      <x:c r="A9655" s="15" t="n">
        <x:v>44682</x:v>
      </x:c>
      <x:c r="B9655" s="13" t="str">
        <x:v>ULTRAPAR PARTICIPACOES SA</x:v>
      </x:c>
      <x:c r="C9655" s="16" t="n">
        <x:v>1076.4135785205</x:v>
      </x:c>
      <x:c r="D9655" s="13" t="str">
        <x:v>Oil, Gas &amp; Petrochemicals</x:v>
      </x:c>
      <x:c r="E9655" s="13" t="str">
        <x:v>Oil, Gas &amp; Petrochemicals</x:v>
      </x:c>
      <x:c r="F9655" s="13" t="str">
        <x:v>Deep Cyclicals</x:v>
      </x:c>
      <x:c r="G9655" s="13" t="str">
        <x:v>Ibovespa_earnings_consolidated.xlsx</x:v>
      </x:c>
    </x:row>
    <x:row r="9656">
      <x:c r="A9656" s="15" t="n">
        <x:v>44682</x:v>
      </x:c>
      <x:c r="B9656" s="13" t="str">
        <x:v>VIBRA ENERGIA SA</x:v>
      </x:c>
      <x:c r="C9656" s="16" t="n">
        <x:v>2045.1431346849</x:v>
      </x:c>
      <x:c r="D9656" s="13" t="str">
        <x:v>Oil, Gas &amp; Petrochemicals</x:v>
      </x:c>
      <x:c r="E9656" s="13" t="str">
        <x:v>Oil, Gas &amp; Petrochemicals</x:v>
      </x:c>
      <x:c r="F9656" s="13" t="str">
        <x:v>Deep Cyclicals</x:v>
      </x:c>
      <x:c r="G9656" s="13" t="str">
        <x:v>Ibovespa_earnings_consolidated.xlsx</x:v>
      </x:c>
    </x:row>
    <x:row r="9657">
      <x:c r="A9657" s="15" t="n">
        <x:v>44682</x:v>
      </x:c>
      <x:c r="B9657" s="13" t="str">
        <x:v>DEXCO SA</x:v>
      </x:c>
      <x:c r="C9657" s="16" t="n">
        <x:v>922.9623373151</x:v>
      </x:c>
      <x:c r="D9657" s="13" t="str">
        <x:v>Pulp &amp; Paper</x:v>
      </x:c>
      <x:c r="E9657" s="13" t="str">
        <x:v>Pulp &amp; Paper</x:v>
      </x:c>
      <x:c r="F9657" s="13" t="str">
        <x:v>Deep Cyclicals</x:v>
      </x:c>
      <x:c r="G9657" s="13" t="str">
        <x:v>Ibovespa_earnings_consolidated.xlsx</x:v>
      </x:c>
    </x:row>
    <x:row r="9658">
      <x:c r="A9658" s="15" t="n">
        <x:v>44682</x:v>
      </x:c>
      <x:c r="B9658" s="13" t="str">
        <x:v>KLABIN SA - UNIT</x:v>
      </x:c>
      <x:c r="C9658" s="16" t="n">
        <x:v>2526.1834976438</x:v>
      </x:c>
      <x:c r="D9658" s="13" t="str">
        <x:v>Pulp &amp; Paper</x:v>
      </x:c>
      <x:c r="E9658" s="13" t="str">
        <x:v>Pulp &amp; Paper</x:v>
      </x:c>
      <x:c r="F9658" s="13" t="str">
        <x:v>Deep Cyclicals</x:v>
      </x:c>
      <x:c r="G9658" s="13" t="str">
        <x:v>Ibovespa_earnings_consolidated.xlsx</x:v>
      </x:c>
    </x:row>
    <x:row r="9659">
      <x:c r="A9659" s="15" t="n">
        <x:v>44682</x:v>
      </x:c>
      <x:c r="B9659" s="13" t="str">
        <x:v>SUZANO SA</x:v>
      </x:c>
      <x:c r="C9659" s="16" t="n">
        <x:v>8156.6954846685</x:v>
      </x:c>
      <x:c r="D9659" s="13" t="str">
        <x:v>Pulp &amp; Paper</x:v>
      </x:c>
      <x:c r="E9659" s="13" t="str">
        <x:v>Pulp &amp; Paper</x:v>
      </x:c>
      <x:c r="F9659" s="13" t="str">
        <x:v>Deep Cyclicals</x:v>
      </x:c>
      <x:c r="G9659" s="13" t="str">
        <x:v>Ibovespa_earnings_consolidated.xlsx</x:v>
      </x:c>
    </x:row>
    <x:row r="9660">
      <x:c r="A9660" s="15" t="n">
        <x:v>44682</x:v>
      </x:c>
      <x:c r="B9660" s="13" t="str">
        <x:v>ALPARGATAS SA - PREF</x:v>
      </x:c>
      <x:c r="C9660" s="16" t="n">
        <x:v>660.3157412822</x:v>
      </x:c>
      <x:c r="D9660" s="13" t="str">
        <x:v>Retail</x:v>
      </x:c>
      <x:c r="E9660" s="13" t="str">
        <x:v>Retail</x:v>
      </x:c>
      <x:c r="F9660" s="13" t="str">
        <x:v>Early Cyclicals</x:v>
      </x:c>
      <x:c r="G9660" s="13" t="str">
        <x:v>Ibovespa_earnings_consolidated.xlsx</x:v>
      </x:c>
    </x:row>
    <x:row r="9661">
      <x:c r="A9661" s="15" t="n">
        <x:v>44682</x:v>
      </x:c>
      <x:c r="B9661" s="13" t="str">
        <x:v>AMERICANAS SA</x:v>
      </x:c>
      <x:c r="C9661" s="16" t="n">
        <x:v>556.0573887123</x:v>
      </x:c>
      <x:c r="D9661" s="13" t="str">
        <x:v>Retail</x:v>
      </x:c>
      <x:c r="E9661" s="13" t="str">
        <x:v>Retail</x:v>
      </x:c>
      <x:c r="F9661" s="13" t="str">
        <x:v>Early Cyclicals</x:v>
      </x:c>
      <x:c r="G9661" s="13" t="str">
        <x:v>Ibovespa_earnings_consolidated.xlsx</x:v>
      </x:c>
    </x:row>
    <x:row r="9662">
      <x:c r="A9662" s="15" t="n">
        <x:v>44682</x:v>
      </x:c>
      <x:c r="B9662" s="13" t="str">
        <x:v>ATACADAO SA</x:v>
      </x:c>
      <x:c r="C9662" s="16" t="n">
        <x:v>2490.3148375671</x:v>
      </x:c>
      <x:c r="D9662" s="13" t="str">
        <x:v>Retail</x:v>
      </x:c>
      <x:c r="E9662" s="13" t="str">
        <x:v>Retail</x:v>
      </x:c>
      <x:c r="F9662" s="13" t="str">
        <x:v>Early Cyclicals</x:v>
      </x:c>
      <x:c r="G9662" s="13" t="str">
        <x:v>Ibovespa_earnings_consolidated.xlsx</x:v>
      </x:c>
    </x:row>
    <x:row r="9663">
      <x:c r="A9663" s="15" t="n">
        <x:v>44682</x:v>
      </x:c>
      <x:c r="B9663" s="13" t="str">
        <x:v>CIA BRASILEIRA DE DISTRIBUIC</x:v>
      </x:c>
      <x:c r="C9663" s="16" t="n">
        <x:v>677.2767987726</x:v>
      </x:c>
      <x:c r="D9663" s="13" t="str">
        <x:v>Retail</x:v>
      </x:c>
      <x:c r="E9663" s="13" t="str">
        <x:v>Retail</x:v>
      </x:c>
      <x:c r="F9663" s="13" t="str">
        <x:v>Early Cyclicals</x:v>
      </x:c>
      <x:c r="G9663" s="13" t="str">
        <x:v>Ibovespa_earnings_consolidated.xlsx</x:v>
      </x:c>
    </x:row>
    <x:row r="9664">
      <x:c r="A9664" s="15" t="n">
        <x:v>44682</x:v>
      </x:c>
      <x:c r="B9664" s="13" t="str">
        <x:v>CVC BRASIL OPERADORA E AGENC</x:v>
      </x:c>
      <x:c r="C9664" s="16" t="n">
        <x:v>-94.6567123288</x:v>
      </x:c>
      <x:c r="D9664" s="13" t="str">
        <x:v>Retail</x:v>
      </x:c>
      <x:c r="E9664" s="13" t="str">
        <x:v>Retail</x:v>
      </x:c>
      <x:c r="F9664" s="13" t="str">
        <x:v>Early Cyclicals</x:v>
      </x:c>
      <x:c r="G9664" s="13" t="str">
        <x:v>Ibovespa_earnings_consolidated.xlsx</x:v>
      </x:c>
    </x:row>
    <x:row r="9665">
      <x:c r="A9665" s="15" t="n">
        <x:v>44682</x:v>
      </x:c>
      <x:c r="B9665" s="13" t="str">
        <x:v>GRUPO CASAS BAHIA SA</x:v>
      </x:c>
      <x:c r="C9665" s="16" t="n">
        <x:v>-337.4292156493</x:v>
      </x:c>
      <x:c r="D9665" s="13" t="str">
        <x:v>Retail</x:v>
      </x:c>
      <x:c r="E9665" s="13" t="str">
        <x:v>Retail</x:v>
      </x:c>
      <x:c r="F9665" s="13" t="str">
        <x:v>Early Cyclicals</x:v>
      </x:c>
      <x:c r="G9665" s="13" t="str">
        <x:v>Ibovespa_earnings_consolidated.xlsx</x:v>
      </x:c>
    </x:row>
    <x:row r="9666">
      <x:c r="A9666" s="15" t="n">
        <x:v>44682</x:v>
      </x:c>
      <x:c r="B9666" s="13" t="str">
        <x:v>GRUPO DE MODA SOMA SA</x:v>
      </x:c>
      <x:c r="C9666" s="16" t="n">
        <x:v>488.615890411</x:v>
      </x:c>
      <x:c r="D9666" s="13" t="str">
        <x:v>Retail</x:v>
      </x:c>
      <x:c r="E9666" s="13" t="str">
        <x:v>Retail</x:v>
      </x:c>
      <x:c r="F9666" s="13" t="str">
        <x:v>Early Cyclicals</x:v>
      </x:c>
      <x:c r="G9666" s="13" t="str">
        <x:v>Ibovespa_earnings_consolidated.xlsx</x:v>
      </x:c>
    </x:row>
    <x:row r="9667">
      <x:c r="A9667" s="15" t="n">
        <x:v>44682</x:v>
      </x:c>
      <x:c r="B9667" s="13" t="str">
        <x:v>LOJAS RENNER S.A.</x:v>
      </x:c>
      <x:c r="C9667" s="16" t="n">
        <x:v>1428.6334926904</x:v>
      </x:c>
      <x:c r="D9667" s="13" t="str">
        <x:v>Retail</x:v>
      </x:c>
      <x:c r="E9667" s="13" t="str">
        <x:v>Retail</x:v>
      </x:c>
      <x:c r="F9667" s="13" t="str">
        <x:v>Early Cyclicals</x:v>
      </x:c>
      <x:c r="G9667" s="13" t="str">
        <x:v>Ibovespa_earnings_consolidated.xlsx</x:v>
      </x:c>
    </x:row>
    <x:row r="9668">
      <x:c r="A9668" s="15" t="n">
        <x:v>44682</x:v>
      </x:c>
      <x:c r="B9668" s="13" t="str">
        <x:v>MAGAZINE LUIZA SA</x:v>
      </x:c>
      <x:c r="C9668" s="16" t="n">
        <x:v>184.166669063</x:v>
      </x:c>
      <x:c r="D9668" s="13" t="str">
        <x:v>Retail</x:v>
      </x:c>
      <x:c r="E9668" s="13" t="str">
        <x:v>Retail</x:v>
      </x:c>
      <x:c r="F9668" s="13" t="str">
        <x:v>Early Cyclicals</x:v>
      </x:c>
      <x:c r="G9668" s="13" t="str">
        <x:v>Ibovespa_earnings_consolidated.xlsx</x:v>
      </x:c>
    </x:row>
    <x:row r="9669">
      <x:c r="A9669" s="15" t="n">
        <x:v>44682</x:v>
      </x:c>
      <x:c r="B9669" s="13" t="str">
        <x:v>NATURA &amp;CO HOLDING SA</x:v>
      </x:c>
      <x:c r="C9669" s="16" t="n">
        <x:v>740.299206137</x:v>
      </x:c>
      <x:c r="D9669" s="13" t="str">
        <x:v>Retail</x:v>
      </x:c>
      <x:c r="E9669" s="13" t="str">
        <x:v>Retail</x:v>
      </x:c>
      <x:c r="F9669" s="13" t="str">
        <x:v>Early Cyclicals</x:v>
      </x:c>
      <x:c r="G9669" s="13" t="str">
        <x:v>Ibovespa_earnings_consolidated.xlsx</x:v>
      </x:c>
    </x:row>
    <x:row r="9670">
      <x:c r="A9670" s="15" t="n">
        <x:v>44682</x:v>
      </x:c>
      <x:c r="B9670" s="13" t="str">
        <x:v>PET CENTER COMERCIO E PARTIC</x:v>
      </x:c>
      <x:c r="C9670" s="16" t="n">
        <x:v>170.3205041096</x:v>
      </x:c>
      <x:c r="D9670" s="13" t="str">
        <x:v>Retail</x:v>
      </x:c>
      <x:c r="E9670" s="13" t="str">
        <x:v>Retail</x:v>
      </x:c>
      <x:c r="F9670" s="13" t="str">
        <x:v>Early Cyclicals</x:v>
      </x:c>
      <x:c r="G9670" s="13" t="str">
        <x:v>Ibovespa_earnings_consolidated.xlsx</x:v>
      </x:c>
    </x:row>
    <x:row r="9671">
      <x:c r="A9671" s="15" t="n">
        <x:v>44682</x:v>
      </x:c>
      <x:c r="B9671" s="13" t="str">
        <x:v>RAIA DROGASIL SA</x:v>
      </x:c>
      <x:c r="C9671" s="16" t="n">
        <x:v>1057.7545836712</x:v>
      </x:c>
      <x:c r="D9671" s="13" t="str">
        <x:v>Retail</x:v>
      </x:c>
      <x:c r="E9671" s="13" t="str">
        <x:v>Retail</x:v>
      </x:c>
      <x:c r="F9671" s="13" t="str">
        <x:v>Early Cyclicals</x:v>
      </x:c>
      <x:c r="G9671" s="13" t="str">
        <x:v>Ibovespa_earnings_consolidated.xlsx</x:v>
      </x:c>
    </x:row>
    <x:row r="9672">
      <x:c r="A9672" s="15" t="n">
        <x:v>44682</x:v>
      </x:c>
      <x:c r="B9672" s="13" t="str">
        <x:v>SENDAS DISTRIBUIDORA SA</x:v>
      </x:c>
      <x:c r="C9672" s="16" t="n">
        <x:v>1252.5510364931</x:v>
      </x:c>
      <x:c r="D9672" s="13" t="str">
        <x:v>Retail</x:v>
      </x:c>
      <x:c r="E9672" s="13" t="str">
        <x:v>Retail</x:v>
      </x:c>
      <x:c r="F9672" s="13" t="str">
        <x:v>Early Cyclicals</x:v>
      </x:c>
      <x:c r="G9672" s="13" t="str">
        <x:v>Ibovespa_earnings_consolidated.xlsx</x:v>
      </x:c>
    </x:row>
    <x:row r="9673">
      <x:c r="A9673" s="15" t="n">
        <x:v>44682</x:v>
      </x:c>
      <x:c r="B9673" s="13" t="str">
        <x:v>CIA SANEAMENTO BASICO DE SP</x:v>
      </x:c>
      <x:c r="C9673" s="16" t="n">
        <x:v>3258.3802403068</x:v>
      </x:c>
      <x:c r="D9673" s="13" t="str">
        <x:v>Sanitation</x:v>
      </x:c>
      <x:c r="E9673" s="13" t="str">
        <x:v>Utilities</x:v>
      </x:c>
      <x:c r="F9673" s="13" t="str">
        <x:v>Defensives</x:v>
      </x:c>
      <x:c r="G9673" s="13" t="str">
        <x:v>Ibovespa_earnings_consolidated.xlsx</x:v>
      </x:c>
    </x:row>
    <x:row r="9674">
      <x:c r="A9674" s="15" t="n">
        <x:v>44682</x:v>
      </x:c>
      <x:c r="B9674" s="13" t="str">
        <x:v>LWSA SA</x:v>
      </x:c>
      <x:c r="C9674" s="16" t="n">
        <x:v>117.0440273973</x:v>
      </x:c>
      <x:c r="D9674" s="13" t="str">
        <x:v>TMT</x:v>
      </x:c>
      <x:c r="E9674" s="13" t="str">
        <x:v>TMT</x:v>
      </x:c>
      <x:c r="F9674" s="13" t="str">
        <x:v>Early Cyclicals</x:v>
      </x:c>
      <x:c r="G9674" s="13" t="str">
        <x:v>Ibovespa_earnings_consolidated.xlsx</x:v>
      </x:c>
    </x:row>
    <x:row r="9675">
      <x:c r="A9675" s="15" t="n">
        <x:v>44682</x:v>
      </x:c>
      <x:c r="B9675" s="13" t="str">
        <x:v>POSITIVO TECNOLOGIA SA</x:v>
      </x:c>
      <x:c r="C9675" s="16" t="n">
        <x:v>193.7890410959</x:v>
      </x:c>
      <x:c r="D9675" s="13" t="str">
        <x:v>TMT</x:v>
      </x:c>
      <x:c r="E9675" s="13" t="str">
        <x:v>TMT</x:v>
      </x:c>
      <x:c r="F9675" s="13" t="str">
        <x:v>Early Cyclicals</x:v>
      </x:c>
      <x:c r="G9675" s="13" t="str">
        <x:v>Ibovespa_earnings_consolidated.xlsx</x:v>
      </x:c>
    </x:row>
    <x:row r="9676">
      <x:c r="A9676" s="15" t="n">
        <x:v>44682</x:v>
      </x:c>
      <x:c r="B9676" s="13" t="str">
        <x:v>TIM SA</x:v>
      </x:c>
      <x:c r="C9676" s="16" t="n">
        <x:v>2500.3771188603</x:v>
      </x:c>
      <x:c r="D9676" s="13" t="str">
        <x:v>TMT</x:v>
      </x:c>
      <x:c r="E9676" s="13" t="str">
        <x:v>TMT</x:v>
      </x:c>
      <x:c r="F9676" s="13" t="str">
        <x:v>Early Cyclicals</x:v>
      </x:c>
      <x:c r="G9676" s="13" t="str">
        <x:v>Ibovespa_earnings_consolidated.xlsx</x:v>
      </x:c>
    </x:row>
    <x:row r="9677">
      <x:c r="A9677" s="15" t="n">
        <x:v>44682</x:v>
      </x:c>
      <x:c r="B9677" s="13" t="str">
        <x:v>TOTVS SA</x:v>
      </x:c>
      <x:c r="C9677" s="16" t="n">
        <x:v>616.6631690521</x:v>
      </x:c>
      <x:c r="D9677" s="13" t="str">
        <x:v>TMT</x:v>
      </x:c>
      <x:c r="E9677" s="13" t="str">
        <x:v>TMT</x:v>
      </x:c>
      <x:c r="F9677" s="13" t="str">
        <x:v>Early Cyclicals</x:v>
      </x:c>
      <x:c r="G9677" s="13" t="str">
        <x:v>Ibovespa_earnings_consolidated.xlsx</x:v>
      </x:c>
    </x:row>
    <x:row r="9678">
      <x:c r="A9678" s="15" t="n">
        <x:v>44682</x:v>
      </x:c>
      <x:c r="B9678" s="13" t="str">
        <x:v>AZUL SA</x:v>
      </x:c>
      <x:c r="C9678" s="16" t="n">
        <x:v>-333.4221959014</x:v>
      </x:c>
      <x:c r="D9678" s="13" t="str">
        <x:v>Transportation</x:v>
      </x:c>
      <x:c r="E9678" s="13" t="str">
        <x:v>Transportation</x:v>
      </x:c>
      <x:c r="F9678" s="13" t="str">
        <x:v>Deep Cyclicals</x:v>
      </x:c>
      <x:c r="G9678" s="13" t="str">
        <x:v>Ibovespa_earnings_consolidated.xlsx</x:v>
      </x:c>
    </x:row>
    <x:row r="9679">
      <x:c r="A9679" s="15" t="n">
        <x:v>44682</x:v>
      </x:c>
      <x:c r="B9679" s="13" t="str">
        <x:v>CIA DE LOCACAO DAS AMERICAS</x:v>
      </x:c>
      <x:c r="C9679" s="16" t="n">
        <x:v>1130.8931584</x:v>
      </x:c>
      <x:c r="D9679" s="13" t="str">
        <x:v>Transportation</x:v>
      </x:c>
      <x:c r="E9679" s="13" t="str">
        <x:v>Transportation</x:v>
      </x:c>
      <x:c r="F9679" s="13" t="str">
        <x:v>Deep Cyclicals</x:v>
      </x:c>
      <x:c r="G9679" s="13" t="str">
        <x:v>Ibovespa_earnings_consolidated.xlsx</x:v>
      </x:c>
    </x:row>
    <x:row r="9680">
      <x:c r="A9680" s="15" t="n">
        <x:v>44682</x:v>
      </x:c>
      <x:c r="B9680" s="13" t="str">
        <x:v>ECORODOVIAS INFRA E LOG SA</x:v>
      </x:c>
      <x:c r="C9680" s="16" t="n">
        <x:v>217.5576383562</x:v>
      </x:c>
      <x:c r="D9680" s="13" t="str">
        <x:v>Transportation</x:v>
      </x:c>
      <x:c r="E9680" s="13" t="str">
        <x:v>Transportation</x:v>
      </x:c>
      <x:c r="F9680" s="13" t="str">
        <x:v>Deep Cyclicals</x:v>
      </x:c>
      <x:c r="G9680" s="13" t="str">
        <x:v>Ibovespa_earnings_consolidated.xlsx</x:v>
      </x:c>
    </x:row>
    <x:row r="9681">
      <x:c r="A9681" s="15" t="n">
        <x:v>44682</x:v>
      </x:c>
      <x:c r="B9681" s="13" t="str">
        <x:v>GOL LINHAS AEREAS INT SA-PRE</x:v>
      </x:c>
      <x:c r="C9681" s="16" t="n">
        <x:v>-28.0903078575</x:v>
      </x:c>
      <x:c r="D9681" s="13" t="str">
        <x:v>Transportation</x:v>
      </x:c>
      <x:c r="E9681" s="13" t="str">
        <x:v>Transportation</x:v>
      </x:c>
      <x:c r="F9681" s="13" t="str">
        <x:v>Deep Cyclicals</x:v>
      </x:c>
      <x:c r="G9681" s="13" t="str">
        <x:v>Ibovespa_earnings_consolidated.xlsx</x:v>
      </x:c>
    </x:row>
    <x:row r="9682">
      <x:c r="A9682" s="15" t="n">
        <x:v>44682</x:v>
      </x:c>
      <x:c r="B9682" s="13" t="str">
        <x:v>LOCALIZA RENT A CAR</x:v>
      </x:c>
      <x:c r="C9682" s="16" t="n">
        <x:v>2182.9116675507</x:v>
      </x:c>
      <x:c r="D9682" s="13" t="str">
        <x:v>Transportation</x:v>
      </x:c>
      <x:c r="E9682" s="13" t="str">
        <x:v>Transportation</x:v>
      </x:c>
      <x:c r="F9682" s="13" t="str">
        <x:v>Deep Cyclicals</x:v>
      </x:c>
      <x:c r="G9682" s="13" t="str">
        <x:v>Ibovespa_earnings_consolidated.xlsx</x:v>
      </x:c>
    </x:row>
    <x:row r="9683">
      <x:c r="A9683" s="15" t="n">
        <x:v>44682</x:v>
      </x:c>
      <x:c r="B9683" s="13" t="str">
        <x:v>MOTIVA INFRAESTRUTURA DE MOB</x:v>
      </x:c>
      <x:c r="C9683" s="16" t="n">
        <x:v>1703.1981182247</x:v>
      </x:c>
      <x:c r="D9683" s="13" t="str">
        <x:v>Transportation</x:v>
      </x:c>
      <x:c r="E9683" s="13" t="str">
        <x:v>Transportation</x:v>
      </x:c>
      <x:c r="F9683" s="13" t="str">
        <x:v>Deep Cyclicals</x:v>
      </x:c>
      <x:c r="G9683" s="13" t="str">
        <x:v>Ibovespa_earnings_consolidated.xlsx</x:v>
      </x:c>
    </x:row>
    <x:row r="9684">
      <x:c r="A9684" s="15" t="n">
        <x:v>44682</x:v>
      </x:c>
      <x:c r="B9684" s="13" t="str">
        <x:v>RUMO SA</x:v>
      </x:c>
      <x:c r="C9684" s="16" t="n">
        <x:v>765.4394445151</x:v>
      </x:c>
      <x:c r="D9684" s="13" t="str">
        <x:v>Transportation</x:v>
      </x:c>
      <x:c r="E9684" s="13" t="str">
        <x:v>Transportation</x:v>
      </x:c>
      <x:c r="F9684" s="13" t="str">
        <x:v>Deep Cyclicals</x:v>
      </x:c>
      <x:c r="G9684" s="13" t="str">
        <x:v>Ibovespa_earnings_consolidated.xlsx</x:v>
      </x:c>
    </x:row>
    <x:row r="9685">
      <x:c r="A9685" s="15" t="n">
        <x:v>44682</x:v>
      </x:c>
      <x:c r="B9685" s="13" t="str">
        <x:v>AXIA ENERGIA SA</x:v>
      </x:c>
      <x:c r="C9685" s="16" t="n">
        <x:v>8183.2479477479</x:v>
      </x:c>
      <x:c r="D9685" s="13" t="str">
        <x:v>Utilities &amp; Energy</x:v>
      </x:c>
      <x:c r="E9685" s="13" t="str">
        <x:v>Utilities</x:v>
      </x:c>
      <x:c r="F9685" s="13" t="str">
        <x:v>Defensives</x:v>
      </x:c>
      <x:c r="G9685" s="13" t="str">
        <x:v>Ibovespa_earnings_consolidated.xlsx</x:v>
      </x:c>
    </x:row>
    <x:row r="9686">
      <x:c r="A9686" s="15" t="n">
        <x:v>44682</x:v>
      </x:c>
      <x:c r="B9686" s="13" t="str">
        <x:v>AXIA ENERGIA-PR B</x:v>
      </x:c>
      <x:c r="C9686" s="16" t="n">
        <x:v>8183.2479477479</x:v>
      </x:c>
      <x:c r="D9686" s="13" t="str">
        <x:v>Utilities &amp; Energy</x:v>
      </x:c>
      <x:c r="E9686" s="13" t="str">
        <x:v>Utilities</x:v>
      </x:c>
      <x:c r="F9686" s="13" t="str">
        <x:v>Defensives</x:v>
      </x:c>
      <x:c r="G9686" s="13" t="str">
        <x:v>Ibovespa_earnings_consolidated.xlsx</x:v>
      </x:c>
    </x:row>
    <x:row r="9687">
      <x:c r="A9687" s="15" t="n">
        <x:v>44682</x:v>
      </x:c>
      <x:c r="B9687" s="13" t="str">
        <x:v>CIA ENERGETICA MINAS GER-PRF</x:v>
      </x:c>
      <x:c r="C9687" s="16" t="n">
        <x:v>3534.8044365151</x:v>
      </x:c>
      <x:c r="D9687" s="13" t="str">
        <x:v>Utilities &amp; Energy</x:v>
      </x:c>
      <x:c r="E9687" s="13" t="str">
        <x:v>Utilities</x:v>
      </x:c>
      <x:c r="F9687" s="13" t="str">
        <x:v>Defensives</x:v>
      </x:c>
      <x:c r="G9687" s="13" t="str">
        <x:v>Ibovespa_earnings_consolidated.xlsx</x:v>
      </x:c>
    </x:row>
    <x:row r="9688">
      <x:c r="A9688" s="15" t="n">
        <x:v>44682</x:v>
      </x:c>
      <x:c r="B9688" s="13" t="str">
        <x:v>COMPANHIA PARANAENSE -PREF B</x:v>
      </x:c>
      <x:c r="C9688" s="16" t="n">
        <x:v>2602.6386249644</x:v>
      </x:c>
      <x:c r="D9688" s="13" t="str">
        <x:v>Utilities &amp; Energy</x:v>
      </x:c>
      <x:c r="E9688" s="13" t="str">
        <x:v>Utilities</x:v>
      </x:c>
      <x:c r="F9688" s="13" t="str">
        <x:v>Defensives</x:v>
      </x:c>
      <x:c r="G9688" s="13" t="str">
        <x:v>Ibovespa_earnings_consolidated.xlsx</x:v>
      </x:c>
    </x:row>
    <x:row r="9689">
      <x:c r="A9689" s="15" t="n">
        <x:v>44682</x:v>
      </x:c>
      <x:c r="B9689" s="13" t="str">
        <x:v>CPFL ENERGIA SA</x:v>
      </x:c>
      <x:c r="C9689" s="16" t="n">
        <x:v>4679.746565611</x:v>
      </x:c>
      <x:c r="D9689" s="13" t="str">
        <x:v>Utilities &amp; Energy</x:v>
      </x:c>
      <x:c r="E9689" s="13" t="str">
        <x:v>Utilities</x:v>
      </x:c>
      <x:c r="F9689" s="13" t="str">
        <x:v>Defensives</x:v>
      </x:c>
      <x:c r="G9689" s="13" t="str">
        <x:v>Ibovespa_earnings_consolidated.xlsx</x:v>
      </x:c>
    </x:row>
    <x:row r="9690">
      <x:c r="A9690" s="15" t="n">
        <x:v>44682</x:v>
      </x:c>
      <x:c r="B9690" s="13" t="str">
        <x:v>EDP - ENERGIAS DO BRASIL SA</x:v>
      </x:c>
      <x:c r="C9690" s="16" t="n">
        <x:v>1619.5312345425</x:v>
      </x:c>
      <x:c r="D9690" s="13" t="str">
        <x:v>Utilities &amp; Energy</x:v>
      </x:c>
      <x:c r="E9690" s="13" t="str">
        <x:v>Utilities</x:v>
      </x:c>
      <x:c r="F9690" s="13" t="str">
        <x:v>Defensives</x:v>
      </x:c>
      <x:c r="G9690" s="13" t="str">
        <x:v>Ibovespa_earnings_consolidated.xlsx</x:v>
      </x:c>
    </x:row>
    <x:row r="9691">
      <x:c r="A9691" s="15" t="n">
        <x:v>44682</x:v>
      </x:c>
      <x:c r="B9691" s="13" t="str">
        <x:v>ENERGISA SA-UNITS</x:v>
      </x:c>
      <x:c r="C9691" s="16" t="n">
        <x:v>1912.4920169205</x:v>
      </x:c>
      <x:c r="D9691" s="13" t="str">
        <x:v>Utilities &amp; Energy</x:v>
      </x:c>
      <x:c r="E9691" s="13" t="str">
        <x:v>Utilities</x:v>
      </x:c>
      <x:c r="F9691" s="13" t="str">
        <x:v>Defensives</x:v>
      </x:c>
      <x:c r="G9691" s="13" t="str">
        <x:v>Ibovespa_earnings_consolidated.xlsx</x:v>
      </x:c>
    </x:row>
    <x:row r="9692">
      <x:c r="A9692" s="15" t="n">
        <x:v>44682</x:v>
      </x:c>
      <x:c r="B9692" s="13" t="str">
        <x:v>ENEVA SA</x:v>
      </x:c>
      <x:c r="C9692" s="16" t="n">
        <x:v>1094.414144526</x:v>
      </x:c>
      <x:c r="D9692" s="13" t="str">
        <x:v>Utilities &amp; Energy</x:v>
      </x:c>
      <x:c r="E9692" s="13" t="str">
        <x:v>Utilities</x:v>
      </x:c>
      <x:c r="F9692" s="13" t="str">
        <x:v>Defensives</x:v>
      </x:c>
      <x:c r="G9692" s="13" t="str">
        <x:v>Ibovespa_earnings_consolidated.xlsx</x:v>
      </x:c>
    </x:row>
    <x:row r="9693">
      <x:c r="A9693" s="15" t="n">
        <x:v>44682</x:v>
      </x:c>
      <x:c r="B9693" s="13" t="str">
        <x:v>ENGIE BRASIL ENERGIA SA</x:v>
      </x:c>
      <x:c r="C9693" s="16" t="n">
        <x:v>3105.9298030466</x:v>
      </x:c>
      <x:c r="D9693" s="13" t="str">
        <x:v>Utilities &amp; Energy</x:v>
      </x:c>
      <x:c r="E9693" s="13" t="str">
        <x:v>Utilities</x:v>
      </x:c>
      <x:c r="F9693" s="13" t="str">
        <x:v>Defensives</x:v>
      </x:c>
      <x:c r="G9693" s="13" t="str">
        <x:v>Ibovespa_earnings_consolidated.xlsx</x:v>
      </x:c>
    </x:row>
    <x:row r="9694">
      <x:c r="A9694" s="15" t="n">
        <x:v>44682</x:v>
      </x:c>
      <x:c r="B9694" s="13" t="str">
        <x:v>EQUATORIAL SA - ORD</x:v>
      </x:c>
      <x:c r="C9694" s="16" t="n">
        <x:v>2746.8744486575</x:v>
      </x:c>
      <x:c r="D9694" s="13" t="str">
        <x:v>Utilities &amp; Energy</x:v>
      </x:c>
      <x:c r="E9694" s="13" t="str">
        <x:v>Utilities</x:v>
      </x:c>
      <x:c r="F9694" s="13" t="str">
        <x:v>Defensives</x:v>
      </x:c>
      <x:c r="G9694" s="13" t="str">
        <x:v>Ibovespa_earnings_consolidated.xlsx</x:v>
      </x:c>
    </x:row>
    <x:row r="9695">
      <x:c r="A9695" s="15" t="n">
        <x:v>44682</x:v>
      </x:c>
      <x:c r="B9695" s="13" t="str">
        <x:v>TRANSMISSORA ALIANCA DE-UNIT</x:v>
      </x:c>
      <x:c r="C9695" s="16" t="n">
        <x:v>1525.3689522849</x:v>
      </x:c>
      <x:c r="D9695" s="13" t="str">
        <x:v>Utilities &amp; Energy</x:v>
      </x:c>
      <x:c r="E9695" s="13" t="str">
        <x:v>Utilities</x:v>
      </x:c>
      <x:c r="F9695" s="13" t="str">
        <x:v>Defensives</x:v>
      </x:c>
      <x:c r="G9695" s="13" t="str">
        <x:v>Ibovespa_earnings_consolidated.xlsx</x:v>
      </x:c>
    </x:row>
    <x:row r="9696">
      <x:c r="A9696" s="15" t="n">
        <x:v>44713</x:v>
      </x:c>
      <x:c r="B9696" s="13" t="str">
        <x:v>SLC AGRICOLA SA</x:v>
      </x:c>
      <x:c r="C9696" s="16" t="n">
        <x:v>1370.9853411945</x:v>
      </x:c>
      <x:c r="D9696" s="13" t="str">
        <x:v>Agribusiness</x:v>
      </x:c>
      <x:c r="E9696" s="13" t="str">
        <x:v>Agri, Food &amp; Beverages</x:v>
      </x:c>
      <x:c r="F9696" s="13" t="str">
        <x:v>Defensives</x:v>
      </x:c>
      <x:c r="G9696" s="13" t="str">
        <x:v>Ibovespa_earnings_consolidated.xlsx</x:v>
      </x:c>
    </x:row>
    <x:row r="9697">
      <x:c r="A9697" s="15" t="n">
        <x:v>44713</x:v>
      </x:c>
      <x:c r="B9697" s="13" t="str">
        <x:v>BANCO BRADESCO S.A.</x:v>
      </x:c>
      <x:c r="C9697" s="16" t="n">
        <x:v>29513.4951171507</x:v>
      </x:c>
      <x:c r="D9697" s="13" t="str">
        <x:v>Banks</x:v>
      </x:c>
      <x:c r="E9697" s="13" t="str">
        <x:v>Banks</x:v>
      </x:c>
      <x:c r="F9697" s="13" t="str">
        <x:v>Financials</x:v>
      </x:c>
      <x:c r="G9697" s="13" t="str">
        <x:v>Ibovespa_earnings_consolidated.xlsx</x:v>
      </x:c>
    </x:row>
    <x:row r="9698">
      <x:c r="A9698" s="15" t="n">
        <x:v>44713</x:v>
      </x:c>
      <x:c r="B9698" s="13" t="str">
        <x:v>BANCO BRADESCO SA-PREF</x:v>
      </x:c>
      <x:c r="C9698" s="16" t="n">
        <x:v>29513.4951171507</x:v>
      </x:c>
      <x:c r="D9698" s="13" t="str">
        <x:v>Banks</x:v>
      </x:c>
      <x:c r="E9698" s="13" t="str">
        <x:v>Banks</x:v>
      </x:c>
      <x:c r="F9698" s="13" t="str">
        <x:v>Financials</x:v>
      </x:c>
      <x:c r="G9698" s="13" t="str">
        <x:v>Ibovespa_earnings_consolidated.xlsx</x:v>
      </x:c>
    </x:row>
    <x:row r="9699">
      <x:c r="A9699" s="15" t="n">
        <x:v>44713</x:v>
      </x:c>
      <x:c r="B9699" s="13" t="str">
        <x:v>BANCO BTG PACTUAL SA-UNIT</x:v>
      </x:c>
      <x:c r="C9699" s="16" t="n">
        <x:v>8317.129453063</x:v>
      </x:c>
      <x:c r="D9699" s="13" t="str">
        <x:v>Banks</x:v>
      </x:c>
      <x:c r="E9699" s="13" t="str">
        <x:v>Banks</x:v>
      </x:c>
      <x:c r="F9699" s="13" t="str">
        <x:v>Financials</x:v>
      </x:c>
      <x:c r="G9699" s="13" t="str">
        <x:v>Ibovespa_earnings_consolidated.xlsx</x:v>
      </x:c>
    </x:row>
    <x:row r="9700">
      <x:c r="A9700" s="15" t="n">
        <x:v>44713</x:v>
      </x:c>
      <x:c r="B9700" s="13" t="str">
        <x:v>BANCO DO BRASIL S.A.</x:v>
      </x:c>
      <x:c r="C9700" s="16" t="n">
        <x:v>25954.7162820384</x:v>
      </x:c>
      <x:c r="D9700" s="13" t="str">
        <x:v>Banks</x:v>
      </x:c>
      <x:c r="E9700" s="13" t="str">
        <x:v>Banks</x:v>
      </x:c>
      <x:c r="F9700" s="13" t="str">
        <x:v>Financials</x:v>
      </x:c>
      <x:c r="G9700" s="13" t="str">
        <x:v>Ibovespa_earnings_consolidated.xlsx</x:v>
      </x:c>
    </x:row>
    <x:row r="9701">
      <x:c r="A9701" s="15" t="n">
        <x:v>44713</x:v>
      </x:c>
      <x:c r="B9701" s="13" t="str">
        <x:v>BANCO PAN SA</x:v>
      </x:c>
      <x:c r="C9701" s="16" t="n">
        <x:v>992.3870172932</x:v>
      </x:c>
      <x:c r="D9701" s="13" t="str">
        <x:v>Banks</x:v>
      </x:c>
      <x:c r="E9701" s="13" t="str">
        <x:v>Banks</x:v>
      </x:c>
      <x:c r="F9701" s="13" t="str">
        <x:v>Financials</x:v>
      </x:c>
      <x:c r="G9701" s="13" t="str">
        <x:v>Ibovespa_earnings_consolidated.xlsx</x:v>
      </x:c>
    </x:row>
    <x:row r="9702">
      <x:c r="A9702" s="15" t="n">
        <x:v>44713</x:v>
      </x:c>
      <x:c r="B9702" s="13" t="str">
        <x:v>BANCO SANTANDER  BRASIL-UNIT</x:v>
      </x:c>
      <x:c r="C9702" s="16" t="n">
        <x:v>17403.6160231452</x:v>
      </x:c>
      <x:c r="D9702" s="13" t="str">
        <x:v>Banks</x:v>
      </x:c>
      <x:c r="E9702" s="13" t="str">
        <x:v>Banks</x:v>
      </x:c>
      <x:c r="F9702" s="13" t="str">
        <x:v>Financials</x:v>
      </x:c>
      <x:c r="G9702" s="13" t="str">
        <x:v>Ibovespa_earnings_consolidated.xlsx</x:v>
      </x:c>
    </x:row>
    <x:row r="9703">
      <x:c r="A9703" s="15" t="n">
        <x:v>44713</x:v>
      </x:c>
      <x:c r="B9703" s="13" t="str">
        <x:v>ITAU UNIBANCO HOLDING S-PREF</x:v>
      </x:c>
      <x:c r="C9703" s="16" t="n">
        <x:v>31868.9544612822</x:v>
      </x:c>
      <x:c r="D9703" s="13" t="str">
        <x:v>Banks</x:v>
      </x:c>
      <x:c r="E9703" s="13" t="str">
        <x:v>Banks</x:v>
      </x:c>
      <x:c r="F9703" s="13" t="str">
        <x:v>Financials</x:v>
      </x:c>
      <x:c r="G9703" s="13" t="str">
        <x:v>Ibovespa_earnings_consolidated.xlsx</x:v>
      </x:c>
    </x:row>
    <x:row r="9704">
      <x:c r="A9704" s="15" t="n">
        <x:v>44713</x:v>
      </x:c>
      <x:c r="B9704" s="13" t="str">
        <x:v>EMBRAER SA</x:v>
      </x:c>
      <x:c r="C9704" s="16" t="n">
        <x:v>382.9352523397</x:v>
      </x:c>
      <x:c r="D9704" s="13" t="str">
        <x:v>Capital Goods</x:v>
      </x:c>
      <x:c r="E9704" s="13" t="str">
        <x:v>Capital Goods</x:v>
      </x:c>
      <x:c r="F9704" s="13" t="str">
        <x:v>Deep Cyclicals</x:v>
      </x:c>
      <x:c r="G9704" s="13" t="str">
        <x:v>Ibovespa_earnings_consolidated.xlsx</x:v>
      </x:c>
    </x:row>
    <x:row r="9705">
      <x:c r="A9705" s="15" t="n">
        <x:v>44713</x:v>
      </x:c>
      <x:c r="B9705" s="13" t="str">
        <x:v>WEG SA</x:v>
      </x:c>
      <x:c r="C9705" s="16" t="n">
        <x:v>4074.596389874</x:v>
      </x:c>
      <x:c r="D9705" s="13" t="str">
        <x:v>Capital Goods</x:v>
      </x:c>
      <x:c r="E9705" s="13" t="str">
        <x:v>Capital Goods</x:v>
      </x:c>
      <x:c r="F9705" s="13" t="str">
        <x:v>Deep Cyclicals</x:v>
      </x:c>
      <x:c r="G9705" s="13" t="str">
        <x:v>Ibovespa_earnings_consolidated.xlsx</x:v>
      </x:c>
    </x:row>
    <x:row r="9706">
      <x:c r="A9706" s="15" t="n">
        <x:v>44713</x:v>
      </x:c>
      <x:c r="B9706" s="13" t="str">
        <x:v>COGNA EDUCACAO</x:v>
      </x:c>
      <x:c r="C9706" s="16" t="n">
        <x:v>-166.053899726</x:v>
      </x:c>
      <x:c r="D9706" s="13" t="str">
        <x:v>Education</x:v>
      </x:c>
      <x:c r="E9706" s="13" t="str">
        <x:v>Education</x:v>
      </x:c>
      <x:c r="F9706" s="13" t="str">
        <x:v>Early Cyclicals</x:v>
      </x:c>
      <x:c r="G9706" s="13" t="str">
        <x:v>Ibovespa_earnings_consolidated.xlsx</x:v>
      </x:c>
    </x:row>
    <x:row r="9707">
      <x:c r="A9707" s="15" t="n">
        <x:v>44713</x:v>
      </x:c>
      <x:c r="B9707" s="13" t="str">
        <x:v>YDUQS PARTICIPACOES SA</x:v>
      </x:c>
      <x:c r="C9707" s="16" t="n">
        <x:v>345.4880864438</x:v>
      </x:c>
      <x:c r="D9707" s="13" t="str">
        <x:v>Education</x:v>
      </x:c>
      <x:c r="E9707" s="13" t="str">
        <x:v>Education</x:v>
      </x:c>
      <x:c r="F9707" s="13" t="str">
        <x:v>Early Cyclicals</x:v>
      </x:c>
      <x:c r="G9707" s="13" t="str">
        <x:v>Ibovespa_earnings_consolidated.xlsx</x:v>
      </x:c>
    </x:row>
    <x:row r="9708">
      <x:c r="A9708" s="15" t="n">
        <x:v>44713</x:v>
      </x:c>
      <x:c r="B9708" s="13" t="str">
        <x:v>B3 SA-BRASIL BOLSA BALCAO</x:v>
      </x:c>
      <x:c r="C9708" s="16" t="n">
        <x:v>5201.4146026959</x:v>
      </x:c>
      <x:c r="D9708" s="13" t="str">
        <x:v>Financials Non-Banks</x:v>
      </x:c>
      <x:c r="E9708" s="13" t="str">
        <x:v>Financials Non-Banks</x:v>
      </x:c>
      <x:c r="F9708" s="13" t="str">
        <x:v>Financials</x:v>
      </x:c>
      <x:c r="G9708" s="13" t="str">
        <x:v>Ibovespa_earnings_consolidated.xlsx</x:v>
      </x:c>
    </x:row>
    <x:row r="9709">
      <x:c r="A9709" s="15" t="n">
        <x:v>44713</x:v>
      </x:c>
      <x:c r="B9709" s="13" t="str">
        <x:v>BB SEGURIDADE PARTICIPACOES</x:v>
      </x:c>
      <x:c r="C9709" s="16" t="n">
        <x:v>5478.9332150356</x:v>
      </x:c>
      <x:c r="D9709" s="13" t="str">
        <x:v>Financials Non-Banks</x:v>
      </x:c>
      <x:c r="E9709" s="13" t="str">
        <x:v>Financials Non-Banks</x:v>
      </x:c>
      <x:c r="F9709" s="13" t="str">
        <x:v>Financials</x:v>
      </x:c>
      <x:c r="G9709" s="13" t="str">
        <x:v>Ibovespa_earnings_consolidated.xlsx</x:v>
      </x:c>
    </x:row>
    <x:row r="9710">
      <x:c r="A9710" s="15" t="n">
        <x:v>44713</x:v>
      </x:c>
      <x:c r="B9710" s="13" t="str">
        <x:v>CIELO SA</x:v>
      </x:c>
      <x:c r="C9710" s="16" t="n">
        <x:v>1076.8910840986</x:v>
      </x:c>
      <x:c r="D9710" s="13" t="str">
        <x:v>Financials Non-Banks</x:v>
      </x:c>
      <x:c r="E9710" s="13" t="str">
        <x:v>Financials Non-Banks</x:v>
      </x:c>
      <x:c r="F9710" s="13" t="str">
        <x:v>Financials</x:v>
      </x:c>
      <x:c r="G9710" s="13" t="str">
        <x:v>Ibovespa_earnings_consolidated.xlsx</x:v>
      </x:c>
    </x:row>
    <x:row r="9711">
      <x:c r="A9711" s="15" t="n">
        <x:v>44713</x:v>
      </x:c>
      <x:c r="B9711" s="13" t="str">
        <x:v>CIELO SA - INSTITUICAO DE PA</x:v>
      </x:c>
      <x:c r="C9711" s="16" t="n">
        <x:v>1076.8910840986</x:v>
      </x:c>
      <x:c r="D9711" s="13" t="str">
        <x:v>Financials Non-Banks</x:v>
      </x:c>
      <x:c r="E9711" s="13" t="str">
        <x:v>Financials Non-Banks</x:v>
      </x:c>
      <x:c r="F9711" s="13" t="str">
        <x:v>Financials</x:v>
      </x:c>
      <x:c r="G9711" s="13" t="str">
        <x:v>grid_wbaxp5t0.xlsx</x:v>
      </x:c>
    </x:row>
    <x:row r="9712">
      <x:c r="A9712" s="15" t="n">
        <x:v>44713</x:v>
      </x:c>
      <x:c r="B9712" s="13" t="str">
        <x:v>IRB BRASIL RESSEGUROS SA</x:v>
      </x:c>
      <x:c r="C9712" s="16" t="n">
        <x:v>284.4253357589</x:v>
      </x:c>
      <x:c r="D9712" s="13" t="str">
        <x:v>Financials Non-Banks</x:v>
      </x:c>
      <x:c r="E9712" s="13" t="str">
        <x:v>Financials Non-Banks</x:v>
      </x:c>
      <x:c r="F9712" s="13" t="str">
        <x:v>Financials</x:v>
      </x:c>
      <x:c r="G9712" s="13" t="str">
        <x:v>Ibovespa_earnings_consolidated.xlsx</x:v>
      </x:c>
    </x:row>
    <x:row r="9713">
      <x:c r="A9713" s="15" t="n">
        <x:v>44713</x:v>
      </x:c>
      <x:c r="B9713" s="13" t="str">
        <x:v>ITAUSA SA</x:v>
      </x:c>
      <x:c r="C9713" s="16" t="n">
        <x:v>18860.8522155836</x:v>
      </x:c>
      <x:c r="D9713" s="13" t="str">
        <x:v>Financials Non-Banks</x:v>
      </x:c>
      <x:c r="E9713" s="13" t="str">
        <x:v>Financials Non-Banks</x:v>
      </x:c>
      <x:c r="F9713" s="13" t="str">
        <x:v>Financials</x:v>
      </x:c>
      <x:c r="G9713" s="13" t="str">
        <x:v>Ibovespa_earnings_consolidated.xlsx</x:v>
      </x:c>
    </x:row>
    <x:row r="9714">
      <x:c r="A9714" s="15" t="n">
        <x:v>44713</x:v>
      </x:c>
      <x:c r="B9714" s="13" t="str">
        <x:v>MELIUZ SA - ON</x:v>
      </x:c>
      <x:c r="C9714" s="16" t="n">
        <x:v>11.7245827397</x:v>
      </x:c>
      <x:c r="D9714" s="13" t="str">
        <x:v>Financials Non-Banks</x:v>
      </x:c>
      <x:c r="E9714" s="13" t="str">
        <x:v>Financials Non-Banks</x:v>
      </x:c>
      <x:c r="F9714" s="13" t="str">
        <x:v>Financials</x:v>
      </x:c>
      <x:c r="G9714" s="13" t="str">
        <x:v>Ibovespa_earnings_consolidated.xlsx</x:v>
      </x:c>
    </x:row>
    <x:row r="9715">
      <x:c r="A9715" s="15" t="n">
        <x:v>44713</x:v>
      </x:c>
      <x:c r="B9715" s="13" t="str">
        <x:v>AMBEV SA</x:v>
      </x:c>
      <x:c r="C9715" s="16" t="n">
        <x:v>13038.0892693041</x:v>
      </x:c>
      <x:c r="D9715" s="13" t="str">
        <x:v>Food &amp; Beverages</x:v>
      </x:c>
      <x:c r="E9715" s="13" t="str">
        <x:v>Agri, Food &amp; Beverages</x:v>
      </x:c>
      <x:c r="F9715" s="13" t="str">
        <x:v>Defensives</x:v>
      </x:c>
      <x:c r="G9715" s="13" t="str">
        <x:v>Ibovespa_earnings_consolidated.xlsx</x:v>
      </x:c>
    </x:row>
    <x:row r="9716">
      <x:c r="A9716" s="15" t="n">
        <x:v>44713</x:v>
      </x:c>
      <x:c r="B9716" s="13" t="str">
        <x:v>BRF SA</x:v>
      </x:c>
      <x:c r="C9716" s="16" t="n">
        <x:v>-489.800032263</x:v>
      </x:c>
      <x:c r="D9716" s="13" t="str">
        <x:v>Food &amp; Beverages</x:v>
      </x:c>
      <x:c r="E9716" s="13" t="str">
        <x:v>Agri, Food &amp; Beverages</x:v>
      </x:c>
      <x:c r="F9716" s="13" t="str">
        <x:v>Defensives</x:v>
      </x:c>
      <x:c r="G9716" s="13" t="str">
        <x:v>Ibovespa_earnings_consolidated.xlsx</x:v>
      </x:c>
    </x:row>
    <x:row r="9717">
      <x:c r="A9717" s="15" t="n">
        <x:v>44713</x:v>
      </x:c>
      <x:c r="B9717" s="13" t="str">
        <x:v>JBS SA</x:v>
      </x:c>
      <x:c r="C9717" s="16" t="n">
        <x:v>13225.814905337</x:v>
      </x:c>
      <x:c r="D9717" s="13" t="str">
        <x:v>Food &amp; Beverages</x:v>
      </x:c>
      <x:c r="E9717" s="13" t="str">
        <x:v>Agri, Food &amp; Beverages</x:v>
      </x:c>
      <x:c r="F9717" s="13" t="str">
        <x:v>Defensives</x:v>
      </x:c>
      <x:c r="G9717" s="13" t="str">
        <x:v>Ibovespa_earnings_consolidated.xlsx</x:v>
      </x:c>
    </x:row>
    <x:row r="9718">
      <x:c r="A9718" s="15" t="n">
        <x:v>44713</x:v>
      </x:c>
      <x:c r="B9718" s="13" t="str">
        <x:v>MBRF GLOBAL FOODS COMPANY SA</x:v>
      </x:c>
      <x:c r="C9718" s="16" t="n">
        <x:v>2637.7269416329</x:v>
      </x:c>
      <x:c r="D9718" s="13" t="str">
        <x:v>Food &amp; Beverages</x:v>
      </x:c>
      <x:c r="E9718" s="13" t="str">
        <x:v>Agri, Food &amp; Beverages</x:v>
      </x:c>
      <x:c r="F9718" s="13" t="str">
        <x:v>Defensives</x:v>
      </x:c>
      <x:c r="G9718" s="13" t="str">
        <x:v>Ibovespa_earnings_consolidated.xlsx</x:v>
      </x:c>
    </x:row>
    <x:row r="9719">
      <x:c r="A9719" s="15" t="n">
        <x:v>44713</x:v>
      </x:c>
      <x:c r="B9719" s="13" t="str">
        <x:v>MINERVA SA</x:v>
      </x:c>
      <x:c r="C9719" s="16" t="n">
        <x:v>926.8254051945</x:v>
      </x:c>
      <x:c r="D9719" s="13" t="str">
        <x:v>Food &amp; Beverages</x:v>
      </x:c>
      <x:c r="E9719" s="13" t="str">
        <x:v>Agri, Food &amp; Beverages</x:v>
      </x:c>
      <x:c r="F9719" s="13" t="str">
        <x:v>Defensives</x:v>
      </x:c>
      <x:c r="G9719" s="13" t="str">
        <x:v>Ibovespa_earnings_consolidated.xlsx</x:v>
      </x:c>
    </x:row>
    <x:row r="9720">
      <x:c r="A9720" s="15" t="n">
        <x:v>44713</x:v>
      </x:c>
      <x:c r="B9720" s="13" t="str">
        <x:v>FLEURY SA</x:v>
      </x:c>
      <x:c r="C9720" s="16" t="n">
        <x:v>329.2701738959</x:v>
      </x:c>
      <x:c r="D9720" s="13" t="str">
        <x:v>Health Care</x:v>
      </x:c>
      <x:c r="E9720" s="13" t="str">
        <x:v>Health Care</x:v>
      </x:c>
      <x:c r="F9720" s="13" t="str">
        <x:v>Defensives</x:v>
      </x:c>
      <x:c r="G9720" s="13" t="str">
        <x:v>Ibovespa_earnings_consolidated.xlsx</x:v>
      </x:c>
    </x:row>
    <x:row r="9721">
      <x:c r="A9721" s="15" t="n">
        <x:v>44713</x:v>
      </x:c>
      <x:c r="B9721" s="13" t="str">
        <x:v>HAPVIDA PARTICIPACOES E INVE</x:v>
      </x:c>
      <x:c r="C9721" s="16" t="n">
        <x:v>1331.0497265973</x:v>
      </x:c>
      <x:c r="D9721" s="13" t="str">
        <x:v>Health Care</x:v>
      </x:c>
      <x:c r="E9721" s="13" t="str">
        <x:v>Health Care</x:v>
      </x:c>
      <x:c r="F9721" s="13" t="str">
        <x:v>Defensives</x:v>
      </x:c>
      <x:c r="G9721" s="13" t="str">
        <x:v>Ibovespa_earnings_consolidated.xlsx</x:v>
      </x:c>
    </x:row>
    <x:row r="9722">
      <x:c r="A9722" s="15" t="n">
        <x:v>44713</x:v>
      </x:c>
      <x:c r="B9722" s="13" t="str">
        <x:v>HYPERA SA</x:v>
      </x:c>
      <x:c r="C9722" s="16" t="n">
        <x:v>1807.5342115068</x:v>
      </x:c>
      <x:c r="D9722" s="13" t="str">
        <x:v>Health Care</x:v>
      </x:c>
      <x:c r="E9722" s="13" t="str">
        <x:v>Health Care</x:v>
      </x:c>
      <x:c r="F9722" s="13" t="str">
        <x:v>Defensives</x:v>
      </x:c>
      <x:c r="G9722" s="13" t="str">
        <x:v>Ibovespa_earnings_consolidated.xlsx</x:v>
      </x:c>
    </x:row>
    <x:row r="9723">
      <x:c r="A9723" s="15" t="n">
        <x:v>44713</x:v>
      </x:c>
      <x:c r="B9723" s="13" t="str">
        <x:v>QUALICORP CONS E CORR SEG SA</x:v>
      </x:c>
      <x:c r="C9723" s="16" t="n">
        <x:v>326.7756752658</x:v>
      </x:c>
      <x:c r="D9723" s="13" t="str">
        <x:v>Health Care</x:v>
      </x:c>
      <x:c r="E9723" s="13" t="str">
        <x:v>Health Care</x:v>
      </x:c>
      <x:c r="F9723" s="13" t="str">
        <x:v>Defensives</x:v>
      </x:c>
      <x:c r="G9723" s="13" t="str">
        <x:v>Ibovespa_earnings_consolidated.xlsx</x:v>
      </x:c>
    </x:row>
    <x:row r="9724">
      <x:c r="A9724" s="15" t="n">
        <x:v>44713</x:v>
      </x:c>
      <x:c r="B9724" s="13" t="str">
        <x:v>REDE D'OR SAO LUIZ SA</x:v>
      </x:c>
      <x:c r="C9724" s="16" t="n">
        <x:v>2462.4199062795</x:v>
      </x:c>
      <x:c r="D9724" s="13" t="str">
        <x:v>Health Care</x:v>
      </x:c>
      <x:c r="E9724" s="13" t="str">
        <x:v>Health Care</x:v>
      </x:c>
      <x:c r="F9724" s="13" t="str">
        <x:v>Defensives</x:v>
      </x:c>
      <x:c r="G9724" s="13" t="str">
        <x:v>Ibovespa_earnings_consolidated.xlsx</x:v>
      </x:c>
    </x:row>
    <x:row r="9725">
      <x:c r="A9725" s="15" t="n">
        <x:v>44713</x:v>
      </x:c>
      <x:c r="B9725" s="13" t="str">
        <x:v>SUL AMERICA SA - UNITS</x:v>
      </x:c>
      <x:c r="C9725" s="16" t="n">
        <x:v>982.6667754959</x:v>
      </x:c>
      <x:c r="D9725" s="13" t="str">
        <x:v>Health Care</x:v>
      </x:c>
      <x:c r="E9725" s="13" t="str">
        <x:v>Health Care</x:v>
      </x:c>
      <x:c r="F9725" s="13" t="str">
        <x:v>Defensives</x:v>
      </x:c>
      <x:c r="G9725" s="13" t="str">
        <x:v>Ibovespa_earnings_consolidated.xlsx</x:v>
      </x:c>
    </x:row>
    <x:row r="9726">
      <x:c r="A9726" s="15" t="n">
        <x:v>44713</x:v>
      </x:c>
      <x:c r="B9726" s="13" t="str">
        <x:v>CYRELA BRAZIL REALTY SA EMP</x:v>
      </x:c>
      <x:c r="C9726" s="16" t="n">
        <x:v>916.4708080219</x:v>
      </x:c>
      <x:c r="D9726" s="13" t="str">
        <x:v>Homebuilders</x:v>
      </x:c>
      <x:c r="E9726" s="13" t="str">
        <x:v>Real Estate</x:v>
      </x:c>
      <x:c r="F9726" s="13" t="str">
        <x:v>Early Cyclicals</x:v>
      </x:c>
      <x:c r="G9726" s="13" t="str">
        <x:v>Ibovespa_earnings_consolidated.xlsx</x:v>
      </x:c>
    </x:row>
    <x:row r="9727">
      <x:c r="A9727" s="15" t="n">
        <x:v>44713</x:v>
      </x:c>
      <x:c r="B9727" s="13" t="str">
        <x:v>EZ TEC EMPREENDIMENTOS E PAR</x:v>
      </x:c>
      <x:c r="C9727" s="16" t="n">
        <x:v>473.233215211</x:v>
      </x:c>
      <x:c r="D9727" s="13" t="str">
        <x:v>Homebuilders</x:v>
      </x:c>
      <x:c r="E9727" s="13" t="str">
        <x:v>Real Estate</x:v>
      </x:c>
      <x:c r="F9727" s="13" t="str">
        <x:v>Early Cyclicals</x:v>
      </x:c>
      <x:c r="G9727" s="13" t="str">
        <x:v>Ibovespa_earnings_consolidated.xlsx</x:v>
      </x:c>
    </x:row>
    <x:row r="9728">
      <x:c r="A9728" s="15" t="n">
        <x:v>44713</x:v>
      </x:c>
      <x:c r="B9728" s="13" t="str">
        <x:v>MRV ENGENHARIA</x:v>
      </x:c>
      <x:c r="C9728" s="16" t="n">
        <x:v>721.5112211288</x:v>
      </x:c>
      <x:c r="D9728" s="13" t="str">
        <x:v>Homebuilders</x:v>
      </x:c>
      <x:c r="E9728" s="13" t="str">
        <x:v>Real Estate</x:v>
      </x:c>
      <x:c r="F9728" s="13" t="str">
        <x:v>Early Cyclicals</x:v>
      </x:c>
      <x:c r="G9728" s="13" t="str">
        <x:v>Ibovespa_earnings_consolidated.xlsx</x:v>
      </x:c>
    </x:row>
    <x:row r="9729">
      <x:c r="A9729" s="15" t="n">
        <x:v>44713</x:v>
      </x:c>
      <x:c r="B9729" s="13" t="str">
        <x:v>BR MALLS PARTICIPACOES SA</x:v>
      </x:c>
      <x:c r="C9729" s="16" t="n">
        <x:v>554.0324683397</x:v>
      </x:c>
      <x:c r="D9729" s="13" t="str">
        <x:v>Income Properties</x:v>
      </x:c>
      <x:c r="E9729" s="13" t="str">
        <x:v>Real Estate</x:v>
      </x:c>
      <x:c r="F9729" s="13" t="str">
        <x:v>Early Cyclicals</x:v>
      </x:c>
      <x:c r="G9729" s="13" t="str">
        <x:v>Ibovespa_earnings_consolidated.xlsx</x:v>
      </x:c>
    </x:row>
    <x:row r="9730">
      <x:c r="A9730" s="15" t="n">
        <x:v>44713</x:v>
      </x:c>
      <x:c r="B9730" s="13" t="str">
        <x:v>IGUATEMI SA - UNITS</x:v>
      </x:c>
      <x:c r="C9730" s="16" t="n">
        <x:v>269.5270603397</x:v>
      </x:c>
      <x:c r="D9730" s="13" t="str">
        <x:v>Income Properties</x:v>
      </x:c>
      <x:c r="E9730" s="13" t="str">
        <x:v>Real Estate</x:v>
      </x:c>
      <x:c r="F9730" s="13" t="str">
        <x:v>Early Cyclicals</x:v>
      </x:c>
      <x:c r="G9730" s="13" t="str">
        <x:v>Ibovespa_earnings_consolidated.xlsx</x:v>
      </x:c>
    </x:row>
    <x:row r="9731">
      <x:c r="A9731" s="15" t="n">
        <x:v>44713</x:v>
      </x:c>
      <x:c r="B9731" s="13" t="str">
        <x:v>JHSF PARTICIPACOES SA</x:v>
      </x:c>
      <x:c r="C9731" s="16" t="n">
        <x:v>683.7287671233</x:v>
      </x:c>
      <x:c r="D9731" s="13" t="str">
        <x:v>Income Properties</x:v>
      </x:c>
      <x:c r="E9731" s="13" t="str">
        <x:v>Real Estate</x:v>
      </x:c>
      <x:c r="F9731" s="13" t="str">
        <x:v>Early Cyclicals</x:v>
      </x:c>
      <x:c r="G9731" s="13" t="str">
        <x:v>Ibovespa_earnings_consolidated.xlsx</x:v>
      </x:c>
    </x:row>
    <x:row r="9732">
      <x:c r="A9732" s="15" t="n">
        <x:v>44713</x:v>
      </x:c>
      <x:c r="B9732" s="13" t="str">
        <x:v>MULTIPLAN EMPREENDIMENTOS</x:v>
      </x:c>
      <x:c r="C9732" s="16" t="n">
        <x:v>731.4194577534</x:v>
      </x:c>
      <x:c r="D9732" s="13" t="str">
        <x:v>Income Properties</x:v>
      </x:c>
      <x:c r="E9732" s="13" t="str">
        <x:v>Real Estate</x:v>
      </x:c>
      <x:c r="F9732" s="13" t="str">
        <x:v>Early Cyclicals</x:v>
      </x:c>
      <x:c r="G9732" s="13" t="str">
        <x:v>Ibovespa_earnings_consolidated.xlsx</x:v>
      </x:c>
    </x:row>
    <x:row r="9733">
      <x:c r="A9733" s="15" t="n">
        <x:v>44713</x:v>
      </x:c>
      <x:c r="B9733" s="13" t="str">
        <x:v>BRADESPAR SA -PREF</x:v>
      </x:c>
      <x:c r="C9733" s="16" t="n">
        <x:v>2472.0876389699</x:v>
      </x:c>
      <x:c r="D9733" s="13" t="str">
        <x:v>Metals &amp; Mining</x:v>
      </x:c>
      <x:c r="E9733" s="13" t="str">
        <x:v>Metals &amp; Mining</x:v>
      </x:c>
      <x:c r="F9733" s="13" t="str">
        <x:v>Deep Cyclicals</x:v>
      </x:c>
      <x:c r="G9733" s="13" t="str">
        <x:v>Ibovespa_earnings_consolidated.xlsx</x:v>
      </x:c>
    </x:row>
    <x:row r="9734">
      <x:c r="A9734" s="15" t="n">
        <x:v>44713</x:v>
      </x:c>
      <x:c r="B9734" s="13" t="str">
        <x:v>CIA SIDERURGICA NACIONAL SA</x:v>
      </x:c>
      <x:c r="C9734" s="16" t="n">
        <x:v>6089.6562316274</x:v>
      </x:c>
      <x:c r="D9734" s="13" t="str">
        <x:v>Metals &amp; Mining</x:v>
      </x:c>
      <x:c r="E9734" s="13" t="str">
        <x:v>Metals &amp; Mining</x:v>
      </x:c>
      <x:c r="F9734" s="13" t="str">
        <x:v>Deep Cyclicals</x:v>
      </x:c>
      <x:c r="G9734" s="13" t="str">
        <x:v>Ibovespa_earnings_consolidated.xlsx</x:v>
      </x:c>
    </x:row>
    <x:row r="9735">
      <x:c r="A9735" s="15" t="n">
        <x:v>44713</x:v>
      </x:c>
      <x:c r="B9735" s="13" t="str">
        <x:v>CSN MINERACAO SA</x:v>
      </x:c>
      <x:c r="C9735" s="16" t="n">
        <x:v>4298.0286870794</x:v>
      </x:c>
      <x:c r="D9735" s="13" t="str">
        <x:v>Metals &amp; Mining</x:v>
      </x:c>
      <x:c r="E9735" s="13" t="str">
        <x:v>Metals &amp; Mining</x:v>
      </x:c>
      <x:c r="F9735" s="13" t="str">
        <x:v>Deep Cyclicals</x:v>
      </x:c>
      <x:c r="G9735" s="13" t="str">
        <x:v>Ibovespa_earnings_consolidated.xlsx</x:v>
      </x:c>
    </x:row>
    <x:row r="9736">
      <x:c r="A9736" s="15" t="n">
        <x:v>44713</x:v>
      </x:c>
      <x:c r="B9736" s="13" t="str">
        <x:v>GERDAU SA-PREF</x:v>
      </x:c>
      <x:c r="C9736" s="16" t="n">
        <x:v>9941.2744065753</x:v>
      </x:c>
      <x:c r="D9736" s="13" t="str">
        <x:v>Metals &amp; Mining</x:v>
      </x:c>
      <x:c r="E9736" s="13" t="str">
        <x:v>Metals &amp; Mining</x:v>
      </x:c>
      <x:c r="F9736" s="13" t="str">
        <x:v>Deep Cyclicals</x:v>
      </x:c>
      <x:c r="G9736" s="13" t="str">
        <x:v>Ibovespa_earnings_consolidated.xlsx</x:v>
      </x:c>
    </x:row>
    <x:row r="9737">
      <x:c r="A9737" s="15" t="n">
        <x:v>44713</x:v>
      </x:c>
      <x:c r="B9737" s="13" t="str">
        <x:v>USINAS SIDER MINAS GER-PF A</x:v>
      </x:c>
      <x:c r="C9737" s="16" t="n">
        <x:v>3970.8730872986</x:v>
      </x:c>
      <x:c r="D9737" s="13" t="str">
        <x:v>Metals &amp; Mining</x:v>
      </x:c>
      <x:c r="E9737" s="13" t="str">
        <x:v>Metals &amp; Mining</x:v>
      </x:c>
      <x:c r="F9737" s="13" t="str">
        <x:v>Deep Cyclicals</x:v>
      </x:c>
      <x:c r="G9737" s="13" t="str">
        <x:v>Ibovespa_earnings_consolidated.xlsx</x:v>
      </x:c>
    </x:row>
    <x:row r="9738">
      <x:c r="A9738" s="15" t="n">
        <x:v>44713</x:v>
      </x:c>
      <x:c r="B9738" s="13" t="str">
        <x:v>VALE SA</x:v>
      </x:c>
      <x:c r="C9738" s="16" t="n">
        <x:v>86901.1787944329</x:v>
      </x:c>
      <x:c r="D9738" s="13" t="str">
        <x:v>Metals &amp; Mining</x:v>
      </x:c>
      <x:c r="E9738" s="13" t="str">
        <x:v>Metals &amp; Mining</x:v>
      </x:c>
      <x:c r="F9738" s="13" t="str">
        <x:v>Deep Cyclicals</x:v>
      </x:c>
      <x:c r="G9738" s="13" t="str">
        <x:v>Ibovespa_earnings_consolidated.xlsx</x:v>
      </x:c>
    </x:row>
    <x:row r="9739">
      <x:c r="A9739" s="15" t="n">
        <x:v>44713</x:v>
      </x:c>
      <x:c r="B9739" s="13" t="str">
        <x:v>BRASKEM SA-PREF A</x:v>
      </x:c>
      <x:c r="C9739" s="16" t="n">
        <x:v>5161.4939626959</x:v>
      </x:c>
      <x:c r="D9739" s="13" t="str">
        <x:v>Oil, Gas &amp; Petrochemicals</x:v>
      </x:c>
      <x:c r="E9739" s="13" t="str">
        <x:v>Oil, Gas &amp; Petrochemicals</x:v>
      </x:c>
      <x:c r="F9739" s="13" t="str">
        <x:v>Deep Cyclicals</x:v>
      </x:c>
      <x:c r="G9739" s="13" t="str">
        <x:v>Ibovespa_earnings_consolidated.xlsx</x:v>
      </x:c>
    </x:row>
    <x:row r="9740">
      <x:c r="A9740" s="15" t="n">
        <x:v>44713</x:v>
      </x:c>
      <x:c r="B9740" s="13" t="str">
        <x:v>BRAVA ENERGIA</x:v>
      </x:c>
      <x:c r="C9740" s="16" t="n">
        <x:v>1503.3923605041</x:v>
      </x:c>
      <x:c r="D9740" s="13" t="str">
        <x:v>Oil, Gas &amp; Petrochemicals</x:v>
      </x:c>
      <x:c r="E9740" s="13" t="str">
        <x:v>Oil, Gas &amp; Petrochemicals</x:v>
      </x:c>
      <x:c r="F9740" s="13" t="str">
        <x:v>Deep Cyclicals</x:v>
      </x:c>
      <x:c r="G9740" s="13" t="str">
        <x:v>Ibovespa_earnings_consolidated.xlsx</x:v>
      </x:c>
    </x:row>
    <x:row r="9741">
      <x:c r="A9741" s="15" t="n">
        <x:v>44713</x:v>
      </x:c>
      <x:c r="B9741" s="13" t="str">
        <x:v>COSAN SA</x:v>
      </x:c>
      <x:c r="C9741" s="16" t="n">
        <x:v>3279.0441563178</x:v>
      </x:c>
      <x:c r="D9741" s="13" t="str">
        <x:v>Oil, Gas &amp; Petrochemicals</x:v>
      </x:c>
      <x:c r="E9741" s="13" t="str">
        <x:v>Oil, Gas &amp; Petrochemicals</x:v>
      </x:c>
      <x:c r="F9741" s="13" t="str">
        <x:v>Deep Cyclicals</x:v>
      </x:c>
      <x:c r="G9741" s="13" t="str">
        <x:v>Ibovespa_earnings_consolidated.xlsx</x:v>
      </x:c>
    </x:row>
    <x:row r="9742">
      <x:c r="A9742" s="15" t="n">
        <x:v>44713</x:v>
      </x:c>
      <x:c r="B9742" s="13" t="str">
        <x:v>PETROBRAS - PETROLEO BRAS</x:v>
      </x:c>
      <x:c r="C9742" s="16" t="n">
        <x:v>132833.863001074</x:v>
      </x:c>
      <x:c r="D9742" s="13" t="str">
        <x:v>Oil, Gas &amp; Petrochemicals</x:v>
      </x:c>
      <x:c r="E9742" s="13" t="str">
        <x:v>Oil, Gas &amp; Petrochemicals</x:v>
      </x:c>
      <x:c r="F9742" s="13" t="str">
        <x:v>Deep Cyclicals</x:v>
      </x:c>
      <x:c r="G9742" s="13" t="str">
        <x:v>Ibovespa_earnings_consolidated.xlsx</x:v>
      </x:c>
    </x:row>
    <x:row r="9743">
      <x:c r="A9743" s="15" t="n">
        <x:v>44713</x:v>
      </x:c>
      <x:c r="B9743" s="13" t="str">
        <x:v>PRIO SA</x:v>
      </x:c>
      <x:c r="C9743" s="16" t="n">
        <x:v>2744.0456914411</x:v>
      </x:c>
      <x:c r="D9743" s="13" t="str">
        <x:v>Oil, Gas &amp; Petrochemicals</x:v>
      </x:c>
      <x:c r="E9743" s="13" t="str">
        <x:v>Oil, Gas &amp; Petrochemicals</x:v>
      </x:c>
      <x:c r="F9743" s="13" t="str">
        <x:v>Deep Cyclicals</x:v>
      </x:c>
      <x:c r="G9743" s="13" t="str">
        <x:v>Ibovespa_earnings_consolidated.xlsx</x:v>
      </x:c>
    </x:row>
    <x:row r="9744">
      <x:c r="A9744" s="15" t="n">
        <x:v>44713</x:v>
      </x:c>
      <x:c r="B9744" s="13" t="str">
        <x:v>ULTRAPAR PARTICIPACOES SA</x:v>
      </x:c>
      <x:c r="C9744" s="16" t="n">
        <x:v>1201.6029703014</x:v>
      </x:c>
      <x:c r="D9744" s="13" t="str">
        <x:v>Oil, Gas &amp; Petrochemicals</x:v>
      </x:c>
      <x:c r="E9744" s="13" t="str">
        <x:v>Oil, Gas &amp; Petrochemicals</x:v>
      </x:c>
      <x:c r="F9744" s="13" t="str">
        <x:v>Deep Cyclicals</x:v>
      </x:c>
      <x:c r="G9744" s="13" t="str">
        <x:v>Ibovespa_earnings_consolidated.xlsx</x:v>
      </x:c>
    </x:row>
    <x:row r="9745">
      <x:c r="A9745" s="15" t="n">
        <x:v>44713</x:v>
      </x:c>
      <x:c r="B9745" s="13" t="str">
        <x:v>VIBRA ENERGIA SA</x:v>
      </x:c>
      <x:c r="C9745" s="16" t="n">
        <x:v>2020.9404770192</x:v>
      </x:c>
      <x:c r="D9745" s="13" t="str">
        <x:v>Oil, Gas &amp; Petrochemicals</x:v>
      </x:c>
      <x:c r="E9745" s="13" t="str">
        <x:v>Oil, Gas &amp; Petrochemicals</x:v>
      </x:c>
      <x:c r="F9745" s="13" t="str">
        <x:v>Deep Cyclicals</x:v>
      </x:c>
      <x:c r="G9745" s="13" t="str">
        <x:v>Ibovespa_earnings_consolidated.xlsx</x:v>
      </x:c>
    </x:row>
    <x:row r="9746">
      <x:c r="A9746" s="15" t="n">
        <x:v>44713</x:v>
      </x:c>
      <x:c r="B9746" s="13" t="str">
        <x:v>DEXCO SA</x:v>
      </x:c>
      <x:c r="C9746" s="16" t="n">
        <x:v>851.8116359014</x:v>
      </x:c>
      <x:c r="D9746" s="13" t="str">
        <x:v>Pulp &amp; Paper</x:v>
      </x:c>
      <x:c r="E9746" s="13" t="str">
        <x:v>Pulp &amp; Paper</x:v>
      </x:c>
      <x:c r="F9746" s="13" t="str">
        <x:v>Deep Cyclicals</x:v>
      </x:c>
      <x:c r="G9746" s="13" t="str">
        <x:v>Ibovespa_earnings_consolidated.xlsx</x:v>
      </x:c>
    </x:row>
    <x:row r="9747">
      <x:c r="A9747" s="15" t="n">
        <x:v>44713</x:v>
      </x:c>
      <x:c r="B9747" s="13" t="str">
        <x:v>KLABIN SA - UNIT</x:v>
      </x:c>
      <x:c r="C9747" s="16" t="n">
        <x:v>2681.3807517808</x:v>
      </x:c>
      <x:c r="D9747" s="13" t="str">
        <x:v>Pulp &amp; Paper</x:v>
      </x:c>
      <x:c r="E9747" s="13" t="str">
        <x:v>Pulp &amp; Paper</x:v>
      </x:c>
      <x:c r="F9747" s="13" t="str">
        <x:v>Deep Cyclicals</x:v>
      </x:c>
      <x:c r="G9747" s="13" t="str">
        <x:v>Ibovespa_earnings_consolidated.xlsx</x:v>
      </x:c>
    </x:row>
    <x:row r="9748">
      <x:c r="A9748" s="15" t="n">
        <x:v>44713</x:v>
      </x:c>
      <x:c r="B9748" s="13" t="str">
        <x:v>SUZANO SA</x:v>
      </x:c>
      <x:c r="C9748" s="16" t="n">
        <x:v>9787.9840950356</x:v>
      </x:c>
      <x:c r="D9748" s="13" t="str">
        <x:v>Pulp &amp; Paper</x:v>
      </x:c>
      <x:c r="E9748" s="13" t="str">
        <x:v>Pulp &amp; Paper</x:v>
      </x:c>
      <x:c r="F9748" s="13" t="str">
        <x:v>Deep Cyclicals</x:v>
      </x:c>
      <x:c r="G9748" s="13" t="str">
        <x:v>Ibovespa_earnings_consolidated.xlsx</x:v>
      </x:c>
    </x:row>
    <x:row r="9749">
      <x:c r="A9749" s="15" t="n">
        <x:v>44713</x:v>
      </x:c>
      <x:c r="B9749" s="13" t="str">
        <x:v>ALPARGATAS SA - PREF</x:v>
      </x:c>
      <x:c r="C9749" s="16" t="n">
        <x:v>707.1713481644</x:v>
      </x:c>
      <x:c r="D9749" s="13" t="str">
        <x:v>Retail</x:v>
      </x:c>
      <x:c r="E9749" s="13" t="str">
        <x:v>Retail</x:v>
      </x:c>
      <x:c r="F9749" s="13" t="str">
        <x:v>Early Cyclicals</x:v>
      </x:c>
      <x:c r="G9749" s="13" t="str">
        <x:v>Ibovespa_earnings_consolidated.xlsx</x:v>
      </x:c>
    </x:row>
    <x:row r="9750">
      <x:c r="A9750" s="15" t="n">
        <x:v>44713</x:v>
      </x:c>
      <x:c r="B9750" s="13" t="str">
        <x:v>AMERICANAS SA</x:v>
      </x:c>
      <x:c r="C9750" s="16" t="n">
        <x:v>603.0259941699</x:v>
      </x:c>
      <x:c r="D9750" s="13" t="str">
        <x:v>Retail</x:v>
      </x:c>
      <x:c r="E9750" s="13" t="str">
        <x:v>Retail</x:v>
      </x:c>
      <x:c r="F9750" s="13" t="str">
        <x:v>Early Cyclicals</x:v>
      </x:c>
      <x:c r="G9750" s="13" t="str">
        <x:v>Ibovespa_earnings_consolidated.xlsx</x:v>
      </x:c>
    </x:row>
    <x:row r="9751">
      <x:c r="A9751" s="15" t="n">
        <x:v>44713</x:v>
      </x:c>
      <x:c r="B9751" s="13" t="str">
        <x:v>ATACADAO SA</x:v>
      </x:c>
      <x:c r="C9751" s="16" t="n">
        <x:v>2538.0523218411</x:v>
      </x:c>
      <x:c r="D9751" s="13" t="str">
        <x:v>Retail</x:v>
      </x:c>
      <x:c r="E9751" s="13" t="str">
        <x:v>Retail</x:v>
      </x:c>
      <x:c r="F9751" s="13" t="str">
        <x:v>Early Cyclicals</x:v>
      </x:c>
      <x:c r="G9751" s="13" t="str">
        <x:v>Ibovespa_earnings_consolidated.xlsx</x:v>
      </x:c>
    </x:row>
    <x:row r="9752">
      <x:c r="A9752" s="15" t="n">
        <x:v>44713</x:v>
      </x:c>
      <x:c r="B9752" s="13" t="str">
        <x:v>CIA BRASILEIRA DE DISTRIBUIC</x:v>
      </x:c>
      <x:c r="C9752" s="16" t="n">
        <x:v>538.6671987726</x:v>
      </x:c>
      <x:c r="D9752" s="13" t="str">
        <x:v>Retail</x:v>
      </x:c>
      <x:c r="E9752" s="13" t="str">
        <x:v>Retail</x:v>
      </x:c>
      <x:c r="F9752" s="13" t="str">
        <x:v>Early Cyclicals</x:v>
      </x:c>
      <x:c r="G9752" s="13" t="str">
        <x:v>Ibovespa_earnings_consolidated.xlsx</x:v>
      </x:c>
    </x:row>
    <x:row r="9753">
      <x:c r="A9753" s="15" t="n">
        <x:v>44713</x:v>
      </x:c>
      <x:c r="B9753" s="13" t="str">
        <x:v>CVC BRASIL OPERADORA E AGENC</x:v>
      </x:c>
      <x:c r="C9753" s="16" t="n">
        <x:v>-67.8169863014</x:v>
      </x:c>
      <x:c r="D9753" s="13" t="str">
        <x:v>Retail</x:v>
      </x:c>
      <x:c r="E9753" s="13" t="str">
        <x:v>Retail</x:v>
      </x:c>
      <x:c r="F9753" s="13" t="str">
        <x:v>Early Cyclicals</x:v>
      </x:c>
      <x:c r="G9753" s="13" t="str">
        <x:v>Ibovespa_earnings_consolidated.xlsx</x:v>
      </x:c>
    </x:row>
    <x:row r="9754">
      <x:c r="A9754" s="15" t="n">
        <x:v>44713</x:v>
      </x:c>
      <x:c r="B9754" s="13" t="str">
        <x:v>GRUPO CASAS BAHIA SA</x:v>
      </x:c>
      <x:c r="C9754" s="16" t="n">
        <x:v>-353.6261286137</x:v>
      </x:c>
      <x:c r="D9754" s="13" t="str">
        <x:v>Retail</x:v>
      </x:c>
      <x:c r="E9754" s="13" t="str">
        <x:v>Retail</x:v>
      </x:c>
      <x:c r="F9754" s="13" t="str">
        <x:v>Early Cyclicals</x:v>
      </x:c>
      <x:c r="G9754" s="13" t="str">
        <x:v>Ibovespa_earnings_consolidated.xlsx</x:v>
      </x:c>
    </x:row>
    <x:row r="9755">
      <x:c r="A9755" s="15" t="n">
        <x:v>44713</x:v>
      </x:c>
      <x:c r="B9755" s="13" t="str">
        <x:v>GRUPO DE MODA SOMA SA</x:v>
      </x:c>
      <x:c r="C9755" s="16" t="n">
        <x:v>504.7912328767</x:v>
      </x:c>
      <x:c r="D9755" s="13" t="str">
        <x:v>Retail</x:v>
      </x:c>
      <x:c r="E9755" s="13" t="str">
        <x:v>Retail</x:v>
      </x:c>
      <x:c r="F9755" s="13" t="str">
        <x:v>Early Cyclicals</x:v>
      </x:c>
      <x:c r="G9755" s="13" t="str">
        <x:v>Ibovespa_earnings_consolidated.xlsx</x:v>
      </x:c>
    </x:row>
    <x:row r="9756">
      <x:c r="A9756" s="15" t="n">
        <x:v>44713</x:v>
      </x:c>
      <x:c r="B9756" s="13" t="str">
        <x:v>LOJAS RENNER S.A.</x:v>
      </x:c>
      <x:c r="C9756" s="16" t="n">
        <x:v>1446.5884998137</x:v>
      </x:c>
      <x:c r="D9756" s="13" t="str">
        <x:v>Retail</x:v>
      </x:c>
      <x:c r="E9756" s="13" t="str">
        <x:v>Retail</x:v>
      </x:c>
      <x:c r="F9756" s="13" t="str">
        <x:v>Early Cyclicals</x:v>
      </x:c>
      <x:c r="G9756" s="13" t="str">
        <x:v>Ibovespa_earnings_consolidated.xlsx</x:v>
      </x:c>
    </x:row>
    <x:row r="9757">
      <x:c r="A9757" s="15" t="n">
        <x:v>44713</x:v>
      </x:c>
      <x:c r="B9757" s="13" t="str">
        <x:v>MAGAZINE LUIZA SA</x:v>
      </x:c>
      <x:c r="C9757" s="16" t="n">
        <x:v>238.8273101151</x:v>
      </x:c>
      <x:c r="D9757" s="13" t="str">
        <x:v>Retail</x:v>
      </x:c>
      <x:c r="E9757" s="13" t="str">
        <x:v>Retail</x:v>
      </x:c>
      <x:c r="F9757" s="13" t="str">
        <x:v>Early Cyclicals</x:v>
      </x:c>
      <x:c r="G9757" s="13" t="str">
        <x:v>Ibovespa_earnings_consolidated.xlsx</x:v>
      </x:c>
    </x:row>
    <x:row r="9758">
      <x:c r="A9758" s="15" t="n">
        <x:v>44713</x:v>
      </x:c>
      <x:c r="B9758" s="13" t="str">
        <x:v>NATURA &amp;CO HOLDING SA</x:v>
      </x:c>
      <x:c r="C9758" s="16" t="n">
        <x:v>772.3243632219</x:v>
      </x:c>
      <x:c r="D9758" s="13" t="str">
        <x:v>Retail</x:v>
      </x:c>
      <x:c r="E9758" s="13" t="str">
        <x:v>Retail</x:v>
      </x:c>
      <x:c r="F9758" s="13" t="str">
        <x:v>Early Cyclicals</x:v>
      </x:c>
      <x:c r="G9758" s="13" t="str">
        <x:v>Ibovespa_earnings_consolidated.xlsx</x:v>
      </x:c>
    </x:row>
    <x:row r="9759">
      <x:c r="A9759" s="15" t="n">
        <x:v>44713</x:v>
      </x:c>
      <x:c r="B9759" s="13" t="str">
        <x:v>PET CENTER COMERCIO E PARTIC</x:v>
      </x:c>
      <x:c r="C9759" s="16" t="n">
        <x:v>166.8394520548</x:v>
      </x:c>
      <x:c r="D9759" s="13" t="str">
        <x:v>Retail</x:v>
      </x:c>
      <x:c r="E9759" s="13" t="str">
        <x:v>Retail</x:v>
      </x:c>
      <x:c r="F9759" s="13" t="str">
        <x:v>Early Cyclicals</x:v>
      </x:c>
      <x:c r="G9759" s="13" t="str">
        <x:v>Ibovespa_earnings_consolidated.xlsx</x:v>
      </x:c>
    </x:row>
    <x:row r="9760">
      <x:c r="A9760" s="15" t="n">
        <x:v>44713</x:v>
      </x:c>
      <x:c r="B9760" s="13" t="str">
        <x:v>RAIA DROGASIL SA</x:v>
      </x:c>
      <x:c r="C9760" s="16" t="n">
        <x:v>1070.0903459068</x:v>
      </x:c>
      <x:c r="D9760" s="13" t="str">
        <x:v>Retail</x:v>
      </x:c>
      <x:c r="E9760" s="13" t="str">
        <x:v>Retail</x:v>
      </x:c>
      <x:c r="F9760" s="13" t="str">
        <x:v>Early Cyclicals</x:v>
      </x:c>
      <x:c r="G9760" s="13" t="str">
        <x:v>Ibovespa_earnings_consolidated.xlsx</x:v>
      </x:c>
    </x:row>
    <x:row r="9761">
      <x:c r="A9761" s="15" t="n">
        <x:v>44713</x:v>
      </x:c>
      <x:c r="B9761" s="13" t="str">
        <x:v>SENDAS DISTRIBUIDORA SA</x:v>
      </x:c>
      <x:c r="C9761" s="16" t="n">
        <x:v>1331.9740875397</x:v>
      </x:c>
      <x:c r="D9761" s="13" t="str">
        <x:v>Retail</x:v>
      </x:c>
      <x:c r="E9761" s="13" t="str">
        <x:v>Retail</x:v>
      </x:c>
      <x:c r="F9761" s="13" t="str">
        <x:v>Early Cyclicals</x:v>
      </x:c>
      <x:c r="G9761" s="13" t="str">
        <x:v>Ibovespa_earnings_consolidated.xlsx</x:v>
      </x:c>
    </x:row>
    <x:row r="9762">
      <x:c r="A9762" s="15" t="n">
        <x:v>44713</x:v>
      </x:c>
      <x:c r="B9762" s="13" t="str">
        <x:v>CIA SANEAMENTO BASICO DE SP</x:v>
      </x:c>
      <x:c r="C9762" s="16" t="n">
        <x:v>3214.6316351123</x:v>
      </x:c>
      <x:c r="D9762" s="13" t="str">
        <x:v>Sanitation</x:v>
      </x:c>
      <x:c r="E9762" s="13" t="str">
        <x:v>Utilities</x:v>
      </x:c>
      <x:c r="F9762" s="13" t="str">
        <x:v>Defensives</x:v>
      </x:c>
      <x:c r="G9762" s="13" t="str">
        <x:v>Ibovespa_earnings_consolidated.xlsx</x:v>
      </x:c>
    </x:row>
    <x:row r="9763">
      <x:c r="A9763" s="15" t="n">
        <x:v>44713</x:v>
      </x:c>
      <x:c r="B9763" s="13" t="str">
        <x:v>LWSA SA</x:v>
      </x:c>
      <x:c r="C9763" s="16" t="n">
        <x:v>117.8226827397</x:v>
      </x:c>
      <x:c r="D9763" s="13" t="str">
        <x:v>TMT</x:v>
      </x:c>
      <x:c r="E9763" s="13" t="str">
        <x:v>TMT</x:v>
      </x:c>
      <x:c r="F9763" s="13" t="str">
        <x:v>Early Cyclicals</x:v>
      </x:c>
      <x:c r="G9763" s="13" t="str">
        <x:v>Ibovespa_earnings_consolidated.xlsx</x:v>
      </x:c>
    </x:row>
    <x:row r="9764">
      <x:c r="A9764" s="15" t="n">
        <x:v>44713</x:v>
      </x:c>
      <x:c r="B9764" s="13" t="str">
        <x:v>POSITIVO TECNOLOGIA SA</x:v>
      </x:c>
      <x:c r="C9764" s="16" t="n">
        <x:v>197.3232876712</x:v>
      </x:c>
      <x:c r="D9764" s="13" t="str">
        <x:v>TMT</x:v>
      </x:c>
      <x:c r="E9764" s="13" t="str">
        <x:v>TMT</x:v>
      </x:c>
      <x:c r="F9764" s="13" t="str">
        <x:v>Early Cyclicals</x:v>
      </x:c>
      <x:c r="G9764" s="13" t="str">
        <x:v>Ibovespa_earnings_consolidated.xlsx</x:v>
      </x:c>
    </x:row>
    <x:row r="9765">
      <x:c r="A9765" s="15" t="n">
        <x:v>44713</x:v>
      </x:c>
      <x:c r="B9765" s="13" t="str">
        <x:v>TIM SA</x:v>
      </x:c>
      <x:c r="C9765" s="16" t="n">
        <x:v>2453.9088797808</x:v>
      </x:c>
      <x:c r="D9765" s="13" t="str">
        <x:v>TMT</x:v>
      </x:c>
      <x:c r="E9765" s="13" t="str">
        <x:v>TMT</x:v>
      </x:c>
      <x:c r="F9765" s="13" t="str">
        <x:v>Early Cyclicals</x:v>
      </x:c>
      <x:c r="G9765" s="13" t="str">
        <x:v>Ibovespa_earnings_consolidated.xlsx</x:v>
      </x:c>
    </x:row>
    <x:row r="9766">
      <x:c r="A9766" s="15" t="n">
        <x:v>44713</x:v>
      </x:c>
      <x:c r="B9766" s="13" t="str">
        <x:v>TOTVS SA</x:v>
      </x:c>
      <x:c r="C9766" s="16" t="n">
        <x:v>638.8310945315</x:v>
      </x:c>
      <x:c r="D9766" s="13" t="str">
        <x:v>TMT</x:v>
      </x:c>
      <x:c r="E9766" s="13" t="str">
        <x:v>TMT</x:v>
      </x:c>
      <x:c r="F9766" s="13" t="str">
        <x:v>Early Cyclicals</x:v>
      </x:c>
      <x:c r="G9766" s="13" t="str">
        <x:v>Ibovespa_earnings_consolidated.xlsx</x:v>
      </x:c>
    </x:row>
    <x:row r="9767">
      <x:c r="A9767" s="15" t="n">
        <x:v>44713</x:v>
      </x:c>
      <x:c r="B9767" s="13" t="str">
        <x:v>AZUL SA</x:v>
      </x:c>
      <x:c r="C9767" s="16" t="n">
        <x:v>-86.5002705534</x:v>
      </x:c>
      <x:c r="D9767" s="13" t="str">
        <x:v>Transportation</x:v>
      </x:c>
      <x:c r="E9767" s="13" t="str">
        <x:v>Transportation</x:v>
      </x:c>
      <x:c r="F9767" s="13" t="str">
        <x:v>Deep Cyclicals</x:v>
      </x:c>
      <x:c r="G9767" s="13" t="str">
        <x:v>Ibovespa_earnings_consolidated.xlsx</x:v>
      </x:c>
    </x:row>
    <x:row r="9768">
      <x:c r="A9768" s="15" t="n">
        <x:v>44713</x:v>
      </x:c>
      <x:c r="B9768" s="13" t="str">
        <x:v>CIA DE LOCACAO DAS AMERICAS</x:v>
      </x:c>
      <x:c r="C9768" s="16" t="n">
        <x:v>1127.1965282192</x:v>
      </x:c>
      <x:c r="D9768" s="13" t="str">
        <x:v>Transportation</x:v>
      </x:c>
      <x:c r="E9768" s="13" t="str">
        <x:v>Transportation</x:v>
      </x:c>
      <x:c r="F9768" s="13" t="str">
        <x:v>Deep Cyclicals</x:v>
      </x:c>
      <x:c r="G9768" s="13" t="str">
        <x:v>Ibovespa_earnings_consolidated.xlsx</x:v>
      </x:c>
    </x:row>
    <x:row r="9769">
      <x:c r="A9769" s="15" t="n">
        <x:v>44713</x:v>
      </x:c>
      <x:c r="B9769" s="13" t="str">
        <x:v>ECORODOVIAS INFRA E LOG SA</x:v>
      </x:c>
      <x:c r="C9769" s="16" t="n">
        <x:v>292.152294663</x:v>
      </x:c>
      <x:c r="D9769" s="13" t="str">
        <x:v>Transportation</x:v>
      </x:c>
      <x:c r="E9769" s="13" t="str">
        <x:v>Transportation</x:v>
      </x:c>
      <x:c r="F9769" s="13" t="str">
        <x:v>Deep Cyclicals</x:v>
      </x:c>
      <x:c r="G9769" s="13" t="str">
        <x:v>Ibovespa_earnings_consolidated.xlsx</x:v>
      </x:c>
    </x:row>
    <x:row r="9770">
      <x:c r="A9770" s="15" t="n">
        <x:v>44713</x:v>
      </x:c>
      <x:c r="B9770" s="13" t="str">
        <x:v>GOL LINHAS AEREAS INT SA-PRE</x:v>
      </x:c>
      <x:c r="C9770" s="16" t="n">
        <x:v>-99.3505412384</x:v>
      </x:c>
      <x:c r="D9770" s="13" t="str">
        <x:v>Transportation</x:v>
      </x:c>
      <x:c r="E9770" s="13" t="str">
        <x:v>Transportation</x:v>
      </x:c>
      <x:c r="F9770" s="13" t="str">
        <x:v>Deep Cyclicals</x:v>
      </x:c>
      <x:c r="G9770" s="13" t="str">
        <x:v>Ibovespa_earnings_consolidated.xlsx</x:v>
      </x:c>
    </x:row>
    <x:row r="9771">
      <x:c r="A9771" s="15" t="n">
        <x:v>44713</x:v>
      </x:c>
      <x:c r="B9771" s="13" t="str">
        <x:v>LOCALIZA RENT A CAR</x:v>
      </x:c>
      <x:c r="C9771" s="16" t="n">
        <x:v>2236.8320589151</x:v>
      </x:c>
      <x:c r="D9771" s="13" t="str">
        <x:v>Transportation</x:v>
      </x:c>
      <x:c r="E9771" s="13" t="str">
        <x:v>Transportation</x:v>
      </x:c>
      <x:c r="F9771" s="13" t="str">
        <x:v>Deep Cyclicals</x:v>
      </x:c>
      <x:c r="G9771" s="13" t="str">
        <x:v>Ibovespa_earnings_consolidated.xlsx</x:v>
      </x:c>
    </x:row>
    <x:row r="9772">
      <x:c r="A9772" s="15" t="n">
        <x:v>44713</x:v>
      </x:c>
      <x:c r="B9772" s="13" t="str">
        <x:v>MOTIVA INFRAESTRUTURA DE MOB</x:v>
      </x:c>
      <x:c r="C9772" s="16" t="n">
        <x:v>2019.8954709918</x:v>
      </x:c>
      <x:c r="D9772" s="13" t="str">
        <x:v>Transportation</x:v>
      </x:c>
      <x:c r="E9772" s="13" t="str">
        <x:v>Transportation</x:v>
      </x:c>
      <x:c r="F9772" s="13" t="str">
        <x:v>Deep Cyclicals</x:v>
      </x:c>
      <x:c r="G9772" s="13" t="str">
        <x:v>Ibovespa_earnings_consolidated.xlsx</x:v>
      </x:c>
    </x:row>
    <x:row r="9773">
      <x:c r="A9773" s="15" t="n">
        <x:v>44713</x:v>
      </x:c>
      <x:c r="B9773" s="13" t="str">
        <x:v>RUMO SA</x:v>
      </x:c>
      <x:c r="C9773" s="16" t="n">
        <x:v>796.6928608438</x:v>
      </x:c>
      <x:c r="D9773" s="13" t="str">
        <x:v>Transportation</x:v>
      </x:c>
      <x:c r="E9773" s="13" t="str">
        <x:v>Transportation</x:v>
      </x:c>
      <x:c r="F9773" s="13" t="str">
        <x:v>Deep Cyclicals</x:v>
      </x:c>
      <x:c r="G9773" s="13" t="str">
        <x:v>Ibovespa_earnings_consolidated.xlsx</x:v>
      </x:c>
    </x:row>
    <x:row r="9774">
      <x:c r="A9774" s="15" t="n">
        <x:v>44713</x:v>
      </x:c>
      <x:c r="B9774" s="13" t="str">
        <x:v>AXIA ENERGIA SA</x:v>
      </x:c>
      <x:c r="C9774" s="16" t="n">
        <x:v>8824.6716444055</x:v>
      </x:c>
      <x:c r="D9774" s="13" t="str">
        <x:v>Utilities &amp; Energy</x:v>
      </x:c>
      <x:c r="E9774" s="13" t="str">
        <x:v>Utilities</x:v>
      </x:c>
      <x:c r="F9774" s="13" t="str">
        <x:v>Defensives</x:v>
      </x:c>
      <x:c r="G9774" s="13" t="str">
        <x:v>Ibovespa_earnings_consolidated.xlsx</x:v>
      </x:c>
    </x:row>
    <x:row r="9775">
      <x:c r="A9775" s="15" t="n">
        <x:v>44713</x:v>
      </x:c>
      <x:c r="B9775" s="13" t="str">
        <x:v>AXIA ENERGIA-PR B</x:v>
      </x:c>
      <x:c r="C9775" s="16" t="n">
        <x:v>8824.6716444055</x:v>
      </x:c>
      <x:c r="D9775" s="13" t="str">
        <x:v>Utilities &amp; Energy</x:v>
      </x:c>
      <x:c r="E9775" s="13" t="str">
        <x:v>Utilities</x:v>
      </x:c>
      <x:c r="F9775" s="13" t="str">
        <x:v>Defensives</x:v>
      </x:c>
      <x:c r="G9775" s="13" t="str">
        <x:v>Ibovespa_earnings_consolidated.xlsx</x:v>
      </x:c>
    </x:row>
    <x:row r="9776">
      <x:c r="A9776" s="15" t="n">
        <x:v>44713</x:v>
      </x:c>
      <x:c r="B9776" s="13" t="str">
        <x:v>CIA ENERGETICA MINAS GER-PRF</x:v>
      </x:c>
      <x:c r="C9776" s="16" t="n">
        <x:v>3693.5173835397</x:v>
      </x:c>
      <x:c r="D9776" s="13" t="str">
        <x:v>Utilities &amp; Energy</x:v>
      </x:c>
      <x:c r="E9776" s="13" t="str">
        <x:v>Utilities</x:v>
      </x:c>
      <x:c r="F9776" s="13" t="str">
        <x:v>Defensives</x:v>
      </x:c>
      <x:c r="G9776" s="13" t="str">
        <x:v>Ibovespa_earnings_consolidated.xlsx</x:v>
      </x:c>
    </x:row>
    <x:row r="9777">
      <x:c r="A9777" s="15" t="n">
        <x:v>44713</x:v>
      </x:c>
      <x:c r="B9777" s="13" t="str">
        <x:v>COMPANHIA PARANAENSE -PREF B</x:v>
      </x:c>
      <x:c r="C9777" s="16" t="n">
        <x:v>2616.4921905096</x:v>
      </x:c>
      <x:c r="D9777" s="13" t="str">
        <x:v>Utilities &amp; Energy</x:v>
      </x:c>
      <x:c r="E9777" s="13" t="str">
        <x:v>Utilities</x:v>
      </x:c>
      <x:c r="F9777" s="13" t="str">
        <x:v>Defensives</x:v>
      </x:c>
      <x:c r="G9777" s="13" t="str">
        <x:v>Ibovespa_earnings_consolidated.xlsx</x:v>
      </x:c>
    </x:row>
    <x:row r="9778">
      <x:c r="A9778" s="15" t="n">
        <x:v>44713</x:v>
      </x:c>
      <x:c r="B9778" s="13" t="str">
        <x:v>CPFL ENERGIA SA</x:v>
      </x:c>
      <x:c r="C9778" s="16" t="n">
        <x:v>4554.9277674959</x:v>
      </x:c>
      <x:c r="D9778" s="13" t="str">
        <x:v>Utilities &amp; Energy</x:v>
      </x:c>
      <x:c r="E9778" s="13" t="str">
        <x:v>Utilities</x:v>
      </x:c>
      <x:c r="F9778" s="13" t="str">
        <x:v>Defensives</x:v>
      </x:c>
      <x:c r="G9778" s="13" t="str">
        <x:v>Ibovespa_earnings_consolidated.xlsx</x:v>
      </x:c>
    </x:row>
    <x:row r="9779">
      <x:c r="A9779" s="15" t="n">
        <x:v>44713</x:v>
      </x:c>
      <x:c r="B9779" s="13" t="str">
        <x:v>EDP - ENERGIAS DO BRASIL SA</x:v>
      </x:c>
      <x:c r="C9779" s="16" t="n">
        <x:v>1599.1646155397</x:v>
      </x:c>
      <x:c r="D9779" s="13" t="str">
        <x:v>Utilities &amp; Energy</x:v>
      </x:c>
      <x:c r="E9779" s="13" t="str">
        <x:v>Utilities</x:v>
      </x:c>
      <x:c r="F9779" s="13" t="str">
        <x:v>Defensives</x:v>
      </x:c>
      <x:c r="G9779" s="13" t="str">
        <x:v>Ibovespa_earnings_consolidated.xlsx</x:v>
      </x:c>
    </x:row>
    <x:row r="9780">
      <x:c r="A9780" s="15" t="n">
        <x:v>44713</x:v>
      </x:c>
      <x:c r="B9780" s="13" t="str">
        <x:v>ENERGISA SA-UNITS</x:v>
      </x:c>
      <x:c r="C9780" s="16" t="n">
        <x:v>1828.8772716712</x:v>
      </x:c>
      <x:c r="D9780" s="13" t="str">
        <x:v>Utilities &amp; Energy</x:v>
      </x:c>
      <x:c r="E9780" s="13" t="str">
        <x:v>Utilities</x:v>
      </x:c>
      <x:c r="F9780" s="13" t="str">
        <x:v>Defensives</x:v>
      </x:c>
      <x:c r="G9780" s="13" t="str">
        <x:v>Ibovespa_earnings_consolidated.xlsx</x:v>
      </x:c>
    </x:row>
    <x:row r="9781">
      <x:c r="A9781" s="15" t="n">
        <x:v>44713</x:v>
      </x:c>
      <x:c r="B9781" s="13" t="str">
        <x:v>ENEVA SA</x:v>
      </x:c>
      <x:c r="C9781" s="16" t="n">
        <x:v>1158.1040436603</x:v>
      </x:c>
      <x:c r="D9781" s="13" t="str">
        <x:v>Utilities &amp; Energy</x:v>
      </x:c>
      <x:c r="E9781" s="13" t="str">
        <x:v>Utilities</x:v>
      </x:c>
      <x:c r="F9781" s="13" t="str">
        <x:v>Defensives</x:v>
      </x:c>
      <x:c r="G9781" s="13" t="str">
        <x:v>Ibovespa_earnings_consolidated.xlsx</x:v>
      </x:c>
    </x:row>
    <x:row r="9782">
      <x:c r="A9782" s="15" t="n">
        <x:v>44713</x:v>
      </x:c>
      <x:c r="B9782" s="13" t="str">
        <x:v>ENGIE BRASIL ENERGIA SA</x:v>
      </x:c>
      <x:c r="C9782" s="16" t="n">
        <x:v>3246.8355043945</x:v>
      </x:c>
      <x:c r="D9782" s="13" t="str">
        <x:v>Utilities &amp; Energy</x:v>
      </x:c>
      <x:c r="E9782" s="13" t="str">
        <x:v>Utilities</x:v>
      </x:c>
      <x:c r="F9782" s="13" t="str">
        <x:v>Defensives</x:v>
      </x:c>
      <x:c r="G9782" s="13" t="str">
        <x:v>Ibovespa_earnings_consolidated.xlsx</x:v>
      </x:c>
    </x:row>
    <x:row r="9783">
      <x:c r="A9783" s="15" t="n">
        <x:v>44713</x:v>
      </x:c>
      <x:c r="B9783" s="13" t="str">
        <x:v>EQUATORIAL SA - ORD</x:v>
      </x:c>
      <x:c r="C9783" s="16" t="n">
        <x:v>2789.1486544658</x:v>
      </x:c>
      <x:c r="D9783" s="13" t="str">
        <x:v>Utilities &amp; Energy</x:v>
      </x:c>
      <x:c r="E9783" s="13" t="str">
        <x:v>Utilities</x:v>
      </x:c>
      <x:c r="F9783" s="13" t="str">
        <x:v>Defensives</x:v>
      </x:c>
      <x:c r="G9783" s="13" t="str">
        <x:v>Ibovespa_earnings_consolidated.xlsx</x:v>
      </x:c>
    </x:row>
    <x:row r="9784">
      <x:c r="A9784" s="15" t="n">
        <x:v>44713</x:v>
      </x:c>
      <x:c r="B9784" s="13" t="str">
        <x:v>TRANSMISSORA ALIANCA DE-UNIT</x:v>
      </x:c>
      <x:c r="C9784" s="16" t="n">
        <x:v>1114.9458288219</x:v>
      </x:c>
      <x:c r="D9784" s="13" t="str">
        <x:v>Utilities &amp; Energy</x:v>
      </x:c>
      <x:c r="E9784" s="13" t="str">
        <x:v>Utilities</x:v>
      </x:c>
      <x:c r="F9784" s="13" t="str">
        <x:v>Defensives</x:v>
      </x:c>
      <x:c r="G9784" s="13" t="str">
        <x:v>Ibovespa_earnings_consolidated.xlsx</x:v>
      </x:c>
    </x:row>
    <x:row r="9785">
      <x:c r="A9785" s="15" t="n">
        <x:v>44743</x:v>
      </x:c>
      <x:c r="B9785" s="13" t="str">
        <x:v>SLC AGRICOLA SA</x:v>
      </x:c>
      <x:c r="C9785" s="16" t="n">
        <x:v>1326.7054886575</x:v>
      </x:c>
      <x:c r="D9785" s="13" t="str">
        <x:v>Agribusiness</x:v>
      </x:c>
      <x:c r="E9785" s="13" t="str">
        <x:v>Agri, Food &amp; Beverages</x:v>
      </x:c>
      <x:c r="F9785" s="13" t="str">
        <x:v>Defensives</x:v>
      </x:c>
      <x:c r="G9785" s="13" t="str">
        <x:v>Ibovespa_earnings_consolidated.xlsx</x:v>
      </x:c>
    </x:row>
    <x:row r="9786">
      <x:c r="A9786" s="15" t="n">
        <x:v>44743</x:v>
      </x:c>
      <x:c r="B9786" s="13" t="str">
        <x:v>BANCO BRADESCO S.A.</x:v>
      </x:c>
      <x:c r="C9786" s="16" t="n">
        <x:v>29618.4366290411</x:v>
      </x:c>
      <x:c r="D9786" s="13" t="str">
        <x:v>Banks</x:v>
      </x:c>
      <x:c r="E9786" s="13" t="str">
        <x:v>Banks</x:v>
      </x:c>
      <x:c r="F9786" s="13" t="str">
        <x:v>Financials</x:v>
      </x:c>
      <x:c r="G9786" s="13" t="str">
        <x:v>Ibovespa_earnings_consolidated.xlsx</x:v>
      </x:c>
    </x:row>
    <x:row r="9787">
      <x:c r="A9787" s="15" t="n">
        <x:v>44743</x:v>
      </x:c>
      <x:c r="B9787" s="13" t="str">
        <x:v>BANCO BRADESCO SA-PREF</x:v>
      </x:c>
      <x:c r="C9787" s="16" t="n">
        <x:v>29618.4366290411</x:v>
      </x:c>
      <x:c r="D9787" s="13" t="str">
        <x:v>Banks</x:v>
      </x:c>
      <x:c r="E9787" s="13" t="str">
        <x:v>Banks</x:v>
      </x:c>
      <x:c r="F9787" s="13" t="str">
        <x:v>Financials</x:v>
      </x:c>
      <x:c r="G9787" s="13" t="str">
        <x:v>Ibovespa_earnings_consolidated.xlsx</x:v>
      </x:c>
    </x:row>
    <x:row r="9788">
      <x:c r="A9788" s="15" t="n">
        <x:v>44743</x:v>
      </x:c>
      <x:c r="B9788" s="13" t="str">
        <x:v>BANCO BTG PACTUAL SA-UNIT</x:v>
      </x:c>
      <x:c r="C9788" s="16" t="n">
        <x:v>8472.7944977534</x:v>
      </x:c>
      <x:c r="D9788" s="13" t="str">
        <x:v>Banks</x:v>
      </x:c>
      <x:c r="E9788" s="13" t="str">
        <x:v>Banks</x:v>
      </x:c>
      <x:c r="F9788" s="13" t="str">
        <x:v>Financials</x:v>
      </x:c>
      <x:c r="G9788" s="13" t="str">
        <x:v>Ibovespa_earnings_consolidated.xlsx</x:v>
      </x:c>
    </x:row>
    <x:row r="9789">
      <x:c r="A9789" s="15" t="n">
        <x:v>44743</x:v>
      </x:c>
      <x:c r="B9789" s="13" t="str">
        <x:v>BANCO DO BRASIL S.A.</x:v>
      </x:c>
      <x:c r="C9789" s="16" t="n">
        <x:v>26143.6177814795</x:v>
      </x:c>
      <x:c r="D9789" s="13" t="str">
        <x:v>Banks</x:v>
      </x:c>
      <x:c r="E9789" s="13" t="str">
        <x:v>Banks</x:v>
      </x:c>
      <x:c r="F9789" s="13" t="str">
        <x:v>Financials</x:v>
      </x:c>
      <x:c r="G9789" s="13" t="str">
        <x:v>Ibovespa_earnings_consolidated.xlsx</x:v>
      </x:c>
    </x:row>
    <x:row r="9790">
      <x:c r="A9790" s="15" t="n">
        <x:v>44743</x:v>
      </x:c>
      <x:c r="B9790" s="13" t="str">
        <x:v>BANCO PAN SA</x:v>
      </x:c>
      <x:c r="C9790" s="16" t="n">
        <x:v>1010.7142189589</x:v>
      </x:c>
      <x:c r="D9790" s="13" t="str">
        <x:v>Banks</x:v>
      </x:c>
      <x:c r="E9790" s="13" t="str">
        <x:v>Banks</x:v>
      </x:c>
      <x:c r="F9790" s="13" t="str">
        <x:v>Financials</x:v>
      </x:c>
      <x:c r="G9790" s="13" t="str">
        <x:v>Ibovespa_earnings_consolidated.xlsx</x:v>
      </x:c>
    </x:row>
    <x:row r="9791">
      <x:c r="A9791" s="15" t="n">
        <x:v>44743</x:v>
      </x:c>
      <x:c r="B9791" s="13" t="str">
        <x:v>BANCO SANTANDER  BRASIL-UNIT</x:v>
      </x:c>
      <x:c r="C9791" s="16" t="n">
        <x:v>17145.3735276712</x:v>
      </x:c>
      <x:c r="D9791" s="13" t="str">
        <x:v>Banks</x:v>
      </x:c>
      <x:c r="E9791" s="13" t="str">
        <x:v>Banks</x:v>
      </x:c>
      <x:c r="F9791" s="13" t="str">
        <x:v>Financials</x:v>
      </x:c>
      <x:c r="G9791" s="13" t="str">
        <x:v>Ibovespa_earnings_consolidated.xlsx</x:v>
      </x:c>
    </x:row>
    <x:row r="9792">
      <x:c r="A9792" s="15" t="n">
        <x:v>44743</x:v>
      </x:c>
      <x:c r="B9792" s="13" t="str">
        <x:v>ITAU UNIBANCO HOLDING S-PREF</x:v>
      </x:c>
      <x:c r="C9792" s="16" t="n">
        <x:v>32295.279686137</x:v>
      </x:c>
      <x:c r="D9792" s="13" t="str">
        <x:v>Banks</x:v>
      </x:c>
      <x:c r="E9792" s="13" t="str">
        <x:v>Banks</x:v>
      </x:c>
      <x:c r="F9792" s="13" t="str">
        <x:v>Financials</x:v>
      </x:c>
      <x:c r="G9792" s="13" t="str">
        <x:v>Ibovespa_earnings_consolidated.xlsx</x:v>
      </x:c>
    </x:row>
    <x:row r="9793">
      <x:c r="A9793" s="15" t="n">
        <x:v>44743</x:v>
      </x:c>
      <x:c r="B9793" s="13" t="str">
        <x:v>EMBRAER SA</x:v>
      </x:c>
      <x:c r="C9793" s="16" t="n">
        <x:v>501.8871517808</x:v>
      </x:c>
      <x:c r="D9793" s="13" t="str">
        <x:v>Capital Goods</x:v>
      </x:c>
      <x:c r="E9793" s="13" t="str">
        <x:v>Capital Goods</x:v>
      </x:c>
      <x:c r="F9793" s="13" t="str">
        <x:v>Deep Cyclicals</x:v>
      </x:c>
      <x:c r="G9793" s="13" t="str">
        <x:v>Ibovespa_earnings_consolidated.xlsx</x:v>
      </x:c>
    </x:row>
    <x:row r="9794">
      <x:c r="A9794" s="15" t="n">
        <x:v>44743</x:v>
      </x:c>
      <x:c r="B9794" s="13" t="str">
        <x:v>WEG SA</x:v>
      </x:c>
      <x:c r="C9794" s="16" t="n">
        <x:v>4205.8519320548</x:v>
      </x:c>
      <x:c r="D9794" s="13" t="str">
        <x:v>Capital Goods</x:v>
      </x:c>
      <x:c r="E9794" s="13" t="str">
        <x:v>Capital Goods</x:v>
      </x:c>
      <x:c r="F9794" s="13" t="str">
        <x:v>Deep Cyclicals</x:v>
      </x:c>
      <x:c r="G9794" s="13" t="str">
        <x:v>Ibovespa_earnings_consolidated.xlsx</x:v>
      </x:c>
    </x:row>
    <x:row r="9795">
      <x:c r="A9795" s="15" t="n">
        <x:v>44743</x:v>
      </x:c>
      <x:c r="B9795" s="13" t="str">
        <x:v>COGNA EDUCACAO</x:v>
      </x:c>
      <x:c r="C9795" s="16" t="n">
        <x:v>-164.7858288219</x:v>
      </x:c>
      <x:c r="D9795" s="13" t="str">
        <x:v>Education</x:v>
      </x:c>
      <x:c r="E9795" s="13" t="str">
        <x:v>Education</x:v>
      </x:c>
      <x:c r="F9795" s="13" t="str">
        <x:v>Early Cyclicals</x:v>
      </x:c>
      <x:c r="G9795" s="13" t="str">
        <x:v>Ibovespa_earnings_consolidated.xlsx</x:v>
      </x:c>
    </x:row>
    <x:row r="9796">
      <x:c r="A9796" s="15" t="n">
        <x:v>44743</x:v>
      </x:c>
      <x:c r="B9796" s="13" t="str">
        <x:v>YDUQS PARTICIPACOES SA</x:v>
      </x:c>
      <x:c r="C9796" s="16" t="n">
        <x:v>329.4187888219</x:v>
      </x:c>
      <x:c r="D9796" s="13" t="str">
        <x:v>Education</x:v>
      </x:c>
      <x:c r="E9796" s="13" t="str">
        <x:v>Education</x:v>
      </x:c>
      <x:c r="F9796" s="13" t="str">
        <x:v>Early Cyclicals</x:v>
      </x:c>
      <x:c r="G9796" s="13" t="str">
        <x:v>Ibovespa_earnings_consolidated.xlsx</x:v>
      </x:c>
    </x:row>
    <x:row r="9797">
      <x:c r="A9797" s="15" t="n">
        <x:v>44743</x:v>
      </x:c>
      <x:c r="B9797" s="13" t="str">
        <x:v>B3 SA-BRASIL BOLSA BALCAO</x:v>
      </x:c>
      <x:c r="C9797" s="16" t="n">
        <x:v>5096.6881630685</x:v>
      </x:c>
      <x:c r="D9797" s="13" t="str">
        <x:v>Financials Non-Banks</x:v>
      </x:c>
      <x:c r="E9797" s="13" t="str">
        <x:v>Financials Non-Banks</x:v>
      </x:c>
      <x:c r="F9797" s="13" t="str">
        <x:v>Financials</x:v>
      </x:c>
      <x:c r="G9797" s="13" t="str">
        <x:v>Ibovespa_earnings_consolidated.xlsx</x:v>
      </x:c>
    </x:row>
    <x:row r="9798">
      <x:c r="A9798" s="15" t="n">
        <x:v>44743</x:v>
      </x:c>
      <x:c r="B9798" s="13" t="str">
        <x:v>BB SEGURIDADE PARTICIPACOES</x:v>
      </x:c>
      <x:c r="C9798" s="16" t="n">
        <x:v>5679.3777516712</x:v>
      </x:c>
      <x:c r="D9798" s="13" t="str">
        <x:v>Financials Non-Banks</x:v>
      </x:c>
      <x:c r="E9798" s="13" t="str">
        <x:v>Financials Non-Banks</x:v>
      </x:c>
      <x:c r="F9798" s="13" t="str">
        <x:v>Financials</x:v>
      </x:c>
      <x:c r="G9798" s="13" t="str">
        <x:v>Ibovespa_earnings_consolidated.xlsx</x:v>
      </x:c>
    </x:row>
    <x:row r="9799">
      <x:c r="A9799" s="15" t="n">
        <x:v>44743</x:v>
      </x:c>
      <x:c r="B9799" s="13" t="str">
        <x:v>CIELO SA</x:v>
      </x:c>
      <x:c r="C9799" s="16" t="n">
        <x:v>1129.5456140274</x:v>
      </x:c>
      <x:c r="D9799" s="13" t="str">
        <x:v>Financials Non-Banks</x:v>
      </x:c>
      <x:c r="E9799" s="13" t="str">
        <x:v>Financials Non-Banks</x:v>
      </x:c>
      <x:c r="F9799" s="13" t="str">
        <x:v>Financials</x:v>
      </x:c>
      <x:c r="G9799" s="13" t="str">
        <x:v>Ibovespa_earnings_consolidated.xlsx</x:v>
      </x:c>
    </x:row>
    <x:row r="9800">
      <x:c r="A9800" s="15" t="n">
        <x:v>44743</x:v>
      </x:c>
      <x:c r="B9800" s="13" t="str">
        <x:v>CIELO SA - INSTITUICAO DE PA</x:v>
      </x:c>
      <x:c r="C9800" s="16" t="n">
        <x:v>1129.5456140274</x:v>
      </x:c>
      <x:c r="D9800" s="13" t="str">
        <x:v>Financials Non-Banks</x:v>
      </x:c>
      <x:c r="E9800" s="13" t="str">
        <x:v>Financials Non-Banks</x:v>
      </x:c>
      <x:c r="F9800" s="13" t="str">
        <x:v>Financials</x:v>
      </x:c>
      <x:c r="G9800" s="13" t="str">
        <x:v>grid_wbaxp5t0.xlsx</x:v>
      </x:c>
    </x:row>
    <x:row r="9801">
      <x:c r="A9801" s="15" t="n">
        <x:v>44743</x:v>
      </x:c>
      <x:c r="B9801" s="13" t="str">
        <x:v>IRB BRASIL RESSEGUROS SA</x:v>
      </x:c>
      <x:c r="C9801" s="16" t="n">
        <x:v>312.2767443288</x:v>
      </x:c>
      <x:c r="D9801" s="13" t="str">
        <x:v>Financials Non-Banks</x:v>
      </x:c>
      <x:c r="E9801" s="13" t="str">
        <x:v>Financials Non-Banks</x:v>
      </x:c>
      <x:c r="F9801" s="13" t="str">
        <x:v>Financials</x:v>
      </x:c>
      <x:c r="G9801" s="13" t="str">
        <x:v>Ibovespa_earnings_consolidated.xlsx</x:v>
      </x:c>
    </x:row>
    <x:row r="9802">
      <x:c r="A9802" s="15" t="n">
        <x:v>44743</x:v>
      </x:c>
      <x:c r="B9802" s="13" t="str">
        <x:v>ITAUSA SA</x:v>
      </x:c>
      <x:c r="C9802" s="16" t="n">
        <x:v>18950.7124743014</x:v>
      </x:c>
      <x:c r="D9802" s="13" t="str">
        <x:v>Financials Non-Banks</x:v>
      </x:c>
      <x:c r="E9802" s="13" t="str">
        <x:v>Financials Non-Banks</x:v>
      </x:c>
      <x:c r="F9802" s="13" t="str">
        <x:v>Financials</x:v>
      </x:c>
      <x:c r="G9802" s="13" t="str">
        <x:v>Ibovespa_earnings_consolidated.xlsx</x:v>
      </x:c>
    </x:row>
    <x:row r="9803">
      <x:c r="A9803" s="15" t="n">
        <x:v>44743</x:v>
      </x:c>
      <x:c r="B9803" s="13" t="str">
        <x:v>MELIUZ SA - ON</x:v>
      </x:c>
      <x:c r="C9803" s="16" t="n">
        <x:v>12.3194520548</x:v>
      </x:c>
      <x:c r="D9803" s="13" t="str">
        <x:v>Financials Non-Banks</x:v>
      </x:c>
      <x:c r="E9803" s="13" t="str">
        <x:v>Financials Non-Banks</x:v>
      </x:c>
      <x:c r="F9803" s="13" t="str">
        <x:v>Financials</x:v>
      </x:c>
      <x:c r="G9803" s="13" t="str">
        <x:v>Ibovespa_earnings_consolidated.xlsx</x:v>
      </x:c>
    </x:row>
    <x:row r="9804">
      <x:c r="A9804" s="15" t="n">
        <x:v>44743</x:v>
      </x:c>
      <x:c r="B9804" s="13" t="str">
        <x:v>AMBEV SA</x:v>
      </x:c>
      <x:c r="C9804" s="16" t="n">
        <x:v>13266.6179050959</x:v>
      </x:c>
      <x:c r="D9804" s="13" t="str">
        <x:v>Food &amp; Beverages</x:v>
      </x:c>
      <x:c r="E9804" s="13" t="str">
        <x:v>Agri, Food &amp; Beverages</x:v>
      </x:c>
      <x:c r="F9804" s="13" t="str">
        <x:v>Defensives</x:v>
      </x:c>
      <x:c r="G9804" s="13" t="str">
        <x:v>Ibovespa_earnings_consolidated.xlsx</x:v>
      </x:c>
    </x:row>
    <x:row r="9805">
      <x:c r="A9805" s="15" t="n">
        <x:v>44743</x:v>
      </x:c>
      <x:c r="B9805" s="13" t="str">
        <x:v>BRF SA</x:v>
      </x:c>
      <x:c r="C9805" s="16" t="n">
        <x:v>-38.8344565479</x:v>
      </x:c>
      <x:c r="D9805" s="13" t="str">
        <x:v>Food &amp; Beverages</x:v>
      </x:c>
      <x:c r="E9805" s="13" t="str">
        <x:v>Agri, Food &amp; Beverages</x:v>
      </x:c>
      <x:c r="F9805" s="13" t="str">
        <x:v>Defensives</x:v>
      </x:c>
      <x:c r="G9805" s="13" t="str">
        <x:v>Ibovespa_earnings_consolidated.xlsx</x:v>
      </x:c>
    </x:row>
    <x:row r="9806">
      <x:c r="A9806" s="15" t="n">
        <x:v>44743</x:v>
      </x:c>
      <x:c r="B9806" s="13" t="str">
        <x:v>JBS SA</x:v>
      </x:c>
      <x:c r="C9806" s="16" t="n">
        <x:v>12602.4290752877</x:v>
      </x:c>
      <x:c r="D9806" s="13" t="str">
        <x:v>Food &amp; Beverages</x:v>
      </x:c>
      <x:c r="E9806" s="13" t="str">
        <x:v>Agri, Food &amp; Beverages</x:v>
      </x:c>
      <x:c r="F9806" s="13" t="str">
        <x:v>Defensives</x:v>
      </x:c>
      <x:c r="G9806" s="13" t="str">
        <x:v>Ibovespa_earnings_consolidated.xlsx</x:v>
      </x:c>
    </x:row>
    <x:row r="9807">
      <x:c r="A9807" s="15" t="n">
        <x:v>44743</x:v>
      </x:c>
      <x:c r="B9807" s="13" t="str">
        <x:v>MBRF GLOBAL FOODS COMPANY SA</x:v>
      </x:c>
      <x:c r="C9807" s="16" t="n">
        <x:v>2713.4533996712</x:v>
      </x:c>
      <x:c r="D9807" s="13" t="str">
        <x:v>Food &amp; Beverages</x:v>
      </x:c>
      <x:c r="E9807" s="13" t="str">
        <x:v>Agri, Food &amp; Beverages</x:v>
      </x:c>
      <x:c r="F9807" s="13" t="str">
        <x:v>Defensives</x:v>
      </x:c>
      <x:c r="G9807" s="13" t="str">
        <x:v>Ibovespa_earnings_consolidated.xlsx</x:v>
      </x:c>
    </x:row>
    <x:row r="9808">
      <x:c r="A9808" s="15" t="n">
        <x:v>44743</x:v>
      </x:c>
      <x:c r="B9808" s="13" t="str">
        <x:v>MINERVA SA</x:v>
      </x:c>
      <x:c r="C9808" s="16" t="n">
        <x:v>954.3123287671</x:v>
      </x:c>
      <x:c r="D9808" s="13" t="str">
        <x:v>Food &amp; Beverages</x:v>
      </x:c>
      <x:c r="E9808" s="13" t="str">
        <x:v>Agri, Food &amp; Beverages</x:v>
      </x:c>
      <x:c r="F9808" s="13" t="str">
        <x:v>Defensives</x:v>
      </x:c>
      <x:c r="G9808" s="13" t="str">
        <x:v>Ibovespa_earnings_consolidated.xlsx</x:v>
      </x:c>
    </x:row>
    <x:row r="9809">
      <x:c r="A9809" s="15" t="n">
        <x:v>44743</x:v>
      </x:c>
      <x:c r="B9809" s="13" t="str">
        <x:v>FLEURY SA</x:v>
      </x:c>
      <x:c r="C9809" s="16" t="n">
        <x:v>332.6010318904</x:v>
      </x:c>
      <x:c r="D9809" s="13" t="str">
        <x:v>Health Care</x:v>
      </x:c>
      <x:c r="E9809" s="13" t="str">
        <x:v>Health Care</x:v>
      </x:c>
      <x:c r="F9809" s="13" t="str">
        <x:v>Defensives</x:v>
      </x:c>
      <x:c r="G9809" s="13" t="str">
        <x:v>Ibovespa_earnings_consolidated.xlsx</x:v>
      </x:c>
    </x:row>
    <x:row r="9810">
      <x:c r="A9810" s="15" t="n">
        <x:v>44743</x:v>
      </x:c>
      <x:c r="B9810" s="13" t="str">
        <x:v>HAPVIDA PARTICIPACOES E INVE</x:v>
      </x:c>
      <x:c r="C9810" s="16" t="n">
        <x:v>1353.967609863</x:v>
      </x:c>
      <x:c r="D9810" s="13" t="str">
        <x:v>Health Care</x:v>
      </x:c>
      <x:c r="E9810" s="13" t="str">
        <x:v>Health Care</x:v>
      </x:c>
      <x:c r="F9810" s="13" t="str">
        <x:v>Defensives</x:v>
      </x:c>
      <x:c r="G9810" s="13" t="str">
        <x:v>Ibovespa_earnings_consolidated.xlsx</x:v>
      </x:c>
    </x:row>
    <x:row r="9811">
      <x:c r="A9811" s="15" t="n">
        <x:v>44743</x:v>
      </x:c>
      <x:c r="B9811" s="13" t="str">
        <x:v>HYPERA SA</x:v>
      </x:c>
      <x:c r="C9811" s="16" t="n">
        <x:v>1854.3697604384</x:v>
      </x:c>
      <x:c r="D9811" s="13" t="str">
        <x:v>Health Care</x:v>
      </x:c>
      <x:c r="E9811" s="13" t="str">
        <x:v>Health Care</x:v>
      </x:c>
      <x:c r="F9811" s="13" t="str">
        <x:v>Defensives</x:v>
      </x:c>
      <x:c r="G9811" s="13" t="str">
        <x:v>Ibovespa_earnings_consolidated.xlsx</x:v>
      </x:c>
    </x:row>
    <x:row r="9812">
      <x:c r="A9812" s="15" t="n">
        <x:v>44743</x:v>
      </x:c>
      <x:c r="B9812" s="13" t="str">
        <x:v>QUALICORP CONS E CORR SEG SA</x:v>
      </x:c>
      <x:c r="C9812" s="16" t="n">
        <x:v>327.7077089315</x:v>
      </x:c>
      <x:c r="D9812" s="13" t="str">
        <x:v>Health Care</x:v>
      </x:c>
      <x:c r="E9812" s="13" t="str">
        <x:v>Health Care</x:v>
      </x:c>
      <x:c r="F9812" s="13" t="str">
        <x:v>Defensives</x:v>
      </x:c>
      <x:c r="G9812" s="13" t="str">
        <x:v>Ibovespa_earnings_consolidated.xlsx</x:v>
      </x:c>
    </x:row>
    <x:row r="9813">
      <x:c r="A9813" s="15" t="n">
        <x:v>44743</x:v>
      </x:c>
      <x:c r="B9813" s="13" t="str">
        <x:v>REDE D'OR SAO LUIZ SA</x:v>
      </x:c>
      <x:c r="C9813" s="16" t="n">
        <x:v>2474.064152548</x:v>
      </x:c>
      <x:c r="D9813" s="13" t="str">
        <x:v>Health Care</x:v>
      </x:c>
      <x:c r="E9813" s="13" t="str">
        <x:v>Health Care</x:v>
      </x:c>
      <x:c r="F9813" s="13" t="str">
        <x:v>Defensives</x:v>
      </x:c>
      <x:c r="G9813" s="13" t="str">
        <x:v>Ibovespa_earnings_consolidated.xlsx</x:v>
      </x:c>
    </x:row>
    <x:row r="9814">
      <x:c r="A9814" s="15" t="n">
        <x:v>44743</x:v>
      </x:c>
      <x:c r="B9814" s="13" t="str">
        <x:v>SUL AMERICA SA - UNITS</x:v>
      </x:c>
      <x:c r="C9814" s="16" t="n">
        <x:v>950.0871767671</x:v>
      </x:c>
      <x:c r="D9814" s="13" t="str">
        <x:v>Health Care</x:v>
      </x:c>
      <x:c r="E9814" s="13" t="str">
        <x:v>Health Care</x:v>
      </x:c>
      <x:c r="F9814" s="13" t="str">
        <x:v>Defensives</x:v>
      </x:c>
      <x:c r="G9814" s="13" t="str">
        <x:v>Ibovespa_earnings_consolidated.xlsx</x:v>
      </x:c>
    </x:row>
    <x:row r="9815">
      <x:c r="A9815" s="15" t="n">
        <x:v>44743</x:v>
      </x:c>
      <x:c r="B9815" s="13" t="str">
        <x:v>CYRELA BRAZIL REALTY SA EMP</x:v>
      </x:c>
      <x:c r="C9815" s="16" t="n">
        <x:v>926.1501597808</x:v>
      </x:c>
      <x:c r="D9815" s="13" t="str">
        <x:v>Homebuilders</x:v>
      </x:c>
      <x:c r="E9815" s="13" t="str">
        <x:v>Real Estate</x:v>
      </x:c>
      <x:c r="F9815" s="13" t="str">
        <x:v>Early Cyclicals</x:v>
      </x:c>
      <x:c r="G9815" s="13" t="str">
        <x:v>Ibovespa_earnings_consolidated.xlsx</x:v>
      </x:c>
    </x:row>
    <x:row r="9816">
      <x:c r="A9816" s="15" t="n">
        <x:v>44743</x:v>
      </x:c>
      <x:c r="B9816" s="13" t="str">
        <x:v>EZ TEC EMPREENDIMENTOS E PAR</x:v>
      </x:c>
      <x:c r="C9816" s="16" t="n">
        <x:v>456.7034599452</x:v>
      </x:c>
      <x:c r="D9816" s="13" t="str">
        <x:v>Homebuilders</x:v>
      </x:c>
      <x:c r="E9816" s="13" t="str">
        <x:v>Real Estate</x:v>
      </x:c>
      <x:c r="F9816" s="13" t="str">
        <x:v>Early Cyclicals</x:v>
      </x:c>
      <x:c r="G9816" s="13" t="str">
        <x:v>Ibovespa_earnings_consolidated.xlsx</x:v>
      </x:c>
    </x:row>
    <x:row r="9817">
      <x:c r="A9817" s="15" t="n">
        <x:v>44743</x:v>
      </x:c>
      <x:c r="B9817" s="13" t="str">
        <x:v>MRV ENGENHARIA</x:v>
      </x:c>
      <x:c r="C9817" s="16" t="n">
        <x:v>619.9697911233</x:v>
      </x:c>
      <x:c r="D9817" s="13" t="str">
        <x:v>Homebuilders</x:v>
      </x:c>
      <x:c r="E9817" s="13" t="str">
        <x:v>Real Estate</x:v>
      </x:c>
      <x:c r="F9817" s="13" t="str">
        <x:v>Early Cyclicals</x:v>
      </x:c>
      <x:c r="G9817" s="13" t="str">
        <x:v>Ibovespa_earnings_consolidated.xlsx</x:v>
      </x:c>
    </x:row>
    <x:row r="9818">
      <x:c r="A9818" s="15" t="n">
        <x:v>44743</x:v>
      </x:c>
      <x:c r="B9818" s="13" t="str">
        <x:v>BR MALLS PARTICIPACOES SA</x:v>
      </x:c>
      <x:c r="C9818" s="16" t="n">
        <x:v>552.4430001096</x:v>
      </x:c>
      <x:c r="D9818" s="13" t="str">
        <x:v>Income Properties</x:v>
      </x:c>
      <x:c r="E9818" s="13" t="str">
        <x:v>Real Estate</x:v>
      </x:c>
      <x:c r="F9818" s="13" t="str">
        <x:v>Early Cyclicals</x:v>
      </x:c>
      <x:c r="G9818" s="13" t="str">
        <x:v>Ibovespa_earnings_consolidated.xlsx</x:v>
      </x:c>
    </x:row>
    <x:row r="9819">
      <x:c r="A9819" s="15" t="n">
        <x:v>44743</x:v>
      </x:c>
      <x:c r="B9819" s="13" t="str">
        <x:v>IGUATEMI SA - UNITS</x:v>
      </x:c>
      <x:c r="C9819" s="16" t="n">
        <x:v>290.2983412603</x:v>
      </x:c>
      <x:c r="D9819" s="13" t="str">
        <x:v>Income Properties</x:v>
      </x:c>
      <x:c r="E9819" s="13" t="str">
        <x:v>Real Estate</x:v>
      </x:c>
      <x:c r="F9819" s="13" t="str">
        <x:v>Early Cyclicals</x:v>
      </x:c>
      <x:c r="G9819" s="13" t="str">
        <x:v>Ibovespa_earnings_consolidated.xlsx</x:v>
      </x:c>
    </x:row>
    <x:row r="9820">
      <x:c r="A9820" s="15" t="n">
        <x:v>44743</x:v>
      </x:c>
      <x:c r="B9820" s="13" t="str">
        <x:v>JHSF PARTICIPACOES SA</x:v>
      </x:c>
      <x:c r="C9820" s="16" t="n">
        <x:v>779.5376596164</x:v>
      </x:c>
      <x:c r="D9820" s="13" t="str">
        <x:v>Income Properties</x:v>
      </x:c>
      <x:c r="E9820" s="13" t="str">
        <x:v>Real Estate</x:v>
      </x:c>
      <x:c r="F9820" s="13" t="str">
        <x:v>Early Cyclicals</x:v>
      </x:c>
      <x:c r="G9820" s="13" t="str">
        <x:v>Ibovespa_earnings_consolidated.xlsx</x:v>
      </x:c>
    </x:row>
    <x:row r="9821">
      <x:c r="A9821" s="15" t="n">
        <x:v>44743</x:v>
      </x:c>
      <x:c r="B9821" s="13" t="str">
        <x:v>MULTIPLAN EMPREENDIMENTOS</x:v>
      </x:c>
      <x:c r="C9821" s="16" t="n">
        <x:v>750.9020002192</x:v>
      </x:c>
      <x:c r="D9821" s="13" t="str">
        <x:v>Income Properties</x:v>
      </x:c>
      <x:c r="E9821" s="13" t="str">
        <x:v>Real Estate</x:v>
      </x:c>
      <x:c r="F9821" s="13" t="str">
        <x:v>Early Cyclicals</x:v>
      </x:c>
      <x:c r="G9821" s="13" t="str">
        <x:v>Ibovespa_earnings_consolidated.xlsx</x:v>
      </x:c>
    </x:row>
    <x:row r="9822">
      <x:c r="A9822" s="15" t="n">
        <x:v>44743</x:v>
      </x:c>
      <x:c r="B9822" s="13" t="str">
        <x:v>BRADESPAR SA -PREF</x:v>
      </x:c>
      <x:c r="C9822" s="16" t="n">
        <x:v>2154.2465928767</x:v>
      </x:c>
      <x:c r="D9822" s="13" t="str">
        <x:v>Metals &amp; Mining</x:v>
      </x:c>
      <x:c r="E9822" s="13" t="str">
        <x:v>Metals &amp; Mining</x:v>
      </x:c>
      <x:c r="F9822" s="13" t="str">
        <x:v>Deep Cyclicals</x:v>
      </x:c>
      <x:c r="G9822" s="13" t="str">
        <x:v>Ibovespa_earnings_consolidated.xlsx</x:v>
      </x:c>
    </x:row>
    <x:row r="9823">
      <x:c r="A9823" s="15" t="n">
        <x:v>44743</x:v>
      </x:c>
      <x:c r="B9823" s="13" t="str">
        <x:v>CIA SIDERURGICA NACIONAL SA</x:v>
      </x:c>
      <x:c r="C9823" s="16" t="n">
        <x:v>5740.1166623562</x:v>
      </x:c>
      <x:c r="D9823" s="13" t="str">
        <x:v>Metals &amp; Mining</x:v>
      </x:c>
      <x:c r="E9823" s="13" t="str">
        <x:v>Metals &amp; Mining</x:v>
      </x:c>
      <x:c r="F9823" s="13" t="str">
        <x:v>Deep Cyclicals</x:v>
      </x:c>
      <x:c r="G9823" s="13" t="str">
        <x:v>Ibovespa_earnings_consolidated.xlsx</x:v>
      </x:c>
    </x:row>
    <x:row r="9824">
      <x:c r="A9824" s="15" t="n">
        <x:v>44743</x:v>
      </x:c>
      <x:c r="B9824" s="13" t="str">
        <x:v>CSN MINERACAO SA</x:v>
      </x:c>
      <x:c r="C9824" s="16" t="n">
        <x:v>3763.350272</x:v>
      </x:c>
      <x:c r="D9824" s="13" t="str">
        <x:v>Metals &amp; Mining</x:v>
      </x:c>
      <x:c r="E9824" s="13" t="str">
        <x:v>Metals &amp; Mining</x:v>
      </x:c>
      <x:c r="F9824" s="13" t="str">
        <x:v>Deep Cyclicals</x:v>
      </x:c>
      <x:c r="G9824" s="13" t="str">
        <x:v>Ibovespa_earnings_consolidated.xlsx</x:v>
      </x:c>
    </x:row>
    <x:row r="9825">
      <x:c r="A9825" s="15" t="n">
        <x:v>44743</x:v>
      </x:c>
      <x:c r="B9825" s="13" t="str">
        <x:v>GERDAU SA-PREF</x:v>
      </x:c>
      <x:c r="C9825" s="16" t="n">
        <x:v>9615.1890060274</x:v>
      </x:c>
      <x:c r="D9825" s="13" t="str">
        <x:v>Metals &amp; Mining</x:v>
      </x:c>
      <x:c r="E9825" s="13" t="str">
        <x:v>Metals &amp; Mining</x:v>
      </x:c>
      <x:c r="F9825" s="13" t="str">
        <x:v>Deep Cyclicals</x:v>
      </x:c>
      <x:c r="G9825" s="13" t="str">
        <x:v>Ibovespa_earnings_consolidated.xlsx</x:v>
      </x:c>
    </x:row>
    <x:row r="9826">
      <x:c r="A9826" s="15" t="n">
        <x:v>44743</x:v>
      </x:c>
      <x:c r="B9826" s="13" t="str">
        <x:v>USINAS SIDER MINAS GER-PF A</x:v>
      </x:c>
      <x:c r="C9826" s="16" t="n">
        <x:v>3623.4833288767</x:v>
      </x:c>
      <x:c r="D9826" s="13" t="str">
        <x:v>Metals &amp; Mining</x:v>
      </x:c>
      <x:c r="E9826" s="13" t="str">
        <x:v>Metals &amp; Mining</x:v>
      </x:c>
      <x:c r="F9826" s="13" t="str">
        <x:v>Deep Cyclicals</x:v>
      </x:c>
      <x:c r="G9826" s="13" t="str">
        <x:v>Ibovespa_earnings_consolidated.xlsx</x:v>
      </x:c>
    </x:row>
    <x:row r="9827">
      <x:c r="A9827" s="15" t="n">
        <x:v>44743</x:v>
      </x:c>
      <x:c r="B9827" s="13" t="str">
        <x:v>VALE SA</x:v>
      </x:c>
      <x:c r="C9827" s="16" t="n">
        <x:v>79147.9417757808</x:v>
      </x:c>
      <x:c r="D9827" s="13" t="str">
        <x:v>Metals &amp; Mining</x:v>
      </x:c>
      <x:c r="E9827" s="13" t="str">
        <x:v>Metals &amp; Mining</x:v>
      </x:c>
      <x:c r="F9827" s="13" t="str">
        <x:v>Deep Cyclicals</x:v>
      </x:c>
      <x:c r="G9827" s="13" t="str">
        <x:v>Ibovespa_earnings_consolidated.xlsx</x:v>
      </x:c>
    </x:row>
    <x:row r="9828">
      <x:c r="A9828" s="15" t="n">
        <x:v>44743</x:v>
      </x:c>
      <x:c r="B9828" s="13" t="str">
        <x:v>BRASKEM SA-PREF A</x:v>
      </x:c>
      <x:c r="C9828" s="16" t="n">
        <x:v>4974.3080363836</x:v>
      </x:c>
      <x:c r="D9828" s="13" t="str">
        <x:v>Oil, Gas &amp; Petrochemicals</x:v>
      </x:c>
      <x:c r="E9828" s="13" t="str">
        <x:v>Oil, Gas &amp; Petrochemicals</x:v>
      </x:c>
      <x:c r="F9828" s="13" t="str">
        <x:v>Deep Cyclicals</x:v>
      </x:c>
      <x:c r="G9828" s="13" t="str">
        <x:v>Ibovespa_earnings_consolidated.xlsx</x:v>
      </x:c>
    </x:row>
    <x:row r="9829">
      <x:c r="A9829" s="15" t="n">
        <x:v>44743</x:v>
      </x:c>
      <x:c r="B9829" s="13" t="str">
        <x:v>BRAVA ENERGIA</x:v>
      </x:c>
      <x:c r="C9829" s="16" t="n">
        <x:v>1626.668768</x:v>
      </x:c>
      <x:c r="D9829" s="13" t="str">
        <x:v>Oil, Gas &amp; Petrochemicals</x:v>
      </x:c>
      <x:c r="E9829" s="13" t="str">
        <x:v>Oil, Gas &amp; Petrochemicals</x:v>
      </x:c>
      <x:c r="F9829" s="13" t="str">
        <x:v>Deep Cyclicals</x:v>
      </x:c>
      <x:c r="G9829" s="13" t="str">
        <x:v>Ibovespa_earnings_consolidated.xlsx</x:v>
      </x:c>
    </x:row>
    <x:row r="9830">
      <x:c r="A9830" s="15" t="n">
        <x:v>44743</x:v>
      </x:c>
      <x:c r="B9830" s="13" t="str">
        <x:v>COSAN SA</x:v>
      </x:c>
      <x:c r="C9830" s="16" t="n">
        <x:v>3516.7646614794</x:v>
      </x:c>
      <x:c r="D9830" s="13" t="str">
        <x:v>Oil, Gas &amp; Petrochemicals</x:v>
      </x:c>
      <x:c r="E9830" s="13" t="str">
        <x:v>Oil, Gas &amp; Petrochemicals</x:v>
      </x:c>
      <x:c r="F9830" s="13" t="str">
        <x:v>Deep Cyclicals</x:v>
      </x:c>
      <x:c r="G9830" s="13" t="str">
        <x:v>Ibovespa_earnings_consolidated.xlsx</x:v>
      </x:c>
    </x:row>
    <x:row r="9831">
      <x:c r="A9831" s="15" t="n">
        <x:v>44743</x:v>
      </x:c>
      <x:c r="B9831" s="13" t="str">
        <x:v>PETROBRAS - PETROLEO BRAS</x:v>
      </x:c>
      <x:c r="C9831" s="16" t="n">
        <x:v>133718.851135123</x:v>
      </x:c>
      <x:c r="D9831" s="13" t="str">
        <x:v>Oil, Gas &amp; Petrochemicals</x:v>
      </x:c>
      <x:c r="E9831" s="13" t="str">
        <x:v>Oil, Gas &amp; Petrochemicals</x:v>
      </x:c>
      <x:c r="F9831" s="13" t="str">
        <x:v>Deep Cyclicals</x:v>
      </x:c>
      <x:c r="G9831" s="13" t="str">
        <x:v>Ibovespa_earnings_consolidated.xlsx</x:v>
      </x:c>
    </x:row>
    <x:row r="9832">
      <x:c r="A9832" s="15" t="n">
        <x:v>44743</x:v>
      </x:c>
      <x:c r="B9832" s="13" t="str">
        <x:v>PRIO SA</x:v>
      </x:c>
      <x:c r="C9832" s="16" t="n">
        <x:v>3076.4570792329</x:v>
      </x:c>
      <x:c r="D9832" s="13" t="str">
        <x:v>Oil, Gas &amp; Petrochemicals</x:v>
      </x:c>
      <x:c r="E9832" s="13" t="str">
        <x:v>Oil, Gas &amp; Petrochemicals</x:v>
      </x:c>
      <x:c r="F9832" s="13" t="str">
        <x:v>Deep Cyclicals</x:v>
      </x:c>
      <x:c r="G9832" s="13" t="str">
        <x:v>Ibovespa_earnings_consolidated.xlsx</x:v>
      </x:c>
    </x:row>
    <x:row r="9833">
      <x:c r="A9833" s="15" t="n">
        <x:v>44743</x:v>
      </x:c>
      <x:c r="B9833" s="13" t="str">
        <x:v>ULTRAPAR PARTICIPACOES SA</x:v>
      </x:c>
      <x:c r="C9833" s="16" t="n">
        <x:v>1185.0109773151</x:v>
      </x:c>
      <x:c r="D9833" s="13" t="str">
        <x:v>Oil, Gas &amp; Petrochemicals</x:v>
      </x:c>
      <x:c r="E9833" s="13" t="str">
        <x:v>Oil, Gas &amp; Petrochemicals</x:v>
      </x:c>
      <x:c r="F9833" s="13" t="str">
        <x:v>Deep Cyclicals</x:v>
      </x:c>
      <x:c r="G9833" s="13" t="str">
        <x:v>Ibovespa_earnings_consolidated.xlsx</x:v>
      </x:c>
    </x:row>
    <x:row r="9834">
      <x:c r="A9834" s="15" t="n">
        <x:v>44743</x:v>
      </x:c>
      <x:c r="B9834" s="13" t="str">
        <x:v>VIBRA ENERGIA SA</x:v>
      </x:c>
      <x:c r="C9834" s="16" t="n">
        <x:v>2104.0049586849</x:v>
      </x:c>
      <x:c r="D9834" s="13" t="str">
        <x:v>Oil, Gas &amp; Petrochemicals</x:v>
      </x:c>
      <x:c r="E9834" s="13" t="str">
        <x:v>Oil, Gas &amp; Petrochemicals</x:v>
      </x:c>
      <x:c r="F9834" s="13" t="str">
        <x:v>Deep Cyclicals</x:v>
      </x:c>
      <x:c r="G9834" s="13" t="str">
        <x:v>Ibovespa_earnings_consolidated.xlsx</x:v>
      </x:c>
    </x:row>
    <x:row r="9835">
      <x:c r="A9835" s="15" t="n">
        <x:v>44743</x:v>
      </x:c>
      <x:c r="B9835" s="13" t="str">
        <x:v>DEXCO SA</x:v>
      </x:c>
      <x:c r="C9835" s="16" t="n">
        <x:v>761.2002121644</x:v>
      </x:c>
      <x:c r="D9835" s="13" t="str">
        <x:v>Pulp &amp; Paper</x:v>
      </x:c>
      <x:c r="E9835" s="13" t="str">
        <x:v>Pulp &amp; Paper</x:v>
      </x:c>
      <x:c r="F9835" s="13" t="str">
        <x:v>Deep Cyclicals</x:v>
      </x:c>
      <x:c r="G9835" s="13" t="str">
        <x:v>Ibovespa_earnings_consolidated.xlsx</x:v>
      </x:c>
    </x:row>
    <x:row r="9836">
      <x:c r="A9836" s="15" t="n">
        <x:v>44743</x:v>
      </x:c>
      <x:c r="B9836" s="13" t="str">
        <x:v>KLABIN SA - UNIT</x:v>
      </x:c>
      <x:c r="C9836" s="16" t="n">
        <x:v>2769.3360254247</x:v>
      </x:c>
      <x:c r="D9836" s="13" t="str">
        <x:v>Pulp &amp; Paper</x:v>
      </x:c>
      <x:c r="E9836" s="13" t="str">
        <x:v>Pulp &amp; Paper</x:v>
      </x:c>
      <x:c r="F9836" s="13" t="str">
        <x:v>Deep Cyclicals</x:v>
      </x:c>
      <x:c r="G9836" s="13" t="str">
        <x:v>Ibovespa_earnings_consolidated.xlsx</x:v>
      </x:c>
    </x:row>
    <x:row r="9837">
      <x:c r="A9837" s="15" t="n">
        <x:v>44743</x:v>
      </x:c>
      <x:c r="B9837" s="13" t="str">
        <x:v>SUZANO SA</x:v>
      </x:c>
      <x:c r="C9837" s="16" t="n">
        <x:v>9290.3493295343</x:v>
      </x:c>
      <x:c r="D9837" s="13" t="str">
        <x:v>Pulp &amp; Paper</x:v>
      </x:c>
      <x:c r="E9837" s="13" t="str">
        <x:v>Pulp &amp; Paper</x:v>
      </x:c>
      <x:c r="F9837" s="13" t="str">
        <x:v>Deep Cyclicals</x:v>
      </x:c>
      <x:c r="G9837" s="13" t="str">
        <x:v>Ibovespa_earnings_consolidated.xlsx</x:v>
      </x:c>
    </x:row>
    <x:row r="9838">
      <x:c r="A9838" s="15" t="n">
        <x:v>44743</x:v>
      </x:c>
      <x:c r="B9838" s="13" t="str">
        <x:v>ALPARGATAS SA - PREF</x:v>
      </x:c>
      <x:c r="C9838" s="16" t="n">
        <x:v>673.3217262466</x:v>
      </x:c>
      <x:c r="D9838" s="13" t="str">
        <x:v>Retail</x:v>
      </x:c>
      <x:c r="E9838" s="13" t="str">
        <x:v>Retail</x:v>
      </x:c>
      <x:c r="F9838" s="13" t="str">
        <x:v>Early Cyclicals</x:v>
      </x:c>
      <x:c r="G9838" s="13" t="str">
        <x:v>Ibovespa_earnings_consolidated.xlsx</x:v>
      </x:c>
    </x:row>
    <x:row r="9839">
      <x:c r="A9839" s="15" t="n">
        <x:v>44743</x:v>
      </x:c>
      <x:c r="B9839" s="13" t="str">
        <x:v>AMERICANAS SA</x:v>
      </x:c>
      <x:c r="C9839" s="16" t="n">
        <x:v>486.6268892055</x:v>
      </x:c>
      <x:c r="D9839" s="13" t="str">
        <x:v>Retail</x:v>
      </x:c>
      <x:c r="E9839" s="13" t="str">
        <x:v>Retail</x:v>
      </x:c>
      <x:c r="F9839" s="13" t="str">
        <x:v>Early Cyclicals</x:v>
      </x:c>
      <x:c r="G9839" s="13" t="str">
        <x:v>Ibovespa_earnings_consolidated.xlsx</x:v>
      </x:c>
    </x:row>
    <x:row r="9840">
      <x:c r="A9840" s="15" t="n">
        <x:v>44743</x:v>
      </x:c>
      <x:c r="B9840" s="13" t="str">
        <x:v>ATACADAO SA</x:v>
      </x:c>
      <x:c r="C9840" s="16" t="n">
        <x:v>2559.5882012055</x:v>
      </x:c>
      <x:c r="D9840" s="13" t="str">
        <x:v>Retail</x:v>
      </x:c>
      <x:c r="E9840" s="13" t="str">
        <x:v>Retail</x:v>
      </x:c>
      <x:c r="F9840" s="13" t="str">
        <x:v>Early Cyclicals</x:v>
      </x:c>
      <x:c r="G9840" s="13" t="str">
        <x:v>Ibovespa_earnings_consolidated.xlsx</x:v>
      </x:c>
    </x:row>
    <x:row r="9841">
      <x:c r="A9841" s="15" t="n">
        <x:v>44743</x:v>
      </x:c>
      <x:c r="B9841" s="13" t="str">
        <x:v>CIA BRASILEIRA DE DISTRIBUIC</x:v>
      </x:c>
      <x:c r="C9841" s="16" t="n">
        <x:v>502.8456609315</x:v>
      </x:c>
      <x:c r="D9841" s="13" t="str">
        <x:v>Retail</x:v>
      </x:c>
      <x:c r="E9841" s="13" t="str">
        <x:v>Retail</x:v>
      </x:c>
      <x:c r="F9841" s="13" t="str">
        <x:v>Early Cyclicals</x:v>
      </x:c>
      <x:c r="G9841" s="13" t="str">
        <x:v>Ibovespa_earnings_consolidated.xlsx</x:v>
      </x:c>
    </x:row>
    <x:row r="9842">
      <x:c r="A9842" s="15" t="n">
        <x:v>44743</x:v>
      </x:c>
      <x:c r="B9842" s="13" t="str">
        <x:v>CVC BRASIL OPERADORA E AGENC</x:v>
      </x:c>
      <x:c r="C9842" s="16" t="n">
        <x:v>-54.0109589041</x:v>
      </x:c>
      <x:c r="D9842" s="13" t="str">
        <x:v>Retail</x:v>
      </x:c>
      <x:c r="E9842" s="13" t="str">
        <x:v>Retail</x:v>
      </x:c>
      <x:c r="F9842" s="13" t="str">
        <x:v>Early Cyclicals</x:v>
      </x:c>
      <x:c r="G9842" s="13" t="str">
        <x:v>Ibovespa_earnings_consolidated.xlsx</x:v>
      </x:c>
    </x:row>
    <x:row r="9843">
      <x:c r="A9843" s="15" t="n">
        <x:v>44743</x:v>
      </x:c>
      <x:c r="B9843" s="13" t="str">
        <x:v>GRUPO CASAS BAHIA SA</x:v>
      </x:c>
      <x:c r="C9843" s="16" t="n">
        <x:v>-268.8476335342</x:v>
      </x:c>
      <x:c r="D9843" s="13" t="str">
        <x:v>Retail</x:v>
      </x:c>
      <x:c r="E9843" s="13" t="str">
        <x:v>Retail</x:v>
      </x:c>
      <x:c r="F9843" s="13" t="str">
        <x:v>Early Cyclicals</x:v>
      </x:c>
      <x:c r="G9843" s="13" t="str">
        <x:v>Ibovespa_earnings_consolidated.xlsx</x:v>
      </x:c>
    </x:row>
    <x:row r="9844">
      <x:c r="A9844" s="15" t="n">
        <x:v>44743</x:v>
      </x:c>
      <x:c r="B9844" s="13" t="str">
        <x:v>GRUPO DE MODA SOMA SA</x:v>
      </x:c>
      <x:c r="C9844" s="16" t="n">
        <x:v>532.0082191781</x:v>
      </x:c>
      <x:c r="D9844" s="13" t="str">
        <x:v>Retail</x:v>
      </x:c>
      <x:c r="E9844" s="13" t="str">
        <x:v>Retail</x:v>
      </x:c>
      <x:c r="F9844" s="13" t="str">
        <x:v>Early Cyclicals</x:v>
      </x:c>
      <x:c r="G9844" s="13" t="str">
        <x:v>Ibovespa_earnings_consolidated.xlsx</x:v>
      </x:c>
    </x:row>
    <x:row r="9845">
      <x:c r="A9845" s="15" t="n">
        <x:v>44743</x:v>
      </x:c>
      <x:c r="B9845" s="13" t="str">
        <x:v>LOJAS RENNER S.A.</x:v>
      </x:c>
      <x:c r="C9845" s="16" t="n">
        <x:v>1479.6280618082</x:v>
      </x:c>
      <x:c r="D9845" s="13" t="str">
        <x:v>Retail</x:v>
      </x:c>
      <x:c r="E9845" s="13" t="str">
        <x:v>Retail</x:v>
      </x:c>
      <x:c r="F9845" s="13" t="str">
        <x:v>Early Cyclicals</x:v>
      </x:c>
      <x:c r="G9845" s="13" t="str">
        <x:v>Ibovespa_earnings_consolidated.xlsx</x:v>
      </x:c>
    </x:row>
    <x:row r="9846">
      <x:c r="A9846" s="15" t="n">
        <x:v>44743</x:v>
      </x:c>
      <x:c r="B9846" s="13" t="str">
        <x:v>MAGAZINE LUIZA SA</x:v>
      </x:c>
      <x:c r="C9846" s="16" t="n">
        <x:v>167.1207671233</x:v>
      </x:c>
      <x:c r="D9846" s="13" t="str">
        <x:v>Retail</x:v>
      </x:c>
      <x:c r="E9846" s="13" t="str">
        <x:v>Retail</x:v>
      </x:c>
      <x:c r="F9846" s="13" t="str">
        <x:v>Early Cyclicals</x:v>
      </x:c>
      <x:c r="G9846" s="13" t="str">
        <x:v>Ibovespa_earnings_consolidated.xlsx</x:v>
      </x:c>
    </x:row>
    <x:row r="9847">
      <x:c r="A9847" s="15" t="n">
        <x:v>44743</x:v>
      </x:c>
      <x:c r="B9847" s="13" t="str">
        <x:v>NATURA &amp;CO HOLDING SA</x:v>
      </x:c>
      <x:c r="C9847" s="16" t="n">
        <x:v>748.0970089863</x:v>
      </x:c>
      <x:c r="D9847" s="13" t="str">
        <x:v>Retail</x:v>
      </x:c>
      <x:c r="E9847" s="13" t="str">
        <x:v>Retail</x:v>
      </x:c>
      <x:c r="F9847" s="13" t="str">
        <x:v>Early Cyclicals</x:v>
      </x:c>
      <x:c r="G9847" s="13" t="str">
        <x:v>Ibovespa_earnings_consolidated.xlsx</x:v>
      </x:c>
    </x:row>
    <x:row r="9848">
      <x:c r="A9848" s="15" t="n">
        <x:v>44743</x:v>
      </x:c>
      <x:c r="B9848" s="13" t="str">
        <x:v>PET CENTER COMERCIO E PARTIC</x:v>
      </x:c>
      <x:c r="C9848" s="16" t="n">
        <x:v>160.6240958904</x:v>
      </x:c>
      <x:c r="D9848" s="13" t="str">
        <x:v>Retail</x:v>
      </x:c>
      <x:c r="E9848" s="13" t="str">
        <x:v>Retail</x:v>
      </x:c>
      <x:c r="F9848" s="13" t="str">
        <x:v>Early Cyclicals</x:v>
      </x:c>
      <x:c r="G9848" s="13" t="str">
        <x:v>Ibovespa_earnings_consolidated.xlsx</x:v>
      </x:c>
    </x:row>
    <x:row r="9849">
      <x:c r="A9849" s="15" t="n">
        <x:v>44743</x:v>
      </x:c>
      <x:c r="B9849" s="13" t="str">
        <x:v>RAIA DROGASIL SA</x:v>
      </x:c>
      <x:c r="C9849" s="16" t="n">
        <x:v>1088.2600092055</x:v>
      </x:c>
      <x:c r="D9849" s="13" t="str">
        <x:v>Retail</x:v>
      </x:c>
      <x:c r="E9849" s="13" t="str">
        <x:v>Retail</x:v>
      </x:c>
      <x:c r="F9849" s="13" t="str">
        <x:v>Early Cyclicals</x:v>
      </x:c>
      <x:c r="G9849" s="13" t="str">
        <x:v>Ibovespa_earnings_consolidated.xlsx</x:v>
      </x:c>
    </x:row>
    <x:row r="9850">
      <x:c r="A9850" s="15" t="n">
        <x:v>44743</x:v>
      </x:c>
      <x:c r="B9850" s="13" t="str">
        <x:v>SENDAS DISTRIBUIDORA SA</x:v>
      </x:c>
      <x:c r="C9850" s="16" t="n">
        <x:v>1444.1778130411</x:v>
      </x:c>
      <x:c r="D9850" s="13" t="str">
        <x:v>Retail</x:v>
      </x:c>
      <x:c r="E9850" s="13" t="str">
        <x:v>Retail</x:v>
      </x:c>
      <x:c r="F9850" s="13" t="str">
        <x:v>Early Cyclicals</x:v>
      </x:c>
      <x:c r="G9850" s="13" t="str">
        <x:v>Ibovespa_earnings_consolidated.xlsx</x:v>
      </x:c>
    </x:row>
    <x:row r="9851">
      <x:c r="A9851" s="15" t="n">
        <x:v>44743</x:v>
      </x:c>
      <x:c r="B9851" s="13" t="str">
        <x:v>CIA SANEAMENTO BASICO DE SP</x:v>
      </x:c>
      <x:c r="C9851" s="16" t="n">
        <x:v>3219.3292624658</x:v>
      </x:c>
      <x:c r="D9851" s="13" t="str">
        <x:v>Sanitation</x:v>
      </x:c>
      <x:c r="E9851" s="13" t="str">
        <x:v>Utilities</x:v>
      </x:c>
      <x:c r="F9851" s="13" t="str">
        <x:v>Defensives</x:v>
      </x:c>
      <x:c r="G9851" s="13" t="str">
        <x:v>Ibovespa_earnings_consolidated.xlsx</x:v>
      </x:c>
    </x:row>
    <x:row r="9852">
      <x:c r="A9852" s="15" t="n">
        <x:v>44743</x:v>
      </x:c>
      <x:c r="B9852" s="13" t="str">
        <x:v>LWSA SA</x:v>
      </x:c>
      <x:c r="C9852" s="16" t="n">
        <x:v>125.478630137</x:v>
      </x:c>
      <x:c r="D9852" s="13" t="str">
        <x:v>TMT</x:v>
      </x:c>
      <x:c r="E9852" s="13" t="str">
        <x:v>TMT</x:v>
      </x:c>
      <x:c r="F9852" s="13" t="str">
        <x:v>Early Cyclicals</x:v>
      </x:c>
      <x:c r="G9852" s="13" t="str">
        <x:v>Ibovespa_earnings_consolidated.xlsx</x:v>
      </x:c>
    </x:row>
    <x:row r="9853">
      <x:c r="A9853" s="15" t="n">
        <x:v>44743</x:v>
      </x:c>
      <x:c r="B9853" s="13" t="str">
        <x:v>POSITIVO TECNOLOGIA SA</x:v>
      </x:c>
      <x:c r="C9853" s="16" t="n">
        <x:v>200.7397260274</x:v>
      </x:c>
      <x:c r="D9853" s="13" t="str">
        <x:v>TMT</x:v>
      </x:c>
      <x:c r="E9853" s="13" t="str">
        <x:v>TMT</x:v>
      </x:c>
      <x:c r="F9853" s="13" t="str">
        <x:v>Early Cyclicals</x:v>
      </x:c>
      <x:c r="G9853" s="13" t="str">
        <x:v>Ibovespa_earnings_consolidated.xlsx</x:v>
      </x:c>
    </x:row>
    <x:row r="9854">
      <x:c r="A9854" s="15" t="n">
        <x:v>44743</x:v>
      </x:c>
      <x:c r="B9854" s="13" t="str">
        <x:v>TIM SA</x:v>
      </x:c>
      <x:c r="C9854" s="16" t="n">
        <x:v>2428.428403726</x:v>
      </x:c>
      <x:c r="D9854" s="13" t="str">
        <x:v>TMT</x:v>
      </x:c>
      <x:c r="E9854" s="13" t="str">
        <x:v>TMT</x:v>
      </x:c>
      <x:c r="F9854" s="13" t="str">
        <x:v>Early Cyclicals</x:v>
      </x:c>
      <x:c r="G9854" s="13" t="str">
        <x:v>Ibovespa_earnings_consolidated.xlsx</x:v>
      </x:c>
    </x:row>
    <x:row r="9855">
      <x:c r="A9855" s="15" t="n">
        <x:v>44743</x:v>
      </x:c>
      <x:c r="B9855" s="13" t="str">
        <x:v>TOTVS SA</x:v>
      </x:c>
      <x:c r="C9855" s="16" t="n">
        <x:v>642.1068550137</x:v>
      </x:c>
      <x:c r="D9855" s="13" t="str">
        <x:v>TMT</x:v>
      </x:c>
      <x:c r="E9855" s="13" t="str">
        <x:v>TMT</x:v>
      </x:c>
      <x:c r="F9855" s="13" t="str">
        <x:v>Early Cyclicals</x:v>
      </x:c>
      <x:c r="G9855" s="13" t="str">
        <x:v>Ibovespa_earnings_consolidated.xlsx</x:v>
      </x:c>
    </x:row>
    <x:row r="9856">
      <x:c r="A9856" s="15" t="n">
        <x:v>44743</x:v>
      </x:c>
      <x:c r="B9856" s="13" t="str">
        <x:v>AZUL SA</x:v>
      </x:c>
      <x:c r="C9856" s="16" t="n">
        <x:v>-293.0635502466</x:v>
      </x:c>
      <x:c r="D9856" s="13" t="str">
        <x:v>Transportation</x:v>
      </x:c>
      <x:c r="E9856" s="13" t="str">
        <x:v>Transportation</x:v>
      </x:c>
      <x:c r="F9856" s="13" t="str">
        <x:v>Deep Cyclicals</x:v>
      </x:c>
      <x:c r="G9856" s="13" t="str">
        <x:v>Ibovespa_earnings_consolidated.xlsx</x:v>
      </x:c>
    </x:row>
    <x:row r="9857">
      <x:c r="A9857" s="15" t="n">
        <x:v>44743</x:v>
      </x:c>
      <x:c r="B9857" s="13" t="str">
        <x:v>ECORODOVIAS INFRA E LOG SA</x:v>
      </x:c>
      <x:c r="C9857" s="16" t="n">
        <x:v>284.7455707397</x:v>
      </x:c>
      <x:c r="D9857" s="13" t="str">
        <x:v>Transportation</x:v>
      </x:c>
      <x:c r="E9857" s="13" t="str">
        <x:v>Transportation</x:v>
      </x:c>
      <x:c r="F9857" s="13" t="str">
        <x:v>Deep Cyclicals</x:v>
      </x:c>
      <x:c r="G9857" s="13" t="str">
        <x:v>Ibovespa_earnings_consolidated.xlsx</x:v>
      </x:c>
    </x:row>
    <x:row r="9858">
      <x:c r="A9858" s="15" t="n">
        <x:v>44743</x:v>
      </x:c>
      <x:c r="B9858" s="13" t="str">
        <x:v>GOL LINHAS AEREAS INT SA-PRE</x:v>
      </x:c>
      <x:c r="C9858" s="16" t="n">
        <x:v>24.9348265205</x:v>
      </x:c>
      <x:c r="D9858" s="13" t="str">
        <x:v>Transportation</x:v>
      </x:c>
      <x:c r="E9858" s="13" t="str">
        <x:v>Transportation</x:v>
      </x:c>
      <x:c r="F9858" s="13" t="str">
        <x:v>Deep Cyclicals</x:v>
      </x:c>
      <x:c r="G9858" s="13" t="str">
        <x:v>Ibovespa_earnings_consolidated.xlsx</x:v>
      </x:c>
    </x:row>
    <x:row r="9859">
      <x:c r="A9859" s="15" t="n">
        <x:v>44743</x:v>
      </x:c>
      <x:c r="B9859" s="13" t="str">
        <x:v>LOCALIZA RENT A CAR</x:v>
      </x:c>
      <x:c r="C9859" s="16" t="n">
        <x:v>2722.6226779178</x:v>
      </x:c>
      <x:c r="D9859" s="13" t="str">
        <x:v>Transportation</x:v>
      </x:c>
      <x:c r="E9859" s="13" t="str">
        <x:v>Transportation</x:v>
      </x:c>
      <x:c r="F9859" s="13" t="str">
        <x:v>Deep Cyclicals</x:v>
      </x:c>
      <x:c r="G9859" s="13" t="str">
        <x:v>Ibovespa_earnings_consolidated.xlsx</x:v>
      </x:c>
    </x:row>
    <x:row r="9860">
      <x:c r="A9860" s="15" t="n">
        <x:v>44743</x:v>
      </x:c>
      <x:c r="B9860" s="13" t="str">
        <x:v>MOTIVA INFRAESTRUTURA DE MOB</x:v>
      </x:c>
      <x:c r="C9860" s="16" t="n">
        <x:v>1826.4654833973</x:v>
      </x:c>
      <x:c r="D9860" s="13" t="str">
        <x:v>Transportation</x:v>
      </x:c>
      <x:c r="E9860" s="13" t="str">
        <x:v>Transportation</x:v>
      </x:c>
      <x:c r="F9860" s="13" t="str">
        <x:v>Deep Cyclicals</x:v>
      </x:c>
      <x:c r="G9860" s="13" t="str">
        <x:v>Ibovespa_earnings_consolidated.xlsx</x:v>
      </x:c>
    </x:row>
    <x:row r="9861">
      <x:c r="A9861" s="15" t="n">
        <x:v>44743</x:v>
      </x:c>
      <x:c r="B9861" s="13" t="str">
        <x:v>RUMO SA</x:v>
      </x:c>
      <x:c r="C9861" s="16" t="n">
        <x:v>822.4830969863</x:v>
      </x:c>
      <x:c r="D9861" s="13" t="str">
        <x:v>Transportation</x:v>
      </x:c>
      <x:c r="E9861" s="13" t="str">
        <x:v>Transportation</x:v>
      </x:c>
      <x:c r="F9861" s="13" t="str">
        <x:v>Deep Cyclicals</x:v>
      </x:c>
      <x:c r="G9861" s="13" t="str">
        <x:v>Ibovespa_earnings_consolidated.xlsx</x:v>
      </x:c>
    </x:row>
    <x:row r="9862">
      <x:c r="A9862" s="15" t="n">
        <x:v>44743</x:v>
      </x:c>
      <x:c r="B9862" s="13" t="str">
        <x:v>AXIA ENERGIA SA</x:v>
      </x:c>
      <x:c r="C9862" s="16" t="n">
        <x:v>8715.2699967123</x:v>
      </x:c>
      <x:c r="D9862" s="13" t="str">
        <x:v>Utilities &amp; Energy</x:v>
      </x:c>
      <x:c r="E9862" s="13" t="str">
        <x:v>Utilities</x:v>
      </x:c>
      <x:c r="F9862" s="13" t="str">
        <x:v>Defensives</x:v>
      </x:c>
      <x:c r="G9862" s="13" t="str">
        <x:v>Ibovespa_earnings_consolidated.xlsx</x:v>
      </x:c>
    </x:row>
    <x:row r="9863">
      <x:c r="A9863" s="15" t="n">
        <x:v>44743</x:v>
      </x:c>
      <x:c r="B9863" s="13" t="str">
        <x:v>AXIA ENERGIA-PR B</x:v>
      </x:c>
      <x:c r="C9863" s="16" t="n">
        <x:v>8715.2699967123</x:v>
      </x:c>
      <x:c r="D9863" s="13" t="str">
        <x:v>Utilities &amp; Energy</x:v>
      </x:c>
      <x:c r="E9863" s="13" t="str">
        <x:v>Utilities</x:v>
      </x:c>
      <x:c r="F9863" s="13" t="str">
        <x:v>Defensives</x:v>
      </x:c>
      <x:c r="G9863" s="13" t="str">
        <x:v>Ibovespa_earnings_consolidated.xlsx</x:v>
      </x:c>
    </x:row>
    <x:row r="9864">
      <x:c r="A9864" s="15" t="n">
        <x:v>44743</x:v>
      </x:c>
      <x:c r="B9864" s="13" t="str">
        <x:v>CIA ENERGETICA MINAS GER-PRF</x:v>
      </x:c>
      <x:c r="C9864" s="16" t="n">
        <x:v>3724.8898244384</x:v>
      </x:c>
      <x:c r="D9864" s="13" t="str">
        <x:v>Utilities &amp; Energy</x:v>
      </x:c>
      <x:c r="E9864" s="13" t="str">
        <x:v>Utilities</x:v>
      </x:c>
      <x:c r="F9864" s="13" t="str">
        <x:v>Defensives</x:v>
      </x:c>
      <x:c r="G9864" s="13" t="str">
        <x:v>Ibovespa_earnings_consolidated.xlsx</x:v>
      </x:c>
    </x:row>
    <x:row r="9865">
      <x:c r="A9865" s="15" t="n">
        <x:v>44743</x:v>
      </x:c>
      <x:c r="B9865" s="13" t="str">
        <x:v>COMPANHIA PARANAENSE -PREF B</x:v>
      </x:c>
      <x:c r="C9865" s="16" t="n">
        <x:v>2661.7551991233</x:v>
      </x:c>
      <x:c r="D9865" s="13" t="str">
        <x:v>Utilities &amp; Energy</x:v>
      </x:c>
      <x:c r="E9865" s="13" t="str">
        <x:v>Utilities</x:v>
      </x:c>
      <x:c r="F9865" s="13" t="str">
        <x:v>Defensives</x:v>
      </x:c>
      <x:c r="G9865" s="13" t="str">
        <x:v>Ibovespa_earnings_consolidated.xlsx</x:v>
      </x:c>
    </x:row>
    <x:row r="9866">
      <x:c r="A9866" s="15" t="n">
        <x:v>44743</x:v>
      </x:c>
      <x:c r="B9866" s="13" t="str">
        <x:v>CPFL ENERGIA SA</x:v>
      </x:c>
      <x:c r="C9866" s="16" t="n">
        <x:v>4498.4411879452</x:v>
      </x:c>
      <x:c r="D9866" s="13" t="str">
        <x:v>Utilities &amp; Energy</x:v>
      </x:c>
      <x:c r="E9866" s="13" t="str">
        <x:v>Utilities</x:v>
      </x:c>
      <x:c r="F9866" s="13" t="str">
        <x:v>Defensives</x:v>
      </x:c>
      <x:c r="G9866" s="13" t="str">
        <x:v>Ibovespa_earnings_consolidated.xlsx</x:v>
      </x:c>
    </x:row>
    <x:row r="9867">
      <x:c r="A9867" s="15" t="n">
        <x:v>44743</x:v>
      </x:c>
      <x:c r="B9867" s="13" t="str">
        <x:v>EDP - ENERGIAS DO BRASIL SA</x:v>
      </x:c>
      <x:c r="C9867" s="16" t="n">
        <x:v>1592.5740046027</x:v>
      </x:c>
      <x:c r="D9867" s="13" t="str">
        <x:v>Utilities &amp; Energy</x:v>
      </x:c>
      <x:c r="E9867" s="13" t="str">
        <x:v>Utilities</x:v>
      </x:c>
      <x:c r="F9867" s="13" t="str">
        <x:v>Defensives</x:v>
      </x:c>
      <x:c r="G9867" s="13" t="str">
        <x:v>Ibovespa_earnings_consolidated.xlsx</x:v>
      </x:c>
    </x:row>
    <x:row r="9868">
      <x:c r="A9868" s="15" t="n">
        <x:v>44743</x:v>
      </x:c>
      <x:c r="B9868" s="13" t="str">
        <x:v>ENERGISA SA-UNITS</x:v>
      </x:c>
      <x:c r="C9868" s="16" t="n">
        <x:v>1780.7746595068</x:v>
      </x:c>
      <x:c r="D9868" s="13" t="str">
        <x:v>Utilities &amp; Energy</x:v>
      </x:c>
      <x:c r="E9868" s="13" t="str">
        <x:v>Utilities</x:v>
      </x:c>
      <x:c r="F9868" s="13" t="str">
        <x:v>Defensives</x:v>
      </x:c>
      <x:c r="G9868" s="13" t="str">
        <x:v>Ibovespa_earnings_consolidated.xlsx</x:v>
      </x:c>
    </x:row>
    <x:row r="9869">
      <x:c r="A9869" s="15" t="n">
        <x:v>44743</x:v>
      </x:c>
      <x:c r="B9869" s="13" t="str">
        <x:v>ENEVA SA</x:v>
      </x:c>
      <x:c r="C9869" s="16" t="n">
        <x:v>1009.1386678356</x:v>
      </x:c>
      <x:c r="D9869" s="13" t="str">
        <x:v>Utilities &amp; Energy</x:v>
      </x:c>
      <x:c r="E9869" s="13" t="str">
        <x:v>Utilities</x:v>
      </x:c>
      <x:c r="F9869" s="13" t="str">
        <x:v>Defensives</x:v>
      </x:c>
      <x:c r="G9869" s="13" t="str">
        <x:v>Ibovespa_earnings_consolidated.xlsx</x:v>
      </x:c>
    </x:row>
    <x:row r="9870">
      <x:c r="A9870" s="15" t="n">
        <x:v>44743</x:v>
      </x:c>
      <x:c r="B9870" s="13" t="str">
        <x:v>ENGIE BRASIL ENERGIA SA</x:v>
      </x:c>
      <x:c r="C9870" s="16" t="n">
        <x:v>3279.2350369315</x:v>
      </x:c>
      <x:c r="D9870" s="13" t="str">
        <x:v>Utilities &amp; Energy</x:v>
      </x:c>
      <x:c r="E9870" s="13" t="str">
        <x:v>Utilities</x:v>
      </x:c>
      <x:c r="F9870" s="13" t="str">
        <x:v>Defensives</x:v>
      </x:c>
      <x:c r="G9870" s="13" t="str">
        <x:v>Ibovespa_earnings_consolidated.xlsx</x:v>
      </x:c>
    </x:row>
    <x:row r="9871">
      <x:c r="A9871" s="15" t="n">
        <x:v>44743</x:v>
      </x:c>
      <x:c r="B9871" s="13" t="str">
        <x:v>EQUATORIAL SA - ORD</x:v>
      </x:c>
      <x:c r="C9871" s="16" t="n">
        <x:v>2979.7809972603</x:v>
      </x:c>
      <x:c r="D9871" s="13" t="str">
        <x:v>Utilities &amp; Energy</x:v>
      </x:c>
      <x:c r="E9871" s="13" t="str">
        <x:v>Utilities</x:v>
      </x:c>
      <x:c r="F9871" s="13" t="str">
        <x:v>Defensives</x:v>
      </x:c>
      <x:c r="G9871" s="13" t="str">
        <x:v>Ibovespa_earnings_consolidated.xlsx</x:v>
      </x:c>
    </x:row>
    <x:row r="9872">
      <x:c r="A9872" s="15" t="n">
        <x:v>44743</x:v>
      </x:c>
      <x:c r="B9872" s="13" t="str">
        <x:v>TRANSMISSORA ALIANCA DE-UNIT</x:v>
      </x:c>
      <x:c r="C9872" s="16" t="n">
        <x:v>1055.2939449863</x:v>
      </x:c>
      <x:c r="D9872" s="13" t="str">
        <x:v>Utilities &amp; Energy</x:v>
      </x:c>
      <x:c r="E9872" s="13" t="str">
        <x:v>Utilities</x:v>
      </x:c>
      <x:c r="F9872" s="13" t="str">
        <x:v>Defensives</x:v>
      </x:c>
      <x:c r="G9872" s="13" t="str">
        <x:v>Ibovespa_earnings_consolidated.xlsx</x:v>
      </x:c>
    </x:row>
    <x:row r="9873">
      <x:c r="A9873" s="15" t="n">
        <x:v>44774</x:v>
      </x:c>
      <x:c r="B9873" s="13" t="str">
        <x:v>SLC AGRICOLA SA</x:v>
      </x:c>
      <x:c r="C9873" s="16" t="n">
        <x:v>1289.2328988055</x:v>
      </x:c>
      <x:c r="D9873" s="13" t="str">
        <x:v>Agribusiness</x:v>
      </x:c>
      <x:c r="E9873" s="13" t="str">
        <x:v>Agri, Food &amp; Beverages</x:v>
      </x:c>
      <x:c r="F9873" s="13" t="str">
        <x:v>Defensives</x:v>
      </x:c>
      <x:c r="G9873" s="13" t="str">
        <x:v>Ibovespa_earnings_consolidated.xlsx</x:v>
      </x:c>
    </x:row>
    <x:row r="9874">
      <x:c r="A9874" s="15" t="n">
        <x:v>44774</x:v>
      </x:c>
      <x:c r="B9874" s="13" t="str">
        <x:v>BANCO BRADESCO S.A.</x:v>
      </x:c>
      <x:c r="C9874" s="16" t="n">
        <x:v>29803.2847324932</x:v>
      </x:c>
      <x:c r="D9874" s="13" t="str">
        <x:v>Banks</x:v>
      </x:c>
      <x:c r="E9874" s="13" t="str">
        <x:v>Banks</x:v>
      </x:c>
      <x:c r="F9874" s="13" t="str">
        <x:v>Financials</x:v>
      </x:c>
      <x:c r="G9874" s="13" t="str">
        <x:v>Ibovespa_earnings_consolidated.xlsx</x:v>
      </x:c>
    </x:row>
    <x:row r="9875">
      <x:c r="A9875" s="15" t="n">
        <x:v>44774</x:v>
      </x:c>
      <x:c r="B9875" s="13" t="str">
        <x:v>BANCO BRADESCO SA-PREF</x:v>
      </x:c>
      <x:c r="C9875" s="16" t="n">
        <x:v>29803.2847324932</x:v>
      </x:c>
      <x:c r="D9875" s="13" t="str">
        <x:v>Banks</x:v>
      </x:c>
      <x:c r="E9875" s="13" t="str">
        <x:v>Banks</x:v>
      </x:c>
      <x:c r="F9875" s="13" t="str">
        <x:v>Financials</x:v>
      </x:c>
      <x:c r="G9875" s="13" t="str">
        <x:v>Ibovespa_earnings_consolidated.xlsx</x:v>
      </x:c>
    </x:row>
    <x:row r="9876">
      <x:c r="A9876" s="15" t="n">
        <x:v>44774</x:v>
      </x:c>
      <x:c r="B9876" s="13" t="str">
        <x:v>BANCO BTG PACTUAL SA-UNIT</x:v>
      </x:c>
      <x:c r="C9876" s="16" t="n">
        <x:v>8773.084429326</x:v>
      </x:c>
      <x:c r="D9876" s="13" t="str">
        <x:v>Banks</x:v>
      </x:c>
      <x:c r="E9876" s="13" t="str">
        <x:v>Banks</x:v>
      </x:c>
      <x:c r="F9876" s="13" t="str">
        <x:v>Financials</x:v>
      </x:c>
      <x:c r="G9876" s="13" t="str">
        <x:v>Ibovespa_earnings_consolidated.xlsx</x:v>
      </x:c>
    </x:row>
    <x:row r="9877">
      <x:c r="A9877" s="15" t="n">
        <x:v>44774</x:v>
      </x:c>
      <x:c r="B9877" s="13" t="str">
        <x:v>BANCO DO BRASIL S.A.</x:v>
      </x:c>
      <x:c r="C9877" s="16" t="n">
        <x:v>29003.1621105973</x:v>
      </x:c>
      <x:c r="D9877" s="13" t="str">
        <x:v>Banks</x:v>
      </x:c>
      <x:c r="E9877" s="13" t="str">
        <x:v>Banks</x:v>
      </x:c>
      <x:c r="F9877" s="13" t="str">
        <x:v>Financials</x:v>
      </x:c>
      <x:c r="G9877" s="13" t="str">
        <x:v>Ibovespa_earnings_consolidated.xlsx</x:v>
      </x:c>
    </x:row>
    <x:row r="9878">
      <x:c r="A9878" s="15" t="n">
        <x:v>44774</x:v>
      </x:c>
      <x:c r="B9878" s="13" t="str">
        <x:v>BANCO PAN SA</x:v>
      </x:c>
      <x:c r="C9878" s="16" t="n">
        <x:v>999.9356058301</x:v>
      </x:c>
      <x:c r="D9878" s="13" t="str">
        <x:v>Banks</x:v>
      </x:c>
      <x:c r="E9878" s="13" t="str">
        <x:v>Banks</x:v>
      </x:c>
      <x:c r="F9878" s="13" t="str">
        <x:v>Financials</x:v>
      </x:c>
      <x:c r="G9878" s="13" t="str">
        <x:v>Ibovespa_earnings_consolidated.xlsx</x:v>
      </x:c>
    </x:row>
    <x:row r="9879">
      <x:c r="A9879" s="15" t="n">
        <x:v>44774</x:v>
      </x:c>
      <x:c r="B9879" s="13" t="str">
        <x:v>BANCO SANTANDER  BRASIL-UNIT</x:v>
      </x:c>
      <x:c r="C9879" s="16" t="n">
        <x:v>16968.6214291288</x:v>
      </x:c>
      <x:c r="D9879" s="13" t="str">
        <x:v>Banks</x:v>
      </x:c>
      <x:c r="E9879" s="13" t="str">
        <x:v>Banks</x:v>
      </x:c>
      <x:c r="F9879" s="13" t="str">
        <x:v>Financials</x:v>
      </x:c>
      <x:c r="G9879" s="13" t="str">
        <x:v>Ibovespa_earnings_consolidated.xlsx</x:v>
      </x:c>
    </x:row>
    <x:row r="9880">
      <x:c r="A9880" s="15" t="n">
        <x:v>44774</x:v>
      </x:c>
      <x:c r="B9880" s="13" t="str">
        <x:v>ITAU UNIBANCO HOLDING S-PREF</x:v>
      </x:c>
      <x:c r="C9880" s="16" t="n">
        <x:v>33225.115782663</x:v>
      </x:c>
      <x:c r="D9880" s="13" t="str">
        <x:v>Banks</x:v>
      </x:c>
      <x:c r="E9880" s="13" t="str">
        <x:v>Banks</x:v>
      </x:c>
      <x:c r="F9880" s="13" t="str">
        <x:v>Financials</x:v>
      </x:c>
      <x:c r="G9880" s="13" t="str">
        <x:v>Ibovespa_earnings_consolidated.xlsx</x:v>
      </x:c>
    </x:row>
    <x:row r="9881">
      <x:c r="A9881" s="15" t="n">
        <x:v>44774</x:v>
      </x:c>
      <x:c r="B9881" s="13" t="str">
        <x:v>EMBRAER SA</x:v>
      </x:c>
      <x:c r="C9881" s="16" t="n">
        <x:v>628.3233839342</x:v>
      </x:c>
      <x:c r="D9881" s="13" t="str">
        <x:v>Capital Goods</x:v>
      </x:c>
      <x:c r="E9881" s="13" t="str">
        <x:v>Capital Goods</x:v>
      </x:c>
      <x:c r="F9881" s="13" t="str">
        <x:v>Deep Cyclicals</x:v>
      </x:c>
      <x:c r="G9881" s="13" t="str">
        <x:v>Ibovespa_earnings_consolidated.xlsx</x:v>
      </x:c>
    </x:row>
    <x:row r="9882">
      <x:c r="A9882" s="15" t="n">
        <x:v>44774</x:v>
      </x:c>
      <x:c r="B9882" s="13" t="str">
        <x:v>WEG SA</x:v>
      </x:c>
      <x:c r="C9882" s="16" t="n">
        <x:v>4272.0110283397</x:v>
      </x:c>
      <x:c r="D9882" s="13" t="str">
        <x:v>Capital Goods</x:v>
      </x:c>
      <x:c r="E9882" s="13" t="str">
        <x:v>Capital Goods</x:v>
      </x:c>
      <x:c r="F9882" s="13" t="str">
        <x:v>Deep Cyclicals</x:v>
      </x:c>
      <x:c r="G9882" s="13" t="str">
        <x:v>Ibovespa_earnings_consolidated.xlsx</x:v>
      </x:c>
    </x:row>
    <x:row r="9883">
      <x:c r="A9883" s="15" t="n">
        <x:v>44774</x:v>
      </x:c>
      <x:c r="B9883" s="13" t="str">
        <x:v>COGNA EDUCACAO</x:v>
      </x:c>
      <x:c r="C9883" s="16" t="n">
        <x:v>-144.4639939726</x:v>
      </x:c>
      <x:c r="D9883" s="13" t="str">
        <x:v>Education</x:v>
      </x:c>
      <x:c r="E9883" s="13" t="str">
        <x:v>Education</x:v>
      </x:c>
      <x:c r="F9883" s="13" t="str">
        <x:v>Early Cyclicals</x:v>
      </x:c>
      <x:c r="G9883" s="13" t="str">
        <x:v>Ibovespa_earnings_consolidated.xlsx</x:v>
      </x:c>
    </x:row>
    <x:row r="9884">
      <x:c r="A9884" s="15" t="n">
        <x:v>44774</x:v>
      </x:c>
      <x:c r="B9884" s="13" t="str">
        <x:v>YDUQS PARTICIPACOES SA</x:v>
      </x:c>
      <x:c r="C9884" s="16" t="n">
        <x:v>312.3071122411</x:v>
      </x:c>
      <x:c r="D9884" s="13" t="str">
        <x:v>Education</x:v>
      </x:c>
      <x:c r="E9884" s="13" t="str">
        <x:v>Education</x:v>
      </x:c>
      <x:c r="F9884" s="13" t="str">
        <x:v>Early Cyclicals</x:v>
      </x:c>
      <x:c r="G9884" s="13" t="str">
        <x:v>Ibovespa_earnings_consolidated.xlsx</x:v>
      </x:c>
    </x:row>
    <x:row r="9885">
      <x:c r="A9885" s="15" t="n">
        <x:v>44774</x:v>
      </x:c>
      <x:c r="B9885" s="13" t="str">
        <x:v>B3 SA-BRASIL BOLSA BALCAO</x:v>
      </x:c>
      <x:c r="C9885" s="16" t="n">
        <x:v>5086.6345170411</x:v>
      </x:c>
      <x:c r="D9885" s="13" t="str">
        <x:v>Financials Non-Banks</x:v>
      </x:c>
      <x:c r="E9885" s="13" t="str">
        <x:v>Financials Non-Banks</x:v>
      </x:c>
      <x:c r="F9885" s="13" t="str">
        <x:v>Financials</x:v>
      </x:c>
      <x:c r="G9885" s="13" t="str">
        <x:v>Ibovespa_earnings_consolidated.xlsx</x:v>
      </x:c>
    </x:row>
    <x:row r="9886">
      <x:c r="A9886" s="15" t="n">
        <x:v>44774</x:v>
      </x:c>
      <x:c r="B9886" s="13" t="str">
        <x:v>BB SEGURIDADE PARTICIPACOES</x:v>
      </x:c>
      <x:c r="C9886" s="16" t="n">
        <x:v>5913.4686895343</x:v>
      </x:c>
      <x:c r="D9886" s="13" t="str">
        <x:v>Financials Non-Banks</x:v>
      </x:c>
      <x:c r="E9886" s="13" t="str">
        <x:v>Financials Non-Banks</x:v>
      </x:c>
      <x:c r="F9886" s="13" t="str">
        <x:v>Financials</x:v>
      </x:c>
      <x:c r="G9886" s="13" t="str">
        <x:v>Ibovespa_earnings_consolidated.xlsx</x:v>
      </x:c>
    </x:row>
    <x:row r="9887">
      <x:c r="A9887" s="15" t="n">
        <x:v>44774</x:v>
      </x:c>
      <x:c r="B9887" s="13" t="str">
        <x:v>CIELO SA</x:v>
      </x:c>
      <x:c r="C9887" s="16" t="n">
        <x:v>1368.2080768</x:v>
      </x:c>
      <x:c r="D9887" s="13" t="str">
        <x:v>Financials Non-Banks</x:v>
      </x:c>
      <x:c r="E9887" s="13" t="str">
        <x:v>Financials Non-Banks</x:v>
      </x:c>
      <x:c r="F9887" s="13" t="str">
        <x:v>Financials</x:v>
      </x:c>
      <x:c r="G9887" s="13" t="str">
        <x:v>Ibovespa_earnings_consolidated.xlsx</x:v>
      </x:c>
    </x:row>
    <x:row r="9888">
      <x:c r="A9888" s="15" t="n">
        <x:v>44774</x:v>
      </x:c>
      <x:c r="B9888" s="13" t="str">
        <x:v>CIELO SA - INSTITUICAO DE PA</x:v>
      </x:c>
      <x:c r="C9888" s="16" t="n">
        <x:v>1368.2080768</x:v>
      </x:c>
      <x:c r="D9888" s="13" t="str">
        <x:v>Financials Non-Banks</x:v>
      </x:c>
      <x:c r="E9888" s="13" t="str">
        <x:v>Financials Non-Banks</x:v>
      </x:c>
      <x:c r="F9888" s="13" t="str">
        <x:v>Financials</x:v>
      </x:c>
      <x:c r="G9888" s="13" t="str">
        <x:v>grid_wbaxp5t0.xlsx</x:v>
      </x:c>
    </x:row>
    <x:row r="9889">
      <x:c r="A9889" s="15" t="n">
        <x:v>44774</x:v>
      </x:c>
      <x:c r="B9889" s="13" t="str">
        <x:v>IRB BRASIL RESSEGUROS SA</x:v>
      </x:c>
      <x:c r="C9889" s="16" t="n">
        <x:v>204.2883287671</x:v>
      </x:c>
      <x:c r="D9889" s="13" t="str">
        <x:v>Financials Non-Banks</x:v>
      </x:c>
      <x:c r="E9889" s="13" t="str">
        <x:v>Financials Non-Banks</x:v>
      </x:c>
      <x:c r="F9889" s="13" t="str">
        <x:v>Financials</x:v>
      </x:c>
      <x:c r="G9889" s="13" t="str">
        <x:v>Ibovespa_earnings_consolidated.xlsx</x:v>
      </x:c>
    </x:row>
    <x:row r="9890">
      <x:c r="A9890" s="15" t="n">
        <x:v>44774</x:v>
      </x:c>
      <x:c r="B9890" s="13" t="str">
        <x:v>ITAUSA SA</x:v>
      </x:c>
      <x:c r="C9890" s="16" t="n">
        <x:v>12592.6273753425</x:v>
      </x:c>
      <x:c r="D9890" s="13" t="str">
        <x:v>Financials Non-Banks</x:v>
      </x:c>
      <x:c r="E9890" s="13" t="str">
        <x:v>Financials Non-Banks</x:v>
      </x:c>
      <x:c r="F9890" s="13" t="str">
        <x:v>Financials</x:v>
      </x:c>
      <x:c r="G9890" s="13" t="str">
        <x:v>Ibovespa_earnings_consolidated.xlsx</x:v>
      </x:c>
    </x:row>
    <x:row r="9891">
      <x:c r="A9891" s="15" t="n">
        <x:v>44774</x:v>
      </x:c>
      <x:c r="B9891" s="13" t="str">
        <x:v>MELIUZ SA - ON</x:v>
      </x:c>
      <x:c r="C9891" s="16" t="n">
        <x:v>-4.7953917808</x:v>
      </x:c>
      <x:c r="D9891" s="13" t="str">
        <x:v>Financials Non-Banks</x:v>
      </x:c>
      <x:c r="E9891" s="13" t="str">
        <x:v>Financials Non-Banks</x:v>
      </x:c>
      <x:c r="F9891" s="13" t="str">
        <x:v>Financials</x:v>
      </x:c>
      <x:c r="G9891" s="13" t="str">
        <x:v>Ibovespa_earnings_consolidated.xlsx</x:v>
      </x:c>
    </x:row>
    <x:row r="9892">
      <x:c r="A9892" s="15" t="n">
        <x:v>44774</x:v>
      </x:c>
      <x:c r="B9892" s="13" t="str">
        <x:v>AMBEV SA</x:v>
      </x:c>
      <x:c r="C9892" s="16" t="n">
        <x:v>13560.1933718795</x:v>
      </x:c>
      <x:c r="D9892" s="13" t="str">
        <x:v>Food &amp; Beverages</x:v>
      </x:c>
      <x:c r="E9892" s="13" t="str">
        <x:v>Agri, Food &amp; Beverages</x:v>
      </x:c>
      <x:c r="F9892" s="13" t="str">
        <x:v>Defensives</x:v>
      </x:c>
      <x:c r="G9892" s="13" t="str">
        <x:v>Ibovespa_earnings_consolidated.xlsx</x:v>
      </x:c>
    </x:row>
    <x:row r="9893">
      <x:c r="A9893" s="15" t="n">
        <x:v>44774</x:v>
      </x:c>
      <x:c r="B9893" s="13" t="str">
        <x:v>BRF SA</x:v>
      </x:c>
      <x:c r="C9893" s="16" t="n">
        <x:v>229.2561806027</x:v>
      </x:c>
      <x:c r="D9893" s="13" t="str">
        <x:v>Food &amp; Beverages</x:v>
      </x:c>
      <x:c r="E9893" s="13" t="str">
        <x:v>Agri, Food &amp; Beverages</x:v>
      </x:c>
      <x:c r="F9893" s="13" t="str">
        <x:v>Defensives</x:v>
      </x:c>
      <x:c r="G9893" s="13" t="str">
        <x:v>Ibovespa_earnings_consolidated.xlsx</x:v>
      </x:c>
    </x:row>
    <x:row r="9894">
      <x:c r="A9894" s="15" t="n">
        <x:v>44774</x:v>
      </x:c>
      <x:c r="B9894" s="13" t="str">
        <x:v>JBS SA</x:v>
      </x:c>
      <x:c r="C9894" s="16" t="n">
        <x:v>13293.1162532822</x:v>
      </x:c>
      <x:c r="D9894" s="13" t="str">
        <x:v>Food &amp; Beverages</x:v>
      </x:c>
      <x:c r="E9894" s="13" t="str">
        <x:v>Agri, Food &amp; Beverages</x:v>
      </x:c>
      <x:c r="F9894" s="13" t="str">
        <x:v>Defensives</x:v>
      </x:c>
      <x:c r="G9894" s="13" t="str">
        <x:v>Ibovespa_earnings_consolidated.xlsx</x:v>
      </x:c>
    </x:row>
    <x:row r="9895">
      <x:c r="A9895" s="15" t="n">
        <x:v>44774</x:v>
      </x:c>
      <x:c r="B9895" s="13" t="str">
        <x:v>MBRF GLOBAL FOODS COMPANY SA</x:v>
      </x:c>
      <x:c r="C9895" s="16" t="n">
        <x:v>2436.5127350356</x:v>
      </x:c>
      <x:c r="D9895" s="13" t="str">
        <x:v>Food &amp; Beverages</x:v>
      </x:c>
      <x:c r="E9895" s="13" t="str">
        <x:v>Agri, Food &amp; Beverages</x:v>
      </x:c>
      <x:c r="F9895" s="13" t="str">
        <x:v>Defensives</x:v>
      </x:c>
      <x:c r="G9895" s="13" t="str">
        <x:v>Ibovespa_earnings_consolidated.xlsx</x:v>
      </x:c>
    </x:row>
    <x:row r="9896">
      <x:c r="A9896" s="15" t="n">
        <x:v>44774</x:v>
      </x:c>
      <x:c r="B9896" s="13" t="str">
        <x:v>MINERVA SA</x:v>
      </x:c>
      <x:c r="C9896" s="16" t="n">
        <x:v>1032.8691568219</x:v>
      </x:c>
      <x:c r="D9896" s="13" t="str">
        <x:v>Food &amp; Beverages</x:v>
      </x:c>
      <x:c r="E9896" s="13" t="str">
        <x:v>Agri, Food &amp; Beverages</x:v>
      </x:c>
      <x:c r="F9896" s="13" t="str">
        <x:v>Defensives</x:v>
      </x:c>
      <x:c r="G9896" s="13" t="str">
        <x:v>Ibovespa_earnings_consolidated.xlsx</x:v>
      </x:c>
    </x:row>
    <x:row r="9897">
      <x:c r="A9897" s="15" t="n">
        <x:v>44774</x:v>
      </x:c>
      <x:c r="B9897" s="13" t="str">
        <x:v>FLEURY SA</x:v>
      </x:c>
      <x:c r="C9897" s="16" t="n">
        <x:v>334.0564383562</x:v>
      </x:c>
      <x:c r="D9897" s="13" t="str">
        <x:v>Health Care</x:v>
      </x:c>
      <x:c r="E9897" s="13" t="str">
        <x:v>Health Care</x:v>
      </x:c>
      <x:c r="F9897" s="13" t="str">
        <x:v>Defensives</x:v>
      </x:c>
      <x:c r="G9897" s="13" t="str">
        <x:v>Ibovespa_earnings_consolidated.xlsx</x:v>
      </x:c>
    </x:row>
    <x:row r="9898">
      <x:c r="A9898" s="15" t="n">
        <x:v>44774</x:v>
      </x:c>
      <x:c r="B9898" s="13" t="str">
        <x:v>HAPVIDA PARTICIPACOES E INVE</x:v>
      </x:c>
      <x:c r="C9898" s="16" t="n">
        <x:v>1319.6088737315</x:v>
      </x:c>
      <x:c r="D9898" s="13" t="str">
        <x:v>Health Care</x:v>
      </x:c>
      <x:c r="E9898" s="13" t="str">
        <x:v>Health Care</x:v>
      </x:c>
      <x:c r="F9898" s="13" t="str">
        <x:v>Defensives</x:v>
      </x:c>
      <x:c r="G9898" s="13" t="str">
        <x:v>Ibovespa_earnings_consolidated.xlsx</x:v>
      </x:c>
    </x:row>
    <x:row r="9899">
      <x:c r="A9899" s="15" t="n">
        <x:v>44774</x:v>
      </x:c>
      <x:c r="B9899" s="13" t="str">
        <x:v>HYPERA SA</x:v>
      </x:c>
      <x:c r="C9899" s="16" t="n">
        <x:v>1886.2843683068</x:v>
      </x:c>
      <x:c r="D9899" s="13" t="str">
        <x:v>Health Care</x:v>
      </x:c>
      <x:c r="E9899" s="13" t="str">
        <x:v>Health Care</x:v>
      </x:c>
      <x:c r="F9899" s="13" t="str">
        <x:v>Defensives</x:v>
      </x:c>
      <x:c r="G9899" s="13" t="str">
        <x:v>Ibovespa_earnings_consolidated.xlsx</x:v>
      </x:c>
    </x:row>
    <x:row r="9900">
      <x:c r="A9900" s="15" t="n">
        <x:v>44774</x:v>
      </x:c>
      <x:c r="B9900" s="13" t="str">
        <x:v>QUALICORP CONS E CORR SEG SA</x:v>
      </x:c>
      <x:c r="C9900" s="16" t="n">
        <x:v>304.7716465096</x:v>
      </x:c>
      <x:c r="D9900" s="13" t="str">
        <x:v>Health Care</x:v>
      </x:c>
      <x:c r="E9900" s="13" t="str">
        <x:v>Health Care</x:v>
      </x:c>
      <x:c r="F9900" s="13" t="str">
        <x:v>Defensives</x:v>
      </x:c>
      <x:c r="G9900" s="13" t="str">
        <x:v>Ibovespa_earnings_consolidated.xlsx</x:v>
      </x:c>
    </x:row>
    <x:row r="9901">
      <x:c r="A9901" s="15" t="n">
        <x:v>44774</x:v>
      </x:c>
      <x:c r="B9901" s="13" t="str">
        <x:v>REDE D'OR SAO LUIZ SA</x:v>
      </x:c>
      <x:c r="C9901" s="16" t="n">
        <x:v>2462.5011789151</x:v>
      </x:c>
      <x:c r="D9901" s="13" t="str">
        <x:v>Health Care</x:v>
      </x:c>
      <x:c r="E9901" s="13" t="str">
        <x:v>Health Care</x:v>
      </x:c>
      <x:c r="F9901" s="13" t="str">
        <x:v>Defensives</x:v>
      </x:c>
      <x:c r="G9901" s="13" t="str">
        <x:v>Ibovespa_earnings_consolidated.xlsx</x:v>
      </x:c>
    </x:row>
    <x:row r="9902">
      <x:c r="A9902" s="15" t="n">
        <x:v>44774</x:v>
      </x:c>
      <x:c r="B9902" s="13" t="str">
        <x:v>SUL AMERICA SA - UNITS</x:v>
      </x:c>
      <x:c r="C9902" s="16" t="n">
        <x:v>931.7601430795</x:v>
      </x:c>
      <x:c r="D9902" s="13" t="str">
        <x:v>Health Care</x:v>
      </x:c>
      <x:c r="E9902" s="13" t="str">
        <x:v>Health Care</x:v>
      </x:c>
      <x:c r="F9902" s="13" t="str">
        <x:v>Defensives</x:v>
      </x:c>
      <x:c r="G9902" s="13" t="str">
        <x:v>Ibovespa_earnings_consolidated.xlsx</x:v>
      </x:c>
    </x:row>
    <x:row r="9903">
      <x:c r="A9903" s="15" t="n">
        <x:v>44774</x:v>
      </x:c>
      <x:c r="B9903" s="13" t="str">
        <x:v>CYRELA BRAZIL REALTY SA EMP</x:v>
      </x:c>
      <x:c r="C9903" s="16" t="n">
        <x:v>883.3028625534</x:v>
      </x:c>
      <x:c r="D9903" s="13" t="str">
        <x:v>Homebuilders</x:v>
      </x:c>
      <x:c r="E9903" s="13" t="str">
        <x:v>Real Estate</x:v>
      </x:c>
      <x:c r="F9903" s="13" t="str">
        <x:v>Early Cyclicals</x:v>
      </x:c>
      <x:c r="G9903" s="13" t="str">
        <x:v>Ibovespa_earnings_consolidated.xlsx</x:v>
      </x:c>
    </x:row>
    <x:row r="9904">
      <x:c r="A9904" s="15" t="n">
        <x:v>44774</x:v>
      </x:c>
      <x:c r="B9904" s="13" t="str">
        <x:v>EZ TEC EMPREENDIMENTOS E PAR</x:v>
      </x:c>
      <x:c r="C9904" s="16" t="n">
        <x:v>427.8780437041</x:v>
      </x:c>
      <x:c r="D9904" s="13" t="str">
        <x:v>Homebuilders</x:v>
      </x:c>
      <x:c r="E9904" s="13" t="str">
        <x:v>Real Estate</x:v>
      </x:c>
      <x:c r="F9904" s="13" t="str">
        <x:v>Early Cyclicals</x:v>
      </x:c>
      <x:c r="G9904" s="13" t="str">
        <x:v>Ibovespa_earnings_consolidated.xlsx</x:v>
      </x:c>
    </x:row>
    <x:row r="9905">
      <x:c r="A9905" s="15" t="n">
        <x:v>44774</x:v>
      </x:c>
      <x:c r="B9905" s="13" t="str">
        <x:v>MRV ENGENHARIA</x:v>
      </x:c>
      <x:c r="C9905" s="16" t="n">
        <x:v>581.5465475507</x:v>
      </x:c>
      <x:c r="D9905" s="13" t="str">
        <x:v>Homebuilders</x:v>
      </x:c>
      <x:c r="E9905" s="13" t="str">
        <x:v>Real Estate</x:v>
      </x:c>
      <x:c r="F9905" s="13" t="str">
        <x:v>Early Cyclicals</x:v>
      </x:c>
      <x:c r="G9905" s="13" t="str">
        <x:v>Ibovespa_earnings_consolidated.xlsx</x:v>
      </x:c>
    </x:row>
    <x:row r="9906">
      <x:c r="A9906" s="15" t="n">
        <x:v>44774</x:v>
      </x:c>
      <x:c r="B9906" s="13" t="str">
        <x:v>BR MALLS PARTICIPACOES SA</x:v>
      </x:c>
      <x:c r="C9906" s="16" t="n">
        <x:v>564.0835184219</x:v>
      </x:c>
      <x:c r="D9906" s="13" t="str">
        <x:v>Income Properties</x:v>
      </x:c>
      <x:c r="E9906" s="13" t="str">
        <x:v>Real Estate</x:v>
      </x:c>
      <x:c r="F9906" s="13" t="str">
        <x:v>Early Cyclicals</x:v>
      </x:c>
      <x:c r="G9906" s="13" t="str">
        <x:v>Ibovespa_earnings_consolidated.xlsx</x:v>
      </x:c>
    </x:row>
    <x:row r="9907">
      <x:c r="A9907" s="15" t="n">
        <x:v>44774</x:v>
      </x:c>
      <x:c r="B9907" s="13" t="str">
        <x:v>IGUATEMI SA - UNITS</x:v>
      </x:c>
      <x:c r="C9907" s="16" t="n">
        <x:v>285.5797260274</x:v>
      </x:c>
      <x:c r="D9907" s="13" t="str">
        <x:v>Income Properties</x:v>
      </x:c>
      <x:c r="E9907" s="13" t="str">
        <x:v>Real Estate</x:v>
      </x:c>
      <x:c r="F9907" s="13" t="str">
        <x:v>Early Cyclicals</x:v>
      </x:c>
      <x:c r="G9907" s="13" t="str">
        <x:v>Ibovespa_earnings_consolidated.xlsx</x:v>
      </x:c>
    </x:row>
    <x:row r="9908">
      <x:c r="A9908" s="15" t="n">
        <x:v>44774</x:v>
      </x:c>
      <x:c r="B9908" s="13" t="str">
        <x:v>JHSF PARTICIPACOES SA</x:v>
      </x:c>
      <x:c r="C9908" s="16" t="n">
        <x:v>775.8487671233</x:v>
      </x:c>
      <x:c r="D9908" s="13" t="str">
        <x:v>Income Properties</x:v>
      </x:c>
      <x:c r="E9908" s="13" t="str">
        <x:v>Real Estate</x:v>
      </x:c>
      <x:c r="F9908" s="13" t="str">
        <x:v>Early Cyclicals</x:v>
      </x:c>
      <x:c r="G9908" s="13" t="str">
        <x:v>Ibovespa_earnings_consolidated.xlsx</x:v>
      </x:c>
    </x:row>
    <x:row r="9909">
      <x:c r="A9909" s="15" t="n">
        <x:v>44774</x:v>
      </x:c>
      <x:c r="B9909" s="13" t="str">
        <x:v>MULTIPLAN EMPREENDIMENTOS</x:v>
      </x:c>
      <x:c r="C9909" s="16" t="n">
        <x:v>774.6475018521</x:v>
      </x:c>
      <x:c r="D9909" s="13" t="str">
        <x:v>Income Properties</x:v>
      </x:c>
      <x:c r="E9909" s="13" t="str">
        <x:v>Real Estate</x:v>
      </x:c>
      <x:c r="F9909" s="13" t="str">
        <x:v>Early Cyclicals</x:v>
      </x:c>
      <x:c r="G9909" s="13" t="str">
        <x:v>Ibovespa_earnings_consolidated.xlsx</x:v>
      </x:c>
    </x:row>
    <x:row r="9910">
      <x:c r="A9910" s="15" t="n">
        <x:v>44774</x:v>
      </x:c>
      <x:c r="B9910" s="13" t="str">
        <x:v>BRADESPAR SA -PREF</x:v>
      </x:c>
      <x:c r="C9910" s="16" t="n">
        <x:v>2133.5424659288</x:v>
      </x:c>
      <x:c r="D9910" s="13" t="str">
        <x:v>Metals &amp; Mining</x:v>
      </x:c>
      <x:c r="E9910" s="13" t="str">
        <x:v>Metals &amp; Mining</x:v>
      </x:c>
      <x:c r="F9910" s="13" t="str">
        <x:v>Deep Cyclicals</x:v>
      </x:c>
      <x:c r="G9910" s="13" t="str">
        <x:v>Ibovespa_earnings_consolidated.xlsx</x:v>
      </x:c>
    </x:row>
    <x:row r="9911">
      <x:c r="A9911" s="15" t="n">
        <x:v>44774</x:v>
      </x:c>
      <x:c r="B9911" s="13" t="str">
        <x:v>CIA SIDERURGICA NACIONAL SA</x:v>
      </x:c>
      <x:c r="C9911" s="16" t="n">
        <x:v>4859.7071479233</x:v>
      </x:c>
      <x:c r="D9911" s="13" t="str">
        <x:v>Metals &amp; Mining</x:v>
      </x:c>
      <x:c r="E9911" s="13" t="str">
        <x:v>Metals &amp; Mining</x:v>
      </x:c>
      <x:c r="F9911" s="13" t="str">
        <x:v>Deep Cyclicals</x:v>
      </x:c>
      <x:c r="G9911" s="13" t="str">
        <x:v>Ibovespa_earnings_consolidated.xlsx</x:v>
      </x:c>
    </x:row>
    <x:row r="9912">
      <x:c r="A9912" s="15" t="n">
        <x:v>44774</x:v>
      </x:c>
      <x:c r="B9912" s="13" t="str">
        <x:v>CSN MINERACAO SA</x:v>
      </x:c>
      <x:c r="C9912" s="16" t="n">
        <x:v>3564.8518782247</x:v>
      </x:c>
      <x:c r="D9912" s="13" t="str">
        <x:v>Metals &amp; Mining</x:v>
      </x:c>
      <x:c r="E9912" s="13" t="str">
        <x:v>Metals &amp; Mining</x:v>
      </x:c>
      <x:c r="F9912" s="13" t="str">
        <x:v>Deep Cyclicals</x:v>
      </x:c>
      <x:c r="G9912" s="13" t="str">
        <x:v>Ibovespa_earnings_consolidated.xlsx</x:v>
      </x:c>
    </x:row>
    <x:row r="9913">
      <x:c r="A9913" s="15" t="n">
        <x:v>44774</x:v>
      </x:c>
      <x:c r="B9913" s="13" t="str">
        <x:v>GERDAU SA-PREF</x:v>
      </x:c>
      <x:c r="C9913" s="16" t="n">
        <x:v>9387.758732274</x:v>
      </x:c>
      <x:c r="D9913" s="13" t="str">
        <x:v>Metals &amp; Mining</x:v>
      </x:c>
      <x:c r="E9913" s="13" t="str">
        <x:v>Metals &amp; Mining</x:v>
      </x:c>
      <x:c r="F9913" s="13" t="str">
        <x:v>Deep Cyclicals</x:v>
      </x:c>
      <x:c r="G9913" s="13" t="str">
        <x:v>Ibovespa_earnings_consolidated.xlsx</x:v>
      </x:c>
    </x:row>
    <x:row r="9914">
      <x:c r="A9914" s="15" t="n">
        <x:v>44774</x:v>
      </x:c>
      <x:c r="B9914" s="13" t="str">
        <x:v>USINAS SIDER MINAS GER-PF A</x:v>
      </x:c>
      <x:c r="C9914" s="16" t="n">
        <x:v>2551.4199232877</x:v>
      </x:c>
      <x:c r="D9914" s="13" t="str">
        <x:v>Metals &amp; Mining</x:v>
      </x:c>
      <x:c r="E9914" s="13" t="str">
        <x:v>Metals &amp; Mining</x:v>
      </x:c>
      <x:c r="F9914" s="13" t="str">
        <x:v>Deep Cyclicals</x:v>
      </x:c>
      <x:c r="G9914" s="13" t="str">
        <x:v>Ibovespa_earnings_consolidated.xlsx</x:v>
      </x:c>
    </x:row>
    <x:row r="9915">
      <x:c r="A9915" s="15" t="n">
        <x:v>44774</x:v>
      </x:c>
      <x:c r="B9915" s="13" t="str">
        <x:v>VALE SA</x:v>
      </x:c>
      <x:c r="C9915" s="16" t="n">
        <x:v>75836.6981414575</x:v>
      </x:c>
      <x:c r="D9915" s="13" t="str">
        <x:v>Metals &amp; Mining</x:v>
      </x:c>
      <x:c r="E9915" s="13" t="str">
        <x:v>Metals &amp; Mining</x:v>
      </x:c>
      <x:c r="F9915" s="13" t="str">
        <x:v>Deep Cyclicals</x:v>
      </x:c>
      <x:c r="G9915" s="13" t="str">
        <x:v>Ibovespa_earnings_consolidated.xlsx</x:v>
      </x:c>
    </x:row>
    <x:row r="9916">
      <x:c r="A9916" s="15" t="n">
        <x:v>44774</x:v>
      </x:c>
      <x:c r="B9916" s="13" t="str">
        <x:v>BRASKEM SA-PREF A</x:v>
      </x:c>
      <x:c r="C9916" s="16" t="n">
        <x:v>4576.1797155068</x:v>
      </x:c>
      <x:c r="D9916" s="13" t="str">
        <x:v>Oil, Gas &amp; Petrochemicals</x:v>
      </x:c>
      <x:c r="E9916" s="13" t="str">
        <x:v>Oil, Gas &amp; Petrochemicals</x:v>
      </x:c>
      <x:c r="F9916" s="13" t="str">
        <x:v>Deep Cyclicals</x:v>
      </x:c>
      <x:c r="G9916" s="13" t="str">
        <x:v>Ibovespa_earnings_consolidated.xlsx</x:v>
      </x:c>
    </x:row>
    <x:row r="9917">
      <x:c r="A9917" s="15" t="n">
        <x:v>44774</x:v>
      </x:c>
      <x:c r="B9917" s="13" t="str">
        <x:v>BRAVA ENERGIA</x:v>
      </x:c>
      <x:c r="C9917" s="16" t="n">
        <x:v>2041.5827915397</x:v>
      </x:c>
      <x:c r="D9917" s="13" t="str">
        <x:v>Oil, Gas &amp; Petrochemicals</x:v>
      </x:c>
      <x:c r="E9917" s="13" t="str">
        <x:v>Oil, Gas &amp; Petrochemicals</x:v>
      </x:c>
      <x:c r="F9917" s="13" t="str">
        <x:v>Deep Cyclicals</x:v>
      </x:c>
      <x:c r="G9917" s="13" t="str">
        <x:v>Ibovespa_earnings_consolidated.xlsx</x:v>
      </x:c>
    </x:row>
    <x:row r="9918">
      <x:c r="A9918" s="15" t="n">
        <x:v>44774</x:v>
      </x:c>
      <x:c r="B9918" s="13" t="str">
        <x:v>COSAN SA</x:v>
      </x:c>
      <x:c r="C9918" s="16" t="n">
        <x:v>3684.2230882192</x:v>
      </x:c>
      <x:c r="D9918" s="13" t="str">
        <x:v>Oil, Gas &amp; Petrochemicals</x:v>
      </x:c>
      <x:c r="E9918" s="13" t="str">
        <x:v>Oil, Gas &amp; Petrochemicals</x:v>
      </x:c>
      <x:c r="F9918" s="13" t="str">
        <x:v>Deep Cyclicals</x:v>
      </x:c>
      <x:c r="G9918" s="13" t="str">
        <x:v>Ibovespa_earnings_consolidated.xlsx</x:v>
      </x:c>
    </x:row>
    <x:row r="9919">
      <x:c r="A9919" s="15" t="n">
        <x:v>44774</x:v>
      </x:c>
      <x:c r="B9919" s="13" t="str">
        <x:v>PETROBRAS - PETROLEO BRAS</x:v>
      </x:c>
      <x:c r="C9919" s="16" t="n">
        <x:v>138654.931690258</x:v>
      </x:c>
      <x:c r="D9919" s="13" t="str">
        <x:v>Oil, Gas &amp; Petrochemicals</x:v>
      </x:c>
      <x:c r="E9919" s="13" t="str">
        <x:v>Oil, Gas &amp; Petrochemicals</x:v>
      </x:c>
      <x:c r="F9919" s="13" t="str">
        <x:v>Deep Cyclicals</x:v>
      </x:c>
      <x:c r="G9919" s="13" t="str">
        <x:v>Ibovespa_earnings_consolidated.xlsx</x:v>
      </x:c>
    </x:row>
    <x:row r="9920">
      <x:c r="A9920" s="15" t="n">
        <x:v>44774</x:v>
      </x:c>
      <x:c r="B9920" s="13" t="str">
        <x:v>PRIO SA</x:v>
      </x:c>
      <x:c r="C9920" s="16" t="n">
        <x:v>3930.3294688438</x:v>
      </x:c>
      <x:c r="D9920" s="13" t="str">
        <x:v>Oil, Gas &amp; Petrochemicals</x:v>
      </x:c>
      <x:c r="E9920" s="13" t="str">
        <x:v>Oil, Gas &amp; Petrochemicals</x:v>
      </x:c>
      <x:c r="F9920" s="13" t="str">
        <x:v>Deep Cyclicals</x:v>
      </x:c>
      <x:c r="G9920" s="13" t="str">
        <x:v>Ibovespa_earnings_consolidated.xlsx</x:v>
      </x:c>
    </x:row>
    <x:row r="9921">
      <x:c r="A9921" s="15" t="n">
        <x:v>44774</x:v>
      </x:c>
      <x:c r="B9921" s="13" t="str">
        <x:v>ULTRAPAR PARTICIPACOES SA</x:v>
      </x:c>
      <x:c r="C9921" s="16" t="n">
        <x:v>1255.3705654356</x:v>
      </x:c>
      <x:c r="D9921" s="13" t="str">
        <x:v>Oil, Gas &amp; Petrochemicals</x:v>
      </x:c>
      <x:c r="E9921" s="13" t="str">
        <x:v>Oil, Gas &amp; Petrochemicals</x:v>
      </x:c>
      <x:c r="F9921" s="13" t="str">
        <x:v>Deep Cyclicals</x:v>
      </x:c>
      <x:c r="G9921" s="13" t="str">
        <x:v>Ibovespa_earnings_consolidated.xlsx</x:v>
      </x:c>
    </x:row>
    <x:row r="9922">
      <x:c r="A9922" s="15" t="n">
        <x:v>44774</x:v>
      </x:c>
      <x:c r="B9922" s="13" t="str">
        <x:v>VIBRA ENERGIA SA</x:v>
      </x:c>
      <x:c r="C9922" s="16" t="n">
        <x:v>2099.2349520657</x:v>
      </x:c>
      <x:c r="D9922" s="13" t="str">
        <x:v>Oil, Gas &amp; Petrochemicals</x:v>
      </x:c>
      <x:c r="E9922" s="13" t="str">
        <x:v>Oil, Gas &amp; Petrochemicals</x:v>
      </x:c>
      <x:c r="F9922" s="13" t="str">
        <x:v>Deep Cyclicals</x:v>
      </x:c>
      <x:c r="G9922" s="13" t="str">
        <x:v>Ibovespa_earnings_consolidated.xlsx</x:v>
      </x:c>
    </x:row>
    <x:row r="9923">
      <x:c r="A9923" s="15" t="n">
        <x:v>44774</x:v>
      </x:c>
      <x:c r="B9923" s="13" t="str">
        <x:v>DEXCO SA</x:v>
      </x:c>
      <x:c r="C9923" s="16" t="n">
        <x:v>739.0190434192</x:v>
      </x:c>
      <x:c r="D9923" s="13" t="str">
        <x:v>Pulp &amp; Paper</x:v>
      </x:c>
      <x:c r="E9923" s="13" t="str">
        <x:v>Pulp &amp; Paper</x:v>
      </x:c>
      <x:c r="F9923" s="13" t="str">
        <x:v>Deep Cyclicals</x:v>
      </x:c>
      <x:c r="G9923" s="13" t="str">
        <x:v>Ibovespa_earnings_consolidated.xlsx</x:v>
      </x:c>
    </x:row>
    <x:row r="9924">
      <x:c r="A9924" s="15" t="n">
        <x:v>44774</x:v>
      </x:c>
      <x:c r="B9924" s="13" t="str">
        <x:v>KLABIN SA - UNIT</x:v>
      </x:c>
      <x:c r="C9924" s="16" t="n">
        <x:v>2657.308197874</x:v>
      </x:c>
      <x:c r="D9924" s="13" t="str">
        <x:v>Pulp &amp; Paper</x:v>
      </x:c>
      <x:c r="E9924" s="13" t="str">
        <x:v>Pulp &amp; Paper</x:v>
      </x:c>
      <x:c r="F9924" s="13" t="str">
        <x:v>Deep Cyclicals</x:v>
      </x:c>
      <x:c r="G9924" s="13" t="str">
        <x:v>Ibovespa_earnings_consolidated.xlsx</x:v>
      </x:c>
    </x:row>
    <x:row r="9925">
      <x:c r="A9925" s="15" t="n">
        <x:v>44774</x:v>
      </x:c>
      <x:c r="B9925" s="13" t="str">
        <x:v>SUZANO SA</x:v>
      </x:c>
      <x:c r="C9925" s="16" t="n">
        <x:v>10993.5042097096</x:v>
      </x:c>
      <x:c r="D9925" s="13" t="str">
        <x:v>Pulp &amp; Paper</x:v>
      </x:c>
      <x:c r="E9925" s="13" t="str">
        <x:v>Pulp &amp; Paper</x:v>
      </x:c>
      <x:c r="F9925" s="13" t="str">
        <x:v>Deep Cyclicals</x:v>
      </x:c>
      <x:c r="G9925" s="13" t="str">
        <x:v>Ibovespa_earnings_consolidated.xlsx</x:v>
      </x:c>
    </x:row>
    <x:row r="9926">
      <x:c r="A9926" s="15" t="n">
        <x:v>44774</x:v>
      </x:c>
      <x:c r="B9926" s="13" t="str">
        <x:v>ALPARGATAS SA - PREF</x:v>
      </x:c>
      <x:c r="C9926" s="16" t="n">
        <x:v>686.7784567233</x:v>
      </x:c>
      <x:c r="D9926" s="13" t="str">
        <x:v>Retail</x:v>
      </x:c>
      <x:c r="E9926" s="13" t="str">
        <x:v>Retail</x:v>
      </x:c>
      <x:c r="F9926" s="13" t="str">
        <x:v>Early Cyclicals</x:v>
      </x:c>
      <x:c r="G9926" s="13" t="str">
        <x:v>Ibovespa_earnings_consolidated.xlsx</x:v>
      </x:c>
    </x:row>
    <x:row r="9927">
      <x:c r="A9927" s="15" t="n">
        <x:v>44774</x:v>
      </x:c>
      <x:c r="B9927" s="13" t="str">
        <x:v>AMERICANAS SA</x:v>
      </x:c>
      <x:c r="C9927" s="16" t="n">
        <x:v>456.2117210959</x:v>
      </x:c>
      <x:c r="D9927" s="13" t="str">
        <x:v>Retail</x:v>
      </x:c>
      <x:c r="E9927" s="13" t="str">
        <x:v>Retail</x:v>
      </x:c>
      <x:c r="F9927" s="13" t="str">
        <x:v>Early Cyclicals</x:v>
      </x:c>
      <x:c r="G9927" s="13" t="str">
        <x:v>Ibovespa_earnings_consolidated.xlsx</x:v>
      </x:c>
    </x:row>
    <x:row r="9928">
      <x:c r="A9928" s="15" t="n">
        <x:v>44774</x:v>
      </x:c>
      <x:c r="B9928" s="13" t="str">
        <x:v>ATACADAO SA</x:v>
      </x:c>
      <x:c r="C9928" s="16" t="n">
        <x:v>2532.6342915507</x:v>
      </x:c>
      <x:c r="D9928" s="13" t="str">
        <x:v>Retail</x:v>
      </x:c>
      <x:c r="E9928" s="13" t="str">
        <x:v>Retail</x:v>
      </x:c>
      <x:c r="F9928" s="13" t="str">
        <x:v>Early Cyclicals</x:v>
      </x:c>
      <x:c r="G9928" s="13" t="str">
        <x:v>Ibovespa_earnings_consolidated.xlsx</x:v>
      </x:c>
    </x:row>
    <x:row r="9929">
      <x:c r="A9929" s="15" t="n">
        <x:v>44774</x:v>
      </x:c>
      <x:c r="B9929" s="13" t="str">
        <x:v>CIA BRASILEIRA DE DISTRIBUIC</x:v>
      </x:c>
      <x:c r="C9929" s="16" t="n">
        <x:v>444.1786382027</x:v>
      </x:c>
      <x:c r="D9929" s="13" t="str">
        <x:v>Retail</x:v>
      </x:c>
      <x:c r="E9929" s="13" t="str">
        <x:v>Retail</x:v>
      </x:c>
      <x:c r="F9929" s="13" t="str">
        <x:v>Early Cyclicals</x:v>
      </x:c>
      <x:c r="G9929" s="13" t="str">
        <x:v>Ibovespa_earnings_consolidated.xlsx</x:v>
      </x:c>
    </x:row>
    <x:row r="9930">
      <x:c r="A9930" s="15" t="n">
        <x:v>44774</x:v>
      </x:c>
      <x:c r="B9930" s="13" t="str">
        <x:v>CVC BRASIL OPERADORA E AGENC</x:v>
      </x:c>
      <x:c r="C9930" s="16" t="n">
        <x:v>-58.2708989699</x:v>
      </x:c>
      <x:c r="D9930" s="13" t="str">
        <x:v>Retail</x:v>
      </x:c>
      <x:c r="E9930" s="13" t="str">
        <x:v>Retail</x:v>
      </x:c>
      <x:c r="F9930" s="13" t="str">
        <x:v>Early Cyclicals</x:v>
      </x:c>
      <x:c r="G9930" s="13" t="str">
        <x:v>Ibovespa_earnings_consolidated.xlsx</x:v>
      </x:c>
    </x:row>
    <x:row r="9931">
      <x:c r="A9931" s="15" t="n">
        <x:v>44774</x:v>
      </x:c>
      <x:c r="B9931" s="13" t="str">
        <x:v>GRUPO CASAS BAHIA SA</x:v>
      </x:c>
      <x:c r="C9931" s="16" t="n">
        <x:v>-238.8224572493</x:v>
      </x:c>
      <x:c r="D9931" s="13" t="str">
        <x:v>Retail</x:v>
      </x:c>
      <x:c r="E9931" s="13" t="str">
        <x:v>Retail</x:v>
      </x:c>
      <x:c r="F9931" s="13" t="str">
        <x:v>Early Cyclicals</x:v>
      </x:c>
      <x:c r="G9931" s="13" t="str">
        <x:v>Ibovespa_earnings_consolidated.xlsx</x:v>
      </x:c>
    </x:row>
    <x:row r="9932">
      <x:c r="A9932" s="15" t="n">
        <x:v>44774</x:v>
      </x:c>
      <x:c r="B9932" s="13" t="str">
        <x:v>GRUPO DE MODA SOMA SA</x:v>
      </x:c>
      <x:c r="C9932" s="16" t="n">
        <x:v>551.3993834959</x:v>
      </x:c>
      <x:c r="D9932" s="13" t="str">
        <x:v>Retail</x:v>
      </x:c>
      <x:c r="E9932" s="13" t="str">
        <x:v>Retail</x:v>
      </x:c>
      <x:c r="F9932" s="13" t="str">
        <x:v>Early Cyclicals</x:v>
      </x:c>
      <x:c r="G9932" s="13" t="str">
        <x:v>Ibovespa_earnings_consolidated.xlsx</x:v>
      </x:c>
    </x:row>
    <x:row r="9933">
      <x:c r="A9933" s="15" t="n">
        <x:v>44774</x:v>
      </x:c>
      <x:c r="B9933" s="13" t="str">
        <x:v>LOJAS RENNER S.A.</x:v>
      </x:c>
      <x:c r="C9933" s="16" t="n">
        <x:v>1549.2905198466</x:v>
      </x:c>
      <x:c r="D9933" s="13" t="str">
        <x:v>Retail</x:v>
      </x:c>
      <x:c r="E9933" s="13" t="str">
        <x:v>Retail</x:v>
      </x:c>
      <x:c r="F9933" s="13" t="str">
        <x:v>Early Cyclicals</x:v>
      </x:c>
      <x:c r="G9933" s="13" t="str">
        <x:v>Ibovespa_earnings_consolidated.xlsx</x:v>
      </x:c>
    </x:row>
    <x:row r="9934">
      <x:c r="A9934" s="15" t="n">
        <x:v>44774</x:v>
      </x:c>
      <x:c r="B9934" s="13" t="str">
        <x:v>MAGAZINE LUIZA SA</x:v>
      </x:c>
      <x:c r="C9934" s="16" t="n">
        <x:v>131.9336490082</x:v>
      </x:c>
      <x:c r="D9934" s="13" t="str">
        <x:v>Retail</x:v>
      </x:c>
      <x:c r="E9934" s="13" t="str">
        <x:v>Retail</x:v>
      </x:c>
      <x:c r="F9934" s="13" t="str">
        <x:v>Early Cyclicals</x:v>
      </x:c>
      <x:c r="G9934" s="13" t="str">
        <x:v>Ibovespa_earnings_consolidated.xlsx</x:v>
      </x:c>
    </x:row>
    <x:row r="9935">
      <x:c r="A9935" s="15" t="n">
        <x:v>44774</x:v>
      </x:c>
      <x:c r="B9935" s="13" t="str">
        <x:v>NATURA &amp;CO HOLDING SA</x:v>
      </x:c>
      <x:c r="C9935" s="16" t="n">
        <x:v>702.573763463</x:v>
      </x:c>
      <x:c r="D9935" s="13" t="str">
        <x:v>Retail</x:v>
      </x:c>
      <x:c r="E9935" s="13" t="str">
        <x:v>Retail</x:v>
      </x:c>
      <x:c r="F9935" s="13" t="str">
        <x:v>Early Cyclicals</x:v>
      </x:c>
      <x:c r="G9935" s="13" t="str">
        <x:v>Ibovespa_earnings_consolidated.xlsx</x:v>
      </x:c>
    </x:row>
    <x:row r="9936">
      <x:c r="A9936" s="15" t="n">
        <x:v>44774</x:v>
      </x:c>
      <x:c r="B9936" s="13" t="str">
        <x:v>PET CENTER COMERCIO E PARTIC</x:v>
      </x:c>
      <x:c r="C9936" s="16" t="n">
        <x:v>162.3659561644</x:v>
      </x:c>
      <x:c r="D9936" s="13" t="str">
        <x:v>Retail</x:v>
      </x:c>
      <x:c r="E9936" s="13" t="str">
        <x:v>Retail</x:v>
      </x:c>
      <x:c r="F9936" s="13" t="str">
        <x:v>Early Cyclicals</x:v>
      </x:c>
      <x:c r="G9936" s="13" t="str">
        <x:v>Ibovespa_earnings_consolidated.xlsx</x:v>
      </x:c>
    </x:row>
    <x:row r="9937">
      <x:c r="A9937" s="15" t="n">
        <x:v>44774</x:v>
      </x:c>
      <x:c r="B9937" s="13" t="str">
        <x:v>RAIA DROGASIL SA</x:v>
      </x:c>
      <x:c r="C9937" s="16" t="n">
        <x:v>1146.7709657425</x:v>
      </x:c>
      <x:c r="D9937" s="13" t="str">
        <x:v>Retail</x:v>
      </x:c>
      <x:c r="E9937" s="13" t="str">
        <x:v>Retail</x:v>
      </x:c>
      <x:c r="F9937" s="13" t="str">
        <x:v>Early Cyclicals</x:v>
      </x:c>
      <x:c r="G9937" s="13" t="str">
        <x:v>Ibovespa_earnings_consolidated.xlsx</x:v>
      </x:c>
    </x:row>
    <x:row r="9938">
      <x:c r="A9938" s="15" t="n">
        <x:v>44774</x:v>
      </x:c>
      <x:c r="B9938" s="13" t="str">
        <x:v>SENDAS DISTRIBUIDORA SA</x:v>
      </x:c>
      <x:c r="C9938" s="16" t="n">
        <x:v>1476.8659087781</x:v>
      </x:c>
      <x:c r="D9938" s="13" t="str">
        <x:v>Retail</x:v>
      </x:c>
      <x:c r="E9938" s="13" t="str">
        <x:v>Retail</x:v>
      </x:c>
      <x:c r="F9938" s="13" t="str">
        <x:v>Early Cyclicals</x:v>
      </x:c>
      <x:c r="G9938" s="13" t="str">
        <x:v>Ibovespa_earnings_consolidated.xlsx</x:v>
      </x:c>
    </x:row>
    <x:row r="9939">
      <x:c r="A9939" s="15" t="n">
        <x:v>44774</x:v>
      </x:c>
      <x:c r="B9939" s="13" t="str">
        <x:v>CIA SANEAMENTO BASICO DE SP</x:v>
      </x:c>
      <x:c r="C9939" s="16" t="n">
        <x:v>3053.3198195726</x:v>
      </x:c>
      <x:c r="D9939" s="13" t="str">
        <x:v>Sanitation</x:v>
      </x:c>
      <x:c r="E9939" s="13" t="str">
        <x:v>Utilities</x:v>
      </x:c>
      <x:c r="F9939" s="13" t="str">
        <x:v>Defensives</x:v>
      </x:c>
      <x:c r="G9939" s="13" t="str">
        <x:v>Ibovespa_earnings_consolidated.xlsx</x:v>
      </x:c>
    </x:row>
    <x:row r="9940">
      <x:c r="A9940" s="15" t="n">
        <x:v>44774</x:v>
      </x:c>
      <x:c r="B9940" s="13" t="str">
        <x:v>LWSA SA</x:v>
      </x:c>
      <x:c r="C9940" s="16" t="n">
        <x:v>131.4873505315</x:v>
      </x:c>
      <x:c r="D9940" s="13" t="str">
        <x:v>TMT</x:v>
      </x:c>
      <x:c r="E9940" s="13" t="str">
        <x:v>TMT</x:v>
      </x:c>
      <x:c r="F9940" s="13" t="str">
        <x:v>Early Cyclicals</x:v>
      </x:c>
      <x:c r="G9940" s="13" t="str">
        <x:v>Ibovespa_earnings_consolidated.xlsx</x:v>
      </x:c>
    </x:row>
    <x:row r="9941">
      <x:c r="A9941" s="15" t="n">
        <x:v>44774</x:v>
      </x:c>
      <x:c r="B9941" s="13" t="str">
        <x:v>POSITIVO TECNOLOGIA SA</x:v>
      </x:c>
      <x:c r="C9941" s="16" t="n">
        <x:v>206.6328767123</x:v>
      </x:c>
      <x:c r="D9941" s="13" t="str">
        <x:v>TMT</x:v>
      </x:c>
      <x:c r="E9941" s="13" t="str">
        <x:v>TMT</x:v>
      </x:c>
      <x:c r="F9941" s="13" t="str">
        <x:v>Early Cyclicals</x:v>
      </x:c>
      <x:c r="G9941" s="13" t="str">
        <x:v>Ibovespa_earnings_consolidated.xlsx</x:v>
      </x:c>
    </x:row>
    <x:row r="9942">
      <x:c r="A9942" s="15" t="n">
        <x:v>44774</x:v>
      </x:c>
      <x:c r="B9942" s="13" t="str">
        <x:v>TIM SA</x:v>
      </x:c>
      <x:c r="C9942" s="16" t="n">
        <x:v>2287.1098950137</x:v>
      </x:c>
      <x:c r="D9942" s="13" t="str">
        <x:v>TMT</x:v>
      </x:c>
      <x:c r="E9942" s="13" t="str">
        <x:v>TMT</x:v>
      </x:c>
      <x:c r="F9942" s="13" t="str">
        <x:v>Early Cyclicals</x:v>
      </x:c>
      <x:c r="G9942" s="13" t="str">
        <x:v>Ibovespa_earnings_consolidated.xlsx</x:v>
      </x:c>
    </x:row>
    <x:row r="9943">
      <x:c r="A9943" s="15" t="n">
        <x:v>44774</x:v>
      </x:c>
      <x:c r="B9943" s="13" t="str">
        <x:v>TOTVS SA</x:v>
      </x:c>
      <x:c r="C9943" s="16" t="n">
        <x:v>647.7140188932</x:v>
      </x:c>
      <x:c r="D9943" s="13" t="str">
        <x:v>TMT</x:v>
      </x:c>
      <x:c r="E9943" s="13" t="str">
        <x:v>TMT</x:v>
      </x:c>
      <x:c r="F9943" s="13" t="str">
        <x:v>Early Cyclicals</x:v>
      </x:c>
      <x:c r="G9943" s="13" t="str">
        <x:v>Ibovespa_earnings_consolidated.xlsx</x:v>
      </x:c>
    </x:row>
    <x:row r="9944">
      <x:c r="A9944" s="15" t="n">
        <x:v>44774</x:v>
      </x:c>
      <x:c r="B9944" s="13" t="str">
        <x:v>AZUL SA</x:v>
      </x:c>
      <x:c r="C9944" s="16" t="n">
        <x:v>-428.3344818849</x:v>
      </x:c>
      <x:c r="D9944" s="13" t="str">
        <x:v>Transportation</x:v>
      </x:c>
      <x:c r="E9944" s="13" t="str">
        <x:v>Transportation</x:v>
      </x:c>
      <x:c r="F9944" s="13" t="str">
        <x:v>Deep Cyclicals</x:v>
      </x:c>
      <x:c r="G9944" s="13" t="str">
        <x:v>Ibovespa_earnings_consolidated.xlsx</x:v>
      </x:c>
    </x:row>
    <x:row r="9945">
      <x:c r="A9945" s="15" t="n">
        <x:v>44774</x:v>
      </x:c>
      <x:c r="B9945" s="13" t="str">
        <x:v>ECORODOVIAS INFRA E LOG SA</x:v>
      </x:c>
      <x:c r="C9945" s="16" t="n">
        <x:v>264.2038634082</x:v>
      </x:c>
      <x:c r="D9945" s="13" t="str">
        <x:v>Transportation</x:v>
      </x:c>
      <x:c r="E9945" s="13" t="str">
        <x:v>Transportation</x:v>
      </x:c>
      <x:c r="F9945" s="13" t="str">
        <x:v>Deep Cyclicals</x:v>
      </x:c>
      <x:c r="G9945" s="13" t="str">
        <x:v>Ibovespa_earnings_consolidated.xlsx</x:v>
      </x:c>
    </x:row>
    <x:row r="9946">
      <x:c r="A9946" s="15" t="n">
        <x:v>44774</x:v>
      </x:c>
      <x:c r="B9946" s="13" t="str">
        <x:v>GOL LINHAS AEREAS INT SA-PRE</x:v>
      </x:c>
      <x:c r="C9946" s="16" t="n">
        <x:v>-74.9477072658</x:v>
      </x:c>
      <x:c r="D9946" s="13" t="str">
        <x:v>Transportation</x:v>
      </x:c>
      <x:c r="E9946" s="13" t="str">
        <x:v>Transportation</x:v>
      </x:c>
      <x:c r="F9946" s="13" t="str">
        <x:v>Deep Cyclicals</x:v>
      </x:c>
      <x:c r="G9946" s="13" t="str">
        <x:v>Ibovespa_earnings_consolidated.xlsx</x:v>
      </x:c>
    </x:row>
    <x:row r="9947">
      <x:c r="A9947" s="15" t="n">
        <x:v>44774</x:v>
      </x:c>
      <x:c r="B9947" s="13" t="str">
        <x:v>LOCALIZA RENT A CAR</x:v>
      </x:c>
      <x:c r="C9947" s="16" t="n">
        <x:v>2727.506009074</x:v>
      </x:c>
      <x:c r="D9947" s="13" t="str">
        <x:v>Transportation</x:v>
      </x:c>
      <x:c r="E9947" s="13" t="str">
        <x:v>Transportation</x:v>
      </x:c>
      <x:c r="F9947" s="13" t="str">
        <x:v>Deep Cyclicals</x:v>
      </x:c>
      <x:c r="G9947" s="13" t="str">
        <x:v>Ibovespa_earnings_consolidated.xlsx</x:v>
      </x:c>
    </x:row>
    <x:row r="9948">
      <x:c r="A9948" s="15" t="n">
        <x:v>44774</x:v>
      </x:c>
      <x:c r="B9948" s="13" t="str">
        <x:v>MOTIVA INFRAESTRUTURA DE MOB</x:v>
      </x:c>
      <x:c r="C9948" s="16" t="n">
        <x:v>1885.3500647452</x:v>
      </x:c>
      <x:c r="D9948" s="13" t="str">
        <x:v>Transportation</x:v>
      </x:c>
      <x:c r="E9948" s="13" t="str">
        <x:v>Transportation</x:v>
      </x:c>
      <x:c r="F9948" s="13" t="str">
        <x:v>Deep Cyclicals</x:v>
      </x:c>
      <x:c r="G9948" s="13" t="str">
        <x:v>Ibovespa_earnings_consolidated.xlsx</x:v>
      </x:c>
    </x:row>
    <x:row r="9949">
      <x:c r="A9949" s="15" t="n">
        <x:v>44774</x:v>
      </x:c>
      <x:c r="B9949" s="13" t="str">
        <x:v>RUMO SA</x:v>
      </x:c>
      <x:c r="C9949" s="16" t="n">
        <x:v>847.360173589</x:v>
      </x:c>
      <x:c r="D9949" s="13" t="str">
        <x:v>Transportation</x:v>
      </x:c>
      <x:c r="E9949" s="13" t="str">
        <x:v>Transportation</x:v>
      </x:c>
      <x:c r="F9949" s="13" t="str">
        <x:v>Deep Cyclicals</x:v>
      </x:c>
      <x:c r="G9949" s="13" t="str">
        <x:v>Ibovespa_earnings_consolidated.xlsx</x:v>
      </x:c>
    </x:row>
    <x:row r="9950">
      <x:c r="A9950" s="15" t="n">
        <x:v>44774</x:v>
      </x:c>
      <x:c r="B9950" s="13" t="str">
        <x:v>AXIA ENERGIA SA</x:v>
      </x:c>
      <x:c r="C9950" s="16" t="n">
        <x:v>7253.4133928329</x:v>
      </x:c>
      <x:c r="D9950" s="13" t="str">
        <x:v>Utilities &amp; Energy</x:v>
      </x:c>
      <x:c r="E9950" s="13" t="str">
        <x:v>Utilities</x:v>
      </x:c>
      <x:c r="F9950" s="13" t="str">
        <x:v>Defensives</x:v>
      </x:c>
      <x:c r="G9950" s="13" t="str">
        <x:v>Ibovespa_earnings_consolidated.xlsx</x:v>
      </x:c>
    </x:row>
    <x:row r="9951">
      <x:c r="A9951" s="15" t="n">
        <x:v>44774</x:v>
      </x:c>
      <x:c r="B9951" s="13" t="str">
        <x:v>AXIA ENERGIA-PR B</x:v>
      </x:c>
      <x:c r="C9951" s="16" t="n">
        <x:v>7253.4133928329</x:v>
      </x:c>
      <x:c r="D9951" s="13" t="str">
        <x:v>Utilities &amp; Energy</x:v>
      </x:c>
      <x:c r="E9951" s="13" t="str">
        <x:v>Utilities</x:v>
      </x:c>
      <x:c r="F9951" s="13" t="str">
        <x:v>Defensives</x:v>
      </x:c>
      <x:c r="G9951" s="13" t="str">
        <x:v>Ibovespa_earnings_consolidated.xlsx</x:v>
      </x:c>
    </x:row>
    <x:row r="9952">
      <x:c r="A9952" s="15" t="n">
        <x:v>44774</x:v>
      </x:c>
      <x:c r="B9952" s="13" t="str">
        <x:v>CIA ENERGETICA MINAS GER-PRF</x:v>
      </x:c>
      <x:c r="C9952" s="16" t="n">
        <x:v>3673.5894079123</x:v>
      </x:c>
      <x:c r="D9952" s="13" t="str">
        <x:v>Utilities &amp; Energy</x:v>
      </x:c>
      <x:c r="E9952" s="13" t="str">
        <x:v>Utilities</x:v>
      </x:c>
      <x:c r="F9952" s="13" t="str">
        <x:v>Defensives</x:v>
      </x:c>
      <x:c r="G9952" s="13" t="str">
        <x:v>Ibovespa_earnings_consolidated.xlsx</x:v>
      </x:c>
    </x:row>
    <x:row r="9953">
      <x:c r="A9953" s="15" t="n">
        <x:v>44774</x:v>
      </x:c>
      <x:c r="B9953" s="13" t="str">
        <x:v>COMPANHIA PARANAENSE -PREF B</x:v>
      </x:c>
      <x:c r="C9953" s="16" t="n">
        <x:v>2655.6922290849</x:v>
      </x:c>
      <x:c r="D9953" s="13" t="str">
        <x:v>Utilities &amp; Energy</x:v>
      </x:c>
      <x:c r="E9953" s="13" t="str">
        <x:v>Utilities</x:v>
      </x:c>
      <x:c r="F9953" s="13" t="str">
        <x:v>Defensives</x:v>
      </x:c>
      <x:c r="G9953" s="13" t="str">
        <x:v>Ibovespa_earnings_consolidated.xlsx</x:v>
      </x:c>
    </x:row>
    <x:row r="9954">
      <x:c r="A9954" s="15" t="n">
        <x:v>44774</x:v>
      </x:c>
      <x:c r="B9954" s="13" t="str">
        <x:v>CPFL ENERGIA SA</x:v>
      </x:c>
      <x:c r="C9954" s="16" t="n">
        <x:v>4538.1065012603</x:v>
      </x:c>
      <x:c r="D9954" s="13" t="str">
        <x:v>Utilities &amp; Energy</x:v>
      </x:c>
      <x:c r="E9954" s="13" t="str">
        <x:v>Utilities</x:v>
      </x:c>
      <x:c r="F9954" s="13" t="str">
        <x:v>Defensives</x:v>
      </x:c>
      <x:c r="G9954" s="13" t="str">
        <x:v>Ibovespa_earnings_consolidated.xlsx</x:v>
      </x:c>
    </x:row>
    <x:row r="9955">
      <x:c r="A9955" s="15" t="n">
        <x:v>44774</x:v>
      </x:c>
      <x:c r="B9955" s="13" t="str">
        <x:v>EDP - ENERGIAS DO BRASIL SA</x:v>
      </x:c>
      <x:c r="C9955" s="16" t="n">
        <x:v>1534.730624</x:v>
      </x:c>
      <x:c r="D9955" s="13" t="str">
        <x:v>Utilities &amp; Energy</x:v>
      </x:c>
      <x:c r="E9955" s="13" t="str">
        <x:v>Utilities</x:v>
      </x:c>
      <x:c r="F9955" s="13" t="str">
        <x:v>Defensives</x:v>
      </x:c>
      <x:c r="G9955" s="13" t="str">
        <x:v>Ibovespa_earnings_consolidated.xlsx</x:v>
      </x:c>
    </x:row>
    <x:row r="9956">
      <x:c r="A9956" s="15" t="n">
        <x:v>44774</x:v>
      </x:c>
      <x:c r="B9956" s="13" t="str">
        <x:v>ENERGISA SA-UNITS</x:v>
      </x:c>
      <x:c r="C9956" s="16" t="n">
        <x:v>1803.6878735781</x:v>
      </x:c>
      <x:c r="D9956" s="13" t="str">
        <x:v>Utilities &amp; Energy</x:v>
      </x:c>
      <x:c r="E9956" s="13" t="str">
        <x:v>Utilities</x:v>
      </x:c>
      <x:c r="F9956" s="13" t="str">
        <x:v>Defensives</x:v>
      </x:c>
      <x:c r="G9956" s="13" t="str">
        <x:v>Ibovespa_earnings_consolidated.xlsx</x:v>
      </x:c>
    </x:row>
    <x:row r="9957">
      <x:c r="A9957" s="15" t="n">
        <x:v>44774</x:v>
      </x:c>
      <x:c r="B9957" s="13" t="str">
        <x:v>ENEVA SA</x:v>
      </x:c>
      <x:c r="C9957" s="16" t="n">
        <x:v>958.3273556164</x:v>
      </x:c>
      <x:c r="D9957" s="13" t="str">
        <x:v>Utilities &amp; Energy</x:v>
      </x:c>
      <x:c r="E9957" s="13" t="str">
        <x:v>Utilities</x:v>
      </x:c>
      <x:c r="F9957" s="13" t="str">
        <x:v>Defensives</x:v>
      </x:c>
      <x:c r="G9957" s="13" t="str">
        <x:v>Ibovespa_earnings_consolidated.xlsx</x:v>
      </x:c>
    </x:row>
    <x:row r="9958">
      <x:c r="A9958" s="15" t="n">
        <x:v>44774</x:v>
      </x:c>
      <x:c r="B9958" s="13" t="str">
        <x:v>ENGIE BRASIL ENERGIA SA</x:v>
      </x:c>
      <x:c r="C9958" s="16" t="n">
        <x:v>3256.1241621041</x:v>
      </x:c>
      <x:c r="D9958" s="13" t="str">
        <x:v>Utilities &amp; Energy</x:v>
      </x:c>
      <x:c r="E9958" s="13" t="str">
        <x:v>Utilities</x:v>
      </x:c>
      <x:c r="F9958" s="13" t="str">
        <x:v>Defensives</x:v>
      </x:c>
      <x:c r="G9958" s="13" t="str">
        <x:v>Ibovespa_earnings_consolidated.xlsx</x:v>
      </x:c>
    </x:row>
    <x:row r="9959">
      <x:c r="A9959" s="15" t="n">
        <x:v>44774</x:v>
      </x:c>
      <x:c r="B9959" s="13" t="str">
        <x:v>EQUATORIAL SA - ORD</x:v>
      </x:c>
      <x:c r="C9959" s="16" t="n">
        <x:v>2673.300371989</x:v>
      </x:c>
      <x:c r="D9959" s="13" t="str">
        <x:v>Utilities &amp; Energy</x:v>
      </x:c>
      <x:c r="E9959" s="13" t="str">
        <x:v>Utilities</x:v>
      </x:c>
      <x:c r="F9959" s="13" t="str">
        <x:v>Defensives</x:v>
      </x:c>
      <x:c r="G9959" s="13" t="str">
        <x:v>Ibovespa_earnings_consolidated.xlsx</x:v>
      </x:c>
    </x:row>
    <x:row r="9960">
      <x:c r="A9960" s="15" t="n">
        <x:v>44774</x:v>
      </x:c>
      <x:c r="B9960" s="13" t="str">
        <x:v>TRANSMISSORA ALIANCA DE-UNIT</x:v>
      </x:c>
      <x:c r="C9960" s="16" t="n">
        <x:v>1174.8831445918</x:v>
      </x:c>
      <x:c r="D9960" s="13" t="str">
        <x:v>Utilities &amp; Energy</x:v>
      </x:c>
      <x:c r="E9960" s="13" t="str">
        <x:v>Utilities</x:v>
      </x:c>
      <x:c r="F9960" s="13" t="str">
        <x:v>Defensives</x:v>
      </x:c>
      <x:c r="G9960" s="13" t="str">
        <x:v>Ibovespa_earnings_consolidated.xlsx</x:v>
      </x:c>
    </x:row>
    <x:row r="9961">
      <x:c r="A9961" s="15" t="n">
        <x:v>44805</x:v>
      </x:c>
      <x:c r="B9961" s="13" t="str">
        <x:v>RAIZEN SA - PREFERENCE</x:v>
      </x:c>
      <x:c r="C9961" s="16" t="n">
        <x:v>4421.9027388853</x:v>
      </x:c>
      <x:c r="D9961" s="13" t="str">
        <x:v>Agribusiness</x:v>
      </x:c>
      <x:c r="E9961" s="13" t="str">
        <x:v>Agri, Food &amp; Beverages</x:v>
      </x:c>
      <x:c r="F9961" s="13" t="str">
        <x:v>Defensives</x:v>
      </x:c>
      <x:c r="G9961" s="13" t="str">
        <x:v>Ibovespa_earnings_consolidated.xlsx</x:v>
      </x:c>
    </x:row>
    <x:row r="9962">
      <x:c r="A9962" s="15" t="n">
        <x:v>44805</x:v>
      </x:c>
      <x:c r="B9962" s="13" t="str">
        <x:v>SAO MARTINHO SA</x:v>
      </x:c>
      <x:c r="C9962" s="16" t="n">
        <x:v>1260.6640905792</x:v>
      </x:c>
      <x:c r="D9962" s="13" t="str">
        <x:v>Agribusiness</x:v>
      </x:c>
      <x:c r="E9962" s="13" t="str">
        <x:v>Agri, Food &amp; Beverages</x:v>
      </x:c>
      <x:c r="F9962" s="13" t="str">
        <x:v>Defensives</x:v>
      </x:c>
      <x:c r="G9962" s="13" t="str">
        <x:v>Ibovespa_earnings_consolidated.xlsx</x:v>
      </x:c>
    </x:row>
    <x:row r="9963">
      <x:c r="A9963" s="15" t="n">
        <x:v>44805</x:v>
      </x:c>
      <x:c r="B9963" s="13" t="str">
        <x:v>SLC AGRICOLA SA</x:v>
      </x:c>
      <x:c r="C9963" s="16" t="n">
        <x:v>1314.4958506082</x:v>
      </x:c>
      <x:c r="D9963" s="13" t="str">
        <x:v>Agribusiness</x:v>
      </x:c>
      <x:c r="E9963" s="13" t="str">
        <x:v>Agri, Food &amp; Beverages</x:v>
      </x:c>
      <x:c r="F9963" s="13" t="str">
        <x:v>Defensives</x:v>
      </x:c>
      <x:c r="G9963" s="13" t="str">
        <x:v>Ibovespa_earnings_consolidated.xlsx</x:v>
      </x:c>
    </x:row>
    <x:row r="9964">
      <x:c r="A9964" s="15" t="n">
        <x:v>44805</x:v>
      </x:c>
      <x:c r="B9964" s="13" t="str">
        <x:v>BANCO BRADESCO S.A.</x:v>
      </x:c>
      <x:c r="C9964" s="16" t="n">
        <x:v>30125.1201837589</x:v>
      </x:c>
      <x:c r="D9964" s="13" t="str">
        <x:v>Banks</x:v>
      </x:c>
      <x:c r="E9964" s="13" t="str">
        <x:v>Banks</x:v>
      </x:c>
      <x:c r="F9964" s="13" t="str">
        <x:v>Financials</x:v>
      </x:c>
      <x:c r="G9964" s="13" t="str">
        <x:v>Ibovespa_earnings_consolidated.xlsx</x:v>
      </x:c>
    </x:row>
    <x:row r="9965">
      <x:c r="A9965" s="15" t="n">
        <x:v>44805</x:v>
      </x:c>
      <x:c r="B9965" s="13" t="str">
        <x:v>BANCO BRADESCO SA-PREF</x:v>
      </x:c>
      <x:c r="C9965" s="16" t="n">
        <x:v>30125.1201837589</x:v>
      </x:c>
      <x:c r="D9965" s="13" t="str">
        <x:v>Banks</x:v>
      </x:c>
      <x:c r="E9965" s="13" t="str">
        <x:v>Banks</x:v>
      </x:c>
      <x:c r="F9965" s="13" t="str">
        <x:v>Financials</x:v>
      </x:c>
      <x:c r="G9965" s="13" t="str">
        <x:v>Ibovespa_earnings_consolidated.xlsx</x:v>
      </x:c>
    </x:row>
    <x:row r="9966">
      <x:c r="A9966" s="15" t="n">
        <x:v>44805</x:v>
      </x:c>
      <x:c r="B9966" s="13" t="str">
        <x:v>BANCO BTG PACTUAL SA-UNIT</x:v>
      </x:c>
      <x:c r="C9966" s="16" t="n">
        <x:v>8915.592402411</x:v>
      </x:c>
      <x:c r="D9966" s="13" t="str">
        <x:v>Banks</x:v>
      </x:c>
      <x:c r="E9966" s="13" t="str">
        <x:v>Banks</x:v>
      </x:c>
      <x:c r="F9966" s="13" t="str">
        <x:v>Financials</x:v>
      </x:c>
      <x:c r="G9966" s="13" t="str">
        <x:v>Ibovespa_earnings_consolidated.xlsx</x:v>
      </x:c>
    </x:row>
    <x:row r="9967">
      <x:c r="A9967" s="15" t="n">
        <x:v>44805</x:v>
      </x:c>
      <x:c r="B9967" s="13" t="str">
        <x:v>BANCO DO BRASIL S.A.</x:v>
      </x:c>
      <x:c r="C9967" s="16" t="n">
        <x:v>29202.6387470027</x:v>
      </x:c>
      <x:c r="D9967" s="13" t="str">
        <x:v>Banks</x:v>
      </x:c>
      <x:c r="E9967" s="13" t="str">
        <x:v>Banks</x:v>
      </x:c>
      <x:c r="F9967" s="13" t="str">
        <x:v>Financials</x:v>
      </x:c>
      <x:c r="G9967" s="13" t="str">
        <x:v>Ibovespa_earnings_consolidated.xlsx</x:v>
      </x:c>
    </x:row>
    <x:row r="9968">
      <x:c r="A9968" s="15" t="n">
        <x:v>44805</x:v>
      </x:c>
      <x:c r="B9968" s="13" t="str">
        <x:v>BANCO PAN SA</x:v>
      </x:c>
      <x:c r="C9968" s="16" t="n">
        <x:v>1020.7301211178</x:v>
      </x:c>
      <x:c r="D9968" s="13" t="str">
        <x:v>Banks</x:v>
      </x:c>
      <x:c r="E9968" s="13" t="str">
        <x:v>Banks</x:v>
      </x:c>
      <x:c r="F9968" s="13" t="str">
        <x:v>Financials</x:v>
      </x:c>
      <x:c r="G9968" s="13" t="str">
        <x:v>Ibovespa_earnings_consolidated.xlsx</x:v>
      </x:c>
    </x:row>
    <x:row r="9969">
      <x:c r="A9969" s="15" t="n">
        <x:v>44805</x:v>
      </x:c>
      <x:c r="B9969" s="13" t="str">
        <x:v>BANCO SANTANDER  BRASIL-UNIT</x:v>
      </x:c>
      <x:c r="C9969" s="16" t="n">
        <x:v>17026.241325589</x:v>
      </x:c>
      <x:c r="D9969" s="13" t="str">
        <x:v>Banks</x:v>
      </x:c>
      <x:c r="E9969" s="13" t="str">
        <x:v>Banks</x:v>
      </x:c>
      <x:c r="F9969" s="13" t="str">
        <x:v>Financials</x:v>
      </x:c>
      <x:c r="G9969" s="13" t="str">
        <x:v>Ibovespa_earnings_consolidated.xlsx</x:v>
      </x:c>
    </x:row>
    <x:row r="9970">
      <x:c r="A9970" s="15" t="n">
        <x:v>44805</x:v>
      </x:c>
      <x:c r="B9970" s="13" t="str">
        <x:v>ITAU UNIBANCO HOLDING S-PREF</x:v>
      </x:c>
      <x:c r="C9970" s="16" t="n">
        <x:v>33859.1111644932</x:v>
      </x:c>
      <x:c r="D9970" s="13" t="str">
        <x:v>Banks</x:v>
      </x:c>
      <x:c r="E9970" s="13" t="str">
        <x:v>Banks</x:v>
      </x:c>
      <x:c r="F9970" s="13" t="str">
        <x:v>Financials</x:v>
      </x:c>
      <x:c r="G9970" s="13" t="str">
        <x:v>Ibovespa_earnings_consolidated.xlsx</x:v>
      </x:c>
    </x:row>
    <x:row r="9971">
      <x:c r="A9971" s="15" t="n">
        <x:v>44805</x:v>
      </x:c>
      <x:c r="B9971" s="13" t="str">
        <x:v>EMBRAER SA</x:v>
      </x:c>
      <x:c r="C9971" s="16" t="n">
        <x:v>672.0473128329</x:v>
      </x:c>
      <x:c r="D9971" s="13" t="str">
        <x:v>Capital Goods</x:v>
      </x:c>
      <x:c r="E9971" s="13" t="str">
        <x:v>Capital Goods</x:v>
      </x:c>
      <x:c r="F9971" s="13" t="str">
        <x:v>Deep Cyclicals</x:v>
      </x:c>
      <x:c r="G9971" s="13" t="str">
        <x:v>Ibovespa_earnings_consolidated.xlsx</x:v>
      </x:c>
    </x:row>
    <x:row r="9972">
      <x:c r="A9972" s="15" t="n">
        <x:v>44805</x:v>
      </x:c>
      <x:c r="B9972" s="13" t="str">
        <x:v>WEG SA</x:v>
      </x:c>
      <x:c r="C9972" s="16" t="n">
        <x:v>4335.9011180712</x:v>
      </x:c>
      <x:c r="D9972" s="13" t="str">
        <x:v>Capital Goods</x:v>
      </x:c>
      <x:c r="E9972" s="13" t="str">
        <x:v>Capital Goods</x:v>
      </x:c>
      <x:c r="F9972" s="13" t="str">
        <x:v>Deep Cyclicals</x:v>
      </x:c>
      <x:c r="G9972" s="13" t="str">
        <x:v>Ibovespa_earnings_consolidated.xlsx</x:v>
      </x:c>
    </x:row>
    <x:row r="9973">
      <x:c r="A9973" s="15" t="n">
        <x:v>44805</x:v>
      </x:c>
      <x:c r="B9973" s="13" t="str">
        <x:v>COGNA EDUCACAO</x:v>
      </x:c>
      <x:c r="C9973" s="16" t="n">
        <x:v>-134.4606635616</x:v>
      </x:c>
      <x:c r="D9973" s="13" t="str">
        <x:v>Education</x:v>
      </x:c>
      <x:c r="E9973" s="13" t="str">
        <x:v>Education</x:v>
      </x:c>
      <x:c r="F9973" s="13" t="str">
        <x:v>Early Cyclicals</x:v>
      </x:c>
      <x:c r="G9973" s="13" t="str">
        <x:v>Ibovespa_earnings_consolidated.xlsx</x:v>
      </x:c>
    </x:row>
    <x:row r="9974">
      <x:c r="A9974" s="15" t="n">
        <x:v>44805</x:v>
      </x:c>
      <x:c r="B9974" s="13" t="str">
        <x:v>YDUQS PARTICIPACOES SA</x:v>
      </x:c>
      <x:c r="C9974" s="16" t="n">
        <x:v>265.1783955288</x:v>
      </x:c>
      <x:c r="D9974" s="13" t="str">
        <x:v>Education</x:v>
      </x:c>
      <x:c r="E9974" s="13" t="str">
        <x:v>Education</x:v>
      </x:c>
      <x:c r="F9974" s="13" t="str">
        <x:v>Early Cyclicals</x:v>
      </x:c>
      <x:c r="G9974" s="13" t="str">
        <x:v>Ibovespa_earnings_consolidated.xlsx</x:v>
      </x:c>
    </x:row>
    <x:row r="9975">
      <x:c r="A9975" s="15" t="n">
        <x:v>44805</x:v>
      </x:c>
      <x:c r="B9975" s="13" t="str">
        <x:v>B3 SA-BRASIL BOLSA BALCAO</x:v>
      </x:c>
      <x:c r="C9975" s="16" t="n">
        <x:v>5094.2455317041</x:v>
      </x:c>
      <x:c r="D9975" s="13" t="str">
        <x:v>Financials Non-Banks</x:v>
      </x:c>
      <x:c r="E9975" s="13" t="str">
        <x:v>Financials Non-Banks</x:v>
      </x:c>
      <x:c r="F9975" s="13" t="str">
        <x:v>Financials</x:v>
      </x:c>
      <x:c r="G9975" s="13" t="str">
        <x:v>Ibovespa_earnings_consolidated.xlsx</x:v>
      </x:c>
    </x:row>
    <x:row r="9976">
      <x:c r="A9976" s="15" t="n">
        <x:v>44805</x:v>
      </x:c>
      <x:c r="B9976" s="13" t="str">
        <x:v>BB SEGURIDADE PARTICIPACOES</x:v>
      </x:c>
      <x:c r="C9976" s="16" t="n">
        <x:v>6002.836442126</x:v>
      </x:c>
      <x:c r="D9976" s="13" t="str">
        <x:v>Financials Non-Banks</x:v>
      </x:c>
      <x:c r="E9976" s="13" t="str">
        <x:v>Financials Non-Banks</x:v>
      </x:c>
      <x:c r="F9976" s="13" t="str">
        <x:v>Financials</x:v>
      </x:c>
      <x:c r="G9976" s="13" t="str">
        <x:v>Ibovespa_earnings_consolidated.xlsx</x:v>
      </x:c>
    </x:row>
    <x:row r="9977">
      <x:c r="A9977" s="15" t="n">
        <x:v>44805</x:v>
      </x:c>
      <x:c r="B9977" s="13" t="str">
        <x:v>CIELO SA</x:v>
      </x:c>
      <x:c r="C9977" s="16" t="n">
        <x:v>1399.5388412493</x:v>
      </x:c>
      <x:c r="D9977" s="13" t="str">
        <x:v>Financials Non-Banks</x:v>
      </x:c>
      <x:c r="E9977" s="13" t="str">
        <x:v>Financials Non-Banks</x:v>
      </x:c>
      <x:c r="F9977" s="13" t="str">
        <x:v>Financials</x:v>
      </x:c>
      <x:c r="G9977" s="13" t="str">
        <x:v>Ibovespa_earnings_consolidated.xlsx</x:v>
      </x:c>
    </x:row>
    <x:row r="9978">
      <x:c r="A9978" s="15" t="n">
        <x:v>44805</x:v>
      </x:c>
      <x:c r="B9978" s="13" t="str">
        <x:v>CIELO SA - INSTITUICAO DE PA</x:v>
      </x:c>
      <x:c r="C9978" s="16" t="n">
        <x:v>1399.5388412493</x:v>
      </x:c>
      <x:c r="D9978" s="13" t="str">
        <x:v>Financials Non-Banks</x:v>
      </x:c>
      <x:c r="E9978" s="13" t="str">
        <x:v>Financials Non-Banks</x:v>
      </x:c>
      <x:c r="F9978" s="13" t="str">
        <x:v>Financials</x:v>
      </x:c>
      <x:c r="G9978" s="13" t="str">
        <x:v>grid_wbaxp5t0.xlsx</x:v>
      </x:c>
    </x:row>
    <x:row r="9979">
      <x:c r="A9979" s="15" t="n">
        <x:v>44805</x:v>
      </x:c>
      <x:c r="B9979" s="13" t="str">
        <x:v>IRB BRASIL RESSEGUROS SA</x:v>
      </x:c>
      <x:c r="C9979" s="16" t="n">
        <x:v>251.2436099507</x:v>
      </x:c>
      <x:c r="D9979" s="13" t="str">
        <x:v>Financials Non-Banks</x:v>
      </x:c>
      <x:c r="E9979" s="13" t="str">
        <x:v>Financials Non-Banks</x:v>
      </x:c>
      <x:c r="F9979" s="13" t="str">
        <x:v>Financials</x:v>
      </x:c>
      <x:c r="G9979" s="13" t="str">
        <x:v>Ibovespa_earnings_consolidated.xlsx</x:v>
      </x:c>
    </x:row>
    <x:row r="9980">
      <x:c r="A9980" s="15" t="n">
        <x:v>44805</x:v>
      </x:c>
      <x:c r="B9980" s="13" t="str">
        <x:v>ITAUSA SA</x:v>
      </x:c>
      <x:c r="C9980" s="16" t="n">
        <x:v>13573.3176656658</x:v>
      </x:c>
      <x:c r="D9980" s="13" t="str">
        <x:v>Financials Non-Banks</x:v>
      </x:c>
      <x:c r="E9980" s="13" t="str">
        <x:v>Financials Non-Banks</x:v>
      </x:c>
      <x:c r="F9980" s="13" t="str">
        <x:v>Financials</x:v>
      </x:c>
      <x:c r="G9980" s="13" t="str">
        <x:v>Ibovespa_earnings_consolidated.xlsx</x:v>
      </x:c>
    </x:row>
    <x:row r="9981">
      <x:c r="A9981" s="15" t="n">
        <x:v>44805</x:v>
      </x:c>
      <x:c r="B9981" s="13" t="str">
        <x:v>MELIUZ SA - ON</x:v>
      </x:c>
      <x:c r="C9981" s="16" t="n">
        <x:v>-24.3670958904</x:v>
      </x:c>
      <x:c r="D9981" s="13" t="str">
        <x:v>Financials Non-Banks</x:v>
      </x:c>
      <x:c r="E9981" s="13" t="str">
        <x:v>Financials Non-Banks</x:v>
      </x:c>
      <x:c r="F9981" s="13" t="str">
        <x:v>Financials</x:v>
      </x:c>
      <x:c r="G9981" s="13" t="str">
        <x:v>Ibovespa_earnings_consolidated.xlsx</x:v>
      </x:c>
    </x:row>
    <x:row r="9982">
      <x:c r="A9982" s="15" t="n">
        <x:v>44805</x:v>
      </x:c>
      <x:c r="B9982" s="13" t="str">
        <x:v>AMBEV SA</x:v>
      </x:c>
      <x:c r="C9982" s="16" t="n">
        <x:v>13776.052563463</x:v>
      </x:c>
      <x:c r="D9982" s="13" t="str">
        <x:v>Food &amp; Beverages</x:v>
      </x:c>
      <x:c r="E9982" s="13" t="str">
        <x:v>Agri, Food &amp; Beverages</x:v>
      </x:c>
      <x:c r="F9982" s="13" t="str">
        <x:v>Defensives</x:v>
      </x:c>
      <x:c r="G9982" s="13" t="str">
        <x:v>Ibovespa_earnings_consolidated.xlsx</x:v>
      </x:c>
    </x:row>
    <x:row r="9983">
      <x:c r="A9983" s="15" t="n">
        <x:v>44805</x:v>
      </x:c>
      <x:c r="B9983" s="13" t="str">
        <x:v>BRF SA</x:v>
      </x:c>
      <x:c r="C9983" s="16" t="n">
        <x:v>432.1557421589</x:v>
      </x:c>
      <x:c r="D9983" s="13" t="str">
        <x:v>Food &amp; Beverages</x:v>
      </x:c>
      <x:c r="E9983" s="13" t="str">
        <x:v>Agri, Food &amp; Beverages</x:v>
      </x:c>
      <x:c r="F9983" s="13" t="str">
        <x:v>Defensives</x:v>
      </x:c>
      <x:c r="G9983" s="13" t="str">
        <x:v>Ibovespa_earnings_consolidated.xlsx</x:v>
      </x:c>
    </x:row>
    <x:row r="9984">
      <x:c r="A9984" s="15" t="n">
        <x:v>44805</x:v>
      </x:c>
      <x:c r="B9984" s="13" t="str">
        <x:v>JBS SA</x:v>
      </x:c>
      <x:c r="C9984" s="16" t="n">
        <x:v>13065.1253212931</x:v>
      </x:c>
      <x:c r="D9984" s="13" t="str">
        <x:v>Food &amp; Beverages</x:v>
      </x:c>
      <x:c r="E9984" s="13" t="str">
        <x:v>Agri, Food &amp; Beverages</x:v>
      </x:c>
      <x:c r="F9984" s="13" t="str">
        <x:v>Defensives</x:v>
      </x:c>
      <x:c r="G9984" s="13" t="str">
        <x:v>Ibovespa_earnings_consolidated.xlsx</x:v>
      </x:c>
    </x:row>
    <x:row r="9985">
      <x:c r="A9985" s="15" t="n">
        <x:v>44805</x:v>
      </x:c>
      <x:c r="B9985" s="13" t="str">
        <x:v>MBRF GLOBAL FOODS COMPANY SA</x:v>
      </x:c>
      <x:c r="C9985" s="16" t="n">
        <x:v>2352.7073031014</x:v>
      </x:c>
      <x:c r="D9985" s="13" t="str">
        <x:v>Food &amp; Beverages</x:v>
      </x:c>
      <x:c r="E9985" s="13" t="str">
        <x:v>Agri, Food &amp; Beverages</x:v>
      </x:c>
      <x:c r="F9985" s="13" t="str">
        <x:v>Defensives</x:v>
      </x:c>
      <x:c r="G9985" s="13" t="str">
        <x:v>Ibovespa_earnings_consolidated.xlsx</x:v>
      </x:c>
    </x:row>
    <x:row r="9986">
      <x:c r="A9986" s="15" t="n">
        <x:v>44805</x:v>
      </x:c>
      <x:c r="B9986" s="13" t="str">
        <x:v>MINERVA SA</x:v>
      </x:c>
      <x:c r="C9986" s="16" t="n">
        <x:v>1122.2317329534</x:v>
      </x:c>
      <x:c r="D9986" s="13" t="str">
        <x:v>Food &amp; Beverages</x:v>
      </x:c>
      <x:c r="E9986" s="13" t="str">
        <x:v>Agri, Food &amp; Beverages</x:v>
      </x:c>
      <x:c r="F9986" s="13" t="str">
        <x:v>Defensives</x:v>
      </x:c>
      <x:c r="G9986" s="13" t="str">
        <x:v>Ibovespa_earnings_consolidated.xlsx</x:v>
      </x:c>
    </x:row>
    <x:row r="9987">
      <x:c r="A9987" s="15" t="n">
        <x:v>44805</x:v>
      </x:c>
      <x:c r="B9987" s="13" t="str">
        <x:v>FLEURY SA</x:v>
      </x:c>
      <x:c r="C9987" s="16" t="n">
        <x:v>345.9025997151</x:v>
      </x:c>
      <x:c r="D9987" s="13" t="str">
        <x:v>Health Care</x:v>
      </x:c>
      <x:c r="E9987" s="13" t="str">
        <x:v>Health Care</x:v>
      </x:c>
      <x:c r="F9987" s="13" t="str">
        <x:v>Defensives</x:v>
      </x:c>
      <x:c r="G9987" s="13" t="str">
        <x:v>Ibovespa_earnings_consolidated.xlsx</x:v>
      </x:c>
    </x:row>
    <x:row r="9988">
      <x:c r="A9988" s="15" t="n">
        <x:v>44805</x:v>
      </x:c>
      <x:c r="B9988" s="13" t="str">
        <x:v>HAPVIDA PARTICIPACOES E INVE</x:v>
      </x:c>
      <x:c r="C9988" s="16" t="n">
        <x:v>1291.1547949589</x:v>
      </x:c>
      <x:c r="D9988" s="13" t="str">
        <x:v>Health Care</x:v>
      </x:c>
      <x:c r="E9988" s="13" t="str">
        <x:v>Health Care</x:v>
      </x:c>
      <x:c r="F9988" s="13" t="str">
        <x:v>Defensives</x:v>
      </x:c>
      <x:c r="G9988" s="13" t="str">
        <x:v>Ibovespa_earnings_consolidated.xlsx</x:v>
      </x:c>
    </x:row>
    <x:row r="9989">
      <x:c r="A9989" s="15" t="n">
        <x:v>44805</x:v>
      </x:c>
      <x:c r="B9989" s="13" t="str">
        <x:v>HYPERA SA</x:v>
      </x:c>
      <x:c r="C9989" s="16" t="n">
        <x:v>1906.3601842849</x:v>
      </x:c>
      <x:c r="D9989" s="13" t="str">
        <x:v>Health Care</x:v>
      </x:c>
      <x:c r="E9989" s="13" t="str">
        <x:v>Health Care</x:v>
      </x:c>
      <x:c r="F9989" s="13" t="str">
        <x:v>Defensives</x:v>
      </x:c>
      <x:c r="G9989" s="13" t="str">
        <x:v>Ibovespa_earnings_consolidated.xlsx</x:v>
      </x:c>
    </x:row>
    <x:row r="9990">
      <x:c r="A9990" s="15" t="n">
        <x:v>44805</x:v>
      </x:c>
      <x:c r="B9990" s="13" t="str">
        <x:v>QUALICORP CONS E CORR SEG SA</x:v>
      </x:c>
      <x:c r="C9990" s="16" t="n">
        <x:v>304.1296819726</x:v>
      </x:c>
      <x:c r="D9990" s="13" t="str">
        <x:v>Health Care</x:v>
      </x:c>
      <x:c r="E9990" s="13" t="str">
        <x:v>Health Care</x:v>
      </x:c>
      <x:c r="F9990" s="13" t="str">
        <x:v>Defensives</x:v>
      </x:c>
      <x:c r="G9990" s="13" t="str">
        <x:v>Ibovespa_earnings_consolidated.xlsx</x:v>
      </x:c>
    </x:row>
    <x:row r="9991">
      <x:c r="A9991" s="15" t="n">
        <x:v>44805</x:v>
      </x:c>
      <x:c r="B9991" s="13" t="str">
        <x:v>REDE D'OR SAO LUIZ SA</x:v>
      </x:c>
      <x:c r="C9991" s="16" t="n">
        <x:v>2507.9865238795</x:v>
      </x:c>
      <x:c r="D9991" s="13" t="str">
        <x:v>Health Care</x:v>
      </x:c>
      <x:c r="E9991" s="13" t="str">
        <x:v>Health Care</x:v>
      </x:c>
      <x:c r="F9991" s="13" t="str">
        <x:v>Defensives</x:v>
      </x:c>
      <x:c r="G9991" s="13" t="str">
        <x:v>Ibovespa_earnings_consolidated.xlsx</x:v>
      </x:c>
    </x:row>
    <x:row r="9992">
      <x:c r="A9992" s="15" t="n">
        <x:v>44805</x:v>
      </x:c>
      <x:c r="B9992" s="13" t="str">
        <x:v>SUL AMERICA SA - UNITS</x:v>
      </x:c>
      <x:c r="C9992" s="16" t="n">
        <x:v>880.633464811</x:v>
      </x:c>
      <x:c r="D9992" s="13" t="str">
        <x:v>Health Care</x:v>
      </x:c>
      <x:c r="E9992" s="13" t="str">
        <x:v>Health Care</x:v>
      </x:c>
      <x:c r="F9992" s="13" t="str">
        <x:v>Defensives</x:v>
      </x:c>
      <x:c r="G9992" s="13" t="str">
        <x:v>Ibovespa_earnings_consolidated.xlsx</x:v>
      </x:c>
    </x:row>
    <x:row r="9993">
      <x:c r="A9993" s="15" t="n">
        <x:v>44805</x:v>
      </x:c>
      <x:c r="B9993" s="13" t="str">
        <x:v>CYRELA BRAZIL REALTY SA EMP</x:v>
      </x:c>
      <x:c r="C9993" s="16" t="n">
        <x:v>885.8634313644</x:v>
      </x:c>
      <x:c r="D9993" s="13" t="str">
        <x:v>Homebuilders</x:v>
      </x:c>
      <x:c r="E9993" s="13" t="str">
        <x:v>Real Estate</x:v>
      </x:c>
      <x:c r="F9993" s="13" t="str">
        <x:v>Early Cyclicals</x:v>
      </x:c>
      <x:c r="G9993" s="13" t="str">
        <x:v>Ibovespa_earnings_consolidated.xlsx</x:v>
      </x:c>
    </x:row>
    <x:row r="9994">
      <x:c r="A9994" s="15" t="n">
        <x:v>44805</x:v>
      </x:c>
      <x:c r="B9994" s="13" t="str">
        <x:v>EZ TEC EMPREENDIMENTOS E PAR</x:v>
      </x:c>
      <x:c r="C9994" s="16" t="n">
        <x:v>436.3768438356</x:v>
      </x:c>
      <x:c r="D9994" s="13" t="str">
        <x:v>Homebuilders</x:v>
      </x:c>
      <x:c r="E9994" s="13" t="str">
        <x:v>Real Estate</x:v>
      </x:c>
      <x:c r="F9994" s="13" t="str">
        <x:v>Early Cyclicals</x:v>
      </x:c>
      <x:c r="G9994" s="13" t="str">
        <x:v>Ibovespa_earnings_consolidated.xlsx</x:v>
      </x:c>
    </x:row>
    <x:row r="9995">
      <x:c r="A9995" s="15" t="n">
        <x:v>44805</x:v>
      </x:c>
      <x:c r="B9995" s="13" t="str">
        <x:v>MRV ENGENHARIA</x:v>
      </x:c>
      <x:c r="C9995" s="16" t="n">
        <x:v>569.5309138411</x:v>
      </x:c>
      <x:c r="D9995" s="13" t="str">
        <x:v>Homebuilders</x:v>
      </x:c>
      <x:c r="E9995" s="13" t="str">
        <x:v>Real Estate</x:v>
      </x:c>
      <x:c r="F9995" s="13" t="str">
        <x:v>Early Cyclicals</x:v>
      </x:c>
      <x:c r="G9995" s="13" t="str">
        <x:v>Ibovespa_earnings_consolidated.xlsx</x:v>
      </x:c>
    </x:row>
    <x:row r="9996">
      <x:c r="A9996" s="15" t="n">
        <x:v>44805</x:v>
      </x:c>
      <x:c r="B9996" s="13" t="str">
        <x:v>BR MALLS PARTICIPACOES SA</x:v>
      </x:c>
      <x:c r="C9996" s="16" t="n">
        <x:v>600.2465713096</x:v>
      </x:c>
      <x:c r="D9996" s="13" t="str">
        <x:v>Income Properties</x:v>
      </x:c>
      <x:c r="E9996" s="13" t="str">
        <x:v>Real Estate</x:v>
      </x:c>
      <x:c r="F9996" s="13" t="str">
        <x:v>Early Cyclicals</x:v>
      </x:c>
      <x:c r="G9996" s="13" t="str">
        <x:v>Ibovespa_earnings_consolidated.xlsx</x:v>
      </x:c>
    </x:row>
    <x:row r="9997">
      <x:c r="A9997" s="15" t="n">
        <x:v>44805</x:v>
      </x:c>
      <x:c r="B9997" s="13" t="str">
        <x:v>IGUATEMI SA - UNITS</x:v>
      </x:c>
      <x:c r="C9997" s="16" t="n">
        <x:v>316.6490617863</x:v>
      </x:c>
      <x:c r="D9997" s="13" t="str">
        <x:v>Income Properties</x:v>
      </x:c>
      <x:c r="E9997" s="13" t="str">
        <x:v>Real Estate</x:v>
      </x:c>
      <x:c r="F9997" s="13" t="str">
        <x:v>Early Cyclicals</x:v>
      </x:c>
      <x:c r="G9997" s="13" t="str">
        <x:v>Ibovespa_earnings_consolidated.xlsx</x:v>
      </x:c>
    </x:row>
    <x:row r="9998">
      <x:c r="A9998" s="15" t="n">
        <x:v>44805</x:v>
      </x:c>
      <x:c r="B9998" s="13" t="str">
        <x:v>MULTIPLAN EMPREENDIMENTOS</x:v>
      </x:c>
      <x:c r="C9998" s="16" t="n">
        <x:v>786.7792917041</x:v>
      </x:c>
      <x:c r="D9998" s="13" t="str">
        <x:v>Income Properties</x:v>
      </x:c>
      <x:c r="E9998" s="13" t="str">
        <x:v>Real Estate</x:v>
      </x:c>
      <x:c r="F9998" s="13" t="str">
        <x:v>Early Cyclicals</x:v>
      </x:c>
      <x:c r="G9998" s="13" t="str">
        <x:v>Ibovespa_earnings_consolidated.xlsx</x:v>
      </x:c>
    </x:row>
    <x:row r="9999">
      <x:c r="A9999" s="15" t="n">
        <x:v>44805</x:v>
      </x:c>
      <x:c r="B9999" s="13" t="str">
        <x:v>BRADESPAR SA -PREF</x:v>
      </x:c>
      <x:c r="C9999" s="16" t="n">
        <x:v>2114.7205323397</x:v>
      </x:c>
      <x:c r="D9999" s="13" t="str">
        <x:v>Metals &amp; Mining</x:v>
      </x:c>
      <x:c r="E9999" s="13" t="str">
        <x:v>Metals &amp; Mining</x:v>
      </x:c>
      <x:c r="F9999" s="13" t="str">
        <x:v>Deep Cyclicals</x:v>
      </x:c>
      <x:c r="G9999" s="13" t="str">
        <x:v>Ibovespa_earnings_consolidated.xlsx</x:v>
      </x:c>
    </x:row>
    <x:row r="10000">
      <x:c r="A10000" s="15" t="n">
        <x:v>44805</x:v>
      </x:c>
      <x:c r="B10000" s="13" t="str">
        <x:v>CIA SIDERURGICA NACIONAL SA</x:v>
      </x:c>
      <x:c r="C10000" s="16" t="n">
        <x:v>3818.2080666301</x:v>
      </x:c>
      <x:c r="D10000" s="13" t="str">
        <x:v>Metals &amp; Mining</x:v>
      </x:c>
      <x:c r="E10000" s="13" t="str">
        <x:v>Metals &amp; Mining</x:v>
      </x:c>
      <x:c r="F10000" s="13" t="str">
        <x:v>Deep Cyclicals</x:v>
      </x:c>
      <x:c r="G10000" s="13" t="str">
        <x:v>Ibovespa_earnings_consolidated.xlsx</x:v>
      </x:c>
    </x:row>
    <x:row r="10001">
      <x:c r="A10001" s="15" t="n">
        <x:v>44805</x:v>
      </x:c>
      <x:c r="B10001" s="13" t="str">
        <x:v>CSN MINERACAO SA</x:v>
      </x:c>
      <x:c r="C10001" s="16" t="n">
        <x:v>3046.7460060931</x:v>
      </x:c>
      <x:c r="D10001" s="13" t="str">
        <x:v>Metals &amp; Mining</x:v>
      </x:c>
      <x:c r="E10001" s="13" t="str">
        <x:v>Metals &amp; Mining</x:v>
      </x:c>
      <x:c r="F10001" s="13" t="str">
        <x:v>Deep Cyclicals</x:v>
      </x:c>
      <x:c r="G10001" s="13" t="str">
        <x:v>Ibovespa_earnings_consolidated.xlsx</x:v>
      </x:c>
    </x:row>
    <x:row r="10002">
      <x:c r="A10002" s="15" t="n">
        <x:v>44805</x:v>
      </x:c>
      <x:c r="B10002" s="13" t="str">
        <x:v>GERDAU SA-PREF</x:v>
      </x:c>
      <x:c r="C10002" s="16" t="n">
        <x:v>8703.7745656986</x:v>
      </x:c>
      <x:c r="D10002" s="13" t="str">
        <x:v>Metals &amp; Mining</x:v>
      </x:c>
      <x:c r="E10002" s="13" t="str">
        <x:v>Metals &amp; Mining</x:v>
      </x:c>
      <x:c r="F10002" s="13" t="str">
        <x:v>Deep Cyclicals</x:v>
      </x:c>
      <x:c r="G10002" s="13" t="str">
        <x:v>Ibovespa_earnings_consolidated.xlsx</x:v>
      </x:c>
    </x:row>
    <x:row r="10003">
      <x:c r="A10003" s="15" t="n">
        <x:v>44805</x:v>
      </x:c>
      <x:c r="B10003" s="13" t="str">
        <x:v>USINAS SIDER MINAS GER-PF A</x:v>
      </x:c>
      <x:c r="C10003" s="16" t="n">
        <x:v>2575.8522627507</x:v>
      </x:c>
      <x:c r="D10003" s="13" t="str">
        <x:v>Metals &amp; Mining</x:v>
      </x:c>
      <x:c r="E10003" s="13" t="str">
        <x:v>Metals &amp; Mining</x:v>
      </x:c>
      <x:c r="F10003" s="13" t="str">
        <x:v>Deep Cyclicals</x:v>
      </x:c>
      <x:c r="G10003" s="13" t="str">
        <x:v>Ibovespa_earnings_consolidated.xlsx</x:v>
      </x:c>
    </x:row>
    <x:row r="10004">
      <x:c r="A10004" s="15" t="n">
        <x:v>44805</x:v>
      </x:c>
      <x:c r="B10004" s="13" t="str">
        <x:v>VALE SA</x:v>
      </x:c>
      <x:c r="C10004" s="16" t="n">
        <x:v>70044.1620311671</x:v>
      </x:c>
      <x:c r="D10004" s="13" t="str">
        <x:v>Metals &amp; Mining</x:v>
      </x:c>
      <x:c r="E10004" s="13" t="str">
        <x:v>Metals &amp; Mining</x:v>
      </x:c>
      <x:c r="F10004" s="13" t="str">
        <x:v>Deep Cyclicals</x:v>
      </x:c>
      <x:c r="G10004" s="13" t="str">
        <x:v>Ibovespa_earnings_consolidated.xlsx</x:v>
      </x:c>
    </x:row>
    <x:row r="10005">
      <x:c r="A10005" s="15" t="n">
        <x:v>44805</x:v>
      </x:c>
      <x:c r="B10005" s="13" t="str">
        <x:v>BRASKEM SA-PREF A</x:v>
      </x:c>
      <x:c r="C10005" s="16" t="n">
        <x:v>3983.7833103781</x:v>
      </x:c>
      <x:c r="D10005" s="13" t="str">
        <x:v>Oil, Gas &amp; Petrochemicals</x:v>
      </x:c>
      <x:c r="E10005" s="13" t="str">
        <x:v>Oil, Gas &amp; Petrochemicals</x:v>
      </x:c>
      <x:c r="F10005" s="13" t="str">
        <x:v>Deep Cyclicals</x:v>
      </x:c>
      <x:c r="G10005" s="13" t="str">
        <x:v>Ibovespa_earnings_consolidated.xlsx</x:v>
      </x:c>
    </x:row>
    <x:row r="10006">
      <x:c r="A10006" s="15" t="n">
        <x:v>44805</x:v>
      </x:c>
      <x:c r="B10006" s="13" t="str">
        <x:v>BRAVA ENERGIA</x:v>
      </x:c>
      <x:c r="C10006" s="16" t="n">
        <x:v>2291.6318132603</x:v>
      </x:c>
      <x:c r="D10006" s="13" t="str">
        <x:v>Oil, Gas &amp; Petrochemicals</x:v>
      </x:c>
      <x:c r="E10006" s="13" t="str">
        <x:v>Oil, Gas &amp; Petrochemicals</x:v>
      </x:c>
      <x:c r="F10006" s="13" t="str">
        <x:v>Deep Cyclicals</x:v>
      </x:c>
      <x:c r="G10006" s="13" t="str">
        <x:v>Ibovespa_earnings_consolidated.xlsx</x:v>
      </x:c>
    </x:row>
    <x:row r="10007">
      <x:c r="A10007" s="15" t="n">
        <x:v>44805</x:v>
      </x:c>
      <x:c r="B10007" s="13" t="str">
        <x:v>COSAN SA</x:v>
      </x:c>
      <x:c r="C10007" s="16" t="n">
        <x:v>3314.6068928877</x:v>
      </x:c>
      <x:c r="D10007" s="13" t="str">
        <x:v>Oil, Gas &amp; Petrochemicals</x:v>
      </x:c>
      <x:c r="E10007" s="13" t="str">
        <x:v>Oil, Gas &amp; Petrochemicals</x:v>
      </x:c>
      <x:c r="F10007" s="13" t="str">
        <x:v>Deep Cyclicals</x:v>
      </x:c>
      <x:c r="G10007" s="13" t="str">
        <x:v>Ibovespa_earnings_consolidated.xlsx</x:v>
      </x:c>
    </x:row>
    <x:row r="10008">
      <x:c r="A10008" s="15" t="n">
        <x:v>44805</x:v>
      </x:c>
      <x:c r="B10008" s="13" t="str">
        <x:v>PETROBRAS - PETROLEO BRAS</x:v>
      </x:c>
      <x:c r="C10008" s="16" t="n">
        <x:v>133333.465003836</x:v>
      </x:c>
      <x:c r="D10008" s="13" t="str">
        <x:v>Oil, Gas &amp; Petrochemicals</x:v>
      </x:c>
      <x:c r="E10008" s="13" t="str">
        <x:v>Oil, Gas &amp; Petrochemicals</x:v>
      </x:c>
      <x:c r="F10008" s="13" t="str">
        <x:v>Deep Cyclicals</x:v>
      </x:c>
      <x:c r="G10008" s="13" t="str">
        <x:v>Ibovespa_earnings_consolidated.xlsx</x:v>
      </x:c>
    </x:row>
    <x:row r="10009">
      <x:c r="A10009" s="15" t="n">
        <x:v>44805</x:v>
      </x:c>
      <x:c r="B10009" s="13" t="str">
        <x:v>PRIO SA</x:v>
      </x:c>
      <x:c r="C10009" s="16" t="n">
        <x:v>4103.861670926</x:v>
      </x:c>
      <x:c r="D10009" s="13" t="str">
        <x:v>Oil, Gas &amp; Petrochemicals</x:v>
      </x:c>
      <x:c r="E10009" s="13" t="str">
        <x:v>Oil, Gas &amp; Petrochemicals</x:v>
      </x:c>
      <x:c r="F10009" s="13" t="str">
        <x:v>Deep Cyclicals</x:v>
      </x:c>
      <x:c r="G10009" s="13" t="str">
        <x:v>Ibovespa_earnings_consolidated.xlsx</x:v>
      </x:c>
    </x:row>
    <x:row r="10010">
      <x:c r="A10010" s="15" t="n">
        <x:v>44805</x:v>
      </x:c>
      <x:c r="B10010" s="13" t="str">
        <x:v>ULTRAPAR PARTICIPACOES SA</x:v>
      </x:c>
      <x:c r="C10010" s="16" t="n">
        <x:v>1212.9874126904</x:v>
      </x:c>
      <x:c r="D10010" s="13" t="str">
        <x:v>Oil, Gas &amp; Petrochemicals</x:v>
      </x:c>
      <x:c r="E10010" s="13" t="str">
        <x:v>Oil, Gas &amp; Petrochemicals</x:v>
      </x:c>
      <x:c r="F10010" s="13" t="str">
        <x:v>Deep Cyclicals</x:v>
      </x:c>
      <x:c r="G10010" s="13" t="str">
        <x:v>Ibovespa_earnings_consolidated.xlsx</x:v>
      </x:c>
    </x:row>
    <x:row r="10011">
      <x:c r="A10011" s="15" t="n">
        <x:v>44805</x:v>
      </x:c>
      <x:c r="B10011" s="13" t="str">
        <x:v>VIBRA ENERGIA SA</x:v>
      </x:c>
      <x:c r="C10011" s="16" t="n">
        <x:v>2260.8157345315</x:v>
      </x:c>
      <x:c r="D10011" s="13" t="str">
        <x:v>Oil, Gas &amp; Petrochemicals</x:v>
      </x:c>
      <x:c r="E10011" s="13" t="str">
        <x:v>Oil, Gas &amp; Petrochemicals</x:v>
      </x:c>
      <x:c r="F10011" s="13" t="str">
        <x:v>Deep Cyclicals</x:v>
      </x:c>
      <x:c r="G10011" s="13" t="str">
        <x:v>Ibovespa_earnings_consolidated.xlsx</x:v>
      </x:c>
    </x:row>
    <x:row r="10012">
      <x:c r="A10012" s="15" t="n">
        <x:v>44805</x:v>
      </x:c>
      <x:c r="B10012" s="13" t="str">
        <x:v>DEXCO SA</x:v>
      </x:c>
      <x:c r="C10012" s="16" t="n">
        <x:v>741.5963356932</x:v>
      </x:c>
      <x:c r="D10012" s="13" t="str">
        <x:v>Pulp &amp; Paper</x:v>
      </x:c>
      <x:c r="E10012" s="13" t="str">
        <x:v>Pulp &amp; Paper</x:v>
      </x:c>
      <x:c r="F10012" s="13" t="str">
        <x:v>Deep Cyclicals</x:v>
      </x:c>
      <x:c r="G10012" s="13" t="str">
        <x:v>Ibovespa_earnings_consolidated.xlsx</x:v>
      </x:c>
    </x:row>
    <x:row r="10013">
      <x:c r="A10013" s="15" t="n">
        <x:v>44805</x:v>
      </x:c>
      <x:c r="B10013" s="13" t="str">
        <x:v>KLABIN SA - UNIT</x:v>
      </x:c>
      <x:c r="C10013" s="16" t="n">
        <x:v>2491.8025903342</x:v>
      </x:c>
      <x:c r="D10013" s="13" t="str">
        <x:v>Pulp &amp; Paper</x:v>
      </x:c>
      <x:c r="E10013" s="13" t="str">
        <x:v>Pulp &amp; Paper</x:v>
      </x:c>
      <x:c r="F10013" s="13" t="str">
        <x:v>Deep Cyclicals</x:v>
      </x:c>
      <x:c r="G10013" s="13" t="str">
        <x:v>Ibovespa_earnings_consolidated.xlsx</x:v>
      </x:c>
    </x:row>
    <x:row r="10014">
      <x:c r="A10014" s="15" t="n">
        <x:v>44805</x:v>
      </x:c>
      <x:c r="B10014" s="13" t="str">
        <x:v>SUZANO SA</x:v>
      </x:c>
      <x:c r="C10014" s="16" t="n">
        <x:v>9623.7430377205</x:v>
      </x:c>
      <x:c r="D10014" s="13" t="str">
        <x:v>Pulp &amp; Paper</x:v>
      </x:c>
      <x:c r="E10014" s="13" t="str">
        <x:v>Pulp &amp; Paper</x:v>
      </x:c>
      <x:c r="F10014" s="13" t="str">
        <x:v>Deep Cyclicals</x:v>
      </x:c>
      <x:c r="G10014" s="13" t="str">
        <x:v>Ibovespa_earnings_consolidated.xlsx</x:v>
      </x:c>
    </x:row>
    <x:row r="10015">
      <x:c r="A10015" s="15" t="n">
        <x:v>44805</x:v>
      </x:c>
      <x:c r="B10015" s="13" t="str">
        <x:v>ALPARGATAS SA - PREF</x:v>
      </x:c>
      <x:c r="C10015" s="16" t="n">
        <x:v>691.0019957479</x:v>
      </x:c>
      <x:c r="D10015" s="13" t="str">
        <x:v>Retail</x:v>
      </x:c>
      <x:c r="E10015" s="13" t="str">
        <x:v>Retail</x:v>
      </x:c>
      <x:c r="F10015" s="13" t="str">
        <x:v>Early Cyclicals</x:v>
      </x:c>
      <x:c r="G10015" s="13" t="str">
        <x:v>Ibovespa_earnings_consolidated.xlsx</x:v>
      </x:c>
    </x:row>
    <x:row r="10016">
      <x:c r="A10016" s="15" t="n">
        <x:v>44805</x:v>
      </x:c>
      <x:c r="B10016" s="13" t="str">
        <x:v>AMERICANAS SA</x:v>
      </x:c>
      <x:c r="C10016" s="16" t="n">
        <x:v>402.4433835616</x:v>
      </x:c>
      <x:c r="D10016" s="13" t="str">
        <x:v>Retail</x:v>
      </x:c>
      <x:c r="E10016" s="13" t="str">
        <x:v>Retail</x:v>
      </x:c>
      <x:c r="F10016" s="13" t="str">
        <x:v>Early Cyclicals</x:v>
      </x:c>
      <x:c r="G10016" s="13" t="str">
        <x:v>Ibovespa_earnings_consolidated.xlsx</x:v>
      </x:c>
    </x:row>
    <x:row r="10017">
      <x:c r="A10017" s="15" t="n">
        <x:v>44805</x:v>
      </x:c>
      <x:c r="B10017" s="13" t="str">
        <x:v>ATACADAO SA</x:v>
      </x:c>
      <x:c r="C10017" s="16" t="n">
        <x:v>2469.9485703014</x:v>
      </x:c>
      <x:c r="D10017" s="13" t="str">
        <x:v>Retail</x:v>
      </x:c>
      <x:c r="E10017" s="13" t="str">
        <x:v>Retail</x:v>
      </x:c>
      <x:c r="F10017" s="13" t="str">
        <x:v>Early Cyclicals</x:v>
      </x:c>
      <x:c r="G10017" s="13" t="str">
        <x:v>Ibovespa_earnings_consolidated.xlsx</x:v>
      </x:c>
    </x:row>
    <x:row r="10018">
      <x:c r="A10018" s="15" t="n">
        <x:v>44805</x:v>
      </x:c>
      <x:c r="B10018" s="13" t="str">
        <x:v>AZZAS 2154 SA</x:v>
      </x:c>
      <x:c r="C10018" s="16" t="n">
        <x:v>484.0041055562</x:v>
      </x:c>
      <x:c r="D10018" s="13" t="str">
        <x:v>Retail</x:v>
      </x:c>
      <x:c r="E10018" s="13" t="str">
        <x:v>Retail</x:v>
      </x:c>
      <x:c r="F10018" s="13" t="str">
        <x:v>Early Cyclicals</x:v>
      </x:c>
      <x:c r="G10018" s="13" t="str">
        <x:v>Ibovespa_earnings_consolidated.xlsx</x:v>
      </x:c>
    </x:row>
    <x:row r="10019">
      <x:c r="A10019" s="15" t="n">
        <x:v>44805</x:v>
      </x:c>
      <x:c r="B10019" s="13" t="str">
        <x:v>CIA BRASILEIRA DE DISTRIBUIC</x:v>
      </x:c>
      <x:c r="C10019" s="16" t="n">
        <x:v>401.9185412384</x:v>
      </x:c>
      <x:c r="D10019" s="13" t="str">
        <x:v>Retail</x:v>
      </x:c>
      <x:c r="E10019" s="13" t="str">
        <x:v>Retail</x:v>
      </x:c>
      <x:c r="F10019" s="13" t="str">
        <x:v>Early Cyclicals</x:v>
      </x:c>
      <x:c r="G10019" s="13" t="str">
        <x:v>Ibovespa_earnings_consolidated.xlsx</x:v>
      </x:c>
    </x:row>
    <x:row r="10020">
      <x:c r="A10020" s="15" t="n">
        <x:v>44805</x:v>
      </x:c>
      <x:c r="B10020" s="13" t="str">
        <x:v>CVC BRASIL OPERADORA E AGENC</x:v>
      </x:c>
      <x:c r="C10020" s="16" t="n">
        <x:v>-92.2699574904</x:v>
      </x:c>
      <x:c r="D10020" s="13" t="str">
        <x:v>Retail</x:v>
      </x:c>
      <x:c r="E10020" s="13" t="str">
        <x:v>Retail</x:v>
      </x:c>
      <x:c r="F10020" s="13" t="str">
        <x:v>Early Cyclicals</x:v>
      </x:c>
      <x:c r="G10020" s="13" t="str">
        <x:v>Ibovespa_earnings_consolidated.xlsx</x:v>
      </x:c>
    </x:row>
    <x:row r="10021">
      <x:c r="A10021" s="15" t="n">
        <x:v>44805</x:v>
      </x:c>
      <x:c r="B10021" s="13" t="str">
        <x:v>GRUPO CASAS BAHIA SA</x:v>
      </x:c>
      <x:c r="C10021" s="16" t="n">
        <x:v>-196.2645972603</x:v>
      </x:c>
      <x:c r="D10021" s="13" t="str">
        <x:v>Retail</x:v>
      </x:c>
      <x:c r="E10021" s="13" t="str">
        <x:v>Retail</x:v>
      </x:c>
      <x:c r="F10021" s="13" t="str">
        <x:v>Early Cyclicals</x:v>
      </x:c>
      <x:c r="G10021" s="13" t="str">
        <x:v>Ibovespa_earnings_consolidated.xlsx</x:v>
      </x:c>
    </x:row>
    <x:row r="10022">
      <x:c r="A10022" s="15" t="n">
        <x:v>44805</x:v>
      </x:c>
      <x:c r="B10022" s="13" t="str">
        <x:v>GRUPO DE MODA SOMA SA</x:v>
      </x:c>
      <x:c r="C10022" s="16" t="n">
        <x:v>555.4897339616</x:v>
      </x:c>
      <x:c r="D10022" s="13" t="str">
        <x:v>Retail</x:v>
      </x:c>
      <x:c r="E10022" s="13" t="str">
        <x:v>Retail</x:v>
      </x:c>
      <x:c r="F10022" s="13" t="str">
        <x:v>Early Cyclicals</x:v>
      </x:c>
      <x:c r="G10022" s="13" t="str">
        <x:v>Ibovespa_earnings_consolidated.xlsx</x:v>
      </x:c>
    </x:row>
    <x:row r="10023">
      <x:c r="A10023" s="15" t="n">
        <x:v>44805</x:v>
      </x:c>
      <x:c r="B10023" s="13" t="str">
        <x:v>LOJAS RENNER S.A.</x:v>
      </x:c>
      <x:c r="C10023" s="16" t="n">
        <x:v>1581.6407443288</x:v>
      </x:c>
      <x:c r="D10023" s="13" t="str">
        <x:v>Retail</x:v>
      </x:c>
      <x:c r="E10023" s="13" t="str">
        <x:v>Retail</x:v>
      </x:c>
      <x:c r="F10023" s="13" t="str">
        <x:v>Early Cyclicals</x:v>
      </x:c>
      <x:c r="G10023" s="13" t="str">
        <x:v>Ibovespa_earnings_consolidated.xlsx</x:v>
      </x:c>
    </x:row>
    <x:row r="10024">
      <x:c r="A10024" s="15" t="n">
        <x:v>44805</x:v>
      </x:c>
      <x:c r="B10024" s="13" t="str">
        <x:v>MAGAZINE LUIZA SA</x:v>
      </x:c>
      <x:c r="C10024" s="16" t="n">
        <x:v>187.6050204055</x:v>
      </x:c>
      <x:c r="D10024" s="13" t="str">
        <x:v>Retail</x:v>
      </x:c>
      <x:c r="E10024" s="13" t="str">
        <x:v>Retail</x:v>
      </x:c>
      <x:c r="F10024" s="13" t="str">
        <x:v>Early Cyclicals</x:v>
      </x:c>
      <x:c r="G10024" s="13" t="str">
        <x:v>Ibovespa_earnings_consolidated.xlsx</x:v>
      </x:c>
    </x:row>
    <x:row r="10025">
      <x:c r="A10025" s="15" t="n">
        <x:v>44805</x:v>
      </x:c>
      <x:c r="B10025" s="13" t="str">
        <x:v>NATURA &amp;CO HOLDING SA</x:v>
      </x:c>
      <x:c r="C10025" s="16" t="n">
        <x:v>640.4523912767</x:v>
      </x:c>
      <x:c r="D10025" s="13" t="str">
        <x:v>Retail</x:v>
      </x:c>
      <x:c r="E10025" s="13" t="str">
        <x:v>Retail</x:v>
      </x:c>
      <x:c r="F10025" s="13" t="str">
        <x:v>Early Cyclicals</x:v>
      </x:c>
      <x:c r="G10025" s="13" t="str">
        <x:v>Ibovespa_earnings_consolidated.xlsx</x:v>
      </x:c>
    </x:row>
    <x:row r="10026">
      <x:c r="A10026" s="15" t="n">
        <x:v>44805</x:v>
      </x:c>
      <x:c r="B10026" s="13" t="str">
        <x:v>PET CENTER COMERCIO E PARTIC</x:v>
      </x:c>
      <x:c r="C10026" s="16" t="n">
        <x:v>152.744</x:v>
      </x:c>
      <x:c r="D10026" s="13" t="str">
        <x:v>Retail</x:v>
      </x:c>
      <x:c r="E10026" s="13" t="str">
        <x:v>Retail</x:v>
      </x:c>
      <x:c r="F10026" s="13" t="str">
        <x:v>Early Cyclicals</x:v>
      </x:c>
      <x:c r="G10026" s="13" t="str">
        <x:v>Ibovespa_earnings_consolidated.xlsx</x:v>
      </x:c>
    </x:row>
    <x:row r="10027">
      <x:c r="A10027" s="15" t="n">
        <x:v>44805</x:v>
      </x:c>
      <x:c r="B10027" s="13" t="str">
        <x:v>RAIA DROGASIL SA</x:v>
      </x:c>
      <x:c r="C10027" s="16" t="n">
        <x:v>1151.6220752658</x:v>
      </x:c>
      <x:c r="D10027" s="13" t="str">
        <x:v>Retail</x:v>
      </x:c>
      <x:c r="E10027" s="13" t="str">
        <x:v>Retail</x:v>
      </x:c>
      <x:c r="F10027" s="13" t="str">
        <x:v>Early Cyclicals</x:v>
      </x:c>
      <x:c r="G10027" s="13" t="str">
        <x:v>Ibovespa_earnings_consolidated.xlsx</x:v>
      </x:c>
    </x:row>
    <x:row r="10028">
      <x:c r="A10028" s="15" t="n">
        <x:v>44805</x:v>
      </x:c>
      <x:c r="B10028" s="13" t="str">
        <x:v>SENDAS DISTRIBUIDORA SA</x:v>
      </x:c>
      <x:c r="C10028" s="16" t="n">
        <x:v>1566.8404115288</x:v>
      </x:c>
      <x:c r="D10028" s="13" t="str">
        <x:v>Retail</x:v>
      </x:c>
      <x:c r="E10028" s="13" t="str">
        <x:v>Retail</x:v>
      </x:c>
      <x:c r="F10028" s="13" t="str">
        <x:v>Early Cyclicals</x:v>
      </x:c>
      <x:c r="G10028" s="13" t="str">
        <x:v>Ibovespa_earnings_consolidated.xlsx</x:v>
      </x:c>
    </x:row>
    <x:row r="10029">
      <x:c r="A10029" s="15" t="n">
        <x:v>44805</x:v>
      </x:c>
      <x:c r="B10029" s="13" t="str">
        <x:v>CIA SANEAMENTO BASICO DE SP</x:v>
      </x:c>
      <x:c r="C10029" s="16" t="n">
        <x:v>3023.4198591123</x:v>
      </x:c>
      <x:c r="D10029" s="13" t="str">
        <x:v>Sanitation</x:v>
      </x:c>
      <x:c r="E10029" s="13" t="str">
        <x:v>Utilities</x:v>
      </x:c>
      <x:c r="F10029" s="13" t="str">
        <x:v>Defensives</x:v>
      </x:c>
      <x:c r="G10029" s="13" t="str">
        <x:v>Ibovespa_earnings_consolidated.xlsx</x:v>
      </x:c>
    </x:row>
    <x:row r="10030">
      <x:c r="A10030" s="15" t="n">
        <x:v>44805</x:v>
      </x:c>
      <x:c r="B10030" s="13" t="str">
        <x:v>LWSA SA</x:v>
      </x:c>
      <x:c r="C10030" s="16" t="n">
        <x:v>126.5960756164</x:v>
      </x:c>
      <x:c r="D10030" s="13" t="str">
        <x:v>TMT</x:v>
      </x:c>
      <x:c r="E10030" s="13" t="str">
        <x:v>TMT</x:v>
      </x:c>
      <x:c r="F10030" s="13" t="str">
        <x:v>Early Cyclicals</x:v>
      </x:c>
      <x:c r="G10030" s="13" t="str">
        <x:v>Ibovespa_earnings_consolidated.xlsx</x:v>
      </x:c>
    </x:row>
    <x:row r="10031">
      <x:c r="A10031" s="15" t="n">
        <x:v>44805</x:v>
      </x:c>
      <x:c r="B10031" s="13" t="str">
        <x:v>POSITIVO TECNOLOGIA SA</x:v>
      </x:c>
      <x:c r="C10031" s="16" t="n">
        <x:v>287.4667527014</x:v>
      </x:c>
      <x:c r="D10031" s="13" t="str">
        <x:v>TMT</x:v>
      </x:c>
      <x:c r="E10031" s="13" t="str">
        <x:v>TMT</x:v>
      </x:c>
      <x:c r="F10031" s="13" t="str">
        <x:v>Early Cyclicals</x:v>
      </x:c>
      <x:c r="G10031" s="13" t="str">
        <x:v>Ibovespa_earnings_consolidated.xlsx</x:v>
      </x:c>
    </x:row>
    <x:row r="10032">
      <x:c r="A10032" s="15" t="n">
        <x:v>44805</x:v>
      </x:c>
      <x:c r="B10032" s="13" t="str">
        <x:v>TIM SA</x:v>
      </x:c>
      <x:c r="C10032" s="16" t="n">
        <x:v>2227.3281283507</x:v>
      </x:c>
      <x:c r="D10032" s="13" t="str">
        <x:v>TMT</x:v>
      </x:c>
      <x:c r="E10032" s="13" t="str">
        <x:v>TMT</x:v>
      </x:c>
      <x:c r="F10032" s="13" t="str">
        <x:v>Early Cyclicals</x:v>
      </x:c>
      <x:c r="G10032" s="13" t="str">
        <x:v>Ibovespa_earnings_consolidated.xlsx</x:v>
      </x:c>
    </x:row>
    <x:row r="10033">
      <x:c r="A10033" s="15" t="n">
        <x:v>44805</x:v>
      </x:c>
      <x:c r="B10033" s="13" t="str">
        <x:v>TOTVS SA</x:v>
      </x:c>
      <x:c r="C10033" s="16" t="n">
        <x:v>664.9726067726</x:v>
      </x:c>
      <x:c r="D10033" s="13" t="str">
        <x:v>TMT</x:v>
      </x:c>
      <x:c r="E10033" s="13" t="str">
        <x:v>TMT</x:v>
      </x:c>
      <x:c r="F10033" s="13" t="str">
        <x:v>Early Cyclicals</x:v>
      </x:c>
      <x:c r="G10033" s="13" t="str">
        <x:v>Ibovespa_earnings_consolidated.xlsx</x:v>
      </x:c>
    </x:row>
    <x:row r="10034">
      <x:c r="A10034" s="15" t="n">
        <x:v>44805</x:v>
      </x:c>
      <x:c r="B10034" s="13" t="str">
        <x:v>AZUL SA</x:v>
      </x:c>
      <x:c r="C10034" s="16" t="n">
        <x:v>-513.319005326</x:v>
      </x:c>
      <x:c r="D10034" s="13" t="str">
        <x:v>Transportation</x:v>
      </x:c>
      <x:c r="E10034" s="13" t="str">
        <x:v>Transportation</x:v>
      </x:c>
      <x:c r="F10034" s="13" t="str">
        <x:v>Deep Cyclicals</x:v>
      </x:c>
      <x:c r="G10034" s="13" t="str">
        <x:v>Ibovespa_earnings_consolidated.xlsx</x:v>
      </x:c>
    </x:row>
    <x:row r="10035">
      <x:c r="A10035" s="15" t="n">
        <x:v>44805</x:v>
      </x:c>
      <x:c r="B10035" s="13" t="str">
        <x:v>ECORODOVIAS INFRA E LOG SA</x:v>
      </x:c>
      <x:c r="C10035" s="16" t="n">
        <x:v>292.3584263014</x:v>
      </x:c>
      <x:c r="D10035" s="13" t="str">
        <x:v>Transportation</x:v>
      </x:c>
      <x:c r="E10035" s="13" t="str">
        <x:v>Transportation</x:v>
      </x:c>
      <x:c r="F10035" s="13" t="str">
        <x:v>Deep Cyclicals</x:v>
      </x:c>
      <x:c r="G10035" s="13" t="str">
        <x:v>Ibovespa_earnings_consolidated.xlsx</x:v>
      </x:c>
    </x:row>
    <x:row r="10036">
      <x:c r="A10036" s="15" t="n">
        <x:v>44805</x:v>
      </x:c>
      <x:c r="B10036" s="13" t="str">
        <x:v>GOL LINHAS AEREAS INT SA-PRE</x:v>
      </x:c>
      <x:c r="C10036" s="16" t="n">
        <x:v>-81.208240526</x:v>
      </x:c>
      <x:c r="D10036" s="13" t="str">
        <x:v>Transportation</x:v>
      </x:c>
      <x:c r="E10036" s="13" t="str">
        <x:v>Transportation</x:v>
      </x:c>
      <x:c r="F10036" s="13" t="str">
        <x:v>Deep Cyclicals</x:v>
      </x:c>
      <x:c r="G10036" s="13" t="str">
        <x:v>Ibovespa_earnings_consolidated.xlsx</x:v>
      </x:c>
    </x:row>
    <x:row r="10037">
      <x:c r="A10037" s="15" t="n">
        <x:v>44805</x:v>
      </x:c>
      <x:c r="B10037" s="13" t="str">
        <x:v>LOCALIZA RENT A CAR</x:v>
      </x:c>
      <x:c r="C10037" s="16" t="n">
        <x:v>2887.3917432986</x:v>
      </x:c>
      <x:c r="D10037" s="13" t="str">
        <x:v>Transportation</x:v>
      </x:c>
      <x:c r="E10037" s="13" t="str">
        <x:v>Transportation</x:v>
      </x:c>
      <x:c r="F10037" s="13" t="str">
        <x:v>Deep Cyclicals</x:v>
      </x:c>
      <x:c r="G10037" s="13" t="str">
        <x:v>Ibovespa_earnings_consolidated.xlsx</x:v>
      </x:c>
    </x:row>
    <x:row r="10038">
      <x:c r="A10038" s="15" t="n">
        <x:v>44805</x:v>
      </x:c>
      <x:c r="B10038" s="13" t="str">
        <x:v>MOTIVA INFRAESTRUTURA DE MOB</x:v>
      </x:c>
      <x:c r="C10038" s="16" t="n">
        <x:v>2237.9461393534</x:v>
      </x:c>
      <x:c r="D10038" s="13" t="str">
        <x:v>Transportation</x:v>
      </x:c>
      <x:c r="E10038" s="13" t="str">
        <x:v>Transportation</x:v>
      </x:c>
      <x:c r="F10038" s="13" t="str">
        <x:v>Deep Cyclicals</x:v>
      </x:c>
      <x:c r="G10038" s="13" t="str">
        <x:v>Ibovespa_earnings_consolidated.xlsx</x:v>
      </x:c>
    </x:row>
    <x:row r="10039">
      <x:c r="A10039" s="15" t="n">
        <x:v>44805</x:v>
      </x:c>
      <x:c r="B10039" s="13" t="str">
        <x:v>RUMO SA</x:v>
      </x:c>
      <x:c r="C10039" s="16" t="n">
        <x:v>922.7983107507</x:v>
      </x:c>
      <x:c r="D10039" s="13" t="str">
        <x:v>Transportation</x:v>
      </x:c>
      <x:c r="E10039" s="13" t="str">
        <x:v>Transportation</x:v>
      </x:c>
      <x:c r="F10039" s="13" t="str">
        <x:v>Deep Cyclicals</x:v>
      </x:c>
      <x:c r="G10039" s="13" t="str">
        <x:v>Ibovespa_earnings_consolidated.xlsx</x:v>
      </x:c>
    </x:row>
    <x:row r="10040">
      <x:c r="A10040" s="15" t="n">
        <x:v>44805</x:v>
      </x:c>
      <x:c r="B10040" s="13" t="str">
        <x:v>AXIA ENERGIA SA</x:v>
      </x:c>
      <x:c r="C10040" s="16" t="n">
        <x:v>7250.7306587178</x:v>
      </x:c>
      <x:c r="D10040" s="13" t="str">
        <x:v>Utilities &amp; Energy</x:v>
      </x:c>
      <x:c r="E10040" s="13" t="str">
        <x:v>Utilities</x:v>
      </x:c>
      <x:c r="F10040" s="13" t="str">
        <x:v>Defensives</x:v>
      </x:c>
      <x:c r="G10040" s="13" t="str">
        <x:v>Ibovespa_earnings_consolidated.xlsx</x:v>
      </x:c>
    </x:row>
    <x:row r="10041">
      <x:c r="A10041" s="15" t="n">
        <x:v>44805</x:v>
      </x:c>
      <x:c r="B10041" s="13" t="str">
        <x:v>AXIA ENERGIA-PR B</x:v>
      </x:c>
      <x:c r="C10041" s="16" t="n">
        <x:v>7250.7306587178</x:v>
      </x:c>
      <x:c r="D10041" s="13" t="str">
        <x:v>Utilities &amp; Energy</x:v>
      </x:c>
      <x:c r="E10041" s="13" t="str">
        <x:v>Utilities</x:v>
      </x:c>
      <x:c r="F10041" s="13" t="str">
        <x:v>Defensives</x:v>
      </x:c>
      <x:c r="G10041" s="13" t="str">
        <x:v>Ibovespa_earnings_consolidated.xlsx</x:v>
      </x:c>
    </x:row>
    <x:row r="10042">
      <x:c r="A10042" s="15" t="n">
        <x:v>44805</x:v>
      </x:c>
      <x:c r="B10042" s="13" t="str">
        <x:v>CIA ENERGETICA MINAS GER-PRF</x:v>
      </x:c>
      <x:c r="C10042" s="16" t="n">
        <x:v>3574.8673381699</x:v>
      </x:c>
      <x:c r="D10042" s="13" t="str">
        <x:v>Utilities &amp; Energy</x:v>
      </x:c>
      <x:c r="E10042" s="13" t="str">
        <x:v>Utilities</x:v>
      </x:c>
      <x:c r="F10042" s="13" t="str">
        <x:v>Defensives</x:v>
      </x:c>
      <x:c r="G10042" s="13" t="str">
        <x:v>Ibovespa_earnings_consolidated.xlsx</x:v>
      </x:c>
    </x:row>
    <x:row r="10043">
      <x:c r="A10043" s="15" t="n">
        <x:v>44805</x:v>
      </x:c>
      <x:c r="B10043" s="13" t="str">
        <x:v>COMPANHIA PARANAENSE -PREF B</x:v>
      </x:c>
      <x:c r="C10043" s="16" t="n">
        <x:v>2375.9281614904</x:v>
      </x:c>
      <x:c r="D10043" s="13" t="str">
        <x:v>Utilities &amp; Energy</x:v>
      </x:c>
      <x:c r="E10043" s="13" t="str">
        <x:v>Utilities</x:v>
      </x:c>
      <x:c r="F10043" s="13" t="str">
        <x:v>Defensives</x:v>
      </x:c>
      <x:c r="G10043" s="13" t="str">
        <x:v>Ibovespa_earnings_consolidated.xlsx</x:v>
      </x:c>
    </x:row>
    <x:row r="10044">
      <x:c r="A10044" s="15" t="n">
        <x:v>44805</x:v>
      </x:c>
      <x:c r="B10044" s="13" t="str">
        <x:v>CPFL ENERGIA SA</x:v>
      </x:c>
      <x:c r="C10044" s="16" t="n">
        <x:v>4551.6780712329</x:v>
      </x:c>
      <x:c r="D10044" s="13" t="str">
        <x:v>Utilities &amp; Energy</x:v>
      </x:c>
      <x:c r="E10044" s="13" t="str">
        <x:v>Utilities</x:v>
      </x:c>
      <x:c r="F10044" s="13" t="str">
        <x:v>Defensives</x:v>
      </x:c>
      <x:c r="G10044" s="13" t="str">
        <x:v>Ibovespa_earnings_consolidated.xlsx</x:v>
      </x:c>
    </x:row>
    <x:row r="10045">
      <x:c r="A10045" s="15" t="n">
        <x:v>44805</x:v>
      </x:c>
      <x:c r="B10045" s="13" t="str">
        <x:v>EDP - ENERGIAS DO BRASIL SA</x:v>
      </x:c>
      <x:c r="C10045" s="16" t="n">
        <x:v>1539.776384</x:v>
      </x:c>
      <x:c r="D10045" s="13" t="str">
        <x:v>Utilities &amp; Energy</x:v>
      </x:c>
      <x:c r="E10045" s="13" t="str">
        <x:v>Utilities</x:v>
      </x:c>
      <x:c r="F10045" s="13" t="str">
        <x:v>Defensives</x:v>
      </x:c>
      <x:c r="G10045" s="13" t="str">
        <x:v>Ibovespa_earnings_consolidated.xlsx</x:v>
      </x:c>
    </x:row>
    <x:row r="10046">
      <x:c r="A10046" s="15" t="n">
        <x:v>44805</x:v>
      </x:c>
      <x:c r="B10046" s="13" t="str">
        <x:v>ENERGISA SA-UNITS</x:v>
      </x:c>
      <x:c r="C10046" s="16" t="n">
        <x:v>1828.489024526</x:v>
      </x:c>
      <x:c r="D10046" s="13" t="str">
        <x:v>Utilities &amp; Energy</x:v>
      </x:c>
      <x:c r="E10046" s="13" t="str">
        <x:v>Utilities</x:v>
      </x:c>
      <x:c r="F10046" s="13" t="str">
        <x:v>Defensives</x:v>
      </x:c>
      <x:c r="G10046" s="13" t="str">
        <x:v>Ibovespa_earnings_consolidated.xlsx</x:v>
      </x:c>
    </x:row>
    <x:row r="10047">
      <x:c r="A10047" s="15" t="n">
        <x:v>44805</x:v>
      </x:c>
      <x:c r="B10047" s="13" t="str">
        <x:v>ENEVA SA</x:v>
      </x:c>
      <x:c r="C10047" s="16" t="n">
        <x:v>977.0099880329</x:v>
      </x:c>
      <x:c r="D10047" s="13" t="str">
        <x:v>Utilities &amp; Energy</x:v>
      </x:c>
      <x:c r="E10047" s="13" t="str">
        <x:v>Utilities</x:v>
      </x:c>
      <x:c r="F10047" s="13" t="str">
        <x:v>Defensives</x:v>
      </x:c>
      <x:c r="G10047" s="13" t="str">
        <x:v>Ibovespa_earnings_consolidated.xlsx</x:v>
      </x:c>
    </x:row>
    <x:row r="10048">
      <x:c r="A10048" s="15" t="n">
        <x:v>44805</x:v>
      </x:c>
      <x:c r="B10048" s="13" t="str">
        <x:v>ENGIE BRASIL ENERGIA SA</x:v>
      </x:c>
      <x:c r="C10048" s="16" t="n">
        <x:v>3326.7793688548</x:v>
      </x:c>
      <x:c r="D10048" s="13" t="str">
        <x:v>Utilities &amp; Energy</x:v>
      </x:c>
      <x:c r="E10048" s="13" t="str">
        <x:v>Utilities</x:v>
      </x:c>
      <x:c r="F10048" s="13" t="str">
        <x:v>Defensives</x:v>
      </x:c>
      <x:c r="G10048" s="13" t="str">
        <x:v>Ibovespa_earnings_consolidated.xlsx</x:v>
      </x:c>
    </x:row>
    <x:row r="10049">
      <x:c r="A10049" s="15" t="n">
        <x:v>44805</x:v>
      </x:c>
      <x:c r="B10049" s="13" t="str">
        <x:v>EQUATORIAL SA - ORD</x:v>
      </x:c>
      <x:c r="C10049" s="16" t="n">
        <x:v>2636.360812011</x:v>
      </x:c>
      <x:c r="D10049" s="13" t="str">
        <x:v>Utilities &amp; Energy</x:v>
      </x:c>
      <x:c r="E10049" s="13" t="str">
        <x:v>Utilities</x:v>
      </x:c>
      <x:c r="F10049" s="13" t="str">
        <x:v>Defensives</x:v>
      </x:c>
      <x:c r="G10049" s="13" t="str">
        <x:v>Ibovespa_earnings_consolidated.xlsx</x:v>
      </x:c>
    </x:row>
    <x:row r="10050">
      <x:c r="A10050" s="15" t="n">
        <x:v>44805</x:v>
      </x:c>
      <x:c r="B10050" s="13" t="str">
        <x:v>TRANSMISSORA ALIANCA DE-UNIT</x:v>
      </x:c>
      <x:c r="C10050" s="16" t="n">
        <x:v>1172.6300826301</x:v>
      </x:c>
      <x:c r="D10050" s="13" t="str">
        <x:v>Utilities &amp; Energy</x:v>
      </x:c>
      <x:c r="E10050" s="13" t="str">
        <x:v>Utilities</x:v>
      </x:c>
      <x:c r="F10050" s="13" t="str">
        <x:v>Defensives</x:v>
      </x:c>
      <x:c r="G10050" s="13" t="str">
        <x:v>Ibovespa_earnings_consolidated.xlsx</x:v>
      </x:c>
    </x:row>
    <x:row r="10051">
      <x:c r="A10051" s="15" t="n">
        <x:v>44835</x:v>
      </x:c>
      <x:c r="B10051" s="13" t="str">
        <x:v>RAIZEN SA - PREFERENCE</x:v>
      </x:c>
      <x:c r="C10051" s="16" t="n">
        <x:v>4742.0749352568</x:v>
      </x:c>
      <x:c r="D10051" s="13" t="str">
        <x:v>Agribusiness</x:v>
      </x:c>
      <x:c r="E10051" s="13" t="str">
        <x:v>Agri, Food &amp; Beverages</x:v>
      </x:c>
      <x:c r="F10051" s="13" t="str">
        <x:v>Defensives</x:v>
      </x:c>
      <x:c r="G10051" s="13" t="str">
        <x:v>Ibovespa_earnings_consolidated.xlsx</x:v>
      </x:c>
    </x:row>
    <x:row r="10052">
      <x:c r="A10052" s="15" t="n">
        <x:v>44835</x:v>
      </x:c>
      <x:c r="B10052" s="13" t="str">
        <x:v>SAO MARTINHO SA</x:v>
      </x:c>
      <x:c r="C10052" s="16" t="n">
        <x:v>1310.9107735082</x:v>
      </x:c>
      <x:c r="D10052" s="13" t="str">
        <x:v>Agribusiness</x:v>
      </x:c>
      <x:c r="E10052" s="13" t="str">
        <x:v>Agri, Food &amp; Beverages</x:v>
      </x:c>
      <x:c r="F10052" s="13" t="str">
        <x:v>Defensives</x:v>
      </x:c>
      <x:c r="G10052" s="13" t="str">
        <x:v>Ibovespa_earnings_consolidated.xlsx</x:v>
      </x:c>
    </x:row>
    <x:row r="10053">
      <x:c r="A10053" s="15" t="n">
        <x:v>44835</x:v>
      </x:c>
      <x:c r="B10053" s="13" t="str">
        <x:v>SLC AGRICOLA SA</x:v>
      </x:c>
      <x:c r="C10053" s="16" t="n">
        <x:v>1311.5657054685</x:v>
      </x:c>
      <x:c r="D10053" s="13" t="str">
        <x:v>Agribusiness</x:v>
      </x:c>
      <x:c r="E10053" s="13" t="str">
        <x:v>Agri, Food &amp; Beverages</x:v>
      </x:c>
      <x:c r="F10053" s="13" t="str">
        <x:v>Defensives</x:v>
      </x:c>
      <x:c r="G10053" s="13" t="str">
        <x:v>Ibovespa_earnings_consolidated.xlsx</x:v>
      </x:c>
    </x:row>
    <x:row r="10054">
      <x:c r="A10054" s="15" t="n">
        <x:v>44835</x:v>
      </x:c>
      <x:c r="B10054" s="13" t="str">
        <x:v>BANCO BRADESCO S.A.</x:v>
      </x:c>
      <x:c r="C10054" s="16" t="n">
        <x:v>30264.7422078247</x:v>
      </x:c>
      <x:c r="D10054" s="13" t="str">
        <x:v>Banks</x:v>
      </x:c>
      <x:c r="E10054" s="13" t="str">
        <x:v>Banks</x:v>
      </x:c>
      <x:c r="F10054" s="13" t="str">
        <x:v>Financials</x:v>
      </x:c>
      <x:c r="G10054" s="13" t="str">
        <x:v>Ibovespa_earnings_consolidated.xlsx</x:v>
      </x:c>
    </x:row>
    <x:row r="10055">
      <x:c r="A10055" s="15" t="n">
        <x:v>44835</x:v>
      </x:c>
      <x:c r="B10055" s="13" t="str">
        <x:v>BANCO BRADESCO SA-PREF</x:v>
      </x:c>
      <x:c r="C10055" s="16" t="n">
        <x:v>30264.7422078247</x:v>
      </x:c>
      <x:c r="D10055" s="13" t="str">
        <x:v>Banks</x:v>
      </x:c>
      <x:c r="E10055" s="13" t="str">
        <x:v>Banks</x:v>
      </x:c>
      <x:c r="F10055" s="13" t="str">
        <x:v>Financials</x:v>
      </x:c>
      <x:c r="G10055" s="13" t="str">
        <x:v>Ibovespa_earnings_consolidated.xlsx</x:v>
      </x:c>
    </x:row>
    <x:row r="10056">
      <x:c r="A10056" s="15" t="n">
        <x:v>44835</x:v>
      </x:c>
      <x:c r="B10056" s="13" t="str">
        <x:v>BANCO BTG PACTUAL SA-UNIT</x:v>
      </x:c>
      <x:c r="C10056" s="16" t="n">
        <x:v>9171.0417204603</x:v>
      </x:c>
      <x:c r="D10056" s="13" t="str">
        <x:v>Banks</x:v>
      </x:c>
      <x:c r="E10056" s="13" t="str">
        <x:v>Banks</x:v>
      </x:c>
      <x:c r="F10056" s="13" t="str">
        <x:v>Financials</x:v>
      </x:c>
      <x:c r="G10056" s="13" t="str">
        <x:v>Ibovespa_earnings_consolidated.xlsx</x:v>
      </x:c>
    </x:row>
    <x:row r="10057">
      <x:c r="A10057" s="15" t="n">
        <x:v>44835</x:v>
      </x:c>
      <x:c r="B10057" s="13" t="str">
        <x:v>BANCO DO BRASIL S.A.</x:v>
      </x:c>
      <x:c r="C10057" s="16" t="n">
        <x:v>29571.7784758356</x:v>
      </x:c>
      <x:c r="D10057" s="13" t="str">
        <x:v>Banks</x:v>
      </x:c>
      <x:c r="E10057" s="13" t="str">
        <x:v>Banks</x:v>
      </x:c>
      <x:c r="F10057" s="13" t="str">
        <x:v>Financials</x:v>
      </x:c>
      <x:c r="G10057" s="13" t="str">
        <x:v>Ibovespa_earnings_consolidated.xlsx</x:v>
      </x:c>
    </x:row>
    <x:row r="10058">
      <x:c r="A10058" s="15" t="n">
        <x:v>44835</x:v>
      </x:c>
      <x:c r="B10058" s="13" t="str">
        <x:v>BANCO PAN SA</x:v>
      </x:c>
      <x:c r="C10058" s="16" t="n">
        <x:v>1042.2177869151</x:v>
      </x:c>
      <x:c r="D10058" s="13" t="str">
        <x:v>Banks</x:v>
      </x:c>
      <x:c r="E10058" s="13" t="str">
        <x:v>Banks</x:v>
      </x:c>
      <x:c r="F10058" s="13" t="str">
        <x:v>Financials</x:v>
      </x:c>
      <x:c r="G10058" s="13" t="str">
        <x:v>Ibovespa_earnings_consolidated.xlsx</x:v>
      </x:c>
    </x:row>
    <x:row r="10059">
      <x:c r="A10059" s="15" t="n">
        <x:v>44835</x:v>
      </x:c>
      <x:c r="B10059" s="13" t="str">
        <x:v>BANCO SANTANDER  BRASIL-UNIT</x:v>
      </x:c>
      <x:c r="C10059" s="16" t="n">
        <x:v>16305.734047211</x:v>
      </x:c>
      <x:c r="D10059" s="13" t="str">
        <x:v>Banks</x:v>
      </x:c>
      <x:c r="E10059" s="13" t="str">
        <x:v>Banks</x:v>
      </x:c>
      <x:c r="F10059" s="13" t="str">
        <x:v>Financials</x:v>
      </x:c>
      <x:c r="G10059" s="13" t="str">
        <x:v>Ibovespa_earnings_consolidated.xlsx</x:v>
      </x:c>
    </x:row>
    <x:row r="10060">
      <x:c r="A10060" s="15" t="n">
        <x:v>44835</x:v>
      </x:c>
      <x:c r="B10060" s="13" t="str">
        <x:v>ITAU UNIBANCO HOLDING S-PREF</x:v>
      </x:c>
      <x:c r="C10060" s="16" t="n">
        <x:v>34397.6029310247</x:v>
      </x:c>
      <x:c r="D10060" s="13" t="str">
        <x:v>Banks</x:v>
      </x:c>
      <x:c r="E10060" s="13" t="str">
        <x:v>Banks</x:v>
      </x:c>
      <x:c r="F10060" s="13" t="str">
        <x:v>Financials</x:v>
      </x:c>
      <x:c r="G10060" s="13" t="str">
        <x:v>Ibovespa_earnings_consolidated.xlsx</x:v>
      </x:c>
    </x:row>
    <x:row r="10061">
      <x:c r="A10061" s="15" t="n">
        <x:v>44835</x:v>
      </x:c>
      <x:c r="B10061" s="13" t="str">
        <x:v>EMBRAER SA</x:v>
      </x:c>
      <x:c r="C10061" s="16" t="n">
        <x:v>685.2240557589</x:v>
      </x:c>
      <x:c r="D10061" s="13" t="str">
        <x:v>Capital Goods</x:v>
      </x:c>
      <x:c r="E10061" s="13" t="str">
        <x:v>Capital Goods</x:v>
      </x:c>
      <x:c r="F10061" s="13" t="str">
        <x:v>Deep Cyclicals</x:v>
      </x:c>
      <x:c r="G10061" s="13" t="str">
        <x:v>Ibovespa_earnings_consolidated.xlsx</x:v>
      </x:c>
    </x:row>
    <x:row r="10062">
      <x:c r="A10062" s="15" t="n">
        <x:v>44835</x:v>
      </x:c>
      <x:c r="B10062" s="13" t="str">
        <x:v>WEG SA</x:v>
      </x:c>
      <x:c r="C10062" s="16" t="n">
        <x:v>4604.3983065425</x:v>
      </x:c>
      <x:c r="D10062" s="13" t="str">
        <x:v>Capital Goods</x:v>
      </x:c>
      <x:c r="E10062" s="13" t="str">
        <x:v>Capital Goods</x:v>
      </x:c>
      <x:c r="F10062" s="13" t="str">
        <x:v>Deep Cyclicals</x:v>
      </x:c>
      <x:c r="G10062" s="13" t="str">
        <x:v>Ibovespa_earnings_consolidated.xlsx</x:v>
      </x:c>
    </x:row>
    <x:row r="10063">
      <x:c r="A10063" s="15" t="n">
        <x:v>44835</x:v>
      </x:c>
      <x:c r="B10063" s="13" t="str">
        <x:v>COGNA EDUCACAO</x:v>
      </x:c>
      <x:c r="C10063" s="16" t="n">
        <x:v>-122.7072876712</x:v>
      </x:c>
      <x:c r="D10063" s="13" t="str">
        <x:v>Education</x:v>
      </x:c>
      <x:c r="E10063" s="13" t="str">
        <x:v>Education</x:v>
      </x:c>
      <x:c r="F10063" s="13" t="str">
        <x:v>Early Cyclicals</x:v>
      </x:c>
      <x:c r="G10063" s="13" t="str">
        <x:v>Ibovespa_earnings_consolidated.xlsx</x:v>
      </x:c>
    </x:row>
    <x:row r="10064">
      <x:c r="A10064" s="15" t="n">
        <x:v>44835</x:v>
      </x:c>
      <x:c r="B10064" s="13" t="str">
        <x:v>YDUQS PARTICIPACOES SA</x:v>
      </x:c>
      <x:c r="C10064" s="16" t="n">
        <x:v>268.2097260274</x:v>
      </x:c>
      <x:c r="D10064" s="13" t="str">
        <x:v>Education</x:v>
      </x:c>
      <x:c r="E10064" s="13" t="str">
        <x:v>Education</x:v>
      </x:c>
      <x:c r="F10064" s="13" t="str">
        <x:v>Early Cyclicals</x:v>
      </x:c>
      <x:c r="G10064" s="13" t="str">
        <x:v>Ibovespa_earnings_consolidated.xlsx</x:v>
      </x:c>
    </x:row>
    <x:row r="10065">
      <x:c r="A10065" s="15" t="n">
        <x:v>44835</x:v>
      </x:c>
      <x:c r="B10065" s="13" t="str">
        <x:v>B3 SA-BRASIL BOLSA BALCAO</x:v>
      </x:c>
      <x:c r="C10065" s="16" t="n">
        <x:v>5194.713772537</x:v>
      </x:c>
      <x:c r="D10065" s="13" t="str">
        <x:v>Financials Non-Banks</x:v>
      </x:c>
      <x:c r="E10065" s="13" t="str">
        <x:v>Financials Non-Banks</x:v>
      </x:c>
      <x:c r="F10065" s="13" t="str">
        <x:v>Financials</x:v>
      </x:c>
      <x:c r="G10065" s="13" t="str">
        <x:v>Ibovespa_earnings_consolidated.xlsx</x:v>
      </x:c>
    </x:row>
    <x:row r="10066">
      <x:c r="A10066" s="15" t="n">
        <x:v>44835</x:v>
      </x:c>
      <x:c r="B10066" s="13" t="str">
        <x:v>BB SEGURIDADE PARTICIPACOES</x:v>
      </x:c>
      <x:c r="C10066" s="16" t="n">
        <x:v>6072.9134907616</x:v>
      </x:c>
      <x:c r="D10066" s="13" t="str">
        <x:v>Financials Non-Banks</x:v>
      </x:c>
      <x:c r="E10066" s="13" t="str">
        <x:v>Financials Non-Banks</x:v>
      </x:c>
      <x:c r="F10066" s="13" t="str">
        <x:v>Financials</x:v>
      </x:c>
      <x:c r="G10066" s="13" t="str">
        <x:v>Ibovespa_earnings_consolidated.xlsx</x:v>
      </x:c>
    </x:row>
    <x:row r="10067">
      <x:c r="A10067" s="15" t="n">
        <x:v>44835</x:v>
      </x:c>
      <x:c r="B10067" s="13" t="str">
        <x:v>CIELO SA</x:v>
      </x:c>
      <x:c r="C10067" s="16" t="n">
        <x:v>1457.4955456877</x:v>
      </x:c>
      <x:c r="D10067" s="13" t="str">
        <x:v>Financials Non-Banks</x:v>
      </x:c>
      <x:c r="E10067" s="13" t="str">
        <x:v>Financials Non-Banks</x:v>
      </x:c>
      <x:c r="F10067" s="13" t="str">
        <x:v>Financials</x:v>
      </x:c>
      <x:c r="G10067" s="13" t="str">
        <x:v>Ibovespa_earnings_consolidated.xlsx</x:v>
      </x:c>
    </x:row>
    <x:row r="10068">
      <x:c r="A10068" s="15" t="n">
        <x:v>44835</x:v>
      </x:c>
      <x:c r="B10068" s="13" t="str">
        <x:v>CIELO SA - INSTITUICAO DE PA</x:v>
      </x:c>
      <x:c r="C10068" s="16" t="n">
        <x:v>1457.4955456877</x:v>
      </x:c>
      <x:c r="D10068" s="13" t="str">
        <x:v>Financials Non-Banks</x:v>
      </x:c>
      <x:c r="E10068" s="13" t="str">
        <x:v>Financials Non-Banks</x:v>
      </x:c>
      <x:c r="F10068" s="13" t="str">
        <x:v>Financials</x:v>
      </x:c>
      <x:c r="G10068" s="13" t="str">
        <x:v>grid_wbaxp5t0.xlsx</x:v>
      </x:c>
    </x:row>
    <x:row r="10069">
      <x:c r="A10069" s="15" t="n">
        <x:v>44835</x:v>
      </x:c>
      <x:c r="B10069" s="13" t="str">
        <x:v>IRB BRASIL RESSEGUROS SA</x:v>
      </x:c>
      <x:c r="C10069" s="16" t="n">
        <x:v>201.9924969205</x:v>
      </x:c>
      <x:c r="D10069" s="13" t="str">
        <x:v>Financials Non-Banks</x:v>
      </x:c>
      <x:c r="E10069" s="13" t="str">
        <x:v>Financials Non-Banks</x:v>
      </x:c>
      <x:c r="F10069" s="13" t="str">
        <x:v>Financials</x:v>
      </x:c>
      <x:c r="G10069" s="13" t="str">
        <x:v>Ibovespa_earnings_consolidated.xlsx</x:v>
      </x:c>
    </x:row>
    <x:row r="10070">
      <x:c r="A10070" s="15" t="n">
        <x:v>44835</x:v>
      </x:c>
      <x:c r="B10070" s="13" t="str">
        <x:v>ITAUSA SA</x:v>
      </x:c>
      <x:c r="C10070" s="16" t="n">
        <x:v>13182.5601886685</x:v>
      </x:c>
      <x:c r="D10070" s="13" t="str">
        <x:v>Financials Non-Banks</x:v>
      </x:c>
      <x:c r="E10070" s="13" t="str">
        <x:v>Financials Non-Banks</x:v>
      </x:c>
      <x:c r="F10070" s="13" t="str">
        <x:v>Financials</x:v>
      </x:c>
      <x:c r="G10070" s="13" t="str">
        <x:v>Ibovespa_earnings_consolidated.xlsx</x:v>
      </x:c>
    </x:row>
    <x:row r="10071">
      <x:c r="A10071" s="15" t="n">
        <x:v>44835</x:v>
      </x:c>
      <x:c r="B10071" s="13" t="str">
        <x:v>MELIUZ SA - ON</x:v>
      </x:c>
      <x:c r="C10071" s="16" t="n">
        <x:v>-17.7606356164</x:v>
      </x:c>
      <x:c r="D10071" s="13" t="str">
        <x:v>Financials Non-Banks</x:v>
      </x:c>
      <x:c r="E10071" s="13" t="str">
        <x:v>Financials Non-Banks</x:v>
      </x:c>
      <x:c r="F10071" s="13" t="str">
        <x:v>Financials</x:v>
      </x:c>
      <x:c r="G10071" s="13" t="str">
        <x:v>Ibovespa_earnings_consolidated.xlsx</x:v>
      </x:c>
    </x:row>
    <x:row r="10072">
      <x:c r="A10072" s="15" t="n">
        <x:v>44835</x:v>
      </x:c>
      <x:c r="B10072" s="13" t="str">
        <x:v>AMBEV SA</x:v>
      </x:c>
      <x:c r="C10072" s="16" t="n">
        <x:v>13893.7188744767</x:v>
      </x:c>
      <x:c r="D10072" s="13" t="str">
        <x:v>Food &amp; Beverages</x:v>
      </x:c>
      <x:c r="E10072" s="13" t="str">
        <x:v>Agri, Food &amp; Beverages</x:v>
      </x:c>
      <x:c r="F10072" s="13" t="str">
        <x:v>Defensives</x:v>
      </x:c>
      <x:c r="G10072" s="13" t="str">
        <x:v>Ibovespa_earnings_consolidated.xlsx</x:v>
      </x:c>
    </x:row>
    <x:row r="10073">
      <x:c r="A10073" s="15" t="n">
        <x:v>44835</x:v>
      </x:c>
      <x:c r="B10073" s="13" t="str">
        <x:v>BRF SA</x:v>
      </x:c>
      <x:c r="C10073" s="16" t="n">
        <x:v>463.6410357479</x:v>
      </x:c>
      <x:c r="D10073" s="13" t="str">
        <x:v>Food &amp; Beverages</x:v>
      </x:c>
      <x:c r="E10073" s="13" t="str">
        <x:v>Agri, Food &amp; Beverages</x:v>
      </x:c>
      <x:c r="F10073" s="13" t="str">
        <x:v>Defensives</x:v>
      </x:c>
      <x:c r="G10073" s="13" t="str">
        <x:v>Ibovespa_earnings_consolidated.xlsx</x:v>
      </x:c>
    </x:row>
    <x:row r="10074">
      <x:c r="A10074" s="15" t="n">
        <x:v>44835</x:v>
      </x:c>
      <x:c r="B10074" s="13" t="str">
        <x:v>JBS SA</x:v>
      </x:c>
      <x:c r="C10074" s="16" t="n">
        <x:v>12950.3952699616</x:v>
      </x:c>
      <x:c r="D10074" s="13" t="str">
        <x:v>Food &amp; Beverages</x:v>
      </x:c>
      <x:c r="E10074" s="13" t="str">
        <x:v>Agri, Food &amp; Beverages</x:v>
      </x:c>
      <x:c r="F10074" s="13" t="str">
        <x:v>Defensives</x:v>
      </x:c>
      <x:c r="G10074" s="13" t="str">
        <x:v>Ibovespa_earnings_consolidated.xlsx</x:v>
      </x:c>
    </x:row>
    <x:row r="10075">
      <x:c r="A10075" s="15" t="n">
        <x:v>44835</x:v>
      </x:c>
      <x:c r="B10075" s="13" t="str">
        <x:v>MBRF GLOBAL FOODS COMPANY SA</x:v>
      </x:c>
      <x:c r="C10075" s="16" t="n">
        <x:v>2280.6375087342</x:v>
      </x:c>
      <x:c r="D10075" s="13" t="str">
        <x:v>Food &amp; Beverages</x:v>
      </x:c>
      <x:c r="E10075" s="13" t="str">
        <x:v>Agri, Food &amp; Beverages</x:v>
      </x:c>
      <x:c r="F10075" s="13" t="str">
        <x:v>Defensives</x:v>
      </x:c>
      <x:c r="G10075" s="13" t="str">
        <x:v>Ibovespa_earnings_consolidated.xlsx</x:v>
      </x:c>
    </x:row>
    <x:row r="10076">
      <x:c r="A10076" s="15" t="n">
        <x:v>44835</x:v>
      </x:c>
      <x:c r="B10076" s="13" t="str">
        <x:v>MINERVA SA</x:v>
      </x:c>
      <x:c r="C10076" s="16" t="n">
        <x:v>1141.274822663</x:v>
      </x:c>
      <x:c r="D10076" s="13" t="str">
        <x:v>Food &amp; Beverages</x:v>
      </x:c>
      <x:c r="E10076" s="13" t="str">
        <x:v>Agri, Food &amp; Beverages</x:v>
      </x:c>
      <x:c r="F10076" s="13" t="str">
        <x:v>Defensives</x:v>
      </x:c>
      <x:c r="G10076" s="13" t="str">
        <x:v>Ibovespa_earnings_consolidated.xlsx</x:v>
      </x:c>
    </x:row>
    <x:row r="10077">
      <x:c r="A10077" s="15" t="n">
        <x:v>44835</x:v>
      </x:c>
      <x:c r="B10077" s="13" t="str">
        <x:v>FLEURY SA</x:v>
      </x:c>
      <x:c r="C10077" s="16" t="n">
        <x:v>358.6844011836</x:v>
      </x:c>
      <x:c r="D10077" s="13" t="str">
        <x:v>Health Care</x:v>
      </x:c>
      <x:c r="E10077" s="13" t="str">
        <x:v>Health Care</x:v>
      </x:c>
      <x:c r="F10077" s="13" t="str">
        <x:v>Defensives</x:v>
      </x:c>
      <x:c r="G10077" s="13" t="str">
        <x:v>Ibovespa_earnings_consolidated.xlsx</x:v>
      </x:c>
    </x:row>
    <x:row r="10078">
      <x:c r="A10078" s="15" t="n">
        <x:v>44835</x:v>
      </x:c>
      <x:c r="B10078" s="13" t="str">
        <x:v>HAPVIDA PARTICIPACOES E INVE</x:v>
      </x:c>
      <x:c r="C10078" s="16" t="n">
        <x:v>1371.316822663</x:v>
      </x:c>
      <x:c r="D10078" s="13" t="str">
        <x:v>Health Care</x:v>
      </x:c>
      <x:c r="E10078" s="13" t="str">
        <x:v>Health Care</x:v>
      </x:c>
      <x:c r="F10078" s="13" t="str">
        <x:v>Defensives</x:v>
      </x:c>
      <x:c r="G10078" s="13" t="str">
        <x:v>Ibovespa_earnings_consolidated.xlsx</x:v>
      </x:c>
    </x:row>
    <x:row r="10079">
      <x:c r="A10079" s="15" t="n">
        <x:v>44835</x:v>
      </x:c>
      <x:c r="B10079" s="13" t="str">
        <x:v>HYPERA SA</x:v>
      </x:c>
      <x:c r="C10079" s="16" t="n">
        <x:v>1928.7081871781</x:v>
      </x:c>
      <x:c r="D10079" s="13" t="str">
        <x:v>Health Care</x:v>
      </x:c>
      <x:c r="E10079" s="13" t="str">
        <x:v>Health Care</x:v>
      </x:c>
      <x:c r="F10079" s="13" t="str">
        <x:v>Defensives</x:v>
      </x:c>
      <x:c r="G10079" s="13" t="str">
        <x:v>Ibovespa_earnings_consolidated.xlsx</x:v>
      </x:c>
    </x:row>
    <x:row r="10080">
      <x:c r="A10080" s="15" t="n">
        <x:v>44835</x:v>
      </x:c>
      <x:c r="B10080" s="13" t="str">
        <x:v>QUALICORP CONS E CORR SEG SA</x:v>
      </x:c>
      <x:c r="C10080" s="16" t="n">
        <x:v>268.5372684274</x:v>
      </x:c>
      <x:c r="D10080" s="13" t="str">
        <x:v>Health Care</x:v>
      </x:c>
      <x:c r="E10080" s="13" t="str">
        <x:v>Health Care</x:v>
      </x:c>
      <x:c r="F10080" s="13" t="str">
        <x:v>Defensives</x:v>
      </x:c>
      <x:c r="G10080" s="13" t="str">
        <x:v>Ibovespa_earnings_consolidated.xlsx</x:v>
      </x:c>
    </x:row>
    <x:row r="10081">
      <x:c r="A10081" s="15" t="n">
        <x:v>44835</x:v>
      </x:c>
      <x:c r="B10081" s="13" t="str">
        <x:v>REDE D'OR SAO LUIZ SA</x:v>
      </x:c>
      <x:c r="C10081" s="16" t="n">
        <x:v>2528.1852191562</x:v>
      </x:c>
      <x:c r="D10081" s="13" t="str">
        <x:v>Health Care</x:v>
      </x:c>
      <x:c r="E10081" s="13" t="str">
        <x:v>Health Care</x:v>
      </x:c>
      <x:c r="F10081" s="13" t="str">
        <x:v>Defensives</x:v>
      </x:c>
      <x:c r="G10081" s="13" t="str">
        <x:v>Ibovespa_earnings_consolidated.xlsx</x:v>
      </x:c>
    </x:row>
    <x:row r="10082">
      <x:c r="A10082" s="15" t="n">
        <x:v>44835</x:v>
      </x:c>
      <x:c r="B10082" s="13" t="str">
        <x:v>SUL AMERICA SA - UNITS</x:v>
      </x:c>
      <x:c r="C10082" s="16" t="n">
        <x:v>844.6116964822</x:v>
      </x:c>
      <x:c r="D10082" s="13" t="str">
        <x:v>Health Care</x:v>
      </x:c>
      <x:c r="E10082" s="13" t="str">
        <x:v>Health Care</x:v>
      </x:c>
      <x:c r="F10082" s="13" t="str">
        <x:v>Defensives</x:v>
      </x:c>
      <x:c r="G10082" s="13" t="str">
        <x:v>Ibovespa_earnings_consolidated.xlsx</x:v>
      </x:c>
    </x:row>
    <x:row r="10083">
      <x:c r="A10083" s="15" t="n">
        <x:v>44835</x:v>
      </x:c>
      <x:c r="B10083" s="13" t="str">
        <x:v>CYRELA BRAZIL REALTY SA EMP</x:v>
      </x:c>
      <x:c r="C10083" s="16" t="n">
        <x:v>905.3970596822</x:v>
      </x:c>
      <x:c r="D10083" s="13" t="str">
        <x:v>Homebuilders</x:v>
      </x:c>
      <x:c r="E10083" s="13" t="str">
        <x:v>Real Estate</x:v>
      </x:c>
      <x:c r="F10083" s="13" t="str">
        <x:v>Early Cyclicals</x:v>
      </x:c>
      <x:c r="G10083" s="13" t="str">
        <x:v>Ibovespa_earnings_consolidated.xlsx</x:v>
      </x:c>
    </x:row>
    <x:row r="10084">
      <x:c r="A10084" s="15" t="n">
        <x:v>44835</x:v>
      </x:c>
      <x:c r="B10084" s="13" t="str">
        <x:v>EZ TEC EMPREENDIMENTOS E PAR</x:v>
      </x:c>
      <x:c r="C10084" s="16" t="n">
        <x:v>445.2975342466</x:v>
      </x:c>
      <x:c r="D10084" s="13" t="str">
        <x:v>Homebuilders</x:v>
      </x:c>
      <x:c r="E10084" s="13" t="str">
        <x:v>Real Estate</x:v>
      </x:c>
      <x:c r="F10084" s="13" t="str">
        <x:v>Early Cyclicals</x:v>
      </x:c>
      <x:c r="G10084" s="13" t="str">
        <x:v>Ibovespa_earnings_consolidated.xlsx</x:v>
      </x:c>
    </x:row>
    <x:row r="10085">
      <x:c r="A10085" s="15" t="n">
        <x:v>44835</x:v>
      </x:c>
      <x:c r="B10085" s="13" t="str">
        <x:v>MRV ENGENHARIA</x:v>
      </x:c>
      <x:c r="C10085" s="16" t="n">
        <x:v>532.7919542356</x:v>
      </x:c>
      <x:c r="D10085" s="13" t="str">
        <x:v>Homebuilders</x:v>
      </x:c>
      <x:c r="E10085" s="13" t="str">
        <x:v>Real Estate</x:v>
      </x:c>
      <x:c r="F10085" s="13" t="str">
        <x:v>Early Cyclicals</x:v>
      </x:c>
      <x:c r="G10085" s="13" t="str">
        <x:v>Ibovespa_earnings_consolidated.xlsx</x:v>
      </x:c>
    </x:row>
    <x:row r="10086">
      <x:c r="A10086" s="15" t="n">
        <x:v>44835</x:v>
      </x:c>
      <x:c r="B10086" s="13" t="str">
        <x:v>BR MALLS PARTICIPACOES SA</x:v>
      </x:c>
      <x:c r="C10086" s="16" t="n">
        <x:v>605.0084622027</x:v>
      </x:c>
      <x:c r="D10086" s="13" t="str">
        <x:v>Income Properties</x:v>
      </x:c>
      <x:c r="E10086" s="13" t="str">
        <x:v>Real Estate</x:v>
      </x:c>
      <x:c r="F10086" s="13" t="str">
        <x:v>Early Cyclicals</x:v>
      </x:c>
      <x:c r="G10086" s="13" t="str">
        <x:v>Ibovespa_earnings_consolidated.xlsx</x:v>
      </x:c>
    </x:row>
    <x:row r="10087">
      <x:c r="A10087" s="15" t="n">
        <x:v>44835</x:v>
      </x:c>
      <x:c r="B10087" s="13" t="str">
        <x:v>IGUATEMI SA - UNITS</x:v>
      </x:c>
      <x:c r="C10087" s="16" t="n">
        <x:v>315.416630137</x:v>
      </x:c>
      <x:c r="D10087" s="13" t="str">
        <x:v>Income Properties</x:v>
      </x:c>
      <x:c r="E10087" s="13" t="str">
        <x:v>Real Estate</x:v>
      </x:c>
      <x:c r="F10087" s="13" t="str">
        <x:v>Early Cyclicals</x:v>
      </x:c>
      <x:c r="G10087" s="13" t="str">
        <x:v>Ibovespa_earnings_consolidated.xlsx</x:v>
      </x:c>
    </x:row>
    <x:row r="10088">
      <x:c r="A10088" s="15" t="n">
        <x:v>44835</x:v>
      </x:c>
      <x:c r="B10088" s="13" t="str">
        <x:v>MULTIPLAN EMPREENDIMENTOS</x:v>
      </x:c>
      <x:c r="C10088" s="16" t="n">
        <x:v>816.5608761863</x:v>
      </x:c>
      <x:c r="D10088" s="13" t="str">
        <x:v>Income Properties</x:v>
      </x:c>
      <x:c r="E10088" s="13" t="str">
        <x:v>Real Estate</x:v>
      </x:c>
      <x:c r="F10088" s="13" t="str">
        <x:v>Early Cyclicals</x:v>
      </x:c>
      <x:c r="G10088" s="13" t="str">
        <x:v>Ibovespa_earnings_consolidated.xlsx</x:v>
      </x:c>
    </x:row>
    <x:row r="10089">
      <x:c r="A10089" s="15" t="n">
        <x:v>44835</x:v>
      </x:c>
      <x:c r="B10089" s="13" t="str">
        <x:v>BRADESPAR SA -PREF</x:v>
      </x:c>
      <x:c r="C10089" s="16" t="n">
        <x:v>2141.7068067068</x:v>
      </x:c>
      <x:c r="D10089" s="13" t="str">
        <x:v>Metals &amp; Mining</x:v>
      </x:c>
      <x:c r="E10089" s="13" t="str">
        <x:v>Metals &amp; Mining</x:v>
      </x:c>
      <x:c r="F10089" s="13" t="str">
        <x:v>Deep Cyclicals</x:v>
      </x:c>
      <x:c r="G10089" s="13" t="str">
        <x:v>Ibovespa_earnings_consolidated.xlsx</x:v>
      </x:c>
    </x:row>
    <x:row r="10090">
      <x:c r="A10090" s="15" t="n">
        <x:v>44835</x:v>
      </x:c>
      <x:c r="B10090" s="13" t="str">
        <x:v>CIA SIDERURGICA NACIONAL SA</x:v>
      </x:c>
      <x:c r="C10090" s="16" t="n">
        <x:v>3858.7385224767</x:v>
      </x:c>
      <x:c r="D10090" s="13" t="str">
        <x:v>Metals &amp; Mining</x:v>
      </x:c>
      <x:c r="E10090" s="13" t="str">
        <x:v>Metals &amp; Mining</x:v>
      </x:c>
      <x:c r="F10090" s="13" t="str">
        <x:v>Deep Cyclicals</x:v>
      </x:c>
      <x:c r="G10090" s="13" t="str">
        <x:v>Ibovespa_earnings_consolidated.xlsx</x:v>
      </x:c>
    </x:row>
    <x:row r="10091">
      <x:c r="A10091" s="15" t="n">
        <x:v>44835</x:v>
      </x:c>
      <x:c r="B10091" s="13" t="str">
        <x:v>CSN MINERACAO SA</x:v>
      </x:c>
      <x:c r="C10091" s="16" t="n">
        <x:v>2864.5648306849</x:v>
      </x:c>
      <x:c r="D10091" s="13" t="str">
        <x:v>Metals &amp; Mining</x:v>
      </x:c>
      <x:c r="E10091" s="13" t="str">
        <x:v>Metals &amp; Mining</x:v>
      </x:c>
      <x:c r="F10091" s="13" t="str">
        <x:v>Deep Cyclicals</x:v>
      </x:c>
      <x:c r="G10091" s="13" t="str">
        <x:v>Ibovespa_earnings_consolidated.xlsx</x:v>
      </x:c>
    </x:row>
    <x:row r="10092">
      <x:c r="A10092" s="15" t="n">
        <x:v>44835</x:v>
      </x:c>
      <x:c r="B10092" s="13" t="str">
        <x:v>GERDAU SA-PREF</x:v>
      </x:c>
      <x:c r="C10092" s="16" t="n">
        <x:v>8220.7360182356</x:v>
      </x:c>
      <x:c r="D10092" s="13" t="str">
        <x:v>Metals &amp; Mining</x:v>
      </x:c>
      <x:c r="E10092" s="13" t="str">
        <x:v>Metals &amp; Mining</x:v>
      </x:c>
      <x:c r="F10092" s="13" t="str">
        <x:v>Deep Cyclicals</x:v>
      </x:c>
      <x:c r="G10092" s="13" t="str">
        <x:v>Ibovespa_earnings_consolidated.xlsx</x:v>
      </x:c>
    </x:row>
    <x:row r="10093">
      <x:c r="A10093" s="15" t="n">
        <x:v>44835</x:v>
      </x:c>
      <x:c r="B10093" s="13" t="str">
        <x:v>METALURGICA GERDAU SA-PREF</x:v>
      </x:c>
      <x:c r="C10093" s="16" t="n">
        <x:v>1964.0328234082</x:v>
      </x:c>
      <x:c r="D10093" s="13" t="str">
        <x:v>Metals &amp; Mining</x:v>
      </x:c>
      <x:c r="E10093" s="13" t="str">
        <x:v>Metals &amp; Mining</x:v>
      </x:c>
      <x:c r="F10093" s="13" t="str">
        <x:v>Deep Cyclicals</x:v>
      </x:c>
      <x:c r="G10093" s="13" t="str">
        <x:v>Ibovespa_earnings_consolidated.xlsx</x:v>
      </x:c>
    </x:row>
    <x:row r="10094">
      <x:c r="A10094" s="15" t="n">
        <x:v>44835</x:v>
      </x:c>
      <x:c r="B10094" s="13" t="str">
        <x:v>USINAS SIDER MINAS GER-PF A</x:v>
      </x:c>
      <x:c r="C10094" s="16" t="n">
        <x:v>2261.8262359671</x:v>
      </x:c>
      <x:c r="D10094" s="13" t="str">
        <x:v>Metals &amp; Mining</x:v>
      </x:c>
      <x:c r="E10094" s="13" t="str">
        <x:v>Metals &amp; Mining</x:v>
      </x:c>
      <x:c r="F10094" s="13" t="str">
        <x:v>Deep Cyclicals</x:v>
      </x:c>
      <x:c r="G10094" s="13" t="str">
        <x:v>Ibovespa_earnings_consolidated.xlsx</x:v>
      </x:c>
    </x:row>
    <x:row r="10095">
      <x:c r="A10095" s="15" t="n">
        <x:v>44835</x:v>
      </x:c>
      <x:c r="B10095" s="13" t="str">
        <x:v>VALE SA</x:v>
      </x:c>
      <x:c r="C10095" s="16" t="n">
        <x:v>63502.7831934247</x:v>
      </x:c>
      <x:c r="D10095" s="13" t="str">
        <x:v>Metals &amp; Mining</x:v>
      </x:c>
      <x:c r="E10095" s="13" t="str">
        <x:v>Metals &amp; Mining</x:v>
      </x:c>
      <x:c r="F10095" s="13" t="str">
        <x:v>Deep Cyclicals</x:v>
      </x:c>
      <x:c r="G10095" s="13" t="str">
        <x:v>Ibovespa_earnings_consolidated.xlsx</x:v>
      </x:c>
    </x:row>
    <x:row r="10096">
      <x:c r="A10096" s="15" t="n">
        <x:v>44835</x:v>
      </x:c>
      <x:c r="B10096" s="13" t="str">
        <x:v>BRASKEM SA-PREF A</x:v>
      </x:c>
      <x:c r="C10096" s="16" t="n">
        <x:v>3525.1706753753</x:v>
      </x:c>
      <x:c r="D10096" s="13" t="str">
        <x:v>Oil, Gas &amp; Petrochemicals</x:v>
      </x:c>
      <x:c r="E10096" s="13" t="str">
        <x:v>Oil, Gas &amp; Petrochemicals</x:v>
      </x:c>
      <x:c r="F10096" s="13" t="str">
        <x:v>Deep Cyclicals</x:v>
      </x:c>
      <x:c r="G10096" s="13" t="str">
        <x:v>Ibovespa_earnings_consolidated.xlsx</x:v>
      </x:c>
    </x:row>
    <x:row r="10097">
      <x:c r="A10097" s="15" t="n">
        <x:v>44835</x:v>
      </x:c>
      <x:c r="B10097" s="13" t="str">
        <x:v>BRAVA ENERGIA</x:v>
      </x:c>
      <x:c r="C10097" s="16" t="n">
        <x:v>2388.497005326</x:v>
      </x:c>
      <x:c r="D10097" s="13" t="str">
        <x:v>Oil, Gas &amp; Petrochemicals</x:v>
      </x:c>
      <x:c r="E10097" s="13" t="str">
        <x:v>Oil, Gas &amp; Petrochemicals</x:v>
      </x:c>
      <x:c r="F10097" s="13" t="str">
        <x:v>Deep Cyclicals</x:v>
      </x:c>
      <x:c r="G10097" s="13" t="str">
        <x:v>Ibovespa_earnings_consolidated.xlsx</x:v>
      </x:c>
    </x:row>
    <x:row r="10098">
      <x:c r="A10098" s="15" t="n">
        <x:v>44835</x:v>
      </x:c>
      <x:c r="B10098" s="13" t="str">
        <x:v>COSAN SA</x:v>
      </x:c>
      <x:c r="C10098" s="16" t="n">
        <x:v>3831.8455338082</x:v>
      </x:c>
      <x:c r="D10098" s="13" t="str">
        <x:v>Oil, Gas &amp; Petrochemicals</x:v>
      </x:c>
      <x:c r="E10098" s="13" t="str">
        <x:v>Oil, Gas &amp; Petrochemicals</x:v>
      </x:c>
      <x:c r="F10098" s="13" t="str">
        <x:v>Deep Cyclicals</x:v>
      </x:c>
      <x:c r="G10098" s="13" t="str">
        <x:v>Ibovespa_earnings_consolidated.xlsx</x:v>
      </x:c>
    </x:row>
    <x:row r="10099">
      <x:c r="A10099" s="15" t="n">
        <x:v>44835</x:v>
      </x:c>
      <x:c r="B10099" s="13" t="str">
        <x:v>PETROBRAS - PETROLEO BRAS</x:v>
      </x:c>
      <x:c r="C10099" s="16" t="n">
        <x:v>134441.043715507</x:v>
      </x:c>
      <x:c r="D10099" s="13" t="str">
        <x:v>Oil, Gas &amp; Petrochemicals</x:v>
      </x:c>
      <x:c r="E10099" s="13" t="str">
        <x:v>Oil, Gas &amp; Petrochemicals</x:v>
      </x:c>
      <x:c r="F10099" s="13" t="str">
        <x:v>Deep Cyclicals</x:v>
      </x:c>
      <x:c r="G10099" s="13" t="str">
        <x:v>Ibovespa_earnings_consolidated.xlsx</x:v>
      </x:c>
    </x:row>
    <x:row r="10100">
      <x:c r="A10100" s="15" t="n">
        <x:v>44835</x:v>
      </x:c>
      <x:c r="B10100" s="13" t="str">
        <x:v>PRIO SA</x:v>
      </x:c>
      <x:c r="C10100" s="16" t="n">
        <x:v>4574.1888715397</x:v>
      </x:c>
      <x:c r="D10100" s="13" t="str">
        <x:v>Oil, Gas &amp; Petrochemicals</x:v>
      </x:c>
      <x:c r="E10100" s="13" t="str">
        <x:v>Oil, Gas &amp; Petrochemicals</x:v>
      </x:c>
      <x:c r="F10100" s="13" t="str">
        <x:v>Deep Cyclicals</x:v>
      </x:c>
      <x:c r="G10100" s="13" t="str">
        <x:v>Ibovespa_earnings_consolidated.xlsx</x:v>
      </x:c>
    </x:row>
    <x:row r="10101">
      <x:c r="A10101" s="15" t="n">
        <x:v>44835</x:v>
      </x:c>
      <x:c r="B10101" s="13" t="str">
        <x:v>ULTRAPAR PARTICIPACOES SA</x:v>
      </x:c>
      <x:c r="C10101" s="16" t="n">
        <x:v>1222.7663268822</x:v>
      </x:c>
      <x:c r="D10101" s="13" t="str">
        <x:v>Oil, Gas &amp; Petrochemicals</x:v>
      </x:c>
      <x:c r="E10101" s="13" t="str">
        <x:v>Oil, Gas &amp; Petrochemicals</x:v>
      </x:c>
      <x:c r="F10101" s="13" t="str">
        <x:v>Deep Cyclicals</x:v>
      </x:c>
      <x:c r="G10101" s="13" t="str">
        <x:v>Ibovespa_earnings_consolidated.xlsx</x:v>
      </x:c>
    </x:row>
    <x:row r="10102">
      <x:c r="A10102" s="15" t="n">
        <x:v>44835</x:v>
      </x:c>
      <x:c r="B10102" s="13" t="str">
        <x:v>VIBRA ENERGIA SA</x:v>
      </x:c>
      <x:c r="C10102" s="16" t="n">
        <x:v>2236.6065152</x:v>
      </x:c>
      <x:c r="D10102" s="13" t="str">
        <x:v>Oil, Gas &amp; Petrochemicals</x:v>
      </x:c>
      <x:c r="E10102" s="13" t="str">
        <x:v>Oil, Gas &amp; Petrochemicals</x:v>
      </x:c>
      <x:c r="F10102" s="13" t="str">
        <x:v>Deep Cyclicals</x:v>
      </x:c>
      <x:c r="G10102" s="13" t="str">
        <x:v>Ibovespa_earnings_consolidated.xlsx</x:v>
      </x:c>
    </x:row>
    <x:row r="10103">
      <x:c r="A10103" s="15" t="n">
        <x:v>44835</x:v>
      </x:c>
      <x:c r="B10103" s="13" t="str">
        <x:v>DEXCO SA</x:v>
      </x:c>
      <x:c r="C10103" s="16" t="n">
        <x:v>743.5420992877</x:v>
      </x:c>
      <x:c r="D10103" s="13" t="str">
        <x:v>Pulp &amp; Paper</x:v>
      </x:c>
      <x:c r="E10103" s="13" t="str">
        <x:v>Pulp &amp; Paper</x:v>
      </x:c>
      <x:c r="F10103" s="13" t="str">
        <x:v>Deep Cyclicals</x:v>
      </x:c>
      <x:c r="G10103" s="13" t="str">
        <x:v>Ibovespa_earnings_consolidated.xlsx</x:v>
      </x:c>
    </x:row>
    <x:row r="10104">
      <x:c r="A10104" s="15" t="n">
        <x:v>44835</x:v>
      </x:c>
      <x:c r="B10104" s="13" t="str">
        <x:v>KLABIN SA - UNIT</x:v>
      </x:c>
      <x:c r="C10104" s="16" t="n">
        <x:v>2358.9573744219</x:v>
      </x:c>
      <x:c r="D10104" s="13" t="str">
        <x:v>Pulp &amp; Paper</x:v>
      </x:c>
      <x:c r="E10104" s="13" t="str">
        <x:v>Pulp &amp; Paper</x:v>
      </x:c>
      <x:c r="F10104" s="13" t="str">
        <x:v>Deep Cyclicals</x:v>
      </x:c>
      <x:c r="G10104" s="13" t="str">
        <x:v>Ibovespa_earnings_consolidated.xlsx</x:v>
      </x:c>
    </x:row>
    <x:row r="10105">
      <x:c r="A10105" s="15" t="n">
        <x:v>44835</x:v>
      </x:c>
      <x:c r="B10105" s="13" t="str">
        <x:v>SUZANO SA</x:v>
      </x:c>
      <x:c r="C10105" s="16" t="n">
        <x:v>8961.9042752877</x:v>
      </x:c>
      <x:c r="D10105" s="13" t="str">
        <x:v>Pulp &amp; Paper</x:v>
      </x:c>
      <x:c r="E10105" s="13" t="str">
        <x:v>Pulp &amp; Paper</x:v>
      </x:c>
      <x:c r="F10105" s="13" t="str">
        <x:v>Deep Cyclicals</x:v>
      </x:c>
      <x:c r="G10105" s="13" t="str">
        <x:v>Ibovespa_earnings_consolidated.xlsx</x:v>
      </x:c>
    </x:row>
    <x:row r="10106">
      <x:c r="A10106" s="15" t="n">
        <x:v>44835</x:v>
      </x:c>
      <x:c r="B10106" s="13" t="str">
        <x:v>ALPARGATAS SA - PREF</x:v>
      </x:c>
      <x:c r="C10106" s="16" t="n">
        <x:v>707.7574189589</x:v>
      </x:c>
      <x:c r="D10106" s="13" t="str">
        <x:v>Retail</x:v>
      </x:c>
      <x:c r="E10106" s="13" t="str">
        <x:v>Retail</x:v>
      </x:c>
      <x:c r="F10106" s="13" t="str">
        <x:v>Early Cyclicals</x:v>
      </x:c>
      <x:c r="G10106" s="13" t="str">
        <x:v>Ibovespa_earnings_consolidated.xlsx</x:v>
      </x:c>
    </x:row>
    <x:row r="10107">
      <x:c r="A10107" s="15" t="n">
        <x:v>44835</x:v>
      </x:c>
      <x:c r="B10107" s="13" t="str">
        <x:v>AMERICANAS SA</x:v>
      </x:c>
      <x:c r="C10107" s="16" t="n">
        <x:v>339.0360547945</x:v>
      </x:c>
      <x:c r="D10107" s="13" t="str">
        <x:v>Retail</x:v>
      </x:c>
      <x:c r="E10107" s="13" t="str">
        <x:v>Retail</x:v>
      </x:c>
      <x:c r="F10107" s="13" t="str">
        <x:v>Early Cyclicals</x:v>
      </x:c>
      <x:c r="G10107" s="13" t="str">
        <x:v>Ibovespa_earnings_consolidated.xlsx</x:v>
      </x:c>
    </x:row>
    <x:row r="10108">
      <x:c r="A10108" s="15" t="n">
        <x:v>44835</x:v>
      </x:c>
      <x:c r="B10108" s="13" t="str">
        <x:v>ATACADAO SA</x:v>
      </x:c>
      <x:c r="C10108" s="16" t="n">
        <x:v>2429.4297652603</x:v>
      </x:c>
      <x:c r="D10108" s="13" t="str">
        <x:v>Retail</x:v>
      </x:c>
      <x:c r="E10108" s="13" t="str">
        <x:v>Retail</x:v>
      </x:c>
      <x:c r="F10108" s="13" t="str">
        <x:v>Early Cyclicals</x:v>
      </x:c>
      <x:c r="G10108" s="13" t="str">
        <x:v>Ibovespa_earnings_consolidated.xlsx</x:v>
      </x:c>
    </x:row>
    <x:row r="10109">
      <x:c r="A10109" s="15" t="n">
        <x:v>44835</x:v>
      </x:c>
      <x:c r="B10109" s="13" t="str">
        <x:v>AZZAS 2154 SA</x:v>
      </x:c>
      <x:c r="C10109" s="16" t="n">
        <x:v>517.7524545753</x:v>
      </x:c>
      <x:c r="D10109" s="13" t="str">
        <x:v>Retail</x:v>
      </x:c>
      <x:c r="E10109" s="13" t="str">
        <x:v>Retail</x:v>
      </x:c>
      <x:c r="F10109" s="13" t="str">
        <x:v>Early Cyclicals</x:v>
      </x:c>
      <x:c r="G10109" s="13" t="str">
        <x:v>Ibovespa_earnings_consolidated.xlsx</x:v>
      </x:c>
    </x:row>
    <x:row r="10110">
      <x:c r="A10110" s="15" t="n">
        <x:v>44835</x:v>
      </x:c>
      <x:c r="B10110" s="13" t="str">
        <x:v>CIA BRASILEIRA DE DISTRIBUIC</x:v>
      </x:c>
      <x:c r="C10110" s="16" t="n">
        <x:v>384.4516655342</x:v>
      </x:c>
      <x:c r="D10110" s="13" t="str">
        <x:v>Retail</x:v>
      </x:c>
      <x:c r="E10110" s="13" t="str">
        <x:v>Retail</x:v>
      </x:c>
      <x:c r="F10110" s="13" t="str">
        <x:v>Early Cyclicals</x:v>
      </x:c>
      <x:c r="G10110" s="13" t="str">
        <x:v>Ibovespa_earnings_consolidated.xlsx</x:v>
      </x:c>
    </x:row>
    <x:row r="10111">
      <x:c r="A10111" s="15" t="n">
        <x:v>44835</x:v>
      </x:c>
      <x:c r="B10111" s="13" t="str">
        <x:v>CVC BRASIL OPERADORA E AGENC</x:v>
      </x:c>
      <x:c r="C10111" s="16" t="n">
        <x:v>-82.916358663</x:v>
      </x:c>
      <x:c r="D10111" s="13" t="str">
        <x:v>Retail</x:v>
      </x:c>
      <x:c r="E10111" s="13" t="str">
        <x:v>Retail</x:v>
      </x:c>
      <x:c r="F10111" s="13" t="str">
        <x:v>Early Cyclicals</x:v>
      </x:c>
      <x:c r="G10111" s="13" t="str">
        <x:v>Ibovespa_earnings_consolidated.xlsx</x:v>
      </x:c>
    </x:row>
    <x:row r="10112">
      <x:c r="A10112" s="15" t="n">
        <x:v>44835</x:v>
      </x:c>
      <x:c r="B10112" s="13" t="str">
        <x:v>GRUPO CASAS BAHIA SA</x:v>
      </x:c>
      <x:c r="C10112" s="16" t="n">
        <x:v>-169.9091959233</x:v>
      </x:c>
      <x:c r="D10112" s="13" t="str">
        <x:v>Retail</x:v>
      </x:c>
      <x:c r="E10112" s="13" t="str">
        <x:v>Retail</x:v>
      </x:c>
      <x:c r="F10112" s="13" t="str">
        <x:v>Early Cyclicals</x:v>
      </x:c>
      <x:c r="G10112" s="13" t="str">
        <x:v>Ibovespa_earnings_consolidated.xlsx</x:v>
      </x:c>
    </x:row>
    <x:row r="10113">
      <x:c r="A10113" s="15" t="n">
        <x:v>44835</x:v>
      </x:c>
      <x:c r="B10113" s="13" t="str">
        <x:v>GRUPO DE MODA SOMA SA</x:v>
      </x:c>
      <x:c r="C10113" s="16" t="n">
        <x:v>564.6114725699</x:v>
      </x:c>
      <x:c r="D10113" s="13" t="str">
        <x:v>Retail</x:v>
      </x:c>
      <x:c r="E10113" s="13" t="str">
        <x:v>Retail</x:v>
      </x:c>
      <x:c r="F10113" s="13" t="str">
        <x:v>Early Cyclicals</x:v>
      </x:c>
      <x:c r="G10113" s="13" t="str">
        <x:v>Ibovespa_earnings_consolidated.xlsx</x:v>
      </x:c>
    </x:row>
    <x:row r="10114">
      <x:c r="A10114" s="15" t="n">
        <x:v>44835</x:v>
      </x:c>
      <x:c r="B10114" s="13" t="str">
        <x:v>LOJAS RENNER S.A.</x:v>
      </x:c>
      <x:c r="C10114" s="16" t="n">
        <x:v>1599.7438029151</x:v>
      </x:c>
      <x:c r="D10114" s="13" t="str">
        <x:v>Retail</x:v>
      </x:c>
      <x:c r="E10114" s="13" t="str">
        <x:v>Retail</x:v>
      </x:c>
      <x:c r="F10114" s="13" t="str">
        <x:v>Early Cyclicals</x:v>
      </x:c>
      <x:c r="G10114" s="13" t="str">
        <x:v>Ibovespa_earnings_consolidated.xlsx</x:v>
      </x:c>
    </x:row>
    <x:row r="10115">
      <x:c r="A10115" s="15" t="n">
        <x:v>44835</x:v>
      </x:c>
      <x:c r="B10115" s="13" t="str">
        <x:v>MAGAZINE LUIZA SA</x:v>
      </x:c>
      <x:c r="C10115" s="16" t="n">
        <x:v>216.2675097425</x:v>
      </x:c>
      <x:c r="D10115" s="13" t="str">
        <x:v>Retail</x:v>
      </x:c>
      <x:c r="E10115" s="13" t="str">
        <x:v>Retail</x:v>
      </x:c>
      <x:c r="F10115" s="13" t="str">
        <x:v>Early Cyclicals</x:v>
      </x:c>
      <x:c r="G10115" s="13" t="str">
        <x:v>Ibovespa_earnings_consolidated.xlsx</x:v>
      </x:c>
    </x:row>
    <x:row r="10116">
      <x:c r="A10116" s="15" t="n">
        <x:v>44835</x:v>
      </x:c>
      <x:c r="B10116" s="13" t="str">
        <x:v>NATURA &amp;CO HOLDING SA</x:v>
      </x:c>
      <x:c r="C10116" s="16" t="n">
        <x:v>578.5278165918</x:v>
      </x:c>
      <x:c r="D10116" s="13" t="str">
        <x:v>Retail</x:v>
      </x:c>
      <x:c r="E10116" s="13" t="str">
        <x:v>Retail</x:v>
      </x:c>
      <x:c r="F10116" s="13" t="str">
        <x:v>Early Cyclicals</x:v>
      </x:c>
      <x:c r="G10116" s="13" t="str">
        <x:v>Ibovespa_earnings_consolidated.xlsx</x:v>
      </x:c>
    </x:row>
    <x:row r="10117">
      <x:c r="A10117" s="15" t="n">
        <x:v>44835</x:v>
      </x:c>
      <x:c r="B10117" s="13" t="str">
        <x:v>PET CENTER COMERCIO E PARTIC</x:v>
      </x:c>
      <x:c r="C10117" s="16" t="n">
        <x:v>149.1330958904</x:v>
      </x:c>
      <x:c r="D10117" s="13" t="str">
        <x:v>Retail</x:v>
      </x:c>
      <x:c r="E10117" s="13" t="str">
        <x:v>Retail</x:v>
      </x:c>
      <x:c r="F10117" s="13" t="str">
        <x:v>Early Cyclicals</x:v>
      </x:c>
      <x:c r="G10117" s="13" t="str">
        <x:v>Ibovespa_earnings_consolidated.xlsx</x:v>
      </x:c>
    </x:row>
    <x:row r="10118">
      <x:c r="A10118" s="15" t="n">
        <x:v>44835</x:v>
      </x:c>
      <x:c r="B10118" s="13" t="str">
        <x:v>RAIA DROGASIL SA</x:v>
      </x:c>
      <x:c r="C10118" s="16" t="n">
        <x:v>1183.8383680877</x:v>
      </x:c>
      <x:c r="D10118" s="13" t="str">
        <x:v>Retail</x:v>
      </x:c>
      <x:c r="E10118" s="13" t="str">
        <x:v>Retail</x:v>
      </x:c>
      <x:c r="F10118" s="13" t="str">
        <x:v>Early Cyclicals</x:v>
      </x:c>
      <x:c r="G10118" s="13" t="str">
        <x:v>Ibovespa_earnings_consolidated.xlsx</x:v>
      </x:c>
    </x:row>
    <x:row r="10119">
      <x:c r="A10119" s="15" t="n">
        <x:v>44835</x:v>
      </x:c>
      <x:c r="B10119" s="13" t="str">
        <x:v>SENDAS DISTRIBUIDORA SA</x:v>
      </x:c>
      <x:c r="C10119" s="16" t="n">
        <x:v>1623.2905300164</x:v>
      </x:c>
      <x:c r="D10119" s="13" t="str">
        <x:v>Retail</x:v>
      </x:c>
      <x:c r="E10119" s="13" t="str">
        <x:v>Retail</x:v>
      </x:c>
      <x:c r="F10119" s="13" t="str">
        <x:v>Early Cyclicals</x:v>
      </x:c>
      <x:c r="G10119" s="13" t="str">
        <x:v>Ibovespa_earnings_consolidated.xlsx</x:v>
      </x:c>
    </x:row>
    <x:row r="10120">
      <x:c r="A10120" s="15" t="n">
        <x:v>44835</x:v>
      </x:c>
      <x:c r="B10120" s="13" t="str">
        <x:v>CIA SANEAMENTO BASICO DE SP</x:v>
      </x:c>
      <x:c r="C10120" s="16" t="n">
        <x:v>3069.2735684384</x:v>
      </x:c>
      <x:c r="D10120" s="13" t="str">
        <x:v>Sanitation</x:v>
      </x:c>
      <x:c r="E10120" s="13" t="str">
        <x:v>Utilities</x:v>
      </x:c>
      <x:c r="F10120" s="13" t="str">
        <x:v>Defensives</x:v>
      </x:c>
      <x:c r="G10120" s="13" t="str">
        <x:v>Ibovespa_earnings_consolidated.xlsx</x:v>
      </x:c>
    </x:row>
    <x:row r="10121">
      <x:c r="A10121" s="15" t="n">
        <x:v>44835</x:v>
      </x:c>
      <x:c r="B10121" s="13" t="str">
        <x:v>LWSA SA</x:v>
      </x:c>
      <x:c r="C10121" s="16" t="n">
        <x:v>132.6331328438</x:v>
      </x:c>
      <x:c r="D10121" s="13" t="str">
        <x:v>TMT</x:v>
      </x:c>
      <x:c r="E10121" s="13" t="str">
        <x:v>TMT</x:v>
      </x:c>
      <x:c r="F10121" s="13" t="str">
        <x:v>Early Cyclicals</x:v>
      </x:c>
      <x:c r="G10121" s="13" t="str">
        <x:v>Ibovespa_earnings_consolidated.xlsx</x:v>
      </x:c>
    </x:row>
    <x:row r="10122">
      <x:c r="A10122" s="15" t="n">
        <x:v>44835</x:v>
      </x:c>
      <x:c r="B10122" s="13" t="str">
        <x:v>POSITIVO TECNOLOGIA SA</x:v>
      </x:c>
      <x:c r="C10122" s="16" t="n">
        <x:v>289.0479452055</x:v>
      </x:c>
      <x:c r="D10122" s="13" t="str">
        <x:v>TMT</x:v>
      </x:c>
      <x:c r="E10122" s="13" t="str">
        <x:v>TMT</x:v>
      </x:c>
      <x:c r="F10122" s="13" t="str">
        <x:v>Early Cyclicals</x:v>
      </x:c>
      <x:c r="G10122" s="13" t="str">
        <x:v>Ibovespa_earnings_consolidated.xlsx</x:v>
      </x:c>
    </x:row>
    <x:row r="10123">
      <x:c r="A10123" s="15" t="n">
        <x:v>44835</x:v>
      </x:c>
      <x:c r="B10123" s="13" t="str">
        <x:v>TIM SA</x:v>
      </x:c>
      <x:c r="C10123" s="16" t="n">
        <x:v>2295.9122965041</x:v>
      </x:c>
      <x:c r="D10123" s="13" t="str">
        <x:v>TMT</x:v>
      </x:c>
      <x:c r="E10123" s="13" t="str">
        <x:v>TMT</x:v>
      </x:c>
      <x:c r="F10123" s="13" t="str">
        <x:v>Early Cyclicals</x:v>
      </x:c>
      <x:c r="G10123" s="13" t="str">
        <x:v>Ibovespa_earnings_consolidated.xlsx</x:v>
      </x:c>
    </x:row>
    <x:row r="10124">
      <x:c r="A10124" s="15" t="n">
        <x:v>44835</x:v>
      </x:c>
      <x:c r="B10124" s="13" t="str">
        <x:v>TOTVS SA</x:v>
      </x:c>
      <x:c r="C10124" s="16" t="n">
        <x:v>687.1089539507</x:v>
      </x:c>
      <x:c r="D10124" s="13" t="str">
        <x:v>TMT</x:v>
      </x:c>
      <x:c r="E10124" s="13" t="str">
        <x:v>TMT</x:v>
      </x:c>
      <x:c r="F10124" s="13" t="str">
        <x:v>Early Cyclicals</x:v>
      </x:c>
      <x:c r="G10124" s="13" t="str">
        <x:v>Ibovespa_earnings_consolidated.xlsx</x:v>
      </x:c>
    </x:row>
    <x:row r="10125">
      <x:c r="A10125" s="15" t="n">
        <x:v>44835</x:v>
      </x:c>
      <x:c r="B10125" s="13" t="str">
        <x:v>AZUL SA</x:v>
      </x:c>
      <x:c r="C10125" s="16" t="n">
        <x:v>-483.7080565479</x:v>
      </x:c>
      <x:c r="D10125" s="13" t="str">
        <x:v>Transportation</x:v>
      </x:c>
      <x:c r="E10125" s="13" t="str">
        <x:v>Transportation</x:v>
      </x:c>
      <x:c r="F10125" s="13" t="str">
        <x:v>Deep Cyclicals</x:v>
      </x:c>
      <x:c r="G10125" s="13" t="str">
        <x:v>Ibovespa_earnings_consolidated.xlsx</x:v>
      </x:c>
    </x:row>
    <x:row r="10126">
      <x:c r="A10126" s="15" t="n">
        <x:v>44835</x:v>
      </x:c>
      <x:c r="B10126" s="13" t="str">
        <x:v>ECORODOVIAS INFRA E LOG SA</x:v>
      </x:c>
      <x:c r="C10126" s="16" t="n">
        <x:v>310.8398698959</x:v>
      </x:c>
      <x:c r="D10126" s="13" t="str">
        <x:v>Transportation</x:v>
      </x:c>
      <x:c r="E10126" s="13" t="str">
        <x:v>Transportation</x:v>
      </x:c>
      <x:c r="F10126" s="13" t="str">
        <x:v>Deep Cyclicals</x:v>
      </x:c>
      <x:c r="G10126" s="13" t="str">
        <x:v>Ibovespa_earnings_consolidated.xlsx</x:v>
      </x:c>
    </x:row>
    <x:row r="10127">
      <x:c r="A10127" s="15" t="n">
        <x:v>44835</x:v>
      </x:c>
      <x:c r="B10127" s="13" t="str">
        <x:v>GOL LINHAS AEREAS INT SA-PRE</x:v>
      </x:c>
      <x:c r="C10127" s="16" t="n">
        <x:v>-147.2612893808</x:v>
      </x:c>
      <x:c r="D10127" s="13" t="str">
        <x:v>Transportation</x:v>
      </x:c>
      <x:c r="E10127" s="13" t="str">
        <x:v>Transportation</x:v>
      </x:c>
      <x:c r="F10127" s="13" t="str">
        <x:v>Deep Cyclicals</x:v>
      </x:c>
      <x:c r="G10127" s="13" t="str">
        <x:v>Ibovespa_earnings_consolidated.xlsx</x:v>
      </x:c>
    </x:row>
    <x:row r="10128">
      <x:c r="A10128" s="15" t="n">
        <x:v>44835</x:v>
      </x:c>
      <x:c r="B10128" s="13" t="str">
        <x:v>LOCALIZA RENT A CAR</x:v>
      </x:c>
      <x:c r="C10128" s="16" t="n">
        <x:v>2936.0788999014</x:v>
      </x:c>
      <x:c r="D10128" s="13" t="str">
        <x:v>Transportation</x:v>
      </x:c>
      <x:c r="E10128" s="13" t="str">
        <x:v>Transportation</x:v>
      </x:c>
      <x:c r="F10128" s="13" t="str">
        <x:v>Deep Cyclicals</x:v>
      </x:c>
      <x:c r="G10128" s="13" t="str">
        <x:v>Ibovespa_earnings_consolidated.xlsx</x:v>
      </x:c>
    </x:row>
    <x:row r="10129">
      <x:c r="A10129" s="15" t="n">
        <x:v>44835</x:v>
      </x:c>
      <x:c r="B10129" s="13" t="str">
        <x:v>MOTIVA INFRAESTRUTURA DE MOB</x:v>
      </x:c>
      <x:c r="C10129" s="16" t="n">
        <x:v>1891.9952089425</x:v>
      </x:c>
      <x:c r="D10129" s="13" t="str">
        <x:v>Transportation</x:v>
      </x:c>
      <x:c r="E10129" s="13" t="str">
        <x:v>Transportation</x:v>
      </x:c>
      <x:c r="F10129" s="13" t="str">
        <x:v>Deep Cyclicals</x:v>
      </x:c>
      <x:c r="G10129" s="13" t="str">
        <x:v>Ibovespa_earnings_consolidated.xlsx</x:v>
      </x:c>
    </x:row>
    <x:row r="10130">
      <x:c r="A10130" s="15" t="n">
        <x:v>44835</x:v>
      </x:c>
      <x:c r="B10130" s="13" t="str">
        <x:v>RUMO SA</x:v>
      </x:c>
      <x:c r="C10130" s="16" t="n">
        <x:v>1001.992075748</x:v>
      </x:c>
      <x:c r="D10130" s="13" t="str">
        <x:v>Transportation</x:v>
      </x:c>
      <x:c r="E10130" s="13" t="str">
        <x:v>Transportation</x:v>
      </x:c>
      <x:c r="F10130" s="13" t="str">
        <x:v>Deep Cyclicals</x:v>
      </x:c>
      <x:c r="G10130" s="13" t="str">
        <x:v>Ibovespa_earnings_consolidated.xlsx</x:v>
      </x:c>
    </x:row>
    <x:row r="10131">
      <x:c r="A10131" s="15" t="n">
        <x:v>44835</x:v>
      </x:c>
      <x:c r="B10131" s="13" t="str">
        <x:v>AXIA ENERGIA SA</x:v>
      </x:c>
      <x:c r="C10131" s="16" t="n">
        <x:v>7837.1054507836</x:v>
      </x:c>
      <x:c r="D10131" s="13" t="str">
        <x:v>Utilities &amp; Energy</x:v>
      </x:c>
      <x:c r="E10131" s="13" t="str">
        <x:v>Utilities</x:v>
      </x:c>
      <x:c r="F10131" s="13" t="str">
        <x:v>Defensives</x:v>
      </x:c>
      <x:c r="G10131" s="13" t="str">
        <x:v>Ibovespa_earnings_consolidated.xlsx</x:v>
      </x:c>
    </x:row>
    <x:row r="10132">
      <x:c r="A10132" s="15" t="n">
        <x:v>44835</x:v>
      </x:c>
      <x:c r="B10132" s="13" t="str">
        <x:v>AXIA ENERGIA-PR B</x:v>
      </x:c>
      <x:c r="C10132" s="16" t="n">
        <x:v>7837.1054507836</x:v>
      </x:c>
      <x:c r="D10132" s="13" t="str">
        <x:v>Utilities &amp; Energy</x:v>
      </x:c>
      <x:c r="E10132" s="13" t="str">
        <x:v>Utilities</x:v>
      </x:c>
      <x:c r="F10132" s="13" t="str">
        <x:v>Defensives</x:v>
      </x:c>
      <x:c r="G10132" s="13" t="str">
        <x:v>Ibovespa_earnings_consolidated.xlsx</x:v>
      </x:c>
    </x:row>
    <x:row r="10133">
      <x:c r="A10133" s="15" t="n">
        <x:v>44835</x:v>
      </x:c>
      <x:c r="B10133" s="13" t="str">
        <x:v>CIA ENERGETICA MINAS GER-PRF</x:v>
      </x:c>
      <x:c r="C10133" s="16" t="n">
        <x:v>3678.6691324493</x:v>
      </x:c>
      <x:c r="D10133" s="13" t="str">
        <x:v>Utilities &amp; Energy</x:v>
      </x:c>
      <x:c r="E10133" s="13" t="str">
        <x:v>Utilities</x:v>
      </x:c>
      <x:c r="F10133" s="13" t="str">
        <x:v>Defensives</x:v>
      </x:c>
      <x:c r="G10133" s="13" t="str">
        <x:v>Ibovespa_earnings_consolidated.xlsx</x:v>
      </x:c>
    </x:row>
    <x:row r="10134">
      <x:c r="A10134" s="15" t="n">
        <x:v>44835</x:v>
      </x:c>
      <x:c r="B10134" s="13" t="str">
        <x:v>COMPANHIA PARANAENSE -PREF B</x:v>
      </x:c>
      <x:c r="C10134" s="16" t="n">
        <x:v>2473.2888249863</x:v>
      </x:c>
      <x:c r="D10134" s="13" t="str">
        <x:v>Utilities &amp; Energy</x:v>
      </x:c>
      <x:c r="E10134" s="13" t="str">
        <x:v>Utilities</x:v>
      </x:c>
      <x:c r="F10134" s="13" t="str">
        <x:v>Defensives</x:v>
      </x:c>
      <x:c r="G10134" s="13" t="str">
        <x:v>Ibovespa_earnings_consolidated.xlsx</x:v>
      </x:c>
    </x:row>
    <x:row r="10135">
      <x:c r="A10135" s="15" t="n">
        <x:v>44835</x:v>
      </x:c>
      <x:c r="B10135" s="13" t="str">
        <x:v>CPFL ENERGIA SA</x:v>
      </x:c>
      <x:c r="C10135" s="16" t="n">
        <x:v>4409.189165589</x:v>
      </x:c>
      <x:c r="D10135" s="13" t="str">
        <x:v>Utilities &amp; Energy</x:v>
      </x:c>
      <x:c r="E10135" s="13" t="str">
        <x:v>Utilities</x:v>
      </x:c>
      <x:c r="F10135" s="13" t="str">
        <x:v>Defensives</x:v>
      </x:c>
      <x:c r="G10135" s="13" t="str">
        <x:v>Ibovespa_earnings_consolidated.xlsx</x:v>
      </x:c>
    </x:row>
    <x:row r="10136">
      <x:c r="A10136" s="15" t="n">
        <x:v>44835</x:v>
      </x:c>
      <x:c r="B10136" s="13" t="str">
        <x:v>EDP - ENERGIAS DO BRASIL SA</x:v>
      </x:c>
      <x:c r="C10136" s="16" t="n">
        <x:v>1510.6642077808</x:v>
      </x:c>
      <x:c r="D10136" s="13" t="str">
        <x:v>Utilities &amp; Energy</x:v>
      </x:c>
      <x:c r="E10136" s="13" t="str">
        <x:v>Utilities</x:v>
      </x:c>
      <x:c r="F10136" s="13" t="str">
        <x:v>Defensives</x:v>
      </x:c>
      <x:c r="G10136" s="13" t="str">
        <x:v>Ibovespa_earnings_consolidated.xlsx</x:v>
      </x:c>
    </x:row>
    <x:row r="10137">
      <x:c r="A10137" s="15" t="n">
        <x:v>44835</x:v>
      </x:c>
      <x:c r="B10137" s="13" t="str">
        <x:v>ENERGISA SA-UNITS</x:v>
      </x:c>
      <x:c r="C10137" s="16" t="n">
        <x:v>1711.6298576658</x:v>
      </x:c>
      <x:c r="D10137" s="13" t="str">
        <x:v>Utilities &amp; Energy</x:v>
      </x:c>
      <x:c r="E10137" s="13" t="str">
        <x:v>Utilities</x:v>
      </x:c>
      <x:c r="F10137" s="13" t="str">
        <x:v>Defensives</x:v>
      </x:c>
      <x:c r="G10137" s="13" t="str">
        <x:v>Ibovespa_earnings_consolidated.xlsx</x:v>
      </x:c>
    </x:row>
    <x:row r="10138">
      <x:c r="A10138" s="15" t="n">
        <x:v>44835</x:v>
      </x:c>
      <x:c r="B10138" s="13" t="str">
        <x:v>ENEVA SA</x:v>
      </x:c>
      <x:c r="C10138" s="16" t="n">
        <x:v>1083.248026126</x:v>
      </x:c>
      <x:c r="D10138" s="13" t="str">
        <x:v>Utilities &amp; Energy</x:v>
      </x:c>
      <x:c r="E10138" s="13" t="str">
        <x:v>Utilities</x:v>
      </x:c>
      <x:c r="F10138" s="13" t="str">
        <x:v>Defensives</x:v>
      </x:c>
      <x:c r="G10138" s="13" t="str">
        <x:v>Ibovespa_earnings_consolidated.xlsx</x:v>
      </x:c>
    </x:row>
    <x:row r="10139">
      <x:c r="A10139" s="15" t="n">
        <x:v>44835</x:v>
      </x:c>
      <x:c r="B10139" s="13" t="str">
        <x:v>ENGIE BRASIL ENERGIA SA</x:v>
      </x:c>
      <x:c r="C10139" s="16" t="n">
        <x:v>3415.4761587726</x:v>
      </x:c>
      <x:c r="D10139" s="13" t="str">
        <x:v>Utilities &amp; Energy</x:v>
      </x:c>
      <x:c r="E10139" s="13" t="str">
        <x:v>Utilities</x:v>
      </x:c>
      <x:c r="F10139" s="13" t="str">
        <x:v>Defensives</x:v>
      </x:c>
      <x:c r="G10139" s="13" t="str">
        <x:v>Ibovespa_earnings_consolidated.xlsx</x:v>
      </x:c>
    </x:row>
    <x:row r="10140">
      <x:c r="A10140" s="15" t="n">
        <x:v>44835</x:v>
      </x:c>
      <x:c r="B10140" s="13" t="str">
        <x:v>EQUATORIAL SA - ORD</x:v>
      </x:c>
      <x:c r="C10140" s="16" t="n">
        <x:v>2628.6183416986</x:v>
      </x:c>
      <x:c r="D10140" s="13" t="str">
        <x:v>Utilities &amp; Energy</x:v>
      </x:c>
      <x:c r="E10140" s="13" t="str">
        <x:v>Utilities</x:v>
      </x:c>
      <x:c r="F10140" s="13" t="str">
        <x:v>Defensives</x:v>
      </x:c>
      <x:c r="G10140" s="13" t="str">
        <x:v>Ibovespa_earnings_consolidated.xlsx</x:v>
      </x:c>
    </x:row>
    <x:row r="10141">
      <x:c r="A10141" s="15" t="n">
        <x:v>44835</x:v>
      </x:c>
      <x:c r="B10141" s="13" t="str">
        <x:v>TRANSMISSORA ALIANCA DE-UNIT</x:v>
      </x:c>
      <x:c r="C10141" s="16" t="n">
        <x:v>1139.2669296219</x:v>
      </x:c>
      <x:c r="D10141" s="13" t="str">
        <x:v>Utilities &amp; Energy</x:v>
      </x:c>
      <x:c r="E10141" s="13" t="str">
        <x:v>Utilities</x:v>
      </x:c>
      <x:c r="F10141" s="13" t="str">
        <x:v>Defensives</x:v>
      </x:c>
      <x:c r="G10141" s="13" t="str">
        <x:v>Ibovespa_earnings_consolidated.xlsx</x:v>
      </x:c>
    </x:row>
    <x:row r="10142">
      <x:c r="A10142" s="15" t="n">
        <x:v>44866</x:v>
      </x:c>
      <x:c r="B10142" s="13" t="str">
        <x:v>RAIZEN SA - PREFERENCE</x:v>
      </x:c>
      <x:c r="C10142" s="16" t="n">
        <x:v>4783.8742921093</x:v>
      </x:c>
      <x:c r="D10142" s="13" t="str">
        <x:v>Agribusiness</x:v>
      </x:c>
      <x:c r="E10142" s="13" t="str">
        <x:v>Agri, Food &amp; Beverages</x:v>
      </x:c>
      <x:c r="F10142" s="13" t="str">
        <x:v>Defensives</x:v>
      </x:c>
      <x:c r="G10142" s="13" t="str">
        <x:v>Ibovespa_earnings_consolidated.xlsx</x:v>
      </x:c>
    </x:row>
    <x:row r="10143">
      <x:c r="A10143" s="15" t="n">
        <x:v>44866</x:v>
      </x:c>
      <x:c r="B10143" s="13" t="str">
        <x:v>SAO MARTINHO SA</x:v>
      </x:c>
      <x:c r="C10143" s="16" t="n">
        <x:v>1345.3740331366</x:v>
      </x:c>
      <x:c r="D10143" s="13" t="str">
        <x:v>Agribusiness</x:v>
      </x:c>
      <x:c r="E10143" s="13" t="str">
        <x:v>Agri, Food &amp; Beverages</x:v>
      </x:c>
      <x:c r="F10143" s="13" t="str">
        <x:v>Defensives</x:v>
      </x:c>
      <x:c r="G10143" s="13" t="str">
        <x:v>Ibovespa_earnings_consolidated.xlsx</x:v>
      </x:c>
    </x:row>
    <x:row r="10144">
      <x:c r="A10144" s="15" t="n">
        <x:v>44866</x:v>
      </x:c>
      <x:c r="B10144" s="13" t="str">
        <x:v>SLC AGRICOLA SA</x:v>
      </x:c>
      <x:c r="C10144" s="16" t="n">
        <x:v>1386.3832611068</x:v>
      </x:c>
      <x:c r="D10144" s="13" t="str">
        <x:v>Agribusiness</x:v>
      </x:c>
      <x:c r="E10144" s="13" t="str">
        <x:v>Agri, Food &amp; Beverages</x:v>
      </x:c>
      <x:c r="F10144" s="13" t="str">
        <x:v>Defensives</x:v>
      </x:c>
      <x:c r="G10144" s="13" t="str">
        <x:v>Ibovespa_earnings_consolidated.xlsx</x:v>
      </x:c>
    </x:row>
    <x:row r="10145">
      <x:c r="A10145" s="15" t="n">
        <x:v>44866</x:v>
      </x:c>
      <x:c r="B10145" s="13" t="str">
        <x:v>BANCO BRADESCO S.A.</x:v>
      </x:c>
      <x:c r="C10145" s="16" t="n">
        <x:v>27309.543424</x:v>
      </x:c>
      <x:c r="D10145" s="13" t="str">
        <x:v>Banks</x:v>
      </x:c>
      <x:c r="E10145" s="13" t="str">
        <x:v>Banks</x:v>
      </x:c>
      <x:c r="F10145" s="13" t="str">
        <x:v>Financials</x:v>
      </x:c>
      <x:c r="G10145" s="13" t="str">
        <x:v>Ibovespa_earnings_consolidated.xlsx</x:v>
      </x:c>
    </x:row>
    <x:row r="10146">
      <x:c r="A10146" s="15" t="n">
        <x:v>44866</x:v>
      </x:c>
      <x:c r="B10146" s="13" t="str">
        <x:v>BANCO BRADESCO SA-PREF</x:v>
      </x:c>
      <x:c r="C10146" s="16" t="n">
        <x:v>27309.543424</x:v>
      </x:c>
      <x:c r="D10146" s="13" t="str">
        <x:v>Banks</x:v>
      </x:c>
      <x:c r="E10146" s="13" t="str">
        <x:v>Banks</x:v>
      </x:c>
      <x:c r="F10146" s="13" t="str">
        <x:v>Financials</x:v>
      </x:c>
      <x:c r="G10146" s="13" t="str">
        <x:v>Ibovespa_earnings_consolidated.xlsx</x:v>
      </x:c>
    </x:row>
    <x:row r="10147">
      <x:c r="A10147" s="15" t="n">
        <x:v>44866</x:v>
      </x:c>
      <x:c r="B10147" s="13" t="str">
        <x:v>BANCO BTG PACTUAL SA-UNIT</x:v>
      </x:c>
      <x:c r="C10147" s="16" t="n">
        <x:v>9372.3605132274</x:v>
      </x:c>
      <x:c r="D10147" s="13" t="str">
        <x:v>Banks</x:v>
      </x:c>
      <x:c r="E10147" s="13" t="str">
        <x:v>Banks</x:v>
      </x:c>
      <x:c r="F10147" s="13" t="str">
        <x:v>Financials</x:v>
      </x:c>
      <x:c r="G10147" s="13" t="str">
        <x:v>Ibovespa_earnings_consolidated.xlsx</x:v>
      </x:c>
    </x:row>
    <x:row r="10148">
      <x:c r="A10148" s="15" t="n">
        <x:v>44866</x:v>
      </x:c>
      <x:c r="B10148" s="13" t="str">
        <x:v>BANCO DO BRASIL S.A.</x:v>
      </x:c>
      <x:c r="C10148" s="16" t="n">
        <x:v>30835.0804641315</x:v>
      </x:c>
      <x:c r="D10148" s="13" t="str">
        <x:v>Banks</x:v>
      </x:c>
      <x:c r="E10148" s="13" t="str">
        <x:v>Banks</x:v>
      </x:c>
      <x:c r="F10148" s="13" t="str">
        <x:v>Financials</x:v>
      </x:c>
      <x:c r="G10148" s="13" t="str">
        <x:v>Ibovespa_earnings_consolidated.xlsx</x:v>
      </x:c>
    </x:row>
    <x:row r="10149">
      <x:c r="A10149" s="15" t="n">
        <x:v>44866</x:v>
      </x:c>
      <x:c r="B10149" s="13" t="str">
        <x:v>BANCO PAN SA</x:v>
      </x:c>
      <x:c r="C10149" s="16" t="n">
        <x:v>976.0460924493</x:v>
      </x:c>
      <x:c r="D10149" s="13" t="str">
        <x:v>Banks</x:v>
      </x:c>
      <x:c r="E10149" s="13" t="str">
        <x:v>Banks</x:v>
      </x:c>
      <x:c r="F10149" s="13" t="str">
        <x:v>Financials</x:v>
      </x:c>
      <x:c r="G10149" s="13" t="str">
        <x:v>Ibovespa_earnings_consolidated.xlsx</x:v>
      </x:c>
    </x:row>
    <x:row r="10150">
      <x:c r="A10150" s="15" t="n">
        <x:v>44866</x:v>
      </x:c>
      <x:c r="B10150" s="13" t="str">
        <x:v>BANCO SANTANDER  BRASIL-UNIT</x:v>
      </x:c>
      <x:c r="C10150" s="16" t="n">
        <x:v>15991.2823597589</x:v>
      </x:c>
      <x:c r="D10150" s="13" t="str">
        <x:v>Banks</x:v>
      </x:c>
      <x:c r="E10150" s="13" t="str">
        <x:v>Banks</x:v>
      </x:c>
      <x:c r="F10150" s="13" t="str">
        <x:v>Financials</x:v>
      </x:c>
      <x:c r="G10150" s="13" t="str">
        <x:v>Ibovespa_earnings_consolidated.xlsx</x:v>
      </x:c>
    </x:row>
    <x:row r="10151">
      <x:c r="A10151" s="15" t="n">
        <x:v>44866</x:v>
      </x:c>
      <x:c r="B10151" s="13" t="str">
        <x:v>ITAU UNIBANCO HOLDING S-PREF</x:v>
      </x:c>
      <x:c r="C10151" s="16" t="n">
        <x:v>35242.7653596932</x:v>
      </x:c>
      <x:c r="D10151" s="13" t="str">
        <x:v>Banks</x:v>
      </x:c>
      <x:c r="E10151" s="13" t="str">
        <x:v>Banks</x:v>
      </x:c>
      <x:c r="F10151" s="13" t="str">
        <x:v>Financials</x:v>
      </x:c>
      <x:c r="G10151" s="13" t="str">
        <x:v>Ibovespa_earnings_consolidated.xlsx</x:v>
      </x:c>
    </x:row>
    <x:row r="10152">
      <x:c r="A10152" s="15" t="n">
        <x:v>44866</x:v>
      </x:c>
      <x:c r="B10152" s="13" t="str">
        <x:v>EMBRAER SA</x:v>
      </x:c>
      <x:c r="C10152" s="16" t="n">
        <x:v>694.9889255452</x:v>
      </x:c>
      <x:c r="D10152" s="13" t="str">
        <x:v>Capital Goods</x:v>
      </x:c>
      <x:c r="E10152" s="13" t="str">
        <x:v>Capital Goods</x:v>
      </x:c>
      <x:c r="F10152" s="13" t="str">
        <x:v>Deep Cyclicals</x:v>
      </x:c>
      <x:c r="G10152" s="13" t="str">
        <x:v>Ibovespa_earnings_consolidated.xlsx</x:v>
      </x:c>
    </x:row>
    <x:row r="10153">
      <x:c r="A10153" s="15" t="n">
        <x:v>44866</x:v>
      </x:c>
      <x:c r="B10153" s="13" t="str">
        <x:v>WEG SA</x:v>
      </x:c>
      <x:c r="C10153" s="16" t="n">
        <x:v>4917.5756126685</x:v>
      </x:c>
      <x:c r="D10153" s="13" t="str">
        <x:v>Capital Goods</x:v>
      </x:c>
      <x:c r="E10153" s="13" t="str">
        <x:v>Capital Goods</x:v>
      </x:c>
      <x:c r="F10153" s="13" t="str">
        <x:v>Deep Cyclicals</x:v>
      </x:c>
      <x:c r="G10153" s="13" t="str">
        <x:v>Ibovespa_earnings_consolidated.xlsx</x:v>
      </x:c>
    </x:row>
    <x:row r="10154">
      <x:c r="A10154" s="15" t="n">
        <x:v>44866</x:v>
      </x:c>
      <x:c r="B10154" s="13" t="str">
        <x:v>COGNA EDUCACAO</x:v>
      </x:c>
      <x:c r="C10154" s="16" t="n">
        <x:v>-105.4497038027</x:v>
      </x:c>
      <x:c r="D10154" s="13" t="str">
        <x:v>Education</x:v>
      </x:c>
      <x:c r="E10154" s="13" t="str">
        <x:v>Education</x:v>
      </x:c>
      <x:c r="F10154" s="13" t="str">
        <x:v>Early Cyclicals</x:v>
      </x:c>
      <x:c r="G10154" s="13" t="str">
        <x:v>Ibovespa_earnings_consolidated.xlsx</x:v>
      </x:c>
    </x:row>
    <x:row r="10155">
      <x:c r="A10155" s="15" t="n">
        <x:v>44866</x:v>
      </x:c>
      <x:c r="B10155" s="13" t="str">
        <x:v>YDUQS PARTICIPACOES SA</x:v>
      </x:c>
      <x:c r="C10155" s="16" t="n">
        <x:v>287.4439344</x:v>
      </x:c>
      <x:c r="D10155" s="13" t="str">
        <x:v>Education</x:v>
      </x:c>
      <x:c r="E10155" s="13" t="str">
        <x:v>Education</x:v>
      </x:c>
      <x:c r="F10155" s="13" t="str">
        <x:v>Early Cyclicals</x:v>
      </x:c>
      <x:c r="G10155" s="13" t="str">
        <x:v>Ibovespa_earnings_consolidated.xlsx</x:v>
      </x:c>
    </x:row>
    <x:row r="10156">
      <x:c r="A10156" s="15" t="n">
        <x:v>44866</x:v>
      </x:c>
      <x:c r="B10156" s="13" t="str">
        <x:v>B3 SA-BRASIL BOLSA BALCAO</x:v>
      </x:c>
      <x:c r="C10156" s="16" t="n">
        <x:v>5136.2761615781</x:v>
      </x:c>
      <x:c r="D10156" s="13" t="str">
        <x:v>Financials Non-Banks</x:v>
      </x:c>
      <x:c r="E10156" s="13" t="str">
        <x:v>Financials Non-Banks</x:v>
      </x:c>
      <x:c r="F10156" s="13" t="str">
        <x:v>Financials</x:v>
      </x:c>
      <x:c r="G10156" s="13" t="str">
        <x:v>Ibovespa_earnings_consolidated.xlsx</x:v>
      </x:c>
    </x:row>
    <x:row r="10157">
      <x:c r="A10157" s="15" t="n">
        <x:v>44866</x:v>
      </x:c>
      <x:c r="B10157" s="13" t="str">
        <x:v>BB SEGURIDADE PARTICIPACOES</x:v>
      </x:c>
      <x:c r="C10157" s="16" t="n">
        <x:v>6381.4896990685</x:v>
      </x:c>
      <x:c r="D10157" s="13" t="str">
        <x:v>Financials Non-Banks</x:v>
      </x:c>
      <x:c r="E10157" s="13" t="str">
        <x:v>Financials Non-Banks</x:v>
      </x:c>
      <x:c r="F10157" s="13" t="str">
        <x:v>Financials</x:v>
      </x:c>
      <x:c r="G10157" s="13" t="str">
        <x:v>Ibovespa_earnings_consolidated.xlsx</x:v>
      </x:c>
    </x:row>
    <x:row r="10158">
      <x:c r="A10158" s="15" t="n">
        <x:v>44866</x:v>
      </x:c>
      <x:c r="B10158" s="13" t="str">
        <x:v>CIELO SA</x:v>
      </x:c>
      <x:c r="C10158" s="16" t="n">
        <x:v>1592.9982053699</x:v>
      </x:c>
      <x:c r="D10158" s="13" t="str">
        <x:v>Financials Non-Banks</x:v>
      </x:c>
      <x:c r="E10158" s="13" t="str">
        <x:v>Financials Non-Banks</x:v>
      </x:c>
      <x:c r="F10158" s="13" t="str">
        <x:v>Financials</x:v>
      </x:c>
      <x:c r="G10158" s="13" t="str">
        <x:v>Ibovespa_earnings_consolidated.xlsx</x:v>
      </x:c>
    </x:row>
    <x:row r="10159">
      <x:c r="A10159" s="15" t="n">
        <x:v>44866</x:v>
      </x:c>
      <x:c r="B10159" s="13" t="str">
        <x:v>CIELO SA - INSTITUICAO DE PA</x:v>
      </x:c>
      <x:c r="C10159" s="16" t="n">
        <x:v>1592.9982053699</x:v>
      </x:c>
      <x:c r="D10159" s="13" t="str">
        <x:v>Financials Non-Banks</x:v>
      </x:c>
      <x:c r="E10159" s="13" t="str">
        <x:v>Financials Non-Banks</x:v>
      </x:c>
      <x:c r="F10159" s="13" t="str">
        <x:v>Financials</x:v>
      </x:c>
      <x:c r="G10159" s="13" t="str">
        <x:v>grid_wbaxp5t0.xlsx</x:v>
      </x:c>
    </x:row>
    <x:row r="10160">
      <x:c r="A10160" s="15" t="n">
        <x:v>44866</x:v>
      </x:c>
      <x:c r="B10160" s="13" t="str">
        <x:v>IRB BRASIL RESSEGUROS SA</x:v>
      </x:c>
      <x:c r="C10160" s="16" t="n">
        <x:v>191.8620769315</x:v>
      </x:c>
      <x:c r="D10160" s="13" t="str">
        <x:v>Financials Non-Banks</x:v>
      </x:c>
      <x:c r="E10160" s="13" t="str">
        <x:v>Financials Non-Banks</x:v>
      </x:c>
      <x:c r="F10160" s="13" t="str">
        <x:v>Financials</x:v>
      </x:c>
      <x:c r="G10160" s="13" t="str">
        <x:v>Ibovespa_earnings_consolidated.xlsx</x:v>
      </x:c>
    </x:row>
    <x:row r="10161">
      <x:c r="A10161" s="15" t="n">
        <x:v>44866</x:v>
      </x:c>
      <x:c r="B10161" s="13" t="str">
        <x:v>ITAUSA SA</x:v>
      </x:c>
      <x:c r="C10161" s="16" t="n">
        <x:v>13297.7108683397</x:v>
      </x:c>
      <x:c r="D10161" s="13" t="str">
        <x:v>Financials Non-Banks</x:v>
      </x:c>
      <x:c r="E10161" s="13" t="str">
        <x:v>Financials Non-Banks</x:v>
      </x:c>
      <x:c r="F10161" s="13" t="str">
        <x:v>Financials</x:v>
      </x:c>
      <x:c r="G10161" s="13" t="str">
        <x:v>Ibovespa_earnings_consolidated.xlsx</x:v>
      </x:c>
    </x:row>
    <x:row r="10162">
      <x:c r="A10162" s="15" t="n">
        <x:v>44866</x:v>
      </x:c>
      <x:c r="B10162" s="13" t="str">
        <x:v>MELIUZ SA - ON</x:v>
      </x:c>
      <x:c r="C10162" s="16" t="n">
        <x:v>-18.0880876712</x:v>
      </x:c>
      <x:c r="D10162" s="13" t="str">
        <x:v>Financials Non-Banks</x:v>
      </x:c>
      <x:c r="E10162" s="13" t="str">
        <x:v>Financials Non-Banks</x:v>
      </x:c>
      <x:c r="F10162" s="13" t="str">
        <x:v>Financials</x:v>
      </x:c>
      <x:c r="G10162" s="13" t="str">
        <x:v>Ibovespa_earnings_consolidated.xlsx</x:v>
      </x:c>
    </x:row>
    <x:row r="10163">
      <x:c r="A10163" s="15" t="n">
        <x:v>44866</x:v>
      </x:c>
      <x:c r="B10163" s="13" t="str">
        <x:v>AMBEV SA</x:v>
      </x:c>
      <x:c r="C10163" s="16" t="n">
        <x:v>13926.4954648548</x:v>
      </x:c>
      <x:c r="D10163" s="13" t="str">
        <x:v>Food &amp; Beverages</x:v>
      </x:c>
      <x:c r="E10163" s="13" t="str">
        <x:v>Agri, Food &amp; Beverages</x:v>
      </x:c>
      <x:c r="F10163" s="13" t="str">
        <x:v>Defensives</x:v>
      </x:c>
      <x:c r="G10163" s="13" t="str">
        <x:v>Ibovespa_earnings_consolidated.xlsx</x:v>
      </x:c>
    </x:row>
    <x:row r="10164">
      <x:c r="A10164" s="15" t="n">
        <x:v>44866</x:v>
      </x:c>
      <x:c r="B10164" s="13" t="str">
        <x:v>BRF SA</x:v>
      </x:c>
      <x:c r="C10164" s="16" t="n">
        <x:v>584.2323697973</x:v>
      </x:c>
      <x:c r="D10164" s="13" t="str">
        <x:v>Food &amp; Beverages</x:v>
      </x:c>
      <x:c r="E10164" s="13" t="str">
        <x:v>Agri, Food &amp; Beverages</x:v>
      </x:c>
      <x:c r="F10164" s="13" t="str">
        <x:v>Defensives</x:v>
      </x:c>
      <x:c r="G10164" s="13" t="str">
        <x:v>Ibovespa_earnings_consolidated.xlsx</x:v>
      </x:c>
    </x:row>
    <x:row r="10165">
      <x:c r="A10165" s="15" t="n">
        <x:v>44866</x:v>
      </x:c>
      <x:c r="B10165" s="13" t="str">
        <x:v>JBS SA</x:v>
      </x:c>
      <x:c r="C10165" s="16" t="n">
        <x:v>12445.831507463</x:v>
      </x:c>
      <x:c r="D10165" s="13" t="str">
        <x:v>Food &amp; Beverages</x:v>
      </x:c>
      <x:c r="E10165" s="13" t="str">
        <x:v>Agri, Food &amp; Beverages</x:v>
      </x:c>
      <x:c r="F10165" s="13" t="str">
        <x:v>Defensives</x:v>
      </x:c>
      <x:c r="G10165" s="13" t="str">
        <x:v>Ibovespa_earnings_consolidated.xlsx</x:v>
      </x:c>
    </x:row>
    <x:row r="10166">
      <x:c r="A10166" s="15" t="n">
        <x:v>44866</x:v>
      </x:c>
      <x:c r="B10166" s="13" t="str">
        <x:v>MBRF GLOBAL FOODS COMPANY SA</x:v>
      </x:c>
      <x:c r="C10166" s="16" t="n">
        <x:v>2000.9594059397</x:v>
      </x:c>
      <x:c r="D10166" s="13" t="str">
        <x:v>Food &amp; Beverages</x:v>
      </x:c>
      <x:c r="E10166" s="13" t="str">
        <x:v>Agri, Food &amp; Beverages</x:v>
      </x:c>
      <x:c r="F10166" s="13" t="str">
        <x:v>Defensives</x:v>
      </x:c>
      <x:c r="G10166" s="13" t="str">
        <x:v>Ibovespa_earnings_consolidated.xlsx</x:v>
      </x:c>
    </x:row>
    <x:row r="10167">
      <x:c r="A10167" s="15" t="n">
        <x:v>44866</x:v>
      </x:c>
      <x:c r="B10167" s="13" t="str">
        <x:v>MINERVA SA</x:v>
      </x:c>
      <x:c r="C10167" s="16" t="n">
        <x:v>1166.5928886356</x:v>
      </x:c>
      <x:c r="D10167" s="13" t="str">
        <x:v>Food &amp; Beverages</x:v>
      </x:c>
      <x:c r="E10167" s="13" t="str">
        <x:v>Agri, Food &amp; Beverages</x:v>
      </x:c>
      <x:c r="F10167" s="13" t="str">
        <x:v>Defensives</x:v>
      </x:c>
      <x:c r="G10167" s="13" t="str">
        <x:v>Ibovespa_earnings_consolidated.xlsx</x:v>
      </x:c>
    </x:row>
    <x:row r="10168">
      <x:c r="A10168" s="15" t="n">
        <x:v>44866</x:v>
      </x:c>
      <x:c r="B10168" s="13" t="str">
        <x:v>FLEURY SA</x:v>
      </x:c>
      <x:c r="C10168" s="16" t="n">
        <x:v>367.1599924603</x:v>
      </x:c>
      <x:c r="D10168" s="13" t="str">
        <x:v>Health Care</x:v>
      </x:c>
      <x:c r="E10168" s="13" t="str">
        <x:v>Health Care</x:v>
      </x:c>
      <x:c r="F10168" s="13" t="str">
        <x:v>Defensives</x:v>
      </x:c>
      <x:c r="G10168" s="13" t="str">
        <x:v>Ibovespa_earnings_consolidated.xlsx</x:v>
      </x:c>
    </x:row>
    <x:row r="10169">
      <x:c r="A10169" s="15" t="n">
        <x:v>44866</x:v>
      </x:c>
      <x:c r="B10169" s="13" t="str">
        <x:v>HAPVIDA PARTICIPACOES E INVE</x:v>
      </x:c>
      <x:c r="C10169" s="16" t="n">
        <x:v>1339.2446247452</x:v>
      </x:c>
      <x:c r="D10169" s="13" t="str">
        <x:v>Health Care</x:v>
      </x:c>
      <x:c r="E10169" s="13" t="str">
        <x:v>Health Care</x:v>
      </x:c>
      <x:c r="F10169" s="13" t="str">
        <x:v>Defensives</x:v>
      </x:c>
      <x:c r="G10169" s="13" t="str">
        <x:v>Ibovespa_earnings_consolidated.xlsx</x:v>
      </x:c>
    </x:row>
    <x:row r="10170">
      <x:c r="A10170" s="15" t="n">
        <x:v>44866</x:v>
      </x:c>
      <x:c r="B10170" s="13" t="str">
        <x:v>HYPERA SA</x:v>
      </x:c>
      <x:c r="C10170" s="16" t="n">
        <x:v>1955.219021852</x:v>
      </x:c>
      <x:c r="D10170" s="13" t="str">
        <x:v>Health Care</x:v>
      </x:c>
      <x:c r="E10170" s="13" t="str">
        <x:v>Health Care</x:v>
      </x:c>
      <x:c r="F10170" s="13" t="str">
        <x:v>Defensives</x:v>
      </x:c>
      <x:c r="G10170" s="13" t="str">
        <x:v>Ibovespa_earnings_consolidated.xlsx</x:v>
      </x:c>
    </x:row>
    <x:row r="10171">
      <x:c r="A10171" s="15" t="n">
        <x:v>44866</x:v>
      </x:c>
      <x:c r="B10171" s="13" t="str">
        <x:v>QUALICORP CONS E CORR SEG SA</x:v>
      </x:c>
      <x:c r="C10171" s="16" t="n">
        <x:v>250.2397369863</x:v>
      </x:c>
      <x:c r="D10171" s="13" t="str">
        <x:v>Health Care</x:v>
      </x:c>
      <x:c r="E10171" s="13" t="str">
        <x:v>Health Care</x:v>
      </x:c>
      <x:c r="F10171" s="13" t="str">
        <x:v>Defensives</x:v>
      </x:c>
      <x:c r="G10171" s="13" t="str">
        <x:v>Ibovespa_earnings_consolidated.xlsx</x:v>
      </x:c>
    </x:row>
    <x:row r="10172">
      <x:c r="A10172" s="15" t="n">
        <x:v>44866</x:v>
      </x:c>
      <x:c r="B10172" s="13" t="str">
        <x:v>REDE D'OR SAO LUIZ SA</x:v>
      </x:c>
      <x:c r="C10172" s="16" t="n">
        <x:v>2602.6879614247</x:v>
      </x:c>
      <x:c r="D10172" s="13" t="str">
        <x:v>Health Care</x:v>
      </x:c>
      <x:c r="E10172" s="13" t="str">
        <x:v>Health Care</x:v>
      </x:c>
      <x:c r="F10172" s="13" t="str">
        <x:v>Defensives</x:v>
      </x:c>
      <x:c r="G10172" s="13" t="str">
        <x:v>Ibovespa_earnings_consolidated.xlsx</x:v>
      </x:c>
    </x:row>
    <x:row r="10173">
      <x:c r="A10173" s="15" t="n">
        <x:v>44866</x:v>
      </x:c>
      <x:c r="B10173" s="13" t="str">
        <x:v>SUL AMERICA SA - UNITS</x:v>
      </x:c>
      <x:c r="C10173" s="16" t="n">
        <x:v>852.6759231123</x:v>
      </x:c>
      <x:c r="D10173" s="13" t="str">
        <x:v>Health Care</x:v>
      </x:c>
      <x:c r="E10173" s="13" t="str">
        <x:v>Health Care</x:v>
      </x:c>
      <x:c r="F10173" s="13" t="str">
        <x:v>Defensives</x:v>
      </x:c>
      <x:c r="G10173" s="13" t="str">
        <x:v>Ibovespa_earnings_consolidated.xlsx</x:v>
      </x:c>
    </x:row>
    <x:row r="10174">
      <x:c r="A10174" s="15" t="n">
        <x:v>44866</x:v>
      </x:c>
      <x:c r="B10174" s="13" t="str">
        <x:v>CYRELA BRAZIL REALTY SA EMP</x:v>
      </x:c>
      <x:c r="C10174" s="16" t="n">
        <x:v>913.0271139068</x:v>
      </x:c>
      <x:c r="D10174" s="13" t="str">
        <x:v>Homebuilders</x:v>
      </x:c>
      <x:c r="E10174" s="13" t="str">
        <x:v>Real Estate</x:v>
      </x:c>
      <x:c r="F10174" s="13" t="str">
        <x:v>Early Cyclicals</x:v>
      </x:c>
      <x:c r="G10174" s="13" t="str">
        <x:v>Ibovespa_earnings_consolidated.xlsx</x:v>
      </x:c>
    </x:row>
    <x:row r="10175">
      <x:c r="A10175" s="15" t="n">
        <x:v>44866</x:v>
      </x:c>
      <x:c r="B10175" s="13" t="str">
        <x:v>EZ TEC EMPREENDIMENTOS E PAR</x:v>
      </x:c>
      <x:c r="C10175" s="16" t="n">
        <x:v>433.7617424658</x:v>
      </x:c>
      <x:c r="D10175" s="13" t="str">
        <x:v>Homebuilders</x:v>
      </x:c>
      <x:c r="E10175" s="13" t="str">
        <x:v>Real Estate</x:v>
      </x:c>
      <x:c r="F10175" s="13" t="str">
        <x:v>Early Cyclicals</x:v>
      </x:c>
      <x:c r="G10175" s="13" t="str">
        <x:v>Ibovespa_earnings_consolidated.xlsx</x:v>
      </x:c>
    </x:row>
    <x:row r="10176">
      <x:c r="A10176" s="15" t="n">
        <x:v>44866</x:v>
      </x:c>
      <x:c r="B10176" s="13" t="str">
        <x:v>MRV ENGENHARIA</x:v>
      </x:c>
      <x:c r="C10176" s="16" t="n">
        <x:v>533.8885312877</x:v>
      </x:c>
      <x:c r="D10176" s="13" t="str">
        <x:v>Homebuilders</x:v>
      </x:c>
      <x:c r="E10176" s="13" t="str">
        <x:v>Real Estate</x:v>
      </x:c>
      <x:c r="F10176" s="13" t="str">
        <x:v>Early Cyclicals</x:v>
      </x:c>
      <x:c r="G10176" s="13" t="str">
        <x:v>Ibovespa_earnings_consolidated.xlsx</x:v>
      </x:c>
    </x:row>
    <x:row r="10177">
      <x:c r="A10177" s="15" t="n">
        <x:v>44866</x:v>
      </x:c>
      <x:c r="B10177" s="13" t="str">
        <x:v>BR MALLS PARTICIPACOES SA</x:v>
      </x:c>
      <x:c r="C10177" s="16" t="n">
        <x:v>616.8265975233</x:v>
      </x:c>
      <x:c r="D10177" s="13" t="str">
        <x:v>Income Properties</x:v>
      </x:c>
      <x:c r="E10177" s="13" t="str">
        <x:v>Real Estate</x:v>
      </x:c>
      <x:c r="F10177" s="13" t="str">
        <x:v>Early Cyclicals</x:v>
      </x:c>
      <x:c r="G10177" s="13" t="str">
        <x:v>Ibovespa_earnings_consolidated.xlsx</x:v>
      </x:c>
    </x:row>
    <x:row r="10178">
      <x:c r="A10178" s="15" t="n">
        <x:v>44866</x:v>
      </x:c>
      <x:c r="B10178" s="13" t="str">
        <x:v>IGUATEMI SA - UNITS</x:v>
      </x:c>
      <x:c r="C10178" s="16" t="n">
        <x:v>326.738073074</x:v>
      </x:c>
      <x:c r="D10178" s="13" t="str">
        <x:v>Income Properties</x:v>
      </x:c>
      <x:c r="E10178" s="13" t="str">
        <x:v>Real Estate</x:v>
      </x:c>
      <x:c r="F10178" s="13" t="str">
        <x:v>Early Cyclicals</x:v>
      </x:c>
      <x:c r="G10178" s="13" t="str">
        <x:v>Ibovespa_earnings_consolidated.xlsx</x:v>
      </x:c>
    </x:row>
    <x:row r="10179">
      <x:c r="A10179" s="15" t="n">
        <x:v>44866</x:v>
      </x:c>
      <x:c r="B10179" s="13" t="str">
        <x:v>MULTIPLAN EMPREENDIMENTOS</x:v>
      </x:c>
      <x:c r="C10179" s="16" t="n">
        <x:v>826.0634944877</x:v>
      </x:c>
      <x:c r="D10179" s="13" t="str">
        <x:v>Income Properties</x:v>
      </x:c>
      <x:c r="E10179" s="13" t="str">
        <x:v>Real Estate</x:v>
      </x:c>
      <x:c r="F10179" s="13" t="str">
        <x:v>Early Cyclicals</x:v>
      </x:c>
      <x:c r="G10179" s="13" t="str">
        <x:v>Ibovespa_earnings_consolidated.xlsx</x:v>
      </x:c>
    </x:row>
    <x:row r="10180">
      <x:c r="A10180" s="15" t="n">
        <x:v>44866</x:v>
      </x:c>
      <x:c r="B10180" s="13" t="str">
        <x:v>BRADESPAR SA -PREF</x:v>
      </x:c>
      <x:c r="C10180" s="16" t="n">
        <x:v>2299.2946295233</x:v>
      </x:c>
      <x:c r="D10180" s="13" t="str">
        <x:v>Metals &amp; Mining</x:v>
      </x:c>
      <x:c r="E10180" s="13" t="str">
        <x:v>Metals &amp; Mining</x:v>
      </x:c>
      <x:c r="F10180" s="13" t="str">
        <x:v>Deep Cyclicals</x:v>
      </x:c>
      <x:c r="G10180" s="13" t="str">
        <x:v>Ibovespa_earnings_consolidated.xlsx</x:v>
      </x:c>
    </x:row>
    <x:row r="10181">
      <x:c r="A10181" s="15" t="n">
        <x:v>44866</x:v>
      </x:c>
      <x:c r="B10181" s="13" t="str">
        <x:v>CIA SIDERURGICA NACIONAL SA</x:v>
      </x:c>
      <x:c r="C10181" s="16" t="n">
        <x:v>3306.6214897973</x:v>
      </x:c>
      <x:c r="D10181" s="13" t="str">
        <x:v>Metals &amp; Mining</x:v>
      </x:c>
      <x:c r="E10181" s="13" t="str">
        <x:v>Metals &amp; Mining</x:v>
      </x:c>
      <x:c r="F10181" s="13" t="str">
        <x:v>Deep Cyclicals</x:v>
      </x:c>
      <x:c r="G10181" s="13" t="str">
        <x:v>Ibovespa_earnings_consolidated.xlsx</x:v>
      </x:c>
    </x:row>
    <x:row r="10182">
      <x:c r="A10182" s="15" t="n">
        <x:v>44866</x:v>
      </x:c>
      <x:c r="B10182" s="13" t="str">
        <x:v>CSN MINERACAO SA</x:v>
      </x:c>
      <x:c r="C10182" s="16" t="n">
        <x:v>2623.0493611836</x:v>
      </x:c>
      <x:c r="D10182" s="13" t="str">
        <x:v>Metals &amp; Mining</x:v>
      </x:c>
      <x:c r="E10182" s="13" t="str">
        <x:v>Metals &amp; Mining</x:v>
      </x:c>
      <x:c r="F10182" s="13" t="str">
        <x:v>Deep Cyclicals</x:v>
      </x:c>
      <x:c r="G10182" s="13" t="str">
        <x:v>Ibovespa_earnings_consolidated.xlsx</x:v>
      </x:c>
    </x:row>
    <x:row r="10183">
      <x:c r="A10183" s="15" t="n">
        <x:v>44866</x:v>
      </x:c>
      <x:c r="B10183" s="13" t="str">
        <x:v>GERDAU SA-PREF</x:v>
      </x:c>
      <x:c r="C10183" s="16" t="n">
        <x:v>8161.7137327342</x:v>
      </x:c>
      <x:c r="D10183" s="13" t="str">
        <x:v>Metals &amp; Mining</x:v>
      </x:c>
      <x:c r="E10183" s="13" t="str">
        <x:v>Metals &amp; Mining</x:v>
      </x:c>
      <x:c r="F10183" s="13" t="str">
        <x:v>Deep Cyclicals</x:v>
      </x:c>
      <x:c r="G10183" s="13" t="str">
        <x:v>Ibovespa_earnings_consolidated.xlsx</x:v>
      </x:c>
    </x:row>
    <x:row r="10184">
      <x:c r="A10184" s="15" t="n">
        <x:v>44866</x:v>
      </x:c>
      <x:c r="B10184" s="13" t="str">
        <x:v>METALURGICA GERDAU SA-PREF</x:v>
      </x:c>
      <x:c r="C10184" s="16" t="n">
        <x:v>2249.4026920329</x:v>
      </x:c>
      <x:c r="D10184" s="13" t="str">
        <x:v>Metals &amp; Mining</x:v>
      </x:c>
      <x:c r="E10184" s="13" t="str">
        <x:v>Metals &amp; Mining</x:v>
      </x:c>
      <x:c r="F10184" s="13" t="str">
        <x:v>Deep Cyclicals</x:v>
      </x:c>
      <x:c r="G10184" s="13" t="str">
        <x:v>Ibovespa_earnings_consolidated.xlsx</x:v>
      </x:c>
    </x:row>
    <x:row r="10185">
      <x:c r="A10185" s="15" t="n">
        <x:v>44866</x:v>
      </x:c>
      <x:c r="B10185" s="13" t="str">
        <x:v>USINAS SIDER MINAS GER-PF A</x:v>
      </x:c>
      <x:c r="C10185" s="16" t="n">
        <x:v>1887.4548238027</x:v>
      </x:c>
      <x:c r="D10185" s="13" t="str">
        <x:v>Metals &amp; Mining</x:v>
      </x:c>
      <x:c r="E10185" s="13" t="str">
        <x:v>Metals &amp; Mining</x:v>
      </x:c>
      <x:c r="F10185" s="13" t="str">
        <x:v>Deep Cyclicals</x:v>
      </x:c>
      <x:c r="G10185" s="13" t="str">
        <x:v>Ibovespa_earnings_consolidated.xlsx</x:v>
      </x:c>
    </x:row>
    <x:row r="10186">
      <x:c r="A10186" s="15" t="n">
        <x:v>44866</x:v>
      </x:c>
      <x:c r="B10186" s="13" t="str">
        <x:v>VALE SA</x:v>
      </x:c>
      <x:c r="C10186" s="16" t="n">
        <x:v>62081.5719438027</x:v>
      </x:c>
      <x:c r="D10186" s="13" t="str">
        <x:v>Metals &amp; Mining</x:v>
      </x:c>
      <x:c r="E10186" s="13" t="str">
        <x:v>Metals &amp; Mining</x:v>
      </x:c>
      <x:c r="F10186" s="13" t="str">
        <x:v>Deep Cyclicals</x:v>
      </x:c>
      <x:c r="G10186" s="13" t="str">
        <x:v>Ibovespa_earnings_consolidated.xlsx</x:v>
      </x:c>
    </x:row>
    <x:row r="10187">
      <x:c r="A10187" s="15" t="n">
        <x:v>44866</x:v>
      </x:c>
      <x:c r="B10187" s="13" t="str">
        <x:v>BRASKEM SA-PREF A</x:v>
      </x:c>
      <x:c r="C10187" s="16" t="n">
        <x:v>3308.4365859068</x:v>
      </x:c>
      <x:c r="D10187" s="13" t="str">
        <x:v>Oil, Gas &amp; Petrochemicals</x:v>
      </x:c>
      <x:c r="E10187" s="13" t="str">
        <x:v>Oil, Gas &amp; Petrochemicals</x:v>
      </x:c>
      <x:c r="F10187" s="13" t="str">
        <x:v>Deep Cyclicals</x:v>
      </x:c>
      <x:c r="G10187" s="13" t="str">
        <x:v>Ibovespa_earnings_consolidated.xlsx</x:v>
      </x:c>
    </x:row>
    <x:row r="10188">
      <x:c r="A10188" s="15" t="n">
        <x:v>44866</x:v>
      </x:c>
      <x:c r="B10188" s="13" t="str">
        <x:v>BRAVA ENERGIA</x:v>
      </x:c>
      <x:c r="C10188" s="16" t="n">
        <x:v>2540.3873788493</x:v>
      </x:c>
      <x:c r="D10188" s="13" t="str">
        <x:v>Oil, Gas &amp; Petrochemicals</x:v>
      </x:c>
      <x:c r="E10188" s="13" t="str">
        <x:v>Oil, Gas &amp; Petrochemicals</x:v>
      </x:c>
      <x:c r="F10188" s="13" t="str">
        <x:v>Deep Cyclicals</x:v>
      </x:c>
      <x:c r="G10188" s="13" t="str">
        <x:v>Ibovespa_earnings_consolidated.xlsx</x:v>
      </x:c>
    </x:row>
    <x:row r="10189">
      <x:c r="A10189" s="15" t="n">
        <x:v>44866</x:v>
      </x:c>
      <x:c r="B10189" s="13" t="str">
        <x:v>COSAN SA</x:v>
      </x:c>
      <x:c r="C10189" s="16" t="n">
        <x:v>3659.7195670794</x:v>
      </x:c>
      <x:c r="D10189" s="13" t="str">
        <x:v>Oil, Gas &amp; Petrochemicals</x:v>
      </x:c>
      <x:c r="E10189" s="13" t="str">
        <x:v>Oil, Gas &amp; Petrochemicals</x:v>
      </x:c>
      <x:c r="F10189" s="13" t="str">
        <x:v>Deep Cyclicals</x:v>
      </x:c>
      <x:c r="G10189" s="13" t="str">
        <x:v>Ibovespa_earnings_consolidated.xlsx</x:v>
      </x:c>
    </x:row>
    <x:row r="10190">
      <x:c r="A10190" s="15" t="n">
        <x:v>44866</x:v>
      </x:c>
      <x:c r="B10190" s="13" t="str">
        <x:v>PETROBRAS - PETROLEO BRAS</x:v>
      </x:c>
      <x:c r="C10190" s="16" t="n">
        <x:v>127172.724483507</x:v>
      </x:c>
      <x:c r="D10190" s="13" t="str">
        <x:v>Oil, Gas &amp; Petrochemicals</x:v>
      </x:c>
      <x:c r="E10190" s="13" t="str">
        <x:v>Oil, Gas &amp; Petrochemicals</x:v>
      </x:c>
      <x:c r="F10190" s="13" t="str">
        <x:v>Deep Cyclicals</x:v>
      </x:c>
      <x:c r="G10190" s="13" t="str">
        <x:v>Ibovespa_earnings_consolidated.xlsx</x:v>
      </x:c>
    </x:row>
    <x:row r="10191">
      <x:c r="A10191" s="15" t="n">
        <x:v>44866</x:v>
      </x:c>
      <x:c r="B10191" s="13" t="str">
        <x:v>PRIO SA</x:v>
      </x:c>
      <x:c r="C10191" s="16" t="n">
        <x:v>4790.9973097206</x:v>
      </x:c>
      <x:c r="D10191" s="13" t="str">
        <x:v>Oil, Gas &amp; Petrochemicals</x:v>
      </x:c>
      <x:c r="E10191" s="13" t="str">
        <x:v>Oil, Gas &amp; Petrochemicals</x:v>
      </x:c>
      <x:c r="F10191" s="13" t="str">
        <x:v>Deep Cyclicals</x:v>
      </x:c>
      <x:c r="G10191" s="13" t="str">
        <x:v>Ibovespa_earnings_consolidated.xlsx</x:v>
      </x:c>
    </x:row>
    <x:row r="10192">
      <x:c r="A10192" s="15" t="n">
        <x:v>44866</x:v>
      </x:c>
      <x:c r="B10192" s="13" t="str">
        <x:v>ULTRAPAR PARTICIPACOES SA</x:v>
      </x:c>
      <x:c r="C10192" s="16" t="n">
        <x:v>1200.3210948384</x:v>
      </x:c>
      <x:c r="D10192" s="13" t="str">
        <x:v>Oil, Gas &amp; Petrochemicals</x:v>
      </x:c>
      <x:c r="E10192" s="13" t="str">
        <x:v>Oil, Gas &amp; Petrochemicals</x:v>
      </x:c>
      <x:c r="F10192" s="13" t="str">
        <x:v>Deep Cyclicals</x:v>
      </x:c>
      <x:c r="G10192" s="13" t="str">
        <x:v>Ibovespa_earnings_consolidated.xlsx</x:v>
      </x:c>
    </x:row>
    <x:row r="10193">
      <x:c r="A10193" s="15" t="n">
        <x:v>44866</x:v>
      </x:c>
      <x:c r="B10193" s="13" t="str">
        <x:v>VIBRA ENERGIA SA</x:v>
      </x:c>
      <x:c r="C10193" s="16" t="n">
        <x:v>2230.2670234301</x:v>
      </x:c>
      <x:c r="D10193" s="13" t="str">
        <x:v>Oil, Gas &amp; Petrochemicals</x:v>
      </x:c>
      <x:c r="E10193" s="13" t="str">
        <x:v>Oil, Gas &amp; Petrochemicals</x:v>
      </x:c>
      <x:c r="F10193" s="13" t="str">
        <x:v>Deep Cyclicals</x:v>
      </x:c>
      <x:c r="G10193" s="13" t="str">
        <x:v>Ibovespa_earnings_consolidated.xlsx</x:v>
      </x:c>
    </x:row>
    <x:row r="10194">
      <x:c r="A10194" s="15" t="n">
        <x:v>44866</x:v>
      </x:c>
      <x:c r="B10194" s="13" t="str">
        <x:v>DEXCO SA</x:v>
      </x:c>
      <x:c r="C10194" s="16" t="n">
        <x:v>635.6693116493</x:v>
      </x:c>
      <x:c r="D10194" s="13" t="str">
        <x:v>Pulp &amp; Paper</x:v>
      </x:c>
      <x:c r="E10194" s="13" t="str">
        <x:v>Pulp &amp; Paper</x:v>
      </x:c>
      <x:c r="F10194" s="13" t="str">
        <x:v>Deep Cyclicals</x:v>
      </x:c>
      <x:c r="G10194" s="13" t="str">
        <x:v>Ibovespa_earnings_consolidated.xlsx</x:v>
      </x:c>
    </x:row>
    <x:row r="10195">
      <x:c r="A10195" s="15" t="n">
        <x:v>44866</x:v>
      </x:c>
      <x:c r="B10195" s="13" t="str">
        <x:v>KLABIN SA - UNIT</x:v>
      </x:c>
      <x:c r="C10195" s="16" t="n">
        <x:v>2415.5437960767</x:v>
      </x:c>
      <x:c r="D10195" s="13" t="str">
        <x:v>Pulp &amp; Paper</x:v>
      </x:c>
      <x:c r="E10195" s="13" t="str">
        <x:v>Pulp &amp; Paper</x:v>
      </x:c>
      <x:c r="F10195" s="13" t="str">
        <x:v>Deep Cyclicals</x:v>
      </x:c>
      <x:c r="G10195" s="13" t="str">
        <x:v>Ibovespa_earnings_consolidated.xlsx</x:v>
      </x:c>
    </x:row>
    <x:row r="10196">
      <x:c r="A10196" s="15" t="n">
        <x:v>44866</x:v>
      </x:c>
      <x:c r="B10196" s="13" t="str">
        <x:v>SUZANO SA</x:v>
      </x:c>
      <x:c r="C10196" s="16" t="n">
        <x:v>9828.670264811</x:v>
      </x:c>
      <x:c r="D10196" s="13" t="str">
        <x:v>Pulp &amp; Paper</x:v>
      </x:c>
      <x:c r="E10196" s="13" t="str">
        <x:v>Pulp &amp; Paper</x:v>
      </x:c>
      <x:c r="F10196" s="13" t="str">
        <x:v>Deep Cyclicals</x:v>
      </x:c>
      <x:c r="G10196" s="13" t="str">
        <x:v>Ibovespa_earnings_consolidated.xlsx</x:v>
      </x:c>
    </x:row>
    <x:row r="10197">
      <x:c r="A10197" s="15" t="n">
        <x:v>44866</x:v>
      </x:c>
      <x:c r="B10197" s="13" t="str">
        <x:v>ALPARGATAS SA - PREF</x:v>
      </x:c>
      <x:c r="C10197" s="16" t="n">
        <x:v>682.2541936219</x:v>
      </x:c>
      <x:c r="D10197" s="13" t="str">
        <x:v>Retail</x:v>
      </x:c>
      <x:c r="E10197" s="13" t="str">
        <x:v>Retail</x:v>
      </x:c>
      <x:c r="F10197" s="13" t="str">
        <x:v>Early Cyclicals</x:v>
      </x:c>
      <x:c r="G10197" s="13" t="str">
        <x:v>Ibovespa_earnings_consolidated.xlsx</x:v>
      </x:c>
    </x:row>
    <x:row r="10198">
      <x:c r="A10198" s="15" t="n">
        <x:v>44866</x:v>
      </x:c>
      <x:c r="B10198" s="13" t="str">
        <x:v>AMERICANAS SA</x:v>
      </x:c>
      <x:c r="C10198" s="16" t="n">
        <x:v>267.2172511562</x:v>
      </x:c>
      <x:c r="D10198" s="13" t="str">
        <x:v>Retail</x:v>
      </x:c>
      <x:c r="E10198" s="13" t="str">
        <x:v>Retail</x:v>
      </x:c>
      <x:c r="F10198" s="13" t="str">
        <x:v>Early Cyclicals</x:v>
      </x:c>
      <x:c r="G10198" s="13" t="str">
        <x:v>Ibovespa_earnings_consolidated.xlsx</x:v>
      </x:c>
    </x:row>
    <x:row r="10199">
      <x:c r="A10199" s="15" t="n">
        <x:v>44866</x:v>
      </x:c>
      <x:c r="B10199" s="13" t="str">
        <x:v>ATACADAO SA</x:v>
      </x:c>
      <x:c r="C10199" s="16" t="n">
        <x:v>2333.0605680219</x:v>
      </x:c>
      <x:c r="D10199" s="13" t="str">
        <x:v>Retail</x:v>
      </x:c>
      <x:c r="E10199" s="13" t="str">
        <x:v>Retail</x:v>
      </x:c>
      <x:c r="F10199" s="13" t="str">
        <x:v>Early Cyclicals</x:v>
      </x:c>
      <x:c r="G10199" s="13" t="str">
        <x:v>Ibovespa_earnings_consolidated.xlsx</x:v>
      </x:c>
    </x:row>
    <x:row r="10200">
      <x:c r="A10200" s="15" t="n">
        <x:v>44866</x:v>
      </x:c>
      <x:c r="B10200" s="13" t="str">
        <x:v>AZZAS 2154 SA</x:v>
      </x:c>
      <x:c r="C10200" s="16" t="n">
        <x:v>527.8533497863</x:v>
      </x:c>
      <x:c r="D10200" s="13" t="str">
        <x:v>Retail</x:v>
      </x:c>
      <x:c r="E10200" s="13" t="str">
        <x:v>Retail</x:v>
      </x:c>
      <x:c r="F10200" s="13" t="str">
        <x:v>Early Cyclicals</x:v>
      </x:c>
      <x:c r="G10200" s="13" t="str">
        <x:v>Ibovespa_earnings_consolidated.xlsx</x:v>
      </x:c>
    </x:row>
    <x:row r="10201">
      <x:c r="A10201" s="15" t="n">
        <x:v>44866</x:v>
      </x:c>
      <x:c r="B10201" s="13" t="str">
        <x:v>CIA BRASILEIRA DE DISTRIBUIC</x:v>
      </x:c>
      <x:c r="C10201" s="16" t="n">
        <x:v>408.6984148164</x:v>
      </x:c>
      <x:c r="D10201" s="13" t="str">
        <x:v>Retail</x:v>
      </x:c>
      <x:c r="E10201" s="13" t="str">
        <x:v>Retail</x:v>
      </x:c>
      <x:c r="F10201" s="13" t="str">
        <x:v>Early Cyclicals</x:v>
      </x:c>
      <x:c r="G10201" s="13" t="str">
        <x:v>Ibovespa_earnings_consolidated.xlsx</x:v>
      </x:c>
    </x:row>
    <x:row r="10202">
      <x:c r="A10202" s="15" t="n">
        <x:v>44866</x:v>
      </x:c>
      <x:c r="B10202" s="13" t="str">
        <x:v>CVC BRASIL OPERADORA E AGENC</x:v>
      </x:c>
      <x:c r="C10202" s="16" t="n">
        <x:v>-70.7837086247</x:v>
      </x:c>
      <x:c r="D10202" s="13" t="str">
        <x:v>Retail</x:v>
      </x:c>
      <x:c r="E10202" s="13" t="str">
        <x:v>Retail</x:v>
      </x:c>
      <x:c r="F10202" s="13" t="str">
        <x:v>Early Cyclicals</x:v>
      </x:c>
      <x:c r="G10202" s="13" t="str">
        <x:v>Ibovespa_earnings_consolidated.xlsx</x:v>
      </x:c>
    </x:row>
    <x:row r="10203">
      <x:c r="A10203" s="15" t="n">
        <x:v>44866</x:v>
      </x:c>
      <x:c r="B10203" s="13" t="str">
        <x:v>GRUPO CASAS BAHIA SA</x:v>
      </x:c>
      <x:c r="C10203" s="16" t="n">
        <x:v>-193.8093150685</x:v>
      </x:c>
      <x:c r="D10203" s="13" t="str">
        <x:v>Retail</x:v>
      </x:c>
      <x:c r="E10203" s="13" t="str">
        <x:v>Retail</x:v>
      </x:c>
      <x:c r="F10203" s="13" t="str">
        <x:v>Early Cyclicals</x:v>
      </x:c>
      <x:c r="G10203" s="13" t="str">
        <x:v>Ibovespa_earnings_consolidated.xlsx</x:v>
      </x:c>
    </x:row>
    <x:row r="10204">
      <x:c r="A10204" s="15" t="n">
        <x:v>44866</x:v>
      </x:c>
      <x:c r="B10204" s="13" t="str">
        <x:v>GRUPO DE MODA SOMA SA</x:v>
      </x:c>
      <x:c r="C10204" s="16" t="n">
        <x:v>568.5955472658</x:v>
      </x:c>
      <x:c r="D10204" s="13" t="str">
        <x:v>Retail</x:v>
      </x:c>
      <x:c r="E10204" s="13" t="str">
        <x:v>Retail</x:v>
      </x:c>
      <x:c r="F10204" s="13" t="str">
        <x:v>Early Cyclicals</x:v>
      </x:c>
      <x:c r="G10204" s="13" t="str">
        <x:v>Ibovespa_earnings_consolidated.xlsx</x:v>
      </x:c>
    </x:row>
    <x:row r="10205">
      <x:c r="A10205" s="15" t="n">
        <x:v>44866</x:v>
      </x:c>
      <x:c r="B10205" s="13" t="str">
        <x:v>LOJAS RENNER S.A.</x:v>
      </x:c>
      <x:c r="C10205" s="16" t="n">
        <x:v>1626.6040488329</x:v>
      </x:c>
      <x:c r="D10205" s="13" t="str">
        <x:v>Retail</x:v>
      </x:c>
      <x:c r="E10205" s="13" t="str">
        <x:v>Retail</x:v>
      </x:c>
      <x:c r="F10205" s="13" t="str">
        <x:v>Early Cyclicals</x:v>
      </x:c>
      <x:c r="G10205" s="13" t="str">
        <x:v>Ibovespa_earnings_consolidated.xlsx</x:v>
      </x:c>
    </x:row>
    <x:row r="10206">
      <x:c r="A10206" s="15" t="n">
        <x:v>44866</x:v>
      </x:c>
      <x:c r="B10206" s="13" t="str">
        <x:v>MAGAZINE LUIZA SA</x:v>
      </x:c>
      <x:c r="C10206" s="16" t="n">
        <x:v>203.7869260274</x:v>
      </x:c>
      <x:c r="D10206" s="13" t="str">
        <x:v>Retail</x:v>
      </x:c>
      <x:c r="E10206" s="13" t="str">
        <x:v>Retail</x:v>
      </x:c>
      <x:c r="F10206" s="13" t="str">
        <x:v>Early Cyclicals</x:v>
      </x:c>
      <x:c r="G10206" s="13" t="str">
        <x:v>Ibovespa_earnings_consolidated.xlsx</x:v>
      </x:c>
    </x:row>
    <x:row r="10207">
      <x:c r="A10207" s="15" t="n">
        <x:v>44866</x:v>
      </x:c>
      <x:c r="B10207" s="13" t="str">
        <x:v>NATURA &amp;CO HOLDING SA</x:v>
      </x:c>
      <x:c r="C10207" s="16" t="n">
        <x:v>463.4319146082</x:v>
      </x:c>
      <x:c r="D10207" s="13" t="str">
        <x:v>Retail</x:v>
      </x:c>
      <x:c r="E10207" s="13" t="str">
        <x:v>Retail</x:v>
      </x:c>
      <x:c r="F10207" s="13" t="str">
        <x:v>Early Cyclicals</x:v>
      </x:c>
      <x:c r="G10207" s="13" t="str">
        <x:v>Ibovespa_earnings_consolidated.xlsx</x:v>
      </x:c>
    </x:row>
    <x:row r="10208">
      <x:c r="A10208" s="15" t="n">
        <x:v>44866</x:v>
      </x:c>
      <x:c r="B10208" s="13" t="str">
        <x:v>PET CENTER COMERCIO E PARTIC</x:v>
      </x:c>
      <x:c r="C10208" s="16" t="n">
        <x:v>154.8867600658</x:v>
      </x:c>
      <x:c r="D10208" s="13" t="str">
        <x:v>Retail</x:v>
      </x:c>
      <x:c r="E10208" s="13" t="str">
        <x:v>Retail</x:v>
      </x:c>
      <x:c r="F10208" s="13" t="str">
        <x:v>Early Cyclicals</x:v>
      </x:c>
      <x:c r="G10208" s="13" t="str">
        <x:v>Ibovespa_earnings_consolidated.xlsx</x:v>
      </x:c>
    </x:row>
    <x:row r="10209">
      <x:c r="A10209" s="15" t="n">
        <x:v>44866</x:v>
      </x:c>
      <x:c r="B10209" s="13" t="str">
        <x:v>RAIA DROGASIL SA</x:v>
      </x:c>
      <x:c r="C10209" s="16" t="n">
        <x:v>1204.4389628493</x:v>
      </x:c>
      <x:c r="D10209" s="13" t="str">
        <x:v>Retail</x:v>
      </x:c>
      <x:c r="E10209" s="13" t="str">
        <x:v>Retail</x:v>
      </x:c>
      <x:c r="F10209" s="13" t="str">
        <x:v>Early Cyclicals</x:v>
      </x:c>
      <x:c r="G10209" s="13" t="str">
        <x:v>Ibovespa_earnings_consolidated.xlsx</x:v>
      </x:c>
    </x:row>
    <x:row r="10210">
      <x:c r="A10210" s="15" t="n">
        <x:v>44866</x:v>
      </x:c>
      <x:c r="B10210" s="13" t="str">
        <x:v>SENDAS DISTRIBUIDORA SA</x:v>
      </x:c>
      <x:c r="C10210" s="16" t="n">
        <x:v>1676.7245441753</x:v>
      </x:c>
      <x:c r="D10210" s="13" t="str">
        <x:v>Retail</x:v>
      </x:c>
      <x:c r="E10210" s="13" t="str">
        <x:v>Retail</x:v>
      </x:c>
      <x:c r="F10210" s="13" t="str">
        <x:v>Early Cyclicals</x:v>
      </x:c>
      <x:c r="G10210" s="13" t="str">
        <x:v>Ibovespa_earnings_consolidated.xlsx</x:v>
      </x:c>
    </x:row>
    <x:row r="10211">
      <x:c r="A10211" s="15" t="n">
        <x:v>44866</x:v>
      </x:c>
      <x:c r="B10211" s="13" t="str">
        <x:v>CIA SANEAMENTO BASICO DE SP</x:v>
      </x:c>
      <x:c r="C10211" s="16" t="n">
        <x:v>3207.0098782685</x:v>
      </x:c>
      <x:c r="D10211" s="13" t="str">
        <x:v>Sanitation</x:v>
      </x:c>
      <x:c r="E10211" s="13" t="str">
        <x:v>Utilities</x:v>
      </x:c>
      <x:c r="F10211" s="13" t="str">
        <x:v>Defensives</x:v>
      </x:c>
      <x:c r="G10211" s="13" t="str">
        <x:v>Ibovespa_earnings_consolidated.xlsx</x:v>
      </x:c>
    </x:row>
    <x:row r="10212">
      <x:c r="A10212" s="15" t="n">
        <x:v>44866</x:v>
      </x:c>
      <x:c r="B10212" s="13" t="str">
        <x:v>LWSA SA</x:v>
      </x:c>
      <x:c r="C10212" s="16" t="n">
        <x:v>134.1765534247</x:v>
      </x:c>
      <x:c r="D10212" s="13" t="str">
        <x:v>TMT</x:v>
      </x:c>
      <x:c r="E10212" s="13" t="str">
        <x:v>TMT</x:v>
      </x:c>
      <x:c r="F10212" s="13" t="str">
        <x:v>Early Cyclicals</x:v>
      </x:c>
      <x:c r="G10212" s="13" t="str">
        <x:v>Ibovespa_earnings_consolidated.xlsx</x:v>
      </x:c>
    </x:row>
    <x:row r="10213">
      <x:c r="A10213" s="15" t="n">
        <x:v>44866</x:v>
      </x:c>
      <x:c r="B10213" s="13" t="str">
        <x:v>POSITIVO TECNOLOGIA SA</x:v>
      </x:c>
      <x:c r="C10213" s="16" t="n">
        <x:v>295.4178082192</x:v>
      </x:c>
      <x:c r="D10213" s="13" t="str">
        <x:v>TMT</x:v>
      </x:c>
      <x:c r="E10213" s="13" t="str">
        <x:v>TMT</x:v>
      </x:c>
      <x:c r="F10213" s="13" t="str">
        <x:v>Early Cyclicals</x:v>
      </x:c>
      <x:c r="G10213" s="13" t="str">
        <x:v>Ibovespa_earnings_consolidated.xlsx</x:v>
      </x:c>
    </x:row>
    <x:row r="10214">
      <x:c r="A10214" s="15" t="n">
        <x:v>44866</x:v>
      </x:c>
      <x:c r="B10214" s="13" t="str">
        <x:v>TIM SA</x:v>
      </x:c>
      <x:c r="C10214" s="16" t="n">
        <x:v>2408.8753951562</x:v>
      </x:c>
      <x:c r="D10214" s="13" t="str">
        <x:v>TMT</x:v>
      </x:c>
      <x:c r="E10214" s="13" t="str">
        <x:v>TMT</x:v>
      </x:c>
      <x:c r="F10214" s="13" t="str">
        <x:v>Early Cyclicals</x:v>
      </x:c>
      <x:c r="G10214" s="13" t="str">
        <x:v>Ibovespa_earnings_consolidated.xlsx</x:v>
      </x:c>
    </x:row>
    <x:row r="10215">
      <x:c r="A10215" s="15" t="n">
        <x:v>44866</x:v>
      </x:c>
      <x:c r="B10215" s="13" t="str">
        <x:v>TOTVS SA</x:v>
      </x:c>
      <x:c r="C10215" s="16" t="n">
        <x:v>705.3921022247</x:v>
      </x:c>
      <x:c r="D10215" s="13" t="str">
        <x:v>TMT</x:v>
      </x:c>
      <x:c r="E10215" s="13" t="str">
        <x:v>TMT</x:v>
      </x:c>
      <x:c r="F10215" s="13" t="str">
        <x:v>Early Cyclicals</x:v>
      </x:c>
      <x:c r="G10215" s="13" t="str">
        <x:v>Ibovespa_earnings_consolidated.xlsx</x:v>
      </x:c>
    </x:row>
    <x:row r="10216">
      <x:c r="A10216" s="15" t="n">
        <x:v>44866</x:v>
      </x:c>
      <x:c r="B10216" s="13" t="str">
        <x:v>AZUL SA</x:v>
      </x:c>
      <x:c r="C10216" s="16" t="n">
        <x:v>-476.4473968219</x:v>
      </x:c>
      <x:c r="D10216" s="13" t="str">
        <x:v>Transportation</x:v>
      </x:c>
      <x:c r="E10216" s="13" t="str">
        <x:v>Transportation</x:v>
      </x:c>
      <x:c r="F10216" s="13" t="str">
        <x:v>Deep Cyclicals</x:v>
      </x:c>
      <x:c r="G10216" s="13" t="str">
        <x:v>Ibovespa_earnings_consolidated.xlsx</x:v>
      </x:c>
    </x:row>
    <x:row r="10217">
      <x:c r="A10217" s="15" t="n">
        <x:v>44866</x:v>
      </x:c>
      <x:c r="B10217" s="13" t="str">
        <x:v>ECORODOVIAS INFRA E LOG SA</x:v>
      </x:c>
      <x:c r="C10217" s="16" t="n">
        <x:v>319.3100008986</x:v>
      </x:c>
      <x:c r="D10217" s="13" t="str">
        <x:v>Transportation</x:v>
      </x:c>
      <x:c r="E10217" s="13" t="str">
        <x:v>Transportation</x:v>
      </x:c>
      <x:c r="F10217" s="13" t="str">
        <x:v>Deep Cyclicals</x:v>
      </x:c>
      <x:c r="G10217" s="13" t="str">
        <x:v>Ibovespa_earnings_consolidated.xlsx</x:v>
      </x:c>
    </x:row>
    <x:row r="10218">
      <x:c r="A10218" s="15" t="n">
        <x:v>44866</x:v>
      </x:c>
      <x:c r="B10218" s="13" t="str">
        <x:v>GOL LINHAS AEREAS INT SA-PRE</x:v>
      </x:c>
      <x:c r="C10218" s="16" t="n">
        <x:v>-93.7930671123</x:v>
      </x:c>
      <x:c r="D10218" s="13" t="str">
        <x:v>Transportation</x:v>
      </x:c>
      <x:c r="E10218" s="13" t="str">
        <x:v>Transportation</x:v>
      </x:c>
      <x:c r="F10218" s="13" t="str">
        <x:v>Deep Cyclicals</x:v>
      </x:c>
      <x:c r="G10218" s="13" t="str">
        <x:v>Ibovespa_earnings_consolidated.xlsx</x:v>
      </x:c>
    </x:row>
    <x:row r="10219">
      <x:c r="A10219" s="15" t="n">
        <x:v>44866</x:v>
      </x:c>
      <x:c r="B10219" s="13" t="str">
        <x:v>LOCALIZA RENT A CAR</x:v>
      </x:c>
      <x:c r="C10219" s="16" t="n">
        <x:v>2917.7353945425</x:v>
      </x:c>
      <x:c r="D10219" s="13" t="str">
        <x:v>Transportation</x:v>
      </x:c>
      <x:c r="E10219" s="13" t="str">
        <x:v>Transportation</x:v>
      </x:c>
      <x:c r="F10219" s="13" t="str">
        <x:v>Deep Cyclicals</x:v>
      </x:c>
      <x:c r="G10219" s="13" t="str">
        <x:v>Ibovespa_earnings_consolidated.xlsx</x:v>
      </x:c>
    </x:row>
    <x:row r="10220">
      <x:c r="A10220" s="15" t="n">
        <x:v>44866</x:v>
      </x:c>
      <x:c r="B10220" s="13" t="str">
        <x:v>MOTIVA INFRAESTRUTURA DE MOB</x:v>
      </x:c>
      <x:c r="C10220" s="16" t="n">
        <x:v>1757.131859463</x:v>
      </x:c>
      <x:c r="D10220" s="13" t="str">
        <x:v>Transportation</x:v>
      </x:c>
      <x:c r="E10220" s="13" t="str">
        <x:v>Transportation</x:v>
      </x:c>
      <x:c r="F10220" s="13" t="str">
        <x:v>Deep Cyclicals</x:v>
      </x:c>
      <x:c r="G10220" s="13" t="str">
        <x:v>Ibovespa_earnings_consolidated.xlsx</x:v>
      </x:c>
    </x:row>
    <x:row r="10221">
      <x:c r="A10221" s="15" t="n">
        <x:v>44866</x:v>
      </x:c>
      <x:c r="B10221" s="13" t="str">
        <x:v>RUMO SA</x:v>
      </x:c>
      <x:c r="C10221" s="16" t="n">
        <x:v>1164.1608880219</x:v>
      </x:c>
      <x:c r="D10221" s="13" t="str">
        <x:v>Transportation</x:v>
      </x:c>
      <x:c r="E10221" s="13" t="str">
        <x:v>Transportation</x:v>
      </x:c>
      <x:c r="F10221" s="13" t="str">
        <x:v>Deep Cyclicals</x:v>
      </x:c>
      <x:c r="G10221" s="13" t="str">
        <x:v>Ibovespa_earnings_consolidated.xlsx</x:v>
      </x:c>
    </x:row>
    <x:row r="10222">
      <x:c r="A10222" s="15" t="n">
        <x:v>44866</x:v>
      </x:c>
      <x:c r="B10222" s="13" t="str">
        <x:v>AXIA ENERGIA SA</x:v>
      </x:c>
      <x:c r="C10222" s="16" t="n">
        <x:v>8255.109394937</x:v>
      </x:c>
      <x:c r="D10222" s="13" t="str">
        <x:v>Utilities &amp; Energy</x:v>
      </x:c>
      <x:c r="E10222" s="13" t="str">
        <x:v>Utilities</x:v>
      </x:c>
      <x:c r="F10222" s="13" t="str">
        <x:v>Defensives</x:v>
      </x:c>
      <x:c r="G10222" s="13" t="str">
        <x:v>Ibovespa_earnings_consolidated.xlsx</x:v>
      </x:c>
    </x:row>
    <x:row r="10223">
      <x:c r="A10223" s="15" t="n">
        <x:v>44866</x:v>
      </x:c>
      <x:c r="B10223" s="13" t="str">
        <x:v>AXIA ENERGIA-PR B</x:v>
      </x:c>
      <x:c r="C10223" s="16" t="n">
        <x:v>8255.109394937</x:v>
      </x:c>
      <x:c r="D10223" s="13" t="str">
        <x:v>Utilities &amp; Energy</x:v>
      </x:c>
      <x:c r="E10223" s="13" t="str">
        <x:v>Utilities</x:v>
      </x:c>
      <x:c r="F10223" s="13" t="str">
        <x:v>Defensives</x:v>
      </x:c>
      <x:c r="G10223" s="13" t="str">
        <x:v>Ibovespa_earnings_consolidated.xlsx</x:v>
      </x:c>
    </x:row>
    <x:row r="10224">
      <x:c r="A10224" s="15" t="n">
        <x:v>44866</x:v>
      </x:c>
      <x:c r="B10224" s="13" t="str">
        <x:v>CIA ENERGETICA MINAS GER-PRF</x:v>
      </x:c>
      <x:c r="C10224" s="16" t="n">
        <x:v>3643.111736811</x:v>
      </x:c>
      <x:c r="D10224" s="13" t="str">
        <x:v>Utilities &amp; Energy</x:v>
      </x:c>
      <x:c r="E10224" s="13" t="str">
        <x:v>Utilities</x:v>
      </x:c>
      <x:c r="F10224" s="13" t="str">
        <x:v>Defensives</x:v>
      </x:c>
      <x:c r="G10224" s="13" t="str">
        <x:v>Ibovespa_earnings_consolidated.xlsx</x:v>
      </x:c>
    </x:row>
    <x:row r="10225">
      <x:c r="A10225" s="15" t="n">
        <x:v>44866</x:v>
      </x:c>
      <x:c r="B10225" s="13" t="str">
        <x:v>COMPANHIA PARANAENSE -PREF B</x:v>
      </x:c>
      <x:c r="C10225" s="16" t="n">
        <x:v>2398.9547039562</x:v>
      </x:c>
      <x:c r="D10225" s="13" t="str">
        <x:v>Utilities &amp; Energy</x:v>
      </x:c>
      <x:c r="E10225" s="13" t="str">
        <x:v>Utilities</x:v>
      </x:c>
      <x:c r="F10225" s="13" t="str">
        <x:v>Defensives</x:v>
      </x:c>
      <x:c r="G10225" s="13" t="str">
        <x:v>Ibovespa_earnings_consolidated.xlsx</x:v>
      </x:c>
    </x:row>
    <x:row r="10226">
      <x:c r="A10226" s="15" t="n">
        <x:v>44866</x:v>
      </x:c>
      <x:c r="B10226" s="13" t="str">
        <x:v>CPFL ENERGIA SA</x:v>
      </x:c>
      <x:c r="C10226" s="16" t="n">
        <x:v>4403.7625687671</x:v>
      </x:c>
      <x:c r="D10226" s="13" t="str">
        <x:v>Utilities &amp; Energy</x:v>
      </x:c>
      <x:c r="E10226" s="13" t="str">
        <x:v>Utilities</x:v>
      </x:c>
      <x:c r="F10226" s="13" t="str">
        <x:v>Defensives</x:v>
      </x:c>
      <x:c r="G10226" s="13" t="str">
        <x:v>Ibovespa_earnings_consolidated.xlsx</x:v>
      </x:c>
    </x:row>
    <x:row r="10227">
      <x:c r="A10227" s="15" t="n">
        <x:v>44866</x:v>
      </x:c>
      <x:c r="B10227" s="13" t="str">
        <x:v>EDP - ENERGIAS DO BRASIL SA</x:v>
      </x:c>
      <x:c r="C10227" s="16" t="n">
        <x:v>1499.9313386959</x:v>
      </x:c>
      <x:c r="D10227" s="13" t="str">
        <x:v>Utilities &amp; Energy</x:v>
      </x:c>
      <x:c r="E10227" s="13" t="str">
        <x:v>Utilities</x:v>
      </x:c>
      <x:c r="F10227" s="13" t="str">
        <x:v>Defensives</x:v>
      </x:c>
      <x:c r="G10227" s="13" t="str">
        <x:v>Ibovespa_earnings_consolidated.xlsx</x:v>
      </x:c>
    </x:row>
    <x:row r="10228">
      <x:c r="A10228" s="15" t="n">
        <x:v>44866</x:v>
      </x:c>
      <x:c r="B10228" s="13" t="str">
        <x:v>ENERGISA SA-UNITS</x:v>
      </x:c>
      <x:c r="C10228" s="16" t="n">
        <x:v>1695.1397260274</x:v>
      </x:c>
      <x:c r="D10228" s="13" t="str">
        <x:v>Utilities &amp; Energy</x:v>
      </x:c>
      <x:c r="E10228" s="13" t="str">
        <x:v>Utilities</x:v>
      </x:c>
      <x:c r="F10228" s="13" t="str">
        <x:v>Defensives</x:v>
      </x:c>
      <x:c r="G10228" s="13" t="str">
        <x:v>Ibovespa_earnings_consolidated.xlsx</x:v>
      </x:c>
    </x:row>
    <x:row r="10229">
      <x:c r="A10229" s="15" t="n">
        <x:v>44866</x:v>
      </x:c>
      <x:c r="B10229" s="13" t="str">
        <x:v>ENEVA SA</x:v>
      </x:c>
      <x:c r="C10229" s="16" t="n">
        <x:v>1102.5512616329</x:v>
      </x:c>
      <x:c r="D10229" s="13" t="str">
        <x:v>Utilities &amp; Energy</x:v>
      </x:c>
      <x:c r="E10229" s="13" t="str">
        <x:v>Utilities</x:v>
      </x:c>
      <x:c r="F10229" s="13" t="str">
        <x:v>Defensives</x:v>
      </x:c>
      <x:c r="G10229" s="13" t="str">
        <x:v>Ibovespa_earnings_consolidated.xlsx</x:v>
      </x:c>
    </x:row>
    <x:row r="10230">
      <x:c r="A10230" s="15" t="n">
        <x:v>44866</x:v>
      </x:c>
      <x:c r="B10230" s="13" t="str">
        <x:v>ENGIE BRASIL ENERGIA SA</x:v>
      </x:c>
      <x:c r="C10230" s="16" t="n">
        <x:v>3498.8705476384</x:v>
      </x:c>
      <x:c r="D10230" s="13" t="str">
        <x:v>Utilities &amp; Energy</x:v>
      </x:c>
      <x:c r="E10230" s="13" t="str">
        <x:v>Utilities</x:v>
      </x:c>
      <x:c r="F10230" s="13" t="str">
        <x:v>Defensives</x:v>
      </x:c>
      <x:c r="G10230" s="13" t="str">
        <x:v>Ibovespa_earnings_consolidated.xlsx</x:v>
      </x:c>
    </x:row>
    <x:row r="10231">
      <x:c r="A10231" s="15" t="n">
        <x:v>44866</x:v>
      </x:c>
      <x:c r="B10231" s="13" t="str">
        <x:v>EQUATORIAL SA - ORD</x:v>
      </x:c>
      <x:c r="C10231" s="16" t="n">
        <x:v>2650.9042929973</x:v>
      </x:c>
      <x:c r="D10231" s="13" t="str">
        <x:v>Utilities &amp; Energy</x:v>
      </x:c>
      <x:c r="E10231" s="13" t="str">
        <x:v>Utilities</x:v>
      </x:c>
      <x:c r="F10231" s="13" t="str">
        <x:v>Defensives</x:v>
      </x:c>
      <x:c r="G10231" s="13" t="str">
        <x:v>Ibovespa_earnings_consolidated.xlsx</x:v>
      </x:c>
    </x:row>
    <x:row r="10232">
      <x:c r="A10232" s="15" t="n">
        <x:v>44866</x:v>
      </x:c>
      <x:c r="B10232" s="13" t="str">
        <x:v>TRANSMISSORA ALIANCA DE-UNIT</x:v>
      </x:c>
      <x:c r="C10232" s="16" t="n">
        <x:v>1094.0751314411</x:v>
      </x:c>
      <x:c r="D10232" s="13" t="str">
        <x:v>Utilities &amp; Energy</x:v>
      </x:c>
      <x:c r="E10232" s="13" t="str">
        <x:v>Utilities</x:v>
      </x:c>
      <x:c r="F10232" s="13" t="str">
        <x:v>Defensives</x:v>
      </x:c>
      <x:c r="G10232" s="13" t="str">
        <x:v>Ibovespa_earnings_consolidated.xlsx</x:v>
      </x:c>
    </x:row>
    <x:row r="10233">
      <x:c r="A10233" s="15" t="n">
        <x:v>44896</x:v>
      </x:c>
      <x:c r="B10233" s="13" t="str">
        <x:v>RAIZEN SA - PREFERENCE</x:v>
      </x:c>
      <x:c r="C10233" s="16" t="n">
        <x:v>4711.2919375738</x:v>
      </x:c>
      <x:c r="D10233" s="13" t="str">
        <x:v>Agribusiness</x:v>
      </x:c>
      <x:c r="E10233" s="13" t="str">
        <x:v>Agri, Food &amp; Beverages</x:v>
      </x:c>
      <x:c r="F10233" s="13" t="str">
        <x:v>Defensives</x:v>
      </x:c>
      <x:c r="G10233" s="13" t="str">
        <x:v>Ibovespa_earnings_consolidated.xlsx</x:v>
      </x:c>
    </x:row>
    <x:row r="10234">
      <x:c r="A10234" s="15" t="n">
        <x:v>44896</x:v>
      </x:c>
      <x:c r="B10234" s="13" t="str">
        <x:v>SAO MARTINHO SA</x:v>
      </x:c>
      <x:c r="C10234" s="16" t="n">
        <x:v>1202.9414433224</x:v>
      </x:c>
      <x:c r="D10234" s="13" t="str">
        <x:v>Agribusiness</x:v>
      </x:c>
      <x:c r="E10234" s="13" t="str">
        <x:v>Agri, Food &amp; Beverages</x:v>
      </x:c>
      <x:c r="F10234" s="13" t="str">
        <x:v>Defensives</x:v>
      </x:c>
      <x:c r="G10234" s="13" t="str">
        <x:v>Ibovespa_earnings_consolidated.xlsx</x:v>
      </x:c>
    </x:row>
    <x:row r="10235">
      <x:c r="A10235" s="15" t="n">
        <x:v>44896</x:v>
      </x:c>
      <x:c r="B10235" s="13" t="str">
        <x:v>SLC AGRICOLA SA</x:v>
      </x:c>
      <x:c r="C10235" s="16" t="n">
        <x:v>1391.528461326</x:v>
      </x:c>
      <x:c r="D10235" s="13" t="str">
        <x:v>Agribusiness</x:v>
      </x:c>
      <x:c r="E10235" s="13" t="str">
        <x:v>Agri, Food &amp; Beverages</x:v>
      </x:c>
      <x:c r="F10235" s="13" t="str">
        <x:v>Defensives</x:v>
      </x:c>
      <x:c r="G10235" s="13" t="str">
        <x:v>Ibovespa_earnings_consolidated.xlsx</x:v>
      </x:c>
    </x:row>
    <x:row r="10236">
      <x:c r="A10236" s="15" t="n">
        <x:v>44896</x:v>
      </x:c>
      <x:c r="B10236" s="13" t="str">
        <x:v>BANCO BRADESCO S.A.</x:v>
      </x:c>
      <x:c r="C10236" s="16" t="n">
        <x:v>26647.4472265644</x:v>
      </x:c>
      <x:c r="D10236" s="13" t="str">
        <x:v>Banks</x:v>
      </x:c>
      <x:c r="E10236" s="13" t="str">
        <x:v>Banks</x:v>
      </x:c>
      <x:c r="F10236" s="13" t="str">
        <x:v>Financials</x:v>
      </x:c>
      <x:c r="G10236" s="13" t="str">
        <x:v>Ibovespa_earnings_consolidated.xlsx</x:v>
      </x:c>
    </x:row>
    <x:row r="10237">
      <x:c r="A10237" s="15" t="n">
        <x:v>44896</x:v>
      </x:c>
      <x:c r="B10237" s="13" t="str">
        <x:v>BANCO BRADESCO SA-PREF</x:v>
      </x:c>
      <x:c r="C10237" s="16" t="n">
        <x:v>26647.4472265644</x:v>
      </x:c>
      <x:c r="D10237" s="13" t="str">
        <x:v>Banks</x:v>
      </x:c>
      <x:c r="E10237" s="13" t="str">
        <x:v>Banks</x:v>
      </x:c>
      <x:c r="F10237" s="13" t="str">
        <x:v>Financials</x:v>
      </x:c>
      <x:c r="G10237" s="13" t="str">
        <x:v>Ibovespa_earnings_consolidated.xlsx</x:v>
      </x:c>
    </x:row>
    <x:row r="10238">
      <x:c r="A10238" s="15" t="n">
        <x:v>44896</x:v>
      </x:c>
      <x:c r="B10238" s="13" t="str">
        <x:v>BANCO BTG PACTUAL SA-UNIT</x:v>
      </x:c>
      <x:c r="C10238" s="16" t="n">
        <x:v>9638.172186652</x:v>
      </x:c>
      <x:c r="D10238" s="13" t="str">
        <x:v>Banks</x:v>
      </x:c>
      <x:c r="E10238" s="13" t="str">
        <x:v>Banks</x:v>
      </x:c>
      <x:c r="F10238" s="13" t="str">
        <x:v>Financials</x:v>
      </x:c>
      <x:c r="G10238" s="13" t="str">
        <x:v>Ibovespa_earnings_consolidated.xlsx</x:v>
      </x:c>
    </x:row>
    <x:row r="10239">
      <x:c r="A10239" s="15" t="n">
        <x:v>44896</x:v>
      </x:c>
      <x:c r="B10239" s="13" t="str">
        <x:v>BANCO DO BRASIL S.A.</x:v>
      </x:c>
      <x:c r="C10239" s="16" t="n">
        <x:v>31150.884314126</x:v>
      </x:c>
      <x:c r="D10239" s="13" t="str">
        <x:v>Banks</x:v>
      </x:c>
      <x:c r="E10239" s="13" t="str">
        <x:v>Banks</x:v>
      </x:c>
      <x:c r="F10239" s="13" t="str">
        <x:v>Financials</x:v>
      </x:c>
      <x:c r="G10239" s="13" t="str">
        <x:v>Ibovespa_earnings_consolidated.xlsx</x:v>
      </x:c>
    </x:row>
    <x:row r="10240">
      <x:c r="A10240" s="15" t="n">
        <x:v>44896</x:v>
      </x:c>
      <x:c r="B10240" s="13" t="str">
        <x:v>BANCO PAN SA</x:v>
      </x:c>
      <x:c r="C10240" s="16" t="n">
        <x:v>1025.083448811</x:v>
      </x:c>
      <x:c r="D10240" s="13" t="str">
        <x:v>Banks</x:v>
      </x:c>
      <x:c r="E10240" s="13" t="str">
        <x:v>Banks</x:v>
      </x:c>
      <x:c r="F10240" s="13" t="str">
        <x:v>Financials</x:v>
      </x:c>
      <x:c r="G10240" s="13" t="str">
        <x:v>Ibovespa_earnings_consolidated.xlsx</x:v>
      </x:c>
    </x:row>
    <x:row r="10241">
      <x:c r="A10241" s="15" t="n">
        <x:v>44896</x:v>
      </x:c>
      <x:c r="B10241" s="13" t="str">
        <x:v>BANCO SANTANDER  BRASIL-UNIT</x:v>
      </x:c>
      <x:c r="C10241" s="16" t="n">
        <x:v>15203.2662065096</x:v>
      </x:c>
      <x:c r="D10241" s="13" t="str">
        <x:v>Banks</x:v>
      </x:c>
      <x:c r="E10241" s="13" t="str">
        <x:v>Banks</x:v>
      </x:c>
      <x:c r="F10241" s="13" t="str">
        <x:v>Financials</x:v>
      </x:c>
      <x:c r="G10241" s="13" t="str">
        <x:v>Ibovespa_earnings_consolidated.xlsx</x:v>
      </x:c>
    </x:row>
    <x:row r="10242">
      <x:c r="A10242" s="15" t="n">
        <x:v>44896</x:v>
      </x:c>
      <x:c r="B10242" s="13" t="str">
        <x:v>ITAU UNIBANCO HOLDING S-PREF</x:v>
      </x:c>
      <x:c r="C10242" s="16" t="n">
        <x:v>35768.3651794411</x:v>
      </x:c>
      <x:c r="D10242" s="13" t="str">
        <x:v>Banks</x:v>
      </x:c>
      <x:c r="E10242" s="13" t="str">
        <x:v>Banks</x:v>
      </x:c>
      <x:c r="F10242" s="13" t="str">
        <x:v>Financials</x:v>
      </x:c>
      <x:c r="G10242" s="13" t="str">
        <x:v>Ibovespa_earnings_consolidated.xlsx</x:v>
      </x:c>
    </x:row>
    <x:row r="10243">
      <x:c r="A10243" s="15" t="n">
        <x:v>44896</x:v>
      </x:c>
      <x:c r="B10243" s="13" t="str">
        <x:v>EMBRAER SA</x:v>
      </x:c>
      <x:c r="C10243" s="16" t="n">
        <x:v>710.0094513096</x:v>
      </x:c>
      <x:c r="D10243" s="13" t="str">
        <x:v>Capital Goods</x:v>
      </x:c>
      <x:c r="E10243" s="13" t="str">
        <x:v>Capital Goods</x:v>
      </x:c>
      <x:c r="F10243" s="13" t="str">
        <x:v>Deep Cyclicals</x:v>
      </x:c>
      <x:c r="G10243" s="13" t="str">
        <x:v>Ibovespa_earnings_consolidated.xlsx</x:v>
      </x:c>
    </x:row>
    <x:row r="10244">
      <x:c r="A10244" s="15" t="n">
        <x:v>44896</x:v>
      </x:c>
      <x:c r="B10244" s="13" t="str">
        <x:v>WEG SA</x:v>
      </x:c>
      <x:c r="C10244" s="16" t="n">
        <x:v>5081.0153647343</x:v>
      </x:c>
      <x:c r="D10244" s="13" t="str">
        <x:v>Capital Goods</x:v>
      </x:c>
      <x:c r="E10244" s="13" t="str">
        <x:v>Capital Goods</x:v>
      </x:c>
      <x:c r="F10244" s="13" t="str">
        <x:v>Deep Cyclicals</x:v>
      </x:c>
      <x:c r="G10244" s="13" t="str">
        <x:v>Ibovespa_earnings_consolidated.xlsx</x:v>
      </x:c>
    </x:row>
    <x:row r="10245">
      <x:c r="A10245" s="15" t="n">
        <x:v>44896</x:v>
      </x:c>
      <x:c r="B10245" s="13" t="str">
        <x:v>COGNA EDUCACAO</x:v>
      </x:c>
      <x:c r="C10245" s="16" t="n">
        <x:v>-101.7188575562</x:v>
      </x:c>
      <x:c r="D10245" s="13" t="str">
        <x:v>Education</x:v>
      </x:c>
      <x:c r="E10245" s="13" t="str">
        <x:v>Education</x:v>
      </x:c>
      <x:c r="F10245" s="13" t="str">
        <x:v>Early Cyclicals</x:v>
      </x:c>
      <x:c r="G10245" s="13" t="str">
        <x:v>Ibovespa_earnings_consolidated.xlsx</x:v>
      </x:c>
    </x:row>
    <x:row r="10246">
      <x:c r="A10246" s="15" t="n">
        <x:v>44896</x:v>
      </x:c>
      <x:c r="B10246" s="13" t="str">
        <x:v>YDUQS PARTICIPACOES SA</x:v>
      </x:c>
      <x:c r="C10246" s="16" t="n">
        <x:v>281.5211416767</x:v>
      </x:c>
      <x:c r="D10246" s="13" t="str">
        <x:v>Education</x:v>
      </x:c>
      <x:c r="E10246" s="13" t="str">
        <x:v>Education</x:v>
      </x:c>
      <x:c r="F10246" s="13" t="str">
        <x:v>Early Cyclicals</x:v>
      </x:c>
      <x:c r="G10246" s="13" t="str">
        <x:v>Ibovespa_earnings_consolidated.xlsx</x:v>
      </x:c>
    </x:row>
    <x:row r="10247">
      <x:c r="A10247" s="15" t="n">
        <x:v>44896</x:v>
      </x:c>
      <x:c r="B10247" s="13" t="str">
        <x:v>B3 SA-BRASIL BOLSA BALCAO</x:v>
      </x:c>
      <x:c r="C10247" s="16" t="n">
        <x:v>5207.2656068384</x:v>
      </x:c>
      <x:c r="D10247" s="13" t="str">
        <x:v>Financials Non-Banks</x:v>
      </x:c>
      <x:c r="E10247" s="13" t="str">
        <x:v>Financials Non-Banks</x:v>
      </x:c>
      <x:c r="F10247" s="13" t="str">
        <x:v>Financials</x:v>
      </x:c>
      <x:c r="G10247" s="13" t="str">
        <x:v>Ibovespa_earnings_consolidated.xlsx</x:v>
      </x:c>
    </x:row>
    <x:row r="10248">
      <x:c r="A10248" s="15" t="n">
        <x:v>44896</x:v>
      </x:c>
      <x:c r="B10248" s="13" t="str">
        <x:v>BB SEGURIDADE PARTICIPACOES</x:v>
      </x:c>
      <x:c r="C10248" s="16" t="n">
        <x:v>6680.0965449644</x:v>
      </x:c>
      <x:c r="D10248" s="13" t="str">
        <x:v>Financials Non-Banks</x:v>
      </x:c>
      <x:c r="E10248" s="13" t="str">
        <x:v>Financials Non-Banks</x:v>
      </x:c>
      <x:c r="F10248" s="13" t="str">
        <x:v>Financials</x:v>
      </x:c>
      <x:c r="G10248" s="13" t="str">
        <x:v>Ibovespa_earnings_consolidated.xlsx</x:v>
      </x:c>
    </x:row>
    <x:row r="10249">
      <x:c r="A10249" s="15" t="n">
        <x:v>44896</x:v>
      </x:c>
      <x:c r="B10249" s="13" t="str">
        <x:v>CIELO SA</x:v>
      </x:c>
      <x:c r="C10249" s="16" t="n">
        <x:v>1605.5152489205</x:v>
      </x:c>
      <x:c r="D10249" s="13" t="str">
        <x:v>Financials Non-Banks</x:v>
      </x:c>
      <x:c r="E10249" s="13" t="str">
        <x:v>Financials Non-Banks</x:v>
      </x:c>
      <x:c r="F10249" s="13" t="str">
        <x:v>Financials</x:v>
      </x:c>
      <x:c r="G10249" s="13" t="str">
        <x:v>Ibovespa_earnings_consolidated.xlsx</x:v>
      </x:c>
    </x:row>
    <x:row r="10250">
      <x:c r="A10250" s="15" t="n">
        <x:v>44896</x:v>
      </x:c>
      <x:c r="B10250" s="13" t="str">
        <x:v>CIELO SA - INSTITUICAO DE PA</x:v>
      </x:c>
      <x:c r="C10250" s="16" t="n">
        <x:v>1605.5152489205</x:v>
      </x:c>
      <x:c r="D10250" s="13" t="str">
        <x:v>Financials Non-Banks</x:v>
      </x:c>
      <x:c r="E10250" s="13" t="str">
        <x:v>Financials Non-Banks</x:v>
      </x:c>
      <x:c r="F10250" s="13" t="str">
        <x:v>Financials</x:v>
      </x:c>
      <x:c r="G10250" s="13" t="str">
        <x:v>grid_wbaxp5t0.xlsx</x:v>
      </x:c>
    </x:row>
    <x:row r="10251">
      <x:c r="A10251" s="15" t="n">
        <x:v>44896</x:v>
      </x:c>
      <x:c r="B10251" s="13" t="str">
        <x:v>IRB BRASIL RESSEGUROS SA</x:v>
      </x:c>
      <x:c r="C10251" s="16" t="n">
        <x:v>241.2709838904</x:v>
      </x:c>
      <x:c r="D10251" s="13" t="str">
        <x:v>Financials Non-Banks</x:v>
      </x:c>
      <x:c r="E10251" s="13" t="str">
        <x:v>Financials Non-Banks</x:v>
      </x:c>
      <x:c r="F10251" s="13" t="str">
        <x:v>Financials</x:v>
      </x:c>
      <x:c r="G10251" s="13" t="str">
        <x:v>Ibovespa_earnings_consolidated.xlsx</x:v>
      </x:c>
    </x:row>
    <x:row r="10252">
      <x:c r="A10252" s="15" t="n">
        <x:v>44896</x:v>
      </x:c>
      <x:c r="B10252" s="13" t="str">
        <x:v>ITAUSA SA</x:v>
      </x:c>
      <x:c r="C10252" s="16" t="n">
        <x:v>13545.0728307726</x:v>
      </x:c>
      <x:c r="D10252" s="13" t="str">
        <x:v>Financials Non-Banks</x:v>
      </x:c>
      <x:c r="E10252" s="13" t="str">
        <x:v>Financials Non-Banks</x:v>
      </x:c>
      <x:c r="F10252" s="13" t="str">
        <x:v>Financials</x:v>
      </x:c>
      <x:c r="G10252" s="13" t="str">
        <x:v>Ibovespa_earnings_consolidated.xlsx</x:v>
      </x:c>
    </x:row>
    <x:row r="10253">
      <x:c r="A10253" s="15" t="n">
        <x:v>44896</x:v>
      </x:c>
      <x:c r="B10253" s="13" t="str">
        <x:v>MELIUZ SA - ON</x:v>
      </x:c>
      <x:c r="C10253" s="16" t="n">
        <x:v>-10.8080945205</x:v>
      </x:c>
      <x:c r="D10253" s="13" t="str">
        <x:v>Financials Non-Banks</x:v>
      </x:c>
      <x:c r="E10253" s="13" t="str">
        <x:v>Financials Non-Banks</x:v>
      </x:c>
      <x:c r="F10253" s="13" t="str">
        <x:v>Financials</x:v>
      </x:c>
      <x:c r="G10253" s="13" t="str">
        <x:v>Ibovespa_earnings_consolidated.xlsx</x:v>
      </x:c>
    </x:row>
    <x:row r="10254">
      <x:c r="A10254" s="15" t="n">
        <x:v>44896</x:v>
      </x:c>
      <x:c r="B10254" s="13" t="str">
        <x:v>AMBEV SA</x:v>
      </x:c>
      <x:c r="C10254" s="16" t="n">
        <x:v>13960.0576175342</x:v>
      </x:c>
      <x:c r="D10254" s="13" t="str">
        <x:v>Food &amp; Beverages</x:v>
      </x:c>
      <x:c r="E10254" s="13" t="str">
        <x:v>Agri, Food &amp; Beverages</x:v>
      </x:c>
      <x:c r="F10254" s="13" t="str">
        <x:v>Defensives</x:v>
      </x:c>
      <x:c r="G10254" s="13" t="str">
        <x:v>Ibovespa_earnings_consolidated.xlsx</x:v>
      </x:c>
    </x:row>
    <x:row r="10255">
      <x:c r="A10255" s="15" t="n">
        <x:v>44896</x:v>
      </x:c>
      <x:c r="B10255" s="13" t="str">
        <x:v>BRF SA</x:v>
      </x:c>
      <x:c r="C10255" s="16" t="n">
        <x:v>562.4810268055</x:v>
      </x:c>
      <x:c r="D10255" s="13" t="str">
        <x:v>Food &amp; Beverages</x:v>
      </x:c>
      <x:c r="E10255" s="13" t="str">
        <x:v>Agri, Food &amp; Beverages</x:v>
      </x:c>
      <x:c r="F10255" s="13" t="str">
        <x:v>Defensives</x:v>
      </x:c>
      <x:c r="G10255" s="13" t="str">
        <x:v>Ibovespa_earnings_consolidated.xlsx</x:v>
      </x:c>
    </x:row>
    <x:row r="10256">
      <x:c r="A10256" s="15" t="n">
        <x:v>44896</x:v>
      </x:c>
      <x:c r="B10256" s="13" t="str">
        <x:v>JBS SA</x:v>
      </x:c>
      <x:c r="C10256" s="16" t="n">
        <x:v>10165.859807737</x:v>
      </x:c>
      <x:c r="D10256" s="13" t="str">
        <x:v>Food &amp; Beverages</x:v>
      </x:c>
      <x:c r="E10256" s="13" t="str">
        <x:v>Agri, Food &amp; Beverages</x:v>
      </x:c>
      <x:c r="F10256" s="13" t="str">
        <x:v>Defensives</x:v>
      </x:c>
      <x:c r="G10256" s="13" t="str">
        <x:v>Ibovespa_earnings_consolidated.xlsx</x:v>
      </x:c>
    </x:row>
    <x:row r="10257">
      <x:c r="A10257" s="15" t="n">
        <x:v>44896</x:v>
      </x:c>
      <x:c r="B10257" s="13" t="str">
        <x:v>MBRF GLOBAL FOODS COMPANY SA</x:v>
      </x:c>
      <x:c r="C10257" s="16" t="n">
        <x:v>1930.7546666082</x:v>
      </x:c>
      <x:c r="D10257" s="13" t="str">
        <x:v>Food &amp; Beverages</x:v>
      </x:c>
      <x:c r="E10257" s="13" t="str">
        <x:v>Agri, Food &amp; Beverages</x:v>
      </x:c>
      <x:c r="F10257" s="13" t="str">
        <x:v>Defensives</x:v>
      </x:c>
      <x:c r="G10257" s="13" t="str">
        <x:v>Ibovespa_earnings_consolidated.xlsx</x:v>
      </x:c>
    </x:row>
    <x:row r="10258">
      <x:c r="A10258" s="15" t="n">
        <x:v>44896</x:v>
      </x:c>
      <x:c r="B10258" s="13" t="str">
        <x:v>MINERVA SA</x:v>
      </x:c>
      <x:c r="C10258" s="16" t="n">
        <x:v>1138.5032991562</x:v>
      </x:c>
      <x:c r="D10258" s="13" t="str">
        <x:v>Food &amp; Beverages</x:v>
      </x:c>
      <x:c r="E10258" s="13" t="str">
        <x:v>Agri, Food &amp; Beverages</x:v>
      </x:c>
      <x:c r="F10258" s="13" t="str">
        <x:v>Defensives</x:v>
      </x:c>
      <x:c r="G10258" s="13" t="str">
        <x:v>Ibovespa_earnings_consolidated.xlsx</x:v>
      </x:c>
    </x:row>
    <x:row r="10259">
      <x:c r="A10259" s="15" t="n">
        <x:v>44896</x:v>
      </x:c>
      <x:c r="B10259" s="13" t="str">
        <x:v>FLEURY SA</x:v>
      </x:c>
      <x:c r="C10259" s="16" t="n">
        <x:v>379.571706389</x:v>
      </x:c>
      <x:c r="D10259" s="13" t="str">
        <x:v>Health Care</x:v>
      </x:c>
      <x:c r="E10259" s="13" t="str">
        <x:v>Health Care</x:v>
      </x:c>
      <x:c r="F10259" s="13" t="str">
        <x:v>Defensives</x:v>
      </x:c>
      <x:c r="G10259" s="13" t="str">
        <x:v>Ibovespa_earnings_consolidated.xlsx</x:v>
      </x:c>
    </x:row>
    <x:row r="10260">
      <x:c r="A10260" s="15" t="n">
        <x:v>44896</x:v>
      </x:c>
      <x:c r="B10260" s="13" t="str">
        <x:v>HAPVIDA PARTICIPACOES E INVE</x:v>
      </x:c>
      <x:c r="C10260" s="16" t="n">
        <x:v>1190.749512811</x:v>
      </x:c>
      <x:c r="D10260" s="13" t="str">
        <x:v>Health Care</x:v>
      </x:c>
      <x:c r="E10260" s="13" t="str">
        <x:v>Health Care</x:v>
      </x:c>
      <x:c r="F10260" s="13" t="str">
        <x:v>Defensives</x:v>
      </x:c>
      <x:c r="G10260" s="13" t="str">
        <x:v>Ibovespa_earnings_consolidated.xlsx</x:v>
      </x:c>
    </x:row>
    <x:row r="10261">
      <x:c r="A10261" s="15" t="n">
        <x:v>44896</x:v>
      </x:c>
      <x:c r="B10261" s="13" t="str">
        <x:v>HYPERA SA</x:v>
      </x:c>
      <x:c r="C10261" s="16" t="n">
        <x:v>1967.0715413041</x:v>
      </x:c>
      <x:c r="D10261" s="13" t="str">
        <x:v>Health Care</x:v>
      </x:c>
      <x:c r="E10261" s="13" t="str">
        <x:v>Health Care</x:v>
      </x:c>
      <x:c r="F10261" s="13" t="str">
        <x:v>Defensives</x:v>
      </x:c>
      <x:c r="G10261" s="13" t="str">
        <x:v>Ibovespa_earnings_consolidated.xlsx</x:v>
      </x:c>
    </x:row>
    <x:row r="10262">
      <x:c r="A10262" s="15" t="n">
        <x:v>44896</x:v>
      </x:c>
      <x:c r="B10262" s="13" t="str">
        <x:v>QUALICORP CONS E CORR SEG SA</x:v>
      </x:c>
      <x:c r="C10262" s="16" t="n">
        <x:v>232.874041074</x:v>
      </x:c>
      <x:c r="D10262" s="13" t="str">
        <x:v>Health Care</x:v>
      </x:c>
      <x:c r="E10262" s="13" t="str">
        <x:v>Health Care</x:v>
      </x:c>
      <x:c r="F10262" s="13" t="str">
        <x:v>Defensives</x:v>
      </x:c>
      <x:c r="G10262" s="13" t="str">
        <x:v>Ibovespa_earnings_consolidated.xlsx</x:v>
      </x:c>
    </x:row>
    <x:row r="10263">
      <x:c r="A10263" s="15" t="n">
        <x:v>44896</x:v>
      </x:c>
      <x:c r="B10263" s="13" t="str">
        <x:v>REDE D'OR SAO LUIZ SA</x:v>
      </x:c>
      <x:c r="C10263" s="16" t="n">
        <x:v>2627.2469819616</x:v>
      </x:c>
      <x:c r="D10263" s="13" t="str">
        <x:v>Health Care</x:v>
      </x:c>
      <x:c r="E10263" s="13" t="str">
        <x:v>Health Care</x:v>
      </x:c>
      <x:c r="F10263" s="13" t="str">
        <x:v>Defensives</x:v>
      </x:c>
      <x:c r="G10263" s="13" t="str">
        <x:v>Ibovespa_earnings_consolidated.xlsx</x:v>
      </x:c>
    </x:row>
    <x:row r="10264">
      <x:c r="A10264" s="15" t="n">
        <x:v>44896</x:v>
      </x:c>
      <x:c r="B10264" s="13" t="str">
        <x:v>CYRELA BRAZIL REALTY SA EMP</x:v>
      </x:c>
      <x:c r="C10264" s="16" t="n">
        <x:v>921.2423504658</x:v>
      </x:c>
      <x:c r="D10264" s="13" t="str">
        <x:v>Homebuilders</x:v>
      </x:c>
      <x:c r="E10264" s="13" t="str">
        <x:v>Real Estate</x:v>
      </x:c>
      <x:c r="F10264" s="13" t="str">
        <x:v>Early Cyclicals</x:v>
      </x:c>
      <x:c r="G10264" s="13" t="str">
        <x:v>Ibovespa_earnings_consolidated.xlsx</x:v>
      </x:c>
    </x:row>
    <x:row r="10265">
      <x:c r="A10265" s="15" t="n">
        <x:v>44896</x:v>
      </x:c>
      <x:c r="B10265" s="13" t="str">
        <x:v>EZ TEC EMPREENDIMENTOS E PAR</x:v>
      </x:c>
      <x:c r="C10265" s="16" t="n">
        <x:v>432.0600301589</x:v>
      </x:c>
      <x:c r="D10265" s="13" t="str">
        <x:v>Homebuilders</x:v>
      </x:c>
      <x:c r="E10265" s="13" t="str">
        <x:v>Real Estate</x:v>
      </x:c>
      <x:c r="F10265" s="13" t="str">
        <x:v>Early Cyclicals</x:v>
      </x:c>
      <x:c r="G10265" s="13" t="str">
        <x:v>Ibovespa_earnings_consolidated.xlsx</x:v>
      </x:c>
    </x:row>
    <x:row r="10266">
      <x:c r="A10266" s="15" t="n">
        <x:v>44896</x:v>
      </x:c>
      <x:c r="B10266" s="13" t="str">
        <x:v>MRV ENGENHARIA</x:v>
      </x:c>
      <x:c r="C10266" s="16" t="n">
        <x:v>469.9687591452</x:v>
      </x:c>
      <x:c r="D10266" s="13" t="str">
        <x:v>Homebuilders</x:v>
      </x:c>
      <x:c r="E10266" s="13" t="str">
        <x:v>Real Estate</x:v>
      </x:c>
      <x:c r="F10266" s="13" t="str">
        <x:v>Early Cyclicals</x:v>
      </x:c>
      <x:c r="G10266" s="13" t="str">
        <x:v>Ibovespa_earnings_consolidated.xlsx</x:v>
      </x:c>
    </x:row>
    <x:row r="10267">
      <x:c r="A10267" s="15" t="n">
        <x:v>44896</x:v>
      </x:c>
      <x:c r="B10267" s="13" t="str">
        <x:v>BR MALLS PARTICIPACOES SA</x:v>
      </x:c>
      <x:c r="C10267" s="16" t="n">
        <x:v>647.3913392219</x:v>
      </x:c>
      <x:c r="D10267" s="13" t="str">
        <x:v>Income Properties</x:v>
      </x:c>
      <x:c r="E10267" s="13" t="str">
        <x:v>Real Estate</x:v>
      </x:c>
      <x:c r="F10267" s="13" t="str">
        <x:v>Early Cyclicals</x:v>
      </x:c>
      <x:c r="G10267" s="13" t="str">
        <x:v>Ibovespa_earnings_consolidated.xlsx</x:v>
      </x:c>
    </x:row>
    <x:row r="10268">
      <x:c r="A10268" s="15" t="n">
        <x:v>44896</x:v>
      </x:c>
      <x:c r="B10268" s="13" t="str">
        <x:v>IGUATEMI SA - UNITS</x:v>
      </x:c>
      <x:c r="C10268" s="16" t="n">
        <x:v>337.8198709918</x:v>
      </x:c>
      <x:c r="D10268" s="13" t="str">
        <x:v>Income Properties</x:v>
      </x:c>
      <x:c r="E10268" s="13" t="str">
        <x:v>Real Estate</x:v>
      </x:c>
      <x:c r="F10268" s="13" t="str">
        <x:v>Early Cyclicals</x:v>
      </x:c>
      <x:c r="G10268" s="13" t="str">
        <x:v>Ibovespa_earnings_consolidated.xlsx</x:v>
      </x:c>
    </x:row>
    <x:row r="10269">
      <x:c r="A10269" s="15" t="n">
        <x:v>44896</x:v>
      </x:c>
      <x:c r="B10269" s="13" t="str">
        <x:v>MULTIPLAN EMPREENDIMENTOS</x:v>
      </x:c>
      <x:c r="C10269" s="16" t="n">
        <x:v>836.0622769096</x:v>
      </x:c>
      <x:c r="D10269" s="13" t="str">
        <x:v>Income Properties</x:v>
      </x:c>
      <x:c r="E10269" s="13" t="str">
        <x:v>Real Estate</x:v>
      </x:c>
      <x:c r="F10269" s="13" t="str">
        <x:v>Early Cyclicals</x:v>
      </x:c>
      <x:c r="G10269" s="13" t="str">
        <x:v>Ibovespa_earnings_consolidated.xlsx</x:v>
      </x:c>
    </x:row>
    <x:row r="10270">
      <x:c r="A10270" s="15" t="n">
        <x:v>44896</x:v>
      </x:c>
      <x:c r="B10270" s="13" t="str">
        <x:v>BRADESPAR SA -PREF</x:v>
      </x:c>
      <x:c r="C10270" s="16" t="n">
        <x:v>2247.7193054685</x:v>
      </x:c>
      <x:c r="D10270" s="13" t="str">
        <x:v>Metals &amp; Mining</x:v>
      </x:c>
      <x:c r="E10270" s="13" t="str">
        <x:v>Metals &amp; Mining</x:v>
      </x:c>
      <x:c r="F10270" s="13" t="str">
        <x:v>Deep Cyclicals</x:v>
      </x:c>
      <x:c r="G10270" s="13" t="str">
        <x:v>Ibovespa_earnings_consolidated.xlsx</x:v>
      </x:c>
    </x:row>
    <x:row r="10271">
      <x:c r="A10271" s="15" t="n">
        <x:v>44896</x:v>
      </x:c>
      <x:c r="B10271" s="13" t="str">
        <x:v>CIA SIDERURGICA NACIONAL SA</x:v>
      </x:c>
      <x:c r="C10271" s="16" t="n">
        <x:v>2986.3443764603</x:v>
      </x:c>
      <x:c r="D10271" s="13" t="str">
        <x:v>Metals &amp; Mining</x:v>
      </x:c>
      <x:c r="E10271" s="13" t="str">
        <x:v>Metals &amp; Mining</x:v>
      </x:c>
      <x:c r="F10271" s="13" t="str">
        <x:v>Deep Cyclicals</x:v>
      </x:c>
      <x:c r="G10271" s="13" t="str">
        <x:v>Ibovespa_earnings_consolidated.xlsx</x:v>
      </x:c>
    </x:row>
    <x:row r="10272">
      <x:c r="A10272" s="15" t="n">
        <x:v>44896</x:v>
      </x:c>
      <x:c r="B10272" s="13" t="str">
        <x:v>CSN MINERACAO SA</x:v>
      </x:c>
      <x:c r="C10272" s="16" t="n">
        <x:v>2662.2373656548</x:v>
      </x:c>
      <x:c r="D10272" s="13" t="str">
        <x:v>Metals &amp; Mining</x:v>
      </x:c>
      <x:c r="E10272" s="13" t="str">
        <x:v>Metals &amp; Mining</x:v>
      </x:c>
      <x:c r="F10272" s="13" t="str">
        <x:v>Deep Cyclicals</x:v>
      </x:c>
      <x:c r="G10272" s="13" t="str">
        <x:v>Ibovespa_earnings_consolidated.xlsx</x:v>
      </x:c>
    </x:row>
    <x:row r="10273">
      <x:c r="A10273" s="15" t="n">
        <x:v>44896</x:v>
      </x:c>
      <x:c r="B10273" s="13" t="str">
        <x:v>GERDAU SA-PREF</x:v>
      </x:c>
      <x:c r="C10273" s="16" t="n">
        <x:v>7266.766298126</x:v>
      </x:c>
      <x:c r="D10273" s="13" t="str">
        <x:v>Metals &amp; Mining</x:v>
      </x:c>
      <x:c r="E10273" s="13" t="str">
        <x:v>Metals &amp; Mining</x:v>
      </x:c>
      <x:c r="F10273" s="13" t="str">
        <x:v>Deep Cyclicals</x:v>
      </x:c>
      <x:c r="G10273" s="13" t="str">
        <x:v>Ibovespa_earnings_consolidated.xlsx</x:v>
      </x:c>
    </x:row>
    <x:row r="10274">
      <x:c r="A10274" s="15" t="n">
        <x:v>44896</x:v>
      </x:c>
      <x:c r="B10274" s="13" t="str">
        <x:v>METALURGICA GERDAU SA-PREF</x:v>
      </x:c>
      <x:c r="C10274" s="16" t="n">
        <x:v>2078.6903474849</x:v>
      </x:c>
      <x:c r="D10274" s="13" t="str">
        <x:v>Metals &amp; Mining</x:v>
      </x:c>
      <x:c r="E10274" s="13" t="str">
        <x:v>Metals &amp; Mining</x:v>
      </x:c>
      <x:c r="F10274" s="13" t="str">
        <x:v>Deep Cyclicals</x:v>
      </x:c>
      <x:c r="G10274" s="13" t="str">
        <x:v>Ibovespa_earnings_consolidated.xlsx</x:v>
      </x:c>
    </x:row>
    <x:row r="10275">
      <x:c r="A10275" s="15" t="n">
        <x:v>44896</x:v>
      </x:c>
      <x:c r="B10275" s="13" t="str">
        <x:v>USINAS SIDER MINAS GER-PF A</x:v>
      </x:c>
      <x:c r="C10275" s="16" t="n">
        <x:v>909.4033443068</x:v>
      </x:c>
      <x:c r="D10275" s="13" t="str">
        <x:v>Metals &amp; Mining</x:v>
      </x:c>
      <x:c r="E10275" s="13" t="str">
        <x:v>Metals &amp; Mining</x:v>
      </x:c>
      <x:c r="F10275" s="13" t="str">
        <x:v>Deep Cyclicals</x:v>
      </x:c>
      <x:c r="G10275" s="13" t="str">
        <x:v>Ibovespa_earnings_consolidated.xlsx</x:v>
      </x:c>
    </x:row>
    <x:row r="10276">
      <x:c r="A10276" s="15" t="n">
        <x:v>44896</x:v>
      </x:c>
      <x:c r="B10276" s="13" t="str">
        <x:v>VALE SA</x:v>
      </x:c>
      <x:c r="C10276" s="16" t="n">
        <x:v>58098.6820523836</x:v>
      </x:c>
      <x:c r="D10276" s="13" t="str">
        <x:v>Metals &amp; Mining</x:v>
      </x:c>
      <x:c r="E10276" s="13" t="str">
        <x:v>Metals &amp; Mining</x:v>
      </x:c>
      <x:c r="F10276" s="13" t="str">
        <x:v>Deep Cyclicals</x:v>
      </x:c>
      <x:c r="G10276" s="13" t="str">
        <x:v>Ibovespa_earnings_consolidated.xlsx</x:v>
      </x:c>
    </x:row>
    <x:row r="10277">
      <x:c r="A10277" s="15" t="n">
        <x:v>44896</x:v>
      </x:c>
      <x:c r="B10277" s="13" t="str">
        <x:v>BRASKEM SA-PREF A</x:v>
      </x:c>
      <x:c r="C10277" s="16" t="n">
        <x:v>2606.806821874</x:v>
      </x:c>
      <x:c r="D10277" s="13" t="str">
        <x:v>Oil, Gas &amp; Petrochemicals</x:v>
      </x:c>
      <x:c r="E10277" s="13" t="str">
        <x:v>Oil, Gas &amp; Petrochemicals</x:v>
      </x:c>
      <x:c r="F10277" s="13" t="str">
        <x:v>Deep Cyclicals</x:v>
      </x:c>
      <x:c r="G10277" s="13" t="str">
        <x:v>Ibovespa_earnings_consolidated.xlsx</x:v>
      </x:c>
    </x:row>
    <x:row r="10278">
      <x:c r="A10278" s="15" t="n">
        <x:v>44896</x:v>
      </x:c>
      <x:c r="B10278" s="13" t="str">
        <x:v>BRAVA ENERGIA</x:v>
      </x:c>
      <x:c r="C10278" s="16" t="n">
        <x:v>2371.3010591562</x:v>
      </x:c>
      <x:c r="D10278" s="13" t="str">
        <x:v>Oil, Gas &amp; Petrochemicals</x:v>
      </x:c>
      <x:c r="E10278" s="13" t="str">
        <x:v>Oil, Gas &amp; Petrochemicals</x:v>
      </x:c>
      <x:c r="F10278" s="13" t="str">
        <x:v>Deep Cyclicals</x:v>
      </x:c>
      <x:c r="G10278" s="13" t="str">
        <x:v>Ibovespa_earnings_consolidated.xlsx</x:v>
      </x:c>
    </x:row>
    <x:row r="10279">
      <x:c r="A10279" s="15" t="n">
        <x:v>44896</x:v>
      </x:c>
      <x:c r="B10279" s="13" t="str">
        <x:v>COSAN SA</x:v>
      </x:c>
      <x:c r="C10279" s="16" t="n">
        <x:v>1341.8808856548</x:v>
      </x:c>
      <x:c r="D10279" s="13" t="str">
        <x:v>Oil, Gas &amp; Petrochemicals</x:v>
      </x:c>
      <x:c r="E10279" s="13" t="str">
        <x:v>Oil, Gas &amp; Petrochemicals</x:v>
      </x:c>
      <x:c r="F10279" s="13" t="str">
        <x:v>Deep Cyclicals</x:v>
      </x:c>
      <x:c r="G10279" s="13" t="str">
        <x:v>Ibovespa_earnings_consolidated.xlsx</x:v>
      </x:c>
    </x:row>
    <x:row r="10280">
      <x:c r="A10280" s="15" t="n">
        <x:v>44896</x:v>
      </x:c>
      <x:c r="B10280" s="13" t="str">
        <x:v>PETROBRAS - PETROLEO BRAS</x:v>
      </x:c>
      <x:c r="C10280" s="16" t="n">
        <x:v>111782.293604997</x:v>
      </x:c>
      <x:c r="D10280" s="13" t="str">
        <x:v>Oil, Gas &amp; Petrochemicals</x:v>
      </x:c>
      <x:c r="E10280" s="13" t="str">
        <x:v>Oil, Gas &amp; Petrochemicals</x:v>
      </x:c>
      <x:c r="F10280" s="13" t="str">
        <x:v>Deep Cyclicals</x:v>
      </x:c>
      <x:c r="G10280" s="13" t="str">
        <x:v>Ibovespa_earnings_consolidated.xlsx</x:v>
      </x:c>
    </x:row>
    <x:row r="10281">
      <x:c r="A10281" s="15" t="n">
        <x:v>44896</x:v>
      </x:c>
      <x:c r="B10281" s="13" t="str">
        <x:v>PRIO SA</x:v>
      </x:c>
      <x:c r="C10281" s="16" t="n">
        <x:v>4831.3818588931</x:v>
      </x:c>
      <x:c r="D10281" s="13" t="str">
        <x:v>Oil, Gas &amp; Petrochemicals</x:v>
      </x:c>
      <x:c r="E10281" s="13" t="str">
        <x:v>Oil, Gas &amp; Petrochemicals</x:v>
      </x:c>
      <x:c r="F10281" s="13" t="str">
        <x:v>Deep Cyclicals</x:v>
      </x:c>
      <x:c r="G10281" s="13" t="str">
        <x:v>Ibovespa_earnings_consolidated.xlsx</x:v>
      </x:c>
    </x:row>
    <x:row r="10282">
      <x:c r="A10282" s="15" t="n">
        <x:v>44896</x:v>
      </x:c>
      <x:c r="B10282" s="13" t="str">
        <x:v>ULTRAPAR PARTICIPACOES SA</x:v>
      </x:c>
      <x:c r="C10282" s="16" t="n">
        <x:v>1139.0973082301</x:v>
      </x:c>
      <x:c r="D10282" s="13" t="str">
        <x:v>Oil, Gas &amp; Petrochemicals</x:v>
      </x:c>
      <x:c r="E10282" s="13" t="str">
        <x:v>Oil, Gas &amp; Petrochemicals</x:v>
      </x:c>
      <x:c r="F10282" s="13" t="str">
        <x:v>Deep Cyclicals</x:v>
      </x:c>
      <x:c r="G10282" s="13" t="str">
        <x:v>Ibovespa_earnings_consolidated.xlsx</x:v>
      </x:c>
    </x:row>
    <x:row r="10283">
      <x:c r="A10283" s="15" t="n">
        <x:v>44896</x:v>
      </x:c>
      <x:c r="B10283" s="13" t="str">
        <x:v>VIBRA ENERGIA SA</x:v>
      </x:c>
      <x:c r="C10283" s="16" t="n">
        <x:v>2215.330189326</x:v>
      </x:c>
      <x:c r="D10283" s="13" t="str">
        <x:v>Oil, Gas &amp; Petrochemicals</x:v>
      </x:c>
      <x:c r="E10283" s="13" t="str">
        <x:v>Oil, Gas &amp; Petrochemicals</x:v>
      </x:c>
      <x:c r="F10283" s="13" t="str">
        <x:v>Deep Cyclicals</x:v>
      </x:c>
      <x:c r="G10283" s="13" t="str">
        <x:v>Ibovespa_earnings_consolidated.xlsx</x:v>
      </x:c>
    </x:row>
    <x:row r="10284">
      <x:c r="A10284" s="15" t="n">
        <x:v>44896</x:v>
      </x:c>
      <x:c r="B10284" s="13" t="str">
        <x:v>DEXCO SA</x:v>
      </x:c>
      <x:c r="C10284" s="16" t="n">
        <x:v>590.9835776</x:v>
      </x:c>
      <x:c r="D10284" s="13" t="str">
        <x:v>Pulp &amp; Paper</x:v>
      </x:c>
      <x:c r="E10284" s="13" t="str">
        <x:v>Pulp &amp; Paper</x:v>
      </x:c>
      <x:c r="F10284" s="13" t="str">
        <x:v>Deep Cyclicals</x:v>
      </x:c>
      <x:c r="G10284" s="13" t="str">
        <x:v>Ibovespa_earnings_consolidated.xlsx</x:v>
      </x:c>
    </x:row>
    <x:row r="10285">
      <x:c r="A10285" s="15" t="n">
        <x:v>44896</x:v>
      </x:c>
      <x:c r="B10285" s="13" t="str">
        <x:v>KLABIN SA - UNIT</x:v>
      </x:c>
      <x:c r="C10285" s="16" t="n">
        <x:v>2491.5167526575</x:v>
      </x:c>
      <x:c r="D10285" s="13" t="str">
        <x:v>Pulp &amp; Paper</x:v>
      </x:c>
      <x:c r="E10285" s="13" t="str">
        <x:v>Pulp &amp; Paper</x:v>
      </x:c>
      <x:c r="F10285" s="13" t="str">
        <x:v>Deep Cyclicals</x:v>
      </x:c>
      <x:c r="G10285" s="13" t="str">
        <x:v>Ibovespa_earnings_consolidated.xlsx</x:v>
      </x:c>
    </x:row>
    <x:row r="10286">
      <x:c r="A10286" s="15" t="n">
        <x:v>44896</x:v>
      </x:c>
      <x:c r="B10286" s="13" t="str">
        <x:v>SUZANO SA</x:v>
      </x:c>
      <x:c r="C10286" s="16" t="n">
        <x:v>9378.2866789699</x:v>
      </x:c>
      <x:c r="D10286" s="13" t="str">
        <x:v>Pulp &amp; Paper</x:v>
      </x:c>
      <x:c r="E10286" s="13" t="str">
        <x:v>Pulp &amp; Paper</x:v>
      </x:c>
      <x:c r="F10286" s="13" t="str">
        <x:v>Deep Cyclicals</x:v>
      </x:c>
      <x:c r="G10286" s="13" t="str">
        <x:v>Ibovespa_earnings_consolidated.xlsx</x:v>
      </x:c>
    </x:row>
    <x:row r="10287">
      <x:c r="A10287" s="15" t="n">
        <x:v>44896</x:v>
      </x:c>
      <x:c r="B10287" s="13" t="str">
        <x:v>ALPARGATAS SA - PREF</x:v>
      </x:c>
      <x:c r="C10287" s="16" t="n">
        <x:v>704.9117559233</x:v>
      </x:c>
      <x:c r="D10287" s="13" t="str">
        <x:v>Retail</x:v>
      </x:c>
      <x:c r="E10287" s="13" t="str">
        <x:v>Retail</x:v>
      </x:c>
      <x:c r="F10287" s="13" t="str">
        <x:v>Early Cyclicals</x:v>
      </x:c>
      <x:c r="G10287" s="13" t="str">
        <x:v>Ibovespa_earnings_consolidated.xlsx</x:v>
      </x:c>
    </x:row>
    <x:row r="10288">
      <x:c r="A10288" s="15" t="n">
        <x:v>44896</x:v>
      </x:c>
      <x:c r="B10288" s="13" t="str">
        <x:v>AMERICANAS SA</x:v>
      </x:c>
      <x:c r="C10288" s="16" t="n">
        <x:v>-31.1405781041</x:v>
      </x:c>
      <x:c r="D10288" s="13" t="str">
        <x:v>Retail</x:v>
      </x:c>
      <x:c r="E10288" s="13" t="str">
        <x:v>Retail</x:v>
      </x:c>
      <x:c r="F10288" s="13" t="str">
        <x:v>Early Cyclicals</x:v>
      </x:c>
      <x:c r="G10288" s="13" t="str">
        <x:v>Ibovespa_earnings_consolidated.xlsx</x:v>
      </x:c>
    </x:row>
    <x:row r="10289">
      <x:c r="A10289" s="15" t="n">
        <x:v>44896</x:v>
      </x:c>
      <x:c r="B10289" s="13" t="str">
        <x:v>ATACADAO SA</x:v>
      </x:c>
      <x:c r="C10289" s="16" t="n">
        <x:v>2161.8541732822</x:v>
      </x:c>
      <x:c r="D10289" s="13" t="str">
        <x:v>Retail</x:v>
      </x:c>
      <x:c r="E10289" s="13" t="str">
        <x:v>Retail</x:v>
      </x:c>
      <x:c r="F10289" s="13" t="str">
        <x:v>Early Cyclicals</x:v>
      </x:c>
      <x:c r="G10289" s="13" t="str">
        <x:v>Ibovespa_earnings_consolidated.xlsx</x:v>
      </x:c>
    </x:row>
    <x:row r="10290">
      <x:c r="A10290" s="15" t="n">
        <x:v>44896</x:v>
      </x:c>
      <x:c r="B10290" s="13" t="str">
        <x:v>AZZAS 2154 SA</x:v>
      </x:c>
      <x:c r="C10290" s="16" t="n">
        <x:v>524.2049011726</x:v>
      </x:c>
      <x:c r="D10290" s="13" t="str">
        <x:v>Retail</x:v>
      </x:c>
      <x:c r="E10290" s="13" t="str">
        <x:v>Retail</x:v>
      </x:c>
      <x:c r="F10290" s="13" t="str">
        <x:v>Early Cyclicals</x:v>
      </x:c>
      <x:c r="G10290" s="13" t="str">
        <x:v>Ibovespa_earnings_consolidated.xlsx</x:v>
      </x:c>
    </x:row>
    <x:row r="10291">
      <x:c r="A10291" s="15" t="n">
        <x:v>44896</x:v>
      </x:c>
      <x:c r="B10291" s="13" t="str">
        <x:v>CIA BRASILEIRA DE DISTRIBUIC</x:v>
      </x:c>
      <x:c r="C10291" s="16" t="n">
        <x:v>418.382649337</x:v>
      </x:c>
      <x:c r="D10291" s="13" t="str">
        <x:v>Retail</x:v>
      </x:c>
      <x:c r="E10291" s="13" t="str">
        <x:v>Retail</x:v>
      </x:c>
      <x:c r="F10291" s="13" t="str">
        <x:v>Early Cyclicals</x:v>
      </x:c>
      <x:c r="G10291" s="13" t="str">
        <x:v>Ibovespa_earnings_consolidated.xlsx</x:v>
      </x:c>
    </x:row>
    <x:row r="10292">
      <x:c r="A10292" s="15" t="n">
        <x:v>44896</x:v>
      </x:c>
      <x:c r="B10292" s="13" t="str">
        <x:v>CVC BRASIL OPERADORA E AGENC</x:v>
      </x:c>
      <x:c r="C10292" s="16" t="n">
        <x:v>-93.4790489425</x:v>
      </x:c>
      <x:c r="D10292" s="13" t="str">
        <x:v>Retail</x:v>
      </x:c>
      <x:c r="E10292" s="13" t="str">
        <x:v>Retail</x:v>
      </x:c>
      <x:c r="F10292" s="13" t="str">
        <x:v>Early Cyclicals</x:v>
      </x:c>
      <x:c r="G10292" s="13" t="str">
        <x:v>Ibovespa_earnings_consolidated.xlsx</x:v>
      </x:c>
    </x:row>
    <x:row r="10293">
      <x:c r="A10293" s="15" t="n">
        <x:v>44896</x:v>
      </x:c>
      <x:c r="B10293" s="13" t="str">
        <x:v>GRUPO CASAS BAHIA SA</x:v>
      </x:c>
      <x:c r="C10293" s="16" t="n">
        <x:v>-220.8970166356</x:v>
      </x:c>
      <x:c r="D10293" s="13" t="str">
        <x:v>Retail</x:v>
      </x:c>
      <x:c r="E10293" s="13" t="str">
        <x:v>Retail</x:v>
      </x:c>
      <x:c r="F10293" s="13" t="str">
        <x:v>Early Cyclicals</x:v>
      </x:c>
      <x:c r="G10293" s="13" t="str">
        <x:v>Ibovespa_earnings_consolidated.xlsx</x:v>
      </x:c>
    </x:row>
    <x:row r="10294">
      <x:c r="A10294" s="15" t="n">
        <x:v>44896</x:v>
      </x:c>
      <x:c r="B10294" s="13" t="str">
        <x:v>GRUPO DE MODA SOMA SA</x:v>
      </x:c>
      <x:c r="C10294" s="16" t="n">
        <x:v>578.3320547945</x:v>
      </x:c>
      <x:c r="D10294" s="13" t="str">
        <x:v>Retail</x:v>
      </x:c>
      <x:c r="E10294" s="13" t="str">
        <x:v>Retail</x:v>
      </x:c>
      <x:c r="F10294" s="13" t="str">
        <x:v>Early Cyclicals</x:v>
      </x:c>
      <x:c r="G10294" s="13" t="str">
        <x:v>Ibovespa_earnings_consolidated.xlsx</x:v>
      </x:c>
    </x:row>
    <x:row r="10295">
      <x:c r="A10295" s="15" t="n">
        <x:v>44896</x:v>
      </x:c>
      <x:c r="B10295" s="13" t="str">
        <x:v>LOJAS RENNER S.A.</x:v>
      </x:c>
      <x:c r="C10295" s="16" t="n">
        <x:v>1622.4506073425</x:v>
      </x:c>
      <x:c r="D10295" s="13" t="str">
        <x:v>Retail</x:v>
      </x:c>
      <x:c r="E10295" s="13" t="str">
        <x:v>Retail</x:v>
      </x:c>
      <x:c r="F10295" s="13" t="str">
        <x:v>Early Cyclicals</x:v>
      </x:c>
      <x:c r="G10295" s="13" t="str">
        <x:v>Ibovespa_earnings_consolidated.xlsx</x:v>
      </x:c>
    </x:row>
    <x:row r="10296">
      <x:c r="A10296" s="15" t="n">
        <x:v>44896</x:v>
      </x:c>
      <x:c r="B10296" s="13" t="str">
        <x:v>MAGAZINE LUIZA SA</x:v>
      </x:c>
      <x:c r="C10296" s="16" t="n">
        <x:v>52.3299841315</x:v>
      </x:c>
      <x:c r="D10296" s="13" t="str">
        <x:v>Retail</x:v>
      </x:c>
      <x:c r="E10296" s="13" t="str">
        <x:v>Retail</x:v>
      </x:c>
      <x:c r="F10296" s="13" t="str">
        <x:v>Early Cyclicals</x:v>
      </x:c>
      <x:c r="G10296" s="13" t="str">
        <x:v>Ibovespa_earnings_consolidated.xlsx</x:v>
      </x:c>
    </x:row>
    <x:row r="10297">
      <x:c r="A10297" s="15" t="n">
        <x:v>44896</x:v>
      </x:c>
      <x:c r="B10297" s="13" t="str">
        <x:v>NATURA &amp;CO HOLDING SA</x:v>
      </x:c>
      <x:c r="C10297" s="16" t="n">
        <x:v>557.7159178521</x:v>
      </x:c>
      <x:c r="D10297" s="13" t="str">
        <x:v>Retail</x:v>
      </x:c>
      <x:c r="E10297" s="13" t="str">
        <x:v>Retail</x:v>
      </x:c>
      <x:c r="F10297" s="13" t="str">
        <x:v>Early Cyclicals</x:v>
      </x:c>
      <x:c r="G10297" s="13" t="str">
        <x:v>Ibovespa_earnings_consolidated.xlsx</x:v>
      </x:c>
    </x:row>
    <x:row r="10298">
      <x:c r="A10298" s="15" t="n">
        <x:v>44896</x:v>
      </x:c>
      <x:c r="B10298" s="13" t="str">
        <x:v>PET CENTER COMERCIO E PARTIC</x:v>
      </x:c>
      <x:c r="C10298" s="16" t="n">
        <x:v>145.8711780822</x:v>
      </x:c>
      <x:c r="D10298" s="13" t="str">
        <x:v>Retail</x:v>
      </x:c>
      <x:c r="E10298" s="13" t="str">
        <x:v>Retail</x:v>
      </x:c>
      <x:c r="F10298" s="13" t="str">
        <x:v>Early Cyclicals</x:v>
      </x:c>
      <x:c r="G10298" s="13" t="str">
        <x:v>Ibovespa_earnings_consolidated.xlsx</x:v>
      </x:c>
    </x:row>
    <x:row r="10299">
      <x:c r="A10299" s="15" t="n">
        <x:v>44896</x:v>
      </x:c>
      <x:c r="B10299" s="13" t="str">
        <x:v>RAIA DROGASIL SA</x:v>
      </x:c>
      <x:c r="C10299" s="16" t="n">
        <x:v>1208.2521635068</x:v>
      </x:c>
      <x:c r="D10299" s="13" t="str">
        <x:v>Retail</x:v>
      </x:c>
      <x:c r="E10299" s="13" t="str">
        <x:v>Retail</x:v>
      </x:c>
      <x:c r="F10299" s="13" t="str">
        <x:v>Early Cyclicals</x:v>
      </x:c>
      <x:c r="G10299" s="13" t="str">
        <x:v>Ibovespa_earnings_consolidated.xlsx</x:v>
      </x:c>
    </x:row>
    <x:row r="10300">
      <x:c r="A10300" s="15" t="n">
        <x:v>44896</x:v>
      </x:c>
      <x:c r="B10300" s="13" t="str">
        <x:v>SENDAS DISTRIBUIDORA SA</x:v>
      </x:c>
      <x:c r="C10300" s="16" t="n">
        <x:v>1706.4846027397</x:v>
      </x:c>
      <x:c r="D10300" s="13" t="str">
        <x:v>Retail</x:v>
      </x:c>
      <x:c r="E10300" s="13" t="str">
        <x:v>Retail</x:v>
      </x:c>
      <x:c r="F10300" s="13" t="str">
        <x:v>Early Cyclicals</x:v>
      </x:c>
      <x:c r="G10300" s="13" t="str">
        <x:v>Ibovespa_earnings_consolidated.xlsx</x:v>
      </x:c>
    </x:row>
    <x:row r="10301">
      <x:c r="A10301" s="15" t="n">
        <x:v>44896</x:v>
      </x:c>
      <x:c r="B10301" s="13" t="str">
        <x:v>CIA SANEAMENTO BASICO DE SP</x:v>
      </x:c>
      <x:c r="C10301" s="16" t="n">
        <x:v>3313.3423419616</x:v>
      </x:c>
      <x:c r="D10301" s="13" t="str">
        <x:v>Sanitation</x:v>
      </x:c>
      <x:c r="E10301" s="13" t="str">
        <x:v>Utilities</x:v>
      </x:c>
      <x:c r="F10301" s="13" t="str">
        <x:v>Defensives</x:v>
      </x:c>
      <x:c r="G10301" s="13" t="str">
        <x:v>Ibovespa_earnings_consolidated.xlsx</x:v>
      </x:c>
    </x:row>
    <x:row r="10302">
      <x:c r="A10302" s="15" t="n">
        <x:v>44896</x:v>
      </x:c>
      <x:c r="B10302" s="13" t="str">
        <x:v>LWSA SA</x:v>
      </x:c>
      <x:c r="C10302" s="16" t="n">
        <x:v>136.1285942795</x:v>
      </x:c>
      <x:c r="D10302" s="13" t="str">
        <x:v>TMT</x:v>
      </x:c>
      <x:c r="E10302" s="13" t="str">
        <x:v>TMT</x:v>
      </x:c>
      <x:c r="F10302" s="13" t="str">
        <x:v>Early Cyclicals</x:v>
      </x:c>
      <x:c r="G10302" s="13" t="str">
        <x:v>Ibovespa_earnings_consolidated.xlsx</x:v>
      </x:c>
    </x:row>
    <x:row r="10303">
      <x:c r="A10303" s="15" t="n">
        <x:v>44896</x:v>
      </x:c>
      <x:c r="B10303" s="13" t="str">
        <x:v>POSITIVO TECNOLOGIA SA</x:v>
      </x:c>
      <x:c r="C10303" s="16" t="n">
        <x:v>301.7876712329</x:v>
      </x:c>
      <x:c r="D10303" s="13" t="str">
        <x:v>TMT</x:v>
      </x:c>
      <x:c r="E10303" s="13" t="str">
        <x:v>TMT</x:v>
      </x:c>
      <x:c r="F10303" s="13" t="str">
        <x:v>Early Cyclicals</x:v>
      </x:c>
      <x:c r="G10303" s="13" t="str">
        <x:v>Ibovespa_earnings_consolidated.xlsx</x:v>
      </x:c>
    </x:row>
    <x:row r="10304">
      <x:c r="A10304" s="15" t="n">
        <x:v>44896</x:v>
      </x:c>
      <x:c r="B10304" s="13" t="str">
        <x:v>TIM SA</x:v>
      </x:c>
      <x:c r="C10304" s="16" t="n">
        <x:v>2443.0125273425</x:v>
      </x:c>
      <x:c r="D10304" s="13" t="str">
        <x:v>TMT</x:v>
      </x:c>
      <x:c r="E10304" s="13" t="str">
        <x:v>TMT</x:v>
      </x:c>
      <x:c r="F10304" s="13" t="str">
        <x:v>Early Cyclicals</x:v>
      </x:c>
      <x:c r="G10304" s="13" t="str">
        <x:v>Ibovespa_earnings_consolidated.xlsx</x:v>
      </x:c>
    </x:row>
    <x:row r="10305">
      <x:c r="A10305" s="15" t="n">
        <x:v>44896</x:v>
      </x:c>
      <x:c r="B10305" s="13" t="str">
        <x:v>TOTVS SA</x:v>
      </x:c>
      <x:c r="C10305" s="16" t="n">
        <x:v>743.0812839452</x:v>
      </x:c>
      <x:c r="D10305" s="13" t="str">
        <x:v>TMT</x:v>
      </x:c>
      <x:c r="E10305" s="13" t="str">
        <x:v>TMT</x:v>
      </x:c>
      <x:c r="F10305" s="13" t="str">
        <x:v>Early Cyclicals</x:v>
      </x:c>
      <x:c r="G10305" s="13" t="str">
        <x:v>Ibovespa_earnings_consolidated.xlsx</x:v>
      </x:c>
    </x:row>
    <x:row r="10306">
      <x:c r="A10306" s="15" t="n">
        <x:v>44896</x:v>
      </x:c>
      <x:c r="B10306" s="13" t="str">
        <x:v>AZUL SA</x:v>
      </x:c>
      <x:c r="C10306" s="16" t="n">
        <x:v>-604.3868145973</x:v>
      </x:c>
      <x:c r="D10306" s="13" t="str">
        <x:v>Transportation</x:v>
      </x:c>
      <x:c r="E10306" s="13" t="str">
        <x:v>Transportation</x:v>
      </x:c>
      <x:c r="F10306" s="13" t="str">
        <x:v>Deep Cyclicals</x:v>
      </x:c>
      <x:c r="G10306" s="13" t="str">
        <x:v>Ibovespa_earnings_consolidated.xlsx</x:v>
      </x:c>
    </x:row>
    <x:row r="10307">
      <x:c r="A10307" s="15" t="n">
        <x:v>44896</x:v>
      </x:c>
      <x:c r="B10307" s="13" t="str">
        <x:v>ECORODOVIAS INFRA E LOG SA</x:v>
      </x:c>
      <x:c r="C10307" s="16" t="n">
        <x:v>313.9254415781</x:v>
      </x:c>
      <x:c r="D10307" s="13" t="str">
        <x:v>Transportation</x:v>
      </x:c>
      <x:c r="E10307" s="13" t="str">
        <x:v>Transportation</x:v>
      </x:c>
      <x:c r="F10307" s="13" t="str">
        <x:v>Deep Cyclicals</x:v>
      </x:c>
      <x:c r="G10307" s="13" t="str">
        <x:v>Ibovespa_earnings_consolidated.xlsx</x:v>
      </x:c>
    </x:row>
    <x:row r="10308">
      <x:c r="A10308" s="15" t="n">
        <x:v>44896</x:v>
      </x:c>
      <x:c r="B10308" s="13" t="str">
        <x:v>GOL LINHAS AEREAS INT SA-PRE</x:v>
      </x:c>
      <x:c r="C10308" s="16" t="n">
        <x:v>-156.272326137</x:v>
      </x:c>
      <x:c r="D10308" s="13" t="str">
        <x:v>Transportation</x:v>
      </x:c>
      <x:c r="E10308" s="13" t="str">
        <x:v>Transportation</x:v>
      </x:c>
      <x:c r="F10308" s="13" t="str">
        <x:v>Deep Cyclicals</x:v>
      </x:c>
      <x:c r="G10308" s="13" t="str">
        <x:v>Ibovespa_earnings_consolidated.xlsx</x:v>
      </x:c>
    </x:row>
    <x:row r="10309">
      <x:c r="A10309" s="15" t="n">
        <x:v>44896</x:v>
      </x:c>
      <x:c r="B10309" s="13" t="str">
        <x:v>LOCALIZA RENT A CAR</x:v>
      </x:c>
      <x:c r="C10309" s="16" t="n">
        <x:v>3037.0592326137</x:v>
      </x:c>
      <x:c r="D10309" s="13" t="str">
        <x:v>Transportation</x:v>
      </x:c>
      <x:c r="E10309" s="13" t="str">
        <x:v>Transportation</x:v>
      </x:c>
      <x:c r="F10309" s="13" t="str">
        <x:v>Deep Cyclicals</x:v>
      </x:c>
      <x:c r="G10309" s="13" t="str">
        <x:v>Ibovespa_earnings_consolidated.xlsx</x:v>
      </x:c>
    </x:row>
    <x:row r="10310">
      <x:c r="A10310" s="15" t="n">
        <x:v>44896</x:v>
      </x:c>
      <x:c r="B10310" s="13" t="str">
        <x:v>MOTIVA INFRAESTRUTURA DE MOB</x:v>
      </x:c>
      <x:c r="C10310" s="16" t="n">
        <x:v>1541.3787563836</x:v>
      </x:c>
      <x:c r="D10310" s="13" t="str">
        <x:v>Transportation</x:v>
      </x:c>
      <x:c r="E10310" s="13" t="str">
        <x:v>Transportation</x:v>
      </x:c>
      <x:c r="F10310" s="13" t="str">
        <x:v>Deep Cyclicals</x:v>
      </x:c>
      <x:c r="G10310" s="13" t="str">
        <x:v>Ibovespa_earnings_consolidated.xlsx</x:v>
      </x:c>
    </x:row>
    <x:row r="10311">
      <x:c r="A10311" s="15" t="n">
        <x:v>44896</x:v>
      </x:c>
      <x:c r="B10311" s="13" t="str">
        <x:v>RUMO SA</x:v>
      </x:c>
      <x:c r="C10311" s="16" t="n">
        <x:v>1187.2645205918</x:v>
      </x:c>
      <x:c r="D10311" s="13" t="str">
        <x:v>Transportation</x:v>
      </x:c>
      <x:c r="E10311" s="13" t="str">
        <x:v>Transportation</x:v>
      </x:c>
      <x:c r="F10311" s="13" t="str">
        <x:v>Deep Cyclicals</x:v>
      </x:c>
      <x:c r="G10311" s="13" t="str">
        <x:v>Ibovespa_earnings_consolidated.xlsx</x:v>
      </x:c>
    </x:row>
    <x:row r="10312">
      <x:c r="A10312" s="15" t="n">
        <x:v>44896</x:v>
      </x:c>
      <x:c r="B10312" s="13" t="str">
        <x:v>AXIA ENERGIA SA</x:v>
      </x:c>
      <x:c r="C10312" s="16" t="n">
        <x:v>7503.367520789</x:v>
      </x:c>
      <x:c r="D10312" s="13" t="str">
        <x:v>Utilities &amp; Energy</x:v>
      </x:c>
      <x:c r="E10312" s="13" t="str">
        <x:v>Utilities</x:v>
      </x:c>
      <x:c r="F10312" s="13" t="str">
        <x:v>Defensives</x:v>
      </x:c>
      <x:c r="G10312" s="13" t="str">
        <x:v>Ibovespa_earnings_consolidated.xlsx</x:v>
      </x:c>
    </x:row>
    <x:row r="10313">
      <x:c r="A10313" s="15" t="n">
        <x:v>44896</x:v>
      </x:c>
      <x:c r="B10313" s="13" t="str">
        <x:v>AXIA ENERGIA-PR B</x:v>
      </x:c>
      <x:c r="C10313" s="16" t="n">
        <x:v>7503.367520789</x:v>
      </x:c>
      <x:c r="D10313" s="13" t="str">
        <x:v>Utilities &amp; Energy</x:v>
      </x:c>
      <x:c r="E10313" s="13" t="str">
        <x:v>Utilities</x:v>
      </x:c>
      <x:c r="F10313" s="13" t="str">
        <x:v>Defensives</x:v>
      </x:c>
      <x:c r="G10313" s="13" t="str">
        <x:v>Ibovespa_earnings_consolidated.xlsx</x:v>
      </x:c>
    </x:row>
    <x:row r="10314">
      <x:c r="A10314" s="15" t="n">
        <x:v>44896</x:v>
      </x:c>
      <x:c r="B10314" s="13" t="str">
        <x:v>CIA ENERGETICA MINAS GER-PRF</x:v>
      </x:c>
      <x:c r="C10314" s="16" t="n">
        <x:v>3494.2851254356</x:v>
      </x:c>
      <x:c r="D10314" s="13" t="str">
        <x:v>Utilities &amp; Energy</x:v>
      </x:c>
      <x:c r="E10314" s="13" t="str">
        <x:v>Utilities</x:v>
      </x:c>
      <x:c r="F10314" s="13" t="str">
        <x:v>Defensives</x:v>
      </x:c>
      <x:c r="G10314" s="13" t="str">
        <x:v>Ibovespa_earnings_consolidated.xlsx</x:v>
      </x:c>
    </x:row>
    <x:row r="10315">
      <x:c r="A10315" s="15" t="n">
        <x:v>44896</x:v>
      </x:c>
      <x:c r="B10315" s="13" t="str">
        <x:v>COMPANHIA PARANAENSE -PREF B</x:v>
      </x:c>
      <x:c r="C10315" s="16" t="n">
        <x:v>2360.1926612164</x:v>
      </x:c>
      <x:c r="D10315" s="13" t="str">
        <x:v>Utilities &amp; Energy</x:v>
      </x:c>
      <x:c r="E10315" s="13" t="str">
        <x:v>Utilities</x:v>
      </x:c>
      <x:c r="F10315" s="13" t="str">
        <x:v>Defensives</x:v>
      </x:c>
      <x:c r="G10315" s="13" t="str">
        <x:v>Ibovespa_earnings_consolidated.xlsx</x:v>
      </x:c>
    </x:row>
    <x:row r="10316">
      <x:c r="A10316" s="15" t="n">
        <x:v>44896</x:v>
      </x:c>
      <x:c r="B10316" s="13" t="str">
        <x:v>CPFL ENERGIA SA</x:v>
      </x:c>
      <x:c r="C10316" s="16" t="n">
        <x:v>4250.0807806247</x:v>
      </x:c>
      <x:c r="D10316" s="13" t="str">
        <x:v>Utilities &amp; Energy</x:v>
      </x:c>
      <x:c r="E10316" s="13" t="str">
        <x:v>Utilities</x:v>
      </x:c>
      <x:c r="F10316" s="13" t="str">
        <x:v>Defensives</x:v>
      </x:c>
      <x:c r="G10316" s="13" t="str">
        <x:v>Ibovespa_earnings_consolidated.xlsx</x:v>
      </x:c>
    </x:row>
    <x:row r="10317">
      <x:c r="A10317" s="15" t="n">
        <x:v>44896</x:v>
      </x:c>
      <x:c r="B10317" s="13" t="str">
        <x:v>EDP - ENERGIAS DO BRASIL SA</x:v>
      </x:c>
      <x:c r="C10317" s="16" t="n">
        <x:v>1512.4969931397</x:v>
      </x:c>
      <x:c r="D10317" s="13" t="str">
        <x:v>Utilities &amp; Energy</x:v>
      </x:c>
      <x:c r="E10317" s="13" t="str">
        <x:v>Utilities</x:v>
      </x:c>
      <x:c r="F10317" s="13" t="str">
        <x:v>Defensives</x:v>
      </x:c>
      <x:c r="G10317" s="13" t="str">
        <x:v>Ibovespa_earnings_consolidated.xlsx</x:v>
      </x:c>
    </x:row>
    <x:row r="10318">
      <x:c r="A10318" s="15" t="n">
        <x:v>44896</x:v>
      </x:c>
      <x:c r="B10318" s="13" t="str">
        <x:v>ENERGISA SA-UNITS</x:v>
      </x:c>
      <x:c r="C10318" s="16" t="n">
        <x:v>1680.9043491069</x:v>
      </x:c>
      <x:c r="D10318" s="13" t="str">
        <x:v>Utilities &amp; Energy</x:v>
      </x:c>
      <x:c r="E10318" s="13" t="str">
        <x:v>Utilities</x:v>
      </x:c>
      <x:c r="F10318" s="13" t="str">
        <x:v>Defensives</x:v>
      </x:c>
      <x:c r="G10318" s="13" t="str">
        <x:v>Ibovespa_earnings_consolidated.xlsx</x:v>
      </x:c>
    </x:row>
    <x:row r="10319">
      <x:c r="A10319" s="15" t="n">
        <x:v>44896</x:v>
      </x:c>
      <x:c r="B10319" s="13" t="str">
        <x:v>ENEVA SA</x:v>
      </x:c>
      <x:c r="C10319" s="16" t="n">
        <x:v>1046.0757579397</x:v>
      </x:c>
      <x:c r="D10319" s="13" t="str">
        <x:v>Utilities &amp; Energy</x:v>
      </x:c>
      <x:c r="E10319" s="13" t="str">
        <x:v>Utilities</x:v>
      </x:c>
      <x:c r="F10319" s="13" t="str">
        <x:v>Defensives</x:v>
      </x:c>
      <x:c r="G10319" s="13" t="str">
        <x:v>Ibovespa_earnings_consolidated.xlsx</x:v>
      </x:c>
    </x:row>
    <x:row r="10320">
      <x:c r="A10320" s="15" t="n">
        <x:v>44896</x:v>
      </x:c>
      <x:c r="B10320" s="13" t="str">
        <x:v>ENGIE BRASIL ENERGIA SA</x:v>
      </x:c>
      <x:c r="C10320" s="16" t="n">
        <x:v>3557.4453311123</x:v>
      </x:c>
      <x:c r="D10320" s="13" t="str">
        <x:v>Utilities &amp; Energy</x:v>
      </x:c>
      <x:c r="E10320" s="13" t="str">
        <x:v>Utilities</x:v>
      </x:c>
      <x:c r="F10320" s="13" t="str">
        <x:v>Defensives</x:v>
      </x:c>
      <x:c r="G10320" s="13" t="str">
        <x:v>Ibovespa_earnings_consolidated.xlsx</x:v>
      </x:c>
    </x:row>
    <x:row r="10321">
      <x:c r="A10321" s="15" t="n">
        <x:v>44896</x:v>
      </x:c>
      <x:c r="B10321" s="13" t="str">
        <x:v>EQUATORIAL SA - ORD</x:v>
      </x:c>
      <x:c r="C10321" s="16" t="n">
        <x:v>2639.0096138521</x:v>
      </x:c>
      <x:c r="D10321" s="13" t="str">
        <x:v>Utilities &amp; Energy</x:v>
      </x:c>
      <x:c r="E10321" s="13" t="str">
        <x:v>Utilities</x:v>
      </x:c>
      <x:c r="F10321" s="13" t="str">
        <x:v>Defensives</x:v>
      </x:c>
      <x:c r="G10321" s="13" t="str">
        <x:v>Ibovespa_earnings_consolidated.xlsx</x:v>
      </x:c>
    </x:row>
    <x:row r="10322">
      <x:c r="A10322" s="15" t="n">
        <x:v>44896</x:v>
      </x:c>
      <x:c r="B10322" s="13" t="str">
        <x:v>TRANSMISSORA ALIANCA DE-UNIT</x:v>
      </x:c>
      <x:c r="C10322" s="16" t="n">
        <x:v>1194.3681164274</x:v>
      </x:c>
      <x:c r="D10322" s="13" t="str">
        <x:v>Utilities &amp; Energy</x:v>
      </x:c>
      <x:c r="E10322" s="13" t="str">
        <x:v>Utilities</x:v>
      </x:c>
      <x:c r="F10322" s="13" t="str">
        <x:v>Defensives</x:v>
      </x:c>
      <x:c r="G10322" s="13" t="str">
        <x:v>Ibovespa_earnings_consolidated.xlsx</x:v>
      </x:c>
    </x:row>
    <x:row r="10323">
      <x:c r="A10323" s="15" t="n">
        <x:v>44927</x:v>
      </x:c>
      <x:c r="B10323" s="13" t="str">
        <x:v>RAIZEN SA - PREFERENCE</x:v>
      </x:c>
      <x:c r="C10323" s="16" t="n">
        <x:v>4602.8967945792</x:v>
      </x:c>
      <x:c r="D10323" s="13" t="str">
        <x:v>Agribusiness</x:v>
      </x:c>
      <x:c r="E10323" s="13" t="str">
        <x:v>Agri, Food &amp; Beverages</x:v>
      </x:c>
      <x:c r="F10323" s="13" t="str">
        <x:v>Defensives</x:v>
      </x:c>
      <x:c r="G10323" s="13" t="str">
        <x:v>grid_wbaxp5t0.xlsx</x:v>
      </x:c>
    </x:row>
    <x:row r="10324">
      <x:c r="A10324" s="15" t="n">
        <x:v>44927</x:v>
      </x:c>
      <x:c r="B10324" s="13" t="str">
        <x:v>SAO MARTINHO SA</x:v>
      </x:c>
      <x:c r="C10324" s="16" t="n">
        <x:v>1197.6769290492</x:v>
      </x:c>
      <x:c r="D10324" s="13" t="str">
        <x:v>Agribusiness</x:v>
      </x:c>
      <x:c r="E10324" s="13" t="str">
        <x:v>Agri, Food &amp; Beverages</x:v>
      </x:c>
      <x:c r="F10324" s="13" t="str">
        <x:v>Defensives</x:v>
      </x:c>
      <x:c r="G10324" s="13" t="str">
        <x:v>grid_wbaxp5t0.xlsx</x:v>
      </x:c>
    </x:row>
    <x:row r="10325">
      <x:c r="A10325" s="15" t="n">
        <x:v>44927</x:v>
      </x:c>
      <x:c r="B10325" s="13" t="str">
        <x:v>SLC AGRICOLA SA</x:v>
      </x:c>
      <x:c r="C10325" s="16" t="n">
        <x:v>1360.0666600219</x:v>
      </x:c>
      <x:c r="D10325" s="13" t="str">
        <x:v>Agribusiness</x:v>
      </x:c>
      <x:c r="E10325" s="13" t="str">
        <x:v>Agri, Food &amp; Beverages</x:v>
      </x:c>
      <x:c r="F10325" s="13" t="str">
        <x:v>Defensives</x:v>
      </x:c>
      <x:c r="G10325" s="13" t="str">
        <x:v>grid_wbaxp5t0.xlsx</x:v>
      </x:c>
    </x:row>
    <x:row r="10326">
      <x:c r="A10326" s="15" t="n">
        <x:v>44927</x:v>
      </x:c>
      <x:c r="B10326" s="13" t="str">
        <x:v>BANCO BRADESCO S.A.</x:v>
      </x:c>
      <x:c r="C10326" s="16" t="n">
        <x:v>26004.3541431257</x:v>
      </x:c>
      <x:c r="D10326" s="13" t="str">
        <x:v>Banks</x:v>
      </x:c>
      <x:c r="E10326" s="13" t="str">
        <x:v>Banks</x:v>
      </x:c>
      <x:c r="F10326" s="13" t="str">
        <x:v>Financials</x:v>
      </x:c>
      <x:c r="G10326" s="13" t="str">
        <x:v>grid_wbaxp5t0.xlsx</x:v>
      </x:c>
    </x:row>
    <x:row r="10327">
      <x:c r="A10327" s="15" t="n">
        <x:v>44927</x:v>
      </x:c>
      <x:c r="B10327" s="13" t="str">
        <x:v>BANCO BRADESCO SA-PREF</x:v>
      </x:c>
      <x:c r="C10327" s="16" t="n">
        <x:v>26004.3541431257</x:v>
      </x:c>
      <x:c r="D10327" s="13" t="str">
        <x:v>Banks</x:v>
      </x:c>
      <x:c r="E10327" s="13" t="str">
        <x:v>Banks</x:v>
      </x:c>
      <x:c r="F10327" s="13" t="str">
        <x:v>Financials</x:v>
      </x:c>
      <x:c r="G10327" s="13" t="str">
        <x:v>grid_wbaxp5t0.xlsx</x:v>
      </x:c>
    </x:row>
    <x:row r="10328">
      <x:c r="A10328" s="15" t="n">
        <x:v>44927</x:v>
      </x:c>
      <x:c r="B10328" s="13" t="str">
        <x:v>BANCO BTG PACTUAL SA-UNIT</x:v>
      </x:c>
      <x:c r="C10328" s="16" t="n">
        <x:v>9684.3448655738</x:v>
      </x:c>
      <x:c r="D10328" s="13" t="str">
        <x:v>Banks</x:v>
      </x:c>
      <x:c r="E10328" s="13" t="str">
        <x:v>Banks</x:v>
      </x:c>
      <x:c r="F10328" s="13" t="str">
        <x:v>Financials</x:v>
      </x:c>
      <x:c r="G10328" s="13" t="str">
        <x:v>grid_wbaxp5t0.xlsx</x:v>
      </x:c>
    </x:row>
    <x:row r="10329">
      <x:c r="A10329" s="15" t="n">
        <x:v>44927</x:v>
      </x:c>
      <x:c r="B10329" s="13" t="str">
        <x:v>BANCO DO BRASIL S.A.</x:v>
      </x:c>
      <x:c r="C10329" s="16" t="n">
        <x:v>31942.6143797158</x:v>
      </x:c>
      <x:c r="D10329" s="13" t="str">
        <x:v>Banks</x:v>
      </x:c>
      <x:c r="E10329" s="13" t="str">
        <x:v>Banks</x:v>
      </x:c>
      <x:c r="F10329" s="13" t="str">
        <x:v>Financials</x:v>
      </x:c>
      <x:c r="G10329" s="13" t="str">
        <x:v>grid_wbaxp5t0.xlsx</x:v>
      </x:c>
    </x:row>
    <x:row r="10330">
      <x:c r="A10330" s="15" t="n">
        <x:v>44927</x:v>
      </x:c>
      <x:c r="B10330" s="13" t="str">
        <x:v>BANCO PAN SA</x:v>
      </x:c>
      <x:c r="C10330" s="16" t="n">
        <x:v>1059.7972263169</x:v>
      </x:c>
      <x:c r="D10330" s="13" t="str">
        <x:v>Banks</x:v>
      </x:c>
      <x:c r="E10330" s="13" t="str">
        <x:v>Banks</x:v>
      </x:c>
      <x:c r="F10330" s="13" t="str">
        <x:v>Financials</x:v>
      </x:c>
      <x:c r="G10330" s="13" t="str">
        <x:v>grid_wbaxp5t0.xlsx</x:v>
      </x:c>
    </x:row>
    <x:row r="10331">
      <x:c r="A10331" s="15" t="n">
        <x:v>44927</x:v>
      </x:c>
      <x:c r="B10331" s="13" t="str">
        <x:v>BANCO SANTANDER  BRASIL-UNIT</x:v>
      </x:c>
      <x:c r="C10331" s="16" t="n">
        <x:v>14543.9047512131</x:v>
      </x:c>
      <x:c r="D10331" s="13" t="str">
        <x:v>Banks</x:v>
      </x:c>
      <x:c r="E10331" s="13" t="str">
        <x:v>Banks</x:v>
      </x:c>
      <x:c r="F10331" s="13" t="str">
        <x:v>Financials</x:v>
      </x:c>
      <x:c r="G10331" s="13" t="str">
        <x:v>grid_wbaxp5t0.xlsx</x:v>
      </x:c>
    </x:row>
    <x:row r="10332">
      <x:c r="A10332" s="15" t="n">
        <x:v>44927</x:v>
      </x:c>
      <x:c r="B10332" s="13" t="str">
        <x:v>ITAU UNIBANCO HOLDING S-PREF</x:v>
      </x:c>
      <x:c r="C10332" s="16" t="n">
        <x:v>35858.2281400656</x:v>
      </x:c>
      <x:c r="D10332" s="13" t="str">
        <x:v>Banks</x:v>
      </x:c>
      <x:c r="E10332" s="13" t="str">
        <x:v>Banks</x:v>
      </x:c>
      <x:c r="F10332" s="13" t="str">
        <x:v>Financials</x:v>
      </x:c>
      <x:c r="G10332" s="13" t="str">
        <x:v>grid_wbaxp5t0.xlsx</x:v>
      </x:c>
    </x:row>
    <x:row r="10333">
      <x:c r="A10333" s="15" t="n">
        <x:v>44927</x:v>
      </x:c>
      <x:c r="B10333" s="13" t="str">
        <x:v>EMBRAER SA</x:v>
      </x:c>
      <x:c r="C10333" s="16" t="n">
        <x:v>720.1891675628</x:v>
      </x:c>
      <x:c r="D10333" s="13" t="str">
        <x:v>Capital Goods</x:v>
      </x:c>
      <x:c r="E10333" s="13" t="str">
        <x:v>Capital Goods</x:v>
      </x:c>
      <x:c r="F10333" s="13" t="str">
        <x:v>Deep Cyclicals</x:v>
      </x:c>
      <x:c r="G10333" s="13" t="str">
        <x:v>grid_wbaxp5t0.xlsx</x:v>
      </x:c>
    </x:row>
    <x:row r="10334">
      <x:c r="A10334" s="15" t="n">
        <x:v>44927</x:v>
      </x:c>
      <x:c r="B10334" s="13" t="str">
        <x:v>WEG SA</x:v>
      </x:c>
      <x:c r="C10334" s="16" t="n">
        <x:v>5150.638622776</x:v>
      </x:c>
      <x:c r="D10334" s="13" t="str">
        <x:v>Capital Goods</x:v>
      </x:c>
      <x:c r="E10334" s="13" t="str">
        <x:v>Capital Goods</x:v>
      </x:c>
      <x:c r="F10334" s="13" t="str">
        <x:v>Deep Cyclicals</x:v>
      </x:c>
      <x:c r="G10334" s="13" t="str">
        <x:v>grid_wbaxp5t0.xlsx</x:v>
      </x:c>
    </x:row>
    <x:row r="10335">
      <x:c r="A10335" s="15" t="n">
        <x:v>44927</x:v>
      </x:c>
      <x:c r="B10335" s="13" t="str">
        <x:v>COGNA EDUCACAO</x:v>
      </x:c>
      <x:c r="C10335" s="16" t="n">
        <x:v>-108.1495865355</x:v>
      </x:c>
      <x:c r="D10335" s="13" t="str">
        <x:v>Education</x:v>
      </x:c>
      <x:c r="E10335" s="13" t="str">
        <x:v>Education</x:v>
      </x:c>
      <x:c r="F10335" s="13" t="str">
        <x:v>Early Cyclicals</x:v>
      </x:c>
      <x:c r="G10335" s="13" t="str">
        <x:v>grid_wbaxp5t0.xlsx</x:v>
      </x:c>
    </x:row>
    <x:row r="10336">
      <x:c r="A10336" s="15" t="n">
        <x:v>44927</x:v>
      </x:c>
      <x:c r="B10336" s="13" t="str">
        <x:v>YDUQS PARTICIPACOES SA</x:v>
      </x:c>
      <x:c r="C10336" s="16" t="n">
        <x:v>278.8655737705</x:v>
      </x:c>
      <x:c r="D10336" s="13" t="str">
        <x:v>Education</x:v>
      </x:c>
      <x:c r="E10336" s="13" t="str">
        <x:v>Education</x:v>
      </x:c>
      <x:c r="F10336" s="13" t="str">
        <x:v>Early Cyclicals</x:v>
      </x:c>
      <x:c r="G10336" s="13" t="str">
        <x:v>grid_wbaxp5t0.xlsx</x:v>
      </x:c>
    </x:row>
    <x:row r="10337">
      <x:c r="A10337" s="15" t="n">
        <x:v>44927</x:v>
      </x:c>
      <x:c r="B10337" s="13" t="str">
        <x:v>B3 SA-BRASIL BOLSA BALCAO</x:v>
      </x:c>
      <x:c r="C10337" s="16" t="n">
        <x:v>5122.8157006339</x:v>
      </x:c>
      <x:c r="D10337" s="13" t="str">
        <x:v>Financials Non-Banks</x:v>
      </x:c>
      <x:c r="E10337" s="13" t="str">
        <x:v>Financials Non-Banks</x:v>
      </x:c>
      <x:c r="F10337" s="13" t="str">
        <x:v>Financials</x:v>
      </x:c>
      <x:c r="G10337" s="13" t="str">
        <x:v>grid_wbaxp5t0.xlsx</x:v>
      </x:c>
    </x:row>
    <x:row r="10338">
      <x:c r="A10338" s="15" t="n">
        <x:v>44927</x:v>
      </x:c>
      <x:c r="B10338" s="13" t="str">
        <x:v>BB SEGURIDADE PARTICIPACOES</x:v>
      </x:c>
      <x:c r="C10338" s="16" t="n">
        <x:v>6925.3434054645</x:v>
      </x:c>
      <x:c r="D10338" s="13" t="str">
        <x:v>Financials Non-Banks</x:v>
      </x:c>
      <x:c r="E10338" s="13" t="str">
        <x:v>Financials Non-Banks</x:v>
      </x:c>
      <x:c r="F10338" s="13" t="str">
        <x:v>Financials</x:v>
      </x:c>
      <x:c r="G10338" s="13" t="str">
        <x:v>grid_wbaxp5t0.xlsx</x:v>
      </x:c>
    </x:row>
    <x:row r="10339">
      <x:c r="A10339" s="15" t="n">
        <x:v>44927</x:v>
      </x:c>
      <x:c r="B10339" s="13" t="str">
        <x:v>CIELO SA - INSTITUICAO DE PA</x:v>
      </x:c>
      <x:c r="C10339" s="16" t="n">
        <x:v>1653.6142919344</x:v>
      </x:c>
      <x:c r="D10339" s="13" t="str">
        <x:v>Financials Non-Banks</x:v>
      </x:c>
      <x:c r="E10339" s="13" t="str">
        <x:v>Financials Non-Banks</x:v>
      </x:c>
      <x:c r="F10339" s="13" t="str">
        <x:v>Financials</x:v>
      </x:c>
      <x:c r="G10339" s="13" t="str">
        <x:v>grid_wbaxp5t0.xlsx</x:v>
      </x:c>
    </x:row>
    <x:row r="10340">
      <x:c r="A10340" s="15" t="n">
        <x:v>44927</x:v>
      </x:c>
      <x:c r="B10340" s="13" t="str">
        <x:v>ITAUSA SA</x:v>
      </x:c>
      <x:c r="C10340" s="16" t="n">
        <x:v>13414.2674395628</x:v>
      </x:c>
      <x:c r="D10340" s="13" t="str">
        <x:v>Financials Non-Banks</x:v>
      </x:c>
      <x:c r="E10340" s="13" t="str">
        <x:v>Financials Non-Banks</x:v>
      </x:c>
      <x:c r="F10340" s="13" t="str">
        <x:v>Financials</x:v>
      </x:c>
      <x:c r="G10340" s="13" t="str">
        <x:v>grid_wbaxp5t0.xlsx</x:v>
      </x:c>
    </x:row>
    <x:row r="10341">
      <x:c r="A10341" s="15" t="n">
        <x:v>44927</x:v>
      </x:c>
      <x:c r="B10341" s="13" t="str">
        <x:v>MELIUZ SA - ON</x:v>
      </x:c>
      <x:c r="C10341" s="16" t="n">
        <x:v>-8.0680655738</x:v>
      </x:c>
      <x:c r="D10341" s="13" t="str">
        <x:v>Financials Non-Banks</x:v>
      </x:c>
      <x:c r="E10341" s="13" t="str">
        <x:v>Financials Non-Banks</x:v>
      </x:c>
      <x:c r="F10341" s="13" t="str">
        <x:v>Financials</x:v>
      </x:c>
      <x:c r="G10341" s="13" t="str">
        <x:v>grid_wbaxp5t0.xlsx</x:v>
      </x:c>
    </x:row>
    <x:row r="10342">
      <x:c r="A10342" s="15" t="n">
        <x:v>44927</x:v>
      </x:c>
      <x:c r="B10342" s="13" t="str">
        <x:v>AMBEV SA</x:v>
      </x:c>
      <x:c r="C10342" s="16" t="n">
        <x:v>14018.5636259672</x:v>
      </x:c>
      <x:c r="D10342" s="13" t="str">
        <x:v>Food &amp; Beverages</x:v>
      </x:c>
      <x:c r="E10342" s="13" t="str">
        <x:v>Agri, Food &amp; Beverages</x:v>
      </x:c>
      <x:c r="F10342" s="13" t="str">
        <x:v>Defensives</x:v>
      </x:c>
      <x:c r="G10342" s="13" t="str">
        <x:v>grid_wbaxp5t0.xlsx</x:v>
      </x:c>
    </x:row>
    <x:row r="10343">
      <x:c r="A10343" s="15" t="n">
        <x:v>44927</x:v>
      </x:c>
      <x:c r="B10343" s="13" t="str">
        <x:v>BRF SA</x:v>
      </x:c>
      <x:c r="C10343" s="16" t="n">
        <x:v>626.1925791475</x:v>
      </x:c>
      <x:c r="D10343" s="13" t="str">
        <x:v>Food &amp; Beverages</x:v>
      </x:c>
      <x:c r="E10343" s="13" t="str">
        <x:v>Agri, Food &amp; Beverages</x:v>
      </x:c>
      <x:c r="F10343" s="13" t="str">
        <x:v>Defensives</x:v>
      </x:c>
      <x:c r="G10343" s="13" t="str">
        <x:v>grid_wbaxp5t0.xlsx</x:v>
      </x:c>
    </x:row>
    <x:row r="10344">
      <x:c r="A10344" s="15" t="n">
        <x:v>44927</x:v>
      </x:c>
      <x:c r="B10344" s="13" t="str">
        <x:v>MBRF GLOBAL FOODS COMPANY SA</x:v>
      </x:c>
      <x:c r="C10344" s="16" t="n">
        <x:v>1623.6572705574</x:v>
      </x:c>
      <x:c r="D10344" s="13" t="str">
        <x:v>Food &amp; Beverages</x:v>
      </x:c>
      <x:c r="E10344" s="13" t="str">
        <x:v>Agri, Food &amp; Beverages</x:v>
      </x:c>
      <x:c r="F10344" s="13" t="str">
        <x:v>Defensives</x:v>
      </x:c>
      <x:c r="G10344" s="13" t="str">
        <x:v>grid_wbaxp5t0.xlsx</x:v>
      </x:c>
    </x:row>
    <x:row r="10345">
      <x:c r="A10345" s="15" t="n">
        <x:v>44927</x:v>
      </x:c>
      <x:c r="B10345" s="13" t="str">
        <x:v>MINERVA SA</x:v>
      </x:c>
      <x:c r="C10345" s="16" t="n">
        <x:v>1217.2383286557</x:v>
      </x:c>
      <x:c r="D10345" s="13" t="str">
        <x:v>Food &amp; Beverages</x:v>
      </x:c>
      <x:c r="E10345" s="13" t="str">
        <x:v>Agri, Food &amp; Beverages</x:v>
      </x:c>
      <x:c r="F10345" s="13" t="str">
        <x:v>Defensives</x:v>
      </x:c>
      <x:c r="G10345" s="13" t="str">
        <x:v>grid_wbaxp5t0.xlsx</x:v>
      </x:c>
    </x:row>
    <x:row r="10346">
      <x:c r="A10346" s="15" t="n">
        <x:v>44927</x:v>
      </x:c>
      <x:c r="B10346" s="13" t="str">
        <x:v>FLEURY SA</x:v>
      </x:c>
      <x:c r="C10346" s="16" t="n">
        <x:v>391.0112702951</x:v>
      </x:c>
      <x:c r="D10346" s="13" t="str">
        <x:v>Health Care</x:v>
      </x:c>
      <x:c r="E10346" s="13" t="str">
        <x:v>Health Care</x:v>
      </x:c>
      <x:c r="F10346" s="13" t="str">
        <x:v>Defensives</x:v>
      </x:c>
      <x:c r="G10346" s="13" t="str">
        <x:v>grid_wbaxp5t0.xlsx</x:v>
      </x:c>
    </x:row>
    <x:row r="10347">
      <x:c r="A10347" s="15" t="n">
        <x:v>44927</x:v>
      </x:c>
      <x:c r="B10347" s="13" t="str">
        <x:v>HAPVIDA PARTICIPACOES E INVE</x:v>
      </x:c>
      <x:c r="C10347" s="16" t="n">
        <x:v>705.1297654208</x:v>
      </x:c>
      <x:c r="D10347" s="13" t="str">
        <x:v>Health Care</x:v>
      </x:c>
      <x:c r="E10347" s="13" t="str">
        <x:v>Health Care</x:v>
      </x:c>
      <x:c r="F10347" s="13" t="str">
        <x:v>Defensives</x:v>
      </x:c>
      <x:c r="G10347" s="13" t="str">
        <x:v>grid_wbaxp5t0.xlsx</x:v>
      </x:c>
    </x:row>
    <x:row r="10348">
      <x:c r="A10348" s="15" t="n">
        <x:v>44927</x:v>
      </x:c>
      <x:c r="B10348" s="13" t="str">
        <x:v>HYPERA SA</x:v>
      </x:c>
      <x:c r="C10348" s="16" t="n">
        <x:v>2010.534053071</x:v>
      </x:c>
      <x:c r="D10348" s="13" t="str">
        <x:v>Health Care</x:v>
      </x:c>
      <x:c r="E10348" s="13" t="str">
        <x:v>Health Care</x:v>
      </x:c>
      <x:c r="F10348" s="13" t="str">
        <x:v>Defensives</x:v>
      </x:c>
      <x:c r="G10348" s="13" t="str">
        <x:v>grid_wbaxp5t0.xlsx</x:v>
      </x:c>
    </x:row>
    <x:row r="10349">
      <x:c r="A10349" s="15" t="n">
        <x:v>44927</x:v>
      </x:c>
      <x:c r="B10349" s="13" t="str">
        <x:v>QUALICORP CONS E CORR SEG SA</x:v>
      </x:c>
      <x:c r="C10349" s="16" t="n">
        <x:v>209.3672040219</x:v>
      </x:c>
      <x:c r="D10349" s="13" t="str">
        <x:v>Health Care</x:v>
      </x:c>
      <x:c r="E10349" s="13" t="str">
        <x:v>Health Care</x:v>
      </x:c>
      <x:c r="F10349" s="13" t="str">
        <x:v>Defensives</x:v>
      </x:c>
      <x:c r="G10349" s="13" t="str">
        <x:v>grid_wbaxp5t0.xlsx</x:v>
      </x:c>
    </x:row>
    <x:row r="10350">
      <x:c r="A10350" s="15" t="n">
        <x:v>44927</x:v>
      </x:c>
      <x:c r="B10350" s="13" t="str">
        <x:v>REDE D'OR SAO LUIZ SA</x:v>
      </x:c>
      <x:c r="C10350" s="16" t="n">
        <x:v>2474.927119388</x:v>
      </x:c>
      <x:c r="D10350" s="13" t="str">
        <x:v>Health Care</x:v>
      </x:c>
      <x:c r="E10350" s="13" t="str">
        <x:v>Health Care</x:v>
      </x:c>
      <x:c r="F10350" s="13" t="str">
        <x:v>Defensives</x:v>
      </x:c>
      <x:c r="G10350" s="13" t="str">
        <x:v>grid_wbaxp5t0.xlsx</x:v>
      </x:c>
    </x:row>
    <x:row r="10351">
      <x:c r="A10351" s="15" t="n">
        <x:v>44927</x:v>
      </x:c>
      <x:c r="B10351" s="13" t="str">
        <x:v>CYRELA BRAZIL REALTY SA EMP</x:v>
      </x:c>
      <x:c r="C10351" s="16" t="n">
        <x:v>922.0689031694</x:v>
      </x:c>
      <x:c r="D10351" s="13" t="str">
        <x:v>Homebuilders</x:v>
      </x:c>
      <x:c r="E10351" s="13" t="str">
        <x:v>Real Estate</x:v>
      </x:c>
      <x:c r="F10351" s="13" t="str">
        <x:v>Early Cyclicals</x:v>
      </x:c>
      <x:c r="G10351" s="13" t="str">
        <x:v>grid_wbaxp5t0.xlsx</x:v>
      </x:c>
    </x:row>
    <x:row r="10352">
      <x:c r="A10352" s="15" t="n">
        <x:v>44927</x:v>
      </x:c>
      <x:c r="B10352" s="13" t="str">
        <x:v>EZ TEC EMPREENDIMENTOS E PAR</x:v>
      </x:c>
      <x:c r="C10352" s="16" t="n">
        <x:v>433.0727634536</x:v>
      </x:c>
      <x:c r="D10352" s="13" t="str">
        <x:v>Homebuilders</x:v>
      </x:c>
      <x:c r="E10352" s="13" t="str">
        <x:v>Real Estate</x:v>
      </x:c>
      <x:c r="F10352" s="13" t="str">
        <x:v>Early Cyclicals</x:v>
      </x:c>
      <x:c r="G10352" s="13" t="str">
        <x:v>grid_wbaxp5t0.xlsx</x:v>
      </x:c>
    </x:row>
    <x:row r="10353">
      <x:c r="A10353" s="15" t="n">
        <x:v>44927</x:v>
      </x:c>
      <x:c r="B10353" s="13" t="str">
        <x:v>MRV ENGENHARIA</x:v>
      </x:c>
      <x:c r="C10353" s="16" t="n">
        <x:v>405.631201224</x:v>
      </x:c>
      <x:c r="D10353" s="13" t="str">
        <x:v>Homebuilders</x:v>
      </x:c>
      <x:c r="E10353" s="13" t="str">
        <x:v>Real Estate</x:v>
      </x:c>
      <x:c r="F10353" s="13" t="str">
        <x:v>Early Cyclicals</x:v>
      </x:c>
      <x:c r="G10353" s="13" t="str">
        <x:v>grid_wbaxp5t0.xlsx</x:v>
      </x:c>
    </x:row>
    <x:row r="10354">
      <x:c r="A10354" s="15" t="n">
        <x:v>44927</x:v>
      </x:c>
      <x:c r="B10354" s="13" t="str">
        <x:v>ALLOS SA</x:v>
      </x:c>
      <x:c r="C10354" s="16" t="n">
        <x:v>701.6169977705</x:v>
      </x:c>
      <x:c r="D10354" s="13" t="str">
        <x:v>Income Properties</x:v>
      </x:c>
      <x:c r="E10354" s="13" t="str">
        <x:v>Real Estate</x:v>
      </x:c>
      <x:c r="F10354" s="13" t="str">
        <x:v>Early Cyclicals</x:v>
      </x:c>
      <x:c r="G10354" s="13" t="str">
        <x:v>grid_wbaxp5t0.xlsx</x:v>
      </x:c>
    </x:row>
    <x:row r="10355">
      <x:c r="A10355" s="15" t="n">
        <x:v>44927</x:v>
      </x:c>
      <x:c r="B10355" s="13" t="str">
        <x:v>IGUATEMI SA - UNITS</x:v>
      </x:c>
      <x:c r="C10355" s="16" t="n">
        <x:v>345.0458360656</x:v>
      </x:c>
      <x:c r="D10355" s="13" t="str">
        <x:v>Income Properties</x:v>
      </x:c>
      <x:c r="E10355" s="13" t="str">
        <x:v>Real Estate</x:v>
      </x:c>
      <x:c r="F10355" s="13" t="str">
        <x:v>Early Cyclicals</x:v>
      </x:c>
      <x:c r="G10355" s="13" t="str">
        <x:v>grid_wbaxp5t0.xlsx</x:v>
      </x:c>
    </x:row>
    <x:row r="10356">
      <x:c r="A10356" s="15" t="n">
        <x:v>44927</x:v>
      </x:c>
      <x:c r="B10356" s="13" t="str">
        <x:v>MULTIPLAN EMPREENDIMENTOS</x:v>
      </x:c>
      <x:c r="C10356" s="16" t="n">
        <x:v>834.0261777486</x:v>
      </x:c>
      <x:c r="D10356" s="13" t="str">
        <x:v>Income Properties</x:v>
      </x:c>
      <x:c r="E10356" s="13" t="str">
        <x:v>Real Estate</x:v>
      </x:c>
      <x:c r="F10356" s="13" t="str">
        <x:v>Early Cyclicals</x:v>
      </x:c>
      <x:c r="G10356" s="13" t="str">
        <x:v>grid_wbaxp5t0.xlsx</x:v>
      </x:c>
    </x:row>
    <x:row r="10357">
      <x:c r="A10357" s="15" t="n">
        <x:v>44927</x:v>
      </x:c>
      <x:c r="B10357" s="13" t="str">
        <x:v>BRADESPAR SA -PREF</x:v>
      </x:c>
      <x:c r="C10357" s="16" t="n">
        <x:v>2100.7514537268</x:v>
      </x:c>
      <x:c r="D10357" s="13" t="str">
        <x:v>Metals &amp; Mining</x:v>
      </x:c>
      <x:c r="E10357" s="13" t="str">
        <x:v>Metals &amp; Mining</x:v>
      </x:c>
      <x:c r="F10357" s="13" t="str">
        <x:v>Deep Cyclicals</x:v>
      </x:c>
      <x:c r="G10357" s="13" t="str">
        <x:v>grid_wbaxp5t0.xlsx</x:v>
      </x:c>
    </x:row>
    <x:row r="10358">
      <x:c r="A10358" s="15" t="n">
        <x:v>44927</x:v>
      </x:c>
      <x:c r="B10358" s="13" t="str">
        <x:v>CIA SIDERURGICA NACIONAL SA</x:v>
      </x:c>
      <x:c r="C10358" s="16" t="n">
        <x:v>3343.0748789508</x:v>
      </x:c>
      <x:c r="D10358" s="13" t="str">
        <x:v>Metals &amp; Mining</x:v>
      </x:c>
      <x:c r="E10358" s="13" t="str">
        <x:v>Metals &amp; Mining</x:v>
      </x:c>
      <x:c r="F10358" s="13" t="str">
        <x:v>Deep Cyclicals</x:v>
      </x:c>
      <x:c r="G10358" s="13" t="str">
        <x:v>grid_wbaxp5t0.xlsx</x:v>
      </x:c>
    </x:row>
    <x:row r="10359">
      <x:c r="A10359" s="15" t="n">
        <x:v>44927</x:v>
      </x:c>
      <x:c r="B10359" s="13" t="str">
        <x:v>CSN MINERACAO SA</x:v>
      </x:c>
      <x:c r="C10359" s="16" t="n">
        <x:v>2816.5613128743</x:v>
      </x:c>
      <x:c r="D10359" s="13" t="str">
        <x:v>Metals &amp; Mining</x:v>
      </x:c>
      <x:c r="E10359" s="13" t="str">
        <x:v>Metals &amp; Mining</x:v>
      </x:c>
      <x:c r="F10359" s="13" t="str">
        <x:v>Deep Cyclicals</x:v>
      </x:c>
      <x:c r="G10359" s="13" t="str">
        <x:v>grid_wbaxp5t0.xlsx</x:v>
      </x:c>
    </x:row>
    <x:row r="10360">
      <x:c r="A10360" s="15" t="n">
        <x:v>44927</x:v>
      </x:c>
      <x:c r="B10360" s="13" t="str">
        <x:v>GERDAU SA-PREF</x:v>
      </x:c>
      <x:c r="C10360" s="16" t="n">
        <x:v>7370.9005079781</x:v>
      </x:c>
      <x:c r="D10360" s="13" t="str">
        <x:v>Metals &amp; Mining</x:v>
      </x:c>
      <x:c r="E10360" s="13" t="str">
        <x:v>Metals &amp; Mining</x:v>
      </x:c>
      <x:c r="F10360" s="13" t="str">
        <x:v>Deep Cyclicals</x:v>
      </x:c>
      <x:c r="G10360" s="13" t="str">
        <x:v>grid_wbaxp5t0.xlsx</x:v>
      </x:c>
    </x:row>
    <x:row r="10361">
      <x:c r="A10361" s="15" t="n">
        <x:v>44927</x:v>
      </x:c>
      <x:c r="B10361" s="13" t="str">
        <x:v>USINAS SIDER MINAS GER-PF A</x:v>
      </x:c>
      <x:c r="C10361" s="16" t="n">
        <x:v>1158.0794187541</x:v>
      </x:c>
      <x:c r="D10361" s="13" t="str">
        <x:v>Metals &amp; Mining</x:v>
      </x:c>
      <x:c r="E10361" s="13" t="str">
        <x:v>Metals &amp; Mining</x:v>
      </x:c>
      <x:c r="F10361" s="13" t="str">
        <x:v>Deep Cyclicals</x:v>
      </x:c>
      <x:c r="G10361" s="13" t="str">
        <x:v>grid_wbaxp5t0.xlsx</x:v>
      </x:c>
    </x:row>
    <x:row r="10362">
      <x:c r="A10362" s="15" t="n">
        <x:v>44927</x:v>
      </x:c>
      <x:c r="B10362" s="13" t="str">
        <x:v>VALE SA</x:v>
      </x:c>
      <x:c r="C10362" s="16" t="n">
        <x:v>61866.091324153</x:v>
      </x:c>
      <x:c r="D10362" s="13" t="str">
        <x:v>Metals &amp; Mining</x:v>
      </x:c>
      <x:c r="E10362" s="13" t="str">
        <x:v>Metals &amp; Mining</x:v>
      </x:c>
      <x:c r="F10362" s="13" t="str">
        <x:v>Deep Cyclicals</x:v>
      </x:c>
      <x:c r="G10362" s="13" t="str">
        <x:v>grid_wbaxp5t0.xlsx</x:v>
      </x:c>
    </x:row>
    <x:row r="10363">
      <x:c r="A10363" s="15" t="n">
        <x:v>44927</x:v>
      </x:c>
      <x:c r="B10363" s="13" t="str">
        <x:v>BRASKEM SA-PREF A</x:v>
      </x:c>
      <x:c r="C10363" s="16" t="n">
        <x:v>2237.9204602404</x:v>
      </x:c>
      <x:c r="D10363" s="13" t="str">
        <x:v>Oil, Gas &amp; Petrochemicals</x:v>
      </x:c>
      <x:c r="E10363" s="13" t="str">
        <x:v>Oil, Gas &amp; Petrochemicals</x:v>
      </x:c>
      <x:c r="F10363" s="13" t="str">
        <x:v>Deep Cyclicals</x:v>
      </x:c>
      <x:c r="G10363" s="13" t="str">
        <x:v>grid_wbaxp5t0.xlsx</x:v>
      </x:c>
    </x:row>
    <x:row r="10364">
      <x:c r="A10364" s="15" t="n">
        <x:v>44927</x:v>
      </x:c>
      <x:c r="B10364" s="13" t="str">
        <x:v>BRAVA ENERGIA</x:v>
      </x:c>
      <x:c r="C10364" s="16" t="n">
        <x:v>2246.6894478689</x:v>
      </x:c>
      <x:c r="D10364" s="13" t="str">
        <x:v>Oil, Gas &amp; Petrochemicals</x:v>
      </x:c>
      <x:c r="E10364" s="13" t="str">
        <x:v>Oil, Gas &amp; Petrochemicals</x:v>
      </x:c>
      <x:c r="F10364" s="13" t="str">
        <x:v>Deep Cyclicals</x:v>
      </x:c>
      <x:c r="G10364" s="13" t="str">
        <x:v>grid_wbaxp5t0.xlsx</x:v>
      </x:c>
    </x:row>
    <x:row r="10365">
      <x:c r="A10365" s="15" t="n">
        <x:v>44927</x:v>
      </x:c>
      <x:c r="B10365" s="13" t="str">
        <x:v>COSAN SA</x:v>
      </x:c>
      <x:c r="C10365" s="16" t="n">
        <x:v>1502.5879144918</x:v>
      </x:c>
      <x:c r="D10365" s="13" t="str">
        <x:v>Oil, Gas &amp; Petrochemicals</x:v>
      </x:c>
      <x:c r="E10365" s="13" t="str">
        <x:v>Oil, Gas &amp; Petrochemicals</x:v>
      </x:c>
      <x:c r="F10365" s="13" t="str">
        <x:v>Deep Cyclicals</x:v>
      </x:c>
      <x:c r="G10365" s="13" t="str">
        <x:v>grid_wbaxp5t0.xlsx</x:v>
      </x:c>
    </x:row>
    <x:row r="10366">
      <x:c r="A10366" s="15" t="n">
        <x:v>44927</x:v>
      </x:c>
      <x:c r="B10366" s="13" t="str">
        <x:v>PETROBRAS - PETROLEO BRAS</x:v>
      </x:c>
      <x:c r="C10366" s="16" t="n">
        <x:v>95502.7675348634</x:v>
      </x:c>
      <x:c r="D10366" s="13" t="str">
        <x:v>Oil, Gas &amp; Petrochemicals</x:v>
      </x:c>
      <x:c r="E10366" s="13" t="str">
        <x:v>Oil, Gas &amp; Petrochemicals</x:v>
      </x:c>
      <x:c r="F10366" s="13" t="str">
        <x:v>Deep Cyclicals</x:v>
      </x:c>
      <x:c r="G10366" s="13" t="str">
        <x:v>grid_wbaxp5t0.xlsx</x:v>
      </x:c>
    </x:row>
    <x:row r="10367">
      <x:c r="A10367" s="15" t="n">
        <x:v>44927</x:v>
      </x:c>
      <x:c r="B10367" s="13" t="str">
        <x:v>PRIO SA</x:v>
      </x:c>
      <x:c r="C10367" s="16" t="n">
        <x:v>5286.7801809836</x:v>
      </x:c>
      <x:c r="D10367" s="13" t="str">
        <x:v>Oil, Gas &amp; Petrochemicals</x:v>
      </x:c>
      <x:c r="E10367" s="13" t="str">
        <x:v>Oil, Gas &amp; Petrochemicals</x:v>
      </x:c>
      <x:c r="F10367" s="13" t="str">
        <x:v>Deep Cyclicals</x:v>
      </x:c>
      <x:c r="G10367" s="13" t="str">
        <x:v>grid_wbaxp5t0.xlsx</x:v>
      </x:c>
    </x:row>
    <x:row r="10368">
      <x:c r="A10368" s="15" t="n">
        <x:v>44927</x:v>
      </x:c>
      <x:c r="B10368" s="13" t="str">
        <x:v>ULTRAPAR PARTICIPACOES SA</x:v>
      </x:c>
      <x:c r="C10368" s="16" t="n">
        <x:v>1135.1664066448</x:v>
      </x:c>
      <x:c r="D10368" s="13" t="str">
        <x:v>Oil, Gas &amp; Petrochemicals</x:v>
      </x:c>
      <x:c r="E10368" s="13" t="str">
        <x:v>Oil, Gas &amp; Petrochemicals</x:v>
      </x:c>
      <x:c r="F10368" s="13" t="str">
        <x:v>Deep Cyclicals</x:v>
      </x:c>
      <x:c r="G10368" s="13" t="str">
        <x:v>grid_wbaxp5t0.xlsx</x:v>
      </x:c>
    </x:row>
    <x:row r="10369">
      <x:c r="A10369" s="15" t="n">
        <x:v>44927</x:v>
      </x:c>
      <x:c r="B10369" s="13" t="str">
        <x:v>VIBRA ENERGIA SA</x:v>
      </x:c>
      <x:c r="C10369" s="16" t="n">
        <x:v>2247.1250759344</x:v>
      </x:c>
      <x:c r="D10369" s="13" t="str">
        <x:v>Oil, Gas &amp; Petrochemicals</x:v>
      </x:c>
      <x:c r="E10369" s="13" t="str">
        <x:v>Oil, Gas &amp; Petrochemicals</x:v>
      </x:c>
      <x:c r="F10369" s="13" t="str">
        <x:v>Deep Cyclicals</x:v>
      </x:c>
      <x:c r="G10369" s="13" t="str">
        <x:v>grid_wbaxp5t0.xlsx</x:v>
      </x:c>
    </x:row>
    <x:row r="10370">
      <x:c r="A10370" s="15" t="n">
        <x:v>44927</x:v>
      </x:c>
      <x:c r="B10370" s="13" t="str">
        <x:v>DEXCO SA</x:v>
      </x:c>
      <x:c r="C10370" s="16" t="n">
        <x:v>557.1774153443</x:v>
      </x:c>
      <x:c r="D10370" s="13" t="str">
        <x:v>Pulp &amp; Paper</x:v>
      </x:c>
      <x:c r="E10370" s="13" t="str">
        <x:v>Pulp &amp; Paper</x:v>
      </x:c>
      <x:c r="F10370" s="13" t="str">
        <x:v>Deep Cyclicals</x:v>
      </x:c>
      <x:c r="G10370" s="13" t="str">
        <x:v>grid_wbaxp5t0.xlsx</x:v>
      </x:c>
    </x:row>
    <x:row r="10371">
      <x:c r="A10371" s="15" t="n">
        <x:v>44927</x:v>
      </x:c>
      <x:c r="B10371" s="13" t="str">
        <x:v>KLABIN SA - UNIT</x:v>
      </x:c>
      <x:c r="C10371" s="16" t="n">
        <x:v>2502.77674247</x:v>
      </x:c>
      <x:c r="D10371" s="13" t="str">
        <x:v>Pulp &amp; Paper</x:v>
      </x:c>
      <x:c r="E10371" s="13" t="str">
        <x:v>Pulp &amp; Paper</x:v>
      </x:c>
      <x:c r="F10371" s="13" t="str">
        <x:v>Deep Cyclicals</x:v>
      </x:c>
      <x:c r="G10371" s="13" t="str">
        <x:v>grid_wbaxp5t0.xlsx</x:v>
      </x:c>
    </x:row>
    <x:row r="10372">
      <x:c r="A10372" s="15" t="n">
        <x:v>44927</x:v>
      </x:c>
      <x:c r="B10372" s="13" t="str">
        <x:v>SUZANO SA</x:v>
      </x:c>
      <x:c r="C10372" s="16" t="n">
        <x:v>8046.6937201312</x:v>
      </x:c>
      <x:c r="D10372" s="13" t="str">
        <x:v>Pulp &amp; Paper</x:v>
      </x:c>
      <x:c r="E10372" s="13" t="str">
        <x:v>Pulp &amp; Paper</x:v>
      </x:c>
      <x:c r="F10372" s="13" t="str">
        <x:v>Deep Cyclicals</x:v>
      </x:c>
      <x:c r="G10372" s="13" t="str">
        <x:v>grid_wbaxp5t0.xlsx</x:v>
      </x:c>
    </x:row>
    <x:row r="10373">
      <x:c r="A10373" s="15" t="n">
        <x:v>44927</x:v>
      </x:c>
      <x:c r="B10373" s="13" t="str">
        <x:v>ALPARGATAS SA - PREF</x:v>
      </x:c>
      <x:c r="C10373" s="16" t="n">
        <x:v>616.8328932022</x:v>
      </x:c>
      <x:c r="D10373" s="13" t="str">
        <x:v>Retail</x:v>
      </x:c>
      <x:c r="E10373" s="13" t="str">
        <x:v>Retail</x:v>
      </x:c>
      <x:c r="F10373" s="13" t="str">
        <x:v>Early Cyclicals</x:v>
      </x:c>
      <x:c r="G10373" s="13" t="str">
        <x:v>grid_wbaxp5t0.xlsx</x:v>
      </x:c>
    </x:row>
    <x:row r="10374">
      <x:c r="A10374" s="15" t="n">
        <x:v>44927</x:v>
      </x:c>
      <x:c r="B10374" s="13" t="str">
        <x:v>ATACADAO SA</x:v>
      </x:c>
      <x:c r="C10374" s="16" t="n">
        <x:v>2311.7941773989</x:v>
      </x:c>
      <x:c r="D10374" s="13" t="str">
        <x:v>Retail</x:v>
      </x:c>
      <x:c r="E10374" s="13" t="str">
        <x:v>Retail</x:v>
      </x:c>
      <x:c r="F10374" s="13" t="str">
        <x:v>Early Cyclicals</x:v>
      </x:c>
      <x:c r="G10374" s="13" t="str">
        <x:v>grid_wbaxp5t0.xlsx</x:v>
      </x:c>
    </x:row>
    <x:row r="10375">
      <x:c r="A10375" s="15" t="n">
        <x:v>44927</x:v>
      </x:c>
      <x:c r="B10375" s="13" t="str">
        <x:v>AZZAS 2154 SA</x:v>
      </x:c>
      <x:c r="C10375" s="16" t="n">
        <x:v>531.9148098798</x:v>
      </x:c>
      <x:c r="D10375" s="13" t="str">
        <x:v>Retail</x:v>
      </x:c>
      <x:c r="E10375" s="13" t="str">
        <x:v>Retail</x:v>
      </x:c>
      <x:c r="F10375" s="13" t="str">
        <x:v>Early Cyclicals</x:v>
      </x:c>
      <x:c r="G10375" s="13" t="str">
        <x:v>grid_wbaxp5t0.xlsx</x:v>
      </x:c>
    </x:row>
    <x:row r="10376">
      <x:c r="A10376" s="15" t="n">
        <x:v>44927</x:v>
      </x:c>
      <x:c r="B10376" s="13" t="str">
        <x:v>CIA BRASILEIRA DE DISTRIBUIC</x:v>
      </x:c>
      <x:c r="C10376" s="16" t="n">
        <x:v>464.912568306</x:v>
      </x:c>
      <x:c r="D10376" s="13" t="str">
        <x:v>Retail</x:v>
      </x:c>
      <x:c r="E10376" s="13" t="str">
        <x:v>Retail</x:v>
      </x:c>
      <x:c r="F10376" s="13" t="str">
        <x:v>Early Cyclicals</x:v>
      </x:c>
      <x:c r="G10376" s="13" t="str">
        <x:v>grid_wbaxp5t0.xlsx</x:v>
      </x:c>
    </x:row>
    <x:row r="10377">
      <x:c r="A10377" s="15" t="n">
        <x:v>44927</x:v>
      </x:c>
      <x:c r="B10377" s="13" t="str">
        <x:v>CVC BRASIL OPERADORA E AGENC</x:v>
      </x:c>
      <x:c r="C10377" s="16" t="n">
        <x:v>-91.0996830601</x:v>
      </x:c>
      <x:c r="D10377" s="13" t="str">
        <x:v>Retail</x:v>
      </x:c>
      <x:c r="E10377" s="13" t="str">
        <x:v>Retail</x:v>
      </x:c>
      <x:c r="F10377" s="13" t="str">
        <x:v>Early Cyclicals</x:v>
      </x:c>
      <x:c r="G10377" s="13" t="str">
        <x:v>grid_wbaxp5t0.xlsx</x:v>
      </x:c>
    </x:row>
    <x:row r="10378">
      <x:c r="A10378" s="15" t="n">
        <x:v>44927</x:v>
      </x:c>
      <x:c r="B10378" s="13" t="str">
        <x:v>GRUPO CASAS BAHIA SA</x:v>
      </x:c>
      <x:c r="C10378" s="16" t="n">
        <x:v>-152.957400306</x:v>
      </x:c>
      <x:c r="D10378" s="13" t="str">
        <x:v>Retail</x:v>
      </x:c>
      <x:c r="E10378" s="13" t="str">
        <x:v>Retail</x:v>
      </x:c>
      <x:c r="F10378" s="13" t="str">
        <x:v>Early Cyclicals</x:v>
      </x:c>
      <x:c r="G10378" s="13" t="str">
        <x:v>grid_wbaxp5t0.xlsx</x:v>
      </x:c>
    </x:row>
    <x:row r="10379">
      <x:c r="A10379" s="15" t="n">
        <x:v>44927</x:v>
      </x:c>
      <x:c r="B10379" s="13" t="str">
        <x:v>GRUPO DE MODA SOMA SA</x:v>
      </x:c>
      <x:c r="C10379" s="16" t="n">
        <x:v>568.2265257268</x:v>
      </x:c>
      <x:c r="D10379" s="13" t="str">
        <x:v>Retail</x:v>
      </x:c>
      <x:c r="E10379" s="13" t="str">
        <x:v>Retail</x:v>
      </x:c>
      <x:c r="F10379" s="13" t="str">
        <x:v>Early Cyclicals</x:v>
      </x:c>
      <x:c r="G10379" s="13" t="str">
        <x:v>grid_wbaxp5t0.xlsx</x:v>
      </x:c>
    </x:row>
    <x:row r="10380">
      <x:c r="A10380" s="15" t="n">
        <x:v>44927</x:v>
      </x:c>
      <x:c r="B10380" s="13" t="str">
        <x:v>LOJAS RENNER S.A.</x:v>
      </x:c>
      <x:c r="C10380" s="16" t="n">
        <x:v>1579.1833215301</x:v>
      </x:c>
      <x:c r="D10380" s="13" t="str">
        <x:v>Retail</x:v>
      </x:c>
      <x:c r="E10380" s="13" t="str">
        <x:v>Retail</x:v>
      </x:c>
      <x:c r="F10380" s="13" t="str">
        <x:v>Early Cyclicals</x:v>
      </x:c>
      <x:c r="G10380" s="13" t="str">
        <x:v>grid_wbaxp5t0.xlsx</x:v>
      </x:c>
    </x:row>
    <x:row r="10381">
      <x:c r="A10381" s="15" t="n">
        <x:v>44927</x:v>
      </x:c>
      <x:c r="B10381" s="13" t="str">
        <x:v>MAGAZINE LUIZA SA</x:v>
      </x:c>
      <x:c r="C10381" s="16" t="n">
        <x:v>147.5467958033</x:v>
      </x:c>
      <x:c r="D10381" s="13" t="str">
        <x:v>Retail</x:v>
      </x:c>
      <x:c r="E10381" s="13" t="str">
        <x:v>Retail</x:v>
      </x:c>
      <x:c r="F10381" s="13" t="str">
        <x:v>Early Cyclicals</x:v>
      </x:c>
      <x:c r="G10381" s="13" t="str">
        <x:v>grid_wbaxp5t0.xlsx</x:v>
      </x:c>
    </x:row>
    <x:row r="10382">
      <x:c r="A10382" s="15" t="n">
        <x:v>44927</x:v>
      </x:c>
      <x:c r="B10382" s="13" t="str">
        <x:v>NATURA &amp;CO HOLDING SA</x:v>
      </x:c>
      <x:c r="C10382" s="16" t="n">
        <x:v>429.8946962186</x:v>
      </x:c>
      <x:c r="D10382" s="13" t="str">
        <x:v>Retail</x:v>
      </x:c>
      <x:c r="E10382" s="13" t="str">
        <x:v>Retail</x:v>
      </x:c>
      <x:c r="F10382" s="13" t="str">
        <x:v>Early Cyclicals</x:v>
      </x:c>
      <x:c r="G10382" s="13" t="str">
        <x:v>grid_wbaxp5t0.xlsx</x:v>
      </x:c>
    </x:row>
    <x:row r="10383">
      <x:c r="A10383" s="15" t="n">
        <x:v>44927</x:v>
      </x:c>
      <x:c r="B10383" s="13" t="str">
        <x:v>PET CENTER COMERCIO E PARTIC</x:v>
      </x:c>
      <x:c r="C10383" s="16" t="n">
        <x:v>150.2481839563</x:v>
      </x:c>
      <x:c r="D10383" s="13" t="str">
        <x:v>Retail</x:v>
      </x:c>
      <x:c r="E10383" s="13" t="str">
        <x:v>Retail</x:v>
      </x:c>
      <x:c r="F10383" s="13" t="str">
        <x:v>Early Cyclicals</x:v>
      </x:c>
      <x:c r="G10383" s="13" t="str">
        <x:v>grid_wbaxp5t0.xlsx</x:v>
      </x:c>
    </x:row>
    <x:row r="10384">
      <x:c r="A10384" s="15" t="n">
        <x:v>44927</x:v>
      </x:c>
      <x:c r="B10384" s="13" t="str">
        <x:v>RAIA DROGASIL SA</x:v>
      </x:c>
      <x:c r="C10384" s="16" t="n">
        <x:v>1215.4410114098</x:v>
      </x:c>
      <x:c r="D10384" s="13" t="str">
        <x:v>Retail</x:v>
      </x:c>
      <x:c r="E10384" s="13" t="str">
        <x:v>Retail</x:v>
      </x:c>
      <x:c r="F10384" s="13" t="str">
        <x:v>Early Cyclicals</x:v>
      </x:c>
      <x:c r="G10384" s="13" t="str">
        <x:v>grid_wbaxp5t0.xlsx</x:v>
      </x:c>
    </x:row>
    <x:row r="10385">
      <x:c r="A10385" s="15" t="n">
        <x:v>44927</x:v>
      </x:c>
      <x:c r="B10385" s="13" t="str">
        <x:v>SENDAS DISTRIBUIDORA SA</x:v>
      </x:c>
      <x:c r="C10385" s="16" t="n">
        <x:v>1688.8074344918</x:v>
      </x:c>
      <x:c r="D10385" s="13" t="str">
        <x:v>Retail</x:v>
      </x:c>
      <x:c r="E10385" s="13" t="str">
        <x:v>Retail</x:v>
      </x:c>
      <x:c r="F10385" s="13" t="str">
        <x:v>Early Cyclicals</x:v>
      </x:c>
      <x:c r="G10385" s="13" t="str">
        <x:v>grid_wbaxp5t0.xlsx</x:v>
      </x:c>
    </x:row>
    <x:row r="10386">
      <x:c r="A10386" s="15" t="n">
        <x:v>44927</x:v>
      </x:c>
      <x:c r="B10386" s="13" t="str">
        <x:v>CIA SANEAMENTO BASICO DE SP</x:v>
      </x:c>
      <x:c r="C10386" s="16" t="n">
        <x:v>3514.4871435191</x:v>
      </x:c>
      <x:c r="D10386" s="13" t="str">
        <x:v>Sanitation</x:v>
      </x:c>
      <x:c r="E10386" s="13" t="str">
        <x:v>Utilities</x:v>
      </x:c>
      <x:c r="F10386" s="13" t="str">
        <x:v>Defensives</x:v>
      </x:c>
      <x:c r="G10386" s="13" t="str">
        <x:v>grid_wbaxp5t0.xlsx</x:v>
      </x:c>
    </x:row>
    <x:row r="10387">
      <x:c r="A10387" s="15" t="n">
        <x:v>44927</x:v>
      </x:c>
      <x:c r="B10387" s="13" t="str">
        <x:v>LWSA SA</x:v>
      </x:c>
      <x:c r="C10387" s="16" t="n">
        <x:v>124.4534043716</x:v>
      </x:c>
      <x:c r="D10387" s="13" t="str">
        <x:v>TMT</x:v>
      </x:c>
      <x:c r="E10387" s="13" t="str">
        <x:v>TMT</x:v>
      </x:c>
      <x:c r="F10387" s="13" t="str">
        <x:v>Early Cyclicals</x:v>
      </x:c>
      <x:c r="G10387" s="13" t="str">
        <x:v>grid_wbaxp5t0.xlsx</x:v>
      </x:c>
    </x:row>
    <x:row r="10388">
      <x:c r="A10388" s="15" t="n">
        <x:v>44927</x:v>
      </x:c>
      <x:c r="B10388" s="13" t="str">
        <x:v>TIM SA</x:v>
      </x:c>
      <x:c r="C10388" s="16" t="n">
        <x:v>2176.7710188415</x:v>
      </x:c>
      <x:c r="D10388" s="13" t="str">
        <x:v>TMT</x:v>
      </x:c>
      <x:c r="E10388" s="13" t="str">
        <x:v>TMT</x:v>
      </x:c>
      <x:c r="F10388" s="13" t="str">
        <x:v>Early Cyclicals</x:v>
      </x:c>
      <x:c r="G10388" s="13" t="str">
        <x:v>grid_wbaxp5t0.xlsx</x:v>
      </x:c>
    </x:row>
    <x:row r="10389">
      <x:c r="A10389" s="15" t="n">
        <x:v>44927</x:v>
      </x:c>
      <x:c r="B10389" s="13" t="str">
        <x:v>TOTVS SA</x:v>
      </x:c>
      <x:c r="C10389" s="16" t="n">
        <x:v>746.7546949945</x:v>
      </x:c>
      <x:c r="D10389" s="13" t="str">
        <x:v>TMT</x:v>
      </x:c>
      <x:c r="E10389" s="13" t="str">
        <x:v>TMT</x:v>
      </x:c>
      <x:c r="F10389" s="13" t="str">
        <x:v>Early Cyclicals</x:v>
      </x:c>
      <x:c r="G10389" s="13" t="str">
        <x:v>grid_wbaxp5t0.xlsx</x:v>
      </x:c>
    </x:row>
    <x:row r="10390">
      <x:c r="A10390" s="15" t="n">
        <x:v>44927</x:v>
      </x:c>
      <x:c r="B10390" s="13" t="str">
        <x:v>AZUL SA</x:v>
      </x:c>
      <x:c r="C10390" s="16" t="n">
        <x:v>-441.7286678033</x:v>
      </x:c>
      <x:c r="D10390" s="13" t="str">
        <x:v>Transportation</x:v>
      </x:c>
      <x:c r="E10390" s="13" t="str">
        <x:v>Transportation</x:v>
      </x:c>
      <x:c r="F10390" s="13" t="str">
        <x:v>Deep Cyclicals</x:v>
      </x:c>
      <x:c r="G10390" s="13" t="str">
        <x:v>grid_wbaxp5t0.xlsx</x:v>
      </x:c>
    </x:row>
    <x:row r="10391">
      <x:c r="A10391" s="15" t="n">
        <x:v>44927</x:v>
      </x:c>
      <x:c r="B10391" s="13" t="str">
        <x:v>ECORODOVIAS INFRA E LOG SA</x:v>
      </x:c>
      <x:c r="C10391" s="16" t="n">
        <x:v>343.7768975738</x:v>
      </x:c>
      <x:c r="D10391" s="13" t="str">
        <x:v>Transportation</x:v>
      </x:c>
      <x:c r="E10391" s="13" t="str">
        <x:v>Transportation</x:v>
      </x:c>
      <x:c r="F10391" s="13" t="str">
        <x:v>Deep Cyclicals</x:v>
      </x:c>
      <x:c r="G10391" s="13" t="str">
        <x:v>grid_wbaxp5t0.xlsx</x:v>
      </x:c>
    </x:row>
    <x:row r="10392">
      <x:c r="A10392" s="15" t="n">
        <x:v>44927</x:v>
      </x:c>
      <x:c r="B10392" s="13" t="str">
        <x:v>GOL LINHAS AEREAS INT SA-PRE</x:v>
      </x:c>
      <x:c r="C10392" s="16" t="n">
        <x:v>-87.9979348634</x:v>
      </x:c>
      <x:c r="D10392" s="13" t="str">
        <x:v>Transportation</x:v>
      </x:c>
      <x:c r="E10392" s="13" t="str">
        <x:v>Transportation</x:v>
      </x:c>
      <x:c r="F10392" s="13" t="str">
        <x:v>Deep Cyclicals</x:v>
      </x:c>
      <x:c r="G10392" s="13" t="str">
        <x:v>grid_wbaxp5t0.xlsx</x:v>
      </x:c>
    </x:row>
    <x:row r="10393">
      <x:c r="A10393" s="15" t="n">
        <x:v>44927</x:v>
      </x:c>
      <x:c r="B10393" s="13" t="str">
        <x:v>LOCALIZA RENT A CAR</x:v>
      </x:c>
      <x:c r="C10393" s="16" t="n">
        <x:v>2999.7018984918</x:v>
      </x:c>
      <x:c r="D10393" s="13" t="str">
        <x:v>Transportation</x:v>
      </x:c>
      <x:c r="E10393" s="13" t="str">
        <x:v>Transportation</x:v>
      </x:c>
      <x:c r="F10393" s="13" t="str">
        <x:v>Deep Cyclicals</x:v>
      </x:c>
      <x:c r="G10393" s="13" t="str">
        <x:v>grid_wbaxp5t0.xlsx</x:v>
      </x:c>
    </x:row>
    <x:row r="10394">
      <x:c r="A10394" s="15" t="n">
        <x:v>44927</x:v>
      </x:c>
      <x:c r="B10394" s="13" t="str">
        <x:v>MOTIVA INFRAESTRUTURA DE MOB</x:v>
      </x:c>
      <x:c r="C10394" s="16" t="n">
        <x:v>1571.7025923497</x:v>
      </x:c>
      <x:c r="D10394" s="13" t="str">
        <x:v>Transportation</x:v>
      </x:c>
      <x:c r="E10394" s="13" t="str">
        <x:v>Transportation</x:v>
      </x:c>
      <x:c r="F10394" s="13" t="str">
        <x:v>Deep Cyclicals</x:v>
      </x:c>
      <x:c r="G10394" s="13" t="str">
        <x:v>grid_wbaxp5t0.xlsx</x:v>
      </x:c>
    </x:row>
    <x:row r="10395">
      <x:c r="A10395" s="15" t="n">
        <x:v>44927</x:v>
      </x:c>
      <x:c r="B10395" s="13" t="str">
        <x:v>RUMO SA</x:v>
      </x:c>
      <x:c r="C10395" s="16" t="n">
        <x:v>1242.8060509727</x:v>
      </x:c>
      <x:c r="D10395" s="13" t="str">
        <x:v>Transportation</x:v>
      </x:c>
      <x:c r="E10395" s="13" t="str">
        <x:v>Transportation</x:v>
      </x:c>
      <x:c r="F10395" s="13" t="str">
        <x:v>Deep Cyclicals</x:v>
      </x:c>
      <x:c r="G10395" s="13" t="str">
        <x:v>grid_wbaxp5t0.xlsx</x:v>
      </x:c>
    </x:row>
    <x:row r="10396">
      <x:c r="A10396" s="15" t="n">
        <x:v>44927</x:v>
      </x:c>
      <x:c r="B10396" s="13" t="str">
        <x:v>AXIA ENERGIA SA</x:v>
      </x:c>
      <x:c r="C10396" s="16" t="n">
        <x:v>7447.1877805465</x:v>
      </x:c>
      <x:c r="D10396" s="13" t="str">
        <x:v>Utilities &amp; Energy</x:v>
      </x:c>
      <x:c r="E10396" s="13" t="str">
        <x:v>Utilities</x:v>
      </x:c>
      <x:c r="F10396" s="13" t="str">
        <x:v>Defensives</x:v>
      </x:c>
      <x:c r="G10396" s="13" t="str">
        <x:v>grid_wbaxp5t0.xlsx</x:v>
      </x:c>
    </x:row>
    <x:row r="10397">
      <x:c r="A10397" s="15" t="n">
        <x:v>44927</x:v>
      </x:c>
      <x:c r="B10397" s="13" t="str">
        <x:v>AXIA ENERGIA-PR B</x:v>
      </x:c>
      <x:c r="C10397" s="16" t="n">
        <x:v>7447.1877805465</x:v>
      </x:c>
      <x:c r="D10397" s="13" t="str">
        <x:v>Utilities &amp; Energy</x:v>
      </x:c>
      <x:c r="E10397" s="13" t="str">
        <x:v>Utilities</x:v>
      </x:c>
      <x:c r="F10397" s="13" t="str">
        <x:v>Defensives</x:v>
      </x:c>
      <x:c r="G10397" s="13" t="str">
        <x:v>grid_wbaxp5t0.xlsx</x:v>
      </x:c>
    </x:row>
    <x:row r="10398">
      <x:c r="A10398" s="15" t="n">
        <x:v>44927</x:v>
      </x:c>
      <x:c r="B10398" s="13" t="str">
        <x:v>CIA ENERGETICA MINAS GER-PRF</x:v>
      </x:c>
      <x:c r="C10398" s="16" t="n">
        <x:v>3776.0038455956</x:v>
      </x:c>
      <x:c r="D10398" s="13" t="str">
        <x:v>Utilities &amp; Energy</x:v>
      </x:c>
      <x:c r="E10398" s="13" t="str">
        <x:v>Utilities</x:v>
      </x:c>
      <x:c r="F10398" s="13" t="str">
        <x:v>Defensives</x:v>
      </x:c>
      <x:c r="G10398" s="13" t="str">
        <x:v>grid_wbaxp5t0.xlsx</x:v>
      </x:c>
    </x:row>
    <x:row r="10399">
      <x:c r="A10399" s="15" t="n">
        <x:v>44927</x:v>
      </x:c>
      <x:c r="B10399" s="13" t="str">
        <x:v>COMPANHIA PARANAENSE -PREF B</x:v>
      </x:c>
      <x:c r="C10399" s="16" t="n">
        <x:v>2408.6092548197</x:v>
      </x:c>
      <x:c r="D10399" s="13" t="str">
        <x:v>Utilities &amp; Energy</x:v>
      </x:c>
      <x:c r="E10399" s="13" t="str">
        <x:v>Utilities</x:v>
      </x:c>
      <x:c r="F10399" s="13" t="str">
        <x:v>Defensives</x:v>
      </x:c>
      <x:c r="G10399" s="13" t="str">
        <x:v>grid_wbaxp5t0.xlsx</x:v>
      </x:c>
    </x:row>
    <x:row r="10400">
      <x:c r="A10400" s="15" t="n">
        <x:v>44927</x:v>
      </x:c>
      <x:c r="B10400" s="13" t="str">
        <x:v>CPFL ENERGIA SA</x:v>
      </x:c>
      <x:c r="C10400" s="16" t="n">
        <x:v>4458.9866666667</x:v>
      </x:c>
      <x:c r="D10400" s="13" t="str">
        <x:v>Utilities &amp; Energy</x:v>
      </x:c>
      <x:c r="E10400" s="13" t="str">
        <x:v>Utilities</x:v>
      </x:c>
      <x:c r="F10400" s="13" t="str">
        <x:v>Defensives</x:v>
      </x:c>
      <x:c r="G10400" s="13" t="str">
        <x:v>grid_wbaxp5t0.xlsx</x:v>
      </x:c>
    </x:row>
    <x:row r="10401">
      <x:c r="A10401" s="15" t="n">
        <x:v>44927</x:v>
      </x:c>
      <x:c r="B10401" s="13" t="str">
        <x:v>EDP - ENERGIAS DO BRASIL SA</x:v>
      </x:c>
      <x:c r="C10401" s="16" t="n">
        <x:v>1510.9923539235</x:v>
      </x:c>
      <x:c r="D10401" s="13" t="str">
        <x:v>Utilities &amp; Energy</x:v>
      </x:c>
      <x:c r="E10401" s="13" t="str">
        <x:v>Utilities</x:v>
      </x:c>
      <x:c r="F10401" s="13" t="str">
        <x:v>Defensives</x:v>
      </x:c>
      <x:c r="G10401" s="13" t="str">
        <x:v>grid_wbaxp5t0.xlsx</x:v>
      </x:c>
    </x:row>
    <x:row r="10402">
      <x:c r="A10402" s="15" t="n">
        <x:v>44927</x:v>
      </x:c>
      <x:c r="B10402" s="13" t="str">
        <x:v>ENERGISA SA-UNITS</x:v>
      </x:c>
      <x:c r="C10402" s="16" t="n">
        <x:v>1669.8107075847</x:v>
      </x:c>
      <x:c r="D10402" s="13" t="str">
        <x:v>Utilities &amp; Energy</x:v>
      </x:c>
      <x:c r="E10402" s="13" t="str">
        <x:v>Utilities</x:v>
      </x:c>
      <x:c r="F10402" s="13" t="str">
        <x:v>Defensives</x:v>
      </x:c>
      <x:c r="G10402" s="13" t="str">
        <x:v>grid_wbaxp5t0.xlsx</x:v>
      </x:c>
    </x:row>
    <x:row r="10403">
      <x:c r="A10403" s="15" t="n">
        <x:v>44927</x:v>
      </x:c>
      <x:c r="B10403" s="13" t="str">
        <x:v>ENEVA SA</x:v>
      </x:c>
      <x:c r="C10403" s="16" t="n">
        <x:v>1064.7551940546</x:v>
      </x:c>
      <x:c r="D10403" s="13" t="str">
        <x:v>Utilities &amp; Energy</x:v>
      </x:c>
      <x:c r="E10403" s="13" t="str">
        <x:v>Utilities</x:v>
      </x:c>
      <x:c r="F10403" s="13" t="str">
        <x:v>Defensives</x:v>
      </x:c>
      <x:c r="G10403" s="13" t="str">
        <x:v>grid_wbaxp5t0.xlsx</x:v>
      </x:c>
    </x:row>
    <x:row r="10404">
      <x:c r="A10404" s="15" t="n">
        <x:v>44927</x:v>
      </x:c>
      <x:c r="B10404" s="13" t="str">
        <x:v>ENGIE BRASIL ENERGIA SA</x:v>
      </x:c>
      <x:c r="C10404" s="16" t="n">
        <x:v>3492.479127082</x:v>
      </x:c>
      <x:c r="D10404" s="13" t="str">
        <x:v>Utilities &amp; Energy</x:v>
      </x:c>
      <x:c r="E10404" s="13" t="str">
        <x:v>Utilities</x:v>
      </x:c>
      <x:c r="F10404" s="13" t="str">
        <x:v>Defensives</x:v>
      </x:c>
      <x:c r="G10404" s="13" t="str">
        <x:v>grid_wbaxp5t0.xlsx</x:v>
      </x:c>
    </x:row>
    <x:row r="10405">
      <x:c r="A10405" s="15" t="n">
        <x:v>44927</x:v>
      </x:c>
      <x:c r="B10405" s="13" t="str">
        <x:v>EQUATORIAL SA - ORD</x:v>
      </x:c>
      <x:c r="C10405" s="16" t="n">
        <x:v>2529.6771637158</x:v>
      </x:c>
      <x:c r="D10405" s="13" t="str">
        <x:v>Utilities &amp; Energy</x:v>
      </x:c>
      <x:c r="E10405" s="13" t="str">
        <x:v>Utilities</x:v>
      </x:c>
      <x:c r="F10405" s="13" t="str">
        <x:v>Defensives</x:v>
      </x:c>
      <x:c r="G10405" s="13" t="str">
        <x:v>grid_wbaxp5t0.xlsx</x:v>
      </x:c>
    </x:row>
    <x:row r="10406">
      <x:c r="A10406" s="15" t="n">
        <x:v>44927</x:v>
      </x:c>
      <x:c r="B10406" s="13" t="str">
        <x:v>TRANSMISSORA ALIANCA DE-UNIT</x:v>
      </x:c>
      <x:c r="C10406" s="16" t="n">
        <x:v>1204.4466346667</x:v>
      </x:c>
      <x:c r="D10406" s="13" t="str">
        <x:v>Utilities &amp; Energy</x:v>
      </x:c>
      <x:c r="E10406" s="13" t="str">
        <x:v>Utilities</x:v>
      </x:c>
      <x:c r="F10406" s="13" t="str">
        <x:v>Defensives</x:v>
      </x:c>
      <x:c r="G10406" s="13" t="str">
        <x:v>grid_wbaxp5t0.xlsx</x:v>
      </x:c>
    </x:row>
    <x:row r="10407">
      <x:c r="A10407" s="15" t="n">
        <x:v>44958</x:v>
      </x:c>
      <x:c r="B10407" s="13" t="str">
        <x:v>RAIZEN SA - PREFERENCE</x:v>
      </x:c>
      <x:c r="C10407" s="16" t="n">
        <x:v>4256.3697995191</x:v>
      </x:c>
      <x:c r="D10407" s="13" t="str">
        <x:v>Agribusiness</x:v>
      </x:c>
      <x:c r="E10407" s="13" t="str">
        <x:v>Agri, Food &amp; Beverages</x:v>
      </x:c>
      <x:c r="F10407" s="13" t="str">
        <x:v>Defensives</x:v>
      </x:c>
      <x:c r="G10407" s="13" t="str">
        <x:v>grid_wbaxp5t0.xlsx</x:v>
      </x:c>
    </x:row>
    <x:row r="10408">
      <x:c r="A10408" s="15" t="n">
        <x:v>44958</x:v>
      </x:c>
      <x:c r="B10408" s="13" t="str">
        <x:v>SAO MARTINHO SA</x:v>
      </x:c>
      <x:c r="C10408" s="16" t="n">
        <x:v>1295.6492663607</x:v>
      </x:c>
      <x:c r="D10408" s="13" t="str">
        <x:v>Agribusiness</x:v>
      </x:c>
      <x:c r="E10408" s="13" t="str">
        <x:v>Agri, Food &amp; Beverages</x:v>
      </x:c>
      <x:c r="F10408" s="13" t="str">
        <x:v>Defensives</x:v>
      </x:c>
      <x:c r="G10408" s="13" t="str">
        <x:v>grid_wbaxp5t0.xlsx</x:v>
      </x:c>
    </x:row>
    <x:row r="10409">
      <x:c r="A10409" s="15" t="n">
        <x:v>44958</x:v>
      </x:c>
      <x:c r="B10409" s="13" t="str">
        <x:v>SLC AGRICOLA SA</x:v>
      </x:c>
      <x:c r="C10409" s="16" t="n">
        <x:v>1371.6238184918</x:v>
      </x:c>
      <x:c r="D10409" s="13" t="str">
        <x:v>Agribusiness</x:v>
      </x:c>
      <x:c r="E10409" s="13" t="str">
        <x:v>Agri, Food &amp; Beverages</x:v>
      </x:c>
      <x:c r="F10409" s="13" t="str">
        <x:v>Defensives</x:v>
      </x:c>
      <x:c r="G10409" s="13" t="str">
        <x:v>grid_wbaxp5t0.xlsx</x:v>
      </x:c>
    </x:row>
    <x:row r="10410">
      <x:c r="A10410" s="15" t="n">
        <x:v>44958</x:v>
      </x:c>
      <x:c r="B10410" s="13" t="str">
        <x:v>BANCO BRADESCO S.A.</x:v>
      </x:c>
      <x:c r="C10410" s="16" t="n">
        <x:v>23414.502551082</x:v>
      </x:c>
      <x:c r="D10410" s="13" t="str">
        <x:v>Banks</x:v>
      </x:c>
      <x:c r="E10410" s="13" t="str">
        <x:v>Banks</x:v>
      </x:c>
      <x:c r="F10410" s="13" t="str">
        <x:v>Financials</x:v>
      </x:c>
      <x:c r="G10410" s="13" t="str">
        <x:v>grid_wbaxp5t0.xlsx</x:v>
      </x:c>
    </x:row>
    <x:row r="10411">
      <x:c r="A10411" s="15" t="n">
        <x:v>44958</x:v>
      </x:c>
      <x:c r="B10411" s="13" t="str">
        <x:v>BANCO BRADESCO SA-PREF</x:v>
      </x:c>
      <x:c r="C10411" s="16" t="n">
        <x:v>23414.502551082</x:v>
      </x:c>
      <x:c r="D10411" s="13" t="str">
        <x:v>Banks</x:v>
      </x:c>
      <x:c r="E10411" s="13" t="str">
        <x:v>Banks</x:v>
      </x:c>
      <x:c r="F10411" s="13" t="str">
        <x:v>Financials</x:v>
      </x:c>
      <x:c r="G10411" s="13" t="str">
        <x:v>grid_wbaxp5t0.xlsx</x:v>
      </x:c>
    </x:row>
    <x:row r="10412">
      <x:c r="A10412" s="15" t="n">
        <x:v>44958</x:v>
      </x:c>
      <x:c r="B10412" s="13" t="str">
        <x:v>BANCO BTG PACTUAL SA-UNIT</x:v>
      </x:c>
      <x:c r="C10412" s="16" t="n">
        <x:v>9737.5257012459</x:v>
      </x:c>
      <x:c r="D10412" s="13" t="str">
        <x:v>Banks</x:v>
      </x:c>
      <x:c r="E10412" s="13" t="str">
        <x:v>Banks</x:v>
      </x:c>
      <x:c r="F10412" s="13" t="str">
        <x:v>Financials</x:v>
      </x:c>
      <x:c r="G10412" s="13" t="str">
        <x:v>grid_wbaxp5t0.xlsx</x:v>
      </x:c>
    </x:row>
    <x:row r="10413">
      <x:c r="A10413" s="15" t="n">
        <x:v>44958</x:v>
      </x:c>
      <x:c r="B10413" s="13" t="str">
        <x:v>BANCO DO BRASIL S.A.</x:v>
      </x:c>
      <x:c r="C10413" s="16" t="n">
        <x:v>34226.8510342295</x:v>
      </x:c>
      <x:c r="D10413" s="13" t="str">
        <x:v>Banks</x:v>
      </x:c>
      <x:c r="E10413" s="13" t="str">
        <x:v>Banks</x:v>
      </x:c>
      <x:c r="F10413" s="13" t="str">
        <x:v>Financials</x:v>
      </x:c>
      <x:c r="G10413" s="13" t="str">
        <x:v>grid_wbaxp5t0.xlsx</x:v>
      </x:c>
    </x:row>
    <x:row r="10414">
      <x:c r="A10414" s="15" t="n">
        <x:v>44958</x:v>
      </x:c>
      <x:c r="B10414" s="13" t="str">
        <x:v>BANCO PAN SA</x:v>
      </x:c>
      <x:c r="C10414" s="16" t="n">
        <x:v>1072.0845660328</x:v>
      </x:c>
      <x:c r="D10414" s="13" t="str">
        <x:v>Banks</x:v>
      </x:c>
      <x:c r="E10414" s="13" t="str">
        <x:v>Banks</x:v>
      </x:c>
      <x:c r="F10414" s="13" t="str">
        <x:v>Financials</x:v>
      </x:c>
      <x:c r="G10414" s="13" t="str">
        <x:v>grid_wbaxp5t0.xlsx</x:v>
      </x:c>
    </x:row>
    <x:row r="10415">
      <x:c r="A10415" s="15" t="n">
        <x:v>44958</x:v>
      </x:c>
      <x:c r="B10415" s="13" t="str">
        <x:v>BANCO SANTANDER  BRASIL-UNIT</x:v>
      </x:c>
      <x:c r="C10415" s="16" t="n">
        <x:v>13670.4971121311</x:v>
      </x:c>
      <x:c r="D10415" s="13" t="str">
        <x:v>Banks</x:v>
      </x:c>
      <x:c r="E10415" s="13" t="str">
        <x:v>Banks</x:v>
      </x:c>
      <x:c r="F10415" s="13" t="str">
        <x:v>Financials</x:v>
      </x:c>
      <x:c r="G10415" s="13" t="str">
        <x:v>grid_wbaxp5t0.xlsx</x:v>
      </x:c>
    </x:row>
    <x:row r="10416">
      <x:c r="A10416" s="15" t="n">
        <x:v>44958</x:v>
      </x:c>
      <x:c r="B10416" s="13" t="str">
        <x:v>ITAU UNIBANCO HOLDING S-PREF</x:v>
      </x:c>
      <x:c r="C10416" s="16" t="n">
        <x:v>35925.8631721967</x:v>
      </x:c>
      <x:c r="D10416" s="13" t="str">
        <x:v>Banks</x:v>
      </x:c>
      <x:c r="E10416" s="13" t="str">
        <x:v>Banks</x:v>
      </x:c>
      <x:c r="F10416" s="13" t="str">
        <x:v>Financials</x:v>
      </x:c>
      <x:c r="G10416" s="13" t="str">
        <x:v>grid_wbaxp5t0.xlsx</x:v>
      </x:c>
    </x:row>
    <x:row r="10417">
      <x:c r="A10417" s="15" t="n">
        <x:v>44958</x:v>
      </x:c>
      <x:c r="B10417" s="13" t="str">
        <x:v>EMBRAER SA</x:v>
      </x:c>
      <x:c r="C10417" s="16" t="n">
        <x:v>743.2126761967</x:v>
      </x:c>
      <x:c r="D10417" s="13" t="str">
        <x:v>Capital Goods</x:v>
      </x:c>
      <x:c r="E10417" s="13" t="str">
        <x:v>Capital Goods</x:v>
      </x:c>
      <x:c r="F10417" s="13" t="str">
        <x:v>Deep Cyclicals</x:v>
      </x:c>
      <x:c r="G10417" s="13" t="str">
        <x:v>grid_wbaxp5t0.xlsx</x:v>
      </x:c>
    </x:row>
    <x:row r="10418">
      <x:c r="A10418" s="15" t="n">
        <x:v>44958</x:v>
      </x:c>
      <x:c r="B10418" s="13" t="str">
        <x:v>WEG SA</x:v>
      </x:c>
      <x:c r="C10418" s="16" t="n">
        <x:v>5216.044468459</x:v>
      </x:c>
      <x:c r="D10418" s="13" t="str">
        <x:v>Capital Goods</x:v>
      </x:c>
      <x:c r="E10418" s="13" t="str">
        <x:v>Capital Goods</x:v>
      </x:c>
      <x:c r="F10418" s="13" t="str">
        <x:v>Deep Cyclicals</x:v>
      </x:c>
      <x:c r="G10418" s="13" t="str">
        <x:v>grid_wbaxp5t0.xlsx</x:v>
      </x:c>
    </x:row>
    <x:row r="10419">
      <x:c r="A10419" s="15" t="n">
        <x:v>44958</x:v>
      </x:c>
      <x:c r="B10419" s="13" t="str">
        <x:v>COGNA EDUCACAO</x:v>
      </x:c>
      <x:c r="C10419" s="16" t="n">
        <x:v>-70.7329016393</x:v>
      </x:c>
      <x:c r="D10419" s="13" t="str">
        <x:v>Education</x:v>
      </x:c>
      <x:c r="E10419" s="13" t="str">
        <x:v>Education</x:v>
      </x:c>
      <x:c r="F10419" s="13" t="str">
        <x:v>Early Cyclicals</x:v>
      </x:c>
      <x:c r="G10419" s="13" t="str">
        <x:v>grid_wbaxp5t0.xlsx</x:v>
      </x:c>
    </x:row>
    <x:row r="10420">
      <x:c r="A10420" s="15" t="n">
        <x:v>44958</x:v>
      </x:c>
      <x:c r="B10420" s="13" t="str">
        <x:v>YDUQS PARTICIPACOES SA</x:v>
      </x:c>
      <x:c r="C10420" s="16" t="n">
        <x:v>262.5201080656</x:v>
      </x:c>
      <x:c r="D10420" s="13" t="str">
        <x:v>Education</x:v>
      </x:c>
      <x:c r="E10420" s="13" t="str">
        <x:v>Education</x:v>
      </x:c>
      <x:c r="F10420" s="13" t="str">
        <x:v>Early Cyclicals</x:v>
      </x:c>
      <x:c r="G10420" s="13" t="str">
        <x:v>grid_wbaxp5t0.xlsx</x:v>
      </x:c>
    </x:row>
    <x:row r="10421">
      <x:c r="A10421" s="15" t="n">
        <x:v>44958</x:v>
      </x:c>
      <x:c r="B10421" s="13" t="str">
        <x:v>B3 SA-BRASIL BOLSA BALCAO</x:v>
      </x:c>
      <x:c r="C10421" s="16" t="n">
        <x:v>4997.5596904918</x:v>
      </x:c>
      <x:c r="D10421" s="13" t="str">
        <x:v>Financials Non-Banks</x:v>
      </x:c>
      <x:c r="E10421" s="13" t="str">
        <x:v>Financials Non-Banks</x:v>
      </x:c>
      <x:c r="F10421" s="13" t="str">
        <x:v>Financials</x:v>
      </x:c>
      <x:c r="G10421" s="13" t="str">
        <x:v>grid_wbaxp5t0.xlsx</x:v>
      </x:c>
    </x:row>
    <x:row r="10422">
      <x:c r="A10422" s="15" t="n">
        <x:v>44958</x:v>
      </x:c>
      <x:c r="B10422" s="13" t="str">
        <x:v>BB SEGURIDADE PARTICIPACOES</x:v>
      </x:c>
      <x:c r="C10422" s="16" t="n">
        <x:v>7135.0955226229</x:v>
      </x:c>
      <x:c r="D10422" s="13" t="str">
        <x:v>Financials Non-Banks</x:v>
      </x:c>
      <x:c r="E10422" s="13" t="str">
        <x:v>Financials Non-Banks</x:v>
      </x:c>
      <x:c r="F10422" s="13" t="str">
        <x:v>Financials</x:v>
      </x:c>
      <x:c r="G10422" s="13" t="str">
        <x:v>grid_wbaxp5t0.xlsx</x:v>
      </x:c>
    </x:row>
    <x:row r="10423">
      <x:c r="A10423" s="15" t="n">
        <x:v>44958</x:v>
      </x:c>
      <x:c r="B10423" s="13" t="str">
        <x:v>CIELO SA - INSTITUICAO DE PA</x:v>
      </x:c>
      <x:c r="C10423" s="16" t="n">
        <x:v>1900.6520152131</x:v>
      </x:c>
      <x:c r="D10423" s="13" t="str">
        <x:v>Financials Non-Banks</x:v>
      </x:c>
      <x:c r="E10423" s="13" t="str">
        <x:v>Financials Non-Banks</x:v>
      </x:c>
      <x:c r="F10423" s="13" t="str">
        <x:v>Financials</x:v>
      </x:c>
      <x:c r="G10423" s="13" t="str">
        <x:v>grid_wbaxp5t0.xlsx</x:v>
      </x:c>
    </x:row>
    <x:row r="10424">
      <x:c r="A10424" s="15" t="n">
        <x:v>44958</x:v>
      </x:c>
      <x:c r="B10424" s="13" t="str">
        <x:v>ITAUSA SA</x:v>
      </x:c>
      <x:c r="C10424" s="16" t="n">
        <x:v>13562.3767291803</x:v>
      </x:c>
      <x:c r="D10424" s="13" t="str">
        <x:v>Financials Non-Banks</x:v>
      </x:c>
      <x:c r="E10424" s="13" t="str">
        <x:v>Financials Non-Banks</x:v>
      </x:c>
      <x:c r="F10424" s="13" t="str">
        <x:v>Financials</x:v>
      </x:c>
      <x:c r="G10424" s="13" t="str">
        <x:v>grid_wbaxp5t0.xlsx</x:v>
      </x:c>
    </x:row>
    <x:row r="10425">
      <x:c r="A10425" s="15" t="n">
        <x:v>44958</x:v>
      </x:c>
      <x:c r="B10425" s="13" t="str">
        <x:v>MELIUZ SA - ON</x:v>
      </x:c>
      <x:c r="C10425" s="16" t="n">
        <x:v>-5.5306229508</x:v>
      </x:c>
      <x:c r="D10425" s="13" t="str">
        <x:v>Financials Non-Banks</x:v>
      </x:c>
      <x:c r="E10425" s="13" t="str">
        <x:v>Financials Non-Banks</x:v>
      </x:c>
      <x:c r="F10425" s="13" t="str">
        <x:v>Financials</x:v>
      </x:c>
      <x:c r="G10425" s="13" t="str">
        <x:v>grid_wbaxp5t0.xlsx</x:v>
      </x:c>
    </x:row>
    <x:row r="10426">
      <x:c r="A10426" s="15" t="n">
        <x:v>44958</x:v>
      </x:c>
      <x:c r="B10426" s="13" t="str">
        <x:v>AMBEV SA</x:v>
      </x:c>
      <x:c r="C10426" s="16" t="n">
        <x:v>14209.1882093115</x:v>
      </x:c>
      <x:c r="D10426" s="13" t="str">
        <x:v>Food &amp; Beverages</x:v>
      </x:c>
      <x:c r="E10426" s="13" t="str">
        <x:v>Agri, Food &amp; Beverages</x:v>
      </x:c>
      <x:c r="F10426" s="13" t="str">
        <x:v>Defensives</x:v>
      </x:c>
      <x:c r="G10426" s="13" t="str">
        <x:v>grid_wbaxp5t0.xlsx</x:v>
      </x:c>
    </x:row>
    <x:row r="10427">
      <x:c r="A10427" s="15" t="n">
        <x:v>44958</x:v>
      </x:c>
      <x:c r="B10427" s="13" t="str">
        <x:v>BRF SA</x:v>
      </x:c>
      <x:c r="C10427" s="16" t="n">
        <x:v>209.2717379672</x:v>
      </x:c>
      <x:c r="D10427" s="13" t="str">
        <x:v>Food &amp; Beverages</x:v>
      </x:c>
      <x:c r="E10427" s="13" t="str">
        <x:v>Agri, Food &amp; Beverages</x:v>
      </x:c>
      <x:c r="F10427" s="13" t="str">
        <x:v>Defensives</x:v>
      </x:c>
      <x:c r="G10427" s="13" t="str">
        <x:v>grid_wbaxp5t0.xlsx</x:v>
      </x:c>
    </x:row>
    <x:row r="10428">
      <x:c r="A10428" s="15" t="n">
        <x:v>44958</x:v>
      </x:c>
      <x:c r="B10428" s="13" t="str">
        <x:v>MBRF GLOBAL FOODS COMPANY SA</x:v>
      </x:c>
      <x:c r="C10428" s="16" t="n">
        <x:v>900.1717424262</x:v>
      </x:c>
      <x:c r="D10428" s="13" t="str">
        <x:v>Food &amp; Beverages</x:v>
      </x:c>
      <x:c r="E10428" s="13" t="str">
        <x:v>Agri, Food &amp; Beverages</x:v>
      </x:c>
      <x:c r="F10428" s="13" t="str">
        <x:v>Defensives</x:v>
      </x:c>
      <x:c r="G10428" s="13" t="str">
        <x:v>grid_wbaxp5t0.xlsx</x:v>
      </x:c>
    </x:row>
    <x:row r="10429">
      <x:c r="A10429" s="15" t="n">
        <x:v>44958</x:v>
      </x:c>
      <x:c r="B10429" s="13" t="str">
        <x:v>MINERVA SA</x:v>
      </x:c>
      <x:c r="C10429" s="16" t="n">
        <x:v>1207.5587231475</x:v>
      </x:c>
      <x:c r="D10429" s="13" t="str">
        <x:v>Food &amp; Beverages</x:v>
      </x:c>
      <x:c r="E10429" s="13" t="str">
        <x:v>Agri, Food &amp; Beverages</x:v>
      </x:c>
      <x:c r="F10429" s="13" t="str">
        <x:v>Defensives</x:v>
      </x:c>
      <x:c r="G10429" s="13" t="str">
        <x:v>grid_wbaxp5t0.xlsx</x:v>
      </x:c>
    </x:row>
    <x:row r="10430">
      <x:c r="A10430" s="15" t="n">
        <x:v>44958</x:v>
      </x:c>
      <x:c r="B10430" s="13" t="str">
        <x:v>FLEURY SA</x:v>
      </x:c>
      <x:c r="C10430" s="16" t="n">
        <x:v>394.643456</x:v>
      </x:c>
      <x:c r="D10430" s="13" t="str">
        <x:v>Health Care</x:v>
      </x:c>
      <x:c r="E10430" s="13" t="str">
        <x:v>Health Care</x:v>
      </x:c>
      <x:c r="F10430" s="13" t="str">
        <x:v>Defensives</x:v>
      </x:c>
      <x:c r="G10430" s="13" t="str">
        <x:v>grid_wbaxp5t0.xlsx</x:v>
      </x:c>
    </x:row>
    <x:row r="10431">
      <x:c r="A10431" s="15" t="n">
        <x:v>44958</x:v>
      </x:c>
      <x:c r="B10431" s="13" t="str">
        <x:v>HAPVIDA PARTICIPACOES E INVE</x:v>
      </x:c>
      <x:c r="C10431" s="16" t="n">
        <x:v>771.166615082</x:v>
      </x:c>
      <x:c r="D10431" s="13" t="str">
        <x:v>Health Care</x:v>
      </x:c>
      <x:c r="E10431" s="13" t="str">
        <x:v>Health Care</x:v>
      </x:c>
      <x:c r="F10431" s="13" t="str">
        <x:v>Defensives</x:v>
      </x:c>
      <x:c r="G10431" s="13" t="str">
        <x:v>grid_wbaxp5t0.xlsx</x:v>
      </x:c>
    </x:row>
    <x:row r="10432">
      <x:c r="A10432" s="15" t="n">
        <x:v>44958</x:v>
      </x:c>
      <x:c r="B10432" s="13" t="str">
        <x:v>HYPERA SA</x:v>
      </x:c>
      <x:c r="C10432" s="16" t="n">
        <x:v>1998.063458623</x:v>
      </x:c>
      <x:c r="D10432" s="13" t="str">
        <x:v>Health Care</x:v>
      </x:c>
      <x:c r="E10432" s="13" t="str">
        <x:v>Health Care</x:v>
      </x:c>
      <x:c r="F10432" s="13" t="str">
        <x:v>Defensives</x:v>
      </x:c>
      <x:c r="G10432" s="13" t="str">
        <x:v>grid_wbaxp5t0.xlsx</x:v>
      </x:c>
    </x:row>
    <x:row r="10433">
      <x:c r="A10433" s="15" t="n">
        <x:v>44958</x:v>
      </x:c>
      <x:c r="B10433" s="13" t="str">
        <x:v>QUALICORP CONS E CORR SEG SA</x:v>
      </x:c>
      <x:c r="C10433" s="16" t="n">
        <x:v>178.5791134426</x:v>
      </x:c>
      <x:c r="D10433" s="13" t="str">
        <x:v>Health Care</x:v>
      </x:c>
      <x:c r="E10433" s="13" t="str">
        <x:v>Health Care</x:v>
      </x:c>
      <x:c r="F10433" s="13" t="str">
        <x:v>Defensives</x:v>
      </x:c>
      <x:c r="G10433" s="13" t="str">
        <x:v>grid_wbaxp5t0.xlsx</x:v>
      </x:c>
    </x:row>
    <x:row r="10434">
      <x:c r="A10434" s="15" t="n">
        <x:v>44958</x:v>
      </x:c>
      <x:c r="B10434" s="13" t="str">
        <x:v>REDE D'OR SAO LUIZ SA</x:v>
      </x:c>
      <x:c r="C10434" s="16" t="n">
        <x:v>2480.9444259672</x:v>
      </x:c>
      <x:c r="D10434" s="13" t="str">
        <x:v>Health Care</x:v>
      </x:c>
      <x:c r="E10434" s="13" t="str">
        <x:v>Health Care</x:v>
      </x:c>
      <x:c r="F10434" s="13" t="str">
        <x:v>Defensives</x:v>
      </x:c>
      <x:c r="G10434" s="13" t="str">
        <x:v>grid_wbaxp5t0.xlsx</x:v>
      </x:c>
    </x:row>
    <x:row r="10435">
      <x:c r="A10435" s="15" t="n">
        <x:v>44958</x:v>
      </x:c>
      <x:c r="B10435" s="13" t="str">
        <x:v>CYRELA BRAZIL REALTY SA EMP</x:v>
      </x:c>
      <x:c r="C10435" s="16" t="n">
        <x:v>896.3640215082</x:v>
      </x:c>
      <x:c r="D10435" s="13" t="str">
        <x:v>Homebuilders</x:v>
      </x:c>
      <x:c r="E10435" s="13" t="str">
        <x:v>Real Estate</x:v>
      </x:c>
      <x:c r="F10435" s="13" t="str">
        <x:v>Early Cyclicals</x:v>
      </x:c>
      <x:c r="G10435" s="13" t="str">
        <x:v>grid_wbaxp5t0.xlsx</x:v>
      </x:c>
    </x:row>
    <x:row r="10436">
      <x:c r="A10436" s="15" t="n">
        <x:v>44958</x:v>
      </x:c>
      <x:c r="B10436" s="13" t="str">
        <x:v>EZ TEC EMPREENDIMENTOS E PAR</x:v>
      </x:c>
      <x:c r="C10436" s="16" t="n">
        <x:v>417.7958090492</x:v>
      </x:c>
      <x:c r="D10436" s="13" t="str">
        <x:v>Homebuilders</x:v>
      </x:c>
      <x:c r="E10436" s="13" t="str">
        <x:v>Real Estate</x:v>
      </x:c>
      <x:c r="F10436" s="13" t="str">
        <x:v>Early Cyclicals</x:v>
      </x:c>
      <x:c r="G10436" s="13" t="str">
        <x:v>grid_wbaxp5t0.xlsx</x:v>
      </x:c>
    </x:row>
    <x:row r="10437">
      <x:c r="A10437" s="15" t="n">
        <x:v>44958</x:v>
      </x:c>
      <x:c r="B10437" s="13" t="str">
        <x:v>MRV ENGENHARIA</x:v>
      </x:c>
      <x:c r="C10437" s="16" t="n">
        <x:v>449.8809180328</x:v>
      </x:c>
      <x:c r="D10437" s="13" t="str">
        <x:v>Homebuilders</x:v>
      </x:c>
      <x:c r="E10437" s="13" t="str">
        <x:v>Real Estate</x:v>
      </x:c>
      <x:c r="F10437" s="13" t="str">
        <x:v>Early Cyclicals</x:v>
      </x:c>
      <x:c r="G10437" s="13" t="str">
        <x:v>grid_wbaxp5t0.xlsx</x:v>
      </x:c>
    </x:row>
    <x:row r="10438">
      <x:c r="A10438" s="15" t="n">
        <x:v>44958</x:v>
      </x:c>
      <x:c r="B10438" s="13" t="str">
        <x:v>ALLOS SA</x:v>
      </x:c>
      <x:c r="C10438" s="16" t="n">
        <x:v>732.4200886557</x:v>
      </x:c>
      <x:c r="D10438" s="13" t="str">
        <x:v>Income Properties</x:v>
      </x:c>
      <x:c r="E10438" s="13" t="str">
        <x:v>Real Estate</x:v>
      </x:c>
      <x:c r="F10438" s="13" t="str">
        <x:v>Early Cyclicals</x:v>
      </x:c>
      <x:c r="G10438" s="13" t="str">
        <x:v>grid_wbaxp5t0.xlsx</x:v>
      </x:c>
    </x:row>
    <x:row r="10439">
      <x:c r="A10439" s="15" t="n">
        <x:v>44958</x:v>
      </x:c>
      <x:c r="B10439" s="13" t="str">
        <x:v>IGUATEMI SA - UNITS</x:v>
      </x:c>
      <x:c r="C10439" s="16" t="n">
        <x:v>355.1461188197</x:v>
      </x:c>
      <x:c r="D10439" s="13" t="str">
        <x:v>Income Properties</x:v>
      </x:c>
      <x:c r="E10439" s="13" t="str">
        <x:v>Real Estate</x:v>
      </x:c>
      <x:c r="F10439" s="13" t="str">
        <x:v>Early Cyclicals</x:v>
      </x:c>
      <x:c r="G10439" s="13" t="str">
        <x:v>grid_wbaxp5t0.xlsx</x:v>
      </x:c>
    </x:row>
    <x:row r="10440">
      <x:c r="A10440" s="15" t="n">
        <x:v>44958</x:v>
      </x:c>
      <x:c r="B10440" s="13" t="str">
        <x:v>MULTIPLAN EMPREENDIMENTOS</x:v>
      </x:c>
      <x:c r="C10440" s="16" t="n">
        <x:v>877.135709377</x:v>
      </x:c>
      <x:c r="D10440" s="13" t="str">
        <x:v>Income Properties</x:v>
      </x:c>
      <x:c r="E10440" s="13" t="str">
        <x:v>Real Estate</x:v>
      </x:c>
      <x:c r="F10440" s="13" t="str">
        <x:v>Early Cyclicals</x:v>
      </x:c>
      <x:c r="G10440" s="13" t="str">
        <x:v>grid_wbaxp5t0.xlsx</x:v>
      </x:c>
    </x:row>
    <x:row r="10441">
      <x:c r="A10441" s="15" t="n">
        <x:v>44958</x:v>
      </x:c>
      <x:c r="B10441" s="13" t="str">
        <x:v>BRADESPAR SA -PREF</x:v>
      </x:c>
      <x:c r="C10441" s="16" t="n">
        <x:v>2050.2213917377</x:v>
      </x:c>
      <x:c r="D10441" s="13" t="str">
        <x:v>Metals &amp; Mining</x:v>
      </x:c>
      <x:c r="E10441" s="13" t="str">
        <x:v>Metals &amp; Mining</x:v>
      </x:c>
      <x:c r="F10441" s="13" t="str">
        <x:v>Deep Cyclicals</x:v>
      </x:c>
      <x:c r="G10441" s="13" t="str">
        <x:v>grid_wbaxp5t0.xlsx</x:v>
      </x:c>
    </x:row>
    <x:row r="10442">
      <x:c r="A10442" s="15" t="n">
        <x:v>44958</x:v>
      </x:c>
      <x:c r="B10442" s="13" t="str">
        <x:v>CIA SIDERURGICA NACIONAL SA</x:v>
      </x:c>
      <x:c r="C10442" s="16" t="n">
        <x:v>3702.0536571803</x:v>
      </x:c>
      <x:c r="D10442" s="13" t="str">
        <x:v>Metals &amp; Mining</x:v>
      </x:c>
      <x:c r="E10442" s="13" t="str">
        <x:v>Metals &amp; Mining</x:v>
      </x:c>
      <x:c r="F10442" s="13" t="str">
        <x:v>Deep Cyclicals</x:v>
      </x:c>
      <x:c r="G10442" s="13" t="str">
        <x:v>grid_wbaxp5t0.xlsx</x:v>
      </x:c>
    </x:row>
    <x:row r="10443">
      <x:c r="A10443" s="15" t="n">
        <x:v>44958</x:v>
      </x:c>
      <x:c r="B10443" s="13" t="str">
        <x:v>CSN MINERACAO SA</x:v>
      </x:c>
      <x:c r="C10443" s="16" t="n">
        <x:v>2992.354711082</x:v>
      </x:c>
      <x:c r="D10443" s="13" t="str">
        <x:v>Metals &amp; Mining</x:v>
      </x:c>
      <x:c r="E10443" s="13" t="str">
        <x:v>Metals &amp; Mining</x:v>
      </x:c>
      <x:c r="F10443" s="13" t="str">
        <x:v>Deep Cyclicals</x:v>
      </x:c>
      <x:c r="G10443" s="13" t="str">
        <x:v>grid_wbaxp5t0.xlsx</x:v>
      </x:c>
    </x:row>
    <x:row r="10444">
      <x:c r="A10444" s="15" t="n">
        <x:v>44958</x:v>
      </x:c>
      <x:c r="B10444" s="13" t="str">
        <x:v>GERDAU SA-PREF</x:v>
      </x:c>
      <x:c r="C10444" s="16" t="n">
        <x:v>7452.9676338361</x:v>
      </x:c>
      <x:c r="D10444" s="13" t="str">
        <x:v>Metals &amp; Mining</x:v>
      </x:c>
      <x:c r="E10444" s="13" t="str">
        <x:v>Metals &amp; Mining</x:v>
      </x:c>
      <x:c r="F10444" s="13" t="str">
        <x:v>Deep Cyclicals</x:v>
      </x:c>
      <x:c r="G10444" s="13" t="str">
        <x:v>grid_wbaxp5t0.xlsx</x:v>
      </x:c>
    </x:row>
    <x:row r="10445">
      <x:c r="A10445" s="15" t="n">
        <x:v>44958</x:v>
      </x:c>
      <x:c r="B10445" s="13" t="str">
        <x:v>USINAS SIDER MINAS GER-PF A</x:v>
      </x:c>
      <x:c r="C10445" s="16" t="n">
        <x:v>1180.2064283279</x:v>
      </x:c>
      <x:c r="D10445" s="13" t="str">
        <x:v>Metals &amp; Mining</x:v>
      </x:c>
      <x:c r="E10445" s="13" t="str">
        <x:v>Metals &amp; Mining</x:v>
      </x:c>
      <x:c r="F10445" s="13" t="str">
        <x:v>Deep Cyclicals</x:v>
      </x:c>
      <x:c r="G10445" s="13" t="str">
        <x:v>grid_wbaxp5t0.xlsx</x:v>
      </x:c>
    </x:row>
    <x:row r="10446">
      <x:c r="A10446" s="15" t="n">
        <x:v>44958</x:v>
      </x:c>
      <x:c r="B10446" s="13" t="str">
        <x:v>VALE SA</x:v>
      </x:c>
      <x:c r="C10446" s="16" t="n">
        <x:v>61106.0688996721</x:v>
      </x:c>
      <x:c r="D10446" s="13" t="str">
        <x:v>Metals &amp; Mining</x:v>
      </x:c>
      <x:c r="E10446" s="13" t="str">
        <x:v>Metals &amp; Mining</x:v>
      </x:c>
      <x:c r="F10446" s="13" t="str">
        <x:v>Deep Cyclicals</x:v>
      </x:c>
      <x:c r="G10446" s="13" t="str">
        <x:v>grid_wbaxp5t0.xlsx</x:v>
      </x:c>
    </x:row>
    <x:row r="10447">
      <x:c r="A10447" s="15" t="n">
        <x:v>44958</x:v>
      </x:c>
      <x:c r="B10447" s="13" t="str">
        <x:v>BRASKEM SA-PREF A</x:v>
      </x:c>
      <x:c r="C10447" s="16" t="n">
        <x:v>1981.627339541</x:v>
      </x:c>
      <x:c r="D10447" s="13" t="str">
        <x:v>Oil, Gas &amp; Petrochemicals</x:v>
      </x:c>
      <x:c r="E10447" s="13" t="str">
        <x:v>Oil, Gas &amp; Petrochemicals</x:v>
      </x:c>
      <x:c r="F10447" s="13" t="str">
        <x:v>Deep Cyclicals</x:v>
      </x:c>
      <x:c r="G10447" s="13" t="str">
        <x:v>grid_wbaxp5t0.xlsx</x:v>
      </x:c>
    </x:row>
    <x:row r="10448">
      <x:c r="A10448" s="15" t="n">
        <x:v>44958</x:v>
      </x:c>
      <x:c r="B10448" s="13" t="str">
        <x:v>BRAVA ENERGIA</x:v>
      </x:c>
      <x:c r="C10448" s="16" t="n">
        <x:v>2360.5489647213</x:v>
      </x:c>
      <x:c r="D10448" s="13" t="str">
        <x:v>Oil, Gas &amp; Petrochemicals</x:v>
      </x:c>
      <x:c r="E10448" s="13" t="str">
        <x:v>Oil, Gas &amp; Petrochemicals</x:v>
      </x:c>
      <x:c r="F10448" s="13" t="str">
        <x:v>Deep Cyclicals</x:v>
      </x:c>
      <x:c r="G10448" s="13" t="str">
        <x:v>grid_wbaxp5t0.xlsx</x:v>
      </x:c>
    </x:row>
    <x:row r="10449">
      <x:c r="A10449" s="15" t="n">
        <x:v>44958</x:v>
      </x:c>
      <x:c r="B10449" s="13" t="str">
        <x:v>COSAN SA</x:v>
      </x:c>
      <x:c r="C10449" s="16" t="n">
        <x:v>1260.5192015738</x:v>
      </x:c>
      <x:c r="D10449" s="13" t="str">
        <x:v>Oil, Gas &amp; Petrochemicals</x:v>
      </x:c>
      <x:c r="E10449" s="13" t="str">
        <x:v>Oil, Gas &amp; Petrochemicals</x:v>
      </x:c>
      <x:c r="F10449" s="13" t="str">
        <x:v>Deep Cyclicals</x:v>
      </x:c>
      <x:c r="G10449" s="13" t="str">
        <x:v>grid_wbaxp5t0.xlsx</x:v>
      </x:c>
    </x:row>
    <x:row r="10450">
      <x:c r="A10450" s="15" t="n">
        <x:v>44958</x:v>
      </x:c>
      <x:c r="B10450" s="13" t="str">
        <x:v>PETROBRAS - PETROLEO BRAS</x:v>
      </x:c>
      <x:c r="C10450" s="16" t="n">
        <x:v>109756.969698623</x:v>
      </x:c>
      <x:c r="D10450" s="13" t="str">
        <x:v>Oil, Gas &amp; Petrochemicals</x:v>
      </x:c>
      <x:c r="E10450" s="13" t="str">
        <x:v>Oil, Gas &amp; Petrochemicals</x:v>
      </x:c>
      <x:c r="F10450" s="13" t="str">
        <x:v>Deep Cyclicals</x:v>
      </x:c>
      <x:c r="G10450" s="13" t="str">
        <x:v>grid_wbaxp5t0.xlsx</x:v>
      </x:c>
    </x:row>
    <x:row r="10451">
      <x:c r="A10451" s="15" t="n">
        <x:v>44958</x:v>
      </x:c>
      <x:c r="B10451" s="13" t="str">
        <x:v>PRIO SA</x:v>
      </x:c>
      <x:c r="C10451" s="16" t="n">
        <x:v>5330.7629534426</x:v>
      </x:c>
      <x:c r="D10451" s="13" t="str">
        <x:v>Oil, Gas &amp; Petrochemicals</x:v>
      </x:c>
      <x:c r="E10451" s="13" t="str">
        <x:v>Oil, Gas &amp; Petrochemicals</x:v>
      </x:c>
      <x:c r="F10451" s="13" t="str">
        <x:v>Deep Cyclicals</x:v>
      </x:c>
      <x:c r="G10451" s="13" t="str">
        <x:v>grid_wbaxp5t0.xlsx</x:v>
      </x:c>
    </x:row>
    <x:row r="10452">
      <x:c r="A10452" s="15" t="n">
        <x:v>44958</x:v>
      </x:c>
      <x:c r="B10452" s="13" t="str">
        <x:v>ULTRAPAR PARTICIPACOES SA</x:v>
      </x:c>
      <x:c r="C10452" s="16" t="n">
        <x:v>1081.8016125902</x:v>
      </x:c>
      <x:c r="D10452" s="13" t="str">
        <x:v>Oil, Gas &amp; Petrochemicals</x:v>
      </x:c>
      <x:c r="E10452" s="13" t="str">
        <x:v>Oil, Gas &amp; Petrochemicals</x:v>
      </x:c>
      <x:c r="F10452" s="13" t="str">
        <x:v>Deep Cyclicals</x:v>
      </x:c>
      <x:c r="G10452" s="13" t="str">
        <x:v>grid_wbaxp5t0.xlsx</x:v>
      </x:c>
    </x:row>
    <x:row r="10453">
      <x:c r="A10453" s="15" t="n">
        <x:v>44958</x:v>
      </x:c>
      <x:c r="B10453" s="13" t="str">
        <x:v>VIBRA ENERGIA SA</x:v>
      </x:c>
      <x:c r="C10453" s="16" t="n">
        <x:v>2171.3330066885</x:v>
      </x:c>
      <x:c r="D10453" s="13" t="str">
        <x:v>Oil, Gas &amp; Petrochemicals</x:v>
      </x:c>
      <x:c r="E10453" s="13" t="str">
        <x:v>Oil, Gas &amp; Petrochemicals</x:v>
      </x:c>
      <x:c r="F10453" s="13" t="str">
        <x:v>Deep Cyclicals</x:v>
      </x:c>
      <x:c r="G10453" s="13" t="str">
        <x:v>grid_wbaxp5t0.xlsx</x:v>
      </x:c>
    </x:row>
    <x:row r="10454">
      <x:c r="A10454" s="15" t="n">
        <x:v>44958</x:v>
      </x:c>
      <x:c r="B10454" s="13" t="str">
        <x:v>DEXCO SA</x:v>
      </x:c>
      <x:c r="C10454" s="16" t="n">
        <x:v>427.7675582951</x:v>
      </x:c>
      <x:c r="D10454" s="13" t="str">
        <x:v>Pulp &amp; Paper</x:v>
      </x:c>
      <x:c r="E10454" s="13" t="str">
        <x:v>Pulp &amp; Paper</x:v>
      </x:c>
      <x:c r="F10454" s="13" t="str">
        <x:v>Deep Cyclicals</x:v>
      </x:c>
      <x:c r="G10454" s="13" t="str">
        <x:v>grid_wbaxp5t0.xlsx</x:v>
      </x:c>
    </x:row>
    <x:row r="10455">
      <x:c r="A10455" s="15" t="n">
        <x:v>44958</x:v>
      </x:c>
      <x:c r="B10455" s="13" t="str">
        <x:v>KLABIN SA - UNIT</x:v>
      </x:c>
      <x:c r="C10455" s="16" t="n">
        <x:v>2514.5395997377</x:v>
      </x:c>
      <x:c r="D10455" s="13" t="str">
        <x:v>Pulp &amp; Paper</x:v>
      </x:c>
      <x:c r="E10455" s="13" t="str">
        <x:v>Pulp &amp; Paper</x:v>
      </x:c>
      <x:c r="F10455" s="13" t="str">
        <x:v>Deep Cyclicals</x:v>
      </x:c>
      <x:c r="G10455" s="13" t="str">
        <x:v>grid_wbaxp5t0.xlsx</x:v>
      </x:c>
    </x:row>
    <x:row r="10456">
      <x:c r="A10456" s="15" t="n">
        <x:v>44958</x:v>
      </x:c>
      <x:c r="B10456" s="13" t="str">
        <x:v>SUZANO SA</x:v>
      </x:c>
      <x:c r="C10456" s="16" t="n">
        <x:v>7714.1567034754</x:v>
      </x:c>
      <x:c r="D10456" s="13" t="str">
        <x:v>Pulp &amp; Paper</x:v>
      </x:c>
      <x:c r="E10456" s="13" t="str">
        <x:v>Pulp &amp; Paper</x:v>
      </x:c>
      <x:c r="F10456" s="13" t="str">
        <x:v>Deep Cyclicals</x:v>
      </x:c>
      <x:c r="G10456" s="13" t="str">
        <x:v>grid_wbaxp5t0.xlsx</x:v>
      </x:c>
    </x:row>
    <x:row r="10457">
      <x:c r="A10457" s="15" t="n">
        <x:v>44958</x:v>
      </x:c>
      <x:c r="B10457" s="13" t="str">
        <x:v>ALPARGATAS SA - PREF</x:v>
      </x:c>
      <x:c r="C10457" s="16" t="n">
        <x:v>560.5110116721</x:v>
      </x:c>
      <x:c r="D10457" s="13" t="str">
        <x:v>Retail</x:v>
      </x:c>
      <x:c r="E10457" s="13" t="str">
        <x:v>Retail</x:v>
      </x:c>
      <x:c r="F10457" s="13" t="str">
        <x:v>Early Cyclicals</x:v>
      </x:c>
      <x:c r="G10457" s="13" t="str">
        <x:v>grid_wbaxp5t0.xlsx</x:v>
      </x:c>
    </x:row>
    <x:row r="10458">
      <x:c r="A10458" s="15" t="n">
        <x:v>44958</x:v>
      </x:c>
      <x:c r="B10458" s="13" t="str">
        <x:v>ATACADAO SA</x:v>
      </x:c>
      <x:c r="C10458" s="16" t="n">
        <x:v>2188.4278767213</x:v>
      </x:c>
      <x:c r="D10458" s="13" t="str">
        <x:v>Retail</x:v>
      </x:c>
      <x:c r="E10458" s="13" t="str">
        <x:v>Retail</x:v>
      </x:c>
      <x:c r="F10458" s="13" t="str">
        <x:v>Early Cyclicals</x:v>
      </x:c>
      <x:c r="G10458" s="13" t="str">
        <x:v>grid_wbaxp5t0.xlsx</x:v>
      </x:c>
    </x:row>
    <x:row r="10459">
      <x:c r="A10459" s="15" t="n">
        <x:v>44958</x:v>
      </x:c>
      <x:c r="B10459" s="13" t="str">
        <x:v>AZZAS 2154 SA</x:v>
      </x:c>
      <x:c r="C10459" s="16" t="n">
        <x:v>550.129579541</x:v>
      </x:c>
      <x:c r="D10459" s="13" t="str">
        <x:v>Retail</x:v>
      </x:c>
      <x:c r="E10459" s="13" t="str">
        <x:v>Retail</x:v>
      </x:c>
      <x:c r="F10459" s="13" t="str">
        <x:v>Early Cyclicals</x:v>
      </x:c>
      <x:c r="G10459" s="13" t="str">
        <x:v>grid_wbaxp5t0.xlsx</x:v>
      </x:c>
    </x:row>
    <x:row r="10460">
      <x:c r="A10460" s="15" t="n">
        <x:v>44958</x:v>
      </x:c>
      <x:c r="B10460" s="13" t="str">
        <x:v>CIA BRASILEIRA DE DISTRIBUIC</x:v>
      </x:c>
      <x:c r="C10460" s="16" t="n">
        <x:v>430.9135312787</x:v>
      </x:c>
      <x:c r="D10460" s="13" t="str">
        <x:v>Retail</x:v>
      </x:c>
      <x:c r="E10460" s="13" t="str">
        <x:v>Retail</x:v>
      </x:c>
      <x:c r="F10460" s="13" t="str">
        <x:v>Early Cyclicals</x:v>
      </x:c>
      <x:c r="G10460" s="13" t="str">
        <x:v>grid_wbaxp5t0.xlsx</x:v>
      </x:c>
    </x:row>
    <x:row r="10461">
      <x:c r="A10461" s="15" t="n">
        <x:v>44958</x:v>
      </x:c>
      <x:c r="B10461" s="13" t="str">
        <x:v>CVC BRASIL OPERADORA E AGENC</x:v>
      </x:c>
      <x:c r="C10461" s="16" t="n">
        <x:v>-77.9866557377</x:v>
      </x:c>
      <x:c r="D10461" s="13" t="str">
        <x:v>Retail</x:v>
      </x:c>
      <x:c r="E10461" s="13" t="str">
        <x:v>Retail</x:v>
      </x:c>
      <x:c r="F10461" s="13" t="str">
        <x:v>Early Cyclicals</x:v>
      </x:c>
      <x:c r="G10461" s="13" t="str">
        <x:v>grid_wbaxp5t0.xlsx</x:v>
      </x:c>
    </x:row>
    <x:row r="10462">
      <x:c r="A10462" s="15" t="n">
        <x:v>44958</x:v>
      </x:c>
      <x:c r="B10462" s="13" t="str">
        <x:v>GRUPO CASAS BAHIA SA</x:v>
      </x:c>
      <x:c r="C10462" s="16" t="n">
        <x:v>-135.4070504918</x:v>
      </x:c>
      <x:c r="D10462" s="13" t="str">
        <x:v>Retail</x:v>
      </x:c>
      <x:c r="E10462" s="13" t="str">
        <x:v>Retail</x:v>
      </x:c>
      <x:c r="F10462" s="13" t="str">
        <x:v>Early Cyclicals</x:v>
      </x:c>
      <x:c r="G10462" s="13" t="str">
        <x:v>grid_wbaxp5t0.xlsx</x:v>
      </x:c>
    </x:row>
    <x:row r="10463">
      <x:c r="A10463" s="15" t="n">
        <x:v>44958</x:v>
      </x:c>
      <x:c r="B10463" s="13" t="str">
        <x:v>GRUPO DE MODA SOMA SA</x:v>
      </x:c>
      <x:c r="C10463" s="16" t="n">
        <x:v>581.8986397377</x:v>
      </x:c>
      <x:c r="D10463" s="13" t="str">
        <x:v>Retail</x:v>
      </x:c>
      <x:c r="E10463" s="13" t="str">
        <x:v>Retail</x:v>
      </x:c>
      <x:c r="F10463" s="13" t="str">
        <x:v>Early Cyclicals</x:v>
      </x:c>
      <x:c r="G10463" s="13" t="str">
        <x:v>grid_wbaxp5t0.xlsx</x:v>
      </x:c>
    </x:row>
    <x:row r="10464">
      <x:c r="A10464" s="15" t="n">
        <x:v>44958</x:v>
      </x:c>
      <x:c r="B10464" s="13" t="str">
        <x:v>LOJAS RENNER S.A.</x:v>
      </x:c>
      <x:c r="C10464" s="16" t="n">
        <x:v>1499.4550389508</x:v>
      </x:c>
      <x:c r="D10464" s="13" t="str">
        <x:v>Retail</x:v>
      </x:c>
      <x:c r="E10464" s="13" t="str">
        <x:v>Retail</x:v>
      </x:c>
      <x:c r="F10464" s="13" t="str">
        <x:v>Early Cyclicals</x:v>
      </x:c>
      <x:c r="G10464" s="13" t="str">
        <x:v>grid_wbaxp5t0.xlsx</x:v>
      </x:c>
    </x:row>
    <x:row r="10465">
      <x:c r="A10465" s="15" t="n">
        <x:v>44958</x:v>
      </x:c>
      <x:c r="B10465" s="13" t="str">
        <x:v>MAGAZINE LUIZA SA</x:v>
      </x:c>
      <x:c r="C10465" s="16" t="n">
        <x:v>172.2621501639</x:v>
      </x:c>
      <x:c r="D10465" s="13" t="str">
        <x:v>Retail</x:v>
      </x:c>
      <x:c r="E10465" s="13" t="str">
        <x:v>Retail</x:v>
      </x:c>
      <x:c r="F10465" s="13" t="str">
        <x:v>Early Cyclicals</x:v>
      </x:c>
      <x:c r="G10465" s="13" t="str">
        <x:v>grid_wbaxp5t0.xlsx</x:v>
      </x:c>
    </x:row>
    <x:row r="10466">
      <x:c r="A10466" s="15" t="n">
        <x:v>44958</x:v>
      </x:c>
      <x:c r="B10466" s="13" t="str">
        <x:v>NATURA &amp;CO HOLDING SA</x:v>
      </x:c>
      <x:c r="C10466" s="16" t="n">
        <x:v>454.8062824918</x:v>
      </x:c>
      <x:c r="D10466" s="13" t="str">
        <x:v>Retail</x:v>
      </x:c>
      <x:c r="E10466" s="13" t="str">
        <x:v>Retail</x:v>
      </x:c>
      <x:c r="F10466" s="13" t="str">
        <x:v>Early Cyclicals</x:v>
      </x:c>
      <x:c r="G10466" s="13" t="str">
        <x:v>grid_wbaxp5t0.xlsx</x:v>
      </x:c>
    </x:row>
    <x:row r="10467">
      <x:c r="A10467" s="15" t="n">
        <x:v>44958</x:v>
      </x:c>
      <x:c r="B10467" s="13" t="str">
        <x:v>PET CENTER COMERCIO E PARTIC</x:v>
      </x:c>
      <x:c r="C10467" s="16" t="n">
        <x:v>149.7081954098</x:v>
      </x:c>
      <x:c r="D10467" s="13" t="str">
        <x:v>Retail</x:v>
      </x:c>
      <x:c r="E10467" s="13" t="str">
        <x:v>Retail</x:v>
      </x:c>
      <x:c r="F10467" s="13" t="str">
        <x:v>Early Cyclicals</x:v>
      </x:c>
      <x:c r="G10467" s="13" t="str">
        <x:v>grid_wbaxp5t0.xlsx</x:v>
      </x:c>
    </x:row>
    <x:row r="10468">
      <x:c r="A10468" s="15" t="n">
        <x:v>44958</x:v>
      </x:c>
      <x:c r="B10468" s="13" t="str">
        <x:v>RAIA DROGASIL SA</x:v>
      </x:c>
      <x:c r="C10468" s="16" t="n">
        <x:v>1238.4637838688</x:v>
      </x:c>
      <x:c r="D10468" s="13" t="str">
        <x:v>Retail</x:v>
      </x:c>
      <x:c r="E10468" s="13" t="str">
        <x:v>Retail</x:v>
      </x:c>
      <x:c r="F10468" s="13" t="str">
        <x:v>Early Cyclicals</x:v>
      </x:c>
      <x:c r="G10468" s="13" t="str">
        <x:v>grid_wbaxp5t0.xlsx</x:v>
      </x:c>
    </x:row>
    <x:row r="10469">
      <x:c r="A10469" s="15" t="n">
        <x:v>44958</x:v>
      </x:c>
      <x:c r="B10469" s="13" t="str">
        <x:v>SENDAS DISTRIBUIDORA SA</x:v>
      </x:c>
      <x:c r="C10469" s="16" t="n">
        <x:v>1684.9832813115</x:v>
      </x:c>
      <x:c r="D10469" s="13" t="str">
        <x:v>Retail</x:v>
      </x:c>
      <x:c r="E10469" s="13" t="str">
        <x:v>Retail</x:v>
      </x:c>
      <x:c r="F10469" s="13" t="str">
        <x:v>Early Cyclicals</x:v>
      </x:c>
      <x:c r="G10469" s="13" t="str">
        <x:v>grid_wbaxp5t0.xlsx</x:v>
      </x:c>
    </x:row>
    <x:row r="10470">
      <x:c r="A10470" s="15" t="n">
        <x:v>44958</x:v>
      </x:c>
      <x:c r="B10470" s="13" t="str">
        <x:v>CIA SANEAMENTO BASICO DE SP</x:v>
      </x:c>
      <x:c r="C10470" s="16" t="n">
        <x:v>3617.6381356066</x:v>
      </x:c>
      <x:c r="D10470" s="13" t="str">
        <x:v>Sanitation</x:v>
      </x:c>
      <x:c r="E10470" s="13" t="str">
        <x:v>Utilities</x:v>
      </x:c>
      <x:c r="F10470" s="13" t="str">
        <x:v>Defensives</x:v>
      </x:c>
      <x:c r="G10470" s="13" t="str">
        <x:v>grid_wbaxp5t0.xlsx</x:v>
      </x:c>
    </x:row>
    <x:row r="10471">
      <x:c r="A10471" s="15" t="n">
        <x:v>44958</x:v>
      </x:c>
      <x:c r="B10471" s="13" t="str">
        <x:v>LWSA SA</x:v>
      </x:c>
      <x:c r="C10471" s="16" t="n">
        <x:v>129.8075422951</x:v>
      </x:c>
      <x:c r="D10471" s="13" t="str">
        <x:v>TMT</x:v>
      </x:c>
      <x:c r="E10471" s="13" t="str">
        <x:v>TMT</x:v>
      </x:c>
      <x:c r="F10471" s="13" t="str">
        <x:v>Early Cyclicals</x:v>
      </x:c>
      <x:c r="G10471" s="13" t="str">
        <x:v>grid_wbaxp5t0.xlsx</x:v>
      </x:c>
    </x:row>
    <x:row r="10472">
      <x:c r="A10472" s="15" t="n">
        <x:v>44958</x:v>
      </x:c>
      <x:c r="B10472" s="13" t="str">
        <x:v>TIM SA</x:v>
      </x:c>
      <x:c r="C10472" s="16" t="n">
        <x:v>2147.448215082</x:v>
      </x:c>
      <x:c r="D10472" s="13" t="str">
        <x:v>TMT</x:v>
      </x:c>
      <x:c r="E10472" s="13" t="str">
        <x:v>TMT</x:v>
      </x:c>
      <x:c r="F10472" s="13" t="str">
        <x:v>Early Cyclicals</x:v>
      </x:c>
      <x:c r="G10472" s="13" t="str">
        <x:v>grid_wbaxp5t0.xlsx</x:v>
      </x:c>
    </x:row>
    <x:row r="10473">
      <x:c r="A10473" s="15" t="n">
        <x:v>44958</x:v>
      </x:c>
      <x:c r="B10473" s="13" t="str">
        <x:v>TOTVS SA</x:v>
      </x:c>
      <x:c r="C10473" s="16" t="n">
        <x:v>757.6818643934</x:v>
      </x:c>
      <x:c r="D10473" s="13" t="str">
        <x:v>TMT</x:v>
      </x:c>
      <x:c r="E10473" s="13" t="str">
        <x:v>TMT</x:v>
      </x:c>
      <x:c r="F10473" s="13" t="str">
        <x:v>Early Cyclicals</x:v>
      </x:c>
      <x:c r="G10473" s="13" t="str">
        <x:v>grid_wbaxp5t0.xlsx</x:v>
      </x:c>
    </x:row>
    <x:row r="10474">
      <x:c r="A10474" s="15" t="n">
        <x:v>44958</x:v>
      </x:c>
      <x:c r="B10474" s="13" t="str">
        <x:v>AZUL SA</x:v>
      </x:c>
      <x:c r="C10474" s="16" t="n">
        <x:v>-312.9903800656</x:v>
      </x:c>
      <x:c r="D10474" s="13" t="str">
        <x:v>Transportation</x:v>
      </x:c>
      <x:c r="E10474" s="13" t="str">
        <x:v>Transportation</x:v>
      </x:c>
      <x:c r="F10474" s="13" t="str">
        <x:v>Deep Cyclicals</x:v>
      </x:c>
      <x:c r="G10474" s="13" t="str">
        <x:v>grid_wbaxp5t0.xlsx</x:v>
      </x:c>
    </x:row>
    <x:row r="10475">
      <x:c r="A10475" s="15" t="n">
        <x:v>44958</x:v>
      </x:c>
      <x:c r="B10475" s="13" t="str">
        <x:v>ECORODOVIAS INFRA E LOG SA</x:v>
      </x:c>
      <x:c r="C10475" s="16" t="n">
        <x:v>416.4865940984</x:v>
      </x:c>
      <x:c r="D10475" s="13" t="str">
        <x:v>Transportation</x:v>
      </x:c>
      <x:c r="E10475" s="13" t="str">
        <x:v>Transportation</x:v>
      </x:c>
      <x:c r="F10475" s="13" t="str">
        <x:v>Deep Cyclicals</x:v>
      </x:c>
      <x:c r="G10475" s="13" t="str">
        <x:v>grid_wbaxp5t0.xlsx</x:v>
      </x:c>
    </x:row>
    <x:row r="10476">
      <x:c r="A10476" s="15" t="n">
        <x:v>44958</x:v>
      </x:c>
      <x:c r="B10476" s="13" t="str">
        <x:v>GOL LINHAS AEREAS INT SA-PRE</x:v>
      </x:c>
      <x:c r="C10476" s="16" t="n">
        <x:v>-42.7580464262</x:v>
      </x:c>
      <x:c r="D10476" s="13" t="str">
        <x:v>Transportation</x:v>
      </x:c>
      <x:c r="E10476" s="13" t="str">
        <x:v>Transportation</x:v>
      </x:c>
      <x:c r="F10476" s="13" t="str">
        <x:v>Deep Cyclicals</x:v>
      </x:c>
      <x:c r="G10476" s="13" t="str">
        <x:v>grid_wbaxp5t0.xlsx</x:v>
      </x:c>
    </x:row>
    <x:row r="10477">
      <x:c r="A10477" s="15" t="n">
        <x:v>44958</x:v>
      </x:c>
      <x:c r="B10477" s="13" t="str">
        <x:v>LOCALIZA RENT A CAR</x:v>
      </x:c>
      <x:c r="C10477" s="16" t="n">
        <x:v>3050.5819320656</x:v>
      </x:c>
      <x:c r="D10477" s="13" t="str">
        <x:v>Transportation</x:v>
      </x:c>
      <x:c r="E10477" s="13" t="str">
        <x:v>Transportation</x:v>
      </x:c>
      <x:c r="F10477" s="13" t="str">
        <x:v>Deep Cyclicals</x:v>
      </x:c>
      <x:c r="G10477" s="13" t="str">
        <x:v>grid_wbaxp5t0.xlsx</x:v>
      </x:c>
    </x:row>
    <x:row r="10478">
      <x:c r="A10478" s="15" t="n">
        <x:v>44958</x:v>
      </x:c>
      <x:c r="B10478" s="13" t="str">
        <x:v>MOTIVA INFRAESTRUTURA DE MOB</x:v>
      </x:c>
      <x:c r="C10478" s="16" t="n">
        <x:v>1536.5847648525</x:v>
      </x:c>
      <x:c r="D10478" s="13" t="str">
        <x:v>Transportation</x:v>
      </x:c>
      <x:c r="E10478" s="13" t="str">
        <x:v>Transportation</x:v>
      </x:c>
      <x:c r="F10478" s="13" t="str">
        <x:v>Deep Cyclicals</x:v>
      </x:c>
      <x:c r="G10478" s="13" t="str">
        <x:v>grid_wbaxp5t0.xlsx</x:v>
      </x:c>
    </x:row>
    <x:row r="10479">
      <x:c r="A10479" s="15" t="n">
        <x:v>44958</x:v>
      </x:c>
      <x:c r="B10479" s="13" t="str">
        <x:v>RUMO SA</x:v>
      </x:c>
      <x:c r="C10479" s="16" t="n">
        <x:v>1236.4270919344</x:v>
      </x:c>
      <x:c r="D10479" s="13" t="str">
        <x:v>Transportation</x:v>
      </x:c>
      <x:c r="E10479" s="13" t="str">
        <x:v>Transportation</x:v>
      </x:c>
      <x:c r="F10479" s="13" t="str">
        <x:v>Deep Cyclicals</x:v>
      </x:c>
      <x:c r="G10479" s="13" t="str">
        <x:v>grid_wbaxp5t0.xlsx</x:v>
      </x:c>
    </x:row>
    <x:row r="10480">
      <x:c r="A10480" s="15" t="n">
        <x:v>44958</x:v>
      </x:c>
      <x:c r="B10480" s="13" t="str">
        <x:v>AXIA ENERGIA SA</x:v>
      </x:c>
      <x:c r="C10480" s="16" t="n">
        <x:v>7732.9206473443</x:v>
      </x:c>
      <x:c r="D10480" s="13" t="str">
        <x:v>Utilities &amp; Energy</x:v>
      </x:c>
      <x:c r="E10480" s="13" t="str">
        <x:v>Utilities</x:v>
      </x:c>
      <x:c r="F10480" s="13" t="str">
        <x:v>Defensives</x:v>
      </x:c>
      <x:c r="G10480" s="13" t="str">
        <x:v>grid_wbaxp5t0.xlsx</x:v>
      </x:c>
    </x:row>
    <x:row r="10481">
      <x:c r="A10481" s="15" t="n">
        <x:v>44958</x:v>
      </x:c>
      <x:c r="B10481" s="13" t="str">
        <x:v>AXIA ENERGIA-PR B</x:v>
      </x:c>
      <x:c r="C10481" s="16" t="n">
        <x:v>7732.9206473443</x:v>
      </x:c>
      <x:c r="D10481" s="13" t="str">
        <x:v>Utilities &amp; Energy</x:v>
      </x:c>
      <x:c r="E10481" s="13" t="str">
        <x:v>Utilities</x:v>
      </x:c>
      <x:c r="F10481" s="13" t="str">
        <x:v>Defensives</x:v>
      </x:c>
      <x:c r="G10481" s="13" t="str">
        <x:v>grid_wbaxp5t0.xlsx</x:v>
      </x:c>
    </x:row>
    <x:row r="10482">
      <x:c r="A10482" s="15" t="n">
        <x:v>44958</x:v>
      </x:c>
      <x:c r="B10482" s="13" t="str">
        <x:v>CIA ENERGETICA MINAS GER-PRF</x:v>
      </x:c>
      <x:c r="C10482" s="16" t="n">
        <x:v>3822.4784744918</x:v>
      </x:c>
      <x:c r="D10482" s="13" t="str">
        <x:v>Utilities &amp; Energy</x:v>
      </x:c>
      <x:c r="E10482" s="13" t="str">
        <x:v>Utilities</x:v>
      </x:c>
      <x:c r="F10482" s="13" t="str">
        <x:v>Defensives</x:v>
      </x:c>
      <x:c r="G10482" s="13" t="str">
        <x:v>grid_wbaxp5t0.xlsx</x:v>
      </x:c>
    </x:row>
    <x:row r="10483">
      <x:c r="A10483" s="15" t="n">
        <x:v>44958</x:v>
      </x:c>
      <x:c r="B10483" s="13" t="str">
        <x:v>COMPANHIA PARANAENSE -PREF B</x:v>
      </x:c>
      <x:c r="C10483" s="16" t="n">
        <x:v>2447.2048807869</x:v>
      </x:c>
      <x:c r="D10483" s="13" t="str">
        <x:v>Utilities &amp; Energy</x:v>
      </x:c>
      <x:c r="E10483" s="13" t="str">
        <x:v>Utilities</x:v>
      </x:c>
      <x:c r="F10483" s="13" t="str">
        <x:v>Defensives</x:v>
      </x:c>
      <x:c r="G10483" s="13" t="str">
        <x:v>grid_wbaxp5t0.xlsx</x:v>
      </x:c>
    </x:row>
    <x:row r="10484">
      <x:c r="A10484" s="15" t="n">
        <x:v>44958</x:v>
      </x:c>
      <x:c r="B10484" s="13" t="str">
        <x:v>CPFL ENERGIA SA</x:v>
      </x:c>
      <x:c r="C10484" s="16" t="n">
        <x:v>4487.36</x:v>
      </x:c>
      <x:c r="D10484" s="13" t="str">
        <x:v>Utilities &amp; Energy</x:v>
      </x:c>
      <x:c r="E10484" s="13" t="str">
        <x:v>Utilities</x:v>
      </x:c>
      <x:c r="F10484" s="13" t="str">
        <x:v>Defensives</x:v>
      </x:c>
      <x:c r="G10484" s="13" t="str">
        <x:v>grid_wbaxp5t0.xlsx</x:v>
      </x:c>
    </x:row>
    <x:row r="10485">
      <x:c r="A10485" s="15" t="n">
        <x:v>44958</x:v>
      </x:c>
      <x:c r="B10485" s="13" t="str">
        <x:v>EDP - ENERGIAS DO BRASIL SA</x:v>
      </x:c>
      <x:c r="C10485" s="16" t="n">
        <x:v>1468.5878956066</x:v>
      </x:c>
      <x:c r="D10485" s="13" t="str">
        <x:v>Utilities &amp; Energy</x:v>
      </x:c>
      <x:c r="E10485" s="13" t="str">
        <x:v>Utilities</x:v>
      </x:c>
      <x:c r="F10485" s="13" t="str">
        <x:v>Defensives</x:v>
      </x:c>
      <x:c r="G10485" s="13" t="str">
        <x:v>grid_wbaxp5t0.xlsx</x:v>
      </x:c>
    </x:row>
    <x:row r="10486">
      <x:c r="A10486" s="15" t="n">
        <x:v>44958</x:v>
      </x:c>
      <x:c r="B10486" s="13" t="str">
        <x:v>ENERGISA SA-UNITS</x:v>
      </x:c>
      <x:c r="C10486" s="16" t="n">
        <x:v>1702.3350767213</x:v>
      </x:c>
      <x:c r="D10486" s="13" t="str">
        <x:v>Utilities &amp; Energy</x:v>
      </x:c>
      <x:c r="E10486" s="13" t="str">
        <x:v>Utilities</x:v>
      </x:c>
      <x:c r="F10486" s="13" t="str">
        <x:v>Defensives</x:v>
      </x:c>
      <x:c r="G10486" s="13" t="str">
        <x:v>grid_wbaxp5t0.xlsx</x:v>
      </x:c>
    </x:row>
    <x:row r="10487">
      <x:c r="A10487" s="15" t="n">
        <x:v>44958</x:v>
      </x:c>
      <x:c r="B10487" s="13" t="str">
        <x:v>ENEVA SA</x:v>
      </x:c>
      <x:c r="C10487" s="16" t="n">
        <x:v>1097.8931042623</x:v>
      </x:c>
      <x:c r="D10487" s="13" t="str">
        <x:v>Utilities &amp; Energy</x:v>
      </x:c>
      <x:c r="E10487" s="13" t="str">
        <x:v>Utilities</x:v>
      </x:c>
      <x:c r="F10487" s="13" t="str">
        <x:v>Defensives</x:v>
      </x:c>
      <x:c r="G10487" s="13" t="str">
        <x:v>grid_wbaxp5t0.xlsx</x:v>
      </x:c>
    </x:row>
    <x:row r="10488">
      <x:c r="A10488" s="15" t="n">
        <x:v>44958</x:v>
      </x:c>
      <x:c r="B10488" s="13" t="str">
        <x:v>ENGIE BRASIL ENERGIA SA</x:v>
      </x:c>
      <x:c r="C10488" s="16" t="n">
        <x:v>3479.3405691803</x:v>
      </x:c>
      <x:c r="D10488" s="13" t="str">
        <x:v>Utilities &amp; Energy</x:v>
      </x:c>
      <x:c r="E10488" s="13" t="str">
        <x:v>Utilities</x:v>
      </x:c>
      <x:c r="F10488" s="13" t="str">
        <x:v>Defensives</x:v>
      </x:c>
      <x:c r="G10488" s="13" t="str">
        <x:v>grid_wbaxp5t0.xlsx</x:v>
      </x:c>
    </x:row>
    <x:row r="10489">
      <x:c r="A10489" s="15" t="n">
        <x:v>44958</x:v>
      </x:c>
      <x:c r="B10489" s="13" t="str">
        <x:v>EQUATORIAL SA - ORD</x:v>
      </x:c>
      <x:c r="C10489" s="16" t="n">
        <x:v>2540.0880598033</x:v>
      </x:c>
      <x:c r="D10489" s="13" t="str">
        <x:v>Utilities &amp; Energy</x:v>
      </x:c>
      <x:c r="E10489" s="13" t="str">
        <x:v>Utilities</x:v>
      </x:c>
      <x:c r="F10489" s="13" t="str">
        <x:v>Defensives</x:v>
      </x:c>
      <x:c r="G10489" s="13" t="str">
        <x:v>grid_wbaxp5t0.xlsx</x:v>
      </x:c>
    </x:row>
    <x:row r="10490">
      <x:c r="A10490" s="15" t="n">
        <x:v>44958</x:v>
      </x:c>
      <x:c r="B10490" s="13" t="str">
        <x:v>TRANSMISSORA ALIANCA DE-UNIT</x:v>
      </x:c>
      <x:c r="C10490" s="16" t="n">
        <x:v>1214.899968</x:v>
      </x:c>
      <x:c r="D10490" s="13" t="str">
        <x:v>Utilities &amp; Energy</x:v>
      </x:c>
      <x:c r="E10490" s="13" t="str">
        <x:v>Utilities</x:v>
      </x:c>
      <x:c r="F10490" s="13" t="str">
        <x:v>Defensives</x:v>
      </x:c>
      <x:c r="G10490" s="13" t="str">
        <x:v>grid_wbaxp5t0.xlsx</x:v>
      </x:c>
    </x:row>
    <x:row r="10491">
      <x:c r="A10491" s="15" t="n">
        <x:v>44986</x:v>
      </x:c>
      <x:c r="B10491" s="13" t="str">
        <x:v>RAIZEN SA - PREFERENCE</x:v>
      </x:c>
      <x:c r="C10491" s="16" t="n">
        <x:v>3938.500096</x:v>
      </x:c>
      <x:c r="D10491" s="13" t="str">
        <x:v>Agribusiness</x:v>
      </x:c>
      <x:c r="E10491" s="13" t="str">
        <x:v>Agri, Food &amp; Beverages</x:v>
      </x:c>
      <x:c r="F10491" s="13" t="str">
        <x:v>Defensives</x:v>
      </x:c>
      <x:c r="G10491" s="13" t="str">
        <x:v>grid_wbaxp5t0.xlsx</x:v>
      </x:c>
    </x:row>
    <x:row r="10492">
      <x:c r="A10492" s="15" t="n">
        <x:v>44986</x:v>
      </x:c>
      <x:c r="B10492" s="13" t="str">
        <x:v>SAO MARTINHO SA</x:v>
      </x:c>
      <x:c r="C10492" s="16" t="n">
        <x:v>1382.429952</x:v>
      </x:c>
      <x:c r="D10492" s="13" t="str">
        <x:v>Agribusiness</x:v>
      </x:c>
      <x:c r="E10492" s="13" t="str">
        <x:v>Agri, Food &amp; Beverages</x:v>
      </x:c>
      <x:c r="F10492" s="13" t="str">
        <x:v>Defensives</x:v>
      </x:c>
      <x:c r="G10492" s="13" t="str">
        <x:v>grid_wbaxp5t0.xlsx</x:v>
      </x:c>
    </x:row>
    <x:row r="10493">
      <x:c r="A10493" s="15" t="n">
        <x:v>44986</x:v>
      </x:c>
      <x:c r="B10493" s="13" t="str">
        <x:v>SLC AGRICOLA SA</x:v>
      </x:c>
      <x:c r="C10493" s="16" t="n">
        <x:v>1428.1474951694</x:v>
      </x:c>
      <x:c r="D10493" s="13" t="str">
        <x:v>Agribusiness</x:v>
      </x:c>
      <x:c r="E10493" s="13" t="str">
        <x:v>Agri, Food &amp; Beverages</x:v>
      </x:c>
      <x:c r="F10493" s="13" t="str">
        <x:v>Defensives</x:v>
      </x:c>
      <x:c r="G10493" s="13" t="str">
        <x:v>grid_wbaxp5t0.xlsx</x:v>
      </x:c>
    </x:row>
    <x:row r="10494">
      <x:c r="A10494" s="15" t="n">
        <x:v>44986</x:v>
      </x:c>
      <x:c r="B10494" s="13" t="str">
        <x:v>BANCO BRADESCO S.A.</x:v>
      </x:c>
      <x:c r="C10494" s="16" t="n">
        <x:v>22822.0251992131</x:v>
      </x:c>
      <x:c r="D10494" s="13" t="str">
        <x:v>Banks</x:v>
      </x:c>
      <x:c r="E10494" s="13" t="str">
        <x:v>Banks</x:v>
      </x:c>
      <x:c r="F10494" s="13" t="str">
        <x:v>Financials</x:v>
      </x:c>
      <x:c r="G10494" s="13" t="str">
        <x:v>grid_wbaxp5t0.xlsx</x:v>
      </x:c>
    </x:row>
    <x:row r="10495">
      <x:c r="A10495" s="15" t="n">
        <x:v>44986</x:v>
      </x:c>
      <x:c r="B10495" s="13" t="str">
        <x:v>BANCO BRADESCO SA-PREF</x:v>
      </x:c>
      <x:c r="C10495" s="16" t="n">
        <x:v>22822.0251992131</x:v>
      </x:c>
      <x:c r="D10495" s="13" t="str">
        <x:v>Banks</x:v>
      </x:c>
      <x:c r="E10495" s="13" t="str">
        <x:v>Banks</x:v>
      </x:c>
      <x:c r="F10495" s="13" t="str">
        <x:v>Financials</x:v>
      </x:c>
      <x:c r="G10495" s="13" t="str">
        <x:v>grid_wbaxp5t0.xlsx</x:v>
      </x:c>
    </x:row>
    <x:row r="10496">
      <x:c r="A10496" s="15" t="n">
        <x:v>44986</x:v>
      </x:c>
      <x:c r="B10496" s="13" t="str">
        <x:v>BANCO BTG PACTUAL SA-UNIT</x:v>
      </x:c>
      <x:c r="C10496" s="16" t="n">
        <x:v>9786.1413602623</x:v>
      </x:c>
      <x:c r="D10496" s="13" t="str">
        <x:v>Banks</x:v>
      </x:c>
      <x:c r="E10496" s="13" t="str">
        <x:v>Banks</x:v>
      </x:c>
      <x:c r="F10496" s="13" t="str">
        <x:v>Financials</x:v>
      </x:c>
      <x:c r="G10496" s="13" t="str">
        <x:v>grid_wbaxp5t0.xlsx</x:v>
      </x:c>
    </x:row>
    <x:row r="10497">
      <x:c r="A10497" s="15" t="n">
        <x:v>44986</x:v>
      </x:c>
      <x:c r="B10497" s="13" t="str">
        <x:v>BANCO DO BRASIL S.A.</x:v>
      </x:c>
      <x:c r="C10497" s="16" t="n">
        <x:v>34366.003832306</x:v>
      </x:c>
      <x:c r="D10497" s="13" t="str">
        <x:v>Banks</x:v>
      </x:c>
      <x:c r="E10497" s="13" t="str">
        <x:v>Banks</x:v>
      </x:c>
      <x:c r="F10497" s="13" t="str">
        <x:v>Financials</x:v>
      </x:c>
      <x:c r="G10497" s="13" t="str">
        <x:v>grid_wbaxp5t0.xlsx</x:v>
      </x:c>
    </x:row>
    <x:row r="10498">
      <x:c r="A10498" s="15" t="n">
        <x:v>44986</x:v>
      </x:c>
      <x:c r="B10498" s="13" t="str">
        <x:v>BANCO PAN SA</x:v>
      </x:c>
      <x:c r="C10498" s="16" t="n">
        <x:v>1104.2339416831</x:v>
      </x:c>
      <x:c r="D10498" s="13" t="str">
        <x:v>Banks</x:v>
      </x:c>
      <x:c r="E10498" s="13" t="str">
        <x:v>Banks</x:v>
      </x:c>
      <x:c r="F10498" s="13" t="str">
        <x:v>Financials</x:v>
      </x:c>
      <x:c r="G10498" s="13" t="str">
        <x:v>grid_wbaxp5t0.xlsx</x:v>
      </x:c>
    </x:row>
    <x:row r="10499">
      <x:c r="A10499" s="15" t="n">
        <x:v>44986</x:v>
      </x:c>
      <x:c r="B10499" s="13" t="str">
        <x:v>BANCO SANTANDER  BRASIL-UNIT</x:v>
      </x:c>
      <x:c r="C10499" s="16" t="n">
        <x:v>13828.6437224918</x:v>
      </x:c>
      <x:c r="D10499" s="13" t="str">
        <x:v>Banks</x:v>
      </x:c>
      <x:c r="E10499" s="13" t="str">
        <x:v>Banks</x:v>
      </x:c>
      <x:c r="F10499" s="13" t="str">
        <x:v>Financials</x:v>
      </x:c>
      <x:c r="G10499" s="13" t="str">
        <x:v>grid_wbaxp5t0.xlsx</x:v>
      </x:c>
    </x:row>
    <x:row r="10500">
      <x:c r="A10500" s="15" t="n">
        <x:v>44986</x:v>
      </x:c>
      <x:c r="B10500" s="13" t="str">
        <x:v>ITAU UNIBANCO HOLDING S-PREF</x:v>
      </x:c>
      <x:c r="C10500" s="16" t="n">
        <x:v>36219.1896285027</x:v>
      </x:c>
      <x:c r="D10500" s="13" t="str">
        <x:v>Banks</x:v>
      </x:c>
      <x:c r="E10500" s="13" t="str">
        <x:v>Banks</x:v>
      </x:c>
      <x:c r="F10500" s="13" t="str">
        <x:v>Financials</x:v>
      </x:c>
      <x:c r="G10500" s="13" t="str">
        <x:v>grid_wbaxp5t0.xlsx</x:v>
      </x:c>
    </x:row>
    <x:row r="10501">
      <x:c r="A10501" s="15" t="n">
        <x:v>44986</x:v>
      </x:c>
      <x:c r="B10501" s="13" t="str">
        <x:v>EMBRAER SA</x:v>
      </x:c>
      <x:c r="C10501" s="16" t="n">
        <x:v>860.969347847</x:v>
      </x:c>
      <x:c r="D10501" s="13" t="str">
        <x:v>Capital Goods</x:v>
      </x:c>
      <x:c r="E10501" s="13" t="str">
        <x:v>Capital Goods</x:v>
      </x:c>
      <x:c r="F10501" s="13" t="str">
        <x:v>Deep Cyclicals</x:v>
      </x:c>
      <x:c r="G10501" s="13" t="str">
        <x:v>grid_wbaxp5t0.xlsx</x:v>
      </x:c>
    </x:row>
    <x:row r="10502">
      <x:c r="A10502" s="15" t="n">
        <x:v>44986</x:v>
      </x:c>
      <x:c r="B10502" s="13" t="str">
        <x:v>WEG SA</x:v>
      </x:c>
      <x:c r="C10502" s="16" t="n">
        <x:v>5257.2967099454</x:v>
      </x:c>
      <x:c r="D10502" s="13" t="str">
        <x:v>Capital Goods</x:v>
      </x:c>
      <x:c r="E10502" s="13" t="str">
        <x:v>Capital Goods</x:v>
      </x:c>
      <x:c r="F10502" s="13" t="str">
        <x:v>Deep Cyclicals</x:v>
      </x:c>
      <x:c r="G10502" s="13" t="str">
        <x:v>grid_wbaxp5t0.xlsx</x:v>
      </x:c>
    </x:row>
    <x:row r="10503">
      <x:c r="A10503" s="15" t="n">
        <x:v>44986</x:v>
      </x:c>
      <x:c r="B10503" s="13" t="str">
        <x:v>COGNA EDUCACAO</x:v>
      </x:c>
      <x:c r="C10503" s="16" t="n">
        <x:v>-13.5327657705</x:v>
      </x:c>
      <x:c r="D10503" s="13" t="str">
        <x:v>Education</x:v>
      </x:c>
      <x:c r="E10503" s="13" t="str">
        <x:v>Education</x:v>
      </x:c>
      <x:c r="F10503" s="13" t="str">
        <x:v>Early Cyclicals</x:v>
      </x:c>
      <x:c r="G10503" s="13" t="str">
        <x:v>grid_wbaxp5t0.xlsx</x:v>
      </x:c>
    </x:row>
    <x:row r="10504">
      <x:c r="A10504" s="15" t="n">
        <x:v>44986</x:v>
      </x:c>
      <x:c r="B10504" s="13" t="str">
        <x:v>YDUQS PARTICIPACOES SA</x:v>
      </x:c>
      <x:c r="C10504" s="16" t="n">
        <x:v>246.659860459</x:v>
      </x:c>
      <x:c r="D10504" s="13" t="str">
        <x:v>Education</x:v>
      </x:c>
      <x:c r="E10504" s="13" t="str">
        <x:v>Education</x:v>
      </x:c>
      <x:c r="F10504" s="13" t="str">
        <x:v>Early Cyclicals</x:v>
      </x:c>
      <x:c r="G10504" s="13" t="str">
        <x:v>grid_wbaxp5t0.xlsx</x:v>
      </x:c>
    </x:row>
    <x:row r="10505">
      <x:c r="A10505" s="15" t="n">
        <x:v>44986</x:v>
      </x:c>
      <x:c r="B10505" s="13" t="str">
        <x:v>B3 SA-BRASIL BOLSA BALCAO</x:v>
      </x:c>
      <x:c r="C10505" s="16" t="n">
        <x:v>4937.4242888743</x:v>
      </x:c>
      <x:c r="D10505" s="13" t="str">
        <x:v>Financials Non-Banks</x:v>
      </x:c>
      <x:c r="E10505" s="13" t="str">
        <x:v>Financials Non-Banks</x:v>
      </x:c>
      <x:c r="F10505" s="13" t="str">
        <x:v>Financials</x:v>
      </x:c>
      <x:c r="G10505" s="13" t="str">
        <x:v>grid_wbaxp5t0.xlsx</x:v>
      </x:c>
    </x:row>
    <x:row r="10506">
      <x:c r="A10506" s="15" t="n">
        <x:v>44986</x:v>
      </x:c>
      <x:c r="B10506" s="13" t="str">
        <x:v>BB SEGURIDADE PARTICIPACOES</x:v>
      </x:c>
      <x:c r="C10506" s="16" t="n">
        <x:v>7240.657031694</x:v>
      </x:c>
      <x:c r="D10506" s="13" t="str">
        <x:v>Financials Non-Banks</x:v>
      </x:c>
      <x:c r="E10506" s="13" t="str">
        <x:v>Financials Non-Banks</x:v>
      </x:c>
      <x:c r="F10506" s="13" t="str">
        <x:v>Financials</x:v>
      </x:c>
      <x:c r="G10506" s="13" t="str">
        <x:v>grid_wbaxp5t0.xlsx</x:v>
      </x:c>
    </x:row>
    <x:row r="10507">
      <x:c r="A10507" s="15" t="n">
        <x:v>44986</x:v>
      </x:c>
      <x:c r="B10507" s="13" t="str">
        <x:v>CIELO SA - INSTITUICAO DE PA</x:v>
      </x:c>
      <x:c r="C10507" s="16" t="n">
        <x:v>1914.5054324809</x:v>
      </x:c>
      <x:c r="D10507" s="13" t="str">
        <x:v>Financials Non-Banks</x:v>
      </x:c>
      <x:c r="E10507" s="13" t="str">
        <x:v>Financials Non-Banks</x:v>
      </x:c>
      <x:c r="F10507" s="13" t="str">
        <x:v>Financials</x:v>
      </x:c>
      <x:c r="G10507" s="13" t="str">
        <x:v>grid_wbaxp5t0.xlsx</x:v>
      </x:c>
    </x:row>
    <x:row r="10508">
      <x:c r="A10508" s="15" t="n">
        <x:v>44986</x:v>
      </x:c>
      <x:c r="B10508" s="13" t="str">
        <x:v>ITAUSA SA</x:v>
      </x:c>
      <x:c r="C10508" s="16" t="n">
        <x:v>13428.1941808962</x:v>
      </x:c>
      <x:c r="D10508" s="13" t="str">
        <x:v>Financials Non-Banks</x:v>
      </x:c>
      <x:c r="E10508" s="13" t="str">
        <x:v>Financials Non-Banks</x:v>
      </x:c>
      <x:c r="F10508" s="13" t="str">
        <x:v>Financials</x:v>
      </x:c>
      <x:c r="G10508" s="13" t="str">
        <x:v>grid_wbaxp5t0.xlsx</x:v>
      </x:c>
    </x:row>
    <x:row r="10509">
      <x:c r="A10509" s="15" t="n">
        <x:v>44986</x:v>
      </x:c>
      <x:c r="B10509" s="13" t="str">
        <x:v>MELIUZ SA - ON</x:v>
      </x:c>
      <x:c r="C10509" s="16" t="n">
        <x:v>8.4788934426</x:v>
      </x:c>
      <x:c r="D10509" s="13" t="str">
        <x:v>Financials Non-Banks</x:v>
      </x:c>
      <x:c r="E10509" s="13" t="str">
        <x:v>Financials Non-Banks</x:v>
      </x:c>
      <x:c r="F10509" s="13" t="str">
        <x:v>Financials</x:v>
      </x:c>
      <x:c r="G10509" s="13" t="str">
        <x:v>grid_wbaxp5t0.xlsx</x:v>
      </x:c>
    </x:row>
    <x:row r="10510">
      <x:c r="A10510" s="15" t="n">
        <x:v>44986</x:v>
      </x:c>
      <x:c r="B10510" s="13" t="str">
        <x:v>AMBEV SA</x:v>
      </x:c>
      <x:c r="C10510" s="16" t="n">
        <x:v>14225.363380459</x:v>
      </x:c>
      <x:c r="D10510" s="13" t="str">
        <x:v>Food &amp; Beverages</x:v>
      </x:c>
      <x:c r="E10510" s="13" t="str">
        <x:v>Agri, Food &amp; Beverages</x:v>
      </x:c>
      <x:c r="F10510" s="13" t="str">
        <x:v>Defensives</x:v>
      </x:c>
      <x:c r="G10510" s="13" t="str">
        <x:v>grid_wbaxp5t0.xlsx</x:v>
      </x:c>
    </x:row>
    <x:row r="10511">
      <x:c r="A10511" s="15" t="n">
        <x:v>44986</x:v>
      </x:c>
      <x:c r="B10511" s="13" t="str">
        <x:v>BRF SA</x:v>
      </x:c>
      <x:c r="C10511" s="16" t="n">
        <x:v>199.526786765</x:v>
      </x:c>
      <x:c r="D10511" s="13" t="str">
        <x:v>Food &amp; Beverages</x:v>
      </x:c>
      <x:c r="E10511" s="13" t="str">
        <x:v>Agri, Food &amp; Beverages</x:v>
      </x:c>
      <x:c r="F10511" s="13" t="str">
        <x:v>Defensives</x:v>
      </x:c>
      <x:c r="G10511" s="13" t="str">
        <x:v>grid_wbaxp5t0.xlsx</x:v>
      </x:c>
    </x:row>
    <x:row r="10512">
      <x:c r="A10512" s="15" t="n">
        <x:v>44986</x:v>
      </x:c>
      <x:c r="B10512" s="13" t="str">
        <x:v>MBRF GLOBAL FOODS COMPANY SA</x:v>
      </x:c>
      <x:c r="C10512" s="16" t="n">
        <x:v>971.8009442623</x:v>
      </x:c>
      <x:c r="D10512" s="13" t="str">
        <x:v>Food &amp; Beverages</x:v>
      </x:c>
      <x:c r="E10512" s="13" t="str">
        <x:v>Agri, Food &amp; Beverages</x:v>
      </x:c>
      <x:c r="F10512" s="13" t="str">
        <x:v>Defensives</x:v>
      </x:c>
      <x:c r="G10512" s="13" t="str">
        <x:v>grid_wbaxp5t0.xlsx</x:v>
      </x:c>
    </x:row>
    <x:row r="10513">
      <x:c r="A10513" s="15" t="n">
        <x:v>44986</x:v>
      </x:c>
      <x:c r="B10513" s="13" t="str">
        <x:v>MINERVA SA</x:v>
      </x:c>
      <x:c r="C10513" s="16" t="n">
        <x:v>1153.6008575301</x:v>
      </x:c>
      <x:c r="D10513" s="13" t="str">
        <x:v>Food &amp; Beverages</x:v>
      </x:c>
      <x:c r="E10513" s="13" t="str">
        <x:v>Agri, Food &amp; Beverages</x:v>
      </x:c>
      <x:c r="F10513" s="13" t="str">
        <x:v>Defensives</x:v>
      </x:c>
      <x:c r="G10513" s="13" t="str">
        <x:v>grid_wbaxp5t0.xlsx</x:v>
      </x:c>
    </x:row>
    <x:row r="10514">
      <x:c r="A10514" s="15" t="n">
        <x:v>44986</x:v>
      </x:c>
      <x:c r="B10514" s="13" t="str">
        <x:v>FLEURY SA</x:v>
      </x:c>
      <x:c r="C10514" s="16" t="n">
        <x:v>387.9389967213</x:v>
      </x:c>
      <x:c r="D10514" s="13" t="str">
        <x:v>Health Care</x:v>
      </x:c>
      <x:c r="E10514" s="13" t="str">
        <x:v>Health Care</x:v>
      </x:c>
      <x:c r="F10514" s="13" t="str">
        <x:v>Defensives</x:v>
      </x:c>
      <x:c r="G10514" s="13" t="str">
        <x:v>grid_wbaxp5t0.xlsx</x:v>
      </x:c>
    </x:row>
    <x:row r="10515">
      <x:c r="A10515" s="15" t="n">
        <x:v>44986</x:v>
      </x:c>
      <x:c r="B10515" s="13" t="str">
        <x:v>HAPVIDA PARTICIPACOES E INVE</x:v>
      </x:c>
      <x:c r="C10515" s="16" t="n">
        <x:v>343.060732</x:v>
      </x:c>
      <x:c r="D10515" s="13" t="str">
        <x:v>Health Care</x:v>
      </x:c>
      <x:c r="E10515" s="13" t="str">
        <x:v>Health Care</x:v>
      </x:c>
      <x:c r="F10515" s="13" t="str">
        <x:v>Defensives</x:v>
      </x:c>
      <x:c r="G10515" s="13" t="str">
        <x:v>grid_wbaxp5t0.xlsx</x:v>
      </x:c>
    </x:row>
    <x:row r="10516">
      <x:c r="A10516" s="15" t="n">
        <x:v>44986</x:v>
      </x:c>
      <x:c r="B10516" s="13" t="str">
        <x:v>HYPERA SA</x:v>
      </x:c>
      <x:c r="C10516" s="16" t="n">
        <x:v>2000.119710776</x:v>
      </x:c>
      <x:c r="D10516" s="13" t="str">
        <x:v>Health Care</x:v>
      </x:c>
      <x:c r="E10516" s="13" t="str">
        <x:v>Health Care</x:v>
      </x:c>
      <x:c r="F10516" s="13" t="str">
        <x:v>Defensives</x:v>
      </x:c>
      <x:c r="G10516" s="13" t="str">
        <x:v>grid_wbaxp5t0.xlsx</x:v>
      </x:c>
    </x:row>
    <x:row r="10517">
      <x:c r="A10517" s="15" t="n">
        <x:v>44986</x:v>
      </x:c>
      <x:c r="B10517" s="13" t="str">
        <x:v>QUALICORP CONS E CORR SEG SA</x:v>
      </x:c>
      <x:c r="C10517" s="16" t="n">
        <x:v>153.9857133115</x:v>
      </x:c>
      <x:c r="D10517" s="13" t="str">
        <x:v>Health Care</x:v>
      </x:c>
      <x:c r="E10517" s="13" t="str">
        <x:v>Health Care</x:v>
      </x:c>
      <x:c r="F10517" s="13" t="str">
        <x:v>Defensives</x:v>
      </x:c>
      <x:c r="G10517" s="13" t="str">
        <x:v>grid_wbaxp5t0.xlsx</x:v>
      </x:c>
    </x:row>
    <x:row r="10518">
      <x:c r="A10518" s="15" t="n">
        <x:v>44986</x:v>
      </x:c>
      <x:c r="B10518" s="13" t="str">
        <x:v>REDE D'OR SAO LUIZ SA</x:v>
      </x:c>
      <x:c r="C10518" s="16" t="n">
        <x:v>2606.5788670601</x:v>
      </x:c>
      <x:c r="D10518" s="13" t="str">
        <x:v>Health Care</x:v>
      </x:c>
      <x:c r="E10518" s="13" t="str">
        <x:v>Health Care</x:v>
      </x:c>
      <x:c r="F10518" s="13" t="str">
        <x:v>Defensives</x:v>
      </x:c>
      <x:c r="G10518" s="13" t="str">
        <x:v>grid_wbaxp5t0.xlsx</x:v>
      </x:c>
    </x:row>
    <x:row r="10519">
      <x:c r="A10519" s="15" t="n">
        <x:v>44986</x:v>
      </x:c>
      <x:c r="B10519" s="13" t="str">
        <x:v>CYRELA BRAZIL REALTY SA EMP</x:v>
      </x:c>
      <x:c r="C10519" s="16" t="n">
        <x:v>907.143127082</x:v>
      </x:c>
      <x:c r="D10519" s="13" t="str">
        <x:v>Homebuilders</x:v>
      </x:c>
      <x:c r="E10519" s="13" t="str">
        <x:v>Real Estate</x:v>
      </x:c>
      <x:c r="F10519" s="13" t="str">
        <x:v>Early Cyclicals</x:v>
      </x:c>
      <x:c r="G10519" s="13" t="str">
        <x:v>grid_wbaxp5t0.xlsx</x:v>
      </x:c>
    </x:row>
    <x:row r="10520">
      <x:c r="A10520" s="15" t="n">
        <x:v>44986</x:v>
      </x:c>
      <x:c r="B10520" s="13" t="str">
        <x:v>EZ TEC EMPREENDIMENTOS E PAR</x:v>
      </x:c>
      <x:c r="C10520" s="16" t="n">
        <x:v>403.8692</x:v>
      </x:c>
      <x:c r="D10520" s="13" t="str">
        <x:v>Homebuilders</x:v>
      </x:c>
      <x:c r="E10520" s="13" t="str">
        <x:v>Real Estate</x:v>
      </x:c>
      <x:c r="F10520" s="13" t="str">
        <x:v>Early Cyclicals</x:v>
      </x:c>
      <x:c r="G10520" s="13" t="str">
        <x:v>grid_wbaxp5t0.xlsx</x:v>
      </x:c>
    </x:row>
    <x:row r="10521">
      <x:c r="A10521" s="15" t="n">
        <x:v>44986</x:v>
      </x:c>
      <x:c r="B10521" s="13" t="str">
        <x:v>MRV ENGENHARIA</x:v>
      </x:c>
      <x:c r="C10521" s="16" t="n">
        <x:v>482.908311082</x:v>
      </x:c>
      <x:c r="D10521" s="13" t="str">
        <x:v>Homebuilders</x:v>
      </x:c>
      <x:c r="E10521" s="13" t="str">
        <x:v>Real Estate</x:v>
      </x:c>
      <x:c r="F10521" s="13" t="str">
        <x:v>Early Cyclicals</x:v>
      </x:c>
      <x:c r="G10521" s="13" t="str">
        <x:v>grid_wbaxp5t0.xlsx</x:v>
      </x:c>
    </x:row>
    <x:row r="10522">
      <x:c r="A10522" s="15" t="n">
        <x:v>44986</x:v>
      </x:c>
      <x:c r="B10522" s="13" t="str">
        <x:v>ALLOS SA</x:v>
      </x:c>
      <x:c r="C10522" s="16" t="n">
        <x:v>810.9579978142</x:v>
      </x:c>
      <x:c r="D10522" s="13" t="str">
        <x:v>Income Properties</x:v>
      </x:c>
      <x:c r="E10522" s="13" t="str">
        <x:v>Real Estate</x:v>
      </x:c>
      <x:c r="F10522" s="13" t="str">
        <x:v>Early Cyclicals</x:v>
      </x:c>
      <x:c r="G10522" s="13" t="str">
        <x:v>grid_wbaxp5t0.xlsx</x:v>
      </x:c>
    </x:row>
    <x:row r="10523">
      <x:c r="A10523" s="15" t="n">
        <x:v>44986</x:v>
      </x:c>
      <x:c r="B10523" s="13" t="str">
        <x:v>IGUATEMI SA - UNITS</x:v>
      </x:c>
      <x:c r="C10523" s="16" t="n">
        <x:v>370.6545449617</x:v>
      </x:c>
      <x:c r="D10523" s="13" t="str">
        <x:v>Income Properties</x:v>
      </x:c>
      <x:c r="E10523" s="13" t="str">
        <x:v>Real Estate</x:v>
      </x:c>
      <x:c r="F10523" s="13" t="str">
        <x:v>Early Cyclicals</x:v>
      </x:c>
      <x:c r="G10523" s="13" t="str">
        <x:v>grid_wbaxp5t0.xlsx</x:v>
      </x:c>
    </x:row>
    <x:row r="10524">
      <x:c r="A10524" s="15" t="n">
        <x:v>44986</x:v>
      </x:c>
      <x:c r="B10524" s="13" t="str">
        <x:v>MULTIPLAN EMPREENDIMENTOS</x:v>
      </x:c>
      <x:c r="C10524" s="16" t="n">
        <x:v>905.9460065574</x:v>
      </x:c>
      <x:c r="D10524" s="13" t="str">
        <x:v>Income Properties</x:v>
      </x:c>
      <x:c r="E10524" s="13" t="str">
        <x:v>Real Estate</x:v>
      </x:c>
      <x:c r="F10524" s="13" t="str">
        <x:v>Early Cyclicals</x:v>
      </x:c>
      <x:c r="G10524" s="13" t="str">
        <x:v>grid_wbaxp5t0.xlsx</x:v>
      </x:c>
    </x:row>
    <x:row r="10525">
      <x:c r="A10525" s="15" t="n">
        <x:v>44986</x:v>
      </x:c>
      <x:c r="B10525" s="13" t="str">
        <x:v>BRADESPAR SA -PREF</x:v>
      </x:c>
      <x:c r="C10525" s="16" t="n">
        <x:v>1994.2773945355</x:v>
      </x:c>
      <x:c r="D10525" s="13" t="str">
        <x:v>Metals &amp; Mining</x:v>
      </x:c>
      <x:c r="E10525" s="13" t="str">
        <x:v>Metals &amp; Mining</x:v>
      </x:c>
      <x:c r="F10525" s="13" t="str">
        <x:v>Deep Cyclicals</x:v>
      </x:c>
      <x:c r="G10525" s="13" t="str">
        <x:v>grid_wbaxp5t0.xlsx</x:v>
      </x:c>
    </x:row>
    <x:row r="10526">
      <x:c r="A10526" s="15" t="n">
        <x:v>44986</x:v>
      </x:c>
      <x:c r="B10526" s="13" t="str">
        <x:v>CIA SIDERURGICA NACIONAL SA</x:v>
      </x:c>
      <x:c r="C10526" s="16" t="n">
        <x:v>3787.6482762842</x:v>
      </x:c>
      <x:c r="D10526" s="13" t="str">
        <x:v>Metals &amp; Mining</x:v>
      </x:c>
      <x:c r="E10526" s="13" t="str">
        <x:v>Metals &amp; Mining</x:v>
      </x:c>
      <x:c r="F10526" s="13" t="str">
        <x:v>Deep Cyclicals</x:v>
      </x:c>
      <x:c r="G10526" s="13" t="str">
        <x:v>grid_wbaxp5t0.xlsx</x:v>
      </x:c>
    </x:row>
    <x:row r="10527">
      <x:c r="A10527" s="15" t="n">
        <x:v>44986</x:v>
      </x:c>
      <x:c r="B10527" s="13" t="str">
        <x:v>CSN MINERACAO SA</x:v>
      </x:c>
      <x:c r="C10527" s="16" t="n">
        <x:v>2916.4489470601</x:v>
      </x:c>
      <x:c r="D10527" s="13" t="str">
        <x:v>Metals &amp; Mining</x:v>
      </x:c>
      <x:c r="E10527" s="13" t="str">
        <x:v>Metals &amp; Mining</x:v>
      </x:c>
      <x:c r="F10527" s="13" t="str">
        <x:v>Deep Cyclicals</x:v>
      </x:c>
      <x:c r="G10527" s="13" t="str">
        <x:v>grid_wbaxp5t0.xlsx</x:v>
      </x:c>
    </x:row>
    <x:row r="10528">
      <x:c r="A10528" s="15" t="n">
        <x:v>44986</x:v>
      </x:c>
      <x:c r="B10528" s="13" t="str">
        <x:v>GERDAU SA-PREF</x:v>
      </x:c>
      <x:c r="C10528" s="16" t="n">
        <x:v>7597.1030662295</x:v>
      </x:c>
      <x:c r="D10528" s="13" t="str">
        <x:v>Metals &amp; Mining</x:v>
      </x:c>
      <x:c r="E10528" s="13" t="str">
        <x:v>Metals &amp; Mining</x:v>
      </x:c>
      <x:c r="F10528" s="13" t="str">
        <x:v>Deep Cyclicals</x:v>
      </x:c>
      <x:c r="G10528" s="13" t="str">
        <x:v>grid_wbaxp5t0.xlsx</x:v>
      </x:c>
    </x:row>
    <x:row r="10529">
      <x:c r="A10529" s="15" t="n">
        <x:v>44986</x:v>
      </x:c>
      <x:c r="B10529" s="13" t="str">
        <x:v>USINAS SIDER MINAS GER-PF A</x:v>
      </x:c>
      <x:c r="C10529" s="16" t="n">
        <x:v>1253.2479227104</x:v>
      </x:c>
      <x:c r="D10529" s="13" t="str">
        <x:v>Metals &amp; Mining</x:v>
      </x:c>
      <x:c r="E10529" s="13" t="str">
        <x:v>Metals &amp; Mining</x:v>
      </x:c>
      <x:c r="F10529" s="13" t="str">
        <x:v>Deep Cyclicals</x:v>
      </x:c>
      <x:c r="G10529" s="13" t="str">
        <x:v>grid_wbaxp5t0.xlsx</x:v>
      </x:c>
    </x:row>
    <x:row r="10530">
      <x:c r="A10530" s="15" t="n">
        <x:v>44986</x:v>
      </x:c>
      <x:c r="B10530" s="13" t="str">
        <x:v>VALE SA</x:v>
      </x:c>
      <x:c r="C10530" s="16" t="n">
        <x:v>63217.1198810929</x:v>
      </x:c>
      <x:c r="D10530" s="13" t="str">
        <x:v>Metals &amp; Mining</x:v>
      </x:c>
      <x:c r="E10530" s="13" t="str">
        <x:v>Metals &amp; Mining</x:v>
      </x:c>
      <x:c r="F10530" s="13" t="str">
        <x:v>Deep Cyclicals</x:v>
      </x:c>
      <x:c r="G10530" s="13" t="str">
        <x:v>grid_wbaxp5t0.xlsx</x:v>
      </x:c>
    </x:row>
    <x:row r="10531">
      <x:c r="A10531" s="15" t="n">
        <x:v>44986</x:v>
      </x:c>
      <x:c r="B10531" s="13" t="str">
        <x:v>BRASKEM SA-PREF A</x:v>
      </x:c>
      <x:c r="C10531" s="16" t="n">
        <x:v>40.3173464918</x:v>
      </x:c>
      <x:c r="D10531" s="13" t="str">
        <x:v>Oil, Gas &amp; Petrochemicals</x:v>
      </x:c>
      <x:c r="E10531" s="13" t="str">
        <x:v>Oil, Gas &amp; Petrochemicals</x:v>
      </x:c>
      <x:c r="F10531" s="13" t="str">
        <x:v>Deep Cyclicals</x:v>
      </x:c>
      <x:c r="G10531" s="13" t="str">
        <x:v>grid_wbaxp5t0.xlsx</x:v>
      </x:c>
    </x:row>
    <x:row r="10532">
      <x:c r="A10532" s="15" t="n">
        <x:v>44986</x:v>
      </x:c>
      <x:c r="B10532" s="13" t="str">
        <x:v>BRAVA ENERGIA</x:v>
      </x:c>
      <x:c r="C10532" s="16" t="n">
        <x:v>2176.0874397377</x:v>
      </x:c>
      <x:c r="D10532" s="13" t="str">
        <x:v>Oil, Gas &amp; Petrochemicals</x:v>
      </x:c>
      <x:c r="E10532" s="13" t="str">
        <x:v>Oil, Gas &amp; Petrochemicals</x:v>
      </x:c>
      <x:c r="F10532" s="13" t="str">
        <x:v>Deep Cyclicals</x:v>
      </x:c>
      <x:c r="G10532" s="13" t="str">
        <x:v>grid_wbaxp5t0.xlsx</x:v>
      </x:c>
    </x:row>
    <x:row r="10533">
      <x:c r="A10533" s="15" t="n">
        <x:v>44986</x:v>
      </x:c>
      <x:c r="B10533" s="13" t="str">
        <x:v>COSAN SA</x:v>
      </x:c>
      <x:c r="C10533" s="16" t="n">
        <x:v>1656.336579847</x:v>
      </x:c>
      <x:c r="D10533" s="13" t="str">
        <x:v>Oil, Gas &amp; Petrochemicals</x:v>
      </x:c>
      <x:c r="E10533" s="13" t="str">
        <x:v>Oil, Gas &amp; Petrochemicals</x:v>
      </x:c>
      <x:c r="F10533" s="13" t="str">
        <x:v>Deep Cyclicals</x:v>
      </x:c>
      <x:c r="G10533" s="13" t="str">
        <x:v>grid_wbaxp5t0.xlsx</x:v>
      </x:c>
    </x:row>
    <x:row r="10534">
      <x:c r="A10534" s="15" t="n">
        <x:v>44986</x:v>
      </x:c>
      <x:c r="B10534" s="13" t="str">
        <x:v>PETROBRAS - PETROLEO BRAS</x:v>
      </x:c>
      <x:c r="C10534" s="16" t="n">
        <x:v>104620.700498536</x:v>
      </x:c>
      <x:c r="D10534" s="13" t="str">
        <x:v>Oil, Gas &amp; Petrochemicals</x:v>
      </x:c>
      <x:c r="E10534" s="13" t="str">
        <x:v>Oil, Gas &amp; Petrochemicals</x:v>
      </x:c>
      <x:c r="F10534" s="13" t="str">
        <x:v>Deep Cyclicals</x:v>
      </x:c>
      <x:c r="G10534" s="13" t="str">
        <x:v>grid_wbaxp5t0.xlsx</x:v>
      </x:c>
    </x:row>
    <x:row r="10535">
      <x:c r="A10535" s="15" t="n">
        <x:v>44986</x:v>
      </x:c>
      <x:c r="B10535" s="13" t="str">
        <x:v>PRIO SA</x:v>
      </x:c>
      <x:c r="C10535" s="16" t="n">
        <x:v>5632.0448279781</x:v>
      </x:c>
      <x:c r="D10535" s="13" t="str">
        <x:v>Oil, Gas &amp; Petrochemicals</x:v>
      </x:c>
      <x:c r="E10535" s="13" t="str">
        <x:v>Oil, Gas &amp; Petrochemicals</x:v>
      </x:c>
      <x:c r="F10535" s="13" t="str">
        <x:v>Deep Cyclicals</x:v>
      </x:c>
      <x:c r="G10535" s="13" t="str">
        <x:v>grid_wbaxp5t0.xlsx</x:v>
      </x:c>
    </x:row>
    <x:row r="10536">
      <x:c r="A10536" s="15" t="n">
        <x:v>44986</x:v>
      </x:c>
      <x:c r="B10536" s="13" t="str">
        <x:v>ULTRAPAR PARTICIPACOES SA</x:v>
      </x:c>
      <x:c r="C10536" s="16" t="n">
        <x:v>1151.0329421639</x:v>
      </x:c>
      <x:c r="D10536" s="13" t="str">
        <x:v>Oil, Gas &amp; Petrochemicals</x:v>
      </x:c>
      <x:c r="E10536" s="13" t="str">
        <x:v>Oil, Gas &amp; Petrochemicals</x:v>
      </x:c>
      <x:c r="F10536" s="13" t="str">
        <x:v>Deep Cyclicals</x:v>
      </x:c>
      <x:c r="G10536" s="13" t="str">
        <x:v>grid_wbaxp5t0.xlsx</x:v>
      </x:c>
    </x:row>
    <x:row r="10537">
      <x:c r="A10537" s="15" t="n">
        <x:v>44986</x:v>
      </x:c>
      <x:c r="B10537" s="13" t="str">
        <x:v>VIBRA ENERGIA SA</x:v>
      </x:c>
      <x:c r="C10537" s="16" t="n">
        <x:v>2102.1568066448</x:v>
      </x:c>
      <x:c r="D10537" s="13" t="str">
        <x:v>Oil, Gas &amp; Petrochemicals</x:v>
      </x:c>
      <x:c r="E10537" s="13" t="str">
        <x:v>Oil, Gas &amp; Petrochemicals</x:v>
      </x:c>
      <x:c r="F10537" s="13" t="str">
        <x:v>Deep Cyclicals</x:v>
      </x:c>
      <x:c r="G10537" s="13" t="str">
        <x:v>grid_wbaxp5t0.xlsx</x:v>
      </x:c>
    </x:row>
    <x:row r="10538">
      <x:c r="A10538" s="15" t="n">
        <x:v>44986</x:v>
      </x:c>
      <x:c r="B10538" s="13" t="str">
        <x:v>DEXCO SA</x:v>
      </x:c>
      <x:c r="C10538" s="16" t="n">
        <x:v>279.8812980109</x:v>
      </x:c>
      <x:c r="D10538" s="13" t="str">
        <x:v>Pulp &amp; Paper</x:v>
      </x:c>
      <x:c r="E10538" s="13" t="str">
        <x:v>Pulp &amp; Paper</x:v>
      </x:c>
      <x:c r="F10538" s="13" t="str">
        <x:v>Deep Cyclicals</x:v>
      </x:c>
      <x:c r="G10538" s="13" t="str">
        <x:v>grid_wbaxp5t0.xlsx</x:v>
      </x:c>
    </x:row>
    <x:row r="10539">
      <x:c r="A10539" s="15" t="n">
        <x:v>44986</x:v>
      </x:c>
      <x:c r="B10539" s="13" t="str">
        <x:v>KLABIN SA - UNIT</x:v>
      </x:c>
      <x:c r="C10539" s="16" t="n">
        <x:v>2638.1981754754</x:v>
      </x:c>
      <x:c r="D10539" s="13" t="str">
        <x:v>Pulp &amp; Paper</x:v>
      </x:c>
      <x:c r="E10539" s="13" t="str">
        <x:v>Pulp &amp; Paper</x:v>
      </x:c>
      <x:c r="F10539" s="13" t="str">
        <x:v>Deep Cyclicals</x:v>
      </x:c>
      <x:c r="G10539" s="13" t="str">
        <x:v>grid_wbaxp5t0.xlsx</x:v>
      </x:c>
    </x:row>
    <x:row r="10540">
      <x:c r="A10540" s="15" t="n">
        <x:v>44986</x:v>
      </x:c>
      <x:c r="B10540" s="13" t="str">
        <x:v>SUZANO SA</x:v>
      </x:c>
      <x:c r="C10540" s="16" t="n">
        <x:v>8631.178992612</x:v>
      </x:c>
      <x:c r="D10540" s="13" t="str">
        <x:v>Pulp &amp; Paper</x:v>
      </x:c>
      <x:c r="E10540" s="13" t="str">
        <x:v>Pulp &amp; Paper</x:v>
      </x:c>
      <x:c r="F10540" s="13" t="str">
        <x:v>Deep Cyclicals</x:v>
      </x:c>
      <x:c r="G10540" s="13" t="str">
        <x:v>grid_wbaxp5t0.xlsx</x:v>
      </x:c>
    </x:row>
    <x:row r="10541">
      <x:c r="A10541" s="15" t="n">
        <x:v>44986</x:v>
      </x:c>
      <x:c r="B10541" s="13" t="str">
        <x:v>ALPARGATAS SA - PREF</x:v>
      </x:c>
      <x:c r="C10541" s="16" t="n">
        <x:v>556.5852317377</x:v>
      </x:c>
      <x:c r="D10541" s="13" t="str">
        <x:v>Retail</x:v>
      </x:c>
      <x:c r="E10541" s="13" t="str">
        <x:v>Retail</x:v>
      </x:c>
      <x:c r="F10541" s="13" t="str">
        <x:v>Early Cyclicals</x:v>
      </x:c>
      <x:c r="G10541" s="13" t="str">
        <x:v>grid_wbaxp5t0.xlsx</x:v>
      </x:c>
    </x:row>
    <x:row r="10542">
      <x:c r="A10542" s="15" t="n">
        <x:v>44986</x:v>
      </x:c>
      <x:c r="B10542" s="13" t="str">
        <x:v>ATACADAO SA</x:v>
      </x:c>
      <x:c r="C10542" s="16" t="n">
        <x:v>2212.9682514535</x:v>
      </x:c>
      <x:c r="D10542" s="13" t="str">
        <x:v>Retail</x:v>
      </x:c>
      <x:c r="E10542" s="13" t="str">
        <x:v>Retail</x:v>
      </x:c>
      <x:c r="F10542" s="13" t="str">
        <x:v>Early Cyclicals</x:v>
      </x:c>
      <x:c r="G10542" s="13" t="str">
        <x:v>grid_wbaxp5t0.xlsx</x:v>
      </x:c>
    </x:row>
    <x:row r="10543">
      <x:c r="A10543" s="15" t="n">
        <x:v>44986</x:v>
      </x:c>
      <x:c r="B10543" s="13" t="str">
        <x:v>AZZAS 2154 SA</x:v>
      </x:c>
      <x:c r="C10543" s="16" t="n">
        <x:v>538.4934346667</x:v>
      </x:c>
      <x:c r="D10543" s="13" t="str">
        <x:v>Retail</x:v>
      </x:c>
      <x:c r="E10543" s="13" t="str">
        <x:v>Retail</x:v>
      </x:c>
      <x:c r="F10543" s="13" t="str">
        <x:v>Early Cyclicals</x:v>
      </x:c>
      <x:c r="G10543" s="13" t="str">
        <x:v>grid_wbaxp5t0.xlsx</x:v>
      </x:c>
    </x:row>
    <x:row r="10544">
      <x:c r="A10544" s="15" t="n">
        <x:v>44986</x:v>
      </x:c>
      <x:c r="B10544" s="13" t="str">
        <x:v>CIA BRASILEIRA DE DISTRIBUIC</x:v>
      </x:c>
      <x:c r="C10544" s="16" t="n">
        <x:v>286.4197424262</x:v>
      </x:c>
      <x:c r="D10544" s="13" t="str">
        <x:v>Retail</x:v>
      </x:c>
      <x:c r="E10544" s="13" t="str">
        <x:v>Retail</x:v>
      </x:c>
      <x:c r="F10544" s="13" t="str">
        <x:v>Early Cyclicals</x:v>
      </x:c>
      <x:c r="G10544" s="13" t="str">
        <x:v>grid_wbaxp5t0.xlsx</x:v>
      </x:c>
    </x:row>
    <x:row r="10545">
      <x:c r="A10545" s="15" t="n">
        <x:v>44986</x:v>
      </x:c>
      <x:c r="B10545" s="13" t="str">
        <x:v>CVC BRASIL OPERADORA E AGENC</x:v>
      </x:c>
      <x:c r="C10545" s="16" t="n">
        <x:v>-95.9077868852</x:v>
      </x:c>
      <x:c r="D10545" s="13" t="str">
        <x:v>Retail</x:v>
      </x:c>
      <x:c r="E10545" s="13" t="str">
        <x:v>Retail</x:v>
      </x:c>
      <x:c r="F10545" s="13" t="str">
        <x:v>Early Cyclicals</x:v>
      </x:c>
      <x:c r="G10545" s="13" t="str">
        <x:v>grid_wbaxp5t0.xlsx</x:v>
      </x:c>
    </x:row>
    <x:row r="10546">
      <x:c r="A10546" s="15" t="n">
        <x:v>44986</x:v>
      </x:c>
      <x:c r="B10546" s="13" t="str">
        <x:v>GRUPO CASAS BAHIA SA</x:v>
      </x:c>
      <x:c r="C10546" s="16" t="n">
        <x:v>-151.2108958251</x:v>
      </x:c>
      <x:c r="D10546" s="13" t="str">
        <x:v>Retail</x:v>
      </x:c>
      <x:c r="E10546" s="13" t="str">
        <x:v>Retail</x:v>
      </x:c>
      <x:c r="F10546" s="13" t="str">
        <x:v>Early Cyclicals</x:v>
      </x:c>
      <x:c r="G10546" s="13" t="str">
        <x:v>grid_wbaxp5t0.xlsx</x:v>
      </x:c>
    </x:row>
    <x:row r="10547">
      <x:c r="A10547" s="15" t="n">
        <x:v>44986</x:v>
      </x:c>
      <x:c r="B10547" s="13" t="str">
        <x:v>GRUPO DE MODA SOMA SA</x:v>
      </x:c>
      <x:c r="C10547" s="16" t="n">
        <x:v>582.8037588634</x:v>
      </x:c>
      <x:c r="D10547" s="13" t="str">
        <x:v>Retail</x:v>
      </x:c>
      <x:c r="E10547" s="13" t="str">
        <x:v>Retail</x:v>
      </x:c>
      <x:c r="F10547" s="13" t="str">
        <x:v>Early Cyclicals</x:v>
      </x:c>
      <x:c r="G10547" s="13" t="str">
        <x:v>grid_wbaxp5t0.xlsx</x:v>
      </x:c>
    </x:row>
    <x:row r="10548">
      <x:c r="A10548" s="15" t="n">
        <x:v>44986</x:v>
      </x:c>
      <x:c r="B10548" s="13" t="str">
        <x:v>LOJAS RENNER S.A.</x:v>
      </x:c>
      <x:c r="C10548" s="16" t="n">
        <x:v>1488.2021697049</x:v>
      </x:c>
      <x:c r="D10548" s="13" t="str">
        <x:v>Retail</x:v>
      </x:c>
      <x:c r="E10548" s="13" t="str">
        <x:v>Retail</x:v>
      </x:c>
      <x:c r="F10548" s="13" t="str">
        <x:v>Early Cyclicals</x:v>
      </x:c>
      <x:c r="G10548" s="13" t="str">
        <x:v>grid_wbaxp5t0.xlsx</x:v>
      </x:c>
    </x:row>
    <x:row r="10549">
      <x:c r="A10549" s="15" t="n">
        <x:v>44986</x:v>
      </x:c>
      <x:c r="B10549" s="13" t="str">
        <x:v>MAGAZINE LUIZA SA</x:v>
      </x:c>
      <x:c r="C10549" s="16" t="n">
        <x:v>141.6124749071</x:v>
      </x:c>
      <x:c r="D10549" s="13" t="str">
        <x:v>Retail</x:v>
      </x:c>
      <x:c r="E10549" s="13" t="str">
        <x:v>Retail</x:v>
      </x:c>
      <x:c r="F10549" s="13" t="str">
        <x:v>Early Cyclicals</x:v>
      </x:c>
      <x:c r="G10549" s="13" t="str">
        <x:v>grid_wbaxp5t0.xlsx</x:v>
      </x:c>
    </x:row>
    <x:row r="10550">
      <x:c r="A10550" s="15" t="n">
        <x:v>44986</x:v>
      </x:c>
      <x:c r="B10550" s="13" t="str">
        <x:v>NATURA &amp;CO HOLDING SA</x:v>
      </x:c>
      <x:c r="C10550" s="16" t="n">
        <x:v>461.7413012459</x:v>
      </x:c>
      <x:c r="D10550" s="13" t="str">
        <x:v>Retail</x:v>
      </x:c>
      <x:c r="E10550" s="13" t="str">
        <x:v>Retail</x:v>
      </x:c>
      <x:c r="F10550" s="13" t="str">
        <x:v>Early Cyclicals</x:v>
      </x:c>
      <x:c r="G10550" s="13" t="str">
        <x:v>grid_wbaxp5t0.xlsx</x:v>
      </x:c>
    </x:row>
    <x:row r="10551">
      <x:c r="A10551" s="15" t="n">
        <x:v>44986</x:v>
      </x:c>
      <x:c r="B10551" s="13" t="str">
        <x:v>PET CENTER COMERCIO E PARTIC</x:v>
      </x:c>
      <x:c r="C10551" s="16" t="n">
        <x:v>156.5349023825</x:v>
      </x:c>
      <x:c r="D10551" s="13" t="str">
        <x:v>Retail</x:v>
      </x:c>
      <x:c r="E10551" s="13" t="str">
        <x:v>Retail</x:v>
      </x:c>
      <x:c r="F10551" s="13" t="str">
        <x:v>Early Cyclicals</x:v>
      </x:c>
      <x:c r="G10551" s="13" t="str">
        <x:v>grid_wbaxp5t0.xlsx</x:v>
      </x:c>
    </x:row>
    <x:row r="10552">
      <x:c r="A10552" s="15" t="n">
        <x:v>44986</x:v>
      </x:c>
      <x:c r="B10552" s="13" t="str">
        <x:v>RAIA DROGASIL SA</x:v>
      </x:c>
      <x:c r="C10552" s="16" t="n">
        <x:v>1234.0242696393</x:v>
      </x:c>
      <x:c r="D10552" s="13" t="str">
        <x:v>Retail</x:v>
      </x:c>
      <x:c r="E10552" s="13" t="str">
        <x:v>Retail</x:v>
      </x:c>
      <x:c r="F10552" s="13" t="str">
        <x:v>Early Cyclicals</x:v>
      </x:c>
      <x:c r="G10552" s="13" t="str">
        <x:v>grid_wbaxp5t0.xlsx</x:v>
      </x:c>
    </x:row>
    <x:row r="10553">
      <x:c r="A10553" s="15" t="n">
        <x:v>44986</x:v>
      </x:c>
      <x:c r="B10553" s="13" t="str">
        <x:v>SENDAS DISTRIBUIDORA SA</x:v>
      </x:c>
      <x:c r="C10553" s="16" t="n">
        <x:v>1660.415059235</x:v>
      </x:c>
      <x:c r="D10553" s="13" t="str">
        <x:v>Retail</x:v>
      </x:c>
      <x:c r="E10553" s="13" t="str">
        <x:v>Retail</x:v>
      </x:c>
      <x:c r="F10553" s="13" t="str">
        <x:v>Early Cyclicals</x:v>
      </x:c>
      <x:c r="G10553" s="13" t="str">
        <x:v>grid_wbaxp5t0.xlsx</x:v>
      </x:c>
    </x:row>
    <x:row r="10554">
      <x:c r="A10554" s="15" t="n">
        <x:v>44986</x:v>
      </x:c>
      <x:c r="B10554" s="13" t="str">
        <x:v>CIA SANEAMENTO BASICO DE SP</x:v>
      </x:c>
      <x:c r="C10554" s="16" t="n">
        <x:v>3671.4473519563</x:v>
      </x:c>
      <x:c r="D10554" s="13" t="str">
        <x:v>Sanitation</x:v>
      </x:c>
      <x:c r="E10554" s="13" t="str">
        <x:v>Utilities</x:v>
      </x:c>
      <x:c r="F10554" s="13" t="str">
        <x:v>Defensives</x:v>
      </x:c>
      <x:c r="G10554" s="13" t="str">
        <x:v>grid_wbaxp5t0.xlsx</x:v>
      </x:c>
    </x:row>
    <x:row r="10555">
      <x:c r="A10555" s="15" t="n">
        <x:v>44986</x:v>
      </x:c>
      <x:c r="B10555" s="13" t="str">
        <x:v>LWSA SA</x:v>
      </x:c>
      <x:c r="C10555" s="16" t="n">
        <x:v>130.2380464481</x:v>
      </x:c>
      <x:c r="D10555" s="13" t="str">
        <x:v>TMT</x:v>
      </x:c>
      <x:c r="E10555" s="13" t="str">
        <x:v>TMT</x:v>
      </x:c>
      <x:c r="F10555" s="13" t="str">
        <x:v>Early Cyclicals</x:v>
      </x:c>
      <x:c r="G10555" s="13" t="str">
        <x:v>grid_wbaxp5t0.xlsx</x:v>
      </x:c>
    </x:row>
    <x:row r="10556">
      <x:c r="A10556" s="15" t="n">
        <x:v>44986</x:v>
      </x:c>
      <x:c r="B10556" s="13" t="str">
        <x:v>TIM SA</x:v>
      </x:c>
      <x:c r="C10556" s="16" t="n">
        <x:v>2135.194785224</x:v>
      </x:c>
      <x:c r="D10556" s="13" t="str">
        <x:v>TMT</x:v>
      </x:c>
      <x:c r="E10556" s="13" t="str">
        <x:v>TMT</x:v>
      </x:c>
      <x:c r="F10556" s="13" t="str">
        <x:v>Early Cyclicals</x:v>
      </x:c>
      <x:c r="G10556" s="13" t="str">
        <x:v>grid_wbaxp5t0.xlsx</x:v>
      </x:c>
    </x:row>
    <x:row r="10557">
      <x:c r="A10557" s="15" t="n">
        <x:v>44986</x:v>
      </x:c>
      <x:c r="B10557" s="13" t="str">
        <x:v>TOTVS SA</x:v>
      </x:c>
      <x:c r="C10557" s="16" t="n">
        <x:v>783.2034414863</x:v>
      </x:c>
      <x:c r="D10557" s="13" t="str">
        <x:v>TMT</x:v>
      </x:c>
      <x:c r="E10557" s="13" t="str">
        <x:v>TMT</x:v>
      </x:c>
      <x:c r="F10557" s="13" t="str">
        <x:v>Early Cyclicals</x:v>
      </x:c>
      <x:c r="G10557" s="13" t="str">
        <x:v>grid_wbaxp5t0.xlsx</x:v>
      </x:c>
    </x:row>
    <x:row r="10558">
      <x:c r="A10558" s="15" t="n">
        <x:v>44986</x:v>
      </x:c>
      <x:c r="B10558" s="13" t="str">
        <x:v>AZUL SA</x:v>
      </x:c>
      <x:c r="C10558" s="16" t="n">
        <x:v>-95.5557336831</x:v>
      </x:c>
      <x:c r="D10558" s="13" t="str">
        <x:v>Transportation</x:v>
      </x:c>
      <x:c r="E10558" s="13" t="str">
        <x:v>Transportation</x:v>
      </x:c>
      <x:c r="F10558" s="13" t="str">
        <x:v>Deep Cyclicals</x:v>
      </x:c>
      <x:c r="G10558" s="13" t="str">
        <x:v>grid_wbaxp5t0.xlsx</x:v>
      </x:c>
    </x:row>
    <x:row r="10559">
      <x:c r="A10559" s="15" t="n">
        <x:v>44986</x:v>
      </x:c>
      <x:c r="B10559" s="13" t="str">
        <x:v>ECORODOVIAS INFRA E LOG SA</x:v>
      </x:c>
      <x:c r="C10559" s="16" t="n">
        <x:v>447.5098633443</x:v>
      </x:c>
      <x:c r="D10559" s="13" t="str">
        <x:v>Transportation</x:v>
      </x:c>
      <x:c r="E10559" s="13" t="str">
        <x:v>Transportation</x:v>
      </x:c>
      <x:c r="F10559" s="13" t="str">
        <x:v>Deep Cyclicals</x:v>
      </x:c>
      <x:c r="G10559" s="13" t="str">
        <x:v>grid_wbaxp5t0.xlsx</x:v>
      </x:c>
    </x:row>
    <x:row r="10560">
      <x:c r="A10560" s="15" t="n">
        <x:v>44986</x:v>
      </x:c>
      <x:c r="B10560" s="13" t="str">
        <x:v>GOL LINHAS AEREAS INT SA-PRE</x:v>
      </x:c>
      <x:c r="C10560" s="16" t="n">
        <x:v>-4.0340353224</x:v>
      </x:c>
      <x:c r="D10560" s="13" t="str">
        <x:v>Transportation</x:v>
      </x:c>
      <x:c r="E10560" s="13" t="str">
        <x:v>Transportation</x:v>
      </x:c>
      <x:c r="F10560" s="13" t="str">
        <x:v>Deep Cyclicals</x:v>
      </x:c>
      <x:c r="G10560" s="13" t="str">
        <x:v>grid_wbaxp5t0.xlsx</x:v>
      </x:c>
    </x:row>
    <x:row r="10561">
      <x:c r="A10561" s="15" t="n">
        <x:v>44986</x:v>
      </x:c>
      <x:c r="B10561" s="13" t="str">
        <x:v>LOCALIZA RENT A CAR</x:v>
      </x:c>
      <x:c r="C10561" s="16" t="n">
        <x:v>3130.7026717377</x:v>
      </x:c>
      <x:c r="D10561" s="13" t="str">
        <x:v>Transportation</x:v>
      </x:c>
      <x:c r="E10561" s="13" t="str">
        <x:v>Transportation</x:v>
      </x:c>
      <x:c r="F10561" s="13" t="str">
        <x:v>Deep Cyclicals</x:v>
      </x:c>
      <x:c r="G10561" s="13" t="str">
        <x:v>grid_wbaxp5t0.xlsx</x:v>
      </x:c>
    </x:row>
    <x:row r="10562">
      <x:c r="A10562" s="15" t="n">
        <x:v>44986</x:v>
      </x:c>
      <x:c r="B10562" s="13" t="str">
        <x:v>MOTIVA INFRAESTRUTURA DE MOB</x:v>
      </x:c>
      <x:c r="C10562" s="16" t="n">
        <x:v>1503.8246907104</x:v>
      </x:c>
      <x:c r="D10562" s="13" t="str">
        <x:v>Transportation</x:v>
      </x:c>
      <x:c r="E10562" s="13" t="str">
        <x:v>Transportation</x:v>
      </x:c>
      <x:c r="F10562" s="13" t="str">
        <x:v>Deep Cyclicals</x:v>
      </x:c>
      <x:c r="G10562" s="13" t="str">
        <x:v>grid_wbaxp5t0.xlsx</x:v>
      </x:c>
    </x:row>
    <x:row r="10563">
      <x:c r="A10563" s="15" t="n">
        <x:v>44986</x:v>
      </x:c>
      <x:c r="B10563" s="13" t="str">
        <x:v>RUMO SA</x:v>
      </x:c>
      <x:c r="C10563" s="16" t="n">
        <x:v>1136.8648823607</x:v>
      </x:c>
      <x:c r="D10563" s="13" t="str">
        <x:v>Transportation</x:v>
      </x:c>
      <x:c r="E10563" s="13" t="str">
        <x:v>Transportation</x:v>
      </x:c>
      <x:c r="F10563" s="13" t="str">
        <x:v>Deep Cyclicals</x:v>
      </x:c>
      <x:c r="G10563" s="13" t="str">
        <x:v>grid_wbaxp5t0.xlsx</x:v>
      </x:c>
    </x:row>
    <x:row r="10564">
      <x:c r="A10564" s="15" t="n">
        <x:v>44986</x:v>
      </x:c>
      <x:c r="B10564" s="13" t="str">
        <x:v>AXIA ENERGIA SA</x:v>
      </x:c>
      <x:c r="C10564" s="16" t="n">
        <x:v>7796.402100459</x:v>
      </x:c>
      <x:c r="D10564" s="13" t="str">
        <x:v>Utilities &amp; Energy</x:v>
      </x:c>
      <x:c r="E10564" s="13" t="str">
        <x:v>Utilities</x:v>
      </x:c>
      <x:c r="F10564" s="13" t="str">
        <x:v>Defensives</x:v>
      </x:c>
      <x:c r="G10564" s="13" t="str">
        <x:v>grid_wbaxp5t0.xlsx</x:v>
      </x:c>
    </x:row>
    <x:row r="10565">
      <x:c r="A10565" s="15" t="n">
        <x:v>44986</x:v>
      </x:c>
      <x:c r="B10565" s="13" t="str">
        <x:v>AXIA ENERGIA-PR B</x:v>
      </x:c>
      <x:c r="C10565" s="16" t="n">
        <x:v>7796.402100459</x:v>
      </x:c>
      <x:c r="D10565" s="13" t="str">
        <x:v>Utilities &amp; Energy</x:v>
      </x:c>
      <x:c r="E10565" s="13" t="str">
        <x:v>Utilities</x:v>
      </x:c>
      <x:c r="F10565" s="13" t="str">
        <x:v>Defensives</x:v>
      </x:c>
      <x:c r="G10565" s="13" t="str">
        <x:v>grid_wbaxp5t0.xlsx</x:v>
      </x:c>
    </x:row>
    <x:row r="10566">
      <x:c r="A10566" s="15" t="n">
        <x:v>44986</x:v>
      </x:c>
      <x:c r="B10566" s="13" t="str">
        <x:v>CIA ENERGETICA MINAS GER-PRF</x:v>
      </x:c>
      <x:c r="C10566" s="16" t="n">
        <x:v>3550.589583388</x:v>
      </x:c>
      <x:c r="D10566" s="13" t="str">
        <x:v>Utilities &amp; Energy</x:v>
      </x:c>
      <x:c r="E10566" s="13" t="str">
        <x:v>Utilities</x:v>
      </x:c>
      <x:c r="F10566" s="13" t="str">
        <x:v>Defensives</x:v>
      </x:c>
      <x:c r="G10566" s="13" t="str">
        <x:v>grid_wbaxp5t0.xlsx</x:v>
      </x:c>
    </x:row>
    <x:row r="10567">
      <x:c r="A10567" s="15" t="n">
        <x:v>44986</x:v>
      </x:c>
      <x:c r="B10567" s="13" t="str">
        <x:v>COMPANHIA PARANAENSE -PREF B</x:v>
      </x:c>
      <x:c r="C10567" s="16" t="n">
        <x:v>2412.8937463607</x:v>
      </x:c>
      <x:c r="D10567" s="13" t="str">
        <x:v>Utilities &amp; Energy</x:v>
      </x:c>
      <x:c r="E10567" s="13" t="str">
        <x:v>Utilities</x:v>
      </x:c>
      <x:c r="F10567" s="13" t="str">
        <x:v>Defensives</x:v>
      </x:c>
      <x:c r="G10567" s="13" t="str">
        <x:v>grid_wbaxp5t0.xlsx</x:v>
      </x:c>
    </x:row>
    <x:row r="10568">
      <x:c r="A10568" s="15" t="n">
        <x:v>44986</x:v>
      </x:c>
      <x:c r="B10568" s="13" t="str">
        <x:v>CPFL ENERGIA SA</x:v>
      </x:c>
      <x:c r="C10568" s="16" t="n">
        <x:v>4505.4821854426</x:v>
      </x:c>
      <x:c r="D10568" s="13" t="str">
        <x:v>Utilities &amp; Energy</x:v>
      </x:c>
      <x:c r="E10568" s="13" t="str">
        <x:v>Utilities</x:v>
      </x:c>
      <x:c r="F10568" s="13" t="str">
        <x:v>Defensives</x:v>
      </x:c>
      <x:c r="G10568" s="13" t="str">
        <x:v>grid_wbaxp5t0.xlsx</x:v>
      </x:c>
    </x:row>
    <x:row r="10569">
      <x:c r="A10569" s="15" t="n">
        <x:v>44986</x:v>
      </x:c>
      <x:c r="B10569" s="13" t="str">
        <x:v>ENERGISA SA-UNITS</x:v>
      </x:c>
      <x:c r="C10569" s="16" t="n">
        <x:v>1738.9672285027</x:v>
      </x:c>
      <x:c r="D10569" s="13" t="str">
        <x:v>Utilities &amp; Energy</x:v>
      </x:c>
      <x:c r="E10569" s="13" t="str">
        <x:v>Utilities</x:v>
      </x:c>
      <x:c r="F10569" s="13" t="str">
        <x:v>Defensives</x:v>
      </x:c>
      <x:c r="G10569" s="13" t="str">
        <x:v>grid_wbaxp5t0.xlsx</x:v>
      </x:c>
    </x:row>
    <x:row r="10570">
      <x:c r="A10570" s="15" t="n">
        <x:v>44986</x:v>
      </x:c>
      <x:c r="B10570" s="13" t="str">
        <x:v>ENEVA SA</x:v>
      </x:c>
      <x:c r="C10570" s="16" t="n">
        <x:v>1122.6998747978</x:v>
      </x:c>
      <x:c r="D10570" s="13" t="str">
        <x:v>Utilities &amp; Energy</x:v>
      </x:c>
      <x:c r="E10570" s="13" t="str">
        <x:v>Utilities</x:v>
      </x:c>
      <x:c r="F10570" s="13" t="str">
        <x:v>Defensives</x:v>
      </x:c>
      <x:c r="G10570" s="13" t="str">
        <x:v>grid_wbaxp5t0.xlsx</x:v>
      </x:c>
    </x:row>
    <x:row r="10571">
      <x:c r="A10571" s="15" t="n">
        <x:v>44986</x:v>
      </x:c>
      <x:c r="B10571" s="13" t="str">
        <x:v>ENGIE BRASIL ENERGIA SA</x:v>
      </x:c>
      <x:c r="C10571" s="16" t="n">
        <x:v>3417.9501268634</x:v>
      </x:c>
      <x:c r="D10571" s="13" t="str">
        <x:v>Utilities &amp; Energy</x:v>
      </x:c>
      <x:c r="E10571" s="13" t="str">
        <x:v>Utilities</x:v>
      </x:c>
      <x:c r="F10571" s="13" t="str">
        <x:v>Defensives</x:v>
      </x:c>
      <x:c r="G10571" s="13" t="str">
        <x:v>grid_wbaxp5t0.xlsx</x:v>
      </x:c>
    </x:row>
    <x:row r="10572">
      <x:c r="A10572" s="15" t="n">
        <x:v>44986</x:v>
      </x:c>
      <x:c r="B10572" s="13" t="str">
        <x:v>EQUATORIAL SA - ORD</x:v>
      </x:c>
      <x:c r="C10572" s="16" t="n">
        <x:v>2597.6161196066</x:v>
      </x:c>
      <x:c r="D10572" s="13" t="str">
        <x:v>Utilities &amp; Energy</x:v>
      </x:c>
      <x:c r="E10572" s="13" t="str">
        <x:v>Utilities</x:v>
      </x:c>
      <x:c r="F10572" s="13" t="str">
        <x:v>Defensives</x:v>
      </x:c>
      <x:c r="G10572" s="13" t="str">
        <x:v>grid_wbaxp5t0.xlsx</x:v>
      </x:c>
    </x:row>
    <x:row r="10573">
      <x:c r="A10573" s="15" t="n">
        <x:v>44986</x:v>
      </x:c>
      <x:c r="B10573" s="13" t="str">
        <x:v>TRANSMISSORA ALIANCA DE-UNIT</x:v>
      </x:c>
      <x:c r="C10573" s="16" t="n">
        <x:v>1207.5228334863</x:v>
      </x:c>
      <x:c r="D10573" s="13" t="str">
        <x:v>Utilities &amp; Energy</x:v>
      </x:c>
      <x:c r="E10573" s="13" t="str">
        <x:v>Utilities</x:v>
      </x:c>
      <x:c r="F10573" s="13" t="str">
        <x:v>Defensives</x:v>
      </x:c>
      <x:c r="G10573" s="13" t="str">
        <x:v>grid_wbaxp5t0.xlsx</x:v>
      </x:c>
    </x:row>
    <x:row r="10574">
      <x:c r="A10574" s="15" t="n">
        <x:v>45017</x:v>
      </x:c>
      <x:c r="B10574" s="13" t="str">
        <x:v>RAIZEN SA - PREFERENCE</x:v>
      </x:c>
      <x:c r="C10574" s="16" t="n">
        <x:v>3695.1558382466</x:v>
      </x:c>
      <x:c r="D10574" s="13" t="str">
        <x:v>Agribusiness</x:v>
      </x:c>
      <x:c r="E10574" s="13" t="str">
        <x:v>Agri, Food &amp; Beverages</x:v>
      </x:c>
      <x:c r="F10574" s="13" t="str">
        <x:v>Defensives</x:v>
      </x:c>
      <x:c r="G10574" s="13" t="str">
        <x:v>grid_wbaxp5t0.xlsx</x:v>
      </x:c>
    </x:row>
    <x:row r="10575">
      <x:c r="A10575" s="15" t="n">
        <x:v>45017</x:v>
      </x:c>
      <x:c r="B10575" s="13" t="str">
        <x:v>SAO MARTINHO SA</x:v>
      </x:c>
      <x:c r="C10575" s="16" t="n">
        <x:v>1307.1435102685</x:v>
      </x:c>
      <x:c r="D10575" s="13" t="str">
        <x:v>Agribusiness</x:v>
      </x:c>
      <x:c r="E10575" s="13" t="str">
        <x:v>Agri, Food &amp; Beverages</x:v>
      </x:c>
      <x:c r="F10575" s="13" t="str">
        <x:v>Defensives</x:v>
      </x:c>
      <x:c r="G10575" s="13" t="str">
        <x:v>grid_wbaxp5t0.xlsx</x:v>
      </x:c>
    </x:row>
    <x:row r="10576">
      <x:c r="A10576" s="15" t="n">
        <x:v>45017</x:v>
      </x:c>
      <x:c r="B10576" s="13" t="str">
        <x:v>SLC AGRICOLA SA</x:v>
      </x:c>
      <x:c r="C10576" s="16" t="n">
        <x:v>1416.3897816831</x:v>
      </x:c>
      <x:c r="D10576" s="13" t="str">
        <x:v>Agribusiness</x:v>
      </x:c>
      <x:c r="E10576" s="13" t="str">
        <x:v>Agri, Food &amp; Beverages</x:v>
      </x:c>
      <x:c r="F10576" s="13" t="str">
        <x:v>Defensives</x:v>
      </x:c>
      <x:c r="G10576" s="13" t="str">
        <x:v>grid_wbaxp5t0.xlsx</x:v>
      </x:c>
    </x:row>
    <x:row r="10577">
      <x:c r="A10577" s="15" t="n">
        <x:v>45017</x:v>
      </x:c>
      <x:c r="B10577" s="13" t="str">
        <x:v>BANCO BRADESCO S.A.</x:v>
      </x:c>
      <x:c r="C10577" s="16" t="n">
        <x:v>23177.5843490273</x:v>
      </x:c>
      <x:c r="D10577" s="13" t="str">
        <x:v>Banks</x:v>
      </x:c>
      <x:c r="E10577" s="13" t="str">
        <x:v>Banks</x:v>
      </x:c>
      <x:c r="F10577" s="13" t="str">
        <x:v>Financials</x:v>
      </x:c>
      <x:c r="G10577" s="13" t="str">
        <x:v>grid_wbaxp5t0.xlsx</x:v>
      </x:c>
    </x:row>
    <x:row r="10578">
      <x:c r="A10578" s="15" t="n">
        <x:v>45017</x:v>
      </x:c>
      <x:c r="B10578" s="13" t="str">
        <x:v>BANCO BRADESCO SA-PREF</x:v>
      </x:c>
      <x:c r="C10578" s="16" t="n">
        <x:v>23177.5843490273</x:v>
      </x:c>
      <x:c r="D10578" s="13" t="str">
        <x:v>Banks</x:v>
      </x:c>
      <x:c r="E10578" s="13" t="str">
        <x:v>Banks</x:v>
      </x:c>
      <x:c r="F10578" s="13" t="str">
        <x:v>Financials</x:v>
      </x:c>
      <x:c r="G10578" s="13" t="str">
        <x:v>grid_wbaxp5t0.xlsx</x:v>
      </x:c>
    </x:row>
    <x:row r="10579">
      <x:c r="A10579" s="15" t="n">
        <x:v>45017</x:v>
      </x:c>
      <x:c r="B10579" s="13" t="str">
        <x:v>BANCO BTG PACTUAL SA-UNIT</x:v>
      </x:c>
      <x:c r="C10579" s="16" t="n">
        <x:v>9907.0634638688</x:v>
      </x:c>
      <x:c r="D10579" s="13" t="str">
        <x:v>Banks</x:v>
      </x:c>
      <x:c r="E10579" s="13" t="str">
        <x:v>Banks</x:v>
      </x:c>
      <x:c r="F10579" s="13" t="str">
        <x:v>Financials</x:v>
      </x:c>
      <x:c r="G10579" s="13" t="str">
        <x:v>grid_wbaxp5t0.xlsx</x:v>
      </x:c>
    </x:row>
    <x:row r="10580">
      <x:c r="A10580" s="15" t="n">
        <x:v>45017</x:v>
      </x:c>
      <x:c r="B10580" s="13" t="str">
        <x:v>BANCO DO BRASIL S.A.</x:v>
      </x:c>
      <x:c r="C10580" s="16" t="n">
        <x:v>34477.8901739016</x:v>
      </x:c>
      <x:c r="D10580" s="13" t="str">
        <x:v>Banks</x:v>
      </x:c>
      <x:c r="E10580" s="13" t="str">
        <x:v>Banks</x:v>
      </x:c>
      <x:c r="F10580" s="13" t="str">
        <x:v>Financials</x:v>
      </x:c>
      <x:c r="G10580" s="13" t="str">
        <x:v>grid_wbaxp5t0.xlsx</x:v>
      </x:c>
    </x:row>
    <x:row r="10581">
      <x:c r="A10581" s="15" t="n">
        <x:v>45017</x:v>
      </x:c>
      <x:c r="B10581" s="13" t="str">
        <x:v>BANCO PAN SA</x:v>
      </x:c>
      <x:c r="C10581" s="16" t="n">
        <x:v>1117.4744912787</x:v>
      </x:c>
      <x:c r="D10581" s="13" t="str">
        <x:v>Banks</x:v>
      </x:c>
      <x:c r="E10581" s="13" t="str">
        <x:v>Banks</x:v>
      </x:c>
      <x:c r="F10581" s="13" t="str">
        <x:v>Financials</x:v>
      </x:c>
      <x:c r="G10581" s="13" t="str">
        <x:v>grid_wbaxp5t0.xlsx</x:v>
      </x:c>
    </x:row>
    <x:row r="10582">
      <x:c r="A10582" s="15" t="n">
        <x:v>45017</x:v>
      </x:c>
      <x:c r="B10582" s="13" t="str">
        <x:v>BANCO SANTANDER  BRASIL-UNIT</x:v>
      </x:c>
      <x:c r="C10582" s="16" t="n">
        <x:v>13825.5894606339</x:v>
      </x:c>
      <x:c r="D10582" s="13" t="str">
        <x:v>Banks</x:v>
      </x:c>
      <x:c r="E10582" s="13" t="str">
        <x:v>Banks</x:v>
      </x:c>
      <x:c r="F10582" s="13" t="str">
        <x:v>Financials</x:v>
      </x:c>
      <x:c r="G10582" s="13" t="str">
        <x:v>grid_wbaxp5t0.xlsx</x:v>
      </x:c>
    </x:row>
    <x:row r="10583">
      <x:c r="A10583" s="15" t="n">
        <x:v>45017</x:v>
      </x:c>
      <x:c r="B10583" s="13" t="str">
        <x:v>ITAU UNIBANCO HOLDING S-PREF</x:v>
      </x:c>
      <x:c r="C10583" s="16" t="n">
        <x:v>36505.5092053333</x:v>
      </x:c>
      <x:c r="D10583" s="13" t="str">
        <x:v>Banks</x:v>
      </x:c>
      <x:c r="E10583" s="13" t="str">
        <x:v>Banks</x:v>
      </x:c>
      <x:c r="F10583" s="13" t="str">
        <x:v>Financials</x:v>
      </x:c>
      <x:c r="G10583" s="13" t="str">
        <x:v>grid_wbaxp5t0.xlsx</x:v>
      </x:c>
    </x:row>
    <x:row r="10584">
      <x:c r="A10584" s="15" t="n">
        <x:v>45017</x:v>
      </x:c>
      <x:c r="B10584" s="13" t="str">
        <x:v>EMBRAER SA</x:v>
      </x:c>
      <x:c r="C10584" s="16" t="n">
        <x:v>894.8185736393</x:v>
      </x:c>
      <x:c r="D10584" s="13" t="str">
        <x:v>Capital Goods</x:v>
      </x:c>
      <x:c r="E10584" s="13" t="str">
        <x:v>Capital Goods</x:v>
      </x:c>
      <x:c r="F10584" s="13" t="str">
        <x:v>Deep Cyclicals</x:v>
      </x:c>
      <x:c r="G10584" s="13" t="str">
        <x:v>grid_wbaxp5t0.xlsx</x:v>
      </x:c>
    </x:row>
    <x:row r="10585">
      <x:c r="A10585" s="15" t="n">
        <x:v>45017</x:v>
      </x:c>
      <x:c r="B10585" s="13" t="str">
        <x:v>WEG SA</x:v>
      </x:c>
      <x:c r="C10585" s="16" t="n">
        <x:v>5329.0223464918</x:v>
      </x:c>
      <x:c r="D10585" s="13" t="str">
        <x:v>Capital Goods</x:v>
      </x:c>
      <x:c r="E10585" s="13" t="str">
        <x:v>Capital Goods</x:v>
      </x:c>
      <x:c r="F10585" s="13" t="str">
        <x:v>Deep Cyclicals</x:v>
      </x:c>
      <x:c r="G10585" s="13" t="str">
        <x:v>grid_wbaxp5t0.xlsx</x:v>
      </x:c>
    </x:row>
    <x:row r="10586">
      <x:c r="A10586" s="15" t="n">
        <x:v>45017</x:v>
      </x:c>
      <x:c r="B10586" s="13" t="str">
        <x:v>COGNA EDUCACAO</x:v>
      </x:c>
      <x:c r="C10586" s="16" t="n">
        <x:v>9.0071174863</x:v>
      </x:c>
      <x:c r="D10586" s="13" t="str">
        <x:v>Education</x:v>
      </x:c>
      <x:c r="E10586" s="13" t="str">
        <x:v>Education</x:v>
      </x:c>
      <x:c r="F10586" s="13" t="str">
        <x:v>Early Cyclicals</x:v>
      </x:c>
      <x:c r="G10586" s="13" t="str">
        <x:v>grid_wbaxp5t0.xlsx</x:v>
      </x:c>
    </x:row>
    <x:row r="10587">
      <x:c r="A10587" s="15" t="n">
        <x:v>45017</x:v>
      </x:c>
      <x:c r="B10587" s="13" t="str">
        <x:v>YDUQS PARTICIPACOES SA</x:v>
      </x:c>
      <x:c r="C10587" s="16" t="n">
        <x:v>218.326338929</x:v>
      </x:c>
      <x:c r="D10587" s="13" t="str">
        <x:v>Education</x:v>
      </x:c>
      <x:c r="E10587" s="13" t="str">
        <x:v>Education</x:v>
      </x:c>
      <x:c r="F10587" s="13" t="str">
        <x:v>Early Cyclicals</x:v>
      </x:c>
      <x:c r="G10587" s="13" t="str">
        <x:v>grid_wbaxp5t0.xlsx</x:v>
      </x:c>
    </x:row>
    <x:row r="10588">
      <x:c r="A10588" s="15" t="n">
        <x:v>45017</x:v>
      </x:c>
      <x:c r="B10588" s="13" t="str">
        <x:v>B3 SA-BRASIL BOLSA BALCAO</x:v>
      </x:c>
      <x:c r="C10588" s="16" t="n">
        <x:v>4850.077635847</x:v>
      </x:c>
      <x:c r="D10588" s="13" t="str">
        <x:v>Financials Non-Banks</x:v>
      </x:c>
      <x:c r="E10588" s="13" t="str">
        <x:v>Financials Non-Banks</x:v>
      </x:c>
      <x:c r="F10588" s="13" t="str">
        <x:v>Financials</x:v>
      </x:c>
      <x:c r="G10588" s="13" t="str">
        <x:v>grid_wbaxp5t0.xlsx</x:v>
      </x:c>
    </x:row>
    <x:row r="10589">
      <x:c r="A10589" s="15" t="n">
        <x:v>45017</x:v>
      </x:c>
      <x:c r="B10589" s="13" t="str">
        <x:v>BB SEGURIDADE PARTICIPACOES</x:v>
      </x:c>
      <x:c r="C10589" s="16" t="n">
        <x:v>7358.0167554098</x:v>
      </x:c>
      <x:c r="D10589" s="13" t="str">
        <x:v>Financials Non-Banks</x:v>
      </x:c>
      <x:c r="E10589" s="13" t="str">
        <x:v>Financials Non-Banks</x:v>
      </x:c>
      <x:c r="F10589" s="13" t="str">
        <x:v>Financials</x:v>
      </x:c>
      <x:c r="G10589" s="13" t="str">
        <x:v>grid_wbaxp5t0.xlsx</x:v>
      </x:c>
    </x:row>
    <x:row r="10590">
      <x:c r="A10590" s="15" t="n">
        <x:v>45017</x:v>
      </x:c>
      <x:c r="B10590" s="13" t="str">
        <x:v>CIELO SA - INSTITUICAO DE PA</x:v>
      </x:c>
      <x:c r="C10590" s="16" t="n">
        <x:v>1972.6763390601</x:v>
      </x:c>
      <x:c r="D10590" s="13" t="str">
        <x:v>Financials Non-Banks</x:v>
      </x:c>
      <x:c r="E10590" s="13" t="str">
        <x:v>Financials Non-Banks</x:v>
      </x:c>
      <x:c r="F10590" s="13" t="str">
        <x:v>Financials</x:v>
      </x:c>
      <x:c r="G10590" s="13" t="str">
        <x:v>grid_wbaxp5t0.xlsx</x:v>
      </x:c>
    </x:row>
    <x:row r="10591">
      <x:c r="A10591" s="15" t="n">
        <x:v>45017</x:v>
      </x:c>
      <x:c r="B10591" s="13" t="str">
        <x:v>ITAUSA SA</x:v>
      </x:c>
      <x:c r="C10591" s="16" t="n">
        <x:v>13554.2170998907</x:v>
      </x:c>
      <x:c r="D10591" s="13" t="str">
        <x:v>Financials Non-Banks</x:v>
      </x:c>
      <x:c r="E10591" s="13" t="str">
        <x:v>Financials Non-Banks</x:v>
      </x:c>
      <x:c r="F10591" s="13" t="str">
        <x:v>Financials</x:v>
      </x:c>
      <x:c r="G10591" s="13" t="str">
        <x:v>grid_wbaxp5t0.xlsx</x:v>
      </x:c>
    </x:row>
    <x:row r="10592">
      <x:c r="A10592" s="15" t="n">
        <x:v>45017</x:v>
      </x:c>
      <x:c r="B10592" s="13" t="str">
        <x:v>MELIUZ SA - ON</x:v>
      </x:c>
      <x:c r="C10592" s="16" t="n">
        <x:v>11.0748606557</x:v>
      </x:c>
      <x:c r="D10592" s="13" t="str">
        <x:v>Financials Non-Banks</x:v>
      </x:c>
      <x:c r="E10592" s="13" t="str">
        <x:v>Financials Non-Banks</x:v>
      </x:c>
      <x:c r="F10592" s="13" t="str">
        <x:v>Financials</x:v>
      </x:c>
      <x:c r="G10592" s="13" t="str">
        <x:v>grid_wbaxp5t0.xlsx</x:v>
      </x:c>
    </x:row>
    <x:row r="10593">
      <x:c r="A10593" s="15" t="n">
        <x:v>45017</x:v>
      </x:c>
      <x:c r="B10593" s="13" t="str">
        <x:v>AMBEV SA</x:v>
      </x:c>
      <x:c r="C10593" s="16" t="n">
        <x:v>14468.3755799781</x:v>
      </x:c>
      <x:c r="D10593" s="13" t="str">
        <x:v>Food &amp; Beverages</x:v>
      </x:c>
      <x:c r="E10593" s="13" t="str">
        <x:v>Agri, Food &amp; Beverages</x:v>
      </x:c>
      <x:c r="F10593" s="13" t="str">
        <x:v>Defensives</x:v>
      </x:c>
      <x:c r="G10593" s="13" t="str">
        <x:v>grid_wbaxp5t0.xlsx</x:v>
      </x:c>
    </x:row>
    <x:row r="10594">
      <x:c r="A10594" s="15" t="n">
        <x:v>45017</x:v>
      </x:c>
      <x:c r="B10594" s="13" t="str">
        <x:v>BRF SA</x:v>
      </x:c>
      <x:c r="C10594" s="16" t="n">
        <x:v>-53.2392814863</x:v>
      </x:c>
      <x:c r="D10594" s="13" t="str">
        <x:v>Food &amp; Beverages</x:v>
      </x:c>
      <x:c r="E10594" s="13" t="str">
        <x:v>Agri, Food &amp; Beverages</x:v>
      </x:c>
      <x:c r="F10594" s="13" t="str">
        <x:v>Defensives</x:v>
      </x:c>
      <x:c r="G10594" s="13" t="str">
        <x:v>grid_wbaxp5t0.xlsx</x:v>
      </x:c>
    </x:row>
    <x:row r="10595">
      <x:c r="A10595" s="15" t="n">
        <x:v>45017</x:v>
      </x:c>
      <x:c r="B10595" s="13" t="str">
        <x:v>MBRF GLOBAL FOODS COMPANY SA</x:v>
      </x:c>
      <x:c r="C10595" s="16" t="n">
        <x:v>737.2028168743</x:v>
      </x:c>
      <x:c r="D10595" s="13" t="str">
        <x:v>Food &amp; Beverages</x:v>
      </x:c>
      <x:c r="E10595" s="13" t="str">
        <x:v>Agri, Food &amp; Beverages</x:v>
      </x:c>
      <x:c r="F10595" s="13" t="str">
        <x:v>Defensives</x:v>
      </x:c>
      <x:c r="G10595" s="13" t="str">
        <x:v>grid_wbaxp5t0.xlsx</x:v>
      </x:c>
    </x:row>
    <x:row r="10596">
      <x:c r="A10596" s="15" t="n">
        <x:v>45017</x:v>
      </x:c>
      <x:c r="B10596" s="13" t="str">
        <x:v>MINERVA SA</x:v>
      </x:c>
      <x:c r="C10596" s="16" t="n">
        <x:v>1095.0834378142</x:v>
      </x:c>
      <x:c r="D10596" s="13" t="str">
        <x:v>Food &amp; Beverages</x:v>
      </x:c>
      <x:c r="E10596" s="13" t="str">
        <x:v>Agri, Food &amp; Beverages</x:v>
      </x:c>
      <x:c r="F10596" s="13" t="str">
        <x:v>Defensives</x:v>
      </x:c>
      <x:c r="G10596" s="13" t="str">
        <x:v>grid_wbaxp5t0.xlsx</x:v>
      </x:c>
    </x:row>
    <x:row r="10597">
      <x:c r="A10597" s="15" t="n">
        <x:v>45017</x:v>
      </x:c>
      <x:c r="B10597" s="13" t="str">
        <x:v>FLEURY SA</x:v>
      </x:c>
      <x:c r="C10597" s="16" t="n">
        <x:v>390.8511503388</x:v>
      </x:c>
      <x:c r="D10597" s="13" t="str">
        <x:v>Health Care</x:v>
      </x:c>
      <x:c r="E10597" s="13" t="str">
        <x:v>Health Care</x:v>
      </x:c>
      <x:c r="F10597" s="13" t="str">
        <x:v>Defensives</x:v>
      </x:c>
      <x:c r="G10597" s="13" t="str">
        <x:v>grid_wbaxp5t0.xlsx</x:v>
      </x:c>
    </x:row>
    <x:row r="10598">
      <x:c r="A10598" s="15" t="n">
        <x:v>45017</x:v>
      </x:c>
      <x:c r="B10598" s="13" t="str">
        <x:v>HAPVIDA PARTICIPACOES E INVE</x:v>
      </x:c>
      <x:c r="C10598" s="16" t="n">
        <x:v>379.0186352131</x:v>
      </x:c>
      <x:c r="D10598" s="13" t="str">
        <x:v>Health Care</x:v>
      </x:c>
      <x:c r="E10598" s="13" t="str">
        <x:v>Health Care</x:v>
      </x:c>
      <x:c r="F10598" s="13" t="str">
        <x:v>Defensives</x:v>
      </x:c>
      <x:c r="G10598" s="13" t="str">
        <x:v>grid_wbaxp5t0.xlsx</x:v>
      </x:c>
    </x:row>
    <x:row r="10599">
      <x:c r="A10599" s="15" t="n">
        <x:v>45017</x:v>
      </x:c>
      <x:c r="B10599" s="13" t="str">
        <x:v>HYPERA SA</x:v>
      </x:c>
      <x:c r="C10599" s="16" t="n">
        <x:v>1985.1102209399</x:v>
      </x:c>
      <x:c r="D10599" s="13" t="str">
        <x:v>Health Care</x:v>
      </x:c>
      <x:c r="E10599" s="13" t="str">
        <x:v>Health Care</x:v>
      </x:c>
      <x:c r="F10599" s="13" t="str">
        <x:v>Defensives</x:v>
      </x:c>
      <x:c r="G10599" s="13" t="str">
        <x:v>grid_wbaxp5t0.xlsx</x:v>
      </x:c>
    </x:row>
    <x:row r="10600">
      <x:c r="A10600" s="15" t="n">
        <x:v>45017</x:v>
      </x:c>
      <x:c r="B10600" s="13" t="str">
        <x:v>QUALICORP CONS E CORR SEG SA</x:v>
      </x:c>
      <x:c r="C10600" s="16" t="n">
        <x:v>141.7125819672</x:v>
      </x:c>
      <x:c r="D10600" s="13" t="str">
        <x:v>Health Care</x:v>
      </x:c>
      <x:c r="E10600" s="13" t="str">
        <x:v>Health Care</x:v>
      </x:c>
      <x:c r="F10600" s="13" t="str">
        <x:v>Defensives</x:v>
      </x:c>
      <x:c r="G10600" s="13" t="str">
        <x:v>grid_wbaxp5t0.xlsx</x:v>
      </x:c>
    </x:row>
    <x:row r="10601">
      <x:c r="A10601" s="15" t="n">
        <x:v>45017</x:v>
      </x:c>
      <x:c r="B10601" s="13" t="str">
        <x:v>REDE D'OR SAO LUIZ SA</x:v>
      </x:c>
      <x:c r="C10601" s="16" t="n">
        <x:v>2579.9870062514</x:v>
      </x:c>
      <x:c r="D10601" s="13" t="str">
        <x:v>Health Care</x:v>
      </x:c>
      <x:c r="E10601" s="13" t="str">
        <x:v>Health Care</x:v>
      </x:c>
      <x:c r="F10601" s="13" t="str">
        <x:v>Defensives</x:v>
      </x:c>
      <x:c r="G10601" s="13" t="str">
        <x:v>grid_wbaxp5t0.xlsx</x:v>
      </x:c>
    </x:row>
    <x:row r="10602">
      <x:c r="A10602" s="15" t="n">
        <x:v>45017</x:v>
      </x:c>
      <x:c r="B10602" s="13" t="str">
        <x:v>CYRELA BRAZIL REALTY SA EMP</x:v>
      </x:c>
      <x:c r="C10602" s="16" t="n">
        <x:v>874.831043847</x:v>
      </x:c>
      <x:c r="D10602" s="13" t="str">
        <x:v>Homebuilders</x:v>
      </x:c>
      <x:c r="E10602" s="13" t="str">
        <x:v>Real Estate</x:v>
      </x:c>
      <x:c r="F10602" s="13" t="str">
        <x:v>Early Cyclicals</x:v>
      </x:c>
      <x:c r="G10602" s="13" t="str">
        <x:v>grid_wbaxp5t0.xlsx</x:v>
      </x:c>
    </x:row>
    <x:row r="10603">
      <x:c r="A10603" s="15" t="n">
        <x:v>45017</x:v>
      </x:c>
      <x:c r="B10603" s="13" t="str">
        <x:v>EZ TEC EMPREENDIMENTOS E PAR</x:v>
      </x:c>
      <x:c r="C10603" s="16" t="n">
        <x:v>413.5576062951</x:v>
      </x:c>
      <x:c r="D10603" s="13" t="str">
        <x:v>Homebuilders</x:v>
      </x:c>
      <x:c r="E10603" s="13" t="str">
        <x:v>Real Estate</x:v>
      </x:c>
      <x:c r="F10603" s="13" t="str">
        <x:v>Early Cyclicals</x:v>
      </x:c>
      <x:c r="G10603" s="13" t="str">
        <x:v>grid_wbaxp5t0.xlsx</x:v>
      </x:c>
    </x:row>
    <x:row r="10604">
      <x:c r="A10604" s="15" t="n">
        <x:v>45017</x:v>
      </x:c>
      <x:c r="B10604" s="13" t="str">
        <x:v>MRV ENGENHARIA</x:v>
      </x:c>
      <x:c r="C10604" s="16" t="n">
        <x:v>469.1493218798</x:v>
      </x:c>
      <x:c r="D10604" s="13" t="str">
        <x:v>Homebuilders</x:v>
      </x:c>
      <x:c r="E10604" s="13" t="str">
        <x:v>Real Estate</x:v>
      </x:c>
      <x:c r="F10604" s="13" t="str">
        <x:v>Early Cyclicals</x:v>
      </x:c>
      <x:c r="G10604" s="13" t="str">
        <x:v>grid_wbaxp5t0.xlsx</x:v>
      </x:c>
    </x:row>
    <x:row r="10605">
      <x:c r="A10605" s="15" t="n">
        <x:v>45017</x:v>
      </x:c>
      <x:c r="B10605" s="13" t="str">
        <x:v>ALLOS SA</x:v>
      </x:c>
      <x:c r="C10605" s="16" t="n">
        <x:v>718.6149457486</x:v>
      </x:c>
      <x:c r="D10605" s="13" t="str">
        <x:v>Income Properties</x:v>
      </x:c>
      <x:c r="E10605" s="13" t="str">
        <x:v>Real Estate</x:v>
      </x:c>
      <x:c r="F10605" s="13" t="str">
        <x:v>Early Cyclicals</x:v>
      </x:c>
      <x:c r="G10605" s="13" t="str">
        <x:v>grid_wbaxp5t0.xlsx</x:v>
      </x:c>
    </x:row>
    <x:row r="10606">
      <x:c r="A10606" s="15" t="n">
        <x:v>45017</x:v>
      </x:c>
      <x:c r="B10606" s="13" t="str">
        <x:v>IGUATEMI SA - UNITS</x:v>
      </x:c>
      <x:c r="C10606" s="16" t="n">
        <x:v>379.3729508197</x:v>
      </x:c>
      <x:c r="D10606" s="13" t="str">
        <x:v>Income Properties</x:v>
      </x:c>
      <x:c r="E10606" s="13" t="str">
        <x:v>Real Estate</x:v>
      </x:c>
      <x:c r="F10606" s="13" t="str">
        <x:v>Early Cyclicals</x:v>
      </x:c>
      <x:c r="G10606" s="13" t="str">
        <x:v>grid_wbaxp5t0.xlsx</x:v>
      </x:c>
    </x:row>
    <x:row r="10607">
      <x:c r="A10607" s="15" t="n">
        <x:v>45017</x:v>
      </x:c>
      <x:c r="B10607" s="13" t="str">
        <x:v>MULTIPLAN EMPREENDIMENTOS</x:v>
      </x:c>
      <x:c r="C10607" s="16" t="n">
        <x:v>918.9997349071</x:v>
      </x:c>
      <x:c r="D10607" s="13" t="str">
        <x:v>Income Properties</x:v>
      </x:c>
      <x:c r="E10607" s="13" t="str">
        <x:v>Real Estate</x:v>
      </x:c>
      <x:c r="F10607" s="13" t="str">
        <x:v>Early Cyclicals</x:v>
      </x:c>
      <x:c r="G10607" s="13" t="str">
        <x:v>grid_wbaxp5t0.xlsx</x:v>
      </x:c>
    </x:row>
    <x:row r="10608">
      <x:c r="A10608" s="15" t="n">
        <x:v>45017</x:v>
      </x:c>
      <x:c r="B10608" s="13" t="str">
        <x:v>BRADESPAR SA -PREF</x:v>
      </x:c>
      <x:c r="C10608" s="16" t="n">
        <x:v>1959.004076765</x:v>
      </x:c>
      <x:c r="D10608" s="13" t="str">
        <x:v>Metals &amp; Mining</x:v>
      </x:c>
      <x:c r="E10608" s="13" t="str">
        <x:v>Metals &amp; Mining</x:v>
      </x:c>
      <x:c r="F10608" s="13" t="str">
        <x:v>Deep Cyclicals</x:v>
      </x:c>
      <x:c r="G10608" s="13" t="str">
        <x:v>grid_wbaxp5t0.xlsx</x:v>
      </x:c>
    </x:row>
    <x:row r="10609">
      <x:c r="A10609" s="15" t="n">
        <x:v>45017</x:v>
      </x:c>
      <x:c r="B10609" s="13" t="str">
        <x:v>CIA SIDERURGICA NACIONAL SA</x:v>
      </x:c>
      <x:c r="C10609" s="16" t="n">
        <x:v>3843.3681514317</x:v>
      </x:c>
      <x:c r="D10609" s="13" t="str">
        <x:v>Metals &amp; Mining</x:v>
      </x:c>
      <x:c r="E10609" s="13" t="str">
        <x:v>Metals &amp; Mining</x:v>
      </x:c>
      <x:c r="F10609" s="13" t="str">
        <x:v>Deep Cyclicals</x:v>
      </x:c>
      <x:c r="G10609" s="13" t="str">
        <x:v>grid_wbaxp5t0.xlsx</x:v>
      </x:c>
    </x:row>
    <x:row r="10610">
      <x:c r="A10610" s="15" t="n">
        <x:v>45017</x:v>
      </x:c>
      <x:c r="B10610" s="13" t="str">
        <x:v>CSN MINERACAO SA</x:v>
      </x:c>
      <x:c r="C10610" s="16" t="n">
        <x:v>3125.0189177705</x:v>
      </x:c>
      <x:c r="D10610" s="13" t="str">
        <x:v>Metals &amp; Mining</x:v>
      </x:c>
      <x:c r="E10610" s="13" t="str">
        <x:v>Metals &amp; Mining</x:v>
      </x:c>
      <x:c r="F10610" s="13" t="str">
        <x:v>Deep Cyclicals</x:v>
      </x:c>
      <x:c r="G10610" s="13" t="str">
        <x:v>grid_wbaxp5t0.xlsx</x:v>
      </x:c>
    </x:row>
    <x:row r="10611">
      <x:c r="A10611" s="15" t="n">
        <x:v>45017</x:v>
      </x:c>
      <x:c r="B10611" s="13" t="str">
        <x:v>GERDAU SA-PREF</x:v>
      </x:c>
      <x:c r="C10611" s="16" t="n">
        <x:v>7573.5833264262</x:v>
      </x:c>
      <x:c r="D10611" s="13" t="str">
        <x:v>Metals &amp; Mining</x:v>
      </x:c>
      <x:c r="E10611" s="13" t="str">
        <x:v>Metals &amp; Mining</x:v>
      </x:c>
      <x:c r="F10611" s="13" t="str">
        <x:v>Deep Cyclicals</x:v>
      </x:c>
      <x:c r="G10611" s="13" t="str">
        <x:v>grid_wbaxp5t0.xlsx</x:v>
      </x:c>
    </x:row>
    <x:row r="10612">
      <x:c r="A10612" s="15" t="n">
        <x:v>45017</x:v>
      </x:c>
      <x:c r="B10612" s="13" t="str">
        <x:v>METALURGICA GERDAU SA-PREF</x:v>
      </x:c>
      <x:c r="C10612" s="16" t="n">
        <x:v>2727.3224267541</x:v>
      </x:c>
      <x:c r="D10612" s="13" t="str">
        <x:v>Metals &amp; Mining</x:v>
      </x:c>
      <x:c r="E10612" s="13" t="str">
        <x:v>Metals &amp; Mining</x:v>
      </x:c>
      <x:c r="F10612" s="13" t="str">
        <x:v>Deep Cyclicals</x:v>
      </x:c>
      <x:c r="G10612" s="13" t="str">
        <x:v>grid_wbaxp5t0.xlsx</x:v>
      </x:c>
    </x:row>
    <x:row r="10613">
      <x:c r="A10613" s="15" t="n">
        <x:v>45017</x:v>
      </x:c>
      <x:c r="B10613" s="13" t="str">
        <x:v>USINAS SIDER MINAS GER-PF A</x:v>
      </x:c>
      <x:c r="C10613" s="16" t="n">
        <x:v>1542.5912176612</x:v>
      </x:c>
      <x:c r="D10613" s="13" t="str">
        <x:v>Metals &amp; Mining</x:v>
      </x:c>
      <x:c r="E10613" s="13" t="str">
        <x:v>Metals &amp; Mining</x:v>
      </x:c>
      <x:c r="F10613" s="13" t="str">
        <x:v>Deep Cyclicals</x:v>
      </x:c>
      <x:c r="G10613" s="13" t="str">
        <x:v>grid_wbaxp5t0.xlsx</x:v>
      </x:c>
    </x:row>
    <x:row r="10614">
      <x:c r="A10614" s="15" t="n">
        <x:v>45017</x:v>
      </x:c>
      <x:c r="B10614" s="13" t="str">
        <x:v>VALE SA</x:v>
      </x:c>
      <x:c r="C10614" s="16" t="n">
        <x:v>55727.2652883934</x:v>
      </x:c>
      <x:c r="D10614" s="13" t="str">
        <x:v>Metals &amp; Mining</x:v>
      </x:c>
      <x:c r="E10614" s="13" t="str">
        <x:v>Metals &amp; Mining</x:v>
      </x:c>
      <x:c r="F10614" s="13" t="str">
        <x:v>Deep Cyclicals</x:v>
      </x:c>
      <x:c r="G10614" s="13" t="str">
        <x:v>grid_wbaxp5t0.xlsx</x:v>
      </x:c>
    </x:row>
    <x:row r="10615">
      <x:c r="A10615" s="15" t="n">
        <x:v>45017</x:v>
      </x:c>
      <x:c r="B10615" s="13" t="str">
        <x:v>BRASKEM SA-PREF A</x:v>
      </x:c>
      <x:c r="C10615" s="16" t="n">
        <x:v>211.1097732896</x:v>
      </x:c>
      <x:c r="D10615" s="13" t="str">
        <x:v>Oil, Gas &amp; Petrochemicals</x:v>
      </x:c>
      <x:c r="E10615" s="13" t="str">
        <x:v>Oil, Gas &amp; Petrochemicals</x:v>
      </x:c>
      <x:c r="F10615" s="13" t="str">
        <x:v>Deep Cyclicals</x:v>
      </x:c>
      <x:c r="G10615" s="13" t="str">
        <x:v>grid_wbaxp5t0.xlsx</x:v>
      </x:c>
    </x:row>
    <x:row r="10616">
      <x:c r="A10616" s="15" t="n">
        <x:v>45017</x:v>
      </x:c>
      <x:c r="B10616" s="13" t="str">
        <x:v>BRAVA ENERGIA</x:v>
      </x:c>
      <x:c r="C10616" s="16" t="n">
        <x:v>1884.5425731147</x:v>
      </x:c>
      <x:c r="D10616" s="13" t="str">
        <x:v>Oil, Gas &amp; Petrochemicals</x:v>
      </x:c>
      <x:c r="E10616" s="13" t="str">
        <x:v>Oil, Gas &amp; Petrochemicals</x:v>
      </x:c>
      <x:c r="F10616" s="13" t="str">
        <x:v>Deep Cyclicals</x:v>
      </x:c>
      <x:c r="G10616" s="13" t="str">
        <x:v>grid_wbaxp5t0.xlsx</x:v>
      </x:c>
    </x:row>
    <x:row r="10617">
      <x:c r="A10617" s="15" t="n">
        <x:v>45017</x:v>
      </x:c>
      <x:c r="B10617" s="13" t="str">
        <x:v>COSAN SA</x:v>
      </x:c>
      <x:c r="C10617" s="16" t="n">
        <x:v>1986.5224526339</x:v>
      </x:c>
      <x:c r="D10617" s="13" t="str">
        <x:v>Oil, Gas &amp; Petrochemicals</x:v>
      </x:c>
      <x:c r="E10617" s="13" t="str">
        <x:v>Oil, Gas &amp; Petrochemicals</x:v>
      </x:c>
      <x:c r="F10617" s="13" t="str">
        <x:v>Deep Cyclicals</x:v>
      </x:c>
      <x:c r="G10617" s="13" t="str">
        <x:v>grid_wbaxp5t0.xlsx</x:v>
      </x:c>
    </x:row>
    <x:row r="10618">
      <x:c r="A10618" s="15" t="n">
        <x:v>45017</x:v>
      </x:c>
      <x:c r="B10618" s="13" t="str">
        <x:v>PETROBRAS - PETROLEO BRAS</x:v>
      </x:c>
      <x:c r="C10618" s="16" t="n">
        <x:v>104571.543171497</x:v>
      </x:c>
      <x:c r="D10618" s="13" t="str">
        <x:v>Oil, Gas &amp; Petrochemicals</x:v>
      </x:c>
      <x:c r="E10618" s="13" t="str">
        <x:v>Oil, Gas &amp; Petrochemicals</x:v>
      </x:c>
      <x:c r="F10618" s="13" t="str">
        <x:v>Deep Cyclicals</x:v>
      </x:c>
      <x:c r="G10618" s="13" t="str">
        <x:v>grid_wbaxp5t0.xlsx</x:v>
      </x:c>
    </x:row>
    <x:row r="10619">
      <x:c r="A10619" s="15" t="n">
        <x:v>45017</x:v>
      </x:c>
      <x:c r="B10619" s="13" t="str">
        <x:v>PRIO SA</x:v>
      </x:c>
      <x:c r="C10619" s="16" t="n">
        <x:v>6592.6899549727</x:v>
      </x:c>
      <x:c r="D10619" s="13" t="str">
        <x:v>Oil, Gas &amp; Petrochemicals</x:v>
      </x:c>
      <x:c r="E10619" s="13" t="str">
        <x:v>Oil, Gas &amp; Petrochemicals</x:v>
      </x:c>
      <x:c r="F10619" s="13" t="str">
        <x:v>Deep Cyclicals</x:v>
      </x:c>
      <x:c r="G10619" s="13" t="str">
        <x:v>grid_wbaxp5t0.xlsx</x:v>
      </x:c>
    </x:row>
    <x:row r="10620">
      <x:c r="A10620" s="15" t="n">
        <x:v>45017</x:v>
      </x:c>
      <x:c r="B10620" s="13" t="str">
        <x:v>ULTRAPAR PARTICIPACOES SA</x:v>
      </x:c>
      <x:c r="C10620" s="16" t="n">
        <x:v>1175.5093927869</x:v>
      </x:c>
      <x:c r="D10620" s="13" t="str">
        <x:v>Oil, Gas &amp; Petrochemicals</x:v>
      </x:c>
      <x:c r="E10620" s="13" t="str">
        <x:v>Oil, Gas &amp; Petrochemicals</x:v>
      </x:c>
      <x:c r="F10620" s="13" t="str">
        <x:v>Deep Cyclicals</x:v>
      </x:c>
      <x:c r="G10620" s="13" t="str">
        <x:v>grid_wbaxp5t0.xlsx</x:v>
      </x:c>
    </x:row>
    <x:row r="10621">
      <x:c r="A10621" s="15" t="n">
        <x:v>45017</x:v>
      </x:c>
      <x:c r="B10621" s="13" t="str">
        <x:v>VIBRA ENERGIA SA</x:v>
      </x:c>
      <x:c r="C10621" s="16" t="n">
        <x:v>2019.0124737049</x:v>
      </x:c>
      <x:c r="D10621" s="13" t="str">
        <x:v>Oil, Gas &amp; Petrochemicals</x:v>
      </x:c>
      <x:c r="E10621" s="13" t="str">
        <x:v>Oil, Gas &amp; Petrochemicals</x:v>
      </x:c>
      <x:c r="F10621" s="13" t="str">
        <x:v>Deep Cyclicals</x:v>
      </x:c>
      <x:c r="G10621" s="13" t="str">
        <x:v>grid_wbaxp5t0.xlsx</x:v>
      </x:c>
    </x:row>
    <x:row r="10622">
      <x:c r="A10622" s="15" t="n">
        <x:v>45017</x:v>
      </x:c>
      <x:c r="B10622" s="13" t="str">
        <x:v>DEXCO SA</x:v>
      </x:c>
      <x:c r="C10622" s="16" t="n">
        <x:v>265.2811940546</x:v>
      </x:c>
      <x:c r="D10622" s="13" t="str">
        <x:v>Pulp &amp; Paper</x:v>
      </x:c>
      <x:c r="E10622" s="13" t="str">
        <x:v>Pulp &amp; Paper</x:v>
      </x:c>
      <x:c r="F10622" s="13" t="str">
        <x:v>Deep Cyclicals</x:v>
      </x:c>
      <x:c r="G10622" s="13" t="str">
        <x:v>grid_wbaxp5t0.xlsx</x:v>
      </x:c>
    </x:row>
    <x:row r="10623">
      <x:c r="A10623" s="15" t="n">
        <x:v>45017</x:v>
      </x:c>
      <x:c r="B10623" s="13" t="str">
        <x:v>KLABIN SA - UNIT</x:v>
      </x:c>
      <x:c r="C10623" s="16" t="n">
        <x:v>2472.7658030164</x:v>
      </x:c>
      <x:c r="D10623" s="13" t="str">
        <x:v>Pulp &amp; Paper</x:v>
      </x:c>
      <x:c r="E10623" s="13" t="str">
        <x:v>Pulp &amp; Paper</x:v>
      </x:c>
      <x:c r="F10623" s="13" t="str">
        <x:v>Deep Cyclicals</x:v>
      </x:c>
      <x:c r="G10623" s="13" t="str">
        <x:v>grid_wbaxp5t0.xlsx</x:v>
      </x:c>
    </x:row>
    <x:row r="10624">
      <x:c r="A10624" s="15" t="n">
        <x:v>45017</x:v>
      </x:c>
      <x:c r="B10624" s="13" t="str">
        <x:v>SUZANO SA</x:v>
      </x:c>
      <x:c r="C10624" s="16" t="n">
        <x:v>7349.6567984262</x:v>
      </x:c>
      <x:c r="D10624" s="13" t="str">
        <x:v>Pulp &amp; Paper</x:v>
      </x:c>
      <x:c r="E10624" s="13" t="str">
        <x:v>Pulp &amp; Paper</x:v>
      </x:c>
      <x:c r="F10624" s="13" t="str">
        <x:v>Deep Cyclicals</x:v>
      </x:c>
      <x:c r="G10624" s="13" t="str">
        <x:v>grid_wbaxp5t0.xlsx</x:v>
      </x:c>
    </x:row>
    <x:row r="10625">
      <x:c r="A10625" s="15" t="n">
        <x:v>45017</x:v>
      </x:c>
      <x:c r="B10625" s="13" t="str">
        <x:v>ALPARGATAS SA - PREF</x:v>
      </x:c>
      <x:c r="C10625" s="16" t="n">
        <x:v>426.2704918033</x:v>
      </x:c>
      <x:c r="D10625" s="13" t="str">
        <x:v>Retail</x:v>
      </x:c>
      <x:c r="E10625" s="13" t="str">
        <x:v>Retail</x:v>
      </x:c>
      <x:c r="F10625" s="13" t="str">
        <x:v>Early Cyclicals</x:v>
      </x:c>
      <x:c r="G10625" s="13" t="str">
        <x:v>grid_wbaxp5t0.xlsx</x:v>
      </x:c>
    </x:row>
    <x:row r="10626">
      <x:c r="A10626" s="15" t="n">
        <x:v>45017</x:v>
      </x:c>
      <x:c r="B10626" s="13" t="str">
        <x:v>ATACADAO SA</x:v>
      </x:c>
      <x:c r="C10626" s="16" t="n">
        <x:v>2088.397583388</x:v>
      </x:c>
      <x:c r="D10626" s="13" t="str">
        <x:v>Retail</x:v>
      </x:c>
      <x:c r="E10626" s="13" t="str">
        <x:v>Retail</x:v>
      </x:c>
      <x:c r="F10626" s="13" t="str">
        <x:v>Early Cyclicals</x:v>
      </x:c>
      <x:c r="G10626" s="13" t="str">
        <x:v>grid_wbaxp5t0.xlsx</x:v>
      </x:c>
    </x:row>
    <x:row r="10627">
      <x:c r="A10627" s="15" t="n">
        <x:v>45017</x:v>
      </x:c>
      <x:c r="B10627" s="13" t="str">
        <x:v>AZZAS 2154 SA</x:v>
      </x:c>
      <x:c r="C10627" s="16" t="n">
        <x:v>516.9091422077</x:v>
      </x:c>
      <x:c r="D10627" s="13" t="str">
        <x:v>Retail</x:v>
      </x:c>
      <x:c r="E10627" s="13" t="str">
        <x:v>Retail</x:v>
      </x:c>
      <x:c r="F10627" s="13" t="str">
        <x:v>Early Cyclicals</x:v>
      </x:c>
      <x:c r="G10627" s="13" t="str">
        <x:v>grid_wbaxp5t0.xlsx</x:v>
      </x:c>
    </x:row>
    <x:row r="10628">
      <x:c r="A10628" s="15" t="n">
        <x:v>45017</x:v>
      </x:c>
      <x:c r="B10628" s="13" t="str">
        <x:v>CIA BRASILEIRA DE DISTRIBUIC</x:v>
      </x:c>
      <x:c r="C10628" s="16" t="n">
        <x:v>26.6610333115</x:v>
      </x:c>
      <x:c r="D10628" s="13" t="str">
        <x:v>Retail</x:v>
      </x:c>
      <x:c r="E10628" s="13" t="str">
        <x:v>Retail</x:v>
      </x:c>
      <x:c r="F10628" s="13" t="str">
        <x:v>Early Cyclicals</x:v>
      </x:c>
      <x:c r="G10628" s="13" t="str">
        <x:v>grid_wbaxp5t0.xlsx</x:v>
      </x:c>
    </x:row>
    <x:row r="10629">
      <x:c r="A10629" s="15" t="n">
        <x:v>45017</x:v>
      </x:c>
      <x:c r="B10629" s="13" t="str">
        <x:v>CVC BRASIL OPERADORA E AGENC</x:v>
      </x:c>
      <x:c r="C10629" s="16" t="n">
        <x:v>-85.0837213115</x:v>
      </x:c>
      <x:c r="D10629" s="13" t="str">
        <x:v>Retail</x:v>
      </x:c>
      <x:c r="E10629" s="13" t="str">
        <x:v>Retail</x:v>
      </x:c>
      <x:c r="F10629" s="13" t="str">
        <x:v>Early Cyclicals</x:v>
      </x:c>
      <x:c r="G10629" s="13" t="str">
        <x:v>grid_wbaxp5t0.xlsx</x:v>
      </x:c>
    </x:row>
    <x:row r="10630">
      <x:c r="A10630" s="15" t="n">
        <x:v>45017</x:v>
      </x:c>
      <x:c r="B10630" s="13" t="str">
        <x:v>GRUPO CASAS BAHIA SA</x:v>
      </x:c>
      <x:c r="C10630" s="16" t="n">
        <x:v>-298.5221692678</x:v>
      </x:c>
      <x:c r="D10630" s="13" t="str">
        <x:v>Retail</x:v>
      </x:c>
      <x:c r="E10630" s="13" t="str">
        <x:v>Retail</x:v>
      </x:c>
      <x:c r="F10630" s="13" t="str">
        <x:v>Early Cyclicals</x:v>
      </x:c>
      <x:c r="G10630" s="13" t="str">
        <x:v>grid_wbaxp5t0.xlsx</x:v>
      </x:c>
    </x:row>
    <x:row r="10631">
      <x:c r="A10631" s="15" t="n">
        <x:v>45017</x:v>
      </x:c>
      <x:c r="B10631" s="13" t="str">
        <x:v>GRUPO DE MODA SOMA SA</x:v>
      </x:c>
      <x:c r="C10631" s="16" t="n">
        <x:v>543.3315684372</x:v>
      </x:c>
      <x:c r="D10631" s="13" t="str">
        <x:v>Retail</x:v>
      </x:c>
      <x:c r="E10631" s="13" t="str">
        <x:v>Retail</x:v>
      </x:c>
      <x:c r="F10631" s="13" t="str">
        <x:v>Early Cyclicals</x:v>
      </x:c>
      <x:c r="G10631" s="13" t="str">
        <x:v>grid_wbaxp5t0.xlsx</x:v>
      </x:c>
    </x:row>
    <x:row r="10632">
      <x:c r="A10632" s="15" t="n">
        <x:v>45017</x:v>
      </x:c>
      <x:c r="B10632" s="13" t="str">
        <x:v>LOJAS RENNER S.A.</x:v>
      </x:c>
      <x:c r="C10632" s="16" t="n">
        <x:v>1431.872098623</x:v>
      </x:c>
      <x:c r="D10632" s="13" t="str">
        <x:v>Retail</x:v>
      </x:c>
      <x:c r="E10632" s="13" t="str">
        <x:v>Retail</x:v>
      </x:c>
      <x:c r="F10632" s="13" t="str">
        <x:v>Early Cyclicals</x:v>
      </x:c>
      <x:c r="G10632" s="13" t="str">
        <x:v>grid_wbaxp5t0.xlsx</x:v>
      </x:c>
    </x:row>
    <x:row r="10633">
      <x:c r="A10633" s="15" t="n">
        <x:v>45017</x:v>
      </x:c>
      <x:c r="B10633" s="13" t="str">
        <x:v>MAGAZINE LUIZA SA</x:v>
      </x:c>
      <x:c r="C10633" s="16" t="n">
        <x:v>170.7745412568</x:v>
      </x:c>
      <x:c r="D10633" s="13" t="str">
        <x:v>Retail</x:v>
      </x:c>
      <x:c r="E10633" s="13" t="str">
        <x:v>Retail</x:v>
      </x:c>
      <x:c r="F10633" s="13" t="str">
        <x:v>Early Cyclicals</x:v>
      </x:c>
      <x:c r="G10633" s="13" t="str">
        <x:v>grid_wbaxp5t0.xlsx</x:v>
      </x:c>
    </x:row>
    <x:row r="10634">
      <x:c r="A10634" s="15" t="n">
        <x:v>45017</x:v>
      </x:c>
      <x:c r="B10634" s="13" t="str">
        <x:v>NATURA &amp;CO HOLDING SA</x:v>
      </x:c>
      <x:c r="C10634" s="16" t="n">
        <x:v>440.6238548634</x:v>
      </x:c>
      <x:c r="D10634" s="13" t="str">
        <x:v>Retail</x:v>
      </x:c>
      <x:c r="E10634" s="13" t="str">
        <x:v>Retail</x:v>
      </x:c>
      <x:c r="F10634" s="13" t="str">
        <x:v>Early Cyclicals</x:v>
      </x:c>
      <x:c r="G10634" s="13" t="str">
        <x:v>grid_wbaxp5t0.xlsx</x:v>
      </x:c>
    </x:row>
    <x:row r="10635">
      <x:c r="A10635" s="15" t="n">
        <x:v>45017</x:v>
      </x:c>
      <x:c r="B10635" s="13" t="str">
        <x:v>PET CENTER COMERCIO E PARTIC</x:v>
      </x:c>
      <x:c r="C10635" s="16" t="n">
        <x:v>139.6736338798</x:v>
      </x:c>
      <x:c r="D10635" s="13" t="str">
        <x:v>Retail</x:v>
      </x:c>
      <x:c r="E10635" s="13" t="str">
        <x:v>Retail</x:v>
      </x:c>
      <x:c r="F10635" s="13" t="str">
        <x:v>Early Cyclicals</x:v>
      </x:c>
      <x:c r="G10635" s="13" t="str">
        <x:v>grid_wbaxp5t0.xlsx</x:v>
      </x:c>
    </x:row>
    <x:row r="10636">
      <x:c r="A10636" s="15" t="n">
        <x:v>45017</x:v>
      </x:c>
      <x:c r="B10636" s="13" t="str">
        <x:v>RAIA DROGASIL SA</x:v>
      </x:c>
      <x:c r="C10636" s="16" t="n">
        <x:v>1263.1230265355</x:v>
      </x:c>
      <x:c r="D10636" s="13" t="str">
        <x:v>Retail</x:v>
      </x:c>
      <x:c r="E10636" s="13" t="str">
        <x:v>Retail</x:v>
      </x:c>
      <x:c r="F10636" s="13" t="str">
        <x:v>Early Cyclicals</x:v>
      </x:c>
      <x:c r="G10636" s="13" t="str">
        <x:v>grid_wbaxp5t0.xlsx</x:v>
      </x:c>
    </x:row>
    <x:row r="10637">
      <x:c r="A10637" s="15" t="n">
        <x:v>45017</x:v>
      </x:c>
      <x:c r="B10637" s="13" t="str">
        <x:v>SENDAS DISTRIBUIDORA SA</x:v>
      </x:c>
      <x:c r="C10637" s="16" t="n">
        <x:v>1672.8142671038</x:v>
      </x:c>
      <x:c r="D10637" s="13" t="str">
        <x:v>Retail</x:v>
      </x:c>
      <x:c r="E10637" s="13" t="str">
        <x:v>Retail</x:v>
      </x:c>
      <x:c r="F10637" s="13" t="str">
        <x:v>Early Cyclicals</x:v>
      </x:c>
      <x:c r="G10637" s="13" t="str">
        <x:v>grid_wbaxp5t0.xlsx</x:v>
      </x:c>
    </x:row>
    <x:row r="10638">
      <x:c r="A10638" s="15" t="n">
        <x:v>45017</x:v>
      </x:c>
      <x:c r="B10638" s="13" t="str">
        <x:v>CIA SANEAMENTO BASICO DE SP</x:v>
      </x:c>
      <x:c r="C10638" s="16" t="n">
        <x:v>3631.313821377</x:v>
      </x:c>
      <x:c r="D10638" s="13" t="str">
        <x:v>Sanitation</x:v>
      </x:c>
      <x:c r="E10638" s="13" t="str">
        <x:v>Utilities</x:v>
      </x:c>
      <x:c r="F10638" s="13" t="str">
        <x:v>Defensives</x:v>
      </x:c>
      <x:c r="G10638" s="13" t="str">
        <x:v>grid_wbaxp5t0.xlsx</x:v>
      </x:c>
    </x:row>
    <x:row r="10639">
      <x:c r="A10639" s="15" t="n">
        <x:v>45017</x:v>
      </x:c>
      <x:c r="B10639" s="13" t="str">
        <x:v>LWSA SA</x:v>
      </x:c>
      <x:c r="C10639" s="16" t="n">
        <x:v>135.5564016393</x:v>
      </x:c>
      <x:c r="D10639" s="13" t="str">
        <x:v>TMT</x:v>
      </x:c>
      <x:c r="E10639" s="13" t="str">
        <x:v>TMT</x:v>
      </x:c>
      <x:c r="F10639" s="13" t="str">
        <x:v>Early Cyclicals</x:v>
      </x:c>
      <x:c r="G10639" s="13" t="str">
        <x:v>grid_wbaxp5t0.xlsx</x:v>
      </x:c>
    </x:row>
    <x:row r="10640">
      <x:c r="A10640" s="15" t="n">
        <x:v>45017</x:v>
      </x:c>
      <x:c r="B10640" s="13" t="str">
        <x:v>TIM SA</x:v>
      </x:c>
      <x:c r="C10640" s="16" t="n">
        <x:v>2226.0690979672</x:v>
      </x:c>
      <x:c r="D10640" s="13" t="str">
        <x:v>TMT</x:v>
      </x:c>
      <x:c r="E10640" s="13" t="str">
        <x:v>TMT</x:v>
      </x:c>
      <x:c r="F10640" s="13" t="str">
        <x:v>Early Cyclicals</x:v>
      </x:c>
      <x:c r="G10640" s="13" t="str">
        <x:v>grid_wbaxp5t0.xlsx</x:v>
      </x:c>
    </x:row>
    <x:row r="10641">
      <x:c r="A10641" s="15" t="n">
        <x:v>45017</x:v>
      </x:c>
      <x:c r="B10641" s="13" t="str">
        <x:v>TOTVS SA</x:v>
      </x:c>
      <x:c r="C10641" s="16" t="n">
        <x:v>770.6773467978</x:v>
      </x:c>
      <x:c r="D10641" s="13" t="str">
        <x:v>TMT</x:v>
      </x:c>
      <x:c r="E10641" s="13" t="str">
        <x:v>TMT</x:v>
      </x:c>
      <x:c r="F10641" s="13" t="str">
        <x:v>Early Cyclicals</x:v>
      </x:c>
      <x:c r="G10641" s="13" t="str">
        <x:v>grid_wbaxp5t0.xlsx</x:v>
      </x:c>
    </x:row>
    <x:row r="10642">
      <x:c r="A10642" s="15" t="n">
        <x:v>45017</x:v>
      </x:c>
      <x:c r="B10642" s="13" t="str">
        <x:v>AZUL SA</x:v>
      </x:c>
      <x:c r="C10642" s="16" t="n">
        <x:v>-163.8002596284</x:v>
      </x:c>
      <x:c r="D10642" s="13" t="str">
        <x:v>Transportation</x:v>
      </x:c>
      <x:c r="E10642" s="13" t="str">
        <x:v>Transportation</x:v>
      </x:c>
      <x:c r="F10642" s="13" t="str">
        <x:v>Deep Cyclicals</x:v>
      </x:c>
      <x:c r="G10642" s="13" t="str">
        <x:v>grid_wbaxp5t0.xlsx</x:v>
      </x:c>
    </x:row>
    <x:row r="10643">
      <x:c r="A10643" s="15" t="n">
        <x:v>45017</x:v>
      </x:c>
      <x:c r="B10643" s="13" t="str">
        <x:v>ECORODOVIAS INFRA E LOG SA</x:v>
      </x:c>
      <x:c r="C10643" s="16" t="n">
        <x:v>442.3335160656</x:v>
      </x:c>
      <x:c r="D10643" s="13" t="str">
        <x:v>Transportation</x:v>
      </x:c>
      <x:c r="E10643" s="13" t="str">
        <x:v>Transportation</x:v>
      </x:c>
      <x:c r="F10643" s="13" t="str">
        <x:v>Deep Cyclicals</x:v>
      </x:c>
      <x:c r="G10643" s="13" t="str">
        <x:v>grid_wbaxp5t0.xlsx</x:v>
      </x:c>
    </x:row>
    <x:row r="10644">
      <x:c r="A10644" s="15" t="n">
        <x:v>45017</x:v>
      </x:c>
      <x:c r="B10644" s="13" t="str">
        <x:v>GOL LINHAS AEREAS INT SA-PRE</x:v>
      </x:c>
      <x:c r="C10644" s="16" t="n">
        <x:v>-9.8040930273</x:v>
      </x:c>
      <x:c r="D10644" s="13" t="str">
        <x:v>Transportation</x:v>
      </x:c>
      <x:c r="E10644" s="13" t="str">
        <x:v>Transportation</x:v>
      </x:c>
      <x:c r="F10644" s="13" t="str">
        <x:v>Deep Cyclicals</x:v>
      </x:c>
      <x:c r="G10644" s="13" t="str">
        <x:v>grid_wbaxp5t0.xlsx</x:v>
      </x:c>
    </x:row>
    <x:row r="10645">
      <x:c r="A10645" s="15" t="n">
        <x:v>45017</x:v>
      </x:c>
      <x:c r="B10645" s="13" t="str">
        <x:v>LOCALIZA RENT A CAR</x:v>
      </x:c>
      <x:c r="C10645" s="16" t="n">
        <x:v>3141.9121591257</x:v>
      </x:c>
      <x:c r="D10645" s="13" t="str">
        <x:v>Transportation</x:v>
      </x:c>
      <x:c r="E10645" s="13" t="str">
        <x:v>Transportation</x:v>
      </x:c>
      <x:c r="F10645" s="13" t="str">
        <x:v>Deep Cyclicals</x:v>
      </x:c>
      <x:c r="G10645" s="13" t="str">
        <x:v>grid_wbaxp5t0.xlsx</x:v>
      </x:c>
    </x:row>
    <x:row r="10646">
      <x:c r="A10646" s="15" t="n">
        <x:v>45017</x:v>
      </x:c>
      <x:c r="B10646" s="13" t="str">
        <x:v>MOTIVA INFRAESTRUTURA DE MOB</x:v>
      </x:c>
      <x:c r="C10646" s="16" t="n">
        <x:v>1554.6301202186</x:v>
      </x:c>
      <x:c r="D10646" s="13" t="str">
        <x:v>Transportation</x:v>
      </x:c>
      <x:c r="E10646" s="13" t="str">
        <x:v>Transportation</x:v>
      </x:c>
      <x:c r="F10646" s="13" t="str">
        <x:v>Deep Cyclicals</x:v>
      </x:c>
      <x:c r="G10646" s="13" t="str">
        <x:v>grid_wbaxp5t0.xlsx</x:v>
      </x:c>
    </x:row>
    <x:row r="10647">
      <x:c r="A10647" s="15" t="n">
        <x:v>45017</x:v>
      </x:c>
      <x:c r="B10647" s="13" t="str">
        <x:v>RUMO SA</x:v>
      </x:c>
      <x:c r="C10647" s="16" t="n">
        <x:v>1221.8295361749</x:v>
      </x:c>
      <x:c r="D10647" s="13" t="str">
        <x:v>Transportation</x:v>
      </x:c>
      <x:c r="E10647" s="13" t="str">
        <x:v>Transportation</x:v>
      </x:c>
      <x:c r="F10647" s="13" t="str">
        <x:v>Deep Cyclicals</x:v>
      </x:c>
      <x:c r="G10647" s="13" t="str">
        <x:v>grid_wbaxp5t0.xlsx</x:v>
      </x:c>
    </x:row>
    <x:row r="10648">
      <x:c r="A10648" s="15" t="n">
        <x:v>45017</x:v>
      </x:c>
      <x:c r="B10648" s="13" t="str">
        <x:v>AXIA ENERGIA SA</x:v>
      </x:c>
      <x:c r="C10648" s="16" t="n">
        <x:v>7924.772231694</x:v>
      </x:c>
      <x:c r="D10648" s="13" t="str">
        <x:v>Utilities &amp; Energy</x:v>
      </x:c>
      <x:c r="E10648" s="13" t="str">
        <x:v>Utilities</x:v>
      </x:c>
      <x:c r="F10648" s="13" t="str">
        <x:v>Defensives</x:v>
      </x:c>
      <x:c r="G10648" s="13" t="str">
        <x:v>grid_wbaxp5t0.xlsx</x:v>
      </x:c>
    </x:row>
    <x:row r="10649">
      <x:c r="A10649" s="15" t="n">
        <x:v>45017</x:v>
      </x:c>
      <x:c r="B10649" s="13" t="str">
        <x:v>AXIA ENERGIA-PR B</x:v>
      </x:c>
      <x:c r="C10649" s="16" t="n">
        <x:v>7924.772231694</x:v>
      </x:c>
      <x:c r="D10649" s="13" t="str">
        <x:v>Utilities &amp; Energy</x:v>
      </x:c>
      <x:c r="E10649" s="13" t="str">
        <x:v>Utilities</x:v>
      </x:c>
      <x:c r="F10649" s="13" t="str">
        <x:v>Defensives</x:v>
      </x:c>
      <x:c r="G10649" s="13" t="str">
        <x:v>grid_wbaxp5t0.xlsx</x:v>
      </x:c>
    </x:row>
    <x:row r="10650">
      <x:c r="A10650" s="15" t="n">
        <x:v>45017</x:v>
      </x:c>
      <x:c r="B10650" s="13" t="str">
        <x:v>CIA ENERGETICA MINAS GER-PRF</x:v>
      </x:c>
      <x:c r="C10650" s="16" t="n">
        <x:v>3621.3201703169</x:v>
      </x:c>
      <x:c r="D10650" s="13" t="str">
        <x:v>Utilities &amp; Energy</x:v>
      </x:c>
      <x:c r="E10650" s="13" t="str">
        <x:v>Utilities</x:v>
      </x:c>
      <x:c r="F10650" s="13" t="str">
        <x:v>Defensives</x:v>
      </x:c>
      <x:c r="G10650" s="13" t="str">
        <x:v>grid_wbaxp5t0.xlsx</x:v>
      </x:c>
    </x:row>
    <x:row r="10651">
      <x:c r="A10651" s="15" t="n">
        <x:v>45017</x:v>
      </x:c>
      <x:c r="B10651" s="13" t="str">
        <x:v>COMPANHIA PARANAENSE -PREF B</x:v>
      </x:c>
      <x:c r="C10651" s="16" t="n">
        <x:v>2000.0117092022</x:v>
      </x:c>
      <x:c r="D10651" s="13" t="str">
        <x:v>Utilities &amp; Energy</x:v>
      </x:c>
      <x:c r="E10651" s="13" t="str">
        <x:v>Utilities</x:v>
      </x:c>
      <x:c r="F10651" s="13" t="str">
        <x:v>Defensives</x:v>
      </x:c>
      <x:c r="G10651" s="13" t="str">
        <x:v>grid_wbaxp5t0.xlsx</x:v>
      </x:c>
    </x:row>
    <x:row r="10652">
      <x:c r="A10652" s="15" t="n">
        <x:v>45017</x:v>
      </x:c>
      <x:c r="B10652" s="13" t="str">
        <x:v>CPFL ENERGIA SA</x:v>
      </x:c>
      <x:c r="C10652" s="16" t="n">
        <x:v>4705.9055492896</x:v>
      </x:c>
      <x:c r="D10652" s="13" t="str">
        <x:v>Utilities &amp; Energy</x:v>
      </x:c>
      <x:c r="E10652" s="13" t="str">
        <x:v>Utilities</x:v>
      </x:c>
      <x:c r="F10652" s="13" t="str">
        <x:v>Defensives</x:v>
      </x:c>
      <x:c r="G10652" s="13" t="str">
        <x:v>grid_wbaxp5t0.xlsx</x:v>
      </x:c>
    </x:row>
    <x:row r="10653">
      <x:c r="A10653" s="15" t="n">
        <x:v>45017</x:v>
      </x:c>
      <x:c r="B10653" s="13" t="str">
        <x:v>EDP - ENERGIAS DO BRASIL SA</x:v>
      </x:c>
      <x:c r="C10653" s="16" t="n">
        <x:v>1616</x:v>
      </x:c>
      <x:c r="D10653" s="13" t="str">
        <x:v>Utilities &amp; Energy</x:v>
      </x:c>
      <x:c r="E10653" s="13" t="str">
        <x:v>Utilities</x:v>
      </x:c>
      <x:c r="F10653" s="13" t="str">
        <x:v>Defensives</x:v>
      </x:c>
      <x:c r="G10653" s="13" t="str">
        <x:v>grid_wbaxp5t0.xlsx</x:v>
      </x:c>
    </x:row>
    <x:row r="10654">
      <x:c r="A10654" s="15" t="n">
        <x:v>45017</x:v>
      </x:c>
      <x:c r="B10654" s="13" t="str">
        <x:v>ENERGISA SA-UNITS</x:v>
      </x:c>
      <x:c r="C10654" s="16" t="n">
        <x:v>1702.8925856175</x:v>
      </x:c>
      <x:c r="D10654" s="13" t="str">
        <x:v>Utilities &amp; Energy</x:v>
      </x:c>
      <x:c r="E10654" s="13" t="str">
        <x:v>Utilities</x:v>
      </x:c>
      <x:c r="F10654" s="13" t="str">
        <x:v>Defensives</x:v>
      </x:c>
      <x:c r="G10654" s="13" t="str">
        <x:v>grid_wbaxp5t0.xlsx</x:v>
      </x:c>
    </x:row>
    <x:row r="10655">
      <x:c r="A10655" s="15" t="n">
        <x:v>45017</x:v>
      </x:c>
      <x:c r="B10655" s="13" t="str">
        <x:v>ENEVA SA</x:v>
      </x:c>
      <x:c r="C10655" s="16" t="n">
        <x:v>1177.0434759344</x:v>
      </x:c>
      <x:c r="D10655" s="13" t="str">
        <x:v>Utilities &amp; Energy</x:v>
      </x:c>
      <x:c r="E10655" s="13" t="str">
        <x:v>Utilities</x:v>
      </x:c>
      <x:c r="F10655" s="13" t="str">
        <x:v>Defensives</x:v>
      </x:c>
      <x:c r="G10655" s="13" t="str">
        <x:v>grid_wbaxp5t0.xlsx</x:v>
      </x:c>
    </x:row>
    <x:row r="10656">
      <x:c r="A10656" s="15" t="n">
        <x:v>45017</x:v>
      </x:c>
      <x:c r="B10656" s="13" t="str">
        <x:v>ENGIE BRASIL ENERGIA SA</x:v>
      </x:c>
      <x:c r="C10656" s="16" t="n">
        <x:v>3428.0211213989</x:v>
      </x:c>
      <x:c r="D10656" s="13" t="str">
        <x:v>Utilities &amp; Energy</x:v>
      </x:c>
      <x:c r="E10656" s="13" t="str">
        <x:v>Utilities</x:v>
      </x:c>
      <x:c r="F10656" s="13" t="str">
        <x:v>Defensives</x:v>
      </x:c>
      <x:c r="G10656" s="13" t="str">
        <x:v>grid_wbaxp5t0.xlsx</x:v>
      </x:c>
    </x:row>
    <x:row r="10657">
      <x:c r="A10657" s="15" t="n">
        <x:v>45017</x:v>
      </x:c>
      <x:c r="B10657" s="13" t="str">
        <x:v>EQUATORIAL SA - ORD</x:v>
      </x:c>
      <x:c r="C10657" s="16" t="n">
        <x:v>2598.2442617705</x:v>
      </x:c>
      <x:c r="D10657" s="13" t="str">
        <x:v>Utilities &amp; Energy</x:v>
      </x:c>
      <x:c r="E10657" s="13" t="str">
        <x:v>Utilities</x:v>
      </x:c>
      <x:c r="F10657" s="13" t="str">
        <x:v>Defensives</x:v>
      </x:c>
      <x:c r="G10657" s="13" t="str">
        <x:v>grid_wbaxp5t0.xlsx</x:v>
      </x:c>
    </x:row>
    <x:row r="10658">
      <x:c r="A10658" s="15" t="n">
        <x:v>45017</x:v>
      </x:c>
      <x:c r="B10658" s="13" t="str">
        <x:v>TRANSMISSORA ALIANCA DE-UNIT</x:v>
      </x:c>
      <x:c r="C10658" s="16" t="n">
        <x:v>1121.4569281749</x:v>
      </x:c>
      <x:c r="D10658" s="13" t="str">
        <x:v>Utilities &amp; Energy</x:v>
      </x:c>
      <x:c r="E10658" s="13" t="str">
        <x:v>Utilities</x:v>
      </x:c>
      <x:c r="F10658" s="13" t="str">
        <x:v>Defensives</x:v>
      </x:c>
      <x:c r="G10658" s="13" t="str">
        <x:v>grid_wbaxp5t0.xlsx</x:v>
      </x:c>
    </x:row>
    <x:row r="10659">
      <x:c r="A10659" s="15" t="n">
        <x:v>45047</x:v>
      </x:c>
      <x:c r="B10659" s="13" t="str">
        <x:v>RAIZEN SA - PREFERENCE</x:v>
      </x:c>
      <x:c r="C10659" s="16" t="n">
        <x:v>3711.9103649315</x:v>
      </x:c>
      <x:c r="D10659" s="13" t="str">
        <x:v>Agribusiness</x:v>
      </x:c>
      <x:c r="E10659" s="13" t="str">
        <x:v>Agri, Food &amp; Beverages</x:v>
      </x:c>
      <x:c r="F10659" s="13" t="str">
        <x:v>Defensives</x:v>
      </x:c>
      <x:c r="G10659" s="13" t="str">
        <x:v>grid_wbaxp5t0.xlsx</x:v>
      </x:c>
    </x:row>
    <x:row r="10660">
      <x:c r="A10660" s="15" t="n">
        <x:v>45047</x:v>
      </x:c>
      <x:c r="B10660" s="13" t="str">
        <x:v>SAO MARTINHO SA</x:v>
      </x:c>
      <x:c r="C10660" s="16" t="n">
        <x:v>1350.6093659178</x:v>
      </x:c>
      <x:c r="D10660" s="13" t="str">
        <x:v>Agribusiness</x:v>
      </x:c>
      <x:c r="E10660" s="13" t="str">
        <x:v>Agri, Food &amp; Beverages</x:v>
      </x:c>
      <x:c r="F10660" s="13" t="str">
        <x:v>Defensives</x:v>
      </x:c>
      <x:c r="G10660" s="13" t="str">
        <x:v>grid_wbaxp5t0.xlsx</x:v>
      </x:c>
    </x:row>
    <x:row r="10661">
      <x:c r="A10661" s="15" t="n">
        <x:v>45047</x:v>
      </x:c>
      <x:c r="B10661" s="13" t="str">
        <x:v>SLC AGRICOLA SA</x:v>
      </x:c>
      <x:c r="C10661" s="16" t="n">
        <x:v>1319.5862802186</x:v>
      </x:c>
      <x:c r="D10661" s="13" t="str">
        <x:v>Agribusiness</x:v>
      </x:c>
      <x:c r="E10661" s="13" t="str">
        <x:v>Agri, Food &amp; Beverages</x:v>
      </x:c>
      <x:c r="F10661" s="13" t="str">
        <x:v>Defensives</x:v>
      </x:c>
      <x:c r="G10661" s="13" t="str">
        <x:v>grid_wbaxp5t0.xlsx</x:v>
      </x:c>
    </x:row>
    <x:row r="10662">
      <x:c r="A10662" s="15" t="n">
        <x:v>45047</x:v>
      </x:c>
      <x:c r="B10662" s="13" t="str">
        <x:v>BANCO BRADESCO S.A.</x:v>
      </x:c>
      <x:c r="C10662" s="16" t="n">
        <x:v>22802.0670531148</x:v>
      </x:c>
      <x:c r="D10662" s="13" t="str">
        <x:v>Banks</x:v>
      </x:c>
      <x:c r="E10662" s="13" t="str">
        <x:v>Banks</x:v>
      </x:c>
      <x:c r="F10662" s="13" t="str">
        <x:v>Financials</x:v>
      </x:c>
      <x:c r="G10662" s="13" t="str">
        <x:v>grid_wbaxp5t0.xlsx</x:v>
      </x:c>
    </x:row>
    <x:row r="10663">
      <x:c r="A10663" s="15" t="n">
        <x:v>45047</x:v>
      </x:c>
      <x:c r="B10663" s="13" t="str">
        <x:v>BANCO BRADESCO SA-PREF</x:v>
      </x:c>
      <x:c r="C10663" s="16" t="n">
        <x:v>22802.0670531148</x:v>
      </x:c>
      <x:c r="D10663" s="13" t="str">
        <x:v>Banks</x:v>
      </x:c>
      <x:c r="E10663" s="13" t="str">
        <x:v>Banks</x:v>
      </x:c>
      <x:c r="F10663" s="13" t="str">
        <x:v>Financials</x:v>
      </x:c>
      <x:c r="G10663" s="13" t="str">
        <x:v>grid_wbaxp5t0.xlsx</x:v>
      </x:c>
    </x:row>
    <x:row r="10664">
      <x:c r="A10664" s="15" t="n">
        <x:v>45047</x:v>
      </x:c>
      <x:c r="B10664" s="13" t="str">
        <x:v>BANCO BTG PACTUAL SA-UNIT</x:v>
      </x:c>
      <x:c r="C10664" s="16" t="n">
        <x:v>9987.9904272787</x:v>
      </x:c>
      <x:c r="D10664" s="13" t="str">
        <x:v>Banks</x:v>
      </x:c>
      <x:c r="E10664" s="13" t="str">
        <x:v>Banks</x:v>
      </x:c>
      <x:c r="F10664" s="13" t="str">
        <x:v>Financials</x:v>
      </x:c>
      <x:c r="G10664" s="13" t="str">
        <x:v>grid_wbaxp5t0.xlsx</x:v>
      </x:c>
    </x:row>
    <x:row r="10665">
      <x:c r="A10665" s="15" t="n">
        <x:v>45047</x:v>
      </x:c>
      <x:c r="B10665" s="13" t="str">
        <x:v>BANCO DO BRASIL S.A.</x:v>
      </x:c>
      <x:c r="C10665" s="16" t="n">
        <x:v>35147.631073224</x:v>
      </x:c>
      <x:c r="D10665" s="13" t="str">
        <x:v>Banks</x:v>
      </x:c>
      <x:c r="E10665" s="13" t="str">
        <x:v>Banks</x:v>
      </x:c>
      <x:c r="F10665" s="13" t="str">
        <x:v>Financials</x:v>
      </x:c>
      <x:c r="G10665" s="13" t="str">
        <x:v>grid_wbaxp5t0.xlsx</x:v>
      </x:c>
    </x:row>
    <x:row r="10666">
      <x:c r="A10666" s="15" t="n">
        <x:v>45047</x:v>
      </x:c>
      <x:c r="B10666" s="13" t="str">
        <x:v>BANCO SANTANDER  BRASIL-UNIT</x:v>
      </x:c>
      <x:c r="C10666" s="16" t="n">
        <x:v>12590.4432290273</x:v>
      </x:c>
      <x:c r="D10666" s="13" t="str">
        <x:v>Banks</x:v>
      </x:c>
      <x:c r="E10666" s="13" t="str">
        <x:v>Banks</x:v>
      </x:c>
      <x:c r="F10666" s="13" t="str">
        <x:v>Financials</x:v>
      </x:c>
      <x:c r="G10666" s="13" t="str">
        <x:v>grid_wbaxp5t0.xlsx</x:v>
      </x:c>
    </x:row>
    <x:row r="10667">
      <x:c r="A10667" s="15" t="n">
        <x:v>45047</x:v>
      </x:c>
      <x:c r="B10667" s="13" t="str">
        <x:v>ITAU UNIBANCO HOLDING S-PREF</x:v>
      </x:c>
      <x:c r="C10667" s="16" t="n">
        <x:v>36808.2267376612</x:v>
      </x:c>
      <x:c r="D10667" s="13" t="str">
        <x:v>Banks</x:v>
      </x:c>
      <x:c r="E10667" s="13" t="str">
        <x:v>Banks</x:v>
      </x:c>
      <x:c r="F10667" s="13" t="str">
        <x:v>Financials</x:v>
      </x:c>
      <x:c r="G10667" s="13" t="str">
        <x:v>grid_wbaxp5t0.xlsx</x:v>
      </x:c>
    </x:row>
    <x:row r="10668">
      <x:c r="A10668" s="15" t="n">
        <x:v>45047</x:v>
      </x:c>
      <x:c r="B10668" s="13" t="str">
        <x:v>EMBRAER SA</x:v>
      </x:c>
      <x:c r="C10668" s="16" t="n">
        <x:v>879.369502776</x:v>
      </x:c>
      <x:c r="D10668" s="13" t="str">
        <x:v>Capital Goods</x:v>
      </x:c>
      <x:c r="E10668" s="13" t="str">
        <x:v>Capital Goods</x:v>
      </x:c>
      <x:c r="F10668" s="13" t="str">
        <x:v>Deep Cyclicals</x:v>
      </x:c>
      <x:c r="G10668" s="13" t="str">
        <x:v>grid_wbaxp5t0.xlsx</x:v>
      </x:c>
    </x:row>
    <x:row r="10669">
      <x:c r="A10669" s="15" t="n">
        <x:v>45047</x:v>
      </x:c>
      <x:c r="B10669" s="13" t="str">
        <x:v>WEG SA</x:v>
      </x:c>
      <x:c r="C10669" s="16" t="n">
        <x:v>5456.9803037377</x:v>
      </x:c>
      <x:c r="D10669" s="13" t="str">
        <x:v>Capital Goods</x:v>
      </x:c>
      <x:c r="E10669" s="13" t="str">
        <x:v>Capital Goods</x:v>
      </x:c>
      <x:c r="F10669" s="13" t="str">
        <x:v>Deep Cyclicals</x:v>
      </x:c>
      <x:c r="G10669" s="13" t="str">
        <x:v>grid_wbaxp5t0.xlsx</x:v>
      </x:c>
    </x:row>
    <x:row r="10670">
      <x:c r="A10670" s="15" t="n">
        <x:v>45047</x:v>
      </x:c>
      <x:c r="B10670" s="13" t="str">
        <x:v>COGNA EDUCACAO</x:v>
      </x:c>
      <x:c r="C10670" s="16" t="n">
        <x:v>58.3791168962</x:v>
      </x:c>
      <x:c r="D10670" s="13" t="str">
        <x:v>Education</x:v>
      </x:c>
      <x:c r="E10670" s="13" t="str">
        <x:v>Education</x:v>
      </x:c>
      <x:c r="F10670" s="13" t="str">
        <x:v>Early Cyclicals</x:v>
      </x:c>
      <x:c r="G10670" s="13" t="str">
        <x:v>grid_wbaxp5t0.xlsx</x:v>
      </x:c>
    </x:row>
    <x:row r="10671">
      <x:c r="A10671" s="15" t="n">
        <x:v>45047</x:v>
      </x:c>
      <x:c r="B10671" s="13" t="str">
        <x:v>YDUQS PARTICIPACOES SA</x:v>
      </x:c>
      <x:c r="C10671" s="16" t="n">
        <x:v>275.9502119344</x:v>
      </x:c>
      <x:c r="D10671" s="13" t="str">
        <x:v>Education</x:v>
      </x:c>
      <x:c r="E10671" s="13" t="str">
        <x:v>Education</x:v>
      </x:c>
      <x:c r="F10671" s="13" t="str">
        <x:v>Early Cyclicals</x:v>
      </x:c>
      <x:c r="G10671" s="13" t="str">
        <x:v>grid_wbaxp5t0.xlsx</x:v>
      </x:c>
    </x:row>
    <x:row r="10672">
      <x:c r="A10672" s="15" t="n">
        <x:v>45047</x:v>
      </x:c>
      <x:c r="B10672" s="13" t="str">
        <x:v>B3 SA-BRASIL BOLSA BALCAO</x:v>
      </x:c>
      <x:c r="C10672" s="16" t="n">
        <x:v>4914.2650852022</x:v>
      </x:c>
      <x:c r="D10672" s="13" t="str">
        <x:v>Financials Non-Banks</x:v>
      </x:c>
      <x:c r="E10672" s="13" t="str">
        <x:v>Financials Non-Banks</x:v>
      </x:c>
      <x:c r="F10672" s="13" t="str">
        <x:v>Financials</x:v>
      </x:c>
      <x:c r="G10672" s="13" t="str">
        <x:v>grid_wbaxp5t0.xlsx</x:v>
      </x:c>
    </x:row>
    <x:row r="10673">
      <x:c r="A10673" s="15" t="n">
        <x:v>45047</x:v>
      </x:c>
      <x:c r="B10673" s="13" t="str">
        <x:v>BB SEGURIDADE PARTICIPACOES</x:v>
      </x:c>
      <x:c r="C10673" s="16" t="n">
        <x:v>7359.2551882841</x:v>
      </x:c>
      <x:c r="D10673" s="13" t="str">
        <x:v>Financials Non-Banks</x:v>
      </x:c>
      <x:c r="E10673" s="13" t="str">
        <x:v>Financials Non-Banks</x:v>
      </x:c>
      <x:c r="F10673" s="13" t="str">
        <x:v>Financials</x:v>
      </x:c>
      <x:c r="G10673" s="13" t="str">
        <x:v>grid_wbaxp5t0.xlsx</x:v>
      </x:c>
    </x:row>
    <x:row r="10674">
      <x:c r="A10674" s="15" t="n">
        <x:v>45047</x:v>
      </x:c>
      <x:c r="B10674" s="13" t="str">
        <x:v>CIELO SA - INSTITUICAO DE PA</x:v>
      </x:c>
      <x:c r="C10674" s="16" t="n">
        <x:v>2061.3144075191</x:v>
      </x:c>
      <x:c r="D10674" s="13" t="str">
        <x:v>Financials Non-Banks</x:v>
      </x:c>
      <x:c r="E10674" s="13" t="str">
        <x:v>Financials Non-Banks</x:v>
      </x:c>
      <x:c r="F10674" s="13" t="str">
        <x:v>Financials</x:v>
      </x:c>
      <x:c r="G10674" s="13" t="str">
        <x:v>grid_wbaxp5t0.xlsx</x:v>
      </x:c>
    </x:row>
    <x:row r="10675">
      <x:c r="A10675" s="15" t="n">
        <x:v>45047</x:v>
      </x:c>
      <x:c r="B10675" s="13" t="str">
        <x:v>IRB BRASIL RESSEGUROS SA</x:v>
      </x:c>
      <x:c r="C10675" s="16" t="n">
        <x:v>275.2549861421</x:v>
      </x:c>
      <x:c r="D10675" s="13" t="str">
        <x:v>Financials Non-Banks</x:v>
      </x:c>
      <x:c r="E10675" s="13" t="str">
        <x:v>Financials Non-Banks</x:v>
      </x:c>
      <x:c r="F10675" s="13" t="str">
        <x:v>Financials</x:v>
      </x:c>
      <x:c r="G10675" s="13" t="str">
        <x:v>grid_wbaxp5t0.xlsx</x:v>
      </x:c>
    </x:row>
    <x:row r="10676">
      <x:c r="A10676" s="15" t="n">
        <x:v>45047</x:v>
      </x:c>
      <x:c r="B10676" s="13" t="str">
        <x:v>ITAUSA SA</x:v>
      </x:c>
      <x:c r="C10676" s="16" t="n">
        <x:v>14578.3438128962</x:v>
      </x:c>
      <x:c r="D10676" s="13" t="str">
        <x:v>Financials Non-Banks</x:v>
      </x:c>
      <x:c r="E10676" s="13" t="str">
        <x:v>Financials Non-Banks</x:v>
      </x:c>
      <x:c r="F10676" s="13" t="str">
        <x:v>Financials</x:v>
      </x:c>
      <x:c r="G10676" s="13" t="str">
        <x:v>grid_wbaxp5t0.xlsx</x:v>
      </x:c>
    </x:row>
    <x:row r="10677">
      <x:c r="A10677" s="15" t="n">
        <x:v>45047</x:v>
      </x:c>
      <x:c r="B10677" s="13" t="str">
        <x:v>MELIUZ SA - ON</x:v>
      </x:c>
      <x:c r="C10677" s="16" t="n">
        <x:v>21.4481010929</x:v>
      </x:c>
      <x:c r="D10677" s="13" t="str">
        <x:v>Financials Non-Banks</x:v>
      </x:c>
      <x:c r="E10677" s="13" t="str">
        <x:v>Financials Non-Banks</x:v>
      </x:c>
      <x:c r="F10677" s="13" t="str">
        <x:v>Financials</x:v>
      </x:c>
      <x:c r="G10677" s="13" t="str">
        <x:v>grid_wbaxp5t0.xlsx</x:v>
      </x:c>
    </x:row>
    <x:row r="10678">
      <x:c r="A10678" s="15" t="n">
        <x:v>45047</x:v>
      </x:c>
      <x:c r="B10678" s="13" t="str">
        <x:v>AMBEV SA</x:v>
      </x:c>
      <x:c r="C10678" s="16" t="n">
        <x:v>15234.094952918</x:v>
      </x:c>
      <x:c r="D10678" s="13" t="str">
        <x:v>Food &amp; Beverages</x:v>
      </x:c>
      <x:c r="E10678" s="13" t="str">
        <x:v>Agri, Food &amp; Beverages</x:v>
      </x:c>
      <x:c r="F10678" s="13" t="str">
        <x:v>Defensives</x:v>
      </x:c>
      <x:c r="G10678" s="13" t="str">
        <x:v>grid_wbaxp5t0.xlsx</x:v>
      </x:c>
    </x:row>
    <x:row r="10679">
      <x:c r="A10679" s="15" t="n">
        <x:v>45047</x:v>
      </x:c>
      <x:c r="B10679" s="13" t="str">
        <x:v>BRF SA</x:v>
      </x:c>
      <x:c r="C10679" s="16" t="n">
        <x:v>-296.1698546011</x:v>
      </x:c>
      <x:c r="D10679" s="13" t="str">
        <x:v>Food &amp; Beverages</x:v>
      </x:c>
      <x:c r="E10679" s="13" t="str">
        <x:v>Agri, Food &amp; Beverages</x:v>
      </x:c>
      <x:c r="F10679" s="13" t="str">
        <x:v>Defensives</x:v>
      </x:c>
      <x:c r="G10679" s="13" t="str">
        <x:v>grid_wbaxp5t0.xlsx</x:v>
      </x:c>
    </x:row>
    <x:row r="10680">
      <x:c r="A10680" s="15" t="n">
        <x:v>45047</x:v>
      </x:c>
      <x:c r="B10680" s="13" t="str">
        <x:v>MBRF GLOBAL FOODS COMPANY SA</x:v>
      </x:c>
      <x:c r="C10680" s="16" t="n">
        <x:v>718.9984381202</x:v>
      </x:c>
      <x:c r="D10680" s="13" t="str">
        <x:v>Food &amp; Beverages</x:v>
      </x:c>
      <x:c r="E10680" s="13" t="str">
        <x:v>Agri, Food &amp; Beverages</x:v>
      </x:c>
      <x:c r="F10680" s="13" t="str">
        <x:v>Defensives</x:v>
      </x:c>
      <x:c r="G10680" s="13" t="str">
        <x:v>grid_wbaxp5t0.xlsx</x:v>
      </x:c>
    </x:row>
    <x:row r="10681">
      <x:c r="A10681" s="15" t="n">
        <x:v>45047</x:v>
      </x:c>
      <x:c r="B10681" s="13" t="str">
        <x:v>MINERVA SA</x:v>
      </x:c>
      <x:c r="C10681" s="16" t="n">
        <x:v>1110.0136533333</x:v>
      </x:c>
      <x:c r="D10681" s="13" t="str">
        <x:v>Food &amp; Beverages</x:v>
      </x:c>
      <x:c r="E10681" s="13" t="str">
        <x:v>Agri, Food &amp; Beverages</x:v>
      </x:c>
      <x:c r="F10681" s="13" t="str">
        <x:v>Defensives</x:v>
      </x:c>
      <x:c r="G10681" s="13" t="str">
        <x:v>grid_wbaxp5t0.xlsx</x:v>
      </x:c>
    </x:row>
    <x:row r="10682">
      <x:c r="A10682" s="15" t="n">
        <x:v>45047</x:v>
      </x:c>
      <x:c r="B10682" s="13" t="str">
        <x:v>FLEURY SA</x:v>
      </x:c>
      <x:c r="C10682" s="16" t="n">
        <x:v>442.6112820109</x:v>
      </x:c>
      <x:c r="D10682" s="13" t="str">
        <x:v>Health Care</x:v>
      </x:c>
      <x:c r="E10682" s="13" t="str">
        <x:v>Health Care</x:v>
      </x:c>
      <x:c r="F10682" s="13" t="str">
        <x:v>Defensives</x:v>
      </x:c>
      <x:c r="G10682" s="13" t="str">
        <x:v>grid_wbaxp5t0.xlsx</x:v>
      </x:c>
    </x:row>
    <x:row r="10683">
      <x:c r="A10683" s="15" t="n">
        <x:v>45047</x:v>
      </x:c>
      <x:c r="B10683" s="13" t="str">
        <x:v>HAPVIDA PARTICIPACOES E INVE</x:v>
      </x:c>
      <x:c r="C10683" s="16" t="n">
        <x:v>385.7205610492</x:v>
      </x:c>
      <x:c r="D10683" s="13" t="str">
        <x:v>Health Care</x:v>
      </x:c>
      <x:c r="E10683" s="13" t="str">
        <x:v>Health Care</x:v>
      </x:c>
      <x:c r="F10683" s="13" t="str">
        <x:v>Defensives</x:v>
      </x:c>
      <x:c r="G10683" s="13" t="str">
        <x:v>grid_wbaxp5t0.xlsx</x:v>
      </x:c>
    </x:row>
    <x:row r="10684">
      <x:c r="A10684" s="15" t="n">
        <x:v>45047</x:v>
      </x:c>
      <x:c r="B10684" s="13" t="str">
        <x:v>HYPERA SA</x:v>
      </x:c>
      <x:c r="C10684" s="16" t="n">
        <x:v>1995.622776306</x:v>
      </x:c>
      <x:c r="D10684" s="13" t="str">
        <x:v>Health Care</x:v>
      </x:c>
      <x:c r="E10684" s="13" t="str">
        <x:v>Health Care</x:v>
      </x:c>
      <x:c r="F10684" s="13" t="str">
        <x:v>Defensives</x:v>
      </x:c>
      <x:c r="G10684" s="13" t="str">
        <x:v>grid_wbaxp5t0.xlsx</x:v>
      </x:c>
    </x:row>
    <x:row r="10685">
      <x:c r="A10685" s="15" t="n">
        <x:v>45047</x:v>
      </x:c>
      <x:c r="B10685" s="13" t="str">
        <x:v>REDE D'OR SAO LUIZ SA</x:v>
      </x:c>
      <x:c r="C10685" s="16" t="n">
        <x:v>2605.777543694</x:v>
      </x:c>
      <x:c r="D10685" s="13" t="str">
        <x:v>Health Care</x:v>
      </x:c>
      <x:c r="E10685" s="13" t="str">
        <x:v>Health Care</x:v>
      </x:c>
      <x:c r="F10685" s="13" t="str">
        <x:v>Defensives</x:v>
      </x:c>
      <x:c r="G10685" s="13" t="str">
        <x:v>grid_wbaxp5t0.xlsx</x:v>
      </x:c>
    </x:row>
    <x:row r="10686">
      <x:c r="A10686" s="15" t="n">
        <x:v>45047</x:v>
      </x:c>
      <x:c r="B10686" s="13" t="str">
        <x:v>CYRELA BRAZIL REALTY SA EMP</x:v>
      </x:c>
      <x:c r="C10686" s="16" t="n">
        <x:v>871.3832131148</x:v>
      </x:c>
      <x:c r="D10686" s="13" t="str">
        <x:v>Homebuilders</x:v>
      </x:c>
      <x:c r="E10686" s="13" t="str">
        <x:v>Real Estate</x:v>
      </x:c>
      <x:c r="F10686" s="13" t="str">
        <x:v>Early Cyclicals</x:v>
      </x:c>
      <x:c r="G10686" s="13" t="str">
        <x:v>grid_wbaxp5t0.xlsx</x:v>
      </x:c>
    </x:row>
    <x:row r="10687">
      <x:c r="A10687" s="15" t="n">
        <x:v>45047</x:v>
      </x:c>
      <x:c r="B10687" s="13" t="str">
        <x:v>EZ TEC EMPREENDIMENTOS E PAR</x:v>
      </x:c>
      <x:c r="C10687" s="16" t="n">
        <x:v>381.6086204153</x:v>
      </x:c>
      <x:c r="D10687" s="13" t="str">
        <x:v>Homebuilders</x:v>
      </x:c>
      <x:c r="E10687" s="13" t="str">
        <x:v>Real Estate</x:v>
      </x:c>
      <x:c r="F10687" s="13" t="str">
        <x:v>Early Cyclicals</x:v>
      </x:c>
      <x:c r="G10687" s="13" t="str">
        <x:v>grid_wbaxp5t0.xlsx</x:v>
      </x:c>
    </x:row>
    <x:row r="10688">
      <x:c r="A10688" s="15" t="n">
        <x:v>45047</x:v>
      </x:c>
      <x:c r="B10688" s="13" t="str">
        <x:v>MRV ENGENHARIA</x:v>
      </x:c>
      <x:c r="C10688" s="16" t="n">
        <x:v>382.5135368743</x:v>
      </x:c>
      <x:c r="D10688" s="13" t="str">
        <x:v>Homebuilders</x:v>
      </x:c>
      <x:c r="E10688" s="13" t="str">
        <x:v>Real Estate</x:v>
      </x:c>
      <x:c r="F10688" s="13" t="str">
        <x:v>Early Cyclicals</x:v>
      </x:c>
      <x:c r="G10688" s="13" t="str">
        <x:v>grid_wbaxp5t0.xlsx</x:v>
      </x:c>
    </x:row>
    <x:row r="10689">
      <x:c r="A10689" s="15" t="n">
        <x:v>45047</x:v>
      </x:c>
      <x:c r="B10689" s="13" t="str">
        <x:v>ALLOS SA</x:v>
      </x:c>
      <x:c r="C10689" s="16" t="n">
        <x:v>1218.6962381639</x:v>
      </x:c>
      <x:c r="D10689" s="13" t="str">
        <x:v>Income Properties</x:v>
      </x:c>
      <x:c r="E10689" s="13" t="str">
        <x:v>Real Estate</x:v>
      </x:c>
      <x:c r="F10689" s="13" t="str">
        <x:v>Early Cyclicals</x:v>
      </x:c>
      <x:c r="G10689" s="13" t="str">
        <x:v>grid_wbaxp5t0.xlsx</x:v>
      </x:c>
    </x:row>
    <x:row r="10690">
      <x:c r="A10690" s="15" t="n">
        <x:v>45047</x:v>
      </x:c>
      <x:c r="B10690" s="13" t="str">
        <x:v>IGUATEMI SA - UNITS</x:v>
      </x:c>
      <x:c r="C10690" s="16" t="n">
        <x:v>380.5498462076</x:v>
      </x:c>
      <x:c r="D10690" s="13" t="str">
        <x:v>Income Properties</x:v>
      </x:c>
      <x:c r="E10690" s="13" t="str">
        <x:v>Real Estate</x:v>
      </x:c>
      <x:c r="F10690" s="13" t="str">
        <x:v>Early Cyclicals</x:v>
      </x:c>
      <x:c r="G10690" s="13" t="str">
        <x:v>grid_wbaxp5t0.xlsx</x:v>
      </x:c>
    </x:row>
    <x:row r="10691">
      <x:c r="A10691" s="15" t="n">
        <x:v>45047</x:v>
      </x:c>
      <x:c r="B10691" s="13" t="str">
        <x:v>MULTIPLAN EMPREENDIMENTOS</x:v>
      </x:c>
      <x:c r="C10691" s="16" t="n">
        <x:v>920.494128612</x:v>
      </x:c>
      <x:c r="D10691" s="13" t="str">
        <x:v>Income Properties</x:v>
      </x:c>
      <x:c r="E10691" s="13" t="str">
        <x:v>Real Estate</x:v>
      </x:c>
      <x:c r="F10691" s="13" t="str">
        <x:v>Early Cyclicals</x:v>
      </x:c>
      <x:c r="G10691" s="13" t="str">
        <x:v>grid_wbaxp5t0.xlsx</x:v>
      </x:c>
    </x:row>
    <x:row r="10692">
      <x:c r="A10692" s="15" t="n">
        <x:v>45047</x:v>
      </x:c>
      <x:c r="B10692" s="13" t="str">
        <x:v>BRADESPAR SA -PREF</x:v>
      </x:c>
      <x:c r="C10692" s="16" t="n">
        <x:v>1870.9589976831</x:v>
      </x:c>
      <x:c r="D10692" s="13" t="str">
        <x:v>Metals &amp; Mining</x:v>
      </x:c>
      <x:c r="E10692" s="13" t="str">
        <x:v>Metals &amp; Mining</x:v>
      </x:c>
      <x:c r="F10692" s="13" t="str">
        <x:v>Deep Cyclicals</x:v>
      </x:c>
      <x:c r="G10692" s="13" t="str">
        <x:v>grid_wbaxp5t0.xlsx</x:v>
      </x:c>
    </x:row>
    <x:row r="10693">
      <x:c r="A10693" s="15" t="n">
        <x:v>45047</x:v>
      </x:c>
      <x:c r="B10693" s="13" t="str">
        <x:v>CIA SIDERURGICA NACIONAL SA</x:v>
      </x:c>
      <x:c r="C10693" s="16" t="n">
        <x:v>2764.3636584918</x:v>
      </x:c>
      <x:c r="D10693" s="13" t="str">
        <x:v>Metals &amp; Mining</x:v>
      </x:c>
      <x:c r="E10693" s="13" t="str">
        <x:v>Metals &amp; Mining</x:v>
      </x:c>
      <x:c r="F10693" s="13" t="str">
        <x:v>Deep Cyclicals</x:v>
      </x:c>
      <x:c r="G10693" s="13" t="str">
        <x:v>grid_wbaxp5t0.xlsx</x:v>
      </x:c>
    </x:row>
    <x:row r="10694">
      <x:c r="A10694" s="15" t="n">
        <x:v>45047</x:v>
      </x:c>
      <x:c r="B10694" s="13" t="str">
        <x:v>CSN MINERACAO SA</x:v>
      </x:c>
      <x:c r="C10694" s="16" t="n">
        <x:v>2882.9623228853</x:v>
      </x:c>
      <x:c r="D10694" s="13" t="str">
        <x:v>Metals &amp; Mining</x:v>
      </x:c>
      <x:c r="E10694" s="13" t="str">
        <x:v>Metals &amp; Mining</x:v>
      </x:c>
      <x:c r="F10694" s="13" t="str">
        <x:v>Deep Cyclicals</x:v>
      </x:c>
      <x:c r="G10694" s="13" t="str">
        <x:v>grid_wbaxp5t0.xlsx</x:v>
      </x:c>
    </x:row>
    <x:row r="10695">
      <x:c r="A10695" s="15" t="n">
        <x:v>45047</x:v>
      </x:c>
      <x:c r="B10695" s="13" t="str">
        <x:v>GERDAU SA-PREF</x:v>
      </x:c>
      <x:c r="C10695" s="16" t="n">
        <x:v>7480.7202469071</x:v>
      </x:c>
      <x:c r="D10695" s="13" t="str">
        <x:v>Metals &amp; Mining</x:v>
      </x:c>
      <x:c r="E10695" s="13" t="str">
        <x:v>Metals &amp; Mining</x:v>
      </x:c>
      <x:c r="F10695" s="13" t="str">
        <x:v>Deep Cyclicals</x:v>
      </x:c>
      <x:c r="G10695" s="13" t="str">
        <x:v>grid_wbaxp5t0.xlsx</x:v>
      </x:c>
    </x:row>
    <x:row r="10696">
      <x:c r="A10696" s="15" t="n">
        <x:v>45047</x:v>
      </x:c>
      <x:c r="B10696" s="13" t="str">
        <x:v>METALURGICA GERDAU SA-PREF</x:v>
      </x:c>
      <x:c r="C10696" s="16" t="n">
        <x:v>2643.109300459</x:v>
      </x:c>
      <x:c r="D10696" s="13" t="str">
        <x:v>Metals &amp; Mining</x:v>
      </x:c>
      <x:c r="E10696" s="13" t="str">
        <x:v>Metals &amp; Mining</x:v>
      </x:c>
      <x:c r="F10696" s="13" t="str">
        <x:v>Deep Cyclicals</x:v>
      </x:c>
      <x:c r="G10696" s="13" t="str">
        <x:v>grid_wbaxp5t0.xlsx</x:v>
      </x:c>
    </x:row>
    <x:row r="10697">
      <x:c r="A10697" s="15" t="n">
        <x:v>45047</x:v>
      </x:c>
      <x:c r="B10697" s="13" t="str">
        <x:v>USINAS SIDER MINAS GER-PF A</x:v>
      </x:c>
      <x:c r="C10697" s="16" t="n">
        <x:v>1659.6697467104</x:v>
      </x:c>
      <x:c r="D10697" s="13" t="str">
        <x:v>Metals &amp; Mining</x:v>
      </x:c>
      <x:c r="E10697" s="13" t="str">
        <x:v>Metals &amp; Mining</x:v>
      </x:c>
      <x:c r="F10697" s="13" t="str">
        <x:v>Deep Cyclicals</x:v>
      </x:c>
      <x:c r="G10697" s="13" t="str">
        <x:v>grid_wbaxp5t0.xlsx</x:v>
      </x:c>
    </x:row>
    <x:row r="10698">
      <x:c r="A10698" s="15" t="n">
        <x:v>45047</x:v>
      </x:c>
      <x:c r="B10698" s="13" t="str">
        <x:v>VALE SA</x:v>
      </x:c>
      <x:c r="C10698" s="16" t="n">
        <x:v>52387.3430410492</x:v>
      </x:c>
      <x:c r="D10698" s="13" t="str">
        <x:v>Metals &amp; Mining</x:v>
      </x:c>
      <x:c r="E10698" s="13" t="str">
        <x:v>Metals &amp; Mining</x:v>
      </x:c>
      <x:c r="F10698" s="13" t="str">
        <x:v>Deep Cyclicals</x:v>
      </x:c>
      <x:c r="G10698" s="13" t="str">
        <x:v>grid_wbaxp5t0.xlsx</x:v>
      </x:c>
    </x:row>
    <x:row r="10699">
      <x:c r="A10699" s="15" t="n">
        <x:v>45047</x:v>
      </x:c>
      <x:c r="B10699" s="13" t="str">
        <x:v>BRASKEM SA-PREF A</x:v>
      </x:c>
      <x:c r="C10699" s="16" t="n">
        <x:v>240.1523126557</x:v>
      </x:c>
      <x:c r="D10699" s="13" t="str">
        <x:v>Oil, Gas &amp; Petrochemicals</x:v>
      </x:c>
      <x:c r="E10699" s="13" t="str">
        <x:v>Oil, Gas &amp; Petrochemicals</x:v>
      </x:c>
      <x:c r="F10699" s="13" t="str">
        <x:v>Deep Cyclicals</x:v>
      </x:c>
      <x:c r="G10699" s="13" t="str">
        <x:v>grid_wbaxp5t0.xlsx</x:v>
      </x:c>
    </x:row>
    <x:row r="10700">
      <x:c r="A10700" s="15" t="n">
        <x:v>45047</x:v>
      </x:c>
      <x:c r="B10700" s="13" t="str">
        <x:v>BRAVA ENERGIA</x:v>
      </x:c>
      <x:c r="C10700" s="16" t="n">
        <x:v>1789.5265531803</x:v>
      </x:c>
      <x:c r="D10700" s="13" t="str">
        <x:v>Oil, Gas &amp; Petrochemicals</x:v>
      </x:c>
      <x:c r="E10700" s="13" t="str">
        <x:v>Oil, Gas &amp; Petrochemicals</x:v>
      </x:c>
      <x:c r="F10700" s="13" t="str">
        <x:v>Deep Cyclicals</x:v>
      </x:c>
      <x:c r="G10700" s="13" t="str">
        <x:v>grid_wbaxp5t0.xlsx</x:v>
      </x:c>
    </x:row>
    <x:row r="10701">
      <x:c r="A10701" s="15" t="n">
        <x:v>45047</x:v>
      </x:c>
      <x:c r="B10701" s="13" t="str">
        <x:v>COSAN SA</x:v>
      </x:c>
      <x:c r="C10701" s="16" t="n">
        <x:v>1945.0828548197</x:v>
      </x:c>
      <x:c r="D10701" s="13" t="str">
        <x:v>Oil, Gas &amp; Petrochemicals</x:v>
      </x:c>
      <x:c r="E10701" s="13" t="str">
        <x:v>Oil, Gas &amp; Petrochemicals</x:v>
      </x:c>
      <x:c r="F10701" s="13" t="str">
        <x:v>Deep Cyclicals</x:v>
      </x:c>
      <x:c r="G10701" s="13" t="str">
        <x:v>grid_wbaxp5t0.xlsx</x:v>
      </x:c>
    </x:row>
    <x:row r="10702">
      <x:c r="A10702" s="15" t="n">
        <x:v>45047</x:v>
      </x:c>
      <x:c r="B10702" s="13" t="str">
        <x:v>PETROBRAS - PETROLEO BRAS</x:v>
      </x:c>
      <x:c r="C10702" s="16" t="n">
        <x:v>104373.43677412</x:v>
      </x:c>
      <x:c r="D10702" s="13" t="str">
        <x:v>Oil, Gas &amp; Petrochemicals</x:v>
      </x:c>
      <x:c r="E10702" s="13" t="str">
        <x:v>Oil, Gas &amp; Petrochemicals</x:v>
      </x:c>
      <x:c r="F10702" s="13" t="str">
        <x:v>Deep Cyclicals</x:v>
      </x:c>
      <x:c r="G10702" s="13" t="str">
        <x:v>grid_wbaxp5t0.xlsx</x:v>
      </x:c>
    </x:row>
    <x:row r="10703">
      <x:c r="A10703" s="15" t="n">
        <x:v>45047</x:v>
      </x:c>
      <x:c r="B10703" s="13" t="str">
        <x:v>PRIO SA</x:v>
      </x:c>
      <x:c r="C10703" s="16" t="n">
        <x:v>6817.7533677814</x:v>
      </x:c>
      <x:c r="D10703" s="13" t="str">
        <x:v>Oil, Gas &amp; Petrochemicals</x:v>
      </x:c>
      <x:c r="E10703" s="13" t="str">
        <x:v>Oil, Gas &amp; Petrochemicals</x:v>
      </x:c>
      <x:c r="F10703" s="13" t="str">
        <x:v>Deep Cyclicals</x:v>
      </x:c>
      <x:c r="G10703" s="13" t="str">
        <x:v>grid_wbaxp5t0.xlsx</x:v>
      </x:c>
    </x:row>
    <x:row r="10704">
      <x:c r="A10704" s="15" t="n">
        <x:v>45047</x:v>
      </x:c>
      <x:c r="B10704" s="13" t="str">
        <x:v>ULTRAPAR PARTICIPACOES SA</x:v>
      </x:c>
      <x:c r="C10704" s="16" t="n">
        <x:v>1216.9871569836</x:v>
      </x:c>
      <x:c r="D10704" s="13" t="str">
        <x:v>Oil, Gas &amp; Petrochemicals</x:v>
      </x:c>
      <x:c r="E10704" s="13" t="str">
        <x:v>Oil, Gas &amp; Petrochemicals</x:v>
      </x:c>
      <x:c r="F10704" s="13" t="str">
        <x:v>Deep Cyclicals</x:v>
      </x:c>
      <x:c r="G10704" s="13" t="str">
        <x:v>grid_wbaxp5t0.xlsx</x:v>
      </x:c>
    </x:row>
    <x:row r="10705">
      <x:c r="A10705" s="15" t="n">
        <x:v>45047</x:v>
      </x:c>
      <x:c r="B10705" s="13" t="str">
        <x:v>VIBRA ENERGIA SA</x:v>
      </x:c>
      <x:c r="C10705" s="16" t="n">
        <x:v>2077.5441409399</x:v>
      </x:c>
      <x:c r="D10705" s="13" t="str">
        <x:v>Oil, Gas &amp; Petrochemicals</x:v>
      </x:c>
      <x:c r="E10705" s="13" t="str">
        <x:v>Oil, Gas &amp; Petrochemicals</x:v>
      </x:c>
      <x:c r="F10705" s="13" t="str">
        <x:v>Deep Cyclicals</x:v>
      </x:c>
      <x:c r="G10705" s="13" t="str">
        <x:v>grid_wbaxp5t0.xlsx</x:v>
      </x:c>
    </x:row>
    <x:row r="10706">
      <x:c r="A10706" s="15" t="n">
        <x:v>45047</x:v>
      </x:c>
      <x:c r="B10706" s="13" t="str">
        <x:v>DEXCO SA</x:v>
      </x:c>
      <x:c r="C10706" s="16" t="n">
        <x:v>295.0191223607</x:v>
      </x:c>
      <x:c r="D10706" s="13" t="str">
        <x:v>Pulp &amp; Paper</x:v>
      </x:c>
      <x:c r="E10706" s="13" t="str">
        <x:v>Pulp &amp; Paper</x:v>
      </x:c>
      <x:c r="F10706" s="13" t="str">
        <x:v>Deep Cyclicals</x:v>
      </x:c>
      <x:c r="G10706" s="13" t="str">
        <x:v>grid_wbaxp5t0.xlsx</x:v>
      </x:c>
    </x:row>
    <x:row r="10707">
      <x:c r="A10707" s="15" t="n">
        <x:v>45047</x:v>
      </x:c>
      <x:c r="B10707" s="13" t="str">
        <x:v>KLABIN SA - UNIT</x:v>
      </x:c>
      <x:c r="C10707" s="16" t="n">
        <x:v>2421.3032708197</x:v>
      </x:c>
      <x:c r="D10707" s="13" t="str">
        <x:v>Pulp &amp; Paper</x:v>
      </x:c>
      <x:c r="E10707" s="13" t="str">
        <x:v>Pulp &amp; Paper</x:v>
      </x:c>
      <x:c r="F10707" s="13" t="str">
        <x:v>Deep Cyclicals</x:v>
      </x:c>
      <x:c r="G10707" s="13" t="str">
        <x:v>grid_wbaxp5t0.xlsx</x:v>
      </x:c>
    </x:row>
    <x:row r="10708">
      <x:c r="A10708" s="15" t="n">
        <x:v>45047</x:v>
      </x:c>
      <x:c r="B10708" s="13" t="str">
        <x:v>SUZANO SA</x:v>
      </x:c>
      <x:c r="C10708" s="16" t="n">
        <x:v>6512.9509518689</x:v>
      </x:c>
      <x:c r="D10708" s="13" t="str">
        <x:v>Pulp &amp; Paper</x:v>
      </x:c>
      <x:c r="E10708" s="13" t="str">
        <x:v>Pulp &amp; Paper</x:v>
      </x:c>
      <x:c r="F10708" s="13" t="str">
        <x:v>Deep Cyclicals</x:v>
      </x:c>
      <x:c r="G10708" s="13" t="str">
        <x:v>grid_wbaxp5t0.xlsx</x:v>
      </x:c>
    </x:row>
    <x:row r="10709">
      <x:c r="A10709" s="15" t="n">
        <x:v>45047</x:v>
      </x:c>
      <x:c r="B10709" s="13" t="str">
        <x:v>ALPARGATAS SA - PREF</x:v>
      </x:c>
      <x:c r="C10709" s="16" t="n">
        <x:v>411.5715846995</x:v>
      </x:c>
      <x:c r="D10709" s="13" t="str">
        <x:v>Retail</x:v>
      </x:c>
      <x:c r="E10709" s="13" t="str">
        <x:v>Retail</x:v>
      </x:c>
      <x:c r="F10709" s="13" t="str">
        <x:v>Early Cyclicals</x:v>
      </x:c>
      <x:c r="G10709" s="13" t="str">
        <x:v>grid_wbaxp5t0.xlsx</x:v>
      </x:c>
    </x:row>
    <x:row r="10710">
      <x:c r="A10710" s="15" t="n">
        <x:v>45047</x:v>
      </x:c>
      <x:c r="B10710" s="13" t="str">
        <x:v>ATACADAO SA</x:v>
      </x:c>
      <x:c r="C10710" s="16" t="n">
        <x:v>1719.6241982951</x:v>
      </x:c>
      <x:c r="D10710" s="13" t="str">
        <x:v>Retail</x:v>
      </x:c>
      <x:c r="E10710" s="13" t="str">
        <x:v>Retail</x:v>
      </x:c>
      <x:c r="F10710" s="13" t="str">
        <x:v>Early Cyclicals</x:v>
      </x:c>
      <x:c r="G10710" s="13" t="str">
        <x:v>grid_wbaxp5t0.xlsx</x:v>
      </x:c>
    </x:row>
    <x:row r="10711">
      <x:c r="A10711" s="15" t="n">
        <x:v>45047</x:v>
      </x:c>
      <x:c r="B10711" s="13" t="str">
        <x:v>AZZAS 2154 SA</x:v>
      </x:c>
      <x:c r="C10711" s="16" t="n">
        <x:v>518.6524590164</x:v>
      </x:c>
      <x:c r="D10711" s="13" t="str">
        <x:v>Retail</x:v>
      </x:c>
      <x:c r="E10711" s="13" t="str">
        <x:v>Retail</x:v>
      </x:c>
      <x:c r="F10711" s="13" t="str">
        <x:v>Early Cyclicals</x:v>
      </x:c>
      <x:c r="G10711" s="13" t="str">
        <x:v>grid_wbaxp5t0.xlsx</x:v>
      </x:c>
    </x:row>
    <x:row r="10712">
      <x:c r="A10712" s="15" t="n">
        <x:v>45047</x:v>
      </x:c>
      <x:c r="B10712" s="13" t="str">
        <x:v>CIA BRASILEIRA DE DISTRIBUIC</x:v>
      </x:c>
      <x:c r="C10712" s="16" t="n">
        <x:v>43.3724043716</x:v>
      </x:c>
      <x:c r="D10712" s="13" t="str">
        <x:v>Retail</x:v>
      </x:c>
      <x:c r="E10712" s="13" t="str">
        <x:v>Retail</x:v>
      </x:c>
      <x:c r="F10712" s="13" t="str">
        <x:v>Early Cyclicals</x:v>
      </x:c>
      <x:c r="G10712" s="13" t="str">
        <x:v>grid_wbaxp5t0.xlsx</x:v>
      </x:c>
    </x:row>
    <x:row r="10713">
      <x:c r="A10713" s="15" t="n">
        <x:v>45047</x:v>
      </x:c>
      <x:c r="B10713" s="13" t="str">
        <x:v>CVC BRASIL OPERADORA E AGENC</x:v>
      </x:c>
      <x:c r="C10713" s="16" t="n">
        <x:v>-196.7777166339</x:v>
      </x:c>
      <x:c r="D10713" s="13" t="str">
        <x:v>Retail</x:v>
      </x:c>
      <x:c r="E10713" s="13" t="str">
        <x:v>Retail</x:v>
      </x:c>
      <x:c r="F10713" s="13" t="str">
        <x:v>Early Cyclicals</x:v>
      </x:c>
      <x:c r="G10713" s="13" t="str">
        <x:v>grid_wbaxp5t0.xlsx</x:v>
      </x:c>
    </x:row>
    <x:row r="10714">
      <x:c r="A10714" s="15" t="n">
        <x:v>45047</x:v>
      </x:c>
      <x:c r="B10714" s="13" t="str">
        <x:v>GRUPO CASAS BAHIA SA</x:v>
      </x:c>
      <x:c r="C10714" s="16" t="n">
        <x:v>-373.596544</x:v>
      </x:c>
      <x:c r="D10714" s="13" t="str">
        <x:v>Retail</x:v>
      </x:c>
      <x:c r="E10714" s="13" t="str">
        <x:v>Retail</x:v>
      </x:c>
      <x:c r="F10714" s="13" t="str">
        <x:v>Early Cyclicals</x:v>
      </x:c>
      <x:c r="G10714" s="13" t="str">
        <x:v>grid_wbaxp5t0.xlsx</x:v>
      </x:c>
    </x:row>
    <x:row r="10715">
      <x:c r="A10715" s="15" t="n">
        <x:v>45047</x:v>
      </x:c>
      <x:c r="B10715" s="13" t="str">
        <x:v>GRUPO DE MODA SOMA SA</x:v>
      </x:c>
      <x:c r="C10715" s="16" t="n">
        <x:v>551.1778780328</x:v>
      </x:c>
      <x:c r="D10715" s="13" t="str">
        <x:v>Retail</x:v>
      </x:c>
      <x:c r="E10715" s="13" t="str">
        <x:v>Retail</x:v>
      </x:c>
      <x:c r="F10715" s="13" t="str">
        <x:v>Early Cyclicals</x:v>
      </x:c>
      <x:c r="G10715" s="13" t="str">
        <x:v>grid_wbaxp5t0.xlsx</x:v>
      </x:c>
    </x:row>
    <x:row r="10716">
      <x:c r="A10716" s="15" t="n">
        <x:v>45047</x:v>
      </x:c>
      <x:c r="B10716" s="13" t="str">
        <x:v>LOJAS RENNER S.A.</x:v>
      </x:c>
      <x:c r="C10716" s="16" t="n">
        <x:v>1388.4144395191</x:v>
      </x:c>
      <x:c r="D10716" s="13" t="str">
        <x:v>Retail</x:v>
      </x:c>
      <x:c r="E10716" s="13" t="str">
        <x:v>Retail</x:v>
      </x:c>
      <x:c r="F10716" s="13" t="str">
        <x:v>Early Cyclicals</x:v>
      </x:c>
      <x:c r="G10716" s="13" t="str">
        <x:v>grid_wbaxp5t0.xlsx</x:v>
      </x:c>
    </x:row>
    <x:row r="10717">
      <x:c r="A10717" s="15" t="n">
        <x:v>45047</x:v>
      </x:c>
      <x:c r="B10717" s="13" t="str">
        <x:v>MAGAZINE LUIZA SA</x:v>
      </x:c>
      <x:c r="C10717" s="16" t="n">
        <x:v>97.1672433661</x:v>
      </x:c>
      <x:c r="D10717" s="13" t="str">
        <x:v>Retail</x:v>
      </x:c>
      <x:c r="E10717" s="13" t="str">
        <x:v>Retail</x:v>
      </x:c>
      <x:c r="F10717" s="13" t="str">
        <x:v>Early Cyclicals</x:v>
      </x:c>
      <x:c r="G10717" s="13" t="str">
        <x:v>grid_wbaxp5t0.xlsx</x:v>
      </x:c>
    </x:row>
    <x:row r="10718">
      <x:c r="A10718" s="15" t="n">
        <x:v>45047</x:v>
      </x:c>
      <x:c r="B10718" s="13" t="str">
        <x:v>NATURA &amp;CO HOLDING SA</x:v>
      </x:c>
      <x:c r="C10718" s="16" t="n">
        <x:v>661.084648918</x:v>
      </x:c>
      <x:c r="D10718" s="13" t="str">
        <x:v>Retail</x:v>
      </x:c>
      <x:c r="E10718" s="13" t="str">
        <x:v>Retail</x:v>
      </x:c>
      <x:c r="F10718" s="13" t="str">
        <x:v>Early Cyclicals</x:v>
      </x:c>
      <x:c r="G10718" s="13" t="str">
        <x:v>grid_wbaxp5t0.xlsx</x:v>
      </x:c>
    </x:row>
    <x:row r="10719">
      <x:c r="A10719" s="15" t="n">
        <x:v>45047</x:v>
      </x:c>
      <x:c r="B10719" s="13" t="str">
        <x:v>PET CENTER COMERCIO E PARTIC</x:v>
      </x:c>
      <x:c r="C10719" s="16" t="n">
        <x:v>139.504418623</x:v>
      </x:c>
      <x:c r="D10719" s="13" t="str">
        <x:v>Retail</x:v>
      </x:c>
      <x:c r="E10719" s="13" t="str">
        <x:v>Retail</x:v>
      </x:c>
      <x:c r="F10719" s="13" t="str">
        <x:v>Early Cyclicals</x:v>
      </x:c>
      <x:c r="G10719" s="13" t="str">
        <x:v>grid_wbaxp5t0.xlsx</x:v>
      </x:c>
    </x:row>
    <x:row r="10720">
      <x:c r="A10720" s="15" t="n">
        <x:v>45047</x:v>
      </x:c>
      <x:c r="B10720" s="13" t="str">
        <x:v>RAIA DROGASIL SA</x:v>
      </x:c>
      <x:c r="C10720" s="16" t="n">
        <x:v>1309.0959737705</x:v>
      </x:c>
      <x:c r="D10720" s="13" t="str">
        <x:v>Retail</x:v>
      </x:c>
      <x:c r="E10720" s="13" t="str">
        <x:v>Retail</x:v>
      </x:c>
      <x:c r="F10720" s="13" t="str">
        <x:v>Early Cyclicals</x:v>
      </x:c>
      <x:c r="G10720" s="13" t="str">
        <x:v>grid_wbaxp5t0.xlsx</x:v>
      </x:c>
    </x:row>
    <x:row r="10721">
      <x:c r="A10721" s="15" t="n">
        <x:v>45047</x:v>
      </x:c>
      <x:c r="B10721" s="13" t="str">
        <x:v>SENDAS DISTRIBUIDORA SA</x:v>
      </x:c>
      <x:c r="C10721" s="16" t="n">
        <x:v>1357.9702998033</x:v>
      </x:c>
      <x:c r="D10721" s="13" t="str">
        <x:v>Retail</x:v>
      </x:c>
      <x:c r="E10721" s="13" t="str">
        <x:v>Retail</x:v>
      </x:c>
      <x:c r="F10721" s="13" t="str">
        <x:v>Early Cyclicals</x:v>
      </x:c>
      <x:c r="G10721" s="13" t="str">
        <x:v>grid_wbaxp5t0.xlsx</x:v>
      </x:c>
    </x:row>
    <x:row r="10722">
      <x:c r="A10722" s="15" t="n">
        <x:v>45047</x:v>
      </x:c>
      <x:c r="B10722" s="13" t="str">
        <x:v>CIA SANEAMENTO BASICO DE SP</x:v>
      </x:c>
      <x:c r="C10722" s="16" t="n">
        <x:v>3782.4565787978</x:v>
      </x:c>
      <x:c r="D10722" s="13" t="str">
        <x:v>Sanitation</x:v>
      </x:c>
      <x:c r="E10722" s="13" t="str">
        <x:v>Utilities</x:v>
      </x:c>
      <x:c r="F10722" s="13" t="str">
        <x:v>Defensives</x:v>
      </x:c>
      <x:c r="G10722" s="13" t="str">
        <x:v>grid_wbaxp5t0.xlsx</x:v>
      </x:c>
    </x:row>
    <x:row r="10723">
      <x:c r="A10723" s="15" t="n">
        <x:v>45047</x:v>
      </x:c>
      <x:c r="B10723" s="13" t="str">
        <x:v>LWSA SA</x:v>
      </x:c>
      <x:c r="C10723" s="16" t="n">
        <x:v>135.8181617923</x:v>
      </x:c>
      <x:c r="D10723" s="13" t="str">
        <x:v>TMT</x:v>
      </x:c>
      <x:c r="E10723" s="13" t="str">
        <x:v>TMT</x:v>
      </x:c>
      <x:c r="F10723" s="13" t="str">
        <x:v>Early Cyclicals</x:v>
      </x:c>
      <x:c r="G10723" s="13" t="str">
        <x:v>grid_wbaxp5t0.xlsx</x:v>
      </x:c>
    </x:row>
    <x:row r="10724">
      <x:c r="A10724" s="15" t="n">
        <x:v>45047</x:v>
      </x:c>
      <x:c r="B10724" s="13" t="str">
        <x:v>TIM SA</x:v>
      </x:c>
      <x:c r="C10724" s="16" t="n">
        <x:v>2314.4175877596</x:v>
      </x:c>
      <x:c r="D10724" s="13" t="str">
        <x:v>TMT</x:v>
      </x:c>
      <x:c r="E10724" s="13" t="str">
        <x:v>TMT</x:v>
      </x:c>
      <x:c r="F10724" s="13" t="str">
        <x:v>Early Cyclicals</x:v>
      </x:c>
      <x:c r="G10724" s="13" t="str">
        <x:v>grid_wbaxp5t0.xlsx</x:v>
      </x:c>
    </x:row>
    <x:row r="10725">
      <x:c r="A10725" s="15" t="n">
        <x:v>45047</x:v>
      </x:c>
      <x:c r="B10725" s="13" t="str">
        <x:v>TOTVS SA</x:v>
      </x:c>
      <x:c r="C10725" s="16" t="n">
        <x:v>740.027663388</x:v>
      </x:c>
      <x:c r="D10725" s="13" t="str">
        <x:v>TMT</x:v>
      </x:c>
      <x:c r="E10725" s="13" t="str">
        <x:v>TMT</x:v>
      </x:c>
      <x:c r="F10725" s="13" t="str">
        <x:v>Early Cyclicals</x:v>
      </x:c>
      <x:c r="G10725" s="13" t="str">
        <x:v>grid_wbaxp5t0.xlsx</x:v>
      </x:c>
    </x:row>
    <x:row r="10726">
      <x:c r="A10726" s="15" t="n">
        <x:v>45047</x:v>
      </x:c>
      <x:c r="B10726" s="13" t="str">
        <x:v>AZUL SA</x:v>
      </x:c>
      <x:c r="C10726" s="16" t="n">
        <x:v>-209.5831762186</x:v>
      </x:c>
      <x:c r="D10726" s="13" t="str">
        <x:v>Transportation</x:v>
      </x:c>
      <x:c r="E10726" s="13" t="str">
        <x:v>Transportation</x:v>
      </x:c>
      <x:c r="F10726" s="13" t="str">
        <x:v>Deep Cyclicals</x:v>
      </x:c>
      <x:c r="G10726" s="13" t="str">
        <x:v>grid_wbaxp5t0.xlsx</x:v>
      </x:c>
    </x:row>
    <x:row r="10727">
      <x:c r="A10727" s="15" t="n">
        <x:v>45047</x:v>
      </x:c>
      <x:c r="B10727" s="13" t="str">
        <x:v>GOL LINHAS AEREAS INT SA-PRE</x:v>
      </x:c>
      <x:c r="C10727" s="16" t="n">
        <x:v>332.4178366776</x:v>
      </x:c>
      <x:c r="D10727" s="13" t="str">
        <x:v>Transportation</x:v>
      </x:c>
      <x:c r="E10727" s="13" t="str">
        <x:v>Transportation</x:v>
      </x:c>
      <x:c r="F10727" s="13" t="str">
        <x:v>Deep Cyclicals</x:v>
      </x:c>
      <x:c r="G10727" s="13" t="str">
        <x:v>grid_wbaxp5t0.xlsx</x:v>
      </x:c>
    </x:row>
    <x:row r="10728">
      <x:c r="A10728" s="15" t="n">
        <x:v>45047</x:v>
      </x:c>
      <x:c r="B10728" s="13" t="str">
        <x:v>LOCALIZA RENT A CAR</x:v>
      </x:c>
      <x:c r="C10728" s="16" t="n">
        <x:v>3161.0732065574</x:v>
      </x:c>
      <x:c r="D10728" s="13" t="str">
        <x:v>Transportation</x:v>
      </x:c>
      <x:c r="E10728" s="13" t="str">
        <x:v>Transportation</x:v>
      </x:c>
      <x:c r="F10728" s="13" t="str">
        <x:v>Deep Cyclicals</x:v>
      </x:c>
      <x:c r="G10728" s="13" t="str">
        <x:v>grid_wbaxp5t0.xlsx</x:v>
      </x:c>
    </x:row>
    <x:row r="10729">
      <x:c r="A10729" s="15" t="n">
        <x:v>45047</x:v>
      </x:c>
      <x:c r="B10729" s="13" t="str">
        <x:v>MOTIVA INFRAESTRUTURA DE MOB</x:v>
      </x:c>
      <x:c r="C10729" s="16" t="n">
        <x:v>1622.259124459</x:v>
      </x:c>
      <x:c r="D10729" s="13" t="str">
        <x:v>Transportation</x:v>
      </x:c>
      <x:c r="E10729" s="13" t="str">
        <x:v>Transportation</x:v>
      </x:c>
      <x:c r="F10729" s="13" t="str">
        <x:v>Deep Cyclicals</x:v>
      </x:c>
      <x:c r="G10729" s="13" t="str">
        <x:v>grid_wbaxp5t0.xlsx</x:v>
      </x:c>
    </x:row>
    <x:row r="10730">
      <x:c r="A10730" s="15" t="n">
        <x:v>45047</x:v>
      </x:c>
      <x:c r="B10730" s="13" t="str">
        <x:v>RUMO SA</x:v>
      </x:c>
      <x:c r="C10730" s="16" t="n">
        <x:v>1325.206268153</x:v>
      </x:c>
      <x:c r="D10730" s="13" t="str">
        <x:v>Transportation</x:v>
      </x:c>
      <x:c r="E10730" s="13" t="str">
        <x:v>Transportation</x:v>
      </x:c>
      <x:c r="F10730" s="13" t="str">
        <x:v>Deep Cyclicals</x:v>
      </x:c>
      <x:c r="G10730" s="13" t="str">
        <x:v>grid_wbaxp5t0.xlsx</x:v>
      </x:c>
    </x:row>
    <x:row r="10731">
      <x:c r="A10731" s="15" t="n">
        <x:v>45047</x:v>
      </x:c>
      <x:c r="B10731" s="13" t="str">
        <x:v>AXIA ENERGIA SA</x:v>
      </x:c>
      <x:c r="C10731" s="16" t="n">
        <x:v>8818.6912006994</x:v>
      </x:c>
      <x:c r="D10731" s="13" t="str">
        <x:v>Utilities &amp; Energy</x:v>
      </x:c>
      <x:c r="E10731" s="13" t="str">
        <x:v>Utilities</x:v>
      </x:c>
      <x:c r="F10731" s="13" t="str">
        <x:v>Defensives</x:v>
      </x:c>
      <x:c r="G10731" s="13" t="str">
        <x:v>grid_wbaxp5t0.xlsx</x:v>
      </x:c>
    </x:row>
    <x:row r="10732">
      <x:c r="A10732" s="15" t="n">
        <x:v>45047</x:v>
      </x:c>
      <x:c r="B10732" s="13" t="str">
        <x:v>AXIA ENERGIA-PR B</x:v>
      </x:c>
      <x:c r="C10732" s="16" t="n">
        <x:v>8818.6912006994</x:v>
      </x:c>
      <x:c r="D10732" s="13" t="str">
        <x:v>Utilities &amp; Energy</x:v>
      </x:c>
      <x:c r="E10732" s="13" t="str">
        <x:v>Utilities</x:v>
      </x:c>
      <x:c r="F10732" s="13" t="str">
        <x:v>Defensives</x:v>
      </x:c>
      <x:c r="G10732" s="13" t="str">
        <x:v>grid_wbaxp5t0.xlsx</x:v>
      </x:c>
    </x:row>
    <x:row r="10733">
      <x:c r="A10733" s="15" t="n">
        <x:v>45047</x:v>
      </x:c>
      <x:c r="B10733" s="13" t="str">
        <x:v>CIA ENERGETICA MINAS GER-PRF</x:v>
      </x:c>
      <x:c r="C10733" s="16" t="n">
        <x:v>4249.6590562623</x:v>
      </x:c>
      <x:c r="D10733" s="13" t="str">
        <x:v>Utilities &amp; Energy</x:v>
      </x:c>
      <x:c r="E10733" s="13" t="str">
        <x:v>Utilities</x:v>
      </x:c>
      <x:c r="F10733" s="13" t="str">
        <x:v>Defensives</x:v>
      </x:c>
      <x:c r="G10733" s="13" t="str">
        <x:v>grid_wbaxp5t0.xlsx</x:v>
      </x:c>
    </x:row>
    <x:row r="10734">
      <x:c r="A10734" s="15" t="n">
        <x:v>45047</x:v>
      </x:c>
      <x:c r="B10734" s="13" t="str">
        <x:v>COMPANHIA PARANAENSE -PREF B</x:v>
      </x:c>
      <x:c r="C10734" s="16" t="n">
        <x:v>2167.3396081311</x:v>
      </x:c>
      <x:c r="D10734" s="13" t="str">
        <x:v>Utilities &amp; Energy</x:v>
      </x:c>
      <x:c r="E10734" s="13" t="str">
        <x:v>Utilities</x:v>
      </x:c>
      <x:c r="F10734" s="13" t="str">
        <x:v>Defensives</x:v>
      </x:c>
      <x:c r="G10734" s="13" t="str">
        <x:v>grid_wbaxp5t0.xlsx</x:v>
      </x:c>
    </x:row>
    <x:row r="10735">
      <x:c r="A10735" s="15" t="n">
        <x:v>45047</x:v>
      </x:c>
      <x:c r="B10735" s="13" t="str">
        <x:v>CPFL ENERGIA SA</x:v>
      </x:c>
      <x:c r="C10735" s="16" t="n">
        <x:v>4887.4201110383</x:v>
      </x:c>
      <x:c r="D10735" s="13" t="str">
        <x:v>Utilities &amp; Energy</x:v>
      </x:c>
      <x:c r="E10735" s="13" t="str">
        <x:v>Utilities</x:v>
      </x:c>
      <x:c r="F10735" s="13" t="str">
        <x:v>Defensives</x:v>
      </x:c>
      <x:c r="G10735" s="13" t="str">
        <x:v>grid_wbaxp5t0.xlsx</x:v>
      </x:c>
    </x:row>
    <x:row r="10736">
      <x:c r="A10736" s="15" t="n">
        <x:v>45047</x:v>
      </x:c>
      <x:c r="B10736" s="13" t="str">
        <x:v>EDP - ENERGIAS DO BRASIL SA</x:v>
      </x:c>
      <x:c r="C10736" s="16" t="n">
        <x:v>1685.3678555628</x:v>
      </x:c>
      <x:c r="D10736" s="13" t="str">
        <x:v>Utilities &amp; Energy</x:v>
      </x:c>
      <x:c r="E10736" s="13" t="str">
        <x:v>Utilities</x:v>
      </x:c>
      <x:c r="F10736" s="13" t="str">
        <x:v>Defensives</x:v>
      </x:c>
      <x:c r="G10736" s="13" t="str">
        <x:v>grid_wbaxp5t0.xlsx</x:v>
      </x:c>
    </x:row>
    <x:row r="10737">
      <x:c r="A10737" s="15" t="n">
        <x:v>45047</x:v>
      </x:c>
      <x:c r="B10737" s="13" t="str">
        <x:v>ENERGISA SA-UNITS</x:v>
      </x:c>
      <x:c r="C10737" s="16" t="n">
        <x:v>1707.4897521311</x:v>
      </x:c>
      <x:c r="D10737" s="13" t="str">
        <x:v>Utilities &amp; Energy</x:v>
      </x:c>
      <x:c r="E10737" s="13" t="str">
        <x:v>Utilities</x:v>
      </x:c>
      <x:c r="F10737" s="13" t="str">
        <x:v>Defensives</x:v>
      </x:c>
      <x:c r="G10737" s="13" t="str">
        <x:v>grid_wbaxp5t0.xlsx</x:v>
      </x:c>
    </x:row>
    <x:row r="10738">
      <x:c r="A10738" s="15" t="n">
        <x:v>45047</x:v>
      </x:c>
      <x:c r="B10738" s="13" t="str">
        <x:v>ENEVA SA</x:v>
      </x:c>
      <x:c r="C10738" s="16" t="n">
        <x:v>1175.8513794098</x:v>
      </x:c>
      <x:c r="D10738" s="13" t="str">
        <x:v>Utilities &amp; Energy</x:v>
      </x:c>
      <x:c r="E10738" s="13" t="str">
        <x:v>Utilities</x:v>
      </x:c>
      <x:c r="F10738" s="13" t="str">
        <x:v>Defensives</x:v>
      </x:c>
      <x:c r="G10738" s="13" t="str">
        <x:v>grid_wbaxp5t0.xlsx</x:v>
      </x:c>
    </x:row>
    <x:row r="10739">
      <x:c r="A10739" s="15" t="n">
        <x:v>45047</x:v>
      </x:c>
      <x:c r="B10739" s="13" t="str">
        <x:v>ENGIE BRASIL ENERGIA SA</x:v>
      </x:c>
      <x:c r="C10739" s="16" t="n">
        <x:v>3454.9473000219</x:v>
      </x:c>
      <x:c r="D10739" s="13" t="str">
        <x:v>Utilities &amp; Energy</x:v>
      </x:c>
      <x:c r="E10739" s="13" t="str">
        <x:v>Utilities</x:v>
      </x:c>
      <x:c r="F10739" s="13" t="str">
        <x:v>Defensives</x:v>
      </x:c>
      <x:c r="G10739" s="13" t="str">
        <x:v>grid_wbaxp5t0.xlsx</x:v>
      </x:c>
    </x:row>
    <x:row r="10740">
      <x:c r="A10740" s="15" t="n">
        <x:v>45047</x:v>
      </x:c>
      <x:c r="B10740" s="13" t="str">
        <x:v>EQUATORIAL SA - ORD</x:v>
      </x:c>
      <x:c r="C10740" s="16" t="n">
        <x:v>2599.2082087869</x:v>
      </x:c>
      <x:c r="D10740" s="13" t="str">
        <x:v>Utilities &amp; Energy</x:v>
      </x:c>
      <x:c r="E10740" s="13" t="str">
        <x:v>Utilities</x:v>
      </x:c>
      <x:c r="F10740" s="13" t="str">
        <x:v>Defensives</x:v>
      </x:c>
      <x:c r="G10740" s="13" t="str">
        <x:v>grid_wbaxp5t0.xlsx</x:v>
      </x:c>
    </x:row>
    <x:row r="10741">
      <x:c r="A10741" s="15" t="n">
        <x:v>45047</x:v>
      </x:c>
      <x:c r="B10741" s="13" t="str">
        <x:v>TRANSMISSORA ALIANCA DE-UNIT</x:v>
      </x:c>
      <x:c r="C10741" s="16" t="n">
        <x:v>1369.9555245465</x:v>
      </x:c>
      <x:c r="D10741" s="13" t="str">
        <x:v>Utilities &amp; Energy</x:v>
      </x:c>
      <x:c r="E10741" s="13" t="str">
        <x:v>Utilities</x:v>
      </x:c>
      <x:c r="F10741" s="13" t="str">
        <x:v>Defensives</x:v>
      </x:c>
      <x:c r="G10741" s="13" t="str">
        <x:v>grid_wbaxp5t0.xlsx</x:v>
      </x:c>
    </x:row>
    <x:row r="10742">
      <x:c r="A10742" s="15" t="n">
        <x:v>45078</x:v>
      </x:c>
      <x:c r="B10742" s="13" t="str">
        <x:v>RAIZEN SA - PREFERENCE</x:v>
      </x:c>
      <x:c r="C10742" s="16" t="n">
        <x:v>3876.5752986301</x:v>
      </x:c>
      <x:c r="D10742" s="13" t="str">
        <x:v>Agribusiness</x:v>
      </x:c>
      <x:c r="E10742" s="13" t="str">
        <x:v>Agri, Food &amp; Beverages</x:v>
      </x:c>
      <x:c r="F10742" s="13" t="str">
        <x:v>Defensives</x:v>
      </x:c>
      <x:c r="G10742" s="13" t="str">
        <x:v>grid_wbaxp5t0.xlsx</x:v>
      </x:c>
    </x:row>
    <x:row r="10743">
      <x:c r="A10743" s="15" t="n">
        <x:v>45078</x:v>
      </x:c>
      <x:c r="B10743" s="13" t="str">
        <x:v>SAO MARTINHO SA</x:v>
      </x:c>
      <x:c r="C10743" s="16" t="n">
        <x:v>1388.4773610959</x:v>
      </x:c>
      <x:c r="D10743" s="13" t="str">
        <x:v>Agribusiness</x:v>
      </x:c>
      <x:c r="E10743" s="13" t="str">
        <x:v>Agri, Food &amp; Beverages</x:v>
      </x:c>
      <x:c r="F10743" s="13" t="str">
        <x:v>Defensives</x:v>
      </x:c>
      <x:c r="G10743" s="13" t="str">
        <x:v>grid_wbaxp5t0.xlsx</x:v>
      </x:c>
    </x:row>
    <x:row r="10744">
      <x:c r="A10744" s="15" t="n">
        <x:v>45078</x:v>
      </x:c>
      <x:c r="B10744" s="13" t="str">
        <x:v>SLC AGRICOLA SA</x:v>
      </x:c>
      <x:c r="C10744" s="16" t="n">
        <x:v>1207.6092817486</x:v>
      </x:c>
      <x:c r="D10744" s="13" t="str">
        <x:v>Agribusiness</x:v>
      </x:c>
      <x:c r="E10744" s="13" t="str">
        <x:v>Agri, Food &amp; Beverages</x:v>
      </x:c>
      <x:c r="F10744" s="13" t="str">
        <x:v>Defensives</x:v>
      </x:c>
      <x:c r="G10744" s="13" t="str">
        <x:v>grid_wbaxp5t0.xlsx</x:v>
      </x:c>
    </x:row>
    <x:row r="10745">
      <x:c r="A10745" s="15" t="n">
        <x:v>45078</x:v>
      </x:c>
      <x:c r="B10745" s="13" t="str">
        <x:v>BANCO BRADESCO S.A.</x:v>
      </x:c>
      <x:c r="C10745" s="16" t="n">
        <x:v>23299.0583914317</x:v>
      </x:c>
      <x:c r="D10745" s="13" t="str">
        <x:v>Banks</x:v>
      </x:c>
      <x:c r="E10745" s="13" t="str">
        <x:v>Banks</x:v>
      </x:c>
      <x:c r="F10745" s="13" t="str">
        <x:v>Financials</x:v>
      </x:c>
      <x:c r="G10745" s="13" t="str">
        <x:v>grid_wbaxp5t0.xlsx</x:v>
      </x:c>
    </x:row>
    <x:row r="10746">
      <x:c r="A10746" s="15" t="n">
        <x:v>45078</x:v>
      </x:c>
      <x:c r="B10746" s="13" t="str">
        <x:v>BANCO BRADESCO SA-PREF</x:v>
      </x:c>
      <x:c r="C10746" s="16" t="n">
        <x:v>23299.0583914317</x:v>
      </x:c>
      <x:c r="D10746" s="13" t="str">
        <x:v>Banks</x:v>
      </x:c>
      <x:c r="E10746" s="13" t="str">
        <x:v>Banks</x:v>
      </x:c>
      <x:c r="F10746" s="13" t="str">
        <x:v>Financials</x:v>
      </x:c>
      <x:c r="G10746" s="13" t="str">
        <x:v>grid_wbaxp5t0.xlsx</x:v>
      </x:c>
    </x:row>
    <x:row r="10747">
      <x:c r="A10747" s="15" t="n">
        <x:v>45078</x:v>
      </x:c>
      <x:c r="B10747" s="13" t="str">
        <x:v>BANCO BTG PACTUAL SA-UNIT</x:v>
      </x:c>
      <x:c r="C10747" s="16" t="n">
        <x:v>10201.1098900984</x:v>
      </x:c>
      <x:c r="D10747" s="13" t="str">
        <x:v>Banks</x:v>
      </x:c>
      <x:c r="E10747" s="13" t="str">
        <x:v>Banks</x:v>
      </x:c>
      <x:c r="F10747" s="13" t="str">
        <x:v>Financials</x:v>
      </x:c>
      <x:c r="G10747" s="13" t="str">
        <x:v>grid_wbaxp5t0.xlsx</x:v>
      </x:c>
    </x:row>
    <x:row r="10748">
      <x:c r="A10748" s="15" t="n">
        <x:v>45078</x:v>
      </x:c>
      <x:c r="B10748" s="13" t="str">
        <x:v>BANCO DO BRASIL S.A.</x:v>
      </x:c>
      <x:c r="C10748" s="16" t="n">
        <x:v>36002.6202425355</x:v>
      </x:c>
      <x:c r="D10748" s="13" t="str">
        <x:v>Banks</x:v>
      </x:c>
      <x:c r="E10748" s="13" t="str">
        <x:v>Banks</x:v>
      </x:c>
      <x:c r="F10748" s="13" t="str">
        <x:v>Financials</x:v>
      </x:c>
      <x:c r="G10748" s="13" t="str">
        <x:v>grid_wbaxp5t0.xlsx</x:v>
      </x:c>
    </x:row>
    <x:row r="10749">
      <x:c r="A10749" s="15" t="n">
        <x:v>45078</x:v>
      </x:c>
      <x:c r="B10749" s="13" t="str">
        <x:v>BANCO SANTANDER  BRASIL-UNIT</x:v>
      </x:c>
      <x:c r="C10749" s="16" t="n">
        <x:v>12754.6254576612</x:v>
      </x:c>
      <x:c r="D10749" s="13" t="str">
        <x:v>Banks</x:v>
      </x:c>
      <x:c r="E10749" s="13" t="str">
        <x:v>Banks</x:v>
      </x:c>
      <x:c r="F10749" s="13" t="str">
        <x:v>Financials</x:v>
      </x:c>
      <x:c r="G10749" s="13" t="str">
        <x:v>grid_wbaxp5t0.xlsx</x:v>
      </x:c>
    </x:row>
    <x:row r="10750">
      <x:c r="A10750" s="15" t="n">
        <x:v>45078</x:v>
      </x:c>
      <x:c r="B10750" s="13" t="str">
        <x:v>ITAU UNIBANCO HOLDING S-PREF</x:v>
      </x:c>
      <x:c r="C10750" s="16" t="n">
        <x:v>37126.2445198689</x:v>
      </x:c>
      <x:c r="D10750" s="13" t="str">
        <x:v>Banks</x:v>
      </x:c>
      <x:c r="E10750" s="13" t="str">
        <x:v>Banks</x:v>
      </x:c>
      <x:c r="F10750" s="13" t="str">
        <x:v>Financials</x:v>
      </x:c>
      <x:c r="G10750" s="13" t="str">
        <x:v>grid_wbaxp5t0.xlsx</x:v>
      </x:c>
    </x:row>
    <x:row r="10751">
      <x:c r="A10751" s="15" t="n">
        <x:v>45078</x:v>
      </x:c>
      <x:c r="B10751" s="13" t="str">
        <x:v>EMBRAER SA</x:v>
      </x:c>
      <x:c r="C10751" s="16" t="n">
        <x:v>924.4340577924</x:v>
      </x:c>
      <x:c r="D10751" s="13" t="str">
        <x:v>Capital Goods</x:v>
      </x:c>
      <x:c r="E10751" s="13" t="str">
        <x:v>Capital Goods</x:v>
      </x:c>
      <x:c r="F10751" s="13" t="str">
        <x:v>Deep Cyclicals</x:v>
      </x:c>
      <x:c r="G10751" s="13" t="str">
        <x:v>grid_wbaxp5t0.xlsx</x:v>
      </x:c>
    </x:row>
    <x:row r="10752">
      <x:c r="A10752" s="15" t="n">
        <x:v>45078</x:v>
      </x:c>
      <x:c r="B10752" s="13" t="str">
        <x:v>WEG SA</x:v>
      </x:c>
      <x:c r="C10752" s="16" t="n">
        <x:v>5498.3726303825</x:v>
      </x:c>
      <x:c r="D10752" s="13" t="str">
        <x:v>Capital Goods</x:v>
      </x:c>
      <x:c r="E10752" s="13" t="str">
        <x:v>Capital Goods</x:v>
      </x:c>
      <x:c r="F10752" s="13" t="str">
        <x:v>Deep Cyclicals</x:v>
      </x:c>
      <x:c r="G10752" s="13" t="str">
        <x:v>grid_wbaxp5t0.xlsx</x:v>
      </x:c>
    </x:row>
    <x:row r="10753">
      <x:c r="A10753" s="15" t="n">
        <x:v>45078</x:v>
      </x:c>
      <x:c r="B10753" s="13" t="str">
        <x:v>COGNA EDUCACAO</x:v>
      </x:c>
      <x:c r="C10753" s="16" t="n">
        <x:v>145.4474105355</x:v>
      </x:c>
      <x:c r="D10753" s="13" t="str">
        <x:v>Education</x:v>
      </x:c>
      <x:c r="E10753" s="13" t="str">
        <x:v>Education</x:v>
      </x:c>
      <x:c r="F10753" s="13" t="str">
        <x:v>Early Cyclicals</x:v>
      </x:c>
      <x:c r="G10753" s="13" t="str">
        <x:v>grid_wbaxp5t0.xlsx</x:v>
      </x:c>
    </x:row>
    <x:row r="10754">
      <x:c r="A10754" s="15" t="n">
        <x:v>45078</x:v>
      </x:c>
      <x:c r="B10754" s="13" t="str">
        <x:v>YDUQS PARTICIPACOES SA</x:v>
      </x:c>
      <x:c r="C10754" s="16" t="n">
        <x:v>332.1290710383</x:v>
      </x:c>
      <x:c r="D10754" s="13" t="str">
        <x:v>Education</x:v>
      </x:c>
      <x:c r="E10754" s="13" t="str">
        <x:v>Education</x:v>
      </x:c>
      <x:c r="F10754" s="13" t="str">
        <x:v>Early Cyclicals</x:v>
      </x:c>
      <x:c r="G10754" s="13" t="str">
        <x:v>grid_wbaxp5t0.xlsx</x:v>
      </x:c>
    </x:row>
    <x:row r="10755">
      <x:c r="A10755" s="15" t="n">
        <x:v>45078</x:v>
      </x:c>
      <x:c r="B10755" s="13" t="str">
        <x:v>B3 SA-BRASIL BOLSA BALCAO</x:v>
      </x:c>
      <x:c r="C10755" s="16" t="n">
        <x:v>4874.0443068853</x:v>
      </x:c>
      <x:c r="D10755" s="13" t="str">
        <x:v>Financials Non-Banks</x:v>
      </x:c>
      <x:c r="E10755" s="13" t="str">
        <x:v>Financials Non-Banks</x:v>
      </x:c>
      <x:c r="F10755" s="13" t="str">
        <x:v>Financials</x:v>
      </x:c>
      <x:c r="G10755" s="13" t="str">
        <x:v>grid_wbaxp5t0.xlsx</x:v>
      </x:c>
    </x:row>
    <x:row r="10756">
      <x:c r="A10756" s="15" t="n">
        <x:v>45078</x:v>
      </x:c>
      <x:c r="B10756" s="13" t="str">
        <x:v>BB SEGURIDADE PARTICIPACOES</x:v>
      </x:c>
      <x:c r="C10756" s="16" t="n">
        <x:v>7495.7520660984</x:v>
      </x:c>
      <x:c r="D10756" s="13" t="str">
        <x:v>Financials Non-Banks</x:v>
      </x:c>
      <x:c r="E10756" s="13" t="str">
        <x:v>Financials Non-Banks</x:v>
      </x:c>
      <x:c r="F10756" s="13" t="str">
        <x:v>Financials</x:v>
      </x:c>
      <x:c r="G10756" s="13" t="str">
        <x:v>grid_wbaxp5t0.xlsx</x:v>
      </x:c>
    </x:row>
    <x:row r="10757">
      <x:c r="A10757" s="15" t="n">
        <x:v>45078</x:v>
      </x:c>
      <x:c r="B10757" s="13" t="str">
        <x:v>CIELO SA - INSTITUICAO DE PA</x:v>
      </x:c>
      <x:c r="C10757" s="16" t="n">
        <x:v>2072.4202184044</x:v>
      </x:c>
      <x:c r="D10757" s="13" t="str">
        <x:v>Financials Non-Banks</x:v>
      </x:c>
      <x:c r="E10757" s="13" t="str">
        <x:v>Financials Non-Banks</x:v>
      </x:c>
      <x:c r="F10757" s="13" t="str">
        <x:v>Financials</x:v>
      </x:c>
      <x:c r="G10757" s="13" t="str">
        <x:v>grid_wbaxp5t0.xlsx</x:v>
      </x:c>
    </x:row>
    <x:row r="10758">
      <x:c r="A10758" s="15" t="n">
        <x:v>45078</x:v>
      </x:c>
      <x:c r="B10758" s="13" t="str">
        <x:v>IRB BRASIL RESSEGUROS SA</x:v>
      </x:c>
      <x:c r="C10758" s="16" t="n">
        <x:v>255.7163934426</x:v>
      </x:c>
      <x:c r="D10758" s="13" t="str">
        <x:v>Financials Non-Banks</x:v>
      </x:c>
      <x:c r="E10758" s="13" t="str">
        <x:v>Financials Non-Banks</x:v>
      </x:c>
      <x:c r="F10758" s="13" t="str">
        <x:v>Financials</x:v>
      </x:c>
      <x:c r="G10758" s="13" t="str">
        <x:v>grid_wbaxp5t0.xlsx</x:v>
      </x:c>
    </x:row>
    <x:row r="10759">
      <x:c r="A10759" s="15" t="n">
        <x:v>45078</x:v>
      </x:c>
      <x:c r="B10759" s="13" t="str">
        <x:v>ITAUSA SA</x:v>
      </x:c>
      <x:c r="C10759" s="16" t="n">
        <x:v>14925.278689224</x:v>
      </x:c>
      <x:c r="D10759" s="13" t="str">
        <x:v>Financials Non-Banks</x:v>
      </x:c>
      <x:c r="E10759" s="13" t="str">
        <x:v>Financials Non-Banks</x:v>
      </x:c>
      <x:c r="F10759" s="13" t="str">
        <x:v>Financials</x:v>
      </x:c>
      <x:c r="G10759" s="13" t="str">
        <x:v>grid_wbaxp5t0.xlsx</x:v>
      </x:c>
    </x:row>
    <x:row r="10760">
      <x:c r="A10760" s="15" t="n">
        <x:v>45078</x:v>
      </x:c>
      <x:c r="B10760" s="13" t="str">
        <x:v>MELIUZ SA - ON</x:v>
      </x:c>
      <x:c r="C10760" s="16" t="n">
        <x:v>20.3497540984</x:v>
      </x:c>
      <x:c r="D10760" s="13" t="str">
        <x:v>Financials Non-Banks</x:v>
      </x:c>
      <x:c r="E10760" s="13" t="str">
        <x:v>Financials Non-Banks</x:v>
      </x:c>
      <x:c r="F10760" s="13" t="str">
        <x:v>Financials</x:v>
      </x:c>
      <x:c r="G10760" s="13" t="str">
        <x:v>grid_wbaxp5t0.xlsx</x:v>
      </x:c>
    </x:row>
    <x:row r="10761">
      <x:c r="A10761" s="15" t="n">
        <x:v>45078</x:v>
      </x:c>
      <x:c r="B10761" s="13" t="str">
        <x:v>AMBEV SA</x:v>
      </x:c>
      <x:c r="C10761" s="16" t="n">
        <x:v>15312.3930257486</x:v>
      </x:c>
      <x:c r="D10761" s="13" t="str">
        <x:v>Food &amp; Beverages</x:v>
      </x:c>
      <x:c r="E10761" s="13" t="str">
        <x:v>Agri, Food &amp; Beverages</x:v>
      </x:c>
      <x:c r="F10761" s="13" t="str">
        <x:v>Defensives</x:v>
      </x:c>
      <x:c r="G10761" s="13" t="str">
        <x:v>grid_wbaxp5t0.xlsx</x:v>
      </x:c>
    </x:row>
    <x:row r="10762">
      <x:c r="A10762" s="15" t="n">
        <x:v>45078</x:v>
      </x:c>
      <x:c r="B10762" s="13" t="str">
        <x:v>BRF SA</x:v>
      </x:c>
      <x:c r="C10762" s="16" t="n">
        <x:v>-408.967205071</x:v>
      </x:c>
      <x:c r="D10762" s="13" t="str">
        <x:v>Food &amp; Beverages</x:v>
      </x:c>
      <x:c r="E10762" s="13" t="str">
        <x:v>Agri, Food &amp; Beverages</x:v>
      </x:c>
      <x:c r="F10762" s="13" t="str">
        <x:v>Defensives</x:v>
      </x:c>
      <x:c r="G10762" s="13" t="str">
        <x:v>grid_wbaxp5t0.xlsx</x:v>
      </x:c>
    </x:row>
    <x:row r="10763">
      <x:c r="A10763" s="15" t="n">
        <x:v>45078</x:v>
      </x:c>
      <x:c r="B10763" s="13" t="str">
        <x:v>MBRF GLOBAL FOODS COMPANY SA</x:v>
      </x:c>
      <x:c r="C10763" s="16" t="n">
        <x:v>662.3948142514</x:v>
      </x:c>
      <x:c r="D10763" s="13" t="str">
        <x:v>Food &amp; Beverages</x:v>
      </x:c>
      <x:c r="E10763" s="13" t="str">
        <x:v>Agri, Food &amp; Beverages</x:v>
      </x:c>
      <x:c r="F10763" s="13" t="str">
        <x:v>Defensives</x:v>
      </x:c>
      <x:c r="G10763" s="13" t="str">
        <x:v>grid_wbaxp5t0.xlsx</x:v>
      </x:c>
    </x:row>
    <x:row r="10764">
      <x:c r="A10764" s="15" t="n">
        <x:v>45078</x:v>
      </x:c>
      <x:c r="B10764" s="13" t="str">
        <x:v>MINERVA SA</x:v>
      </x:c>
      <x:c r="C10764" s="16" t="n">
        <x:v>1116.3848554317</x:v>
      </x:c>
      <x:c r="D10764" s="13" t="str">
        <x:v>Food &amp; Beverages</x:v>
      </x:c>
      <x:c r="E10764" s="13" t="str">
        <x:v>Agri, Food &amp; Beverages</x:v>
      </x:c>
      <x:c r="F10764" s="13" t="str">
        <x:v>Defensives</x:v>
      </x:c>
      <x:c r="G10764" s="13" t="str">
        <x:v>grid_wbaxp5t0.xlsx</x:v>
      </x:c>
    </x:row>
    <x:row r="10765">
      <x:c r="A10765" s="15" t="n">
        <x:v>45078</x:v>
      </x:c>
      <x:c r="B10765" s="13" t="str">
        <x:v>FLEURY SA</x:v>
      </x:c>
      <x:c r="C10765" s="16" t="n">
        <x:v>481.9347074098</x:v>
      </x:c>
      <x:c r="D10765" s="13" t="str">
        <x:v>Health Care</x:v>
      </x:c>
      <x:c r="E10765" s="13" t="str">
        <x:v>Health Care</x:v>
      </x:c>
      <x:c r="F10765" s="13" t="str">
        <x:v>Defensives</x:v>
      </x:c>
      <x:c r="G10765" s="13" t="str">
        <x:v>grid_wbaxp5t0.xlsx</x:v>
      </x:c>
    </x:row>
    <x:row r="10766">
      <x:c r="A10766" s="15" t="n">
        <x:v>45078</x:v>
      </x:c>
      <x:c r="B10766" s="13" t="str">
        <x:v>HAPVIDA PARTICIPACOES E INVE</x:v>
      </x:c>
      <x:c r="C10766" s="16" t="n">
        <x:v>482.2895499891</x:v>
      </x:c>
      <x:c r="D10766" s="13" t="str">
        <x:v>Health Care</x:v>
      </x:c>
      <x:c r="E10766" s="13" t="str">
        <x:v>Health Care</x:v>
      </x:c>
      <x:c r="F10766" s="13" t="str">
        <x:v>Defensives</x:v>
      </x:c>
      <x:c r="G10766" s="13" t="str">
        <x:v>grid_wbaxp5t0.xlsx</x:v>
      </x:c>
    </x:row>
    <x:row r="10767">
      <x:c r="A10767" s="15" t="n">
        <x:v>45078</x:v>
      </x:c>
      <x:c r="B10767" s="13" t="str">
        <x:v>HYPERA SA</x:v>
      </x:c>
      <x:c r="C10767" s="16" t="n">
        <x:v>2031.1022779454</x:v>
      </x:c>
      <x:c r="D10767" s="13" t="str">
        <x:v>Health Care</x:v>
      </x:c>
      <x:c r="E10767" s="13" t="str">
        <x:v>Health Care</x:v>
      </x:c>
      <x:c r="F10767" s="13" t="str">
        <x:v>Defensives</x:v>
      </x:c>
      <x:c r="G10767" s="13" t="str">
        <x:v>grid_wbaxp5t0.xlsx</x:v>
      </x:c>
    </x:row>
    <x:row r="10768">
      <x:c r="A10768" s="15" t="n">
        <x:v>45078</x:v>
      </x:c>
      <x:c r="B10768" s="13" t="str">
        <x:v>REDE D'OR SAO LUIZ SA</x:v>
      </x:c>
      <x:c r="C10768" s="16" t="n">
        <x:v>2583.1565093771</x:v>
      </x:c>
      <x:c r="D10768" s="13" t="str">
        <x:v>Health Care</x:v>
      </x:c>
      <x:c r="E10768" s="13" t="str">
        <x:v>Health Care</x:v>
      </x:c>
      <x:c r="F10768" s="13" t="str">
        <x:v>Defensives</x:v>
      </x:c>
      <x:c r="G10768" s="13" t="str">
        <x:v>grid_wbaxp5t0.xlsx</x:v>
      </x:c>
    </x:row>
    <x:row r="10769">
      <x:c r="A10769" s="15" t="n">
        <x:v>45078</x:v>
      </x:c>
      <x:c r="B10769" s="13" t="str">
        <x:v>CYRELA BRAZIL REALTY SA EMP</x:v>
      </x:c>
      <x:c r="C10769" s="16" t="n">
        <x:v>925.5744437158</x:v>
      </x:c>
      <x:c r="D10769" s="13" t="str">
        <x:v>Homebuilders</x:v>
      </x:c>
      <x:c r="E10769" s="13" t="str">
        <x:v>Real Estate</x:v>
      </x:c>
      <x:c r="F10769" s="13" t="str">
        <x:v>Early Cyclicals</x:v>
      </x:c>
      <x:c r="G10769" s="13" t="str">
        <x:v>grid_wbaxp5t0.xlsx</x:v>
      </x:c>
    </x:row>
    <x:row r="10770">
      <x:c r="A10770" s="15" t="n">
        <x:v>45078</x:v>
      </x:c>
      <x:c r="B10770" s="13" t="str">
        <x:v>EZ TEC EMPREENDIMENTOS E PAR</x:v>
      </x:c>
      <x:c r="C10770" s="16" t="n">
        <x:v>386.8603194754</x:v>
      </x:c>
      <x:c r="D10770" s="13" t="str">
        <x:v>Homebuilders</x:v>
      </x:c>
      <x:c r="E10770" s="13" t="str">
        <x:v>Real Estate</x:v>
      </x:c>
      <x:c r="F10770" s="13" t="str">
        <x:v>Early Cyclicals</x:v>
      </x:c>
      <x:c r="G10770" s="13" t="str">
        <x:v>grid_wbaxp5t0.xlsx</x:v>
      </x:c>
    </x:row>
    <x:row r="10771">
      <x:c r="A10771" s="15" t="n">
        <x:v>45078</x:v>
      </x:c>
      <x:c r="B10771" s="13" t="str">
        <x:v>MRV ENGENHARIA</x:v>
      </x:c>
      <x:c r="C10771" s="16" t="n">
        <x:v>457.8641818579</x:v>
      </x:c>
      <x:c r="D10771" s="13" t="str">
        <x:v>Homebuilders</x:v>
      </x:c>
      <x:c r="E10771" s="13" t="str">
        <x:v>Real Estate</x:v>
      </x:c>
      <x:c r="F10771" s="13" t="str">
        <x:v>Early Cyclicals</x:v>
      </x:c>
      <x:c r="G10771" s="13" t="str">
        <x:v>grid_wbaxp5t0.xlsx</x:v>
      </x:c>
    </x:row>
    <x:row r="10772">
      <x:c r="A10772" s="15" t="n">
        <x:v>45078</x:v>
      </x:c>
      <x:c r="B10772" s="13" t="str">
        <x:v>ALLOS SA</x:v>
      </x:c>
      <x:c r="C10772" s="16" t="n">
        <x:v>1190.8436997596</x:v>
      </x:c>
      <x:c r="D10772" s="13" t="str">
        <x:v>Income Properties</x:v>
      </x:c>
      <x:c r="E10772" s="13" t="str">
        <x:v>Real Estate</x:v>
      </x:c>
      <x:c r="F10772" s="13" t="str">
        <x:v>Early Cyclicals</x:v>
      </x:c>
      <x:c r="G10772" s="13" t="str">
        <x:v>grid_wbaxp5t0.xlsx</x:v>
      </x:c>
    </x:row>
    <x:row r="10773">
      <x:c r="A10773" s="15" t="n">
        <x:v>45078</x:v>
      </x:c>
      <x:c r="B10773" s="13" t="str">
        <x:v>IGUATEMI SA - UNITS</x:v>
      </x:c>
      <x:c r="C10773" s="16" t="n">
        <x:v>383.565360612</x:v>
      </x:c>
      <x:c r="D10773" s="13" t="str">
        <x:v>Income Properties</x:v>
      </x:c>
      <x:c r="E10773" s="13" t="str">
        <x:v>Real Estate</x:v>
      </x:c>
      <x:c r="F10773" s="13" t="str">
        <x:v>Early Cyclicals</x:v>
      </x:c>
      <x:c r="G10773" s="13" t="str">
        <x:v>grid_wbaxp5t0.xlsx</x:v>
      </x:c>
    </x:row>
    <x:row r="10774">
      <x:c r="A10774" s="15" t="n">
        <x:v>45078</x:v>
      </x:c>
      <x:c r="B10774" s="13" t="str">
        <x:v>MULTIPLAN EMPREENDIMENTOS</x:v>
      </x:c>
      <x:c r="C10774" s="16" t="n">
        <x:v>940.8175576831</x:v>
      </x:c>
      <x:c r="D10774" s="13" t="str">
        <x:v>Income Properties</x:v>
      </x:c>
      <x:c r="E10774" s="13" t="str">
        <x:v>Real Estate</x:v>
      </x:c>
      <x:c r="F10774" s="13" t="str">
        <x:v>Early Cyclicals</x:v>
      </x:c>
      <x:c r="G10774" s="13" t="str">
        <x:v>grid_wbaxp5t0.xlsx</x:v>
      </x:c>
    </x:row>
    <x:row r="10775">
      <x:c r="A10775" s="15" t="n">
        <x:v>45078</x:v>
      </x:c>
      <x:c r="B10775" s="13" t="str">
        <x:v>BRADESPAR SA -PREF</x:v>
      </x:c>
      <x:c r="C10775" s="16" t="n">
        <x:v>3442.2676312131</x:v>
      </x:c>
      <x:c r="D10775" s="13" t="str">
        <x:v>Metals &amp; Mining</x:v>
      </x:c>
      <x:c r="E10775" s="13" t="str">
        <x:v>Metals &amp; Mining</x:v>
      </x:c>
      <x:c r="F10775" s="13" t="str">
        <x:v>Deep Cyclicals</x:v>
      </x:c>
      <x:c r="G10775" s="13" t="str">
        <x:v>grid_wbaxp5t0.xlsx</x:v>
      </x:c>
    </x:row>
    <x:row r="10776">
      <x:c r="A10776" s="15" t="n">
        <x:v>45078</x:v>
      </x:c>
      <x:c r="B10776" s="13" t="str">
        <x:v>CIA SIDERURGICA NACIONAL SA</x:v>
      </x:c>
      <x:c r="C10776" s="16" t="n">
        <x:v>1544.1529893771</x:v>
      </x:c>
      <x:c r="D10776" s="13" t="str">
        <x:v>Metals &amp; Mining</x:v>
      </x:c>
      <x:c r="E10776" s="13" t="str">
        <x:v>Metals &amp; Mining</x:v>
      </x:c>
      <x:c r="F10776" s="13" t="str">
        <x:v>Deep Cyclicals</x:v>
      </x:c>
      <x:c r="G10776" s="13" t="str">
        <x:v>grid_wbaxp5t0.xlsx</x:v>
      </x:c>
    </x:row>
    <x:row r="10777">
      <x:c r="A10777" s="15" t="n">
        <x:v>45078</x:v>
      </x:c>
      <x:c r="B10777" s="13" t="str">
        <x:v>CSN MINERACAO SA</x:v>
      </x:c>
      <x:c r="C10777" s="16" t="n">
        <x:v>2074.7794311694</x:v>
      </x:c>
      <x:c r="D10777" s="13" t="str">
        <x:v>Metals &amp; Mining</x:v>
      </x:c>
      <x:c r="E10777" s="13" t="str">
        <x:v>Metals &amp; Mining</x:v>
      </x:c>
      <x:c r="F10777" s="13" t="str">
        <x:v>Deep Cyclicals</x:v>
      </x:c>
      <x:c r="G10777" s="13" t="str">
        <x:v>grid_wbaxp5t0.xlsx</x:v>
      </x:c>
    </x:row>
    <x:row r="10778">
      <x:c r="A10778" s="15" t="n">
        <x:v>45078</x:v>
      </x:c>
      <x:c r="B10778" s="13" t="str">
        <x:v>GERDAU SA-PREF</x:v>
      </x:c>
      <x:c r="C10778" s="16" t="n">
        <x:v>7389.04226553</x:v>
      </x:c>
      <x:c r="D10778" s="13" t="str">
        <x:v>Metals &amp; Mining</x:v>
      </x:c>
      <x:c r="E10778" s="13" t="str">
        <x:v>Metals &amp; Mining</x:v>
      </x:c>
      <x:c r="F10778" s="13" t="str">
        <x:v>Deep Cyclicals</x:v>
      </x:c>
      <x:c r="G10778" s="13" t="str">
        <x:v>grid_wbaxp5t0.xlsx</x:v>
      </x:c>
    </x:row>
    <x:row r="10779">
      <x:c r="A10779" s="15" t="n">
        <x:v>45078</x:v>
      </x:c>
      <x:c r="B10779" s="13" t="str">
        <x:v>METALURGICA GERDAU SA-PREF</x:v>
      </x:c>
      <x:c r="C10779" s="16" t="n">
        <x:v>2727.0764709071</x:v>
      </x:c>
      <x:c r="D10779" s="13" t="str">
        <x:v>Metals &amp; Mining</x:v>
      </x:c>
      <x:c r="E10779" s="13" t="str">
        <x:v>Metals &amp; Mining</x:v>
      </x:c>
      <x:c r="F10779" s="13" t="str">
        <x:v>Deep Cyclicals</x:v>
      </x:c>
      <x:c r="G10779" s="13" t="str">
        <x:v>grid_wbaxp5t0.xlsx</x:v>
      </x:c>
    </x:row>
    <x:row r="10780">
      <x:c r="A10780" s="15" t="n">
        <x:v>45078</x:v>
      </x:c>
      <x:c r="B10780" s="13" t="str">
        <x:v>USINAS SIDER MINAS GER-PF A</x:v>
      </x:c>
      <x:c r="C10780" s="16" t="n">
        <x:v>1432.5558550383</x:v>
      </x:c>
      <x:c r="D10780" s="13" t="str">
        <x:v>Metals &amp; Mining</x:v>
      </x:c>
      <x:c r="E10780" s="13" t="str">
        <x:v>Metals &amp; Mining</x:v>
      </x:c>
      <x:c r="F10780" s="13" t="str">
        <x:v>Deep Cyclicals</x:v>
      </x:c>
      <x:c r="G10780" s="13" t="str">
        <x:v>grid_wbaxp5t0.xlsx</x:v>
      </x:c>
    </x:row>
    <x:row r="10781">
      <x:c r="A10781" s="15" t="n">
        <x:v>45078</x:v>
      </x:c>
      <x:c r="B10781" s="13" t="str">
        <x:v>VALE SA</x:v>
      </x:c>
      <x:c r="C10781" s="16" t="n">
        <x:v>48380.4999120437</x:v>
      </x:c>
      <x:c r="D10781" s="13" t="str">
        <x:v>Metals &amp; Mining</x:v>
      </x:c>
      <x:c r="E10781" s="13" t="str">
        <x:v>Metals &amp; Mining</x:v>
      </x:c>
      <x:c r="F10781" s="13" t="str">
        <x:v>Deep Cyclicals</x:v>
      </x:c>
      <x:c r="G10781" s="13" t="str">
        <x:v>grid_wbaxp5t0.xlsx</x:v>
      </x:c>
    </x:row>
    <x:row r="10782">
      <x:c r="A10782" s="15" t="n">
        <x:v>45078</x:v>
      </x:c>
      <x:c r="B10782" s="13" t="str">
        <x:v>BRASKEM SA-PREF A</x:v>
      </x:c>
      <x:c r="C10782" s="16" t="n">
        <x:v>257.3490556503</x:v>
      </x:c>
      <x:c r="D10782" s="13" t="str">
        <x:v>Oil, Gas &amp; Petrochemicals</x:v>
      </x:c>
      <x:c r="E10782" s="13" t="str">
        <x:v>Oil, Gas &amp; Petrochemicals</x:v>
      </x:c>
      <x:c r="F10782" s="13" t="str">
        <x:v>Deep Cyclicals</x:v>
      </x:c>
      <x:c r="G10782" s="13" t="str">
        <x:v>grid_wbaxp5t0.xlsx</x:v>
      </x:c>
    </x:row>
    <x:row r="10783">
      <x:c r="A10783" s="15" t="n">
        <x:v>45078</x:v>
      </x:c>
      <x:c r="B10783" s="13" t="str">
        <x:v>BRAVA ENERGIA</x:v>
      </x:c>
      <x:c r="C10783" s="16" t="n">
        <x:v>1580.6718866885</x:v>
      </x:c>
      <x:c r="D10783" s="13" t="str">
        <x:v>Oil, Gas &amp; Petrochemicals</x:v>
      </x:c>
      <x:c r="E10783" s="13" t="str">
        <x:v>Oil, Gas &amp; Petrochemicals</x:v>
      </x:c>
      <x:c r="F10783" s="13" t="str">
        <x:v>Deep Cyclicals</x:v>
      </x:c>
      <x:c r="G10783" s="13" t="str">
        <x:v>grid_wbaxp5t0.xlsx</x:v>
      </x:c>
    </x:row>
    <x:row r="10784">
      <x:c r="A10784" s="15" t="n">
        <x:v>45078</x:v>
      </x:c>
      <x:c r="B10784" s="13" t="str">
        <x:v>COSAN SA</x:v>
      </x:c>
      <x:c r="C10784" s="16" t="n">
        <x:v>604.9287819891</x:v>
      </x:c>
      <x:c r="D10784" s="13" t="str">
        <x:v>Oil, Gas &amp; Petrochemicals</x:v>
      </x:c>
      <x:c r="E10784" s="13" t="str">
        <x:v>Oil, Gas &amp; Petrochemicals</x:v>
      </x:c>
      <x:c r="F10784" s="13" t="str">
        <x:v>Deep Cyclicals</x:v>
      </x:c>
      <x:c r="G10784" s="13" t="str">
        <x:v>grid_wbaxp5t0.xlsx</x:v>
      </x:c>
    </x:row>
    <x:row r="10785">
      <x:c r="A10785" s="15" t="n">
        <x:v>45078</x:v>
      </x:c>
      <x:c r="B10785" s="13" t="str">
        <x:v>PETROBRAS - PETROLEO BRAS</x:v>
      </x:c>
      <x:c r="C10785" s="16" t="n">
        <x:v>101431.863083366</x:v>
      </x:c>
      <x:c r="D10785" s="13" t="str">
        <x:v>Oil, Gas &amp; Petrochemicals</x:v>
      </x:c>
      <x:c r="E10785" s="13" t="str">
        <x:v>Oil, Gas &amp; Petrochemicals</x:v>
      </x:c>
      <x:c r="F10785" s="13" t="str">
        <x:v>Deep Cyclicals</x:v>
      </x:c>
      <x:c r="G10785" s="13" t="str">
        <x:v>grid_wbaxp5t0.xlsx</x:v>
      </x:c>
    </x:row>
    <x:row r="10786">
      <x:c r="A10786" s="15" t="n">
        <x:v>45078</x:v>
      </x:c>
      <x:c r="B10786" s="13" t="str">
        <x:v>PRIO SA</x:v>
      </x:c>
      <x:c r="C10786" s="16" t="n">
        <x:v>6699.0317730273</x:v>
      </x:c>
      <x:c r="D10786" s="13" t="str">
        <x:v>Oil, Gas &amp; Petrochemicals</x:v>
      </x:c>
      <x:c r="E10786" s="13" t="str">
        <x:v>Oil, Gas &amp; Petrochemicals</x:v>
      </x:c>
      <x:c r="F10786" s="13" t="str">
        <x:v>Deep Cyclicals</x:v>
      </x:c>
      <x:c r="G10786" s="13" t="str">
        <x:v>grid_wbaxp5t0.xlsx</x:v>
      </x:c>
    </x:row>
    <x:row r="10787">
      <x:c r="A10787" s="15" t="n">
        <x:v>45078</x:v>
      </x:c>
      <x:c r="B10787" s="13" t="str">
        <x:v>ULTRAPAR PARTICIPACOES SA</x:v>
      </x:c>
      <x:c r="C10787" s="16" t="n">
        <x:v>1235.7573931366</x:v>
      </x:c>
      <x:c r="D10787" s="13" t="str">
        <x:v>Oil, Gas &amp; Petrochemicals</x:v>
      </x:c>
      <x:c r="E10787" s="13" t="str">
        <x:v>Oil, Gas &amp; Petrochemicals</x:v>
      </x:c>
      <x:c r="F10787" s="13" t="str">
        <x:v>Deep Cyclicals</x:v>
      </x:c>
      <x:c r="G10787" s="13" t="str">
        <x:v>grid_wbaxp5t0.xlsx</x:v>
      </x:c>
    </x:row>
    <x:row r="10788">
      <x:c r="A10788" s="15" t="n">
        <x:v>45078</x:v>
      </x:c>
      <x:c r="B10788" s="13" t="str">
        <x:v>VIBRA ENERGIA SA</x:v>
      </x:c>
      <x:c r="C10788" s="16" t="n">
        <x:v>1779.0617488087</x:v>
      </x:c>
      <x:c r="D10788" s="13" t="str">
        <x:v>Oil, Gas &amp; Petrochemicals</x:v>
      </x:c>
      <x:c r="E10788" s="13" t="str">
        <x:v>Oil, Gas &amp; Petrochemicals</x:v>
      </x:c>
      <x:c r="F10788" s="13" t="str">
        <x:v>Deep Cyclicals</x:v>
      </x:c>
      <x:c r="G10788" s="13" t="str">
        <x:v>grid_wbaxp5t0.xlsx</x:v>
      </x:c>
    </x:row>
    <x:row r="10789">
      <x:c r="A10789" s="15" t="n">
        <x:v>45078</x:v>
      </x:c>
      <x:c r="B10789" s="13" t="str">
        <x:v>DEXCO SA</x:v>
      </x:c>
      <x:c r="C10789" s="16" t="n">
        <x:v>322.7932637377</x:v>
      </x:c>
      <x:c r="D10789" s="13" t="str">
        <x:v>Pulp &amp; Paper</x:v>
      </x:c>
      <x:c r="E10789" s="13" t="str">
        <x:v>Pulp &amp; Paper</x:v>
      </x:c>
      <x:c r="F10789" s="13" t="str">
        <x:v>Deep Cyclicals</x:v>
      </x:c>
      <x:c r="G10789" s="13" t="str">
        <x:v>grid_wbaxp5t0.xlsx</x:v>
      </x:c>
    </x:row>
    <x:row r="10790">
      <x:c r="A10790" s="15" t="n">
        <x:v>45078</x:v>
      </x:c>
      <x:c r="B10790" s="13" t="str">
        <x:v>KLABIN SA - UNIT</x:v>
      </x:c>
      <x:c r="C10790" s="16" t="n">
        <x:v>2324.4506719126</x:v>
      </x:c>
      <x:c r="D10790" s="13" t="str">
        <x:v>Pulp &amp; Paper</x:v>
      </x:c>
      <x:c r="E10790" s="13" t="str">
        <x:v>Pulp &amp; Paper</x:v>
      </x:c>
      <x:c r="F10790" s="13" t="str">
        <x:v>Deep Cyclicals</x:v>
      </x:c>
      <x:c r="G10790" s="13" t="str">
        <x:v>grid_wbaxp5t0.xlsx</x:v>
      </x:c>
    </x:row>
    <x:row r="10791">
      <x:c r="A10791" s="15" t="n">
        <x:v>45078</x:v>
      </x:c>
      <x:c r="B10791" s="13" t="str">
        <x:v>SUZANO SA</x:v>
      </x:c>
      <x:c r="C10791" s="16" t="n">
        <x:v>6273.1613558907</x:v>
      </x:c>
      <x:c r="D10791" s="13" t="str">
        <x:v>Pulp &amp; Paper</x:v>
      </x:c>
      <x:c r="E10791" s="13" t="str">
        <x:v>Pulp &amp; Paper</x:v>
      </x:c>
      <x:c r="F10791" s="13" t="str">
        <x:v>Deep Cyclicals</x:v>
      </x:c>
      <x:c r="G10791" s="13" t="str">
        <x:v>grid_wbaxp5t0.xlsx</x:v>
      </x:c>
    </x:row>
    <x:row r="10792">
      <x:c r="A10792" s="15" t="n">
        <x:v>45078</x:v>
      </x:c>
      <x:c r="B10792" s="13" t="str">
        <x:v>ALPARGATAS SA - PREF</x:v>
      </x:c>
      <x:c r="C10792" s="16" t="n">
        <x:v>373.1830601093</x:v>
      </x:c>
      <x:c r="D10792" s="13" t="str">
        <x:v>Retail</x:v>
      </x:c>
      <x:c r="E10792" s="13" t="str">
        <x:v>Retail</x:v>
      </x:c>
      <x:c r="F10792" s="13" t="str">
        <x:v>Early Cyclicals</x:v>
      </x:c>
      <x:c r="G10792" s="13" t="str">
        <x:v>grid_wbaxp5t0.xlsx</x:v>
      </x:c>
    </x:row>
    <x:row r="10793">
      <x:c r="A10793" s="15" t="n">
        <x:v>45078</x:v>
      </x:c>
      <x:c r="B10793" s="13" t="str">
        <x:v>ATACADAO SA</x:v>
      </x:c>
      <x:c r="C10793" s="16" t="n">
        <x:v>1646.8880884809</x:v>
      </x:c>
      <x:c r="D10793" s="13" t="str">
        <x:v>Retail</x:v>
      </x:c>
      <x:c r="E10793" s="13" t="str">
        <x:v>Retail</x:v>
      </x:c>
      <x:c r="F10793" s="13" t="str">
        <x:v>Early Cyclicals</x:v>
      </x:c>
      <x:c r="G10793" s="13" t="str">
        <x:v>grid_wbaxp5t0.xlsx</x:v>
      </x:c>
    </x:row>
    <x:row r="10794">
      <x:c r="A10794" s="15" t="n">
        <x:v>45078</x:v>
      </x:c>
      <x:c r="B10794" s="13" t="str">
        <x:v>AZZAS 2154 SA</x:v>
      </x:c>
      <x:c r="C10794" s="16" t="n">
        <x:v>526.4078429727</x:v>
      </x:c>
      <x:c r="D10794" s="13" t="str">
        <x:v>Retail</x:v>
      </x:c>
      <x:c r="E10794" s="13" t="str">
        <x:v>Retail</x:v>
      </x:c>
      <x:c r="F10794" s="13" t="str">
        <x:v>Early Cyclicals</x:v>
      </x:c>
      <x:c r="G10794" s="13" t="str">
        <x:v>grid_wbaxp5t0.xlsx</x:v>
      </x:c>
    </x:row>
    <x:row r="10795">
      <x:c r="A10795" s="15" t="n">
        <x:v>45078</x:v>
      </x:c>
      <x:c r="B10795" s="13" t="str">
        <x:v>CIA BRASILEIRA DE DISTRIBUIC</x:v>
      </x:c>
      <x:c r="C10795" s="16" t="n">
        <x:v>87.1234972678</x:v>
      </x:c>
      <x:c r="D10795" s="13" t="str">
        <x:v>Retail</x:v>
      </x:c>
      <x:c r="E10795" s="13" t="str">
        <x:v>Retail</x:v>
      </x:c>
      <x:c r="F10795" s="13" t="str">
        <x:v>Early Cyclicals</x:v>
      </x:c>
      <x:c r="G10795" s="13" t="str">
        <x:v>grid_wbaxp5t0.xlsx</x:v>
      </x:c>
    </x:row>
    <x:row r="10796">
      <x:c r="A10796" s="15" t="n">
        <x:v>45078</x:v>
      </x:c>
      <x:c r="B10796" s="13" t="str">
        <x:v>CVC BRASIL OPERADORA E AGENC</x:v>
      </x:c>
      <x:c r="C10796" s="16" t="n">
        <x:v>-232.2349726776</x:v>
      </x:c>
      <x:c r="D10796" s="13" t="str">
        <x:v>Retail</x:v>
      </x:c>
      <x:c r="E10796" s="13" t="str">
        <x:v>Retail</x:v>
      </x:c>
      <x:c r="F10796" s="13" t="str">
        <x:v>Early Cyclicals</x:v>
      </x:c>
      <x:c r="G10796" s="13" t="str">
        <x:v>grid_wbaxp5t0.xlsx</x:v>
      </x:c>
    </x:row>
    <x:row r="10797">
      <x:c r="A10797" s="15" t="n">
        <x:v>45078</x:v>
      </x:c>
      <x:c r="B10797" s="13" t="str">
        <x:v>GRUPO CASAS BAHIA SA</x:v>
      </x:c>
      <x:c r="C10797" s="16" t="n">
        <x:v>-430.7862783388</x:v>
      </x:c>
      <x:c r="D10797" s="13" t="str">
        <x:v>Retail</x:v>
      </x:c>
      <x:c r="E10797" s="13" t="str">
        <x:v>Retail</x:v>
      </x:c>
      <x:c r="F10797" s="13" t="str">
        <x:v>Early Cyclicals</x:v>
      </x:c>
      <x:c r="G10797" s="13" t="str">
        <x:v>grid_wbaxp5t0.xlsx</x:v>
      </x:c>
    </x:row>
    <x:row r="10798">
      <x:c r="A10798" s="15" t="n">
        <x:v>45078</x:v>
      </x:c>
      <x:c r="B10798" s="13" t="str">
        <x:v>GRUPO DE MODA SOMA SA</x:v>
      </x:c>
      <x:c r="C10798" s="16" t="n">
        <x:v>567.8859369617</x:v>
      </x:c>
      <x:c r="D10798" s="13" t="str">
        <x:v>Retail</x:v>
      </x:c>
      <x:c r="E10798" s="13" t="str">
        <x:v>Retail</x:v>
      </x:c>
      <x:c r="F10798" s="13" t="str">
        <x:v>Early Cyclicals</x:v>
      </x:c>
      <x:c r="G10798" s="13" t="str">
        <x:v>grid_wbaxp5t0.xlsx</x:v>
      </x:c>
    </x:row>
    <x:row r="10799">
      <x:c r="A10799" s="15" t="n">
        <x:v>45078</x:v>
      </x:c>
      <x:c r="B10799" s="13" t="str">
        <x:v>LOJAS RENNER S.A.</x:v>
      </x:c>
      <x:c r="C10799" s="16" t="n">
        <x:v>1383.9237546667</x:v>
      </x:c>
      <x:c r="D10799" s="13" t="str">
        <x:v>Retail</x:v>
      </x:c>
      <x:c r="E10799" s="13" t="str">
        <x:v>Retail</x:v>
      </x:c>
      <x:c r="F10799" s="13" t="str">
        <x:v>Early Cyclicals</x:v>
      </x:c>
      <x:c r="G10799" s="13" t="str">
        <x:v>grid_wbaxp5t0.xlsx</x:v>
      </x:c>
    </x:row>
    <x:row r="10800">
      <x:c r="A10800" s="15" t="n">
        <x:v>45078</x:v>
      </x:c>
      <x:c r="B10800" s="13" t="str">
        <x:v>MAGAZINE LUIZA SA</x:v>
      </x:c>
      <x:c r="C10800" s="16" t="n">
        <x:v>-25.4460681093</x:v>
      </x:c>
      <x:c r="D10800" s="13" t="str">
        <x:v>Retail</x:v>
      </x:c>
      <x:c r="E10800" s="13" t="str">
        <x:v>Retail</x:v>
      </x:c>
      <x:c r="F10800" s="13" t="str">
        <x:v>Early Cyclicals</x:v>
      </x:c>
      <x:c r="G10800" s="13" t="str">
        <x:v>grid_wbaxp5t0.xlsx</x:v>
      </x:c>
    </x:row>
    <x:row r="10801">
      <x:c r="A10801" s="15" t="n">
        <x:v>45078</x:v>
      </x:c>
      <x:c r="B10801" s="13" t="str">
        <x:v>NATURA &amp;CO HOLDING SA</x:v>
      </x:c>
      <x:c r="C10801" s="16" t="n">
        <x:v>1291.3946607213</x:v>
      </x:c>
      <x:c r="D10801" s="13" t="str">
        <x:v>Retail</x:v>
      </x:c>
      <x:c r="E10801" s="13" t="str">
        <x:v>Retail</x:v>
      </x:c>
      <x:c r="F10801" s="13" t="str">
        <x:v>Early Cyclicals</x:v>
      </x:c>
      <x:c r="G10801" s="13" t="str">
        <x:v>grid_wbaxp5t0.xlsx</x:v>
      </x:c>
    </x:row>
    <x:row r="10802">
      <x:c r="A10802" s="15" t="n">
        <x:v>45078</x:v>
      </x:c>
      <x:c r="B10802" s="13" t="str">
        <x:v>PET CENTER COMERCIO E PARTIC</x:v>
      </x:c>
      <x:c r="C10802" s="16" t="n">
        <x:v>140.5549945355</x:v>
      </x:c>
      <x:c r="D10802" s="13" t="str">
        <x:v>Retail</x:v>
      </x:c>
      <x:c r="E10802" s="13" t="str">
        <x:v>Retail</x:v>
      </x:c>
      <x:c r="F10802" s="13" t="str">
        <x:v>Early Cyclicals</x:v>
      </x:c>
      <x:c r="G10802" s="13" t="str">
        <x:v>grid_wbaxp5t0.xlsx</x:v>
      </x:c>
    </x:row>
    <x:row r="10803">
      <x:c r="A10803" s="15" t="n">
        <x:v>45078</x:v>
      </x:c>
      <x:c r="B10803" s="13" t="str">
        <x:v>RAIA DROGASIL SA</x:v>
      </x:c>
      <x:c r="C10803" s="16" t="n">
        <x:v>1341.088587541</x:v>
      </x:c>
      <x:c r="D10803" s="13" t="str">
        <x:v>Retail</x:v>
      </x:c>
      <x:c r="E10803" s="13" t="str">
        <x:v>Retail</x:v>
      </x:c>
      <x:c r="F10803" s="13" t="str">
        <x:v>Early Cyclicals</x:v>
      </x:c>
      <x:c r="G10803" s="13" t="str">
        <x:v>grid_wbaxp5t0.xlsx</x:v>
      </x:c>
    </x:row>
    <x:row r="10804">
      <x:c r="A10804" s="15" t="n">
        <x:v>45078</x:v>
      </x:c>
      <x:c r="B10804" s="13" t="str">
        <x:v>SENDAS DISTRIBUIDORA SA</x:v>
      </x:c>
      <x:c r="C10804" s="16" t="n">
        <x:v>1299.1933453989</x:v>
      </x:c>
      <x:c r="D10804" s="13" t="str">
        <x:v>Retail</x:v>
      </x:c>
      <x:c r="E10804" s="13" t="str">
        <x:v>Retail</x:v>
      </x:c>
      <x:c r="F10804" s="13" t="str">
        <x:v>Early Cyclicals</x:v>
      </x:c>
      <x:c r="G10804" s="13" t="str">
        <x:v>grid_wbaxp5t0.xlsx</x:v>
      </x:c>
    </x:row>
    <x:row r="10805">
      <x:c r="A10805" s="15" t="n">
        <x:v>45078</x:v>
      </x:c>
      <x:c r="B10805" s="13" t="str">
        <x:v>CIA SANEAMENTO BASICO DE SP</x:v>
      </x:c>
      <x:c r="C10805" s="16" t="n">
        <x:v>3893.7572301639</x:v>
      </x:c>
      <x:c r="D10805" s="13" t="str">
        <x:v>Sanitation</x:v>
      </x:c>
      <x:c r="E10805" s="13" t="str">
        <x:v>Utilities</x:v>
      </x:c>
      <x:c r="F10805" s="13" t="str">
        <x:v>Defensives</x:v>
      </x:c>
      <x:c r="G10805" s="13" t="str">
        <x:v>grid_wbaxp5t0.xlsx</x:v>
      </x:c>
    </x:row>
    <x:row r="10806">
      <x:c r="A10806" s="15" t="n">
        <x:v>45078</x:v>
      </x:c>
      <x:c r="B10806" s="13" t="str">
        <x:v>LWSA SA</x:v>
      </x:c>
      <x:c r="C10806" s="16" t="n">
        <x:v>133.339726776</x:v>
      </x:c>
      <x:c r="D10806" s="13" t="str">
        <x:v>TMT</x:v>
      </x:c>
      <x:c r="E10806" s="13" t="str">
        <x:v>TMT</x:v>
      </x:c>
      <x:c r="F10806" s="13" t="str">
        <x:v>Early Cyclicals</x:v>
      </x:c>
      <x:c r="G10806" s="13" t="str">
        <x:v>grid_wbaxp5t0.xlsx</x:v>
      </x:c>
    </x:row>
    <x:row r="10807">
      <x:c r="A10807" s="15" t="n">
        <x:v>45078</x:v>
      </x:c>
      <x:c r="B10807" s="13" t="str">
        <x:v>TIM SA</x:v>
      </x:c>
      <x:c r="C10807" s="16" t="n">
        <x:v>2372.2415380984</x:v>
      </x:c>
      <x:c r="D10807" s="13" t="str">
        <x:v>TMT</x:v>
      </x:c>
      <x:c r="E10807" s="13" t="str">
        <x:v>TMT</x:v>
      </x:c>
      <x:c r="F10807" s="13" t="str">
        <x:v>Early Cyclicals</x:v>
      </x:c>
      <x:c r="G10807" s="13" t="str">
        <x:v>grid_wbaxp5t0.xlsx</x:v>
      </x:c>
    </x:row>
    <x:row r="10808">
      <x:c r="A10808" s="15" t="n">
        <x:v>45078</x:v>
      </x:c>
      <x:c r="B10808" s="13" t="str">
        <x:v>TOTVS SA</x:v>
      </x:c>
      <x:c r="C10808" s="16" t="n">
        <x:v>753.9229349071</x:v>
      </x:c>
      <x:c r="D10808" s="13" t="str">
        <x:v>TMT</x:v>
      </x:c>
      <x:c r="E10808" s="13" t="str">
        <x:v>TMT</x:v>
      </x:c>
      <x:c r="F10808" s="13" t="str">
        <x:v>Early Cyclicals</x:v>
      </x:c>
      <x:c r="G10808" s="13" t="str">
        <x:v>grid_wbaxp5t0.xlsx</x:v>
      </x:c>
    </x:row>
    <x:row r="10809">
      <x:c r="A10809" s="15" t="n">
        <x:v>45078</x:v>
      </x:c>
      <x:c r="B10809" s="13" t="str">
        <x:v>AZUL SA</x:v>
      </x:c>
      <x:c r="C10809" s="16" t="n">
        <x:v>-4.8299394098</x:v>
      </x:c>
      <x:c r="D10809" s="13" t="str">
        <x:v>Transportation</x:v>
      </x:c>
      <x:c r="E10809" s="13" t="str">
        <x:v>Transportation</x:v>
      </x:c>
      <x:c r="F10809" s="13" t="str">
        <x:v>Deep Cyclicals</x:v>
      </x:c>
      <x:c r="G10809" s="13" t="str">
        <x:v>grid_wbaxp5t0.xlsx</x:v>
      </x:c>
    </x:row>
    <x:row r="10810">
      <x:c r="A10810" s="15" t="n">
        <x:v>45078</x:v>
      </x:c>
      <x:c r="B10810" s="13" t="str">
        <x:v>GOL LINHAS AEREAS INT SA-PRE</x:v>
      </x:c>
      <x:c r="C10810" s="16" t="n">
        <x:v>756.5858420109</x:v>
      </x:c>
      <x:c r="D10810" s="13" t="str">
        <x:v>Transportation</x:v>
      </x:c>
      <x:c r="E10810" s="13" t="str">
        <x:v>Transportation</x:v>
      </x:c>
      <x:c r="F10810" s="13" t="str">
        <x:v>Deep Cyclicals</x:v>
      </x:c>
      <x:c r="G10810" s="13" t="str">
        <x:v>grid_wbaxp5t0.xlsx</x:v>
      </x:c>
    </x:row>
    <x:row r="10811">
      <x:c r="A10811" s="15" t="n">
        <x:v>45078</x:v>
      </x:c>
      <x:c r="B10811" s="13" t="str">
        <x:v>LOCALIZA RENT A CAR</x:v>
      </x:c>
      <x:c r="C10811" s="16" t="n">
        <x:v>3365.3924175738</x:v>
      </x:c>
      <x:c r="D10811" s="13" t="str">
        <x:v>Transportation</x:v>
      </x:c>
      <x:c r="E10811" s="13" t="str">
        <x:v>Transportation</x:v>
      </x:c>
      <x:c r="F10811" s="13" t="str">
        <x:v>Deep Cyclicals</x:v>
      </x:c>
      <x:c r="G10811" s="13" t="str">
        <x:v>grid_wbaxp5t0.xlsx</x:v>
      </x:c>
    </x:row>
    <x:row r="10812">
      <x:c r="A10812" s="15" t="n">
        <x:v>45078</x:v>
      </x:c>
      <x:c r="B10812" s="13" t="str">
        <x:v>MOTIVA INFRAESTRUTURA DE MOB</x:v>
      </x:c>
      <x:c r="C10812" s="16" t="n">
        <x:v>1631.1232398689</x:v>
      </x:c>
      <x:c r="D10812" s="13" t="str">
        <x:v>Transportation</x:v>
      </x:c>
      <x:c r="E10812" s="13" t="str">
        <x:v>Transportation</x:v>
      </x:c>
      <x:c r="F10812" s="13" t="str">
        <x:v>Deep Cyclicals</x:v>
      </x:c>
      <x:c r="G10812" s="13" t="str">
        <x:v>grid_wbaxp5t0.xlsx</x:v>
      </x:c>
    </x:row>
    <x:row r="10813">
      <x:c r="A10813" s="15" t="n">
        <x:v>45078</x:v>
      </x:c>
      <x:c r="B10813" s="13" t="str">
        <x:v>RUMO SA</x:v>
      </x:c>
      <x:c r="C10813" s="16" t="n">
        <x:v>1421.9158004809</x:v>
      </x:c>
      <x:c r="D10813" s="13" t="str">
        <x:v>Transportation</x:v>
      </x:c>
      <x:c r="E10813" s="13" t="str">
        <x:v>Transportation</x:v>
      </x:c>
      <x:c r="F10813" s="13" t="str">
        <x:v>Deep Cyclicals</x:v>
      </x:c>
      <x:c r="G10813" s="13" t="str">
        <x:v>grid_wbaxp5t0.xlsx</x:v>
      </x:c>
    </x:row>
    <x:row r="10814">
      <x:c r="A10814" s="15" t="n">
        <x:v>45078</x:v>
      </x:c>
      <x:c r="B10814" s="13" t="str">
        <x:v>AXIA ENERGIA SA</x:v>
      </x:c>
      <x:c r="C10814" s="16" t="n">
        <x:v>7255.8700331366</x:v>
      </x:c>
      <x:c r="D10814" s="13" t="str">
        <x:v>Utilities &amp; Energy</x:v>
      </x:c>
      <x:c r="E10814" s="13" t="str">
        <x:v>Utilities</x:v>
      </x:c>
      <x:c r="F10814" s="13" t="str">
        <x:v>Defensives</x:v>
      </x:c>
      <x:c r="G10814" s="13" t="str">
        <x:v>grid_wbaxp5t0.xlsx</x:v>
      </x:c>
    </x:row>
    <x:row r="10815">
      <x:c r="A10815" s="15" t="n">
        <x:v>45078</x:v>
      </x:c>
      <x:c r="B10815" s="13" t="str">
        <x:v>AXIA ENERGIA-PR B</x:v>
      </x:c>
      <x:c r="C10815" s="16" t="n">
        <x:v>7255.8700331366</x:v>
      </x:c>
      <x:c r="D10815" s="13" t="str">
        <x:v>Utilities &amp; Energy</x:v>
      </x:c>
      <x:c r="E10815" s="13" t="str">
        <x:v>Utilities</x:v>
      </x:c>
      <x:c r="F10815" s="13" t="str">
        <x:v>Defensives</x:v>
      </x:c>
      <x:c r="G10815" s="13" t="str">
        <x:v>grid_wbaxp5t0.xlsx</x:v>
      </x:c>
    </x:row>
    <x:row r="10816">
      <x:c r="A10816" s="15" t="n">
        <x:v>45078</x:v>
      </x:c>
      <x:c r="B10816" s="13" t="str">
        <x:v>CIA ENERGETICA MINAS GER-PRF</x:v>
      </x:c>
      <x:c r="C10816" s="16" t="n">
        <x:v>4300.353295388</x:v>
      </x:c>
      <x:c r="D10816" s="13" t="str">
        <x:v>Utilities &amp; Energy</x:v>
      </x:c>
      <x:c r="E10816" s="13" t="str">
        <x:v>Utilities</x:v>
      </x:c>
      <x:c r="F10816" s="13" t="str">
        <x:v>Defensives</x:v>
      </x:c>
      <x:c r="G10816" s="13" t="str">
        <x:v>grid_wbaxp5t0.xlsx</x:v>
      </x:c>
    </x:row>
    <x:row r="10817">
      <x:c r="A10817" s="15" t="n">
        <x:v>45078</x:v>
      </x:c>
      <x:c r="B10817" s="13" t="str">
        <x:v>COMPANHIA PARANAENSE -PREF B</x:v>
      </x:c>
      <x:c r="C10817" s="16" t="n">
        <x:v>1802.3639026011</x:v>
      </x:c>
      <x:c r="D10817" s="13" t="str">
        <x:v>Utilities &amp; Energy</x:v>
      </x:c>
      <x:c r="E10817" s="13" t="str">
        <x:v>Utilities</x:v>
      </x:c>
      <x:c r="F10817" s="13" t="str">
        <x:v>Defensives</x:v>
      </x:c>
      <x:c r="G10817" s="13" t="str">
        <x:v>grid_wbaxp5t0.xlsx</x:v>
      </x:c>
    </x:row>
    <x:row r="10818">
      <x:c r="A10818" s="15" t="n">
        <x:v>45078</x:v>
      </x:c>
      <x:c r="B10818" s="13" t="str">
        <x:v>CPFL ENERGIA SA</x:v>
      </x:c>
      <x:c r="C10818" s="16" t="n">
        <x:v>4778.4276913661</x:v>
      </x:c>
      <x:c r="D10818" s="13" t="str">
        <x:v>Utilities &amp; Energy</x:v>
      </x:c>
      <x:c r="E10818" s="13" t="str">
        <x:v>Utilities</x:v>
      </x:c>
      <x:c r="F10818" s="13" t="str">
        <x:v>Defensives</x:v>
      </x:c>
      <x:c r="G10818" s="13" t="str">
        <x:v>grid_wbaxp5t0.xlsx</x:v>
      </x:c>
    </x:row>
    <x:row r="10819">
      <x:c r="A10819" s="15" t="n">
        <x:v>45078</x:v>
      </x:c>
      <x:c r="B10819" s="13" t="str">
        <x:v>EDP - ENERGIAS DO BRASIL SA</x:v>
      </x:c>
      <x:c r="C10819" s="16" t="n">
        <x:v>1541.5029361311</x:v>
      </x:c>
      <x:c r="D10819" s="13" t="str">
        <x:v>Utilities &amp; Energy</x:v>
      </x:c>
      <x:c r="E10819" s="13" t="str">
        <x:v>Utilities</x:v>
      </x:c>
      <x:c r="F10819" s="13" t="str">
        <x:v>Defensives</x:v>
      </x:c>
      <x:c r="G10819" s="13" t="str">
        <x:v>grid_wbaxp5t0.xlsx</x:v>
      </x:c>
    </x:row>
    <x:row r="10820">
      <x:c r="A10820" s="15" t="n">
        <x:v>45078</x:v>
      </x:c>
      <x:c r="B10820" s="13" t="str">
        <x:v>ENERGISA SA-UNITS</x:v>
      </x:c>
      <x:c r="C10820" s="16" t="n">
        <x:v>1716.784527388</x:v>
      </x:c>
      <x:c r="D10820" s="13" t="str">
        <x:v>Utilities &amp; Energy</x:v>
      </x:c>
      <x:c r="E10820" s="13" t="str">
        <x:v>Utilities</x:v>
      </x:c>
      <x:c r="F10820" s="13" t="str">
        <x:v>Defensives</x:v>
      </x:c>
      <x:c r="G10820" s="13" t="str">
        <x:v>grid_wbaxp5t0.xlsx</x:v>
      </x:c>
    </x:row>
    <x:row r="10821">
      <x:c r="A10821" s="15" t="n">
        <x:v>45078</x:v>
      </x:c>
      <x:c r="B10821" s="13" t="str">
        <x:v>ENEVA SA</x:v>
      </x:c>
      <x:c r="C10821" s="16" t="n">
        <x:v>1109.7018320437</x:v>
      </x:c>
      <x:c r="D10821" s="13" t="str">
        <x:v>Utilities &amp; Energy</x:v>
      </x:c>
      <x:c r="E10821" s="13" t="str">
        <x:v>Utilities</x:v>
      </x:c>
      <x:c r="F10821" s="13" t="str">
        <x:v>Defensives</x:v>
      </x:c>
      <x:c r="G10821" s="13" t="str">
        <x:v>grid_wbaxp5t0.xlsx</x:v>
      </x:c>
    </x:row>
    <x:row r="10822">
      <x:c r="A10822" s="15" t="n">
        <x:v>45078</x:v>
      </x:c>
      <x:c r="B10822" s="13" t="str">
        <x:v>ENGIE BRASIL ENERGIA SA</x:v>
      </x:c>
      <x:c r="C10822" s="16" t="n">
        <x:v>3474.323425224</x:v>
      </x:c>
      <x:c r="D10822" s="13" t="str">
        <x:v>Utilities &amp; Energy</x:v>
      </x:c>
      <x:c r="E10822" s="13" t="str">
        <x:v>Utilities</x:v>
      </x:c>
      <x:c r="F10822" s="13" t="str">
        <x:v>Defensives</x:v>
      </x:c>
      <x:c r="G10822" s="13" t="str">
        <x:v>grid_wbaxp5t0.xlsx</x:v>
      </x:c>
    </x:row>
    <x:row r="10823">
      <x:c r="A10823" s="15" t="n">
        <x:v>45078</x:v>
      </x:c>
      <x:c r="B10823" s="13" t="str">
        <x:v>EQUATORIAL SA - ORD</x:v>
      </x:c>
      <x:c r="C10823" s="16" t="n">
        <x:v>2376.3059815519</x:v>
      </x:c>
      <x:c r="D10823" s="13" t="str">
        <x:v>Utilities &amp; Energy</x:v>
      </x:c>
      <x:c r="E10823" s="13" t="str">
        <x:v>Utilities</x:v>
      </x:c>
      <x:c r="F10823" s="13" t="str">
        <x:v>Defensives</x:v>
      </x:c>
      <x:c r="G10823" s="13" t="str">
        <x:v>grid_wbaxp5t0.xlsx</x:v>
      </x:c>
    </x:row>
    <x:row r="10824">
      <x:c r="A10824" s="15" t="n">
        <x:v>45078</x:v>
      </x:c>
      <x:c r="B10824" s="13" t="str">
        <x:v>TRANSMISSORA ALIANCA DE-UNIT</x:v>
      </x:c>
      <x:c r="C10824" s="16" t="n">
        <x:v>1340.2255353006</x:v>
      </x:c>
      <x:c r="D10824" s="13" t="str">
        <x:v>Utilities &amp; Energy</x:v>
      </x:c>
      <x:c r="E10824" s="13" t="str">
        <x:v>Utilities</x:v>
      </x:c>
      <x:c r="F10824" s="13" t="str">
        <x:v>Defensives</x:v>
      </x:c>
      <x:c r="G10824" s="13" t="str">
        <x:v>grid_wbaxp5t0.xlsx</x:v>
      </x:c>
    </x:row>
    <x:row r="10825">
      <x:c r="A10825" s="15" t="n">
        <x:v>45108</x:v>
      </x:c>
      <x:c r="B10825" s="13" t="str">
        <x:v>RAIZEN SA - PREFERENCE</x:v>
      </x:c>
      <x:c r="C10825" s="16" t="n">
        <x:v>3930.4774592877</x:v>
      </x:c>
      <x:c r="D10825" s="13" t="str">
        <x:v>Agribusiness</x:v>
      </x:c>
      <x:c r="E10825" s="13" t="str">
        <x:v>Agri, Food &amp; Beverages</x:v>
      </x:c>
      <x:c r="F10825" s="13" t="str">
        <x:v>Defensives</x:v>
      </x:c>
      <x:c r="G10825" s="13" t="str">
        <x:v>grid_wbaxp5t0.xlsx</x:v>
      </x:c>
    </x:row>
    <x:row r="10826">
      <x:c r="A10826" s="15" t="n">
        <x:v>45108</x:v>
      </x:c>
      <x:c r="B10826" s="13" t="str">
        <x:v>SAO MARTINHO SA</x:v>
      </x:c>
      <x:c r="C10826" s="16" t="n">
        <x:v>1305.9205379507</x:v>
      </x:c>
      <x:c r="D10826" s="13" t="str">
        <x:v>Agribusiness</x:v>
      </x:c>
      <x:c r="E10826" s="13" t="str">
        <x:v>Agri, Food &amp; Beverages</x:v>
      </x:c>
      <x:c r="F10826" s="13" t="str">
        <x:v>Defensives</x:v>
      </x:c>
      <x:c r="G10826" s="13" t="str">
        <x:v>grid_wbaxp5t0.xlsx</x:v>
      </x:c>
    </x:row>
    <x:row r="10827">
      <x:c r="A10827" s="15" t="n">
        <x:v>45108</x:v>
      </x:c>
      <x:c r="B10827" s="13" t="str">
        <x:v>SLC AGRICOLA SA</x:v>
      </x:c>
      <x:c r="C10827" s="16" t="n">
        <x:v>1228.5845980328</x:v>
      </x:c>
      <x:c r="D10827" s="13" t="str">
        <x:v>Agribusiness</x:v>
      </x:c>
      <x:c r="E10827" s="13" t="str">
        <x:v>Agri, Food &amp; Beverages</x:v>
      </x:c>
      <x:c r="F10827" s="13" t="str">
        <x:v>Defensives</x:v>
      </x:c>
      <x:c r="G10827" s="13" t="str">
        <x:v>grid_wbaxp5t0.xlsx</x:v>
      </x:c>
    </x:row>
    <x:row r="10828">
      <x:c r="A10828" s="15" t="n">
        <x:v>45108</x:v>
      </x:c>
      <x:c r="B10828" s="13" t="str">
        <x:v>BANCO BRADESCO S.A.</x:v>
      </x:c>
      <x:c r="C10828" s="16" t="n">
        <x:v>23557.755031082</x:v>
      </x:c>
      <x:c r="D10828" s="13" t="str">
        <x:v>Banks</x:v>
      </x:c>
      <x:c r="E10828" s="13" t="str">
        <x:v>Banks</x:v>
      </x:c>
      <x:c r="F10828" s="13" t="str">
        <x:v>Financials</x:v>
      </x:c>
      <x:c r="G10828" s="13" t="str">
        <x:v>grid_wbaxp5t0.xlsx</x:v>
      </x:c>
    </x:row>
    <x:row r="10829">
      <x:c r="A10829" s="15" t="n">
        <x:v>45108</x:v>
      </x:c>
      <x:c r="B10829" s="13" t="str">
        <x:v>BANCO BRADESCO SA-PREF</x:v>
      </x:c>
      <x:c r="C10829" s="16" t="n">
        <x:v>23557.755031082</x:v>
      </x:c>
      <x:c r="D10829" s="13" t="str">
        <x:v>Banks</x:v>
      </x:c>
      <x:c r="E10829" s="13" t="str">
        <x:v>Banks</x:v>
      </x:c>
      <x:c r="F10829" s="13" t="str">
        <x:v>Financials</x:v>
      </x:c>
      <x:c r="G10829" s="13" t="str">
        <x:v>grid_wbaxp5t0.xlsx</x:v>
      </x:c>
    </x:row>
    <x:row r="10830">
      <x:c r="A10830" s="15" t="n">
        <x:v>45108</x:v>
      </x:c>
      <x:c r="B10830" s="13" t="str">
        <x:v>BANCO BTG PACTUAL SA-UNIT</x:v>
      </x:c>
      <x:c r="C10830" s="16" t="n">
        <x:v>10563.0279931803</x:v>
      </x:c>
      <x:c r="D10830" s="13" t="str">
        <x:v>Banks</x:v>
      </x:c>
      <x:c r="E10830" s="13" t="str">
        <x:v>Banks</x:v>
      </x:c>
      <x:c r="F10830" s="13" t="str">
        <x:v>Financials</x:v>
      </x:c>
      <x:c r="G10830" s="13" t="str">
        <x:v>grid_wbaxp5t0.xlsx</x:v>
      </x:c>
    </x:row>
    <x:row r="10831">
      <x:c r="A10831" s="15" t="n">
        <x:v>45108</x:v>
      </x:c>
      <x:c r="B10831" s="13" t="str">
        <x:v>BANCO DO BRASIL S.A.</x:v>
      </x:c>
      <x:c r="C10831" s="16" t="n">
        <x:v>35794.910359082</x:v>
      </x:c>
      <x:c r="D10831" s="13" t="str">
        <x:v>Banks</x:v>
      </x:c>
      <x:c r="E10831" s="13" t="str">
        <x:v>Banks</x:v>
      </x:c>
      <x:c r="F10831" s="13" t="str">
        <x:v>Financials</x:v>
      </x:c>
      <x:c r="G10831" s="13" t="str">
        <x:v>grid_wbaxp5t0.xlsx</x:v>
      </x:c>
    </x:row>
    <x:row r="10832">
      <x:c r="A10832" s="15" t="n">
        <x:v>45108</x:v>
      </x:c>
      <x:c r="B10832" s="13" t="str">
        <x:v>BANCO SANTANDER  BRASIL-UNIT</x:v>
      </x:c>
      <x:c r="C10832" s="16" t="n">
        <x:v>12832.9887643279</x:v>
      </x:c>
      <x:c r="D10832" s="13" t="str">
        <x:v>Banks</x:v>
      </x:c>
      <x:c r="E10832" s="13" t="str">
        <x:v>Banks</x:v>
      </x:c>
      <x:c r="F10832" s="13" t="str">
        <x:v>Financials</x:v>
      </x:c>
      <x:c r="G10832" s="13" t="str">
        <x:v>grid_wbaxp5t0.xlsx</x:v>
      </x:c>
    </x:row>
    <x:row r="10833">
      <x:c r="A10833" s="15" t="n">
        <x:v>45108</x:v>
      </x:c>
      <x:c r="B10833" s="13" t="str">
        <x:v>ITAU UNIBANCO HOLDING S-PREF</x:v>
      </x:c>
      <x:c r="C10833" s="16" t="n">
        <x:v>37562.5150531148</x:v>
      </x:c>
      <x:c r="D10833" s="13" t="str">
        <x:v>Banks</x:v>
      </x:c>
      <x:c r="E10833" s="13" t="str">
        <x:v>Banks</x:v>
      </x:c>
      <x:c r="F10833" s="13" t="str">
        <x:v>Financials</x:v>
      </x:c>
      <x:c r="G10833" s="13" t="str">
        <x:v>grid_wbaxp5t0.xlsx</x:v>
      </x:c>
    </x:row>
    <x:row r="10834">
      <x:c r="A10834" s="15" t="n">
        <x:v>45108</x:v>
      </x:c>
      <x:c r="B10834" s="13" t="str">
        <x:v>EMBRAER SA</x:v>
      </x:c>
      <x:c r="C10834" s="16" t="n">
        <x:v>921.0456278033</x:v>
      </x:c>
      <x:c r="D10834" s="13" t="str">
        <x:v>Capital Goods</x:v>
      </x:c>
      <x:c r="E10834" s="13" t="str">
        <x:v>Capital Goods</x:v>
      </x:c>
      <x:c r="F10834" s="13" t="str">
        <x:v>Deep Cyclicals</x:v>
      </x:c>
      <x:c r="G10834" s="13" t="str">
        <x:v>grid_wbaxp5t0.xlsx</x:v>
      </x:c>
    </x:row>
    <x:row r="10835">
      <x:c r="A10835" s="15" t="n">
        <x:v>45108</x:v>
      </x:c>
      <x:c r="B10835" s="13" t="str">
        <x:v>WEG SA</x:v>
      </x:c>
      <x:c r="C10835" s="16" t="n">
        <x:v>5528.7739467541</x:v>
      </x:c>
      <x:c r="D10835" s="13" t="str">
        <x:v>Capital Goods</x:v>
      </x:c>
      <x:c r="E10835" s="13" t="str">
        <x:v>Capital Goods</x:v>
      </x:c>
      <x:c r="F10835" s="13" t="str">
        <x:v>Deep Cyclicals</x:v>
      </x:c>
      <x:c r="G10835" s="13" t="str">
        <x:v>grid_wbaxp5t0.xlsx</x:v>
      </x:c>
    </x:row>
    <x:row r="10836">
      <x:c r="A10836" s="15" t="n">
        <x:v>45108</x:v>
      </x:c>
      <x:c r="B10836" s="13" t="str">
        <x:v>COGNA EDUCACAO</x:v>
      </x:c>
      <x:c r="C10836" s="16" t="n">
        <x:v>173.7319374098</x:v>
      </x:c>
      <x:c r="D10836" s="13" t="str">
        <x:v>Education</x:v>
      </x:c>
      <x:c r="E10836" s="13" t="str">
        <x:v>Education</x:v>
      </x:c>
      <x:c r="F10836" s="13" t="str">
        <x:v>Early Cyclicals</x:v>
      </x:c>
      <x:c r="G10836" s="13" t="str">
        <x:v>grid_wbaxp5t0.xlsx</x:v>
      </x:c>
    </x:row>
    <x:row r="10837">
      <x:c r="A10837" s="15" t="n">
        <x:v>45108</x:v>
      </x:c>
      <x:c r="B10837" s="13" t="str">
        <x:v>YDUQS PARTICIPACOES SA</x:v>
      </x:c>
      <x:c r="C10837" s="16" t="n">
        <x:v>378.3106557377</x:v>
      </x:c>
      <x:c r="D10837" s="13" t="str">
        <x:v>Education</x:v>
      </x:c>
      <x:c r="E10837" s="13" t="str">
        <x:v>Education</x:v>
      </x:c>
      <x:c r="F10837" s="13" t="str">
        <x:v>Early Cyclicals</x:v>
      </x:c>
      <x:c r="G10837" s="13" t="str">
        <x:v>grid_wbaxp5t0.xlsx</x:v>
      </x:c>
    </x:row>
    <x:row r="10838">
      <x:c r="A10838" s="15" t="n">
        <x:v>45108</x:v>
      </x:c>
      <x:c r="B10838" s="13" t="str">
        <x:v>B3 SA-BRASIL BOLSA BALCAO</x:v>
      </x:c>
      <x:c r="C10838" s="16" t="n">
        <x:v>4936.7472178361</x:v>
      </x:c>
      <x:c r="D10838" s="13" t="str">
        <x:v>Financials Non-Banks</x:v>
      </x:c>
      <x:c r="E10838" s="13" t="str">
        <x:v>Financials Non-Banks</x:v>
      </x:c>
      <x:c r="F10838" s="13" t="str">
        <x:v>Financials</x:v>
      </x:c>
      <x:c r="G10838" s="13" t="str">
        <x:v>grid_wbaxp5t0.xlsx</x:v>
      </x:c>
    </x:row>
    <x:row r="10839">
      <x:c r="A10839" s="15" t="n">
        <x:v>45108</x:v>
      </x:c>
      <x:c r="B10839" s="13" t="str">
        <x:v>BB SEGURIDADE PARTICIPACOES</x:v>
      </x:c>
      <x:c r="C10839" s="16" t="n">
        <x:v>7568.1012794754</x:v>
      </x:c>
      <x:c r="D10839" s="13" t="str">
        <x:v>Financials Non-Banks</x:v>
      </x:c>
      <x:c r="E10839" s="13" t="str">
        <x:v>Financials Non-Banks</x:v>
      </x:c>
      <x:c r="F10839" s="13" t="str">
        <x:v>Financials</x:v>
      </x:c>
      <x:c r="G10839" s="13" t="str">
        <x:v>grid_wbaxp5t0.xlsx</x:v>
      </x:c>
    </x:row>
    <x:row r="10840">
      <x:c r="A10840" s="15" t="n">
        <x:v>45108</x:v>
      </x:c>
      <x:c r="B10840" s="13" t="str">
        <x:v>CIELO SA - INSTITUICAO DE PA</x:v>
      </x:c>
      <x:c r="C10840" s="16" t="n">
        <x:v>2013.5519213115</x:v>
      </x:c>
      <x:c r="D10840" s="13" t="str">
        <x:v>Financials Non-Banks</x:v>
      </x:c>
      <x:c r="E10840" s="13" t="str">
        <x:v>Financials Non-Banks</x:v>
      </x:c>
      <x:c r="F10840" s="13" t="str">
        <x:v>Financials</x:v>
      </x:c>
      <x:c r="G10840" s="13" t="str">
        <x:v>grid_wbaxp5t0.xlsx</x:v>
      </x:c>
    </x:row>
    <x:row r="10841">
      <x:c r="A10841" s="15" t="n">
        <x:v>45108</x:v>
      </x:c>
      <x:c r="B10841" s="13" t="str">
        <x:v>IRB BRASIL RESSEGUROS SA</x:v>
      </x:c>
      <x:c r="C10841" s="16" t="n">
        <x:v>269.1581967213</x:v>
      </x:c>
      <x:c r="D10841" s="13" t="str">
        <x:v>Financials Non-Banks</x:v>
      </x:c>
      <x:c r="E10841" s="13" t="str">
        <x:v>Financials Non-Banks</x:v>
      </x:c>
      <x:c r="F10841" s="13" t="str">
        <x:v>Financials</x:v>
      </x:c>
      <x:c r="G10841" s="13" t="str">
        <x:v>grid_wbaxp5t0.xlsx</x:v>
      </x:c>
    </x:row>
    <x:row r="10842">
      <x:c r="A10842" s="15" t="n">
        <x:v>45108</x:v>
      </x:c>
      <x:c r="B10842" s="13" t="str">
        <x:v>ITAUSA SA</x:v>
      </x:c>
      <x:c r="C10842" s="16" t="n">
        <x:v>15848.3936776393</x:v>
      </x:c>
      <x:c r="D10842" s="13" t="str">
        <x:v>Financials Non-Banks</x:v>
      </x:c>
      <x:c r="E10842" s="13" t="str">
        <x:v>Financials Non-Banks</x:v>
      </x:c>
      <x:c r="F10842" s="13" t="str">
        <x:v>Financials</x:v>
      </x:c>
      <x:c r="G10842" s="13" t="str">
        <x:v>grid_wbaxp5t0.xlsx</x:v>
      </x:c>
    </x:row>
    <x:row r="10843">
      <x:c r="A10843" s="15" t="n">
        <x:v>45108</x:v>
      </x:c>
      <x:c r="B10843" s="13" t="str">
        <x:v>MELIUZ SA - ON</x:v>
      </x:c>
      <x:c r="C10843" s="16" t="n">
        <x:v>23.9223770492</x:v>
      </x:c>
      <x:c r="D10843" s="13" t="str">
        <x:v>Financials Non-Banks</x:v>
      </x:c>
      <x:c r="E10843" s="13" t="str">
        <x:v>Financials Non-Banks</x:v>
      </x:c>
      <x:c r="F10843" s="13" t="str">
        <x:v>Financials</x:v>
      </x:c>
      <x:c r="G10843" s="13" t="str">
        <x:v>grid_wbaxp5t0.xlsx</x:v>
      </x:c>
    </x:row>
    <x:row r="10844">
      <x:c r="A10844" s="15" t="n">
        <x:v>45108</x:v>
      </x:c>
      <x:c r="B10844" s="13" t="str">
        <x:v>AMBEV SA</x:v>
      </x:c>
      <x:c r="C10844" s="16" t="n">
        <x:v>15526.3199601311</x:v>
      </x:c>
      <x:c r="D10844" s="13" t="str">
        <x:v>Food &amp; Beverages</x:v>
      </x:c>
      <x:c r="E10844" s="13" t="str">
        <x:v>Agri, Food &amp; Beverages</x:v>
      </x:c>
      <x:c r="F10844" s="13" t="str">
        <x:v>Defensives</x:v>
      </x:c>
      <x:c r="G10844" s="13" t="str">
        <x:v>grid_wbaxp5t0.xlsx</x:v>
      </x:c>
    </x:row>
    <x:row r="10845">
      <x:c r="A10845" s="15" t="n">
        <x:v>45108</x:v>
      </x:c>
      <x:c r="B10845" s="13" t="str">
        <x:v>BRF SA</x:v>
      </x:c>
      <x:c r="C10845" s="16" t="n">
        <x:v>-247.1938525902</x:v>
      </x:c>
      <x:c r="D10845" s="13" t="str">
        <x:v>Food &amp; Beverages</x:v>
      </x:c>
      <x:c r="E10845" s="13" t="str">
        <x:v>Agri, Food &amp; Beverages</x:v>
      </x:c>
      <x:c r="F10845" s="13" t="str">
        <x:v>Defensives</x:v>
      </x:c>
      <x:c r="G10845" s="13" t="str">
        <x:v>grid_wbaxp5t0.xlsx</x:v>
      </x:c>
    </x:row>
    <x:row r="10846">
      <x:c r="A10846" s="15" t="n">
        <x:v>45108</x:v>
      </x:c>
      <x:c r="B10846" s="13" t="str">
        <x:v>MBRF GLOBAL FOODS COMPANY SA</x:v>
      </x:c>
      <x:c r="C10846" s="16" t="n">
        <x:v>397.9773478033</x:v>
      </x:c>
      <x:c r="D10846" s="13" t="str">
        <x:v>Food &amp; Beverages</x:v>
      </x:c>
      <x:c r="E10846" s="13" t="str">
        <x:v>Agri, Food &amp; Beverages</x:v>
      </x:c>
      <x:c r="F10846" s="13" t="str">
        <x:v>Defensives</x:v>
      </x:c>
      <x:c r="G10846" s="13" t="str">
        <x:v>grid_wbaxp5t0.xlsx</x:v>
      </x:c>
    </x:row>
    <x:row r="10847">
      <x:c r="A10847" s="15" t="n">
        <x:v>45108</x:v>
      </x:c>
      <x:c r="B10847" s="13" t="str">
        <x:v>MINERVA SA</x:v>
      </x:c>
      <x:c r="C10847" s="16" t="n">
        <x:v>1096.985428459</x:v>
      </x:c>
      <x:c r="D10847" s="13" t="str">
        <x:v>Food &amp; Beverages</x:v>
      </x:c>
      <x:c r="E10847" s="13" t="str">
        <x:v>Agri, Food &amp; Beverages</x:v>
      </x:c>
      <x:c r="F10847" s="13" t="str">
        <x:v>Defensives</x:v>
      </x:c>
      <x:c r="G10847" s="13" t="str">
        <x:v>grid_wbaxp5t0.xlsx</x:v>
      </x:c>
    </x:row>
    <x:row r="10848">
      <x:c r="A10848" s="15" t="n">
        <x:v>45108</x:v>
      </x:c>
      <x:c r="B10848" s="13" t="str">
        <x:v>FLEURY SA</x:v>
      </x:c>
      <x:c r="C10848" s="16" t="n">
        <x:v>515.2942796066</x:v>
      </x:c>
      <x:c r="D10848" s="13" t="str">
        <x:v>Health Care</x:v>
      </x:c>
      <x:c r="E10848" s="13" t="str">
        <x:v>Health Care</x:v>
      </x:c>
      <x:c r="F10848" s="13" t="str">
        <x:v>Defensives</x:v>
      </x:c>
      <x:c r="G10848" s="13" t="str">
        <x:v>grid_wbaxp5t0.xlsx</x:v>
      </x:c>
    </x:row>
    <x:row r="10849">
      <x:c r="A10849" s="15" t="n">
        <x:v>45108</x:v>
      </x:c>
      <x:c r="B10849" s="13" t="str">
        <x:v>HAPVIDA PARTICIPACOES E INVE</x:v>
      </x:c>
      <x:c r="C10849" s="16" t="n">
        <x:v>651.0472798033</x:v>
      </x:c>
      <x:c r="D10849" s="13" t="str">
        <x:v>Health Care</x:v>
      </x:c>
      <x:c r="E10849" s="13" t="str">
        <x:v>Health Care</x:v>
      </x:c>
      <x:c r="F10849" s="13" t="str">
        <x:v>Defensives</x:v>
      </x:c>
      <x:c r="G10849" s="13" t="str">
        <x:v>grid_wbaxp5t0.xlsx</x:v>
      </x:c>
    </x:row>
    <x:row r="10850">
      <x:c r="A10850" s="15" t="n">
        <x:v>45108</x:v>
      </x:c>
      <x:c r="B10850" s="13" t="str">
        <x:v>HYPERA SA</x:v>
      </x:c>
      <x:c r="C10850" s="16" t="n">
        <x:v>2068.5830074754</x:v>
      </x:c>
      <x:c r="D10850" s="13" t="str">
        <x:v>Health Care</x:v>
      </x:c>
      <x:c r="E10850" s="13" t="str">
        <x:v>Health Care</x:v>
      </x:c>
      <x:c r="F10850" s="13" t="str">
        <x:v>Defensives</x:v>
      </x:c>
      <x:c r="G10850" s="13" t="str">
        <x:v>grid_wbaxp5t0.xlsx</x:v>
      </x:c>
    </x:row>
    <x:row r="10851">
      <x:c r="A10851" s="15" t="n">
        <x:v>45108</x:v>
      </x:c>
      <x:c r="B10851" s="13" t="str">
        <x:v>REDE D'OR SAO LUIZ SA</x:v>
      </x:c>
      <x:c r="C10851" s="16" t="n">
        <x:v>2730.8297872787</x:v>
      </x:c>
      <x:c r="D10851" s="13" t="str">
        <x:v>Health Care</x:v>
      </x:c>
      <x:c r="E10851" s="13" t="str">
        <x:v>Health Care</x:v>
      </x:c>
      <x:c r="F10851" s="13" t="str">
        <x:v>Defensives</x:v>
      </x:c>
      <x:c r="G10851" s="13" t="str">
        <x:v>grid_wbaxp5t0.xlsx</x:v>
      </x:c>
    </x:row>
    <x:row r="10852">
      <x:c r="A10852" s="15" t="n">
        <x:v>45108</x:v>
      </x:c>
      <x:c r="B10852" s="13" t="str">
        <x:v>CYRELA BRAZIL REALTY SA EMP</x:v>
      </x:c>
      <x:c r="C10852" s="16" t="n">
        <x:v>933.8327868852</x:v>
      </x:c>
      <x:c r="D10852" s="13" t="str">
        <x:v>Homebuilders</x:v>
      </x:c>
      <x:c r="E10852" s="13" t="str">
        <x:v>Real Estate</x:v>
      </x:c>
      <x:c r="F10852" s="13" t="str">
        <x:v>Early Cyclicals</x:v>
      </x:c>
      <x:c r="G10852" s="13" t="str">
        <x:v>grid_wbaxp5t0.xlsx</x:v>
      </x:c>
    </x:row>
    <x:row r="10853">
      <x:c r="A10853" s="15" t="n">
        <x:v>45108</x:v>
      </x:c>
      <x:c r="B10853" s="13" t="str">
        <x:v>EZ TEC EMPREENDIMENTOS E PAR</x:v>
      </x:c>
      <x:c r="C10853" s="16" t="n">
        <x:v>377.7336605902</x:v>
      </x:c>
      <x:c r="D10853" s="13" t="str">
        <x:v>Homebuilders</x:v>
      </x:c>
      <x:c r="E10853" s="13" t="str">
        <x:v>Real Estate</x:v>
      </x:c>
      <x:c r="F10853" s="13" t="str">
        <x:v>Early Cyclicals</x:v>
      </x:c>
      <x:c r="G10853" s="13" t="str">
        <x:v>grid_wbaxp5t0.xlsx</x:v>
      </x:c>
    </x:row>
    <x:row r="10854">
      <x:c r="A10854" s="15" t="n">
        <x:v>45108</x:v>
      </x:c>
      <x:c r="B10854" s="13" t="str">
        <x:v>MRV ENGENHARIA</x:v>
      </x:c>
      <x:c r="C10854" s="16" t="n">
        <x:v>561.9544403934</x:v>
      </x:c>
      <x:c r="D10854" s="13" t="str">
        <x:v>Homebuilders</x:v>
      </x:c>
      <x:c r="E10854" s="13" t="str">
        <x:v>Real Estate</x:v>
      </x:c>
      <x:c r="F10854" s="13" t="str">
        <x:v>Early Cyclicals</x:v>
      </x:c>
      <x:c r="G10854" s="13" t="str">
        <x:v>grid_wbaxp5t0.xlsx</x:v>
      </x:c>
    </x:row>
    <x:row r="10855">
      <x:c r="A10855" s="15" t="n">
        <x:v>45108</x:v>
      </x:c>
      <x:c r="B10855" s="13" t="str">
        <x:v>ALLOS SA</x:v>
      </x:c>
      <x:c r="C10855" s="16" t="n">
        <x:v>1259.7426497049</x:v>
      </x:c>
      <x:c r="D10855" s="13" t="str">
        <x:v>Income Properties</x:v>
      </x:c>
      <x:c r="E10855" s="13" t="str">
        <x:v>Real Estate</x:v>
      </x:c>
      <x:c r="F10855" s="13" t="str">
        <x:v>Early Cyclicals</x:v>
      </x:c>
      <x:c r="G10855" s="13" t="str">
        <x:v>grid_wbaxp5t0.xlsx</x:v>
      </x:c>
    </x:row>
    <x:row r="10856">
      <x:c r="A10856" s="15" t="n">
        <x:v>45108</x:v>
      </x:c>
      <x:c r="B10856" s="13" t="str">
        <x:v>IGUATEMI SA - UNITS</x:v>
      </x:c>
      <x:c r="C10856" s="16" t="n">
        <x:v>394.7180996721</x:v>
      </x:c>
      <x:c r="D10856" s="13" t="str">
        <x:v>Income Properties</x:v>
      </x:c>
      <x:c r="E10856" s="13" t="str">
        <x:v>Real Estate</x:v>
      </x:c>
      <x:c r="F10856" s="13" t="str">
        <x:v>Early Cyclicals</x:v>
      </x:c>
      <x:c r="G10856" s="13" t="str">
        <x:v>grid_wbaxp5t0.xlsx</x:v>
      </x:c>
    </x:row>
    <x:row r="10857">
      <x:c r="A10857" s="15" t="n">
        <x:v>45108</x:v>
      </x:c>
      <x:c r="B10857" s="13" t="str">
        <x:v>MULTIPLAN EMPREENDIMENTOS</x:v>
      </x:c>
      <x:c r="C10857" s="16" t="n">
        <x:v>955.5533140984</x:v>
      </x:c>
      <x:c r="D10857" s="13" t="str">
        <x:v>Income Properties</x:v>
      </x:c>
      <x:c r="E10857" s="13" t="str">
        <x:v>Real Estate</x:v>
      </x:c>
      <x:c r="F10857" s="13" t="str">
        <x:v>Early Cyclicals</x:v>
      </x:c>
      <x:c r="G10857" s="13" t="str">
        <x:v>grid_wbaxp5t0.xlsx</x:v>
      </x:c>
    </x:row>
    <x:row r="10858">
      <x:c r="A10858" s="15" t="n">
        <x:v>45108</x:v>
      </x:c>
      <x:c r="B10858" s="13" t="str">
        <x:v>BRADESPAR SA -PREF</x:v>
      </x:c>
      <x:c r="C10858" s="16" t="n">
        <x:v>3507.9672131147</x:v>
      </x:c>
      <x:c r="D10858" s="13" t="str">
        <x:v>Metals &amp; Mining</x:v>
      </x:c>
      <x:c r="E10858" s="13" t="str">
        <x:v>Metals &amp; Mining</x:v>
      </x:c>
      <x:c r="F10858" s="13" t="str">
        <x:v>Deep Cyclicals</x:v>
      </x:c>
      <x:c r="G10858" s="13" t="str">
        <x:v>grid_wbaxp5t0.xlsx</x:v>
      </x:c>
    </x:row>
    <x:row r="10859">
      <x:c r="A10859" s="15" t="n">
        <x:v>45108</x:v>
      </x:c>
      <x:c r="B10859" s="13" t="str">
        <x:v>CIA SIDERURGICA NACIONAL SA</x:v>
      </x:c>
      <x:c r="C10859" s="16" t="n">
        <x:v>1506.4826407869</x:v>
      </x:c>
      <x:c r="D10859" s="13" t="str">
        <x:v>Metals &amp; Mining</x:v>
      </x:c>
      <x:c r="E10859" s="13" t="str">
        <x:v>Metals &amp; Mining</x:v>
      </x:c>
      <x:c r="F10859" s="13" t="str">
        <x:v>Deep Cyclicals</x:v>
      </x:c>
      <x:c r="G10859" s="13" t="str">
        <x:v>grid_wbaxp5t0.xlsx</x:v>
      </x:c>
    </x:row>
    <x:row r="10860">
      <x:c r="A10860" s="15" t="n">
        <x:v>45108</x:v>
      </x:c>
      <x:c r="B10860" s="13" t="str">
        <x:v>CSN MINERACAO SA</x:v>
      </x:c>
      <x:c r="C10860" s="16" t="n">
        <x:v>2113.8049500328</x:v>
      </x:c>
      <x:c r="D10860" s="13" t="str">
        <x:v>Metals &amp; Mining</x:v>
      </x:c>
      <x:c r="E10860" s="13" t="str">
        <x:v>Metals &amp; Mining</x:v>
      </x:c>
      <x:c r="F10860" s="13" t="str">
        <x:v>Deep Cyclicals</x:v>
      </x:c>
      <x:c r="G10860" s="13" t="str">
        <x:v>grid_wbaxp5t0.xlsx</x:v>
      </x:c>
    </x:row>
    <x:row r="10861">
      <x:c r="A10861" s="15" t="n">
        <x:v>45108</x:v>
      </x:c>
      <x:c r="B10861" s="13" t="str">
        <x:v>GERDAU SA-PREF</x:v>
      </x:c>
      <x:c r="C10861" s="16" t="n">
        <x:v>7237.2681652459</x:v>
      </x:c>
      <x:c r="D10861" s="13" t="str">
        <x:v>Metals &amp; Mining</x:v>
      </x:c>
      <x:c r="E10861" s="13" t="str">
        <x:v>Metals &amp; Mining</x:v>
      </x:c>
      <x:c r="F10861" s="13" t="str">
        <x:v>Deep Cyclicals</x:v>
      </x:c>
      <x:c r="G10861" s="13" t="str">
        <x:v>grid_wbaxp5t0.xlsx</x:v>
      </x:c>
    </x:row>
    <x:row r="10862">
      <x:c r="A10862" s="15" t="n">
        <x:v>45108</x:v>
      </x:c>
      <x:c r="B10862" s="13" t="str">
        <x:v>METALURGICA GERDAU SA-PREF</x:v>
      </x:c>
      <x:c r="C10862" s="16" t="n">
        <x:v>2732.3360923279</x:v>
      </x:c>
      <x:c r="D10862" s="13" t="str">
        <x:v>Metals &amp; Mining</x:v>
      </x:c>
      <x:c r="E10862" s="13" t="str">
        <x:v>Metals &amp; Mining</x:v>
      </x:c>
      <x:c r="F10862" s="13" t="str">
        <x:v>Deep Cyclicals</x:v>
      </x:c>
      <x:c r="G10862" s="13" t="str">
        <x:v>grid_wbaxp5t0.xlsx</x:v>
      </x:c>
    </x:row>
    <x:row r="10863">
      <x:c r="A10863" s="15" t="n">
        <x:v>45108</x:v>
      </x:c>
      <x:c r="B10863" s="13" t="str">
        <x:v>USINAS SIDER MINAS GER-PF A</x:v>
      </x:c>
      <x:c r="C10863" s="16" t="n">
        <x:v>1362.5944340984</x:v>
      </x:c>
      <x:c r="D10863" s="13" t="str">
        <x:v>Metals &amp; Mining</x:v>
      </x:c>
      <x:c r="E10863" s="13" t="str">
        <x:v>Metals &amp; Mining</x:v>
      </x:c>
      <x:c r="F10863" s="13" t="str">
        <x:v>Deep Cyclicals</x:v>
      </x:c>
      <x:c r="G10863" s="13" t="str">
        <x:v>grid_wbaxp5t0.xlsx</x:v>
      </x:c>
    </x:row>
    <x:row r="10864">
      <x:c r="A10864" s="15" t="n">
        <x:v>45108</x:v>
      </x:c>
      <x:c r="B10864" s="13" t="str">
        <x:v>VALE SA</x:v>
      </x:c>
      <x:c r="C10864" s="16" t="n">
        <x:v>45056.2293088525</x:v>
      </x:c>
      <x:c r="D10864" s="13" t="str">
        <x:v>Metals &amp; Mining</x:v>
      </x:c>
      <x:c r="E10864" s="13" t="str">
        <x:v>Metals &amp; Mining</x:v>
      </x:c>
      <x:c r="F10864" s="13" t="str">
        <x:v>Deep Cyclicals</x:v>
      </x:c>
      <x:c r="G10864" s="13" t="str">
        <x:v>grid_wbaxp5t0.xlsx</x:v>
      </x:c>
    </x:row>
    <x:row r="10865">
      <x:c r="A10865" s="15" t="n">
        <x:v>45108</x:v>
      </x:c>
      <x:c r="B10865" s="13" t="str">
        <x:v>BRASKEM SA-PREF A</x:v>
      </x:c>
      <x:c r="C10865" s="16" t="n">
        <x:v>-68.1550499672</x:v>
      </x:c>
      <x:c r="D10865" s="13" t="str">
        <x:v>Oil, Gas &amp; Petrochemicals</x:v>
      </x:c>
      <x:c r="E10865" s="13" t="str">
        <x:v>Oil, Gas &amp; Petrochemicals</x:v>
      </x:c>
      <x:c r="F10865" s="13" t="str">
        <x:v>Deep Cyclicals</x:v>
      </x:c>
      <x:c r="G10865" s="13" t="str">
        <x:v>grid_wbaxp5t0.xlsx</x:v>
      </x:c>
    </x:row>
    <x:row r="10866">
      <x:c r="A10866" s="15" t="n">
        <x:v>45108</x:v>
      </x:c>
      <x:c r="B10866" s="13" t="str">
        <x:v>BRAVA ENERGIA</x:v>
      </x:c>
      <x:c r="C10866" s="16" t="n">
        <x:v>1649.0715320656</x:v>
      </x:c>
      <x:c r="D10866" s="13" t="str">
        <x:v>Oil, Gas &amp; Petrochemicals</x:v>
      </x:c>
      <x:c r="E10866" s="13" t="str">
        <x:v>Oil, Gas &amp; Petrochemicals</x:v>
      </x:c>
      <x:c r="F10866" s="13" t="str">
        <x:v>Deep Cyclicals</x:v>
      </x:c>
      <x:c r="G10866" s="13" t="str">
        <x:v>grid_wbaxp5t0.xlsx</x:v>
      </x:c>
    </x:row>
    <x:row r="10867">
      <x:c r="A10867" s="15" t="n">
        <x:v>45108</x:v>
      </x:c>
      <x:c r="B10867" s="13" t="str">
        <x:v>COSAN SA</x:v>
      </x:c>
      <x:c r="C10867" s="16" t="n">
        <x:v>867.0327123934</x:v>
      </x:c>
      <x:c r="D10867" s="13" t="str">
        <x:v>Oil, Gas &amp; Petrochemicals</x:v>
      </x:c>
      <x:c r="E10867" s="13" t="str">
        <x:v>Oil, Gas &amp; Petrochemicals</x:v>
      </x:c>
      <x:c r="F10867" s="13" t="str">
        <x:v>Deep Cyclicals</x:v>
      </x:c>
      <x:c r="G10867" s="13" t="str">
        <x:v>grid_wbaxp5t0.xlsx</x:v>
      </x:c>
    </x:row>
    <x:row r="10868">
      <x:c r="A10868" s="15" t="n">
        <x:v>45108</x:v>
      </x:c>
      <x:c r="B10868" s="13" t="str">
        <x:v>PETROBRAS - PETROLEO BRAS</x:v>
      </x:c>
      <x:c r="C10868" s="16" t="n">
        <x:v>100994.218554754</x:v>
      </x:c>
      <x:c r="D10868" s="13" t="str">
        <x:v>Oil, Gas &amp; Petrochemicals</x:v>
      </x:c>
      <x:c r="E10868" s="13" t="str">
        <x:v>Oil, Gas &amp; Petrochemicals</x:v>
      </x:c>
      <x:c r="F10868" s="13" t="str">
        <x:v>Deep Cyclicals</x:v>
      </x:c>
      <x:c r="G10868" s="13" t="str">
        <x:v>grid_wbaxp5t0.xlsx</x:v>
      </x:c>
    </x:row>
    <x:row r="10869">
      <x:c r="A10869" s="15" t="n">
        <x:v>45108</x:v>
      </x:c>
      <x:c r="B10869" s="13" t="str">
        <x:v>PRIO SA</x:v>
      </x:c>
      <x:c r="C10869" s="16" t="n">
        <x:v>6490.3805817705</x:v>
      </x:c>
      <x:c r="D10869" s="13" t="str">
        <x:v>Oil, Gas &amp; Petrochemicals</x:v>
      </x:c>
      <x:c r="E10869" s="13" t="str">
        <x:v>Oil, Gas &amp; Petrochemicals</x:v>
      </x:c>
      <x:c r="F10869" s="13" t="str">
        <x:v>Deep Cyclicals</x:v>
      </x:c>
      <x:c r="G10869" s="13" t="str">
        <x:v>grid_wbaxp5t0.xlsx</x:v>
      </x:c>
    </x:row>
    <x:row r="10870">
      <x:c r="A10870" s="15" t="n">
        <x:v>45108</x:v>
      </x:c>
      <x:c r="B10870" s="13" t="str">
        <x:v>ULTRAPAR PARTICIPACOES SA</x:v>
      </x:c>
      <x:c r="C10870" s="16" t="n">
        <x:v>1268.1623218361</x:v>
      </x:c>
      <x:c r="D10870" s="13" t="str">
        <x:v>Oil, Gas &amp; Petrochemicals</x:v>
      </x:c>
      <x:c r="E10870" s="13" t="str">
        <x:v>Oil, Gas &amp; Petrochemicals</x:v>
      </x:c>
      <x:c r="F10870" s="13" t="str">
        <x:v>Deep Cyclicals</x:v>
      </x:c>
      <x:c r="G10870" s="13" t="str">
        <x:v>grid_wbaxp5t0.xlsx</x:v>
      </x:c>
    </x:row>
    <x:row r="10871">
      <x:c r="A10871" s="15" t="n">
        <x:v>45108</x:v>
      </x:c>
      <x:c r="B10871" s="13" t="str">
        <x:v>VIBRA ENERGIA SA</x:v>
      </x:c>
      <x:c r="C10871" s="16" t="n">
        <x:v>1982.2199060984</x:v>
      </x:c>
      <x:c r="D10871" s="13" t="str">
        <x:v>Oil, Gas &amp; Petrochemicals</x:v>
      </x:c>
      <x:c r="E10871" s="13" t="str">
        <x:v>Oil, Gas &amp; Petrochemicals</x:v>
      </x:c>
      <x:c r="F10871" s="13" t="str">
        <x:v>Deep Cyclicals</x:v>
      </x:c>
      <x:c r="G10871" s="13" t="str">
        <x:v>grid_wbaxp5t0.xlsx</x:v>
      </x:c>
    </x:row>
    <x:row r="10872">
      <x:c r="A10872" s="15" t="n">
        <x:v>45108</x:v>
      </x:c>
      <x:c r="B10872" s="13" t="str">
        <x:v>DEXCO SA</x:v>
      </x:c>
      <x:c r="C10872" s="16" t="n">
        <x:v>331.156557377</x:v>
      </x:c>
      <x:c r="D10872" s="13" t="str">
        <x:v>Pulp &amp; Paper</x:v>
      </x:c>
      <x:c r="E10872" s="13" t="str">
        <x:v>Pulp &amp; Paper</x:v>
      </x:c>
      <x:c r="F10872" s="13" t="str">
        <x:v>Deep Cyclicals</x:v>
      </x:c>
      <x:c r="G10872" s="13" t="str">
        <x:v>grid_wbaxp5t0.xlsx</x:v>
      </x:c>
    </x:row>
    <x:row r="10873">
      <x:c r="A10873" s="15" t="n">
        <x:v>45108</x:v>
      </x:c>
      <x:c r="B10873" s="13" t="str">
        <x:v>KLABIN SA - UNIT</x:v>
      </x:c>
      <x:c r="C10873" s="16" t="n">
        <x:v>2877.9293062295</x:v>
      </x:c>
      <x:c r="D10873" s="13" t="str">
        <x:v>Pulp &amp; Paper</x:v>
      </x:c>
      <x:c r="E10873" s="13" t="str">
        <x:v>Pulp &amp; Paper</x:v>
      </x:c>
      <x:c r="F10873" s="13" t="str">
        <x:v>Deep Cyclicals</x:v>
      </x:c>
      <x:c r="G10873" s="13" t="str">
        <x:v>grid_wbaxp5t0.xlsx</x:v>
      </x:c>
    </x:row>
    <x:row r="10874">
      <x:c r="A10874" s="15" t="n">
        <x:v>45108</x:v>
      </x:c>
      <x:c r="B10874" s="13" t="str">
        <x:v>SUZANO SA</x:v>
      </x:c>
      <x:c r="C10874" s="16" t="n">
        <x:v>6803.6207716721</x:v>
      </x:c>
      <x:c r="D10874" s="13" t="str">
        <x:v>Pulp &amp; Paper</x:v>
      </x:c>
      <x:c r="E10874" s="13" t="str">
        <x:v>Pulp &amp; Paper</x:v>
      </x:c>
      <x:c r="F10874" s="13" t="str">
        <x:v>Deep Cyclicals</x:v>
      </x:c>
      <x:c r="G10874" s="13" t="str">
        <x:v>grid_wbaxp5t0.xlsx</x:v>
      </x:c>
    </x:row>
    <x:row r="10875">
      <x:c r="A10875" s="15" t="n">
        <x:v>45108</x:v>
      </x:c>
      <x:c r="B10875" s="13" t="str">
        <x:v>ALPARGATAS SA - PREF</x:v>
      </x:c>
      <x:c r="C10875" s="16" t="n">
        <x:v>310.9887297049</x:v>
      </x:c>
      <x:c r="D10875" s="13" t="str">
        <x:v>Retail</x:v>
      </x:c>
      <x:c r="E10875" s="13" t="str">
        <x:v>Retail</x:v>
      </x:c>
      <x:c r="F10875" s="13" t="str">
        <x:v>Early Cyclicals</x:v>
      </x:c>
      <x:c r="G10875" s="13" t="str">
        <x:v>grid_wbaxp5t0.xlsx</x:v>
      </x:c>
    </x:row>
    <x:row r="10876">
      <x:c r="A10876" s="15" t="n">
        <x:v>45108</x:v>
      </x:c>
      <x:c r="B10876" s="13" t="str">
        <x:v>ATACADAO SA</x:v>
      </x:c>
      <x:c r="C10876" s="16" t="n">
        <x:v>1606.8836438033</x:v>
      </x:c>
      <x:c r="D10876" s="13" t="str">
        <x:v>Retail</x:v>
      </x:c>
      <x:c r="E10876" s="13" t="str">
        <x:v>Retail</x:v>
      </x:c>
      <x:c r="F10876" s="13" t="str">
        <x:v>Early Cyclicals</x:v>
      </x:c>
      <x:c r="G10876" s="13" t="str">
        <x:v>grid_wbaxp5t0.xlsx</x:v>
      </x:c>
    </x:row>
    <x:row r="10877">
      <x:c r="A10877" s="15" t="n">
        <x:v>45108</x:v>
      </x:c>
      <x:c r="B10877" s="13" t="str">
        <x:v>AZZAS 2154 SA</x:v>
      </x:c>
      <x:c r="C10877" s="16" t="n">
        <x:v>509.0901639344</x:v>
      </x:c>
      <x:c r="D10877" s="13" t="str">
        <x:v>Retail</x:v>
      </x:c>
      <x:c r="E10877" s="13" t="str">
        <x:v>Retail</x:v>
      </x:c>
      <x:c r="F10877" s="13" t="str">
        <x:v>Early Cyclicals</x:v>
      </x:c>
      <x:c r="G10877" s="13" t="str">
        <x:v>grid_wbaxp5t0.xlsx</x:v>
      </x:c>
    </x:row>
    <x:row r="10878">
      <x:c r="A10878" s="15" t="n">
        <x:v>45108</x:v>
      </x:c>
      <x:c r="B10878" s="13" t="str">
        <x:v>CIA BRASILEIRA DE DISTRIBUIC</x:v>
      </x:c>
      <x:c r="C10878" s="16" t="n">
        <x:v>-6.3667097705</x:v>
      </x:c>
      <x:c r="D10878" s="13" t="str">
        <x:v>Retail</x:v>
      </x:c>
      <x:c r="E10878" s="13" t="str">
        <x:v>Retail</x:v>
      </x:c>
      <x:c r="F10878" s="13" t="str">
        <x:v>Early Cyclicals</x:v>
      </x:c>
      <x:c r="G10878" s="13" t="str">
        <x:v>grid_wbaxp5t0.xlsx</x:v>
      </x:c>
    </x:row>
    <x:row r="10879">
      <x:c r="A10879" s="15" t="n">
        <x:v>45108</x:v>
      </x:c>
      <x:c r="B10879" s="13" t="str">
        <x:v>CVC BRASIL OPERADORA E AGENC</x:v>
      </x:c>
      <x:c r="C10879" s="16" t="n">
        <x:v>-232.9856557377</x:v>
      </x:c>
      <x:c r="D10879" s="13" t="str">
        <x:v>Retail</x:v>
      </x:c>
      <x:c r="E10879" s="13" t="str">
        <x:v>Retail</x:v>
      </x:c>
      <x:c r="F10879" s="13" t="str">
        <x:v>Early Cyclicals</x:v>
      </x:c>
      <x:c r="G10879" s="13" t="str">
        <x:v>grid_wbaxp5t0.xlsx</x:v>
      </x:c>
    </x:row>
    <x:row r="10880">
      <x:c r="A10880" s="15" t="n">
        <x:v>45108</x:v>
      </x:c>
      <x:c r="B10880" s="13" t="str">
        <x:v>GRUPO CASAS BAHIA SA</x:v>
      </x:c>
      <x:c r="C10880" s="16" t="n">
        <x:v>-430.4285391475</x:v>
      </x:c>
      <x:c r="D10880" s="13" t="str">
        <x:v>Retail</x:v>
      </x:c>
      <x:c r="E10880" s="13" t="str">
        <x:v>Retail</x:v>
      </x:c>
      <x:c r="F10880" s="13" t="str">
        <x:v>Early Cyclicals</x:v>
      </x:c>
      <x:c r="G10880" s="13" t="str">
        <x:v>grid_wbaxp5t0.xlsx</x:v>
      </x:c>
    </x:row>
    <x:row r="10881">
      <x:c r="A10881" s="15" t="n">
        <x:v>45108</x:v>
      </x:c>
      <x:c r="B10881" s="13" t="str">
        <x:v>GRUPO DE MODA SOMA SA</x:v>
      </x:c>
      <x:c r="C10881" s="16" t="n">
        <x:v>553.5736149508</x:v>
      </x:c>
      <x:c r="D10881" s="13" t="str">
        <x:v>Retail</x:v>
      </x:c>
      <x:c r="E10881" s="13" t="str">
        <x:v>Retail</x:v>
      </x:c>
      <x:c r="F10881" s="13" t="str">
        <x:v>Early Cyclicals</x:v>
      </x:c>
      <x:c r="G10881" s="13" t="str">
        <x:v>grid_wbaxp5t0.xlsx</x:v>
      </x:c>
    </x:row>
    <x:row r="10882">
      <x:c r="A10882" s="15" t="n">
        <x:v>45108</x:v>
      </x:c>
      <x:c r="B10882" s="13" t="str">
        <x:v>LOJAS RENNER S.A.</x:v>
      </x:c>
      <x:c r="C10882" s="16" t="n">
        <x:v>1348.4578476066</x:v>
      </x:c>
      <x:c r="D10882" s="13" t="str">
        <x:v>Retail</x:v>
      </x:c>
      <x:c r="E10882" s="13" t="str">
        <x:v>Retail</x:v>
      </x:c>
      <x:c r="F10882" s="13" t="str">
        <x:v>Early Cyclicals</x:v>
      </x:c>
      <x:c r="G10882" s="13" t="str">
        <x:v>grid_wbaxp5t0.xlsx</x:v>
      </x:c>
    </x:row>
    <x:row r="10883">
      <x:c r="A10883" s="15" t="n">
        <x:v>45108</x:v>
      </x:c>
      <x:c r="B10883" s="13" t="str">
        <x:v>MAGAZINE LUIZA SA</x:v>
      </x:c>
      <x:c r="C10883" s="16" t="n">
        <x:v>11.2763247213</x:v>
      </x:c>
      <x:c r="D10883" s="13" t="str">
        <x:v>Retail</x:v>
      </x:c>
      <x:c r="E10883" s="13" t="str">
        <x:v>Retail</x:v>
      </x:c>
      <x:c r="F10883" s="13" t="str">
        <x:v>Early Cyclicals</x:v>
      </x:c>
      <x:c r="G10883" s="13" t="str">
        <x:v>grid_wbaxp5t0.xlsx</x:v>
      </x:c>
    </x:row>
    <x:row r="10884">
      <x:c r="A10884" s="15" t="n">
        <x:v>45108</x:v>
      </x:c>
      <x:c r="B10884" s="13" t="str">
        <x:v>NATURA &amp;CO HOLDING SA</x:v>
      </x:c>
      <x:c r="C10884" s="16" t="n">
        <x:v>1093.9140102295</x:v>
      </x:c>
      <x:c r="D10884" s="13" t="str">
        <x:v>Retail</x:v>
      </x:c>
      <x:c r="E10884" s="13" t="str">
        <x:v>Retail</x:v>
      </x:c>
      <x:c r="F10884" s="13" t="str">
        <x:v>Early Cyclicals</x:v>
      </x:c>
      <x:c r="G10884" s="13" t="str">
        <x:v>grid_wbaxp5t0.xlsx</x:v>
      </x:c>
    </x:row>
    <x:row r="10885">
      <x:c r="A10885" s="15" t="n">
        <x:v>45108</x:v>
      </x:c>
      <x:c r="B10885" s="13" t="str">
        <x:v>PET CENTER COMERCIO E PARTIC</x:v>
      </x:c>
      <x:c r="C10885" s="16" t="n">
        <x:v>124.5297704918</x:v>
      </x:c>
      <x:c r="D10885" s="13" t="str">
        <x:v>Retail</x:v>
      </x:c>
      <x:c r="E10885" s="13" t="str">
        <x:v>Retail</x:v>
      </x:c>
      <x:c r="F10885" s="13" t="str">
        <x:v>Early Cyclicals</x:v>
      </x:c>
      <x:c r="G10885" s="13" t="str">
        <x:v>grid_wbaxp5t0.xlsx</x:v>
      </x:c>
    </x:row>
    <x:row r="10886">
      <x:c r="A10886" s="15" t="n">
        <x:v>45108</x:v>
      </x:c>
      <x:c r="B10886" s="13" t="str">
        <x:v>RAIA DROGASIL SA</x:v>
      </x:c>
      <x:c r="C10886" s="16" t="n">
        <x:v>1370.9740443279</x:v>
      </x:c>
      <x:c r="D10886" s="13" t="str">
        <x:v>Retail</x:v>
      </x:c>
      <x:c r="E10886" s="13" t="str">
        <x:v>Retail</x:v>
      </x:c>
      <x:c r="F10886" s="13" t="str">
        <x:v>Early Cyclicals</x:v>
      </x:c>
      <x:c r="G10886" s="13" t="str">
        <x:v>grid_wbaxp5t0.xlsx</x:v>
      </x:c>
    </x:row>
    <x:row r="10887">
      <x:c r="A10887" s="15" t="n">
        <x:v>45108</x:v>
      </x:c>
      <x:c r="B10887" s="13" t="str">
        <x:v>SENDAS DISTRIBUIDORA SA</x:v>
      </x:c>
      <x:c r="C10887" s="16" t="n">
        <x:v>1328.8599947541</x:v>
      </x:c>
      <x:c r="D10887" s="13" t="str">
        <x:v>Retail</x:v>
      </x:c>
      <x:c r="E10887" s="13" t="str">
        <x:v>Retail</x:v>
      </x:c>
      <x:c r="F10887" s="13" t="str">
        <x:v>Early Cyclicals</x:v>
      </x:c>
      <x:c r="G10887" s="13" t="str">
        <x:v>grid_wbaxp5t0.xlsx</x:v>
      </x:c>
    </x:row>
    <x:row r="10888">
      <x:c r="A10888" s="15" t="n">
        <x:v>45108</x:v>
      </x:c>
      <x:c r="B10888" s="13" t="str">
        <x:v>CIA SANEAMENTO BASICO DE SP</x:v>
      </x:c>
      <x:c r="C10888" s="16" t="n">
        <x:v>3955.5609243279</x:v>
      </x:c>
      <x:c r="D10888" s="13" t="str">
        <x:v>Sanitation</x:v>
      </x:c>
      <x:c r="E10888" s="13" t="str">
        <x:v>Utilities</x:v>
      </x:c>
      <x:c r="F10888" s="13" t="str">
        <x:v>Defensives</x:v>
      </x:c>
      <x:c r="G10888" s="13" t="str">
        <x:v>grid_wbaxp5t0.xlsx</x:v>
      </x:c>
    </x:row>
    <x:row r="10889">
      <x:c r="A10889" s="15" t="n">
        <x:v>45108</x:v>
      </x:c>
      <x:c r="B10889" s="13" t="str">
        <x:v>LWSA SA</x:v>
      </x:c>
      <x:c r="C10889" s="16" t="n">
        <x:v>134.8408969836</x:v>
      </x:c>
      <x:c r="D10889" s="13" t="str">
        <x:v>TMT</x:v>
      </x:c>
      <x:c r="E10889" s="13" t="str">
        <x:v>TMT</x:v>
      </x:c>
      <x:c r="F10889" s="13" t="str">
        <x:v>Early Cyclicals</x:v>
      </x:c>
      <x:c r="G10889" s="13" t="str">
        <x:v>grid_wbaxp5t0.xlsx</x:v>
      </x:c>
    </x:row>
    <x:row r="10890">
      <x:c r="A10890" s="15" t="n">
        <x:v>45108</x:v>
      </x:c>
      <x:c r="B10890" s="13" t="str">
        <x:v>TIM SA</x:v>
      </x:c>
      <x:c r="C10890" s="16" t="n">
        <x:v>2483.1738491803</x:v>
      </x:c>
      <x:c r="D10890" s="13" t="str">
        <x:v>TMT</x:v>
      </x:c>
      <x:c r="E10890" s="13" t="str">
        <x:v>TMT</x:v>
      </x:c>
      <x:c r="F10890" s="13" t="str">
        <x:v>Early Cyclicals</x:v>
      </x:c>
      <x:c r="G10890" s="13" t="str">
        <x:v>grid_wbaxp5t0.xlsx</x:v>
      </x:c>
    </x:row>
    <x:row r="10891">
      <x:c r="A10891" s="15" t="n">
        <x:v>45108</x:v>
      </x:c>
      <x:c r="B10891" s="13" t="str">
        <x:v>TOTVS SA</x:v>
      </x:c>
      <x:c r="C10891" s="16" t="n">
        <x:v>768.7955158033</x:v>
      </x:c>
      <x:c r="D10891" s="13" t="str">
        <x:v>TMT</x:v>
      </x:c>
      <x:c r="E10891" s="13" t="str">
        <x:v>TMT</x:v>
      </x:c>
      <x:c r="F10891" s="13" t="str">
        <x:v>Early Cyclicals</x:v>
      </x:c>
      <x:c r="G10891" s="13" t="str">
        <x:v>grid_wbaxp5t0.xlsx</x:v>
      </x:c>
    </x:row>
    <x:row r="10892">
      <x:c r="A10892" s="15" t="n">
        <x:v>45108</x:v>
      </x:c>
      <x:c r="B10892" s="13" t="str">
        <x:v>AZUL SA</x:v>
      </x:c>
      <x:c r="C10892" s="16" t="n">
        <x:v>95.0083881967</x:v>
      </x:c>
      <x:c r="D10892" s="13" t="str">
        <x:v>Transportation</x:v>
      </x:c>
      <x:c r="E10892" s="13" t="str">
        <x:v>Transportation</x:v>
      </x:c>
      <x:c r="F10892" s="13" t="str">
        <x:v>Deep Cyclicals</x:v>
      </x:c>
      <x:c r="G10892" s="13" t="str">
        <x:v>grid_wbaxp5t0.xlsx</x:v>
      </x:c>
    </x:row>
    <x:row r="10893">
      <x:c r="A10893" s="15" t="n">
        <x:v>45108</x:v>
      </x:c>
      <x:c r="B10893" s="13" t="str">
        <x:v>GOL LINHAS AEREAS INT SA-PRE</x:v>
      </x:c>
      <x:c r="C10893" s="16" t="n">
        <x:v>535.5766872131</x:v>
      </x:c>
      <x:c r="D10893" s="13" t="str">
        <x:v>Transportation</x:v>
      </x:c>
      <x:c r="E10893" s="13" t="str">
        <x:v>Transportation</x:v>
      </x:c>
      <x:c r="F10893" s="13" t="str">
        <x:v>Deep Cyclicals</x:v>
      </x:c>
      <x:c r="G10893" s="13" t="str">
        <x:v>grid_wbaxp5t0.xlsx</x:v>
      </x:c>
    </x:row>
    <x:row r="10894">
      <x:c r="A10894" s="15" t="n">
        <x:v>45108</x:v>
      </x:c>
      <x:c r="B10894" s="13" t="str">
        <x:v>LOCALIZA RENT A CAR</x:v>
      </x:c>
      <x:c r="C10894" s="16" t="n">
        <x:v>3374.7561841311</x:v>
      </x:c>
      <x:c r="D10894" s="13" t="str">
        <x:v>Transportation</x:v>
      </x:c>
      <x:c r="E10894" s="13" t="str">
        <x:v>Transportation</x:v>
      </x:c>
      <x:c r="F10894" s="13" t="str">
        <x:v>Deep Cyclicals</x:v>
      </x:c>
      <x:c r="G10894" s="13" t="str">
        <x:v>grid_wbaxp5t0.xlsx</x:v>
      </x:c>
    </x:row>
    <x:row r="10895">
      <x:c r="A10895" s="15" t="n">
        <x:v>45108</x:v>
      </x:c>
      <x:c r="B10895" s="13" t="str">
        <x:v>MOTIVA INFRAESTRUTURA DE MOB</x:v>
      </x:c>
      <x:c r="C10895" s="16" t="n">
        <x:v>1603.290827541</x:v>
      </x:c>
      <x:c r="D10895" s="13" t="str">
        <x:v>Transportation</x:v>
      </x:c>
      <x:c r="E10895" s="13" t="str">
        <x:v>Transportation</x:v>
      </x:c>
      <x:c r="F10895" s="13" t="str">
        <x:v>Deep Cyclicals</x:v>
      </x:c>
      <x:c r="G10895" s="13" t="str">
        <x:v>grid_wbaxp5t0.xlsx</x:v>
      </x:c>
    </x:row>
    <x:row r="10896">
      <x:c r="A10896" s="15" t="n">
        <x:v>45108</x:v>
      </x:c>
      <x:c r="B10896" s="13" t="str">
        <x:v>RUMO SA</x:v>
      </x:c>
      <x:c r="C10896" s="16" t="n">
        <x:v>1501.8718032787</x:v>
      </x:c>
      <x:c r="D10896" s="13" t="str">
        <x:v>Transportation</x:v>
      </x:c>
      <x:c r="E10896" s="13" t="str">
        <x:v>Transportation</x:v>
      </x:c>
      <x:c r="F10896" s="13" t="str">
        <x:v>Deep Cyclicals</x:v>
      </x:c>
      <x:c r="G10896" s="13" t="str">
        <x:v>grid_wbaxp5t0.xlsx</x:v>
      </x:c>
    </x:row>
    <x:row r="10897">
      <x:c r="A10897" s="15" t="n">
        <x:v>45108</x:v>
      </x:c>
      <x:c r="B10897" s="13" t="str">
        <x:v>AXIA ENERGIA SA</x:v>
      </x:c>
      <x:c r="C10897" s="16" t="n">
        <x:v>7482.610333377</x:v>
      </x:c>
      <x:c r="D10897" s="13" t="str">
        <x:v>Utilities &amp; Energy</x:v>
      </x:c>
      <x:c r="E10897" s="13" t="str">
        <x:v>Utilities</x:v>
      </x:c>
      <x:c r="F10897" s="13" t="str">
        <x:v>Defensives</x:v>
      </x:c>
      <x:c r="G10897" s="13" t="str">
        <x:v>grid_wbaxp5t0.xlsx</x:v>
      </x:c>
    </x:row>
    <x:row r="10898">
      <x:c r="A10898" s="15" t="n">
        <x:v>45108</x:v>
      </x:c>
      <x:c r="B10898" s="13" t="str">
        <x:v>AXIA ENERGIA-PR B</x:v>
      </x:c>
      <x:c r="C10898" s="16" t="n">
        <x:v>7482.610333377</x:v>
      </x:c>
      <x:c r="D10898" s="13" t="str">
        <x:v>Utilities &amp; Energy</x:v>
      </x:c>
      <x:c r="E10898" s="13" t="str">
        <x:v>Utilities</x:v>
      </x:c>
      <x:c r="F10898" s="13" t="str">
        <x:v>Defensives</x:v>
      </x:c>
      <x:c r="G10898" s="13" t="str">
        <x:v>grid_wbaxp5t0.xlsx</x:v>
      </x:c>
    </x:row>
    <x:row r="10899">
      <x:c r="A10899" s="15" t="n">
        <x:v>45108</x:v>
      </x:c>
      <x:c r="B10899" s="13" t="str">
        <x:v>CIA ENERGETICA MINAS GER-PRF</x:v>
      </x:c>
      <x:c r="C10899" s="16" t="n">
        <x:v>4134.8176975738</x:v>
      </x:c>
      <x:c r="D10899" s="13" t="str">
        <x:v>Utilities &amp; Energy</x:v>
      </x:c>
      <x:c r="E10899" s="13" t="str">
        <x:v>Utilities</x:v>
      </x:c>
      <x:c r="F10899" s="13" t="str">
        <x:v>Defensives</x:v>
      </x:c>
      <x:c r="G10899" s="13" t="str">
        <x:v>grid_wbaxp5t0.xlsx</x:v>
      </x:c>
    </x:row>
    <x:row r="10900">
      <x:c r="A10900" s="15" t="n">
        <x:v>45108</x:v>
      </x:c>
      <x:c r="B10900" s="13" t="str">
        <x:v>COMPANHIA PARANAENSE -PREF B</x:v>
      </x:c>
      <x:c r="C10900" s="16" t="n">
        <x:v>1908.2955656393</x:v>
      </x:c>
      <x:c r="D10900" s="13" t="str">
        <x:v>Utilities &amp; Energy</x:v>
      </x:c>
      <x:c r="E10900" s="13" t="str">
        <x:v>Utilities</x:v>
      </x:c>
      <x:c r="F10900" s="13" t="str">
        <x:v>Defensives</x:v>
      </x:c>
      <x:c r="G10900" s="13" t="str">
        <x:v>grid_wbaxp5t0.xlsx</x:v>
      </x:c>
    </x:row>
    <x:row r="10901">
      <x:c r="A10901" s="15" t="n">
        <x:v>45108</x:v>
      </x:c>
      <x:c r="B10901" s="13" t="str">
        <x:v>CPFL ENERGIA SA</x:v>
      </x:c>
      <x:c r="C10901" s="16" t="n">
        <x:v>4913.7228716066</x:v>
      </x:c>
      <x:c r="D10901" s="13" t="str">
        <x:v>Utilities &amp; Energy</x:v>
      </x:c>
      <x:c r="E10901" s="13" t="str">
        <x:v>Utilities</x:v>
      </x:c>
      <x:c r="F10901" s="13" t="str">
        <x:v>Defensives</x:v>
      </x:c>
      <x:c r="G10901" s="13" t="str">
        <x:v>grid_wbaxp5t0.xlsx</x:v>
      </x:c>
    </x:row>
    <x:row r="10902">
      <x:c r="A10902" s="15" t="n">
        <x:v>45108</x:v>
      </x:c>
      <x:c r="B10902" s="13" t="str">
        <x:v>ENERGISA SA-UNITS</x:v>
      </x:c>
      <x:c r="C10902" s="16" t="n">
        <x:v>1758.3041437377</x:v>
      </x:c>
      <x:c r="D10902" s="13" t="str">
        <x:v>Utilities &amp; Energy</x:v>
      </x:c>
      <x:c r="E10902" s="13" t="str">
        <x:v>Utilities</x:v>
      </x:c>
      <x:c r="F10902" s="13" t="str">
        <x:v>Defensives</x:v>
      </x:c>
      <x:c r="G10902" s="13" t="str">
        <x:v>grid_wbaxp5t0.xlsx</x:v>
      </x:c>
    </x:row>
    <x:row r="10903">
      <x:c r="A10903" s="15" t="n">
        <x:v>45108</x:v>
      </x:c>
      <x:c r="B10903" s="13" t="str">
        <x:v>ENEVA SA</x:v>
      </x:c>
      <x:c r="C10903" s="16" t="n">
        <x:v>1152.0064146885</x:v>
      </x:c>
      <x:c r="D10903" s="13" t="str">
        <x:v>Utilities &amp; Energy</x:v>
      </x:c>
      <x:c r="E10903" s="13" t="str">
        <x:v>Utilities</x:v>
      </x:c>
      <x:c r="F10903" s="13" t="str">
        <x:v>Defensives</x:v>
      </x:c>
      <x:c r="G10903" s="13" t="str">
        <x:v>grid_wbaxp5t0.xlsx</x:v>
      </x:c>
    </x:row>
    <x:row r="10904">
      <x:c r="A10904" s="15" t="n">
        <x:v>45108</x:v>
      </x:c>
      <x:c r="B10904" s="13" t="str">
        <x:v>ENGIE BRASIL ENERGIA SA</x:v>
      </x:c>
      <x:c r="C10904" s="16" t="n">
        <x:v>3506.8094782951</x:v>
      </x:c>
      <x:c r="D10904" s="13" t="str">
        <x:v>Utilities &amp; Energy</x:v>
      </x:c>
      <x:c r="E10904" s="13" t="str">
        <x:v>Utilities</x:v>
      </x:c>
      <x:c r="F10904" s="13" t="str">
        <x:v>Defensives</x:v>
      </x:c>
      <x:c r="G10904" s="13" t="str">
        <x:v>grid_wbaxp5t0.xlsx</x:v>
      </x:c>
    </x:row>
    <x:row r="10905">
      <x:c r="A10905" s="15" t="n">
        <x:v>45108</x:v>
      </x:c>
      <x:c r="B10905" s="13" t="str">
        <x:v>EQUATORIAL SA - ORD</x:v>
      </x:c>
      <x:c r="C10905" s="16" t="n">
        <x:v>2567.8050518033</x:v>
      </x:c>
      <x:c r="D10905" s="13" t="str">
        <x:v>Utilities &amp; Energy</x:v>
      </x:c>
      <x:c r="E10905" s="13" t="str">
        <x:v>Utilities</x:v>
      </x:c>
      <x:c r="F10905" s="13" t="str">
        <x:v>Defensives</x:v>
      </x:c>
      <x:c r="G10905" s="13" t="str">
        <x:v>grid_wbaxp5t0.xlsx</x:v>
      </x:c>
    </x:row>
    <x:row r="10906">
      <x:c r="A10906" s="15" t="n">
        <x:v>45108</x:v>
      </x:c>
      <x:c r="B10906" s="13" t="str">
        <x:v>TRANSMISSORA ALIANCA DE-UNIT</x:v>
      </x:c>
      <x:c r="C10906" s="16" t="n">
        <x:v>1314.0747488525</x:v>
      </x:c>
      <x:c r="D10906" s="13" t="str">
        <x:v>Utilities &amp; Energy</x:v>
      </x:c>
      <x:c r="E10906" s="13" t="str">
        <x:v>Utilities</x:v>
      </x:c>
      <x:c r="F10906" s="13" t="str">
        <x:v>Defensives</x:v>
      </x:c>
      <x:c r="G10906" s="13" t="str">
        <x:v>grid_wbaxp5t0.xlsx</x:v>
      </x:c>
    </x:row>
    <x:row r="10907">
      <x:c r="A10907" s="15" t="n">
        <x:v>45139</x:v>
      </x:c>
      <x:c r="B10907" s="13" t="str">
        <x:v>RAIZEN SA - PREFERENCE</x:v>
      </x:c>
      <x:c r="C10907" s="16" t="n">
        <x:v>3661.2090571397</x:v>
      </x:c>
      <x:c r="D10907" s="13" t="str">
        <x:v>Agribusiness</x:v>
      </x:c>
      <x:c r="E10907" s="13" t="str">
        <x:v>Agri, Food &amp; Beverages</x:v>
      </x:c>
      <x:c r="F10907" s="13" t="str">
        <x:v>Defensives</x:v>
      </x:c>
      <x:c r="G10907" s="13" t="str">
        <x:v>grid_wbaxp5t0.xlsx</x:v>
      </x:c>
    </x:row>
    <x:row r="10908">
      <x:c r="A10908" s="15" t="n">
        <x:v>45139</x:v>
      </x:c>
      <x:c r="B10908" s="13" t="str">
        <x:v>SAO MARTINHO SA</x:v>
      </x:c>
      <x:c r="C10908" s="16" t="n">
        <x:v>1365.6644878027</x:v>
      </x:c>
      <x:c r="D10908" s="13" t="str">
        <x:v>Agribusiness</x:v>
      </x:c>
      <x:c r="E10908" s="13" t="str">
        <x:v>Agri, Food &amp; Beverages</x:v>
      </x:c>
      <x:c r="F10908" s="13" t="str">
        <x:v>Defensives</x:v>
      </x:c>
      <x:c r="G10908" s="13" t="str">
        <x:v>grid_wbaxp5t0.xlsx</x:v>
      </x:c>
    </x:row>
    <x:row r="10909">
      <x:c r="A10909" s="15" t="n">
        <x:v>45139</x:v>
      </x:c>
      <x:c r="B10909" s="13" t="str">
        <x:v>SLC AGRICOLA SA</x:v>
      </x:c>
      <x:c r="C10909" s="16" t="n">
        <x:v>1190.4400213333</x:v>
      </x:c>
      <x:c r="D10909" s="13" t="str">
        <x:v>Agribusiness</x:v>
      </x:c>
      <x:c r="E10909" s="13" t="str">
        <x:v>Agri, Food &amp; Beverages</x:v>
      </x:c>
      <x:c r="F10909" s="13" t="str">
        <x:v>Defensives</x:v>
      </x:c>
      <x:c r="G10909" s="13" t="str">
        <x:v>grid_wbaxp5t0.xlsx</x:v>
      </x:c>
    </x:row>
    <x:row r="10910">
      <x:c r="A10910" s="15" t="n">
        <x:v>45139</x:v>
      </x:c>
      <x:c r="B10910" s="13" t="str">
        <x:v>BANCO BRADESCO S.A.</x:v>
      </x:c>
      <x:c r="C10910" s="16" t="n">
        <x:v>22630.8328106667</x:v>
      </x:c>
      <x:c r="D10910" s="13" t="str">
        <x:v>Banks</x:v>
      </x:c>
      <x:c r="E10910" s="13" t="str">
        <x:v>Banks</x:v>
      </x:c>
      <x:c r="F10910" s="13" t="str">
        <x:v>Financials</x:v>
      </x:c>
      <x:c r="G10910" s="13" t="str">
        <x:v>grid_wbaxp5t0.xlsx</x:v>
      </x:c>
    </x:row>
    <x:row r="10911">
      <x:c r="A10911" s="15" t="n">
        <x:v>45139</x:v>
      </x:c>
      <x:c r="B10911" s="13" t="str">
        <x:v>BANCO BRADESCO SA-PREF</x:v>
      </x:c>
      <x:c r="C10911" s="16" t="n">
        <x:v>22630.8328106667</x:v>
      </x:c>
      <x:c r="D10911" s="13" t="str">
        <x:v>Banks</x:v>
      </x:c>
      <x:c r="E10911" s="13" t="str">
        <x:v>Banks</x:v>
      </x:c>
      <x:c r="F10911" s="13" t="str">
        <x:v>Financials</x:v>
      </x:c>
      <x:c r="G10911" s="13" t="str">
        <x:v>grid_wbaxp5t0.xlsx</x:v>
      </x:c>
    </x:row>
    <x:row r="10912">
      <x:c r="A10912" s="15" t="n">
        <x:v>45139</x:v>
      </x:c>
      <x:c r="B10912" s="13" t="str">
        <x:v>BANCO BTG PACTUAL SA-UNIT</x:v>
      </x:c>
      <x:c r="C10912" s="16" t="n">
        <x:v>11162.6666666667</x:v>
      </x:c>
      <x:c r="D10912" s="13" t="str">
        <x:v>Banks</x:v>
      </x:c>
      <x:c r="E10912" s="13" t="str">
        <x:v>Banks</x:v>
      </x:c>
      <x:c r="F10912" s="13" t="str">
        <x:v>Financials</x:v>
      </x:c>
      <x:c r="G10912" s="13" t="str">
        <x:v>grid_wbaxp5t0.xlsx</x:v>
      </x:c>
    </x:row>
    <x:row r="10913">
      <x:c r="A10913" s="15" t="n">
        <x:v>45139</x:v>
      </x:c>
      <x:c r="B10913" s="13" t="str">
        <x:v>BANCO DO BRASIL S.A.</x:v>
      </x:c>
      <x:c r="C10913" s="16" t="n">
        <x:v>36197.2340053333</x:v>
      </x:c>
      <x:c r="D10913" s="13" t="str">
        <x:v>Banks</x:v>
      </x:c>
      <x:c r="E10913" s="13" t="str">
        <x:v>Banks</x:v>
      </x:c>
      <x:c r="F10913" s="13" t="str">
        <x:v>Financials</x:v>
      </x:c>
      <x:c r="G10913" s="13" t="str">
        <x:v>grid_wbaxp5t0.xlsx</x:v>
      </x:c>
    </x:row>
    <x:row r="10914">
      <x:c r="A10914" s="15" t="n">
        <x:v>45139</x:v>
      </x:c>
      <x:c r="B10914" s="13" t="str">
        <x:v>BANCO SANTANDER  BRASIL-UNIT</x:v>
      </x:c>
      <x:c r="C10914" s="16" t="n">
        <x:v>12754.4999253333</x:v>
      </x:c>
      <x:c r="D10914" s="13" t="str">
        <x:v>Banks</x:v>
      </x:c>
      <x:c r="E10914" s="13" t="str">
        <x:v>Banks</x:v>
      </x:c>
      <x:c r="F10914" s="13" t="str">
        <x:v>Financials</x:v>
      </x:c>
      <x:c r="G10914" s="13" t="str">
        <x:v>grid_wbaxp5t0.xlsx</x:v>
      </x:c>
    </x:row>
    <x:row r="10915">
      <x:c r="A10915" s="15" t="n">
        <x:v>45139</x:v>
      </x:c>
      <x:c r="B10915" s="13" t="str">
        <x:v>ITAU UNIBANCO HOLDING S-PREF</x:v>
      </x:c>
      <x:c r="C10915" s="16" t="n">
        <x:v>37695.266816</x:v>
      </x:c>
      <x:c r="D10915" s="13" t="str">
        <x:v>Banks</x:v>
      </x:c>
      <x:c r="E10915" s="13" t="str">
        <x:v>Banks</x:v>
      </x:c>
      <x:c r="F10915" s="13" t="str">
        <x:v>Financials</x:v>
      </x:c>
      <x:c r="G10915" s="13" t="str">
        <x:v>grid_wbaxp5t0.xlsx</x:v>
      </x:c>
    </x:row>
    <x:row r="10916">
      <x:c r="A10916" s="15" t="n">
        <x:v>45139</x:v>
      </x:c>
      <x:c r="B10916" s="13" t="str">
        <x:v>EMBRAER SA</x:v>
      </x:c>
      <x:c r="C10916" s="16" t="n">
        <x:v>938.341376</x:v>
      </x:c>
      <x:c r="D10916" s="13" t="str">
        <x:v>Capital Goods</x:v>
      </x:c>
      <x:c r="E10916" s="13" t="str">
        <x:v>Capital Goods</x:v>
      </x:c>
      <x:c r="F10916" s="13" t="str">
        <x:v>Deep Cyclicals</x:v>
      </x:c>
      <x:c r="G10916" s="13" t="str">
        <x:v>grid_wbaxp5t0.xlsx</x:v>
      </x:c>
    </x:row>
    <x:row r="10917">
      <x:c r="A10917" s="15" t="n">
        <x:v>45139</x:v>
      </x:c>
      <x:c r="B10917" s="13" t="str">
        <x:v>WEG SA</x:v>
      </x:c>
      <x:c r="C10917" s="16" t="n">
        <x:v>5585.816576</x:v>
      </x:c>
      <x:c r="D10917" s="13" t="str">
        <x:v>Capital Goods</x:v>
      </x:c>
      <x:c r="E10917" s="13" t="str">
        <x:v>Capital Goods</x:v>
      </x:c>
      <x:c r="F10917" s="13" t="str">
        <x:v>Deep Cyclicals</x:v>
      </x:c>
      <x:c r="G10917" s="13" t="str">
        <x:v>grid_wbaxp5t0.xlsx</x:v>
      </x:c>
    </x:row>
    <x:row r="10918">
      <x:c r="A10918" s="15" t="n">
        <x:v>45139</x:v>
      </x:c>
      <x:c r="B10918" s="13" t="str">
        <x:v>COGNA EDUCACAO</x:v>
      </x:c>
      <x:c r="C10918" s="16" t="n">
        <x:v>238.1433333333</x:v>
      </x:c>
      <x:c r="D10918" s="13" t="str">
        <x:v>Education</x:v>
      </x:c>
      <x:c r="E10918" s="13" t="str">
        <x:v>Education</x:v>
      </x:c>
      <x:c r="F10918" s="13" t="str">
        <x:v>Early Cyclicals</x:v>
      </x:c>
      <x:c r="G10918" s="13" t="str">
        <x:v>grid_wbaxp5t0.xlsx</x:v>
      </x:c>
    </x:row>
    <x:row r="10919">
      <x:c r="A10919" s="15" t="n">
        <x:v>45139</x:v>
      </x:c>
      <x:c r="B10919" s="13" t="str">
        <x:v>YDUQS PARTICIPACOES SA</x:v>
      </x:c>
      <x:c r="C10919" s="16" t="n">
        <x:v>441.2880106667</x:v>
      </x:c>
      <x:c r="D10919" s="13" t="str">
        <x:v>Education</x:v>
      </x:c>
      <x:c r="E10919" s="13" t="str">
        <x:v>Education</x:v>
      </x:c>
      <x:c r="F10919" s="13" t="str">
        <x:v>Early Cyclicals</x:v>
      </x:c>
      <x:c r="G10919" s="13" t="str">
        <x:v>grid_wbaxp5t0.xlsx</x:v>
      </x:c>
    </x:row>
    <x:row r="10920">
      <x:c r="A10920" s="15" t="n">
        <x:v>45139</x:v>
      </x:c>
      <x:c r="B10920" s="13" t="str">
        <x:v>B3 SA-BRASIL BOLSA BALCAO</x:v>
      </x:c>
      <x:c r="C10920" s="16" t="n">
        <x:v>5080.4998826667</x:v>
      </x:c>
      <x:c r="D10920" s="13" t="str">
        <x:v>Financials Non-Banks</x:v>
      </x:c>
      <x:c r="E10920" s="13" t="str">
        <x:v>Financials Non-Banks</x:v>
      </x:c>
      <x:c r="F10920" s="13" t="str">
        <x:v>Financials</x:v>
      </x:c>
      <x:c r="G10920" s="13" t="str">
        <x:v>grid_wbaxp5t0.xlsx</x:v>
      </x:c>
    </x:row>
    <x:row r="10921">
      <x:c r="A10921" s="15" t="n">
        <x:v>45139</x:v>
      </x:c>
      <x:c r="B10921" s="13" t="str">
        <x:v>BB SEGURIDADE PARTICIPACOES</x:v>
      </x:c>
      <x:c r="C10921" s="16" t="n">
        <x:v>7628.9399466667</x:v>
      </x:c>
      <x:c r="D10921" s="13" t="str">
        <x:v>Financials Non-Banks</x:v>
      </x:c>
      <x:c r="E10921" s="13" t="str">
        <x:v>Financials Non-Banks</x:v>
      </x:c>
      <x:c r="F10921" s="13" t="str">
        <x:v>Financials</x:v>
      </x:c>
      <x:c r="G10921" s="13" t="str">
        <x:v>grid_wbaxp5t0.xlsx</x:v>
      </x:c>
    </x:row>
    <x:row r="10922">
      <x:c r="A10922" s="15" t="n">
        <x:v>45139</x:v>
      </x:c>
      <x:c r="B10922" s="13" t="str">
        <x:v>CIELO SA - INSTITUICAO DE PA</x:v>
      </x:c>
      <x:c r="C10922" s="16" t="n">
        <x:v>1888.3666773333</x:v>
      </x:c>
      <x:c r="D10922" s="13" t="str">
        <x:v>Financials Non-Banks</x:v>
      </x:c>
      <x:c r="E10922" s="13" t="str">
        <x:v>Financials Non-Banks</x:v>
      </x:c>
      <x:c r="F10922" s="13" t="str">
        <x:v>Financials</x:v>
      </x:c>
      <x:c r="G10922" s="13" t="str">
        <x:v>grid_wbaxp5t0.xlsx</x:v>
      </x:c>
    </x:row>
    <x:row r="10923">
      <x:c r="A10923" s="15" t="n">
        <x:v>45139</x:v>
      </x:c>
      <x:c r="B10923" s="13" t="str">
        <x:v>IRB BRASIL RESSEGUROS SA</x:v>
      </x:c>
      <x:c r="C10923" s="16" t="n">
        <x:v>280.8109973333</x:v>
      </x:c>
      <x:c r="D10923" s="13" t="str">
        <x:v>Financials Non-Banks</x:v>
      </x:c>
      <x:c r="E10923" s="13" t="str">
        <x:v>Financials Non-Banks</x:v>
      </x:c>
      <x:c r="F10923" s="13" t="str">
        <x:v>Financials</x:v>
      </x:c>
      <x:c r="G10923" s="13" t="str">
        <x:v>grid_wbaxp5t0.xlsx</x:v>
      </x:c>
    </x:row>
    <x:row r="10924">
      <x:c r="A10924" s="15" t="n">
        <x:v>45139</x:v>
      </x:c>
      <x:c r="B10924" s="13" t="str">
        <x:v>ITAUSA SA</x:v>
      </x:c>
      <x:c r="C10924" s="16" t="n">
        <x:v>15630.9998933333</x:v>
      </x:c>
      <x:c r="D10924" s="13" t="str">
        <x:v>Financials Non-Banks</x:v>
      </x:c>
      <x:c r="E10924" s="13" t="str">
        <x:v>Financials Non-Banks</x:v>
      </x:c>
      <x:c r="F10924" s="13" t="str">
        <x:v>Financials</x:v>
      </x:c>
      <x:c r="G10924" s="13" t="str">
        <x:v>grid_wbaxp5t0.xlsx</x:v>
      </x:c>
    </x:row>
    <x:row r="10925">
      <x:c r="A10925" s="15" t="n">
        <x:v>45139</x:v>
      </x:c>
      <x:c r="B10925" s="13" t="str">
        <x:v>MELIUZ SA - ON</x:v>
      </x:c>
      <x:c r="C10925" s="16" t="n">
        <x:v>22.0783333333</x:v>
      </x:c>
      <x:c r="D10925" s="13" t="str">
        <x:v>Financials Non-Banks</x:v>
      </x:c>
      <x:c r="E10925" s="13" t="str">
        <x:v>Financials Non-Banks</x:v>
      </x:c>
      <x:c r="F10925" s="13" t="str">
        <x:v>Financials</x:v>
      </x:c>
      <x:c r="G10925" s="13" t="str">
        <x:v>grid_wbaxp5t0.xlsx</x:v>
      </x:c>
    </x:row>
    <x:row r="10926">
      <x:c r="A10926" s="15" t="n">
        <x:v>45139</x:v>
      </x:c>
      <x:c r="B10926" s="13" t="str">
        <x:v>AMBEV SA</x:v>
      </x:c>
      <x:c r="C10926" s="16" t="n">
        <x:v>15651.00032</x:v>
      </x:c>
      <x:c r="D10926" s="13" t="str">
        <x:v>Food &amp; Beverages</x:v>
      </x:c>
      <x:c r="E10926" s="13" t="str">
        <x:v>Agri, Food &amp; Beverages</x:v>
      </x:c>
      <x:c r="F10926" s="13" t="str">
        <x:v>Defensives</x:v>
      </x:c>
      <x:c r="G10926" s="13" t="str">
        <x:v>grid_wbaxp5t0.xlsx</x:v>
      </x:c>
    </x:row>
    <x:row r="10927">
      <x:c r="A10927" s="15" t="n">
        <x:v>45139</x:v>
      </x:c>
      <x:c r="B10927" s="13" t="str">
        <x:v>BRF SA</x:v>
      </x:c>
      <x:c r="C10927" s="16" t="n">
        <x:v>-253.3140053333</x:v>
      </x:c>
      <x:c r="D10927" s="13" t="str">
        <x:v>Food &amp; Beverages</x:v>
      </x:c>
      <x:c r="E10927" s="13" t="str">
        <x:v>Agri, Food &amp; Beverages</x:v>
      </x:c>
      <x:c r="F10927" s="13" t="str">
        <x:v>Defensives</x:v>
      </x:c>
      <x:c r="G10927" s="13" t="str">
        <x:v>grid_wbaxp5t0.xlsx</x:v>
      </x:c>
    </x:row>
    <x:row r="10928">
      <x:c r="A10928" s="15" t="n">
        <x:v>45139</x:v>
      </x:c>
      <x:c r="B10928" s="13" t="str">
        <x:v>MBRF GLOBAL FOODS COMPANY SA</x:v>
      </x:c>
      <x:c r="C10928" s="16" t="n">
        <x:v>-187.690656</x:v>
      </x:c>
      <x:c r="D10928" s="13" t="str">
        <x:v>Food &amp; Beverages</x:v>
      </x:c>
      <x:c r="E10928" s="13" t="str">
        <x:v>Agri, Food &amp; Beverages</x:v>
      </x:c>
      <x:c r="F10928" s="13" t="str">
        <x:v>Defensives</x:v>
      </x:c>
      <x:c r="G10928" s="13" t="str">
        <x:v>grid_wbaxp5t0.xlsx</x:v>
      </x:c>
    </x:row>
    <x:row r="10929">
      <x:c r="A10929" s="15" t="n">
        <x:v>45139</x:v>
      </x:c>
      <x:c r="B10929" s="13" t="str">
        <x:v>MINERVA SA</x:v>
      </x:c>
      <x:c r="C10929" s="16" t="n">
        <x:v>972.76</x:v>
      </x:c>
      <x:c r="D10929" s="13" t="str">
        <x:v>Food &amp; Beverages</x:v>
      </x:c>
      <x:c r="E10929" s="13" t="str">
        <x:v>Agri, Food &amp; Beverages</x:v>
      </x:c>
      <x:c r="F10929" s="13" t="str">
        <x:v>Defensives</x:v>
      </x:c>
      <x:c r="G10929" s="13" t="str">
        <x:v>grid_wbaxp5t0.xlsx</x:v>
      </x:c>
    </x:row>
    <x:row r="10930">
      <x:c r="A10930" s="15" t="n">
        <x:v>45139</x:v>
      </x:c>
      <x:c r="B10930" s="13" t="str">
        <x:v>FLEURY SA</x:v>
      </x:c>
      <x:c r="C10930" s="16" t="n">
        <x:v>504.7876586667</x:v>
      </x:c>
      <x:c r="D10930" s="13" t="str">
        <x:v>Health Care</x:v>
      </x:c>
      <x:c r="E10930" s="13" t="str">
        <x:v>Health Care</x:v>
      </x:c>
      <x:c r="F10930" s="13" t="str">
        <x:v>Defensives</x:v>
      </x:c>
      <x:c r="G10930" s="13" t="str">
        <x:v>grid_wbaxp5t0.xlsx</x:v>
      </x:c>
    </x:row>
    <x:row r="10931">
      <x:c r="A10931" s="15" t="n">
        <x:v>45139</x:v>
      </x:c>
      <x:c r="B10931" s="13" t="str">
        <x:v>HAPVIDA PARTICIPACOES E INVE</x:v>
      </x:c>
      <x:c r="C10931" s="16" t="n">
        <x:v>922.4563653333</x:v>
      </x:c>
      <x:c r="D10931" s="13" t="str">
        <x:v>Health Care</x:v>
      </x:c>
      <x:c r="E10931" s="13" t="str">
        <x:v>Health Care</x:v>
      </x:c>
      <x:c r="F10931" s="13" t="str">
        <x:v>Defensives</x:v>
      </x:c>
      <x:c r="G10931" s="13" t="str">
        <x:v>grid_wbaxp5t0.xlsx</x:v>
      </x:c>
    </x:row>
    <x:row r="10932">
      <x:c r="A10932" s="15" t="n">
        <x:v>45139</x:v>
      </x:c>
      <x:c r="B10932" s="13" t="str">
        <x:v>HYPERA SA</x:v>
      </x:c>
      <x:c r="C10932" s="16" t="n">
        <x:v>2107.9533653333</x:v>
      </x:c>
      <x:c r="D10932" s="13" t="str">
        <x:v>Health Care</x:v>
      </x:c>
      <x:c r="E10932" s="13" t="str">
        <x:v>Health Care</x:v>
      </x:c>
      <x:c r="F10932" s="13" t="str">
        <x:v>Defensives</x:v>
      </x:c>
      <x:c r="G10932" s="13" t="str">
        <x:v>grid_wbaxp5t0.xlsx</x:v>
      </x:c>
    </x:row>
    <x:row r="10933">
      <x:c r="A10933" s="15" t="n">
        <x:v>45139</x:v>
      </x:c>
      <x:c r="B10933" s="13" t="str">
        <x:v>REDE D'OR SAO LUIZ SA</x:v>
      </x:c>
      <x:c r="C10933" s="16" t="n">
        <x:v>2820.4100266667</x:v>
      </x:c>
      <x:c r="D10933" s="13" t="str">
        <x:v>Health Care</x:v>
      </x:c>
      <x:c r="E10933" s="13" t="str">
        <x:v>Health Care</x:v>
      </x:c>
      <x:c r="F10933" s="13" t="str">
        <x:v>Defensives</x:v>
      </x:c>
      <x:c r="G10933" s="13" t="str">
        <x:v>grid_wbaxp5t0.xlsx</x:v>
      </x:c>
    </x:row>
    <x:row r="10934">
      <x:c r="A10934" s="15" t="n">
        <x:v>45139</x:v>
      </x:c>
      <x:c r="B10934" s="13" t="str">
        <x:v>CYRELA BRAZIL REALTY SA EMP</x:v>
      </x:c>
      <x:c r="C10934" s="16" t="n">
        <x:v>961.3606826667</x:v>
      </x:c>
      <x:c r="D10934" s="13" t="str">
        <x:v>Homebuilders</x:v>
      </x:c>
      <x:c r="E10934" s="13" t="str">
        <x:v>Real Estate</x:v>
      </x:c>
      <x:c r="F10934" s="13" t="str">
        <x:v>Early Cyclicals</x:v>
      </x:c>
      <x:c r="G10934" s="13" t="str">
        <x:v>grid_wbaxp5t0.xlsx</x:v>
      </x:c>
    </x:row>
    <x:row r="10935">
      <x:c r="A10935" s="15" t="n">
        <x:v>45139</x:v>
      </x:c>
      <x:c r="B10935" s="13" t="str">
        <x:v>EZ TEC EMPREENDIMENTOS E PAR</x:v>
      </x:c>
      <x:c r="C10935" s="16" t="n">
        <x:v>393.1820053333</x:v>
      </x:c>
      <x:c r="D10935" s="13" t="str">
        <x:v>Homebuilders</x:v>
      </x:c>
      <x:c r="E10935" s="13" t="str">
        <x:v>Real Estate</x:v>
      </x:c>
      <x:c r="F10935" s="13" t="str">
        <x:v>Early Cyclicals</x:v>
      </x:c>
      <x:c r="G10935" s="13" t="str">
        <x:v>grid_wbaxp5t0.xlsx</x:v>
      </x:c>
    </x:row>
    <x:row r="10936">
      <x:c r="A10936" s="15" t="n">
        <x:v>45139</x:v>
      </x:c>
      <x:c r="B10936" s="13" t="str">
        <x:v>MRV ENGENHARIA</x:v>
      </x:c>
      <x:c r="C10936" s="16" t="n">
        <x:v>588.130016</x:v>
      </x:c>
      <x:c r="D10936" s="13" t="str">
        <x:v>Homebuilders</x:v>
      </x:c>
      <x:c r="E10936" s="13" t="str">
        <x:v>Real Estate</x:v>
      </x:c>
      <x:c r="F10936" s="13" t="str">
        <x:v>Early Cyclicals</x:v>
      </x:c>
      <x:c r="G10936" s="13" t="str">
        <x:v>grid_wbaxp5t0.xlsx</x:v>
      </x:c>
    </x:row>
    <x:row r="10937">
      <x:c r="A10937" s="15" t="n">
        <x:v>45139</x:v>
      </x:c>
      <x:c r="B10937" s="13" t="str">
        <x:v>ALLOS SA</x:v>
      </x:c>
      <x:c r="C10937" s="16" t="n">
        <x:v>1176.425344</x:v>
      </x:c>
      <x:c r="D10937" s="13" t="str">
        <x:v>Income Properties</x:v>
      </x:c>
      <x:c r="E10937" s="13" t="str">
        <x:v>Real Estate</x:v>
      </x:c>
      <x:c r="F10937" s="13" t="str">
        <x:v>Early Cyclicals</x:v>
      </x:c>
      <x:c r="G10937" s="13" t="str">
        <x:v>grid_wbaxp5t0.xlsx</x:v>
      </x:c>
    </x:row>
    <x:row r="10938">
      <x:c r="A10938" s="15" t="n">
        <x:v>45139</x:v>
      </x:c>
      <x:c r="B10938" s="13" t="str">
        <x:v>IGUATEMI SA - UNITS</x:v>
      </x:c>
      <x:c r="C10938" s="16" t="n">
        <x:v>411.583328</x:v>
      </x:c>
      <x:c r="D10938" s="13" t="str">
        <x:v>Income Properties</x:v>
      </x:c>
      <x:c r="E10938" s="13" t="str">
        <x:v>Real Estate</x:v>
      </x:c>
      <x:c r="F10938" s="13" t="str">
        <x:v>Early Cyclicals</x:v>
      </x:c>
      <x:c r="G10938" s="13" t="str">
        <x:v>grid_wbaxp5t0.xlsx</x:v>
      </x:c>
    </x:row>
    <x:row r="10939">
      <x:c r="A10939" s="15" t="n">
        <x:v>45139</x:v>
      </x:c>
      <x:c r="B10939" s="13" t="str">
        <x:v>MULTIPLAN EMPREENDIMENTOS</x:v>
      </x:c>
      <x:c r="C10939" s="16" t="n">
        <x:v>987.643008</x:v>
      </x:c>
      <x:c r="D10939" s="13" t="str">
        <x:v>Income Properties</x:v>
      </x:c>
      <x:c r="E10939" s="13" t="str">
        <x:v>Real Estate</x:v>
      </x:c>
      <x:c r="F10939" s="13" t="str">
        <x:v>Early Cyclicals</x:v>
      </x:c>
      <x:c r="G10939" s="13" t="str">
        <x:v>grid_wbaxp5t0.xlsx</x:v>
      </x:c>
    </x:row>
    <x:row r="10940">
      <x:c r="A10940" s="15" t="n">
        <x:v>45139</x:v>
      </x:c>
      <x:c r="B10940" s="13" t="str">
        <x:v>BRADESPAR SA -PREF</x:v>
      </x:c>
      <x:c r="C10940" s="16" t="n">
        <x:v>3200</x:v>
      </x:c>
      <x:c r="D10940" s="13" t="str">
        <x:v>Metals &amp; Mining</x:v>
      </x:c>
      <x:c r="E10940" s="13" t="str">
        <x:v>Metals &amp; Mining</x:v>
      </x:c>
      <x:c r="F10940" s="13" t="str">
        <x:v>Deep Cyclicals</x:v>
      </x:c>
      <x:c r="G10940" s="13" t="str">
        <x:v>grid_wbaxp5t0.xlsx</x:v>
      </x:c>
    </x:row>
    <x:row r="10941">
      <x:c r="A10941" s="15" t="n">
        <x:v>45139</x:v>
      </x:c>
      <x:c r="B10941" s="13" t="str">
        <x:v>CIA SIDERURGICA NACIONAL SA</x:v>
      </x:c>
      <x:c r="C10941" s="16" t="n">
        <x:v>1436.9036586667</x:v>
      </x:c>
      <x:c r="D10941" s="13" t="str">
        <x:v>Metals &amp; Mining</x:v>
      </x:c>
      <x:c r="E10941" s="13" t="str">
        <x:v>Metals &amp; Mining</x:v>
      </x:c>
      <x:c r="F10941" s="13" t="str">
        <x:v>Deep Cyclicals</x:v>
      </x:c>
      <x:c r="G10941" s="13" t="str">
        <x:v>grid_wbaxp5t0.xlsx</x:v>
      </x:c>
    </x:row>
    <x:row r="10942">
      <x:c r="A10942" s="15" t="n">
        <x:v>45139</x:v>
      </x:c>
      <x:c r="B10942" s="13" t="str">
        <x:v>CSN MINERACAO SA</x:v>
      </x:c>
      <x:c r="C10942" s="16" t="n">
        <x:v>2026.6666666667</x:v>
      </x:c>
      <x:c r="D10942" s="13" t="str">
        <x:v>Metals &amp; Mining</x:v>
      </x:c>
      <x:c r="E10942" s="13" t="str">
        <x:v>Metals &amp; Mining</x:v>
      </x:c>
      <x:c r="F10942" s="13" t="str">
        <x:v>Deep Cyclicals</x:v>
      </x:c>
      <x:c r="G10942" s="13" t="str">
        <x:v>grid_wbaxp5t0.xlsx</x:v>
      </x:c>
    </x:row>
    <x:row r="10943">
      <x:c r="A10943" s="15" t="n">
        <x:v>45139</x:v>
      </x:c>
      <x:c r="B10943" s="13" t="str">
        <x:v>GERDAU SA-PREF</x:v>
      </x:c>
      <x:c r="C10943" s="16" t="n">
        <x:v>7138.6866346667</x:v>
      </x:c>
      <x:c r="D10943" s="13" t="str">
        <x:v>Metals &amp; Mining</x:v>
      </x:c>
      <x:c r="E10943" s="13" t="str">
        <x:v>Metals &amp; Mining</x:v>
      </x:c>
      <x:c r="F10943" s="13" t="str">
        <x:v>Deep Cyclicals</x:v>
      </x:c>
      <x:c r="G10943" s="13" t="str">
        <x:v>grid_wbaxp5t0.xlsx</x:v>
      </x:c>
    </x:row>
    <x:row r="10944">
      <x:c r="A10944" s="15" t="n">
        <x:v>45139</x:v>
      </x:c>
      <x:c r="B10944" s="13" t="str">
        <x:v>METALURGICA GERDAU SA-PREF</x:v>
      </x:c>
      <x:c r="C10944" s="16" t="n">
        <x:v>2623.666688</x:v>
      </x:c>
      <x:c r="D10944" s="13" t="str">
        <x:v>Metals &amp; Mining</x:v>
      </x:c>
      <x:c r="E10944" s="13" t="str">
        <x:v>Metals &amp; Mining</x:v>
      </x:c>
      <x:c r="F10944" s="13" t="str">
        <x:v>Deep Cyclicals</x:v>
      </x:c>
      <x:c r="G10944" s="13" t="str">
        <x:v>grid_wbaxp5t0.xlsx</x:v>
      </x:c>
    </x:row>
    <x:row r="10945">
      <x:c r="A10945" s="15" t="n">
        <x:v>45139</x:v>
      </x:c>
      <x:c r="B10945" s="13" t="str">
        <x:v>USINAS SIDER MINAS GER-PF A</x:v>
      </x:c>
      <x:c r="C10945" s="16" t="n">
        <x:v>1345.256704</x:v>
      </x:c>
      <x:c r="D10945" s="13" t="str">
        <x:v>Metals &amp; Mining</x:v>
      </x:c>
      <x:c r="E10945" s="13" t="str">
        <x:v>Metals &amp; Mining</x:v>
      </x:c>
      <x:c r="F10945" s="13" t="str">
        <x:v>Deep Cyclicals</x:v>
      </x:c>
      <x:c r="G10945" s="13" t="str">
        <x:v>grid_wbaxp5t0.xlsx</x:v>
      </x:c>
    </x:row>
    <x:row r="10946">
      <x:c r="A10946" s="15" t="n">
        <x:v>45139</x:v>
      </x:c>
      <x:c r="B10946" s="13" t="str">
        <x:v>VALE SA</x:v>
      </x:c>
      <x:c r="C10946" s="16" t="n">
        <x:v>42758.967296</x:v>
      </x:c>
      <x:c r="D10946" s="13" t="str">
        <x:v>Metals &amp; Mining</x:v>
      </x:c>
      <x:c r="E10946" s="13" t="str">
        <x:v>Metals &amp; Mining</x:v>
      </x:c>
      <x:c r="F10946" s="13" t="str">
        <x:v>Deep Cyclicals</x:v>
      </x:c>
      <x:c r="G10946" s="13" t="str">
        <x:v>grid_wbaxp5t0.xlsx</x:v>
      </x:c>
    </x:row>
    <x:row r="10947">
      <x:c r="A10947" s="15" t="n">
        <x:v>45139</x:v>
      </x:c>
      <x:c r="B10947" s="13" t="str">
        <x:v>BRASKEM SA-PREF A</x:v>
      </x:c>
      <x:c r="C10947" s="16" t="n">
        <x:v>-382.0973226667</x:v>
      </x:c>
      <x:c r="D10947" s="13" t="str">
        <x:v>Oil, Gas &amp; Petrochemicals</x:v>
      </x:c>
      <x:c r="E10947" s="13" t="str">
        <x:v>Oil, Gas &amp; Petrochemicals</x:v>
      </x:c>
      <x:c r="F10947" s="13" t="str">
        <x:v>Deep Cyclicals</x:v>
      </x:c>
      <x:c r="G10947" s="13" t="str">
        <x:v>grid_wbaxp5t0.xlsx</x:v>
      </x:c>
    </x:row>
    <x:row r="10948">
      <x:c r="A10948" s="15" t="n">
        <x:v>45139</x:v>
      </x:c>
      <x:c r="B10948" s="13" t="str">
        <x:v>BRAVA ENERGIA</x:v>
      </x:c>
      <x:c r="C10948" s="16" t="n">
        <x:v>1447.866688</x:v>
      </x:c>
      <x:c r="D10948" s="13" t="str">
        <x:v>Oil, Gas &amp; Petrochemicals</x:v>
      </x:c>
      <x:c r="E10948" s="13" t="str">
        <x:v>Oil, Gas &amp; Petrochemicals</x:v>
      </x:c>
      <x:c r="F10948" s="13" t="str">
        <x:v>Deep Cyclicals</x:v>
      </x:c>
      <x:c r="G10948" s="13" t="str">
        <x:v>grid_wbaxp5t0.xlsx</x:v>
      </x:c>
    </x:row>
    <x:row r="10949">
      <x:c r="A10949" s="15" t="n">
        <x:v>45139</x:v>
      </x:c>
      <x:c r="B10949" s="13" t="str">
        <x:v>COSAN SA</x:v>
      </x:c>
      <x:c r="C10949" s="16" t="n">
        <x:v>1544.6976</x:v>
      </x:c>
      <x:c r="D10949" s="13" t="str">
        <x:v>Oil, Gas &amp; Petrochemicals</x:v>
      </x:c>
      <x:c r="E10949" s="13" t="str">
        <x:v>Oil, Gas &amp; Petrochemicals</x:v>
      </x:c>
      <x:c r="F10949" s="13" t="str">
        <x:v>Deep Cyclicals</x:v>
      </x:c>
      <x:c r="G10949" s="13" t="str">
        <x:v>grid_wbaxp5t0.xlsx</x:v>
      </x:c>
    </x:row>
    <x:row r="10950">
      <x:c r="A10950" s="15" t="n">
        <x:v>45139</x:v>
      </x:c>
      <x:c r="B10950" s="13" t="str">
        <x:v>PETROBRAS - PETROLEO BRAS</x:v>
      </x:c>
      <x:c r="C10950" s="16" t="n">
        <x:v>104766.999210667</x:v>
      </x:c>
      <x:c r="D10950" s="13" t="str">
        <x:v>Oil, Gas &amp; Petrochemicals</x:v>
      </x:c>
      <x:c r="E10950" s="13" t="str">
        <x:v>Oil, Gas &amp; Petrochemicals</x:v>
      </x:c>
      <x:c r="F10950" s="13" t="str">
        <x:v>Deep Cyclicals</x:v>
      </x:c>
      <x:c r="G10950" s="13" t="str">
        <x:v>grid_wbaxp5t0.xlsx</x:v>
      </x:c>
    </x:row>
    <x:row r="10951">
      <x:c r="A10951" s="15" t="n">
        <x:v>45139</x:v>
      </x:c>
      <x:c r="B10951" s="13" t="str">
        <x:v>PRIO SA</x:v>
      </x:c>
      <x:c r="C10951" s="16" t="n">
        <x:v>6945.3366613333</x:v>
      </x:c>
      <x:c r="D10951" s="13" t="str">
        <x:v>Oil, Gas &amp; Petrochemicals</x:v>
      </x:c>
      <x:c r="E10951" s="13" t="str">
        <x:v>Oil, Gas &amp; Petrochemicals</x:v>
      </x:c>
      <x:c r="F10951" s="13" t="str">
        <x:v>Deep Cyclicals</x:v>
      </x:c>
      <x:c r="G10951" s="13" t="str">
        <x:v>grid_wbaxp5t0.xlsx</x:v>
      </x:c>
    </x:row>
    <x:row r="10952">
      <x:c r="A10952" s="15" t="n">
        <x:v>45139</x:v>
      </x:c>
      <x:c r="B10952" s="13" t="str">
        <x:v>ULTRAPAR PARTICIPACOES SA</x:v>
      </x:c>
      <x:c r="C10952" s="16" t="n">
        <x:v>1288.2033493333</x:v>
      </x:c>
      <x:c r="D10952" s="13" t="str">
        <x:v>Oil, Gas &amp; Petrochemicals</x:v>
      </x:c>
      <x:c r="E10952" s="13" t="str">
        <x:v>Oil, Gas &amp; Petrochemicals</x:v>
      </x:c>
      <x:c r="F10952" s="13" t="str">
        <x:v>Deep Cyclicals</x:v>
      </x:c>
      <x:c r="G10952" s="13" t="str">
        <x:v>grid_wbaxp5t0.xlsx</x:v>
      </x:c>
    </x:row>
    <x:row r="10953">
      <x:c r="A10953" s="15" t="n">
        <x:v>45139</x:v>
      </x:c>
      <x:c r="B10953" s="13" t="str">
        <x:v>VIBRA ENERGIA SA</x:v>
      </x:c>
      <x:c r="C10953" s="16" t="n">
        <x:v>2085.849984</x:v>
      </x:c>
      <x:c r="D10953" s="13" t="str">
        <x:v>Oil, Gas &amp; Petrochemicals</x:v>
      </x:c>
      <x:c r="E10953" s="13" t="str">
        <x:v>Oil, Gas &amp; Petrochemicals</x:v>
      </x:c>
      <x:c r="F10953" s="13" t="str">
        <x:v>Deep Cyclicals</x:v>
      </x:c>
      <x:c r="G10953" s="13" t="str">
        <x:v>grid_wbaxp5t0.xlsx</x:v>
      </x:c>
    </x:row>
    <x:row r="10954">
      <x:c r="A10954" s="15" t="n">
        <x:v>45139</x:v>
      </x:c>
      <x:c r="B10954" s="13" t="str">
        <x:v>DEXCO SA</x:v>
      </x:c>
      <x:c r="C10954" s="16" t="n">
        <x:v>343.235008</x:v>
      </x:c>
      <x:c r="D10954" s="13" t="str">
        <x:v>Pulp &amp; Paper</x:v>
      </x:c>
      <x:c r="E10954" s="13" t="str">
        <x:v>Pulp &amp; Paper</x:v>
      </x:c>
      <x:c r="F10954" s="13" t="str">
        <x:v>Deep Cyclicals</x:v>
      </x:c>
      <x:c r="G10954" s="13" t="str">
        <x:v>grid_wbaxp5t0.xlsx</x:v>
      </x:c>
    </x:row>
    <x:row r="10955">
      <x:c r="A10955" s="15" t="n">
        <x:v>45139</x:v>
      </x:c>
      <x:c r="B10955" s="13" t="str">
        <x:v>KLABIN SA - UNIT</x:v>
      </x:c>
      <x:c r="C10955" s="16" t="n">
        <x:v>2837.8599253333</x:v>
      </x:c>
      <x:c r="D10955" s="13" t="str">
        <x:v>Pulp &amp; Paper</x:v>
      </x:c>
      <x:c r="E10955" s="13" t="str">
        <x:v>Pulp &amp; Paper</x:v>
      </x:c>
      <x:c r="F10955" s="13" t="str">
        <x:v>Deep Cyclicals</x:v>
      </x:c>
      <x:c r="G10955" s="13" t="str">
        <x:v>grid_wbaxp5t0.xlsx</x:v>
      </x:c>
    </x:row>
    <x:row r="10956">
      <x:c r="A10956" s="15" t="n">
        <x:v>45139</x:v>
      </x:c>
      <x:c r="B10956" s="13" t="str">
        <x:v>SUZANO SA</x:v>
      </x:c>
      <x:c r="C10956" s="16" t="n">
        <x:v>6486.1535573333</x:v>
      </x:c>
      <x:c r="D10956" s="13" t="str">
        <x:v>Pulp &amp; Paper</x:v>
      </x:c>
      <x:c r="E10956" s="13" t="str">
        <x:v>Pulp &amp; Paper</x:v>
      </x:c>
      <x:c r="F10956" s="13" t="str">
        <x:v>Deep Cyclicals</x:v>
      </x:c>
      <x:c r="G10956" s="13" t="str">
        <x:v>grid_wbaxp5t0.xlsx</x:v>
      </x:c>
    </x:row>
    <x:row r="10957">
      <x:c r="A10957" s="15" t="n">
        <x:v>45139</x:v>
      </x:c>
      <x:c r="B10957" s="13" t="str">
        <x:v>ALPARGATAS SA - PREF</x:v>
      </x:c>
      <x:c r="C10957" s="16" t="n">
        <x:v>256.25</x:v>
      </x:c>
      <x:c r="D10957" s="13" t="str">
        <x:v>Retail</x:v>
      </x:c>
      <x:c r="E10957" s="13" t="str">
        <x:v>Retail</x:v>
      </x:c>
      <x:c r="F10957" s="13" t="str">
        <x:v>Early Cyclicals</x:v>
      </x:c>
      <x:c r="G10957" s="13" t="str">
        <x:v>grid_wbaxp5t0.xlsx</x:v>
      </x:c>
    </x:row>
    <x:row r="10958">
      <x:c r="A10958" s="15" t="n">
        <x:v>45139</x:v>
      </x:c>
      <x:c r="B10958" s="13" t="str">
        <x:v>ATACADAO SA</x:v>
      </x:c>
      <x:c r="C10958" s="16" t="n">
        <x:v>1757.2949546667</x:v>
      </x:c>
      <x:c r="D10958" s="13" t="str">
        <x:v>Retail</x:v>
      </x:c>
      <x:c r="E10958" s="13" t="str">
        <x:v>Retail</x:v>
      </x:c>
      <x:c r="F10958" s="13" t="str">
        <x:v>Early Cyclicals</x:v>
      </x:c>
      <x:c r="G10958" s="13" t="str">
        <x:v>grid_wbaxp5t0.xlsx</x:v>
      </x:c>
    </x:row>
    <x:row r="10959">
      <x:c r="A10959" s="15" t="n">
        <x:v>45139</x:v>
      </x:c>
      <x:c r="B10959" s="13" t="str">
        <x:v>AZZAS 2154 SA</x:v>
      </x:c>
      <x:c r="C10959" s="16" t="n">
        <x:v>513.333312</x:v>
      </x:c>
      <x:c r="D10959" s="13" t="str">
        <x:v>Retail</x:v>
      </x:c>
      <x:c r="E10959" s="13" t="str">
        <x:v>Retail</x:v>
      </x:c>
      <x:c r="F10959" s="13" t="str">
        <x:v>Early Cyclicals</x:v>
      </x:c>
      <x:c r="G10959" s="13" t="str">
        <x:v>grid_wbaxp5t0.xlsx</x:v>
      </x:c>
    </x:row>
    <x:row r="10960">
      <x:c r="A10960" s="15" t="n">
        <x:v>45139</x:v>
      </x:c>
      <x:c r="B10960" s="13" t="str">
        <x:v>CIA BRASILEIRA DE DISTRIBUIC</x:v>
      </x:c>
      <x:c r="C10960" s="16" t="n">
        <x:v>-311.916672</x:v>
      </x:c>
      <x:c r="D10960" s="13" t="str">
        <x:v>Retail</x:v>
      </x:c>
      <x:c r="E10960" s="13" t="str">
        <x:v>Retail</x:v>
      </x:c>
      <x:c r="F10960" s="13" t="str">
        <x:v>Early Cyclicals</x:v>
      </x:c>
      <x:c r="G10960" s="13" t="str">
        <x:v>grid_wbaxp5t0.xlsx</x:v>
      </x:c>
    </x:row>
    <x:row r="10961">
      <x:c r="A10961" s="15" t="n">
        <x:v>45139</x:v>
      </x:c>
      <x:c r="B10961" s="13" t="str">
        <x:v>CVC BRASIL OPERADORA E AGENC</x:v>
      </x:c>
      <x:c r="C10961" s="16" t="n">
        <x:v>-221.5500053333</x:v>
      </x:c>
      <x:c r="D10961" s="13" t="str">
        <x:v>Retail</x:v>
      </x:c>
      <x:c r="E10961" s="13" t="str">
        <x:v>Retail</x:v>
      </x:c>
      <x:c r="F10961" s="13" t="str">
        <x:v>Early Cyclicals</x:v>
      </x:c>
      <x:c r="G10961" s="13" t="str">
        <x:v>grid_wbaxp5t0.xlsx</x:v>
      </x:c>
    </x:row>
    <x:row r="10962">
      <x:c r="A10962" s="15" t="n">
        <x:v>45139</x:v>
      </x:c>
      <x:c r="B10962" s="13" t="str">
        <x:v>GRUPO CASAS BAHIA SA</x:v>
      </x:c>
      <x:c r="C10962" s="16" t="n">
        <x:v>-374.185592</x:v>
      </x:c>
      <x:c r="D10962" s="13" t="str">
        <x:v>Retail</x:v>
      </x:c>
      <x:c r="E10962" s="13" t="str">
        <x:v>Retail</x:v>
      </x:c>
      <x:c r="F10962" s="13" t="str">
        <x:v>Early Cyclicals</x:v>
      </x:c>
      <x:c r="G10962" s="13" t="str">
        <x:v>grid_wbaxp5t0.xlsx</x:v>
      </x:c>
    </x:row>
    <x:row r="10963">
      <x:c r="A10963" s="15" t="n">
        <x:v>45139</x:v>
      </x:c>
      <x:c r="B10963" s="13" t="str">
        <x:v>GRUPO DE MODA SOMA SA</x:v>
      </x:c>
      <x:c r="C10963" s="16" t="n">
        <x:v>562.0003413333</x:v>
      </x:c>
      <x:c r="D10963" s="13" t="str">
        <x:v>Retail</x:v>
      </x:c>
      <x:c r="E10963" s="13" t="str">
        <x:v>Retail</x:v>
      </x:c>
      <x:c r="F10963" s="13" t="str">
        <x:v>Early Cyclicals</x:v>
      </x:c>
      <x:c r="G10963" s="13" t="str">
        <x:v>grid_wbaxp5t0.xlsx</x:v>
      </x:c>
    </x:row>
    <x:row r="10964">
      <x:c r="A10964" s="15" t="n">
        <x:v>45139</x:v>
      </x:c>
      <x:c r="B10964" s="13" t="str">
        <x:v>LOJAS RENNER S.A.</x:v>
      </x:c>
      <x:c r="C10964" s="16" t="n">
        <x:v>1329.9699626667</x:v>
      </x:c>
      <x:c r="D10964" s="13" t="str">
        <x:v>Retail</x:v>
      </x:c>
      <x:c r="E10964" s="13" t="str">
        <x:v>Retail</x:v>
      </x:c>
      <x:c r="F10964" s="13" t="str">
        <x:v>Early Cyclicals</x:v>
      </x:c>
      <x:c r="G10964" s="13" t="str">
        <x:v>grid_wbaxp5t0.xlsx</x:v>
      </x:c>
    </x:row>
    <x:row r="10965">
      <x:c r="A10965" s="15" t="n">
        <x:v>45139</x:v>
      </x:c>
      <x:c r="B10965" s="13" t="str">
        <x:v>MAGAZINE LUIZA SA</x:v>
      </x:c>
      <x:c r="C10965" s="16" t="n">
        <x:v>101.4080106667</x:v>
      </x:c>
      <x:c r="D10965" s="13" t="str">
        <x:v>Retail</x:v>
      </x:c>
      <x:c r="E10965" s="13" t="str">
        <x:v>Retail</x:v>
      </x:c>
      <x:c r="F10965" s="13" t="str">
        <x:v>Early Cyclicals</x:v>
      </x:c>
      <x:c r="G10965" s="13" t="str">
        <x:v>grid_wbaxp5t0.xlsx</x:v>
      </x:c>
    </x:row>
    <x:row r="10966">
      <x:c r="A10966" s="15" t="n">
        <x:v>45139</x:v>
      </x:c>
      <x:c r="B10966" s="13" t="str">
        <x:v>NATURA &amp;CO HOLDING SA</x:v>
      </x:c>
      <x:c r="C10966" s="16" t="n">
        <x:v>1331.603328</x:v>
      </x:c>
      <x:c r="D10966" s="13" t="str">
        <x:v>Retail</x:v>
      </x:c>
      <x:c r="E10966" s="13" t="str">
        <x:v>Retail</x:v>
      </x:c>
      <x:c r="F10966" s="13" t="str">
        <x:v>Early Cyclicals</x:v>
      </x:c>
      <x:c r="G10966" s="13" t="str">
        <x:v>grid_wbaxp5t0.xlsx</x:v>
      </x:c>
    </x:row>
    <x:row r="10967">
      <x:c r="A10967" s="15" t="n">
        <x:v>45139</x:v>
      </x:c>
      <x:c r="B10967" s="13" t="str">
        <x:v>PET CENTER COMERCIO E PARTIC</x:v>
      </x:c>
      <x:c r="C10967" s="16" t="n">
        <x:v>124.6372613333</x:v>
      </x:c>
      <x:c r="D10967" s="13" t="str">
        <x:v>Retail</x:v>
      </x:c>
      <x:c r="E10967" s="13" t="str">
        <x:v>Retail</x:v>
      </x:c>
      <x:c r="F10967" s="13" t="str">
        <x:v>Early Cyclicals</x:v>
      </x:c>
      <x:c r="G10967" s="13" t="str">
        <x:v>grid_wbaxp5t0.xlsx</x:v>
      </x:c>
    </x:row>
    <x:row r="10968">
      <x:c r="A10968" s="15" t="n">
        <x:v>45139</x:v>
      </x:c>
      <x:c r="B10968" s="13" t="str">
        <x:v>RAIA DROGASIL SA</x:v>
      </x:c>
      <x:c r="C10968" s="16" t="n">
        <x:v>1410.8466773333</x:v>
      </x:c>
      <x:c r="D10968" s="13" t="str">
        <x:v>Retail</x:v>
      </x:c>
      <x:c r="E10968" s="13" t="str">
        <x:v>Retail</x:v>
      </x:c>
      <x:c r="F10968" s="13" t="str">
        <x:v>Early Cyclicals</x:v>
      </x:c>
      <x:c r="G10968" s="13" t="str">
        <x:v>grid_wbaxp5t0.xlsx</x:v>
      </x:c>
    </x:row>
    <x:row r="10969">
      <x:c r="A10969" s="15" t="n">
        <x:v>45139</x:v>
      </x:c>
      <x:c r="B10969" s="13" t="str">
        <x:v>SENDAS DISTRIBUIDORA SA</x:v>
      </x:c>
      <x:c r="C10969" s="16" t="n">
        <x:v>1383.3666986667</x:v>
      </x:c>
      <x:c r="D10969" s="13" t="str">
        <x:v>Retail</x:v>
      </x:c>
      <x:c r="E10969" s="13" t="str">
        <x:v>Retail</x:v>
      </x:c>
      <x:c r="F10969" s="13" t="str">
        <x:v>Early Cyclicals</x:v>
      </x:c>
      <x:c r="G10969" s="13" t="str">
        <x:v>grid_wbaxp5t0.xlsx</x:v>
      </x:c>
    </x:row>
    <x:row r="10970">
      <x:c r="A10970" s="15" t="n">
        <x:v>45139</x:v>
      </x:c>
      <x:c r="B10970" s="13" t="str">
        <x:v>CIA SANEAMENTO BASICO DE SP</x:v>
      </x:c>
      <x:c r="C10970" s="16" t="n">
        <x:v>4109.7632426667</x:v>
      </x:c>
      <x:c r="D10970" s="13" t="str">
        <x:v>Sanitation</x:v>
      </x:c>
      <x:c r="E10970" s="13" t="str">
        <x:v>Utilities</x:v>
      </x:c>
      <x:c r="F10970" s="13" t="str">
        <x:v>Defensives</x:v>
      </x:c>
      <x:c r="G10970" s="13" t="str">
        <x:v>grid_wbaxp5t0.xlsx</x:v>
      </x:c>
    </x:row>
    <x:row r="10971">
      <x:c r="A10971" s="15" t="n">
        <x:v>45139</x:v>
      </x:c>
      <x:c r="B10971" s="13" t="str">
        <x:v>LWSA SA</x:v>
      </x:c>
      <x:c r="C10971" s="16" t="n">
        <x:v>128.8362933333</x:v>
      </x:c>
      <x:c r="D10971" s="13" t="str">
        <x:v>TMT</x:v>
      </x:c>
      <x:c r="E10971" s="13" t="str">
        <x:v>TMT</x:v>
      </x:c>
      <x:c r="F10971" s="13" t="str">
        <x:v>Early Cyclicals</x:v>
      </x:c>
      <x:c r="G10971" s="13" t="str">
        <x:v>grid_wbaxp5t0.xlsx</x:v>
      </x:c>
    </x:row>
    <x:row r="10972">
      <x:c r="A10972" s="15" t="n">
        <x:v>45139</x:v>
      </x:c>
      <x:c r="B10972" s="13" t="str">
        <x:v>TIM SA</x:v>
      </x:c>
      <x:c r="C10972" s="16" t="n">
        <x:v>2687.219968</x:v>
      </x:c>
      <x:c r="D10972" s="13" t="str">
        <x:v>TMT</x:v>
      </x:c>
      <x:c r="E10972" s="13" t="str">
        <x:v>TMT</x:v>
      </x:c>
      <x:c r="F10972" s="13" t="str">
        <x:v>Early Cyclicals</x:v>
      </x:c>
      <x:c r="G10972" s="13" t="str">
        <x:v>grid_wbaxp5t0.xlsx</x:v>
      </x:c>
    </x:row>
    <x:row r="10973">
      <x:c r="A10973" s="15" t="n">
        <x:v>45139</x:v>
      </x:c>
      <x:c r="B10973" s="13" t="str">
        <x:v>TOTVS SA</x:v>
      </x:c>
      <x:c r="C10973" s="16" t="n">
        <x:v>763.6056533333</x:v>
      </x:c>
      <x:c r="D10973" s="13" t="str">
        <x:v>TMT</x:v>
      </x:c>
      <x:c r="E10973" s="13" t="str">
        <x:v>TMT</x:v>
      </x:c>
      <x:c r="F10973" s="13" t="str">
        <x:v>Early Cyclicals</x:v>
      </x:c>
      <x:c r="G10973" s="13" t="str">
        <x:v>grid_wbaxp5t0.xlsx</x:v>
      </x:c>
    </x:row>
    <x:row r="10974">
      <x:c r="A10974" s="15" t="n">
        <x:v>45139</x:v>
      </x:c>
      <x:c r="B10974" s="13" t="str">
        <x:v>AZUL SA</x:v>
      </x:c>
      <x:c r="C10974" s="16" t="n">
        <x:v>-214.761664</x:v>
      </x:c>
      <x:c r="D10974" s="13" t="str">
        <x:v>Transportation</x:v>
      </x:c>
      <x:c r="E10974" s="13" t="str">
        <x:v>Transportation</x:v>
      </x:c>
      <x:c r="F10974" s="13" t="str">
        <x:v>Deep Cyclicals</x:v>
      </x:c>
      <x:c r="G10974" s="13" t="str">
        <x:v>grid_wbaxp5t0.xlsx</x:v>
      </x:c>
    </x:row>
    <x:row r="10975">
      <x:c r="A10975" s="15" t="n">
        <x:v>45139</x:v>
      </x:c>
      <x:c r="B10975" s="13" t="str">
        <x:v>GOL LINHAS AEREAS INT SA-PRE</x:v>
      </x:c>
      <x:c r="C10975" s="16" t="n">
        <x:v>722.348992</x:v>
      </x:c>
      <x:c r="D10975" s="13" t="str">
        <x:v>Transportation</x:v>
      </x:c>
      <x:c r="E10975" s="13" t="str">
        <x:v>Transportation</x:v>
      </x:c>
      <x:c r="F10975" s="13" t="str">
        <x:v>Deep Cyclicals</x:v>
      </x:c>
      <x:c r="G10975" s="13" t="str">
        <x:v>grid_wbaxp5t0.xlsx</x:v>
      </x:c>
    </x:row>
    <x:row r="10976">
      <x:c r="A10976" s="15" t="n">
        <x:v>45139</x:v>
      </x:c>
      <x:c r="B10976" s="13" t="str">
        <x:v>LOCALIZA RENT A CAR</x:v>
      </x:c>
      <x:c r="C10976" s="16" t="n">
        <x:v>3422.8732586667</x:v>
      </x:c>
      <x:c r="D10976" s="13" t="str">
        <x:v>Transportation</x:v>
      </x:c>
      <x:c r="E10976" s="13" t="str">
        <x:v>Transportation</x:v>
      </x:c>
      <x:c r="F10976" s="13" t="str">
        <x:v>Deep Cyclicals</x:v>
      </x:c>
      <x:c r="G10976" s="13" t="str">
        <x:v>grid_wbaxp5t0.xlsx</x:v>
      </x:c>
    </x:row>
    <x:row r="10977">
      <x:c r="A10977" s="15" t="n">
        <x:v>45139</x:v>
      </x:c>
      <x:c r="B10977" s="13" t="str">
        <x:v>MOTIVA INFRAESTRUTURA DE MOB</x:v>
      </x:c>
      <x:c r="C10977" s="16" t="n">
        <x:v>1599.6666453333</x:v>
      </x:c>
      <x:c r="D10977" s="13" t="str">
        <x:v>Transportation</x:v>
      </x:c>
      <x:c r="E10977" s="13" t="str">
        <x:v>Transportation</x:v>
      </x:c>
      <x:c r="F10977" s="13" t="str">
        <x:v>Deep Cyclicals</x:v>
      </x:c>
      <x:c r="G10977" s="13" t="str">
        <x:v>grid_wbaxp5t0.xlsx</x:v>
      </x:c>
    </x:row>
    <x:row r="10978">
      <x:c r="A10978" s="15" t="n">
        <x:v>45139</x:v>
      </x:c>
      <x:c r="B10978" s="13" t="str">
        <x:v>RUMO SA</x:v>
      </x:c>
      <x:c r="C10978" s="16" t="n">
        <x:v>1509.6656853333</x:v>
      </x:c>
      <x:c r="D10978" s="13" t="str">
        <x:v>Transportation</x:v>
      </x:c>
      <x:c r="E10978" s="13" t="str">
        <x:v>Transportation</x:v>
      </x:c>
      <x:c r="F10978" s="13" t="str">
        <x:v>Deep Cyclicals</x:v>
      </x:c>
      <x:c r="G10978" s="13" t="str">
        <x:v>grid_wbaxp5t0.xlsx</x:v>
      </x:c>
    </x:row>
    <x:row r="10979">
      <x:c r="A10979" s="15" t="n">
        <x:v>45139</x:v>
      </x:c>
      <x:c r="B10979" s="13" t="str">
        <x:v>AXIA ENERGIA SA</x:v>
      </x:c>
      <x:c r="C10979" s="16" t="n">
        <x:v>7924.6132053333</x:v>
      </x:c>
      <x:c r="D10979" s="13" t="str">
        <x:v>Utilities &amp; Energy</x:v>
      </x:c>
      <x:c r="E10979" s="13" t="str">
        <x:v>Utilities</x:v>
      </x:c>
      <x:c r="F10979" s="13" t="str">
        <x:v>Defensives</x:v>
      </x:c>
      <x:c r="G10979" s="13" t="str">
        <x:v>grid_wbaxp5t0.xlsx</x:v>
      </x:c>
    </x:row>
    <x:row r="10980">
      <x:c r="A10980" s="15" t="n">
        <x:v>45139</x:v>
      </x:c>
      <x:c r="B10980" s="13" t="str">
        <x:v>AXIA ENERGIA-PR B</x:v>
      </x:c>
      <x:c r="C10980" s="16" t="n">
        <x:v>7924.6132053333</x:v>
      </x:c>
      <x:c r="D10980" s="13" t="str">
        <x:v>Utilities &amp; Energy</x:v>
      </x:c>
      <x:c r="E10980" s="13" t="str">
        <x:v>Utilities</x:v>
      </x:c>
      <x:c r="F10980" s="13" t="str">
        <x:v>Defensives</x:v>
      </x:c>
      <x:c r="G10980" s="13" t="str">
        <x:v>grid_wbaxp5t0.xlsx</x:v>
      </x:c>
    </x:row>
    <x:row r="10981">
      <x:c r="A10981" s="15" t="n">
        <x:v>45139</x:v>
      </x:c>
      <x:c r="B10981" s="13" t="str">
        <x:v>CIA ENERGETICA MINAS GER-PRF</x:v>
      </x:c>
      <x:c r="C10981" s="16" t="n">
        <x:v>4220.4066133333</x:v>
      </x:c>
      <x:c r="D10981" s="13" t="str">
        <x:v>Utilities &amp; Energy</x:v>
      </x:c>
      <x:c r="E10981" s="13" t="str">
        <x:v>Utilities</x:v>
      </x:c>
      <x:c r="F10981" s="13" t="str">
        <x:v>Defensives</x:v>
      </x:c>
      <x:c r="G10981" s="13" t="str">
        <x:v>grid_wbaxp5t0.xlsx</x:v>
      </x:c>
    </x:row>
    <x:row r="10982">
      <x:c r="A10982" s="15" t="n">
        <x:v>45139</x:v>
      </x:c>
      <x:c r="B10982" s="13" t="str">
        <x:v>COMPANHIA PARANAENSE -PREF B</x:v>
      </x:c>
      <x:c r="C10982" s="16" t="n">
        <x:v>2126.0699306667</x:v>
      </x:c>
      <x:c r="D10982" s="13" t="str">
        <x:v>Utilities &amp; Energy</x:v>
      </x:c>
      <x:c r="E10982" s="13" t="str">
        <x:v>Utilities</x:v>
      </x:c>
      <x:c r="F10982" s="13" t="str">
        <x:v>Defensives</x:v>
      </x:c>
      <x:c r="G10982" s="13" t="str">
        <x:v>grid_wbaxp5t0.xlsx</x:v>
      </x:c>
    </x:row>
    <x:row r="10983">
      <x:c r="A10983" s="15" t="n">
        <x:v>45139</x:v>
      </x:c>
      <x:c r="B10983" s="13" t="str">
        <x:v>CPFL ENERGIA SA</x:v>
      </x:c>
      <x:c r="C10983" s="16" t="n">
        <x:v>5026.853376</x:v>
      </x:c>
      <x:c r="D10983" s="13" t="str">
        <x:v>Utilities &amp; Energy</x:v>
      </x:c>
      <x:c r="E10983" s="13" t="str">
        <x:v>Utilities</x:v>
      </x:c>
      <x:c r="F10983" s="13" t="str">
        <x:v>Defensives</x:v>
      </x:c>
      <x:c r="G10983" s="13" t="str">
        <x:v>grid_wbaxp5t0.xlsx</x:v>
      </x:c>
    </x:row>
    <x:row r="10984">
      <x:c r="A10984" s="15" t="n">
        <x:v>45139</x:v>
      </x:c>
      <x:c r="B10984" s="13" t="str">
        <x:v>ENERGISA SA-UNITS</x:v>
      </x:c>
      <x:c r="C10984" s="16" t="n">
        <x:v>1717.593344</x:v>
      </x:c>
      <x:c r="D10984" s="13" t="str">
        <x:v>Utilities &amp; Energy</x:v>
      </x:c>
      <x:c r="E10984" s="13" t="str">
        <x:v>Utilities</x:v>
      </x:c>
      <x:c r="F10984" s="13" t="str">
        <x:v>Defensives</x:v>
      </x:c>
      <x:c r="G10984" s="13" t="str">
        <x:v>grid_wbaxp5t0.xlsx</x:v>
      </x:c>
    </x:row>
    <x:row r="10985">
      <x:c r="A10985" s="15" t="n">
        <x:v>45139</x:v>
      </x:c>
      <x:c r="B10985" s="13" t="str">
        <x:v>ENEVA SA</x:v>
      </x:c>
      <x:c r="C10985" s="16" t="n">
        <x:v>1236.2866346667</x:v>
      </x:c>
      <x:c r="D10985" s="13" t="str">
        <x:v>Utilities &amp; Energy</x:v>
      </x:c>
      <x:c r="E10985" s="13" t="str">
        <x:v>Utilities</x:v>
      </x:c>
      <x:c r="F10985" s="13" t="str">
        <x:v>Defensives</x:v>
      </x:c>
      <x:c r="G10985" s="13" t="str">
        <x:v>grid_wbaxp5t0.xlsx</x:v>
      </x:c>
    </x:row>
    <x:row r="10986">
      <x:c r="A10986" s="15" t="n">
        <x:v>45139</x:v>
      </x:c>
      <x:c r="B10986" s="13" t="str">
        <x:v>ENGIE BRASIL ENERGIA SA</x:v>
      </x:c>
      <x:c r="C10986" s="16" t="n">
        <x:v>3497.5233706667</x:v>
      </x:c>
      <x:c r="D10986" s="13" t="str">
        <x:v>Utilities &amp; Energy</x:v>
      </x:c>
      <x:c r="E10986" s="13" t="str">
        <x:v>Utilities</x:v>
      </x:c>
      <x:c r="F10986" s="13" t="str">
        <x:v>Defensives</x:v>
      </x:c>
      <x:c r="G10986" s="13" t="str">
        <x:v>grid_wbaxp5t0.xlsx</x:v>
      </x:c>
    </x:row>
    <x:row r="10987">
      <x:c r="A10987" s="15" t="n">
        <x:v>45139</x:v>
      </x:c>
      <x:c r="B10987" s="13" t="str">
        <x:v>EQUATORIAL SA - ORD</x:v>
      </x:c>
      <x:c r="C10987" s="16" t="n">
        <x:v>2629.45664</x:v>
      </x:c>
      <x:c r="D10987" s="13" t="str">
        <x:v>Utilities &amp; Energy</x:v>
      </x:c>
      <x:c r="E10987" s="13" t="str">
        <x:v>Utilities</x:v>
      </x:c>
      <x:c r="F10987" s="13" t="str">
        <x:v>Defensives</x:v>
      </x:c>
      <x:c r="G10987" s="13" t="str">
        <x:v>grid_wbaxp5t0.xlsx</x:v>
      </x:c>
    </x:row>
    <x:row r="10988">
      <x:c r="A10988" s="15" t="n">
        <x:v>45139</x:v>
      </x:c>
      <x:c r="B10988" s="13" t="str">
        <x:v>TRANSMISSORA ALIANCA DE-UNIT</x:v>
      </x:c>
      <x:c r="C10988" s="16" t="n">
        <x:v>1276.566656</x:v>
      </x:c>
      <x:c r="D10988" s="13" t="str">
        <x:v>Utilities &amp; Energy</x:v>
      </x:c>
      <x:c r="E10988" s="13" t="str">
        <x:v>Utilities</x:v>
      </x:c>
      <x:c r="F10988" s="13" t="str">
        <x:v>Defensives</x:v>
      </x:c>
      <x:c r="G10988" s="13" t="str">
        <x:v>grid_wbaxp5t0.xlsx</x:v>
      </x:c>
    </x:row>
    <x:row r="10989">
      <x:c r="A10989" s="15" t="n">
        <x:v>45170</x:v>
      </x:c>
      <x:c r="B10989" s="13" t="str">
        <x:v>RAIZEN SA - PREFERENCE</x:v>
      </x:c>
      <x:c r="C10989" s="16" t="n">
        <x:v>3517.2533731945</x:v>
      </x:c>
      <x:c r="D10989" s="13" t="str">
        <x:v>Agribusiness</x:v>
      </x:c>
      <x:c r="E10989" s="13" t="str">
        <x:v>Agri, Food &amp; Beverages</x:v>
      </x:c>
      <x:c r="F10989" s="13" t="str">
        <x:v>Defensives</x:v>
      </x:c>
      <x:c r="G10989" s="13" t="str">
        <x:v>grid_wbaxp5t0.xlsx</x:v>
      </x:c>
    </x:row>
    <x:row r="10990">
      <x:c r="A10990" s="15" t="n">
        <x:v>45170</x:v>
      </x:c>
      <x:c r="B10990" s="13" t="str">
        <x:v>SAO MARTINHO SA</x:v>
      </x:c>
      <x:c r="C10990" s="16" t="n">
        <x:v>1370.396607474</x:v>
      </x:c>
      <x:c r="D10990" s="13" t="str">
        <x:v>Agribusiness</x:v>
      </x:c>
      <x:c r="E10990" s="13" t="str">
        <x:v>Agri, Food &amp; Beverages</x:v>
      </x:c>
      <x:c r="F10990" s="13" t="str">
        <x:v>Defensives</x:v>
      </x:c>
      <x:c r="G10990" s="13" t="str">
        <x:v>grid_wbaxp5t0.xlsx</x:v>
      </x:c>
    </x:row>
    <x:row r="10991">
      <x:c r="A10991" s="15" t="n">
        <x:v>45170</x:v>
      </x:c>
      <x:c r="B10991" s="13" t="str">
        <x:v>SLC AGRICOLA SA</x:v>
      </x:c>
      <x:c r="C10991" s="16" t="n">
        <x:v>1170.9039108197</x:v>
      </x:c>
      <x:c r="D10991" s="13" t="str">
        <x:v>Agribusiness</x:v>
      </x:c>
      <x:c r="E10991" s="13" t="str">
        <x:v>Agri, Food &amp; Beverages</x:v>
      </x:c>
      <x:c r="F10991" s="13" t="str">
        <x:v>Defensives</x:v>
      </x:c>
      <x:c r="G10991" s="13" t="str">
        <x:v>grid_wbaxp5t0.xlsx</x:v>
      </x:c>
    </x:row>
    <x:row r="10992">
      <x:c r="A10992" s="15" t="n">
        <x:v>45170</x:v>
      </x:c>
      <x:c r="B10992" s="13" t="str">
        <x:v>BANCO BRADESCO S.A.</x:v>
      </x:c>
      <x:c r="C10992" s="16" t="n">
        <x:v>23186.2898822295</x:v>
      </x:c>
      <x:c r="D10992" s="13" t="str">
        <x:v>Banks</x:v>
      </x:c>
      <x:c r="E10992" s="13" t="str">
        <x:v>Banks</x:v>
      </x:c>
      <x:c r="F10992" s="13" t="str">
        <x:v>Financials</x:v>
      </x:c>
      <x:c r="G10992" s="13" t="str">
        <x:v>grid_wbaxp5t0.xlsx</x:v>
      </x:c>
    </x:row>
    <x:row r="10993">
      <x:c r="A10993" s="15" t="n">
        <x:v>45170</x:v>
      </x:c>
      <x:c r="B10993" s="13" t="str">
        <x:v>BANCO BRADESCO SA-PREF</x:v>
      </x:c>
      <x:c r="C10993" s="16" t="n">
        <x:v>23186.2898822295</x:v>
      </x:c>
      <x:c r="D10993" s="13" t="str">
        <x:v>Banks</x:v>
      </x:c>
      <x:c r="E10993" s="13" t="str">
        <x:v>Banks</x:v>
      </x:c>
      <x:c r="F10993" s="13" t="str">
        <x:v>Financials</x:v>
      </x:c>
      <x:c r="G10993" s="13" t="str">
        <x:v>grid_wbaxp5t0.xlsx</x:v>
      </x:c>
    </x:row>
    <x:row r="10994">
      <x:c r="A10994" s="15" t="n">
        <x:v>45170</x:v>
      </x:c>
      <x:c r="B10994" s="13" t="str">
        <x:v>BANCO BTG PACTUAL SA-UNIT</x:v>
      </x:c>
      <x:c r="C10994" s="16" t="n">
        <x:v>11460.0375144918</x:v>
      </x:c>
      <x:c r="D10994" s="13" t="str">
        <x:v>Banks</x:v>
      </x:c>
      <x:c r="E10994" s="13" t="str">
        <x:v>Banks</x:v>
      </x:c>
      <x:c r="F10994" s="13" t="str">
        <x:v>Financials</x:v>
      </x:c>
      <x:c r="G10994" s="13" t="str">
        <x:v>grid_wbaxp5t0.xlsx</x:v>
      </x:c>
    </x:row>
    <x:row r="10995">
      <x:c r="A10995" s="15" t="n">
        <x:v>45170</x:v>
      </x:c>
      <x:c r="B10995" s="13" t="str">
        <x:v>BANCO DO BRASIL S.A.</x:v>
      </x:c>
      <x:c r="C10995" s="16" t="n">
        <x:v>36375.0293906885</x:v>
      </x:c>
      <x:c r="D10995" s="13" t="str">
        <x:v>Banks</x:v>
      </x:c>
      <x:c r="E10995" s="13" t="str">
        <x:v>Banks</x:v>
      </x:c>
      <x:c r="F10995" s="13" t="str">
        <x:v>Financials</x:v>
      </x:c>
      <x:c r="G10995" s="13" t="str">
        <x:v>grid_wbaxp5t0.xlsx</x:v>
      </x:c>
    </x:row>
    <x:row r="10996">
      <x:c r="A10996" s="15" t="n">
        <x:v>45170</x:v>
      </x:c>
      <x:c r="B10996" s="13" t="str">
        <x:v>BANCO SANTANDER  BRASIL-UNIT</x:v>
      </x:c>
      <x:c r="C10996" s="16" t="n">
        <x:v>13010.7551307541</x:v>
      </x:c>
      <x:c r="D10996" s="13" t="str">
        <x:v>Banks</x:v>
      </x:c>
      <x:c r="E10996" s="13" t="str">
        <x:v>Banks</x:v>
      </x:c>
      <x:c r="F10996" s="13" t="str">
        <x:v>Financials</x:v>
      </x:c>
      <x:c r="G10996" s="13" t="str">
        <x:v>grid_wbaxp5t0.xlsx</x:v>
      </x:c>
    </x:row>
    <x:row r="10997">
      <x:c r="A10997" s="15" t="n">
        <x:v>45170</x:v>
      </x:c>
      <x:c r="B10997" s="13" t="str">
        <x:v>ITAU UNIBANCO HOLDING S-PREF</x:v>
      </x:c>
      <x:c r="C10997" s="16" t="n">
        <x:v>37902.4019388852</x:v>
      </x:c>
      <x:c r="D10997" s="13" t="str">
        <x:v>Banks</x:v>
      </x:c>
      <x:c r="E10997" s="13" t="str">
        <x:v>Banks</x:v>
      </x:c>
      <x:c r="F10997" s="13" t="str">
        <x:v>Financials</x:v>
      </x:c>
      <x:c r="G10997" s="13" t="str">
        <x:v>grid_wbaxp5t0.xlsx</x:v>
      </x:c>
    </x:row>
    <x:row r="10998">
      <x:c r="A10998" s="15" t="n">
        <x:v>45170</x:v>
      </x:c>
      <x:c r="B10998" s="13" t="str">
        <x:v>EMBRAER SA</x:v>
      </x:c>
      <x:c r="C10998" s="16" t="n">
        <x:v>813.6465143607</x:v>
      </x:c>
      <x:c r="D10998" s="13" t="str">
        <x:v>Capital Goods</x:v>
      </x:c>
      <x:c r="E10998" s="13" t="str">
        <x:v>Capital Goods</x:v>
      </x:c>
      <x:c r="F10998" s="13" t="str">
        <x:v>Deep Cyclicals</x:v>
      </x:c>
      <x:c r="G10998" s="13" t="str">
        <x:v>grid_wbaxp5t0.xlsx</x:v>
      </x:c>
    </x:row>
    <x:row r="10999">
      <x:c r="A10999" s="15" t="n">
        <x:v>45170</x:v>
      </x:c>
      <x:c r="B10999" s="13" t="str">
        <x:v>WEG SA</x:v>
      </x:c>
      <x:c r="C10999" s="16" t="n">
        <x:v>5594.8899042623</x:v>
      </x:c>
      <x:c r="D10999" s="13" t="str">
        <x:v>Capital Goods</x:v>
      </x:c>
      <x:c r="E10999" s="13" t="str">
        <x:v>Capital Goods</x:v>
      </x:c>
      <x:c r="F10999" s="13" t="str">
        <x:v>Deep Cyclicals</x:v>
      </x:c>
      <x:c r="G10999" s="13" t="str">
        <x:v>grid_wbaxp5t0.xlsx</x:v>
      </x:c>
    </x:row>
    <x:row r="11000">
      <x:c r="A11000" s="15" t="n">
        <x:v>45170</x:v>
      </x:c>
      <x:c r="B11000" s="13" t="str">
        <x:v>COGNA EDUCACAO</x:v>
      </x:c>
      <x:c r="C11000" s="16" t="n">
        <x:v>307.1981620984</x:v>
      </x:c>
      <x:c r="D11000" s="13" t="str">
        <x:v>Education</x:v>
      </x:c>
      <x:c r="E11000" s="13" t="str">
        <x:v>Education</x:v>
      </x:c>
      <x:c r="F11000" s="13" t="str">
        <x:v>Early Cyclicals</x:v>
      </x:c>
      <x:c r="G11000" s="13" t="str">
        <x:v>grid_wbaxp5t0.xlsx</x:v>
      </x:c>
    </x:row>
    <x:row r="11001">
      <x:c r="A11001" s="15" t="n">
        <x:v>45170</x:v>
      </x:c>
      <x:c r="B11001" s="13" t="str">
        <x:v>YDUQS PARTICIPACOES SA</x:v>
      </x:c>
      <x:c r="C11001" s="16" t="n">
        <x:v>474.0662499672</x:v>
      </x:c>
      <x:c r="D11001" s="13" t="str">
        <x:v>Education</x:v>
      </x:c>
      <x:c r="E11001" s="13" t="str">
        <x:v>Education</x:v>
      </x:c>
      <x:c r="F11001" s="13" t="str">
        <x:v>Early Cyclicals</x:v>
      </x:c>
      <x:c r="G11001" s="13" t="str">
        <x:v>grid_wbaxp5t0.xlsx</x:v>
      </x:c>
    </x:row>
    <x:row r="11002">
      <x:c r="A11002" s="15" t="n">
        <x:v>45170</x:v>
      </x:c>
      <x:c r="B11002" s="13" t="str">
        <x:v>B3 SA-BRASIL BOLSA BALCAO</x:v>
      </x:c>
      <x:c r="C11002" s="16" t="n">
        <x:v>5123.4896031475</x:v>
      </x:c>
      <x:c r="D11002" s="13" t="str">
        <x:v>Financials Non-Banks</x:v>
      </x:c>
      <x:c r="E11002" s="13" t="str">
        <x:v>Financials Non-Banks</x:v>
      </x:c>
      <x:c r="F11002" s="13" t="str">
        <x:v>Financials</x:v>
      </x:c>
      <x:c r="G11002" s="13" t="str">
        <x:v>grid_wbaxp5t0.xlsx</x:v>
      </x:c>
    </x:row>
    <x:row r="11003">
      <x:c r="A11003" s="15" t="n">
        <x:v>45170</x:v>
      </x:c>
      <x:c r="B11003" s="13" t="str">
        <x:v>BB SEGURIDADE PARTICIPACOES</x:v>
      </x:c>
      <x:c r="C11003" s="16" t="n">
        <x:v>7684.659048918</x:v>
      </x:c>
      <x:c r="D11003" s="13" t="str">
        <x:v>Financials Non-Banks</x:v>
      </x:c>
      <x:c r="E11003" s="13" t="str">
        <x:v>Financials Non-Banks</x:v>
      </x:c>
      <x:c r="F11003" s="13" t="str">
        <x:v>Financials</x:v>
      </x:c>
      <x:c r="G11003" s="13" t="str">
        <x:v>grid_wbaxp5t0.xlsx</x:v>
      </x:c>
    </x:row>
    <x:row r="11004">
      <x:c r="A11004" s="15" t="n">
        <x:v>45170</x:v>
      </x:c>
      <x:c r="B11004" s="13" t="str">
        <x:v>CIELO SA - INSTITUICAO DE PA</x:v>
      </x:c>
      <x:c r="C11004" s="16" t="n">
        <x:v>2008.6541303607</x:v>
      </x:c>
      <x:c r="D11004" s="13" t="str">
        <x:v>Financials Non-Banks</x:v>
      </x:c>
      <x:c r="E11004" s="13" t="str">
        <x:v>Financials Non-Banks</x:v>
      </x:c>
      <x:c r="F11004" s="13" t="str">
        <x:v>Financials</x:v>
      </x:c>
      <x:c r="G11004" s="13" t="str">
        <x:v>grid_wbaxp5t0.xlsx</x:v>
      </x:c>
    </x:row>
    <x:row r="11005">
      <x:c r="A11005" s="15" t="n">
        <x:v>45170</x:v>
      </x:c>
      <x:c r="B11005" s="13" t="str">
        <x:v>IRB BRASIL RESSEGUROS SA</x:v>
      </x:c>
      <x:c r="C11005" s="16" t="n">
        <x:v>294.4395121311</x:v>
      </x:c>
      <x:c r="D11005" s="13" t="str">
        <x:v>Financials Non-Banks</x:v>
      </x:c>
      <x:c r="E11005" s="13" t="str">
        <x:v>Financials Non-Banks</x:v>
      </x:c>
      <x:c r="F11005" s="13" t="str">
        <x:v>Financials</x:v>
      </x:c>
      <x:c r="G11005" s="13" t="str">
        <x:v>grid_wbaxp5t0.xlsx</x:v>
      </x:c>
    </x:row>
    <x:row r="11006">
      <x:c r="A11006" s="15" t="n">
        <x:v>45170</x:v>
      </x:c>
      <x:c r="B11006" s="13" t="str">
        <x:v>ITAUSA SA</x:v>
      </x:c>
      <x:c r="C11006" s="16" t="n">
        <x:v>15109.8322003934</x:v>
      </x:c>
      <x:c r="D11006" s="13" t="str">
        <x:v>Financials Non-Banks</x:v>
      </x:c>
      <x:c r="E11006" s="13" t="str">
        <x:v>Financials Non-Banks</x:v>
      </x:c>
      <x:c r="F11006" s="13" t="str">
        <x:v>Financials</x:v>
      </x:c>
      <x:c r="G11006" s="13" t="str">
        <x:v>grid_wbaxp5t0.xlsx</x:v>
      </x:c>
    </x:row>
    <x:row r="11007">
      <x:c r="A11007" s="15" t="n">
        <x:v>45170</x:v>
      </x:c>
      <x:c r="B11007" s="13" t="str">
        <x:v>AMBEV SA</x:v>
      </x:c>
      <x:c r="C11007" s="16" t="n">
        <x:v>15693.8047286557</x:v>
      </x:c>
      <x:c r="D11007" s="13" t="str">
        <x:v>Food &amp; Beverages</x:v>
      </x:c>
      <x:c r="E11007" s="13" t="str">
        <x:v>Agri, Food &amp; Beverages</x:v>
      </x:c>
      <x:c r="F11007" s="13" t="str">
        <x:v>Defensives</x:v>
      </x:c>
      <x:c r="G11007" s="13" t="str">
        <x:v>grid_wbaxp5t0.xlsx</x:v>
      </x:c>
    </x:row>
    <x:row r="11008">
      <x:c r="A11008" s="15" t="n">
        <x:v>45170</x:v>
      </x:c>
      <x:c r="B11008" s="13" t="str">
        <x:v>BRF SA</x:v>
      </x:c>
      <x:c r="C11008" s="16" t="n">
        <x:v>-338.292631082</x:v>
      </x:c>
      <x:c r="D11008" s="13" t="str">
        <x:v>Food &amp; Beverages</x:v>
      </x:c>
      <x:c r="E11008" s="13" t="str">
        <x:v>Agri, Food &amp; Beverages</x:v>
      </x:c>
      <x:c r="F11008" s="13" t="str">
        <x:v>Defensives</x:v>
      </x:c>
      <x:c r="G11008" s="13" t="str">
        <x:v>grid_wbaxp5t0.xlsx</x:v>
      </x:c>
    </x:row>
    <x:row r="11009">
      <x:c r="A11009" s="15" t="n">
        <x:v>45170</x:v>
      </x:c>
      <x:c r="B11009" s="13" t="str">
        <x:v>MBRF GLOBAL FOODS COMPANY SA</x:v>
      </x:c>
      <x:c r="C11009" s="16" t="n">
        <x:v>-234.5789794098</x:v>
      </x:c>
      <x:c r="D11009" s="13" t="str">
        <x:v>Food &amp; Beverages</x:v>
      </x:c>
      <x:c r="E11009" s="13" t="str">
        <x:v>Agri, Food &amp; Beverages</x:v>
      </x:c>
      <x:c r="F11009" s="13" t="str">
        <x:v>Defensives</x:v>
      </x:c>
      <x:c r="G11009" s="13" t="str">
        <x:v>grid_wbaxp5t0.xlsx</x:v>
      </x:c>
    </x:row>
    <x:row r="11010">
      <x:c r="A11010" s="15" t="n">
        <x:v>45170</x:v>
      </x:c>
      <x:c r="B11010" s="13" t="str">
        <x:v>MINERVA SA</x:v>
      </x:c>
      <x:c r="C11010" s="16" t="n">
        <x:v>1001.4435446557</x:v>
      </x:c>
      <x:c r="D11010" s="13" t="str">
        <x:v>Food &amp; Beverages</x:v>
      </x:c>
      <x:c r="E11010" s="13" t="str">
        <x:v>Agri, Food &amp; Beverages</x:v>
      </x:c>
      <x:c r="F11010" s="13" t="str">
        <x:v>Defensives</x:v>
      </x:c>
      <x:c r="G11010" s="13" t="str">
        <x:v>grid_wbaxp5t0.xlsx</x:v>
      </x:c>
    </x:row>
    <x:row r="11011">
      <x:c r="A11011" s="15" t="n">
        <x:v>45170</x:v>
      </x:c>
      <x:c r="B11011" s="13" t="str">
        <x:v>FLEURY SA</x:v>
      </x:c>
      <x:c r="C11011" s="16" t="n">
        <x:v>576.7885245902</x:v>
      </x:c>
      <x:c r="D11011" s="13" t="str">
        <x:v>Health Care</x:v>
      </x:c>
      <x:c r="E11011" s="13" t="str">
        <x:v>Health Care</x:v>
      </x:c>
      <x:c r="F11011" s="13" t="str">
        <x:v>Defensives</x:v>
      </x:c>
      <x:c r="G11011" s="13" t="str">
        <x:v>grid_wbaxp5t0.xlsx</x:v>
      </x:c>
    </x:row>
    <x:row r="11012">
      <x:c r="A11012" s="15" t="n">
        <x:v>45170</x:v>
      </x:c>
      <x:c r="B11012" s="13" t="str">
        <x:v>HAPVIDA PARTICIPACOES E INVE</x:v>
      </x:c>
      <x:c r="C11012" s="16" t="n">
        <x:v>1124.1713353443</x:v>
      </x:c>
      <x:c r="D11012" s="13" t="str">
        <x:v>Health Care</x:v>
      </x:c>
      <x:c r="E11012" s="13" t="str">
        <x:v>Health Care</x:v>
      </x:c>
      <x:c r="F11012" s="13" t="str">
        <x:v>Defensives</x:v>
      </x:c>
      <x:c r="G11012" s="13" t="str">
        <x:v>grid_wbaxp5t0.xlsx</x:v>
      </x:c>
    </x:row>
    <x:row r="11013">
      <x:c r="A11013" s="15" t="n">
        <x:v>45170</x:v>
      </x:c>
      <x:c r="B11013" s="13" t="str">
        <x:v>HYPERA SA</x:v>
      </x:c>
      <x:c r="C11013" s="16" t="n">
        <x:v>2136.0116773771</x:v>
      </x:c>
      <x:c r="D11013" s="13" t="str">
        <x:v>Health Care</x:v>
      </x:c>
      <x:c r="E11013" s="13" t="str">
        <x:v>Health Care</x:v>
      </x:c>
      <x:c r="F11013" s="13" t="str">
        <x:v>Defensives</x:v>
      </x:c>
      <x:c r="G11013" s="13" t="str">
        <x:v>grid_wbaxp5t0.xlsx</x:v>
      </x:c>
    </x:row>
    <x:row r="11014">
      <x:c r="A11014" s="15" t="n">
        <x:v>45170</x:v>
      </x:c>
      <x:c r="B11014" s="13" t="str">
        <x:v>REDE D'OR SAO LUIZ SA</x:v>
      </x:c>
      <x:c r="C11014" s="16" t="n">
        <x:v>2814.1991721967</x:v>
      </x:c>
      <x:c r="D11014" s="13" t="str">
        <x:v>Health Care</x:v>
      </x:c>
      <x:c r="E11014" s="13" t="str">
        <x:v>Health Care</x:v>
      </x:c>
      <x:c r="F11014" s="13" t="str">
        <x:v>Defensives</x:v>
      </x:c>
      <x:c r="G11014" s="13" t="str">
        <x:v>grid_wbaxp5t0.xlsx</x:v>
      </x:c>
    </x:row>
    <x:row r="11015">
      <x:c r="A11015" s="15" t="n">
        <x:v>45170</x:v>
      </x:c>
      <x:c r="B11015" s="13" t="str">
        <x:v>CYRELA BRAZIL REALTY SA EMP</x:v>
      </x:c>
      <x:c r="C11015" s="16" t="n">
        <x:v>1035.5016980984</x:v>
      </x:c>
      <x:c r="D11015" s="13" t="str">
        <x:v>Homebuilders</x:v>
      </x:c>
      <x:c r="E11015" s="13" t="str">
        <x:v>Real Estate</x:v>
      </x:c>
      <x:c r="F11015" s="13" t="str">
        <x:v>Early Cyclicals</x:v>
      </x:c>
      <x:c r="G11015" s="13" t="str">
        <x:v>grid_wbaxp5t0.xlsx</x:v>
      </x:c>
    </x:row>
    <x:row r="11016">
      <x:c r="A11016" s="15" t="n">
        <x:v>45170</x:v>
      </x:c>
      <x:c r="B11016" s="13" t="str">
        <x:v>EZ TEC EMPREENDIMENTOS E PAR</x:v>
      </x:c>
      <x:c r="C11016" s="16" t="n">
        <x:v>418.7170452459</x:v>
      </x:c>
      <x:c r="D11016" s="13" t="str">
        <x:v>Homebuilders</x:v>
      </x:c>
      <x:c r="E11016" s="13" t="str">
        <x:v>Real Estate</x:v>
      </x:c>
      <x:c r="F11016" s="13" t="str">
        <x:v>Early Cyclicals</x:v>
      </x:c>
      <x:c r="G11016" s="13" t="str">
        <x:v>grid_wbaxp5t0.xlsx</x:v>
      </x:c>
    </x:row>
    <x:row r="11017">
      <x:c r="A11017" s="15" t="n">
        <x:v>45170</x:v>
      </x:c>
      <x:c r="B11017" s="13" t="str">
        <x:v>MRV ENGENHARIA</x:v>
      </x:c>
      <x:c r="C11017" s="16" t="n">
        <x:v>617.6786460328</x:v>
      </x:c>
      <x:c r="D11017" s="13" t="str">
        <x:v>Homebuilders</x:v>
      </x:c>
      <x:c r="E11017" s="13" t="str">
        <x:v>Real Estate</x:v>
      </x:c>
      <x:c r="F11017" s="13" t="str">
        <x:v>Early Cyclicals</x:v>
      </x:c>
      <x:c r="G11017" s="13" t="str">
        <x:v>grid_wbaxp5t0.xlsx</x:v>
      </x:c>
    </x:row>
    <x:row r="11018">
      <x:c r="A11018" s="15" t="n">
        <x:v>45170</x:v>
      </x:c>
      <x:c r="B11018" s="13" t="str">
        <x:v>ALLOS SA</x:v>
      </x:c>
      <x:c r="C11018" s="16" t="n">
        <x:v>1076.6606557377</x:v>
      </x:c>
      <x:c r="D11018" s="13" t="str">
        <x:v>Income Properties</x:v>
      </x:c>
      <x:c r="E11018" s="13" t="str">
        <x:v>Real Estate</x:v>
      </x:c>
      <x:c r="F11018" s="13" t="str">
        <x:v>Early Cyclicals</x:v>
      </x:c>
      <x:c r="G11018" s="13" t="str">
        <x:v>grid_wbaxp5t0.xlsx</x:v>
      </x:c>
    </x:row>
    <x:row r="11019">
      <x:c r="A11019" s="15" t="n">
        <x:v>45170</x:v>
      </x:c>
      <x:c r="B11019" s="13" t="str">
        <x:v>IGUATEMI SA - UNITS</x:v>
      </x:c>
      <x:c r="C11019" s="16" t="n">
        <x:v>419.7885245902</x:v>
      </x:c>
      <x:c r="D11019" s="13" t="str">
        <x:v>Income Properties</x:v>
      </x:c>
      <x:c r="E11019" s="13" t="str">
        <x:v>Real Estate</x:v>
      </x:c>
      <x:c r="F11019" s="13" t="str">
        <x:v>Early Cyclicals</x:v>
      </x:c>
      <x:c r="G11019" s="13" t="str">
        <x:v>grid_wbaxp5t0.xlsx</x:v>
      </x:c>
    </x:row>
    <x:row r="11020">
      <x:c r="A11020" s="15" t="n">
        <x:v>45170</x:v>
      </x:c>
      <x:c r="B11020" s="13" t="str">
        <x:v>MULTIPLAN EMPREENDIMENTOS</x:v>
      </x:c>
      <x:c r="C11020" s="16" t="n">
        <x:v>992.5317922623</x:v>
      </x:c>
      <x:c r="D11020" s="13" t="str">
        <x:v>Income Properties</x:v>
      </x:c>
      <x:c r="E11020" s="13" t="str">
        <x:v>Real Estate</x:v>
      </x:c>
      <x:c r="F11020" s="13" t="str">
        <x:v>Early Cyclicals</x:v>
      </x:c>
      <x:c r="G11020" s="13" t="str">
        <x:v>grid_wbaxp5t0.xlsx</x:v>
      </x:c>
    </x:row>
    <x:row r="11021">
      <x:c r="A11021" s="15" t="n">
        <x:v>45170</x:v>
      </x:c>
      <x:c r="B11021" s="13" t="str">
        <x:v>BRADESPAR SA -PREF</x:v>
      </x:c>
      <x:c r="C11021" s="16" t="n">
        <x:v>1917.0163934426</x:v>
      </x:c>
      <x:c r="D11021" s="13" t="str">
        <x:v>Metals &amp; Mining</x:v>
      </x:c>
      <x:c r="E11021" s="13" t="str">
        <x:v>Metals &amp; Mining</x:v>
      </x:c>
      <x:c r="F11021" s="13" t="str">
        <x:v>Deep Cyclicals</x:v>
      </x:c>
      <x:c r="G11021" s="13" t="str">
        <x:v>grid_wbaxp5t0.xlsx</x:v>
      </x:c>
    </x:row>
    <x:row r="11022">
      <x:c r="A11022" s="15" t="n">
        <x:v>45170</x:v>
      </x:c>
      <x:c r="B11022" s="13" t="str">
        <x:v>CIA SIDERURGICA NACIONAL SA</x:v>
      </x:c>
      <x:c r="C11022" s="16" t="n">
        <x:v>1056.7161626229</x:v>
      </x:c>
      <x:c r="D11022" s="13" t="str">
        <x:v>Metals &amp; Mining</x:v>
      </x:c>
      <x:c r="E11022" s="13" t="str">
        <x:v>Metals &amp; Mining</x:v>
      </x:c>
      <x:c r="F11022" s="13" t="str">
        <x:v>Deep Cyclicals</x:v>
      </x:c>
      <x:c r="G11022" s="13" t="str">
        <x:v>grid_wbaxp5t0.xlsx</x:v>
      </x:c>
    </x:row>
    <x:row r="11023">
      <x:c r="A11023" s="15" t="n">
        <x:v>45170</x:v>
      </x:c>
      <x:c r="B11023" s="13" t="str">
        <x:v>CSN MINERACAO SA</x:v>
      </x:c>
      <x:c r="C11023" s="16" t="n">
        <x:v>2209.2027887213</x:v>
      </x:c>
      <x:c r="D11023" s="13" t="str">
        <x:v>Metals &amp; Mining</x:v>
      </x:c>
      <x:c r="E11023" s="13" t="str">
        <x:v>Metals &amp; Mining</x:v>
      </x:c>
      <x:c r="F11023" s="13" t="str">
        <x:v>Deep Cyclicals</x:v>
      </x:c>
      <x:c r="G11023" s="13" t="str">
        <x:v>grid_wbaxp5t0.xlsx</x:v>
      </x:c>
    </x:row>
    <x:row r="11024">
      <x:c r="A11024" s="15" t="n">
        <x:v>45170</x:v>
      </x:c>
      <x:c r="B11024" s="13" t="str">
        <x:v>GERDAU SA-PREF</x:v>
      </x:c>
      <x:c r="C11024" s="16" t="n">
        <x:v>6920.2018203279</x:v>
      </x:c>
      <x:c r="D11024" s="13" t="str">
        <x:v>Metals &amp; Mining</x:v>
      </x:c>
      <x:c r="E11024" s="13" t="str">
        <x:v>Metals &amp; Mining</x:v>
      </x:c>
      <x:c r="F11024" s="13" t="str">
        <x:v>Deep Cyclicals</x:v>
      </x:c>
      <x:c r="G11024" s="13" t="str">
        <x:v>grid_wbaxp5t0.xlsx</x:v>
      </x:c>
    </x:row>
    <x:row r="11025">
      <x:c r="A11025" s="15" t="n">
        <x:v>45170</x:v>
      </x:c>
      <x:c r="B11025" s="13" t="str">
        <x:v>METALURGICA GERDAU SA-PREF</x:v>
      </x:c>
      <x:c r="C11025" s="16" t="n">
        <x:v>2435.4180805246</x:v>
      </x:c>
      <x:c r="D11025" s="13" t="str">
        <x:v>Metals &amp; Mining</x:v>
      </x:c>
      <x:c r="E11025" s="13" t="str">
        <x:v>Metals &amp; Mining</x:v>
      </x:c>
      <x:c r="F11025" s="13" t="str">
        <x:v>Deep Cyclicals</x:v>
      </x:c>
      <x:c r="G11025" s="13" t="str">
        <x:v>grid_wbaxp5t0.xlsx</x:v>
      </x:c>
    </x:row>
    <x:row r="11026">
      <x:c r="A11026" s="15" t="n">
        <x:v>45170</x:v>
      </x:c>
      <x:c r="B11026" s="13" t="str">
        <x:v>USINAS SIDER MINAS GER-PF A</x:v>
      </x:c>
      <x:c r="C11026" s="16" t="n">
        <x:v>1279.8452967869</x:v>
      </x:c>
      <x:c r="D11026" s="13" t="str">
        <x:v>Metals &amp; Mining</x:v>
      </x:c>
      <x:c r="E11026" s="13" t="str">
        <x:v>Metals &amp; Mining</x:v>
      </x:c>
      <x:c r="F11026" s="13" t="str">
        <x:v>Deep Cyclicals</x:v>
      </x:c>
      <x:c r="G11026" s="13" t="str">
        <x:v>grid_wbaxp5t0.xlsx</x:v>
      </x:c>
    </x:row>
    <x:row r="11027">
      <x:c r="A11027" s="15" t="n">
        <x:v>45170</x:v>
      </x:c>
      <x:c r="B11027" s="13" t="str">
        <x:v>VALE SA</x:v>
      </x:c>
      <x:c r="C11027" s="16" t="n">
        <x:v>44286.9962114098</x:v>
      </x:c>
      <x:c r="D11027" s="13" t="str">
        <x:v>Metals &amp; Mining</x:v>
      </x:c>
      <x:c r="E11027" s="13" t="str">
        <x:v>Metals &amp; Mining</x:v>
      </x:c>
      <x:c r="F11027" s="13" t="str">
        <x:v>Deep Cyclicals</x:v>
      </x:c>
      <x:c r="G11027" s="13" t="str">
        <x:v>grid_wbaxp5t0.xlsx</x:v>
      </x:c>
    </x:row>
    <x:row r="11028">
      <x:c r="A11028" s="15" t="n">
        <x:v>45170</x:v>
      </x:c>
      <x:c r="B11028" s="13" t="str">
        <x:v>BRASKEM SA-PREF A</x:v>
      </x:c>
      <x:c r="C11028" s="16" t="n">
        <x:v>-1080.6967034754</x:v>
      </x:c>
      <x:c r="D11028" s="13" t="str">
        <x:v>Oil, Gas &amp; Petrochemicals</x:v>
      </x:c>
      <x:c r="E11028" s="13" t="str">
        <x:v>Oil, Gas &amp; Petrochemicals</x:v>
      </x:c>
      <x:c r="F11028" s="13" t="str">
        <x:v>Deep Cyclicals</x:v>
      </x:c>
      <x:c r="G11028" s="13" t="str">
        <x:v>grid_wbaxp5t0.xlsx</x:v>
      </x:c>
    </x:row>
    <x:row r="11029">
      <x:c r="A11029" s="15" t="n">
        <x:v>45170</x:v>
      </x:c>
      <x:c r="B11029" s="13" t="str">
        <x:v>BRAVA ENERGIA</x:v>
      </x:c>
      <x:c r="C11029" s="16" t="n">
        <x:v>1526.9313940984</x:v>
      </x:c>
      <x:c r="D11029" s="13" t="str">
        <x:v>Oil, Gas &amp; Petrochemicals</x:v>
      </x:c>
      <x:c r="E11029" s="13" t="str">
        <x:v>Oil, Gas &amp; Petrochemicals</x:v>
      </x:c>
      <x:c r="F11029" s="13" t="str">
        <x:v>Deep Cyclicals</x:v>
      </x:c>
      <x:c r="G11029" s="13" t="str">
        <x:v>grid_wbaxp5t0.xlsx</x:v>
      </x:c>
    </x:row>
    <x:row r="11030">
      <x:c r="A11030" s="15" t="n">
        <x:v>45170</x:v>
      </x:c>
      <x:c r="B11030" s="13" t="str">
        <x:v>COSAN SA</x:v>
      </x:c>
      <x:c r="C11030" s="16" t="n">
        <x:v>2231.0320582295</x:v>
      </x:c>
      <x:c r="D11030" s="13" t="str">
        <x:v>Oil, Gas &amp; Petrochemicals</x:v>
      </x:c>
      <x:c r="E11030" s="13" t="str">
        <x:v>Oil, Gas &amp; Petrochemicals</x:v>
      </x:c>
      <x:c r="F11030" s="13" t="str">
        <x:v>Deep Cyclicals</x:v>
      </x:c>
      <x:c r="G11030" s="13" t="str">
        <x:v>grid_wbaxp5t0.xlsx</x:v>
      </x:c>
    </x:row>
    <x:row r="11031">
      <x:c r="A11031" s="15" t="n">
        <x:v>45170</x:v>
      </x:c>
      <x:c r="B11031" s="13" t="str">
        <x:v>PETROBRAS - PETROLEO BRAS</x:v>
      </x:c>
      <x:c r="C11031" s="16" t="n">
        <x:v>104374.823415607</x:v>
      </x:c>
      <x:c r="D11031" s="13" t="str">
        <x:v>Oil, Gas &amp; Petrochemicals</x:v>
      </x:c>
      <x:c r="E11031" s="13" t="str">
        <x:v>Oil, Gas &amp; Petrochemicals</x:v>
      </x:c>
      <x:c r="F11031" s="13" t="str">
        <x:v>Deep Cyclicals</x:v>
      </x:c>
      <x:c r="G11031" s="13" t="str">
        <x:v>grid_wbaxp5t0.xlsx</x:v>
      </x:c>
    </x:row>
    <x:row r="11032">
      <x:c r="A11032" s="15" t="n">
        <x:v>45170</x:v>
      </x:c>
      <x:c r="B11032" s="13" t="str">
        <x:v>PETRORECONCAVO SA</x:v>
      </x:c>
      <x:c r="C11032" s="16" t="n">
        <x:v>1546.284864</x:v>
      </x:c>
      <x:c r="D11032" s="13" t="str">
        <x:v>Oil, Gas &amp; Petrochemicals</x:v>
      </x:c>
      <x:c r="E11032" s="13" t="str">
        <x:v>Oil, Gas &amp; Petrochemicals</x:v>
      </x:c>
      <x:c r="F11032" s="13" t="str">
        <x:v>Deep Cyclicals</x:v>
      </x:c>
      <x:c r="G11032" s="13" t="str">
        <x:v>grid_wbaxp5t0.xlsx</x:v>
      </x:c>
    </x:row>
    <x:row r="11033">
      <x:c r="A11033" s="15" t="n">
        <x:v>45170</x:v>
      </x:c>
      <x:c r="B11033" s="13" t="str">
        <x:v>PRIO SA</x:v>
      </x:c>
      <x:c r="C11033" s="16" t="n">
        <x:v>7616.5383721967</x:v>
      </x:c>
      <x:c r="D11033" s="13" t="str">
        <x:v>Oil, Gas &amp; Petrochemicals</x:v>
      </x:c>
      <x:c r="E11033" s="13" t="str">
        <x:v>Oil, Gas &amp; Petrochemicals</x:v>
      </x:c>
      <x:c r="F11033" s="13" t="str">
        <x:v>Deep Cyclicals</x:v>
      </x:c>
      <x:c r="G11033" s="13" t="str">
        <x:v>grid_wbaxp5t0.xlsx</x:v>
      </x:c>
    </x:row>
    <x:row r="11034">
      <x:c r="A11034" s="15" t="n">
        <x:v>45170</x:v>
      </x:c>
      <x:c r="B11034" s="13" t="str">
        <x:v>ULTRAPAR PARTICIPACOES SA</x:v>
      </x:c>
      <x:c r="C11034" s="16" t="n">
        <x:v>1302.5216010492</x:v>
      </x:c>
      <x:c r="D11034" s="13" t="str">
        <x:v>Oil, Gas &amp; Petrochemicals</x:v>
      </x:c>
      <x:c r="E11034" s="13" t="str">
        <x:v>Oil, Gas &amp; Petrochemicals</x:v>
      </x:c>
      <x:c r="F11034" s="13" t="str">
        <x:v>Deep Cyclicals</x:v>
      </x:c>
      <x:c r="G11034" s="13" t="str">
        <x:v>grid_wbaxp5t0.xlsx</x:v>
      </x:c>
    </x:row>
    <x:row r="11035">
      <x:c r="A11035" s="15" t="n">
        <x:v>45170</x:v>
      </x:c>
      <x:c r="B11035" s="13" t="str">
        <x:v>VIBRA ENERGIA SA</x:v>
      </x:c>
      <x:c r="C11035" s="16" t="n">
        <x:v>2013.2697117377</x:v>
      </x:c>
      <x:c r="D11035" s="13" t="str">
        <x:v>Oil, Gas &amp; Petrochemicals</x:v>
      </x:c>
      <x:c r="E11035" s="13" t="str">
        <x:v>Oil, Gas &amp; Petrochemicals</x:v>
      </x:c>
      <x:c r="F11035" s="13" t="str">
        <x:v>Deep Cyclicals</x:v>
      </x:c>
      <x:c r="G11035" s="13" t="str">
        <x:v>grid_wbaxp5t0.xlsx</x:v>
      </x:c>
    </x:row>
    <x:row r="11036">
      <x:c r="A11036" s="15" t="n">
        <x:v>45170</x:v>
      </x:c>
      <x:c r="B11036" s="13" t="str">
        <x:v>DEXCO SA</x:v>
      </x:c>
      <x:c r="C11036" s="16" t="n">
        <x:v>460.6032312131</x:v>
      </x:c>
      <x:c r="D11036" s="13" t="str">
        <x:v>Pulp &amp; Paper</x:v>
      </x:c>
      <x:c r="E11036" s="13" t="str">
        <x:v>Pulp &amp; Paper</x:v>
      </x:c>
      <x:c r="F11036" s="13" t="str">
        <x:v>Deep Cyclicals</x:v>
      </x:c>
      <x:c r="G11036" s="13" t="str">
        <x:v>grid_wbaxp5t0.xlsx</x:v>
      </x:c>
    </x:row>
    <x:row r="11037">
      <x:c r="A11037" s="15" t="n">
        <x:v>45170</x:v>
      </x:c>
      <x:c r="B11037" s="13" t="str">
        <x:v>KLABIN SA - UNIT</x:v>
      </x:c>
      <x:c r="C11037" s="16" t="n">
        <x:v>2989.8053623607</x:v>
      </x:c>
      <x:c r="D11037" s="13" t="str">
        <x:v>Pulp &amp; Paper</x:v>
      </x:c>
      <x:c r="E11037" s="13" t="str">
        <x:v>Pulp &amp; Paper</x:v>
      </x:c>
      <x:c r="F11037" s="13" t="str">
        <x:v>Deep Cyclicals</x:v>
      </x:c>
      <x:c r="G11037" s="13" t="str">
        <x:v>grid_wbaxp5t0.xlsx</x:v>
      </x:c>
    </x:row>
    <x:row r="11038">
      <x:c r="A11038" s="15" t="n">
        <x:v>45170</x:v>
      </x:c>
      <x:c r="B11038" s="13" t="str">
        <x:v>SUZANO SA</x:v>
      </x:c>
      <x:c r="C11038" s="16" t="n">
        <x:v>6066.4767748197</x:v>
      </x:c>
      <x:c r="D11038" s="13" t="str">
        <x:v>Pulp &amp; Paper</x:v>
      </x:c>
      <x:c r="E11038" s="13" t="str">
        <x:v>Pulp &amp; Paper</x:v>
      </x:c>
      <x:c r="F11038" s="13" t="str">
        <x:v>Deep Cyclicals</x:v>
      </x:c>
      <x:c r="G11038" s="13" t="str">
        <x:v>grid_wbaxp5t0.xlsx</x:v>
      </x:c>
    </x:row>
    <x:row r="11039">
      <x:c r="A11039" s="15" t="n">
        <x:v>45170</x:v>
      </x:c>
      <x:c r="B11039" s="13" t="str">
        <x:v>ALPARGATAS SA - PREF</x:v>
      </x:c>
      <x:c r="C11039" s="16" t="n">
        <x:v>281.1495901639</x:v>
      </x:c>
      <x:c r="D11039" s="13" t="str">
        <x:v>Retail</x:v>
      </x:c>
      <x:c r="E11039" s="13" t="str">
        <x:v>Retail</x:v>
      </x:c>
      <x:c r="F11039" s="13" t="str">
        <x:v>Early Cyclicals</x:v>
      </x:c>
      <x:c r="G11039" s="13" t="str">
        <x:v>grid_wbaxp5t0.xlsx</x:v>
      </x:c>
    </x:row>
    <x:row r="11040">
      <x:c r="A11040" s="15" t="n">
        <x:v>45170</x:v>
      </x:c>
      <x:c r="B11040" s="13" t="str">
        <x:v>ATACADAO SA</x:v>
      </x:c>
      <x:c r="C11040" s="16" t="n">
        <x:v>1524.2415108197</x:v>
      </x:c>
      <x:c r="D11040" s="13" t="str">
        <x:v>Retail</x:v>
      </x:c>
      <x:c r="E11040" s="13" t="str">
        <x:v>Retail</x:v>
      </x:c>
      <x:c r="F11040" s="13" t="str">
        <x:v>Early Cyclicals</x:v>
      </x:c>
      <x:c r="G11040" s="13" t="str">
        <x:v>grid_wbaxp5t0.xlsx</x:v>
      </x:c>
    </x:row>
    <x:row r="11041">
      <x:c r="A11041" s="15" t="n">
        <x:v>45170</x:v>
      </x:c>
      <x:c r="B11041" s="13" t="str">
        <x:v>AZZAS 2154 SA</x:v>
      </x:c>
      <x:c r="C11041" s="16" t="n">
        <x:v>500.7879118689</x:v>
      </x:c>
      <x:c r="D11041" s="13" t="str">
        <x:v>Retail</x:v>
      </x:c>
      <x:c r="E11041" s="13" t="str">
        <x:v>Retail</x:v>
      </x:c>
      <x:c r="F11041" s="13" t="str">
        <x:v>Early Cyclicals</x:v>
      </x:c>
      <x:c r="G11041" s="13" t="str">
        <x:v>grid_wbaxp5t0.xlsx</x:v>
      </x:c>
    </x:row>
    <x:row r="11042">
      <x:c r="A11042" s="15" t="n">
        <x:v>45170</x:v>
      </x:c>
      <x:c r="B11042" s="13" t="str">
        <x:v>CIA BRASILEIRA DE DISTRIBUIC</x:v>
      </x:c>
      <x:c r="C11042" s="16" t="n">
        <x:v>-500.3883215738</x:v>
      </x:c>
      <x:c r="D11042" s="13" t="str">
        <x:v>Retail</x:v>
      </x:c>
      <x:c r="E11042" s="13" t="str">
        <x:v>Retail</x:v>
      </x:c>
      <x:c r="F11042" s="13" t="str">
        <x:v>Early Cyclicals</x:v>
      </x:c>
      <x:c r="G11042" s="13" t="str">
        <x:v>grid_wbaxp5t0.xlsx</x:v>
      </x:c>
    </x:row>
    <x:row r="11043">
      <x:c r="A11043" s="15" t="n">
        <x:v>45170</x:v>
      </x:c>
      <x:c r="B11043" s="13" t="str">
        <x:v>CVC BRASIL OPERADORA E AGENC</x:v>
      </x:c>
      <x:c r="C11043" s="16" t="n">
        <x:v>-205.3622991475</x:v>
      </x:c>
      <x:c r="D11043" s="13" t="str">
        <x:v>Retail</x:v>
      </x:c>
      <x:c r="E11043" s="13" t="str">
        <x:v>Retail</x:v>
      </x:c>
      <x:c r="F11043" s="13" t="str">
        <x:v>Early Cyclicals</x:v>
      </x:c>
      <x:c r="G11043" s="13" t="str">
        <x:v>grid_wbaxp5t0.xlsx</x:v>
      </x:c>
    </x:row>
    <x:row r="11044">
      <x:c r="A11044" s="15" t="n">
        <x:v>45170</x:v>
      </x:c>
      <x:c r="B11044" s="13" t="str">
        <x:v>GRUPO CASAS BAHIA SA</x:v>
      </x:c>
      <x:c r="C11044" s="16" t="n">
        <x:v>-418.5854365902</x:v>
      </x:c>
      <x:c r="D11044" s="13" t="str">
        <x:v>Retail</x:v>
      </x:c>
      <x:c r="E11044" s="13" t="str">
        <x:v>Retail</x:v>
      </x:c>
      <x:c r="F11044" s="13" t="str">
        <x:v>Early Cyclicals</x:v>
      </x:c>
      <x:c r="G11044" s="13" t="str">
        <x:v>grid_wbaxp5t0.xlsx</x:v>
      </x:c>
    </x:row>
    <x:row r="11045">
      <x:c r="A11045" s="15" t="n">
        <x:v>45170</x:v>
      </x:c>
      <x:c r="B11045" s="13" t="str">
        <x:v>GRUPO DE MODA SOMA SA</x:v>
      </x:c>
      <x:c r="C11045" s="16" t="n">
        <x:v>508.834116459</x:v>
      </x:c>
      <x:c r="D11045" s="13" t="str">
        <x:v>Retail</x:v>
      </x:c>
      <x:c r="E11045" s="13" t="str">
        <x:v>Retail</x:v>
      </x:c>
      <x:c r="F11045" s="13" t="str">
        <x:v>Early Cyclicals</x:v>
      </x:c>
      <x:c r="G11045" s="13" t="str">
        <x:v>grid_wbaxp5t0.xlsx</x:v>
      </x:c>
    </x:row>
    <x:row r="11046">
      <x:c r="A11046" s="15" t="n">
        <x:v>45170</x:v>
      </x:c>
      <x:c r="B11046" s="13" t="str">
        <x:v>LOJAS RENNER S.A.</x:v>
      </x:c>
      <x:c r="C11046" s="16" t="n">
        <x:v>1238.9797340328</x:v>
      </x:c>
      <x:c r="D11046" s="13" t="str">
        <x:v>Retail</x:v>
      </x:c>
      <x:c r="E11046" s="13" t="str">
        <x:v>Retail</x:v>
      </x:c>
      <x:c r="F11046" s="13" t="str">
        <x:v>Early Cyclicals</x:v>
      </x:c>
      <x:c r="G11046" s="13" t="str">
        <x:v>grid_wbaxp5t0.xlsx</x:v>
      </x:c>
    </x:row>
    <x:row r="11047">
      <x:c r="A11047" s="15" t="n">
        <x:v>45170</x:v>
      </x:c>
      <x:c r="B11047" s="13" t="str">
        <x:v>MAGAZINE LUIZA SA</x:v>
      </x:c>
      <x:c r="C11047" s="16" t="n">
        <x:v>-13.453899541</x:v>
      </x:c>
      <x:c r="D11047" s="13" t="str">
        <x:v>Retail</x:v>
      </x:c>
      <x:c r="E11047" s="13" t="str">
        <x:v>Retail</x:v>
      </x:c>
      <x:c r="F11047" s="13" t="str">
        <x:v>Early Cyclicals</x:v>
      </x:c>
      <x:c r="G11047" s="13" t="str">
        <x:v>grid_wbaxp5t0.xlsx</x:v>
      </x:c>
    </x:row>
    <x:row r="11048">
      <x:c r="A11048" s="15" t="n">
        <x:v>45170</x:v>
      </x:c>
      <x:c r="B11048" s="13" t="str">
        <x:v>NATURA &amp;CO HOLDING SA</x:v>
      </x:c>
      <x:c r="C11048" s="16" t="n">
        <x:v>1660.4802874754</x:v>
      </x:c>
      <x:c r="D11048" s="13" t="str">
        <x:v>Retail</x:v>
      </x:c>
      <x:c r="E11048" s="13" t="str">
        <x:v>Retail</x:v>
      </x:c>
      <x:c r="F11048" s="13" t="str">
        <x:v>Early Cyclicals</x:v>
      </x:c>
      <x:c r="G11048" s="13" t="str">
        <x:v>grid_wbaxp5t0.xlsx</x:v>
      </x:c>
    </x:row>
    <x:row r="11049">
      <x:c r="A11049" s="15" t="n">
        <x:v>45170</x:v>
      </x:c>
      <x:c r="B11049" s="13" t="str">
        <x:v>PET CENTER COMERCIO E PARTIC</x:v>
      </x:c>
      <x:c r="C11049" s="16" t="n">
        <x:v>103.7423713115</x:v>
      </x:c>
      <x:c r="D11049" s="13" t="str">
        <x:v>Retail</x:v>
      </x:c>
      <x:c r="E11049" s="13" t="str">
        <x:v>Retail</x:v>
      </x:c>
      <x:c r="F11049" s="13" t="str">
        <x:v>Early Cyclicals</x:v>
      </x:c>
      <x:c r="G11049" s="13" t="str">
        <x:v>grid_wbaxp5t0.xlsx</x:v>
      </x:c>
    </x:row>
    <x:row r="11050">
      <x:c r="A11050" s="15" t="n">
        <x:v>45170</x:v>
      </x:c>
      <x:c r="B11050" s="13" t="str">
        <x:v>RAIA DROGASIL SA</x:v>
      </x:c>
      <x:c r="C11050" s="16" t="n">
        <x:v>1428.1728031475</x:v>
      </x:c>
      <x:c r="D11050" s="13" t="str">
        <x:v>Retail</x:v>
      </x:c>
      <x:c r="E11050" s="13" t="str">
        <x:v>Retail</x:v>
      </x:c>
      <x:c r="F11050" s="13" t="str">
        <x:v>Early Cyclicals</x:v>
      </x:c>
      <x:c r="G11050" s="13" t="str">
        <x:v>grid_wbaxp5t0.xlsx</x:v>
      </x:c>
    </x:row>
    <x:row r="11051">
      <x:c r="A11051" s="15" t="n">
        <x:v>45170</x:v>
      </x:c>
      <x:c r="B11051" s="13" t="str">
        <x:v>SENDAS DISTRIBUIDORA SA</x:v>
      </x:c>
      <x:c r="C11051" s="16" t="n">
        <x:v>1355.3108453771</x:v>
      </x:c>
      <x:c r="D11051" s="13" t="str">
        <x:v>Retail</x:v>
      </x:c>
      <x:c r="E11051" s="13" t="str">
        <x:v>Retail</x:v>
      </x:c>
      <x:c r="F11051" s="13" t="str">
        <x:v>Early Cyclicals</x:v>
      </x:c>
      <x:c r="G11051" s="13" t="str">
        <x:v>grid_wbaxp5t0.xlsx</x:v>
      </x:c>
    </x:row>
    <x:row r="11052">
      <x:c r="A11052" s="15" t="n">
        <x:v>45170</x:v>
      </x:c>
      <x:c r="B11052" s="13" t="str">
        <x:v>CIA SANEAMENTO BASICO DE SP</x:v>
      </x:c>
      <x:c r="C11052" s="16" t="n">
        <x:v>4117.7234318688</x:v>
      </x:c>
      <x:c r="D11052" s="13" t="str">
        <x:v>Sanitation</x:v>
      </x:c>
      <x:c r="E11052" s="13" t="str">
        <x:v>Utilities</x:v>
      </x:c>
      <x:c r="F11052" s="13" t="str">
        <x:v>Defensives</x:v>
      </x:c>
      <x:c r="G11052" s="13" t="str">
        <x:v>grid_wbaxp5t0.xlsx</x:v>
      </x:c>
    </x:row>
    <x:row r="11053">
      <x:c r="A11053" s="15" t="n">
        <x:v>45170</x:v>
      </x:c>
      <x:c r="B11053" s="13" t="str">
        <x:v>LWSA SA</x:v>
      </x:c>
      <x:c r="C11053" s="16" t="n">
        <x:v>132.0583467541</x:v>
      </x:c>
      <x:c r="D11053" s="13" t="str">
        <x:v>TMT</x:v>
      </x:c>
      <x:c r="E11053" s="13" t="str">
        <x:v>TMT</x:v>
      </x:c>
      <x:c r="F11053" s="13" t="str">
        <x:v>Early Cyclicals</x:v>
      </x:c>
      <x:c r="G11053" s="13" t="str">
        <x:v>grid_wbaxp5t0.xlsx</x:v>
      </x:c>
    </x:row>
    <x:row r="11054">
      <x:c r="A11054" s="15" t="n">
        <x:v>45170</x:v>
      </x:c>
      <x:c r="B11054" s="13" t="str">
        <x:v>TIM SA</x:v>
      </x:c>
      <x:c r="C11054" s="16" t="n">
        <x:v>2860.774068459</x:v>
      </x:c>
      <x:c r="D11054" s="13" t="str">
        <x:v>TMT</x:v>
      </x:c>
      <x:c r="E11054" s="13" t="str">
        <x:v>TMT</x:v>
      </x:c>
      <x:c r="F11054" s="13" t="str">
        <x:v>Early Cyclicals</x:v>
      </x:c>
      <x:c r="G11054" s="13" t="str">
        <x:v>grid_wbaxp5t0.xlsx</x:v>
      </x:c>
    </x:row>
    <x:row r="11055">
      <x:c r="A11055" s="15" t="n">
        <x:v>45170</x:v>
      </x:c>
      <x:c r="B11055" s="13" t="str">
        <x:v>TOTVS SA</x:v>
      </x:c>
      <x:c r="C11055" s="16" t="n">
        <x:v>751.3803845246</x:v>
      </x:c>
      <x:c r="D11055" s="13" t="str">
        <x:v>TMT</x:v>
      </x:c>
      <x:c r="E11055" s="13" t="str">
        <x:v>TMT</x:v>
      </x:c>
      <x:c r="F11055" s="13" t="str">
        <x:v>Early Cyclicals</x:v>
      </x:c>
      <x:c r="G11055" s="13" t="str">
        <x:v>grid_wbaxp5t0.xlsx</x:v>
      </x:c>
    </x:row>
    <x:row r="11056">
      <x:c r="A11056" s="15" t="n">
        <x:v>45170</x:v>
      </x:c>
      <x:c r="B11056" s="13" t="str">
        <x:v>AZUL SA</x:v>
      </x:c>
      <x:c r="C11056" s="16" t="n">
        <x:v>80.0461104262</x:v>
      </x:c>
      <x:c r="D11056" s="13" t="str">
        <x:v>Transportation</x:v>
      </x:c>
      <x:c r="E11056" s="13" t="str">
        <x:v>Transportation</x:v>
      </x:c>
      <x:c r="F11056" s="13" t="str">
        <x:v>Deep Cyclicals</x:v>
      </x:c>
      <x:c r="G11056" s="13" t="str">
        <x:v>grid_wbaxp5t0.xlsx</x:v>
      </x:c>
    </x:row>
    <x:row r="11057">
      <x:c r="A11057" s="15" t="n">
        <x:v>45170</x:v>
      </x:c>
      <x:c r="B11057" s="13" t="str">
        <x:v>GOL LINHAS AEREAS INT SA-PRE</x:v>
      </x:c>
      <x:c r="C11057" s="16" t="n">
        <x:v>777.6609295738</x:v>
      </x:c>
      <x:c r="D11057" s="13" t="str">
        <x:v>Transportation</x:v>
      </x:c>
      <x:c r="E11057" s="13" t="str">
        <x:v>Transportation</x:v>
      </x:c>
      <x:c r="F11057" s="13" t="str">
        <x:v>Deep Cyclicals</x:v>
      </x:c>
      <x:c r="G11057" s="13" t="str">
        <x:v>grid_wbaxp5t0.xlsx</x:v>
      </x:c>
    </x:row>
    <x:row r="11058">
      <x:c r="A11058" s="15" t="n">
        <x:v>45170</x:v>
      </x:c>
      <x:c r="B11058" s="13" t="str">
        <x:v>LOCALIZA RENT A CAR</x:v>
      </x:c>
      <x:c r="C11058" s="16" t="n">
        <x:v>3404.8910142951</x:v>
      </x:c>
      <x:c r="D11058" s="13" t="str">
        <x:v>Transportation</x:v>
      </x:c>
      <x:c r="E11058" s="13" t="str">
        <x:v>Transportation</x:v>
      </x:c>
      <x:c r="F11058" s="13" t="str">
        <x:v>Deep Cyclicals</x:v>
      </x:c>
      <x:c r="G11058" s="13" t="str">
        <x:v>grid_wbaxp5t0.xlsx</x:v>
      </x:c>
    </x:row>
    <x:row r="11059">
      <x:c r="A11059" s="15" t="n">
        <x:v>45170</x:v>
      </x:c>
      <x:c r="B11059" s="13" t="str">
        <x:v>MOTIVA INFRAESTRUTURA DE MOB</x:v>
      </x:c>
      <x:c r="C11059" s="16" t="n">
        <x:v>1590.8076191475</x:v>
      </x:c>
      <x:c r="D11059" s="13" t="str">
        <x:v>Transportation</x:v>
      </x:c>
      <x:c r="E11059" s="13" t="str">
        <x:v>Transportation</x:v>
      </x:c>
      <x:c r="F11059" s="13" t="str">
        <x:v>Deep Cyclicals</x:v>
      </x:c>
      <x:c r="G11059" s="13" t="str">
        <x:v>grid_wbaxp5t0.xlsx</x:v>
      </x:c>
    </x:row>
    <x:row r="11060">
      <x:c r="A11060" s="15" t="n">
        <x:v>45170</x:v>
      </x:c>
      <x:c r="B11060" s="13" t="str">
        <x:v>RUMO SA</x:v>
      </x:c>
      <x:c r="C11060" s="16" t="n">
        <x:v>1626.7374788197</x:v>
      </x:c>
      <x:c r="D11060" s="13" t="str">
        <x:v>Transportation</x:v>
      </x:c>
      <x:c r="E11060" s="13" t="str">
        <x:v>Transportation</x:v>
      </x:c>
      <x:c r="F11060" s="13" t="str">
        <x:v>Deep Cyclicals</x:v>
      </x:c>
      <x:c r="G11060" s="13" t="str">
        <x:v>grid_wbaxp5t0.xlsx</x:v>
      </x:c>
    </x:row>
    <x:row r="11061">
      <x:c r="A11061" s="15" t="n">
        <x:v>45170</x:v>
      </x:c>
      <x:c r="B11061" s="13" t="str">
        <x:v>VAMOS LOCACAO DE CAMINHOES M</x:v>
      </x:c>
      <x:c r="C11061" s="16" t="n">
        <x:v>1048.9111643279</x:v>
      </x:c>
      <x:c r="D11061" s="13" t="str">
        <x:v>Transportation</x:v>
      </x:c>
      <x:c r="E11061" s="13" t="str">
        <x:v>Transportation</x:v>
      </x:c>
      <x:c r="F11061" s="13" t="str">
        <x:v>Deep Cyclicals</x:v>
      </x:c>
      <x:c r="G11061" s="13" t="str">
        <x:v>grid_wbaxp5t0.xlsx</x:v>
      </x:c>
    </x:row>
    <x:row r="11062">
      <x:c r="A11062" s="15" t="n">
        <x:v>45170</x:v>
      </x:c>
      <x:c r="B11062" s="13" t="str">
        <x:v>AXIA ENERGIA SA</x:v>
      </x:c>
      <x:c r="C11062" s="16" t="n">
        <x:v>9656.0425631475</x:v>
      </x:c>
      <x:c r="D11062" s="13" t="str">
        <x:v>Utilities &amp; Energy</x:v>
      </x:c>
      <x:c r="E11062" s="13" t="str">
        <x:v>Utilities</x:v>
      </x:c>
      <x:c r="F11062" s="13" t="str">
        <x:v>Defensives</x:v>
      </x:c>
      <x:c r="G11062" s="13" t="str">
        <x:v>grid_wbaxp5t0.xlsx</x:v>
      </x:c>
    </x:row>
    <x:row r="11063">
      <x:c r="A11063" s="15" t="n">
        <x:v>45170</x:v>
      </x:c>
      <x:c r="B11063" s="13" t="str">
        <x:v>AXIA ENERGIA-PR B</x:v>
      </x:c>
      <x:c r="C11063" s="16" t="n">
        <x:v>9656.0425631475</x:v>
      </x:c>
      <x:c r="D11063" s="13" t="str">
        <x:v>Utilities &amp; Energy</x:v>
      </x:c>
      <x:c r="E11063" s="13" t="str">
        <x:v>Utilities</x:v>
      </x:c>
      <x:c r="F11063" s="13" t="str">
        <x:v>Defensives</x:v>
      </x:c>
      <x:c r="G11063" s="13" t="str">
        <x:v>grid_wbaxp5t0.xlsx</x:v>
      </x:c>
    </x:row>
    <x:row r="11064">
      <x:c r="A11064" s="15" t="n">
        <x:v>45170</x:v>
      </x:c>
      <x:c r="B11064" s="13" t="str">
        <x:v>CIA ENERGETICA MINAS GER-PRF</x:v>
      </x:c>
      <x:c r="C11064" s="16" t="n">
        <x:v>4088.0376886557</x:v>
      </x:c>
      <x:c r="D11064" s="13" t="str">
        <x:v>Utilities &amp; Energy</x:v>
      </x:c>
      <x:c r="E11064" s="13" t="str">
        <x:v>Utilities</x:v>
      </x:c>
      <x:c r="F11064" s="13" t="str">
        <x:v>Defensives</x:v>
      </x:c>
      <x:c r="G11064" s="13" t="str">
        <x:v>grid_wbaxp5t0.xlsx</x:v>
      </x:c>
    </x:row>
    <x:row r="11065">
      <x:c r="A11065" s="15" t="n">
        <x:v>45170</x:v>
      </x:c>
      <x:c r="B11065" s="13" t="str">
        <x:v>COMPANHIA PARANAENSE -PREF B</x:v>
      </x:c>
      <x:c r="C11065" s="16" t="n">
        <x:v>2001.2976272787</x:v>
      </x:c>
      <x:c r="D11065" s="13" t="str">
        <x:v>Utilities &amp; Energy</x:v>
      </x:c>
      <x:c r="E11065" s="13" t="str">
        <x:v>Utilities</x:v>
      </x:c>
      <x:c r="F11065" s="13" t="str">
        <x:v>Defensives</x:v>
      </x:c>
      <x:c r="G11065" s="13" t="str">
        <x:v>grid_wbaxp5t0.xlsx</x:v>
      </x:c>
    </x:row>
    <x:row r="11066">
      <x:c r="A11066" s="15" t="n">
        <x:v>45170</x:v>
      </x:c>
      <x:c r="B11066" s="13" t="str">
        <x:v>CPFL ENERGIA SA</x:v>
      </x:c>
      <x:c r="C11066" s="16" t="n">
        <x:v>4737.3459179016</x:v>
      </x:c>
      <x:c r="D11066" s="13" t="str">
        <x:v>Utilities &amp; Energy</x:v>
      </x:c>
      <x:c r="E11066" s="13" t="str">
        <x:v>Utilities</x:v>
      </x:c>
      <x:c r="F11066" s="13" t="str">
        <x:v>Defensives</x:v>
      </x:c>
      <x:c r="G11066" s="13" t="str">
        <x:v>grid_wbaxp5t0.xlsx</x:v>
      </x:c>
    </x:row>
    <x:row r="11067">
      <x:c r="A11067" s="15" t="n">
        <x:v>45170</x:v>
      </x:c>
      <x:c r="B11067" s="13" t="str">
        <x:v>ENERGISA SA-UNITS</x:v>
      </x:c>
      <x:c r="C11067" s="16" t="n">
        <x:v>1774.318306623</x:v>
      </x:c>
      <x:c r="D11067" s="13" t="str">
        <x:v>Utilities &amp; Energy</x:v>
      </x:c>
      <x:c r="E11067" s="13" t="str">
        <x:v>Utilities</x:v>
      </x:c>
      <x:c r="F11067" s="13" t="str">
        <x:v>Defensives</x:v>
      </x:c>
      <x:c r="G11067" s="13" t="str">
        <x:v>grid_wbaxp5t0.xlsx</x:v>
      </x:c>
    </x:row>
    <x:row r="11068">
      <x:c r="A11068" s="15" t="n">
        <x:v>45170</x:v>
      </x:c>
      <x:c r="B11068" s="13" t="str">
        <x:v>ENEVA SA</x:v>
      </x:c>
      <x:c r="C11068" s="16" t="n">
        <x:v>1177.3912414426</x:v>
      </x:c>
      <x:c r="D11068" s="13" t="str">
        <x:v>Utilities &amp; Energy</x:v>
      </x:c>
      <x:c r="E11068" s="13" t="str">
        <x:v>Utilities</x:v>
      </x:c>
      <x:c r="F11068" s="13" t="str">
        <x:v>Defensives</x:v>
      </x:c>
      <x:c r="G11068" s="13" t="str">
        <x:v>grid_wbaxp5t0.xlsx</x:v>
      </x:c>
    </x:row>
    <x:row r="11069">
      <x:c r="A11069" s="15" t="n">
        <x:v>45170</x:v>
      </x:c>
      <x:c r="B11069" s="13" t="str">
        <x:v>ENGIE BRASIL ENERGIA SA</x:v>
      </x:c>
      <x:c r="C11069" s="16" t="n">
        <x:v>3545.4754979672</x:v>
      </x:c>
      <x:c r="D11069" s="13" t="str">
        <x:v>Utilities &amp; Energy</x:v>
      </x:c>
      <x:c r="E11069" s="13" t="str">
        <x:v>Utilities</x:v>
      </x:c>
      <x:c r="F11069" s="13" t="str">
        <x:v>Defensives</x:v>
      </x:c>
      <x:c r="G11069" s="13" t="str">
        <x:v>grid_wbaxp5t0.xlsx</x:v>
      </x:c>
    </x:row>
    <x:row r="11070">
      <x:c r="A11070" s="15" t="n">
        <x:v>45170</x:v>
      </x:c>
      <x:c r="B11070" s="13" t="str">
        <x:v>EQUATORIAL SA - ORD</x:v>
      </x:c>
      <x:c r="C11070" s="16" t="n">
        <x:v>2730.2609133115</x:v>
      </x:c>
      <x:c r="D11070" s="13" t="str">
        <x:v>Utilities &amp; Energy</x:v>
      </x:c>
      <x:c r="E11070" s="13" t="str">
        <x:v>Utilities</x:v>
      </x:c>
      <x:c r="F11070" s="13" t="str">
        <x:v>Defensives</x:v>
      </x:c>
      <x:c r="G11070" s="13" t="str">
        <x:v>grid_wbaxp5t0.xlsx</x:v>
      </x:c>
    </x:row>
    <x:row r="11071">
      <x:c r="A11071" s="15" t="n">
        <x:v>45170</x:v>
      </x:c>
      <x:c r="B11071" s="13" t="str">
        <x:v>TRANSMISSORA ALIANCA DE-UNIT</x:v>
      </x:c>
      <x:c r="C11071" s="16" t="n">
        <x:v>1197.3197041312</x:v>
      </x:c>
      <x:c r="D11071" s="13" t="str">
        <x:v>Utilities &amp; Energy</x:v>
      </x:c>
      <x:c r="E11071" s="13" t="str">
        <x:v>Utilities</x:v>
      </x:c>
      <x:c r="F11071" s="13" t="str">
        <x:v>Defensives</x:v>
      </x:c>
      <x:c r="G11071" s="13" t="str">
        <x:v>grid_wbaxp5t0.xlsx</x:v>
      </x:c>
    </x:row>
    <x:row r="11072">
      <x:c r="A11072" s="15" t="n">
        <x:v>45200</x:v>
      </x:c>
      <x:c r="B11072" s="13" t="str">
        <x:v>RAIZEN SA - PREFERENCE</x:v>
      </x:c>
      <x:c r="C11072" s="16" t="n">
        <x:v>3658.3778689753</x:v>
      </x:c>
      <x:c r="D11072" s="13" t="str">
        <x:v>Agribusiness</x:v>
      </x:c>
      <x:c r="E11072" s="13" t="str">
        <x:v>Agri, Food &amp; Beverages</x:v>
      </x:c>
      <x:c r="F11072" s="13" t="str">
        <x:v>Defensives</x:v>
      </x:c>
      <x:c r="G11072" s="13" t="str">
        <x:v>grid_wbaxp5t0.xlsx</x:v>
      </x:c>
    </x:row>
    <x:row r="11073">
      <x:c r="A11073" s="15" t="n">
        <x:v>45200</x:v>
      </x:c>
      <x:c r="B11073" s="13" t="str">
        <x:v>SAO MARTINHO SA</x:v>
      </x:c>
      <x:c r="C11073" s="16" t="n">
        <x:v>1367.8295615123</x:v>
      </x:c>
      <x:c r="D11073" s="13" t="str">
        <x:v>Agribusiness</x:v>
      </x:c>
      <x:c r="E11073" s="13" t="str">
        <x:v>Agri, Food &amp; Beverages</x:v>
      </x:c>
      <x:c r="F11073" s="13" t="str">
        <x:v>Defensives</x:v>
      </x:c>
      <x:c r="G11073" s="13" t="str">
        <x:v>grid_wbaxp5t0.xlsx</x:v>
      </x:c>
    </x:row>
    <x:row r="11074">
      <x:c r="A11074" s="15" t="n">
        <x:v>45200</x:v>
      </x:c>
      <x:c r="B11074" s="13" t="str">
        <x:v>SLC AGRICOLA SA</x:v>
      </x:c>
      <x:c r="C11074" s="16" t="n">
        <x:v>1171.108288</x:v>
      </x:c>
      <x:c r="D11074" s="13" t="str">
        <x:v>Agribusiness</x:v>
      </x:c>
      <x:c r="E11074" s="13" t="str">
        <x:v>Agri, Food &amp; Beverages</x:v>
      </x:c>
      <x:c r="F11074" s="13" t="str">
        <x:v>Defensives</x:v>
      </x:c>
      <x:c r="G11074" s="13" t="str">
        <x:v>grid_wbaxp5t0.xlsx</x:v>
      </x:c>
    </x:row>
    <x:row r="11075">
      <x:c r="A11075" s="15" t="n">
        <x:v>45200</x:v>
      </x:c>
      <x:c r="B11075" s="13" t="str">
        <x:v>BANCO BRADESCO S.A.</x:v>
      </x:c>
      <x:c r="C11075" s="16" t="n">
        <x:v>23429.0838186667</x:v>
      </x:c>
      <x:c r="D11075" s="13" t="str">
        <x:v>Banks</x:v>
      </x:c>
      <x:c r="E11075" s="13" t="str">
        <x:v>Banks</x:v>
      </x:c>
      <x:c r="F11075" s="13" t="str">
        <x:v>Financials</x:v>
      </x:c>
      <x:c r="G11075" s="13" t="str">
        <x:v>grid_wbaxp5t0.xlsx</x:v>
      </x:c>
    </x:row>
    <x:row r="11076">
      <x:c r="A11076" s="15" t="n">
        <x:v>45200</x:v>
      </x:c>
      <x:c r="B11076" s="13" t="str">
        <x:v>BANCO BRADESCO SA-PREF</x:v>
      </x:c>
      <x:c r="C11076" s="16" t="n">
        <x:v>23429.0838186667</x:v>
      </x:c>
      <x:c r="D11076" s="13" t="str">
        <x:v>Banks</x:v>
      </x:c>
      <x:c r="E11076" s="13" t="str">
        <x:v>Banks</x:v>
      </x:c>
      <x:c r="F11076" s="13" t="str">
        <x:v>Financials</x:v>
      </x:c>
      <x:c r="G11076" s="13" t="str">
        <x:v>grid_wbaxp5t0.xlsx</x:v>
      </x:c>
    </x:row>
    <x:row r="11077">
      <x:c r="A11077" s="15" t="n">
        <x:v>45200</x:v>
      </x:c>
      <x:c r="B11077" s="13" t="str">
        <x:v>BANCO BTG PACTUAL SA-UNIT</x:v>
      </x:c>
      <x:c r="C11077" s="16" t="n">
        <x:v>11618.183168</x:v>
      </x:c>
      <x:c r="D11077" s="13" t="str">
        <x:v>Banks</x:v>
      </x:c>
      <x:c r="E11077" s="13" t="str">
        <x:v>Banks</x:v>
      </x:c>
      <x:c r="F11077" s="13" t="str">
        <x:v>Financials</x:v>
      </x:c>
      <x:c r="G11077" s="13" t="str">
        <x:v>grid_wbaxp5t0.xlsx</x:v>
      </x:c>
    </x:row>
    <x:row r="11078">
      <x:c r="A11078" s="15" t="n">
        <x:v>45200</x:v>
      </x:c>
      <x:c r="B11078" s="13" t="str">
        <x:v>BANCO DO BRASIL S.A.</x:v>
      </x:c>
      <x:c r="C11078" s="16" t="n">
        <x:v>36789.6828586667</x:v>
      </x:c>
      <x:c r="D11078" s="13" t="str">
        <x:v>Banks</x:v>
      </x:c>
      <x:c r="E11078" s="13" t="str">
        <x:v>Banks</x:v>
      </x:c>
      <x:c r="F11078" s="13" t="str">
        <x:v>Financials</x:v>
      </x:c>
      <x:c r="G11078" s="13" t="str">
        <x:v>grid_wbaxp5t0.xlsx</x:v>
      </x:c>
    </x:row>
    <x:row r="11079">
      <x:c r="A11079" s="15" t="n">
        <x:v>45200</x:v>
      </x:c>
      <x:c r="B11079" s="13" t="str">
        <x:v>BANCO SANTANDER  BRASIL-UNIT</x:v>
      </x:c>
      <x:c r="C11079" s="16" t="n">
        <x:v>13441.4170453333</x:v>
      </x:c>
      <x:c r="D11079" s="13" t="str">
        <x:v>Banks</x:v>
      </x:c>
      <x:c r="E11079" s="13" t="str">
        <x:v>Banks</x:v>
      </x:c>
      <x:c r="F11079" s="13" t="str">
        <x:v>Financials</x:v>
      </x:c>
      <x:c r="G11079" s="13" t="str">
        <x:v>grid_wbaxp5t0.xlsx</x:v>
      </x:c>
    </x:row>
    <x:row r="11080">
      <x:c r="A11080" s="15" t="n">
        <x:v>45200</x:v>
      </x:c>
      <x:c r="B11080" s="13" t="str">
        <x:v>ITAU UNIBANCO HOLDING S-PREF</x:v>
      </x:c>
      <x:c r="C11080" s="16" t="n">
        <x:v>38471.8001493333</x:v>
      </x:c>
      <x:c r="D11080" s="13" t="str">
        <x:v>Banks</x:v>
      </x:c>
      <x:c r="E11080" s="13" t="str">
        <x:v>Banks</x:v>
      </x:c>
      <x:c r="F11080" s="13" t="str">
        <x:v>Financials</x:v>
      </x:c>
      <x:c r="G11080" s="13" t="str">
        <x:v>grid_wbaxp5t0.xlsx</x:v>
      </x:c>
    </x:row>
    <x:row r="11081">
      <x:c r="A11081" s="15" t="n">
        <x:v>45200</x:v>
      </x:c>
      <x:c r="B11081" s="13" t="str">
        <x:v>EMBRAER SA</x:v>
      </x:c>
      <x:c r="C11081" s="16" t="n">
        <x:v>895.2963306667</x:v>
      </x:c>
      <x:c r="D11081" s="13" t="str">
        <x:v>Capital Goods</x:v>
      </x:c>
      <x:c r="E11081" s="13" t="str">
        <x:v>Capital Goods</x:v>
      </x:c>
      <x:c r="F11081" s="13" t="str">
        <x:v>Deep Cyclicals</x:v>
      </x:c>
      <x:c r="G11081" s="13" t="str">
        <x:v>grid_wbaxp5t0.xlsx</x:v>
      </x:c>
    </x:row>
    <x:row r="11082">
      <x:c r="A11082" s="15" t="n">
        <x:v>45200</x:v>
      </x:c>
      <x:c r="B11082" s="13" t="str">
        <x:v>WEG SA</x:v>
      </x:c>
      <x:c r="C11082" s="16" t="n">
        <x:v>5480.4050773333</x:v>
      </x:c>
      <x:c r="D11082" s="13" t="str">
        <x:v>Capital Goods</x:v>
      </x:c>
      <x:c r="E11082" s="13" t="str">
        <x:v>Capital Goods</x:v>
      </x:c>
      <x:c r="F11082" s="13" t="str">
        <x:v>Deep Cyclicals</x:v>
      </x:c>
      <x:c r="G11082" s="13" t="str">
        <x:v>grid_wbaxp5t0.xlsx</x:v>
      </x:c>
    </x:row>
    <x:row r="11083">
      <x:c r="A11083" s="15" t="n">
        <x:v>45200</x:v>
      </x:c>
      <x:c r="B11083" s="13" t="str">
        <x:v>COGNA EDUCACAO</x:v>
      </x:c>
      <x:c r="C11083" s="16" t="n">
        <x:v>379.5376746667</x:v>
      </x:c>
      <x:c r="D11083" s="13" t="str">
        <x:v>Education</x:v>
      </x:c>
      <x:c r="E11083" s="13" t="str">
        <x:v>Education</x:v>
      </x:c>
      <x:c r="F11083" s="13" t="str">
        <x:v>Early Cyclicals</x:v>
      </x:c>
      <x:c r="G11083" s="13" t="str">
        <x:v>grid_wbaxp5t0.xlsx</x:v>
      </x:c>
    </x:row>
    <x:row r="11084">
      <x:c r="A11084" s="15" t="n">
        <x:v>45200</x:v>
      </x:c>
      <x:c r="B11084" s="13" t="str">
        <x:v>YDUQS PARTICIPACOES SA</x:v>
      </x:c>
      <x:c r="C11084" s="16" t="n">
        <x:v>500.6666666667</x:v>
      </x:c>
      <x:c r="D11084" s="13" t="str">
        <x:v>Education</x:v>
      </x:c>
      <x:c r="E11084" s="13" t="str">
        <x:v>Education</x:v>
      </x:c>
      <x:c r="F11084" s="13" t="str">
        <x:v>Early Cyclicals</x:v>
      </x:c>
      <x:c r="G11084" s="13" t="str">
        <x:v>grid_wbaxp5t0.xlsx</x:v>
      </x:c>
    </x:row>
    <x:row r="11085">
      <x:c r="A11085" s="15" t="n">
        <x:v>45200</x:v>
      </x:c>
      <x:c r="B11085" s="13" t="str">
        <x:v>B3 SA-BRASIL BOLSA BALCAO</x:v>
      </x:c>
      <x:c r="C11085" s="16" t="n">
        <x:v>5114.0032853333</x:v>
      </x:c>
      <x:c r="D11085" s="13" t="str">
        <x:v>Financials Non-Banks</x:v>
      </x:c>
      <x:c r="E11085" s="13" t="str">
        <x:v>Financials Non-Banks</x:v>
      </x:c>
      <x:c r="F11085" s="13" t="str">
        <x:v>Financials</x:v>
      </x:c>
      <x:c r="G11085" s="13" t="str">
        <x:v>grid_wbaxp5t0.xlsx</x:v>
      </x:c>
    </x:row>
    <x:row r="11086">
      <x:c r="A11086" s="15" t="n">
        <x:v>45200</x:v>
      </x:c>
      <x:c r="B11086" s="13" t="str">
        <x:v>BB SEGURIDADE PARTICIPACOES</x:v>
      </x:c>
      <x:c r="C11086" s="16" t="n">
        <x:v>7769.0833066667</x:v>
      </x:c>
      <x:c r="D11086" s="13" t="str">
        <x:v>Financials Non-Banks</x:v>
      </x:c>
      <x:c r="E11086" s="13" t="str">
        <x:v>Financials Non-Banks</x:v>
      </x:c>
      <x:c r="F11086" s="13" t="str">
        <x:v>Financials</x:v>
      </x:c>
      <x:c r="G11086" s="13" t="str">
        <x:v>grid_wbaxp5t0.xlsx</x:v>
      </x:c>
    </x:row>
    <x:row r="11087">
      <x:c r="A11087" s="15" t="n">
        <x:v>45200</x:v>
      </x:c>
      <x:c r="B11087" s="13" t="str">
        <x:v>CIELO SA - INSTITUICAO DE PA</x:v>
      </x:c>
      <x:c r="C11087" s="16" t="n">
        <x:v>1922.6116693333</x:v>
      </x:c>
      <x:c r="D11087" s="13" t="str">
        <x:v>Financials Non-Banks</x:v>
      </x:c>
      <x:c r="E11087" s="13" t="str">
        <x:v>Financials Non-Banks</x:v>
      </x:c>
      <x:c r="F11087" s="13" t="str">
        <x:v>Financials</x:v>
      </x:c>
      <x:c r="G11087" s="13" t="str">
        <x:v>grid_wbaxp5t0.xlsx</x:v>
      </x:c>
    </x:row>
    <x:row r="11088">
      <x:c r="A11088" s="15" t="n">
        <x:v>45200</x:v>
      </x:c>
      <x:c r="B11088" s="13" t="str">
        <x:v>IRB BRASIL RESSEGUROS SA</x:v>
      </x:c>
      <x:c r="C11088" s="16" t="n">
        <x:v>292.42</x:v>
      </x:c>
      <x:c r="D11088" s="13" t="str">
        <x:v>Financials Non-Banks</x:v>
      </x:c>
      <x:c r="E11088" s="13" t="str">
        <x:v>Financials Non-Banks</x:v>
      </x:c>
      <x:c r="F11088" s="13" t="str">
        <x:v>Financials</x:v>
      </x:c>
      <x:c r="G11088" s="13" t="str">
        <x:v>grid_wbaxp5t0.xlsx</x:v>
      </x:c>
    </x:row>
    <x:row r="11089">
      <x:c r="A11089" s="15" t="n">
        <x:v>45200</x:v>
      </x:c>
      <x:c r="B11089" s="13" t="str">
        <x:v>ITAUSA SA</x:v>
      </x:c>
      <x:c r="C11089" s="16" t="n">
        <x:v>15346.583552</x:v>
      </x:c>
      <x:c r="D11089" s="13" t="str">
        <x:v>Financials Non-Banks</x:v>
      </x:c>
      <x:c r="E11089" s="13" t="str">
        <x:v>Financials Non-Banks</x:v>
      </x:c>
      <x:c r="F11089" s="13" t="str">
        <x:v>Financials</x:v>
      </x:c>
      <x:c r="G11089" s="13" t="str">
        <x:v>grid_wbaxp5t0.xlsx</x:v>
      </x:c>
    </x:row>
    <x:row r="11090">
      <x:c r="A11090" s="15" t="n">
        <x:v>45200</x:v>
      </x:c>
      <x:c r="B11090" s="13" t="str">
        <x:v>AMBEV SA</x:v>
      </x:c>
      <x:c r="C11090" s="16" t="n">
        <x:v>15718.46656</x:v>
      </x:c>
      <x:c r="D11090" s="13" t="str">
        <x:v>Food &amp; Beverages</x:v>
      </x:c>
      <x:c r="E11090" s="13" t="str">
        <x:v>Agri, Food &amp; Beverages</x:v>
      </x:c>
      <x:c r="F11090" s="13" t="str">
        <x:v>Defensives</x:v>
      </x:c>
      <x:c r="G11090" s="13" t="str">
        <x:v>grid_wbaxp5t0.xlsx</x:v>
      </x:c>
    </x:row>
    <x:row r="11091">
      <x:c r="A11091" s="15" t="n">
        <x:v>45200</x:v>
      </x:c>
      <x:c r="B11091" s="13" t="str">
        <x:v>BRF SA</x:v>
      </x:c>
      <x:c r="C11091" s="16" t="n">
        <x:v>-6.0624853333</x:v>
      </x:c>
      <x:c r="D11091" s="13" t="str">
        <x:v>Food &amp; Beverages</x:v>
      </x:c>
      <x:c r="E11091" s="13" t="str">
        <x:v>Agri, Food &amp; Beverages</x:v>
      </x:c>
      <x:c r="F11091" s="13" t="str">
        <x:v>Defensives</x:v>
      </x:c>
      <x:c r="G11091" s="13" t="str">
        <x:v>grid_wbaxp5t0.xlsx</x:v>
      </x:c>
    </x:row>
    <x:row r="11092">
      <x:c r="A11092" s="15" t="n">
        <x:v>45200</x:v>
      </x:c>
      <x:c r="B11092" s="13" t="str">
        <x:v>MBRF GLOBAL FOODS COMPANY SA</x:v>
      </x:c>
      <x:c r="C11092" s="16" t="n">
        <x:v>-113.7583413333</x:v>
      </x:c>
      <x:c r="D11092" s="13" t="str">
        <x:v>Food &amp; Beverages</x:v>
      </x:c>
      <x:c r="E11092" s="13" t="str">
        <x:v>Agri, Food &amp; Beverages</x:v>
      </x:c>
      <x:c r="F11092" s="13" t="str">
        <x:v>Defensives</x:v>
      </x:c>
      <x:c r="G11092" s="13" t="str">
        <x:v>grid_wbaxp5t0.xlsx</x:v>
      </x:c>
    </x:row>
    <x:row r="11093">
      <x:c r="A11093" s="15" t="n">
        <x:v>45200</x:v>
      </x:c>
      <x:c r="B11093" s="13" t="str">
        <x:v>MINERVA SA</x:v>
      </x:c>
      <x:c r="C11093" s="16" t="n">
        <x:v>1069.2574506667</x:v>
      </x:c>
      <x:c r="D11093" s="13" t="str">
        <x:v>Food &amp; Beverages</x:v>
      </x:c>
      <x:c r="E11093" s="13" t="str">
        <x:v>Agri, Food &amp; Beverages</x:v>
      </x:c>
      <x:c r="F11093" s="13" t="str">
        <x:v>Defensives</x:v>
      </x:c>
      <x:c r="G11093" s="13" t="str">
        <x:v>grid_wbaxp5t0.xlsx</x:v>
      </x:c>
    </x:row>
    <x:row r="11094">
      <x:c r="A11094" s="15" t="n">
        <x:v>45200</x:v>
      </x:c>
      <x:c r="B11094" s="13" t="str">
        <x:v>FLEURY SA</x:v>
      </x:c>
      <x:c r="C11094" s="16" t="n">
        <x:v>605.1333333333</x:v>
      </x:c>
      <x:c r="D11094" s="13" t="str">
        <x:v>Health Care</x:v>
      </x:c>
      <x:c r="E11094" s="13" t="str">
        <x:v>Health Care</x:v>
      </x:c>
      <x:c r="F11094" s="13" t="str">
        <x:v>Defensives</x:v>
      </x:c>
      <x:c r="G11094" s="13" t="str">
        <x:v>grid_wbaxp5t0.xlsx</x:v>
      </x:c>
    </x:row>
    <x:row r="11095">
      <x:c r="A11095" s="15" t="n">
        <x:v>45200</x:v>
      </x:c>
      <x:c r="B11095" s="13" t="str">
        <x:v>HAPVIDA PARTICIPACOES E INVE</x:v>
      </x:c>
      <x:c r="C11095" s="16" t="n">
        <x:v>1248.9166133333</x:v>
      </x:c>
      <x:c r="D11095" s="13" t="str">
        <x:v>Health Care</x:v>
      </x:c>
      <x:c r="E11095" s="13" t="str">
        <x:v>Health Care</x:v>
      </x:c>
      <x:c r="F11095" s="13" t="str">
        <x:v>Defensives</x:v>
      </x:c>
      <x:c r="G11095" s="13" t="str">
        <x:v>grid_wbaxp5t0.xlsx</x:v>
      </x:c>
    </x:row>
    <x:row r="11096">
      <x:c r="A11096" s="15" t="n">
        <x:v>45200</x:v>
      </x:c>
      <x:c r="B11096" s="13" t="str">
        <x:v>HYPERA SA</x:v>
      </x:c>
      <x:c r="C11096" s="16" t="n">
        <x:v>2059.6149546667</x:v>
      </x:c>
      <x:c r="D11096" s="13" t="str">
        <x:v>Health Care</x:v>
      </x:c>
      <x:c r="E11096" s="13" t="str">
        <x:v>Health Care</x:v>
      </x:c>
      <x:c r="F11096" s="13" t="str">
        <x:v>Defensives</x:v>
      </x:c>
      <x:c r="G11096" s="13" t="str">
        <x:v>grid_wbaxp5t0.xlsx</x:v>
      </x:c>
    </x:row>
    <x:row r="11097">
      <x:c r="A11097" s="15" t="n">
        <x:v>45200</x:v>
      </x:c>
      <x:c r="B11097" s="13" t="str">
        <x:v>REDE D'OR SAO LUIZ SA</x:v>
      </x:c>
      <x:c r="C11097" s="16" t="n">
        <x:v>2867.42176</x:v>
      </x:c>
      <x:c r="D11097" s="13" t="str">
        <x:v>Health Care</x:v>
      </x:c>
      <x:c r="E11097" s="13" t="str">
        <x:v>Health Care</x:v>
      </x:c>
      <x:c r="F11097" s="13" t="str">
        <x:v>Defensives</x:v>
      </x:c>
      <x:c r="G11097" s="13" t="str">
        <x:v>grid_wbaxp5t0.xlsx</x:v>
      </x:c>
    </x:row>
    <x:row r="11098">
      <x:c r="A11098" s="15" t="n">
        <x:v>45200</x:v>
      </x:c>
      <x:c r="B11098" s="13" t="str">
        <x:v>CYRELA BRAZIL REALTY SA EMP</x:v>
      </x:c>
      <x:c r="C11098" s="16" t="n">
        <x:v>1012.8348053333</x:v>
      </x:c>
      <x:c r="D11098" s="13" t="str">
        <x:v>Homebuilders</x:v>
      </x:c>
      <x:c r="E11098" s="13" t="str">
        <x:v>Real Estate</x:v>
      </x:c>
      <x:c r="F11098" s="13" t="str">
        <x:v>Early Cyclicals</x:v>
      </x:c>
      <x:c r="G11098" s="13" t="str">
        <x:v>grid_wbaxp5t0.xlsx</x:v>
      </x:c>
    </x:row>
    <x:row r="11099">
      <x:c r="A11099" s="15" t="n">
        <x:v>45200</x:v>
      </x:c>
      <x:c r="B11099" s="13" t="str">
        <x:v>EZ TEC EMPREENDIMENTOS E PAR</x:v>
      </x:c>
      <x:c r="C11099" s="16" t="n">
        <x:v>390.5556533333</x:v>
      </x:c>
      <x:c r="D11099" s="13" t="str">
        <x:v>Homebuilders</x:v>
      </x:c>
      <x:c r="E11099" s="13" t="str">
        <x:v>Real Estate</x:v>
      </x:c>
      <x:c r="F11099" s="13" t="str">
        <x:v>Early Cyclicals</x:v>
      </x:c>
      <x:c r="G11099" s="13" t="str">
        <x:v>grid_wbaxp5t0.xlsx</x:v>
      </x:c>
    </x:row>
    <x:row r="11100">
      <x:c r="A11100" s="15" t="n">
        <x:v>45200</x:v>
      </x:c>
      <x:c r="B11100" s="13" t="str">
        <x:v>MRV ENGENHARIA</x:v>
      </x:c>
      <x:c r="C11100" s="16" t="n">
        <x:v>645.38664</x:v>
      </x:c>
      <x:c r="D11100" s="13" t="str">
        <x:v>Homebuilders</x:v>
      </x:c>
      <x:c r="E11100" s="13" t="str">
        <x:v>Real Estate</x:v>
      </x:c>
      <x:c r="F11100" s="13" t="str">
        <x:v>Early Cyclicals</x:v>
      </x:c>
      <x:c r="G11100" s="13" t="str">
        <x:v>grid_wbaxp5t0.xlsx</x:v>
      </x:c>
    </x:row>
    <x:row r="11101">
      <x:c r="A11101" s="15" t="n">
        <x:v>45200</x:v>
      </x:c>
      <x:c r="B11101" s="13" t="str">
        <x:v>ALLOS SA</x:v>
      </x:c>
      <x:c r="C11101" s="16" t="n">
        <x:v>1105.3799893333</x:v>
      </x:c>
      <x:c r="D11101" s="13" t="str">
        <x:v>Income Properties</x:v>
      </x:c>
      <x:c r="E11101" s="13" t="str">
        <x:v>Real Estate</x:v>
      </x:c>
      <x:c r="F11101" s="13" t="str">
        <x:v>Early Cyclicals</x:v>
      </x:c>
      <x:c r="G11101" s="13" t="str">
        <x:v>grid_wbaxp5t0.xlsx</x:v>
      </x:c>
    </x:row>
    <x:row r="11102">
      <x:c r="A11102" s="15" t="n">
        <x:v>45200</x:v>
      </x:c>
      <x:c r="B11102" s="13" t="str">
        <x:v>IGUATEMI SA - UNITS</x:v>
      </x:c>
      <x:c r="C11102" s="16" t="n">
        <x:v>420.3991573333</x:v>
      </x:c>
      <x:c r="D11102" s="13" t="str">
        <x:v>Income Properties</x:v>
      </x:c>
      <x:c r="E11102" s="13" t="str">
        <x:v>Real Estate</x:v>
      </x:c>
      <x:c r="F11102" s="13" t="str">
        <x:v>Early Cyclicals</x:v>
      </x:c>
      <x:c r="G11102" s="13" t="str">
        <x:v>grid_wbaxp5t0.xlsx</x:v>
      </x:c>
    </x:row>
    <x:row r="11103">
      <x:c r="A11103" s="15" t="n">
        <x:v>45200</x:v>
      </x:c>
      <x:c r="B11103" s="13" t="str">
        <x:v>MULTIPLAN EMPREENDIMENTOS</x:v>
      </x:c>
      <x:c r="C11103" s="16" t="n">
        <x:v>1012.01664</x:v>
      </x:c>
      <x:c r="D11103" s="13" t="str">
        <x:v>Income Properties</x:v>
      </x:c>
      <x:c r="E11103" s="13" t="str">
        <x:v>Real Estate</x:v>
      </x:c>
      <x:c r="F11103" s="13" t="str">
        <x:v>Early Cyclicals</x:v>
      </x:c>
      <x:c r="G11103" s="13" t="str">
        <x:v>grid_wbaxp5t0.xlsx</x:v>
      </x:c>
    </x:row>
    <x:row r="11104">
      <x:c r="A11104" s="15" t="n">
        <x:v>45200</x:v>
      </x:c>
      <x:c r="B11104" s="13" t="str">
        <x:v>BRADESPAR SA -PREF</x:v>
      </x:c>
      <x:c r="C11104" s="16" t="n">
        <x:v>1799.1666773333</x:v>
      </x:c>
      <x:c r="D11104" s="13" t="str">
        <x:v>Metals &amp; Mining</x:v>
      </x:c>
      <x:c r="E11104" s="13" t="str">
        <x:v>Metals &amp; Mining</x:v>
      </x:c>
      <x:c r="F11104" s="13" t="str">
        <x:v>Deep Cyclicals</x:v>
      </x:c>
      <x:c r="G11104" s="13" t="str">
        <x:v>grid_wbaxp5t0.xlsx</x:v>
      </x:c>
    </x:row>
    <x:row r="11105">
      <x:c r="A11105" s="15" t="n">
        <x:v>45200</x:v>
      </x:c>
      <x:c r="B11105" s="13" t="str">
        <x:v>CIA SIDERURGICA NACIONAL SA</x:v>
      </x:c>
      <x:c r="C11105" s="16" t="n">
        <x:v>1315.8954766667</x:v>
      </x:c>
      <x:c r="D11105" s="13" t="str">
        <x:v>Metals &amp; Mining</x:v>
      </x:c>
      <x:c r="E11105" s="13" t="str">
        <x:v>Metals &amp; Mining</x:v>
      </x:c>
      <x:c r="F11105" s="13" t="str">
        <x:v>Deep Cyclicals</x:v>
      </x:c>
      <x:c r="G11105" s="13" t="str">
        <x:v>grid_wbaxp5t0.xlsx</x:v>
      </x:c>
    </x:row>
    <x:row r="11106">
      <x:c r="A11106" s="15" t="n">
        <x:v>45200</x:v>
      </x:c>
      <x:c r="B11106" s="13" t="str">
        <x:v>CSN MINERACAO SA</x:v>
      </x:c>
      <x:c r="C11106" s="16" t="n">
        <x:v>2221.3549653333</x:v>
      </x:c>
      <x:c r="D11106" s="13" t="str">
        <x:v>Metals &amp; Mining</x:v>
      </x:c>
      <x:c r="E11106" s="13" t="str">
        <x:v>Metals &amp; Mining</x:v>
      </x:c>
      <x:c r="F11106" s="13" t="str">
        <x:v>Deep Cyclicals</x:v>
      </x:c>
      <x:c r="G11106" s="13" t="str">
        <x:v>grid_wbaxp5t0.xlsx</x:v>
      </x:c>
    </x:row>
    <x:row r="11107">
      <x:c r="A11107" s="15" t="n">
        <x:v>45200</x:v>
      </x:c>
      <x:c r="B11107" s="13" t="str">
        <x:v>GERDAU SA-PREF</x:v>
      </x:c>
      <x:c r="C11107" s="16" t="n">
        <x:v>6499.314944</x:v>
      </x:c>
      <x:c r="D11107" s="13" t="str">
        <x:v>Metals &amp; Mining</x:v>
      </x:c>
      <x:c r="E11107" s="13" t="str">
        <x:v>Metals &amp; Mining</x:v>
      </x:c>
      <x:c r="F11107" s="13" t="str">
        <x:v>Deep Cyclicals</x:v>
      </x:c>
      <x:c r="G11107" s="13" t="str">
        <x:v>grid_wbaxp5t0.xlsx</x:v>
      </x:c>
    </x:row>
    <x:row r="11108">
      <x:c r="A11108" s="15" t="n">
        <x:v>45200</x:v>
      </x:c>
      <x:c r="B11108" s="13" t="str">
        <x:v>METALURGICA GERDAU SA-PREF</x:v>
      </x:c>
      <x:c r="C11108" s="16" t="n">
        <x:v>2320.5000106667</x:v>
      </x:c>
      <x:c r="D11108" s="13" t="str">
        <x:v>Metals &amp; Mining</x:v>
      </x:c>
      <x:c r="E11108" s="13" t="str">
        <x:v>Metals &amp; Mining</x:v>
      </x:c>
      <x:c r="F11108" s="13" t="str">
        <x:v>Deep Cyclicals</x:v>
      </x:c>
      <x:c r="G11108" s="13" t="str">
        <x:v>grid_wbaxp5t0.xlsx</x:v>
      </x:c>
    </x:row>
    <x:row r="11109">
      <x:c r="A11109" s="15" t="n">
        <x:v>45200</x:v>
      </x:c>
      <x:c r="B11109" s="13" t="str">
        <x:v>USINAS SIDER MINAS GER-PF A</x:v>
      </x:c>
      <x:c r="C11109" s="16" t="n">
        <x:v>1109.883328</x:v>
      </x:c>
      <x:c r="D11109" s="13" t="str">
        <x:v>Metals &amp; Mining</x:v>
      </x:c>
      <x:c r="E11109" s="13" t="str">
        <x:v>Metals &amp; Mining</x:v>
      </x:c>
      <x:c r="F11109" s="13" t="str">
        <x:v>Deep Cyclicals</x:v>
      </x:c>
      <x:c r="G11109" s="13" t="str">
        <x:v>grid_wbaxp5t0.xlsx</x:v>
      </x:c>
    </x:row>
    <x:row r="11110">
      <x:c r="A11110" s="15" t="n">
        <x:v>45200</x:v>
      </x:c>
      <x:c r="B11110" s="13" t="str">
        <x:v>VALE SA</x:v>
      </x:c>
      <x:c r="C11110" s="16" t="n">
        <x:v>46744.8169813333</x:v>
      </x:c>
      <x:c r="D11110" s="13" t="str">
        <x:v>Metals &amp; Mining</x:v>
      </x:c>
      <x:c r="E11110" s="13" t="str">
        <x:v>Metals &amp; Mining</x:v>
      </x:c>
      <x:c r="F11110" s="13" t="str">
        <x:v>Deep Cyclicals</x:v>
      </x:c>
      <x:c r="G11110" s="13" t="str">
        <x:v>grid_wbaxp5t0.xlsx</x:v>
      </x:c>
    </x:row>
    <x:row r="11111">
      <x:c r="A11111" s="15" t="n">
        <x:v>45200</x:v>
      </x:c>
      <x:c r="B11111" s="13" t="str">
        <x:v>BRASKEM SA-PREF A</x:v>
      </x:c>
      <x:c r="C11111" s="16" t="n">
        <x:v>-1323.3366186667</x:v>
      </x:c>
      <x:c r="D11111" s="13" t="str">
        <x:v>Oil, Gas &amp; Petrochemicals</x:v>
      </x:c>
      <x:c r="E11111" s="13" t="str">
        <x:v>Oil, Gas &amp; Petrochemicals</x:v>
      </x:c>
      <x:c r="F11111" s="13" t="str">
        <x:v>Deep Cyclicals</x:v>
      </x:c>
      <x:c r="G11111" s="13" t="str">
        <x:v>grid_wbaxp5t0.xlsx</x:v>
      </x:c>
    </x:row>
    <x:row r="11112">
      <x:c r="A11112" s="15" t="n">
        <x:v>45200</x:v>
      </x:c>
      <x:c r="B11112" s="13" t="str">
        <x:v>BRAVA ENERGIA</x:v>
      </x:c>
      <x:c r="C11112" s="16" t="n">
        <x:v>1863.870336</x:v>
      </x:c>
      <x:c r="D11112" s="13" t="str">
        <x:v>Oil, Gas &amp; Petrochemicals</x:v>
      </x:c>
      <x:c r="E11112" s="13" t="str">
        <x:v>Oil, Gas &amp; Petrochemicals</x:v>
      </x:c>
      <x:c r="F11112" s="13" t="str">
        <x:v>Deep Cyclicals</x:v>
      </x:c>
      <x:c r="G11112" s="13" t="str">
        <x:v>grid_wbaxp5t0.xlsx</x:v>
      </x:c>
    </x:row>
    <x:row r="11113">
      <x:c r="A11113" s="15" t="n">
        <x:v>45200</x:v>
      </x:c>
      <x:c r="B11113" s="13" t="str">
        <x:v>COSAN SA</x:v>
      </x:c>
      <x:c r="C11113" s="16" t="n">
        <x:v>2654.1766826667</x:v>
      </x:c>
      <x:c r="D11113" s="13" t="str">
        <x:v>Oil, Gas &amp; Petrochemicals</x:v>
      </x:c>
      <x:c r="E11113" s="13" t="str">
        <x:v>Oil, Gas &amp; Petrochemicals</x:v>
      </x:c>
      <x:c r="F11113" s="13" t="str">
        <x:v>Deep Cyclicals</x:v>
      </x:c>
      <x:c r="G11113" s="13" t="str">
        <x:v>grid_wbaxp5t0.xlsx</x:v>
      </x:c>
    </x:row>
    <x:row r="11114">
      <x:c r="A11114" s="15" t="n">
        <x:v>45200</x:v>
      </x:c>
      <x:c r="B11114" s="13" t="str">
        <x:v>PETROBRAS - PETROLEO BRAS</x:v>
      </x:c>
      <x:c r="C11114" s="16" t="n">
        <x:v>111768.498176</x:v>
      </x:c>
      <x:c r="D11114" s="13" t="str">
        <x:v>Oil, Gas &amp; Petrochemicals</x:v>
      </x:c>
      <x:c r="E11114" s="13" t="str">
        <x:v>Oil, Gas &amp; Petrochemicals</x:v>
      </x:c>
      <x:c r="F11114" s="13" t="str">
        <x:v>Deep Cyclicals</x:v>
      </x:c>
      <x:c r="G11114" s="13" t="str">
        <x:v>grid_wbaxp5t0.xlsx</x:v>
      </x:c>
    </x:row>
    <x:row r="11115">
      <x:c r="A11115" s="15" t="n">
        <x:v>45200</x:v>
      </x:c>
      <x:c r="B11115" s="13" t="str">
        <x:v>PETRORECONCAVO SA</x:v>
      </x:c>
      <x:c r="C11115" s="16" t="n">
        <x:v>1658.051648</x:v>
      </x:c>
      <x:c r="D11115" s="13" t="str">
        <x:v>Oil, Gas &amp; Petrochemicals</x:v>
      </x:c>
      <x:c r="E11115" s="13" t="str">
        <x:v>Oil, Gas &amp; Petrochemicals</x:v>
      </x:c>
      <x:c r="F11115" s="13" t="str">
        <x:v>Deep Cyclicals</x:v>
      </x:c>
      <x:c r="G11115" s="13" t="str">
        <x:v>grid_wbaxp5t0.xlsx</x:v>
      </x:c>
    </x:row>
    <x:row r="11116">
      <x:c r="A11116" s="15" t="n">
        <x:v>45200</x:v>
      </x:c>
      <x:c r="B11116" s="13" t="str">
        <x:v>PRIO SA</x:v>
      </x:c>
      <x:c r="C11116" s="16" t="n">
        <x:v>8429.58848</x:v>
      </x:c>
      <x:c r="D11116" s="13" t="str">
        <x:v>Oil, Gas &amp; Petrochemicals</x:v>
      </x:c>
      <x:c r="E11116" s="13" t="str">
        <x:v>Oil, Gas &amp; Petrochemicals</x:v>
      </x:c>
      <x:c r="F11116" s="13" t="str">
        <x:v>Deep Cyclicals</x:v>
      </x:c>
      <x:c r="G11116" s="13" t="str">
        <x:v>grid_wbaxp5t0.xlsx</x:v>
      </x:c>
    </x:row>
    <x:row r="11117">
      <x:c r="A11117" s="15" t="n">
        <x:v>45200</x:v>
      </x:c>
      <x:c r="B11117" s="13" t="str">
        <x:v>ULTRAPAR PARTICIPACOES SA</x:v>
      </x:c>
      <x:c r="C11117" s="16" t="n">
        <x:v>1422.3633493333</x:v>
      </x:c>
      <x:c r="D11117" s="13" t="str">
        <x:v>Oil, Gas &amp; Petrochemicals</x:v>
      </x:c>
      <x:c r="E11117" s="13" t="str">
        <x:v>Oil, Gas &amp; Petrochemicals</x:v>
      </x:c>
      <x:c r="F11117" s="13" t="str">
        <x:v>Deep Cyclicals</x:v>
      </x:c>
      <x:c r="G11117" s="13" t="str">
        <x:v>grid_wbaxp5t0.xlsx</x:v>
      </x:c>
    </x:row>
    <x:row r="11118">
      <x:c r="A11118" s="15" t="n">
        <x:v>45200</x:v>
      </x:c>
      <x:c r="B11118" s="13" t="str">
        <x:v>VIBRA ENERGIA SA</x:v>
      </x:c>
      <x:c r="C11118" s="16" t="n">
        <x:v>2112.0967253333</x:v>
      </x:c>
      <x:c r="D11118" s="13" t="str">
        <x:v>Oil, Gas &amp; Petrochemicals</x:v>
      </x:c>
      <x:c r="E11118" s="13" t="str">
        <x:v>Oil, Gas &amp; Petrochemicals</x:v>
      </x:c>
      <x:c r="F11118" s="13" t="str">
        <x:v>Deep Cyclicals</x:v>
      </x:c>
      <x:c r="G11118" s="13" t="str">
        <x:v>grid_wbaxp5t0.xlsx</x:v>
      </x:c>
    </x:row>
    <x:row r="11119">
      <x:c r="A11119" s="15" t="n">
        <x:v>45200</x:v>
      </x:c>
      <x:c r="B11119" s="13" t="str">
        <x:v>DEXCO SA</x:v>
      </x:c>
      <x:c r="C11119" s="16" t="n">
        <x:v>411.5463253333</x:v>
      </x:c>
      <x:c r="D11119" s="13" t="str">
        <x:v>Pulp &amp; Paper</x:v>
      </x:c>
      <x:c r="E11119" s="13" t="str">
        <x:v>Pulp &amp; Paper</x:v>
      </x:c>
      <x:c r="F11119" s="13" t="str">
        <x:v>Deep Cyclicals</x:v>
      </x:c>
      <x:c r="G11119" s="13" t="str">
        <x:v>grid_wbaxp5t0.xlsx</x:v>
      </x:c>
    </x:row>
    <x:row r="11120">
      <x:c r="A11120" s="15" t="n">
        <x:v>45200</x:v>
      </x:c>
      <x:c r="B11120" s="13" t="str">
        <x:v>KLABIN SA - UNIT</x:v>
      </x:c>
      <x:c r="C11120" s="16" t="n">
        <x:v>1932.57504</x:v>
      </x:c>
      <x:c r="D11120" s="13" t="str">
        <x:v>Pulp &amp; Paper</x:v>
      </x:c>
      <x:c r="E11120" s="13" t="str">
        <x:v>Pulp &amp; Paper</x:v>
      </x:c>
      <x:c r="F11120" s="13" t="str">
        <x:v>Deep Cyclicals</x:v>
      </x:c>
      <x:c r="G11120" s="13" t="str">
        <x:v>grid_wbaxp5t0.xlsx</x:v>
      </x:c>
    </x:row>
    <x:row r="11121">
      <x:c r="A11121" s="15" t="n">
        <x:v>45200</x:v>
      </x:c>
      <x:c r="B11121" s="13" t="str">
        <x:v>SUZANO SA</x:v>
      </x:c>
      <x:c r="C11121" s="16" t="n">
        <x:v>5734.9331626667</x:v>
      </x:c>
      <x:c r="D11121" s="13" t="str">
        <x:v>Pulp &amp; Paper</x:v>
      </x:c>
      <x:c r="E11121" s="13" t="str">
        <x:v>Pulp &amp; Paper</x:v>
      </x:c>
      <x:c r="F11121" s="13" t="str">
        <x:v>Deep Cyclicals</x:v>
      </x:c>
      <x:c r="G11121" s="13" t="str">
        <x:v>grid_wbaxp5t0.xlsx</x:v>
      </x:c>
    </x:row>
    <x:row r="11122">
      <x:c r="A11122" s="15" t="n">
        <x:v>45200</x:v>
      </x:c>
      <x:c r="B11122" s="13" t="str">
        <x:v>ALPARGATAS SA - PREF</x:v>
      </x:c>
      <x:c r="C11122" s="16" t="n">
        <x:v>258.71</x:v>
      </x:c>
      <x:c r="D11122" s="13" t="str">
        <x:v>Retail</x:v>
      </x:c>
      <x:c r="E11122" s="13" t="str">
        <x:v>Retail</x:v>
      </x:c>
      <x:c r="F11122" s="13" t="str">
        <x:v>Early Cyclicals</x:v>
      </x:c>
      <x:c r="G11122" s="13" t="str">
        <x:v>grid_wbaxp5t0.xlsx</x:v>
      </x:c>
    </x:row>
    <x:row r="11123">
      <x:c r="A11123" s="15" t="n">
        <x:v>45200</x:v>
      </x:c>
      <x:c r="B11123" s="13" t="str">
        <x:v>ATACADAO SA</x:v>
      </x:c>
      <x:c r="C11123" s="16" t="n">
        <x:v>1387.4416533333</x:v>
      </x:c>
      <x:c r="D11123" s="13" t="str">
        <x:v>Retail</x:v>
      </x:c>
      <x:c r="E11123" s="13" t="str">
        <x:v>Retail</x:v>
      </x:c>
      <x:c r="F11123" s="13" t="str">
        <x:v>Early Cyclicals</x:v>
      </x:c>
      <x:c r="G11123" s="13" t="str">
        <x:v>grid_wbaxp5t0.xlsx</x:v>
      </x:c>
    </x:row>
    <x:row r="11124">
      <x:c r="A11124" s="15" t="n">
        <x:v>45200</x:v>
      </x:c>
      <x:c r="B11124" s="13" t="str">
        <x:v>AZZAS 2154 SA</x:v>
      </x:c>
      <x:c r="C11124" s="16" t="n">
        <x:v>514.514992</x:v>
      </x:c>
      <x:c r="D11124" s="13" t="str">
        <x:v>Retail</x:v>
      </x:c>
      <x:c r="E11124" s="13" t="str">
        <x:v>Retail</x:v>
      </x:c>
      <x:c r="F11124" s="13" t="str">
        <x:v>Early Cyclicals</x:v>
      </x:c>
      <x:c r="G11124" s="13" t="str">
        <x:v>grid_wbaxp5t0.xlsx</x:v>
      </x:c>
    </x:row>
    <x:row r="11125">
      <x:c r="A11125" s="15" t="n">
        <x:v>45200</x:v>
      </x:c>
      <x:c r="B11125" s="13" t="str">
        <x:v>CIA BRASILEIRA DE DISTRIBUIC</x:v>
      </x:c>
      <x:c r="C11125" s="16" t="n">
        <x:v>-488.1750026667</x:v>
      </x:c>
      <x:c r="D11125" s="13" t="str">
        <x:v>Retail</x:v>
      </x:c>
      <x:c r="E11125" s="13" t="str">
        <x:v>Retail</x:v>
      </x:c>
      <x:c r="F11125" s="13" t="str">
        <x:v>Early Cyclicals</x:v>
      </x:c>
      <x:c r="G11125" s="13" t="str">
        <x:v>grid_wbaxp5t0.xlsx</x:v>
      </x:c>
    </x:row>
    <x:row r="11126">
      <x:c r="A11126" s="15" t="n">
        <x:v>45200</x:v>
      </x:c>
      <x:c r="B11126" s="13" t="str">
        <x:v>CVC BRASIL OPERADORA E AGENC</x:v>
      </x:c>
      <x:c r="C11126" s="16" t="n">
        <x:v>-89.8166693333</x:v>
      </x:c>
      <x:c r="D11126" s="13" t="str">
        <x:v>Retail</x:v>
      </x:c>
      <x:c r="E11126" s="13" t="str">
        <x:v>Retail</x:v>
      </x:c>
      <x:c r="F11126" s="13" t="str">
        <x:v>Early Cyclicals</x:v>
      </x:c>
      <x:c r="G11126" s="13" t="str">
        <x:v>grid_wbaxp5t0.xlsx</x:v>
      </x:c>
    </x:row>
    <x:row r="11127">
      <x:c r="A11127" s="15" t="n">
        <x:v>45200</x:v>
      </x:c>
      <x:c r="B11127" s="13" t="str">
        <x:v>GRUPO CASAS BAHIA SA</x:v>
      </x:c>
      <x:c r="C11127" s="16" t="n">
        <x:v>-589.6925173333</x:v>
      </x:c>
      <x:c r="D11127" s="13" t="str">
        <x:v>Retail</x:v>
      </x:c>
      <x:c r="E11127" s="13" t="str">
        <x:v>Retail</x:v>
      </x:c>
      <x:c r="F11127" s="13" t="str">
        <x:v>Early Cyclicals</x:v>
      </x:c>
      <x:c r="G11127" s="13" t="str">
        <x:v>grid_wbaxp5t0.xlsx</x:v>
      </x:c>
    </x:row>
    <x:row r="11128">
      <x:c r="A11128" s="15" t="n">
        <x:v>45200</x:v>
      </x:c>
      <x:c r="B11128" s="13" t="str">
        <x:v>GRUPO DE MODA SOMA SA</x:v>
      </x:c>
      <x:c r="C11128" s="16" t="n">
        <x:v>456.5333333333</x:v>
      </x:c>
      <x:c r="D11128" s="13" t="str">
        <x:v>Retail</x:v>
      </x:c>
      <x:c r="E11128" s="13" t="str">
        <x:v>Retail</x:v>
      </x:c>
      <x:c r="F11128" s="13" t="str">
        <x:v>Early Cyclicals</x:v>
      </x:c>
      <x:c r="G11128" s="13" t="str">
        <x:v>grid_wbaxp5t0.xlsx</x:v>
      </x:c>
    </x:row>
    <x:row r="11129">
      <x:c r="A11129" s="15" t="n">
        <x:v>45200</x:v>
      </x:c>
      <x:c r="B11129" s="13" t="str">
        <x:v>LOJAS RENNER S.A.</x:v>
      </x:c>
      <x:c r="C11129" s="16" t="n">
        <x:v>1179.0500053333</x:v>
      </x:c>
      <x:c r="D11129" s="13" t="str">
        <x:v>Retail</x:v>
      </x:c>
      <x:c r="E11129" s="13" t="str">
        <x:v>Retail</x:v>
      </x:c>
      <x:c r="F11129" s="13" t="str">
        <x:v>Early Cyclicals</x:v>
      </x:c>
      <x:c r="G11129" s="13" t="str">
        <x:v>grid_wbaxp5t0.xlsx</x:v>
      </x:c>
    </x:row>
    <x:row r="11130">
      <x:c r="A11130" s="15" t="n">
        <x:v>45200</x:v>
      </x:c>
      <x:c r="B11130" s="13" t="str">
        <x:v>MAGAZINE LUIZA SA</x:v>
      </x:c>
      <x:c r="C11130" s="16" t="n">
        <x:v>46.9500053333</x:v>
      </x:c>
      <x:c r="D11130" s="13" t="str">
        <x:v>Retail</x:v>
      </x:c>
      <x:c r="E11130" s="13" t="str">
        <x:v>Retail</x:v>
      </x:c>
      <x:c r="F11130" s="13" t="str">
        <x:v>Early Cyclicals</x:v>
      </x:c>
      <x:c r="G11130" s="13" t="str">
        <x:v>grid_wbaxp5t0.xlsx</x:v>
      </x:c>
    </x:row>
    <x:row r="11131">
      <x:c r="A11131" s="15" t="n">
        <x:v>45200</x:v>
      </x:c>
      <x:c r="B11131" s="13" t="str">
        <x:v>NATURA &amp;CO HOLDING SA</x:v>
      </x:c>
      <x:c r="C11131" s="16" t="n">
        <x:v>977.6308373333</x:v>
      </x:c>
      <x:c r="D11131" s="13" t="str">
        <x:v>Retail</x:v>
      </x:c>
      <x:c r="E11131" s="13" t="str">
        <x:v>Retail</x:v>
      </x:c>
      <x:c r="F11131" s="13" t="str">
        <x:v>Early Cyclicals</x:v>
      </x:c>
      <x:c r="G11131" s="13" t="str">
        <x:v>grid_wbaxp5t0.xlsx</x:v>
      </x:c>
    </x:row>
    <x:row r="11132">
      <x:c r="A11132" s="15" t="n">
        <x:v>45200</x:v>
      </x:c>
      <x:c r="B11132" s="13" t="str">
        <x:v>PET CENTER COMERCIO E PARTIC</x:v>
      </x:c>
      <x:c r="C11132" s="16" t="n">
        <x:v>105.53125</x:v>
      </x:c>
      <x:c r="D11132" s="13" t="str">
        <x:v>Retail</x:v>
      </x:c>
      <x:c r="E11132" s="13" t="str">
        <x:v>Retail</x:v>
      </x:c>
      <x:c r="F11132" s="13" t="str">
        <x:v>Early Cyclicals</x:v>
      </x:c>
      <x:c r="G11132" s="13" t="str">
        <x:v>grid_wbaxp5t0.xlsx</x:v>
      </x:c>
    </x:row>
    <x:row r="11133">
      <x:c r="A11133" s="15" t="n">
        <x:v>45200</x:v>
      </x:c>
      <x:c r="B11133" s="13" t="str">
        <x:v>RAIA DROGASIL SA</x:v>
      </x:c>
      <x:c r="C11133" s="16" t="n">
        <x:v>1487.6199893333</x:v>
      </x:c>
      <x:c r="D11133" s="13" t="str">
        <x:v>Retail</x:v>
      </x:c>
      <x:c r="E11133" s="13" t="str">
        <x:v>Retail</x:v>
      </x:c>
      <x:c r="F11133" s="13" t="str">
        <x:v>Early Cyclicals</x:v>
      </x:c>
      <x:c r="G11133" s="13" t="str">
        <x:v>grid_wbaxp5t0.xlsx</x:v>
      </x:c>
    </x:row>
    <x:row r="11134">
      <x:c r="A11134" s="15" t="n">
        <x:v>45200</x:v>
      </x:c>
      <x:c r="B11134" s="13" t="str">
        <x:v>SENDAS DISTRIBUIDORA SA</x:v>
      </x:c>
      <x:c r="C11134" s="16" t="n">
        <x:v>1253.971136</x:v>
      </x:c>
      <x:c r="D11134" s="13" t="str">
        <x:v>Retail</x:v>
      </x:c>
      <x:c r="E11134" s="13" t="str">
        <x:v>Retail</x:v>
      </x:c>
      <x:c r="F11134" s="13" t="str">
        <x:v>Early Cyclicals</x:v>
      </x:c>
      <x:c r="G11134" s="13" t="str">
        <x:v>grid_wbaxp5t0.xlsx</x:v>
      </x:c>
    </x:row>
    <x:row r="11135">
      <x:c r="A11135" s="15" t="n">
        <x:v>45200</x:v>
      </x:c>
      <x:c r="B11135" s="13" t="str">
        <x:v>CIA SANEAMENTO BASICO DE SP</x:v>
      </x:c>
      <x:c r="C11135" s="16" t="n">
        <x:v>4256.208512</x:v>
      </x:c>
      <x:c r="D11135" s="13" t="str">
        <x:v>Sanitation</x:v>
      </x:c>
      <x:c r="E11135" s="13" t="str">
        <x:v>Utilities</x:v>
      </x:c>
      <x:c r="F11135" s="13" t="str">
        <x:v>Defensives</x:v>
      </x:c>
      <x:c r="G11135" s="13" t="str">
        <x:v>grid_wbaxp5t0.xlsx</x:v>
      </x:c>
    </x:row>
    <x:row r="11136">
      <x:c r="A11136" s="15" t="n">
        <x:v>45200</x:v>
      </x:c>
      <x:c r="B11136" s="13" t="str">
        <x:v>LWSA SA</x:v>
      </x:c>
      <x:c r="C11136" s="16" t="n">
        <x:v>126.78315</x:v>
      </x:c>
      <x:c r="D11136" s="13" t="str">
        <x:v>TMT</x:v>
      </x:c>
      <x:c r="E11136" s="13" t="str">
        <x:v>TMT</x:v>
      </x:c>
      <x:c r="F11136" s="13" t="str">
        <x:v>Early Cyclicals</x:v>
      </x:c>
      <x:c r="G11136" s="13" t="str">
        <x:v>grid_wbaxp5t0.xlsx</x:v>
      </x:c>
    </x:row>
    <x:row r="11137">
      <x:c r="A11137" s="15" t="n">
        <x:v>45200</x:v>
      </x:c>
      <x:c r="B11137" s="13" t="str">
        <x:v>TIM SA</x:v>
      </x:c>
      <x:c r="C11137" s="16" t="n">
        <x:v>2995.305088</x:v>
      </x:c>
      <x:c r="D11137" s="13" t="str">
        <x:v>TMT</x:v>
      </x:c>
      <x:c r="E11137" s="13" t="str">
        <x:v>TMT</x:v>
      </x:c>
      <x:c r="F11137" s="13" t="str">
        <x:v>Early Cyclicals</x:v>
      </x:c>
      <x:c r="G11137" s="13" t="str">
        <x:v>grid_wbaxp5t0.xlsx</x:v>
      </x:c>
    </x:row>
    <x:row r="11138">
      <x:c r="A11138" s="15" t="n">
        <x:v>45200</x:v>
      </x:c>
      <x:c r="B11138" s="13" t="str">
        <x:v>TOTVS SA</x:v>
      </x:c>
      <x:c r="C11138" s="16" t="n">
        <x:v>769.462816</x:v>
      </x:c>
      <x:c r="D11138" s="13" t="str">
        <x:v>TMT</x:v>
      </x:c>
      <x:c r="E11138" s="13" t="str">
        <x:v>TMT</x:v>
      </x:c>
      <x:c r="F11138" s="13" t="str">
        <x:v>Early Cyclicals</x:v>
      </x:c>
      <x:c r="G11138" s="13" t="str">
        <x:v>grid_wbaxp5t0.xlsx</x:v>
      </x:c>
    </x:row>
    <x:row r="11139">
      <x:c r="A11139" s="15" t="n">
        <x:v>45200</x:v>
      </x:c>
      <x:c r="B11139" s="13" t="str">
        <x:v>AZUL SA</x:v>
      </x:c>
      <x:c r="C11139" s="16" t="n">
        <x:v>109.435504</x:v>
      </x:c>
      <x:c r="D11139" s="13" t="str">
        <x:v>Transportation</x:v>
      </x:c>
      <x:c r="E11139" s="13" t="str">
        <x:v>Transportation</x:v>
      </x:c>
      <x:c r="F11139" s="13" t="str">
        <x:v>Deep Cyclicals</x:v>
      </x:c>
      <x:c r="G11139" s="13" t="str">
        <x:v>grid_wbaxp5t0.xlsx</x:v>
      </x:c>
    </x:row>
    <x:row r="11140">
      <x:c r="A11140" s="15" t="n">
        <x:v>45200</x:v>
      </x:c>
      <x:c r="B11140" s="13" t="str">
        <x:v>GOL LINHAS AEREAS INT SA-PRE</x:v>
      </x:c>
      <x:c r="C11140" s="16" t="n">
        <x:v>831.8521706667</x:v>
      </x:c>
      <x:c r="D11140" s="13" t="str">
        <x:v>Transportation</x:v>
      </x:c>
      <x:c r="E11140" s="13" t="str">
        <x:v>Transportation</x:v>
      </x:c>
      <x:c r="F11140" s="13" t="str">
        <x:v>Deep Cyclicals</x:v>
      </x:c>
      <x:c r="G11140" s="13" t="str">
        <x:v>grid_wbaxp5t0.xlsx</x:v>
      </x:c>
    </x:row>
    <x:row r="11141">
      <x:c r="A11141" s="15" t="n">
        <x:v>45200</x:v>
      </x:c>
      <x:c r="B11141" s="13" t="str">
        <x:v>LOCALIZA RENT A CAR</x:v>
      </x:c>
      <x:c r="C11141" s="16" t="n">
        <x:v>3553.901696</x:v>
      </x:c>
      <x:c r="D11141" s="13" t="str">
        <x:v>Transportation</x:v>
      </x:c>
      <x:c r="E11141" s="13" t="str">
        <x:v>Transportation</x:v>
      </x:c>
      <x:c r="F11141" s="13" t="str">
        <x:v>Deep Cyclicals</x:v>
      </x:c>
      <x:c r="G11141" s="13" t="str">
        <x:v>grid_wbaxp5t0.xlsx</x:v>
      </x:c>
    </x:row>
    <x:row r="11142">
      <x:c r="A11142" s="15" t="n">
        <x:v>45200</x:v>
      </x:c>
      <x:c r="B11142" s="13" t="str">
        <x:v>MOTIVA INFRAESTRUTURA DE MOB</x:v>
      </x:c>
      <x:c r="C11142" s="16" t="n">
        <x:v>1549.228352</x:v>
      </x:c>
      <x:c r="D11142" s="13" t="str">
        <x:v>Transportation</x:v>
      </x:c>
      <x:c r="E11142" s="13" t="str">
        <x:v>Transportation</x:v>
      </x:c>
      <x:c r="F11142" s="13" t="str">
        <x:v>Deep Cyclicals</x:v>
      </x:c>
      <x:c r="G11142" s="13" t="str">
        <x:v>grid_wbaxp5t0.xlsx</x:v>
      </x:c>
    </x:row>
    <x:row r="11143">
      <x:c r="A11143" s="15" t="n">
        <x:v>45200</x:v>
      </x:c>
      <x:c r="B11143" s="13" t="str">
        <x:v>RUMO SA</x:v>
      </x:c>
      <x:c r="C11143" s="16" t="n">
        <x:v>1783.5888746667</x:v>
      </x:c>
      <x:c r="D11143" s="13" t="str">
        <x:v>Transportation</x:v>
      </x:c>
      <x:c r="E11143" s="13" t="str">
        <x:v>Transportation</x:v>
      </x:c>
      <x:c r="F11143" s="13" t="str">
        <x:v>Deep Cyclicals</x:v>
      </x:c>
      <x:c r="G11143" s="13" t="str">
        <x:v>grid_wbaxp5t0.xlsx</x:v>
      </x:c>
    </x:row>
    <x:row r="11144">
      <x:c r="A11144" s="15" t="n">
        <x:v>45200</x:v>
      </x:c>
      <x:c r="B11144" s="13" t="str">
        <x:v>VAMOS LOCACAO DE CAMINHOES M</x:v>
      </x:c>
      <x:c r="C11144" s="16" t="n">
        <x:v>1075.7523306667</x:v>
      </x:c>
      <x:c r="D11144" s="13" t="str">
        <x:v>Transportation</x:v>
      </x:c>
      <x:c r="E11144" s="13" t="str">
        <x:v>Transportation</x:v>
      </x:c>
      <x:c r="F11144" s="13" t="str">
        <x:v>Deep Cyclicals</x:v>
      </x:c>
      <x:c r="G11144" s="13" t="str">
        <x:v>grid_wbaxp5t0.xlsx</x:v>
      </x:c>
    </x:row>
    <x:row r="11145">
      <x:c r="A11145" s="15" t="n">
        <x:v>45200</x:v>
      </x:c>
      <x:c r="B11145" s="13" t="str">
        <x:v>AXIA ENERGIA SA</x:v>
      </x:c>
      <x:c r="C11145" s="16" t="n">
        <x:v>10201.583104</x:v>
      </x:c>
      <x:c r="D11145" s="13" t="str">
        <x:v>Utilities &amp; Energy</x:v>
      </x:c>
      <x:c r="E11145" s="13" t="str">
        <x:v>Utilities</x:v>
      </x:c>
      <x:c r="F11145" s="13" t="str">
        <x:v>Defensives</x:v>
      </x:c>
      <x:c r="G11145" s="13" t="str">
        <x:v>grid_wbaxp5t0.xlsx</x:v>
      </x:c>
    </x:row>
    <x:row r="11146">
      <x:c r="A11146" s="15" t="n">
        <x:v>45200</x:v>
      </x:c>
      <x:c r="B11146" s="13" t="str">
        <x:v>AXIA ENERGIA-PR B</x:v>
      </x:c>
      <x:c r="C11146" s="16" t="n">
        <x:v>10201.583104</x:v>
      </x:c>
      <x:c r="D11146" s="13" t="str">
        <x:v>Utilities &amp; Energy</x:v>
      </x:c>
      <x:c r="E11146" s="13" t="str">
        <x:v>Utilities</x:v>
      </x:c>
      <x:c r="F11146" s="13" t="str">
        <x:v>Defensives</x:v>
      </x:c>
      <x:c r="G11146" s="13" t="str">
        <x:v>grid_wbaxp5t0.xlsx</x:v>
      </x:c>
    </x:row>
    <x:row r="11147">
      <x:c r="A11147" s="15" t="n">
        <x:v>45200</x:v>
      </x:c>
      <x:c r="B11147" s="13" t="str">
        <x:v>CIA ENERGETICA MINAS GER-PRF</x:v>
      </x:c>
      <x:c r="C11147" s="16" t="n">
        <x:v>3927.404928</x:v>
      </x:c>
      <x:c r="D11147" s="13" t="str">
        <x:v>Utilities &amp; Energy</x:v>
      </x:c>
      <x:c r="E11147" s="13" t="str">
        <x:v>Utilities</x:v>
      </x:c>
      <x:c r="F11147" s="13" t="str">
        <x:v>Defensives</x:v>
      </x:c>
      <x:c r="G11147" s="13" t="str">
        <x:v>grid_wbaxp5t0.xlsx</x:v>
      </x:c>
    </x:row>
    <x:row r="11148">
      <x:c r="A11148" s="15" t="n">
        <x:v>45200</x:v>
      </x:c>
      <x:c r="B11148" s="13" t="str">
        <x:v>COMPANHIA PARANAENSE -PREF B</x:v>
      </x:c>
      <x:c r="C11148" s="16" t="n">
        <x:v>1994.9633493333</x:v>
      </x:c>
      <x:c r="D11148" s="13" t="str">
        <x:v>Utilities &amp; Energy</x:v>
      </x:c>
      <x:c r="E11148" s="13" t="str">
        <x:v>Utilities</x:v>
      </x:c>
      <x:c r="F11148" s="13" t="str">
        <x:v>Defensives</x:v>
      </x:c>
      <x:c r="G11148" s="13" t="str">
        <x:v>grid_wbaxp5t0.xlsx</x:v>
      </x:c>
    </x:row>
    <x:row r="11149">
      <x:c r="A11149" s="15" t="n">
        <x:v>45200</x:v>
      </x:c>
      <x:c r="B11149" s="13" t="str">
        <x:v>CPFL ENERGIA SA</x:v>
      </x:c>
      <x:c r="C11149" s="16" t="n">
        <x:v>4857.254912</x:v>
      </x:c>
      <x:c r="D11149" s="13" t="str">
        <x:v>Utilities &amp; Energy</x:v>
      </x:c>
      <x:c r="E11149" s="13" t="str">
        <x:v>Utilities</x:v>
      </x:c>
      <x:c r="F11149" s="13" t="str">
        <x:v>Defensives</x:v>
      </x:c>
      <x:c r="G11149" s="13" t="str">
        <x:v>grid_wbaxp5t0.xlsx</x:v>
      </x:c>
    </x:row>
    <x:row r="11150">
      <x:c r="A11150" s="15" t="n">
        <x:v>45200</x:v>
      </x:c>
      <x:c r="B11150" s="13" t="str">
        <x:v>ENERGISA SA-UNITS</x:v>
      </x:c>
      <x:c r="C11150" s="16" t="n">
        <x:v>1783.5000106667</x:v>
      </x:c>
      <x:c r="D11150" s="13" t="str">
        <x:v>Utilities &amp; Energy</x:v>
      </x:c>
      <x:c r="E11150" s="13" t="str">
        <x:v>Utilities</x:v>
      </x:c>
      <x:c r="F11150" s="13" t="str">
        <x:v>Defensives</x:v>
      </x:c>
      <x:c r="G11150" s="13" t="str">
        <x:v>grid_wbaxp5t0.xlsx</x:v>
      </x:c>
    </x:row>
    <x:row r="11151">
      <x:c r="A11151" s="15" t="n">
        <x:v>45200</x:v>
      </x:c>
      <x:c r="B11151" s="13" t="str">
        <x:v>ENEVA SA</x:v>
      </x:c>
      <x:c r="C11151" s="16" t="n">
        <x:v>1171.1783573333</x:v>
      </x:c>
      <x:c r="D11151" s="13" t="str">
        <x:v>Utilities &amp; Energy</x:v>
      </x:c>
      <x:c r="E11151" s="13" t="str">
        <x:v>Utilities</x:v>
      </x:c>
      <x:c r="F11151" s="13" t="str">
        <x:v>Defensives</x:v>
      </x:c>
      <x:c r="G11151" s="13" t="str">
        <x:v>grid_wbaxp5t0.xlsx</x:v>
      </x:c>
    </x:row>
    <x:row r="11152">
      <x:c r="A11152" s="15" t="n">
        <x:v>45200</x:v>
      </x:c>
      <x:c r="B11152" s="13" t="str">
        <x:v>ENGIE BRASIL ENERGIA SA</x:v>
      </x:c>
      <x:c r="C11152" s="16" t="n">
        <x:v>3624.11328</x:v>
      </x:c>
      <x:c r="D11152" s="13" t="str">
        <x:v>Utilities &amp; Energy</x:v>
      </x:c>
      <x:c r="E11152" s="13" t="str">
        <x:v>Utilities</x:v>
      </x:c>
      <x:c r="F11152" s="13" t="str">
        <x:v>Defensives</x:v>
      </x:c>
      <x:c r="G11152" s="13" t="str">
        <x:v>grid_wbaxp5t0.xlsx</x:v>
      </x:c>
    </x:row>
    <x:row r="11153">
      <x:c r="A11153" s="15" t="n">
        <x:v>45200</x:v>
      </x:c>
      <x:c r="B11153" s="13" t="str">
        <x:v>EQUATORIAL SA - ORD</x:v>
      </x:c>
      <x:c r="C11153" s="16" t="n">
        <x:v>2803.2250026667</x:v>
      </x:c>
      <x:c r="D11153" s="13" t="str">
        <x:v>Utilities &amp; Energy</x:v>
      </x:c>
      <x:c r="E11153" s="13" t="str">
        <x:v>Utilities</x:v>
      </x:c>
      <x:c r="F11153" s="13" t="str">
        <x:v>Defensives</x:v>
      </x:c>
      <x:c r="G11153" s="13" t="str">
        <x:v>grid_wbaxp5t0.xlsx</x:v>
      </x:c>
    </x:row>
    <x:row r="11154">
      <x:c r="A11154" s="15" t="n">
        <x:v>45200</x:v>
      </x:c>
      <x:c r="B11154" s="13" t="str">
        <x:v>TRANSMISSORA ALIANCA DE-UNIT</x:v>
      </x:c>
      <x:c r="C11154" s="16" t="n">
        <x:v>1221.1867093333</x:v>
      </x:c>
      <x:c r="D11154" s="13" t="str">
        <x:v>Utilities &amp; Energy</x:v>
      </x:c>
      <x:c r="E11154" s="13" t="str">
        <x:v>Utilities</x:v>
      </x:c>
      <x:c r="F11154" s="13" t="str">
        <x:v>Defensives</x:v>
      </x:c>
      <x:c r="G11154" s="13" t="str">
        <x:v>grid_wbaxp5t0.xlsx</x:v>
      </x:c>
    </x:row>
    <x:row r="11155">
      <x:c r="A11155" s="15" t="n">
        <x:v>45231</x:v>
      </x:c>
      <x:c r="B11155" s="13" t="str">
        <x:v>RAIZEN SA - PREFERENCE</x:v>
      </x:c>
      <x:c r="C11155" s="16" t="n">
        <x:v>4143.6678887452</x:v>
      </x:c>
      <x:c r="D11155" s="13" t="str">
        <x:v>Agribusiness</x:v>
      </x:c>
      <x:c r="E11155" s="13" t="str">
        <x:v>Agri, Food &amp; Beverages</x:v>
      </x:c>
      <x:c r="F11155" s="13" t="str">
        <x:v>Defensives</x:v>
      </x:c>
      <x:c r="G11155" s="13" t="str">
        <x:v>grid_wbaxp5t0.xlsx</x:v>
      </x:c>
    </x:row>
    <x:row r="11156">
      <x:c r="A11156" s="15" t="n">
        <x:v>45231</x:v>
      </x:c>
      <x:c r="B11156" s="13" t="str">
        <x:v>SAO MARTINHO SA</x:v>
      </x:c>
      <x:c r="C11156" s="16" t="n">
        <x:v>1463.0548553644</x:v>
      </x:c>
      <x:c r="D11156" s="13" t="str">
        <x:v>Agribusiness</x:v>
      </x:c>
      <x:c r="E11156" s="13" t="str">
        <x:v>Agri, Food &amp; Beverages</x:v>
      </x:c>
      <x:c r="F11156" s="13" t="str">
        <x:v>Defensives</x:v>
      </x:c>
      <x:c r="G11156" s="13" t="str">
        <x:v>grid_wbaxp5t0.xlsx</x:v>
      </x:c>
    </x:row>
    <x:row r="11157">
      <x:c r="A11157" s="15" t="n">
        <x:v>45231</x:v>
      </x:c>
      <x:c r="B11157" s="13" t="str">
        <x:v>SLC AGRICOLA SA</x:v>
      </x:c>
      <x:c r="C11157" s="16" t="n">
        <x:v>1195.5301892896</x:v>
      </x:c>
      <x:c r="D11157" s="13" t="str">
        <x:v>Agribusiness</x:v>
      </x:c>
      <x:c r="E11157" s="13" t="str">
        <x:v>Agri, Food &amp; Beverages</x:v>
      </x:c>
      <x:c r="F11157" s="13" t="str">
        <x:v>Defensives</x:v>
      </x:c>
      <x:c r="G11157" s="13" t="str">
        <x:v>grid_wbaxp5t0.xlsx</x:v>
      </x:c>
    </x:row>
    <x:row r="11158">
      <x:c r="A11158" s="15" t="n">
        <x:v>45231</x:v>
      </x:c>
      <x:c r="B11158" s="13" t="str">
        <x:v>BANCO BRADESCO S.A.</x:v>
      </x:c>
      <x:c r="C11158" s="16" t="n">
        <x:v>22771.3440706448</x:v>
      </x:c>
      <x:c r="D11158" s="13" t="str">
        <x:v>Banks</x:v>
      </x:c>
      <x:c r="E11158" s="13" t="str">
        <x:v>Banks</x:v>
      </x:c>
      <x:c r="F11158" s="13" t="str">
        <x:v>Financials</x:v>
      </x:c>
      <x:c r="G11158" s="13" t="str">
        <x:v>grid_wbaxp5t0.xlsx</x:v>
      </x:c>
    </x:row>
    <x:row r="11159">
      <x:c r="A11159" s="15" t="n">
        <x:v>45231</x:v>
      </x:c>
      <x:c r="B11159" s="13" t="str">
        <x:v>BANCO BRADESCO SA-PREF</x:v>
      </x:c>
      <x:c r="C11159" s="16" t="n">
        <x:v>22771.3440706448</x:v>
      </x:c>
      <x:c r="D11159" s="13" t="str">
        <x:v>Banks</x:v>
      </x:c>
      <x:c r="E11159" s="13" t="str">
        <x:v>Banks</x:v>
      </x:c>
      <x:c r="F11159" s="13" t="str">
        <x:v>Financials</x:v>
      </x:c>
      <x:c r="G11159" s="13" t="str">
        <x:v>grid_wbaxp5t0.xlsx</x:v>
      </x:c>
    </x:row>
    <x:row r="11160">
      <x:c r="A11160" s="15" t="n">
        <x:v>45231</x:v>
      </x:c>
      <x:c r="B11160" s="13" t="str">
        <x:v>BANCO BTG PACTUAL SA-UNIT</x:v>
      </x:c>
      <x:c r="C11160" s="16" t="n">
        <x:v>11872.411617224</x:v>
      </x:c>
      <x:c r="D11160" s="13" t="str">
        <x:v>Banks</x:v>
      </x:c>
      <x:c r="E11160" s="13" t="str">
        <x:v>Banks</x:v>
      </x:c>
      <x:c r="F11160" s="13" t="str">
        <x:v>Financials</x:v>
      </x:c>
      <x:c r="G11160" s="13" t="str">
        <x:v>grid_wbaxp5t0.xlsx</x:v>
      </x:c>
    </x:row>
    <x:row r="11161">
      <x:c r="A11161" s="15" t="n">
        <x:v>45231</x:v>
      </x:c>
      <x:c r="B11161" s="13" t="str">
        <x:v>BANCO DO BRASIL S.A.</x:v>
      </x:c>
      <x:c r="C11161" s="16" t="n">
        <x:v>36997.2122607213</x:v>
      </x:c>
      <x:c r="D11161" s="13" t="str">
        <x:v>Banks</x:v>
      </x:c>
      <x:c r="E11161" s="13" t="str">
        <x:v>Banks</x:v>
      </x:c>
      <x:c r="F11161" s="13" t="str">
        <x:v>Financials</x:v>
      </x:c>
      <x:c r="G11161" s="13" t="str">
        <x:v>grid_wbaxp5t0.xlsx</x:v>
      </x:c>
    </x:row>
    <x:row r="11162">
      <x:c r="A11162" s="15" t="n">
        <x:v>45231</x:v>
      </x:c>
      <x:c r="B11162" s="13" t="str">
        <x:v>BANCO SANTANDER  BRASIL-UNIT</x:v>
      </x:c>
      <x:c r="C11162" s="16" t="n">
        <x:v>13701.038516459</x:v>
      </x:c>
      <x:c r="D11162" s="13" t="str">
        <x:v>Banks</x:v>
      </x:c>
      <x:c r="E11162" s="13" t="str">
        <x:v>Banks</x:v>
      </x:c>
      <x:c r="F11162" s="13" t="str">
        <x:v>Financials</x:v>
      </x:c>
      <x:c r="G11162" s="13" t="str">
        <x:v>grid_wbaxp5t0.xlsx</x:v>
      </x:c>
    </x:row>
    <x:row r="11163">
      <x:c r="A11163" s="15" t="n">
        <x:v>45231</x:v>
      </x:c>
      <x:c r="B11163" s="13" t="str">
        <x:v>ITAU UNIBANCO HOLDING S-PREF</x:v>
      </x:c>
      <x:c r="C11163" s="16" t="n">
        <x:v>38928.2507009399</x:v>
      </x:c>
      <x:c r="D11163" s="13" t="str">
        <x:v>Banks</x:v>
      </x:c>
      <x:c r="E11163" s="13" t="str">
        <x:v>Banks</x:v>
      </x:c>
      <x:c r="F11163" s="13" t="str">
        <x:v>Financials</x:v>
      </x:c>
      <x:c r="G11163" s="13" t="str">
        <x:v>grid_wbaxp5t0.xlsx</x:v>
      </x:c>
    </x:row>
    <x:row r="11164">
      <x:c r="A11164" s="15" t="n">
        <x:v>45231</x:v>
      </x:c>
      <x:c r="B11164" s="13" t="str">
        <x:v>EMBRAER SA</x:v>
      </x:c>
      <x:c r="C11164" s="16" t="n">
        <x:v>1044.5718872131</x:v>
      </x:c>
      <x:c r="D11164" s="13" t="str">
        <x:v>Capital Goods</x:v>
      </x:c>
      <x:c r="E11164" s="13" t="str">
        <x:v>Capital Goods</x:v>
      </x:c>
      <x:c r="F11164" s="13" t="str">
        <x:v>Deep Cyclicals</x:v>
      </x:c>
      <x:c r="G11164" s="13" t="str">
        <x:v>grid_wbaxp5t0.xlsx</x:v>
      </x:c>
    </x:row>
    <x:row r="11165">
      <x:c r="A11165" s="15" t="n">
        <x:v>45231</x:v>
      </x:c>
      <x:c r="B11165" s="13" t="str">
        <x:v>WEG SA</x:v>
      </x:c>
      <x:c r="C11165" s="16" t="n">
        <x:v>5492.2304727432</x:v>
      </x:c>
      <x:c r="D11165" s="13" t="str">
        <x:v>Capital Goods</x:v>
      </x:c>
      <x:c r="E11165" s="13" t="str">
        <x:v>Capital Goods</x:v>
      </x:c>
      <x:c r="F11165" s="13" t="str">
        <x:v>Deep Cyclicals</x:v>
      </x:c>
      <x:c r="G11165" s="13" t="str">
        <x:v>grid_wbaxp5t0.xlsx</x:v>
      </x:c>
    </x:row>
    <x:row r="11166">
      <x:c r="A11166" s="15" t="n">
        <x:v>45231</x:v>
      </x:c>
      <x:c r="B11166" s="13" t="str">
        <x:v>COGNA EDUCACAO</x:v>
      </x:c>
      <x:c r="C11166" s="16" t="n">
        <x:v>394.1338781202</x:v>
      </x:c>
      <x:c r="D11166" s="13" t="str">
        <x:v>Education</x:v>
      </x:c>
      <x:c r="E11166" s="13" t="str">
        <x:v>Education</x:v>
      </x:c>
      <x:c r="F11166" s="13" t="str">
        <x:v>Early Cyclicals</x:v>
      </x:c>
      <x:c r="G11166" s="13" t="str">
        <x:v>grid_wbaxp5t0.xlsx</x:v>
      </x:c>
    </x:row>
    <x:row r="11167">
      <x:c r="A11167" s="15" t="n">
        <x:v>45231</x:v>
      </x:c>
      <x:c r="B11167" s="13" t="str">
        <x:v>YDUQS PARTICIPACOES SA</x:v>
      </x:c>
      <x:c r="C11167" s="16" t="n">
        <x:v>539.1087431694</x:v>
      </x:c>
      <x:c r="D11167" s="13" t="str">
        <x:v>Education</x:v>
      </x:c>
      <x:c r="E11167" s="13" t="str">
        <x:v>Education</x:v>
      </x:c>
      <x:c r="F11167" s="13" t="str">
        <x:v>Early Cyclicals</x:v>
      </x:c>
      <x:c r="G11167" s="13" t="str">
        <x:v>grid_wbaxp5t0.xlsx</x:v>
      </x:c>
    </x:row>
    <x:row r="11168">
      <x:c r="A11168" s="15" t="n">
        <x:v>45231</x:v>
      </x:c>
      <x:c r="B11168" s="13" t="str">
        <x:v>B3 SA-BRASIL BOLSA BALCAO</x:v>
      </x:c>
      <x:c r="C11168" s="16" t="n">
        <x:v>5100.442232306</x:v>
      </x:c>
      <x:c r="D11168" s="13" t="str">
        <x:v>Financials Non-Banks</x:v>
      </x:c>
      <x:c r="E11168" s="13" t="str">
        <x:v>Financials Non-Banks</x:v>
      </x:c>
      <x:c r="F11168" s="13" t="str">
        <x:v>Financials</x:v>
      </x:c>
      <x:c r="G11168" s="13" t="str">
        <x:v>grid_wbaxp5t0.xlsx</x:v>
      </x:c>
    </x:row>
    <x:row r="11169">
      <x:c r="A11169" s="15" t="n">
        <x:v>45231</x:v>
      </x:c>
      <x:c r="B11169" s="13" t="str">
        <x:v>BB SEGURIDADE PARTICIPACOES</x:v>
      </x:c>
      <x:c r="C11169" s="16" t="n">
        <x:v>7885.6791053989</x:v>
      </x:c>
      <x:c r="D11169" s="13" t="str">
        <x:v>Financials Non-Banks</x:v>
      </x:c>
      <x:c r="E11169" s="13" t="str">
        <x:v>Financials Non-Banks</x:v>
      </x:c>
      <x:c r="F11169" s="13" t="str">
        <x:v>Financials</x:v>
      </x:c>
      <x:c r="G11169" s="13" t="str">
        <x:v>grid_wbaxp5t0.xlsx</x:v>
      </x:c>
    </x:row>
    <x:row r="11170">
      <x:c r="A11170" s="15" t="n">
        <x:v>45231</x:v>
      </x:c>
      <x:c r="B11170" s="13" t="str">
        <x:v>CIELO SA - INSTITUICAO DE PA</x:v>
      </x:c>
      <x:c r="C11170" s="16" t="n">
        <x:v>1848.4818346667</x:v>
      </x:c>
      <x:c r="D11170" s="13" t="str">
        <x:v>Financials Non-Banks</x:v>
      </x:c>
      <x:c r="E11170" s="13" t="str">
        <x:v>Financials Non-Banks</x:v>
      </x:c>
      <x:c r="F11170" s="13" t="str">
        <x:v>Financials</x:v>
      </x:c>
      <x:c r="G11170" s="13" t="str">
        <x:v>grid_wbaxp5t0.xlsx</x:v>
      </x:c>
    </x:row>
    <x:row r="11171">
      <x:c r="A11171" s="15" t="n">
        <x:v>45231</x:v>
      </x:c>
      <x:c r="B11171" s="13" t="str">
        <x:v>IRB BRASIL RESSEGUROS SA</x:v>
      </x:c>
      <x:c r="C11171" s="16" t="n">
        <x:v>311.6896174863</x:v>
      </x:c>
      <x:c r="D11171" s="13" t="str">
        <x:v>Financials Non-Banks</x:v>
      </x:c>
      <x:c r="E11171" s="13" t="str">
        <x:v>Financials Non-Banks</x:v>
      </x:c>
      <x:c r="F11171" s="13" t="str">
        <x:v>Financials</x:v>
      </x:c>
      <x:c r="G11171" s="13" t="str">
        <x:v>grid_wbaxp5t0.xlsx</x:v>
      </x:c>
    </x:row>
    <x:row r="11172">
      <x:c r="A11172" s="15" t="n">
        <x:v>45231</x:v>
      </x:c>
      <x:c r="B11172" s="13" t="str">
        <x:v>ITAUSA SA</x:v>
      </x:c>
      <x:c r="C11172" s="16" t="n">
        <x:v>15239.0330418361</x:v>
      </x:c>
      <x:c r="D11172" s="13" t="str">
        <x:v>Financials Non-Banks</x:v>
      </x:c>
      <x:c r="E11172" s="13" t="str">
        <x:v>Financials Non-Banks</x:v>
      </x:c>
      <x:c r="F11172" s="13" t="str">
        <x:v>Financials</x:v>
      </x:c>
      <x:c r="G11172" s="13" t="str">
        <x:v>grid_wbaxp5t0.xlsx</x:v>
      </x:c>
    </x:row>
    <x:row r="11173">
      <x:c r="A11173" s="15" t="n">
        <x:v>45231</x:v>
      </x:c>
      <x:c r="B11173" s="13" t="str">
        <x:v>AMBEV SA</x:v>
      </x:c>
      <x:c r="C11173" s="16" t="n">
        <x:v>15834.7913148852</x:v>
      </x:c>
      <x:c r="D11173" s="13" t="str">
        <x:v>Food &amp; Beverages</x:v>
      </x:c>
      <x:c r="E11173" s="13" t="str">
        <x:v>Agri, Food &amp; Beverages</x:v>
      </x:c>
      <x:c r="F11173" s="13" t="str">
        <x:v>Defensives</x:v>
      </x:c>
      <x:c r="G11173" s="13" t="str">
        <x:v>grid_wbaxp5t0.xlsx</x:v>
      </x:c>
    </x:row>
    <x:row r="11174">
      <x:c r="A11174" s="15" t="n">
        <x:v>45231</x:v>
      </x:c>
      <x:c r="B11174" s="13" t="str">
        <x:v>BRF SA</x:v>
      </x:c>
      <x:c r="C11174" s="16" t="n">
        <x:v>393.6379598689</x:v>
      </x:c>
      <x:c r="D11174" s="13" t="str">
        <x:v>Food &amp; Beverages</x:v>
      </x:c>
      <x:c r="E11174" s="13" t="str">
        <x:v>Agri, Food &amp; Beverages</x:v>
      </x:c>
      <x:c r="F11174" s="13" t="str">
        <x:v>Defensives</x:v>
      </x:c>
      <x:c r="G11174" s="13" t="str">
        <x:v>grid_wbaxp5t0.xlsx</x:v>
      </x:c>
    </x:row>
    <x:row r="11175">
      <x:c r="A11175" s="15" t="n">
        <x:v>45231</x:v>
      </x:c>
      <x:c r="B11175" s="13" t="str">
        <x:v>MBRF GLOBAL FOODS COMPANY SA</x:v>
      </x:c>
      <x:c r="C11175" s="16" t="n">
        <x:v>-442.8599663388</x:v>
      </x:c>
      <x:c r="D11175" s="13" t="str">
        <x:v>Food &amp; Beverages</x:v>
      </x:c>
      <x:c r="E11175" s="13" t="str">
        <x:v>Agri, Food &amp; Beverages</x:v>
      </x:c>
      <x:c r="F11175" s="13" t="str">
        <x:v>Defensives</x:v>
      </x:c>
      <x:c r="G11175" s="13" t="str">
        <x:v>grid_wbaxp5t0.xlsx</x:v>
      </x:c>
    </x:row>
    <x:row r="11176">
      <x:c r="A11176" s="15" t="n">
        <x:v>45231</x:v>
      </x:c>
      <x:c r="B11176" s="13" t="str">
        <x:v>MINERVA SA</x:v>
      </x:c>
      <x:c r="C11176" s="16" t="n">
        <x:v>924.3432274536</x:v>
      </x:c>
      <x:c r="D11176" s="13" t="str">
        <x:v>Food &amp; Beverages</x:v>
      </x:c>
      <x:c r="E11176" s="13" t="str">
        <x:v>Agri, Food &amp; Beverages</x:v>
      </x:c>
      <x:c r="F11176" s="13" t="str">
        <x:v>Defensives</x:v>
      </x:c>
      <x:c r="G11176" s="13" t="str">
        <x:v>grid_wbaxp5t0.xlsx</x:v>
      </x:c>
    </x:row>
    <x:row r="11177">
      <x:c r="A11177" s="15" t="n">
        <x:v>45231</x:v>
      </x:c>
      <x:c r="B11177" s="13" t="str">
        <x:v>FLEURY SA</x:v>
      </x:c>
      <x:c r="C11177" s="16" t="n">
        <x:v>629.8904078689</x:v>
      </x:c>
      <x:c r="D11177" s="13" t="str">
        <x:v>Health Care</x:v>
      </x:c>
      <x:c r="E11177" s="13" t="str">
        <x:v>Health Care</x:v>
      </x:c>
      <x:c r="F11177" s="13" t="str">
        <x:v>Defensives</x:v>
      </x:c>
      <x:c r="G11177" s="13" t="str">
        <x:v>grid_wbaxp5t0.xlsx</x:v>
      </x:c>
    </x:row>
    <x:row r="11178">
      <x:c r="A11178" s="15" t="n">
        <x:v>45231</x:v>
      </x:c>
      <x:c r="B11178" s="13" t="str">
        <x:v>HAPVIDA PARTICIPACOES E INVE</x:v>
      </x:c>
      <x:c r="C11178" s="16" t="n">
        <x:v>1429.9529071038</x:v>
      </x:c>
      <x:c r="D11178" s="13" t="str">
        <x:v>Health Care</x:v>
      </x:c>
      <x:c r="E11178" s="13" t="str">
        <x:v>Health Care</x:v>
      </x:c>
      <x:c r="F11178" s="13" t="str">
        <x:v>Defensives</x:v>
      </x:c>
      <x:c r="G11178" s="13" t="str">
        <x:v>grid_wbaxp5t0.xlsx</x:v>
      </x:c>
    </x:row>
    <x:row r="11179">
      <x:c r="A11179" s="15" t="n">
        <x:v>45231</x:v>
      </x:c>
      <x:c r="B11179" s="13" t="str">
        <x:v>HYPERA SA</x:v>
      </x:c>
      <x:c r="C11179" s="16" t="n">
        <x:v>2012.5419065355</x:v>
      </x:c>
      <x:c r="D11179" s="13" t="str">
        <x:v>Health Care</x:v>
      </x:c>
      <x:c r="E11179" s="13" t="str">
        <x:v>Health Care</x:v>
      </x:c>
      <x:c r="F11179" s="13" t="str">
        <x:v>Defensives</x:v>
      </x:c>
      <x:c r="G11179" s="13" t="str">
        <x:v>grid_wbaxp5t0.xlsx</x:v>
      </x:c>
    </x:row>
    <x:row r="11180">
      <x:c r="A11180" s="15" t="n">
        <x:v>45231</x:v>
      </x:c>
      <x:c r="B11180" s="13" t="str">
        <x:v>REDE D'OR SAO LUIZ SA</x:v>
      </x:c>
      <x:c r="C11180" s="16" t="n">
        <x:v>2907.6330960437</x:v>
      </x:c>
      <x:c r="D11180" s="13" t="str">
        <x:v>Health Care</x:v>
      </x:c>
      <x:c r="E11180" s="13" t="str">
        <x:v>Health Care</x:v>
      </x:c>
      <x:c r="F11180" s="13" t="str">
        <x:v>Defensives</x:v>
      </x:c>
      <x:c r="G11180" s="13" t="str">
        <x:v>grid_wbaxp5t0.xlsx</x:v>
      </x:c>
    </x:row>
    <x:row r="11181">
      <x:c r="A11181" s="15" t="n">
        <x:v>45231</x:v>
      </x:c>
      <x:c r="B11181" s="13" t="str">
        <x:v>CYRELA BRAZIL REALTY SA EMP</x:v>
      </x:c>
      <x:c r="C11181" s="16" t="n">
        <x:v>1025.9746792568</x:v>
      </x:c>
      <x:c r="D11181" s="13" t="str">
        <x:v>Homebuilders</x:v>
      </x:c>
      <x:c r="E11181" s="13" t="str">
        <x:v>Real Estate</x:v>
      </x:c>
      <x:c r="F11181" s="13" t="str">
        <x:v>Early Cyclicals</x:v>
      </x:c>
      <x:c r="G11181" s="13" t="str">
        <x:v>grid_wbaxp5t0.xlsx</x:v>
      </x:c>
    </x:row>
    <x:row r="11182">
      <x:c r="A11182" s="15" t="n">
        <x:v>45231</x:v>
      </x:c>
      <x:c r="B11182" s="13" t="str">
        <x:v>EZ TEC EMPREENDIMENTOS E PAR</x:v>
      </x:c>
      <x:c r="C11182" s="16" t="n">
        <x:v>400.2453551913</x:v>
      </x:c>
      <x:c r="D11182" s="13" t="str">
        <x:v>Homebuilders</x:v>
      </x:c>
      <x:c r="E11182" s="13" t="str">
        <x:v>Real Estate</x:v>
      </x:c>
      <x:c r="F11182" s="13" t="str">
        <x:v>Early Cyclicals</x:v>
      </x:c>
      <x:c r="G11182" s="13" t="str">
        <x:v>grid_wbaxp5t0.xlsx</x:v>
      </x:c>
    </x:row>
    <x:row r="11183">
      <x:c r="A11183" s="15" t="n">
        <x:v>45231</x:v>
      </x:c>
      <x:c r="B11183" s="13" t="str">
        <x:v>MRV ENGENHARIA</x:v>
      </x:c>
      <x:c r="C11183" s="16" t="n">
        <x:v>636.1697121311</x:v>
      </x:c>
      <x:c r="D11183" s="13" t="str">
        <x:v>Homebuilders</x:v>
      </x:c>
      <x:c r="E11183" s="13" t="str">
        <x:v>Real Estate</x:v>
      </x:c>
      <x:c r="F11183" s="13" t="str">
        <x:v>Early Cyclicals</x:v>
      </x:c>
      <x:c r="G11183" s="13" t="str">
        <x:v>grid_wbaxp5t0.xlsx</x:v>
      </x:c>
    </x:row>
    <x:row r="11184">
      <x:c r="A11184" s="15" t="n">
        <x:v>45231</x:v>
      </x:c>
      <x:c r="B11184" s="13" t="str">
        <x:v>ALLOS SA</x:v>
      </x:c>
      <x:c r="C11184" s="16" t="n">
        <x:v>1019.924254776</x:v>
      </x:c>
      <x:c r="D11184" s="13" t="str">
        <x:v>Income Properties</x:v>
      </x:c>
      <x:c r="E11184" s="13" t="str">
        <x:v>Real Estate</x:v>
      </x:c>
      <x:c r="F11184" s="13" t="str">
        <x:v>Early Cyclicals</x:v>
      </x:c>
      <x:c r="G11184" s="13" t="str">
        <x:v>grid_wbaxp5t0.xlsx</x:v>
      </x:c>
    </x:row>
    <x:row r="11185">
      <x:c r="A11185" s="15" t="n">
        <x:v>45231</x:v>
      </x:c>
      <x:c r="B11185" s="13" t="str">
        <x:v>IGUATEMI SA - UNITS</x:v>
      </x:c>
      <x:c r="C11185" s="16" t="n">
        <x:v>431.5771871475</x:v>
      </x:c>
      <x:c r="D11185" s="13" t="str">
        <x:v>Income Properties</x:v>
      </x:c>
      <x:c r="E11185" s="13" t="str">
        <x:v>Real Estate</x:v>
      </x:c>
      <x:c r="F11185" s="13" t="str">
        <x:v>Early Cyclicals</x:v>
      </x:c>
      <x:c r="G11185" s="13" t="str">
        <x:v>grid_wbaxp5t0.xlsx</x:v>
      </x:c>
    </x:row>
    <x:row r="11186">
      <x:c r="A11186" s="15" t="n">
        <x:v>45231</x:v>
      </x:c>
      <x:c r="B11186" s="13" t="str">
        <x:v>MULTIPLAN EMPREENDIMENTOS</x:v>
      </x:c>
      <x:c r="C11186" s="16" t="n">
        <x:v>1027.0289617486</x:v>
      </x:c>
      <x:c r="D11186" s="13" t="str">
        <x:v>Income Properties</x:v>
      </x:c>
      <x:c r="E11186" s="13" t="str">
        <x:v>Real Estate</x:v>
      </x:c>
      <x:c r="F11186" s="13" t="str">
        <x:v>Early Cyclicals</x:v>
      </x:c>
      <x:c r="G11186" s="13" t="str">
        <x:v>grid_wbaxp5t0.xlsx</x:v>
      </x:c>
    </x:row>
    <x:row r="11187">
      <x:c r="A11187" s="15" t="n">
        <x:v>45231</x:v>
      </x:c>
      <x:c r="B11187" s="13" t="str">
        <x:v>BRADESPAR SA -PREF</x:v>
      </x:c>
      <x:c r="C11187" s="16" t="n">
        <x:v>2211.6612553443</x:v>
      </x:c>
      <x:c r="D11187" s="13" t="str">
        <x:v>Metals &amp; Mining</x:v>
      </x:c>
      <x:c r="E11187" s="13" t="str">
        <x:v>Metals &amp; Mining</x:v>
      </x:c>
      <x:c r="F11187" s="13" t="str">
        <x:v>Deep Cyclicals</x:v>
      </x:c>
      <x:c r="G11187" s="13" t="str">
        <x:v>grid_wbaxp5t0.xlsx</x:v>
      </x:c>
    </x:row>
    <x:row r="11188">
      <x:c r="A11188" s="15" t="n">
        <x:v>45231</x:v>
      </x:c>
      <x:c r="B11188" s="13" t="str">
        <x:v>CIA SIDERURGICA NACIONAL SA</x:v>
      </x:c>
      <x:c r="C11188" s="16" t="n">
        <x:v>1684.1370859891</x:v>
      </x:c>
      <x:c r="D11188" s="13" t="str">
        <x:v>Metals &amp; Mining</x:v>
      </x:c>
      <x:c r="E11188" s="13" t="str">
        <x:v>Metals &amp; Mining</x:v>
      </x:c>
      <x:c r="F11188" s="13" t="str">
        <x:v>Deep Cyclicals</x:v>
      </x:c>
      <x:c r="G11188" s="13" t="str">
        <x:v>grid_wbaxp5t0.xlsx</x:v>
      </x:c>
    </x:row>
    <x:row r="11189">
      <x:c r="A11189" s="15" t="n">
        <x:v>45231</x:v>
      </x:c>
      <x:c r="B11189" s="13" t="str">
        <x:v>CSN MINERACAO SA</x:v>
      </x:c>
      <x:c r="C11189" s="16" t="n">
        <x:v>2798.3411227978</x:v>
      </x:c>
      <x:c r="D11189" s="13" t="str">
        <x:v>Metals &amp; Mining</x:v>
      </x:c>
      <x:c r="E11189" s="13" t="str">
        <x:v>Metals &amp; Mining</x:v>
      </x:c>
      <x:c r="F11189" s="13" t="str">
        <x:v>Deep Cyclicals</x:v>
      </x:c>
      <x:c r="G11189" s="13" t="str">
        <x:v>grid_wbaxp5t0.xlsx</x:v>
      </x:c>
    </x:row>
    <x:row r="11190">
      <x:c r="A11190" s="15" t="n">
        <x:v>45231</x:v>
      </x:c>
      <x:c r="B11190" s="13" t="str">
        <x:v>GERDAU SA-PREF</x:v>
      </x:c>
      <x:c r="C11190" s="16" t="n">
        <x:v>6227.1841895519</x:v>
      </x:c>
      <x:c r="D11190" s="13" t="str">
        <x:v>Metals &amp; Mining</x:v>
      </x:c>
      <x:c r="E11190" s="13" t="str">
        <x:v>Metals &amp; Mining</x:v>
      </x:c>
      <x:c r="F11190" s="13" t="str">
        <x:v>Deep Cyclicals</x:v>
      </x:c>
      <x:c r="G11190" s="13" t="str">
        <x:v>grid_wbaxp5t0.xlsx</x:v>
      </x:c>
    </x:row>
    <x:row r="11191">
      <x:c r="A11191" s="15" t="n">
        <x:v>45231</x:v>
      </x:c>
      <x:c r="B11191" s="13" t="str">
        <x:v>METALURGICA GERDAU SA-PREF</x:v>
      </x:c>
      <x:c r="C11191" s="16" t="n">
        <x:v>2175.4535627541</x:v>
      </x:c>
      <x:c r="D11191" s="13" t="str">
        <x:v>Metals &amp; Mining</x:v>
      </x:c>
      <x:c r="E11191" s="13" t="str">
        <x:v>Metals &amp; Mining</x:v>
      </x:c>
      <x:c r="F11191" s="13" t="str">
        <x:v>Deep Cyclicals</x:v>
      </x:c>
      <x:c r="G11191" s="13" t="str">
        <x:v>grid_wbaxp5t0.xlsx</x:v>
      </x:c>
    </x:row>
    <x:row r="11192">
      <x:c r="A11192" s="15" t="n">
        <x:v>45231</x:v>
      </x:c>
      <x:c r="B11192" s="13" t="str">
        <x:v>USINAS SIDER MINAS GER-PF A</x:v>
      </x:c>
      <x:c r="C11192" s="16" t="n">
        <x:v>1076.8820213333</x:v>
      </x:c>
      <x:c r="D11192" s="13" t="str">
        <x:v>Metals &amp; Mining</x:v>
      </x:c>
      <x:c r="E11192" s="13" t="str">
        <x:v>Metals &amp; Mining</x:v>
      </x:c>
      <x:c r="F11192" s="13" t="str">
        <x:v>Deep Cyclicals</x:v>
      </x:c>
      <x:c r="G11192" s="13" t="str">
        <x:v>grid_wbaxp5t0.xlsx</x:v>
      </x:c>
    </x:row>
    <x:row r="11193">
      <x:c r="A11193" s="15" t="n">
        <x:v>45231</x:v>
      </x:c>
      <x:c r="B11193" s="13" t="str">
        <x:v>VALE SA</x:v>
      </x:c>
      <x:c r="C11193" s="16" t="n">
        <x:v>47787.3483820765</x:v>
      </x:c>
      <x:c r="D11193" s="13" t="str">
        <x:v>Metals &amp; Mining</x:v>
      </x:c>
      <x:c r="E11193" s="13" t="str">
        <x:v>Metals &amp; Mining</x:v>
      </x:c>
      <x:c r="F11193" s="13" t="str">
        <x:v>Deep Cyclicals</x:v>
      </x:c>
      <x:c r="G11193" s="13" t="str">
        <x:v>grid_wbaxp5t0.xlsx</x:v>
      </x:c>
    </x:row>
    <x:row r="11194">
      <x:c r="A11194" s="15" t="n">
        <x:v>45231</x:v>
      </x:c>
      <x:c r="B11194" s="13" t="str">
        <x:v>BRASKEM SA-PREF A</x:v>
      </x:c>
      <x:c r="C11194" s="16" t="n">
        <x:v>-1683.5770425355</x:v>
      </x:c>
      <x:c r="D11194" s="13" t="str">
        <x:v>Oil, Gas &amp; Petrochemicals</x:v>
      </x:c>
      <x:c r="E11194" s="13" t="str">
        <x:v>Oil, Gas &amp; Petrochemicals</x:v>
      </x:c>
      <x:c r="F11194" s="13" t="str">
        <x:v>Deep Cyclicals</x:v>
      </x:c>
      <x:c r="G11194" s="13" t="str">
        <x:v>grid_wbaxp5t0.xlsx</x:v>
      </x:c>
    </x:row>
    <x:row r="11195">
      <x:c r="A11195" s="15" t="n">
        <x:v>45231</x:v>
      </x:c>
      <x:c r="B11195" s="13" t="str">
        <x:v>BRAVA ENERGIA</x:v>
      </x:c>
      <x:c r="C11195" s="16" t="n">
        <x:v>1935.9067616175</x:v>
      </x:c>
      <x:c r="D11195" s="13" t="str">
        <x:v>Oil, Gas &amp; Petrochemicals</x:v>
      </x:c>
      <x:c r="E11195" s="13" t="str">
        <x:v>Oil, Gas &amp; Petrochemicals</x:v>
      </x:c>
      <x:c r="F11195" s="13" t="str">
        <x:v>Deep Cyclicals</x:v>
      </x:c>
      <x:c r="G11195" s="13" t="str">
        <x:v>grid_wbaxp5t0.xlsx</x:v>
      </x:c>
    </x:row>
    <x:row r="11196">
      <x:c r="A11196" s="15" t="n">
        <x:v>45231</x:v>
      </x:c>
      <x:c r="B11196" s="13" t="str">
        <x:v>COSAN SA</x:v>
      </x:c>
      <x:c r="C11196" s="16" t="n">
        <x:v>3113.8018750601</x:v>
      </x:c>
      <x:c r="D11196" s="13" t="str">
        <x:v>Oil, Gas &amp; Petrochemicals</x:v>
      </x:c>
      <x:c r="E11196" s="13" t="str">
        <x:v>Oil, Gas &amp; Petrochemicals</x:v>
      </x:c>
      <x:c r="F11196" s="13" t="str">
        <x:v>Deep Cyclicals</x:v>
      </x:c>
      <x:c r="G11196" s="13" t="str">
        <x:v>grid_wbaxp5t0.xlsx</x:v>
      </x:c>
    </x:row>
    <x:row r="11197">
      <x:c r="A11197" s="15" t="n">
        <x:v>45231</x:v>
      </x:c>
      <x:c r="B11197" s="13" t="str">
        <x:v>PETROBRAS - PETROLEO BRAS</x:v>
      </x:c>
      <x:c r="C11197" s="16" t="n">
        <x:v>111996.671966426</x:v>
      </x:c>
      <x:c r="D11197" s="13" t="str">
        <x:v>Oil, Gas &amp; Petrochemicals</x:v>
      </x:c>
      <x:c r="E11197" s="13" t="str">
        <x:v>Oil, Gas &amp; Petrochemicals</x:v>
      </x:c>
      <x:c r="F11197" s="13" t="str">
        <x:v>Deep Cyclicals</x:v>
      </x:c>
      <x:c r="G11197" s="13" t="str">
        <x:v>grid_wbaxp5t0.xlsx</x:v>
      </x:c>
    </x:row>
    <x:row r="11198">
      <x:c r="A11198" s="15" t="n">
        <x:v>45231</x:v>
      </x:c>
      <x:c r="B11198" s="13" t="str">
        <x:v>PETRORECONCAVO SA</x:v>
      </x:c>
      <x:c r="C11198" s="16" t="n">
        <x:v>1698.3621179454</x:v>
      </x:c>
      <x:c r="D11198" s="13" t="str">
        <x:v>Oil, Gas &amp; Petrochemicals</x:v>
      </x:c>
      <x:c r="E11198" s="13" t="str">
        <x:v>Oil, Gas &amp; Petrochemicals</x:v>
      </x:c>
      <x:c r="F11198" s="13" t="str">
        <x:v>Deep Cyclicals</x:v>
      </x:c>
      <x:c r="G11198" s="13" t="str">
        <x:v>grid_wbaxp5t0.xlsx</x:v>
      </x:c>
    </x:row>
    <x:row r="11199">
      <x:c r="A11199" s="15" t="n">
        <x:v>45231</x:v>
      </x:c>
      <x:c r="B11199" s="13" t="str">
        <x:v>PRIO SA</x:v>
      </x:c>
      <x:c r="C11199" s="16" t="n">
        <x:v>8443.7003652896</x:v>
      </x:c>
      <x:c r="D11199" s="13" t="str">
        <x:v>Oil, Gas &amp; Petrochemicals</x:v>
      </x:c>
      <x:c r="E11199" s="13" t="str">
        <x:v>Oil, Gas &amp; Petrochemicals</x:v>
      </x:c>
      <x:c r="F11199" s="13" t="str">
        <x:v>Deep Cyclicals</x:v>
      </x:c>
      <x:c r="G11199" s="13" t="str">
        <x:v>grid_wbaxp5t0.xlsx</x:v>
      </x:c>
    </x:row>
    <x:row r="11200">
      <x:c r="A11200" s="15" t="n">
        <x:v>45231</x:v>
      </x:c>
      <x:c r="B11200" s="13" t="str">
        <x:v>ULTRAPAR PARTICIPACOES SA</x:v>
      </x:c>
      <x:c r="C11200" s="16" t="n">
        <x:v>1615.499888612</x:v>
      </x:c>
      <x:c r="D11200" s="13" t="str">
        <x:v>Oil, Gas &amp; Petrochemicals</x:v>
      </x:c>
      <x:c r="E11200" s="13" t="str">
        <x:v>Oil, Gas &amp; Petrochemicals</x:v>
      </x:c>
      <x:c r="F11200" s="13" t="str">
        <x:v>Deep Cyclicals</x:v>
      </x:c>
      <x:c r="G11200" s="13" t="str">
        <x:v>grid_wbaxp5t0.xlsx</x:v>
      </x:c>
    </x:row>
    <x:row r="11201">
      <x:c r="A11201" s="15" t="n">
        <x:v>45231</x:v>
      </x:c>
      <x:c r="B11201" s="13" t="str">
        <x:v>VIBRA ENERGIA SA</x:v>
      </x:c>
      <x:c r="C11201" s="16" t="n">
        <x:v>2288.2726875628</x:v>
      </x:c>
      <x:c r="D11201" s="13" t="str">
        <x:v>Oil, Gas &amp; Petrochemicals</x:v>
      </x:c>
      <x:c r="E11201" s="13" t="str">
        <x:v>Oil, Gas &amp; Petrochemicals</x:v>
      </x:c>
      <x:c r="F11201" s="13" t="str">
        <x:v>Deep Cyclicals</x:v>
      </x:c>
      <x:c r="G11201" s="13" t="str">
        <x:v>grid_wbaxp5t0.xlsx</x:v>
      </x:c>
    </x:row>
    <x:row r="11202">
      <x:c r="A11202" s="15" t="n">
        <x:v>45231</x:v>
      </x:c>
      <x:c r="B11202" s="13" t="str">
        <x:v>DEXCO SA</x:v>
      </x:c>
      <x:c r="C11202" s="16" t="n">
        <x:v>345.3141530055</x:v>
      </x:c>
      <x:c r="D11202" s="13" t="str">
        <x:v>Pulp &amp; Paper</x:v>
      </x:c>
      <x:c r="E11202" s="13" t="str">
        <x:v>Pulp &amp; Paper</x:v>
      </x:c>
      <x:c r="F11202" s="13" t="str">
        <x:v>Deep Cyclicals</x:v>
      </x:c>
      <x:c r="G11202" s="13" t="str">
        <x:v>grid_wbaxp5t0.xlsx</x:v>
      </x:c>
    </x:row>
    <x:row r="11203">
      <x:c r="A11203" s="15" t="n">
        <x:v>45231</x:v>
      </x:c>
      <x:c r="B11203" s="13" t="str">
        <x:v>KLABIN SA - UNIT</x:v>
      </x:c>
      <x:c r="C11203" s="16" t="n">
        <x:v>2168.5389083279</x:v>
      </x:c>
      <x:c r="D11203" s="13" t="str">
        <x:v>Pulp &amp; Paper</x:v>
      </x:c>
      <x:c r="E11203" s="13" t="str">
        <x:v>Pulp &amp; Paper</x:v>
      </x:c>
      <x:c r="F11203" s="13" t="str">
        <x:v>Deep Cyclicals</x:v>
      </x:c>
      <x:c r="G11203" s="13" t="str">
        <x:v>grid_wbaxp5t0.xlsx</x:v>
      </x:c>
    </x:row>
    <x:row r="11204">
      <x:c r="A11204" s="15" t="n">
        <x:v>45231</x:v>
      </x:c>
      <x:c r="B11204" s="13" t="str">
        <x:v>SUZANO SA</x:v>
      </x:c>
      <x:c r="C11204" s="16" t="n">
        <x:v>6071.2649232787</x:v>
      </x:c>
      <x:c r="D11204" s="13" t="str">
        <x:v>Pulp &amp; Paper</x:v>
      </x:c>
      <x:c r="E11204" s="13" t="str">
        <x:v>Pulp &amp; Paper</x:v>
      </x:c>
      <x:c r="F11204" s="13" t="str">
        <x:v>Deep Cyclicals</x:v>
      </x:c>
      <x:c r="G11204" s="13" t="str">
        <x:v>grid_wbaxp5t0.xlsx</x:v>
      </x:c>
    </x:row>
    <x:row r="11205">
      <x:c r="A11205" s="15" t="n">
        <x:v>45231</x:v>
      </x:c>
      <x:c r="B11205" s="13" t="str">
        <x:v>ALPARGATAS SA - PREF</x:v>
      </x:c>
      <x:c r="C11205" s="16" t="n">
        <x:v>295.2783060109</x:v>
      </x:c>
      <x:c r="D11205" s="13" t="str">
        <x:v>Retail</x:v>
      </x:c>
      <x:c r="E11205" s="13" t="str">
        <x:v>Retail</x:v>
      </x:c>
      <x:c r="F11205" s="13" t="str">
        <x:v>Early Cyclicals</x:v>
      </x:c>
      <x:c r="G11205" s="13" t="str">
        <x:v>grid_wbaxp5t0.xlsx</x:v>
      </x:c>
    </x:row>
    <x:row r="11206">
      <x:c r="A11206" s="15" t="n">
        <x:v>45231</x:v>
      </x:c>
      <x:c r="B11206" s="13" t="str">
        <x:v>ATACADAO SA</x:v>
      </x:c>
      <x:c r="C11206" s="16" t="n">
        <x:v>1463.4665539672</x:v>
      </x:c>
      <x:c r="D11206" s="13" t="str">
        <x:v>Retail</x:v>
      </x:c>
      <x:c r="E11206" s="13" t="str">
        <x:v>Retail</x:v>
      </x:c>
      <x:c r="F11206" s="13" t="str">
        <x:v>Early Cyclicals</x:v>
      </x:c>
      <x:c r="G11206" s="13" t="str">
        <x:v>grid_wbaxp5t0.xlsx</x:v>
      </x:c>
    </x:row>
    <x:row r="11207">
      <x:c r="A11207" s="15" t="n">
        <x:v>45231</x:v>
      </x:c>
      <x:c r="B11207" s="13" t="str">
        <x:v>AZZAS 2154 SA</x:v>
      </x:c>
      <x:c r="C11207" s="16" t="n">
        <x:v>520.4425556284</x:v>
      </x:c>
      <x:c r="D11207" s="13" t="str">
        <x:v>Retail</x:v>
      </x:c>
      <x:c r="E11207" s="13" t="str">
        <x:v>Retail</x:v>
      </x:c>
      <x:c r="F11207" s="13" t="str">
        <x:v>Early Cyclicals</x:v>
      </x:c>
      <x:c r="G11207" s="13" t="str">
        <x:v>grid_wbaxp5t0.xlsx</x:v>
      </x:c>
    </x:row>
    <x:row r="11208">
      <x:c r="A11208" s="15" t="n">
        <x:v>45231</x:v>
      </x:c>
      <x:c r="B11208" s="13" t="str">
        <x:v>CIA BRASILEIRA DE DISTRIBUIC</x:v>
      </x:c>
      <x:c r="C11208" s="16" t="n">
        <x:v>-453.2244494863</x:v>
      </x:c>
      <x:c r="D11208" s="13" t="str">
        <x:v>Retail</x:v>
      </x:c>
      <x:c r="E11208" s="13" t="str">
        <x:v>Retail</x:v>
      </x:c>
      <x:c r="F11208" s="13" t="str">
        <x:v>Early Cyclicals</x:v>
      </x:c>
      <x:c r="G11208" s="13" t="str">
        <x:v>grid_wbaxp5t0.xlsx</x:v>
      </x:c>
    </x:row>
    <x:row r="11209">
      <x:c r="A11209" s="15" t="n">
        <x:v>45231</x:v>
      </x:c>
      <x:c r="B11209" s="13" t="str">
        <x:v>CVC BRASIL OPERADORA E AGENC</x:v>
      </x:c>
      <x:c r="C11209" s="16" t="n">
        <x:v>-79.8476625683</x:v>
      </x:c>
      <x:c r="D11209" s="13" t="str">
        <x:v>Retail</x:v>
      </x:c>
      <x:c r="E11209" s="13" t="str">
        <x:v>Retail</x:v>
      </x:c>
      <x:c r="F11209" s="13" t="str">
        <x:v>Early Cyclicals</x:v>
      </x:c>
      <x:c r="G11209" s="13" t="str">
        <x:v>grid_wbaxp5t0.xlsx</x:v>
      </x:c>
    </x:row>
    <x:row r="11210">
      <x:c r="A11210" s="15" t="n">
        <x:v>45231</x:v>
      </x:c>
      <x:c r="B11210" s="13" t="str">
        <x:v>GRUPO CASAS BAHIA SA</x:v>
      </x:c>
      <x:c r="C11210" s="16" t="n">
        <x:v>-457.1773953224</x:v>
      </x:c>
      <x:c r="D11210" s="13" t="str">
        <x:v>Retail</x:v>
      </x:c>
      <x:c r="E11210" s="13" t="str">
        <x:v>Retail</x:v>
      </x:c>
      <x:c r="F11210" s="13" t="str">
        <x:v>Early Cyclicals</x:v>
      </x:c>
      <x:c r="G11210" s="13" t="str">
        <x:v>grid_wbaxp5t0.xlsx</x:v>
      </x:c>
    </x:row>
    <x:row r="11211">
      <x:c r="A11211" s="15" t="n">
        <x:v>45231</x:v>
      </x:c>
      <x:c r="B11211" s="13" t="str">
        <x:v>GRUPO DE MODA SOMA SA</x:v>
      </x:c>
      <x:c r="C11211" s="16" t="n">
        <x:v>448.9639344262</x:v>
      </x:c>
      <x:c r="D11211" s="13" t="str">
        <x:v>Retail</x:v>
      </x:c>
      <x:c r="E11211" s="13" t="str">
        <x:v>Retail</x:v>
      </x:c>
      <x:c r="F11211" s="13" t="str">
        <x:v>Early Cyclicals</x:v>
      </x:c>
      <x:c r="G11211" s="13" t="str">
        <x:v>grid_wbaxp5t0.xlsx</x:v>
      </x:c>
    </x:row>
    <x:row r="11212">
      <x:c r="A11212" s="15" t="n">
        <x:v>45231</x:v>
      </x:c>
      <x:c r="B11212" s="13" t="str">
        <x:v>LOJAS RENNER S.A.</x:v>
      </x:c>
      <x:c r="C11212" s="16" t="n">
        <x:v>1188.3691549727</x:v>
      </x:c>
      <x:c r="D11212" s="13" t="str">
        <x:v>Retail</x:v>
      </x:c>
      <x:c r="E11212" s="13" t="str">
        <x:v>Retail</x:v>
      </x:c>
      <x:c r="F11212" s="13" t="str">
        <x:v>Early Cyclicals</x:v>
      </x:c>
      <x:c r="G11212" s="13" t="str">
        <x:v>grid_wbaxp5t0.xlsx</x:v>
      </x:c>
    </x:row>
    <x:row r="11213">
      <x:c r="A11213" s="15" t="n">
        <x:v>45231</x:v>
      </x:c>
      <x:c r="B11213" s="13" t="str">
        <x:v>MAGAZINE LUIZA SA</x:v>
      </x:c>
      <x:c r="C11213" s="16" t="n">
        <x:v>170.4051311475</x:v>
      </x:c>
      <x:c r="D11213" s="13" t="str">
        <x:v>Retail</x:v>
      </x:c>
      <x:c r="E11213" s="13" t="str">
        <x:v>Retail</x:v>
      </x:c>
      <x:c r="F11213" s="13" t="str">
        <x:v>Early Cyclicals</x:v>
      </x:c>
      <x:c r="G11213" s="13" t="str">
        <x:v>grid_wbaxp5t0.xlsx</x:v>
      </x:c>
    </x:row>
    <x:row r="11214">
      <x:c r="A11214" s="15" t="n">
        <x:v>45231</x:v>
      </x:c>
      <x:c r="B11214" s="13" t="str">
        <x:v>NATURA &amp;CO HOLDING SA</x:v>
      </x:c>
      <x:c r="C11214" s="16" t="n">
        <x:v>938.7081105137</x:v>
      </x:c>
      <x:c r="D11214" s="13" t="str">
        <x:v>Retail</x:v>
      </x:c>
      <x:c r="E11214" s="13" t="str">
        <x:v>Retail</x:v>
      </x:c>
      <x:c r="F11214" s="13" t="str">
        <x:v>Early Cyclicals</x:v>
      </x:c>
      <x:c r="G11214" s="13" t="str">
        <x:v>grid_wbaxp5t0.xlsx</x:v>
      </x:c>
    </x:row>
    <x:row r="11215">
      <x:c r="A11215" s="15" t="n">
        <x:v>45231</x:v>
      </x:c>
      <x:c r="B11215" s="13" t="str">
        <x:v>PET CENTER COMERCIO E PARTIC</x:v>
      </x:c>
      <x:c r="C11215" s="16" t="n">
        <x:v>121.5873928306</x:v>
      </x:c>
      <x:c r="D11215" s="13" t="str">
        <x:v>Retail</x:v>
      </x:c>
      <x:c r="E11215" s="13" t="str">
        <x:v>Retail</x:v>
      </x:c>
      <x:c r="F11215" s="13" t="str">
        <x:v>Early Cyclicals</x:v>
      </x:c>
      <x:c r="G11215" s="13" t="str">
        <x:v>grid_wbaxp5t0.xlsx</x:v>
      </x:c>
    </x:row>
    <x:row r="11216">
      <x:c r="A11216" s="15" t="n">
        <x:v>45231</x:v>
      </x:c>
      <x:c r="B11216" s="13" t="str">
        <x:v>RAIA DROGASIL SA</x:v>
      </x:c>
      <x:c r="C11216" s="16" t="n">
        <x:v>1490.394767388</x:v>
      </x:c>
      <x:c r="D11216" s="13" t="str">
        <x:v>Retail</x:v>
      </x:c>
      <x:c r="E11216" s="13" t="str">
        <x:v>Retail</x:v>
      </x:c>
      <x:c r="F11216" s="13" t="str">
        <x:v>Early Cyclicals</x:v>
      </x:c>
      <x:c r="G11216" s="13" t="str">
        <x:v>grid_wbaxp5t0.xlsx</x:v>
      </x:c>
    </x:row>
    <x:row r="11217">
      <x:c r="A11217" s="15" t="n">
        <x:v>45231</x:v>
      </x:c>
      <x:c r="B11217" s="13" t="str">
        <x:v>SENDAS DISTRIBUIDORA SA</x:v>
      </x:c>
      <x:c r="C11217" s="16" t="n">
        <x:v>1161.7533345574</x:v>
      </x:c>
      <x:c r="D11217" s="13" t="str">
        <x:v>Retail</x:v>
      </x:c>
      <x:c r="E11217" s="13" t="str">
        <x:v>Retail</x:v>
      </x:c>
      <x:c r="F11217" s="13" t="str">
        <x:v>Early Cyclicals</x:v>
      </x:c>
      <x:c r="G11217" s="13" t="str">
        <x:v>grid_wbaxp5t0.xlsx</x:v>
      </x:c>
    </x:row>
    <x:row r="11218">
      <x:c r="A11218" s="15" t="n">
        <x:v>45231</x:v>
      </x:c>
      <x:c r="B11218" s="13" t="str">
        <x:v>CIA SANEAMENTO BASICO DE SP</x:v>
      </x:c>
      <x:c r="C11218" s="16" t="n">
        <x:v>4273.4989940109</x:v>
      </x:c>
      <x:c r="D11218" s="13" t="str">
        <x:v>Sanitation</x:v>
      </x:c>
      <x:c r="E11218" s="13" t="str">
        <x:v>Utilities</x:v>
      </x:c>
      <x:c r="F11218" s="13" t="str">
        <x:v>Defensives</x:v>
      </x:c>
      <x:c r="G11218" s="13" t="str">
        <x:v>grid_wbaxp5t0.xlsx</x:v>
      </x:c>
    </x:row>
    <x:row r="11219">
      <x:c r="A11219" s="15" t="n">
        <x:v>45231</x:v>
      </x:c>
      <x:c r="B11219" s="13" t="str">
        <x:v>LWSA SA</x:v>
      </x:c>
      <x:c r="C11219" s="16" t="n">
        <x:v>129.8821038251</x:v>
      </x:c>
      <x:c r="D11219" s="13" t="str">
        <x:v>TMT</x:v>
      </x:c>
      <x:c r="E11219" s="13" t="str">
        <x:v>TMT</x:v>
      </x:c>
      <x:c r="F11219" s="13" t="str">
        <x:v>Early Cyclicals</x:v>
      </x:c>
      <x:c r="G11219" s="13" t="str">
        <x:v>grid_wbaxp5t0.xlsx</x:v>
      </x:c>
    </x:row>
    <x:row r="11220">
      <x:c r="A11220" s="15" t="n">
        <x:v>45231</x:v>
      </x:c>
      <x:c r="B11220" s="13" t="str">
        <x:v>TIM SA</x:v>
      </x:c>
      <x:c r="C11220" s="16" t="n">
        <x:v>3177.0380282404</x:v>
      </x:c>
      <x:c r="D11220" s="13" t="str">
        <x:v>TMT</x:v>
      </x:c>
      <x:c r="E11220" s="13" t="str">
        <x:v>TMT</x:v>
      </x:c>
      <x:c r="F11220" s="13" t="str">
        <x:v>Early Cyclicals</x:v>
      </x:c>
      <x:c r="G11220" s="13" t="str">
        <x:v>grid_wbaxp5t0.xlsx</x:v>
      </x:c>
    </x:row>
    <x:row r="11221">
      <x:c r="A11221" s="15" t="n">
        <x:v>45231</x:v>
      </x:c>
      <x:c r="B11221" s="13" t="str">
        <x:v>TOTVS SA</x:v>
      </x:c>
      <x:c r="C11221" s="16" t="n">
        <x:v>795.5342959563</x:v>
      </x:c>
      <x:c r="D11221" s="13" t="str">
        <x:v>TMT</x:v>
      </x:c>
      <x:c r="E11221" s="13" t="str">
        <x:v>TMT</x:v>
      </x:c>
      <x:c r="F11221" s="13" t="str">
        <x:v>Early Cyclicals</x:v>
      </x:c>
      <x:c r="G11221" s="13" t="str">
        <x:v>grid_wbaxp5t0.xlsx</x:v>
      </x:c>
    </x:row>
    <x:row r="11222">
      <x:c r="A11222" s="15" t="n">
        <x:v>45231</x:v>
      </x:c>
      <x:c r="B11222" s="13" t="str">
        <x:v>AZUL SA</x:v>
      </x:c>
      <x:c r="C11222" s="16" t="n">
        <x:v>572.2985297486</x:v>
      </x:c>
      <x:c r="D11222" s="13" t="str">
        <x:v>Transportation</x:v>
      </x:c>
      <x:c r="E11222" s="13" t="str">
        <x:v>Transportation</x:v>
      </x:c>
      <x:c r="F11222" s="13" t="str">
        <x:v>Deep Cyclicals</x:v>
      </x:c>
      <x:c r="G11222" s="13" t="str">
        <x:v>grid_wbaxp5t0.xlsx</x:v>
      </x:c>
    </x:row>
    <x:row r="11223">
      <x:c r="A11223" s="15" t="n">
        <x:v>45231</x:v>
      </x:c>
      <x:c r="B11223" s="13" t="str">
        <x:v>GOL LINHAS AEREAS INT SA-PRE</x:v>
      </x:c>
      <x:c r="C11223" s="16" t="n">
        <x:v>549.9016183607</x:v>
      </x:c>
      <x:c r="D11223" s="13" t="str">
        <x:v>Transportation</x:v>
      </x:c>
      <x:c r="E11223" s="13" t="str">
        <x:v>Transportation</x:v>
      </x:c>
      <x:c r="F11223" s="13" t="str">
        <x:v>Deep Cyclicals</x:v>
      </x:c>
      <x:c r="G11223" s="13" t="str">
        <x:v>grid_wbaxp5t0.xlsx</x:v>
      </x:c>
    </x:row>
    <x:row r="11224">
      <x:c r="A11224" s="15" t="n">
        <x:v>45231</x:v>
      </x:c>
      <x:c r="B11224" s="13" t="str">
        <x:v>LOCALIZA RENT A CAR</x:v>
      </x:c>
      <x:c r="C11224" s="16" t="n">
        <x:v>3696.6527394973</x:v>
      </x:c>
      <x:c r="D11224" s="13" t="str">
        <x:v>Transportation</x:v>
      </x:c>
      <x:c r="E11224" s="13" t="str">
        <x:v>Transportation</x:v>
      </x:c>
      <x:c r="F11224" s="13" t="str">
        <x:v>Deep Cyclicals</x:v>
      </x:c>
      <x:c r="G11224" s="13" t="str">
        <x:v>grid_wbaxp5t0.xlsx</x:v>
      </x:c>
    </x:row>
    <x:row r="11225">
      <x:c r="A11225" s="15" t="n">
        <x:v>45231</x:v>
      </x:c>
      <x:c r="B11225" s="13" t="str">
        <x:v>MOTIVA INFRAESTRUTURA DE MOB</x:v>
      </x:c>
      <x:c r="C11225" s="16" t="n">
        <x:v>1678.4229508197</x:v>
      </x:c>
      <x:c r="D11225" s="13" t="str">
        <x:v>Transportation</x:v>
      </x:c>
      <x:c r="E11225" s="13" t="str">
        <x:v>Transportation</x:v>
      </x:c>
      <x:c r="F11225" s="13" t="str">
        <x:v>Deep Cyclicals</x:v>
      </x:c>
      <x:c r="G11225" s="13" t="str">
        <x:v>grid_wbaxp5t0.xlsx</x:v>
      </x:c>
    </x:row>
    <x:row r="11226">
      <x:c r="A11226" s="15" t="n">
        <x:v>45231</x:v>
      </x:c>
      <x:c r="B11226" s="13" t="str">
        <x:v>RUMO SA</x:v>
      </x:c>
      <x:c r="C11226" s="16" t="n">
        <x:v>1881.0576146885</x:v>
      </x:c>
      <x:c r="D11226" s="13" t="str">
        <x:v>Transportation</x:v>
      </x:c>
      <x:c r="E11226" s="13" t="str">
        <x:v>Transportation</x:v>
      </x:c>
      <x:c r="F11226" s="13" t="str">
        <x:v>Deep Cyclicals</x:v>
      </x:c>
      <x:c r="G11226" s="13" t="str">
        <x:v>grid_wbaxp5t0.xlsx</x:v>
      </x:c>
    </x:row>
    <x:row r="11227">
      <x:c r="A11227" s="15" t="n">
        <x:v>45231</x:v>
      </x:c>
      <x:c r="B11227" s="13" t="str">
        <x:v>VAMOS LOCACAO DE CAMINHOES M</x:v>
      </x:c>
      <x:c r="C11227" s="16" t="n">
        <x:v>1080.7686085246</x:v>
      </x:c>
      <x:c r="D11227" s="13" t="str">
        <x:v>Transportation</x:v>
      </x:c>
      <x:c r="E11227" s="13" t="str">
        <x:v>Transportation</x:v>
      </x:c>
      <x:c r="F11227" s="13" t="str">
        <x:v>Deep Cyclicals</x:v>
      </x:c>
      <x:c r="G11227" s="13" t="str">
        <x:v>grid_wbaxp5t0.xlsx</x:v>
      </x:c>
    </x:row>
    <x:row r="11228">
      <x:c r="A11228" s="15" t="n">
        <x:v>45231</x:v>
      </x:c>
      <x:c r="B11228" s="13" t="str">
        <x:v>AXIA ENERGIA SA</x:v>
      </x:c>
      <x:c r="C11228" s="16" t="n">
        <x:v>9683.1881176831</x:v>
      </x:c>
      <x:c r="D11228" s="13" t="str">
        <x:v>Utilities &amp; Energy</x:v>
      </x:c>
      <x:c r="E11228" s="13" t="str">
        <x:v>Utilities</x:v>
      </x:c>
      <x:c r="F11228" s="13" t="str">
        <x:v>Defensives</x:v>
      </x:c>
      <x:c r="G11228" s="13" t="str">
        <x:v>grid_wbaxp5t0.xlsx</x:v>
      </x:c>
    </x:row>
    <x:row r="11229">
      <x:c r="A11229" s="15" t="n">
        <x:v>45231</x:v>
      </x:c>
      <x:c r="B11229" s="13" t="str">
        <x:v>AXIA ENERGIA-PR B</x:v>
      </x:c>
      <x:c r="C11229" s="16" t="n">
        <x:v>9683.1881176831</x:v>
      </x:c>
      <x:c r="D11229" s="13" t="str">
        <x:v>Utilities &amp; Energy</x:v>
      </x:c>
      <x:c r="E11229" s="13" t="str">
        <x:v>Utilities</x:v>
      </x:c>
      <x:c r="F11229" s="13" t="str">
        <x:v>Defensives</x:v>
      </x:c>
      <x:c r="G11229" s="13" t="str">
        <x:v>grid_wbaxp5t0.xlsx</x:v>
      </x:c>
    </x:row>
    <x:row r="11230">
      <x:c r="A11230" s="15" t="n">
        <x:v>45231</x:v>
      </x:c>
      <x:c r="B11230" s="13" t="str">
        <x:v>CIA ENERGETICA MINAS GER-PRF</x:v>
      </x:c>
      <x:c r="C11230" s="16" t="n">
        <x:v>4302.2199543607</x:v>
      </x:c>
      <x:c r="D11230" s="13" t="str">
        <x:v>Utilities &amp; Energy</x:v>
      </x:c>
      <x:c r="E11230" s="13" t="str">
        <x:v>Utilities</x:v>
      </x:c>
      <x:c r="F11230" s="13" t="str">
        <x:v>Defensives</x:v>
      </x:c>
      <x:c r="G11230" s="13" t="str">
        <x:v>grid_wbaxp5t0.xlsx</x:v>
      </x:c>
    </x:row>
    <x:row r="11231">
      <x:c r="A11231" s="15" t="n">
        <x:v>45231</x:v>
      </x:c>
      <x:c r="B11231" s="13" t="str">
        <x:v>COMPANHIA PARANAENSE -PREF B</x:v>
      </x:c>
      <x:c r="C11231" s="16" t="n">
        <x:v>2041.8581973333</x:v>
      </x:c>
      <x:c r="D11231" s="13" t="str">
        <x:v>Utilities &amp; Energy</x:v>
      </x:c>
      <x:c r="E11231" s="13" t="str">
        <x:v>Utilities</x:v>
      </x:c>
      <x:c r="F11231" s="13" t="str">
        <x:v>Defensives</x:v>
      </x:c>
      <x:c r="G11231" s="13" t="str">
        <x:v>grid_wbaxp5t0.xlsx</x:v>
      </x:c>
    </x:row>
    <x:row r="11232">
      <x:c r="A11232" s="15" t="n">
        <x:v>45231</x:v>
      </x:c>
      <x:c r="B11232" s="13" t="str">
        <x:v>CPFL ENERGIA SA</x:v>
      </x:c>
      <x:c r="C11232" s="16" t="n">
        <x:v>4862.0840316503</x:v>
      </x:c>
      <x:c r="D11232" s="13" t="str">
        <x:v>Utilities &amp; Energy</x:v>
      </x:c>
      <x:c r="E11232" s="13" t="str">
        <x:v>Utilities</x:v>
      </x:c>
      <x:c r="F11232" s="13" t="str">
        <x:v>Defensives</x:v>
      </x:c>
      <x:c r="G11232" s="13" t="str">
        <x:v>grid_wbaxp5t0.xlsx</x:v>
      </x:c>
    </x:row>
    <x:row r="11233">
      <x:c r="A11233" s="15" t="n">
        <x:v>45231</x:v>
      </x:c>
      <x:c r="B11233" s="13" t="str">
        <x:v>ENERGISA SA-UNITS</x:v>
      </x:c>
      <x:c r="C11233" s="16" t="n">
        <x:v>1718.5507224481</x:v>
      </x:c>
      <x:c r="D11233" s="13" t="str">
        <x:v>Utilities &amp; Energy</x:v>
      </x:c>
      <x:c r="E11233" s="13" t="str">
        <x:v>Utilities</x:v>
      </x:c>
      <x:c r="F11233" s="13" t="str">
        <x:v>Defensives</x:v>
      </x:c>
      <x:c r="G11233" s="13" t="str">
        <x:v>grid_wbaxp5t0.xlsx</x:v>
      </x:c>
    </x:row>
    <x:row r="11234">
      <x:c r="A11234" s="15" t="n">
        <x:v>45231</x:v>
      </x:c>
      <x:c r="B11234" s="13" t="str">
        <x:v>ENEVA SA</x:v>
      </x:c>
      <x:c r="C11234" s="16" t="n">
        <x:v>1102.1837975082</x:v>
      </x:c>
      <x:c r="D11234" s="13" t="str">
        <x:v>Utilities &amp; Energy</x:v>
      </x:c>
      <x:c r="E11234" s="13" t="str">
        <x:v>Utilities</x:v>
      </x:c>
      <x:c r="F11234" s="13" t="str">
        <x:v>Defensives</x:v>
      </x:c>
      <x:c r="G11234" s="13" t="str">
        <x:v>grid_wbaxp5t0.xlsx</x:v>
      </x:c>
    </x:row>
    <x:row r="11235">
      <x:c r="A11235" s="15" t="n">
        <x:v>45231</x:v>
      </x:c>
      <x:c r="B11235" s="13" t="str">
        <x:v>ENGIE BRASIL ENERGIA SA</x:v>
      </x:c>
      <x:c r="C11235" s="16" t="n">
        <x:v>3666.1776542076</x:v>
      </x:c>
      <x:c r="D11235" s="13" t="str">
        <x:v>Utilities &amp; Energy</x:v>
      </x:c>
      <x:c r="E11235" s="13" t="str">
        <x:v>Utilities</x:v>
      </x:c>
      <x:c r="F11235" s="13" t="str">
        <x:v>Defensives</x:v>
      </x:c>
      <x:c r="G11235" s="13" t="str">
        <x:v>grid_wbaxp5t0.xlsx</x:v>
      </x:c>
    </x:row>
    <x:row r="11236">
      <x:c r="A11236" s="15" t="n">
        <x:v>45231</x:v>
      </x:c>
      <x:c r="B11236" s="13" t="str">
        <x:v>EQUATORIAL SA - ORD</x:v>
      </x:c>
      <x:c r="C11236" s="16" t="n">
        <x:v>2925.6451465792</x:v>
      </x:c>
      <x:c r="D11236" s="13" t="str">
        <x:v>Utilities &amp; Energy</x:v>
      </x:c>
      <x:c r="E11236" s="13" t="str">
        <x:v>Utilities</x:v>
      </x:c>
      <x:c r="F11236" s="13" t="str">
        <x:v>Defensives</x:v>
      </x:c>
      <x:c r="G11236" s="13" t="str">
        <x:v>grid_wbaxp5t0.xlsx</x:v>
      </x:c>
    </x:row>
    <x:row r="11237">
      <x:c r="A11237" s="15" t="n">
        <x:v>45231</x:v>
      </x:c>
      <x:c r="B11237" s="13" t="str">
        <x:v>TRANSMISSORA ALIANCA DE-UNIT</x:v>
      </x:c>
      <x:c r="C11237" s="16" t="n">
        <x:v>1242.7331168525</x:v>
      </x:c>
      <x:c r="D11237" s="13" t="str">
        <x:v>Utilities &amp; Energy</x:v>
      </x:c>
      <x:c r="E11237" s="13" t="str">
        <x:v>Utilities</x:v>
      </x:c>
      <x:c r="F11237" s="13" t="str">
        <x:v>Defensives</x:v>
      </x:c>
      <x:c r="G11237" s="13" t="str">
        <x:v>grid_wbaxp5t0.xlsx</x:v>
      </x:c>
    </x:row>
    <x:row r="11238">
      <x:c r="A11238" s="15" t="n">
        <x:v>45261</x:v>
      </x:c>
      <x:c r="B11238" s="13" t="str">
        <x:v>RAIZEN SA - PREFERENCE</x:v>
      </x:c>
      <x:c r="C11238" s="16" t="n">
        <x:v>4083.0851499836</x:v>
      </x:c>
      <x:c r="D11238" s="13" t="str">
        <x:v>Agribusiness</x:v>
      </x:c>
      <x:c r="E11238" s="13" t="str">
        <x:v>Agri, Food &amp; Beverages</x:v>
      </x:c>
      <x:c r="F11238" s="13" t="str">
        <x:v>Defensives</x:v>
      </x:c>
      <x:c r="G11238" s="13" t="str">
        <x:v>grid_wbaxp5t0.xlsx</x:v>
      </x:c>
    </x:row>
    <x:row r="11239">
      <x:c r="A11239" s="15" t="n">
        <x:v>45261</x:v>
      </x:c>
      <x:c r="B11239" s="13" t="str">
        <x:v>SAO MARTINHO SA</x:v>
      </x:c>
      <x:c r="C11239" s="16" t="n">
        <x:v>1341.9620583452</x:v>
      </x:c>
      <x:c r="D11239" s="13" t="str">
        <x:v>Agribusiness</x:v>
      </x:c>
      <x:c r="E11239" s="13" t="str">
        <x:v>Agri, Food &amp; Beverages</x:v>
      </x:c>
      <x:c r="F11239" s="13" t="str">
        <x:v>Defensives</x:v>
      </x:c>
      <x:c r="G11239" s="13" t="str">
        <x:v>grid_wbaxp5t0.xlsx</x:v>
      </x:c>
    </x:row>
    <x:row r="11240">
      <x:c r="A11240" s="15" t="n">
        <x:v>45261</x:v>
      </x:c>
      <x:c r="B11240" s="13" t="str">
        <x:v>SLC AGRICOLA SA</x:v>
      </x:c>
      <x:c r="C11240" s="16" t="n">
        <x:v>1144.273287694</x:v>
      </x:c>
      <x:c r="D11240" s="13" t="str">
        <x:v>Agribusiness</x:v>
      </x:c>
      <x:c r="E11240" s="13" t="str">
        <x:v>Agri, Food &amp; Beverages</x:v>
      </x:c>
      <x:c r="F11240" s="13" t="str">
        <x:v>Defensives</x:v>
      </x:c>
      <x:c r="G11240" s="13" t="str">
        <x:v>grid_wbaxp5t0.xlsx</x:v>
      </x:c>
    </x:row>
    <x:row r="11241">
      <x:c r="A11241" s="15" t="n">
        <x:v>45261</x:v>
      </x:c>
      <x:c r="B11241" s="13" t="str">
        <x:v>BANCO BRADESCO S.A.</x:v>
      </x:c>
      <x:c r="C11241" s="16" t="n">
        <x:v>23170.1219630164</x:v>
      </x:c>
      <x:c r="D11241" s="13" t="str">
        <x:v>Banks</x:v>
      </x:c>
      <x:c r="E11241" s="13" t="str">
        <x:v>Banks</x:v>
      </x:c>
      <x:c r="F11241" s="13" t="str">
        <x:v>Financials</x:v>
      </x:c>
      <x:c r="G11241" s="13" t="str">
        <x:v>grid_wbaxp5t0.xlsx</x:v>
      </x:c>
    </x:row>
    <x:row r="11242">
      <x:c r="A11242" s="15" t="n">
        <x:v>45261</x:v>
      </x:c>
      <x:c r="B11242" s="13" t="str">
        <x:v>BANCO BRADESCO SA-PREF</x:v>
      </x:c>
      <x:c r="C11242" s="16" t="n">
        <x:v>23170.1219630164</x:v>
      </x:c>
      <x:c r="D11242" s="13" t="str">
        <x:v>Banks</x:v>
      </x:c>
      <x:c r="E11242" s="13" t="str">
        <x:v>Banks</x:v>
      </x:c>
      <x:c r="F11242" s="13" t="str">
        <x:v>Financials</x:v>
      </x:c>
      <x:c r="G11242" s="13" t="str">
        <x:v>grid_wbaxp5t0.xlsx</x:v>
      </x:c>
    </x:row>
    <x:row r="11243">
      <x:c r="A11243" s="15" t="n">
        <x:v>45261</x:v>
      </x:c>
      <x:c r="B11243" s="13" t="str">
        <x:v>BANCO BTG PACTUAL SA-UNIT</x:v>
      </x:c>
      <x:c r="C11243" s="16" t="n">
        <x:v>12035.1803593443</x:v>
      </x:c>
      <x:c r="D11243" s="13" t="str">
        <x:v>Banks</x:v>
      </x:c>
      <x:c r="E11243" s="13" t="str">
        <x:v>Banks</x:v>
      </x:c>
      <x:c r="F11243" s="13" t="str">
        <x:v>Financials</x:v>
      </x:c>
      <x:c r="G11243" s="13" t="str">
        <x:v>grid_wbaxp5t0.xlsx</x:v>
      </x:c>
    </x:row>
    <x:row r="11244">
      <x:c r="A11244" s="15" t="n">
        <x:v>45261</x:v>
      </x:c>
      <x:c r="B11244" s="13" t="str">
        <x:v>BANCO DO BRASIL S.A.</x:v>
      </x:c>
      <x:c r="C11244" s="16" t="n">
        <x:v>37481.8092373333</x:v>
      </x:c>
      <x:c r="D11244" s="13" t="str">
        <x:v>Banks</x:v>
      </x:c>
      <x:c r="E11244" s="13" t="str">
        <x:v>Banks</x:v>
      </x:c>
      <x:c r="F11244" s="13" t="str">
        <x:v>Financials</x:v>
      </x:c>
      <x:c r="G11244" s="13" t="str">
        <x:v>grid_wbaxp5t0.xlsx</x:v>
      </x:c>
    </x:row>
    <x:row r="11245">
      <x:c r="A11245" s="15" t="n">
        <x:v>45261</x:v>
      </x:c>
      <x:c r="B11245" s="13" t="str">
        <x:v>BANCO SANTANDER  BRASIL-UNIT</x:v>
      </x:c>
      <x:c r="C11245" s="16" t="n">
        <x:v>14007.6540978361</x:v>
      </x:c>
      <x:c r="D11245" s="13" t="str">
        <x:v>Banks</x:v>
      </x:c>
      <x:c r="E11245" s="13" t="str">
        <x:v>Banks</x:v>
      </x:c>
      <x:c r="F11245" s="13" t="str">
        <x:v>Financials</x:v>
      </x:c>
      <x:c r="G11245" s="13" t="str">
        <x:v>grid_wbaxp5t0.xlsx</x:v>
      </x:c>
    </x:row>
    <x:row r="11246">
      <x:c r="A11246" s="15" t="n">
        <x:v>45261</x:v>
      </x:c>
      <x:c r="B11246" s="13" t="str">
        <x:v>ITAU UNIBANCO HOLDING S-PREF</x:v>
      </x:c>
      <x:c r="C11246" s="16" t="n">
        <x:v>39253.4922939454</x:v>
      </x:c>
      <x:c r="D11246" s="13" t="str">
        <x:v>Banks</x:v>
      </x:c>
      <x:c r="E11246" s="13" t="str">
        <x:v>Banks</x:v>
      </x:c>
      <x:c r="F11246" s="13" t="str">
        <x:v>Financials</x:v>
      </x:c>
      <x:c r="G11246" s="13" t="str">
        <x:v>grid_wbaxp5t0.xlsx</x:v>
      </x:c>
    </x:row>
    <x:row r="11247">
      <x:c r="A11247" s="15" t="n">
        <x:v>45261</x:v>
      </x:c>
      <x:c r="B11247" s="13" t="str">
        <x:v>EMBRAER SA</x:v>
      </x:c>
      <x:c r="C11247" s="16" t="n">
        <x:v>1104.0786566994</x:v>
      </x:c>
      <x:c r="D11247" s="13" t="str">
        <x:v>Capital Goods</x:v>
      </x:c>
      <x:c r="E11247" s="13" t="str">
        <x:v>Capital Goods</x:v>
      </x:c>
      <x:c r="F11247" s="13" t="str">
        <x:v>Deep Cyclicals</x:v>
      </x:c>
      <x:c r="G11247" s="13" t="str">
        <x:v>grid_wbaxp5t0.xlsx</x:v>
      </x:c>
    </x:row>
    <x:row r="11248">
      <x:c r="A11248" s="15" t="n">
        <x:v>45261</x:v>
      </x:c>
      <x:c r="B11248" s="13" t="str">
        <x:v>WEG SA</x:v>
      </x:c>
      <x:c r="C11248" s="16" t="n">
        <x:v>5440.6853665574</x:v>
      </x:c>
      <x:c r="D11248" s="13" t="str">
        <x:v>Capital Goods</x:v>
      </x:c>
      <x:c r="E11248" s="13" t="str">
        <x:v>Capital Goods</x:v>
      </x:c>
      <x:c r="F11248" s="13" t="str">
        <x:v>Deep Cyclicals</x:v>
      </x:c>
      <x:c r="G11248" s="13" t="str">
        <x:v>grid_wbaxp5t0.xlsx</x:v>
      </x:c>
    </x:row>
    <x:row r="11249">
      <x:c r="A11249" s="15" t="n">
        <x:v>45261</x:v>
      </x:c>
      <x:c r="B11249" s="13" t="str">
        <x:v>COGNA EDUCACAO</x:v>
      </x:c>
      <x:c r="C11249" s="16" t="n">
        <x:v>413.0907406776</x:v>
      </x:c>
      <x:c r="D11249" s="13" t="str">
        <x:v>Education</x:v>
      </x:c>
      <x:c r="E11249" s="13" t="str">
        <x:v>Education</x:v>
      </x:c>
      <x:c r="F11249" s="13" t="str">
        <x:v>Early Cyclicals</x:v>
      </x:c>
      <x:c r="G11249" s="13" t="str">
        <x:v>grid_wbaxp5t0.xlsx</x:v>
      </x:c>
    </x:row>
    <x:row r="11250">
      <x:c r="A11250" s="15" t="n">
        <x:v>45261</x:v>
      </x:c>
      <x:c r="B11250" s="13" t="str">
        <x:v>YDUQS PARTICIPACOES SA</x:v>
      </x:c>
      <x:c r="C11250" s="16" t="n">
        <x:v>553.8786885246</x:v>
      </x:c>
      <x:c r="D11250" s="13" t="str">
        <x:v>Education</x:v>
      </x:c>
      <x:c r="E11250" s="13" t="str">
        <x:v>Education</x:v>
      </x:c>
      <x:c r="F11250" s="13" t="str">
        <x:v>Early Cyclicals</x:v>
      </x:c>
      <x:c r="G11250" s="13" t="str">
        <x:v>grid_wbaxp5t0.xlsx</x:v>
      </x:c>
    </x:row>
    <x:row r="11251">
      <x:c r="A11251" s="15" t="n">
        <x:v>45261</x:v>
      </x:c>
      <x:c r="B11251" s="13" t="str">
        <x:v>B3 SA-BRASIL BOLSA BALCAO</x:v>
      </x:c>
      <x:c r="C11251" s="16" t="n">
        <x:v>5045.9169825574</x:v>
      </x:c>
      <x:c r="D11251" s="13" t="str">
        <x:v>Financials Non-Banks</x:v>
      </x:c>
      <x:c r="E11251" s="13" t="str">
        <x:v>Financials Non-Banks</x:v>
      </x:c>
      <x:c r="F11251" s="13" t="str">
        <x:v>Financials</x:v>
      </x:c>
      <x:c r="G11251" s="13" t="str">
        <x:v>grid_wbaxp5t0.xlsx</x:v>
      </x:c>
    </x:row>
    <x:row r="11252">
      <x:c r="A11252" s="15" t="n">
        <x:v>45261</x:v>
      </x:c>
      <x:c r="B11252" s="13" t="str">
        <x:v>BB SEGURIDADE PARTICIPACOES</x:v>
      </x:c>
      <x:c r="C11252" s="16" t="n">
        <x:v>7919.9691624918</x:v>
      </x:c>
      <x:c r="D11252" s="13" t="str">
        <x:v>Financials Non-Banks</x:v>
      </x:c>
      <x:c r="E11252" s="13" t="str">
        <x:v>Financials Non-Banks</x:v>
      </x:c>
      <x:c r="F11252" s="13" t="str">
        <x:v>Financials</x:v>
      </x:c>
      <x:c r="G11252" s="13" t="str">
        <x:v>grid_wbaxp5t0.xlsx</x:v>
      </x:c>
    </x:row>
    <x:row r="11253">
      <x:c r="A11253" s="15" t="n">
        <x:v>45261</x:v>
      </x:c>
      <x:c r="B11253" s="13" t="str">
        <x:v>CIELO SA - INSTITUICAO DE PA</x:v>
      </x:c>
      <x:c r="C11253" s="16" t="n">
        <x:v>1846.6839893333</x:v>
      </x:c>
      <x:c r="D11253" s="13" t="str">
        <x:v>Financials Non-Banks</x:v>
      </x:c>
      <x:c r="E11253" s="13" t="str">
        <x:v>Financials Non-Banks</x:v>
      </x:c>
      <x:c r="F11253" s="13" t="str">
        <x:v>Financials</x:v>
      </x:c>
      <x:c r="G11253" s="13" t="str">
        <x:v>grid_wbaxp5t0.xlsx</x:v>
      </x:c>
    </x:row>
    <x:row r="11254">
      <x:c r="A11254" s="15" t="n">
        <x:v>45261</x:v>
      </x:c>
      <x:c r="B11254" s="13" t="str">
        <x:v>IRB BRASIL RESSEGUROS SA</x:v>
      </x:c>
      <x:c r="C11254" s="16" t="n">
        <x:v>325.825136612</x:v>
      </x:c>
      <x:c r="D11254" s="13" t="str">
        <x:v>Financials Non-Banks</x:v>
      </x:c>
      <x:c r="E11254" s="13" t="str">
        <x:v>Financials Non-Banks</x:v>
      </x:c>
      <x:c r="F11254" s="13" t="str">
        <x:v>Financials</x:v>
      </x:c>
      <x:c r="G11254" s="13" t="str">
        <x:v>grid_wbaxp5t0.xlsx</x:v>
      </x:c>
    </x:row>
    <x:row r="11255">
      <x:c r="A11255" s="15" t="n">
        <x:v>45261</x:v>
      </x:c>
      <x:c r="B11255" s="13" t="str">
        <x:v>ITAUSA SA</x:v>
      </x:c>
      <x:c r="C11255" s="16" t="n">
        <x:v>15295.1314633443</x:v>
      </x:c>
      <x:c r="D11255" s="13" t="str">
        <x:v>Financials Non-Banks</x:v>
      </x:c>
      <x:c r="E11255" s="13" t="str">
        <x:v>Financials Non-Banks</x:v>
      </x:c>
      <x:c r="F11255" s="13" t="str">
        <x:v>Financials</x:v>
      </x:c>
      <x:c r="G11255" s="13" t="str">
        <x:v>grid_wbaxp5t0.xlsx</x:v>
      </x:c>
    </x:row>
    <x:row r="11256">
      <x:c r="A11256" s="15" t="n">
        <x:v>45261</x:v>
      </x:c>
      <x:c r="B11256" s="13" t="str">
        <x:v>AMBEV SA</x:v>
      </x:c>
      <x:c r="C11256" s="16" t="n">
        <x:v>15603.1562477814</x:v>
      </x:c>
      <x:c r="D11256" s="13" t="str">
        <x:v>Food &amp; Beverages</x:v>
      </x:c>
      <x:c r="E11256" s="13" t="str">
        <x:v>Agri, Food &amp; Beverages</x:v>
      </x:c>
      <x:c r="F11256" s="13" t="str">
        <x:v>Defensives</x:v>
      </x:c>
      <x:c r="G11256" s="13" t="str">
        <x:v>grid_wbaxp5t0.xlsx</x:v>
      </x:c>
    </x:row>
    <x:row r="11257">
      <x:c r="A11257" s="15" t="n">
        <x:v>45261</x:v>
      </x:c>
      <x:c r="B11257" s="13" t="str">
        <x:v>BRF SA</x:v>
      </x:c>
      <x:c r="C11257" s="16" t="n">
        <x:v>740.3199370492</x:v>
      </x:c>
      <x:c r="D11257" s="13" t="str">
        <x:v>Food &amp; Beverages</x:v>
      </x:c>
      <x:c r="E11257" s="13" t="str">
        <x:v>Agri, Food &amp; Beverages</x:v>
      </x:c>
      <x:c r="F11257" s="13" t="str">
        <x:v>Defensives</x:v>
      </x:c>
      <x:c r="G11257" s="13" t="str">
        <x:v>grid_wbaxp5t0.xlsx</x:v>
      </x:c>
    </x:row>
    <x:row r="11258">
      <x:c r="A11258" s="15" t="n">
        <x:v>45261</x:v>
      </x:c>
      <x:c r="B11258" s="13" t="str">
        <x:v>MBRF GLOBAL FOODS COMPANY SA</x:v>
      </x:c>
      <x:c r="C11258" s="16" t="n">
        <x:v>-447.2211864481</x:v>
      </x:c>
      <x:c r="D11258" s="13" t="str">
        <x:v>Food &amp; Beverages</x:v>
      </x:c>
      <x:c r="E11258" s="13" t="str">
        <x:v>Agri, Food &amp; Beverages</x:v>
      </x:c>
      <x:c r="F11258" s="13" t="str">
        <x:v>Defensives</x:v>
      </x:c>
      <x:c r="G11258" s="13" t="str">
        <x:v>grid_wbaxp5t0.xlsx</x:v>
      </x:c>
    </x:row>
    <x:row r="11259">
      <x:c r="A11259" s="15" t="n">
        <x:v>45261</x:v>
      </x:c>
      <x:c r="B11259" s="13" t="str">
        <x:v>MINERVA SA</x:v>
      </x:c>
      <x:c r="C11259" s="16" t="n">
        <x:v>1027.232568306</x:v>
      </x:c>
      <x:c r="D11259" s="13" t="str">
        <x:v>Food &amp; Beverages</x:v>
      </x:c>
      <x:c r="E11259" s="13" t="str">
        <x:v>Agri, Food &amp; Beverages</x:v>
      </x:c>
      <x:c r="F11259" s="13" t="str">
        <x:v>Defensives</x:v>
      </x:c>
      <x:c r="G11259" s="13" t="str">
        <x:v>grid_wbaxp5t0.xlsx</x:v>
      </x:c>
    </x:row>
    <x:row r="11260">
      <x:c r="A11260" s="15" t="n">
        <x:v>45261</x:v>
      </x:c>
      <x:c r="B11260" s="13" t="str">
        <x:v>FLEURY SA</x:v>
      </x:c>
      <x:c r="C11260" s="16" t="n">
        <x:v>642.8071356503</x:v>
      </x:c>
      <x:c r="D11260" s="13" t="str">
        <x:v>Health Care</x:v>
      </x:c>
      <x:c r="E11260" s="13" t="str">
        <x:v>Health Care</x:v>
      </x:c>
      <x:c r="F11260" s="13" t="str">
        <x:v>Defensives</x:v>
      </x:c>
      <x:c r="G11260" s="13" t="str">
        <x:v>grid_wbaxp5t0.xlsx</x:v>
      </x:c>
    </x:row>
    <x:row r="11261">
      <x:c r="A11261" s="15" t="n">
        <x:v>45261</x:v>
      </x:c>
      <x:c r="B11261" s="13" t="str">
        <x:v>HAPVIDA PARTICIPACOES E INVE</x:v>
      </x:c>
      <x:c r="C11261" s="16" t="n">
        <x:v>1543.7688206339</x:v>
      </x:c>
      <x:c r="D11261" s="13" t="str">
        <x:v>Health Care</x:v>
      </x:c>
      <x:c r="E11261" s="13" t="str">
        <x:v>Health Care</x:v>
      </x:c>
      <x:c r="F11261" s="13" t="str">
        <x:v>Defensives</x:v>
      </x:c>
      <x:c r="G11261" s="13" t="str">
        <x:v>grid_wbaxp5t0.xlsx</x:v>
      </x:c>
    </x:row>
    <x:row r="11262">
      <x:c r="A11262" s="15" t="n">
        <x:v>45261</x:v>
      </x:c>
      <x:c r="B11262" s="13" t="str">
        <x:v>HYPERA SA</x:v>
      </x:c>
      <x:c r="C11262" s="16" t="n">
        <x:v>2026.2050504044</x:v>
      </x:c>
      <x:c r="D11262" s="13" t="str">
        <x:v>Health Care</x:v>
      </x:c>
      <x:c r="E11262" s="13" t="str">
        <x:v>Health Care</x:v>
      </x:c>
      <x:c r="F11262" s="13" t="str">
        <x:v>Defensives</x:v>
      </x:c>
      <x:c r="G11262" s="13" t="str">
        <x:v>grid_wbaxp5t0.xlsx</x:v>
      </x:c>
    </x:row>
    <x:row r="11263">
      <x:c r="A11263" s="15" t="n">
        <x:v>45261</x:v>
      </x:c>
      <x:c r="B11263" s="13" t="str">
        <x:v>REDE D'OR SAO LUIZ SA</x:v>
      </x:c>
      <x:c r="C11263" s="16" t="n">
        <x:v>2989.0136201093</x:v>
      </x:c>
      <x:c r="D11263" s="13" t="str">
        <x:v>Health Care</x:v>
      </x:c>
      <x:c r="E11263" s="13" t="str">
        <x:v>Health Care</x:v>
      </x:c>
      <x:c r="F11263" s="13" t="str">
        <x:v>Defensives</x:v>
      </x:c>
      <x:c r="G11263" s="13" t="str">
        <x:v>grid_wbaxp5t0.xlsx</x:v>
      </x:c>
    </x:row>
    <x:row r="11264">
      <x:c r="A11264" s="15" t="n">
        <x:v>45261</x:v>
      </x:c>
      <x:c r="B11264" s="13" t="str">
        <x:v>CYRELA BRAZIL REALTY SA EMP</x:v>
      </x:c>
      <x:c r="C11264" s="16" t="n">
        <x:v>1057.3659946667</x:v>
      </x:c>
      <x:c r="D11264" s="13" t="str">
        <x:v>Homebuilders</x:v>
      </x:c>
      <x:c r="E11264" s="13" t="str">
        <x:v>Real Estate</x:v>
      </x:c>
      <x:c r="F11264" s="13" t="str">
        <x:v>Early Cyclicals</x:v>
      </x:c>
      <x:c r="G11264" s="13" t="str">
        <x:v>grid_wbaxp5t0.xlsx</x:v>
      </x:c>
    </x:row>
    <x:row r="11265">
      <x:c r="A11265" s="15" t="n">
        <x:v>45261</x:v>
      </x:c>
      <x:c r="B11265" s="13" t="str">
        <x:v>EZ TEC EMPREENDIMENTOS E PAR</x:v>
      </x:c>
      <x:c r="C11265" s="16" t="n">
        <x:v>404.2606557377</x:v>
      </x:c>
      <x:c r="D11265" s="13" t="str">
        <x:v>Homebuilders</x:v>
      </x:c>
      <x:c r="E11265" s="13" t="str">
        <x:v>Real Estate</x:v>
      </x:c>
      <x:c r="F11265" s="13" t="str">
        <x:v>Early Cyclicals</x:v>
      </x:c>
      <x:c r="G11265" s="13" t="str">
        <x:v>grid_wbaxp5t0.xlsx</x:v>
      </x:c>
    </x:row>
    <x:row r="11266">
      <x:c r="A11266" s="15" t="n">
        <x:v>45261</x:v>
      </x:c>
      <x:c r="B11266" s="13" t="str">
        <x:v>MRV ENGENHARIA</x:v>
      </x:c>
      <x:c r="C11266" s="16" t="n">
        <x:v>607.9730441967</x:v>
      </x:c>
      <x:c r="D11266" s="13" t="str">
        <x:v>Homebuilders</x:v>
      </x:c>
      <x:c r="E11266" s="13" t="str">
        <x:v>Real Estate</x:v>
      </x:c>
      <x:c r="F11266" s="13" t="str">
        <x:v>Early Cyclicals</x:v>
      </x:c>
      <x:c r="G11266" s="13" t="str">
        <x:v>grid_wbaxp5t0.xlsx</x:v>
      </x:c>
    </x:row>
    <x:row r="11267">
      <x:c r="A11267" s="15" t="n">
        <x:v>45261</x:v>
      </x:c>
      <x:c r="B11267" s="13" t="str">
        <x:v>ALLOS SA</x:v>
      </x:c>
      <x:c r="C11267" s="16" t="n">
        <x:v>870.9801099891</x:v>
      </x:c>
      <x:c r="D11267" s="13" t="str">
        <x:v>Income Properties</x:v>
      </x:c>
      <x:c r="E11267" s="13" t="str">
        <x:v>Real Estate</x:v>
      </x:c>
      <x:c r="F11267" s="13" t="str">
        <x:v>Early Cyclicals</x:v>
      </x:c>
      <x:c r="G11267" s="13" t="str">
        <x:v>grid_wbaxp5t0.xlsx</x:v>
      </x:c>
    </x:row>
    <x:row r="11268">
      <x:c r="A11268" s="15" t="n">
        <x:v>45261</x:v>
      </x:c>
      <x:c r="B11268" s="13" t="str">
        <x:v>IGUATEMI SA - UNITS</x:v>
      </x:c>
      <x:c r="C11268" s="16" t="n">
        <x:v>437.7810378142</x:v>
      </x:c>
      <x:c r="D11268" s="13" t="str">
        <x:v>Income Properties</x:v>
      </x:c>
      <x:c r="E11268" s="13" t="str">
        <x:v>Real Estate</x:v>
      </x:c>
      <x:c r="F11268" s="13" t="str">
        <x:v>Early Cyclicals</x:v>
      </x:c>
      <x:c r="G11268" s="13" t="str">
        <x:v>grid_wbaxp5t0.xlsx</x:v>
      </x:c>
    </x:row>
    <x:row r="11269">
      <x:c r="A11269" s="15" t="n">
        <x:v>45261</x:v>
      </x:c>
      <x:c r="B11269" s="13" t="str">
        <x:v>MULTIPLAN EMPREENDIMENTOS</x:v>
      </x:c>
      <x:c r="C11269" s="16" t="n">
        <x:v>1052.0207150164</x:v>
      </x:c>
      <x:c r="D11269" s="13" t="str">
        <x:v>Income Properties</x:v>
      </x:c>
      <x:c r="E11269" s="13" t="str">
        <x:v>Real Estate</x:v>
      </x:c>
      <x:c r="F11269" s="13" t="str">
        <x:v>Early Cyclicals</x:v>
      </x:c>
      <x:c r="G11269" s="13" t="str">
        <x:v>grid_wbaxp5t0.xlsx</x:v>
      </x:c>
    </x:row>
    <x:row r="11270">
      <x:c r="A11270" s="15" t="n">
        <x:v>45261</x:v>
      </x:c>
      <x:c r="B11270" s="13" t="str">
        <x:v>BRADESPAR SA -PREF</x:v>
      </x:c>
      <x:c r="C11270" s="16" t="n">
        <x:v>2240.9782053771</x:v>
      </x:c>
      <x:c r="D11270" s="13" t="str">
        <x:v>Metals &amp; Mining</x:v>
      </x:c>
      <x:c r="E11270" s="13" t="str">
        <x:v>Metals &amp; Mining</x:v>
      </x:c>
      <x:c r="F11270" s="13" t="str">
        <x:v>Deep Cyclicals</x:v>
      </x:c>
      <x:c r="G11270" s="13" t="str">
        <x:v>grid_wbaxp5t0.xlsx</x:v>
      </x:c>
    </x:row>
    <x:row r="11271">
      <x:c r="A11271" s="15" t="n">
        <x:v>45261</x:v>
      </x:c>
      <x:c r="B11271" s="13" t="str">
        <x:v>CIA SIDERURGICA NACIONAL SA</x:v>
      </x:c>
      <x:c r="C11271" s="16" t="n">
        <x:v>2046.9538068197</x:v>
      </x:c>
      <x:c r="D11271" s="13" t="str">
        <x:v>Metals &amp; Mining</x:v>
      </x:c>
      <x:c r="E11271" s="13" t="str">
        <x:v>Metals &amp; Mining</x:v>
      </x:c>
      <x:c r="F11271" s="13" t="str">
        <x:v>Deep Cyclicals</x:v>
      </x:c>
      <x:c r="G11271" s="13" t="str">
        <x:v>grid_wbaxp5t0.xlsx</x:v>
      </x:c>
    </x:row>
    <x:row r="11272">
      <x:c r="A11272" s="15" t="n">
        <x:v>45261</x:v>
      </x:c>
      <x:c r="B11272" s="13" t="str">
        <x:v>CSN MINERACAO SA</x:v>
      </x:c>
      <x:c r="C11272" s="16" t="n">
        <x:v>3556.9519996503</x:v>
      </x:c>
      <x:c r="D11272" s="13" t="str">
        <x:v>Metals &amp; Mining</x:v>
      </x:c>
      <x:c r="E11272" s="13" t="str">
        <x:v>Metals &amp; Mining</x:v>
      </x:c>
      <x:c r="F11272" s="13" t="str">
        <x:v>Deep Cyclicals</x:v>
      </x:c>
      <x:c r="G11272" s="13" t="str">
        <x:v>grid_wbaxp5t0.xlsx</x:v>
      </x:c>
    </x:row>
    <x:row r="11273">
      <x:c r="A11273" s="15" t="n">
        <x:v>45261</x:v>
      </x:c>
      <x:c r="B11273" s="13" t="str">
        <x:v>GERDAU SA-PREF</x:v>
      </x:c>
      <x:c r="C11273" s="16" t="n">
        <x:v>5739.4180028852</x:v>
      </x:c>
      <x:c r="D11273" s="13" t="str">
        <x:v>Metals &amp; Mining</x:v>
      </x:c>
      <x:c r="E11273" s="13" t="str">
        <x:v>Metals &amp; Mining</x:v>
      </x:c>
      <x:c r="F11273" s="13" t="str">
        <x:v>Deep Cyclicals</x:v>
      </x:c>
      <x:c r="G11273" s="13" t="str">
        <x:v>grid_wbaxp5t0.xlsx</x:v>
      </x:c>
    </x:row>
    <x:row r="11274">
      <x:c r="A11274" s="15" t="n">
        <x:v>45261</x:v>
      </x:c>
      <x:c r="B11274" s="13" t="str">
        <x:v>METALURGICA GERDAU SA-PREF</x:v>
      </x:c>
      <x:c r="C11274" s="16" t="n">
        <x:v>2110.4808750164</x:v>
      </x:c>
      <x:c r="D11274" s="13" t="str">
        <x:v>Metals &amp; Mining</x:v>
      </x:c>
      <x:c r="E11274" s="13" t="str">
        <x:v>Metals &amp; Mining</x:v>
      </x:c>
      <x:c r="F11274" s="13" t="str">
        <x:v>Deep Cyclicals</x:v>
      </x:c>
      <x:c r="G11274" s="13" t="str">
        <x:v>grid_wbaxp5t0.xlsx</x:v>
      </x:c>
    </x:row>
    <x:row r="11275">
      <x:c r="A11275" s="15" t="n">
        <x:v>45261</x:v>
      </x:c>
      <x:c r="B11275" s="13" t="str">
        <x:v>USINAS SIDER MINAS GER-PF A</x:v>
      </x:c>
      <x:c r="C11275" s="16" t="n">
        <x:v>1158.1951137923</x:v>
      </x:c>
      <x:c r="D11275" s="13" t="str">
        <x:v>Metals &amp; Mining</x:v>
      </x:c>
      <x:c r="E11275" s="13" t="str">
        <x:v>Metals &amp; Mining</x:v>
      </x:c>
      <x:c r="F11275" s="13" t="str">
        <x:v>Deep Cyclicals</x:v>
      </x:c>
      <x:c r="G11275" s="13" t="str">
        <x:v>grid_wbaxp5t0.xlsx</x:v>
      </x:c>
    </x:row>
    <x:row r="11276">
      <x:c r="A11276" s="15" t="n">
        <x:v>45261</x:v>
      </x:c>
      <x:c r="B11276" s="13" t="str">
        <x:v>VALE SA</x:v>
      </x:c>
      <x:c r="C11276" s="16" t="n">
        <x:v>49890.9756768525</x:v>
      </x:c>
      <x:c r="D11276" s="13" t="str">
        <x:v>Metals &amp; Mining</x:v>
      </x:c>
      <x:c r="E11276" s="13" t="str">
        <x:v>Metals &amp; Mining</x:v>
      </x:c>
      <x:c r="F11276" s="13" t="str">
        <x:v>Deep Cyclicals</x:v>
      </x:c>
      <x:c r="G11276" s="13" t="str">
        <x:v>grid_wbaxp5t0.xlsx</x:v>
      </x:c>
    </x:row>
    <x:row r="11277">
      <x:c r="A11277" s="15" t="n">
        <x:v>45261</x:v>
      </x:c>
      <x:c r="B11277" s="13" t="str">
        <x:v>BRASKEM SA-PREF A</x:v>
      </x:c>
      <x:c r="C11277" s="16" t="n">
        <x:v>-1682.1942557377</x:v>
      </x:c>
      <x:c r="D11277" s="13" t="str">
        <x:v>Oil, Gas &amp; Petrochemicals</x:v>
      </x:c>
      <x:c r="E11277" s="13" t="str">
        <x:v>Oil, Gas &amp; Petrochemicals</x:v>
      </x:c>
      <x:c r="F11277" s="13" t="str">
        <x:v>Deep Cyclicals</x:v>
      </x:c>
      <x:c r="G11277" s="13" t="str">
        <x:v>grid_wbaxp5t0.xlsx</x:v>
      </x:c>
    </x:row>
    <x:row r="11278">
      <x:c r="A11278" s="15" t="n">
        <x:v>45261</x:v>
      </x:c>
      <x:c r="B11278" s="13" t="str">
        <x:v>BRAVA ENERGIA</x:v>
      </x:c>
      <x:c r="C11278" s="16" t="n">
        <x:v>1816.0971311913</x:v>
      </x:c>
      <x:c r="D11278" s="13" t="str">
        <x:v>Oil, Gas &amp; Petrochemicals</x:v>
      </x:c>
      <x:c r="E11278" s="13" t="str">
        <x:v>Oil, Gas &amp; Petrochemicals</x:v>
      </x:c>
      <x:c r="F11278" s="13" t="str">
        <x:v>Deep Cyclicals</x:v>
      </x:c>
      <x:c r="G11278" s="13" t="str">
        <x:v>grid_wbaxp5t0.xlsx</x:v>
      </x:c>
    </x:row>
    <x:row r="11279">
      <x:c r="A11279" s="15" t="n">
        <x:v>45261</x:v>
      </x:c>
      <x:c r="B11279" s="13" t="str">
        <x:v>COSAN SA</x:v>
      </x:c>
      <x:c r="C11279" s="16" t="n">
        <x:v>3039.9171651147</x:v>
      </x:c>
      <x:c r="D11279" s="13" t="str">
        <x:v>Oil, Gas &amp; Petrochemicals</x:v>
      </x:c>
      <x:c r="E11279" s="13" t="str">
        <x:v>Oil, Gas &amp; Petrochemicals</x:v>
      </x:c>
      <x:c r="F11279" s="13" t="str">
        <x:v>Deep Cyclicals</x:v>
      </x:c>
      <x:c r="G11279" s="13" t="str">
        <x:v>grid_wbaxp5t0.xlsx</x:v>
      </x:c>
    </x:row>
    <x:row r="11280">
      <x:c r="A11280" s="15" t="n">
        <x:v>45261</x:v>
      </x:c>
      <x:c r="B11280" s="13" t="str">
        <x:v>PETROBRAS - PETROLEO BRAS</x:v>
      </x:c>
      <x:c r="C11280" s="16" t="n">
        <x:v>117169.818058842</x:v>
      </x:c>
      <x:c r="D11280" s="13" t="str">
        <x:v>Oil, Gas &amp; Petrochemicals</x:v>
      </x:c>
      <x:c r="E11280" s="13" t="str">
        <x:v>Oil, Gas &amp; Petrochemicals</x:v>
      </x:c>
      <x:c r="F11280" s="13" t="str">
        <x:v>Deep Cyclicals</x:v>
      </x:c>
      <x:c r="G11280" s="13" t="str">
        <x:v>grid_wbaxp5t0.xlsx</x:v>
      </x:c>
    </x:row>
    <x:row r="11281">
      <x:c r="A11281" s="15" t="n">
        <x:v>45261</x:v>
      </x:c>
      <x:c r="B11281" s="13" t="str">
        <x:v>PETRORECONCAVO SA</x:v>
      </x:c>
      <x:c r="C11281" s="16" t="n">
        <x:v>1473.3627478033</x:v>
      </x:c>
      <x:c r="D11281" s="13" t="str">
        <x:v>Oil, Gas &amp; Petrochemicals</x:v>
      </x:c>
      <x:c r="E11281" s="13" t="str">
        <x:v>Oil, Gas &amp; Petrochemicals</x:v>
      </x:c>
      <x:c r="F11281" s="13" t="str">
        <x:v>Deep Cyclicals</x:v>
      </x:c>
      <x:c r="G11281" s="13" t="str">
        <x:v>grid_wbaxp5t0.xlsx</x:v>
      </x:c>
    </x:row>
    <x:row r="11282">
      <x:c r="A11282" s="15" t="n">
        <x:v>45261</x:v>
      </x:c>
      <x:c r="B11282" s="13" t="str">
        <x:v>PRIO SA</x:v>
      </x:c>
      <x:c r="C11282" s="16" t="n">
        <x:v>7682.2292843716</x:v>
      </x:c>
      <x:c r="D11282" s="13" t="str">
        <x:v>Oil, Gas &amp; Petrochemicals</x:v>
      </x:c>
      <x:c r="E11282" s="13" t="str">
        <x:v>Oil, Gas &amp; Petrochemicals</x:v>
      </x:c>
      <x:c r="F11282" s="13" t="str">
        <x:v>Deep Cyclicals</x:v>
      </x:c>
      <x:c r="G11282" s="13" t="str">
        <x:v>grid_wbaxp5t0.xlsx</x:v>
      </x:c>
    </x:row>
    <x:row r="11283">
      <x:c r="A11283" s="15" t="n">
        <x:v>45261</x:v>
      </x:c>
      <x:c r="B11283" s="13" t="str">
        <x:v>ULTRAPAR PARTICIPACOES SA</x:v>
      </x:c>
      <x:c r="C11283" s="16" t="n">
        <x:v>1652.4427254208</x:v>
      </x:c>
      <x:c r="D11283" s="13" t="str">
        <x:v>Oil, Gas &amp; Petrochemicals</x:v>
      </x:c>
      <x:c r="E11283" s="13" t="str">
        <x:v>Oil, Gas &amp; Petrochemicals</x:v>
      </x:c>
      <x:c r="F11283" s="13" t="str">
        <x:v>Deep Cyclicals</x:v>
      </x:c>
      <x:c r="G11283" s="13" t="str">
        <x:v>grid_wbaxp5t0.xlsx</x:v>
      </x:c>
    </x:row>
    <x:row r="11284">
      <x:c r="A11284" s="15" t="n">
        <x:v>45261</x:v>
      </x:c>
      <x:c r="B11284" s="13" t="str">
        <x:v>VIBRA ENERGIA SA</x:v>
      </x:c>
      <x:c r="C11284" s="16" t="n">
        <x:v>2316.467072</x:v>
      </x:c>
      <x:c r="D11284" s="13" t="str">
        <x:v>Oil, Gas &amp; Petrochemicals</x:v>
      </x:c>
      <x:c r="E11284" s="13" t="str">
        <x:v>Oil, Gas &amp; Petrochemicals</x:v>
      </x:c>
      <x:c r="F11284" s="13" t="str">
        <x:v>Deep Cyclicals</x:v>
      </x:c>
      <x:c r="G11284" s="13" t="str">
        <x:v>grid_wbaxp5t0.xlsx</x:v>
      </x:c>
    </x:row>
    <x:row r="11285">
      <x:c r="A11285" s="15" t="n">
        <x:v>45261</x:v>
      </x:c>
      <x:c r="B11285" s="13" t="str">
        <x:v>DEXCO SA</x:v>
      </x:c>
      <x:c r="C11285" s="16" t="n">
        <x:v>381.737704918</x:v>
      </x:c>
      <x:c r="D11285" s="13" t="str">
        <x:v>Pulp &amp; Paper</x:v>
      </x:c>
      <x:c r="E11285" s="13" t="str">
        <x:v>Pulp &amp; Paper</x:v>
      </x:c>
      <x:c r="F11285" s="13" t="str">
        <x:v>Deep Cyclicals</x:v>
      </x:c>
      <x:c r="G11285" s="13" t="str">
        <x:v>grid_wbaxp5t0.xlsx</x:v>
      </x:c>
    </x:row>
    <x:row r="11286">
      <x:c r="A11286" s="15" t="n">
        <x:v>45261</x:v>
      </x:c>
      <x:c r="B11286" s="13" t="str">
        <x:v>KLABIN SA - UNIT</x:v>
      </x:c>
      <x:c r="C11286" s="16" t="n">
        <x:v>2659.1689526557</x:v>
      </x:c>
      <x:c r="D11286" s="13" t="str">
        <x:v>Pulp &amp; Paper</x:v>
      </x:c>
      <x:c r="E11286" s="13" t="str">
        <x:v>Pulp &amp; Paper</x:v>
      </x:c>
      <x:c r="F11286" s="13" t="str">
        <x:v>Deep Cyclicals</x:v>
      </x:c>
      <x:c r="G11286" s="13" t="str">
        <x:v>grid_wbaxp5t0.xlsx</x:v>
      </x:c>
    </x:row>
    <x:row r="11287">
      <x:c r="A11287" s="15" t="n">
        <x:v>45261</x:v>
      </x:c>
      <x:c r="B11287" s="13" t="str">
        <x:v>SUZANO SA</x:v>
      </x:c>
      <x:c r="C11287" s="16" t="n">
        <x:v>5853.5156417049</x:v>
      </x:c>
      <x:c r="D11287" s="13" t="str">
        <x:v>Pulp &amp; Paper</x:v>
      </x:c>
      <x:c r="E11287" s="13" t="str">
        <x:v>Pulp &amp; Paper</x:v>
      </x:c>
      <x:c r="F11287" s="13" t="str">
        <x:v>Deep Cyclicals</x:v>
      </x:c>
      <x:c r="G11287" s="13" t="str">
        <x:v>grid_wbaxp5t0.xlsx</x:v>
      </x:c>
    </x:row>
    <x:row r="11288">
      <x:c r="A11288" s="15" t="n">
        <x:v>45261</x:v>
      </x:c>
      <x:c r="B11288" s="13" t="str">
        <x:v>ALPARGATAS SA - PREF</x:v>
      </x:c>
      <x:c r="C11288" s="16" t="n">
        <x:v>250.136544</x:v>
      </x:c>
      <x:c r="D11288" s="13" t="str">
        <x:v>Retail</x:v>
      </x:c>
      <x:c r="E11288" s="13" t="str">
        <x:v>Retail</x:v>
      </x:c>
      <x:c r="F11288" s="13" t="str">
        <x:v>Early Cyclicals</x:v>
      </x:c>
      <x:c r="G11288" s="13" t="str">
        <x:v>grid_wbaxp5t0.xlsx</x:v>
      </x:c>
    </x:row>
    <x:row r="11289">
      <x:c r="A11289" s="15" t="n">
        <x:v>45261</x:v>
      </x:c>
      <x:c r="B11289" s="13" t="str">
        <x:v>ATACADAO SA</x:v>
      </x:c>
      <x:c r="C11289" s="16" t="n">
        <x:v>1567.0208286776</x:v>
      </x:c>
      <x:c r="D11289" s="13" t="str">
        <x:v>Retail</x:v>
      </x:c>
      <x:c r="E11289" s="13" t="str">
        <x:v>Retail</x:v>
      </x:c>
      <x:c r="F11289" s="13" t="str">
        <x:v>Early Cyclicals</x:v>
      </x:c>
      <x:c r="G11289" s="13" t="str">
        <x:v>grid_wbaxp5t0.xlsx</x:v>
      </x:c>
    </x:row>
    <x:row r="11290">
      <x:c r="A11290" s="15" t="n">
        <x:v>45261</x:v>
      </x:c>
      <x:c r="B11290" s="13" t="str">
        <x:v>AZZAS 2154 SA</x:v>
      </x:c>
      <x:c r="C11290" s="16" t="n">
        <x:v>523.168048612</x:v>
      </x:c>
      <x:c r="D11290" s="13" t="str">
        <x:v>Retail</x:v>
      </x:c>
      <x:c r="E11290" s="13" t="str">
        <x:v>Retail</x:v>
      </x:c>
      <x:c r="F11290" s="13" t="str">
        <x:v>Early Cyclicals</x:v>
      </x:c>
      <x:c r="G11290" s="13" t="str">
        <x:v>grid_wbaxp5t0.xlsx</x:v>
      </x:c>
    </x:row>
    <x:row r="11291">
      <x:c r="A11291" s="15" t="n">
        <x:v>45261</x:v>
      </x:c>
      <x:c r="B11291" s="13" t="str">
        <x:v>CIA BRASILEIRA DE DISTRIBUIC</x:v>
      </x:c>
      <x:c r="C11291" s="16" t="n">
        <x:v>-412.1279702732</x:v>
      </x:c>
      <x:c r="D11291" s="13" t="str">
        <x:v>Retail</x:v>
      </x:c>
      <x:c r="E11291" s="13" t="str">
        <x:v>Retail</x:v>
      </x:c>
      <x:c r="F11291" s="13" t="str">
        <x:v>Early Cyclicals</x:v>
      </x:c>
      <x:c r="G11291" s="13" t="str">
        <x:v>grid_wbaxp5t0.xlsx</x:v>
      </x:c>
    </x:row>
    <x:row r="11292">
      <x:c r="A11292" s="15" t="n">
        <x:v>45261</x:v>
      </x:c>
      <x:c r="B11292" s="13" t="str">
        <x:v>CVC BRASIL OPERADORA E AGENC</x:v>
      </x:c>
      <x:c r="C11292" s="16" t="n">
        <x:v>-55.2061169399</x:v>
      </x:c>
      <x:c r="D11292" s="13" t="str">
        <x:v>Retail</x:v>
      </x:c>
      <x:c r="E11292" s="13" t="str">
        <x:v>Retail</x:v>
      </x:c>
      <x:c r="F11292" s="13" t="str">
        <x:v>Early Cyclicals</x:v>
      </x:c>
      <x:c r="G11292" s="13" t="str">
        <x:v>grid_wbaxp5t0.xlsx</x:v>
      </x:c>
    </x:row>
    <x:row r="11293">
      <x:c r="A11293" s="15" t="n">
        <x:v>45261</x:v>
      </x:c>
      <x:c r="B11293" s="13" t="str">
        <x:v>GRUPO CASAS BAHIA SA</x:v>
      </x:c>
      <x:c r="C11293" s="16" t="n">
        <x:v>-439.1475406339</x:v>
      </x:c>
      <x:c r="D11293" s="13" t="str">
        <x:v>Retail</x:v>
      </x:c>
      <x:c r="E11293" s="13" t="str">
        <x:v>Retail</x:v>
      </x:c>
      <x:c r="F11293" s="13" t="str">
        <x:v>Early Cyclicals</x:v>
      </x:c>
      <x:c r="G11293" s="13" t="str">
        <x:v>grid_wbaxp5t0.xlsx</x:v>
      </x:c>
    </x:row>
    <x:row r="11294">
      <x:c r="A11294" s="15" t="n">
        <x:v>45261</x:v>
      </x:c>
      <x:c r="B11294" s="13" t="str">
        <x:v>GRUPO DE MODA SOMA SA</x:v>
      </x:c>
      <x:c r="C11294" s="16" t="n">
        <x:v>461.8509592131</x:v>
      </x:c>
      <x:c r="D11294" s="13" t="str">
        <x:v>Retail</x:v>
      </x:c>
      <x:c r="E11294" s="13" t="str">
        <x:v>Retail</x:v>
      </x:c>
      <x:c r="F11294" s="13" t="str">
        <x:v>Early Cyclicals</x:v>
      </x:c>
      <x:c r="G11294" s="13" t="str">
        <x:v>grid_wbaxp5t0.xlsx</x:v>
      </x:c>
    </x:row>
    <x:row r="11295">
      <x:c r="A11295" s="15" t="n">
        <x:v>45261</x:v>
      </x:c>
      <x:c r="B11295" s="13" t="str">
        <x:v>LOJAS RENNER S.A.</x:v>
      </x:c>
      <x:c r="C11295" s="16" t="n">
        <x:v>1176.1479323279</x:v>
      </x:c>
      <x:c r="D11295" s="13" t="str">
        <x:v>Retail</x:v>
      </x:c>
      <x:c r="E11295" s="13" t="str">
        <x:v>Retail</x:v>
      </x:c>
      <x:c r="F11295" s="13" t="str">
        <x:v>Early Cyclicals</x:v>
      </x:c>
      <x:c r="G11295" s="13" t="str">
        <x:v>grid_wbaxp5t0.xlsx</x:v>
      </x:c>
    </x:row>
    <x:row r="11296">
      <x:c r="A11296" s="15" t="n">
        <x:v>45261</x:v>
      </x:c>
      <x:c r="B11296" s="13" t="str">
        <x:v>MAGAZINE LUIZA SA</x:v>
      </x:c>
      <x:c r="C11296" s="16" t="n">
        <x:v>231.541360612</x:v>
      </x:c>
      <x:c r="D11296" s="13" t="str">
        <x:v>Retail</x:v>
      </x:c>
      <x:c r="E11296" s="13" t="str">
        <x:v>Retail</x:v>
      </x:c>
      <x:c r="F11296" s="13" t="str">
        <x:v>Early Cyclicals</x:v>
      </x:c>
      <x:c r="G11296" s="13" t="str">
        <x:v>grid_wbaxp5t0.xlsx</x:v>
      </x:c>
    </x:row>
    <x:row r="11297">
      <x:c r="A11297" s="15" t="n">
        <x:v>45261</x:v>
      </x:c>
      <x:c r="B11297" s="13" t="str">
        <x:v>NATURA &amp;CO HOLDING SA</x:v>
      </x:c>
      <x:c r="C11297" s="16" t="n">
        <x:v>888.2374483934</x:v>
      </x:c>
      <x:c r="D11297" s="13" t="str">
        <x:v>Retail</x:v>
      </x:c>
      <x:c r="E11297" s="13" t="str">
        <x:v>Retail</x:v>
      </x:c>
      <x:c r="F11297" s="13" t="str">
        <x:v>Early Cyclicals</x:v>
      </x:c>
      <x:c r="G11297" s="13" t="str">
        <x:v>grid_wbaxp5t0.xlsx</x:v>
      </x:c>
    </x:row>
    <x:row r="11298">
      <x:c r="A11298" s="15" t="n">
        <x:v>45261</x:v>
      </x:c>
      <x:c r="B11298" s="13" t="str">
        <x:v>PET CENTER COMERCIO E PARTIC</x:v>
      </x:c>
      <x:c r="C11298" s="16" t="n">
        <x:v>108.0003945355</x:v>
      </x:c>
      <x:c r="D11298" s="13" t="str">
        <x:v>Retail</x:v>
      </x:c>
      <x:c r="E11298" s="13" t="str">
        <x:v>Retail</x:v>
      </x:c>
      <x:c r="F11298" s="13" t="str">
        <x:v>Early Cyclicals</x:v>
      </x:c>
      <x:c r="G11298" s="13" t="str">
        <x:v>grid_wbaxp5t0.xlsx</x:v>
      </x:c>
    </x:row>
    <x:row r="11299">
      <x:c r="A11299" s="15" t="n">
        <x:v>45261</x:v>
      </x:c>
      <x:c r="B11299" s="13" t="str">
        <x:v>RAIA DROGASIL SA</x:v>
      </x:c>
      <x:c r="C11299" s="16" t="n">
        <x:v>1521.1490322186</x:v>
      </x:c>
      <x:c r="D11299" s="13" t="str">
        <x:v>Retail</x:v>
      </x:c>
      <x:c r="E11299" s="13" t="str">
        <x:v>Retail</x:v>
      </x:c>
      <x:c r="F11299" s="13" t="str">
        <x:v>Early Cyclicals</x:v>
      </x:c>
      <x:c r="G11299" s="13" t="str">
        <x:v>grid_wbaxp5t0.xlsx</x:v>
      </x:c>
    </x:row>
    <x:row r="11300">
      <x:c r="A11300" s="15" t="n">
        <x:v>45261</x:v>
      </x:c>
      <x:c r="B11300" s="13" t="str">
        <x:v>SENDAS DISTRIBUIDORA SA</x:v>
      </x:c>
      <x:c r="C11300" s="16" t="n">
        <x:v>1196.9645128743</x:v>
      </x:c>
      <x:c r="D11300" s="13" t="str">
        <x:v>Retail</x:v>
      </x:c>
      <x:c r="E11300" s="13" t="str">
        <x:v>Retail</x:v>
      </x:c>
      <x:c r="F11300" s="13" t="str">
        <x:v>Early Cyclicals</x:v>
      </x:c>
      <x:c r="G11300" s="13" t="str">
        <x:v>grid_wbaxp5t0.xlsx</x:v>
      </x:c>
    </x:row>
    <x:row r="11301">
      <x:c r="A11301" s="15" t="n">
        <x:v>45261</x:v>
      </x:c>
      <x:c r="B11301" s="13" t="str">
        <x:v>CIA SANEAMENTO BASICO DE SP</x:v>
      </x:c>
      <x:c r="C11301" s="16" t="n">
        <x:v>4181.2965574645</x:v>
      </x:c>
      <x:c r="D11301" s="13" t="str">
        <x:v>Sanitation</x:v>
      </x:c>
      <x:c r="E11301" s="13" t="str">
        <x:v>Utilities</x:v>
      </x:c>
      <x:c r="F11301" s="13" t="str">
        <x:v>Defensives</x:v>
      </x:c>
      <x:c r="G11301" s="13" t="str">
        <x:v>grid_wbaxp5t0.xlsx</x:v>
      </x:c>
    </x:row>
    <x:row r="11302">
      <x:c r="A11302" s="15" t="n">
        <x:v>45261</x:v>
      </x:c>
      <x:c r="B11302" s="13" t="str">
        <x:v>LWSA SA</x:v>
      </x:c>
      <x:c r="C11302" s="16" t="n">
        <x:v>125.0365076503</x:v>
      </x:c>
      <x:c r="D11302" s="13" t="str">
        <x:v>TMT</x:v>
      </x:c>
      <x:c r="E11302" s="13" t="str">
        <x:v>TMT</x:v>
      </x:c>
      <x:c r="F11302" s="13" t="str">
        <x:v>Early Cyclicals</x:v>
      </x:c>
      <x:c r="G11302" s="13" t="str">
        <x:v>grid_wbaxp5t0.xlsx</x:v>
      </x:c>
    </x:row>
    <x:row r="11303">
      <x:c r="A11303" s="15" t="n">
        <x:v>45261</x:v>
      </x:c>
      <x:c r="B11303" s="13" t="str">
        <x:v>TIM SA</x:v>
      </x:c>
      <x:c r="C11303" s="16" t="n">
        <x:v>3200.8749548415</x:v>
      </x:c>
      <x:c r="D11303" s="13" t="str">
        <x:v>TMT</x:v>
      </x:c>
      <x:c r="E11303" s="13" t="str">
        <x:v>TMT</x:v>
      </x:c>
      <x:c r="F11303" s="13" t="str">
        <x:v>Early Cyclicals</x:v>
      </x:c>
      <x:c r="G11303" s="13" t="str">
        <x:v>grid_wbaxp5t0.xlsx</x:v>
      </x:c>
    </x:row>
    <x:row r="11304">
      <x:c r="A11304" s="15" t="n">
        <x:v>45261</x:v>
      </x:c>
      <x:c r="B11304" s="13" t="str">
        <x:v>TOTVS SA</x:v>
      </x:c>
      <x:c r="C11304" s="16" t="n">
        <x:v>820.7028448525</x:v>
      </x:c>
      <x:c r="D11304" s="13" t="str">
        <x:v>TMT</x:v>
      </x:c>
      <x:c r="E11304" s="13" t="str">
        <x:v>TMT</x:v>
      </x:c>
      <x:c r="F11304" s="13" t="str">
        <x:v>Early Cyclicals</x:v>
      </x:c>
      <x:c r="G11304" s="13" t="str">
        <x:v>grid_wbaxp5t0.xlsx</x:v>
      </x:c>
    </x:row>
    <x:row r="11305">
      <x:c r="A11305" s="15" t="n">
        <x:v>45261</x:v>
      </x:c>
      <x:c r="B11305" s="13" t="str">
        <x:v>AZUL SA</x:v>
      </x:c>
      <x:c r="C11305" s="16" t="n">
        <x:v>700.2175951038</x:v>
      </x:c>
      <x:c r="D11305" s="13" t="str">
        <x:v>Transportation</x:v>
      </x:c>
      <x:c r="E11305" s="13" t="str">
        <x:v>Transportation</x:v>
      </x:c>
      <x:c r="F11305" s="13" t="str">
        <x:v>Deep Cyclicals</x:v>
      </x:c>
      <x:c r="G11305" s="13" t="str">
        <x:v>grid_wbaxp5t0.xlsx</x:v>
      </x:c>
    </x:row>
    <x:row r="11306">
      <x:c r="A11306" s="15" t="n">
        <x:v>45261</x:v>
      </x:c>
      <x:c r="B11306" s="13" t="str">
        <x:v>GOL LINHAS AEREAS INT SA-PRE</x:v>
      </x:c>
      <x:c r="C11306" s="16" t="n">
        <x:v>669.3618898579</x:v>
      </x:c>
      <x:c r="D11306" s="13" t="str">
        <x:v>Transportation</x:v>
      </x:c>
      <x:c r="E11306" s="13" t="str">
        <x:v>Transportation</x:v>
      </x:c>
      <x:c r="F11306" s="13" t="str">
        <x:v>Deep Cyclicals</x:v>
      </x:c>
      <x:c r="G11306" s="13" t="str">
        <x:v>grid_wbaxp5t0.xlsx</x:v>
      </x:c>
    </x:row>
    <x:row r="11307">
      <x:c r="A11307" s="15" t="n">
        <x:v>45261</x:v>
      </x:c>
      <x:c r="B11307" s="13" t="str">
        <x:v>LOCALIZA RENT A CAR</x:v>
      </x:c>
      <x:c r="C11307" s="16" t="n">
        <x:v>3910.1765595628</x:v>
      </x:c>
      <x:c r="D11307" s="13" t="str">
        <x:v>Transportation</x:v>
      </x:c>
      <x:c r="E11307" s="13" t="str">
        <x:v>Transportation</x:v>
      </x:c>
      <x:c r="F11307" s="13" t="str">
        <x:v>Deep Cyclicals</x:v>
      </x:c>
      <x:c r="G11307" s="13" t="str">
        <x:v>grid_wbaxp5t0.xlsx</x:v>
      </x:c>
    </x:row>
    <x:row r="11308">
      <x:c r="A11308" s="15" t="n">
        <x:v>45261</x:v>
      </x:c>
      <x:c r="B11308" s="13" t="str">
        <x:v>MOTIVA INFRAESTRUTURA DE MOB</x:v>
      </x:c>
      <x:c r="C11308" s="16" t="n">
        <x:v>1714.3515299672</x:v>
      </x:c>
      <x:c r="D11308" s="13" t="str">
        <x:v>Transportation</x:v>
      </x:c>
      <x:c r="E11308" s="13" t="str">
        <x:v>Transportation</x:v>
      </x:c>
      <x:c r="F11308" s="13" t="str">
        <x:v>Deep Cyclicals</x:v>
      </x:c>
      <x:c r="G11308" s="13" t="str">
        <x:v>grid_wbaxp5t0.xlsx</x:v>
      </x:c>
    </x:row>
    <x:row r="11309">
      <x:c r="A11309" s="15" t="n">
        <x:v>45261</x:v>
      </x:c>
      <x:c r="B11309" s="13" t="str">
        <x:v>RUMO SA</x:v>
      </x:c>
      <x:c r="C11309" s="16" t="n">
        <x:v>1962.7838405246</x:v>
      </x:c>
      <x:c r="D11309" s="13" t="str">
        <x:v>Transportation</x:v>
      </x:c>
      <x:c r="E11309" s="13" t="str">
        <x:v>Transportation</x:v>
      </x:c>
      <x:c r="F11309" s="13" t="str">
        <x:v>Deep Cyclicals</x:v>
      </x:c>
      <x:c r="G11309" s="13" t="str">
        <x:v>grid_wbaxp5t0.xlsx</x:v>
      </x:c>
    </x:row>
    <x:row r="11310">
      <x:c r="A11310" s="15" t="n">
        <x:v>45261</x:v>
      </x:c>
      <x:c r="B11310" s="13" t="str">
        <x:v>VAMOS LOCACAO DE CAMINHOES M</x:v>
      </x:c>
      <x:c r="C11310" s="16" t="n">
        <x:v>1063.1275345137</x:v>
      </x:c>
      <x:c r="D11310" s="13" t="str">
        <x:v>Transportation</x:v>
      </x:c>
      <x:c r="E11310" s="13" t="str">
        <x:v>Transportation</x:v>
      </x:c>
      <x:c r="F11310" s="13" t="str">
        <x:v>Deep Cyclicals</x:v>
      </x:c>
      <x:c r="G11310" s="13" t="str">
        <x:v>grid_wbaxp5t0.xlsx</x:v>
      </x:c>
    </x:row>
    <x:row r="11311">
      <x:c r="A11311" s="15" t="n">
        <x:v>45261</x:v>
      </x:c>
      <x:c r="B11311" s="13" t="str">
        <x:v>AXIA ENERGIA SA</x:v>
      </x:c>
      <x:c r="C11311" s="16" t="n">
        <x:v>9632.5749284372</x:v>
      </x:c>
      <x:c r="D11311" s="13" t="str">
        <x:v>Utilities &amp; Energy</x:v>
      </x:c>
      <x:c r="E11311" s="13" t="str">
        <x:v>Utilities</x:v>
      </x:c>
      <x:c r="F11311" s="13" t="str">
        <x:v>Defensives</x:v>
      </x:c>
      <x:c r="G11311" s="13" t="str">
        <x:v>grid_wbaxp5t0.xlsx</x:v>
      </x:c>
    </x:row>
    <x:row r="11312">
      <x:c r="A11312" s="15" t="n">
        <x:v>45261</x:v>
      </x:c>
      <x:c r="B11312" s="13" t="str">
        <x:v>AXIA ENERGIA-PR B</x:v>
      </x:c>
      <x:c r="C11312" s="16" t="n">
        <x:v>9632.5749284372</x:v>
      </x:c>
      <x:c r="D11312" s="13" t="str">
        <x:v>Utilities &amp; Energy</x:v>
      </x:c>
      <x:c r="E11312" s="13" t="str">
        <x:v>Utilities</x:v>
      </x:c>
      <x:c r="F11312" s="13" t="str">
        <x:v>Defensives</x:v>
      </x:c>
      <x:c r="G11312" s="13" t="str">
        <x:v>grid_wbaxp5t0.xlsx</x:v>
      </x:c>
    </x:row>
    <x:row r="11313">
      <x:c r="A11313" s="15" t="n">
        <x:v>45261</x:v>
      </x:c>
      <x:c r="B11313" s="13" t="str">
        <x:v>CIA ENERGETICA MINAS GER-PRF</x:v>
      </x:c>
      <x:c r="C11313" s="16" t="n">
        <x:v>4282.3988123279</x:v>
      </x:c>
      <x:c r="D11313" s="13" t="str">
        <x:v>Utilities &amp; Energy</x:v>
      </x:c>
      <x:c r="E11313" s="13" t="str">
        <x:v>Utilities</x:v>
      </x:c>
      <x:c r="F11313" s="13" t="str">
        <x:v>Defensives</x:v>
      </x:c>
      <x:c r="G11313" s="13" t="str">
        <x:v>grid_wbaxp5t0.xlsx</x:v>
      </x:c>
    </x:row>
    <x:row r="11314">
      <x:c r="A11314" s="15" t="n">
        <x:v>45261</x:v>
      </x:c>
      <x:c r="B11314" s="13" t="str">
        <x:v>COMPANHIA PARANAENSE -PREF B</x:v>
      </x:c>
      <x:c r="C11314" s="16" t="n">
        <x:v>2222.1417239781</x:v>
      </x:c>
      <x:c r="D11314" s="13" t="str">
        <x:v>Utilities &amp; Energy</x:v>
      </x:c>
      <x:c r="E11314" s="13" t="str">
        <x:v>Utilities</x:v>
      </x:c>
      <x:c r="F11314" s="13" t="str">
        <x:v>Defensives</x:v>
      </x:c>
      <x:c r="G11314" s="13" t="str">
        <x:v>grid_wbaxp5t0.xlsx</x:v>
      </x:c>
    </x:row>
    <x:row r="11315">
      <x:c r="A11315" s="15" t="n">
        <x:v>45261</x:v>
      </x:c>
      <x:c r="B11315" s="13" t="str">
        <x:v>CPFL ENERGIA SA</x:v>
      </x:c>
      <x:c r="C11315" s="16" t="n">
        <x:v>4644.1406139454</x:v>
      </x:c>
      <x:c r="D11315" s="13" t="str">
        <x:v>Utilities &amp; Energy</x:v>
      </x:c>
      <x:c r="E11315" s="13" t="str">
        <x:v>Utilities</x:v>
      </x:c>
      <x:c r="F11315" s="13" t="str">
        <x:v>Defensives</x:v>
      </x:c>
      <x:c r="G11315" s="13" t="str">
        <x:v>grid_wbaxp5t0.xlsx</x:v>
      </x:c>
    </x:row>
    <x:row r="11316">
      <x:c r="A11316" s="15" t="n">
        <x:v>45261</x:v>
      </x:c>
      <x:c r="B11316" s="13" t="str">
        <x:v>ENERGISA SA-UNITS</x:v>
      </x:c>
      <x:c r="C11316" s="16" t="n">
        <x:v>1753.327119388</x:v>
      </x:c>
      <x:c r="D11316" s="13" t="str">
        <x:v>Utilities &amp; Energy</x:v>
      </x:c>
      <x:c r="E11316" s="13" t="str">
        <x:v>Utilities</x:v>
      </x:c>
      <x:c r="F11316" s="13" t="str">
        <x:v>Defensives</x:v>
      </x:c>
      <x:c r="G11316" s="13" t="str">
        <x:v>grid_wbaxp5t0.xlsx</x:v>
      </x:c>
    </x:row>
    <x:row r="11317">
      <x:c r="A11317" s="15" t="n">
        <x:v>45261</x:v>
      </x:c>
      <x:c r="B11317" s="13" t="str">
        <x:v>ENEVA SA</x:v>
      </x:c>
      <x:c r="C11317" s="16" t="n">
        <x:v>725.2013660328</x:v>
      </x:c>
      <x:c r="D11317" s="13" t="str">
        <x:v>Utilities &amp; Energy</x:v>
      </x:c>
      <x:c r="E11317" s="13" t="str">
        <x:v>Utilities</x:v>
      </x:c>
      <x:c r="F11317" s="13" t="str">
        <x:v>Defensives</x:v>
      </x:c>
      <x:c r="G11317" s="13" t="str">
        <x:v>grid_wbaxp5t0.xlsx</x:v>
      </x:c>
    </x:row>
    <x:row r="11318">
      <x:c r="A11318" s="15" t="n">
        <x:v>45261</x:v>
      </x:c>
      <x:c r="B11318" s="13" t="str">
        <x:v>ENGIE BRASIL ENERGIA SA</x:v>
      </x:c>
      <x:c r="C11318" s="16" t="n">
        <x:v>3580.8252642623</x:v>
      </x:c>
      <x:c r="D11318" s="13" t="str">
        <x:v>Utilities &amp; Energy</x:v>
      </x:c>
      <x:c r="E11318" s="13" t="str">
        <x:v>Utilities</x:v>
      </x:c>
      <x:c r="F11318" s="13" t="str">
        <x:v>Defensives</x:v>
      </x:c>
      <x:c r="G11318" s="13" t="str">
        <x:v>grid_wbaxp5t0.xlsx</x:v>
      </x:c>
    </x:row>
    <x:row r="11319">
      <x:c r="A11319" s="15" t="n">
        <x:v>45261</x:v>
      </x:c>
      <x:c r="B11319" s="13" t="str">
        <x:v>EQUATORIAL SA - ORD</x:v>
      </x:c>
      <x:c r="C11319" s="16" t="n">
        <x:v>3055.8747607432</x:v>
      </x:c>
      <x:c r="D11319" s="13" t="str">
        <x:v>Utilities &amp; Energy</x:v>
      </x:c>
      <x:c r="E11319" s="13" t="str">
        <x:v>Utilities</x:v>
      </x:c>
      <x:c r="F11319" s="13" t="str">
        <x:v>Defensives</x:v>
      </x:c>
      <x:c r="G11319" s="13" t="str">
        <x:v>grid_wbaxp5t0.xlsx</x:v>
      </x:c>
    </x:row>
    <x:row r="11320">
      <x:c r="A11320" s="15" t="n">
        <x:v>45261</x:v>
      </x:c>
      <x:c r="B11320" s="13" t="str">
        <x:v>TRANSMISSORA ALIANCA DE-UNIT</x:v>
      </x:c>
      <x:c r="C11320" s="16" t="n">
        <x:v>1247.5292034098</x:v>
      </x:c>
      <x:c r="D11320" s="13" t="str">
        <x:v>Utilities &amp; Energy</x:v>
      </x:c>
      <x:c r="E11320" s="13" t="str">
        <x:v>Utilities</x:v>
      </x:c>
      <x:c r="F11320" s="13" t="str">
        <x:v>Defensives</x:v>
      </x:c>
      <x:c r="G11320" s="13" t="str">
        <x:v>grid_wbaxp5t0.xlsx</x:v>
      </x:c>
    </x:row>
    <x:row r="11321">
      <x:c r="A11321" s="15" t="n">
        <x:v>45292</x:v>
      </x:c>
      <x:c r="B11321" s="13" t="str">
        <x:v>RAIZEN SA - PREFERENCE</x:v>
      </x:c>
      <x:c r="C11321" s="16" t="n">
        <x:v>3870.2738972055</x:v>
      </x:c>
      <x:c r="D11321" s="13" t="str">
        <x:v>Agribusiness</x:v>
      </x:c>
      <x:c r="E11321" s="13" t="str">
        <x:v>Agri, Food &amp; Beverages</x:v>
      </x:c>
      <x:c r="F11321" s="13" t="str">
        <x:v>Defensives</x:v>
      </x:c>
      <x:c r="G11321" s="13" t="str">
        <x:v>grid_wbaxp5t0.xlsx</x:v>
      </x:c>
    </x:row>
    <x:row r="11322">
      <x:c r="A11322" s="15" t="n">
        <x:v>45292</x:v>
      </x:c>
      <x:c r="B11322" s="13" t="str">
        <x:v>SAO MARTINHO SA</x:v>
      </x:c>
      <x:c r="C11322" s="16" t="n">
        <x:v>1162.2029273425</x:v>
      </x:c>
      <x:c r="D11322" s="13" t="str">
        <x:v>Agribusiness</x:v>
      </x:c>
      <x:c r="E11322" s="13" t="str">
        <x:v>Agri, Food &amp; Beverages</x:v>
      </x:c>
      <x:c r="F11322" s="13" t="str">
        <x:v>Defensives</x:v>
      </x:c>
      <x:c r="G11322" s="13" t="str">
        <x:v>grid_wbaxp5t0.xlsx</x:v>
      </x:c>
    </x:row>
    <x:row r="11323">
      <x:c r="A11323" s="15" t="n">
        <x:v>45292</x:v>
      </x:c>
      <x:c r="B11323" s="13" t="str">
        <x:v>SLC AGRICOLA SA</x:v>
      </x:c>
      <x:c r="C11323" s="16" t="n">
        <x:v>1020.4205746849</x:v>
      </x:c>
      <x:c r="D11323" s="13" t="str">
        <x:v>Agribusiness</x:v>
      </x:c>
      <x:c r="E11323" s="13" t="str">
        <x:v>Agri, Food &amp; Beverages</x:v>
      </x:c>
      <x:c r="F11323" s="13" t="str">
        <x:v>Defensives</x:v>
      </x:c>
      <x:c r="G11323" s="13" t="str">
        <x:v>grid_wbaxp5t0.xlsx</x:v>
      </x:c>
    </x:row>
    <x:row r="11324">
      <x:c r="A11324" s="15" t="n">
        <x:v>45292</x:v>
      </x:c>
      <x:c r="B11324" s="13" t="str">
        <x:v>BANCO BRADESCO S.A.</x:v>
      </x:c>
      <x:c r="C11324" s="16" t="n">
        <x:v>22795.8512990685</x:v>
      </x:c>
      <x:c r="D11324" s="13" t="str">
        <x:v>Banks</x:v>
      </x:c>
      <x:c r="E11324" s="13" t="str">
        <x:v>Banks</x:v>
      </x:c>
      <x:c r="F11324" s="13" t="str">
        <x:v>Financials</x:v>
      </x:c>
      <x:c r="G11324" s="13" t="str">
        <x:v>grid_wbaxp5t0.xlsx</x:v>
      </x:c>
    </x:row>
    <x:row r="11325">
      <x:c r="A11325" s="15" t="n">
        <x:v>45292</x:v>
      </x:c>
      <x:c r="B11325" s="13" t="str">
        <x:v>BANCO BRADESCO SA-PREF</x:v>
      </x:c>
      <x:c r="C11325" s="16" t="n">
        <x:v>22795.8512990685</x:v>
      </x:c>
      <x:c r="D11325" s="13" t="str">
        <x:v>Banks</x:v>
      </x:c>
      <x:c r="E11325" s="13" t="str">
        <x:v>Banks</x:v>
      </x:c>
      <x:c r="F11325" s="13" t="str">
        <x:v>Financials</x:v>
      </x:c>
      <x:c r="G11325" s="13" t="str">
        <x:v>grid_wbaxp5t0.xlsx</x:v>
      </x:c>
    </x:row>
    <x:row r="11326">
      <x:c r="A11326" s="15" t="n">
        <x:v>45292</x:v>
      </x:c>
      <x:c r="B11326" s="13" t="str">
        <x:v>BANCO BTG PACTUAL SA-UNIT</x:v>
      </x:c>
      <x:c r="C11326" s="16" t="n">
        <x:v>12291.7681376438</x:v>
      </x:c>
      <x:c r="D11326" s="13" t="str">
        <x:v>Banks</x:v>
      </x:c>
      <x:c r="E11326" s="13" t="str">
        <x:v>Banks</x:v>
      </x:c>
      <x:c r="F11326" s="13" t="str">
        <x:v>Financials</x:v>
      </x:c>
      <x:c r="G11326" s="13" t="str">
        <x:v>grid_wbaxp5t0.xlsx</x:v>
      </x:c>
    </x:row>
    <x:row r="11327">
      <x:c r="A11327" s="15" t="n">
        <x:v>45292</x:v>
      </x:c>
      <x:c r="B11327" s="13" t="str">
        <x:v>BANCO DO BRASIL S.A.</x:v>
      </x:c>
      <x:c r="C11327" s="16" t="n">
        <x:v>37491.1273941918</x:v>
      </x:c>
      <x:c r="D11327" s="13" t="str">
        <x:v>Banks</x:v>
      </x:c>
      <x:c r="E11327" s="13" t="str">
        <x:v>Banks</x:v>
      </x:c>
      <x:c r="F11327" s="13" t="str">
        <x:v>Financials</x:v>
      </x:c>
      <x:c r="G11327" s="13" t="str">
        <x:v>grid_wbaxp5t0.xlsx</x:v>
      </x:c>
    </x:row>
    <x:row r="11328">
      <x:c r="A11328" s="15" t="n">
        <x:v>45292</x:v>
      </x:c>
      <x:c r="B11328" s="13" t="str">
        <x:v>BANCO SANTANDER  BRASIL-UNIT</x:v>
      </x:c>
      <x:c r="C11328" s="16" t="n">
        <x:v>13971.2319684384</x:v>
      </x:c>
      <x:c r="D11328" s="13" t="str">
        <x:v>Banks</x:v>
      </x:c>
      <x:c r="E11328" s="13" t="str">
        <x:v>Banks</x:v>
      </x:c>
      <x:c r="F11328" s="13" t="str">
        <x:v>Financials</x:v>
      </x:c>
      <x:c r="G11328" s="13" t="str">
        <x:v>grid_wbaxp5t0.xlsx</x:v>
      </x:c>
    </x:row>
    <x:row r="11329">
      <x:c r="A11329" s="15" t="n">
        <x:v>45292</x:v>
      </x:c>
      <x:c r="B11329" s="13" t="str">
        <x:v>ITAU UNIBANCO HOLDING S-PREF</x:v>
      </x:c>
      <x:c r="C11329" s="16" t="n">
        <x:v>39979.972748274</x:v>
      </x:c>
      <x:c r="D11329" s="13" t="str">
        <x:v>Banks</x:v>
      </x:c>
      <x:c r="E11329" s="13" t="str">
        <x:v>Banks</x:v>
      </x:c>
      <x:c r="F11329" s="13" t="str">
        <x:v>Financials</x:v>
      </x:c>
      <x:c r="G11329" s="13" t="str">
        <x:v>grid_wbaxp5t0.xlsx</x:v>
      </x:c>
    </x:row>
    <x:row r="11330">
      <x:c r="A11330" s="15" t="n">
        <x:v>45292</x:v>
      </x:c>
      <x:c r="B11330" s="13" t="str">
        <x:v>EMBRAER SA</x:v>
      </x:c>
      <x:c r="C11330" s="16" t="n">
        <x:v>1124.3015469589</x:v>
      </x:c>
      <x:c r="D11330" s="13" t="str">
        <x:v>Capital Goods</x:v>
      </x:c>
      <x:c r="E11330" s="13" t="str">
        <x:v>Capital Goods</x:v>
      </x:c>
      <x:c r="F11330" s="13" t="str">
        <x:v>Deep Cyclicals</x:v>
      </x:c>
      <x:c r="G11330" s="13" t="str">
        <x:v>grid_wbaxp5t0.xlsx</x:v>
      </x:c>
    </x:row>
    <x:row r="11331">
      <x:c r="A11331" s="15" t="n">
        <x:v>45292</x:v>
      </x:c>
      <x:c r="B11331" s="13" t="str">
        <x:v>WEG SA</x:v>
      </x:c>
      <x:c r="C11331" s="16" t="n">
        <x:v>5492.8987879452</x:v>
      </x:c>
      <x:c r="D11331" s="13" t="str">
        <x:v>Capital Goods</x:v>
      </x:c>
      <x:c r="E11331" s="13" t="str">
        <x:v>Capital Goods</x:v>
      </x:c>
      <x:c r="F11331" s="13" t="str">
        <x:v>Deep Cyclicals</x:v>
      </x:c>
      <x:c r="G11331" s="13" t="str">
        <x:v>grid_wbaxp5t0.xlsx</x:v>
      </x:c>
    </x:row>
    <x:row r="11332">
      <x:c r="A11332" s="15" t="n">
        <x:v>45292</x:v>
      </x:c>
      <x:c r="B11332" s="13" t="str">
        <x:v>COGNA EDUCACAO</x:v>
      </x:c>
      <x:c r="C11332" s="16" t="n">
        <x:v>405.1034463562</x:v>
      </x:c>
      <x:c r="D11332" s="13" t="str">
        <x:v>Education</x:v>
      </x:c>
      <x:c r="E11332" s="13" t="str">
        <x:v>Education</x:v>
      </x:c>
      <x:c r="F11332" s="13" t="str">
        <x:v>Early Cyclicals</x:v>
      </x:c>
      <x:c r="G11332" s="13" t="str">
        <x:v>grid_wbaxp5t0.xlsx</x:v>
      </x:c>
    </x:row>
    <x:row r="11333">
      <x:c r="A11333" s="15" t="n">
        <x:v>45292</x:v>
      </x:c>
      <x:c r="B11333" s="13" t="str">
        <x:v>YDUQS PARTICIPACOES SA</x:v>
      </x:c>
      <x:c r="C11333" s="16" t="n">
        <x:v>550.8296227945</x:v>
      </x:c>
      <x:c r="D11333" s="13" t="str">
        <x:v>Education</x:v>
      </x:c>
      <x:c r="E11333" s="13" t="str">
        <x:v>Education</x:v>
      </x:c>
      <x:c r="F11333" s="13" t="str">
        <x:v>Early Cyclicals</x:v>
      </x:c>
      <x:c r="G11333" s="13" t="str">
        <x:v>grid_wbaxp5t0.xlsx</x:v>
      </x:c>
    </x:row>
    <x:row r="11334">
      <x:c r="A11334" s="15" t="n">
        <x:v>45292</x:v>
      </x:c>
      <x:c r="B11334" s="13" t="str">
        <x:v>B3 SA-BRASIL BOLSA BALCAO</x:v>
      </x:c>
      <x:c r="C11334" s="16" t="n">
        <x:v>5143.6991894795</x:v>
      </x:c>
      <x:c r="D11334" s="13" t="str">
        <x:v>Financials Non-Banks</x:v>
      </x:c>
      <x:c r="E11334" s="13" t="str">
        <x:v>Financials Non-Banks</x:v>
      </x:c>
      <x:c r="F11334" s="13" t="str">
        <x:v>Financials</x:v>
      </x:c>
      <x:c r="G11334" s="13" t="str">
        <x:v>grid_wbaxp5t0.xlsx</x:v>
      </x:c>
    </x:row>
    <x:row r="11335">
      <x:c r="A11335" s="15" t="n">
        <x:v>45292</x:v>
      </x:c>
      <x:c r="B11335" s="13" t="str">
        <x:v>BB SEGURIDADE PARTICIPACOES</x:v>
      </x:c>
      <x:c r="C11335" s="16" t="n">
        <x:v>7939.3092173151</x:v>
      </x:c>
      <x:c r="D11335" s="13" t="str">
        <x:v>Financials Non-Banks</x:v>
      </x:c>
      <x:c r="E11335" s="13" t="str">
        <x:v>Financials Non-Banks</x:v>
      </x:c>
      <x:c r="F11335" s="13" t="str">
        <x:v>Financials</x:v>
      </x:c>
      <x:c r="G11335" s="13" t="str">
        <x:v>grid_wbaxp5t0.xlsx</x:v>
      </x:c>
    </x:row>
    <x:row r="11336">
      <x:c r="A11336" s="15" t="n">
        <x:v>45292</x:v>
      </x:c>
      <x:c r="B11336" s="13" t="str">
        <x:v>CIELO SA - INSTITUICAO DE PA</x:v>
      </x:c>
      <x:c r="C11336" s="16" t="n">
        <x:v>1899.1438343014</x:v>
      </x:c>
      <x:c r="D11336" s="13" t="str">
        <x:v>Financials Non-Banks</x:v>
      </x:c>
      <x:c r="E11336" s="13" t="str">
        <x:v>Financials Non-Banks</x:v>
      </x:c>
      <x:c r="F11336" s="13" t="str">
        <x:v>Financials</x:v>
      </x:c>
      <x:c r="G11336" s="13" t="str">
        <x:v>grid_wbaxp5t0.xlsx</x:v>
      </x:c>
    </x:row>
    <x:row r="11337">
      <x:c r="A11337" s="15" t="n">
        <x:v>45292</x:v>
      </x:c>
      <x:c r="B11337" s="13" t="str">
        <x:v>IRB BRASIL RESSEGUROS SA</x:v>
      </x:c>
      <x:c r="C11337" s="16" t="n">
        <x:v>329.5727180274</x:v>
      </x:c>
      <x:c r="D11337" s="13" t="str">
        <x:v>Financials Non-Banks</x:v>
      </x:c>
      <x:c r="E11337" s="13" t="str">
        <x:v>Financials Non-Banks</x:v>
      </x:c>
      <x:c r="F11337" s="13" t="str">
        <x:v>Financials</x:v>
      </x:c>
      <x:c r="G11337" s="13" t="str">
        <x:v>grid_wbaxp5t0.xlsx</x:v>
      </x:c>
    </x:row>
    <x:row r="11338">
      <x:c r="A11338" s="15" t="n">
        <x:v>45292</x:v>
      </x:c>
      <x:c r="B11338" s="13" t="str">
        <x:v>ITAUSA SA</x:v>
      </x:c>
      <x:c r="C11338" s="16" t="n">
        <x:v>15386.9173970411</x:v>
      </x:c>
      <x:c r="D11338" s="13" t="str">
        <x:v>Financials Non-Banks</x:v>
      </x:c>
      <x:c r="E11338" s="13" t="str">
        <x:v>Financials Non-Banks</x:v>
      </x:c>
      <x:c r="F11338" s="13" t="str">
        <x:v>Financials</x:v>
      </x:c>
      <x:c r="G11338" s="13" t="str">
        <x:v>grid_wbaxp5t0.xlsx</x:v>
      </x:c>
    </x:row>
    <x:row r="11339">
      <x:c r="A11339" s="15" t="n">
        <x:v>45292</x:v>
      </x:c>
      <x:c r="B11339" s="13" t="str">
        <x:v>AMBEV SA</x:v>
      </x:c>
      <x:c r="C11339" s="16" t="n">
        <x:v>15147.8620440548</x:v>
      </x:c>
      <x:c r="D11339" s="13" t="str">
        <x:v>Food &amp; Beverages</x:v>
      </x:c>
      <x:c r="E11339" s="13" t="str">
        <x:v>Agri, Food &amp; Beverages</x:v>
      </x:c>
      <x:c r="F11339" s="13" t="str">
        <x:v>Defensives</x:v>
      </x:c>
      <x:c r="G11339" s="13" t="str">
        <x:v>grid_wbaxp5t0.xlsx</x:v>
      </x:c>
    </x:row>
    <x:row r="11340">
      <x:c r="A11340" s="15" t="n">
        <x:v>45292</x:v>
      </x:c>
      <x:c r="B11340" s="13" t="str">
        <x:v>BRF SA</x:v>
      </x:c>
      <x:c r="C11340" s="16" t="n">
        <x:v>543.3048219178</x:v>
      </x:c>
      <x:c r="D11340" s="13" t="str">
        <x:v>Food &amp; Beverages</x:v>
      </x:c>
      <x:c r="E11340" s="13" t="str">
        <x:v>Agri, Food &amp; Beverages</x:v>
      </x:c>
      <x:c r="F11340" s="13" t="str">
        <x:v>Defensives</x:v>
      </x:c>
      <x:c r="G11340" s="13" t="str">
        <x:v>grid_wbaxp5t0.xlsx</x:v>
      </x:c>
    </x:row>
    <x:row r="11341">
      <x:c r="A11341" s="15" t="n">
        <x:v>45292</x:v>
      </x:c>
      <x:c r="B11341" s="13" t="str">
        <x:v>MBRF GLOBAL FOODS COMPANY SA</x:v>
      </x:c>
      <x:c r="C11341" s="16" t="n">
        <x:v>-472.9088920548</x:v>
      </x:c>
      <x:c r="D11341" s="13" t="str">
        <x:v>Food &amp; Beverages</x:v>
      </x:c>
      <x:c r="E11341" s="13" t="str">
        <x:v>Agri, Food &amp; Beverages</x:v>
      </x:c>
      <x:c r="F11341" s="13" t="str">
        <x:v>Defensives</x:v>
      </x:c>
      <x:c r="G11341" s="13" t="str">
        <x:v>grid_wbaxp5t0.xlsx</x:v>
      </x:c>
    </x:row>
    <x:row r="11342">
      <x:c r="A11342" s="15" t="n">
        <x:v>45292</x:v>
      </x:c>
      <x:c r="B11342" s="13" t="str">
        <x:v>MINERVA SA</x:v>
      </x:c>
      <x:c r="C11342" s="16" t="n">
        <x:v>971.8077343562</x:v>
      </x:c>
      <x:c r="D11342" s="13" t="str">
        <x:v>Food &amp; Beverages</x:v>
      </x:c>
      <x:c r="E11342" s="13" t="str">
        <x:v>Agri, Food &amp; Beverages</x:v>
      </x:c>
      <x:c r="F11342" s="13" t="str">
        <x:v>Defensives</x:v>
      </x:c>
      <x:c r="G11342" s="13" t="str">
        <x:v>grid_wbaxp5t0.xlsx</x:v>
      </x:c>
    </x:row>
    <x:row r="11343">
      <x:c r="A11343" s="15" t="n">
        <x:v>45292</x:v>
      </x:c>
      <x:c r="B11343" s="13" t="str">
        <x:v>FLEURY SA</x:v>
      </x:c>
      <x:c r="C11343" s="16" t="n">
        <x:v>704.4843835616</x:v>
      </x:c>
      <x:c r="D11343" s="13" t="str">
        <x:v>Health Care</x:v>
      </x:c>
      <x:c r="E11343" s="13" t="str">
        <x:v>Health Care</x:v>
      </x:c>
      <x:c r="F11343" s="13" t="str">
        <x:v>Defensives</x:v>
      </x:c>
      <x:c r="G11343" s="13" t="str">
        <x:v>grid_wbaxp5t0.xlsx</x:v>
      </x:c>
    </x:row>
    <x:row r="11344">
      <x:c r="A11344" s="15" t="n">
        <x:v>45292</x:v>
      </x:c>
      <x:c r="B11344" s="13" t="str">
        <x:v>HAPVIDA PARTICIPACOES E INVE</x:v>
      </x:c>
      <x:c r="C11344" s="16" t="n">
        <x:v>1559.1510864658</x:v>
      </x:c>
      <x:c r="D11344" s="13" t="str">
        <x:v>Health Care</x:v>
      </x:c>
      <x:c r="E11344" s="13" t="str">
        <x:v>Health Care</x:v>
      </x:c>
      <x:c r="F11344" s="13" t="str">
        <x:v>Defensives</x:v>
      </x:c>
      <x:c r="G11344" s="13" t="str">
        <x:v>grid_wbaxp5t0.xlsx</x:v>
      </x:c>
    </x:row>
    <x:row r="11345">
      <x:c r="A11345" s="15" t="n">
        <x:v>45292</x:v>
      </x:c>
      <x:c r="B11345" s="13" t="str">
        <x:v>HYPERA SA</x:v>
      </x:c>
      <x:c r="C11345" s="16" t="n">
        <x:v>1960.8473880548</x:v>
      </x:c>
      <x:c r="D11345" s="13" t="str">
        <x:v>Health Care</x:v>
      </x:c>
      <x:c r="E11345" s="13" t="str">
        <x:v>Health Care</x:v>
      </x:c>
      <x:c r="F11345" s="13" t="str">
        <x:v>Defensives</x:v>
      </x:c>
      <x:c r="G11345" s="13" t="str">
        <x:v>grid_wbaxp5t0.xlsx</x:v>
      </x:c>
    </x:row>
    <x:row r="11346">
      <x:c r="A11346" s="15" t="n">
        <x:v>45292</x:v>
      </x:c>
      <x:c r="B11346" s="13" t="str">
        <x:v>REDE D'OR SAO LUIZ SA</x:v>
      </x:c>
      <x:c r="C11346" s="16" t="n">
        <x:v>2948.5540401096</x:v>
      </x:c>
      <x:c r="D11346" s="13" t="str">
        <x:v>Health Care</x:v>
      </x:c>
      <x:c r="E11346" s="13" t="str">
        <x:v>Health Care</x:v>
      </x:c>
      <x:c r="F11346" s="13" t="str">
        <x:v>Defensives</x:v>
      </x:c>
      <x:c r="G11346" s="13" t="str">
        <x:v>grid_wbaxp5t0.xlsx</x:v>
      </x:c>
    </x:row>
    <x:row r="11347">
      <x:c r="A11347" s="15" t="n">
        <x:v>45292</x:v>
      </x:c>
      <x:c r="B11347" s="13" t="str">
        <x:v>CYRELA BRAZIL REALTY SA EMP</x:v>
      </x:c>
      <x:c r="C11347" s="16" t="n">
        <x:v>1207.9862058082</x:v>
      </x:c>
      <x:c r="D11347" s="13" t="str">
        <x:v>Homebuilders</x:v>
      </x:c>
      <x:c r="E11347" s="13" t="str">
        <x:v>Real Estate</x:v>
      </x:c>
      <x:c r="F11347" s="13" t="str">
        <x:v>Early Cyclicals</x:v>
      </x:c>
      <x:c r="G11347" s="13" t="str">
        <x:v>grid_wbaxp5t0.xlsx</x:v>
      </x:c>
    </x:row>
    <x:row r="11348">
      <x:c r="A11348" s="15" t="n">
        <x:v>45292</x:v>
      </x:c>
      <x:c r="B11348" s="13" t="str">
        <x:v>EZ TEC EMPREENDIMENTOS E PAR</x:v>
      </x:c>
      <x:c r="C11348" s="16" t="n">
        <x:v>369.6190627945</x:v>
      </x:c>
      <x:c r="D11348" s="13" t="str">
        <x:v>Homebuilders</x:v>
      </x:c>
      <x:c r="E11348" s="13" t="str">
        <x:v>Real Estate</x:v>
      </x:c>
      <x:c r="F11348" s="13" t="str">
        <x:v>Early Cyclicals</x:v>
      </x:c>
      <x:c r="G11348" s="13" t="str">
        <x:v>grid_wbaxp5t0.xlsx</x:v>
      </x:c>
    </x:row>
    <x:row r="11349">
      <x:c r="A11349" s="15" t="n">
        <x:v>45292</x:v>
      </x:c>
      <x:c r="B11349" s="13" t="str">
        <x:v>MRV ENGENHARIA</x:v>
      </x:c>
      <x:c r="C11349" s="16" t="n">
        <x:v>485.0790093151</x:v>
      </x:c>
      <x:c r="D11349" s="13" t="str">
        <x:v>Homebuilders</x:v>
      </x:c>
      <x:c r="E11349" s="13" t="str">
        <x:v>Real Estate</x:v>
      </x:c>
      <x:c r="F11349" s="13" t="str">
        <x:v>Early Cyclicals</x:v>
      </x:c>
      <x:c r="G11349" s="13" t="str">
        <x:v>grid_wbaxp5t0.xlsx</x:v>
      </x:c>
    </x:row>
    <x:row r="11350">
      <x:c r="A11350" s="15" t="n">
        <x:v>45292</x:v>
      </x:c>
      <x:c r="B11350" s="13" t="str">
        <x:v>ALLOS SA</x:v>
      </x:c>
      <x:c r="C11350" s="16" t="n">
        <x:v>774.5761700822</x:v>
      </x:c>
      <x:c r="D11350" s="13" t="str">
        <x:v>Income Properties</x:v>
      </x:c>
      <x:c r="E11350" s="13" t="str">
        <x:v>Real Estate</x:v>
      </x:c>
      <x:c r="F11350" s="13" t="str">
        <x:v>Early Cyclicals</x:v>
      </x:c>
      <x:c r="G11350" s="13" t="str">
        <x:v>grid_wbaxp5t0.xlsx</x:v>
      </x:c>
    </x:row>
    <x:row r="11351">
      <x:c r="A11351" s="15" t="n">
        <x:v>45292</x:v>
      </x:c>
      <x:c r="B11351" s="13" t="str">
        <x:v>IGUATEMI SA - UNITS</x:v>
      </x:c>
      <x:c r="C11351" s="16" t="n">
        <x:v>478.2911710685</x:v>
      </x:c>
      <x:c r="D11351" s="13" t="str">
        <x:v>Income Properties</x:v>
      </x:c>
      <x:c r="E11351" s="13" t="str">
        <x:v>Real Estate</x:v>
      </x:c>
      <x:c r="F11351" s="13" t="str">
        <x:v>Early Cyclicals</x:v>
      </x:c>
      <x:c r="G11351" s="13" t="str">
        <x:v>grid_wbaxp5t0.xlsx</x:v>
      </x:c>
    </x:row>
    <x:row r="11352">
      <x:c r="A11352" s="15" t="n">
        <x:v>45292</x:v>
      </x:c>
      <x:c r="B11352" s="13" t="str">
        <x:v>MULTIPLAN EMPREENDIMENTOS</x:v>
      </x:c>
      <x:c r="C11352" s="16" t="n">
        <x:v>1113.8093431233</x:v>
      </x:c>
      <x:c r="D11352" s="13" t="str">
        <x:v>Income Properties</x:v>
      </x:c>
      <x:c r="E11352" s="13" t="str">
        <x:v>Real Estate</x:v>
      </x:c>
      <x:c r="F11352" s="13" t="str">
        <x:v>Early Cyclicals</x:v>
      </x:c>
      <x:c r="G11352" s="13" t="str">
        <x:v>grid_wbaxp5t0.xlsx</x:v>
      </x:c>
    </x:row>
    <x:row r="11353">
      <x:c r="A11353" s="15" t="n">
        <x:v>45292</x:v>
      </x:c>
      <x:c r="B11353" s="13" t="str">
        <x:v>BRADESPAR SA -PREF</x:v>
      </x:c>
      <x:c r="C11353" s="16" t="n">
        <x:v>2174.3424070137</x:v>
      </x:c>
      <x:c r="D11353" s="13" t="str">
        <x:v>Metals &amp; Mining</x:v>
      </x:c>
      <x:c r="E11353" s="13" t="str">
        <x:v>Metals &amp; Mining</x:v>
      </x:c>
      <x:c r="F11353" s="13" t="str">
        <x:v>Deep Cyclicals</x:v>
      </x:c>
      <x:c r="G11353" s="13" t="str">
        <x:v>grid_wbaxp5t0.xlsx</x:v>
      </x:c>
    </x:row>
    <x:row r="11354">
      <x:c r="A11354" s="15" t="n">
        <x:v>45292</x:v>
      </x:c>
      <x:c r="B11354" s="13" t="str">
        <x:v>CIA SIDERURGICA NACIONAL SA</x:v>
      </x:c>
      <x:c r="C11354" s="16" t="n">
        <x:v>2057.0925746849</x:v>
      </x:c>
      <x:c r="D11354" s="13" t="str">
        <x:v>Metals &amp; Mining</x:v>
      </x:c>
      <x:c r="E11354" s="13" t="str">
        <x:v>Metals &amp; Mining</x:v>
      </x:c>
      <x:c r="F11354" s="13" t="str">
        <x:v>Deep Cyclicals</x:v>
      </x:c>
      <x:c r="G11354" s="13" t="str">
        <x:v>grid_wbaxp5t0.xlsx</x:v>
      </x:c>
    </x:row>
    <x:row r="11355">
      <x:c r="A11355" s="15" t="n">
        <x:v>45292</x:v>
      </x:c>
      <x:c r="B11355" s="13" t="str">
        <x:v>CSN MINERACAO SA</x:v>
      </x:c>
      <x:c r="C11355" s="16" t="n">
        <x:v>3802.8679715069</x:v>
      </x:c>
      <x:c r="D11355" s="13" t="str">
        <x:v>Metals &amp; Mining</x:v>
      </x:c>
      <x:c r="E11355" s="13" t="str">
        <x:v>Metals &amp; Mining</x:v>
      </x:c>
      <x:c r="F11355" s="13" t="str">
        <x:v>Deep Cyclicals</x:v>
      </x:c>
      <x:c r="G11355" s="13" t="str">
        <x:v>grid_wbaxp5t0.xlsx</x:v>
      </x:c>
    </x:row>
    <x:row r="11356">
      <x:c r="A11356" s="15" t="n">
        <x:v>45292</x:v>
      </x:c>
      <x:c r="B11356" s="13" t="str">
        <x:v>GERDAU SA-PREF</x:v>
      </x:c>
      <x:c r="C11356" s="16" t="n">
        <x:v>5154.9990084384</x:v>
      </x:c>
      <x:c r="D11356" s="13" t="str">
        <x:v>Metals &amp; Mining</x:v>
      </x:c>
      <x:c r="E11356" s="13" t="str">
        <x:v>Metals &amp; Mining</x:v>
      </x:c>
      <x:c r="F11356" s="13" t="str">
        <x:v>Deep Cyclicals</x:v>
      </x:c>
      <x:c r="G11356" s="13" t="str">
        <x:v>grid_wbaxp5t0.xlsx</x:v>
      </x:c>
    </x:row>
    <x:row r="11357">
      <x:c r="A11357" s="15" t="n">
        <x:v>45292</x:v>
      </x:c>
      <x:c r="B11357" s="13" t="str">
        <x:v>USINAS SIDER MINAS GER-PF A</x:v>
      </x:c>
      <x:c r="C11357" s="16" t="n">
        <x:v>1168.7520894247</x:v>
      </x:c>
      <x:c r="D11357" s="13" t="str">
        <x:v>Metals &amp; Mining</x:v>
      </x:c>
      <x:c r="E11357" s="13" t="str">
        <x:v>Metals &amp; Mining</x:v>
      </x:c>
      <x:c r="F11357" s="13" t="str">
        <x:v>Deep Cyclicals</x:v>
      </x:c>
      <x:c r="G11357" s="13" t="str">
        <x:v>grid_wbaxp5t0.xlsx</x:v>
      </x:c>
    </x:row>
    <x:row r="11358">
      <x:c r="A11358" s="15" t="n">
        <x:v>45292</x:v>
      </x:c>
      <x:c r="B11358" s="13" t="str">
        <x:v>VALE SA</x:v>
      </x:c>
      <x:c r="C11358" s="16" t="n">
        <x:v>52718.206022137</x:v>
      </x:c>
      <x:c r="D11358" s="13" t="str">
        <x:v>Metals &amp; Mining</x:v>
      </x:c>
      <x:c r="E11358" s="13" t="str">
        <x:v>Metals &amp; Mining</x:v>
      </x:c>
      <x:c r="F11358" s="13" t="str">
        <x:v>Deep Cyclicals</x:v>
      </x:c>
      <x:c r="G11358" s="13" t="str">
        <x:v>grid_wbaxp5t0.xlsx</x:v>
      </x:c>
    </x:row>
    <x:row r="11359">
      <x:c r="A11359" s="15" t="n">
        <x:v>45292</x:v>
      </x:c>
      <x:c r="B11359" s="13" t="str">
        <x:v>BRASKEM SA-PREF A</x:v>
      </x:c>
      <x:c r="C11359" s="16" t="n">
        <x:v>-1441.5245659178</x:v>
      </x:c>
      <x:c r="D11359" s="13" t="str">
        <x:v>Oil, Gas &amp; Petrochemicals</x:v>
      </x:c>
      <x:c r="E11359" s="13" t="str">
        <x:v>Oil, Gas &amp; Petrochemicals</x:v>
      </x:c>
      <x:c r="F11359" s="13" t="str">
        <x:v>Deep Cyclicals</x:v>
      </x:c>
      <x:c r="G11359" s="13" t="str">
        <x:v>grid_wbaxp5t0.xlsx</x:v>
      </x:c>
    </x:row>
    <x:row r="11360">
      <x:c r="A11360" s="15" t="n">
        <x:v>45292</x:v>
      </x:c>
      <x:c r="B11360" s="13" t="str">
        <x:v>BRAVA ENERGIA</x:v>
      </x:c>
      <x:c r="C11360" s="16" t="n">
        <x:v>1670.5118193973</x:v>
      </x:c>
      <x:c r="D11360" s="13" t="str">
        <x:v>Oil, Gas &amp; Petrochemicals</x:v>
      </x:c>
      <x:c r="E11360" s="13" t="str">
        <x:v>Oil, Gas &amp; Petrochemicals</x:v>
      </x:c>
      <x:c r="F11360" s="13" t="str">
        <x:v>Deep Cyclicals</x:v>
      </x:c>
      <x:c r="G11360" s="13" t="str">
        <x:v>grid_wbaxp5t0.xlsx</x:v>
      </x:c>
    </x:row>
    <x:row r="11361">
      <x:c r="A11361" s="15" t="n">
        <x:v>45292</x:v>
      </x:c>
      <x:c r="B11361" s="13" t="str">
        <x:v>COSAN SA</x:v>
      </x:c>
      <x:c r="C11361" s="16" t="n">
        <x:v>2921.6198487671</x:v>
      </x:c>
      <x:c r="D11361" s="13" t="str">
        <x:v>Oil, Gas &amp; Petrochemicals</x:v>
      </x:c>
      <x:c r="E11361" s="13" t="str">
        <x:v>Oil, Gas &amp; Petrochemicals</x:v>
      </x:c>
      <x:c r="F11361" s="13" t="str">
        <x:v>Deep Cyclicals</x:v>
      </x:c>
      <x:c r="G11361" s="13" t="str">
        <x:v>grid_wbaxp5t0.xlsx</x:v>
      </x:c>
    </x:row>
    <x:row r="11362">
      <x:c r="A11362" s="15" t="n">
        <x:v>45292</x:v>
      </x:c>
      <x:c r="B11362" s="13" t="str">
        <x:v>PETROBRAS - PETROLEO BRAS</x:v>
      </x:c>
      <x:c r="C11362" s="16" t="n">
        <x:v>111066.214119452</x:v>
      </x:c>
      <x:c r="D11362" s="13" t="str">
        <x:v>Oil, Gas &amp; Petrochemicals</x:v>
      </x:c>
      <x:c r="E11362" s="13" t="str">
        <x:v>Oil, Gas &amp; Petrochemicals</x:v>
      </x:c>
      <x:c r="F11362" s="13" t="str">
        <x:v>Deep Cyclicals</x:v>
      </x:c>
      <x:c r="G11362" s="13" t="str">
        <x:v>grid_wbaxp5t0.xlsx</x:v>
      </x:c>
    </x:row>
    <x:row r="11363">
      <x:c r="A11363" s="15" t="n">
        <x:v>45292</x:v>
      </x:c>
      <x:c r="B11363" s="13" t="str">
        <x:v>PETRORECONCAVO SA</x:v>
      </x:c>
      <x:c r="C11363" s="16" t="n">
        <x:v>1426.0313845479</x:v>
      </x:c>
      <x:c r="D11363" s="13" t="str">
        <x:v>Oil, Gas &amp; Petrochemicals</x:v>
      </x:c>
      <x:c r="E11363" s="13" t="str">
        <x:v>Oil, Gas &amp; Petrochemicals</x:v>
      </x:c>
      <x:c r="F11363" s="13" t="str">
        <x:v>Deep Cyclicals</x:v>
      </x:c>
      <x:c r="G11363" s="13" t="str">
        <x:v>grid_wbaxp5t0.xlsx</x:v>
      </x:c>
    </x:row>
    <x:row r="11364">
      <x:c r="A11364" s="15" t="n">
        <x:v>45292</x:v>
      </x:c>
      <x:c r="B11364" s="13" t="str">
        <x:v>PRIO SA</x:v>
      </x:c>
      <x:c r="C11364" s="16" t="n">
        <x:v>7507.2690358356</x:v>
      </x:c>
      <x:c r="D11364" s="13" t="str">
        <x:v>Oil, Gas &amp; Petrochemicals</x:v>
      </x:c>
      <x:c r="E11364" s="13" t="str">
        <x:v>Oil, Gas &amp; Petrochemicals</x:v>
      </x:c>
      <x:c r="F11364" s="13" t="str">
        <x:v>Deep Cyclicals</x:v>
      </x:c>
      <x:c r="G11364" s="13" t="str">
        <x:v>grid_wbaxp5t0.xlsx</x:v>
      </x:c>
    </x:row>
    <x:row r="11365">
      <x:c r="A11365" s="15" t="n">
        <x:v>45292</x:v>
      </x:c>
      <x:c r="B11365" s="13" t="str">
        <x:v>ULTRAPAR PARTICIPACOES SA</x:v>
      </x:c>
      <x:c r="C11365" s="16" t="n">
        <x:v>1807.8450831781</x:v>
      </x:c>
      <x:c r="D11365" s="13" t="str">
        <x:v>Oil, Gas &amp; Petrochemicals</x:v>
      </x:c>
      <x:c r="E11365" s="13" t="str">
        <x:v>Oil, Gas &amp; Petrochemicals</x:v>
      </x:c>
      <x:c r="F11365" s="13" t="str">
        <x:v>Deep Cyclicals</x:v>
      </x:c>
      <x:c r="G11365" s="13" t="str">
        <x:v>grid_wbaxp5t0.xlsx</x:v>
      </x:c>
    </x:row>
    <x:row r="11366">
      <x:c r="A11366" s="15" t="n">
        <x:v>45292</x:v>
      </x:c>
      <x:c r="B11366" s="13" t="str">
        <x:v>VIBRA ENERGIA SA</x:v>
      </x:c>
      <x:c r="C11366" s="16" t="n">
        <x:v>2749.8509361096</x:v>
      </x:c>
      <x:c r="D11366" s="13" t="str">
        <x:v>Oil, Gas &amp; Petrochemicals</x:v>
      </x:c>
      <x:c r="E11366" s="13" t="str">
        <x:v>Oil, Gas &amp; Petrochemicals</x:v>
      </x:c>
      <x:c r="F11366" s="13" t="str">
        <x:v>Deep Cyclicals</x:v>
      </x:c>
      <x:c r="G11366" s="13" t="str">
        <x:v>grid_wbaxp5t0.xlsx</x:v>
      </x:c>
    </x:row>
    <x:row r="11367">
      <x:c r="A11367" s="15" t="n">
        <x:v>45292</x:v>
      </x:c>
      <x:c r="B11367" s="13" t="str">
        <x:v>DEXCO SA</x:v>
      </x:c>
      <x:c r="C11367" s="16" t="n">
        <x:v>395.9663013699</x:v>
      </x:c>
      <x:c r="D11367" s="13" t="str">
        <x:v>Pulp &amp; Paper</x:v>
      </x:c>
      <x:c r="E11367" s="13" t="str">
        <x:v>Pulp &amp; Paper</x:v>
      </x:c>
      <x:c r="F11367" s="13" t="str">
        <x:v>Deep Cyclicals</x:v>
      </x:c>
      <x:c r="G11367" s="13" t="str">
        <x:v>grid_wbaxp5t0.xlsx</x:v>
      </x:c>
    </x:row>
    <x:row r="11368">
      <x:c r="A11368" s="15" t="n">
        <x:v>45292</x:v>
      </x:c>
      <x:c r="B11368" s="13" t="str">
        <x:v>KLABIN SA - UNIT</x:v>
      </x:c>
      <x:c r="C11368" s="16" t="n">
        <x:v>2615.911750137</x:v>
      </x:c>
      <x:c r="D11368" s="13" t="str">
        <x:v>Pulp &amp; Paper</x:v>
      </x:c>
      <x:c r="E11368" s="13" t="str">
        <x:v>Pulp &amp; Paper</x:v>
      </x:c>
      <x:c r="F11368" s="13" t="str">
        <x:v>Deep Cyclicals</x:v>
      </x:c>
      <x:c r="G11368" s="13" t="str">
        <x:v>grid_wbaxp5t0.xlsx</x:v>
      </x:c>
    </x:row>
    <x:row r="11369">
      <x:c r="A11369" s="15" t="n">
        <x:v>45292</x:v>
      </x:c>
      <x:c r="B11369" s="13" t="str">
        <x:v>SUZANO SA</x:v>
      </x:c>
      <x:c r="C11369" s="16" t="n">
        <x:v>5549.4755804932</x:v>
      </x:c>
      <x:c r="D11369" s="13" t="str">
        <x:v>Pulp &amp; Paper</x:v>
      </x:c>
      <x:c r="E11369" s="13" t="str">
        <x:v>Pulp &amp; Paper</x:v>
      </x:c>
      <x:c r="F11369" s="13" t="str">
        <x:v>Deep Cyclicals</x:v>
      </x:c>
      <x:c r="G11369" s="13" t="str">
        <x:v>grid_wbaxp5t0.xlsx</x:v>
      </x:c>
    </x:row>
    <x:row r="11370">
      <x:c r="A11370" s="15" t="n">
        <x:v>45292</x:v>
      </x:c>
      <x:c r="B11370" s="13" t="str">
        <x:v>ALPARGATAS SA - PREF</x:v>
      </x:c>
      <x:c r="C11370" s="16" t="n">
        <x:v>263.497260274</x:v>
      </x:c>
      <x:c r="D11370" s="13" t="str">
        <x:v>Retail</x:v>
      </x:c>
      <x:c r="E11370" s="13" t="str">
        <x:v>Retail</x:v>
      </x:c>
      <x:c r="F11370" s="13" t="str">
        <x:v>Early Cyclicals</x:v>
      </x:c>
      <x:c r="G11370" s="13" t="str">
        <x:v>grid_wbaxp5t0.xlsx</x:v>
      </x:c>
    </x:row>
    <x:row r="11371">
      <x:c r="A11371" s="15" t="n">
        <x:v>45292</x:v>
      </x:c>
      <x:c r="B11371" s="13" t="str">
        <x:v>ATACADAO SA</x:v>
      </x:c>
      <x:c r="C11371" s="16" t="n">
        <x:v>1610.6115068493</x:v>
      </x:c>
      <x:c r="D11371" s="13" t="str">
        <x:v>Retail</x:v>
      </x:c>
      <x:c r="E11371" s="13" t="str">
        <x:v>Retail</x:v>
      </x:c>
      <x:c r="F11371" s="13" t="str">
        <x:v>Early Cyclicals</x:v>
      </x:c>
      <x:c r="G11371" s="13" t="str">
        <x:v>grid_wbaxp5t0.xlsx</x:v>
      </x:c>
    </x:row>
    <x:row r="11372">
      <x:c r="A11372" s="15" t="n">
        <x:v>45292</x:v>
      </x:c>
      <x:c r="B11372" s="13" t="str">
        <x:v>AZZAS 2154 SA</x:v>
      </x:c>
      <x:c r="C11372" s="16" t="n">
        <x:v>510.3703307397</x:v>
      </x:c>
      <x:c r="D11372" s="13" t="str">
        <x:v>Retail</x:v>
      </x:c>
      <x:c r="E11372" s="13" t="str">
        <x:v>Retail</x:v>
      </x:c>
      <x:c r="F11372" s="13" t="str">
        <x:v>Early Cyclicals</x:v>
      </x:c>
      <x:c r="G11372" s="13" t="str">
        <x:v>grid_wbaxp5t0.xlsx</x:v>
      </x:c>
    </x:row>
    <x:row r="11373">
      <x:c r="A11373" s="15" t="n">
        <x:v>45292</x:v>
      </x:c>
      <x:c r="B11373" s="13" t="str">
        <x:v>CIA BRASILEIRA DE DISTRIBUIC</x:v>
      </x:c>
      <x:c r="C11373" s="16" t="n">
        <x:v>-438.3706906301</x:v>
      </x:c>
      <x:c r="D11373" s="13" t="str">
        <x:v>Retail</x:v>
      </x:c>
      <x:c r="E11373" s="13" t="str">
        <x:v>Retail</x:v>
      </x:c>
      <x:c r="F11373" s="13" t="str">
        <x:v>Early Cyclicals</x:v>
      </x:c>
      <x:c r="G11373" s="13" t="str">
        <x:v>grid_wbaxp5t0.xlsx</x:v>
      </x:c>
    </x:row>
    <x:row r="11374">
      <x:c r="A11374" s="15" t="n">
        <x:v>45292</x:v>
      </x:c>
      <x:c r="B11374" s="13" t="str">
        <x:v>CVC BRASIL OPERADORA E AGENC</x:v>
      </x:c>
      <x:c r="C11374" s="16" t="n">
        <x:v>-38.5883410959</x:v>
      </x:c>
      <x:c r="D11374" s="13" t="str">
        <x:v>Retail</x:v>
      </x:c>
      <x:c r="E11374" s="13" t="str">
        <x:v>Retail</x:v>
      </x:c>
      <x:c r="F11374" s="13" t="str">
        <x:v>Early Cyclicals</x:v>
      </x:c>
      <x:c r="G11374" s="13" t="str">
        <x:v>grid_wbaxp5t0.xlsx</x:v>
      </x:c>
    </x:row>
    <x:row r="11375">
      <x:c r="A11375" s="15" t="n">
        <x:v>45292</x:v>
      </x:c>
      <x:c r="B11375" s="13" t="str">
        <x:v>GRUPO CASAS BAHIA SA</x:v>
      </x:c>
      <x:c r="C11375" s="16" t="n">
        <x:v>-556.8082191781</x:v>
      </x:c>
      <x:c r="D11375" s="13" t="str">
        <x:v>Retail</x:v>
      </x:c>
      <x:c r="E11375" s="13" t="str">
        <x:v>Retail</x:v>
      </x:c>
      <x:c r="F11375" s="13" t="str">
        <x:v>Early Cyclicals</x:v>
      </x:c>
      <x:c r="G11375" s="13" t="str">
        <x:v>grid_wbaxp5t0.xlsx</x:v>
      </x:c>
    </x:row>
    <x:row r="11376">
      <x:c r="A11376" s="15" t="n">
        <x:v>45292</x:v>
      </x:c>
      <x:c r="B11376" s="13" t="str">
        <x:v>GRUPO DE MODA SOMA SA</x:v>
      </x:c>
      <x:c r="C11376" s="16" t="n">
        <x:v>442.2153762192</x:v>
      </x:c>
      <x:c r="D11376" s="13" t="str">
        <x:v>Retail</x:v>
      </x:c>
      <x:c r="E11376" s="13" t="str">
        <x:v>Retail</x:v>
      </x:c>
      <x:c r="F11376" s="13" t="str">
        <x:v>Early Cyclicals</x:v>
      </x:c>
      <x:c r="G11376" s="13" t="str">
        <x:v>grid_wbaxp5t0.xlsx</x:v>
      </x:c>
    </x:row>
    <x:row r="11377">
      <x:c r="A11377" s="15" t="n">
        <x:v>45292</x:v>
      </x:c>
      <x:c r="B11377" s="13" t="str">
        <x:v>LOJAS RENNER S.A.</x:v>
      </x:c>
      <x:c r="C11377" s="16" t="n">
        <x:v>1150.7349409315</x:v>
      </x:c>
      <x:c r="D11377" s="13" t="str">
        <x:v>Retail</x:v>
      </x:c>
      <x:c r="E11377" s="13" t="str">
        <x:v>Retail</x:v>
      </x:c>
      <x:c r="F11377" s="13" t="str">
        <x:v>Early Cyclicals</x:v>
      </x:c>
      <x:c r="G11377" s="13" t="str">
        <x:v>grid_wbaxp5t0.xlsx</x:v>
      </x:c>
    </x:row>
    <x:row r="11378">
      <x:c r="A11378" s="15" t="n">
        <x:v>45292</x:v>
      </x:c>
      <x:c r="B11378" s="13" t="str">
        <x:v>MAGAZINE LUIZA SA</x:v>
      </x:c>
      <x:c r="C11378" s="16" t="n">
        <x:v>247.0017196712</x:v>
      </x:c>
      <x:c r="D11378" s="13" t="str">
        <x:v>Retail</x:v>
      </x:c>
      <x:c r="E11378" s="13" t="str">
        <x:v>Retail</x:v>
      </x:c>
      <x:c r="F11378" s="13" t="str">
        <x:v>Early Cyclicals</x:v>
      </x:c>
      <x:c r="G11378" s="13" t="str">
        <x:v>grid_wbaxp5t0.xlsx</x:v>
      </x:c>
    </x:row>
    <x:row r="11379">
      <x:c r="A11379" s="15" t="n">
        <x:v>45292</x:v>
      </x:c>
      <x:c r="B11379" s="13" t="str">
        <x:v>NATURA &amp;CO HOLDING SA</x:v>
      </x:c>
      <x:c r="C11379" s="16" t="n">
        <x:v>902.7697253699</x:v>
      </x:c>
      <x:c r="D11379" s="13" t="str">
        <x:v>Retail</x:v>
      </x:c>
      <x:c r="E11379" s="13" t="str">
        <x:v>Retail</x:v>
      </x:c>
      <x:c r="F11379" s="13" t="str">
        <x:v>Early Cyclicals</x:v>
      </x:c>
      <x:c r="G11379" s="13" t="str">
        <x:v>grid_wbaxp5t0.xlsx</x:v>
      </x:c>
    </x:row>
    <x:row r="11380">
      <x:c r="A11380" s="15" t="n">
        <x:v>45292</x:v>
      </x:c>
      <x:c r="B11380" s="13" t="str">
        <x:v>PET CENTER COMERCIO E PARTIC</x:v>
      </x:c>
      <x:c r="C11380" s="16" t="n">
        <x:v>91.5880136986</x:v>
      </x:c>
      <x:c r="D11380" s="13" t="str">
        <x:v>Retail</x:v>
      </x:c>
      <x:c r="E11380" s="13" t="str">
        <x:v>Retail</x:v>
      </x:c>
      <x:c r="F11380" s="13" t="str">
        <x:v>Early Cyclicals</x:v>
      </x:c>
      <x:c r="G11380" s="13" t="str">
        <x:v>grid_wbaxp5t0.xlsx</x:v>
      </x:c>
    </x:row>
    <x:row r="11381">
      <x:c r="A11381" s="15" t="n">
        <x:v>45292</x:v>
      </x:c>
      <x:c r="B11381" s="13" t="str">
        <x:v>RAIA DROGASIL SA</x:v>
      </x:c>
      <x:c r="C11381" s="16" t="n">
        <x:v>1542.8435603288</x:v>
      </x:c>
      <x:c r="D11381" s="13" t="str">
        <x:v>Retail</x:v>
      </x:c>
      <x:c r="E11381" s="13" t="str">
        <x:v>Retail</x:v>
      </x:c>
      <x:c r="F11381" s="13" t="str">
        <x:v>Early Cyclicals</x:v>
      </x:c>
      <x:c r="G11381" s="13" t="str">
        <x:v>grid_wbaxp5t0.xlsx</x:v>
      </x:c>
    </x:row>
    <x:row r="11382">
      <x:c r="A11382" s="15" t="n">
        <x:v>45292</x:v>
      </x:c>
      <x:c r="B11382" s="13" t="str">
        <x:v>SENDAS DISTRIBUIDORA SA</x:v>
      </x:c>
      <x:c r="C11382" s="16" t="n">
        <x:v>1187.9302259726</x:v>
      </x:c>
      <x:c r="D11382" s="13" t="str">
        <x:v>Retail</x:v>
      </x:c>
      <x:c r="E11382" s="13" t="str">
        <x:v>Retail</x:v>
      </x:c>
      <x:c r="F11382" s="13" t="str">
        <x:v>Early Cyclicals</x:v>
      </x:c>
      <x:c r="G11382" s="13" t="str">
        <x:v>grid_wbaxp5t0.xlsx</x:v>
      </x:c>
    </x:row>
    <x:row r="11383">
      <x:c r="A11383" s="15" t="n">
        <x:v>45292</x:v>
      </x:c>
      <x:c r="B11383" s="13" t="str">
        <x:v>CIA SANEAMENTO BASICO DE SP</x:v>
      </x:c>
      <x:c r="C11383" s="16" t="n">
        <x:v>4193.591762411</x:v>
      </x:c>
      <x:c r="D11383" s="13" t="str">
        <x:v>Sanitation</x:v>
      </x:c>
      <x:c r="E11383" s="13" t="str">
        <x:v>Utilities</x:v>
      </x:c>
      <x:c r="F11383" s="13" t="str">
        <x:v>Defensives</x:v>
      </x:c>
      <x:c r="G11383" s="13" t="str">
        <x:v>grid_wbaxp5t0.xlsx</x:v>
      </x:c>
    </x:row>
    <x:row r="11384">
      <x:c r="A11384" s="15" t="n">
        <x:v>45292</x:v>
      </x:c>
      <x:c r="B11384" s="13" t="str">
        <x:v>LWSA SA</x:v>
      </x:c>
      <x:c r="C11384" s="16" t="n">
        <x:v>108.7319452055</x:v>
      </x:c>
      <x:c r="D11384" s="13" t="str">
        <x:v>TMT</x:v>
      </x:c>
      <x:c r="E11384" s="13" t="str">
        <x:v>TMT</x:v>
      </x:c>
      <x:c r="F11384" s="13" t="str">
        <x:v>Early Cyclicals</x:v>
      </x:c>
      <x:c r="G11384" s="13" t="str">
        <x:v>grid_wbaxp5t0.xlsx</x:v>
      </x:c>
    </x:row>
    <x:row r="11385">
      <x:c r="A11385" s="15" t="n">
        <x:v>45292</x:v>
      </x:c>
      <x:c r="B11385" s="13" t="str">
        <x:v>TIM SA</x:v>
      </x:c>
      <x:c r="C11385" s="16" t="n">
        <x:v>3316.565016548</x:v>
      </x:c>
      <x:c r="D11385" s="13" t="str">
        <x:v>TMT</x:v>
      </x:c>
      <x:c r="E11385" s="13" t="str">
        <x:v>TMT</x:v>
      </x:c>
      <x:c r="F11385" s="13" t="str">
        <x:v>Early Cyclicals</x:v>
      </x:c>
      <x:c r="G11385" s="13" t="str">
        <x:v>grid_wbaxp5t0.xlsx</x:v>
      </x:c>
    </x:row>
    <x:row r="11386">
      <x:c r="A11386" s="15" t="n">
        <x:v>45292</x:v>
      </x:c>
      <x:c r="B11386" s="13" t="str">
        <x:v>TOTVS SA</x:v>
      </x:c>
      <x:c r="C11386" s="16" t="n">
        <x:v>818.3352004384</x:v>
      </x:c>
      <x:c r="D11386" s="13" t="str">
        <x:v>TMT</x:v>
      </x:c>
      <x:c r="E11386" s="13" t="str">
        <x:v>TMT</x:v>
      </x:c>
      <x:c r="F11386" s="13" t="str">
        <x:v>Early Cyclicals</x:v>
      </x:c>
      <x:c r="G11386" s="13" t="str">
        <x:v>grid_wbaxp5t0.xlsx</x:v>
      </x:c>
    </x:row>
    <x:row r="11387">
      <x:c r="A11387" s="15" t="n">
        <x:v>45292</x:v>
      </x:c>
      <x:c r="B11387" s="13" t="str">
        <x:v>AZUL SA</x:v>
      </x:c>
      <x:c r="C11387" s="16" t="n">
        <x:v>627.6198636712</x:v>
      </x:c>
      <x:c r="D11387" s="13" t="str">
        <x:v>Transportation</x:v>
      </x:c>
      <x:c r="E11387" s="13" t="str">
        <x:v>Transportation</x:v>
      </x:c>
      <x:c r="F11387" s="13" t="str">
        <x:v>Deep Cyclicals</x:v>
      </x:c>
      <x:c r="G11387" s="13" t="str">
        <x:v>grid_wbaxp5t0.xlsx</x:v>
      </x:c>
    </x:row>
    <x:row r="11388">
      <x:c r="A11388" s="15" t="n">
        <x:v>45292</x:v>
      </x:c>
      <x:c r="B11388" s="13" t="str">
        <x:v>LOCALIZA RENT A CAR</x:v>
      </x:c>
      <x:c r="C11388" s="16" t="n">
        <x:v>3941.8621159452</x:v>
      </x:c>
      <x:c r="D11388" s="13" t="str">
        <x:v>Transportation</x:v>
      </x:c>
      <x:c r="E11388" s="13" t="str">
        <x:v>Transportation</x:v>
      </x:c>
      <x:c r="F11388" s="13" t="str">
        <x:v>Deep Cyclicals</x:v>
      </x:c>
      <x:c r="G11388" s="13" t="str">
        <x:v>grid_wbaxp5t0.xlsx</x:v>
      </x:c>
    </x:row>
    <x:row r="11389">
      <x:c r="A11389" s="15" t="n">
        <x:v>45292</x:v>
      </x:c>
      <x:c r="B11389" s="13" t="str">
        <x:v>MOTIVA INFRAESTRUTURA DE MOB</x:v>
      </x:c>
      <x:c r="C11389" s="16" t="n">
        <x:v>1737.0814071233</x:v>
      </x:c>
      <x:c r="D11389" s="13" t="str">
        <x:v>Transportation</x:v>
      </x:c>
      <x:c r="E11389" s="13" t="str">
        <x:v>Transportation</x:v>
      </x:c>
      <x:c r="F11389" s="13" t="str">
        <x:v>Deep Cyclicals</x:v>
      </x:c>
      <x:c r="G11389" s="13" t="str">
        <x:v>grid_wbaxp5t0.xlsx</x:v>
      </x:c>
    </x:row>
    <x:row r="11390">
      <x:c r="A11390" s="15" t="n">
        <x:v>45292</x:v>
      </x:c>
      <x:c r="B11390" s="13" t="str">
        <x:v>RUMO SA</x:v>
      </x:c>
      <x:c r="C11390" s="16" t="n">
        <x:v>2182.6610972055</x:v>
      </x:c>
      <x:c r="D11390" s="13" t="str">
        <x:v>Transportation</x:v>
      </x:c>
      <x:c r="E11390" s="13" t="str">
        <x:v>Transportation</x:v>
      </x:c>
      <x:c r="F11390" s="13" t="str">
        <x:v>Deep Cyclicals</x:v>
      </x:c>
      <x:c r="G11390" s="13" t="str">
        <x:v>grid_wbaxp5t0.xlsx</x:v>
      </x:c>
    </x:row>
    <x:row r="11391">
      <x:c r="A11391" s="15" t="n">
        <x:v>45292</x:v>
      </x:c>
      <x:c r="B11391" s="13" t="str">
        <x:v>VAMOS LOCACAO DE CAMINHOES M</x:v>
      </x:c>
      <x:c r="C11391" s="16" t="n">
        <x:v>1029.832755726</x:v>
      </x:c>
      <x:c r="D11391" s="13" t="str">
        <x:v>Transportation</x:v>
      </x:c>
      <x:c r="E11391" s="13" t="str">
        <x:v>Transportation</x:v>
      </x:c>
      <x:c r="F11391" s="13" t="str">
        <x:v>Deep Cyclicals</x:v>
      </x:c>
      <x:c r="G11391" s="13" t="str">
        <x:v>grid_wbaxp5t0.xlsx</x:v>
      </x:c>
    </x:row>
    <x:row r="11392">
      <x:c r="A11392" s="15" t="n">
        <x:v>45292</x:v>
      </x:c>
      <x:c r="B11392" s="13" t="str">
        <x:v>AXIA ENERGIA SA</x:v>
      </x:c>
      <x:c r="C11392" s="16" t="n">
        <x:v>8711.497868274</x:v>
      </x:c>
      <x:c r="D11392" s="13" t="str">
        <x:v>Utilities &amp; Energy</x:v>
      </x:c>
      <x:c r="E11392" s="13" t="str">
        <x:v>Utilities</x:v>
      </x:c>
      <x:c r="F11392" s="13" t="str">
        <x:v>Defensives</x:v>
      </x:c>
      <x:c r="G11392" s="13" t="str">
        <x:v>grid_wbaxp5t0.xlsx</x:v>
      </x:c>
    </x:row>
    <x:row r="11393">
      <x:c r="A11393" s="15" t="n">
        <x:v>45292</x:v>
      </x:c>
      <x:c r="B11393" s="13" t="str">
        <x:v>AXIA ENERGIA-PR B</x:v>
      </x:c>
      <x:c r="C11393" s="16" t="n">
        <x:v>8711.497868274</x:v>
      </x:c>
      <x:c r="D11393" s="13" t="str">
        <x:v>Utilities &amp; Energy</x:v>
      </x:c>
      <x:c r="E11393" s="13" t="str">
        <x:v>Utilities</x:v>
      </x:c>
      <x:c r="F11393" s="13" t="str">
        <x:v>Defensives</x:v>
      </x:c>
      <x:c r="G11393" s="13" t="str">
        <x:v>grid_wbaxp5t0.xlsx</x:v>
      </x:c>
    </x:row>
    <x:row r="11394">
      <x:c r="A11394" s="15" t="n">
        <x:v>45292</x:v>
      </x:c>
      <x:c r="B11394" s="13" t="str">
        <x:v>CIA ENERGETICA MINAS GER-PRF</x:v>
      </x:c>
      <x:c r="C11394" s="16" t="n">
        <x:v>4320.2035796164</x:v>
      </x:c>
      <x:c r="D11394" s="13" t="str">
        <x:v>Utilities &amp; Energy</x:v>
      </x:c>
      <x:c r="E11394" s="13" t="str">
        <x:v>Utilities</x:v>
      </x:c>
      <x:c r="F11394" s="13" t="str">
        <x:v>Defensives</x:v>
      </x:c>
      <x:c r="G11394" s="13" t="str">
        <x:v>grid_wbaxp5t0.xlsx</x:v>
      </x:c>
    </x:row>
    <x:row r="11395">
      <x:c r="A11395" s="15" t="n">
        <x:v>45292</x:v>
      </x:c>
      <x:c r="B11395" s="13" t="str">
        <x:v>COMPANHIA PARANAENSE -PREF B</x:v>
      </x:c>
      <x:c r="C11395" s="16" t="n">
        <x:v>2155.1315971507</x:v>
      </x:c>
      <x:c r="D11395" s="13" t="str">
        <x:v>Utilities &amp; Energy</x:v>
      </x:c>
      <x:c r="E11395" s="13" t="str">
        <x:v>Utilities</x:v>
      </x:c>
      <x:c r="F11395" s="13" t="str">
        <x:v>Defensives</x:v>
      </x:c>
      <x:c r="G11395" s="13" t="str">
        <x:v>grid_wbaxp5t0.xlsx</x:v>
      </x:c>
    </x:row>
    <x:row r="11396">
      <x:c r="A11396" s="15" t="n">
        <x:v>45292</x:v>
      </x:c>
      <x:c r="B11396" s="13" t="str">
        <x:v>CPFL ENERGIA SA</x:v>
      </x:c>
      <x:c r="C11396" s="16" t="n">
        <x:v>4702.4436041644</x:v>
      </x:c>
      <x:c r="D11396" s="13" t="str">
        <x:v>Utilities &amp; Energy</x:v>
      </x:c>
      <x:c r="E11396" s="13" t="str">
        <x:v>Utilities</x:v>
      </x:c>
      <x:c r="F11396" s="13" t="str">
        <x:v>Defensives</x:v>
      </x:c>
      <x:c r="G11396" s="13" t="str">
        <x:v>grid_wbaxp5t0.xlsx</x:v>
      </x:c>
    </x:row>
    <x:row r="11397">
      <x:c r="A11397" s="15" t="n">
        <x:v>45292</x:v>
      </x:c>
      <x:c r="B11397" s="13" t="str">
        <x:v>ENERGISA SA-UNITS</x:v>
      </x:c>
      <x:c r="C11397" s="16" t="n">
        <x:v>1863.1470290411</x:v>
      </x:c>
      <x:c r="D11397" s="13" t="str">
        <x:v>Utilities &amp; Energy</x:v>
      </x:c>
      <x:c r="E11397" s="13" t="str">
        <x:v>Utilities</x:v>
      </x:c>
      <x:c r="F11397" s="13" t="str">
        <x:v>Defensives</x:v>
      </x:c>
      <x:c r="G11397" s="13" t="str">
        <x:v>grid_wbaxp5t0.xlsx</x:v>
      </x:c>
    </x:row>
    <x:row r="11398">
      <x:c r="A11398" s="15" t="n">
        <x:v>45292</x:v>
      </x:c>
      <x:c r="B11398" s="13" t="str">
        <x:v>ENEVA SA</x:v>
      </x:c>
      <x:c r="C11398" s="16" t="n">
        <x:v>807.8292883288</x:v>
      </x:c>
      <x:c r="D11398" s="13" t="str">
        <x:v>Utilities &amp; Energy</x:v>
      </x:c>
      <x:c r="E11398" s="13" t="str">
        <x:v>Utilities</x:v>
      </x:c>
      <x:c r="F11398" s="13" t="str">
        <x:v>Defensives</x:v>
      </x:c>
      <x:c r="G11398" s="13" t="str">
        <x:v>grid_wbaxp5t0.xlsx</x:v>
      </x:c>
    </x:row>
    <x:row r="11399">
      <x:c r="A11399" s="15" t="n">
        <x:v>45292</x:v>
      </x:c>
      <x:c r="B11399" s="13" t="str">
        <x:v>ENGIE BRASIL ENERGIA SA</x:v>
      </x:c>
      <x:c r="C11399" s="16" t="n">
        <x:v>3701.8544429589</x:v>
      </x:c>
      <x:c r="D11399" s="13" t="str">
        <x:v>Utilities &amp; Energy</x:v>
      </x:c>
      <x:c r="E11399" s="13" t="str">
        <x:v>Utilities</x:v>
      </x:c>
      <x:c r="F11399" s="13" t="str">
        <x:v>Defensives</x:v>
      </x:c>
      <x:c r="G11399" s="13" t="str">
        <x:v>grid_wbaxp5t0.xlsx</x:v>
      </x:c>
    </x:row>
    <x:row r="11400">
      <x:c r="A11400" s="15" t="n">
        <x:v>45292</x:v>
      </x:c>
      <x:c r="B11400" s="13" t="str">
        <x:v>EQUATORIAL SA - ORD</x:v>
      </x:c>
      <x:c r="C11400" s="16" t="n">
        <x:v>3189.4347116712</x:v>
      </x:c>
      <x:c r="D11400" s="13" t="str">
        <x:v>Utilities &amp; Energy</x:v>
      </x:c>
      <x:c r="E11400" s="13" t="str">
        <x:v>Utilities</x:v>
      </x:c>
      <x:c r="F11400" s="13" t="str">
        <x:v>Defensives</x:v>
      </x:c>
      <x:c r="G11400" s="13" t="str">
        <x:v>grid_wbaxp5t0.xlsx</x:v>
      </x:c>
    </x:row>
    <x:row r="11401">
      <x:c r="A11401" s="15" t="n">
        <x:v>45292</x:v>
      </x:c>
      <x:c r="B11401" s="13" t="str">
        <x:v>ISA ENERGIA BRASIL SA</x:v>
      </x:c>
      <x:c r="C11401" s="16" t="n">
        <x:v>1763.2442932603</x:v>
      </x:c>
      <x:c r="D11401" s="13" t="str">
        <x:v>Utilities &amp; Energy</x:v>
      </x:c>
      <x:c r="E11401" s="13" t="str">
        <x:v>Utilities</x:v>
      </x:c>
      <x:c r="F11401" s="13" t="str">
        <x:v>Defensives</x:v>
      </x:c>
      <x:c r="G11401" s="13" t="str">
        <x:v>grid_wbaxp5t0.xlsx</x:v>
      </x:c>
    </x:row>
    <x:row r="11402">
      <x:c r="A11402" s="15" t="n">
        <x:v>45292</x:v>
      </x:c>
      <x:c r="B11402" s="13" t="str">
        <x:v>TRANSMISSORA ALIANCA DE-UNIT</x:v>
      </x:c>
      <x:c r="C11402" s="16" t="n">
        <x:v>1234.4031333699</x:v>
      </x:c>
      <x:c r="D11402" s="13" t="str">
        <x:v>Utilities &amp; Energy</x:v>
      </x:c>
      <x:c r="E11402" s="13" t="str">
        <x:v>Utilities</x:v>
      </x:c>
      <x:c r="F11402" s="13" t="str">
        <x:v>Defensives</x:v>
      </x:c>
      <x:c r="G11402" s="13" t="str">
        <x:v>grid_wbaxp5t0.xlsx</x:v>
      </x:c>
    </x:row>
    <x:row r="11403">
      <x:c r="A11403" s="15" t="n">
        <x:v>45323</x:v>
      </x:c>
      <x:c r="B11403" s="13" t="str">
        <x:v>RAIZEN SA - PREFERENCE</x:v>
      </x:c>
      <x:c r="C11403" s="16" t="n">
        <x:v>4084.9321584219</x:v>
      </x:c>
      <x:c r="D11403" s="13" t="str">
        <x:v>Agribusiness</x:v>
      </x:c>
      <x:c r="E11403" s="13" t="str">
        <x:v>Agri, Food &amp; Beverages</x:v>
      </x:c>
      <x:c r="F11403" s="13" t="str">
        <x:v>Defensives</x:v>
      </x:c>
      <x:c r="G11403" s="13" t="str">
        <x:v>grid_wbaxp5t0.xlsx</x:v>
      </x:c>
    </x:row>
    <x:row r="11404">
      <x:c r="A11404" s="15" t="n">
        <x:v>45323</x:v>
      </x:c>
      <x:c r="B11404" s="13" t="str">
        <x:v>SAO MARTINHO SA</x:v>
      </x:c>
      <x:c r="C11404" s="16" t="n">
        <x:v>1205.1647361753</x:v>
      </x:c>
      <x:c r="D11404" s="13" t="str">
        <x:v>Agribusiness</x:v>
      </x:c>
      <x:c r="E11404" s="13" t="str">
        <x:v>Agri, Food &amp; Beverages</x:v>
      </x:c>
      <x:c r="F11404" s="13" t="str">
        <x:v>Defensives</x:v>
      </x:c>
      <x:c r="G11404" s="13" t="str">
        <x:v>grid_wbaxp5t0.xlsx</x:v>
      </x:c>
    </x:row>
    <x:row r="11405">
      <x:c r="A11405" s="15" t="n">
        <x:v>45323</x:v>
      </x:c>
      <x:c r="B11405" s="13" t="str">
        <x:v>SLC AGRICOLA SA</x:v>
      </x:c>
      <x:c r="C11405" s="16" t="n">
        <x:v>1024.7049780603</x:v>
      </x:c>
      <x:c r="D11405" s="13" t="str">
        <x:v>Agribusiness</x:v>
      </x:c>
      <x:c r="E11405" s="13" t="str">
        <x:v>Agri, Food &amp; Beverages</x:v>
      </x:c>
      <x:c r="F11405" s="13" t="str">
        <x:v>Defensives</x:v>
      </x:c>
      <x:c r="G11405" s="13" t="str">
        <x:v>grid_wbaxp5t0.xlsx</x:v>
      </x:c>
    </x:row>
    <x:row r="11406">
      <x:c r="A11406" s="15" t="n">
        <x:v>45323</x:v>
      </x:c>
      <x:c r="B11406" s="13" t="str">
        <x:v>BANCO BRADESCO S.A.</x:v>
      </x:c>
      <x:c r="C11406" s="16" t="n">
        <x:v>20439.7460381808</x:v>
      </x:c>
      <x:c r="D11406" s="13" t="str">
        <x:v>Banks</x:v>
      </x:c>
      <x:c r="E11406" s="13" t="str">
        <x:v>Banks</x:v>
      </x:c>
      <x:c r="F11406" s="13" t="str">
        <x:v>Financials</x:v>
      </x:c>
      <x:c r="G11406" s="13" t="str">
        <x:v>grid_wbaxp5t0.xlsx</x:v>
      </x:c>
    </x:row>
    <x:row r="11407">
      <x:c r="A11407" s="15" t="n">
        <x:v>45323</x:v>
      </x:c>
      <x:c r="B11407" s="13" t="str">
        <x:v>BANCO BRADESCO SA-PREF</x:v>
      </x:c>
      <x:c r="C11407" s="16" t="n">
        <x:v>20439.7460381808</x:v>
      </x:c>
      <x:c r="D11407" s="13" t="str">
        <x:v>Banks</x:v>
      </x:c>
      <x:c r="E11407" s="13" t="str">
        <x:v>Banks</x:v>
      </x:c>
      <x:c r="F11407" s="13" t="str">
        <x:v>Financials</x:v>
      </x:c>
      <x:c r="G11407" s="13" t="str">
        <x:v>grid_wbaxp5t0.xlsx</x:v>
      </x:c>
    </x:row>
    <x:row r="11408">
      <x:c r="A11408" s="15" t="n">
        <x:v>45323</x:v>
      </x:c>
      <x:c r="B11408" s="13" t="str">
        <x:v>BANCO BTG PACTUAL SA-UNIT</x:v>
      </x:c>
      <x:c r="C11408" s="16" t="n">
        <x:v>12628.5264082411</x:v>
      </x:c>
      <x:c r="D11408" s="13" t="str">
        <x:v>Banks</x:v>
      </x:c>
      <x:c r="E11408" s="13" t="str">
        <x:v>Banks</x:v>
      </x:c>
      <x:c r="F11408" s="13" t="str">
        <x:v>Financials</x:v>
      </x:c>
      <x:c r="G11408" s="13" t="str">
        <x:v>grid_wbaxp5t0.xlsx</x:v>
      </x:c>
    </x:row>
    <x:row r="11409">
      <x:c r="A11409" s="15" t="n">
        <x:v>45323</x:v>
      </x:c>
      <x:c r="B11409" s="13" t="str">
        <x:v>BANCO DO BRASIL S.A.</x:v>
      </x:c>
      <x:c r="C11409" s="16" t="n">
        <x:v>37656.7717663562</x:v>
      </x:c>
      <x:c r="D11409" s="13" t="str">
        <x:v>Banks</x:v>
      </x:c>
      <x:c r="E11409" s="13" t="str">
        <x:v>Banks</x:v>
      </x:c>
      <x:c r="F11409" s="13" t="str">
        <x:v>Financials</x:v>
      </x:c>
      <x:c r="G11409" s="13" t="str">
        <x:v>grid_wbaxp5t0.xlsx</x:v>
      </x:c>
    </x:row>
    <x:row r="11410">
      <x:c r="A11410" s="15" t="n">
        <x:v>45323</x:v>
      </x:c>
      <x:c r="B11410" s="13" t="str">
        <x:v>BANCO SANTANDER  BRASIL-UNIT</x:v>
      </x:c>
      <x:c r="C11410" s="16" t="n">
        <x:v>13912.2607230247</x:v>
      </x:c>
      <x:c r="D11410" s="13" t="str">
        <x:v>Banks</x:v>
      </x:c>
      <x:c r="E11410" s="13" t="str">
        <x:v>Banks</x:v>
      </x:c>
      <x:c r="F11410" s="13" t="str">
        <x:v>Financials</x:v>
      </x:c>
      <x:c r="G11410" s="13" t="str">
        <x:v>grid_wbaxp5t0.xlsx</x:v>
      </x:c>
    </x:row>
    <x:row r="11411">
      <x:c r="A11411" s="15" t="n">
        <x:v>45323</x:v>
      </x:c>
      <x:c r="B11411" s="13" t="str">
        <x:v>ITAU UNIBANCO HOLDING S-PREF</x:v>
      </x:c>
      <x:c r="C11411" s="16" t="n">
        <x:v>40724.4495100493</x:v>
      </x:c>
      <x:c r="D11411" s="13" t="str">
        <x:v>Banks</x:v>
      </x:c>
      <x:c r="E11411" s="13" t="str">
        <x:v>Banks</x:v>
      </x:c>
      <x:c r="F11411" s="13" t="str">
        <x:v>Financials</x:v>
      </x:c>
      <x:c r="G11411" s="13" t="str">
        <x:v>grid_wbaxp5t0.xlsx</x:v>
      </x:c>
    </x:row>
    <x:row r="11412">
      <x:c r="A11412" s="15" t="n">
        <x:v>45323</x:v>
      </x:c>
      <x:c r="B11412" s="13" t="str">
        <x:v>EMBRAER SA</x:v>
      </x:c>
      <x:c r="C11412" s="16" t="n">
        <x:v>1121.5605479452</x:v>
      </x:c>
      <x:c r="D11412" s="13" t="str">
        <x:v>Capital Goods</x:v>
      </x:c>
      <x:c r="E11412" s="13" t="str">
        <x:v>Capital Goods</x:v>
      </x:c>
      <x:c r="F11412" s="13" t="str">
        <x:v>Deep Cyclicals</x:v>
      </x:c>
      <x:c r="G11412" s="13" t="str">
        <x:v>grid_wbaxp5t0.xlsx</x:v>
      </x:c>
    </x:row>
    <x:row r="11413">
      <x:c r="A11413" s="15" t="n">
        <x:v>45323</x:v>
      </x:c>
      <x:c r="B11413" s="13" t="str">
        <x:v>WEG SA</x:v>
      </x:c>
      <x:c r="C11413" s="16" t="n">
        <x:v>5557.6705472877</x:v>
      </x:c>
      <x:c r="D11413" s="13" t="str">
        <x:v>Capital Goods</x:v>
      </x:c>
      <x:c r="E11413" s="13" t="str">
        <x:v>Capital Goods</x:v>
      </x:c>
      <x:c r="F11413" s="13" t="str">
        <x:v>Deep Cyclicals</x:v>
      </x:c>
      <x:c r="G11413" s="13" t="str">
        <x:v>grid_wbaxp5t0.xlsx</x:v>
      </x:c>
    </x:row>
    <x:row r="11414">
      <x:c r="A11414" s="15" t="n">
        <x:v>45323</x:v>
      </x:c>
      <x:c r="B11414" s="13" t="str">
        <x:v>COGNA EDUCACAO</x:v>
      </x:c>
      <x:c r="C11414" s="16" t="n">
        <x:v>417.4253357589</x:v>
      </x:c>
      <x:c r="D11414" s="13" t="str">
        <x:v>Education</x:v>
      </x:c>
      <x:c r="E11414" s="13" t="str">
        <x:v>Education</x:v>
      </x:c>
      <x:c r="F11414" s="13" t="str">
        <x:v>Early Cyclicals</x:v>
      </x:c>
      <x:c r="G11414" s="13" t="str">
        <x:v>grid_wbaxp5t0.xlsx</x:v>
      </x:c>
    </x:row>
    <x:row r="11415">
      <x:c r="A11415" s="15" t="n">
        <x:v>45323</x:v>
      </x:c>
      <x:c r="B11415" s="13" t="str">
        <x:v>YDUQS PARTICIPACOES SA</x:v>
      </x:c>
      <x:c r="C11415" s="16" t="n">
        <x:v>587.7131884712</x:v>
      </x:c>
      <x:c r="D11415" s="13" t="str">
        <x:v>Education</x:v>
      </x:c>
      <x:c r="E11415" s="13" t="str">
        <x:v>Education</x:v>
      </x:c>
      <x:c r="F11415" s="13" t="str">
        <x:v>Early Cyclicals</x:v>
      </x:c>
      <x:c r="G11415" s="13" t="str">
        <x:v>grid_wbaxp5t0.xlsx</x:v>
      </x:c>
    </x:row>
    <x:row r="11416">
      <x:c r="A11416" s="15" t="n">
        <x:v>45323</x:v>
      </x:c>
      <x:c r="B11416" s="13" t="str">
        <x:v>B3 SA-BRASIL BOLSA BALCAO</x:v>
      </x:c>
      <x:c r="C11416" s="16" t="n">
        <x:v>5119.3298382904</x:v>
      </x:c>
      <x:c r="D11416" s="13" t="str">
        <x:v>Financials Non-Banks</x:v>
      </x:c>
      <x:c r="E11416" s="13" t="str">
        <x:v>Financials Non-Banks</x:v>
      </x:c>
      <x:c r="F11416" s="13" t="str">
        <x:v>Financials</x:v>
      </x:c>
      <x:c r="G11416" s="13" t="str">
        <x:v>grid_wbaxp5t0.xlsx</x:v>
      </x:c>
    </x:row>
    <x:row r="11417">
      <x:c r="A11417" s="15" t="n">
        <x:v>45323</x:v>
      </x:c>
      <x:c r="B11417" s="13" t="str">
        <x:v>BB SEGURIDADE PARTICIPACOES</x:v>
      </x:c>
      <x:c r="C11417" s="16" t="n">
        <x:v>7954.2642659945</x:v>
      </x:c>
      <x:c r="D11417" s="13" t="str">
        <x:v>Financials Non-Banks</x:v>
      </x:c>
      <x:c r="E11417" s="13" t="str">
        <x:v>Financials Non-Banks</x:v>
      </x:c>
      <x:c r="F11417" s="13" t="str">
        <x:v>Financials</x:v>
      </x:c>
      <x:c r="G11417" s="13" t="str">
        <x:v>grid_wbaxp5t0.xlsx</x:v>
      </x:c>
    </x:row>
    <x:row r="11418">
      <x:c r="A11418" s="15" t="n">
        <x:v>45323</x:v>
      </x:c>
      <x:c r="B11418" s="13" t="str">
        <x:v>CIELO SA - INSTITUICAO DE PA</x:v>
      </x:c>
      <x:c r="C11418" s="16" t="n">
        <x:v>1853.9312226192</x:v>
      </x:c>
      <x:c r="D11418" s="13" t="str">
        <x:v>Financials Non-Banks</x:v>
      </x:c>
      <x:c r="E11418" s="13" t="str">
        <x:v>Financials Non-Banks</x:v>
      </x:c>
      <x:c r="F11418" s="13" t="str">
        <x:v>Financials</x:v>
      </x:c>
      <x:c r="G11418" s="13" t="str">
        <x:v>grid_wbaxp5t0.xlsx</x:v>
      </x:c>
    </x:row>
    <x:row r="11419">
      <x:c r="A11419" s="15" t="n">
        <x:v>45323</x:v>
      </x:c>
      <x:c r="B11419" s="13" t="str">
        <x:v>IRB BRASIL RESSEGUROS SA</x:v>
      </x:c>
      <x:c r="C11419" s="16" t="n">
        <x:v>341.8877865205</x:v>
      </x:c>
      <x:c r="D11419" s="13" t="str">
        <x:v>Financials Non-Banks</x:v>
      </x:c>
      <x:c r="E11419" s="13" t="str">
        <x:v>Financials Non-Banks</x:v>
      </x:c>
      <x:c r="F11419" s="13" t="str">
        <x:v>Financials</x:v>
      </x:c>
      <x:c r="G11419" s="13" t="str">
        <x:v>grid_wbaxp5t0.xlsx</x:v>
      </x:c>
    </x:row>
    <x:row r="11420">
      <x:c r="A11420" s="15" t="n">
        <x:v>45323</x:v>
      </x:c>
      <x:c r="B11420" s="13" t="str">
        <x:v>ITAUSA SA</x:v>
      </x:c>
      <x:c r="C11420" s="16" t="n">
        <x:v>15491.2379805808</x:v>
      </x:c>
      <x:c r="D11420" s="13" t="str">
        <x:v>Financials Non-Banks</x:v>
      </x:c>
      <x:c r="E11420" s="13" t="str">
        <x:v>Financials Non-Banks</x:v>
      </x:c>
      <x:c r="F11420" s="13" t="str">
        <x:v>Financials</x:v>
      </x:c>
      <x:c r="G11420" s="13" t="str">
        <x:v>grid_wbaxp5t0.xlsx</x:v>
      </x:c>
    </x:row>
    <x:row r="11421">
      <x:c r="A11421" s="15" t="n">
        <x:v>45323</x:v>
      </x:c>
      <x:c r="B11421" s="13" t="str">
        <x:v>AMBEV SA</x:v>
      </x:c>
      <x:c r="C11421" s="16" t="n">
        <x:v>14813.2753660493</x:v>
      </x:c>
      <x:c r="D11421" s="13" t="str">
        <x:v>Food &amp; Beverages</x:v>
      </x:c>
      <x:c r="E11421" s="13" t="str">
        <x:v>Agri, Food &amp; Beverages</x:v>
      </x:c>
      <x:c r="F11421" s="13" t="str">
        <x:v>Defensives</x:v>
      </x:c>
      <x:c r="G11421" s="13" t="str">
        <x:v>grid_wbaxp5t0.xlsx</x:v>
      </x:c>
    </x:row>
    <x:row r="11422">
      <x:c r="A11422" s="15" t="n">
        <x:v>45323</x:v>
      </x:c>
      <x:c r="B11422" s="13" t="str">
        <x:v>BRF SA</x:v>
      </x:c>
      <x:c r="C11422" s="16" t="n">
        <x:v>549.3386462685</x:v>
      </x:c>
      <x:c r="D11422" s="13" t="str">
        <x:v>Food &amp; Beverages</x:v>
      </x:c>
      <x:c r="E11422" s="13" t="str">
        <x:v>Agri, Food &amp; Beverages</x:v>
      </x:c>
      <x:c r="F11422" s="13" t="str">
        <x:v>Defensives</x:v>
      </x:c>
      <x:c r="G11422" s="13" t="str">
        <x:v>grid_wbaxp5t0.xlsx</x:v>
      </x:c>
    </x:row>
    <x:row r="11423">
      <x:c r="A11423" s="15" t="n">
        <x:v>45323</x:v>
      </x:c>
      <x:c r="B11423" s="13" t="str">
        <x:v>MBRF GLOBAL FOODS COMPANY SA</x:v>
      </x:c>
      <x:c r="C11423" s="16" t="n">
        <x:v>-1013.6634151452</x:v>
      </x:c>
      <x:c r="D11423" s="13" t="str">
        <x:v>Food &amp; Beverages</x:v>
      </x:c>
      <x:c r="E11423" s="13" t="str">
        <x:v>Agri, Food &amp; Beverages</x:v>
      </x:c>
      <x:c r="F11423" s="13" t="str">
        <x:v>Defensives</x:v>
      </x:c>
      <x:c r="G11423" s="13" t="str">
        <x:v>grid_wbaxp5t0.xlsx</x:v>
      </x:c>
    </x:row>
    <x:row r="11424">
      <x:c r="A11424" s="15" t="n">
        <x:v>45323</x:v>
      </x:c>
      <x:c r="B11424" s="13" t="str">
        <x:v>MINERVA SA</x:v>
      </x:c>
      <x:c r="C11424" s="16" t="n">
        <x:v>905.5421101589</x:v>
      </x:c>
      <x:c r="D11424" s="13" t="str">
        <x:v>Food &amp; Beverages</x:v>
      </x:c>
      <x:c r="E11424" s="13" t="str">
        <x:v>Agri, Food &amp; Beverages</x:v>
      </x:c>
      <x:c r="F11424" s="13" t="str">
        <x:v>Defensives</x:v>
      </x:c>
      <x:c r="G11424" s="13" t="str">
        <x:v>grid_wbaxp5t0.xlsx</x:v>
      </x:c>
    </x:row>
    <x:row r="11425">
      <x:c r="A11425" s="15" t="n">
        <x:v>45323</x:v>
      </x:c>
      <x:c r="B11425" s="13" t="str">
        <x:v>FLEURY SA</x:v>
      </x:c>
      <x:c r="C11425" s="16" t="n">
        <x:v>687.5946909808</x:v>
      </x:c>
      <x:c r="D11425" s="13" t="str">
        <x:v>Health Care</x:v>
      </x:c>
      <x:c r="E11425" s="13" t="str">
        <x:v>Health Care</x:v>
      </x:c>
      <x:c r="F11425" s="13" t="str">
        <x:v>Defensives</x:v>
      </x:c>
      <x:c r="G11425" s="13" t="str">
        <x:v>grid_wbaxp5t0.xlsx</x:v>
      </x:c>
    </x:row>
    <x:row r="11426">
      <x:c r="A11426" s="15" t="n">
        <x:v>45323</x:v>
      </x:c>
      <x:c r="B11426" s="13" t="str">
        <x:v>HAPVIDA PARTICIPACOES E INVE</x:v>
      </x:c>
      <x:c r="C11426" s="16" t="n">
        <x:v>1605.1657742027</x:v>
      </x:c>
      <x:c r="D11426" s="13" t="str">
        <x:v>Health Care</x:v>
      </x:c>
      <x:c r="E11426" s="13" t="str">
        <x:v>Health Care</x:v>
      </x:c>
      <x:c r="F11426" s="13" t="str">
        <x:v>Defensives</x:v>
      </x:c>
      <x:c r="G11426" s="13" t="str">
        <x:v>grid_wbaxp5t0.xlsx</x:v>
      </x:c>
    </x:row>
    <x:row r="11427">
      <x:c r="A11427" s="15" t="n">
        <x:v>45323</x:v>
      </x:c>
      <x:c r="B11427" s="13" t="str">
        <x:v>HYPERA SA</x:v>
      </x:c>
      <x:c r="C11427" s="16" t="n">
        <x:v>1910.0383736986</x:v>
      </x:c>
      <x:c r="D11427" s="13" t="str">
        <x:v>Health Care</x:v>
      </x:c>
      <x:c r="E11427" s="13" t="str">
        <x:v>Health Care</x:v>
      </x:c>
      <x:c r="F11427" s="13" t="str">
        <x:v>Defensives</x:v>
      </x:c>
      <x:c r="G11427" s="13" t="str">
        <x:v>grid_wbaxp5t0.xlsx</x:v>
      </x:c>
    </x:row>
    <x:row r="11428">
      <x:c r="A11428" s="15" t="n">
        <x:v>45323</x:v>
      </x:c>
      <x:c r="B11428" s="13" t="str">
        <x:v>REDE D'OR SAO LUIZ SA</x:v>
      </x:c>
      <x:c r="C11428" s="16" t="n">
        <x:v>3002.3151307397</x:v>
      </x:c>
      <x:c r="D11428" s="13" t="str">
        <x:v>Health Care</x:v>
      </x:c>
      <x:c r="E11428" s="13" t="str">
        <x:v>Health Care</x:v>
      </x:c>
      <x:c r="F11428" s="13" t="str">
        <x:v>Defensives</x:v>
      </x:c>
      <x:c r="G11428" s="13" t="str">
        <x:v>grid_wbaxp5t0.xlsx</x:v>
      </x:c>
    </x:row>
    <x:row r="11429">
      <x:c r="A11429" s="15" t="n">
        <x:v>45323</x:v>
      </x:c>
      <x:c r="B11429" s="13" t="str">
        <x:v>CYRELA BRAZIL REALTY SA EMP</x:v>
      </x:c>
      <x:c r="C11429" s="16" t="n">
        <x:v>1180.6739571726</x:v>
      </x:c>
      <x:c r="D11429" s="13" t="str">
        <x:v>Homebuilders</x:v>
      </x:c>
      <x:c r="E11429" s="13" t="str">
        <x:v>Real Estate</x:v>
      </x:c>
      <x:c r="F11429" s="13" t="str">
        <x:v>Early Cyclicals</x:v>
      </x:c>
      <x:c r="G11429" s="13" t="str">
        <x:v>grid_wbaxp5t0.xlsx</x:v>
      </x:c>
    </x:row>
    <x:row r="11430">
      <x:c r="A11430" s="15" t="n">
        <x:v>45323</x:v>
      </x:c>
      <x:c r="B11430" s="13" t="str">
        <x:v>EZ TEC EMPREENDIMENTOS E PAR</x:v>
      </x:c>
      <x:c r="C11430" s="16" t="n">
        <x:v>384.3638510466</x:v>
      </x:c>
      <x:c r="D11430" s="13" t="str">
        <x:v>Homebuilders</x:v>
      </x:c>
      <x:c r="E11430" s="13" t="str">
        <x:v>Real Estate</x:v>
      </x:c>
      <x:c r="F11430" s="13" t="str">
        <x:v>Early Cyclicals</x:v>
      </x:c>
      <x:c r="G11430" s="13" t="str">
        <x:v>grid_wbaxp5t0.xlsx</x:v>
      </x:c>
    </x:row>
    <x:row r="11431">
      <x:c r="A11431" s="15" t="n">
        <x:v>45323</x:v>
      </x:c>
      <x:c r="B11431" s="13" t="str">
        <x:v>MRV ENGENHARIA</x:v>
      </x:c>
      <x:c r="C11431" s="16" t="n">
        <x:v>404.121235463</x:v>
      </x:c>
      <x:c r="D11431" s="13" t="str">
        <x:v>Homebuilders</x:v>
      </x:c>
      <x:c r="E11431" s="13" t="str">
        <x:v>Real Estate</x:v>
      </x:c>
      <x:c r="F11431" s="13" t="str">
        <x:v>Early Cyclicals</x:v>
      </x:c>
      <x:c r="G11431" s="13" t="str">
        <x:v>grid_wbaxp5t0.xlsx</x:v>
      </x:c>
    </x:row>
    <x:row r="11432">
      <x:c r="A11432" s="15" t="n">
        <x:v>45323</x:v>
      </x:c>
      <x:c r="B11432" s="13" t="str">
        <x:v>ALLOS SA</x:v>
      </x:c>
      <x:c r="C11432" s="16" t="n">
        <x:v>787.4782835726</x:v>
      </x:c>
      <x:c r="D11432" s="13" t="str">
        <x:v>Income Properties</x:v>
      </x:c>
      <x:c r="E11432" s="13" t="str">
        <x:v>Real Estate</x:v>
      </x:c>
      <x:c r="F11432" s="13" t="str">
        <x:v>Early Cyclicals</x:v>
      </x:c>
      <x:c r="G11432" s="13" t="str">
        <x:v>grid_wbaxp5t0.xlsx</x:v>
      </x:c>
    </x:row>
    <x:row r="11433">
      <x:c r="A11433" s="15" t="n">
        <x:v>45323</x:v>
      </x:c>
      <x:c r="B11433" s="13" t="str">
        <x:v>IGUATEMI SA - UNITS</x:v>
      </x:c>
      <x:c r="C11433" s="16" t="n">
        <x:v>471.0722249644</x:v>
      </x:c>
      <x:c r="D11433" s="13" t="str">
        <x:v>Income Properties</x:v>
      </x:c>
      <x:c r="E11433" s="13" t="str">
        <x:v>Real Estate</x:v>
      </x:c>
      <x:c r="F11433" s="13" t="str">
        <x:v>Early Cyclicals</x:v>
      </x:c>
      <x:c r="G11433" s="13" t="str">
        <x:v>grid_wbaxp5t0.xlsx</x:v>
      </x:c>
    </x:row>
    <x:row r="11434">
      <x:c r="A11434" s="15" t="n">
        <x:v>45323</x:v>
      </x:c>
      <x:c r="B11434" s="13" t="str">
        <x:v>MULTIPLAN EMPREENDIMENTOS</x:v>
      </x:c>
      <x:c r="C11434" s="16" t="n">
        <x:v>1120.6093150685</x:v>
      </x:c>
      <x:c r="D11434" s="13" t="str">
        <x:v>Income Properties</x:v>
      </x:c>
      <x:c r="E11434" s="13" t="str">
        <x:v>Real Estate</x:v>
      </x:c>
      <x:c r="F11434" s="13" t="str">
        <x:v>Early Cyclicals</x:v>
      </x:c>
      <x:c r="G11434" s="13" t="str">
        <x:v>grid_wbaxp5t0.xlsx</x:v>
      </x:c>
    </x:row>
    <x:row r="11435">
      <x:c r="A11435" s="15" t="n">
        <x:v>45323</x:v>
      </x:c>
      <x:c r="B11435" s="13" t="str">
        <x:v>BRADESPAR SA -PREF</x:v>
      </x:c>
      <x:c r="C11435" s="16" t="n">
        <x:v>2144.7067956603</x:v>
      </x:c>
      <x:c r="D11435" s="13" t="str">
        <x:v>Metals &amp; Mining</x:v>
      </x:c>
      <x:c r="E11435" s="13" t="str">
        <x:v>Metals &amp; Mining</x:v>
      </x:c>
      <x:c r="F11435" s="13" t="str">
        <x:v>Deep Cyclicals</x:v>
      </x:c>
      <x:c r="G11435" s="13" t="str">
        <x:v>grid_wbaxp5t0.xlsx</x:v>
      </x:c>
    </x:row>
    <x:row r="11436">
      <x:c r="A11436" s="15" t="n">
        <x:v>45323</x:v>
      </x:c>
      <x:c r="B11436" s="13" t="str">
        <x:v>CIA SIDERURGICA NACIONAL SA</x:v>
      </x:c>
      <x:c r="C11436" s="16" t="n">
        <x:v>2046.4337183562</x:v>
      </x:c>
      <x:c r="D11436" s="13" t="str">
        <x:v>Metals &amp; Mining</x:v>
      </x:c>
      <x:c r="E11436" s="13" t="str">
        <x:v>Metals &amp; Mining</x:v>
      </x:c>
      <x:c r="F11436" s="13" t="str">
        <x:v>Deep Cyclicals</x:v>
      </x:c>
      <x:c r="G11436" s="13" t="str">
        <x:v>grid_wbaxp5t0.xlsx</x:v>
      </x:c>
    </x:row>
    <x:row r="11437">
      <x:c r="A11437" s="15" t="n">
        <x:v>45323</x:v>
      </x:c>
      <x:c r="B11437" s="13" t="str">
        <x:v>CSN MINERACAO SA</x:v>
      </x:c>
      <x:c r="C11437" s="16" t="n">
        <x:v>3606.7082036603</x:v>
      </x:c>
      <x:c r="D11437" s="13" t="str">
        <x:v>Metals &amp; Mining</x:v>
      </x:c>
      <x:c r="E11437" s="13" t="str">
        <x:v>Metals &amp; Mining</x:v>
      </x:c>
      <x:c r="F11437" s="13" t="str">
        <x:v>Deep Cyclicals</x:v>
      </x:c>
      <x:c r="G11437" s="13" t="str">
        <x:v>grid_wbaxp5t0.xlsx</x:v>
      </x:c>
    </x:row>
    <x:row r="11438">
      <x:c r="A11438" s="15" t="n">
        <x:v>45323</x:v>
      </x:c>
      <x:c r="B11438" s="13" t="str">
        <x:v>GERDAU SA-PREF</x:v>
      </x:c>
      <x:c r="C11438" s="16" t="n">
        <x:v>4581.1345941041</x:v>
      </x:c>
      <x:c r="D11438" s="13" t="str">
        <x:v>Metals &amp; Mining</x:v>
      </x:c>
      <x:c r="E11438" s="13" t="str">
        <x:v>Metals &amp; Mining</x:v>
      </x:c>
      <x:c r="F11438" s="13" t="str">
        <x:v>Deep Cyclicals</x:v>
      </x:c>
      <x:c r="G11438" s="13" t="str">
        <x:v>grid_wbaxp5t0.xlsx</x:v>
      </x:c>
    </x:row>
    <x:row r="11439">
      <x:c r="A11439" s="15" t="n">
        <x:v>45323</x:v>
      </x:c>
      <x:c r="B11439" s="13" t="str">
        <x:v>USINAS SIDER MINAS GER-PF A</x:v>
      </x:c>
      <x:c r="C11439" s="16" t="n">
        <x:v>1203.4286855014</x:v>
      </x:c>
      <x:c r="D11439" s="13" t="str">
        <x:v>Metals &amp; Mining</x:v>
      </x:c>
      <x:c r="E11439" s="13" t="str">
        <x:v>Metals &amp; Mining</x:v>
      </x:c>
      <x:c r="F11439" s="13" t="str">
        <x:v>Deep Cyclicals</x:v>
      </x:c>
      <x:c r="G11439" s="13" t="str">
        <x:v>grid_wbaxp5t0.xlsx</x:v>
      </x:c>
    </x:row>
    <x:row r="11440">
      <x:c r="A11440" s="15" t="n">
        <x:v>45323</x:v>
      </x:c>
      <x:c r="B11440" s="13" t="str">
        <x:v>VALE SA</x:v>
      </x:c>
      <x:c r="C11440" s="16" t="n">
        <x:v>51834.276518926</x:v>
      </x:c>
      <x:c r="D11440" s="13" t="str">
        <x:v>Metals &amp; Mining</x:v>
      </x:c>
      <x:c r="E11440" s="13" t="str">
        <x:v>Metals &amp; Mining</x:v>
      </x:c>
      <x:c r="F11440" s="13" t="str">
        <x:v>Deep Cyclicals</x:v>
      </x:c>
      <x:c r="G11440" s="13" t="str">
        <x:v>grid_wbaxp5t0.xlsx</x:v>
      </x:c>
    </x:row>
    <x:row r="11441">
      <x:c r="A11441" s="15" t="n">
        <x:v>45323</x:v>
      </x:c>
      <x:c r="B11441" s="13" t="str">
        <x:v>BRASKEM SA-PREF A</x:v>
      </x:c>
      <x:c r="C11441" s="16" t="n">
        <x:v>-1287.671212537</x:v>
      </x:c>
      <x:c r="D11441" s="13" t="str">
        <x:v>Oil, Gas &amp; Petrochemicals</x:v>
      </x:c>
      <x:c r="E11441" s="13" t="str">
        <x:v>Oil, Gas &amp; Petrochemicals</x:v>
      </x:c>
      <x:c r="F11441" s="13" t="str">
        <x:v>Deep Cyclicals</x:v>
      </x:c>
      <x:c r="G11441" s="13" t="str">
        <x:v>grid_wbaxp5t0.xlsx</x:v>
      </x:c>
    </x:row>
    <x:row r="11442">
      <x:c r="A11442" s="15" t="n">
        <x:v>45323</x:v>
      </x:c>
      <x:c r="B11442" s="13" t="str">
        <x:v>BRAVA ENERGIA</x:v>
      </x:c>
      <x:c r="C11442" s="16" t="n">
        <x:v>1528.1117590794</x:v>
      </x:c>
      <x:c r="D11442" s="13" t="str">
        <x:v>Oil, Gas &amp; Petrochemicals</x:v>
      </x:c>
      <x:c r="E11442" s="13" t="str">
        <x:v>Oil, Gas &amp; Petrochemicals</x:v>
      </x:c>
      <x:c r="F11442" s="13" t="str">
        <x:v>Deep Cyclicals</x:v>
      </x:c>
      <x:c r="G11442" s="13" t="str">
        <x:v>grid_wbaxp5t0.xlsx</x:v>
      </x:c>
    </x:row>
    <x:row r="11443">
      <x:c r="A11443" s="15" t="n">
        <x:v>45323</x:v>
      </x:c>
      <x:c r="B11443" s="13" t="str">
        <x:v>COSAN SA</x:v>
      </x:c>
      <x:c r="C11443" s="16" t="n">
        <x:v>3029.731282411</x:v>
      </x:c>
      <x:c r="D11443" s="13" t="str">
        <x:v>Oil, Gas &amp; Petrochemicals</x:v>
      </x:c>
      <x:c r="E11443" s="13" t="str">
        <x:v>Oil, Gas &amp; Petrochemicals</x:v>
      </x:c>
      <x:c r="F11443" s="13" t="str">
        <x:v>Deep Cyclicals</x:v>
      </x:c>
      <x:c r="G11443" s="13" t="str">
        <x:v>grid_wbaxp5t0.xlsx</x:v>
      </x:c>
    </x:row>
    <x:row r="11444">
      <x:c r="A11444" s="15" t="n">
        <x:v>45323</x:v>
      </x:c>
      <x:c r="B11444" s="13" t="str">
        <x:v>PETROBRAS - PETROLEO BRAS</x:v>
      </x:c>
      <x:c r="C11444" s="16" t="n">
        <x:v>110178.972960964</x:v>
      </x:c>
      <x:c r="D11444" s="13" t="str">
        <x:v>Oil, Gas &amp; Petrochemicals</x:v>
      </x:c>
      <x:c r="E11444" s="13" t="str">
        <x:v>Oil, Gas &amp; Petrochemicals</x:v>
      </x:c>
      <x:c r="F11444" s="13" t="str">
        <x:v>Deep Cyclicals</x:v>
      </x:c>
      <x:c r="G11444" s="13" t="str">
        <x:v>grid_wbaxp5t0.xlsx</x:v>
      </x:c>
    </x:row>
    <x:row r="11445">
      <x:c r="A11445" s="15" t="n">
        <x:v>45323</x:v>
      </x:c>
      <x:c r="B11445" s="13" t="str">
        <x:v>PETRORECONCAVO SA</x:v>
      </x:c>
      <x:c r="C11445" s="16" t="n">
        <x:v>1364.3527217096</x:v>
      </x:c>
      <x:c r="D11445" s="13" t="str">
        <x:v>Oil, Gas &amp; Petrochemicals</x:v>
      </x:c>
      <x:c r="E11445" s="13" t="str">
        <x:v>Oil, Gas &amp; Petrochemicals</x:v>
      </x:c>
      <x:c r="F11445" s="13" t="str">
        <x:v>Deep Cyclicals</x:v>
      </x:c>
      <x:c r="G11445" s="13" t="str">
        <x:v>grid_wbaxp5t0.xlsx</x:v>
      </x:c>
    </x:row>
    <x:row r="11446">
      <x:c r="A11446" s="15" t="n">
        <x:v>45323</x:v>
      </x:c>
      <x:c r="B11446" s="13" t="str">
        <x:v>PRIO SA</x:v>
      </x:c>
      <x:c r="C11446" s="16" t="n">
        <x:v>7429.9764539616</x:v>
      </x:c>
      <x:c r="D11446" s="13" t="str">
        <x:v>Oil, Gas &amp; Petrochemicals</x:v>
      </x:c>
      <x:c r="E11446" s="13" t="str">
        <x:v>Oil, Gas &amp; Petrochemicals</x:v>
      </x:c>
      <x:c r="F11446" s="13" t="str">
        <x:v>Deep Cyclicals</x:v>
      </x:c>
      <x:c r="G11446" s="13" t="str">
        <x:v>grid_wbaxp5t0.xlsx</x:v>
      </x:c>
    </x:row>
    <x:row r="11447">
      <x:c r="A11447" s="15" t="n">
        <x:v>45323</x:v>
      </x:c>
      <x:c r="B11447" s="13" t="str">
        <x:v>ULTRAPAR PARTICIPACOES SA</x:v>
      </x:c>
      <x:c r="C11447" s="16" t="n">
        <x:v>2062.199296</x:v>
      </x:c>
      <x:c r="D11447" s="13" t="str">
        <x:v>Oil, Gas &amp; Petrochemicals</x:v>
      </x:c>
      <x:c r="E11447" s="13" t="str">
        <x:v>Oil, Gas &amp; Petrochemicals</x:v>
      </x:c>
      <x:c r="F11447" s="13" t="str">
        <x:v>Deep Cyclicals</x:v>
      </x:c>
      <x:c r="G11447" s="13" t="str">
        <x:v>grid_wbaxp5t0.xlsx</x:v>
      </x:c>
    </x:row>
    <x:row r="11448">
      <x:c r="A11448" s="15" t="n">
        <x:v>45323</x:v>
      </x:c>
      <x:c r="B11448" s="13" t="str">
        <x:v>VIBRA ENERGIA SA</x:v>
      </x:c>
      <x:c r="C11448" s="16" t="n">
        <x:v>2869.7250794959</x:v>
      </x:c>
      <x:c r="D11448" s="13" t="str">
        <x:v>Oil, Gas &amp; Petrochemicals</x:v>
      </x:c>
      <x:c r="E11448" s="13" t="str">
        <x:v>Oil, Gas &amp; Petrochemicals</x:v>
      </x:c>
      <x:c r="F11448" s="13" t="str">
        <x:v>Deep Cyclicals</x:v>
      </x:c>
      <x:c r="G11448" s="13" t="str">
        <x:v>grid_wbaxp5t0.xlsx</x:v>
      </x:c>
    </x:row>
    <x:row r="11449">
      <x:c r="A11449" s="15" t="n">
        <x:v>45323</x:v>
      </x:c>
      <x:c r="B11449" s="13" t="str">
        <x:v>DEXCO SA</x:v>
      </x:c>
      <x:c r="C11449" s="16" t="n">
        <x:v>363.4549873096</x:v>
      </x:c>
      <x:c r="D11449" s="13" t="str">
        <x:v>Pulp &amp; Paper</x:v>
      </x:c>
      <x:c r="E11449" s="13" t="str">
        <x:v>Pulp &amp; Paper</x:v>
      </x:c>
      <x:c r="F11449" s="13" t="str">
        <x:v>Deep Cyclicals</x:v>
      </x:c>
      <x:c r="G11449" s="13" t="str">
        <x:v>grid_wbaxp5t0.xlsx</x:v>
      </x:c>
    </x:row>
    <x:row r="11450">
      <x:c r="A11450" s="15" t="n">
        <x:v>45323</x:v>
      </x:c>
      <x:c r="B11450" s="13" t="str">
        <x:v>KLABIN SA - UNIT</x:v>
      </x:c>
      <x:c r="C11450" s="16" t="n">
        <x:v>1803.5743147836</x:v>
      </x:c>
      <x:c r="D11450" s="13" t="str">
        <x:v>Pulp &amp; Paper</x:v>
      </x:c>
      <x:c r="E11450" s="13" t="str">
        <x:v>Pulp &amp; Paper</x:v>
      </x:c>
      <x:c r="F11450" s="13" t="str">
        <x:v>Deep Cyclicals</x:v>
      </x:c>
      <x:c r="G11450" s="13" t="str">
        <x:v>grid_wbaxp5t0.xlsx</x:v>
      </x:c>
    </x:row>
    <x:row r="11451">
      <x:c r="A11451" s="15" t="n">
        <x:v>45323</x:v>
      </x:c>
      <x:c r="B11451" s="13" t="str">
        <x:v>SUZANO SA</x:v>
      </x:c>
      <x:c r="C11451" s="16" t="n">
        <x:v>6011.0781411945</x:v>
      </x:c>
      <x:c r="D11451" s="13" t="str">
        <x:v>Pulp &amp; Paper</x:v>
      </x:c>
      <x:c r="E11451" s="13" t="str">
        <x:v>Pulp &amp; Paper</x:v>
      </x:c>
      <x:c r="F11451" s="13" t="str">
        <x:v>Deep Cyclicals</x:v>
      </x:c>
      <x:c r="G11451" s="13" t="str">
        <x:v>grid_wbaxp5t0.xlsx</x:v>
      </x:c>
    </x:row>
    <x:row r="11452">
      <x:c r="A11452" s="15" t="n">
        <x:v>45323</x:v>
      </x:c>
      <x:c r="B11452" s="13" t="str">
        <x:v>ALPARGATAS SA - PREF</x:v>
      </x:c>
      <x:c r="C11452" s="16" t="n">
        <x:v>264.5335025973</x:v>
      </x:c>
      <x:c r="D11452" s="13" t="str">
        <x:v>Retail</x:v>
      </x:c>
      <x:c r="E11452" s="13" t="str">
        <x:v>Retail</x:v>
      </x:c>
      <x:c r="F11452" s="13" t="str">
        <x:v>Early Cyclicals</x:v>
      </x:c>
      <x:c r="G11452" s="13" t="str">
        <x:v>grid_wbaxp5t0.xlsx</x:v>
      </x:c>
    </x:row>
    <x:row r="11453">
      <x:c r="A11453" s="15" t="n">
        <x:v>45323</x:v>
      </x:c>
      <x:c r="B11453" s="13" t="str">
        <x:v>ATACADAO SA</x:v>
      </x:c>
      <x:c r="C11453" s="16" t="n">
        <x:v>1615.6726615671</x:v>
      </x:c>
      <x:c r="D11453" s="13" t="str">
        <x:v>Retail</x:v>
      </x:c>
      <x:c r="E11453" s="13" t="str">
        <x:v>Retail</x:v>
      </x:c>
      <x:c r="F11453" s="13" t="str">
        <x:v>Early Cyclicals</x:v>
      </x:c>
      <x:c r="G11453" s="13" t="str">
        <x:v>grid_wbaxp5t0.xlsx</x:v>
      </x:c>
    </x:row>
    <x:row r="11454">
      <x:c r="A11454" s="15" t="n">
        <x:v>45323</x:v>
      </x:c>
      <x:c r="B11454" s="13" t="str">
        <x:v>AZZAS 2154 SA</x:v>
      </x:c>
      <x:c r="C11454" s="16" t="n">
        <x:v>470.6710904986</x:v>
      </x:c>
      <x:c r="D11454" s="13" t="str">
        <x:v>Retail</x:v>
      </x:c>
      <x:c r="E11454" s="13" t="str">
        <x:v>Retail</x:v>
      </x:c>
      <x:c r="F11454" s="13" t="str">
        <x:v>Early Cyclicals</x:v>
      </x:c>
      <x:c r="G11454" s="13" t="str">
        <x:v>grid_wbaxp5t0.xlsx</x:v>
      </x:c>
    </x:row>
    <x:row r="11455">
      <x:c r="A11455" s="15" t="n">
        <x:v>45323</x:v>
      </x:c>
      <x:c r="B11455" s="13" t="str">
        <x:v>CIA BRASILEIRA DE DISTRIBUIC</x:v>
      </x:c>
      <x:c r="C11455" s="16" t="n">
        <x:v>-408.6267987726</x:v>
      </x:c>
      <x:c r="D11455" s="13" t="str">
        <x:v>Retail</x:v>
      </x:c>
      <x:c r="E11455" s="13" t="str">
        <x:v>Retail</x:v>
      </x:c>
      <x:c r="F11455" s="13" t="str">
        <x:v>Early Cyclicals</x:v>
      </x:c>
      <x:c r="G11455" s="13" t="str">
        <x:v>grid_wbaxp5t0.xlsx</x:v>
      </x:c>
    </x:row>
    <x:row r="11456">
      <x:c r="A11456" s="15" t="n">
        <x:v>45323</x:v>
      </x:c>
      <x:c r="B11456" s="13" t="str">
        <x:v>CVC BRASIL OPERADORA E AGENC</x:v>
      </x:c>
      <x:c r="C11456" s="16" t="n">
        <x:v>-19.8287123288</x:v>
      </x:c>
      <x:c r="D11456" s="13" t="str">
        <x:v>Retail</x:v>
      </x:c>
      <x:c r="E11456" s="13" t="str">
        <x:v>Retail</x:v>
      </x:c>
      <x:c r="F11456" s="13" t="str">
        <x:v>Early Cyclicals</x:v>
      </x:c>
      <x:c r="G11456" s="13" t="str">
        <x:v>grid_wbaxp5t0.xlsx</x:v>
      </x:c>
    </x:row>
    <x:row r="11457">
      <x:c r="A11457" s="15" t="n">
        <x:v>45323</x:v>
      </x:c>
      <x:c r="B11457" s="13" t="str">
        <x:v>GRUPO CASAS BAHIA SA</x:v>
      </x:c>
      <x:c r="C11457" s="16" t="n">
        <x:v>-682.7200154301</x:v>
      </x:c>
      <x:c r="D11457" s="13" t="str">
        <x:v>Retail</x:v>
      </x:c>
      <x:c r="E11457" s="13" t="str">
        <x:v>Retail</x:v>
      </x:c>
      <x:c r="F11457" s="13" t="str">
        <x:v>Early Cyclicals</x:v>
      </x:c>
      <x:c r="G11457" s="13" t="str">
        <x:v>grid_wbaxp5t0.xlsx</x:v>
      </x:c>
    </x:row>
    <x:row r="11458">
      <x:c r="A11458" s="15" t="n">
        <x:v>45323</x:v>
      </x:c>
      <x:c r="B11458" s="13" t="str">
        <x:v>GRUPO DE MODA SOMA SA</x:v>
      </x:c>
      <x:c r="C11458" s="16" t="n">
        <x:v>416.0599313534</x:v>
      </x:c>
      <x:c r="D11458" s="13" t="str">
        <x:v>Retail</x:v>
      </x:c>
      <x:c r="E11458" s="13" t="str">
        <x:v>Retail</x:v>
      </x:c>
      <x:c r="F11458" s="13" t="str">
        <x:v>Early Cyclicals</x:v>
      </x:c>
      <x:c r="G11458" s="13" t="str">
        <x:v>grid_wbaxp5t0.xlsx</x:v>
      </x:c>
    </x:row>
    <x:row r="11459">
      <x:c r="A11459" s="15" t="n">
        <x:v>45323</x:v>
      </x:c>
      <x:c r="B11459" s="13" t="str">
        <x:v>LOJAS RENNER S.A.</x:v>
      </x:c>
      <x:c r="C11459" s="16" t="n">
        <x:v>1135.5335104877</x:v>
      </x:c>
      <x:c r="D11459" s="13" t="str">
        <x:v>Retail</x:v>
      </x:c>
      <x:c r="E11459" s="13" t="str">
        <x:v>Retail</x:v>
      </x:c>
      <x:c r="F11459" s="13" t="str">
        <x:v>Early Cyclicals</x:v>
      </x:c>
      <x:c r="G11459" s="13" t="str">
        <x:v>grid_wbaxp5t0.xlsx</x:v>
      </x:c>
    </x:row>
    <x:row r="11460">
      <x:c r="A11460" s="15" t="n">
        <x:v>45323</x:v>
      </x:c>
      <x:c r="B11460" s="13" t="str">
        <x:v>MAGAZINE LUIZA SA</x:v>
      </x:c>
      <x:c r="C11460" s="16" t="n">
        <x:v>286.099814926</x:v>
      </x:c>
      <x:c r="D11460" s="13" t="str">
        <x:v>Retail</x:v>
      </x:c>
      <x:c r="E11460" s="13" t="str">
        <x:v>Retail</x:v>
      </x:c>
      <x:c r="F11460" s="13" t="str">
        <x:v>Early Cyclicals</x:v>
      </x:c>
      <x:c r="G11460" s="13" t="str">
        <x:v>grid_wbaxp5t0.xlsx</x:v>
      </x:c>
    </x:row>
    <x:row r="11461">
      <x:c r="A11461" s="15" t="n">
        <x:v>45323</x:v>
      </x:c>
      <x:c r="B11461" s="13" t="str">
        <x:v>NATURA &amp;CO HOLDING SA</x:v>
      </x:c>
      <x:c r="C11461" s="16" t="n">
        <x:v>1078.3813961644</x:v>
      </x:c>
      <x:c r="D11461" s="13" t="str">
        <x:v>Retail</x:v>
      </x:c>
      <x:c r="E11461" s="13" t="str">
        <x:v>Retail</x:v>
      </x:c>
      <x:c r="F11461" s="13" t="str">
        <x:v>Early Cyclicals</x:v>
      </x:c>
      <x:c r="G11461" s="13" t="str">
        <x:v>grid_wbaxp5t0.xlsx</x:v>
      </x:c>
    </x:row>
    <x:row r="11462">
      <x:c r="A11462" s="15" t="n">
        <x:v>45323</x:v>
      </x:c>
      <x:c r="B11462" s="13" t="str">
        <x:v>PET CENTER COMERCIO E PARTIC</x:v>
      </x:c>
      <x:c r="C11462" s="16" t="n">
        <x:v>94.7974356164</x:v>
      </x:c>
      <x:c r="D11462" s="13" t="str">
        <x:v>Retail</x:v>
      </x:c>
      <x:c r="E11462" s="13" t="str">
        <x:v>Retail</x:v>
      </x:c>
      <x:c r="F11462" s="13" t="str">
        <x:v>Early Cyclicals</x:v>
      </x:c>
      <x:c r="G11462" s="13" t="str">
        <x:v>grid_wbaxp5t0.xlsx</x:v>
      </x:c>
    </x:row>
    <x:row r="11463">
      <x:c r="A11463" s="15" t="n">
        <x:v>45323</x:v>
      </x:c>
      <x:c r="B11463" s="13" t="str">
        <x:v>RAIA DROGASIL SA</x:v>
      </x:c>
      <x:c r="C11463" s="16" t="n">
        <x:v>1505.6679897425</x:v>
      </x:c>
      <x:c r="D11463" s="13" t="str">
        <x:v>Retail</x:v>
      </x:c>
      <x:c r="E11463" s="13" t="str">
        <x:v>Retail</x:v>
      </x:c>
      <x:c r="F11463" s="13" t="str">
        <x:v>Early Cyclicals</x:v>
      </x:c>
      <x:c r="G11463" s="13" t="str">
        <x:v>grid_wbaxp5t0.xlsx</x:v>
      </x:c>
    </x:row>
    <x:row r="11464">
      <x:c r="A11464" s="15" t="n">
        <x:v>45323</x:v>
      </x:c>
      <x:c r="B11464" s="13" t="str">
        <x:v>SENDAS DISTRIBUIDORA SA</x:v>
      </x:c>
      <x:c r="C11464" s="16" t="n">
        <x:v>1102.9921963836</x:v>
      </x:c>
      <x:c r="D11464" s="13" t="str">
        <x:v>Retail</x:v>
      </x:c>
      <x:c r="E11464" s="13" t="str">
        <x:v>Retail</x:v>
      </x:c>
      <x:c r="F11464" s="13" t="str">
        <x:v>Early Cyclicals</x:v>
      </x:c>
      <x:c r="G11464" s="13" t="str">
        <x:v>grid_wbaxp5t0.xlsx</x:v>
      </x:c>
    </x:row>
    <x:row r="11465">
      <x:c r="A11465" s="15" t="n">
        <x:v>45323</x:v>
      </x:c>
      <x:c r="B11465" s="13" t="str">
        <x:v>CIA SANEAMENTO BASICO DE SP</x:v>
      </x:c>
      <x:c r="C11465" s="16" t="n">
        <x:v>4257.8351118027</x:v>
      </x:c>
      <x:c r="D11465" s="13" t="str">
        <x:v>Sanitation</x:v>
      </x:c>
      <x:c r="E11465" s="13" t="str">
        <x:v>Utilities</x:v>
      </x:c>
      <x:c r="F11465" s="13" t="str">
        <x:v>Defensives</x:v>
      </x:c>
      <x:c r="G11465" s="13" t="str">
        <x:v>grid_wbaxp5t0.xlsx</x:v>
      </x:c>
    </x:row>
    <x:row r="11466">
      <x:c r="A11466" s="15" t="n">
        <x:v>45323</x:v>
      </x:c>
      <x:c r="B11466" s="13" t="str">
        <x:v>LWSA SA</x:v>
      </x:c>
      <x:c r="C11466" s="16" t="n">
        <x:v>110.0003561644</x:v>
      </x:c>
      <x:c r="D11466" s="13" t="str">
        <x:v>TMT</x:v>
      </x:c>
      <x:c r="E11466" s="13" t="str">
        <x:v>TMT</x:v>
      </x:c>
      <x:c r="F11466" s="13" t="str">
        <x:v>Early Cyclicals</x:v>
      </x:c>
      <x:c r="G11466" s="13" t="str">
        <x:v>grid_wbaxp5t0.xlsx</x:v>
      </x:c>
    </x:row>
    <x:row r="11467">
      <x:c r="A11467" s="15" t="n">
        <x:v>45323</x:v>
      </x:c>
      <x:c r="B11467" s="13" t="str">
        <x:v>TIM SA</x:v>
      </x:c>
      <x:c r="C11467" s="16" t="n">
        <x:v>3459.8955449863</x:v>
      </x:c>
      <x:c r="D11467" s="13" t="str">
        <x:v>TMT</x:v>
      </x:c>
      <x:c r="E11467" s="13" t="str">
        <x:v>TMT</x:v>
      </x:c>
      <x:c r="F11467" s="13" t="str">
        <x:v>Early Cyclicals</x:v>
      </x:c>
      <x:c r="G11467" s="13" t="str">
        <x:v>grid_wbaxp5t0.xlsx</x:v>
      </x:c>
    </x:row>
    <x:row r="11468">
      <x:c r="A11468" s="15" t="n">
        <x:v>45323</x:v>
      </x:c>
      <x:c r="B11468" s="13" t="str">
        <x:v>TOTVS SA</x:v>
      </x:c>
      <x:c r="C11468" s="16" t="n">
        <x:v>819.0355157918</x:v>
      </x:c>
      <x:c r="D11468" s="13" t="str">
        <x:v>TMT</x:v>
      </x:c>
      <x:c r="E11468" s="13" t="str">
        <x:v>TMT</x:v>
      </x:c>
      <x:c r="F11468" s="13" t="str">
        <x:v>Early Cyclicals</x:v>
      </x:c>
      <x:c r="G11468" s="13" t="str">
        <x:v>grid_wbaxp5t0.xlsx</x:v>
      </x:c>
    </x:row>
    <x:row r="11469">
      <x:c r="A11469" s="15" t="n">
        <x:v>45323</x:v>
      </x:c>
      <x:c r="B11469" s="13" t="str">
        <x:v>AZUL SA</x:v>
      </x:c>
      <x:c r="C11469" s="16" t="n">
        <x:v>675.8107304329</x:v>
      </x:c>
      <x:c r="D11469" s="13" t="str">
        <x:v>Transportation</x:v>
      </x:c>
      <x:c r="E11469" s="13" t="str">
        <x:v>Transportation</x:v>
      </x:c>
      <x:c r="F11469" s="13" t="str">
        <x:v>Deep Cyclicals</x:v>
      </x:c>
      <x:c r="G11469" s="13" t="str">
        <x:v>grid_wbaxp5t0.xlsx</x:v>
      </x:c>
    </x:row>
    <x:row r="11470">
      <x:c r="A11470" s="15" t="n">
        <x:v>45323</x:v>
      </x:c>
      <x:c r="B11470" s="13" t="str">
        <x:v>LOCALIZA RENT A CAR</x:v>
      </x:c>
      <x:c r="C11470" s="16" t="n">
        <x:v>3890.9722904548</x:v>
      </x:c>
      <x:c r="D11470" s="13" t="str">
        <x:v>Transportation</x:v>
      </x:c>
      <x:c r="E11470" s="13" t="str">
        <x:v>Transportation</x:v>
      </x:c>
      <x:c r="F11470" s="13" t="str">
        <x:v>Deep Cyclicals</x:v>
      </x:c>
      <x:c r="G11470" s="13" t="str">
        <x:v>grid_wbaxp5t0.xlsx</x:v>
      </x:c>
    </x:row>
    <x:row r="11471">
      <x:c r="A11471" s="15" t="n">
        <x:v>45323</x:v>
      </x:c>
      <x:c r="B11471" s="13" t="str">
        <x:v>MOTIVA INFRAESTRUTURA DE MOB</x:v>
      </x:c>
      <x:c r="C11471" s="16" t="n">
        <x:v>1736.1975590575</x:v>
      </x:c>
      <x:c r="D11471" s="13" t="str">
        <x:v>Transportation</x:v>
      </x:c>
      <x:c r="E11471" s="13" t="str">
        <x:v>Transportation</x:v>
      </x:c>
      <x:c r="F11471" s="13" t="str">
        <x:v>Deep Cyclicals</x:v>
      </x:c>
      <x:c r="G11471" s="13" t="str">
        <x:v>grid_wbaxp5t0.xlsx</x:v>
      </x:c>
    </x:row>
    <x:row r="11472">
      <x:c r="A11472" s="15" t="n">
        <x:v>45323</x:v>
      </x:c>
      <x:c r="B11472" s="13" t="str">
        <x:v>RUMO SA</x:v>
      </x:c>
      <x:c r="C11472" s="16" t="n">
        <x:v>2330.4860875397</x:v>
      </x:c>
      <x:c r="D11472" s="13" t="str">
        <x:v>Transportation</x:v>
      </x:c>
      <x:c r="E11472" s="13" t="str">
        <x:v>Transportation</x:v>
      </x:c>
      <x:c r="F11472" s="13" t="str">
        <x:v>Deep Cyclicals</x:v>
      </x:c>
      <x:c r="G11472" s="13" t="str">
        <x:v>grid_wbaxp5t0.xlsx</x:v>
      </x:c>
    </x:row>
    <x:row r="11473">
      <x:c r="A11473" s="15" t="n">
        <x:v>45323</x:v>
      </x:c>
      <x:c r="B11473" s="13" t="str">
        <x:v>VAMOS LOCACAO DE CAMINHOES M</x:v>
      </x:c>
      <x:c r="C11473" s="16" t="n">
        <x:v>1046.7458973808</x:v>
      </x:c>
      <x:c r="D11473" s="13" t="str">
        <x:v>Transportation</x:v>
      </x:c>
      <x:c r="E11473" s="13" t="str">
        <x:v>Transportation</x:v>
      </x:c>
      <x:c r="F11473" s="13" t="str">
        <x:v>Deep Cyclicals</x:v>
      </x:c>
      <x:c r="G11473" s="13" t="str">
        <x:v>grid_wbaxp5t0.xlsx</x:v>
      </x:c>
    </x:row>
    <x:row r="11474">
      <x:c r="A11474" s="15" t="n">
        <x:v>45323</x:v>
      </x:c>
      <x:c r="B11474" s="13" t="str">
        <x:v>AXIA ENERGIA SA</x:v>
      </x:c>
      <x:c r="C11474" s="16" t="n">
        <x:v>8923.9981490849</x:v>
      </x:c>
      <x:c r="D11474" s="13" t="str">
        <x:v>Utilities &amp; Energy</x:v>
      </x:c>
      <x:c r="E11474" s="13" t="str">
        <x:v>Utilities</x:v>
      </x:c>
      <x:c r="F11474" s="13" t="str">
        <x:v>Defensives</x:v>
      </x:c>
      <x:c r="G11474" s="13" t="str">
        <x:v>grid_wbaxp5t0.xlsx</x:v>
      </x:c>
    </x:row>
    <x:row r="11475">
      <x:c r="A11475" s="15" t="n">
        <x:v>45323</x:v>
      </x:c>
      <x:c r="B11475" s="13" t="str">
        <x:v>AXIA ENERGIA-PR B</x:v>
      </x:c>
      <x:c r="C11475" s="16" t="n">
        <x:v>8923.9981490849</x:v>
      </x:c>
      <x:c r="D11475" s="13" t="str">
        <x:v>Utilities &amp; Energy</x:v>
      </x:c>
      <x:c r="E11475" s="13" t="str">
        <x:v>Utilities</x:v>
      </x:c>
      <x:c r="F11475" s="13" t="str">
        <x:v>Defensives</x:v>
      </x:c>
      <x:c r="G11475" s="13" t="str">
        <x:v>grid_wbaxp5t0.xlsx</x:v>
      </x:c>
    </x:row>
    <x:row r="11476">
      <x:c r="A11476" s="15" t="n">
        <x:v>45323</x:v>
      </x:c>
      <x:c r="B11476" s="13" t="str">
        <x:v>CIA ENERGETICA MINAS GER-PRF</x:v>
      </x:c>
      <x:c r="C11476" s="16" t="n">
        <x:v>4361.2231946521</x:v>
      </x:c>
      <x:c r="D11476" s="13" t="str">
        <x:v>Utilities &amp; Energy</x:v>
      </x:c>
      <x:c r="E11476" s="13" t="str">
        <x:v>Utilities</x:v>
      </x:c>
      <x:c r="F11476" s="13" t="str">
        <x:v>Defensives</x:v>
      </x:c>
      <x:c r="G11476" s="13" t="str">
        <x:v>grid_wbaxp5t0.xlsx</x:v>
      </x:c>
    </x:row>
    <x:row r="11477">
      <x:c r="A11477" s="15" t="n">
        <x:v>45323</x:v>
      </x:c>
      <x:c r="B11477" s="13" t="str">
        <x:v>COMPANHIA PARANAENSE -PREF B</x:v>
      </x:c>
      <x:c r="C11477" s="16" t="n">
        <x:v>2162.9200362959</x:v>
      </x:c>
      <x:c r="D11477" s="13" t="str">
        <x:v>Utilities &amp; Energy</x:v>
      </x:c>
      <x:c r="E11477" s="13" t="str">
        <x:v>Utilities</x:v>
      </x:c>
      <x:c r="F11477" s="13" t="str">
        <x:v>Defensives</x:v>
      </x:c>
      <x:c r="G11477" s="13" t="str">
        <x:v>grid_wbaxp5t0.xlsx</x:v>
      </x:c>
    </x:row>
    <x:row r="11478">
      <x:c r="A11478" s="15" t="n">
        <x:v>45323</x:v>
      </x:c>
      <x:c r="B11478" s="13" t="str">
        <x:v>CPFL ENERGIA SA</x:v>
      </x:c>
      <x:c r="C11478" s="16" t="n">
        <x:v>4837.3286561315</x:v>
      </x:c>
      <x:c r="D11478" s="13" t="str">
        <x:v>Utilities &amp; Energy</x:v>
      </x:c>
      <x:c r="E11478" s="13" t="str">
        <x:v>Utilities</x:v>
      </x:c>
      <x:c r="F11478" s="13" t="str">
        <x:v>Defensives</x:v>
      </x:c>
      <x:c r="G11478" s="13" t="str">
        <x:v>grid_wbaxp5t0.xlsx</x:v>
      </x:c>
    </x:row>
    <x:row r="11479">
      <x:c r="A11479" s="15" t="n">
        <x:v>45323</x:v>
      </x:c>
      <x:c r="B11479" s="13" t="str">
        <x:v>ENERGISA SA-UNITS</x:v>
      </x:c>
      <x:c r="C11479" s="16" t="n">
        <x:v>1721.8061420712</x:v>
      </x:c>
      <x:c r="D11479" s="13" t="str">
        <x:v>Utilities &amp; Energy</x:v>
      </x:c>
      <x:c r="E11479" s="13" t="str">
        <x:v>Utilities</x:v>
      </x:c>
      <x:c r="F11479" s="13" t="str">
        <x:v>Defensives</x:v>
      </x:c>
      <x:c r="G11479" s="13" t="str">
        <x:v>grid_wbaxp5t0.xlsx</x:v>
      </x:c>
    </x:row>
    <x:row r="11480">
      <x:c r="A11480" s="15" t="n">
        <x:v>45323</x:v>
      </x:c>
      <x:c r="B11480" s="13" t="str">
        <x:v>ENEVA SA</x:v>
      </x:c>
      <x:c r="C11480" s="16" t="n">
        <x:v>993.5883804055</x:v>
      </x:c>
      <x:c r="D11480" s="13" t="str">
        <x:v>Utilities &amp; Energy</x:v>
      </x:c>
      <x:c r="E11480" s="13" t="str">
        <x:v>Utilities</x:v>
      </x:c>
      <x:c r="F11480" s="13" t="str">
        <x:v>Defensives</x:v>
      </x:c>
      <x:c r="G11480" s="13" t="str">
        <x:v>grid_wbaxp5t0.xlsx</x:v>
      </x:c>
    </x:row>
    <x:row r="11481">
      <x:c r="A11481" s="15" t="n">
        <x:v>45323</x:v>
      </x:c>
      <x:c r="B11481" s="13" t="str">
        <x:v>ENGIE BRASIL ENERGIA SA</x:v>
      </x:c>
      <x:c r="C11481" s="16" t="n">
        <x:v>3505.4674677479</x:v>
      </x:c>
      <x:c r="D11481" s="13" t="str">
        <x:v>Utilities &amp; Energy</x:v>
      </x:c>
      <x:c r="E11481" s="13" t="str">
        <x:v>Utilities</x:v>
      </x:c>
      <x:c r="F11481" s="13" t="str">
        <x:v>Defensives</x:v>
      </x:c>
      <x:c r="G11481" s="13" t="str">
        <x:v>grid_wbaxp5t0.xlsx</x:v>
      </x:c>
    </x:row>
    <x:row r="11482">
      <x:c r="A11482" s="15" t="n">
        <x:v>45323</x:v>
      </x:c>
      <x:c r="B11482" s="13" t="str">
        <x:v>EQUATORIAL SA - ORD</x:v>
      </x:c>
      <x:c r="C11482" s="16" t="n">
        <x:v>3265.1221286575</x:v>
      </x:c>
      <x:c r="D11482" s="13" t="str">
        <x:v>Utilities &amp; Energy</x:v>
      </x:c>
      <x:c r="E11482" s="13" t="str">
        <x:v>Utilities</x:v>
      </x:c>
      <x:c r="F11482" s="13" t="str">
        <x:v>Defensives</x:v>
      </x:c>
      <x:c r="G11482" s="13" t="str">
        <x:v>grid_wbaxp5t0.xlsx</x:v>
      </x:c>
    </x:row>
    <x:row r="11483">
      <x:c r="A11483" s="15" t="n">
        <x:v>45323</x:v>
      </x:c>
      <x:c r="B11483" s="13" t="str">
        <x:v>ISA ENERGIA BRASIL SA</x:v>
      </x:c>
      <x:c r="C11483" s="16" t="n">
        <x:v>1762.6802046247</x:v>
      </x:c>
      <x:c r="D11483" s="13" t="str">
        <x:v>Utilities &amp; Energy</x:v>
      </x:c>
      <x:c r="E11483" s="13" t="str">
        <x:v>Utilities</x:v>
      </x:c>
      <x:c r="F11483" s="13" t="str">
        <x:v>Defensives</x:v>
      </x:c>
      <x:c r="G11483" s="13" t="str">
        <x:v>grid_wbaxp5t0.xlsx</x:v>
      </x:c>
    </x:row>
    <x:row r="11484">
      <x:c r="A11484" s="15" t="n">
        <x:v>45323</x:v>
      </x:c>
      <x:c r="B11484" s="13" t="str">
        <x:v>TRANSMISSORA ALIANCA DE-UNIT</x:v>
      </x:c>
      <x:c r="C11484" s="16" t="n">
        <x:v>1196.4259612055</x:v>
      </x:c>
      <x:c r="D11484" s="13" t="str">
        <x:v>Utilities &amp; Energy</x:v>
      </x:c>
      <x:c r="E11484" s="13" t="str">
        <x:v>Utilities</x:v>
      </x:c>
      <x:c r="F11484" s="13" t="str">
        <x:v>Defensives</x:v>
      </x:c>
      <x:c r="G11484" s="13" t="str">
        <x:v>grid_wbaxp5t0.xlsx</x:v>
      </x:c>
    </x:row>
    <x:row r="11485">
      <x:c r="A11485" s="15" t="n">
        <x:v>45352</x:v>
      </x:c>
      <x:c r="B11485" s="13" t="str">
        <x:v>RAIZEN SA - PREFERENCE</x:v>
      </x:c>
      <x:c r="C11485" s="16" t="n">
        <x:v>4188.1046254466</x:v>
      </x:c>
      <x:c r="D11485" s="13" t="str">
        <x:v>Agribusiness</x:v>
      </x:c>
      <x:c r="E11485" s="13" t="str">
        <x:v>Agri, Food &amp; Beverages</x:v>
      </x:c>
      <x:c r="F11485" s="13" t="str">
        <x:v>Defensives</x:v>
      </x:c>
      <x:c r="G11485" s="13" t="str">
        <x:v>grid_wbaxp5t0.xlsx</x:v>
      </x:c>
    </x:row>
    <x:row r="11486">
      <x:c r="A11486" s="15" t="n">
        <x:v>45352</x:v>
      </x:c>
      <x:c r="B11486" s="13" t="str">
        <x:v>SAO MARTINHO SA</x:v>
      </x:c>
      <x:c r="C11486" s="16" t="n">
        <x:v>1210.2496434849</x:v>
      </x:c>
      <x:c r="D11486" s="13" t="str">
        <x:v>Agribusiness</x:v>
      </x:c>
      <x:c r="E11486" s="13" t="str">
        <x:v>Agri, Food &amp; Beverages</x:v>
      </x:c>
      <x:c r="F11486" s="13" t="str">
        <x:v>Defensives</x:v>
      </x:c>
      <x:c r="G11486" s="13" t="str">
        <x:v>grid_wbaxp5t0.xlsx</x:v>
      </x:c>
    </x:row>
    <x:row r="11487">
      <x:c r="A11487" s="15" t="n">
        <x:v>45352</x:v>
      </x:c>
      <x:c r="B11487" s="13" t="str">
        <x:v>SLC AGRICOLA SA</x:v>
      </x:c>
      <x:c r="C11487" s="16" t="n">
        <x:v>990.4425840219</x:v>
      </x:c>
      <x:c r="D11487" s="13" t="str">
        <x:v>Agribusiness</x:v>
      </x:c>
      <x:c r="E11487" s="13" t="str">
        <x:v>Agri, Food &amp; Beverages</x:v>
      </x:c>
      <x:c r="F11487" s="13" t="str">
        <x:v>Defensives</x:v>
      </x:c>
      <x:c r="G11487" s="13" t="str">
        <x:v>grid_wbaxp5t0.xlsx</x:v>
      </x:c>
    </x:row>
    <x:row r="11488">
      <x:c r="A11488" s="15" t="n">
        <x:v>45352</x:v>
      </x:c>
      <x:c r="B11488" s="13" t="str">
        <x:v>BANCO BRADESCO S.A.</x:v>
      </x:c>
      <x:c r="C11488" s="16" t="n">
        <x:v>20167.9270392986</x:v>
      </x:c>
      <x:c r="D11488" s="13" t="str">
        <x:v>Banks</x:v>
      </x:c>
      <x:c r="E11488" s="13" t="str">
        <x:v>Banks</x:v>
      </x:c>
      <x:c r="F11488" s="13" t="str">
        <x:v>Financials</x:v>
      </x:c>
      <x:c r="G11488" s="13" t="str">
        <x:v>grid_wbaxp5t0.xlsx</x:v>
      </x:c>
    </x:row>
    <x:row r="11489">
      <x:c r="A11489" s="15" t="n">
        <x:v>45352</x:v>
      </x:c>
      <x:c r="B11489" s="13" t="str">
        <x:v>BANCO BRADESCO SA-PREF</x:v>
      </x:c>
      <x:c r="C11489" s="16" t="n">
        <x:v>20167.9270392986</x:v>
      </x:c>
      <x:c r="D11489" s="13" t="str">
        <x:v>Banks</x:v>
      </x:c>
      <x:c r="E11489" s="13" t="str">
        <x:v>Banks</x:v>
      </x:c>
      <x:c r="F11489" s="13" t="str">
        <x:v>Financials</x:v>
      </x:c>
      <x:c r="G11489" s="13" t="str">
        <x:v>grid_wbaxp5t0.xlsx</x:v>
      </x:c>
    </x:row>
    <x:row r="11490">
      <x:c r="A11490" s="15" t="n">
        <x:v>45352</x:v>
      </x:c>
      <x:c r="B11490" s="13" t="str">
        <x:v>BANCO BTG PACTUAL SA-UNIT</x:v>
      </x:c>
      <x:c r="C11490" s="16" t="n">
        <x:v>12882.3796665863</x:v>
      </x:c>
      <x:c r="D11490" s="13" t="str">
        <x:v>Banks</x:v>
      </x:c>
      <x:c r="E11490" s="13" t="str">
        <x:v>Banks</x:v>
      </x:c>
      <x:c r="F11490" s="13" t="str">
        <x:v>Financials</x:v>
      </x:c>
      <x:c r="G11490" s="13" t="str">
        <x:v>grid_wbaxp5t0.xlsx</x:v>
      </x:c>
    </x:row>
    <x:row r="11491">
      <x:c r="A11491" s="15" t="n">
        <x:v>45352</x:v>
      </x:c>
      <x:c r="B11491" s="13" t="str">
        <x:v>BANCO DO BRASIL S.A.</x:v>
      </x:c>
      <x:c r="C11491" s="16" t="n">
        <x:v>37964.4351642301</x:v>
      </x:c>
      <x:c r="D11491" s="13" t="str">
        <x:v>Banks</x:v>
      </x:c>
      <x:c r="E11491" s="13" t="str">
        <x:v>Banks</x:v>
      </x:c>
      <x:c r="F11491" s="13" t="str">
        <x:v>Financials</x:v>
      </x:c>
      <x:c r="G11491" s="13" t="str">
        <x:v>grid_wbaxp5t0.xlsx</x:v>
      </x:c>
    </x:row>
    <x:row r="11492">
      <x:c r="A11492" s="15" t="n">
        <x:v>45352</x:v>
      </x:c>
      <x:c r="B11492" s="13" t="str">
        <x:v>BANCO SANTANDER  BRASIL-UNIT</x:v>
      </x:c>
      <x:c r="C11492" s="16" t="n">
        <x:v>13884.9853552219</x:v>
      </x:c>
      <x:c r="D11492" s="13" t="str">
        <x:v>Banks</x:v>
      </x:c>
      <x:c r="E11492" s="13" t="str">
        <x:v>Banks</x:v>
      </x:c>
      <x:c r="F11492" s="13" t="str">
        <x:v>Financials</x:v>
      </x:c>
      <x:c r="G11492" s="13" t="str">
        <x:v>grid_wbaxp5t0.xlsx</x:v>
      </x:c>
    </x:row>
    <x:row r="11493">
      <x:c r="A11493" s="15" t="n">
        <x:v>45352</x:v>
      </x:c>
      <x:c r="B11493" s="13" t="str">
        <x:v>ITAU UNIBANCO HOLDING S-PREF</x:v>
      </x:c>
      <x:c r="C11493" s="16" t="n">
        <x:v>41021.224281074</x:v>
      </x:c>
      <x:c r="D11493" s="13" t="str">
        <x:v>Banks</x:v>
      </x:c>
      <x:c r="E11493" s="13" t="str">
        <x:v>Banks</x:v>
      </x:c>
      <x:c r="F11493" s="13" t="str">
        <x:v>Financials</x:v>
      </x:c>
      <x:c r="G11493" s="13" t="str">
        <x:v>grid_wbaxp5t0.xlsx</x:v>
      </x:c>
    </x:row>
    <x:row r="11494">
      <x:c r="A11494" s="15" t="n">
        <x:v>45352</x:v>
      </x:c>
      <x:c r="B11494" s="13" t="str">
        <x:v>EMBRAER SA</x:v>
      </x:c>
      <x:c r="C11494" s="16" t="n">
        <x:v>1194.2490729205</x:v>
      </x:c>
      <x:c r="D11494" s="13" t="str">
        <x:v>Capital Goods</x:v>
      </x:c>
      <x:c r="E11494" s="13" t="str">
        <x:v>Capital Goods</x:v>
      </x:c>
      <x:c r="F11494" s="13" t="str">
        <x:v>Deep Cyclicals</x:v>
      </x:c>
      <x:c r="G11494" s="13" t="str">
        <x:v>grid_wbaxp5t0.xlsx</x:v>
      </x:c>
    </x:row>
    <x:row r="11495">
      <x:c r="A11495" s="15" t="n">
        <x:v>45352</x:v>
      </x:c>
      <x:c r="B11495" s="13" t="str">
        <x:v>WEG SA</x:v>
      </x:c>
      <x:c r="C11495" s="16" t="n">
        <x:v>5546.7500754411</x:v>
      </x:c>
      <x:c r="D11495" s="13" t="str">
        <x:v>Capital Goods</x:v>
      </x:c>
      <x:c r="E11495" s="13" t="str">
        <x:v>Capital Goods</x:v>
      </x:c>
      <x:c r="F11495" s="13" t="str">
        <x:v>Deep Cyclicals</x:v>
      </x:c>
      <x:c r="G11495" s="13" t="str">
        <x:v>grid_wbaxp5t0.xlsx</x:v>
      </x:c>
    </x:row>
    <x:row r="11496">
      <x:c r="A11496" s="15" t="n">
        <x:v>45352</x:v>
      </x:c>
      <x:c r="B11496" s="13" t="str">
        <x:v>COGNA EDUCACAO</x:v>
      </x:c>
      <x:c r="C11496" s="16" t="n">
        <x:v>366.2616395397</x:v>
      </x:c>
      <x:c r="D11496" s="13" t="str">
        <x:v>Education</x:v>
      </x:c>
      <x:c r="E11496" s="13" t="str">
        <x:v>Education</x:v>
      </x:c>
      <x:c r="F11496" s="13" t="str">
        <x:v>Early Cyclicals</x:v>
      </x:c>
      <x:c r="G11496" s="13" t="str">
        <x:v>grid_wbaxp5t0.xlsx</x:v>
      </x:c>
    </x:row>
    <x:row r="11497">
      <x:c r="A11497" s="15" t="n">
        <x:v>45352</x:v>
      </x:c>
      <x:c r="B11497" s="13" t="str">
        <x:v>YDUQS PARTICIPACOES SA</x:v>
      </x:c>
      <x:c r="C11497" s="16" t="n">
        <x:v>577.6417162521</x:v>
      </x:c>
      <x:c r="D11497" s="13" t="str">
        <x:v>Education</x:v>
      </x:c>
      <x:c r="E11497" s="13" t="str">
        <x:v>Education</x:v>
      </x:c>
      <x:c r="F11497" s="13" t="str">
        <x:v>Early Cyclicals</x:v>
      </x:c>
      <x:c r="G11497" s="13" t="str">
        <x:v>grid_wbaxp5t0.xlsx</x:v>
      </x:c>
    </x:row>
    <x:row r="11498">
      <x:c r="A11498" s="15" t="n">
        <x:v>45352</x:v>
      </x:c>
      <x:c r="B11498" s="13" t="str">
        <x:v>B3 SA-BRASIL BOLSA BALCAO</x:v>
      </x:c>
      <x:c r="C11498" s="16" t="n">
        <x:v>4954.3358884822</x:v>
      </x:c>
      <x:c r="D11498" s="13" t="str">
        <x:v>Financials Non-Banks</x:v>
      </x:c>
      <x:c r="E11498" s="13" t="str">
        <x:v>Financials Non-Banks</x:v>
      </x:c>
      <x:c r="F11498" s="13" t="str">
        <x:v>Financials</x:v>
      </x:c>
      <x:c r="G11498" s="13" t="str">
        <x:v>grid_wbaxp5t0.xlsx</x:v>
      </x:c>
    </x:row>
    <x:row r="11499">
      <x:c r="A11499" s="15" t="n">
        <x:v>45352</x:v>
      </x:c>
      <x:c r="B11499" s="13" t="str">
        <x:v>BB SEGURIDADE PARTICIPACOES</x:v>
      </x:c>
      <x:c r="C11499" s="16" t="n">
        <x:v>7957.8324248548</x:v>
      </x:c>
      <x:c r="D11499" s="13" t="str">
        <x:v>Financials Non-Banks</x:v>
      </x:c>
      <x:c r="E11499" s="13" t="str">
        <x:v>Financials Non-Banks</x:v>
      </x:c>
      <x:c r="F11499" s="13" t="str">
        <x:v>Financials</x:v>
      </x:c>
      <x:c r="G11499" s="13" t="str">
        <x:v>grid_wbaxp5t0.xlsx</x:v>
      </x:c>
    </x:row>
    <x:row r="11500">
      <x:c r="A11500" s="15" t="n">
        <x:v>45352</x:v>
      </x:c>
      <x:c r="B11500" s="13" t="str">
        <x:v>CIELO SA - INSTITUICAO DE PA</x:v>
      </x:c>
      <x:c r="C11500" s="16" t="n">
        <x:v>1855.8094742794</x:v>
      </x:c>
      <x:c r="D11500" s="13" t="str">
        <x:v>Financials Non-Banks</x:v>
      </x:c>
      <x:c r="E11500" s="13" t="str">
        <x:v>Financials Non-Banks</x:v>
      </x:c>
      <x:c r="F11500" s="13" t="str">
        <x:v>Financials</x:v>
      </x:c>
      <x:c r="G11500" s="13" t="str">
        <x:v>grid_wbaxp5t0.xlsx</x:v>
      </x:c>
    </x:row>
    <x:row r="11501">
      <x:c r="A11501" s="15" t="n">
        <x:v>45352</x:v>
      </x:c>
      <x:c r="B11501" s="13" t="str">
        <x:v>IRB BRASIL RESSEGUROS SA</x:v>
      </x:c>
      <x:c r="C11501" s="16" t="n">
        <x:v>355.0885021808</x:v>
      </x:c>
      <x:c r="D11501" s="13" t="str">
        <x:v>Financials Non-Banks</x:v>
      </x:c>
      <x:c r="E11501" s="13" t="str">
        <x:v>Financials Non-Banks</x:v>
      </x:c>
      <x:c r="F11501" s="13" t="str">
        <x:v>Financials</x:v>
      </x:c>
      <x:c r="G11501" s="13" t="str">
        <x:v>grid_wbaxp5t0.xlsx</x:v>
      </x:c>
    </x:row>
    <x:row r="11502">
      <x:c r="A11502" s="15" t="n">
        <x:v>45352</x:v>
      </x:c>
      <x:c r="B11502" s="13" t="str">
        <x:v>ITAUSA SA</x:v>
      </x:c>
      <x:c r="C11502" s="16" t="n">
        <x:v>16186.1945428164</x:v>
      </x:c>
      <x:c r="D11502" s="13" t="str">
        <x:v>Financials Non-Banks</x:v>
      </x:c>
      <x:c r="E11502" s="13" t="str">
        <x:v>Financials Non-Banks</x:v>
      </x:c>
      <x:c r="F11502" s="13" t="str">
        <x:v>Financials</x:v>
      </x:c>
      <x:c r="G11502" s="13" t="str">
        <x:v>grid_wbaxp5t0.xlsx</x:v>
      </x:c>
    </x:row>
    <x:row r="11503">
      <x:c r="A11503" s="15" t="n">
        <x:v>45352</x:v>
      </x:c>
      <x:c r="B11503" s="13" t="str">
        <x:v>AMBEV SA</x:v>
      </x:c>
      <x:c r="C11503" s="16" t="n">
        <x:v>14349.8049283507</x:v>
      </x:c>
      <x:c r="D11503" s="13" t="str">
        <x:v>Food &amp; Beverages</x:v>
      </x:c>
      <x:c r="E11503" s="13" t="str">
        <x:v>Agri, Food &amp; Beverages</x:v>
      </x:c>
      <x:c r="F11503" s="13" t="str">
        <x:v>Defensives</x:v>
      </x:c>
      <x:c r="G11503" s="13" t="str">
        <x:v>grid_wbaxp5t0.xlsx</x:v>
      </x:c>
    </x:row>
    <x:row r="11504">
      <x:c r="A11504" s="15" t="n">
        <x:v>45352</x:v>
      </x:c>
      <x:c r="B11504" s="13" t="str">
        <x:v>BRF SA</x:v>
      </x:c>
      <x:c r="C11504" s="16" t="n">
        <x:v>1136.3917808219</x:v>
      </x:c>
      <x:c r="D11504" s="13" t="str">
        <x:v>Food &amp; Beverages</x:v>
      </x:c>
      <x:c r="E11504" s="13" t="str">
        <x:v>Agri, Food &amp; Beverages</x:v>
      </x:c>
      <x:c r="F11504" s="13" t="str">
        <x:v>Defensives</x:v>
      </x:c>
      <x:c r="G11504" s="13" t="str">
        <x:v>grid_wbaxp5t0.xlsx</x:v>
      </x:c>
    </x:row>
    <x:row r="11505">
      <x:c r="A11505" s="15" t="n">
        <x:v>45352</x:v>
      </x:c>
      <x:c r="B11505" s="13" t="str">
        <x:v>MBRF GLOBAL FOODS COMPANY SA</x:v>
      </x:c>
      <x:c r="C11505" s="16" t="n">
        <x:v>-1411.469376526</x:v>
      </x:c>
      <x:c r="D11505" s="13" t="str">
        <x:v>Food &amp; Beverages</x:v>
      </x:c>
      <x:c r="E11505" s="13" t="str">
        <x:v>Agri, Food &amp; Beverages</x:v>
      </x:c>
      <x:c r="F11505" s="13" t="str">
        <x:v>Defensives</x:v>
      </x:c>
      <x:c r="G11505" s="13" t="str">
        <x:v>grid_wbaxp5t0.xlsx</x:v>
      </x:c>
    </x:row>
    <x:row r="11506">
      <x:c r="A11506" s="15" t="n">
        <x:v>45352</x:v>
      </x:c>
      <x:c r="B11506" s="13" t="str">
        <x:v>MINERVA SA</x:v>
      </x:c>
      <x:c r="C11506" s="16" t="n">
        <x:v>897.8333150685</x:v>
      </x:c>
      <x:c r="D11506" s="13" t="str">
        <x:v>Food &amp; Beverages</x:v>
      </x:c>
      <x:c r="E11506" s="13" t="str">
        <x:v>Agri, Food &amp; Beverages</x:v>
      </x:c>
      <x:c r="F11506" s="13" t="str">
        <x:v>Defensives</x:v>
      </x:c>
      <x:c r="G11506" s="13" t="str">
        <x:v>grid_wbaxp5t0.xlsx</x:v>
      </x:c>
    </x:row>
    <x:row r="11507">
      <x:c r="A11507" s="15" t="n">
        <x:v>45352</x:v>
      </x:c>
      <x:c r="B11507" s="13" t="str">
        <x:v>FLEURY SA</x:v>
      </x:c>
      <x:c r="C11507" s="16" t="n">
        <x:v>688.3242901041</x:v>
      </x:c>
      <x:c r="D11507" s="13" t="str">
        <x:v>Health Care</x:v>
      </x:c>
      <x:c r="E11507" s="13" t="str">
        <x:v>Health Care</x:v>
      </x:c>
      <x:c r="F11507" s="13" t="str">
        <x:v>Defensives</x:v>
      </x:c>
      <x:c r="G11507" s="13" t="str">
        <x:v>grid_wbaxp5t0.xlsx</x:v>
      </x:c>
    </x:row>
    <x:row r="11508">
      <x:c r="A11508" s="15" t="n">
        <x:v>45352</x:v>
      </x:c>
      <x:c r="B11508" s="13" t="str">
        <x:v>HAPVIDA PARTICIPACOES E INVE</x:v>
      </x:c>
      <x:c r="C11508" s="16" t="n">
        <x:v>1634.1854474521</x:v>
      </x:c>
      <x:c r="D11508" s="13" t="str">
        <x:v>Health Care</x:v>
      </x:c>
      <x:c r="E11508" s="13" t="str">
        <x:v>Health Care</x:v>
      </x:c>
      <x:c r="F11508" s="13" t="str">
        <x:v>Defensives</x:v>
      </x:c>
      <x:c r="G11508" s="13" t="str">
        <x:v>grid_wbaxp5t0.xlsx</x:v>
      </x:c>
    </x:row>
    <x:row r="11509">
      <x:c r="A11509" s="15" t="n">
        <x:v>45352</x:v>
      </x:c>
      <x:c r="B11509" s="13" t="str">
        <x:v>HYPERA SA</x:v>
      </x:c>
      <x:c r="C11509" s="16" t="n">
        <x:v>1946.6345240548</x:v>
      </x:c>
      <x:c r="D11509" s="13" t="str">
        <x:v>Health Care</x:v>
      </x:c>
      <x:c r="E11509" s="13" t="str">
        <x:v>Health Care</x:v>
      </x:c>
      <x:c r="F11509" s="13" t="str">
        <x:v>Defensives</x:v>
      </x:c>
      <x:c r="G11509" s="13" t="str">
        <x:v>grid_wbaxp5t0.xlsx</x:v>
      </x:c>
    </x:row>
    <x:row r="11510">
      <x:c r="A11510" s="15" t="n">
        <x:v>45352</x:v>
      </x:c>
      <x:c r="B11510" s="13" t="str">
        <x:v>REDE D'OR SAO LUIZ SA</x:v>
      </x:c>
      <x:c r="C11510" s="16" t="n">
        <x:v>3145.5046992657</x:v>
      </x:c>
      <x:c r="D11510" s="13" t="str">
        <x:v>Health Care</x:v>
      </x:c>
      <x:c r="E11510" s="13" t="str">
        <x:v>Health Care</x:v>
      </x:c>
      <x:c r="F11510" s="13" t="str">
        <x:v>Defensives</x:v>
      </x:c>
      <x:c r="G11510" s="13" t="str">
        <x:v>grid_wbaxp5t0.xlsx</x:v>
      </x:c>
    </x:row>
    <x:row r="11511">
      <x:c r="A11511" s="15" t="n">
        <x:v>45352</x:v>
      </x:c>
      <x:c r="B11511" s="13" t="str">
        <x:v>CYRELA BRAZIL REALTY SA EMP</x:v>
      </x:c>
      <x:c r="C11511" s="16" t="n">
        <x:v>1231.3238878685</x:v>
      </x:c>
      <x:c r="D11511" s="13" t="str">
        <x:v>Homebuilders</x:v>
      </x:c>
      <x:c r="E11511" s="13" t="str">
        <x:v>Real Estate</x:v>
      </x:c>
      <x:c r="F11511" s="13" t="str">
        <x:v>Early Cyclicals</x:v>
      </x:c>
      <x:c r="G11511" s="13" t="str">
        <x:v>grid_wbaxp5t0.xlsx</x:v>
      </x:c>
    </x:row>
    <x:row r="11512">
      <x:c r="A11512" s="15" t="n">
        <x:v>45352</x:v>
      </x:c>
      <x:c r="B11512" s="13" t="str">
        <x:v>EZ TEC EMPREENDIMENTOS E PAR</x:v>
      </x:c>
      <x:c r="C11512" s="16" t="n">
        <x:v>407.4828440548</x:v>
      </x:c>
      <x:c r="D11512" s="13" t="str">
        <x:v>Homebuilders</x:v>
      </x:c>
      <x:c r="E11512" s="13" t="str">
        <x:v>Real Estate</x:v>
      </x:c>
      <x:c r="F11512" s="13" t="str">
        <x:v>Early Cyclicals</x:v>
      </x:c>
      <x:c r="G11512" s="13" t="str">
        <x:v>grid_wbaxp5t0.xlsx</x:v>
      </x:c>
    </x:row>
    <x:row r="11513">
      <x:c r="A11513" s="15" t="n">
        <x:v>45352</x:v>
      </x:c>
      <x:c r="B11513" s="13" t="str">
        <x:v>MRV ENGENHARIA</x:v>
      </x:c>
      <x:c r="C11513" s="16" t="n">
        <x:v>430.8729333479</x:v>
      </x:c>
      <x:c r="D11513" s="13" t="str">
        <x:v>Homebuilders</x:v>
      </x:c>
      <x:c r="E11513" s="13" t="str">
        <x:v>Real Estate</x:v>
      </x:c>
      <x:c r="F11513" s="13" t="str">
        <x:v>Early Cyclicals</x:v>
      </x:c>
      <x:c r="G11513" s="13" t="str">
        <x:v>grid_wbaxp5t0.xlsx</x:v>
      </x:c>
    </x:row>
    <x:row r="11514">
      <x:c r="A11514" s="15" t="n">
        <x:v>45352</x:v>
      </x:c>
      <x:c r="B11514" s="13" t="str">
        <x:v>ALLOS SA</x:v>
      </x:c>
      <x:c r="C11514" s="16" t="n">
        <x:v>828.8402439014</x:v>
      </x:c>
      <x:c r="D11514" s="13" t="str">
        <x:v>Income Properties</x:v>
      </x:c>
      <x:c r="E11514" s="13" t="str">
        <x:v>Real Estate</x:v>
      </x:c>
      <x:c r="F11514" s="13" t="str">
        <x:v>Early Cyclicals</x:v>
      </x:c>
      <x:c r="G11514" s="13" t="str">
        <x:v>grid_wbaxp5t0.xlsx</x:v>
      </x:c>
    </x:row>
    <x:row r="11515">
      <x:c r="A11515" s="15" t="n">
        <x:v>45352</x:v>
      </x:c>
      <x:c r="B11515" s="13" t="str">
        <x:v>IGUATEMI SA - UNITS</x:v>
      </x:c>
      <x:c r="C11515" s="16" t="n">
        <x:v>488.676749063</x:v>
      </x:c>
      <x:c r="D11515" s="13" t="str">
        <x:v>Income Properties</x:v>
      </x:c>
      <x:c r="E11515" s="13" t="str">
        <x:v>Real Estate</x:v>
      </x:c>
      <x:c r="F11515" s="13" t="str">
        <x:v>Early Cyclicals</x:v>
      </x:c>
      <x:c r="G11515" s="13" t="str">
        <x:v>grid_wbaxp5t0.xlsx</x:v>
      </x:c>
    </x:row>
    <x:row r="11516">
      <x:c r="A11516" s="15" t="n">
        <x:v>45352</x:v>
      </x:c>
      <x:c r="B11516" s="13" t="str">
        <x:v>MULTIPLAN EMPREENDIMENTOS</x:v>
      </x:c>
      <x:c r="C11516" s="16" t="n">
        <x:v>1131.4920216548</x:v>
      </x:c>
      <x:c r="D11516" s="13" t="str">
        <x:v>Income Properties</x:v>
      </x:c>
      <x:c r="E11516" s="13" t="str">
        <x:v>Real Estate</x:v>
      </x:c>
      <x:c r="F11516" s="13" t="str">
        <x:v>Early Cyclicals</x:v>
      </x:c>
      <x:c r="G11516" s="13" t="str">
        <x:v>grid_wbaxp5t0.xlsx</x:v>
      </x:c>
    </x:row>
    <x:row r="11517">
      <x:c r="A11517" s="15" t="n">
        <x:v>45352</x:v>
      </x:c>
      <x:c r="B11517" s="13" t="str">
        <x:v>BRADESPAR SA -PREF</x:v>
      </x:c>
      <x:c r="C11517" s="16" t="n">
        <x:v>2115.0711843068</x:v>
      </x:c>
      <x:c r="D11517" s="13" t="str">
        <x:v>Metals &amp; Mining</x:v>
      </x:c>
      <x:c r="E11517" s="13" t="str">
        <x:v>Metals &amp; Mining</x:v>
      </x:c>
      <x:c r="F11517" s="13" t="str">
        <x:v>Deep Cyclicals</x:v>
      </x:c>
      <x:c r="G11517" s="13" t="str">
        <x:v>grid_wbaxp5t0.xlsx</x:v>
      </x:c>
    </x:row>
    <x:row r="11518">
      <x:c r="A11518" s="15" t="n">
        <x:v>45352</x:v>
      </x:c>
      <x:c r="B11518" s="13" t="str">
        <x:v>CIA SIDERURGICA NACIONAL SA</x:v>
      </x:c>
      <x:c r="C11518" s="16" t="n">
        <x:v>2241.6335191671</x:v>
      </x:c>
      <x:c r="D11518" s="13" t="str">
        <x:v>Metals &amp; Mining</x:v>
      </x:c>
      <x:c r="E11518" s="13" t="str">
        <x:v>Metals &amp; Mining</x:v>
      </x:c>
      <x:c r="F11518" s="13" t="str">
        <x:v>Deep Cyclicals</x:v>
      </x:c>
      <x:c r="G11518" s="13" t="str">
        <x:v>grid_wbaxp5t0.xlsx</x:v>
      </x:c>
    </x:row>
    <x:row r="11519">
      <x:c r="A11519" s="15" t="n">
        <x:v>45352</x:v>
      </x:c>
      <x:c r="B11519" s="13" t="str">
        <x:v>CSN MINERACAO SA</x:v>
      </x:c>
      <x:c r="C11519" s="16" t="n">
        <x:v>3529.0986832657</x:v>
      </x:c>
      <x:c r="D11519" s="13" t="str">
        <x:v>Metals &amp; Mining</x:v>
      </x:c>
      <x:c r="E11519" s="13" t="str">
        <x:v>Metals &amp; Mining</x:v>
      </x:c>
      <x:c r="F11519" s="13" t="str">
        <x:v>Deep Cyclicals</x:v>
      </x:c>
      <x:c r="G11519" s="13" t="str">
        <x:v>grid_wbaxp5t0.xlsx</x:v>
      </x:c>
    </x:row>
    <x:row r="11520">
      <x:c r="A11520" s="15" t="n">
        <x:v>45352</x:v>
      </x:c>
      <x:c r="B11520" s="13" t="str">
        <x:v>GERDAU SA-PREF</x:v>
      </x:c>
      <x:c r="C11520" s="16" t="n">
        <x:v>4599.2792232329</x:v>
      </x:c>
      <x:c r="D11520" s="13" t="str">
        <x:v>Metals &amp; Mining</x:v>
      </x:c>
      <x:c r="E11520" s="13" t="str">
        <x:v>Metals &amp; Mining</x:v>
      </x:c>
      <x:c r="F11520" s="13" t="str">
        <x:v>Deep Cyclicals</x:v>
      </x:c>
      <x:c r="G11520" s="13" t="str">
        <x:v>grid_wbaxp5t0.xlsx</x:v>
      </x:c>
    </x:row>
    <x:row r="11521">
      <x:c r="A11521" s="15" t="n">
        <x:v>45352</x:v>
      </x:c>
      <x:c r="B11521" s="13" t="str">
        <x:v>USINAS SIDER MINAS GER-PF A</x:v>
      </x:c>
      <x:c r="C11521" s="16" t="n">
        <x:v>1193.9572003068</x:v>
      </x:c>
      <x:c r="D11521" s="13" t="str">
        <x:v>Metals &amp; Mining</x:v>
      </x:c>
      <x:c r="E11521" s="13" t="str">
        <x:v>Metals &amp; Mining</x:v>
      </x:c>
      <x:c r="F11521" s="13" t="str">
        <x:v>Deep Cyclicals</x:v>
      </x:c>
      <x:c r="G11521" s="13" t="str">
        <x:v>grid_wbaxp5t0.xlsx</x:v>
      </x:c>
    </x:row>
    <x:row r="11522">
      <x:c r="A11522" s="15" t="n">
        <x:v>45352</x:v>
      </x:c>
      <x:c r="B11522" s="13" t="str">
        <x:v>VALE SA</x:v>
      </x:c>
      <x:c r="C11522" s="16" t="n">
        <x:v>50615.4585607014</x:v>
      </x:c>
      <x:c r="D11522" s="13" t="str">
        <x:v>Metals &amp; Mining</x:v>
      </x:c>
      <x:c r="E11522" s="13" t="str">
        <x:v>Metals &amp; Mining</x:v>
      </x:c>
      <x:c r="F11522" s="13" t="str">
        <x:v>Deep Cyclicals</x:v>
      </x:c>
      <x:c r="G11522" s="13" t="str">
        <x:v>grid_wbaxp5t0.xlsx</x:v>
      </x:c>
    </x:row>
    <x:row r="11523">
      <x:c r="A11523" s="15" t="n">
        <x:v>45352</x:v>
      </x:c>
      <x:c r="B11523" s="13" t="str">
        <x:v>BRASKEM SA-PREF A</x:v>
      </x:c>
      <x:c r="C11523" s="16" t="n">
        <x:v>-1273.7910300055</x:v>
      </x:c>
      <x:c r="D11523" s="13" t="str">
        <x:v>Oil, Gas &amp; Petrochemicals</x:v>
      </x:c>
      <x:c r="E11523" s="13" t="str">
        <x:v>Oil, Gas &amp; Petrochemicals</x:v>
      </x:c>
      <x:c r="F11523" s="13" t="str">
        <x:v>Deep Cyclicals</x:v>
      </x:c>
      <x:c r="G11523" s="13" t="str">
        <x:v>grid_wbaxp5t0.xlsx</x:v>
      </x:c>
    </x:row>
    <x:row r="11524">
      <x:c r="A11524" s="15" t="n">
        <x:v>45352</x:v>
      </x:c>
      <x:c r="B11524" s="13" t="str">
        <x:v>BRAVA ENERGIA</x:v>
      </x:c>
      <x:c r="C11524" s="16" t="n">
        <x:v>1754.2762853699</x:v>
      </x:c>
      <x:c r="D11524" s="13" t="str">
        <x:v>Oil, Gas &amp; Petrochemicals</x:v>
      </x:c>
      <x:c r="E11524" s="13" t="str">
        <x:v>Oil, Gas &amp; Petrochemicals</x:v>
      </x:c>
      <x:c r="F11524" s="13" t="str">
        <x:v>Deep Cyclicals</x:v>
      </x:c>
      <x:c r="G11524" s="13" t="str">
        <x:v>grid_wbaxp5t0.xlsx</x:v>
      </x:c>
    </x:row>
    <x:row r="11525">
      <x:c r="A11525" s="15" t="n">
        <x:v>45352</x:v>
      </x:c>
      <x:c r="B11525" s="13" t="str">
        <x:v>COSAN SA</x:v>
      </x:c>
      <x:c r="C11525" s="16" t="n">
        <x:v>3065.829516274</x:v>
      </x:c>
      <x:c r="D11525" s="13" t="str">
        <x:v>Oil, Gas &amp; Petrochemicals</x:v>
      </x:c>
      <x:c r="E11525" s="13" t="str">
        <x:v>Oil, Gas &amp; Petrochemicals</x:v>
      </x:c>
      <x:c r="F11525" s="13" t="str">
        <x:v>Deep Cyclicals</x:v>
      </x:c>
      <x:c r="G11525" s="13" t="str">
        <x:v>grid_wbaxp5t0.xlsx</x:v>
      </x:c>
    </x:row>
    <x:row r="11526">
      <x:c r="A11526" s="15" t="n">
        <x:v>45352</x:v>
      </x:c>
      <x:c r="B11526" s="13" t="str">
        <x:v>PETROBRAS - PETROLEO BRAS</x:v>
      </x:c>
      <x:c r="C11526" s="16" t="n">
        <x:v>109209.028063737</x:v>
      </x:c>
      <x:c r="D11526" s="13" t="str">
        <x:v>Oil, Gas &amp; Petrochemicals</x:v>
      </x:c>
      <x:c r="E11526" s="13" t="str">
        <x:v>Oil, Gas &amp; Petrochemicals</x:v>
      </x:c>
      <x:c r="F11526" s="13" t="str">
        <x:v>Deep Cyclicals</x:v>
      </x:c>
      <x:c r="G11526" s="13" t="str">
        <x:v>grid_wbaxp5t0.xlsx</x:v>
      </x:c>
    </x:row>
    <x:row r="11527">
      <x:c r="A11527" s="15" t="n">
        <x:v>45352</x:v>
      </x:c>
      <x:c r="B11527" s="13" t="str">
        <x:v>PETRORECONCAVO SA</x:v>
      </x:c>
      <x:c r="C11527" s="16" t="n">
        <x:v>1341.4793054685</x:v>
      </x:c>
      <x:c r="D11527" s="13" t="str">
        <x:v>Oil, Gas &amp; Petrochemicals</x:v>
      </x:c>
      <x:c r="E11527" s="13" t="str">
        <x:v>Oil, Gas &amp; Petrochemicals</x:v>
      </x:c>
      <x:c r="F11527" s="13" t="str">
        <x:v>Deep Cyclicals</x:v>
      </x:c>
      <x:c r="G11527" s="13" t="str">
        <x:v>grid_wbaxp5t0.xlsx</x:v>
      </x:c>
    </x:row>
    <x:row r="11528">
      <x:c r="A11528" s="15" t="n">
        <x:v>45352</x:v>
      </x:c>
      <x:c r="B11528" s="13" t="str">
        <x:v>PRIO SA</x:v>
      </x:c>
      <x:c r="C11528" s="16" t="n">
        <x:v>6999.6041777096</x:v>
      </x:c>
      <x:c r="D11528" s="13" t="str">
        <x:v>Oil, Gas &amp; Petrochemicals</x:v>
      </x:c>
      <x:c r="E11528" s="13" t="str">
        <x:v>Oil, Gas &amp; Petrochemicals</x:v>
      </x:c>
      <x:c r="F11528" s="13" t="str">
        <x:v>Deep Cyclicals</x:v>
      </x:c>
      <x:c r="G11528" s="13" t="str">
        <x:v>grid_wbaxp5t0.xlsx</x:v>
      </x:c>
    </x:row>
    <x:row r="11529">
      <x:c r="A11529" s="15" t="n">
        <x:v>45352</x:v>
      </x:c>
      <x:c r="B11529" s="13" t="str">
        <x:v>ULTRAPAR PARTICIPACOES SA</x:v>
      </x:c>
      <x:c r="C11529" s="16" t="n">
        <x:v>2140.2691124603</x:v>
      </x:c>
      <x:c r="D11529" s="13" t="str">
        <x:v>Oil, Gas &amp; Petrochemicals</x:v>
      </x:c>
      <x:c r="E11529" s="13" t="str">
        <x:v>Oil, Gas &amp; Petrochemicals</x:v>
      </x:c>
      <x:c r="F11529" s="13" t="str">
        <x:v>Deep Cyclicals</x:v>
      </x:c>
      <x:c r="G11529" s="13" t="str">
        <x:v>grid_wbaxp5t0.xlsx</x:v>
      </x:c>
    </x:row>
    <x:row r="11530">
      <x:c r="A11530" s="15" t="n">
        <x:v>45352</x:v>
      </x:c>
      <x:c r="B11530" s="13" t="str">
        <x:v>VIBRA ENERGIA SA</x:v>
      </x:c>
      <x:c r="C11530" s="16" t="n">
        <x:v>2871.8186909808</x:v>
      </x:c>
      <x:c r="D11530" s="13" t="str">
        <x:v>Oil, Gas &amp; Petrochemicals</x:v>
      </x:c>
      <x:c r="E11530" s="13" t="str">
        <x:v>Oil, Gas &amp; Petrochemicals</x:v>
      </x:c>
      <x:c r="F11530" s="13" t="str">
        <x:v>Deep Cyclicals</x:v>
      </x:c>
      <x:c r="G11530" s="13" t="str">
        <x:v>grid_wbaxp5t0.xlsx</x:v>
      </x:c>
    </x:row>
    <x:row r="11531">
      <x:c r="A11531" s="15" t="n">
        <x:v>45352</x:v>
      </x:c>
      <x:c r="B11531" s="13" t="str">
        <x:v>DEXCO SA</x:v>
      </x:c>
      <x:c r="C11531" s="16" t="n">
        <x:v>271.3477843726</x:v>
      </x:c>
      <x:c r="D11531" s="13" t="str">
        <x:v>Pulp &amp; Paper</x:v>
      </x:c>
      <x:c r="E11531" s="13" t="str">
        <x:v>Pulp &amp; Paper</x:v>
      </x:c>
      <x:c r="F11531" s="13" t="str">
        <x:v>Deep Cyclicals</x:v>
      </x:c>
      <x:c r="G11531" s="13" t="str">
        <x:v>grid_wbaxp5t0.xlsx</x:v>
      </x:c>
    </x:row>
    <x:row r="11532">
      <x:c r="A11532" s="15" t="n">
        <x:v>45352</x:v>
      </x:c>
      <x:c r="B11532" s="13" t="str">
        <x:v>KLABIN SA - UNIT</x:v>
      </x:c>
      <x:c r="C11532" s="16" t="n">
        <x:v>1861.8396444055</x:v>
      </x:c>
      <x:c r="D11532" s="13" t="str">
        <x:v>Pulp &amp; Paper</x:v>
      </x:c>
      <x:c r="E11532" s="13" t="str">
        <x:v>Pulp &amp; Paper</x:v>
      </x:c>
      <x:c r="F11532" s="13" t="str">
        <x:v>Deep Cyclicals</x:v>
      </x:c>
      <x:c r="G11532" s="13" t="str">
        <x:v>grid_wbaxp5t0.xlsx</x:v>
      </x:c>
    </x:row>
    <x:row r="11533">
      <x:c r="A11533" s="15" t="n">
        <x:v>45352</x:v>
      </x:c>
      <x:c r="B11533" s="13" t="str">
        <x:v>SUZANO SA</x:v>
      </x:c>
      <x:c r="C11533" s="16" t="n">
        <x:v>6895.7465431671</x:v>
      </x:c>
      <x:c r="D11533" s="13" t="str">
        <x:v>Pulp &amp; Paper</x:v>
      </x:c>
      <x:c r="E11533" s="13" t="str">
        <x:v>Pulp &amp; Paper</x:v>
      </x:c>
      <x:c r="F11533" s="13" t="str">
        <x:v>Deep Cyclicals</x:v>
      </x:c>
      <x:c r="G11533" s="13" t="str">
        <x:v>grid_wbaxp5t0.xlsx</x:v>
      </x:c>
    </x:row>
    <x:row r="11534">
      <x:c r="A11534" s="15" t="n">
        <x:v>45352</x:v>
      </x:c>
      <x:c r="B11534" s="13" t="str">
        <x:v>ALPARGATAS SA - PREF</x:v>
      </x:c>
      <x:c r="C11534" s="16" t="n">
        <x:v>291.3232876712</x:v>
      </x:c>
      <x:c r="D11534" s="13" t="str">
        <x:v>Retail</x:v>
      </x:c>
      <x:c r="E11534" s="13" t="str">
        <x:v>Retail</x:v>
      </x:c>
      <x:c r="F11534" s="13" t="str">
        <x:v>Early Cyclicals</x:v>
      </x:c>
      <x:c r="G11534" s="13" t="str">
        <x:v>grid_wbaxp5t0.xlsx</x:v>
      </x:c>
    </x:row>
    <x:row r="11535">
      <x:c r="A11535" s="15" t="n">
        <x:v>45352</x:v>
      </x:c>
      <x:c r="B11535" s="13" t="str">
        <x:v>ATACADAO SA</x:v>
      </x:c>
      <x:c r="C11535" s="16" t="n">
        <x:v>1632.3050580164</x:v>
      </x:c>
      <x:c r="D11535" s="13" t="str">
        <x:v>Retail</x:v>
      </x:c>
      <x:c r="E11535" s="13" t="str">
        <x:v>Retail</x:v>
      </x:c>
      <x:c r="F11535" s="13" t="str">
        <x:v>Early Cyclicals</x:v>
      </x:c>
      <x:c r="G11535" s="13" t="str">
        <x:v>grid_wbaxp5t0.xlsx</x:v>
      </x:c>
    </x:row>
    <x:row r="11536">
      <x:c r="A11536" s="15" t="n">
        <x:v>45352</x:v>
      </x:c>
      <x:c r="B11536" s="13" t="str">
        <x:v>AZZAS 2154 SA</x:v>
      </x:c>
      <x:c r="C11536" s="16" t="n">
        <x:v>480.5560014904</x:v>
      </x:c>
      <x:c r="D11536" s="13" t="str">
        <x:v>Retail</x:v>
      </x:c>
      <x:c r="E11536" s="13" t="str">
        <x:v>Retail</x:v>
      </x:c>
      <x:c r="F11536" s="13" t="str">
        <x:v>Early Cyclicals</x:v>
      </x:c>
      <x:c r="G11536" s="13" t="str">
        <x:v>grid_wbaxp5t0.xlsx</x:v>
      </x:c>
    </x:row>
    <x:row r="11537">
      <x:c r="A11537" s="15" t="n">
        <x:v>45352</x:v>
      </x:c>
      <x:c r="B11537" s="13" t="str">
        <x:v>CIA BRASILEIRA DE DISTRIBUIC</x:v>
      </x:c>
      <x:c r="C11537" s="16" t="n">
        <x:v>-374.2152876712</x:v>
      </x:c>
      <x:c r="D11537" s="13" t="str">
        <x:v>Retail</x:v>
      </x:c>
      <x:c r="E11537" s="13" t="str">
        <x:v>Retail</x:v>
      </x:c>
      <x:c r="F11537" s="13" t="str">
        <x:v>Early Cyclicals</x:v>
      </x:c>
      <x:c r="G11537" s="13" t="str">
        <x:v>grid_wbaxp5t0.xlsx</x:v>
      </x:c>
    </x:row>
    <x:row r="11538">
      <x:c r="A11538" s="15" t="n">
        <x:v>45352</x:v>
      </x:c>
      <x:c r="B11538" s="13" t="str">
        <x:v>CVC BRASIL OPERADORA E AGENC</x:v>
      </x:c>
      <x:c r="C11538" s="16" t="n">
        <x:v>-11.2018082192</x:v>
      </x:c>
      <x:c r="D11538" s="13" t="str">
        <x:v>Retail</x:v>
      </x:c>
      <x:c r="E11538" s="13" t="str">
        <x:v>Retail</x:v>
      </x:c>
      <x:c r="F11538" s="13" t="str">
        <x:v>Early Cyclicals</x:v>
      </x:c>
      <x:c r="G11538" s="13" t="str">
        <x:v>grid_wbaxp5t0.xlsx</x:v>
      </x:c>
    </x:row>
    <x:row r="11539">
      <x:c r="A11539" s="15" t="n">
        <x:v>45352</x:v>
      </x:c>
      <x:c r="B11539" s="13" t="str">
        <x:v>GRUPO CASAS BAHIA SA</x:v>
      </x:c>
      <x:c r="C11539" s="16" t="n">
        <x:v>-543.7554830027</x:v>
      </x:c>
      <x:c r="D11539" s="13" t="str">
        <x:v>Retail</x:v>
      </x:c>
      <x:c r="E11539" s="13" t="str">
        <x:v>Retail</x:v>
      </x:c>
      <x:c r="F11539" s="13" t="str">
        <x:v>Early Cyclicals</x:v>
      </x:c>
      <x:c r="G11539" s="13" t="str">
        <x:v>grid_wbaxp5t0.xlsx</x:v>
      </x:c>
    </x:row>
    <x:row r="11540">
      <x:c r="A11540" s="15" t="n">
        <x:v>45352</x:v>
      </x:c>
      <x:c r="B11540" s="13" t="str">
        <x:v>GRUPO DE MODA SOMA SA</x:v>
      </x:c>
      <x:c r="C11540" s="16" t="n">
        <x:v>418.9461346192</x:v>
      </x:c>
      <x:c r="D11540" s="13" t="str">
        <x:v>Retail</x:v>
      </x:c>
      <x:c r="E11540" s="13" t="str">
        <x:v>Retail</x:v>
      </x:c>
      <x:c r="F11540" s="13" t="str">
        <x:v>Early Cyclicals</x:v>
      </x:c>
      <x:c r="G11540" s="13" t="str">
        <x:v>grid_wbaxp5t0.xlsx</x:v>
      </x:c>
    </x:row>
    <x:row r="11541">
      <x:c r="A11541" s="15" t="n">
        <x:v>45352</x:v>
      </x:c>
      <x:c r="B11541" s="13" t="str">
        <x:v>LOJAS RENNER S.A.</x:v>
      </x:c>
      <x:c r="C11541" s="16" t="n">
        <x:v>1190.1595500712</x:v>
      </x:c>
      <x:c r="D11541" s="13" t="str">
        <x:v>Retail</x:v>
      </x:c>
      <x:c r="E11541" s="13" t="str">
        <x:v>Retail</x:v>
      </x:c>
      <x:c r="F11541" s="13" t="str">
        <x:v>Early Cyclicals</x:v>
      </x:c>
      <x:c r="G11541" s="13" t="str">
        <x:v>grid_wbaxp5t0.xlsx</x:v>
      </x:c>
    </x:row>
    <x:row r="11542">
      <x:c r="A11542" s="15" t="n">
        <x:v>45352</x:v>
      </x:c>
      <x:c r="B11542" s="13" t="str">
        <x:v>MAGAZINE LUIZA SA</x:v>
      </x:c>
      <x:c r="C11542" s="16" t="n">
        <x:v>326.6098630137</x:v>
      </x:c>
      <x:c r="D11542" s="13" t="str">
        <x:v>Retail</x:v>
      </x:c>
      <x:c r="E11542" s="13" t="str">
        <x:v>Retail</x:v>
      </x:c>
      <x:c r="F11542" s="13" t="str">
        <x:v>Early Cyclicals</x:v>
      </x:c>
      <x:c r="G11542" s="13" t="str">
        <x:v>grid_wbaxp5t0.xlsx</x:v>
      </x:c>
    </x:row>
    <x:row r="11543">
      <x:c r="A11543" s="15" t="n">
        <x:v>45352</x:v>
      </x:c>
      <x:c r="B11543" s="13" t="str">
        <x:v>NATURA &amp;CO HOLDING SA</x:v>
      </x:c>
      <x:c r="C11543" s="16" t="n">
        <x:v>1069.9436063562</x:v>
      </x:c>
      <x:c r="D11543" s="13" t="str">
        <x:v>Retail</x:v>
      </x:c>
      <x:c r="E11543" s="13" t="str">
        <x:v>Retail</x:v>
      </x:c>
      <x:c r="F11543" s="13" t="str">
        <x:v>Early Cyclicals</x:v>
      </x:c>
      <x:c r="G11543" s="13" t="str">
        <x:v>grid_wbaxp5t0.xlsx</x:v>
      </x:c>
    </x:row>
    <x:row r="11544">
      <x:c r="A11544" s="15" t="n">
        <x:v>45352</x:v>
      </x:c>
      <x:c r="B11544" s="13" t="str">
        <x:v>PET CENTER COMERCIO E PARTIC</x:v>
      </x:c>
      <x:c r="C11544" s="16" t="n">
        <x:v>97.4887073753</x:v>
      </x:c>
      <x:c r="D11544" s="13" t="str">
        <x:v>Retail</x:v>
      </x:c>
      <x:c r="E11544" s="13" t="str">
        <x:v>Retail</x:v>
      </x:c>
      <x:c r="F11544" s="13" t="str">
        <x:v>Early Cyclicals</x:v>
      </x:c>
      <x:c r="G11544" s="13" t="str">
        <x:v>grid_wbaxp5t0.xlsx</x:v>
      </x:c>
    </x:row>
    <x:row r="11545">
      <x:c r="A11545" s="15" t="n">
        <x:v>45352</x:v>
      </x:c>
      <x:c r="B11545" s="13" t="str">
        <x:v>RAIA DROGASIL SA</x:v>
      </x:c>
      <x:c r="C11545" s="16" t="n">
        <x:v>1522.3800547945</x:v>
      </x:c>
      <x:c r="D11545" s="13" t="str">
        <x:v>Retail</x:v>
      </x:c>
      <x:c r="E11545" s="13" t="str">
        <x:v>Retail</x:v>
      </x:c>
      <x:c r="F11545" s="13" t="str">
        <x:v>Early Cyclicals</x:v>
      </x:c>
      <x:c r="G11545" s="13" t="str">
        <x:v>grid_wbaxp5t0.xlsx</x:v>
      </x:c>
    </x:row>
    <x:row r="11546">
      <x:c r="A11546" s="15" t="n">
        <x:v>45352</x:v>
      </x:c>
      <x:c r="B11546" s="13" t="str">
        <x:v>SENDAS DISTRIBUIDORA SA</x:v>
      </x:c>
      <x:c r="C11546" s="16" t="n">
        <x:v>1114.9371798795</x:v>
      </x:c>
      <x:c r="D11546" s="13" t="str">
        <x:v>Retail</x:v>
      </x:c>
      <x:c r="E11546" s="13" t="str">
        <x:v>Retail</x:v>
      </x:c>
      <x:c r="F11546" s="13" t="str">
        <x:v>Early Cyclicals</x:v>
      </x:c>
      <x:c r="G11546" s="13" t="str">
        <x:v>grid_wbaxp5t0.xlsx</x:v>
      </x:c>
    </x:row>
    <x:row r="11547">
      <x:c r="A11547" s="15" t="n">
        <x:v>45352</x:v>
      </x:c>
      <x:c r="B11547" s="13" t="str">
        <x:v>CIA SANEAMENTO BASICO DE SP</x:v>
      </x:c>
      <x:c r="C11547" s="16" t="n">
        <x:v>4368.0381138411</x:v>
      </x:c>
      <x:c r="D11547" s="13" t="str">
        <x:v>Sanitation</x:v>
      </x:c>
      <x:c r="E11547" s="13" t="str">
        <x:v>Utilities</x:v>
      </x:c>
      <x:c r="F11547" s="13" t="str">
        <x:v>Defensives</x:v>
      </x:c>
      <x:c r="G11547" s="13" t="str">
        <x:v>grid_wbaxp5t0.xlsx</x:v>
      </x:c>
    </x:row>
    <x:row r="11548">
      <x:c r="A11548" s="15" t="n">
        <x:v>45352</x:v>
      </x:c>
      <x:c r="B11548" s="13" t="str">
        <x:v>LWSA SA</x:v>
      </x:c>
      <x:c r="C11548" s="16" t="n">
        <x:v>112.0063753425</x:v>
      </x:c>
      <x:c r="D11548" s="13" t="str">
        <x:v>TMT</x:v>
      </x:c>
      <x:c r="E11548" s="13" t="str">
        <x:v>TMT</x:v>
      </x:c>
      <x:c r="F11548" s="13" t="str">
        <x:v>Early Cyclicals</x:v>
      </x:c>
      <x:c r="G11548" s="13" t="str">
        <x:v>grid_wbaxp5t0.xlsx</x:v>
      </x:c>
    </x:row>
    <x:row r="11549">
      <x:c r="A11549" s="15" t="n">
        <x:v>45352</x:v>
      </x:c>
      <x:c r="B11549" s="13" t="str">
        <x:v>TIM SA</x:v>
      </x:c>
      <x:c r="C11549" s="16" t="n">
        <x:v>3596.5488156055</x:v>
      </x:c>
      <x:c r="D11549" s="13" t="str">
        <x:v>TMT</x:v>
      </x:c>
      <x:c r="E11549" s="13" t="str">
        <x:v>TMT</x:v>
      </x:c>
      <x:c r="F11549" s="13" t="str">
        <x:v>Early Cyclicals</x:v>
      </x:c>
      <x:c r="G11549" s="13" t="str">
        <x:v>grid_wbaxp5t0.xlsx</x:v>
      </x:c>
    </x:row>
    <x:row r="11550">
      <x:c r="A11550" s="15" t="n">
        <x:v>45352</x:v>
      </x:c>
      <x:c r="B11550" s="13" t="str">
        <x:v>TOTVS SA</x:v>
      </x:c>
      <x:c r="C11550" s="16" t="n">
        <x:v>812.6403806685</x:v>
      </x:c>
      <x:c r="D11550" s="13" t="str">
        <x:v>TMT</x:v>
      </x:c>
      <x:c r="E11550" s="13" t="str">
        <x:v>TMT</x:v>
      </x:c>
      <x:c r="F11550" s="13" t="str">
        <x:v>Early Cyclicals</x:v>
      </x:c>
      <x:c r="G11550" s="13" t="str">
        <x:v>grid_wbaxp5t0.xlsx</x:v>
      </x:c>
    </x:row>
    <x:row r="11551">
      <x:c r="A11551" s="15" t="n">
        <x:v>45352</x:v>
      </x:c>
      <x:c r="B11551" s="13" t="str">
        <x:v>AZUL SA</x:v>
      </x:c>
      <x:c r="C11551" s="16" t="n">
        <x:v>707.9407281096</x:v>
      </x:c>
      <x:c r="D11551" s="13" t="str">
        <x:v>Transportation</x:v>
      </x:c>
      <x:c r="E11551" s="13" t="str">
        <x:v>Transportation</x:v>
      </x:c>
      <x:c r="F11551" s="13" t="str">
        <x:v>Deep Cyclicals</x:v>
      </x:c>
      <x:c r="G11551" s="13" t="str">
        <x:v>grid_wbaxp5t0.xlsx</x:v>
      </x:c>
    </x:row>
    <x:row r="11552">
      <x:c r="A11552" s="15" t="n">
        <x:v>45352</x:v>
      </x:c>
      <x:c r="B11552" s="13" t="str">
        <x:v>LOCALIZA RENT A CAR</x:v>
      </x:c>
      <x:c r="C11552" s="16" t="n">
        <x:v>3906.4255978959</x:v>
      </x:c>
      <x:c r="D11552" s="13" t="str">
        <x:v>Transportation</x:v>
      </x:c>
      <x:c r="E11552" s="13" t="str">
        <x:v>Transportation</x:v>
      </x:c>
      <x:c r="F11552" s="13" t="str">
        <x:v>Deep Cyclicals</x:v>
      </x:c>
      <x:c r="G11552" s="13" t="str">
        <x:v>grid_wbaxp5t0.xlsx</x:v>
      </x:c>
    </x:row>
    <x:row r="11553">
      <x:c r="A11553" s="15" t="n">
        <x:v>45352</x:v>
      </x:c>
      <x:c r="B11553" s="13" t="str">
        <x:v>MOTIVA INFRAESTRUTURA DE MOB</x:v>
      </x:c>
      <x:c r="C11553" s="16" t="n">
        <x:v>1699.8158227288</x:v>
      </x:c>
      <x:c r="D11553" s="13" t="str">
        <x:v>Transportation</x:v>
      </x:c>
      <x:c r="E11553" s="13" t="str">
        <x:v>Transportation</x:v>
      </x:c>
      <x:c r="F11553" s="13" t="str">
        <x:v>Deep Cyclicals</x:v>
      </x:c>
      <x:c r="G11553" s="13" t="str">
        <x:v>grid_wbaxp5t0.xlsx</x:v>
      </x:c>
    </x:row>
    <x:row r="11554">
      <x:c r="A11554" s="15" t="n">
        <x:v>45352</x:v>
      </x:c>
      <x:c r="B11554" s="13" t="str">
        <x:v>RUMO SA</x:v>
      </x:c>
      <x:c r="C11554" s="16" t="n">
        <x:v>2364.8956416</x:v>
      </x:c>
      <x:c r="D11554" s="13" t="str">
        <x:v>Transportation</x:v>
      </x:c>
      <x:c r="E11554" s="13" t="str">
        <x:v>Transportation</x:v>
      </x:c>
      <x:c r="F11554" s="13" t="str">
        <x:v>Deep Cyclicals</x:v>
      </x:c>
      <x:c r="G11554" s="13" t="str">
        <x:v>grid_wbaxp5t0.xlsx</x:v>
      </x:c>
    </x:row>
    <x:row r="11555">
      <x:c r="A11555" s="15" t="n">
        <x:v>45352</x:v>
      </x:c>
      <x:c r="B11555" s="13" t="str">
        <x:v>VAMOS LOCACAO DE CAMINHOES M</x:v>
      </x:c>
      <x:c r="C11555" s="16" t="n">
        <x:v>1020.5629627616</x:v>
      </x:c>
      <x:c r="D11555" s="13" t="str">
        <x:v>Transportation</x:v>
      </x:c>
      <x:c r="E11555" s="13" t="str">
        <x:v>Transportation</x:v>
      </x:c>
      <x:c r="F11555" s="13" t="str">
        <x:v>Deep Cyclicals</x:v>
      </x:c>
      <x:c r="G11555" s="13" t="str">
        <x:v>grid_wbaxp5t0.xlsx</x:v>
      </x:c>
    </x:row>
    <x:row r="11556">
      <x:c r="A11556" s="15" t="n">
        <x:v>45352</x:v>
      </x:c>
      <x:c r="B11556" s="13" t="str">
        <x:v>AXIA ENERGIA SA</x:v>
      </x:c>
      <x:c r="C11556" s="16" t="n">
        <x:v>9181.6381650411</x:v>
      </x:c>
      <x:c r="D11556" s="13" t="str">
        <x:v>Utilities &amp; Energy</x:v>
      </x:c>
      <x:c r="E11556" s="13" t="str">
        <x:v>Utilities</x:v>
      </x:c>
      <x:c r="F11556" s="13" t="str">
        <x:v>Defensives</x:v>
      </x:c>
      <x:c r="G11556" s="13" t="str">
        <x:v>grid_wbaxp5t0.xlsx</x:v>
      </x:c>
    </x:row>
    <x:row r="11557">
      <x:c r="A11557" s="15" t="n">
        <x:v>45352</x:v>
      </x:c>
      <x:c r="B11557" s="13" t="str">
        <x:v>AXIA ENERGIA-PR B</x:v>
      </x:c>
      <x:c r="C11557" s="16" t="n">
        <x:v>9181.6381650411</x:v>
      </x:c>
      <x:c r="D11557" s="13" t="str">
        <x:v>Utilities &amp; Energy</x:v>
      </x:c>
      <x:c r="E11557" s="13" t="str">
        <x:v>Utilities</x:v>
      </x:c>
      <x:c r="F11557" s="13" t="str">
        <x:v>Defensives</x:v>
      </x:c>
      <x:c r="G11557" s="13" t="str">
        <x:v>grid_wbaxp5t0.xlsx</x:v>
      </x:c>
    </x:row>
    <x:row r="11558">
      <x:c r="A11558" s="15" t="n">
        <x:v>45352</x:v>
      </x:c>
      <x:c r="B11558" s="13" t="str">
        <x:v>CIA ENERGETICA MINAS GER-PRF</x:v>
      </x:c>
      <x:c r="C11558" s="16" t="n">
        <x:v>4441.8919311781</x:v>
      </x:c>
      <x:c r="D11558" s="13" t="str">
        <x:v>Utilities &amp; Energy</x:v>
      </x:c>
      <x:c r="E11558" s="13" t="str">
        <x:v>Utilities</x:v>
      </x:c>
      <x:c r="F11558" s="13" t="str">
        <x:v>Defensives</x:v>
      </x:c>
      <x:c r="G11558" s="13" t="str">
        <x:v>grid_wbaxp5t0.xlsx</x:v>
      </x:c>
    </x:row>
    <x:row r="11559">
      <x:c r="A11559" s="15" t="n">
        <x:v>45352</x:v>
      </x:c>
      <x:c r="B11559" s="13" t="str">
        <x:v>COMPANHIA PARANAENSE -PREF B</x:v>
      </x:c>
      <x:c r="C11559" s="16" t="n">
        <x:v>2138.416173589</x:v>
      </x:c>
      <x:c r="D11559" s="13" t="str">
        <x:v>Utilities &amp; Energy</x:v>
      </x:c>
      <x:c r="E11559" s="13" t="str">
        <x:v>Utilities</x:v>
      </x:c>
      <x:c r="F11559" s="13" t="str">
        <x:v>Defensives</x:v>
      </x:c>
      <x:c r="G11559" s="13" t="str">
        <x:v>grid_wbaxp5t0.xlsx</x:v>
      </x:c>
    </x:row>
    <x:row r="11560">
      <x:c r="A11560" s="15" t="n">
        <x:v>45352</x:v>
      </x:c>
      <x:c r="B11560" s="13" t="str">
        <x:v>CPFL ENERGIA SA</x:v>
      </x:c>
      <x:c r="C11560" s="16" t="n">
        <x:v>4800.4244634301</x:v>
      </x:c>
      <x:c r="D11560" s="13" t="str">
        <x:v>Utilities &amp; Energy</x:v>
      </x:c>
      <x:c r="E11560" s="13" t="str">
        <x:v>Utilities</x:v>
      </x:c>
      <x:c r="F11560" s="13" t="str">
        <x:v>Defensives</x:v>
      </x:c>
      <x:c r="G11560" s="13" t="str">
        <x:v>grid_wbaxp5t0.xlsx</x:v>
      </x:c>
    </x:row>
    <x:row r="11561">
      <x:c r="A11561" s="15" t="n">
        <x:v>45352</x:v>
      </x:c>
      <x:c r="B11561" s="13" t="str">
        <x:v>ENERGISA SA-UNITS</x:v>
      </x:c>
      <x:c r="C11561" s="16" t="n">
        <x:v>1739.1439388055</x:v>
      </x:c>
      <x:c r="D11561" s="13" t="str">
        <x:v>Utilities &amp; Energy</x:v>
      </x:c>
      <x:c r="E11561" s="13" t="str">
        <x:v>Utilities</x:v>
      </x:c>
      <x:c r="F11561" s="13" t="str">
        <x:v>Defensives</x:v>
      </x:c>
      <x:c r="G11561" s="13" t="str">
        <x:v>grid_wbaxp5t0.xlsx</x:v>
      </x:c>
    </x:row>
    <x:row r="11562">
      <x:c r="A11562" s="15" t="n">
        <x:v>45352</x:v>
      </x:c>
      <x:c r="B11562" s="13" t="str">
        <x:v>ENEVA SA</x:v>
      </x:c>
      <x:c r="C11562" s="16" t="n">
        <x:v>917.1089425534</x:v>
      </x:c>
      <x:c r="D11562" s="13" t="str">
        <x:v>Utilities &amp; Energy</x:v>
      </x:c>
      <x:c r="E11562" s="13" t="str">
        <x:v>Utilities</x:v>
      </x:c>
      <x:c r="F11562" s="13" t="str">
        <x:v>Defensives</x:v>
      </x:c>
      <x:c r="G11562" s="13" t="str">
        <x:v>grid_wbaxp5t0.xlsx</x:v>
      </x:c>
    </x:row>
    <x:row r="11563">
      <x:c r="A11563" s="15" t="n">
        <x:v>45352</x:v>
      </x:c>
      <x:c r="B11563" s="13" t="str">
        <x:v>ENGIE BRASIL ENERGIA SA</x:v>
      </x:c>
      <x:c r="C11563" s="16" t="n">
        <x:v>3440.2690132164</x:v>
      </x:c>
      <x:c r="D11563" s="13" t="str">
        <x:v>Utilities &amp; Energy</x:v>
      </x:c>
      <x:c r="E11563" s="13" t="str">
        <x:v>Utilities</x:v>
      </x:c>
      <x:c r="F11563" s="13" t="str">
        <x:v>Defensives</x:v>
      </x:c>
      <x:c r="G11563" s="13" t="str">
        <x:v>grid_wbaxp5t0.xlsx</x:v>
      </x:c>
    </x:row>
    <x:row r="11564">
      <x:c r="A11564" s="15" t="n">
        <x:v>45352</x:v>
      </x:c>
      <x:c r="B11564" s="13" t="str">
        <x:v>EQUATORIAL SA - ORD</x:v>
      </x:c>
      <x:c r="C11564" s="16" t="n">
        <x:v>3302.1216515507</x:v>
      </x:c>
      <x:c r="D11564" s="13" t="str">
        <x:v>Utilities &amp; Energy</x:v>
      </x:c>
      <x:c r="E11564" s="13" t="str">
        <x:v>Utilities</x:v>
      </x:c>
      <x:c r="F11564" s="13" t="str">
        <x:v>Defensives</x:v>
      </x:c>
      <x:c r="G11564" s="13" t="str">
        <x:v>grid_wbaxp5t0.xlsx</x:v>
      </x:c>
    </x:row>
    <x:row r="11565">
      <x:c r="A11565" s="15" t="n">
        <x:v>45352</x:v>
      </x:c>
      <x:c r="B11565" s="13" t="str">
        <x:v>ISA ENERGIA BRASIL SA</x:v>
      </x:c>
      <x:c r="C11565" s="16" t="n">
        <x:v>1768.3498759014</x:v>
      </x:c>
      <x:c r="D11565" s="13" t="str">
        <x:v>Utilities &amp; Energy</x:v>
      </x:c>
      <x:c r="E11565" s="13" t="str">
        <x:v>Utilities</x:v>
      </x:c>
      <x:c r="F11565" s="13" t="str">
        <x:v>Defensives</x:v>
      </x:c>
      <x:c r="G11565" s="13" t="str">
        <x:v>grid_wbaxp5t0.xlsx</x:v>
      </x:c>
    </x:row>
    <x:row r="11566">
      <x:c r="A11566" s="15" t="n">
        <x:v>45352</x:v>
      </x:c>
      <x:c r="B11566" s="13" t="str">
        <x:v>TRANSMISSORA ALIANCA DE-UNIT</x:v>
      </x:c>
      <x:c r="C11566" s="16" t="n">
        <x:v>1167.6858080438</x:v>
      </x:c>
      <x:c r="D11566" s="13" t="str">
        <x:v>Utilities &amp; Energy</x:v>
      </x:c>
      <x:c r="E11566" s="13" t="str">
        <x:v>Utilities</x:v>
      </x:c>
      <x:c r="F11566" s="13" t="str">
        <x:v>Defensives</x:v>
      </x:c>
      <x:c r="G11566" s="13" t="str">
        <x:v>grid_wbaxp5t0.xlsx</x:v>
      </x:c>
    </x:row>
    <x:row r="11567">
      <x:c r="A11567" s="15" t="n">
        <x:v>45383</x:v>
      </x:c>
      <x:c r="B11567" s="13" t="str">
        <x:v>RAIZEN SA - PREFERENCE</x:v>
      </x:c>
      <x:c r="C11567" s="16" t="n">
        <x:v>4131.4407732603</x:v>
      </x:c>
      <x:c r="D11567" s="13" t="str">
        <x:v>Agribusiness</x:v>
      </x:c>
      <x:c r="E11567" s="13" t="str">
        <x:v>Agri, Food &amp; Beverages</x:v>
      </x:c>
      <x:c r="F11567" s="13" t="str">
        <x:v>Defensives</x:v>
      </x:c>
      <x:c r="G11567" s="13" t="str">
        <x:v>grid_wbaxp5t0.xlsx</x:v>
      </x:c>
    </x:row>
    <x:row r="11568">
      <x:c r="A11568" s="15" t="n">
        <x:v>45383</x:v>
      </x:c>
      <x:c r="B11568" s="13" t="str">
        <x:v>SAO MARTINHO SA</x:v>
      </x:c>
      <x:c r="C11568" s="16" t="n">
        <x:v>1293.5747068493</x:v>
      </x:c>
      <x:c r="D11568" s="13" t="str">
        <x:v>Agribusiness</x:v>
      </x:c>
      <x:c r="E11568" s="13" t="str">
        <x:v>Agri, Food &amp; Beverages</x:v>
      </x:c>
      <x:c r="F11568" s="13" t="str">
        <x:v>Defensives</x:v>
      </x:c>
      <x:c r="G11568" s="13" t="str">
        <x:v>grid_wbaxp5t0.xlsx</x:v>
      </x:c>
    </x:row>
    <x:row r="11569">
      <x:c r="A11569" s="15" t="n">
        <x:v>45383</x:v>
      </x:c>
      <x:c r="B11569" s="13" t="str">
        <x:v>SLC AGRICOLA SA</x:v>
      </x:c>
      <x:c r="C11569" s="16" t="n">
        <x:v>925.0959807123</x:v>
      </x:c>
      <x:c r="D11569" s="13" t="str">
        <x:v>Agribusiness</x:v>
      </x:c>
      <x:c r="E11569" s="13" t="str">
        <x:v>Agri, Food &amp; Beverages</x:v>
      </x:c>
      <x:c r="F11569" s="13" t="str">
        <x:v>Defensives</x:v>
      </x:c>
      <x:c r="G11569" s="13" t="str">
        <x:v>grid_wbaxp5t0.xlsx</x:v>
      </x:c>
    </x:row>
    <x:row r="11570">
      <x:c r="A11570" s="15" t="n">
        <x:v>45383</x:v>
      </x:c>
      <x:c r="B11570" s="13" t="str">
        <x:v>BANCO BRADESCO S.A.</x:v>
      </x:c>
      <x:c r="C11570" s="16" t="n">
        <x:v>20481.6684466849</x:v>
      </x:c>
      <x:c r="D11570" s="13" t="str">
        <x:v>Banks</x:v>
      </x:c>
      <x:c r="E11570" s="13" t="str">
        <x:v>Banks</x:v>
      </x:c>
      <x:c r="F11570" s="13" t="str">
        <x:v>Financials</x:v>
      </x:c>
      <x:c r="G11570" s="13" t="str">
        <x:v>grid_wbaxp5t0.xlsx</x:v>
      </x:c>
    </x:row>
    <x:row r="11571">
      <x:c r="A11571" s="15" t="n">
        <x:v>45383</x:v>
      </x:c>
      <x:c r="B11571" s="13" t="str">
        <x:v>BANCO BRADESCO SA-PREF</x:v>
      </x:c>
      <x:c r="C11571" s="16" t="n">
        <x:v>20481.6684466849</x:v>
      </x:c>
      <x:c r="D11571" s="13" t="str">
        <x:v>Banks</x:v>
      </x:c>
      <x:c r="E11571" s="13" t="str">
        <x:v>Banks</x:v>
      </x:c>
      <x:c r="F11571" s="13" t="str">
        <x:v>Financials</x:v>
      </x:c>
      <x:c r="G11571" s="13" t="str">
        <x:v>grid_wbaxp5t0.xlsx</x:v>
      </x:c>
    </x:row>
    <x:row r="11572">
      <x:c r="A11572" s="15" t="n">
        <x:v>45383</x:v>
      </x:c>
      <x:c r="B11572" s="13" t="str">
        <x:v>BANCO BTG PACTUAL SA-UNIT</x:v>
      </x:c>
      <x:c r="C11572" s="16" t="n">
        <x:v>13005.335411726</x:v>
      </x:c>
      <x:c r="D11572" s="13" t="str">
        <x:v>Banks</x:v>
      </x:c>
      <x:c r="E11572" s="13" t="str">
        <x:v>Banks</x:v>
      </x:c>
      <x:c r="F11572" s="13" t="str">
        <x:v>Financials</x:v>
      </x:c>
      <x:c r="G11572" s="13" t="str">
        <x:v>grid_wbaxp5t0.xlsx</x:v>
      </x:c>
    </x:row>
    <x:row r="11573">
      <x:c r="A11573" s="15" t="n">
        <x:v>45383</x:v>
      </x:c>
      <x:c r="B11573" s="13" t="str">
        <x:v>BANCO DO BRASIL S.A.</x:v>
      </x:c>
      <x:c r="C11573" s="16" t="n">
        <x:v>38276.0240675068</x:v>
      </x:c>
      <x:c r="D11573" s="13" t="str">
        <x:v>Banks</x:v>
      </x:c>
      <x:c r="E11573" s="13" t="str">
        <x:v>Banks</x:v>
      </x:c>
      <x:c r="F11573" s="13" t="str">
        <x:v>Financials</x:v>
      </x:c>
      <x:c r="G11573" s="13" t="str">
        <x:v>grid_wbaxp5t0.xlsx</x:v>
      </x:c>
    </x:row>
    <x:row r="11574">
      <x:c r="A11574" s="15" t="n">
        <x:v>45383</x:v>
      </x:c>
      <x:c r="B11574" s="13" t="str">
        <x:v>BANCO SANTANDER  BRASIL-UNIT</x:v>
      </x:c>
      <x:c r="C11574" s="16" t="n">
        <x:v>13885.0791732603</x:v>
      </x:c>
      <x:c r="D11574" s="13" t="str">
        <x:v>Banks</x:v>
      </x:c>
      <x:c r="E11574" s="13" t="str">
        <x:v>Banks</x:v>
      </x:c>
      <x:c r="F11574" s="13" t="str">
        <x:v>Financials</x:v>
      </x:c>
      <x:c r="G11574" s="13" t="str">
        <x:v>grid_wbaxp5t0.xlsx</x:v>
      </x:c>
    </x:row>
    <x:row r="11575">
      <x:c r="A11575" s="15" t="n">
        <x:v>45383</x:v>
      </x:c>
      <x:c r="B11575" s="13" t="str">
        <x:v>ITAU UNIBANCO HOLDING S-PREF</x:v>
      </x:c>
      <x:c r="C11575" s="16" t="n">
        <x:v>41394.1206198356</x:v>
      </x:c>
      <x:c r="D11575" s="13" t="str">
        <x:v>Banks</x:v>
      </x:c>
      <x:c r="E11575" s="13" t="str">
        <x:v>Banks</x:v>
      </x:c>
      <x:c r="F11575" s="13" t="str">
        <x:v>Financials</x:v>
      </x:c>
      <x:c r="G11575" s="13" t="str">
        <x:v>grid_wbaxp5t0.xlsx</x:v>
      </x:c>
    </x:row>
    <x:row r="11576">
      <x:c r="A11576" s="15" t="n">
        <x:v>45383</x:v>
      </x:c>
      <x:c r="B11576" s="13" t="str">
        <x:v>EMBRAER SA</x:v>
      </x:c>
      <x:c r="C11576" s="16" t="n">
        <x:v>1217.2105372055</x:v>
      </x:c>
      <x:c r="D11576" s="13" t="str">
        <x:v>Capital Goods</x:v>
      </x:c>
      <x:c r="E11576" s="13" t="str">
        <x:v>Capital Goods</x:v>
      </x:c>
      <x:c r="F11576" s="13" t="str">
        <x:v>Deep Cyclicals</x:v>
      </x:c>
      <x:c r="G11576" s="13" t="str">
        <x:v>grid_wbaxp5t0.xlsx</x:v>
      </x:c>
    </x:row>
    <x:row r="11577">
      <x:c r="A11577" s="15" t="n">
        <x:v>45383</x:v>
      </x:c>
      <x:c r="B11577" s="13" t="str">
        <x:v>WEG SA</x:v>
      </x:c>
      <x:c r="C11577" s="16" t="n">
        <x:v>5646.5452607123</x:v>
      </x:c>
      <x:c r="D11577" s="13" t="str">
        <x:v>Capital Goods</x:v>
      </x:c>
      <x:c r="E11577" s="13" t="str">
        <x:v>Capital Goods</x:v>
      </x:c>
      <x:c r="F11577" s="13" t="str">
        <x:v>Deep Cyclicals</x:v>
      </x:c>
      <x:c r="G11577" s="13" t="str">
        <x:v>grid_wbaxp5t0.xlsx</x:v>
      </x:c>
    </x:row>
    <x:row r="11578">
      <x:c r="A11578" s="15" t="n">
        <x:v>45383</x:v>
      </x:c>
      <x:c r="B11578" s="13" t="str">
        <x:v>COGNA EDUCACAO</x:v>
      </x:c>
      <x:c r="C11578" s="16" t="n">
        <x:v>406.8079368767</x:v>
      </x:c>
      <x:c r="D11578" s="13" t="str">
        <x:v>Education</x:v>
      </x:c>
      <x:c r="E11578" s="13" t="str">
        <x:v>Education</x:v>
      </x:c>
      <x:c r="F11578" s="13" t="str">
        <x:v>Early Cyclicals</x:v>
      </x:c>
      <x:c r="G11578" s="13" t="str">
        <x:v>grid_wbaxp5t0.xlsx</x:v>
      </x:c>
    </x:row>
    <x:row r="11579">
      <x:c r="A11579" s="15" t="n">
        <x:v>45383</x:v>
      </x:c>
      <x:c r="B11579" s="13" t="str">
        <x:v>YDUQS PARTICIPACOES SA</x:v>
      </x:c>
      <x:c r="C11579" s="16" t="n">
        <x:v>608.7646430685</x:v>
      </x:c>
      <x:c r="D11579" s="13" t="str">
        <x:v>Education</x:v>
      </x:c>
      <x:c r="E11579" s="13" t="str">
        <x:v>Education</x:v>
      </x:c>
      <x:c r="F11579" s="13" t="str">
        <x:v>Early Cyclicals</x:v>
      </x:c>
      <x:c r="G11579" s="13" t="str">
        <x:v>grid_wbaxp5t0.xlsx</x:v>
      </x:c>
    </x:row>
    <x:row r="11580">
      <x:c r="A11580" s="15" t="n">
        <x:v>45383</x:v>
      </x:c>
      <x:c r="B11580" s="13" t="str">
        <x:v>B3 SA-BRASIL BOLSA BALCAO</x:v>
      </x:c>
      <x:c r="C11580" s="16" t="n">
        <x:v>4841.7964046027</x:v>
      </x:c>
      <x:c r="D11580" s="13" t="str">
        <x:v>Financials Non-Banks</x:v>
      </x:c>
      <x:c r="E11580" s="13" t="str">
        <x:v>Financials Non-Banks</x:v>
      </x:c>
      <x:c r="F11580" s="13" t="str">
        <x:v>Financials</x:v>
      </x:c>
      <x:c r="G11580" s="13" t="str">
        <x:v>grid_wbaxp5t0.xlsx</x:v>
      </x:c>
    </x:row>
    <x:row r="11581">
      <x:c r="A11581" s="15" t="n">
        <x:v>45383</x:v>
      </x:c>
      <x:c r="B11581" s="13" t="str">
        <x:v>BB SEGURIDADE PARTICIPACOES</x:v>
      </x:c>
      <x:c r="C11581" s="16" t="n">
        <x:v>7974.4078974247</x:v>
      </x:c>
      <x:c r="D11581" s="13" t="str">
        <x:v>Financials Non-Banks</x:v>
      </x:c>
      <x:c r="E11581" s="13" t="str">
        <x:v>Financials Non-Banks</x:v>
      </x:c>
      <x:c r="F11581" s="13" t="str">
        <x:v>Financials</x:v>
      </x:c>
      <x:c r="G11581" s="13" t="str">
        <x:v>grid_wbaxp5t0.xlsx</x:v>
      </x:c>
    </x:row>
    <x:row r="11582">
      <x:c r="A11582" s="15" t="n">
        <x:v>45383</x:v>
      </x:c>
      <x:c r="B11582" s="13" t="str">
        <x:v>CIELO SA - INSTITUICAO DE PA</x:v>
      </x:c>
      <x:c r="C11582" s="16" t="n">
        <x:v>1721.148345863</x:v>
      </x:c>
      <x:c r="D11582" s="13" t="str">
        <x:v>Financials Non-Banks</x:v>
      </x:c>
      <x:c r="E11582" s="13" t="str">
        <x:v>Financials Non-Banks</x:v>
      </x:c>
      <x:c r="F11582" s="13" t="str">
        <x:v>Financials</x:v>
      </x:c>
      <x:c r="G11582" s="13" t="str">
        <x:v>grid_wbaxp5t0.xlsx</x:v>
      </x:c>
    </x:row>
    <x:row r="11583">
      <x:c r="A11583" s="15" t="n">
        <x:v>45383</x:v>
      </x:c>
      <x:c r="B11583" s="13" t="str">
        <x:v>IRB BRASIL RESSEGUROS SA</x:v>
      </x:c>
      <x:c r="C11583" s="16" t="n">
        <x:v>371.5917808219</x:v>
      </x:c>
      <x:c r="D11583" s="13" t="str">
        <x:v>Financials Non-Banks</x:v>
      </x:c>
      <x:c r="E11583" s="13" t="str">
        <x:v>Financials Non-Banks</x:v>
      </x:c>
      <x:c r="F11583" s="13" t="str">
        <x:v>Financials</x:v>
      </x:c>
      <x:c r="G11583" s="13" t="str">
        <x:v>grid_wbaxp5t0.xlsx</x:v>
      </x:c>
    </x:row>
    <x:row r="11584">
      <x:c r="A11584" s="15" t="n">
        <x:v>45383</x:v>
      </x:c>
      <x:c r="B11584" s="13" t="str">
        <x:v>ITAUSA SA</x:v>
      </x:c>
      <x:c r="C11584" s="16" t="n">
        <x:v>15994.7743456438</x:v>
      </x:c>
      <x:c r="D11584" s="13" t="str">
        <x:v>Financials Non-Banks</x:v>
      </x:c>
      <x:c r="E11584" s="13" t="str">
        <x:v>Financials Non-Banks</x:v>
      </x:c>
      <x:c r="F11584" s="13" t="str">
        <x:v>Financials</x:v>
      </x:c>
      <x:c r="G11584" s="13" t="str">
        <x:v>grid_wbaxp5t0.xlsx</x:v>
      </x:c>
    </x:row>
    <x:row r="11585">
      <x:c r="A11585" s="15" t="n">
        <x:v>45383</x:v>
      </x:c>
      <x:c r="B11585" s="13" t="str">
        <x:v>AMBEV SA</x:v>
      </x:c>
      <x:c r="C11585" s="16" t="n">
        <x:v>14963.3301041096</x:v>
      </x:c>
      <x:c r="D11585" s="13" t="str">
        <x:v>Food &amp; Beverages</x:v>
      </x:c>
      <x:c r="E11585" s="13" t="str">
        <x:v>Agri, Food &amp; Beverages</x:v>
      </x:c>
      <x:c r="F11585" s="13" t="str">
        <x:v>Defensives</x:v>
      </x:c>
      <x:c r="G11585" s="13" t="str">
        <x:v>grid_wbaxp5t0.xlsx</x:v>
      </x:c>
    </x:row>
    <x:row r="11586">
      <x:c r="A11586" s="15" t="n">
        <x:v>45383</x:v>
      </x:c>
      <x:c r="B11586" s="13" t="str">
        <x:v>BRF SA</x:v>
      </x:c>
      <x:c r="C11586" s="16" t="n">
        <x:v>1184.1339669041</x:v>
      </x:c>
      <x:c r="D11586" s="13" t="str">
        <x:v>Food &amp; Beverages</x:v>
      </x:c>
      <x:c r="E11586" s="13" t="str">
        <x:v>Agri, Food &amp; Beverages</x:v>
      </x:c>
      <x:c r="F11586" s="13" t="str">
        <x:v>Defensives</x:v>
      </x:c>
      <x:c r="G11586" s="13" t="str">
        <x:v>grid_wbaxp5t0.xlsx</x:v>
      </x:c>
    </x:row>
    <x:row r="11587">
      <x:c r="A11587" s="15" t="n">
        <x:v>45383</x:v>
      </x:c>
      <x:c r="B11587" s="13" t="str">
        <x:v>MBRF GLOBAL FOODS COMPANY SA</x:v>
      </x:c>
      <x:c r="C11587" s="16" t="n">
        <x:v>-934.9626020822</x:v>
      </x:c>
      <x:c r="D11587" s="13" t="str">
        <x:v>Food &amp; Beverages</x:v>
      </x:c>
      <x:c r="E11587" s="13" t="str">
        <x:v>Agri, Food &amp; Beverages</x:v>
      </x:c>
      <x:c r="F11587" s="13" t="str">
        <x:v>Defensives</x:v>
      </x:c>
      <x:c r="G11587" s="13" t="str">
        <x:v>grid_wbaxp5t0.xlsx</x:v>
      </x:c>
    </x:row>
    <x:row r="11588">
      <x:c r="A11588" s="15" t="n">
        <x:v>45383</x:v>
      </x:c>
      <x:c r="B11588" s="13" t="str">
        <x:v>MINERVA SA</x:v>
      </x:c>
      <x:c r="C11588" s="16" t="n">
        <x:v>667.7600464658</x:v>
      </x:c>
      <x:c r="D11588" s="13" t="str">
        <x:v>Food &amp; Beverages</x:v>
      </x:c>
      <x:c r="E11588" s="13" t="str">
        <x:v>Agri, Food &amp; Beverages</x:v>
      </x:c>
      <x:c r="F11588" s="13" t="str">
        <x:v>Defensives</x:v>
      </x:c>
      <x:c r="G11588" s="13" t="str">
        <x:v>grid_wbaxp5t0.xlsx</x:v>
      </x:c>
    </x:row>
    <x:row r="11589">
      <x:c r="A11589" s="15" t="n">
        <x:v>45383</x:v>
      </x:c>
      <x:c r="B11589" s="13" t="str">
        <x:v>FLEURY SA</x:v>
      </x:c>
      <x:c r="C11589" s="16" t="n">
        <x:v>697.8964059178</x:v>
      </x:c>
      <x:c r="D11589" s="13" t="str">
        <x:v>Health Care</x:v>
      </x:c>
      <x:c r="E11589" s="13" t="str">
        <x:v>Health Care</x:v>
      </x:c>
      <x:c r="F11589" s="13" t="str">
        <x:v>Defensives</x:v>
      </x:c>
      <x:c r="G11589" s="13" t="str">
        <x:v>grid_wbaxp5t0.xlsx</x:v>
      </x:c>
    </x:row>
    <x:row r="11590">
      <x:c r="A11590" s="15" t="n">
        <x:v>45383</x:v>
      </x:c>
      <x:c r="B11590" s="13" t="str">
        <x:v>HAPVIDA PARTICIPACOES E INVE</x:v>
      </x:c>
      <x:c r="C11590" s="16" t="n">
        <x:v>1371.8957641644</x:v>
      </x:c>
      <x:c r="D11590" s="13" t="str">
        <x:v>Health Care</x:v>
      </x:c>
      <x:c r="E11590" s="13" t="str">
        <x:v>Health Care</x:v>
      </x:c>
      <x:c r="F11590" s="13" t="str">
        <x:v>Defensives</x:v>
      </x:c>
      <x:c r="G11590" s="13" t="str">
        <x:v>grid_wbaxp5t0.xlsx</x:v>
      </x:c>
    </x:row>
    <x:row r="11591">
      <x:c r="A11591" s="15" t="n">
        <x:v>45383</x:v>
      </x:c>
      <x:c r="B11591" s="13" t="str">
        <x:v>HYPERA SA</x:v>
      </x:c>
      <x:c r="C11591" s="16" t="n">
        <x:v>1955.439768548</x:v>
      </x:c>
      <x:c r="D11591" s="13" t="str">
        <x:v>Health Care</x:v>
      </x:c>
      <x:c r="E11591" s="13" t="str">
        <x:v>Health Care</x:v>
      </x:c>
      <x:c r="F11591" s="13" t="str">
        <x:v>Defensives</x:v>
      </x:c>
      <x:c r="G11591" s="13" t="str">
        <x:v>grid_wbaxp5t0.xlsx</x:v>
      </x:c>
    </x:row>
    <x:row r="11592">
      <x:c r="A11592" s="15" t="n">
        <x:v>45383</x:v>
      </x:c>
      <x:c r="B11592" s="13" t="str">
        <x:v>REDE D'OR SAO LUIZ SA</x:v>
      </x:c>
      <x:c r="C11592" s="16" t="n">
        <x:v>3260.9608942466</x:v>
      </x:c>
      <x:c r="D11592" s="13" t="str">
        <x:v>Health Care</x:v>
      </x:c>
      <x:c r="E11592" s="13" t="str">
        <x:v>Health Care</x:v>
      </x:c>
      <x:c r="F11592" s="13" t="str">
        <x:v>Defensives</x:v>
      </x:c>
      <x:c r="G11592" s="13" t="str">
        <x:v>grid_wbaxp5t0.xlsx</x:v>
      </x:c>
    </x:row>
    <x:row r="11593">
      <x:c r="A11593" s="15" t="n">
        <x:v>45383</x:v>
      </x:c>
      <x:c r="B11593" s="13" t="str">
        <x:v>CYRELA BRAZIL REALTY SA EMP</x:v>
      </x:c>
      <x:c r="C11593" s="16" t="n">
        <x:v>1252.3629922192</x:v>
      </x:c>
      <x:c r="D11593" s="13" t="str">
        <x:v>Homebuilders</x:v>
      </x:c>
      <x:c r="E11593" s="13" t="str">
        <x:v>Real Estate</x:v>
      </x:c>
      <x:c r="F11593" s="13" t="str">
        <x:v>Early Cyclicals</x:v>
      </x:c>
      <x:c r="G11593" s="13" t="str">
        <x:v>grid_wbaxp5t0.xlsx</x:v>
      </x:c>
    </x:row>
    <x:row r="11594">
      <x:c r="A11594" s="15" t="n">
        <x:v>45383</x:v>
      </x:c>
      <x:c r="B11594" s="13" t="str">
        <x:v>EZ TEC EMPREENDIMENTOS E PAR</x:v>
      </x:c>
      <x:c r="C11594" s="16" t="n">
        <x:v>392.2273972603</x:v>
      </x:c>
      <x:c r="D11594" s="13" t="str">
        <x:v>Homebuilders</x:v>
      </x:c>
      <x:c r="E11594" s="13" t="str">
        <x:v>Real Estate</x:v>
      </x:c>
      <x:c r="F11594" s="13" t="str">
        <x:v>Early Cyclicals</x:v>
      </x:c>
      <x:c r="G11594" s="13" t="str">
        <x:v>grid_wbaxp5t0.xlsx</x:v>
      </x:c>
    </x:row>
    <x:row r="11595">
      <x:c r="A11595" s="15" t="n">
        <x:v>45383</x:v>
      </x:c>
      <x:c r="B11595" s="13" t="str">
        <x:v>MRV ENGENHARIA</x:v>
      </x:c>
      <x:c r="C11595" s="16" t="n">
        <x:v>513.7770520548</x:v>
      </x:c>
      <x:c r="D11595" s="13" t="str">
        <x:v>Homebuilders</x:v>
      </x:c>
      <x:c r="E11595" s="13" t="str">
        <x:v>Real Estate</x:v>
      </x:c>
      <x:c r="F11595" s="13" t="str">
        <x:v>Early Cyclicals</x:v>
      </x:c>
      <x:c r="G11595" s="13" t="str">
        <x:v>grid_wbaxp5t0.xlsx</x:v>
      </x:c>
    </x:row>
    <x:row r="11596">
      <x:c r="A11596" s="15" t="n">
        <x:v>45383</x:v>
      </x:c>
      <x:c r="B11596" s="13" t="str">
        <x:v>ALLOS SA</x:v>
      </x:c>
      <x:c r="C11596" s="16" t="n">
        <x:v>787.3971094795</x:v>
      </x:c>
      <x:c r="D11596" s="13" t="str">
        <x:v>Income Properties</x:v>
      </x:c>
      <x:c r="E11596" s="13" t="str">
        <x:v>Real Estate</x:v>
      </x:c>
      <x:c r="F11596" s="13" t="str">
        <x:v>Early Cyclicals</x:v>
      </x:c>
      <x:c r="G11596" s="13" t="str">
        <x:v>grid_wbaxp5t0.xlsx</x:v>
      </x:c>
    </x:row>
    <x:row r="11597">
      <x:c r="A11597" s="15" t="n">
        <x:v>45383</x:v>
      </x:c>
      <x:c r="B11597" s="13" t="str">
        <x:v>IGUATEMI SA - UNITS</x:v>
      </x:c>
      <x:c r="C11597" s="16" t="n">
        <x:v>505.5987888219</x:v>
      </x:c>
      <x:c r="D11597" s="13" t="str">
        <x:v>Income Properties</x:v>
      </x:c>
      <x:c r="E11597" s="13" t="str">
        <x:v>Real Estate</x:v>
      </x:c>
      <x:c r="F11597" s="13" t="str">
        <x:v>Early Cyclicals</x:v>
      </x:c>
      <x:c r="G11597" s="13" t="str">
        <x:v>grid_wbaxp5t0.xlsx</x:v>
      </x:c>
    </x:row>
    <x:row r="11598">
      <x:c r="A11598" s="15" t="n">
        <x:v>45383</x:v>
      </x:c>
      <x:c r="B11598" s="13" t="str">
        <x:v>MULTIPLAN EMPREENDIMENTOS</x:v>
      </x:c>
      <x:c r="C11598" s="16" t="n">
        <x:v>1132.0197470685</x:v>
      </x:c>
      <x:c r="D11598" s="13" t="str">
        <x:v>Income Properties</x:v>
      </x:c>
      <x:c r="E11598" s="13" t="str">
        <x:v>Real Estate</x:v>
      </x:c>
      <x:c r="F11598" s="13" t="str">
        <x:v>Early Cyclicals</x:v>
      </x:c>
      <x:c r="G11598" s="13" t="str">
        <x:v>grid_wbaxp5t0.xlsx</x:v>
      </x:c>
    </x:row>
    <x:row r="11599">
      <x:c r="A11599" s="15" t="n">
        <x:v>45383</x:v>
      </x:c>
      <x:c r="B11599" s="13" t="str">
        <x:v>BRADESPAR SA -PREF</x:v>
      </x:c>
      <x:c r="C11599" s="16" t="n">
        <x:v>1612.301369863</x:v>
      </x:c>
      <x:c r="D11599" s="13" t="str">
        <x:v>Metals &amp; Mining</x:v>
      </x:c>
      <x:c r="E11599" s="13" t="str">
        <x:v>Metals &amp; Mining</x:v>
      </x:c>
      <x:c r="F11599" s="13" t="str">
        <x:v>Deep Cyclicals</x:v>
      </x:c>
      <x:c r="G11599" s="13" t="str">
        <x:v>grid_wbaxp5t0.xlsx</x:v>
      </x:c>
    </x:row>
    <x:row r="11600">
      <x:c r="A11600" s="15" t="n">
        <x:v>45383</x:v>
      </x:c>
      <x:c r="B11600" s="13" t="str">
        <x:v>CIA SIDERURGICA NACIONAL SA</x:v>
      </x:c>
      <x:c r="C11600" s="16" t="n">
        <x:v>1996.8500269589</x:v>
      </x:c>
      <x:c r="D11600" s="13" t="str">
        <x:v>Metals &amp; Mining</x:v>
      </x:c>
      <x:c r="E11600" s="13" t="str">
        <x:v>Metals &amp; Mining</x:v>
      </x:c>
      <x:c r="F11600" s="13" t="str">
        <x:v>Deep Cyclicals</x:v>
      </x:c>
      <x:c r="G11600" s="13" t="str">
        <x:v>grid_wbaxp5t0.xlsx</x:v>
      </x:c>
    </x:row>
    <x:row r="11601">
      <x:c r="A11601" s="15" t="n">
        <x:v>45383</x:v>
      </x:c>
      <x:c r="B11601" s="13" t="str">
        <x:v>CSN MINERACAO SA</x:v>
      </x:c>
      <x:c r="C11601" s="16" t="n">
        <x:v>2813.0774759452</x:v>
      </x:c>
      <x:c r="D11601" s="13" t="str">
        <x:v>Metals &amp; Mining</x:v>
      </x:c>
      <x:c r="E11601" s="13" t="str">
        <x:v>Metals &amp; Mining</x:v>
      </x:c>
      <x:c r="F11601" s="13" t="str">
        <x:v>Deep Cyclicals</x:v>
      </x:c>
      <x:c r="G11601" s="13" t="str">
        <x:v>grid_wbaxp5t0.xlsx</x:v>
      </x:c>
    </x:row>
    <x:row r="11602">
      <x:c r="A11602" s="15" t="n">
        <x:v>45383</x:v>
      </x:c>
      <x:c r="B11602" s="13" t="str">
        <x:v>GERDAU SA-PREF</x:v>
      </x:c>
      <x:c r="C11602" s="16" t="n">
        <x:v>5025.5431469589</x:v>
      </x:c>
      <x:c r="D11602" s="13" t="str">
        <x:v>Metals &amp; Mining</x:v>
      </x:c>
      <x:c r="E11602" s="13" t="str">
        <x:v>Metals &amp; Mining</x:v>
      </x:c>
      <x:c r="F11602" s="13" t="str">
        <x:v>Deep Cyclicals</x:v>
      </x:c>
      <x:c r="G11602" s="13" t="str">
        <x:v>grid_wbaxp5t0.xlsx</x:v>
      </x:c>
    </x:row>
    <x:row r="11603">
      <x:c r="A11603" s="15" t="n">
        <x:v>45383</x:v>
      </x:c>
      <x:c r="B11603" s="13" t="str">
        <x:v>METALURGICA GERDAU SA-PREF</x:v>
      </x:c>
      <x:c r="C11603" s="16" t="n">
        <x:v>1889.7670803288</x:v>
      </x:c>
      <x:c r="D11603" s="13" t="str">
        <x:v>Metals &amp; Mining</x:v>
      </x:c>
      <x:c r="E11603" s="13" t="str">
        <x:v>Metals &amp; Mining</x:v>
      </x:c>
      <x:c r="F11603" s="13" t="str">
        <x:v>Deep Cyclicals</x:v>
      </x:c>
      <x:c r="G11603" s="13" t="str">
        <x:v>grid_wbaxp5t0.xlsx</x:v>
      </x:c>
    </x:row>
    <x:row r="11604">
      <x:c r="A11604" s="15" t="n">
        <x:v>45383</x:v>
      </x:c>
      <x:c r="B11604" s="13" t="str">
        <x:v>USINAS SIDER MINAS GER-PF A</x:v>
      </x:c>
      <x:c r="C11604" s="16" t="n">
        <x:v>1341.379014137</x:v>
      </x:c>
      <x:c r="D11604" s="13" t="str">
        <x:v>Metals &amp; Mining</x:v>
      </x:c>
      <x:c r="E11604" s="13" t="str">
        <x:v>Metals &amp; Mining</x:v>
      </x:c>
      <x:c r="F11604" s="13" t="str">
        <x:v>Deep Cyclicals</x:v>
      </x:c>
      <x:c r="G11604" s="13" t="str">
        <x:v>grid_wbaxp5t0.xlsx</x:v>
      </x:c>
    </x:row>
    <x:row r="11605">
      <x:c r="A11605" s="15" t="n">
        <x:v>45383</x:v>
      </x:c>
      <x:c r="B11605" s="13" t="str">
        <x:v>VALE SA</x:v>
      </x:c>
      <x:c r="C11605" s="16" t="n">
        <x:v>45714.0529236164</x:v>
      </x:c>
      <x:c r="D11605" s="13" t="str">
        <x:v>Metals &amp; Mining</x:v>
      </x:c>
      <x:c r="E11605" s="13" t="str">
        <x:v>Metals &amp; Mining</x:v>
      </x:c>
      <x:c r="F11605" s="13" t="str">
        <x:v>Deep Cyclicals</x:v>
      </x:c>
      <x:c r="G11605" s="13" t="str">
        <x:v>grid_wbaxp5t0.xlsx</x:v>
      </x:c>
    </x:row>
    <x:row r="11606">
      <x:c r="A11606" s="15" t="n">
        <x:v>45383</x:v>
      </x:c>
      <x:c r="B11606" s="13" t="str">
        <x:v>BRASKEM SA-PREF A</x:v>
      </x:c>
      <x:c r="C11606" s="16" t="n">
        <x:v>-1445.0849315068</x:v>
      </x:c>
      <x:c r="D11606" s="13" t="str">
        <x:v>Oil, Gas &amp; Petrochemicals</x:v>
      </x:c>
      <x:c r="E11606" s="13" t="str">
        <x:v>Oil, Gas &amp; Petrochemicals</x:v>
      </x:c>
      <x:c r="F11606" s="13" t="str">
        <x:v>Deep Cyclicals</x:v>
      </x:c>
      <x:c r="G11606" s="13" t="str">
        <x:v>grid_wbaxp5t0.xlsx</x:v>
      </x:c>
    </x:row>
    <x:row r="11607">
      <x:c r="A11607" s="15" t="n">
        <x:v>45383</x:v>
      </x:c>
      <x:c r="B11607" s="13" t="str">
        <x:v>BRAVA ENERGIA</x:v>
      </x:c>
      <x:c r="C11607" s="16" t="n">
        <x:v>2033.5886886575</x:v>
      </x:c>
      <x:c r="D11607" s="13" t="str">
        <x:v>Oil, Gas &amp; Petrochemicals</x:v>
      </x:c>
      <x:c r="E11607" s="13" t="str">
        <x:v>Oil, Gas &amp; Petrochemicals</x:v>
      </x:c>
      <x:c r="F11607" s="13" t="str">
        <x:v>Deep Cyclicals</x:v>
      </x:c>
      <x:c r="G11607" s="13" t="str">
        <x:v>grid_wbaxp5t0.xlsx</x:v>
      </x:c>
    </x:row>
    <x:row r="11608">
      <x:c r="A11608" s="15" t="n">
        <x:v>45383</x:v>
      </x:c>
      <x:c r="B11608" s="13" t="str">
        <x:v>COSAN SA</x:v>
      </x:c>
      <x:c r="C11608" s="16" t="n">
        <x:v>3079.9302312329</x:v>
      </x:c>
      <x:c r="D11608" s="13" t="str">
        <x:v>Oil, Gas &amp; Petrochemicals</x:v>
      </x:c>
      <x:c r="E11608" s="13" t="str">
        <x:v>Oil, Gas &amp; Petrochemicals</x:v>
      </x:c>
      <x:c r="F11608" s="13" t="str">
        <x:v>Deep Cyclicals</x:v>
      </x:c>
      <x:c r="G11608" s="13" t="str">
        <x:v>grid_wbaxp5t0.xlsx</x:v>
      </x:c>
    </x:row>
    <x:row r="11609">
      <x:c r="A11609" s="15" t="n">
        <x:v>45383</x:v>
      </x:c>
      <x:c r="B11609" s="13" t="str">
        <x:v>PETROBRAS - PETROLEO BRAS</x:v>
      </x:c>
      <x:c r="C11609" s="16" t="n">
        <x:v>117013.356880658</x:v>
      </x:c>
      <x:c r="D11609" s="13" t="str">
        <x:v>Oil, Gas &amp; Petrochemicals</x:v>
      </x:c>
      <x:c r="E11609" s="13" t="str">
        <x:v>Oil, Gas &amp; Petrochemicals</x:v>
      </x:c>
      <x:c r="F11609" s="13" t="str">
        <x:v>Deep Cyclicals</x:v>
      </x:c>
      <x:c r="G11609" s="13" t="str">
        <x:v>grid_wbaxp5t0.xlsx</x:v>
      </x:c>
    </x:row>
    <x:row r="11610">
      <x:c r="A11610" s="15" t="n">
        <x:v>45383</x:v>
      </x:c>
      <x:c r="B11610" s="13" t="str">
        <x:v>PETRORECONCAVO SA</x:v>
      </x:c>
      <x:c r="C11610" s="16" t="n">
        <x:v>1233.1012488767</x:v>
      </x:c>
      <x:c r="D11610" s="13" t="str">
        <x:v>Oil, Gas &amp; Petrochemicals</x:v>
      </x:c>
      <x:c r="E11610" s="13" t="str">
        <x:v>Oil, Gas &amp; Petrochemicals</x:v>
      </x:c>
      <x:c r="F11610" s="13" t="str">
        <x:v>Deep Cyclicals</x:v>
      </x:c>
      <x:c r="G11610" s="13" t="str">
        <x:v>grid_wbaxp5t0.xlsx</x:v>
      </x:c>
    </x:row>
    <x:row r="11611">
      <x:c r="A11611" s="15" t="n">
        <x:v>45383</x:v>
      </x:c>
      <x:c r="B11611" s="13" t="str">
        <x:v>PRIO SA</x:v>
      </x:c>
      <x:c r="C11611" s="16" t="n">
        <x:v>7539.2138801096</x:v>
      </x:c>
      <x:c r="D11611" s="13" t="str">
        <x:v>Oil, Gas &amp; Petrochemicals</x:v>
      </x:c>
      <x:c r="E11611" s="13" t="str">
        <x:v>Oil, Gas &amp; Petrochemicals</x:v>
      </x:c>
      <x:c r="F11611" s="13" t="str">
        <x:v>Deep Cyclicals</x:v>
      </x:c>
      <x:c r="G11611" s="13" t="str">
        <x:v>grid_wbaxp5t0.xlsx</x:v>
      </x:c>
    </x:row>
    <x:row r="11612">
      <x:c r="A11612" s="15" t="n">
        <x:v>45383</x:v>
      </x:c>
      <x:c r="B11612" s="13" t="str">
        <x:v>ULTRAPAR PARTICIPACOES SA</x:v>
      </x:c>
      <x:c r="C11612" s="16" t="n">
        <x:v>2299.8848666301</x:v>
      </x:c>
      <x:c r="D11612" s="13" t="str">
        <x:v>Oil, Gas &amp; Petrochemicals</x:v>
      </x:c>
      <x:c r="E11612" s="13" t="str">
        <x:v>Oil, Gas &amp; Petrochemicals</x:v>
      </x:c>
      <x:c r="F11612" s="13" t="str">
        <x:v>Deep Cyclicals</x:v>
      </x:c>
      <x:c r="G11612" s="13" t="str">
        <x:v>grid_wbaxp5t0.xlsx</x:v>
      </x:c>
    </x:row>
    <x:row r="11613">
      <x:c r="A11613" s="15" t="n">
        <x:v>45383</x:v>
      </x:c>
      <x:c r="B11613" s="13" t="str">
        <x:v>VIBRA ENERGIA SA</x:v>
      </x:c>
      <x:c r="C11613" s="16" t="n">
        <x:v>2687.8140668493</x:v>
      </x:c>
      <x:c r="D11613" s="13" t="str">
        <x:v>Oil, Gas &amp; Petrochemicals</x:v>
      </x:c>
      <x:c r="E11613" s="13" t="str">
        <x:v>Oil, Gas &amp; Petrochemicals</x:v>
      </x:c>
      <x:c r="F11613" s="13" t="str">
        <x:v>Deep Cyclicals</x:v>
      </x:c>
      <x:c r="G11613" s="13" t="str">
        <x:v>grid_wbaxp5t0.xlsx</x:v>
      </x:c>
    </x:row>
    <x:row r="11614">
      <x:c r="A11614" s="15" t="n">
        <x:v>45383</x:v>
      </x:c>
      <x:c r="B11614" s="13" t="str">
        <x:v>DEXCO SA</x:v>
      </x:c>
      <x:c r="C11614" s="16" t="n">
        <x:v>417.6928767123</x:v>
      </x:c>
      <x:c r="D11614" s="13" t="str">
        <x:v>Pulp &amp; Paper</x:v>
      </x:c>
      <x:c r="E11614" s="13" t="str">
        <x:v>Pulp &amp; Paper</x:v>
      </x:c>
      <x:c r="F11614" s="13" t="str">
        <x:v>Deep Cyclicals</x:v>
      </x:c>
      <x:c r="G11614" s="13" t="str">
        <x:v>grid_wbaxp5t0.xlsx</x:v>
      </x:c>
    </x:row>
    <x:row r="11615">
      <x:c r="A11615" s="15" t="n">
        <x:v>45383</x:v>
      </x:c>
      <x:c r="B11615" s="13" t="str">
        <x:v>KLABIN SA - UNIT</x:v>
      </x:c>
      <x:c r="C11615" s="16" t="n">
        <x:v>1863.8681249315</x:v>
      </x:c>
      <x:c r="D11615" s="13" t="str">
        <x:v>Pulp &amp; Paper</x:v>
      </x:c>
      <x:c r="E11615" s="13" t="str">
        <x:v>Pulp &amp; Paper</x:v>
      </x:c>
      <x:c r="F11615" s="13" t="str">
        <x:v>Deep Cyclicals</x:v>
      </x:c>
      <x:c r="G11615" s="13" t="str">
        <x:v>grid_wbaxp5t0.xlsx</x:v>
      </x:c>
    </x:row>
    <x:row r="11616">
      <x:c r="A11616" s="15" t="n">
        <x:v>45383</x:v>
      </x:c>
      <x:c r="B11616" s="13" t="str">
        <x:v>SUZANO SA</x:v>
      </x:c>
      <x:c r="C11616" s="16" t="n">
        <x:v>7134.1367899178</x:v>
      </x:c>
      <x:c r="D11616" s="13" t="str">
        <x:v>Pulp &amp; Paper</x:v>
      </x:c>
      <x:c r="E11616" s="13" t="str">
        <x:v>Pulp &amp; Paper</x:v>
      </x:c>
      <x:c r="F11616" s="13" t="str">
        <x:v>Deep Cyclicals</x:v>
      </x:c>
      <x:c r="G11616" s="13" t="str">
        <x:v>grid_wbaxp5t0.xlsx</x:v>
      </x:c>
    </x:row>
    <x:row r="11617">
      <x:c r="A11617" s="15" t="n">
        <x:v>45383</x:v>
      </x:c>
      <x:c r="B11617" s="13" t="str">
        <x:v>ALPARGATAS SA - PREF</x:v>
      </x:c>
      <x:c r="C11617" s="16" t="n">
        <x:v>320.020435726</x:v>
      </x:c>
      <x:c r="D11617" s="13" t="str">
        <x:v>Retail</x:v>
      </x:c>
      <x:c r="E11617" s="13" t="str">
        <x:v>Retail</x:v>
      </x:c>
      <x:c r="F11617" s="13" t="str">
        <x:v>Early Cyclicals</x:v>
      </x:c>
      <x:c r="G11617" s="13" t="str">
        <x:v>grid_wbaxp5t0.xlsx</x:v>
      </x:c>
    </x:row>
    <x:row r="11618">
      <x:c r="A11618" s="15" t="n">
        <x:v>45383</x:v>
      </x:c>
      <x:c r="B11618" s="13" t="str">
        <x:v>ATACADAO SA</x:v>
      </x:c>
      <x:c r="C11618" s="16" t="n">
        <x:v>1705.2109641644</x:v>
      </x:c>
      <x:c r="D11618" s="13" t="str">
        <x:v>Retail</x:v>
      </x:c>
      <x:c r="E11618" s="13" t="str">
        <x:v>Retail</x:v>
      </x:c>
      <x:c r="F11618" s="13" t="str">
        <x:v>Early Cyclicals</x:v>
      </x:c>
      <x:c r="G11618" s="13" t="str">
        <x:v>grid_wbaxp5t0.xlsx</x:v>
      </x:c>
    </x:row>
    <x:row r="11619">
      <x:c r="A11619" s="15" t="n">
        <x:v>45383</x:v>
      </x:c>
      <x:c r="B11619" s="13" t="str">
        <x:v>AZZAS 2154 SA</x:v>
      </x:c>
      <x:c r="C11619" s="16" t="n">
        <x:v>470.7435094795</x:v>
      </x:c>
      <x:c r="D11619" s="13" t="str">
        <x:v>Retail</x:v>
      </x:c>
      <x:c r="E11619" s="13" t="str">
        <x:v>Retail</x:v>
      </x:c>
      <x:c r="F11619" s="13" t="str">
        <x:v>Early Cyclicals</x:v>
      </x:c>
      <x:c r="G11619" s="13" t="str">
        <x:v>grid_wbaxp5t0.xlsx</x:v>
      </x:c>
    </x:row>
    <x:row r="11620">
      <x:c r="A11620" s="15" t="n">
        <x:v>45383</x:v>
      </x:c>
      <x:c r="B11620" s="13" t="str">
        <x:v>CIA BRASILEIRA DE DISTRIBUIC</x:v>
      </x:c>
      <x:c r="C11620" s="16" t="n">
        <x:v>-355.7174246575</x:v>
      </x:c>
      <x:c r="D11620" s="13" t="str">
        <x:v>Retail</x:v>
      </x:c>
      <x:c r="E11620" s="13" t="str">
        <x:v>Retail</x:v>
      </x:c>
      <x:c r="F11620" s="13" t="str">
        <x:v>Early Cyclicals</x:v>
      </x:c>
      <x:c r="G11620" s="13" t="str">
        <x:v>grid_wbaxp5t0.xlsx</x:v>
      </x:c>
    </x:row>
    <x:row r="11621">
      <x:c r="A11621" s="15" t="n">
        <x:v>45383</x:v>
      </x:c>
      <x:c r="B11621" s="13" t="str">
        <x:v>CVC BRASIL OPERADORA E AGENC</x:v>
      </x:c>
      <x:c r="C11621" s="16" t="n">
        <x:v>41.5270136986</x:v>
      </x:c>
      <x:c r="D11621" s="13" t="str">
        <x:v>Retail</x:v>
      </x:c>
      <x:c r="E11621" s="13" t="str">
        <x:v>Retail</x:v>
      </x:c>
      <x:c r="F11621" s="13" t="str">
        <x:v>Early Cyclicals</x:v>
      </x:c>
      <x:c r="G11621" s="13" t="str">
        <x:v>grid_wbaxp5t0.xlsx</x:v>
      </x:c>
    </x:row>
    <x:row r="11622">
      <x:c r="A11622" s="15" t="n">
        <x:v>45383</x:v>
      </x:c>
      <x:c r="B11622" s="13" t="str">
        <x:v>GRUPO CASAS BAHIA SA</x:v>
      </x:c>
      <x:c r="C11622" s="16" t="n">
        <x:v>-929.7420870137</x:v>
      </x:c>
      <x:c r="D11622" s="13" t="str">
        <x:v>Retail</x:v>
      </x:c>
      <x:c r="E11622" s="13" t="str">
        <x:v>Retail</x:v>
      </x:c>
      <x:c r="F11622" s="13" t="str">
        <x:v>Early Cyclicals</x:v>
      </x:c>
      <x:c r="G11622" s="13" t="str">
        <x:v>grid_wbaxp5t0.xlsx</x:v>
      </x:c>
    </x:row>
    <x:row r="11623">
      <x:c r="A11623" s="15" t="n">
        <x:v>45383</x:v>
      </x:c>
      <x:c r="B11623" s="13" t="str">
        <x:v>GRUPO DE MODA SOMA SA</x:v>
      </x:c>
      <x:c r="C11623" s="16" t="n">
        <x:v>433.3818546849</x:v>
      </x:c>
      <x:c r="D11623" s="13" t="str">
        <x:v>Retail</x:v>
      </x:c>
      <x:c r="E11623" s="13" t="str">
        <x:v>Retail</x:v>
      </x:c>
      <x:c r="F11623" s="13" t="str">
        <x:v>Early Cyclicals</x:v>
      </x:c>
      <x:c r="G11623" s="13" t="str">
        <x:v>grid_wbaxp5t0.xlsx</x:v>
      </x:c>
    </x:row>
    <x:row r="11624">
      <x:c r="A11624" s="15" t="n">
        <x:v>45383</x:v>
      </x:c>
      <x:c r="B11624" s="13" t="str">
        <x:v>LOJAS RENNER S.A.</x:v>
      </x:c>
      <x:c r="C11624" s="16" t="n">
        <x:v>1222.2709269041</x:v>
      </x:c>
      <x:c r="D11624" s="13" t="str">
        <x:v>Retail</x:v>
      </x:c>
      <x:c r="E11624" s="13" t="str">
        <x:v>Retail</x:v>
      </x:c>
      <x:c r="F11624" s="13" t="str">
        <x:v>Early Cyclicals</x:v>
      </x:c>
      <x:c r="G11624" s="13" t="str">
        <x:v>grid_wbaxp5t0.xlsx</x:v>
      </x:c>
    </x:row>
    <x:row r="11625">
      <x:c r="A11625" s="15" t="n">
        <x:v>45383</x:v>
      </x:c>
      <x:c r="B11625" s="13" t="str">
        <x:v>MAGAZINE LUIZA SA</x:v>
      </x:c>
      <x:c r="C11625" s="16" t="n">
        <x:v>382.8894408767</x:v>
      </x:c>
      <x:c r="D11625" s="13" t="str">
        <x:v>Retail</x:v>
      </x:c>
      <x:c r="E11625" s="13" t="str">
        <x:v>Retail</x:v>
      </x:c>
      <x:c r="F11625" s="13" t="str">
        <x:v>Early Cyclicals</x:v>
      </x:c>
      <x:c r="G11625" s="13" t="str">
        <x:v>grid_wbaxp5t0.xlsx</x:v>
      </x:c>
    </x:row>
    <x:row r="11626">
      <x:c r="A11626" s="15" t="n">
        <x:v>45383</x:v>
      </x:c>
      <x:c r="B11626" s="13" t="str">
        <x:v>NATURA &amp;CO HOLDING SA</x:v>
      </x:c>
      <x:c r="C11626" s="16" t="n">
        <x:v>1156.5479232877</x:v>
      </x:c>
      <x:c r="D11626" s="13" t="str">
        <x:v>Retail</x:v>
      </x:c>
      <x:c r="E11626" s="13" t="str">
        <x:v>Retail</x:v>
      </x:c>
      <x:c r="F11626" s="13" t="str">
        <x:v>Early Cyclicals</x:v>
      </x:c>
      <x:c r="G11626" s="13" t="str">
        <x:v>grid_wbaxp5t0.xlsx</x:v>
      </x:c>
    </x:row>
    <x:row r="11627">
      <x:c r="A11627" s="15" t="n">
        <x:v>45383</x:v>
      </x:c>
      <x:c r="B11627" s="13" t="str">
        <x:v>PET CENTER COMERCIO E PARTIC</x:v>
      </x:c>
      <x:c r="C11627" s="16" t="n">
        <x:v>99.1119726027</x:v>
      </x:c>
      <x:c r="D11627" s="13" t="str">
        <x:v>Retail</x:v>
      </x:c>
      <x:c r="E11627" s="13" t="str">
        <x:v>Retail</x:v>
      </x:c>
      <x:c r="F11627" s="13" t="str">
        <x:v>Early Cyclicals</x:v>
      </x:c>
      <x:c r="G11627" s="13" t="str">
        <x:v>grid_wbaxp5t0.xlsx</x:v>
      </x:c>
    </x:row>
    <x:row r="11628">
      <x:c r="A11628" s="15" t="n">
        <x:v>45383</x:v>
      </x:c>
      <x:c r="B11628" s="13" t="str">
        <x:v>RAIA DROGASIL SA</x:v>
      </x:c>
      <x:c r="C11628" s="16" t="n">
        <x:v>1534.6122292603</x:v>
      </x:c>
      <x:c r="D11628" s="13" t="str">
        <x:v>Retail</x:v>
      </x:c>
      <x:c r="E11628" s="13" t="str">
        <x:v>Retail</x:v>
      </x:c>
      <x:c r="F11628" s="13" t="str">
        <x:v>Early Cyclicals</x:v>
      </x:c>
      <x:c r="G11628" s="13" t="str">
        <x:v>grid_wbaxp5t0.xlsx</x:v>
      </x:c>
    </x:row>
    <x:row r="11629">
      <x:c r="A11629" s="15" t="n">
        <x:v>45383</x:v>
      </x:c>
      <x:c r="B11629" s="13" t="str">
        <x:v>SENDAS DISTRIBUIDORA SA</x:v>
      </x:c>
      <x:c r="C11629" s="16" t="n">
        <x:v>1091.3186323288</x:v>
      </x:c>
      <x:c r="D11629" s="13" t="str">
        <x:v>Retail</x:v>
      </x:c>
      <x:c r="E11629" s="13" t="str">
        <x:v>Retail</x:v>
      </x:c>
      <x:c r="F11629" s="13" t="str">
        <x:v>Early Cyclicals</x:v>
      </x:c>
      <x:c r="G11629" s="13" t="str">
        <x:v>grid_wbaxp5t0.xlsx</x:v>
      </x:c>
    </x:row>
    <x:row r="11630">
      <x:c r="A11630" s="15" t="n">
        <x:v>45383</x:v>
      </x:c>
      <x:c r="B11630" s="13" t="str">
        <x:v>CIA SANEAMENTO BASICO DE SP</x:v>
      </x:c>
      <x:c r="C11630" s="16" t="n">
        <x:v>4407.9699883836</x:v>
      </x:c>
      <x:c r="D11630" s="13" t="str">
        <x:v>Sanitation</x:v>
      </x:c>
      <x:c r="E11630" s="13" t="str">
        <x:v>Utilities</x:v>
      </x:c>
      <x:c r="F11630" s="13" t="str">
        <x:v>Defensives</x:v>
      </x:c>
      <x:c r="G11630" s="13" t="str">
        <x:v>grid_wbaxp5t0.xlsx</x:v>
      </x:c>
    </x:row>
    <x:row r="11631">
      <x:c r="A11631" s="15" t="n">
        <x:v>45383</x:v>
      </x:c>
      <x:c r="B11631" s="13" t="str">
        <x:v>LWSA SA</x:v>
      </x:c>
      <x:c r="C11631" s="16" t="n">
        <x:v>108.6539726027</x:v>
      </x:c>
      <x:c r="D11631" s="13" t="str">
        <x:v>TMT</x:v>
      </x:c>
      <x:c r="E11631" s="13" t="str">
        <x:v>TMT</x:v>
      </x:c>
      <x:c r="F11631" s="13" t="str">
        <x:v>Early Cyclicals</x:v>
      </x:c>
      <x:c r="G11631" s="13" t="str">
        <x:v>grid_wbaxp5t0.xlsx</x:v>
      </x:c>
    </x:row>
    <x:row r="11632">
      <x:c r="A11632" s="15" t="n">
        <x:v>45383</x:v>
      </x:c>
      <x:c r="B11632" s="13" t="str">
        <x:v>TIM SA</x:v>
      </x:c>
      <x:c r="C11632" s="16" t="n">
        <x:v>3648.8090196164</x:v>
      </x:c>
      <x:c r="D11632" s="13" t="str">
        <x:v>TMT</x:v>
      </x:c>
      <x:c r="E11632" s="13" t="str">
        <x:v>TMT</x:v>
      </x:c>
      <x:c r="F11632" s="13" t="str">
        <x:v>Early Cyclicals</x:v>
      </x:c>
      <x:c r="G11632" s="13" t="str">
        <x:v>grid_wbaxp5t0.xlsx</x:v>
      </x:c>
    </x:row>
    <x:row r="11633">
      <x:c r="A11633" s="15" t="n">
        <x:v>45383</x:v>
      </x:c>
      <x:c r="B11633" s="13" t="str">
        <x:v>TOTVS SA</x:v>
      </x:c>
      <x:c r="C11633" s="16" t="n">
        <x:v>820.2696355068</x:v>
      </x:c>
      <x:c r="D11633" s="13" t="str">
        <x:v>TMT</x:v>
      </x:c>
      <x:c r="E11633" s="13" t="str">
        <x:v>TMT</x:v>
      </x:c>
      <x:c r="F11633" s="13" t="str">
        <x:v>Early Cyclicals</x:v>
      </x:c>
      <x:c r="G11633" s="13" t="str">
        <x:v>grid_wbaxp5t0.xlsx</x:v>
      </x:c>
    </x:row>
    <x:row r="11634">
      <x:c r="A11634" s="15" t="n">
        <x:v>45383</x:v>
      </x:c>
      <x:c r="B11634" s="13" t="str">
        <x:v>AZUL SA</x:v>
      </x:c>
      <x:c r="C11634" s="16" t="n">
        <x:v>445.5684931507</x:v>
      </x:c>
      <x:c r="D11634" s="13" t="str">
        <x:v>Transportation</x:v>
      </x:c>
      <x:c r="E11634" s="13" t="str">
        <x:v>Transportation</x:v>
      </x:c>
      <x:c r="F11634" s="13" t="str">
        <x:v>Deep Cyclicals</x:v>
      </x:c>
      <x:c r="G11634" s="13" t="str">
        <x:v>grid_wbaxp5t0.xlsx</x:v>
      </x:c>
    </x:row>
    <x:row r="11635">
      <x:c r="A11635" s="15" t="n">
        <x:v>45383</x:v>
      </x:c>
      <x:c r="B11635" s="13" t="str">
        <x:v>LOCALIZA RENT A CAR</x:v>
      </x:c>
      <x:c r="C11635" s="16" t="n">
        <x:v>3814.1034397808</x:v>
      </x:c>
      <x:c r="D11635" s="13" t="str">
        <x:v>Transportation</x:v>
      </x:c>
      <x:c r="E11635" s="13" t="str">
        <x:v>Transportation</x:v>
      </x:c>
      <x:c r="F11635" s="13" t="str">
        <x:v>Deep Cyclicals</x:v>
      </x:c>
      <x:c r="G11635" s="13" t="str">
        <x:v>grid_wbaxp5t0.xlsx</x:v>
      </x:c>
    </x:row>
    <x:row r="11636">
      <x:c r="A11636" s="15" t="n">
        <x:v>45383</x:v>
      </x:c>
      <x:c r="B11636" s="13" t="str">
        <x:v>MOTIVA INFRAESTRUTURA DE MOB</x:v>
      </x:c>
      <x:c r="C11636" s="16" t="n">
        <x:v>1729.8520653151</x:v>
      </x:c>
      <x:c r="D11636" s="13" t="str">
        <x:v>Transportation</x:v>
      </x:c>
      <x:c r="E11636" s="13" t="str">
        <x:v>Transportation</x:v>
      </x:c>
      <x:c r="F11636" s="13" t="str">
        <x:v>Deep Cyclicals</x:v>
      </x:c>
      <x:c r="G11636" s="13" t="str">
        <x:v>grid_wbaxp5t0.xlsx</x:v>
      </x:c>
    </x:row>
    <x:row r="11637">
      <x:c r="A11637" s="15" t="n">
        <x:v>45383</x:v>
      </x:c>
      <x:c r="B11637" s="13" t="str">
        <x:v>RUMO SA</x:v>
      </x:c>
      <x:c r="C11637" s="16" t="n">
        <x:v>2306.1868607123</x:v>
      </x:c>
      <x:c r="D11637" s="13" t="str">
        <x:v>Transportation</x:v>
      </x:c>
      <x:c r="E11637" s="13" t="str">
        <x:v>Transportation</x:v>
      </x:c>
      <x:c r="F11637" s="13" t="str">
        <x:v>Deep Cyclicals</x:v>
      </x:c>
      <x:c r="G11637" s="13" t="str">
        <x:v>grid_wbaxp5t0.xlsx</x:v>
      </x:c>
    </x:row>
    <x:row r="11638">
      <x:c r="A11638" s="15" t="n">
        <x:v>45383</x:v>
      </x:c>
      <x:c r="B11638" s="13" t="str">
        <x:v>VAMOS LOCACAO DE CAMINHOES M</x:v>
      </x:c>
      <x:c r="C11638" s="16" t="n">
        <x:v>1001.4803612055</x:v>
      </x:c>
      <x:c r="D11638" s="13" t="str">
        <x:v>Transportation</x:v>
      </x:c>
      <x:c r="E11638" s="13" t="str">
        <x:v>Transportation</x:v>
      </x:c>
      <x:c r="F11638" s="13" t="str">
        <x:v>Deep Cyclicals</x:v>
      </x:c>
      <x:c r="G11638" s="13" t="str">
        <x:v>grid_wbaxp5t0.xlsx</x:v>
      </x:c>
    </x:row>
    <x:row r="11639">
      <x:c r="A11639" s="15" t="n">
        <x:v>45383</x:v>
      </x:c>
      <x:c r="B11639" s="13" t="str">
        <x:v>AXIA ENERGIA SA</x:v>
      </x:c>
      <x:c r="C11639" s="16" t="n">
        <x:v>9222.2593613151</x:v>
      </x:c>
      <x:c r="D11639" s="13" t="str">
        <x:v>Utilities &amp; Energy</x:v>
      </x:c>
      <x:c r="E11639" s="13" t="str">
        <x:v>Utilities</x:v>
      </x:c>
      <x:c r="F11639" s="13" t="str">
        <x:v>Defensives</x:v>
      </x:c>
      <x:c r="G11639" s="13" t="str">
        <x:v>grid_wbaxp5t0.xlsx</x:v>
      </x:c>
    </x:row>
    <x:row r="11640">
      <x:c r="A11640" s="15" t="n">
        <x:v>45383</x:v>
      </x:c>
      <x:c r="B11640" s="13" t="str">
        <x:v>AXIA ENERGIA-PR B</x:v>
      </x:c>
      <x:c r="C11640" s="16" t="n">
        <x:v>9222.2593613151</x:v>
      </x:c>
      <x:c r="D11640" s="13" t="str">
        <x:v>Utilities &amp; Energy</x:v>
      </x:c>
      <x:c r="E11640" s="13" t="str">
        <x:v>Utilities</x:v>
      </x:c>
      <x:c r="F11640" s="13" t="str">
        <x:v>Defensives</x:v>
      </x:c>
      <x:c r="G11640" s="13" t="str">
        <x:v>grid_wbaxp5t0.xlsx</x:v>
      </x:c>
    </x:row>
    <x:row r="11641">
      <x:c r="A11641" s="15" t="n">
        <x:v>45383</x:v>
      </x:c>
      <x:c r="B11641" s="13" t="str">
        <x:v>CIA ENERGETICA MINAS GER-PRF</x:v>
      </x:c>
      <x:c r="C11641" s="16" t="n">
        <x:v>4593.5092778082</x:v>
      </x:c>
      <x:c r="D11641" s="13" t="str">
        <x:v>Utilities &amp; Energy</x:v>
      </x:c>
      <x:c r="E11641" s="13" t="str">
        <x:v>Utilities</x:v>
      </x:c>
      <x:c r="F11641" s="13" t="str">
        <x:v>Defensives</x:v>
      </x:c>
      <x:c r="G11641" s="13" t="str">
        <x:v>grid_wbaxp5t0.xlsx</x:v>
      </x:c>
    </x:row>
    <x:row r="11642">
      <x:c r="A11642" s="15" t="n">
        <x:v>45383</x:v>
      </x:c>
      <x:c r="B11642" s="13" t="str">
        <x:v>COMPANHIA PARANAENSE -PREF B</x:v>
      </x:c>
      <x:c r="C11642" s="16" t="n">
        <x:v>2149.4133198904</x:v>
      </x:c>
      <x:c r="D11642" s="13" t="str">
        <x:v>Utilities &amp; Energy</x:v>
      </x:c>
      <x:c r="E11642" s="13" t="str">
        <x:v>Utilities</x:v>
      </x:c>
      <x:c r="F11642" s="13" t="str">
        <x:v>Defensives</x:v>
      </x:c>
      <x:c r="G11642" s="13" t="str">
        <x:v>grid_wbaxp5t0.xlsx</x:v>
      </x:c>
    </x:row>
    <x:row r="11643">
      <x:c r="A11643" s="15" t="n">
        <x:v>45383</x:v>
      </x:c>
      <x:c r="B11643" s="13" t="str">
        <x:v>CPFL ENERGIA SA</x:v>
      </x:c>
      <x:c r="C11643" s="16" t="n">
        <x:v>4913.498343452</x:v>
      </x:c>
      <x:c r="D11643" s="13" t="str">
        <x:v>Utilities &amp; Energy</x:v>
      </x:c>
      <x:c r="E11643" s="13" t="str">
        <x:v>Utilities</x:v>
      </x:c>
      <x:c r="F11643" s="13" t="str">
        <x:v>Defensives</x:v>
      </x:c>
      <x:c r="G11643" s="13" t="str">
        <x:v>grid_wbaxp5t0.xlsx</x:v>
      </x:c>
    </x:row>
    <x:row r="11644">
      <x:c r="A11644" s="15" t="n">
        <x:v>45383</x:v>
      </x:c>
      <x:c r="B11644" s="13" t="str">
        <x:v>ENERGISA SA-UNITS</x:v>
      </x:c>
      <x:c r="C11644" s="16" t="n">
        <x:v>1831.0106844931</x:v>
      </x:c>
      <x:c r="D11644" s="13" t="str">
        <x:v>Utilities &amp; Energy</x:v>
      </x:c>
      <x:c r="E11644" s="13" t="str">
        <x:v>Utilities</x:v>
      </x:c>
      <x:c r="F11644" s="13" t="str">
        <x:v>Defensives</x:v>
      </x:c>
      <x:c r="G11644" s="13" t="str">
        <x:v>grid_wbaxp5t0.xlsx</x:v>
      </x:c>
    </x:row>
    <x:row r="11645">
      <x:c r="A11645" s="15" t="n">
        <x:v>45383</x:v>
      </x:c>
      <x:c r="B11645" s="13" t="str">
        <x:v>ENEVA SA</x:v>
      </x:c>
      <x:c r="C11645" s="16" t="n">
        <x:v>398.0650739726</x:v>
      </x:c>
      <x:c r="D11645" s="13" t="str">
        <x:v>Utilities &amp; Energy</x:v>
      </x:c>
      <x:c r="E11645" s="13" t="str">
        <x:v>Utilities</x:v>
      </x:c>
      <x:c r="F11645" s="13" t="str">
        <x:v>Defensives</x:v>
      </x:c>
      <x:c r="G11645" s="13" t="str">
        <x:v>grid_wbaxp5t0.xlsx</x:v>
      </x:c>
    </x:row>
    <x:row r="11646">
      <x:c r="A11646" s="15" t="n">
        <x:v>45383</x:v>
      </x:c>
      <x:c r="B11646" s="13" t="str">
        <x:v>ENGIE BRASIL ENERGIA SA</x:v>
      </x:c>
      <x:c r="C11646" s="16" t="n">
        <x:v>3456.2499682192</x:v>
      </x:c>
      <x:c r="D11646" s="13" t="str">
        <x:v>Utilities &amp; Energy</x:v>
      </x:c>
      <x:c r="E11646" s="13" t="str">
        <x:v>Utilities</x:v>
      </x:c>
      <x:c r="F11646" s="13" t="str">
        <x:v>Defensives</x:v>
      </x:c>
      <x:c r="G11646" s="13" t="str">
        <x:v>grid_wbaxp5t0.xlsx</x:v>
      </x:c>
    </x:row>
    <x:row r="11647">
      <x:c r="A11647" s="15" t="n">
        <x:v>45383</x:v>
      </x:c>
      <x:c r="B11647" s="13" t="str">
        <x:v>EQUATORIAL SA - ORD</x:v>
      </x:c>
      <x:c r="C11647" s="16" t="n">
        <x:v>3224.5531072877</x:v>
      </x:c>
      <x:c r="D11647" s="13" t="str">
        <x:v>Utilities &amp; Energy</x:v>
      </x:c>
      <x:c r="E11647" s="13" t="str">
        <x:v>Utilities</x:v>
      </x:c>
      <x:c r="F11647" s="13" t="str">
        <x:v>Defensives</x:v>
      </x:c>
      <x:c r="G11647" s="13" t="str">
        <x:v>grid_wbaxp5t0.xlsx</x:v>
      </x:c>
    </x:row>
    <x:row r="11648">
      <x:c r="A11648" s="15" t="n">
        <x:v>45383</x:v>
      </x:c>
      <x:c r="B11648" s="13" t="str">
        <x:v>ISA ENERGIA BRASIL SA</x:v>
      </x:c>
      <x:c r="C11648" s="16" t="n">
        <x:v>1823.3564545753</x:v>
      </x:c>
      <x:c r="D11648" s="13" t="str">
        <x:v>Utilities &amp; Energy</x:v>
      </x:c>
      <x:c r="E11648" s="13" t="str">
        <x:v>Utilities</x:v>
      </x:c>
      <x:c r="F11648" s="13" t="str">
        <x:v>Defensives</x:v>
      </x:c>
      <x:c r="G11648" s="13" t="str">
        <x:v>grid_wbaxp5t0.xlsx</x:v>
      </x:c>
    </x:row>
    <x:row r="11649">
      <x:c r="A11649" s="15" t="n">
        <x:v>45383</x:v>
      </x:c>
      <x:c r="B11649" s="13" t="str">
        <x:v>TRANSMISSORA ALIANCA DE-UNIT</x:v>
      </x:c>
      <x:c r="C11649" s="16" t="n">
        <x:v>1192.5224661918</x:v>
      </x:c>
      <x:c r="D11649" s="13" t="str">
        <x:v>Utilities &amp; Energy</x:v>
      </x:c>
      <x:c r="E11649" s="13" t="str">
        <x:v>Utilities</x:v>
      </x:c>
      <x:c r="F11649" s="13" t="str">
        <x:v>Defensives</x:v>
      </x:c>
      <x:c r="G11649" s="13" t="str">
        <x:v>grid_wbaxp5t0.xlsx</x:v>
      </x:c>
    </x:row>
    <x:row r="11650">
      <x:c r="A11650" s="15" t="n">
        <x:v>45413</x:v>
      </x:c>
      <x:c r="B11650" s="13" t="str">
        <x:v>RAIZEN SA - PREFERENCE</x:v>
      </x:c>
      <x:c r="C11650" s="16" t="n">
        <x:v>4130.0515335014</x:v>
      </x:c>
      <x:c r="D11650" s="13" t="str">
        <x:v>Agribusiness</x:v>
      </x:c>
      <x:c r="E11650" s="13" t="str">
        <x:v>Agri, Food &amp; Beverages</x:v>
      </x:c>
      <x:c r="F11650" s="13" t="str">
        <x:v>Defensives</x:v>
      </x:c>
      <x:c r="G11650" s="13" t="str">
        <x:v>grid_wbaxp5t0.xlsx</x:v>
      </x:c>
    </x:row>
    <x:row r="11651">
      <x:c r="A11651" s="15" t="n">
        <x:v>45413</x:v>
      </x:c>
      <x:c r="B11651" s="13" t="str">
        <x:v>SAO MARTINHO SA</x:v>
      </x:c>
      <x:c r="C11651" s="16" t="n">
        <x:v>1262.5645981808</x:v>
      </x:c>
      <x:c r="D11651" s="13" t="str">
        <x:v>Agribusiness</x:v>
      </x:c>
      <x:c r="E11651" s="13" t="str">
        <x:v>Agri, Food &amp; Beverages</x:v>
      </x:c>
      <x:c r="F11651" s="13" t="str">
        <x:v>Defensives</x:v>
      </x:c>
      <x:c r="G11651" s="13" t="str">
        <x:v>grid_wbaxp5t0.xlsx</x:v>
      </x:c>
    </x:row>
    <x:row r="11652">
      <x:c r="A11652" s="15" t="n">
        <x:v>45413</x:v>
      </x:c>
      <x:c r="B11652" s="13" t="str">
        <x:v>SLC AGRICOLA SA</x:v>
      </x:c>
      <x:c r="C11652" s="16" t="n">
        <x:v>922.0656035068</x:v>
      </x:c>
      <x:c r="D11652" s="13" t="str">
        <x:v>Agribusiness</x:v>
      </x:c>
      <x:c r="E11652" s="13" t="str">
        <x:v>Agri, Food &amp; Beverages</x:v>
      </x:c>
      <x:c r="F11652" s="13" t="str">
        <x:v>Defensives</x:v>
      </x:c>
      <x:c r="G11652" s="13" t="str">
        <x:v>grid_wbaxp5t0.xlsx</x:v>
      </x:c>
    </x:row>
    <x:row r="11653">
      <x:c r="A11653" s="15" t="n">
        <x:v>45413</x:v>
      </x:c>
      <x:c r="B11653" s="13" t="str">
        <x:v>BANCO BRADESCO S.A.</x:v>
      </x:c>
      <x:c r="C11653" s="16" t="n">
        <x:v>21187.8020081973</x:v>
      </x:c>
      <x:c r="D11653" s="13" t="str">
        <x:v>Banks</x:v>
      </x:c>
      <x:c r="E11653" s="13" t="str">
        <x:v>Banks</x:v>
      </x:c>
      <x:c r="F11653" s="13" t="str">
        <x:v>Financials</x:v>
      </x:c>
      <x:c r="G11653" s="13" t="str">
        <x:v>grid_wbaxp5t0.xlsx</x:v>
      </x:c>
    </x:row>
    <x:row r="11654">
      <x:c r="A11654" s="15" t="n">
        <x:v>45413</x:v>
      </x:c>
      <x:c r="B11654" s="13" t="str">
        <x:v>BANCO BRADESCO SA-PREF</x:v>
      </x:c>
      <x:c r="C11654" s="16" t="n">
        <x:v>21187.8020081973</x:v>
      </x:c>
      <x:c r="D11654" s="13" t="str">
        <x:v>Banks</x:v>
      </x:c>
      <x:c r="E11654" s="13" t="str">
        <x:v>Banks</x:v>
      </x:c>
      <x:c r="F11654" s="13" t="str">
        <x:v>Financials</x:v>
      </x:c>
      <x:c r="G11654" s="13" t="str">
        <x:v>grid_wbaxp5t0.xlsx</x:v>
      </x:c>
    </x:row>
    <x:row r="11655">
      <x:c r="A11655" s="15" t="n">
        <x:v>45413</x:v>
      </x:c>
      <x:c r="B11655" s="13" t="str">
        <x:v>BANCO BTG PACTUAL SA-UNIT</x:v>
      </x:c>
      <x:c r="C11655" s="16" t="n">
        <x:v>13178.1809278247</x:v>
      </x:c>
      <x:c r="D11655" s="13" t="str">
        <x:v>Banks</x:v>
      </x:c>
      <x:c r="E11655" s="13" t="str">
        <x:v>Banks</x:v>
      </x:c>
      <x:c r="F11655" s="13" t="str">
        <x:v>Financials</x:v>
      </x:c>
      <x:c r="G11655" s="13" t="str">
        <x:v>grid_wbaxp5t0.xlsx</x:v>
      </x:c>
    </x:row>
    <x:row r="11656">
      <x:c r="A11656" s="15" t="n">
        <x:v>45413</x:v>
      </x:c>
      <x:c r="B11656" s="13" t="str">
        <x:v>BANCO DO BRASIL S.A.</x:v>
      </x:c>
      <x:c r="C11656" s="16" t="n">
        <x:v>38640.1080923178</x:v>
      </x:c>
      <x:c r="D11656" s="13" t="str">
        <x:v>Banks</x:v>
      </x:c>
      <x:c r="E11656" s="13" t="str">
        <x:v>Banks</x:v>
      </x:c>
      <x:c r="F11656" s="13" t="str">
        <x:v>Financials</x:v>
      </x:c>
      <x:c r="G11656" s="13" t="str">
        <x:v>grid_wbaxp5t0.xlsx</x:v>
      </x:c>
    </x:row>
    <x:row r="11657">
      <x:c r="A11657" s="15" t="n">
        <x:v>45413</x:v>
      </x:c>
      <x:c r="B11657" s="13" t="str">
        <x:v>BANCO SANTANDER  BRASIL-UNIT</x:v>
      </x:c>
      <x:c r="C11657" s="16" t="n">
        <x:v>14523.9393855123</x:v>
      </x:c>
      <x:c r="D11657" s="13" t="str">
        <x:v>Banks</x:v>
      </x:c>
      <x:c r="E11657" s="13" t="str">
        <x:v>Banks</x:v>
      </x:c>
      <x:c r="F11657" s="13" t="str">
        <x:v>Financials</x:v>
      </x:c>
      <x:c r="G11657" s="13" t="str">
        <x:v>grid_wbaxp5t0.xlsx</x:v>
      </x:c>
    </x:row>
    <x:row r="11658">
      <x:c r="A11658" s="15" t="n">
        <x:v>45413</x:v>
      </x:c>
      <x:c r="B11658" s="13" t="str">
        <x:v>ITAU UNIBANCO HOLDING S-PREF</x:v>
      </x:c>
      <x:c r="C11658" s="16" t="n">
        <x:v>41719.9897838466</x:v>
      </x:c>
      <x:c r="D11658" s="13" t="str">
        <x:v>Banks</x:v>
      </x:c>
      <x:c r="E11658" s="13" t="str">
        <x:v>Banks</x:v>
      </x:c>
      <x:c r="F11658" s="13" t="str">
        <x:v>Financials</x:v>
      </x:c>
      <x:c r="G11658" s="13" t="str">
        <x:v>grid_wbaxp5t0.xlsx</x:v>
      </x:c>
    </x:row>
    <x:row r="11659">
      <x:c r="A11659" s="15" t="n">
        <x:v>45413</x:v>
      </x:c>
      <x:c r="B11659" s="13" t="str">
        <x:v>EMBRAER SA</x:v>
      </x:c>
      <x:c r="C11659" s="16" t="n">
        <x:v>1443.870393863</x:v>
      </x:c>
      <x:c r="D11659" s="13" t="str">
        <x:v>Capital Goods</x:v>
      </x:c>
      <x:c r="E11659" s="13" t="str">
        <x:v>Capital Goods</x:v>
      </x:c>
      <x:c r="F11659" s="13" t="str">
        <x:v>Deep Cyclicals</x:v>
      </x:c>
      <x:c r="G11659" s="13" t="str">
        <x:v>grid_wbaxp5t0.xlsx</x:v>
      </x:c>
    </x:row>
    <x:row r="11660">
      <x:c r="A11660" s="15" t="n">
        <x:v>45413</x:v>
      </x:c>
      <x:c r="B11660" s="13" t="str">
        <x:v>WEG SA</x:v>
      </x:c>
      <x:c r="C11660" s="16" t="n">
        <x:v>5763.9506803726</x:v>
      </x:c>
      <x:c r="D11660" s="13" t="str">
        <x:v>Capital Goods</x:v>
      </x:c>
      <x:c r="E11660" s="13" t="str">
        <x:v>Capital Goods</x:v>
      </x:c>
      <x:c r="F11660" s="13" t="str">
        <x:v>Deep Cyclicals</x:v>
      </x:c>
      <x:c r="G11660" s="13" t="str">
        <x:v>grid_wbaxp5t0.xlsx</x:v>
      </x:c>
    </x:row>
    <x:row r="11661">
      <x:c r="A11661" s="15" t="n">
        <x:v>45413</x:v>
      </x:c>
      <x:c r="B11661" s="13" t="str">
        <x:v>COGNA EDUCACAO</x:v>
      </x:c>
      <x:c r="C11661" s="16" t="n">
        <x:v>382.9660273973</x:v>
      </x:c>
      <x:c r="D11661" s="13" t="str">
        <x:v>Education</x:v>
      </x:c>
      <x:c r="E11661" s="13" t="str">
        <x:v>Education</x:v>
      </x:c>
      <x:c r="F11661" s="13" t="str">
        <x:v>Early Cyclicals</x:v>
      </x:c>
      <x:c r="G11661" s="13" t="str">
        <x:v>grid_wbaxp5t0.xlsx</x:v>
      </x:c>
    </x:row>
    <x:row r="11662">
      <x:c r="A11662" s="15" t="n">
        <x:v>45413</x:v>
      </x:c>
      <x:c r="B11662" s="13" t="str">
        <x:v>YDUQS PARTICIPACOES SA</x:v>
      </x:c>
      <x:c r="C11662" s="16" t="n">
        <x:v>538.8277430356</x:v>
      </x:c>
      <x:c r="D11662" s="13" t="str">
        <x:v>Education</x:v>
      </x:c>
      <x:c r="E11662" s="13" t="str">
        <x:v>Education</x:v>
      </x:c>
      <x:c r="F11662" s="13" t="str">
        <x:v>Early Cyclicals</x:v>
      </x:c>
      <x:c r="G11662" s="13" t="str">
        <x:v>grid_wbaxp5t0.xlsx</x:v>
      </x:c>
    </x:row>
    <x:row r="11663">
      <x:c r="A11663" s="15" t="n">
        <x:v>45413</x:v>
      </x:c>
      <x:c r="B11663" s="13" t="str">
        <x:v>B3 SA-BRASIL BOLSA BALCAO</x:v>
      </x:c>
      <x:c r="C11663" s="16" t="n">
        <x:v>4908.0990537644</x:v>
      </x:c>
      <x:c r="D11663" s="13" t="str">
        <x:v>Financials Non-Banks</x:v>
      </x:c>
      <x:c r="E11663" s="13" t="str">
        <x:v>Financials Non-Banks</x:v>
      </x:c>
      <x:c r="F11663" s="13" t="str">
        <x:v>Financials</x:v>
      </x:c>
      <x:c r="G11663" s="13" t="str">
        <x:v>grid_wbaxp5t0.xlsx</x:v>
      </x:c>
    </x:row>
    <x:row r="11664">
      <x:c r="A11664" s="15" t="n">
        <x:v>45413</x:v>
      </x:c>
      <x:c r="B11664" s="13" t="str">
        <x:v>BB SEGURIDADE PARTICIPACOES</x:v>
      </x:c>
      <x:c r="C11664" s="16" t="n">
        <x:v>8116.227896811</x:v>
      </x:c>
      <x:c r="D11664" s="13" t="str">
        <x:v>Financials Non-Banks</x:v>
      </x:c>
      <x:c r="E11664" s="13" t="str">
        <x:v>Financials Non-Banks</x:v>
      </x:c>
      <x:c r="F11664" s="13" t="str">
        <x:v>Financials</x:v>
      </x:c>
      <x:c r="G11664" s="13" t="str">
        <x:v>grid_wbaxp5t0.xlsx</x:v>
      </x:c>
    </x:row>
    <x:row r="11665">
      <x:c r="A11665" s="15" t="n">
        <x:v>45413</x:v>
      </x:c>
      <x:c r="B11665" s="13" t="str">
        <x:v>CIELO SA - INSTITUICAO DE PA</x:v>
      </x:c>
      <x:c r="C11665" s="16" t="n">
        <x:v>1720.817863189</x:v>
      </x:c>
      <x:c r="D11665" s="13" t="str">
        <x:v>Financials Non-Banks</x:v>
      </x:c>
      <x:c r="E11665" s="13" t="str">
        <x:v>Financials Non-Banks</x:v>
      </x:c>
      <x:c r="F11665" s="13" t="str">
        <x:v>Financials</x:v>
      </x:c>
      <x:c r="G11665" s="13" t="str">
        <x:v>grid_wbaxp5t0.xlsx</x:v>
      </x:c>
    </x:row>
    <x:row r="11666">
      <x:c r="A11666" s="15" t="n">
        <x:v>45413</x:v>
      </x:c>
      <x:c r="B11666" s="13" t="str">
        <x:v>IRB BRASIL RESSEGUROS SA</x:v>
      </x:c>
      <x:c r="C11666" s="16" t="n">
        <x:v>390.4768559342</x:v>
      </x:c>
      <x:c r="D11666" s="13" t="str">
        <x:v>Financials Non-Banks</x:v>
      </x:c>
      <x:c r="E11666" s="13" t="str">
        <x:v>Financials Non-Banks</x:v>
      </x:c>
      <x:c r="F11666" s="13" t="str">
        <x:v>Financials</x:v>
      </x:c>
      <x:c r="G11666" s="13" t="str">
        <x:v>grid_wbaxp5t0.xlsx</x:v>
      </x:c>
    </x:row>
    <x:row r="11667">
      <x:c r="A11667" s="15" t="n">
        <x:v>45413</x:v>
      </x:c>
      <x:c r="B11667" s="13" t="str">
        <x:v>ITAUSA SA</x:v>
      </x:c>
      <x:c r="C11667" s="16" t="n">
        <x:v>16056.6818311014</x:v>
      </x:c>
      <x:c r="D11667" s="13" t="str">
        <x:v>Financials Non-Banks</x:v>
      </x:c>
      <x:c r="E11667" s="13" t="str">
        <x:v>Financials Non-Banks</x:v>
      </x:c>
      <x:c r="F11667" s="13" t="str">
        <x:v>Financials</x:v>
      </x:c>
      <x:c r="G11667" s="13" t="str">
        <x:v>grid_wbaxp5t0.xlsx</x:v>
      </x:c>
    </x:row>
    <x:row r="11668">
      <x:c r="A11668" s="15" t="n">
        <x:v>45413</x:v>
      </x:c>
      <x:c r="B11668" s="13" t="str">
        <x:v>AMBEV SA</x:v>
      </x:c>
      <x:c r="C11668" s="16" t="n">
        <x:v>15059.3629618849</x:v>
      </x:c>
      <x:c r="D11668" s="13" t="str">
        <x:v>Food &amp; Beverages</x:v>
      </x:c>
      <x:c r="E11668" s="13" t="str">
        <x:v>Agri, Food &amp; Beverages</x:v>
      </x:c>
      <x:c r="F11668" s="13" t="str">
        <x:v>Defensives</x:v>
      </x:c>
      <x:c r="G11668" s="13" t="str">
        <x:v>grid_wbaxp5t0.xlsx</x:v>
      </x:c>
    </x:row>
    <x:row r="11669">
      <x:c r="A11669" s="15" t="n">
        <x:v>45413</x:v>
      </x:c>
      <x:c r="B11669" s="13" t="str">
        <x:v>BRF SA</x:v>
      </x:c>
      <x:c r="C11669" s="16" t="n">
        <x:v>1713.8102447343</x:v>
      </x:c>
      <x:c r="D11669" s="13" t="str">
        <x:v>Food &amp; Beverages</x:v>
      </x:c>
      <x:c r="E11669" s="13" t="str">
        <x:v>Agri, Food &amp; Beverages</x:v>
      </x:c>
      <x:c r="F11669" s="13" t="str">
        <x:v>Defensives</x:v>
      </x:c>
      <x:c r="G11669" s="13" t="str">
        <x:v>grid_wbaxp5t0.xlsx</x:v>
      </x:c>
    </x:row>
    <x:row r="11670">
      <x:c r="A11670" s="15" t="n">
        <x:v>45413</x:v>
      </x:c>
      <x:c r="B11670" s="13" t="str">
        <x:v>MBRF GLOBAL FOODS COMPANY SA</x:v>
      </x:c>
      <x:c r="C11670" s="16" t="n">
        <x:v>-44.545890411</x:v>
      </x:c>
      <x:c r="D11670" s="13" t="str">
        <x:v>Food &amp; Beverages</x:v>
      </x:c>
      <x:c r="E11670" s="13" t="str">
        <x:v>Agri, Food &amp; Beverages</x:v>
      </x:c>
      <x:c r="F11670" s="13" t="str">
        <x:v>Defensives</x:v>
      </x:c>
      <x:c r="G11670" s="13" t="str">
        <x:v>grid_wbaxp5t0.xlsx</x:v>
      </x:c>
    </x:row>
    <x:row r="11671">
      <x:c r="A11671" s="15" t="n">
        <x:v>45413</x:v>
      </x:c>
      <x:c r="B11671" s="13" t="str">
        <x:v>MINERVA SA</x:v>
      </x:c>
      <x:c r="C11671" s="16" t="n">
        <x:v>596.9811156164</x:v>
      </x:c>
      <x:c r="D11671" s="13" t="str">
        <x:v>Food &amp; Beverages</x:v>
      </x:c>
      <x:c r="E11671" s="13" t="str">
        <x:v>Agri, Food &amp; Beverages</x:v>
      </x:c>
      <x:c r="F11671" s="13" t="str">
        <x:v>Defensives</x:v>
      </x:c>
      <x:c r="G11671" s="13" t="str">
        <x:v>grid_wbaxp5t0.xlsx</x:v>
      </x:c>
    </x:row>
    <x:row r="11672">
      <x:c r="A11672" s="15" t="n">
        <x:v>45413</x:v>
      </x:c>
      <x:c r="B11672" s="13" t="str">
        <x:v>FLEURY SA</x:v>
      </x:c>
      <x:c r="C11672" s="16" t="n">
        <x:v>684.5309184</x:v>
      </x:c>
      <x:c r="D11672" s="13" t="str">
        <x:v>Health Care</x:v>
      </x:c>
      <x:c r="E11672" s="13" t="str">
        <x:v>Health Care</x:v>
      </x:c>
      <x:c r="F11672" s="13" t="str">
        <x:v>Defensives</x:v>
      </x:c>
      <x:c r="G11672" s="13" t="str">
        <x:v>grid_wbaxp5t0.xlsx</x:v>
      </x:c>
    </x:row>
    <x:row r="11673">
      <x:c r="A11673" s="15" t="n">
        <x:v>45413</x:v>
      </x:c>
      <x:c r="B11673" s="13" t="str">
        <x:v>HAPVIDA PARTICIPACOES E INVE</x:v>
      </x:c>
      <x:c r="C11673" s="16" t="n">
        <x:v>1406.505938411</x:v>
      </x:c>
      <x:c r="D11673" s="13" t="str">
        <x:v>Health Care</x:v>
      </x:c>
      <x:c r="E11673" s="13" t="str">
        <x:v>Health Care</x:v>
      </x:c>
      <x:c r="F11673" s="13" t="str">
        <x:v>Defensives</x:v>
      </x:c>
      <x:c r="G11673" s="13" t="str">
        <x:v>grid_wbaxp5t0.xlsx</x:v>
      </x:c>
    </x:row>
    <x:row r="11674">
      <x:c r="A11674" s="15" t="n">
        <x:v>45413</x:v>
      </x:c>
      <x:c r="B11674" s="13" t="str">
        <x:v>HYPERA SA</x:v>
      </x:c>
      <x:c r="C11674" s="16" t="n">
        <x:v>1942.9402287343</x:v>
      </x:c>
      <x:c r="D11674" s="13" t="str">
        <x:v>Health Care</x:v>
      </x:c>
      <x:c r="E11674" s="13" t="str">
        <x:v>Health Care</x:v>
      </x:c>
      <x:c r="F11674" s="13" t="str">
        <x:v>Defensives</x:v>
      </x:c>
      <x:c r="G11674" s="13" t="str">
        <x:v>grid_wbaxp5t0.xlsx</x:v>
      </x:c>
    </x:row>
    <x:row r="11675">
      <x:c r="A11675" s="15" t="n">
        <x:v>45413</x:v>
      </x:c>
      <x:c r="B11675" s="13" t="str">
        <x:v>REDE D'OR SAO LUIZ SA</x:v>
      </x:c>
      <x:c r="C11675" s="16" t="n">
        <x:v>3373.0757603945</x:v>
      </x:c>
      <x:c r="D11675" s="13" t="str">
        <x:v>Health Care</x:v>
      </x:c>
      <x:c r="E11675" s="13" t="str">
        <x:v>Health Care</x:v>
      </x:c>
      <x:c r="F11675" s="13" t="str">
        <x:v>Defensives</x:v>
      </x:c>
      <x:c r="G11675" s="13" t="str">
        <x:v>grid_wbaxp5t0.xlsx</x:v>
      </x:c>
    </x:row>
    <x:row r="11676">
      <x:c r="A11676" s="15" t="n">
        <x:v>45413</x:v>
      </x:c>
      <x:c r="B11676" s="13" t="str">
        <x:v>CYRELA BRAZIL REALTY SA EMP</x:v>
      </x:c>
      <x:c r="C11676" s="16" t="n">
        <x:v>1378.3396352</x:v>
      </x:c>
      <x:c r="D11676" s="13" t="str">
        <x:v>Homebuilders</x:v>
      </x:c>
      <x:c r="E11676" s="13" t="str">
        <x:v>Real Estate</x:v>
      </x:c>
      <x:c r="F11676" s="13" t="str">
        <x:v>Early Cyclicals</x:v>
      </x:c>
      <x:c r="G11676" s="13" t="str">
        <x:v>grid_wbaxp5t0.xlsx</x:v>
      </x:c>
    </x:row>
    <x:row r="11677">
      <x:c r="A11677" s="15" t="n">
        <x:v>45413</x:v>
      </x:c>
      <x:c r="B11677" s="13" t="str">
        <x:v>EZ TEC EMPREENDIMENTOS E PAR</x:v>
      </x:c>
      <x:c r="C11677" s="16" t="n">
        <x:v>354.2</x:v>
      </x:c>
      <x:c r="D11677" s="13" t="str">
        <x:v>Homebuilders</x:v>
      </x:c>
      <x:c r="E11677" s="13" t="str">
        <x:v>Real Estate</x:v>
      </x:c>
      <x:c r="F11677" s="13" t="str">
        <x:v>Early Cyclicals</x:v>
      </x:c>
      <x:c r="G11677" s="13" t="str">
        <x:v>grid_wbaxp5t0.xlsx</x:v>
      </x:c>
    </x:row>
    <x:row r="11678">
      <x:c r="A11678" s="15" t="n">
        <x:v>45413</x:v>
      </x:c>
      <x:c r="B11678" s="13" t="str">
        <x:v>MRV ENGENHARIA</x:v>
      </x:c>
      <x:c r="C11678" s="16" t="n">
        <x:v>478.0775841315</x:v>
      </x:c>
      <x:c r="D11678" s="13" t="str">
        <x:v>Homebuilders</x:v>
      </x:c>
      <x:c r="E11678" s="13" t="str">
        <x:v>Real Estate</x:v>
      </x:c>
      <x:c r="F11678" s="13" t="str">
        <x:v>Early Cyclicals</x:v>
      </x:c>
      <x:c r="G11678" s="13" t="str">
        <x:v>grid_wbaxp5t0.xlsx</x:v>
      </x:c>
    </x:row>
    <x:row r="11679">
      <x:c r="A11679" s="15" t="n">
        <x:v>45413</x:v>
      </x:c>
      <x:c r="B11679" s="13" t="str">
        <x:v>ALLOS SA</x:v>
      </x:c>
      <x:c r="C11679" s="16" t="n">
        <x:v>715.0395011507</x:v>
      </x:c>
      <x:c r="D11679" s="13" t="str">
        <x:v>Income Properties</x:v>
      </x:c>
      <x:c r="E11679" s="13" t="str">
        <x:v>Real Estate</x:v>
      </x:c>
      <x:c r="F11679" s="13" t="str">
        <x:v>Early Cyclicals</x:v>
      </x:c>
      <x:c r="G11679" s="13" t="str">
        <x:v>grid_wbaxp5t0.xlsx</x:v>
      </x:c>
    </x:row>
    <x:row r="11680">
      <x:c r="A11680" s="15" t="n">
        <x:v>45413</x:v>
      </x:c>
      <x:c r="B11680" s="13" t="str">
        <x:v>IGUATEMI SA - UNITS</x:v>
      </x:c>
      <x:c r="C11680" s="16" t="n">
        <x:v>512.4662896219</x:v>
      </x:c>
      <x:c r="D11680" s="13" t="str">
        <x:v>Income Properties</x:v>
      </x:c>
      <x:c r="E11680" s="13" t="str">
        <x:v>Real Estate</x:v>
      </x:c>
      <x:c r="F11680" s="13" t="str">
        <x:v>Early Cyclicals</x:v>
      </x:c>
      <x:c r="G11680" s="13" t="str">
        <x:v>grid_wbaxp5t0.xlsx</x:v>
      </x:c>
    </x:row>
    <x:row r="11681">
      <x:c r="A11681" s="15" t="n">
        <x:v>45413</x:v>
      </x:c>
      <x:c r="B11681" s="13" t="str">
        <x:v>MULTIPLAN EMPREENDIMENTOS</x:v>
      </x:c>
      <x:c r="C11681" s="16" t="n">
        <x:v>1161.0528143781</x:v>
      </x:c>
      <x:c r="D11681" s="13" t="str">
        <x:v>Income Properties</x:v>
      </x:c>
      <x:c r="E11681" s="13" t="str">
        <x:v>Real Estate</x:v>
      </x:c>
      <x:c r="F11681" s="13" t="str">
        <x:v>Early Cyclicals</x:v>
      </x:c>
      <x:c r="G11681" s="13" t="str">
        <x:v>grid_wbaxp5t0.xlsx</x:v>
      </x:c>
    </x:row>
    <x:row r="11682">
      <x:c r="A11682" s="15" t="n">
        <x:v>45413</x:v>
      </x:c>
      <x:c r="B11682" s="13" t="str">
        <x:v>BRADESPAR SA -PREF</x:v>
      </x:c>
      <x:c r="C11682" s="16" t="n">
        <x:v>1594.295890411</x:v>
      </x:c>
      <x:c r="D11682" s="13" t="str">
        <x:v>Metals &amp; Mining</x:v>
      </x:c>
      <x:c r="E11682" s="13" t="str">
        <x:v>Metals &amp; Mining</x:v>
      </x:c>
      <x:c r="F11682" s="13" t="str">
        <x:v>Deep Cyclicals</x:v>
      </x:c>
      <x:c r="G11682" s="13" t="str">
        <x:v>grid_wbaxp5t0.xlsx</x:v>
      </x:c>
    </x:row>
    <x:row r="11683">
      <x:c r="A11683" s="15" t="n">
        <x:v>45413</x:v>
      </x:c>
      <x:c r="B11683" s="13" t="str">
        <x:v>CIA SIDERURGICA NACIONAL SA</x:v>
      </x:c>
      <x:c r="C11683" s="16" t="n">
        <x:v>2049.9644401973</x:v>
      </x:c>
      <x:c r="D11683" s="13" t="str">
        <x:v>Metals &amp; Mining</x:v>
      </x:c>
      <x:c r="E11683" s="13" t="str">
        <x:v>Metals &amp; Mining</x:v>
      </x:c>
      <x:c r="F11683" s="13" t="str">
        <x:v>Deep Cyclicals</x:v>
      </x:c>
      <x:c r="G11683" s="13" t="str">
        <x:v>grid_wbaxp5t0.xlsx</x:v>
      </x:c>
    </x:row>
    <x:row r="11684">
      <x:c r="A11684" s="15" t="n">
        <x:v>45413</x:v>
      </x:c>
      <x:c r="B11684" s="13" t="str">
        <x:v>CSN MINERACAO SA</x:v>
      </x:c>
      <x:c r="C11684" s="16" t="n">
        <x:v>2430.4286976</x:v>
      </x:c>
      <x:c r="D11684" s="13" t="str">
        <x:v>Metals &amp; Mining</x:v>
      </x:c>
      <x:c r="E11684" s="13" t="str">
        <x:v>Metals &amp; Mining</x:v>
      </x:c>
      <x:c r="F11684" s="13" t="str">
        <x:v>Deep Cyclicals</x:v>
      </x:c>
      <x:c r="G11684" s="13" t="str">
        <x:v>grid_wbaxp5t0.xlsx</x:v>
      </x:c>
    </x:row>
    <x:row r="11685">
      <x:c r="A11685" s="15" t="n">
        <x:v>45413</x:v>
      </x:c>
      <x:c r="B11685" s="13" t="str">
        <x:v>GERDAU SA-PREF</x:v>
      </x:c>
      <x:c r="C11685" s="16" t="n">
        <x:v>5613.3559829041</x:v>
      </x:c>
      <x:c r="D11685" s="13" t="str">
        <x:v>Metals &amp; Mining</x:v>
      </x:c>
      <x:c r="E11685" s="13" t="str">
        <x:v>Metals &amp; Mining</x:v>
      </x:c>
      <x:c r="F11685" s="13" t="str">
        <x:v>Deep Cyclicals</x:v>
      </x:c>
      <x:c r="G11685" s="13" t="str">
        <x:v>grid_wbaxp5t0.xlsx</x:v>
      </x:c>
    </x:row>
    <x:row r="11686">
      <x:c r="A11686" s="15" t="n">
        <x:v>45413</x:v>
      </x:c>
      <x:c r="B11686" s="13" t="str">
        <x:v>METALURGICA GERDAU SA-PREF</x:v>
      </x:c>
      <x:c r="C11686" s="16" t="n">
        <x:v>2067.876685852</x:v>
      </x:c>
      <x:c r="D11686" s="13" t="str">
        <x:v>Metals &amp; Mining</x:v>
      </x:c>
      <x:c r="E11686" s="13" t="str">
        <x:v>Metals &amp; Mining</x:v>
      </x:c>
      <x:c r="F11686" s="13" t="str">
        <x:v>Deep Cyclicals</x:v>
      </x:c>
      <x:c r="G11686" s="13" t="str">
        <x:v>grid_wbaxp5t0.xlsx</x:v>
      </x:c>
    </x:row>
    <x:row r="11687">
      <x:c r="A11687" s="15" t="n">
        <x:v>45413</x:v>
      </x:c>
      <x:c r="B11687" s="13" t="str">
        <x:v>USINAS SIDER MINAS GER-PF A</x:v>
      </x:c>
      <x:c r="C11687" s="16" t="n">
        <x:v>1247.2255456438</x:v>
      </x:c>
      <x:c r="D11687" s="13" t="str">
        <x:v>Metals &amp; Mining</x:v>
      </x:c>
      <x:c r="E11687" s="13" t="str">
        <x:v>Metals &amp; Mining</x:v>
      </x:c>
      <x:c r="F11687" s="13" t="str">
        <x:v>Deep Cyclicals</x:v>
      </x:c>
      <x:c r="G11687" s="13" t="str">
        <x:v>grid_wbaxp5t0.xlsx</x:v>
      </x:c>
    </x:row>
    <x:row r="11688">
      <x:c r="A11688" s="15" t="n">
        <x:v>45413</x:v>
      </x:c>
      <x:c r="B11688" s="13" t="str">
        <x:v>VALE SA</x:v>
      </x:c>
      <x:c r="C11688" s="16" t="n">
        <x:v>46448.8125257644</x:v>
      </x:c>
      <x:c r="D11688" s="13" t="str">
        <x:v>Metals &amp; Mining</x:v>
      </x:c>
      <x:c r="E11688" s="13" t="str">
        <x:v>Metals &amp; Mining</x:v>
      </x:c>
      <x:c r="F11688" s="13" t="str">
        <x:v>Deep Cyclicals</x:v>
      </x:c>
      <x:c r="G11688" s="13" t="str">
        <x:v>grid_wbaxp5t0.xlsx</x:v>
      </x:c>
    </x:row>
    <x:row r="11689">
      <x:c r="A11689" s="15" t="n">
        <x:v>45413</x:v>
      </x:c>
      <x:c r="B11689" s="13" t="str">
        <x:v>BRASKEM SA-PREF A</x:v>
      </x:c>
      <x:c r="C11689" s="16" t="n">
        <x:v>-1310.9073627178</x:v>
      </x:c>
      <x:c r="D11689" s="13" t="str">
        <x:v>Oil, Gas &amp; Petrochemicals</x:v>
      </x:c>
      <x:c r="E11689" s="13" t="str">
        <x:v>Oil, Gas &amp; Petrochemicals</x:v>
      </x:c>
      <x:c r="F11689" s="13" t="str">
        <x:v>Deep Cyclicals</x:v>
      </x:c>
      <x:c r="G11689" s="13" t="str">
        <x:v>grid_wbaxp5t0.xlsx</x:v>
      </x:c>
    </x:row>
    <x:row r="11690">
      <x:c r="A11690" s="15" t="n">
        <x:v>45413</x:v>
      </x:c>
      <x:c r="B11690" s="13" t="str">
        <x:v>BRAVA ENERGIA</x:v>
      </x:c>
      <x:c r="C11690" s="16" t="n">
        <x:v>1960.4913025753</x:v>
      </x:c>
      <x:c r="D11690" s="13" t="str">
        <x:v>Oil, Gas &amp; Petrochemicals</x:v>
      </x:c>
      <x:c r="E11690" s="13" t="str">
        <x:v>Oil, Gas &amp; Petrochemicals</x:v>
      </x:c>
      <x:c r="F11690" s="13" t="str">
        <x:v>Deep Cyclicals</x:v>
      </x:c>
      <x:c r="G11690" s="13" t="str">
        <x:v>grid_wbaxp5t0.xlsx</x:v>
      </x:c>
    </x:row>
    <x:row r="11691">
      <x:c r="A11691" s="15" t="n">
        <x:v>45413</x:v>
      </x:c>
      <x:c r="B11691" s="13" t="str">
        <x:v>COSAN SA</x:v>
      </x:c>
      <x:c r="C11691" s="16" t="n">
        <x:v>2748.3803535781</x:v>
      </x:c>
      <x:c r="D11691" s="13" t="str">
        <x:v>Oil, Gas &amp; Petrochemicals</x:v>
      </x:c>
      <x:c r="E11691" s="13" t="str">
        <x:v>Oil, Gas &amp; Petrochemicals</x:v>
      </x:c>
      <x:c r="F11691" s="13" t="str">
        <x:v>Deep Cyclicals</x:v>
      </x:c>
      <x:c r="G11691" s="13" t="str">
        <x:v>grid_wbaxp5t0.xlsx</x:v>
      </x:c>
    </x:row>
    <x:row r="11692">
      <x:c r="A11692" s="15" t="n">
        <x:v>45413</x:v>
      </x:c>
      <x:c r="B11692" s="13" t="str">
        <x:v>PETROBRAS - PETROLEO BRAS</x:v>
      </x:c>
      <x:c r="C11692" s="16" t="n">
        <x:v>112242.988769841</x:v>
      </x:c>
      <x:c r="D11692" s="13" t="str">
        <x:v>Oil, Gas &amp; Petrochemicals</x:v>
      </x:c>
      <x:c r="E11692" s="13" t="str">
        <x:v>Oil, Gas &amp; Petrochemicals</x:v>
      </x:c>
      <x:c r="F11692" s="13" t="str">
        <x:v>Deep Cyclicals</x:v>
      </x:c>
      <x:c r="G11692" s="13" t="str">
        <x:v>grid_wbaxp5t0.xlsx</x:v>
      </x:c>
    </x:row>
    <x:row r="11693">
      <x:c r="A11693" s="15" t="n">
        <x:v>45413</x:v>
      </x:c>
      <x:c r="B11693" s="13" t="str">
        <x:v>PETRORECONCAVO SA</x:v>
      </x:c>
      <x:c r="C11693" s="16" t="n">
        <x:v>1316.0345207233</x:v>
      </x:c>
      <x:c r="D11693" s="13" t="str">
        <x:v>Oil, Gas &amp; Petrochemicals</x:v>
      </x:c>
      <x:c r="E11693" s="13" t="str">
        <x:v>Oil, Gas &amp; Petrochemicals</x:v>
      </x:c>
      <x:c r="F11693" s="13" t="str">
        <x:v>Deep Cyclicals</x:v>
      </x:c>
      <x:c r="G11693" s="13" t="str">
        <x:v>grid_wbaxp5t0.xlsx</x:v>
      </x:c>
    </x:row>
    <x:row r="11694">
      <x:c r="A11694" s="15" t="n">
        <x:v>45413</x:v>
      </x:c>
      <x:c r="B11694" s="13" t="str">
        <x:v>PRIO SA</x:v>
      </x:c>
      <x:c r="C11694" s="16" t="n">
        <x:v>7400.5059612055</x:v>
      </x:c>
      <x:c r="D11694" s="13" t="str">
        <x:v>Oil, Gas &amp; Petrochemicals</x:v>
      </x:c>
      <x:c r="E11694" s="13" t="str">
        <x:v>Oil, Gas &amp; Petrochemicals</x:v>
      </x:c>
      <x:c r="F11694" s="13" t="str">
        <x:v>Deep Cyclicals</x:v>
      </x:c>
      <x:c r="G11694" s="13" t="str">
        <x:v>grid_wbaxp5t0.xlsx</x:v>
      </x:c>
    </x:row>
    <x:row r="11695">
      <x:c r="A11695" s="15" t="n">
        <x:v>45413</x:v>
      </x:c>
      <x:c r="B11695" s="13" t="str">
        <x:v>ULTRAPAR PARTICIPACOES SA</x:v>
      </x:c>
      <x:c r="C11695" s="16" t="n">
        <x:v>2291.4165100712</x:v>
      </x:c>
      <x:c r="D11695" s="13" t="str">
        <x:v>Oil, Gas &amp; Petrochemicals</x:v>
      </x:c>
      <x:c r="E11695" s="13" t="str">
        <x:v>Oil, Gas &amp; Petrochemicals</x:v>
      </x:c>
      <x:c r="F11695" s="13" t="str">
        <x:v>Deep Cyclicals</x:v>
      </x:c>
      <x:c r="G11695" s="13" t="str">
        <x:v>grid_wbaxp5t0.xlsx</x:v>
      </x:c>
    </x:row>
    <x:row r="11696">
      <x:c r="A11696" s="15" t="n">
        <x:v>45413</x:v>
      </x:c>
      <x:c r="B11696" s="13" t="str">
        <x:v>VIBRA ENERGIA SA</x:v>
      </x:c>
      <x:c r="C11696" s="16" t="n">
        <x:v>2846.5808594411</x:v>
      </x:c>
      <x:c r="D11696" s="13" t="str">
        <x:v>Oil, Gas &amp; Petrochemicals</x:v>
      </x:c>
      <x:c r="E11696" s="13" t="str">
        <x:v>Oil, Gas &amp; Petrochemicals</x:v>
      </x:c>
      <x:c r="F11696" s="13" t="str">
        <x:v>Deep Cyclicals</x:v>
      </x:c>
      <x:c r="G11696" s="13" t="str">
        <x:v>grid_wbaxp5t0.xlsx</x:v>
      </x:c>
    </x:row>
    <x:row r="11697">
      <x:c r="A11697" s="15" t="n">
        <x:v>45413</x:v>
      </x:c>
      <x:c r="B11697" s="13" t="str">
        <x:v>DEXCO SA</x:v>
      </x:c>
      <x:c r="C11697" s="16" t="n">
        <x:v>431.0616438356</x:v>
      </x:c>
      <x:c r="D11697" s="13" t="str">
        <x:v>Pulp &amp; Paper</x:v>
      </x:c>
      <x:c r="E11697" s="13" t="str">
        <x:v>Pulp &amp; Paper</x:v>
      </x:c>
      <x:c r="F11697" s="13" t="str">
        <x:v>Deep Cyclicals</x:v>
      </x:c>
      <x:c r="G11697" s="13" t="str">
        <x:v>grid_wbaxp5t0.xlsx</x:v>
      </x:c>
    </x:row>
    <x:row r="11698">
      <x:c r="A11698" s="15" t="n">
        <x:v>45413</x:v>
      </x:c>
      <x:c r="B11698" s="13" t="str">
        <x:v>KLABIN SA - UNIT</x:v>
      </x:c>
      <x:c r="C11698" s="16" t="n">
        <x:v>2067.5073178301</x:v>
      </x:c>
      <x:c r="D11698" s="13" t="str">
        <x:v>Pulp &amp; Paper</x:v>
      </x:c>
      <x:c r="E11698" s="13" t="str">
        <x:v>Pulp &amp; Paper</x:v>
      </x:c>
      <x:c r="F11698" s="13" t="str">
        <x:v>Deep Cyclicals</x:v>
      </x:c>
      <x:c r="G11698" s="13" t="str">
        <x:v>grid_wbaxp5t0.xlsx</x:v>
      </x:c>
    </x:row>
    <x:row r="11699">
      <x:c r="A11699" s="15" t="n">
        <x:v>45413</x:v>
      </x:c>
      <x:c r="B11699" s="13" t="str">
        <x:v>SUZANO SA</x:v>
      </x:c>
      <x:c r="C11699" s="16" t="n">
        <x:v>7694.912064526</x:v>
      </x:c>
      <x:c r="D11699" s="13" t="str">
        <x:v>Pulp &amp; Paper</x:v>
      </x:c>
      <x:c r="E11699" s="13" t="str">
        <x:v>Pulp &amp; Paper</x:v>
      </x:c>
      <x:c r="F11699" s="13" t="str">
        <x:v>Deep Cyclicals</x:v>
      </x:c>
      <x:c r="G11699" s="13" t="str">
        <x:v>grid_wbaxp5t0.xlsx</x:v>
      </x:c>
    </x:row>
    <x:row r="11700">
      <x:c r="A11700" s="15" t="n">
        <x:v>45413</x:v>
      </x:c>
      <x:c r="B11700" s="13" t="str">
        <x:v>ALPARGATAS SA - PREF</x:v>
      </x:c>
      <x:c r="C11700" s="16" t="n">
        <x:v>349.2595019397</x:v>
      </x:c>
      <x:c r="D11700" s="13" t="str">
        <x:v>Retail</x:v>
      </x:c>
      <x:c r="E11700" s="13" t="str">
        <x:v>Retail</x:v>
      </x:c>
      <x:c r="F11700" s="13" t="str">
        <x:v>Early Cyclicals</x:v>
      </x:c>
      <x:c r="G11700" s="13" t="str">
        <x:v>grid_wbaxp5t0.xlsx</x:v>
      </x:c>
    </x:row>
    <x:row r="11701">
      <x:c r="A11701" s="15" t="n">
        <x:v>45413</x:v>
      </x:c>
      <x:c r="B11701" s="13" t="str">
        <x:v>ATACADAO SA</x:v>
      </x:c>
      <x:c r="C11701" s="16" t="n">
        <x:v>1645.3414947068</x:v>
      </x:c>
      <x:c r="D11701" s="13" t="str">
        <x:v>Retail</x:v>
      </x:c>
      <x:c r="E11701" s="13" t="str">
        <x:v>Retail</x:v>
      </x:c>
      <x:c r="F11701" s="13" t="str">
        <x:v>Early Cyclicals</x:v>
      </x:c>
      <x:c r="G11701" s="13" t="str">
        <x:v>grid_wbaxp5t0.xlsx</x:v>
      </x:c>
    </x:row>
    <x:row r="11702">
      <x:c r="A11702" s="15" t="n">
        <x:v>45413</x:v>
      </x:c>
      <x:c r="B11702" s="13" t="str">
        <x:v>AZZAS 2154 SA</x:v>
      </x:c>
      <x:c r="C11702" s="16" t="n">
        <x:v>468.1330788822</x:v>
      </x:c>
      <x:c r="D11702" s="13" t="str">
        <x:v>Retail</x:v>
      </x:c>
      <x:c r="E11702" s="13" t="str">
        <x:v>Retail</x:v>
      </x:c>
      <x:c r="F11702" s="13" t="str">
        <x:v>Early Cyclicals</x:v>
      </x:c>
      <x:c r="G11702" s="13" t="str">
        <x:v>grid_wbaxp5t0.xlsx</x:v>
      </x:c>
    </x:row>
    <x:row r="11703">
      <x:c r="A11703" s="15" t="n">
        <x:v>45413</x:v>
      </x:c>
      <x:c r="B11703" s="13" t="str">
        <x:v>CIA BRASILEIRA DE DISTRIBUIC</x:v>
      </x:c>
      <x:c r="C11703" s="16" t="n">
        <x:v>-364.1407240329</x:v>
      </x:c>
      <x:c r="D11703" s="13" t="str">
        <x:v>Retail</x:v>
      </x:c>
      <x:c r="E11703" s="13" t="str">
        <x:v>Retail</x:v>
      </x:c>
      <x:c r="F11703" s="13" t="str">
        <x:v>Early Cyclicals</x:v>
      </x:c>
      <x:c r="G11703" s="13" t="str">
        <x:v>grid_wbaxp5t0.xlsx</x:v>
      </x:c>
    </x:row>
    <x:row r="11704">
      <x:c r="A11704" s="15" t="n">
        <x:v>45413</x:v>
      </x:c>
      <x:c r="B11704" s="13" t="str">
        <x:v>CVC BRASIL OPERADORA E AGENC</x:v>
      </x:c>
      <x:c r="C11704" s="16" t="n">
        <x:v>34.4457671233</x:v>
      </x:c>
      <x:c r="D11704" s="13" t="str">
        <x:v>Retail</x:v>
      </x:c>
      <x:c r="E11704" s="13" t="str">
        <x:v>Retail</x:v>
      </x:c>
      <x:c r="F11704" s="13" t="str">
        <x:v>Early Cyclicals</x:v>
      </x:c>
      <x:c r="G11704" s="13" t="str">
        <x:v>grid_wbaxp5t0.xlsx</x:v>
      </x:c>
    </x:row>
    <x:row r="11705">
      <x:c r="A11705" s="15" t="n">
        <x:v>45413</x:v>
      </x:c>
      <x:c r="B11705" s="13" t="str">
        <x:v>GRUPO DE MODA SOMA SA</x:v>
      </x:c>
      <x:c r="C11705" s="16" t="n">
        <x:v>421.7321984</x:v>
      </x:c>
      <x:c r="D11705" s="13" t="str">
        <x:v>Retail</x:v>
      </x:c>
      <x:c r="E11705" s="13" t="str">
        <x:v>Retail</x:v>
      </x:c>
      <x:c r="F11705" s="13" t="str">
        <x:v>Early Cyclicals</x:v>
      </x:c>
      <x:c r="G11705" s="13" t="str">
        <x:v>grid_wbaxp5t0.xlsx</x:v>
      </x:c>
    </x:row>
    <x:row r="11706">
      <x:c r="A11706" s="15" t="n">
        <x:v>45413</x:v>
      </x:c>
      <x:c r="B11706" s="13" t="str">
        <x:v>LOJAS RENNER S.A.</x:v>
      </x:c>
      <x:c r="C11706" s="16" t="n">
        <x:v>1192.488082937</x:v>
      </x:c>
      <x:c r="D11706" s="13" t="str">
        <x:v>Retail</x:v>
      </x:c>
      <x:c r="E11706" s="13" t="str">
        <x:v>Retail</x:v>
      </x:c>
      <x:c r="F11706" s="13" t="str">
        <x:v>Early Cyclicals</x:v>
      </x:c>
      <x:c r="G11706" s="13" t="str">
        <x:v>grid_wbaxp5t0.xlsx</x:v>
      </x:c>
    </x:row>
    <x:row r="11707">
      <x:c r="A11707" s="15" t="n">
        <x:v>45413</x:v>
      </x:c>
      <x:c r="B11707" s="13" t="str">
        <x:v>MAGAZINE LUIZA SA</x:v>
      </x:c>
      <x:c r="C11707" s="16" t="n">
        <x:v>434.1728385753</x:v>
      </x:c>
      <x:c r="D11707" s="13" t="str">
        <x:v>Retail</x:v>
      </x:c>
      <x:c r="E11707" s="13" t="str">
        <x:v>Retail</x:v>
      </x:c>
      <x:c r="F11707" s="13" t="str">
        <x:v>Early Cyclicals</x:v>
      </x:c>
      <x:c r="G11707" s="13" t="str">
        <x:v>grid_wbaxp5t0.xlsx</x:v>
      </x:c>
    </x:row>
    <x:row r="11708">
      <x:c r="A11708" s="15" t="n">
        <x:v>45413</x:v>
      </x:c>
      <x:c r="B11708" s="13" t="str">
        <x:v>NATURA &amp;CO HOLDING SA</x:v>
      </x:c>
      <x:c r="C11708" s="16" t="n">
        <x:v>1171.858565611</x:v>
      </x:c>
      <x:c r="D11708" s="13" t="str">
        <x:v>Retail</x:v>
      </x:c>
      <x:c r="E11708" s="13" t="str">
        <x:v>Retail</x:v>
      </x:c>
      <x:c r="F11708" s="13" t="str">
        <x:v>Early Cyclicals</x:v>
      </x:c>
      <x:c r="G11708" s="13" t="str">
        <x:v>grid_wbaxp5t0.xlsx</x:v>
      </x:c>
    </x:row>
    <x:row r="11709">
      <x:c r="A11709" s="15" t="n">
        <x:v>45413</x:v>
      </x:c>
      <x:c r="B11709" s="13" t="str">
        <x:v>PET CENTER COMERCIO E PARTIC</x:v>
      </x:c>
      <x:c r="C11709" s="16" t="n">
        <x:v>75.7925167123</x:v>
      </x:c>
      <x:c r="D11709" s="13" t="str">
        <x:v>Retail</x:v>
      </x:c>
      <x:c r="E11709" s="13" t="str">
        <x:v>Retail</x:v>
      </x:c>
      <x:c r="F11709" s="13" t="str">
        <x:v>Early Cyclicals</x:v>
      </x:c>
      <x:c r="G11709" s="13" t="str">
        <x:v>grid_wbaxp5t0.xlsx</x:v>
      </x:c>
    </x:row>
    <x:row r="11710">
      <x:c r="A11710" s="15" t="n">
        <x:v>45413</x:v>
      </x:c>
      <x:c r="B11710" s="13" t="str">
        <x:v>RAIA DROGASIL SA</x:v>
      </x:c>
      <x:c r="C11710" s="16" t="n">
        <x:v>1521.173029874</x:v>
      </x:c>
      <x:c r="D11710" s="13" t="str">
        <x:v>Retail</x:v>
      </x:c>
      <x:c r="E11710" s="13" t="str">
        <x:v>Retail</x:v>
      </x:c>
      <x:c r="F11710" s="13" t="str">
        <x:v>Early Cyclicals</x:v>
      </x:c>
      <x:c r="G11710" s="13" t="str">
        <x:v>grid_wbaxp5t0.xlsx</x:v>
      </x:c>
    </x:row>
    <x:row r="11711">
      <x:c r="A11711" s="15" t="n">
        <x:v>45413</x:v>
      </x:c>
      <x:c r="B11711" s="13" t="str">
        <x:v>SENDAS DISTRIBUIDORA SA</x:v>
      </x:c>
      <x:c r="C11711" s="16" t="n">
        <x:v>1124.3332250301</x:v>
      </x:c>
      <x:c r="D11711" s="13" t="str">
        <x:v>Retail</x:v>
      </x:c>
      <x:c r="E11711" s="13" t="str">
        <x:v>Retail</x:v>
      </x:c>
      <x:c r="F11711" s="13" t="str">
        <x:v>Early Cyclicals</x:v>
      </x:c>
      <x:c r="G11711" s="13" t="str">
        <x:v>grid_wbaxp5t0.xlsx</x:v>
      </x:c>
    </x:row>
    <x:row r="11712">
      <x:c r="A11712" s="15" t="n">
        <x:v>45413</x:v>
      </x:c>
      <x:c r="B11712" s="13" t="str">
        <x:v>VIVARA PARTICIPACOES SA</x:v>
      </x:c>
      <x:c r="C11712" s="16" t="n">
        <x:v>480.2621785425</x:v>
      </x:c>
      <x:c r="D11712" s="13" t="str">
        <x:v>Retail</x:v>
      </x:c>
      <x:c r="E11712" s="13" t="str">
        <x:v>Retail</x:v>
      </x:c>
      <x:c r="F11712" s="13" t="str">
        <x:v>Early Cyclicals</x:v>
      </x:c>
      <x:c r="G11712" s="13" t="str">
        <x:v>grid_wbaxp5t0.xlsx</x:v>
      </x:c>
    </x:row>
    <x:row r="11713">
      <x:c r="A11713" s="15" t="n">
        <x:v>45413</x:v>
      </x:c>
      <x:c r="B11713" s="13" t="str">
        <x:v>CIA SANEAMENTO BASICO DE SP</x:v>
      </x:c>
      <x:c r="C11713" s="16" t="n">
        <x:v>4429.0527919343</x:v>
      </x:c>
      <x:c r="D11713" s="13" t="str">
        <x:v>Sanitation</x:v>
      </x:c>
      <x:c r="E11713" s="13" t="str">
        <x:v>Utilities</x:v>
      </x:c>
      <x:c r="F11713" s="13" t="str">
        <x:v>Defensives</x:v>
      </x:c>
      <x:c r="G11713" s="13" t="str">
        <x:v>grid_wbaxp5t0.xlsx</x:v>
      </x:c>
    </x:row>
    <x:row r="11714">
      <x:c r="A11714" s="15" t="n">
        <x:v>45413</x:v>
      </x:c>
      <x:c r="B11714" s="13" t="str">
        <x:v>LWSA SA</x:v>
      </x:c>
      <x:c r="C11714" s="16" t="n">
        <x:v>112.4399972603</x:v>
      </x:c>
      <x:c r="D11714" s="13" t="str">
        <x:v>TMT</x:v>
      </x:c>
      <x:c r="E11714" s="13" t="str">
        <x:v>TMT</x:v>
      </x:c>
      <x:c r="F11714" s="13" t="str">
        <x:v>Early Cyclicals</x:v>
      </x:c>
      <x:c r="G11714" s="13" t="str">
        <x:v>grid_wbaxp5t0.xlsx</x:v>
      </x:c>
    </x:row>
    <x:row r="11715">
      <x:c r="A11715" s="15" t="n">
        <x:v>45413</x:v>
      </x:c>
      <x:c r="B11715" s="13" t="str">
        <x:v>TIM SA</x:v>
      </x:c>
      <x:c r="C11715" s="16" t="n">
        <x:v>3669.6768820603</x:v>
      </x:c>
      <x:c r="D11715" s="13" t="str">
        <x:v>TMT</x:v>
      </x:c>
      <x:c r="E11715" s="13" t="str">
        <x:v>TMT</x:v>
      </x:c>
      <x:c r="F11715" s="13" t="str">
        <x:v>Early Cyclicals</x:v>
      </x:c>
      <x:c r="G11715" s="13" t="str">
        <x:v>grid_wbaxp5t0.xlsx</x:v>
      </x:c>
    </x:row>
    <x:row r="11716">
      <x:c r="A11716" s="15" t="n">
        <x:v>45413</x:v>
      </x:c>
      <x:c r="B11716" s="13" t="str">
        <x:v>TOTVS SA</x:v>
      </x:c>
      <x:c r="C11716" s="16" t="n">
        <x:v>821.7410826521</x:v>
      </x:c>
      <x:c r="D11716" s="13" t="str">
        <x:v>TMT</x:v>
      </x:c>
      <x:c r="E11716" s="13" t="str">
        <x:v>TMT</x:v>
      </x:c>
      <x:c r="F11716" s="13" t="str">
        <x:v>Early Cyclicals</x:v>
      </x:c>
      <x:c r="G11716" s="13" t="str">
        <x:v>grid_wbaxp5t0.xlsx</x:v>
      </x:c>
    </x:row>
    <x:row r="11717">
      <x:c r="A11717" s="15" t="n">
        <x:v>45413</x:v>
      </x:c>
      <x:c r="B11717" s="13" t="str">
        <x:v>AZUL SA</x:v>
      </x:c>
      <x:c r="C11717" s="16" t="n">
        <x:v>-133.5543262685</x:v>
      </x:c>
      <x:c r="D11717" s="13" t="str">
        <x:v>Transportation</x:v>
      </x:c>
      <x:c r="E11717" s="13" t="str">
        <x:v>Transportation</x:v>
      </x:c>
      <x:c r="F11717" s="13" t="str">
        <x:v>Deep Cyclicals</x:v>
      </x:c>
      <x:c r="G11717" s="13" t="str">
        <x:v>grid_wbaxp5t0.xlsx</x:v>
      </x:c>
    </x:row>
    <x:row r="11718">
      <x:c r="A11718" s="15" t="n">
        <x:v>45413</x:v>
      </x:c>
      <x:c r="B11718" s="13" t="str">
        <x:v>LOCALIZA RENT A CAR</x:v>
      </x:c>
      <x:c r="C11718" s="16" t="n">
        <x:v>3810.3363289425</x:v>
      </x:c>
      <x:c r="D11718" s="13" t="str">
        <x:v>Transportation</x:v>
      </x:c>
      <x:c r="E11718" s="13" t="str">
        <x:v>Transportation</x:v>
      </x:c>
      <x:c r="F11718" s="13" t="str">
        <x:v>Deep Cyclicals</x:v>
      </x:c>
      <x:c r="G11718" s="13" t="str">
        <x:v>grid_wbaxp5t0.xlsx</x:v>
      </x:c>
    </x:row>
    <x:row r="11719">
      <x:c r="A11719" s="15" t="n">
        <x:v>45413</x:v>
      </x:c>
      <x:c r="B11719" s="13" t="str">
        <x:v>MOTIVA INFRAESTRUTURA DE MOB</x:v>
      </x:c>
      <x:c r="C11719" s="16" t="n">
        <x:v>1790.5815965808</x:v>
      </x:c>
      <x:c r="D11719" s="13" t="str">
        <x:v>Transportation</x:v>
      </x:c>
      <x:c r="E11719" s="13" t="str">
        <x:v>Transportation</x:v>
      </x:c>
      <x:c r="F11719" s="13" t="str">
        <x:v>Deep Cyclicals</x:v>
      </x:c>
      <x:c r="G11719" s="13" t="str">
        <x:v>grid_wbaxp5t0.xlsx</x:v>
      </x:c>
    </x:row>
    <x:row r="11720">
      <x:c r="A11720" s="15" t="n">
        <x:v>45413</x:v>
      </x:c>
      <x:c r="B11720" s="13" t="str">
        <x:v>RUMO SA</x:v>
      </x:c>
      <x:c r="C11720" s="16" t="n">
        <x:v>2362.481798663</x:v>
      </x:c>
      <x:c r="D11720" s="13" t="str">
        <x:v>Transportation</x:v>
      </x:c>
      <x:c r="E11720" s="13" t="str">
        <x:v>Transportation</x:v>
      </x:c>
      <x:c r="F11720" s="13" t="str">
        <x:v>Deep Cyclicals</x:v>
      </x:c>
      <x:c r="G11720" s="13" t="str">
        <x:v>grid_wbaxp5t0.xlsx</x:v>
      </x:c>
    </x:row>
    <x:row r="11721">
      <x:c r="A11721" s="15" t="n">
        <x:v>45413</x:v>
      </x:c>
      <x:c r="B11721" s="13" t="str">
        <x:v>VAMOS LOCACAO DE CAMINHOES M</x:v>
      </x:c>
      <x:c r="C11721" s="16" t="n">
        <x:v>1011.3325932712</x:v>
      </x:c>
      <x:c r="D11721" s="13" t="str">
        <x:v>Transportation</x:v>
      </x:c>
      <x:c r="E11721" s="13" t="str">
        <x:v>Transportation</x:v>
      </x:c>
      <x:c r="F11721" s="13" t="str">
        <x:v>Deep Cyclicals</x:v>
      </x:c>
      <x:c r="G11721" s="13" t="str">
        <x:v>grid_wbaxp5t0.xlsx</x:v>
      </x:c>
    </x:row>
    <x:row r="11722">
      <x:c r="A11722" s="15" t="n">
        <x:v>45413</x:v>
      </x:c>
      <x:c r="B11722" s="13" t="str">
        <x:v>AXIA ENERGIA SA</x:v>
      </x:c>
      <x:c r="C11722" s="16" t="n">
        <x:v>9500.6466945753</x:v>
      </x:c>
      <x:c r="D11722" s="13" t="str">
        <x:v>Utilities &amp; Energy</x:v>
      </x:c>
      <x:c r="E11722" s="13" t="str">
        <x:v>Utilities</x:v>
      </x:c>
      <x:c r="F11722" s="13" t="str">
        <x:v>Defensives</x:v>
      </x:c>
      <x:c r="G11722" s="13" t="str">
        <x:v>grid_wbaxp5t0.xlsx</x:v>
      </x:c>
    </x:row>
    <x:row r="11723">
      <x:c r="A11723" s="15" t="n">
        <x:v>45413</x:v>
      </x:c>
      <x:c r="B11723" s="13" t="str">
        <x:v>AXIA ENERGIA-PR B</x:v>
      </x:c>
      <x:c r="C11723" s="16" t="n">
        <x:v>9500.6466945753</x:v>
      </x:c>
      <x:c r="D11723" s="13" t="str">
        <x:v>Utilities &amp; Energy</x:v>
      </x:c>
      <x:c r="E11723" s="13" t="str">
        <x:v>Utilities</x:v>
      </x:c>
      <x:c r="F11723" s="13" t="str">
        <x:v>Defensives</x:v>
      </x:c>
      <x:c r="G11723" s="13" t="str">
        <x:v>grid_wbaxp5t0.xlsx</x:v>
      </x:c>
    </x:row>
    <x:row r="11724">
      <x:c r="A11724" s="15" t="n">
        <x:v>45413</x:v>
      </x:c>
      <x:c r="B11724" s="13" t="str">
        <x:v>CIA ENERGETICA MINAS GER-PRF</x:v>
      </x:c>
      <x:c r="C11724" s="16" t="n">
        <x:v>4563.6495724712</x:v>
      </x:c>
      <x:c r="D11724" s="13" t="str">
        <x:v>Utilities &amp; Energy</x:v>
      </x:c>
      <x:c r="E11724" s="13" t="str">
        <x:v>Utilities</x:v>
      </x:c>
      <x:c r="F11724" s="13" t="str">
        <x:v>Defensives</x:v>
      </x:c>
      <x:c r="G11724" s="13" t="str">
        <x:v>grid_wbaxp5t0.xlsx</x:v>
      </x:c>
    </x:row>
    <x:row r="11725">
      <x:c r="A11725" s="15" t="n">
        <x:v>45413</x:v>
      </x:c>
      <x:c r="B11725" s="13" t="str">
        <x:v>COMPANHIA PARANAENSE -PREF B</x:v>
      </x:c>
      <x:c r="C11725" s="16" t="n">
        <x:v>2329.1385428164</x:v>
      </x:c>
      <x:c r="D11725" s="13" t="str">
        <x:v>Utilities &amp; Energy</x:v>
      </x:c>
      <x:c r="E11725" s="13" t="str">
        <x:v>Utilities</x:v>
      </x:c>
      <x:c r="F11725" s="13" t="str">
        <x:v>Defensives</x:v>
      </x:c>
      <x:c r="G11725" s="13" t="str">
        <x:v>grid_wbaxp5t0.xlsx</x:v>
      </x:c>
    </x:row>
    <x:row r="11726">
      <x:c r="A11726" s="15" t="n">
        <x:v>45413</x:v>
      </x:c>
      <x:c r="B11726" s="13" t="str">
        <x:v>CPFL ENERGIA SA</x:v>
      </x:c>
      <x:c r="C11726" s="16" t="n">
        <x:v>5212.2577372932</x:v>
      </x:c>
      <x:c r="D11726" s="13" t="str">
        <x:v>Utilities &amp; Energy</x:v>
      </x:c>
      <x:c r="E11726" s="13" t="str">
        <x:v>Utilities</x:v>
      </x:c>
      <x:c r="F11726" s="13" t="str">
        <x:v>Defensives</x:v>
      </x:c>
      <x:c r="G11726" s="13" t="str">
        <x:v>grid_wbaxp5t0.xlsx</x:v>
      </x:c>
    </x:row>
    <x:row r="11727">
      <x:c r="A11727" s="15" t="n">
        <x:v>45413</x:v>
      </x:c>
      <x:c r="B11727" s="13" t="str">
        <x:v>ENERGISA SA-UNITS</x:v>
      </x:c>
      <x:c r="C11727" s="16" t="n">
        <x:v>1993.5645008658</x:v>
      </x:c>
      <x:c r="D11727" s="13" t="str">
        <x:v>Utilities &amp; Energy</x:v>
      </x:c>
      <x:c r="E11727" s="13" t="str">
        <x:v>Utilities</x:v>
      </x:c>
      <x:c r="F11727" s="13" t="str">
        <x:v>Defensives</x:v>
      </x:c>
      <x:c r="G11727" s="13" t="str">
        <x:v>grid_wbaxp5t0.xlsx</x:v>
      </x:c>
    </x:row>
    <x:row r="11728">
      <x:c r="A11728" s="15" t="n">
        <x:v>45413</x:v>
      </x:c>
      <x:c r="B11728" s="13" t="str">
        <x:v>ENEVA SA</x:v>
      </x:c>
      <x:c r="C11728" s="16" t="n">
        <x:v>401.5047972822</x:v>
      </x:c>
      <x:c r="D11728" s="13" t="str">
        <x:v>Utilities &amp; Energy</x:v>
      </x:c>
      <x:c r="E11728" s="13" t="str">
        <x:v>Utilities</x:v>
      </x:c>
      <x:c r="F11728" s="13" t="str">
        <x:v>Defensives</x:v>
      </x:c>
      <x:c r="G11728" s="13" t="str">
        <x:v>grid_wbaxp5t0.xlsx</x:v>
      </x:c>
    </x:row>
    <x:row r="11729">
      <x:c r="A11729" s="15" t="n">
        <x:v>45413</x:v>
      </x:c>
      <x:c r="B11729" s="13" t="str">
        <x:v>ENGIE BRASIL ENERGIA SA</x:v>
      </x:c>
      <x:c r="C11729" s="16" t="n">
        <x:v>3621.3059457753</x:v>
      </x:c>
      <x:c r="D11729" s="13" t="str">
        <x:v>Utilities &amp; Energy</x:v>
      </x:c>
      <x:c r="E11729" s="13" t="str">
        <x:v>Utilities</x:v>
      </x:c>
      <x:c r="F11729" s="13" t="str">
        <x:v>Defensives</x:v>
      </x:c>
      <x:c r="G11729" s="13" t="str">
        <x:v>grid_wbaxp5t0.xlsx</x:v>
      </x:c>
    </x:row>
    <x:row r="11730">
      <x:c r="A11730" s="15" t="n">
        <x:v>45413</x:v>
      </x:c>
      <x:c r="B11730" s="13" t="str">
        <x:v>EQUATORIAL SA - ORD</x:v>
      </x:c>
      <x:c r="C11730" s="16" t="n">
        <x:v>3153.6375359123</x:v>
      </x:c>
      <x:c r="D11730" s="13" t="str">
        <x:v>Utilities &amp; Energy</x:v>
      </x:c>
      <x:c r="E11730" s="13" t="str">
        <x:v>Utilities</x:v>
      </x:c>
      <x:c r="F11730" s="13" t="str">
        <x:v>Defensives</x:v>
      </x:c>
      <x:c r="G11730" s="13" t="str">
        <x:v>grid_wbaxp5t0.xlsx</x:v>
      </x:c>
    </x:row>
    <x:row r="11731">
      <x:c r="A11731" s="15" t="n">
        <x:v>45413</x:v>
      </x:c>
      <x:c r="B11731" s="13" t="str">
        <x:v>ISA ENERGIA BRASIL SA</x:v>
      </x:c>
      <x:c r="C11731" s="16" t="n">
        <x:v>1787.2921684164</x:v>
      </x:c>
      <x:c r="D11731" s="13" t="str">
        <x:v>Utilities &amp; Energy</x:v>
      </x:c>
      <x:c r="E11731" s="13" t="str">
        <x:v>Utilities</x:v>
      </x:c>
      <x:c r="F11731" s="13" t="str">
        <x:v>Defensives</x:v>
      </x:c>
      <x:c r="G11731" s="13" t="str">
        <x:v>grid_wbaxp5t0.xlsx</x:v>
      </x:c>
    </x:row>
    <x:row r="11732">
      <x:c r="A11732" s="15" t="n">
        <x:v>45413</x:v>
      </x:c>
      <x:c r="B11732" s="13" t="str">
        <x:v>TRANSMISSORA ALIANCA DE-UNIT</x:v>
      </x:c>
      <x:c r="C11732" s="16" t="n">
        <x:v>1148.9607595836</x:v>
      </x:c>
      <x:c r="D11732" s="13" t="str">
        <x:v>Utilities &amp; Energy</x:v>
      </x:c>
      <x:c r="E11732" s="13" t="str">
        <x:v>Utilities</x:v>
      </x:c>
      <x:c r="F11732" s="13" t="str">
        <x:v>Defensives</x:v>
      </x:c>
      <x:c r="G11732" s="13" t="str">
        <x:v>grid_wbaxp5t0.xlsx</x:v>
      </x:c>
    </x:row>
    <x:row r="11733">
      <x:c r="A11733" s="15" t="n">
        <x:v>45444</x:v>
      </x:c>
      <x:c r="B11733" s="13" t="str">
        <x:v>RAIZEN SA - PREFERENCE</x:v>
      </x:c>
      <x:c r="C11733" s="16" t="n">
        <x:v>3582.4458801096</x:v>
      </x:c>
      <x:c r="D11733" s="13" t="str">
        <x:v>Agribusiness</x:v>
      </x:c>
      <x:c r="E11733" s="13" t="str">
        <x:v>Agri, Food &amp; Beverages</x:v>
      </x:c>
      <x:c r="F11733" s="13" t="str">
        <x:v>Defensives</x:v>
      </x:c>
      <x:c r="G11733" s="13" t="str">
        <x:v>grid_wbaxp5t0.xlsx</x:v>
      </x:c>
    </x:row>
    <x:row r="11734">
      <x:c r="A11734" s="15" t="n">
        <x:v>45444</x:v>
      </x:c>
      <x:c r="B11734" s="13" t="str">
        <x:v>SAO MARTINHO SA</x:v>
      </x:c>
      <x:c r="C11734" s="16" t="n">
        <x:v>1262.6591140822</x:v>
      </x:c>
      <x:c r="D11734" s="13" t="str">
        <x:v>Agribusiness</x:v>
      </x:c>
      <x:c r="E11734" s="13" t="str">
        <x:v>Agri, Food &amp; Beverages</x:v>
      </x:c>
      <x:c r="F11734" s="13" t="str">
        <x:v>Defensives</x:v>
      </x:c>
      <x:c r="G11734" s="13" t="str">
        <x:v>grid_wbaxp5t0.xlsx</x:v>
      </x:c>
    </x:row>
    <x:row r="11735">
      <x:c r="A11735" s="15" t="n">
        <x:v>45444</x:v>
      </x:c>
      <x:c r="B11735" s="13" t="str">
        <x:v>SLC AGRICOLA SA</x:v>
      </x:c>
      <x:c r="C11735" s="16" t="n">
        <x:v>935.4916074959</x:v>
      </x:c>
      <x:c r="D11735" s="13" t="str">
        <x:v>Agribusiness</x:v>
      </x:c>
      <x:c r="E11735" s="13" t="str">
        <x:v>Agri, Food &amp; Beverages</x:v>
      </x:c>
      <x:c r="F11735" s="13" t="str">
        <x:v>Defensives</x:v>
      </x:c>
      <x:c r="G11735" s="13" t="str">
        <x:v>grid_wbaxp5t0.xlsx</x:v>
      </x:c>
    </x:row>
    <x:row r="11736">
      <x:c r="A11736" s="15" t="n">
        <x:v>45444</x:v>
      </x:c>
      <x:c r="B11736" s="13" t="str">
        <x:v>BANCO BRADESCO S.A.</x:v>
      </x:c>
      <x:c r="C11736" s="16" t="n">
        <x:v>20862.1067446356</x:v>
      </x:c>
      <x:c r="D11736" s="13" t="str">
        <x:v>Banks</x:v>
      </x:c>
      <x:c r="E11736" s="13" t="str">
        <x:v>Banks</x:v>
      </x:c>
      <x:c r="F11736" s="13" t="str">
        <x:v>Financials</x:v>
      </x:c>
      <x:c r="G11736" s="13" t="str">
        <x:v>grid_wbaxp5t0.xlsx</x:v>
      </x:c>
    </x:row>
    <x:row r="11737">
      <x:c r="A11737" s="15" t="n">
        <x:v>45444</x:v>
      </x:c>
      <x:c r="B11737" s="13" t="str">
        <x:v>BANCO BRADESCO SA-PREF</x:v>
      </x:c>
      <x:c r="C11737" s="16" t="n">
        <x:v>20862.1067446356</x:v>
      </x:c>
      <x:c r="D11737" s="13" t="str">
        <x:v>Banks</x:v>
      </x:c>
      <x:c r="E11737" s="13" t="str">
        <x:v>Banks</x:v>
      </x:c>
      <x:c r="F11737" s="13" t="str">
        <x:v>Financials</x:v>
      </x:c>
      <x:c r="G11737" s="13" t="str">
        <x:v>grid_wbaxp5t0.xlsx</x:v>
      </x:c>
    </x:row>
    <x:row r="11738">
      <x:c r="A11738" s="15" t="n">
        <x:v>45444</x:v>
      </x:c>
      <x:c r="B11738" s="13" t="str">
        <x:v>BANCO BTG PACTUAL SA-UNIT</x:v>
      </x:c>
      <x:c r="C11738" s="16" t="n">
        <x:v>13271.4882005918</x:v>
      </x:c>
      <x:c r="D11738" s="13" t="str">
        <x:v>Banks</x:v>
      </x:c>
      <x:c r="E11738" s="13" t="str">
        <x:v>Banks</x:v>
      </x:c>
      <x:c r="F11738" s="13" t="str">
        <x:v>Financials</x:v>
      </x:c>
      <x:c r="G11738" s="13" t="str">
        <x:v>grid_wbaxp5t0.xlsx</x:v>
      </x:c>
    </x:row>
    <x:row r="11739">
      <x:c r="A11739" s="15" t="n">
        <x:v>45444</x:v>
      </x:c>
      <x:c r="B11739" s="13" t="str">
        <x:v>BANCO DO BRASIL S.A.</x:v>
      </x:c>
      <x:c r="C11739" s="16" t="n">
        <x:v>38862.5929033644</x:v>
      </x:c>
      <x:c r="D11739" s="13" t="str">
        <x:v>Banks</x:v>
      </x:c>
      <x:c r="E11739" s="13" t="str">
        <x:v>Banks</x:v>
      </x:c>
      <x:c r="F11739" s="13" t="str">
        <x:v>Financials</x:v>
      </x:c>
      <x:c r="G11739" s="13" t="str">
        <x:v>grid_wbaxp5t0.xlsx</x:v>
      </x:c>
    </x:row>
    <x:row r="11740">
      <x:c r="A11740" s="15" t="n">
        <x:v>45444</x:v>
      </x:c>
      <x:c r="B11740" s="13" t="str">
        <x:v>BANCO SANTANDER  BRASIL-UNIT</x:v>
      </x:c>
      <x:c r="C11740" s="16" t="n">
        <x:v>14823.0441857753</x:v>
      </x:c>
      <x:c r="D11740" s="13" t="str">
        <x:v>Banks</x:v>
      </x:c>
      <x:c r="E11740" s="13" t="str">
        <x:v>Banks</x:v>
      </x:c>
      <x:c r="F11740" s="13" t="str">
        <x:v>Financials</x:v>
      </x:c>
      <x:c r="G11740" s="13" t="str">
        <x:v>grid_wbaxp5t0.xlsx</x:v>
      </x:c>
    </x:row>
    <x:row r="11741">
      <x:c r="A11741" s="15" t="n">
        <x:v>45444</x:v>
      </x:c>
      <x:c r="B11741" s="13" t="str">
        <x:v>ITAU UNIBANCO HOLDING S-PREF</x:v>
      </x:c>
      <x:c r="C11741" s="16" t="n">
        <x:v>42665.6671715945</x:v>
      </x:c>
      <x:c r="D11741" s="13" t="str">
        <x:v>Banks</x:v>
      </x:c>
      <x:c r="E11741" s="13" t="str">
        <x:v>Banks</x:v>
      </x:c>
      <x:c r="F11741" s="13" t="str">
        <x:v>Financials</x:v>
      </x:c>
      <x:c r="G11741" s="13" t="str">
        <x:v>grid_wbaxp5t0.xlsx</x:v>
      </x:c>
    </x:row>
    <x:row r="11742">
      <x:c r="A11742" s="15" t="n">
        <x:v>45444</x:v>
      </x:c>
      <x:c r="B11742" s="13" t="str">
        <x:v>EMBRAER SA</x:v>
      </x:c>
      <x:c r="C11742" s="16" t="n">
        <x:v>1477.7080221808</x:v>
      </x:c>
      <x:c r="D11742" s="13" t="str">
        <x:v>Capital Goods</x:v>
      </x:c>
      <x:c r="E11742" s="13" t="str">
        <x:v>Capital Goods</x:v>
      </x:c>
      <x:c r="F11742" s="13" t="str">
        <x:v>Deep Cyclicals</x:v>
      </x:c>
      <x:c r="G11742" s="13" t="str">
        <x:v>grid_wbaxp5t0.xlsx</x:v>
      </x:c>
    </x:row>
    <x:row r="11743">
      <x:c r="A11743" s="15" t="n">
        <x:v>45444</x:v>
      </x:c>
      <x:c r="B11743" s="13" t="str">
        <x:v>WEG SA</x:v>
      </x:c>
      <x:c r="C11743" s="16" t="n">
        <x:v>5905.4131228055</x:v>
      </x:c>
      <x:c r="D11743" s="13" t="str">
        <x:v>Capital Goods</x:v>
      </x:c>
      <x:c r="E11743" s="13" t="str">
        <x:v>Capital Goods</x:v>
      </x:c>
      <x:c r="F11743" s="13" t="str">
        <x:v>Deep Cyclicals</x:v>
      </x:c>
      <x:c r="G11743" s="13" t="str">
        <x:v>grid_wbaxp5t0.xlsx</x:v>
      </x:c>
    </x:row>
    <x:row r="11744">
      <x:c r="A11744" s="15" t="n">
        <x:v>45444</x:v>
      </x:c>
      <x:c r="B11744" s="13" t="str">
        <x:v>COGNA EDUCACAO</x:v>
      </x:c>
      <x:c r="C11744" s="16" t="n">
        <x:v>404.7517808219</x:v>
      </x:c>
      <x:c r="D11744" s="13" t="str">
        <x:v>Education</x:v>
      </x:c>
      <x:c r="E11744" s="13" t="str">
        <x:v>Education</x:v>
      </x:c>
      <x:c r="F11744" s="13" t="str">
        <x:v>Early Cyclicals</x:v>
      </x:c>
      <x:c r="G11744" s="13" t="str">
        <x:v>grid_wbaxp5t0.xlsx</x:v>
      </x:c>
    </x:row>
    <x:row r="11745">
      <x:c r="A11745" s="15" t="n">
        <x:v>45444</x:v>
      </x:c>
      <x:c r="B11745" s="13" t="str">
        <x:v>YDUQS PARTICIPACOES SA</x:v>
      </x:c>
      <x:c r="C11745" s="16" t="n">
        <x:v>534.1885608329</x:v>
      </x:c>
      <x:c r="D11745" s="13" t="str">
        <x:v>Education</x:v>
      </x:c>
      <x:c r="E11745" s="13" t="str">
        <x:v>Education</x:v>
      </x:c>
      <x:c r="F11745" s="13" t="str">
        <x:v>Early Cyclicals</x:v>
      </x:c>
      <x:c r="G11745" s="13" t="str">
        <x:v>grid_wbaxp5t0.xlsx</x:v>
      </x:c>
    </x:row>
    <x:row r="11746">
      <x:c r="A11746" s="15" t="n">
        <x:v>45444</x:v>
      </x:c>
      <x:c r="B11746" s="13" t="str">
        <x:v>B3 SA-BRASIL BOLSA BALCAO</x:v>
      </x:c>
      <x:c r="C11746" s="16" t="n">
        <x:v>4953.9619068493</x:v>
      </x:c>
      <x:c r="D11746" s="13" t="str">
        <x:v>Financials Non-Banks</x:v>
      </x:c>
      <x:c r="E11746" s="13" t="str">
        <x:v>Financials Non-Banks</x:v>
      </x:c>
      <x:c r="F11746" s="13" t="str">
        <x:v>Financials</x:v>
      </x:c>
      <x:c r="G11746" s="13" t="str">
        <x:v>grid_wbaxp5t0.xlsx</x:v>
      </x:c>
    </x:row>
    <x:row r="11747">
      <x:c r="A11747" s="15" t="n">
        <x:v>45444</x:v>
      </x:c>
      <x:c r="B11747" s="13" t="str">
        <x:v>BB SEGURIDADE PARTICIPACOES</x:v>
      </x:c>
      <x:c r="C11747" s="16" t="n">
        <x:v>8139.0549665315</x:v>
      </x:c>
      <x:c r="D11747" s="13" t="str">
        <x:v>Financials Non-Banks</x:v>
      </x:c>
      <x:c r="E11747" s="13" t="str">
        <x:v>Financials Non-Banks</x:v>
      </x:c>
      <x:c r="F11747" s="13" t="str">
        <x:v>Financials</x:v>
      </x:c>
      <x:c r="G11747" s="13" t="str">
        <x:v>grid_wbaxp5t0.xlsx</x:v>
      </x:c>
    </x:row>
    <x:row r="11748">
      <x:c r="A11748" s="15" t="n">
        <x:v>45444</x:v>
      </x:c>
      <x:c r="B11748" s="13" t="str">
        <x:v>CIELO SA - INSTITUICAO DE PA</x:v>
      </x:c>
      <x:c r="C11748" s="16" t="n">
        <x:v>1720.3715057973</x:v>
      </x:c>
      <x:c r="D11748" s="13" t="str">
        <x:v>Financials Non-Banks</x:v>
      </x:c>
      <x:c r="E11748" s="13" t="str">
        <x:v>Financials Non-Banks</x:v>
      </x:c>
      <x:c r="F11748" s="13" t="str">
        <x:v>Financials</x:v>
      </x:c>
      <x:c r="G11748" s="13" t="str">
        <x:v>grid_wbaxp5t0.xlsx</x:v>
      </x:c>
    </x:row>
    <x:row r="11749">
      <x:c r="A11749" s="15" t="n">
        <x:v>45444</x:v>
      </x:c>
      <x:c r="B11749" s="13" t="str">
        <x:v>IRB BRASIL RESSEGUROS SA</x:v>
      </x:c>
      <x:c r="C11749" s="16" t="n">
        <x:v>406.475213326</x:v>
      </x:c>
      <x:c r="D11749" s="13" t="str">
        <x:v>Financials Non-Banks</x:v>
      </x:c>
      <x:c r="E11749" s="13" t="str">
        <x:v>Financials Non-Banks</x:v>
      </x:c>
      <x:c r="F11749" s="13" t="str">
        <x:v>Financials</x:v>
      </x:c>
      <x:c r="G11749" s="13" t="str">
        <x:v>grid_wbaxp5t0.xlsx</x:v>
      </x:c>
    </x:row>
    <x:row r="11750">
      <x:c r="A11750" s="15" t="n">
        <x:v>45444</x:v>
      </x:c>
      <x:c r="B11750" s="13" t="str">
        <x:v>ITAUSA SA</x:v>
      </x:c>
      <x:c r="C11750" s="16" t="n">
        <x:v>16015.8668715836</x:v>
      </x:c>
      <x:c r="D11750" s="13" t="str">
        <x:v>Financials Non-Banks</x:v>
      </x:c>
      <x:c r="E11750" s="13" t="str">
        <x:v>Financials Non-Banks</x:v>
      </x:c>
      <x:c r="F11750" s="13" t="str">
        <x:v>Financials</x:v>
      </x:c>
      <x:c r="G11750" s="13" t="str">
        <x:v>grid_wbaxp5t0.xlsx</x:v>
      </x:c>
    </x:row>
    <x:row r="11751">
      <x:c r="A11751" s="15" t="n">
        <x:v>45444</x:v>
      </x:c>
      <x:c r="B11751" s="13" t="str">
        <x:v>AMBEV SA</x:v>
      </x:c>
      <x:c r="C11751" s="16" t="n">
        <x:v>15115.6582624438</x:v>
      </x:c>
      <x:c r="D11751" s="13" t="str">
        <x:v>Food &amp; Beverages</x:v>
      </x:c>
      <x:c r="E11751" s="13" t="str">
        <x:v>Agri, Food &amp; Beverages</x:v>
      </x:c>
      <x:c r="F11751" s="13" t="str">
        <x:v>Defensives</x:v>
      </x:c>
      <x:c r="G11751" s="13" t="str">
        <x:v>grid_wbaxp5t0.xlsx</x:v>
      </x:c>
    </x:row>
    <x:row r="11752">
      <x:c r="A11752" s="15" t="n">
        <x:v>45444</x:v>
      </x:c>
      <x:c r="B11752" s="13" t="str">
        <x:v>BRF SA</x:v>
      </x:c>
      <x:c r="C11752" s="16" t="n">
        <x:v>1903.6820153863</x:v>
      </x:c>
      <x:c r="D11752" s="13" t="str">
        <x:v>Food &amp; Beverages</x:v>
      </x:c>
      <x:c r="E11752" s="13" t="str">
        <x:v>Agri, Food &amp; Beverages</x:v>
      </x:c>
      <x:c r="F11752" s="13" t="str">
        <x:v>Defensives</x:v>
      </x:c>
      <x:c r="G11752" s="13" t="str">
        <x:v>grid_wbaxp5t0.xlsx</x:v>
      </x:c>
    </x:row>
    <x:row r="11753">
      <x:c r="A11753" s="15" t="n">
        <x:v>45444</x:v>
      </x:c>
      <x:c r="B11753" s="13" t="str">
        <x:v>MBRF GLOBAL FOODS COMPANY SA</x:v>
      </x:c>
      <x:c r="C11753" s="16" t="n">
        <x:v>-225.7248876712</x:v>
      </x:c>
      <x:c r="D11753" s="13" t="str">
        <x:v>Food &amp; Beverages</x:v>
      </x:c>
      <x:c r="E11753" s="13" t="str">
        <x:v>Agri, Food &amp; Beverages</x:v>
      </x:c>
      <x:c r="F11753" s="13" t="str">
        <x:v>Defensives</x:v>
      </x:c>
      <x:c r="G11753" s="13" t="str">
        <x:v>grid_wbaxp5t0.xlsx</x:v>
      </x:c>
    </x:row>
    <x:row r="11754">
      <x:c r="A11754" s="15" t="n">
        <x:v>45444</x:v>
      </x:c>
      <x:c r="B11754" s="13" t="str">
        <x:v>MINERVA SA</x:v>
      </x:c>
      <x:c r="C11754" s="16" t="n">
        <x:v>587.9032004384</x:v>
      </x:c>
      <x:c r="D11754" s="13" t="str">
        <x:v>Food &amp; Beverages</x:v>
      </x:c>
      <x:c r="E11754" s="13" t="str">
        <x:v>Agri, Food &amp; Beverages</x:v>
      </x:c>
      <x:c r="F11754" s="13" t="str">
        <x:v>Defensives</x:v>
      </x:c>
      <x:c r="G11754" s="13" t="str">
        <x:v>grid_wbaxp5t0.xlsx</x:v>
      </x:c>
    </x:row>
    <x:row r="11755">
      <x:c r="A11755" s="15" t="n">
        <x:v>45444</x:v>
      </x:c>
      <x:c r="B11755" s="13" t="str">
        <x:v>FLEURY SA</x:v>
      </x:c>
      <x:c r="C11755" s="16" t="n">
        <x:v>714.7775347726</x:v>
      </x:c>
      <x:c r="D11755" s="13" t="str">
        <x:v>Health Care</x:v>
      </x:c>
      <x:c r="E11755" s="13" t="str">
        <x:v>Health Care</x:v>
      </x:c>
      <x:c r="F11755" s="13" t="str">
        <x:v>Defensives</x:v>
      </x:c>
      <x:c r="G11755" s="13" t="str">
        <x:v>grid_wbaxp5t0.xlsx</x:v>
      </x:c>
    </x:row>
    <x:row r="11756">
      <x:c r="A11756" s="15" t="n">
        <x:v>45444</x:v>
      </x:c>
      <x:c r="B11756" s="13" t="str">
        <x:v>HAPVIDA PARTICIPACOES E INVE</x:v>
      </x:c>
      <x:c r="C11756" s="16" t="n">
        <x:v>1839.7759684384</x:v>
      </x:c>
      <x:c r="D11756" s="13" t="str">
        <x:v>Health Care</x:v>
      </x:c>
      <x:c r="E11756" s="13" t="str">
        <x:v>Health Care</x:v>
      </x:c>
      <x:c r="F11756" s="13" t="str">
        <x:v>Defensives</x:v>
      </x:c>
      <x:c r="G11756" s="13" t="str">
        <x:v>grid_wbaxp5t0.xlsx</x:v>
      </x:c>
    </x:row>
    <x:row r="11757">
      <x:c r="A11757" s="15" t="n">
        <x:v>45444</x:v>
      </x:c>
      <x:c r="B11757" s="13" t="str">
        <x:v>HYPERA SA</x:v>
      </x:c>
      <x:c r="C11757" s="16" t="n">
        <x:v>1960.4083704986</x:v>
      </x:c>
      <x:c r="D11757" s="13" t="str">
        <x:v>Health Care</x:v>
      </x:c>
      <x:c r="E11757" s="13" t="str">
        <x:v>Health Care</x:v>
      </x:c>
      <x:c r="F11757" s="13" t="str">
        <x:v>Defensives</x:v>
      </x:c>
      <x:c r="G11757" s="13" t="str">
        <x:v>grid_wbaxp5t0.xlsx</x:v>
      </x:c>
    </x:row>
    <x:row r="11758">
      <x:c r="A11758" s="15" t="n">
        <x:v>45444</x:v>
      </x:c>
      <x:c r="B11758" s="13" t="str">
        <x:v>REDE D'OR SAO LUIZ SA</x:v>
      </x:c>
      <x:c r="C11758" s="16" t="n">
        <x:v>3624.8370007671</x:v>
      </x:c>
      <x:c r="D11758" s="13" t="str">
        <x:v>Health Care</x:v>
      </x:c>
      <x:c r="E11758" s="13" t="str">
        <x:v>Health Care</x:v>
      </x:c>
      <x:c r="F11758" s="13" t="str">
        <x:v>Defensives</x:v>
      </x:c>
      <x:c r="G11758" s="13" t="str">
        <x:v>grid_wbaxp5t0.xlsx</x:v>
      </x:c>
    </x:row>
    <x:row r="11759">
      <x:c r="A11759" s="15" t="n">
        <x:v>45444</x:v>
      </x:c>
      <x:c r="B11759" s="13" t="str">
        <x:v>CYRELA BRAZIL REALTY SA EMP</x:v>
      </x:c>
      <x:c r="C11759" s="16" t="n">
        <x:v>1347.939749874</x:v>
      </x:c>
      <x:c r="D11759" s="13" t="str">
        <x:v>Homebuilders</x:v>
      </x:c>
      <x:c r="E11759" s="13" t="str">
        <x:v>Real Estate</x:v>
      </x:c>
      <x:c r="F11759" s="13" t="str">
        <x:v>Early Cyclicals</x:v>
      </x:c>
      <x:c r="G11759" s="13" t="str">
        <x:v>grid_wbaxp5t0.xlsx</x:v>
      </x:c>
    </x:row>
    <x:row r="11760">
      <x:c r="A11760" s="15" t="n">
        <x:v>45444</x:v>
      </x:c>
      <x:c r="B11760" s="13" t="str">
        <x:v>EZ TEC EMPREENDIMENTOS E PAR</x:v>
      </x:c>
      <x:c r="C11760" s="16" t="n">
        <x:v>359.8</x:v>
      </x:c>
      <x:c r="D11760" s="13" t="str">
        <x:v>Homebuilders</x:v>
      </x:c>
      <x:c r="E11760" s="13" t="str">
        <x:v>Real Estate</x:v>
      </x:c>
      <x:c r="F11760" s="13" t="str">
        <x:v>Early Cyclicals</x:v>
      </x:c>
      <x:c r="G11760" s="13" t="str">
        <x:v>grid_wbaxp5t0.xlsx</x:v>
      </x:c>
    </x:row>
    <x:row r="11761">
      <x:c r="A11761" s="15" t="n">
        <x:v>45444</x:v>
      </x:c>
      <x:c r="B11761" s="13" t="str">
        <x:v>MRV ENGENHARIA</x:v>
      </x:c>
      <x:c r="C11761" s="16" t="n">
        <x:v>525.5865596493</x:v>
      </x:c>
      <x:c r="D11761" s="13" t="str">
        <x:v>Homebuilders</x:v>
      </x:c>
      <x:c r="E11761" s="13" t="str">
        <x:v>Real Estate</x:v>
      </x:c>
      <x:c r="F11761" s="13" t="str">
        <x:v>Early Cyclicals</x:v>
      </x:c>
      <x:c r="G11761" s="13" t="str">
        <x:v>grid_wbaxp5t0.xlsx</x:v>
      </x:c>
    </x:row>
    <x:row r="11762">
      <x:c r="A11762" s="15" t="n">
        <x:v>45444</x:v>
      </x:c>
      <x:c r="B11762" s="13" t="str">
        <x:v>ALLOS SA</x:v>
      </x:c>
      <x:c r="C11762" s="16" t="n">
        <x:v>729.9200033315</x:v>
      </x:c>
      <x:c r="D11762" s="13" t="str">
        <x:v>Income Properties</x:v>
      </x:c>
      <x:c r="E11762" s="13" t="str">
        <x:v>Real Estate</x:v>
      </x:c>
      <x:c r="F11762" s="13" t="str">
        <x:v>Early Cyclicals</x:v>
      </x:c>
      <x:c r="G11762" s="13" t="str">
        <x:v>grid_wbaxp5t0.xlsx</x:v>
      </x:c>
    </x:row>
    <x:row r="11763">
      <x:c r="A11763" s="15" t="n">
        <x:v>45444</x:v>
      </x:c>
      <x:c r="B11763" s="13" t="str">
        <x:v>IGUATEMI SA - UNITS</x:v>
      </x:c>
      <x:c r="C11763" s="16" t="n">
        <x:v>500.9923287671</x:v>
      </x:c>
      <x:c r="D11763" s="13" t="str">
        <x:v>Income Properties</x:v>
      </x:c>
      <x:c r="E11763" s="13" t="str">
        <x:v>Real Estate</x:v>
      </x:c>
      <x:c r="F11763" s="13" t="str">
        <x:v>Early Cyclicals</x:v>
      </x:c>
      <x:c r="G11763" s="13" t="str">
        <x:v>grid_wbaxp5t0.xlsx</x:v>
      </x:c>
    </x:row>
    <x:row r="11764">
      <x:c r="A11764" s="15" t="n">
        <x:v>45444</x:v>
      </x:c>
      <x:c r="B11764" s="13" t="str">
        <x:v>MULTIPLAN EMPREENDIMENTOS</x:v>
      </x:c>
      <x:c r="C11764" s="16" t="n">
        <x:v>1162.4321297534</x:v>
      </x:c>
      <x:c r="D11764" s="13" t="str">
        <x:v>Income Properties</x:v>
      </x:c>
      <x:c r="E11764" s="13" t="str">
        <x:v>Real Estate</x:v>
      </x:c>
      <x:c r="F11764" s="13" t="str">
        <x:v>Early Cyclicals</x:v>
      </x:c>
      <x:c r="G11764" s="13" t="str">
        <x:v>grid_wbaxp5t0.xlsx</x:v>
      </x:c>
    </x:row>
    <x:row r="11765">
      <x:c r="A11765" s="15" t="n">
        <x:v>45444</x:v>
      </x:c>
      <x:c r="B11765" s="13" t="str">
        <x:v>BRADESPAR SA -PREF</x:v>
      </x:c>
      <x:c r="C11765" s="16" t="n">
        <x:v>1621.467122674</x:v>
      </x:c>
      <x:c r="D11765" s="13" t="str">
        <x:v>Metals &amp; Mining</x:v>
      </x:c>
      <x:c r="E11765" s="13" t="str">
        <x:v>Metals &amp; Mining</x:v>
      </x:c>
      <x:c r="F11765" s="13" t="str">
        <x:v>Deep Cyclicals</x:v>
      </x:c>
      <x:c r="G11765" s="13" t="str">
        <x:v>grid_wbaxp5t0.xlsx</x:v>
      </x:c>
    </x:row>
    <x:row r="11766">
      <x:c r="A11766" s="15" t="n">
        <x:v>45444</x:v>
      </x:c>
      <x:c r="B11766" s="13" t="str">
        <x:v>CIA SIDERURGICA NACIONAL SA</x:v>
      </x:c>
      <x:c r="C11766" s="16" t="n">
        <x:v>1884.8205473315</x:v>
      </x:c>
      <x:c r="D11766" s="13" t="str">
        <x:v>Metals &amp; Mining</x:v>
      </x:c>
      <x:c r="E11766" s="13" t="str">
        <x:v>Metals &amp; Mining</x:v>
      </x:c>
      <x:c r="F11766" s="13" t="str">
        <x:v>Deep Cyclicals</x:v>
      </x:c>
      <x:c r="G11766" s="13" t="str">
        <x:v>grid_wbaxp5t0.xlsx</x:v>
      </x:c>
    </x:row>
    <x:row r="11767">
      <x:c r="A11767" s="15" t="n">
        <x:v>45444</x:v>
      </x:c>
      <x:c r="B11767" s="13" t="str">
        <x:v>CSN MINERACAO SA</x:v>
      </x:c>
      <x:c r="C11767" s="16" t="n">
        <x:v>2538.9225128329</x:v>
      </x:c>
      <x:c r="D11767" s="13" t="str">
        <x:v>Metals &amp; Mining</x:v>
      </x:c>
      <x:c r="E11767" s="13" t="str">
        <x:v>Metals &amp; Mining</x:v>
      </x:c>
      <x:c r="F11767" s="13" t="str">
        <x:v>Deep Cyclicals</x:v>
      </x:c>
      <x:c r="G11767" s="13" t="str">
        <x:v>grid_wbaxp5t0.xlsx</x:v>
      </x:c>
    </x:row>
    <x:row r="11768">
      <x:c r="A11768" s="15" t="n">
        <x:v>45444</x:v>
      </x:c>
      <x:c r="B11768" s="13" t="str">
        <x:v>GERDAU SA-PREF</x:v>
      </x:c>
      <x:c r="C11768" s="16" t="n">
        <x:v>5588.0416564603</x:v>
      </x:c>
      <x:c r="D11768" s="13" t="str">
        <x:v>Metals &amp; Mining</x:v>
      </x:c>
      <x:c r="E11768" s="13" t="str">
        <x:v>Metals &amp; Mining</x:v>
      </x:c>
      <x:c r="F11768" s="13" t="str">
        <x:v>Deep Cyclicals</x:v>
      </x:c>
      <x:c r="G11768" s="13" t="str">
        <x:v>grid_wbaxp5t0.xlsx</x:v>
      </x:c>
    </x:row>
    <x:row r="11769">
      <x:c r="A11769" s="15" t="n">
        <x:v>45444</x:v>
      </x:c>
      <x:c r="B11769" s="13" t="str">
        <x:v>METALURGICA GERDAU SA-PREF</x:v>
      </x:c>
      <x:c r="C11769" s="16" t="n">
        <x:v>2055.9862699836</x:v>
      </x:c>
      <x:c r="D11769" s="13" t="str">
        <x:v>Metals &amp; Mining</x:v>
      </x:c>
      <x:c r="E11769" s="13" t="str">
        <x:v>Metals &amp; Mining</x:v>
      </x:c>
      <x:c r="F11769" s="13" t="str">
        <x:v>Deep Cyclicals</x:v>
      </x:c>
      <x:c r="G11769" s="13" t="str">
        <x:v>grid_wbaxp5t0.xlsx</x:v>
      </x:c>
    </x:row>
    <x:row r="11770">
      <x:c r="A11770" s="15" t="n">
        <x:v>45444</x:v>
      </x:c>
      <x:c r="B11770" s="13" t="str">
        <x:v>USINAS SIDER MINAS GER-PF A</x:v>
      </x:c>
      <x:c r="C11770" s="16" t="n">
        <x:v>1237.0622460493</x:v>
      </x:c>
      <x:c r="D11770" s="13" t="str">
        <x:v>Metals &amp; Mining</x:v>
      </x:c>
      <x:c r="E11770" s="13" t="str">
        <x:v>Metals &amp; Mining</x:v>
      </x:c>
      <x:c r="F11770" s="13" t="str">
        <x:v>Deep Cyclicals</x:v>
      </x:c>
      <x:c r="G11770" s="13" t="str">
        <x:v>grid_wbaxp5t0.xlsx</x:v>
      </x:c>
    </x:row>
    <x:row r="11771">
      <x:c r="A11771" s="15" t="n">
        <x:v>45444</x:v>
      </x:c>
      <x:c r="B11771" s="13" t="str">
        <x:v>VALE SA</x:v>
      </x:c>
      <x:c r="C11771" s="16" t="n">
        <x:v>50021.2955500712</x:v>
      </x:c>
      <x:c r="D11771" s="13" t="str">
        <x:v>Metals &amp; Mining</x:v>
      </x:c>
      <x:c r="E11771" s="13" t="str">
        <x:v>Metals &amp; Mining</x:v>
      </x:c>
      <x:c r="F11771" s="13" t="str">
        <x:v>Deep Cyclicals</x:v>
      </x:c>
      <x:c r="G11771" s="13" t="str">
        <x:v>grid_wbaxp5t0.xlsx</x:v>
      </x:c>
    </x:row>
    <x:row r="11772">
      <x:c r="A11772" s="15" t="n">
        <x:v>45444</x:v>
      </x:c>
      <x:c r="B11772" s="13" t="str">
        <x:v>BRASKEM SA-PREF A</x:v>
      </x:c>
      <x:c r="C11772" s="16" t="n">
        <x:v>-1069.9553104658</x:v>
      </x:c>
      <x:c r="D11772" s="13" t="str">
        <x:v>Oil, Gas &amp; Petrochemicals</x:v>
      </x:c>
      <x:c r="E11772" s="13" t="str">
        <x:v>Oil, Gas &amp; Petrochemicals</x:v>
      </x:c>
      <x:c r="F11772" s="13" t="str">
        <x:v>Deep Cyclicals</x:v>
      </x:c>
      <x:c r="G11772" s="13" t="str">
        <x:v>grid_wbaxp5t0.xlsx</x:v>
      </x:c>
    </x:row>
    <x:row r="11773">
      <x:c r="A11773" s="15" t="n">
        <x:v>45444</x:v>
      </x:c>
      <x:c r="B11773" s="13" t="str">
        <x:v>BRAVA ENERGIA</x:v>
      </x:c>
      <x:c r="C11773" s="16" t="n">
        <x:v>1956.9395270137</x:v>
      </x:c>
      <x:c r="D11773" s="13" t="str">
        <x:v>Oil, Gas &amp; Petrochemicals</x:v>
      </x:c>
      <x:c r="E11773" s="13" t="str">
        <x:v>Oil, Gas &amp; Petrochemicals</x:v>
      </x:c>
      <x:c r="F11773" s="13" t="str">
        <x:v>Deep Cyclicals</x:v>
      </x:c>
      <x:c r="G11773" s="13" t="str">
        <x:v>grid_wbaxp5t0.xlsx</x:v>
      </x:c>
    </x:row>
    <x:row r="11774">
      <x:c r="A11774" s="15" t="n">
        <x:v>45444</x:v>
      </x:c>
      <x:c r="B11774" s="13" t="str">
        <x:v>COSAN SA</x:v>
      </x:c>
      <x:c r="C11774" s="16" t="n">
        <x:v>2889.4985307178</x:v>
      </x:c>
      <x:c r="D11774" s="13" t="str">
        <x:v>Oil, Gas &amp; Petrochemicals</x:v>
      </x:c>
      <x:c r="E11774" s="13" t="str">
        <x:v>Oil, Gas &amp; Petrochemicals</x:v>
      </x:c>
      <x:c r="F11774" s="13" t="str">
        <x:v>Deep Cyclicals</x:v>
      </x:c>
      <x:c r="G11774" s="13" t="str">
        <x:v>grid_wbaxp5t0.xlsx</x:v>
      </x:c>
    </x:row>
    <x:row r="11775">
      <x:c r="A11775" s="15" t="n">
        <x:v>45444</x:v>
      </x:c>
      <x:c r="B11775" s="13" t="str">
        <x:v>PETROBRAS - PETROLEO BRAS</x:v>
      </x:c>
      <x:c r="C11775" s="16" t="n">
        <x:v>106349.603147047</x:v>
      </x:c>
      <x:c r="D11775" s="13" t="str">
        <x:v>Oil, Gas &amp; Petrochemicals</x:v>
      </x:c>
      <x:c r="E11775" s="13" t="str">
        <x:v>Oil, Gas &amp; Petrochemicals</x:v>
      </x:c>
      <x:c r="F11775" s="13" t="str">
        <x:v>Deep Cyclicals</x:v>
      </x:c>
      <x:c r="G11775" s="13" t="str">
        <x:v>grid_wbaxp5t0.xlsx</x:v>
      </x:c>
    </x:row>
    <x:row r="11776">
      <x:c r="A11776" s="15" t="n">
        <x:v>45444</x:v>
      </x:c>
      <x:c r="B11776" s="13" t="str">
        <x:v>PETRORECONCAVO SA</x:v>
      </x:c>
      <x:c r="C11776" s="16" t="n">
        <x:v>1277.9312990685</x:v>
      </x:c>
      <x:c r="D11776" s="13" t="str">
        <x:v>Oil, Gas &amp; Petrochemicals</x:v>
      </x:c>
      <x:c r="E11776" s="13" t="str">
        <x:v>Oil, Gas &amp; Petrochemicals</x:v>
      </x:c>
      <x:c r="F11776" s="13" t="str">
        <x:v>Deep Cyclicals</x:v>
      </x:c>
      <x:c r="G11776" s="13" t="str">
        <x:v>grid_wbaxp5t0.xlsx</x:v>
      </x:c>
    </x:row>
    <x:row r="11777">
      <x:c r="A11777" s="15" t="n">
        <x:v>45444</x:v>
      </x:c>
      <x:c r="B11777" s="13" t="str">
        <x:v>PRIO SA</x:v>
      </x:c>
      <x:c r="C11777" s="16" t="n">
        <x:v>7269.4835634849</x:v>
      </x:c>
      <x:c r="D11777" s="13" t="str">
        <x:v>Oil, Gas &amp; Petrochemicals</x:v>
      </x:c>
      <x:c r="E11777" s="13" t="str">
        <x:v>Oil, Gas &amp; Petrochemicals</x:v>
      </x:c>
      <x:c r="F11777" s="13" t="str">
        <x:v>Deep Cyclicals</x:v>
      </x:c>
      <x:c r="G11777" s="13" t="str">
        <x:v>grid_wbaxp5t0.xlsx</x:v>
      </x:c>
    </x:row>
    <x:row r="11778">
      <x:c r="A11778" s="15" t="n">
        <x:v>45444</x:v>
      </x:c>
      <x:c r="B11778" s="13" t="str">
        <x:v>ULTRAPAR PARTICIPACOES SA</x:v>
      </x:c>
      <x:c r="C11778" s="16" t="n">
        <x:v>2309.9453075288</x:v>
      </x:c>
      <x:c r="D11778" s="13" t="str">
        <x:v>Oil, Gas &amp; Petrochemicals</x:v>
      </x:c>
      <x:c r="E11778" s="13" t="str">
        <x:v>Oil, Gas &amp; Petrochemicals</x:v>
      </x:c>
      <x:c r="F11778" s="13" t="str">
        <x:v>Deep Cyclicals</x:v>
      </x:c>
      <x:c r="G11778" s="13" t="str">
        <x:v>grid_wbaxp5t0.xlsx</x:v>
      </x:c>
    </x:row>
    <x:row r="11779">
      <x:c r="A11779" s="15" t="n">
        <x:v>45444</x:v>
      </x:c>
      <x:c r="B11779" s="13" t="str">
        <x:v>VIBRA ENERGIA SA</x:v>
      </x:c>
      <x:c r="C11779" s="16" t="n">
        <x:v>2848.6166990904</x:v>
      </x:c>
      <x:c r="D11779" s="13" t="str">
        <x:v>Oil, Gas &amp; Petrochemicals</x:v>
      </x:c>
      <x:c r="E11779" s="13" t="str">
        <x:v>Oil, Gas &amp; Petrochemicals</x:v>
      </x:c>
      <x:c r="F11779" s="13" t="str">
        <x:v>Deep Cyclicals</x:v>
      </x:c>
      <x:c r="G11779" s="13" t="str">
        <x:v>grid_wbaxp5t0.xlsx</x:v>
      </x:c>
    </x:row>
    <x:row r="11780">
      <x:c r="A11780" s="15" t="n">
        <x:v>45444</x:v>
      </x:c>
      <x:c r="B11780" s="13" t="str">
        <x:v>DEXCO SA</x:v>
      </x:c>
      <x:c r="C11780" s="16" t="n">
        <x:v>371.1983409096</x:v>
      </x:c>
      <x:c r="D11780" s="13" t="str">
        <x:v>Pulp &amp; Paper</x:v>
      </x:c>
      <x:c r="E11780" s="13" t="str">
        <x:v>Pulp &amp; Paper</x:v>
      </x:c>
      <x:c r="F11780" s="13" t="str">
        <x:v>Deep Cyclicals</x:v>
      </x:c>
      <x:c r="G11780" s="13" t="str">
        <x:v>grid_wbaxp5t0.xlsx</x:v>
      </x:c>
    </x:row>
    <x:row r="11781">
      <x:c r="A11781" s="15" t="n">
        <x:v>45444</x:v>
      </x:c>
      <x:c r="B11781" s="13" t="str">
        <x:v>KLABIN SA - UNIT</x:v>
      </x:c>
      <x:c r="C11781" s="16" t="n">
        <x:v>2301.1147923288</x:v>
      </x:c>
      <x:c r="D11781" s="13" t="str">
        <x:v>Pulp &amp; Paper</x:v>
      </x:c>
      <x:c r="E11781" s="13" t="str">
        <x:v>Pulp &amp; Paper</x:v>
      </x:c>
      <x:c r="F11781" s="13" t="str">
        <x:v>Deep Cyclicals</x:v>
      </x:c>
      <x:c r="G11781" s="13" t="str">
        <x:v>grid_wbaxp5t0.xlsx</x:v>
      </x:c>
    </x:row>
    <x:row r="11782">
      <x:c r="A11782" s="15" t="n">
        <x:v>45444</x:v>
      </x:c>
      <x:c r="B11782" s="13" t="str">
        <x:v>SUZANO SA</x:v>
      </x:c>
      <x:c r="C11782" s="16" t="n">
        <x:v>8321.3161233534</x:v>
      </x:c>
      <x:c r="D11782" s="13" t="str">
        <x:v>Pulp &amp; Paper</x:v>
      </x:c>
      <x:c r="E11782" s="13" t="str">
        <x:v>Pulp &amp; Paper</x:v>
      </x:c>
      <x:c r="F11782" s="13" t="str">
        <x:v>Deep Cyclicals</x:v>
      </x:c>
      <x:c r="G11782" s="13" t="str">
        <x:v>grid_wbaxp5t0.xlsx</x:v>
      </x:c>
    </x:row>
    <x:row r="11783">
      <x:c r="A11783" s="15" t="n">
        <x:v>45444</x:v>
      </x:c>
      <x:c r="B11783" s="13" t="str">
        <x:v>ALPARGATAS SA - PREF</x:v>
      </x:c>
      <x:c r="C11783" s="16" t="n">
        <x:v>371.5319700164</x:v>
      </x:c>
      <x:c r="D11783" s="13" t="str">
        <x:v>Retail</x:v>
      </x:c>
      <x:c r="E11783" s="13" t="str">
        <x:v>Retail</x:v>
      </x:c>
      <x:c r="F11783" s="13" t="str">
        <x:v>Early Cyclicals</x:v>
      </x:c>
      <x:c r="G11783" s="13" t="str">
        <x:v>grid_wbaxp5t0.xlsx</x:v>
      </x:c>
    </x:row>
    <x:row r="11784">
      <x:c r="A11784" s="15" t="n">
        <x:v>45444</x:v>
      </x:c>
      <x:c r="B11784" s="13" t="str">
        <x:v>ATACADAO SA</x:v>
      </x:c>
      <x:c r="C11784" s="16" t="n">
        <x:v>1673.7800395397</x:v>
      </x:c>
      <x:c r="D11784" s="13" t="str">
        <x:v>Retail</x:v>
      </x:c>
      <x:c r="E11784" s="13" t="str">
        <x:v>Retail</x:v>
      </x:c>
      <x:c r="F11784" s="13" t="str">
        <x:v>Early Cyclicals</x:v>
      </x:c>
      <x:c r="G11784" s="13" t="str">
        <x:v>grid_wbaxp5t0.xlsx</x:v>
      </x:c>
    </x:row>
    <x:row r="11785">
      <x:c r="A11785" s="15" t="n">
        <x:v>45444</x:v>
      </x:c>
      <x:c r="B11785" s="13" t="str">
        <x:v>AZZAS 2154 SA</x:v>
      </x:c>
      <x:c r="C11785" s="16" t="n">
        <x:v>473.2071232877</x:v>
      </x:c>
      <x:c r="D11785" s="13" t="str">
        <x:v>Retail</x:v>
      </x:c>
      <x:c r="E11785" s="13" t="str">
        <x:v>Retail</x:v>
      </x:c>
      <x:c r="F11785" s="13" t="str">
        <x:v>Early Cyclicals</x:v>
      </x:c>
      <x:c r="G11785" s="13" t="str">
        <x:v>grid_wbaxp5t0.xlsx</x:v>
      </x:c>
    </x:row>
    <x:row r="11786">
      <x:c r="A11786" s="15" t="n">
        <x:v>45444</x:v>
      </x:c>
      <x:c r="B11786" s="13" t="str">
        <x:v>CIA BRASILEIRA DE DISTRIBUIC</x:v>
      </x:c>
      <x:c r="C11786" s="16" t="n">
        <x:v>-331.7202361644</x:v>
      </x:c>
      <x:c r="D11786" s="13" t="str">
        <x:v>Retail</x:v>
      </x:c>
      <x:c r="E11786" s="13" t="str">
        <x:v>Retail</x:v>
      </x:c>
      <x:c r="F11786" s="13" t="str">
        <x:v>Early Cyclicals</x:v>
      </x:c>
      <x:c r="G11786" s="13" t="str">
        <x:v>grid_wbaxp5t0.xlsx</x:v>
      </x:c>
    </x:row>
    <x:row r="11787">
      <x:c r="A11787" s="15" t="n">
        <x:v>45444</x:v>
      </x:c>
      <x:c r="B11787" s="13" t="str">
        <x:v>CVC BRASIL OPERADORA E AGENC</x:v>
      </x:c>
      <x:c r="C11787" s="16" t="n">
        <x:v>27.2245753425</x:v>
      </x:c>
      <x:c r="D11787" s="13" t="str">
        <x:v>Retail</x:v>
      </x:c>
      <x:c r="E11787" s="13" t="str">
        <x:v>Retail</x:v>
      </x:c>
      <x:c r="F11787" s="13" t="str">
        <x:v>Early Cyclicals</x:v>
      </x:c>
      <x:c r="G11787" s="13" t="str">
        <x:v>grid_wbaxp5t0.xlsx</x:v>
      </x:c>
    </x:row>
    <x:row r="11788">
      <x:c r="A11788" s="15" t="n">
        <x:v>45444</x:v>
      </x:c>
      <x:c r="B11788" s="13" t="str">
        <x:v>GRUPO DE MODA SOMA SA</x:v>
      </x:c>
      <x:c r="C11788" s="16" t="n">
        <x:v>438.4451054466</x:v>
      </x:c>
      <x:c r="D11788" s="13" t="str">
        <x:v>Retail</x:v>
      </x:c>
      <x:c r="E11788" s="13" t="str">
        <x:v>Retail</x:v>
      </x:c>
      <x:c r="F11788" s="13" t="str">
        <x:v>Early Cyclicals</x:v>
      </x:c>
      <x:c r="G11788" s="13" t="str">
        <x:v>grid_wbaxp5t0.xlsx</x:v>
      </x:c>
    </x:row>
    <x:row r="11789">
      <x:c r="A11789" s="15" t="n">
        <x:v>45444</x:v>
      </x:c>
      <x:c r="B11789" s="13" t="str">
        <x:v>LOJAS RENNER S.A.</x:v>
      </x:c>
      <x:c r="C11789" s="16" t="n">
        <x:v>1208.1596121425</x:v>
      </x:c>
      <x:c r="D11789" s="13" t="str">
        <x:v>Retail</x:v>
      </x:c>
      <x:c r="E11789" s="13" t="str">
        <x:v>Retail</x:v>
      </x:c>
      <x:c r="F11789" s="13" t="str">
        <x:v>Early Cyclicals</x:v>
      </x:c>
      <x:c r="G11789" s="13" t="str">
        <x:v>grid_wbaxp5t0.xlsx</x:v>
      </x:c>
    </x:row>
    <x:row r="11790">
      <x:c r="A11790" s="15" t="n">
        <x:v>45444</x:v>
      </x:c>
      <x:c r="B11790" s="13" t="str">
        <x:v>MAGAZINE LUIZA SA</x:v>
      </x:c>
      <x:c r="C11790" s="16" t="n">
        <x:v>446.4183113644</x:v>
      </x:c>
      <x:c r="D11790" s="13" t="str">
        <x:v>Retail</x:v>
      </x:c>
      <x:c r="E11790" s="13" t="str">
        <x:v>Retail</x:v>
      </x:c>
      <x:c r="F11790" s="13" t="str">
        <x:v>Early Cyclicals</x:v>
      </x:c>
      <x:c r="G11790" s="13" t="str">
        <x:v>grid_wbaxp5t0.xlsx</x:v>
      </x:c>
    </x:row>
    <x:row r="11791">
      <x:c r="A11791" s="15" t="n">
        <x:v>45444</x:v>
      </x:c>
      <x:c r="B11791" s="13" t="str">
        <x:v>NATURA &amp;CO HOLDING SA</x:v>
      </x:c>
      <x:c r="C11791" s="16" t="n">
        <x:v>1217.2443816329</x:v>
      </x:c>
      <x:c r="D11791" s="13" t="str">
        <x:v>Retail</x:v>
      </x:c>
      <x:c r="E11791" s="13" t="str">
        <x:v>Retail</x:v>
      </x:c>
      <x:c r="F11791" s="13" t="str">
        <x:v>Early Cyclicals</x:v>
      </x:c>
      <x:c r="G11791" s="13" t="str">
        <x:v>grid_wbaxp5t0.xlsx</x:v>
      </x:c>
    </x:row>
    <x:row r="11792">
      <x:c r="A11792" s="15" t="n">
        <x:v>45444</x:v>
      </x:c>
      <x:c r="B11792" s="13" t="str">
        <x:v>PET CENTER COMERCIO E PARTIC</x:v>
      </x:c>
      <x:c r="C11792" s="16" t="n">
        <x:v>78.1785463014</x:v>
      </x:c>
      <x:c r="D11792" s="13" t="str">
        <x:v>Retail</x:v>
      </x:c>
      <x:c r="E11792" s="13" t="str">
        <x:v>Retail</x:v>
      </x:c>
      <x:c r="F11792" s="13" t="str">
        <x:v>Early Cyclicals</x:v>
      </x:c>
      <x:c r="G11792" s="13" t="str">
        <x:v>grid_wbaxp5t0.xlsx</x:v>
      </x:c>
    </x:row>
    <x:row r="11793">
      <x:c r="A11793" s="15" t="n">
        <x:v>45444</x:v>
      </x:c>
      <x:c r="B11793" s="13" t="str">
        <x:v>RAIA DROGASIL SA</x:v>
      </x:c>
      <x:c r="C11793" s="16" t="n">
        <x:v>1575.814598137</x:v>
      </x:c>
      <x:c r="D11793" s="13" t="str">
        <x:v>Retail</x:v>
      </x:c>
      <x:c r="E11793" s="13" t="str">
        <x:v>Retail</x:v>
      </x:c>
      <x:c r="F11793" s="13" t="str">
        <x:v>Early Cyclicals</x:v>
      </x:c>
      <x:c r="G11793" s="13" t="str">
        <x:v>grid_wbaxp5t0.xlsx</x:v>
      </x:c>
    </x:row>
    <x:row r="11794">
      <x:c r="A11794" s="15" t="n">
        <x:v>45444</x:v>
      </x:c>
      <x:c r="B11794" s="13" t="str">
        <x:v>SENDAS DISTRIBUIDORA SA</x:v>
      </x:c>
      <x:c r="C11794" s="16" t="n">
        <x:v>1144.1412983233</x:v>
      </x:c>
      <x:c r="D11794" s="13" t="str">
        <x:v>Retail</x:v>
      </x:c>
      <x:c r="E11794" s="13" t="str">
        <x:v>Retail</x:v>
      </x:c>
      <x:c r="F11794" s="13" t="str">
        <x:v>Early Cyclicals</x:v>
      </x:c>
      <x:c r="G11794" s="13" t="str">
        <x:v>grid_wbaxp5t0.xlsx</x:v>
      </x:c>
    </x:row>
    <x:row r="11795">
      <x:c r="A11795" s="15" t="n">
        <x:v>45444</x:v>
      </x:c>
      <x:c r="B11795" s="13" t="str">
        <x:v>VIVARA PARTICIPACOES SA</x:v>
      </x:c>
      <x:c r="C11795" s="16" t="n">
        <x:v>488.5624500603</x:v>
      </x:c>
      <x:c r="D11795" s="13" t="str">
        <x:v>Retail</x:v>
      </x:c>
      <x:c r="E11795" s="13" t="str">
        <x:v>Retail</x:v>
      </x:c>
      <x:c r="F11795" s="13" t="str">
        <x:v>Early Cyclicals</x:v>
      </x:c>
      <x:c r="G11795" s="13" t="str">
        <x:v>grid_wbaxp5t0.xlsx</x:v>
      </x:c>
    </x:row>
    <x:row r="11796">
      <x:c r="A11796" s="15" t="n">
        <x:v>45444</x:v>
      </x:c>
      <x:c r="B11796" s="13" t="str">
        <x:v>CIA SANEAMENTO BASICO DE SP</x:v>
      </x:c>
      <x:c r="C11796" s="16" t="n">
        <x:v>4472.5349516274</x:v>
      </x:c>
      <x:c r="D11796" s="13" t="str">
        <x:v>Sanitation</x:v>
      </x:c>
      <x:c r="E11796" s="13" t="str">
        <x:v>Utilities</x:v>
      </x:c>
      <x:c r="F11796" s="13" t="str">
        <x:v>Defensives</x:v>
      </x:c>
      <x:c r="G11796" s="13" t="str">
        <x:v>grid_wbaxp5t0.xlsx</x:v>
      </x:c>
    </x:row>
    <x:row r="11797">
      <x:c r="A11797" s="15" t="n">
        <x:v>45444</x:v>
      </x:c>
      <x:c r="B11797" s="13" t="str">
        <x:v>LWSA SA</x:v>
      </x:c>
      <x:c r="C11797" s="16" t="n">
        <x:v>112.3982876712</x:v>
      </x:c>
      <x:c r="D11797" s="13" t="str">
        <x:v>TMT</x:v>
      </x:c>
      <x:c r="E11797" s="13" t="str">
        <x:v>TMT</x:v>
      </x:c>
      <x:c r="F11797" s="13" t="str">
        <x:v>Early Cyclicals</x:v>
      </x:c>
      <x:c r="G11797" s="13" t="str">
        <x:v>grid_wbaxp5t0.xlsx</x:v>
      </x:c>
    </x:row>
    <x:row r="11798">
      <x:c r="A11798" s="15" t="n">
        <x:v>45444</x:v>
      </x:c>
      <x:c r="B11798" s="13" t="str">
        <x:v>TIM SA</x:v>
      </x:c>
      <x:c r="C11798" s="16" t="n">
        <x:v>3721.1830896219</x:v>
      </x:c>
      <x:c r="D11798" s="13" t="str">
        <x:v>TMT</x:v>
      </x:c>
      <x:c r="E11798" s="13" t="str">
        <x:v>TMT</x:v>
      </x:c>
      <x:c r="F11798" s="13" t="str">
        <x:v>Early Cyclicals</x:v>
      </x:c>
      <x:c r="G11798" s="13" t="str">
        <x:v>grid_wbaxp5t0.xlsx</x:v>
      </x:c>
    </x:row>
    <x:row r="11799">
      <x:c r="A11799" s="15" t="n">
        <x:v>45444</x:v>
      </x:c>
      <x:c r="B11799" s="13" t="str">
        <x:v>TOTVS SA</x:v>
      </x:c>
      <x:c r="C11799" s="16" t="n">
        <x:v>807.5285212932</x:v>
      </x:c>
      <x:c r="D11799" s="13" t="str">
        <x:v>TMT</x:v>
      </x:c>
      <x:c r="E11799" s="13" t="str">
        <x:v>TMT</x:v>
      </x:c>
      <x:c r="F11799" s="13" t="str">
        <x:v>Early Cyclicals</x:v>
      </x:c>
      <x:c r="G11799" s="13" t="str">
        <x:v>grid_wbaxp5t0.xlsx</x:v>
      </x:c>
    </x:row>
    <x:row r="11800">
      <x:c r="A11800" s="15" t="n">
        <x:v>45444</x:v>
      </x:c>
      <x:c r="B11800" s="13" t="str">
        <x:v>AZUL SA</x:v>
      </x:c>
      <x:c r="C11800" s="16" t="n">
        <x:v>-265.8838975123</x:v>
      </x:c>
      <x:c r="D11800" s="13" t="str">
        <x:v>Transportation</x:v>
      </x:c>
      <x:c r="E11800" s="13" t="str">
        <x:v>Transportation</x:v>
      </x:c>
      <x:c r="F11800" s="13" t="str">
        <x:v>Deep Cyclicals</x:v>
      </x:c>
      <x:c r="G11800" s="13" t="str">
        <x:v>grid_wbaxp5t0.xlsx</x:v>
      </x:c>
    </x:row>
    <x:row r="11801">
      <x:c r="A11801" s="15" t="n">
        <x:v>45444</x:v>
      </x:c>
      <x:c r="B11801" s="13" t="str">
        <x:v>LOCALIZA RENT A CAR</x:v>
      </x:c>
      <x:c r="C11801" s="16" t="n">
        <x:v>3621.6002896658</x:v>
      </x:c>
      <x:c r="D11801" s="13" t="str">
        <x:v>Transportation</x:v>
      </x:c>
      <x:c r="E11801" s="13" t="str">
        <x:v>Transportation</x:v>
      </x:c>
      <x:c r="F11801" s="13" t="str">
        <x:v>Deep Cyclicals</x:v>
      </x:c>
      <x:c r="G11801" s="13" t="str">
        <x:v>grid_wbaxp5t0.xlsx</x:v>
      </x:c>
    </x:row>
    <x:row r="11802">
      <x:c r="A11802" s="15" t="n">
        <x:v>45444</x:v>
      </x:c>
      <x:c r="B11802" s="13" t="str">
        <x:v>MOTIVA INFRAESTRUTURA DE MOB</x:v>
      </x:c>
      <x:c r="C11802" s="16" t="n">
        <x:v>1797.2697740274</x:v>
      </x:c>
      <x:c r="D11802" s="13" t="str">
        <x:v>Transportation</x:v>
      </x:c>
      <x:c r="E11802" s="13" t="str">
        <x:v>Transportation</x:v>
      </x:c>
      <x:c r="F11802" s="13" t="str">
        <x:v>Deep Cyclicals</x:v>
      </x:c>
      <x:c r="G11802" s="13" t="str">
        <x:v>grid_wbaxp5t0.xlsx</x:v>
      </x:c>
    </x:row>
    <x:row r="11803">
      <x:c r="A11803" s="15" t="n">
        <x:v>45444</x:v>
      </x:c>
      <x:c r="B11803" s="13" t="str">
        <x:v>RUMO SA</x:v>
      </x:c>
      <x:c r="C11803" s="16" t="n">
        <x:v>2337.1620316931</x:v>
      </x:c>
      <x:c r="D11803" s="13" t="str">
        <x:v>Transportation</x:v>
      </x:c>
      <x:c r="E11803" s="13" t="str">
        <x:v>Transportation</x:v>
      </x:c>
      <x:c r="F11803" s="13" t="str">
        <x:v>Deep Cyclicals</x:v>
      </x:c>
      <x:c r="G11803" s="13" t="str">
        <x:v>grid_wbaxp5t0.xlsx</x:v>
      </x:c>
    </x:row>
    <x:row r="11804">
      <x:c r="A11804" s="15" t="n">
        <x:v>45444</x:v>
      </x:c>
      <x:c r="B11804" s="13" t="str">
        <x:v>VAMOS LOCACAO DE CAMINHOES M</x:v>
      </x:c>
      <x:c r="C11804" s="16" t="n">
        <x:v>954.2682778301</x:v>
      </x:c>
      <x:c r="D11804" s="13" t="str">
        <x:v>Transportation</x:v>
      </x:c>
      <x:c r="E11804" s="13" t="str">
        <x:v>Transportation</x:v>
      </x:c>
      <x:c r="F11804" s="13" t="str">
        <x:v>Deep Cyclicals</x:v>
      </x:c>
      <x:c r="G11804" s="13" t="str">
        <x:v>grid_wbaxp5t0.xlsx</x:v>
      </x:c>
    </x:row>
    <x:row r="11805">
      <x:c r="A11805" s="15" t="n">
        <x:v>45444</x:v>
      </x:c>
      <x:c r="B11805" s="13" t="str">
        <x:v>AXIA ENERGIA SA</x:v>
      </x:c>
      <x:c r="C11805" s="16" t="n">
        <x:v>9118.302342663</x:v>
      </x:c>
      <x:c r="D11805" s="13" t="str">
        <x:v>Utilities &amp; Energy</x:v>
      </x:c>
      <x:c r="E11805" s="13" t="str">
        <x:v>Utilities</x:v>
      </x:c>
      <x:c r="F11805" s="13" t="str">
        <x:v>Defensives</x:v>
      </x:c>
      <x:c r="G11805" s="13" t="str">
        <x:v>grid_wbaxp5t0.xlsx</x:v>
      </x:c>
    </x:row>
    <x:row r="11806">
      <x:c r="A11806" s="15" t="n">
        <x:v>45444</x:v>
      </x:c>
      <x:c r="B11806" s="13" t="str">
        <x:v>AXIA ENERGIA-PR B</x:v>
      </x:c>
      <x:c r="C11806" s="16" t="n">
        <x:v>9118.302342663</x:v>
      </x:c>
      <x:c r="D11806" s="13" t="str">
        <x:v>Utilities &amp; Energy</x:v>
      </x:c>
      <x:c r="E11806" s="13" t="str">
        <x:v>Utilities</x:v>
      </x:c>
      <x:c r="F11806" s="13" t="str">
        <x:v>Defensives</x:v>
      </x:c>
      <x:c r="G11806" s="13" t="str">
        <x:v>grid_wbaxp5t0.xlsx</x:v>
      </x:c>
    </x:row>
    <x:row r="11807">
      <x:c r="A11807" s="15" t="n">
        <x:v>45444</x:v>
      </x:c>
      <x:c r="B11807" s="13" t="str">
        <x:v>CIA ENERGETICA MINAS GER-PRF</x:v>
      </x:c>
      <x:c r="C11807" s="16" t="n">
        <x:v>5001.2473358027</x:v>
      </x:c>
      <x:c r="D11807" s="13" t="str">
        <x:v>Utilities &amp; Energy</x:v>
      </x:c>
      <x:c r="E11807" s="13" t="str">
        <x:v>Utilities</x:v>
      </x:c>
      <x:c r="F11807" s="13" t="str">
        <x:v>Defensives</x:v>
      </x:c>
      <x:c r="G11807" s="13" t="str">
        <x:v>grid_wbaxp5t0.xlsx</x:v>
      </x:c>
    </x:row>
    <x:row r="11808">
      <x:c r="A11808" s="15" t="n">
        <x:v>45444</x:v>
      </x:c>
      <x:c r="B11808" s="13" t="str">
        <x:v>COMPANHIA PARANAENSE -PREF B</x:v>
      </x:c>
      <x:c r="C11808" s="16" t="n">
        <x:v>2365.0090194411</x:v>
      </x:c>
      <x:c r="D11808" s="13" t="str">
        <x:v>Utilities &amp; Energy</x:v>
      </x:c>
      <x:c r="E11808" s="13" t="str">
        <x:v>Utilities</x:v>
      </x:c>
      <x:c r="F11808" s="13" t="str">
        <x:v>Defensives</x:v>
      </x:c>
      <x:c r="G11808" s="13" t="str">
        <x:v>grid_wbaxp5t0.xlsx</x:v>
      </x:c>
    </x:row>
    <x:row r="11809">
      <x:c r="A11809" s="15" t="n">
        <x:v>45444</x:v>
      </x:c>
      <x:c r="B11809" s="13" t="str">
        <x:v>CPFL ENERGIA SA</x:v>
      </x:c>
      <x:c r="C11809" s="16" t="n">
        <x:v>5210.6876310794</x:v>
      </x:c>
      <x:c r="D11809" s="13" t="str">
        <x:v>Utilities &amp; Energy</x:v>
      </x:c>
      <x:c r="E11809" s="13" t="str">
        <x:v>Utilities</x:v>
      </x:c>
      <x:c r="F11809" s="13" t="str">
        <x:v>Defensives</x:v>
      </x:c>
      <x:c r="G11809" s="13" t="str">
        <x:v>grid_wbaxp5t0.xlsx</x:v>
      </x:c>
    </x:row>
    <x:row r="11810">
      <x:c r="A11810" s="15" t="n">
        <x:v>45444</x:v>
      </x:c>
      <x:c r="B11810" s="13" t="str">
        <x:v>ENERGISA SA-UNITS</x:v>
      </x:c>
      <x:c r="C11810" s="16" t="n">
        <x:v>2044.4832550575</x:v>
      </x:c>
      <x:c r="D11810" s="13" t="str">
        <x:v>Utilities &amp; Energy</x:v>
      </x:c>
      <x:c r="E11810" s="13" t="str">
        <x:v>Utilities</x:v>
      </x:c>
      <x:c r="F11810" s="13" t="str">
        <x:v>Defensives</x:v>
      </x:c>
      <x:c r="G11810" s="13" t="str">
        <x:v>grid_wbaxp5t0.xlsx</x:v>
      </x:c>
    </x:row>
    <x:row r="11811">
      <x:c r="A11811" s="15" t="n">
        <x:v>45444</x:v>
      </x:c>
      <x:c r="B11811" s="13" t="str">
        <x:v>ENEVA SA</x:v>
      </x:c>
      <x:c r="C11811" s="16" t="n">
        <x:v>479.7216438356</x:v>
      </x:c>
      <x:c r="D11811" s="13" t="str">
        <x:v>Utilities &amp; Energy</x:v>
      </x:c>
      <x:c r="E11811" s="13" t="str">
        <x:v>Utilities</x:v>
      </x:c>
      <x:c r="F11811" s="13" t="str">
        <x:v>Defensives</x:v>
      </x:c>
      <x:c r="G11811" s="13" t="str">
        <x:v>grid_wbaxp5t0.xlsx</x:v>
      </x:c>
    </x:row>
    <x:row r="11812">
      <x:c r="A11812" s="15" t="n">
        <x:v>45444</x:v>
      </x:c>
      <x:c r="B11812" s="13" t="str">
        <x:v>ENGIE BRASIL ENERGIA SA</x:v>
      </x:c>
      <x:c r="C11812" s="16" t="n">
        <x:v>3610.1208968767</x:v>
      </x:c>
      <x:c r="D11812" s="13" t="str">
        <x:v>Utilities &amp; Energy</x:v>
      </x:c>
      <x:c r="E11812" s="13" t="str">
        <x:v>Utilities</x:v>
      </x:c>
      <x:c r="F11812" s="13" t="str">
        <x:v>Defensives</x:v>
      </x:c>
      <x:c r="G11812" s="13" t="str">
        <x:v>grid_wbaxp5t0.xlsx</x:v>
      </x:c>
    </x:row>
    <x:row r="11813">
      <x:c r="A11813" s="15" t="n">
        <x:v>45444</x:v>
      </x:c>
      <x:c r="B11813" s="13" t="str">
        <x:v>EQUATORIAL SA - ORD</x:v>
      </x:c>
      <x:c r="C11813" s="16" t="n">
        <x:v>3295.0450702027</x:v>
      </x:c>
      <x:c r="D11813" s="13" t="str">
        <x:v>Utilities &amp; Energy</x:v>
      </x:c>
      <x:c r="E11813" s="13" t="str">
        <x:v>Utilities</x:v>
      </x:c>
      <x:c r="F11813" s="13" t="str">
        <x:v>Defensives</x:v>
      </x:c>
      <x:c r="G11813" s="13" t="str">
        <x:v>grid_wbaxp5t0.xlsx</x:v>
      </x:c>
    </x:row>
    <x:row r="11814">
      <x:c r="A11814" s="15" t="n">
        <x:v>45444</x:v>
      </x:c>
      <x:c r="B11814" s="13" t="str">
        <x:v>ISA ENERGIA BRASIL SA</x:v>
      </x:c>
      <x:c r="C11814" s="16" t="n">
        <x:v>1783.745721863</x:v>
      </x:c>
      <x:c r="D11814" s="13" t="str">
        <x:v>Utilities &amp; Energy</x:v>
      </x:c>
      <x:c r="E11814" s="13" t="str">
        <x:v>Utilities</x:v>
      </x:c>
      <x:c r="F11814" s="13" t="str">
        <x:v>Defensives</x:v>
      </x:c>
      <x:c r="G11814" s="13" t="str">
        <x:v>grid_wbaxp5t0.xlsx</x:v>
      </x:c>
    </x:row>
    <x:row r="11815">
      <x:c r="A11815" s="15" t="n">
        <x:v>45444</x:v>
      </x:c>
      <x:c r="B11815" s="13" t="str">
        <x:v>TRANSMISSORA ALIANCA DE-UNIT</x:v>
      </x:c>
      <x:c r="C11815" s="16" t="n">
        <x:v>1147.0247052274</x:v>
      </x:c>
      <x:c r="D11815" s="13" t="str">
        <x:v>Utilities &amp; Energy</x:v>
      </x:c>
      <x:c r="E11815" s="13" t="str">
        <x:v>Utilities</x:v>
      </x:c>
      <x:c r="F11815" s="13" t="str">
        <x:v>Defensives</x:v>
      </x:c>
      <x:c r="G11815" s="13" t="str">
        <x:v>grid_wbaxp5t0.xlsx</x:v>
      </x:c>
    </x:row>
    <x:row r="11816">
      <x:c r="A11816" s="15" t="n">
        <x:v>45474</x:v>
      </x:c>
      <x:c r="B11816" s="13" t="str">
        <x:v>RAIZEN SA - PREFERENCE</x:v>
      </x:c>
      <x:c r="C11816" s="16" t="n">
        <x:v>3963.4504963507</x:v>
      </x:c>
      <x:c r="D11816" s="13" t="str">
        <x:v>Agribusiness</x:v>
      </x:c>
      <x:c r="E11816" s="13" t="str">
        <x:v>Agri, Food &amp; Beverages</x:v>
      </x:c>
      <x:c r="F11816" s="13" t="str">
        <x:v>Defensives</x:v>
      </x:c>
      <x:c r="G11816" s="13" t="str">
        <x:v>grid_wbaxp5t0.xlsx</x:v>
      </x:c>
    </x:row>
    <x:row r="11817">
      <x:c r="A11817" s="15" t="n">
        <x:v>45474</x:v>
      </x:c>
      <x:c r="B11817" s="13" t="str">
        <x:v>SAO MARTINHO SA</x:v>
      </x:c>
      <x:c r="C11817" s="16" t="n">
        <x:v>1039.7067169315</x:v>
      </x:c>
      <x:c r="D11817" s="13" t="str">
        <x:v>Agribusiness</x:v>
      </x:c>
      <x:c r="E11817" s="13" t="str">
        <x:v>Agri, Food &amp; Beverages</x:v>
      </x:c>
      <x:c r="F11817" s="13" t="str">
        <x:v>Defensives</x:v>
      </x:c>
      <x:c r="G11817" s="13" t="str">
        <x:v>grid_wbaxp5t0.xlsx</x:v>
      </x:c>
    </x:row>
    <x:row r="11818">
      <x:c r="A11818" s="15" t="n">
        <x:v>45474</x:v>
      </x:c>
      <x:c r="B11818" s="13" t="str">
        <x:v>SLC AGRICOLA SA</x:v>
      </x:c>
      <x:c r="C11818" s="16" t="n">
        <x:v>983.0282438137</x:v>
      </x:c>
      <x:c r="D11818" s="13" t="str">
        <x:v>Agribusiness</x:v>
      </x:c>
      <x:c r="E11818" s="13" t="str">
        <x:v>Agri, Food &amp; Beverages</x:v>
      </x:c>
      <x:c r="F11818" s="13" t="str">
        <x:v>Defensives</x:v>
      </x:c>
      <x:c r="G11818" s="13" t="str">
        <x:v>grid_wbaxp5t0.xlsx</x:v>
      </x:c>
    </x:row>
    <x:row r="11819">
      <x:c r="A11819" s="15" t="n">
        <x:v>45474</x:v>
      </x:c>
      <x:c r="B11819" s="13" t="str">
        <x:v>BANCO BRADESCO S.A.</x:v>
      </x:c>
      <x:c r="C11819" s="16" t="n">
        <x:v>21489.5818780055</x:v>
      </x:c>
      <x:c r="D11819" s="13" t="str">
        <x:v>Banks</x:v>
      </x:c>
      <x:c r="E11819" s="13" t="str">
        <x:v>Banks</x:v>
      </x:c>
      <x:c r="F11819" s="13" t="str">
        <x:v>Financials</x:v>
      </x:c>
      <x:c r="G11819" s="13" t="str">
        <x:v>grid_wbaxp5t0.xlsx</x:v>
      </x:c>
    </x:row>
    <x:row r="11820">
      <x:c r="A11820" s="15" t="n">
        <x:v>45474</x:v>
      </x:c>
      <x:c r="B11820" s="13" t="str">
        <x:v>BANCO BRADESCO SA-PREF</x:v>
      </x:c>
      <x:c r="C11820" s="16" t="n">
        <x:v>21489.5818780055</x:v>
      </x:c>
      <x:c r="D11820" s="13" t="str">
        <x:v>Banks</x:v>
      </x:c>
      <x:c r="E11820" s="13" t="str">
        <x:v>Banks</x:v>
      </x:c>
      <x:c r="F11820" s="13" t="str">
        <x:v>Financials</x:v>
      </x:c>
      <x:c r="G11820" s="13" t="str">
        <x:v>grid_wbaxp5t0.xlsx</x:v>
      </x:c>
    </x:row>
    <x:row r="11821">
      <x:c r="A11821" s="15" t="n">
        <x:v>45474</x:v>
      </x:c>
      <x:c r="B11821" s="13" t="str">
        <x:v>BANCO BTG PACTUAL SA-UNIT</x:v>
      </x:c>
      <x:c r="C11821" s="16" t="n">
        <x:v>13326.7055489753</x:v>
      </x:c>
      <x:c r="D11821" s="13" t="str">
        <x:v>Banks</x:v>
      </x:c>
      <x:c r="E11821" s="13" t="str">
        <x:v>Banks</x:v>
      </x:c>
      <x:c r="F11821" s="13" t="str">
        <x:v>Financials</x:v>
      </x:c>
      <x:c r="G11821" s="13" t="str">
        <x:v>grid_wbaxp5t0.xlsx</x:v>
      </x:c>
    </x:row>
    <x:row r="11822">
      <x:c r="A11822" s="15" t="n">
        <x:v>45474</x:v>
      </x:c>
      <x:c r="B11822" s="13" t="str">
        <x:v>BANCO DO BRASIL S.A.</x:v>
      </x:c>
      <x:c r="C11822" s="16" t="n">
        <x:v>38972.3771048329</x:v>
      </x:c>
      <x:c r="D11822" s="13" t="str">
        <x:v>Banks</x:v>
      </x:c>
      <x:c r="E11822" s="13" t="str">
        <x:v>Banks</x:v>
      </x:c>
      <x:c r="F11822" s="13" t="str">
        <x:v>Financials</x:v>
      </x:c>
      <x:c r="G11822" s="13" t="str">
        <x:v>grid_wbaxp5t0.xlsx</x:v>
      </x:c>
    </x:row>
    <x:row r="11823">
      <x:c r="A11823" s="15" t="n">
        <x:v>45474</x:v>
      </x:c>
      <x:c r="B11823" s="13" t="str">
        <x:v>BANCO SANTANDER  BRASIL-UNIT</x:v>
      </x:c>
      <x:c r="C11823" s="16" t="n">
        <x:v>15212.7670468384</x:v>
      </x:c>
      <x:c r="D11823" s="13" t="str">
        <x:v>Banks</x:v>
      </x:c>
      <x:c r="E11823" s="13" t="str">
        <x:v>Banks</x:v>
      </x:c>
      <x:c r="F11823" s="13" t="str">
        <x:v>Financials</x:v>
      </x:c>
      <x:c r="G11823" s="13" t="str">
        <x:v>grid_wbaxp5t0.xlsx</x:v>
      </x:c>
    </x:row>
    <x:row r="11824">
      <x:c r="A11824" s="15" t="n">
        <x:v>45474</x:v>
      </x:c>
      <x:c r="B11824" s="13" t="str">
        <x:v>ITAU UNIBANCO HOLDING S-PREF</x:v>
      </x:c>
      <x:c r="C11824" s="16" t="n">
        <x:v>43191.845413874</x:v>
      </x:c>
      <x:c r="D11824" s="13" t="str">
        <x:v>Banks</x:v>
      </x:c>
      <x:c r="E11824" s="13" t="str">
        <x:v>Banks</x:v>
      </x:c>
      <x:c r="F11824" s="13" t="str">
        <x:v>Financials</x:v>
      </x:c>
      <x:c r="G11824" s="13" t="str">
        <x:v>grid_wbaxp5t0.xlsx</x:v>
      </x:c>
    </x:row>
    <x:row r="11825">
      <x:c r="A11825" s="15" t="n">
        <x:v>45474</x:v>
      </x:c>
      <x:c r="B11825" s="13" t="str">
        <x:v>EMBRAER SA</x:v>
      </x:c>
      <x:c r="C11825" s="16" t="n">
        <x:v>1633.3342144877</x:v>
      </x:c>
      <x:c r="D11825" s="13" t="str">
        <x:v>Capital Goods</x:v>
      </x:c>
      <x:c r="E11825" s="13" t="str">
        <x:v>Capital Goods</x:v>
      </x:c>
      <x:c r="F11825" s="13" t="str">
        <x:v>Deep Cyclicals</x:v>
      </x:c>
      <x:c r="G11825" s="13" t="str">
        <x:v>grid_wbaxp5t0.xlsx</x:v>
      </x:c>
    </x:row>
    <x:row r="11826">
      <x:c r="A11826" s="15" t="n">
        <x:v>45474</x:v>
      </x:c>
      <x:c r="B11826" s="13" t="str">
        <x:v>WEG SA</x:v>
      </x:c>
      <x:c r="C11826" s="16" t="n">
        <x:v>6101.2736995945</x:v>
      </x:c>
      <x:c r="D11826" s="13" t="str">
        <x:v>Capital Goods</x:v>
      </x:c>
      <x:c r="E11826" s="13" t="str">
        <x:v>Capital Goods</x:v>
      </x:c>
      <x:c r="F11826" s="13" t="str">
        <x:v>Deep Cyclicals</x:v>
      </x:c>
      <x:c r="G11826" s="13" t="str">
        <x:v>grid_wbaxp5t0.xlsx</x:v>
      </x:c>
    </x:row>
    <x:row r="11827">
      <x:c r="A11827" s="15" t="n">
        <x:v>45474</x:v>
      </x:c>
      <x:c r="B11827" s="13" t="str">
        <x:v>COGNA EDUCACAO</x:v>
      </x:c>
      <x:c r="C11827" s="16" t="n">
        <x:v>406.0525542575</x:v>
      </x:c>
      <x:c r="D11827" s="13" t="str">
        <x:v>Education</x:v>
      </x:c>
      <x:c r="E11827" s="13" t="str">
        <x:v>Education</x:v>
      </x:c>
      <x:c r="F11827" s="13" t="str">
        <x:v>Early Cyclicals</x:v>
      </x:c>
      <x:c r="G11827" s="13" t="str">
        <x:v>grid_wbaxp5t0.xlsx</x:v>
      </x:c>
    </x:row>
    <x:row r="11828">
      <x:c r="A11828" s="15" t="n">
        <x:v>45474</x:v>
      </x:c>
      <x:c r="B11828" s="13" t="str">
        <x:v>YDUQS PARTICIPACOES SA</x:v>
      </x:c>
      <x:c r="C11828" s="16" t="n">
        <x:v>547.1565081425</x:v>
      </x:c>
      <x:c r="D11828" s="13" t="str">
        <x:v>Education</x:v>
      </x:c>
      <x:c r="E11828" s="13" t="str">
        <x:v>Education</x:v>
      </x:c>
      <x:c r="F11828" s="13" t="str">
        <x:v>Early Cyclicals</x:v>
      </x:c>
      <x:c r="G11828" s="13" t="str">
        <x:v>grid_wbaxp5t0.xlsx</x:v>
      </x:c>
    </x:row>
    <x:row r="11829">
      <x:c r="A11829" s="15" t="n">
        <x:v>45474</x:v>
      </x:c>
      <x:c r="B11829" s="13" t="str">
        <x:v>B3 SA-BRASIL BOLSA BALCAO</x:v>
      </x:c>
      <x:c r="C11829" s="16" t="n">
        <x:v>4969.5000576</x:v>
      </x:c>
      <x:c r="D11829" s="13" t="str">
        <x:v>Financials Non-Banks</x:v>
      </x:c>
      <x:c r="E11829" s="13" t="str">
        <x:v>Financials Non-Banks</x:v>
      </x:c>
      <x:c r="F11829" s="13" t="str">
        <x:v>Financials</x:v>
      </x:c>
      <x:c r="G11829" s="13" t="str">
        <x:v>grid_wbaxp5t0.xlsx</x:v>
      </x:c>
    </x:row>
    <x:row r="11830">
      <x:c r="A11830" s="15" t="n">
        <x:v>45474</x:v>
      </x:c>
      <x:c r="B11830" s="13" t="str">
        <x:v>BB SEGURIDADE PARTICIPACOES</x:v>
      </x:c>
      <x:c r="C11830" s="16" t="n">
        <x:v>8203.1992733808</x:v>
      </x:c>
      <x:c r="D11830" s="13" t="str">
        <x:v>Financials Non-Banks</x:v>
      </x:c>
      <x:c r="E11830" s="13" t="str">
        <x:v>Financials Non-Banks</x:v>
      </x:c>
      <x:c r="F11830" s="13" t="str">
        <x:v>Financials</x:v>
      </x:c>
      <x:c r="G11830" s="13" t="str">
        <x:v>grid_wbaxp5t0.xlsx</x:v>
      </x:c>
    </x:row>
    <x:row r="11831">
      <x:c r="A11831" s="15" t="n">
        <x:v>45474</x:v>
      </x:c>
      <x:c r="B11831" s="13" t="str">
        <x:v>CIELO SA - INSTITUICAO DE PA</x:v>
      </x:c>
      <x:c r="C11831" s="16" t="n">
        <x:v>1910.7594892274</x:v>
      </x:c>
      <x:c r="D11831" s="13" t="str">
        <x:v>Financials Non-Banks</x:v>
      </x:c>
      <x:c r="E11831" s="13" t="str">
        <x:v>Financials Non-Banks</x:v>
      </x:c>
      <x:c r="F11831" s="13" t="str">
        <x:v>Financials</x:v>
      </x:c>
      <x:c r="G11831" s="13" t="str">
        <x:v>grid_wbaxp5t0.xlsx</x:v>
      </x:c>
    </x:row>
    <x:row r="11832">
      <x:c r="A11832" s="15" t="n">
        <x:v>45474</x:v>
      </x:c>
      <x:c r="B11832" s="13" t="str">
        <x:v>IRB BRASIL RESSEGUROS SA</x:v>
      </x:c>
      <x:c r="C11832" s="16" t="n">
        <x:v>412.5682191781</x:v>
      </x:c>
      <x:c r="D11832" s="13" t="str">
        <x:v>Financials Non-Banks</x:v>
      </x:c>
      <x:c r="E11832" s="13" t="str">
        <x:v>Financials Non-Banks</x:v>
      </x:c>
      <x:c r="F11832" s="13" t="str">
        <x:v>Financials</x:v>
      </x:c>
      <x:c r="G11832" s="13" t="str">
        <x:v>grid_wbaxp5t0.xlsx</x:v>
      </x:c>
    </x:row>
    <x:row r="11833">
      <x:c r="A11833" s="15" t="n">
        <x:v>45474</x:v>
      </x:c>
      <x:c r="B11833" s="13" t="str">
        <x:v>ITAUSA SA</x:v>
      </x:c>
      <x:c r="C11833" s="16" t="n">
        <x:v>16351.9385487781</x:v>
      </x:c>
      <x:c r="D11833" s="13" t="str">
        <x:v>Financials Non-Banks</x:v>
      </x:c>
      <x:c r="E11833" s="13" t="str">
        <x:v>Financials Non-Banks</x:v>
      </x:c>
      <x:c r="F11833" s="13" t="str">
        <x:v>Financials</x:v>
      </x:c>
      <x:c r="G11833" s="13" t="str">
        <x:v>grid_wbaxp5t0.xlsx</x:v>
      </x:c>
    </x:row>
    <x:row r="11834">
      <x:c r="A11834" s="15" t="n">
        <x:v>45474</x:v>
      </x:c>
      <x:c r="B11834" s="13" t="str">
        <x:v>AMBEV SA</x:v>
      </x:c>
      <x:c r="C11834" s="16" t="n">
        <x:v>15240.7384092055</x:v>
      </x:c>
      <x:c r="D11834" s="13" t="str">
        <x:v>Food &amp; Beverages</x:v>
      </x:c>
      <x:c r="E11834" s="13" t="str">
        <x:v>Agri, Food &amp; Beverages</x:v>
      </x:c>
      <x:c r="F11834" s="13" t="str">
        <x:v>Defensives</x:v>
      </x:c>
      <x:c r="G11834" s="13" t="str">
        <x:v>grid_wbaxp5t0.xlsx</x:v>
      </x:c>
    </x:row>
    <x:row r="11835">
      <x:c r="A11835" s="15" t="n">
        <x:v>45474</x:v>
      </x:c>
      <x:c r="B11835" s="13" t="str">
        <x:v>BRF SA</x:v>
      </x:c>
      <x:c r="C11835" s="16" t="n">
        <x:v>2071.3796537863</x:v>
      </x:c>
      <x:c r="D11835" s="13" t="str">
        <x:v>Food &amp; Beverages</x:v>
      </x:c>
      <x:c r="E11835" s="13" t="str">
        <x:v>Agri, Food &amp; Beverages</x:v>
      </x:c>
      <x:c r="F11835" s="13" t="str">
        <x:v>Defensives</x:v>
      </x:c>
      <x:c r="G11835" s="13" t="str">
        <x:v>grid_wbaxp5t0.xlsx</x:v>
      </x:c>
    </x:row>
    <x:row r="11836">
      <x:c r="A11836" s="15" t="n">
        <x:v>45474</x:v>
      </x:c>
      <x:c r="B11836" s="13" t="str">
        <x:v>MBRF GLOBAL FOODS COMPANY SA</x:v>
      </x:c>
      <x:c r="C11836" s="16" t="n">
        <x:v>-158.0201106849</x:v>
      </x:c>
      <x:c r="D11836" s="13" t="str">
        <x:v>Food &amp; Beverages</x:v>
      </x:c>
      <x:c r="E11836" s="13" t="str">
        <x:v>Agri, Food &amp; Beverages</x:v>
      </x:c>
      <x:c r="F11836" s="13" t="str">
        <x:v>Defensives</x:v>
      </x:c>
      <x:c r="G11836" s="13" t="str">
        <x:v>grid_wbaxp5t0.xlsx</x:v>
      </x:c>
    </x:row>
    <x:row r="11837">
      <x:c r="A11837" s="15" t="n">
        <x:v>45474</x:v>
      </x:c>
      <x:c r="B11837" s="13" t="str">
        <x:v>MINERVA SA</x:v>
      </x:c>
      <x:c r="C11837" s="16" t="n">
        <x:v>523.8755875945</x:v>
      </x:c>
      <x:c r="D11837" s="13" t="str">
        <x:v>Food &amp; Beverages</x:v>
      </x:c>
      <x:c r="E11837" s="13" t="str">
        <x:v>Agri, Food &amp; Beverages</x:v>
      </x:c>
      <x:c r="F11837" s="13" t="str">
        <x:v>Defensives</x:v>
      </x:c>
      <x:c r="G11837" s="13" t="str">
        <x:v>grid_wbaxp5t0.xlsx</x:v>
      </x:c>
    </x:row>
    <x:row r="11838">
      <x:c r="A11838" s="15" t="n">
        <x:v>45474</x:v>
      </x:c>
      <x:c r="B11838" s="13" t="str">
        <x:v>FLEURY SA</x:v>
      </x:c>
      <x:c r="C11838" s="16" t="n">
        <x:v>716.1297649973</x:v>
      </x:c>
      <x:c r="D11838" s="13" t="str">
        <x:v>Health Care</x:v>
      </x:c>
      <x:c r="E11838" s="13" t="str">
        <x:v>Health Care</x:v>
      </x:c>
      <x:c r="F11838" s="13" t="str">
        <x:v>Defensives</x:v>
      </x:c>
      <x:c r="G11838" s="13" t="str">
        <x:v>grid_wbaxp5t0.xlsx</x:v>
      </x:c>
    </x:row>
    <x:row r="11839">
      <x:c r="A11839" s="15" t="n">
        <x:v>45474</x:v>
      </x:c>
      <x:c r="B11839" s="13" t="str">
        <x:v>HAPVIDA PARTICIPACOES E INVE</x:v>
      </x:c>
      <x:c r="C11839" s="16" t="n">
        <x:v>1804.3753496548</x:v>
      </x:c>
      <x:c r="D11839" s="13" t="str">
        <x:v>Health Care</x:v>
      </x:c>
      <x:c r="E11839" s="13" t="str">
        <x:v>Health Care</x:v>
      </x:c>
      <x:c r="F11839" s="13" t="str">
        <x:v>Defensives</x:v>
      </x:c>
      <x:c r="G11839" s="13" t="str">
        <x:v>grid_wbaxp5t0.xlsx</x:v>
      </x:c>
    </x:row>
    <x:row r="11840">
      <x:c r="A11840" s="15" t="n">
        <x:v>45474</x:v>
      </x:c>
      <x:c r="B11840" s="13" t="str">
        <x:v>HYPERA SA</x:v>
      </x:c>
      <x:c r="C11840" s="16" t="n">
        <x:v>1986.7408219178</x:v>
      </x:c>
      <x:c r="D11840" s="13" t="str">
        <x:v>Health Care</x:v>
      </x:c>
      <x:c r="E11840" s="13" t="str">
        <x:v>Health Care</x:v>
      </x:c>
      <x:c r="F11840" s="13" t="str">
        <x:v>Defensives</x:v>
      </x:c>
      <x:c r="G11840" s="13" t="str">
        <x:v>grid_wbaxp5t0.xlsx</x:v>
      </x:c>
    </x:row>
    <x:row r="11841">
      <x:c r="A11841" s="15" t="n">
        <x:v>45474</x:v>
      </x:c>
      <x:c r="B11841" s="13" t="str">
        <x:v>REDE D'OR SAO LUIZ SA</x:v>
      </x:c>
      <x:c r="C11841" s="16" t="n">
        <x:v>3679.7123752329</x:v>
      </x:c>
      <x:c r="D11841" s="13" t="str">
        <x:v>Health Care</x:v>
      </x:c>
      <x:c r="E11841" s="13" t="str">
        <x:v>Health Care</x:v>
      </x:c>
      <x:c r="F11841" s="13" t="str">
        <x:v>Defensives</x:v>
      </x:c>
      <x:c r="G11841" s="13" t="str">
        <x:v>grid_wbaxp5t0.xlsx</x:v>
      </x:c>
    </x:row>
    <x:row r="11842">
      <x:c r="A11842" s="15" t="n">
        <x:v>45474</x:v>
      </x:c>
      <x:c r="B11842" s="13" t="str">
        <x:v>CYRELA BRAZIL REALTY SA EMP</x:v>
      </x:c>
      <x:c r="C11842" s="16" t="n">
        <x:v>1332.7855342466</x:v>
      </x:c>
      <x:c r="D11842" s="13" t="str">
        <x:v>Homebuilders</x:v>
      </x:c>
      <x:c r="E11842" s="13" t="str">
        <x:v>Real Estate</x:v>
      </x:c>
      <x:c r="F11842" s="13" t="str">
        <x:v>Early Cyclicals</x:v>
      </x:c>
      <x:c r="G11842" s="13" t="str">
        <x:v>grid_wbaxp5t0.xlsx</x:v>
      </x:c>
    </x:row>
    <x:row r="11843">
      <x:c r="A11843" s="15" t="n">
        <x:v>45474</x:v>
      </x:c>
      <x:c r="B11843" s="13" t="str">
        <x:v>EZ TEC EMPREENDIMENTOS E PAR</x:v>
      </x:c>
      <x:c r="C11843" s="16" t="n">
        <x:v>343.1072</x:v>
      </x:c>
      <x:c r="D11843" s="13" t="str">
        <x:v>Homebuilders</x:v>
      </x:c>
      <x:c r="E11843" s="13" t="str">
        <x:v>Real Estate</x:v>
      </x:c>
      <x:c r="F11843" s="13" t="str">
        <x:v>Early Cyclicals</x:v>
      </x:c>
      <x:c r="G11843" s="13" t="str">
        <x:v>grid_wbaxp5t0.xlsx</x:v>
      </x:c>
    </x:row>
    <x:row r="11844">
      <x:c r="A11844" s="15" t="n">
        <x:v>45474</x:v>
      </x:c>
      <x:c r="B11844" s="13" t="str">
        <x:v>MRV ENGENHARIA</x:v>
      </x:c>
      <x:c r="C11844" s="16" t="n">
        <x:v>448.0979452055</x:v>
      </x:c>
      <x:c r="D11844" s="13" t="str">
        <x:v>Homebuilders</x:v>
      </x:c>
      <x:c r="E11844" s="13" t="str">
        <x:v>Real Estate</x:v>
      </x:c>
      <x:c r="F11844" s="13" t="str">
        <x:v>Early Cyclicals</x:v>
      </x:c>
      <x:c r="G11844" s="13" t="str">
        <x:v>grid_wbaxp5t0.xlsx</x:v>
      </x:c>
    </x:row>
    <x:row r="11845">
      <x:c r="A11845" s="15" t="n">
        <x:v>45474</x:v>
      </x:c>
      <x:c r="B11845" s="13" t="str">
        <x:v>ALLOS SA</x:v>
      </x:c>
      <x:c r="C11845" s="16" t="n">
        <x:v>743.801440789</x:v>
      </x:c>
      <x:c r="D11845" s="13" t="str">
        <x:v>Income Properties</x:v>
      </x:c>
      <x:c r="E11845" s="13" t="str">
        <x:v>Real Estate</x:v>
      </x:c>
      <x:c r="F11845" s="13" t="str">
        <x:v>Early Cyclicals</x:v>
      </x:c>
      <x:c r="G11845" s="13" t="str">
        <x:v>grid_wbaxp5t0.xlsx</x:v>
      </x:c>
    </x:row>
    <x:row r="11846">
      <x:c r="A11846" s="15" t="n">
        <x:v>45474</x:v>
      </x:c>
      <x:c r="B11846" s="13" t="str">
        <x:v>IGUATEMI SA - UNITS</x:v>
      </x:c>
      <x:c r="C11846" s="16" t="n">
        <x:v>495.0251328</x:v>
      </x:c>
      <x:c r="D11846" s="13" t="str">
        <x:v>Income Properties</x:v>
      </x:c>
      <x:c r="E11846" s="13" t="str">
        <x:v>Real Estate</x:v>
      </x:c>
      <x:c r="F11846" s="13" t="str">
        <x:v>Early Cyclicals</x:v>
      </x:c>
      <x:c r="G11846" s="13" t="str">
        <x:v>grid_wbaxp5t0.xlsx</x:v>
      </x:c>
    </x:row>
    <x:row r="11847">
      <x:c r="A11847" s="15" t="n">
        <x:v>45474</x:v>
      </x:c>
      <x:c r="B11847" s="13" t="str">
        <x:v>MULTIPLAN EMPREENDIMENTOS</x:v>
      </x:c>
      <x:c r="C11847" s="16" t="n">
        <x:v>1181.3017028384</x:v>
      </x:c>
      <x:c r="D11847" s="13" t="str">
        <x:v>Income Properties</x:v>
      </x:c>
      <x:c r="E11847" s="13" t="str">
        <x:v>Real Estate</x:v>
      </x:c>
      <x:c r="F11847" s="13" t="str">
        <x:v>Early Cyclicals</x:v>
      </x:c>
      <x:c r="G11847" s="13" t="str">
        <x:v>grid_wbaxp5t0.xlsx</x:v>
      </x:c>
    </x:row>
    <x:row r="11848">
      <x:c r="A11848" s="15" t="n">
        <x:v>45474</x:v>
      </x:c>
      <x:c r="B11848" s="13" t="str">
        <x:v>BRADESPAR SA -PREF</x:v>
      </x:c>
      <x:c r="C11848" s="16" t="n">
        <x:v>1579.9698712548</x:v>
      </x:c>
      <x:c r="D11848" s="13" t="str">
        <x:v>Metals &amp; Mining</x:v>
      </x:c>
      <x:c r="E11848" s="13" t="str">
        <x:v>Metals &amp; Mining</x:v>
      </x:c>
      <x:c r="F11848" s="13" t="str">
        <x:v>Deep Cyclicals</x:v>
      </x:c>
      <x:c r="G11848" s="13" t="str">
        <x:v>grid_wbaxp5t0.xlsx</x:v>
      </x:c>
    </x:row>
    <x:row r="11849">
      <x:c r="A11849" s="15" t="n">
        <x:v>45474</x:v>
      </x:c>
      <x:c r="B11849" s="13" t="str">
        <x:v>CIA SIDERURGICA NACIONAL SA</x:v>
      </x:c>
      <x:c r="C11849" s="16" t="n">
        <x:v>2063.856594411</x:v>
      </x:c>
      <x:c r="D11849" s="13" t="str">
        <x:v>Metals &amp; Mining</x:v>
      </x:c>
      <x:c r="E11849" s="13" t="str">
        <x:v>Metals &amp; Mining</x:v>
      </x:c>
      <x:c r="F11849" s="13" t="str">
        <x:v>Deep Cyclicals</x:v>
      </x:c>
      <x:c r="G11849" s="13" t="str">
        <x:v>grid_wbaxp5t0.xlsx</x:v>
      </x:c>
    </x:row>
    <x:row r="11850">
      <x:c r="A11850" s="15" t="n">
        <x:v>45474</x:v>
      </x:c>
      <x:c r="B11850" s="13" t="str">
        <x:v>CSN MINERACAO SA</x:v>
      </x:c>
      <x:c r="C11850" s="16" t="n">
        <x:v>2671.1694307945</x:v>
      </x:c>
      <x:c r="D11850" s="13" t="str">
        <x:v>Metals &amp; Mining</x:v>
      </x:c>
      <x:c r="E11850" s="13" t="str">
        <x:v>Metals &amp; Mining</x:v>
      </x:c>
      <x:c r="F11850" s="13" t="str">
        <x:v>Deep Cyclicals</x:v>
      </x:c>
      <x:c r="G11850" s="13" t="str">
        <x:v>grid_wbaxp5t0.xlsx</x:v>
      </x:c>
    </x:row>
    <x:row r="11851">
      <x:c r="A11851" s="15" t="n">
        <x:v>45474</x:v>
      </x:c>
      <x:c r="B11851" s="13" t="str">
        <x:v>GERDAU SA-PREF</x:v>
      </x:c>
      <x:c r="C11851" s="16" t="n">
        <x:v>5509.6470261479</x:v>
      </x:c>
      <x:c r="D11851" s="13" t="str">
        <x:v>Metals &amp; Mining</x:v>
      </x:c>
      <x:c r="E11851" s="13" t="str">
        <x:v>Metals &amp; Mining</x:v>
      </x:c>
      <x:c r="F11851" s="13" t="str">
        <x:v>Deep Cyclicals</x:v>
      </x:c>
      <x:c r="G11851" s="13" t="str">
        <x:v>grid_wbaxp5t0.xlsx</x:v>
      </x:c>
    </x:row>
    <x:row r="11852">
      <x:c r="A11852" s="15" t="n">
        <x:v>45474</x:v>
      </x:c>
      <x:c r="B11852" s="13" t="str">
        <x:v>METALURGICA GERDAU SA-PREF</x:v>
      </x:c>
      <x:c r="C11852" s="16" t="n">
        <x:v>2014.3123287671</x:v>
      </x:c>
      <x:c r="D11852" s="13" t="str">
        <x:v>Metals &amp; Mining</x:v>
      </x:c>
      <x:c r="E11852" s="13" t="str">
        <x:v>Metals &amp; Mining</x:v>
      </x:c>
      <x:c r="F11852" s="13" t="str">
        <x:v>Deep Cyclicals</x:v>
      </x:c>
      <x:c r="G11852" s="13" t="str">
        <x:v>grid_wbaxp5t0.xlsx</x:v>
      </x:c>
    </x:row>
    <x:row r="11853">
      <x:c r="A11853" s="15" t="n">
        <x:v>45474</x:v>
      </x:c>
      <x:c r="B11853" s="13" t="str">
        <x:v>USINAS SIDER MINAS GER-PF A</x:v>
      </x:c>
      <x:c r="C11853" s="16" t="n">
        <x:v>1030.0395777753</x:v>
      </x:c>
      <x:c r="D11853" s="13" t="str">
        <x:v>Metals &amp; Mining</x:v>
      </x:c>
      <x:c r="E11853" s="13" t="str">
        <x:v>Metals &amp; Mining</x:v>
      </x:c>
      <x:c r="F11853" s="13" t="str">
        <x:v>Deep Cyclicals</x:v>
      </x:c>
      <x:c r="G11853" s="13" t="str">
        <x:v>grid_wbaxp5t0.xlsx</x:v>
      </x:c>
    </x:row>
    <x:row r="11854">
      <x:c r="A11854" s="15" t="n">
        <x:v>45474</x:v>
      </x:c>
      <x:c r="B11854" s="13" t="str">
        <x:v>VALE SA</x:v>
      </x:c>
      <x:c r="C11854" s="16" t="n">
        <x:v>51178.0930658192</x:v>
      </x:c>
      <x:c r="D11854" s="13" t="str">
        <x:v>Metals &amp; Mining</x:v>
      </x:c>
      <x:c r="E11854" s="13" t="str">
        <x:v>Metals &amp; Mining</x:v>
      </x:c>
      <x:c r="F11854" s="13" t="str">
        <x:v>Deep Cyclicals</x:v>
      </x:c>
      <x:c r="G11854" s="13" t="str">
        <x:v>grid_wbaxp5t0.xlsx</x:v>
      </x:c>
    </x:row>
    <x:row r="11855">
      <x:c r="A11855" s="15" t="n">
        <x:v>45474</x:v>
      </x:c>
      <x:c r="B11855" s="13" t="str">
        <x:v>BRASKEM SA-PREF A</x:v>
      </x:c>
      <x:c r="C11855" s="16" t="n">
        <x:v>-762.0037716164</x:v>
      </x:c>
      <x:c r="D11855" s="13" t="str">
        <x:v>Oil, Gas &amp; Petrochemicals</x:v>
      </x:c>
      <x:c r="E11855" s="13" t="str">
        <x:v>Oil, Gas &amp; Petrochemicals</x:v>
      </x:c>
      <x:c r="F11855" s="13" t="str">
        <x:v>Deep Cyclicals</x:v>
      </x:c>
      <x:c r="G11855" s="13" t="str">
        <x:v>grid_wbaxp5t0.xlsx</x:v>
      </x:c>
    </x:row>
    <x:row r="11856">
      <x:c r="A11856" s="15" t="n">
        <x:v>45474</x:v>
      </x:c>
      <x:c r="B11856" s="13" t="str">
        <x:v>BRAVA ENERGIA</x:v>
      </x:c>
      <x:c r="C11856" s="16" t="n">
        <x:v>2162.5760806575</x:v>
      </x:c>
      <x:c r="D11856" s="13" t="str">
        <x:v>Oil, Gas &amp; Petrochemicals</x:v>
      </x:c>
      <x:c r="E11856" s="13" t="str">
        <x:v>Oil, Gas &amp; Petrochemicals</x:v>
      </x:c>
      <x:c r="F11856" s="13" t="str">
        <x:v>Deep Cyclicals</x:v>
      </x:c>
      <x:c r="G11856" s="13" t="str">
        <x:v>grid_wbaxp5t0.xlsx</x:v>
      </x:c>
    </x:row>
    <x:row r="11857">
      <x:c r="A11857" s="15" t="n">
        <x:v>45474</x:v>
      </x:c>
      <x:c r="B11857" s="13" t="str">
        <x:v>COSAN SA</x:v>
      </x:c>
      <x:c r="C11857" s="16" t="n">
        <x:v>3015.9890410959</x:v>
      </x:c>
      <x:c r="D11857" s="13" t="str">
        <x:v>Oil, Gas &amp; Petrochemicals</x:v>
      </x:c>
      <x:c r="E11857" s="13" t="str">
        <x:v>Oil, Gas &amp; Petrochemicals</x:v>
      </x:c>
      <x:c r="F11857" s="13" t="str">
        <x:v>Deep Cyclicals</x:v>
      </x:c>
      <x:c r="G11857" s="13" t="str">
        <x:v>grid_wbaxp5t0.xlsx</x:v>
      </x:c>
    </x:row>
    <x:row r="11858">
      <x:c r="A11858" s="15" t="n">
        <x:v>45474</x:v>
      </x:c>
      <x:c r="B11858" s="13" t="str">
        <x:v>PETROBRAS - PETROLEO BRAS</x:v>
      </x:c>
      <x:c r="C11858" s="16" t="n">
        <x:v>120957.61062926</x:v>
      </x:c>
      <x:c r="D11858" s="13" t="str">
        <x:v>Oil, Gas &amp; Petrochemicals</x:v>
      </x:c>
      <x:c r="E11858" s="13" t="str">
        <x:v>Oil, Gas &amp; Petrochemicals</x:v>
      </x:c>
      <x:c r="F11858" s="13" t="str">
        <x:v>Deep Cyclicals</x:v>
      </x:c>
      <x:c r="G11858" s="13" t="str">
        <x:v>grid_wbaxp5t0.xlsx</x:v>
      </x:c>
    </x:row>
    <x:row r="11859">
      <x:c r="A11859" s="15" t="n">
        <x:v>45474</x:v>
      </x:c>
      <x:c r="B11859" s="13" t="str">
        <x:v>PETRORECONCAVO SA</x:v>
      </x:c>
      <x:c r="C11859" s="16" t="n">
        <x:v>1246.9183747507</x:v>
      </x:c>
      <x:c r="D11859" s="13" t="str">
        <x:v>Oil, Gas &amp; Petrochemicals</x:v>
      </x:c>
      <x:c r="E11859" s="13" t="str">
        <x:v>Oil, Gas &amp; Petrochemicals</x:v>
      </x:c>
      <x:c r="F11859" s="13" t="str">
        <x:v>Deep Cyclicals</x:v>
      </x:c>
      <x:c r="G11859" s="13" t="str">
        <x:v>grid_wbaxp5t0.xlsx</x:v>
      </x:c>
    </x:row>
    <x:row r="11860">
      <x:c r="A11860" s="15" t="n">
        <x:v>45474</x:v>
      </x:c>
      <x:c r="B11860" s="13" t="str">
        <x:v>PRIO SA</x:v>
      </x:c>
      <x:c r="C11860" s="16" t="n">
        <x:v>6812.7844590466</x:v>
      </x:c>
      <x:c r="D11860" s="13" t="str">
        <x:v>Oil, Gas &amp; Petrochemicals</x:v>
      </x:c>
      <x:c r="E11860" s="13" t="str">
        <x:v>Oil, Gas &amp; Petrochemicals</x:v>
      </x:c>
      <x:c r="F11860" s="13" t="str">
        <x:v>Deep Cyclicals</x:v>
      </x:c>
      <x:c r="G11860" s="13" t="str">
        <x:v>grid_wbaxp5t0.xlsx</x:v>
      </x:c>
    </x:row>
    <x:row r="11861">
      <x:c r="A11861" s="15" t="n">
        <x:v>45474</x:v>
      </x:c>
      <x:c r="B11861" s="13" t="str">
        <x:v>ULTRAPAR PARTICIPACOES SA</x:v>
      </x:c>
      <x:c r="C11861" s="16" t="n">
        <x:v>2265.9194788822</x:v>
      </x:c>
      <x:c r="D11861" s="13" t="str">
        <x:v>Oil, Gas &amp; Petrochemicals</x:v>
      </x:c>
      <x:c r="E11861" s="13" t="str">
        <x:v>Oil, Gas &amp; Petrochemicals</x:v>
      </x:c>
      <x:c r="F11861" s="13" t="str">
        <x:v>Deep Cyclicals</x:v>
      </x:c>
      <x:c r="G11861" s="13" t="str">
        <x:v>grid_wbaxp5t0.xlsx</x:v>
      </x:c>
    </x:row>
    <x:row r="11862">
      <x:c r="A11862" s="15" t="n">
        <x:v>45474</x:v>
      </x:c>
      <x:c r="B11862" s="13" t="str">
        <x:v>VIBRA ENERGIA SA</x:v>
      </x:c>
      <x:c r="C11862" s="16" t="n">
        <x:v>2879.0969687671</x:v>
      </x:c>
      <x:c r="D11862" s="13" t="str">
        <x:v>Oil, Gas &amp; Petrochemicals</x:v>
      </x:c>
      <x:c r="E11862" s="13" t="str">
        <x:v>Oil, Gas &amp; Petrochemicals</x:v>
      </x:c>
      <x:c r="F11862" s="13" t="str">
        <x:v>Deep Cyclicals</x:v>
      </x:c>
      <x:c r="G11862" s="13" t="str">
        <x:v>grid_wbaxp5t0.xlsx</x:v>
      </x:c>
    </x:row>
    <x:row r="11863">
      <x:c r="A11863" s="15" t="n">
        <x:v>45474</x:v>
      </x:c>
      <x:c r="B11863" s="13" t="str">
        <x:v>DEXCO SA</x:v>
      </x:c>
      <x:c r="C11863" s="16" t="n">
        <x:v>303.4694910247</x:v>
      </x:c>
      <x:c r="D11863" s="13" t="str">
        <x:v>Pulp &amp; Paper</x:v>
      </x:c>
      <x:c r="E11863" s="13" t="str">
        <x:v>Pulp &amp; Paper</x:v>
      </x:c>
      <x:c r="F11863" s="13" t="str">
        <x:v>Deep Cyclicals</x:v>
      </x:c>
      <x:c r="G11863" s="13" t="str">
        <x:v>grid_wbaxp5t0.xlsx</x:v>
      </x:c>
    </x:row>
    <x:row r="11864">
      <x:c r="A11864" s="15" t="n">
        <x:v>45474</x:v>
      </x:c>
      <x:c r="B11864" s="13" t="str">
        <x:v>KLABIN SA - UNIT</x:v>
      </x:c>
      <x:c r="C11864" s="16" t="n">
        <x:v>2228.0774887452</x:v>
      </x:c>
      <x:c r="D11864" s="13" t="str">
        <x:v>Pulp &amp; Paper</x:v>
      </x:c>
      <x:c r="E11864" s="13" t="str">
        <x:v>Pulp &amp; Paper</x:v>
      </x:c>
      <x:c r="F11864" s="13" t="str">
        <x:v>Deep Cyclicals</x:v>
      </x:c>
      <x:c r="G11864" s="13" t="str">
        <x:v>grid_wbaxp5t0.xlsx</x:v>
      </x:c>
    </x:row>
    <x:row r="11865">
      <x:c r="A11865" s="15" t="n">
        <x:v>45474</x:v>
      </x:c>
      <x:c r="B11865" s="13" t="str">
        <x:v>SUZANO SA</x:v>
      </x:c>
      <x:c r="C11865" s="16" t="n">
        <x:v>8785.7211321863</x:v>
      </x:c>
      <x:c r="D11865" s="13" t="str">
        <x:v>Pulp &amp; Paper</x:v>
      </x:c>
      <x:c r="E11865" s="13" t="str">
        <x:v>Pulp &amp; Paper</x:v>
      </x:c>
      <x:c r="F11865" s="13" t="str">
        <x:v>Deep Cyclicals</x:v>
      </x:c>
      <x:c r="G11865" s="13" t="str">
        <x:v>grid_wbaxp5t0.xlsx</x:v>
      </x:c>
    </x:row>
    <x:row r="11866">
      <x:c r="A11866" s="15" t="n">
        <x:v>45474</x:v>
      </x:c>
      <x:c r="B11866" s="13" t="str">
        <x:v>ALPARGATAS SA - PREF</x:v>
      </x:c>
      <x:c r="C11866" s="16" t="n">
        <x:v>404.0657534247</x:v>
      </x:c>
      <x:c r="D11866" s="13" t="str">
        <x:v>Retail</x:v>
      </x:c>
      <x:c r="E11866" s="13" t="str">
        <x:v>Retail</x:v>
      </x:c>
      <x:c r="F11866" s="13" t="str">
        <x:v>Early Cyclicals</x:v>
      </x:c>
      <x:c r="G11866" s="13" t="str">
        <x:v>grid_wbaxp5t0.xlsx</x:v>
      </x:c>
    </x:row>
    <x:row r="11867">
      <x:c r="A11867" s="15" t="n">
        <x:v>45474</x:v>
      </x:c>
      <x:c r="B11867" s="13" t="str">
        <x:v>ATACADAO SA</x:v>
      </x:c>
      <x:c r="C11867" s="16" t="n">
        <x:v>1680.5803235945</x:v>
      </x:c>
      <x:c r="D11867" s="13" t="str">
        <x:v>Retail</x:v>
      </x:c>
      <x:c r="E11867" s="13" t="str">
        <x:v>Retail</x:v>
      </x:c>
      <x:c r="F11867" s="13" t="str">
        <x:v>Early Cyclicals</x:v>
      </x:c>
      <x:c r="G11867" s="13" t="str">
        <x:v>grid_wbaxp5t0.xlsx</x:v>
      </x:c>
    </x:row>
    <x:row r="11868">
      <x:c r="A11868" s="15" t="n">
        <x:v>45474</x:v>
      </x:c>
      <x:c r="B11868" s="13" t="str">
        <x:v>AZZAS 2154 SA</x:v>
      </x:c>
      <x:c r="C11868" s="16" t="n">
        <x:v>473.1169955945</x:v>
      </x:c>
      <x:c r="D11868" s="13" t="str">
        <x:v>Retail</x:v>
      </x:c>
      <x:c r="E11868" s="13" t="str">
        <x:v>Retail</x:v>
      </x:c>
      <x:c r="F11868" s="13" t="str">
        <x:v>Early Cyclicals</x:v>
      </x:c>
      <x:c r="G11868" s="13" t="str">
        <x:v>grid_wbaxp5t0.xlsx</x:v>
      </x:c>
    </x:row>
    <x:row r="11869">
      <x:c r="A11869" s="15" t="n">
        <x:v>45474</x:v>
      </x:c>
      <x:c r="B11869" s="13" t="str">
        <x:v>CIA BRASILEIRA DE DISTRIBUIC</x:v>
      </x:c>
      <x:c r="C11869" s="16" t="n">
        <x:v>-428.9123029918</x:v>
      </x:c>
      <x:c r="D11869" s="13" t="str">
        <x:v>Retail</x:v>
      </x:c>
      <x:c r="E11869" s="13" t="str">
        <x:v>Retail</x:v>
      </x:c>
      <x:c r="F11869" s="13" t="str">
        <x:v>Early Cyclicals</x:v>
      </x:c>
      <x:c r="G11869" s="13" t="str">
        <x:v>grid_wbaxp5t0.xlsx</x:v>
      </x:c>
    </x:row>
    <x:row r="11870">
      <x:c r="A11870" s="15" t="n">
        <x:v>45474</x:v>
      </x:c>
      <x:c r="B11870" s="13" t="str">
        <x:v>CVC BRASIL OPERADORA E AGENC</x:v>
      </x:c>
      <x:c r="C11870" s="16" t="n">
        <x:v>30.8073319123</x:v>
      </x:c>
      <x:c r="D11870" s="13" t="str">
        <x:v>Retail</x:v>
      </x:c>
      <x:c r="E11870" s="13" t="str">
        <x:v>Retail</x:v>
      </x:c>
      <x:c r="F11870" s="13" t="str">
        <x:v>Early Cyclicals</x:v>
      </x:c>
      <x:c r="G11870" s="13" t="str">
        <x:v>grid_wbaxp5t0.xlsx</x:v>
      </x:c>
    </x:row>
    <x:row r="11871">
      <x:c r="A11871" s="15" t="n">
        <x:v>45474</x:v>
      </x:c>
      <x:c r="B11871" s="13" t="str">
        <x:v>GRUPO DE MODA SOMA SA</x:v>
      </x:c>
      <x:c r="C11871" s="16" t="n">
        <x:v>403.3342465753</x:v>
      </x:c>
      <x:c r="D11871" s="13" t="str">
        <x:v>Retail</x:v>
      </x:c>
      <x:c r="E11871" s="13" t="str">
        <x:v>Retail</x:v>
      </x:c>
      <x:c r="F11871" s="13" t="str">
        <x:v>Early Cyclicals</x:v>
      </x:c>
      <x:c r="G11871" s="13" t="str">
        <x:v>grid_wbaxp5t0.xlsx</x:v>
      </x:c>
    </x:row>
    <x:row r="11872">
      <x:c r="A11872" s="15" t="n">
        <x:v>45474</x:v>
      </x:c>
      <x:c r="B11872" s="13" t="str">
        <x:v>LOJAS RENNER S.A.</x:v>
      </x:c>
      <x:c r="C11872" s="16" t="n">
        <x:v>1228.1648797808</x:v>
      </x:c>
      <x:c r="D11872" s="13" t="str">
        <x:v>Retail</x:v>
      </x:c>
      <x:c r="E11872" s="13" t="str">
        <x:v>Retail</x:v>
      </x:c>
      <x:c r="F11872" s="13" t="str">
        <x:v>Early Cyclicals</x:v>
      </x:c>
      <x:c r="G11872" s="13" t="str">
        <x:v>grid_wbaxp5t0.xlsx</x:v>
      </x:c>
    </x:row>
    <x:row r="11873">
      <x:c r="A11873" s="15" t="n">
        <x:v>45474</x:v>
      </x:c>
      <x:c r="B11873" s="13" t="str">
        <x:v>MAGAZINE LUIZA SA</x:v>
      </x:c>
      <x:c r="C11873" s="16" t="n">
        <x:v>460.7418041863</x:v>
      </x:c>
      <x:c r="D11873" s="13" t="str">
        <x:v>Retail</x:v>
      </x:c>
      <x:c r="E11873" s="13" t="str">
        <x:v>Retail</x:v>
      </x:c>
      <x:c r="F11873" s="13" t="str">
        <x:v>Early Cyclicals</x:v>
      </x:c>
      <x:c r="G11873" s="13" t="str">
        <x:v>grid_wbaxp5t0.xlsx</x:v>
      </x:c>
    </x:row>
    <x:row r="11874">
      <x:c r="A11874" s="15" t="n">
        <x:v>45474</x:v>
      </x:c>
      <x:c r="B11874" s="13" t="str">
        <x:v>NATURA &amp;CO HOLDING SA</x:v>
      </x:c>
      <x:c r="C11874" s="16" t="n">
        <x:v>1046.1997162959</x:v>
      </x:c>
      <x:c r="D11874" s="13" t="str">
        <x:v>Retail</x:v>
      </x:c>
      <x:c r="E11874" s="13" t="str">
        <x:v>Retail</x:v>
      </x:c>
      <x:c r="F11874" s="13" t="str">
        <x:v>Early Cyclicals</x:v>
      </x:c>
      <x:c r="G11874" s="13" t="str">
        <x:v>grid_wbaxp5t0.xlsx</x:v>
      </x:c>
    </x:row>
    <x:row r="11875">
      <x:c r="A11875" s="15" t="n">
        <x:v>45474</x:v>
      </x:c>
      <x:c r="B11875" s="13" t="str">
        <x:v>PET CENTER COMERCIO E PARTIC</x:v>
      </x:c>
      <x:c r="C11875" s="16" t="n">
        <x:v>82.2122564384</x:v>
      </x:c>
      <x:c r="D11875" s="13" t="str">
        <x:v>Retail</x:v>
      </x:c>
      <x:c r="E11875" s="13" t="str">
        <x:v>Retail</x:v>
      </x:c>
      <x:c r="F11875" s="13" t="str">
        <x:v>Early Cyclicals</x:v>
      </x:c>
      <x:c r="G11875" s="13" t="str">
        <x:v>grid_wbaxp5t0.xlsx</x:v>
      </x:c>
    </x:row>
    <x:row r="11876">
      <x:c r="A11876" s="15" t="n">
        <x:v>45474</x:v>
      </x:c>
      <x:c r="B11876" s="13" t="str">
        <x:v>RAIA DROGASIL SA</x:v>
      </x:c>
      <x:c r="C11876" s="16" t="n">
        <x:v>1548.1781525041</x:v>
      </x:c>
      <x:c r="D11876" s="13" t="str">
        <x:v>Retail</x:v>
      </x:c>
      <x:c r="E11876" s="13" t="str">
        <x:v>Retail</x:v>
      </x:c>
      <x:c r="F11876" s="13" t="str">
        <x:v>Early Cyclicals</x:v>
      </x:c>
      <x:c r="G11876" s="13" t="str">
        <x:v>grid_wbaxp5t0.xlsx</x:v>
      </x:c>
    </x:row>
    <x:row r="11877">
      <x:c r="A11877" s="15" t="n">
        <x:v>45474</x:v>
      </x:c>
      <x:c r="B11877" s="13" t="str">
        <x:v>SENDAS DISTRIBUIDORA SA</x:v>
      </x:c>
      <x:c r="C11877" s="16" t="n">
        <x:v>1119.6815444164</x:v>
      </x:c>
      <x:c r="D11877" s="13" t="str">
        <x:v>Retail</x:v>
      </x:c>
      <x:c r="E11877" s="13" t="str">
        <x:v>Retail</x:v>
      </x:c>
      <x:c r="F11877" s="13" t="str">
        <x:v>Early Cyclicals</x:v>
      </x:c>
      <x:c r="G11877" s="13" t="str">
        <x:v>grid_wbaxp5t0.xlsx</x:v>
      </x:c>
    </x:row>
    <x:row r="11878">
      <x:c r="A11878" s="15" t="n">
        <x:v>45474</x:v>
      </x:c>
      <x:c r="B11878" s="13" t="str">
        <x:v>VIVARA PARTICIPACOES SA</x:v>
      </x:c>
      <x:c r="C11878" s="16" t="n">
        <x:v>473.3157467178</x:v>
      </x:c>
      <x:c r="D11878" s="13" t="str">
        <x:v>Retail</x:v>
      </x:c>
      <x:c r="E11878" s="13" t="str">
        <x:v>Retail</x:v>
      </x:c>
      <x:c r="F11878" s="13" t="str">
        <x:v>Early Cyclicals</x:v>
      </x:c>
      <x:c r="G11878" s="13" t="str">
        <x:v>grid_wbaxp5t0.xlsx</x:v>
      </x:c>
    </x:row>
    <x:row r="11879">
      <x:c r="A11879" s="15" t="n">
        <x:v>45474</x:v>
      </x:c>
      <x:c r="B11879" s="13" t="str">
        <x:v>CIA SANEAMENTO BASICO DE SP</x:v>
      </x:c>
      <x:c r="C11879" s="16" t="n">
        <x:v>4169.1120247233</x:v>
      </x:c>
      <x:c r="D11879" s="13" t="str">
        <x:v>Sanitation</x:v>
      </x:c>
      <x:c r="E11879" s="13" t="str">
        <x:v>Utilities</x:v>
      </x:c>
      <x:c r="F11879" s="13" t="str">
        <x:v>Defensives</x:v>
      </x:c>
      <x:c r="G11879" s="13" t="str">
        <x:v>grid_wbaxp5t0.xlsx</x:v>
      </x:c>
    </x:row>
    <x:row r="11880">
      <x:c r="A11880" s="15" t="n">
        <x:v>45474</x:v>
      </x:c>
      <x:c r="B11880" s="13" t="str">
        <x:v>LWSA SA</x:v>
      </x:c>
      <x:c r="C11880" s="16" t="n">
        <x:v>115.0804931507</x:v>
      </x:c>
      <x:c r="D11880" s="13" t="str">
        <x:v>TMT</x:v>
      </x:c>
      <x:c r="E11880" s="13" t="str">
        <x:v>TMT</x:v>
      </x:c>
      <x:c r="F11880" s="13" t="str">
        <x:v>Early Cyclicals</x:v>
      </x:c>
      <x:c r="G11880" s="13" t="str">
        <x:v>grid_wbaxp5t0.xlsx</x:v>
      </x:c>
    </x:row>
    <x:row r="11881">
      <x:c r="A11881" s="15" t="n">
        <x:v>45474</x:v>
      </x:c>
      <x:c r="B11881" s="13" t="str">
        <x:v>TIM SA</x:v>
      </x:c>
      <x:c r="C11881" s="16" t="n">
        <x:v>3647.700140537</x:v>
      </x:c>
      <x:c r="D11881" s="13" t="str">
        <x:v>TMT</x:v>
      </x:c>
      <x:c r="E11881" s="13" t="str">
        <x:v>TMT</x:v>
      </x:c>
      <x:c r="F11881" s="13" t="str">
        <x:v>Early Cyclicals</x:v>
      </x:c>
      <x:c r="G11881" s="13" t="str">
        <x:v>grid_wbaxp5t0.xlsx</x:v>
      </x:c>
    </x:row>
    <x:row r="11882">
      <x:c r="A11882" s="15" t="n">
        <x:v>45474</x:v>
      </x:c>
      <x:c r="B11882" s="13" t="str">
        <x:v>TOTVS SA</x:v>
      </x:c>
      <x:c r="C11882" s="16" t="n">
        <x:v>806.256429589</x:v>
      </x:c>
      <x:c r="D11882" s="13" t="str">
        <x:v>TMT</x:v>
      </x:c>
      <x:c r="E11882" s="13" t="str">
        <x:v>TMT</x:v>
      </x:c>
      <x:c r="F11882" s="13" t="str">
        <x:v>Early Cyclicals</x:v>
      </x:c>
      <x:c r="G11882" s="13" t="str">
        <x:v>grid_wbaxp5t0.xlsx</x:v>
      </x:c>
    </x:row>
    <x:row r="11883">
      <x:c r="A11883" s="15" t="n">
        <x:v>45474</x:v>
      </x:c>
      <x:c r="B11883" s="13" t="str">
        <x:v>AZUL SA</x:v>
      </x:c>
      <x:c r="C11883" s="16" t="n">
        <x:v>-42.4125162959</x:v>
      </x:c>
      <x:c r="D11883" s="13" t="str">
        <x:v>Transportation</x:v>
      </x:c>
      <x:c r="E11883" s="13" t="str">
        <x:v>Transportation</x:v>
      </x:c>
      <x:c r="F11883" s="13" t="str">
        <x:v>Deep Cyclicals</x:v>
      </x:c>
      <x:c r="G11883" s="13" t="str">
        <x:v>grid_wbaxp5t0.xlsx</x:v>
      </x:c>
    </x:row>
    <x:row r="11884">
      <x:c r="A11884" s="15" t="n">
        <x:v>45474</x:v>
      </x:c>
      <x:c r="B11884" s="13" t="str">
        <x:v>LOCALIZA RENT A CAR</x:v>
      </x:c>
      <x:c r="C11884" s="16" t="n">
        <x:v>3680.0288333151</x:v>
      </x:c>
      <x:c r="D11884" s="13" t="str">
        <x:v>Transportation</x:v>
      </x:c>
      <x:c r="E11884" s="13" t="str">
        <x:v>Transportation</x:v>
      </x:c>
      <x:c r="F11884" s="13" t="str">
        <x:v>Deep Cyclicals</x:v>
      </x:c>
      <x:c r="G11884" s="13" t="str">
        <x:v>grid_wbaxp5t0.xlsx</x:v>
      </x:c>
    </x:row>
    <x:row r="11885">
      <x:c r="A11885" s="15" t="n">
        <x:v>45474</x:v>
      </x:c>
      <x:c r="B11885" s="13" t="str">
        <x:v>MOTIVA INFRAESTRUTURA DE MOB</x:v>
      </x:c>
      <x:c r="C11885" s="16" t="n">
        <x:v>1860.8840476055</x:v>
      </x:c>
      <x:c r="D11885" s="13" t="str">
        <x:v>Transportation</x:v>
      </x:c>
      <x:c r="E11885" s="13" t="str">
        <x:v>Transportation</x:v>
      </x:c>
      <x:c r="F11885" s="13" t="str">
        <x:v>Deep Cyclicals</x:v>
      </x:c>
      <x:c r="G11885" s="13" t="str">
        <x:v>grid_wbaxp5t0.xlsx</x:v>
      </x:c>
    </x:row>
    <x:row r="11886">
      <x:c r="A11886" s="15" t="n">
        <x:v>45474</x:v>
      </x:c>
      <x:c r="B11886" s="13" t="str">
        <x:v>RUMO SA</x:v>
      </x:c>
      <x:c r="C11886" s="16" t="n">
        <x:v>2408.8181079671</x:v>
      </x:c>
      <x:c r="D11886" s="13" t="str">
        <x:v>Transportation</x:v>
      </x:c>
      <x:c r="E11886" s="13" t="str">
        <x:v>Transportation</x:v>
      </x:c>
      <x:c r="F11886" s="13" t="str">
        <x:v>Deep Cyclicals</x:v>
      </x:c>
      <x:c r="G11886" s="13" t="str">
        <x:v>grid_wbaxp5t0.xlsx</x:v>
      </x:c>
    </x:row>
    <x:row r="11887">
      <x:c r="A11887" s="15" t="n">
        <x:v>45474</x:v>
      </x:c>
      <x:c r="B11887" s="13" t="str">
        <x:v>VAMOS LOCACAO DE CAMINHOES M</x:v>
      </x:c>
      <x:c r="C11887" s="16" t="n">
        <x:v>987.4777931397</x:v>
      </x:c>
      <x:c r="D11887" s="13" t="str">
        <x:v>Transportation</x:v>
      </x:c>
      <x:c r="E11887" s="13" t="str">
        <x:v>Transportation</x:v>
      </x:c>
      <x:c r="F11887" s="13" t="str">
        <x:v>Deep Cyclicals</x:v>
      </x:c>
      <x:c r="G11887" s="13" t="str">
        <x:v>grid_wbaxp5t0.xlsx</x:v>
      </x:c>
    </x:row>
    <x:row r="11888">
      <x:c r="A11888" s="15" t="n">
        <x:v>45474</x:v>
      </x:c>
      <x:c r="B11888" s="13" t="str">
        <x:v>AXIA ENERGIA SA</x:v>
      </x:c>
      <x:c r="C11888" s="16" t="n">
        <x:v>8435.7749619726</x:v>
      </x:c>
      <x:c r="D11888" s="13" t="str">
        <x:v>Utilities &amp; Energy</x:v>
      </x:c>
      <x:c r="E11888" s="13" t="str">
        <x:v>Utilities</x:v>
      </x:c>
      <x:c r="F11888" s="13" t="str">
        <x:v>Defensives</x:v>
      </x:c>
      <x:c r="G11888" s="13" t="str">
        <x:v>grid_wbaxp5t0.xlsx</x:v>
      </x:c>
    </x:row>
    <x:row r="11889">
      <x:c r="A11889" s="15" t="n">
        <x:v>45474</x:v>
      </x:c>
      <x:c r="B11889" s="13" t="str">
        <x:v>AXIA ENERGIA-PR B</x:v>
      </x:c>
      <x:c r="C11889" s="16" t="n">
        <x:v>8435.7749619726</x:v>
      </x:c>
      <x:c r="D11889" s="13" t="str">
        <x:v>Utilities &amp; Energy</x:v>
      </x:c>
      <x:c r="E11889" s="13" t="str">
        <x:v>Utilities</x:v>
      </x:c>
      <x:c r="F11889" s="13" t="str">
        <x:v>Defensives</x:v>
      </x:c>
      <x:c r="G11889" s="13" t="str">
        <x:v>grid_wbaxp5t0.xlsx</x:v>
      </x:c>
    </x:row>
    <x:row r="11890">
      <x:c r="A11890" s="15" t="n">
        <x:v>45474</x:v>
      </x:c>
      <x:c r="B11890" s="13" t="str">
        <x:v>CIA ENERGETICA MINAS GER-PRF</x:v>
      </x:c>
      <x:c r="C11890" s="16" t="n">
        <x:v>4753.9976192</x:v>
      </x:c>
      <x:c r="D11890" s="13" t="str">
        <x:v>Utilities &amp; Energy</x:v>
      </x:c>
      <x:c r="E11890" s="13" t="str">
        <x:v>Utilities</x:v>
      </x:c>
      <x:c r="F11890" s="13" t="str">
        <x:v>Defensives</x:v>
      </x:c>
      <x:c r="G11890" s="13" t="str">
        <x:v>grid_wbaxp5t0.xlsx</x:v>
      </x:c>
    </x:row>
    <x:row r="11891">
      <x:c r="A11891" s="15" t="n">
        <x:v>45474</x:v>
      </x:c>
      <x:c r="B11891" s="13" t="str">
        <x:v>COMPANHIA PARANAENSE -PREF B</x:v>
      </x:c>
      <x:c r="C11891" s="16" t="n">
        <x:v>2311.8004518575</x:v>
      </x:c>
      <x:c r="D11891" s="13" t="str">
        <x:v>Utilities &amp; Energy</x:v>
      </x:c>
      <x:c r="E11891" s="13" t="str">
        <x:v>Utilities</x:v>
      </x:c>
      <x:c r="F11891" s="13" t="str">
        <x:v>Defensives</x:v>
      </x:c>
      <x:c r="G11891" s="13" t="str">
        <x:v>grid_wbaxp5t0.xlsx</x:v>
      </x:c>
    </x:row>
    <x:row r="11892">
      <x:c r="A11892" s="15" t="n">
        <x:v>45474</x:v>
      </x:c>
      <x:c r="B11892" s="13" t="str">
        <x:v>CPFL ENERGIA SA</x:v>
      </x:c>
      <x:c r="C11892" s="16" t="n">
        <x:v>5219.5253037589</x:v>
      </x:c>
      <x:c r="D11892" s="13" t="str">
        <x:v>Utilities &amp; Energy</x:v>
      </x:c>
      <x:c r="E11892" s="13" t="str">
        <x:v>Utilities</x:v>
      </x:c>
      <x:c r="F11892" s="13" t="str">
        <x:v>Defensives</x:v>
      </x:c>
      <x:c r="G11892" s="13" t="str">
        <x:v>grid_wbaxp5t0.xlsx</x:v>
      </x:c>
    </x:row>
    <x:row r="11893">
      <x:c r="A11893" s="15" t="n">
        <x:v>45474</x:v>
      </x:c>
      <x:c r="B11893" s="13" t="str">
        <x:v>ENERGISA SA-UNITS</x:v>
      </x:c>
      <x:c r="C11893" s="16" t="n">
        <x:v>2206.7293450521</x:v>
      </x:c>
      <x:c r="D11893" s="13" t="str">
        <x:v>Utilities &amp; Energy</x:v>
      </x:c>
      <x:c r="E11893" s="13" t="str">
        <x:v>Utilities</x:v>
      </x:c>
      <x:c r="F11893" s="13" t="str">
        <x:v>Defensives</x:v>
      </x:c>
      <x:c r="G11893" s="13" t="str">
        <x:v>grid_wbaxp5t0.xlsx</x:v>
      </x:c>
    </x:row>
    <x:row r="11894">
      <x:c r="A11894" s="15" t="n">
        <x:v>45474</x:v>
      </x:c>
      <x:c r="B11894" s="13" t="str">
        <x:v>ENEVA SA</x:v>
      </x:c>
      <x:c r="C11894" s="16" t="n">
        <x:v>704.4575342466</x:v>
      </x:c>
      <x:c r="D11894" s="13" t="str">
        <x:v>Utilities &amp; Energy</x:v>
      </x:c>
      <x:c r="E11894" s="13" t="str">
        <x:v>Utilities</x:v>
      </x:c>
      <x:c r="F11894" s="13" t="str">
        <x:v>Defensives</x:v>
      </x:c>
      <x:c r="G11894" s="13" t="str">
        <x:v>grid_wbaxp5t0.xlsx</x:v>
      </x:c>
    </x:row>
    <x:row r="11895">
      <x:c r="A11895" s="15" t="n">
        <x:v>45474</x:v>
      </x:c>
      <x:c r="B11895" s="13" t="str">
        <x:v>ENGIE BRASIL ENERGIA SA</x:v>
      </x:c>
      <x:c r="C11895" s="16" t="n">
        <x:v>3597.1439896548</x:v>
      </x:c>
      <x:c r="D11895" s="13" t="str">
        <x:v>Utilities &amp; Energy</x:v>
      </x:c>
      <x:c r="E11895" s="13" t="str">
        <x:v>Utilities</x:v>
      </x:c>
      <x:c r="F11895" s="13" t="str">
        <x:v>Defensives</x:v>
      </x:c>
      <x:c r="G11895" s="13" t="str">
        <x:v>grid_wbaxp5t0.xlsx</x:v>
      </x:c>
    </x:row>
    <x:row r="11896">
      <x:c r="A11896" s="15" t="n">
        <x:v>45474</x:v>
      </x:c>
      <x:c r="B11896" s="13" t="str">
        <x:v>EQUATORIAL SA - ORD</x:v>
      </x:c>
      <x:c r="C11896" s="16" t="n">
        <x:v>3223.1928839014</x:v>
      </x:c>
      <x:c r="D11896" s="13" t="str">
        <x:v>Utilities &amp; Energy</x:v>
      </x:c>
      <x:c r="E11896" s="13" t="str">
        <x:v>Utilities</x:v>
      </x:c>
      <x:c r="F11896" s="13" t="str">
        <x:v>Defensives</x:v>
      </x:c>
      <x:c r="G11896" s="13" t="str">
        <x:v>grid_wbaxp5t0.xlsx</x:v>
      </x:c>
    </x:row>
    <x:row r="11897">
      <x:c r="A11897" s="15" t="n">
        <x:v>45474</x:v>
      </x:c>
      <x:c r="B11897" s="13" t="str">
        <x:v>ISA ENERGIA BRASIL SA</x:v>
      </x:c>
      <x:c r="C11897" s="16" t="n">
        <x:v>1728.7123887342</x:v>
      </x:c>
      <x:c r="D11897" s="13" t="str">
        <x:v>Utilities &amp; Energy</x:v>
      </x:c>
      <x:c r="E11897" s="13" t="str">
        <x:v>Utilities</x:v>
      </x:c>
      <x:c r="F11897" s="13" t="str">
        <x:v>Defensives</x:v>
      </x:c>
      <x:c r="G11897" s="13" t="str">
        <x:v>grid_wbaxp5t0.xlsx</x:v>
      </x:c>
    </x:row>
    <x:row r="11898">
      <x:c r="A11898" s="15" t="n">
        <x:v>45474</x:v>
      </x:c>
      <x:c r="B11898" s="13" t="str">
        <x:v>TRANSMISSORA ALIANCA DE-UNIT</x:v>
      </x:c>
      <x:c r="C11898" s="16" t="n">
        <x:v>1155.4045944986</x:v>
      </x:c>
      <x:c r="D11898" s="13" t="str">
        <x:v>Utilities &amp; Energy</x:v>
      </x:c>
      <x:c r="E11898" s="13" t="str">
        <x:v>Utilities</x:v>
      </x:c>
      <x:c r="F11898" s="13" t="str">
        <x:v>Defensives</x:v>
      </x:c>
      <x:c r="G11898" s="13" t="str">
        <x:v>grid_wbaxp5t0.xlsx</x:v>
      </x:c>
    </x:row>
    <x:row r="11899">
      <x:c r="A11899" s="15" t="n">
        <x:v>45505</x:v>
      </x:c>
      <x:c r="B11899" s="13" t="str">
        <x:v>RAIZEN SA - PREFERENCE</x:v>
      </x:c>
      <x:c r="C11899" s="16" t="n">
        <x:v>3569.4811465644</x:v>
      </x:c>
      <x:c r="D11899" s="13" t="str">
        <x:v>Agribusiness</x:v>
      </x:c>
      <x:c r="E11899" s="13" t="str">
        <x:v>Agri, Food &amp; Beverages</x:v>
      </x:c>
      <x:c r="F11899" s="13" t="str">
        <x:v>Defensives</x:v>
      </x:c>
      <x:c r="G11899" s="13" t="str">
        <x:v>grid_wbaxp5t0.xlsx</x:v>
      </x:c>
    </x:row>
    <x:row r="11900">
      <x:c r="A11900" s="15" t="n">
        <x:v>45505</x:v>
      </x:c>
      <x:c r="B11900" s="13" t="str">
        <x:v>SAO MARTINHO SA</x:v>
      </x:c>
      <x:c r="C11900" s="16" t="n">
        <x:v>1021.4705706082</x:v>
      </x:c>
      <x:c r="D11900" s="13" t="str">
        <x:v>Agribusiness</x:v>
      </x:c>
      <x:c r="E11900" s="13" t="str">
        <x:v>Agri, Food &amp; Beverages</x:v>
      </x:c>
      <x:c r="F11900" s="13" t="str">
        <x:v>Defensives</x:v>
      </x:c>
      <x:c r="G11900" s="13" t="str">
        <x:v>grid_wbaxp5t0.xlsx</x:v>
      </x:c>
    </x:row>
    <x:row r="11901">
      <x:c r="A11901" s="15" t="n">
        <x:v>45505</x:v>
      </x:c>
      <x:c r="B11901" s="13" t="str">
        <x:v>SLC AGRICOLA SA</x:v>
      </x:c>
      <x:c r="C11901" s="16" t="n">
        <x:v>997.3859408658</x:v>
      </x:c>
      <x:c r="D11901" s="13" t="str">
        <x:v>Agribusiness</x:v>
      </x:c>
      <x:c r="E11901" s="13" t="str">
        <x:v>Agri, Food &amp; Beverages</x:v>
      </x:c>
      <x:c r="F11901" s="13" t="str">
        <x:v>Defensives</x:v>
      </x:c>
      <x:c r="G11901" s="13" t="str">
        <x:v>grid_wbaxp5t0.xlsx</x:v>
      </x:c>
    </x:row>
    <x:row r="11902">
      <x:c r="A11902" s="15" t="n">
        <x:v>45505</x:v>
      </x:c>
      <x:c r="B11902" s="13" t="str">
        <x:v>BANCO BRADESCO S.A.</x:v>
      </x:c>
      <x:c r="C11902" s="16" t="n">
        <x:v>22542.6008372603</x:v>
      </x:c>
      <x:c r="D11902" s="13" t="str">
        <x:v>Banks</x:v>
      </x:c>
      <x:c r="E11902" s="13" t="str">
        <x:v>Banks</x:v>
      </x:c>
      <x:c r="F11902" s="13" t="str">
        <x:v>Financials</x:v>
      </x:c>
      <x:c r="G11902" s="13" t="str">
        <x:v>grid_wbaxp5t0.xlsx</x:v>
      </x:c>
    </x:row>
    <x:row r="11903">
      <x:c r="A11903" s="15" t="n">
        <x:v>45505</x:v>
      </x:c>
      <x:c r="B11903" s="13" t="str">
        <x:v>BANCO BRADESCO SA-PREF</x:v>
      </x:c>
      <x:c r="C11903" s="16" t="n">
        <x:v>22542.6008372603</x:v>
      </x:c>
      <x:c r="D11903" s="13" t="str">
        <x:v>Banks</x:v>
      </x:c>
      <x:c r="E11903" s="13" t="str">
        <x:v>Banks</x:v>
      </x:c>
      <x:c r="F11903" s="13" t="str">
        <x:v>Financials</x:v>
      </x:c>
      <x:c r="G11903" s="13" t="str">
        <x:v>grid_wbaxp5t0.xlsx</x:v>
      </x:c>
    </x:row>
    <x:row r="11904">
      <x:c r="A11904" s="15" t="n">
        <x:v>45505</x:v>
      </x:c>
      <x:c r="B11904" s="13" t="str">
        <x:v>BANCO BTG PACTUAL SA-UNIT</x:v>
      </x:c>
      <x:c r="C11904" s="16" t="n">
        <x:v>13647.4280160438</x:v>
      </x:c>
      <x:c r="D11904" s="13" t="str">
        <x:v>Banks</x:v>
      </x:c>
      <x:c r="E11904" s="13" t="str">
        <x:v>Banks</x:v>
      </x:c>
      <x:c r="F11904" s="13" t="str">
        <x:v>Financials</x:v>
      </x:c>
      <x:c r="G11904" s="13" t="str">
        <x:v>grid_wbaxp5t0.xlsx</x:v>
      </x:c>
    </x:row>
    <x:row r="11905">
      <x:c r="A11905" s="15" t="n">
        <x:v>45505</x:v>
      </x:c>
      <x:c r="B11905" s="13" t="str">
        <x:v>BANCO DO BRASIL S.A.</x:v>
      </x:c>
      <x:c r="C11905" s="16" t="n">
        <x:v>38798.6611214027</x:v>
      </x:c>
      <x:c r="D11905" s="13" t="str">
        <x:v>Banks</x:v>
      </x:c>
      <x:c r="E11905" s="13" t="str">
        <x:v>Banks</x:v>
      </x:c>
      <x:c r="F11905" s="13" t="str">
        <x:v>Financials</x:v>
      </x:c>
      <x:c r="G11905" s="13" t="str">
        <x:v>grid_wbaxp5t0.xlsx</x:v>
      </x:c>
    </x:row>
    <x:row r="11906">
      <x:c r="A11906" s="15" t="n">
        <x:v>45505</x:v>
      </x:c>
      <x:c r="B11906" s="13" t="str">
        <x:v>BANCO SANTANDER  BRASIL-UNIT</x:v>
      </x:c>
      <x:c r="C11906" s="16" t="n">
        <x:v>15520.929856526</x:v>
      </x:c>
      <x:c r="D11906" s="13" t="str">
        <x:v>Banks</x:v>
      </x:c>
      <x:c r="E11906" s="13" t="str">
        <x:v>Banks</x:v>
      </x:c>
      <x:c r="F11906" s="13" t="str">
        <x:v>Financials</x:v>
      </x:c>
      <x:c r="G11906" s="13" t="str">
        <x:v>grid_wbaxp5t0.xlsx</x:v>
      </x:c>
    </x:row>
    <x:row r="11907">
      <x:c r="A11907" s="15" t="n">
        <x:v>45505</x:v>
      </x:c>
      <x:c r="B11907" s="13" t="str">
        <x:v>ITAU UNIBANCO HOLDING S-PREF</x:v>
      </x:c>
      <x:c r="C11907" s="16" t="n">
        <x:v>44029.0106718685</x:v>
      </x:c>
      <x:c r="D11907" s="13" t="str">
        <x:v>Banks</x:v>
      </x:c>
      <x:c r="E11907" s="13" t="str">
        <x:v>Banks</x:v>
      </x:c>
      <x:c r="F11907" s="13" t="str">
        <x:v>Financials</x:v>
      </x:c>
      <x:c r="G11907" s="13" t="str">
        <x:v>grid_wbaxp5t0.xlsx</x:v>
      </x:c>
    </x:row>
    <x:row r="11908">
      <x:c r="A11908" s="15" t="n">
        <x:v>45505</x:v>
      </x:c>
      <x:c r="B11908" s="13" t="str">
        <x:v>EMBRAER SA</x:v>
      </x:c>
      <x:c r="C11908" s="16" t="n">
        <x:v>1692.1047657205</x:v>
      </x:c>
      <x:c r="D11908" s="13" t="str">
        <x:v>Capital Goods</x:v>
      </x:c>
      <x:c r="E11908" s="13" t="str">
        <x:v>Capital Goods</x:v>
      </x:c>
      <x:c r="F11908" s="13" t="str">
        <x:v>Deep Cyclicals</x:v>
      </x:c>
      <x:c r="G11908" s="13" t="str">
        <x:v>grid_wbaxp5t0.xlsx</x:v>
      </x:c>
    </x:row>
    <x:row r="11909">
      <x:c r="A11909" s="15" t="n">
        <x:v>45505</x:v>
      </x:c>
      <x:c r="B11909" s="13" t="str">
        <x:v>WEG SA</x:v>
      </x:c>
      <x:c r="C11909" s="16" t="n">
        <x:v>6298.0833013479</x:v>
      </x:c>
      <x:c r="D11909" s="13" t="str">
        <x:v>Capital Goods</x:v>
      </x:c>
      <x:c r="E11909" s="13" t="str">
        <x:v>Capital Goods</x:v>
      </x:c>
      <x:c r="F11909" s="13" t="str">
        <x:v>Deep Cyclicals</x:v>
      </x:c>
      <x:c r="G11909" s="13" t="str">
        <x:v>grid_wbaxp5t0.xlsx</x:v>
      </x:c>
    </x:row>
    <x:row r="11910">
      <x:c r="A11910" s="15" t="n">
        <x:v>45505</x:v>
      </x:c>
      <x:c r="B11910" s="13" t="str">
        <x:v>COGNA EDUCACAO</x:v>
      </x:c>
      <x:c r="C11910" s="16" t="n">
        <x:v>407.6563181589</x:v>
      </x:c>
      <x:c r="D11910" s="13" t="str">
        <x:v>Education</x:v>
      </x:c>
      <x:c r="E11910" s="13" t="str">
        <x:v>Education</x:v>
      </x:c>
      <x:c r="F11910" s="13" t="str">
        <x:v>Early Cyclicals</x:v>
      </x:c>
      <x:c r="G11910" s="13" t="str">
        <x:v>grid_wbaxp5t0.xlsx</x:v>
      </x:c>
    </x:row>
    <x:row r="11911">
      <x:c r="A11911" s="15" t="n">
        <x:v>45505</x:v>
      </x:c>
      <x:c r="B11911" s="13" t="str">
        <x:v>YDUQS PARTICIPACOES SA</x:v>
      </x:c>
      <x:c r="C11911" s="16" t="n">
        <x:v>560.8010958904</x:v>
      </x:c>
      <x:c r="D11911" s="13" t="str">
        <x:v>Education</x:v>
      </x:c>
      <x:c r="E11911" s="13" t="str">
        <x:v>Education</x:v>
      </x:c>
      <x:c r="F11911" s="13" t="str">
        <x:v>Early Cyclicals</x:v>
      </x:c>
      <x:c r="G11911" s="13" t="str">
        <x:v>grid_wbaxp5t0.xlsx</x:v>
      </x:c>
    </x:row>
    <x:row r="11912">
      <x:c r="A11912" s="15" t="n">
        <x:v>45505</x:v>
      </x:c>
      <x:c r="B11912" s="13" t="str">
        <x:v>B3 SA-BRASIL BOLSA BALCAO</x:v>
      </x:c>
      <x:c r="C11912" s="16" t="n">
        <x:v>5034.7123459507</x:v>
      </x:c>
      <x:c r="D11912" s="13" t="str">
        <x:v>Financials Non-Banks</x:v>
      </x:c>
      <x:c r="E11912" s="13" t="str">
        <x:v>Financials Non-Banks</x:v>
      </x:c>
      <x:c r="F11912" s="13" t="str">
        <x:v>Financials</x:v>
      </x:c>
      <x:c r="G11912" s="13" t="str">
        <x:v>grid_wbaxp5t0.xlsx</x:v>
      </x:c>
    </x:row>
    <x:row r="11913">
      <x:c r="A11913" s="15" t="n">
        <x:v>45505</x:v>
      </x:c>
      <x:c r="B11913" s="13" t="str">
        <x:v>BB SEGURIDADE PARTICIPACOES</x:v>
      </x:c>
      <x:c r="C11913" s="16" t="n">
        <x:v>8262.3342465753</x:v>
      </x:c>
      <x:c r="D11913" s="13" t="str">
        <x:v>Financials Non-Banks</x:v>
      </x:c>
      <x:c r="E11913" s="13" t="str">
        <x:v>Financials Non-Banks</x:v>
      </x:c>
      <x:c r="F11913" s="13" t="str">
        <x:v>Financials</x:v>
      </x:c>
      <x:c r="G11913" s="13" t="str">
        <x:v>grid_wbaxp5t0.xlsx</x:v>
      </x:c>
    </x:row>
    <x:row r="11914">
      <x:c r="A11914" s="15" t="n">
        <x:v>45505</x:v>
      </x:c>
      <x:c r="B11914" s="13" t="str">
        <x:v>IRB BRASIL RESSEGUROS SA</x:v>
      </x:c>
      <x:c r="C11914" s="16" t="n">
        <x:v>458.7558798027</x:v>
      </x:c>
      <x:c r="D11914" s="13" t="str">
        <x:v>Financials Non-Banks</x:v>
      </x:c>
      <x:c r="E11914" s="13" t="str">
        <x:v>Financials Non-Banks</x:v>
      </x:c>
      <x:c r="F11914" s="13" t="str">
        <x:v>Financials</x:v>
      </x:c>
      <x:c r="G11914" s="13" t="str">
        <x:v>grid_wbaxp5t0.xlsx</x:v>
      </x:c>
    </x:row>
    <x:row r="11915">
      <x:c r="A11915" s="15" t="n">
        <x:v>45505</x:v>
      </x:c>
      <x:c r="B11915" s="13" t="str">
        <x:v>ITAUSA SA</x:v>
      </x:c>
      <x:c r="C11915" s="16" t="n">
        <x:v>16534.4856232329</x:v>
      </x:c>
      <x:c r="D11915" s="13" t="str">
        <x:v>Financials Non-Banks</x:v>
      </x:c>
      <x:c r="E11915" s="13" t="str">
        <x:v>Financials Non-Banks</x:v>
      </x:c>
      <x:c r="F11915" s="13" t="str">
        <x:v>Financials</x:v>
      </x:c>
      <x:c r="G11915" s="13" t="str">
        <x:v>grid_wbaxp5t0.xlsx</x:v>
      </x:c>
    </x:row>
    <x:row r="11916">
      <x:c r="A11916" s="15" t="n">
        <x:v>45505</x:v>
      </x:c>
      <x:c r="B11916" s="13" t="str">
        <x:v>AMBEV SA</x:v>
      </x:c>
      <x:c r="C11916" s="16" t="n">
        <x:v>15525.639168</x:v>
      </x:c>
      <x:c r="D11916" s="13" t="str">
        <x:v>Food &amp; Beverages</x:v>
      </x:c>
      <x:c r="E11916" s="13" t="str">
        <x:v>Agri, Food &amp; Beverages</x:v>
      </x:c>
      <x:c r="F11916" s="13" t="str">
        <x:v>Defensives</x:v>
      </x:c>
      <x:c r="G11916" s="13" t="str">
        <x:v>grid_wbaxp5t0.xlsx</x:v>
      </x:c>
    </x:row>
    <x:row r="11917">
      <x:c r="A11917" s="15" t="n">
        <x:v>45505</x:v>
      </x:c>
      <x:c r="B11917" s="13" t="str">
        <x:v>BRF SA</x:v>
      </x:c>
      <x:c r="C11917" s="16" t="n">
        <x:v>3214.6552902137</x:v>
      </x:c>
      <x:c r="D11917" s="13" t="str">
        <x:v>Food &amp; Beverages</x:v>
      </x:c>
      <x:c r="E11917" s="13" t="str">
        <x:v>Agri, Food &amp; Beverages</x:v>
      </x:c>
      <x:c r="F11917" s="13" t="str">
        <x:v>Defensives</x:v>
      </x:c>
      <x:c r="G11917" s="13" t="str">
        <x:v>grid_wbaxp5t0.xlsx</x:v>
      </x:c>
    </x:row>
    <x:row r="11918">
      <x:c r="A11918" s="15" t="n">
        <x:v>45505</x:v>
      </x:c>
      <x:c r="B11918" s="13" t="str">
        <x:v>MBRF GLOBAL FOODS COMPANY SA</x:v>
      </x:c>
      <x:c r="C11918" s="16" t="n">
        <x:v>-1065.899200526</x:v>
      </x:c>
      <x:c r="D11918" s="13" t="str">
        <x:v>Food &amp; Beverages</x:v>
      </x:c>
      <x:c r="E11918" s="13" t="str">
        <x:v>Agri, Food &amp; Beverages</x:v>
      </x:c>
      <x:c r="F11918" s="13" t="str">
        <x:v>Defensives</x:v>
      </x:c>
      <x:c r="G11918" s="13" t="str">
        <x:v>grid_wbaxp5t0.xlsx</x:v>
      </x:c>
    </x:row>
    <x:row r="11919">
      <x:c r="A11919" s="15" t="n">
        <x:v>45505</x:v>
      </x:c>
      <x:c r="B11919" s="13" t="str">
        <x:v>MINERVA SA</x:v>
      </x:c>
      <x:c r="C11919" s="16" t="n">
        <x:v>618.9639338082</x:v>
      </x:c>
      <x:c r="D11919" s="13" t="str">
        <x:v>Food &amp; Beverages</x:v>
      </x:c>
      <x:c r="E11919" s="13" t="str">
        <x:v>Agri, Food &amp; Beverages</x:v>
      </x:c>
      <x:c r="F11919" s="13" t="str">
        <x:v>Defensives</x:v>
      </x:c>
      <x:c r="G11919" s="13" t="str">
        <x:v>grid_wbaxp5t0.xlsx</x:v>
      </x:c>
    </x:row>
    <x:row r="11920">
      <x:c r="A11920" s="15" t="n">
        <x:v>45505</x:v>
      </x:c>
      <x:c r="B11920" s="13" t="str">
        <x:v>FLEURY SA</x:v>
      </x:c>
      <x:c r="C11920" s="16" t="n">
        <x:v>731.3627833863</x:v>
      </x:c>
      <x:c r="D11920" s="13" t="str">
        <x:v>Health Care</x:v>
      </x:c>
      <x:c r="E11920" s="13" t="str">
        <x:v>Health Care</x:v>
      </x:c>
      <x:c r="F11920" s="13" t="str">
        <x:v>Defensives</x:v>
      </x:c>
      <x:c r="G11920" s="13" t="str">
        <x:v>grid_wbaxp5t0.xlsx</x:v>
      </x:c>
    </x:row>
    <x:row r="11921">
      <x:c r="A11921" s="15" t="n">
        <x:v>45505</x:v>
      </x:c>
      <x:c r="B11921" s="13" t="str">
        <x:v>HAPVIDA PARTICIPACOES E INVE</x:v>
      </x:c>
      <x:c r="C11921" s="16" t="n">
        <x:v>1661.8198128219</x:v>
      </x:c>
      <x:c r="D11921" s="13" t="str">
        <x:v>Health Care</x:v>
      </x:c>
      <x:c r="E11921" s="13" t="str">
        <x:v>Health Care</x:v>
      </x:c>
      <x:c r="F11921" s="13" t="str">
        <x:v>Defensives</x:v>
      </x:c>
      <x:c r="G11921" s="13" t="str">
        <x:v>grid_wbaxp5t0.xlsx</x:v>
      </x:c>
    </x:row>
    <x:row r="11922">
      <x:c r="A11922" s="15" t="n">
        <x:v>45505</x:v>
      </x:c>
      <x:c r="B11922" s="13" t="str">
        <x:v>HYPERA SA</x:v>
      </x:c>
      <x:c r="C11922" s="16" t="n">
        <x:v>1996.2177974356</x:v>
      </x:c>
      <x:c r="D11922" s="13" t="str">
        <x:v>Health Care</x:v>
      </x:c>
      <x:c r="E11922" s="13" t="str">
        <x:v>Health Care</x:v>
      </x:c>
      <x:c r="F11922" s="13" t="str">
        <x:v>Defensives</x:v>
      </x:c>
      <x:c r="G11922" s="13" t="str">
        <x:v>grid_wbaxp5t0.xlsx</x:v>
      </x:c>
    </x:row>
    <x:row r="11923">
      <x:c r="A11923" s="15" t="n">
        <x:v>45505</x:v>
      </x:c>
      <x:c r="B11923" s="13" t="str">
        <x:v>REDE D'OR SAO LUIZ SA</x:v>
      </x:c>
      <x:c r="C11923" s="16" t="n">
        <x:v>4151.2354675726</x:v>
      </x:c>
      <x:c r="D11923" s="13" t="str">
        <x:v>Health Care</x:v>
      </x:c>
      <x:c r="E11923" s="13" t="str">
        <x:v>Health Care</x:v>
      </x:c>
      <x:c r="F11923" s="13" t="str">
        <x:v>Defensives</x:v>
      </x:c>
      <x:c r="G11923" s="13" t="str">
        <x:v>grid_wbaxp5t0.xlsx</x:v>
      </x:c>
    </x:row>
    <x:row r="11924">
      <x:c r="A11924" s="15" t="n">
        <x:v>45505</x:v>
      </x:c>
      <x:c r="B11924" s="13" t="str">
        <x:v>CYRELA BRAZIL REALTY SA EMP</x:v>
      </x:c>
      <x:c r="C11924" s="16" t="n">
        <x:v>1367.3409872658</x:v>
      </x:c>
      <x:c r="D11924" s="13" t="str">
        <x:v>Homebuilders</x:v>
      </x:c>
      <x:c r="E11924" s="13" t="str">
        <x:v>Real Estate</x:v>
      </x:c>
      <x:c r="F11924" s="13" t="str">
        <x:v>Early Cyclicals</x:v>
      </x:c>
      <x:c r="G11924" s="13" t="str">
        <x:v>grid_wbaxp5t0.xlsx</x:v>
      </x:c>
    </x:row>
    <x:row r="11925">
      <x:c r="A11925" s="15" t="n">
        <x:v>45505</x:v>
      </x:c>
      <x:c r="B11925" s="13" t="str">
        <x:v>EZ TEC EMPREENDIMENTOS E PAR</x:v>
      </x:c>
      <x:c r="C11925" s="16" t="n">
        <x:v>345.2827508603</x:v>
      </x:c>
      <x:c r="D11925" s="13" t="str">
        <x:v>Homebuilders</x:v>
      </x:c>
      <x:c r="E11925" s="13" t="str">
        <x:v>Real Estate</x:v>
      </x:c>
      <x:c r="F11925" s="13" t="str">
        <x:v>Early Cyclicals</x:v>
      </x:c>
      <x:c r="G11925" s="13" t="str">
        <x:v>grid_wbaxp5t0.xlsx</x:v>
      </x:c>
    </x:row>
    <x:row r="11926">
      <x:c r="A11926" s="15" t="n">
        <x:v>45505</x:v>
      </x:c>
      <x:c r="B11926" s="13" t="str">
        <x:v>MRV ENGENHARIA</x:v>
      </x:c>
      <x:c r="C11926" s="16" t="n">
        <x:v>516.7227088219</x:v>
      </x:c>
      <x:c r="D11926" s="13" t="str">
        <x:v>Homebuilders</x:v>
      </x:c>
      <x:c r="E11926" s="13" t="str">
        <x:v>Real Estate</x:v>
      </x:c>
      <x:c r="F11926" s="13" t="str">
        <x:v>Early Cyclicals</x:v>
      </x:c>
      <x:c r="G11926" s="13" t="str">
        <x:v>grid_wbaxp5t0.xlsx</x:v>
      </x:c>
    </x:row>
    <x:row r="11927">
      <x:c r="A11927" s="15" t="n">
        <x:v>45505</x:v>
      </x:c>
      <x:c r="B11927" s="13" t="str">
        <x:v>ALLOS SA</x:v>
      </x:c>
      <x:c r="C11927" s="16" t="n">
        <x:v>750.8578689753</x:v>
      </x:c>
      <x:c r="D11927" s="13" t="str">
        <x:v>Income Properties</x:v>
      </x:c>
      <x:c r="E11927" s="13" t="str">
        <x:v>Real Estate</x:v>
      </x:c>
      <x:c r="F11927" s="13" t="str">
        <x:v>Early Cyclicals</x:v>
      </x:c>
      <x:c r="G11927" s="13" t="str">
        <x:v>grid_wbaxp5t0.xlsx</x:v>
      </x:c>
    </x:row>
    <x:row r="11928">
      <x:c r="A11928" s="15" t="n">
        <x:v>45505</x:v>
      </x:c>
      <x:c r="B11928" s="13" t="str">
        <x:v>IGUATEMI SA - UNITS</x:v>
      </x:c>
      <x:c r="C11928" s="16" t="n">
        <x:v>473.2832547945</x:v>
      </x:c>
      <x:c r="D11928" s="13" t="str">
        <x:v>Income Properties</x:v>
      </x:c>
      <x:c r="E11928" s="13" t="str">
        <x:v>Real Estate</x:v>
      </x:c>
      <x:c r="F11928" s="13" t="str">
        <x:v>Early Cyclicals</x:v>
      </x:c>
      <x:c r="G11928" s="13" t="str">
        <x:v>grid_wbaxp5t0.xlsx</x:v>
      </x:c>
    </x:row>
    <x:row r="11929">
      <x:c r="A11929" s="15" t="n">
        <x:v>45505</x:v>
      </x:c>
      <x:c r="B11929" s="13" t="str">
        <x:v>MULTIPLAN EMPREENDIMENTOS</x:v>
      </x:c>
      <x:c r="C11929" s="16" t="n">
        <x:v>1192.010847737</x:v>
      </x:c>
      <x:c r="D11929" s="13" t="str">
        <x:v>Income Properties</x:v>
      </x:c>
      <x:c r="E11929" s="13" t="str">
        <x:v>Real Estate</x:v>
      </x:c>
      <x:c r="F11929" s="13" t="str">
        <x:v>Early Cyclicals</x:v>
      </x:c>
      <x:c r="G11929" s="13" t="str">
        <x:v>grid_wbaxp5t0.xlsx</x:v>
      </x:c>
    </x:row>
    <x:row r="11930">
      <x:c r="A11930" s="15" t="n">
        <x:v>45505</x:v>
      </x:c>
      <x:c r="B11930" s="13" t="str">
        <x:v>BRADESPAR SA -PREF</x:v>
      </x:c>
      <x:c r="C11930" s="16" t="n">
        <x:v>1565.9561647343</x:v>
      </x:c>
      <x:c r="D11930" s="13" t="str">
        <x:v>Metals &amp; Mining</x:v>
      </x:c>
      <x:c r="E11930" s="13" t="str">
        <x:v>Metals &amp; Mining</x:v>
      </x:c>
      <x:c r="F11930" s="13" t="str">
        <x:v>Deep Cyclicals</x:v>
      </x:c>
      <x:c r="G11930" s="13" t="str">
        <x:v>grid_wbaxp5t0.xlsx</x:v>
      </x:c>
    </x:row>
    <x:row r="11931">
      <x:c r="A11931" s="15" t="n">
        <x:v>45505</x:v>
      </x:c>
      <x:c r="B11931" s="13" t="str">
        <x:v>CIA SIDERURGICA NACIONAL SA</x:v>
      </x:c>
      <x:c r="C11931" s="16" t="n">
        <x:v>1745.2257630685</x:v>
      </x:c>
      <x:c r="D11931" s="13" t="str">
        <x:v>Metals &amp; Mining</x:v>
      </x:c>
      <x:c r="E11931" s="13" t="str">
        <x:v>Metals &amp; Mining</x:v>
      </x:c>
      <x:c r="F11931" s="13" t="str">
        <x:v>Deep Cyclicals</x:v>
      </x:c>
      <x:c r="G11931" s="13" t="str">
        <x:v>grid_wbaxp5t0.xlsx</x:v>
      </x:c>
    </x:row>
    <x:row r="11932">
      <x:c r="A11932" s="15" t="n">
        <x:v>45505</x:v>
      </x:c>
      <x:c r="B11932" s="13" t="str">
        <x:v>CSN MINERACAO SA</x:v>
      </x:c>
      <x:c r="C11932" s="16" t="n">
        <x:v>2526.3818737973</x:v>
      </x:c>
      <x:c r="D11932" s="13" t="str">
        <x:v>Metals &amp; Mining</x:v>
      </x:c>
      <x:c r="E11932" s="13" t="str">
        <x:v>Metals &amp; Mining</x:v>
      </x:c>
      <x:c r="F11932" s="13" t="str">
        <x:v>Deep Cyclicals</x:v>
      </x:c>
      <x:c r="G11932" s="13" t="str">
        <x:v>grid_wbaxp5t0.xlsx</x:v>
      </x:c>
    </x:row>
    <x:row r="11933">
      <x:c r="A11933" s="15" t="n">
        <x:v>45505</x:v>
      </x:c>
      <x:c r="B11933" s="13" t="str">
        <x:v>GERDAU SA-PREF</x:v>
      </x:c>
      <x:c r="C11933" s="16" t="n">
        <x:v>5603.4097642959</x:v>
      </x:c>
      <x:c r="D11933" s="13" t="str">
        <x:v>Metals &amp; Mining</x:v>
      </x:c>
      <x:c r="E11933" s="13" t="str">
        <x:v>Metals &amp; Mining</x:v>
      </x:c>
      <x:c r="F11933" s="13" t="str">
        <x:v>Deep Cyclicals</x:v>
      </x:c>
      <x:c r="G11933" s="13" t="str">
        <x:v>grid_wbaxp5t0.xlsx</x:v>
      </x:c>
    </x:row>
    <x:row r="11934">
      <x:c r="A11934" s="15" t="n">
        <x:v>45505</x:v>
      </x:c>
      <x:c r="B11934" s="13" t="str">
        <x:v>METALURGICA GERDAU SA-PREF</x:v>
      </x:c>
      <x:c r="C11934" s="16" t="n">
        <x:v>2009.5452054795</x:v>
      </x:c>
      <x:c r="D11934" s="13" t="str">
        <x:v>Metals &amp; Mining</x:v>
      </x:c>
      <x:c r="E11934" s="13" t="str">
        <x:v>Metals &amp; Mining</x:v>
      </x:c>
      <x:c r="F11934" s="13" t="str">
        <x:v>Deep Cyclicals</x:v>
      </x:c>
      <x:c r="G11934" s="13" t="str">
        <x:v>grid_wbaxp5t0.xlsx</x:v>
      </x:c>
    </x:row>
    <x:row r="11935">
      <x:c r="A11935" s="15" t="n">
        <x:v>45505</x:v>
      </x:c>
      <x:c r="B11935" s="13" t="str">
        <x:v>USINAS SIDER MINAS GER-PF A</x:v>
      </x:c>
      <x:c r="C11935" s="16" t="n">
        <x:v>951.9081971726</x:v>
      </x:c>
      <x:c r="D11935" s="13" t="str">
        <x:v>Metals &amp; Mining</x:v>
      </x:c>
      <x:c r="E11935" s="13" t="str">
        <x:v>Metals &amp; Mining</x:v>
      </x:c>
      <x:c r="F11935" s="13" t="str">
        <x:v>Deep Cyclicals</x:v>
      </x:c>
      <x:c r="G11935" s="13" t="str">
        <x:v>grid_wbaxp5t0.xlsx</x:v>
      </x:c>
    </x:row>
    <x:row r="11936">
      <x:c r="A11936" s="15" t="n">
        <x:v>45505</x:v>
      </x:c>
      <x:c r="B11936" s="13" t="str">
        <x:v>VALE SA</x:v>
      </x:c>
      <x:c r="C11936" s="16" t="n">
        <x:v>49389.5630960219</x:v>
      </x:c>
      <x:c r="D11936" s="13" t="str">
        <x:v>Metals &amp; Mining</x:v>
      </x:c>
      <x:c r="E11936" s="13" t="str">
        <x:v>Metals &amp; Mining</x:v>
      </x:c>
      <x:c r="F11936" s="13" t="str">
        <x:v>Deep Cyclicals</x:v>
      </x:c>
      <x:c r="G11936" s="13" t="str">
        <x:v>grid_wbaxp5t0.xlsx</x:v>
      </x:c>
    </x:row>
    <x:row r="11937">
      <x:c r="A11937" s="15" t="n">
        <x:v>45505</x:v>
      </x:c>
      <x:c r="B11937" s="13" t="str">
        <x:v>BRASKEM SA-PREF A</x:v>
      </x:c>
      <x:c r="C11937" s="16" t="n">
        <x:v>-719.6373475945</x:v>
      </x:c>
      <x:c r="D11937" s="13" t="str">
        <x:v>Oil, Gas &amp; Petrochemicals</x:v>
      </x:c>
      <x:c r="E11937" s="13" t="str">
        <x:v>Oil, Gas &amp; Petrochemicals</x:v>
      </x:c>
      <x:c r="F11937" s="13" t="str">
        <x:v>Deep Cyclicals</x:v>
      </x:c>
      <x:c r="G11937" s="13" t="str">
        <x:v>grid_wbaxp5t0.xlsx</x:v>
      </x:c>
    </x:row>
    <x:row r="11938">
      <x:c r="A11938" s="15" t="n">
        <x:v>45505</x:v>
      </x:c>
      <x:c r="B11938" s="13" t="str">
        <x:v>BRAVA ENERGIA</x:v>
      </x:c>
      <x:c r="C11938" s="16" t="n">
        <x:v>2531.2796575562</x:v>
      </x:c>
      <x:c r="D11938" s="13" t="str">
        <x:v>Oil, Gas &amp; Petrochemicals</x:v>
      </x:c>
      <x:c r="E11938" s="13" t="str">
        <x:v>Oil, Gas &amp; Petrochemicals</x:v>
      </x:c>
      <x:c r="F11938" s="13" t="str">
        <x:v>Deep Cyclicals</x:v>
      </x:c>
      <x:c r="G11938" s="13" t="str">
        <x:v>grid_wbaxp5t0.xlsx</x:v>
      </x:c>
    </x:row>
    <x:row r="11939">
      <x:c r="A11939" s="15" t="n">
        <x:v>45505</x:v>
      </x:c>
      <x:c r="B11939" s="13" t="str">
        <x:v>COSAN SA</x:v>
      </x:c>
      <x:c r="C11939" s="16" t="n">
        <x:v>2445.0886887452</x:v>
      </x:c>
      <x:c r="D11939" s="13" t="str">
        <x:v>Oil, Gas &amp; Petrochemicals</x:v>
      </x:c>
      <x:c r="E11939" s="13" t="str">
        <x:v>Oil, Gas &amp; Petrochemicals</x:v>
      </x:c>
      <x:c r="F11939" s="13" t="str">
        <x:v>Deep Cyclicals</x:v>
      </x:c>
      <x:c r="G11939" s="13" t="str">
        <x:v>grid_wbaxp5t0.xlsx</x:v>
      </x:c>
    </x:row>
    <x:row r="11940">
      <x:c r="A11940" s="15" t="n">
        <x:v>45505</x:v>
      </x:c>
      <x:c r="B11940" s="13" t="str">
        <x:v>PETROBRAS - PETROLEO BRAS</x:v>
      </x:c>
      <x:c r="C11940" s="16" t="n">
        <x:v>110163.620861195</x:v>
      </x:c>
      <x:c r="D11940" s="13" t="str">
        <x:v>Oil, Gas &amp; Petrochemicals</x:v>
      </x:c>
      <x:c r="E11940" s="13" t="str">
        <x:v>Oil, Gas &amp; Petrochemicals</x:v>
      </x:c>
      <x:c r="F11940" s="13" t="str">
        <x:v>Deep Cyclicals</x:v>
      </x:c>
      <x:c r="G11940" s="13" t="str">
        <x:v>grid_wbaxp5t0.xlsx</x:v>
      </x:c>
    </x:row>
    <x:row r="11941">
      <x:c r="A11941" s="15" t="n">
        <x:v>45505</x:v>
      </x:c>
      <x:c r="B11941" s="13" t="str">
        <x:v>PETRORECONCAVO SA</x:v>
      </x:c>
      <x:c r="C11941" s="16" t="n">
        <x:v>1127.8794520548</x:v>
      </x:c>
      <x:c r="D11941" s="13" t="str">
        <x:v>Oil, Gas &amp; Petrochemicals</x:v>
      </x:c>
      <x:c r="E11941" s="13" t="str">
        <x:v>Oil, Gas &amp; Petrochemicals</x:v>
      </x:c>
      <x:c r="F11941" s="13" t="str">
        <x:v>Deep Cyclicals</x:v>
      </x:c>
      <x:c r="G11941" s="13" t="str">
        <x:v>grid_wbaxp5t0.xlsx</x:v>
      </x:c>
    </x:row>
    <x:row r="11942">
      <x:c r="A11942" s="15" t="n">
        <x:v>45505</x:v>
      </x:c>
      <x:c r="B11942" s="13" t="str">
        <x:v>PRIO SA</x:v>
      </x:c>
      <x:c r="C11942" s="16" t="n">
        <x:v>6694.9791673863</x:v>
      </x:c>
      <x:c r="D11942" s="13" t="str">
        <x:v>Oil, Gas &amp; Petrochemicals</x:v>
      </x:c>
      <x:c r="E11942" s="13" t="str">
        <x:v>Oil, Gas &amp; Petrochemicals</x:v>
      </x:c>
      <x:c r="F11942" s="13" t="str">
        <x:v>Deep Cyclicals</x:v>
      </x:c>
      <x:c r="G11942" s="13" t="str">
        <x:v>grid_wbaxp5t0.xlsx</x:v>
      </x:c>
    </x:row>
    <x:row r="11943">
      <x:c r="A11943" s="15" t="n">
        <x:v>45505</x:v>
      </x:c>
      <x:c r="B11943" s="13" t="str">
        <x:v>ULTRAPAR PARTICIPACOES SA</x:v>
      </x:c>
      <x:c r="C11943" s="16" t="n">
        <x:v>2220.4315500712</x:v>
      </x:c>
      <x:c r="D11943" s="13" t="str">
        <x:v>Oil, Gas &amp; Petrochemicals</x:v>
      </x:c>
      <x:c r="E11943" s="13" t="str">
        <x:v>Oil, Gas &amp; Petrochemicals</x:v>
      </x:c>
      <x:c r="F11943" s="13" t="str">
        <x:v>Deep Cyclicals</x:v>
      </x:c>
      <x:c r="G11943" s="13" t="str">
        <x:v>grid_wbaxp5t0.xlsx</x:v>
      </x:c>
    </x:row>
    <x:row r="11944">
      <x:c r="A11944" s="15" t="n">
        <x:v>45505</x:v>
      </x:c>
      <x:c r="B11944" s="13" t="str">
        <x:v>VIBRA ENERGIA SA</x:v>
      </x:c>
      <x:c r="C11944" s="16" t="n">
        <x:v>3045.7834636274</x:v>
      </x:c>
      <x:c r="D11944" s="13" t="str">
        <x:v>Oil, Gas &amp; Petrochemicals</x:v>
      </x:c>
      <x:c r="E11944" s="13" t="str">
        <x:v>Oil, Gas &amp; Petrochemicals</x:v>
      </x:c>
      <x:c r="F11944" s="13" t="str">
        <x:v>Deep Cyclicals</x:v>
      </x:c>
      <x:c r="G11944" s="13" t="str">
        <x:v>grid_wbaxp5t0.xlsx</x:v>
      </x:c>
    </x:row>
    <x:row r="11945">
      <x:c r="A11945" s="15" t="n">
        <x:v>45505</x:v>
      </x:c>
      <x:c r="B11945" s="13" t="str">
        <x:v>DEXCO SA</x:v>
      </x:c>
      <x:c r="C11945" s="16" t="n">
        <x:v>360.4864489644</x:v>
      </x:c>
      <x:c r="D11945" s="13" t="str">
        <x:v>Pulp &amp; Paper</x:v>
      </x:c>
      <x:c r="E11945" s="13" t="str">
        <x:v>Pulp &amp; Paper</x:v>
      </x:c>
      <x:c r="F11945" s="13" t="str">
        <x:v>Deep Cyclicals</x:v>
      </x:c>
      <x:c r="G11945" s="13" t="str">
        <x:v>grid_wbaxp5t0.xlsx</x:v>
      </x:c>
    </x:row>
    <x:row r="11946">
      <x:c r="A11946" s="15" t="n">
        <x:v>45505</x:v>
      </x:c>
      <x:c r="B11946" s="13" t="str">
        <x:v>KLABIN SA - UNIT</x:v>
      </x:c>
      <x:c r="C11946" s="16" t="n">
        <x:v>2258.8774238685</x:v>
      </x:c>
      <x:c r="D11946" s="13" t="str">
        <x:v>Pulp &amp; Paper</x:v>
      </x:c>
      <x:c r="E11946" s="13" t="str">
        <x:v>Pulp &amp; Paper</x:v>
      </x:c>
      <x:c r="F11946" s="13" t="str">
        <x:v>Deep Cyclicals</x:v>
      </x:c>
      <x:c r="G11946" s="13" t="str">
        <x:v>grid_wbaxp5t0.xlsx</x:v>
      </x:c>
    </x:row>
    <x:row r="11947">
      <x:c r="A11947" s="15" t="n">
        <x:v>45505</x:v>
      </x:c>
      <x:c r="B11947" s="13" t="str">
        <x:v>SUZANO SA</x:v>
      </x:c>
      <x:c r="C11947" s="16" t="n">
        <x:v>8218.1933210301</x:v>
      </x:c>
      <x:c r="D11947" s="13" t="str">
        <x:v>Pulp &amp; Paper</x:v>
      </x:c>
      <x:c r="E11947" s="13" t="str">
        <x:v>Pulp &amp; Paper</x:v>
      </x:c>
      <x:c r="F11947" s="13" t="str">
        <x:v>Deep Cyclicals</x:v>
      </x:c>
      <x:c r="G11947" s="13" t="str">
        <x:v>grid_wbaxp5t0.xlsx</x:v>
      </x:c>
    </x:row>
    <x:row r="11948">
      <x:c r="A11948" s="15" t="n">
        <x:v>45505</x:v>
      </x:c>
      <x:c r="B11948" s="13" t="str">
        <x:v>ALPARGATAS SA - PREF</x:v>
      </x:c>
      <x:c r="C11948" s="16" t="n">
        <x:v>419.0889260712</x:v>
      </x:c>
      <x:c r="D11948" s="13" t="str">
        <x:v>Retail</x:v>
      </x:c>
      <x:c r="E11948" s="13" t="str">
        <x:v>Retail</x:v>
      </x:c>
      <x:c r="F11948" s="13" t="str">
        <x:v>Early Cyclicals</x:v>
      </x:c>
      <x:c r="G11948" s="13" t="str">
        <x:v>grid_wbaxp5t0.xlsx</x:v>
      </x:c>
    </x:row>
    <x:row r="11949">
      <x:c r="A11949" s="15" t="n">
        <x:v>45505</x:v>
      </x:c>
      <x:c r="B11949" s="13" t="str">
        <x:v>ATACADAO SA</x:v>
      </x:c>
      <x:c r="C11949" s="16" t="n">
        <x:v>1755.844525589</x:v>
      </x:c>
      <x:c r="D11949" s="13" t="str">
        <x:v>Retail</x:v>
      </x:c>
      <x:c r="E11949" s="13" t="str">
        <x:v>Retail</x:v>
      </x:c>
      <x:c r="F11949" s="13" t="str">
        <x:v>Early Cyclicals</x:v>
      </x:c>
      <x:c r="G11949" s="13" t="str">
        <x:v>grid_wbaxp5t0.xlsx</x:v>
      </x:c>
    </x:row>
    <x:row r="11950">
      <x:c r="A11950" s="15" t="n">
        <x:v>45505</x:v>
      </x:c>
      <x:c r="B11950" s="13" t="str">
        <x:v>AZZAS 2154 SA</x:v>
      </x:c>
      <x:c r="C11950" s="16" t="n">
        <x:v>603.9800937205</x:v>
      </x:c>
      <x:c r="D11950" s="13" t="str">
        <x:v>Retail</x:v>
      </x:c>
      <x:c r="E11950" s="13" t="str">
        <x:v>Retail</x:v>
      </x:c>
      <x:c r="F11950" s="13" t="str">
        <x:v>Early Cyclicals</x:v>
      </x:c>
      <x:c r="G11950" s="13" t="str">
        <x:v>grid_wbaxp5t0.xlsx</x:v>
      </x:c>
    </x:row>
    <x:row r="11951">
      <x:c r="A11951" s="15" t="n">
        <x:v>45505</x:v>
      </x:c>
      <x:c r="B11951" s="13" t="str">
        <x:v>CIA BRASILEIRA DE DISTRIBUIC</x:v>
      </x:c>
      <x:c r="C11951" s="16" t="n">
        <x:v>-381.5070793644</x:v>
      </x:c>
      <x:c r="D11951" s="13" t="str">
        <x:v>Retail</x:v>
      </x:c>
      <x:c r="E11951" s="13" t="str">
        <x:v>Retail</x:v>
      </x:c>
      <x:c r="F11951" s="13" t="str">
        <x:v>Early Cyclicals</x:v>
      </x:c>
      <x:c r="G11951" s="13" t="str">
        <x:v>grid_wbaxp5t0.xlsx</x:v>
      </x:c>
    </x:row>
    <x:row r="11952">
      <x:c r="A11952" s="15" t="n">
        <x:v>45505</x:v>
      </x:c>
      <x:c r="B11952" s="13" t="str">
        <x:v>CVC BRASIL OPERADORA E AGENC</x:v>
      </x:c>
      <x:c r="C11952" s="16" t="n">
        <x:v>47.9661257534</x:v>
      </x:c>
      <x:c r="D11952" s="13" t="str">
        <x:v>Retail</x:v>
      </x:c>
      <x:c r="E11952" s="13" t="str">
        <x:v>Retail</x:v>
      </x:c>
      <x:c r="F11952" s="13" t="str">
        <x:v>Early Cyclicals</x:v>
      </x:c>
      <x:c r="G11952" s="13" t="str">
        <x:v>grid_wbaxp5t0.xlsx</x:v>
      </x:c>
    </x:row>
    <x:row r="11953">
      <x:c r="A11953" s="15" t="n">
        <x:v>45505</x:v>
      </x:c>
      <x:c r="B11953" s="13" t="str">
        <x:v>LOJAS RENNER S.A.</x:v>
      </x:c>
      <x:c r="C11953" s="16" t="n">
        <x:v>1261.4386849315</x:v>
      </x:c>
      <x:c r="D11953" s="13" t="str">
        <x:v>Retail</x:v>
      </x:c>
      <x:c r="E11953" s="13" t="str">
        <x:v>Retail</x:v>
      </x:c>
      <x:c r="F11953" s="13" t="str">
        <x:v>Early Cyclicals</x:v>
      </x:c>
      <x:c r="G11953" s="13" t="str">
        <x:v>grid_wbaxp5t0.xlsx</x:v>
      </x:c>
    </x:row>
    <x:row r="11954">
      <x:c r="A11954" s="15" t="n">
        <x:v>45505</x:v>
      </x:c>
      <x:c r="B11954" s="13" t="str">
        <x:v>MAGAZINE LUIZA SA</x:v>
      </x:c>
      <x:c r="C11954" s="16" t="n">
        <x:v>466.5675344219</x:v>
      </x:c>
      <x:c r="D11954" s="13" t="str">
        <x:v>Retail</x:v>
      </x:c>
      <x:c r="E11954" s="13" t="str">
        <x:v>Retail</x:v>
      </x:c>
      <x:c r="F11954" s="13" t="str">
        <x:v>Early Cyclicals</x:v>
      </x:c>
      <x:c r="G11954" s="13" t="str">
        <x:v>grid_wbaxp5t0.xlsx</x:v>
      </x:c>
    </x:row>
    <x:row r="11955">
      <x:c r="A11955" s="15" t="n">
        <x:v>45505</x:v>
      </x:c>
      <x:c r="B11955" s="13" t="str">
        <x:v>NATURA &amp;CO HOLDING SA</x:v>
      </x:c>
      <x:c r="C11955" s="16" t="n">
        <x:v>801.471090411</x:v>
      </x:c>
      <x:c r="D11955" s="13" t="str">
        <x:v>Retail</x:v>
      </x:c>
      <x:c r="E11955" s="13" t="str">
        <x:v>Retail</x:v>
      </x:c>
      <x:c r="F11955" s="13" t="str">
        <x:v>Early Cyclicals</x:v>
      </x:c>
      <x:c r="G11955" s="13" t="str">
        <x:v>grid_wbaxp5t0.xlsx</x:v>
      </x:c>
    </x:row>
    <x:row r="11956">
      <x:c r="A11956" s="15" t="n">
        <x:v>45505</x:v>
      </x:c>
      <x:c r="B11956" s="13" t="str">
        <x:v>PET CENTER COMERCIO E PARTIC</x:v>
      </x:c>
      <x:c r="C11956" s="16" t="n">
        <x:v>81.682080274</x:v>
      </x:c>
      <x:c r="D11956" s="13" t="str">
        <x:v>Retail</x:v>
      </x:c>
      <x:c r="E11956" s="13" t="str">
        <x:v>Retail</x:v>
      </x:c>
      <x:c r="F11956" s="13" t="str">
        <x:v>Early Cyclicals</x:v>
      </x:c>
      <x:c r="G11956" s="13" t="str">
        <x:v>grid_wbaxp5t0.xlsx</x:v>
      </x:c>
    </x:row>
    <x:row r="11957">
      <x:c r="A11957" s="15" t="n">
        <x:v>45505</x:v>
      </x:c>
      <x:c r="B11957" s="13" t="str">
        <x:v>RAIA DROGASIL SA</x:v>
      </x:c>
      <x:c r="C11957" s="16" t="n">
        <x:v>1540.0954094466</x:v>
      </x:c>
      <x:c r="D11957" s="13" t="str">
        <x:v>Retail</x:v>
      </x:c>
      <x:c r="E11957" s="13" t="str">
        <x:v>Retail</x:v>
      </x:c>
      <x:c r="F11957" s="13" t="str">
        <x:v>Early Cyclicals</x:v>
      </x:c>
      <x:c r="G11957" s="13" t="str">
        <x:v>grid_wbaxp5t0.xlsx</x:v>
      </x:c>
    </x:row>
    <x:row r="11958">
      <x:c r="A11958" s="15" t="n">
        <x:v>45505</x:v>
      </x:c>
      <x:c r="B11958" s="13" t="str">
        <x:v>SENDAS DISTRIBUIDORA SA</x:v>
      </x:c>
      <x:c r="C11958" s="16" t="n">
        <x:v>1117.7519505534</x:v>
      </x:c>
      <x:c r="D11958" s="13" t="str">
        <x:v>Retail</x:v>
      </x:c>
      <x:c r="E11958" s="13" t="str">
        <x:v>Retail</x:v>
      </x:c>
      <x:c r="F11958" s="13" t="str">
        <x:v>Early Cyclicals</x:v>
      </x:c>
      <x:c r="G11958" s="13" t="str">
        <x:v>grid_wbaxp5t0.xlsx</x:v>
      </x:c>
    </x:row>
    <x:row r="11959">
      <x:c r="A11959" s="15" t="n">
        <x:v>45505</x:v>
      </x:c>
      <x:c r="B11959" s="13" t="str">
        <x:v>VIVARA PARTICIPACOES SA</x:v>
      </x:c>
      <x:c r="C11959" s="16" t="n">
        <x:v>490.8181535562</x:v>
      </x:c>
      <x:c r="D11959" s="13" t="str">
        <x:v>Retail</x:v>
      </x:c>
      <x:c r="E11959" s="13" t="str">
        <x:v>Retail</x:v>
      </x:c>
      <x:c r="F11959" s="13" t="str">
        <x:v>Early Cyclicals</x:v>
      </x:c>
      <x:c r="G11959" s="13" t="str">
        <x:v>grid_wbaxp5t0.xlsx</x:v>
      </x:c>
    </x:row>
    <x:row r="11960">
      <x:c r="A11960" s="15" t="n">
        <x:v>45505</x:v>
      </x:c>
      <x:c r="B11960" s="13" t="str">
        <x:v>CIA SANEAMENTO BASICO DE SP</x:v>
      </x:c>
      <x:c r="C11960" s="16" t="n">
        <x:v>4336.5332297644</x:v>
      </x:c>
      <x:c r="D11960" s="13" t="str">
        <x:v>Sanitation</x:v>
      </x:c>
      <x:c r="E11960" s="13" t="str">
        <x:v>Utilities</x:v>
      </x:c>
      <x:c r="F11960" s="13" t="str">
        <x:v>Defensives</x:v>
      </x:c>
      <x:c r="G11960" s="13" t="str">
        <x:v>grid_wbaxp5t0.xlsx</x:v>
      </x:c>
    </x:row>
    <x:row r="11961">
      <x:c r="A11961" s="15" t="n">
        <x:v>45505</x:v>
      </x:c>
      <x:c r="B11961" s="13" t="str">
        <x:v>LWSA SA</x:v>
      </x:c>
      <x:c r="C11961" s="16" t="n">
        <x:v>134.0683645589</x:v>
      </x:c>
      <x:c r="D11961" s="13" t="str">
        <x:v>TMT</x:v>
      </x:c>
      <x:c r="E11961" s="13" t="str">
        <x:v>TMT</x:v>
      </x:c>
      <x:c r="F11961" s="13" t="str">
        <x:v>Early Cyclicals</x:v>
      </x:c>
      <x:c r="G11961" s="13" t="str">
        <x:v>grid_wbaxp5t0.xlsx</x:v>
      </x:c>
    </x:row>
    <x:row r="11962">
      <x:c r="A11962" s="15" t="n">
        <x:v>45505</x:v>
      </x:c>
      <x:c r="B11962" s="13" t="str">
        <x:v>TIM SA</x:v>
      </x:c>
      <x:c r="C11962" s="16" t="n">
        <x:v>3675.4880876712</x:v>
      </x:c>
      <x:c r="D11962" s="13" t="str">
        <x:v>TMT</x:v>
      </x:c>
      <x:c r="E11962" s="13" t="str">
        <x:v>TMT</x:v>
      </x:c>
      <x:c r="F11962" s="13" t="str">
        <x:v>Early Cyclicals</x:v>
      </x:c>
      <x:c r="G11962" s="13" t="str">
        <x:v>grid_wbaxp5t0.xlsx</x:v>
      </x:c>
    </x:row>
    <x:row r="11963">
      <x:c r="A11963" s="15" t="n">
        <x:v>45505</x:v>
      </x:c>
      <x:c r="B11963" s="13" t="str">
        <x:v>TOTVS SA</x:v>
      </x:c>
      <x:c r="C11963" s="16" t="n">
        <x:v>802.0625313315</x:v>
      </x:c>
      <x:c r="D11963" s="13" t="str">
        <x:v>TMT</x:v>
      </x:c>
      <x:c r="E11963" s="13" t="str">
        <x:v>TMT</x:v>
      </x:c>
      <x:c r="F11963" s="13" t="str">
        <x:v>Early Cyclicals</x:v>
      </x:c>
      <x:c r="G11963" s="13" t="str">
        <x:v>grid_wbaxp5t0.xlsx</x:v>
      </x:c>
    </x:row>
    <x:row r="11964">
      <x:c r="A11964" s="15" t="n">
        <x:v>45505</x:v>
      </x:c>
      <x:c r="B11964" s="13" t="str">
        <x:v>AZUL SA</x:v>
      </x:c>
      <x:c r="C11964" s="16" t="n">
        <x:v>-984.411123726</x:v>
      </x:c>
      <x:c r="D11964" s="13" t="str">
        <x:v>Transportation</x:v>
      </x:c>
      <x:c r="E11964" s="13" t="str">
        <x:v>Transportation</x:v>
      </x:c>
      <x:c r="F11964" s="13" t="str">
        <x:v>Deep Cyclicals</x:v>
      </x:c>
      <x:c r="G11964" s="13" t="str">
        <x:v>grid_wbaxp5t0.xlsx</x:v>
      </x:c>
    </x:row>
    <x:row r="11965">
      <x:c r="A11965" s="15" t="n">
        <x:v>45505</x:v>
      </x:c>
      <x:c r="B11965" s="13" t="str">
        <x:v>LOCALIZA RENT A CAR</x:v>
      </x:c>
      <x:c r="C11965" s="16" t="n">
        <x:v>3016.9192756603</x:v>
      </x:c>
      <x:c r="D11965" s="13" t="str">
        <x:v>Transportation</x:v>
      </x:c>
      <x:c r="E11965" s="13" t="str">
        <x:v>Transportation</x:v>
      </x:c>
      <x:c r="F11965" s="13" t="str">
        <x:v>Deep Cyclicals</x:v>
      </x:c>
      <x:c r="G11965" s="13" t="str">
        <x:v>grid_wbaxp5t0.xlsx</x:v>
      </x:c>
    </x:row>
    <x:row r="11966">
      <x:c r="A11966" s="15" t="n">
        <x:v>45505</x:v>
      </x:c>
      <x:c r="B11966" s="13" t="str">
        <x:v>MOTIVA INFRAESTRUTURA DE MOB</x:v>
      </x:c>
      <x:c r="C11966" s="16" t="n">
        <x:v>1887.1270806795</x:v>
      </x:c>
      <x:c r="D11966" s="13" t="str">
        <x:v>Transportation</x:v>
      </x:c>
      <x:c r="E11966" s="13" t="str">
        <x:v>Transportation</x:v>
      </x:c>
      <x:c r="F11966" s="13" t="str">
        <x:v>Deep Cyclicals</x:v>
      </x:c>
      <x:c r="G11966" s="13" t="str">
        <x:v>grid_wbaxp5t0.xlsx</x:v>
      </x:c>
    </x:row>
    <x:row r="11967">
      <x:c r="A11967" s="15" t="n">
        <x:v>45505</x:v>
      </x:c>
      <x:c r="B11967" s="13" t="str">
        <x:v>RUMO SA</x:v>
      </x:c>
      <x:c r="C11967" s="16" t="n">
        <x:v>2427.891027463</x:v>
      </x:c>
      <x:c r="D11967" s="13" t="str">
        <x:v>Transportation</x:v>
      </x:c>
      <x:c r="E11967" s="13" t="str">
        <x:v>Transportation</x:v>
      </x:c>
      <x:c r="F11967" s="13" t="str">
        <x:v>Deep Cyclicals</x:v>
      </x:c>
      <x:c r="G11967" s="13" t="str">
        <x:v>grid_wbaxp5t0.xlsx</x:v>
      </x:c>
    </x:row>
    <x:row r="11968">
      <x:c r="A11968" s="15" t="n">
        <x:v>45505</x:v>
      </x:c>
      <x:c r="B11968" s="13" t="str">
        <x:v>VAMOS LOCACAO DE CAMINHOES M</x:v>
      </x:c>
      <x:c r="C11968" s="16" t="n">
        <x:v>1031.8802782685</x:v>
      </x:c>
      <x:c r="D11968" s="13" t="str">
        <x:v>Transportation</x:v>
      </x:c>
      <x:c r="E11968" s="13" t="str">
        <x:v>Transportation</x:v>
      </x:c>
      <x:c r="F11968" s="13" t="str">
        <x:v>Deep Cyclicals</x:v>
      </x:c>
      <x:c r="G11968" s="13" t="str">
        <x:v>grid_wbaxp5t0.xlsx</x:v>
      </x:c>
    </x:row>
    <x:row r="11969">
      <x:c r="A11969" s="15" t="n">
        <x:v>45505</x:v>
      </x:c>
      <x:c r="B11969" s="13" t="str">
        <x:v>AXIA ENERGIA SA</x:v>
      </x:c>
      <x:c r="C11969" s="16" t="n">
        <x:v>8480.4635297315</x:v>
      </x:c>
      <x:c r="D11969" s="13" t="str">
        <x:v>Utilities &amp; Energy</x:v>
      </x:c>
      <x:c r="E11969" s="13" t="str">
        <x:v>Utilities</x:v>
      </x:c>
      <x:c r="F11969" s="13" t="str">
        <x:v>Defensives</x:v>
      </x:c>
      <x:c r="G11969" s="13" t="str">
        <x:v>grid_wbaxp5t0.xlsx</x:v>
      </x:c>
    </x:row>
    <x:row r="11970">
      <x:c r="A11970" s="15" t="n">
        <x:v>45505</x:v>
      </x:c>
      <x:c r="B11970" s="13" t="str">
        <x:v>AXIA ENERGIA-PR B</x:v>
      </x:c>
      <x:c r="C11970" s="16" t="n">
        <x:v>8480.4635297315</x:v>
      </x:c>
      <x:c r="D11970" s="13" t="str">
        <x:v>Utilities &amp; Energy</x:v>
      </x:c>
      <x:c r="E11970" s="13" t="str">
        <x:v>Utilities</x:v>
      </x:c>
      <x:c r="F11970" s="13" t="str">
        <x:v>Defensives</x:v>
      </x:c>
      <x:c r="G11970" s="13" t="str">
        <x:v>grid_wbaxp5t0.xlsx</x:v>
      </x:c>
    </x:row>
    <x:row r="11971">
      <x:c r="A11971" s="15" t="n">
        <x:v>45505</x:v>
      </x:c>
      <x:c r="B11971" s="13" t="str">
        <x:v>CIA ENERGETICA MINAS GER-PRF</x:v>
      </x:c>
      <x:c r="C11971" s="16" t="n">
        <x:v>4753.8445185753</x:v>
      </x:c>
      <x:c r="D11971" s="13" t="str">
        <x:v>Utilities &amp; Energy</x:v>
      </x:c>
      <x:c r="E11971" s="13" t="str">
        <x:v>Utilities</x:v>
      </x:c>
      <x:c r="F11971" s="13" t="str">
        <x:v>Defensives</x:v>
      </x:c>
      <x:c r="G11971" s="13" t="str">
        <x:v>grid_wbaxp5t0.xlsx</x:v>
      </x:c>
    </x:row>
    <x:row r="11972">
      <x:c r="A11972" s="15" t="n">
        <x:v>45505</x:v>
      </x:c>
      <x:c r="B11972" s="13" t="str">
        <x:v>COMPANHIA PARANAENSE -PREF B</x:v>
      </x:c>
      <x:c r="C11972" s="16" t="n">
        <x:v>2369.7148296767</x:v>
      </x:c>
      <x:c r="D11972" s="13" t="str">
        <x:v>Utilities &amp; Energy</x:v>
      </x:c>
      <x:c r="E11972" s="13" t="str">
        <x:v>Utilities</x:v>
      </x:c>
      <x:c r="F11972" s="13" t="str">
        <x:v>Defensives</x:v>
      </x:c>
      <x:c r="G11972" s="13" t="str">
        <x:v>grid_wbaxp5t0.xlsx</x:v>
      </x:c>
    </x:row>
    <x:row r="11973">
      <x:c r="A11973" s="15" t="n">
        <x:v>45505</x:v>
      </x:c>
      <x:c r="B11973" s="13" t="str">
        <x:v>CPFL ENERGIA SA</x:v>
      </x:c>
      <x:c r="C11973" s="16" t="n">
        <x:v>5202.8468658849</x:v>
      </x:c>
      <x:c r="D11973" s="13" t="str">
        <x:v>Utilities &amp; Energy</x:v>
      </x:c>
      <x:c r="E11973" s="13" t="str">
        <x:v>Utilities</x:v>
      </x:c>
      <x:c r="F11973" s="13" t="str">
        <x:v>Defensives</x:v>
      </x:c>
      <x:c r="G11973" s="13" t="str">
        <x:v>grid_wbaxp5t0.xlsx</x:v>
      </x:c>
    </x:row>
    <x:row r="11974">
      <x:c r="A11974" s="15" t="n">
        <x:v>45505</x:v>
      </x:c>
      <x:c r="B11974" s="13" t="str">
        <x:v>ENERGISA SA-UNITS</x:v>
      </x:c>
      <x:c r="C11974" s="16" t="n">
        <x:v>2216.8999459069</x:v>
      </x:c>
      <x:c r="D11974" s="13" t="str">
        <x:v>Utilities &amp; Energy</x:v>
      </x:c>
      <x:c r="E11974" s="13" t="str">
        <x:v>Utilities</x:v>
      </x:c>
      <x:c r="F11974" s="13" t="str">
        <x:v>Defensives</x:v>
      </x:c>
      <x:c r="G11974" s="13" t="str">
        <x:v>grid_wbaxp5t0.xlsx</x:v>
      </x:c>
    </x:row>
    <x:row r="11975">
      <x:c r="A11975" s="15" t="n">
        <x:v>45505</x:v>
      </x:c>
      <x:c r="B11975" s="13" t="str">
        <x:v>ENEVA SA</x:v>
      </x:c>
      <x:c r="C11975" s="16" t="n">
        <x:v>756.5945205479</x:v>
      </x:c>
      <x:c r="D11975" s="13" t="str">
        <x:v>Utilities &amp; Energy</x:v>
      </x:c>
      <x:c r="E11975" s="13" t="str">
        <x:v>Utilities</x:v>
      </x:c>
      <x:c r="F11975" s="13" t="str">
        <x:v>Defensives</x:v>
      </x:c>
      <x:c r="G11975" s="13" t="str">
        <x:v>grid_wbaxp5t0.xlsx</x:v>
      </x:c>
    </x:row>
    <x:row r="11976">
      <x:c r="A11976" s="15" t="n">
        <x:v>45505</x:v>
      </x:c>
      <x:c r="B11976" s="13" t="str">
        <x:v>ENGIE BRASIL ENERGIA SA</x:v>
      </x:c>
      <x:c r="C11976" s="16" t="n">
        <x:v>3530.9454357041</x:v>
      </x:c>
      <x:c r="D11976" s="13" t="str">
        <x:v>Utilities &amp; Energy</x:v>
      </x:c>
      <x:c r="E11976" s="13" t="str">
        <x:v>Utilities</x:v>
      </x:c>
      <x:c r="F11976" s="13" t="str">
        <x:v>Defensives</x:v>
      </x:c>
      <x:c r="G11976" s="13" t="str">
        <x:v>grid_wbaxp5t0.xlsx</x:v>
      </x:c>
    </x:row>
    <x:row r="11977">
      <x:c r="A11977" s="15" t="n">
        <x:v>45505</x:v>
      </x:c>
      <x:c r="B11977" s="13" t="str">
        <x:v>EQUATORIAL SA - ORD</x:v>
      </x:c>
      <x:c r="C11977" s="16" t="n">
        <x:v>3145.4283754959</x:v>
      </x:c>
      <x:c r="D11977" s="13" t="str">
        <x:v>Utilities &amp; Energy</x:v>
      </x:c>
      <x:c r="E11977" s="13" t="str">
        <x:v>Utilities</x:v>
      </x:c>
      <x:c r="F11977" s="13" t="str">
        <x:v>Defensives</x:v>
      </x:c>
      <x:c r="G11977" s="13" t="str">
        <x:v>grid_wbaxp5t0.xlsx</x:v>
      </x:c>
    </x:row>
    <x:row r="11978">
      <x:c r="A11978" s="15" t="n">
        <x:v>45505</x:v>
      </x:c>
      <x:c r="B11978" s="13" t="str">
        <x:v>ISA ENERGIA BRASIL SA</x:v>
      </x:c>
      <x:c r="C11978" s="16" t="n">
        <x:v>1795.2773158575</x:v>
      </x:c>
      <x:c r="D11978" s="13" t="str">
        <x:v>Utilities &amp; Energy</x:v>
      </x:c>
      <x:c r="E11978" s="13" t="str">
        <x:v>Utilities</x:v>
      </x:c>
      <x:c r="F11978" s="13" t="str">
        <x:v>Defensives</x:v>
      </x:c>
      <x:c r="G11978" s="13" t="str">
        <x:v>grid_wbaxp5t0.xlsx</x:v>
      </x:c>
    </x:row>
    <x:row r="11979">
      <x:c r="A11979" s="15" t="n">
        <x:v>45505</x:v>
      </x:c>
      <x:c r="B11979" s="13" t="str">
        <x:v>TRANSMISSORA ALIANCA DE-UNIT</x:v>
      </x:c>
      <x:c r="C11979" s="16" t="n">
        <x:v>1148.3095678247</x:v>
      </x:c>
      <x:c r="D11979" s="13" t="str">
        <x:v>Utilities &amp; Energy</x:v>
      </x:c>
      <x:c r="E11979" s="13" t="str">
        <x:v>Utilities</x:v>
      </x:c>
      <x:c r="F11979" s="13" t="str">
        <x:v>Defensives</x:v>
      </x:c>
      <x:c r="G11979" s="13" t="str">
        <x:v>grid_wbaxp5t0.xlsx</x:v>
      </x:c>
    </x:row>
    <x:row r="11980">
      <x:c r="A11980" s="15" t="n">
        <x:v>45536</x:v>
      </x:c>
      <x:c r="B11980" s="13" t="str">
        <x:v>RAIZEN SA - PREFERENCE</x:v>
      </x:c>
      <x:c r="C11980" s="16" t="n">
        <x:v>3740.8298678356</x:v>
      </x:c>
      <x:c r="D11980" s="13" t="str">
        <x:v>Agribusiness</x:v>
      </x:c>
      <x:c r="E11980" s="13" t="str">
        <x:v>Agri, Food &amp; Beverages</x:v>
      </x:c>
      <x:c r="F11980" s="13" t="str">
        <x:v>Defensives</x:v>
      </x:c>
      <x:c r="G11980" s="13" t="str">
        <x:v>grid_wbaxp5t0.xlsx</x:v>
      </x:c>
    </x:row>
    <x:row r="11981">
      <x:c r="A11981" s="15" t="n">
        <x:v>45536</x:v>
      </x:c>
      <x:c r="B11981" s="13" t="str">
        <x:v>SAO MARTINHO SA</x:v>
      </x:c>
      <x:c r="C11981" s="16" t="n">
        <x:v>959.1766734904</x:v>
      </x:c>
      <x:c r="D11981" s="13" t="str">
        <x:v>Agribusiness</x:v>
      </x:c>
      <x:c r="E11981" s="13" t="str">
        <x:v>Agri, Food &amp; Beverages</x:v>
      </x:c>
      <x:c r="F11981" s="13" t="str">
        <x:v>Defensives</x:v>
      </x:c>
      <x:c r="G11981" s="13" t="str">
        <x:v>grid_wbaxp5t0.xlsx</x:v>
      </x:c>
    </x:row>
    <x:row r="11982">
      <x:c r="A11982" s="15" t="n">
        <x:v>45536</x:v>
      </x:c>
      <x:c r="B11982" s="13" t="str">
        <x:v>SLC AGRICOLA SA</x:v>
      </x:c>
      <x:c r="C11982" s="16" t="n">
        <x:v>846.0854664767</x:v>
      </x:c>
      <x:c r="D11982" s="13" t="str">
        <x:v>Agribusiness</x:v>
      </x:c>
      <x:c r="E11982" s="13" t="str">
        <x:v>Agri, Food &amp; Beverages</x:v>
      </x:c>
      <x:c r="F11982" s="13" t="str">
        <x:v>Defensives</x:v>
      </x:c>
      <x:c r="G11982" s="13" t="str">
        <x:v>grid_wbaxp5t0.xlsx</x:v>
      </x:c>
    </x:row>
    <x:row r="11983">
      <x:c r="A11983" s="15" t="n">
        <x:v>45536</x:v>
      </x:c>
      <x:c r="B11983" s="13" t="str">
        <x:v>BANCO BRADESCO S.A.</x:v>
      </x:c>
      <x:c r="C11983" s="16" t="n">
        <x:v>22990.9655439781</x:v>
      </x:c>
      <x:c r="D11983" s="13" t="str">
        <x:v>Banks</x:v>
      </x:c>
      <x:c r="E11983" s="13" t="str">
        <x:v>Banks</x:v>
      </x:c>
      <x:c r="F11983" s="13" t="str">
        <x:v>Financials</x:v>
      </x:c>
      <x:c r="G11983" s="13" t="str">
        <x:v>grid_wbaxp5t0.xlsx</x:v>
      </x:c>
    </x:row>
    <x:row r="11984">
      <x:c r="A11984" s="15" t="n">
        <x:v>45536</x:v>
      </x:c>
      <x:c r="B11984" s="13" t="str">
        <x:v>BANCO BRADESCO SA-PREF</x:v>
      </x:c>
      <x:c r="C11984" s="16" t="n">
        <x:v>22990.9655439781</x:v>
      </x:c>
      <x:c r="D11984" s="13" t="str">
        <x:v>Banks</x:v>
      </x:c>
      <x:c r="E11984" s="13" t="str">
        <x:v>Banks</x:v>
      </x:c>
      <x:c r="F11984" s="13" t="str">
        <x:v>Financials</x:v>
      </x:c>
      <x:c r="G11984" s="13" t="str">
        <x:v>grid_wbaxp5t0.xlsx</x:v>
      </x:c>
    </x:row>
    <x:row r="11985">
      <x:c r="A11985" s="15" t="n">
        <x:v>45536</x:v>
      </x:c>
      <x:c r="B11985" s="13" t="str">
        <x:v>BANCO BTG PACTUAL SA-UNIT</x:v>
      </x:c>
      <x:c r="C11985" s="16" t="n">
        <x:v>13730.6162947507</x:v>
      </x:c>
      <x:c r="D11985" s="13" t="str">
        <x:v>Banks</x:v>
      </x:c>
      <x:c r="E11985" s="13" t="str">
        <x:v>Banks</x:v>
      </x:c>
      <x:c r="F11985" s="13" t="str">
        <x:v>Financials</x:v>
      </x:c>
      <x:c r="G11985" s="13" t="str">
        <x:v>grid_wbaxp5t0.xlsx</x:v>
      </x:c>
    </x:row>
    <x:row r="11986">
      <x:c r="A11986" s="15" t="n">
        <x:v>45536</x:v>
      </x:c>
      <x:c r="B11986" s="13" t="str">
        <x:v>BANCO DO BRASIL S.A.</x:v>
      </x:c>
      <x:c r="C11986" s="16" t="n">
        <x:v>38940.4988906959</x:v>
      </x:c>
      <x:c r="D11986" s="13" t="str">
        <x:v>Banks</x:v>
      </x:c>
      <x:c r="E11986" s="13" t="str">
        <x:v>Banks</x:v>
      </x:c>
      <x:c r="F11986" s="13" t="str">
        <x:v>Financials</x:v>
      </x:c>
      <x:c r="G11986" s="13" t="str">
        <x:v>grid_wbaxp5t0.xlsx</x:v>
      </x:c>
    </x:row>
    <x:row r="11987">
      <x:c r="A11987" s="15" t="n">
        <x:v>45536</x:v>
      </x:c>
      <x:c r="B11987" s="13" t="str">
        <x:v>BANCO SANTANDER  BRASIL-UNIT</x:v>
      </x:c>
      <x:c r="C11987" s="16" t="n">
        <x:v>15730.9795959233</x:v>
      </x:c>
      <x:c r="D11987" s="13" t="str">
        <x:v>Banks</x:v>
      </x:c>
      <x:c r="E11987" s="13" t="str">
        <x:v>Banks</x:v>
      </x:c>
      <x:c r="F11987" s="13" t="str">
        <x:v>Financials</x:v>
      </x:c>
      <x:c r="G11987" s="13" t="str">
        <x:v>grid_wbaxp5t0.xlsx</x:v>
      </x:c>
    </x:row>
    <x:row r="11988">
      <x:c r="A11988" s="15" t="n">
        <x:v>45536</x:v>
      </x:c>
      <x:c r="B11988" s="13" t="str">
        <x:v>ITAU UNIBANCO HOLDING S-PREF</x:v>
      </x:c>
      <x:c r="C11988" s="16" t="n">
        <x:v>44392.5277766137</x:v>
      </x:c>
      <x:c r="D11988" s="13" t="str">
        <x:v>Banks</x:v>
      </x:c>
      <x:c r="E11988" s="13" t="str">
        <x:v>Banks</x:v>
      </x:c>
      <x:c r="F11988" s="13" t="str">
        <x:v>Financials</x:v>
      </x:c>
      <x:c r="G11988" s="13" t="str">
        <x:v>grid_wbaxp5t0.xlsx</x:v>
      </x:c>
    </x:row>
    <x:row r="11989">
      <x:c r="A11989" s="15" t="n">
        <x:v>45536</x:v>
      </x:c>
      <x:c r="B11989" s="13" t="str">
        <x:v>EMBRAER SA</x:v>
      </x:c>
      <x:c r="C11989" s="16" t="n">
        <x:v>1795.6847984219</x:v>
      </x:c>
      <x:c r="D11989" s="13" t="str">
        <x:v>Capital Goods</x:v>
      </x:c>
      <x:c r="E11989" s="13" t="str">
        <x:v>Capital Goods</x:v>
      </x:c>
      <x:c r="F11989" s="13" t="str">
        <x:v>Deep Cyclicals</x:v>
      </x:c>
      <x:c r="G11989" s="13" t="str">
        <x:v>grid_wbaxp5t0.xlsx</x:v>
      </x:c>
    </x:row>
    <x:row r="11990">
      <x:c r="A11990" s="15" t="n">
        <x:v>45536</x:v>
      </x:c>
      <x:c r="B11990" s="13" t="str">
        <x:v>WEG SA</x:v>
      </x:c>
      <x:c r="C11990" s="16" t="n">
        <x:v>6548.0696958247</x:v>
      </x:c>
      <x:c r="D11990" s="13" t="str">
        <x:v>Capital Goods</x:v>
      </x:c>
      <x:c r="E11990" s="13" t="str">
        <x:v>Capital Goods</x:v>
      </x:c>
      <x:c r="F11990" s="13" t="str">
        <x:v>Deep Cyclicals</x:v>
      </x:c>
      <x:c r="G11990" s="13" t="str">
        <x:v>grid_wbaxp5t0.xlsx</x:v>
      </x:c>
    </x:row>
    <x:row r="11991">
      <x:c r="A11991" s="15" t="n">
        <x:v>45536</x:v>
      </x:c>
      <x:c r="B11991" s="13" t="str">
        <x:v>COGNA EDUCACAO</x:v>
      </x:c>
      <x:c r="C11991" s="16" t="n">
        <x:v>394.0442617863</x:v>
      </x:c>
      <x:c r="D11991" s="13" t="str">
        <x:v>Education</x:v>
      </x:c>
      <x:c r="E11991" s="13" t="str">
        <x:v>Education</x:v>
      </x:c>
      <x:c r="F11991" s="13" t="str">
        <x:v>Early Cyclicals</x:v>
      </x:c>
      <x:c r="G11991" s="13" t="str">
        <x:v>grid_wbaxp5t0.xlsx</x:v>
      </x:c>
    </x:row>
    <x:row r="11992">
      <x:c r="A11992" s="15" t="n">
        <x:v>45536</x:v>
      </x:c>
      <x:c r="B11992" s="13" t="str">
        <x:v>YDUQS PARTICIPACOES SA</x:v>
      </x:c>
      <x:c r="C11992" s="16" t="n">
        <x:v>549.5145242301</x:v>
      </x:c>
      <x:c r="D11992" s="13" t="str">
        <x:v>Education</x:v>
      </x:c>
      <x:c r="E11992" s="13" t="str">
        <x:v>Education</x:v>
      </x:c>
      <x:c r="F11992" s="13" t="str">
        <x:v>Early Cyclicals</x:v>
      </x:c>
      <x:c r="G11992" s="13" t="str">
        <x:v>grid_wbaxp5t0.xlsx</x:v>
      </x:c>
    </x:row>
    <x:row r="11993">
      <x:c r="A11993" s="15" t="n">
        <x:v>45536</x:v>
      </x:c>
      <x:c r="B11993" s="13" t="str">
        <x:v>B3 SA-BRASIL BOLSA BALCAO</x:v>
      </x:c>
      <x:c r="C11993" s="16" t="n">
        <x:v>5076.8237231343</x:v>
      </x:c>
      <x:c r="D11993" s="13" t="str">
        <x:v>Financials Non-Banks</x:v>
      </x:c>
      <x:c r="E11993" s="13" t="str">
        <x:v>Financials Non-Banks</x:v>
      </x:c>
      <x:c r="F11993" s="13" t="str">
        <x:v>Financials</x:v>
      </x:c>
      <x:c r="G11993" s="13" t="str">
        <x:v>grid_wbaxp5t0.xlsx</x:v>
      </x:c>
    </x:row>
    <x:row r="11994">
      <x:c r="A11994" s="15" t="n">
        <x:v>45536</x:v>
      </x:c>
      <x:c r="B11994" s="13" t="str">
        <x:v>BB SEGURIDADE PARTICIPACOES</x:v>
      </x:c>
      <x:c r="C11994" s="16" t="n">
        <x:v>8314.8193357151</x:v>
      </x:c>
      <x:c r="D11994" s="13" t="str">
        <x:v>Financials Non-Banks</x:v>
      </x:c>
      <x:c r="E11994" s="13" t="str">
        <x:v>Financials Non-Banks</x:v>
      </x:c>
      <x:c r="F11994" s="13" t="str">
        <x:v>Financials</x:v>
      </x:c>
      <x:c r="G11994" s="13" t="str">
        <x:v>grid_wbaxp5t0.xlsx</x:v>
      </x:c>
    </x:row>
    <x:row r="11995">
      <x:c r="A11995" s="15" t="n">
        <x:v>45536</x:v>
      </x:c>
      <x:c r="B11995" s="13" t="str">
        <x:v>CAIXA SEGURIDADE PARTICIPACO</x:v>
      </x:c>
      <x:c r="C11995" s="16" t="n">
        <x:v>4155.3528782904</x:v>
      </x:c>
      <x:c r="D11995" s="13" t="str">
        <x:v>Financials Non-Banks</x:v>
      </x:c>
      <x:c r="E11995" s="13" t="str">
        <x:v>Financials Non-Banks</x:v>
      </x:c>
      <x:c r="F11995" s="13" t="str">
        <x:v>Financials</x:v>
      </x:c>
      <x:c r="G11995" s="13" t="str">
        <x:v>grid_wbaxp5t0.xlsx</x:v>
      </x:c>
    </x:row>
    <x:row r="11996">
      <x:c r="A11996" s="15" t="n">
        <x:v>45536</x:v>
      </x:c>
      <x:c r="B11996" s="13" t="str">
        <x:v>IRB BRASIL RESSEGUROS SA</x:v>
      </x:c>
      <x:c r="C11996" s="16" t="n">
        <x:v>477.6247825534</x:v>
      </x:c>
      <x:c r="D11996" s="13" t="str">
        <x:v>Financials Non-Banks</x:v>
      </x:c>
      <x:c r="E11996" s="13" t="str">
        <x:v>Financials Non-Banks</x:v>
      </x:c>
      <x:c r="F11996" s="13" t="str">
        <x:v>Financials</x:v>
      </x:c>
      <x:c r="G11996" s="13" t="str">
        <x:v>grid_wbaxp5t0.xlsx</x:v>
      </x:c>
    </x:row>
    <x:row r="11997">
      <x:c r="A11997" s="15" t="n">
        <x:v>45536</x:v>
      </x:c>
      <x:c r="B11997" s="13" t="str">
        <x:v>ITAUSA SA</x:v>
      </x:c>
      <x:c r="C11997" s="16" t="n">
        <x:v>16692.1354590685</x:v>
      </x:c>
      <x:c r="D11997" s="13" t="str">
        <x:v>Financials Non-Banks</x:v>
      </x:c>
      <x:c r="E11997" s="13" t="str">
        <x:v>Financials Non-Banks</x:v>
      </x:c>
      <x:c r="F11997" s="13" t="str">
        <x:v>Financials</x:v>
      </x:c>
      <x:c r="G11997" s="13" t="str">
        <x:v>grid_wbaxp5t0.xlsx</x:v>
      </x:c>
    </x:row>
    <x:row r="11998">
      <x:c r="A11998" s="15" t="n">
        <x:v>45536</x:v>
      </x:c>
      <x:c r="B11998" s="13" t="str">
        <x:v>AMBEV SA</x:v>
      </x:c>
      <x:c r="C11998" s="16" t="n">
        <x:v>15530.654790137</x:v>
      </x:c>
      <x:c r="D11998" s="13" t="str">
        <x:v>Food &amp; Beverages</x:v>
      </x:c>
      <x:c r="E11998" s="13" t="str">
        <x:v>Agri, Food &amp; Beverages</x:v>
      </x:c>
      <x:c r="F11998" s="13" t="str">
        <x:v>Defensives</x:v>
      </x:c>
      <x:c r="G11998" s="13" t="str">
        <x:v>grid_wbaxp5t0.xlsx</x:v>
      </x:c>
    </x:row>
    <x:row r="11999">
      <x:c r="A11999" s="15" t="n">
        <x:v>45536</x:v>
      </x:c>
      <x:c r="B11999" s="13" t="str">
        <x:v>BRF SA</x:v>
      </x:c>
      <x:c r="C11999" s="16" t="n">
        <x:v>3111.4663858849</x:v>
      </x:c>
      <x:c r="D11999" s="13" t="str">
        <x:v>Food &amp; Beverages</x:v>
      </x:c>
      <x:c r="E11999" s="13" t="str">
        <x:v>Agri, Food &amp; Beverages</x:v>
      </x:c>
      <x:c r="F11999" s="13" t="str">
        <x:v>Defensives</x:v>
      </x:c>
      <x:c r="G11999" s="13" t="str">
        <x:v>grid_wbaxp5t0.xlsx</x:v>
      </x:c>
    </x:row>
    <x:row r="12000">
      <x:c r="A12000" s="15" t="n">
        <x:v>45536</x:v>
      </x:c>
      <x:c r="B12000" s="13" t="str">
        <x:v>MBRF GLOBAL FOODS COMPANY SA</x:v>
      </x:c>
      <x:c r="C12000" s="16" t="n">
        <x:v>-970.7320795178</x:v>
      </x:c>
      <x:c r="D12000" s="13" t="str">
        <x:v>Food &amp; Beverages</x:v>
      </x:c>
      <x:c r="E12000" s="13" t="str">
        <x:v>Agri, Food &amp; Beverages</x:v>
      </x:c>
      <x:c r="F12000" s="13" t="str">
        <x:v>Defensives</x:v>
      </x:c>
      <x:c r="G12000" s="13" t="str">
        <x:v>grid_wbaxp5t0.xlsx</x:v>
      </x:c>
    </x:row>
    <x:row r="12001">
      <x:c r="A12001" s="15" t="n">
        <x:v>45536</x:v>
      </x:c>
      <x:c r="B12001" s="13" t="str">
        <x:v>MINERVA SA</x:v>
      </x:c>
      <x:c r="C12001" s="16" t="n">
        <x:v>626.0298390795</x:v>
      </x:c>
      <x:c r="D12001" s="13" t="str">
        <x:v>Food &amp; Beverages</x:v>
      </x:c>
      <x:c r="E12001" s="13" t="str">
        <x:v>Agri, Food &amp; Beverages</x:v>
      </x:c>
      <x:c r="F12001" s="13" t="str">
        <x:v>Defensives</x:v>
      </x:c>
      <x:c r="G12001" s="13" t="str">
        <x:v>grid_wbaxp5t0.xlsx</x:v>
      </x:c>
    </x:row>
    <x:row r="12002">
      <x:c r="A12002" s="15" t="n">
        <x:v>45536</x:v>
      </x:c>
      <x:c r="B12002" s="13" t="str">
        <x:v>FLEURY SA</x:v>
      </x:c>
      <x:c r="C12002" s="16" t="n">
        <x:v>759.8559330192</x:v>
      </x:c>
      <x:c r="D12002" s="13" t="str">
        <x:v>Health Care</x:v>
      </x:c>
      <x:c r="E12002" s="13" t="str">
        <x:v>Health Care</x:v>
      </x:c>
      <x:c r="F12002" s="13" t="str">
        <x:v>Defensives</x:v>
      </x:c>
      <x:c r="G12002" s="13" t="str">
        <x:v>grid_wbaxp5t0.xlsx</x:v>
      </x:c>
    </x:row>
    <x:row r="12003">
      <x:c r="A12003" s="15" t="n">
        <x:v>45536</x:v>
      </x:c>
      <x:c r="B12003" s="13" t="str">
        <x:v>HAPVIDA PARTICIPACOES E INVE</x:v>
      </x:c>
      <x:c r="C12003" s="16" t="n">
        <x:v>1673.3542031781</x:v>
      </x:c>
      <x:c r="D12003" s="13" t="str">
        <x:v>Health Care</x:v>
      </x:c>
      <x:c r="E12003" s="13" t="str">
        <x:v>Health Care</x:v>
      </x:c>
      <x:c r="F12003" s="13" t="str">
        <x:v>Defensives</x:v>
      </x:c>
      <x:c r="G12003" s="13" t="str">
        <x:v>grid_wbaxp5t0.xlsx</x:v>
      </x:c>
    </x:row>
    <x:row r="12004">
      <x:c r="A12004" s="15" t="n">
        <x:v>45536</x:v>
      </x:c>
      <x:c r="B12004" s="13" t="str">
        <x:v>HYPERA SA</x:v>
      </x:c>
      <x:c r="C12004" s="16" t="n">
        <x:v>1996.0909508384</x:v>
      </x:c>
      <x:c r="D12004" s="13" t="str">
        <x:v>Health Care</x:v>
      </x:c>
      <x:c r="E12004" s="13" t="str">
        <x:v>Health Care</x:v>
      </x:c>
      <x:c r="F12004" s="13" t="str">
        <x:v>Defensives</x:v>
      </x:c>
      <x:c r="G12004" s="13" t="str">
        <x:v>grid_wbaxp5t0.xlsx</x:v>
      </x:c>
    </x:row>
    <x:row r="12005">
      <x:c r="A12005" s="15" t="n">
        <x:v>45536</x:v>
      </x:c>
      <x:c r="B12005" s="13" t="str">
        <x:v>REDE D'OR SAO LUIZ SA</x:v>
      </x:c>
      <x:c r="C12005" s="16" t="n">
        <x:v>4223.0260048658</x:v>
      </x:c>
      <x:c r="D12005" s="13" t="str">
        <x:v>Health Care</x:v>
      </x:c>
      <x:c r="E12005" s="13" t="str">
        <x:v>Health Care</x:v>
      </x:c>
      <x:c r="F12005" s="13" t="str">
        <x:v>Defensives</x:v>
      </x:c>
      <x:c r="G12005" s="13" t="str">
        <x:v>grid_wbaxp5t0.xlsx</x:v>
      </x:c>
    </x:row>
    <x:row r="12006">
      <x:c r="A12006" s="15" t="n">
        <x:v>45536</x:v>
      </x:c>
      <x:c r="B12006" s="13" t="str">
        <x:v>CYRELA BRAZIL REALTY SA EMP</x:v>
      </x:c>
      <x:c r="C12006" s="16" t="n">
        <x:v>1397.0530223343</x:v>
      </x:c>
      <x:c r="D12006" s="13" t="str">
        <x:v>Homebuilders</x:v>
      </x:c>
      <x:c r="E12006" s="13" t="str">
        <x:v>Real Estate</x:v>
      </x:c>
      <x:c r="F12006" s="13" t="str">
        <x:v>Early Cyclicals</x:v>
      </x:c>
      <x:c r="G12006" s="13" t="str">
        <x:v>grid_wbaxp5t0.xlsx</x:v>
      </x:c>
    </x:row>
    <x:row r="12007">
      <x:c r="A12007" s="15" t="n">
        <x:v>45536</x:v>
      </x:c>
      <x:c r="B12007" s="13" t="str">
        <x:v>EZ TEC EMPREENDIMENTOS E PAR</x:v>
      </x:c>
      <x:c r="C12007" s="16" t="n">
        <x:v>350.9320604932</x:v>
      </x:c>
      <x:c r="D12007" s="13" t="str">
        <x:v>Homebuilders</x:v>
      </x:c>
      <x:c r="E12007" s="13" t="str">
        <x:v>Real Estate</x:v>
      </x:c>
      <x:c r="F12007" s="13" t="str">
        <x:v>Early Cyclicals</x:v>
      </x:c>
      <x:c r="G12007" s="13" t="str">
        <x:v>grid_wbaxp5t0.xlsx</x:v>
      </x:c>
    </x:row>
    <x:row r="12008">
      <x:c r="A12008" s="15" t="n">
        <x:v>45536</x:v>
      </x:c>
      <x:c r="B12008" s="13" t="str">
        <x:v>MRV ENGENHARIA</x:v>
      </x:c>
      <x:c r="C12008" s="16" t="n">
        <x:v>539.6620046027</x:v>
      </x:c>
      <x:c r="D12008" s="13" t="str">
        <x:v>Homebuilders</x:v>
      </x:c>
      <x:c r="E12008" s="13" t="str">
        <x:v>Real Estate</x:v>
      </x:c>
      <x:c r="F12008" s="13" t="str">
        <x:v>Early Cyclicals</x:v>
      </x:c>
      <x:c r="G12008" s="13" t="str">
        <x:v>grid_wbaxp5t0.xlsx</x:v>
      </x:c>
    </x:row>
    <x:row r="12009">
      <x:c r="A12009" s="15" t="n">
        <x:v>45536</x:v>
      </x:c>
      <x:c r="B12009" s="13" t="str">
        <x:v>ALLOS SA</x:v>
      </x:c>
      <x:c r="C12009" s="16" t="n">
        <x:v>772.2389041096</x:v>
      </x:c>
      <x:c r="D12009" s="13" t="str">
        <x:v>Income Properties</x:v>
      </x:c>
      <x:c r="E12009" s="13" t="str">
        <x:v>Real Estate</x:v>
      </x:c>
      <x:c r="F12009" s="13" t="str">
        <x:v>Early Cyclicals</x:v>
      </x:c>
      <x:c r="G12009" s="13" t="str">
        <x:v>grid_wbaxp5t0.xlsx</x:v>
      </x:c>
    </x:row>
    <x:row r="12010">
      <x:c r="A12010" s="15" t="n">
        <x:v>45536</x:v>
      </x:c>
      <x:c r="B12010" s="13" t="str">
        <x:v>IGUATEMI SA - UNITS</x:v>
      </x:c>
      <x:c r="C12010" s="16" t="n">
        <x:v>479.7230136986</x:v>
      </x:c>
      <x:c r="D12010" s="13" t="str">
        <x:v>Income Properties</x:v>
      </x:c>
      <x:c r="E12010" s="13" t="str">
        <x:v>Real Estate</x:v>
      </x:c>
      <x:c r="F12010" s="13" t="str">
        <x:v>Early Cyclicals</x:v>
      </x:c>
      <x:c r="G12010" s="13" t="str">
        <x:v>grid_wbaxp5t0.xlsx</x:v>
      </x:c>
    </x:row>
    <x:row r="12011">
      <x:c r="A12011" s="15" t="n">
        <x:v>45536</x:v>
      </x:c>
      <x:c r="B12011" s="13" t="str">
        <x:v>MULTIPLAN EMPREENDIMENTOS</x:v>
      </x:c>
      <x:c r="C12011" s="16" t="n">
        <x:v>1200.6247939507</x:v>
      </x:c>
      <x:c r="D12011" s="13" t="str">
        <x:v>Income Properties</x:v>
      </x:c>
      <x:c r="E12011" s="13" t="str">
        <x:v>Real Estate</x:v>
      </x:c>
      <x:c r="F12011" s="13" t="str">
        <x:v>Early Cyclicals</x:v>
      </x:c>
      <x:c r="G12011" s="13" t="str">
        <x:v>grid_wbaxp5t0.xlsx</x:v>
      </x:c>
    </x:row>
    <x:row r="12012">
      <x:c r="A12012" s="15" t="n">
        <x:v>45536</x:v>
      </x:c>
      <x:c r="B12012" s="13" t="str">
        <x:v>BRADESPAR SA -PREF</x:v>
      </x:c>
      <x:c r="C12012" s="16" t="n">
        <x:v>1551.475334663</x:v>
      </x:c>
      <x:c r="D12012" s="13" t="str">
        <x:v>Metals &amp; Mining</x:v>
      </x:c>
      <x:c r="E12012" s="13" t="str">
        <x:v>Metals &amp; Mining</x:v>
      </x:c>
      <x:c r="F12012" s="13" t="str">
        <x:v>Deep Cyclicals</x:v>
      </x:c>
      <x:c r="G12012" s="13" t="str">
        <x:v>grid_wbaxp5t0.xlsx</x:v>
      </x:c>
    </x:row>
    <x:row r="12013">
      <x:c r="A12013" s="15" t="n">
        <x:v>45536</x:v>
      </x:c>
      <x:c r="B12013" s="13" t="str">
        <x:v>CIA SIDERURGICA NACIONAL SA</x:v>
      </x:c>
      <x:c r="C12013" s="16" t="n">
        <x:v>1756.3765795069</x:v>
      </x:c>
      <x:c r="D12013" s="13" t="str">
        <x:v>Metals &amp; Mining</x:v>
      </x:c>
      <x:c r="E12013" s="13" t="str">
        <x:v>Metals &amp; Mining</x:v>
      </x:c>
      <x:c r="F12013" s="13" t="str">
        <x:v>Deep Cyclicals</x:v>
      </x:c>
      <x:c r="G12013" s="13" t="str">
        <x:v>grid_wbaxp5t0.xlsx</x:v>
      </x:c>
    </x:row>
    <x:row r="12014">
      <x:c r="A12014" s="15" t="n">
        <x:v>45536</x:v>
      </x:c>
      <x:c r="B12014" s="13" t="str">
        <x:v>CSN MINERACAO SA</x:v>
      </x:c>
      <x:c r="C12014" s="16" t="n">
        <x:v>2570.975789589</x:v>
      </x:c>
      <x:c r="D12014" s="13" t="str">
        <x:v>Metals &amp; Mining</x:v>
      </x:c>
      <x:c r="E12014" s="13" t="str">
        <x:v>Metals &amp; Mining</x:v>
      </x:c>
      <x:c r="F12014" s="13" t="str">
        <x:v>Deep Cyclicals</x:v>
      </x:c>
      <x:c r="G12014" s="13" t="str">
        <x:v>grid_wbaxp5t0.xlsx</x:v>
      </x:c>
    </x:row>
    <x:row r="12015">
      <x:c r="A12015" s="15" t="n">
        <x:v>45536</x:v>
      </x:c>
      <x:c r="B12015" s="13" t="str">
        <x:v>GERDAU SA-PREF</x:v>
      </x:c>
      <x:c r="C12015" s="16" t="n">
        <x:v>5655.1299029918</x:v>
      </x:c>
      <x:c r="D12015" s="13" t="str">
        <x:v>Metals &amp; Mining</x:v>
      </x:c>
      <x:c r="E12015" s="13" t="str">
        <x:v>Metals &amp; Mining</x:v>
      </x:c>
      <x:c r="F12015" s="13" t="str">
        <x:v>Deep Cyclicals</x:v>
      </x:c>
      <x:c r="G12015" s="13" t="str">
        <x:v>grid_wbaxp5t0.xlsx</x:v>
      </x:c>
    </x:row>
    <x:row r="12016">
      <x:c r="A12016" s="15" t="n">
        <x:v>45536</x:v>
      </x:c>
      <x:c r="B12016" s="13" t="str">
        <x:v>METALURGICA GERDAU SA-PREF</x:v>
      </x:c>
      <x:c r="C12016" s="16" t="n">
        <x:v>2221.8739564712</x:v>
      </x:c>
      <x:c r="D12016" s="13" t="str">
        <x:v>Metals &amp; Mining</x:v>
      </x:c>
      <x:c r="E12016" s="13" t="str">
        <x:v>Metals &amp; Mining</x:v>
      </x:c>
      <x:c r="F12016" s="13" t="str">
        <x:v>Deep Cyclicals</x:v>
      </x:c>
      <x:c r="G12016" s="13" t="str">
        <x:v>grid_wbaxp5t0.xlsx</x:v>
      </x:c>
    </x:row>
    <x:row r="12017">
      <x:c r="A12017" s="15" t="n">
        <x:v>45536</x:v>
      </x:c>
      <x:c r="B12017" s="13" t="str">
        <x:v>USINAS SIDER MINAS GER-PF A</x:v>
      </x:c>
      <x:c r="C12017" s="16" t="n">
        <x:v>914.1828253808</x:v>
      </x:c>
      <x:c r="D12017" s="13" t="str">
        <x:v>Metals &amp; Mining</x:v>
      </x:c>
      <x:c r="E12017" s="13" t="str">
        <x:v>Metals &amp; Mining</x:v>
      </x:c>
      <x:c r="F12017" s="13" t="str">
        <x:v>Deep Cyclicals</x:v>
      </x:c>
      <x:c r="G12017" s="13" t="str">
        <x:v>grid_wbaxp5t0.xlsx</x:v>
      </x:c>
    </x:row>
    <x:row r="12018">
      <x:c r="A12018" s="15" t="n">
        <x:v>45536</x:v>
      </x:c>
      <x:c r="B12018" s="13" t="str">
        <x:v>VALE SA</x:v>
      </x:c>
      <x:c r="C12018" s="16" t="n">
        <x:v>49397.4128499726</x:v>
      </x:c>
      <x:c r="D12018" s="13" t="str">
        <x:v>Metals &amp; Mining</x:v>
      </x:c>
      <x:c r="E12018" s="13" t="str">
        <x:v>Metals &amp; Mining</x:v>
      </x:c>
      <x:c r="F12018" s="13" t="str">
        <x:v>Deep Cyclicals</x:v>
      </x:c>
      <x:c r="G12018" s="13" t="str">
        <x:v>grid_wbaxp5t0.xlsx</x:v>
      </x:c>
    </x:row>
    <x:row r="12019">
      <x:c r="A12019" s="15" t="n">
        <x:v>45536</x:v>
      </x:c>
      <x:c r="B12019" s="13" t="str">
        <x:v>BRASKEM SA-PREF A</x:v>
      </x:c>
      <x:c r="C12019" s="16" t="n">
        <x:v>-413.3012762301</x:v>
      </x:c>
      <x:c r="D12019" s="13" t="str">
        <x:v>Oil, Gas &amp; Petrochemicals</x:v>
      </x:c>
      <x:c r="E12019" s="13" t="str">
        <x:v>Oil, Gas &amp; Petrochemicals</x:v>
      </x:c>
      <x:c r="F12019" s="13" t="str">
        <x:v>Deep Cyclicals</x:v>
      </x:c>
      <x:c r="G12019" s="13" t="str">
        <x:v>grid_wbaxp5t0.xlsx</x:v>
      </x:c>
    </x:row>
    <x:row r="12020">
      <x:c r="A12020" s="15" t="n">
        <x:v>45536</x:v>
      </x:c>
      <x:c r="B12020" s="13" t="str">
        <x:v>BRAVA ENERGIA</x:v>
      </x:c>
      <x:c r="C12020" s="16" t="n">
        <x:v>3226.8989012164</x:v>
      </x:c>
      <x:c r="D12020" s="13" t="str">
        <x:v>Oil, Gas &amp; Petrochemicals</x:v>
      </x:c>
      <x:c r="E12020" s="13" t="str">
        <x:v>Oil, Gas &amp; Petrochemicals</x:v>
      </x:c>
      <x:c r="F12020" s="13" t="str">
        <x:v>Deep Cyclicals</x:v>
      </x:c>
      <x:c r="G12020" s="13" t="str">
        <x:v>grid_wbaxp5t0.xlsx</x:v>
      </x:c>
    </x:row>
    <x:row r="12021">
      <x:c r="A12021" s="15" t="n">
        <x:v>45536</x:v>
      </x:c>
      <x:c r="B12021" s="13" t="str">
        <x:v>COSAN SA</x:v>
      </x:c>
      <x:c r="C12021" s="16" t="n">
        <x:v>2441.4925052493</x:v>
      </x:c>
      <x:c r="D12021" s="13" t="str">
        <x:v>Oil, Gas &amp; Petrochemicals</x:v>
      </x:c>
      <x:c r="E12021" s="13" t="str">
        <x:v>Oil, Gas &amp; Petrochemicals</x:v>
      </x:c>
      <x:c r="F12021" s="13" t="str">
        <x:v>Deep Cyclicals</x:v>
      </x:c>
      <x:c r="G12021" s="13" t="str">
        <x:v>grid_wbaxp5t0.xlsx</x:v>
      </x:c>
    </x:row>
    <x:row r="12022">
      <x:c r="A12022" s="15" t="n">
        <x:v>45536</x:v>
      </x:c>
      <x:c r="B12022" s="13" t="str">
        <x:v>PETROBRAS - PETROLEO BRAS</x:v>
      </x:c>
      <x:c r="C12022" s="16" t="n">
        <x:v>100261.33363726</x:v>
      </x:c>
      <x:c r="D12022" s="13" t="str">
        <x:v>Oil, Gas &amp; Petrochemicals</x:v>
      </x:c>
      <x:c r="E12022" s="13" t="str">
        <x:v>Oil, Gas &amp; Petrochemicals</x:v>
      </x:c>
      <x:c r="F12022" s="13" t="str">
        <x:v>Deep Cyclicals</x:v>
      </x:c>
      <x:c r="G12022" s="13" t="str">
        <x:v>grid_wbaxp5t0.xlsx</x:v>
      </x:c>
    </x:row>
    <x:row r="12023">
      <x:c r="A12023" s="15" t="n">
        <x:v>45536</x:v>
      </x:c>
      <x:c r="B12023" s="13" t="str">
        <x:v>PETRORECONCAVO SA</x:v>
      </x:c>
      <x:c r="C12023" s="16" t="n">
        <x:v>1137.9773653918</x:v>
      </x:c>
      <x:c r="D12023" s="13" t="str">
        <x:v>Oil, Gas &amp; Petrochemicals</x:v>
      </x:c>
      <x:c r="E12023" s="13" t="str">
        <x:v>Oil, Gas &amp; Petrochemicals</x:v>
      </x:c>
      <x:c r="F12023" s="13" t="str">
        <x:v>Deep Cyclicals</x:v>
      </x:c>
      <x:c r="G12023" s="13" t="str">
        <x:v>grid_wbaxp5t0.xlsx</x:v>
      </x:c>
    </x:row>
    <x:row r="12024">
      <x:c r="A12024" s="15" t="n">
        <x:v>45536</x:v>
      </x:c>
      <x:c r="B12024" s="13" t="str">
        <x:v>PRIO SA</x:v>
      </x:c>
      <x:c r="C12024" s="16" t="n">
        <x:v>6547.326469611</x:v>
      </x:c>
      <x:c r="D12024" s="13" t="str">
        <x:v>Oil, Gas &amp; Petrochemicals</x:v>
      </x:c>
      <x:c r="E12024" s="13" t="str">
        <x:v>Oil, Gas &amp; Petrochemicals</x:v>
      </x:c>
      <x:c r="F12024" s="13" t="str">
        <x:v>Deep Cyclicals</x:v>
      </x:c>
      <x:c r="G12024" s="13" t="str">
        <x:v>grid_wbaxp5t0.xlsx</x:v>
      </x:c>
    </x:row>
    <x:row r="12025">
      <x:c r="A12025" s="15" t="n">
        <x:v>45536</x:v>
      </x:c>
      <x:c r="B12025" s="13" t="str">
        <x:v>ULTRAPAR PARTICIPACOES SA</x:v>
      </x:c>
      <x:c r="C12025" s="16" t="n">
        <x:v>2180.4339214027</x:v>
      </x:c>
      <x:c r="D12025" s="13" t="str">
        <x:v>Oil, Gas &amp; Petrochemicals</x:v>
      </x:c>
      <x:c r="E12025" s="13" t="str">
        <x:v>Oil, Gas &amp; Petrochemicals</x:v>
      </x:c>
      <x:c r="F12025" s="13" t="str">
        <x:v>Deep Cyclicals</x:v>
      </x:c>
      <x:c r="G12025" s="13" t="str">
        <x:v>grid_wbaxp5t0.xlsx</x:v>
      </x:c>
    </x:row>
    <x:row r="12026">
      <x:c r="A12026" s="15" t="n">
        <x:v>45536</x:v>
      </x:c>
      <x:c r="B12026" s="13" t="str">
        <x:v>VIBRA ENERGIA SA</x:v>
      </x:c>
      <x:c r="C12026" s="16" t="n">
        <x:v>3186.5870644603</x:v>
      </x:c>
      <x:c r="D12026" s="13" t="str">
        <x:v>Oil, Gas &amp; Petrochemicals</x:v>
      </x:c>
      <x:c r="E12026" s="13" t="str">
        <x:v>Oil, Gas &amp; Petrochemicals</x:v>
      </x:c>
      <x:c r="F12026" s="13" t="str">
        <x:v>Deep Cyclicals</x:v>
      </x:c>
      <x:c r="G12026" s="13" t="str">
        <x:v>grid_wbaxp5t0.xlsx</x:v>
      </x:c>
    </x:row>
    <x:row r="12027">
      <x:c r="A12027" s="15" t="n">
        <x:v>45536</x:v>
      </x:c>
      <x:c r="B12027" s="13" t="str">
        <x:v>KLABIN SA - UNIT</x:v>
      </x:c>
      <x:c r="C12027" s="16" t="n">
        <x:v>2356.512582137</x:v>
      </x:c>
      <x:c r="D12027" s="13" t="str">
        <x:v>Pulp &amp; Paper</x:v>
      </x:c>
      <x:c r="E12027" s="13" t="str">
        <x:v>Pulp &amp; Paper</x:v>
      </x:c>
      <x:c r="F12027" s="13" t="str">
        <x:v>Deep Cyclicals</x:v>
      </x:c>
      <x:c r="G12027" s="13" t="str">
        <x:v>grid_wbaxp5t0.xlsx</x:v>
      </x:c>
    </x:row>
    <x:row r="12028">
      <x:c r="A12028" s="15" t="n">
        <x:v>45536</x:v>
      </x:c>
      <x:c r="B12028" s="13" t="str">
        <x:v>SUZANO SA</x:v>
      </x:c>
      <x:c r="C12028" s="16" t="n">
        <x:v>7642.7055651069</x:v>
      </x:c>
      <x:c r="D12028" s="13" t="str">
        <x:v>Pulp &amp; Paper</x:v>
      </x:c>
      <x:c r="E12028" s="13" t="str">
        <x:v>Pulp &amp; Paper</x:v>
      </x:c>
      <x:c r="F12028" s="13" t="str">
        <x:v>Deep Cyclicals</x:v>
      </x:c>
      <x:c r="G12028" s="13" t="str">
        <x:v>grid_wbaxp5t0.xlsx</x:v>
      </x:c>
    </x:row>
    <x:row r="12029">
      <x:c r="A12029" s="15" t="n">
        <x:v>45536</x:v>
      </x:c>
      <x:c r="B12029" s="13" t="str">
        <x:v>ALPARGATAS SA - PREF</x:v>
      </x:c>
      <x:c r="C12029" s="16" t="n">
        <x:v>410.6300363397</x:v>
      </x:c>
      <x:c r="D12029" s="13" t="str">
        <x:v>Retail</x:v>
      </x:c>
      <x:c r="E12029" s="13" t="str">
        <x:v>Retail</x:v>
      </x:c>
      <x:c r="F12029" s="13" t="str">
        <x:v>Early Cyclicals</x:v>
      </x:c>
      <x:c r="G12029" s="13" t="str">
        <x:v>grid_wbaxp5t0.xlsx</x:v>
      </x:c>
    </x:row>
    <x:row r="12030">
      <x:c r="A12030" s="15" t="n">
        <x:v>45536</x:v>
      </x:c>
      <x:c r="B12030" s="13" t="str">
        <x:v>ATACADAO SA</x:v>
      </x:c>
      <x:c r="C12030" s="16" t="n">
        <x:v>1635.0220119671</x:v>
      </x:c>
      <x:c r="D12030" s="13" t="str">
        <x:v>Retail</x:v>
      </x:c>
      <x:c r="E12030" s="13" t="str">
        <x:v>Retail</x:v>
      </x:c>
      <x:c r="F12030" s="13" t="str">
        <x:v>Early Cyclicals</x:v>
      </x:c>
      <x:c r="G12030" s="13" t="str">
        <x:v>grid_wbaxp5t0.xlsx</x:v>
      </x:c>
    </x:row>
    <x:row r="12031">
      <x:c r="A12031" s="15" t="n">
        <x:v>45536</x:v>
      </x:c>
      <x:c r="B12031" s="13" t="str">
        <x:v>AZZAS 2154 SA</x:v>
      </x:c>
      <x:c r="C12031" s="16" t="n">
        <x:v>649.609114126</x:v>
      </x:c>
      <x:c r="D12031" s="13" t="str">
        <x:v>Retail</x:v>
      </x:c>
      <x:c r="E12031" s="13" t="str">
        <x:v>Retail</x:v>
      </x:c>
      <x:c r="F12031" s="13" t="str">
        <x:v>Early Cyclicals</x:v>
      </x:c>
      <x:c r="G12031" s="13" t="str">
        <x:v>grid_wbaxp5t0.xlsx</x:v>
      </x:c>
    </x:row>
    <x:row r="12032">
      <x:c r="A12032" s="15" t="n">
        <x:v>45536</x:v>
      </x:c>
      <x:c r="B12032" s="13" t="str">
        <x:v>CIA BRASILEIRA DE DISTRIBUIC</x:v>
      </x:c>
      <x:c r="C12032" s="16" t="n">
        <x:v>-346.6103821151</x:v>
      </x:c>
      <x:c r="D12032" s="13" t="str">
        <x:v>Retail</x:v>
      </x:c>
      <x:c r="E12032" s="13" t="str">
        <x:v>Retail</x:v>
      </x:c>
      <x:c r="F12032" s="13" t="str">
        <x:v>Early Cyclicals</x:v>
      </x:c>
      <x:c r="G12032" s="13" t="str">
        <x:v>grid_wbaxp5t0.xlsx</x:v>
      </x:c>
    </x:row>
    <x:row r="12033">
      <x:c r="A12033" s="15" t="n">
        <x:v>45536</x:v>
      </x:c>
      <x:c r="B12033" s="13" t="str">
        <x:v>CVC BRASIL OPERADORA E AGENC</x:v>
      </x:c>
      <x:c r="C12033" s="16" t="n">
        <x:v>35.474009863</x:v>
      </x:c>
      <x:c r="D12033" s="13" t="str">
        <x:v>Retail</x:v>
      </x:c>
      <x:c r="E12033" s="13" t="str">
        <x:v>Retail</x:v>
      </x:c>
      <x:c r="F12033" s="13" t="str">
        <x:v>Early Cyclicals</x:v>
      </x:c>
      <x:c r="G12033" s="13" t="str">
        <x:v>grid_wbaxp5t0.xlsx</x:v>
      </x:c>
    </x:row>
    <x:row r="12034">
      <x:c r="A12034" s="15" t="n">
        <x:v>45536</x:v>
      </x:c>
      <x:c r="B12034" s="13" t="str">
        <x:v>LOJAS RENNER S.A.</x:v>
      </x:c>
      <x:c r="C12034" s="16" t="n">
        <x:v>1462.7561496548</x:v>
      </x:c>
      <x:c r="D12034" s="13" t="str">
        <x:v>Retail</x:v>
      </x:c>
      <x:c r="E12034" s="13" t="str">
        <x:v>Retail</x:v>
      </x:c>
      <x:c r="F12034" s="13" t="str">
        <x:v>Early Cyclicals</x:v>
      </x:c>
      <x:c r="G12034" s="13" t="str">
        <x:v>grid_wbaxp5t0.xlsx</x:v>
      </x:c>
    </x:row>
    <x:row r="12035">
      <x:c r="A12035" s="15" t="n">
        <x:v>45536</x:v>
      </x:c>
      <x:c r="B12035" s="13" t="str">
        <x:v>MAGAZINE LUIZA SA</x:v>
      </x:c>
      <x:c r="C12035" s="16" t="n">
        <x:v>479.0956351123</x:v>
      </x:c>
      <x:c r="D12035" s="13" t="str">
        <x:v>Retail</x:v>
      </x:c>
      <x:c r="E12035" s="13" t="str">
        <x:v>Retail</x:v>
      </x:c>
      <x:c r="F12035" s="13" t="str">
        <x:v>Early Cyclicals</x:v>
      </x:c>
      <x:c r="G12035" s="13" t="str">
        <x:v>grid_wbaxp5t0.xlsx</x:v>
      </x:c>
    </x:row>
    <x:row r="12036">
      <x:c r="A12036" s="15" t="n">
        <x:v>45536</x:v>
      </x:c>
      <x:c r="B12036" s="13" t="str">
        <x:v>NATURA &amp;CO HOLDING SA</x:v>
      </x:c>
      <x:c r="C12036" s="16" t="n">
        <x:v>903.6828493151</x:v>
      </x:c>
      <x:c r="D12036" s="13" t="str">
        <x:v>Retail</x:v>
      </x:c>
      <x:c r="E12036" s="13" t="str">
        <x:v>Retail</x:v>
      </x:c>
      <x:c r="F12036" s="13" t="str">
        <x:v>Early Cyclicals</x:v>
      </x:c>
      <x:c r="G12036" s="13" t="str">
        <x:v>grid_wbaxp5t0.xlsx</x:v>
      </x:c>
    </x:row>
    <x:row r="12037">
      <x:c r="A12037" s="15" t="n">
        <x:v>45536</x:v>
      </x:c>
      <x:c r="B12037" s="13" t="str">
        <x:v>PET CENTER COMERCIO E PARTIC</x:v>
      </x:c>
      <x:c r="C12037" s="16" t="n">
        <x:v>83.6732756164</x:v>
      </x:c>
      <x:c r="D12037" s="13" t="str">
        <x:v>Retail</x:v>
      </x:c>
      <x:c r="E12037" s="13" t="str">
        <x:v>Retail</x:v>
      </x:c>
      <x:c r="F12037" s="13" t="str">
        <x:v>Early Cyclicals</x:v>
      </x:c>
      <x:c r="G12037" s="13" t="str">
        <x:v>grid_wbaxp5t0.xlsx</x:v>
      </x:c>
    </x:row>
    <x:row r="12038">
      <x:c r="A12038" s="15" t="n">
        <x:v>45536</x:v>
      </x:c>
      <x:c r="B12038" s="13" t="str">
        <x:v>RAIA DROGASIL SA</x:v>
      </x:c>
      <x:c r="C12038" s="16" t="n">
        <x:v>1480.2284452822</x:v>
      </x:c>
      <x:c r="D12038" s="13" t="str">
        <x:v>Retail</x:v>
      </x:c>
      <x:c r="E12038" s="13" t="str">
        <x:v>Retail</x:v>
      </x:c>
      <x:c r="F12038" s="13" t="str">
        <x:v>Early Cyclicals</x:v>
      </x:c>
      <x:c r="G12038" s="13" t="str">
        <x:v>grid_wbaxp5t0.xlsx</x:v>
      </x:c>
    </x:row>
    <x:row r="12039">
      <x:c r="A12039" s="15" t="n">
        <x:v>45536</x:v>
      </x:c>
      <x:c r="B12039" s="13" t="str">
        <x:v>SENDAS DISTRIBUIDORA SA</x:v>
      </x:c>
      <x:c r="C12039" s="16" t="n">
        <x:v>946.4677032329</x:v>
      </x:c>
      <x:c r="D12039" s="13" t="str">
        <x:v>Retail</x:v>
      </x:c>
      <x:c r="E12039" s="13" t="str">
        <x:v>Retail</x:v>
      </x:c>
      <x:c r="F12039" s="13" t="str">
        <x:v>Early Cyclicals</x:v>
      </x:c>
      <x:c r="G12039" s="13" t="str">
        <x:v>grid_wbaxp5t0.xlsx</x:v>
      </x:c>
    </x:row>
    <x:row r="12040">
      <x:c r="A12040" s="15" t="n">
        <x:v>45536</x:v>
      </x:c>
      <x:c r="B12040" s="13" t="str">
        <x:v>VIVARA PARTICIPACOES SA</x:v>
      </x:c>
      <x:c r="C12040" s="16" t="n">
        <x:v>521.7349081425</x:v>
      </x:c>
      <x:c r="D12040" s="13" t="str">
        <x:v>Retail</x:v>
      </x:c>
      <x:c r="E12040" s="13" t="str">
        <x:v>Retail</x:v>
      </x:c>
      <x:c r="F12040" s="13" t="str">
        <x:v>Early Cyclicals</x:v>
      </x:c>
      <x:c r="G12040" s="13" t="str">
        <x:v>grid_wbaxp5t0.xlsx</x:v>
      </x:c>
    </x:row>
    <x:row r="12041">
      <x:c r="A12041" s="15" t="n">
        <x:v>45536</x:v>
      </x:c>
      <x:c r="B12041" s="13" t="str">
        <x:v>CIA SANEAMENTO BASICO DE SP</x:v>
      </x:c>
      <x:c r="C12041" s="16" t="n">
        <x:v>4416.9151796603</x:v>
      </x:c>
      <x:c r="D12041" s="13" t="str">
        <x:v>Sanitation</x:v>
      </x:c>
      <x:c r="E12041" s="13" t="str">
        <x:v>Utilities</x:v>
      </x:c>
      <x:c r="F12041" s="13" t="str">
        <x:v>Defensives</x:v>
      </x:c>
      <x:c r="G12041" s="13" t="str">
        <x:v>grid_wbaxp5t0.xlsx</x:v>
      </x:c>
    </x:row>
    <x:row r="12042">
      <x:c r="A12042" s="15" t="n">
        <x:v>45536</x:v>
      </x:c>
      <x:c r="B12042" s="13" t="str">
        <x:v>LWSA SA</x:v>
      </x:c>
      <x:c r="C12042" s="16" t="n">
        <x:v>135.9275145644</x:v>
      </x:c>
      <x:c r="D12042" s="13" t="str">
        <x:v>TMT</x:v>
      </x:c>
      <x:c r="E12042" s="13" t="str">
        <x:v>TMT</x:v>
      </x:c>
      <x:c r="F12042" s="13" t="str">
        <x:v>Early Cyclicals</x:v>
      </x:c>
      <x:c r="G12042" s="13" t="str">
        <x:v>grid_wbaxp5t0.xlsx</x:v>
      </x:c>
    </x:row>
    <x:row r="12043">
      <x:c r="A12043" s="15" t="n">
        <x:v>45536</x:v>
      </x:c>
      <x:c r="B12043" s="13" t="str">
        <x:v>TIM SA</x:v>
      </x:c>
      <x:c r="C12043" s="16" t="n">
        <x:v>3797.798976526</x:v>
      </x:c>
      <x:c r="D12043" s="13" t="str">
        <x:v>TMT</x:v>
      </x:c>
      <x:c r="E12043" s="13" t="str">
        <x:v>TMT</x:v>
      </x:c>
      <x:c r="F12043" s="13" t="str">
        <x:v>Early Cyclicals</x:v>
      </x:c>
      <x:c r="G12043" s="13" t="str">
        <x:v>grid_wbaxp5t0.xlsx</x:v>
      </x:c>
    </x:row>
    <x:row r="12044">
      <x:c r="A12044" s="15" t="n">
        <x:v>45536</x:v>
      </x:c>
      <x:c r="B12044" s="13" t="str">
        <x:v>TOTVS SA</x:v>
      </x:c>
      <x:c r="C12044" s="16" t="n">
        <x:v>817.224677874</x:v>
      </x:c>
      <x:c r="D12044" s="13" t="str">
        <x:v>TMT</x:v>
      </x:c>
      <x:c r="E12044" s="13" t="str">
        <x:v>TMT</x:v>
      </x:c>
      <x:c r="F12044" s="13" t="str">
        <x:v>Early Cyclicals</x:v>
      </x:c>
      <x:c r="G12044" s="13" t="str">
        <x:v>grid_wbaxp5t0.xlsx</x:v>
      </x:c>
    </x:row>
    <x:row r="12045">
      <x:c r="A12045" s="15" t="n">
        <x:v>45536</x:v>
      </x:c>
      <x:c r="B12045" s="13" t="str">
        <x:v>AZUL SA</x:v>
      </x:c>
      <x:c r="C12045" s="16" t="n">
        <x:v>-848.6823155726</x:v>
      </x:c>
      <x:c r="D12045" s="13" t="str">
        <x:v>Transportation</x:v>
      </x:c>
      <x:c r="E12045" s="13" t="str">
        <x:v>Transportation</x:v>
      </x:c>
      <x:c r="F12045" s="13" t="str">
        <x:v>Deep Cyclicals</x:v>
      </x:c>
      <x:c r="G12045" s="13" t="str">
        <x:v>grid_wbaxp5t0.xlsx</x:v>
      </x:c>
    </x:row>
    <x:row r="12046">
      <x:c r="A12046" s="15" t="n">
        <x:v>45536</x:v>
      </x:c>
      <x:c r="B12046" s="13" t="str">
        <x:v>LOCALIZA RENT A CAR</x:v>
      </x:c>
      <x:c r="C12046" s="16" t="n">
        <x:v>3098.9140984986</x:v>
      </x:c>
      <x:c r="D12046" s="13" t="str">
        <x:v>Transportation</x:v>
      </x:c>
      <x:c r="E12046" s="13" t="str">
        <x:v>Transportation</x:v>
      </x:c>
      <x:c r="F12046" s="13" t="str">
        <x:v>Deep Cyclicals</x:v>
      </x:c>
      <x:c r="G12046" s="13" t="str">
        <x:v>grid_wbaxp5t0.xlsx</x:v>
      </x:c>
    </x:row>
    <x:row r="12047">
      <x:c r="A12047" s="15" t="n">
        <x:v>45536</x:v>
      </x:c>
      <x:c r="B12047" s="13" t="str">
        <x:v>MOTIVA INFRAESTRUTURA DE MOB</x:v>
      </x:c>
      <x:c r="C12047" s="16" t="n">
        <x:v>1805.6871662466</x:v>
      </x:c>
      <x:c r="D12047" s="13" t="str">
        <x:v>Transportation</x:v>
      </x:c>
      <x:c r="E12047" s="13" t="str">
        <x:v>Transportation</x:v>
      </x:c>
      <x:c r="F12047" s="13" t="str">
        <x:v>Deep Cyclicals</x:v>
      </x:c>
      <x:c r="G12047" s="13" t="str">
        <x:v>grid_wbaxp5t0.xlsx</x:v>
      </x:c>
    </x:row>
    <x:row r="12048">
      <x:c r="A12048" s="15" t="n">
        <x:v>45536</x:v>
      </x:c>
      <x:c r="B12048" s="13" t="str">
        <x:v>RUMO SA</x:v>
      </x:c>
      <x:c r="C12048" s="16" t="n">
        <x:v>2542.694739463</x:v>
      </x:c>
      <x:c r="D12048" s="13" t="str">
        <x:v>Transportation</x:v>
      </x:c>
      <x:c r="E12048" s="13" t="str">
        <x:v>Transportation</x:v>
      </x:c>
      <x:c r="F12048" s="13" t="str">
        <x:v>Deep Cyclicals</x:v>
      </x:c>
      <x:c r="G12048" s="13" t="str">
        <x:v>grid_wbaxp5t0.xlsx</x:v>
      </x:c>
    </x:row>
    <x:row r="12049">
      <x:c r="A12049" s="15" t="n">
        <x:v>45536</x:v>
      </x:c>
      <x:c r="B12049" s="13" t="str">
        <x:v>SANTOS BRASIL PARTICIPACOES</x:v>
      </x:c>
      <x:c r="C12049" s="16" t="n">
        <x:v>837.5861519781</x:v>
      </x:c>
      <x:c r="D12049" s="13" t="str">
        <x:v>Transportation</x:v>
      </x:c>
      <x:c r="E12049" s="13" t="str">
        <x:v>Transportation</x:v>
      </x:c>
      <x:c r="F12049" s="13" t="str">
        <x:v>Deep Cyclicals</x:v>
      </x:c>
      <x:c r="G12049" s="13" t="str">
        <x:v>grid_wbaxp5t0.xlsx</x:v>
      </x:c>
    </x:row>
    <x:row r="12050">
      <x:c r="A12050" s="15" t="n">
        <x:v>45536</x:v>
      </x:c>
      <x:c r="B12050" s="13" t="str">
        <x:v>VAMOS LOCACAO DE CAMINHOES M</x:v>
      </x:c>
      <x:c r="C12050" s="16" t="n">
        <x:v>1036.0935038247</x:v>
      </x:c>
      <x:c r="D12050" s="13" t="str">
        <x:v>Transportation</x:v>
      </x:c>
      <x:c r="E12050" s="13" t="str">
        <x:v>Transportation</x:v>
      </x:c>
      <x:c r="F12050" s="13" t="str">
        <x:v>Deep Cyclicals</x:v>
      </x:c>
      <x:c r="G12050" s="13" t="str">
        <x:v>grid_wbaxp5t0.xlsx</x:v>
      </x:c>
    </x:row>
    <x:row r="12051">
      <x:c r="A12051" s="15" t="n">
        <x:v>45536</x:v>
      </x:c>
      <x:c r="B12051" s="13" t="str">
        <x:v>AUREN ENERGIA SA - ON</x:v>
      </x:c>
      <x:c r="C12051" s="16" t="n">
        <x:v>684.7401205479</x:v>
      </x:c>
      <x:c r="D12051" s="13" t="str">
        <x:v>Utilities &amp; Energy</x:v>
      </x:c>
      <x:c r="E12051" s="13" t="str">
        <x:v>Utilities</x:v>
      </x:c>
      <x:c r="F12051" s="13" t="str">
        <x:v>Defensives</x:v>
      </x:c>
      <x:c r="G12051" s="13" t="str">
        <x:v>grid_wbaxp5t0.xlsx</x:v>
      </x:c>
    </x:row>
    <x:row r="12052">
      <x:c r="A12052" s="15" t="n">
        <x:v>45536</x:v>
      </x:c>
      <x:c r="B12052" s="13" t="str">
        <x:v>AXIA ENERGIA SA</x:v>
      </x:c>
      <x:c r="C12052" s="16" t="n">
        <x:v>8657.777599474</x:v>
      </x:c>
      <x:c r="D12052" s="13" t="str">
        <x:v>Utilities &amp; Energy</x:v>
      </x:c>
      <x:c r="E12052" s="13" t="str">
        <x:v>Utilities</x:v>
      </x:c>
      <x:c r="F12052" s="13" t="str">
        <x:v>Defensives</x:v>
      </x:c>
      <x:c r="G12052" s="13" t="str">
        <x:v>grid_wbaxp5t0.xlsx</x:v>
      </x:c>
    </x:row>
    <x:row r="12053">
      <x:c r="A12053" s="15" t="n">
        <x:v>45536</x:v>
      </x:c>
      <x:c r="B12053" s="13" t="str">
        <x:v>AXIA ENERGIA-PR B</x:v>
      </x:c>
      <x:c r="C12053" s="16" t="n">
        <x:v>8657.777599474</x:v>
      </x:c>
      <x:c r="D12053" s="13" t="str">
        <x:v>Utilities &amp; Energy</x:v>
      </x:c>
      <x:c r="E12053" s="13" t="str">
        <x:v>Utilities</x:v>
      </x:c>
      <x:c r="F12053" s="13" t="str">
        <x:v>Defensives</x:v>
      </x:c>
      <x:c r="G12053" s="13" t="str">
        <x:v>grid_wbaxp5t0.xlsx</x:v>
      </x:c>
    </x:row>
    <x:row r="12054">
      <x:c r="A12054" s="15" t="n">
        <x:v>45536</x:v>
      </x:c>
      <x:c r="B12054" s="13" t="str">
        <x:v>CIA ENERGETICA MINAS GER-PRF</x:v>
      </x:c>
      <x:c r="C12054" s="16" t="n">
        <x:v>4683.5266770411</x:v>
      </x:c>
      <x:c r="D12054" s="13" t="str">
        <x:v>Utilities &amp; Energy</x:v>
      </x:c>
      <x:c r="E12054" s="13" t="str">
        <x:v>Utilities</x:v>
      </x:c>
      <x:c r="F12054" s="13" t="str">
        <x:v>Defensives</x:v>
      </x:c>
      <x:c r="G12054" s="13" t="str">
        <x:v>grid_wbaxp5t0.xlsx</x:v>
      </x:c>
    </x:row>
    <x:row r="12055">
      <x:c r="A12055" s="15" t="n">
        <x:v>45536</x:v>
      </x:c>
      <x:c r="B12055" s="13" t="str">
        <x:v>COMPANHIA PARANAENSE -PREF B</x:v>
      </x:c>
      <x:c r="C12055" s="16" t="n">
        <x:v>2363.1973544329</x:v>
      </x:c>
      <x:c r="D12055" s="13" t="str">
        <x:v>Utilities &amp; Energy</x:v>
      </x:c>
      <x:c r="E12055" s="13" t="str">
        <x:v>Utilities</x:v>
      </x:c>
      <x:c r="F12055" s="13" t="str">
        <x:v>Defensives</x:v>
      </x:c>
      <x:c r="G12055" s="13" t="str">
        <x:v>grid_wbaxp5t0.xlsx</x:v>
      </x:c>
    </x:row>
    <x:row r="12056">
      <x:c r="A12056" s="15" t="n">
        <x:v>45536</x:v>
      </x:c>
      <x:c r="B12056" s="13" t="str">
        <x:v>CPFL ENERGIA SA</x:v>
      </x:c>
      <x:c r="C12056" s="16" t="n">
        <x:v>5167.934221326</x:v>
      </x:c>
      <x:c r="D12056" s="13" t="str">
        <x:v>Utilities &amp; Energy</x:v>
      </x:c>
      <x:c r="E12056" s="13" t="str">
        <x:v>Utilities</x:v>
      </x:c>
      <x:c r="F12056" s="13" t="str">
        <x:v>Defensives</x:v>
      </x:c>
      <x:c r="G12056" s="13" t="str">
        <x:v>grid_wbaxp5t0.xlsx</x:v>
      </x:c>
    </x:row>
    <x:row r="12057">
      <x:c r="A12057" s="15" t="n">
        <x:v>45536</x:v>
      </x:c>
      <x:c r="B12057" s="13" t="str">
        <x:v>ENERGISA SA-UNITS</x:v>
      </x:c>
      <x:c r="C12057" s="16" t="n">
        <x:v>2221.4191405589</x:v>
      </x:c>
      <x:c r="D12057" s="13" t="str">
        <x:v>Utilities &amp; Energy</x:v>
      </x:c>
      <x:c r="E12057" s="13" t="str">
        <x:v>Utilities</x:v>
      </x:c>
      <x:c r="F12057" s="13" t="str">
        <x:v>Defensives</x:v>
      </x:c>
      <x:c r="G12057" s="13" t="str">
        <x:v>grid_wbaxp5t0.xlsx</x:v>
      </x:c>
    </x:row>
    <x:row r="12058">
      <x:c r="A12058" s="15" t="n">
        <x:v>45536</x:v>
      </x:c>
      <x:c r="B12058" s="13" t="str">
        <x:v>ENEVA SA</x:v>
      </x:c>
      <x:c r="C12058" s="16" t="n">
        <x:v>833.84</x:v>
      </x:c>
      <x:c r="D12058" s="13" t="str">
        <x:v>Utilities &amp; Energy</x:v>
      </x:c>
      <x:c r="E12058" s="13" t="str">
        <x:v>Utilities</x:v>
      </x:c>
      <x:c r="F12058" s="13" t="str">
        <x:v>Defensives</x:v>
      </x:c>
      <x:c r="G12058" s="13" t="str">
        <x:v>grid_wbaxp5t0.xlsx</x:v>
      </x:c>
    </x:row>
    <x:row r="12059">
      <x:c r="A12059" s="15" t="n">
        <x:v>45536</x:v>
      </x:c>
      <x:c r="B12059" s="13" t="str">
        <x:v>ENGIE BRASIL ENERGIA SA</x:v>
      </x:c>
      <x:c r="C12059" s="16" t="n">
        <x:v>3521.5706981699</x:v>
      </x:c>
      <x:c r="D12059" s="13" t="str">
        <x:v>Utilities &amp; Energy</x:v>
      </x:c>
      <x:c r="E12059" s="13" t="str">
        <x:v>Utilities</x:v>
      </x:c>
      <x:c r="F12059" s="13" t="str">
        <x:v>Defensives</x:v>
      </x:c>
      <x:c r="G12059" s="13" t="str">
        <x:v>grid_wbaxp5t0.xlsx</x:v>
      </x:c>
    </x:row>
    <x:row r="12060">
      <x:c r="A12060" s="15" t="n">
        <x:v>45536</x:v>
      </x:c>
      <x:c r="B12060" s="13" t="str">
        <x:v>EQUATORIAL SA - ORD</x:v>
      </x:c>
      <x:c r="C12060" s="16" t="n">
        <x:v>3220.1740372164</x:v>
      </x:c>
      <x:c r="D12060" s="13" t="str">
        <x:v>Utilities &amp; Energy</x:v>
      </x:c>
      <x:c r="E12060" s="13" t="str">
        <x:v>Utilities</x:v>
      </x:c>
      <x:c r="F12060" s="13" t="str">
        <x:v>Defensives</x:v>
      </x:c>
      <x:c r="G12060" s="13" t="str">
        <x:v>grid_wbaxp5t0.xlsx</x:v>
      </x:c>
    </x:row>
    <x:row r="12061">
      <x:c r="A12061" s="15" t="n">
        <x:v>45536</x:v>
      </x:c>
      <x:c r="B12061" s="13" t="str">
        <x:v>ISA ENERGIA BRASIL SA</x:v>
      </x:c>
      <x:c r="C12061" s="16" t="n">
        <x:v>1752.274048</x:v>
      </x:c>
      <x:c r="D12061" s="13" t="str">
        <x:v>Utilities &amp; Energy</x:v>
      </x:c>
      <x:c r="E12061" s="13" t="str">
        <x:v>Utilities</x:v>
      </x:c>
      <x:c r="F12061" s="13" t="str">
        <x:v>Defensives</x:v>
      </x:c>
      <x:c r="G12061" s="13" t="str">
        <x:v>grid_wbaxp5t0.xlsx</x:v>
      </x:c>
    </x:row>
    <x:row r="12062">
      <x:c r="A12062" s="15" t="n">
        <x:v>45536</x:v>
      </x:c>
      <x:c r="B12062" s="13" t="str">
        <x:v>TRANSMISSORA ALIANCA DE-UNIT</x:v>
      </x:c>
      <x:c r="C12062" s="16" t="n">
        <x:v>1099.3619126356</x:v>
      </x:c>
      <x:c r="D12062" s="13" t="str">
        <x:v>Utilities &amp; Energy</x:v>
      </x:c>
      <x:c r="E12062" s="13" t="str">
        <x:v>Utilities</x:v>
      </x:c>
      <x:c r="F12062" s="13" t="str">
        <x:v>Defensives</x:v>
      </x:c>
      <x:c r="G12062" s="13" t="str">
        <x:v>grid_wbaxp5t0.xlsx</x:v>
      </x:c>
    </x:row>
    <x:row r="12063">
      <x:c r="A12063" s="15" t="n">
        <x:v>45566</x:v>
      </x:c>
      <x:c r="B12063" s="13" t="str">
        <x:v>RAIZEN SA - PREFERENCE</x:v>
      </x:c>
      <x:c r="C12063" s="16" t="n">
        <x:v>3684.775315989</x:v>
      </x:c>
      <x:c r="D12063" s="13" t="str">
        <x:v>Agribusiness</x:v>
      </x:c>
      <x:c r="E12063" s="13" t="str">
        <x:v>Agri, Food &amp; Beverages</x:v>
      </x:c>
      <x:c r="F12063" s="13" t="str">
        <x:v>Defensives</x:v>
      </x:c>
      <x:c r="G12063" s="13" t="str">
        <x:v>grid_wbaxp5t0.xlsx</x:v>
      </x:c>
    </x:row>
    <x:row r="12064">
      <x:c r="A12064" s="15" t="n">
        <x:v>45566</x:v>
      </x:c>
      <x:c r="B12064" s="13" t="str">
        <x:v>SAO MARTINHO SA</x:v>
      </x:c>
      <x:c r="C12064" s="16" t="n">
        <x:v>971.2669911671</x:v>
      </x:c>
      <x:c r="D12064" s="13" t="str">
        <x:v>Agribusiness</x:v>
      </x:c>
      <x:c r="E12064" s="13" t="str">
        <x:v>Agri, Food &amp; Beverages</x:v>
      </x:c>
      <x:c r="F12064" s="13" t="str">
        <x:v>Defensives</x:v>
      </x:c>
      <x:c r="G12064" s="13" t="str">
        <x:v>grid_wbaxp5t0.xlsx</x:v>
      </x:c>
    </x:row>
    <x:row r="12065">
      <x:c r="A12065" s="15" t="n">
        <x:v>45566</x:v>
      </x:c>
      <x:c r="B12065" s="13" t="str">
        <x:v>SLC AGRICOLA SA</x:v>
      </x:c>
      <x:c r="C12065" s="16" t="n">
        <x:v>858.9150684932</x:v>
      </x:c>
      <x:c r="D12065" s="13" t="str">
        <x:v>Agribusiness</x:v>
      </x:c>
      <x:c r="E12065" s="13" t="str">
        <x:v>Agri, Food &amp; Beverages</x:v>
      </x:c>
      <x:c r="F12065" s="13" t="str">
        <x:v>Defensives</x:v>
      </x:c>
      <x:c r="G12065" s="13" t="str">
        <x:v>grid_wbaxp5t0.xlsx</x:v>
      </x:c>
    </x:row>
    <x:row r="12066">
      <x:c r="A12066" s="15" t="n">
        <x:v>45566</x:v>
      </x:c>
      <x:c r="B12066" s="13" t="str">
        <x:v>BANCO BRADESCO S.A.</x:v>
      </x:c>
      <x:c r="C12066" s="16" t="n">
        <x:v>23517.122010126</x:v>
      </x:c>
      <x:c r="D12066" s="13" t="str">
        <x:v>Banks</x:v>
      </x:c>
      <x:c r="E12066" s="13" t="str">
        <x:v>Banks</x:v>
      </x:c>
      <x:c r="F12066" s="13" t="str">
        <x:v>Financials</x:v>
      </x:c>
      <x:c r="G12066" s="13" t="str">
        <x:v>grid_wbaxp5t0.xlsx</x:v>
      </x:c>
    </x:row>
    <x:row r="12067">
      <x:c r="A12067" s="15" t="n">
        <x:v>45566</x:v>
      </x:c>
      <x:c r="B12067" s="13" t="str">
        <x:v>BANCO BRADESCO SA-PREF</x:v>
      </x:c>
      <x:c r="C12067" s="16" t="n">
        <x:v>23517.122010126</x:v>
      </x:c>
      <x:c r="D12067" s="13" t="str">
        <x:v>Banks</x:v>
      </x:c>
      <x:c r="E12067" s="13" t="str">
        <x:v>Banks</x:v>
      </x:c>
      <x:c r="F12067" s="13" t="str">
        <x:v>Financials</x:v>
      </x:c>
      <x:c r="G12067" s="13" t="str">
        <x:v>grid_wbaxp5t0.xlsx</x:v>
      </x:c>
    </x:row>
    <x:row r="12068">
      <x:c r="A12068" s="15" t="n">
        <x:v>45566</x:v>
      </x:c>
      <x:c r="B12068" s="13" t="str">
        <x:v>BANCO BTG PACTUAL SA-UNIT</x:v>
      </x:c>
      <x:c r="C12068" s="16" t="n">
        <x:v>13849.3759151342</x:v>
      </x:c>
      <x:c r="D12068" s="13" t="str">
        <x:v>Banks</x:v>
      </x:c>
      <x:c r="E12068" s="13" t="str">
        <x:v>Banks</x:v>
      </x:c>
      <x:c r="F12068" s="13" t="str">
        <x:v>Financials</x:v>
      </x:c>
      <x:c r="G12068" s="13" t="str">
        <x:v>grid_wbaxp5t0.xlsx</x:v>
      </x:c>
    </x:row>
    <x:row r="12069">
      <x:c r="A12069" s="15" t="n">
        <x:v>45566</x:v>
      </x:c>
      <x:c r="B12069" s="13" t="str">
        <x:v>BANCO DO BRASIL S.A.</x:v>
      </x:c>
      <x:c r="C12069" s="16" t="n">
        <x:v>39119.2291636603</x:v>
      </x:c>
      <x:c r="D12069" s="13" t="str">
        <x:v>Banks</x:v>
      </x:c>
      <x:c r="E12069" s="13" t="str">
        <x:v>Banks</x:v>
      </x:c>
      <x:c r="F12069" s="13" t="str">
        <x:v>Financials</x:v>
      </x:c>
      <x:c r="G12069" s="13" t="str">
        <x:v>grid_wbaxp5t0.xlsx</x:v>
      </x:c>
    </x:row>
    <x:row r="12070">
      <x:c r="A12070" s="15" t="n">
        <x:v>45566</x:v>
      </x:c>
      <x:c r="B12070" s="13" t="str">
        <x:v>BANCO SANTANDER  BRASIL-UNIT</x:v>
      </x:c>
      <x:c r="C12070" s="16" t="n">
        <x:v>15949.924346389</x:v>
      </x:c>
      <x:c r="D12070" s="13" t="str">
        <x:v>Banks</x:v>
      </x:c>
      <x:c r="E12070" s="13" t="str">
        <x:v>Banks</x:v>
      </x:c>
      <x:c r="F12070" s="13" t="str">
        <x:v>Financials</x:v>
      </x:c>
      <x:c r="G12070" s="13" t="str">
        <x:v>grid_wbaxp5t0.xlsx</x:v>
      </x:c>
    </x:row>
    <x:row r="12071">
      <x:c r="A12071" s="15" t="n">
        <x:v>45566</x:v>
      </x:c>
      <x:c r="B12071" s="13" t="str">
        <x:v>ITAU UNIBANCO HOLDING S-PREF</x:v>
      </x:c>
      <x:c r="C12071" s="16" t="n">
        <x:v>44935.4191801863</x:v>
      </x:c>
      <x:c r="D12071" s="13" t="str">
        <x:v>Banks</x:v>
      </x:c>
      <x:c r="E12071" s="13" t="str">
        <x:v>Banks</x:v>
      </x:c>
      <x:c r="F12071" s="13" t="str">
        <x:v>Financials</x:v>
      </x:c>
      <x:c r="G12071" s="13" t="str">
        <x:v>grid_wbaxp5t0.xlsx</x:v>
      </x:c>
    </x:row>
    <x:row r="12072">
      <x:c r="A12072" s="15" t="n">
        <x:v>45566</x:v>
      </x:c>
      <x:c r="B12072" s="13" t="str">
        <x:v>EMBRAER SA</x:v>
      </x:c>
      <x:c r="C12072" s="16" t="n">
        <x:v>1855.5802206685</x:v>
      </x:c>
      <x:c r="D12072" s="13" t="str">
        <x:v>Capital Goods</x:v>
      </x:c>
      <x:c r="E12072" s="13" t="str">
        <x:v>Capital Goods</x:v>
      </x:c>
      <x:c r="F12072" s="13" t="str">
        <x:v>Deep Cyclicals</x:v>
      </x:c>
      <x:c r="G12072" s="13" t="str">
        <x:v>grid_wbaxp5t0.xlsx</x:v>
      </x:c>
    </x:row>
    <x:row r="12073">
      <x:c r="A12073" s="15" t="n">
        <x:v>45566</x:v>
      </x:c>
      <x:c r="B12073" s="13" t="str">
        <x:v>WEG SA</x:v>
      </x:c>
      <x:c r="C12073" s="16" t="n">
        <x:v>7037.3660517699</x:v>
      </x:c>
      <x:c r="D12073" s="13" t="str">
        <x:v>Capital Goods</x:v>
      </x:c>
      <x:c r="E12073" s="13" t="str">
        <x:v>Capital Goods</x:v>
      </x:c>
      <x:c r="F12073" s="13" t="str">
        <x:v>Deep Cyclicals</x:v>
      </x:c>
      <x:c r="G12073" s="13" t="str">
        <x:v>grid_wbaxp5t0.xlsx</x:v>
      </x:c>
    </x:row>
    <x:row r="12074">
      <x:c r="A12074" s="15" t="n">
        <x:v>45566</x:v>
      </x:c>
      <x:c r="B12074" s="13" t="str">
        <x:v>COGNA EDUCACAO</x:v>
      </x:c>
      <x:c r="C12074" s="16" t="n">
        <x:v>419.2456166575</x:v>
      </x:c>
      <x:c r="D12074" s="13" t="str">
        <x:v>Education</x:v>
      </x:c>
      <x:c r="E12074" s="13" t="str">
        <x:v>Education</x:v>
      </x:c>
      <x:c r="F12074" s="13" t="str">
        <x:v>Early Cyclicals</x:v>
      </x:c>
      <x:c r="G12074" s="13" t="str">
        <x:v>grid_wbaxp5t0.xlsx</x:v>
      </x:c>
    </x:row>
    <x:row r="12075">
      <x:c r="A12075" s="15" t="n">
        <x:v>45566</x:v>
      </x:c>
      <x:c r="B12075" s="13" t="str">
        <x:v>YDUQS PARTICIPACOES SA</x:v>
      </x:c>
      <x:c r="C12075" s="16" t="n">
        <x:v>519.0888958247</x:v>
      </x:c>
      <x:c r="D12075" s="13" t="str">
        <x:v>Education</x:v>
      </x:c>
      <x:c r="E12075" s="13" t="str">
        <x:v>Education</x:v>
      </x:c>
      <x:c r="F12075" s="13" t="str">
        <x:v>Early Cyclicals</x:v>
      </x:c>
      <x:c r="G12075" s="13" t="str">
        <x:v>grid_wbaxp5t0.xlsx</x:v>
      </x:c>
    </x:row>
    <x:row r="12076">
      <x:c r="A12076" s="15" t="n">
        <x:v>45566</x:v>
      </x:c>
      <x:c r="B12076" s="13" t="str">
        <x:v>B3 SA-BRASIL BOLSA BALCAO</x:v>
      </x:c>
      <x:c r="C12076" s="16" t="n">
        <x:v>5138.8195769863</x:v>
      </x:c>
      <x:c r="D12076" s="13" t="str">
        <x:v>Financials Non-Banks</x:v>
      </x:c>
      <x:c r="E12076" s="13" t="str">
        <x:v>Financials Non-Banks</x:v>
      </x:c>
      <x:c r="F12076" s="13" t="str">
        <x:v>Financials</x:v>
      </x:c>
      <x:c r="G12076" s="13" t="str">
        <x:v>grid_wbaxp5t0.xlsx</x:v>
      </x:c>
    </x:row>
    <x:row r="12077">
      <x:c r="A12077" s="15" t="n">
        <x:v>45566</x:v>
      </x:c>
      <x:c r="B12077" s="13" t="str">
        <x:v>BB SEGURIDADE PARTICIPACOES</x:v>
      </x:c>
      <x:c r="C12077" s="16" t="n">
        <x:v>8209.6575263562</x:v>
      </x:c>
      <x:c r="D12077" s="13" t="str">
        <x:v>Financials Non-Banks</x:v>
      </x:c>
      <x:c r="E12077" s="13" t="str">
        <x:v>Financials Non-Banks</x:v>
      </x:c>
      <x:c r="F12077" s="13" t="str">
        <x:v>Financials</x:v>
      </x:c>
      <x:c r="G12077" s="13" t="str">
        <x:v>grid_wbaxp5t0.xlsx</x:v>
      </x:c>
    </x:row>
    <x:row r="12078">
      <x:c r="A12078" s="15" t="n">
        <x:v>45566</x:v>
      </x:c>
      <x:c r="B12078" s="13" t="str">
        <x:v>CAIXA SEGURIDADE PARTICIPACO</x:v>
      </x:c>
      <x:c r="C12078" s="16" t="n">
        <x:v>4251.9697358904</x:v>
      </x:c>
      <x:c r="D12078" s="13" t="str">
        <x:v>Financials Non-Banks</x:v>
      </x:c>
      <x:c r="E12078" s="13" t="str">
        <x:v>Financials Non-Banks</x:v>
      </x:c>
      <x:c r="F12078" s="13" t="str">
        <x:v>Financials</x:v>
      </x:c>
      <x:c r="G12078" s="13" t="str">
        <x:v>grid_wbaxp5t0.xlsx</x:v>
      </x:c>
    </x:row>
    <x:row r="12079">
      <x:c r="A12079" s="15" t="n">
        <x:v>45566</x:v>
      </x:c>
      <x:c r="B12079" s="13" t="str">
        <x:v>IRB BRASIL RESSEGUROS SA</x:v>
      </x:c>
      <x:c r="C12079" s="16" t="n">
        <x:v>470.2841905973</x:v>
      </x:c>
      <x:c r="D12079" s="13" t="str">
        <x:v>Financials Non-Banks</x:v>
      </x:c>
      <x:c r="E12079" s="13" t="str">
        <x:v>Financials Non-Banks</x:v>
      </x:c>
      <x:c r="F12079" s="13" t="str">
        <x:v>Financials</x:v>
      </x:c>
      <x:c r="G12079" s="13" t="str">
        <x:v>grid_wbaxp5t0.xlsx</x:v>
      </x:c>
    </x:row>
    <x:row r="12080">
      <x:c r="A12080" s="15" t="n">
        <x:v>45566</x:v>
      </x:c>
      <x:c r="B12080" s="13" t="str">
        <x:v>ITAUSA SA</x:v>
      </x:c>
      <x:c r="C12080" s="16" t="n">
        <x:v>16849.7852949041</x:v>
      </x:c>
      <x:c r="D12080" s="13" t="str">
        <x:v>Financials Non-Banks</x:v>
      </x:c>
      <x:c r="E12080" s="13" t="str">
        <x:v>Financials Non-Banks</x:v>
      </x:c>
      <x:c r="F12080" s="13" t="str">
        <x:v>Financials</x:v>
      </x:c>
      <x:c r="G12080" s="13" t="str">
        <x:v>grid_wbaxp5t0.xlsx</x:v>
      </x:c>
    </x:row>
    <x:row r="12081">
      <x:c r="A12081" s="15" t="n">
        <x:v>45566</x:v>
      </x:c>
      <x:c r="B12081" s="13" t="str">
        <x:v>AMBEV SA</x:v>
      </x:c>
      <x:c r="C12081" s="16" t="n">
        <x:v>15690.2700494904</x:v>
      </x:c>
      <x:c r="D12081" s="13" t="str">
        <x:v>Food &amp; Beverages</x:v>
      </x:c>
      <x:c r="E12081" s="13" t="str">
        <x:v>Agri, Food &amp; Beverages</x:v>
      </x:c>
      <x:c r="F12081" s="13" t="str">
        <x:v>Defensives</x:v>
      </x:c>
      <x:c r="G12081" s="13" t="str">
        <x:v>grid_wbaxp5t0.xlsx</x:v>
      </x:c>
    </x:row>
    <x:row r="12082">
      <x:c r="A12082" s="15" t="n">
        <x:v>45566</x:v>
      </x:c>
      <x:c r="B12082" s="13" t="str">
        <x:v>BRF SA</x:v>
      </x:c>
      <x:c r="C12082" s="16" t="n">
        <x:v>3281.6256035068</x:v>
      </x:c>
      <x:c r="D12082" s="13" t="str">
        <x:v>Food &amp; Beverages</x:v>
      </x:c>
      <x:c r="E12082" s="13" t="str">
        <x:v>Agri, Food &amp; Beverages</x:v>
      </x:c>
      <x:c r="F12082" s="13" t="str">
        <x:v>Defensives</x:v>
      </x:c>
      <x:c r="G12082" s="13" t="str">
        <x:v>grid_wbaxp5t0.xlsx</x:v>
      </x:c>
    </x:row>
    <x:row r="12083">
      <x:c r="A12083" s="15" t="n">
        <x:v>45566</x:v>
      </x:c>
      <x:c r="B12083" s="13" t="str">
        <x:v>MBRF GLOBAL FOODS COMPANY SA</x:v>
      </x:c>
      <x:c r="C12083" s="16" t="n">
        <x:v>230.1112328767</x:v>
      </x:c>
      <x:c r="D12083" s="13" t="str">
        <x:v>Food &amp; Beverages</x:v>
      </x:c>
      <x:c r="E12083" s="13" t="str">
        <x:v>Agri, Food &amp; Beverages</x:v>
      </x:c>
      <x:c r="F12083" s="13" t="str">
        <x:v>Defensives</x:v>
      </x:c>
      <x:c r="G12083" s="13" t="str">
        <x:v>grid_wbaxp5t0.xlsx</x:v>
      </x:c>
    </x:row>
    <x:row r="12084">
      <x:c r="A12084" s="15" t="n">
        <x:v>45566</x:v>
      </x:c>
      <x:c r="B12084" s="13" t="str">
        <x:v>MINERVA SA</x:v>
      </x:c>
      <x:c r="C12084" s="16" t="n">
        <x:v>633.7646308822</x:v>
      </x:c>
      <x:c r="D12084" s="13" t="str">
        <x:v>Food &amp; Beverages</x:v>
      </x:c>
      <x:c r="E12084" s="13" t="str">
        <x:v>Agri, Food &amp; Beverages</x:v>
      </x:c>
      <x:c r="F12084" s="13" t="str">
        <x:v>Defensives</x:v>
      </x:c>
      <x:c r="G12084" s="13" t="str">
        <x:v>grid_wbaxp5t0.xlsx</x:v>
      </x:c>
    </x:row>
    <x:row r="12085">
      <x:c r="A12085" s="15" t="n">
        <x:v>45566</x:v>
      </x:c>
      <x:c r="B12085" s="13" t="str">
        <x:v>FLEURY SA</x:v>
      </x:c>
      <x:c r="C12085" s="16" t="n">
        <x:v>744.2522862466</x:v>
      </x:c>
      <x:c r="D12085" s="13" t="str">
        <x:v>Health Care</x:v>
      </x:c>
      <x:c r="E12085" s="13" t="str">
        <x:v>Health Care</x:v>
      </x:c>
      <x:c r="F12085" s="13" t="str">
        <x:v>Defensives</x:v>
      </x:c>
      <x:c r="G12085" s="13" t="str">
        <x:v>grid_wbaxp5t0.xlsx</x:v>
      </x:c>
    </x:row>
    <x:row r="12086">
      <x:c r="A12086" s="15" t="n">
        <x:v>45566</x:v>
      </x:c>
      <x:c r="B12086" s="13" t="str">
        <x:v>HAPVIDA PARTICIPACOES E INVE</x:v>
      </x:c>
      <x:c r="C12086" s="16" t="n">
        <x:v>1723.8601998027</x:v>
      </x:c>
      <x:c r="D12086" s="13" t="str">
        <x:v>Health Care</x:v>
      </x:c>
      <x:c r="E12086" s="13" t="str">
        <x:v>Health Care</x:v>
      </x:c>
      <x:c r="F12086" s="13" t="str">
        <x:v>Defensives</x:v>
      </x:c>
      <x:c r="G12086" s="13" t="str">
        <x:v>grid_wbaxp5t0.xlsx</x:v>
      </x:c>
    </x:row>
    <x:row r="12087">
      <x:c r="A12087" s="15" t="n">
        <x:v>45566</x:v>
      </x:c>
      <x:c r="B12087" s="13" t="str">
        <x:v>HYPERA SA</x:v>
      </x:c>
      <x:c r="C12087" s="16" t="n">
        <x:v>1624.4787831233</x:v>
      </x:c>
      <x:c r="D12087" s="13" t="str">
        <x:v>Health Care</x:v>
      </x:c>
      <x:c r="E12087" s="13" t="str">
        <x:v>Health Care</x:v>
      </x:c>
      <x:c r="F12087" s="13" t="str">
        <x:v>Defensives</x:v>
      </x:c>
      <x:c r="G12087" s="13" t="str">
        <x:v>grid_wbaxp5t0.xlsx</x:v>
      </x:c>
    </x:row>
    <x:row r="12088">
      <x:c r="A12088" s="15" t="n">
        <x:v>45566</x:v>
      </x:c>
      <x:c r="B12088" s="13" t="str">
        <x:v>REDE D'OR SAO LUIZ SA</x:v>
      </x:c>
      <x:c r="C12088" s="16" t="n">
        <x:v>4217.7979125479</x:v>
      </x:c>
      <x:c r="D12088" s="13" t="str">
        <x:v>Health Care</x:v>
      </x:c>
      <x:c r="E12088" s="13" t="str">
        <x:v>Health Care</x:v>
      </x:c>
      <x:c r="F12088" s="13" t="str">
        <x:v>Defensives</x:v>
      </x:c>
      <x:c r="G12088" s="13" t="str">
        <x:v>grid_wbaxp5t0.xlsx</x:v>
      </x:c>
    </x:row>
    <x:row r="12089">
      <x:c r="A12089" s="15" t="n">
        <x:v>45566</x:v>
      </x:c>
      <x:c r="B12089" s="13" t="str">
        <x:v>CYRELA BRAZIL REALTY SA EMP</x:v>
      </x:c>
      <x:c r="C12089" s="16" t="n">
        <x:v>1473.5644209096</x:v>
      </x:c>
      <x:c r="D12089" s="13" t="str">
        <x:v>Homebuilders</x:v>
      </x:c>
      <x:c r="E12089" s="13" t="str">
        <x:v>Real Estate</x:v>
      </x:c>
      <x:c r="F12089" s="13" t="str">
        <x:v>Early Cyclicals</x:v>
      </x:c>
      <x:c r="G12089" s="13" t="str">
        <x:v>grid_wbaxp5t0.xlsx</x:v>
      </x:c>
    </x:row>
    <x:row r="12090">
      <x:c r="A12090" s="15" t="n">
        <x:v>45566</x:v>
      </x:c>
      <x:c r="B12090" s="13" t="str">
        <x:v>EZ TEC EMPREENDIMENTOS E PAR</x:v>
      </x:c>
      <x:c r="C12090" s="16" t="n">
        <x:v>333.5728562849</x:v>
      </x:c>
      <x:c r="D12090" s="13" t="str">
        <x:v>Homebuilders</x:v>
      </x:c>
      <x:c r="E12090" s="13" t="str">
        <x:v>Real Estate</x:v>
      </x:c>
      <x:c r="F12090" s="13" t="str">
        <x:v>Early Cyclicals</x:v>
      </x:c>
      <x:c r="G12090" s="13" t="str">
        <x:v>grid_wbaxp5t0.xlsx</x:v>
      </x:c>
    </x:row>
    <x:row r="12091">
      <x:c r="A12091" s="15" t="n">
        <x:v>45566</x:v>
      </x:c>
      <x:c r="B12091" s="13" t="str">
        <x:v>MRV ENGENHARIA</x:v>
      </x:c>
      <x:c r="C12091" s="16" t="n">
        <x:v>543.3422896658</x:v>
      </x:c>
      <x:c r="D12091" s="13" t="str">
        <x:v>Homebuilders</x:v>
      </x:c>
      <x:c r="E12091" s="13" t="str">
        <x:v>Real Estate</x:v>
      </x:c>
      <x:c r="F12091" s="13" t="str">
        <x:v>Early Cyclicals</x:v>
      </x:c>
      <x:c r="G12091" s="13" t="str">
        <x:v>grid_wbaxp5t0.xlsx</x:v>
      </x:c>
    </x:row>
    <x:row r="12092">
      <x:c r="A12092" s="15" t="n">
        <x:v>45566</x:v>
      </x:c>
      <x:c r="B12092" s="13" t="str">
        <x:v>ALLOS SA</x:v>
      </x:c>
      <x:c r="C12092" s="16" t="n">
        <x:v>779.0814895342</x:v>
      </x:c>
      <x:c r="D12092" s="13" t="str">
        <x:v>Income Properties</x:v>
      </x:c>
      <x:c r="E12092" s="13" t="str">
        <x:v>Real Estate</x:v>
      </x:c>
      <x:c r="F12092" s="13" t="str">
        <x:v>Early Cyclicals</x:v>
      </x:c>
      <x:c r="G12092" s="13" t="str">
        <x:v>grid_wbaxp5t0.xlsx</x:v>
      </x:c>
    </x:row>
    <x:row r="12093">
      <x:c r="A12093" s="15" t="n">
        <x:v>45566</x:v>
      </x:c>
      <x:c r="B12093" s="13" t="str">
        <x:v>IGUATEMI SA - UNITS</x:v>
      </x:c>
      <x:c r="C12093" s="16" t="n">
        <x:v>485.2701369863</x:v>
      </x:c>
      <x:c r="D12093" s="13" t="str">
        <x:v>Income Properties</x:v>
      </x:c>
      <x:c r="E12093" s="13" t="str">
        <x:v>Real Estate</x:v>
      </x:c>
      <x:c r="F12093" s="13" t="str">
        <x:v>Early Cyclicals</x:v>
      </x:c>
      <x:c r="G12093" s="13" t="str">
        <x:v>grid_wbaxp5t0.xlsx</x:v>
      </x:c>
    </x:row>
    <x:row r="12094">
      <x:c r="A12094" s="15" t="n">
        <x:v>45566</x:v>
      </x:c>
      <x:c r="B12094" s="13" t="str">
        <x:v>MULTIPLAN EMPREENDIMENTOS</x:v>
      </x:c>
      <x:c r="C12094" s="16" t="n">
        <x:v>1182.6167758904</x:v>
      </x:c>
      <x:c r="D12094" s="13" t="str">
        <x:v>Income Properties</x:v>
      </x:c>
      <x:c r="E12094" s="13" t="str">
        <x:v>Real Estate</x:v>
      </x:c>
      <x:c r="F12094" s="13" t="str">
        <x:v>Early Cyclicals</x:v>
      </x:c>
      <x:c r="G12094" s="13" t="str">
        <x:v>grid_wbaxp5t0.xlsx</x:v>
      </x:c>
    </x:row>
    <x:row r="12095">
      <x:c r="A12095" s="15" t="n">
        <x:v>45566</x:v>
      </x:c>
      <x:c r="B12095" s="13" t="str">
        <x:v>BRADESPAR SA -PREF</x:v>
      </x:c>
      <x:c r="C12095" s="16" t="n">
        <x:v>1585.4136986301</x:v>
      </x:c>
      <x:c r="D12095" s="13" t="str">
        <x:v>Metals &amp; Mining</x:v>
      </x:c>
      <x:c r="E12095" s="13" t="str">
        <x:v>Metals &amp; Mining</x:v>
      </x:c>
      <x:c r="F12095" s="13" t="str">
        <x:v>Deep Cyclicals</x:v>
      </x:c>
      <x:c r="G12095" s="13" t="str">
        <x:v>grid_wbaxp5t0.xlsx</x:v>
      </x:c>
    </x:row>
    <x:row r="12096">
      <x:c r="A12096" s="15" t="n">
        <x:v>45566</x:v>
      </x:c>
      <x:c r="B12096" s="13" t="str">
        <x:v>CIA SIDERURGICA NACIONAL SA</x:v>
      </x:c>
      <x:c r="C12096" s="16" t="n">
        <x:v>1517.2704391014</x:v>
      </x:c>
      <x:c r="D12096" s="13" t="str">
        <x:v>Metals &amp; Mining</x:v>
      </x:c>
      <x:c r="E12096" s="13" t="str">
        <x:v>Metals &amp; Mining</x:v>
      </x:c>
      <x:c r="F12096" s="13" t="str">
        <x:v>Deep Cyclicals</x:v>
      </x:c>
      <x:c r="G12096" s="13" t="str">
        <x:v>grid_wbaxp5t0.xlsx</x:v>
      </x:c>
    </x:row>
    <x:row r="12097">
      <x:c r="A12097" s="15" t="n">
        <x:v>45566</x:v>
      </x:c>
      <x:c r="B12097" s="13" t="str">
        <x:v>CSN MINERACAO SA</x:v>
      </x:c>
      <x:c r="C12097" s="16" t="n">
        <x:v>2352.5049063452</x:v>
      </x:c>
      <x:c r="D12097" s="13" t="str">
        <x:v>Metals &amp; Mining</x:v>
      </x:c>
      <x:c r="E12097" s="13" t="str">
        <x:v>Metals &amp; Mining</x:v>
      </x:c>
      <x:c r="F12097" s="13" t="str">
        <x:v>Deep Cyclicals</x:v>
      </x:c>
      <x:c r="G12097" s="13" t="str">
        <x:v>grid_wbaxp5t0.xlsx</x:v>
      </x:c>
    </x:row>
    <x:row r="12098">
      <x:c r="A12098" s="15" t="n">
        <x:v>45566</x:v>
      </x:c>
      <x:c r="B12098" s="13" t="str">
        <x:v>GERDAU SA-PREF</x:v>
      </x:c>
      <x:c r="C12098" s="16" t="n">
        <x:v>5696.4126523616</x:v>
      </x:c>
      <x:c r="D12098" s="13" t="str">
        <x:v>Metals &amp; Mining</x:v>
      </x:c>
      <x:c r="E12098" s="13" t="str">
        <x:v>Metals &amp; Mining</x:v>
      </x:c>
      <x:c r="F12098" s="13" t="str">
        <x:v>Deep Cyclicals</x:v>
      </x:c>
      <x:c r="G12098" s="13" t="str">
        <x:v>grid_wbaxp5t0.xlsx</x:v>
      </x:c>
    </x:row>
    <x:row r="12099">
      <x:c r="A12099" s="15" t="n">
        <x:v>45566</x:v>
      </x:c>
      <x:c r="B12099" s="13" t="str">
        <x:v>METALURGICA GERDAU SA-PREF</x:v>
      </x:c>
      <x:c r="C12099" s="16" t="n">
        <x:v>2085.1288204274</x:v>
      </x:c>
      <x:c r="D12099" s="13" t="str">
        <x:v>Metals &amp; Mining</x:v>
      </x:c>
      <x:c r="E12099" s="13" t="str">
        <x:v>Metals &amp; Mining</x:v>
      </x:c>
      <x:c r="F12099" s="13" t="str">
        <x:v>Deep Cyclicals</x:v>
      </x:c>
      <x:c r="G12099" s="13" t="str">
        <x:v>grid_wbaxp5t0.xlsx</x:v>
      </x:c>
    </x:row>
    <x:row r="12100">
      <x:c r="A12100" s="15" t="n">
        <x:v>45566</x:v>
      </x:c>
      <x:c r="B12100" s="13" t="str">
        <x:v>USINAS SIDER MINAS GER-PF A</x:v>
      </x:c>
      <x:c r="C12100" s="16" t="n">
        <x:v>764.5349772712</x:v>
      </x:c>
      <x:c r="D12100" s="13" t="str">
        <x:v>Metals &amp; Mining</x:v>
      </x:c>
      <x:c r="E12100" s="13" t="str">
        <x:v>Metals &amp; Mining</x:v>
      </x:c>
      <x:c r="F12100" s="13" t="str">
        <x:v>Deep Cyclicals</x:v>
      </x:c>
      <x:c r="G12100" s="13" t="str">
        <x:v>grid_wbaxp5t0.xlsx</x:v>
      </x:c>
    </x:row>
    <x:row r="12101">
      <x:c r="A12101" s="15" t="n">
        <x:v>45566</x:v>
      </x:c>
      <x:c r="B12101" s="13" t="str">
        <x:v>VALE SA</x:v>
      </x:c>
      <x:c r="C12101" s="16" t="n">
        <x:v>48477.1347806685</x:v>
      </x:c>
      <x:c r="D12101" s="13" t="str">
        <x:v>Metals &amp; Mining</x:v>
      </x:c>
      <x:c r="E12101" s="13" t="str">
        <x:v>Metals &amp; Mining</x:v>
      </x:c>
      <x:c r="F12101" s="13" t="str">
        <x:v>Deep Cyclicals</x:v>
      </x:c>
      <x:c r="G12101" s="13" t="str">
        <x:v>grid_wbaxp5t0.xlsx</x:v>
      </x:c>
    </x:row>
    <x:row r="12102">
      <x:c r="A12102" s="15" t="n">
        <x:v>45566</x:v>
      </x:c>
      <x:c r="B12102" s="13" t="str">
        <x:v>BRASKEM SA-PREF A</x:v>
      </x:c>
      <x:c r="C12102" s="16" t="n">
        <x:v>-301.8338584548</x:v>
      </x:c>
      <x:c r="D12102" s="13" t="str">
        <x:v>Oil, Gas &amp; Petrochemicals</x:v>
      </x:c>
      <x:c r="E12102" s="13" t="str">
        <x:v>Oil, Gas &amp; Petrochemicals</x:v>
      </x:c>
      <x:c r="F12102" s="13" t="str">
        <x:v>Deep Cyclicals</x:v>
      </x:c>
      <x:c r="G12102" s="13" t="str">
        <x:v>grid_wbaxp5t0.xlsx</x:v>
      </x:c>
    </x:row>
    <x:row r="12103">
      <x:c r="A12103" s="15" t="n">
        <x:v>45566</x:v>
      </x:c>
      <x:c r="B12103" s="13" t="str">
        <x:v>BRAVA ENERGIA</x:v>
      </x:c>
      <x:c r="C12103" s="16" t="n">
        <x:v>2984.2516179288</x:v>
      </x:c>
      <x:c r="D12103" s="13" t="str">
        <x:v>Oil, Gas &amp; Petrochemicals</x:v>
      </x:c>
      <x:c r="E12103" s="13" t="str">
        <x:v>Oil, Gas &amp; Petrochemicals</x:v>
      </x:c>
      <x:c r="F12103" s="13" t="str">
        <x:v>Deep Cyclicals</x:v>
      </x:c>
      <x:c r="G12103" s="13" t="str">
        <x:v>grid_wbaxp5t0.xlsx</x:v>
      </x:c>
    </x:row>
    <x:row r="12104">
      <x:c r="A12104" s="15" t="n">
        <x:v>45566</x:v>
      </x:c>
      <x:c r="B12104" s="13" t="str">
        <x:v>COSAN SA</x:v>
      </x:c>
      <x:c r="C12104" s="16" t="n">
        <x:v>2147.1941537315</x:v>
      </x:c>
      <x:c r="D12104" s="13" t="str">
        <x:v>Oil, Gas &amp; Petrochemicals</x:v>
      </x:c>
      <x:c r="E12104" s="13" t="str">
        <x:v>Oil, Gas &amp; Petrochemicals</x:v>
      </x:c>
      <x:c r="F12104" s="13" t="str">
        <x:v>Deep Cyclicals</x:v>
      </x:c>
      <x:c r="G12104" s="13" t="str">
        <x:v>grid_wbaxp5t0.xlsx</x:v>
      </x:c>
    </x:row>
    <x:row r="12105">
      <x:c r="A12105" s="15" t="n">
        <x:v>45566</x:v>
      </x:c>
      <x:c r="B12105" s="13" t="str">
        <x:v>PETROBRAS - PETROLEO BRAS</x:v>
      </x:c>
      <x:c r="C12105" s="16" t="n">
        <x:v>104809.442396581</x:v>
      </x:c>
      <x:c r="D12105" s="13" t="str">
        <x:v>Oil, Gas &amp; Petrochemicals</x:v>
      </x:c>
      <x:c r="E12105" s="13" t="str">
        <x:v>Oil, Gas &amp; Petrochemicals</x:v>
      </x:c>
      <x:c r="F12105" s="13" t="str">
        <x:v>Deep Cyclicals</x:v>
      </x:c>
      <x:c r="G12105" s="13" t="str">
        <x:v>grid_wbaxp5t0.xlsx</x:v>
      </x:c>
    </x:row>
    <x:row r="12106">
      <x:c r="A12106" s="15" t="n">
        <x:v>45566</x:v>
      </x:c>
      <x:c r="B12106" s="13" t="str">
        <x:v>PETRORECONCAVO SA</x:v>
      </x:c>
      <x:c r="C12106" s="16" t="n">
        <x:v>1055.8843569096</x:v>
      </x:c>
      <x:c r="D12106" s="13" t="str">
        <x:v>Oil, Gas &amp; Petrochemicals</x:v>
      </x:c>
      <x:c r="E12106" s="13" t="str">
        <x:v>Oil, Gas &amp; Petrochemicals</x:v>
      </x:c>
      <x:c r="F12106" s="13" t="str">
        <x:v>Deep Cyclicals</x:v>
      </x:c>
      <x:c r="G12106" s="13" t="str">
        <x:v>grid_wbaxp5t0.xlsx</x:v>
      </x:c>
    </x:row>
    <x:row r="12107">
      <x:c r="A12107" s="15" t="n">
        <x:v>45566</x:v>
      </x:c>
      <x:c r="B12107" s="13" t="str">
        <x:v>PRIO SA</x:v>
      </x:c>
      <x:c r="C12107" s="16" t="n">
        <x:v>6485.1228531726</x:v>
      </x:c>
      <x:c r="D12107" s="13" t="str">
        <x:v>Oil, Gas &amp; Petrochemicals</x:v>
      </x:c>
      <x:c r="E12107" s="13" t="str">
        <x:v>Oil, Gas &amp; Petrochemicals</x:v>
      </x:c>
      <x:c r="F12107" s="13" t="str">
        <x:v>Deep Cyclicals</x:v>
      </x:c>
      <x:c r="G12107" s="13" t="str">
        <x:v>grid_wbaxp5t0.xlsx</x:v>
      </x:c>
    </x:row>
    <x:row r="12108">
      <x:c r="A12108" s="15" t="n">
        <x:v>45566</x:v>
      </x:c>
      <x:c r="B12108" s="13" t="str">
        <x:v>ULTRAPAR PARTICIPACOES SA</x:v>
      </x:c>
      <x:c r="C12108" s="16" t="n">
        <x:v>2150.9580996384</x:v>
      </x:c>
      <x:c r="D12108" s="13" t="str">
        <x:v>Oil, Gas &amp; Petrochemicals</x:v>
      </x:c>
      <x:c r="E12108" s="13" t="str">
        <x:v>Oil, Gas &amp; Petrochemicals</x:v>
      </x:c>
      <x:c r="F12108" s="13" t="str">
        <x:v>Deep Cyclicals</x:v>
      </x:c>
      <x:c r="G12108" s="13" t="str">
        <x:v>grid_wbaxp5t0.xlsx</x:v>
      </x:c>
    </x:row>
    <x:row r="12109">
      <x:c r="A12109" s="15" t="n">
        <x:v>45566</x:v>
      </x:c>
      <x:c r="B12109" s="13" t="str">
        <x:v>VIBRA ENERGIA SA</x:v>
      </x:c>
      <x:c r="C12109" s="16" t="n">
        <x:v>3118.947546126</x:v>
      </x:c>
      <x:c r="D12109" s="13" t="str">
        <x:v>Oil, Gas &amp; Petrochemicals</x:v>
      </x:c>
      <x:c r="E12109" s="13" t="str">
        <x:v>Oil, Gas &amp; Petrochemicals</x:v>
      </x:c>
      <x:c r="F12109" s="13" t="str">
        <x:v>Deep Cyclicals</x:v>
      </x:c>
      <x:c r="G12109" s="13" t="str">
        <x:v>grid_wbaxp5t0.xlsx</x:v>
      </x:c>
    </x:row>
    <x:row r="12110">
      <x:c r="A12110" s="15" t="n">
        <x:v>45566</x:v>
      </x:c>
      <x:c r="B12110" s="13" t="str">
        <x:v>KLABIN SA - UNIT</x:v>
      </x:c>
      <x:c r="C12110" s="16" t="n">
        <x:v>2266.2765084055</x:v>
      </x:c>
      <x:c r="D12110" s="13" t="str">
        <x:v>Pulp &amp; Paper</x:v>
      </x:c>
      <x:c r="E12110" s="13" t="str">
        <x:v>Pulp &amp; Paper</x:v>
      </x:c>
      <x:c r="F12110" s="13" t="str">
        <x:v>Deep Cyclicals</x:v>
      </x:c>
      <x:c r="G12110" s="13" t="str">
        <x:v>grid_wbaxp5t0.xlsx</x:v>
      </x:c>
    </x:row>
    <x:row r="12111">
      <x:c r="A12111" s="15" t="n">
        <x:v>45566</x:v>
      </x:c>
      <x:c r="B12111" s="13" t="str">
        <x:v>SUZANO SA</x:v>
      </x:c>
      <x:c r="C12111" s="16" t="n">
        <x:v>8283.911480811</x:v>
      </x:c>
      <x:c r="D12111" s="13" t="str">
        <x:v>Pulp &amp; Paper</x:v>
      </x:c>
      <x:c r="E12111" s="13" t="str">
        <x:v>Pulp &amp; Paper</x:v>
      </x:c>
      <x:c r="F12111" s="13" t="str">
        <x:v>Deep Cyclicals</x:v>
      </x:c>
      <x:c r="G12111" s="13" t="str">
        <x:v>grid_wbaxp5t0.xlsx</x:v>
      </x:c>
    </x:row>
    <x:row r="12112">
      <x:c r="A12112" s="15" t="n">
        <x:v>45566</x:v>
      </x:c>
      <x:c r="B12112" s="13" t="str">
        <x:v>ALPARGATAS SA - PREF</x:v>
      </x:c>
      <x:c r="C12112" s="16" t="n">
        <x:v>413.1899189918</x:v>
      </x:c>
      <x:c r="D12112" s="13" t="str">
        <x:v>Retail</x:v>
      </x:c>
      <x:c r="E12112" s="13" t="str">
        <x:v>Retail</x:v>
      </x:c>
      <x:c r="F12112" s="13" t="str">
        <x:v>Early Cyclicals</x:v>
      </x:c>
      <x:c r="G12112" s="13" t="str">
        <x:v>grid_wbaxp5t0.xlsx</x:v>
      </x:c>
    </x:row>
    <x:row r="12113">
      <x:c r="A12113" s="15" t="n">
        <x:v>45566</x:v>
      </x:c>
      <x:c r="B12113" s="13" t="str">
        <x:v>ATACADAO SA</x:v>
      </x:c>
      <x:c r="C12113" s="16" t="n">
        <x:v>1559.221088263</x:v>
      </x:c>
      <x:c r="D12113" s="13" t="str">
        <x:v>Retail</x:v>
      </x:c>
      <x:c r="E12113" s="13" t="str">
        <x:v>Retail</x:v>
      </x:c>
      <x:c r="F12113" s="13" t="str">
        <x:v>Early Cyclicals</x:v>
      </x:c>
      <x:c r="G12113" s="13" t="str">
        <x:v>grid_wbaxp5t0.xlsx</x:v>
      </x:c>
    </x:row>
    <x:row r="12114">
      <x:c r="A12114" s="15" t="n">
        <x:v>45566</x:v>
      </x:c>
      <x:c r="B12114" s="13" t="str">
        <x:v>AZZAS 2154 SA</x:v>
      </x:c>
      <x:c r="C12114" s="16" t="n">
        <x:v>743.0943552877</x:v>
      </x:c>
      <x:c r="D12114" s="13" t="str">
        <x:v>Retail</x:v>
      </x:c>
      <x:c r="E12114" s="13" t="str">
        <x:v>Retail</x:v>
      </x:c>
      <x:c r="F12114" s="13" t="str">
        <x:v>Early Cyclicals</x:v>
      </x:c>
      <x:c r="G12114" s="13" t="str">
        <x:v>grid_wbaxp5t0.xlsx</x:v>
      </x:c>
    </x:row>
    <x:row r="12115">
      <x:c r="A12115" s="15" t="n">
        <x:v>45566</x:v>
      </x:c>
      <x:c r="B12115" s="13" t="str">
        <x:v>CIA BRASILEIRA DE DISTRIBUIC</x:v>
      </x:c>
      <x:c r="C12115" s="16" t="n">
        <x:v>-420.7361448329</x:v>
      </x:c>
      <x:c r="D12115" s="13" t="str">
        <x:v>Retail</x:v>
      </x:c>
      <x:c r="E12115" s="13" t="str">
        <x:v>Retail</x:v>
      </x:c>
      <x:c r="F12115" s="13" t="str">
        <x:v>Early Cyclicals</x:v>
      </x:c>
      <x:c r="G12115" s="13" t="str">
        <x:v>grid_wbaxp5t0.xlsx</x:v>
      </x:c>
    </x:row>
    <x:row r="12116">
      <x:c r="A12116" s="15" t="n">
        <x:v>45566</x:v>
      </x:c>
      <x:c r="B12116" s="13" t="str">
        <x:v>CVC BRASIL OPERADORA E AGENC</x:v>
      </x:c>
      <x:c r="C12116" s="16" t="n">
        <x:v>42.5757021918</x:v>
      </x:c>
      <x:c r="D12116" s="13" t="str">
        <x:v>Retail</x:v>
      </x:c>
      <x:c r="E12116" s="13" t="str">
        <x:v>Retail</x:v>
      </x:c>
      <x:c r="F12116" s="13" t="str">
        <x:v>Early Cyclicals</x:v>
      </x:c>
      <x:c r="G12116" s="13" t="str">
        <x:v>grid_wbaxp5t0.xlsx</x:v>
      </x:c>
    </x:row>
    <x:row r="12117">
      <x:c r="A12117" s="15" t="n">
        <x:v>45566</x:v>
      </x:c>
      <x:c r="B12117" s="13" t="str">
        <x:v>LOJAS RENNER S.A.</x:v>
      </x:c>
      <x:c r="C12117" s="16" t="n">
        <x:v>1470.3468379178</x:v>
      </x:c>
      <x:c r="D12117" s="13" t="str">
        <x:v>Retail</x:v>
      </x:c>
      <x:c r="E12117" s="13" t="str">
        <x:v>Retail</x:v>
      </x:c>
      <x:c r="F12117" s="13" t="str">
        <x:v>Early Cyclicals</x:v>
      </x:c>
      <x:c r="G12117" s="13" t="str">
        <x:v>grid_wbaxp5t0.xlsx</x:v>
      </x:c>
    </x:row>
    <x:row r="12118">
      <x:c r="A12118" s="15" t="n">
        <x:v>45566</x:v>
      </x:c>
      <x:c r="B12118" s="13" t="str">
        <x:v>MAGAZINE LUIZA SA</x:v>
      </x:c>
      <x:c r="C12118" s="16" t="n">
        <x:v>472.5132042959</x:v>
      </x:c>
      <x:c r="D12118" s="13" t="str">
        <x:v>Retail</x:v>
      </x:c>
      <x:c r="E12118" s="13" t="str">
        <x:v>Retail</x:v>
      </x:c>
      <x:c r="F12118" s="13" t="str">
        <x:v>Early Cyclicals</x:v>
      </x:c>
      <x:c r="G12118" s="13" t="str">
        <x:v>grid_wbaxp5t0.xlsx</x:v>
      </x:c>
    </x:row>
    <x:row r="12119">
      <x:c r="A12119" s="15" t="n">
        <x:v>45566</x:v>
      </x:c>
      <x:c r="B12119" s="13" t="str">
        <x:v>NATURA &amp;CO HOLDING SA</x:v>
      </x:c>
      <x:c r="C12119" s="16" t="n">
        <x:v>928.9061049863</x:v>
      </x:c>
      <x:c r="D12119" s="13" t="str">
        <x:v>Retail</x:v>
      </x:c>
      <x:c r="E12119" s="13" t="str">
        <x:v>Retail</x:v>
      </x:c>
      <x:c r="F12119" s="13" t="str">
        <x:v>Early Cyclicals</x:v>
      </x:c>
      <x:c r="G12119" s="13" t="str">
        <x:v>grid_wbaxp5t0.xlsx</x:v>
      </x:c>
    </x:row>
    <x:row r="12120">
      <x:c r="A12120" s="15" t="n">
        <x:v>45566</x:v>
      </x:c>
      <x:c r="B12120" s="13" t="str">
        <x:v>PET CENTER COMERCIO E PARTIC</x:v>
      </x:c>
      <x:c r="C12120" s="16" t="n">
        <x:v>87.3768624658</x:v>
      </x:c>
      <x:c r="D12120" s="13" t="str">
        <x:v>Retail</x:v>
      </x:c>
      <x:c r="E12120" s="13" t="str">
        <x:v>Retail</x:v>
      </x:c>
      <x:c r="F12120" s="13" t="str">
        <x:v>Early Cyclicals</x:v>
      </x:c>
      <x:c r="G12120" s="13" t="str">
        <x:v>grid_wbaxp5t0.xlsx</x:v>
      </x:c>
    </x:row>
    <x:row r="12121">
      <x:c r="A12121" s="15" t="n">
        <x:v>45566</x:v>
      </x:c>
      <x:c r="B12121" s="13" t="str">
        <x:v>RAIA DROGASIL SA</x:v>
      </x:c>
      <x:c r="C12121" s="16" t="n">
        <x:v>1455.5094566575</x:v>
      </x:c>
      <x:c r="D12121" s="13" t="str">
        <x:v>Retail</x:v>
      </x:c>
      <x:c r="E12121" s="13" t="str">
        <x:v>Retail</x:v>
      </x:c>
      <x:c r="F12121" s="13" t="str">
        <x:v>Early Cyclicals</x:v>
      </x:c>
      <x:c r="G12121" s="13" t="str">
        <x:v>grid_wbaxp5t0.xlsx</x:v>
      </x:c>
    </x:row>
    <x:row r="12122">
      <x:c r="A12122" s="15" t="n">
        <x:v>45566</x:v>
      </x:c>
      <x:c r="B12122" s="13" t="str">
        <x:v>SENDAS DISTRIBUIDORA SA</x:v>
      </x:c>
      <x:c r="C12122" s="16" t="n">
        <x:v>848.628896789</x:v>
      </x:c>
      <x:c r="D12122" s="13" t="str">
        <x:v>Retail</x:v>
      </x:c>
      <x:c r="E12122" s="13" t="str">
        <x:v>Retail</x:v>
      </x:c>
      <x:c r="F12122" s="13" t="str">
        <x:v>Early Cyclicals</x:v>
      </x:c>
      <x:c r="G12122" s="13" t="str">
        <x:v>grid_wbaxp5t0.xlsx</x:v>
      </x:c>
    </x:row>
    <x:row r="12123">
      <x:c r="A12123" s="15" t="n">
        <x:v>45566</x:v>
      </x:c>
      <x:c r="B12123" s="13" t="str">
        <x:v>VIVARA PARTICIPACOES SA</x:v>
      </x:c>
      <x:c r="C12123" s="16" t="n">
        <x:v>546.5087937753</x:v>
      </x:c>
      <x:c r="D12123" s="13" t="str">
        <x:v>Retail</x:v>
      </x:c>
      <x:c r="E12123" s="13" t="str">
        <x:v>Retail</x:v>
      </x:c>
      <x:c r="F12123" s="13" t="str">
        <x:v>Early Cyclicals</x:v>
      </x:c>
      <x:c r="G12123" s="13" t="str">
        <x:v>grid_wbaxp5t0.xlsx</x:v>
      </x:c>
    </x:row>
    <x:row r="12124">
      <x:c r="A12124" s="15" t="n">
        <x:v>45566</x:v>
      </x:c>
      <x:c r="B12124" s="13" t="str">
        <x:v>CIA SANEAMENTO BASICO DE SP</x:v>
      </x:c>
      <x:c r="C12124" s="16" t="n">
        <x:v>4637.2770268931</x:v>
      </x:c>
      <x:c r="D12124" s="13" t="str">
        <x:v>Sanitation</x:v>
      </x:c>
      <x:c r="E12124" s="13" t="str">
        <x:v>Utilities</x:v>
      </x:c>
      <x:c r="F12124" s="13" t="str">
        <x:v>Defensives</x:v>
      </x:c>
      <x:c r="G12124" s="13" t="str">
        <x:v>grid_wbaxp5t0.xlsx</x:v>
      </x:c>
    </x:row>
    <x:row r="12125">
      <x:c r="A12125" s="15" t="n">
        <x:v>45566</x:v>
      </x:c>
      <x:c r="B12125" s="13" t="str">
        <x:v>LWSA SA</x:v>
      </x:c>
      <x:c r="C12125" s="16" t="n">
        <x:v>151.1463068493</x:v>
      </x:c>
      <x:c r="D12125" s="13" t="str">
        <x:v>TMT</x:v>
      </x:c>
      <x:c r="E12125" s="13" t="str">
        <x:v>TMT</x:v>
      </x:c>
      <x:c r="F12125" s="13" t="str">
        <x:v>Early Cyclicals</x:v>
      </x:c>
      <x:c r="G12125" s="13" t="str">
        <x:v>grid_wbaxp5t0.xlsx</x:v>
      </x:c>
    </x:row>
    <x:row r="12126">
      <x:c r="A12126" s="15" t="n">
        <x:v>45566</x:v>
      </x:c>
      <x:c r="B12126" s="13" t="str">
        <x:v>TIM SA</x:v>
      </x:c>
      <x:c r="C12126" s="16" t="n">
        <x:v>3854.8142199233</x:v>
      </x:c>
      <x:c r="D12126" s="13" t="str">
        <x:v>TMT</x:v>
      </x:c>
      <x:c r="E12126" s="13" t="str">
        <x:v>TMT</x:v>
      </x:c>
      <x:c r="F12126" s="13" t="str">
        <x:v>Early Cyclicals</x:v>
      </x:c>
      <x:c r="G12126" s="13" t="str">
        <x:v>grid_wbaxp5t0.xlsx</x:v>
      </x:c>
    </x:row>
    <x:row r="12127">
      <x:c r="A12127" s="15" t="n">
        <x:v>45566</x:v>
      </x:c>
      <x:c r="B12127" s="13" t="str">
        <x:v>TOTVS SA</x:v>
      </x:c>
      <x:c r="C12127" s="16" t="n">
        <x:v>821.6953691178</x:v>
      </x:c>
      <x:c r="D12127" s="13" t="str">
        <x:v>TMT</x:v>
      </x:c>
      <x:c r="E12127" s="13" t="str">
        <x:v>TMT</x:v>
      </x:c>
      <x:c r="F12127" s="13" t="str">
        <x:v>Early Cyclicals</x:v>
      </x:c>
      <x:c r="G12127" s="13" t="str">
        <x:v>grid_wbaxp5t0.xlsx</x:v>
      </x:c>
    </x:row>
    <x:row r="12128">
      <x:c r="A12128" s="15" t="n">
        <x:v>45566</x:v>
      </x:c>
      <x:c r="B12128" s="13" t="str">
        <x:v>AZUL SA</x:v>
      </x:c>
      <x:c r="C12128" s="16" t="n">
        <x:v>-684.6150810301</x:v>
      </x:c>
      <x:c r="D12128" s="13" t="str">
        <x:v>Transportation</x:v>
      </x:c>
      <x:c r="E12128" s="13" t="str">
        <x:v>Transportation</x:v>
      </x:c>
      <x:c r="F12128" s="13" t="str">
        <x:v>Deep Cyclicals</x:v>
      </x:c>
      <x:c r="G12128" s="13" t="str">
        <x:v>grid_wbaxp5t0.xlsx</x:v>
      </x:c>
    </x:row>
    <x:row r="12129">
      <x:c r="A12129" s="15" t="n">
        <x:v>45566</x:v>
      </x:c>
      <x:c r="B12129" s="13" t="str">
        <x:v>LOCALIZA RENT A CAR</x:v>
      </x:c>
      <x:c r="C12129" s="16" t="n">
        <x:v>3336.3448604055</x:v>
      </x:c>
      <x:c r="D12129" s="13" t="str">
        <x:v>Transportation</x:v>
      </x:c>
      <x:c r="E12129" s="13" t="str">
        <x:v>Transportation</x:v>
      </x:c>
      <x:c r="F12129" s="13" t="str">
        <x:v>Deep Cyclicals</x:v>
      </x:c>
      <x:c r="G12129" s="13" t="str">
        <x:v>grid_wbaxp5t0.xlsx</x:v>
      </x:c>
    </x:row>
    <x:row r="12130">
      <x:c r="A12130" s="15" t="n">
        <x:v>45566</x:v>
      </x:c>
      <x:c r="B12130" s="13" t="str">
        <x:v>MOTIVA INFRAESTRUTURA DE MOB</x:v>
      </x:c>
      <x:c r="C12130" s="16" t="n">
        <x:v>1815.3446308822</x:v>
      </x:c>
      <x:c r="D12130" s="13" t="str">
        <x:v>Transportation</x:v>
      </x:c>
      <x:c r="E12130" s="13" t="str">
        <x:v>Transportation</x:v>
      </x:c>
      <x:c r="F12130" s="13" t="str">
        <x:v>Deep Cyclicals</x:v>
      </x:c>
      <x:c r="G12130" s="13" t="str">
        <x:v>grid_wbaxp5t0.xlsx</x:v>
      </x:c>
    </x:row>
    <x:row r="12131">
      <x:c r="A12131" s="15" t="n">
        <x:v>45566</x:v>
      </x:c>
      <x:c r="B12131" s="13" t="str">
        <x:v>RUMO SA</x:v>
      </x:c>
      <x:c r="C12131" s="16" t="n">
        <x:v>2640.5426898411</x:v>
      </x:c>
      <x:c r="D12131" s="13" t="str">
        <x:v>Transportation</x:v>
      </x:c>
      <x:c r="E12131" s="13" t="str">
        <x:v>Transportation</x:v>
      </x:c>
      <x:c r="F12131" s="13" t="str">
        <x:v>Deep Cyclicals</x:v>
      </x:c>
      <x:c r="G12131" s="13" t="str">
        <x:v>grid_wbaxp5t0.xlsx</x:v>
      </x:c>
    </x:row>
    <x:row r="12132">
      <x:c r="A12132" s="15" t="n">
        <x:v>45566</x:v>
      </x:c>
      <x:c r="B12132" s="13" t="str">
        <x:v>SANTOS BRASIL PARTICIPACOES</x:v>
      </x:c>
      <x:c r="C12132" s="16" t="n">
        <x:v>861.4130805479</x:v>
      </x:c>
      <x:c r="D12132" s="13" t="str">
        <x:v>Transportation</x:v>
      </x:c>
      <x:c r="E12132" s="13" t="str">
        <x:v>Transportation</x:v>
      </x:c>
      <x:c r="F12132" s="13" t="str">
        <x:v>Deep Cyclicals</x:v>
      </x:c>
      <x:c r="G12132" s="13" t="str">
        <x:v>grid_wbaxp5t0.xlsx</x:v>
      </x:c>
    </x:row>
    <x:row r="12133">
      <x:c r="A12133" s="15" t="n">
        <x:v>45566</x:v>
      </x:c>
      <x:c r="B12133" s="13" t="str">
        <x:v>VAMOS LOCACAO DE CAMINHOES M</x:v>
      </x:c>
      <x:c r="C12133" s="16" t="n">
        <x:v>1057.7316764055</x:v>
      </x:c>
      <x:c r="D12133" s="13" t="str">
        <x:v>Transportation</x:v>
      </x:c>
      <x:c r="E12133" s="13" t="str">
        <x:v>Transportation</x:v>
      </x:c>
      <x:c r="F12133" s="13" t="str">
        <x:v>Deep Cyclicals</x:v>
      </x:c>
      <x:c r="G12133" s="13" t="str">
        <x:v>grid_wbaxp5t0.xlsx</x:v>
      </x:c>
    </x:row>
    <x:row r="12134">
      <x:c r="A12134" s="15" t="n">
        <x:v>45566</x:v>
      </x:c>
      <x:c r="B12134" s="13" t="str">
        <x:v>AUREN ENERGIA SA - ON</x:v>
      </x:c>
      <x:c r="C12134" s="16" t="n">
        <x:v>711.3528767123</x:v>
      </x:c>
      <x:c r="D12134" s="13" t="str">
        <x:v>Utilities &amp; Energy</x:v>
      </x:c>
      <x:c r="E12134" s="13" t="str">
        <x:v>Utilities</x:v>
      </x:c>
      <x:c r="F12134" s="13" t="str">
        <x:v>Defensives</x:v>
      </x:c>
      <x:c r="G12134" s="13" t="str">
        <x:v>grid_wbaxp5t0.xlsx</x:v>
      </x:c>
    </x:row>
    <x:row r="12135">
      <x:c r="A12135" s="15" t="n">
        <x:v>45566</x:v>
      </x:c>
      <x:c r="B12135" s="13" t="str">
        <x:v>AXIA ENERGIA SA</x:v>
      </x:c>
      <x:c r="C12135" s="16" t="n">
        <x:v>9306.0697831452</x:v>
      </x:c>
      <x:c r="D12135" s="13" t="str">
        <x:v>Utilities &amp; Energy</x:v>
      </x:c>
      <x:c r="E12135" s="13" t="str">
        <x:v>Utilities</x:v>
      </x:c>
      <x:c r="F12135" s="13" t="str">
        <x:v>Defensives</x:v>
      </x:c>
      <x:c r="G12135" s="13" t="str">
        <x:v>grid_wbaxp5t0.xlsx</x:v>
      </x:c>
    </x:row>
    <x:row r="12136">
      <x:c r="A12136" s="15" t="n">
        <x:v>45566</x:v>
      </x:c>
      <x:c r="B12136" s="13" t="str">
        <x:v>AXIA ENERGIA-PR B</x:v>
      </x:c>
      <x:c r="C12136" s="16" t="n">
        <x:v>9306.0697831452</x:v>
      </x:c>
      <x:c r="D12136" s="13" t="str">
        <x:v>Utilities &amp; Energy</x:v>
      </x:c>
      <x:c r="E12136" s="13" t="str">
        <x:v>Utilities</x:v>
      </x:c>
      <x:c r="F12136" s="13" t="str">
        <x:v>Defensives</x:v>
      </x:c>
      <x:c r="G12136" s="13" t="str">
        <x:v>grid_wbaxp5t0.xlsx</x:v>
      </x:c>
    </x:row>
    <x:row r="12137">
      <x:c r="A12137" s="15" t="n">
        <x:v>45566</x:v>
      </x:c>
      <x:c r="B12137" s="13" t="str">
        <x:v>CIA ENERGETICA MINAS GER-PRF</x:v>
      </x:c>
      <x:c r="C12137" s="16" t="n">
        <x:v>4559.1449810411</x:v>
      </x:c>
      <x:c r="D12137" s="13" t="str">
        <x:v>Utilities &amp; Energy</x:v>
      </x:c>
      <x:c r="E12137" s="13" t="str">
        <x:v>Utilities</x:v>
      </x:c>
      <x:c r="F12137" s="13" t="str">
        <x:v>Defensives</x:v>
      </x:c>
      <x:c r="G12137" s="13" t="str">
        <x:v>grid_wbaxp5t0.xlsx</x:v>
      </x:c>
    </x:row>
    <x:row r="12138">
      <x:c r="A12138" s="15" t="n">
        <x:v>45566</x:v>
      </x:c>
      <x:c r="B12138" s="13" t="str">
        <x:v>COMPANHIA PARANAENSE -PREF B</x:v>
      </x:c>
      <x:c r="C12138" s="16" t="n">
        <x:v>2250.9103054904</x:v>
      </x:c>
      <x:c r="D12138" s="13" t="str">
        <x:v>Utilities &amp; Energy</x:v>
      </x:c>
      <x:c r="E12138" s="13" t="str">
        <x:v>Utilities</x:v>
      </x:c>
      <x:c r="F12138" s="13" t="str">
        <x:v>Defensives</x:v>
      </x:c>
      <x:c r="G12138" s="13" t="str">
        <x:v>grid_wbaxp5t0.xlsx</x:v>
      </x:c>
    </x:row>
    <x:row r="12139">
      <x:c r="A12139" s="15" t="n">
        <x:v>45566</x:v>
      </x:c>
      <x:c r="B12139" s="13" t="str">
        <x:v>CPFL ENERGIA SA</x:v>
      </x:c>
      <x:c r="C12139" s="16" t="n">
        <x:v>5006.5715129863</x:v>
      </x:c>
      <x:c r="D12139" s="13" t="str">
        <x:v>Utilities &amp; Energy</x:v>
      </x:c>
      <x:c r="E12139" s="13" t="str">
        <x:v>Utilities</x:v>
      </x:c>
      <x:c r="F12139" s="13" t="str">
        <x:v>Defensives</x:v>
      </x:c>
      <x:c r="G12139" s="13" t="str">
        <x:v>grid_wbaxp5t0.xlsx</x:v>
      </x:c>
    </x:row>
    <x:row r="12140">
      <x:c r="A12140" s="15" t="n">
        <x:v>45566</x:v>
      </x:c>
      <x:c r="B12140" s="13" t="str">
        <x:v>ENERGISA SA-UNITS</x:v>
      </x:c>
      <x:c r="C12140" s="16" t="n">
        <x:v>2247.4008463781</x:v>
      </x:c>
      <x:c r="D12140" s="13" t="str">
        <x:v>Utilities &amp; Energy</x:v>
      </x:c>
      <x:c r="E12140" s="13" t="str">
        <x:v>Utilities</x:v>
      </x:c>
      <x:c r="F12140" s="13" t="str">
        <x:v>Defensives</x:v>
      </x:c>
      <x:c r="G12140" s="13" t="str">
        <x:v>grid_wbaxp5t0.xlsx</x:v>
      </x:c>
    </x:row>
    <x:row r="12141">
      <x:c r="A12141" s="15" t="n">
        <x:v>45566</x:v>
      </x:c>
      <x:c r="B12141" s="13" t="str">
        <x:v>ENEVA SA</x:v>
      </x:c>
      <x:c r="C12141" s="16" t="n">
        <x:v>1388.5028078466</x:v>
      </x:c>
      <x:c r="D12141" s="13" t="str">
        <x:v>Utilities &amp; Energy</x:v>
      </x:c>
      <x:c r="E12141" s="13" t="str">
        <x:v>Utilities</x:v>
      </x:c>
      <x:c r="F12141" s="13" t="str">
        <x:v>Defensives</x:v>
      </x:c>
      <x:c r="G12141" s="13" t="str">
        <x:v>grid_wbaxp5t0.xlsx</x:v>
      </x:c>
    </x:row>
    <x:row r="12142">
      <x:c r="A12142" s="15" t="n">
        <x:v>45566</x:v>
      </x:c>
      <x:c r="B12142" s="13" t="str">
        <x:v>ENGIE BRASIL ENERGIA SA</x:v>
      </x:c>
      <x:c r="C12142" s="16" t="n">
        <x:v>3742.1419660274</x:v>
      </x:c>
      <x:c r="D12142" s="13" t="str">
        <x:v>Utilities &amp; Energy</x:v>
      </x:c>
      <x:c r="E12142" s="13" t="str">
        <x:v>Utilities</x:v>
      </x:c>
      <x:c r="F12142" s="13" t="str">
        <x:v>Defensives</x:v>
      </x:c>
      <x:c r="G12142" s="13" t="str">
        <x:v>grid_wbaxp5t0.xlsx</x:v>
      </x:c>
    </x:row>
    <x:row r="12143">
      <x:c r="A12143" s="15" t="n">
        <x:v>45566</x:v>
      </x:c>
      <x:c r="B12143" s="13" t="str">
        <x:v>EQUATORIAL SA - ORD</x:v>
      </x:c>
      <x:c r="C12143" s="16" t="n">
        <x:v>3078.9830677041</x:v>
      </x:c>
      <x:c r="D12143" s="13" t="str">
        <x:v>Utilities &amp; Energy</x:v>
      </x:c>
      <x:c r="E12143" s="13" t="str">
        <x:v>Utilities</x:v>
      </x:c>
      <x:c r="F12143" s="13" t="str">
        <x:v>Defensives</x:v>
      </x:c>
      <x:c r="G12143" s="13" t="str">
        <x:v>grid_wbaxp5t0.xlsx</x:v>
      </x:c>
    </x:row>
    <x:row r="12144">
      <x:c r="A12144" s="15" t="n">
        <x:v>45566</x:v>
      </x:c>
      <x:c r="B12144" s="13" t="str">
        <x:v>ISA ENERGIA BRASIL SA</x:v>
      </x:c>
      <x:c r="C12144" s="16" t="n">
        <x:v>1646.2461990575</x:v>
      </x:c>
      <x:c r="D12144" s="13" t="str">
        <x:v>Utilities &amp; Energy</x:v>
      </x:c>
      <x:c r="E12144" s="13" t="str">
        <x:v>Utilities</x:v>
      </x:c>
      <x:c r="F12144" s="13" t="str">
        <x:v>Defensives</x:v>
      </x:c>
      <x:c r="G12144" s="13" t="str">
        <x:v>grid_wbaxp5t0.xlsx</x:v>
      </x:c>
    </x:row>
    <x:row r="12145">
      <x:c r="A12145" s="15" t="n">
        <x:v>45566</x:v>
      </x:c>
      <x:c r="B12145" s="13" t="str">
        <x:v>TRANSMISSORA ALIANCA DE-UNIT</x:v>
      </x:c>
      <x:c r="C12145" s="16" t="n">
        <x:v>1143.2282872986</x:v>
      </x:c>
      <x:c r="D12145" s="13" t="str">
        <x:v>Utilities &amp; Energy</x:v>
      </x:c>
      <x:c r="E12145" s="13" t="str">
        <x:v>Utilities</x:v>
      </x:c>
      <x:c r="F12145" s="13" t="str">
        <x:v>Defensives</x:v>
      </x:c>
      <x:c r="G12145" s="13" t="str">
        <x:v>grid_wbaxp5t0.xlsx</x:v>
      </x:c>
    </x:row>
    <x:row r="12146">
      <x:c r="A12146" s="15" t="n">
        <x:v>45597</x:v>
      </x:c>
      <x:c r="B12146" s="13" t="str">
        <x:v>RAIZEN SA - PREFERENCE</x:v>
      </x:c>
      <x:c r="C12146" s="16" t="n">
        <x:v>3524.4266797589</x:v>
      </x:c>
      <x:c r="D12146" s="13" t="str">
        <x:v>Agribusiness</x:v>
      </x:c>
      <x:c r="E12146" s="13" t="str">
        <x:v>Agri, Food &amp; Beverages</x:v>
      </x:c>
      <x:c r="F12146" s="13" t="str">
        <x:v>Defensives</x:v>
      </x:c>
      <x:c r="G12146" s="13" t="str">
        <x:v>grid_wbaxp5t0.xlsx</x:v>
      </x:c>
    </x:row>
    <x:row r="12147">
      <x:c r="A12147" s="15" t="n">
        <x:v>45597</x:v>
      </x:c>
      <x:c r="B12147" s="13" t="str">
        <x:v>SAO MARTINHO SA</x:v>
      </x:c>
      <x:c r="C12147" s="16" t="n">
        <x:v>966.2102499945</x:v>
      </x:c>
      <x:c r="D12147" s="13" t="str">
        <x:v>Agribusiness</x:v>
      </x:c>
      <x:c r="E12147" s="13" t="str">
        <x:v>Agri, Food &amp; Beverages</x:v>
      </x:c>
      <x:c r="F12147" s="13" t="str">
        <x:v>Defensives</x:v>
      </x:c>
      <x:c r="G12147" s="13" t="str">
        <x:v>grid_wbaxp5t0.xlsx</x:v>
      </x:c>
    </x:row>
    <x:row r="12148">
      <x:c r="A12148" s="15" t="n">
        <x:v>45597</x:v>
      </x:c>
      <x:c r="B12148" s="13" t="str">
        <x:v>SLC AGRICOLA SA</x:v>
      </x:c>
      <x:c r="C12148" s="16" t="n">
        <x:v>883.3279351233</x:v>
      </x:c>
      <x:c r="D12148" s="13" t="str">
        <x:v>Agribusiness</x:v>
      </x:c>
      <x:c r="E12148" s="13" t="str">
        <x:v>Agri, Food &amp; Beverages</x:v>
      </x:c>
      <x:c r="F12148" s="13" t="str">
        <x:v>Defensives</x:v>
      </x:c>
      <x:c r="G12148" s="13" t="str">
        <x:v>grid_wbaxp5t0.xlsx</x:v>
      </x:c>
    </x:row>
    <x:row r="12149">
      <x:c r="A12149" s="15" t="n">
        <x:v>45597</x:v>
      </x:c>
      <x:c r="B12149" s="13" t="str">
        <x:v>BANCO BRADESCO S.A.</x:v>
      </x:c>
      <x:c r="C12149" s="16" t="n">
        <x:v>23947.7616022795</x:v>
      </x:c>
      <x:c r="D12149" s="13" t="str">
        <x:v>Banks</x:v>
      </x:c>
      <x:c r="E12149" s="13" t="str">
        <x:v>Banks</x:v>
      </x:c>
      <x:c r="F12149" s="13" t="str">
        <x:v>Financials</x:v>
      </x:c>
      <x:c r="G12149" s="13" t="str">
        <x:v>grid_wbaxp5t0.xlsx</x:v>
      </x:c>
    </x:row>
    <x:row r="12150">
      <x:c r="A12150" s="15" t="n">
        <x:v>45597</x:v>
      </x:c>
      <x:c r="B12150" s="13" t="str">
        <x:v>BANCO BRADESCO SA-PREF</x:v>
      </x:c>
      <x:c r="C12150" s="16" t="n">
        <x:v>23947.7616022795</x:v>
      </x:c>
      <x:c r="D12150" s="13" t="str">
        <x:v>Banks</x:v>
      </x:c>
      <x:c r="E12150" s="13" t="str">
        <x:v>Banks</x:v>
      </x:c>
      <x:c r="F12150" s="13" t="str">
        <x:v>Financials</x:v>
      </x:c>
      <x:c r="G12150" s="13" t="str">
        <x:v>grid_wbaxp5t0.xlsx</x:v>
      </x:c>
    </x:row>
    <x:row r="12151">
      <x:c r="A12151" s="15" t="n">
        <x:v>45597</x:v>
      </x:c>
      <x:c r="B12151" s="13" t="str">
        <x:v>BANCO BTG PACTUAL SA-UNIT</x:v>
      </x:c>
      <x:c r="C12151" s="16" t="n">
        <x:v>14129.6004643068</x:v>
      </x:c>
      <x:c r="D12151" s="13" t="str">
        <x:v>Banks</x:v>
      </x:c>
      <x:c r="E12151" s="13" t="str">
        <x:v>Banks</x:v>
      </x:c>
      <x:c r="F12151" s="13" t="str">
        <x:v>Financials</x:v>
      </x:c>
      <x:c r="G12151" s="13" t="str">
        <x:v>grid_wbaxp5t0.xlsx</x:v>
      </x:c>
    </x:row>
    <x:row r="12152">
      <x:c r="A12152" s="15" t="n">
        <x:v>45597</x:v>
      </x:c>
      <x:c r="B12152" s="13" t="str">
        <x:v>BANCO DO BRASIL S.A.</x:v>
      </x:c>
      <x:c r="C12152" s="16" t="n">
        <x:v>39161.0525106849</x:v>
      </x:c>
      <x:c r="D12152" s="13" t="str">
        <x:v>Banks</x:v>
      </x:c>
      <x:c r="E12152" s="13" t="str">
        <x:v>Banks</x:v>
      </x:c>
      <x:c r="F12152" s="13" t="str">
        <x:v>Financials</x:v>
      </x:c>
      <x:c r="G12152" s="13" t="str">
        <x:v>grid_wbaxp5t0.xlsx</x:v>
      </x:c>
    </x:row>
    <x:row r="12153">
      <x:c r="A12153" s="15" t="n">
        <x:v>45597</x:v>
      </x:c>
      <x:c r="B12153" s="13" t="str">
        <x:v>BANCO SANTANDER  BRASIL-UNIT</x:v>
      </x:c>
      <x:c r="C12153" s="16" t="n">
        <x:v>16139.4420890301</x:v>
      </x:c>
      <x:c r="D12153" s="13" t="str">
        <x:v>Banks</x:v>
      </x:c>
      <x:c r="E12153" s="13" t="str">
        <x:v>Banks</x:v>
      </x:c>
      <x:c r="F12153" s="13" t="str">
        <x:v>Financials</x:v>
      </x:c>
      <x:c r="G12153" s="13" t="str">
        <x:v>grid_wbaxp5t0.xlsx</x:v>
      </x:c>
    </x:row>
    <x:row r="12154">
      <x:c r="A12154" s="15" t="n">
        <x:v>45597</x:v>
      </x:c>
      <x:c r="B12154" s="13" t="str">
        <x:v>ITAU UNIBANCO HOLDING S-PREF</x:v>
      </x:c>
      <x:c r="C12154" s="16" t="n">
        <x:v>45152.7550050192</x:v>
      </x:c>
      <x:c r="D12154" s="13" t="str">
        <x:v>Banks</x:v>
      </x:c>
      <x:c r="E12154" s="13" t="str">
        <x:v>Banks</x:v>
      </x:c>
      <x:c r="F12154" s="13" t="str">
        <x:v>Financials</x:v>
      </x:c>
      <x:c r="G12154" s="13" t="str">
        <x:v>grid_wbaxp5t0.xlsx</x:v>
      </x:c>
    </x:row>
    <x:row r="12155">
      <x:c r="A12155" s="15" t="n">
        <x:v>45597</x:v>
      </x:c>
      <x:c r="B12155" s="13" t="str">
        <x:v>EMBRAER SA</x:v>
      </x:c>
      <x:c r="C12155" s="16" t="n">
        <x:v>1970.7264827616</x:v>
      </x:c>
      <x:c r="D12155" s="13" t="str">
        <x:v>Capital Goods</x:v>
      </x:c>
      <x:c r="E12155" s="13" t="str">
        <x:v>Capital Goods</x:v>
      </x:c>
      <x:c r="F12155" s="13" t="str">
        <x:v>Deep Cyclicals</x:v>
      </x:c>
      <x:c r="G12155" s="13" t="str">
        <x:v>grid_wbaxp5t0.xlsx</x:v>
      </x:c>
    </x:row>
    <x:row r="12156">
      <x:c r="A12156" s="15" t="n">
        <x:v>45597</x:v>
      </x:c>
      <x:c r="B12156" s="13" t="str">
        <x:v>WEG SA</x:v>
      </x:c>
      <x:c r="C12156" s="16" t="n">
        <x:v>7213.165298674</x:v>
      </x:c>
      <x:c r="D12156" s="13" t="str">
        <x:v>Capital Goods</x:v>
      </x:c>
      <x:c r="E12156" s="13" t="str">
        <x:v>Capital Goods</x:v>
      </x:c>
      <x:c r="F12156" s="13" t="str">
        <x:v>Deep Cyclicals</x:v>
      </x:c>
      <x:c r="G12156" s="13" t="str">
        <x:v>grid_wbaxp5t0.xlsx</x:v>
      </x:c>
    </x:row>
    <x:row r="12157">
      <x:c r="A12157" s="15" t="n">
        <x:v>45597</x:v>
      </x:c>
      <x:c r="B12157" s="13" t="str">
        <x:v>COGNA EDUCACAO</x:v>
      </x:c>
      <x:c r="C12157" s="16" t="n">
        <x:v>397.4402739726</x:v>
      </x:c>
      <x:c r="D12157" s="13" t="str">
        <x:v>Education</x:v>
      </x:c>
      <x:c r="E12157" s="13" t="str">
        <x:v>Education</x:v>
      </x:c>
      <x:c r="F12157" s="13" t="str">
        <x:v>Early Cyclicals</x:v>
      </x:c>
      <x:c r="G12157" s="13" t="str">
        <x:v>grid_wbaxp5t0.xlsx</x:v>
      </x:c>
    </x:row>
    <x:row r="12158">
      <x:c r="A12158" s="15" t="n">
        <x:v>45597</x:v>
      </x:c>
      <x:c r="B12158" s="13" t="str">
        <x:v>YDUQS PARTICIPACOES SA</x:v>
      </x:c>
      <x:c r="C12158" s="16" t="n">
        <x:v>536.696300011</x:v>
      </x:c>
      <x:c r="D12158" s="13" t="str">
        <x:v>Education</x:v>
      </x:c>
      <x:c r="E12158" s="13" t="str">
        <x:v>Education</x:v>
      </x:c>
      <x:c r="F12158" s="13" t="str">
        <x:v>Early Cyclicals</x:v>
      </x:c>
      <x:c r="G12158" s="13" t="str">
        <x:v>grid_wbaxp5t0.xlsx</x:v>
      </x:c>
    </x:row>
    <x:row r="12159">
      <x:c r="A12159" s="15" t="n">
        <x:v>45597</x:v>
      </x:c>
      <x:c r="B12159" s="13" t="str">
        <x:v>B3 SA-BRASIL BOLSA BALCAO</x:v>
      </x:c>
      <x:c r="C12159" s="16" t="n">
        <x:v>5148.7828837699</x:v>
      </x:c>
      <x:c r="D12159" s="13" t="str">
        <x:v>Financials Non-Banks</x:v>
      </x:c>
      <x:c r="E12159" s="13" t="str">
        <x:v>Financials Non-Banks</x:v>
      </x:c>
      <x:c r="F12159" s="13" t="str">
        <x:v>Financials</x:v>
      </x:c>
      <x:c r="G12159" s="13" t="str">
        <x:v>grid_wbaxp5t0.xlsx</x:v>
      </x:c>
    </x:row>
    <x:row r="12160">
      <x:c r="A12160" s="15" t="n">
        <x:v>45597</x:v>
      </x:c>
      <x:c r="B12160" s="13" t="str">
        <x:v>BB SEGURIDADE PARTICIPACOES</x:v>
      </x:c>
      <x:c r="C12160" s="16" t="n">
        <x:v>8411.7187050959</x:v>
      </x:c>
      <x:c r="D12160" s="13" t="str">
        <x:v>Financials Non-Banks</x:v>
      </x:c>
      <x:c r="E12160" s="13" t="str">
        <x:v>Financials Non-Banks</x:v>
      </x:c>
      <x:c r="F12160" s="13" t="str">
        <x:v>Financials</x:v>
      </x:c>
      <x:c r="G12160" s="13" t="str">
        <x:v>grid_wbaxp5t0.xlsx</x:v>
      </x:c>
    </x:row>
    <x:row r="12161">
      <x:c r="A12161" s="15" t="n">
        <x:v>45597</x:v>
      </x:c>
      <x:c r="B12161" s="13" t="str">
        <x:v>CAIXA SEGURIDADE PARTICIPACO</x:v>
      </x:c>
      <x:c r="C12161" s="16" t="n">
        <x:v>4285.9620155616</x:v>
      </x:c>
      <x:c r="D12161" s="13" t="str">
        <x:v>Financials Non-Banks</x:v>
      </x:c>
      <x:c r="E12161" s="13" t="str">
        <x:v>Financials Non-Banks</x:v>
      </x:c>
      <x:c r="F12161" s="13" t="str">
        <x:v>Financials</x:v>
      </x:c>
      <x:c r="G12161" s="13" t="str">
        <x:v>grid_wbaxp5t0.xlsx</x:v>
      </x:c>
    </x:row>
    <x:row r="12162">
      <x:c r="A12162" s="15" t="n">
        <x:v>45597</x:v>
      </x:c>
      <x:c r="B12162" s="13" t="str">
        <x:v>IRB BRASIL RESSEGUROS SA</x:v>
      </x:c>
      <x:c r="C12162" s="16" t="n">
        <x:v>484.0508002192</x:v>
      </x:c>
      <x:c r="D12162" s="13" t="str">
        <x:v>Financials Non-Banks</x:v>
      </x:c>
      <x:c r="E12162" s="13" t="str">
        <x:v>Financials Non-Banks</x:v>
      </x:c>
      <x:c r="F12162" s="13" t="str">
        <x:v>Financials</x:v>
      </x:c>
      <x:c r="G12162" s="13" t="str">
        <x:v>grid_wbaxp5t0.xlsx</x:v>
      </x:c>
    </x:row>
    <x:row r="12163">
      <x:c r="A12163" s="15" t="n">
        <x:v>45597</x:v>
      </x:c>
      <x:c r="B12163" s="13" t="str">
        <x:v>ITAUSA SA</x:v>
      </x:c>
      <x:c r="C12163" s="16" t="n">
        <x:v>17307.6924892932</x:v>
      </x:c>
      <x:c r="D12163" s="13" t="str">
        <x:v>Financials Non-Banks</x:v>
      </x:c>
      <x:c r="E12163" s="13" t="str">
        <x:v>Financials Non-Banks</x:v>
      </x:c>
      <x:c r="F12163" s="13" t="str">
        <x:v>Financials</x:v>
      </x:c>
      <x:c r="G12163" s="13" t="str">
        <x:v>grid_wbaxp5t0.xlsx</x:v>
      </x:c>
    </x:row>
    <x:row r="12164">
      <x:c r="A12164" s="15" t="n">
        <x:v>45597</x:v>
      </x:c>
      <x:c r="B12164" s="13" t="str">
        <x:v>AMBEV SA</x:v>
      </x:c>
      <x:c r="C12164" s="16" t="n">
        <x:v>15588.703091726</x:v>
      </x:c>
      <x:c r="D12164" s="13" t="str">
        <x:v>Food &amp; Beverages</x:v>
      </x:c>
      <x:c r="E12164" s="13" t="str">
        <x:v>Agri, Food &amp; Beverages</x:v>
      </x:c>
      <x:c r="F12164" s="13" t="str">
        <x:v>Defensives</x:v>
      </x:c>
      <x:c r="G12164" s="13" t="str">
        <x:v>grid_wbaxp5t0.xlsx</x:v>
      </x:c>
    </x:row>
    <x:row r="12165">
      <x:c r="A12165" s="15" t="n">
        <x:v>45597</x:v>
      </x:c>
      <x:c r="B12165" s="13" t="str">
        <x:v>BRF SA</x:v>
      </x:c>
      <x:c r="C12165" s="16" t="n">
        <x:v>3395.2177292274</x:v>
      </x:c>
      <x:c r="D12165" s="13" t="str">
        <x:v>Food &amp; Beverages</x:v>
      </x:c>
      <x:c r="E12165" s="13" t="str">
        <x:v>Agri, Food &amp; Beverages</x:v>
      </x:c>
      <x:c r="F12165" s="13" t="str">
        <x:v>Defensives</x:v>
      </x:c>
      <x:c r="G12165" s="13" t="str">
        <x:v>grid_wbaxp5t0.xlsx</x:v>
      </x:c>
    </x:row>
    <x:row r="12166">
      <x:c r="A12166" s="15" t="n">
        <x:v>45597</x:v>
      </x:c>
      <x:c r="B12166" s="13" t="str">
        <x:v>MBRF GLOBAL FOODS COMPANY SA</x:v>
      </x:c>
      <x:c r="C12166" s="16" t="n">
        <x:v>303.2449258959</x:v>
      </x:c>
      <x:c r="D12166" s="13" t="str">
        <x:v>Food &amp; Beverages</x:v>
      </x:c>
      <x:c r="E12166" s="13" t="str">
        <x:v>Agri, Food &amp; Beverages</x:v>
      </x:c>
      <x:c r="F12166" s="13" t="str">
        <x:v>Defensives</x:v>
      </x:c>
      <x:c r="G12166" s="13" t="str">
        <x:v>grid_wbaxp5t0.xlsx</x:v>
      </x:c>
    </x:row>
    <x:row r="12167">
      <x:c r="A12167" s="15" t="n">
        <x:v>45597</x:v>
      </x:c>
      <x:c r="B12167" s="13" t="str">
        <x:v>MINERVA SA</x:v>
      </x:c>
      <x:c r="C12167" s="16" t="n">
        <x:v>459.1210958904</x:v>
      </x:c>
      <x:c r="D12167" s="13" t="str">
        <x:v>Food &amp; Beverages</x:v>
      </x:c>
      <x:c r="E12167" s="13" t="str">
        <x:v>Agri, Food &amp; Beverages</x:v>
      </x:c>
      <x:c r="F12167" s="13" t="str">
        <x:v>Defensives</x:v>
      </x:c>
      <x:c r="G12167" s="13" t="str">
        <x:v>grid_wbaxp5t0.xlsx</x:v>
      </x:c>
    </x:row>
    <x:row r="12168">
      <x:c r="A12168" s="15" t="n">
        <x:v>45597</x:v>
      </x:c>
      <x:c r="B12168" s="13" t="str">
        <x:v>FLEURY SA</x:v>
      </x:c>
      <x:c r="C12168" s="16" t="n">
        <x:v>743.4272024548</x:v>
      </x:c>
      <x:c r="D12168" s="13" t="str">
        <x:v>Health Care</x:v>
      </x:c>
      <x:c r="E12168" s="13" t="str">
        <x:v>Health Care</x:v>
      </x:c>
      <x:c r="F12168" s="13" t="str">
        <x:v>Defensives</x:v>
      </x:c>
      <x:c r="G12168" s="13" t="str">
        <x:v>grid_wbaxp5t0.xlsx</x:v>
      </x:c>
    </x:row>
    <x:row r="12169">
      <x:c r="A12169" s="15" t="n">
        <x:v>45597</x:v>
      </x:c>
      <x:c r="B12169" s="13" t="str">
        <x:v>HAPVIDA PARTICIPACOES E INVE</x:v>
      </x:c>
      <x:c r="C12169" s="16" t="n">
        <x:v>1777.9436670247</x:v>
      </x:c>
      <x:c r="D12169" s="13" t="str">
        <x:v>Health Care</x:v>
      </x:c>
      <x:c r="E12169" s="13" t="str">
        <x:v>Health Care</x:v>
      </x:c>
      <x:c r="F12169" s="13" t="str">
        <x:v>Defensives</x:v>
      </x:c>
      <x:c r="G12169" s="13" t="str">
        <x:v>grid_wbaxp5t0.xlsx</x:v>
      </x:c>
    </x:row>
    <x:row r="12170">
      <x:c r="A12170" s="15" t="n">
        <x:v>45597</x:v>
      </x:c>
      <x:c r="B12170" s="13" t="str">
        <x:v>HYPERA SA</x:v>
      </x:c>
      <x:c r="C12170" s="16" t="n">
        <x:v>1572.6556882411</x:v>
      </x:c>
      <x:c r="D12170" s="13" t="str">
        <x:v>Health Care</x:v>
      </x:c>
      <x:c r="E12170" s="13" t="str">
        <x:v>Health Care</x:v>
      </x:c>
      <x:c r="F12170" s="13" t="str">
        <x:v>Defensives</x:v>
      </x:c>
      <x:c r="G12170" s="13" t="str">
        <x:v>grid_wbaxp5t0.xlsx</x:v>
      </x:c>
    </x:row>
    <x:row r="12171">
      <x:c r="A12171" s="15" t="n">
        <x:v>45597</x:v>
      </x:c>
      <x:c r="B12171" s="13" t="str">
        <x:v>REDE D'OR SAO LUIZ SA</x:v>
      </x:c>
      <x:c r="C12171" s="16" t="n">
        <x:v>4253.9084673753</x:v>
      </x:c>
      <x:c r="D12171" s="13" t="str">
        <x:v>Health Care</x:v>
      </x:c>
      <x:c r="E12171" s="13" t="str">
        <x:v>Health Care</x:v>
      </x:c>
      <x:c r="F12171" s="13" t="str">
        <x:v>Defensives</x:v>
      </x:c>
      <x:c r="G12171" s="13" t="str">
        <x:v>grid_wbaxp5t0.xlsx</x:v>
      </x:c>
    </x:row>
    <x:row r="12172">
      <x:c r="A12172" s="15" t="n">
        <x:v>45597</x:v>
      </x:c>
      <x:c r="B12172" s="13" t="str">
        <x:v>CYRELA BRAZIL REALTY SA EMP</x:v>
      </x:c>
      <x:c r="C12172" s="16" t="n">
        <x:v>1485.1717488219</x:v>
      </x:c>
      <x:c r="D12172" s="13" t="str">
        <x:v>Homebuilders</x:v>
      </x:c>
      <x:c r="E12172" s="13" t="str">
        <x:v>Real Estate</x:v>
      </x:c>
      <x:c r="F12172" s="13" t="str">
        <x:v>Early Cyclicals</x:v>
      </x:c>
      <x:c r="G12172" s="13" t="str">
        <x:v>grid_wbaxp5t0.xlsx</x:v>
      </x:c>
    </x:row>
    <x:row r="12173">
      <x:c r="A12173" s="15" t="n">
        <x:v>45597</x:v>
      </x:c>
      <x:c r="B12173" s="13" t="str">
        <x:v>EZ TEC EMPREENDIMENTOS E PAR</x:v>
      </x:c>
      <x:c r="C12173" s="16" t="n">
        <x:v>342.5179351671</x:v>
      </x:c>
      <x:c r="D12173" s="13" t="str">
        <x:v>Homebuilders</x:v>
      </x:c>
      <x:c r="E12173" s="13" t="str">
        <x:v>Real Estate</x:v>
      </x:c>
      <x:c r="F12173" s="13" t="str">
        <x:v>Early Cyclicals</x:v>
      </x:c>
      <x:c r="G12173" s="13" t="str">
        <x:v>grid_wbaxp5t0.xlsx</x:v>
      </x:c>
    </x:row>
    <x:row r="12174">
      <x:c r="A12174" s="15" t="n">
        <x:v>45597</x:v>
      </x:c>
      <x:c r="B12174" s="13" t="str">
        <x:v>MRV ENGENHARIA</x:v>
      </x:c>
      <x:c r="C12174" s="16" t="n">
        <x:v>595.3324145973</x:v>
      </x:c>
      <x:c r="D12174" s="13" t="str">
        <x:v>Homebuilders</x:v>
      </x:c>
      <x:c r="E12174" s="13" t="str">
        <x:v>Real Estate</x:v>
      </x:c>
      <x:c r="F12174" s="13" t="str">
        <x:v>Early Cyclicals</x:v>
      </x:c>
      <x:c r="G12174" s="13" t="str">
        <x:v>grid_wbaxp5t0.xlsx</x:v>
      </x:c>
    </x:row>
    <x:row r="12175">
      <x:c r="A12175" s="15" t="n">
        <x:v>45597</x:v>
      </x:c>
      <x:c r="B12175" s="13" t="str">
        <x:v>ALLOS SA</x:v>
      </x:c>
      <x:c r="C12175" s="16" t="n">
        <x:v>767.0945483397</x:v>
      </x:c>
      <x:c r="D12175" s="13" t="str">
        <x:v>Income Properties</x:v>
      </x:c>
      <x:c r="E12175" s="13" t="str">
        <x:v>Real Estate</x:v>
      </x:c>
      <x:c r="F12175" s="13" t="str">
        <x:v>Early Cyclicals</x:v>
      </x:c>
      <x:c r="G12175" s="13" t="str">
        <x:v>grid_wbaxp5t0.xlsx</x:v>
      </x:c>
    </x:row>
    <x:row r="12176">
      <x:c r="A12176" s="15" t="n">
        <x:v>45597</x:v>
      </x:c>
      <x:c r="B12176" s="13" t="str">
        <x:v>IGUATEMI SA - UNITS</x:v>
      </x:c>
      <x:c r="C12176" s="16" t="n">
        <x:v>489.8679452055</x:v>
      </x:c>
      <x:c r="D12176" s="13" t="str">
        <x:v>Income Properties</x:v>
      </x:c>
      <x:c r="E12176" s="13" t="str">
        <x:v>Real Estate</x:v>
      </x:c>
      <x:c r="F12176" s="13" t="str">
        <x:v>Early Cyclicals</x:v>
      </x:c>
      <x:c r="G12176" s="13" t="str">
        <x:v>grid_wbaxp5t0.xlsx</x:v>
      </x:c>
    </x:row>
    <x:row r="12177">
      <x:c r="A12177" s="15" t="n">
        <x:v>45597</x:v>
      </x:c>
      <x:c r="B12177" s="13" t="str">
        <x:v>MULTIPLAN EMPREENDIMENTOS</x:v>
      </x:c>
      <x:c r="C12177" s="16" t="n">
        <x:v>1132.894662137</x:v>
      </x:c>
      <x:c r="D12177" s="13" t="str">
        <x:v>Income Properties</x:v>
      </x:c>
      <x:c r="E12177" s="13" t="str">
        <x:v>Real Estate</x:v>
      </x:c>
      <x:c r="F12177" s="13" t="str">
        <x:v>Early Cyclicals</x:v>
      </x:c>
      <x:c r="G12177" s="13" t="str">
        <x:v>grid_wbaxp5t0.xlsx</x:v>
      </x:c>
    </x:row>
    <x:row r="12178">
      <x:c r="A12178" s="15" t="n">
        <x:v>45597</x:v>
      </x:c>
      <x:c r="B12178" s="13" t="str">
        <x:v>BRADESPAR SA -PREF</x:v>
      </x:c>
      <x:c r="C12178" s="16" t="n">
        <x:v>1553.3657214247</x:v>
      </x:c>
      <x:c r="D12178" s="13" t="str">
        <x:v>Metals &amp; Mining</x:v>
      </x:c>
      <x:c r="E12178" s="13" t="str">
        <x:v>Metals &amp; Mining</x:v>
      </x:c>
      <x:c r="F12178" s="13" t="str">
        <x:v>Deep Cyclicals</x:v>
      </x:c>
      <x:c r="G12178" s="13" t="str">
        <x:v>grid_wbaxp5t0.xlsx</x:v>
      </x:c>
    </x:row>
    <x:row r="12179">
      <x:c r="A12179" s="15" t="n">
        <x:v>45597</x:v>
      </x:c>
      <x:c r="B12179" s="13" t="str">
        <x:v>CIA SIDERURGICA NACIONAL SA</x:v>
      </x:c>
      <x:c r="C12179" s="16" t="n">
        <x:v>978.7646867288</x:v>
      </x:c>
      <x:c r="D12179" s="13" t="str">
        <x:v>Metals &amp; Mining</x:v>
      </x:c>
      <x:c r="E12179" s="13" t="str">
        <x:v>Metals &amp; Mining</x:v>
      </x:c>
      <x:c r="F12179" s="13" t="str">
        <x:v>Deep Cyclicals</x:v>
      </x:c>
      <x:c r="G12179" s="13" t="str">
        <x:v>grid_wbaxp5t0.xlsx</x:v>
      </x:c>
    </x:row>
    <x:row r="12180">
      <x:c r="A12180" s="15" t="n">
        <x:v>45597</x:v>
      </x:c>
      <x:c r="B12180" s="13" t="str">
        <x:v>CSN MINERACAO SA</x:v>
      </x:c>
      <x:c r="C12180" s="16" t="n">
        <x:v>2465.6866977315</x:v>
      </x:c>
      <x:c r="D12180" s="13" t="str">
        <x:v>Metals &amp; Mining</x:v>
      </x:c>
      <x:c r="E12180" s="13" t="str">
        <x:v>Metals &amp; Mining</x:v>
      </x:c>
      <x:c r="F12180" s="13" t="str">
        <x:v>Deep Cyclicals</x:v>
      </x:c>
      <x:c r="G12180" s="13" t="str">
        <x:v>grid_wbaxp5t0.xlsx</x:v>
      </x:c>
    </x:row>
    <x:row r="12181">
      <x:c r="A12181" s="15" t="n">
        <x:v>45597</x:v>
      </x:c>
      <x:c r="B12181" s="13" t="str">
        <x:v>GERDAU SA-PREF</x:v>
      </x:c>
      <x:c r="C12181" s="16" t="n">
        <x:v>6017.2616100822</x:v>
      </x:c>
      <x:c r="D12181" s="13" t="str">
        <x:v>Metals &amp; Mining</x:v>
      </x:c>
      <x:c r="E12181" s="13" t="str">
        <x:v>Metals &amp; Mining</x:v>
      </x:c>
      <x:c r="F12181" s="13" t="str">
        <x:v>Deep Cyclicals</x:v>
      </x:c>
      <x:c r="G12181" s="13" t="str">
        <x:v>grid_wbaxp5t0.xlsx</x:v>
      </x:c>
    </x:row>
    <x:row r="12182">
      <x:c r="A12182" s="15" t="n">
        <x:v>45597</x:v>
      </x:c>
      <x:c r="B12182" s="13" t="str">
        <x:v>METALURGICA GERDAU SA-PREF</x:v>
      </x:c>
      <x:c r="C12182" s="16" t="n">
        <x:v>2065.095890411</x:v>
      </x:c>
      <x:c r="D12182" s="13" t="str">
        <x:v>Metals &amp; Mining</x:v>
      </x:c>
      <x:c r="E12182" s="13" t="str">
        <x:v>Metals &amp; Mining</x:v>
      </x:c>
      <x:c r="F12182" s="13" t="str">
        <x:v>Deep Cyclicals</x:v>
      </x:c>
      <x:c r="G12182" s="13" t="str">
        <x:v>grid_wbaxp5t0.xlsx</x:v>
      </x:c>
    </x:row>
    <x:row r="12183">
      <x:c r="A12183" s="15" t="n">
        <x:v>45597</x:v>
      </x:c>
      <x:c r="B12183" s="13" t="str">
        <x:v>USINAS SIDER MINAS GER-PF A</x:v>
      </x:c>
      <x:c r="C12183" s="16" t="n">
        <x:v>805.1594783562</x:v>
      </x:c>
      <x:c r="D12183" s="13" t="str">
        <x:v>Metals &amp; Mining</x:v>
      </x:c>
      <x:c r="E12183" s="13" t="str">
        <x:v>Metals &amp; Mining</x:v>
      </x:c>
      <x:c r="F12183" s="13" t="str">
        <x:v>Deep Cyclicals</x:v>
      </x:c>
      <x:c r="G12183" s="13" t="str">
        <x:v>grid_wbaxp5t0.xlsx</x:v>
      </x:c>
    </x:row>
    <x:row r="12184">
      <x:c r="A12184" s="15" t="n">
        <x:v>45597</x:v>
      </x:c>
      <x:c r="B12184" s="13" t="str">
        <x:v>VALE SA</x:v>
      </x:c>
      <x:c r="C12184" s="16" t="n">
        <x:v>49072.6340074959</x:v>
      </x:c>
      <x:c r="D12184" s="13" t="str">
        <x:v>Metals &amp; Mining</x:v>
      </x:c>
      <x:c r="E12184" s="13" t="str">
        <x:v>Metals &amp; Mining</x:v>
      </x:c>
      <x:c r="F12184" s="13" t="str">
        <x:v>Deep Cyclicals</x:v>
      </x:c>
      <x:c r="G12184" s="13" t="str">
        <x:v>grid_wbaxp5t0.xlsx</x:v>
      </x:c>
    </x:row>
    <x:row r="12185">
      <x:c r="A12185" s="15" t="n">
        <x:v>45597</x:v>
      </x:c>
      <x:c r="B12185" s="13" t="str">
        <x:v>BRASKEM SA-PREF A</x:v>
      </x:c>
      <x:c r="C12185" s="16" t="n">
        <x:v>-198.3554286466</x:v>
      </x:c>
      <x:c r="D12185" s="13" t="str">
        <x:v>Oil, Gas &amp; Petrochemicals</x:v>
      </x:c>
      <x:c r="E12185" s="13" t="str">
        <x:v>Oil, Gas &amp; Petrochemicals</x:v>
      </x:c>
      <x:c r="F12185" s="13" t="str">
        <x:v>Deep Cyclicals</x:v>
      </x:c>
      <x:c r="G12185" s="13" t="str">
        <x:v>grid_wbaxp5t0.xlsx</x:v>
      </x:c>
    </x:row>
    <x:row r="12186">
      <x:c r="A12186" s="15" t="n">
        <x:v>45597</x:v>
      </x:c>
      <x:c r="B12186" s="13" t="str">
        <x:v>BRAVA ENERGIA</x:v>
      </x:c>
      <x:c r="C12186" s="16" t="n">
        <x:v>3064.4059690082</x:v>
      </x:c>
      <x:c r="D12186" s="13" t="str">
        <x:v>Oil, Gas &amp; Petrochemicals</x:v>
      </x:c>
      <x:c r="E12186" s="13" t="str">
        <x:v>Oil, Gas &amp; Petrochemicals</x:v>
      </x:c>
      <x:c r="F12186" s="13" t="str">
        <x:v>Deep Cyclicals</x:v>
      </x:c>
      <x:c r="G12186" s="13" t="str">
        <x:v>grid_wbaxp5t0.xlsx</x:v>
      </x:c>
    </x:row>
    <x:row r="12187">
      <x:c r="A12187" s="15" t="n">
        <x:v>45597</x:v>
      </x:c>
      <x:c r="B12187" s="13" t="str">
        <x:v>COSAN SA</x:v>
      </x:c>
      <x:c r="C12187" s="16" t="n">
        <x:v>2370.7340771945</x:v>
      </x:c>
      <x:c r="D12187" s="13" t="str">
        <x:v>Oil, Gas &amp; Petrochemicals</x:v>
      </x:c>
      <x:c r="E12187" s="13" t="str">
        <x:v>Oil, Gas &amp; Petrochemicals</x:v>
      </x:c>
      <x:c r="F12187" s="13" t="str">
        <x:v>Deep Cyclicals</x:v>
      </x:c>
      <x:c r="G12187" s="13" t="str">
        <x:v>grid_wbaxp5t0.xlsx</x:v>
      </x:c>
    </x:row>
    <x:row r="12188">
      <x:c r="A12188" s="15" t="n">
        <x:v>45597</x:v>
      </x:c>
      <x:c r="B12188" s="13" t="str">
        <x:v>PETROBRAS - PETROLEO BRAS</x:v>
      </x:c>
      <x:c r="C12188" s="16" t="n">
        <x:v>109291.340741085</x:v>
      </x:c>
      <x:c r="D12188" s="13" t="str">
        <x:v>Oil, Gas &amp; Petrochemicals</x:v>
      </x:c>
      <x:c r="E12188" s="13" t="str">
        <x:v>Oil, Gas &amp; Petrochemicals</x:v>
      </x:c>
      <x:c r="F12188" s="13" t="str">
        <x:v>Deep Cyclicals</x:v>
      </x:c>
      <x:c r="G12188" s="13" t="str">
        <x:v>grid_wbaxp5t0.xlsx</x:v>
      </x:c>
    </x:row>
    <x:row r="12189">
      <x:c r="A12189" s="15" t="n">
        <x:v>45597</x:v>
      </x:c>
      <x:c r="B12189" s="13" t="str">
        <x:v>PETRORECONCAVO SA</x:v>
      </x:c>
      <x:c r="C12189" s="16" t="n">
        <x:v>1085.1633432548</x:v>
      </x:c>
      <x:c r="D12189" s="13" t="str">
        <x:v>Oil, Gas &amp; Petrochemicals</x:v>
      </x:c>
      <x:c r="E12189" s="13" t="str">
        <x:v>Oil, Gas &amp; Petrochemicals</x:v>
      </x:c>
      <x:c r="F12189" s="13" t="str">
        <x:v>Deep Cyclicals</x:v>
      </x:c>
      <x:c r="G12189" s="13" t="str">
        <x:v>grid_wbaxp5t0.xlsx</x:v>
      </x:c>
    </x:row>
    <x:row r="12190">
      <x:c r="A12190" s="15" t="n">
        <x:v>45597</x:v>
      </x:c>
      <x:c r="B12190" s="13" t="str">
        <x:v>PRIO SA</x:v>
      </x:c>
      <x:c r="C12190" s="16" t="n">
        <x:v>6366.2168484822</x:v>
      </x:c>
      <x:c r="D12190" s="13" t="str">
        <x:v>Oil, Gas &amp; Petrochemicals</x:v>
      </x:c>
      <x:c r="E12190" s="13" t="str">
        <x:v>Oil, Gas &amp; Petrochemicals</x:v>
      </x:c>
      <x:c r="F12190" s="13" t="str">
        <x:v>Deep Cyclicals</x:v>
      </x:c>
      <x:c r="G12190" s="13" t="str">
        <x:v>grid_wbaxp5t0.xlsx</x:v>
      </x:c>
    </x:row>
    <x:row r="12191">
      <x:c r="A12191" s="15" t="n">
        <x:v>45597</x:v>
      </x:c>
      <x:c r="B12191" s="13" t="str">
        <x:v>ULTRAPAR PARTICIPACOES SA</x:v>
      </x:c>
      <x:c r="C12191" s="16" t="n">
        <x:v>2136.4390392986</x:v>
      </x:c>
      <x:c r="D12191" s="13" t="str">
        <x:v>Oil, Gas &amp; Petrochemicals</x:v>
      </x:c>
      <x:c r="E12191" s="13" t="str">
        <x:v>Oil, Gas &amp; Petrochemicals</x:v>
      </x:c>
      <x:c r="F12191" s="13" t="str">
        <x:v>Deep Cyclicals</x:v>
      </x:c>
      <x:c r="G12191" s="13" t="str">
        <x:v>grid_wbaxp5t0.xlsx</x:v>
      </x:c>
    </x:row>
    <x:row r="12192">
      <x:c r="A12192" s="15" t="n">
        <x:v>45597</x:v>
      </x:c>
      <x:c r="B12192" s="13" t="str">
        <x:v>VIBRA ENERGIA SA</x:v>
      </x:c>
      <x:c r="C12192" s="16" t="n">
        <x:v>3093.1487295123</x:v>
      </x:c>
      <x:c r="D12192" s="13" t="str">
        <x:v>Oil, Gas &amp; Petrochemicals</x:v>
      </x:c>
      <x:c r="E12192" s="13" t="str">
        <x:v>Oil, Gas &amp; Petrochemicals</x:v>
      </x:c>
      <x:c r="F12192" s="13" t="str">
        <x:v>Deep Cyclicals</x:v>
      </x:c>
      <x:c r="G12192" s="13" t="str">
        <x:v>grid_wbaxp5t0.xlsx</x:v>
      </x:c>
    </x:row>
    <x:row r="12193">
      <x:c r="A12193" s="15" t="n">
        <x:v>45597</x:v>
      </x:c>
      <x:c r="B12193" s="13" t="str">
        <x:v>KLABIN SA - UNIT</x:v>
      </x:c>
      <x:c r="C12193" s="16" t="n">
        <x:v>2244.7836826301</x:v>
      </x:c>
      <x:c r="D12193" s="13" t="str">
        <x:v>Pulp &amp; Paper</x:v>
      </x:c>
      <x:c r="E12193" s="13" t="str">
        <x:v>Pulp &amp; Paper</x:v>
      </x:c>
      <x:c r="F12193" s="13" t="str">
        <x:v>Deep Cyclicals</x:v>
      </x:c>
      <x:c r="G12193" s="13" t="str">
        <x:v>grid_wbaxp5t0.xlsx</x:v>
      </x:c>
    </x:row>
    <x:row r="12194">
      <x:c r="A12194" s="15" t="n">
        <x:v>45597</x:v>
      </x:c>
      <x:c r="B12194" s="13" t="str">
        <x:v>SUZANO SA</x:v>
      </x:c>
      <x:c r="C12194" s="16" t="n">
        <x:v>8796.6165721425</x:v>
      </x:c>
      <x:c r="D12194" s="13" t="str">
        <x:v>Pulp &amp; Paper</x:v>
      </x:c>
      <x:c r="E12194" s="13" t="str">
        <x:v>Pulp &amp; Paper</x:v>
      </x:c>
      <x:c r="F12194" s="13" t="str">
        <x:v>Deep Cyclicals</x:v>
      </x:c>
      <x:c r="G12194" s="13" t="str">
        <x:v>grid_wbaxp5t0.xlsx</x:v>
      </x:c>
    </x:row>
    <x:row r="12195">
      <x:c r="A12195" s="15" t="n">
        <x:v>45597</x:v>
      </x:c>
      <x:c r="B12195" s="13" t="str">
        <x:v>ALPARGATAS SA - PREF</x:v>
      </x:c>
      <x:c r="C12195" s="16" t="n">
        <x:v>419.9262413151</x:v>
      </x:c>
      <x:c r="D12195" s="13" t="str">
        <x:v>Retail</x:v>
      </x:c>
      <x:c r="E12195" s="13" t="str">
        <x:v>Retail</x:v>
      </x:c>
      <x:c r="F12195" s="13" t="str">
        <x:v>Early Cyclicals</x:v>
      </x:c>
      <x:c r="G12195" s="13" t="str">
        <x:v>grid_wbaxp5t0.xlsx</x:v>
      </x:c>
    </x:row>
    <x:row r="12196">
      <x:c r="A12196" s="15" t="n">
        <x:v>45597</x:v>
      </x:c>
      <x:c r="B12196" s="13" t="str">
        <x:v>ATACADAO SA</x:v>
      </x:c>
      <x:c r="C12196" s="16" t="n">
        <x:v>1578.4573990575</x:v>
      </x:c>
      <x:c r="D12196" s="13" t="str">
        <x:v>Retail</x:v>
      </x:c>
      <x:c r="E12196" s="13" t="str">
        <x:v>Retail</x:v>
      </x:c>
      <x:c r="F12196" s="13" t="str">
        <x:v>Early Cyclicals</x:v>
      </x:c>
      <x:c r="G12196" s="13" t="str">
        <x:v>grid_wbaxp5t0.xlsx</x:v>
      </x:c>
    </x:row>
    <x:row r="12197">
      <x:c r="A12197" s="15" t="n">
        <x:v>45597</x:v>
      </x:c>
      <x:c r="B12197" s="13" t="str">
        <x:v>AZZAS 2154 SA</x:v>
      </x:c>
      <x:c r="C12197" s="16" t="n">
        <x:v>760.3425192329</x:v>
      </x:c>
      <x:c r="D12197" s="13" t="str">
        <x:v>Retail</x:v>
      </x:c>
      <x:c r="E12197" s="13" t="str">
        <x:v>Retail</x:v>
      </x:c>
      <x:c r="F12197" s="13" t="str">
        <x:v>Early Cyclicals</x:v>
      </x:c>
      <x:c r="G12197" s="13" t="str">
        <x:v>grid_wbaxp5t0.xlsx</x:v>
      </x:c>
    </x:row>
    <x:row r="12198">
      <x:c r="A12198" s="15" t="n">
        <x:v>45597</x:v>
      </x:c>
      <x:c r="B12198" s="13" t="str">
        <x:v>CIA BRASILEIRA DE DISTRIBUIC</x:v>
      </x:c>
      <x:c r="C12198" s="16" t="n">
        <x:v>-350.6742091397</x:v>
      </x:c>
      <x:c r="D12198" s="13" t="str">
        <x:v>Retail</x:v>
      </x:c>
      <x:c r="E12198" s="13" t="str">
        <x:v>Retail</x:v>
      </x:c>
      <x:c r="F12198" s="13" t="str">
        <x:v>Early Cyclicals</x:v>
      </x:c>
      <x:c r="G12198" s="13" t="str">
        <x:v>grid_wbaxp5t0.xlsx</x:v>
      </x:c>
    </x:row>
    <x:row r="12199">
      <x:c r="A12199" s="15" t="n">
        <x:v>45597</x:v>
      </x:c>
      <x:c r="B12199" s="13" t="str">
        <x:v>CVC BRASIL OPERADORA E AGENC</x:v>
      </x:c>
      <x:c r="C12199" s="16" t="n">
        <x:v>80.8356164384</x:v>
      </x:c>
      <x:c r="D12199" s="13" t="str">
        <x:v>Retail</x:v>
      </x:c>
      <x:c r="E12199" s="13" t="str">
        <x:v>Retail</x:v>
      </x:c>
      <x:c r="F12199" s="13" t="str">
        <x:v>Early Cyclicals</x:v>
      </x:c>
      <x:c r="G12199" s="13" t="str">
        <x:v>grid_wbaxp5t0.xlsx</x:v>
      </x:c>
    </x:row>
    <x:row r="12200">
      <x:c r="A12200" s="15" t="n">
        <x:v>45597</x:v>
      </x:c>
      <x:c r="B12200" s="13" t="str">
        <x:v>LOJAS RENNER S.A.</x:v>
      </x:c>
      <x:c r="C12200" s="16" t="n">
        <x:v>1503.8933584657</x:v>
      </x:c>
      <x:c r="D12200" s="13" t="str">
        <x:v>Retail</x:v>
      </x:c>
      <x:c r="E12200" s="13" t="str">
        <x:v>Retail</x:v>
      </x:c>
      <x:c r="F12200" s="13" t="str">
        <x:v>Early Cyclicals</x:v>
      </x:c>
      <x:c r="G12200" s="13" t="str">
        <x:v>grid_wbaxp5t0.xlsx</x:v>
      </x:c>
    </x:row>
    <x:row r="12201">
      <x:c r="A12201" s="15" t="n">
        <x:v>45597</x:v>
      </x:c>
      <x:c r="B12201" s="13" t="str">
        <x:v>MAGAZINE LUIZA SA</x:v>
      </x:c>
      <x:c r="C12201" s="16" t="n">
        <x:v>506.4615123288</x:v>
      </x:c>
      <x:c r="D12201" s="13" t="str">
        <x:v>Retail</x:v>
      </x:c>
      <x:c r="E12201" s="13" t="str">
        <x:v>Retail</x:v>
      </x:c>
      <x:c r="F12201" s="13" t="str">
        <x:v>Early Cyclicals</x:v>
      </x:c>
      <x:c r="G12201" s="13" t="str">
        <x:v>grid_wbaxp5t0.xlsx</x:v>
      </x:c>
    </x:row>
    <x:row r="12202">
      <x:c r="A12202" s="15" t="n">
        <x:v>45597</x:v>
      </x:c>
      <x:c r="B12202" s="13" t="str">
        <x:v>NATURA &amp;CO HOLDING SA</x:v>
      </x:c>
      <x:c r="C12202" s="16" t="n">
        <x:v>1254.346784263</x:v>
      </x:c>
      <x:c r="D12202" s="13" t="str">
        <x:v>Retail</x:v>
      </x:c>
      <x:c r="E12202" s="13" t="str">
        <x:v>Retail</x:v>
      </x:c>
      <x:c r="F12202" s="13" t="str">
        <x:v>Early Cyclicals</x:v>
      </x:c>
      <x:c r="G12202" s="13" t="str">
        <x:v>grid_wbaxp5t0.xlsx</x:v>
      </x:c>
    </x:row>
    <x:row r="12203">
      <x:c r="A12203" s="15" t="n">
        <x:v>45597</x:v>
      </x:c>
      <x:c r="B12203" s="13" t="str">
        <x:v>PET CENTER COMERCIO E PARTIC</x:v>
      </x:c>
      <x:c r="C12203" s="16" t="n">
        <x:v>104.0231079452</x:v>
      </x:c>
      <x:c r="D12203" s="13" t="str">
        <x:v>Retail</x:v>
      </x:c>
      <x:c r="E12203" s="13" t="str">
        <x:v>Retail</x:v>
      </x:c>
      <x:c r="F12203" s="13" t="str">
        <x:v>Early Cyclicals</x:v>
      </x:c>
      <x:c r="G12203" s="13" t="str">
        <x:v>grid_wbaxp5t0.xlsx</x:v>
      </x:c>
    </x:row>
    <x:row r="12204">
      <x:c r="A12204" s="15" t="n">
        <x:v>45597</x:v>
      </x:c>
      <x:c r="B12204" s="13" t="str">
        <x:v>RAIA DROGASIL SA</x:v>
      </x:c>
      <x:c r="C12204" s="16" t="n">
        <x:v>1451.9442063781</x:v>
      </x:c>
      <x:c r="D12204" s="13" t="str">
        <x:v>Retail</x:v>
      </x:c>
      <x:c r="E12204" s="13" t="str">
        <x:v>Retail</x:v>
      </x:c>
      <x:c r="F12204" s="13" t="str">
        <x:v>Early Cyclicals</x:v>
      </x:c>
      <x:c r="G12204" s="13" t="str">
        <x:v>grid_wbaxp5t0.xlsx</x:v>
      </x:c>
    </x:row>
    <x:row r="12205">
      <x:c r="A12205" s="15" t="n">
        <x:v>45597</x:v>
      </x:c>
      <x:c r="B12205" s="13" t="str">
        <x:v>SENDAS DISTRIBUIDORA SA</x:v>
      </x:c>
      <x:c r="C12205" s="16" t="n">
        <x:v>838.4970513534</x:v>
      </x:c>
      <x:c r="D12205" s="13" t="str">
        <x:v>Retail</x:v>
      </x:c>
      <x:c r="E12205" s="13" t="str">
        <x:v>Retail</x:v>
      </x:c>
      <x:c r="F12205" s="13" t="str">
        <x:v>Early Cyclicals</x:v>
      </x:c>
      <x:c r="G12205" s="13" t="str">
        <x:v>grid_wbaxp5t0.xlsx</x:v>
      </x:c>
    </x:row>
    <x:row r="12206">
      <x:c r="A12206" s="15" t="n">
        <x:v>45597</x:v>
      </x:c>
      <x:c r="B12206" s="13" t="str">
        <x:v>VIVARA PARTICIPACOES SA</x:v>
      </x:c>
      <x:c r="C12206" s="16" t="n">
        <x:v>555.9861170849</x:v>
      </x:c>
      <x:c r="D12206" s="13" t="str">
        <x:v>Retail</x:v>
      </x:c>
      <x:c r="E12206" s="13" t="str">
        <x:v>Retail</x:v>
      </x:c>
      <x:c r="F12206" s="13" t="str">
        <x:v>Early Cyclicals</x:v>
      </x:c>
      <x:c r="G12206" s="13" t="str">
        <x:v>grid_wbaxp5t0.xlsx</x:v>
      </x:c>
    </x:row>
    <x:row r="12207">
      <x:c r="A12207" s="15" t="n">
        <x:v>45597</x:v>
      </x:c>
      <x:c r="B12207" s="13" t="str">
        <x:v>CIA SANEAMENTO BASICO DE SP</x:v>
      </x:c>
      <x:c r="C12207" s="16" t="n">
        <x:v>4688.6965037589</x:v>
      </x:c>
      <x:c r="D12207" s="13" t="str">
        <x:v>Sanitation</x:v>
      </x:c>
      <x:c r="E12207" s="13" t="str">
        <x:v>Utilities</x:v>
      </x:c>
      <x:c r="F12207" s="13" t="str">
        <x:v>Defensives</x:v>
      </x:c>
      <x:c r="G12207" s="13" t="str">
        <x:v>grid_wbaxp5t0.xlsx</x:v>
      </x:c>
    </x:row>
    <x:row r="12208">
      <x:c r="A12208" s="15" t="n">
        <x:v>45597</x:v>
      </x:c>
      <x:c r="B12208" s="13" t="str">
        <x:v>LWSA SA</x:v>
      </x:c>
      <x:c r="C12208" s="16" t="n">
        <x:v>153.7774246575</x:v>
      </x:c>
      <x:c r="D12208" s="13" t="str">
        <x:v>TMT</x:v>
      </x:c>
      <x:c r="E12208" s="13" t="str">
        <x:v>TMT</x:v>
      </x:c>
      <x:c r="F12208" s="13" t="str">
        <x:v>Early Cyclicals</x:v>
      </x:c>
      <x:c r="G12208" s="13" t="str">
        <x:v>grid_wbaxp5t0.xlsx</x:v>
      </x:c>
    </x:row>
    <x:row r="12209">
      <x:c r="A12209" s="15" t="n">
        <x:v>45597</x:v>
      </x:c>
      <x:c r="B12209" s="13" t="str">
        <x:v>TIM SA</x:v>
      </x:c>
      <x:c r="C12209" s="16" t="n">
        <x:v>3848.4505747288</x:v>
      </x:c>
      <x:c r="D12209" s="13" t="str">
        <x:v>TMT</x:v>
      </x:c>
      <x:c r="E12209" s="13" t="str">
        <x:v>TMT</x:v>
      </x:c>
      <x:c r="F12209" s="13" t="str">
        <x:v>Early Cyclicals</x:v>
      </x:c>
      <x:c r="G12209" s="13" t="str">
        <x:v>grid_wbaxp5t0.xlsx</x:v>
      </x:c>
    </x:row>
    <x:row r="12210">
      <x:c r="A12210" s="15" t="n">
        <x:v>45597</x:v>
      </x:c>
      <x:c r="B12210" s="13" t="str">
        <x:v>TOTVS SA</x:v>
      </x:c>
      <x:c r="C12210" s="16" t="n">
        <x:v>835.9136694356</x:v>
      </x:c>
      <x:c r="D12210" s="13" t="str">
        <x:v>TMT</x:v>
      </x:c>
      <x:c r="E12210" s="13" t="str">
        <x:v>TMT</x:v>
      </x:c>
      <x:c r="F12210" s="13" t="str">
        <x:v>Early Cyclicals</x:v>
      </x:c>
      <x:c r="G12210" s="13" t="str">
        <x:v>grid_wbaxp5t0.xlsx</x:v>
      </x:c>
    </x:row>
    <x:row r="12211">
      <x:c r="A12211" s="15" t="n">
        <x:v>45597</x:v>
      </x:c>
      <x:c r="B12211" s="13" t="str">
        <x:v>AZUL SA</x:v>
      </x:c>
      <x:c r="C12211" s="16" t="n">
        <x:v>-280.7341041863</x:v>
      </x:c>
      <x:c r="D12211" s="13" t="str">
        <x:v>Transportation</x:v>
      </x:c>
      <x:c r="E12211" s="13" t="str">
        <x:v>Transportation</x:v>
      </x:c>
      <x:c r="F12211" s="13" t="str">
        <x:v>Deep Cyclicals</x:v>
      </x:c>
      <x:c r="G12211" s="13" t="str">
        <x:v>grid_wbaxp5t0.xlsx</x:v>
      </x:c>
    </x:row>
    <x:row r="12212">
      <x:c r="A12212" s="15" t="n">
        <x:v>45597</x:v>
      </x:c>
      <x:c r="B12212" s="13" t="str">
        <x:v>LOCALIZA RENT A CAR</x:v>
      </x:c>
      <x:c r="C12212" s="16" t="n">
        <x:v>3582.904109589</x:v>
      </x:c>
      <x:c r="D12212" s="13" t="str">
        <x:v>Transportation</x:v>
      </x:c>
      <x:c r="E12212" s="13" t="str">
        <x:v>Transportation</x:v>
      </x:c>
      <x:c r="F12212" s="13" t="str">
        <x:v>Deep Cyclicals</x:v>
      </x:c>
      <x:c r="G12212" s="13" t="str">
        <x:v>grid_wbaxp5t0.xlsx</x:v>
      </x:c>
    </x:row>
    <x:row r="12213">
      <x:c r="A12213" s="15" t="n">
        <x:v>45597</x:v>
      </x:c>
      <x:c r="B12213" s="13" t="str">
        <x:v>MOTIVA INFRAESTRUTURA DE MOB</x:v>
      </x:c>
      <x:c r="C12213" s="16" t="n">
        <x:v>1848.6962589808</x:v>
      </x:c>
      <x:c r="D12213" s="13" t="str">
        <x:v>Transportation</x:v>
      </x:c>
      <x:c r="E12213" s="13" t="str">
        <x:v>Transportation</x:v>
      </x:c>
      <x:c r="F12213" s="13" t="str">
        <x:v>Deep Cyclicals</x:v>
      </x:c>
      <x:c r="G12213" s="13" t="str">
        <x:v>grid_wbaxp5t0.xlsx</x:v>
      </x:c>
    </x:row>
    <x:row r="12214">
      <x:c r="A12214" s="15" t="n">
        <x:v>45597</x:v>
      </x:c>
      <x:c r="B12214" s="13" t="str">
        <x:v>RUMO SA</x:v>
      </x:c>
      <x:c r="C12214" s="16" t="n">
        <x:v>2640.0554804603</x:v>
      </x:c>
      <x:c r="D12214" s="13" t="str">
        <x:v>Transportation</x:v>
      </x:c>
      <x:c r="E12214" s="13" t="str">
        <x:v>Transportation</x:v>
      </x:c>
      <x:c r="F12214" s="13" t="str">
        <x:v>Deep Cyclicals</x:v>
      </x:c>
      <x:c r="G12214" s="13" t="str">
        <x:v>grid_wbaxp5t0.xlsx</x:v>
      </x:c>
    </x:row>
    <x:row r="12215">
      <x:c r="A12215" s="15" t="n">
        <x:v>45597</x:v>
      </x:c>
      <x:c r="B12215" s="13" t="str">
        <x:v>SANTOS BRASIL PARTICIPACOES</x:v>
      </x:c>
      <x:c r="C12215" s="16" t="n">
        <x:v>879.4968565479</x:v>
      </x:c>
      <x:c r="D12215" s="13" t="str">
        <x:v>Transportation</x:v>
      </x:c>
      <x:c r="E12215" s="13" t="str">
        <x:v>Transportation</x:v>
      </x:c>
      <x:c r="F12215" s="13" t="str">
        <x:v>Deep Cyclicals</x:v>
      </x:c>
      <x:c r="G12215" s="13" t="str">
        <x:v>grid_wbaxp5t0.xlsx</x:v>
      </x:c>
    </x:row>
    <x:row r="12216">
      <x:c r="A12216" s="15" t="n">
        <x:v>45597</x:v>
      </x:c>
      <x:c r="B12216" s="13" t="str">
        <x:v>VAMOS LOCACAO DE CAMINHOES M</x:v>
      </x:c>
      <x:c r="C12216" s="16" t="n">
        <x:v>1029.2506536329</x:v>
      </x:c>
      <x:c r="D12216" s="13" t="str">
        <x:v>Transportation</x:v>
      </x:c>
      <x:c r="E12216" s="13" t="str">
        <x:v>Transportation</x:v>
      </x:c>
      <x:c r="F12216" s="13" t="str">
        <x:v>Deep Cyclicals</x:v>
      </x:c>
      <x:c r="G12216" s="13" t="str">
        <x:v>grid_wbaxp5t0.xlsx</x:v>
      </x:c>
    </x:row>
    <x:row r="12217">
      <x:c r="A12217" s="15" t="n">
        <x:v>45597</x:v>
      </x:c>
      <x:c r="B12217" s="13" t="str">
        <x:v>AUREN ENERGIA SA - ON</x:v>
      </x:c>
      <x:c r="C12217" s="16" t="n">
        <x:v>712.750682126</x:v>
      </x:c>
      <x:c r="D12217" s="13" t="str">
        <x:v>Utilities &amp; Energy</x:v>
      </x:c>
      <x:c r="E12217" s="13" t="str">
        <x:v>Utilities</x:v>
      </x:c>
      <x:c r="F12217" s="13" t="str">
        <x:v>Defensives</x:v>
      </x:c>
      <x:c r="G12217" s="13" t="str">
        <x:v>grid_wbaxp5t0.xlsx</x:v>
      </x:c>
    </x:row>
    <x:row r="12218">
      <x:c r="A12218" s="15" t="n">
        <x:v>45597</x:v>
      </x:c>
      <x:c r="B12218" s="13" t="str">
        <x:v>AXIA ENERGIA SA</x:v>
      </x:c>
      <x:c r="C12218" s="16" t="n">
        <x:v>10768.1204981479</x:v>
      </x:c>
      <x:c r="D12218" s="13" t="str">
        <x:v>Utilities &amp; Energy</x:v>
      </x:c>
      <x:c r="E12218" s="13" t="str">
        <x:v>Utilities</x:v>
      </x:c>
      <x:c r="F12218" s="13" t="str">
        <x:v>Defensives</x:v>
      </x:c>
      <x:c r="G12218" s="13" t="str">
        <x:v>grid_wbaxp5t0.xlsx</x:v>
      </x:c>
    </x:row>
    <x:row r="12219">
      <x:c r="A12219" s="15" t="n">
        <x:v>45597</x:v>
      </x:c>
      <x:c r="B12219" s="13" t="str">
        <x:v>AXIA ENERGIA-PR B</x:v>
      </x:c>
      <x:c r="C12219" s="16" t="n">
        <x:v>10768.1204981479</x:v>
      </x:c>
      <x:c r="D12219" s="13" t="str">
        <x:v>Utilities &amp; Energy</x:v>
      </x:c>
      <x:c r="E12219" s="13" t="str">
        <x:v>Utilities</x:v>
      </x:c>
      <x:c r="F12219" s="13" t="str">
        <x:v>Defensives</x:v>
      </x:c>
      <x:c r="G12219" s="13" t="str">
        <x:v>grid_wbaxp5t0.xlsx</x:v>
      </x:c>
    </x:row>
    <x:row r="12220">
      <x:c r="A12220" s="15" t="n">
        <x:v>45597</x:v>
      </x:c>
      <x:c r="B12220" s="13" t="str">
        <x:v>CIA ENERGETICA MINAS GER-PRF</x:v>
      </x:c>
      <x:c r="C12220" s="16" t="n">
        <x:v>4428.7005611836</x:v>
      </x:c>
      <x:c r="D12220" s="13" t="str">
        <x:v>Utilities &amp; Energy</x:v>
      </x:c>
      <x:c r="E12220" s="13" t="str">
        <x:v>Utilities</x:v>
      </x:c>
      <x:c r="F12220" s="13" t="str">
        <x:v>Defensives</x:v>
      </x:c>
      <x:c r="G12220" s="13" t="str">
        <x:v>grid_wbaxp5t0.xlsx</x:v>
      </x:c>
    </x:row>
    <x:row r="12221">
      <x:c r="A12221" s="15" t="n">
        <x:v>45597</x:v>
      </x:c>
      <x:c r="B12221" s="13" t="str">
        <x:v>COMPANHIA PARANAENSE -PREF B</x:v>
      </x:c>
      <x:c r="C12221" s="16" t="n">
        <x:v>2072.7636378301</x:v>
      </x:c>
      <x:c r="D12221" s="13" t="str">
        <x:v>Utilities &amp; Energy</x:v>
      </x:c>
      <x:c r="E12221" s="13" t="str">
        <x:v>Utilities</x:v>
      </x:c>
      <x:c r="F12221" s="13" t="str">
        <x:v>Defensives</x:v>
      </x:c>
      <x:c r="G12221" s="13" t="str">
        <x:v>grid_wbaxp5t0.xlsx</x:v>
      </x:c>
    </x:row>
    <x:row r="12222">
      <x:c r="A12222" s="15" t="n">
        <x:v>45597</x:v>
      </x:c>
      <x:c r="B12222" s="13" t="str">
        <x:v>CPFL ENERGIA SA</x:v>
      </x:c>
      <x:c r="C12222" s="16" t="n">
        <x:v>4997.6045413699</x:v>
      </x:c>
      <x:c r="D12222" s="13" t="str">
        <x:v>Utilities &amp; Energy</x:v>
      </x:c>
      <x:c r="E12222" s="13" t="str">
        <x:v>Utilities</x:v>
      </x:c>
      <x:c r="F12222" s="13" t="str">
        <x:v>Defensives</x:v>
      </x:c>
      <x:c r="G12222" s="13" t="str">
        <x:v>grid_wbaxp5t0.xlsx</x:v>
      </x:c>
    </x:row>
    <x:row r="12223">
      <x:c r="A12223" s="15" t="n">
        <x:v>45597</x:v>
      </x:c>
      <x:c r="B12223" s="13" t="str">
        <x:v>ENERGISA SA-UNITS</x:v>
      </x:c>
      <x:c r="C12223" s="16" t="n">
        <x:v>2251.9121365918</x:v>
      </x:c>
      <x:c r="D12223" s="13" t="str">
        <x:v>Utilities &amp; Energy</x:v>
      </x:c>
      <x:c r="E12223" s="13" t="str">
        <x:v>Utilities</x:v>
      </x:c>
      <x:c r="F12223" s="13" t="str">
        <x:v>Defensives</x:v>
      </x:c>
      <x:c r="G12223" s="13" t="str">
        <x:v>grid_wbaxp5t0.xlsx</x:v>
      </x:c>
    </x:row>
    <x:row r="12224">
      <x:c r="A12224" s="15" t="n">
        <x:v>45597</x:v>
      </x:c>
      <x:c r="B12224" s="13" t="str">
        <x:v>ENEVA SA</x:v>
      </x:c>
      <x:c r="C12224" s="16" t="n">
        <x:v>1532.366585337</x:v>
      </x:c>
      <x:c r="D12224" s="13" t="str">
        <x:v>Utilities &amp; Energy</x:v>
      </x:c>
      <x:c r="E12224" s="13" t="str">
        <x:v>Utilities</x:v>
      </x:c>
      <x:c r="F12224" s="13" t="str">
        <x:v>Defensives</x:v>
      </x:c>
      <x:c r="G12224" s="13" t="str">
        <x:v>grid_wbaxp5t0.xlsx</x:v>
      </x:c>
    </x:row>
    <x:row r="12225">
      <x:c r="A12225" s="15" t="n">
        <x:v>45597</x:v>
      </x:c>
      <x:c r="B12225" s="13" t="str">
        <x:v>ENGIE BRASIL ENERGIA SA</x:v>
      </x:c>
      <x:c r="C12225" s="16" t="n">
        <x:v>3443.3633244931</x:v>
      </x:c>
      <x:c r="D12225" s="13" t="str">
        <x:v>Utilities &amp; Energy</x:v>
      </x:c>
      <x:c r="E12225" s="13" t="str">
        <x:v>Utilities</x:v>
      </x:c>
      <x:c r="F12225" s="13" t="str">
        <x:v>Defensives</x:v>
      </x:c>
      <x:c r="G12225" s="13" t="str">
        <x:v>grid_wbaxp5t0.xlsx</x:v>
      </x:c>
    </x:row>
    <x:row r="12226">
      <x:c r="A12226" s="15" t="n">
        <x:v>45597</x:v>
      </x:c>
      <x:c r="B12226" s="13" t="str">
        <x:v>EQUATORIAL SA - ORD</x:v>
      </x:c>
      <x:c r="C12226" s="16" t="n">
        <x:v>3140.7674220712</x:v>
      </x:c>
      <x:c r="D12226" s="13" t="str">
        <x:v>Utilities &amp; Energy</x:v>
      </x:c>
      <x:c r="E12226" s="13" t="str">
        <x:v>Utilities</x:v>
      </x:c>
      <x:c r="F12226" s="13" t="str">
        <x:v>Defensives</x:v>
      </x:c>
      <x:c r="G12226" s="13" t="str">
        <x:v>grid_wbaxp5t0.xlsx</x:v>
      </x:c>
    </x:row>
    <x:row r="12227">
      <x:c r="A12227" s="15" t="n">
        <x:v>45597</x:v>
      </x:c>
      <x:c r="B12227" s="13" t="str">
        <x:v>ISA ENERGIA BRASIL SA</x:v>
      </x:c>
      <x:c r="C12227" s="16" t="n">
        <x:v>1610.5769735014</x:v>
      </x:c>
      <x:c r="D12227" s="13" t="str">
        <x:v>Utilities &amp; Energy</x:v>
      </x:c>
      <x:c r="E12227" s="13" t="str">
        <x:v>Utilities</x:v>
      </x:c>
      <x:c r="F12227" s="13" t="str">
        <x:v>Defensives</x:v>
      </x:c>
      <x:c r="G12227" s="13" t="str">
        <x:v>grid_wbaxp5t0.xlsx</x:v>
      </x:c>
    </x:row>
    <x:row r="12228">
      <x:c r="A12228" s="15" t="n">
        <x:v>45597</x:v>
      </x:c>
      <x:c r="B12228" s="13" t="str">
        <x:v>TRANSMISSORA ALIANCA DE-UNIT</x:v>
      </x:c>
      <x:c r="C12228" s="16" t="n">
        <x:v>1105.2913958575</x:v>
      </x:c>
      <x:c r="D12228" s="13" t="str">
        <x:v>Utilities &amp; Energy</x:v>
      </x:c>
      <x:c r="E12228" s="13" t="str">
        <x:v>Utilities</x:v>
      </x:c>
      <x:c r="F12228" s="13" t="str">
        <x:v>Defensives</x:v>
      </x:c>
      <x:c r="G12228" s="13" t="str">
        <x:v>grid_wbaxp5t0.xlsx</x:v>
      </x:c>
    </x:row>
    <x:row r="12229">
      <x:c r="A12229" s="15" t="n">
        <x:v>45627</x:v>
      </x:c>
      <x:c r="B12229" s="13" t="str">
        <x:v>RAIZEN SA - PREFERENCE</x:v>
      </x:c>
      <x:c r="C12229" s="16" t="n">
        <x:v>3209.5547546301</x:v>
      </x:c>
      <x:c r="D12229" s="13" t="str">
        <x:v>Agribusiness</x:v>
      </x:c>
      <x:c r="E12229" s="13" t="str">
        <x:v>Agri, Food &amp; Beverages</x:v>
      </x:c>
      <x:c r="F12229" s="13" t="str">
        <x:v>Defensives</x:v>
      </x:c>
      <x:c r="G12229" s="13" t="str">
        <x:v>grid_wbaxp5t0.xlsx</x:v>
      </x:c>
    </x:row>
    <x:row r="12230">
      <x:c r="A12230" s="15" t="n">
        <x:v>45627</x:v>
      </x:c>
      <x:c r="B12230" s="13" t="str">
        <x:v>SAO MARTINHO SA</x:v>
      </x:c>
      <x:c r="C12230" s="16" t="n">
        <x:v>969.534162411</x:v>
      </x:c>
      <x:c r="D12230" s="13" t="str">
        <x:v>Agribusiness</x:v>
      </x:c>
      <x:c r="E12230" s="13" t="str">
        <x:v>Agri, Food &amp; Beverages</x:v>
      </x:c>
      <x:c r="F12230" s="13" t="str">
        <x:v>Defensives</x:v>
      </x:c>
      <x:c r="G12230" s="13" t="str">
        <x:v>grid_wbaxp5t0.xlsx</x:v>
      </x:c>
    </x:row>
    <x:row r="12231">
      <x:c r="A12231" s="15" t="n">
        <x:v>45627</x:v>
      </x:c>
      <x:c r="B12231" s="13" t="str">
        <x:v>SLC AGRICOLA SA</x:v>
      </x:c>
      <x:c r="C12231" s="16" t="n">
        <x:v>900.099968</x:v>
      </x:c>
      <x:c r="D12231" s="13" t="str">
        <x:v>Agribusiness</x:v>
      </x:c>
      <x:c r="E12231" s="13" t="str">
        <x:v>Agri, Food &amp; Beverages</x:v>
      </x:c>
      <x:c r="F12231" s="13" t="str">
        <x:v>Defensives</x:v>
      </x:c>
      <x:c r="G12231" s="13" t="str">
        <x:v>grid_wbaxp5t0.xlsx</x:v>
      </x:c>
    </x:row>
    <x:row r="12232">
      <x:c r="A12232" s="15" t="n">
        <x:v>45627</x:v>
      </x:c>
      <x:c r="B12232" s="13" t="str">
        <x:v>BANCO BRADESCO S.A.</x:v>
      </x:c>
      <x:c r="C12232" s="16" t="n">
        <x:v>24012.699648</x:v>
      </x:c>
      <x:c r="D12232" s="13" t="str">
        <x:v>Banks</x:v>
      </x:c>
      <x:c r="E12232" s="13" t="str">
        <x:v>Banks</x:v>
      </x:c>
      <x:c r="F12232" s="13" t="str">
        <x:v>Financials</x:v>
      </x:c>
      <x:c r="G12232" s="13" t="str">
        <x:v>grid_wbaxp5t0.xlsx</x:v>
      </x:c>
    </x:row>
    <x:row r="12233">
      <x:c r="A12233" s="15" t="n">
        <x:v>45627</x:v>
      </x:c>
      <x:c r="B12233" s="13" t="str">
        <x:v>BANCO BRADESCO SA-PREF</x:v>
      </x:c>
      <x:c r="C12233" s="16" t="n">
        <x:v>24012.699648</x:v>
      </x:c>
      <x:c r="D12233" s="13" t="str">
        <x:v>Banks</x:v>
      </x:c>
      <x:c r="E12233" s="13" t="str">
        <x:v>Banks</x:v>
      </x:c>
      <x:c r="F12233" s="13" t="str">
        <x:v>Financials</x:v>
      </x:c>
      <x:c r="G12233" s="13" t="str">
        <x:v>grid_wbaxp5t0.xlsx</x:v>
      </x:c>
    </x:row>
    <x:row r="12234">
      <x:c r="A12234" s="15" t="n">
        <x:v>45627</x:v>
      </x:c>
      <x:c r="B12234" s="13" t="str">
        <x:v>BANCO BTG PACTUAL SA-UNIT</x:v>
      </x:c>
      <x:c r="C12234" s="16" t="n">
        <x:v>14398.600192</x:v>
      </x:c>
      <x:c r="D12234" s="13" t="str">
        <x:v>Banks</x:v>
      </x:c>
      <x:c r="E12234" s="13" t="str">
        <x:v>Banks</x:v>
      </x:c>
      <x:c r="F12234" s="13" t="str">
        <x:v>Financials</x:v>
      </x:c>
      <x:c r="G12234" s="13" t="str">
        <x:v>grid_wbaxp5t0.xlsx</x:v>
      </x:c>
    </x:row>
    <x:row r="12235">
      <x:c r="A12235" s="15" t="n">
        <x:v>45627</x:v>
      </x:c>
      <x:c r="B12235" s="13" t="str">
        <x:v>BANCO DO BRASIL S.A.</x:v>
      </x:c>
      <x:c r="C12235" s="16" t="n">
        <x:v>38389.899264</x:v>
      </x:c>
      <x:c r="D12235" s="13" t="str">
        <x:v>Banks</x:v>
      </x:c>
      <x:c r="E12235" s="13" t="str">
        <x:v>Banks</x:v>
      </x:c>
      <x:c r="F12235" s="13" t="str">
        <x:v>Financials</x:v>
      </x:c>
      <x:c r="G12235" s="13" t="str">
        <x:v>grid_wbaxp5t0.xlsx</x:v>
      </x:c>
    </x:row>
    <x:row r="12236">
      <x:c r="A12236" s="15" t="n">
        <x:v>45627</x:v>
      </x:c>
      <x:c r="B12236" s="13" t="str">
        <x:v>BANCO SANTANDER  BRASIL-UNIT</x:v>
      </x:c>
      <x:c r="C12236" s="16" t="n">
        <x:v>16203.29984</x:v>
      </x:c>
      <x:c r="D12236" s="13" t="str">
        <x:v>Banks</x:v>
      </x:c>
      <x:c r="E12236" s="13" t="str">
        <x:v>Banks</x:v>
      </x:c>
      <x:c r="F12236" s="13" t="str">
        <x:v>Financials</x:v>
      </x:c>
      <x:c r="G12236" s="13" t="str">
        <x:v>grid_wbaxp5t0.xlsx</x:v>
      </x:c>
    </x:row>
    <x:row r="12237">
      <x:c r="A12237" s="15" t="n">
        <x:v>45627</x:v>
      </x:c>
      <x:c r="B12237" s="13" t="str">
        <x:v>ITAU UNIBANCO HOLDING S-PREF</x:v>
      </x:c>
      <x:c r="C12237" s="16" t="n">
        <x:v>45519.29856</x:v>
      </x:c>
      <x:c r="D12237" s="13" t="str">
        <x:v>Banks</x:v>
      </x:c>
      <x:c r="E12237" s="13" t="str">
        <x:v>Banks</x:v>
      </x:c>
      <x:c r="F12237" s="13" t="str">
        <x:v>Financials</x:v>
      </x:c>
      <x:c r="G12237" s="13" t="str">
        <x:v>grid_wbaxp5t0.xlsx</x:v>
      </x:c>
    </x:row>
    <x:row r="12238">
      <x:c r="A12238" s="15" t="n">
        <x:v>45627</x:v>
      </x:c>
      <x:c r="B12238" s="13" t="str">
        <x:v>EMBRAER SA</x:v>
      </x:c>
      <x:c r="C12238" s="16" t="n">
        <x:v>2264.91008</x:v>
      </x:c>
      <x:c r="D12238" s="13" t="str">
        <x:v>Capital Goods</x:v>
      </x:c>
      <x:c r="E12238" s="13" t="str">
        <x:v>Capital Goods</x:v>
      </x:c>
      <x:c r="F12238" s="13" t="str">
        <x:v>Deep Cyclicals</x:v>
      </x:c>
      <x:c r="G12238" s="13" t="str">
        <x:v>grid_wbaxp5t0.xlsx</x:v>
      </x:c>
    </x:row>
    <x:row r="12239">
      <x:c r="A12239" s="15" t="n">
        <x:v>45627</x:v>
      </x:c>
      <x:c r="B12239" s="13" t="str">
        <x:v>WEG SA</x:v>
      </x:c>
      <x:c r="C12239" s="16" t="n">
        <x:v>7344.090112</x:v>
      </x:c>
      <x:c r="D12239" s="13" t="str">
        <x:v>Capital Goods</x:v>
      </x:c>
      <x:c r="E12239" s="13" t="str">
        <x:v>Capital Goods</x:v>
      </x:c>
      <x:c r="F12239" s="13" t="str">
        <x:v>Deep Cyclicals</x:v>
      </x:c>
      <x:c r="G12239" s="13" t="str">
        <x:v>grid_wbaxp5t0.xlsx</x:v>
      </x:c>
    </x:row>
    <x:row r="12240">
      <x:c r="A12240" s="15" t="n">
        <x:v>45627</x:v>
      </x:c>
      <x:c r="B12240" s="13" t="str">
        <x:v>COGNA EDUCACAO</x:v>
      </x:c>
      <x:c r="C12240" s="16" t="n">
        <x:v>390.727008</x:v>
      </x:c>
      <x:c r="D12240" s="13" t="str">
        <x:v>Education</x:v>
      </x:c>
      <x:c r="E12240" s="13" t="str">
        <x:v>Education</x:v>
      </x:c>
      <x:c r="F12240" s="13" t="str">
        <x:v>Early Cyclicals</x:v>
      </x:c>
      <x:c r="G12240" s="13" t="str">
        <x:v>grid_wbaxp5t0.xlsx</x:v>
      </x:c>
    </x:row>
    <x:row r="12241">
      <x:c r="A12241" s="15" t="n">
        <x:v>45627</x:v>
      </x:c>
      <x:c r="B12241" s="13" t="str">
        <x:v>YDUQS PARTICIPACOES SA</x:v>
      </x:c>
      <x:c r="C12241" s="16" t="n">
        <x:v>491.9</x:v>
      </x:c>
      <x:c r="D12241" s="13" t="str">
        <x:v>Education</x:v>
      </x:c>
      <x:c r="E12241" s="13" t="str">
        <x:v>Education</x:v>
      </x:c>
      <x:c r="F12241" s="13" t="str">
        <x:v>Early Cyclicals</x:v>
      </x:c>
      <x:c r="G12241" s="13" t="str">
        <x:v>grid_wbaxp5t0.xlsx</x:v>
      </x:c>
    </x:row>
    <x:row r="12242">
      <x:c r="A12242" s="15" t="n">
        <x:v>45627</x:v>
      </x:c>
      <x:c r="B12242" s="13" t="str">
        <x:v>B3 SA-BRASIL BOLSA BALCAO</x:v>
      </x:c>
      <x:c r="C12242" s="16" t="n">
        <x:v>5017.249792</x:v>
      </x:c>
      <x:c r="D12242" s="13" t="str">
        <x:v>Financials Non-Banks</x:v>
      </x:c>
      <x:c r="E12242" s="13" t="str">
        <x:v>Financials Non-Banks</x:v>
      </x:c>
      <x:c r="F12242" s="13" t="str">
        <x:v>Financials</x:v>
      </x:c>
      <x:c r="G12242" s="13" t="str">
        <x:v>grid_wbaxp5t0.xlsx</x:v>
      </x:c>
    </x:row>
    <x:row r="12243">
      <x:c r="A12243" s="15" t="n">
        <x:v>45627</x:v>
      </x:c>
      <x:c r="B12243" s="13" t="str">
        <x:v>BB SEGURIDADE PARTICIPACOES</x:v>
      </x:c>
      <x:c r="C12243" s="16" t="n">
        <x:v>8592.600064</x:v>
      </x:c>
      <x:c r="D12243" s="13" t="str">
        <x:v>Financials Non-Banks</x:v>
      </x:c>
      <x:c r="E12243" s="13" t="str">
        <x:v>Financials Non-Banks</x:v>
      </x:c>
      <x:c r="F12243" s="13" t="str">
        <x:v>Financials</x:v>
      </x:c>
      <x:c r="G12243" s="13" t="str">
        <x:v>grid_wbaxp5t0.xlsx</x:v>
      </x:c>
    </x:row>
    <x:row r="12244">
      <x:c r="A12244" s="15" t="n">
        <x:v>45627</x:v>
      </x:c>
      <x:c r="B12244" s="13" t="str">
        <x:v>CAIXA SEGURIDADE PARTICIPACO</x:v>
      </x:c>
      <x:c r="C12244" s="16" t="n">
        <x:v>4365.32992</x:v>
      </x:c>
      <x:c r="D12244" s="13" t="str">
        <x:v>Financials Non-Banks</x:v>
      </x:c>
      <x:c r="E12244" s="13" t="str">
        <x:v>Financials Non-Banks</x:v>
      </x:c>
      <x:c r="F12244" s="13" t="str">
        <x:v>Financials</x:v>
      </x:c>
      <x:c r="G12244" s="13" t="str">
        <x:v>grid_wbaxp5t0.xlsx</x:v>
      </x:c>
    </x:row>
    <x:row r="12245">
      <x:c r="A12245" s="15" t="n">
        <x:v>45627</x:v>
      </x:c>
      <x:c r="B12245" s="13" t="str">
        <x:v>IRB BRASIL RESSEGUROS SA</x:v>
      </x:c>
      <x:c r="C12245" s="16" t="n">
        <x:v>497</x:v>
      </x:c>
      <x:c r="D12245" s="13" t="str">
        <x:v>Financials Non-Banks</x:v>
      </x:c>
      <x:c r="E12245" s="13" t="str">
        <x:v>Financials Non-Banks</x:v>
      </x:c>
      <x:c r="F12245" s="13" t="str">
        <x:v>Financials</x:v>
      </x:c>
      <x:c r="G12245" s="13" t="str">
        <x:v>grid_wbaxp5t0.xlsx</x:v>
      </x:c>
    </x:row>
    <x:row r="12246">
      <x:c r="A12246" s="15" t="n">
        <x:v>45627</x:v>
      </x:c>
      <x:c r="B12246" s="13" t="str">
        <x:v>ITAUSA SA</x:v>
      </x:c>
      <x:c r="C12246" s="16" t="n">
        <x:v>16785.000448</x:v>
      </x:c>
      <x:c r="D12246" s="13" t="str">
        <x:v>Financials Non-Banks</x:v>
      </x:c>
      <x:c r="E12246" s="13" t="str">
        <x:v>Financials Non-Banks</x:v>
      </x:c>
      <x:c r="F12246" s="13" t="str">
        <x:v>Financials</x:v>
      </x:c>
      <x:c r="G12246" s="13" t="str">
        <x:v>grid_wbaxp5t0.xlsx</x:v>
      </x:c>
    </x:row>
    <x:row r="12247">
      <x:c r="A12247" s="15" t="n">
        <x:v>45627</x:v>
      </x:c>
      <x:c r="B12247" s="13" t="str">
        <x:v>AMBEV SA</x:v>
      </x:c>
      <x:c r="C12247" s="16" t="n">
        <x:v>15668.299776</x:v>
      </x:c>
      <x:c r="D12247" s="13" t="str">
        <x:v>Food &amp; Beverages</x:v>
      </x:c>
      <x:c r="E12247" s="13" t="str">
        <x:v>Agri, Food &amp; Beverages</x:v>
      </x:c>
      <x:c r="F12247" s="13" t="str">
        <x:v>Defensives</x:v>
      </x:c>
      <x:c r="G12247" s="13" t="str">
        <x:v>grid_wbaxp5t0.xlsx</x:v>
      </x:c>
    </x:row>
    <x:row r="12248">
      <x:c r="A12248" s="15" t="n">
        <x:v>45627</x:v>
      </x:c>
      <x:c r="B12248" s="13" t="str">
        <x:v>BRF SA</x:v>
      </x:c>
      <x:c r="C12248" s="16" t="n">
        <x:v>3921.700096</x:v>
      </x:c>
      <x:c r="D12248" s="13" t="str">
        <x:v>Food &amp; Beverages</x:v>
      </x:c>
      <x:c r="E12248" s="13" t="str">
        <x:v>Agri, Food &amp; Beverages</x:v>
      </x:c>
      <x:c r="F12248" s="13" t="str">
        <x:v>Defensives</x:v>
      </x:c>
      <x:c r="G12248" s="13" t="str">
        <x:v>grid_wbaxp5t0.xlsx</x:v>
      </x:c>
    </x:row>
    <x:row r="12249">
      <x:c r="A12249" s="15" t="n">
        <x:v>45627</x:v>
      </x:c>
      <x:c r="B12249" s="13" t="str">
        <x:v>JBS SA</x:v>
      </x:c>
      <x:c r="C12249" s="16" t="n">
        <x:v>7024.999936</x:v>
      </x:c>
      <x:c r="D12249" s="13" t="str">
        <x:v>Food &amp; Beverages</x:v>
      </x:c>
      <x:c r="E12249" s="13" t="str">
        <x:v>Agri, Food &amp; Beverages</x:v>
      </x:c>
      <x:c r="F12249" s="13" t="str">
        <x:v>Defensives</x:v>
      </x:c>
      <x:c r="G12249" s="13" t="str">
        <x:v>grid_wbaxp5t0.xlsx</x:v>
      </x:c>
    </x:row>
    <x:row r="12250">
      <x:c r="A12250" s="15" t="n">
        <x:v>45627</x:v>
      </x:c>
      <x:c r="B12250" s="13" t="str">
        <x:v>MBRF GLOBAL FOODS COMPANY SA</x:v>
      </x:c>
      <x:c r="C12250" s="16" t="n">
        <x:v>-183.167008</x:v>
      </x:c>
      <x:c r="D12250" s="13" t="str">
        <x:v>Food &amp; Beverages</x:v>
      </x:c>
      <x:c r="E12250" s="13" t="str">
        <x:v>Agri, Food &amp; Beverages</x:v>
      </x:c>
      <x:c r="F12250" s="13" t="str">
        <x:v>Defensives</x:v>
      </x:c>
      <x:c r="G12250" s="13" t="str">
        <x:v>grid_wbaxp5t0.xlsx</x:v>
      </x:c>
    </x:row>
    <x:row r="12251">
      <x:c r="A12251" s="15" t="n">
        <x:v>45627</x:v>
      </x:c>
      <x:c r="B12251" s="13" t="str">
        <x:v>MINERVA SA</x:v>
      </x:c>
      <x:c r="C12251" s="16" t="n">
        <x:v>639.332992</x:v>
      </x:c>
      <x:c r="D12251" s="13" t="str">
        <x:v>Food &amp; Beverages</x:v>
      </x:c>
      <x:c r="E12251" s="13" t="str">
        <x:v>Agri, Food &amp; Beverages</x:v>
      </x:c>
      <x:c r="F12251" s="13" t="str">
        <x:v>Defensives</x:v>
      </x:c>
      <x:c r="G12251" s="13" t="str">
        <x:v>grid_wbaxp5t0.xlsx</x:v>
      </x:c>
    </x:row>
    <x:row r="12252">
      <x:c r="A12252" s="15" t="n">
        <x:v>45627</x:v>
      </x:c>
      <x:c r="B12252" s="13" t="str">
        <x:v>FLEURY SA</x:v>
      </x:c>
      <x:c r="C12252" s="16" t="n">
        <x:v>753.124992</x:v>
      </x:c>
      <x:c r="D12252" s="13" t="str">
        <x:v>Health Care</x:v>
      </x:c>
      <x:c r="E12252" s="13" t="str">
        <x:v>Health Care</x:v>
      </x:c>
      <x:c r="F12252" s="13" t="str">
        <x:v>Defensives</x:v>
      </x:c>
      <x:c r="G12252" s="13" t="str">
        <x:v>grid_wbaxp5t0.xlsx</x:v>
      </x:c>
    </x:row>
    <x:row r="12253">
      <x:c r="A12253" s="15" t="n">
        <x:v>45627</x:v>
      </x:c>
      <x:c r="B12253" s="13" t="str">
        <x:v>HAPVIDA PARTICIPACOES E INVE</x:v>
      </x:c>
      <x:c r="C12253" s="16" t="n">
        <x:v>1502.380032</x:v>
      </x:c>
      <x:c r="D12253" s="13" t="str">
        <x:v>Health Care</x:v>
      </x:c>
      <x:c r="E12253" s="13" t="str">
        <x:v>Health Care</x:v>
      </x:c>
      <x:c r="F12253" s="13" t="str">
        <x:v>Defensives</x:v>
      </x:c>
      <x:c r="G12253" s="13" t="str">
        <x:v>grid_wbaxp5t0.xlsx</x:v>
      </x:c>
    </x:row>
    <x:row r="12254">
      <x:c r="A12254" s="15" t="n">
        <x:v>45627</x:v>
      </x:c>
      <x:c r="B12254" s="13" t="str">
        <x:v>HYPERA SA</x:v>
      </x:c>
      <x:c r="C12254" s="16" t="n">
        <x:v>1545.080064</x:v>
      </x:c>
      <x:c r="D12254" s="13" t="str">
        <x:v>Health Care</x:v>
      </x:c>
      <x:c r="E12254" s="13" t="str">
        <x:v>Health Care</x:v>
      </x:c>
      <x:c r="F12254" s="13" t="str">
        <x:v>Defensives</x:v>
      </x:c>
      <x:c r="G12254" s="13" t="str">
        <x:v>grid_wbaxp5t0.xlsx</x:v>
      </x:c>
    </x:row>
    <x:row r="12255">
      <x:c r="A12255" s="15" t="n">
        <x:v>45627</x:v>
      </x:c>
      <x:c r="B12255" s="13" t="str">
        <x:v>REDE D'OR SAO LUIZ SA</x:v>
      </x:c>
      <x:c r="C12255" s="16" t="n">
        <x:v>4338.299904</x:v>
      </x:c>
      <x:c r="D12255" s="13" t="str">
        <x:v>Health Care</x:v>
      </x:c>
      <x:c r="E12255" s="13" t="str">
        <x:v>Health Care</x:v>
      </x:c>
      <x:c r="F12255" s="13" t="str">
        <x:v>Defensives</x:v>
      </x:c>
      <x:c r="G12255" s="13" t="str">
        <x:v>grid_wbaxp5t0.xlsx</x:v>
      </x:c>
    </x:row>
    <x:row r="12256">
      <x:c r="A12256" s="15" t="n">
        <x:v>45627</x:v>
      </x:c>
      <x:c r="B12256" s="13" t="str">
        <x:v>CYRELA BRAZIL REALTY SA EMP</x:v>
      </x:c>
      <x:c r="C12256" s="16" t="n">
        <x:v>1595.170048</x:v>
      </x:c>
      <x:c r="D12256" s="13" t="str">
        <x:v>Homebuilders</x:v>
      </x:c>
      <x:c r="E12256" s="13" t="str">
        <x:v>Real Estate</x:v>
      </x:c>
      <x:c r="F12256" s="13" t="str">
        <x:v>Early Cyclicals</x:v>
      </x:c>
      <x:c r="G12256" s="13" t="str">
        <x:v>grid_wbaxp5t0.xlsx</x:v>
      </x:c>
    </x:row>
    <x:row r="12257">
      <x:c r="A12257" s="15" t="n">
        <x:v>45627</x:v>
      </x:c>
      <x:c r="B12257" s="13" t="str">
        <x:v>EZ TEC EMPREENDIMENTOS E PAR</x:v>
      </x:c>
      <x:c r="C12257" s="16" t="n">
        <x:v>346.544992</x:v>
      </x:c>
      <x:c r="D12257" s="13" t="str">
        <x:v>Homebuilders</x:v>
      </x:c>
      <x:c r="E12257" s="13" t="str">
        <x:v>Real Estate</x:v>
      </x:c>
      <x:c r="F12257" s="13" t="str">
        <x:v>Early Cyclicals</x:v>
      </x:c>
      <x:c r="G12257" s="13" t="str">
        <x:v>grid_wbaxp5t0.xlsx</x:v>
      </x:c>
    </x:row>
    <x:row r="12258">
      <x:c r="A12258" s="15" t="n">
        <x:v>45627</x:v>
      </x:c>
      <x:c r="B12258" s="13" t="str">
        <x:v>MRV ENGENHARIA</x:v>
      </x:c>
      <x:c r="C12258" s="16" t="n">
        <x:v>564.2</x:v>
      </x:c>
      <x:c r="D12258" s="13" t="str">
        <x:v>Homebuilders</x:v>
      </x:c>
      <x:c r="E12258" s="13" t="str">
        <x:v>Real Estate</x:v>
      </x:c>
      <x:c r="F12258" s="13" t="str">
        <x:v>Early Cyclicals</x:v>
      </x:c>
      <x:c r="G12258" s="13" t="str">
        <x:v>grid_wbaxp5t0.xlsx</x:v>
      </x:c>
    </x:row>
    <x:row r="12259">
      <x:c r="A12259" s="15" t="n">
        <x:v>45627</x:v>
      </x:c>
      <x:c r="B12259" s="13" t="str">
        <x:v>ALLOS SA</x:v>
      </x:c>
      <x:c r="C12259" s="16" t="n">
        <x:v>760.222016</x:v>
      </x:c>
      <x:c r="D12259" s="13" t="str">
        <x:v>Income Properties</x:v>
      </x:c>
      <x:c r="E12259" s="13" t="str">
        <x:v>Real Estate</x:v>
      </x:c>
      <x:c r="F12259" s="13" t="str">
        <x:v>Early Cyclicals</x:v>
      </x:c>
      <x:c r="G12259" s="13" t="str">
        <x:v>grid_wbaxp5t0.xlsx</x:v>
      </x:c>
    </x:row>
    <x:row r="12260">
      <x:c r="A12260" s="15" t="n">
        <x:v>45627</x:v>
      </x:c>
      <x:c r="B12260" s="13" t="str">
        <x:v>IGUATEMI SA - UNITS</x:v>
      </x:c>
      <x:c r="C12260" s="16" t="n">
        <x:v>519.1</x:v>
      </x:c>
      <x:c r="D12260" s="13" t="str">
        <x:v>Income Properties</x:v>
      </x:c>
      <x:c r="E12260" s="13" t="str">
        <x:v>Real Estate</x:v>
      </x:c>
      <x:c r="F12260" s="13" t="str">
        <x:v>Early Cyclicals</x:v>
      </x:c>
      <x:c r="G12260" s="13" t="str">
        <x:v>grid_wbaxp5t0.xlsx</x:v>
      </x:c>
    </x:row>
    <x:row r="12261">
      <x:c r="A12261" s="15" t="n">
        <x:v>45627</x:v>
      </x:c>
      <x:c r="B12261" s="13" t="str">
        <x:v>MULTIPLAN EMPREENDIMENTOS</x:v>
      </x:c>
      <x:c r="C12261" s="16" t="n">
        <x:v>1114</x:v>
      </x:c>
      <x:c r="D12261" s="13" t="str">
        <x:v>Income Properties</x:v>
      </x:c>
      <x:c r="E12261" s="13" t="str">
        <x:v>Real Estate</x:v>
      </x:c>
      <x:c r="F12261" s="13" t="str">
        <x:v>Early Cyclicals</x:v>
      </x:c>
      <x:c r="G12261" s="13" t="str">
        <x:v>grid_wbaxp5t0.xlsx</x:v>
      </x:c>
    </x:row>
    <x:row r="12262">
      <x:c r="A12262" s="15" t="n">
        <x:v>45627</x:v>
      </x:c>
      <x:c r="B12262" s="13" t="str">
        <x:v>BRADESPAR SA -PREF</x:v>
      </x:c>
      <x:c r="C12262" s="16" t="n">
        <x:v>1532.499968</x:v>
      </x:c>
      <x:c r="D12262" s="13" t="str">
        <x:v>Metals &amp; Mining</x:v>
      </x:c>
      <x:c r="E12262" s="13" t="str">
        <x:v>Metals &amp; Mining</x:v>
      </x:c>
      <x:c r="F12262" s="13" t="str">
        <x:v>Deep Cyclicals</x:v>
      </x:c>
      <x:c r="G12262" s="13" t="str">
        <x:v>grid_wbaxp5t0.xlsx</x:v>
      </x:c>
    </x:row>
    <x:row r="12263">
      <x:c r="A12263" s="15" t="n">
        <x:v>45627</x:v>
      </x:c>
      <x:c r="B12263" s="13" t="str">
        <x:v>CIA SIDERURGICA NACIONAL SA</x:v>
      </x:c>
      <x:c r="C12263" s="16" t="n">
        <x:v>115.375</x:v>
      </x:c>
      <x:c r="D12263" s="13" t="str">
        <x:v>Metals &amp; Mining</x:v>
      </x:c>
      <x:c r="E12263" s="13" t="str">
        <x:v>Metals &amp; Mining</x:v>
      </x:c>
      <x:c r="F12263" s="13" t="str">
        <x:v>Deep Cyclicals</x:v>
      </x:c>
      <x:c r="G12263" s="13" t="str">
        <x:v>grid_wbaxp5t0.xlsx</x:v>
      </x:c>
    </x:row>
    <x:row r="12264">
      <x:c r="A12264" s="15" t="n">
        <x:v>45627</x:v>
      </x:c>
      <x:c r="B12264" s="13" t="str">
        <x:v>CSN MINERACAO SA</x:v>
      </x:c>
      <x:c r="C12264" s="16" t="n">
        <x:v>2622.249984</x:v>
      </x:c>
      <x:c r="D12264" s="13" t="str">
        <x:v>Metals &amp; Mining</x:v>
      </x:c>
      <x:c r="E12264" s="13" t="str">
        <x:v>Metals &amp; Mining</x:v>
      </x:c>
      <x:c r="F12264" s="13" t="str">
        <x:v>Deep Cyclicals</x:v>
      </x:c>
      <x:c r="G12264" s="13" t="str">
        <x:v>grid_wbaxp5t0.xlsx</x:v>
      </x:c>
    </x:row>
    <x:row r="12265">
      <x:c r="A12265" s="15" t="n">
        <x:v>45627</x:v>
      </x:c>
      <x:c r="B12265" s="13" t="str">
        <x:v>GERDAU SA-PREF</x:v>
      </x:c>
      <x:c r="C12265" s="16" t="n">
        <x:v>6294.669824</x:v>
      </x:c>
      <x:c r="D12265" s="13" t="str">
        <x:v>Metals &amp; Mining</x:v>
      </x:c>
      <x:c r="E12265" s="13" t="str">
        <x:v>Metals &amp; Mining</x:v>
      </x:c>
      <x:c r="F12265" s="13" t="str">
        <x:v>Deep Cyclicals</x:v>
      </x:c>
      <x:c r="G12265" s="13" t="str">
        <x:v>grid_wbaxp5t0.xlsx</x:v>
      </x:c>
    </x:row>
    <x:row r="12266">
      <x:c r="A12266" s="15" t="n">
        <x:v>45627</x:v>
      </x:c>
      <x:c r="B12266" s="13" t="str">
        <x:v>USINAS SIDER MINAS GER-PF A</x:v>
      </x:c>
      <x:c r="C12266" s="16" t="n">
        <x:v>920.364032</x:v>
      </x:c>
      <x:c r="D12266" s="13" t="str">
        <x:v>Metals &amp; Mining</x:v>
      </x:c>
      <x:c r="E12266" s="13" t="str">
        <x:v>Metals &amp; Mining</x:v>
      </x:c>
      <x:c r="F12266" s="13" t="str">
        <x:v>Deep Cyclicals</x:v>
      </x:c>
      <x:c r="G12266" s="13" t="str">
        <x:v>grid_wbaxp5t0.xlsx</x:v>
      </x:c>
    </x:row>
    <x:row r="12267">
      <x:c r="A12267" s="15" t="n">
        <x:v>45627</x:v>
      </x:c>
      <x:c r="B12267" s="13" t="str">
        <x:v>VALE SA</x:v>
      </x:c>
      <x:c r="C12267" s="16" t="n">
        <x:v>49128.001536</x:v>
      </x:c>
      <x:c r="D12267" s="13" t="str">
        <x:v>Metals &amp; Mining</x:v>
      </x:c>
      <x:c r="E12267" s="13" t="str">
        <x:v>Metals &amp; Mining</x:v>
      </x:c>
      <x:c r="F12267" s="13" t="str">
        <x:v>Deep Cyclicals</x:v>
      </x:c>
      <x:c r="G12267" s="13" t="str">
        <x:v>grid_wbaxp5t0.xlsx</x:v>
      </x:c>
    </x:row>
    <x:row r="12268">
      <x:c r="A12268" s="15" t="n">
        <x:v>45627</x:v>
      </x:c>
      <x:c r="B12268" s="13" t="str">
        <x:v>BRASKEM SA-PREF A</x:v>
      </x:c>
      <x:c r="C12268" s="16" t="n">
        <x:v>-194.883008</x:v>
      </x:c>
      <x:c r="D12268" s="13" t="str">
        <x:v>Oil, Gas &amp; Petrochemicals</x:v>
      </x:c>
      <x:c r="E12268" s="13" t="str">
        <x:v>Oil, Gas &amp; Petrochemicals</x:v>
      </x:c>
      <x:c r="F12268" s="13" t="str">
        <x:v>Deep Cyclicals</x:v>
      </x:c>
      <x:c r="G12268" s="13" t="str">
        <x:v>grid_wbaxp5t0.xlsx</x:v>
      </x:c>
    </x:row>
    <x:row r="12269">
      <x:c r="A12269" s="15" t="n">
        <x:v>45627</x:v>
      </x:c>
      <x:c r="B12269" s="13" t="str">
        <x:v>BRAVA ENERGIA</x:v>
      </x:c>
      <x:c r="C12269" s="16" t="n">
        <x:v>2403.109888</x:v>
      </x:c>
      <x:c r="D12269" s="13" t="str">
        <x:v>Oil, Gas &amp; Petrochemicals</x:v>
      </x:c>
      <x:c r="E12269" s="13" t="str">
        <x:v>Oil, Gas &amp; Petrochemicals</x:v>
      </x:c>
      <x:c r="F12269" s="13" t="str">
        <x:v>Deep Cyclicals</x:v>
      </x:c>
      <x:c r="G12269" s="13" t="str">
        <x:v>grid_wbaxp5t0.xlsx</x:v>
      </x:c>
    </x:row>
    <x:row r="12270">
      <x:c r="A12270" s="15" t="n">
        <x:v>45627</x:v>
      </x:c>
      <x:c r="B12270" s="13" t="str">
        <x:v>COSAN SA</x:v>
      </x:c>
      <x:c r="C12270" s="16" t="n">
        <x:v>3480.499968</x:v>
      </x:c>
      <x:c r="D12270" s="13" t="str">
        <x:v>Oil, Gas &amp; Petrochemicals</x:v>
      </x:c>
      <x:c r="E12270" s="13" t="str">
        <x:v>Oil, Gas &amp; Petrochemicals</x:v>
      </x:c>
      <x:c r="F12270" s="13" t="str">
        <x:v>Deep Cyclicals</x:v>
      </x:c>
      <x:c r="G12270" s="13" t="str">
        <x:v>grid_wbaxp5t0.xlsx</x:v>
      </x:c>
    </x:row>
    <x:row r="12271">
      <x:c r="A12271" s="15" t="n">
        <x:v>45627</x:v>
      </x:c>
      <x:c r="B12271" s="13" t="str">
        <x:v>PETROBRAS - PETROLEO BRAS</x:v>
      </x:c>
      <x:c r="C12271" s="16" t="n">
        <x:v>112997.998592</x:v>
      </x:c>
      <x:c r="D12271" s="13" t="str">
        <x:v>Oil, Gas &amp; Petrochemicals</x:v>
      </x:c>
      <x:c r="E12271" s="13" t="str">
        <x:v>Oil, Gas &amp; Petrochemicals</x:v>
      </x:c>
      <x:c r="F12271" s="13" t="str">
        <x:v>Deep Cyclicals</x:v>
      </x:c>
      <x:c r="G12271" s="13" t="str">
        <x:v>grid_wbaxp5t0.xlsx</x:v>
      </x:c>
    </x:row>
    <x:row r="12272">
      <x:c r="A12272" s="15" t="n">
        <x:v>45627</x:v>
      </x:c>
      <x:c r="B12272" s="13" t="str">
        <x:v>PETRORECONCAVO SA</x:v>
      </x:c>
      <x:c r="C12272" s="16" t="n">
        <x:v>998.428992</x:v>
      </x:c>
      <x:c r="D12272" s="13" t="str">
        <x:v>Oil, Gas &amp; Petrochemicals</x:v>
      </x:c>
      <x:c r="E12272" s="13" t="str">
        <x:v>Oil, Gas &amp; Petrochemicals</x:v>
      </x:c>
      <x:c r="F12272" s="13" t="str">
        <x:v>Deep Cyclicals</x:v>
      </x:c>
      <x:c r="G12272" s="13" t="str">
        <x:v>grid_wbaxp5t0.xlsx</x:v>
      </x:c>
    </x:row>
    <x:row r="12273">
      <x:c r="A12273" s="15" t="n">
        <x:v>45627</x:v>
      </x:c>
      <x:c r="B12273" s="13" t="str">
        <x:v>PRIO SA</x:v>
      </x:c>
      <x:c r="C12273" s="16" t="n">
        <x:v>5305.639936</x:v>
      </x:c>
      <x:c r="D12273" s="13" t="str">
        <x:v>Oil, Gas &amp; Petrochemicals</x:v>
      </x:c>
      <x:c r="E12273" s="13" t="str">
        <x:v>Oil, Gas &amp; Petrochemicals</x:v>
      </x:c>
      <x:c r="F12273" s="13" t="str">
        <x:v>Deep Cyclicals</x:v>
      </x:c>
      <x:c r="G12273" s="13" t="str">
        <x:v>grid_wbaxp5t0.xlsx</x:v>
      </x:c>
    </x:row>
    <x:row r="12274">
      <x:c r="A12274" s="15" t="n">
        <x:v>45627</x:v>
      </x:c>
      <x:c r="B12274" s="13" t="str">
        <x:v>ULTRAPAR PARTICIPACOES SA</x:v>
      </x:c>
      <x:c r="C12274" s="16" t="n">
        <x:v>2085.639936</x:v>
      </x:c>
      <x:c r="D12274" s="13" t="str">
        <x:v>Oil, Gas &amp; Petrochemicals</x:v>
      </x:c>
      <x:c r="E12274" s="13" t="str">
        <x:v>Oil, Gas &amp; Petrochemicals</x:v>
      </x:c>
      <x:c r="F12274" s="13" t="str">
        <x:v>Deep Cyclicals</x:v>
      </x:c>
      <x:c r="G12274" s="13" t="str">
        <x:v>grid_wbaxp5t0.xlsx</x:v>
      </x:c>
    </x:row>
    <x:row r="12275">
      <x:c r="A12275" s="15" t="n">
        <x:v>45627</x:v>
      </x:c>
      <x:c r="B12275" s="13" t="str">
        <x:v>VIBRA ENERGIA SA</x:v>
      </x:c>
      <x:c r="C12275" s="16" t="n">
        <x:v>2928.770048</x:v>
      </x:c>
      <x:c r="D12275" s="13" t="str">
        <x:v>Oil, Gas &amp; Petrochemicals</x:v>
      </x:c>
      <x:c r="E12275" s="13" t="str">
        <x:v>Oil, Gas &amp; Petrochemicals</x:v>
      </x:c>
      <x:c r="F12275" s="13" t="str">
        <x:v>Deep Cyclicals</x:v>
      </x:c>
      <x:c r="G12275" s="13" t="str">
        <x:v>grid_wbaxp5t0.xlsx</x:v>
      </x:c>
    </x:row>
    <x:row r="12276">
      <x:c r="A12276" s="15" t="n">
        <x:v>45627</x:v>
      </x:c>
      <x:c r="B12276" s="13" t="str">
        <x:v>KLABIN SA - UNIT</x:v>
      </x:c>
      <x:c r="C12276" s="16" t="n">
        <x:v>2425.779968</x:v>
      </x:c>
      <x:c r="D12276" s="13" t="str">
        <x:v>Pulp &amp; Paper</x:v>
      </x:c>
      <x:c r="E12276" s="13" t="str">
        <x:v>Pulp &amp; Paper</x:v>
      </x:c>
      <x:c r="F12276" s="13" t="str">
        <x:v>Deep Cyclicals</x:v>
      </x:c>
      <x:c r="G12276" s="13" t="str">
        <x:v>grid_wbaxp5t0.xlsx</x:v>
      </x:c>
    </x:row>
    <x:row r="12277">
      <x:c r="A12277" s="15" t="n">
        <x:v>45627</x:v>
      </x:c>
      <x:c r="B12277" s="13" t="str">
        <x:v>SUZANO SA</x:v>
      </x:c>
      <x:c r="C12277" s="16" t="n">
        <x:v>9505.999872</x:v>
      </x:c>
      <x:c r="D12277" s="13" t="str">
        <x:v>Pulp &amp; Paper</x:v>
      </x:c>
      <x:c r="E12277" s="13" t="str">
        <x:v>Pulp &amp; Paper</x:v>
      </x:c>
      <x:c r="F12277" s="13" t="str">
        <x:v>Deep Cyclicals</x:v>
      </x:c>
      <x:c r="G12277" s="13" t="str">
        <x:v>grid_wbaxp5t0.xlsx</x:v>
      </x:c>
    </x:row>
    <x:row r="12278">
      <x:c r="A12278" s="15" t="n">
        <x:v>45627</x:v>
      </x:c>
      <x:c r="B12278" s="13" t="str">
        <x:v>ALPARGATAS SA - PREF</x:v>
      </x:c>
      <x:c r="C12278" s="16" t="n">
        <x:v>437.713984</x:v>
      </x:c>
      <x:c r="D12278" s="13" t="str">
        <x:v>Retail</x:v>
      </x:c>
      <x:c r="E12278" s="13" t="str">
        <x:v>Retail</x:v>
      </x:c>
      <x:c r="F12278" s="13" t="str">
        <x:v>Early Cyclicals</x:v>
      </x:c>
      <x:c r="G12278" s="13" t="str">
        <x:v>grid_wbaxp5t0.xlsx</x:v>
      </x:c>
    </x:row>
    <x:row r="12279">
      <x:c r="A12279" s="15" t="n">
        <x:v>45627</x:v>
      </x:c>
      <x:c r="B12279" s="13" t="str">
        <x:v>ATACADAO SA</x:v>
      </x:c>
      <x:c r="C12279" s="16" t="n">
        <x:v>1531.180032</x:v>
      </x:c>
      <x:c r="D12279" s="13" t="str">
        <x:v>Retail</x:v>
      </x:c>
      <x:c r="E12279" s="13" t="str">
        <x:v>Retail</x:v>
      </x:c>
      <x:c r="F12279" s="13" t="str">
        <x:v>Early Cyclicals</x:v>
      </x:c>
      <x:c r="G12279" s="13" t="str">
        <x:v>grid_wbaxp5t0.xlsx</x:v>
      </x:c>
    </x:row>
    <x:row r="12280">
      <x:c r="A12280" s="15" t="n">
        <x:v>45627</x:v>
      </x:c>
      <x:c r="B12280" s="13" t="str">
        <x:v>AZZAS 2154 SA</x:v>
      </x:c>
      <x:c r="C12280" s="16" t="n">
        <x:v>724.332992</x:v>
      </x:c>
      <x:c r="D12280" s="13" t="str">
        <x:v>Retail</x:v>
      </x:c>
      <x:c r="E12280" s="13" t="str">
        <x:v>Retail</x:v>
      </x:c>
      <x:c r="F12280" s="13" t="str">
        <x:v>Early Cyclicals</x:v>
      </x:c>
      <x:c r="G12280" s="13" t="str">
        <x:v>grid_wbaxp5t0.xlsx</x:v>
      </x:c>
    </x:row>
    <x:row r="12281">
      <x:c r="A12281" s="15" t="n">
        <x:v>45627</x:v>
      </x:c>
      <x:c r="B12281" s="13" t="str">
        <x:v>CIA BRASILEIRA DE DISTRIBUIC</x:v>
      </x:c>
      <x:c r="C12281" s="16" t="n">
        <x:v>-361.6</x:v>
      </x:c>
      <x:c r="D12281" s="13" t="str">
        <x:v>Retail</x:v>
      </x:c>
      <x:c r="E12281" s="13" t="str">
        <x:v>Retail</x:v>
      </x:c>
      <x:c r="F12281" s="13" t="str">
        <x:v>Early Cyclicals</x:v>
      </x:c>
      <x:c r="G12281" s="13" t="str">
        <x:v>grid_wbaxp5t0.xlsx</x:v>
      </x:c>
    </x:row>
    <x:row r="12282">
      <x:c r="A12282" s="15" t="n">
        <x:v>45627</x:v>
      </x:c>
      <x:c r="B12282" s="13" t="str">
        <x:v>CVC BRASIL OPERADORA E AGENC</x:v>
      </x:c>
      <x:c r="C12282" s="16" t="n">
        <x:v>1.2</x:v>
      </x:c>
      <x:c r="D12282" s="13" t="str">
        <x:v>Retail</x:v>
      </x:c>
      <x:c r="E12282" s="13" t="str">
        <x:v>Retail</x:v>
      </x:c>
      <x:c r="F12282" s="13" t="str">
        <x:v>Early Cyclicals</x:v>
      </x:c>
      <x:c r="G12282" s="13" t="str">
        <x:v>grid_wbaxp5t0.xlsx</x:v>
      </x:c>
    </x:row>
    <x:row r="12283">
      <x:c r="A12283" s="15" t="n">
        <x:v>45627</x:v>
      </x:c>
      <x:c r="B12283" s="13" t="str">
        <x:v>LOJAS RENNER S.A.</x:v>
      </x:c>
      <x:c r="C12283" s="16" t="n">
        <x:v>1514.860032</x:v>
      </x:c>
      <x:c r="D12283" s="13" t="str">
        <x:v>Retail</x:v>
      </x:c>
      <x:c r="E12283" s="13" t="str">
        <x:v>Retail</x:v>
      </x:c>
      <x:c r="F12283" s="13" t="str">
        <x:v>Early Cyclicals</x:v>
      </x:c>
      <x:c r="G12283" s="13" t="str">
        <x:v>grid_wbaxp5t0.xlsx</x:v>
      </x:c>
    </x:row>
    <x:row r="12284">
      <x:c r="A12284" s="15" t="n">
        <x:v>45627</x:v>
      </x:c>
      <x:c r="B12284" s="13" t="str">
        <x:v>MAGAZINE LUIZA SA</x:v>
      </x:c>
      <x:c r="C12284" s="16" t="n">
        <x:v>462.5</x:v>
      </x:c>
      <x:c r="D12284" s="13" t="str">
        <x:v>Retail</x:v>
      </x:c>
      <x:c r="E12284" s="13" t="str">
        <x:v>Retail</x:v>
      </x:c>
      <x:c r="F12284" s="13" t="str">
        <x:v>Early Cyclicals</x:v>
      </x:c>
      <x:c r="G12284" s="13" t="str">
        <x:v>grid_wbaxp5t0.xlsx</x:v>
      </x:c>
    </x:row>
    <x:row r="12285">
      <x:c r="A12285" s="15" t="n">
        <x:v>45627</x:v>
      </x:c>
      <x:c r="B12285" s="13" t="str">
        <x:v>NATURA &amp;CO HOLDING SA</x:v>
      </x:c>
      <x:c r="C12285" s="16" t="n">
        <x:v>1257.500032</x:v>
      </x:c>
      <x:c r="D12285" s="13" t="str">
        <x:v>Retail</x:v>
      </x:c>
      <x:c r="E12285" s="13" t="str">
        <x:v>Retail</x:v>
      </x:c>
      <x:c r="F12285" s="13" t="str">
        <x:v>Early Cyclicals</x:v>
      </x:c>
      <x:c r="G12285" s="13" t="str">
        <x:v>grid_wbaxp5t0.xlsx</x:v>
      </x:c>
    </x:row>
    <x:row r="12286">
      <x:c r="A12286" s="15" t="n">
        <x:v>45627</x:v>
      </x:c>
      <x:c r="B12286" s="13" t="str">
        <x:v>PET CENTER COMERCIO E PARTIC</x:v>
      </x:c>
      <x:c r="C12286" s="16" t="n">
        <x:v>86.25</x:v>
      </x:c>
      <x:c r="D12286" s="13" t="str">
        <x:v>Retail</x:v>
      </x:c>
      <x:c r="E12286" s="13" t="str">
        <x:v>Retail</x:v>
      </x:c>
      <x:c r="F12286" s="13" t="str">
        <x:v>Early Cyclicals</x:v>
      </x:c>
      <x:c r="G12286" s="13" t="str">
        <x:v>grid_wbaxp5t0.xlsx</x:v>
      </x:c>
    </x:row>
    <x:row r="12287">
      <x:c r="A12287" s="15" t="n">
        <x:v>45627</x:v>
      </x:c>
      <x:c r="B12287" s="13" t="str">
        <x:v>RAIA DROGASIL SA</x:v>
      </x:c>
      <x:c r="C12287" s="16" t="n">
        <x:v>1442.919936</x:v>
      </x:c>
      <x:c r="D12287" s="13" t="str">
        <x:v>Retail</x:v>
      </x:c>
      <x:c r="E12287" s="13" t="str">
        <x:v>Retail</x:v>
      </x:c>
      <x:c r="F12287" s="13" t="str">
        <x:v>Early Cyclicals</x:v>
      </x:c>
      <x:c r="G12287" s="13" t="str">
        <x:v>grid_wbaxp5t0.xlsx</x:v>
      </x:c>
    </x:row>
    <x:row r="12288">
      <x:c r="A12288" s="15" t="n">
        <x:v>45627</x:v>
      </x:c>
      <x:c r="B12288" s="13" t="str">
        <x:v>SENDAS DISTRIBUIDORA SA</x:v>
      </x:c>
      <x:c r="C12288" s="16" t="n">
        <x:v>769.182016</x:v>
      </x:c>
      <x:c r="D12288" s="13" t="str">
        <x:v>Retail</x:v>
      </x:c>
      <x:c r="E12288" s="13" t="str">
        <x:v>Retail</x:v>
      </x:c>
      <x:c r="F12288" s="13" t="str">
        <x:v>Early Cyclicals</x:v>
      </x:c>
      <x:c r="G12288" s="13" t="str">
        <x:v>grid_wbaxp5t0.xlsx</x:v>
      </x:c>
    </x:row>
    <x:row r="12289">
      <x:c r="A12289" s="15" t="n">
        <x:v>45627</x:v>
      </x:c>
      <x:c r="B12289" s="13" t="str">
        <x:v>VIVARA PARTICIPACOES SA</x:v>
      </x:c>
      <x:c r="C12289" s="16" t="n">
        <x:v>569.454976</x:v>
      </x:c>
      <x:c r="D12289" s="13" t="str">
        <x:v>Retail</x:v>
      </x:c>
      <x:c r="E12289" s="13" t="str">
        <x:v>Retail</x:v>
      </x:c>
      <x:c r="F12289" s="13" t="str">
        <x:v>Early Cyclicals</x:v>
      </x:c>
      <x:c r="G12289" s="13" t="str">
        <x:v>grid_wbaxp5t0.xlsx</x:v>
      </x:c>
    </x:row>
    <x:row r="12290">
      <x:c r="A12290" s="15" t="n">
        <x:v>45627</x:v>
      </x:c>
      <x:c r="B12290" s="13" t="str">
        <x:v>CIA SANEAMENTO BASICO DE SP</x:v>
      </x:c>
      <x:c r="C12290" s="16" t="n">
        <x:v>4917.929984</x:v>
      </x:c>
      <x:c r="D12290" s="13" t="str">
        <x:v>Sanitation</x:v>
      </x:c>
      <x:c r="E12290" s="13" t="str">
        <x:v>Utilities</x:v>
      </x:c>
      <x:c r="F12290" s="13" t="str">
        <x:v>Defensives</x:v>
      </x:c>
      <x:c r="G12290" s="13" t="str">
        <x:v>grid_wbaxp5t0.xlsx</x:v>
      </x:c>
    </x:row>
    <x:row r="12291">
      <x:c r="A12291" s="15" t="n">
        <x:v>45627</x:v>
      </x:c>
      <x:c r="B12291" s="13" t="str">
        <x:v>LWSA SA</x:v>
      </x:c>
      <x:c r="C12291" s="16" t="n">
        <x:v>153.032992</x:v>
      </x:c>
      <x:c r="D12291" s="13" t="str">
        <x:v>TMT</x:v>
      </x:c>
      <x:c r="E12291" s="13" t="str">
        <x:v>TMT</x:v>
      </x:c>
      <x:c r="F12291" s="13" t="str">
        <x:v>Early Cyclicals</x:v>
      </x:c>
      <x:c r="G12291" s="13" t="str">
        <x:v>grid_wbaxp5t0.xlsx</x:v>
      </x:c>
    </x:row>
    <x:row r="12292">
      <x:c r="A12292" s="15" t="n">
        <x:v>45627</x:v>
      </x:c>
      <x:c r="B12292" s="13" t="str">
        <x:v>TIM SA</x:v>
      </x:c>
      <x:c r="C12292" s="16" t="n">
        <x:v>3851.72992</x:v>
      </x:c>
      <x:c r="D12292" s="13" t="str">
        <x:v>TMT</x:v>
      </x:c>
      <x:c r="E12292" s="13" t="str">
        <x:v>TMT</x:v>
      </x:c>
      <x:c r="F12292" s="13" t="str">
        <x:v>Early Cyclicals</x:v>
      </x:c>
      <x:c r="G12292" s="13" t="str">
        <x:v>grid_wbaxp5t0.xlsx</x:v>
      </x:c>
    </x:row>
    <x:row r="12293">
      <x:c r="A12293" s="15" t="n">
        <x:v>45627</x:v>
      </x:c>
      <x:c r="B12293" s="13" t="str">
        <x:v>TOTVS SA</x:v>
      </x:c>
      <x:c r="C12293" s="16" t="n">
        <x:v>852</x:v>
      </x:c>
      <x:c r="D12293" s="13" t="str">
        <x:v>TMT</x:v>
      </x:c>
      <x:c r="E12293" s="13" t="str">
        <x:v>TMT</x:v>
      </x:c>
      <x:c r="F12293" s="13" t="str">
        <x:v>Early Cyclicals</x:v>
      </x:c>
      <x:c r="G12293" s="13" t="str">
        <x:v>grid_wbaxp5t0.xlsx</x:v>
      </x:c>
    </x:row>
    <x:row r="12294">
      <x:c r="A12294" s="15" t="n">
        <x:v>45627</x:v>
      </x:c>
      <x:c r="B12294" s="13" t="str">
        <x:v>AZUL SA</x:v>
      </x:c>
      <x:c r="C12294" s="16" t="n">
        <x:v>-238.375008</x:v>
      </x:c>
      <x:c r="D12294" s="13" t="str">
        <x:v>Transportation</x:v>
      </x:c>
      <x:c r="E12294" s="13" t="str">
        <x:v>Transportation</x:v>
      </x:c>
      <x:c r="F12294" s="13" t="str">
        <x:v>Deep Cyclicals</x:v>
      </x:c>
      <x:c r="G12294" s="13" t="str">
        <x:v>grid_wbaxp5t0.xlsx</x:v>
      </x:c>
    </x:row>
    <x:row r="12295">
      <x:c r="A12295" s="15" t="n">
        <x:v>45627</x:v>
      </x:c>
      <x:c r="B12295" s="13" t="str">
        <x:v>LOCALIZA RENT A CAR</x:v>
      </x:c>
      <x:c r="C12295" s="16" t="n">
        <x:v>3657.090048</x:v>
      </x:c>
      <x:c r="D12295" s="13" t="str">
        <x:v>Transportation</x:v>
      </x:c>
      <x:c r="E12295" s="13" t="str">
        <x:v>Transportation</x:v>
      </x:c>
      <x:c r="F12295" s="13" t="str">
        <x:v>Deep Cyclicals</x:v>
      </x:c>
      <x:c r="G12295" s="13" t="str">
        <x:v>grid_wbaxp5t0.xlsx</x:v>
      </x:c>
    </x:row>
    <x:row r="12296">
      <x:c r="A12296" s="15" t="n">
        <x:v>45627</x:v>
      </x:c>
      <x:c r="B12296" s="13" t="str">
        <x:v>MOTIVA INFRAESTRUTURA DE MOB</x:v>
      </x:c>
      <x:c r="C12296" s="16" t="n">
        <x:v>1740.099968</x:v>
      </x:c>
      <x:c r="D12296" s="13" t="str">
        <x:v>Transportation</x:v>
      </x:c>
      <x:c r="E12296" s="13" t="str">
        <x:v>Transportation</x:v>
      </x:c>
      <x:c r="F12296" s="13" t="str">
        <x:v>Deep Cyclicals</x:v>
      </x:c>
      <x:c r="G12296" s="13" t="str">
        <x:v>grid_wbaxp5t0.xlsx</x:v>
      </x:c>
    </x:row>
    <x:row r="12297">
      <x:c r="A12297" s="15" t="n">
        <x:v>45627</x:v>
      </x:c>
      <x:c r="B12297" s="13" t="str">
        <x:v>RUMO SA</x:v>
      </x:c>
      <x:c r="C12297" s="16" t="n">
        <x:v>2496.999936</x:v>
      </x:c>
      <x:c r="D12297" s="13" t="str">
        <x:v>Transportation</x:v>
      </x:c>
      <x:c r="E12297" s="13" t="str">
        <x:v>Transportation</x:v>
      </x:c>
      <x:c r="F12297" s="13" t="str">
        <x:v>Deep Cyclicals</x:v>
      </x:c>
      <x:c r="G12297" s="13" t="str">
        <x:v>grid_wbaxp5t0.xlsx</x:v>
      </x:c>
    </x:row>
    <x:row r="12298">
      <x:c r="A12298" s="15" t="n">
        <x:v>45627</x:v>
      </x:c>
      <x:c r="B12298" s="13" t="str">
        <x:v>SANTOS BRASIL PARTICIPACOES</x:v>
      </x:c>
      <x:c r="C12298" s="16" t="n">
        <x:v>892.571008</x:v>
      </x:c>
      <x:c r="D12298" s="13" t="str">
        <x:v>Transportation</x:v>
      </x:c>
      <x:c r="E12298" s="13" t="str">
        <x:v>Transportation</x:v>
      </x:c>
      <x:c r="F12298" s="13" t="str">
        <x:v>Deep Cyclicals</x:v>
      </x:c>
      <x:c r="G12298" s="13" t="str">
        <x:v>grid_wbaxp5t0.xlsx</x:v>
      </x:c>
    </x:row>
    <x:row r="12299">
      <x:c r="A12299" s="15" t="n">
        <x:v>45627</x:v>
      </x:c>
      <x:c r="B12299" s="13" t="str">
        <x:v>VAMOS LOCACAO DE CAMINHOES M</x:v>
      </x:c>
      <x:c r="C12299" s="16" t="n">
        <x:v>965.091008</x:v>
      </x:c>
      <x:c r="D12299" s="13" t="str">
        <x:v>Transportation</x:v>
      </x:c>
      <x:c r="E12299" s="13" t="str">
        <x:v>Transportation</x:v>
      </x:c>
      <x:c r="F12299" s="13" t="str">
        <x:v>Deep Cyclicals</x:v>
      </x:c>
      <x:c r="G12299" s="13" t="str">
        <x:v>grid_wbaxp5t0.xlsx</x:v>
      </x:c>
    </x:row>
    <x:row r="12300">
      <x:c r="A12300" s="15" t="n">
        <x:v>45627</x:v>
      </x:c>
      <x:c r="B12300" s="13" t="str">
        <x:v>AUREN ENERGIA SA - ON</x:v>
      </x:c>
      <x:c r="C12300" s="16" t="n">
        <x:v>713</x:v>
      </x:c>
      <x:c r="D12300" s="13" t="str">
        <x:v>Utilities &amp; Energy</x:v>
      </x:c>
      <x:c r="E12300" s="13" t="str">
        <x:v>Utilities</x:v>
      </x:c>
      <x:c r="F12300" s="13" t="str">
        <x:v>Defensives</x:v>
      </x:c>
      <x:c r="G12300" s="13" t="str">
        <x:v>grid_wbaxp5t0.xlsx</x:v>
      </x:c>
    </x:row>
    <x:row r="12301">
      <x:c r="A12301" s="15" t="n">
        <x:v>45627</x:v>
      </x:c>
      <x:c r="B12301" s="13" t="str">
        <x:v>AXIA ENERGIA SA</x:v>
      </x:c>
      <x:c r="C12301" s="16" t="n">
        <x:v>9782.59968</x:v>
      </x:c>
      <x:c r="D12301" s="13" t="str">
        <x:v>Utilities &amp; Energy</x:v>
      </x:c>
      <x:c r="E12301" s="13" t="str">
        <x:v>Utilities</x:v>
      </x:c>
      <x:c r="F12301" s="13" t="str">
        <x:v>Defensives</x:v>
      </x:c>
      <x:c r="G12301" s="13" t="str">
        <x:v>grid_wbaxp5t0.xlsx</x:v>
      </x:c>
    </x:row>
    <x:row r="12302">
      <x:c r="A12302" s="15" t="n">
        <x:v>45627</x:v>
      </x:c>
      <x:c r="B12302" s="13" t="str">
        <x:v>AXIA ENERGIA-PR B</x:v>
      </x:c>
      <x:c r="C12302" s="16" t="n">
        <x:v>9782.59968</x:v>
      </x:c>
      <x:c r="D12302" s="13" t="str">
        <x:v>Utilities &amp; Energy</x:v>
      </x:c>
      <x:c r="E12302" s="13" t="str">
        <x:v>Utilities</x:v>
      </x:c>
      <x:c r="F12302" s="13" t="str">
        <x:v>Defensives</x:v>
      </x:c>
      <x:c r="G12302" s="13" t="str">
        <x:v>grid_wbaxp5t0.xlsx</x:v>
      </x:c>
    </x:row>
    <x:row r="12303">
      <x:c r="A12303" s="15" t="n">
        <x:v>45627</x:v>
      </x:c>
      <x:c r="B12303" s="13" t="str">
        <x:v>CIA ENERGETICA MINAS GER-PRF</x:v>
      </x:c>
      <x:c r="C12303" s="16" t="n">
        <x:v>4356.499968</x:v>
      </x:c>
      <x:c r="D12303" s="13" t="str">
        <x:v>Utilities &amp; Energy</x:v>
      </x:c>
      <x:c r="E12303" s="13" t="str">
        <x:v>Utilities</x:v>
      </x:c>
      <x:c r="F12303" s="13" t="str">
        <x:v>Defensives</x:v>
      </x:c>
      <x:c r="G12303" s="13" t="str">
        <x:v>grid_wbaxp5t0.xlsx</x:v>
      </x:c>
    </x:row>
    <x:row r="12304">
      <x:c r="A12304" s="15" t="n">
        <x:v>45627</x:v>
      </x:c>
      <x:c r="B12304" s="13" t="str">
        <x:v>COMPANHIA PARANAENSE -PREF B</x:v>
      </x:c>
      <x:c r="C12304" s="16" t="n">
        <x:v>1967.779968</x:v>
      </x:c>
      <x:c r="D12304" s="13" t="str">
        <x:v>Utilities &amp; Energy</x:v>
      </x:c>
      <x:c r="E12304" s="13" t="str">
        <x:v>Utilities</x:v>
      </x:c>
      <x:c r="F12304" s="13" t="str">
        <x:v>Defensives</x:v>
      </x:c>
      <x:c r="G12304" s="13" t="str">
        <x:v>grid_wbaxp5t0.xlsx</x:v>
      </x:c>
    </x:row>
    <x:row r="12305">
      <x:c r="A12305" s="15" t="n">
        <x:v>45627</x:v>
      </x:c>
      <x:c r="B12305" s="13" t="str">
        <x:v>CPFL ENERGIA SA</x:v>
      </x:c>
      <x:c r="C12305" s="16" t="n">
        <x:v>4827.440128</x:v>
      </x:c>
      <x:c r="D12305" s="13" t="str">
        <x:v>Utilities &amp; Energy</x:v>
      </x:c>
      <x:c r="E12305" s="13" t="str">
        <x:v>Utilities</x:v>
      </x:c>
      <x:c r="F12305" s="13" t="str">
        <x:v>Defensives</x:v>
      </x:c>
      <x:c r="G12305" s="13" t="str">
        <x:v>grid_wbaxp5t0.xlsx</x:v>
      </x:c>
    </x:row>
    <x:row r="12306">
      <x:c r="A12306" s="15" t="n">
        <x:v>45627</x:v>
      </x:c>
      <x:c r="B12306" s="13" t="str">
        <x:v>ENERGISA SA-UNITS</x:v>
      </x:c>
      <x:c r="C12306" s="16" t="n">
        <x:v>2145.449984</x:v>
      </x:c>
      <x:c r="D12306" s="13" t="str">
        <x:v>Utilities &amp; Energy</x:v>
      </x:c>
      <x:c r="E12306" s="13" t="str">
        <x:v>Utilities</x:v>
      </x:c>
      <x:c r="F12306" s="13" t="str">
        <x:v>Defensives</x:v>
      </x:c>
      <x:c r="G12306" s="13" t="str">
        <x:v>grid_wbaxp5t0.xlsx</x:v>
      </x:c>
    </x:row>
    <x:row r="12307">
      <x:c r="A12307" s="15" t="n">
        <x:v>45627</x:v>
      </x:c>
      <x:c r="B12307" s="13" t="str">
        <x:v>ENEVA SA</x:v>
      </x:c>
      <x:c r="C12307" s="16" t="n">
        <x:v>1541.570048</x:v>
      </x:c>
      <x:c r="D12307" s="13" t="str">
        <x:v>Utilities &amp; Energy</x:v>
      </x:c>
      <x:c r="E12307" s="13" t="str">
        <x:v>Utilities</x:v>
      </x:c>
      <x:c r="F12307" s="13" t="str">
        <x:v>Defensives</x:v>
      </x:c>
      <x:c r="G12307" s="13" t="str">
        <x:v>grid_wbaxp5t0.xlsx</x:v>
      </x:c>
    </x:row>
    <x:row r="12308">
      <x:c r="A12308" s="15" t="n">
        <x:v>45627</x:v>
      </x:c>
      <x:c r="B12308" s="13" t="str">
        <x:v>ENGIE BRASIL ENERGIA SA</x:v>
      </x:c>
      <x:c r="C12308" s="16" t="n">
        <x:v>3623.800064</x:v>
      </x:c>
      <x:c r="D12308" s="13" t="str">
        <x:v>Utilities &amp; Energy</x:v>
      </x:c>
      <x:c r="E12308" s="13" t="str">
        <x:v>Utilities</x:v>
      </x:c>
      <x:c r="F12308" s="13" t="str">
        <x:v>Defensives</x:v>
      </x:c>
      <x:c r="G12308" s="13" t="str">
        <x:v>grid_wbaxp5t0.xlsx</x:v>
      </x:c>
    </x:row>
    <x:row r="12309">
      <x:c r="A12309" s="15" t="n">
        <x:v>45627</x:v>
      </x:c>
      <x:c r="B12309" s="13" t="str">
        <x:v>EQUATORIAL SA - ORD</x:v>
      </x:c>
      <x:c r="C12309" s="16" t="n">
        <x:v>3323.770112</x:v>
      </x:c>
      <x:c r="D12309" s="13" t="str">
        <x:v>Utilities &amp; Energy</x:v>
      </x:c>
      <x:c r="E12309" s="13" t="str">
        <x:v>Utilities</x:v>
      </x:c>
      <x:c r="F12309" s="13" t="str">
        <x:v>Defensives</x:v>
      </x:c>
      <x:c r="G12309" s="13" t="str">
        <x:v>grid_wbaxp5t0.xlsx</x:v>
      </x:c>
    </x:row>
    <x:row r="12310">
      <x:c r="A12310" s="15" t="n">
        <x:v>45627</x:v>
      </x:c>
      <x:c r="B12310" s="13" t="str">
        <x:v>ISA ENERGIA BRASIL SA</x:v>
      </x:c>
      <x:c r="C12310" s="16" t="n">
        <x:v>1573.670016</x:v>
      </x:c>
      <x:c r="D12310" s="13" t="str">
        <x:v>Utilities &amp; Energy</x:v>
      </x:c>
      <x:c r="E12310" s="13" t="str">
        <x:v>Utilities</x:v>
      </x:c>
      <x:c r="F12310" s="13" t="str">
        <x:v>Defensives</x:v>
      </x:c>
      <x:c r="G12310" s="13" t="str">
        <x:v>grid_wbaxp5t0.xlsx</x:v>
      </x:c>
    </x:row>
    <x:row r="12311">
      <x:c r="A12311" s="15" t="n">
        <x:v>45627</x:v>
      </x:c>
      <x:c r="B12311" s="13" t="str">
        <x:v>TRANSMISSORA ALIANCA DE-UNIT</x:v>
      </x:c>
      <x:c r="C12311" s="16" t="n">
        <x:v>1098.329984</x:v>
      </x:c>
      <x:c r="D12311" s="13" t="str">
        <x:v>Utilities &amp; Energy</x:v>
      </x:c>
      <x:c r="E12311" s="13" t="str">
        <x:v>Utilities</x:v>
      </x:c>
      <x:c r="F12311" s="13" t="str">
        <x:v>Defensives</x:v>
      </x:c>
      <x:c r="G12311" s="13" t="str">
        <x:v>grid_wbaxp5t0.xlsx</x:v>
      </x:c>
    </x:row>
    <x:row r="12312">
      <x:c r="A12312" s="15" t="n">
        <x:v>45658</x:v>
      </x:c>
      <x:c r="B12312" s="13" t="str">
        <x:v>RAIZEN SA - PREFERENCE</x:v>
      </x:c>
      <x:c r="C12312" s="16" t="n">
        <x:v>2383.5746240877</x:v>
      </x:c>
      <x:c r="D12312" s="13" t="str">
        <x:v>Agribusiness</x:v>
      </x:c>
      <x:c r="E12312" s="13" t="str">
        <x:v>Agri, Food &amp; Beverages</x:v>
      </x:c>
      <x:c r="F12312" s="13" t="str">
        <x:v>Defensives</x:v>
      </x:c>
      <x:c r="G12312" s="13" t="str">
        <x:v>grid_wbaxp5t0.xlsx</x:v>
      </x:c>
    </x:row>
    <x:row r="12313">
      <x:c r="A12313" s="15" t="n">
        <x:v>45658</x:v>
      </x:c>
      <x:c r="B12313" s="13" t="str">
        <x:v>SAO MARTINHO SA</x:v>
      </x:c>
      <x:c r="C12313" s="16" t="n">
        <x:v>915.3399865863</x:v>
      </x:c>
      <x:c r="D12313" s="13" t="str">
        <x:v>Agribusiness</x:v>
      </x:c>
      <x:c r="E12313" s="13" t="str">
        <x:v>Agri, Food &amp; Beverages</x:v>
      </x:c>
      <x:c r="F12313" s="13" t="str">
        <x:v>Defensives</x:v>
      </x:c>
      <x:c r="G12313" s="13" t="str">
        <x:v>grid_wbaxp5t0.xlsx</x:v>
      </x:c>
    </x:row>
    <x:row r="12314">
      <x:c r="A12314" s="15" t="n">
        <x:v>45658</x:v>
      </x:c>
      <x:c r="B12314" s="13" t="str">
        <x:v>SLC AGRICOLA SA</x:v>
      </x:c>
      <x:c r="C12314" s="16" t="n">
        <x:v>894.0924584329</x:v>
      </x:c>
      <x:c r="D12314" s="13" t="str">
        <x:v>Agribusiness</x:v>
      </x:c>
      <x:c r="E12314" s="13" t="str">
        <x:v>Agri, Food &amp; Beverages</x:v>
      </x:c>
      <x:c r="F12314" s="13" t="str">
        <x:v>Defensives</x:v>
      </x:c>
      <x:c r="G12314" s="13" t="str">
        <x:v>grid_wbaxp5t0.xlsx</x:v>
      </x:c>
    </x:row>
    <x:row r="12315">
      <x:c r="A12315" s="15" t="n">
        <x:v>45658</x:v>
      </x:c>
      <x:c r="B12315" s="13" t="str">
        <x:v>BANCO BRADESCO S.A.</x:v>
      </x:c>
      <x:c r="C12315" s="16" t="n">
        <x:v>22726.9712853918</x:v>
      </x:c>
      <x:c r="D12315" s="13" t="str">
        <x:v>Banks</x:v>
      </x:c>
      <x:c r="E12315" s="13" t="str">
        <x:v>Banks</x:v>
      </x:c>
      <x:c r="F12315" s="13" t="str">
        <x:v>Financials</x:v>
      </x:c>
      <x:c r="G12315" s="13" t="str">
        <x:v>grid_wbaxp5t0.xlsx</x:v>
      </x:c>
    </x:row>
    <x:row r="12316">
      <x:c r="A12316" s="15" t="n">
        <x:v>45658</x:v>
      </x:c>
      <x:c r="B12316" s="13" t="str">
        <x:v>BANCO BRADESCO SA-PREF</x:v>
      </x:c>
      <x:c r="C12316" s="16" t="n">
        <x:v>22726.9712853918</x:v>
      </x:c>
      <x:c r="D12316" s="13" t="str">
        <x:v>Banks</x:v>
      </x:c>
      <x:c r="E12316" s="13" t="str">
        <x:v>Banks</x:v>
      </x:c>
      <x:c r="F12316" s="13" t="str">
        <x:v>Financials</x:v>
      </x:c>
      <x:c r="G12316" s="13" t="str">
        <x:v>grid_wbaxp5t0.xlsx</x:v>
      </x:c>
    </x:row>
    <x:row r="12317">
      <x:c r="A12317" s="15" t="n">
        <x:v>45658</x:v>
      </x:c>
      <x:c r="B12317" s="13" t="str">
        <x:v>BANCO BTG PACTUAL SA-UNIT</x:v>
      </x:c>
      <x:c r="C12317" s="16" t="n">
        <x:v>14542.3011278904</x:v>
      </x:c>
      <x:c r="D12317" s="13" t="str">
        <x:v>Banks</x:v>
      </x:c>
      <x:c r="E12317" s="13" t="str">
        <x:v>Banks</x:v>
      </x:c>
      <x:c r="F12317" s="13" t="str">
        <x:v>Financials</x:v>
      </x:c>
      <x:c r="G12317" s="13" t="str">
        <x:v>grid_wbaxp5t0.xlsx</x:v>
      </x:c>
    </x:row>
    <x:row r="12318">
      <x:c r="A12318" s="15" t="n">
        <x:v>45658</x:v>
      </x:c>
      <x:c r="B12318" s="13" t="str">
        <x:v>BANCO DO BRASIL S.A.</x:v>
      </x:c>
      <x:c r="C12318" s="16" t="n">
        <x:v>39393.347724274</x:v>
      </x:c>
      <x:c r="D12318" s="13" t="str">
        <x:v>Banks</x:v>
      </x:c>
      <x:c r="E12318" s="13" t="str">
        <x:v>Banks</x:v>
      </x:c>
      <x:c r="F12318" s="13" t="str">
        <x:v>Financials</x:v>
      </x:c>
      <x:c r="G12318" s="13" t="str">
        <x:v>grid_wbaxp5t0.xlsx</x:v>
      </x:c>
    </x:row>
    <x:row r="12319">
      <x:c r="A12319" s="15" t="n">
        <x:v>45658</x:v>
      </x:c>
      <x:c r="B12319" s="13" t="str">
        <x:v>BANCO SANTANDER  BRASIL-UNIT</x:v>
      </x:c>
      <x:c r="C12319" s="16" t="n">
        <x:v>15829.5228135452</x:v>
      </x:c>
      <x:c r="D12319" s="13" t="str">
        <x:v>Banks</x:v>
      </x:c>
      <x:c r="E12319" s="13" t="str">
        <x:v>Banks</x:v>
      </x:c>
      <x:c r="F12319" s="13" t="str">
        <x:v>Financials</x:v>
      </x:c>
      <x:c r="G12319" s="13" t="str">
        <x:v>grid_wbaxp5t0.xlsx</x:v>
      </x:c>
    </x:row>
    <x:row r="12320">
      <x:c r="A12320" s="15" t="n">
        <x:v>45658</x:v>
      </x:c>
      <x:c r="B12320" s="13" t="str">
        <x:v>ITAU UNIBANCO HOLDING S-PREF</x:v>
      </x:c>
      <x:c r="C12320" s="16" t="n">
        <x:v>46601.3907028164</x:v>
      </x:c>
      <x:c r="D12320" s="13" t="str">
        <x:v>Banks</x:v>
      </x:c>
      <x:c r="E12320" s="13" t="str">
        <x:v>Banks</x:v>
      </x:c>
      <x:c r="F12320" s="13" t="str">
        <x:v>Financials</x:v>
      </x:c>
      <x:c r="G12320" s="13" t="str">
        <x:v>grid_wbaxp5t0.xlsx</x:v>
      </x:c>
    </x:row>
    <x:row r="12321">
      <x:c r="A12321" s="15" t="n">
        <x:v>45658</x:v>
      </x:c>
      <x:c r="B12321" s="13" t="str">
        <x:v>EMBRAER SA</x:v>
      </x:c>
      <x:c r="C12321" s="16" t="n">
        <x:v>2350.3844632548</x:v>
      </x:c>
      <x:c r="D12321" s="13" t="str">
        <x:v>Capital Goods</x:v>
      </x:c>
      <x:c r="E12321" s="13" t="str">
        <x:v>Capital Goods</x:v>
      </x:c>
      <x:c r="F12321" s="13" t="str">
        <x:v>Deep Cyclicals</x:v>
      </x:c>
      <x:c r="G12321" s="13" t="str">
        <x:v>grid_wbaxp5t0.xlsx</x:v>
      </x:c>
    </x:row>
    <x:row r="12322">
      <x:c r="A12322" s="15" t="n">
        <x:v>45658</x:v>
      </x:c>
      <x:c r="B12322" s="13" t="str">
        <x:v>MARCOPOLO SA-PREF</x:v>
      </x:c>
      <x:c r="C12322" s="16" t="n">
        <x:v>1369.8427342904</x:v>
      </x:c>
      <x:c r="D12322" s="13" t="str">
        <x:v>Capital Goods</x:v>
      </x:c>
      <x:c r="E12322" s="13" t="str">
        <x:v>Capital Goods</x:v>
      </x:c>
      <x:c r="F12322" s="13" t="str">
        <x:v>Deep Cyclicals</x:v>
      </x:c>
      <x:c r="G12322" s="13" t="str">
        <x:v>grid_wbaxp5t0.xlsx</x:v>
      </x:c>
    </x:row>
    <x:row r="12323">
      <x:c r="A12323" s="15" t="n">
        <x:v>45658</x:v>
      </x:c>
      <x:c r="B12323" s="13" t="str">
        <x:v>WEG SA</x:v>
      </x:c>
      <x:c r="C12323" s="16" t="n">
        <x:v>7521.219750926</x:v>
      </x:c>
      <x:c r="D12323" s="13" t="str">
        <x:v>Capital Goods</x:v>
      </x:c>
      <x:c r="E12323" s="13" t="str">
        <x:v>Capital Goods</x:v>
      </x:c>
      <x:c r="F12323" s="13" t="str">
        <x:v>Deep Cyclicals</x:v>
      </x:c>
      <x:c r="G12323" s="13" t="str">
        <x:v>grid_wbaxp5t0.xlsx</x:v>
      </x:c>
    </x:row>
    <x:row r="12324">
      <x:c r="A12324" s="15" t="n">
        <x:v>45658</x:v>
      </x:c>
      <x:c r="B12324" s="13" t="str">
        <x:v>COGNA EDUCACAO</x:v>
      </x:c>
      <x:c r="C12324" s="16" t="n">
        <x:v>354.3691707616</x:v>
      </x:c>
      <x:c r="D12324" s="13" t="str">
        <x:v>Education</x:v>
      </x:c>
      <x:c r="E12324" s="13" t="str">
        <x:v>Education</x:v>
      </x:c>
      <x:c r="F12324" s="13" t="str">
        <x:v>Early Cyclicals</x:v>
      </x:c>
      <x:c r="G12324" s="13" t="str">
        <x:v>grid_wbaxp5t0.xlsx</x:v>
      </x:c>
    </x:row>
    <x:row r="12325">
      <x:c r="A12325" s="15" t="n">
        <x:v>45658</x:v>
      </x:c>
      <x:c r="B12325" s="13" t="str">
        <x:v>YDUQS PARTICIPACOES SA</x:v>
      </x:c>
      <x:c r="C12325" s="16" t="n">
        <x:v>446.0785490411</x:v>
      </x:c>
      <x:c r="D12325" s="13" t="str">
        <x:v>Education</x:v>
      </x:c>
      <x:c r="E12325" s="13" t="str">
        <x:v>Education</x:v>
      </x:c>
      <x:c r="F12325" s="13" t="str">
        <x:v>Early Cyclicals</x:v>
      </x:c>
      <x:c r="G12325" s="13" t="str">
        <x:v>grid_wbaxp5t0.xlsx</x:v>
      </x:c>
    </x:row>
    <x:row r="12326">
      <x:c r="A12326" s="15" t="n">
        <x:v>45658</x:v>
      </x:c>
      <x:c r="B12326" s="13" t="str">
        <x:v>B3 SA-BRASIL BOLSA BALCAO</x:v>
      </x:c>
      <x:c r="C12326" s="16" t="n">
        <x:v>5049.0293486466</x:v>
      </x:c>
      <x:c r="D12326" s="13" t="str">
        <x:v>Financials Non-Banks</x:v>
      </x:c>
      <x:c r="E12326" s="13" t="str">
        <x:v>Financials Non-Banks</x:v>
      </x:c>
      <x:c r="F12326" s="13" t="str">
        <x:v>Financials</x:v>
      </x:c>
      <x:c r="G12326" s="13" t="str">
        <x:v>grid_wbaxp5t0.xlsx</x:v>
      </x:c>
    </x:row>
    <x:row r="12327">
      <x:c r="A12327" s="15" t="n">
        <x:v>45658</x:v>
      </x:c>
      <x:c r="B12327" s="13" t="str">
        <x:v>BB SEGURIDADE PARTICIPACOES</x:v>
      </x:c>
      <x:c r="C12327" s="16" t="n">
        <x:v>8855.4288142027</x:v>
      </x:c>
      <x:c r="D12327" s="13" t="str">
        <x:v>Financials Non-Banks</x:v>
      </x:c>
      <x:c r="E12327" s="13" t="str">
        <x:v>Financials Non-Banks</x:v>
      </x:c>
      <x:c r="F12327" s="13" t="str">
        <x:v>Financials</x:v>
      </x:c>
      <x:c r="G12327" s="13" t="str">
        <x:v>grid_wbaxp5t0.xlsx</x:v>
      </x:c>
    </x:row>
    <x:row r="12328">
      <x:c r="A12328" s="15" t="n">
        <x:v>45658</x:v>
      </x:c>
      <x:c r="B12328" s="13" t="str">
        <x:v>CAIXA SEGURIDADE PARTICIPACO</x:v>
      </x:c>
      <x:c r="C12328" s="16" t="n">
        <x:v>4443.0670609534</x:v>
      </x:c>
      <x:c r="D12328" s="13" t="str">
        <x:v>Financials Non-Banks</x:v>
      </x:c>
      <x:c r="E12328" s="13" t="str">
        <x:v>Financials Non-Banks</x:v>
      </x:c>
      <x:c r="F12328" s="13" t="str">
        <x:v>Financials</x:v>
      </x:c>
      <x:c r="G12328" s="13" t="str">
        <x:v>grid_wbaxp5t0.xlsx</x:v>
      </x:c>
    </x:row>
    <x:row r="12329">
      <x:c r="A12329" s="15" t="n">
        <x:v>45658</x:v>
      </x:c>
      <x:c r="B12329" s="13" t="str">
        <x:v>IRB BRASIL RESSEGUROS SA</x:v>
      </x:c>
      <x:c r="C12329" s="16" t="n">
        <x:v>549.5943732603</x:v>
      </x:c>
      <x:c r="D12329" s="13" t="str">
        <x:v>Financials Non-Banks</x:v>
      </x:c>
      <x:c r="E12329" s="13" t="str">
        <x:v>Financials Non-Banks</x:v>
      </x:c>
      <x:c r="F12329" s="13" t="str">
        <x:v>Financials</x:v>
      </x:c>
      <x:c r="G12329" s="13" t="str">
        <x:v>grid_wbaxp5t0.xlsx</x:v>
      </x:c>
    </x:row>
    <x:row r="12330">
      <x:c r="A12330" s="15" t="n">
        <x:v>45658</x:v>
      </x:c>
      <x:c r="B12330" s="13" t="str">
        <x:v>ITAUSA SA</x:v>
      </x:c>
      <x:c r="C12330" s="16" t="n">
        <x:v>16958.3032067507</x:v>
      </x:c>
      <x:c r="D12330" s="13" t="str">
        <x:v>Financials Non-Banks</x:v>
      </x:c>
      <x:c r="E12330" s="13" t="str">
        <x:v>Financials Non-Banks</x:v>
      </x:c>
      <x:c r="F12330" s="13" t="str">
        <x:v>Financials</x:v>
      </x:c>
      <x:c r="G12330" s="13" t="str">
        <x:v>grid_wbaxp5t0.xlsx</x:v>
      </x:c>
    </x:row>
    <x:row r="12331">
      <x:c r="A12331" s="15" t="n">
        <x:v>45658</x:v>
      </x:c>
      <x:c r="B12331" s="13" t="str">
        <x:v>PORTO SEGURO SA</x:v>
      </x:c>
      <x:c r="C12331" s="16" t="n">
        <x:v>3100.1747315726</x:v>
      </x:c>
      <x:c r="D12331" s="13" t="str">
        <x:v>Financials Non-Banks</x:v>
      </x:c>
      <x:c r="E12331" s="13" t="str">
        <x:v>Financials Non-Banks</x:v>
      </x:c>
      <x:c r="F12331" s="13" t="str">
        <x:v>Financials</x:v>
      </x:c>
      <x:c r="G12331" s="13" t="str">
        <x:v>grid_wbaxp5t0.xlsx</x:v>
      </x:c>
    </x:row>
    <x:row r="12332">
      <x:c r="A12332" s="15" t="n">
        <x:v>45658</x:v>
      </x:c>
      <x:c r="B12332" s="13" t="str">
        <x:v>AMBEV SA</x:v>
      </x:c>
      <x:c r="C12332" s="16" t="n">
        <x:v>15519.5580135452</x:v>
      </x:c>
      <x:c r="D12332" s="13" t="str">
        <x:v>Food &amp; Beverages</x:v>
      </x:c>
      <x:c r="E12332" s="13" t="str">
        <x:v>Agri, Food &amp; Beverages</x:v>
      </x:c>
      <x:c r="F12332" s="13" t="str">
        <x:v>Defensives</x:v>
      </x:c>
      <x:c r="G12332" s="13" t="str">
        <x:v>grid_wbaxp5t0.xlsx</x:v>
      </x:c>
    </x:row>
    <x:row r="12333">
      <x:c r="A12333" s="15" t="n">
        <x:v>45658</x:v>
      </x:c>
      <x:c r="B12333" s="13" t="str">
        <x:v>BRF SA</x:v>
      </x:c>
      <x:c r="C12333" s="16" t="n">
        <x:v>3933.1152475178</x:v>
      </x:c>
      <x:c r="D12333" s="13" t="str">
        <x:v>Food &amp; Beverages</x:v>
      </x:c>
      <x:c r="E12333" s="13" t="str">
        <x:v>Agri, Food &amp; Beverages</x:v>
      </x:c>
      <x:c r="F12333" s="13" t="str">
        <x:v>Defensives</x:v>
      </x:c>
      <x:c r="G12333" s="13" t="str">
        <x:v>grid_wbaxp5t0.xlsx</x:v>
      </x:c>
    </x:row>
    <x:row r="12334">
      <x:c r="A12334" s="15" t="n">
        <x:v>45658</x:v>
      </x:c>
      <x:c r="B12334" s="13" t="str">
        <x:v>MBRF GLOBAL FOODS COMPANY SA</x:v>
      </x:c>
      <x:c r="C12334" s="16" t="n">
        <x:v>212.3643835616</x:v>
      </x:c>
      <x:c r="D12334" s="13" t="str">
        <x:v>Food &amp; Beverages</x:v>
      </x:c>
      <x:c r="E12334" s="13" t="str">
        <x:v>Agri, Food &amp; Beverages</x:v>
      </x:c>
      <x:c r="F12334" s="13" t="str">
        <x:v>Defensives</x:v>
      </x:c>
      <x:c r="G12334" s="13" t="str">
        <x:v>grid_wbaxp5t0.xlsx</x:v>
      </x:c>
    </x:row>
    <x:row r="12335">
      <x:c r="A12335" s="15" t="n">
        <x:v>45658</x:v>
      </x:c>
      <x:c r="B12335" s="13" t="str">
        <x:v>MINERVA SA</x:v>
      </x:c>
      <x:c r="C12335" s="16" t="n">
        <x:v>328.7695433644</x:v>
      </x:c>
      <x:c r="D12335" s="13" t="str">
        <x:v>Food &amp; Beverages</x:v>
      </x:c>
      <x:c r="E12335" s="13" t="str">
        <x:v>Agri, Food &amp; Beverages</x:v>
      </x:c>
      <x:c r="F12335" s="13" t="str">
        <x:v>Defensives</x:v>
      </x:c>
      <x:c r="G12335" s="13" t="str">
        <x:v>grid_wbaxp5t0.xlsx</x:v>
      </x:c>
    </x:row>
    <x:row r="12336">
      <x:c r="A12336" s="15" t="n">
        <x:v>45658</x:v>
      </x:c>
      <x:c r="B12336" s="13" t="str">
        <x:v>FLEURY SA</x:v>
      </x:c>
      <x:c r="C12336" s="16" t="n">
        <x:v>685.5145024877</x:v>
      </x:c>
      <x:c r="D12336" s="13" t="str">
        <x:v>Health Care</x:v>
      </x:c>
      <x:c r="E12336" s="13" t="str">
        <x:v>Health Care</x:v>
      </x:c>
      <x:c r="F12336" s="13" t="str">
        <x:v>Defensives</x:v>
      </x:c>
      <x:c r="G12336" s="13" t="str">
        <x:v>grid_wbaxp5t0.xlsx</x:v>
      </x:c>
    </x:row>
    <x:row r="12337">
      <x:c r="A12337" s="15" t="n">
        <x:v>45658</x:v>
      </x:c>
      <x:c r="B12337" s="13" t="str">
        <x:v>HAPVIDA PARTICIPACOES E INVE</x:v>
      </x:c>
      <x:c r="C12337" s="16" t="n">
        <x:v>1615.9480656657</x:v>
      </x:c>
      <x:c r="D12337" s="13" t="str">
        <x:v>Health Care</x:v>
      </x:c>
      <x:c r="E12337" s="13" t="str">
        <x:v>Health Care</x:v>
      </x:c>
      <x:c r="F12337" s="13" t="str">
        <x:v>Defensives</x:v>
      </x:c>
      <x:c r="G12337" s="13" t="str">
        <x:v>grid_wbaxp5t0.xlsx</x:v>
      </x:c>
    </x:row>
    <x:row r="12338">
      <x:c r="A12338" s="15" t="n">
        <x:v>45658</x:v>
      </x:c>
      <x:c r="B12338" s="13" t="str">
        <x:v>HYPERA SA</x:v>
      </x:c>
      <x:c r="C12338" s="16" t="n">
        <x:v>1252.3670310575</x:v>
      </x:c>
      <x:c r="D12338" s="13" t="str">
        <x:v>Health Care</x:v>
      </x:c>
      <x:c r="E12338" s="13" t="str">
        <x:v>Health Care</x:v>
      </x:c>
      <x:c r="F12338" s="13" t="str">
        <x:v>Defensives</x:v>
      </x:c>
      <x:c r="G12338" s="13" t="str">
        <x:v>grid_wbaxp5t0.xlsx</x:v>
      </x:c>
    </x:row>
    <x:row r="12339">
      <x:c r="A12339" s="15" t="n">
        <x:v>45658</x:v>
      </x:c>
      <x:c r="B12339" s="13" t="str">
        <x:v>REDE D'OR SAO LUIZ SA</x:v>
      </x:c>
      <x:c r="C12339" s="16" t="n">
        <x:v>4147.9668693918</x:v>
      </x:c>
      <x:c r="D12339" s="13" t="str">
        <x:v>Health Care</x:v>
      </x:c>
      <x:c r="E12339" s="13" t="str">
        <x:v>Health Care</x:v>
      </x:c>
      <x:c r="F12339" s="13" t="str">
        <x:v>Defensives</x:v>
      </x:c>
      <x:c r="G12339" s="13" t="str">
        <x:v>grid_wbaxp5t0.xlsx</x:v>
      </x:c>
    </x:row>
    <x:row r="12340">
      <x:c r="A12340" s="15" t="n">
        <x:v>45658</x:v>
      </x:c>
      <x:c r="B12340" s="13" t="str">
        <x:v>CYRELA BRAZIL REALTY SA EMP</x:v>
      </x:c>
      <x:c r="C12340" s="16" t="n">
        <x:v>1624.1744717151</x:v>
      </x:c>
      <x:c r="D12340" s="13" t="str">
        <x:v>Homebuilders</x:v>
      </x:c>
      <x:c r="E12340" s="13" t="str">
        <x:v>Real Estate</x:v>
      </x:c>
      <x:c r="F12340" s="13" t="str">
        <x:v>Early Cyclicals</x:v>
      </x:c>
      <x:c r="G12340" s="13" t="str">
        <x:v>grid_wbaxp5t0.xlsx</x:v>
      </x:c>
    </x:row>
    <x:row r="12341">
      <x:c r="A12341" s="15" t="n">
        <x:v>45658</x:v>
      </x:c>
      <x:c r="B12341" s="13" t="str">
        <x:v>MRV ENGENHARIA</x:v>
      </x:c>
      <x:c r="C12341" s="16" t="n">
        <x:v>662.3622272</x:v>
      </x:c>
      <x:c r="D12341" s="13" t="str">
        <x:v>Homebuilders</x:v>
      </x:c>
      <x:c r="E12341" s="13" t="str">
        <x:v>Real Estate</x:v>
      </x:c>
      <x:c r="F12341" s="13" t="str">
        <x:v>Early Cyclicals</x:v>
      </x:c>
      <x:c r="G12341" s="13" t="str">
        <x:v>grid_wbaxp5t0.xlsx</x:v>
      </x:c>
    </x:row>
    <x:row r="12342">
      <x:c r="A12342" s="15" t="n">
        <x:v>45658</x:v>
      </x:c>
      <x:c r="B12342" s="13" t="str">
        <x:v>ALLOS SA</x:v>
      </x:c>
      <x:c r="C12342" s="16" t="n">
        <x:v>727.6440163945</x:v>
      </x:c>
      <x:c r="D12342" s="13" t="str">
        <x:v>Income Properties</x:v>
      </x:c>
      <x:c r="E12342" s="13" t="str">
        <x:v>Real Estate</x:v>
      </x:c>
      <x:c r="F12342" s="13" t="str">
        <x:v>Early Cyclicals</x:v>
      </x:c>
      <x:c r="G12342" s="13" t="str">
        <x:v>grid_wbaxp5t0.xlsx</x:v>
      </x:c>
    </x:row>
    <x:row r="12343">
      <x:c r="A12343" s="15" t="n">
        <x:v>45658</x:v>
      </x:c>
      <x:c r="B12343" s="13" t="str">
        <x:v>IGUATEMI SA - UNITS</x:v>
      </x:c>
      <x:c r="C12343" s="16" t="n">
        <x:v>533.508012537</x:v>
      </x:c>
      <x:c r="D12343" s="13" t="str">
        <x:v>Income Properties</x:v>
      </x:c>
      <x:c r="E12343" s="13" t="str">
        <x:v>Real Estate</x:v>
      </x:c>
      <x:c r="F12343" s="13" t="str">
        <x:v>Early Cyclicals</x:v>
      </x:c>
      <x:c r="G12343" s="13" t="str">
        <x:v>grid_wbaxp5t0.xlsx</x:v>
      </x:c>
    </x:row>
    <x:row r="12344">
      <x:c r="A12344" s="15" t="n">
        <x:v>45658</x:v>
      </x:c>
      <x:c r="B12344" s="13" t="str">
        <x:v>MULTIPLAN EMPREENDIMENTOS</x:v>
      </x:c>
      <x:c r="C12344" s="16" t="n">
        <x:v>1097.9305433425</x:v>
      </x:c>
      <x:c r="D12344" s="13" t="str">
        <x:v>Income Properties</x:v>
      </x:c>
      <x:c r="E12344" s="13" t="str">
        <x:v>Real Estate</x:v>
      </x:c>
      <x:c r="F12344" s="13" t="str">
        <x:v>Early Cyclicals</x:v>
      </x:c>
      <x:c r="G12344" s="13" t="str">
        <x:v>grid_wbaxp5t0.xlsx</x:v>
      </x:c>
    </x:row>
    <x:row r="12345">
      <x:c r="A12345" s="15" t="n">
        <x:v>45658</x:v>
      </x:c>
      <x:c r="B12345" s="13" t="str">
        <x:v>BRADESPAR SA -PREF</x:v>
      </x:c>
      <x:c r="C12345" s="16" t="n">
        <x:v>1376.2520547945</x:v>
      </x:c>
      <x:c r="D12345" s="13" t="str">
        <x:v>Metals &amp; Mining</x:v>
      </x:c>
      <x:c r="E12345" s="13" t="str">
        <x:v>Metals &amp; Mining</x:v>
      </x:c>
      <x:c r="F12345" s="13" t="str">
        <x:v>Deep Cyclicals</x:v>
      </x:c>
      <x:c r="G12345" s="13" t="str">
        <x:v>grid_wbaxp5t0.xlsx</x:v>
      </x:c>
    </x:row>
    <x:row r="12346">
      <x:c r="A12346" s="15" t="n">
        <x:v>45658</x:v>
      </x:c>
      <x:c r="B12346" s="13" t="str">
        <x:v>CIA SIDERURGICA NACIONAL SA</x:v>
      </x:c>
      <x:c r="C12346" s="16" t="n">
        <x:v>264.9241897205</x:v>
      </x:c>
      <x:c r="D12346" s="13" t="str">
        <x:v>Metals &amp; Mining</x:v>
      </x:c>
      <x:c r="E12346" s="13" t="str">
        <x:v>Metals &amp; Mining</x:v>
      </x:c>
      <x:c r="F12346" s="13" t="str">
        <x:v>Deep Cyclicals</x:v>
      </x:c>
      <x:c r="G12346" s="13" t="str">
        <x:v>grid_wbaxp5t0.xlsx</x:v>
      </x:c>
    </x:row>
    <x:row r="12347">
      <x:c r="A12347" s="15" t="n">
        <x:v>45658</x:v>
      </x:c>
      <x:c r="B12347" s="13" t="str">
        <x:v>CSN MINERACAO SA</x:v>
      </x:c>
      <x:c r="C12347" s="16" t="n">
        <x:v>2477.7056150795</x:v>
      </x:c>
      <x:c r="D12347" s="13" t="str">
        <x:v>Metals &amp; Mining</x:v>
      </x:c>
      <x:c r="E12347" s="13" t="str">
        <x:v>Metals &amp; Mining</x:v>
      </x:c>
      <x:c r="F12347" s="13" t="str">
        <x:v>Deep Cyclicals</x:v>
      </x:c>
      <x:c r="G12347" s="13" t="str">
        <x:v>grid_wbaxp5t0.xlsx</x:v>
      </x:c>
    </x:row>
    <x:row r="12348">
      <x:c r="A12348" s="15" t="n">
        <x:v>45658</x:v>
      </x:c>
      <x:c r="B12348" s="13" t="str">
        <x:v>GERDAU SA-PREF</x:v>
      </x:c>
      <x:c r="C12348" s="16" t="n">
        <x:v>5663.8981723178</x:v>
      </x:c>
      <x:c r="D12348" s="13" t="str">
        <x:v>Metals &amp; Mining</x:v>
      </x:c>
      <x:c r="E12348" s="13" t="str">
        <x:v>Metals &amp; Mining</x:v>
      </x:c>
      <x:c r="F12348" s="13" t="str">
        <x:v>Deep Cyclicals</x:v>
      </x:c>
      <x:c r="G12348" s="13" t="str">
        <x:v>grid_wbaxp5t0.xlsx</x:v>
      </x:c>
    </x:row>
    <x:row r="12349">
      <x:c r="A12349" s="15" t="n">
        <x:v>45658</x:v>
      </x:c>
      <x:c r="B12349" s="13" t="str">
        <x:v>USINAS SIDER MINAS GER-PF A</x:v>
      </x:c>
      <x:c r="C12349" s="16" t="n">
        <x:v>798.8694107178</x:v>
      </x:c>
      <x:c r="D12349" s="13" t="str">
        <x:v>Metals &amp; Mining</x:v>
      </x:c>
      <x:c r="E12349" s="13" t="str">
        <x:v>Metals &amp; Mining</x:v>
      </x:c>
      <x:c r="F12349" s="13" t="str">
        <x:v>Deep Cyclicals</x:v>
      </x:c>
      <x:c r="G12349" s="13" t="str">
        <x:v>grid_wbaxp5t0.xlsx</x:v>
      </x:c>
    </x:row>
    <x:row r="12350">
      <x:c r="A12350" s="15" t="n">
        <x:v>45658</x:v>
      </x:c>
      <x:c r="B12350" s="13" t="str">
        <x:v>VALE SA</x:v>
      </x:c>
      <x:c r="C12350" s="16" t="n">
        <x:v>45945.7438144877</x:v>
      </x:c>
      <x:c r="D12350" s="13" t="str">
        <x:v>Metals &amp; Mining</x:v>
      </x:c>
      <x:c r="E12350" s="13" t="str">
        <x:v>Metals &amp; Mining</x:v>
      </x:c>
      <x:c r="F12350" s="13" t="str">
        <x:v>Deep Cyclicals</x:v>
      </x:c>
      <x:c r="G12350" s="13" t="str">
        <x:v>grid_wbaxp5t0.xlsx</x:v>
      </x:c>
    </x:row>
    <x:row r="12351">
      <x:c r="A12351" s="15" t="n">
        <x:v>45658</x:v>
      </x:c>
      <x:c r="B12351" s="13" t="str">
        <x:v>BRASKEM SA-PREF A</x:v>
      </x:c>
      <x:c r="C12351" s="16" t="n">
        <x:v>-339.5520575123</x:v>
      </x:c>
      <x:c r="D12351" s="13" t="str">
        <x:v>Oil, Gas &amp; Petrochemicals</x:v>
      </x:c>
      <x:c r="E12351" s="13" t="str">
        <x:v>Oil, Gas &amp; Petrochemicals</x:v>
      </x:c>
      <x:c r="F12351" s="13" t="str">
        <x:v>Deep Cyclicals</x:v>
      </x:c>
      <x:c r="G12351" s="13" t="str">
        <x:v>grid_wbaxp5t0.xlsx</x:v>
      </x:c>
    </x:row>
    <x:row r="12352">
      <x:c r="A12352" s="15" t="n">
        <x:v>45658</x:v>
      </x:c>
      <x:c r="B12352" s="13" t="str">
        <x:v>BRAVA ENERGIA</x:v>
      </x:c>
      <x:c r="C12352" s="16" t="n">
        <x:v>2318.0040949479</x:v>
      </x:c>
      <x:c r="D12352" s="13" t="str">
        <x:v>Oil, Gas &amp; Petrochemicals</x:v>
      </x:c>
      <x:c r="E12352" s="13" t="str">
        <x:v>Oil, Gas &amp; Petrochemicals</x:v>
      </x:c>
      <x:c r="F12352" s="13" t="str">
        <x:v>Deep Cyclicals</x:v>
      </x:c>
      <x:c r="G12352" s="13" t="str">
        <x:v>grid_wbaxp5t0.xlsx</x:v>
      </x:c>
    </x:row>
    <x:row r="12353">
      <x:c r="A12353" s="15" t="n">
        <x:v>45658</x:v>
      </x:c>
      <x:c r="B12353" s="13" t="str">
        <x:v>COSAN SA</x:v>
      </x:c>
      <x:c r="C12353" s="16" t="n">
        <x:v>3616.1260642192</x:v>
      </x:c>
      <x:c r="D12353" s="13" t="str">
        <x:v>Oil, Gas &amp; Petrochemicals</x:v>
      </x:c>
      <x:c r="E12353" s="13" t="str">
        <x:v>Oil, Gas &amp; Petrochemicals</x:v>
      </x:c>
      <x:c r="F12353" s="13" t="str">
        <x:v>Deep Cyclicals</x:v>
      </x:c>
      <x:c r="G12353" s="13" t="str">
        <x:v>grid_wbaxp5t0.xlsx</x:v>
      </x:c>
    </x:row>
    <x:row r="12354">
      <x:c r="A12354" s="15" t="n">
        <x:v>45658</x:v>
      </x:c>
      <x:c r="B12354" s="13" t="str">
        <x:v>PETROBRAS - PETROLEO BRAS</x:v>
      </x:c>
      <x:c r="C12354" s="16" t="n">
        <x:v>114077.482671342</x:v>
      </x:c>
      <x:c r="D12354" s="13" t="str">
        <x:v>Oil, Gas &amp; Petrochemicals</x:v>
      </x:c>
      <x:c r="E12354" s="13" t="str">
        <x:v>Oil, Gas &amp; Petrochemicals</x:v>
      </x:c>
      <x:c r="F12354" s="13" t="str">
        <x:v>Deep Cyclicals</x:v>
      </x:c>
      <x:c r="G12354" s="13" t="str">
        <x:v>grid_wbaxp5t0.xlsx</x:v>
      </x:c>
    </x:row>
    <x:row r="12355">
      <x:c r="A12355" s="15" t="n">
        <x:v>45658</x:v>
      </x:c>
      <x:c r="B12355" s="13" t="str">
        <x:v>PETRORECONCAVO SA</x:v>
      </x:c>
      <x:c r="C12355" s="16" t="n">
        <x:v>1038.838380011</x:v>
      </x:c>
      <x:c r="D12355" s="13" t="str">
        <x:v>Oil, Gas &amp; Petrochemicals</x:v>
      </x:c>
      <x:c r="E12355" s="13" t="str">
        <x:v>Oil, Gas &amp; Petrochemicals</x:v>
      </x:c>
      <x:c r="F12355" s="13" t="str">
        <x:v>Deep Cyclicals</x:v>
      </x:c>
      <x:c r="G12355" s="13" t="str">
        <x:v>grid_wbaxp5t0.xlsx</x:v>
      </x:c>
    </x:row>
    <x:row r="12356">
      <x:c r="A12356" s="15" t="n">
        <x:v>45658</x:v>
      </x:c>
      <x:c r="B12356" s="13" t="str">
        <x:v>PRIO SA</x:v>
      </x:c>
      <x:c r="C12356" s="16" t="n">
        <x:v>4891.4213817863</x:v>
      </x:c>
      <x:c r="D12356" s="13" t="str">
        <x:v>Oil, Gas &amp; Petrochemicals</x:v>
      </x:c>
      <x:c r="E12356" s="13" t="str">
        <x:v>Oil, Gas &amp; Petrochemicals</x:v>
      </x:c>
      <x:c r="F12356" s="13" t="str">
        <x:v>Deep Cyclicals</x:v>
      </x:c>
      <x:c r="G12356" s="13" t="str">
        <x:v>grid_wbaxp5t0.xlsx</x:v>
      </x:c>
    </x:row>
    <x:row r="12357">
      <x:c r="A12357" s="15" t="n">
        <x:v>45658</x:v>
      </x:c>
      <x:c r="B12357" s="13" t="str">
        <x:v>ULTRAPAR PARTICIPACOES SA</x:v>
      </x:c>
      <x:c r="C12357" s="16" t="n">
        <x:v>2011.6610524932</x:v>
      </x:c>
      <x:c r="D12357" s="13" t="str">
        <x:v>Oil, Gas &amp; Petrochemicals</x:v>
      </x:c>
      <x:c r="E12357" s="13" t="str">
        <x:v>Oil, Gas &amp; Petrochemicals</x:v>
      </x:c>
      <x:c r="F12357" s="13" t="str">
        <x:v>Deep Cyclicals</x:v>
      </x:c>
      <x:c r="G12357" s="13" t="str">
        <x:v>grid_wbaxp5t0.xlsx</x:v>
      </x:c>
    </x:row>
    <x:row r="12358">
      <x:c r="A12358" s="15" t="n">
        <x:v>45658</x:v>
      </x:c>
      <x:c r="B12358" s="13" t="str">
        <x:v>VIBRA ENERGIA SA</x:v>
      </x:c>
      <x:c r="C12358" s="16" t="n">
        <x:v>2498.9329646466</x:v>
      </x:c>
      <x:c r="D12358" s="13" t="str">
        <x:v>Oil, Gas &amp; Petrochemicals</x:v>
      </x:c>
      <x:c r="E12358" s="13" t="str">
        <x:v>Oil, Gas &amp; Petrochemicals</x:v>
      </x:c>
      <x:c r="F12358" s="13" t="str">
        <x:v>Deep Cyclicals</x:v>
      </x:c>
      <x:c r="G12358" s="13" t="str">
        <x:v>grid_wbaxp5t0.xlsx</x:v>
      </x:c>
    </x:row>
    <x:row r="12359">
      <x:c r="A12359" s="15" t="n">
        <x:v>45658</x:v>
      </x:c>
      <x:c r="B12359" s="13" t="str">
        <x:v>KLABIN SA - UNIT</x:v>
      </x:c>
      <x:c r="C12359" s="16" t="n">
        <x:v>3171.9919202192</x:v>
      </x:c>
      <x:c r="D12359" s="13" t="str">
        <x:v>Pulp &amp; Paper</x:v>
      </x:c>
      <x:c r="E12359" s="13" t="str">
        <x:v>Pulp &amp; Paper</x:v>
      </x:c>
      <x:c r="F12359" s="13" t="str">
        <x:v>Deep Cyclicals</x:v>
      </x:c>
      <x:c r="G12359" s="13" t="str">
        <x:v>grid_wbaxp5t0.xlsx</x:v>
      </x:c>
    </x:row>
    <x:row r="12360">
      <x:c r="A12360" s="15" t="n">
        <x:v>45658</x:v>
      </x:c>
      <x:c r="B12360" s="13" t="str">
        <x:v>SUZANO SA</x:v>
      </x:c>
      <x:c r="C12360" s="16" t="n">
        <x:v>10708.2692355507</x:v>
      </x:c>
      <x:c r="D12360" s="13" t="str">
        <x:v>Pulp &amp; Paper</x:v>
      </x:c>
      <x:c r="E12360" s="13" t="str">
        <x:v>Pulp &amp; Paper</x:v>
      </x:c>
      <x:c r="F12360" s="13" t="str">
        <x:v>Deep Cyclicals</x:v>
      </x:c>
      <x:c r="G12360" s="13" t="str">
        <x:v>grid_wbaxp5t0.xlsx</x:v>
      </x:c>
    </x:row>
    <x:row r="12361">
      <x:c r="A12361" s="15" t="n">
        <x:v>45658</x:v>
      </x:c>
      <x:c r="B12361" s="13" t="str">
        <x:v>ATACADAO SA</x:v>
      </x:c>
      <x:c r="C12361" s="16" t="n">
        <x:v>1398.272218126</x:v>
      </x:c>
      <x:c r="D12361" s="13" t="str">
        <x:v>Retail</x:v>
      </x:c>
      <x:c r="E12361" s="13" t="str">
        <x:v>Retail</x:v>
      </x:c>
      <x:c r="F12361" s="13" t="str">
        <x:v>Early Cyclicals</x:v>
      </x:c>
      <x:c r="G12361" s="13" t="str">
        <x:v>grid_wbaxp5t0.xlsx</x:v>
      </x:c>
    </x:row>
    <x:row r="12362">
      <x:c r="A12362" s="15" t="n">
        <x:v>45658</x:v>
      </x:c>
      <x:c r="B12362" s="13" t="str">
        <x:v>AZZAS 2154 SA</x:v>
      </x:c>
      <x:c r="C12362" s="16" t="n">
        <x:v>717.7147826849</x:v>
      </x:c>
      <x:c r="D12362" s="13" t="str">
        <x:v>Retail</x:v>
      </x:c>
      <x:c r="E12362" s="13" t="str">
        <x:v>Retail</x:v>
      </x:c>
      <x:c r="F12362" s="13" t="str">
        <x:v>Early Cyclicals</x:v>
      </x:c>
      <x:c r="G12362" s="13" t="str">
        <x:v>grid_wbaxp5t0.xlsx</x:v>
      </x:c>
    </x:row>
    <x:row r="12363">
      <x:c r="A12363" s="15" t="n">
        <x:v>45658</x:v>
      </x:c>
      <x:c r="B12363" s="13" t="str">
        <x:v>CIA BRASILEIRA DE DISTRIBUIC</x:v>
      </x:c>
      <x:c r="C12363" s="16" t="n">
        <x:v>-458.5570723945</x:v>
      </x:c>
      <x:c r="D12363" s="13" t="str">
        <x:v>Retail</x:v>
      </x:c>
      <x:c r="E12363" s="13" t="str">
        <x:v>Retail</x:v>
      </x:c>
      <x:c r="F12363" s="13" t="str">
        <x:v>Early Cyclicals</x:v>
      </x:c>
      <x:c r="G12363" s="13" t="str">
        <x:v>grid_wbaxp5t0.xlsx</x:v>
      </x:c>
    </x:row>
    <x:row r="12364">
      <x:c r="A12364" s="15" t="n">
        <x:v>45658</x:v>
      </x:c>
      <x:c r="B12364" s="13" t="str">
        <x:v>CVC BRASIL OPERADORA E AGENC</x:v>
      </x:c>
      <x:c r="C12364" s="16" t="n">
        <x:v>4.3728567123</x:v>
      </x:c>
      <x:c r="D12364" s="13" t="str">
        <x:v>Retail</x:v>
      </x:c>
      <x:c r="E12364" s="13" t="str">
        <x:v>Retail</x:v>
      </x:c>
      <x:c r="F12364" s="13" t="str">
        <x:v>Early Cyclicals</x:v>
      </x:c>
      <x:c r="G12364" s="13" t="str">
        <x:v>grid_wbaxp5t0.xlsx</x:v>
      </x:c>
    </x:row>
    <x:row r="12365">
      <x:c r="A12365" s="15" t="n">
        <x:v>45658</x:v>
      </x:c>
      <x:c r="B12365" s="13" t="str">
        <x:v>LOJAS RENNER S.A.</x:v>
      </x:c>
      <x:c r="C12365" s="16" t="n">
        <x:v>1501.9685197151</x:v>
      </x:c>
      <x:c r="D12365" s="13" t="str">
        <x:v>Retail</x:v>
      </x:c>
      <x:c r="E12365" s="13" t="str">
        <x:v>Retail</x:v>
      </x:c>
      <x:c r="F12365" s="13" t="str">
        <x:v>Early Cyclicals</x:v>
      </x:c>
      <x:c r="G12365" s="13" t="str">
        <x:v>grid_wbaxp5t0.xlsx</x:v>
      </x:c>
    </x:row>
    <x:row r="12366">
      <x:c r="A12366" s="15" t="n">
        <x:v>45658</x:v>
      </x:c>
      <x:c r="B12366" s="13" t="str">
        <x:v>MAGAZINE LUIZA SA</x:v>
      </x:c>
      <x:c r="C12366" s="16" t="n">
        <x:v>358.6298974685</x:v>
      </x:c>
      <x:c r="D12366" s="13" t="str">
        <x:v>Retail</x:v>
      </x:c>
      <x:c r="E12366" s="13" t="str">
        <x:v>Retail</x:v>
      </x:c>
      <x:c r="F12366" s="13" t="str">
        <x:v>Early Cyclicals</x:v>
      </x:c>
      <x:c r="G12366" s="13" t="str">
        <x:v>grid_wbaxp5t0.xlsx</x:v>
      </x:c>
    </x:row>
    <x:row r="12367">
      <x:c r="A12367" s="15" t="n">
        <x:v>45658</x:v>
      </x:c>
      <x:c r="B12367" s="13" t="str">
        <x:v>NATURA &amp;CO HOLDING SA</x:v>
      </x:c>
      <x:c r="C12367" s="16" t="n">
        <x:v>1099.2286081753</x:v>
      </x:c>
      <x:c r="D12367" s="13" t="str">
        <x:v>Retail</x:v>
      </x:c>
      <x:c r="E12367" s="13" t="str">
        <x:v>Retail</x:v>
      </x:c>
      <x:c r="F12367" s="13" t="str">
        <x:v>Early Cyclicals</x:v>
      </x:c>
      <x:c r="G12367" s="13" t="str">
        <x:v>grid_wbaxp5t0.xlsx</x:v>
      </x:c>
    </x:row>
    <x:row r="12368">
      <x:c r="A12368" s="15" t="n">
        <x:v>45658</x:v>
      </x:c>
      <x:c r="B12368" s="13" t="str">
        <x:v>PET CENTER COMERCIO E PARTIC</x:v>
      </x:c>
      <x:c r="C12368" s="16" t="n">
        <x:v>76.3758105863</x:v>
      </x:c>
      <x:c r="D12368" s="13" t="str">
        <x:v>Retail</x:v>
      </x:c>
      <x:c r="E12368" s="13" t="str">
        <x:v>Retail</x:v>
      </x:c>
      <x:c r="F12368" s="13" t="str">
        <x:v>Early Cyclicals</x:v>
      </x:c>
      <x:c r="G12368" s="13" t="str">
        <x:v>grid_wbaxp5t0.xlsx</x:v>
      </x:c>
    </x:row>
    <x:row r="12369">
      <x:c r="A12369" s="15" t="n">
        <x:v>45658</x:v>
      </x:c>
      <x:c r="B12369" s="13" t="str">
        <x:v>RAIA DROGASIL SA</x:v>
      </x:c>
      <x:c r="C12369" s="16" t="n">
        <x:v>1404.6610986082</x:v>
      </x:c>
      <x:c r="D12369" s="13" t="str">
        <x:v>Retail</x:v>
      </x:c>
      <x:c r="E12369" s="13" t="str">
        <x:v>Retail</x:v>
      </x:c>
      <x:c r="F12369" s="13" t="str">
        <x:v>Early Cyclicals</x:v>
      </x:c>
      <x:c r="G12369" s="13" t="str">
        <x:v>grid_wbaxp5t0.xlsx</x:v>
      </x:c>
    </x:row>
    <x:row r="12370">
      <x:c r="A12370" s="15" t="n">
        <x:v>45658</x:v>
      </x:c>
      <x:c r="B12370" s="13" t="str">
        <x:v>SENDAS DISTRIBUIDORA SA</x:v>
      </x:c>
      <x:c r="C12370" s="16" t="n">
        <x:v>711.6254895342</x:v>
      </x:c>
      <x:c r="D12370" s="13" t="str">
        <x:v>Retail</x:v>
      </x:c>
      <x:c r="E12370" s="13" t="str">
        <x:v>Retail</x:v>
      </x:c>
      <x:c r="F12370" s="13" t="str">
        <x:v>Early Cyclicals</x:v>
      </x:c>
      <x:c r="G12370" s="13" t="str">
        <x:v>grid_wbaxp5t0.xlsx</x:v>
      </x:c>
    </x:row>
    <x:row r="12371">
      <x:c r="A12371" s="15" t="n">
        <x:v>45658</x:v>
      </x:c>
      <x:c r="B12371" s="13" t="str">
        <x:v>VIVARA PARTICIPACOES SA</x:v>
      </x:c>
      <x:c r="C12371" s="16" t="n">
        <x:v>576.4313472</x:v>
      </x:c>
      <x:c r="D12371" s="13" t="str">
        <x:v>Retail</x:v>
      </x:c>
      <x:c r="E12371" s="13" t="str">
        <x:v>Retail</x:v>
      </x:c>
      <x:c r="F12371" s="13" t="str">
        <x:v>Early Cyclicals</x:v>
      </x:c>
      <x:c r="G12371" s="13" t="str">
        <x:v>grid_wbaxp5t0.xlsx</x:v>
      </x:c>
    </x:row>
    <x:row r="12372">
      <x:c r="A12372" s="15" t="n">
        <x:v>45658</x:v>
      </x:c>
      <x:c r="B12372" s="13" t="str">
        <x:v>CIA SANEAMENTO BASICO DE SP</x:v>
      </x:c>
      <x:c r="C12372" s="16" t="n">
        <x:v>4938.3170019945</x:v>
      </x:c>
      <x:c r="D12372" s="13" t="str">
        <x:v>Sanitation</x:v>
      </x:c>
      <x:c r="E12372" s="13" t="str">
        <x:v>Utilities</x:v>
      </x:c>
      <x:c r="F12372" s="13" t="str">
        <x:v>Defensives</x:v>
      </x:c>
      <x:c r="G12372" s="13" t="str">
        <x:v>grid_wbaxp5t0.xlsx</x:v>
      </x:c>
    </x:row>
    <x:row r="12373">
      <x:c r="A12373" s="15" t="n">
        <x:v>45658</x:v>
      </x:c>
      <x:c r="B12373" s="13" t="str">
        <x:v>LWSA SA</x:v>
      </x:c>
      <x:c r="C12373" s="16" t="n">
        <x:v>134.9301369863</x:v>
      </x:c>
      <x:c r="D12373" s="13" t="str">
        <x:v>TMT</x:v>
      </x:c>
      <x:c r="E12373" s="13" t="str">
        <x:v>TMT</x:v>
      </x:c>
      <x:c r="F12373" s="13" t="str">
        <x:v>Early Cyclicals</x:v>
      </x:c>
      <x:c r="G12373" s="13" t="str">
        <x:v>grid_wbaxp5t0.xlsx</x:v>
      </x:c>
    </x:row>
    <x:row r="12374">
      <x:c r="A12374" s="15" t="n">
        <x:v>45658</x:v>
      </x:c>
      <x:c r="B12374" s="13" t="str">
        <x:v>TIM SA</x:v>
      </x:c>
      <x:c r="C12374" s="16" t="n">
        <x:v>3863.3907662904</x:v>
      </x:c>
      <x:c r="D12374" s="13" t="str">
        <x:v>TMT</x:v>
      </x:c>
      <x:c r="E12374" s="13" t="str">
        <x:v>TMT</x:v>
      </x:c>
      <x:c r="F12374" s="13" t="str">
        <x:v>Early Cyclicals</x:v>
      </x:c>
      <x:c r="G12374" s="13" t="str">
        <x:v>grid_wbaxp5t0.xlsx</x:v>
      </x:c>
    </x:row>
    <x:row r="12375">
      <x:c r="A12375" s="15" t="n">
        <x:v>45658</x:v>
      </x:c>
      <x:c r="B12375" s="13" t="str">
        <x:v>TOTVS SA</x:v>
      </x:c>
      <x:c r="C12375" s="16" t="n">
        <x:v>888.2300430027</x:v>
      </x:c>
      <x:c r="D12375" s="13" t="str">
        <x:v>TMT</x:v>
      </x:c>
      <x:c r="E12375" s="13" t="str">
        <x:v>TMT</x:v>
      </x:c>
      <x:c r="F12375" s="13" t="str">
        <x:v>Early Cyclicals</x:v>
      </x:c>
      <x:c r="G12375" s="13" t="str">
        <x:v>grid_wbaxp5t0.xlsx</x:v>
      </x:c>
    </x:row>
    <x:row r="12376">
      <x:c r="A12376" s="15" t="n">
        <x:v>45658</x:v>
      </x:c>
      <x:c r="B12376" s="13" t="str">
        <x:v>AZUL SA</x:v>
      </x:c>
      <x:c r="C12376" s="16" t="n">
        <x:v>-195.0945205479</x:v>
      </x:c>
      <x:c r="D12376" s="13" t="str">
        <x:v>Transportation</x:v>
      </x:c>
      <x:c r="E12376" s="13" t="str">
        <x:v>Transportation</x:v>
      </x:c>
      <x:c r="F12376" s="13" t="str">
        <x:v>Deep Cyclicals</x:v>
      </x:c>
      <x:c r="G12376" s="13" t="str">
        <x:v>grid_wbaxp5t0.xlsx</x:v>
      </x:c>
    </x:row>
    <x:row r="12377">
      <x:c r="A12377" s="15" t="n">
        <x:v>45658</x:v>
      </x:c>
      <x:c r="B12377" s="13" t="str">
        <x:v>LOCALIZA RENT A CAR</x:v>
      </x:c>
      <x:c r="C12377" s="16" t="n">
        <x:v>3656.1370785315</x:v>
      </x:c>
      <x:c r="D12377" s="13" t="str">
        <x:v>Transportation</x:v>
      </x:c>
      <x:c r="E12377" s="13" t="str">
        <x:v>Transportation</x:v>
      </x:c>
      <x:c r="F12377" s="13" t="str">
        <x:v>Deep Cyclicals</x:v>
      </x:c>
      <x:c r="G12377" s="13" t="str">
        <x:v>grid_wbaxp5t0.xlsx</x:v>
      </x:c>
    </x:row>
    <x:row r="12378">
      <x:c r="A12378" s="15" t="n">
        <x:v>45658</x:v>
      </x:c>
      <x:c r="B12378" s="13" t="str">
        <x:v>MOTIVA INFRAESTRUTURA DE MOB</x:v>
      </x:c>
      <x:c r="C12378" s="16" t="n">
        <x:v>1606.3249022247</x:v>
      </x:c>
      <x:c r="D12378" s="13" t="str">
        <x:v>Transportation</x:v>
      </x:c>
      <x:c r="E12378" s="13" t="str">
        <x:v>Transportation</x:v>
      </x:c>
      <x:c r="F12378" s="13" t="str">
        <x:v>Deep Cyclicals</x:v>
      </x:c>
      <x:c r="G12378" s="13" t="str">
        <x:v>grid_wbaxp5t0.xlsx</x:v>
      </x:c>
    </x:row>
    <x:row r="12379">
      <x:c r="A12379" s="15" t="n">
        <x:v>45658</x:v>
      </x:c>
      <x:c r="B12379" s="13" t="str">
        <x:v>RUMO SA</x:v>
      </x:c>
      <x:c r="C12379" s="16" t="n">
        <x:v>2424.1970183014</x:v>
      </x:c>
      <x:c r="D12379" s="13" t="str">
        <x:v>Transportation</x:v>
      </x:c>
      <x:c r="E12379" s="13" t="str">
        <x:v>Transportation</x:v>
      </x:c>
      <x:c r="F12379" s="13" t="str">
        <x:v>Deep Cyclicals</x:v>
      </x:c>
      <x:c r="G12379" s="13" t="str">
        <x:v>grid_wbaxp5t0.xlsx</x:v>
      </x:c>
    </x:row>
    <x:row r="12380">
      <x:c r="A12380" s="15" t="n">
        <x:v>45658</x:v>
      </x:c>
      <x:c r="B12380" s="13" t="str">
        <x:v>SANTOS BRASIL PARTICIPACOES</x:v>
      </x:c>
      <x:c r="C12380" s="16" t="n">
        <x:v>887.5739753205</x:v>
      </x:c>
      <x:c r="D12380" s="13" t="str">
        <x:v>Transportation</x:v>
      </x:c>
      <x:c r="E12380" s="13" t="str">
        <x:v>Transportation</x:v>
      </x:c>
      <x:c r="F12380" s="13" t="str">
        <x:v>Deep Cyclicals</x:v>
      </x:c>
      <x:c r="G12380" s="13" t="str">
        <x:v>grid_wbaxp5t0.xlsx</x:v>
      </x:c>
    </x:row>
    <x:row r="12381">
      <x:c r="A12381" s="15" t="n">
        <x:v>45658</x:v>
      </x:c>
      <x:c r="B12381" s="13" t="str">
        <x:v>VAMOS LOCACAO DE CAMINHOES M</x:v>
      </x:c>
      <x:c r="C12381" s="16" t="n">
        <x:v>834.3207762411</x:v>
      </x:c>
      <x:c r="D12381" s="13" t="str">
        <x:v>Transportation</x:v>
      </x:c>
      <x:c r="E12381" s="13" t="str">
        <x:v>Transportation</x:v>
      </x:c>
      <x:c r="F12381" s="13" t="str">
        <x:v>Deep Cyclicals</x:v>
      </x:c>
      <x:c r="G12381" s="13" t="str">
        <x:v>grid_wbaxp5t0.xlsx</x:v>
      </x:c>
    </x:row>
    <x:row r="12382">
      <x:c r="A12382" s="15" t="n">
        <x:v>45658</x:v>
      </x:c>
      <x:c r="B12382" s="13" t="str">
        <x:v>AUREN ENERGIA SA - ON</x:v>
      </x:c>
      <x:c r="C12382" s="16" t="n">
        <x:v>630.3901203288</x:v>
      </x:c>
      <x:c r="D12382" s="13" t="str">
        <x:v>Utilities &amp; Energy</x:v>
      </x:c>
      <x:c r="E12382" s="13" t="str">
        <x:v>Utilities</x:v>
      </x:c>
      <x:c r="F12382" s="13" t="str">
        <x:v>Defensives</x:v>
      </x:c>
      <x:c r="G12382" s="13" t="str">
        <x:v>grid_wbaxp5t0.xlsx</x:v>
      </x:c>
    </x:row>
    <x:row r="12383">
      <x:c r="A12383" s="15" t="n">
        <x:v>45658</x:v>
      </x:c>
      <x:c r="B12383" s="13" t="str">
        <x:v>AXIA ENERGIA SA</x:v>
      </x:c>
      <x:c r="C12383" s="16" t="n">
        <x:v>9277.2533262027</x:v>
      </x:c>
      <x:c r="D12383" s="13" t="str">
        <x:v>Utilities &amp; Energy</x:v>
      </x:c>
      <x:c r="E12383" s="13" t="str">
        <x:v>Utilities</x:v>
      </x:c>
      <x:c r="F12383" s="13" t="str">
        <x:v>Defensives</x:v>
      </x:c>
      <x:c r="G12383" s="13" t="str">
        <x:v>grid_wbaxp5t0.xlsx</x:v>
      </x:c>
    </x:row>
    <x:row r="12384">
      <x:c r="A12384" s="15" t="n">
        <x:v>45658</x:v>
      </x:c>
      <x:c r="B12384" s="13" t="str">
        <x:v>AXIA ENERGIA-PR B</x:v>
      </x:c>
      <x:c r="C12384" s="16" t="n">
        <x:v>9277.2533262027</x:v>
      </x:c>
      <x:c r="D12384" s="13" t="str">
        <x:v>Utilities &amp; Energy</x:v>
      </x:c>
      <x:c r="E12384" s="13" t="str">
        <x:v>Utilities</x:v>
      </x:c>
      <x:c r="F12384" s="13" t="str">
        <x:v>Defensives</x:v>
      </x:c>
      <x:c r="G12384" s="13" t="str">
        <x:v>grid_wbaxp5t0.xlsx</x:v>
      </x:c>
    </x:row>
    <x:row r="12385">
      <x:c r="A12385" s="15" t="n">
        <x:v>45658</x:v>
      </x:c>
      <x:c r="B12385" s="13" t="str">
        <x:v>CIA ENERGETICA MINAS GER-PRF</x:v>
      </x:c>
      <x:c r="C12385" s="16" t="n">
        <x:v>3893.5687041753</x:v>
      </x:c>
      <x:c r="D12385" s="13" t="str">
        <x:v>Utilities &amp; Energy</x:v>
      </x:c>
      <x:c r="E12385" s="13" t="str">
        <x:v>Utilities</x:v>
      </x:c>
      <x:c r="F12385" s="13" t="str">
        <x:v>Defensives</x:v>
      </x:c>
      <x:c r="G12385" s="13" t="str">
        <x:v>grid_wbaxp5t0.xlsx</x:v>
      </x:c>
    </x:row>
    <x:row r="12386">
      <x:c r="A12386" s="15" t="n">
        <x:v>45658</x:v>
      </x:c>
      <x:c r="B12386" s="13" t="str">
        <x:v>COMPANHIA PARANAENSE -PREF B</x:v>
      </x:c>
      <x:c r="C12386" s="16" t="n">
        <x:v>1880.5071780822</x:v>
      </x:c>
      <x:c r="D12386" s="13" t="str">
        <x:v>Utilities &amp; Energy</x:v>
      </x:c>
      <x:c r="E12386" s="13" t="str">
        <x:v>Utilities</x:v>
      </x:c>
      <x:c r="F12386" s="13" t="str">
        <x:v>Defensives</x:v>
      </x:c>
      <x:c r="G12386" s="13" t="str">
        <x:v>grid_wbaxp5t0.xlsx</x:v>
      </x:c>
    </x:row>
    <x:row r="12387">
      <x:c r="A12387" s="15" t="n">
        <x:v>45658</x:v>
      </x:c>
      <x:c r="B12387" s="13" t="str">
        <x:v>CPFL ENERGIA SA</x:v>
      </x:c>
      <x:c r="C12387" s="16" t="n">
        <x:v>4827.5293632877</x:v>
      </x:c>
      <x:c r="D12387" s="13" t="str">
        <x:v>Utilities &amp; Energy</x:v>
      </x:c>
      <x:c r="E12387" s="13" t="str">
        <x:v>Utilities</x:v>
      </x:c>
      <x:c r="F12387" s="13" t="str">
        <x:v>Defensives</x:v>
      </x:c>
      <x:c r="G12387" s="13" t="str">
        <x:v>grid_wbaxp5t0.xlsx</x:v>
      </x:c>
    </x:row>
    <x:row r="12388">
      <x:c r="A12388" s="15" t="n">
        <x:v>45658</x:v>
      </x:c>
      <x:c r="B12388" s="13" t="str">
        <x:v>ENERGISA SA-UNITS</x:v>
      </x:c>
      <x:c r="C12388" s="16" t="n">
        <x:v>1729.5158187836</x:v>
      </x:c>
      <x:c r="D12388" s="13" t="str">
        <x:v>Utilities &amp; Energy</x:v>
      </x:c>
      <x:c r="E12388" s="13" t="str">
        <x:v>Utilities</x:v>
      </x:c>
      <x:c r="F12388" s="13" t="str">
        <x:v>Defensives</x:v>
      </x:c>
      <x:c r="G12388" s="13" t="str">
        <x:v>grid_wbaxp5t0.xlsx</x:v>
      </x:c>
    </x:row>
    <x:row r="12389">
      <x:c r="A12389" s="15" t="n">
        <x:v>45658</x:v>
      </x:c>
      <x:c r="B12389" s="13" t="str">
        <x:v>ENEVA SA</x:v>
      </x:c>
      <x:c r="C12389" s="16" t="n">
        <x:v>1761.099385337</x:v>
      </x:c>
      <x:c r="D12389" s="13" t="str">
        <x:v>Utilities &amp; Energy</x:v>
      </x:c>
      <x:c r="E12389" s="13" t="str">
        <x:v>Utilities</x:v>
      </x:c>
      <x:c r="F12389" s="13" t="str">
        <x:v>Defensives</x:v>
      </x:c>
      <x:c r="G12389" s="13" t="str">
        <x:v>grid_wbaxp5t0.xlsx</x:v>
      </x:c>
    </x:row>
    <x:row r="12390">
      <x:c r="A12390" s="15" t="n">
        <x:v>45658</x:v>
      </x:c>
      <x:c r="B12390" s="13" t="str">
        <x:v>ENGIE BRASIL ENERGIA SA</x:v>
      </x:c>
      <x:c r="C12390" s="16" t="n">
        <x:v>3296.4088544438</x:v>
      </x:c>
      <x:c r="D12390" s="13" t="str">
        <x:v>Utilities &amp; Energy</x:v>
      </x:c>
      <x:c r="E12390" s="13" t="str">
        <x:v>Utilities</x:v>
      </x:c>
      <x:c r="F12390" s="13" t="str">
        <x:v>Defensives</x:v>
      </x:c>
      <x:c r="G12390" s="13" t="str">
        <x:v>grid_wbaxp5t0.xlsx</x:v>
      </x:c>
    </x:row>
    <x:row r="12391">
      <x:c r="A12391" s="15" t="n">
        <x:v>45658</x:v>
      </x:c>
      <x:c r="B12391" s="13" t="str">
        <x:v>EQUATORIAL SA - ORD</x:v>
      </x:c>
      <x:c r="C12391" s="16" t="n">
        <x:v>3117.8027435836</x:v>
      </x:c>
      <x:c r="D12391" s="13" t="str">
        <x:v>Utilities &amp; Energy</x:v>
      </x:c>
      <x:c r="E12391" s="13" t="str">
        <x:v>Utilities</x:v>
      </x:c>
      <x:c r="F12391" s="13" t="str">
        <x:v>Defensives</x:v>
      </x:c>
      <x:c r="G12391" s="13" t="str">
        <x:v>grid_wbaxp5t0.xlsx</x:v>
      </x:c>
    </x:row>
    <x:row r="12392">
      <x:c r="A12392" s="15" t="n">
        <x:v>45658</x:v>
      </x:c>
      <x:c r="B12392" s="13" t="str">
        <x:v>ISA ENERGIA BRASIL SA</x:v>
      </x:c>
      <x:c r="C12392" s="16" t="n">
        <x:v>1543.4660702685</x:v>
      </x:c>
      <x:c r="D12392" s="13" t="str">
        <x:v>Utilities &amp; Energy</x:v>
      </x:c>
      <x:c r="E12392" s="13" t="str">
        <x:v>Utilities</x:v>
      </x:c>
      <x:c r="F12392" s="13" t="str">
        <x:v>Defensives</x:v>
      </x:c>
      <x:c r="G12392" s="13" t="str">
        <x:v>grid_wbaxp5t0.xlsx</x:v>
      </x:c>
    </x:row>
    <x:row r="12393">
      <x:c r="A12393" s="15" t="n">
        <x:v>45658</x:v>
      </x:c>
      <x:c r="B12393" s="13" t="str">
        <x:v>TRANSMISSORA ALIANCA DE-UNIT</x:v>
      </x:c>
      <x:c r="C12393" s="16" t="n">
        <x:v>1094.9114010301</x:v>
      </x:c>
      <x:c r="D12393" s="13" t="str">
        <x:v>Utilities &amp; Energy</x:v>
      </x:c>
      <x:c r="E12393" s="13" t="str">
        <x:v>Utilities</x:v>
      </x:c>
      <x:c r="F12393" s="13" t="str">
        <x:v>Defensives</x:v>
      </x:c>
      <x:c r="G12393" s="13" t="str">
        <x:v>grid_wbaxp5t0.xlsx</x:v>
      </x:c>
    </x:row>
    <x:row r="12394">
      <x:c r="A12394" s="15" t="n">
        <x:v>45689</x:v>
      </x:c>
      <x:c r="B12394" s="13" t="str">
        <x:v>RAIZEN SA - PREFERENCE</x:v>
      </x:c>
      <x:c r="C12394" s="16" t="n">
        <x:v>1809.2738044493</x:v>
      </x:c>
      <x:c r="D12394" s="13" t="str">
        <x:v>Agribusiness</x:v>
      </x:c>
      <x:c r="E12394" s="13" t="str">
        <x:v>Agri, Food &amp; Beverages</x:v>
      </x:c>
      <x:c r="F12394" s="13" t="str">
        <x:v>Defensives</x:v>
      </x:c>
      <x:c r="G12394" s="13" t="str">
        <x:v>grid_wbaxp5t0.xlsx</x:v>
      </x:c>
    </x:row>
    <x:row r="12395">
      <x:c r="A12395" s="15" t="n">
        <x:v>45689</x:v>
      </x:c>
      <x:c r="B12395" s="13" t="str">
        <x:v>SAO MARTINHO SA</x:v>
      </x:c>
      <x:c r="C12395" s="16" t="n">
        <x:v>914.5456256</x:v>
      </x:c>
      <x:c r="D12395" s="13" t="str">
        <x:v>Agribusiness</x:v>
      </x:c>
      <x:c r="E12395" s="13" t="str">
        <x:v>Agri, Food &amp; Beverages</x:v>
      </x:c>
      <x:c r="F12395" s="13" t="str">
        <x:v>Defensives</x:v>
      </x:c>
      <x:c r="G12395" s="13" t="str">
        <x:v>grid_wbaxp5t0.xlsx</x:v>
      </x:c>
    </x:row>
    <x:row r="12396">
      <x:c r="A12396" s="15" t="n">
        <x:v>45689</x:v>
      </x:c>
      <x:c r="B12396" s="13" t="str">
        <x:v>SLC AGRICOLA SA</x:v>
      </x:c>
      <x:c r="C12396" s="16" t="n">
        <x:v>917.4366200986</x:v>
      </x:c>
      <x:c r="D12396" s="13" t="str">
        <x:v>Agribusiness</x:v>
      </x:c>
      <x:c r="E12396" s="13" t="str">
        <x:v>Agri, Food &amp; Beverages</x:v>
      </x:c>
      <x:c r="F12396" s="13" t="str">
        <x:v>Defensives</x:v>
      </x:c>
      <x:c r="G12396" s="13" t="str">
        <x:v>grid_wbaxp5t0.xlsx</x:v>
      </x:c>
    </x:row>
    <x:row r="12397">
      <x:c r="A12397" s="15" t="n">
        <x:v>45689</x:v>
      </x:c>
      <x:c r="B12397" s="13" t="str">
        <x:v>BANCO BRADESCO S.A.</x:v>
      </x:c>
      <x:c r="C12397" s="16" t="n">
        <x:v>22271.6314329425</x:v>
      </x:c>
      <x:c r="D12397" s="13" t="str">
        <x:v>Banks</x:v>
      </x:c>
      <x:c r="E12397" s="13" t="str">
        <x:v>Banks</x:v>
      </x:c>
      <x:c r="F12397" s="13" t="str">
        <x:v>Financials</x:v>
      </x:c>
      <x:c r="G12397" s="13" t="str">
        <x:v>grid_wbaxp5t0.xlsx</x:v>
      </x:c>
    </x:row>
    <x:row r="12398">
      <x:c r="A12398" s="15" t="n">
        <x:v>45689</x:v>
      </x:c>
      <x:c r="B12398" s="13" t="str">
        <x:v>BANCO BRADESCO SA-PREF</x:v>
      </x:c>
      <x:c r="C12398" s="16" t="n">
        <x:v>22271.6314329425</x:v>
      </x:c>
      <x:c r="D12398" s="13" t="str">
        <x:v>Banks</x:v>
      </x:c>
      <x:c r="E12398" s="13" t="str">
        <x:v>Banks</x:v>
      </x:c>
      <x:c r="F12398" s="13" t="str">
        <x:v>Financials</x:v>
      </x:c>
      <x:c r="G12398" s="13" t="str">
        <x:v>grid_wbaxp5t0.xlsx</x:v>
      </x:c>
    </x:row>
    <x:row r="12399">
      <x:c r="A12399" s="15" t="n">
        <x:v>45689</x:v>
      </x:c>
      <x:c r="B12399" s="13" t="str">
        <x:v>BANCO BTG PACTUAL SA-UNIT</x:v>
      </x:c>
      <x:c r="C12399" s="16" t="n">
        <x:v>14593.9182549918</x:v>
      </x:c>
      <x:c r="D12399" s="13" t="str">
        <x:v>Banks</x:v>
      </x:c>
      <x:c r="E12399" s="13" t="str">
        <x:v>Banks</x:v>
      </x:c>
      <x:c r="F12399" s="13" t="str">
        <x:v>Financials</x:v>
      </x:c>
      <x:c r="G12399" s="13" t="str">
        <x:v>grid_wbaxp5t0.xlsx</x:v>
      </x:c>
    </x:row>
    <x:row r="12400">
      <x:c r="A12400" s="15" t="n">
        <x:v>45689</x:v>
      </x:c>
      <x:c r="B12400" s="13" t="str">
        <x:v>BANCO DO BRASIL S.A.</x:v>
      </x:c>
      <x:c r="C12400" s="16" t="n">
        <x:v>39752.4551988603</x:v>
      </x:c>
      <x:c r="D12400" s="13" t="str">
        <x:v>Banks</x:v>
      </x:c>
      <x:c r="E12400" s="13" t="str">
        <x:v>Banks</x:v>
      </x:c>
      <x:c r="F12400" s="13" t="str">
        <x:v>Financials</x:v>
      </x:c>
      <x:c r="G12400" s="13" t="str">
        <x:v>grid_wbaxp5t0.xlsx</x:v>
      </x:c>
    </x:row>
    <x:row r="12401">
      <x:c r="A12401" s="15" t="n">
        <x:v>45689</x:v>
      </x:c>
      <x:c r="B12401" s="13" t="str">
        <x:v>BANCO SANTANDER  BRASIL-UNIT</x:v>
      </x:c>
      <x:c r="C12401" s="16" t="n">
        <x:v>15812.8217607014</x:v>
      </x:c>
      <x:c r="D12401" s="13" t="str">
        <x:v>Banks</x:v>
      </x:c>
      <x:c r="E12401" s="13" t="str">
        <x:v>Banks</x:v>
      </x:c>
      <x:c r="F12401" s="13" t="str">
        <x:v>Financials</x:v>
      </x:c>
      <x:c r="G12401" s="13" t="str">
        <x:v>grid_wbaxp5t0.xlsx</x:v>
      </x:c>
    </x:row>
    <x:row r="12402">
      <x:c r="A12402" s="15" t="n">
        <x:v>45689</x:v>
      </x:c>
      <x:c r="B12402" s="13" t="str">
        <x:v>ITAU UNIBANCO HOLDING S-PREF</x:v>
      </x:c>
      <x:c r="C12402" s="16" t="n">
        <x:v>46129.6099215781</x:v>
      </x:c>
      <x:c r="D12402" s="13" t="str">
        <x:v>Banks</x:v>
      </x:c>
      <x:c r="E12402" s="13" t="str">
        <x:v>Banks</x:v>
      </x:c>
      <x:c r="F12402" s="13" t="str">
        <x:v>Financials</x:v>
      </x:c>
      <x:c r="G12402" s="13" t="str">
        <x:v>grid_wbaxp5t0.xlsx</x:v>
      </x:c>
    </x:row>
    <x:row r="12403">
      <x:c r="A12403" s="15" t="n">
        <x:v>45689</x:v>
      </x:c>
      <x:c r="B12403" s="13" t="str">
        <x:v>EMBRAER SA</x:v>
      </x:c>
      <x:c r="C12403" s="16" t="n">
        <x:v>2327.492171748</x:v>
      </x:c>
      <x:c r="D12403" s="13" t="str">
        <x:v>Capital Goods</x:v>
      </x:c>
      <x:c r="E12403" s="13" t="str">
        <x:v>Capital Goods</x:v>
      </x:c>
      <x:c r="F12403" s="13" t="str">
        <x:v>Deep Cyclicals</x:v>
      </x:c>
      <x:c r="G12403" s="13" t="str">
        <x:v>grid_wbaxp5t0.xlsx</x:v>
      </x:c>
    </x:row>
    <x:row r="12404">
      <x:c r="A12404" s="15" t="n">
        <x:v>45689</x:v>
      </x:c>
      <x:c r="B12404" s="13" t="str">
        <x:v>MARCOPOLO SA-PREF</x:v>
      </x:c>
      <x:c r="C12404" s="16" t="n">
        <x:v>1347.7088073644</x:v>
      </x:c>
      <x:c r="D12404" s="13" t="str">
        <x:v>Capital Goods</x:v>
      </x:c>
      <x:c r="E12404" s="13" t="str">
        <x:v>Capital Goods</x:v>
      </x:c>
      <x:c r="F12404" s="13" t="str">
        <x:v>Deep Cyclicals</x:v>
      </x:c>
      <x:c r="G12404" s="13" t="str">
        <x:v>grid_wbaxp5t0.xlsx</x:v>
      </x:c>
    </x:row>
    <x:row r="12405">
      <x:c r="A12405" s="15" t="n">
        <x:v>45689</x:v>
      </x:c>
      <x:c r="B12405" s="13" t="str">
        <x:v>WEG SA</x:v>
      </x:c>
      <x:c r="C12405" s="16" t="n">
        <x:v>7568.1208011397</x:v>
      </x:c>
      <x:c r="D12405" s="13" t="str">
        <x:v>Capital Goods</x:v>
      </x:c>
      <x:c r="E12405" s="13" t="str">
        <x:v>Capital Goods</x:v>
      </x:c>
      <x:c r="F12405" s="13" t="str">
        <x:v>Deep Cyclicals</x:v>
      </x:c>
      <x:c r="G12405" s="13" t="str">
        <x:v>grid_wbaxp5t0.xlsx</x:v>
      </x:c>
    </x:row>
    <x:row r="12406">
      <x:c r="A12406" s="15" t="n">
        <x:v>45689</x:v>
      </x:c>
      <x:c r="B12406" s="13" t="str">
        <x:v>COGNA EDUCACAO</x:v>
      </x:c>
      <x:c r="C12406" s="16" t="n">
        <x:v>364.4583850082</x:v>
      </x:c>
      <x:c r="D12406" s="13" t="str">
        <x:v>Education</x:v>
      </x:c>
      <x:c r="E12406" s="13" t="str">
        <x:v>Education</x:v>
      </x:c>
      <x:c r="F12406" s="13" t="str">
        <x:v>Early Cyclicals</x:v>
      </x:c>
      <x:c r="G12406" s="13" t="str">
        <x:v>grid_wbaxp5t0.xlsx</x:v>
      </x:c>
    </x:row>
    <x:row r="12407">
      <x:c r="A12407" s="15" t="n">
        <x:v>45689</x:v>
      </x:c>
      <x:c r="B12407" s="13" t="str">
        <x:v>YDUQS PARTICIPACOES SA</x:v>
      </x:c>
      <x:c r="C12407" s="16" t="n">
        <x:v>457.8215792219</x:v>
      </x:c>
      <x:c r="D12407" s="13" t="str">
        <x:v>Education</x:v>
      </x:c>
      <x:c r="E12407" s="13" t="str">
        <x:v>Education</x:v>
      </x:c>
      <x:c r="F12407" s="13" t="str">
        <x:v>Early Cyclicals</x:v>
      </x:c>
      <x:c r="G12407" s="13" t="str">
        <x:v>grid_wbaxp5t0.xlsx</x:v>
      </x:c>
    </x:row>
    <x:row r="12408">
      <x:c r="A12408" s="15" t="n">
        <x:v>45689</x:v>
      </x:c>
      <x:c r="B12408" s="13" t="str">
        <x:v>B3 SA-BRASIL BOLSA BALCAO</x:v>
      </x:c>
      <x:c r="C12408" s="16" t="n">
        <x:v>5042.5855495014</x:v>
      </x:c>
      <x:c r="D12408" s="13" t="str">
        <x:v>Financials Non-Banks</x:v>
      </x:c>
      <x:c r="E12408" s="13" t="str">
        <x:v>Financials Non-Banks</x:v>
      </x:c>
      <x:c r="F12408" s="13" t="str">
        <x:v>Financials</x:v>
      </x:c>
      <x:c r="G12408" s="13" t="str">
        <x:v>grid_wbaxp5t0.xlsx</x:v>
      </x:c>
    </x:row>
    <x:row r="12409">
      <x:c r="A12409" s="15" t="n">
        <x:v>45689</x:v>
      </x:c>
      <x:c r="B12409" s="13" t="str">
        <x:v>BB SEGURIDADE PARTICIPACOES</x:v>
      </x:c>
      <x:c r="C12409" s="16" t="n">
        <x:v>8885.3136538301</x:v>
      </x:c>
      <x:c r="D12409" s="13" t="str">
        <x:v>Financials Non-Banks</x:v>
      </x:c>
      <x:c r="E12409" s="13" t="str">
        <x:v>Financials Non-Banks</x:v>
      </x:c>
      <x:c r="F12409" s="13" t="str">
        <x:v>Financials</x:v>
      </x:c>
      <x:c r="G12409" s="13" t="str">
        <x:v>grid_wbaxp5t0.xlsx</x:v>
      </x:c>
    </x:row>
    <x:row r="12410">
      <x:c r="A12410" s="15" t="n">
        <x:v>45689</x:v>
      </x:c>
      <x:c r="B12410" s="13" t="str">
        <x:v>CAIXA SEGURIDADE PARTICIPACO</x:v>
      </x:c>
      <x:c r="C12410" s="16" t="n">
        <x:v>4435.6057775342</x:v>
      </x:c>
      <x:c r="D12410" s="13" t="str">
        <x:v>Financials Non-Banks</x:v>
      </x:c>
      <x:c r="E12410" s="13" t="str">
        <x:v>Financials Non-Banks</x:v>
      </x:c>
      <x:c r="F12410" s="13" t="str">
        <x:v>Financials</x:v>
      </x:c>
      <x:c r="G12410" s="13" t="str">
        <x:v>grid_wbaxp5t0.xlsx</x:v>
      </x:c>
    </x:row>
    <x:row r="12411">
      <x:c r="A12411" s="15" t="n">
        <x:v>45689</x:v>
      </x:c>
      <x:c r="B12411" s="13" t="str">
        <x:v>IRB BRASIL RESSEGUROS SA</x:v>
      </x:c>
      <x:c r="C12411" s="16" t="n">
        <x:v>574.4599974575</x:v>
      </x:c>
      <x:c r="D12411" s="13" t="str">
        <x:v>Financials Non-Banks</x:v>
      </x:c>
      <x:c r="E12411" s="13" t="str">
        <x:v>Financials Non-Banks</x:v>
      </x:c>
      <x:c r="F12411" s="13" t="str">
        <x:v>Financials</x:v>
      </x:c>
      <x:c r="G12411" s="13" t="str">
        <x:v>grid_wbaxp5t0.xlsx</x:v>
      </x:c>
    </x:row>
    <x:row r="12412">
      <x:c r="A12412" s="15" t="n">
        <x:v>45689</x:v>
      </x:c>
      <x:c r="B12412" s="13" t="str">
        <x:v>ITAUSA SA</x:v>
      </x:c>
      <x:c r="C12412" s="16" t="n">
        <x:v>17114.8347307836</x:v>
      </x:c>
      <x:c r="D12412" s="13" t="str">
        <x:v>Financials Non-Banks</x:v>
      </x:c>
      <x:c r="E12412" s="13" t="str">
        <x:v>Financials Non-Banks</x:v>
      </x:c>
      <x:c r="F12412" s="13" t="str">
        <x:v>Financials</x:v>
      </x:c>
      <x:c r="G12412" s="13" t="str">
        <x:v>grid_wbaxp5t0.xlsx</x:v>
      </x:c>
    </x:row>
    <x:row r="12413">
      <x:c r="A12413" s="15" t="n">
        <x:v>45689</x:v>
      </x:c>
      <x:c r="B12413" s="13" t="str">
        <x:v>PORTO SEGURO SA</x:v>
      </x:c>
      <x:c r="C12413" s="16" t="n">
        <x:v>3167.0280423452</x:v>
      </x:c>
      <x:c r="D12413" s="13" t="str">
        <x:v>Financials Non-Banks</x:v>
      </x:c>
      <x:c r="E12413" s="13" t="str">
        <x:v>Financials Non-Banks</x:v>
      </x:c>
      <x:c r="F12413" s="13" t="str">
        <x:v>Financials</x:v>
      </x:c>
      <x:c r="G12413" s="13" t="str">
        <x:v>grid_wbaxp5t0.xlsx</x:v>
      </x:c>
    </x:row>
    <x:row r="12414">
      <x:c r="A12414" s="15" t="n">
        <x:v>45689</x:v>
      </x:c>
      <x:c r="B12414" s="13" t="str">
        <x:v>AMBEV SA</x:v>
      </x:c>
      <x:c r="C12414" s="16" t="n">
        <x:v>15697.4734967233</x:v>
      </x:c>
      <x:c r="D12414" s="13" t="str">
        <x:v>Food &amp; Beverages</x:v>
      </x:c>
      <x:c r="E12414" s="13" t="str">
        <x:v>Agri, Food &amp; Beverages</x:v>
      </x:c>
      <x:c r="F12414" s="13" t="str">
        <x:v>Defensives</x:v>
      </x:c>
      <x:c r="G12414" s="13" t="str">
        <x:v>grid_wbaxp5t0.xlsx</x:v>
      </x:c>
    </x:row>
    <x:row r="12415">
      <x:c r="A12415" s="15" t="n">
        <x:v>45689</x:v>
      </x:c>
      <x:c r="B12415" s="13" t="str">
        <x:v>BRF SA</x:v>
      </x:c>
      <x:c r="C12415" s="16" t="n">
        <x:v>3506.4897928767</x:v>
      </x:c>
      <x:c r="D12415" s="13" t="str">
        <x:v>Food &amp; Beverages</x:v>
      </x:c>
      <x:c r="E12415" s="13" t="str">
        <x:v>Agri, Food &amp; Beverages</x:v>
      </x:c>
      <x:c r="F12415" s="13" t="str">
        <x:v>Defensives</x:v>
      </x:c>
      <x:c r="G12415" s="13" t="str">
        <x:v>grid_wbaxp5t0.xlsx</x:v>
      </x:c>
    </x:row>
    <x:row r="12416">
      <x:c r="A12416" s="15" t="n">
        <x:v>45689</x:v>
      </x:c>
      <x:c r="B12416" s="13" t="str">
        <x:v>MBRF GLOBAL FOODS COMPANY SA</x:v>
      </x:c>
      <x:c r="C12416" s="16" t="n">
        <x:v>515.6887509918</x:v>
      </x:c>
      <x:c r="D12416" s="13" t="str">
        <x:v>Food &amp; Beverages</x:v>
      </x:c>
      <x:c r="E12416" s="13" t="str">
        <x:v>Agri, Food &amp; Beverages</x:v>
      </x:c>
      <x:c r="F12416" s="13" t="str">
        <x:v>Defensives</x:v>
      </x:c>
      <x:c r="G12416" s="13" t="str">
        <x:v>grid_wbaxp5t0.xlsx</x:v>
      </x:c>
    </x:row>
    <x:row r="12417">
      <x:c r="A12417" s="15" t="n">
        <x:v>45689</x:v>
      </x:c>
      <x:c r="B12417" s="13" t="str">
        <x:v>MINERVA SA</x:v>
      </x:c>
      <x:c r="C12417" s="16" t="n">
        <x:v>316.8380793863</x:v>
      </x:c>
      <x:c r="D12417" s="13" t="str">
        <x:v>Food &amp; Beverages</x:v>
      </x:c>
      <x:c r="E12417" s="13" t="str">
        <x:v>Agri, Food &amp; Beverages</x:v>
      </x:c>
      <x:c r="F12417" s="13" t="str">
        <x:v>Defensives</x:v>
      </x:c>
      <x:c r="G12417" s="13" t="str">
        <x:v>grid_wbaxp5t0.xlsx</x:v>
      </x:c>
    </x:row>
    <x:row r="12418">
      <x:c r="A12418" s="15" t="n">
        <x:v>45689</x:v>
      </x:c>
      <x:c r="B12418" s="13" t="str">
        <x:v>FLEURY SA</x:v>
      </x:c>
      <x:c r="C12418" s="16" t="n">
        <x:v>701.4725810849</x:v>
      </x:c>
      <x:c r="D12418" s="13" t="str">
        <x:v>Health Care</x:v>
      </x:c>
      <x:c r="E12418" s="13" t="str">
        <x:v>Health Care</x:v>
      </x:c>
      <x:c r="F12418" s="13" t="str">
        <x:v>Defensives</x:v>
      </x:c>
      <x:c r="G12418" s="13" t="str">
        <x:v>grid_wbaxp5t0.xlsx</x:v>
      </x:c>
    </x:row>
    <x:row r="12419">
      <x:c r="A12419" s="15" t="n">
        <x:v>45689</x:v>
      </x:c>
      <x:c r="B12419" s="13" t="str">
        <x:v>HAPVIDA PARTICIPACOES E INVE</x:v>
      </x:c>
      <x:c r="C12419" s="16" t="n">
        <x:v>1520.4665701699</x:v>
      </x:c>
      <x:c r="D12419" s="13" t="str">
        <x:v>Health Care</x:v>
      </x:c>
      <x:c r="E12419" s="13" t="str">
        <x:v>Health Care</x:v>
      </x:c>
      <x:c r="F12419" s="13" t="str">
        <x:v>Defensives</x:v>
      </x:c>
      <x:c r="G12419" s="13" t="str">
        <x:v>grid_wbaxp5t0.xlsx</x:v>
      </x:c>
    </x:row>
    <x:row r="12420">
      <x:c r="A12420" s="15" t="n">
        <x:v>45689</x:v>
      </x:c>
      <x:c r="B12420" s="13" t="str">
        <x:v>HYPERA SA</x:v>
      </x:c>
      <x:c r="C12420" s="16" t="n">
        <x:v>1233.4999916712</x:v>
      </x:c>
      <x:c r="D12420" s="13" t="str">
        <x:v>Health Care</x:v>
      </x:c>
      <x:c r="E12420" s="13" t="str">
        <x:v>Health Care</x:v>
      </x:c>
      <x:c r="F12420" s="13" t="str">
        <x:v>Defensives</x:v>
      </x:c>
      <x:c r="G12420" s="13" t="str">
        <x:v>grid_wbaxp5t0.xlsx</x:v>
      </x:c>
    </x:row>
    <x:row r="12421">
      <x:c r="A12421" s="15" t="n">
        <x:v>45689</x:v>
      </x:c>
      <x:c r="B12421" s="13" t="str">
        <x:v>REDE D'OR SAO LUIZ SA</x:v>
      </x:c>
      <x:c r="C12421" s="16" t="n">
        <x:v>4514.1148587836</x:v>
      </x:c>
      <x:c r="D12421" s="13" t="str">
        <x:v>Health Care</x:v>
      </x:c>
      <x:c r="E12421" s="13" t="str">
        <x:v>Health Care</x:v>
      </x:c>
      <x:c r="F12421" s="13" t="str">
        <x:v>Defensives</x:v>
      </x:c>
      <x:c r="G12421" s="13" t="str">
        <x:v>grid_wbaxp5t0.xlsx</x:v>
      </x:c>
    </x:row>
    <x:row r="12422">
      <x:c r="A12422" s="15" t="n">
        <x:v>45689</x:v>
      </x:c>
      <x:c r="B12422" s="13" t="str">
        <x:v>CYRELA BRAZIL REALTY SA EMP</x:v>
      </x:c>
      <x:c r="C12422" s="16" t="n">
        <x:v>1766.9492974466</x:v>
      </x:c>
      <x:c r="D12422" s="13" t="str">
        <x:v>Homebuilders</x:v>
      </x:c>
      <x:c r="E12422" s="13" t="str">
        <x:v>Real Estate</x:v>
      </x:c>
      <x:c r="F12422" s="13" t="str">
        <x:v>Early Cyclicals</x:v>
      </x:c>
      <x:c r="G12422" s="13" t="str">
        <x:v>grid_wbaxp5t0.xlsx</x:v>
      </x:c>
    </x:row>
    <x:row r="12423">
      <x:c r="A12423" s="15" t="n">
        <x:v>45689</x:v>
      </x:c>
      <x:c r="B12423" s="13" t="str">
        <x:v>MRV ENGENHARIA</x:v>
      </x:c>
      <x:c r="C12423" s="16" t="n">
        <x:v>605.703751189</x:v>
      </x:c>
      <x:c r="D12423" s="13" t="str">
        <x:v>Homebuilders</x:v>
      </x:c>
      <x:c r="E12423" s="13" t="str">
        <x:v>Real Estate</x:v>
      </x:c>
      <x:c r="F12423" s="13" t="str">
        <x:v>Early Cyclicals</x:v>
      </x:c>
      <x:c r="G12423" s="13" t="str">
        <x:v>grid_wbaxp5t0.xlsx</x:v>
      </x:c>
    </x:row>
    <x:row r="12424">
      <x:c r="A12424" s="15" t="n">
        <x:v>45689</x:v>
      </x:c>
      <x:c r="B12424" s="13" t="str">
        <x:v>ALLOS SA</x:v>
      </x:c>
      <x:c r="C12424" s="16" t="n">
        <x:v>741.3151817644</x:v>
      </x:c>
      <x:c r="D12424" s="13" t="str">
        <x:v>Income Properties</x:v>
      </x:c>
      <x:c r="E12424" s="13" t="str">
        <x:v>Real Estate</x:v>
      </x:c>
      <x:c r="F12424" s="13" t="str">
        <x:v>Early Cyclicals</x:v>
      </x:c>
      <x:c r="G12424" s="13" t="str">
        <x:v>grid_wbaxp5t0.xlsx</x:v>
      </x:c>
    </x:row>
    <x:row r="12425">
      <x:c r="A12425" s="15" t="n">
        <x:v>45689</x:v>
      </x:c>
      <x:c r="B12425" s="13" t="str">
        <x:v>IGUATEMI SA - UNITS</x:v>
      </x:c>
      <x:c r="C12425" s="16" t="n">
        <x:v>499.1179712877</x:v>
      </x:c>
      <x:c r="D12425" s="13" t="str">
        <x:v>Income Properties</x:v>
      </x:c>
      <x:c r="E12425" s="13" t="str">
        <x:v>Real Estate</x:v>
      </x:c>
      <x:c r="F12425" s="13" t="str">
        <x:v>Early Cyclicals</x:v>
      </x:c>
      <x:c r="G12425" s="13" t="str">
        <x:v>grid_wbaxp5t0.xlsx</x:v>
      </x:c>
    </x:row>
    <x:row r="12426">
      <x:c r="A12426" s="15" t="n">
        <x:v>45689</x:v>
      </x:c>
      <x:c r="B12426" s="13" t="str">
        <x:v>MULTIPLAN EMPREENDIMENTOS</x:v>
      </x:c>
      <x:c r="C12426" s="16" t="n">
        <x:v>1043.9011475288</x:v>
      </x:c>
      <x:c r="D12426" s="13" t="str">
        <x:v>Income Properties</x:v>
      </x:c>
      <x:c r="E12426" s="13" t="str">
        <x:v>Real Estate</x:v>
      </x:c>
      <x:c r="F12426" s="13" t="str">
        <x:v>Early Cyclicals</x:v>
      </x:c>
      <x:c r="G12426" s="13" t="str">
        <x:v>grid_wbaxp5t0.xlsx</x:v>
      </x:c>
    </x:row>
    <x:row r="12427">
      <x:c r="A12427" s="15" t="n">
        <x:v>45689</x:v>
      </x:c>
      <x:c r="B12427" s="13" t="str">
        <x:v>BRADESPAR SA -PREF</x:v>
      </x:c>
      <x:c r="C12427" s="16" t="n">
        <x:v>1396.3506849315</x:v>
      </x:c>
      <x:c r="D12427" s="13" t="str">
        <x:v>Metals &amp; Mining</x:v>
      </x:c>
      <x:c r="E12427" s="13" t="str">
        <x:v>Metals &amp; Mining</x:v>
      </x:c>
      <x:c r="F12427" s="13" t="str">
        <x:v>Deep Cyclicals</x:v>
      </x:c>
      <x:c r="G12427" s="13" t="str">
        <x:v>grid_wbaxp5t0.xlsx</x:v>
      </x:c>
    </x:row>
    <x:row r="12428">
      <x:c r="A12428" s="15" t="n">
        <x:v>45689</x:v>
      </x:c>
      <x:c r="B12428" s="13" t="str">
        <x:v>CIA SIDERURGICA NACIONAL SA</x:v>
      </x:c>
      <x:c r="C12428" s="16" t="n">
        <x:v>329.7191625644</x:v>
      </x:c>
      <x:c r="D12428" s="13" t="str">
        <x:v>Metals &amp; Mining</x:v>
      </x:c>
      <x:c r="E12428" s="13" t="str">
        <x:v>Metals &amp; Mining</x:v>
      </x:c>
      <x:c r="F12428" s="13" t="str">
        <x:v>Deep Cyclicals</x:v>
      </x:c>
      <x:c r="G12428" s="13" t="str">
        <x:v>grid_wbaxp5t0.xlsx</x:v>
      </x:c>
    </x:row>
    <x:row r="12429">
      <x:c r="A12429" s="15" t="n">
        <x:v>45689</x:v>
      </x:c>
      <x:c r="B12429" s="13" t="str">
        <x:v>CSN MINERACAO SA</x:v>
      </x:c>
      <x:c r="C12429" s="16" t="n">
        <x:v>2364.3164135452</x:v>
      </x:c>
      <x:c r="D12429" s="13" t="str">
        <x:v>Metals &amp; Mining</x:v>
      </x:c>
      <x:c r="E12429" s="13" t="str">
        <x:v>Metals &amp; Mining</x:v>
      </x:c>
      <x:c r="F12429" s="13" t="str">
        <x:v>Deep Cyclicals</x:v>
      </x:c>
      <x:c r="G12429" s="13" t="str">
        <x:v>grid_wbaxp5t0.xlsx</x:v>
      </x:c>
    </x:row>
    <x:row r="12430">
      <x:c r="A12430" s="15" t="n">
        <x:v>45689</x:v>
      </x:c>
      <x:c r="B12430" s="13" t="str">
        <x:v>GERDAU SA-PREF</x:v>
      </x:c>
      <x:c r="C12430" s="16" t="n">
        <x:v>5370.1372689534</x:v>
      </x:c>
      <x:c r="D12430" s="13" t="str">
        <x:v>Metals &amp; Mining</x:v>
      </x:c>
      <x:c r="E12430" s="13" t="str">
        <x:v>Metals &amp; Mining</x:v>
      </x:c>
      <x:c r="F12430" s="13" t="str">
        <x:v>Deep Cyclicals</x:v>
      </x:c>
      <x:c r="G12430" s="13" t="str">
        <x:v>grid_wbaxp5t0.xlsx</x:v>
      </x:c>
    </x:row>
    <x:row r="12431">
      <x:c r="A12431" s="15" t="n">
        <x:v>45689</x:v>
      </x:c>
      <x:c r="B12431" s="13" t="str">
        <x:v>USINAS SIDER MINAS GER-PF A</x:v>
      </x:c>
      <x:c r="C12431" s="16" t="n">
        <x:v>754.0084441425</x:v>
      </x:c>
      <x:c r="D12431" s="13" t="str">
        <x:v>Metals &amp; Mining</x:v>
      </x:c>
      <x:c r="E12431" s="13" t="str">
        <x:v>Metals &amp; Mining</x:v>
      </x:c>
      <x:c r="F12431" s="13" t="str">
        <x:v>Deep Cyclicals</x:v>
      </x:c>
      <x:c r="G12431" s="13" t="str">
        <x:v>grid_wbaxp5t0.xlsx</x:v>
      </x:c>
    </x:row>
    <x:row r="12432">
      <x:c r="A12432" s="15" t="n">
        <x:v>45689</x:v>
      </x:c>
      <x:c r="B12432" s="13" t="str">
        <x:v>VALE SA</x:v>
      </x:c>
      <x:c r="C12432" s="16" t="n">
        <x:v>46077.6887786959</x:v>
      </x:c>
      <x:c r="D12432" s="13" t="str">
        <x:v>Metals &amp; Mining</x:v>
      </x:c>
      <x:c r="E12432" s="13" t="str">
        <x:v>Metals &amp; Mining</x:v>
      </x:c>
      <x:c r="F12432" s="13" t="str">
        <x:v>Deep Cyclicals</x:v>
      </x:c>
      <x:c r="G12432" s="13" t="str">
        <x:v>grid_wbaxp5t0.xlsx</x:v>
      </x:c>
    </x:row>
    <x:row r="12433">
      <x:c r="A12433" s="15" t="n">
        <x:v>45689</x:v>
      </x:c>
      <x:c r="B12433" s="13" t="str">
        <x:v>BRASKEM SA-PREF A</x:v>
      </x:c>
      <x:c r="C12433" s="16" t="n">
        <x:v>-298.2586175123</x:v>
      </x:c>
      <x:c r="D12433" s="13" t="str">
        <x:v>Oil, Gas &amp; Petrochemicals</x:v>
      </x:c>
      <x:c r="E12433" s="13" t="str">
        <x:v>Oil, Gas &amp; Petrochemicals</x:v>
      </x:c>
      <x:c r="F12433" s="13" t="str">
        <x:v>Deep Cyclicals</x:v>
      </x:c>
      <x:c r="G12433" s="13" t="str">
        <x:v>grid_wbaxp5t0.xlsx</x:v>
      </x:c>
    </x:row>
    <x:row r="12434">
      <x:c r="A12434" s="15" t="n">
        <x:v>45689</x:v>
      </x:c>
      <x:c r="B12434" s="13" t="str">
        <x:v>BRAVA ENERGIA</x:v>
      </x:c>
      <x:c r="C12434" s="16" t="n">
        <x:v>2455.0280332274</x:v>
      </x:c>
      <x:c r="D12434" s="13" t="str">
        <x:v>Oil, Gas &amp; Petrochemicals</x:v>
      </x:c>
      <x:c r="E12434" s="13" t="str">
        <x:v>Oil, Gas &amp; Petrochemicals</x:v>
      </x:c>
      <x:c r="F12434" s="13" t="str">
        <x:v>Deep Cyclicals</x:v>
      </x:c>
      <x:c r="G12434" s="13" t="str">
        <x:v>grid_wbaxp5t0.xlsx</x:v>
      </x:c>
    </x:row>
    <x:row r="12435">
      <x:c r="A12435" s="15" t="n">
        <x:v>45689</x:v>
      </x:c>
      <x:c r="B12435" s="13" t="str">
        <x:v>COSAN SA</x:v>
      </x:c>
      <x:c r="C12435" s="16" t="n">
        <x:v>3362.3363969753</x:v>
      </x:c>
      <x:c r="D12435" s="13" t="str">
        <x:v>Oil, Gas &amp; Petrochemicals</x:v>
      </x:c>
      <x:c r="E12435" s="13" t="str">
        <x:v>Oil, Gas &amp; Petrochemicals</x:v>
      </x:c>
      <x:c r="F12435" s="13" t="str">
        <x:v>Deep Cyclicals</x:v>
      </x:c>
      <x:c r="G12435" s="13" t="str">
        <x:v>grid_wbaxp5t0.xlsx</x:v>
      </x:c>
    </x:row>
    <x:row r="12436">
      <x:c r="A12436" s="15" t="n">
        <x:v>45689</x:v>
      </x:c>
      <x:c r="B12436" s="13" t="str">
        <x:v>PETROBRAS - PETROLEO BRAS</x:v>
      </x:c>
      <x:c r="C12436" s="16" t="n">
        <x:v>115777.270893414</x:v>
      </x:c>
      <x:c r="D12436" s="13" t="str">
        <x:v>Oil, Gas &amp; Petrochemicals</x:v>
      </x:c>
      <x:c r="E12436" s="13" t="str">
        <x:v>Oil, Gas &amp; Petrochemicals</x:v>
      </x:c>
      <x:c r="F12436" s="13" t="str">
        <x:v>Deep Cyclicals</x:v>
      </x:c>
      <x:c r="G12436" s="13" t="str">
        <x:v>grid_wbaxp5t0.xlsx</x:v>
      </x:c>
    </x:row>
    <x:row r="12437">
      <x:c r="A12437" s="15" t="n">
        <x:v>45689</x:v>
      </x:c>
      <x:c r="B12437" s="13" t="str">
        <x:v>PETRORECONCAVO SA</x:v>
      </x:c>
      <x:c r="C12437" s="16" t="n">
        <x:v>1016.2665531616</x:v>
      </x:c>
      <x:c r="D12437" s="13" t="str">
        <x:v>Oil, Gas &amp; Petrochemicals</x:v>
      </x:c>
      <x:c r="E12437" s="13" t="str">
        <x:v>Oil, Gas &amp; Petrochemicals</x:v>
      </x:c>
      <x:c r="F12437" s="13" t="str">
        <x:v>Deep Cyclicals</x:v>
      </x:c>
      <x:c r="G12437" s="13" t="str">
        <x:v>grid_wbaxp5t0.xlsx</x:v>
      </x:c>
    </x:row>
    <x:row r="12438">
      <x:c r="A12438" s="15" t="n">
        <x:v>45689</x:v>
      </x:c>
      <x:c r="B12438" s="13" t="str">
        <x:v>PRIO SA</x:v>
      </x:c>
      <x:c r="C12438" s="16" t="n">
        <x:v>4966.2388490521</x:v>
      </x:c>
      <x:c r="D12438" s="13" t="str">
        <x:v>Oil, Gas &amp; Petrochemicals</x:v>
      </x:c>
      <x:c r="E12438" s="13" t="str">
        <x:v>Oil, Gas &amp; Petrochemicals</x:v>
      </x:c>
      <x:c r="F12438" s="13" t="str">
        <x:v>Deep Cyclicals</x:v>
      </x:c>
      <x:c r="G12438" s="13" t="str">
        <x:v>grid_wbaxp5t0.xlsx</x:v>
      </x:c>
    </x:row>
    <x:row r="12439">
      <x:c r="A12439" s="15" t="n">
        <x:v>45689</x:v>
      </x:c>
      <x:c r="B12439" s="13" t="str">
        <x:v>ULTRAPAR PARTICIPACOES SA</x:v>
      </x:c>
      <x:c r="C12439" s="16" t="n">
        <x:v>2009.0303530082</x:v>
      </x:c>
      <x:c r="D12439" s="13" t="str">
        <x:v>Oil, Gas &amp; Petrochemicals</x:v>
      </x:c>
      <x:c r="E12439" s="13" t="str">
        <x:v>Oil, Gas &amp; Petrochemicals</x:v>
      </x:c>
      <x:c r="F12439" s="13" t="str">
        <x:v>Deep Cyclicals</x:v>
      </x:c>
      <x:c r="G12439" s="13" t="str">
        <x:v>grid_wbaxp5t0.xlsx</x:v>
      </x:c>
    </x:row>
    <x:row r="12440">
      <x:c r="A12440" s="15" t="n">
        <x:v>45689</x:v>
      </x:c>
      <x:c r="B12440" s="13" t="str">
        <x:v>VIBRA ENERGIA SA</x:v>
      </x:c>
      <x:c r="C12440" s="16" t="n">
        <x:v>2370.1152515507</x:v>
      </x:c>
      <x:c r="D12440" s="13" t="str">
        <x:v>Oil, Gas &amp; Petrochemicals</x:v>
      </x:c>
      <x:c r="E12440" s="13" t="str">
        <x:v>Oil, Gas &amp; Petrochemicals</x:v>
      </x:c>
      <x:c r="F12440" s="13" t="str">
        <x:v>Deep Cyclicals</x:v>
      </x:c>
      <x:c r="G12440" s="13" t="str">
        <x:v>grid_wbaxp5t0.xlsx</x:v>
      </x:c>
    </x:row>
    <x:row r="12441">
      <x:c r="A12441" s="15" t="n">
        <x:v>45689</x:v>
      </x:c>
      <x:c r="B12441" s="13" t="str">
        <x:v>KLABIN SA - UNIT</x:v>
      </x:c>
      <x:c r="C12441" s="16" t="n">
        <x:v>2195.4327103123</x:v>
      </x:c>
      <x:c r="D12441" s="13" t="str">
        <x:v>Pulp &amp; Paper</x:v>
      </x:c>
      <x:c r="E12441" s="13" t="str">
        <x:v>Pulp &amp; Paper</x:v>
      </x:c>
      <x:c r="F12441" s="13" t="str">
        <x:v>Deep Cyclicals</x:v>
      </x:c>
      <x:c r="G12441" s="13" t="str">
        <x:v>grid_wbaxp5t0.xlsx</x:v>
      </x:c>
    </x:row>
    <x:row r="12442">
      <x:c r="A12442" s="15" t="n">
        <x:v>45689</x:v>
      </x:c>
      <x:c r="B12442" s="13" t="str">
        <x:v>SUZANO SA</x:v>
      </x:c>
      <x:c r="C12442" s="16" t="n">
        <x:v>11986.1725857315</x:v>
      </x:c>
      <x:c r="D12442" s="13" t="str">
        <x:v>Pulp &amp; Paper</x:v>
      </x:c>
      <x:c r="E12442" s="13" t="str">
        <x:v>Pulp &amp; Paper</x:v>
      </x:c>
      <x:c r="F12442" s="13" t="str">
        <x:v>Deep Cyclicals</x:v>
      </x:c>
      <x:c r="G12442" s="13" t="str">
        <x:v>grid_wbaxp5t0.xlsx</x:v>
      </x:c>
    </x:row>
    <x:row r="12443">
      <x:c r="A12443" s="15" t="n">
        <x:v>45689</x:v>
      </x:c>
      <x:c r="B12443" s="13" t="str">
        <x:v>ATACADAO SA</x:v>
      </x:c>
      <x:c r="C12443" s="16" t="n">
        <x:v>1354.6672163068</x:v>
      </x:c>
      <x:c r="D12443" s="13" t="str">
        <x:v>Retail</x:v>
      </x:c>
      <x:c r="E12443" s="13" t="str">
        <x:v>Retail</x:v>
      </x:c>
      <x:c r="F12443" s="13" t="str">
        <x:v>Early Cyclicals</x:v>
      </x:c>
      <x:c r="G12443" s="13" t="str">
        <x:v>grid_wbaxp5t0.xlsx</x:v>
      </x:c>
    </x:row>
    <x:row r="12444">
      <x:c r="A12444" s="15" t="n">
        <x:v>45689</x:v>
      </x:c>
      <x:c r="B12444" s="13" t="str">
        <x:v>AZZAS 2154 SA</x:v>
      </x:c>
      <x:c r="C12444" s="16" t="n">
        <x:v>766.7905294027</x:v>
      </x:c>
      <x:c r="D12444" s="13" t="str">
        <x:v>Retail</x:v>
      </x:c>
      <x:c r="E12444" s="13" t="str">
        <x:v>Retail</x:v>
      </x:c>
      <x:c r="F12444" s="13" t="str">
        <x:v>Early Cyclicals</x:v>
      </x:c>
      <x:c r="G12444" s="13" t="str">
        <x:v>grid_wbaxp5t0.xlsx</x:v>
      </x:c>
    </x:row>
    <x:row r="12445">
      <x:c r="A12445" s="15" t="n">
        <x:v>45689</x:v>
      </x:c>
      <x:c r="B12445" s="13" t="str">
        <x:v>CIA BRASILEIRA DE DISTRIBUIC</x:v>
      </x:c>
      <x:c r="C12445" s="16" t="n">
        <x:v>-381.175672811</x:v>
      </x:c>
      <x:c r="D12445" s="13" t="str">
        <x:v>Retail</x:v>
      </x:c>
      <x:c r="E12445" s="13" t="str">
        <x:v>Retail</x:v>
      </x:c>
      <x:c r="F12445" s="13" t="str">
        <x:v>Early Cyclicals</x:v>
      </x:c>
      <x:c r="G12445" s="13" t="str">
        <x:v>grid_wbaxp5t0.xlsx</x:v>
      </x:c>
    </x:row>
    <x:row r="12446">
      <x:c r="A12446" s="15" t="n">
        <x:v>45689</x:v>
      </x:c>
      <x:c r="B12446" s="13" t="str">
        <x:v>CVC BRASIL OPERADORA E AGENC</x:v>
      </x:c>
      <x:c r="C12446" s="16" t="n">
        <x:v>8.6135241644</x:v>
      </x:c>
      <x:c r="D12446" s="13" t="str">
        <x:v>Retail</x:v>
      </x:c>
      <x:c r="E12446" s="13" t="str">
        <x:v>Retail</x:v>
      </x:c>
      <x:c r="F12446" s="13" t="str">
        <x:v>Early Cyclicals</x:v>
      </x:c>
      <x:c r="G12446" s="13" t="str">
        <x:v>grid_wbaxp5t0.xlsx</x:v>
      </x:c>
    </x:row>
    <x:row r="12447">
      <x:c r="A12447" s="15" t="n">
        <x:v>45689</x:v>
      </x:c>
      <x:c r="B12447" s="13" t="str">
        <x:v>LOJAS RENNER S.A.</x:v>
      </x:c>
      <x:c r="C12447" s="16" t="n">
        <x:v>1446.7632008767</x:v>
      </x:c>
      <x:c r="D12447" s="13" t="str">
        <x:v>Retail</x:v>
      </x:c>
      <x:c r="E12447" s="13" t="str">
        <x:v>Retail</x:v>
      </x:c>
      <x:c r="F12447" s="13" t="str">
        <x:v>Early Cyclicals</x:v>
      </x:c>
      <x:c r="G12447" s="13" t="str">
        <x:v>grid_wbaxp5t0.xlsx</x:v>
      </x:c>
    </x:row>
    <x:row r="12448">
      <x:c r="A12448" s="15" t="n">
        <x:v>45689</x:v>
      </x:c>
      <x:c r="B12448" s="13" t="str">
        <x:v>MAGAZINE LUIZA SA</x:v>
      </x:c>
      <x:c r="C12448" s="16" t="n">
        <x:v>357.3760864438</x:v>
      </x:c>
      <x:c r="D12448" s="13" t="str">
        <x:v>Retail</x:v>
      </x:c>
      <x:c r="E12448" s="13" t="str">
        <x:v>Retail</x:v>
      </x:c>
      <x:c r="F12448" s="13" t="str">
        <x:v>Early Cyclicals</x:v>
      </x:c>
      <x:c r="G12448" s="13" t="str">
        <x:v>grid_wbaxp5t0.xlsx</x:v>
      </x:c>
    </x:row>
    <x:row r="12449">
      <x:c r="A12449" s="15" t="n">
        <x:v>45689</x:v>
      </x:c>
      <x:c r="B12449" s="13" t="str">
        <x:v>NATURA &amp;CO HOLDING SA</x:v>
      </x:c>
      <x:c r="C12449" s="16" t="n">
        <x:v>1198.1819342904</x:v>
      </x:c>
      <x:c r="D12449" s="13" t="str">
        <x:v>Retail</x:v>
      </x:c>
      <x:c r="E12449" s="13" t="str">
        <x:v>Retail</x:v>
      </x:c>
      <x:c r="F12449" s="13" t="str">
        <x:v>Early Cyclicals</x:v>
      </x:c>
      <x:c r="G12449" s="13" t="str">
        <x:v>grid_wbaxp5t0.xlsx</x:v>
      </x:c>
    </x:row>
    <x:row r="12450">
      <x:c r="A12450" s="15" t="n">
        <x:v>45689</x:v>
      </x:c>
      <x:c r="B12450" s="13" t="str">
        <x:v>PET CENTER COMERCIO E PARTIC</x:v>
      </x:c>
      <x:c r="C12450" s="16" t="n">
        <x:v>80.7749084274</x:v>
      </x:c>
      <x:c r="D12450" s="13" t="str">
        <x:v>Retail</x:v>
      </x:c>
      <x:c r="E12450" s="13" t="str">
        <x:v>Retail</x:v>
      </x:c>
      <x:c r="F12450" s="13" t="str">
        <x:v>Early Cyclicals</x:v>
      </x:c>
      <x:c r="G12450" s="13" t="str">
        <x:v>grid_wbaxp5t0.xlsx</x:v>
      </x:c>
    </x:row>
    <x:row r="12451">
      <x:c r="A12451" s="15" t="n">
        <x:v>45689</x:v>
      </x:c>
      <x:c r="B12451" s="13" t="str">
        <x:v>RAIA DROGASIL SA</x:v>
      </x:c>
      <x:c r="C12451" s="16" t="n">
        <x:v>1348.4782248329</x:v>
      </x:c>
      <x:c r="D12451" s="13" t="str">
        <x:v>Retail</x:v>
      </x:c>
      <x:c r="E12451" s="13" t="str">
        <x:v>Retail</x:v>
      </x:c>
      <x:c r="F12451" s="13" t="str">
        <x:v>Early Cyclicals</x:v>
      </x:c>
      <x:c r="G12451" s="13" t="str">
        <x:v>grid_wbaxp5t0.xlsx</x:v>
      </x:c>
    </x:row>
    <x:row r="12452">
      <x:c r="A12452" s="15" t="n">
        <x:v>45689</x:v>
      </x:c>
      <x:c r="B12452" s="13" t="str">
        <x:v>SENDAS DISTRIBUIDORA SA</x:v>
      </x:c>
      <x:c r="C12452" s="16" t="n">
        <x:v>716.0076112658</x:v>
      </x:c>
      <x:c r="D12452" s="13" t="str">
        <x:v>Retail</x:v>
      </x:c>
      <x:c r="E12452" s="13" t="str">
        <x:v>Retail</x:v>
      </x:c>
      <x:c r="F12452" s="13" t="str">
        <x:v>Early Cyclicals</x:v>
      </x:c>
      <x:c r="G12452" s="13" t="str">
        <x:v>grid_wbaxp5t0.xlsx</x:v>
      </x:c>
    </x:row>
    <x:row r="12453">
      <x:c r="A12453" s="15" t="n">
        <x:v>45689</x:v>
      </x:c>
      <x:c r="B12453" s="13" t="str">
        <x:v>VIVARA PARTICIPACOES SA</x:v>
      </x:c>
      <x:c r="C12453" s="16" t="n">
        <x:v>576.4094693699</x:v>
      </x:c>
      <x:c r="D12453" s="13" t="str">
        <x:v>Retail</x:v>
      </x:c>
      <x:c r="E12453" s="13" t="str">
        <x:v>Retail</x:v>
      </x:c>
      <x:c r="F12453" s="13" t="str">
        <x:v>Early Cyclicals</x:v>
      </x:c>
      <x:c r="G12453" s="13" t="str">
        <x:v>grid_wbaxp5t0.xlsx</x:v>
      </x:c>
    </x:row>
    <x:row r="12454">
      <x:c r="A12454" s="15" t="n">
        <x:v>45689</x:v>
      </x:c>
      <x:c r="B12454" s="13" t="str">
        <x:v>CIA SANEAMENTO BASICO DE SP</x:v>
      </x:c>
      <x:c r="C12454" s="16" t="n">
        <x:v>4980.1127178521</x:v>
      </x:c>
      <x:c r="D12454" s="13" t="str">
        <x:v>Sanitation</x:v>
      </x:c>
      <x:c r="E12454" s="13" t="str">
        <x:v>Utilities</x:v>
      </x:c>
      <x:c r="F12454" s="13" t="str">
        <x:v>Defensives</x:v>
      </x:c>
      <x:c r="G12454" s="13" t="str">
        <x:v>grid_wbaxp5t0.xlsx</x:v>
      </x:c>
    </x:row>
    <x:row r="12455">
      <x:c r="A12455" s="15" t="n">
        <x:v>45689</x:v>
      </x:c>
      <x:c r="B12455" s="13" t="str">
        <x:v>LWSA SA</x:v>
      </x:c>
      <x:c r="C12455" s="16" t="n">
        <x:v>148.3295111014</x:v>
      </x:c>
      <x:c r="D12455" s="13" t="str">
        <x:v>TMT</x:v>
      </x:c>
      <x:c r="E12455" s="13" t="str">
        <x:v>TMT</x:v>
      </x:c>
      <x:c r="F12455" s="13" t="str">
        <x:v>Early Cyclicals</x:v>
      </x:c>
      <x:c r="G12455" s="13" t="str">
        <x:v>grid_wbaxp5t0.xlsx</x:v>
      </x:c>
    </x:row>
    <x:row r="12456">
      <x:c r="A12456" s="15" t="n">
        <x:v>45689</x:v>
      </x:c>
      <x:c r="B12456" s="13" t="str">
        <x:v>TIM SA</x:v>
      </x:c>
      <x:c r="C12456" s="16" t="n">
        <x:v>3936.4706416219</x:v>
      </x:c>
      <x:c r="D12456" s="13" t="str">
        <x:v>TMT</x:v>
      </x:c>
      <x:c r="E12456" s="13" t="str">
        <x:v>TMT</x:v>
      </x:c>
      <x:c r="F12456" s="13" t="str">
        <x:v>Early Cyclicals</x:v>
      </x:c>
      <x:c r="G12456" s="13" t="str">
        <x:v>grid_wbaxp5t0.xlsx</x:v>
      </x:c>
    </x:row>
    <x:row r="12457">
      <x:c r="A12457" s="15" t="n">
        <x:v>45689</x:v>
      </x:c>
      <x:c r="B12457" s="13" t="str">
        <x:v>TOTVS SA</x:v>
      </x:c>
      <x:c r="C12457" s="16" t="n">
        <x:v>906.1933417205</x:v>
      </x:c>
      <x:c r="D12457" s="13" t="str">
        <x:v>TMT</x:v>
      </x:c>
      <x:c r="E12457" s="13" t="str">
        <x:v>TMT</x:v>
      </x:c>
      <x:c r="F12457" s="13" t="str">
        <x:v>Early Cyclicals</x:v>
      </x:c>
      <x:c r="G12457" s="13" t="str">
        <x:v>grid_wbaxp5t0.xlsx</x:v>
      </x:c>
    </x:row>
    <x:row r="12458">
      <x:c r="A12458" s="15" t="n">
        <x:v>45689</x:v>
      </x:c>
      <x:c r="B12458" s="13" t="str">
        <x:v>AZUL SA</x:v>
      </x:c>
      <x:c r="C12458" s="16" t="n">
        <x:v>30.0062385534</x:v>
      </x:c>
      <x:c r="D12458" s="13" t="str">
        <x:v>Transportation</x:v>
      </x:c>
      <x:c r="E12458" s="13" t="str">
        <x:v>Transportation</x:v>
      </x:c>
      <x:c r="F12458" s="13" t="str">
        <x:v>Deep Cyclicals</x:v>
      </x:c>
      <x:c r="G12458" s="13" t="str">
        <x:v>grid_wbaxp5t0.xlsx</x:v>
      </x:c>
    </x:row>
    <x:row r="12459">
      <x:c r="A12459" s="15" t="n">
        <x:v>45689</x:v>
      </x:c>
      <x:c r="B12459" s="13" t="str">
        <x:v>LOCALIZA RENT A CAR</x:v>
      </x:c>
      <x:c r="C12459" s="16" t="n">
        <x:v>3686.5245913425</x:v>
      </x:c>
      <x:c r="D12459" s="13" t="str">
        <x:v>Transportation</x:v>
      </x:c>
      <x:c r="E12459" s="13" t="str">
        <x:v>Transportation</x:v>
      </x:c>
      <x:c r="F12459" s="13" t="str">
        <x:v>Deep Cyclicals</x:v>
      </x:c>
      <x:c r="G12459" s="13" t="str">
        <x:v>grid_wbaxp5t0.xlsx</x:v>
      </x:c>
    </x:row>
    <x:row r="12460">
      <x:c r="A12460" s="15" t="n">
        <x:v>45689</x:v>
      </x:c>
      <x:c r="B12460" s="13" t="str">
        <x:v>MOTIVA INFRAESTRUTURA DE MOB</x:v>
      </x:c>
      <x:c r="C12460" s="16" t="n">
        <x:v>1699.7471863233</x:v>
      </x:c>
      <x:c r="D12460" s="13" t="str">
        <x:v>Transportation</x:v>
      </x:c>
      <x:c r="E12460" s="13" t="str">
        <x:v>Transportation</x:v>
      </x:c>
      <x:c r="F12460" s="13" t="str">
        <x:v>Deep Cyclicals</x:v>
      </x:c>
      <x:c r="G12460" s="13" t="str">
        <x:v>grid_wbaxp5t0.xlsx</x:v>
      </x:c>
    </x:row>
    <x:row r="12461">
      <x:c r="A12461" s="15" t="n">
        <x:v>45689</x:v>
      </x:c>
      <x:c r="B12461" s="13" t="str">
        <x:v>RUMO SA</x:v>
      </x:c>
      <x:c r="C12461" s="16" t="n">
        <x:v>2427.8017760438</x:v>
      </x:c>
      <x:c r="D12461" s="13" t="str">
        <x:v>Transportation</x:v>
      </x:c>
      <x:c r="E12461" s="13" t="str">
        <x:v>Transportation</x:v>
      </x:c>
      <x:c r="F12461" s="13" t="str">
        <x:v>Deep Cyclicals</x:v>
      </x:c>
      <x:c r="G12461" s="13" t="str">
        <x:v>grid_wbaxp5t0.xlsx</x:v>
      </x:c>
    </x:row>
    <x:row r="12462">
      <x:c r="A12462" s="15" t="n">
        <x:v>45689</x:v>
      </x:c>
      <x:c r="B12462" s="13" t="str">
        <x:v>SANTOS BRASIL PARTICIPACOES</x:v>
      </x:c>
      <x:c r="C12462" s="16" t="n">
        <x:v>832.6591780822</x:v>
      </x:c>
      <x:c r="D12462" s="13" t="str">
        <x:v>Transportation</x:v>
      </x:c>
      <x:c r="E12462" s="13" t="str">
        <x:v>Transportation</x:v>
      </x:c>
      <x:c r="F12462" s="13" t="str">
        <x:v>Deep Cyclicals</x:v>
      </x:c>
      <x:c r="G12462" s="13" t="str">
        <x:v>grid_wbaxp5t0.xlsx</x:v>
      </x:c>
    </x:row>
    <x:row r="12463">
      <x:c r="A12463" s="15" t="n">
        <x:v>45689</x:v>
      </x:c>
      <x:c r="B12463" s="13" t="str">
        <x:v>VAMOS LOCACAO DE CAMINHOES M</x:v>
      </x:c>
      <x:c r="C12463" s="16" t="n">
        <x:v>830.826105337</x:v>
      </x:c>
      <x:c r="D12463" s="13" t="str">
        <x:v>Transportation</x:v>
      </x:c>
      <x:c r="E12463" s="13" t="str">
        <x:v>Transportation</x:v>
      </x:c>
      <x:c r="F12463" s="13" t="str">
        <x:v>Deep Cyclicals</x:v>
      </x:c>
      <x:c r="G12463" s="13" t="str">
        <x:v>grid_wbaxp5t0.xlsx</x:v>
      </x:c>
    </x:row>
    <x:row r="12464">
      <x:c r="A12464" s="15" t="n">
        <x:v>45689</x:v>
      </x:c>
      <x:c r="B12464" s="13" t="str">
        <x:v>AUREN ENERGIA SA - ON</x:v>
      </x:c>
      <x:c r="C12464" s="16" t="n">
        <x:v>496.4404855233</x:v>
      </x:c>
      <x:c r="D12464" s="13" t="str">
        <x:v>Utilities &amp; Energy</x:v>
      </x:c>
      <x:c r="E12464" s="13" t="str">
        <x:v>Utilities</x:v>
      </x:c>
      <x:c r="F12464" s="13" t="str">
        <x:v>Defensives</x:v>
      </x:c>
      <x:c r="G12464" s="13" t="str">
        <x:v>grid_wbaxp5t0.xlsx</x:v>
      </x:c>
    </x:row>
    <x:row r="12465">
      <x:c r="A12465" s="15" t="n">
        <x:v>45689</x:v>
      </x:c>
      <x:c r="B12465" s="13" t="str">
        <x:v>AXIA ENERGIA SA</x:v>
      </x:c>
      <x:c r="C12465" s="16" t="n">
        <x:v>9110.4097013479</x:v>
      </x:c>
      <x:c r="D12465" s="13" t="str">
        <x:v>Utilities &amp; Energy</x:v>
      </x:c>
      <x:c r="E12465" s="13" t="str">
        <x:v>Utilities</x:v>
      </x:c>
      <x:c r="F12465" s="13" t="str">
        <x:v>Defensives</x:v>
      </x:c>
      <x:c r="G12465" s="13" t="str">
        <x:v>grid_wbaxp5t0.xlsx</x:v>
      </x:c>
    </x:row>
    <x:row r="12466">
      <x:c r="A12466" s="15" t="n">
        <x:v>45689</x:v>
      </x:c>
      <x:c r="B12466" s="13" t="str">
        <x:v>AXIA ENERGIA-PR B</x:v>
      </x:c>
      <x:c r="C12466" s="16" t="n">
        <x:v>9110.4097013479</x:v>
      </x:c>
      <x:c r="D12466" s="13" t="str">
        <x:v>Utilities &amp; Energy</x:v>
      </x:c>
      <x:c r="E12466" s="13" t="str">
        <x:v>Utilities</x:v>
      </x:c>
      <x:c r="F12466" s="13" t="str">
        <x:v>Defensives</x:v>
      </x:c>
      <x:c r="G12466" s="13" t="str">
        <x:v>grid_wbaxp5t0.xlsx</x:v>
      </x:c>
    </x:row>
    <x:row r="12467">
      <x:c r="A12467" s="15" t="n">
        <x:v>45689</x:v>
      </x:c>
      <x:c r="B12467" s="13" t="str">
        <x:v>CIA ENERGETICA MINAS GER-PRF</x:v>
      </x:c>
      <x:c r="C12467" s="16" t="n">
        <x:v>3815.2697596493</x:v>
      </x:c>
      <x:c r="D12467" s="13" t="str">
        <x:v>Utilities &amp; Energy</x:v>
      </x:c>
      <x:c r="E12467" s="13" t="str">
        <x:v>Utilities</x:v>
      </x:c>
      <x:c r="F12467" s="13" t="str">
        <x:v>Defensives</x:v>
      </x:c>
      <x:c r="G12467" s="13" t="str">
        <x:v>grid_wbaxp5t0.xlsx</x:v>
      </x:c>
    </x:row>
    <x:row r="12468">
      <x:c r="A12468" s="15" t="n">
        <x:v>45689</x:v>
      </x:c>
      <x:c r="B12468" s="13" t="str">
        <x:v>COMPANHIA PARANAENSE -PREF B</x:v>
      </x:c>
      <x:c r="C12468" s="16" t="n">
        <x:v>2056.5283566466</x:v>
      </x:c>
      <x:c r="D12468" s="13" t="str">
        <x:v>Utilities &amp; Energy</x:v>
      </x:c>
      <x:c r="E12468" s="13" t="str">
        <x:v>Utilities</x:v>
      </x:c>
      <x:c r="F12468" s="13" t="str">
        <x:v>Defensives</x:v>
      </x:c>
      <x:c r="G12468" s="13" t="str">
        <x:v>grid_wbaxp5t0.xlsx</x:v>
      </x:c>
    </x:row>
    <x:row r="12469">
      <x:c r="A12469" s="15" t="n">
        <x:v>45689</x:v>
      </x:c>
      <x:c r="B12469" s="13" t="str">
        <x:v>CPFL ENERGIA SA</x:v>
      </x:c>
      <x:c r="C12469" s="16" t="n">
        <x:v>4592.9573726685</x:v>
      </x:c>
      <x:c r="D12469" s="13" t="str">
        <x:v>Utilities &amp; Energy</x:v>
      </x:c>
      <x:c r="E12469" s="13" t="str">
        <x:v>Utilities</x:v>
      </x:c>
      <x:c r="F12469" s="13" t="str">
        <x:v>Defensives</x:v>
      </x:c>
      <x:c r="G12469" s="13" t="str">
        <x:v>grid_wbaxp5t0.xlsx</x:v>
      </x:c>
    </x:row>
    <x:row r="12470">
      <x:c r="A12470" s="15" t="n">
        <x:v>45689</x:v>
      </x:c>
      <x:c r="B12470" s="13" t="str">
        <x:v>ENERGISA SA-UNITS</x:v>
      </x:c>
      <x:c r="C12470" s="16" t="n">
        <x:v>1822.6427893479</x:v>
      </x:c>
      <x:c r="D12470" s="13" t="str">
        <x:v>Utilities &amp; Energy</x:v>
      </x:c>
      <x:c r="E12470" s="13" t="str">
        <x:v>Utilities</x:v>
      </x:c>
      <x:c r="F12470" s="13" t="str">
        <x:v>Defensives</x:v>
      </x:c>
      <x:c r="G12470" s="13" t="str">
        <x:v>grid_wbaxp5t0.xlsx</x:v>
      </x:c>
    </x:row>
    <x:row r="12471">
      <x:c r="A12471" s="15" t="n">
        <x:v>45689</x:v>
      </x:c>
      <x:c r="B12471" s="13" t="str">
        <x:v>ENEVA SA</x:v>
      </x:c>
      <x:c r="C12471" s="16" t="n">
        <x:v>1728.7640165699</x:v>
      </x:c>
      <x:c r="D12471" s="13" t="str">
        <x:v>Utilities &amp; Energy</x:v>
      </x:c>
      <x:c r="E12471" s="13" t="str">
        <x:v>Utilities</x:v>
      </x:c>
      <x:c r="F12471" s="13" t="str">
        <x:v>Defensives</x:v>
      </x:c>
      <x:c r="G12471" s="13" t="str">
        <x:v>grid_wbaxp5t0.xlsx</x:v>
      </x:c>
    </x:row>
    <x:row r="12472">
      <x:c r="A12472" s="15" t="n">
        <x:v>45689</x:v>
      </x:c>
      <x:c r="B12472" s="13" t="str">
        <x:v>ENGIE BRASIL ENERGIA SA</x:v>
      </x:c>
      <x:c r="C12472" s="16" t="n">
        <x:v>3141.630649863</x:v>
      </x:c>
      <x:c r="D12472" s="13" t="str">
        <x:v>Utilities &amp; Energy</x:v>
      </x:c>
      <x:c r="E12472" s="13" t="str">
        <x:v>Utilities</x:v>
      </x:c>
      <x:c r="F12472" s="13" t="str">
        <x:v>Defensives</x:v>
      </x:c>
      <x:c r="G12472" s="13" t="str">
        <x:v>grid_wbaxp5t0.xlsx</x:v>
      </x:c>
    </x:row>
    <x:row r="12473">
      <x:c r="A12473" s="15" t="n">
        <x:v>45689</x:v>
      </x:c>
      <x:c r="B12473" s="13" t="str">
        <x:v>EQUATORIAL SA - ORD</x:v>
      </x:c>
      <x:c r="C12473" s="16" t="n">
        <x:v>3259.1934421918</x:v>
      </x:c>
      <x:c r="D12473" s="13" t="str">
        <x:v>Utilities &amp; Energy</x:v>
      </x:c>
      <x:c r="E12473" s="13" t="str">
        <x:v>Utilities</x:v>
      </x:c>
      <x:c r="F12473" s="13" t="str">
        <x:v>Defensives</x:v>
      </x:c>
      <x:c r="G12473" s="13" t="str">
        <x:v>grid_wbaxp5t0.xlsx</x:v>
      </x:c>
    </x:row>
    <x:row r="12474">
      <x:c r="A12474" s="15" t="n">
        <x:v>45689</x:v>
      </x:c>
      <x:c r="B12474" s="13" t="str">
        <x:v>ISA ENERGIA BRASIL SA</x:v>
      </x:c>
      <x:c r="C12474" s="16" t="n">
        <x:v>1533.2821307616</x:v>
      </x:c>
      <x:c r="D12474" s="13" t="str">
        <x:v>Utilities &amp; Energy</x:v>
      </x:c>
      <x:c r="E12474" s="13" t="str">
        <x:v>Utilities</x:v>
      </x:c>
      <x:c r="F12474" s="13" t="str">
        <x:v>Defensives</x:v>
      </x:c>
      <x:c r="G12474" s="13" t="str">
        <x:v>grid_wbaxp5t0.xlsx</x:v>
      </x:c>
    </x:row>
    <x:row r="12475">
      <x:c r="A12475" s="15" t="n">
        <x:v>45689</x:v>
      </x:c>
      <x:c r="B12475" s="13" t="str">
        <x:v>TRANSMISSORA ALIANCA DE-UNIT</x:v>
      </x:c>
      <x:c r="C12475" s="16" t="n">
        <x:v>1102.938797589</x:v>
      </x:c>
      <x:c r="D12475" s="13" t="str">
        <x:v>Utilities &amp; Energy</x:v>
      </x:c>
      <x:c r="E12475" s="13" t="str">
        <x:v>Utilities</x:v>
      </x:c>
      <x:c r="F12475" s="13" t="str">
        <x:v>Defensives</x:v>
      </x:c>
      <x:c r="G12475" s="13" t="str">
        <x:v>grid_wbaxp5t0.xlsx</x:v>
      </x:c>
    </x:row>
    <x:row r="12476">
      <x:c r="A12476" s="15" t="n">
        <x:v>45717</x:v>
      </x:c>
      <x:c r="B12476" s="13" t="str">
        <x:v>RAIZEN SA - PREFERENCE</x:v>
      </x:c>
      <x:c r="C12476" s="16" t="n">
        <x:v>1500</x:v>
      </x:c>
      <x:c r="D12476" s="13" t="str">
        <x:v>Agribusiness</x:v>
      </x:c>
      <x:c r="E12476" s="13" t="str">
        <x:v>Agri, Food &amp; Beverages</x:v>
      </x:c>
      <x:c r="F12476" s="13" t="str">
        <x:v>Defensives</x:v>
      </x:c>
      <x:c r="G12476" s="13" t="str">
        <x:v>grid_wbaxp5t0.xlsx</x:v>
      </x:c>
    </x:row>
    <x:row r="12477">
      <x:c r="A12477" s="15" t="n">
        <x:v>45717</x:v>
      </x:c>
      <x:c r="B12477" s="13" t="str">
        <x:v>SAO MARTINHO SA</x:v>
      </x:c>
      <x:c r="C12477" s="16" t="n">
        <x:v>939.900032</x:v>
      </x:c>
      <x:c r="D12477" s="13" t="str">
        <x:v>Agribusiness</x:v>
      </x:c>
      <x:c r="E12477" s="13" t="str">
        <x:v>Agri, Food &amp; Beverages</x:v>
      </x:c>
      <x:c r="F12477" s="13" t="str">
        <x:v>Defensives</x:v>
      </x:c>
      <x:c r="G12477" s="13" t="str">
        <x:v>grid_wbaxp5t0.xlsx</x:v>
      </x:c>
    </x:row>
    <x:row r="12478">
      <x:c r="A12478" s="15" t="n">
        <x:v>45717</x:v>
      </x:c>
      <x:c r="B12478" s="13" t="str">
        <x:v>SLC AGRICOLA SA</x:v>
      </x:c>
      <x:c r="C12478" s="16" t="n">
        <x:v>956.5060979726</x:v>
      </x:c>
      <x:c r="D12478" s="13" t="str">
        <x:v>Agribusiness</x:v>
      </x:c>
      <x:c r="E12478" s="13" t="str">
        <x:v>Agri, Food &amp; Beverages</x:v>
      </x:c>
      <x:c r="F12478" s="13" t="str">
        <x:v>Defensives</x:v>
      </x:c>
      <x:c r="G12478" s="13" t="str">
        <x:v>grid_wbaxp5t0.xlsx</x:v>
      </x:c>
    </x:row>
    <x:row r="12479">
      <x:c r="A12479" s="15" t="n">
        <x:v>45717</x:v>
      </x:c>
      <x:c r="B12479" s="13" t="str">
        <x:v>BANCO BRADESCO S.A.</x:v>
      </x:c>
      <x:c r="C12479" s="16" t="n">
        <x:v>22765.0857941918</x:v>
      </x:c>
      <x:c r="D12479" s="13" t="str">
        <x:v>Banks</x:v>
      </x:c>
      <x:c r="E12479" s="13" t="str">
        <x:v>Banks</x:v>
      </x:c>
      <x:c r="F12479" s="13" t="str">
        <x:v>Financials</x:v>
      </x:c>
      <x:c r="G12479" s="13" t="str">
        <x:v>grid_wbaxp5t0.xlsx</x:v>
      </x:c>
    </x:row>
    <x:row r="12480">
      <x:c r="A12480" s="15" t="n">
        <x:v>45717</x:v>
      </x:c>
      <x:c r="B12480" s="13" t="str">
        <x:v>BANCO BRADESCO SA-PREF</x:v>
      </x:c>
      <x:c r="C12480" s="16" t="n">
        <x:v>22765.0857941918</x:v>
      </x:c>
      <x:c r="D12480" s="13" t="str">
        <x:v>Banks</x:v>
      </x:c>
      <x:c r="E12480" s="13" t="str">
        <x:v>Banks</x:v>
      </x:c>
      <x:c r="F12480" s="13" t="str">
        <x:v>Financials</x:v>
      </x:c>
      <x:c r="G12480" s="13" t="str">
        <x:v>grid_wbaxp5t0.xlsx</x:v>
      </x:c>
    </x:row>
    <x:row r="12481">
      <x:c r="A12481" s="15" t="n">
        <x:v>45717</x:v>
      </x:c>
      <x:c r="B12481" s="13" t="str">
        <x:v>BANCO BTG PACTUAL SA-UNIT</x:v>
      </x:c>
      <x:c r="C12481" s="16" t="n">
        <x:v>14860.6407890411</x:v>
      </x:c>
      <x:c r="D12481" s="13" t="str">
        <x:v>Banks</x:v>
      </x:c>
      <x:c r="E12481" s="13" t="str">
        <x:v>Banks</x:v>
      </x:c>
      <x:c r="F12481" s="13" t="str">
        <x:v>Financials</x:v>
      </x:c>
      <x:c r="G12481" s="13" t="str">
        <x:v>grid_wbaxp5t0.xlsx</x:v>
      </x:c>
    </x:row>
    <x:row r="12482">
      <x:c r="A12482" s="15" t="n">
        <x:v>45717</x:v>
      </x:c>
      <x:c r="B12482" s="13" t="str">
        <x:v>BANCO DO BRASIL S.A.</x:v>
      </x:c>
      <x:c r="C12482" s="16" t="n">
        <x:v>39627.7092856986</x:v>
      </x:c>
      <x:c r="D12482" s="13" t="str">
        <x:v>Banks</x:v>
      </x:c>
      <x:c r="E12482" s="13" t="str">
        <x:v>Banks</x:v>
      </x:c>
      <x:c r="F12482" s="13" t="str">
        <x:v>Financials</x:v>
      </x:c>
      <x:c r="G12482" s="13" t="str">
        <x:v>grid_wbaxp5t0.xlsx</x:v>
      </x:c>
    </x:row>
    <x:row r="12483">
      <x:c r="A12483" s="15" t="n">
        <x:v>45717</x:v>
      </x:c>
      <x:c r="B12483" s="13" t="str">
        <x:v>BANCO SANTANDER  BRASIL-UNIT</x:v>
      </x:c>
      <x:c r="C12483" s="16" t="n">
        <x:v>15903.3749532055</x:v>
      </x:c>
      <x:c r="D12483" s="13" t="str">
        <x:v>Banks</x:v>
      </x:c>
      <x:c r="E12483" s="13" t="str">
        <x:v>Banks</x:v>
      </x:c>
      <x:c r="F12483" s="13" t="str">
        <x:v>Financials</x:v>
      </x:c>
      <x:c r="G12483" s="13" t="str">
        <x:v>grid_wbaxp5t0.xlsx</x:v>
      </x:c>
    </x:row>
    <x:row r="12484">
      <x:c r="A12484" s="15" t="n">
        <x:v>45717</x:v>
      </x:c>
      <x:c r="B12484" s="13" t="str">
        <x:v>ITAU UNIBANCO HOLDING S-PREF</x:v>
      </x:c>
      <x:c r="C12484" s="16" t="n">
        <x:v>46347.9562801096</x:v>
      </x:c>
      <x:c r="D12484" s="13" t="str">
        <x:v>Banks</x:v>
      </x:c>
      <x:c r="E12484" s="13" t="str">
        <x:v>Banks</x:v>
      </x:c>
      <x:c r="F12484" s="13" t="str">
        <x:v>Financials</x:v>
      </x:c>
      <x:c r="G12484" s="13" t="str">
        <x:v>grid_wbaxp5t0.xlsx</x:v>
      </x:c>
    </x:row>
    <x:row r="12485">
      <x:c r="A12485" s="15" t="n">
        <x:v>45717</x:v>
      </x:c>
      <x:c r="B12485" s="13" t="str">
        <x:v>EMBRAER SA</x:v>
      </x:c>
      <x:c r="C12485" s="16" t="n">
        <x:v>2382.084141589</x:v>
      </x:c>
      <x:c r="D12485" s="13" t="str">
        <x:v>Capital Goods</x:v>
      </x:c>
      <x:c r="E12485" s="13" t="str">
        <x:v>Capital Goods</x:v>
      </x:c>
      <x:c r="F12485" s="13" t="str">
        <x:v>Deep Cyclicals</x:v>
      </x:c>
      <x:c r="G12485" s="13" t="str">
        <x:v>grid_wbaxp5t0.xlsx</x:v>
      </x:c>
    </x:row>
    <x:row r="12486">
      <x:c r="A12486" s="15" t="n">
        <x:v>45717</x:v>
      </x:c>
      <x:c r="B12486" s="13" t="str">
        <x:v>MARCOPOLO SA-PREF</x:v>
      </x:c>
      <x:c r="C12486" s="16" t="n">
        <x:v>1351.3779129863</x:v>
      </x:c>
      <x:c r="D12486" s="13" t="str">
        <x:v>Capital Goods</x:v>
      </x:c>
      <x:c r="E12486" s="13" t="str">
        <x:v>Capital Goods</x:v>
      </x:c>
      <x:c r="F12486" s="13" t="str">
        <x:v>Deep Cyclicals</x:v>
      </x:c>
      <x:c r="G12486" s="13" t="str">
        <x:v>grid_wbaxp5t0.xlsx</x:v>
      </x:c>
    </x:row>
    <x:row r="12487">
      <x:c r="A12487" s="15" t="n">
        <x:v>45717</x:v>
      </x:c>
      <x:c r="B12487" s="13" t="str">
        <x:v>WEG SA</x:v>
      </x:c>
      <x:c r="C12487" s="16" t="n">
        <x:v>7684.6704710137</x:v>
      </x:c>
      <x:c r="D12487" s="13" t="str">
        <x:v>Capital Goods</x:v>
      </x:c>
      <x:c r="E12487" s="13" t="str">
        <x:v>Capital Goods</x:v>
      </x:c>
      <x:c r="F12487" s="13" t="str">
        <x:v>Deep Cyclicals</x:v>
      </x:c>
      <x:c r="G12487" s="13" t="str">
        <x:v>grid_wbaxp5t0.xlsx</x:v>
      </x:c>
    </x:row>
    <x:row r="12488">
      <x:c r="A12488" s="15" t="n">
        <x:v>45717</x:v>
      </x:c>
      <x:c r="B12488" s="13" t="str">
        <x:v>COGNA EDUCACAO</x:v>
      </x:c>
      <x:c r="C12488" s="16" t="n">
        <x:v>362.5067493699</x:v>
      </x:c>
      <x:c r="D12488" s="13" t="str">
        <x:v>Education</x:v>
      </x:c>
      <x:c r="E12488" s="13" t="str">
        <x:v>Education</x:v>
      </x:c>
      <x:c r="F12488" s="13" t="str">
        <x:v>Early Cyclicals</x:v>
      </x:c>
      <x:c r="G12488" s="13" t="str">
        <x:v>grid_wbaxp5t0.xlsx</x:v>
      </x:c>
    </x:row>
    <x:row r="12489">
      <x:c r="A12489" s="15" t="n">
        <x:v>45717</x:v>
      </x:c>
      <x:c r="B12489" s="13" t="str">
        <x:v>YDUQS PARTICIPACOES SA</x:v>
      </x:c>
      <x:c r="C12489" s="16" t="n">
        <x:v>460.046649863</x:v>
      </x:c>
      <x:c r="D12489" s="13" t="str">
        <x:v>Education</x:v>
      </x:c>
      <x:c r="E12489" s="13" t="str">
        <x:v>Education</x:v>
      </x:c>
      <x:c r="F12489" s="13" t="str">
        <x:v>Early Cyclicals</x:v>
      </x:c>
      <x:c r="G12489" s="13" t="str">
        <x:v>grid_wbaxp5t0.xlsx</x:v>
      </x:c>
    </x:row>
    <x:row r="12490">
      <x:c r="A12490" s="15" t="n">
        <x:v>45717</x:v>
      </x:c>
      <x:c r="B12490" s="13" t="str">
        <x:v>B3 SA-BRASIL BOLSA BALCAO</x:v>
      </x:c>
      <x:c r="C12490" s="16" t="n">
        <x:v>5095.506803726</x:v>
      </x:c>
      <x:c r="D12490" s="13" t="str">
        <x:v>Financials Non-Banks</x:v>
      </x:c>
      <x:c r="E12490" s="13" t="str">
        <x:v>Financials Non-Banks</x:v>
      </x:c>
      <x:c r="F12490" s="13" t="str">
        <x:v>Financials</x:v>
      </x:c>
      <x:c r="G12490" s="13" t="str">
        <x:v>grid_wbaxp5t0.xlsx</x:v>
      </x:c>
    </x:row>
    <x:row r="12491">
      <x:c r="A12491" s="15" t="n">
        <x:v>45717</x:v>
      </x:c>
      <x:c r="B12491" s="13" t="str">
        <x:v>BB SEGURIDADE PARTICIPACOES</x:v>
      </x:c>
      <x:c r="C12491" s="16" t="n">
        <x:v>8981.8633117808</x:v>
      </x:c>
      <x:c r="D12491" s="13" t="str">
        <x:v>Financials Non-Banks</x:v>
      </x:c>
      <x:c r="E12491" s="13" t="str">
        <x:v>Financials Non-Banks</x:v>
      </x:c>
      <x:c r="F12491" s="13" t="str">
        <x:v>Financials</x:v>
      </x:c>
      <x:c r="G12491" s="13" t="str">
        <x:v>grid_wbaxp5t0.xlsx</x:v>
      </x:c>
    </x:row>
    <x:row r="12492">
      <x:c r="A12492" s="15" t="n">
        <x:v>45717</x:v>
      </x:c>
      <x:c r="B12492" s="13" t="str">
        <x:v>CAIXA SEGURIDADE PARTICIPACO</x:v>
      </x:c>
      <x:c r="C12492" s="16" t="n">
        <x:v>4470.1887193425</x:v>
      </x:c>
      <x:c r="D12492" s="13" t="str">
        <x:v>Financials Non-Banks</x:v>
      </x:c>
      <x:c r="E12492" s="13" t="str">
        <x:v>Financials Non-Banks</x:v>
      </x:c>
      <x:c r="F12492" s="13" t="str">
        <x:v>Financials</x:v>
      </x:c>
      <x:c r="G12492" s="13" t="str">
        <x:v>grid_wbaxp5t0.xlsx</x:v>
      </x:c>
    </x:row>
    <x:row r="12493">
      <x:c r="A12493" s="15" t="n">
        <x:v>45717</x:v>
      </x:c>
      <x:c r="B12493" s="13" t="str">
        <x:v>IRB BRASIL RESSEGUROS SA</x:v>
      </x:c>
      <x:c r="C12493" s="16" t="n">
        <x:v>583.1837203288</x:v>
      </x:c>
      <x:c r="D12493" s="13" t="str">
        <x:v>Financials Non-Banks</x:v>
      </x:c>
      <x:c r="E12493" s="13" t="str">
        <x:v>Financials Non-Banks</x:v>
      </x:c>
      <x:c r="F12493" s="13" t="str">
        <x:v>Financials</x:v>
      </x:c>
      <x:c r="G12493" s="13" t="str">
        <x:v>grid_wbaxp5t0.xlsx</x:v>
      </x:c>
    </x:row>
    <x:row r="12494">
      <x:c r="A12494" s="15" t="n">
        <x:v>45717</x:v>
      </x:c>
      <x:c r="B12494" s="13" t="str">
        <x:v>ITAUSA SA</x:v>
      </x:c>
      <x:c r="C12494" s="16" t="n">
        <x:v>16984.383628274</x:v>
      </x:c>
      <x:c r="D12494" s="13" t="str">
        <x:v>Financials Non-Banks</x:v>
      </x:c>
      <x:c r="E12494" s="13" t="str">
        <x:v>Financials Non-Banks</x:v>
      </x:c>
      <x:c r="F12494" s="13" t="str">
        <x:v>Financials</x:v>
      </x:c>
      <x:c r="G12494" s="13" t="str">
        <x:v>grid_wbaxp5t0.xlsx</x:v>
      </x:c>
    </x:row>
    <x:row r="12495">
      <x:c r="A12495" s="15" t="n">
        <x:v>45717</x:v>
      </x:c>
      <x:c r="B12495" s="13" t="str">
        <x:v>PORTO SEGURO SA</x:v>
      </x:c>
      <x:c r="C12495" s="16" t="n">
        <x:v>3211.1876909589</x:v>
      </x:c>
      <x:c r="D12495" s="13" t="str">
        <x:v>Financials Non-Banks</x:v>
      </x:c>
      <x:c r="E12495" s="13" t="str">
        <x:v>Financials Non-Banks</x:v>
      </x:c>
      <x:c r="F12495" s="13" t="str">
        <x:v>Financials</x:v>
      </x:c>
      <x:c r="G12495" s="13" t="str">
        <x:v>grid_wbaxp5t0.xlsx</x:v>
      </x:c>
    </x:row>
    <x:row r="12496">
      <x:c r="A12496" s="15" t="n">
        <x:v>45717</x:v>
      </x:c>
      <x:c r="B12496" s="13" t="str">
        <x:v>AMBEV SA</x:v>
      </x:c>
      <x:c r="C12496" s="16" t="n">
        <x:v>15815.1504376986</x:v>
      </x:c>
      <x:c r="D12496" s="13" t="str">
        <x:v>Food &amp; Beverages</x:v>
      </x:c>
      <x:c r="E12496" s="13" t="str">
        <x:v>Agri, Food &amp; Beverages</x:v>
      </x:c>
      <x:c r="F12496" s="13" t="str">
        <x:v>Defensives</x:v>
      </x:c>
      <x:c r="G12496" s="13" t="str">
        <x:v>grid_wbaxp5t0.xlsx</x:v>
      </x:c>
    </x:row>
    <x:row r="12497">
      <x:c r="A12497" s="15" t="n">
        <x:v>45717</x:v>
      </x:c>
      <x:c r="B12497" s="13" t="str">
        <x:v>BRF SA</x:v>
      </x:c>
      <x:c r="C12497" s="16" t="n">
        <x:v>3577.1362402192</x:v>
      </x:c>
      <x:c r="D12497" s="13" t="str">
        <x:v>Food &amp; Beverages</x:v>
      </x:c>
      <x:c r="E12497" s="13" t="str">
        <x:v>Agri, Food &amp; Beverages</x:v>
      </x:c>
      <x:c r="F12497" s="13" t="str">
        <x:v>Defensives</x:v>
      </x:c>
      <x:c r="G12497" s="13" t="str">
        <x:v>grid_wbaxp5t0.xlsx</x:v>
      </x:c>
    </x:row>
    <x:row r="12498">
      <x:c r="A12498" s="15" t="n">
        <x:v>45717</x:v>
      </x:c>
      <x:c r="B12498" s="13" t="str">
        <x:v>MBRF GLOBAL FOODS COMPANY SA</x:v>
      </x:c>
      <x:c r="C12498" s="16" t="n">
        <x:v>461.1001507945</x:v>
      </x:c>
      <x:c r="D12498" s="13" t="str">
        <x:v>Food &amp; Beverages</x:v>
      </x:c>
      <x:c r="E12498" s="13" t="str">
        <x:v>Agri, Food &amp; Beverages</x:v>
      </x:c>
      <x:c r="F12498" s="13" t="str">
        <x:v>Defensives</x:v>
      </x:c>
      <x:c r="G12498" s="13" t="str">
        <x:v>grid_wbaxp5t0.xlsx</x:v>
      </x:c>
    </x:row>
    <x:row r="12499">
      <x:c r="A12499" s="15" t="n">
        <x:v>45717</x:v>
      </x:c>
      <x:c r="B12499" s="13" t="str">
        <x:v>MINERVA SA</x:v>
      </x:c>
      <x:c r="C12499" s="16" t="n">
        <x:v>325.8766869041</x:v>
      </x:c>
      <x:c r="D12499" s="13" t="str">
        <x:v>Food &amp; Beverages</x:v>
      </x:c>
      <x:c r="E12499" s="13" t="str">
        <x:v>Agri, Food &amp; Beverages</x:v>
      </x:c>
      <x:c r="F12499" s="13" t="str">
        <x:v>Defensives</x:v>
      </x:c>
      <x:c r="G12499" s="13" t="str">
        <x:v>grid_wbaxp5t0.xlsx</x:v>
      </x:c>
    </x:row>
    <x:row r="12500">
      <x:c r="A12500" s="15" t="n">
        <x:v>45717</x:v>
      </x:c>
      <x:c r="B12500" s="13" t="str">
        <x:v>FLEURY SA</x:v>
      </x:c>
      <x:c r="C12500" s="16" t="n">
        <x:v>693.3547441096</x:v>
      </x:c>
      <x:c r="D12500" s="13" t="str">
        <x:v>Health Care</x:v>
      </x:c>
      <x:c r="E12500" s="13" t="str">
        <x:v>Health Care</x:v>
      </x:c>
      <x:c r="F12500" s="13" t="str">
        <x:v>Defensives</x:v>
      </x:c>
      <x:c r="G12500" s="13" t="str">
        <x:v>grid_wbaxp5t0.xlsx</x:v>
      </x:c>
    </x:row>
    <x:row r="12501">
      <x:c r="A12501" s="15" t="n">
        <x:v>45717</x:v>
      </x:c>
      <x:c r="B12501" s="13" t="str">
        <x:v>HAPVIDA PARTICIPACOES E INVE</x:v>
      </x:c>
      <x:c r="C12501" s="16" t="n">
        <x:v>1433.7352574247</x:v>
      </x:c>
      <x:c r="D12501" s="13" t="str">
        <x:v>Health Care</x:v>
      </x:c>
      <x:c r="E12501" s="13" t="str">
        <x:v>Health Care</x:v>
      </x:c>
      <x:c r="F12501" s="13" t="str">
        <x:v>Defensives</x:v>
      </x:c>
      <x:c r="G12501" s="13" t="str">
        <x:v>grid_wbaxp5t0.xlsx</x:v>
      </x:c>
    </x:row>
    <x:row r="12502">
      <x:c r="A12502" s="15" t="n">
        <x:v>45717</x:v>
      </x:c>
      <x:c r="B12502" s="13" t="str">
        <x:v>HYPERA SA</x:v>
      </x:c>
      <x:c r="C12502" s="16" t="n">
        <x:v>1349.4301527671</x:v>
      </x:c>
      <x:c r="D12502" s="13" t="str">
        <x:v>Health Care</x:v>
      </x:c>
      <x:c r="E12502" s="13" t="str">
        <x:v>Health Care</x:v>
      </x:c>
      <x:c r="F12502" s="13" t="str">
        <x:v>Defensives</x:v>
      </x:c>
      <x:c r="G12502" s="13" t="str">
        <x:v>grid_wbaxp5t0.xlsx</x:v>
      </x:c>
    </x:row>
    <x:row r="12503">
      <x:c r="A12503" s="15" t="n">
        <x:v>45717</x:v>
      </x:c>
      <x:c r="B12503" s="13" t="str">
        <x:v>REDE D'OR SAO LUIZ SA</x:v>
      </x:c>
      <x:c r="C12503" s="16" t="n">
        <x:v>4556.5369231781</x:v>
      </x:c>
      <x:c r="D12503" s="13" t="str">
        <x:v>Health Care</x:v>
      </x:c>
      <x:c r="E12503" s="13" t="str">
        <x:v>Health Care</x:v>
      </x:c>
      <x:c r="F12503" s="13" t="str">
        <x:v>Defensives</x:v>
      </x:c>
      <x:c r="G12503" s="13" t="str">
        <x:v>grid_wbaxp5t0.xlsx</x:v>
      </x:c>
    </x:row>
    <x:row r="12504">
      <x:c r="A12504" s="15" t="n">
        <x:v>45717</x:v>
      </x:c>
      <x:c r="B12504" s="13" t="str">
        <x:v>CYRELA BRAZIL REALTY SA EMP</x:v>
      </x:c>
      <x:c r="C12504" s="16" t="n">
        <x:v>1804.8082516164</x:v>
      </x:c>
      <x:c r="D12504" s="13" t="str">
        <x:v>Homebuilders</x:v>
      </x:c>
      <x:c r="E12504" s="13" t="str">
        <x:v>Real Estate</x:v>
      </x:c>
      <x:c r="F12504" s="13" t="str">
        <x:v>Early Cyclicals</x:v>
      </x:c>
      <x:c r="G12504" s="13" t="str">
        <x:v>grid_wbaxp5t0.xlsx</x:v>
      </x:c>
    </x:row>
    <x:row r="12505">
      <x:c r="A12505" s="15" t="n">
        <x:v>45717</x:v>
      </x:c>
      <x:c r="B12505" s="13" t="str">
        <x:v>MRV ENGENHARIA</x:v>
      </x:c>
      <x:c r="C12505" s="16" t="n">
        <x:v>612.6426730959</x:v>
      </x:c>
      <x:c r="D12505" s="13" t="str">
        <x:v>Homebuilders</x:v>
      </x:c>
      <x:c r="E12505" s="13" t="str">
        <x:v>Real Estate</x:v>
      </x:c>
      <x:c r="F12505" s="13" t="str">
        <x:v>Early Cyclicals</x:v>
      </x:c>
      <x:c r="G12505" s="13" t="str">
        <x:v>grid_wbaxp5t0.xlsx</x:v>
      </x:c>
    </x:row>
    <x:row r="12506">
      <x:c r="A12506" s="15" t="n">
        <x:v>45717</x:v>
      </x:c>
      <x:c r="B12506" s="13" t="str">
        <x:v>ALLOS SA</x:v>
      </x:c>
      <x:c r="C12506" s="16" t="n">
        <x:v>753.1187410411</x:v>
      </x:c>
      <x:c r="D12506" s="13" t="str">
        <x:v>Income Properties</x:v>
      </x:c>
      <x:c r="E12506" s="13" t="str">
        <x:v>Real Estate</x:v>
      </x:c>
      <x:c r="F12506" s="13" t="str">
        <x:v>Early Cyclicals</x:v>
      </x:c>
      <x:c r="G12506" s="13" t="str">
        <x:v>grid_wbaxp5t0.xlsx</x:v>
      </x:c>
    </x:row>
    <x:row r="12507">
      <x:c r="A12507" s="15" t="n">
        <x:v>45717</x:v>
      </x:c>
      <x:c r="B12507" s="13" t="str">
        <x:v>IGUATEMI SA - UNITS</x:v>
      </x:c>
      <x:c r="C12507" s="16" t="n">
        <x:v>505.6677961644</x:v>
      </x:c>
      <x:c r="D12507" s="13" t="str">
        <x:v>Income Properties</x:v>
      </x:c>
      <x:c r="E12507" s="13" t="str">
        <x:v>Real Estate</x:v>
      </x:c>
      <x:c r="F12507" s="13" t="str">
        <x:v>Early Cyclicals</x:v>
      </x:c>
      <x:c r="G12507" s="13" t="str">
        <x:v>grid_wbaxp5t0.xlsx</x:v>
      </x:c>
    </x:row>
    <x:row r="12508">
      <x:c r="A12508" s="15" t="n">
        <x:v>45717</x:v>
      </x:c>
      <x:c r="B12508" s="13" t="str">
        <x:v>MULTIPLAN EMPREENDIMENTOS</x:v>
      </x:c>
      <x:c r="C12508" s="16" t="n">
        <x:v>1049.801075726</x:v>
      </x:c>
      <x:c r="D12508" s="13" t="str">
        <x:v>Income Properties</x:v>
      </x:c>
      <x:c r="E12508" s="13" t="str">
        <x:v>Real Estate</x:v>
      </x:c>
      <x:c r="F12508" s="13" t="str">
        <x:v>Early Cyclicals</x:v>
      </x:c>
      <x:c r="G12508" s="13" t="str">
        <x:v>grid_wbaxp5t0.xlsx</x:v>
      </x:c>
    </x:row>
    <x:row r="12509">
      <x:c r="A12509" s="15" t="n">
        <x:v>45717</x:v>
      </x:c>
      <x:c r="B12509" s="13" t="str">
        <x:v>BRADESPAR SA -PREF</x:v>
      </x:c>
      <x:c r="C12509" s="16" t="n">
        <x:v>1418.602739726</x:v>
      </x:c>
      <x:c r="D12509" s="13" t="str">
        <x:v>Metals &amp; Mining</x:v>
      </x:c>
      <x:c r="E12509" s="13" t="str">
        <x:v>Metals &amp; Mining</x:v>
      </x:c>
      <x:c r="F12509" s="13" t="str">
        <x:v>Deep Cyclicals</x:v>
      </x:c>
      <x:c r="G12509" s="13" t="str">
        <x:v>grid_wbaxp5t0.xlsx</x:v>
      </x:c>
    </x:row>
    <x:row r="12510">
      <x:c r="A12510" s="15" t="n">
        <x:v>45717</x:v>
      </x:c>
      <x:c r="B12510" s="13" t="str">
        <x:v>CIA SIDERURGICA NACIONAL SA</x:v>
      </x:c>
      <x:c r="C12510" s="16" t="n">
        <x:v>496.0006417534</x:v>
      </x:c>
      <x:c r="D12510" s="13" t="str">
        <x:v>Metals &amp; Mining</x:v>
      </x:c>
      <x:c r="E12510" s="13" t="str">
        <x:v>Metals &amp; Mining</x:v>
      </x:c>
      <x:c r="F12510" s="13" t="str">
        <x:v>Deep Cyclicals</x:v>
      </x:c>
      <x:c r="G12510" s="13" t="str">
        <x:v>grid_wbaxp5t0.xlsx</x:v>
      </x:c>
    </x:row>
    <x:row r="12511">
      <x:c r="A12511" s="15" t="n">
        <x:v>45717</x:v>
      </x:c>
      <x:c r="B12511" s="13" t="str">
        <x:v>CSN MINERACAO SA</x:v>
      </x:c>
      <x:c r="C12511" s="16" t="n">
        <x:v>2216.060370411</x:v>
      </x:c>
      <x:c r="D12511" s="13" t="str">
        <x:v>Metals &amp; Mining</x:v>
      </x:c>
      <x:c r="E12511" s="13" t="str">
        <x:v>Metals &amp; Mining</x:v>
      </x:c>
      <x:c r="F12511" s="13" t="str">
        <x:v>Deep Cyclicals</x:v>
      </x:c>
      <x:c r="G12511" s="13" t="str">
        <x:v>grid_wbaxp5t0.xlsx</x:v>
      </x:c>
    </x:row>
    <x:row r="12512">
      <x:c r="A12512" s="15" t="n">
        <x:v>45717</x:v>
      </x:c>
      <x:c r="B12512" s="13" t="str">
        <x:v>GERDAU SA-PREF</x:v>
      </x:c>
      <x:c r="C12512" s="16" t="n">
        <x:v>5258.3412287123</x:v>
      </x:c>
      <x:c r="D12512" s="13" t="str">
        <x:v>Metals &amp; Mining</x:v>
      </x:c>
      <x:c r="E12512" s="13" t="str">
        <x:v>Metals &amp; Mining</x:v>
      </x:c>
      <x:c r="F12512" s="13" t="str">
        <x:v>Deep Cyclicals</x:v>
      </x:c>
      <x:c r="G12512" s="13" t="str">
        <x:v>grid_wbaxp5t0.xlsx</x:v>
      </x:c>
    </x:row>
    <x:row r="12513">
      <x:c r="A12513" s="15" t="n">
        <x:v>45717</x:v>
      </x:c>
      <x:c r="B12513" s="13" t="str">
        <x:v>USINAS SIDER MINAS GER-PF A</x:v>
      </x:c>
      <x:c r="C12513" s="16" t="n">
        <x:v>785.5175434521</x:v>
      </x:c>
      <x:c r="D12513" s="13" t="str">
        <x:v>Metals &amp; Mining</x:v>
      </x:c>
      <x:c r="E12513" s="13" t="str">
        <x:v>Metals &amp; Mining</x:v>
      </x:c>
      <x:c r="F12513" s="13" t="str">
        <x:v>Deep Cyclicals</x:v>
      </x:c>
      <x:c r="G12513" s="13" t="str">
        <x:v>grid_wbaxp5t0.xlsx</x:v>
      </x:c>
    </x:row>
    <x:row r="12514">
      <x:c r="A12514" s="15" t="n">
        <x:v>45717</x:v>
      </x:c>
      <x:c r="B12514" s="13" t="str">
        <x:v>VALE SA</x:v>
      </x:c>
      <x:c r="C12514" s="16" t="n">
        <x:v>46873.528460274</x:v>
      </x:c>
      <x:c r="D12514" s="13" t="str">
        <x:v>Metals &amp; Mining</x:v>
      </x:c>
      <x:c r="E12514" s="13" t="str">
        <x:v>Metals &amp; Mining</x:v>
      </x:c>
      <x:c r="F12514" s="13" t="str">
        <x:v>Deep Cyclicals</x:v>
      </x:c>
      <x:c r="G12514" s="13" t="str">
        <x:v>grid_wbaxp5t0.xlsx</x:v>
      </x:c>
    </x:row>
    <x:row r="12515">
      <x:c r="A12515" s="15" t="n">
        <x:v>45717</x:v>
      </x:c>
      <x:c r="B12515" s="13" t="str">
        <x:v>BRASKEM SA-PREF A</x:v>
      </x:c>
      <x:c r="C12515" s="16" t="n">
        <x:v>-749.6131278904</x:v>
      </x:c>
      <x:c r="D12515" s="13" t="str">
        <x:v>Oil, Gas &amp; Petrochemicals</x:v>
      </x:c>
      <x:c r="E12515" s="13" t="str">
        <x:v>Oil, Gas &amp; Petrochemicals</x:v>
      </x:c>
      <x:c r="F12515" s="13" t="str">
        <x:v>Deep Cyclicals</x:v>
      </x:c>
      <x:c r="G12515" s="13" t="str">
        <x:v>grid_wbaxp5t0.xlsx</x:v>
      </x:c>
    </x:row>
    <x:row r="12516">
      <x:c r="A12516" s="15" t="n">
        <x:v>45717</x:v>
      </x:c>
      <x:c r="B12516" s="13" t="str">
        <x:v>BRAVA ENERGIA</x:v>
      </x:c>
      <x:c r="C12516" s="16" t="n">
        <x:v>2466.4039522192</x:v>
      </x:c>
      <x:c r="D12516" s="13" t="str">
        <x:v>Oil, Gas &amp; Petrochemicals</x:v>
      </x:c>
      <x:c r="E12516" s="13" t="str">
        <x:v>Oil, Gas &amp; Petrochemicals</x:v>
      </x:c>
      <x:c r="F12516" s="13" t="str">
        <x:v>Deep Cyclicals</x:v>
      </x:c>
      <x:c r="G12516" s="13" t="str">
        <x:v>grid_wbaxp5t0.xlsx</x:v>
      </x:c>
    </x:row>
    <x:row r="12517">
      <x:c r="A12517" s="15" t="n">
        <x:v>45717</x:v>
      </x:c>
      <x:c r="B12517" s="13" t="str">
        <x:v>COSAN SA</x:v>
      </x:c>
      <x:c r="C12517" s="16" t="n">
        <x:v>3321.792280548</x:v>
      </x:c>
      <x:c r="D12517" s="13" t="str">
        <x:v>Oil, Gas &amp; Petrochemicals</x:v>
      </x:c>
      <x:c r="E12517" s="13" t="str">
        <x:v>Oil, Gas &amp; Petrochemicals</x:v>
      </x:c>
      <x:c r="F12517" s="13" t="str">
        <x:v>Deep Cyclicals</x:v>
      </x:c>
      <x:c r="G12517" s="13" t="str">
        <x:v>grid_wbaxp5t0.xlsx</x:v>
      </x:c>
    </x:row>
    <x:row r="12518">
      <x:c r="A12518" s="15" t="n">
        <x:v>45717</x:v>
      </x:c>
      <x:c r="B12518" s="13" t="str">
        <x:v>PETROBRAS - PETROLEO BRAS</x:v>
      </x:c>
      <x:c r="C12518" s="16" t="n">
        <x:v>114436.165014795</x:v>
      </x:c>
      <x:c r="D12518" s="13" t="str">
        <x:v>Oil, Gas &amp; Petrochemicals</x:v>
      </x:c>
      <x:c r="E12518" s="13" t="str">
        <x:v>Oil, Gas &amp; Petrochemicals</x:v>
      </x:c>
      <x:c r="F12518" s="13" t="str">
        <x:v>Deep Cyclicals</x:v>
      </x:c>
      <x:c r="G12518" s="13" t="str">
        <x:v>grid_wbaxp5t0.xlsx</x:v>
      </x:c>
    </x:row>
    <x:row r="12519">
      <x:c r="A12519" s="15" t="n">
        <x:v>45717</x:v>
      </x:c>
      <x:c r="B12519" s="13" t="str">
        <x:v>PETRORECONCAVO SA</x:v>
      </x:c>
      <x:c r="C12519" s="16" t="n">
        <x:v>1017.6563796164</x:v>
      </x:c>
      <x:c r="D12519" s="13" t="str">
        <x:v>Oil, Gas &amp; Petrochemicals</x:v>
      </x:c>
      <x:c r="E12519" s="13" t="str">
        <x:v>Oil, Gas &amp; Petrochemicals</x:v>
      </x:c>
      <x:c r="F12519" s="13" t="str">
        <x:v>Deep Cyclicals</x:v>
      </x:c>
      <x:c r="G12519" s="13" t="str">
        <x:v>grid_wbaxp5t0.xlsx</x:v>
      </x:c>
    </x:row>
    <x:row r="12520">
      <x:c r="A12520" s="15" t="n">
        <x:v>45717</x:v>
      </x:c>
      <x:c r="B12520" s="13" t="str">
        <x:v>PRIO SA</x:v>
      </x:c>
      <x:c r="C12520" s="16" t="n">
        <x:v>5047.1511846575</x:v>
      </x:c>
      <x:c r="D12520" s="13" t="str">
        <x:v>Oil, Gas &amp; Petrochemicals</x:v>
      </x:c>
      <x:c r="E12520" s="13" t="str">
        <x:v>Oil, Gas &amp; Petrochemicals</x:v>
      </x:c>
      <x:c r="F12520" s="13" t="str">
        <x:v>Deep Cyclicals</x:v>
      </x:c>
      <x:c r="G12520" s="13" t="str">
        <x:v>grid_wbaxp5t0.xlsx</x:v>
      </x:c>
    </x:row>
    <x:row r="12521">
      <x:c r="A12521" s="15" t="n">
        <x:v>45717</x:v>
      </x:c>
      <x:c r="B12521" s="13" t="str">
        <x:v>ULTRAPAR PARTICIPACOES SA</x:v>
      </x:c>
      <x:c r="C12521" s="16" t="n">
        <x:v>2048.797811726</x:v>
      </x:c>
      <x:c r="D12521" s="13" t="str">
        <x:v>Oil, Gas &amp; Petrochemicals</x:v>
      </x:c>
      <x:c r="E12521" s="13" t="str">
        <x:v>Oil, Gas &amp; Petrochemicals</x:v>
      </x:c>
      <x:c r="F12521" s="13" t="str">
        <x:v>Deep Cyclicals</x:v>
      </x:c>
      <x:c r="G12521" s="13" t="str">
        <x:v>grid_wbaxp5t0.xlsx</x:v>
      </x:c>
    </x:row>
    <x:row r="12522">
      <x:c r="A12522" s="15" t="n">
        <x:v>45717</x:v>
      </x:c>
      <x:c r="B12522" s="13" t="str">
        <x:v>VIBRA ENERGIA SA</x:v>
      </x:c>
      <x:c r="C12522" s="16" t="n">
        <x:v>2419.1456964384</x:v>
      </x:c>
      <x:c r="D12522" s="13" t="str">
        <x:v>Oil, Gas &amp; Petrochemicals</x:v>
      </x:c>
      <x:c r="E12522" s="13" t="str">
        <x:v>Oil, Gas &amp; Petrochemicals</x:v>
      </x:c>
      <x:c r="F12522" s="13" t="str">
        <x:v>Deep Cyclicals</x:v>
      </x:c>
      <x:c r="G12522" s="13" t="str">
        <x:v>grid_wbaxp5t0.xlsx</x:v>
      </x:c>
    </x:row>
    <x:row r="12523">
      <x:c r="A12523" s="15" t="n">
        <x:v>45717</x:v>
      </x:c>
      <x:c r="B12523" s="13" t="str">
        <x:v>KLABIN SA - UNIT</x:v>
      </x:c>
      <x:c r="C12523" s="16" t="n">
        <x:v>2084.4636791233</x:v>
      </x:c>
      <x:c r="D12523" s="13" t="str">
        <x:v>Pulp &amp; Paper</x:v>
      </x:c>
      <x:c r="E12523" s="13" t="str">
        <x:v>Pulp &amp; Paper</x:v>
      </x:c>
      <x:c r="F12523" s="13" t="str">
        <x:v>Deep Cyclicals</x:v>
      </x:c>
      <x:c r="G12523" s="13" t="str">
        <x:v>grid_wbaxp5t0.xlsx</x:v>
      </x:c>
    </x:row>
    <x:row r="12524">
      <x:c r="A12524" s="15" t="n">
        <x:v>45717</x:v>
      </x:c>
      <x:c r="B12524" s="13" t="str">
        <x:v>SUZANO SA</x:v>
      </x:c>
      <x:c r="C12524" s="16" t="n">
        <x:v>12156.3152692603</x:v>
      </x:c>
      <x:c r="D12524" s="13" t="str">
        <x:v>Pulp &amp; Paper</x:v>
      </x:c>
      <x:c r="E12524" s="13" t="str">
        <x:v>Pulp &amp; Paper</x:v>
      </x:c>
      <x:c r="F12524" s="13" t="str">
        <x:v>Deep Cyclicals</x:v>
      </x:c>
      <x:c r="G12524" s="13" t="str">
        <x:v>grid_wbaxp5t0.xlsx</x:v>
      </x:c>
    </x:row>
    <x:row r="12525">
      <x:c r="A12525" s="15" t="n">
        <x:v>45717</x:v>
      </x:c>
      <x:c r="B12525" s="13" t="str">
        <x:v>ATACADAO SA</x:v>
      </x:c>
      <x:c r="C12525" s="16" t="n">
        <x:v>1439.7521516712</x:v>
      </x:c>
      <x:c r="D12525" s="13" t="str">
        <x:v>Retail</x:v>
      </x:c>
      <x:c r="E12525" s="13" t="str">
        <x:v>Retail</x:v>
      </x:c>
      <x:c r="F12525" s="13" t="str">
        <x:v>Early Cyclicals</x:v>
      </x:c>
      <x:c r="G12525" s="13" t="str">
        <x:v>grid_wbaxp5t0.xlsx</x:v>
      </x:c>
    </x:row>
    <x:row r="12526">
      <x:c r="A12526" s="15" t="n">
        <x:v>45717</x:v>
      </x:c>
      <x:c r="B12526" s="13" t="str">
        <x:v>AZZAS 2154 SA</x:v>
      </x:c>
      <x:c r="C12526" s="16" t="n">
        <x:v>777.459276274</x:v>
      </x:c>
      <x:c r="D12526" s="13" t="str">
        <x:v>Retail</x:v>
      </x:c>
      <x:c r="E12526" s="13" t="str">
        <x:v>Retail</x:v>
      </x:c>
      <x:c r="F12526" s="13" t="str">
        <x:v>Early Cyclicals</x:v>
      </x:c>
      <x:c r="G12526" s="13" t="str">
        <x:v>grid_wbaxp5t0.xlsx</x:v>
      </x:c>
    </x:row>
    <x:row r="12527">
      <x:c r="A12527" s="15" t="n">
        <x:v>45717</x:v>
      </x:c>
      <x:c r="B12527" s="13" t="str">
        <x:v>CIA BRASILEIRA DE DISTRIBUIC</x:v>
      </x:c>
      <x:c r="C12527" s="16" t="n">
        <x:v>-491.5863662466</x:v>
      </x:c>
      <x:c r="D12527" s="13" t="str">
        <x:v>Retail</x:v>
      </x:c>
      <x:c r="E12527" s="13" t="str">
        <x:v>Retail</x:v>
      </x:c>
      <x:c r="F12527" s="13" t="str">
        <x:v>Early Cyclicals</x:v>
      </x:c>
      <x:c r="G12527" s="13" t="str">
        <x:v>grid_wbaxp5t0.xlsx</x:v>
      </x:c>
    </x:row>
    <x:row r="12528">
      <x:c r="A12528" s="15" t="n">
        <x:v>45717</x:v>
      </x:c>
      <x:c r="B12528" s="13" t="str">
        <x:v>CVC BRASIL OPERADORA E AGENC</x:v>
      </x:c>
      <x:c r="C12528" s="16" t="n">
        <x:v>-6.9931506849</x:v>
      </x:c>
      <x:c r="D12528" s="13" t="str">
        <x:v>Retail</x:v>
      </x:c>
      <x:c r="E12528" s="13" t="str">
        <x:v>Retail</x:v>
      </x:c>
      <x:c r="F12528" s="13" t="str">
        <x:v>Early Cyclicals</x:v>
      </x:c>
      <x:c r="G12528" s="13" t="str">
        <x:v>grid_wbaxp5t0.xlsx</x:v>
      </x:c>
    </x:row>
    <x:row r="12529">
      <x:c r="A12529" s="15" t="n">
        <x:v>45717</x:v>
      </x:c>
      <x:c r="B12529" s="13" t="str">
        <x:v>LOJAS RENNER S.A.</x:v>
      </x:c>
      <x:c r="C12529" s="16" t="n">
        <x:v>1421.3831346849</x:v>
      </x:c>
      <x:c r="D12529" s="13" t="str">
        <x:v>Retail</x:v>
      </x:c>
      <x:c r="E12529" s="13" t="str">
        <x:v>Retail</x:v>
      </x:c>
      <x:c r="F12529" s="13" t="str">
        <x:v>Early Cyclicals</x:v>
      </x:c>
      <x:c r="G12529" s="13" t="str">
        <x:v>grid_wbaxp5t0.xlsx</x:v>
      </x:c>
    </x:row>
    <x:row r="12530">
      <x:c r="A12530" s="15" t="n">
        <x:v>45717</x:v>
      </x:c>
      <x:c r="B12530" s="13" t="str">
        <x:v>MAGAZINE LUIZA SA</x:v>
      </x:c>
      <x:c r="C12530" s="16" t="n">
        <x:v>360.1235712877</x:v>
      </x:c>
      <x:c r="D12530" s="13" t="str">
        <x:v>Retail</x:v>
      </x:c>
      <x:c r="E12530" s="13" t="str">
        <x:v>Retail</x:v>
      </x:c>
      <x:c r="F12530" s="13" t="str">
        <x:v>Early Cyclicals</x:v>
      </x:c>
      <x:c r="G12530" s="13" t="str">
        <x:v>grid_wbaxp5t0.xlsx</x:v>
      </x:c>
    </x:row>
    <x:row r="12531">
      <x:c r="A12531" s="15" t="n">
        <x:v>45717</x:v>
      </x:c>
      <x:c r="B12531" s="13" t="str">
        <x:v>NATURA &amp;CO HOLDING SA</x:v>
      </x:c>
      <x:c r="C12531" s="16" t="n">
        <x:v>999.4270649863</x:v>
      </x:c>
      <x:c r="D12531" s="13" t="str">
        <x:v>Retail</x:v>
      </x:c>
      <x:c r="E12531" s="13" t="str">
        <x:v>Retail</x:v>
      </x:c>
      <x:c r="F12531" s="13" t="str">
        <x:v>Early Cyclicals</x:v>
      </x:c>
      <x:c r="G12531" s="13" t="str">
        <x:v>grid_wbaxp5t0.xlsx</x:v>
      </x:c>
    </x:row>
    <x:row r="12532">
      <x:c r="A12532" s="15" t="n">
        <x:v>45717</x:v>
      </x:c>
      <x:c r="B12532" s="13" t="str">
        <x:v>PET CENTER COMERCIO E PARTIC</x:v>
      </x:c>
      <x:c r="C12532" s="16" t="n">
        <x:v>86.0126986301</x:v>
      </x:c>
      <x:c r="D12532" s="13" t="str">
        <x:v>Retail</x:v>
      </x:c>
      <x:c r="E12532" s="13" t="str">
        <x:v>Retail</x:v>
      </x:c>
      <x:c r="F12532" s="13" t="str">
        <x:v>Early Cyclicals</x:v>
      </x:c>
      <x:c r="G12532" s="13" t="str">
        <x:v>grid_wbaxp5t0.xlsx</x:v>
      </x:c>
    </x:row>
    <x:row r="12533">
      <x:c r="A12533" s="15" t="n">
        <x:v>45717</x:v>
      </x:c>
      <x:c r="B12533" s="13" t="str">
        <x:v>RAIA DROGASIL SA</x:v>
      </x:c>
      <x:c r="C12533" s="16" t="n">
        <x:v>1372.3631307397</x:v>
      </x:c>
      <x:c r="D12533" s="13" t="str">
        <x:v>Retail</x:v>
      </x:c>
      <x:c r="E12533" s="13" t="str">
        <x:v>Retail</x:v>
      </x:c>
      <x:c r="F12533" s="13" t="str">
        <x:v>Early Cyclicals</x:v>
      </x:c>
      <x:c r="G12533" s="13" t="str">
        <x:v>grid_wbaxp5t0.xlsx</x:v>
      </x:c>
    </x:row>
    <x:row r="12534">
      <x:c r="A12534" s="15" t="n">
        <x:v>45717</x:v>
      </x:c>
      <x:c r="B12534" s="13" t="str">
        <x:v>SENDAS DISTRIBUIDORA SA</x:v>
      </x:c>
      <x:c r="C12534" s="16" t="n">
        <x:v>760.2904574247</x:v>
      </x:c>
      <x:c r="D12534" s="13" t="str">
        <x:v>Retail</x:v>
      </x:c>
      <x:c r="E12534" s="13" t="str">
        <x:v>Retail</x:v>
      </x:c>
      <x:c r="F12534" s="13" t="str">
        <x:v>Early Cyclicals</x:v>
      </x:c>
      <x:c r="G12534" s="13" t="str">
        <x:v>grid_wbaxp5t0.xlsx</x:v>
      </x:c>
    </x:row>
    <x:row r="12535">
      <x:c r="A12535" s="15" t="n">
        <x:v>45717</x:v>
      </x:c>
      <x:c r="B12535" s="13" t="str">
        <x:v>VIVARA PARTICIPACOES SA</x:v>
      </x:c>
      <x:c r="C12535" s="16" t="n">
        <x:v>582.154297863</x:v>
      </x:c>
      <x:c r="D12535" s="13" t="str">
        <x:v>Retail</x:v>
      </x:c>
      <x:c r="E12535" s="13" t="str">
        <x:v>Retail</x:v>
      </x:c>
      <x:c r="F12535" s="13" t="str">
        <x:v>Early Cyclicals</x:v>
      </x:c>
      <x:c r="G12535" s="13" t="str">
        <x:v>grid_wbaxp5t0.xlsx</x:v>
      </x:c>
    </x:row>
    <x:row r="12536">
      <x:c r="A12536" s="15" t="n">
        <x:v>45717</x:v>
      </x:c>
      <x:c r="B12536" s="13" t="str">
        <x:v>CIA SANEAMENTO BASICO DE SP</x:v>
      </x:c>
      <x:c r="C12536" s="16" t="n">
        <x:v>5079.5117834521</x:v>
      </x:c>
      <x:c r="D12536" s="13" t="str">
        <x:v>Sanitation</x:v>
      </x:c>
      <x:c r="E12536" s="13" t="str">
        <x:v>Utilities</x:v>
      </x:c>
      <x:c r="F12536" s="13" t="str">
        <x:v>Defensives</x:v>
      </x:c>
      <x:c r="G12536" s="13" t="str">
        <x:v>grid_wbaxp5t0.xlsx</x:v>
      </x:c>
    </x:row>
    <x:row r="12537">
      <x:c r="A12537" s="15" t="n">
        <x:v>45717</x:v>
      </x:c>
      <x:c r="B12537" s="13" t="str">
        <x:v>LWSA SA</x:v>
      </x:c>
      <x:c r="C12537" s="16" t="n">
        <x:v>153.1667123288</x:v>
      </x:c>
      <x:c r="D12537" s="13" t="str">
        <x:v>TMT</x:v>
      </x:c>
      <x:c r="E12537" s="13" t="str">
        <x:v>TMT</x:v>
      </x:c>
      <x:c r="F12537" s="13" t="str">
        <x:v>Early Cyclicals</x:v>
      </x:c>
      <x:c r="G12537" s="13" t="str">
        <x:v>grid_wbaxp5t0.xlsx</x:v>
      </x:c>
    </x:row>
    <x:row r="12538">
      <x:c r="A12538" s="15" t="n">
        <x:v>45717</x:v>
      </x:c>
      <x:c r="B12538" s="13" t="str">
        <x:v>TIM SA</x:v>
      </x:c>
      <x:c r="C12538" s="16" t="n">
        <x:v>4033.0051331507</x:v>
      </x:c>
      <x:c r="D12538" s="13" t="str">
        <x:v>TMT</x:v>
      </x:c>
      <x:c r="E12538" s="13" t="str">
        <x:v>TMT</x:v>
      </x:c>
      <x:c r="F12538" s="13" t="str">
        <x:v>Early Cyclicals</x:v>
      </x:c>
      <x:c r="G12538" s="13" t="str">
        <x:v>grid_wbaxp5t0.xlsx</x:v>
      </x:c>
    </x:row>
    <x:row r="12539">
      <x:c r="A12539" s="15" t="n">
        <x:v>45717</x:v>
      </x:c>
      <x:c r="B12539" s="13" t="str">
        <x:v>TOTVS SA</x:v>
      </x:c>
      <x:c r="C12539" s="16" t="n">
        <x:v>936.7854395616</x:v>
      </x:c>
      <x:c r="D12539" s="13" t="str">
        <x:v>TMT</x:v>
      </x:c>
      <x:c r="E12539" s="13" t="str">
        <x:v>TMT</x:v>
      </x:c>
      <x:c r="F12539" s="13" t="str">
        <x:v>Early Cyclicals</x:v>
      </x:c>
      <x:c r="G12539" s="13" t="str">
        <x:v>grid_wbaxp5t0.xlsx</x:v>
      </x:c>
    </x:row>
    <x:row r="12540">
      <x:c r="A12540" s="15" t="n">
        <x:v>45717</x:v>
      </x:c>
      <x:c r="B12540" s="13" t="str">
        <x:v>AZUL SA</x:v>
      </x:c>
      <x:c r="C12540" s="16" t="n">
        <x:v>106.1836389589</x:v>
      </x:c>
      <x:c r="D12540" s="13" t="str">
        <x:v>Transportation</x:v>
      </x:c>
      <x:c r="E12540" s="13" t="str">
        <x:v>Transportation</x:v>
      </x:c>
      <x:c r="F12540" s="13" t="str">
        <x:v>Deep Cyclicals</x:v>
      </x:c>
      <x:c r="G12540" s="13" t="str">
        <x:v>grid_wbaxp5t0.xlsx</x:v>
      </x:c>
    </x:row>
    <x:row r="12541">
      <x:c r="A12541" s="15" t="n">
        <x:v>45717</x:v>
      </x:c>
      <x:c r="B12541" s="13" t="str">
        <x:v>LOCALIZA RENT A CAR</x:v>
      </x:c>
      <x:c r="C12541" s="16" t="n">
        <x:v>3576.2165795068</x:v>
      </x:c>
      <x:c r="D12541" s="13" t="str">
        <x:v>Transportation</x:v>
      </x:c>
      <x:c r="E12541" s="13" t="str">
        <x:v>Transportation</x:v>
      </x:c>
      <x:c r="F12541" s="13" t="str">
        <x:v>Deep Cyclicals</x:v>
      </x:c>
      <x:c r="G12541" s="13" t="str">
        <x:v>grid_wbaxp5t0.xlsx</x:v>
      </x:c>
    </x:row>
    <x:row r="12542">
      <x:c r="A12542" s="15" t="n">
        <x:v>45717</x:v>
      </x:c>
      <x:c r="B12542" s="13" t="str">
        <x:v>MOTIVA INFRAESTRUTURA DE MOB</x:v>
      </x:c>
      <x:c r="C12542" s="16" t="n">
        <x:v>1776.2574255342</x:v>
      </x:c>
      <x:c r="D12542" s="13" t="str">
        <x:v>Transportation</x:v>
      </x:c>
      <x:c r="E12542" s="13" t="str">
        <x:v>Transportation</x:v>
      </x:c>
      <x:c r="F12542" s="13" t="str">
        <x:v>Deep Cyclicals</x:v>
      </x:c>
      <x:c r="G12542" s="13" t="str">
        <x:v>grid_wbaxp5t0.xlsx</x:v>
      </x:c>
    </x:row>
    <x:row r="12543">
      <x:c r="A12543" s="15" t="n">
        <x:v>45717</x:v>
      </x:c>
      <x:c r="B12543" s="13" t="str">
        <x:v>RUMO SA</x:v>
      </x:c>
      <x:c r="C12543" s="16" t="n">
        <x:v>2400.5082266301</x:v>
      </x:c>
      <x:c r="D12543" s="13" t="str">
        <x:v>Transportation</x:v>
      </x:c>
      <x:c r="E12543" s="13" t="str">
        <x:v>Transportation</x:v>
      </x:c>
      <x:c r="F12543" s="13" t="str">
        <x:v>Deep Cyclicals</x:v>
      </x:c>
      <x:c r="G12543" s="13" t="str">
        <x:v>grid_wbaxp5t0.xlsx</x:v>
      </x:c>
    </x:row>
    <x:row r="12544">
      <x:c r="A12544" s="15" t="n">
        <x:v>45717</x:v>
      </x:c>
      <x:c r="B12544" s="13" t="str">
        <x:v>SANTOS BRASIL PARTICIPACOES</x:v>
      </x:c>
      <x:c r="C12544" s="16" t="n">
        <x:v>873.1712087671</x:v>
      </x:c>
      <x:c r="D12544" s="13" t="str">
        <x:v>Transportation</x:v>
      </x:c>
      <x:c r="E12544" s="13" t="str">
        <x:v>Transportation</x:v>
      </x:c>
      <x:c r="F12544" s="13" t="str">
        <x:v>Deep Cyclicals</x:v>
      </x:c>
      <x:c r="G12544" s="13" t="str">
        <x:v>grid_wbaxp5t0.xlsx</x:v>
      </x:c>
    </x:row>
    <x:row r="12545">
      <x:c r="A12545" s="15" t="n">
        <x:v>45717</x:v>
      </x:c>
      <x:c r="B12545" s="13" t="str">
        <x:v>VAMOS LOCACAO DE CAMINHOES M</x:v>
      </x:c>
      <x:c r="C12545" s="16" t="n">
        <x:v>789.4241586849</x:v>
      </x:c>
      <x:c r="D12545" s="13" t="str">
        <x:v>Transportation</x:v>
      </x:c>
      <x:c r="E12545" s="13" t="str">
        <x:v>Transportation</x:v>
      </x:c>
      <x:c r="F12545" s="13" t="str">
        <x:v>Deep Cyclicals</x:v>
      </x:c>
      <x:c r="G12545" s="13" t="str">
        <x:v>grid_wbaxp5t0.xlsx</x:v>
      </x:c>
    </x:row>
    <x:row r="12546">
      <x:c r="A12546" s="15" t="n">
        <x:v>45717</x:v>
      </x:c>
      <x:c r="B12546" s="13" t="str">
        <x:v>AUREN ENERGIA SA - ON</x:v>
      </x:c>
      <x:c r="C12546" s="16" t="n">
        <x:v>-142.3622663014</x:v>
      </x:c>
      <x:c r="D12546" s="13" t="str">
        <x:v>Utilities &amp; Energy</x:v>
      </x:c>
      <x:c r="E12546" s="13" t="str">
        <x:v>Utilities</x:v>
      </x:c>
      <x:c r="F12546" s="13" t="str">
        <x:v>Defensives</x:v>
      </x:c>
      <x:c r="G12546" s="13" t="str">
        <x:v>grid_wbaxp5t0.xlsx</x:v>
      </x:c>
    </x:row>
    <x:row r="12547">
      <x:c r="A12547" s="15" t="n">
        <x:v>45717</x:v>
      </x:c>
      <x:c r="B12547" s="13" t="str">
        <x:v>AXIA ENERGIA SA</x:v>
      </x:c>
      <x:c r="C12547" s="16" t="n">
        <x:v>9502.2211576986</x:v>
      </x:c>
      <x:c r="D12547" s="13" t="str">
        <x:v>Utilities &amp; Energy</x:v>
      </x:c>
      <x:c r="E12547" s="13" t="str">
        <x:v>Utilities</x:v>
      </x:c>
      <x:c r="F12547" s="13" t="str">
        <x:v>Defensives</x:v>
      </x:c>
      <x:c r="G12547" s="13" t="str">
        <x:v>grid_wbaxp5t0.xlsx</x:v>
      </x:c>
    </x:row>
    <x:row r="12548">
      <x:c r="A12548" s="15" t="n">
        <x:v>45717</x:v>
      </x:c>
      <x:c r="B12548" s="13" t="str">
        <x:v>AXIA ENERGIA-PR B</x:v>
      </x:c>
      <x:c r="C12548" s="16" t="n">
        <x:v>9502.2211576986</x:v>
      </x:c>
      <x:c r="D12548" s="13" t="str">
        <x:v>Utilities &amp; Energy</x:v>
      </x:c>
      <x:c r="E12548" s="13" t="str">
        <x:v>Utilities</x:v>
      </x:c>
      <x:c r="F12548" s="13" t="str">
        <x:v>Defensives</x:v>
      </x:c>
      <x:c r="G12548" s="13" t="str">
        <x:v>grid_wbaxp5t0.xlsx</x:v>
      </x:c>
    </x:row>
    <x:row r="12549">
      <x:c r="A12549" s="15" t="n">
        <x:v>45717</x:v>
      </x:c>
      <x:c r="B12549" s="13" t="str">
        <x:v>CIA ENERGETICA MINAS GER-PRF</x:v>
      </x:c>
      <x:c r="C12549" s="16" t="n">
        <x:v>3872.8350649863</x:v>
      </x:c>
      <x:c r="D12549" s="13" t="str">
        <x:v>Utilities &amp; Energy</x:v>
      </x:c>
      <x:c r="E12549" s="13" t="str">
        <x:v>Utilities</x:v>
      </x:c>
      <x:c r="F12549" s="13" t="str">
        <x:v>Defensives</x:v>
      </x:c>
      <x:c r="G12549" s="13" t="str">
        <x:v>grid_wbaxp5t0.xlsx</x:v>
      </x:c>
    </x:row>
    <x:row r="12550">
      <x:c r="A12550" s="15" t="n">
        <x:v>45717</x:v>
      </x:c>
      <x:c r="B12550" s="13" t="str">
        <x:v>COMPANHIA PARANAENSE -PREF B</x:v>
      </x:c>
      <x:c r="C12550" s="16" t="n">
        <x:v>2074.1997939726</x:v>
      </x:c>
      <x:c r="D12550" s="13" t="str">
        <x:v>Utilities &amp; Energy</x:v>
      </x:c>
      <x:c r="E12550" s="13" t="str">
        <x:v>Utilities</x:v>
      </x:c>
      <x:c r="F12550" s="13" t="str">
        <x:v>Defensives</x:v>
      </x:c>
      <x:c r="G12550" s="13" t="str">
        <x:v>grid_wbaxp5t0.xlsx</x:v>
      </x:c>
    </x:row>
    <x:row r="12551">
      <x:c r="A12551" s="15" t="n">
        <x:v>45717</x:v>
      </x:c>
      <x:c r="B12551" s="13" t="str">
        <x:v>CPFL ENERGIA SA</x:v>
      </x:c>
      <x:c r="C12551" s="16" t="n">
        <x:v>4628.7376341918</x:v>
      </x:c>
      <x:c r="D12551" s="13" t="str">
        <x:v>Utilities &amp; Energy</x:v>
      </x:c>
      <x:c r="E12551" s="13" t="str">
        <x:v>Utilities</x:v>
      </x:c>
      <x:c r="F12551" s="13" t="str">
        <x:v>Defensives</x:v>
      </x:c>
      <x:c r="G12551" s="13" t="str">
        <x:v>grid_wbaxp5t0.xlsx</x:v>
      </x:c>
    </x:row>
    <x:row r="12552">
      <x:c r="A12552" s="15" t="n">
        <x:v>45717</x:v>
      </x:c>
      <x:c r="B12552" s="13" t="str">
        <x:v>ENERGISA SA-UNITS</x:v>
      </x:c>
      <x:c r="C12552" s="16" t="n">
        <x:v>1742.1603910137</x:v>
      </x:c>
      <x:c r="D12552" s="13" t="str">
        <x:v>Utilities &amp; Energy</x:v>
      </x:c>
      <x:c r="E12552" s="13" t="str">
        <x:v>Utilities</x:v>
      </x:c>
      <x:c r="F12552" s="13" t="str">
        <x:v>Defensives</x:v>
      </x:c>
      <x:c r="G12552" s="13" t="str">
        <x:v>grid_wbaxp5t0.xlsx</x:v>
      </x:c>
    </x:row>
    <x:row r="12553">
      <x:c r="A12553" s="15" t="n">
        <x:v>45717</x:v>
      </x:c>
      <x:c r="B12553" s="13" t="str">
        <x:v>ENEVA SA</x:v>
      </x:c>
      <x:c r="C12553" s="16" t="n">
        <x:v>1682.4461361096</x:v>
      </x:c>
      <x:c r="D12553" s="13" t="str">
        <x:v>Utilities &amp; Energy</x:v>
      </x:c>
      <x:c r="E12553" s="13" t="str">
        <x:v>Utilities</x:v>
      </x:c>
      <x:c r="F12553" s="13" t="str">
        <x:v>Defensives</x:v>
      </x:c>
      <x:c r="G12553" s="13" t="str">
        <x:v>grid_wbaxp5t0.xlsx</x:v>
      </x:c>
    </x:row>
    <x:row r="12554">
      <x:c r="A12554" s="15" t="n">
        <x:v>45717</x:v>
      </x:c>
      <x:c r="B12554" s="13" t="str">
        <x:v>ENGIE BRASIL ENERGIA SA</x:v>
      </x:c>
      <x:c r="C12554" s="16" t="n">
        <x:v>3115.2685413699</x:v>
      </x:c>
      <x:c r="D12554" s="13" t="str">
        <x:v>Utilities &amp; Energy</x:v>
      </x:c>
      <x:c r="E12554" s="13" t="str">
        <x:v>Utilities</x:v>
      </x:c>
      <x:c r="F12554" s="13" t="str">
        <x:v>Defensives</x:v>
      </x:c>
      <x:c r="G12554" s="13" t="str">
        <x:v>grid_wbaxp5t0.xlsx</x:v>
      </x:c>
    </x:row>
    <x:row r="12555">
      <x:c r="A12555" s="15" t="n">
        <x:v>45717</x:v>
      </x:c>
      <x:c r="B12555" s="13" t="str">
        <x:v>EQUATORIAL SA - ORD</x:v>
      </x:c>
      <x:c r="C12555" s="16" t="n">
        <x:v>3559.3904429589</x:v>
      </x:c>
      <x:c r="D12555" s="13" t="str">
        <x:v>Utilities &amp; Energy</x:v>
      </x:c>
      <x:c r="E12555" s="13" t="str">
        <x:v>Utilities</x:v>
      </x:c>
      <x:c r="F12555" s="13" t="str">
        <x:v>Defensives</x:v>
      </x:c>
      <x:c r="G12555" s="13" t="str">
        <x:v>grid_wbaxp5t0.xlsx</x:v>
      </x:c>
    </x:row>
    <x:row r="12556">
      <x:c r="A12556" s="15" t="n">
        <x:v>45717</x:v>
      </x:c>
      <x:c r="B12556" s="13" t="str">
        <x:v>ISA ENERGIA BRASIL SA</x:v>
      </x:c>
      <x:c r="C12556" s="16" t="n">
        <x:v>1657.1097740274</x:v>
      </x:c>
      <x:c r="D12556" s="13" t="str">
        <x:v>Utilities &amp; Energy</x:v>
      </x:c>
      <x:c r="E12556" s="13" t="str">
        <x:v>Utilities</x:v>
      </x:c>
      <x:c r="F12556" s="13" t="str">
        <x:v>Defensives</x:v>
      </x:c>
      <x:c r="G12556" s="13" t="str">
        <x:v>grid_wbaxp5t0.xlsx</x:v>
      </x:c>
    </x:row>
    <x:row r="12557">
      <x:c r="A12557" s="15" t="n">
        <x:v>45717</x:v>
      </x:c>
      <x:c r="B12557" s="13" t="str">
        <x:v>TRANSMISSORA ALIANCA DE-UNIT</x:v>
      </x:c>
      <x:c r="C12557" s="16" t="n">
        <x:v>1110.9051896986</x:v>
      </x:c>
      <x:c r="D12557" s="13" t="str">
        <x:v>Utilities &amp; Energy</x:v>
      </x:c>
      <x:c r="E12557" s="13" t="str">
        <x:v>Utilities</x:v>
      </x:c>
      <x:c r="F12557" s="13" t="str">
        <x:v>Defensives</x:v>
      </x:c>
      <x:c r="G12557" s="13" t="str">
        <x:v>grid_wbaxp5t0.xlsx</x:v>
      </x:c>
    </x:row>
    <x:row r="12558">
      <x:c r="A12558" s="15" t="n">
        <x:v>45748</x:v>
      </x:c>
      <x:c r="B12558" s="13" t="str">
        <x:v>RAIZEN SA - PREFERENCE</x:v>
      </x:c>
      <x:c r="C12558" s="16" t="n">
        <x:v>1373.1928968767</x:v>
      </x:c>
      <x:c r="D12558" s="13" t="str">
        <x:v>Agribusiness</x:v>
      </x:c>
      <x:c r="E12558" s="13" t="str">
        <x:v>Agri, Food &amp; Beverages</x:v>
      </x:c>
      <x:c r="F12558" s="13" t="str">
        <x:v>Defensives</x:v>
      </x:c>
      <x:c r="G12558" s="13" t="str">
        <x:v>grid_wbaxp5t0.xlsx</x:v>
      </x:c>
    </x:row>
    <x:row r="12559">
      <x:c r="A12559" s="15" t="n">
        <x:v>45748</x:v>
      </x:c>
      <x:c r="B12559" s="13" t="str">
        <x:v>SAO MARTINHO SA</x:v>
      </x:c>
      <x:c r="C12559" s="16" t="n">
        <x:v>946.6852067945</x:v>
      </x:c>
      <x:c r="D12559" s="13" t="str">
        <x:v>Agribusiness</x:v>
      </x:c>
      <x:c r="E12559" s="13" t="str">
        <x:v>Agri, Food &amp; Beverages</x:v>
      </x:c>
      <x:c r="F12559" s="13" t="str">
        <x:v>Defensives</x:v>
      </x:c>
      <x:c r="G12559" s="13" t="str">
        <x:v>grid_wbaxp5t0.xlsx</x:v>
      </x:c>
    </x:row>
    <x:row r="12560">
      <x:c r="A12560" s="15" t="n">
        <x:v>45748</x:v>
      </x:c>
      <x:c r="B12560" s="13" t="str">
        <x:v>SLC AGRICOLA SA</x:v>
      </x:c>
      <x:c r="C12560" s="16" t="n">
        <x:v>896.9413233973</x:v>
      </x:c>
      <x:c r="D12560" s="13" t="str">
        <x:v>Agribusiness</x:v>
      </x:c>
      <x:c r="E12560" s="13" t="str">
        <x:v>Agri, Food &amp; Beverages</x:v>
      </x:c>
      <x:c r="F12560" s="13" t="str">
        <x:v>Defensives</x:v>
      </x:c>
      <x:c r="G12560" s="13" t="str">
        <x:v>grid_wbaxp5t0.xlsx</x:v>
      </x:c>
    </x:row>
    <x:row r="12561">
      <x:c r="A12561" s="15" t="n">
        <x:v>45748</x:v>
      </x:c>
      <x:c r="B12561" s="13" t="str">
        <x:v>BANCO BRADESCO S.A.</x:v>
      </x:c>
      <x:c r="C12561" s="16" t="n">
        <x:v>23315.4562524931</x:v>
      </x:c>
      <x:c r="D12561" s="13" t="str">
        <x:v>Banks</x:v>
      </x:c>
      <x:c r="E12561" s="13" t="str">
        <x:v>Banks</x:v>
      </x:c>
      <x:c r="F12561" s="13" t="str">
        <x:v>Financials</x:v>
      </x:c>
      <x:c r="G12561" s="13" t="str">
        <x:v>grid_wbaxp5t0.xlsx</x:v>
      </x:c>
    </x:row>
    <x:row r="12562">
      <x:c r="A12562" s="15" t="n">
        <x:v>45748</x:v>
      </x:c>
      <x:c r="B12562" s="13" t="str">
        <x:v>BANCO BRADESCO SA-PREF</x:v>
      </x:c>
      <x:c r="C12562" s="16" t="n">
        <x:v>23315.4562524931</x:v>
      </x:c>
      <x:c r="D12562" s="13" t="str">
        <x:v>Banks</x:v>
      </x:c>
      <x:c r="E12562" s="13" t="str">
        <x:v>Banks</x:v>
      </x:c>
      <x:c r="F12562" s="13" t="str">
        <x:v>Financials</x:v>
      </x:c>
      <x:c r="G12562" s="13" t="str">
        <x:v>grid_wbaxp5t0.xlsx</x:v>
      </x:c>
    </x:row>
    <x:row r="12563">
      <x:c r="A12563" s="15" t="n">
        <x:v>45748</x:v>
      </x:c>
      <x:c r="B12563" s="13" t="str">
        <x:v>BANCO BTG PACTUAL SA-UNIT</x:v>
      </x:c>
      <x:c r="C12563" s="16" t="n">
        <x:v>15010.3488876712</x:v>
      </x:c>
      <x:c r="D12563" s="13" t="str">
        <x:v>Banks</x:v>
      </x:c>
      <x:c r="E12563" s="13" t="str">
        <x:v>Banks</x:v>
      </x:c>
      <x:c r="F12563" s="13" t="str">
        <x:v>Financials</x:v>
      </x:c>
      <x:c r="G12563" s="13" t="str">
        <x:v>grid_wbaxp5t0.xlsx</x:v>
      </x:c>
    </x:row>
    <x:row r="12564">
      <x:c r="A12564" s="15" t="n">
        <x:v>45748</x:v>
      </x:c>
      <x:c r="B12564" s="13" t="str">
        <x:v>BANCO DO BRASIL S.A.</x:v>
      </x:c>
      <x:c r="C12564" s="16" t="n">
        <x:v>39822.0116865753</x:v>
      </x:c>
      <x:c r="D12564" s="13" t="str">
        <x:v>Banks</x:v>
      </x:c>
      <x:c r="E12564" s="13" t="str">
        <x:v>Banks</x:v>
      </x:c>
      <x:c r="F12564" s="13" t="str">
        <x:v>Financials</x:v>
      </x:c>
      <x:c r="G12564" s="13" t="str">
        <x:v>grid_wbaxp5t0.xlsx</x:v>
      </x:c>
    </x:row>
    <x:row r="12565">
      <x:c r="A12565" s="15" t="n">
        <x:v>45748</x:v>
      </x:c>
      <x:c r="B12565" s="13" t="str">
        <x:v>BANCO SANTANDER  BRASIL-UNIT</x:v>
      </x:c>
      <x:c r="C12565" s="16" t="n">
        <x:v>16321.6521889315</x:v>
      </x:c>
      <x:c r="D12565" s="13" t="str">
        <x:v>Banks</x:v>
      </x:c>
      <x:c r="E12565" s="13" t="str">
        <x:v>Banks</x:v>
      </x:c>
      <x:c r="F12565" s="13" t="str">
        <x:v>Financials</x:v>
      </x:c>
      <x:c r="G12565" s="13" t="str">
        <x:v>grid_wbaxp5t0.xlsx</x:v>
      </x:c>
    </x:row>
    <x:row r="12566">
      <x:c r="A12566" s="15" t="n">
        <x:v>45748</x:v>
      </x:c>
      <x:c r="B12566" s="13" t="str">
        <x:v>ITAU UNIBANCO HOLDING S-PREF</x:v>
      </x:c>
      <x:c r="C12566" s="16" t="n">
        <x:v>46645.9776490959</x:v>
      </x:c>
      <x:c r="D12566" s="13" t="str">
        <x:v>Banks</x:v>
      </x:c>
      <x:c r="E12566" s="13" t="str">
        <x:v>Banks</x:v>
      </x:c>
      <x:c r="F12566" s="13" t="str">
        <x:v>Financials</x:v>
      </x:c>
      <x:c r="G12566" s="13" t="str">
        <x:v>grid_wbaxp5t0.xlsx</x:v>
      </x:c>
    </x:row>
    <x:row r="12567">
      <x:c r="A12567" s="15" t="n">
        <x:v>45748</x:v>
      </x:c>
      <x:c r="B12567" s="13" t="str">
        <x:v>EMBRAER SA</x:v>
      </x:c>
      <x:c r="C12567" s="16" t="n">
        <x:v>2419.0324813151</x:v>
      </x:c>
      <x:c r="D12567" s="13" t="str">
        <x:v>Capital Goods</x:v>
      </x:c>
      <x:c r="E12567" s="13" t="str">
        <x:v>Capital Goods</x:v>
      </x:c>
      <x:c r="F12567" s="13" t="str">
        <x:v>Deep Cyclicals</x:v>
      </x:c>
      <x:c r="G12567" s="13" t="str">
        <x:v>grid_wbaxp5t0.xlsx</x:v>
      </x:c>
    </x:row>
    <x:row r="12568">
      <x:c r="A12568" s="15" t="n">
        <x:v>45748</x:v>
      </x:c>
      <x:c r="B12568" s="13" t="str">
        <x:v>MARCOPOLO SA-PREF</x:v>
      </x:c>
      <x:c r="C12568" s="16" t="n">
        <x:v>1327.9990303562</x:v>
      </x:c>
      <x:c r="D12568" s="13" t="str">
        <x:v>Capital Goods</x:v>
      </x:c>
      <x:c r="E12568" s="13" t="str">
        <x:v>Capital Goods</x:v>
      </x:c>
      <x:c r="F12568" s="13" t="str">
        <x:v>Deep Cyclicals</x:v>
      </x:c>
      <x:c r="G12568" s="13" t="str">
        <x:v>grid_wbaxp5t0.xlsx</x:v>
      </x:c>
    </x:row>
    <x:row r="12569">
      <x:c r="A12569" s="15" t="n">
        <x:v>45748</x:v>
      </x:c>
      <x:c r="B12569" s="13" t="str">
        <x:v>WEG SA</x:v>
      </x:c>
      <x:c r="C12569" s="16" t="n">
        <x:v>7778.7889762192</x:v>
      </x:c>
      <x:c r="D12569" s="13" t="str">
        <x:v>Capital Goods</x:v>
      </x:c>
      <x:c r="E12569" s="13" t="str">
        <x:v>Capital Goods</x:v>
      </x:c>
      <x:c r="F12569" s="13" t="str">
        <x:v>Deep Cyclicals</x:v>
      </x:c>
      <x:c r="G12569" s="13" t="str">
        <x:v>grid_wbaxp5t0.xlsx</x:v>
      </x:c>
    </x:row>
    <x:row r="12570">
      <x:c r="A12570" s="15" t="n">
        <x:v>45748</x:v>
      </x:c>
      <x:c r="B12570" s="13" t="str">
        <x:v>COGNA EDUCACAO</x:v>
      </x:c>
      <x:c r="C12570" s="16" t="n">
        <x:v>454.9867375342</x:v>
      </x:c>
      <x:c r="D12570" s="13" t="str">
        <x:v>Education</x:v>
      </x:c>
      <x:c r="E12570" s="13" t="str">
        <x:v>Education</x:v>
      </x:c>
      <x:c r="F12570" s="13" t="str">
        <x:v>Early Cyclicals</x:v>
      </x:c>
      <x:c r="G12570" s="13" t="str">
        <x:v>grid_wbaxp5t0.xlsx</x:v>
      </x:c>
    </x:row>
    <x:row r="12571">
      <x:c r="A12571" s="15" t="n">
        <x:v>45748</x:v>
      </x:c>
      <x:c r="B12571" s="13" t="str">
        <x:v>YDUQS PARTICIPACOES SA</x:v>
      </x:c>
      <x:c r="C12571" s="16" t="n">
        <x:v>491.6176850411</x:v>
      </x:c>
      <x:c r="D12571" s="13" t="str">
        <x:v>Education</x:v>
      </x:c>
      <x:c r="E12571" s="13" t="str">
        <x:v>Education</x:v>
      </x:c>
      <x:c r="F12571" s="13" t="str">
        <x:v>Early Cyclicals</x:v>
      </x:c>
      <x:c r="G12571" s="13" t="str">
        <x:v>grid_wbaxp5t0.xlsx</x:v>
      </x:c>
    </x:row>
    <x:row r="12572">
      <x:c r="A12572" s="15" t="n">
        <x:v>45748</x:v>
      </x:c>
      <x:c r="B12572" s="13" t="str">
        <x:v>B3 SA-BRASIL BOLSA BALCAO</x:v>
      </x:c>
      <x:c r="C12572" s="16" t="n">
        <x:v>5172.2020751781</x:v>
      </x:c>
      <x:c r="D12572" s="13" t="str">
        <x:v>Financials Non-Banks</x:v>
      </x:c>
      <x:c r="E12572" s="13" t="str">
        <x:v>Financials Non-Banks</x:v>
      </x:c>
      <x:c r="F12572" s="13" t="str">
        <x:v>Financials</x:v>
      </x:c>
      <x:c r="G12572" s="13" t="str">
        <x:v>grid_wbaxp5t0.xlsx</x:v>
      </x:c>
    </x:row>
    <x:row r="12573">
      <x:c r="A12573" s="15" t="n">
        <x:v>45748</x:v>
      </x:c>
      <x:c r="B12573" s="13" t="str">
        <x:v>BB SEGURIDADE PARTICIPACOES</x:v>
      </x:c>
      <x:c r="C12573" s="16" t="n">
        <x:v>9091.350738411</x:v>
      </x:c>
      <x:c r="D12573" s="13" t="str">
        <x:v>Financials Non-Banks</x:v>
      </x:c>
      <x:c r="E12573" s="13" t="str">
        <x:v>Financials Non-Banks</x:v>
      </x:c>
      <x:c r="F12573" s="13" t="str">
        <x:v>Financials</x:v>
      </x:c>
      <x:c r="G12573" s="13" t="str">
        <x:v>grid_wbaxp5t0.xlsx</x:v>
      </x:c>
    </x:row>
    <x:row r="12574">
      <x:c r="A12574" s="15" t="n">
        <x:v>45748</x:v>
      </x:c>
      <x:c r="B12574" s="13" t="str">
        <x:v>CAIXA SEGURIDADE PARTICIPACO</x:v>
      </x:c>
      <x:c r="C12574" s="16" t="n">
        <x:v>4539.785657863</x:v>
      </x:c>
      <x:c r="D12574" s="13" t="str">
        <x:v>Financials Non-Banks</x:v>
      </x:c>
      <x:c r="E12574" s="13" t="str">
        <x:v>Financials Non-Banks</x:v>
      </x:c>
      <x:c r="F12574" s="13" t="str">
        <x:v>Financials</x:v>
      </x:c>
      <x:c r="G12574" s="13" t="str">
        <x:v>grid_wbaxp5t0.xlsx</x:v>
      </x:c>
    </x:row>
    <x:row r="12575">
      <x:c r="A12575" s="15" t="n">
        <x:v>45748</x:v>
      </x:c>
      <x:c r="B12575" s="13" t="str">
        <x:v>IRB BRASIL RESSEGUROS SA</x:v>
      </x:c>
      <x:c r="C12575" s="16" t="n">
        <x:v>586.5618253151</x:v>
      </x:c>
      <x:c r="D12575" s="13" t="str">
        <x:v>Financials Non-Banks</x:v>
      </x:c>
      <x:c r="E12575" s="13" t="str">
        <x:v>Financials Non-Banks</x:v>
      </x:c>
      <x:c r="F12575" s="13" t="str">
        <x:v>Financials</x:v>
      </x:c>
      <x:c r="G12575" s="13" t="str">
        <x:v>grid_wbaxp5t0.xlsx</x:v>
      </x:c>
    </x:row>
    <x:row r="12576">
      <x:c r="A12576" s="15" t="n">
        <x:v>45748</x:v>
      </x:c>
      <x:c r="B12576" s="13" t="str">
        <x:v>ITAUSA SA</x:v>
      </x:c>
      <x:c r="C12576" s="16" t="n">
        <x:v>17143.1780856986</x:v>
      </x:c>
      <x:c r="D12576" s="13" t="str">
        <x:v>Financials Non-Banks</x:v>
      </x:c>
      <x:c r="E12576" s="13" t="str">
        <x:v>Financials Non-Banks</x:v>
      </x:c>
      <x:c r="F12576" s="13" t="str">
        <x:v>Financials</x:v>
      </x:c>
      <x:c r="G12576" s="13" t="str">
        <x:v>grid_wbaxp5t0.xlsx</x:v>
      </x:c>
    </x:row>
    <x:row r="12577">
      <x:c r="A12577" s="15" t="n">
        <x:v>45748</x:v>
      </x:c>
      <x:c r="B12577" s="13" t="str">
        <x:v>PORTO SEGURO SA</x:v>
      </x:c>
      <x:c r="C12577" s="16" t="n">
        <x:v>3230.6415342466</x:v>
      </x:c>
      <x:c r="D12577" s="13" t="str">
        <x:v>Financials Non-Banks</x:v>
      </x:c>
      <x:c r="E12577" s="13" t="str">
        <x:v>Financials Non-Banks</x:v>
      </x:c>
      <x:c r="F12577" s="13" t="str">
        <x:v>Financials</x:v>
      </x:c>
      <x:c r="G12577" s="13" t="str">
        <x:v>grid_wbaxp5t0.xlsx</x:v>
      </x:c>
    </x:row>
    <x:row r="12578">
      <x:c r="A12578" s="15" t="n">
        <x:v>45748</x:v>
      </x:c>
      <x:c r="B12578" s="13" t="str">
        <x:v>AMBEV SA</x:v>
      </x:c>
      <x:c r="C12578" s="16" t="n">
        <x:v>15882.0756409863</x:v>
      </x:c>
      <x:c r="D12578" s="13" t="str">
        <x:v>Food &amp; Beverages</x:v>
      </x:c>
      <x:c r="E12578" s="13" t="str">
        <x:v>Agri, Food &amp; Beverages</x:v>
      </x:c>
      <x:c r="F12578" s="13" t="str">
        <x:v>Defensives</x:v>
      </x:c>
      <x:c r="G12578" s="13" t="str">
        <x:v>grid_wbaxp5t0.xlsx</x:v>
      </x:c>
    </x:row>
    <x:row r="12579">
      <x:c r="A12579" s="15" t="n">
        <x:v>45748</x:v>
      </x:c>
      <x:c r="B12579" s="13" t="str">
        <x:v>BRF SA</x:v>
      </x:c>
      <x:c r="C12579" s="16" t="n">
        <x:v>3381.6865315068</x:v>
      </x:c>
      <x:c r="D12579" s="13" t="str">
        <x:v>Food &amp; Beverages</x:v>
      </x:c>
      <x:c r="E12579" s="13" t="str">
        <x:v>Agri, Food &amp; Beverages</x:v>
      </x:c>
      <x:c r="F12579" s="13" t="str">
        <x:v>Defensives</x:v>
      </x:c>
      <x:c r="G12579" s="13" t="str">
        <x:v>grid_wbaxp5t0.xlsx</x:v>
      </x:c>
    </x:row>
    <x:row r="12580">
      <x:c r="A12580" s="15" t="n">
        <x:v>45748</x:v>
      </x:c>
      <x:c r="B12580" s="13" t="str">
        <x:v>MBRF GLOBAL FOODS COMPANY SA</x:v>
      </x:c>
      <x:c r="C12580" s="16" t="n">
        <x:v>122.7364383562</x:v>
      </x:c>
      <x:c r="D12580" s="13" t="str">
        <x:v>Food &amp; Beverages</x:v>
      </x:c>
      <x:c r="E12580" s="13" t="str">
        <x:v>Agri, Food &amp; Beverages</x:v>
      </x:c>
      <x:c r="F12580" s="13" t="str">
        <x:v>Defensives</x:v>
      </x:c>
      <x:c r="G12580" s="13" t="str">
        <x:v>grid_wbaxp5t0.xlsx</x:v>
      </x:c>
    </x:row>
    <x:row r="12581">
      <x:c r="A12581" s="15" t="n">
        <x:v>45748</x:v>
      </x:c>
      <x:c r="B12581" s="13" t="str">
        <x:v>MINERVA SA</x:v>
      </x:c>
      <x:c r="C12581" s="16" t="n">
        <x:v>328.8402165479</x:v>
      </x:c>
      <x:c r="D12581" s="13" t="str">
        <x:v>Food &amp; Beverages</x:v>
      </x:c>
      <x:c r="E12581" s="13" t="str">
        <x:v>Agri, Food &amp; Beverages</x:v>
      </x:c>
      <x:c r="F12581" s="13" t="str">
        <x:v>Defensives</x:v>
      </x:c>
      <x:c r="G12581" s="13" t="str">
        <x:v>grid_wbaxp5t0.xlsx</x:v>
      </x:c>
    </x:row>
    <x:row r="12582">
      <x:c r="A12582" s="15" t="n">
        <x:v>45748</x:v>
      </x:c>
      <x:c r="B12582" s="13" t="str">
        <x:v>FLEURY SA</x:v>
      </x:c>
      <x:c r="C12582" s="16" t="n">
        <x:v>678.8217073973</x:v>
      </x:c>
      <x:c r="D12582" s="13" t="str">
        <x:v>Health Care</x:v>
      </x:c>
      <x:c r="E12582" s="13" t="str">
        <x:v>Health Care</x:v>
      </x:c>
      <x:c r="F12582" s="13" t="str">
        <x:v>Defensives</x:v>
      </x:c>
      <x:c r="G12582" s="13" t="str">
        <x:v>grid_wbaxp5t0.xlsx</x:v>
      </x:c>
    </x:row>
    <x:row r="12583">
      <x:c r="A12583" s="15" t="n">
        <x:v>45748</x:v>
      </x:c>
      <x:c r="B12583" s="13" t="str">
        <x:v>HAPVIDA PARTICIPACOES E INVE</x:v>
      </x:c>
      <x:c r="C12583" s="16" t="n">
        <x:v>1538.7088990685</x:v>
      </x:c>
      <x:c r="D12583" s="13" t="str">
        <x:v>Health Care</x:v>
      </x:c>
      <x:c r="E12583" s="13" t="str">
        <x:v>Health Care</x:v>
      </x:c>
      <x:c r="F12583" s="13" t="str">
        <x:v>Defensives</x:v>
      </x:c>
      <x:c r="G12583" s="13" t="str">
        <x:v>grid_wbaxp5t0.xlsx</x:v>
      </x:c>
    </x:row>
    <x:row r="12584">
      <x:c r="A12584" s="15" t="n">
        <x:v>45748</x:v>
      </x:c>
      <x:c r="B12584" s="13" t="str">
        <x:v>HYPERA SA</x:v>
      </x:c>
      <x:c r="C12584" s="16" t="n">
        <x:v>1398.6957589041</x:v>
      </x:c>
      <x:c r="D12584" s="13" t="str">
        <x:v>Health Care</x:v>
      </x:c>
      <x:c r="E12584" s="13" t="str">
        <x:v>Health Care</x:v>
      </x:c>
      <x:c r="F12584" s="13" t="str">
        <x:v>Defensives</x:v>
      </x:c>
      <x:c r="G12584" s="13" t="str">
        <x:v>grid_wbaxp5t0.xlsx</x:v>
      </x:c>
    </x:row>
    <x:row r="12585">
      <x:c r="A12585" s="15" t="n">
        <x:v>45748</x:v>
      </x:c>
      <x:c r="B12585" s="13" t="str">
        <x:v>REDE D'OR SAO LUIZ SA</x:v>
      </x:c>
      <x:c r="C12585" s="16" t="n">
        <x:v>4552.5264692603</x:v>
      </x:c>
      <x:c r="D12585" s="13" t="str">
        <x:v>Health Care</x:v>
      </x:c>
      <x:c r="E12585" s="13" t="str">
        <x:v>Health Care</x:v>
      </x:c>
      <x:c r="F12585" s="13" t="str">
        <x:v>Defensives</x:v>
      </x:c>
      <x:c r="G12585" s="13" t="str">
        <x:v>grid_wbaxp5t0.xlsx</x:v>
      </x:c>
    </x:row>
    <x:row r="12586">
      <x:c r="A12586" s="15" t="n">
        <x:v>45748</x:v>
      </x:c>
      <x:c r="B12586" s="13" t="str">
        <x:v>CYRELA BRAZIL REALTY SA EMP</x:v>
      </x:c>
      <x:c r="C12586" s="16" t="n">
        <x:v>1879.5308484384</x:v>
      </x:c>
      <x:c r="D12586" s="13" t="str">
        <x:v>Homebuilders</x:v>
      </x:c>
      <x:c r="E12586" s="13" t="str">
        <x:v>Real Estate</x:v>
      </x:c>
      <x:c r="F12586" s="13" t="str">
        <x:v>Early Cyclicals</x:v>
      </x:c>
      <x:c r="G12586" s="13" t="str">
        <x:v>grid_wbaxp5t0.xlsx</x:v>
      </x:c>
    </x:row>
    <x:row r="12587">
      <x:c r="A12587" s="15" t="n">
        <x:v>45748</x:v>
      </x:c>
      <x:c r="B12587" s="13" t="str">
        <x:v>MRV ENGENHARIA</x:v>
      </x:c>
      <x:c r="C12587" s="16" t="n">
        <x:v>545.5780716712</x:v>
      </x:c>
      <x:c r="D12587" s="13" t="str">
        <x:v>Homebuilders</x:v>
      </x:c>
      <x:c r="E12587" s="13" t="str">
        <x:v>Real Estate</x:v>
      </x:c>
      <x:c r="F12587" s="13" t="str">
        <x:v>Early Cyclicals</x:v>
      </x:c>
      <x:c r="G12587" s="13" t="str">
        <x:v>grid_wbaxp5t0.xlsx</x:v>
      </x:c>
    </x:row>
    <x:row r="12588">
      <x:c r="A12588" s="15" t="n">
        <x:v>45748</x:v>
      </x:c>
      <x:c r="B12588" s="13" t="str">
        <x:v>ALLOS SA</x:v>
      </x:c>
      <x:c r="C12588" s="16" t="n">
        <x:v>758.6</x:v>
      </x:c>
      <x:c r="D12588" s="13" t="str">
        <x:v>Income Properties</x:v>
      </x:c>
      <x:c r="E12588" s="13" t="str">
        <x:v>Real Estate</x:v>
      </x:c>
      <x:c r="F12588" s="13" t="str">
        <x:v>Early Cyclicals</x:v>
      </x:c>
      <x:c r="G12588" s="13" t="str">
        <x:v>grid_wbaxp5t0.xlsx</x:v>
      </x:c>
    </x:row>
    <x:row r="12589">
      <x:c r="A12589" s="15" t="n">
        <x:v>45748</x:v>
      </x:c>
      <x:c r="B12589" s="13" t="str">
        <x:v>IGUATEMI SA - UNITS</x:v>
      </x:c>
      <x:c r="C12589" s="16" t="n">
        <x:v>490.3836629041</x:v>
      </x:c>
      <x:c r="D12589" s="13" t="str">
        <x:v>Income Properties</x:v>
      </x:c>
      <x:c r="E12589" s="13" t="str">
        <x:v>Real Estate</x:v>
      </x:c>
      <x:c r="F12589" s="13" t="str">
        <x:v>Early Cyclicals</x:v>
      </x:c>
      <x:c r="G12589" s="13" t="str">
        <x:v>grid_wbaxp5t0.xlsx</x:v>
      </x:c>
    </x:row>
    <x:row r="12590">
      <x:c r="A12590" s="15" t="n">
        <x:v>45748</x:v>
      </x:c>
      <x:c r="B12590" s="13" t="str">
        <x:v>MULTIPLAN EMPREENDIMENTOS</x:v>
      </x:c>
      <x:c r="C12590" s="16" t="n">
        <x:v>1025.3928924931</x:v>
      </x:c>
      <x:c r="D12590" s="13" t="str">
        <x:v>Income Properties</x:v>
      </x:c>
      <x:c r="E12590" s="13" t="str">
        <x:v>Real Estate</x:v>
      </x:c>
      <x:c r="F12590" s="13" t="str">
        <x:v>Early Cyclicals</x:v>
      </x:c>
      <x:c r="G12590" s="13" t="str">
        <x:v>grid_wbaxp5t0.xlsx</x:v>
      </x:c>
    </x:row>
    <x:row r="12591">
      <x:c r="A12591" s="15" t="n">
        <x:v>45748</x:v>
      </x:c>
      <x:c r="B12591" s="13" t="str">
        <x:v>BRADESPAR SA -PREF</x:v>
      </x:c>
      <x:c r="C12591" s="16" t="n">
        <x:v>1507.0753315069</x:v>
      </x:c>
      <x:c r="D12591" s="13" t="str">
        <x:v>Metals &amp; Mining</x:v>
      </x:c>
      <x:c r="E12591" s="13" t="str">
        <x:v>Metals &amp; Mining</x:v>
      </x:c>
      <x:c r="F12591" s="13" t="str">
        <x:v>Deep Cyclicals</x:v>
      </x:c>
      <x:c r="G12591" s="13" t="str">
        <x:v>grid_wbaxp5t0.xlsx</x:v>
      </x:c>
    </x:row>
    <x:row r="12592">
      <x:c r="A12592" s="15" t="n">
        <x:v>45748</x:v>
      </x:c>
      <x:c r="B12592" s="13" t="str">
        <x:v>CIA SIDERURGICA NACIONAL SA</x:v>
      </x:c>
      <x:c r="C12592" s="16" t="n">
        <x:v>473.9424026301</x:v>
      </x:c>
      <x:c r="D12592" s="13" t="str">
        <x:v>Metals &amp; Mining</x:v>
      </x:c>
      <x:c r="E12592" s="13" t="str">
        <x:v>Metals &amp; Mining</x:v>
      </x:c>
      <x:c r="F12592" s="13" t="str">
        <x:v>Deep Cyclicals</x:v>
      </x:c>
      <x:c r="G12592" s="13" t="str">
        <x:v>grid_wbaxp5t0.xlsx</x:v>
      </x:c>
    </x:row>
    <x:row r="12593">
      <x:c r="A12593" s="15" t="n">
        <x:v>45748</x:v>
      </x:c>
      <x:c r="B12593" s="13" t="str">
        <x:v>CSN MINERACAO SA</x:v>
      </x:c>
      <x:c r="C12593" s="16" t="n">
        <x:v>2274.0822829589</x:v>
      </x:c>
      <x:c r="D12593" s="13" t="str">
        <x:v>Metals &amp; Mining</x:v>
      </x:c>
      <x:c r="E12593" s="13" t="str">
        <x:v>Metals &amp; Mining</x:v>
      </x:c>
      <x:c r="F12593" s="13" t="str">
        <x:v>Deep Cyclicals</x:v>
      </x:c>
      <x:c r="G12593" s="13" t="str">
        <x:v>grid_wbaxp5t0.xlsx</x:v>
      </x:c>
    </x:row>
    <x:row r="12594">
      <x:c r="A12594" s="15" t="n">
        <x:v>45748</x:v>
      </x:c>
      <x:c r="B12594" s="13" t="str">
        <x:v>GERDAU SA-PREF</x:v>
      </x:c>
      <x:c r="C12594" s="16" t="n">
        <x:v>4654.9817161644</x:v>
      </x:c>
      <x:c r="D12594" s="13" t="str">
        <x:v>Metals &amp; Mining</x:v>
      </x:c>
      <x:c r="E12594" s="13" t="str">
        <x:v>Metals &amp; Mining</x:v>
      </x:c>
      <x:c r="F12594" s="13" t="str">
        <x:v>Deep Cyclicals</x:v>
      </x:c>
      <x:c r="G12594" s="13" t="str">
        <x:v>grid_wbaxp5t0.xlsx</x:v>
      </x:c>
    </x:row>
    <x:row r="12595">
      <x:c r="A12595" s="15" t="n">
        <x:v>45748</x:v>
      </x:c>
      <x:c r="B12595" s="13" t="str">
        <x:v>METALURGICA GERDAU SA-PREF</x:v>
      </x:c>
      <x:c r="C12595" s="16" t="n">
        <x:v>1463.5890200548</x:v>
      </x:c>
      <x:c r="D12595" s="13" t="str">
        <x:v>Metals &amp; Mining</x:v>
      </x:c>
      <x:c r="E12595" s="13" t="str">
        <x:v>Metals &amp; Mining</x:v>
      </x:c>
      <x:c r="F12595" s="13" t="str">
        <x:v>Deep Cyclicals</x:v>
      </x:c>
      <x:c r="G12595" s="13" t="str">
        <x:v>grid_wbaxp5t0.xlsx</x:v>
      </x:c>
    </x:row>
    <x:row r="12596">
      <x:c r="A12596" s="15" t="n">
        <x:v>45748</x:v>
      </x:c>
      <x:c r="B12596" s="13" t="str">
        <x:v>USINAS SIDER MINAS GER-PF A</x:v>
      </x:c>
      <x:c r="C12596" s="16" t="n">
        <x:v>839.9255478356</x:v>
      </x:c>
      <x:c r="D12596" s="13" t="str">
        <x:v>Metals &amp; Mining</x:v>
      </x:c>
      <x:c r="E12596" s="13" t="str">
        <x:v>Metals &amp; Mining</x:v>
      </x:c>
      <x:c r="F12596" s="13" t="str">
        <x:v>Deep Cyclicals</x:v>
      </x:c>
      <x:c r="G12596" s="13" t="str">
        <x:v>grid_wbaxp5t0.xlsx</x:v>
      </x:c>
    </x:row>
    <x:row r="12597">
      <x:c r="A12597" s="15" t="n">
        <x:v>45748</x:v>
      </x:c>
      <x:c r="B12597" s="13" t="str">
        <x:v>VALE SA</x:v>
      </x:c>
      <x:c r="C12597" s="16" t="n">
        <x:v>43888.1549887123</x:v>
      </x:c>
      <x:c r="D12597" s="13" t="str">
        <x:v>Metals &amp; Mining</x:v>
      </x:c>
      <x:c r="E12597" s="13" t="str">
        <x:v>Metals &amp; Mining</x:v>
      </x:c>
      <x:c r="F12597" s="13" t="str">
        <x:v>Deep Cyclicals</x:v>
      </x:c>
      <x:c r="G12597" s="13" t="str">
        <x:v>grid_wbaxp5t0.xlsx</x:v>
      </x:c>
    </x:row>
    <x:row r="12598">
      <x:c r="A12598" s="15" t="n">
        <x:v>45748</x:v>
      </x:c>
      <x:c r="B12598" s="13" t="str">
        <x:v>BRASKEM SA-PREF A</x:v>
      </x:c>
      <x:c r="C12598" s="16" t="n">
        <x:v>-1179.0579129863</x:v>
      </x:c>
      <x:c r="D12598" s="13" t="str">
        <x:v>Oil, Gas &amp; Petrochemicals</x:v>
      </x:c>
      <x:c r="E12598" s="13" t="str">
        <x:v>Oil, Gas &amp; Petrochemicals</x:v>
      </x:c>
      <x:c r="F12598" s="13" t="str">
        <x:v>Deep Cyclicals</x:v>
      </x:c>
      <x:c r="G12598" s="13" t="str">
        <x:v>grid_wbaxp5t0.xlsx</x:v>
      </x:c>
    </x:row>
    <x:row r="12599">
      <x:c r="A12599" s="15" t="n">
        <x:v>45748</x:v>
      </x:c>
      <x:c r="B12599" s="13" t="str">
        <x:v>BRAVA ENERGIA</x:v>
      </x:c>
      <x:c r="C12599" s="16" t="n">
        <x:v>2036.0757479452</x:v>
      </x:c>
      <x:c r="D12599" s="13" t="str">
        <x:v>Oil, Gas &amp; Petrochemicals</x:v>
      </x:c>
      <x:c r="E12599" s="13" t="str">
        <x:v>Oil, Gas &amp; Petrochemicals</x:v>
      </x:c>
      <x:c r="F12599" s="13" t="str">
        <x:v>Deep Cyclicals</x:v>
      </x:c>
      <x:c r="G12599" s="13" t="str">
        <x:v>grid_wbaxp5t0.xlsx</x:v>
      </x:c>
    </x:row>
    <x:row r="12600">
      <x:c r="A12600" s="15" t="n">
        <x:v>45748</x:v>
      </x:c>
      <x:c r="B12600" s="13" t="str">
        <x:v>COSAN SA</x:v>
      </x:c>
      <x:c r="C12600" s="16" t="n">
        <x:v>2949.5940138082</x:v>
      </x:c>
      <x:c r="D12600" s="13" t="str">
        <x:v>Oil, Gas &amp; Petrochemicals</x:v>
      </x:c>
      <x:c r="E12600" s="13" t="str">
        <x:v>Oil, Gas &amp; Petrochemicals</x:v>
      </x:c>
      <x:c r="F12600" s="13" t="str">
        <x:v>Deep Cyclicals</x:v>
      </x:c>
      <x:c r="G12600" s="13" t="str">
        <x:v>grid_wbaxp5t0.xlsx</x:v>
      </x:c>
    </x:row>
    <x:row r="12601">
      <x:c r="A12601" s="15" t="n">
        <x:v>45748</x:v>
      </x:c>
      <x:c r="B12601" s="13" t="str">
        <x:v>PETROBRAS - PETROLEO BRAS</x:v>
      </x:c>
      <x:c r="C12601" s="16" t="n">
        <x:v>98053.5517071781</x:v>
      </x:c>
      <x:c r="D12601" s="13" t="str">
        <x:v>Oil, Gas &amp; Petrochemicals</x:v>
      </x:c>
      <x:c r="E12601" s="13" t="str">
        <x:v>Oil, Gas &amp; Petrochemicals</x:v>
      </x:c>
      <x:c r="F12601" s="13" t="str">
        <x:v>Deep Cyclicals</x:v>
      </x:c>
      <x:c r="G12601" s="13" t="str">
        <x:v>grid_wbaxp5t0.xlsx</x:v>
      </x:c>
    </x:row>
    <x:row r="12602">
      <x:c r="A12602" s="15" t="n">
        <x:v>45748</x:v>
      </x:c>
      <x:c r="B12602" s="13" t="str">
        <x:v>PETRORECONCAVO SA</x:v>
      </x:c>
      <x:c r="C12602" s="16" t="n">
        <x:v>761.5695114521</x:v>
      </x:c>
      <x:c r="D12602" s="13" t="str">
        <x:v>Oil, Gas &amp; Petrochemicals</x:v>
      </x:c>
      <x:c r="E12602" s="13" t="str">
        <x:v>Oil, Gas &amp; Petrochemicals</x:v>
      </x:c>
      <x:c r="F12602" s="13" t="str">
        <x:v>Deep Cyclicals</x:v>
      </x:c>
      <x:c r="G12602" s="13" t="str">
        <x:v>grid_wbaxp5t0.xlsx</x:v>
      </x:c>
    </x:row>
    <x:row r="12603">
      <x:c r="A12603" s="15" t="n">
        <x:v>45748</x:v>
      </x:c>
      <x:c r="B12603" s="13" t="str">
        <x:v>PRIO SA</x:v>
      </x:c>
      <x:c r="C12603" s="16" t="n">
        <x:v>4503.3459585753</x:v>
      </x:c>
      <x:c r="D12603" s="13" t="str">
        <x:v>Oil, Gas &amp; Petrochemicals</x:v>
      </x:c>
      <x:c r="E12603" s="13" t="str">
        <x:v>Oil, Gas &amp; Petrochemicals</x:v>
      </x:c>
      <x:c r="F12603" s="13" t="str">
        <x:v>Deep Cyclicals</x:v>
      </x:c>
      <x:c r="G12603" s="13" t="str">
        <x:v>grid_wbaxp5t0.xlsx</x:v>
      </x:c>
    </x:row>
    <x:row r="12604">
      <x:c r="A12604" s="15" t="n">
        <x:v>45748</x:v>
      </x:c>
      <x:c r="B12604" s="13" t="str">
        <x:v>ULTRAPAR PARTICIPACOES SA</x:v>
      </x:c>
      <x:c r="C12604" s="16" t="n">
        <x:v>2008.2379765479</x:v>
      </x:c>
      <x:c r="D12604" s="13" t="str">
        <x:v>Oil, Gas &amp; Petrochemicals</x:v>
      </x:c>
      <x:c r="E12604" s="13" t="str">
        <x:v>Oil, Gas &amp; Petrochemicals</x:v>
      </x:c>
      <x:c r="F12604" s="13" t="str">
        <x:v>Deep Cyclicals</x:v>
      </x:c>
      <x:c r="G12604" s="13" t="str">
        <x:v>grid_wbaxp5t0.xlsx</x:v>
      </x:c>
    </x:row>
    <x:row r="12605">
      <x:c r="A12605" s="15" t="n">
        <x:v>45748</x:v>
      </x:c>
      <x:c r="B12605" s="13" t="str">
        <x:v>VIBRA ENERGIA SA</x:v>
      </x:c>
      <x:c r="C12605" s="16" t="n">
        <x:v>2324.993139726</x:v>
      </x:c>
      <x:c r="D12605" s="13" t="str">
        <x:v>Oil, Gas &amp; Petrochemicals</x:v>
      </x:c>
      <x:c r="E12605" s="13" t="str">
        <x:v>Oil, Gas &amp; Petrochemicals</x:v>
      </x:c>
      <x:c r="F12605" s="13" t="str">
        <x:v>Deep Cyclicals</x:v>
      </x:c>
      <x:c r="G12605" s="13" t="str">
        <x:v>grid_wbaxp5t0.xlsx</x:v>
      </x:c>
    </x:row>
    <x:row r="12606">
      <x:c r="A12606" s="15" t="n">
        <x:v>45748</x:v>
      </x:c>
      <x:c r="B12606" s="13" t="str">
        <x:v>KLABIN SA - UNIT</x:v>
      </x:c>
      <x:c r="C12606" s="16" t="n">
        <x:v>2111.3493146301</x:v>
      </x:c>
      <x:c r="D12606" s="13" t="str">
        <x:v>Pulp &amp; Paper</x:v>
      </x:c>
      <x:c r="E12606" s="13" t="str">
        <x:v>Pulp &amp; Paper</x:v>
      </x:c>
      <x:c r="F12606" s="13" t="str">
        <x:v>Deep Cyclicals</x:v>
      </x:c>
      <x:c r="G12606" s="13" t="str">
        <x:v>grid_wbaxp5t0.xlsx</x:v>
      </x:c>
    </x:row>
    <x:row r="12607">
      <x:c r="A12607" s="15" t="n">
        <x:v>45748</x:v>
      </x:c>
      <x:c r="B12607" s="13" t="str">
        <x:v>SUZANO SA</x:v>
      </x:c>
      <x:c r="C12607" s="16" t="n">
        <x:v>12192.3178187397</x:v>
      </x:c>
      <x:c r="D12607" s="13" t="str">
        <x:v>Pulp &amp; Paper</x:v>
      </x:c>
      <x:c r="E12607" s="13" t="str">
        <x:v>Pulp &amp; Paper</x:v>
      </x:c>
      <x:c r="F12607" s="13" t="str">
        <x:v>Deep Cyclicals</x:v>
      </x:c>
      <x:c r="G12607" s="13" t="str">
        <x:v>grid_wbaxp5t0.xlsx</x:v>
      </x:c>
    </x:row>
    <x:row r="12608">
      <x:c r="A12608" s="15" t="n">
        <x:v>45748</x:v>
      </x:c>
      <x:c r="B12608" s="13" t="str">
        <x:v>ATACADAO SA</x:v>
      </x:c>
      <x:c r="C12608" s="16" t="n">
        <x:v>1318.3037036712</x:v>
      </x:c>
      <x:c r="D12608" s="13" t="str">
        <x:v>Retail</x:v>
      </x:c>
      <x:c r="E12608" s="13" t="str">
        <x:v>Retail</x:v>
      </x:c>
      <x:c r="F12608" s="13" t="str">
        <x:v>Early Cyclicals</x:v>
      </x:c>
      <x:c r="G12608" s="13" t="str">
        <x:v>grid_wbaxp5t0.xlsx</x:v>
      </x:c>
    </x:row>
    <x:row r="12609">
      <x:c r="A12609" s="15" t="n">
        <x:v>45748</x:v>
      </x:c>
      <x:c r="B12609" s="13" t="str">
        <x:v>AZZAS 2154 SA</x:v>
      </x:c>
      <x:c r="C12609" s="16" t="n">
        <x:v>741.8538406575</x:v>
      </x:c>
      <x:c r="D12609" s="13" t="str">
        <x:v>Retail</x:v>
      </x:c>
      <x:c r="E12609" s="13" t="str">
        <x:v>Retail</x:v>
      </x:c>
      <x:c r="F12609" s="13" t="str">
        <x:v>Early Cyclicals</x:v>
      </x:c>
      <x:c r="G12609" s="13" t="str">
        <x:v>grid_wbaxp5t0.xlsx</x:v>
      </x:c>
    </x:row>
    <x:row r="12610">
      <x:c r="A12610" s="15" t="n">
        <x:v>45748</x:v>
      </x:c>
      <x:c r="B12610" s="13" t="str">
        <x:v>CIA BRASILEIRA DE DISTRIBUIC</x:v>
      </x:c>
      <x:c r="C12610" s="16" t="n">
        <x:v>-462.766610411</x:v>
      </x:c>
      <x:c r="D12610" s="13" t="str">
        <x:v>Retail</x:v>
      </x:c>
      <x:c r="E12610" s="13" t="str">
        <x:v>Retail</x:v>
      </x:c>
      <x:c r="F12610" s="13" t="str">
        <x:v>Early Cyclicals</x:v>
      </x:c>
      <x:c r="G12610" s="13" t="str">
        <x:v>grid_wbaxp5t0.xlsx</x:v>
      </x:c>
    </x:row>
    <x:row r="12611">
      <x:c r="A12611" s="15" t="n">
        <x:v>45748</x:v>
      </x:c>
      <x:c r="B12611" s="13" t="str">
        <x:v>CVC BRASIL OPERADORA E AGENC</x:v>
      </x:c>
      <x:c r="C12611" s="16" t="n">
        <x:v>-25.194509589</x:v>
      </x:c>
      <x:c r="D12611" s="13" t="str">
        <x:v>Retail</x:v>
      </x:c>
      <x:c r="E12611" s="13" t="str">
        <x:v>Retail</x:v>
      </x:c>
      <x:c r="F12611" s="13" t="str">
        <x:v>Early Cyclicals</x:v>
      </x:c>
      <x:c r="G12611" s="13" t="str">
        <x:v>grid_wbaxp5t0.xlsx</x:v>
      </x:c>
    </x:row>
    <x:row r="12612">
      <x:c r="A12612" s="15" t="n">
        <x:v>45748</x:v>
      </x:c>
      <x:c r="B12612" s="13" t="str">
        <x:v>LOJAS RENNER S.A.</x:v>
      </x:c>
      <x:c r="C12612" s="16" t="n">
        <x:v>1431.2634406575</x:v>
      </x:c>
      <x:c r="D12612" s="13" t="str">
        <x:v>Retail</x:v>
      </x:c>
      <x:c r="E12612" s="13" t="str">
        <x:v>Retail</x:v>
      </x:c>
      <x:c r="F12612" s="13" t="str">
        <x:v>Early Cyclicals</x:v>
      </x:c>
      <x:c r="G12612" s="13" t="str">
        <x:v>grid_wbaxp5t0.xlsx</x:v>
      </x:c>
    </x:row>
    <x:row r="12613">
      <x:c r="A12613" s="15" t="n">
        <x:v>45748</x:v>
      </x:c>
      <x:c r="B12613" s="13" t="str">
        <x:v>MAGAZINE LUIZA SA</x:v>
      </x:c>
      <x:c r="C12613" s="16" t="n">
        <x:v>372.4331559452</x:v>
      </x:c>
      <x:c r="D12613" s="13" t="str">
        <x:v>Retail</x:v>
      </x:c>
      <x:c r="E12613" s="13" t="str">
        <x:v>Retail</x:v>
      </x:c>
      <x:c r="F12613" s="13" t="str">
        <x:v>Early Cyclicals</x:v>
      </x:c>
      <x:c r="G12613" s="13" t="str">
        <x:v>grid_wbaxp5t0.xlsx</x:v>
      </x:c>
    </x:row>
    <x:row r="12614">
      <x:c r="A12614" s="15" t="n">
        <x:v>45748</x:v>
      </x:c>
      <x:c r="B12614" s="13" t="str">
        <x:v>NATURA &amp;CO HOLDING SA</x:v>
      </x:c>
      <x:c r="C12614" s="16" t="n">
        <x:v>983.5136718904</x:v>
      </x:c>
      <x:c r="D12614" s="13" t="str">
        <x:v>Retail</x:v>
      </x:c>
      <x:c r="E12614" s="13" t="str">
        <x:v>Retail</x:v>
      </x:c>
      <x:c r="F12614" s="13" t="str">
        <x:v>Early Cyclicals</x:v>
      </x:c>
      <x:c r="G12614" s="13" t="str">
        <x:v>grid_wbaxp5t0.xlsx</x:v>
      </x:c>
    </x:row>
    <x:row r="12615">
      <x:c r="A12615" s="15" t="n">
        <x:v>45748</x:v>
      </x:c>
      <x:c r="B12615" s="13" t="str">
        <x:v>PET CENTER COMERCIO E PARTIC</x:v>
      </x:c>
      <x:c r="C12615" s="16" t="n">
        <x:v>89.3355972603</x:v>
      </x:c>
      <x:c r="D12615" s="13" t="str">
        <x:v>Retail</x:v>
      </x:c>
      <x:c r="E12615" s="13" t="str">
        <x:v>Retail</x:v>
      </x:c>
      <x:c r="F12615" s="13" t="str">
        <x:v>Early Cyclicals</x:v>
      </x:c>
      <x:c r="G12615" s="13" t="str">
        <x:v>grid_wbaxp5t0.xlsx</x:v>
      </x:c>
    </x:row>
    <x:row r="12616">
      <x:c r="A12616" s="15" t="n">
        <x:v>45748</x:v>
      </x:c>
      <x:c r="B12616" s="13" t="str">
        <x:v>RAIA DROGASIL SA</x:v>
      </x:c>
      <x:c r="C12616" s="16" t="n">
        <x:v>1344.4623342466</x:v>
      </x:c>
      <x:c r="D12616" s="13" t="str">
        <x:v>Retail</x:v>
      </x:c>
      <x:c r="E12616" s="13" t="str">
        <x:v>Retail</x:v>
      </x:c>
      <x:c r="F12616" s="13" t="str">
        <x:v>Early Cyclicals</x:v>
      </x:c>
      <x:c r="G12616" s="13" t="str">
        <x:v>grid_wbaxp5t0.xlsx</x:v>
      </x:c>
    </x:row>
    <x:row r="12617">
      <x:c r="A12617" s="15" t="n">
        <x:v>45748</x:v>
      </x:c>
      <x:c r="B12617" s="13" t="str">
        <x:v>SENDAS DISTRIBUIDORA SA</x:v>
      </x:c>
      <x:c r="C12617" s="16" t="n">
        <x:v>817.2498691507</x:v>
      </x:c>
      <x:c r="D12617" s="13" t="str">
        <x:v>Retail</x:v>
      </x:c>
      <x:c r="E12617" s="13" t="str">
        <x:v>Retail</x:v>
      </x:c>
      <x:c r="F12617" s="13" t="str">
        <x:v>Early Cyclicals</x:v>
      </x:c>
      <x:c r="G12617" s="13" t="str">
        <x:v>grid_wbaxp5t0.xlsx</x:v>
      </x:c>
    </x:row>
    <x:row r="12618">
      <x:c r="A12618" s="15" t="n">
        <x:v>45748</x:v>
      </x:c>
      <x:c r="B12618" s="13" t="str">
        <x:v>VIVARA PARTICIPACOES SA</x:v>
      </x:c>
      <x:c r="C12618" s="16" t="n">
        <x:v>593.2086820822</x:v>
      </x:c>
      <x:c r="D12618" s="13" t="str">
        <x:v>Retail</x:v>
      </x:c>
      <x:c r="E12618" s="13" t="str">
        <x:v>Retail</x:v>
      </x:c>
      <x:c r="F12618" s="13" t="str">
        <x:v>Early Cyclicals</x:v>
      </x:c>
      <x:c r="G12618" s="13" t="str">
        <x:v>grid_wbaxp5t0.xlsx</x:v>
      </x:c>
    </x:row>
    <x:row r="12619">
      <x:c r="A12619" s="15" t="n">
        <x:v>45748</x:v>
      </x:c>
      <x:c r="B12619" s="13" t="str">
        <x:v>CIA SANEAMENTO BASICO DE SP</x:v>
      </x:c>
      <x:c r="C12619" s="16" t="n">
        <x:v>5371.981824</x:v>
      </x:c>
      <x:c r="D12619" s="13" t="str">
        <x:v>Sanitation</x:v>
      </x:c>
      <x:c r="E12619" s="13" t="str">
        <x:v>Utilities</x:v>
      </x:c>
      <x:c r="F12619" s="13" t="str">
        <x:v>Defensives</x:v>
      </x:c>
      <x:c r="G12619" s="13" t="str">
        <x:v>grid_wbaxp5t0.xlsx</x:v>
      </x:c>
    </x:row>
    <x:row r="12620">
      <x:c r="A12620" s="15" t="n">
        <x:v>45748</x:v>
      </x:c>
      <x:c r="B12620" s="13" t="str">
        <x:v>LWSA SA</x:v>
      </x:c>
      <x:c r="C12620" s="16" t="n">
        <x:v>155.614509589</x:v>
      </x:c>
      <x:c r="D12620" s="13" t="str">
        <x:v>TMT</x:v>
      </x:c>
      <x:c r="E12620" s="13" t="str">
        <x:v>TMT</x:v>
      </x:c>
      <x:c r="F12620" s="13" t="str">
        <x:v>Early Cyclicals</x:v>
      </x:c>
      <x:c r="G12620" s="13" t="str">
        <x:v>grid_wbaxp5t0.xlsx</x:v>
      </x:c>
    </x:row>
    <x:row r="12621">
      <x:c r="A12621" s="15" t="n">
        <x:v>45748</x:v>
      </x:c>
      <x:c r="B12621" s="13" t="str">
        <x:v>TIM SA</x:v>
      </x:c>
      <x:c r="C12621" s="16" t="n">
        <x:v>4051.1511916712</x:v>
      </x:c>
      <x:c r="D12621" s="13" t="str">
        <x:v>TMT</x:v>
      </x:c>
      <x:c r="E12621" s="13" t="str">
        <x:v>TMT</x:v>
      </x:c>
      <x:c r="F12621" s="13" t="str">
        <x:v>Early Cyclicals</x:v>
      </x:c>
      <x:c r="G12621" s="13" t="str">
        <x:v>grid_wbaxp5t0.xlsx</x:v>
      </x:c>
    </x:row>
    <x:row r="12622">
      <x:c r="A12622" s="15" t="n">
        <x:v>45748</x:v>
      </x:c>
      <x:c r="B12622" s="13" t="str">
        <x:v>TOTVS SA</x:v>
      </x:c>
      <x:c r="C12622" s="16" t="n">
        <x:v>955.7764278356</x:v>
      </x:c>
      <x:c r="D12622" s="13" t="str">
        <x:v>TMT</x:v>
      </x:c>
      <x:c r="E12622" s="13" t="str">
        <x:v>TMT</x:v>
      </x:c>
      <x:c r="F12622" s="13" t="str">
        <x:v>Early Cyclicals</x:v>
      </x:c>
      <x:c r="G12622" s="13" t="str">
        <x:v>grid_wbaxp5t0.xlsx</x:v>
      </x:c>
    </x:row>
    <x:row r="12623">
      <x:c r="A12623" s="15" t="n">
        <x:v>45748</x:v>
      </x:c>
      <x:c r="B12623" s="13" t="str">
        <x:v>AZUL SA</x:v>
      </x:c>
      <x:c r="C12623" s="16" t="n">
        <x:v>8.3095916712</x:v>
      </x:c>
      <x:c r="D12623" s="13" t="str">
        <x:v>Transportation</x:v>
      </x:c>
      <x:c r="E12623" s="13" t="str">
        <x:v>Transportation</x:v>
      </x:c>
      <x:c r="F12623" s="13" t="str">
        <x:v>Deep Cyclicals</x:v>
      </x:c>
      <x:c r="G12623" s="13" t="str">
        <x:v>grid_wbaxp5t0.xlsx</x:v>
      </x:c>
    </x:row>
    <x:row r="12624">
      <x:c r="A12624" s="15" t="n">
        <x:v>45748</x:v>
      </x:c>
      <x:c r="B12624" s="13" t="str">
        <x:v>LOCALIZA RENT A CAR</x:v>
      </x:c>
      <x:c r="C12624" s="16" t="n">
        <x:v>3663.3063872877</x:v>
      </x:c>
      <x:c r="D12624" s="13" t="str">
        <x:v>Transportation</x:v>
      </x:c>
      <x:c r="E12624" s="13" t="str">
        <x:v>Transportation</x:v>
      </x:c>
      <x:c r="F12624" s="13" t="str">
        <x:v>Deep Cyclicals</x:v>
      </x:c>
      <x:c r="G12624" s="13" t="str">
        <x:v>grid_wbaxp5t0.xlsx</x:v>
      </x:c>
    </x:row>
    <x:row r="12625">
      <x:c r="A12625" s="15" t="n">
        <x:v>45748</x:v>
      </x:c>
      <x:c r="B12625" s="13" t="str">
        <x:v>MOTIVA INFRAESTRUTURA DE MOB</x:v>
      </x:c>
      <x:c r="C12625" s="16" t="n">
        <x:v>1893.5075296438</x:v>
      </x:c>
      <x:c r="D12625" s="13" t="str">
        <x:v>Transportation</x:v>
      </x:c>
      <x:c r="E12625" s="13" t="str">
        <x:v>Transportation</x:v>
      </x:c>
      <x:c r="F12625" s="13" t="str">
        <x:v>Deep Cyclicals</x:v>
      </x:c>
      <x:c r="G12625" s="13" t="str">
        <x:v>grid_wbaxp5t0.xlsx</x:v>
      </x:c>
    </x:row>
    <x:row r="12626">
      <x:c r="A12626" s="15" t="n">
        <x:v>45748</x:v>
      </x:c>
      <x:c r="B12626" s="13" t="str">
        <x:v>RUMO SA</x:v>
      </x:c>
      <x:c r="C12626" s="16" t="n">
        <x:v>2413.3445295342</x:v>
      </x:c>
      <x:c r="D12626" s="13" t="str">
        <x:v>Transportation</x:v>
      </x:c>
      <x:c r="E12626" s="13" t="str">
        <x:v>Transportation</x:v>
      </x:c>
      <x:c r="F12626" s="13" t="str">
        <x:v>Deep Cyclicals</x:v>
      </x:c>
      <x:c r="G12626" s="13" t="str">
        <x:v>grid_wbaxp5t0.xlsx</x:v>
      </x:c>
    </x:row>
    <x:row r="12627">
      <x:c r="A12627" s="15" t="n">
        <x:v>45748</x:v>
      </x:c>
      <x:c r="B12627" s="13" t="str">
        <x:v>SANTOS BRASIL PARTICIPACOES</x:v>
      </x:c>
      <x:c r="C12627" s="16" t="n">
        <x:v>844</x:v>
      </x:c>
      <x:c r="D12627" s="13" t="str">
        <x:v>Transportation</x:v>
      </x:c>
      <x:c r="E12627" s="13" t="str">
        <x:v>Transportation</x:v>
      </x:c>
      <x:c r="F12627" s="13" t="str">
        <x:v>Deep Cyclicals</x:v>
      </x:c>
      <x:c r="G12627" s="13" t="str">
        <x:v>grid_wbaxp5t0.xlsx</x:v>
      </x:c>
    </x:row>
    <x:row r="12628">
      <x:c r="A12628" s="15" t="n">
        <x:v>45748</x:v>
      </x:c>
      <x:c r="B12628" s="13" t="str">
        <x:v>VAMOS LOCACAO DE CAMINHOES M</x:v>
      </x:c>
      <x:c r="C12628" s="16" t="n">
        <x:v>728.1992223562</x:v>
      </x:c>
      <x:c r="D12628" s="13" t="str">
        <x:v>Transportation</x:v>
      </x:c>
      <x:c r="E12628" s="13" t="str">
        <x:v>Transportation</x:v>
      </x:c>
      <x:c r="F12628" s="13" t="str">
        <x:v>Deep Cyclicals</x:v>
      </x:c>
      <x:c r="G12628" s="13" t="str">
        <x:v>grid_wbaxp5t0.xlsx</x:v>
      </x:c>
    </x:row>
    <x:row r="12629">
      <x:c r="A12629" s="15" t="n">
        <x:v>45748</x:v>
      </x:c>
      <x:c r="B12629" s="13" t="str">
        <x:v>AUREN ENERGIA SA - ON</x:v>
      </x:c>
      <x:c r="C12629" s="16" t="n">
        <x:v>-224.3500107397</x:v>
      </x:c>
      <x:c r="D12629" s="13" t="str">
        <x:v>Utilities &amp; Energy</x:v>
      </x:c>
      <x:c r="E12629" s="13" t="str">
        <x:v>Utilities</x:v>
      </x:c>
      <x:c r="F12629" s="13" t="str">
        <x:v>Defensives</x:v>
      </x:c>
      <x:c r="G12629" s="13" t="str">
        <x:v>grid_wbaxp5t0.xlsx</x:v>
      </x:c>
    </x:row>
    <x:row r="12630">
      <x:c r="A12630" s="15" t="n">
        <x:v>45748</x:v>
      </x:c>
      <x:c r="B12630" s="13" t="str">
        <x:v>AXIA ENERGIA SA</x:v>
      </x:c>
      <x:c r="C12630" s="16" t="n">
        <x:v>9692.7462470137</x:v>
      </x:c>
      <x:c r="D12630" s="13" t="str">
        <x:v>Utilities &amp; Energy</x:v>
      </x:c>
      <x:c r="E12630" s="13" t="str">
        <x:v>Utilities</x:v>
      </x:c>
      <x:c r="F12630" s="13" t="str">
        <x:v>Defensives</x:v>
      </x:c>
      <x:c r="G12630" s="13" t="str">
        <x:v>grid_wbaxp5t0.xlsx</x:v>
      </x:c>
    </x:row>
    <x:row r="12631">
      <x:c r="A12631" s="15" t="n">
        <x:v>45748</x:v>
      </x:c>
      <x:c r="B12631" s="13" t="str">
        <x:v>AXIA ENERGIA-PR B</x:v>
      </x:c>
      <x:c r="C12631" s="16" t="n">
        <x:v>9692.7462470137</x:v>
      </x:c>
      <x:c r="D12631" s="13" t="str">
        <x:v>Utilities &amp; Energy</x:v>
      </x:c>
      <x:c r="E12631" s="13" t="str">
        <x:v>Utilities</x:v>
      </x:c>
      <x:c r="F12631" s="13" t="str">
        <x:v>Defensives</x:v>
      </x:c>
      <x:c r="G12631" s="13" t="str">
        <x:v>grid_wbaxp5t0.xlsx</x:v>
      </x:c>
    </x:row>
    <x:row r="12632">
      <x:c r="A12632" s="15" t="n">
        <x:v>45748</x:v>
      </x:c>
      <x:c r="B12632" s="13" t="str">
        <x:v>CIA ENERGETICA MINAS GER-PRF</x:v>
      </x:c>
      <x:c r="C12632" s="16" t="n">
        <x:v>3826.3448723288</x:v>
      </x:c>
      <x:c r="D12632" s="13" t="str">
        <x:v>Utilities &amp; Energy</x:v>
      </x:c>
      <x:c r="E12632" s="13" t="str">
        <x:v>Utilities</x:v>
      </x:c>
      <x:c r="F12632" s="13" t="str">
        <x:v>Defensives</x:v>
      </x:c>
      <x:c r="G12632" s="13" t="str">
        <x:v>grid_wbaxp5t0.xlsx</x:v>
      </x:c>
    </x:row>
    <x:row r="12633">
      <x:c r="A12633" s="15" t="n">
        <x:v>45748</x:v>
      </x:c>
      <x:c r="B12633" s="13" t="str">
        <x:v>COMPANHIA PARANAENSE -PREF B</x:v>
      </x:c>
      <x:c r="C12633" s="16" t="n">
        <x:v>2110.7977135342</x:v>
      </x:c>
      <x:c r="D12633" s="13" t="str">
        <x:v>Utilities &amp; Energy</x:v>
      </x:c>
      <x:c r="E12633" s="13" t="str">
        <x:v>Utilities</x:v>
      </x:c>
      <x:c r="F12633" s="13" t="str">
        <x:v>Defensives</x:v>
      </x:c>
      <x:c r="G12633" s="13" t="str">
        <x:v>grid_wbaxp5t0.xlsx</x:v>
      </x:c>
    </x:row>
    <x:row r="12634">
      <x:c r="A12634" s="15" t="n">
        <x:v>45748</x:v>
      </x:c>
      <x:c r="B12634" s="13" t="str">
        <x:v>CPFL ENERGIA SA</x:v>
      </x:c>
      <x:c r="C12634" s="16" t="n">
        <x:v>4457.3980124932</x:v>
      </x:c>
      <x:c r="D12634" s="13" t="str">
        <x:v>Utilities &amp; Energy</x:v>
      </x:c>
      <x:c r="E12634" s="13" t="str">
        <x:v>Utilities</x:v>
      </x:c>
      <x:c r="F12634" s="13" t="str">
        <x:v>Defensives</x:v>
      </x:c>
      <x:c r="G12634" s="13" t="str">
        <x:v>grid_wbaxp5t0.xlsx</x:v>
      </x:c>
    </x:row>
    <x:row r="12635">
      <x:c r="A12635" s="15" t="n">
        <x:v>45748</x:v>
      </x:c>
      <x:c r="B12635" s="13" t="str">
        <x:v>ENERGISA SA-UNITS</x:v>
      </x:c>
      <x:c r="C12635" s="16" t="n">
        <x:v>1679.2732878904</x:v>
      </x:c>
      <x:c r="D12635" s="13" t="str">
        <x:v>Utilities &amp; Energy</x:v>
      </x:c>
      <x:c r="E12635" s="13" t="str">
        <x:v>Utilities</x:v>
      </x:c>
      <x:c r="F12635" s="13" t="str">
        <x:v>Defensives</x:v>
      </x:c>
      <x:c r="G12635" s="13" t="str">
        <x:v>grid_wbaxp5t0.xlsx</x:v>
      </x:c>
    </x:row>
    <x:row r="12636">
      <x:c r="A12636" s="15" t="n">
        <x:v>45748</x:v>
      </x:c>
      <x:c r="B12636" s="13" t="str">
        <x:v>ENEVA SA</x:v>
      </x:c>
      <x:c r="C12636" s="16" t="n">
        <x:v>1815.217408</x:v>
      </x:c>
      <x:c r="D12636" s="13" t="str">
        <x:v>Utilities &amp; Energy</x:v>
      </x:c>
      <x:c r="E12636" s="13" t="str">
        <x:v>Utilities</x:v>
      </x:c>
      <x:c r="F12636" s="13" t="str">
        <x:v>Defensives</x:v>
      </x:c>
      <x:c r="G12636" s="13" t="str">
        <x:v>grid_wbaxp5t0.xlsx</x:v>
      </x:c>
    </x:row>
    <x:row r="12637">
      <x:c r="A12637" s="15" t="n">
        <x:v>45748</x:v>
      </x:c>
      <x:c r="B12637" s="13" t="str">
        <x:v>ENGIE BRASIL ENERGIA SA</x:v>
      </x:c>
      <x:c r="C12637" s="16" t="n">
        <x:v>3094.8610314521</x:v>
      </x:c>
      <x:c r="D12637" s="13" t="str">
        <x:v>Utilities &amp; Energy</x:v>
      </x:c>
      <x:c r="E12637" s="13" t="str">
        <x:v>Utilities</x:v>
      </x:c>
      <x:c r="F12637" s="13" t="str">
        <x:v>Defensives</x:v>
      </x:c>
      <x:c r="G12637" s="13" t="str">
        <x:v>grid_wbaxp5t0.xlsx</x:v>
      </x:c>
    </x:row>
    <x:row r="12638">
      <x:c r="A12638" s="15" t="n">
        <x:v>45748</x:v>
      </x:c>
      <x:c r="B12638" s="13" t="str">
        <x:v>EQUATORIAL SA - ORD</x:v>
      </x:c>
      <x:c r="C12638" s="16" t="n">
        <x:v>3649.9348164384</x:v>
      </x:c>
      <x:c r="D12638" s="13" t="str">
        <x:v>Utilities &amp; Energy</x:v>
      </x:c>
      <x:c r="E12638" s="13" t="str">
        <x:v>Utilities</x:v>
      </x:c>
      <x:c r="F12638" s="13" t="str">
        <x:v>Defensives</x:v>
      </x:c>
      <x:c r="G12638" s="13" t="str">
        <x:v>grid_wbaxp5t0.xlsx</x:v>
      </x:c>
    </x:row>
    <x:row r="12639">
      <x:c r="A12639" s="15" t="n">
        <x:v>45748</x:v>
      </x:c>
      <x:c r="B12639" s="13" t="str">
        <x:v>ISA ENERGIA BRASIL SA</x:v>
      </x:c>
      <x:c r="C12639" s="16" t="n">
        <x:v>1444.0384613699</x:v>
      </x:c>
      <x:c r="D12639" s="13" t="str">
        <x:v>Utilities &amp; Energy</x:v>
      </x:c>
      <x:c r="E12639" s="13" t="str">
        <x:v>Utilities</x:v>
      </x:c>
      <x:c r="F12639" s="13" t="str">
        <x:v>Defensives</x:v>
      </x:c>
      <x:c r="G12639" s="13" t="str">
        <x:v>grid_wbaxp5t0.xlsx</x:v>
      </x:c>
    </x:row>
    <x:row r="12640">
      <x:c r="A12640" s="15" t="n">
        <x:v>45748</x:v>
      </x:c>
      <x:c r="B12640" s="13" t="str">
        <x:v>TRANSMISSORA ALIANCA DE-UNIT</x:v>
      </x:c>
      <x:c r="C12640" s="16" t="n">
        <x:v>1184.9245422466</x:v>
      </x:c>
      <x:c r="D12640" s="13" t="str">
        <x:v>Utilities &amp; Energy</x:v>
      </x:c>
      <x:c r="E12640" s="13" t="str">
        <x:v>Utilities</x:v>
      </x:c>
      <x:c r="F12640" s="13" t="str">
        <x:v>Defensives</x:v>
      </x:c>
      <x:c r="G12640" s="13" t="str">
        <x:v>grid_wbaxp5t0.xlsx</x:v>
      </x:c>
    </x:row>
    <x:row r="12641">
      <x:c r="A12641" s="15" t="n">
        <x:v>45778</x:v>
      </x:c>
      <x:c r="B12641" s="13" t="str">
        <x:v>RAIZEN SA - PREFERENCE</x:v>
      </x:c>
      <x:c r="C12641" s="16" t="n">
        <x:v>1287.2326996164</x:v>
      </x:c>
      <x:c r="D12641" s="13" t="str">
        <x:v>Agribusiness</x:v>
      </x:c>
      <x:c r="E12641" s="13" t="str">
        <x:v>Agri, Food &amp; Beverages</x:v>
      </x:c>
      <x:c r="F12641" s="13" t="str">
        <x:v>Defensives</x:v>
      </x:c>
      <x:c r="G12641" s="13" t="str">
        <x:v>grid_wbaxp5t0.xlsx</x:v>
      </x:c>
    </x:row>
    <x:row r="12642">
      <x:c r="A12642" s="15" t="n">
        <x:v>45778</x:v>
      </x:c>
      <x:c r="B12642" s="13" t="str">
        <x:v>SAO MARTINHO SA</x:v>
      </x:c>
      <x:c r="C12642" s="16" t="n">
        <x:v>923.0342733151</x:v>
      </x:c>
      <x:c r="D12642" s="13" t="str">
        <x:v>Agribusiness</x:v>
      </x:c>
      <x:c r="E12642" s="13" t="str">
        <x:v>Agri, Food &amp; Beverages</x:v>
      </x:c>
      <x:c r="F12642" s="13" t="str">
        <x:v>Defensives</x:v>
      </x:c>
      <x:c r="G12642" s="13" t="str">
        <x:v>grid_wbaxp5t0.xlsx</x:v>
      </x:c>
    </x:row>
    <x:row r="12643">
      <x:c r="A12643" s="15" t="n">
        <x:v>45778</x:v>
      </x:c>
      <x:c r="B12643" s="13" t="str">
        <x:v>SLC AGRICOLA SA</x:v>
      </x:c>
      <x:c r="C12643" s="16" t="n">
        <x:v>868.1083476164</x:v>
      </x:c>
      <x:c r="D12643" s="13" t="str">
        <x:v>Agribusiness</x:v>
      </x:c>
      <x:c r="E12643" s="13" t="str">
        <x:v>Agri, Food &amp; Beverages</x:v>
      </x:c>
      <x:c r="F12643" s="13" t="str">
        <x:v>Defensives</x:v>
      </x:c>
      <x:c r="G12643" s="13" t="str">
        <x:v>grid_wbaxp5t0.xlsx</x:v>
      </x:c>
    </x:row>
    <x:row r="12644">
      <x:c r="A12644" s="15" t="n">
        <x:v>45778</x:v>
      </x:c>
      <x:c r="B12644" s="13" t="str">
        <x:v>BANCO BRADESCO S.A.</x:v>
      </x:c>
      <x:c r="C12644" s="16" t="n">
        <x:v>24737.4910001096</x:v>
      </x:c>
      <x:c r="D12644" s="13" t="str">
        <x:v>Banks</x:v>
      </x:c>
      <x:c r="E12644" s="13" t="str">
        <x:v>Banks</x:v>
      </x:c>
      <x:c r="F12644" s="13" t="str">
        <x:v>Financials</x:v>
      </x:c>
      <x:c r="G12644" s="13" t="str">
        <x:v>grid_wbaxp5t0.xlsx</x:v>
      </x:c>
    </x:row>
    <x:row r="12645">
      <x:c r="A12645" s="15" t="n">
        <x:v>45778</x:v>
      </x:c>
      <x:c r="B12645" s="13" t="str">
        <x:v>BANCO BRADESCO SA-PREF</x:v>
      </x:c>
      <x:c r="C12645" s="16" t="n">
        <x:v>24737.4910001096</x:v>
      </x:c>
      <x:c r="D12645" s="13" t="str">
        <x:v>Banks</x:v>
      </x:c>
      <x:c r="E12645" s="13" t="str">
        <x:v>Banks</x:v>
      </x:c>
      <x:c r="F12645" s="13" t="str">
        <x:v>Financials</x:v>
      </x:c>
      <x:c r="G12645" s="13" t="str">
        <x:v>grid_wbaxp5t0.xlsx</x:v>
      </x:c>
    </x:row>
    <x:row r="12646">
      <x:c r="A12646" s="15" t="n">
        <x:v>45778</x:v>
      </x:c>
      <x:c r="B12646" s="13" t="str">
        <x:v>BANCO BTG PACTUAL SA-UNIT</x:v>
      </x:c>
      <x:c r="C12646" s="16" t="n">
        <x:v>15314.0189913425</x:v>
      </x:c>
      <x:c r="D12646" s="13" t="str">
        <x:v>Banks</x:v>
      </x:c>
      <x:c r="E12646" s="13" t="str">
        <x:v>Banks</x:v>
      </x:c>
      <x:c r="F12646" s="13" t="str">
        <x:v>Financials</x:v>
      </x:c>
      <x:c r="G12646" s="13" t="str">
        <x:v>grid_wbaxp5t0.xlsx</x:v>
      </x:c>
    </x:row>
    <x:row r="12647">
      <x:c r="A12647" s="15" t="n">
        <x:v>45778</x:v>
      </x:c>
      <x:c r="B12647" s="13" t="str">
        <x:v>BANCO DO BRASIL S.A.</x:v>
      </x:c>
      <x:c r="C12647" s="16" t="n">
        <x:v>35902.9184876712</x:v>
      </x:c>
      <x:c r="D12647" s="13" t="str">
        <x:v>Banks</x:v>
      </x:c>
      <x:c r="E12647" s="13" t="str">
        <x:v>Banks</x:v>
      </x:c>
      <x:c r="F12647" s="13" t="str">
        <x:v>Financials</x:v>
      </x:c>
      <x:c r="G12647" s="13" t="str">
        <x:v>grid_wbaxp5t0.xlsx</x:v>
      </x:c>
    </x:row>
    <x:row r="12648">
      <x:c r="A12648" s="15" t="n">
        <x:v>45778</x:v>
      </x:c>
      <x:c r="B12648" s="13" t="str">
        <x:v>BANCO SANTANDER  BRASIL-UNIT</x:v>
      </x:c>
      <x:c r="C12648" s="16" t="n">
        <x:v>16439.4538082192</x:v>
      </x:c>
      <x:c r="D12648" s="13" t="str">
        <x:v>Banks</x:v>
      </x:c>
      <x:c r="E12648" s="13" t="str">
        <x:v>Banks</x:v>
      </x:c>
      <x:c r="F12648" s="13" t="str">
        <x:v>Financials</x:v>
      </x:c>
      <x:c r="G12648" s="13" t="str">
        <x:v>grid_wbaxp5t0.xlsx</x:v>
      </x:c>
    </x:row>
    <x:row r="12649">
      <x:c r="A12649" s="15" t="n">
        <x:v>45778</x:v>
      </x:c>
      <x:c r="B12649" s="13" t="str">
        <x:v>ITAU UNIBANCO HOLDING S-PREF</x:v>
      </x:c>
      <x:c r="C12649" s="16" t="n">
        <x:v>47288.2837532055</x:v>
      </x:c>
      <x:c r="D12649" s="13" t="str">
        <x:v>Banks</x:v>
      </x:c>
      <x:c r="E12649" s="13" t="str">
        <x:v>Banks</x:v>
      </x:c>
      <x:c r="F12649" s="13" t="str">
        <x:v>Financials</x:v>
      </x:c>
      <x:c r="G12649" s="13" t="str">
        <x:v>grid_wbaxp5t0.xlsx</x:v>
      </x:c>
    </x:row>
    <x:row r="12650">
      <x:c r="A12650" s="15" t="n">
        <x:v>45778</x:v>
      </x:c>
      <x:c r="B12650" s="13" t="str">
        <x:v>EMBRAER SA</x:v>
      </x:c>
      <x:c r="C12650" s="16" t="n">
        <x:v>2463.0088170959</x:v>
      </x:c>
      <x:c r="D12650" s="13" t="str">
        <x:v>Capital Goods</x:v>
      </x:c>
      <x:c r="E12650" s="13" t="str">
        <x:v>Capital Goods</x:v>
      </x:c>
      <x:c r="F12650" s="13" t="str">
        <x:v>Deep Cyclicals</x:v>
      </x:c>
      <x:c r="G12650" s="13" t="str">
        <x:v>grid_wbaxp5t0.xlsx</x:v>
      </x:c>
    </x:row>
    <x:row r="12651">
      <x:c r="A12651" s="15" t="n">
        <x:v>45778</x:v>
      </x:c>
      <x:c r="B12651" s="13" t="str">
        <x:v>MARCOPOLO SA-PREF</x:v>
      </x:c>
      <x:c r="C12651" s="16" t="n">
        <x:v>1326.5393236164</x:v>
      </x:c>
      <x:c r="D12651" s="13" t="str">
        <x:v>Capital Goods</x:v>
      </x:c>
      <x:c r="E12651" s="13" t="str">
        <x:v>Capital Goods</x:v>
      </x:c>
      <x:c r="F12651" s="13" t="str">
        <x:v>Deep Cyclicals</x:v>
      </x:c>
      <x:c r="G12651" s="13" t="str">
        <x:v>grid_wbaxp5t0.xlsx</x:v>
      </x:c>
    </x:row>
    <x:row r="12652">
      <x:c r="A12652" s="15" t="n">
        <x:v>45778</x:v>
      </x:c>
      <x:c r="B12652" s="13" t="str">
        <x:v>WEG SA</x:v>
      </x:c>
      <x:c r="C12652" s="16" t="n">
        <x:v>7426.2245067397</x:v>
      </x:c>
      <x:c r="D12652" s="13" t="str">
        <x:v>Capital Goods</x:v>
      </x:c>
      <x:c r="E12652" s="13" t="str">
        <x:v>Capital Goods</x:v>
      </x:c>
      <x:c r="F12652" s="13" t="str">
        <x:v>Deep Cyclicals</x:v>
      </x:c>
      <x:c r="G12652" s="13" t="str">
        <x:v>grid_wbaxp5t0.xlsx</x:v>
      </x:c>
    </x:row>
    <x:row r="12653">
      <x:c r="A12653" s="15" t="n">
        <x:v>45778</x:v>
      </x:c>
      <x:c r="B12653" s="13" t="str">
        <x:v>COGNA EDUCACAO</x:v>
      </x:c>
      <x:c r="C12653" s="16" t="n">
        <x:v>584.4959324932</x:v>
      </x:c>
      <x:c r="D12653" s="13" t="str">
        <x:v>Education</x:v>
      </x:c>
      <x:c r="E12653" s="13" t="str">
        <x:v>Education</x:v>
      </x:c>
      <x:c r="F12653" s="13" t="str">
        <x:v>Early Cyclicals</x:v>
      </x:c>
      <x:c r="G12653" s="13" t="str">
        <x:v>grid_wbaxp5t0.xlsx</x:v>
      </x:c>
    </x:row>
    <x:row r="12654">
      <x:c r="A12654" s="15" t="n">
        <x:v>45778</x:v>
      </x:c>
      <x:c r="B12654" s="13" t="str">
        <x:v>YDUQS PARTICIPACOES SA</x:v>
      </x:c>
      <x:c r="C12654" s="16" t="n">
        <x:v>510.913874411</x:v>
      </x:c>
      <x:c r="D12654" s="13" t="str">
        <x:v>Education</x:v>
      </x:c>
      <x:c r="E12654" s="13" t="str">
        <x:v>Education</x:v>
      </x:c>
      <x:c r="F12654" s="13" t="str">
        <x:v>Early Cyclicals</x:v>
      </x:c>
      <x:c r="G12654" s="13" t="str">
        <x:v>grid_wbaxp5t0.xlsx</x:v>
      </x:c>
    </x:row>
    <x:row r="12655">
      <x:c r="A12655" s="15" t="n">
        <x:v>45778</x:v>
      </x:c>
      <x:c r="B12655" s="13" t="str">
        <x:v>B3 SA-BRASIL BOLSA BALCAO</x:v>
      </x:c>
      <x:c r="C12655" s="16" t="n">
        <x:v>5218.7055202192</x:v>
      </x:c>
      <x:c r="D12655" s="13" t="str">
        <x:v>Financials Non-Banks</x:v>
      </x:c>
      <x:c r="E12655" s="13" t="str">
        <x:v>Financials Non-Banks</x:v>
      </x:c>
      <x:c r="F12655" s="13" t="str">
        <x:v>Financials</x:v>
      </x:c>
      <x:c r="G12655" s="13" t="str">
        <x:v>grid_wbaxp5t0.xlsx</x:v>
      </x:c>
    </x:row>
    <x:row r="12656">
      <x:c r="A12656" s="15" t="n">
        <x:v>45778</x:v>
      </x:c>
      <x:c r="B12656" s="13" t="str">
        <x:v>BB SEGURIDADE PARTICIPACOES</x:v>
      </x:c>
      <x:c r="C12656" s="16" t="n">
        <x:v>9005.9157952877</x:v>
      </x:c>
      <x:c r="D12656" s="13" t="str">
        <x:v>Financials Non-Banks</x:v>
      </x:c>
      <x:c r="E12656" s="13" t="str">
        <x:v>Financials Non-Banks</x:v>
      </x:c>
      <x:c r="F12656" s="13" t="str">
        <x:v>Financials</x:v>
      </x:c>
      <x:c r="G12656" s="13" t="str">
        <x:v>grid_wbaxp5t0.xlsx</x:v>
      </x:c>
    </x:row>
    <x:row r="12657">
      <x:c r="A12657" s="15" t="n">
        <x:v>45778</x:v>
      </x:c>
      <x:c r="B12657" s="13" t="str">
        <x:v>CAIXA SEGURIDADE PARTICIPACO</x:v>
      </x:c>
      <x:c r="C12657" s="16" t="n">
        <x:v>4505.0534014247</x:v>
      </x:c>
      <x:c r="D12657" s="13" t="str">
        <x:v>Financials Non-Banks</x:v>
      </x:c>
      <x:c r="E12657" s="13" t="str">
        <x:v>Financials Non-Banks</x:v>
      </x:c>
      <x:c r="F12657" s="13" t="str">
        <x:v>Financials</x:v>
      </x:c>
      <x:c r="G12657" s="13" t="str">
        <x:v>grid_wbaxp5t0.xlsx</x:v>
      </x:c>
    </x:row>
    <x:row r="12658">
      <x:c r="A12658" s="15" t="n">
        <x:v>45778</x:v>
      </x:c>
      <x:c r="B12658" s="13" t="str">
        <x:v>IRB BRASIL RESSEGUROS SA</x:v>
      </x:c>
      <x:c r="C12658" s="16" t="n">
        <x:v>583.3525900274</x:v>
      </x:c>
      <x:c r="D12658" s="13" t="str">
        <x:v>Financials Non-Banks</x:v>
      </x:c>
      <x:c r="E12658" s="13" t="str">
        <x:v>Financials Non-Banks</x:v>
      </x:c>
      <x:c r="F12658" s="13" t="str">
        <x:v>Financials</x:v>
      </x:c>
      <x:c r="G12658" s="13" t="str">
        <x:v>grid_wbaxp5t0.xlsx</x:v>
      </x:c>
    </x:row>
    <x:row r="12659">
      <x:c r="A12659" s="15" t="n">
        <x:v>45778</x:v>
      </x:c>
      <x:c r="B12659" s="13" t="str">
        <x:v>ITAUSA SA</x:v>
      </x:c>
      <x:c r="C12659" s="16" t="n">
        <x:v>17152.1230763836</x:v>
      </x:c>
      <x:c r="D12659" s="13" t="str">
        <x:v>Financials Non-Banks</x:v>
      </x:c>
      <x:c r="E12659" s="13" t="str">
        <x:v>Financials Non-Banks</x:v>
      </x:c>
      <x:c r="F12659" s="13" t="str">
        <x:v>Financials</x:v>
      </x:c>
      <x:c r="G12659" s="13" t="str">
        <x:v>grid_wbaxp5t0.xlsx</x:v>
      </x:c>
    </x:row>
    <x:row r="12660">
      <x:c r="A12660" s="15" t="n">
        <x:v>45778</x:v>
      </x:c>
      <x:c r="B12660" s="13" t="str">
        <x:v>PORTO SEGURO SA</x:v>
      </x:c>
      <x:c r="C12660" s="16" t="n">
        <x:v>3347.6466393425</x:v>
      </x:c>
      <x:c r="D12660" s="13" t="str">
        <x:v>Financials Non-Banks</x:v>
      </x:c>
      <x:c r="E12660" s="13" t="str">
        <x:v>Financials Non-Banks</x:v>
      </x:c>
      <x:c r="F12660" s="13" t="str">
        <x:v>Financials</x:v>
      </x:c>
      <x:c r="G12660" s="13" t="str">
        <x:v>grid_wbaxp5t0.xlsx</x:v>
      </x:c>
    </x:row>
    <x:row r="12661">
      <x:c r="A12661" s="15" t="n">
        <x:v>45778</x:v>
      </x:c>
      <x:c r="B12661" s="13" t="str">
        <x:v>AMBEV SA</x:v>
      </x:c>
      <x:c r="C12661" s="16" t="n">
        <x:v>15879.7434459178</x:v>
      </x:c>
      <x:c r="D12661" s="13" t="str">
        <x:v>Food &amp; Beverages</x:v>
      </x:c>
      <x:c r="E12661" s="13" t="str">
        <x:v>Agri, Food &amp; Beverages</x:v>
      </x:c>
      <x:c r="F12661" s="13" t="str">
        <x:v>Defensives</x:v>
      </x:c>
      <x:c r="G12661" s="13" t="str">
        <x:v>grid_wbaxp5t0.xlsx</x:v>
      </x:c>
    </x:row>
    <x:row r="12662">
      <x:c r="A12662" s="15" t="n">
        <x:v>45778</x:v>
      </x:c>
      <x:c r="B12662" s="13" t="str">
        <x:v>BRF SA</x:v>
      </x:c>
      <x:c r="C12662" s="16" t="n">
        <x:v>3279.8083647123</x:v>
      </x:c>
      <x:c r="D12662" s="13" t="str">
        <x:v>Food &amp; Beverages</x:v>
      </x:c>
      <x:c r="E12662" s="13" t="str">
        <x:v>Agri, Food &amp; Beverages</x:v>
      </x:c>
      <x:c r="F12662" s="13" t="str">
        <x:v>Defensives</x:v>
      </x:c>
      <x:c r="G12662" s="13" t="str">
        <x:v>grid_wbaxp5t0.xlsx</x:v>
      </x:c>
    </x:row>
    <x:row r="12663">
      <x:c r="A12663" s="15" t="n">
        <x:v>45778</x:v>
      </x:c>
      <x:c r="B12663" s="13" t="str">
        <x:v>MBRF GLOBAL FOODS COMPANY SA</x:v>
      </x:c>
      <x:c r="C12663" s="16" t="n">
        <x:v>-72.9477350137</x:v>
      </x:c>
      <x:c r="D12663" s="13" t="str">
        <x:v>Food &amp; Beverages</x:v>
      </x:c>
      <x:c r="E12663" s="13" t="str">
        <x:v>Agri, Food &amp; Beverages</x:v>
      </x:c>
      <x:c r="F12663" s="13" t="str">
        <x:v>Defensives</x:v>
      </x:c>
      <x:c r="G12663" s="13" t="str">
        <x:v>grid_wbaxp5t0.xlsx</x:v>
      </x:c>
    </x:row>
    <x:row r="12664">
      <x:c r="A12664" s="15" t="n">
        <x:v>45778</x:v>
      </x:c>
      <x:c r="B12664" s="13" t="str">
        <x:v>MINERVA SA</x:v>
      </x:c>
      <x:c r="C12664" s="16" t="n">
        <x:v>584.8164383562</x:v>
      </x:c>
      <x:c r="D12664" s="13" t="str">
        <x:v>Food &amp; Beverages</x:v>
      </x:c>
      <x:c r="E12664" s="13" t="str">
        <x:v>Agri, Food &amp; Beverages</x:v>
      </x:c>
      <x:c r="F12664" s="13" t="str">
        <x:v>Defensives</x:v>
      </x:c>
      <x:c r="G12664" s="13" t="str">
        <x:v>grid_wbaxp5t0.xlsx</x:v>
      </x:c>
    </x:row>
    <x:row r="12665">
      <x:c r="A12665" s="15" t="n">
        <x:v>45778</x:v>
      </x:c>
      <x:c r="B12665" s="13" t="str">
        <x:v>FLEURY SA</x:v>
      </x:c>
      <x:c r="C12665" s="16" t="n">
        <x:v>695.1886570959</x:v>
      </x:c>
      <x:c r="D12665" s="13" t="str">
        <x:v>Health Care</x:v>
      </x:c>
      <x:c r="E12665" s="13" t="str">
        <x:v>Health Care</x:v>
      </x:c>
      <x:c r="F12665" s="13" t="str">
        <x:v>Defensives</x:v>
      </x:c>
      <x:c r="G12665" s="13" t="str">
        <x:v>grid_wbaxp5t0.xlsx</x:v>
      </x:c>
    </x:row>
    <x:row r="12666">
      <x:c r="A12666" s="15" t="n">
        <x:v>45778</x:v>
      </x:c>
      <x:c r="B12666" s="13" t="str">
        <x:v>HAPVIDA PARTICIPACOES E INVE</x:v>
      </x:c>
      <x:c r="C12666" s="16" t="n">
        <x:v>1483.3876655342</x:v>
      </x:c>
      <x:c r="D12666" s="13" t="str">
        <x:v>Health Care</x:v>
      </x:c>
      <x:c r="E12666" s="13" t="str">
        <x:v>Health Care</x:v>
      </x:c>
      <x:c r="F12666" s="13" t="str">
        <x:v>Defensives</x:v>
      </x:c>
      <x:c r="G12666" s="13" t="str">
        <x:v>grid_wbaxp5t0.xlsx</x:v>
      </x:c>
    </x:row>
    <x:row r="12667">
      <x:c r="A12667" s="15" t="n">
        <x:v>45778</x:v>
      </x:c>
      <x:c r="B12667" s="13" t="str">
        <x:v>HYPERA SA</x:v>
      </x:c>
      <x:c r="C12667" s="16" t="n">
        <x:v>1532.5616306849</x:v>
      </x:c>
      <x:c r="D12667" s="13" t="str">
        <x:v>Health Care</x:v>
      </x:c>
      <x:c r="E12667" s="13" t="str">
        <x:v>Health Care</x:v>
      </x:c>
      <x:c r="F12667" s="13" t="str">
        <x:v>Defensives</x:v>
      </x:c>
      <x:c r="G12667" s="13" t="str">
        <x:v>grid_wbaxp5t0.xlsx</x:v>
      </x:c>
    </x:row>
    <x:row r="12668">
      <x:c r="A12668" s="15" t="n">
        <x:v>45778</x:v>
      </x:c>
      <x:c r="B12668" s="13" t="str">
        <x:v>REDE D'OR SAO LUIZ SA</x:v>
      </x:c>
      <x:c r="C12668" s="16" t="n">
        <x:v>4711.2725672329</x:v>
      </x:c>
      <x:c r="D12668" s="13" t="str">
        <x:v>Health Care</x:v>
      </x:c>
      <x:c r="E12668" s="13" t="str">
        <x:v>Health Care</x:v>
      </x:c>
      <x:c r="F12668" s="13" t="str">
        <x:v>Defensives</x:v>
      </x:c>
      <x:c r="G12668" s="13" t="str">
        <x:v>grid_wbaxp5t0.xlsx</x:v>
      </x:c>
    </x:row>
    <x:row r="12669">
      <x:c r="A12669" s="15" t="n">
        <x:v>45778</x:v>
      </x:c>
      <x:c r="B12669" s="13" t="str">
        <x:v>CYRELA BRAZIL REALTY SA EMP</x:v>
      </x:c>
      <x:c r="C12669" s="16" t="n">
        <x:v>1879.4807899178</x:v>
      </x:c>
      <x:c r="D12669" s="13" t="str">
        <x:v>Homebuilders</x:v>
      </x:c>
      <x:c r="E12669" s="13" t="str">
        <x:v>Real Estate</x:v>
      </x:c>
      <x:c r="F12669" s="13" t="str">
        <x:v>Early Cyclicals</x:v>
      </x:c>
      <x:c r="G12669" s="13" t="str">
        <x:v>grid_wbaxp5t0.xlsx</x:v>
      </x:c>
    </x:row>
    <x:row r="12670">
      <x:c r="A12670" s="15" t="n">
        <x:v>45778</x:v>
      </x:c>
      <x:c r="B12670" s="13" t="str">
        <x:v>DIRECIONAL ENGENHARIA SA</x:v>
      </x:c>
      <x:c r="C12670" s="16" t="n">
        <x:v>848.9812041644</x:v>
      </x:c>
      <x:c r="D12670" s="13" t="str">
        <x:v>Homebuilders</x:v>
      </x:c>
      <x:c r="E12670" s="13" t="str">
        <x:v>Real Estate</x:v>
      </x:c>
      <x:c r="F12670" s="13" t="str">
        <x:v>Early Cyclicals</x:v>
      </x:c>
      <x:c r="G12670" s="13" t="str">
        <x:v>grid_wbaxp5t0.xlsx</x:v>
      </x:c>
    </x:row>
    <x:row r="12671">
      <x:c r="A12671" s="15" t="n">
        <x:v>45778</x:v>
      </x:c>
      <x:c r="B12671" s="13" t="str">
        <x:v>MRV ENGENHARIA</x:v>
      </x:c>
      <x:c r="C12671" s="16" t="n">
        <x:v>551.3527430137</x:v>
      </x:c>
      <x:c r="D12671" s="13" t="str">
        <x:v>Homebuilders</x:v>
      </x:c>
      <x:c r="E12671" s="13" t="str">
        <x:v>Real Estate</x:v>
      </x:c>
      <x:c r="F12671" s="13" t="str">
        <x:v>Early Cyclicals</x:v>
      </x:c>
      <x:c r="G12671" s="13" t="str">
        <x:v>grid_wbaxp5t0.xlsx</x:v>
      </x:c>
    </x:row>
    <x:row r="12672">
      <x:c r="A12672" s="15" t="n">
        <x:v>45778</x:v>
      </x:c>
      <x:c r="B12672" s="13" t="str">
        <x:v>ALLOS SA</x:v>
      </x:c>
      <x:c r="C12672" s="16" t="n">
        <x:v>807.8932909589</x:v>
      </x:c>
      <x:c r="D12672" s="13" t="str">
        <x:v>Income Properties</x:v>
      </x:c>
      <x:c r="E12672" s="13" t="str">
        <x:v>Real Estate</x:v>
      </x:c>
      <x:c r="F12672" s="13" t="str">
        <x:v>Early Cyclicals</x:v>
      </x:c>
      <x:c r="G12672" s="13" t="str">
        <x:v>grid_wbaxp5t0.xlsx</x:v>
      </x:c>
    </x:row>
    <x:row r="12673">
      <x:c r="A12673" s="15" t="n">
        <x:v>45778</x:v>
      </x:c>
      <x:c r="B12673" s="13" t="str">
        <x:v>IGUATEMI SA - UNITS</x:v>
      </x:c>
      <x:c r="C12673" s="16" t="n">
        <x:v>541.2112753973</x:v>
      </x:c>
      <x:c r="D12673" s="13" t="str">
        <x:v>Income Properties</x:v>
      </x:c>
      <x:c r="E12673" s="13" t="str">
        <x:v>Real Estate</x:v>
      </x:c>
      <x:c r="F12673" s="13" t="str">
        <x:v>Early Cyclicals</x:v>
      </x:c>
      <x:c r="G12673" s="13" t="str">
        <x:v>grid_wbaxp5t0.xlsx</x:v>
      </x:c>
    </x:row>
    <x:row r="12674">
      <x:c r="A12674" s="15" t="n">
        <x:v>45778</x:v>
      </x:c>
      <x:c r="B12674" s="13" t="str">
        <x:v>MULTIPLAN EMPREENDIMENTOS</x:v>
      </x:c>
      <x:c r="C12674" s="16" t="n">
        <x:v>1043.1376675068</x:v>
      </x:c>
      <x:c r="D12674" s="13" t="str">
        <x:v>Income Properties</x:v>
      </x:c>
      <x:c r="E12674" s="13" t="str">
        <x:v>Real Estate</x:v>
      </x:c>
      <x:c r="F12674" s="13" t="str">
        <x:v>Early Cyclicals</x:v>
      </x:c>
      <x:c r="G12674" s="13" t="str">
        <x:v>grid_wbaxp5t0.xlsx</x:v>
      </x:c>
    </x:row>
    <x:row r="12675">
      <x:c r="A12675" s="15" t="n">
        <x:v>45778</x:v>
      </x:c>
      <x:c r="B12675" s="13" t="str">
        <x:v>BRADESPAR SA -PREF</x:v>
      </x:c>
      <x:c r="C12675" s="16" t="n">
        <x:v>1514.7191723836</x:v>
      </x:c>
      <x:c r="D12675" s="13" t="str">
        <x:v>Metals &amp; Mining</x:v>
      </x:c>
      <x:c r="E12675" s="13" t="str">
        <x:v>Metals &amp; Mining</x:v>
      </x:c>
      <x:c r="F12675" s="13" t="str">
        <x:v>Deep Cyclicals</x:v>
      </x:c>
      <x:c r="G12675" s="13" t="str">
        <x:v>grid_wbaxp5t0.xlsx</x:v>
      </x:c>
    </x:row>
    <x:row r="12676">
      <x:c r="A12676" s="15" t="n">
        <x:v>45778</x:v>
      </x:c>
      <x:c r="B12676" s="13" t="str">
        <x:v>CIA SIDERURGICA NACIONAL SA</x:v>
      </x:c>
      <x:c r="C12676" s="16" t="n">
        <x:v>85.5592061644</x:v>
      </x:c>
      <x:c r="D12676" s="13" t="str">
        <x:v>Metals &amp; Mining</x:v>
      </x:c>
      <x:c r="E12676" s="13" t="str">
        <x:v>Metals &amp; Mining</x:v>
      </x:c>
      <x:c r="F12676" s="13" t="str">
        <x:v>Deep Cyclicals</x:v>
      </x:c>
      <x:c r="G12676" s="13" t="str">
        <x:v>grid_wbaxp5t0.xlsx</x:v>
      </x:c>
    </x:row>
    <x:row r="12677">
      <x:c r="A12677" s="15" t="n">
        <x:v>45778</x:v>
      </x:c>
      <x:c r="B12677" s="13" t="str">
        <x:v>CSN MINERACAO SA</x:v>
      </x:c>
      <x:c r="C12677" s="16" t="n">
        <x:v>1692.1589163836</x:v>
      </x:c>
      <x:c r="D12677" s="13" t="str">
        <x:v>Metals &amp; Mining</x:v>
      </x:c>
      <x:c r="E12677" s="13" t="str">
        <x:v>Metals &amp; Mining</x:v>
      </x:c>
      <x:c r="F12677" s="13" t="str">
        <x:v>Deep Cyclicals</x:v>
      </x:c>
      <x:c r="G12677" s="13" t="str">
        <x:v>grid_wbaxp5t0.xlsx</x:v>
      </x:c>
    </x:row>
    <x:row r="12678">
      <x:c r="A12678" s="15" t="n">
        <x:v>45778</x:v>
      </x:c>
      <x:c r="B12678" s="13" t="str">
        <x:v>GERDAU SA-PREF</x:v>
      </x:c>
      <x:c r="C12678" s="16" t="n">
        <x:v>4260.7812208219</x:v>
      </x:c>
      <x:c r="D12678" s="13" t="str">
        <x:v>Metals &amp; Mining</x:v>
      </x:c>
      <x:c r="E12678" s="13" t="str">
        <x:v>Metals &amp; Mining</x:v>
      </x:c>
      <x:c r="F12678" s="13" t="str">
        <x:v>Deep Cyclicals</x:v>
      </x:c>
      <x:c r="G12678" s="13" t="str">
        <x:v>grid_wbaxp5t0.xlsx</x:v>
      </x:c>
    </x:row>
    <x:row r="12679">
      <x:c r="A12679" s="15" t="n">
        <x:v>45778</x:v>
      </x:c>
      <x:c r="B12679" s="13" t="str">
        <x:v>METALURGICA GERDAU SA-PREF</x:v>
      </x:c>
      <x:c r="C12679" s="16" t="n">
        <x:v>1363.876723726</x:v>
      </x:c>
      <x:c r="D12679" s="13" t="str">
        <x:v>Metals &amp; Mining</x:v>
      </x:c>
      <x:c r="E12679" s="13" t="str">
        <x:v>Metals &amp; Mining</x:v>
      </x:c>
      <x:c r="F12679" s="13" t="str">
        <x:v>Deep Cyclicals</x:v>
      </x:c>
      <x:c r="G12679" s="13" t="str">
        <x:v>grid_wbaxp5t0.xlsx</x:v>
      </x:c>
    </x:row>
    <x:row r="12680">
      <x:c r="A12680" s="15" t="n">
        <x:v>45778</x:v>
      </x:c>
      <x:c r="B12680" s="13" t="str">
        <x:v>USINAS SIDER MINAS GER-PF A</x:v>
      </x:c>
      <x:c r="C12680" s="16" t="n">
        <x:v>900.5729814795</x:v>
      </x:c>
      <x:c r="D12680" s="13" t="str">
        <x:v>Metals &amp; Mining</x:v>
      </x:c>
      <x:c r="E12680" s="13" t="str">
        <x:v>Metals &amp; Mining</x:v>
      </x:c>
      <x:c r="F12680" s="13" t="str">
        <x:v>Deep Cyclicals</x:v>
      </x:c>
      <x:c r="G12680" s="13" t="str">
        <x:v>grid_wbaxp5t0.xlsx</x:v>
      </x:c>
    </x:row>
    <x:row r="12681">
      <x:c r="A12681" s="15" t="n">
        <x:v>45778</x:v>
      </x:c>
      <x:c r="B12681" s="13" t="str">
        <x:v>VALE SA</x:v>
      </x:c>
      <x:c r="C12681" s="16" t="n">
        <x:v>43619.6762161096</x:v>
      </x:c>
      <x:c r="D12681" s="13" t="str">
        <x:v>Metals &amp; Mining</x:v>
      </x:c>
      <x:c r="E12681" s="13" t="str">
        <x:v>Metals &amp; Mining</x:v>
      </x:c>
      <x:c r="F12681" s="13" t="str">
        <x:v>Deep Cyclicals</x:v>
      </x:c>
      <x:c r="G12681" s="13" t="str">
        <x:v>grid_wbaxp5t0.xlsx</x:v>
      </x:c>
    </x:row>
    <x:row r="12682">
      <x:c r="A12682" s="15" t="n">
        <x:v>45778</x:v>
      </x:c>
      <x:c r="B12682" s="13" t="str">
        <x:v>BRASKEM SA-PREF A</x:v>
      </x:c>
      <x:c r="C12682" s="16" t="n">
        <x:v>-954.9268743014</x:v>
      </x:c>
      <x:c r="D12682" s="13" t="str">
        <x:v>Oil, Gas &amp; Petrochemicals</x:v>
      </x:c>
      <x:c r="E12682" s="13" t="str">
        <x:v>Oil, Gas &amp; Petrochemicals</x:v>
      </x:c>
      <x:c r="F12682" s="13" t="str">
        <x:v>Deep Cyclicals</x:v>
      </x:c>
      <x:c r="G12682" s="13" t="str">
        <x:v>grid_wbaxp5t0.xlsx</x:v>
      </x:c>
    </x:row>
    <x:row r="12683">
      <x:c r="A12683" s="15" t="n">
        <x:v>45778</x:v>
      </x:c>
      <x:c r="B12683" s="13" t="str">
        <x:v>BRAVA ENERGIA</x:v>
      </x:c>
      <x:c r="C12683" s="16" t="n">
        <x:v>2003.6497043288</x:v>
      </x:c>
      <x:c r="D12683" s="13" t="str">
        <x:v>Oil, Gas &amp; Petrochemicals</x:v>
      </x:c>
      <x:c r="E12683" s="13" t="str">
        <x:v>Oil, Gas &amp; Petrochemicals</x:v>
      </x:c>
      <x:c r="F12683" s="13" t="str">
        <x:v>Deep Cyclicals</x:v>
      </x:c>
      <x:c r="G12683" s="13" t="str">
        <x:v>grid_wbaxp5t0.xlsx</x:v>
      </x:c>
    </x:row>
    <x:row r="12684">
      <x:c r="A12684" s="15" t="n">
        <x:v>45778</x:v>
      </x:c>
      <x:c r="B12684" s="13" t="str">
        <x:v>COSAN SA</x:v>
      </x:c>
      <x:c r="C12684" s="16" t="n">
        <x:v>2391.9452580822</x:v>
      </x:c>
      <x:c r="D12684" s="13" t="str">
        <x:v>Oil, Gas &amp; Petrochemicals</x:v>
      </x:c>
      <x:c r="E12684" s="13" t="str">
        <x:v>Oil, Gas &amp; Petrochemicals</x:v>
      </x:c>
      <x:c r="F12684" s="13" t="str">
        <x:v>Deep Cyclicals</x:v>
      </x:c>
      <x:c r="G12684" s="13" t="str">
        <x:v>grid_wbaxp5t0.xlsx</x:v>
      </x:c>
    </x:row>
    <x:row r="12685">
      <x:c r="A12685" s="15" t="n">
        <x:v>45778</x:v>
      </x:c>
      <x:c r="B12685" s="13" t="str">
        <x:v>PETROBRAS - PETROLEO BRAS</x:v>
      </x:c>
      <x:c r="C12685" s="16" t="n">
        <x:v>93733.7573768767</x:v>
      </x:c>
      <x:c r="D12685" s="13" t="str">
        <x:v>Oil, Gas &amp; Petrochemicals</x:v>
      </x:c>
      <x:c r="E12685" s="13" t="str">
        <x:v>Oil, Gas &amp; Petrochemicals</x:v>
      </x:c>
      <x:c r="F12685" s="13" t="str">
        <x:v>Deep Cyclicals</x:v>
      </x:c>
      <x:c r="G12685" s="13" t="str">
        <x:v>grid_wbaxp5t0.xlsx</x:v>
      </x:c>
    </x:row>
    <x:row r="12686">
      <x:c r="A12686" s="15" t="n">
        <x:v>45778</x:v>
      </x:c>
      <x:c r="B12686" s="13" t="str">
        <x:v>PETRORECONCAVO SA</x:v>
      </x:c>
      <x:c r="C12686" s="16" t="n">
        <x:v>763.0470873425</x:v>
      </x:c>
      <x:c r="D12686" s="13" t="str">
        <x:v>Oil, Gas &amp; Petrochemicals</x:v>
      </x:c>
      <x:c r="E12686" s="13" t="str">
        <x:v>Oil, Gas &amp; Petrochemicals</x:v>
      </x:c>
      <x:c r="F12686" s="13" t="str">
        <x:v>Deep Cyclicals</x:v>
      </x:c>
      <x:c r="G12686" s="13" t="str">
        <x:v>grid_wbaxp5t0.xlsx</x:v>
      </x:c>
    </x:row>
    <x:row r="12687">
      <x:c r="A12687" s="15" t="n">
        <x:v>45778</x:v>
      </x:c>
      <x:c r="B12687" s="13" t="str">
        <x:v>PRIO SA</x:v>
      </x:c>
      <x:c r="C12687" s="16" t="n">
        <x:v>4789.5121709589</x:v>
      </x:c>
      <x:c r="D12687" s="13" t="str">
        <x:v>Oil, Gas &amp; Petrochemicals</x:v>
      </x:c>
      <x:c r="E12687" s="13" t="str">
        <x:v>Oil, Gas &amp; Petrochemicals</x:v>
      </x:c>
      <x:c r="F12687" s="13" t="str">
        <x:v>Deep Cyclicals</x:v>
      </x:c>
      <x:c r="G12687" s="13" t="str">
        <x:v>grid_wbaxp5t0.xlsx</x:v>
      </x:c>
    </x:row>
    <x:row r="12688">
      <x:c r="A12688" s="15" t="n">
        <x:v>45778</x:v>
      </x:c>
      <x:c r="B12688" s="13" t="str">
        <x:v>ULTRAPAR PARTICIPACOES SA</x:v>
      </x:c>
      <x:c r="C12688" s="16" t="n">
        <x:v>1915.8947121096</x:v>
      </x:c>
      <x:c r="D12688" s="13" t="str">
        <x:v>Oil, Gas &amp; Petrochemicals</x:v>
      </x:c>
      <x:c r="E12688" s="13" t="str">
        <x:v>Oil, Gas &amp; Petrochemicals</x:v>
      </x:c>
      <x:c r="F12688" s="13" t="str">
        <x:v>Deep Cyclicals</x:v>
      </x:c>
      <x:c r="G12688" s="13" t="str">
        <x:v>grid_wbaxp5t0.xlsx</x:v>
      </x:c>
    </x:row>
    <x:row r="12689">
      <x:c r="A12689" s="15" t="n">
        <x:v>45778</x:v>
      </x:c>
      <x:c r="B12689" s="13" t="str">
        <x:v>VIBRA ENERGIA SA</x:v>
      </x:c>
      <x:c r="C12689" s="16" t="n">
        <x:v>2342.5139726027</x:v>
      </x:c>
      <x:c r="D12689" s="13" t="str">
        <x:v>Oil, Gas &amp; Petrochemicals</x:v>
      </x:c>
      <x:c r="E12689" s="13" t="str">
        <x:v>Oil, Gas &amp; Petrochemicals</x:v>
      </x:c>
      <x:c r="F12689" s="13" t="str">
        <x:v>Deep Cyclicals</x:v>
      </x:c>
      <x:c r="G12689" s="13" t="str">
        <x:v>grid_wbaxp5t0.xlsx</x:v>
      </x:c>
    </x:row>
    <x:row r="12690">
      <x:c r="A12690" s="15" t="n">
        <x:v>45778</x:v>
      </x:c>
      <x:c r="B12690" s="13" t="str">
        <x:v>KLABIN SA - UNIT</x:v>
      </x:c>
      <x:c r="C12690" s="16" t="n">
        <x:v>1999.9243853151</x:v>
      </x:c>
      <x:c r="D12690" s="13" t="str">
        <x:v>Pulp &amp; Paper</x:v>
      </x:c>
      <x:c r="E12690" s="13" t="str">
        <x:v>Pulp &amp; Paper</x:v>
      </x:c>
      <x:c r="F12690" s="13" t="str">
        <x:v>Deep Cyclicals</x:v>
      </x:c>
      <x:c r="G12690" s="13" t="str">
        <x:v>grid_wbaxp5t0.xlsx</x:v>
      </x:c>
    </x:row>
    <x:row r="12691">
      <x:c r="A12691" s="15" t="n">
        <x:v>45778</x:v>
      </x:c>
      <x:c r="B12691" s="13" t="str">
        <x:v>SUZANO SA</x:v>
      </x:c>
      <x:c r="C12691" s="16" t="n">
        <x:v>11065.9793008219</x:v>
      </x:c>
      <x:c r="D12691" s="13" t="str">
        <x:v>Pulp &amp; Paper</x:v>
      </x:c>
      <x:c r="E12691" s="13" t="str">
        <x:v>Pulp &amp; Paper</x:v>
      </x:c>
      <x:c r="F12691" s="13" t="str">
        <x:v>Deep Cyclicals</x:v>
      </x:c>
      <x:c r="G12691" s="13" t="str">
        <x:v>grid_wbaxp5t0.xlsx</x:v>
      </x:c>
    </x:row>
    <x:row r="12692">
      <x:c r="A12692" s="15" t="n">
        <x:v>45778</x:v>
      </x:c>
      <x:c r="B12692" s="13" t="str">
        <x:v>AZZAS 2154 SA</x:v>
      </x:c>
      <x:c r="C12692" s="16" t="n">
        <x:v>799.8849315068</x:v>
      </x:c>
      <x:c r="D12692" s="13" t="str">
        <x:v>Retail</x:v>
      </x:c>
      <x:c r="E12692" s="13" t="str">
        <x:v>Retail</x:v>
      </x:c>
      <x:c r="F12692" s="13" t="str">
        <x:v>Early Cyclicals</x:v>
      </x:c>
      <x:c r="G12692" s="13" t="str">
        <x:v>grid_wbaxp5t0.xlsx</x:v>
      </x:c>
    </x:row>
    <x:row r="12693">
      <x:c r="A12693" s="15" t="n">
        <x:v>45778</x:v>
      </x:c>
      <x:c r="B12693" s="13" t="str">
        <x:v>CIA BRASILEIRA DE DISTRIBUIC</x:v>
      </x:c>
      <x:c r="C12693" s="16" t="n">
        <x:v>-444.1494435068</x:v>
      </x:c>
      <x:c r="D12693" s="13" t="str">
        <x:v>Retail</x:v>
      </x:c>
      <x:c r="E12693" s="13" t="str">
        <x:v>Retail</x:v>
      </x:c>
      <x:c r="F12693" s="13" t="str">
        <x:v>Early Cyclicals</x:v>
      </x:c>
      <x:c r="G12693" s="13" t="str">
        <x:v>grid_wbaxp5t0.xlsx</x:v>
      </x:c>
    </x:row>
    <x:row r="12694">
      <x:c r="A12694" s="15" t="n">
        <x:v>45778</x:v>
      </x:c>
      <x:c r="B12694" s="13" t="str">
        <x:v>CVC BRASIL OPERADORA E AGENC</x:v>
      </x:c>
      <x:c r="C12694" s="16" t="n">
        <x:v>-17.2280821918</x:v>
      </x:c>
      <x:c r="D12694" s="13" t="str">
        <x:v>Retail</x:v>
      </x:c>
      <x:c r="E12694" s="13" t="str">
        <x:v>Retail</x:v>
      </x:c>
      <x:c r="F12694" s="13" t="str">
        <x:v>Early Cyclicals</x:v>
      </x:c>
      <x:c r="G12694" s="13" t="str">
        <x:v>grid_wbaxp5t0.xlsx</x:v>
      </x:c>
    </x:row>
    <x:row r="12695">
      <x:c r="A12695" s="15" t="n">
        <x:v>45778</x:v>
      </x:c>
      <x:c r="B12695" s="13" t="str">
        <x:v>LOJAS RENNER S.A.</x:v>
      </x:c>
      <x:c r="C12695" s="16" t="n">
        <x:v>1507.2065367671</x:v>
      </x:c>
      <x:c r="D12695" s="13" t="str">
        <x:v>Retail</x:v>
      </x:c>
      <x:c r="E12695" s="13" t="str">
        <x:v>Retail</x:v>
      </x:c>
      <x:c r="F12695" s="13" t="str">
        <x:v>Early Cyclicals</x:v>
      </x:c>
      <x:c r="G12695" s="13" t="str">
        <x:v>grid_wbaxp5t0.xlsx</x:v>
      </x:c>
    </x:row>
    <x:row r="12696">
      <x:c r="A12696" s="15" t="n">
        <x:v>45778</x:v>
      </x:c>
      <x:c r="B12696" s="13" t="str">
        <x:v>MAGAZINE LUIZA SA</x:v>
      </x:c>
      <x:c r="C12696" s="16" t="n">
        <x:v>382.4621733699</x:v>
      </x:c>
      <x:c r="D12696" s="13" t="str">
        <x:v>Retail</x:v>
      </x:c>
      <x:c r="E12696" s="13" t="str">
        <x:v>Retail</x:v>
      </x:c>
      <x:c r="F12696" s="13" t="str">
        <x:v>Early Cyclicals</x:v>
      </x:c>
      <x:c r="G12696" s="13" t="str">
        <x:v>grid_wbaxp5t0.xlsx</x:v>
      </x:c>
    </x:row>
    <x:row r="12697">
      <x:c r="A12697" s="15" t="n">
        <x:v>45778</x:v>
      </x:c>
      <x:c r="B12697" s="13" t="str">
        <x:v>NATURA &amp;CO HOLDING SA</x:v>
      </x:c>
      <x:c r="C12697" s="16" t="n">
        <x:v>1007.5953551781</x:v>
      </x:c>
      <x:c r="D12697" s="13" t="str">
        <x:v>Retail</x:v>
      </x:c>
      <x:c r="E12697" s="13" t="str">
        <x:v>Retail</x:v>
      </x:c>
      <x:c r="F12697" s="13" t="str">
        <x:v>Early Cyclicals</x:v>
      </x:c>
      <x:c r="G12697" s="13" t="str">
        <x:v>grid_wbaxp5t0.xlsx</x:v>
      </x:c>
    </x:row>
    <x:row r="12698">
      <x:c r="A12698" s="15" t="n">
        <x:v>45778</x:v>
      </x:c>
      <x:c r="B12698" s="13" t="str">
        <x:v>PET CENTER COMERCIO E PARTIC</x:v>
      </x:c>
      <x:c r="C12698" s="16" t="n">
        <x:v>86.1359589041</x:v>
      </x:c>
      <x:c r="D12698" s="13" t="str">
        <x:v>Retail</x:v>
      </x:c>
      <x:c r="E12698" s="13" t="str">
        <x:v>Retail</x:v>
      </x:c>
      <x:c r="F12698" s="13" t="str">
        <x:v>Early Cyclicals</x:v>
      </x:c>
      <x:c r="G12698" s="13" t="str">
        <x:v>grid_wbaxp5t0.xlsx</x:v>
      </x:c>
    </x:row>
    <x:row r="12699">
      <x:c r="A12699" s="15" t="n">
        <x:v>45778</x:v>
      </x:c>
      <x:c r="B12699" s="13" t="str">
        <x:v>RAIA DROGASIL SA</x:v>
      </x:c>
      <x:c r="C12699" s="16" t="n">
        <x:v>1252.2748019726</x:v>
      </x:c>
      <x:c r="D12699" s="13" t="str">
        <x:v>Retail</x:v>
      </x:c>
      <x:c r="E12699" s="13" t="str">
        <x:v>Retail</x:v>
      </x:c>
      <x:c r="F12699" s="13" t="str">
        <x:v>Early Cyclicals</x:v>
      </x:c>
      <x:c r="G12699" s="13" t="str">
        <x:v>grid_wbaxp5t0.xlsx</x:v>
      </x:c>
    </x:row>
    <x:row r="12700">
      <x:c r="A12700" s="15" t="n">
        <x:v>45778</x:v>
      </x:c>
      <x:c r="B12700" s="13" t="str">
        <x:v>SENDAS DISTRIBUIDORA SA</x:v>
      </x:c>
      <x:c r="C12700" s="16" t="n">
        <x:v>938.5053203288</x:v>
      </x:c>
      <x:c r="D12700" s="13" t="str">
        <x:v>Retail</x:v>
      </x:c>
      <x:c r="E12700" s="13" t="str">
        <x:v>Retail</x:v>
      </x:c>
      <x:c r="F12700" s="13" t="str">
        <x:v>Early Cyclicals</x:v>
      </x:c>
      <x:c r="G12700" s="13" t="str">
        <x:v>grid_wbaxp5t0.xlsx</x:v>
      </x:c>
    </x:row>
    <x:row r="12701">
      <x:c r="A12701" s="15" t="n">
        <x:v>45778</x:v>
      </x:c>
      <x:c r="B12701" s="13" t="str">
        <x:v>SMARTFIT - ORDINARY</x:v>
      </x:c>
      <x:c r="C12701" s="16" t="n">
        <x:v>803.974963726</x:v>
      </x:c>
      <x:c r="D12701" s="13" t="str">
        <x:v>Retail</x:v>
      </x:c>
      <x:c r="E12701" s="13" t="str">
        <x:v>Retail</x:v>
      </x:c>
      <x:c r="F12701" s="13" t="str">
        <x:v>Early Cyclicals</x:v>
      </x:c>
      <x:c r="G12701" s="13" t="str">
        <x:v>grid_wbaxp5t0.xlsx</x:v>
      </x:c>
    </x:row>
    <x:row r="12702">
      <x:c r="A12702" s="15" t="n">
        <x:v>45778</x:v>
      </x:c>
      <x:c r="B12702" s="13" t="str">
        <x:v>VIVARA PARTICIPACOES SA</x:v>
      </x:c>
      <x:c r="C12702" s="16" t="n">
        <x:v>633.665977863</x:v>
      </x:c>
      <x:c r="D12702" s="13" t="str">
        <x:v>Retail</x:v>
      </x:c>
      <x:c r="E12702" s="13" t="str">
        <x:v>Retail</x:v>
      </x:c>
      <x:c r="F12702" s="13" t="str">
        <x:v>Early Cyclicals</x:v>
      </x:c>
      <x:c r="G12702" s="13" t="str">
        <x:v>grid_wbaxp5t0.xlsx</x:v>
      </x:c>
    </x:row>
    <x:row r="12703">
      <x:c r="A12703" s="15" t="n">
        <x:v>45778</x:v>
      </x:c>
      <x:c r="B12703" s="13" t="str">
        <x:v>CIA SANEAMENTO BASICO DE SP</x:v>
      </x:c>
      <x:c r="C12703" s="16" t="n">
        <x:v>5533.2163892603</x:v>
      </x:c>
      <x:c r="D12703" s="13" t="str">
        <x:v>Sanitation</x:v>
      </x:c>
      <x:c r="E12703" s="13" t="str">
        <x:v>Utilities</x:v>
      </x:c>
      <x:c r="F12703" s="13" t="str">
        <x:v>Defensives</x:v>
      </x:c>
      <x:c r="G12703" s="13" t="str">
        <x:v>grid_wbaxp5t0.xlsx</x:v>
      </x:c>
    </x:row>
    <x:row r="12704">
      <x:c r="A12704" s="15" t="n">
        <x:v>45778</x:v>
      </x:c>
      <x:c r="B12704" s="13" t="str">
        <x:v>TIM SA</x:v>
      </x:c>
      <x:c r="C12704" s="16" t="n">
        <x:v>4105.6891125479</x:v>
      </x:c>
      <x:c r="D12704" s="13" t="str">
        <x:v>TMT</x:v>
      </x:c>
      <x:c r="E12704" s="13" t="str">
        <x:v>TMT</x:v>
      </x:c>
      <x:c r="F12704" s="13" t="str">
        <x:v>Early Cyclicals</x:v>
      </x:c>
      <x:c r="G12704" s="13" t="str">
        <x:v>grid_wbaxp5t0.xlsx</x:v>
      </x:c>
    </x:row>
    <x:row r="12705">
      <x:c r="A12705" s="15" t="n">
        <x:v>45778</x:v>
      </x:c>
      <x:c r="B12705" s="13" t="str">
        <x:v>TOTVS SA</x:v>
      </x:c>
      <x:c r="C12705" s="16" t="n">
        <x:v>992.995910137</x:v>
      </x:c>
      <x:c r="D12705" s="13" t="str">
        <x:v>TMT</x:v>
      </x:c>
      <x:c r="E12705" s="13" t="str">
        <x:v>TMT</x:v>
      </x:c>
      <x:c r="F12705" s="13" t="str">
        <x:v>Early Cyclicals</x:v>
      </x:c>
      <x:c r="G12705" s="13" t="str">
        <x:v>grid_wbaxp5t0.xlsx</x:v>
      </x:c>
    </x:row>
    <x:row r="12706">
      <x:c r="A12706" s="15" t="n">
        <x:v>45778</x:v>
      </x:c>
      <x:c r="B12706" s="13" t="str">
        <x:v>LOCALIZA RENT A CAR</x:v>
      </x:c>
      <x:c r="C12706" s="16" t="n">
        <x:v>3832.7862601644</x:v>
      </x:c>
      <x:c r="D12706" s="13" t="str">
        <x:v>Transportation</x:v>
      </x:c>
      <x:c r="E12706" s="13" t="str">
        <x:v>Transportation</x:v>
      </x:c>
      <x:c r="F12706" s="13" t="str">
        <x:v>Deep Cyclicals</x:v>
      </x:c>
      <x:c r="G12706" s="13" t="str">
        <x:v>grid_wbaxp5t0.xlsx</x:v>
      </x:c>
    </x:row>
    <x:row r="12707">
      <x:c r="A12707" s="15" t="n">
        <x:v>45778</x:v>
      </x:c>
      <x:c r="B12707" s="13" t="str">
        <x:v>MOTIVA INFRAESTRUTURA DE MOB</x:v>
      </x:c>
      <x:c r="C12707" s="16" t="n">
        <x:v>1977.9135982466</x:v>
      </x:c>
      <x:c r="D12707" s="13" t="str">
        <x:v>Transportation</x:v>
      </x:c>
      <x:c r="E12707" s="13" t="str">
        <x:v>Transportation</x:v>
      </x:c>
      <x:c r="F12707" s="13" t="str">
        <x:v>Deep Cyclicals</x:v>
      </x:c>
      <x:c r="G12707" s="13" t="str">
        <x:v>grid_wbaxp5t0.xlsx</x:v>
      </x:c>
    </x:row>
    <x:row r="12708">
      <x:c r="A12708" s="15" t="n">
        <x:v>45778</x:v>
      </x:c>
      <x:c r="B12708" s="13" t="str">
        <x:v>RUMO SA</x:v>
      </x:c>
      <x:c r="C12708" s="16" t="n">
        <x:v>2465.958771726</x:v>
      </x:c>
      <x:c r="D12708" s="13" t="str">
        <x:v>Transportation</x:v>
      </x:c>
      <x:c r="E12708" s="13" t="str">
        <x:v>Transportation</x:v>
      </x:c>
      <x:c r="F12708" s="13" t="str">
        <x:v>Deep Cyclicals</x:v>
      </x:c>
      <x:c r="G12708" s="13" t="str">
        <x:v>grid_wbaxp5t0.xlsx</x:v>
      </x:c>
    </x:row>
    <x:row r="12709">
      <x:c r="A12709" s="15" t="n">
        <x:v>45778</x:v>
      </x:c>
      <x:c r="B12709" s="13" t="str">
        <x:v>SANTOS BRASIL PARTICIPACOES</x:v>
      </x:c>
      <x:c r="C12709" s="16" t="n">
        <x:v>862.7876523836</x:v>
      </x:c>
      <x:c r="D12709" s="13" t="str">
        <x:v>Transportation</x:v>
      </x:c>
      <x:c r="E12709" s="13" t="str">
        <x:v>Transportation</x:v>
      </x:c>
      <x:c r="F12709" s="13" t="str">
        <x:v>Deep Cyclicals</x:v>
      </x:c>
      <x:c r="G12709" s="13" t="str">
        <x:v>grid_wbaxp5t0.xlsx</x:v>
      </x:c>
    </x:row>
    <x:row r="12710">
      <x:c r="A12710" s="15" t="n">
        <x:v>45778</x:v>
      </x:c>
      <x:c r="B12710" s="13" t="str">
        <x:v>VAMOS LOCACAO DE CAMINHOES M</x:v>
      </x:c>
      <x:c r="C12710" s="16" t="n">
        <x:v>683.8239281096</x:v>
      </x:c>
      <x:c r="D12710" s="13" t="str">
        <x:v>Transportation</x:v>
      </x:c>
      <x:c r="E12710" s="13" t="str">
        <x:v>Transportation</x:v>
      </x:c>
      <x:c r="F12710" s="13" t="str">
        <x:v>Deep Cyclicals</x:v>
      </x:c>
      <x:c r="G12710" s="13" t="str">
        <x:v>grid_wbaxp5t0.xlsx</x:v>
      </x:c>
    </x:row>
    <x:row r="12711">
      <x:c r="A12711" s="15" t="n">
        <x:v>45778</x:v>
      </x:c>
      <x:c r="B12711" s="13" t="str">
        <x:v>AUREN ENERGIA SA - ON</x:v>
      </x:c>
      <x:c r="C12711" s="16" t="n">
        <x:v>-180.5281690959</x:v>
      </x:c>
      <x:c r="D12711" s="13" t="str">
        <x:v>Utilities &amp; Energy</x:v>
      </x:c>
      <x:c r="E12711" s="13" t="str">
        <x:v>Utilities</x:v>
      </x:c>
      <x:c r="F12711" s="13" t="str">
        <x:v>Defensives</x:v>
      </x:c>
      <x:c r="G12711" s="13" t="str">
        <x:v>grid_wbaxp5t0.xlsx</x:v>
      </x:c>
    </x:row>
    <x:row r="12712">
      <x:c r="A12712" s="15" t="n">
        <x:v>45778</x:v>
      </x:c>
      <x:c r="B12712" s="13" t="str">
        <x:v>AXIA ENERGIA SA</x:v>
      </x:c>
      <x:c r="C12712" s="16" t="n">
        <x:v>8764.7574619178</x:v>
      </x:c>
      <x:c r="D12712" s="13" t="str">
        <x:v>Utilities &amp; Energy</x:v>
      </x:c>
      <x:c r="E12712" s="13" t="str">
        <x:v>Utilities</x:v>
      </x:c>
      <x:c r="F12712" s="13" t="str">
        <x:v>Defensives</x:v>
      </x:c>
      <x:c r="G12712" s="13" t="str">
        <x:v>grid_wbaxp5t0.xlsx</x:v>
      </x:c>
    </x:row>
    <x:row r="12713">
      <x:c r="A12713" s="15" t="n">
        <x:v>45778</x:v>
      </x:c>
      <x:c r="B12713" s="13" t="str">
        <x:v>AXIA ENERGIA-PR B</x:v>
      </x:c>
      <x:c r="C12713" s="16" t="n">
        <x:v>8764.7574619178</x:v>
      </x:c>
      <x:c r="D12713" s="13" t="str">
        <x:v>Utilities &amp; Energy</x:v>
      </x:c>
      <x:c r="E12713" s="13" t="str">
        <x:v>Utilities</x:v>
      </x:c>
      <x:c r="F12713" s="13" t="str">
        <x:v>Defensives</x:v>
      </x:c>
      <x:c r="G12713" s="13" t="str">
        <x:v>grid_wbaxp5t0.xlsx</x:v>
      </x:c>
    </x:row>
    <x:row r="12714">
      <x:c r="A12714" s="15" t="n">
        <x:v>45778</x:v>
      </x:c>
      <x:c r="B12714" s="13" t="str">
        <x:v>CIA ENERGETICA MINAS GER-PRF</x:v>
      </x:c>
      <x:c r="C12714" s="16" t="n">
        <x:v>3359.9876278356</x:v>
      </x:c>
      <x:c r="D12714" s="13" t="str">
        <x:v>Utilities &amp; Energy</x:v>
      </x:c>
      <x:c r="E12714" s="13" t="str">
        <x:v>Utilities</x:v>
      </x:c>
      <x:c r="F12714" s="13" t="str">
        <x:v>Defensives</x:v>
      </x:c>
      <x:c r="G12714" s="13" t="str">
        <x:v>grid_wbaxp5t0.xlsx</x:v>
      </x:c>
    </x:row>
    <x:row r="12715">
      <x:c r="A12715" s="15" t="n">
        <x:v>45778</x:v>
      </x:c>
      <x:c r="B12715" s="13" t="str">
        <x:v>COMPANHIA PARANAENSE -PREF B</x:v>
      </x:c>
      <x:c r="C12715" s="16" t="n">
        <x:v>2319.232850411</x:v>
      </x:c>
      <x:c r="D12715" s="13" t="str">
        <x:v>Utilities &amp; Energy</x:v>
      </x:c>
      <x:c r="E12715" s="13" t="str">
        <x:v>Utilities</x:v>
      </x:c>
      <x:c r="F12715" s="13" t="str">
        <x:v>Defensives</x:v>
      </x:c>
      <x:c r="G12715" s="13" t="str">
        <x:v>grid_wbaxp5t0.xlsx</x:v>
      </x:c>
    </x:row>
    <x:row r="12716">
      <x:c r="A12716" s="15" t="n">
        <x:v>45778</x:v>
      </x:c>
      <x:c r="B12716" s="13" t="str">
        <x:v>CPFL ENERGIA SA</x:v>
      </x:c>
      <x:c r="C12716" s="16" t="n">
        <x:v>4824.5768977534</x:v>
      </x:c>
      <x:c r="D12716" s="13" t="str">
        <x:v>Utilities &amp; Energy</x:v>
      </x:c>
      <x:c r="E12716" s="13" t="str">
        <x:v>Utilities</x:v>
      </x:c>
      <x:c r="F12716" s="13" t="str">
        <x:v>Defensives</x:v>
      </x:c>
      <x:c r="G12716" s="13" t="str">
        <x:v>grid_wbaxp5t0.xlsx</x:v>
      </x:c>
    </x:row>
    <x:row r="12717">
      <x:c r="A12717" s="15" t="n">
        <x:v>45778</x:v>
      </x:c>
      <x:c r="B12717" s="13" t="str">
        <x:v>ENERGISA SA-UNITS</x:v>
      </x:c>
      <x:c r="C12717" s="16" t="n">
        <x:v>1667.3066327671</x:v>
      </x:c>
      <x:c r="D12717" s="13" t="str">
        <x:v>Utilities &amp; Energy</x:v>
      </x:c>
      <x:c r="E12717" s="13" t="str">
        <x:v>Utilities</x:v>
      </x:c>
      <x:c r="F12717" s="13" t="str">
        <x:v>Defensives</x:v>
      </x:c>
      <x:c r="G12717" s="13" t="str">
        <x:v>grid_wbaxp5t0.xlsx</x:v>
      </x:c>
    </x:row>
    <x:row r="12718">
      <x:c r="A12718" s="15" t="n">
        <x:v>45778</x:v>
      </x:c>
      <x:c r="B12718" s="13" t="str">
        <x:v>ENEVA SA</x:v>
      </x:c>
      <x:c r="C12718" s="16" t="n">
        <x:v>1888.936947726</x:v>
      </x:c>
      <x:c r="D12718" s="13" t="str">
        <x:v>Utilities &amp; Energy</x:v>
      </x:c>
      <x:c r="E12718" s="13" t="str">
        <x:v>Utilities</x:v>
      </x:c>
      <x:c r="F12718" s="13" t="str">
        <x:v>Defensives</x:v>
      </x:c>
      <x:c r="G12718" s="13" t="str">
        <x:v>grid_wbaxp5t0.xlsx</x:v>
      </x:c>
    </x:row>
    <x:row r="12719">
      <x:c r="A12719" s="15" t="n">
        <x:v>45778</x:v>
      </x:c>
      <x:c r="B12719" s="13" t="str">
        <x:v>ENGIE BRASIL ENERGIA SA</x:v>
      </x:c>
      <x:c r="C12719" s="16" t="n">
        <x:v>3095.0026625753</x:v>
      </x:c>
      <x:c r="D12719" s="13" t="str">
        <x:v>Utilities &amp; Energy</x:v>
      </x:c>
      <x:c r="E12719" s="13" t="str">
        <x:v>Utilities</x:v>
      </x:c>
      <x:c r="F12719" s="13" t="str">
        <x:v>Defensives</x:v>
      </x:c>
      <x:c r="G12719" s="13" t="str">
        <x:v>grid_wbaxp5t0.xlsx</x:v>
      </x:c>
    </x:row>
    <x:row r="12720">
      <x:c r="A12720" s="15" t="n">
        <x:v>45778</x:v>
      </x:c>
      <x:c r="B12720" s="13" t="str">
        <x:v>EQUATORIAL SA - ORD</x:v>
      </x:c>
      <x:c r="C12720" s="16" t="n">
        <x:v>3567.8784140274</x:v>
      </x:c>
      <x:c r="D12720" s="13" t="str">
        <x:v>Utilities &amp; Energy</x:v>
      </x:c>
      <x:c r="E12720" s="13" t="str">
        <x:v>Utilities</x:v>
      </x:c>
      <x:c r="F12720" s="13" t="str">
        <x:v>Defensives</x:v>
      </x:c>
      <x:c r="G12720" s="13" t="str">
        <x:v>grid_wbaxp5t0.xlsx</x:v>
      </x:c>
    </x:row>
    <x:row r="12721">
      <x:c r="A12721" s="15" t="n">
        <x:v>45778</x:v>
      </x:c>
      <x:c r="B12721" s="13" t="str">
        <x:v>ISA ENERGIA BRASIL SA</x:v>
      </x:c>
      <x:c r="C12721" s="16" t="n">
        <x:v>1458.969996274</x:v>
      </x:c>
      <x:c r="D12721" s="13" t="str">
        <x:v>Utilities &amp; Energy</x:v>
      </x:c>
      <x:c r="E12721" s="13" t="str">
        <x:v>Utilities</x:v>
      </x:c>
      <x:c r="F12721" s="13" t="str">
        <x:v>Defensives</x:v>
      </x:c>
      <x:c r="G12721" s="13" t="str">
        <x:v>grid_wbaxp5t0.xlsx</x:v>
      </x:c>
    </x:row>
    <x:row r="12722">
      <x:c r="A12722" s="15" t="n">
        <x:v>45778</x:v>
      </x:c>
      <x:c r="B12722" s="13" t="str">
        <x:v>TRANSMISSORA ALIANCA DE-UNIT</x:v>
      </x:c>
      <x:c r="C12722" s="16" t="n">
        <x:v>1196.6821909041</x:v>
      </x:c>
      <x:c r="D12722" s="13" t="str">
        <x:v>Utilities &amp; Energy</x:v>
      </x:c>
      <x:c r="E12722" s="13" t="str">
        <x:v>Utilities</x:v>
      </x:c>
      <x:c r="F12722" s="13" t="str">
        <x:v>Defensives</x:v>
      </x:c>
      <x:c r="G12722" s="13" t="str">
        <x:v>grid_wbaxp5t0.xlsx</x:v>
      </x:c>
    </x:row>
    <x:row r="12723">
      <x:c r="A12723" s="15" t="n">
        <x:v>45809</x:v>
      </x:c>
      <x:c r="B12723" s="13" t="str">
        <x:v>RAIZEN SA - PREFERENCE</x:v>
      </x:c>
      <x:c r="C12723" s="16" t="n">
        <x:v>1063.9466225973</x:v>
      </x:c>
      <x:c r="D12723" s="13" t="str">
        <x:v>Agribusiness</x:v>
      </x:c>
      <x:c r="E12723" s="13" t="str">
        <x:v>Agri, Food &amp; Beverages</x:v>
      </x:c>
      <x:c r="F12723" s="13" t="str">
        <x:v>Defensives</x:v>
      </x:c>
      <x:c r="G12723" s="13" t="str">
        <x:v>grid_wbaxp5t0.xlsx</x:v>
      </x:c>
    </x:row>
    <x:row r="12724">
      <x:c r="A12724" s="15" t="n">
        <x:v>45809</x:v>
      </x:c>
      <x:c r="B12724" s="13" t="str">
        <x:v>SAO MARTINHO SA</x:v>
      </x:c>
      <x:c r="C12724" s="16" t="n">
        <x:v>856.8621855562</x:v>
      </x:c>
      <x:c r="D12724" s="13" t="str">
        <x:v>Agribusiness</x:v>
      </x:c>
      <x:c r="E12724" s="13" t="str">
        <x:v>Agri, Food &amp; Beverages</x:v>
      </x:c>
      <x:c r="F12724" s="13" t="str">
        <x:v>Defensives</x:v>
      </x:c>
      <x:c r="G12724" s="13" t="str">
        <x:v>grid_wbaxp5t0.xlsx</x:v>
      </x:c>
    </x:row>
    <x:row r="12725">
      <x:c r="A12725" s="15" t="n">
        <x:v>45809</x:v>
      </x:c>
      <x:c r="B12725" s="13" t="str">
        <x:v>SLC AGRICOLA SA</x:v>
      </x:c>
      <x:c r="C12725" s="16" t="n">
        <x:v>890.8452325699</x:v>
      </x:c>
      <x:c r="D12725" s="13" t="str">
        <x:v>Agribusiness</x:v>
      </x:c>
      <x:c r="E12725" s="13" t="str">
        <x:v>Agri, Food &amp; Beverages</x:v>
      </x:c>
      <x:c r="F12725" s="13" t="str">
        <x:v>Defensives</x:v>
      </x:c>
      <x:c r="G12725" s="13" t="str">
        <x:v>grid_wbaxp5t0.xlsx</x:v>
      </x:c>
    </x:row>
    <x:row r="12726">
      <x:c r="A12726" s="15" t="n">
        <x:v>45809</x:v>
      </x:c>
      <x:c r="B12726" s="13" t="str">
        <x:v>BANCO BRADESCO S.A.</x:v>
      </x:c>
      <x:c r="C12726" s="16" t="n">
        <x:v>25268.7205249753</x:v>
      </x:c>
      <x:c r="D12726" s="13" t="str">
        <x:v>Banks</x:v>
      </x:c>
      <x:c r="E12726" s="13" t="str">
        <x:v>Banks</x:v>
      </x:c>
      <x:c r="F12726" s="13" t="str">
        <x:v>Financials</x:v>
      </x:c>
      <x:c r="G12726" s="13" t="str">
        <x:v>grid_wbaxp5t0.xlsx</x:v>
      </x:c>
    </x:row>
    <x:row r="12727">
      <x:c r="A12727" s="15" t="n">
        <x:v>45809</x:v>
      </x:c>
      <x:c r="B12727" s="13" t="str">
        <x:v>BANCO BRADESCO SA-PREF</x:v>
      </x:c>
      <x:c r="C12727" s="16" t="n">
        <x:v>25268.7205249753</x:v>
      </x:c>
      <x:c r="D12727" s="13" t="str">
        <x:v>Banks</x:v>
      </x:c>
      <x:c r="E12727" s="13" t="str">
        <x:v>Banks</x:v>
      </x:c>
      <x:c r="F12727" s="13" t="str">
        <x:v>Financials</x:v>
      </x:c>
      <x:c r="G12727" s="13" t="str">
        <x:v>grid_wbaxp5t0.xlsx</x:v>
      </x:c>
    </x:row>
    <x:row r="12728">
      <x:c r="A12728" s="15" t="n">
        <x:v>45809</x:v>
      </x:c>
      <x:c r="B12728" s="13" t="str">
        <x:v>BANCO BTG PACTUAL SA-UNIT</x:v>
      </x:c>
      <x:c r="C12728" s="16" t="n">
        <x:v>15547.0939374466</x:v>
      </x:c>
      <x:c r="D12728" s="13" t="str">
        <x:v>Banks</x:v>
      </x:c>
      <x:c r="E12728" s="13" t="str">
        <x:v>Banks</x:v>
      </x:c>
      <x:c r="F12728" s="13" t="str">
        <x:v>Financials</x:v>
      </x:c>
      <x:c r="G12728" s="13" t="str">
        <x:v>grid_wbaxp5t0.xlsx</x:v>
      </x:c>
    </x:row>
    <x:row r="12729">
      <x:c r="A12729" s="15" t="n">
        <x:v>45809</x:v>
      </x:c>
      <x:c r="B12729" s="13" t="str">
        <x:v>BANCO DO BRASIL S.A.</x:v>
      </x:c>
      <x:c r="C12729" s="16" t="n">
        <x:v>30974.4875604164</x:v>
      </x:c>
      <x:c r="D12729" s="13" t="str">
        <x:v>Banks</x:v>
      </x:c>
      <x:c r="E12729" s="13" t="str">
        <x:v>Banks</x:v>
      </x:c>
      <x:c r="F12729" s="13" t="str">
        <x:v>Financials</x:v>
      </x:c>
      <x:c r="G12729" s="13" t="str">
        <x:v>grid_wbaxp5t0.xlsx</x:v>
      </x:c>
    </x:row>
    <x:row r="12730">
      <x:c r="A12730" s="15" t="n">
        <x:v>45809</x:v>
      </x:c>
      <x:c r="B12730" s="13" t="str">
        <x:v>BANCO SANTANDER  BRASIL-UNIT</x:v>
      </x:c>
      <x:c r="C12730" s="16" t="n">
        <x:v>16544.6759634411</x:v>
      </x:c>
      <x:c r="D12730" s="13" t="str">
        <x:v>Banks</x:v>
      </x:c>
      <x:c r="E12730" s="13" t="str">
        <x:v>Banks</x:v>
      </x:c>
      <x:c r="F12730" s="13" t="str">
        <x:v>Financials</x:v>
      </x:c>
      <x:c r="G12730" s="13" t="str">
        <x:v>grid_wbaxp5t0.xlsx</x:v>
      </x:c>
    </x:row>
    <x:row r="12731">
      <x:c r="A12731" s="15" t="n">
        <x:v>45809</x:v>
      </x:c>
      <x:c r="B12731" s="13" t="str">
        <x:v>ITAU UNIBANCO HOLDING S-PREF</x:v>
      </x:c>
      <x:c r="C12731" s="16" t="n">
        <x:v>47766.8436164384</x:v>
      </x:c>
      <x:c r="D12731" s="13" t="str">
        <x:v>Banks</x:v>
      </x:c>
      <x:c r="E12731" s="13" t="str">
        <x:v>Banks</x:v>
      </x:c>
      <x:c r="F12731" s="13" t="str">
        <x:v>Financials</x:v>
      </x:c>
      <x:c r="G12731" s="13" t="str">
        <x:v>grid_wbaxp5t0.xlsx</x:v>
      </x:c>
    </x:row>
    <x:row r="12732">
      <x:c r="A12732" s="15" t="n">
        <x:v>45809</x:v>
      </x:c>
      <x:c r="B12732" s="13" t="str">
        <x:v>EMBRAER SA</x:v>
      </x:c>
      <x:c r="C12732" s="16" t="n">
        <x:v>2457.1249713096</x:v>
      </x:c>
      <x:c r="D12732" s="13" t="str">
        <x:v>Capital Goods</x:v>
      </x:c>
      <x:c r="E12732" s="13" t="str">
        <x:v>Capital Goods</x:v>
      </x:c>
      <x:c r="F12732" s="13" t="str">
        <x:v>Deep Cyclicals</x:v>
      </x:c>
      <x:c r="G12732" s="13" t="str">
        <x:v>grid_wbaxp5t0.xlsx</x:v>
      </x:c>
    </x:row>
    <x:row r="12733">
      <x:c r="A12733" s="15" t="n">
        <x:v>45809</x:v>
      </x:c>
      <x:c r="B12733" s="13" t="str">
        <x:v>MARCOPOLO SA-PREF</x:v>
      </x:c>
      <x:c r="C12733" s="16" t="n">
        <x:v>1309.9133653918</x:v>
      </x:c>
      <x:c r="D12733" s="13" t="str">
        <x:v>Capital Goods</x:v>
      </x:c>
      <x:c r="E12733" s="13" t="str">
        <x:v>Capital Goods</x:v>
      </x:c>
      <x:c r="F12733" s="13" t="str">
        <x:v>Deep Cyclicals</x:v>
      </x:c>
      <x:c r="G12733" s="13" t="str">
        <x:v>grid_wbaxp5t0.xlsx</x:v>
      </x:c>
    </x:row>
    <x:row r="12734">
      <x:c r="A12734" s="15" t="n">
        <x:v>45809</x:v>
      </x:c>
      <x:c r="B12734" s="13" t="str">
        <x:v>WEG SA</x:v>
      </x:c>
      <x:c r="C12734" s="16" t="n">
        <x:v>7391.3874011178</x:v>
      </x:c>
      <x:c r="D12734" s="13" t="str">
        <x:v>Capital Goods</x:v>
      </x:c>
      <x:c r="E12734" s="13" t="str">
        <x:v>Capital Goods</x:v>
      </x:c>
      <x:c r="F12734" s="13" t="str">
        <x:v>Deep Cyclicals</x:v>
      </x:c>
      <x:c r="G12734" s="13" t="str">
        <x:v>grid_wbaxp5t0.xlsx</x:v>
      </x:c>
    </x:row>
    <x:row r="12735">
      <x:c r="A12735" s="15" t="n">
        <x:v>45809</x:v>
      </x:c>
      <x:c r="B12735" s="13" t="str">
        <x:v>COGNA EDUCACAO</x:v>
      </x:c>
      <x:c r="C12735" s="16" t="n">
        <x:v>609.8767123288</x:v>
      </x:c>
      <x:c r="D12735" s="13" t="str">
        <x:v>Education</x:v>
      </x:c>
      <x:c r="E12735" s="13" t="str">
        <x:v>Education</x:v>
      </x:c>
      <x:c r="F12735" s="13" t="str">
        <x:v>Early Cyclicals</x:v>
      </x:c>
      <x:c r="G12735" s="13" t="str">
        <x:v>grid_wbaxp5t0.xlsx</x:v>
      </x:c>
    </x:row>
    <x:row r="12736">
      <x:c r="A12736" s="15" t="n">
        <x:v>45809</x:v>
      </x:c>
      <x:c r="B12736" s="13" t="str">
        <x:v>YDUQS PARTICIPACOES SA</x:v>
      </x:c>
      <x:c r="C12736" s="16" t="n">
        <x:v>515.2824498849</x:v>
      </x:c>
      <x:c r="D12736" s="13" t="str">
        <x:v>Education</x:v>
      </x:c>
      <x:c r="E12736" s="13" t="str">
        <x:v>Education</x:v>
      </x:c>
      <x:c r="F12736" s="13" t="str">
        <x:v>Early Cyclicals</x:v>
      </x:c>
      <x:c r="G12736" s="13" t="str">
        <x:v>grid_wbaxp5t0.xlsx</x:v>
      </x:c>
    </x:row>
    <x:row r="12737">
      <x:c r="A12737" s="15" t="n">
        <x:v>45809</x:v>
      </x:c>
      <x:c r="B12737" s="13" t="str">
        <x:v>B3 SA-BRASIL BOLSA BALCAO</x:v>
      </x:c>
      <x:c r="C12737" s="16" t="n">
        <x:v>5195.3919733479</x:v>
      </x:c>
      <x:c r="D12737" s="13" t="str">
        <x:v>Financials Non-Banks</x:v>
      </x:c>
      <x:c r="E12737" s="13" t="str">
        <x:v>Financials Non-Banks</x:v>
      </x:c>
      <x:c r="F12737" s="13" t="str">
        <x:v>Financials</x:v>
      </x:c>
      <x:c r="G12737" s="13" t="str">
        <x:v>grid_wbaxp5t0.xlsx</x:v>
      </x:c>
    </x:row>
    <x:row r="12738">
      <x:c r="A12738" s="15" t="n">
        <x:v>45809</x:v>
      </x:c>
      <x:c r="B12738" s="13" t="str">
        <x:v>BB SEGURIDADE PARTICIPACOES</x:v>
      </x:c>
      <x:c r="C12738" s="16" t="n">
        <x:v>9012.5346479342</x:v>
      </x:c>
      <x:c r="D12738" s="13" t="str">
        <x:v>Financials Non-Banks</x:v>
      </x:c>
      <x:c r="E12738" s="13" t="str">
        <x:v>Financials Non-Banks</x:v>
      </x:c>
      <x:c r="F12738" s="13" t="str">
        <x:v>Financials</x:v>
      </x:c>
      <x:c r="G12738" s="13" t="str">
        <x:v>grid_wbaxp5t0.xlsx</x:v>
      </x:c>
    </x:row>
    <x:row r="12739">
      <x:c r="A12739" s="15" t="n">
        <x:v>45809</x:v>
      </x:c>
      <x:c r="B12739" s="13" t="str">
        <x:v>CAIXA SEGURIDADE PARTICIPACO</x:v>
      </x:c>
      <x:c r="C12739" s="16" t="n">
        <x:v>4523.2248495343</x:v>
      </x:c>
      <x:c r="D12739" s="13" t="str">
        <x:v>Financials Non-Banks</x:v>
      </x:c>
      <x:c r="E12739" s="13" t="str">
        <x:v>Financials Non-Banks</x:v>
      </x:c>
      <x:c r="F12739" s="13" t="str">
        <x:v>Financials</x:v>
      </x:c>
      <x:c r="G12739" s="13" t="str">
        <x:v>grid_wbaxp5t0.xlsx</x:v>
      </x:c>
    </x:row>
    <x:row r="12740">
      <x:c r="A12740" s="15" t="n">
        <x:v>45809</x:v>
      </x:c>
      <x:c r="B12740" s="13" t="str">
        <x:v>IRB BRASIL RESSEGUROS SA</x:v>
      </x:c>
      <x:c r="C12740" s="16" t="n">
        <x:v>594.7404619397</x:v>
      </x:c>
      <x:c r="D12740" s="13" t="str">
        <x:v>Financials Non-Banks</x:v>
      </x:c>
      <x:c r="E12740" s="13" t="str">
        <x:v>Financials Non-Banks</x:v>
      </x:c>
      <x:c r="F12740" s="13" t="str">
        <x:v>Financials</x:v>
      </x:c>
      <x:c r="G12740" s="13" t="str">
        <x:v>grid_wbaxp5t0.xlsx</x:v>
      </x:c>
    </x:row>
    <x:row r="12741">
      <x:c r="A12741" s="15" t="n">
        <x:v>45809</x:v>
      </x:c>
      <x:c r="B12741" s="13" t="str">
        <x:v>ITAUSA SA</x:v>
      </x:c>
      <x:c r="C12741" s="16" t="n">
        <x:v>17287.9286047562</x:v>
      </x:c>
      <x:c r="D12741" s="13" t="str">
        <x:v>Financials Non-Banks</x:v>
      </x:c>
      <x:c r="E12741" s="13" t="str">
        <x:v>Financials Non-Banks</x:v>
      </x:c>
      <x:c r="F12741" s="13" t="str">
        <x:v>Financials</x:v>
      </x:c>
      <x:c r="G12741" s="13" t="str">
        <x:v>grid_wbaxp5t0.xlsx</x:v>
      </x:c>
    </x:row>
    <x:row r="12742">
      <x:c r="A12742" s="15" t="n">
        <x:v>45809</x:v>
      </x:c>
      <x:c r="B12742" s="13" t="str">
        <x:v>PORTO SEGURO SA</x:v>
      </x:c>
      <x:c r="C12742" s="16" t="n">
        <x:v>3418.7950676164</x:v>
      </x:c>
      <x:c r="D12742" s="13" t="str">
        <x:v>Financials Non-Banks</x:v>
      </x:c>
      <x:c r="E12742" s="13" t="str">
        <x:v>Financials Non-Banks</x:v>
      </x:c>
      <x:c r="F12742" s="13" t="str">
        <x:v>Financials</x:v>
      </x:c>
      <x:c r="G12742" s="13" t="str">
        <x:v>grid_wbaxp5t0.xlsx</x:v>
      </x:c>
    </x:row>
    <x:row r="12743">
      <x:c r="A12743" s="15" t="n">
        <x:v>45809</x:v>
      </x:c>
      <x:c r="B12743" s="13" t="str">
        <x:v>AMBEV SA</x:v>
      </x:c>
      <x:c r="C12743" s="16" t="n">
        <x:v>16159.2010022575</x:v>
      </x:c>
      <x:c r="D12743" s="13" t="str">
        <x:v>Food &amp; Beverages</x:v>
      </x:c>
      <x:c r="E12743" s="13" t="str">
        <x:v>Agri, Food &amp; Beverages</x:v>
      </x:c>
      <x:c r="F12743" s="13" t="str">
        <x:v>Defensives</x:v>
      </x:c>
      <x:c r="G12743" s="13" t="str">
        <x:v>grid_wbaxp5t0.xlsx</x:v>
      </x:c>
    </x:row>
    <x:row r="12744">
      <x:c r="A12744" s="15" t="n">
        <x:v>45809</x:v>
      </x:c>
      <x:c r="B12744" s="13" t="str">
        <x:v>BRF SA</x:v>
      </x:c>
      <x:c r="C12744" s="16" t="n">
        <x:v>3296.2897562301</x:v>
      </x:c>
      <x:c r="D12744" s="13" t="str">
        <x:v>Food &amp; Beverages</x:v>
      </x:c>
      <x:c r="E12744" s="13" t="str">
        <x:v>Agri, Food &amp; Beverages</x:v>
      </x:c>
      <x:c r="F12744" s="13" t="str">
        <x:v>Defensives</x:v>
      </x:c>
      <x:c r="G12744" s="13" t="str">
        <x:v>grid_wbaxp5t0.xlsx</x:v>
      </x:c>
    </x:row>
    <x:row r="12745">
      <x:c r="A12745" s="15" t="n">
        <x:v>45809</x:v>
      </x:c>
      <x:c r="B12745" s="13" t="str">
        <x:v>MBRF GLOBAL FOODS COMPANY SA</x:v>
      </x:c>
      <x:c r="C12745" s="16" t="n">
        <x:v>-49.8342414466</x:v>
      </x:c>
      <x:c r="D12745" s="13" t="str">
        <x:v>Food &amp; Beverages</x:v>
      </x:c>
      <x:c r="E12745" s="13" t="str">
        <x:v>Agri, Food &amp; Beverages</x:v>
      </x:c>
      <x:c r="F12745" s="13" t="str">
        <x:v>Defensives</x:v>
      </x:c>
      <x:c r="G12745" s="13" t="str">
        <x:v>grid_wbaxp5t0.xlsx</x:v>
      </x:c>
    </x:row>
    <x:row r="12746">
      <x:c r="A12746" s="15" t="n">
        <x:v>45809</x:v>
      </x:c>
      <x:c r="B12746" s="13" t="str">
        <x:v>MINERVA SA</x:v>
      </x:c>
      <x:c r="C12746" s="16" t="n">
        <x:v>735.6078607781</x:v>
      </x:c>
      <x:c r="D12746" s="13" t="str">
        <x:v>Food &amp; Beverages</x:v>
      </x:c>
      <x:c r="E12746" s="13" t="str">
        <x:v>Agri, Food &amp; Beverages</x:v>
      </x:c>
      <x:c r="F12746" s="13" t="str">
        <x:v>Defensives</x:v>
      </x:c>
      <x:c r="G12746" s="13" t="str">
        <x:v>grid_wbaxp5t0.xlsx</x:v>
      </x:c>
    </x:row>
    <x:row r="12747">
      <x:c r="A12747" s="15" t="n">
        <x:v>45809</x:v>
      </x:c>
      <x:c r="B12747" s="13" t="str">
        <x:v>FLEURY SA</x:v>
      </x:c>
      <x:c r="C12747" s="16" t="n">
        <x:v>703.0663550247</x:v>
      </x:c>
      <x:c r="D12747" s="13" t="str">
        <x:v>Health Care</x:v>
      </x:c>
      <x:c r="E12747" s="13" t="str">
        <x:v>Health Care</x:v>
      </x:c>
      <x:c r="F12747" s="13" t="str">
        <x:v>Defensives</x:v>
      </x:c>
      <x:c r="G12747" s="13" t="str">
        <x:v>grid_wbaxp5t0.xlsx</x:v>
      </x:c>
    </x:row>
    <x:row r="12748">
      <x:c r="A12748" s="15" t="n">
        <x:v>45809</x:v>
      </x:c>
      <x:c r="B12748" s="13" t="str">
        <x:v>HAPVIDA PARTICIPACOES E INVE</x:v>
      </x:c>
      <x:c r="C12748" s="16" t="n">
        <x:v>1575.1762575781</x:v>
      </x:c>
      <x:c r="D12748" s="13" t="str">
        <x:v>Health Care</x:v>
      </x:c>
      <x:c r="E12748" s="13" t="str">
        <x:v>Health Care</x:v>
      </x:c>
      <x:c r="F12748" s="13" t="str">
        <x:v>Defensives</x:v>
      </x:c>
      <x:c r="G12748" s="13" t="str">
        <x:v>grid_wbaxp5t0.xlsx</x:v>
      </x:c>
    </x:row>
    <x:row r="12749">
      <x:c r="A12749" s="15" t="n">
        <x:v>45809</x:v>
      </x:c>
      <x:c r="B12749" s="13" t="str">
        <x:v>HYPERA SA</x:v>
      </x:c>
      <x:c r="C12749" s="16" t="n">
        <x:v>1586.6372124055</x:v>
      </x:c>
      <x:c r="D12749" s="13" t="str">
        <x:v>Health Care</x:v>
      </x:c>
      <x:c r="E12749" s="13" t="str">
        <x:v>Health Care</x:v>
      </x:c>
      <x:c r="F12749" s="13" t="str">
        <x:v>Defensives</x:v>
      </x:c>
      <x:c r="G12749" s="13" t="str">
        <x:v>grid_wbaxp5t0.xlsx</x:v>
      </x:c>
    </x:row>
    <x:row r="12750">
      <x:c r="A12750" s="15" t="n">
        <x:v>45809</x:v>
      </x:c>
      <x:c r="B12750" s="13" t="str">
        <x:v>REDE D'OR SAO LUIZ SA</x:v>
      </x:c>
      <x:c r="C12750" s="16" t="n">
        <x:v>4881.775858674</x:v>
      </x:c>
      <x:c r="D12750" s="13" t="str">
        <x:v>Health Care</x:v>
      </x:c>
      <x:c r="E12750" s="13" t="str">
        <x:v>Health Care</x:v>
      </x:c>
      <x:c r="F12750" s="13" t="str">
        <x:v>Defensives</x:v>
      </x:c>
      <x:c r="G12750" s="13" t="str">
        <x:v>grid_wbaxp5t0.xlsx</x:v>
      </x:c>
    </x:row>
    <x:row r="12751">
      <x:c r="A12751" s="15" t="n">
        <x:v>45809</x:v>
      </x:c>
      <x:c r="B12751" s="13" t="str">
        <x:v>CYRELA BRAZIL REALTY SA EMP</x:v>
      </x:c>
      <x:c r="C12751" s="16" t="n">
        <x:v>1876.1893470685</x:v>
      </x:c>
      <x:c r="D12751" s="13" t="str">
        <x:v>Homebuilders</x:v>
      </x:c>
      <x:c r="E12751" s="13" t="str">
        <x:v>Real Estate</x:v>
      </x:c>
      <x:c r="F12751" s="13" t="str">
        <x:v>Early Cyclicals</x:v>
      </x:c>
      <x:c r="G12751" s="13" t="str">
        <x:v>grid_wbaxp5t0.xlsx</x:v>
      </x:c>
    </x:row>
    <x:row r="12752">
      <x:c r="A12752" s="15" t="n">
        <x:v>45809</x:v>
      </x:c>
      <x:c r="B12752" s="13" t="str">
        <x:v>DIRECIONAL ENGENHARIA SA</x:v>
      </x:c>
      <x:c r="C12752" s="16" t="n">
        <x:v>886.9075873315</x:v>
      </x:c>
      <x:c r="D12752" s="13" t="str">
        <x:v>Homebuilders</x:v>
      </x:c>
      <x:c r="E12752" s="13" t="str">
        <x:v>Real Estate</x:v>
      </x:c>
      <x:c r="F12752" s="13" t="str">
        <x:v>Early Cyclicals</x:v>
      </x:c>
      <x:c r="G12752" s="13" t="str">
        <x:v>grid_wbaxp5t0.xlsx</x:v>
      </x:c>
    </x:row>
    <x:row r="12753">
      <x:c r="A12753" s="15" t="n">
        <x:v>45809</x:v>
      </x:c>
      <x:c r="B12753" s="13" t="str">
        <x:v>MRV ENGENHARIA</x:v>
      </x:c>
      <x:c r="C12753" s="16" t="n">
        <x:v>428.1742465753</x:v>
      </x:c>
      <x:c r="D12753" s="13" t="str">
        <x:v>Homebuilders</x:v>
      </x:c>
      <x:c r="E12753" s="13" t="str">
        <x:v>Real Estate</x:v>
      </x:c>
      <x:c r="F12753" s="13" t="str">
        <x:v>Early Cyclicals</x:v>
      </x:c>
      <x:c r="G12753" s="13" t="str">
        <x:v>grid_wbaxp5t0.xlsx</x:v>
      </x:c>
    </x:row>
    <x:row r="12754">
      <x:c r="A12754" s="15" t="n">
        <x:v>45809</x:v>
      </x:c>
      <x:c r="B12754" s="13" t="str">
        <x:v>ALLOS SA</x:v>
      </x:c>
      <x:c r="C12754" s="16" t="n">
        <x:v>817.7940322192</x:v>
      </x:c>
      <x:c r="D12754" s="13" t="str">
        <x:v>Income Properties</x:v>
      </x:c>
      <x:c r="E12754" s="13" t="str">
        <x:v>Real Estate</x:v>
      </x:c>
      <x:c r="F12754" s="13" t="str">
        <x:v>Early Cyclicals</x:v>
      </x:c>
      <x:c r="G12754" s="13" t="str">
        <x:v>grid_wbaxp5t0.xlsx</x:v>
      </x:c>
    </x:row>
    <x:row r="12755">
      <x:c r="A12755" s="15" t="n">
        <x:v>45809</x:v>
      </x:c>
      <x:c r="B12755" s="13" t="str">
        <x:v>IGUATEMI SA - UNITS</x:v>
      </x:c>
      <x:c r="C12755" s="16" t="n">
        <x:v>534.3767004932</x:v>
      </x:c>
      <x:c r="D12755" s="13" t="str">
        <x:v>Income Properties</x:v>
      </x:c>
      <x:c r="E12755" s="13" t="str">
        <x:v>Real Estate</x:v>
      </x:c>
      <x:c r="F12755" s="13" t="str">
        <x:v>Early Cyclicals</x:v>
      </x:c>
      <x:c r="G12755" s="13" t="str">
        <x:v>grid_wbaxp5t0.xlsx</x:v>
      </x:c>
    </x:row>
    <x:row r="12756">
      <x:c r="A12756" s="15" t="n">
        <x:v>45809</x:v>
      </x:c>
      <x:c r="B12756" s="13" t="str">
        <x:v>MULTIPLAN EMPREENDIMENTOS</x:v>
      </x:c>
      <x:c r="C12756" s="16" t="n">
        <x:v>1093.1723916274</x:v>
      </x:c>
      <x:c r="D12756" s="13" t="str">
        <x:v>Income Properties</x:v>
      </x:c>
      <x:c r="E12756" s="13" t="str">
        <x:v>Real Estate</x:v>
      </x:c>
      <x:c r="F12756" s="13" t="str">
        <x:v>Early Cyclicals</x:v>
      </x:c>
      <x:c r="G12756" s="13" t="str">
        <x:v>grid_wbaxp5t0.xlsx</x:v>
      </x:c>
    </x:row>
    <x:row r="12757">
      <x:c r="A12757" s="15" t="n">
        <x:v>45809</x:v>
      </x:c>
      <x:c r="B12757" s="13" t="str">
        <x:v>BRADESPAR SA -PREF</x:v>
      </x:c>
      <x:c r="C12757" s="16" t="n">
        <x:v>1599.0260115288</x:v>
      </x:c>
      <x:c r="D12757" s="13" t="str">
        <x:v>Metals &amp; Mining</x:v>
      </x:c>
      <x:c r="E12757" s="13" t="str">
        <x:v>Metals &amp; Mining</x:v>
      </x:c>
      <x:c r="F12757" s="13" t="str">
        <x:v>Deep Cyclicals</x:v>
      </x:c>
      <x:c r="G12757" s="13" t="str">
        <x:v>grid_wbaxp5t0.xlsx</x:v>
      </x:c>
    </x:row>
    <x:row r="12758">
      <x:c r="A12758" s="15" t="n">
        <x:v>45809</x:v>
      </x:c>
      <x:c r="B12758" s="13" t="str">
        <x:v>CIA SIDERURGICA NACIONAL SA</x:v>
      </x:c>
      <x:c r="C12758" s="16" t="n">
        <x:v>-133.6136986301</x:v>
      </x:c>
      <x:c r="D12758" s="13" t="str">
        <x:v>Metals &amp; Mining</x:v>
      </x:c>
      <x:c r="E12758" s="13" t="str">
        <x:v>Metals &amp; Mining</x:v>
      </x:c>
      <x:c r="F12758" s="13" t="str">
        <x:v>Deep Cyclicals</x:v>
      </x:c>
      <x:c r="G12758" s="13" t="str">
        <x:v>grid_wbaxp5t0.xlsx</x:v>
      </x:c>
    </x:row>
    <x:row r="12759">
      <x:c r="A12759" s="15" t="n">
        <x:v>45809</x:v>
      </x:c>
      <x:c r="B12759" s="13" t="str">
        <x:v>CSN MINERACAO SA</x:v>
      </x:c>
      <x:c r="C12759" s="16" t="n">
        <x:v>1733.3182807671</x:v>
      </x:c>
      <x:c r="D12759" s="13" t="str">
        <x:v>Metals &amp; Mining</x:v>
      </x:c>
      <x:c r="E12759" s="13" t="str">
        <x:v>Metals &amp; Mining</x:v>
      </x:c>
      <x:c r="F12759" s="13" t="str">
        <x:v>Deep Cyclicals</x:v>
      </x:c>
      <x:c r="G12759" s="13" t="str">
        <x:v>grid_wbaxp5t0.xlsx</x:v>
      </x:c>
    </x:row>
    <x:row r="12760">
      <x:c r="A12760" s="15" t="n">
        <x:v>45809</x:v>
      </x:c>
      <x:c r="B12760" s="13" t="str">
        <x:v>GERDAU SA-PREF</x:v>
      </x:c>
      <x:c r="C12760" s="16" t="n">
        <x:v>4488.650418148</x:v>
      </x:c>
      <x:c r="D12760" s="13" t="str">
        <x:v>Metals &amp; Mining</x:v>
      </x:c>
      <x:c r="E12760" s="13" t="str">
        <x:v>Metals &amp; Mining</x:v>
      </x:c>
      <x:c r="F12760" s="13" t="str">
        <x:v>Deep Cyclicals</x:v>
      </x:c>
      <x:c r="G12760" s="13" t="str">
        <x:v>grid_wbaxp5t0.xlsx</x:v>
      </x:c>
    </x:row>
    <x:row r="12761">
      <x:c r="A12761" s="15" t="n">
        <x:v>45809</x:v>
      </x:c>
      <x:c r="B12761" s="13" t="str">
        <x:v>METALURGICA GERDAU SA-PREF</x:v>
      </x:c>
      <x:c r="C12761" s="16" t="n">
        <x:v>1649.5534886575</x:v>
      </x:c>
      <x:c r="D12761" s="13" t="str">
        <x:v>Metals &amp; Mining</x:v>
      </x:c>
      <x:c r="E12761" s="13" t="str">
        <x:v>Metals &amp; Mining</x:v>
      </x:c>
      <x:c r="F12761" s="13" t="str">
        <x:v>Deep Cyclicals</x:v>
      </x:c>
      <x:c r="G12761" s="13" t="str">
        <x:v>grid_wbaxp5t0.xlsx</x:v>
      </x:c>
    </x:row>
    <x:row r="12762">
      <x:c r="A12762" s="15" t="n">
        <x:v>45809</x:v>
      </x:c>
      <x:c r="B12762" s="13" t="str">
        <x:v>USINAS SIDER MINAS GER-PF A</x:v>
      </x:c>
      <x:c r="C12762" s="16" t="n">
        <x:v>744.7474970301</x:v>
      </x:c>
      <x:c r="D12762" s="13" t="str">
        <x:v>Metals &amp; Mining</x:v>
      </x:c>
      <x:c r="E12762" s="13" t="str">
        <x:v>Metals &amp; Mining</x:v>
      </x:c>
      <x:c r="F12762" s="13" t="str">
        <x:v>Deep Cyclicals</x:v>
      </x:c>
      <x:c r="G12762" s="13" t="str">
        <x:v>grid_wbaxp5t0.xlsx</x:v>
      </x:c>
    </x:row>
    <x:row r="12763">
      <x:c r="A12763" s="15" t="n">
        <x:v>45809</x:v>
      </x:c>
      <x:c r="B12763" s="13" t="str">
        <x:v>VALE SA</x:v>
      </x:c>
      <x:c r="C12763" s="16" t="n">
        <x:v>42853.4848638247</x:v>
      </x:c>
      <x:c r="D12763" s="13" t="str">
        <x:v>Metals &amp; Mining</x:v>
      </x:c>
      <x:c r="E12763" s="13" t="str">
        <x:v>Metals &amp; Mining</x:v>
      </x:c>
      <x:c r="F12763" s="13" t="str">
        <x:v>Deep Cyclicals</x:v>
      </x:c>
      <x:c r="G12763" s="13" t="str">
        <x:v>grid_wbaxp5t0.xlsx</x:v>
      </x:c>
    </x:row>
    <x:row r="12764">
      <x:c r="A12764" s="15" t="n">
        <x:v>45809</x:v>
      </x:c>
      <x:c r="B12764" s="13" t="str">
        <x:v>BRASKEM SA-PREF A</x:v>
      </x:c>
      <x:c r="C12764" s="16" t="n">
        <x:v>-1038.5739339397</x:v>
      </x:c>
      <x:c r="D12764" s="13" t="str">
        <x:v>Oil, Gas &amp; Petrochemicals</x:v>
      </x:c>
      <x:c r="E12764" s="13" t="str">
        <x:v>Oil, Gas &amp; Petrochemicals</x:v>
      </x:c>
      <x:c r="F12764" s="13" t="str">
        <x:v>Deep Cyclicals</x:v>
      </x:c>
      <x:c r="G12764" s="13" t="str">
        <x:v>grid_wbaxp5t0.xlsx</x:v>
      </x:c>
    </x:row>
    <x:row r="12765">
      <x:c r="A12765" s="15" t="n">
        <x:v>45809</x:v>
      </x:c>
      <x:c r="B12765" s="13" t="str">
        <x:v>BRAVA ENERGIA</x:v>
      </x:c>
      <x:c r="C12765" s="16" t="n">
        <x:v>2026.3028139836</x:v>
      </x:c>
      <x:c r="D12765" s="13" t="str">
        <x:v>Oil, Gas &amp; Petrochemicals</x:v>
      </x:c>
      <x:c r="E12765" s="13" t="str">
        <x:v>Oil, Gas &amp; Petrochemicals</x:v>
      </x:c>
      <x:c r="F12765" s="13" t="str">
        <x:v>Deep Cyclicals</x:v>
      </x:c>
      <x:c r="G12765" s="13" t="str">
        <x:v>grid_wbaxp5t0.xlsx</x:v>
      </x:c>
    </x:row>
    <x:row r="12766">
      <x:c r="A12766" s="15" t="n">
        <x:v>45809</x:v>
      </x:c>
      <x:c r="B12766" s="13" t="str">
        <x:v>COSAN SA</x:v>
      </x:c>
      <x:c r="C12766" s="16" t="n">
        <x:v>865.5772447562</x:v>
      </x:c>
      <x:c r="D12766" s="13" t="str">
        <x:v>Oil, Gas &amp; Petrochemicals</x:v>
      </x:c>
      <x:c r="E12766" s="13" t="str">
        <x:v>Oil, Gas &amp; Petrochemicals</x:v>
      </x:c>
      <x:c r="F12766" s="13" t="str">
        <x:v>Deep Cyclicals</x:v>
      </x:c>
      <x:c r="G12766" s="13" t="str">
        <x:v>grid_wbaxp5t0.xlsx</x:v>
      </x:c>
    </x:row>
    <x:row r="12767">
      <x:c r="A12767" s="15" t="n">
        <x:v>45809</x:v>
      </x:c>
      <x:c r="B12767" s="13" t="str">
        <x:v>PETROBRAS - PETROLEO BRAS</x:v>
      </x:c>
      <x:c r="C12767" s="16" t="n">
        <x:v>93223.5627814575</x:v>
      </x:c>
      <x:c r="D12767" s="13" t="str">
        <x:v>Oil, Gas &amp; Petrochemicals</x:v>
      </x:c>
      <x:c r="E12767" s="13" t="str">
        <x:v>Oil, Gas &amp; Petrochemicals</x:v>
      </x:c>
      <x:c r="F12767" s="13" t="str">
        <x:v>Deep Cyclicals</x:v>
      </x:c>
      <x:c r="G12767" s="13" t="str">
        <x:v>grid_wbaxp5t0.xlsx</x:v>
      </x:c>
    </x:row>
    <x:row r="12768">
      <x:c r="A12768" s="15" t="n">
        <x:v>45809</x:v>
      </x:c>
      <x:c r="B12768" s="13" t="str">
        <x:v>PETRORECONCAVO SA</x:v>
      </x:c>
      <x:c r="C12768" s="16" t="n">
        <x:v>779.8113427288</x:v>
      </x:c>
      <x:c r="D12768" s="13" t="str">
        <x:v>Oil, Gas &amp; Petrochemicals</x:v>
      </x:c>
      <x:c r="E12768" s="13" t="str">
        <x:v>Oil, Gas &amp; Petrochemicals</x:v>
      </x:c>
      <x:c r="F12768" s="13" t="str">
        <x:v>Deep Cyclicals</x:v>
      </x:c>
      <x:c r="G12768" s="13" t="str">
        <x:v>grid_wbaxp5t0.xlsx</x:v>
      </x:c>
    </x:row>
    <x:row r="12769">
      <x:c r="A12769" s="15" t="n">
        <x:v>45809</x:v>
      </x:c>
      <x:c r="B12769" s="13" t="str">
        <x:v>PRIO SA</x:v>
      </x:c>
      <x:c r="C12769" s="16" t="n">
        <x:v>5165.2968910904</x:v>
      </x:c>
      <x:c r="D12769" s="13" t="str">
        <x:v>Oil, Gas &amp; Petrochemicals</x:v>
      </x:c>
      <x:c r="E12769" s="13" t="str">
        <x:v>Oil, Gas &amp; Petrochemicals</x:v>
      </x:c>
      <x:c r="F12769" s="13" t="str">
        <x:v>Deep Cyclicals</x:v>
      </x:c>
      <x:c r="G12769" s="13" t="str">
        <x:v>grid_wbaxp5t0.xlsx</x:v>
      </x:c>
    </x:row>
    <x:row r="12770">
      <x:c r="A12770" s="15" t="n">
        <x:v>45809</x:v>
      </x:c>
      <x:c r="B12770" s="13" t="str">
        <x:v>ULTRAPAR PARTICIPACOES SA</x:v>
      </x:c>
      <x:c r="C12770" s="16" t="n">
        <x:v>1934.7707160548</x:v>
      </x:c>
      <x:c r="D12770" s="13" t="str">
        <x:v>Oil, Gas &amp; Petrochemicals</x:v>
      </x:c>
      <x:c r="E12770" s="13" t="str">
        <x:v>Oil, Gas &amp; Petrochemicals</x:v>
      </x:c>
      <x:c r="F12770" s="13" t="str">
        <x:v>Deep Cyclicals</x:v>
      </x:c>
      <x:c r="G12770" s="13" t="str">
        <x:v>grid_wbaxp5t0.xlsx</x:v>
      </x:c>
    </x:row>
    <x:row r="12771">
      <x:c r="A12771" s="15" t="n">
        <x:v>45809</x:v>
      </x:c>
      <x:c r="B12771" s="13" t="str">
        <x:v>VIBRA ENERGIA SA</x:v>
      </x:c>
      <x:c r="C12771" s="16" t="n">
        <x:v>2478.7670373699</x:v>
      </x:c>
      <x:c r="D12771" s="13" t="str">
        <x:v>Oil, Gas &amp; Petrochemicals</x:v>
      </x:c>
      <x:c r="E12771" s="13" t="str">
        <x:v>Oil, Gas &amp; Petrochemicals</x:v>
      </x:c>
      <x:c r="F12771" s="13" t="str">
        <x:v>Deep Cyclicals</x:v>
      </x:c>
      <x:c r="G12771" s="13" t="str">
        <x:v>grid_wbaxp5t0.xlsx</x:v>
      </x:c>
    </x:row>
    <x:row r="12772">
      <x:c r="A12772" s="15" t="n">
        <x:v>45809</x:v>
      </x:c>
      <x:c r="B12772" s="13" t="str">
        <x:v>KLABIN SA - UNIT</x:v>
      </x:c>
      <x:c r="C12772" s="16" t="n">
        <x:v>1958.0655798356</x:v>
      </x:c>
      <x:c r="D12772" s="13" t="str">
        <x:v>Pulp &amp; Paper</x:v>
      </x:c>
      <x:c r="E12772" s="13" t="str">
        <x:v>Pulp &amp; Paper</x:v>
      </x:c>
      <x:c r="F12772" s="13" t="str">
        <x:v>Deep Cyclicals</x:v>
      </x:c>
      <x:c r="G12772" s="13" t="str">
        <x:v>grid_wbaxp5t0.xlsx</x:v>
      </x:c>
    </x:row>
    <x:row r="12773">
      <x:c r="A12773" s="15" t="n">
        <x:v>45809</x:v>
      </x:c>
      <x:c r="B12773" s="13" t="str">
        <x:v>SUZANO SA</x:v>
      </x:c>
      <x:c r="C12773" s="16" t="n">
        <x:v>10502.5750787507</x:v>
      </x:c>
      <x:c r="D12773" s="13" t="str">
        <x:v>Pulp &amp; Paper</x:v>
      </x:c>
      <x:c r="E12773" s="13" t="str">
        <x:v>Pulp &amp; Paper</x:v>
      </x:c>
      <x:c r="F12773" s="13" t="str">
        <x:v>Deep Cyclicals</x:v>
      </x:c>
      <x:c r="G12773" s="13" t="str">
        <x:v>grid_wbaxp5t0.xlsx</x:v>
      </x:c>
    </x:row>
    <x:row r="12774">
      <x:c r="A12774" s="15" t="n">
        <x:v>45809</x:v>
      </x:c>
      <x:c r="B12774" s="13" t="str">
        <x:v>AZZAS 2154 SA</x:v>
      </x:c>
      <x:c r="C12774" s="16" t="n">
        <x:v>829.6148259068</x:v>
      </x:c>
      <x:c r="D12774" s="13" t="str">
        <x:v>Retail</x:v>
      </x:c>
      <x:c r="E12774" s="13" t="str">
        <x:v>Retail</x:v>
      </x:c>
      <x:c r="F12774" s="13" t="str">
        <x:v>Early Cyclicals</x:v>
      </x:c>
      <x:c r="G12774" s="13" t="str">
        <x:v>grid_wbaxp5t0.xlsx</x:v>
      </x:c>
    </x:row>
    <x:row r="12775">
      <x:c r="A12775" s="15" t="n">
        <x:v>45809</x:v>
      </x:c>
      <x:c r="B12775" s="13" t="str">
        <x:v>CIA BRASILEIRA DE DISTRIBUIC</x:v>
      </x:c>
      <x:c r="C12775" s="16" t="n">
        <x:v>-423.3321834959</x:v>
      </x:c>
      <x:c r="D12775" s="13" t="str">
        <x:v>Retail</x:v>
      </x:c>
      <x:c r="E12775" s="13" t="str">
        <x:v>Retail</x:v>
      </x:c>
      <x:c r="F12775" s="13" t="str">
        <x:v>Early Cyclicals</x:v>
      </x:c>
      <x:c r="G12775" s="13" t="str">
        <x:v>grid_wbaxp5t0.xlsx</x:v>
      </x:c>
    </x:row>
    <x:row r="12776">
      <x:c r="A12776" s="15" t="n">
        <x:v>45809</x:v>
      </x:c>
      <x:c r="B12776" s="13" t="str">
        <x:v>CVC BRASIL OPERADORA E AGENC</x:v>
      </x:c>
      <x:c r="C12776" s="16" t="n">
        <x:v>-6.2082191781</x:v>
      </x:c>
      <x:c r="D12776" s="13" t="str">
        <x:v>Retail</x:v>
      </x:c>
      <x:c r="E12776" s="13" t="str">
        <x:v>Retail</x:v>
      </x:c>
      <x:c r="F12776" s="13" t="str">
        <x:v>Early Cyclicals</x:v>
      </x:c>
      <x:c r="G12776" s="13" t="str">
        <x:v>grid_wbaxp5t0.xlsx</x:v>
      </x:c>
    </x:row>
    <x:row r="12777">
      <x:c r="A12777" s="15" t="n">
        <x:v>45809</x:v>
      </x:c>
      <x:c r="B12777" s="13" t="str">
        <x:v>LOJAS RENNER S.A.</x:v>
      </x:c>
      <x:c r="C12777" s="16" t="n">
        <x:v>1597.4413985315</x:v>
      </x:c>
      <x:c r="D12777" s="13" t="str">
        <x:v>Retail</x:v>
      </x:c>
      <x:c r="E12777" s="13" t="str">
        <x:v>Retail</x:v>
      </x:c>
      <x:c r="F12777" s="13" t="str">
        <x:v>Early Cyclicals</x:v>
      </x:c>
      <x:c r="G12777" s="13" t="str">
        <x:v>grid_wbaxp5t0.xlsx</x:v>
      </x:c>
    </x:row>
    <x:row r="12778">
      <x:c r="A12778" s="15" t="n">
        <x:v>45809</x:v>
      </x:c>
      <x:c r="B12778" s="13" t="str">
        <x:v>MAGAZINE LUIZA SA</x:v>
      </x:c>
      <x:c r="C12778" s="16" t="n">
        <x:v>397.6660522082</x:v>
      </x:c>
      <x:c r="D12778" s="13" t="str">
        <x:v>Retail</x:v>
      </x:c>
      <x:c r="E12778" s="13" t="str">
        <x:v>Retail</x:v>
      </x:c>
      <x:c r="F12778" s="13" t="str">
        <x:v>Early Cyclicals</x:v>
      </x:c>
      <x:c r="G12778" s="13" t="str">
        <x:v>grid_wbaxp5t0.xlsx</x:v>
      </x:c>
    </x:row>
    <x:row r="12779">
      <x:c r="A12779" s="15" t="n">
        <x:v>45809</x:v>
      </x:c>
      <x:c r="B12779" s="13" t="str">
        <x:v>NATURA &amp;CO HOLDING SA</x:v>
      </x:c>
      <x:c r="C12779" s="16" t="n">
        <x:v>950.7412132822</x:v>
      </x:c>
      <x:c r="D12779" s="13" t="str">
        <x:v>Retail</x:v>
      </x:c>
      <x:c r="E12779" s="13" t="str">
        <x:v>Retail</x:v>
      </x:c>
      <x:c r="F12779" s="13" t="str">
        <x:v>Early Cyclicals</x:v>
      </x:c>
      <x:c r="G12779" s="13" t="str">
        <x:v>grid_wbaxp5t0.xlsx</x:v>
      </x:c>
    </x:row>
    <x:row r="12780">
      <x:c r="A12780" s="15" t="n">
        <x:v>45809</x:v>
      </x:c>
      <x:c r="B12780" s="13" t="str">
        <x:v>PET CENTER COMERCIO E PARTIC</x:v>
      </x:c>
      <x:c r="C12780" s="16" t="n">
        <x:v>83.4339726027</x:v>
      </x:c>
      <x:c r="D12780" s="13" t="str">
        <x:v>Retail</x:v>
      </x:c>
      <x:c r="E12780" s="13" t="str">
        <x:v>Retail</x:v>
      </x:c>
      <x:c r="F12780" s="13" t="str">
        <x:v>Early Cyclicals</x:v>
      </x:c>
      <x:c r="G12780" s="13" t="str">
        <x:v>grid_wbaxp5t0.xlsx</x:v>
      </x:c>
    </x:row>
    <x:row r="12781">
      <x:c r="A12781" s="15" t="n">
        <x:v>45809</x:v>
      </x:c>
      <x:c r="B12781" s="13" t="str">
        <x:v>RAIA DROGASIL SA</x:v>
      </x:c>
      <x:c r="C12781" s="16" t="n">
        <x:v>1229.3928027178</x:v>
      </x:c>
      <x:c r="D12781" s="13" t="str">
        <x:v>Retail</x:v>
      </x:c>
      <x:c r="E12781" s="13" t="str">
        <x:v>Retail</x:v>
      </x:c>
      <x:c r="F12781" s="13" t="str">
        <x:v>Early Cyclicals</x:v>
      </x:c>
      <x:c r="G12781" s="13" t="str">
        <x:v>grid_wbaxp5t0.xlsx</x:v>
      </x:c>
    </x:row>
    <x:row r="12782">
      <x:c r="A12782" s="15" t="n">
        <x:v>45809</x:v>
      </x:c>
      <x:c r="B12782" s="13" t="str">
        <x:v>SENDAS DISTRIBUIDORA SA</x:v>
      </x:c>
      <x:c r="C12782" s="16" t="n">
        <x:v>1037.5054953205</x:v>
      </x:c>
      <x:c r="D12782" s="13" t="str">
        <x:v>Retail</x:v>
      </x:c>
      <x:c r="E12782" s="13" t="str">
        <x:v>Retail</x:v>
      </x:c>
      <x:c r="F12782" s="13" t="str">
        <x:v>Early Cyclicals</x:v>
      </x:c>
      <x:c r="G12782" s="13" t="str">
        <x:v>grid_wbaxp5t0.xlsx</x:v>
      </x:c>
    </x:row>
    <x:row r="12783">
      <x:c r="A12783" s="15" t="n">
        <x:v>45809</x:v>
      </x:c>
      <x:c r="B12783" s="13" t="str">
        <x:v>SMARTFIT - ORDINARY</x:v>
      </x:c>
      <x:c r="C12783" s="16" t="n">
        <x:v>840.7808057863</x:v>
      </x:c>
      <x:c r="D12783" s="13" t="str">
        <x:v>Retail</x:v>
      </x:c>
      <x:c r="E12783" s="13" t="str">
        <x:v>Retail</x:v>
      </x:c>
      <x:c r="F12783" s="13" t="str">
        <x:v>Early Cyclicals</x:v>
      </x:c>
      <x:c r="G12783" s="13" t="str">
        <x:v>grid_wbaxp5t0.xlsx</x:v>
      </x:c>
    </x:row>
    <x:row r="12784">
      <x:c r="A12784" s="15" t="n">
        <x:v>45809</x:v>
      </x:c>
      <x:c r="B12784" s="13" t="str">
        <x:v>VIVARA PARTICIPACOES SA</x:v>
      </x:c>
      <x:c r="C12784" s="16" t="n">
        <x:v>650.2690528438</x:v>
      </x:c>
      <x:c r="D12784" s="13" t="str">
        <x:v>Retail</x:v>
      </x:c>
      <x:c r="E12784" s="13" t="str">
        <x:v>Retail</x:v>
      </x:c>
      <x:c r="F12784" s="13" t="str">
        <x:v>Early Cyclicals</x:v>
      </x:c>
      <x:c r="G12784" s="13" t="str">
        <x:v>grid_wbaxp5t0.xlsx</x:v>
      </x:c>
    </x:row>
    <x:row r="12785">
      <x:c r="A12785" s="15" t="n">
        <x:v>45809</x:v>
      </x:c>
      <x:c r="B12785" s="13" t="str">
        <x:v>CIA SANEAMENTO BASICO DE SP</x:v>
      </x:c>
      <x:c r="C12785" s="16" t="n">
        <x:v>5548.4694093151</x:v>
      </x:c>
      <x:c r="D12785" s="13" t="str">
        <x:v>Sanitation</x:v>
      </x:c>
      <x:c r="E12785" s="13" t="str">
        <x:v>Utilities</x:v>
      </x:c>
      <x:c r="F12785" s="13" t="str">
        <x:v>Defensives</x:v>
      </x:c>
      <x:c r="G12785" s="13" t="str">
        <x:v>grid_wbaxp5t0.xlsx</x:v>
      </x:c>
    </x:row>
    <x:row r="12786">
      <x:c r="A12786" s="15" t="n">
        <x:v>45809</x:v>
      </x:c>
      <x:c r="B12786" s="13" t="str">
        <x:v>TIM SA</x:v>
      </x:c>
      <x:c r="C12786" s="16" t="n">
        <x:v>4157.9288533918</x:v>
      </x:c>
      <x:c r="D12786" s="13" t="str">
        <x:v>TMT</x:v>
      </x:c>
      <x:c r="E12786" s="13" t="str">
        <x:v>TMT</x:v>
      </x:c>
      <x:c r="F12786" s="13" t="str">
        <x:v>Early Cyclicals</x:v>
      </x:c>
      <x:c r="G12786" s="13" t="str">
        <x:v>grid_wbaxp5t0.xlsx</x:v>
      </x:c>
    </x:row>
    <x:row r="12787">
      <x:c r="A12787" s="15" t="n">
        <x:v>45809</x:v>
      </x:c>
      <x:c r="B12787" s="13" t="str">
        <x:v>TOTVS SA</x:v>
      </x:c>
      <x:c r="C12787" s="16" t="n">
        <x:v>1010.6813857315</x:v>
      </x:c>
      <x:c r="D12787" s="13" t="str">
        <x:v>TMT</x:v>
      </x:c>
      <x:c r="E12787" s="13" t="str">
        <x:v>TMT</x:v>
      </x:c>
      <x:c r="F12787" s="13" t="str">
        <x:v>Early Cyclicals</x:v>
      </x:c>
      <x:c r="G12787" s="13" t="str">
        <x:v>grid_wbaxp5t0.xlsx</x:v>
      </x:c>
    </x:row>
    <x:row r="12788">
      <x:c r="A12788" s="15" t="n">
        <x:v>45809</x:v>
      </x:c>
      <x:c r="B12788" s="13" t="str">
        <x:v>LOCALIZA RENT A CAR</x:v>
      </x:c>
      <x:c r="C12788" s="16" t="n">
        <x:v>3936.6521715726</x:v>
      </x:c>
      <x:c r="D12788" s="13" t="str">
        <x:v>Transportation</x:v>
      </x:c>
      <x:c r="E12788" s="13" t="str">
        <x:v>Transportation</x:v>
      </x:c>
      <x:c r="F12788" s="13" t="str">
        <x:v>Deep Cyclicals</x:v>
      </x:c>
      <x:c r="G12788" s="13" t="str">
        <x:v>grid_wbaxp5t0.xlsx</x:v>
      </x:c>
    </x:row>
    <x:row r="12789">
      <x:c r="A12789" s="15" t="n">
        <x:v>45809</x:v>
      </x:c>
      <x:c r="B12789" s="13" t="str">
        <x:v>MOTIVA INFRAESTRUTURA DE MOB</x:v>
      </x:c>
      <x:c r="C12789" s="16" t="n">
        <x:v>2027.3300571178</x:v>
      </x:c>
      <x:c r="D12789" s="13" t="str">
        <x:v>Transportation</x:v>
      </x:c>
      <x:c r="E12789" s="13" t="str">
        <x:v>Transportation</x:v>
      </x:c>
      <x:c r="F12789" s="13" t="str">
        <x:v>Deep Cyclicals</x:v>
      </x:c>
      <x:c r="G12789" s="13" t="str">
        <x:v>grid_wbaxp5t0.xlsx</x:v>
      </x:c>
    </x:row>
    <x:row r="12790">
      <x:c r="A12790" s="15" t="n">
        <x:v>45809</x:v>
      </x:c>
      <x:c r="B12790" s="13" t="str">
        <x:v>RUMO SA</x:v>
      </x:c>
      <x:c r="C12790" s="16" t="n">
        <x:v>2460.654074389</x:v>
      </x:c>
      <x:c r="D12790" s="13" t="str">
        <x:v>Transportation</x:v>
      </x:c>
      <x:c r="E12790" s="13" t="str">
        <x:v>Transportation</x:v>
      </x:c>
      <x:c r="F12790" s="13" t="str">
        <x:v>Deep Cyclicals</x:v>
      </x:c>
      <x:c r="G12790" s="13" t="str">
        <x:v>grid_wbaxp5t0.xlsx</x:v>
      </x:c>
    </x:row>
    <x:row r="12791">
      <x:c r="A12791" s="15" t="n">
        <x:v>45809</x:v>
      </x:c>
      <x:c r="B12791" s="13" t="str">
        <x:v>SANTOS BRASIL PARTICIPACOES</x:v>
      </x:c>
      <x:c r="C12791" s="16" t="n">
        <x:v>872.7671071562</x:v>
      </x:c>
      <x:c r="D12791" s="13" t="str">
        <x:v>Transportation</x:v>
      </x:c>
      <x:c r="E12791" s="13" t="str">
        <x:v>Transportation</x:v>
      </x:c>
      <x:c r="F12791" s="13" t="str">
        <x:v>Deep Cyclicals</x:v>
      </x:c>
      <x:c r="G12791" s="13" t="str">
        <x:v>grid_wbaxp5t0.xlsx</x:v>
      </x:c>
    </x:row>
    <x:row r="12792">
      <x:c r="A12792" s="15" t="n">
        <x:v>45809</x:v>
      </x:c>
      <x:c r="B12792" s="13" t="str">
        <x:v>VAMOS LOCACAO DE CAMINHOES M</x:v>
      </x:c>
      <x:c r="C12792" s="16" t="n">
        <x:v>696.3322382027</x:v>
      </x:c>
      <x:c r="D12792" s="13" t="str">
        <x:v>Transportation</x:v>
      </x:c>
      <x:c r="E12792" s="13" t="str">
        <x:v>Transportation</x:v>
      </x:c>
      <x:c r="F12792" s="13" t="str">
        <x:v>Deep Cyclicals</x:v>
      </x:c>
      <x:c r="G12792" s="13" t="str">
        <x:v>grid_wbaxp5t0.xlsx</x:v>
      </x:c>
    </x:row>
    <x:row r="12793">
      <x:c r="A12793" s="15" t="n">
        <x:v>45809</x:v>
      </x:c>
      <x:c r="B12793" s="13" t="str">
        <x:v>AUREN ENERGIA SA - ON</x:v>
      </x:c>
      <x:c r="C12793" s="16" t="n">
        <x:v>-148.0582138521</x:v>
      </x:c>
      <x:c r="D12793" s="13" t="str">
        <x:v>Utilities &amp; Energy</x:v>
      </x:c>
      <x:c r="E12793" s="13" t="str">
        <x:v>Utilities</x:v>
      </x:c>
      <x:c r="F12793" s="13" t="str">
        <x:v>Defensives</x:v>
      </x:c>
      <x:c r="G12793" s="13" t="str">
        <x:v>grid_wbaxp5t0.xlsx</x:v>
      </x:c>
    </x:row>
    <x:row r="12794">
      <x:c r="A12794" s="15" t="n">
        <x:v>45809</x:v>
      </x:c>
      <x:c r="B12794" s="13" t="str">
        <x:v>AXIA ENERGIA SA</x:v>
      </x:c>
      <x:c r="C12794" s="16" t="n">
        <x:v>8851.9752914411</x:v>
      </x:c>
      <x:c r="D12794" s="13" t="str">
        <x:v>Utilities &amp; Energy</x:v>
      </x:c>
      <x:c r="E12794" s="13" t="str">
        <x:v>Utilities</x:v>
      </x:c>
      <x:c r="F12794" s="13" t="str">
        <x:v>Defensives</x:v>
      </x:c>
      <x:c r="G12794" s="13" t="str">
        <x:v>grid_wbaxp5t0.xlsx</x:v>
      </x:c>
    </x:row>
    <x:row r="12795">
      <x:c r="A12795" s="15" t="n">
        <x:v>45809</x:v>
      </x:c>
      <x:c r="B12795" s="13" t="str">
        <x:v>AXIA ENERGIA-PR B</x:v>
      </x:c>
      <x:c r="C12795" s="16" t="n">
        <x:v>8851.9752914411</x:v>
      </x:c>
      <x:c r="D12795" s="13" t="str">
        <x:v>Utilities &amp; Energy</x:v>
      </x:c>
      <x:c r="E12795" s="13" t="str">
        <x:v>Utilities</x:v>
      </x:c>
      <x:c r="F12795" s="13" t="str">
        <x:v>Defensives</x:v>
      </x:c>
      <x:c r="G12795" s="13" t="str">
        <x:v>grid_wbaxp5t0.xlsx</x:v>
      </x:c>
    </x:row>
    <x:row r="12796">
      <x:c r="A12796" s="15" t="n">
        <x:v>45809</x:v>
      </x:c>
      <x:c r="B12796" s="13" t="str">
        <x:v>CIA ENERGETICA MINAS GER-PRF</x:v>
      </x:c>
      <x:c r="C12796" s="16" t="n">
        <x:v>3601.5065438685</x:v>
      </x:c>
      <x:c r="D12796" s="13" t="str">
        <x:v>Utilities &amp; Energy</x:v>
      </x:c>
      <x:c r="E12796" s="13" t="str">
        <x:v>Utilities</x:v>
      </x:c>
      <x:c r="F12796" s="13" t="str">
        <x:v>Defensives</x:v>
      </x:c>
      <x:c r="G12796" s="13" t="str">
        <x:v>grid_wbaxp5t0.xlsx</x:v>
      </x:c>
    </x:row>
    <x:row r="12797">
      <x:c r="A12797" s="15" t="n">
        <x:v>45809</x:v>
      </x:c>
      <x:c r="B12797" s="13" t="str">
        <x:v>COMPANHIA PARANAENSE -PREF B</x:v>
      </x:c>
      <x:c r="C12797" s="16" t="n">
        <x:v>2368.6010802849</x:v>
      </x:c>
      <x:c r="D12797" s="13" t="str">
        <x:v>Utilities &amp; Energy</x:v>
      </x:c>
      <x:c r="E12797" s="13" t="str">
        <x:v>Utilities</x:v>
      </x:c>
      <x:c r="F12797" s="13" t="str">
        <x:v>Defensives</x:v>
      </x:c>
      <x:c r="G12797" s="13" t="str">
        <x:v>grid_wbaxp5t0.xlsx</x:v>
      </x:c>
    </x:row>
    <x:row r="12798">
      <x:c r="A12798" s="15" t="n">
        <x:v>45809</x:v>
      </x:c>
      <x:c r="B12798" s="13" t="str">
        <x:v>CPFL ENERGIA SA</x:v>
      </x:c>
      <x:c r="C12798" s="16" t="n">
        <x:v>4924.608749063</x:v>
      </x:c>
      <x:c r="D12798" s="13" t="str">
        <x:v>Utilities &amp; Energy</x:v>
      </x:c>
      <x:c r="E12798" s="13" t="str">
        <x:v>Utilities</x:v>
      </x:c>
      <x:c r="F12798" s="13" t="str">
        <x:v>Defensives</x:v>
      </x:c>
      <x:c r="G12798" s="13" t="str">
        <x:v>grid_wbaxp5t0.xlsx</x:v>
      </x:c>
    </x:row>
    <x:row r="12799">
      <x:c r="A12799" s="15" t="n">
        <x:v>45809</x:v>
      </x:c>
      <x:c r="B12799" s="13" t="str">
        <x:v>ENERGISA SA-UNITS</x:v>
      </x:c>
      <x:c r="C12799" s="16" t="n">
        <x:v>1675.1062510466</x:v>
      </x:c>
      <x:c r="D12799" s="13" t="str">
        <x:v>Utilities &amp; Energy</x:v>
      </x:c>
      <x:c r="E12799" s="13" t="str">
        <x:v>Utilities</x:v>
      </x:c>
      <x:c r="F12799" s="13" t="str">
        <x:v>Defensives</x:v>
      </x:c>
      <x:c r="G12799" s="13" t="str">
        <x:v>grid_wbaxp5t0.xlsx</x:v>
      </x:c>
    </x:row>
    <x:row r="12800">
      <x:c r="A12800" s="15" t="n">
        <x:v>45809</x:v>
      </x:c>
      <x:c r="B12800" s="13" t="str">
        <x:v>ENEVA SA</x:v>
      </x:c>
      <x:c r="C12800" s="16" t="n">
        <x:v>1866.9795001863</x:v>
      </x:c>
      <x:c r="D12800" s="13" t="str">
        <x:v>Utilities &amp; Energy</x:v>
      </x:c>
      <x:c r="E12800" s="13" t="str">
        <x:v>Utilities</x:v>
      </x:c>
      <x:c r="F12800" s="13" t="str">
        <x:v>Defensives</x:v>
      </x:c>
      <x:c r="G12800" s="13" t="str">
        <x:v>grid_wbaxp5t0.xlsx</x:v>
      </x:c>
    </x:row>
    <x:row r="12801">
      <x:c r="A12801" s="15" t="n">
        <x:v>45809</x:v>
      </x:c>
      <x:c r="B12801" s="13" t="str">
        <x:v>ENGIE BRASIL ENERGIA SA</x:v>
      </x:c>
      <x:c r="C12801" s="16" t="n">
        <x:v>3152.6629502247</x:v>
      </x:c>
      <x:c r="D12801" s="13" t="str">
        <x:v>Utilities &amp; Energy</x:v>
      </x:c>
      <x:c r="E12801" s="13" t="str">
        <x:v>Utilities</x:v>
      </x:c>
      <x:c r="F12801" s="13" t="str">
        <x:v>Defensives</x:v>
      </x:c>
      <x:c r="G12801" s="13" t="str">
        <x:v>grid_wbaxp5t0.xlsx</x:v>
      </x:c>
    </x:row>
    <x:row r="12802">
      <x:c r="A12802" s="15" t="n">
        <x:v>45809</x:v>
      </x:c>
      <x:c r="B12802" s="13" t="str">
        <x:v>EQUATORIAL SA - ORD</x:v>
      </x:c>
      <x:c r="C12802" s="16" t="n">
        <x:v>3334.0586453918</x:v>
      </x:c>
      <x:c r="D12802" s="13" t="str">
        <x:v>Utilities &amp; Energy</x:v>
      </x:c>
      <x:c r="E12802" s="13" t="str">
        <x:v>Utilities</x:v>
      </x:c>
      <x:c r="F12802" s="13" t="str">
        <x:v>Defensives</x:v>
      </x:c>
      <x:c r="G12802" s="13" t="str">
        <x:v>grid_wbaxp5t0.xlsx</x:v>
      </x:c>
    </x:row>
    <x:row r="12803">
      <x:c r="A12803" s="15" t="n">
        <x:v>45809</x:v>
      </x:c>
      <x:c r="B12803" s="13" t="str">
        <x:v>ISA ENERGIA BRASIL SA</x:v>
      </x:c>
      <x:c r="C12803" s="16" t="n">
        <x:v>1474.8440305973</x:v>
      </x:c>
      <x:c r="D12803" s="13" t="str">
        <x:v>Utilities &amp; Energy</x:v>
      </x:c>
      <x:c r="E12803" s="13" t="str">
        <x:v>Utilities</x:v>
      </x:c>
      <x:c r="F12803" s="13" t="str">
        <x:v>Defensives</x:v>
      </x:c>
      <x:c r="G12803" s="13" t="str">
        <x:v>grid_wbaxp5t0.xlsx</x:v>
      </x:c>
    </x:row>
    <x:row r="12804">
      <x:c r="A12804" s="15" t="n">
        <x:v>45809</x:v>
      </x:c>
      <x:c r="B12804" s="13" t="str">
        <x:v>TRANSMISSORA ALIANCA DE-UNIT</x:v>
      </x:c>
      <x:c r="C12804" s="16" t="n">
        <x:v>1246.3337570192</x:v>
      </x:c>
      <x:c r="D12804" s="13" t="str">
        <x:v>Utilities &amp; Energy</x:v>
      </x:c>
      <x:c r="E12804" s="13" t="str">
        <x:v>Utilities</x:v>
      </x:c>
      <x:c r="F12804" s="13" t="str">
        <x:v>Defensives</x:v>
      </x:c>
      <x:c r="G12804" s="13" t="str">
        <x:v>grid_wbaxp5t0.xlsx</x:v>
      </x:c>
    </x:row>
    <x:row r="12805">
      <x:c r="A12805" s="15" t="n">
        <x:v>45839</x:v>
      </x:c>
      <x:c r="B12805" s="13" t="str">
        <x:v>RAIZEN SA - PREFERENCE</x:v>
      </x:c>
      <x:c r="C12805" s="16" t="n">
        <x:v>-629.7151370521</x:v>
      </x:c>
      <x:c r="D12805" s="13" t="str">
        <x:v>Agribusiness</x:v>
      </x:c>
      <x:c r="E12805" s="13" t="str">
        <x:v>Agri, Food &amp; Beverages</x:v>
      </x:c>
      <x:c r="F12805" s="13" t="str">
        <x:v>Defensives</x:v>
      </x:c>
      <x:c r="G12805" s="13" t="str">
        <x:v>grid_wbaxp5t0.xlsx</x:v>
      </x:c>
    </x:row>
    <x:row r="12806">
      <x:c r="A12806" s="15" t="n">
        <x:v>45839</x:v>
      </x:c>
      <x:c r="B12806" s="13" t="str">
        <x:v>SAO MARTINHO SA</x:v>
      </x:c>
      <x:c r="C12806" s="16" t="n">
        <x:v>754.347628011</x:v>
      </x:c>
      <x:c r="D12806" s="13" t="str">
        <x:v>Agribusiness</x:v>
      </x:c>
      <x:c r="E12806" s="13" t="str">
        <x:v>Agri, Food &amp; Beverages</x:v>
      </x:c>
      <x:c r="F12806" s="13" t="str">
        <x:v>Defensives</x:v>
      </x:c>
      <x:c r="G12806" s="13" t="str">
        <x:v>grid_wbaxp5t0.xlsx</x:v>
      </x:c>
    </x:row>
    <x:row r="12807">
      <x:c r="A12807" s="15" t="n">
        <x:v>45839</x:v>
      </x:c>
      <x:c r="B12807" s="13" t="str">
        <x:v>SLC AGRICOLA SA</x:v>
      </x:c>
      <x:c r="C12807" s="16" t="n">
        <x:v>920.6581916055</x:v>
      </x:c>
      <x:c r="D12807" s="13" t="str">
        <x:v>Agribusiness</x:v>
      </x:c>
      <x:c r="E12807" s="13" t="str">
        <x:v>Agri, Food &amp; Beverages</x:v>
      </x:c>
      <x:c r="F12807" s="13" t="str">
        <x:v>Defensives</x:v>
      </x:c>
      <x:c r="G12807" s="13" t="str">
        <x:v>grid_wbaxp5t0.xlsx</x:v>
      </x:c>
    </x:row>
    <x:row r="12808">
      <x:c r="A12808" s="15" t="n">
        <x:v>45839</x:v>
      </x:c>
      <x:c r="B12808" s="13" t="str">
        <x:v>BANCO BRADESCO S.A.</x:v>
      </x:c>
      <x:c r="C12808" s="16" t="n">
        <x:v>26161.9163136</x:v>
      </x:c>
      <x:c r="D12808" s="13" t="str">
        <x:v>Banks</x:v>
      </x:c>
      <x:c r="E12808" s="13" t="str">
        <x:v>Banks</x:v>
      </x:c>
      <x:c r="F12808" s="13" t="str">
        <x:v>Financials</x:v>
      </x:c>
      <x:c r="G12808" s="13" t="str">
        <x:v>grid_wbaxp5t0.xlsx</x:v>
      </x:c>
    </x:row>
    <x:row r="12809">
      <x:c r="A12809" s="15" t="n">
        <x:v>45839</x:v>
      </x:c>
      <x:c r="B12809" s="13" t="str">
        <x:v>BANCO BRADESCO SA-PREF</x:v>
      </x:c>
      <x:c r="C12809" s="16" t="n">
        <x:v>26161.9163136</x:v>
      </x:c>
      <x:c r="D12809" s="13" t="str">
        <x:v>Banks</x:v>
      </x:c>
      <x:c r="E12809" s="13" t="str">
        <x:v>Banks</x:v>
      </x:c>
      <x:c r="F12809" s="13" t="str">
        <x:v>Financials</x:v>
      </x:c>
      <x:c r="G12809" s="13" t="str">
        <x:v>grid_wbaxp5t0.xlsx</x:v>
      </x:c>
    </x:row>
    <x:row r="12810">
      <x:c r="A12810" s="15" t="n">
        <x:v>45839</x:v>
      </x:c>
      <x:c r="B12810" s="13" t="str">
        <x:v>BANCO BTG PACTUAL SA-UNIT</x:v>
      </x:c>
      <x:c r="C12810" s="16" t="n">
        <x:v>15852.3658716932</x:v>
      </x:c>
      <x:c r="D12810" s="13" t="str">
        <x:v>Banks</x:v>
      </x:c>
      <x:c r="E12810" s="13" t="str">
        <x:v>Banks</x:v>
      </x:c>
      <x:c r="F12810" s="13" t="str">
        <x:v>Financials</x:v>
      </x:c>
      <x:c r="G12810" s="13" t="str">
        <x:v>grid_wbaxp5t0.xlsx</x:v>
      </x:c>
    </x:row>
    <x:row r="12811">
      <x:c r="A12811" s="15" t="n">
        <x:v>45839</x:v>
      </x:c>
      <x:c r="B12811" s="13" t="str">
        <x:v>BANCO DO BRASIL S.A.</x:v>
      </x:c>
      <x:c r="C12811" s="16" t="n">
        <x:v>28715.3946848438</x:v>
      </x:c>
      <x:c r="D12811" s="13" t="str">
        <x:v>Banks</x:v>
      </x:c>
      <x:c r="E12811" s="13" t="str">
        <x:v>Banks</x:v>
      </x:c>
      <x:c r="F12811" s="13" t="str">
        <x:v>Financials</x:v>
      </x:c>
      <x:c r="G12811" s="13" t="str">
        <x:v>grid_wbaxp5t0.xlsx</x:v>
      </x:c>
    </x:row>
    <x:row r="12812">
      <x:c r="A12812" s="15" t="n">
        <x:v>45839</x:v>
      </x:c>
      <x:c r="B12812" s="13" t="str">
        <x:v>BANCO SANTANDER  BRASIL-UNIT</x:v>
      </x:c>
      <x:c r="C12812" s="16" t="n">
        <x:v>16640.3831836055</x:v>
      </x:c>
      <x:c r="D12812" s="13" t="str">
        <x:v>Banks</x:v>
      </x:c>
      <x:c r="E12812" s="13" t="str">
        <x:v>Banks</x:v>
      </x:c>
      <x:c r="F12812" s="13" t="str">
        <x:v>Financials</x:v>
      </x:c>
      <x:c r="G12812" s="13" t="str">
        <x:v>grid_wbaxp5t0.xlsx</x:v>
      </x:c>
    </x:row>
    <x:row r="12813">
      <x:c r="A12813" s="15" t="n">
        <x:v>45839</x:v>
      </x:c>
      <x:c r="B12813" s="13" t="str">
        <x:v>ITAU UNIBANCO HOLDING S-PREF</x:v>
      </x:c>
      <x:c r="C12813" s="16" t="n">
        <x:v>48043.7933322521</x:v>
      </x:c>
      <x:c r="D12813" s="13" t="str">
        <x:v>Banks</x:v>
      </x:c>
      <x:c r="E12813" s="13" t="str">
        <x:v>Banks</x:v>
      </x:c>
      <x:c r="F12813" s="13" t="str">
        <x:v>Financials</x:v>
      </x:c>
      <x:c r="G12813" s="13" t="str">
        <x:v>grid_wbaxp5t0.xlsx</x:v>
      </x:c>
    </x:row>
    <x:row r="12814">
      <x:c r="A12814" s="15" t="n">
        <x:v>45839</x:v>
      </x:c>
      <x:c r="B12814" s="13" t="str">
        <x:v>EMBRAER SA</x:v>
      </x:c>
      <x:c r="C12814" s="16" t="n">
        <x:v>2523.0012117918</x:v>
      </x:c>
      <x:c r="D12814" s="13" t="str">
        <x:v>Capital Goods</x:v>
      </x:c>
      <x:c r="E12814" s="13" t="str">
        <x:v>Capital Goods</x:v>
      </x:c>
      <x:c r="F12814" s="13" t="str">
        <x:v>Deep Cyclicals</x:v>
      </x:c>
      <x:c r="G12814" s="13" t="str">
        <x:v>grid_wbaxp5t0.xlsx</x:v>
      </x:c>
    </x:row>
    <x:row r="12815">
      <x:c r="A12815" s="15" t="n">
        <x:v>45839</x:v>
      </x:c>
      <x:c r="B12815" s="13" t="str">
        <x:v>MARCOPOLO SA-PREF</x:v>
      </x:c>
      <x:c r="C12815" s="16" t="n">
        <x:v>1307.9212715836</x:v>
      </x:c>
      <x:c r="D12815" s="13" t="str">
        <x:v>Capital Goods</x:v>
      </x:c>
      <x:c r="E12815" s="13" t="str">
        <x:v>Capital Goods</x:v>
      </x:c>
      <x:c r="F12815" s="13" t="str">
        <x:v>Deep Cyclicals</x:v>
      </x:c>
      <x:c r="G12815" s="13" t="str">
        <x:v>grid_wbaxp5t0.xlsx</x:v>
      </x:c>
    </x:row>
    <x:row r="12816">
      <x:c r="A12816" s="15" t="n">
        <x:v>45839</x:v>
      </x:c>
      <x:c r="B12816" s="13" t="str">
        <x:v>WEG SA</x:v>
      </x:c>
      <x:c r="C12816" s="16" t="n">
        <x:v>7082.9623913205</x:v>
      </x:c>
      <x:c r="D12816" s="13" t="str">
        <x:v>Capital Goods</x:v>
      </x:c>
      <x:c r="E12816" s="13" t="str">
        <x:v>Capital Goods</x:v>
      </x:c>
      <x:c r="F12816" s="13" t="str">
        <x:v>Deep Cyclicals</x:v>
      </x:c>
      <x:c r="G12816" s="13" t="str">
        <x:v>grid_wbaxp5t0.xlsx</x:v>
      </x:c>
    </x:row>
    <x:row r="12817">
      <x:c r="A12817" s="15" t="n">
        <x:v>45839</x:v>
      </x:c>
      <x:c r="B12817" s="13" t="str">
        <x:v>COGNA EDUCACAO</x:v>
      </x:c>
      <x:c r="C12817" s="16" t="n">
        <x:v>623.7652532603</x:v>
      </x:c>
      <x:c r="D12817" s="13" t="str">
        <x:v>Education</x:v>
      </x:c>
      <x:c r="E12817" s="13" t="str">
        <x:v>Education</x:v>
      </x:c>
      <x:c r="F12817" s="13" t="str">
        <x:v>Early Cyclicals</x:v>
      </x:c>
      <x:c r="G12817" s="13" t="str">
        <x:v>grid_wbaxp5t0.xlsx</x:v>
      </x:c>
    </x:row>
    <x:row r="12818">
      <x:c r="A12818" s="15" t="n">
        <x:v>45839</x:v>
      </x:c>
      <x:c r="B12818" s="13" t="str">
        <x:v>YDUQS PARTICIPACOES SA</x:v>
      </x:c>
      <x:c r="C12818" s="16" t="n">
        <x:v>501.1717980932</x:v>
      </x:c>
      <x:c r="D12818" s="13" t="str">
        <x:v>Education</x:v>
      </x:c>
      <x:c r="E12818" s="13" t="str">
        <x:v>Education</x:v>
      </x:c>
      <x:c r="F12818" s="13" t="str">
        <x:v>Early Cyclicals</x:v>
      </x:c>
      <x:c r="G12818" s="13" t="str">
        <x:v>grid_wbaxp5t0.xlsx</x:v>
      </x:c>
    </x:row>
    <x:row r="12819">
      <x:c r="A12819" s="15" t="n">
        <x:v>45839</x:v>
      </x:c>
      <x:c r="B12819" s="13" t="str">
        <x:v>B3 SA-BRASIL BOLSA BALCAO</x:v>
      </x:c>
      <x:c r="C12819" s="16" t="n">
        <x:v>5264.013818389</x:v>
      </x:c>
      <x:c r="D12819" s="13" t="str">
        <x:v>Financials Non-Banks</x:v>
      </x:c>
      <x:c r="E12819" s="13" t="str">
        <x:v>Financials Non-Banks</x:v>
      </x:c>
      <x:c r="F12819" s="13" t="str">
        <x:v>Financials</x:v>
      </x:c>
      <x:c r="G12819" s="13" t="str">
        <x:v>grid_wbaxp5t0.xlsx</x:v>
      </x:c>
    </x:row>
    <x:row r="12820">
      <x:c r="A12820" s="15" t="n">
        <x:v>45839</x:v>
      </x:c>
      <x:c r="B12820" s="13" t="str">
        <x:v>BB SEGURIDADE PARTICIPACOES</x:v>
      </x:c>
      <x:c r="C12820" s="16" t="n">
        <x:v>9021.3890861589</x:v>
      </x:c>
      <x:c r="D12820" s="13" t="str">
        <x:v>Financials Non-Banks</x:v>
      </x:c>
      <x:c r="E12820" s="13" t="str">
        <x:v>Financials Non-Banks</x:v>
      </x:c>
      <x:c r="F12820" s="13" t="str">
        <x:v>Financials</x:v>
      </x:c>
      <x:c r="G12820" s="13" t="str">
        <x:v>grid_wbaxp5t0.xlsx</x:v>
      </x:c>
    </x:row>
    <x:row r="12821">
      <x:c r="A12821" s="15" t="n">
        <x:v>45839</x:v>
      </x:c>
      <x:c r="B12821" s="13" t="str">
        <x:v>CAIXA SEGURIDADE PARTICIPACO</x:v>
      </x:c>
      <x:c r="C12821" s="16" t="n">
        <x:v>4527.505030663</x:v>
      </x:c>
      <x:c r="D12821" s="13" t="str">
        <x:v>Financials Non-Banks</x:v>
      </x:c>
      <x:c r="E12821" s="13" t="str">
        <x:v>Financials Non-Banks</x:v>
      </x:c>
      <x:c r="F12821" s="13" t="str">
        <x:v>Financials</x:v>
      </x:c>
      <x:c r="G12821" s="13" t="str">
        <x:v>grid_wbaxp5t0.xlsx</x:v>
      </x:c>
    </x:row>
    <x:row r="12822">
      <x:c r="A12822" s="15" t="n">
        <x:v>45839</x:v>
      </x:c>
      <x:c r="B12822" s="13" t="str">
        <x:v>IRB BRASIL RESSEGUROS SA</x:v>
      </x:c>
      <x:c r="C12822" s="16" t="n">
        <x:v>591.2357595178</x:v>
      </x:c>
      <x:c r="D12822" s="13" t="str">
        <x:v>Financials Non-Banks</x:v>
      </x:c>
      <x:c r="E12822" s="13" t="str">
        <x:v>Financials Non-Banks</x:v>
      </x:c>
      <x:c r="F12822" s="13" t="str">
        <x:v>Financials</x:v>
      </x:c>
      <x:c r="G12822" s="13" t="str">
        <x:v>grid_wbaxp5t0.xlsx</x:v>
      </x:c>
    </x:row>
    <x:row r="12823">
      <x:c r="A12823" s="15" t="n">
        <x:v>45839</x:v>
      </x:c>
      <x:c r="B12823" s="13" t="str">
        <x:v>ITAUSA SA</x:v>
      </x:c>
      <x:c r="C12823" s="16" t="n">
        <x:v>17423.7341331288</x:v>
      </x:c>
      <x:c r="D12823" s="13" t="str">
        <x:v>Financials Non-Banks</x:v>
      </x:c>
      <x:c r="E12823" s="13" t="str">
        <x:v>Financials Non-Banks</x:v>
      </x:c>
      <x:c r="F12823" s="13" t="str">
        <x:v>Financials</x:v>
      </x:c>
      <x:c r="G12823" s="13" t="str">
        <x:v>grid_wbaxp5t0.xlsx</x:v>
      </x:c>
    </x:row>
    <x:row r="12824">
      <x:c r="A12824" s="15" t="n">
        <x:v>45839</x:v>
      </x:c>
      <x:c r="B12824" s="13" t="str">
        <x:v>PORTO SEGURO SA</x:v>
      </x:c>
      <x:c r="C12824" s="16" t="n">
        <x:v>3494.4279369644</x:v>
      </x:c>
      <x:c r="D12824" s="13" t="str">
        <x:v>Financials Non-Banks</x:v>
      </x:c>
      <x:c r="E12824" s="13" t="str">
        <x:v>Financials Non-Banks</x:v>
      </x:c>
      <x:c r="F12824" s="13" t="str">
        <x:v>Financials</x:v>
      </x:c>
      <x:c r="G12824" s="13" t="str">
        <x:v>grid_wbaxp5t0.xlsx</x:v>
      </x:c>
    </x:row>
    <x:row r="12825">
      <x:c r="A12825" s="15" t="n">
        <x:v>45839</x:v>
      </x:c>
      <x:c r="B12825" s="13" t="str">
        <x:v>AMBEV SA</x:v>
      </x:c>
      <x:c r="C12825" s="16" t="n">
        <x:v>15970.0351901808</x:v>
      </x:c>
      <x:c r="D12825" s="13" t="str">
        <x:v>Food &amp; Beverages</x:v>
      </x:c>
      <x:c r="E12825" s="13" t="str">
        <x:v>Agri, Food &amp; Beverages</x:v>
      </x:c>
      <x:c r="F12825" s="13" t="str">
        <x:v>Defensives</x:v>
      </x:c>
      <x:c r="G12825" s="13" t="str">
        <x:v>grid_wbaxp5t0.xlsx</x:v>
      </x:c>
    </x:row>
    <x:row r="12826">
      <x:c r="A12826" s="15" t="n">
        <x:v>45839</x:v>
      </x:c>
      <x:c r="B12826" s="13" t="str">
        <x:v>BRF SA</x:v>
      </x:c>
      <x:c r="C12826" s="16" t="n">
        <x:v>2817.1626860712</x:v>
      </x:c>
      <x:c r="D12826" s="13" t="str">
        <x:v>Food &amp; Beverages</x:v>
      </x:c>
      <x:c r="E12826" s="13" t="str">
        <x:v>Agri, Food &amp; Beverages</x:v>
      </x:c>
      <x:c r="F12826" s="13" t="str">
        <x:v>Defensives</x:v>
      </x:c>
      <x:c r="G12826" s="13" t="str">
        <x:v>grid_wbaxp5t0.xlsx</x:v>
      </x:c>
    </x:row>
    <x:row r="12827">
      <x:c r="A12827" s="15" t="n">
        <x:v>45839</x:v>
      </x:c>
      <x:c r="B12827" s="13" t="str">
        <x:v>MBRF GLOBAL FOODS COMPANY SA</x:v>
      </x:c>
      <x:c r="C12827" s="16" t="n">
        <x:v>-37.7261704767</x:v>
      </x:c>
      <x:c r="D12827" s="13" t="str">
        <x:v>Food &amp; Beverages</x:v>
      </x:c>
      <x:c r="E12827" s="13" t="str">
        <x:v>Agri, Food &amp; Beverages</x:v>
      </x:c>
      <x:c r="F12827" s="13" t="str">
        <x:v>Defensives</x:v>
      </x:c>
      <x:c r="G12827" s="13" t="str">
        <x:v>grid_wbaxp5t0.xlsx</x:v>
      </x:c>
    </x:row>
    <x:row r="12828">
      <x:c r="A12828" s="15" t="n">
        <x:v>45839</x:v>
      </x:c>
      <x:c r="B12828" s="13" t="str">
        <x:v>MINERVA SA</x:v>
      </x:c>
      <x:c r="C12828" s="16" t="n">
        <x:v>784.8712328767</x:v>
      </x:c>
      <x:c r="D12828" s="13" t="str">
        <x:v>Food &amp; Beverages</x:v>
      </x:c>
      <x:c r="E12828" s="13" t="str">
        <x:v>Agri, Food &amp; Beverages</x:v>
      </x:c>
      <x:c r="F12828" s="13" t="str">
        <x:v>Defensives</x:v>
      </x:c>
      <x:c r="G12828" s="13" t="str">
        <x:v>grid_wbaxp5t0.xlsx</x:v>
      </x:c>
    </x:row>
    <x:row r="12829">
      <x:c r="A12829" s="15" t="n">
        <x:v>45839</x:v>
      </x:c>
      <x:c r="B12829" s="13" t="str">
        <x:v>FLEURY SA</x:v>
      </x:c>
      <x:c r="C12829" s="16" t="n">
        <x:v>705.6137079233</x:v>
      </x:c>
      <x:c r="D12829" s="13" t="str">
        <x:v>Health Care</x:v>
      </x:c>
      <x:c r="E12829" s="13" t="str">
        <x:v>Health Care</x:v>
      </x:c>
      <x:c r="F12829" s="13" t="str">
        <x:v>Defensives</x:v>
      </x:c>
      <x:c r="G12829" s="13" t="str">
        <x:v>grid_wbaxp5t0.xlsx</x:v>
      </x:c>
    </x:row>
    <x:row r="12830">
      <x:c r="A12830" s="15" t="n">
        <x:v>45839</x:v>
      </x:c>
      <x:c r="B12830" s="13" t="str">
        <x:v>HAPVIDA PARTICIPACOES E INVE</x:v>
      </x:c>
      <x:c r="C12830" s="16" t="n">
        <x:v>1459.6000434849</x:v>
      </x:c>
      <x:c r="D12830" s="13" t="str">
        <x:v>Health Care</x:v>
      </x:c>
      <x:c r="E12830" s="13" t="str">
        <x:v>Health Care</x:v>
      </x:c>
      <x:c r="F12830" s="13" t="str">
        <x:v>Defensives</x:v>
      </x:c>
      <x:c r="G12830" s="13" t="str">
        <x:v>grid_wbaxp5t0.xlsx</x:v>
      </x:c>
    </x:row>
    <x:row r="12831">
      <x:c r="A12831" s="15" t="n">
        <x:v>45839</x:v>
      </x:c>
      <x:c r="B12831" s="13" t="str">
        <x:v>HYPERA SA</x:v>
      </x:c>
      <x:c r="C12831" s="16" t="n">
        <x:v>1628.332077589</x:v>
      </x:c>
      <x:c r="D12831" s="13" t="str">
        <x:v>Health Care</x:v>
      </x:c>
      <x:c r="E12831" s="13" t="str">
        <x:v>Health Care</x:v>
      </x:c>
      <x:c r="F12831" s="13" t="str">
        <x:v>Defensives</x:v>
      </x:c>
      <x:c r="G12831" s="13" t="str">
        <x:v>grid_wbaxp5t0.xlsx</x:v>
      </x:c>
    </x:row>
    <x:row r="12832">
      <x:c r="A12832" s="15" t="n">
        <x:v>45839</x:v>
      </x:c>
      <x:c r="B12832" s="13" t="str">
        <x:v>REDE D'OR SAO LUIZ SA</x:v>
      </x:c>
      <x:c r="C12832" s="16" t="n">
        <x:v>4973.2109424219</x:v>
      </x:c>
      <x:c r="D12832" s="13" t="str">
        <x:v>Health Care</x:v>
      </x:c>
      <x:c r="E12832" s="13" t="str">
        <x:v>Health Care</x:v>
      </x:c>
      <x:c r="F12832" s="13" t="str">
        <x:v>Defensives</x:v>
      </x:c>
      <x:c r="G12832" s="13" t="str">
        <x:v>grid_wbaxp5t0.xlsx</x:v>
      </x:c>
    </x:row>
    <x:row r="12833">
      <x:c r="A12833" s="15" t="n">
        <x:v>45839</x:v>
      </x:c>
      <x:c r="B12833" s="13" t="str">
        <x:v>CYRELA BRAZIL REALTY SA EMP</x:v>
      </x:c>
      <x:c r="C12833" s="16" t="n">
        <x:v>1907.9074665206</x:v>
      </x:c>
      <x:c r="D12833" s="13" t="str">
        <x:v>Homebuilders</x:v>
      </x:c>
      <x:c r="E12833" s="13" t="str">
        <x:v>Real Estate</x:v>
      </x:c>
      <x:c r="F12833" s="13" t="str">
        <x:v>Early Cyclicals</x:v>
      </x:c>
      <x:c r="G12833" s="13" t="str">
        <x:v>grid_wbaxp5t0.xlsx</x:v>
      </x:c>
    </x:row>
    <x:row r="12834">
      <x:c r="A12834" s="15" t="n">
        <x:v>45839</x:v>
      </x:c>
      <x:c r="B12834" s="13" t="str">
        <x:v>DIRECIONAL ENGENHARIA SA</x:v>
      </x:c>
      <x:c r="C12834" s="16" t="n">
        <x:v>912.1739248219</x:v>
      </x:c>
      <x:c r="D12834" s="13" t="str">
        <x:v>Homebuilders</x:v>
      </x:c>
      <x:c r="E12834" s="13" t="str">
        <x:v>Real Estate</x:v>
      </x:c>
      <x:c r="F12834" s="13" t="str">
        <x:v>Early Cyclicals</x:v>
      </x:c>
      <x:c r="G12834" s="13" t="str">
        <x:v>grid_wbaxp5t0.xlsx</x:v>
      </x:c>
    </x:row>
    <x:row r="12835">
      <x:c r="A12835" s="15" t="n">
        <x:v>45839</x:v>
      </x:c>
      <x:c r="B12835" s="13" t="str">
        <x:v>MRV ENGENHARIA</x:v>
      </x:c>
      <x:c r="C12835" s="16" t="n">
        <x:v>289.5577216</x:v>
      </x:c>
      <x:c r="D12835" s="13" t="str">
        <x:v>Homebuilders</x:v>
      </x:c>
      <x:c r="E12835" s="13" t="str">
        <x:v>Real Estate</x:v>
      </x:c>
      <x:c r="F12835" s="13" t="str">
        <x:v>Early Cyclicals</x:v>
      </x:c>
      <x:c r="G12835" s="13" t="str">
        <x:v>grid_wbaxp5t0.xlsx</x:v>
      </x:c>
    </x:row>
    <x:row r="12836">
      <x:c r="A12836" s="15" t="n">
        <x:v>45839</x:v>
      </x:c>
      <x:c r="B12836" s="13" t="str">
        <x:v>ALLOS SA</x:v>
      </x:c>
      <x:c r="C12836" s="16" t="n">
        <x:v>787.499488263</x:v>
      </x:c>
      <x:c r="D12836" s="13" t="str">
        <x:v>Income Properties</x:v>
      </x:c>
      <x:c r="E12836" s="13" t="str">
        <x:v>Real Estate</x:v>
      </x:c>
      <x:c r="F12836" s="13" t="str">
        <x:v>Early Cyclicals</x:v>
      </x:c>
      <x:c r="G12836" s="13" t="str">
        <x:v>grid_wbaxp5t0.xlsx</x:v>
      </x:c>
    </x:row>
    <x:row r="12837">
      <x:c r="A12837" s="15" t="n">
        <x:v>45839</x:v>
      </x:c>
      <x:c r="B12837" s="13" t="str">
        <x:v>IGUATEMI SA - UNITS</x:v>
      </x:c>
      <x:c r="C12837" s="16" t="n">
        <x:v>558.8983094356</x:v>
      </x:c>
      <x:c r="D12837" s="13" t="str">
        <x:v>Income Properties</x:v>
      </x:c>
      <x:c r="E12837" s="13" t="str">
        <x:v>Real Estate</x:v>
      </x:c>
      <x:c r="F12837" s="13" t="str">
        <x:v>Early Cyclicals</x:v>
      </x:c>
      <x:c r="G12837" s="13" t="str">
        <x:v>grid_wbaxp5t0.xlsx</x:v>
      </x:c>
    </x:row>
    <x:row r="12838">
      <x:c r="A12838" s="15" t="n">
        <x:v>45839</x:v>
      </x:c>
      <x:c r="B12838" s="13" t="str">
        <x:v>MULTIPLAN EMPREENDIMENTOS</x:v>
      </x:c>
      <x:c r="C12838" s="16" t="n">
        <x:v>1055.591820274</x:v>
      </x:c>
      <x:c r="D12838" s="13" t="str">
        <x:v>Income Properties</x:v>
      </x:c>
      <x:c r="E12838" s="13" t="str">
        <x:v>Real Estate</x:v>
      </x:c>
      <x:c r="F12838" s="13" t="str">
        <x:v>Early Cyclicals</x:v>
      </x:c>
      <x:c r="G12838" s="13" t="str">
        <x:v>grid_wbaxp5t0.xlsx</x:v>
      </x:c>
    </x:row>
    <x:row r="12839">
      <x:c r="A12839" s="15" t="n">
        <x:v>45839</x:v>
      </x:c>
      <x:c r="B12839" s="13" t="str">
        <x:v>BRADESPAR SA -PREF</x:v>
      </x:c>
      <x:c r="C12839" s="16" t="n">
        <x:v>1492.3191460822</x:v>
      </x:c>
      <x:c r="D12839" s="13" t="str">
        <x:v>Metals &amp; Mining</x:v>
      </x:c>
      <x:c r="E12839" s="13" t="str">
        <x:v>Metals &amp; Mining</x:v>
      </x:c>
      <x:c r="F12839" s="13" t="str">
        <x:v>Deep Cyclicals</x:v>
      </x:c>
      <x:c r="G12839" s="13" t="str">
        <x:v>grid_wbaxp5t0.xlsx</x:v>
      </x:c>
    </x:row>
    <x:row r="12840">
      <x:c r="A12840" s="15" t="n">
        <x:v>45839</x:v>
      </x:c>
      <x:c r="B12840" s="13" t="str">
        <x:v>CIA SIDERURGICA NACIONAL SA</x:v>
      </x:c>
      <x:c r="C12840" s="16" t="n">
        <x:v>-518.5946979507</x:v>
      </x:c>
      <x:c r="D12840" s="13" t="str">
        <x:v>Metals &amp; Mining</x:v>
      </x:c>
      <x:c r="E12840" s="13" t="str">
        <x:v>Metals &amp; Mining</x:v>
      </x:c>
      <x:c r="F12840" s="13" t="str">
        <x:v>Deep Cyclicals</x:v>
      </x:c>
      <x:c r="G12840" s="13" t="str">
        <x:v>grid_wbaxp5t0.xlsx</x:v>
      </x:c>
    </x:row>
    <x:row r="12841">
      <x:c r="A12841" s="15" t="n">
        <x:v>45839</x:v>
      </x:c>
      <x:c r="B12841" s="13" t="str">
        <x:v>CSN MINERACAO SA</x:v>
      </x:c>
      <x:c r="C12841" s="16" t="n">
        <x:v>1557.5528405918</x:v>
      </x:c>
      <x:c r="D12841" s="13" t="str">
        <x:v>Metals &amp; Mining</x:v>
      </x:c>
      <x:c r="E12841" s="13" t="str">
        <x:v>Metals &amp; Mining</x:v>
      </x:c>
      <x:c r="F12841" s="13" t="str">
        <x:v>Deep Cyclicals</x:v>
      </x:c>
      <x:c r="G12841" s="13" t="str">
        <x:v>grid_wbaxp5t0.xlsx</x:v>
      </x:c>
    </x:row>
    <x:row r="12842">
      <x:c r="A12842" s="15" t="n">
        <x:v>45839</x:v>
      </x:c>
      <x:c r="B12842" s="13" t="str">
        <x:v>GERDAU SA-PREF</x:v>
      </x:c>
      <x:c r="C12842" s="16" t="n">
        <x:v>4544.1000721534</x:v>
      </x:c>
      <x:c r="D12842" s="13" t="str">
        <x:v>Metals &amp; Mining</x:v>
      </x:c>
      <x:c r="E12842" s="13" t="str">
        <x:v>Metals &amp; Mining</x:v>
      </x:c>
      <x:c r="F12842" s="13" t="str">
        <x:v>Deep Cyclicals</x:v>
      </x:c>
      <x:c r="G12842" s="13" t="str">
        <x:v>grid_wbaxp5t0.xlsx</x:v>
      </x:c>
    </x:row>
    <x:row r="12843">
      <x:c r="A12843" s="15" t="n">
        <x:v>45839</x:v>
      </x:c>
      <x:c r="B12843" s="13" t="str">
        <x:v>METALURGICA GERDAU SA-PREF</x:v>
      </x:c>
      <x:c r="C12843" s="16" t="n">
        <x:v>1610.8164383562</x:v>
      </x:c>
      <x:c r="D12843" s="13" t="str">
        <x:v>Metals &amp; Mining</x:v>
      </x:c>
      <x:c r="E12843" s="13" t="str">
        <x:v>Metals &amp; Mining</x:v>
      </x:c>
      <x:c r="F12843" s="13" t="str">
        <x:v>Deep Cyclicals</x:v>
      </x:c>
      <x:c r="G12843" s="13" t="str">
        <x:v>grid_wbaxp5t0.xlsx</x:v>
      </x:c>
    </x:row>
    <x:row r="12844">
      <x:c r="A12844" s="15" t="n">
        <x:v>45839</x:v>
      </x:c>
      <x:c r="B12844" s="13" t="str">
        <x:v>USINAS SIDER MINAS GER-PF A</x:v>
      </x:c>
      <x:c r="C12844" s="16" t="n">
        <x:v>588.1979083397</x:v>
      </x:c>
      <x:c r="D12844" s="13" t="str">
        <x:v>Metals &amp; Mining</x:v>
      </x:c>
      <x:c r="E12844" s="13" t="str">
        <x:v>Metals &amp; Mining</x:v>
      </x:c>
      <x:c r="F12844" s="13" t="str">
        <x:v>Deep Cyclicals</x:v>
      </x:c>
      <x:c r="G12844" s="13" t="str">
        <x:v>grid_wbaxp5t0.xlsx</x:v>
      </x:c>
    </x:row>
    <x:row r="12845">
      <x:c r="A12845" s="15" t="n">
        <x:v>45839</x:v>
      </x:c>
      <x:c r="B12845" s="13" t="str">
        <x:v>VALE SA</x:v>
      </x:c>
      <x:c r="C12845" s="16" t="n">
        <x:v>41630.4079409096</x:v>
      </x:c>
      <x:c r="D12845" s="13" t="str">
        <x:v>Metals &amp; Mining</x:v>
      </x:c>
      <x:c r="E12845" s="13" t="str">
        <x:v>Metals &amp; Mining</x:v>
      </x:c>
      <x:c r="F12845" s="13" t="str">
        <x:v>Deep Cyclicals</x:v>
      </x:c>
      <x:c r="G12845" s="13" t="str">
        <x:v>grid_wbaxp5t0.xlsx</x:v>
      </x:c>
    </x:row>
    <x:row r="12846">
      <x:c r="A12846" s="15" t="n">
        <x:v>45839</x:v>
      </x:c>
      <x:c r="B12846" s="13" t="str">
        <x:v>BRASKEM SA-PREF A</x:v>
      </x:c>
      <x:c r="C12846" s="16" t="n">
        <x:v>-1153.6255424877</x:v>
      </x:c>
      <x:c r="D12846" s="13" t="str">
        <x:v>Oil, Gas &amp; Petrochemicals</x:v>
      </x:c>
      <x:c r="E12846" s="13" t="str">
        <x:v>Oil, Gas &amp; Petrochemicals</x:v>
      </x:c>
      <x:c r="F12846" s="13" t="str">
        <x:v>Deep Cyclicals</x:v>
      </x:c>
      <x:c r="G12846" s="13" t="str">
        <x:v>grid_wbaxp5t0.xlsx</x:v>
      </x:c>
    </x:row>
    <x:row r="12847">
      <x:c r="A12847" s="15" t="n">
        <x:v>45839</x:v>
      </x:c>
      <x:c r="B12847" s="13" t="str">
        <x:v>BRAVA ENERGIA</x:v>
      </x:c>
      <x:c r="C12847" s="16" t="n">
        <x:v>2092.1863385425</x:v>
      </x:c>
      <x:c r="D12847" s="13" t="str">
        <x:v>Oil, Gas &amp; Petrochemicals</x:v>
      </x:c>
      <x:c r="E12847" s="13" t="str">
        <x:v>Oil, Gas &amp; Petrochemicals</x:v>
      </x:c>
      <x:c r="F12847" s="13" t="str">
        <x:v>Deep Cyclicals</x:v>
      </x:c>
      <x:c r="G12847" s="13" t="str">
        <x:v>grid_wbaxp5t0.xlsx</x:v>
      </x:c>
    </x:row>
    <x:row r="12848">
      <x:c r="A12848" s="15" t="n">
        <x:v>45839</x:v>
      </x:c>
      <x:c r="B12848" s="13" t="str">
        <x:v>COSAN SA</x:v>
      </x:c>
      <x:c r="C12848" s="16" t="n">
        <x:v>870.6402430247</x:v>
      </x:c>
      <x:c r="D12848" s="13" t="str">
        <x:v>Oil, Gas &amp; Petrochemicals</x:v>
      </x:c>
      <x:c r="E12848" s="13" t="str">
        <x:v>Oil, Gas &amp; Petrochemicals</x:v>
      </x:c>
      <x:c r="F12848" s="13" t="str">
        <x:v>Deep Cyclicals</x:v>
      </x:c>
      <x:c r="G12848" s="13" t="str">
        <x:v>grid_wbaxp5t0.xlsx</x:v>
      </x:c>
    </x:row>
    <x:row r="12849">
      <x:c r="A12849" s="15" t="n">
        <x:v>45839</x:v>
      </x:c>
      <x:c r="B12849" s="13" t="str">
        <x:v>PETROBRAS - PETROLEO BRAS</x:v>
      </x:c>
      <x:c r="C12849" s="16" t="n">
        <x:v>88335.6600067507</x:v>
      </x:c>
      <x:c r="D12849" s="13" t="str">
        <x:v>Oil, Gas &amp; Petrochemicals</x:v>
      </x:c>
      <x:c r="E12849" s="13" t="str">
        <x:v>Oil, Gas &amp; Petrochemicals</x:v>
      </x:c>
      <x:c r="F12849" s="13" t="str">
        <x:v>Deep Cyclicals</x:v>
      </x:c>
      <x:c r="G12849" s="13" t="str">
        <x:v>grid_wbaxp5t0.xlsx</x:v>
      </x:c>
    </x:row>
    <x:row r="12850">
      <x:c r="A12850" s="15" t="n">
        <x:v>45839</x:v>
      </x:c>
      <x:c r="B12850" s="13" t="str">
        <x:v>PETRORECONCAVO SA</x:v>
      </x:c>
      <x:c r="C12850" s="16" t="n">
        <x:v>746.9453036712</x:v>
      </x:c>
      <x:c r="D12850" s="13" t="str">
        <x:v>Oil, Gas &amp; Petrochemicals</x:v>
      </x:c>
      <x:c r="E12850" s="13" t="str">
        <x:v>Oil, Gas &amp; Petrochemicals</x:v>
      </x:c>
      <x:c r="F12850" s="13" t="str">
        <x:v>Deep Cyclicals</x:v>
      </x:c>
      <x:c r="G12850" s="13" t="str">
        <x:v>grid_wbaxp5t0.xlsx</x:v>
      </x:c>
    </x:row>
    <x:row r="12851">
      <x:c r="A12851" s="15" t="n">
        <x:v>45839</x:v>
      </x:c>
      <x:c r="B12851" s="13" t="str">
        <x:v>PRIO SA</x:v>
      </x:c>
      <x:c r="C12851" s="16" t="n">
        <x:v>5187.7694905863</x:v>
      </x:c>
      <x:c r="D12851" s="13" t="str">
        <x:v>Oil, Gas &amp; Petrochemicals</x:v>
      </x:c>
      <x:c r="E12851" s="13" t="str">
        <x:v>Oil, Gas &amp; Petrochemicals</x:v>
      </x:c>
      <x:c r="F12851" s="13" t="str">
        <x:v>Deep Cyclicals</x:v>
      </x:c>
      <x:c r="G12851" s="13" t="str">
        <x:v>grid_wbaxp5t0.xlsx</x:v>
      </x:c>
    </x:row>
    <x:row r="12852">
      <x:c r="A12852" s="15" t="n">
        <x:v>45839</x:v>
      </x:c>
      <x:c r="B12852" s="13" t="str">
        <x:v>ULTRAPAR PARTICIPACOES SA</x:v>
      </x:c>
      <x:c r="C12852" s="16" t="n">
        <x:v>1986.2476887671</x:v>
      </x:c>
      <x:c r="D12852" s="13" t="str">
        <x:v>Oil, Gas &amp; Petrochemicals</x:v>
      </x:c>
      <x:c r="E12852" s="13" t="str">
        <x:v>Oil, Gas &amp; Petrochemicals</x:v>
      </x:c>
      <x:c r="F12852" s="13" t="str">
        <x:v>Deep Cyclicals</x:v>
      </x:c>
      <x:c r="G12852" s="13" t="str">
        <x:v>grid_wbaxp5t0.xlsx</x:v>
      </x:c>
    </x:row>
    <x:row r="12853">
      <x:c r="A12853" s="15" t="n">
        <x:v>45839</x:v>
      </x:c>
      <x:c r="B12853" s="13" t="str">
        <x:v>VIBRA ENERGIA SA</x:v>
      </x:c>
      <x:c r="C12853" s="16" t="n">
        <x:v>2451.1654638466</x:v>
      </x:c>
      <x:c r="D12853" s="13" t="str">
        <x:v>Oil, Gas &amp; Petrochemicals</x:v>
      </x:c>
      <x:c r="E12853" s="13" t="str">
        <x:v>Oil, Gas &amp; Petrochemicals</x:v>
      </x:c>
      <x:c r="F12853" s="13" t="str">
        <x:v>Deep Cyclicals</x:v>
      </x:c>
      <x:c r="G12853" s="13" t="str">
        <x:v>grid_wbaxp5t0.xlsx</x:v>
      </x:c>
    </x:row>
    <x:row r="12854">
      <x:c r="A12854" s="15" t="n">
        <x:v>45839</x:v>
      </x:c>
      <x:c r="B12854" s="13" t="str">
        <x:v>KLABIN SA - UNIT</x:v>
      </x:c>
      <x:c r="C12854" s="16" t="n">
        <x:v>2051.7615963178</x:v>
      </x:c>
      <x:c r="D12854" s="13" t="str">
        <x:v>Pulp &amp; Paper</x:v>
      </x:c>
      <x:c r="E12854" s="13" t="str">
        <x:v>Pulp &amp; Paper</x:v>
      </x:c>
      <x:c r="F12854" s="13" t="str">
        <x:v>Deep Cyclicals</x:v>
      </x:c>
      <x:c r="G12854" s="13" t="str">
        <x:v>grid_wbaxp5t0.xlsx</x:v>
      </x:c>
    </x:row>
    <x:row r="12855">
      <x:c r="A12855" s="15" t="n">
        <x:v>45839</x:v>
      </x:c>
      <x:c r="B12855" s="13" t="str">
        <x:v>SUZANO SA</x:v>
      </x:c>
      <x:c r="C12855" s="16" t="n">
        <x:v>9936.279077874</x:v>
      </x:c>
      <x:c r="D12855" s="13" t="str">
        <x:v>Pulp &amp; Paper</x:v>
      </x:c>
      <x:c r="E12855" s="13" t="str">
        <x:v>Pulp &amp; Paper</x:v>
      </x:c>
      <x:c r="F12855" s="13" t="str">
        <x:v>Deep Cyclicals</x:v>
      </x:c>
      <x:c r="G12855" s="13" t="str">
        <x:v>grid_wbaxp5t0.xlsx</x:v>
      </x:c>
    </x:row>
    <x:row r="12856">
      <x:c r="A12856" s="15" t="n">
        <x:v>45839</x:v>
      </x:c>
      <x:c r="B12856" s="13" t="str">
        <x:v>AZZAS 2154 SA</x:v>
      </x:c>
      <x:c r="C12856" s="16" t="n">
        <x:v>858.0835761096</x:v>
      </x:c>
      <x:c r="D12856" s="13" t="str">
        <x:v>Retail</x:v>
      </x:c>
      <x:c r="E12856" s="13" t="str">
        <x:v>Retail</x:v>
      </x:c>
      <x:c r="F12856" s="13" t="str">
        <x:v>Early Cyclicals</x:v>
      </x:c>
      <x:c r="G12856" s="13" t="str">
        <x:v>grid_wbaxp5t0.xlsx</x:v>
      </x:c>
    </x:row>
    <x:row r="12857">
      <x:c r="A12857" s="15" t="n">
        <x:v>45839</x:v>
      </x:c>
      <x:c r="B12857" s="13" t="str">
        <x:v>CIA BRASILEIRA DE DISTRIBUIC</x:v>
      </x:c>
      <x:c r="C12857" s="16" t="n">
        <x:v>-456.962809337</x:v>
      </x:c>
      <x:c r="D12857" s="13" t="str">
        <x:v>Retail</x:v>
      </x:c>
      <x:c r="E12857" s="13" t="str">
        <x:v>Retail</x:v>
      </x:c>
      <x:c r="F12857" s="13" t="str">
        <x:v>Early Cyclicals</x:v>
      </x:c>
      <x:c r="G12857" s="13" t="str">
        <x:v>grid_wbaxp5t0.xlsx</x:v>
      </x:c>
    </x:row>
    <x:row r="12858">
      <x:c r="A12858" s="15" t="n">
        <x:v>45839</x:v>
      </x:c>
      <x:c r="B12858" s="13" t="str">
        <x:v>CVC BRASIL OPERADORA E AGENC</x:v>
      </x:c>
      <x:c r="C12858" s="16" t="n">
        <x:v>34.0734486356</x:v>
      </x:c>
      <x:c r="D12858" s="13" t="str">
        <x:v>Retail</x:v>
      </x:c>
      <x:c r="E12858" s="13" t="str">
        <x:v>Retail</x:v>
      </x:c>
      <x:c r="F12858" s="13" t="str">
        <x:v>Early Cyclicals</x:v>
      </x:c>
      <x:c r="G12858" s="13" t="str">
        <x:v>grid_wbaxp5t0.xlsx</x:v>
      </x:c>
    </x:row>
    <x:row r="12859">
      <x:c r="A12859" s="15" t="n">
        <x:v>45839</x:v>
      </x:c>
      <x:c r="B12859" s="13" t="str">
        <x:v>LOJAS RENNER S.A.</x:v>
      </x:c>
      <x:c r="C12859" s="16" t="n">
        <x:v>1634.570842126</x:v>
      </x:c>
      <x:c r="D12859" s="13" t="str">
        <x:v>Retail</x:v>
      </x:c>
      <x:c r="E12859" s="13" t="str">
        <x:v>Retail</x:v>
      </x:c>
      <x:c r="F12859" s="13" t="str">
        <x:v>Early Cyclicals</x:v>
      </x:c>
      <x:c r="G12859" s="13" t="str">
        <x:v>grid_wbaxp5t0.xlsx</x:v>
      </x:c>
    </x:row>
    <x:row r="12860">
      <x:c r="A12860" s="15" t="n">
        <x:v>45839</x:v>
      </x:c>
      <x:c r="B12860" s="13" t="str">
        <x:v>MAGAZINE LUIZA SA</x:v>
      </x:c>
      <x:c r="C12860" s="16" t="n">
        <x:v>397.7823521315</x:v>
      </x:c>
      <x:c r="D12860" s="13" t="str">
        <x:v>Retail</x:v>
      </x:c>
      <x:c r="E12860" s="13" t="str">
        <x:v>Retail</x:v>
      </x:c>
      <x:c r="F12860" s="13" t="str">
        <x:v>Early Cyclicals</x:v>
      </x:c>
      <x:c r="G12860" s="13" t="str">
        <x:v>grid_wbaxp5t0.xlsx</x:v>
      </x:c>
    </x:row>
    <x:row r="12861">
      <x:c r="A12861" s="15" t="n">
        <x:v>45839</x:v>
      </x:c>
      <x:c r="B12861" s="13" t="str">
        <x:v>NATURA COSMETICOS SA</x:v>
      </x:c>
      <x:c r="C12861" s="16" t="n">
        <x:v>1037.5972974466</x:v>
      </x:c>
      <x:c r="D12861" s="13" t="str">
        <x:v>Retail</x:v>
      </x:c>
      <x:c r="E12861" s="13" t="str">
        <x:v>Retail</x:v>
      </x:c>
      <x:c r="F12861" s="13" t="str">
        <x:v>Early Cyclicals</x:v>
      </x:c>
      <x:c r="G12861" s="13" t="str">
        <x:v>grid_wbaxp5t0.xlsx</x:v>
      </x:c>
    </x:row>
    <x:row r="12862">
      <x:c r="A12862" s="15" t="n">
        <x:v>45839</x:v>
      </x:c>
      <x:c r="B12862" s="13" t="str">
        <x:v>PET CENTER COMERCIO E PARTIC</x:v>
      </x:c>
      <x:c r="C12862" s="16" t="n">
        <x:v>81.8186849315</x:v>
      </x:c>
      <x:c r="D12862" s="13" t="str">
        <x:v>Retail</x:v>
      </x:c>
      <x:c r="E12862" s="13" t="str">
        <x:v>Retail</x:v>
      </x:c>
      <x:c r="F12862" s="13" t="str">
        <x:v>Early Cyclicals</x:v>
      </x:c>
      <x:c r="G12862" s="13" t="str">
        <x:v>grid_wbaxp5t0.xlsx</x:v>
      </x:c>
    </x:row>
    <x:row r="12863">
      <x:c r="A12863" s="15" t="n">
        <x:v>45839</x:v>
      </x:c>
      <x:c r="B12863" s="13" t="str">
        <x:v>RAIA DROGASIL SA</x:v>
      </x:c>
      <x:c r="C12863" s="16" t="n">
        <x:v>1258.6475327123</x:v>
      </x:c>
      <x:c r="D12863" s="13" t="str">
        <x:v>Retail</x:v>
      </x:c>
      <x:c r="E12863" s="13" t="str">
        <x:v>Retail</x:v>
      </x:c>
      <x:c r="F12863" s="13" t="str">
        <x:v>Early Cyclicals</x:v>
      </x:c>
      <x:c r="G12863" s="13" t="str">
        <x:v>grid_wbaxp5t0.xlsx</x:v>
      </x:c>
    </x:row>
    <x:row r="12864">
      <x:c r="A12864" s="15" t="n">
        <x:v>45839</x:v>
      </x:c>
      <x:c r="B12864" s="13" t="str">
        <x:v>SENDAS DISTRIBUIDORA SA</x:v>
      </x:c>
      <x:c r="C12864" s="16" t="n">
        <x:v>1062.1319925479</x:v>
      </x:c>
      <x:c r="D12864" s="13" t="str">
        <x:v>Retail</x:v>
      </x:c>
      <x:c r="E12864" s="13" t="str">
        <x:v>Retail</x:v>
      </x:c>
      <x:c r="F12864" s="13" t="str">
        <x:v>Early Cyclicals</x:v>
      </x:c>
      <x:c r="G12864" s="13" t="str">
        <x:v>grid_wbaxp5t0.xlsx</x:v>
      </x:c>
    </x:row>
    <x:row r="12865">
      <x:c r="A12865" s="15" t="n">
        <x:v>45839</x:v>
      </x:c>
      <x:c r="B12865" s="13" t="str">
        <x:v>SMARTFIT - ORDINARY</x:v>
      </x:c>
      <x:c r="C12865" s="16" t="n">
        <x:v>867.924352526</x:v>
      </x:c>
      <x:c r="D12865" s="13" t="str">
        <x:v>Retail</x:v>
      </x:c>
      <x:c r="E12865" s="13" t="str">
        <x:v>Retail</x:v>
      </x:c>
      <x:c r="F12865" s="13" t="str">
        <x:v>Early Cyclicals</x:v>
      </x:c>
      <x:c r="G12865" s="13" t="str">
        <x:v>grid_wbaxp5t0.xlsx</x:v>
      </x:c>
    </x:row>
    <x:row r="12866">
      <x:c r="A12866" s="15" t="n">
        <x:v>45839</x:v>
      </x:c>
      <x:c r="B12866" s="13" t="str">
        <x:v>VIVARA PARTICIPACOES SA</x:v>
      </x:c>
      <x:c r="C12866" s="16" t="n">
        <x:v>656.8784783781</x:v>
      </x:c>
      <x:c r="D12866" s="13" t="str">
        <x:v>Retail</x:v>
      </x:c>
      <x:c r="E12866" s="13" t="str">
        <x:v>Retail</x:v>
      </x:c>
      <x:c r="F12866" s="13" t="str">
        <x:v>Early Cyclicals</x:v>
      </x:c>
      <x:c r="G12866" s="13" t="str">
        <x:v>grid_wbaxp5t0.xlsx</x:v>
      </x:c>
    </x:row>
    <x:row r="12867">
      <x:c r="A12867" s="15" t="n">
        <x:v>45839</x:v>
      </x:c>
      <x:c r="B12867" s="13" t="str">
        <x:v>CIA SANEAMENTO BASICO DE SP</x:v>
      </x:c>
      <x:c r="C12867" s="16" t="n">
        <x:v>5698.5131555069</x:v>
      </x:c>
      <x:c r="D12867" s="13" t="str">
        <x:v>Sanitation</x:v>
      </x:c>
      <x:c r="E12867" s="13" t="str">
        <x:v>Utilities</x:v>
      </x:c>
      <x:c r="F12867" s="13" t="str">
        <x:v>Defensives</x:v>
      </x:c>
      <x:c r="G12867" s="13" t="str">
        <x:v>grid_wbaxp5t0.xlsx</x:v>
      </x:c>
    </x:row>
    <x:row r="12868">
      <x:c r="A12868" s="15" t="n">
        <x:v>45839</x:v>
      </x:c>
      <x:c r="B12868" s="13" t="str">
        <x:v>TIM SA</x:v>
      </x:c>
      <x:c r="C12868" s="16" t="n">
        <x:v>4225.1056997699</x:v>
      </x:c>
      <x:c r="D12868" s="13" t="str">
        <x:v>TMT</x:v>
      </x:c>
      <x:c r="E12868" s="13" t="str">
        <x:v>TMT</x:v>
      </x:c>
      <x:c r="F12868" s="13" t="str">
        <x:v>Early Cyclicals</x:v>
      </x:c>
      <x:c r="G12868" s="13" t="str">
        <x:v>grid_wbaxp5t0.xlsx</x:v>
      </x:c>
    </x:row>
    <x:row r="12869">
      <x:c r="A12869" s="15" t="n">
        <x:v>45839</x:v>
      </x:c>
      <x:c r="B12869" s="13" t="str">
        <x:v>TOTVS SA</x:v>
      </x:c>
      <x:c r="C12869" s="16" t="n">
        <x:v>1027.847391737</x:v>
      </x:c>
      <x:c r="D12869" s="13" t="str">
        <x:v>TMT</x:v>
      </x:c>
      <x:c r="E12869" s="13" t="str">
        <x:v>TMT</x:v>
      </x:c>
      <x:c r="F12869" s="13" t="str">
        <x:v>Early Cyclicals</x:v>
      </x:c>
      <x:c r="G12869" s="13" t="str">
        <x:v>grid_wbaxp5t0.xlsx</x:v>
      </x:c>
    </x:row>
    <x:row r="12870">
      <x:c r="A12870" s="15" t="n">
        <x:v>45839</x:v>
      </x:c>
      <x:c r="B12870" s="13" t="str">
        <x:v>LOCALIZA RENT A CAR</x:v>
      </x:c>
      <x:c r="C12870" s="16" t="n">
        <x:v>4050.0328209534</x:v>
      </x:c>
      <x:c r="D12870" s="13" t="str">
        <x:v>Transportation</x:v>
      </x:c>
      <x:c r="E12870" s="13" t="str">
        <x:v>Transportation</x:v>
      </x:c>
      <x:c r="F12870" s="13" t="str">
        <x:v>Deep Cyclicals</x:v>
      </x:c>
      <x:c r="G12870" s="13" t="str">
        <x:v>grid_wbaxp5t0.xlsx</x:v>
      </x:c>
    </x:row>
    <x:row r="12871">
      <x:c r="A12871" s="15" t="n">
        <x:v>45839</x:v>
      </x:c>
      <x:c r="B12871" s="13" t="str">
        <x:v>MOTIVA INFRAESTRUTURA DE MOB</x:v>
      </x:c>
      <x:c r="C12871" s="16" t="n">
        <x:v>2190.4553984</x:v>
      </x:c>
      <x:c r="D12871" s="13" t="str">
        <x:v>Transportation</x:v>
      </x:c>
      <x:c r="E12871" s="13" t="str">
        <x:v>Transportation</x:v>
      </x:c>
      <x:c r="F12871" s="13" t="str">
        <x:v>Deep Cyclicals</x:v>
      </x:c>
      <x:c r="G12871" s="13" t="str">
        <x:v>grid_wbaxp5t0.xlsx</x:v>
      </x:c>
    </x:row>
    <x:row r="12872">
      <x:c r="A12872" s="15" t="n">
        <x:v>45839</x:v>
      </x:c>
      <x:c r="B12872" s="13" t="str">
        <x:v>RUMO SA</x:v>
      </x:c>
      <x:c r="C12872" s="16" t="n">
        <x:v>2222.4211371836</x:v>
      </x:c>
      <x:c r="D12872" s="13" t="str">
        <x:v>Transportation</x:v>
      </x:c>
      <x:c r="E12872" s="13" t="str">
        <x:v>Transportation</x:v>
      </x:c>
      <x:c r="F12872" s="13" t="str">
        <x:v>Deep Cyclicals</x:v>
      </x:c>
      <x:c r="G12872" s="13" t="str">
        <x:v>grid_wbaxp5t0.xlsx</x:v>
      </x:c>
    </x:row>
    <x:row r="12873">
      <x:c r="A12873" s="15" t="n">
        <x:v>45839</x:v>
      </x:c>
      <x:c r="B12873" s="13" t="str">
        <x:v>SANTOS BRASIL PARTICIPACOES</x:v>
      </x:c>
      <x:c r="C12873" s="16" t="n">
        <x:v>882.7465619288</x:v>
      </x:c>
      <x:c r="D12873" s="13" t="str">
        <x:v>Transportation</x:v>
      </x:c>
      <x:c r="E12873" s="13" t="str">
        <x:v>Transportation</x:v>
      </x:c>
      <x:c r="F12873" s="13" t="str">
        <x:v>Deep Cyclicals</x:v>
      </x:c>
      <x:c r="G12873" s="13" t="str">
        <x:v>grid_wbaxp5t0.xlsx</x:v>
      </x:c>
    </x:row>
    <x:row r="12874">
      <x:c r="A12874" s="15" t="n">
        <x:v>45839</x:v>
      </x:c>
      <x:c r="B12874" s="13" t="str">
        <x:v>VAMOS LOCACAO DE CAMINHOES M</x:v>
      </x:c>
      <x:c r="C12874" s="16" t="n">
        <x:v>655.037018126</x:v>
      </x:c>
      <x:c r="D12874" s="13" t="str">
        <x:v>Transportation</x:v>
      </x:c>
      <x:c r="E12874" s="13" t="str">
        <x:v>Transportation</x:v>
      </x:c>
      <x:c r="F12874" s="13" t="str">
        <x:v>Deep Cyclicals</x:v>
      </x:c>
      <x:c r="G12874" s="13" t="str">
        <x:v>grid_wbaxp5t0.xlsx</x:v>
      </x:c>
    </x:row>
    <x:row r="12875">
      <x:c r="A12875" s="15" t="n">
        <x:v>45839</x:v>
      </x:c>
      <x:c r="B12875" s="13" t="str">
        <x:v>AUREN ENERGIA SA - ON</x:v>
      </x:c>
      <x:c r="C12875" s="16" t="n">
        <x:v>-197.6387483836</x:v>
      </x:c>
      <x:c r="D12875" s="13" t="str">
        <x:v>Utilities &amp; Energy</x:v>
      </x:c>
      <x:c r="E12875" s="13" t="str">
        <x:v>Utilities</x:v>
      </x:c>
      <x:c r="F12875" s="13" t="str">
        <x:v>Defensives</x:v>
      </x:c>
      <x:c r="G12875" s="13" t="str">
        <x:v>grid_wbaxp5t0.xlsx</x:v>
      </x:c>
    </x:row>
    <x:row r="12876">
      <x:c r="A12876" s="15" t="n">
        <x:v>45839</x:v>
      </x:c>
      <x:c r="B12876" s="13" t="str">
        <x:v>AXIA ENERGIA SA</x:v>
      </x:c>
      <x:c r="C12876" s="16" t="n">
        <x:v>8333.753408526</x:v>
      </x:c>
      <x:c r="D12876" s="13" t="str">
        <x:v>Utilities &amp; Energy</x:v>
      </x:c>
      <x:c r="E12876" s="13" t="str">
        <x:v>Utilities</x:v>
      </x:c>
      <x:c r="F12876" s="13" t="str">
        <x:v>Defensives</x:v>
      </x:c>
      <x:c r="G12876" s="13" t="str">
        <x:v>grid_wbaxp5t0.xlsx</x:v>
      </x:c>
    </x:row>
    <x:row r="12877">
      <x:c r="A12877" s="15" t="n">
        <x:v>45839</x:v>
      </x:c>
      <x:c r="B12877" s="13" t="str">
        <x:v>AXIA ENERGIA-PR B</x:v>
      </x:c>
      <x:c r="C12877" s="16" t="n">
        <x:v>8333.753408526</x:v>
      </x:c>
      <x:c r="D12877" s="13" t="str">
        <x:v>Utilities &amp; Energy</x:v>
      </x:c>
      <x:c r="E12877" s="13" t="str">
        <x:v>Utilities</x:v>
      </x:c>
      <x:c r="F12877" s="13" t="str">
        <x:v>Defensives</x:v>
      </x:c>
      <x:c r="G12877" s="13" t="str">
        <x:v>grid_wbaxp5t0.xlsx</x:v>
      </x:c>
    </x:row>
    <x:row r="12878">
      <x:c r="A12878" s="15" t="n">
        <x:v>45839</x:v>
      </x:c>
      <x:c r="B12878" s="13" t="str">
        <x:v>CIA ENERGETICA MINAS GER-PRF</x:v>
      </x:c>
      <x:c r="C12878" s="16" t="n">
        <x:v>3678.470437874</x:v>
      </x:c>
      <x:c r="D12878" s="13" t="str">
        <x:v>Utilities &amp; Energy</x:v>
      </x:c>
      <x:c r="E12878" s="13" t="str">
        <x:v>Utilities</x:v>
      </x:c>
      <x:c r="F12878" s="13" t="str">
        <x:v>Defensives</x:v>
      </x:c>
      <x:c r="G12878" s="13" t="str">
        <x:v>grid_wbaxp5t0.xlsx</x:v>
      </x:c>
    </x:row>
    <x:row r="12879">
      <x:c r="A12879" s="15" t="n">
        <x:v>45839</x:v>
      </x:c>
      <x:c r="B12879" s="13" t="str">
        <x:v>COMPANHIA PARANAENSE -PREF B</x:v>
      </x:c>
      <x:c r="C12879" s="16" t="n">
        <x:v>2529.4286897096</x:v>
      </x:c>
      <x:c r="D12879" s="13" t="str">
        <x:v>Utilities &amp; Energy</x:v>
      </x:c>
      <x:c r="E12879" s="13" t="str">
        <x:v>Utilities</x:v>
      </x:c>
      <x:c r="F12879" s="13" t="str">
        <x:v>Defensives</x:v>
      </x:c>
      <x:c r="G12879" s="13" t="str">
        <x:v>grid_wbaxp5t0.xlsx</x:v>
      </x:c>
    </x:row>
    <x:row r="12880">
      <x:c r="A12880" s="15" t="n">
        <x:v>45839</x:v>
      </x:c>
      <x:c r="B12880" s="13" t="str">
        <x:v>CPFL ENERGIA SA</x:v>
      </x:c>
      <x:c r="C12880" s="16" t="n">
        <x:v>4764.7946134795</x:v>
      </x:c>
      <x:c r="D12880" s="13" t="str">
        <x:v>Utilities &amp; Energy</x:v>
      </x:c>
      <x:c r="E12880" s="13" t="str">
        <x:v>Utilities</x:v>
      </x:c>
      <x:c r="F12880" s="13" t="str">
        <x:v>Defensives</x:v>
      </x:c>
      <x:c r="G12880" s="13" t="str">
        <x:v>grid_wbaxp5t0.xlsx</x:v>
      </x:c>
    </x:row>
    <x:row r="12881">
      <x:c r="A12881" s="15" t="n">
        <x:v>45839</x:v>
      </x:c>
      <x:c r="B12881" s="13" t="str">
        <x:v>ENERGISA SA-UNITS</x:v>
      </x:c>
      <x:c r="C12881" s="16" t="n">
        <x:v>1670.1412117041</x:v>
      </x:c>
      <x:c r="D12881" s="13" t="str">
        <x:v>Utilities &amp; Energy</x:v>
      </x:c>
      <x:c r="E12881" s="13" t="str">
        <x:v>Utilities</x:v>
      </x:c>
      <x:c r="F12881" s="13" t="str">
        <x:v>Defensives</x:v>
      </x:c>
      <x:c r="G12881" s="13" t="str">
        <x:v>grid_wbaxp5t0.xlsx</x:v>
      </x:c>
    </x:row>
    <x:row r="12882">
      <x:c r="A12882" s="15" t="n">
        <x:v>45839</x:v>
      </x:c>
      <x:c r="B12882" s="13" t="str">
        <x:v>ENEVA SA</x:v>
      </x:c>
      <x:c r="C12882" s="16" t="n">
        <x:v>1836.9835958356</x:v>
      </x:c>
      <x:c r="D12882" s="13" t="str">
        <x:v>Utilities &amp; Energy</x:v>
      </x:c>
      <x:c r="E12882" s="13" t="str">
        <x:v>Utilities</x:v>
      </x:c>
      <x:c r="F12882" s="13" t="str">
        <x:v>Defensives</x:v>
      </x:c>
      <x:c r="G12882" s="13" t="str">
        <x:v>grid_wbaxp5t0.xlsx</x:v>
      </x:c>
    </x:row>
    <x:row r="12883">
      <x:c r="A12883" s="15" t="n">
        <x:v>45839</x:v>
      </x:c>
      <x:c r="B12883" s="13" t="str">
        <x:v>ENGIE BRASIL ENERGIA SA</x:v>
      </x:c>
      <x:c r="C12883" s="16" t="n">
        <x:v>3000.9894287781</x:v>
      </x:c>
      <x:c r="D12883" s="13" t="str">
        <x:v>Utilities &amp; Energy</x:v>
      </x:c>
      <x:c r="E12883" s="13" t="str">
        <x:v>Utilities</x:v>
      </x:c>
      <x:c r="F12883" s="13" t="str">
        <x:v>Defensives</x:v>
      </x:c>
      <x:c r="G12883" s="13" t="str">
        <x:v>grid_wbaxp5t0.xlsx</x:v>
      </x:c>
    </x:row>
    <x:row r="12884">
      <x:c r="A12884" s="15" t="n">
        <x:v>45839</x:v>
      </x:c>
      <x:c r="B12884" s="13" t="str">
        <x:v>EQUATORIAL SA - ORD</x:v>
      </x:c>
      <x:c r="C12884" s="16" t="n">
        <x:v>3429.333959189</x:v>
      </x:c>
      <x:c r="D12884" s="13" t="str">
        <x:v>Utilities &amp; Energy</x:v>
      </x:c>
      <x:c r="E12884" s="13" t="str">
        <x:v>Utilities</x:v>
      </x:c>
      <x:c r="F12884" s="13" t="str">
        <x:v>Defensives</x:v>
      </x:c>
      <x:c r="G12884" s="13" t="str">
        <x:v>grid_wbaxp5t0.xlsx</x:v>
      </x:c>
    </x:row>
    <x:row r="12885">
      <x:c r="A12885" s="15" t="n">
        <x:v>45839</x:v>
      </x:c>
      <x:c r="B12885" s="13" t="str">
        <x:v>ISA ENERGIA BRASIL SA</x:v>
      </x:c>
      <x:c r="C12885" s="16" t="n">
        <x:v>1454.1637695123</x:v>
      </x:c>
      <x:c r="D12885" s="13" t="str">
        <x:v>Utilities &amp; Energy</x:v>
      </x:c>
      <x:c r="E12885" s="13" t="str">
        <x:v>Utilities</x:v>
      </x:c>
      <x:c r="F12885" s="13" t="str">
        <x:v>Defensives</x:v>
      </x:c>
      <x:c r="G12885" s="13" t="str">
        <x:v>grid_wbaxp5t0.xlsx</x:v>
      </x:c>
    </x:row>
    <x:row r="12886">
      <x:c r="A12886" s="15" t="n">
        <x:v>45839</x:v>
      </x:c>
      <x:c r="B12886" s="13" t="str">
        <x:v>TRANSMISSORA ALIANCA DE-UNIT</x:v>
      </x:c>
      <x:c r="C12886" s="16" t="n">
        <x:v>1273.1743964931</x:v>
      </x:c>
      <x:c r="D12886" s="13" t="str">
        <x:v>Utilities &amp; Energy</x:v>
      </x:c>
      <x:c r="E12886" s="13" t="str">
        <x:v>Utilities</x:v>
      </x:c>
      <x:c r="F12886" s="13" t="str">
        <x:v>Defensives</x:v>
      </x:c>
      <x:c r="G12886" s="13" t="str">
        <x:v>grid_wbaxp5t0.xlsx</x:v>
      </x:c>
    </x:row>
    <x:row r="12887">
      <x:c r="A12887" s="15" t="n">
        <x:v>45870</x:v>
      </x:c>
      <x:c r="B12887" s="13" t="str">
        <x:v>RAIZEN SA - PREFERENCE</x:v>
      </x:c>
      <x:c r="C12887" s="16" t="n">
        <x:v>-1471.014316537</x:v>
      </x:c>
      <x:c r="D12887" s="13" t="str">
        <x:v>Agribusiness</x:v>
      </x:c>
      <x:c r="E12887" s="13" t="str">
        <x:v>Agri, Food &amp; Beverages</x:v>
      </x:c>
      <x:c r="F12887" s="13" t="str">
        <x:v>Defensives</x:v>
      </x:c>
      <x:c r="G12887" s="13" t="str">
        <x:v>grid_wbaxp5t0.xlsx</x:v>
      </x:c>
    </x:row>
    <x:row r="12888">
      <x:c r="A12888" s="15" t="n">
        <x:v>45870</x:v>
      </x:c>
      <x:c r="B12888" s="13" t="str">
        <x:v>SAO MARTINHO SA</x:v>
      </x:c>
      <x:c r="C12888" s="16" t="n">
        <x:v>663.6059751452</x:v>
      </x:c>
      <x:c r="D12888" s="13" t="str">
        <x:v>Agribusiness</x:v>
      </x:c>
      <x:c r="E12888" s="13" t="str">
        <x:v>Agri, Food &amp; Beverages</x:v>
      </x:c>
      <x:c r="F12888" s="13" t="str">
        <x:v>Defensives</x:v>
      </x:c>
      <x:c r="G12888" s="13" t="str">
        <x:v>grid_wbaxp5t0.xlsx</x:v>
      </x:c>
    </x:row>
    <x:row r="12889">
      <x:c r="A12889" s="15" t="n">
        <x:v>45870</x:v>
      </x:c>
      <x:c r="B12889" s="13" t="str">
        <x:v>SLC AGRICOLA SA</x:v>
      </x:c>
      <x:c r="C12889" s="16" t="n">
        <x:v>955.3898054137</x:v>
      </x:c>
      <x:c r="D12889" s="13" t="str">
        <x:v>Agribusiness</x:v>
      </x:c>
      <x:c r="E12889" s="13" t="str">
        <x:v>Agri, Food &amp; Beverages</x:v>
      </x:c>
      <x:c r="F12889" s="13" t="str">
        <x:v>Defensives</x:v>
      </x:c>
      <x:c r="G12889" s="13" t="str">
        <x:v>grid_wbaxp5t0.xlsx</x:v>
      </x:c>
    </x:row>
    <x:row r="12890">
      <x:c r="A12890" s="15" t="n">
        <x:v>45870</x:v>
      </x:c>
      <x:c r="B12890" s="13" t="str">
        <x:v>BANCO BRADESCO S.A.</x:v>
      </x:c>
      <x:c r="C12890" s="16" t="n">
        <x:v>26911.7203273644</x:v>
      </x:c>
      <x:c r="D12890" s="13" t="str">
        <x:v>Banks</x:v>
      </x:c>
      <x:c r="E12890" s="13" t="str">
        <x:v>Banks</x:v>
      </x:c>
      <x:c r="F12890" s="13" t="str">
        <x:v>Financials</x:v>
      </x:c>
      <x:c r="G12890" s="13" t="str">
        <x:v>grid_wbaxp5t0.xlsx</x:v>
      </x:c>
    </x:row>
    <x:row r="12891">
      <x:c r="A12891" s="15" t="n">
        <x:v>45870</x:v>
      </x:c>
      <x:c r="B12891" s="13" t="str">
        <x:v>BANCO BRADESCO SA-PREF</x:v>
      </x:c>
      <x:c r="C12891" s="16" t="n">
        <x:v>26911.7203273644</x:v>
      </x:c>
      <x:c r="D12891" s="13" t="str">
        <x:v>Banks</x:v>
      </x:c>
      <x:c r="E12891" s="13" t="str">
        <x:v>Banks</x:v>
      </x:c>
      <x:c r="F12891" s="13" t="str">
        <x:v>Financials</x:v>
      </x:c>
      <x:c r="G12891" s="13" t="str">
        <x:v>grid_wbaxp5t0.xlsx</x:v>
      </x:c>
    </x:row>
    <x:row r="12892">
      <x:c r="A12892" s="15" t="n">
        <x:v>45870</x:v>
      </x:c>
      <x:c r="B12892" s="13" t="str">
        <x:v>BANCO BTG PACTUAL SA-UNIT</x:v>
      </x:c>
      <x:c r="C12892" s="16" t="n">
        <x:v>16388.6450659945</x:v>
      </x:c>
      <x:c r="D12892" s="13" t="str">
        <x:v>Banks</x:v>
      </x:c>
      <x:c r="E12892" s="13" t="str">
        <x:v>Banks</x:v>
      </x:c>
      <x:c r="F12892" s="13" t="str">
        <x:v>Financials</x:v>
      </x:c>
      <x:c r="G12892" s="13" t="str">
        <x:v>grid_wbaxp5t0.xlsx</x:v>
      </x:c>
    </x:row>
    <x:row r="12893">
      <x:c r="A12893" s="15" t="n">
        <x:v>45870</x:v>
      </x:c>
      <x:c r="B12893" s="13" t="str">
        <x:v>BANCO DO BRASIL S.A.</x:v>
      </x:c>
      <x:c r="C12893" s="16" t="n">
        <x:v>27560.7453022685</x:v>
      </x:c>
      <x:c r="D12893" s="13" t="str">
        <x:v>Banks</x:v>
      </x:c>
      <x:c r="E12893" s="13" t="str">
        <x:v>Banks</x:v>
      </x:c>
      <x:c r="F12893" s="13" t="str">
        <x:v>Financials</x:v>
      </x:c>
      <x:c r="G12893" s="13" t="str">
        <x:v>grid_wbaxp5t0.xlsx</x:v>
      </x:c>
    </x:row>
    <x:row r="12894">
      <x:c r="A12894" s="15" t="n">
        <x:v>45870</x:v>
      </x:c>
      <x:c r="B12894" s="13" t="str">
        <x:v>BANCO SANTANDER  BRASIL-UNIT</x:v>
      </x:c>
      <x:c r="C12894" s="16" t="n">
        <x:v>16629.8784417315</x:v>
      </x:c>
      <x:c r="D12894" s="13" t="str">
        <x:v>Banks</x:v>
      </x:c>
      <x:c r="E12894" s="13" t="str">
        <x:v>Banks</x:v>
      </x:c>
      <x:c r="F12894" s="13" t="str">
        <x:v>Financials</x:v>
      </x:c>
      <x:c r="G12894" s="13" t="str">
        <x:v>grid_wbaxp5t0.xlsx</x:v>
      </x:c>
    </x:row>
    <x:row r="12895">
      <x:c r="A12895" s="15" t="n">
        <x:v>45870</x:v>
      </x:c>
      <x:c r="B12895" s="13" t="str">
        <x:v>ITAU UNIBANCO HOLDING S-PREF</x:v>
      </x:c>
      <x:c r="C12895" s="16" t="n">
        <x:v>49358.6267823342</x:v>
      </x:c>
      <x:c r="D12895" s="13" t="str">
        <x:v>Banks</x:v>
      </x:c>
      <x:c r="E12895" s="13" t="str">
        <x:v>Banks</x:v>
      </x:c>
      <x:c r="F12895" s="13" t="str">
        <x:v>Financials</x:v>
      </x:c>
      <x:c r="G12895" s="13" t="str">
        <x:v>grid_wbaxp5t0.xlsx</x:v>
      </x:c>
    </x:row>
    <x:row r="12896">
      <x:c r="A12896" s="15" t="n">
        <x:v>45870</x:v>
      </x:c>
      <x:c r="B12896" s="13" t="str">
        <x:v>EMBRAER SA</x:v>
      </x:c>
      <x:c r="C12896" s="16" t="n">
        <x:v>2454.4019021151</x:v>
      </x:c>
      <x:c r="D12896" s="13" t="str">
        <x:v>Capital Goods</x:v>
      </x:c>
      <x:c r="E12896" s="13" t="str">
        <x:v>Capital Goods</x:v>
      </x:c>
      <x:c r="F12896" s="13" t="str">
        <x:v>Deep Cyclicals</x:v>
      </x:c>
      <x:c r="G12896" s="13" t="str">
        <x:v>grid_wbaxp5t0.xlsx</x:v>
      </x:c>
    </x:row>
    <x:row r="12897">
      <x:c r="A12897" s="15" t="n">
        <x:v>45870</x:v>
      </x:c>
      <x:c r="B12897" s="13" t="str">
        <x:v>MARCOPOLO SA-PREF</x:v>
      </x:c>
      <x:c r="C12897" s="16" t="n">
        <x:v>1319.8691843507</x:v>
      </x:c>
      <x:c r="D12897" s="13" t="str">
        <x:v>Capital Goods</x:v>
      </x:c>
      <x:c r="E12897" s="13" t="str">
        <x:v>Capital Goods</x:v>
      </x:c>
      <x:c r="F12897" s="13" t="str">
        <x:v>Deep Cyclicals</x:v>
      </x:c>
      <x:c r="G12897" s="13" t="str">
        <x:v>grid_wbaxp5t0.xlsx</x:v>
      </x:c>
    </x:row>
    <x:row r="12898">
      <x:c r="A12898" s="15" t="n">
        <x:v>45870</x:v>
      </x:c>
      <x:c r="B12898" s="13" t="str">
        <x:v>WEG SA</x:v>
      </x:c>
      <x:c r="C12898" s="16" t="n">
        <x:v>7091.0509154192</x:v>
      </x:c>
      <x:c r="D12898" s="13" t="str">
        <x:v>Capital Goods</x:v>
      </x:c>
      <x:c r="E12898" s="13" t="str">
        <x:v>Capital Goods</x:v>
      </x:c>
      <x:c r="F12898" s="13" t="str">
        <x:v>Deep Cyclicals</x:v>
      </x:c>
      <x:c r="G12898" s="13" t="str">
        <x:v>grid_wbaxp5t0.xlsx</x:v>
      </x:c>
    </x:row>
    <x:row r="12899">
      <x:c r="A12899" s="15" t="n">
        <x:v>45870</x:v>
      </x:c>
      <x:c r="B12899" s="13" t="str">
        <x:v>COGNA EDUCACAO</x:v>
      </x:c>
      <x:c r="C12899" s="16" t="n">
        <x:v>635.2205559233</x:v>
      </x:c>
      <x:c r="D12899" s="13" t="str">
        <x:v>Education</x:v>
      </x:c>
      <x:c r="E12899" s="13" t="str">
        <x:v>Education</x:v>
      </x:c>
      <x:c r="F12899" s="13" t="str">
        <x:v>Early Cyclicals</x:v>
      </x:c>
      <x:c r="G12899" s="13" t="str">
        <x:v>grid_wbaxp5t0.xlsx</x:v>
      </x:c>
    </x:row>
    <x:row r="12900">
      <x:c r="A12900" s="15" t="n">
        <x:v>45870</x:v>
      </x:c>
      <x:c r="B12900" s="13" t="str">
        <x:v>YDUQS PARTICIPACOES SA</x:v>
      </x:c>
      <x:c r="C12900" s="16" t="n">
        <x:v>506.3441951562</x:v>
      </x:c>
      <x:c r="D12900" s="13" t="str">
        <x:v>Education</x:v>
      </x:c>
      <x:c r="E12900" s="13" t="str">
        <x:v>Education</x:v>
      </x:c>
      <x:c r="F12900" s="13" t="str">
        <x:v>Early Cyclicals</x:v>
      </x:c>
      <x:c r="G12900" s="13" t="str">
        <x:v>grid_wbaxp5t0.xlsx</x:v>
      </x:c>
    </x:row>
    <x:row r="12901">
      <x:c r="A12901" s="15" t="n">
        <x:v>45870</x:v>
      </x:c>
      <x:c r="B12901" s="13" t="str">
        <x:v>B3 SA-BRASIL BOLSA BALCAO</x:v>
      </x:c>
      <x:c r="C12901" s="16" t="n">
        <x:v>5267.1832470794</x:v>
      </x:c>
      <x:c r="D12901" s="13" t="str">
        <x:v>Financials Non-Banks</x:v>
      </x:c>
      <x:c r="E12901" s="13" t="str">
        <x:v>Financials Non-Banks</x:v>
      </x:c>
      <x:c r="F12901" s="13" t="str">
        <x:v>Financials</x:v>
      </x:c>
      <x:c r="G12901" s="13" t="str">
        <x:v>grid_wbaxp5t0.xlsx</x:v>
      </x:c>
    </x:row>
    <x:row r="12902">
      <x:c r="A12902" s="15" t="n">
        <x:v>45870</x:v>
      </x:c>
      <x:c r="B12902" s="13" t="str">
        <x:v>BB SEGURIDADE PARTICIPACOES</x:v>
      </x:c>
      <x:c r="C12902" s="16" t="n">
        <x:v>8969.2199332822</x:v>
      </x:c>
      <x:c r="D12902" s="13" t="str">
        <x:v>Financials Non-Banks</x:v>
      </x:c>
      <x:c r="E12902" s="13" t="str">
        <x:v>Financials Non-Banks</x:v>
      </x:c>
      <x:c r="F12902" s="13" t="str">
        <x:v>Financials</x:v>
      </x:c>
      <x:c r="G12902" s="13" t="str">
        <x:v>grid_wbaxp5t0.xlsx</x:v>
      </x:c>
    </x:row>
    <x:row r="12903">
      <x:c r="A12903" s="15" t="n">
        <x:v>45870</x:v>
      </x:c>
      <x:c r="B12903" s="13" t="str">
        <x:v>CAIXA SEGURIDADE PARTICIPACO</x:v>
      </x:c>
      <x:c r="C12903" s="16" t="n">
        <x:v>4541.4801646466</x:v>
      </x:c>
      <x:c r="D12903" s="13" t="str">
        <x:v>Financials Non-Banks</x:v>
      </x:c>
      <x:c r="E12903" s="13" t="str">
        <x:v>Financials Non-Banks</x:v>
      </x:c>
      <x:c r="F12903" s="13" t="str">
        <x:v>Financials</x:v>
      </x:c>
      <x:c r="G12903" s="13" t="str">
        <x:v>grid_wbaxp5t0.xlsx</x:v>
      </x:c>
    </x:row>
    <x:row r="12904">
      <x:c r="A12904" s="15" t="n">
        <x:v>45870</x:v>
      </x:c>
      <x:c r="B12904" s="13" t="str">
        <x:v>IRB BRASIL RESSEGUROS SA</x:v>
      </x:c>
      <x:c r="C12904" s="16" t="n">
        <x:v>585.2987395507</x:v>
      </x:c>
      <x:c r="D12904" s="13" t="str">
        <x:v>Financials Non-Banks</x:v>
      </x:c>
      <x:c r="E12904" s="13" t="str">
        <x:v>Financials Non-Banks</x:v>
      </x:c>
      <x:c r="F12904" s="13" t="str">
        <x:v>Financials</x:v>
      </x:c>
      <x:c r="G12904" s="13" t="str">
        <x:v>grid_wbaxp5t0.xlsx</x:v>
      </x:c>
    </x:row>
    <x:row r="12905">
      <x:c r="A12905" s="15" t="n">
        <x:v>45870</x:v>
      </x:c>
      <x:c r="B12905" s="13" t="str">
        <x:v>ITAUSA SA</x:v>
      </x:c>
      <x:c r="C12905" s="16" t="n">
        <x:v>18100.5275753205</x:v>
      </x:c>
      <x:c r="D12905" s="13" t="str">
        <x:v>Financials Non-Banks</x:v>
      </x:c>
      <x:c r="E12905" s="13" t="str">
        <x:v>Financials Non-Banks</x:v>
      </x:c>
      <x:c r="F12905" s="13" t="str">
        <x:v>Financials</x:v>
      </x:c>
      <x:c r="G12905" s="13" t="str">
        <x:v>grid_wbaxp5t0.xlsx</x:v>
      </x:c>
    </x:row>
    <x:row r="12906">
      <x:c r="A12906" s="15" t="n">
        <x:v>45870</x:v>
      </x:c>
      <x:c r="B12906" s="13" t="str">
        <x:v>PORTO SEGURO SA</x:v>
      </x:c>
      <x:c r="C12906" s="16" t="n">
        <x:v>3546.6413041973</x:v>
      </x:c>
      <x:c r="D12906" s="13" t="str">
        <x:v>Financials Non-Banks</x:v>
      </x:c>
      <x:c r="E12906" s="13" t="str">
        <x:v>Financials Non-Banks</x:v>
      </x:c>
      <x:c r="F12906" s="13" t="str">
        <x:v>Financials</x:v>
      </x:c>
      <x:c r="G12906" s="13" t="str">
        <x:v>grid_wbaxp5t0.xlsx</x:v>
      </x:c>
    </x:row>
    <x:row r="12907">
      <x:c r="A12907" s="15" t="n">
        <x:v>45870</x:v>
      </x:c>
      <x:c r="B12907" s="13" t="str">
        <x:v>AMBEV SA</x:v>
      </x:c>
      <x:c r="C12907" s="16" t="n">
        <x:v>15829.9412872767</x:v>
      </x:c>
      <x:c r="D12907" s="13" t="str">
        <x:v>Food &amp; Beverages</x:v>
      </x:c>
      <x:c r="E12907" s="13" t="str">
        <x:v>Agri, Food &amp; Beverages</x:v>
      </x:c>
      <x:c r="F12907" s="13" t="str">
        <x:v>Defensives</x:v>
      </x:c>
      <x:c r="G12907" s="13" t="str">
        <x:v>grid_wbaxp5t0.xlsx</x:v>
      </x:c>
    </x:row>
    <x:row r="12908">
      <x:c r="A12908" s="15" t="n">
        <x:v>45870</x:v>
      </x:c>
      <x:c r="B12908" s="13" t="str">
        <x:v>BRF SA</x:v>
      </x:c>
      <x:c r="C12908" s="16" t="n">
        <x:v>2743.1862959343</x:v>
      </x:c>
      <x:c r="D12908" s="13" t="str">
        <x:v>Food &amp; Beverages</x:v>
      </x:c>
      <x:c r="E12908" s="13" t="str">
        <x:v>Agri, Food &amp; Beverages</x:v>
      </x:c>
      <x:c r="F12908" s="13" t="str">
        <x:v>Defensives</x:v>
      </x:c>
      <x:c r="G12908" s="13" t="str">
        <x:v>grid_wbaxp5t0.xlsx</x:v>
      </x:c>
    </x:row>
    <x:row r="12909">
      <x:c r="A12909" s="15" t="n">
        <x:v>45870</x:v>
      </x:c>
      <x:c r="B12909" s="13" t="str">
        <x:v>MBRF GLOBAL FOODS COMPANY SA</x:v>
      </x:c>
      <x:c r="C12909" s="16" t="n">
        <x:v>30.6971670795</x:v>
      </x:c>
      <x:c r="D12909" s="13" t="str">
        <x:v>Food &amp; Beverages</x:v>
      </x:c>
      <x:c r="E12909" s="13" t="str">
        <x:v>Agri, Food &amp; Beverages</x:v>
      </x:c>
      <x:c r="F12909" s="13" t="str">
        <x:v>Defensives</x:v>
      </x:c>
      <x:c r="G12909" s="13" t="str">
        <x:v>grid_wbaxp5t0.xlsx</x:v>
      </x:c>
    </x:row>
    <x:row r="12910">
      <x:c r="A12910" s="15" t="n">
        <x:v>45870</x:v>
      </x:c>
      <x:c r="B12910" s="13" t="str">
        <x:v>MINERVA SA</x:v>
      </x:c>
      <x:c r="C12910" s="16" t="n">
        <x:v>860.0125141918</x:v>
      </x:c>
      <x:c r="D12910" s="13" t="str">
        <x:v>Food &amp; Beverages</x:v>
      </x:c>
      <x:c r="E12910" s="13" t="str">
        <x:v>Agri, Food &amp; Beverages</x:v>
      </x:c>
      <x:c r="F12910" s="13" t="str">
        <x:v>Defensives</x:v>
      </x:c>
      <x:c r="G12910" s="13" t="str">
        <x:v>grid_wbaxp5t0.xlsx</x:v>
      </x:c>
    </x:row>
    <x:row r="12911">
      <x:c r="A12911" s="15" t="n">
        <x:v>45870</x:v>
      </x:c>
      <x:c r="B12911" s="13" t="str">
        <x:v>FLEURY SA</x:v>
      </x:c>
      <x:c r="C12911" s="16" t="n">
        <x:v>689.1342574466</x:v>
      </x:c>
      <x:c r="D12911" s="13" t="str">
        <x:v>Health Care</x:v>
      </x:c>
      <x:c r="E12911" s="13" t="str">
        <x:v>Health Care</x:v>
      </x:c>
      <x:c r="F12911" s="13" t="str">
        <x:v>Defensives</x:v>
      </x:c>
      <x:c r="G12911" s="13" t="str">
        <x:v>grid_wbaxp5t0.xlsx</x:v>
      </x:c>
    </x:row>
    <x:row r="12912">
      <x:c r="A12912" s="15" t="n">
        <x:v>45870</x:v>
      </x:c>
      <x:c r="B12912" s="13" t="str">
        <x:v>HAPVIDA PARTICIPACOES E INVE</x:v>
      </x:c>
      <x:c r="C12912" s="16" t="n">
        <x:v>1453.1747072</x:v>
      </x:c>
      <x:c r="D12912" s="13" t="str">
        <x:v>Health Care</x:v>
      </x:c>
      <x:c r="E12912" s="13" t="str">
        <x:v>Health Care</x:v>
      </x:c>
      <x:c r="F12912" s="13" t="str">
        <x:v>Defensives</x:v>
      </x:c>
      <x:c r="G12912" s="13" t="str">
        <x:v>grid_wbaxp5t0.xlsx</x:v>
      </x:c>
    </x:row>
    <x:row r="12913">
      <x:c r="A12913" s="15" t="n">
        <x:v>45870</x:v>
      </x:c>
      <x:c r="B12913" s="13" t="str">
        <x:v>HYPERA SA</x:v>
      </x:c>
      <x:c r="C12913" s="16" t="n">
        <x:v>1636.5898310137</x:v>
      </x:c>
      <x:c r="D12913" s="13" t="str">
        <x:v>Health Care</x:v>
      </x:c>
      <x:c r="E12913" s="13" t="str">
        <x:v>Health Care</x:v>
      </x:c>
      <x:c r="F12913" s="13" t="str">
        <x:v>Defensives</x:v>
      </x:c>
      <x:c r="G12913" s="13" t="str">
        <x:v>grid_wbaxp5t0.xlsx</x:v>
      </x:c>
    </x:row>
    <x:row r="12914">
      <x:c r="A12914" s="15" t="n">
        <x:v>45870</x:v>
      </x:c>
      <x:c r="B12914" s="13" t="str">
        <x:v>REDE D'OR SAO LUIZ SA</x:v>
      </x:c>
      <x:c r="C12914" s="16" t="n">
        <x:v>5196.3954161973</x:v>
      </x:c>
      <x:c r="D12914" s="13" t="str">
        <x:v>Health Care</x:v>
      </x:c>
      <x:c r="E12914" s="13" t="str">
        <x:v>Health Care</x:v>
      </x:c>
      <x:c r="F12914" s="13" t="str">
        <x:v>Defensives</x:v>
      </x:c>
      <x:c r="G12914" s="13" t="str">
        <x:v>grid_wbaxp5t0.xlsx</x:v>
      </x:c>
    </x:row>
    <x:row r="12915">
      <x:c r="A12915" s="15" t="n">
        <x:v>45870</x:v>
      </x:c>
      <x:c r="B12915" s="13" t="str">
        <x:v>CYRELA BRAZIL REALTY SA EMP</x:v>
      </x:c>
      <x:c r="C12915" s="16" t="n">
        <x:v>1917.0282148822</x:v>
      </x:c>
      <x:c r="D12915" s="13" t="str">
        <x:v>Homebuilders</x:v>
      </x:c>
      <x:c r="E12915" s="13" t="str">
        <x:v>Real Estate</x:v>
      </x:c>
      <x:c r="F12915" s="13" t="str">
        <x:v>Early Cyclicals</x:v>
      </x:c>
      <x:c r="G12915" s="13" t="str">
        <x:v>grid_wbaxp5t0.xlsx</x:v>
      </x:c>
    </x:row>
    <x:row r="12916">
      <x:c r="A12916" s="15" t="n">
        <x:v>45870</x:v>
      </x:c>
      <x:c r="B12916" s="13" t="str">
        <x:v>DIRECIONAL ENGENHARIA SA</x:v>
      </x:c>
      <x:c r="C12916" s="16" t="n">
        <x:v>893.7667666411</x:v>
      </x:c>
      <x:c r="D12916" s="13" t="str">
        <x:v>Homebuilders</x:v>
      </x:c>
      <x:c r="E12916" s="13" t="str">
        <x:v>Real Estate</x:v>
      </x:c>
      <x:c r="F12916" s="13" t="str">
        <x:v>Early Cyclicals</x:v>
      </x:c>
      <x:c r="G12916" s="13" t="str">
        <x:v>grid_wbaxp5t0.xlsx</x:v>
      </x:c>
    </x:row>
    <x:row r="12917">
      <x:c r="A12917" s="15" t="n">
        <x:v>45870</x:v>
      </x:c>
      <x:c r="B12917" s="13" t="str">
        <x:v>MRV ENGENHARIA</x:v>
      </x:c>
      <x:c r="C12917" s="16" t="n">
        <x:v>370.2101782795</x:v>
      </x:c>
      <x:c r="D12917" s="13" t="str">
        <x:v>Homebuilders</x:v>
      </x:c>
      <x:c r="E12917" s="13" t="str">
        <x:v>Real Estate</x:v>
      </x:c>
      <x:c r="F12917" s="13" t="str">
        <x:v>Early Cyclicals</x:v>
      </x:c>
      <x:c r="G12917" s="13" t="str">
        <x:v>grid_wbaxp5t0.xlsx</x:v>
      </x:c>
    </x:row>
    <x:row r="12918">
      <x:c r="A12918" s="15" t="n">
        <x:v>45870</x:v>
      </x:c>
      <x:c r="B12918" s="13" t="str">
        <x:v>ALLOS SA</x:v>
      </x:c>
      <x:c r="C12918" s="16" t="n">
        <x:v>806.7705913863</x:v>
      </x:c>
      <x:c r="D12918" s="13" t="str">
        <x:v>Income Properties</x:v>
      </x:c>
      <x:c r="E12918" s="13" t="str">
        <x:v>Real Estate</x:v>
      </x:c>
      <x:c r="F12918" s="13" t="str">
        <x:v>Early Cyclicals</x:v>
      </x:c>
      <x:c r="G12918" s="13" t="str">
        <x:v>grid_wbaxp5t0.xlsx</x:v>
      </x:c>
    </x:row>
    <x:row r="12919">
      <x:c r="A12919" s="15" t="n">
        <x:v>45870</x:v>
      </x:c>
      <x:c r="B12919" s="13" t="str">
        <x:v>IGUATEMI SA - UNITS</x:v>
      </x:c>
      <x:c r="C12919" s="16" t="n">
        <x:v>576.8383561644</x:v>
      </x:c>
      <x:c r="D12919" s="13" t="str">
        <x:v>Income Properties</x:v>
      </x:c>
      <x:c r="E12919" s="13" t="str">
        <x:v>Real Estate</x:v>
      </x:c>
      <x:c r="F12919" s="13" t="str">
        <x:v>Early Cyclicals</x:v>
      </x:c>
      <x:c r="G12919" s="13" t="str">
        <x:v>grid_wbaxp5t0.xlsx</x:v>
      </x:c>
    </x:row>
    <x:row r="12920">
      <x:c r="A12920" s="15" t="n">
        <x:v>45870</x:v>
      </x:c>
      <x:c r="B12920" s="13" t="str">
        <x:v>MULTIPLAN EMPREENDIMENTOS</x:v>
      </x:c>
      <x:c r="C12920" s="16" t="n">
        <x:v>1076.6354340822</x:v>
      </x:c>
      <x:c r="D12920" s="13" t="str">
        <x:v>Income Properties</x:v>
      </x:c>
      <x:c r="E12920" s="13" t="str">
        <x:v>Real Estate</x:v>
      </x:c>
      <x:c r="F12920" s="13" t="str">
        <x:v>Early Cyclicals</x:v>
      </x:c>
      <x:c r="G12920" s="13" t="str">
        <x:v>grid_wbaxp5t0.xlsx</x:v>
      </x:c>
    </x:row>
    <x:row r="12921">
      <x:c r="A12921" s="15" t="n">
        <x:v>45870</x:v>
      </x:c>
      <x:c r="B12921" s="13" t="str">
        <x:v>BRADESPAR SA -PREF</x:v>
      </x:c>
      <x:c r="C12921" s="16" t="n">
        <x:v>1498.0396940274</x:v>
      </x:c>
      <x:c r="D12921" s="13" t="str">
        <x:v>Metals &amp; Mining</x:v>
      </x:c>
      <x:c r="E12921" s="13" t="str">
        <x:v>Metals &amp; Mining</x:v>
      </x:c>
      <x:c r="F12921" s="13" t="str">
        <x:v>Deep Cyclicals</x:v>
      </x:c>
      <x:c r="G12921" s="13" t="str">
        <x:v>grid_wbaxp5t0.xlsx</x:v>
      </x:c>
    </x:row>
    <x:row r="12922">
      <x:c r="A12922" s="15" t="n">
        <x:v>45870</x:v>
      </x:c>
      <x:c r="B12922" s="13" t="str">
        <x:v>CIA SIDERURGICA NACIONAL SA</x:v>
      </x:c>
      <x:c r="C12922" s="16" t="n">
        <x:v>-299.9915435178</x:v>
      </x:c>
      <x:c r="D12922" s="13" t="str">
        <x:v>Metals &amp; Mining</x:v>
      </x:c>
      <x:c r="E12922" s="13" t="str">
        <x:v>Metals &amp; Mining</x:v>
      </x:c>
      <x:c r="F12922" s="13" t="str">
        <x:v>Deep Cyclicals</x:v>
      </x:c>
      <x:c r="G12922" s="13" t="str">
        <x:v>grid_wbaxp5t0.xlsx</x:v>
      </x:c>
    </x:row>
    <x:row r="12923">
      <x:c r="A12923" s="15" t="n">
        <x:v>45870</x:v>
      </x:c>
      <x:c r="B12923" s="13" t="str">
        <x:v>CSN MINERACAO SA</x:v>
      </x:c>
      <x:c r="C12923" s="16" t="n">
        <x:v>1603.4685148932</x:v>
      </x:c>
      <x:c r="D12923" s="13" t="str">
        <x:v>Metals &amp; Mining</x:v>
      </x:c>
      <x:c r="E12923" s="13" t="str">
        <x:v>Metals &amp; Mining</x:v>
      </x:c>
      <x:c r="F12923" s="13" t="str">
        <x:v>Deep Cyclicals</x:v>
      </x:c>
      <x:c r="G12923" s="13" t="str">
        <x:v>grid_wbaxp5t0.xlsx</x:v>
      </x:c>
    </x:row>
    <x:row r="12924">
      <x:c r="A12924" s="15" t="n">
        <x:v>45870</x:v>
      </x:c>
      <x:c r="B12924" s="13" t="str">
        <x:v>GERDAU SA-PREF</x:v>
      </x:c>
      <x:c r="C12924" s="16" t="n">
        <x:v>4580.5546411836</x:v>
      </x:c>
      <x:c r="D12924" s="13" t="str">
        <x:v>Metals &amp; Mining</x:v>
      </x:c>
      <x:c r="E12924" s="13" t="str">
        <x:v>Metals &amp; Mining</x:v>
      </x:c>
      <x:c r="F12924" s="13" t="str">
        <x:v>Deep Cyclicals</x:v>
      </x:c>
      <x:c r="G12924" s="13" t="str">
        <x:v>grid_wbaxp5t0.xlsx</x:v>
      </x:c>
    </x:row>
    <x:row r="12925">
      <x:c r="A12925" s="15" t="n">
        <x:v>45870</x:v>
      </x:c>
      <x:c r="B12925" s="13" t="str">
        <x:v>METALURGICA GERDAU SA-PREF</x:v>
      </x:c>
      <x:c r="C12925" s="16" t="n">
        <x:v>1805.1753002082</x:v>
      </x:c>
      <x:c r="D12925" s="13" t="str">
        <x:v>Metals &amp; Mining</x:v>
      </x:c>
      <x:c r="E12925" s="13" t="str">
        <x:v>Metals &amp; Mining</x:v>
      </x:c>
      <x:c r="F12925" s="13" t="str">
        <x:v>Deep Cyclicals</x:v>
      </x:c>
      <x:c r="G12925" s="13" t="str">
        <x:v>grid_wbaxp5t0.xlsx</x:v>
      </x:c>
    </x:row>
    <x:row r="12926">
      <x:c r="A12926" s="15" t="n">
        <x:v>45870</x:v>
      </x:c>
      <x:c r="B12926" s="13" t="str">
        <x:v>USINAS SIDER MINAS GER-PF A</x:v>
      </x:c>
      <x:c r="C12926" s="16" t="n">
        <x:v>541.7662984767</x:v>
      </x:c>
      <x:c r="D12926" s="13" t="str">
        <x:v>Metals &amp; Mining</x:v>
      </x:c>
      <x:c r="E12926" s="13" t="str">
        <x:v>Metals &amp; Mining</x:v>
      </x:c>
      <x:c r="F12926" s="13" t="str">
        <x:v>Deep Cyclicals</x:v>
      </x:c>
      <x:c r="G12926" s="13" t="str">
        <x:v>grid_wbaxp5t0.xlsx</x:v>
      </x:c>
    </x:row>
    <x:row r="12927">
      <x:c r="A12927" s="15" t="n">
        <x:v>45870</x:v>
      </x:c>
      <x:c r="B12927" s="13" t="str">
        <x:v>VALE SA</x:v>
      </x:c>
      <x:c r="C12927" s="16" t="n">
        <x:v>41306.1417717479</x:v>
      </x:c>
      <x:c r="D12927" s="13" t="str">
        <x:v>Metals &amp; Mining</x:v>
      </x:c>
      <x:c r="E12927" s="13" t="str">
        <x:v>Metals &amp; Mining</x:v>
      </x:c>
      <x:c r="F12927" s="13" t="str">
        <x:v>Deep Cyclicals</x:v>
      </x:c>
      <x:c r="G12927" s="13" t="str">
        <x:v>grid_wbaxp5t0.xlsx</x:v>
      </x:c>
    </x:row>
    <x:row r="12928">
      <x:c r="A12928" s="15" t="n">
        <x:v>45870</x:v>
      </x:c>
      <x:c r="B12928" s="13" t="str">
        <x:v>BRASKEM SA-PREF A</x:v>
      </x:c>
      <x:c r="C12928" s="16" t="n">
        <x:v>-1098.685394411</x:v>
      </x:c>
      <x:c r="D12928" s="13" t="str">
        <x:v>Oil, Gas &amp; Petrochemicals</x:v>
      </x:c>
      <x:c r="E12928" s="13" t="str">
        <x:v>Oil, Gas &amp; Petrochemicals</x:v>
      </x:c>
      <x:c r="F12928" s="13" t="str">
        <x:v>Deep Cyclicals</x:v>
      </x:c>
      <x:c r="G12928" s="13" t="str">
        <x:v>grid_wbaxp5t0.xlsx</x:v>
      </x:c>
    </x:row>
    <x:row r="12929">
      <x:c r="A12929" s="15" t="n">
        <x:v>45870</x:v>
      </x:c>
      <x:c r="B12929" s="13" t="str">
        <x:v>BRAVA ENERGIA</x:v>
      </x:c>
      <x:c r="C12929" s="16" t="n">
        <x:v>2041.9071021589</x:v>
      </x:c>
      <x:c r="D12929" s="13" t="str">
        <x:v>Oil, Gas &amp; Petrochemicals</x:v>
      </x:c>
      <x:c r="E12929" s="13" t="str">
        <x:v>Oil, Gas &amp; Petrochemicals</x:v>
      </x:c>
      <x:c r="F12929" s="13" t="str">
        <x:v>Deep Cyclicals</x:v>
      </x:c>
      <x:c r="G12929" s="13" t="str">
        <x:v>grid_wbaxp5t0.xlsx</x:v>
      </x:c>
    </x:row>
    <x:row r="12930">
      <x:c r="A12930" s="15" t="n">
        <x:v>45870</x:v>
      </x:c>
      <x:c r="B12930" s="13" t="str">
        <x:v>COSAN SA</x:v>
      </x:c>
      <x:c r="C12930" s="16" t="n">
        <x:v>1265.8032990685</x:v>
      </x:c>
      <x:c r="D12930" s="13" t="str">
        <x:v>Oil, Gas &amp; Petrochemicals</x:v>
      </x:c>
      <x:c r="E12930" s="13" t="str">
        <x:v>Oil, Gas &amp; Petrochemicals</x:v>
      </x:c>
      <x:c r="F12930" s="13" t="str">
        <x:v>Deep Cyclicals</x:v>
      </x:c>
      <x:c r="G12930" s="13" t="str">
        <x:v>grid_wbaxp5t0.xlsx</x:v>
      </x:c>
    </x:row>
    <x:row r="12931">
      <x:c r="A12931" s="15" t="n">
        <x:v>45870</x:v>
      </x:c>
      <x:c r="B12931" s="13" t="str">
        <x:v>PETROBRAS - PETROLEO BRAS</x:v>
      </x:c>
      <x:c r="C12931" s="16" t="n">
        <x:v>79629.4530595068</x:v>
      </x:c>
      <x:c r="D12931" s="13" t="str">
        <x:v>Oil, Gas &amp; Petrochemicals</x:v>
      </x:c>
      <x:c r="E12931" s="13" t="str">
        <x:v>Oil, Gas &amp; Petrochemicals</x:v>
      </x:c>
      <x:c r="F12931" s="13" t="str">
        <x:v>Deep Cyclicals</x:v>
      </x:c>
      <x:c r="G12931" s="13" t="str">
        <x:v>grid_wbaxp5t0.xlsx</x:v>
      </x:c>
    </x:row>
    <x:row r="12932">
      <x:c r="A12932" s="15" t="n">
        <x:v>45870</x:v>
      </x:c>
      <x:c r="B12932" s="13" t="str">
        <x:v>PETRORECONCAVO SA</x:v>
      </x:c>
      <x:c r="C12932" s="16" t="n">
        <x:v>688.3467253479</x:v>
      </x:c>
      <x:c r="D12932" s="13" t="str">
        <x:v>Oil, Gas &amp; Petrochemicals</x:v>
      </x:c>
      <x:c r="E12932" s="13" t="str">
        <x:v>Oil, Gas &amp; Petrochemicals</x:v>
      </x:c>
      <x:c r="F12932" s="13" t="str">
        <x:v>Deep Cyclicals</x:v>
      </x:c>
      <x:c r="G12932" s="13" t="str">
        <x:v>grid_wbaxp5t0.xlsx</x:v>
      </x:c>
    </x:row>
    <x:row r="12933">
      <x:c r="A12933" s="15" t="n">
        <x:v>45870</x:v>
      </x:c>
      <x:c r="B12933" s="13" t="str">
        <x:v>PRIO SA</x:v>
      </x:c>
      <x:c r="C12933" s="16" t="n">
        <x:v>4946.7252455452</x:v>
      </x:c>
      <x:c r="D12933" s="13" t="str">
        <x:v>Oil, Gas &amp; Petrochemicals</x:v>
      </x:c>
      <x:c r="E12933" s="13" t="str">
        <x:v>Oil, Gas &amp; Petrochemicals</x:v>
      </x:c>
      <x:c r="F12933" s="13" t="str">
        <x:v>Deep Cyclicals</x:v>
      </x:c>
      <x:c r="G12933" s="13" t="str">
        <x:v>grid_wbaxp5t0.xlsx</x:v>
      </x:c>
    </x:row>
    <x:row r="12934">
      <x:c r="A12934" s="15" t="n">
        <x:v>45870</x:v>
      </x:c>
      <x:c r="B12934" s="13" t="str">
        <x:v>ULTRAPAR PARTICIPACOES SA</x:v>
      </x:c>
      <x:c r="C12934" s="16" t="n">
        <x:v>2097.1964535233</x:v>
      </x:c>
      <x:c r="D12934" s="13" t="str">
        <x:v>Oil, Gas &amp; Petrochemicals</x:v>
      </x:c>
      <x:c r="E12934" s="13" t="str">
        <x:v>Oil, Gas &amp; Petrochemicals</x:v>
      </x:c>
      <x:c r="F12934" s="13" t="str">
        <x:v>Deep Cyclicals</x:v>
      </x:c>
      <x:c r="G12934" s="13" t="str">
        <x:v>grid_wbaxp5t0.xlsx</x:v>
      </x:c>
    </x:row>
    <x:row r="12935">
      <x:c r="A12935" s="15" t="n">
        <x:v>45870</x:v>
      </x:c>
      <x:c r="B12935" s="13" t="str">
        <x:v>VIBRA ENERGIA SA</x:v>
      </x:c>
      <x:c r="C12935" s="16" t="n">
        <x:v>2490.0723606794</x:v>
      </x:c>
      <x:c r="D12935" s="13" t="str">
        <x:v>Oil, Gas &amp; Petrochemicals</x:v>
      </x:c>
      <x:c r="E12935" s="13" t="str">
        <x:v>Oil, Gas &amp; Petrochemicals</x:v>
      </x:c>
      <x:c r="F12935" s="13" t="str">
        <x:v>Deep Cyclicals</x:v>
      </x:c>
      <x:c r="G12935" s="13" t="str">
        <x:v>grid_wbaxp5t0.xlsx</x:v>
      </x:c>
    </x:row>
    <x:row r="12936">
      <x:c r="A12936" s="15" t="n">
        <x:v>45870</x:v>
      </x:c>
      <x:c r="B12936" s="13" t="str">
        <x:v>KLABIN SA - UNIT</x:v>
      </x:c>
      <x:c r="C12936" s="16" t="n">
        <x:v>1938.8844081096</x:v>
      </x:c>
      <x:c r="D12936" s="13" t="str">
        <x:v>Pulp &amp; Paper</x:v>
      </x:c>
      <x:c r="E12936" s="13" t="str">
        <x:v>Pulp &amp; Paper</x:v>
      </x:c>
      <x:c r="F12936" s="13" t="str">
        <x:v>Deep Cyclicals</x:v>
      </x:c>
      <x:c r="G12936" s="13" t="str">
        <x:v>grid_wbaxp5t0.xlsx</x:v>
      </x:c>
    </x:row>
    <x:row r="12937">
      <x:c r="A12937" s="15" t="n">
        <x:v>45870</x:v>
      </x:c>
      <x:c r="B12937" s="13" t="str">
        <x:v>SUZANO SA</x:v>
      </x:c>
      <x:c r="C12937" s="16" t="n">
        <x:v>9130.7066957151</x:v>
      </x:c>
      <x:c r="D12937" s="13" t="str">
        <x:v>Pulp &amp; Paper</x:v>
      </x:c>
      <x:c r="E12937" s="13" t="str">
        <x:v>Pulp &amp; Paper</x:v>
      </x:c>
      <x:c r="F12937" s="13" t="str">
        <x:v>Deep Cyclicals</x:v>
      </x:c>
      <x:c r="G12937" s="13" t="str">
        <x:v>grid_wbaxp5t0.xlsx</x:v>
      </x:c>
    </x:row>
    <x:row r="12938">
      <x:c r="A12938" s="15" t="n">
        <x:v>45870</x:v>
      </x:c>
      <x:c r="B12938" s="13" t="str">
        <x:v>AZZAS 2154 SA</x:v>
      </x:c>
      <x:c r="C12938" s="16" t="n">
        <x:v>871.586265074</x:v>
      </x:c>
      <x:c r="D12938" s="13" t="str">
        <x:v>Retail</x:v>
      </x:c>
      <x:c r="E12938" s="13" t="str">
        <x:v>Retail</x:v>
      </x:c>
      <x:c r="F12938" s="13" t="str">
        <x:v>Early Cyclicals</x:v>
      </x:c>
      <x:c r="G12938" s="13" t="str">
        <x:v>grid_wbaxp5t0.xlsx</x:v>
      </x:c>
    </x:row>
    <x:row r="12939">
      <x:c r="A12939" s="15" t="n">
        <x:v>45870</x:v>
      </x:c>
      <x:c r="B12939" s="13" t="str">
        <x:v>CIA BRASILEIRA DE DISTRIBUIC</x:v>
      </x:c>
      <x:c r="C12939" s="16" t="n">
        <x:v>-449.0896685589</x:v>
      </x:c>
      <x:c r="D12939" s="13" t="str">
        <x:v>Retail</x:v>
      </x:c>
      <x:c r="E12939" s="13" t="str">
        <x:v>Retail</x:v>
      </x:c>
      <x:c r="F12939" s="13" t="str">
        <x:v>Early Cyclicals</x:v>
      </x:c>
      <x:c r="G12939" s="13" t="str">
        <x:v>grid_wbaxp5t0.xlsx</x:v>
      </x:c>
    </x:row>
    <x:row r="12940">
      <x:c r="A12940" s="15" t="n">
        <x:v>45870</x:v>
      </x:c>
      <x:c r="B12940" s="13" t="str">
        <x:v>CVC BRASIL OPERADORA E AGENC</x:v>
      </x:c>
      <x:c r="C12940" s="16" t="n">
        <x:v>36.3903539726</x:v>
      </x:c>
      <x:c r="D12940" s="13" t="str">
        <x:v>Retail</x:v>
      </x:c>
      <x:c r="E12940" s="13" t="str">
        <x:v>Retail</x:v>
      </x:c>
      <x:c r="F12940" s="13" t="str">
        <x:v>Early Cyclicals</x:v>
      </x:c>
      <x:c r="G12940" s="13" t="str">
        <x:v>grid_wbaxp5t0.xlsx</x:v>
      </x:c>
    </x:row>
    <x:row r="12941">
      <x:c r="A12941" s="15" t="n">
        <x:v>45870</x:v>
      </x:c>
      <x:c r="B12941" s="13" t="str">
        <x:v>LOJAS RENNER S.A.</x:v>
      </x:c>
      <x:c r="C12941" s="16" t="n">
        <x:v>1632.3149697753</x:v>
      </x:c>
      <x:c r="D12941" s="13" t="str">
        <x:v>Retail</x:v>
      </x:c>
      <x:c r="E12941" s="13" t="str">
        <x:v>Retail</x:v>
      </x:c>
      <x:c r="F12941" s="13" t="str">
        <x:v>Early Cyclicals</x:v>
      </x:c>
      <x:c r="G12941" s="13" t="str">
        <x:v>grid_wbaxp5t0.xlsx</x:v>
      </x:c>
    </x:row>
    <x:row r="12942">
      <x:c r="A12942" s="15" t="n">
        <x:v>45870</x:v>
      </x:c>
      <x:c r="B12942" s="13" t="str">
        <x:v>MAGAZINE LUIZA SA</x:v>
      </x:c>
      <x:c r="C12942" s="16" t="n">
        <x:v>381.508517611</x:v>
      </x:c>
      <x:c r="D12942" s="13" t="str">
        <x:v>Retail</x:v>
      </x:c>
      <x:c r="E12942" s="13" t="str">
        <x:v>Retail</x:v>
      </x:c>
      <x:c r="F12942" s="13" t="str">
        <x:v>Early Cyclicals</x:v>
      </x:c>
      <x:c r="G12942" s="13" t="str">
        <x:v>grid_wbaxp5t0.xlsx</x:v>
      </x:c>
    </x:row>
    <x:row r="12943">
      <x:c r="A12943" s="15" t="n">
        <x:v>45870</x:v>
      </x:c>
      <x:c r="B12943" s="13" t="str">
        <x:v>NATURA COSMETICOS SA</x:v>
      </x:c>
      <x:c r="C12943" s="16" t="n">
        <x:v>1133.6869800329</x:v>
      </x:c>
      <x:c r="D12943" s="13" t="str">
        <x:v>Retail</x:v>
      </x:c>
      <x:c r="E12943" s="13" t="str">
        <x:v>Retail</x:v>
      </x:c>
      <x:c r="F12943" s="13" t="str">
        <x:v>Early Cyclicals</x:v>
      </x:c>
      <x:c r="G12943" s="13" t="str">
        <x:v>grid_wbaxp5t0.xlsx</x:v>
      </x:c>
    </x:row>
    <x:row r="12944">
      <x:c r="A12944" s="15" t="n">
        <x:v>45870</x:v>
      </x:c>
      <x:c r="B12944" s="13" t="str">
        <x:v>PET CENTER COMERCIO E PARTIC</x:v>
      </x:c>
      <x:c r="C12944" s="16" t="n">
        <x:v>85.8720010959</x:v>
      </x:c>
      <x:c r="D12944" s="13" t="str">
        <x:v>Retail</x:v>
      </x:c>
      <x:c r="E12944" s="13" t="str">
        <x:v>Retail</x:v>
      </x:c>
      <x:c r="F12944" s="13" t="str">
        <x:v>Early Cyclicals</x:v>
      </x:c>
      <x:c r="G12944" s="13" t="str">
        <x:v>grid_wbaxp5t0.xlsx</x:v>
      </x:c>
    </x:row>
    <x:row r="12945">
      <x:c r="A12945" s="15" t="n">
        <x:v>45870</x:v>
      </x:c>
      <x:c r="B12945" s="13" t="str">
        <x:v>RAIA DROGASIL SA</x:v>
      </x:c>
      <x:c r="C12945" s="16" t="n">
        <x:v>1437.0817083616</x:v>
      </x:c>
      <x:c r="D12945" s="13" t="str">
        <x:v>Retail</x:v>
      </x:c>
      <x:c r="E12945" s="13" t="str">
        <x:v>Retail</x:v>
      </x:c>
      <x:c r="F12945" s="13" t="str">
        <x:v>Early Cyclicals</x:v>
      </x:c>
      <x:c r="G12945" s="13" t="str">
        <x:v>grid_wbaxp5t0.xlsx</x:v>
      </x:c>
    </x:row>
    <x:row r="12946">
      <x:c r="A12946" s="15" t="n">
        <x:v>45870</x:v>
      </x:c>
      <x:c r="B12946" s="13" t="str">
        <x:v>SENDAS DISTRIBUIDORA SA</x:v>
      </x:c>
      <x:c r="C12946" s="16" t="n">
        <x:v>1090.8133866959</x:v>
      </x:c>
      <x:c r="D12946" s="13" t="str">
        <x:v>Retail</x:v>
      </x:c>
      <x:c r="E12946" s="13" t="str">
        <x:v>Retail</x:v>
      </x:c>
      <x:c r="F12946" s="13" t="str">
        <x:v>Early Cyclicals</x:v>
      </x:c>
      <x:c r="G12946" s="13" t="str">
        <x:v>grid_wbaxp5t0.xlsx</x:v>
      </x:c>
    </x:row>
    <x:row r="12947">
      <x:c r="A12947" s="15" t="n">
        <x:v>45870</x:v>
      </x:c>
      <x:c r="B12947" s="13" t="str">
        <x:v>SMARTFIT - ORDINARY</x:v>
      </x:c>
      <x:c r="C12947" s="16" t="n">
        <x:v>879.0973864329</x:v>
      </x:c>
      <x:c r="D12947" s="13" t="str">
        <x:v>Retail</x:v>
      </x:c>
      <x:c r="E12947" s="13" t="str">
        <x:v>Retail</x:v>
      </x:c>
      <x:c r="F12947" s="13" t="str">
        <x:v>Early Cyclicals</x:v>
      </x:c>
      <x:c r="G12947" s="13" t="str">
        <x:v>grid_wbaxp5t0.xlsx</x:v>
      </x:c>
    </x:row>
    <x:row r="12948">
      <x:c r="A12948" s="15" t="n">
        <x:v>45870</x:v>
      </x:c>
      <x:c r="B12948" s="13" t="str">
        <x:v>VIVARA PARTICIPACOES SA</x:v>
      </x:c>
      <x:c r="C12948" s="16" t="n">
        <x:v>680.7373043726</x:v>
      </x:c>
      <x:c r="D12948" s="13" t="str">
        <x:v>Retail</x:v>
      </x:c>
      <x:c r="E12948" s="13" t="str">
        <x:v>Retail</x:v>
      </x:c>
      <x:c r="F12948" s="13" t="str">
        <x:v>Early Cyclicals</x:v>
      </x:c>
      <x:c r="G12948" s="13" t="str">
        <x:v>grid_wbaxp5t0.xlsx</x:v>
      </x:c>
    </x:row>
    <x:row r="12949">
      <x:c r="A12949" s="15" t="n">
        <x:v>45870</x:v>
      </x:c>
      <x:c r="B12949" s="13" t="str">
        <x:v>CIA SANEAMENTO BASICO DE SP</x:v>
      </x:c>
      <x:c r="C12949" s="16" t="n">
        <x:v>5981.209061348</x:v>
      </x:c>
      <x:c r="D12949" s="13" t="str">
        <x:v>Sanitation</x:v>
      </x:c>
      <x:c r="E12949" s="13" t="str">
        <x:v>Utilities</x:v>
      </x:c>
      <x:c r="F12949" s="13" t="str">
        <x:v>Defensives</x:v>
      </x:c>
      <x:c r="G12949" s="13" t="str">
        <x:v>grid_wbaxp5t0.xlsx</x:v>
      </x:c>
    </x:row>
    <x:row r="12950">
      <x:c r="A12950" s="15" t="n">
        <x:v>45870</x:v>
      </x:c>
      <x:c r="B12950" s="13" t="str">
        <x:v>TIM SA</x:v>
      </x:c>
      <x:c r="C12950" s="16" t="n">
        <x:v>4320.2813292712</x:v>
      </x:c>
      <x:c r="D12950" s="13" t="str">
        <x:v>TMT</x:v>
      </x:c>
      <x:c r="E12950" s="13" t="str">
        <x:v>TMT</x:v>
      </x:c>
      <x:c r="F12950" s="13" t="str">
        <x:v>Early Cyclicals</x:v>
      </x:c>
      <x:c r="G12950" s="13" t="str">
        <x:v>grid_wbaxp5t0.xlsx</x:v>
      </x:c>
    </x:row>
    <x:row r="12951">
      <x:c r="A12951" s="15" t="n">
        <x:v>45870</x:v>
      </x:c>
      <x:c r="B12951" s="13" t="str">
        <x:v>TOTVS SA</x:v>
      </x:c>
      <x:c r="C12951" s="16" t="n">
        <x:v>1044.4263122411</x:v>
      </x:c>
      <x:c r="D12951" s="13" t="str">
        <x:v>TMT</x:v>
      </x:c>
      <x:c r="E12951" s="13" t="str">
        <x:v>TMT</x:v>
      </x:c>
      <x:c r="F12951" s="13" t="str">
        <x:v>Early Cyclicals</x:v>
      </x:c>
      <x:c r="G12951" s="13" t="str">
        <x:v>grid_wbaxp5t0.xlsx</x:v>
      </x:c>
    </x:row>
    <x:row r="12952">
      <x:c r="A12952" s="15" t="n">
        <x:v>45870</x:v>
      </x:c>
      <x:c r="B12952" s="13" t="str">
        <x:v>LOCALIZA RENT A CAR</x:v>
      </x:c>
      <x:c r="C12952" s="16" t="n">
        <x:v>3980.2796593096</x:v>
      </x:c>
      <x:c r="D12952" s="13" t="str">
        <x:v>Transportation</x:v>
      </x:c>
      <x:c r="E12952" s="13" t="str">
        <x:v>Transportation</x:v>
      </x:c>
      <x:c r="F12952" s="13" t="str">
        <x:v>Deep Cyclicals</x:v>
      </x:c>
      <x:c r="G12952" s="13" t="str">
        <x:v>grid_wbaxp5t0.xlsx</x:v>
      </x:c>
    </x:row>
    <x:row r="12953">
      <x:c r="A12953" s="15" t="n">
        <x:v>45870</x:v>
      </x:c>
      <x:c r="B12953" s="13" t="str">
        <x:v>MOTIVA INFRAESTRUTURA DE MOB</x:v>
      </x:c>
      <x:c r="C12953" s="16" t="n">
        <x:v>2269.0843444603</x:v>
      </x:c>
      <x:c r="D12953" s="13" t="str">
        <x:v>Transportation</x:v>
      </x:c>
      <x:c r="E12953" s="13" t="str">
        <x:v>Transportation</x:v>
      </x:c>
      <x:c r="F12953" s="13" t="str">
        <x:v>Deep Cyclicals</x:v>
      </x:c>
      <x:c r="G12953" s="13" t="str">
        <x:v>grid_wbaxp5t0.xlsx</x:v>
      </x:c>
    </x:row>
    <x:row r="12954">
      <x:c r="A12954" s="15" t="n">
        <x:v>45870</x:v>
      </x:c>
      <x:c r="B12954" s="13" t="str">
        <x:v>RUMO SA</x:v>
      </x:c>
      <x:c r="C12954" s="16" t="n">
        <x:v>2278.8833799014</x:v>
      </x:c>
      <x:c r="D12954" s="13" t="str">
        <x:v>Transportation</x:v>
      </x:c>
      <x:c r="E12954" s="13" t="str">
        <x:v>Transportation</x:v>
      </x:c>
      <x:c r="F12954" s="13" t="str">
        <x:v>Deep Cyclicals</x:v>
      </x:c>
      <x:c r="G12954" s="13" t="str">
        <x:v>grid_wbaxp5t0.xlsx</x:v>
      </x:c>
    </x:row>
    <x:row r="12955">
      <x:c r="A12955" s="15" t="n">
        <x:v>45870</x:v>
      </x:c>
      <x:c r="B12955" s="13" t="str">
        <x:v>SANTOS BRASIL PARTICIPACOES</x:v>
      </x:c>
      <x:c r="C12955" s="16" t="n">
        <x:v>902.297228274</x:v>
      </x:c>
      <x:c r="D12955" s="13" t="str">
        <x:v>Transportation</x:v>
      </x:c>
      <x:c r="E12955" s="13" t="str">
        <x:v>Transportation</x:v>
      </x:c>
      <x:c r="F12955" s="13" t="str">
        <x:v>Deep Cyclicals</x:v>
      </x:c>
      <x:c r="G12955" s="13" t="str">
        <x:v>grid_wbaxp5t0.xlsx</x:v>
      </x:c>
    </x:row>
    <x:row r="12956">
      <x:c r="A12956" s="15" t="n">
        <x:v>45870</x:v>
      </x:c>
      <x:c r="B12956" s="13" t="str">
        <x:v>VAMOS LOCACAO DE CAMINHOES M</x:v>
      </x:c>
      <x:c r="C12956" s="16" t="n">
        <x:v>623.7042244384</x:v>
      </x:c>
      <x:c r="D12956" s="13" t="str">
        <x:v>Transportation</x:v>
      </x:c>
      <x:c r="E12956" s="13" t="str">
        <x:v>Transportation</x:v>
      </x:c>
      <x:c r="F12956" s="13" t="str">
        <x:v>Deep Cyclicals</x:v>
      </x:c>
      <x:c r="G12956" s="13" t="str">
        <x:v>grid_wbaxp5t0.xlsx</x:v>
      </x:c>
    </x:row>
    <x:row r="12957">
      <x:c r="A12957" s="15" t="n">
        <x:v>45870</x:v>
      </x:c>
      <x:c r="B12957" s="13" t="str">
        <x:v>AUREN ENERGIA SA - ON</x:v>
      </x:c>
      <x:c r="C12957" s="16" t="n">
        <x:v>-186.9281126027</x:v>
      </x:c>
      <x:c r="D12957" s="13" t="str">
        <x:v>Utilities &amp; Energy</x:v>
      </x:c>
      <x:c r="E12957" s="13" t="str">
        <x:v>Utilities</x:v>
      </x:c>
      <x:c r="F12957" s="13" t="str">
        <x:v>Defensives</x:v>
      </x:c>
      <x:c r="G12957" s="13" t="str">
        <x:v>grid_wbaxp5t0.xlsx</x:v>
      </x:c>
    </x:row>
    <x:row r="12958">
      <x:c r="A12958" s="15" t="n">
        <x:v>45870</x:v>
      </x:c>
      <x:c r="B12958" s="13" t="str">
        <x:v>AXIA ENERGIA SA</x:v>
      </x:c>
      <x:c r="C12958" s="16" t="n">
        <x:v>7914.6794334685</x:v>
      </x:c>
      <x:c r="D12958" s="13" t="str">
        <x:v>Utilities &amp; Energy</x:v>
      </x:c>
      <x:c r="E12958" s="13" t="str">
        <x:v>Utilities</x:v>
      </x:c>
      <x:c r="F12958" s="13" t="str">
        <x:v>Defensives</x:v>
      </x:c>
      <x:c r="G12958" s="13" t="str">
        <x:v>grid_wbaxp5t0.xlsx</x:v>
      </x:c>
    </x:row>
    <x:row r="12959">
      <x:c r="A12959" s="15" t="n">
        <x:v>45870</x:v>
      </x:c>
      <x:c r="B12959" s="13" t="str">
        <x:v>AXIA ENERGIA-PR B</x:v>
      </x:c>
      <x:c r="C12959" s="16" t="n">
        <x:v>7914.6794334685</x:v>
      </x:c>
      <x:c r="D12959" s="13" t="str">
        <x:v>Utilities &amp; Energy</x:v>
      </x:c>
      <x:c r="E12959" s="13" t="str">
        <x:v>Utilities</x:v>
      </x:c>
      <x:c r="F12959" s="13" t="str">
        <x:v>Defensives</x:v>
      </x:c>
      <x:c r="G12959" s="13" t="str">
        <x:v>grid_wbaxp5t0.xlsx</x:v>
      </x:c>
    </x:row>
    <x:row r="12960">
      <x:c r="A12960" s="15" t="n">
        <x:v>45870</x:v>
      </x:c>
      <x:c r="B12960" s="13" t="str">
        <x:v>CIA ENERGETICA MINAS GER-PRF</x:v>
      </x:c>
      <x:c r="C12960" s="16" t="n">
        <x:v>3813.502835726</x:v>
      </x:c>
      <x:c r="D12960" s="13" t="str">
        <x:v>Utilities &amp; Energy</x:v>
      </x:c>
      <x:c r="E12960" s="13" t="str">
        <x:v>Utilities</x:v>
      </x:c>
      <x:c r="F12960" s="13" t="str">
        <x:v>Defensives</x:v>
      </x:c>
      <x:c r="G12960" s="13" t="str">
        <x:v>grid_wbaxp5t0.xlsx</x:v>
      </x:c>
    </x:row>
    <x:row r="12961">
      <x:c r="A12961" s="15" t="n">
        <x:v>45870</x:v>
      </x:c>
      <x:c r="B12961" s="13" t="str">
        <x:v>COMPANHIA PARANAENSE -PREF B</x:v>
      </x:c>
      <x:c r="C12961" s="16" t="n">
        <x:v>2493.7064868822</x:v>
      </x:c>
      <x:c r="D12961" s="13" t="str">
        <x:v>Utilities &amp; Energy</x:v>
      </x:c>
      <x:c r="E12961" s="13" t="str">
        <x:v>Utilities</x:v>
      </x:c>
      <x:c r="F12961" s="13" t="str">
        <x:v>Defensives</x:v>
      </x:c>
      <x:c r="G12961" s="13" t="str">
        <x:v>grid_wbaxp5t0.xlsx</x:v>
      </x:c>
    </x:row>
    <x:row r="12962">
      <x:c r="A12962" s="15" t="n">
        <x:v>45870</x:v>
      </x:c>
      <x:c r="B12962" s="13" t="str">
        <x:v>CPFL ENERGIA SA</x:v>
      </x:c>
      <x:c r="C12962" s="16" t="n">
        <x:v>4652.2158290411</x:v>
      </x:c>
      <x:c r="D12962" s="13" t="str">
        <x:v>Utilities &amp; Energy</x:v>
      </x:c>
      <x:c r="E12962" s="13" t="str">
        <x:v>Utilities</x:v>
      </x:c>
      <x:c r="F12962" s="13" t="str">
        <x:v>Defensives</x:v>
      </x:c>
      <x:c r="G12962" s="13" t="str">
        <x:v>grid_wbaxp5t0.xlsx</x:v>
      </x:c>
    </x:row>
    <x:row r="12963">
      <x:c r="A12963" s="15" t="n">
        <x:v>45870</x:v>
      </x:c>
      <x:c r="B12963" s="13" t="str">
        <x:v>ENERGISA SA-UNITS</x:v>
      </x:c>
      <x:c r="C12963" s="16" t="n">
        <x:v>1740.4043607671</x:v>
      </x:c>
      <x:c r="D12963" s="13" t="str">
        <x:v>Utilities &amp; Energy</x:v>
      </x:c>
      <x:c r="E12963" s="13" t="str">
        <x:v>Utilities</x:v>
      </x:c>
      <x:c r="F12963" s="13" t="str">
        <x:v>Defensives</x:v>
      </x:c>
      <x:c r="G12963" s="13" t="str">
        <x:v>grid_wbaxp5t0.xlsx</x:v>
      </x:c>
    </x:row>
    <x:row r="12964">
      <x:c r="A12964" s="15" t="n">
        <x:v>45870</x:v>
      </x:c>
      <x:c r="B12964" s="13" t="str">
        <x:v>ENEVA SA</x:v>
      </x:c>
      <x:c r="C12964" s="16" t="n">
        <x:v>1697.9732879781</x:v>
      </x:c>
      <x:c r="D12964" s="13" t="str">
        <x:v>Utilities &amp; Energy</x:v>
      </x:c>
      <x:c r="E12964" s="13" t="str">
        <x:v>Utilities</x:v>
      </x:c>
      <x:c r="F12964" s="13" t="str">
        <x:v>Defensives</x:v>
      </x:c>
      <x:c r="G12964" s="13" t="str">
        <x:v>grid_wbaxp5t0.xlsx</x:v>
      </x:c>
    </x:row>
    <x:row r="12965">
      <x:c r="A12965" s="15" t="n">
        <x:v>45870</x:v>
      </x:c>
      <x:c r="B12965" s="13" t="str">
        <x:v>ENGIE BRASIL ENERGIA SA</x:v>
      </x:c>
      <x:c r="C12965" s="16" t="n">
        <x:v>2988.7708959562</x:v>
      </x:c>
      <x:c r="D12965" s="13" t="str">
        <x:v>Utilities &amp; Energy</x:v>
      </x:c>
      <x:c r="E12965" s="13" t="str">
        <x:v>Utilities</x:v>
      </x:c>
      <x:c r="F12965" s="13" t="str">
        <x:v>Defensives</x:v>
      </x:c>
      <x:c r="G12965" s="13" t="str">
        <x:v>grid_wbaxp5t0.xlsx</x:v>
      </x:c>
    </x:row>
    <x:row r="12966">
      <x:c r="A12966" s="15" t="n">
        <x:v>45870</x:v>
      </x:c>
      <x:c r="B12966" s="13" t="str">
        <x:v>EQUATORIAL SA - ORD</x:v>
      </x:c>
      <x:c r="C12966" s="16" t="n">
        <x:v>3482.3974322849</x:v>
      </x:c>
      <x:c r="D12966" s="13" t="str">
        <x:v>Utilities &amp; Energy</x:v>
      </x:c>
      <x:c r="E12966" s="13" t="str">
        <x:v>Utilities</x:v>
      </x:c>
      <x:c r="F12966" s="13" t="str">
        <x:v>Defensives</x:v>
      </x:c>
      <x:c r="G12966" s="13" t="str">
        <x:v>grid_wbaxp5t0.xlsx</x:v>
      </x:c>
    </x:row>
    <x:row r="12967">
      <x:c r="A12967" s="15" t="n">
        <x:v>45870</x:v>
      </x:c>
      <x:c r="B12967" s="13" t="str">
        <x:v>ISA ENERGIA BRASIL SA</x:v>
      </x:c>
      <x:c r="C12967" s="16" t="n">
        <x:v>1474.927935474</x:v>
      </x:c>
      <x:c r="D12967" s="13" t="str">
        <x:v>Utilities &amp; Energy</x:v>
      </x:c>
      <x:c r="E12967" s="13" t="str">
        <x:v>Utilities</x:v>
      </x:c>
      <x:c r="F12967" s="13" t="str">
        <x:v>Defensives</x:v>
      </x:c>
      <x:c r="G12967" s="13" t="str">
        <x:v>grid_wbaxp5t0.xlsx</x:v>
      </x:c>
    </x:row>
    <x:row r="12968">
      <x:c r="A12968" s="15" t="n">
        <x:v>45870</x:v>
      </x:c>
      <x:c r="B12968" s="13" t="str">
        <x:v>TRANSMISSORA ALIANCA DE-UNIT</x:v>
      </x:c>
      <x:c r="C12968" s="16" t="n">
        <x:v>1256.0789041096</x:v>
      </x:c>
      <x:c r="D12968" s="13" t="str">
        <x:v>Utilities &amp; Energy</x:v>
      </x:c>
      <x:c r="E12968" s="13" t="str">
        <x:v>Utilities</x:v>
      </x:c>
      <x:c r="F12968" s="13" t="str">
        <x:v>Defensives</x:v>
      </x:c>
      <x:c r="G12968" s="13" t="str">
        <x:v>grid_wbaxp5t0.xlsx</x:v>
      </x:c>
    </x:row>
    <x:row r="12969">
      <x:c r="A12969" s="15" t="n">
        <x:v>45901</x:v>
      </x:c>
      <x:c r="B12969" s="13" t="str">
        <x:v>RAIZEN SA - PREFERENCE</x:v>
      </x:c>
      <x:c r="C12969" s="16" t="n">
        <x:v>-1419.9051329753</x:v>
      </x:c>
      <x:c r="D12969" s="13" t="str">
        <x:v>Agribusiness</x:v>
      </x:c>
      <x:c r="E12969" s="13" t="str">
        <x:v>Agri, Food &amp; Beverages</x:v>
      </x:c>
      <x:c r="F12969" s="13" t="str">
        <x:v>Defensives</x:v>
      </x:c>
      <x:c r="G12969" s="13" t="str">
        <x:v>grid_wbaxp5t0.xlsx</x:v>
      </x:c>
    </x:row>
    <x:row r="12970">
      <x:c r="A12970" s="15" t="n">
        <x:v>45901</x:v>
      </x:c>
      <x:c r="B12970" s="13" t="str">
        <x:v>SLC AGRICOLA SA</x:v>
      </x:c>
      <x:c r="C12970" s="16" t="n">
        <x:v>877.9911078575</x:v>
      </x:c>
      <x:c r="D12970" s="13" t="str">
        <x:v>Agribusiness</x:v>
      </x:c>
      <x:c r="E12970" s="13" t="str">
        <x:v>Agri, Food &amp; Beverages</x:v>
      </x:c>
      <x:c r="F12970" s="13" t="str">
        <x:v>Defensives</x:v>
      </x:c>
      <x:c r="G12970" s="13" t="str">
        <x:v>grid_wbaxp5t0.xlsx</x:v>
      </x:c>
    </x:row>
    <x:row r="12971">
      <x:c r="A12971" s="15" t="n">
        <x:v>45901</x:v>
      </x:c>
      <x:c r="B12971" s="13" t="str">
        <x:v>BANCO BRADESCO S.A.</x:v>
      </x:c>
      <x:c r="C12971" s="16" t="n">
        <x:v>27329.2348317808</x:v>
      </x:c>
      <x:c r="D12971" s="13" t="str">
        <x:v>Banks</x:v>
      </x:c>
      <x:c r="E12971" s="13" t="str">
        <x:v>Banks</x:v>
      </x:c>
      <x:c r="F12971" s="13" t="str">
        <x:v>Financials</x:v>
      </x:c>
      <x:c r="G12971" s="13" t="str">
        <x:v>grid_wbaxp5t0.xlsx</x:v>
      </x:c>
    </x:row>
    <x:row r="12972">
      <x:c r="A12972" s="15" t="n">
        <x:v>45901</x:v>
      </x:c>
      <x:c r="B12972" s="13" t="str">
        <x:v>BANCO BRADESCO SA-PREF</x:v>
      </x:c>
      <x:c r="C12972" s="16" t="n">
        <x:v>27329.2348317808</x:v>
      </x:c>
      <x:c r="D12972" s="13" t="str">
        <x:v>Banks</x:v>
      </x:c>
      <x:c r="E12972" s="13" t="str">
        <x:v>Banks</x:v>
      </x:c>
      <x:c r="F12972" s="13" t="str">
        <x:v>Financials</x:v>
      </x:c>
      <x:c r="G12972" s="13" t="str">
        <x:v>grid_wbaxp5t0.xlsx</x:v>
      </x:c>
    </x:row>
    <x:row r="12973">
      <x:c r="A12973" s="15" t="n">
        <x:v>45901</x:v>
      </x:c>
      <x:c r="B12973" s="13" t="str">
        <x:v>BANCO BTG PACTUAL SA-UNIT</x:v>
      </x:c>
      <x:c r="C12973" s="16" t="n">
        <x:v>16699.5205919562</x:v>
      </x:c>
      <x:c r="D12973" s="13" t="str">
        <x:v>Banks</x:v>
      </x:c>
      <x:c r="E12973" s="13" t="str">
        <x:v>Banks</x:v>
      </x:c>
      <x:c r="F12973" s="13" t="str">
        <x:v>Financials</x:v>
      </x:c>
      <x:c r="G12973" s="13" t="str">
        <x:v>grid_wbaxp5t0.xlsx</x:v>
      </x:c>
    </x:row>
    <x:row r="12974">
      <x:c r="A12974" s="15" t="n">
        <x:v>45901</x:v>
      </x:c>
      <x:c r="B12974" s="13" t="str">
        <x:v>BANCO DO BRASIL S.A.</x:v>
      </x:c>
      <x:c r="C12974" s="16" t="n">
        <x:v>25367.9643213151</x:v>
      </x:c>
      <x:c r="D12974" s="13" t="str">
        <x:v>Banks</x:v>
      </x:c>
      <x:c r="E12974" s="13" t="str">
        <x:v>Banks</x:v>
      </x:c>
      <x:c r="F12974" s="13" t="str">
        <x:v>Financials</x:v>
      </x:c>
      <x:c r="G12974" s="13" t="str">
        <x:v>grid_wbaxp5t0.xlsx</x:v>
      </x:c>
    </x:row>
    <x:row r="12975">
      <x:c r="A12975" s="15" t="n">
        <x:v>45901</x:v>
      </x:c>
      <x:c r="B12975" s="13" t="str">
        <x:v>BANCO SANTANDER  BRASIL-UNIT</x:v>
      </x:c>
      <x:c r="C12975" s="16" t="n">
        <x:v>16576.4760842521</x:v>
      </x:c>
      <x:c r="D12975" s="13" t="str">
        <x:v>Banks</x:v>
      </x:c>
      <x:c r="E12975" s="13" t="str">
        <x:v>Banks</x:v>
      </x:c>
      <x:c r="F12975" s="13" t="str">
        <x:v>Financials</x:v>
      </x:c>
      <x:c r="G12975" s="13" t="str">
        <x:v>grid_wbaxp5t0.xlsx</x:v>
      </x:c>
    </x:row>
    <x:row r="12976">
      <x:c r="A12976" s="15" t="n">
        <x:v>45901</x:v>
      </x:c>
      <x:c r="B12976" s="13" t="str">
        <x:v>ITAU UNIBANCO HOLDING S-PREF</x:v>
      </x:c>
      <x:c r="C12976" s="16" t="n">
        <x:v>49727.7776713644</x:v>
      </x:c>
      <x:c r="D12976" s="13" t="str">
        <x:v>Banks</x:v>
      </x:c>
      <x:c r="E12976" s="13" t="str">
        <x:v>Banks</x:v>
      </x:c>
      <x:c r="F12976" s="13" t="str">
        <x:v>Financials</x:v>
      </x:c>
      <x:c r="G12976" s="13" t="str">
        <x:v>grid_wbaxp5t0.xlsx</x:v>
      </x:c>
    </x:row>
    <x:row r="12977">
      <x:c r="A12977" s="15" t="n">
        <x:v>45901</x:v>
      </x:c>
      <x:c r="B12977" s="13" t="str">
        <x:v>EMBRAER SA</x:v>
      </x:c>
      <x:c r="C12977" s="16" t="n">
        <x:v>2532.3016767123</x:v>
      </x:c>
      <x:c r="D12977" s="13" t="str">
        <x:v>Capital Goods</x:v>
      </x:c>
      <x:c r="E12977" s="13" t="str">
        <x:v>Capital Goods</x:v>
      </x:c>
      <x:c r="F12977" s="13" t="str">
        <x:v>Deep Cyclicals</x:v>
      </x:c>
      <x:c r="G12977" s="13" t="str">
        <x:v>grid_wbaxp5t0.xlsx</x:v>
      </x:c>
    </x:row>
    <x:row r="12978">
      <x:c r="A12978" s="15" t="n">
        <x:v>45901</x:v>
      </x:c>
      <x:c r="B12978" s="13" t="str">
        <x:v>MARCOPOLO SA-PREF</x:v>
      </x:c>
      <x:c r="C12978" s="16" t="n">
        <x:v>1355.7270535014</x:v>
      </x:c>
      <x:c r="D12978" s="13" t="str">
        <x:v>Capital Goods</x:v>
      </x:c>
      <x:c r="E12978" s="13" t="str">
        <x:v>Capital Goods</x:v>
      </x:c>
      <x:c r="F12978" s="13" t="str">
        <x:v>Deep Cyclicals</x:v>
      </x:c>
      <x:c r="G12978" s="13" t="str">
        <x:v>grid_wbaxp5t0.xlsx</x:v>
      </x:c>
    </x:row>
    <x:row r="12979">
      <x:c r="A12979" s="15" t="n">
        <x:v>45901</x:v>
      </x:c>
      <x:c r="B12979" s="13" t="str">
        <x:v>WEG SA</x:v>
      </x:c>
      <x:c r="C12979" s="16" t="n">
        <x:v>7025.662803463</x:v>
      </x:c>
      <x:c r="D12979" s="13" t="str">
        <x:v>Capital Goods</x:v>
      </x:c>
      <x:c r="E12979" s="13" t="str">
        <x:v>Capital Goods</x:v>
      </x:c>
      <x:c r="F12979" s="13" t="str">
        <x:v>Deep Cyclicals</x:v>
      </x:c>
      <x:c r="G12979" s="13" t="str">
        <x:v>grid_wbaxp5t0.xlsx</x:v>
      </x:c>
    </x:row>
    <x:row r="12980">
      <x:c r="A12980" s="15" t="n">
        <x:v>45901</x:v>
      </x:c>
      <x:c r="B12980" s="13" t="str">
        <x:v>COGNA EDUCACAO</x:v>
      </x:c>
      <x:c r="C12980" s="16" t="n">
        <x:v>641.8176929315</x:v>
      </x:c>
      <x:c r="D12980" s="13" t="str">
        <x:v>Education</x:v>
      </x:c>
      <x:c r="E12980" s="13" t="str">
        <x:v>Education</x:v>
      </x:c>
      <x:c r="F12980" s="13" t="str">
        <x:v>Early Cyclicals</x:v>
      </x:c>
      <x:c r="G12980" s="13" t="str">
        <x:v>grid_wbaxp5t0.xlsx</x:v>
      </x:c>
    </x:row>
    <x:row r="12981">
      <x:c r="A12981" s="15" t="n">
        <x:v>45901</x:v>
      </x:c>
      <x:c r="B12981" s="13" t="str">
        <x:v>YDUQS PARTICIPACOES SA</x:v>
      </x:c>
      <x:c r="C12981" s="16" t="n">
        <x:v>517.6352580384</x:v>
      </x:c>
      <x:c r="D12981" s="13" t="str">
        <x:v>Education</x:v>
      </x:c>
      <x:c r="E12981" s="13" t="str">
        <x:v>Education</x:v>
      </x:c>
      <x:c r="F12981" s="13" t="str">
        <x:v>Early Cyclicals</x:v>
      </x:c>
      <x:c r="G12981" s="13" t="str">
        <x:v>grid_wbaxp5t0.xlsx</x:v>
      </x:c>
    </x:row>
    <x:row r="12982">
      <x:c r="A12982" s="15" t="n">
        <x:v>45901</x:v>
      </x:c>
      <x:c r="B12982" s="13" t="str">
        <x:v>B3 SA-BRASIL BOLSA BALCAO</x:v>
      </x:c>
      <x:c r="C12982" s="16" t="n">
        <x:v>5319.228615189</x:v>
      </x:c>
      <x:c r="D12982" s="13" t="str">
        <x:v>Financials Non-Banks</x:v>
      </x:c>
      <x:c r="E12982" s="13" t="str">
        <x:v>Financials Non-Banks</x:v>
      </x:c>
      <x:c r="F12982" s="13" t="str">
        <x:v>Financials</x:v>
      </x:c>
      <x:c r="G12982" s="13" t="str">
        <x:v>grid_wbaxp5t0.xlsx</x:v>
      </x:c>
    </x:row>
    <x:row r="12983">
      <x:c r="A12983" s="15" t="n">
        <x:v>45901</x:v>
      </x:c>
      <x:c r="B12983" s="13" t="str">
        <x:v>BB SEGURIDADE PARTICIPACOES</x:v>
      </x:c>
      <x:c r="C12983" s="16" t="n">
        <x:v>8913.0160212164</x:v>
      </x:c>
      <x:c r="D12983" s="13" t="str">
        <x:v>Financials Non-Banks</x:v>
      </x:c>
      <x:c r="E12983" s="13" t="str">
        <x:v>Financials Non-Banks</x:v>
      </x:c>
      <x:c r="F12983" s="13" t="str">
        <x:v>Financials</x:v>
      </x:c>
      <x:c r="G12983" s="13" t="str">
        <x:v>grid_wbaxp5t0.xlsx</x:v>
      </x:c>
    </x:row>
    <x:row r="12984">
      <x:c r="A12984" s="15" t="n">
        <x:v>45901</x:v>
      </x:c>
      <x:c r="B12984" s="13" t="str">
        <x:v>CAIXA SEGURIDADE PARTICIPACO</x:v>
      </x:c>
      <x:c r="C12984" s="16" t="n">
        <x:v>4560.1129429918</x:v>
      </x:c>
      <x:c r="D12984" s="13" t="str">
        <x:v>Financials Non-Banks</x:v>
      </x:c>
      <x:c r="E12984" s="13" t="str">
        <x:v>Financials Non-Banks</x:v>
      </x:c>
      <x:c r="F12984" s="13" t="str">
        <x:v>Financials</x:v>
      </x:c>
      <x:c r="G12984" s="13" t="str">
        <x:v>grid_wbaxp5t0.xlsx</x:v>
      </x:c>
    </x:row>
    <x:row r="12985">
      <x:c r="A12985" s="15" t="n">
        <x:v>45901</x:v>
      </x:c>
      <x:c r="B12985" s="13" t="str">
        <x:v>IRB BRASIL RESSEGUROS SA</x:v>
      </x:c>
      <x:c r="C12985" s="16" t="n">
        <x:v>600.3027157918</x:v>
      </x:c>
      <x:c r="D12985" s="13" t="str">
        <x:v>Financials Non-Banks</x:v>
      </x:c>
      <x:c r="E12985" s="13" t="str">
        <x:v>Financials Non-Banks</x:v>
      </x:c>
      <x:c r="F12985" s="13" t="str">
        <x:v>Financials</x:v>
      </x:c>
      <x:c r="G12985" s="13" t="str">
        <x:v>grid_wbaxp5t0.xlsx</x:v>
      </x:c>
    </x:row>
    <x:row r="12986">
      <x:c r="A12986" s="15" t="n">
        <x:v>45901</x:v>
      </x:c>
      <x:c r="B12986" s="13" t="str">
        <x:v>ITAUSA SA</x:v>
      </x:c>
      <x:c r="C12986" s="16" t="n">
        <x:v>18237.2947434959</x:v>
      </x:c>
      <x:c r="D12986" s="13" t="str">
        <x:v>Financials Non-Banks</x:v>
      </x:c>
      <x:c r="E12986" s="13" t="str">
        <x:v>Financials Non-Banks</x:v>
      </x:c>
      <x:c r="F12986" s="13" t="str">
        <x:v>Financials</x:v>
      </x:c>
      <x:c r="G12986" s="13" t="str">
        <x:v>grid_wbaxp5t0.xlsx</x:v>
      </x:c>
    </x:row>
    <x:row r="12987">
      <x:c r="A12987" s="15" t="n">
        <x:v>45901</x:v>
      </x:c>
      <x:c r="B12987" s="13" t="str">
        <x:v>PORTO SEGURO SA</x:v>
      </x:c>
      <x:c r="C12987" s="16" t="n">
        <x:v>3589.0429418959</x:v>
      </x:c>
      <x:c r="D12987" s="13" t="str">
        <x:v>Financials Non-Banks</x:v>
      </x:c>
      <x:c r="E12987" s="13" t="str">
        <x:v>Financials Non-Banks</x:v>
      </x:c>
      <x:c r="F12987" s="13" t="str">
        <x:v>Financials</x:v>
      </x:c>
      <x:c r="G12987" s="13" t="str">
        <x:v>grid_wbaxp5t0.xlsx</x:v>
      </x:c>
    </x:row>
    <x:row r="12988">
      <x:c r="A12988" s="15" t="n">
        <x:v>45901</x:v>
      </x:c>
      <x:c r="B12988" s="13" t="str">
        <x:v>AMBEV SA</x:v>
      </x:c>
      <x:c r="C12988" s="16" t="n">
        <x:v>15897.617548274</x:v>
      </x:c>
      <x:c r="D12988" s="13" t="str">
        <x:v>Food &amp; Beverages</x:v>
      </x:c>
      <x:c r="E12988" s="13" t="str">
        <x:v>Agri, Food &amp; Beverages</x:v>
      </x:c>
      <x:c r="F12988" s="13" t="str">
        <x:v>Defensives</x:v>
      </x:c>
      <x:c r="G12988" s="13" t="str">
        <x:v>grid_wbaxp5t0.xlsx</x:v>
      </x:c>
    </x:row>
    <x:row r="12989">
      <x:c r="A12989" s="15" t="n">
        <x:v>45901</x:v>
      </x:c>
      <x:c r="B12989" s="13" t="str">
        <x:v>MBRF GLOBAL FOODS COMPANY SA</x:v>
      </x:c>
      <x:c r="C12989" s="16" t="n">
        <x:v>768.7073031014</x:v>
      </x:c>
      <x:c r="D12989" s="13" t="str">
        <x:v>Food &amp; Beverages</x:v>
      </x:c>
      <x:c r="E12989" s="13" t="str">
        <x:v>Agri, Food &amp; Beverages</x:v>
      </x:c>
      <x:c r="F12989" s="13" t="str">
        <x:v>Defensives</x:v>
      </x:c>
      <x:c r="G12989" s="13" t="str">
        <x:v>grid_wbaxp5t0.xlsx</x:v>
      </x:c>
    </x:row>
    <x:row r="12990">
      <x:c r="A12990" s="15" t="n">
        <x:v>45901</x:v>
      </x:c>
      <x:c r="B12990" s="13" t="str">
        <x:v>MINERVA SA</x:v>
      </x:c>
      <x:c r="C12990" s="16" t="n">
        <x:v>886.0774603397</x:v>
      </x:c>
      <x:c r="D12990" s="13" t="str">
        <x:v>Food &amp; Beverages</x:v>
      </x:c>
      <x:c r="E12990" s="13" t="str">
        <x:v>Agri, Food &amp; Beverages</x:v>
      </x:c>
      <x:c r="F12990" s="13" t="str">
        <x:v>Defensives</x:v>
      </x:c>
      <x:c r="G12990" s="13" t="str">
        <x:v>grid_wbaxp5t0.xlsx</x:v>
      </x:c>
    </x:row>
    <x:row r="12991">
      <x:c r="A12991" s="15" t="n">
        <x:v>45901</x:v>
      </x:c>
      <x:c r="B12991" s="13" t="str">
        <x:v>FLEURY SA</x:v>
      </x:c>
      <x:c r="C12991" s="16" t="n">
        <x:v>686.171922937</x:v>
      </x:c>
      <x:c r="D12991" s="13" t="str">
        <x:v>Health Care</x:v>
      </x:c>
      <x:c r="E12991" s="13" t="str">
        <x:v>Health Care</x:v>
      </x:c>
      <x:c r="F12991" s="13" t="str">
        <x:v>Defensives</x:v>
      </x:c>
      <x:c r="G12991" s="13" t="str">
        <x:v>grid_wbaxp5t0.xlsx</x:v>
      </x:c>
    </x:row>
    <x:row r="12992">
      <x:c r="A12992" s="15" t="n">
        <x:v>45901</x:v>
      </x:c>
      <x:c r="B12992" s="13" t="str">
        <x:v>HAPVIDA PARTICIPACOES E INVE</x:v>
      </x:c>
      <x:c r="C12992" s="16" t="n">
        <x:v>1440.6046684932</x:v>
      </x:c>
      <x:c r="D12992" s="13" t="str">
        <x:v>Health Care</x:v>
      </x:c>
      <x:c r="E12992" s="13" t="str">
        <x:v>Health Care</x:v>
      </x:c>
      <x:c r="F12992" s="13" t="str">
        <x:v>Defensives</x:v>
      </x:c>
      <x:c r="G12992" s="13" t="str">
        <x:v>grid_wbaxp5t0.xlsx</x:v>
      </x:c>
    </x:row>
    <x:row r="12993">
      <x:c r="A12993" s="15" t="n">
        <x:v>45901</x:v>
      </x:c>
      <x:c r="B12993" s="13" t="str">
        <x:v>HYPERA SA</x:v>
      </x:c>
      <x:c r="C12993" s="16" t="n">
        <x:v>1654.841824789</x:v>
      </x:c>
      <x:c r="D12993" s="13" t="str">
        <x:v>Health Care</x:v>
      </x:c>
      <x:c r="E12993" s="13" t="str">
        <x:v>Health Care</x:v>
      </x:c>
      <x:c r="F12993" s="13" t="str">
        <x:v>Defensives</x:v>
      </x:c>
      <x:c r="G12993" s="13" t="str">
        <x:v>grid_wbaxp5t0.xlsx</x:v>
      </x:c>
    </x:row>
    <x:row r="12994">
      <x:c r="A12994" s="15" t="n">
        <x:v>45901</x:v>
      </x:c>
      <x:c r="B12994" s="13" t="str">
        <x:v>REDE D'OR SAO LUIZ SA</x:v>
      </x:c>
      <x:c r="C12994" s="16" t="n">
        <x:v>5307.1174038794</x:v>
      </x:c>
      <x:c r="D12994" s="13" t="str">
        <x:v>Health Care</x:v>
      </x:c>
      <x:c r="E12994" s="13" t="str">
        <x:v>Health Care</x:v>
      </x:c>
      <x:c r="F12994" s="13" t="str">
        <x:v>Defensives</x:v>
      </x:c>
      <x:c r="G12994" s="13" t="str">
        <x:v>grid_wbaxp5t0.xlsx</x:v>
      </x:c>
    </x:row>
    <x:row r="12995">
      <x:c r="A12995" s="15" t="n">
        <x:v>45901</x:v>
      </x:c>
      <x:c r="B12995" s="13" t="str">
        <x:v>CURY CONSTRUTORA E INCORPORA</x:v>
      </x:c>
      <x:c r="C12995" s="16" t="n">
        <x:v>1103.6041335233</x:v>
      </x:c>
      <x:c r="D12995" s="13" t="str">
        <x:v>Homebuilders</x:v>
      </x:c>
      <x:c r="E12995" s="13" t="str">
        <x:v>Real Estate</x:v>
      </x:c>
      <x:c r="F12995" s="13" t="str">
        <x:v>Early Cyclicals</x:v>
      </x:c>
      <x:c r="G12995" s="13" t="str">
        <x:v>grid_wbaxp5t0.xlsx</x:v>
      </x:c>
    </x:row>
    <x:row r="12996">
      <x:c r="A12996" s="15" t="n">
        <x:v>45901</x:v>
      </x:c>
      <x:c r="B12996" s="13" t="str">
        <x:v>CYRELA BRAZIL REALTY SA EMP</x:v>
      </x:c>
      <x:c r="C12996" s="16" t="n">
        <x:v>1939.3640668932</x:v>
      </x:c>
      <x:c r="D12996" s="13" t="str">
        <x:v>Homebuilders</x:v>
      </x:c>
      <x:c r="E12996" s="13" t="str">
        <x:v>Real Estate</x:v>
      </x:c>
      <x:c r="F12996" s="13" t="str">
        <x:v>Early Cyclicals</x:v>
      </x:c>
      <x:c r="G12996" s="13" t="str">
        <x:v>grid_wbaxp5t0.xlsx</x:v>
      </x:c>
    </x:row>
    <x:row r="12997">
      <x:c r="A12997" s="15" t="n">
        <x:v>45901</x:v>
      </x:c>
      <x:c r="B12997" s="13" t="str">
        <x:v>DIRECIONAL ENGENHARIA SA</x:v>
      </x:c>
      <x:c r="C12997" s="16" t="n">
        <x:v>963.3240856548</x:v>
      </x:c>
      <x:c r="D12997" s="13" t="str">
        <x:v>Homebuilders</x:v>
      </x:c>
      <x:c r="E12997" s="13" t="str">
        <x:v>Real Estate</x:v>
      </x:c>
      <x:c r="F12997" s="13" t="str">
        <x:v>Early Cyclicals</x:v>
      </x:c>
      <x:c r="G12997" s="13" t="str">
        <x:v>grid_wbaxp5t0.xlsx</x:v>
      </x:c>
    </x:row>
    <x:row r="12998">
      <x:c r="A12998" s="15" t="n">
        <x:v>45901</x:v>
      </x:c>
      <x:c r="B12998" s="13" t="str">
        <x:v>MRV ENGENHARIA</x:v>
      </x:c>
      <x:c r="C12998" s="16" t="n">
        <x:v>372.1336795178</x:v>
      </x:c>
      <x:c r="D12998" s="13" t="str">
        <x:v>Homebuilders</x:v>
      </x:c>
      <x:c r="E12998" s="13" t="str">
        <x:v>Real Estate</x:v>
      </x:c>
      <x:c r="F12998" s="13" t="str">
        <x:v>Early Cyclicals</x:v>
      </x:c>
      <x:c r="G12998" s="13" t="str">
        <x:v>grid_wbaxp5t0.xlsx</x:v>
      </x:c>
    </x:row>
    <x:row r="12999">
      <x:c r="A12999" s="15" t="n">
        <x:v>45901</x:v>
      </x:c>
      <x:c r="B12999" s="13" t="str">
        <x:v>ALLOS SA</x:v>
      </x:c>
      <x:c r="C12999" s="16" t="n">
        <x:v>815.2169550904</x:v>
      </x:c>
      <x:c r="D12999" s="13" t="str">
        <x:v>Income Properties</x:v>
      </x:c>
      <x:c r="E12999" s="13" t="str">
        <x:v>Real Estate</x:v>
      </x:c>
      <x:c r="F12999" s="13" t="str">
        <x:v>Early Cyclicals</x:v>
      </x:c>
      <x:c r="G12999" s="13" t="str">
        <x:v>grid_wbaxp5t0.xlsx</x:v>
      </x:c>
    </x:row>
    <x:row r="13000">
      <x:c r="A13000" s="15" t="n">
        <x:v>45901</x:v>
      </x:c>
      <x:c r="B13000" s="13" t="str">
        <x:v>IGUATEMI SA - UNITS</x:v>
      </x:c>
      <x:c r="C13000" s="16" t="n">
        <x:v>586.4044700055</x:v>
      </x:c>
      <x:c r="D13000" s="13" t="str">
        <x:v>Income Properties</x:v>
      </x:c>
      <x:c r="E13000" s="13" t="str">
        <x:v>Real Estate</x:v>
      </x:c>
      <x:c r="F13000" s="13" t="str">
        <x:v>Early Cyclicals</x:v>
      </x:c>
      <x:c r="G13000" s="13" t="str">
        <x:v>grid_wbaxp5t0.xlsx</x:v>
      </x:c>
    </x:row>
    <x:row r="13001">
      <x:c r="A13001" s="15" t="n">
        <x:v>45901</x:v>
      </x:c>
      <x:c r="B13001" s="13" t="str">
        <x:v>MULTIPLAN EMPREENDIMENTOS</x:v>
      </x:c>
      <x:c r="C13001" s="16" t="n">
        <x:v>1078.0946176</x:v>
      </x:c>
      <x:c r="D13001" s="13" t="str">
        <x:v>Income Properties</x:v>
      </x:c>
      <x:c r="E13001" s="13" t="str">
        <x:v>Real Estate</x:v>
      </x:c>
      <x:c r="F13001" s="13" t="str">
        <x:v>Early Cyclicals</x:v>
      </x:c>
      <x:c r="G13001" s="13" t="str">
        <x:v>grid_wbaxp5t0.xlsx</x:v>
      </x:c>
    </x:row>
    <x:row r="13002">
      <x:c r="A13002" s="15" t="n">
        <x:v>45901</x:v>
      </x:c>
      <x:c r="B13002" s="13" t="str">
        <x:v>BRADESPAR SA -PREF</x:v>
      </x:c>
      <x:c r="C13002" s="16" t="n">
        <x:v>1500.004141589</x:v>
      </x:c>
      <x:c r="D13002" s="13" t="str">
        <x:v>Metals &amp; Mining</x:v>
      </x:c>
      <x:c r="E13002" s="13" t="str">
        <x:v>Metals &amp; Mining</x:v>
      </x:c>
      <x:c r="F13002" s="13" t="str">
        <x:v>Deep Cyclicals</x:v>
      </x:c>
      <x:c r="G13002" s="13" t="str">
        <x:v>grid_wbaxp5t0.xlsx</x:v>
      </x:c>
    </x:row>
    <x:row r="13003">
      <x:c r="A13003" s="15" t="n">
        <x:v>45901</x:v>
      </x:c>
      <x:c r="B13003" s="13" t="str">
        <x:v>CIA SIDERURGICA NACIONAL SA</x:v>
      </x:c>
      <x:c r="C13003" s="16" t="n">
        <x:v>-229.9777721534</x:v>
      </x:c>
      <x:c r="D13003" s="13" t="str">
        <x:v>Metals &amp; Mining</x:v>
      </x:c>
      <x:c r="E13003" s="13" t="str">
        <x:v>Metals &amp; Mining</x:v>
      </x:c>
      <x:c r="F13003" s="13" t="str">
        <x:v>Deep Cyclicals</x:v>
      </x:c>
      <x:c r="G13003" s="13" t="str">
        <x:v>grid_wbaxp5t0.xlsx</x:v>
      </x:c>
    </x:row>
    <x:row r="13004">
      <x:c r="A13004" s="15" t="n">
        <x:v>45901</x:v>
      </x:c>
      <x:c r="B13004" s="13" t="str">
        <x:v>CSN MINERACAO SA</x:v>
      </x:c>
      <x:c r="C13004" s="16" t="n">
        <x:v>1605.4285725808</x:v>
      </x:c>
      <x:c r="D13004" s="13" t="str">
        <x:v>Metals &amp; Mining</x:v>
      </x:c>
      <x:c r="E13004" s="13" t="str">
        <x:v>Metals &amp; Mining</x:v>
      </x:c>
      <x:c r="F13004" s="13" t="str">
        <x:v>Deep Cyclicals</x:v>
      </x:c>
      <x:c r="G13004" s="13" t="str">
        <x:v>grid_wbaxp5t0.xlsx</x:v>
      </x:c>
    </x:row>
    <x:row r="13005">
      <x:c r="A13005" s="15" t="n">
        <x:v>45901</x:v>
      </x:c>
      <x:c r="B13005" s="13" t="str">
        <x:v>GERDAU SA-PREF</x:v>
      </x:c>
      <x:c r="C13005" s="16" t="n">
        <x:v>4568.4114446027</x:v>
      </x:c>
      <x:c r="D13005" s="13" t="str">
        <x:v>Metals &amp; Mining</x:v>
      </x:c>
      <x:c r="E13005" s="13" t="str">
        <x:v>Metals &amp; Mining</x:v>
      </x:c>
      <x:c r="F13005" s="13" t="str">
        <x:v>Deep Cyclicals</x:v>
      </x:c>
      <x:c r="G13005" s="13" t="str">
        <x:v>grid_wbaxp5t0.xlsx</x:v>
      </x:c>
    </x:row>
    <x:row r="13006">
      <x:c r="A13006" s="15" t="n">
        <x:v>45901</x:v>
      </x:c>
      <x:c r="B13006" s="13" t="str">
        <x:v>METALURGICA GERDAU SA-PREF</x:v>
      </x:c>
      <x:c r="C13006" s="16" t="n">
        <x:v>1880.4848836384</x:v>
      </x:c>
      <x:c r="D13006" s="13" t="str">
        <x:v>Metals &amp; Mining</x:v>
      </x:c>
      <x:c r="E13006" s="13" t="str">
        <x:v>Metals &amp; Mining</x:v>
      </x:c>
      <x:c r="F13006" s="13" t="str">
        <x:v>Deep Cyclicals</x:v>
      </x:c>
      <x:c r="G13006" s="13" t="str">
        <x:v>grid_wbaxp5t0.xlsx</x:v>
      </x:c>
    </x:row>
    <x:row r="13007">
      <x:c r="A13007" s="15" t="n">
        <x:v>45901</x:v>
      </x:c>
      <x:c r="B13007" s="13" t="str">
        <x:v>USINAS SIDER MINAS GER-PF A</x:v>
      </x:c>
      <x:c r="C13007" s="16" t="n">
        <x:v>529.3617160767</x:v>
      </x:c>
      <x:c r="D13007" s="13" t="str">
        <x:v>Metals &amp; Mining</x:v>
      </x:c>
      <x:c r="E13007" s="13" t="str">
        <x:v>Metals &amp; Mining</x:v>
      </x:c>
      <x:c r="F13007" s="13" t="str">
        <x:v>Deep Cyclicals</x:v>
      </x:c>
      <x:c r="G13007" s="13" t="str">
        <x:v>grid_wbaxp5t0.xlsx</x:v>
      </x:c>
    </x:row>
    <x:row r="13008">
      <x:c r="A13008" s="15" t="n">
        <x:v>45901</x:v>
      </x:c>
      <x:c r="B13008" s="13" t="str">
        <x:v>VALE SA</x:v>
      </x:c>
      <x:c r="C13008" s="16" t="n">
        <x:v>39788.4880924055</x:v>
      </x:c>
      <x:c r="D13008" s="13" t="str">
        <x:v>Metals &amp; Mining</x:v>
      </x:c>
      <x:c r="E13008" s="13" t="str">
        <x:v>Metals &amp; Mining</x:v>
      </x:c>
      <x:c r="F13008" s="13" t="str">
        <x:v>Deep Cyclicals</x:v>
      </x:c>
      <x:c r="G13008" s="13" t="str">
        <x:v>grid_wbaxp5t0.xlsx</x:v>
      </x:c>
    </x:row>
    <x:row r="13009">
      <x:c r="A13009" s="15" t="n">
        <x:v>45901</x:v>
      </x:c>
      <x:c r="B13009" s="13" t="str">
        <x:v>BRASKEM SA-PREF A</x:v>
      </x:c>
      <x:c r="C13009" s="16" t="n">
        <x:v>-1119.8284305534</x:v>
      </x:c>
      <x:c r="D13009" s="13" t="str">
        <x:v>Oil, Gas &amp; Petrochemicals</x:v>
      </x:c>
      <x:c r="E13009" s="13" t="str">
        <x:v>Oil, Gas &amp; Petrochemicals</x:v>
      </x:c>
      <x:c r="F13009" s="13" t="str">
        <x:v>Deep Cyclicals</x:v>
      </x:c>
      <x:c r="G13009" s="13" t="str">
        <x:v>grid_wbaxp5t0.xlsx</x:v>
      </x:c>
    </x:row>
    <x:row r="13010">
      <x:c r="A13010" s="15" t="n">
        <x:v>45901</x:v>
      </x:c>
      <x:c r="B13010" s="13" t="str">
        <x:v>BRAVA ENERGIA</x:v>
      </x:c>
      <x:c r="C13010" s="16" t="n">
        <x:v>1968.9476586959</x:v>
      </x:c>
      <x:c r="D13010" s="13" t="str">
        <x:v>Oil, Gas &amp; Petrochemicals</x:v>
      </x:c>
      <x:c r="E13010" s="13" t="str">
        <x:v>Oil, Gas &amp; Petrochemicals</x:v>
      </x:c>
      <x:c r="F13010" s="13" t="str">
        <x:v>Deep Cyclicals</x:v>
      </x:c>
      <x:c r="G13010" s="13" t="str">
        <x:v>grid_wbaxp5t0.xlsx</x:v>
      </x:c>
    </x:row>
    <x:row r="13011">
      <x:c r="A13011" s="15" t="n">
        <x:v>45901</x:v>
      </x:c>
      <x:c r="B13011" s="13" t="str">
        <x:v>COSAN SA</x:v>
      </x:c>
      <x:c r="C13011" s="16" t="n">
        <x:v>1827.1164801753</x:v>
      </x:c>
      <x:c r="D13011" s="13" t="str">
        <x:v>Oil, Gas &amp; Petrochemicals</x:v>
      </x:c>
      <x:c r="E13011" s="13" t="str">
        <x:v>Oil, Gas &amp; Petrochemicals</x:v>
      </x:c>
      <x:c r="F13011" s="13" t="str">
        <x:v>Deep Cyclicals</x:v>
      </x:c>
      <x:c r="G13011" s="13" t="str">
        <x:v>grid_wbaxp5t0.xlsx</x:v>
      </x:c>
    </x:row>
    <x:row r="13012">
      <x:c r="A13012" s="15" t="n">
        <x:v>45901</x:v>
      </x:c>
      <x:c r="B13012" s="13" t="str">
        <x:v>PETROBRAS - PETROLEO BRAS</x:v>
      </x:c>
      <x:c r="C13012" s="16" t="n">
        <x:v>80098.1294991781</x:v>
      </x:c>
      <x:c r="D13012" s="13" t="str">
        <x:v>Oil, Gas &amp; Petrochemicals</x:v>
      </x:c>
      <x:c r="E13012" s="13" t="str">
        <x:v>Oil, Gas &amp; Petrochemicals</x:v>
      </x:c>
      <x:c r="F13012" s="13" t="str">
        <x:v>Deep Cyclicals</x:v>
      </x:c>
      <x:c r="G13012" s="13" t="str">
        <x:v>grid_wbaxp5t0.xlsx</x:v>
      </x:c>
    </x:row>
    <x:row r="13013">
      <x:c r="A13013" s="15" t="n">
        <x:v>45901</x:v>
      </x:c>
      <x:c r="B13013" s="13" t="str">
        <x:v>PETRORECONCAVO SA</x:v>
      </x:c>
      <x:c r="C13013" s="16" t="n">
        <x:v>644.6239330192</x:v>
      </x:c>
      <x:c r="D13013" s="13" t="str">
        <x:v>Oil, Gas &amp; Petrochemicals</x:v>
      </x:c>
      <x:c r="E13013" s="13" t="str">
        <x:v>Oil, Gas &amp; Petrochemicals</x:v>
      </x:c>
      <x:c r="F13013" s="13" t="str">
        <x:v>Deep Cyclicals</x:v>
      </x:c>
      <x:c r="G13013" s="13" t="str">
        <x:v>grid_wbaxp5t0.xlsx</x:v>
      </x:c>
    </x:row>
    <x:row r="13014">
      <x:c r="A13014" s="15" t="n">
        <x:v>45901</x:v>
      </x:c>
      <x:c r="B13014" s="13" t="str">
        <x:v>PRIO SA</x:v>
      </x:c>
      <x:c r="C13014" s="16" t="n">
        <x:v>5281.0646023014</x:v>
      </x:c>
      <x:c r="D13014" s="13" t="str">
        <x:v>Oil, Gas &amp; Petrochemicals</x:v>
      </x:c>
      <x:c r="E13014" s="13" t="str">
        <x:v>Oil, Gas &amp; Petrochemicals</x:v>
      </x:c>
      <x:c r="F13014" s="13" t="str">
        <x:v>Deep Cyclicals</x:v>
      </x:c>
      <x:c r="G13014" s="13" t="str">
        <x:v>grid_wbaxp5t0.xlsx</x:v>
      </x:c>
    </x:row>
    <x:row r="13015">
      <x:c r="A13015" s="15" t="n">
        <x:v>45901</x:v>
      </x:c>
      <x:c r="B13015" s="13" t="str">
        <x:v>ULTRAPAR PARTICIPACOES SA</x:v>
      </x:c>
      <x:c r="C13015" s="16" t="n">
        <x:v>2245.9416449753</x:v>
      </x:c>
      <x:c r="D13015" s="13" t="str">
        <x:v>Oil, Gas &amp; Petrochemicals</x:v>
      </x:c>
      <x:c r="E13015" s="13" t="str">
        <x:v>Oil, Gas &amp; Petrochemicals</x:v>
      </x:c>
      <x:c r="F13015" s="13" t="str">
        <x:v>Deep Cyclicals</x:v>
      </x:c>
      <x:c r="G13015" s="13" t="str">
        <x:v>grid_wbaxp5t0.xlsx</x:v>
      </x:c>
    </x:row>
    <x:row r="13016">
      <x:c r="A13016" s="15" t="n">
        <x:v>45901</x:v>
      </x:c>
      <x:c r="B13016" s="13" t="str">
        <x:v>VIBRA ENERGIA SA</x:v>
      </x:c>
      <x:c r="C13016" s="16" t="n">
        <x:v>2411.9431329315</x:v>
      </x:c>
      <x:c r="D13016" s="13" t="str">
        <x:v>Oil, Gas &amp; Petrochemicals</x:v>
      </x:c>
      <x:c r="E13016" s="13" t="str">
        <x:v>Oil, Gas &amp; Petrochemicals</x:v>
      </x:c>
      <x:c r="F13016" s="13" t="str">
        <x:v>Deep Cyclicals</x:v>
      </x:c>
      <x:c r="G13016" s="13" t="str">
        <x:v>grid_wbaxp5t0.xlsx</x:v>
      </x:c>
    </x:row>
    <x:row r="13017">
      <x:c r="A13017" s="15" t="n">
        <x:v>45901</x:v>
      </x:c>
      <x:c r="B13017" s="13" t="str">
        <x:v>KLABIN SA - UNIT</x:v>
      </x:c>
      <x:c r="C13017" s="16" t="n">
        <x:v>1839.7874726575</x:v>
      </x:c>
      <x:c r="D13017" s="13" t="str">
        <x:v>Pulp &amp; Paper</x:v>
      </x:c>
      <x:c r="E13017" s="13" t="str">
        <x:v>Pulp &amp; Paper</x:v>
      </x:c>
      <x:c r="F13017" s="13" t="str">
        <x:v>Deep Cyclicals</x:v>
      </x:c>
      <x:c r="G13017" s="13" t="str">
        <x:v>grid_wbaxp5t0.xlsx</x:v>
      </x:c>
    </x:row>
    <x:row r="13018">
      <x:c r="A13018" s="15" t="n">
        <x:v>45901</x:v>
      </x:c>
      <x:c r="B13018" s="13" t="str">
        <x:v>SUZANO SA</x:v>
      </x:c>
      <x:c r="C13018" s="16" t="n">
        <x:v>9118.6952809206</x:v>
      </x:c>
      <x:c r="D13018" s="13" t="str">
        <x:v>Pulp &amp; Paper</x:v>
      </x:c>
      <x:c r="E13018" s="13" t="str">
        <x:v>Pulp &amp; Paper</x:v>
      </x:c>
      <x:c r="F13018" s="13" t="str">
        <x:v>Deep Cyclicals</x:v>
      </x:c>
      <x:c r="G13018" s="13" t="str">
        <x:v>grid_wbaxp5t0.xlsx</x:v>
      </x:c>
    </x:row>
    <x:row r="13019">
      <x:c r="A13019" s="15" t="n">
        <x:v>45901</x:v>
      </x:c>
      <x:c r="B13019" s="13" t="str">
        <x:v>AZZAS 2154 SA</x:v>
      </x:c>
      <x:c r="C13019" s="16" t="n">
        <x:v>881.9514853699</x:v>
      </x:c>
      <x:c r="D13019" s="13" t="str">
        <x:v>Retail</x:v>
      </x:c>
      <x:c r="E13019" s="13" t="str">
        <x:v>Retail</x:v>
      </x:c>
      <x:c r="F13019" s="13" t="str">
        <x:v>Early Cyclicals</x:v>
      </x:c>
      <x:c r="G13019" s="13" t="str">
        <x:v>grid_wbaxp5t0.xlsx</x:v>
      </x:c>
    </x:row>
    <x:row r="13020">
      <x:c r="A13020" s="15" t="n">
        <x:v>45901</x:v>
      </x:c>
      <x:c r="B13020" s="13" t="str">
        <x:v>C&amp;A MODAS LTDA</x:v>
      </x:c>
      <x:c r="C13020" s="16" t="n">
        <x:v>538.4531235068</x:v>
      </x:c>
      <x:c r="D13020" s="13" t="str">
        <x:v>Retail</x:v>
      </x:c>
      <x:c r="E13020" s="13" t="str">
        <x:v>Retail</x:v>
      </x:c>
      <x:c r="F13020" s="13" t="str">
        <x:v>Early Cyclicals</x:v>
      </x:c>
      <x:c r="G13020" s="13" t="str">
        <x:v>grid_wbaxp5t0.xlsx</x:v>
      </x:c>
    </x:row>
    <x:row r="13021">
      <x:c r="A13021" s="15" t="n">
        <x:v>45901</x:v>
      </x:c>
      <x:c r="B13021" s="13" t="str">
        <x:v>CIA BRASILEIRA DE DISTRIBUIC</x:v>
      </x:c>
      <x:c r="C13021" s="16" t="n">
        <x:v>-448.0391780822</x:v>
      </x:c>
      <x:c r="D13021" s="13" t="str">
        <x:v>Retail</x:v>
      </x:c>
      <x:c r="E13021" s="13" t="str">
        <x:v>Retail</x:v>
      </x:c>
      <x:c r="F13021" s="13" t="str">
        <x:v>Early Cyclicals</x:v>
      </x:c>
      <x:c r="G13021" s="13" t="str">
        <x:v>grid_wbaxp5t0.xlsx</x:v>
      </x:c>
    </x:row>
    <x:row r="13022">
      <x:c r="A13022" s="15" t="n">
        <x:v>45901</x:v>
      </x:c>
      <x:c r="B13022" s="13" t="str">
        <x:v>CVC BRASIL OPERADORA E AGENC</x:v>
      </x:c>
      <x:c r="C13022" s="16" t="n">
        <x:v>45.3605852055</x:v>
      </x:c>
      <x:c r="D13022" s="13" t="str">
        <x:v>Retail</x:v>
      </x:c>
      <x:c r="E13022" s="13" t="str">
        <x:v>Retail</x:v>
      </x:c>
      <x:c r="F13022" s="13" t="str">
        <x:v>Early Cyclicals</x:v>
      </x:c>
      <x:c r="G13022" s="13" t="str">
        <x:v>grid_wbaxp5t0.xlsx</x:v>
      </x:c>
    </x:row>
    <x:row r="13023">
      <x:c r="A13023" s="15" t="n">
        <x:v>45901</x:v>
      </x:c>
      <x:c r="B13023" s="13" t="str">
        <x:v>LOJAS RENNER S.A.</x:v>
      </x:c>
      <x:c r="C13023" s="16" t="n">
        <x:v>1636.6684258192</x:v>
      </x:c>
      <x:c r="D13023" s="13" t="str">
        <x:v>Retail</x:v>
      </x:c>
      <x:c r="E13023" s="13" t="str">
        <x:v>Retail</x:v>
      </x:c>
      <x:c r="F13023" s="13" t="str">
        <x:v>Early Cyclicals</x:v>
      </x:c>
      <x:c r="G13023" s="13" t="str">
        <x:v>grid_wbaxp5t0.xlsx</x:v>
      </x:c>
    </x:row>
    <x:row r="13024">
      <x:c r="A13024" s="15" t="n">
        <x:v>45901</x:v>
      </x:c>
      <x:c r="B13024" s="13" t="str">
        <x:v>MAGAZINE LUIZA SA</x:v>
      </x:c>
      <x:c r="C13024" s="16" t="n">
        <x:v>400.1231691397</x:v>
      </x:c>
      <x:c r="D13024" s="13" t="str">
        <x:v>Retail</x:v>
      </x:c>
      <x:c r="E13024" s="13" t="str">
        <x:v>Retail</x:v>
      </x:c>
      <x:c r="F13024" s="13" t="str">
        <x:v>Early Cyclicals</x:v>
      </x:c>
      <x:c r="G13024" s="13" t="str">
        <x:v>grid_wbaxp5t0.xlsx</x:v>
      </x:c>
    </x:row>
    <x:row r="13025">
      <x:c r="A13025" s="15" t="n">
        <x:v>45901</x:v>
      </x:c>
      <x:c r="B13025" s="13" t="str">
        <x:v>NATURA COSMETICOS SA</x:v>
      </x:c>
      <x:c r="C13025" s="16" t="n">
        <x:v>1201.708286948</x:v>
      </x:c>
      <x:c r="D13025" s="13" t="str">
        <x:v>Retail</x:v>
      </x:c>
      <x:c r="E13025" s="13" t="str">
        <x:v>Retail</x:v>
      </x:c>
      <x:c r="F13025" s="13" t="str">
        <x:v>Early Cyclicals</x:v>
      </x:c>
      <x:c r="G13025" s="13" t="str">
        <x:v>grid_wbaxp5t0.xlsx</x:v>
      </x:c>
    </x:row>
    <x:row r="13026">
      <x:c r="A13026" s="15" t="n">
        <x:v>45901</x:v>
      </x:c>
      <x:c r="B13026" s="13" t="str">
        <x:v>RAIA DROGASIL SA</x:v>
      </x:c>
      <x:c r="C13026" s="16" t="n">
        <x:v>1430.5934132603</x:v>
      </x:c>
      <x:c r="D13026" s="13" t="str">
        <x:v>Retail</x:v>
      </x:c>
      <x:c r="E13026" s="13" t="str">
        <x:v>Retail</x:v>
      </x:c>
      <x:c r="F13026" s="13" t="str">
        <x:v>Early Cyclicals</x:v>
      </x:c>
      <x:c r="G13026" s="13" t="str">
        <x:v>grid_wbaxp5t0.xlsx</x:v>
      </x:c>
    </x:row>
    <x:row r="13027">
      <x:c r="A13027" s="15" t="n">
        <x:v>45901</x:v>
      </x:c>
      <x:c r="B13027" s="13" t="str">
        <x:v>SENDAS DISTRIBUIDORA SA</x:v>
      </x:c>
      <x:c r="C13027" s="16" t="n">
        <x:v>1108.4267242959</x:v>
      </x:c>
      <x:c r="D13027" s="13" t="str">
        <x:v>Retail</x:v>
      </x:c>
      <x:c r="E13027" s="13" t="str">
        <x:v>Retail</x:v>
      </x:c>
      <x:c r="F13027" s="13" t="str">
        <x:v>Early Cyclicals</x:v>
      </x:c>
      <x:c r="G13027" s="13" t="str">
        <x:v>grid_wbaxp5t0.xlsx</x:v>
      </x:c>
    </x:row>
    <x:row r="13028">
      <x:c r="A13028" s="15" t="n">
        <x:v>45901</x:v>
      </x:c>
      <x:c r="B13028" s="13" t="str">
        <x:v>SMARTFIT - ORDINARY</x:v>
      </x:c>
      <x:c r="C13028" s="16" t="n">
        <x:v>884.4120905644</x:v>
      </x:c>
      <x:c r="D13028" s="13" t="str">
        <x:v>Retail</x:v>
      </x:c>
      <x:c r="E13028" s="13" t="str">
        <x:v>Retail</x:v>
      </x:c>
      <x:c r="F13028" s="13" t="str">
        <x:v>Early Cyclicals</x:v>
      </x:c>
      <x:c r="G13028" s="13" t="str">
        <x:v>grid_wbaxp5t0.xlsx</x:v>
      </x:c>
    </x:row>
    <x:row r="13029">
      <x:c r="A13029" s="15" t="n">
        <x:v>45901</x:v>
      </x:c>
      <x:c r="B13029" s="13" t="str">
        <x:v>VIVARA PARTICIPACOES SA</x:v>
      </x:c>
      <x:c r="C13029" s="16" t="n">
        <x:v>688.310738937</x:v>
      </x:c>
      <x:c r="D13029" s="13" t="str">
        <x:v>Retail</x:v>
      </x:c>
      <x:c r="E13029" s="13" t="str">
        <x:v>Retail</x:v>
      </x:c>
      <x:c r="F13029" s="13" t="str">
        <x:v>Early Cyclicals</x:v>
      </x:c>
      <x:c r="G13029" s="13" t="str">
        <x:v>grid_wbaxp5t0.xlsx</x:v>
      </x:c>
    </x:row>
    <x:row r="13030">
      <x:c r="A13030" s="15" t="n">
        <x:v>45901</x:v>
      </x:c>
      <x:c r="B13030" s="13" t="str">
        <x:v>CIA SANEAMENTO BASICO DE SP</x:v>
      </x:c>
      <x:c r="C13030" s="16" t="n">
        <x:v>6472.7490433753</x:v>
      </x:c>
      <x:c r="D13030" s="13" t="str">
        <x:v>Sanitation</x:v>
      </x:c>
      <x:c r="E13030" s="13" t="str">
        <x:v>Utilities</x:v>
      </x:c>
      <x:c r="F13030" s="13" t="str">
        <x:v>Defensives</x:v>
      </x:c>
      <x:c r="G13030" s="13" t="str">
        <x:v>grid_wbaxp5t0.xlsx</x:v>
      </x:c>
    </x:row>
    <x:row r="13031">
      <x:c r="A13031" s="15" t="n">
        <x:v>45901</x:v>
      </x:c>
      <x:c r="B13031" s="13" t="str">
        <x:v>TIM SA</x:v>
      </x:c>
      <x:c r="C13031" s="16" t="n">
        <x:v>4362.5032704</x:v>
      </x:c>
      <x:c r="D13031" s="13" t="str">
        <x:v>TMT</x:v>
      </x:c>
      <x:c r="E13031" s="13" t="str">
        <x:v>TMT</x:v>
      </x:c>
      <x:c r="F13031" s="13" t="str">
        <x:v>Early Cyclicals</x:v>
      </x:c>
      <x:c r="G13031" s="13" t="str">
        <x:v>grid_wbaxp5t0.xlsx</x:v>
      </x:c>
    </x:row>
    <x:row r="13032">
      <x:c r="A13032" s="15" t="n">
        <x:v>45901</x:v>
      </x:c>
      <x:c r="B13032" s="13" t="str">
        <x:v>TOTVS SA</x:v>
      </x:c>
      <x:c r="C13032" s="16" t="n">
        <x:v>1059.8336438356</x:v>
      </x:c>
      <x:c r="D13032" s="13" t="str">
        <x:v>TMT</x:v>
      </x:c>
      <x:c r="E13032" s="13" t="str">
        <x:v>TMT</x:v>
      </x:c>
      <x:c r="F13032" s="13" t="str">
        <x:v>Early Cyclicals</x:v>
      </x:c>
      <x:c r="G13032" s="13" t="str">
        <x:v>grid_wbaxp5t0.xlsx</x:v>
      </x:c>
    </x:row>
    <x:row r="13033">
      <x:c r="A13033" s="15" t="n">
        <x:v>45901</x:v>
      </x:c>
      <x:c r="B13033" s="13" t="str">
        <x:v>LOCALIZA RENT A CAR</x:v>
      </x:c>
      <x:c r="C13033" s="16" t="n">
        <x:v>4012.8688022794</x:v>
      </x:c>
      <x:c r="D13033" s="13" t="str">
        <x:v>Transportation</x:v>
      </x:c>
      <x:c r="E13033" s="13" t="str">
        <x:v>Transportation</x:v>
      </x:c>
      <x:c r="F13033" s="13" t="str">
        <x:v>Deep Cyclicals</x:v>
      </x:c>
      <x:c r="G13033" s="13" t="str">
        <x:v>grid_wbaxp5t0.xlsx</x:v>
      </x:c>
    </x:row>
    <x:row r="13034">
      <x:c r="A13034" s="15" t="n">
        <x:v>45901</x:v>
      </x:c>
      <x:c r="B13034" s="13" t="str">
        <x:v>MOTIVA INFRAESTRUTURA DE MOB</x:v>
      </x:c>
      <x:c r="C13034" s="16" t="n">
        <x:v>2297.9795238575</x:v>
      </x:c>
      <x:c r="D13034" s="13" t="str">
        <x:v>Transportation</x:v>
      </x:c>
      <x:c r="E13034" s="13" t="str">
        <x:v>Transportation</x:v>
      </x:c>
      <x:c r="F13034" s="13" t="str">
        <x:v>Deep Cyclicals</x:v>
      </x:c>
      <x:c r="G13034" s="13" t="str">
        <x:v>grid_wbaxp5t0.xlsx</x:v>
      </x:c>
    </x:row>
    <x:row r="13035">
      <x:c r="A13035" s="15" t="n">
        <x:v>45901</x:v>
      </x:c>
      <x:c r="B13035" s="13" t="str">
        <x:v>RUMO SA</x:v>
      </x:c>
      <x:c r="C13035" s="16" t="n">
        <x:v>2267.0247704548</x:v>
      </x:c>
      <x:c r="D13035" s="13" t="str">
        <x:v>Transportation</x:v>
      </x:c>
      <x:c r="E13035" s="13" t="str">
        <x:v>Transportation</x:v>
      </x:c>
      <x:c r="F13035" s="13" t="str">
        <x:v>Deep Cyclicals</x:v>
      </x:c>
      <x:c r="G13035" s="13" t="str">
        <x:v>grid_wbaxp5t0.xlsx</x:v>
      </x:c>
    </x:row>
    <x:row r="13036">
      <x:c r="A13036" s="15" t="n">
        <x:v>45901</x:v>
      </x:c>
      <x:c r="B13036" s="13" t="str">
        <x:v>VAMOS LOCACAO DE CAMINHOES M</x:v>
      </x:c>
      <x:c r="C13036" s="16" t="n">
        <x:v>588.6883506849</x:v>
      </x:c>
      <x:c r="D13036" s="13" t="str">
        <x:v>Transportation</x:v>
      </x:c>
      <x:c r="E13036" s="13" t="str">
        <x:v>Transportation</x:v>
      </x:c>
      <x:c r="F13036" s="13" t="str">
        <x:v>Deep Cyclicals</x:v>
      </x:c>
      <x:c r="G13036" s="13" t="str">
        <x:v>grid_wbaxp5t0.xlsx</x:v>
      </x:c>
    </x:row>
    <x:row r="13037">
      <x:c r="A13037" s="15" t="n">
        <x:v>45901</x:v>
      </x:c>
      <x:c r="B13037" s="13" t="str">
        <x:v>AUREN ENERGIA SA - ON</x:v>
      </x:c>
      <x:c r="C13037" s="16" t="n">
        <x:v>-189.2999532712</x:v>
      </x:c>
      <x:c r="D13037" s="13" t="str">
        <x:v>Utilities &amp; Energy</x:v>
      </x:c>
      <x:c r="E13037" s="13" t="str">
        <x:v>Utilities</x:v>
      </x:c>
      <x:c r="F13037" s="13" t="str">
        <x:v>Defensives</x:v>
      </x:c>
      <x:c r="G13037" s="13" t="str">
        <x:v>grid_wbaxp5t0.xlsx</x:v>
      </x:c>
    </x:row>
    <x:row r="13038">
      <x:c r="A13038" s="15" t="n">
        <x:v>45901</x:v>
      </x:c>
      <x:c r="B13038" s="13" t="str">
        <x:v>AXIA ENERGIA SA</x:v>
      </x:c>
      <x:c r="C13038" s="16" t="n">
        <x:v>8319.0735661589</x:v>
      </x:c>
      <x:c r="D13038" s="13" t="str">
        <x:v>Utilities &amp; Energy</x:v>
      </x:c>
      <x:c r="E13038" s="13" t="str">
        <x:v>Utilities</x:v>
      </x:c>
      <x:c r="F13038" s="13" t="str">
        <x:v>Defensives</x:v>
      </x:c>
      <x:c r="G13038" s="13" t="str">
        <x:v>grid_wbaxp5t0.xlsx</x:v>
      </x:c>
    </x:row>
    <x:row r="13039">
      <x:c r="A13039" s="15" t="n">
        <x:v>45901</x:v>
      </x:c>
      <x:c r="B13039" s="13" t="str">
        <x:v>AXIA ENERGIA-PR B</x:v>
      </x:c>
      <x:c r="C13039" s="16" t="n">
        <x:v>8319.0735661589</x:v>
      </x:c>
      <x:c r="D13039" s="13" t="str">
        <x:v>Utilities &amp; Energy</x:v>
      </x:c>
      <x:c r="E13039" s="13" t="str">
        <x:v>Utilities</x:v>
      </x:c>
      <x:c r="F13039" s="13" t="str">
        <x:v>Defensives</x:v>
      </x:c>
      <x:c r="G13039" s="13" t="str">
        <x:v>grid_wbaxp5t0.xlsx</x:v>
      </x:c>
    </x:row>
    <x:row r="13040">
      <x:c r="A13040" s="15" t="n">
        <x:v>45901</x:v>
      </x:c>
      <x:c r="B13040" s="13" t="str">
        <x:v>CIA ENERGETICA MINAS GER-PRF</x:v>
      </x:c>
      <x:c r="C13040" s="16" t="n">
        <x:v>3951.036410389</x:v>
      </x:c>
      <x:c r="D13040" s="13" t="str">
        <x:v>Utilities &amp; Energy</x:v>
      </x:c>
      <x:c r="E13040" s="13" t="str">
        <x:v>Utilities</x:v>
      </x:c>
      <x:c r="F13040" s="13" t="str">
        <x:v>Defensives</x:v>
      </x:c>
      <x:c r="G13040" s="13" t="str">
        <x:v>grid_wbaxp5t0.xlsx</x:v>
      </x:c>
    </x:row>
    <x:row r="13041">
      <x:c r="A13041" s="15" t="n">
        <x:v>45901</x:v>
      </x:c>
      <x:c r="B13041" s="13" t="str">
        <x:v>COMPANHIA PARANAENSE -PREF B</x:v>
      </x:c>
      <x:c r="C13041" s="16" t="n">
        <x:v>2567.352352263</x:v>
      </x:c>
      <x:c r="D13041" s="13" t="str">
        <x:v>Utilities &amp; Energy</x:v>
      </x:c>
      <x:c r="E13041" s="13" t="str">
        <x:v>Utilities</x:v>
      </x:c>
      <x:c r="F13041" s="13" t="str">
        <x:v>Defensives</x:v>
      </x:c>
      <x:c r="G13041" s="13" t="str">
        <x:v>grid_wbaxp5t0.xlsx</x:v>
      </x:c>
    </x:row>
    <x:row r="13042">
      <x:c r="A13042" s="15" t="n">
        <x:v>45901</x:v>
      </x:c>
      <x:c r="B13042" s="13" t="str">
        <x:v>CPFL ENERGIA SA</x:v>
      </x:c>
      <x:c r="C13042" s="16" t="n">
        <x:v>4743.5413461918</x:v>
      </x:c>
      <x:c r="D13042" s="13" t="str">
        <x:v>Utilities &amp; Energy</x:v>
      </x:c>
      <x:c r="E13042" s="13" t="str">
        <x:v>Utilities</x:v>
      </x:c>
      <x:c r="F13042" s="13" t="str">
        <x:v>Defensives</x:v>
      </x:c>
      <x:c r="G13042" s="13" t="str">
        <x:v>grid_wbaxp5t0.xlsx</x:v>
      </x:c>
    </x:row>
    <x:row r="13043">
      <x:c r="A13043" s="15" t="n">
        <x:v>45901</x:v>
      </x:c>
      <x:c r="B13043" s="13" t="str">
        <x:v>ENERGISA SA-UNITS</x:v>
      </x:c>
      <x:c r="C13043" s="16" t="n">
        <x:v>1727.4332524712</x:v>
      </x:c>
      <x:c r="D13043" s="13" t="str">
        <x:v>Utilities &amp; Energy</x:v>
      </x:c>
      <x:c r="E13043" s="13" t="str">
        <x:v>Utilities</x:v>
      </x:c>
      <x:c r="F13043" s="13" t="str">
        <x:v>Defensives</x:v>
      </x:c>
      <x:c r="G13043" s="13" t="str">
        <x:v>grid_wbaxp5t0.xlsx</x:v>
      </x:c>
    </x:row>
    <x:row r="13044">
      <x:c r="A13044" s="15" t="n">
        <x:v>45901</x:v>
      </x:c>
      <x:c r="B13044" s="13" t="str">
        <x:v>ENEVA SA</x:v>
      </x:c>
      <x:c r="C13044" s="16" t="n">
        <x:v>1678.8608259507</x:v>
      </x:c>
      <x:c r="D13044" s="13" t="str">
        <x:v>Utilities &amp; Energy</x:v>
      </x:c>
      <x:c r="E13044" s="13" t="str">
        <x:v>Utilities</x:v>
      </x:c>
      <x:c r="F13044" s="13" t="str">
        <x:v>Defensives</x:v>
      </x:c>
      <x:c r="G13044" s="13" t="str">
        <x:v>grid_wbaxp5t0.xlsx</x:v>
      </x:c>
    </x:row>
    <x:row r="13045">
      <x:c r="A13045" s="15" t="n">
        <x:v>45901</x:v>
      </x:c>
      <x:c r="B13045" s="13" t="str">
        <x:v>ENGIE BRASIL ENERGIA SA</x:v>
      </x:c>
      <x:c r="C13045" s="16" t="n">
        <x:v>2984.9926873425</x:v>
      </x:c>
      <x:c r="D13045" s="13" t="str">
        <x:v>Utilities &amp; Energy</x:v>
      </x:c>
      <x:c r="E13045" s="13" t="str">
        <x:v>Utilities</x:v>
      </x:c>
      <x:c r="F13045" s="13" t="str">
        <x:v>Defensives</x:v>
      </x:c>
      <x:c r="G13045" s="13" t="str">
        <x:v>grid_wbaxp5t0.xlsx</x:v>
      </x:c>
    </x:row>
    <x:row r="13046">
      <x:c r="A13046" s="15" t="n">
        <x:v>45901</x:v>
      </x:c>
      <x:c r="B13046" s="13" t="str">
        <x:v>EQUATORIAL SA - ORD</x:v>
      </x:c>
      <x:c r="C13046" s="16" t="n">
        <x:v>3658.1884387945</x:v>
      </x:c>
      <x:c r="D13046" s="13" t="str">
        <x:v>Utilities &amp; Energy</x:v>
      </x:c>
      <x:c r="E13046" s="13" t="str">
        <x:v>Utilities</x:v>
      </x:c>
      <x:c r="F13046" s="13" t="str">
        <x:v>Defensives</x:v>
      </x:c>
      <x:c r="G13046" s="13" t="str">
        <x:v>grid_wbaxp5t0.xlsx</x:v>
      </x:c>
    </x:row>
    <x:row r="13047">
      <x:c r="A13047" s="15" t="n">
        <x:v>45901</x:v>
      </x:c>
      <x:c r="B13047" s="13" t="str">
        <x:v>ISA ENERGIA BRASIL SA</x:v>
      </x:c>
      <x:c r="C13047" s="16" t="n">
        <x:v>1409.8578824767</x:v>
      </x:c>
      <x:c r="D13047" s="13" t="str">
        <x:v>Utilities &amp; Energy</x:v>
      </x:c>
      <x:c r="E13047" s="13" t="str">
        <x:v>Utilities</x:v>
      </x:c>
      <x:c r="F13047" s="13" t="str">
        <x:v>Defensives</x:v>
      </x:c>
      <x:c r="G13047" s="13" t="str">
        <x:v>grid_wbaxp5t0.xlsx</x:v>
      </x:c>
    </x:row>
    <x:row r="13048">
      <x:c r="A13048" s="15" t="n">
        <x:v>45901</x:v>
      </x:c>
      <x:c r="B13048" s="13" t="str">
        <x:v>TRANSMISSORA ALIANCA DE-UNIT</x:v>
      </x:c>
      <x:c r="C13048" s="16" t="n">
        <x:v>1253.5330451288</x:v>
      </x:c>
      <x:c r="D13048" s="13" t="str">
        <x:v>Utilities &amp; Energy</x:v>
      </x:c>
      <x:c r="E13048" s="13" t="str">
        <x:v>Utilities</x:v>
      </x:c>
      <x:c r="F13048" s="13" t="str">
        <x:v>Defensives</x:v>
      </x:c>
      <x:c r="G13048" s="13" t="str">
        <x:v>grid_wbaxp5t0.xlsx</x:v>
      </x:c>
    </x:row>
    <x:row r="13049">
      <x:c r="A13049" s="15" t="n">
        <x:v>45931</x:v>
      </x:c>
      <x:c r="B13049" s="13" t="str">
        <x:v>RAIZEN SA - PREFERENCE</x:v>
      </x:c>
      <x:c r="C13049" s="16" t="n">
        <x:v>-1603.670694926</x:v>
      </x:c>
      <x:c r="D13049" s="13" t="str">
        <x:v>Agribusiness</x:v>
      </x:c>
      <x:c r="E13049" s="13" t="str">
        <x:v>Agri, Food &amp; Beverages</x:v>
      </x:c>
      <x:c r="F13049" s="13" t="str">
        <x:v>Defensives</x:v>
      </x:c>
      <x:c r="G13049" s="13" t="str">
        <x:v>grid_wbaxp5t0.xlsx</x:v>
      </x:c>
    </x:row>
    <x:row r="13050">
      <x:c r="A13050" s="15" t="n">
        <x:v>45931</x:v>
      </x:c>
      <x:c r="B13050" s="13" t="str">
        <x:v>SLC AGRICOLA SA</x:v>
      </x:c>
      <x:c r="C13050" s="16" t="n">
        <x:v>794.1958708603</x:v>
      </x:c>
      <x:c r="D13050" s="13" t="str">
        <x:v>Agribusiness</x:v>
      </x:c>
      <x:c r="E13050" s="13" t="str">
        <x:v>Agri, Food &amp; Beverages</x:v>
      </x:c>
      <x:c r="F13050" s="13" t="str">
        <x:v>Defensives</x:v>
      </x:c>
      <x:c r="G13050" s="13" t="str">
        <x:v>grid_wbaxp5t0.xlsx</x:v>
      </x:c>
    </x:row>
    <x:row r="13051">
      <x:c r="A13051" s="15" t="n">
        <x:v>45931</x:v>
      </x:c>
      <x:c r="B13051" s="13" t="str">
        <x:v>BANCO BRADESCO S.A.</x:v>
      </x:c>
      <x:c r="C13051" s="16" t="n">
        <x:v>28089.0264590027</x:v>
      </x:c>
      <x:c r="D13051" s="13" t="str">
        <x:v>Banks</x:v>
      </x:c>
      <x:c r="E13051" s="13" t="str">
        <x:v>Banks</x:v>
      </x:c>
      <x:c r="F13051" s="13" t="str">
        <x:v>Financials</x:v>
      </x:c>
      <x:c r="G13051" s="13" t="str">
        <x:v>grid_wbaxp5t0.xlsx</x:v>
      </x:c>
    </x:row>
    <x:row r="13052">
      <x:c r="A13052" s="15" t="n">
        <x:v>45931</x:v>
      </x:c>
      <x:c r="B13052" s="13" t="str">
        <x:v>BANCO BRADESCO SA-PREF</x:v>
      </x:c>
      <x:c r="C13052" s="16" t="n">
        <x:v>28089.0264590027</x:v>
      </x:c>
      <x:c r="D13052" s="13" t="str">
        <x:v>Banks</x:v>
      </x:c>
      <x:c r="E13052" s="13" t="str">
        <x:v>Banks</x:v>
      </x:c>
      <x:c r="F13052" s="13" t="str">
        <x:v>Financials</x:v>
      </x:c>
      <x:c r="G13052" s="13" t="str">
        <x:v>grid_wbaxp5t0.xlsx</x:v>
      </x:c>
    </x:row>
    <x:row r="13053">
      <x:c r="A13053" s="15" t="n">
        <x:v>45931</x:v>
      </x:c>
      <x:c r="B13053" s="13" t="str">
        <x:v>BANCO BTG PACTUAL SA-UNIT</x:v>
      </x:c>
      <x:c r="C13053" s="16" t="n">
        <x:v>17216.6241265973</x:v>
      </x:c>
      <x:c r="D13053" s="13" t="str">
        <x:v>Banks</x:v>
      </x:c>
      <x:c r="E13053" s="13" t="str">
        <x:v>Banks</x:v>
      </x:c>
      <x:c r="F13053" s="13" t="str">
        <x:v>Financials</x:v>
      </x:c>
      <x:c r="G13053" s="13" t="str">
        <x:v>grid_wbaxp5t0.xlsx</x:v>
      </x:c>
    </x:row>
    <x:row r="13054">
      <x:c r="A13054" s="15" t="n">
        <x:v>45931</x:v>
      </x:c>
      <x:c r="B13054" s="13" t="str">
        <x:v>BANCO DO BRASIL S.A.</x:v>
      </x:c>
      <x:c r="C13054" s="16" t="n">
        <x:v>25823.9045127014</x:v>
      </x:c>
      <x:c r="D13054" s="13" t="str">
        <x:v>Banks</x:v>
      </x:c>
      <x:c r="E13054" s="13" t="str">
        <x:v>Banks</x:v>
      </x:c>
      <x:c r="F13054" s="13" t="str">
        <x:v>Financials</x:v>
      </x:c>
      <x:c r="G13054" s="13" t="str">
        <x:v>grid_wbaxp5t0.xlsx</x:v>
      </x:c>
    </x:row>
    <x:row r="13055">
      <x:c r="A13055" s="15" t="n">
        <x:v>45931</x:v>
      </x:c>
      <x:c r="B13055" s="13" t="str">
        <x:v>BANCO SANTANDER  BRASIL-UNIT</x:v>
      </x:c>
      <x:c r="C13055" s="16" t="n">
        <x:v>17022.0997337425</x:v>
      </x:c>
      <x:c r="D13055" s="13" t="str">
        <x:v>Banks</x:v>
      </x:c>
      <x:c r="E13055" s="13" t="str">
        <x:v>Banks</x:v>
      </x:c>
      <x:c r="F13055" s="13" t="str">
        <x:v>Financials</x:v>
      </x:c>
      <x:c r="G13055" s="13" t="str">
        <x:v>grid_wbaxp5t0.xlsx</x:v>
      </x:c>
    </x:row>
    <x:row r="13056">
      <x:c r="A13056" s="15" t="n">
        <x:v>45931</x:v>
      </x:c>
      <x:c r="B13056" s="13" t="str">
        <x:v>ITAU UNIBANCO HOLDING S-PREF</x:v>
      </x:c>
      <x:c r="C13056" s="16" t="n">
        <x:v>50048.8163720767</x:v>
      </x:c>
      <x:c r="D13056" s="13" t="str">
        <x:v>Banks</x:v>
      </x:c>
      <x:c r="E13056" s="13" t="str">
        <x:v>Banks</x:v>
      </x:c>
      <x:c r="F13056" s="13" t="str">
        <x:v>Financials</x:v>
      </x:c>
      <x:c r="G13056" s="13" t="str">
        <x:v>grid_wbaxp5t0.xlsx</x:v>
      </x:c>
    </x:row>
    <x:row r="13057">
      <x:c r="A13057" s="15" t="n">
        <x:v>45931</x:v>
      </x:c>
      <x:c r="B13057" s="13" t="str">
        <x:v>EMBRAER SA</x:v>
      </x:c>
      <x:c r="C13057" s="16" t="n">
        <x:v>2531.7807903562</x:v>
      </x:c>
      <x:c r="D13057" s="13" t="str">
        <x:v>Capital Goods</x:v>
      </x:c>
      <x:c r="E13057" s="13" t="str">
        <x:v>Capital Goods</x:v>
      </x:c>
      <x:c r="F13057" s="13" t="str">
        <x:v>Deep Cyclicals</x:v>
      </x:c>
      <x:c r="G13057" s="13" t="str">
        <x:v>grid_wbaxp5t0.xlsx</x:v>
      </x:c>
    </x:row>
    <x:row r="13058">
      <x:c r="A13058" s="15" t="n">
        <x:v>45931</x:v>
      </x:c>
      <x:c r="B13058" s="13" t="str">
        <x:v>MARCOPOLO SA-PREF</x:v>
      </x:c>
      <x:c r="C13058" s="16" t="n">
        <x:v>1346.5533892384</x:v>
      </x:c>
      <x:c r="D13058" s="13" t="str">
        <x:v>Capital Goods</x:v>
      </x:c>
      <x:c r="E13058" s="13" t="str">
        <x:v>Capital Goods</x:v>
      </x:c>
      <x:c r="F13058" s="13" t="str">
        <x:v>Deep Cyclicals</x:v>
      </x:c>
      <x:c r="G13058" s="13" t="str">
        <x:v>grid_wbaxp5t0.xlsx</x:v>
      </x:c>
    </x:row>
    <x:row r="13059">
      <x:c r="A13059" s="15" t="n">
        <x:v>45931</x:v>
      </x:c>
      <x:c r="B13059" s="13" t="str">
        <x:v>WEG SA</x:v>
      </x:c>
      <x:c r="C13059" s="16" t="n">
        <x:v>6817.6712914411</x:v>
      </x:c>
      <x:c r="D13059" s="13" t="str">
        <x:v>Capital Goods</x:v>
      </x:c>
      <x:c r="E13059" s="13" t="str">
        <x:v>Capital Goods</x:v>
      </x:c>
      <x:c r="F13059" s="13" t="str">
        <x:v>Deep Cyclicals</x:v>
      </x:c>
      <x:c r="G13059" s="13" t="str">
        <x:v>grid_wbaxp5t0.xlsx</x:v>
      </x:c>
    </x:row>
    <x:row r="13060">
      <x:c r="A13060" s="15" t="n">
        <x:v>45931</x:v>
      </x:c>
      <x:c r="B13060" s="13" t="str">
        <x:v>COGNA EDUCACAO</x:v>
      </x:c>
      <x:c r="C13060" s="16" t="n">
        <x:v>743.1769863014</x:v>
      </x:c>
      <x:c r="D13060" s="13" t="str">
        <x:v>Education</x:v>
      </x:c>
      <x:c r="E13060" s="13" t="str">
        <x:v>Education</x:v>
      </x:c>
      <x:c r="F13060" s="13" t="str">
        <x:v>Early Cyclicals</x:v>
      </x:c>
      <x:c r="G13060" s="13" t="str">
        <x:v>grid_wbaxp5t0.xlsx</x:v>
      </x:c>
    </x:row>
    <x:row r="13061">
      <x:c r="A13061" s="15" t="n">
        <x:v>45931</x:v>
      </x:c>
      <x:c r="B13061" s="13" t="str">
        <x:v>YDUQS PARTICIPACOES SA</x:v>
      </x:c>
      <x:c r="C13061" s="16" t="n">
        <x:v>499.8819178082</x:v>
      </x:c>
      <x:c r="D13061" s="13" t="str">
        <x:v>Education</x:v>
      </x:c>
      <x:c r="E13061" s="13" t="str">
        <x:v>Education</x:v>
      </x:c>
      <x:c r="F13061" s="13" t="str">
        <x:v>Early Cyclicals</x:v>
      </x:c>
      <x:c r="G13061" s="13" t="str">
        <x:v>grid_wbaxp5t0.xlsx</x:v>
      </x:c>
    </x:row>
    <x:row r="13062">
      <x:c r="A13062" s="15" t="n">
        <x:v>45931</x:v>
      </x:c>
      <x:c r="B13062" s="13" t="str">
        <x:v>B3 SA-BRASIL BOLSA BALCAO</x:v>
      </x:c>
      <x:c r="C13062" s="16" t="n">
        <x:v>5362.8162623123</x:v>
      </x:c>
      <x:c r="D13062" s="13" t="str">
        <x:v>Financials Non-Banks</x:v>
      </x:c>
      <x:c r="E13062" s="13" t="str">
        <x:v>Financials Non-Banks</x:v>
      </x:c>
      <x:c r="F13062" s="13" t="str">
        <x:v>Financials</x:v>
      </x:c>
      <x:c r="G13062" s="13" t="str">
        <x:v>grid_wbaxp5t0.xlsx</x:v>
      </x:c>
    </x:row>
    <x:row r="13063">
      <x:c r="A13063" s="15" t="n">
        <x:v>45931</x:v>
      </x:c>
      <x:c r="B13063" s="13" t="str">
        <x:v>BB SEGURIDADE PARTICIPACOES</x:v>
      </x:c>
      <x:c r="C13063" s="16" t="n">
        <x:v>8933.3547428822</x:v>
      </x:c>
      <x:c r="D13063" s="13" t="str">
        <x:v>Financials Non-Banks</x:v>
      </x:c>
      <x:c r="E13063" s="13" t="str">
        <x:v>Financials Non-Banks</x:v>
      </x:c>
      <x:c r="F13063" s="13" t="str">
        <x:v>Financials</x:v>
      </x:c>
      <x:c r="G13063" s="13" t="str">
        <x:v>grid_wbaxp5t0.xlsx</x:v>
      </x:c>
    </x:row>
    <x:row r="13064">
      <x:c r="A13064" s="15" t="n">
        <x:v>45931</x:v>
      </x:c>
      <x:c r="B13064" s="13" t="str">
        <x:v>CAIXA SEGURIDADE PARTICIPACO</x:v>
      </x:c>
      <x:c r="C13064" s="16" t="n">
        <x:v>4593.1417312438</x:v>
      </x:c>
      <x:c r="D13064" s="13" t="str">
        <x:v>Financials Non-Banks</x:v>
      </x:c>
      <x:c r="E13064" s="13" t="str">
        <x:v>Financials Non-Banks</x:v>
      </x:c>
      <x:c r="F13064" s="13" t="str">
        <x:v>Financials</x:v>
      </x:c>
      <x:c r="G13064" s="13" t="str">
        <x:v>grid_wbaxp5t0.xlsx</x:v>
      </x:c>
    </x:row>
    <x:row r="13065">
      <x:c r="A13065" s="15" t="n">
        <x:v>45931</x:v>
      </x:c>
      <x:c r="B13065" s="13" t="str">
        <x:v>IRB BRASIL RESSEGUROS SA</x:v>
      </x:c>
      <x:c r="C13065" s="16" t="n">
        <x:v>605.5926103671</x:v>
      </x:c>
      <x:c r="D13065" s="13" t="str">
        <x:v>Financials Non-Banks</x:v>
      </x:c>
      <x:c r="E13065" s="13" t="str">
        <x:v>Financials Non-Banks</x:v>
      </x:c>
      <x:c r="F13065" s="13" t="str">
        <x:v>Financials</x:v>
      </x:c>
      <x:c r="G13065" s="13" t="str">
        <x:v>grid_wbaxp5t0.xlsx</x:v>
      </x:c>
    </x:row>
    <x:row r="13066">
      <x:c r="A13066" s="15" t="n">
        <x:v>45931</x:v>
      </x:c>
      <x:c r="B13066" s="13" t="str">
        <x:v>ITAUSA SA</x:v>
      </x:c>
      <x:c r="C13066" s="16" t="n">
        <x:v>18369.7879376658</x:v>
      </x:c>
      <x:c r="D13066" s="13" t="str">
        <x:v>Financials Non-Banks</x:v>
      </x:c>
      <x:c r="E13066" s="13" t="str">
        <x:v>Financials Non-Banks</x:v>
      </x:c>
      <x:c r="F13066" s="13" t="str">
        <x:v>Financials</x:v>
      </x:c>
      <x:c r="G13066" s="13" t="str">
        <x:v>grid_wbaxp5t0.xlsx</x:v>
      </x:c>
    </x:row>
    <x:row r="13067">
      <x:c r="A13067" s="15" t="n">
        <x:v>45931</x:v>
      </x:c>
      <x:c r="B13067" s="13" t="str">
        <x:v>PORTO SEGURO SA</x:v>
      </x:c>
      <x:c r="C13067" s="16" t="n">
        <x:v>3616.3310388603</x:v>
      </x:c>
      <x:c r="D13067" s="13" t="str">
        <x:v>Financials Non-Banks</x:v>
      </x:c>
      <x:c r="E13067" s="13" t="str">
        <x:v>Financials Non-Banks</x:v>
      </x:c>
      <x:c r="F13067" s="13" t="str">
        <x:v>Financials</x:v>
      </x:c>
      <x:c r="G13067" s="13" t="str">
        <x:v>grid_wbaxp5t0.xlsx</x:v>
      </x:c>
    </x:row>
    <x:row r="13068">
      <x:c r="A13068" s="15" t="n">
        <x:v>45931</x:v>
      </x:c>
      <x:c r="B13068" s="13" t="str">
        <x:v>AMBEV SA</x:v>
      </x:c>
      <x:c r="C13068" s="16" t="n">
        <x:v>15511.7729034521</x:v>
      </x:c>
      <x:c r="D13068" s="13" t="str">
        <x:v>Food &amp; Beverages</x:v>
      </x:c>
      <x:c r="E13068" s="13" t="str">
        <x:v>Agri, Food &amp; Beverages</x:v>
      </x:c>
      <x:c r="F13068" s="13" t="str">
        <x:v>Defensives</x:v>
      </x:c>
      <x:c r="G13068" s="13" t="str">
        <x:v>grid_wbaxp5t0.xlsx</x:v>
      </x:c>
    </x:row>
    <x:row r="13069">
      <x:c r="A13069" s="15" t="n">
        <x:v>45931</x:v>
      </x:c>
      <x:c r="B13069" s="13" t="str">
        <x:v>MBRF GLOBAL FOODS COMPANY SA</x:v>
      </x:c>
      <x:c r="C13069" s="16" t="n">
        <x:v>1115.0683554192</x:v>
      </x:c>
      <x:c r="D13069" s="13" t="str">
        <x:v>Food &amp; Beverages</x:v>
      </x:c>
      <x:c r="E13069" s="13" t="str">
        <x:v>Agri, Food &amp; Beverages</x:v>
      </x:c>
      <x:c r="F13069" s="13" t="str">
        <x:v>Defensives</x:v>
      </x:c>
      <x:c r="G13069" s="13" t="str">
        <x:v>grid_wbaxp5t0.xlsx</x:v>
      </x:c>
    </x:row>
    <x:row r="13070">
      <x:c r="A13070" s="15" t="n">
        <x:v>45931</x:v>
      </x:c>
      <x:c r="B13070" s="13" t="str">
        <x:v>MINERVA SA</x:v>
      </x:c>
      <x:c r="C13070" s="16" t="n">
        <x:v>958.0140589589</x:v>
      </x:c>
      <x:c r="D13070" s="13" t="str">
        <x:v>Food &amp; Beverages</x:v>
      </x:c>
      <x:c r="E13070" s="13" t="str">
        <x:v>Agri, Food &amp; Beverages</x:v>
      </x:c>
      <x:c r="F13070" s="13" t="str">
        <x:v>Defensives</x:v>
      </x:c>
      <x:c r="G13070" s="13" t="str">
        <x:v>grid_wbaxp5t0.xlsx</x:v>
      </x:c>
    </x:row>
    <x:row r="13071">
      <x:c r="A13071" s="15" t="n">
        <x:v>45931</x:v>
      </x:c>
      <x:c r="B13071" s="13" t="str">
        <x:v>FLEURY SA</x:v>
      </x:c>
      <x:c r="C13071" s="16" t="n">
        <x:v>677.6906636274</x:v>
      </x:c>
      <x:c r="D13071" s="13" t="str">
        <x:v>Health Care</x:v>
      </x:c>
      <x:c r="E13071" s="13" t="str">
        <x:v>Health Care</x:v>
      </x:c>
      <x:c r="F13071" s="13" t="str">
        <x:v>Defensives</x:v>
      </x:c>
      <x:c r="G13071" s="13" t="str">
        <x:v>grid_wbaxp5t0.xlsx</x:v>
      </x:c>
    </x:row>
    <x:row r="13072">
      <x:c r="A13072" s="15" t="n">
        <x:v>45931</x:v>
      </x:c>
      <x:c r="B13072" s="13" t="str">
        <x:v>HAPVIDA PARTICIPACOES E INVE</x:v>
      </x:c>
      <x:c r="C13072" s="16" t="n">
        <x:v>1409.6771664657</x:v>
      </x:c>
      <x:c r="D13072" s="13" t="str">
        <x:v>Health Care</x:v>
      </x:c>
      <x:c r="E13072" s="13" t="str">
        <x:v>Health Care</x:v>
      </x:c>
      <x:c r="F13072" s="13" t="str">
        <x:v>Defensives</x:v>
      </x:c>
      <x:c r="G13072" s="13" t="str">
        <x:v>grid_wbaxp5t0.xlsx</x:v>
      </x:c>
    </x:row>
    <x:row r="13073">
      <x:c r="A13073" s="15" t="n">
        <x:v>45931</x:v>
      </x:c>
      <x:c r="B13073" s="13" t="str">
        <x:v>HYPERA SA</x:v>
      </x:c>
      <x:c r="C13073" s="16" t="n">
        <x:v>1732.9628714082</x:v>
      </x:c>
      <x:c r="D13073" s="13" t="str">
        <x:v>Health Care</x:v>
      </x:c>
      <x:c r="E13073" s="13" t="str">
        <x:v>Health Care</x:v>
      </x:c>
      <x:c r="F13073" s="13" t="str">
        <x:v>Defensives</x:v>
      </x:c>
      <x:c r="G13073" s="13" t="str">
        <x:v>grid_wbaxp5t0.xlsx</x:v>
      </x:c>
    </x:row>
    <x:row r="13074">
      <x:c r="A13074" s="15" t="n">
        <x:v>45931</x:v>
      </x:c>
      <x:c r="B13074" s="13" t="str">
        <x:v>REDE D'OR SAO LUIZ SA</x:v>
      </x:c>
      <x:c r="C13074" s="16" t="n">
        <x:v>5424.3935652822</x:v>
      </x:c>
      <x:c r="D13074" s="13" t="str">
        <x:v>Health Care</x:v>
      </x:c>
      <x:c r="E13074" s="13" t="str">
        <x:v>Health Care</x:v>
      </x:c>
      <x:c r="F13074" s="13" t="str">
        <x:v>Defensives</x:v>
      </x:c>
      <x:c r="G13074" s="13" t="str">
        <x:v>grid_wbaxp5t0.xlsx</x:v>
      </x:c>
    </x:row>
    <x:row r="13075">
      <x:c r="A13075" s="15" t="n">
        <x:v>45931</x:v>
      </x:c>
      <x:c r="B13075" s="13" t="str">
        <x:v>CURY CONSTRUTORA E INCORPORA</x:v>
      </x:c>
      <x:c r="C13075" s="16" t="n">
        <x:v>1151.8375164493</x:v>
      </x:c>
      <x:c r="D13075" s="13" t="str">
        <x:v>Homebuilders</x:v>
      </x:c>
      <x:c r="E13075" s="13" t="str">
        <x:v>Real Estate</x:v>
      </x:c>
      <x:c r="F13075" s="13" t="str">
        <x:v>Early Cyclicals</x:v>
      </x:c>
      <x:c r="G13075" s="13" t="str">
        <x:v>grid_wbaxp5t0.xlsx</x:v>
      </x:c>
    </x:row>
    <x:row r="13076">
      <x:c r="A13076" s="15" t="n">
        <x:v>45931</x:v>
      </x:c>
      <x:c r="B13076" s="13" t="str">
        <x:v>CYRELA BRAZIL REALTY SA EMP</x:v>
      </x:c>
      <x:c r="C13076" s="16" t="n">
        <x:v>1985.9391761534</x:v>
      </x:c>
      <x:c r="D13076" s="13" t="str">
        <x:v>Homebuilders</x:v>
      </x:c>
      <x:c r="E13076" s="13" t="str">
        <x:v>Real Estate</x:v>
      </x:c>
      <x:c r="F13076" s="13" t="str">
        <x:v>Early Cyclicals</x:v>
      </x:c>
      <x:c r="G13076" s="13" t="str">
        <x:v>grid_wbaxp5t0.xlsx</x:v>
      </x:c>
    </x:row>
    <x:row r="13077">
      <x:c r="A13077" s="15" t="n">
        <x:v>45931</x:v>
      </x:c>
      <x:c r="B13077" s="13" t="str">
        <x:v>DIRECIONAL ENGENHARIA SA</x:v>
      </x:c>
      <x:c r="C13077" s="16" t="n">
        <x:v>1002.0353343123</x:v>
      </x:c>
      <x:c r="D13077" s="13" t="str">
        <x:v>Homebuilders</x:v>
      </x:c>
      <x:c r="E13077" s="13" t="str">
        <x:v>Real Estate</x:v>
      </x:c>
      <x:c r="F13077" s="13" t="str">
        <x:v>Early Cyclicals</x:v>
      </x:c>
      <x:c r="G13077" s="13" t="str">
        <x:v>grid_wbaxp5t0.xlsx</x:v>
      </x:c>
    </x:row>
    <x:row r="13078">
      <x:c r="A13078" s="15" t="n">
        <x:v>45931</x:v>
      </x:c>
      <x:c r="B13078" s="13" t="str">
        <x:v>MRV ENGENHARIA</x:v>
      </x:c>
      <x:c r="C13078" s="16" t="n">
        <x:v>471.5552419068</x:v>
      </x:c>
      <x:c r="D13078" s="13" t="str">
        <x:v>Homebuilders</x:v>
      </x:c>
      <x:c r="E13078" s="13" t="str">
        <x:v>Real Estate</x:v>
      </x:c>
      <x:c r="F13078" s="13" t="str">
        <x:v>Early Cyclicals</x:v>
      </x:c>
      <x:c r="G13078" s="13" t="str">
        <x:v>grid_wbaxp5t0.xlsx</x:v>
      </x:c>
    </x:row>
    <x:row r="13079">
      <x:c r="A13079" s="15" t="n">
        <x:v>45931</x:v>
      </x:c>
      <x:c r="B13079" s="13" t="str">
        <x:v>ALLOS SA</x:v>
      </x:c>
      <x:c r="C13079" s="16" t="n">
        <x:v>869.5446308822</x:v>
      </x:c>
      <x:c r="D13079" s="13" t="str">
        <x:v>Income Properties</x:v>
      </x:c>
      <x:c r="E13079" s="13" t="str">
        <x:v>Real Estate</x:v>
      </x:c>
      <x:c r="F13079" s="13" t="str">
        <x:v>Early Cyclicals</x:v>
      </x:c>
      <x:c r="G13079" s="13" t="str">
        <x:v>grid_wbaxp5t0.xlsx</x:v>
      </x:c>
    </x:row>
    <x:row r="13080">
      <x:c r="A13080" s="15" t="n">
        <x:v>45931</x:v>
      </x:c>
      <x:c r="B13080" s="13" t="str">
        <x:v>IGUATEMI SA - UNITS</x:v>
      </x:c>
      <x:c r="C13080" s="16" t="n">
        <x:v>594.5421446137</x:v>
      </x:c>
      <x:c r="D13080" s="13" t="str">
        <x:v>Income Properties</x:v>
      </x:c>
      <x:c r="E13080" s="13" t="str">
        <x:v>Real Estate</x:v>
      </x:c>
      <x:c r="F13080" s="13" t="str">
        <x:v>Early Cyclicals</x:v>
      </x:c>
      <x:c r="G13080" s="13" t="str">
        <x:v>grid_wbaxp5t0.xlsx</x:v>
      </x:c>
    </x:row>
    <x:row r="13081">
      <x:c r="A13081" s="15" t="n">
        <x:v>45931</x:v>
      </x:c>
      <x:c r="B13081" s="13" t="str">
        <x:v>MULTIPLAN EMPREENDIMENTOS</x:v>
      </x:c>
      <x:c r="C13081" s="16" t="n">
        <x:v>1081.9701156822</x:v>
      </x:c>
      <x:c r="D13081" s="13" t="str">
        <x:v>Income Properties</x:v>
      </x:c>
      <x:c r="E13081" s="13" t="str">
        <x:v>Real Estate</x:v>
      </x:c>
      <x:c r="F13081" s="13" t="str">
        <x:v>Early Cyclicals</x:v>
      </x:c>
      <x:c r="G13081" s="13" t="str">
        <x:v>grid_wbaxp5t0.xlsx</x:v>
      </x:c>
    </x:row>
    <x:row r="13082">
      <x:c r="A13082" s="15" t="n">
        <x:v>45931</x:v>
      </x:c>
      <x:c r="B13082" s="13" t="str">
        <x:v>BRADESPAR SA -PREF</x:v>
      </x:c>
      <x:c r="C13082" s="16" t="n">
        <x:v>1578.9684718466</x:v>
      </x:c>
      <x:c r="D13082" s="13" t="str">
        <x:v>Metals &amp; Mining</x:v>
      </x:c>
      <x:c r="E13082" s="13" t="str">
        <x:v>Metals &amp; Mining</x:v>
      </x:c>
      <x:c r="F13082" s="13" t="str">
        <x:v>Deep Cyclicals</x:v>
      </x:c>
      <x:c r="G13082" s="13" t="str">
        <x:v>grid_wbaxp5t0.xlsx</x:v>
      </x:c>
    </x:row>
    <x:row r="13083">
      <x:c r="A13083" s="15" t="n">
        <x:v>45931</x:v>
      </x:c>
      <x:c r="B13083" s="13" t="str">
        <x:v>CIA SIDERURGICA NACIONAL SA</x:v>
      </x:c>
      <x:c r="C13083" s="16" t="n">
        <x:v>220.2714176877</x:v>
      </x:c>
      <x:c r="D13083" s="13" t="str">
        <x:v>Metals &amp; Mining</x:v>
      </x:c>
      <x:c r="E13083" s="13" t="str">
        <x:v>Metals &amp; Mining</x:v>
      </x:c>
      <x:c r="F13083" s="13" t="str">
        <x:v>Deep Cyclicals</x:v>
      </x:c>
      <x:c r="G13083" s="13" t="str">
        <x:v>grid_wbaxp5t0.xlsx</x:v>
      </x:c>
    </x:row>
    <x:row r="13084">
      <x:c r="A13084" s="15" t="n">
        <x:v>45931</x:v>
      </x:c>
      <x:c r="B13084" s="13" t="str">
        <x:v>CSN MINERACAO SA</x:v>
      </x:c>
      <x:c r="C13084" s="16" t="n">
        <x:v>1616.3451788274</x:v>
      </x:c>
      <x:c r="D13084" s="13" t="str">
        <x:v>Metals &amp; Mining</x:v>
      </x:c>
      <x:c r="E13084" s="13" t="str">
        <x:v>Metals &amp; Mining</x:v>
      </x:c>
      <x:c r="F13084" s="13" t="str">
        <x:v>Deep Cyclicals</x:v>
      </x:c>
      <x:c r="G13084" s="13" t="str">
        <x:v>grid_wbaxp5t0.xlsx</x:v>
      </x:c>
    </x:row>
    <x:row r="13085">
      <x:c r="A13085" s="15" t="n">
        <x:v>45931</x:v>
      </x:c>
      <x:c r="B13085" s="13" t="str">
        <x:v>GERDAU SA-PREF</x:v>
      </x:c>
      <x:c r="C13085" s="16" t="n">
        <x:v>4471.3585741151</x:v>
      </x:c>
      <x:c r="D13085" s="13" t="str">
        <x:v>Metals &amp; Mining</x:v>
      </x:c>
      <x:c r="E13085" s="13" t="str">
        <x:v>Metals &amp; Mining</x:v>
      </x:c>
      <x:c r="F13085" s="13" t="str">
        <x:v>Deep Cyclicals</x:v>
      </x:c>
      <x:c r="G13085" s="13" t="str">
        <x:v>grid_wbaxp5t0.xlsx</x:v>
      </x:c>
    </x:row>
    <x:row r="13086">
      <x:c r="A13086" s="15" t="n">
        <x:v>45931</x:v>
      </x:c>
      <x:c r="B13086" s="13" t="str">
        <x:v>METALURGICA GERDAU SA-PREF</x:v>
      </x:c>
      <x:c r="C13086" s="16" t="n">
        <x:v>1532.6355631343</x:v>
      </x:c>
      <x:c r="D13086" s="13" t="str">
        <x:v>Metals &amp; Mining</x:v>
      </x:c>
      <x:c r="E13086" s="13" t="str">
        <x:v>Metals &amp; Mining</x:v>
      </x:c>
      <x:c r="F13086" s="13" t="str">
        <x:v>Deep Cyclicals</x:v>
      </x:c>
      <x:c r="G13086" s="13" t="str">
        <x:v>grid_wbaxp5t0.xlsx</x:v>
      </x:c>
    </x:row>
    <x:row r="13087">
      <x:c r="A13087" s="15" t="n">
        <x:v>45931</x:v>
      </x:c>
      <x:c r="B13087" s="13" t="str">
        <x:v>USINAS SIDER MINAS GER-PF A</x:v>
      </x:c>
      <x:c r="C13087" s="16" t="n">
        <x:v>438.8817232877</x:v>
      </x:c>
      <x:c r="D13087" s="13" t="str">
        <x:v>Metals &amp; Mining</x:v>
      </x:c>
      <x:c r="E13087" s="13" t="str">
        <x:v>Metals &amp; Mining</x:v>
      </x:c>
      <x:c r="F13087" s="13" t="str">
        <x:v>Deep Cyclicals</x:v>
      </x:c>
      <x:c r="G13087" s="13" t="str">
        <x:v>grid_wbaxp5t0.xlsx</x:v>
      </x:c>
    </x:row>
    <x:row r="13088">
      <x:c r="A13088" s="15" t="n">
        <x:v>45931</x:v>
      </x:c>
      <x:c r="B13088" s="13" t="str">
        <x:v>VALE SA</x:v>
      </x:c>
      <x:c r="C13088" s="16" t="n">
        <x:v>42279.4836220493</x:v>
      </x:c>
      <x:c r="D13088" s="13" t="str">
        <x:v>Metals &amp; Mining</x:v>
      </x:c>
      <x:c r="E13088" s="13" t="str">
        <x:v>Metals &amp; Mining</x:v>
      </x:c>
      <x:c r="F13088" s="13" t="str">
        <x:v>Deep Cyclicals</x:v>
      </x:c>
      <x:c r="G13088" s="13" t="str">
        <x:v>grid_wbaxp5t0.xlsx</x:v>
      </x:c>
    </x:row>
    <x:row r="13089">
      <x:c r="A13089" s="15" t="n">
        <x:v>45931</x:v>
      </x:c>
      <x:c r="B13089" s="13" t="str">
        <x:v>BRASKEM SA-PREF A</x:v>
      </x:c>
      <x:c r="C13089" s="16" t="n">
        <x:v>-1850.9942412274</x:v>
      </x:c>
      <x:c r="D13089" s="13" t="str">
        <x:v>Oil, Gas &amp; Petrochemicals</x:v>
      </x:c>
      <x:c r="E13089" s="13" t="str">
        <x:v>Oil, Gas &amp; Petrochemicals</x:v>
      </x:c>
      <x:c r="F13089" s="13" t="str">
        <x:v>Deep Cyclicals</x:v>
      </x:c>
      <x:c r="G13089" s="13" t="str">
        <x:v>grid_wbaxp5t0.xlsx</x:v>
      </x:c>
    </x:row>
    <x:row r="13090">
      <x:c r="A13090" s="15" t="n">
        <x:v>45931</x:v>
      </x:c>
      <x:c r="B13090" s="13" t="str">
        <x:v>BRAVA ENERGIA</x:v>
      </x:c>
      <x:c r="C13090" s="16" t="n">
        <x:v>1620.5597681973</x:v>
      </x:c>
      <x:c r="D13090" s="13" t="str">
        <x:v>Oil, Gas &amp; Petrochemicals</x:v>
      </x:c>
      <x:c r="E13090" s="13" t="str">
        <x:v>Oil, Gas &amp; Petrochemicals</x:v>
      </x:c>
      <x:c r="F13090" s="13" t="str">
        <x:v>Deep Cyclicals</x:v>
      </x:c>
      <x:c r="G13090" s="13" t="str">
        <x:v>grid_wbaxp5t0.xlsx</x:v>
      </x:c>
    </x:row>
    <x:row r="13091">
      <x:c r="A13091" s="15" t="n">
        <x:v>45931</x:v>
      </x:c>
      <x:c r="B13091" s="13" t="str">
        <x:v>COSAN SA</x:v>
      </x:c>
      <x:c r="C13091" s="16" t="n">
        <x:v>2247.3091555945</x:v>
      </x:c>
      <x:c r="D13091" s="13" t="str">
        <x:v>Oil, Gas &amp; Petrochemicals</x:v>
      </x:c>
      <x:c r="E13091" s="13" t="str">
        <x:v>Oil, Gas &amp; Petrochemicals</x:v>
      </x:c>
      <x:c r="F13091" s="13" t="str">
        <x:v>Deep Cyclicals</x:v>
      </x:c>
      <x:c r="G13091" s="13" t="str">
        <x:v>grid_wbaxp5t0.xlsx</x:v>
      </x:c>
    </x:row>
    <x:row r="13092">
      <x:c r="A13092" s="15" t="n">
        <x:v>45931</x:v>
      </x:c>
      <x:c r="B13092" s="13" t="str">
        <x:v>PETROBRAS - PETROLEO BRAS</x:v>
      </x:c>
      <x:c r="C13092" s="16" t="n">
        <x:v>82245.791194126</x:v>
      </x:c>
      <x:c r="D13092" s="13" t="str">
        <x:v>Oil, Gas &amp; Petrochemicals</x:v>
      </x:c>
      <x:c r="E13092" s="13" t="str">
        <x:v>Oil, Gas &amp; Petrochemicals</x:v>
      </x:c>
      <x:c r="F13092" s="13" t="str">
        <x:v>Deep Cyclicals</x:v>
      </x:c>
      <x:c r="G13092" s="13" t="str">
        <x:v>grid_wbaxp5t0.xlsx</x:v>
      </x:c>
    </x:row>
    <x:row r="13093">
      <x:c r="A13093" s="15" t="n">
        <x:v>45931</x:v>
      </x:c>
      <x:c r="B13093" s="13" t="str">
        <x:v>PETRORECONCAVO SA</x:v>
      </x:c>
      <x:c r="C13093" s="16" t="n">
        <x:v>613.9245441753</x:v>
      </x:c>
      <x:c r="D13093" s="13" t="str">
        <x:v>Oil, Gas &amp; Petrochemicals</x:v>
      </x:c>
      <x:c r="E13093" s="13" t="str">
        <x:v>Oil, Gas &amp; Petrochemicals</x:v>
      </x:c>
      <x:c r="F13093" s="13" t="str">
        <x:v>Deep Cyclicals</x:v>
      </x:c>
      <x:c r="G13093" s="13" t="str">
        <x:v>grid_wbaxp5t0.xlsx</x:v>
      </x:c>
    </x:row>
    <x:row r="13094">
      <x:c r="A13094" s="15" t="n">
        <x:v>45931</x:v>
      </x:c>
      <x:c r="B13094" s="13" t="str">
        <x:v>PRIO SA</x:v>
      </x:c>
      <x:c r="C13094" s="16" t="n">
        <x:v>5060.3334634959</x:v>
      </x:c>
      <x:c r="D13094" s="13" t="str">
        <x:v>Oil, Gas &amp; Petrochemicals</x:v>
      </x:c>
      <x:c r="E13094" s="13" t="str">
        <x:v>Oil, Gas &amp; Petrochemicals</x:v>
      </x:c>
      <x:c r="F13094" s="13" t="str">
        <x:v>Deep Cyclicals</x:v>
      </x:c>
      <x:c r="G13094" s="13" t="str">
        <x:v>grid_wbaxp5t0.xlsx</x:v>
      </x:c>
    </x:row>
    <x:row r="13095">
      <x:c r="A13095" s="15" t="n">
        <x:v>45931</x:v>
      </x:c>
      <x:c r="B13095" s="13" t="str">
        <x:v>ULTRAPAR PARTICIPACOES SA</x:v>
      </x:c>
      <x:c r="C13095" s="16" t="n">
        <x:v>2282.2602752</x:v>
      </x:c>
      <x:c r="D13095" s="13" t="str">
        <x:v>Oil, Gas &amp; Petrochemicals</x:v>
      </x:c>
      <x:c r="E13095" s="13" t="str">
        <x:v>Oil, Gas &amp; Petrochemicals</x:v>
      </x:c>
      <x:c r="F13095" s="13" t="str">
        <x:v>Deep Cyclicals</x:v>
      </x:c>
      <x:c r="G13095" s="13" t="str">
        <x:v>grid_wbaxp5t0.xlsx</x:v>
      </x:c>
    </x:row>
    <x:row r="13096">
      <x:c r="A13096" s="15" t="n">
        <x:v>45931</x:v>
      </x:c>
      <x:c r="B13096" s="13" t="str">
        <x:v>VIBRA ENERGIA SA</x:v>
      </x:c>
      <x:c r="C13096" s="16" t="n">
        <x:v>2476.6910863781</x:v>
      </x:c>
      <x:c r="D13096" s="13" t="str">
        <x:v>Oil, Gas &amp; Petrochemicals</x:v>
      </x:c>
      <x:c r="E13096" s="13" t="str">
        <x:v>Oil, Gas &amp; Petrochemicals</x:v>
      </x:c>
      <x:c r="F13096" s="13" t="str">
        <x:v>Deep Cyclicals</x:v>
      </x:c>
      <x:c r="G13096" s="13" t="str">
        <x:v>grid_wbaxp5t0.xlsx</x:v>
      </x:c>
    </x:row>
    <x:row r="13097">
      <x:c r="A13097" s="15" t="n">
        <x:v>45931</x:v>
      </x:c>
      <x:c r="B13097" s="13" t="str">
        <x:v>KLABIN SA - UNIT</x:v>
      </x:c>
      <x:c r="C13097" s="16" t="n">
        <x:v>1939.5837902904</x:v>
      </x:c>
      <x:c r="D13097" s="13" t="str">
        <x:v>Pulp &amp; Paper</x:v>
      </x:c>
      <x:c r="E13097" s="13" t="str">
        <x:v>Pulp &amp; Paper</x:v>
      </x:c>
      <x:c r="F13097" s="13" t="str">
        <x:v>Deep Cyclicals</x:v>
      </x:c>
      <x:c r="G13097" s="13" t="str">
        <x:v>grid_wbaxp5t0.xlsx</x:v>
      </x:c>
    </x:row>
    <x:row r="13098">
      <x:c r="A13098" s="15" t="n">
        <x:v>45931</x:v>
      </x:c>
      <x:c r="B13098" s="13" t="str">
        <x:v>SUZANO SA</x:v>
      </x:c>
      <x:c r="C13098" s="16" t="n">
        <x:v>9163.5785054685</x:v>
      </x:c>
      <x:c r="D13098" s="13" t="str">
        <x:v>Pulp &amp; Paper</x:v>
      </x:c>
      <x:c r="E13098" s="13" t="str">
        <x:v>Pulp &amp; Paper</x:v>
      </x:c>
      <x:c r="F13098" s="13" t="str">
        <x:v>Deep Cyclicals</x:v>
      </x:c>
      <x:c r="G13098" s="13" t="str">
        <x:v>grid_wbaxp5t0.xlsx</x:v>
      </x:c>
    </x:row>
    <x:row r="13099">
      <x:c r="A13099" s="15" t="n">
        <x:v>45931</x:v>
      </x:c>
      <x:c r="B13099" s="13" t="str">
        <x:v>AZZAS 2154 SA</x:v>
      </x:c>
      <x:c r="C13099" s="16" t="n">
        <x:v>875.9756512438</x:v>
      </x:c>
      <x:c r="D13099" s="13" t="str">
        <x:v>Retail</x:v>
      </x:c>
      <x:c r="E13099" s="13" t="str">
        <x:v>Retail</x:v>
      </x:c>
      <x:c r="F13099" s="13" t="str">
        <x:v>Early Cyclicals</x:v>
      </x:c>
      <x:c r="G13099" s="13" t="str">
        <x:v>grid_wbaxp5t0.xlsx</x:v>
      </x:c>
    </x:row>
    <x:row r="13100">
      <x:c r="A13100" s="15" t="n">
        <x:v>45931</x:v>
      </x:c>
      <x:c r="B13100" s="13" t="str">
        <x:v>C&amp;A MODAS LTDA</x:v>
      </x:c>
      <x:c r="C13100" s="16" t="n">
        <x:v>551.8827663781</x:v>
      </x:c>
      <x:c r="D13100" s="13" t="str">
        <x:v>Retail</x:v>
      </x:c>
      <x:c r="E13100" s="13" t="str">
        <x:v>Retail</x:v>
      </x:c>
      <x:c r="F13100" s="13" t="str">
        <x:v>Early Cyclicals</x:v>
      </x:c>
      <x:c r="G13100" s="13" t="str">
        <x:v>grid_wbaxp5t0.xlsx</x:v>
      </x:c>
    </x:row>
    <x:row r="13101">
      <x:c r="A13101" s="15" t="n">
        <x:v>45931</x:v>
      </x:c>
      <x:c r="B13101" s="13" t="str">
        <x:v>CIA BRASILEIRA DE DISTRIBUIC</x:v>
      </x:c>
      <x:c r="C13101" s="16" t="n">
        <x:v>-408.1369796384</x:v>
      </x:c>
      <x:c r="D13101" s="13" t="str">
        <x:v>Retail</x:v>
      </x:c>
      <x:c r="E13101" s="13" t="str">
        <x:v>Retail</x:v>
      </x:c>
      <x:c r="F13101" s="13" t="str">
        <x:v>Early Cyclicals</x:v>
      </x:c>
      <x:c r="G13101" s="13" t="str">
        <x:v>grid_wbaxp5t0.xlsx</x:v>
      </x:c>
    </x:row>
    <x:row r="13102">
      <x:c r="A13102" s="15" t="n">
        <x:v>45931</x:v>
      </x:c>
      <x:c r="B13102" s="13" t="str">
        <x:v>CVC BRASIL OPERADORA E AGENC</x:v>
      </x:c>
      <x:c r="C13102" s="16" t="n">
        <x:v>54.0504967123</x:v>
      </x:c>
      <x:c r="D13102" s="13" t="str">
        <x:v>Retail</x:v>
      </x:c>
      <x:c r="E13102" s="13" t="str">
        <x:v>Retail</x:v>
      </x:c>
      <x:c r="F13102" s="13" t="str">
        <x:v>Early Cyclicals</x:v>
      </x:c>
      <x:c r="G13102" s="13" t="str">
        <x:v>grid_wbaxp5t0.xlsx</x:v>
      </x:c>
    </x:row>
    <x:row r="13103">
      <x:c r="A13103" s="15" t="n">
        <x:v>45931</x:v>
      </x:c>
      <x:c r="B13103" s="13" t="str">
        <x:v>LOJAS RENNER S.A.</x:v>
      </x:c>
      <x:c r="C13103" s="16" t="n">
        <x:v>1632.1804589589</x:v>
      </x:c>
      <x:c r="D13103" s="13" t="str">
        <x:v>Retail</x:v>
      </x:c>
      <x:c r="E13103" s="13" t="str">
        <x:v>Retail</x:v>
      </x:c>
      <x:c r="F13103" s="13" t="str">
        <x:v>Early Cyclicals</x:v>
      </x:c>
      <x:c r="G13103" s="13" t="str">
        <x:v>grid_wbaxp5t0.xlsx</x:v>
      </x:c>
    </x:row>
    <x:row r="13104">
      <x:c r="A13104" s="15" t="n">
        <x:v>45931</x:v>
      </x:c>
      <x:c r="B13104" s="13" t="str">
        <x:v>MAGAZINE LUIZA SA</x:v>
      </x:c>
      <x:c r="C13104" s="16" t="n">
        <x:v>320.862310926</x:v>
      </x:c>
      <x:c r="D13104" s="13" t="str">
        <x:v>Retail</x:v>
      </x:c>
      <x:c r="E13104" s="13" t="str">
        <x:v>Retail</x:v>
      </x:c>
      <x:c r="F13104" s="13" t="str">
        <x:v>Early Cyclicals</x:v>
      </x:c>
      <x:c r="G13104" s="13" t="str">
        <x:v>grid_wbaxp5t0.xlsx</x:v>
      </x:c>
    </x:row>
    <x:row r="13105">
      <x:c r="A13105" s="15" t="n">
        <x:v>45931</x:v>
      </x:c>
      <x:c r="B13105" s="13" t="str">
        <x:v>NATURA COSMETICOS SA</x:v>
      </x:c>
      <x:c r="C13105" s="16" t="n">
        <x:v>1271.7847937753</x:v>
      </x:c>
      <x:c r="D13105" s="13" t="str">
        <x:v>Retail</x:v>
      </x:c>
      <x:c r="E13105" s="13" t="str">
        <x:v>Retail</x:v>
      </x:c>
      <x:c r="F13105" s="13" t="str">
        <x:v>Early Cyclicals</x:v>
      </x:c>
      <x:c r="G13105" s="13" t="str">
        <x:v>grid_wbaxp5t0.xlsx</x:v>
      </x:c>
    </x:row>
    <x:row r="13106">
      <x:c r="A13106" s="15" t="n">
        <x:v>45931</x:v>
      </x:c>
      <x:c r="B13106" s="13" t="str">
        <x:v>RAIA DROGASIL SA</x:v>
      </x:c>
      <x:c r="C13106" s="16" t="n">
        <x:v>1480.5843154411</x:v>
      </x:c>
      <x:c r="D13106" s="13" t="str">
        <x:v>Retail</x:v>
      </x:c>
      <x:c r="E13106" s="13" t="str">
        <x:v>Retail</x:v>
      </x:c>
      <x:c r="F13106" s="13" t="str">
        <x:v>Early Cyclicals</x:v>
      </x:c>
      <x:c r="G13106" s="13" t="str">
        <x:v>grid_wbaxp5t0.xlsx</x:v>
      </x:c>
    </x:row>
    <x:row r="13107">
      <x:c r="A13107" s="15" t="n">
        <x:v>45931</x:v>
      </x:c>
      <x:c r="B13107" s="13" t="str">
        <x:v>SENDAS DISTRIBUIDORA SA</x:v>
      </x:c>
      <x:c r="C13107" s="16" t="n">
        <x:v>1079.8253727562</x:v>
      </x:c>
      <x:c r="D13107" s="13" t="str">
        <x:v>Retail</x:v>
      </x:c>
      <x:c r="E13107" s="13" t="str">
        <x:v>Retail</x:v>
      </x:c>
      <x:c r="F13107" s="13" t="str">
        <x:v>Early Cyclicals</x:v>
      </x:c>
      <x:c r="G13107" s="13" t="str">
        <x:v>grid_wbaxp5t0.xlsx</x:v>
      </x:c>
    </x:row>
    <x:row r="13108">
      <x:c r="A13108" s="15" t="n">
        <x:v>45931</x:v>
      </x:c>
      <x:c r="B13108" s="13" t="str">
        <x:v>SMARTFIT - ORDINARY</x:v>
      </x:c>
      <x:c r="C13108" s="16" t="n">
        <x:v>911.2813645151</x:v>
      </x:c>
      <x:c r="D13108" s="13" t="str">
        <x:v>Retail</x:v>
      </x:c>
      <x:c r="E13108" s="13" t="str">
        <x:v>Retail</x:v>
      </x:c>
      <x:c r="F13108" s="13" t="str">
        <x:v>Early Cyclicals</x:v>
      </x:c>
      <x:c r="G13108" s="13" t="str">
        <x:v>grid_wbaxp5t0.xlsx</x:v>
      </x:c>
    </x:row>
    <x:row r="13109">
      <x:c r="A13109" s="15" t="n">
        <x:v>45931</x:v>
      </x:c>
      <x:c r="B13109" s="13" t="str">
        <x:v>VIVARA PARTICIPACOES SA</x:v>
      </x:c>
      <x:c r="C13109" s="16" t="n">
        <x:v>705.3459915397</x:v>
      </x:c>
      <x:c r="D13109" s="13" t="str">
        <x:v>Retail</x:v>
      </x:c>
      <x:c r="E13109" s="13" t="str">
        <x:v>Retail</x:v>
      </x:c>
      <x:c r="F13109" s="13" t="str">
        <x:v>Early Cyclicals</x:v>
      </x:c>
      <x:c r="G13109" s="13" t="str">
        <x:v>grid_wbaxp5t0.xlsx</x:v>
      </x:c>
    </x:row>
    <x:row r="13110">
      <x:c r="A13110" s="15" t="n">
        <x:v>45931</x:v>
      </x:c>
      <x:c r="B13110" s="13" t="str">
        <x:v>CIA SANEAMENTO BASICO DE SP</x:v>
      </x:c>
      <x:c r="C13110" s="16" t="n">
        <x:v>6738.6258796712</x:v>
      </x:c>
      <x:c r="D13110" s="13" t="str">
        <x:v>Sanitation</x:v>
      </x:c>
      <x:c r="E13110" s="13" t="str">
        <x:v>Utilities</x:v>
      </x:c>
      <x:c r="F13110" s="13" t="str">
        <x:v>Defensives</x:v>
      </x:c>
      <x:c r="G13110" s="13" t="str">
        <x:v>grid_wbaxp5t0.xlsx</x:v>
      </x:c>
    </x:row>
    <x:row r="13111">
      <x:c r="A13111" s="15" t="n">
        <x:v>45931</x:v>
      </x:c>
      <x:c r="B13111" s="13" t="str">
        <x:v>TIM SA</x:v>
      </x:c>
      <x:c r="C13111" s="16" t="n">
        <x:v>4447.0486731397</x:v>
      </x:c>
      <x:c r="D13111" s="13" t="str">
        <x:v>TMT</x:v>
      </x:c>
      <x:c r="E13111" s="13" t="str">
        <x:v>TMT</x:v>
      </x:c>
      <x:c r="F13111" s="13" t="str">
        <x:v>Early Cyclicals</x:v>
      </x:c>
      <x:c r="G13111" s="13" t="str">
        <x:v>grid_wbaxp5t0.xlsx</x:v>
      </x:c>
    </x:row>
    <x:row r="13112">
      <x:c r="A13112" s="15" t="n">
        <x:v>45931</x:v>
      </x:c>
      <x:c r="B13112" s="13" t="str">
        <x:v>TOTVS SA</x:v>
      </x:c>
      <x:c r="C13112" s="16" t="n">
        <x:v>1082.4586616986</x:v>
      </x:c>
      <x:c r="D13112" s="13" t="str">
        <x:v>TMT</x:v>
      </x:c>
      <x:c r="E13112" s="13" t="str">
        <x:v>TMT</x:v>
      </x:c>
      <x:c r="F13112" s="13" t="str">
        <x:v>Early Cyclicals</x:v>
      </x:c>
      <x:c r="G13112" s="13" t="str">
        <x:v>grid_wbaxp5t0.xlsx</x:v>
      </x:c>
    </x:row>
    <x:row r="13113">
      <x:c r="A13113" s="15" t="n">
        <x:v>45931</x:v>
      </x:c>
      <x:c r="B13113" s="13" t="str">
        <x:v>LOCALIZA RENT A CAR</x:v>
      </x:c>
      <x:c r="C13113" s="16" t="n">
        <x:v>4065.7377371178</x:v>
      </x:c>
      <x:c r="D13113" s="13" t="str">
        <x:v>Transportation</x:v>
      </x:c>
      <x:c r="E13113" s="13" t="str">
        <x:v>Transportation</x:v>
      </x:c>
      <x:c r="F13113" s="13" t="str">
        <x:v>Deep Cyclicals</x:v>
      </x:c>
      <x:c r="G13113" s="13" t="str">
        <x:v>grid_wbaxp5t0.xlsx</x:v>
      </x:c>
    </x:row>
    <x:row r="13114">
      <x:c r="A13114" s="15" t="n">
        <x:v>45931</x:v>
      </x:c>
      <x:c r="B13114" s="13" t="str">
        <x:v>MOTIVA INFRAESTRUTURA DE MOB</x:v>
      </x:c>
      <x:c r="C13114" s="16" t="n">
        <x:v>2399.494073863</x:v>
      </x:c>
      <x:c r="D13114" s="13" t="str">
        <x:v>Transportation</x:v>
      </x:c>
      <x:c r="E13114" s="13" t="str">
        <x:v>Transportation</x:v>
      </x:c>
      <x:c r="F13114" s="13" t="str">
        <x:v>Deep Cyclicals</x:v>
      </x:c>
      <x:c r="G13114" s="13" t="str">
        <x:v>grid_wbaxp5t0.xlsx</x:v>
      </x:c>
    </x:row>
    <x:row r="13115">
      <x:c r="A13115" s="15" t="n">
        <x:v>45931</x:v>
      </x:c>
      <x:c r="B13115" s="13" t="str">
        <x:v>RUMO SA</x:v>
      </x:c>
      <x:c r="C13115" s="16" t="n">
        <x:v>2304.1763173699</x:v>
      </x:c>
      <x:c r="D13115" s="13" t="str">
        <x:v>Transportation</x:v>
      </x:c>
      <x:c r="E13115" s="13" t="str">
        <x:v>Transportation</x:v>
      </x:c>
      <x:c r="F13115" s="13" t="str">
        <x:v>Deep Cyclicals</x:v>
      </x:c>
      <x:c r="G13115" s="13" t="str">
        <x:v>grid_wbaxp5t0.xlsx</x:v>
      </x:c>
    </x:row>
    <x:row r="13116">
      <x:c r="A13116" s="15" t="n">
        <x:v>45931</x:v>
      </x:c>
      <x:c r="B13116" s="13" t="str">
        <x:v>VAMOS LOCACAO DE CAMINHOES M</x:v>
      </x:c>
      <x:c r="C13116" s="16" t="n">
        <x:v>561.971372011</x:v>
      </x:c>
      <x:c r="D13116" s="13" t="str">
        <x:v>Transportation</x:v>
      </x:c>
      <x:c r="E13116" s="13" t="str">
        <x:v>Transportation</x:v>
      </x:c>
      <x:c r="F13116" s="13" t="str">
        <x:v>Deep Cyclicals</x:v>
      </x:c>
      <x:c r="G13116" s="13" t="str">
        <x:v>grid_wbaxp5t0.xlsx</x:v>
      </x:c>
    </x:row>
    <x:row r="13117">
      <x:c r="A13117" s="15" t="n">
        <x:v>45931</x:v>
      </x:c>
      <x:c r="B13117" s="13" t="str">
        <x:v>AUREN ENERGIA SA - ON</x:v>
      </x:c>
      <x:c r="C13117" s="16" t="n">
        <x:v>-294.8479080329</x:v>
      </x:c>
      <x:c r="D13117" s="13" t="str">
        <x:v>Utilities &amp; Energy</x:v>
      </x:c>
      <x:c r="E13117" s="13" t="str">
        <x:v>Utilities</x:v>
      </x:c>
      <x:c r="F13117" s="13" t="str">
        <x:v>Defensives</x:v>
      </x:c>
      <x:c r="G13117" s="13" t="str">
        <x:v>grid_wbaxp5t0.xlsx</x:v>
      </x:c>
    </x:row>
    <x:row r="13118">
      <x:c r="A13118" s="15" t="n">
        <x:v>45931</x:v>
      </x:c>
      <x:c r="B13118" s="13" t="str">
        <x:v>AXIA ENERGIA SA</x:v>
      </x:c>
      <x:c r="C13118" s="16" t="n">
        <x:v>9518.7318363178</x:v>
      </x:c>
      <x:c r="D13118" s="13" t="str">
        <x:v>Utilities &amp; Energy</x:v>
      </x:c>
      <x:c r="E13118" s="13" t="str">
        <x:v>Utilities</x:v>
      </x:c>
      <x:c r="F13118" s="13" t="str">
        <x:v>Defensives</x:v>
      </x:c>
      <x:c r="G13118" s="13" t="str">
        <x:v>grid_wbaxp5t0.xlsx</x:v>
      </x:c>
    </x:row>
    <x:row r="13119">
      <x:c r="A13119" s="15" t="n">
        <x:v>45931</x:v>
      </x:c>
      <x:c r="B13119" s="13" t="str">
        <x:v>AXIA ENERGIA-PR B</x:v>
      </x:c>
      <x:c r="C13119" s="16" t="n">
        <x:v>9518.7318363178</x:v>
      </x:c>
      <x:c r="D13119" s="13" t="str">
        <x:v>Utilities &amp; Energy</x:v>
      </x:c>
      <x:c r="E13119" s="13" t="str">
        <x:v>Utilities</x:v>
      </x:c>
      <x:c r="F13119" s="13" t="str">
        <x:v>Defensives</x:v>
      </x:c>
      <x:c r="G13119" s="13" t="str">
        <x:v>grid_wbaxp5t0.xlsx</x:v>
      </x:c>
    </x:row>
    <x:row r="13120">
      <x:c r="A13120" s="15" t="n">
        <x:v>45931</x:v>
      </x:c>
      <x:c r="B13120" s="13" t="str">
        <x:v>CIA ENERGETICA MINAS GER-PRF</x:v>
      </x:c>
      <x:c r="C13120" s="16" t="n">
        <x:v>3962.0955662027</x:v>
      </x:c>
      <x:c r="D13120" s="13" t="str">
        <x:v>Utilities &amp; Energy</x:v>
      </x:c>
      <x:c r="E13120" s="13" t="str">
        <x:v>Utilities</x:v>
      </x:c>
      <x:c r="F13120" s="13" t="str">
        <x:v>Defensives</x:v>
      </x:c>
      <x:c r="G13120" s="13" t="str">
        <x:v>grid_wbaxp5t0.xlsx</x:v>
      </x:c>
    </x:row>
    <x:row r="13121">
      <x:c r="A13121" s="15" t="n">
        <x:v>45931</x:v>
      </x:c>
      <x:c r="B13121" s="13" t="str">
        <x:v>COMPANHIA PARANAENSE -PREF B</x:v>
      </x:c>
      <x:c r="C13121" s="16" t="n">
        <x:v>2532.1066092712</x:v>
      </x:c>
      <x:c r="D13121" s="13" t="str">
        <x:v>Utilities &amp; Energy</x:v>
      </x:c>
      <x:c r="E13121" s="13" t="str">
        <x:v>Utilities</x:v>
      </x:c>
      <x:c r="F13121" s="13" t="str">
        <x:v>Defensives</x:v>
      </x:c>
      <x:c r="G13121" s="13" t="str">
        <x:v>grid_wbaxp5t0.xlsx</x:v>
      </x:c>
    </x:row>
    <x:row r="13122">
      <x:c r="A13122" s="15" t="n">
        <x:v>45931</x:v>
      </x:c>
      <x:c r="B13122" s="13" t="str">
        <x:v>CPFL ENERGIA SA</x:v>
      </x:c>
      <x:c r="C13122" s="16" t="n">
        <x:v>4912.1351665973</x:v>
      </x:c>
      <x:c r="D13122" s="13" t="str">
        <x:v>Utilities &amp; Energy</x:v>
      </x:c>
      <x:c r="E13122" s="13" t="str">
        <x:v>Utilities</x:v>
      </x:c>
      <x:c r="F13122" s="13" t="str">
        <x:v>Defensives</x:v>
      </x:c>
      <x:c r="G13122" s="13" t="str">
        <x:v>grid_wbaxp5t0.xlsx</x:v>
      </x:c>
    </x:row>
    <x:row r="13123">
      <x:c r="A13123" s="15" t="n">
        <x:v>45931</x:v>
      </x:c>
      <x:c r="B13123" s="13" t="str">
        <x:v>ENERGISA SA-UNITS</x:v>
      </x:c>
      <x:c r="C13123" s="16" t="n">
        <x:v>1412.8121080986</x:v>
      </x:c>
      <x:c r="D13123" s="13" t="str">
        <x:v>Utilities &amp; Energy</x:v>
      </x:c>
      <x:c r="E13123" s="13" t="str">
        <x:v>Utilities</x:v>
      </x:c>
      <x:c r="F13123" s="13" t="str">
        <x:v>Defensives</x:v>
      </x:c>
      <x:c r="G13123" s="13" t="str">
        <x:v>grid_wbaxp5t0.xlsx</x:v>
      </x:c>
    </x:row>
    <x:row r="13124">
      <x:c r="A13124" s="15" t="n">
        <x:v>45931</x:v>
      </x:c>
      <x:c r="B13124" s="13" t="str">
        <x:v>ENEVA SA</x:v>
      </x:c>
      <x:c r="C13124" s="16" t="n">
        <x:v>1636.106899989</x:v>
      </x:c>
      <x:c r="D13124" s="13" t="str">
        <x:v>Utilities &amp; Energy</x:v>
      </x:c>
      <x:c r="E13124" s="13" t="str">
        <x:v>Utilities</x:v>
      </x:c>
      <x:c r="F13124" s="13" t="str">
        <x:v>Defensives</x:v>
      </x:c>
      <x:c r="G13124" s="13" t="str">
        <x:v>grid_wbaxp5t0.xlsx</x:v>
      </x:c>
    </x:row>
    <x:row r="13125">
      <x:c r="A13125" s="15" t="n">
        <x:v>45931</x:v>
      </x:c>
      <x:c r="B13125" s="13" t="str">
        <x:v>ENGIE BRASIL ENERGIA SA</x:v>
      </x:c>
      <x:c r="C13125" s="16" t="n">
        <x:v>3077.5363008877</x:v>
      </x:c>
      <x:c r="D13125" s="13" t="str">
        <x:v>Utilities &amp; Energy</x:v>
      </x:c>
      <x:c r="E13125" s="13" t="str">
        <x:v>Utilities</x:v>
      </x:c>
      <x:c r="F13125" s="13" t="str">
        <x:v>Defensives</x:v>
      </x:c>
      <x:c r="G13125" s="13" t="str">
        <x:v>grid_wbaxp5t0.xlsx</x:v>
      </x:c>
    </x:row>
    <x:row r="13126">
      <x:c r="A13126" s="15" t="n">
        <x:v>45931</x:v>
      </x:c>
      <x:c r="B13126" s="13" t="str">
        <x:v>EQUATORIAL SA - ORD</x:v>
      </x:c>
      <x:c r="C13126" s="16" t="n">
        <x:v>3774.0948199452</x:v>
      </x:c>
      <x:c r="D13126" s="13" t="str">
        <x:v>Utilities &amp; Energy</x:v>
      </x:c>
      <x:c r="E13126" s="13" t="str">
        <x:v>Utilities</x:v>
      </x:c>
      <x:c r="F13126" s="13" t="str">
        <x:v>Defensives</x:v>
      </x:c>
      <x:c r="G13126" s="13" t="str">
        <x:v>grid_wbaxp5t0.xlsx</x:v>
      </x:c>
    </x:row>
    <x:row r="13127">
      <x:c r="A13127" s="15" t="n">
        <x:v>45931</x:v>
      </x:c>
      <x:c r="B13127" s="13" t="str">
        <x:v>ISA ENERGIA BRASIL SA</x:v>
      </x:c>
      <x:c r="C13127" s="16" t="n">
        <x:v>1357.5780288877</x:v>
      </x:c>
      <x:c r="D13127" s="13" t="str">
        <x:v>Utilities &amp; Energy</x:v>
      </x:c>
      <x:c r="E13127" s="13" t="str">
        <x:v>Utilities</x:v>
      </x:c>
      <x:c r="F13127" s="13" t="str">
        <x:v>Defensives</x:v>
      </x:c>
      <x:c r="G13127" s="13" t="str">
        <x:v>grid_wbaxp5t0.xlsx</x:v>
      </x:c>
    </x:row>
    <x:row r="13128">
      <x:c r="A13128" s="15" t="n">
        <x:v>45931</x:v>
      </x:c>
      <x:c r="B13128" s="13" t="str">
        <x:v>TRANSMISSORA ALIANCA DE-UNIT</x:v>
      </x:c>
      <x:c r="C13128" s="16" t="n">
        <x:v>1275.4177332603</x:v>
      </x:c>
      <x:c r="D13128" s="13" t="str">
        <x:v>Utilities &amp; Energy</x:v>
      </x:c>
      <x:c r="E13128" s="13" t="str">
        <x:v>Utilities</x:v>
      </x:c>
      <x:c r="F13128" s="13" t="str">
        <x:v>Defensives</x:v>
      </x:c>
      <x:c r="G13128" s="13" t="str">
        <x:v>grid_wbaxp5t0.xlsx</x:v>
      </x:c>
    </x:row>
    <x:row r="13129">
      <x:c r="A13129" s="15" t="n">
        <x:v>45962</x:v>
      </x:c>
      <x:c r="B13129" s="13" t="str">
        <x:v>RAIZEN SA - PREFERENCE</x:v>
      </x:c>
      <x:c r="C13129" s="16" t="n">
        <x:v>-1450.8339508603</x:v>
      </x:c>
      <x:c r="D13129" s="13" t="str">
        <x:v>Agribusiness</x:v>
      </x:c>
      <x:c r="E13129" s="13" t="str">
        <x:v>Agri, Food &amp; Beverages</x:v>
      </x:c>
      <x:c r="F13129" s="13" t="str">
        <x:v>Defensives</x:v>
      </x:c>
      <x:c r="G13129" s="13" t="str">
        <x:v>grid_wbaxp5t0.xlsx</x:v>
      </x:c>
    </x:row>
    <x:row r="13130">
      <x:c r="A13130" s="15" t="n">
        <x:v>45962</x:v>
      </x:c>
      <x:c r="B13130" s="13" t="str">
        <x:v>SLC AGRICOLA SA</x:v>
      </x:c>
      <x:c r="C13130" s="16" t="n">
        <x:v>796.5381244493</x:v>
      </x:c>
      <x:c r="D13130" s="13" t="str">
        <x:v>Agribusiness</x:v>
      </x:c>
      <x:c r="E13130" s="13" t="str">
        <x:v>Agri, Food &amp; Beverages</x:v>
      </x:c>
      <x:c r="F13130" s="13" t="str">
        <x:v>Defensives</x:v>
      </x:c>
      <x:c r="G13130" s="13" t="str">
        <x:v>grid_wbaxp5t0.xlsx</x:v>
      </x:c>
    </x:row>
    <x:row r="13131">
      <x:c r="A13131" s="15" t="n">
        <x:v>45962</x:v>
      </x:c>
      <x:c r="B13131" s="13" t="str">
        <x:v>BANCO BRADESCO S.A.</x:v>
      </x:c>
      <x:c r="C13131" s="16" t="n">
        <x:v>28654.0522481973</x:v>
      </x:c>
      <x:c r="D13131" s="13" t="str">
        <x:v>Banks</x:v>
      </x:c>
      <x:c r="E13131" s="13" t="str">
        <x:v>Banks</x:v>
      </x:c>
      <x:c r="F13131" s="13" t="str">
        <x:v>Financials</x:v>
      </x:c>
      <x:c r="G13131" s="13" t="str">
        <x:v>grid_wbaxp5t0.xlsx</x:v>
      </x:c>
    </x:row>
    <x:row r="13132">
      <x:c r="A13132" s="15" t="n">
        <x:v>45962</x:v>
      </x:c>
      <x:c r="B13132" s="13" t="str">
        <x:v>BANCO BRADESCO SA-PREF</x:v>
      </x:c>
      <x:c r="C13132" s="16" t="n">
        <x:v>28654.0522481973</x:v>
      </x:c>
      <x:c r="D13132" s="13" t="str">
        <x:v>Banks</x:v>
      </x:c>
      <x:c r="E13132" s="13" t="str">
        <x:v>Banks</x:v>
      </x:c>
      <x:c r="F13132" s="13" t="str">
        <x:v>Financials</x:v>
      </x:c>
      <x:c r="G13132" s="13" t="str">
        <x:v>grid_wbaxp5t0.xlsx</x:v>
      </x:c>
    </x:row>
    <x:row r="13133">
      <x:c r="A13133" s="15" t="n">
        <x:v>45962</x:v>
      </x:c>
      <x:c r="B13133" s="13" t="str">
        <x:v>BANCO BTG PACTUAL SA-UNIT</x:v>
      </x:c>
      <x:c r="C13133" s="16" t="n">
        <x:v>18072.3856734685</x:v>
      </x:c>
      <x:c r="D13133" s="13" t="str">
        <x:v>Banks</x:v>
      </x:c>
      <x:c r="E13133" s="13" t="str">
        <x:v>Banks</x:v>
      </x:c>
      <x:c r="F13133" s="13" t="str">
        <x:v>Financials</x:v>
      </x:c>
      <x:c r="G13133" s="13" t="str">
        <x:v>grid_wbaxp5t0.xlsx</x:v>
      </x:c>
    </x:row>
    <x:row r="13134">
      <x:c r="A13134" s="15" t="n">
        <x:v>45962</x:v>
      </x:c>
      <x:c r="B13134" s="13" t="str">
        <x:v>BANCO DO BRASIL S.A.</x:v>
      </x:c>
      <x:c r="C13134" s="16" t="n">
        <x:v>25054.3288488329</x:v>
      </x:c>
      <x:c r="D13134" s="13" t="str">
        <x:v>Banks</x:v>
      </x:c>
      <x:c r="E13134" s="13" t="str">
        <x:v>Banks</x:v>
      </x:c>
      <x:c r="F13134" s="13" t="str">
        <x:v>Financials</x:v>
      </x:c>
      <x:c r="G13134" s="13" t="str">
        <x:v>grid_wbaxp5t0.xlsx</x:v>
      </x:c>
    </x:row>
    <x:row r="13135">
      <x:c r="A13135" s="15" t="n">
        <x:v>45962</x:v>
      </x:c>
      <x:c r="B13135" s="13" t="str">
        <x:v>BANCO SANTANDER  BRASIL-UNIT</x:v>
      </x:c>
      <x:c r="C13135" s="16" t="n">
        <x:v>17255.169977863</x:v>
      </x:c>
      <x:c r="D13135" s="13" t="str">
        <x:v>Banks</x:v>
      </x:c>
      <x:c r="E13135" s="13" t="str">
        <x:v>Banks</x:v>
      </x:c>
      <x:c r="F13135" s="13" t="str">
        <x:v>Financials</x:v>
      </x:c>
      <x:c r="G13135" s="13" t="str">
        <x:v>grid_wbaxp5t0.xlsx</x:v>
      </x:c>
    </x:row>
    <x:row r="13136">
      <x:c r="A13136" s="15" t="n">
        <x:v>45962</x:v>
      </x:c>
      <x:c r="B13136" s="13" t="str">
        <x:v>ITAU UNIBANCO HOLDING S-PREF</x:v>
      </x:c>
      <x:c r="C13136" s="16" t="n">
        <x:v>51124.8998287781</x:v>
      </x:c>
      <x:c r="D13136" s="13" t="str">
        <x:v>Banks</x:v>
      </x:c>
      <x:c r="E13136" s="13" t="str">
        <x:v>Banks</x:v>
      </x:c>
      <x:c r="F13136" s="13" t="str">
        <x:v>Financials</x:v>
      </x:c>
      <x:c r="G13136" s="13" t="str">
        <x:v>grid_wbaxp5t0.xlsx</x:v>
      </x:c>
    </x:row>
    <x:row r="13137">
      <x:c r="A13137" s="15" t="n">
        <x:v>45962</x:v>
      </x:c>
      <x:c r="B13137" s="13" t="str">
        <x:v>EMBRAER SA</x:v>
      </x:c>
      <x:c r="C13137" s="16" t="n">
        <x:v>2607.3124134575</x:v>
      </x:c>
      <x:c r="D13137" s="13" t="str">
        <x:v>Capital Goods</x:v>
      </x:c>
      <x:c r="E13137" s="13" t="str">
        <x:v>Capital Goods</x:v>
      </x:c>
      <x:c r="F13137" s="13" t="str">
        <x:v>Deep Cyclicals</x:v>
      </x:c>
      <x:c r="G13137" s="13" t="str">
        <x:v>grid_wbaxp5t0.xlsx</x:v>
      </x:c>
    </x:row>
    <x:row r="13138">
      <x:c r="A13138" s="15" t="n">
        <x:v>45962</x:v>
      </x:c>
      <x:c r="B13138" s="13" t="str">
        <x:v>MARCOPOLO SA-PREF</x:v>
      </x:c>
      <x:c r="C13138" s="16" t="n">
        <x:v>1292.998336526</x:v>
      </x:c>
      <x:c r="D13138" s="13" t="str">
        <x:v>Capital Goods</x:v>
      </x:c>
      <x:c r="E13138" s="13" t="str">
        <x:v>Capital Goods</x:v>
      </x:c>
      <x:c r="F13138" s="13" t="str">
        <x:v>Deep Cyclicals</x:v>
      </x:c>
      <x:c r="G13138" s="13" t="str">
        <x:v>grid_wbaxp5t0.xlsx</x:v>
      </x:c>
    </x:row>
    <x:row r="13139">
      <x:c r="A13139" s="15" t="n">
        <x:v>45962</x:v>
      </x:c>
      <x:c r="B13139" s="13" t="str">
        <x:v>WEG SA</x:v>
      </x:c>
      <x:c r="C13139" s="16" t="n">
        <x:v>6922.6597039342</x:v>
      </x:c>
      <x:c r="D13139" s="13" t="str">
        <x:v>Capital Goods</x:v>
      </x:c>
      <x:c r="E13139" s="13" t="str">
        <x:v>Capital Goods</x:v>
      </x:c>
      <x:c r="F13139" s="13" t="str">
        <x:v>Deep Cyclicals</x:v>
      </x:c>
      <x:c r="G13139" s="13" t="str">
        <x:v>grid_wbaxp5t0.xlsx</x:v>
      </x:c>
    </x:row>
    <x:row r="13140">
      <x:c r="A13140" s="15" t="n">
        <x:v>45962</x:v>
      </x:c>
      <x:c r="B13140" s="13" t="str">
        <x:v>COGNA EDUCACAO</x:v>
      </x:c>
      <x:c r="C13140" s="16" t="n">
        <x:v>767.952186389</x:v>
      </x:c>
      <x:c r="D13140" s="13" t="str">
        <x:v>Education</x:v>
      </x:c>
      <x:c r="E13140" s="13" t="str">
        <x:v>Education</x:v>
      </x:c>
      <x:c r="F13140" s="13" t="str">
        <x:v>Early Cyclicals</x:v>
      </x:c>
      <x:c r="G13140" s="13" t="str">
        <x:v>grid_wbaxp5t0.xlsx</x:v>
      </x:c>
    </x:row>
    <x:row r="13141">
      <x:c r="A13141" s="15" t="n">
        <x:v>45962</x:v>
      </x:c>
      <x:c r="B13141" s="13" t="str">
        <x:v>YDUQS PARTICIPACOES SA</x:v>
      </x:c>
      <x:c r="C13141" s="16" t="n">
        <x:v>484.3052878904</x:v>
      </x:c>
      <x:c r="D13141" s="13" t="str">
        <x:v>Education</x:v>
      </x:c>
      <x:c r="E13141" s="13" t="str">
        <x:v>Education</x:v>
      </x:c>
      <x:c r="F13141" s="13" t="str">
        <x:v>Early Cyclicals</x:v>
      </x:c>
      <x:c r="G13141" s="13" t="str">
        <x:v>grid_wbaxp5t0.xlsx</x:v>
      </x:c>
    </x:row>
    <x:row r="13142">
      <x:c r="A13142" s="15" t="n">
        <x:v>45962</x:v>
      </x:c>
      <x:c r="B13142" s="13" t="str">
        <x:v>B3 SA-BRASIL BOLSA BALCAO</x:v>
      </x:c>
      <x:c r="C13142" s="16" t="n">
        <x:v>5383.7708975343</x:v>
      </x:c>
      <x:c r="D13142" s="13" t="str">
        <x:v>Financials Non-Banks</x:v>
      </x:c>
      <x:c r="E13142" s="13" t="str">
        <x:v>Financials Non-Banks</x:v>
      </x:c>
      <x:c r="F13142" s="13" t="str">
        <x:v>Financials</x:v>
      </x:c>
      <x:c r="G13142" s="13" t="str">
        <x:v>grid_wbaxp5t0.xlsx</x:v>
      </x:c>
    </x:row>
    <x:row r="13143">
      <x:c r="A13143" s="15" t="n">
        <x:v>45962</x:v>
      </x:c>
      <x:c r="B13143" s="13" t="str">
        <x:v>BB SEGURIDADE PARTICIPACOES</x:v>
      </x:c>
      <x:c r="C13143" s="16" t="n">
        <x:v>8929.2286120329</x:v>
      </x:c>
      <x:c r="D13143" s="13" t="str">
        <x:v>Financials Non-Banks</x:v>
      </x:c>
      <x:c r="E13143" s="13" t="str">
        <x:v>Financials Non-Banks</x:v>
      </x:c>
      <x:c r="F13143" s="13" t="str">
        <x:v>Financials</x:v>
      </x:c>
      <x:c r="G13143" s="13" t="str">
        <x:v>grid_wbaxp5t0.xlsx</x:v>
      </x:c>
    </x:row>
    <x:row r="13144">
      <x:c r="A13144" s="15" t="n">
        <x:v>45962</x:v>
      </x:c>
      <x:c r="B13144" s="13" t="str">
        <x:v>CAIXA SEGURIDADE PARTICIPACO</x:v>
      </x:c>
      <x:c r="C13144" s="16" t="n">
        <x:v>4634.1303436274</x:v>
      </x:c>
      <x:c r="D13144" s="13" t="str">
        <x:v>Financials Non-Banks</x:v>
      </x:c>
      <x:c r="E13144" s="13" t="str">
        <x:v>Financials Non-Banks</x:v>
      </x:c>
      <x:c r="F13144" s="13" t="str">
        <x:v>Financials</x:v>
      </x:c>
      <x:c r="G13144" s="13" t="str">
        <x:v>grid_wbaxp5t0.xlsx</x:v>
      </x:c>
    </x:row>
    <x:row r="13145">
      <x:c r="A13145" s="15" t="n">
        <x:v>45962</x:v>
      </x:c>
      <x:c r="B13145" s="13" t="str">
        <x:v>IRB BRASIL RESSEGUROS SA</x:v>
      </x:c>
      <x:c r="C13145" s="16" t="n">
        <x:v>610.9330211068</x:v>
      </x:c>
      <x:c r="D13145" s="13" t="str">
        <x:v>Financials Non-Banks</x:v>
      </x:c>
      <x:c r="E13145" s="13" t="str">
        <x:v>Financials Non-Banks</x:v>
      </x:c>
      <x:c r="F13145" s="13" t="str">
        <x:v>Financials</x:v>
      </x:c>
      <x:c r="G13145" s="13" t="str">
        <x:v>grid_wbaxp5t0.xlsx</x:v>
      </x:c>
    </x:row>
    <x:row r="13146">
      <x:c r="A13146" s="15" t="n">
        <x:v>45962</x:v>
      </x:c>
      <x:c r="B13146" s="13" t="str">
        <x:v>ITAUSA SA</x:v>
      </x:c>
      <x:c r="C13146" s="16" t="n">
        <x:v>18496.5360177096</x:v>
      </x:c>
      <x:c r="D13146" s="13" t="str">
        <x:v>Financials Non-Banks</x:v>
      </x:c>
      <x:c r="E13146" s="13" t="str">
        <x:v>Financials Non-Banks</x:v>
      </x:c>
      <x:c r="F13146" s="13" t="str">
        <x:v>Financials</x:v>
      </x:c>
      <x:c r="G13146" s="13" t="str">
        <x:v>grid_wbaxp5t0.xlsx</x:v>
      </x:c>
    </x:row>
    <x:row r="13147">
      <x:c r="A13147" s="15" t="n">
        <x:v>45962</x:v>
      </x:c>
      <x:c r="B13147" s="13" t="str">
        <x:v>PORTO SEGURO SA</x:v>
      </x:c>
      <x:c r="C13147" s="16" t="n">
        <x:v>3652.9870855014</x:v>
      </x:c>
      <x:c r="D13147" s="13" t="str">
        <x:v>Financials Non-Banks</x:v>
      </x:c>
      <x:c r="E13147" s="13" t="str">
        <x:v>Financials Non-Banks</x:v>
      </x:c>
      <x:c r="F13147" s="13" t="str">
        <x:v>Financials</x:v>
      </x:c>
      <x:c r="G13147" s="13" t="str">
        <x:v>grid_wbaxp5t0.xlsx</x:v>
      </x:c>
    </x:row>
    <x:row r="13148">
      <x:c r="A13148" s="15" t="n">
        <x:v>45962</x:v>
      </x:c>
      <x:c r="B13148" s="13" t="str">
        <x:v>AMBEV SA</x:v>
      </x:c>
      <x:c r="C13148" s="16" t="n">
        <x:v>15528.8636233644</x:v>
      </x:c>
      <x:c r="D13148" s="13" t="str">
        <x:v>Food &amp; Beverages</x:v>
      </x:c>
      <x:c r="E13148" s="13" t="str">
        <x:v>Agri, Food &amp; Beverages</x:v>
      </x:c>
      <x:c r="F13148" s="13" t="str">
        <x:v>Defensives</x:v>
      </x:c>
      <x:c r="G13148" s="13" t="str">
        <x:v>grid_wbaxp5t0.xlsx</x:v>
      </x:c>
    </x:row>
    <x:row r="13149">
      <x:c r="A13149" s="15" t="n">
        <x:v>45962</x:v>
      </x:c>
      <x:c r="B13149" s="13" t="str">
        <x:v>MBRF GLOBAL FOODS COMPANY SA</x:v>
      </x:c>
      <x:c r="C13149" s="16" t="n">
        <x:v>461.3216438356</x:v>
      </x:c>
      <x:c r="D13149" s="13" t="str">
        <x:v>Food &amp; Beverages</x:v>
      </x:c>
      <x:c r="E13149" s="13" t="str">
        <x:v>Agri, Food &amp; Beverages</x:v>
      </x:c>
      <x:c r="F13149" s="13" t="str">
        <x:v>Defensives</x:v>
      </x:c>
      <x:c r="G13149" s="13" t="str">
        <x:v>grid_wbaxp5t0.xlsx</x:v>
      </x:c>
    </x:row>
    <x:row r="13150">
      <x:c r="A13150" s="15" t="n">
        <x:v>45962</x:v>
      </x:c>
      <x:c r="B13150" s="13" t="str">
        <x:v>MINERVA SA</x:v>
      </x:c>
      <x:c r="C13150" s="16" t="n">
        <x:v>1046.1619612055</x:v>
      </x:c>
      <x:c r="D13150" s="13" t="str">
        <x:v>Food &amp; Beverages</x:v>
      </x:c>
      <x:c r="E13150" s="13" t="str">
        <x:v>Agri, Food &amp; Beverages</x:v>
      </x:c>
      <x:c r="F13150" s="13" t="str">
        <x:v>Defensives</x:v>
      </x:c>
      <x:c r="G13150" s="13" t="str">
        <x:v>grid_wbaxp5t0.xlsx</x:v>
      </x:c>
    </x:row>
    <x:row r="13151">
      <x:c r="A13151" s="15" t="n">
        <x:v>45962</x:v>
      </x:c>
      <x:c r="B13151" s="13" t="str">
        <x:v>FLEURY SA</x:v>
      </x:c>
      <x:c r="C13151" s="16" t="n">
        <x:v>672.0895628274</x:v>
      </x:c>
      <x:c r="D13151" s="13" t="str">
        <x:v>Health Care</x:v>
      </x:c>
      <x:c r="E13151" s="13" t="str">
        <x:v>Health Care</x:v>
      </x:c>
      <x:c r="F13151" s="13" t="str">
        <x:v>Defensives</x:v>
      </x:c>
      <x:c r="G13151" s="13" t="str">
        <x:v>grid_wbaxp5t0.xlsx</x:v>
      </x:c>
    </x:row>
    <x:row r="13152">
      <x:c r="A13152" s="15" t="n">
        <x:v>45962</x:v>
      </x:c>
      <x:c r="B13152" s="13" t="str">
        <x:v>HAPVIDA PARTICIPACOES E INVE</x:v>
      </x:c>
      <x:c r="C13152" s="16" t="n">
        <x:v>927.4032894247</x:v>
      </x:c>
      <x:c r="D13152" s="13" t="str">
        <x:v>Health Care</x:v>
      </x:c>
      <x:c r="E13152" s="13" t="str">
        <x:v>Health Care</x:v>
      </x:c>
      <x:c r="F13152" s="13" t="str">
        <x:v>Defensives</x:v>
      </x:c>
      <x:c r="G13152" s="13" t="str">
        <x:v>grid_wbaxp5t0.xlsx</x:v>
      </x:c>
    </x:row>
    <x:row r="13153">
      <x:c r="A13153" s="15" t="n">
        <x:v>45962</x:v>
      </x:c>
      <x:c r="B13153" s="13" t="str">
        <x:v>HYPERA SA</x:v>
      </x:c>
      <x:c r="C13153" s="16" t="n">
        <x:v>1784.9056059616</x:v>
      </x:c>
      <x:c r="D13153" s="13" t="str">
        <x:v>Health Care</x:v>
      </x:c>
      <x:c r="E13153" s="13" t="str">
        <x:v>Health Care</x:v>
      </x:c>
      <x:c r="F13153" s="13" t="str">
        <x:v>Defensives</x:v>
      </x:c>
      <x:c r="G13153" s="13" t="str">
        <x:v>grid_wbaxp5t0.xlsx</x:v>
      </x:c>
    </x:row>
    <x:row r="13154">
      <x:c r="A13154" s="15" t="n">
        <x:v>45962</x:v>
      </x:c>
      <x:c r="B13154" s="13" t="str">
        <x:v>REDE D'OR SAO LUIZ SA</x:v>
      </x:c>
      <x:c r="C13154" s="16" t="n">
        <x:v>5643.352947726</x:v>
      </x:c>
      <x:c r="D13154" s="13" t="str">
        <x:v>Health Care</x:v>
      </x:c>
      <x:c r="E13154" s="13" t="str">
        <x:v>Health Care</x:v>
      </x:c>
      <x:c r="F13154" s="13" t="str">
        <x:v>Defensives</x:v>
      </x:c>
      <x:c r="G13154" s="13" t="str">
        <x:v>grid_wbaxp5t0.xlsx</x:v>
      </x:c>
    </x:row>
    <x:row r="13155">
      <x:c r="A13155" s="15" t="n">
        <x:v>45962</x:v>
      </x:c>
      <x:c r="B13155" s="13" t="str">
        <x:v>CURY CONSTRUTORA E INCORPORA</x:v>
      </x:c>
      <x:c r="C13155" s="16" t="n">
        <x:v>1180.6986830904</x:v>
      </x:c>
      <x:c r="D13155" s="13" t="str">
        <x:v>Homebuilders</x:v>
      </x:c>
      <x:c r="E13155" s="13" t="str">
        <x:v>Real Estate</x:v>
      </x:c>
      <x:c r="F13155" s="13" t="str">
        <x:v>Early Cyclicals</x:v>
      </x:c>
      <x:c r="G13155" s="13" t="str">
        <x:v>grid_wbaxp5t0.xlsx</x:v>
      </x:c>
    </x:row>
    <x:row r="13156">
      <x:c r="A13156" s="15" t="n">
        <x:v>45962</x:v>
      </x:c>
      <x:c r="B13156" s="13" t="str">
        <x:v>CYRELA BRAZIL REALTY SA EMP</x:v>
      </x:c>
      <x:c r="C13156" s="16" t="n">
        <x:v>2014.1102637589</x:v>
      </x:c>
      <x:c r="D13156" s="13" t="str">
        <x:v>Homebuilders</x:v>
      </x:c>
      <x:c r="E13156" s="13" t="str">
        <x:v>Real Estate</x:v>
      </x:c>
      <x:c r="F13156" s="13" t="str">
        <x:v>Early Cyclicals</x:v>
      </x:c>
      <x:c r="G13156" s="13" t="str">
        <x:v>grid_wbaxp5t0.xlsx</x:v>
      </x:c>
    </x:row>
    <x:row r="13157">
      <x:c r="A13157" s="15" t="n">
        <x:v>45962</x:v>
      </x:c>
      <x:c r="B13157" s="13" t="str">
        <x:v>DIRECIONAL ENGENHARIA SA</x:v>
      </x:c>
      <x:c r="C13157" s="16" t="n">
        <x:v>1017.9119765041</x:v>
      </x:c>
      <x:c r="D13157" s="13" t="str">
        <x:v>Homebuilders</x:v>
      </x:c>
      <x:c r="E13157" s="13" t="str">
        <x:v>Real Estate</x:v>
      </x:c>
      <x:c r="F13157" s="13" t="str">
        <x:v>Early Cyclicals</x:v>
      </x:c>
      <x:c r="G13157" s="13" t="str">
        <x:v>grid_wbaxp5t0.xlsx</x:v>
      </x:c>
    </x:row>
    <x:row r="13158">
      <x:c r="A13158" s="15" t="n">
        <x:v>45962</x:v>
      </x:c>
      <x:c r="B13158" s="13" t="str">
        <x:v>MRV ENGENHARIA</x:v>
      </x:c>
      <x:c r="C13158" s="16" t="n">
        <x:v>602.2361643836</x:v>
      </x:c>
      <x:c r="D13158" s="13" t="str">
        <x:v>Homebuilders</x:v>
      </x:c>
      <x:c r="E13158" s="13" t="str">
        <x:v>Real Estate</x:v>
      </x:c>
      <x:c r="F13158" s="13" t="str">
        <x:v>Early Cyclicals</x:v>
      </x:c>
      <x:c r="G13158" s="13" t="str">
        <x:v>grid_wbaxp5t0.xlsx</x:v>
      </x:c>
    </x:row>
    <x:row r="13159">
      <x:c r="A13159" s="15" t="n">
        <x:v>45962</x:v>
      </x:c>
      <x:c r="B13159" s="13" t="str">
        <x:v>ALLOS SA</x:v>
      </x:c>
      <x:c r="C13159" s="16" t="n">
        <x:v>864.5057825315</x:v>
      </x:c>
      <x:c r="D13159" s="13" t="str">
        <x:v>Income Properties</x:v>
      </x:c>
      <x:c r="E13159" s="13" t="str">
        <x:v>Real Estate</x:v>
      </x:c>
      <x:c r="F13159" s="13" t="str">
        <x:v>Early Cyclicals</x:v>
      </x:c>
      <x:c r="G13159" s="13" t="str">
        <x:v>grid_wbaxp5t0.xlsx</x:v>
      </x:c>
    </x:row>
    <x:row r="13160">
      <x:c r="A13160" s="15" t="n">
        <x:v>45962</x:v>
      </x:c>
      <x:c r="B13160" s="13" t="str">
        <x:v>IGUATEMI SA - UNITS</x:v>
      </x:c>
      <x:c r="C13160" s="16" t="n">
        <x:v>597.2325131397</x:v>
      </x:c>
      <x:c r="D13160" s="13" t="str">
        <x:v>Income Properties</x:v>
      </x:c>
      <x:c r="E13160" s="13" t="str">
        <x:v>Real Estate</x:v>
      </x:c>
      <x:c r="F13160" s="13" t="str">
        <x:v>Early Cyclicals</x:v>
      </x:c>
      <x:c r="G13160" s="13" t="str">
        <x:v>grid_wbaxp5t0.xlsx</x:v>
      </x:c>
    </x:row>
    <x:row r="13161">
      <x:c r="A13161" s="15" t="n">
        <x:v>45962</x:v>
      </x:c>
      <x:c r="B13161" s="13" t="str">
        <x:v>MULTIPLAN EMPREENDIMENTOS</x:v>
      </x:c>
      <x:c r="C13161" s="16" t="n">
        <x:v>1089.211423211</x:v>
      </x:c>
      <x:c r="D13161" s="13" t="str">
        <x:v>Income Properties</x:v>
      </x:c>
      <x:c r="E13161" s="13" t="str">
        <x:v>Real Estate</x:v>
      </x:c>
      <x:c r="F13161" s="13" t="str">
        <x:v>Early Cyclicals</x:v>
      </x:c>
      <x:c r="G13161" s="13" t="str">
        <x:v>grid_wbaxp5t0.xlsx</x:v>
      </x:c>
    </x:row>
    <x:row r="13162">
      <x:c r="A13162" s="15" t="n">
        <x:v>45962</x:v>
      </x:c>
      <x:c r="B13162" s="13" t="str">
        <x:v>BRADESPAR SA -PREF</x:v>
      </x:c>
      <x:c r="C13162" s="16" t="n">
        <x:v>1631.9013407562</x:v>
      </x:c>
      <x:c r="D13162" s="13" t="str">
        <x:v>Metals &amp; Mining</x:v>
      </x:c>
      <x:c r="E13162" s="13" t="str">
        <x:v>Metals &amp; Mining</x:v>
      </x:c>
      <x:c r="F13162" s="13" t="str">
        <x:v>Deep Cyclicals</x:v>
      </x:c>
      <x:c r="G13162" s="13" t="str">
        <x:v>grid_wbaxp5t0.xlsx</x:v>
      </x:c>
    </x:row>
    <x:row r="13163">
      <x:c r="A13163" s="15" t="n">
        <x:v>45962</x:v>
      </x:c>
      <x:c r="B13163" s="13" t="str">
        <x:v>CIA SIDERURGICA NACIONAL SA</x:v>
      </x:c>
      <x:c r="C13163" s="16" t="n">
        <x:v>615.8005411068</x:v>
      </x:c>
      <x:c r="D13163" s="13" t="str">
        <x:v>Metals &amp; Mining</x:v>
      </x:c>
      <x:c r="E13163" s="13" t="str">
        <x:v>Metals &amp; Mining</x:v>
      </x:c>
      <x:c r="F13163" s="13" t="str">
        <x:v>Deep Cyclicals</x:v>
      </x:c>
      <x:c r="G13163" s="13" t="str">
        <x:v>grid_wbaxp5t0.xlsx</x:v>
      </x:c>
    </x:row>
    <x:row r="13164">
      <x:c r="A13164" s="15" t="n">
        <x:v>45962</x:v>
      </x:c>
      <x:c r="B13164" s="13" t="str">
        <x:v>CSN MINERACAO SA</x:v>
      </x:c>
      <x:c r="C13164" s="16" t="n">
        <x:v>1713.793401337</x:v>
      </x:c>
      <x:c r="D13164" s="13" t="str">
        <x:v>Metals &amp; Mining</x:v>
      </x:c>
      <x:c r="E13164" s="13" t="str">
        <x:v>Metals &amp; Mining</x:v>
      </x:c>
      <x:c r="F13164" s="13" t="str">
        <x:v>Deep Cyclicals</x:v>
      </x:c>
      <x:c r="G13164" s="13" t="str">
        <x:v>grid_wbaxp5t0.xlsx</x:v>
      </x:c>
    </x:row>
    <x:row r="13165">
      <x:c r="A13165" s="15" t="n">
        <x:v>45962</x:v>
      </x:c>
      <x:c r="B13165" s="13" t="str">
        <x:v>GERDAU SA-PREF</x:v>
      </x:c>
      <x:c r="C13165" s="16" t="n">
        <x:v>4577.4696938959</x:v>
      </x:c>
      <x:c r="D13165" s="13" t="str">
        <x:v>Metals &amp; Mining</x:v>
      </x:c>
      <x:c r="E13165" s="13" t="str">
        <x:v>Metals &amp; Mining</x:v>
      </x:c>
      <x:c r="F13165" s="13" t="str">
        <x:v>Deep Cyclicals</x:v>
      </x:c>
      <x:c r="G13165" s="13" t="str">
        <x:v>grid_wbaxp5t0.xlsx</x:v>
      </x:c>
    </x:row>
    <x:row r="13166">
      <x:c r="A13166" s="15" t="n">
        <x:v>45962</x:v>
      </x:c>
      <x:c r="B13166" s="13" t="str">
        <x:v>METALURGICA GERDAU SA-PREF</x:v>
      </x:c>
      <x:c r="C13166" s="16" t="n">
        <x:v>1657.172544526</x:v>
      </x:c>
      <x:c r="D13166" s="13" t="str">
        <x:v>Metals &amp; Mining</x:v>
      </x:c>
      <x:c r="E13166" s="13" t="str">
        <x:v>Metals &amp; Mining</x:v>
      </x:c>
      <x:c r="F13166" s="13" t="str">
        <x:v>Deep Cyclicals</x:v>
      </x:c>
      <x:c r="G13166" s="13" t="str">
        <x:v>grid_wbaxp5t0.xlsx</x:v>
      </x:c>
    </x:row>
    <x:row r="13167">
      <x:c r="A13167" s="15" t="n">
        <x:v>45962</x:v>
      </x:c>
      <x:c r="B13167" s="13" t="str">
        <x:v>USINAS SIDER MINAS GER-PF A</x:v>
      </x:c>
      <x:c r="C13167" s="16" t="n">
        <x:v>413.4135886904</x:v>
      </x:c>
      <x:c r="D13167" s="13" t="str">
        <x:v>Metals &amp; Mining</x:v>
      </x:c>
      <x:c r="E13167" s="13" t="str">
        <x:v>Metals &amp; Mining</x:v>
      </x:c>
      <x:c r="F13167" s="13" t="str">
        <x:v>Deep Cyclicals</x:v>
      </x:c>
      <x:c r="G13167" s="13" t="str">
        <x:v>grid_wbaxp5t0.xlsx</x:v>
      </x:c>
    </x:row>
    <x:row r="13168">
      <x:c r="A13168" s="15" t="n">
        <x:v>45962</x:v>
      </x:c>
      <x:c r="B13168" s="13" t="str">
        <x:v>VALE SA</x:v>
      </x:c>
      <x:c r="C13168" s="16" t="n">
        <x:v>43502.4013283945</x:v>
      </x:c>
      <x:c r="D13168" s="13" t="str">
        <x:v>Metals &amp; Mining</x:v>
      </x:c>
      <x:c r="E13168" s="13" t="str">
        <x:v>Metals &amp; Mining</x:v>
      </x:c>
      <x:c r="F13168" s="13" t="str">
        <x:v>Deep Cyclicals</x:v>
      </x:c>
      <x:c r="G13168" s="13" t="str">
        <x:v>grid_wbaxp5t0.xlsx</x:v>
      </x:c>
    </x:row>
    <x:row r="13169">
      <x:c r="A13169" s="15" t="n">
        <x:v>45962</x:v>
      </x:c>
      <x:c r="B13169" s="13" t="str">
        <x:v>BRASKEM SA-PREF A</x:v>
      </x:c>
      <x:c r="C13169" s="16" t="n">
        <x:v>-2178.0465576329</x:v>
      </x:c>
      <x:c r="D13169" s="13" t="str">
        <x:v>Oil, Gas &amp; Petrochemicals</x:v>
      </x:c>
      <x:c r="E13169" s="13" t="str">
        <x:v>Oil, Gas &amp; Petrochemicals</x:v>
      </x:c>
      <x:c r="F13169" s="13" t="str">
        <x:v>Deep Cyclicals</x:v>
      </x:c>
      <x:c r="G13169" s="13" t="str">
        <x:v>grid_wbaxp5t0.xlsx</x:v>
      </x:c>
    </x:row>
    <x:row r="13170">
      <x:c r="A13170" s="15" t="n">
        <x:v>45962</x:v>
      </x:c>
      <x:c r="B13170" s="13" t="str">
        <x:v>BRAVA ENERGIA</x:v>
      </x:c>
      <x:c r="C13170" s="16" t="n">
        <x:v>1319.6725858192</x:v>
      </x:c>
      <x:c r="D13170" s="13" t="str">
        <x:v>Oil, Gas &amp; Petrochemicals</x:v>
      </x:c>
      <x:c r="E13170" s="13" t="str">
        <x:v>Oil, Gas &amp; Petrochemicals</x:v>
      </x:c>
      <x:c r="F13170" s="13" t="str">
        <x:v>Deep Cyclicals</x:v>
      </x:c>
      <x:c r="G13170" s="13" t="str">
        <x:v>grid_wbaxp5t0.xlsx</x:v>
      </x:c>
    </x:row>
    <x:row r="13171">
      <x:c r="A13171" s="15" t="n">
        <x:v>45962</x:v>
      </x:c>
      <x:c r="B13171" s="13" t="str">
        <x:v>COSAN SA</x:v>
      </x:c>
      <x:c r="C13171" s="16" t="n">
        <x:v>3118.0125773151</x:v>
      </x:c>
      <x:c r="D13171" s="13" t="str">
        <x:v>Oil, Gas &amp; Petrochemicals</x:v>
      </x:c>
      <x:c r="E13171" s="13" t="str">
        <x:v>Oil, Gas &amp; Petrochemicals</x:v>
      </x:c>
      <x:c r="F13171" s="13" t="str">
        <x:v>Deep Cyclicals</x:v>
      </x:c>
      <x:c r="G13171" s="13" t="str">
        <x:v>grid_wbaxp5t0.xlsx</x:v>
      </x:c>
    </x:row>
    <x:row r="13172">
      <x:c r="A13172" s="15" t="n">
        <x:v>45962</x:v>
      </x:c>
      <x:c r="B13172" s="13" t="str">
        <x:v>PETROBRAS - PETROLEO BRAS</x:v>
      </x:c>
      <x:c r="C13172" s="16" t="n">
        <x:v>74888.7818015562</x:v>
      </x:c>
      <x:c r="D13172" s="13" t="str">
        <x:v>Oil, Gas &amp; Petrochemicals</x:v>
      </x:c>
      <x:c r="E13172" s="13" t="str">
        <x:v>Oil, Gas &amp; Petrochemicals</x:v>
      </x:c>
      <x:c r="F13172" s="13" t="str">
        <x:v>Deep Cyclicals</x:v>
      </x:c>
      <x:c r="G13172" s="13" t="str">
        <x:v>grid_wbaxp5t0.xlsx</x:v>
      </x:c>
    </x:row>
    <x:row r="13173">
      <x:c r="A13173" s="15" t="n">
        <x:v>45962</x:v>
      </x:c>
      <x:c r="B13173" s="13" t="str">
        <x:v>PETRORECONCAVO SA</x:v>
      </x:c>
      <x:c r="C13173" s="16" t="n">
        <x:v>557.4767123288</x:v>
      </x:c>
      <x:c r="D13173" s="13" t="str">
        <x:v>Oil, Gas &amp; Petrochemicals</x:v>
      </x:c>
      <x:c r="E13173" s="13" t="str">
        <x:v>Oil, Gas &amp; Petrochemicals</x:v>
      </x:c>
      <x:c r="F13173" s="13" t="str">
        <x:v>Deep Cyclicals</x:v>
      </x:c>
      <x:c r="G13173" s="13" t="str">
        <x:v>grid_wbaxp5t0.xlsx</x:v>
      </x:c>
    </x:row>
    <x:row r="13174">
      <x:c r="A13174" s="15" t="n">
        <x:v>45962</x:v>
      </x:c>
      <x:c r="B13174" s="13" t="str">
        <x:v>PRIO SA</x:v>
      </x:c>
      <x:c r="C13174" s="16" t="n">
        <x:v>5236.0928326137</x:v>
      </x:c>
      <x:c r="D13174" s="13" t="str">
        <x:v>Oil, Gas &amp; Petrochemicals</x:v>
      </x:c>
      <x:c r="E13174" s="13" t="str">
        <x:v>Oil, Gas &amp; Petrochemicals</x:v>
      </x:c>
      <x:c r="F13174" s="13" t="str">
        <x:v>Deep Cyclicals</x:v>
      </x:c>
      <x:c r="G13174" s="13" t="str">
        <x:v>grid_wbaxp5t0.xlsx</x:v>
      </x:c>
    </x:row>
    <x:row r="13175">
      <x:c r="A13175" s="15" t="n">
        <x:v>45962</x:v>
      </x:c>
      <x:c r="B13175" s="13" t="str">
        <x:v>ULTRAPAR PARTICIPACOES SA</x:v>
      </x:c>
      <x:c r="C13175" s="16" t="n">
        <x:v>2286.5166293918</x:v>
      </x:c>
      <x:c r="D13175" s="13" t="str">
        <x:v>Oil, Gas &amp; Petrochemicals</x:v>
      </x:c>
      <x:c r="E13175" s="13" t="str">
        <x:v>Oil, Gas &amp; Petrochemicals</x:v>
      </x:c>
      <x:c r="F13175" s="13" t="str">
        <x:v>Deep Cyclicals</x:v>
      </x:c>
      <x:c r="G13175" s="13" t="str">
        <x:v>grid_wbaxp5t0.xlsx</x:v>
      </x:c>
    </x:row>
    <x:row r="13176">
      <x:c r="A13176" s="15" t="n">
        <x:v>45962</x:v>
      </x:c>
      <x:c r="B13176" s="13" t="str">
        <x:v>VIBRA ENERGIA SA</x:v>
      </x:c>
      <x:c r="C13176" s="16" t="n">
        <x:v>2541.364109326</x:v>
      </x:c>
      <x:c r="D13176" s="13" t="str">
        <x:v>Oil, Gas &amp; Petrochemicals</x:v>
      </x:c>
      <x:c r="E13176" s="13" t="str">
        <x:v>Oil, Gas &amp; Petrochemicals</x:v>
      </x:c>
      <x:c r="F13176" s="13" t="str">
        <x:v>Deep Cyclicals</x:v>
      </x:c>
      <x:c r="G13176" s="13" t="str">
        <x:v>grid_wbaxp5t0.xlsx</x:v>
      </x:c>
    </x:row>
    <x:row r="13177">
      <x:c r="A13177" s="15" t="n">
        <x:v>45962</x:v>
      </x:c>
      <x:c r="B13177" s="13" t="str">
        <x:v>KLABIN SA - UNIT</x:v>
      </x:c>
      <x:c r="C13177" s="16" t="n">
        <x:v>1918.1346735342</x:v>
      </x:c>
      <x:c r="D13177" s="13" t="str">
        <x:v>Pulp &amp; Paper</x:v>
      </x:c>
      <x:c r="E13177" s="13" t="str">
        <x:v>Pulp &amp; Paper</x:v>
      </x:c>
      <x:c r="F13177" s="13" t="str">
        <x:v>Deep Cyclicals</x:v>
      </x:c>
      <x:c r="G13177" s="13" t="str">
        <x:v>grid_wbaxp5t0.xlsx</x:v>
      </x:c>
    </x:row>
    <x:row r="13178">
      <x:c r="A13178" s="15" t="n">
        <x:v>45962</x:v>
      </x:c>
      <x:c r="B13178" s="13" t="str">
        <x:v>SUZANO SA</x:v>
      </x:c>
      <x:c r="C13178" s="16" t="n">
        <x:v>8618.0502738411</x:v>
      </x:c>
      <x:c r="D13178" s="13" t="str">
        <x:v>Pulp &amp; Paper</x:v>
      </x:c>
      <x:c r="E13178" s="13" t="str">
        <x:v>Pulp &amp; Paper</x:v>
      </x:c>
      <x:c r="F13178" s="13" t="str">
        <x:v>Deep Cyclicals</x:v>
      </x:c>
      <x:c r="G13178" s="13" t="str">
        <x:v>grid_wbaxp5t0.xlsx</x:v>
      </x:c>
    </x:row>
    <x:row r="13179">
      <x:c r="A13179" s="15" t="n">
        <x:v>45962</x:v>
      </x:c>
      <x:c r="B13179" s="13" t="str">
        <x:v>AZZAS 2154 SA</x:v>
      </x:c>
      <x:c r="C13179" s="16" t="n">
        <x:v>906.1053811726</x:v>
      </x:c>
      <x:c r="D13179" s="13" t="str">
        <x:v>Retail</x:v>
      </x:c>
      <x:c r="E13179" s="13" t="str">
        <x:v>Retail</x:v>
      </x:c>
      <x:c r="F13179" s="13" t="str">
        <x:v>Early Cyclicals</x:v>
      </x:c>
      <x:c r="G13179" s="13" t="str">
        <x:v>grid_wbaxp5t0.xlsx</x:v>
      </x:c>
    </x:row>
    <x:row r="13180">
      <x:c r="A13180" s="15" t="n">
        <x:v>45962</x:v>
      </x:c>
      <x:c r="B13180" s="13" t="str">
        <x:v>C&amp;A MODAS LTDA</x:v>
      </x:c>
      <x:c r="C13180" s="16" t="n">
        <x:v>570.6557625863</x:v>
      </x:c>
      <x:c r="D13180" s="13" t="str">
        <x:v>Retail</x:v>
      </x:c>
      <x:c r="E13180" s="13" t="str">
        <x:v>Retail</x:v>
      </x:c>
      <x:c r="F13180" s="13" t="str">
        <x:v>Early Cyclicals</x:v>
      </x:c>
      <x:c r="G13180" s="13" t="str">
        <x:v>grid_wbaxp5t0.xlsx</x:v>
      </x:c>
    </x:row>
    <x:row r="13181">
      <x:c r="A13181" s="15" t="n">
        <x:v>45962</x:v>
      </x:c>
      <x:c r="B13181" s="13" t="str">
        <x:v>CIA BRASILEIRA DE DISTRIBUIC</x:v>
      </x:c>
      <x:c r="C13181" s="16" t="n">
        <x:v>-388.6232803945</x:v>
      </x:c>
      <x:c r="D13181" s="13" t="str">
        <x:v>Retail</x:v>
      </x:c>
      <x:c r="E13181" s="13" t="str">
        <x:v>Retail</x:v>
      </x:c>
      <x:c r="F13181" s="13" t="str">
        <x:v>Early Cyclicals</x:v>
      </x:c>
      <x:c r="G13181" s="13" t="str">
        <x:v>grid_wbaxp5t0.xlsx</x:v>
      </x:c>
    </x:row>
    <x:row r="13182">
      <x:c r="A13182" s="15" t="n">
        <x:v>45962</x:v>
      </x:c>
      <x:c r="B13182" s="13" t="str">
        <x:v>CVC BRASIL OPERADORA E AGENC</x:v>
      </x:c>
      <x:c r="C13182" s="16" t="n">
        <x:v>37.6466969863</x:v>
      </x:c>
      <x:c r="D13182" s="13" t="str">
        <x:v>Retail</x:v>
      </x:c>
      <x:c r="E13182" s="13" t="str">
        <x:v>Retail</x:v>
      </x:c>
      <x:c r="F13182" s="13" t="str">
        <x:v>Early Cyclicals</x:v>
      </x:c>
      <x:c r="G13182" s="13" t="str">
        <x:v>grid_wbaxp5t0.xlsx</x:v>
      </x:c>
    </x:row>
    <x:row r="13183">
      <x:c r="A13183" s="15" t="n">
        <x:v>45962</x:v>
      </x:c>
      <x:c r="B13183" s="13" t="str">
        <x:v>LOJAS RENNER S.A.</x:v>
      </x:c>
      <x:c r="C13183" s="16" t="n">
        <x:v>1627.9000288438</x:v>
      </x:c>
      <x:c r="D13183" s="13" t="str">
        <x:v>Retail</x:v>
      </x:c>
      <x:c r="E13183" s="13" t="str">
        <x:v>Retail</x:v>
      </x:c>
      <x:c r="F13183" s="13" t="str">
        <x:v>Early Cyclicals</x:v>
      </x:c>
      <x:c r="G13183" s="13" t="str">
        <x:v>grid_wbaxp5t0.xlsx</x:v>
      </x:c>
    </x:row>
    <x:row r="13184">
      <x:c r="A13184" s="15" t="n">
        <x:v>45962</x:v>
      </x:c>
      <x:c r="B13184" s="13" t="str">
        <x:v>MAGAZINE LUIZA SA</x:v>
      </x:c>
      <x:c r="C13184" s="16" t="n">
        <x:v>346.0057534247</x:v>
      </x:c>
      <x:c r="D13184" s="13" t="str">
        <x:v>Retail</x:v>
      </x:c>
      <x:c r="E13184" s="13" t="str">
        <x:v>Retail</x:v>
      </x:c>
      <x:c r="F13184" s="13" t="str">
        <x:v>Early Cyclicals</x:v>
      </x:c>
      <x:c r="G13184" s="13" t="str">
        <x:v>grid_wbaxp5t0.xlsx</x:v>
      </x:c>
    </x:row>
    <x:row r="13185">
      <x:c r="A13185" s="15" t="n">
        <x:v>45962</x:v>
      </x:c>
      <x:c r="B13185" s="13" t="str">
        <x:v>NATURA COSMETICOS SA</x:v>
      </x:c>
      <x:c r="C13185" s="16" t="n">
        <x:v>1259.3444529096</x:v>
      </x:c>
      <x:c r="D13185" s="13" t="str">
        <x:v>Retail</x:v>
      </x:c>
      <x:c r="E13185" s="13" t="str">
        <x:v>Retail</x:v>
      </x:c>
      <x:c r="F13185" s="13" t="str">
        <x:v>Early Cyclicals</x:v>
      </x:c>
      <x:c r="G13185" s="13" t="str">
        <x:v>grid_wbaxp5t0.xlsx</x:v>
      </x:c>
    </x:row>
    <x:row r="13186">
      <x:c r="A13186" s="15" t="n">
        <x:v>45962</x:v>
      </x:c>
      <x:c r="B13186" s="13" t="str">
        <x:v>RAIA DROGASIL SA</x:v>
      </x:c>
      <x:c r="C13186" s="16" t="n">
        <x:v>1614.6775916712</x:v>
      </x:c>
      <x:c r="D13186" s="13" t="str">
        <x:v>Retail</x:v>
      </x:c>
      <x:c r="E13186" s="13" t="str">
        <x:v>Retail</x:v>
      </x:c>
      <x:c r="F13186" s="13" t="str">
        <x:v>Early Cyclicals</x:v>
      </x:c>
      <x:c r="G13186" s="13" t="str">
        <x:v>grid_wbaxp5t0.xlsx</x:v>
      </x:c>
    </x:row>
    <x:row r="13187">
      <x:c r="A13187" s="15" t="n">
        <x:v>45962</x:v>
      </x:c>
      <x:c r="B13187" s="13" t="str">
        <x:v>SENDAS DISTRIBUIDORA SA</x:v>
      </x:c>
      <x:c r="C13187" s="16" t="n">
        <x:v>984.0066012932</x:v>
      </x:c>
      <x:c r="D13187" s="13" t="str">
        <x:v>Retail</x:v>
      </x:c>
      <x:c r="E13187" s="13" t="str">
        <x:v>Retail</x:v>
      </x:c>
      <x:c r="F13187" s="13" t="str">
        <x:v>Early Cyclicals</x:v>
      </x:c>
      <x:c r="G13187" s="13" t="str">
        <x:v>grid_wbaxp5t0.xlsx</x:v>
      </x:c>
    </x:row>
    <x:row r="13188">
      <x:c r="A13188" s="15" t="n">
        <x:v>45962</x:v>
      </x:c>
      <x:c r="B13188" s="13" t="str">
        <x:v>SMARTFIT - ORDINARY</x:v>
      </x:c>
      <x:c r="C13188" s="16" t="n">
        <x:v>971.5879452055</x:v>
      </x:c>
      <x:c r="D13188" s="13" t="str">
        <x:v>Retail</x:v>
      </x:c>
      <x:c r="E13188" s="13" t="str">
        <x:v>Retail</x:v>
      </x:c>
      <x:c r="F13188" s="13" t="str">
        <x:v>Early Cyclicals</x:v>
      </x:c>
      <x:c r="G13188" s="13" t="str">
        <x:v>grid_wbaxp5t0.xlsx</x:v>
      </x:c>
    </x:row>
    <x:row r="13189">
      <x:c r="A13189" s="15" t="n">
        <x:v>45962</x:v>
      </x:c>
      <x:c r="B13189" s="13" t="str">
        <x:v>VIVARA PARTICIPACOES SA</x:v>
      </x:c>
      <x:c r="C13189" s="16" t="n">
        <x:v>724.5584892493</x:v>
      </x:c>
      <x:c r="D13189" s="13" t="str">
        <x:v>Retail</x:v>
      </x:c>
      <x:c r="E13189" s="13" t="str">
        <x:v>Retail</x:v>
      </x:c>
      <x:c r="F13189" s="13" t="str">
        <x:v>Early Cyclicals</x:v>
      </x:c>
      <x:c r="G13189" s="13" t="str">
        <x:v>grid_wbaxp5t0.xlsx</x:v>
      </x:c>
    </x:row>
    <x:row r="13190">
      <x:c r="A13190" s="15" t="n">
        <x:v>45962</x:v>
      </x:c>
      <x:c r="B13190" s="13" t="str">
        <x:v>CIA SANEAMENTO BASICO DE SP</x:v>
      </x:c>
      <x:c r="C13190" s="16" t="n">
        <x:v>6987.4664602301</x:v>
      </x:c>
      <x:c r="D13190" s="13" t="str">
        <x:v>Sanitation</x:v>
      </x:c>
      <x:c r="E13190" s="13" t="str">
        <x:v>Utilities</x:v>
      </x:c>
      <x:c r="F13190" s="13" t="str">
        <x:v>Defensives</x:v>
      </x:c>
      <x:c r="G13190" s="13" t="str">
        <x:v>grid_wbaxp5t0.xlsx</x:v>
      </x:c>
    </x:row>
    <x:row r="13191">
      <x:c r="A13191" s="15" t="n">
        <x:v>45962</x:v>
      </x:c>
      <x:c r="B13191" s="13" t="str">
        <x:v>TIM SA</x:v>
      </x:c>
      <x:c r="C13191" s="16" t="n">
        <x:v>4451.455488</x:v>
      </x:c>
      <x:c r="D13191" s="13" t="str">
        <x:v>TMT</x:v>
      </x:c>
      <x:c r="E13191" s="13" t="str">
        <x:v>TMT</x:v>
      </x:c>
      <x:c r="F13191" s="13" t="str">
        <x:v>Early Cyclicals</x:v>
      </x:c>
      <x:c r="G13191" s="13" t="str">
        <x:v>grid_wbaxp5t0.xlsx</x:v>
      </x:c>
    </x:row>
    <x:row r="13192">
      <x:c r="A13192" s="15" t="n">
        <x:v>45962</x:v>
      </x:c>
      <x:c r="B13192" s="13" t="str">
        <x:v>TOTVS SA</x:v>
      </x:c>
      <x:c r="C13192" s="16" t="n">
        <x:v>1104.7890265425</x:v>
      </x:c>
      <x:c r="D13192" s="13" t="str">
        <x:v>TMT</x:v>
      </x:c>
      <x:c r="E13192" s="13" t="str">
        <x:v>TMT</x:v>
      </x:c>
      <x:c r="F13192" s="13" t="str">
        <x:v>Early Cyclicals</x:v>
      </x:c>
      <x:c r="G13192" s="13" t="str">
        <x:v>grid_wbaxp5t0.xlsx</x:v>
      </x:c>
    </x:row>
    <x:row r="13193">
      <x:c r="A13193" s="15" t="n">
        <x:v>45962</x:v>
      </x:c>
      <x:c r="B13193" s="13" t="str">
        <x:v>LOCALIZA RENT A CAR</x:v>
      </x:c>
      <x:c r="C13193" s="16" t="n">
        <x:v>4123.0082076055</x:v>
      </x:c>
      <x:c r="D13193" s="13" t="str">
        <x:v>Transportation</x:v>
      </x:c>
      <x:c r="E13193" s="13" t="str">
        <x:v>Transportation</x:v>
      </x:c>
      <x:c r="F13193" s="13" t="str">
        <x:v>Deep Cyclicals</x:v>
      </x:c>
      <x:c r="G13193" s="13" t="str">
        <x:v>grid_wbaxp5t0.xlsx</x:v>
      </x:c>
    </x:row>
    <x:row r="13194">
      <x:c r="A13194" s="15" t="n">
        <x:v>45962</x:v>
      </x:c>
      <x:c r="B13194" s="13" t="str">
        <x:v>MOTIVA INFRAESTRUTURA DE MOB</x:v>
      </x:c>
      <x:c r="C13194" s="16" t="n">
        <x:v>2456.2312037699</x:v>
      </x:c>
      <x:c r="D13194" s="13" t="str">
        <x:v>Transportation</x:v>
      </x:c>
      <x:c r="E13194" s="13" t="str">
        <x:v>Transportation</x:v>
      </x:c>
      <x:c r="F13194" s="13" t="str">
        <x:v>Deep Cyclicals</x:v>
      </x:c>
      <x:c r="G13194" s="13" t="str">
        <x:v>grid_wbaxp5t0.xlsx</x:v>
      </x:c>
    </x:row>
    <x:row r="13195">
      <x:c r="A13195" s="15" t="n">
        <x:v>45962</x:v>
      </x:c>
      <x:c r="B13195" s="13" t="str">
        <x:v>RUMO SA</x:v>
      </x:c>
      <x:c r="C13195" s="16" t="n">
        <x:v>2254.3859606794</x:v>
      </x:c>
      <x:c r="D13195" s="13" t="str">
        <x:v>Transportation</x:v>
      </x:c>
      <x:c r="E13195" s="13" t="str">
        <x:v>Transportation</x:v>
      </x:c>
      <x:c r="F13195" s="13" t="str">
        <x:v>Deep Cyclicals</x:v>
      </x:c>
      <x:c r="G13195" s="13" t="str">
        <x:v>grid_wbaxp5t0.xlsx</x:v>
      </x:c>
    </x:row>
    <x:row r="13196">
      <x:c r="A13196" s="15" t="n">
        <x:v>45962</x:v>
      </x:c>
      <x:c r="B13196" s="13" t="str">
        <x:v>VAMOS LOCACAO DE CAMINHOES M</x:v>
      </x:c>
      <x:c r="C13196" s="16" t="n">
        <x:v>565.8688804822</x:v>
      </x:c>
      <x:c r="D13196" s="13" t="str">
        <x:v>Transportation</x:v>
      </x:c>
      <x:c r="E13196" s="13" t="str">
        <x:v>Transportation</x:v>
      </x:c>
      <x:c r="F13196" s="13" t="str">
        <x:v>Deep Cyclicals</x:v>
      </x:c>
      <x:c r="G13196" s="13" t="str">
        <x:v>grid_wbaxp5t0.xlsx</x:v>
      </x:c>
    </x:row>
    <x:row r="13197">
      <x:c r="A13197" s="15" t="n">
        <x:v>45962</x:v>
      </x:c>
      <x:c r="B13197" s="13" t="str">
        <x:v>AUREN ENERGIA SA - ON</x:v>
      </x:c>
      <x:c r="C13197" s="16" t="n">
        <x:v>-344.9185716603</x:v>
      </x:c>
      <x:c r="D13197" s="13" t="str">
        <x:v>Utilities &amp; Energy</x:v>
      </x:c>
      <x:c r="E13197" s="13" t="str">
        <x:v>Utilities</x:v>
      </x:c>
      <x:c r="F13197" s="13" t="str">
        <x:v>Defensives</x:v>
      </x:c>
      <x:c r="G13197" s="13" t="str">
        <x:v>grid_wbaxp5t0.xlsx</x:v>
      </x:c>
    </x:row>
    <x:row r="13198">
      <x:c r="A13198" s="15" t="n">
        <x:v>45962</x:v>
      </x:c>
      <x:c r="B13198" s="13" t="str">
        <x:v>AXIA ENERGIA SA</x:v>
      </x:c>
      <x:c r="C13198" s="16" t="n">
        <x:v>9179.8144680329</x:v>
      </x:c>
      <x:c r="D13198" s="13" t="str">
        <x:v>Utilities &amp; Energy</x:v>
      </x:c>
      <x:c r="E13198" s="13" t="str">
        <x:v>Utilities</x:v>
      </x:c>
      <x:c r="F13198" s="13" t="str">
        <x:v>Defensives</x:v>
      </x:c>
      <x:c r="G13198" s="13" t="str">
        <x:v>grid_wbaxp5t0.xlsx</x:v>
      </x:c>
    </x:row>
    <x:row r="13199">
      <x:c r="A13199" s="15" t="n">
        <x:v>45962</x:v>
      </x:c>
      <x:c r="B13199" s="13" t="str">
        <x:v>AXIA ENERGIA-PR B</x:v>
      </x:c>
      <x:c r="C13199" s="16" t="n">
        <x:v>9179.8144680329</x:v>
      </x:c>
      <x:c r="D13199" s="13" t="str">
        <x:v>Utilities &amp; Energy</x:v>
      </x:c>
      <x:c r="E13199" s="13" t="str">
        <x:v>Utilities</x:v>
      </x:c>
      <x:c r="F13199" s="13" t="str">
        <x:v>Defensives</x:v>
      </x:c>
      <x:c r="G13199" s="13" t="str">
        <x:v>grid_wbaxp5t0.xlsx</x:v>
      </x:c>
    </x:row>
    <x:row r="13200">
      <x:c r="A13200" s="15" t="n">
        <x:v>45962</x:v>
      </x:c>
      <x:c r="B13200" s="13" t="str">
        <x:v>CIA ENERGETICA MINAS GER-PRF</x:v>
      </x:c>
      <x:c r="C13200" s="16" t="n">
        <x:v>4146.9116717589</x:v>
      </x:c>
      <x:c r="D13200" s="13" t="str">
        <x:v>Utilities &amp; Energy</x:v>
      </x:c>
      <x:c r="E13200" s="13" t="str">
        <x:v>Utilities</x:v>
      </x:c>
      <x:c r="F13200" s="13" t="str">
        <x:v>Defensives</x:v>
      </x:c>
      <x:c r="G13200" s="13" t="str">
        <x:v>grid_wbaxp5t0.xlsx</x:v>
      </x:c>
    </x:row>
    <x:row r="13201">
      <x:c r="A13201" s="15" t="n">
        <x:v>45962</x:v>
      </x:c>
      <x:c r="B13201" s="13" t="str">
        <x:v>CPFL ENERGIA SA</x:v>
      </x:c>
      <x:c r="C13201" s="16" t="n">
        <x:v>4990.508716537</x:v>
      </x:c>
      <x:c r="D13201" s="13" t="str">
        <x:v>Utilities &amp; Energy</x:v>
      </x:c>
      <x:c r="E13201" s="13" t="str">
        <x:v>Utilities</x:v>
      </x:c>
      <x:c r="F13201" s="13" t="str">
        <x:v>Defensives</x:v>
      </x:c>
      <x:c r="G13201" s="13" t="str">
        <x:v>grid_wbaxp5t0.xlsx</x:v>
      </x:c>
    </x:row>
    <x:row r="13202">
      <x:c r="A13202" s="15" t="n">
        <x:v>45962</x:v>
      </x:c>
      <x:c r="B13202" s="13" t="str">
        <x:v>ENERGISA SA-UNITS</x:v>
      </x:c>
      <x:c r="C13202" s="16" t="n">
        <x:v>1642.1912355069</x:v>
      </x:c>
      <x:c r="D13202" s="13" t="str">
        <x:v>Utilities &amp; Energy</x:v>
      </x:c>
      <x:c r="E13202" s="13" t="str">
        <x:v>Utilities</x:v>
      </x:c>
      <x:c r="F13202" s="13" t="str">
        <x:v>Defensives</x:v>
      </x:c>
      <x:c r="G13202" s="13" t="str">
        <x:v>grid_wbaxp5t0.xlsx</x:v>
      </x:c>
    </x:row>
    <x:row r="13203">
      <x:c r="A13203" s="15" t="n">
        <x:v>45962</x:v>
      </x:c>
      <x:c r="B13203" s="13" t="str">
        <x:v>ENEVA SA</x:v>
      </x:c>
      <x:c r="C13203" s="16" t="n">
        <x:v>1159.6491099178</x:v>
      </x:c>
      <x:c r="D13203" s="13" t="str">
        <x:v>Utilities &amp; Energy</x:v>
      </x:c>
      <x:c r="E13203" s="13" t="str">
        <x:v>Utilities</x:v>
      </x:c>
      <x:c r="F13203" s="13" t="str">
        <x:v>Defensives</x:v>
      </x:c>
      <x:c r="G13203" s="13" t="str">
        <x:v>grid_wbaxp5t0.xlsx</x:v>
      </x:c>
    </x:row>
    <x:row r="13204">
      <x:c r="A13204" s="15" t="n">
        <x:v>45962</x:v>
      </x:c>
      <x:c r="B13204" s="13" t="str">
        <x:v>ENGIE BRASIL ENERGIA SA</x:v>
      </x:c>
      <x:c r="C13204" s="16" t="n">
        <x:v>3145.1920384</x:v>
      </x:c>
      <x:c r="D13204" s="13" t="str">
        <x:v>Utilities &amp; Energy</x:v>
      </x:c>
      <x:c r="E13204" s="13" t="str">
        <x:v>Utilities</x:v>
      </x:c>
      <x:c r="F13204" s="13" t="str">
        <x:v>Defensives</x:v>
      </x:c>
      <x:c r="G13204" s="13" t="str">
        <x:v>grid_wbaxp5t0.xlsx</x:v>
      </x:c>
    </x:row>
    <x:row r="13205">
      <x:c r="A13205" s="15" t="n">
        <x:v>45962</x:v>
      </x:c>
      <x:c r="B13205" s="13" t="str">
        <x:v>EQUATORIAL SA - ORD</x:v>
      </x:c>
      <x:c r="C13205" s="16" t="n">
        <x:v>3824.7740394959</x:v>
      </x:c>
      <x:c r="D13205" s="13" t="str">
        <x:v>Utilities &amp; Energy</x:v>
      </x:c>
      <x:c r="E13205" s="13" t="str">
        <x:v>Utilities</x:v>
      </x:c>
      <x:c r="F13205" s="13" t="str">
        <x:v>Defensives</x:v>
      </x:c>
      <x:c r="G13205" s="13" t="str">
        <x:v>grid_wbaxp5t0.xlsx</x:v>
      </x:c>
    </x:row>
    <x:row r="13206">
      <x:c r="A13206" s="15" t="n">
        <x:v>45962</x:v>
      </x:c>
      <x:c r="B13206" s="13" t="str">
        <x:v>ISA ENERGIA BRASIL SA</x:v>
      </x:c>
      <x:c r="C13206" s="16" t="n">
        <x:v>1345.5549906411</x:v>
      </x:c>
      <x:c r="D13206" s="13" t="str">
        <x:v>Utilities &amp; Energy</x:v>
      </x:c>
      <x:c r="E13206" s="13" t="str">
        <x:v>Utilities</x:v>
      </x:c>
      <x:c r="F13206" s="13" t="str">
        <x:v>Defensives</x:v>
      </x:c>
      <x:c r="G13206" s="13" t="str">
        <x:v>grid_wbaxp5t0.xlsx</x:v>
      </x:c>
    </x:row>
    <x:row r="13207">
      <x:c r="A13207" s="15" t="n">
        <x:v>45962</x:v>
      </x:c>
      <x:c r="B13207" s="13" t="str">
        <x:v>TRANSMISSORA ALIANCA DE-UNIT</x:v>
      </x:c>
      <x:c r="C13207" s="16" t="n">
        <x:v>1217.3590833096</x:v>
      </x:c>
      <x:c r="D13207" s="13" t="str">
        <x:v>Utilities &amp; Energy</x:v>
      </x:c>
      <x:c r="E13207" s="13" t="str">
        <x:v>Utilities</x:v>
      </x:c>
      <x:c r="F13207" s="13" t="str">
        <x:v>Defensives</x:v>
      </x:c>
      <x:c r="G13207" s="13" t="str">
        <x:v>grid_wbaxp5t0.xlsx</x:v>
      </x:c>
    </x:row>
    <x:row r="13208">
      <x:c r="A13208" s="15" t="n">
        <x:v>45992</x:v>
      </x:c>
      <x:c r="B13208" s="13" t="str">
        <x:v>RAIZEN SA - PREFERENCE</x:v>
      </x:c>
      <x:c r="C13208" s="16" t="n">
        <x:v>-1875.8109825753</x:v>
      </x:c>
      <x:c r="D13208" s="13" t="str">
        <x:v>Agribusiness</x:v>
      </x:c>
      <x:c r="E13208" s="13" t="str">
        <x:v>Agri, Food &amp; Beverages</x:v>
      </x:c>
      <x:c r="F13208" s="13" t="str">
        <x:v>Defensives</x:v>
      </x:c>
      <x:c r="G13208" s="13" t="str">
        <x:v>grid_wbaxp5t0.xlsx</x:v>
      </x:c>
    </x:row>
    <x:row r="13209">
      <x:c r="A13209" s="15" t="n">
        <x:v>45992</x:v>
      </x:c>
      <x:c r="B13209" s="13" t="str">
        <x:v>SLC AGRICOLA SA</x:v>
      </x:c>
      <x:c r="C13209" s="16" t="n">
        <x:v>705.332992</x:v>
      </x:c>
      <x:c r="D13209" s="13" t="str">
        <x:v>Agribusiness</x:v>
      </x:c>
      <x:c r="E13209" s="13" t="str">
        <x:v>Agri, Food &amp; Beverages</x:v>
      </x:c>
      <x:c r="F13209" s="13" t="str">
        <x:v>Defensives</x:v>
      </x:c>
      <x:c r="G13209" s="13" t="str">
        <x:v>grid_wbaxp5t0.xlsx</x:v>
      </x:c>
    </x:row>
    <x:row r="13210">
      <x:c r="A13210" s="15" t="n">
        <x:v>45992</x:v>
      </x:c>
      <x:c r="B13210" s="13" t="str">
        <x:v>BANCO BRADESCO S.A.</x:v>
      </x:c>
      <x:c r="C13210" s="16" t="n">
        <x:v>29023.299584</x:v>
      </x:c>
      <x:c r="D13210" s="13" t="str">
        <x:v>Banks</x:v>
      </x:c>
      <x:c r="E13210" s="13" t="str">
        <x:v>Banks</x:v>
      </x:c>
      <x:c r="F13210" s="13" t="str">
        <x:v>Financials</x:v>
      </x:c>
      <x:c r="G13210" s="13" t="str">
        <x:v>grid_wbaxp5t0.xlsx</x:v>
      </x:c>
    </x:row>
    <x:row r="13211">
      <x:c r="A13211" s="15" t="n">
        <x:v>45992</x:v>
      </x:c>
      <x:c r="B13211" s="13" t="str">
        <x:v>BANCO BRADESCO SA-PREF</x:v>
      </x:c>
      <x:c r="C13211" s="16" t="n">
        <x:v>29023.299584</x:v>
      </x:c>
      <x:c r="D13211" s="13" t="str">
        <x:v>Banks</x:v>
      </x:c>
      <x:c r="E13211" s="13" t="str">
        <x:v>Banks</x:v>
      </x:c>
      <x:c r="F13211" s="13" t="str">
        <x:v>Financials</x:v>
      </x:c>
      <x:c r="G13211" s="13" t="str">
        <x:v>grid_wbaxp5t0.xlsx</x:v>
      </x:c>
    </x:row>
    <x:row r="13212">
      <x:c r="A13212" s="15" t="n">
        <x:v>45992</x:v>
      </x:c>
      <x:c r="B13212" s="13" t="str">
        <x:v>BANCO BTG PACTUAL SA-UNIT</x:v>
      </x:c>
      <x:c r="C13212" s="16" t="n">
        <x:v>18943.500288</x:v>
      </x:c>
      <x:c r="D13212" s="13" t="str">
        <x:v>Banks</x:v>
      </x:c>
      <x:c r="E13212" s="13" t="str">
        <x:v>Banks</x:v>
      </x:c>
      <x:c r="F13212" s="13" t="str">
        <x:v>Financials</x:v>
      </x:c>
      <x:c r="G13212" s="13" t="str">
        <x:v>grid_wbaxp5t0.xlsx</x:v>
      </x:c>
    </x:row>
    <x:row r="13213">
      <x:c r="A13213" s="15" t="n">
        <x:v>45992</x:v>
      </x:c>
      <x:c r="B13213" s="13" t="str">
        <x:v>BANCO DO BRASIL S.A.</x:v>
      </x:c>
      <x:c r="C13213" s="16" t="n">
        <x:v>24918.700032</x:v>
      </x:c>
      <x:c r="D13213" s="13" t="str">
        <x:v>Banks</x:v>
      </x:c>
      <x:c r="E13213" s="13" t="str">
        <x:v>Banks</x:v>
      </x:c>
      <x:c r="F13213" s="13" t="str">
        <x:v>Financials</x:v>
      </x:c>
      <x:c r="G13213" s="13" t="str">
        <x:v>grid_wbaxp5t0.xlsx</x:v>
      </x:c>
    </x:row>
    <x:row r="13214">
      <x:c r="A13214" s="15" t="n">
        <x:v>45992</x:v>
      </x:c>
      <x:c r="B13214" s="13" t="str">
        <x:v>BANCO SANTANDER  BRASIL-UNIT</x:v>
      </x:c>
      <x:c r="C13214" s="16" t="n">
        <x:v>17379.600384</x:v>
      </x:c>
      <x:c r="D13214" s="13" t="str">
        <x:v>Banks</x:v>
      </x:c>
      <x:c r="E13214" s="13" t="str">
        <x:v>Banks</x:v>
      </x:c>
      <x:c r="F13214" s="13" t="str">
        <x:v>Financials</x:v>
      </x:c>
      <x:c r="G13214" s="13" t="str">
        <x:v>grid_wbaxp5t0.xlsx</x:v>
      </x:c>
    </x:row>
    <x:row r="13215">
      <x:c r="A13215" s="15" t="n">
        <x:v>45992</x:v>
      </x:c>
      <x:c r="B13215" s="13" t="str">
        <x:v>ITAU UNIBANCO HOLDING S-PREF</x:v>
      </x:c>
      <x:c r="C13215" s="16" t="n">
        <x:v>51602.599936</x:v>
      </x:c>
      <x:c r="D13215" s="13" t="str">
        <x:v>Banks</x:v>
      </x:c>
      <x:c r="E13215" s="13" t="str">
        <x:v>Banks</x:v>
      </x:c>
      <x:c r="F13215" s="13" t="str">
        <x:v>Financials</x:v>
      </x:c>
      <x:c r="G13215" s="13" t="str">
        <x:v>grid_wbaxp5t0.xlsx</x:v>
      </x:c>
    </x:row>
    <x:row r="13216">
      <x:c r="A13216" s="15" t="n">
        <x:v>45992</x:v>
      </x:c>
      <x:c r="B13216" s="13" t="str">
        <x:v>EMBRAER SA</x:v>
      </x:c>
      <x:c r="C13216" s="16" t="n">
        <x:v>2711.180032</x:v>
      </x:c>
      <x:c r="D13216" s="13" t="str">
        <x:v>Capital Goods</x:v>
      </x:c>
      <x:c r="E13216" s="13" t="str">
        <x:v>Capital Goods</x:v>
      </x:c>
      <x:c r="F13216" s="13" t="str">
        <x:v>Deep Cyclicals</x:v>
      </x:c>
      <x:c r="G13216" s="13" t="str">
        <x:v>grid_wbaxp5t0.xlsx</x:v>
      </x:c>
    </x:row>
    <x:row r="13217">
      <x:c r="A13217" s="15" t="n">
        <x:v>45992</x:v>
      </x:c>
      <x:c r="B13217" s="13" t="str">
        <x:v>MARCOPOLO SA-PREF</x:v>
      </x:c>
      <x:c r="C13217" s="16" t="n">
        <x:v>1235.250048</x:v>
      </x:c>
      <x:c r="D13217" s="13" t="str">
        <x:v>Capital Goods</x:v>
      </x:c>
      <x:c r="E13217" s="13" t="str">
        <x:v>Capital Goods</x:v>
      </x:c>
      <x:c r="F13217" s="13" t="str">
        <x:v>Deep Cyclicals</x:v>
      </x:c>
      <x:c r="G13217" s="13" t="str">
        <x:v>grid_wbaxp5t0.xlsx</x:v>
      </x:c>
    </x:row>
    <x:row r="13218">
      <x:c r="A13218" s="15" t="n">
        <x:v>45992</x:v>
      </x:c>
      <x:c r="B13218" s="13" t="str">
        <x:v>WEG SA</x:v>
      </x:c>
      <x:c r="C13218" s="16" t="n">
        <x:v>6987.579904</x:v>
      </x:c>
      <x:c r="D13218" s="13" t="str">
        <x:v>Capital Goods</x:v>
      </x:c>
      <x:c r="E13218" s="13" t="str">
        <x:v>Capital Goods</x:v>
      </x:c>
      <x:c r="F13218" s="13" t="str">
        <x:v>Deep Cyclicals</x:v>
      </x:c>
      <x:c r="G13218" s="13" t="str">
        <x:v>grid_wbaxp5t0.xlsx</x:v>
      </x:c>
    </x:row>
    <x:row r="13219">
      <x:c r="A13219" s="15" t="n">
        <x:v>45992</x:v>
      </x:c>
      <x:c r="B13219" s="13" t="str">
        <x:v>COGNA EDUCACAO</x:v>
      </x:c>
      <x:c r="C13219" s="16" t="n">
        <x:v>780.750016</x:v>
      </x:c>
      <x:c r="D13219" s="13" t="str">
        <x:v>Education</x:v>
      </x:c>
      <x:c r="E13219" s="13" t="str">
        <x:v>Education</x:v>
      </x:c>
      <x:c r="F13219" s="13" t="str">
        <x:v>Early Cyclicals</x:v>
      </x:c>
      <x:c r="G13219" s="13" t="str">
        <x:v>grid_wbaxp5t0.xlsx</x:v>
      </x:c>
    </x:row>
    <x:row r="13220">
      <x:c r="A13220" s="15" t="n">
        <x:v>45992</x:v>
      </x:c>
      <x:c r="B13220" s="13" t="str">
        <x:v>YDUQS PARTICIPACOES SA</x:v>
      </x:c>
      <x:c r="C13220" s="16" t="n">
        <x:v>509.272992</x:v>
      </x:c>
      <x:c r="D13220" s="13" t="str">
        <x:v>Education</x:v>
      </x:c>
      <x:c r="E13220" s="13" t="str">
        <x:v>Education</x:v>
      </x:c>
      <x:c r="F13220" s="13" t="str">
        <x:v>Early Cyclicals</x:v>
      </x:c>
      <x:c r="G13220" s="13" t="str">
        <x:v>grid_wbaxp5t0.xlsx</x:v>
      </x:c>
    </x:row>
    <x:row r="13221">
      <x:c r="A13221" s="15" t="n">
        <x:v>45992</x:v>
      </x:c>
      <x:c r="B13221" s="13" t="str">
        <x:v>B3 SA-BRASIL BOLSA BALCAO</x:v>
      </x:c>
      <x:c r="C13221" s="16" t="n">
        <x:v>5408.62976</x:v>
      </x:c>
      <x:c r="D13221" s="13" t="str">
        <x:v>Financials Non-Banks</x:v>
      </x:c>
      <x:c r="E13221" s="13" t="str">
        <x:v>Financials Non-Banks</x:v>
      </x:c>
      <x:c r="F13221" s="13" t="str">
        <x:v>Financials</x:v>
      </x:c>
      <x:c r="G13221" s="13" t="str">
        <x:v>grid_wbaxp5t0.xlsx</x:v>
      </x:c>
    </x:row>
    <x:row r="13222">
      <x:c r="A13222" s="15" t="n">
        <x:v>45992</x:v>
      </x:c>
      <x:c r="B13222" s="13" t="str">
        <x:v>BB SEGURIDADE PARTICIPACOES</x:v>
      </x:c>
      <x:c r="C13222" s="16" t="n">
        <x:v>8960.669696</x:v>
      </x:c>
      <x:c r="D13222" s="13" t="str">
        <x:v>Financials Non-Banks</x:v>
      </x:c>
      <x:c r="E13222" s="13" t="str">
        <x:v>Financials Non-Banks</x:v>
      </x:c>
      <x:c r="F13222" s="13" t="str">
        <x:v>Financials</x:v>
      </x:c>
      <x:c r="G13222" s="13" t="str">
        <x:v>grid_wbaxp5t0.xlsx</x:v>
      </x:c>
    </x:row>
    <x:row r="13223">
      <x:c r="A13223" s="15" t="n">
        <x:v>45992</x:v>
      </x:c>
      <x:c r="B13223" s="13" t="str">
        <x:v>CAIXA SEGURIDADE PARTICIPACO</x:v>
      </x:c>
      <x:c r="C13223" s="16" t="n">
        <x:v>4680.600064</x:v>
      </x:c>
      <x:c r="D13223" s="13" t="str">
        <x:v>Financials Non-Banks</x:v>
      </x:c>
      <x:c r="E13223" s="13" t="str">
        <x:v>Financials Non-Banks</x:v>
      </x:c>
      <x:c r="F13223" s="13" t="str">
        <x:v>Financials</x:v>
      </x:c>
      <x:c r="G13223" s="13" t="str">
        <x:v>grid_wbaxp5t0.xlsx</x:v>
      </x:c>
    </x:row>
    <x:row r="13224">
      <x:c r="A13224" s="15" t="n">
        <x:v>45992</x:v>
      </x:c>
      <x:c r="B13224" s="13" t="str">
        <x:v>IRB BRASIL RESSEGUROS SA</x:v>
      </x:c>
      <x:c r="C13224" s="16" t="n">
        <x:v>605</x:v>
      </x:c>
      <x:c r="D13224" s="13" t="str">
        <x:v>Financials Non-Banks</x:v>
      </x:c>
      <x:c r="E13224" s="13" t="str">
        <x:v>Financials Non-Banks</x:v>
      </x:c>
      <x:c r="F13224" s="13" t="str">
        <x:v>Financials</x:v>
      </x:c>
      <x:c r="G13224" s="13" t="str">
        <x:v>grid_wbaxp5t0.xlsx</x:v>
      </x:c>
    </x:row>
    <x:row r="13225">
      <x:c r="A13225" s="15" t="n">
        <x:v>45992</x:v>
      </x:c>
      <x:c r="B13225" s="13" t="str">
        <x:v>ITAUSA SA</x:v>
      </x:c>
      <x:c r="C13225" s="16" t="n">
        <x:v>18659.700736</x:v>
      </x:c>
      <x:c r="D13225" s="13" t="str">
        <x:v>Financials Non-Banks</x:v>
      </x:c>
      <x:c r="E13225" s="13" t="str">
        <x:v>Financials Non-Banks</x:v>
      </x:c>
      <x:c r="F13225" s="13" t="str">
        <x:v>Financials</x:v>
      </x:c>
      <x:c r="G13225" s="13" t="str">
        <x:v>grid_wbaxp5t0.xlsx</x:v>
      </x:c>
    </x:row>
    <x:row r="13226">
      <x:c r="A13226" s="15" t="n">
        <x:v>45992</x:v>
      </x:c>
      <x:c r="B13226" s="13" t="str">
        <x:v>PORTO SEGURO SA</x:v>
      </x:c>
      <x:c r="C13226" s="16" t="n">
        <x:v>3672.199936</x:v>
      </x:c>
      <x:c r="D13226" s="13" t="str">
        <x:v>Financials Non-Banks</x:v>
      </x:c>
      <x:c r="E13226" s="13" t="str">
        <x:v>Financials Non-Banks</x:v>
      </x:c>
      <x:c r="F13226" s="13" t="str">
        <x:v>Financials</x:v>
      </x:c>
      <x:c r="G13226" s="13" t="str">
        <x:v>grid_wbaxp5t0.xlsx</x:v>
      </x:c>
    </x:row>
    <x:row r="13227">
      <x:c r="A13227" s="15" t="n">
        <x:v>45992</x:v>
      </x:c>
      <x:c r="B13227" s="13" t="str">
        <x:v>AMBEV SA</x:v>
      </x:c>
      <x:c r="C13227" s="16" t="n">
        <x:v>15850.399744</x:v>
      </x:c>
      <x:c r="D13227" s="13" t="str">
        <x:v>Food &amp; Beverages</x:v>
      </x:c>
      <x:c r="E13227" s="13" t="str">
        <x:v>Agri, Food &amp; Beverages</x:v>
      </x:c>
      <x:c r="F13227" s="13" t="str">
        <x:v>Defensives</x:v>
      </x:c>
      <x:c r="G13227" s="13" t="str">
        <x:v>grid_wbaxp5t0.xlsx</x:v>
      </x:c>
    </x:row>
    <x:row r="13228">
      <x:c r="A13228" s="15" t="n">
        <x:v>45992</x:v>
      </x:c>
      <x:c r="B13228" s="13" t="str">
        <x:v>MBRF GLOBAL FOODS COMPANY SA</x:v>
      </x:c>
      <x:c r="C13228" s="16" t="n">
        <x:v>472.713984</x:v>
      </x:c>
      <x:c r="D13228" s="13" t="str">
        <x:v>Food &amp; Beverages</x:v>
      </x:c>
      <x:c r="E13228" s="13" t="str">
        <x:v>Agri, Food &amp; Beverages</x:v>
      </x:c>
      <x:c r="F13228" s="13" t="str">
        <x:v>Defensives</x:v>
      </x:c>
      <x:c r="G13228" s="13" t="str">
        <x:v>grid_wbaxp5t0.xlsx</x:v>
      </x:c>
    </x:row>
    <x:row r="13229">
      <x:c r="A13229" s="15" t="n">
        <x:v>45992</x:v>
      </x:c>
      <x:c r="B13229" s="13" t="str">
        <x:v>MINERVA SA</x:v>
      </x:c>
      <x:c r="C13229" s="16" t="n">
        <x:v>1078.860032</x:v>
      </x:c>
      <x:c r="D13229" s="13" t="str">
        <x:v>Food &amp; Beverages</x:v>
      </x:c>
      <x:c r="E13229" s="13" t="str">
        <x:v>Agri, Food &amp; Beverages</x:v>
      </x:c>
      <x:c r="F13229" s="13" t="str">
        <x:v>Defensives</x:v>
      </x:c>
      <x:c r="G13229" s="13" t="str">
        <x:v>grid_wbaxp5t0.xlsx</x:v>
      </x:c>
    </x:row>
    <x:row r="13230">
      <x:c r="A13230" s="15" t="n">
        <x:v>45992</x:v>
      </x:c>
      <x:c r="B13230" s="13" t="str">
        <x:v>FLEURY SA</x:v>
      </x:c>
      <x:c r="C13230" s="16" t="n">
        <x:v>672.099968</x:v>
      </x:c>
      <x:c r="D13230" s="13" t="str">
        <x:v>Health Care</x:v>
      </x:c>
      <x:c r="E13230" s="13" t="str">
        <x:v>Health Care</x:v>
      </x:c>
      <x:c r="F13230" s="13" t="str">
        <x:v>Defensives</x:v>
      </x:c>
      <x:c r="G13230" s="13" t="str">
        <x:v>grid_wbaxp5t0.xlsx</x:v>
      </x:c>
    </x:row>
    <x:row r="13231">
      <x:c r="A13231" s="15" t="n">
        <x:v>45992</x:v>
      </x:c>
      <x:c r="B13231" s="13" t="str">
        <x:v>HAPVIDA PARTICIPACOES E INVE</x:v>
      </x:c>
      <x:c r="C13231" s="16" t="n">
        <x:v>880.6</x:v>
      </x:c>
      <x:c r="D13231" s="13" t="str">
        <x:v>Health Care</x:v>
      </x:c>
      <x:c r="E13231" s="13" t="str">
        <x:v>Health Care</x:v>
      </x:c>
      <x:c r="F13231" s="13" t="str">
        <x:v>Defensives</x:v>
      </x:c>
      <x:c r="G13231" s="13" t="str">
        <x:v>grid_wbaxp5t0.xlsx</x:v>
      </x:c>
    </x:row>
    <x:row r="13232">
      <x:c r="A13232" s="15" t="n">
        <x:v>45992</x:v>
      </x:c>
      <x:c r="B13232" s="13" t="str">
        <x:v>HYPERA SA</x:v>
      </x:c>
      <x:c r="C13232" s="16" t="n">
        <x:v>1813.639936</x:v>
      </x:c>
      <x:c r="D13232" s="13" t="str">
        <x:v>Health Care</x:v>
      </x:c>
      <x:c r="E13232" s="13" t="str">
        <x:v>Health Care</x:v>
      </x:c>
      <x:c r="F13232" s="13" t="str">
        <x:v>Defensives</x:v>
      </x:c>
      <x:c r="G13232" s="13" t="str">
        <x:v>grid_wbaxp5t0.xlsx</x:v>
      </x:c>
    </x:row>
    <x:row r="13233">
      <x:c r="A13233" s="15" t="n">
        <x:v>45992</x:v>
      </x:c>
      <x:c r="B13233" s="13" t="str">
        <x:v>REDE D'OR SAO LUIZ SA</x:v>
      </x:c>
      <x:c r="C13233" s="16" t="n">
        <x:v>5713.090048</x:v>
      </x:c>
      <x:c r="D13233" s="13" t="str">
        <x:v>Health Care</x:v>
      </x:c>
      <x:c r="E13233" s="13" t="str">
        <x:v>Health Care</x:v>
      </x:c>
      <x:c r="F13233" s="13" t="str">
        <x:v>Defensives</x:v>
      </x:c>
      <x:c r="G13233" s="13" t="str">
        <x:v>grid_wbaxp5t0.xlsx</x:v>
      </x:c>
    </x:row>
    <x:row r="13234">
      <x:c r="A13234" s="15" t="n">
        <x:v>45992</x:v>
      </x:c>
      <x:c r="B13234" s="13" t="str">
        <x:v>CURY CONSTRUTORA E INCORPORA</x:v>
      </x:c>
      <x:c r="C13234" s="16" t="n">
        <x:v>1242.749952</x:v>
      </x:c>
      <x:c r="D13234" s="13" t="str">
        <x:v>Homebuilders</x:v>
      </x:c>
      <x:c r="E13234" s="13" t="str">
        <x:v>Real Estate</x:v>
      </x:c>
      <x:c r="F13234" s="13" t="str">
        <x:v>Early Cyclicals</x:v>
      </x:c>
      <x:c r="G13234" s="13" t="str">
        <x:v>grid_wbaxp5t0.xlsx</x:v>
      </x:c>
    </x:row>
    <x:row r="13235">
      <x:c r="A13235" s="15" t="n">
        <x:v>45992</x:v>
      </x:c>
      <x:c r="B13235" s="13" t="str">
        <x:v>CYRELA BRAZIL REALTY SA EMP</x:v>
      </x:c>
      <x:c r="C13235" s="16" t="n">
        <x:v>2006.169984</x:v>
      </x:c>
      <x:c r="D13235" s="13" t="str">
        <x:v>Homebuilders</x:v>
      </x:c>
      <x:c r="E13235" s="13" t="str">
        <x:v>Real Estate</x:v>
      </x:c>
      <x:c r="F13235" s="13" t="str">
        <x:v>Early Cyclicals</x:v>
      </x:c>
      <x:c r="G13235" s="13" t="str">
        <x:v>grid_wbaxp5t0.xlsx</x:v>
      </x:c>
    </x:row>
    <x:row r="13236">
      <x:c r="A13236" s="15" t="n">
        <x:v>45992</x:v>
      </x:c>
      <x:c r="B13236" s="13" t="str">
        <x:v>DIRECIONAL ENGENHARIA SA</x:v>
      </x:c>
      <x:c r="C13236" s="16" t="n">
        <x:v>1029.820032</x:v>
      </x:c>
      <x:c r="D13236" s="13" t="str">
        <x:v>Homebuilders</x:v>
      </x:c>
      <x:c r="E13236" s="13" t="str">
        <x:v>Real Estate</x:v>
      </x:c>
      <x:c r="F13236" s="13" t="str">
        <x:v>Early Cyclicals</x:v>
      </x:c>
      <x:c r="G13236" s="13" t="str">
        <x:v>grid_wbaxp5t0.xlsx</x:v>
      </x:c>
    </x:row>
    <x:row r="13237">
      <x:c r="A13237" s="15" t="n">
        <x:v>45992</x:v>
      </x:c>
      <x:c r="B13237" s="13" t="str">
        <x:v>MRV ENGENHARIA</x:v>
      </x:c>
      <x:c r="C13237" s="16" t="n">
        <x:v>708.899968</x:v>
      </x:c>
      <x:c r="D13237" s="13" t="str">
        <x:v>Homebuilders</x:v>
      </x:c>
      <x:c r="E13237" s="13" t="str">
        <x:v>Real Estate</x:v>
      </x:c>
      <x:c r="F13237" s="13" t="str">
        <x:v>Early Cyclicals</x:v>
      </x:c>
      <x:c r="G13237" s="13" t="str">
        <x:v>grid_wbaxp5t0.xlsx</x:v>
      </x:c>
    </x:row>
    <x:row r="13238">
      <x:c r="A13238" s="15" t="n">
        <x:v>45992</x:v>
      </x:c>
      <x:c r="B13238" s="13" t="str">
        <x:v>ALLOS SA</x:v>
      </x:c>
      <x:c r="C13238" s="16" t="n">
        <x:v>1020.499968</x:v>
      </x:c>
      <x:c r="D13238" s="13" t="str">
        <x:v>Income Properties</x:v>
      </x:c>
      <x:c r="E13238" s="13" t="str">
        <x:v>Real Estate</x:v>
      </x:c>
      <x:c r="F13238" s="13" t="str">
        <x:v>Early Cyclicals</x:v>
      </x:c>
      <x:c r="G13238" s="13" t="str">
        <x:v>grid_wbaxp5t0.xlsx</x:v>
      </x:c>
    </x:row>
    <x:row r="13239">
      <x:c r="A13239" s="15" t="n">
        <x:v>45992</x:v>
      </x:c>
      <x:c r="B13239" s="13" t="str">
        <x:v>IGUATEMI SA - UNITS</x:v>
      </x:c>
      <x:c r="C13239" s="16" t="n">
        <x:v>582</x:v>
      </x:c>
      <x:c r="D13239" s="13" t="str">
        <x:v>Income Properties</x:v>
      </x:c>
      <x:c r="E13239" s="13" t="str">
        <x:v>Real Estate</x:v>
      </x:c>
      <x:c r="F13239" s="13" t="str">
        <x:v>Early Cyclicals</x:v>
      </x:c>
      <x:c r="G13239" s="13" t="str">
        <x:v>grid_wbaxp5t0.xlsx</x:v>
      </x:c>
    </x:row>
    <x:row r="13240">
      <x:c r="A13240" s="15" t="n">
        <x:v>45992</x:v>
      </x:c>
      <x:c r="B13240" s="13" t="str">
        <x:v>MULTIPLAN EMPREENDIMENTOS</x:v>
      </x:c>
      <x:c r="C13240" s="16" t="n">
        <x:v>1085.670016</x:v>
      </x:c>
      <x:c r="D13240" s="13" t="str">
        <x:v>Income Properties</x:v>
      </x:c>
      <x:c r="E13240" s="13" t="str">
        <x:v>Real Estate</x:v>
      </x:c>
      <x:c r="F13240" s="13" t="str">
        <x:v>Early Cyclicals</x:v>
      </x:c>
      <x:c r="G13240" s="13" t="str">
        <x:v>grid_wbaxp5t0.xlsx</x:v>
      </x:c>
    </x:row>
    <x:row r="13241">
      <x:c r="A13241" s="15" t="n">
        <x:v>45992</x:v>
      </x:c>
      <x:c r="B13241" s="13" t="str">
        <x:v>BRADESPAR SA -PREF</x:v>
      </x:c>
      <x:c r="C13241" s="16" t="n">
        <x:v>1630.499968</x:v>
      </x:c>
      <x:c r="D13241" s="13" t="str">
        <x:v>Metals &amp; Mining</x:v>
      </x:c>
      <x:c r="E13241" s="13" t="str">
        <x:v>Metals &amp; Mining</x:v>
      </x:c>
      <x:c r="F13241" s="13" t="str">
        <x:v>Deep Cyclicals</x:v>
      </x:c>
      <x:c r="G13241" s="13" t="str">
        <x:v>grid_wbaxp5t0.xlsx</x:v>
      </x:c>
    </x:row>
    <x:row r="13242">
      <x:c r="A13242" s="15" t="n">
        <x:v>45992</x:v>
      </x:c>
      <x:c r="B13242" s="13" t="str">
        <x:v>CIA SIDERURGICA NACIONAL SA</x:v>
      </x:c>
      <x:c r="C13242" s="16" t="n">
        <x:v>482.975008</x:v>
      </x:c>
      <x:c r="D13242" s="13" t="str">
        <x:v>Metals &amp; Mining</x:v>
      </x:c>
      <x:c r="E13242" s="13" t="str">
        <x:v>Metals &amp; Mining</x:v>
      </x:c>
      <x:c r="F13242" s="13" t="str">
        <x:v>Deep Cyclicals</x:v>
      </x:c>
      <x:c r="G13242" s="13" t="str">
        <x:v>grid_wbaxp5t0.xlsx</x:v>
      </x:c>
    </x:row>
    <x:row r="13243">
      <x:c r="A13243" s="15" t="n">
        <x:v>45992</x:v>
      </x:c>
      <x:c r="B13243" s="13" t="str">
        <x:v>CSN MINERACAO SA</x:v>
      </x:c>
      <x:c r="C13243" s="16" t="n">
        <x:v>1985.299968</x:v>
      </x:c>
      <x:c r="D13243" s="13" t="str">
        <x:v>Metals &amp; Mining</x:v>
      </x:c>
      <x:c r="E13243" s="13" t="str">
        <x:v>Metals &amp; Mining</x:v>
      </x:c>
      <x:c r="F13243" s="13" t="str">
        <x:v>Deep Cyclicals</x:v>
      </x:c>
      <x:c r="G13243" s="13" t="str">
        <x:v>grid_wbaxp5t0.xlsx</x:v>
      </x:c>
    </x:row>
    <x:row r="13244">
      <x:c r="A13244" s="15" t="n">
        <x:v>45992</x:v>
      </x:c>
      <x:c r="B13244" s="13" t="str">
        <x:v>GERDAU SA-PREF</x:v>
      </x:c>
      <x:c r="C13244" s="16" t="n">
        <x:v>4751.430144</x:v>
      </x:c>
      <x:c r="D13244" s="13" t="str">
        <x:v>Metals &amp; Mining</x:v>
      </x:c>
      <x:c r="E13244" s="13" t="str">
        <x:v>Metals &amp; Mining</x:v>
      </x:c>
      <x:c r="F13244" s="13" t="str">
        <x:v>Deep Cyclicals</x:v>
      </x:c>
      <x:c r="G13244" s="13" t="str">
        <x:v>grid_wbaxp5t0.xlsx</x:v>
      </x:c>
    </x:row>
    <x:row r="13245">
      <x:c r="A13245" s="15" t="n">
        <x:v>45992</x:v>
      </x:c>
      <x:c r="B13245" s="13" t="str">
        <x:v>USINAS SIDER MINAS GER-PF A</x:v>
      </x:c>
      <x:c r="C13245" s="16" t="n">
        <x:v>602.8</x:v>
      </x:c>
      <x:c r="D13245" s="13" t="str">
        <x:v>Metals &amp; Mining</x:v>
      </x:c>
      <x:c r="E13245" s="13" t="str">
        <x:v>Metals &amp; Mining</x:v>
      </x:c>
      <x:c r="F13245" s="13" t="str">
        <x:v>Deep Cyclicals</x:v>
      </x:c>
      <x:c r="G13245" s="13" t="str">
        <x:v>grid_wbaxp5t0.xlsx</x:v>
      </x:c>
    </x:row>
    <x:row r="13246">
      <x:c r="A13246" s="15" t="n">
        <x:v>45992</x:v>
      </x:c>
      <x:c r="B13246" s="13" t="str">
        <x:v>VALE SA</x:v>
      </x:c>
      <x:c r="C13246" s="16" t="n">
        <x:v>43846.098944</x:v>
      </x:c>
      <x:c r="D13246" s="13" t="str">
        <x:v>Metals &amp; Mining</x:v>
      </x:c>
      <x:c r="E13246" s="13" t="str">
        <x:v>Metals &amp; Mining</x:v>
      </x:c>
      <x:c r="F13246" s="13" t="str">
        <x:v>Deep Cyclicals</x:v>
      </x:c>
      <x:c r="G13246" s="13" t="str">
        <x:v>grid_wbaxp5t0.xlsx</x:v>
      </x:c>
    </x:row>
    <x:row r="13247">
      <x:c r="A13247" s="15" t="n">
        <x:v>45992</x:v>
      </x:c>
      <x:c r="B13247" s="13" t="str">
        <x:v>BRASKEM SA-PREF A</x:v>
      </x:c>
      <x:c r="C13247" s="16" t="n">
        <x:v>-2880.91008</x:v>
      </x:c>
      <x:c r="D13247" s="13" t="str">
        <x:v>Oil, Gas &amp; Petrochemicals</x:v>
      </x:c>
      <x:c r="E13247" s="13" t="str">
        <x:v>Oil, Gas &amp; Petrochemicals</x:v>
      </x:c>
      <x:c r="F13247" s="13" t="str">
        <x:v>Deep Cyclicals</x:v>
      </x:c>
      <x:c r="G13247" s="13" t="str">
        <x:v>grid_wbaxp5t0.xlsx</x:v>
      </x:c>
    </x:row>
    <x:row r="13248">
      <x:c r="A13248" s="15" t="n">
        <x:v>45992</x:v>
      </x:c>
      <x:c r="B13248" s="13" t="str">
        <x:v>BRAVA ENERGIA</x:v>
      </x:c>
      <x:c r="C13248" s="16" t="n">
        <x:v>1234.749952</x:v>
      </x:c>
      <x:c r="D13248" s="13" t="str">
        <x:v>Oil, Gas &amp; Petrochemicals</x:v>
      </x:c>
      <x:c r="E13248" s="13" t="str">
        <x:v>Oil, Gas &amp; Petrochemicals</x:v>
      </x:c>
      <x:c r="F13248" s="13" t="str">
        <x:v>Deep Cyclicals</x:v>
      </x:c>
      <x:c r="G13248" s="13" t="str">
        <x:v>grid_wbaxp5t0.xlsx</x:v>
      </x:c>
    </x:row>
    <x:row r="13249">
      <x:c r="A13249" s="15" t="n">
        <x:v>45992</x:v>
      </x:c>
      <x:c r="B13249" s="13" t="str">
        <x:v>COSAN SA</x:v>
      </x:c>
      <x:c r="C13249" s="16" t="n">
        <x:v>3644.290048</x:v>
      </x:c>
      <x:c r="D13249" s="13" t="str">
        <x:v>Oil, Gas &amp; Petrochemicals</x:v>
      </x:c>
      <x:c r="E13249" s="13" t="str">
        <x:v>Oil, Gas &amp; Petrochemicals</x:v>
      </x:c>
      <x:c r="F13249" s="13" t="str">
        <x:v>Deep Cyclicals</x:v>
      </x:c>
      <x:c r="G13249" s="13" t="str">
        <x:v>grid_wbaxp5t0.xlsx</x:v>
      </x:c>
    </x:row>
    <x:row r="13250">
      <x:c r="A13250" s="15" t="n">
        <x:v>45992</x:v>
      </x:c>
      <x:c r="B13250" s="13" t="str">
        <x:v>PETROBRAS - PETROLEO BRAS</x:v>
      </x:c>
      <x:c r="C13250" s="16" t="n">
        <x:v>71944.6016</x:v>
      </x:c>
      <x:c r="D13250" s="13" t="str">
        <x:v>Oil, Gas &amp; Petrochemicals</x:v>
      </x:c>
      <x:c r="E13250" s="13" t="str">
        <x:v>Oil, Gas &amp; Petrochemicals</x:v>
      </x:c>
      <x:c r="F13250" s="13" t="str">
        <x:v>Deep Cyclicals</x:v>
      </x:c>
      <x:c r="G13250" s="13" t="str">
        <x:v>grid_wbaxp5t0.xlsx</x:v>
      </x:c>
    </x:row>
    <x:row r="13251">
      <x:c r="A13251" s="15" t="n">
        <x:v>45992</x:v>
      </x:c>
      <x:c r="B13251" s="13" t="str">
        <x:v>PETRORECONCAVO SA</x:v>
      </x:c>
      <x:c r="C13251" s="16" t="n">
        <x:v>410.544992</x:v>
      </x:c>
      <x:c r="D13251" s="13" t="str">
        <x:v>Oil, Gas &amp; Petrochemicals</x:v>
      </x:c>
      <x:c r="E13251" s="13" t="str">
        <x:v>Oil, Gas &amp; Petrochemicals</x:v>
      </x:c>
      <x:c r="F13251" s="13" t="str">
        <x:v>Deep Cyclicals</x:v>
      </x:c>
      <x:c r="G13251" s="13" t="str">
        <x:v>grid_wbaxp5t0.xlsx</x:v>
      </x:c>
    </x:row>
    <x:row r="13252">
      <x:c r="A13252" s="15" t="n">
        <x:v>45992</x:v>
      </x:c>
      <x:c r="B13252" s="13" t="str">
        <x:v>PRIO SA</x:v>
      </x:c>
      <x:c r="C13252" s="16" t="n">
        <x:v>4099.000064</x:v>
      </x:c>
      <x:c r="D13252" s="13" t="str">
        <x:v>Oil, Gas &amp; Petrochemicals</x:v>
      </x:c>
      <x:c r="E13252" s="13" t="str">
        <x:v>Oil, Gas &amp; Petrochemicals</x:v>
      </x:c>
      <x:c r="F13252" s="13" t="str">
        <x:v>Deep Cyclicals</x:v>
      </x:c>
      <x:c r="G13252" s="13" t="str">
        <x:v>grid_wbaxp5t0.xlsx</x:v>
      </x:c>
    </x:row>
    <x:row r="13253">
      <x:c r="A13253" s="15" t="n">
        <x:v>45992</x:v>
      </x:c>
      <x:c r="B13253" s="13" t="str">
        <x:v>ULTRAPAR PARTICIPACOES SA</x:v>
      </x:c>
      <x:c r="C13253" s="16" t="n">
        <x:v>2279.920128</x:v>
      </x:c>
      <x:c r="D13253" s="13" t="str">
        <x:v>Oil, Gas &amp; Petrochemicals</x:v>
      </x:c>
      <x:c r="E13253" s="13" t="str">
        <x:v>Oil, Gas &amp; Petrochemicals</x:v>
      </x:c>
      <x:c r="F13253" s="13" t="str">
        <x:v>Deep Cyclicals</x:v>
      </x:c>
      <x:c r="G13253" s="13" t="str">
        <x:v>grid_wbaxp5t0.xlsx</x:v>
      </x:c>
    </x:row>
    <x:row r="13254">
      <x:c r="A13254" s="15" t="n">
        <x:v>45992</x:v>
      </x:c>
      <x:c r="B13254" s="13" t="str">
        <x:v>VIBRA ENERGIA SA</x:v>
      </x:c>
      <x:c r="C13254" s="16" t="n">
        <x:v>2756.999936</x:v>
      </x:c>
      <x:c r="D13254" s="13" t="str">
        <x:v>Oil, Gas &amp; Petrochemicals</x:v>
      </x:c>
      <x:c r="E13254" s="13" t="str">
        <x:v>Oil, Gas &amp; Petrochemicals</x:v>
      </x:c>
      <x:c r="F13254" s="13" t="str">
        <x:v>Deep Cyclicals</x:v>
      </x:c>
      <x:c r="G13254" s="13" t="str">
        <x:v>grid_wbaxp5t0.xlsx</x:v>
      </x:c>
    </x:row>
    <x:row r="13255">
      <x:c r="A13255" s="15" t="n">
        <x:v>45992</x:v>
      </x:c>
      <x:c r="B13255" s="13" t="str">
        <x:v>KLABIN SA - UNIT</x:v>
      </x:c>
      <x:c r="C13255" s="16" t="n">
        <x:v>2581.750016</x:v>
      </x:c>
      <x:c r="D13255" s="13" t="str">
        <x:v>Pulp &amp; Paper</x:v>
      </x:c>
      <x:c r="E13255" s="13" t="str">
        <x:v>Pulp &amp; Paper</x:v>
      </x:c>
      <x:c r="F13255" s="13" t="str">
        <x:v>Deep Cyclicals</x:v>
      </x:c>
      <x:c r="G13255" s="13" t="str">
        <x:v>grid_wbaxp5t0.xlsx</x:v>
      </x:c>
    </x:row>
    <x:row r="13256">
      <x:c r="A13256" s="15" t="n">
        <x:v>45992</x:v>
      </x:c>
      <x:c r="B13256" s="13" t="str">
        <x:v>SUZANO SA</x:v>
      </x:c>
      <x:c r="C13256" s="16" t="n">
        <x:v>7202.540032</x:v>
      </x:c>
      <x:c r="D13256" s="13" t="str">
        <x:v>Pulp &amp; Paper</x:v>
      </x:c>
      <x:c r="E13256" s="13" t="str">
        <x:v>Pulp &amp; Paper</x:v>
      </x:c>
      <x:c r="F13256" s="13" t="str">
        <x:v>Deep Cyclicals</x:v>
      </x:c>
      <x:c r="G13256" s="13" t="str">
        <x:v>grid_wbaxp5t0.xlsx</x:v>
      </x:c>
    </x:row>
    <x:row r="13257">
      <x:c r="A13257" s="15" t="n">
        <x:v>45992</x:v>
      </x:c>
      <x:c r="B13257" s="13" t="str">
        <x:v>AZZAS 2154 SA</x:v>
      </x:c>
      <x:c r="C13257" s="16" t="n">
        <x:v>877.667008</x:v>
      </x:c>
      <x:c r="D13257" s="13" t="str">
        <x:v>Retail</x:v>
      </x:c>
      <x:c r="E13257" s="13" t="str">
        <x:v>Retail</x:v>
      </x:c>
      <x:c r="F13257" s="13" t="str">
        <x:v>Early Cyclicals</x:v>
      </x:c>
      <x:c r="G13257" s="13" t="str">
        <x:v>grid_wbaxp5t0.xlsx</x:v>
      </x:c>
    </x:row>
    <x:row r="13258">
      <x:c r="A13258" s="15" t="n">
        <x:v>45992</x:v>
      </x:c>
      <x:c r="B13258" s="13" t="str">
        <x:v>C&amp;A MODAS LTDA</x:v>
      </x:c>
      <x:c r="C13258" s="16" t="n">
        <x:v>570.713984</x:v>
      </x:c>
      <x:c r="D13258" s="13" t="str">
        <x:v>Retail</x:v>
      </x:c>
      <x:c r="E13258" s="13" t="str">
        <x:v>Retail</x:v>
      </x:c>
      <x:c r="F13258" s="13" t="str">
        <x:v>Early Cyclicals</x:v>
      </x:c>
      <x:c r="G13258" s="13" t="str">
        <x:v>grid_wbaxp5t0.xlsx</x:v>
      </x:c>
    </x:row>
    <x:row r="13259">
      <x:c r="A13259" s="15" t="n">
        <x:v>45992</x:v>
      </x:c>
      <x:c r="B13259" s="13" t="str">
        <x:v>CIA BRASILEIRA DE DISTRIBUIC</x:v>
      </x:c>
      <x:c r="C13259" s="16" t="n">
        <x:v>-404.556</x:v>
      </x:c>
      <x:c r="D13259" s="13" t="str">
        <x:v>Retail</x:v>
      </x:c>
      <x:c r="E13259" s="13" t="str">
        <x:v>Retail</x:v>
      </x:c>
      <x:c r="F13259" s="13" t="str">
        <x:v>Early Cyclicals</x:v>
      </x:c>
      <x:c r="G13259" s="13" t="str">
        <x:v>grid_wbaxp5t0.xlsx</x:v>
      </x:c>
    </x:row>
    <x:row r="13260">
      <x:c r="A13260" s="15" t="n">
        <x:v>45992</x:v>
      </x:c>
      <x:c r="B13260" s="13" t="str">
        <x:v>CVC BRASIL OPERADORA E AGENC</x:v>
      </x:c>
      <x:c r="C13260" s="16" t="n">
        <x:v>38.75</x:v>
      </x:c>
      <x:c r="D13260" s="13" t="str">
        <x:v>Retail</x:v>
      </x:c>
      <x:c r="E13260" s="13" t="str">
        <x:v>Retail</x:v>
      </x:c>
      <x:c r="F13260" s="13" t="str">
        <x:v>Early Cyclicals</x:v>
      </x:c>
      <x:c r="G13260" s="13" t="str">
        <x:v>grid_wbaxp5t0.xlsx</x:v>
      </x:c>
    </x:row>
    <x:row r="13261">
      <x:c r="A13261" s="15" t="n">
        <x:v>45992</x:v>
      </x:c>
      <x:c r="B13261" s="13" t="str">
        <x:v>LOJAS RENNER S.A.</x:v>
      </x:c>
      <x:c r="C13261" s="16" t="n">
        <x:v>1647.069952</x:v>
      </x:c>
      <x:c r="D13261" s="13" t="str">
        <x:v>Retail</x:v>
      </x:c>
      <x:c r="E13261" s="13" t="str">
        <x:v>Retail</x:v>
      </x:c>
      <x:c r="F13261" s="13" t="str">
        <x:v>Early Cyclicals</x:v>
      </x:c>
      <x:c r="G13261" s="13" t="str">
        <x:v>grid_wbaxp5t0.xlsx</x:v>
      </x:c>
    </x:row>
    <x:row r="13262">
      <x:c r="A13262" s="15" t="n">
        <x:v>45992</x:v>
      </x:c>
      <x:c r="B13262" s="13" t="str">
        <x:v>MAGAZINE LUIZA SA</x:v>
      </x:c>
      <x:c r="C13262" s="16" t="n">
        <x:v>355.8</x:v>
      </x:c>
      <x:c r="D13262" s="13" t="str">
        <x:v>Retail</x:v>
      </x:c>
      <x:c r="E13262" s="13" t="str">
        <x:v>Retail</x:v>
      </x:c>
      <x:c r="F13262" s="13" t="str">
        <x:v>Early Cyclicals</x:v>
      </x:c>
      <x:c r="G13262" s="13" t="str">
        <x:v>grid_wbaxp5t0.xlsx</x:v>
      </x:c>
    </x:row>
    <x:row r="13263">
      <x:c r="A13263" s="15" t="n">
        <x:v>45992</x:v>
      </x:c>
      <x:c r="B13263" s="13" t="str">
        <x:v>NATURA COSMETICOS SA</x:v>
      </x:c>
      <x:c r="C13263" s="16" t="n">
        <x:v>1278.429952</x:v>
      </x:c>
      <x:c r="D13263" s="13" t="str">
        <x:v>Retail</x:v>
      </x:c>
      <x:c r="E13263" s="13" t="str">
        <x:v>Retail</x:v>
      </x:c>
      <x:c r="F13263" s="13" t="str">
        <x:v>Early Cyclicals</x:v>
      </x:c>
      <x:c r="G13263" s="13" t="str">
        <x:v>grid_wbaxp5t0.xlsx</x:v>
      </x:c>
    </x:row>
    <x:row r="13264">
      <x:c r="A13264" s="15" t="n">
        <x:v>45992</x:v>
      </x:c>
      <x:c r="B13264" s="13" t="str">
        <x:v>RAIA DROGASIL SA</x:v>
      </x:c>
      <x:c r="C13264" s="16" t="n">
        <x:v>1694.329984</x:v>
      </x:c>
      <x:c r="D13264" s="13" t="str">
        <x:v>Retail</x:v>
      </x:c>
      <x:c r="E13264" s="13" t="str">
        <x:v>Retail</x:v>
      </x:c>
      <x:c r="F13264" s="13" t="str">
        <x:v>Early Cyclicals</x:v>
      </x:c>
      <x:c r="G13264" s="13" t="str">
        <x:v>grid_wbaxp5t0.xlsx</x:v>
      </x:c>
    </x:row>
    <x:row r="13265">
      <x:c r="A13265" s="15" t="n">
        <x:v>45992</x:v>
      </x:c>
      <x:c r="B13265" s="13" t="str">
        <x:v>SENDAS DISTRIBUIDORA SA</x:v>
      </x:c>
      <x:c r="C13265" s="16" t="n">
        <x:v>1004.780032</x:v>
      </x:c>
      <x:c r="D13265" s="13" t="str">
        <x:v>Retail</x:v>
      </x:c>
      <x:c r="E13265" s="13" t="str">
        <x:v>Retail</x:v>
      </x:c>
      <x:c r="F13265" s="13" t="str">
        <x:v>Early Cyclicals</x:v>
      </x:c>
      <x:c r="G13265" s="13" t="str">
        <x:v>grid_wbaxp5t0.xlsx</x:v>
      </x:c>
    </x:row>
    <x:row r="13266">
      <x:c r="A13266" s="15" t="n">
        <x:v>45992</x:v>
      </x:c>
      <x:c r="B13266" s="13" t="str">
        <x:v>SMARTFIT - ORDINARY</x:v>
      </x:c>
      <x:c r="C13266" s="16" t="n">
        <x:v>993.374976</x:v>
      </x:c>
      <x:c r="D13266" s="13" t="str">
        <x:v>Retail</x:v>
      </x:c>
      <x:c r="E13266" s="13" t="str">
        <x:v>Retail</x:v>
      </x:c>
      <x:c r="F13266" s="13" t="str">
        <x:v>Early Cyclicals</x:v>
      </x:c>
      <x:c r="G13266" s="13" t="str">
        <x:v>grid_wbaxp5t0.xlsx</x:v>
      </x:c>
    </x:row>
    <x:row r="13267">
      <x:c r="A13267" s="15" t="n">
        <x:v>45992</x:v>
      </x:c>
      <x:c r="B13267" s="13" t="str">
        <x:v>VIVARA PARTICIPACOES SA</x:v>
      </x:c>
      <x:c r="C13267" s="16" t="n">
        <x:v>753.857024</x:v>
      </x:c>
      <x:c r="D13267" s="13" t="str">
        <x:v>Retail</x:v>
      </x:c>
      <x:c r="E13267" s="13" t="str">
        <x:v>Retail</x:v>
      </x:c>
      <x:c r="F13267" s="13" t="str">
        <x:v>Early Cyclicals</x:v>
      </x:c>
      <x:c r="G13267" s="13" t="str">
        <x:v>grid_wbaxp5t0.xlsx</x:v>
      </x:c>
    </x:row>
    <x:row r="13268">
      <x:c r="A13268" s="15" t="n">
        <x:v>45992</x:v>
      </x:c>
      <x:c r="B13268" s="13" t="str">
        <x:v>CIA SANEAMENTO BASICO DE SP</x:v>
      </x:c>
      <x:c r="C13268" s="16" t="n">
        <x:v>6975.000064</x:v>
      </x:c>
      <x:c r="D13268" s="13" t="str">
        <x:v>Sanitation</x:v>
      </x:c>
      <x:c r="E13268" s="13" t="str">
        <x:v>Utilities</x:v>
      </x:c>
      <x:c r="F13268" s="13" t="str">
        <x:v>Defensives</x:v>
      </x:c>
      <x:c r="G13268" s="13" t="str">
        <x:v>grid_wbaxp5t0.xlsx</x:v>
      </x:c>
    </x:row>
    <x:row r="13269">
      <x:c r="A13269" s="15" t="n">
        <x:v>45992</x:v>
      </x:c>
      <x:c r="B13269" s="13" t="str">
        <x:v>TIM SA</x:v>
      </x:c>
      <x:c r="C13269" s="16" t="n">
        <x:v>4541.669888</x:v>
      </x:c>
      <x:c r="D13269" s="13" t="str">
        <x:v>TMT</x:v>
      </x:c>
      <x:c r="E13269" s="13" t="str">
        <x:v>TMT</x:v>
      </x:c>
      <x:c r="F13269" s="13" t="str">
        <x:v>Early Cyclicals</x:v>
      </x:c>
      <x:c r="G13269" s="13" t="str">
        <x:v>grid_wbaxp5t0.xlsx</x:v>
      </x:c>
    </x:row>
    <x:row r="13270">
      <x:c r="A13270" s="15" t="n">
        <x:v>45992</x:v>
      </x:c>
      <x:c r="B13270" s="13" t="str">
        <x:v>TOTVS SA</x:v>
      </x:c>
      <x:c r="C13270" s="16" t="n">
        <x:v>1109.080064</x:v>
      </x:c>
      <x:c r="D13270" s="13" t="str">
        <x:v>TMT</x:v>
      </x:c>
      <x:c r="E13270" s="13" t="str">
        <x:v>TMT</x:v>
      </x:c>
      <x:c r="F13270" s="13" t="str">
        <x:v>Early Cyclicals</x:v>
      </x:c>
      <x:c r="G13270" s="13" t="str">
        <x:v>grid_wbaxp5t0.xlsx</x:v>
      </x:c>
    </x:row>
    <x:row r="13271">
      <x:c r="A13271" s="15" t="n">
        <x:v>45992</x:v>
      </x:c>
      <x:c r="B13271" s="13" t="str">
        <x:v>LOCALIZA RENT A CAR</x:v>
      </x:c>
      <x:c r="C13271" s="16" t="n">
        <x:v>4262.76992</x:v>
      </x:c>
      <x:c r="D13271" s="13" t="str">
        <x:v>Transportation</x:v>
      </x:c>
      <x:c r="E13271" s="13" t="str">
        <x:v>Transportation</x:v>
      </x:c>
      <x:c r="F13271" s="13" t="str">
        <x:v>Deep Cyclicals</x:v>
      </x:c>
      <x:c r="G13271" s="13" t="str">
        <x:v>grid_wbaxp5t0.xlsx</x:v>
      </x:c>
    </x:row>
    <x:row r="13272">
      <x:c r="A13272" s="15" t="n">
        <x:v>45992</x:v>
      </x:c>
      <x:c r="B13272" s="13" t="str">
        <x:v>MOTIVA INFRAESTRUTURA DE MOB</x:v>
      </x:c>
      <x:c r="C13272" s="16" t="n">
        <x:v>2472.91008</x:v>
      </x:c>
      <x:c r="D13272" s="13" t="str">
        <x:v>Transportation</x:v>
      </x:c>
      <x:c r="E13272" s="13" t="str">
        <x:v>Transportation</x:v>
      </x:c>
      <x:c r="F13272" s="13" t="str">
        <x:v>Deep Cyclicals</x:v>
      </x:c>
      <x:c r="G13272" s="13" t="str">
        <x:v>grid_wbaxp5t0.xlsx</x:v>
      </x:c>
    </x:row>
    <x:row r="13273">
      <x:c r="A13273" s="15" t="n">
        <x:v>45992</x:v>
      </x:c>
      <x:c r="B13273" s="13" t="str">
        <x:v>RUMO SA</x:v>
      </x:c>
      <x:c r="C13273" s="16" t="n">
        <x:v>2088.499968</x:v>
      </x:c>
      <x:c r="D13273" s="13" t="str">
        <x:v>Transportation</x:v>
      </x:c>
      <x:c r="E13273" s="13" t="str">
        <x:v>Transportation</x:v>
      </x:c>
      <x:c r="F13273" s="13" t="str">
        <x:v>Deep Cyclicals</x:v>
      </x:c>
      <x:c r="G13273" s="13" t="str">
        <x:v>grid_wbaxp5t0.xlsx</x:v>
      </x:c>
    </x:row>
    <x:row r="13274">
      <x:c r="A13274" s="15" t="n">
        <x:v>45992</x:v>
      </x:c>
      <x:c r="B13274" s="13" t="str">
        <x:v>VAMOS LOCACAO DE CAMINHOES M</x:v>
      </x:c>
      <x:c r="C13274" s="16" t="n">
        <x:v>522.083008</x:v>
      </x:c>
      <x:c r="D13274" s="13" t="str">
        <x:v>Transportation</x:v>
      </x:c>
      <x:c r="E13274" s="13" t="str">
        <x:v>Transportation</x:v>
      </x:c>
      <x:c r="F13274" s="13" t="str">
        <x:v>Deep Cyclicals</x:v>
      </x:c>
      <x:c r="G13274" s="13" t="str">
        <x:v>grid_wbaxp5t0.xlsx</x:v>
      </x:c>
    </x:row>
    <x:row r="13275">
      <x:c r="A13275" s="15" t="n">
        <x:v>45992</x:v>
      </x:c>
      <x:c r="B13275" s="13" t="str">
        <x:v>AUREN ENERGIA SA - ON</x:v>
      </x:c>
      <x:c r="C13275" s="16" t="n">
        <x:v>-354.536992</x:v>
      </x:c>
      <x:c r="D13275" s="13" t="str">
        <x:v>Utilities &amp; Energy</x:v>
      </x:c>
      <x:c r="E13275" s="13" t="str">
        <x:v>Utilities</x:v>
      </x:c>
      <x:c r="F13275" s="13" t="str">
        <x:v>Defensives</x:v>
      </x:c>
      <x:c r="G13275" s="13" t="str">
        <x:v>grid_wbaxp5t0.xlsx</x:v>
      </x:c>
    </x:row>
    <x:row r="13276">
      <x:c r="A13276" s="15" t="n">
        <x:v>45992</x:v>
      </x:c>
      <x:c r="B13276" s="13" t="str">
        <x:v>AXIA ENERGIA SA</x:v>
      </x:c>
      <x:c r="C13276" s="16" t="n">
        <x:v>10560.600064</x:v>
      </x:c>
      <x:c r="D13276" s="13" t="str">
        <x:v>Utilities &amp; Energy</x:v>
      </x:c>
      <x:c r="E13276" s="13" t="str">
        <x:v>Utilities</x:v>
      </x:c>
      <x:c r="F13276" s="13" t="str">
        <x:v>Defensives</x:v>
      </x:c>
      <x:c r="G13276" s="13" t="str">
        <x:v>grid_wbaxp5t0.xlsx</x:v>
      </x:c>
    </x:row>
    <x:row r="13277">
      <x:c r="A13277" s="15" t="n">
        <x:v>45992</x:v>
      </x:c>
      <x:c r="B13277" s="13" t="str">
        <x:v>AXIA ENERGIA-PR B</x:v>
      </x:c>
      <x:c r="C13277" s="16" t="n">
        <x:v>10560.600064</x:v>
      </x:c>
      <x:c r="D13277" s="13" t="str">
        <x:v>Utilities &amp; Energy</x:v>
      </x:c>
      <x:c r="E13277" s="13" t="str">
        <x:v>Utilities</x:v>
      </x:c>
      <x:c r="F13277" s="13" t="str">
        <x:v>Defensives</x:v>
      </x:c>
      <x:c r="G13277" s="13" t="str">
        <x:v>grid_wbaxp5t0.xlsx</x:v>
      </x:c>
    </x:row>
    <x:row r="13278">
      <x:c r="A13278" s="15" t="n">
        <x:v>45992</x:v>
      </x:c>
      <x:c r="B13278" s="13" t="str">
        <x:v>CIA ENERGETICA MINAS GER-PRF</x:v>
      </x:c>
      <x:c r="C13278" s="16" t="n">
        <x:v>4100.199936</x:v>
      </x:c>
      <x:c r="D13278" s="13" t="str">
        <x:v>Utilities &amp; Energy</x:v>
      </x:c>
      <x:c r="E13278" s="13" t="str">
        <x:v>Utilities</x:v>
      </x:c>
      <x:c r="F13278" s="13" t="str">
        <x:v>Defensives</x:v>
      </x:c>
      <x:c r="G13278" s="13" t="str">
        <x:v>grid_wbaxp5t0.xlsx</x:v>
      </x:c>
    </x:row>
    <x:row r="13279">
      <x:c r="A13279" s="15" t="n">
        <x:v>45992</x:v>
      </x:c>
      <x:c r="B13279" s="13" t="str">
        <x:v>COMPANHIA PARANAENSE DE ENER</x:v>
      </x:c>
      <x:c r="C13279" s="16" t="n">
        <x:v>2739.830016</x:v>
      </x:c>
      <x:c r="D13279" s="13" t="str">
        <x:v>Utilities &amp; Energy</x:v>
      </x:c>
      <x:c r="E13279" s="13" t="str">
        <x:v>Utilities</x:v>
      </x:c>
      <x:c r="F13279" s="13" t="str">
        <x:v>Defensives</x:v>
      </x:c>
      <x:c r="G13279" s="13" t="str">
        <x:v>grid_wbaxp5t0.xlsx</x:v>
      </x:c>
    </x:row>
    <x:row r="13280">
      <x:c r="A13280" s="15" t="n">
        <x:v>45992</x:v>
      </x:c>
      <x:c r="B13280" s="13" t="str">
        <x:v>CPFL ENERGIA SA</x:v>
      </x:c>
      <x:c r="C13280" s="16" t="n">
        <x:v>4881.999872</x:v>
      </x:c>
      <x:c r="D13280" s="13" t="str">
        <x:v>Utilities &amp; Energy</x:v>
      </x:c>
      <x:c r="E13280" s="13" t="str">
        <x:v>Utilities</x:v>
      </x:c>
      <x:c r="F13280" s="13" t="str">
        <x:v>Defensives</x:v>
      </x:c>
      <x:c r="G13280" s="13" t="str">
        <x:v>grid_wbaxp5t0.xlsx</x:v>
      </x:c>
    </x:row>
    <x:row r="13281">
      <x:c r="A13281" s="15" t="n">
        <x:v>45992</x:v>
      </x:c>
      <x:c r="B13281" s="13" t="str">
        <x:v>ENERGISA SA-UNITS</x:v>
      </x:c>
      <x:c r="C13281" s="16" t="n">
        <x:v>1647.379968</x:v>
      </x:c>
      <x:c r="D13281" s="13" t="str">
        <x:v>Utilities &amp; Energy</x:v>
      </x:c>
      <x:c r="E13281" s="13" t="str">
        <x:v>Utilities</x:v>
      </x:c>
      <x:c r="F13281" s="13" t="str">
        <x:v>Defensives</x:v>
      </x:c>
      <x:c r="G13281" s="13" t="str">
        <x:v>grid_wbaxp5t0.xlsx</x:v>
      </x:c>
    </x:row>
    <x:row r="13282">
      <x:c r="A13282" s="15" t="n">
        <x:v>45992</x:v>
      </x:c>
      <x:c r="B13282" s="13" t="str">
        <x:v>ENEVA SA</x:v>
      </x:c>
      <x:c r="C13282" s="16" t="n">
        <x:v>1166.249984</x:v>
      </x:c>
      <x:c r="D13282" s="13" t="str">
        <x:v>Utilities &amp; Energy</x:v>
      </x:c>
      <x:c r="E13282" s="13" t="str">
        <x:v>Utilities</x:v>
      </x:c>
      <x:c r="F13282" s="13" t="str">
        <x:v>Defensives</x:v>
      </x:c>
      <x:c r="G13282" s="13" t="str">
        <x:v>grid_wbaxp5t0.xlsx</x:v>
      </x:c>
    </x:row>
    <x:row r="13283">
      <x:c r="A13283" s="15" t="n">
        <x:v>45992</x:v>
      </x:c>
      <x:c r="B13283" s="13" t="str">
        <x:v>ENGIE BRASIL ENERGIA SA</x:v>
      </x:c>
      <x:c r="C13283" s="16" t="n">
        <x:v>3315.830016</x:v>
      </x:c>
      <x:c r="D13283" s="13" t="str">
        <x:v>Utilities &amp; Energy</x:v>
      </x:c>
      <x:c r="E13283" s="13" t="str">
        <x:v>Utilities</x:v>
      </x:c>
      <x:c r="F13283" s="13" t="str">
        <x:v>Defensives</x:v>
      </x:c>
      <x:c r="G13283" s="13" t="str">
        <x:v>grid_wbaxp5t0.xlsx</x:v>
      </x:c>
    </x:row>
    <x:row r="13284">
      <x:c r="A13284" s="15" t="n">
        <x:v>45992</x:v>
      </x:c>
      <x:c r="B13284" s="13" t="str">
        <x:v>EQUATORIAL SA - ORD</x:v>
      </x:c>
      <x:c r="C13284" s="16" t="n">
        <x:v>3801.730048</x:v>
      </x:c>
      <x:c r="D13284" s="13" t="str">
        <x:v>Utilities &amp; Energy</x:v>
      </x:c>
      <x:c r="E13284" s="13" t="str">
        <x:v>Utilities</x:v>
      </x:c>
      <x:c r="F13284" s="13" t="str">
        <x:v>Defensives</x:v>
      </x:c>
      <x:c r="G13284" s="13" t="str">
        <x:v>grid_wbaxp5t0.xlsx</x:v>
      </x:c>
    </x:row>
    <x:row r="13285">
      <x:c r="A13285" s="15" t="n">
        <x:v>45992</x:v>
      </x:c>
      <x:c r="B13285" s="13" t="str">
        <x:v>ISA ENERGIA BRASIL SA</x:v>
      </x:c>
      <x:c r="C13285" s="16" t="n">
        <x:v>1349.639936</x:v>
      </x:c>
      <x:c r="D13285" s="13" t="str">
        <x:v>Utilities &amp; Energy</x:v>
      </x:c>
      <x:c r="E13285" s="13" t="str">
        <x:v>Utilities</x:v>
      </x:c>
      <x:c r="F13285" s="13" t="str">
        <x:v>Defensives</x:v>
      </x:c>
      <x:c r="G13285" s="13" t="str">
        <x:v>grid_wbaxp5t0.xlsx</x:v>
      </x:c>
    </x:row>
    <x:row r="13286">
      <x:c r="A13286" s="15" t="n">
        <x:v>45992</x:v>
      </x:c>
      <x:c r="B13286" s="13" t="str">
        <x:v>TRANSMISSORA ALIANCA DE-UNIT</x:v>
      </x:c>
      <x:c r="C13286" s="16" t="n">
        <x:v>1369.830016</x:v>
      </x:c>
      <x:c r="D13286" s="13" t="str">
        <x:v>Utilities &amp; Energy</x:v>
      </x:c>
      <x:c r="E13286" s="13" t="str">
        <x:v>Utilities</x:v>
      </x:c>
      <x:c r="F13286" s="13" t="str">
        <x:v>Defensives</x:v>
      </x:c>
      <x:c r="G13286" s="13" t="str">
        <x:v>grid_wbaxp5t0.xlsx</x:v>
      </x:c>
    </x:row>
    <x:row r="13287">
      <x:c r="A13287" s="15" t="n">
        <x:v>46023</x:v>
      </x:c>
      <x:c r="B13287" s="13" t="str">
        <x:v>RAIZEN SA - PREFERENCE</x:v>
      </x:c>
      <x:c r="C13287" s="16" t="n">
        <x:v>-1839.7835186849</x:v>
      </x:c>
      <x:c r="D13287" s="13" t="str">
        <x:v>Agribusiness</x:v>
      </x:c>
      <x:c r="E13287" s="13" t="str">
        <x:v>Agri, Food &amp; Beverages</x:v>
      </x:c>
      <x:c r="F13287" s="13" t="str">
        <x:v>Defensives</x:v>
      </x:c>
      <x:c r="G13287" s="13" t="str">
        <x:v>grid_jx40wu4i.xlsx</x:v>
      </x:c>
    </x:row>
    <x:row r="13288">
      <x:c r="A13288" s="15" t="n">
        <x:v>46023</x:v>
      </x:c>
      <x:c r="B13288" s="13" t="str">
        <x:v>SLC AGRICOLA SA</x:v>
      </x:c>
      <x:c r="C13288" s="16" t="n">
        <x:v>686.8037961644</x:v>
      </x:c>
      <x:c r="D13288" s="13" t="str">
        <x:v>Agribusiness</x:v>
      </x:c>
      <x:c r="E13288" s="13" t="str">
        <x:v>Agri, Food &amp; Beverages</x:v>
      </x:c>
      <x:c r="F13288" s="13" t="str">
        <x:v>Defensives</x:v>
      </x:c>
      <x:c r="G13288" s="13" t="str">
        <x:v>grid_jx40wu4i.xlsx</x:v>
      </x:c>
    </x:row>
    <x:row r="13289">
      <x:c r="A13289" s="15" t="n">
        <x:v>46023</x:v>
      </x:c>
      <x:c r="B13289" s="13" t="str">
        <x:v>BANCO BRADESCO S.A.</x:v>
      </x:c>
      <x:c r="C13289" s="16" t="n">
        <x:v>29054.3731024657</x:v>
      </x:c>
      <x:c r="D13289" s="13" t="str">
        <x:v>Banks</x:v>
      </x:c>
      <x:c r="E13289" s="13" t="str">
        <x:v>Banks</x:v>
      </x:c>
      <x:c r="F13289" s="13" t="str">
        <x:v>Financials</x:v>
      </x:c>
      <x:c r="G13289" s="13" t="str">
        <x:v>grid_jx40wu4i.xlsx</x:v>
      </x:c>
    </x:row>
    <x:row r="13290">
      <x:c r="A13290" s="15" t="n">
        <x:v>46023</x:v>
      </x:c>
      <x:c r="B13290" s="13" t="str">
        <x:v>BANCO BRADESCO SA-PREF</x:v>
      </x:c>
      <x:c r="C13290" s="16" t="n">
        <x:v>29054.3731024657</x:v>
      </x:c>
      <x:c r="D13290" s="13" t="str">
        <x:v>Banks</x:v>
      </x:c>
      <x:c r="E13290" s="13" t="str">
        <x:v>Banks</x:v>
      </x:c>
      <x:c r="F13290" s="13" t="str">
        <x:v>Financials</x:v>
      </x:c>
      <x:c r="G13290" s="13" t="str">
        <x:v>grid_jx40wu4i.xlsx</x:v>
      </x:c>
    </x:row>
    <x:row r="13291">
      <x:c r="A13291" s="15" t="n">
        <x:v>46023</x:v>
      </x:c>
      <x:c r="B13291" s="13" t="str">
        <x:v>BANCO BTG PACTUAL SA-UNIT</x:v>
      </x:c>
      <x:c r="C13291" s="16" t="n">
        <x:v>19460.5786546849</x:v>
      </x:c>
      <x:c r="D13291" s="13" t="str">
        <x:v>Banks</x:v>
      </x:c>
      <x:c r="E13291" s="13" t="str">
        <x:v>Banks</x:v>
      </x:c>
      <x:c r="F13291" s="13" t="str">
        <x:v>Financials</x:v>
      </x:c>
      <x:c r="G13291" s="13" t="str">
        <x:v>grid_jx40wu4i.xlsx</x:v>
      </x:c>
    </x:row>
    <x:row r="13292">
      <x:c r="A13292" s="15" t="n">
        <x:v>46023</x:v>
      </x:c>
      <x:c r="B13292" s="13" t="str">
        <x:v>BANCO DO BRASIL S.A.</x:v>
      </x:c>
      <x:c r="C13292" s="16" t="n">
        <x:v>24920.2357795068</x:v>
      </x:c>
      <x:c r="D13292" s="13" t="str">
        <x:v>Banks</x:v>
      </x:c>
      <x:c r="E13292" s="13" t="str">
        <x:v>Banks</x:v>
      </x:c>
      <x:c r="F13292" s="13" t="str">
        <x:v>Financials</x:v>
      </x:c>
      <x:c r="G13292" s="13" t="str">
        <x:v>grid_jx40wu4i.xlsx</x:v>
      </x:c>
    </x:row>
    <x:row r="13293">
      <x:c r="A13293" s="15" t="n">
        <x:v>46023</x:v>
      </x:c>
      <x:c r="B13293" s="13" t="str">
        <x:v>BANCO SANTANDER  BRASIL-UNIT</x:v>
      </x:c>
      <x:c r="C13293" s="16" t="n">
        <x:v>17451.8449867397</x:v>
      </x:c>
      <x:c r="D13293" s="13" t="str">
        <x:v>Banks</x:v>
      </x:c>
      <x:c r="E13293" s="13" t="str">
        <x:v>Banks</x:v>
      </x:c>
      <x:c r="F13293" s="13" t="str">
        <x:v>Financials</x:v>
      </x:c>
      <x:c r="G13293" s="13" t="str">
        <x:v>grid_jx40wu4i.xlsx</x:v>
      </x:c>
    </x:row>
    <x:row r="13294">
      <x:c r="A13294" s="15" t="n">
        <x:v>46023</x:v>
      </x:c>
      <x:c r="B13294" s="13" t="str">
        <x:v>ITAU UNIBANCO HOLDING S-PREF</x:v>
      </x:c>
      <x:c r="C13294" s="16" t="n">
        <x:v>51413.3066064658</x:v>
      </x:c>
      <x:c r="D13294" s="13" t="str">
        <x:v>Banks</x:v>
      </x:c>
      <x:c r="E13294" s="13" t="str">
        <x:v>Banks</x:v>
      </x:c>
      <x:c r="F13294" s="13" t="str">
        <x:v>Financials</x:v>
      </x:c>
      <x:c r="G13294" s="13" t="str">
        <x:v>grid_jx40wu4i.xlsx</x:v>
      </x:c>
    </x:row>
    <x:row r="13295">
      <x:c r="A13295" s="15" t="n">
        <x:v>46023</x:v>
      </x:c>
      <x:c r="B13295" s="13" t="str">
        <x:v>EMBRAER SA</x:v>
      </x:c>
      <x:c r="C13295" s="16" t="n">
        <x:v>2761.5496451507</x:v>
      </x:c>
      <x:c r="D13295" s="13" t="str">
        <x:v>Capital Goods</x:v>
      </x:c>
      <x:c r="E13295" s="13" t="str">
        <x:v>Capital Goods</x:v>
      </x:c>
      <x:c r="F13295" s="13" t="str">
        <x:v>Deep Cyclicals</x:v>
      </x:c>
      <x:c r="G13295" s="13" t="str">
        <x:v>grid_jx40wu4i.xlsx</x:v>
      </x:c>
    </x:row>
    <x:row r="13296">
      <x:c r="A13296" s="15" t="n">
        <x:v>46023</x:v>
      </x:c>
      <x:c r="B13296" s="13" t="str">
        <x:v>MARCOPOLO SA-PREF</x:v>
      </x:c>
      <x:c r="C13296" s="16" t="n">
        <x:v>1241.1495276712</x:v>
      </x:c>
      <x:c r="D13296" s="13" t="str">
        <x:v>Capital Goods</x:v>
      </x:c>
      <x:c r="E13296" s="13" t="str">
        <x:v>Capital Goods</x:v>
      </x:c>
      <x:c r="F13296" s="13" t="str">
        <x:v>Deep Cyclicals</x:v>
      </x:c>
      <x:c r="G13296" s="13" t="str">
        <x:v>grid_jx40wu4i.xlsx</x:v>
      </x:c>
    </x:row>
    <x:row r="13297">
      <x:c r="A13297" s="15" t="n">
        <x:v>46023</x:v>
      </x:c>
      <x:c r="B13297" s="13" t="str">
        <x:v>WEG SA</x:v>
      </x:c>
      <x:c r="C13297" s="16" t="n">
        <x:v>7090.6500488767</x:v>
      </x:c>
      <x:c r="D13297" s="13" t="str">
        <x:v>Capital Goods</x:v>
      </x:c>
      <x:c r="E13297" s="13" t="str">
        <x:v>Capital Goods</x:v>
      </x:c>
      <x:c r="F13297" s="13" t="str">
        <x:v>Deep Cyclicals</x:v>
      </x:c>
      <x:c r="G13297" s="13" t="str">
        <x:v>grid_jx40wu4i.xlsx</x:v>
      </x:c>
    </x:row>
    <x:row r="13298">
      <x:c r="A13298" s="15" t="n">
        <x:v>46023</x:v>
      </x:c>
      <x:c r="B13298" s="13" t="str">
        <x:v>COGNA EDUCACAO</x:v>
      </x:c>
      <x:c r="C13298" s="16" t="n">
        <x:v>901.5782847123</x:v>
      </x:c>
      <x:c r="D13298" s="13" t="str">
        <x:v>Education</x:v>
      </x:c>
      <x:c r="E13298" s="13" t="str">
        <x:v>Education</x:v>
      </x:c>
      <x:c r="F13298" s="13" t="str">
        <x:v>Early Cyclicals</x:v>
      </x:c>
      <x:c r="G13298" s="13" t="str">
        <x:v>grid_jx40wu4i.xlsx</x:v>
      </x:c>
    </x:row>
    <x:row r="13299">
      <x:c r="A13299" s="15" t="n">
        <x:v>46023</x:v>
      </x:c>
      <x:c r="B13299" s="13" t="str">
        <x:v>YDUQS PARTICIPACOES SA</x:v>
      </x:c>
      <x:c r="C13299" s="16" t="n">
        <x:v>495.6390908493</x:v>
      </x:c>
      <x:c r="D13299" s="13" t="str">
        <x:v>Education</x:v>
      </x:c>
      <x:c r="E13299" s="13" t="str">
        <x:v>Education</x:v>
      </x:c>
      <x:c r="F13299" s="13" t="str">
        <x:v>Early Cyclicals</x:v>
      </x:c>
      <x:c r="G13299" s="13" t="str">
        <x:v>grid_jx40wu4i.xlsx</x:v>
      </x:c>
    </x:row>
    <x:row r="13300">
      <x:c r="A13300" s="15" t="n">
        <x:v>46023</x:v>
      </x:c>
      <x:c r="B13300" s="13" t="str">
        <x:v>B3 SA-BRASIL BOLSA BALCAO</x:v>
      </x:c>
      <x:c r="C13300" s="16" t="n">
        <x:v>5523.3096241096</x:v>
      </x:c>
      <x:c r="D13300" s="13" t="str">
        <x:v>Financials Non-Banks</x:v>
      </x:c>
      <x:c r="E13300" s="13" t="str">
        <x:v>Financials Non-Banks</x:v>
      </x:c>
      <x:c r="F13300" s="13" t="str">
        <x:v>Financials</x:v>
      </x:c>
      <x:c r="G13300" s="13" t="str">
        <x:v>grid_jx40wu4i.xlsx</x:v>
      </x:c>
    </x:row>
    <x:row r="13301">
      <x:c r="A13301" s="15" t="n">
        <x:v>46023</x:v>
      </x:c>
      <x:c r="B13301" s="13" t="str">
        <x:v>BB SEGURIDADE PARTICIPACOES</x:v>
      </x:c>
      <x:c r="C13301" s="16" t="n">
        <x:v>8758.261830137</x:v>
      </x:c>
      <x:c r="D13301" s="13" t="str">
        <x:v>Financials Non-Banks</x:v>
      </x:c>
      <x:c r="E13301" s="13" t="str">
        <x:v>Financials Non-Banks</x:v>
      </x:c>
      <x:c r="F13301" s="13" t="str">
        <x:v>Financials</x:v>
      </x:c>
      <x:c r="G13301" s="13" t="str">
        <x:v>grid_jx40wu4i.xlsx</x:v>
      </x:c>
    </x:row>
    <x:row r="13302">
      <x:c r="A13302" s="15" t="n">
        <x:v>46023</x:v>
      </x:c>
      <x:c r="B13302" s="13" t="str">
        <x:v>CAIXA SEGURIDADE PARTICIPACO</x:v>
      </x:c>
      <x:c r="C13302" s="16" t="n">
        <x:v>4764.0642980822</x:v>
      </x:c>
      <x:c r="D13302" s="13" t="str">
        <x:v>Financials Non-Banks</x:v>
      </x:c>
      <x:c r="E13302" s="13" t="str">
        <x:v>Financials Non-Banks</x:v>
      </x:c>
      <x:c r="F13302" s="13" t="str">
        <x:v>Financials</x:v>
      </x:c>
      <x:c r="G13302" s="13" t="str">
        <x:v>grid_jx40wu4i.xlsx</x:v>
      </x:c>
    </x:row>
    <x:row r="13303">
      <x:c r="A13303" s="15" t="n">
        <x:v>46023</x:v>
      </x:c>
      <x:c r="B13303" s="13" t="str">
        <x:v>IRB BRASIL RESSEGUROS SA</x:v>
      </x:c>
      <x:c r="C13303" s="16" t="n">
        <x:v>623.1548659726</x:v>
      </x:c>
      <x:c r="D13303" s="13" t="str">
        <x:v>Financials Non-Banks</x:v>
      </x:c>
      <x:c r="E13303" s="13" t="str">
        <x:v>Financials Non-Banks</x:v>
      </x:c>
      <x:c r="F13303" s="13" t="str">
        <x:v>Financials</x:v>
      </x:c>
      <x:c r="G13303" s="13" t="str">
        <x:v>grid_jx40wu4i.xlsx</x:v>
      </x:c>
    </x:row>
    <x:row r="13304">
      <x:c r="A13304" s="15" t="n">
        <x:v>46023</x:v>
      </x:c>
      <x:c r="B13304" s="13" t="str">
        <x:v>ITAUSA SA</x:v>
      </x:c>
      <x:c r="C13304" s="16" t="n">
        <x:v>18814.4925036712</x:v>
      </x:c>
      <x:c r="D13304" s="13" t="str">
        <x:v>Financials Non-Banks</x:v>
      </x:c>
      <x:c r="E13304" s="13" t="str">
        <x:v>Financials Non-Banks</x:v>
      </x:c>
      <x:c r="F13304" s="13" t="str">
        <x:v>Financials</x:v>
      </x:c>
      <x:c r="G13304" s="13" t="str">
        <x:v>grid_jx40wu4i.xlsx</x:v>
      </x:c>
    </x:row>
    <x:row r="13305">
      <x:c r="A13305" s="15" t="n">
        <x:v>46023</x:v>
      </x:c>
      <x:c r="B13305" s="13" t="str">
        <x:v>PORTO SEGURO SA</x:v>
      </x:c>
      <x:c r="C13305" s="16" t="n">
        <x:v>3675.6316931507</x:v>
      </x:c>
      <x:c r="D13305" s="13" t="str">
        <x:v>Financials Non-Banks</x:v>
      </x:c>
      <x:c r="E13305" s="13" t="str">
        <x:v>Financials Non-Banks</x:v>
      </x:c>
      <x:c r="F13305" s="13" t="str">
        <x:v>Financials</x:v>
      </x:c>
      <x:c r="G13305" s="13" t="str">
        <x:v>grid_jx40wu4i.xlsx</x:v>
      </x:c>
    </x:row>
    <x:row r="13306">
      <x:c r="A13306" s="15" t="n">
        <x:v>46023</x:v>
      </x:c>
      <x:c r="B13306" s="13" t="str">
        <x:v>AMBEV SA</x:v>
      </x:c>
      <x:c r="C13306" s="16" t="n">
        <x:v>15943.5932686027</x:v>
      </x:c>
      <x:c r="D13306" s="13" t="str">
        <x:v>Food &amp; Beverages</x:v>
      </x:c>
      <x:c r="E13306" s="13" t="str">
        <x:v>Agri, Food &amp; Beverages</x:v>
      </x:c>
      <x:c r="F13306" s="13" t="str">
        <x:v>Defensives</x:v>
      </x:c>
      <x:c r="G13306" s="13" t="str">
        <x:v>grid_jx40wu4i.xlsx</x:v>
      </x:c>
    </x:row>
    <x:row r="13307">
      <x:c r="A13307" s="15" t="n">
        <x:v>46023</x:v>
      </x:c>
      <x:c r="B13307" s="13" t="str">
        <x:v>MBRF GLOBAL FOODS COMPANY SA</x:v>
      </x:c>
      <x:c r="C13307" s="16" t="n">
        <x:v>549.4440604932</x:v>
      </x:c>
      <x:c r="D13307" s="13" t="str">
        <x:v>Food &amp; Beverages</x:v>
      </x:c>
      <x:c r="E13307" s="13" t="str">
        <x:v>Agri, Food &amp; Beverages</x:v>
      </x:c>
      <x:c r="F13307" s="13" t="str">
        <x:v>Defensives</x:v>
      </x:c>
      <x:c r="G13307" s="13" t="str">
        <x:v>grid_jx40wu4i.xlsx</x:v>
      </x:c>
    </x:row>
    <x:row r="13308">
      <x:c r="A13308" s="15" t="n">
        <x:v>46023</x:v>
      </x:c>
      <x:c r="B13308" s="13" t="str">
        <x:v>MINERVA SA</x:v>
      </x:c>
      <x:c r="C13308" s="16" t="n">
        <x:v>1094.9539980274</x:v>
      </x:c>
      <x:c r="D13308" s="13" t="str">
        <x:v>Food &amp; Beverages</x:v>
      </x:c>
      <x:c r="E13308" s="13" t="str">
        <x:v>Agri, Food &amp; Beverages</x:v>
      </x:c>
      <x:c r="F13308" s="13" t="str">
        <x:v>Defensives</x:v>
      </x:c>
      <x:c r="G13308" s="13" t="str">
        <x:v>grid_jx40wu4i.xlsx</x:v>
      </x:c>
    </x:row>
    <x:row r="13309">
      <x:c r="A13309" s="15" t="n">
        <x:v>46023</x:v>
      </x:c>
      <x:c r="B13309" s="13" t="str">
        <x:v>FLEURY SA</x:v>
      </x:c>
      <x:c r="C13309" s="16" t="n">
        <x:v>690.6399465205</x:v>
      </x:c>
      <x:c r="D13309" s="13" t="str">
        <x:v>Health Care</x:v>
      </x:c>
      <x:c r="E13309" s="13" t="str">
        <x:v>Health Care</x:v>
      </x:c>
      <x:c r="F13309" s="13" t="str">
        <x:v>Defensives</x:v>
      </x:c>
      <x:c r="G13309" s="13" t="str">
        <x:v>grid_jx40wu4i.xlsx</x:v>
      </x:c>
    </x:row>
    <x:row r="13310">
      <x:c r="A13310" s="15" t="n">
        <x:v>46023</x:v>
      </x:c>
      <x:c r="B13310" s="13" t="str">
        <x:v>HAPVIDA PARTICIPACOES E INVE</x:v>
      </x:c>
      <x:c r="C13310" s="16" t="n">
        <x:v>855.2452366027</x:v>
      </x:c>
      <x:c r="D13310" s="13" t="str">
        <x:v>Health Care</x:v>
      </x:c>
      <x:c r="E13310" s="13" t="str">
        <x:v>Health Care</x:v>
      </x:c>
      <x:c r="F13310" s="13" t="str">
        <x:v>Defensives</x:v>
      </x:c>
      <x:c r="G13310" s="13" t="str">
        <x:v>grid_jx40wu4i.xlsx</x:v>
      </x:c>
    </x:row>
    <x:row r="13311">
      <x:c r="A13311" s="15" t="n">
        <x:v>46023</x:v>
      </x:c>
      <x:c r="B13311" s="13" t="str">
        <x:v>HYPERA SA</x:v>
      </x:c>
      <x:c r="C13311" s="16" t="n">
        <x:v>1811.2150671781</x:v>
      </x:c>
      <x:c r="D13311" s="13" t="str">
        <x:v>Health Care</x:v>
      </x:c>
      <x:c r="E13311" s="13" t="str">
        <x:v>Health Care</x:v>
      </x:c>
      <x:c r="F13311" s="13" t="str">
        <x:v>Defensives</x:v>
      </x:c>
      <x:c r="G13311" s="13" t="str">
        <x:v>grid_jx40wu4i.xlsx</x:v>
      </x:c>
    </x:row>
    <x:row r="13312">
      <x:c r="A13312" s="15" t="n">
        <x:v>46023</x:v>
      </x:c>
      <x:c r="B13312" s="13" t="str">
        <x:v>REDE D'OR SAO LUIZ SA</x:v>
      </x:c>
      <x:c r="C13312" s="16" t="n">
        <x:v>5699.1143627397</x:v>
      </x:c>
      <x:c r="D13312" s="13" t="str">
        <x:v>Health Care</x:v>
      </x:c>
      <x:c r="E13312" s="13" t="str">
        <x:v>Health Care</x:v>
      </x:c>
      <x:c r="F13312" s="13" t="str">
        <x:v>Defensives</x:v>
      </x:c>
      <x:c r="G13312" s="13" t="str">
        <x:v>grid_jx40wu4i.xlsx</x:v>
      </x:c>
    </x:row>
    <x:row r="13313">
      <x:c r="A13313" s="15" t="n">
        <x:v>46023</x:v>
      </x:c>
      <x:c r="B13313" s="13" t="str">
        <x:v>CURY CONSTRUTORA E INCORPORA</x:v>
      </x:c>
      <x:c r="C13313" s="16" t="n">
        <x:v>1246.6167443288</x:v>
      </x:c>
      <x:c r="D13313" s="13" t="str">
        <x:v>Homebuilders</x:v>
      </x:c>
      <x:c r="E13313" s="13" t="str">
        <x:v>Real Estate</x:v>
      </x:c>
      <x:c r="F13313" s="13" t="str">
        <x:v>Early Cyclicals</x:v>
      </x:c>
      <x:c r="G13313" s="13" t="str">
        <x:v>grid_jx40wu4i.xlsx</x:v>
      </x:c>
    </x:row>
    <x:row r="13314">
      <x:c r="A13314" s="15" t="n">
        <x:v>46023</x:v>
      </x:c>
      <x:c r="B13314" s="13" t="str">
        <x:v>CYRELA BRAZIL REALTY SA EMP</x:v>
      </x:c>
      <x:c r="C13314" s="16" t="n">
        <x:v>2033.6051059726</x:v>
      </x:c>
      <x:c r="D13314" s="13" t="str">
        <x:v>Homebuilders</x:v>
      </x:c>
      <x:c r="E13314" s="13" t="str">
        <x:v>Real Estate</x:v>
      </x:c>
      <x:c r="F13314" s="13" t="str">
        <x:v>Early Cyclicals</x:v>
      </x:c>
      <x:c r="G13314" s="13" t="str">
        <x:v>grid_jx40wu4i.xlsx</x:v>
      </x:c>
    </x:row>
    <x:row r="13315">
      <x:c r="A13315" s="15" t="n">
        <x:v>46023</x:v>
      </x:c>
      <x:c r="B13315" s="13" t="str">
        <x:v>DIRECIONAL ENGENHARIA SA</x:v>
      </x:c>
      <x:c r="C13315" s="16" t="n">
        <x:v>1031.5290090959</x:v>
      </x:c>
      <x:c r="D13315" s="13" t="str">
        <x:v>Homebuilders</x:v>
      </x:c>
      <x:c r="E13315" s="13" t="str">
        <x:v>Real Estate</x:v>
      </x:c>
      <x:c r="F13315" s="13" t="str">
        <x:v>Early Cyclicals</x:v>
      </x:c>
      <x:c r="G13315" s="13" t="str">
        <x:v>grid_jx40wu4i.xlsx</x:v>
      </x:c>
    </x:row>
    <x:row r="13316">
      <x:c r="A13316" s="15" t="n">
        <x:v>46023</x:v>
      </x:c>
      <x:c r="B13316" s="13" t="str">
        <x:v>MRV ENGENHARIA</x:v>
      </x:c>
      <x:c r="C13316" s="16" t="n">
        <x:v>739.0544885479</x:v>
      </x:c>
      <x:c r="D13316" s="13" t="str">
        <x:v>Homebuilders</x:v>
      </x:c>
      <x:c r="E13316" s="13" t="str">
        <x:v>Real Estate</x:v>
      </x:c>
      <x:c r="F13316" s="13" t="str">
        <x:v>Early Cyclicals</x:v>
      </x:c>
      <x:c r="G13316" s="13" t="str">
        <x:v>grid_jx40wu4i.xlsx</x:v>
      </x:c>
    </x:row>
    <x:row r="13317">
      <x:c r="A13317" s="15" t="n">
        <x:v>46023</x:v>
      </x:c>
      <x:c r="B13317" s="13" t="str">
        <x:v>ALLOS SA</x:v>
      </x:c>
      <x:c r="C13317" s="16" t="n">
        <x:v>989.4263715068</x:v>
      </x:c>
      <x:c r="D13317" s="13" t="str">
        <x:v>Income Properties</x:v>
      </x:c>
      <x:c r="E13317" s="13" t="str">
        <x:v>Real Estate</x:v>
      </x:c>
      <x:c r="F13317" s="13" t="str">
        <x:v>Early Cyclicals</x:v>
      </x:c>
      <x:c r="G13317" s="13" t="str">
        <x:v>grid_jx40wu4i.xlsx</x:v>
      </x:c>
    </x:row>
    <x:row r="13318">
      <x:c r="A13318" s="15" t="n">
        <x:v>46023</x:v>
      </x:c>
      <x:c r="B13318" s="13" t="str">
        <x:v>IGUATEMI SA - UNITS</x:v>
      </x:c>
      <x:c r="C13318" s="16" t="n">
        <x:v>593.5263351233</x:v>
      </x:c>
      <x:c r="D13318" s="13" t="str">
        <x:v>Income Properties</x:v>
      </x:c>
      <x:c r="E13318" s="13" t="str">
        <x:v>Real Estate</x:v>
      </x:c>
      <x:c r="F13318" s="13" t="str">
        <x:v>Early Cyclicals</x:v>
      </x:c>
      <x:c r="G13318" s="13" t="str">
        <x:v>grid_jx40wu4i.xlsx</x:v>
      </x:c>
    </x:row>
    <x:row r="13319">
      <x:c r="A13319" s="15" t="n">
        <x:v>46023</x:v>
      </x:c>
      <x:c r="B13319" s="13" t="str">
        <x:v>MULTIPLAN EMPREENDIMENTOS</x:v>
      </x:c>
      <x:c r="C13319" s="16" t="n">
        <x:v>1102.9076725479</x:v>
      </x:c>
      <x:c r="D13319" s="13" t="str">
        <x:v>Income Properties</x:v>
      </x:c>
      <x:c r="E13319" s="13" t="str">
        <x:v>Real Estate</x:v>
      </x:c>
      <x:c r="F13319" s="13" t="str">
        <x:v>Early Cyclicals</x:v>
      </x:c>
      <x:c r="G13319" s="13" t="str">
        <x:v>grid_jx40wu4i.xlsx</x:v>
      </x:c>
    </x:row>
    <x:row r="13320">
      <x:c r="A13320" s="15" t="n">
        <x:v>46023</x:v>
      </x:c>
      <x:c r="B13320" s="13" t="str">
        <x:v>BRADESPAR SA -PREF</x:v>
      </x:c>
      <x:c r="C13320" s="16" t="n">
        <x:v>1826.5000293699</x:v>
      </x:c>
      <x:c r="D13320" s="13" t="str">
        <x:v>Metals &amp; Mining</x:v>
      </x:c>
      <x:c r="E13320" s="13" t="str">
        <x:v>Metals &amp; Mining</x:v>
      </x:c>
      <x:c r="F13320" s="13" t="str">
        <x:v>Deep Cyclicals</x:v>
      </x:c>
      <x:c r="G13320" s="13" t="str">
        <x:v>grid_jx40wu4i.xlsx</x:v>
      </x:c>
    </x:row>
    <x:row r="13321">
      <x:c r="A13321" s="15" t="n">
        <x:v>46023</x:v>
      </x:c>
      <x:c r="B13321" s="13" t="str">
        <x:v>CIA SIDERURGICA NACIONAL SA</x:v>
      </x:c>
      <x:c r="C13321" s="16" t="n">
        <x:v>434.5773571507</x:v>
      </x:c>
      <x:c r="D13321" s="13" t="str">
        <x:v>Metals &amp; Mining</x:v>
      </x:c>
      <x:c r="E13321" s="13" t="str">
        <x:v>Metals &amp; Mining</x:v>
      </x:c>
      <x:c r="F13321" s="13" t="str">
        <x:v>Deep Cyclicals</x:v>
      </x:c>
      <x:c r="G13321" s="13" t="str">
        <x:v>grid_jx40wu4i.xlsx</x:v>
      </x:c>
    </x:row>
    <x:row r="13322">
      <x:c r="A13322" s="15" t="n">
        <x:v>46023</x:v>
      </x:c>
      <x:c r="B13322" s="13" t="str">
        <x:v>CSN MINERACAO SA</x:v>
      </x:c>
      <x:c r="C13322" s="16" t="n">
        <x:v>2207.7067958356</x:v>
      </x:c>
      <x:c r="D13322" s="13" t="str">
        <x:v>Metals &amp; Mining</x:v>
      </x:c>
      <x:c r="E13322" s="13" t="str">
        <x:v>Metals &amp; Mining</x:v>
      </x:c>
      <x:c r="F13322" s="13" t="str">
        <x:v>Deep Cyclicals</x:v>
      </x:c>
      <x:c r="G13322" s="13" t="str">
        <x:v>grid_jx40wu4i.xlsx</x:v>
      </x:c>
    </x:row>
    <x:row r="13323">
      <x:c r="A13323" s="15" t="n">
        <x:v>46023</x:v>
      </x:c>
      <x:c r="B13323" s="13" t="str">
        <x:v>GERDAU SA-PREF</x:v>
      </x:c>
      <x:c r="C13323" s="16" t="n">
        <x:v>4939.9398820822</x:v>
      </x:c>
      <x:c r="D13323" s="13" t="str">
        <x:v>Metals &amp; Mining</x:v>
      </x:c>
      <x:c r="E13323" s="13" t="str">
        <x:v>Metals &amp; Mining</x:v>
      </x:c>
      <x:c r="F13323" s="13" t="str">
        <x:v>Deep Cyclicals</x:v>
      </x:c>
      <x:c r="G13323" s="13" t="str">
        <x:v>grid_jx40wu4i.xlsx</x:v>
      </x:c>
    </x:row>
    <x:row r="13324">
      <x:c r="A13324" s="15" t="n">
        <x:v>46023</x:v>
      </x:c>
      <x:c r="B13324" s="13" t="str">
        <x:v>USINAS SIDER MINAS GER-PF A</x:v>
      </x:c>
      <x:c r="C13324" s="16" t="n">
        <x:v>617.4514481096</x:v>
      </x:c>
      <x:c r="D13324" s="13" t="str">
        <x:v>Metals &amp; Mining</x:v>
      </x:c>
      <x:c r="E13324" s="13" t="str">
        <x:v>Metals &amp; Mining</x:v>
      </x:c>
      <x:c r="F13324" s="13" t="str">
        <x:v>Deep Cyclicals</x:v>
      </x:c>
      <x:c r="G13324" s="13" t="str">
        <x:v>grid_jx40wu4i.xlsx</x:v>
      </x:c>
    </x:row>
    <x:row r="13325">
      <x:c r="A13325" s="15" t="n">
        <x:v>46023</x:v>
      </x:c>
      <x:c r="B13325" s="13" t="str">
        <x:v>VALE SA</x:v>
      </x:c>
      <x:c r="C13325" s="16" t="n">
        <x:v>46044.6749176986</x:v>
      </x:c>
      <x:c r="D13325" s="13" t="str">
        <x:v>Metals &amp; Mining</x:v>
      </x:c>
      <x:c r="E13325" s="13" t="str">
        <x:v>Metals &amp; Mining</x:v>
      </x:c>
      <x:c r="F13325" s="13" t="str">
        <x:v>Deep Cyclicals</x:v>
      </x:c>
      <x:c r="G13325" s="13" t="str">
        <x:v>grid_jx40wu4i.xlsx</x:v>
      </x:c>
    </x:row>
    <x:row r="13326">
      <x:c r="A13326" s="15" t="n">
        <x:v>46023</x:v>
      </x:c>
      <x:c r="B13326" s="13" t="str">
        <x:v>BRASKEM SA-PREF A</x:v>
      </x:c>
      <x:c r="C13326" s="16" t="n">
        <x:v>-2732.7447697534</x:v>
      </x:c>
      <x:c r="D13326" s="13" t="str">
        <x:v>Oil, Gas &amp; Petrochemicals</x:v>
      </x:c>
      <x:c r="E13326" s="13" t="str">
        <x:v>Oil, Gas &amp; Petrochemicals</x:v>
      </x:c>
      <x:c r="F13326" s="13" t="str">
        <x:v>Deep Cyclicals</x:v>
      </x:c>
      <x:c r="G13326" s="13" t="str">
        <x:v>grid_jx40wu4i.xlsx</x:v>
      </x:c>
    </x:row>
    <x:row r="13327">
      <x:c r="A13327" s="15" t="n">
        <x:v>46023</x:v>
      </x:c>
      <x:c r="B13327" s="13" t="str">
        <x:v>BRAVA ENERGIA</x:v>
      </x:c>
      <x:c r="C13327" s="16" t="n">
        <x:v>1315.3110268493</x:v>
      </x:c>
      <x:c r="D13327" s="13" t="str">
        <x:v>Oil, Gas &amp; Petrochemicals</x:v>
      </x:c>
      <x:c r="E13327" s="13" t="str">
        <x:v>Oil, Gas &amp; Petrochemicals</x:v>
      </x:c>
      <x:c r="F13327" s="13" t="str">
        <x:v>Deep Cyclicals</x:v>
      </x:c>
      <x:c r="G13327" s="13" t="str">
        <x:v>grid_jx40wu4i.xlsx</x:v>
      </x:c>
    </x:row>
    <x:row r="13328">
      <x:c r="A13328" s="15" t="n">
        <x:v>46023</x:v>
      </x:c>
      <x:c r="B13328" s="13" t="str">
        <x:v>COSAN SA</x:v>
      </x:c>
      <x:c r="C13328" s="16" t="n">
        <x:v>3161.8383956164</x:v>
      </x:c>
      <x:c r="D13328" s="13" t="str">
        <x:v>Oil, Gas &amp; Petrochemicals</x:v>
      </x:c>
      <x:c r="E13328" s="13" t="str">
        <x:v>Oil, Gas &amp; Petrochemicals</x:v>
      </x:c>
      <x:c r="F13328" s="13" t="str">
        <x:v>Deep Cyclicals</x:v>
      </x:c>
      <x:c r="G13328" s="13" t="str">
        <x:v>grid_jx40wu4i.xlsx</x:v>
      </x:c>
    </x:row>
    <x:row r="13329">
      <x:c r="A13329" s="15" t="n">
        <x:v>46023</x:v>
      </x:c>
      <x:c r="B13329" s="13" t="str">
        <x:v>PETROBRAS - PETROLEO BRAS</x:v>
      </x:c>
      <x:c r="C13329" s="16" t="n">
        <x:v>69518.9190908493</x:v>
      </x:c>
      <x:c r="D13329" s="13" t="str">
        <x:v>Oil, Gas &amp; Petrochemicals</x:v>
      </x:c>
      <x:c r="E13329" s="13" t="str">
        <x:v>Oil, Gas &amp; Petrochemicals</x:v>
      </x:c>
      <x:c r="F13329" s="13" t="str">
        <x:v>Deep Cyclicals</x:v>
      </x:c>
      <x:c r="G13329" s="13" t="str">
        <x:v>grid_jx40wu4i.xlsx</x:v>
      </x:c>
    </x:row>
    <x:row r="13330">
      <x:c r="A13330" s="15" t="n">
        <x:v>46023</x:v>
      </x:c>
      <x:c r="B13330" s="13" t="str">
        <x:v>PETRORECONCAVO SA</x:v>
      </x:c>
      <x:c r="C13330" s="16" t="n">
        <x:v>354.4869716164</x:v>
      </x:c>
      <x:c r="D13330" s="13" t="str">
        <x:v>Oil, Gas &amp; Petrochemicals</x:v>
      </x:c>
      <x:c r="E13330" s="13" t="str">
        <x:v>Oil, Gas &amp; Petrochemicals</x:v>
      </x:c>
      <x:c r="F13330" s="13" t="str">
        <x:v>Deep Cyclicals</x:v>
      </x:c>
      <x:c r="G13330" s="13" t="str">
        <x:v>grid_jx40wu4i.xlsx</x:v>
      </x:c>
    </x:row>
    <x:row r="13331">
      <x:c r="A13331" s="15" t="n">
        <x:v>46023</x:v>
      </x:c>
      <x:c r="B13331" s="13" t="str">
        <x:v>PRIO SA</x:v>
      </x:c>
      <x:c r="C13331" s="16" t="n">
        <x:v>4357.2571248219</x:v>
      </x:c>
      <x:c r="D13331" s="13" t="str">
        <x:v>Oil, Gas &amp; Petrochemicals</x:v>
      </x:c>
      <x:c r="E13331" s="13" t="str">
        <x:v>Oil, Gas &amp; Petrochemicals</x:v>
      </x:c>
      <x:c r="F13331" s="13" t="str">
        <x:v>Deep Cyclicals</x:v>
      </x:c>
      <x:c r="G13331" s="13" t="str">
        <x:v>grid_jx40wu4i.xlsx</x:v>
      </x:c>
    </x:row>
    <x:row r="13332">
      <x:c r="A13332" s="15" t="n">
        <x:v>46023</x:v>
      </x:c>
      <x:c r="B13332" s="13" t="str">
        <x:v>ULTRAPAR PARTICIPACOES SA</x:v>
      </x:c>
      <x:c r="C13332" s="16" t="n">
        <x:v>2384.2330932603</x:v>
      </x:c>
      <x:c r="D13332" s="13" t="str">
        <x:v>Oil, Gas &amp; Petrochemicals</x:v>
      </x:c>
      <x:c r="E13332" s="13" t="str">
        <x:v>Oil, Gas &amp; Petrochemicals</x:v>
      </x:c>
      <x:c r="F13332" s="13" t="str">
        <x:v>Deep Cyclicals</x:v>
      </x:c>
      <x:c r="G13332" s="13" t="str">
        <x:v>grid_jx40wu4i.xlsx</x:v>
      </x:c>
    </x:row>
    <x:row r="13333">
      <x:c r="A13333" s="15" t="n">
        <x:v>46023</x:v>
      </x:c>
      <x:c r="B13333" s="13" t="str">
        <x:v>VIBRA ENERGIA SA</x:v>
      </x:c>
      <x:c r="C13333" s="16" t="n">
        <x:v>2871.0363423562</x:v>
      </x:c>
      <x:c r="D13333" s="13" t="str">
        <x:v>Oil, Gas &amp; Petrochemicals</x:v>
      </x:c>
      <x:c r="E13333" s="13" t="str">
        <x:v>Oil, Gas &amp; Petrochemicals</x:v>
      </x:c>
      <x:c r="F13333" s="13" t="str">
        <x:v>Deep Cyclicals</x:v>
      </x:c>
      <x:c r="G13333" s="13" t="str">
        <x:v>grid_jx40wu4i.xlsx</x:v>
      </x:c>
    </x:row>
    <x:row r="13334">
      <x:c r="A13334" s="15" t="n">
        <x:v>46023</x:v>
      </x:c>
      <x:c r="B13334" s="13" t="str">
        <x:v>KLABIN SA - UNIT</x:v>
      </x:c>
      <x:c r="C13334" s="16" t="n">
        <x:v>1960.3205225205</x:v>
      </x:c>
      <x:c r="D13334" s="13" t="str">
        <x:v>Pulp &amp; Paper</x:v>
      </x:c>
      <x:c r="E13334" s="13" t="str">
        <x:v>Pulp &amp; Paper</x:v>
      </x:c>
      <x:c r="F13334" s="13" t="str">
        <x:v>Deep Cyclicals</x:v>
      </x:c>
      <x:c r="G13334" s="13" t="str">
        <x:v>grid_jx40wu4i.xlsx</x:v>
      </x:c>
    </x:row>
    <x:row r="13335">
      <x:c r="A13335" s="15" t="n">
        <x:v>46023</x:v>
      </x:c>
      <x:c r="B13335" s="13" t="str">
        <x:v>SUZANO SA</x:v>
      </x:c>
      <x:c r="C13335" s="16" t="n">
        <x:v>6836.4992245479</x:v>
      </x:c>
      <x:c r="D13335" s="13" t="str">
        <x:v>Pulp &amp; Paper</x:v>
      </x:c>
      <x:c r="E13335" s="13" t="str">
        <x:v>Pulp &amp; Paper</x:v>
      </x:c>
      <x:c r="F13335" s="13" t="str">
        <x:v>Deep Cyclicals</x:v>
      </x:c>
      <x:c r="G13335" s="13" t="str">
        <x:v>grid_jx40wu4i.xlsx</x:v>
      </x:c>
    </x:row>
    <x:row r="13336">
      <x:c r="A13336" s="15" t="n">
        <x:v>46023</x:v>
      </x:c>
      <x:c r="B13336" s="13" t="str">
        <x:v>AZZAS 2154 SA</x:v>
      </x:c>
      <x:c r="C13336" s="16" t="n">
        <x:v>765.4777433425</x:v>
      </x:c>
      <x:c r="D13336" s="13" t="str">
        <x:v>Retail</x:v>
      </x:c>
      <x:c r="E13336" s="13" t="str">
        <x:v>Retail</x:v>
      </x:c>
      <x:c r="F13336" s="13" t="str">
        <x:v>Early Cyclicals</x:v>
      </x:c>
      <x:c r="G13336" s="13" t="str">
        <x:v>grid_jx40wu4i.xlsx</x:v>
      </x:c>
    </x:row>
    <x:row r="13337">
      <x:c r="A13337" s="15" t="n">
        <x:v>46023</x:v>
      </x:c>
      <x:c r="B13337" s="13" t="str">
        <x:v>C&amp;A MODAS LTDA</x:v>
      </x:c>
      <x:c r="C13337" s="16" t="n">
        <x:v>541.1284313425</x:v>
      </x:c>
      <x:c r="D13337" s="13" t="str">
        <x:v>Retail</x:v>
      </x:c>
      <x:c r="E13337" s="13" t="str">
        <x:v>Retail</x:v>
      </x:c>
      <x:c r="F13337" s="13" t="str">
        <x:v>Early Cyclicals</x:v>
      </x:c>
      <x:c r="G13337" s="13" t="str">
        <x:v>grid_jx40wu4i.xlsx</x:v>
      </x:c>
    </x:row>
    <x:row r="13338">
      <x:c r="A13338" s="15" t="n">
        <x:v>46023</x:v>
      </x:c>
      <x:c r="B13338" s="13" t="str">
        <x:v>CIA BRASILEIRA DE DISTRIBUIC</x:v>
      </x:c>
      <x:c r="C13338" s="16" t="n">
        <x:v>-440.9691029041</x:v>
      </x:c>
      <x:c r="D13338" s="13" t="str">
        <x:v>Retail</x:v>
      </x:c>
      <x:c r="E13338" s="13" t="str">
        <x:v>Retail</x:v>
      </x:c>
      <x:c r="F13338" s="13" t="str">
        <x:v>Early Cyclicals</x:v>
      </x:c>
      <x:c r="G13338" s="13" t="str">
        <x:v>grid_jx40wu4i.xlsx</x:v>
      </x:c>
    </x:row>
    <x:row r="13339">
      <x:c r="A13339" s="15" t="n">
        <x:v>46023</x:v>
      </x:c>
      <x:c r="B13339" s="13" t="str">
        <x:v>LOJAS RENNER S.A.</x:v>
      </x:c>
      <x:c r="C13339" s="16" t="n">
        <x:v>1568.2692523836</x:v>
      </x:c>
      <x:c r="D13339" s="13" t="str">
        <x:v>Retail</x:v>
      </x:c>
      <x:c r="E13339" s="13" t="str">
        <x:v>Retail</x:v>
      </x:c>
      <x:c r="F13339" s="13" t="str">
        <x:v>Early Cyclicals</x:v>
      </x:c>
      <x:c r="G13339" s="13" t="str">
        <x:v>grid_jx40wu4i.xlsx</x:v>
      </x:c>
    </x:row>
    <x:row r="13340">
      <x:c r="A13340" s="15" t="n">
        <x:v>46023</x:v>
      </x:c>
      <x:c r="B13340" s="13" t="str">
        <x:v>MAGAZINE LUIZA SA</x:v>
      </x:c>
      <x:c r="C13340" s="16" t="n">
        <x:v>408.8802428493</x:v>
      </x:c>
      <x:c r="D13340" s="13" t="str">
        <x:v>Retail</x:v>
      </x:c>
      <x:c r="E13340" s="13" t="str">
        <x:v>Retail</x:v>
      </x:c>
      <x:c r="F13340" s="13" t="str">
        <x:v>Early Cyclicals</x:v>
      </x:c>
      <x:c r="G13340" s="13" t="str">
        <x:v>grid_jx40wu4i.xlsx</x:v>
      </x:c>
    </x:row>
    <x:row r="13341">
      <x:c r="A13341" s="15" t="n">
        <x:v>46023</x:v>
      </x:c>
      <x:c r="B13341" s="13" t="str">
        <x:v>NATURA COSMETICOS SA</x:v>
      </x:c>
      <x:c r="C13341" s="16" t="n">
        <x:v>1262.1559197808</x:v>
      </x:c>
      <x:c r="D13341" s="13" t="str">
        <x:v>Retail</x:v>
      </x:c>
      <x:c r="E13341" s="13" t="str">
        <x:v>Retail</x:v>
      </x:c>
      <x:c r="F13341" s="13" t="str">
        <x:v>Early Cyclicals</x:v>
      </x:c>
      <x:c r="G13341" s="13" t="str">
        <x:v>grid_jx40wu4i.xlsx</x:v>
      </x:c>
    </x:row>
    <x:row r="13342">
      <x:c r="A13342" s="15" t="n">
        <x:v>46023</x:v>
      </x:c>
      <x:c r="B13342" s="13" t="str">
        <x:v>RAIA DROGASIL SA</x:v>
      </x:c>
      <x:c r="C13342" s="16" t="n">
        <x:v>1735.3979651507</x:v>
      </x:c>
      <x:c r="D13342" s="13" t="str">
        <x:v>Retail</x:v>
      </x:c>
      <x:c r="E13342" s="13" t="str">
        <x:v>Retail</x:v>
      </x:c>
      <x:c r="F13342" s="13" t="str">
        <x:v>Early Cyclicals</x:v>
      </x:c>
      <x:c r="G13342" s="13" t="str">
        <x:v>grid_jx40wu4i.xlsx</x:v>
      </x:c>
    </x:row>
    <x:row r="13343">
      <x:c r="A13343" s="15" t="n">
        <x:v>46023</x:v>
      </x:c>
      <x:c r="B13343" s="13" t="str">
        <x:v>SENDAS DISTRIBUIDORA SA</x:v>
      </x:c>
      <x:c r="C13343" s="16" t="n">
        <x:v>1016.5567123288</x:v>
      </x:c>
      <x:c r="D13343" s="13" t="str">
        <x:v>Retail</x:v>
      </x:c>
      <x:c r="E13343" s="13" t="str">
        <x:v>Retail</x:v>
      </x:c>
      <x:c r="F13343" s="13" t="str">
        <x:v>Early Cyclicals</x:v>
      </x:c>
      <x:c r="G13343" s="13" t="str">
        <x:v>grid_jx40wu4i.xlsx</x:v>
      </x:c>
    </x:row>
    <x:row r="13344">
      <x:c r="A13344" s="15" t="n">
        <x:v>46023</x:v>
      </x:c>
      <x:c r="B13344" s="13" t="str">
        <x:v>SMARTFIT - ORDINARY</x:v>
      </x:c>
      <x:c r="C13344" s="16" t="n">
        <x:v>988.598860274</x:v>
      </x:c>
      <x:c r="D13344" s="13" t="str">
        <x:v>Retail</x:v>
      </x:c>
      <x:c r="E13344" s="13" t="str">
        <x:v>Retail</x:v>
      </x:c>
      <x:c r="F13344" s="13" t="str">
        <x:v>Early Cyclicals</x:v>
      </x:c>
      <x:c r="G13344" s="13" t="str">
        <x:v>grid_jx40wu4i.xlsx</x:v>
      </x:c>
    </x:row>
    <x:row r="13345">
      <x:c r="A13345" s="15" t="n">
        <x:v>46023</x:v>
      </x:c>
      <x:c r="B13345" s="13" t="str">
        <x:v>VIVARA PARTICIPACOES SA</x:v>
      </x:c>
      <x:c r="C13345" s="16" t="n">
        <x:v>752.8828870137</x:v>
      </x:c>
      <x:c r="D13345" s="13" t="str">
        <x:v>Retail</x:v>
      </x:c>
      <x:c r="E13345" s="13" t="str">
        <x:v>Retail</x:v>
      </x:c>
      <x:c r="F13345" s="13" t="str">
        <x:v>Early Cyclicals</x:v>
      </x:c>
      <x:c r="G13345" s="13" t="str">
        <x:v>grid_jx40wu4i.xlsx</x:v>
      </x:c>
    </x:row>
    <x:row r="13346">
      <x:c r="A13346" s="15" t="n">
        <x:v>46023</x:v>
      </x:c>
      <x:c r="B13346" s="13" t="str">
        <x:v>CIA SANEAMENTO BASICO DE SP</x:v>
      </x:c>
      <x:c r="C13346" s="16" t="n">
        <x:v>7004.4944201644</x:v>
      </x:c>
      <x:c r="D13346" s="13" t="str">
        <x:v>Sanitation</x:v>
      </x:c>
      <x:c r="E13346" s="13" t="str">
        <x:v>Utilities</x:v>
      </x:c>
      <x:c r="F13346" s="13" t="str">
        <x:v>Defensives</x:v>
      </x:c>
      <x:c r="G13346" s="13" t="str">
        <x:v>grid_jx40wu4i.xlsx</x:v>
      </x:c>
    </x:row>
    <x:row r="13347">
      <x:c r="A13347" s="15" t="n">
        <x:v>46023</x:v>
      </x:c>
      <x:c r="B13347" s="13" t="str">
        <x:v>CIA SANEAMENTO MINAS GERAIS</x:v>
      </x:c>
      <x:c r="C13347" s="16" t="n">
        <x:v>1370.873298411</x:v>
      </x:c>
      <x:c r="D13347" s="13" t="str">
        <x:v>Sanitation</x:v>
      </x:c>
      <x:c r="E13347" s="13" t="str">
        <x:v>Utilities</x:v>
      </x:c>
      <x:c r="F13347" s="13" t="str">
        <x:v>Defensives</x:v>
      </x:c>
      <x:c r="G13347" s="13" t="str">
        <x:v>grid_jx40wu4i.xlsx</x:v>
      </x:c>
    </x:row>
    <x:row r="13348">
      <x:c r="A13348" s="15" t="n">
        <x:v>46023</x:v>
      </x:c>
      <x:c r="B13348" s="13" t="str">
        <x:v>TIM SA</x:v>
      </x:c>
      <x:c r="C13348" s="16" t="n">
        <x:v>4591.4631855343</x:v>
      </x:c>
      <x:c r="D13348" s="13" t="str">
        <x:v>TMT</x:v>
      </x:c>
      <x:c r="E13348" s="13" t="str">
        <x:v>TMT</x:v>
      </x:c>
      <x:c r="F13348" s="13" t="str">
        <x:v>Early Cyclicals</x:v>
      </x:c>
      <x:c r="G13348" s="13" t="str">
        <x:v>grid_jx40wu4i.xlsx</x:v>
      </x:c>
    </x:row>
    <x:row r="13349">
      <x:c r="A13349" s="15" t="n">
        <x:v>46023</x:v>
      </x:c>
      <x:c r="B13349" s="13" t="str">
        <x:v>TOTVS SA</x:v>
      </x:c>
      <x:c r="C13349" s="16" t="n">
        <x:v>1100.6056311233</x:v>
      </x:c>
      <x:c r="D13349" s="13" t="str">
        <x:v>TMT</x:v>
      </x:c>
      <x:c r="E13349" s="13" t="str">
        <x:v>TMT</x:v>
      </x:c>
      <x:c r="F13349" s="13" t="str">
        <x:v>Early Cyclicals</x:v>
      </x:c>
      <x:c r="G13349" s="13" t="str">
        <x:v>grid_jx40wu4i.xlsx</x:v>
      </x:c>
    </x:row>
    <x:row r="13350">
      <x:c r="A13350" s="15" t="n">
        <x:v>46023</x:v>
      </x:c>
      <x:c r="B13350" s="13" t="str">
        <x:v>LOCALIZA RENT A CAR</x:v>
      </x:c>
      <x:c r="C13350" s="16" t="n">
        <x:v>4369.0762976438</x:v>
      </x:c>
      <x:c r="D13350" s="13" t="str">
        <x:v>Transportation</x:v>
      </x:c>
      <x:c r="E13350" s="13" t="str">
        <x:v>Transportation</x:v>
      </x:c>
      <x:c r="F13350" s="13" t="str">
        <x:v>Deep Cyclicals</x:v>
      </x:c>
      <x:c r="G13350" s="13" t="str">
        <x:v>grid_jx40wu4i.xlsx</x:v>
      </x:c>
    </x:row>
    <x:row r="13351">
      <x:c r="A13351" s="15" t="n">
        <x:v>46023</x:v>
      </x:c>
      <x:c r="B13351" s="13" t="str">
        <x:v>MOTIVA INFRAESTRUTURA DE MOB</x:v>
      </x:c>
      <x:c r="C13351" s="16" t="n">
        <x:v>2538.4293137534</x:v>
      </x:c>
      <x:c r="D13351" s="13" t="str">
        <x:v>Transportation</x:v>
      </x:c>
      <x:c r="E13351" s="13" t="str">
        <x:v>Transportation</x:v>
      </x:c>
      <x:c r="F13351" s="13" t="str">
        <x:v>Deep Cyclicals</x:v>
      </x:c>
      <x:c r="G13351" s="13" t="str">
        <x:v>grid_jx40wu4i.xlsx</x:v>
      </x:c>
    </x:row>
    <x:row r="13352">
      <x:c r="A13352" s="15" t="n">
        <x:v>46023</x:v>
      </x:c>
      <x:c r="B13352" s="13" t="str">
        <x:v>RUMO SA</x:v>
      </x:c>
      <x:c r="C13352" s="16" t="n">
        <x:v>2068.7731533151</x:v>
      </x:c>
      <x:c r="D13352" s="13" t="str">
        <x:v>Transportation</x:v>
      </x:c>
      <x:c r="E13352" s="13" t="str">
        <x:v>Transportation</x:v>
      </x:c>
      <x:c r="F13352" s="13" t="str">
        <x:v>Deep Cyclicals</x:v>
      </x:c>
      <x:c r="G13352" s="13" t="str">
        <x:v>grid_jx40wu4i.xlsx</x:v>
      </x:c>
    </x:row>
    <x:row r="13353">
      <x:c r="A13353" s="15" t="n">
        <x:v>46023</x:v>
      </x:c>
      <x:c r="B13353" s="13" t="str">
        <x:v>VAMOS LOCACAO DE CAMINHOES M</x:v>
      </x:c>
      <x:c r="C13353" s="16" t="n">
        <x:v>499.6695215342</x:v>
      </x:c>
      <x:c r="D13353" s="13" t="str">
        <x:v>Transportation</x:v>
      </x:c>
      <x:c r="E13353" s="13" t="str">
        <x:v>Transportation</x:v>
      </x:c>
      <x:c r="F13353" s="13" t="str">
        <x:v>Deep Cyclicals</x:v>
      </x:c>
      <x:c r="G13353" s="13" t="str">
        <x:v>grid_jx40wu4i.xlsx</x:v>
      </x:c>
    </x:row>
    <x:row r="13354">
      <x:c r="A13354" s="15" t="n">
        <x:v>46023</x:v>
      </x:c>
      <x:c r="B13354" s="13" t="str">
        <x:v>AUREN ENERGIA SA - ON</x:v>
      </x:c>
      <x:c r="C13354" s="16" t="n">
        <x:v>-481.4530595068</x:v>
      </x:c>
      <x:c r="D13354" s="13" t="str">
        <x:v>Utilities &amp; Energy</x:v>
      </x:c>
      <x:c r="E13354" s="13" t="str">
        <x:v>Utilities</x:v>
      </x:c>
      <x:c r="F13354" s="13" t="str">
        <x:v>Defensives</x:v>
      </x:c>
      <x:c r="G13354" s="13" t="str">
        <x:v>grid_jx40wu4i.xlsx</x:v>
      </x:c>
    </x:row>
    <x:row r="13355">
      <x:c r="A13355" s="15" t="n">
        <x:v>46023</x:v>
      </x:c>
      <x:c r="B13355" s="13" t="str">
        <x:v>AXIA ENERGIA SA</x:v>
      </x:c>
      <x:c r="C13355" s="16" t="n">
        <x:v>12037.1273363288</x:v>
      </x:c>
      <x:c r="D13355" s="13" t="str">
        <x:v>Utilities &amp; Energy</x:v>
      </x:c>
      <x:c r="E13355" s="13" t="str">
        <x:v>Utilities</x:v>
      </x:c>
      <x:c r="F13355" s="13" t="str">
        <x:v>Defensives</x:v>
      </x:c>
      <x:c r="G13355" s="13" t="str">
        <x:v>grid_jx40wu4i.xlsx</x:v>
      </x:c>
    </x:row>
    <x:row r="13356">
      <x:c r="A13356" s="15" t="n">
        <x:v>46023</x:v>
      </x:c>
      <x:c r="B13356" s="13" t="str">
        <x:v>AXIA ENERGIA-PR B</x:v>
      </x:c>
      <x:c r="C13356" s="16" t="n">
        <x:v>12037.1273363288</x:v>
      </x:c>
      <x:c r="D13356" s="13" t="str">
        <x:v>Utilities &amp; Energy</x:v>
      </x:c>
      <x:c r="E13356" s="13" t="str">
        <x:v>Utilities</x:v>
      </x:c>
      <x:c r="F13356" s="13" t="str">
        <x:v>Defensives</x:v>
      </x:c>
      <x:c r="G13356" s="13" t="str">
        <x:v>grid_jx40wu4i.xlsx</x:v>
      </x:c>
    </x:row>
    <x:row r="13357">
      <x:c r="A13357" s="15" t="n">
        <x:v>46023</x:v>
      </x:c>
      <x:c r="B13357" s="13" t="str">
        <x:v>CIA ENERGETICA MINAS GER-PRF</x:v>
      </x:c>
      <x:c r="C13357" s="16" t="n">
        <x:v>3884.292537863</x:v>
      </x:c>
      <x:c r="D13357" s="13" t="str">
        <x:v>Utilities &amp; Energy</x:v>
      </x:c>
      <x:c r="E13357" s="13" t="str">
        <x:v>Utilities</x:v>
      </x:c>
      <x:c r="F13357" s="13" t="str">
        <x:v>Defensives</x:v>
      </x:c>
      <x:c r="G13357" s="13" t="str">
        <x:v>grid_jx40wu4i.xlsx</x:v>
      </x:c>
    </x:row>
    <x:row r="13358">
      <x:c r="A13358" s="15" t="n">
        <x:v>46023</x:v>
      </x:c>
      <x:c r="B13358" s="13" t="str">
        <x:v>COMPANHIA PARANAENSE DE ENER</x:v>
      </x:c>
      <x:c r="C13358" s="16" t="n">
        <x:v>2771.5129687671</x:v>
      </x:c>
      <x:c r="D13358" s="13" t="str">
        <x:v>Utilities &amp; Energy</x:v>
      </x:c>
      <x:c r="E13358" s="13" t="str">
        <x:v>Utilities</x:v>
      </x:c>
      <x:c r="F13358" s="13" t="str">
        <x:v>Defensives</x:v>
      </x:c>
      <x:c r="G13358" s="13" t="str">
        <x:v>grid_jx40wu4i.xlsx</x:v>
      </x:c>
    </x:row>
    <x:row r="13359">
      <x:c r="A13359" s="15" t="n">
        <x:v>46023</x:v>
      </x:c>
      <x:c r="B13359" s="13" t="str">
        <x:v>CPFL ENERGIA SA</x:v>
      </x:c>
      <x:c r="C13359" s="16" t="n">
        <x:v>4996.7440587397</x:v>
      </x:c>
      <x:c r="D13359" s="13" t="str">
        <x:v>Utilities &amp; Energy</x:v>
      </x:c>
      <x:c r="E13359" s="13" t="str">
        <x:v>Utilities</x:v>
      </x:c>
      <x:c r="F13359" s="13" t="str">
        <x:v>Defensives</x:v>
      </x:c>
      <x:c r="G13359" s="13" t="str">
        <x:v>grid_jx40wu4i.xlsx</x:v>
      </x:c>
    </x:row>
    <x:row r="13360">
      <x:c r="A13360" s="15" t="n">
        <x:v>46023</x:v>
      </x:c>
      <x:c r="B13360" s="13" t="str">
        <x:v>ENERGISA SA-UNITS</x:v>
      </x:c>
      <x:c r="C13360" s="16" t="n">
        <x:v>1477.1986060274</x:v>
      </x:c>
      <x:c r="D13360" s="13" t="str">
        <x:v>Utilities &amp; Energy</x:v>
      </x:c>
      <x:c r="E13360" s="13" t="str">
        <x:v>Utilities</x:v>
      </x:c>
      <x:c r="F13360" s="13" t="str">
        <x:v>Defensives</x:v>
      </x:c>
      <x:c r="G13360" s="13" t="str">
        <x:v>grid_jx40wu4i.xlsx</x:v>
      </x:c>
    </x:row>
    <x:row r="13361">
      <x:c r="A13361" s="15" t="n">
        <x:v>46023</x:v>
      </x:c>
      <x:c r="B13361" s="13" t="str">
        <x:v>ENEVA SA</x:v>
      </x:c>
      <x:c r="C13361" s="16" t="n">
        <x:v>1277.4616530411</x:v>
      </x:c>
      <x:c r="D13361" s="13" t="str">
        <x:v>Utilities &amp; Energy</x:v>
      </x:c>
      <x:c r="E13361" s="13" t="str">
        <x:v>Utilities</x:v>
      </x:c>
      <x:c r="F13361" s="13" t="str">
        <x:v>Defensives</x:v>
      </x:c>
      <x:c r="G13361" s="13" t="str">
        <x:v>grid_jx40wu4i.xlsx</x:v>
      </x:c>
    </x:row>
    <x:row r="13362">
      <x:c r="A13362" s="15" t="n">
        <x:v>46023</x:v>
      </x:c>
      <x:c r="B13362" s="13" t="str">
        <x:v>ENGIE BRASIL ENERGIA SA</x:v>
      </x:c>
      <x:c r="C13362" s="16" t="n">
        <x:v>3282.2958395616</x:v>
      </x:c>
      <x:c r="D13362" s="13" t="str">
        <x:v>Utilities &amp; Energy</x:v>
      </x:c>
      <x:c r="E13362" s="13" t="str">
        <x:v>Utilities</x:v>
      </x:c>
      <x:c r="F13362" s="13" t="str">
        <x:v>Defensives</x:v>
      </x:c>
      <x:c r="G13362" s="13" t="str">
        <x:v>grid_jx40wu4i.xlsx</x:v>
      </x:c>
    </x:row>
    <x:row r="13363">
      <x:c r="A13363" s="15" t="n">
        <x:v>46023</x:v>
      </x:c>
      <x:c r="B13363" s="13" t="str">
        <x:v>EQUATORIAL SA - ORD</x:v>
      </x:c>
      <x:c r="C13363" s="16" t="n">
        <x:v>3645.044108274</x:v>
      </x:c>
      <x:c r="D13363" s="13" t="str">
        <x:v>Utilities &amp; Energy</x:v>
      </x:c>
      <x:c r="E13363" s="13" t="str">
        <x:v>Utilities</x:v>
      </x:c>
      <x:c r="F13363" s="13" t="str">
        <x:v>Defensives</x:v>
      </x:c>
      <x:c r="G13363" s="13" t="str">
        <x:v>grid_jx40wu4i.xlsx</x:v>
      </x:c>
    </x:row>
    <x:row r="13364">
      <x:c r="A13364" s="15" t="n">
        <x:v>46023</x:v>
      </x:c>
      <x:c r="B13364" s="13" t="str">
        <x:v>ISA ENERGIA BRASIL SA</x:v>
      </x:c>
      <x:c r="C13364" s="16" t="n">
        <x:v>1429.2294961096</x:v>
      </x:c>
      <x:c r="D13364" s="13" t="str">
        <x:v>Utilities &amp; Energy</x:v>
      </x:c>
      <x:c r="E13364" s="13" t="str">
        <x:v>Utilities</x:v>
      </x:c>
      <x:c r="F13364" s="13" t="str">
        <x:v>Defensives</x:v>
      </x:c>
      <x:c r="G13364" s="13" t="str">
        <x:v>grid_jx40wu4i.xlsx</x:v>
      </x:c>
    </x:row>
    <x:row r="13365">
      <x:c r="A13365" s="15" t="n">
        <x:v>46023</x:v>
      </x:c>
      <x:c r="B13365" s="13" t="str">
        <x:v>TRANSMISSORA ALIANCA DE-UNIT</x:v>
      </x:c>
      <x:c r="C13365" s="16" t="n">
        <x:v>1323.3732383562</x:v>
      </x:c>
      <x:c r="D13365" s="13" t="str">
        <x:v>Utilities &amp; Energy</x:v>
      </x:c>
      <x:c r="E13365" s="13" t="str">
        <x:v>Utilities</x:v>
      </x:c>
      <x:c r="F13365" s="13" t="str">
        <x:v>Defensives</x:v>
      </x:c>
      <x:c r="G13365" s="13" t="str">
        <x:v>grid_jx40wu4i.xlsx</x:v>
      </x:c>
    </x:row>
    <x:row r="13366">
      <x:c r="A13366" s="15" t="n">
        <x:v>46054</x:v>
      </x:c>
      <x:c r="B13366" s="13" t="str">
        <x:v>RAIZEN SA - PREFERENCE</x:v>
      </x:c>
      <x:c r="C13366" s="16" t="n">
        <x:v>-2598.625042937</x:v>
      </x:c>
      <x:c r="D13366" s="13" t="str">
        <x:v>Agribusiness</x:v>
      </x:c>
      <x:c r="E13366" s="13" t="str">
        <x:v>Agri, Food &amp; Beverages</x:v>
      </x:c>
      <x:c r="F13366" s="13" t="str">
        <x:v>Defensives</x:v>
      </x:c>
      <x:c r="G13366" s="13" t="str">
        <x:v>grid_jx40wu4i.xlsx</x:v>
      </x:c>
    </x:row>
    <x:row r="13367">
      <x:c r="A13367" s="15" t="n">
        <x:v>46054</x:v>
      </x:c>
      <x:c r="B13367" s="13" t="str">
        <x:v>SLC AGRICOLA SA</x:v>
      </x:c>
      <x:c r="C13367" s="16" t="n">
        <x:v>690.0421681096</x:v>
      </x:c>
      <x:c r="D13367" s="13" t="str">
        <x:v>Agribusiness</x:v>
      </x:c>
      <x:c r="E13367" s="13" t="str">
        <x:v>Agri, Food &amp; Beverages</x:v>
      </x:c>
      <x:c r="F13367" s="13" t="str">
        <x:v>Defensives</x:v>
      </x:c>
      <x:c r="G13367" s="13" t="str">
        <x:v>grid_jx40wu4i.xlsx</x:v>
      </x:c>
    </x:row>
    <x:row r="13368">
      <x:c r="A13368" s="15" t="n">
        <x:v>46054</x:v>
      </x:c>
      <x:c r="B13368" s="13" t="str">
        <x:v>BANCO BRADESCO S.A.</x:v>
      </x:c>
      <x:c r="C13368" s="16" t="n">
        <x:v>29054.6047004055</x:v>
      </x:c>
      <x:c r="D13368" s="13" t="str">
        <x:v>Banks</x:v>
      </x:c>
      <x:c r="E13368" s="13" t="str">
        <x:v>Banks</x:v>
      </x:c>
      <x:c r="F13368" s="13" t="str">
        <x:v>Financials</x:v>
      </x:c>
      <x:c r="G13368" s="13" t="str">
        <x:v>grid_jx40wu4i.xlsx</x:v>
      </x:c>
    </x:row>
    <x:row r="13369">
      <x:c r="A13369" s="15" t="n">
        <x:v>46054</x:v>
      </x:c>
      <x:c r="B13369" s="13" t="str">
        <x:v>BANCO BRADESCO SA-PREF</x:v>
      </x:c>
      <x:c r="C13369" s="16" t="n">
        <x:v>29054.6047004055</x:v>
      </x:c>
      <x:c r="D13369" s="13" t="str">
        <x:v>Banks</x:v>
      </x:c>
      <x:c r="E13369" s="13" t="str">
        <x:v>Banks</x:v>
      </x:c>
      <x:c r="F13369" s="13" t="str">
        <x:v>Financials</x:v>
      </x:c>
      <x:c r="G13369" s="13" t="str">
        <x:v>grid_jx40wu4i.xlsx</x:v>
      </x:c>
    </x:row>
    <x:row r="13370">
      <x:c r="A13370" s="15" t="n">
        <x:v>46054</x:v>
      </x:c>
      <x:c r="B13370" s="13" t="str">
        <x:v>BANCO BTG PACTUAL SA-UNIT</x:v>
      </x:c>
      <x:c r="C13370" s="16" t="n">
        <x:v>19880.0675769863</x:v>
      </x:c>
      <x:c r="D13370" s="13" t="str">
        <x:v>Banks</x:v>
      </x:c>
      <x:c r="E13370" s="13" t="str">
        <x:v>Banks</x:v>
      </x:c>
      <x:c r="F13370" s="13" t="str">
        <x:v>Financials</x:v>
      </x:c>
      <x:c r="G13370" s="13" t="str">
        <x:v>grid_jx40wu4i.xlsx</x:v>
      </x:c>
    </x:row>
    <x:row r="13371">
      <x:c r="A13371" s="15" t="n">
        <x:v>46054</x:v>
      </x:c>
      <x:c r="B13371" s="13" t="str">
        <x:v>BANCO DO BRASIL S.A.</x:v>
      </x:c>
      <x:c r="C13371" s="16" t="n">
        <x:v>25264.2613837151</x:v>
      </x:c>
      <x:c r="D13371" s="13" t="str">
        <x:v>Banks</x:v>
      </x:c>
      <x:c r="E13371" s="13" t="str">
        <x:v>Banks</x:v>
      </x:c>
      <x:c r="F13371" s="13" t="str">
        <x:v>Financials</x:v>
      </x:c>
      <x:c r="G13371" s="13" t="str">
        <x:v>grid_jx40wu4i.xlsx</x:v>
      </x:c>
    </x:row>
    <x:row r="13372">
      <x:c r="A13372" s="15" t="n">
        <x:v>46054</x:v>
      </x:c>
      <x:c r="B13372" s="13" t="str">
        <x:v>BANCO SANTANDER  BRASIL-UNIT</x:v>
      </x:c>
      <x:c r="C13372" s="16" t="n">
        <x:v>17505.7068649205</x:v>
      </x:c>
      <x:c r="D13372" s="13" t="str">
        <x:v>Banks</x:v>
      </x:c>
      <x:c r="E13372" s="13" t="str">
        <x:v>Banks</x:v>
      </x:c>
      <x:c r="F13372" s="13" t="str">
        <x:v>Financials</x:v>
      </x:c>
      <x:c r="G13372" s="13" t="str">
        <x:v>grid_jx40wu4i.xlsx</x:v>
      </x:c>
    </x:row>
    <x:row r="13373">
      <x:c r="A13373" s="15" t="n">
        <x:v>46054</x:v>
      </x:c>
      <x:c r="B13373" s="13" t="str">
        <x:v>ITAU UNIBANCO HOLDING S-PREF</x:v>
      </x:c>
      <x:c r="C13373" s="16" t="n">
        <x:v>52536.5403199123</x:v>
      </x:c>
      <x:c r="D13373" s="13" t="str">
        <x:v>Banks</x:v>
      </x:c>
      <x:c r="E13373" s="13" t="str">
        <x:v>Banks</x:v>
      </x:c>
      <x:c r="F13373" s="13" t="str">
        <x:v>Financials</x:v>
      </x:c>
      <x:c r="G13373" s="13" t="str">
        <x:v>grid_jx40wu4i.xlsx</x:v>
      </x:c>
    </x:row>
    <x:row r="13374">
      <x:c r="A13374" s="15" t="n">
        <x:v>46054</x:v>
      </x:c>
      <x:c r="B13374" s="13" t="str">
        <x:v>EMBRAER SA</x:v>
      </x:c>
      <x:c r="C13374" s="16" t="n">
        <x:v>2800.8137910356</x:v>
      </x:c>
      <x:c r="D13374" s="13" t="str">
        <x:v>Capital Goods</x:v>
      </x:c>
      <x:c r="E13374" s="13" t="str">
        <x:v>Capital Goods</x:v>
      </x:c>
      <x:c r="F13374" s="13" t="str">
        <x:v>Deep Cyclicals</x:v>
      </x:c>
      <x:c r="G13374" s="13" t="str">
        <x:v>grid_jx40wu4i.xlsx</x:v>
      </x:c>
    </x:row>
    <x:row r="13375">
      <x:c r="A13375" s="15" t="n">
        <x:v>46054</x:v>
      </x:c>
      <x:c r="B13375" s="13" t="str">
        <x:v>MARCOPOLO SA-PREF</x:v>
      </x:c>
      <x:c r="C13375" s="16" t="n">
        <x:v>1237.3409904219</x:v>
      </x:c>
      <x:c r="D13375" s="13" t="str">
        <x:v>Capital Goods</x:v>
      </x:c>
      <x:c r="E13375" s="13" t="str">
        <x:v>Capital Goods</x:v>
      </x:c>
      <x:c r="F13375" s="13" t="str">
        <x:v>Deep Cyclicals</x:v>
      </x:c>
      <x:c r="G13375" s="13" t="str">
        <x:v>grid_jx40wu4i.xlsx</x:v>
      </x:c>
    </x:row>
    <x:row r="13376">
      <x:c r="A13376" s="15" t="n">
        <x:v>46054</x:v>
      </x:c>
      <x:c r="B13376" s="13" t="str">
        <x:v>WEG SA</x:v>
      </x:c>
      <x:c r="C13376" s="16" t="n">
        <x:v>7148.1178897534</x:v>
      </x:c>
      <x:c r="D13376" s="13" t="str">
        <x:v>Capital Goods</x:v>
      </x:c>
      <x:c r="E13376" s="13" t="str">
        <x:v>Capital Goods</x:v>
      </x:c>
      <x:c r="F13376" s="13" t="str">
        <x:v>Deep Cyclicals</x:v>
      </x:c>
      <x:c r="G13376" s="13" t="str">
        <x:v>grid_jx40wu4i.xlsx</x:v>
      </x:c>
    </x:row>
    <x:row r="13377">
      <x:c r="A13377" s="15" t="n">
        <x:v>46054</x:v>
      </x:c>
      <x:c r="B13377" s="13" t="str">
        <x:v>COGNA EDUCACAO</x:v>
      </x:c>
      <x:c r="C13377" s="16" t="n">
        <x:v>947.6743637918</x:v>
      </x:c>
      <x:c r="D13377" s="13" t="str">
        <x:v>Education</x:v>
      </x:c>
      <x:c r="E13377" s="13" t="str">
        <x:v>Education</x:v>
      </x:c>
      <x:c r="F13377" s="13" t="str">
        <x:v>Early Cyclicals</x:v>
      </x:c>
      <x:c r="G13377" s="13" t="str">
        <x:v>grid_jx40wu4i.xlsx</x:v>
      </x:c>
    </x:row>
    <x:row r="13378">
      <x:c r="A13378" s="15" t="n">
        <x:v>46054</x:v>
      </x:c>
      <x:c r="B13378" s="13" t="str">
        <x:v>YDUQS PARTICIPACOES SA</x:v>
      </x:c>
      <x:c r="C13378" s="16" t="n">
        <x:v>505.5282191781</x:v>
      </x:c>
      <x:c r="D13378" s="13" t="str">
        <x:v>Education</x:v>
      </x:c>
      <x:c r="E13378" s="13" t="str">
        <x:v>Education</x:v>
      </x:c>
      <x:c r="F13378" s="13" t="str">
        <x:v>Early Cyclicals</x:v>
      </x:c>
      <x:c r="G13378" s="13" t="str">
        <x:v>grid_jx40wu4i.xlsx</x:v>
      </x:c>
    </x:row>
    <x:row r="13379">
      <x:c r="A13379" s="15" t="n">
        <x:v>46054</x:v>
      </x:c>
      <x:c r="B13379" s="13" t="str">
        <x:v>B3 SA-BRASIL BOLSA BALCAO</x:v>
      </x:c>
      <x:c r="C13379" s="16" t="n">
        <x:v>5701.0881704329</x:v>
      </x:c>
      <x:c r="D13379" s="13" t="str">
        <x:v>Financials Non-Banks</x:v>
      </x:c>
      <x:c r="E13379" s="13" t="str">
        <x:v>Financials Non-Banks</x:v>
      </x:c>
      <x:c r="F13379" s="13" t="str">
        <x:v>Financials</x:v>
      </x:c>
      <x:c r="G13379" s="13" t="str">
        <x:v>grid_jx40wu4i.xlsx</x:v>
      </x:c>
    </x:row>
    <x:row r="13380">
      <x:c r="A13380" s="15" t="n">
        <x:v>46054</x:v>
      </x:c>
      <x:c r="B13380" s="13" t="str">
        <x:v>BB SEGURIDADE PARTICIPACOES</x:v>
      </x:c>
      <x:c r="C13380" s="16" t="n">
        <x:v>8696.920064</x:v>
      </x:c>
      <x:c r="D13380" s="13" t="str">
        <x:v>Financials Non-Banks</x:v>
      </x:c>
      <x:c r="E13380" s="13" t="str">
        <x:v>Financials Non-Banks</x:v>
      </x:c>
      <x:c r="F13380" s="13" t="str">
        <x:v>Financials</x:v>
      </x:c>
      <x:c r="G13380" s="13" t="str">
        <x:v>grid_jx40wu4i.xlsx</x:v>
      </x:c>
    </x:row>
    <x:row r="13381">
      <x:c r="A13381" s="15" t="n">
        <x:v>46054</x:v>
      </x:c>
      <x:c r="B13381" s="13" t="str">
        <x:v>CAIXA SEGURIDADE PARTICIPACO</x:v>
      </x:c>
      <x:c r="C13381" s="16" t="n">
        <x:v>4790.0269147178</x:v>
      </x:c>
      <x:c r="D13381" s="13" t="str">
        <x:v>Financials Non-Banks</x:v>
      </x:c>
      <x:c r="E13381" s="13" t="str">
        <x:v>Financials Non-Banks</x:v>
      </x:c>
      <x:c r="F13381" s="13" t="str">
        <x:v>Financials</x:v>
      </x:c>
      <x:c r="G13381" s="13" t="str">
        <x:v>grid_jx40wu4i.xlsx</x:v>
      </x:c>
    </x:row>
    <x:row r="13382">
      <x:c r="A13382" s="15" t="n">
        <x:v>46054</x:v>
      </x:c>
      <x:c r="B13382" s="13" t="str">
        <x:v>IRB BRASIL RESSEGUROS SA</x:v>
      </x:c>
      <x:c r="C13382" s="16" t="n">
        <x:v>624.8621601315</x:v>
      </x:c>
      <x:c r="D13382" s="13" t="str">
        <x:v>Financials Non-Banks</x:v>
      </x:c>
      <x:c r="E13382" s="13" t="str">
        <x:v>Financials Non-Banks</x:v>
      </x:c>
      <x:c r="F13382" s="13" t="str">
        <x:v>Financials</x:v>
      </x:c>
      <x:c r="G13382" s="13" t="str">
        <x:v>grid_jx40wu4i.xlsx</x:v>
      </x:c>
    </x:row>
    <x:row r="13383">
      <x:c r="A13383" s="15" t="n">
        <x:v>46054</x:v>
      </x:c>
      <x:c r="B13383" s="13" t="str">
        <x:v>ITAUSA SA</x:v>
      </x:c>
      <x:c r="C13383" s="16" t="n">
        <x:v>19179.952128</x:v>
      </x:c>
      <x:c r="D13383" s="13" t="str">
        <x:v>Financials Non-Banks</x:v>
      </x:c>
      <x:c r="E13383" s="13" t="str">
        <x:v>Financials Non-Banks</x:v>
      </x:c>
      <x:c r="F13383" s="13" t="str">
        <x:v>Financials</x:v>
      </x:c>
      <x:c r="G13383" s="13" t="str">
        <x:v>grid_jx40wu4i.xlsx</x:v>
      </x:c>
    </x:row>
    <x:row r="13384">
      <x:c r="A13384" s="15" t="n">
        <x:v>46054</x:v>
      </x:c>
      <x:c r="B13384" s="13" t="str">
        <x:v>PORTO SEGURO SA</x:v>
      </x:c>
      <x:c r="C13384" s="16" t="n">
        <x:v>3692.8498379397</x:v>
      </x:c>
      <x:c r="D13384" s="13" t="str">
        <x:v>Financials Non-Banks</x:v>
      </x:c>
      <x:c r="E13384" s="13" t="str">
        <x:v>Financials Non-Banks</x:v>
      </x:c>
      <x:c r="F13384" s="13" t="str">
        <x:v>Financials</x:v>
      </x:c>
      <x:c r="G13384" s="13" t="str">
        <x:v>grid_jx40wu4i.xlsx</x:v>
      </x:c>
    </x:row>
    <x:row r="13385">
      <x:c r="A13385" s="15" t="n">
        <x:v>46054</x:v>
      </x:c>
      <x:c r="B13385" s="13" t="str">
        <x:v>AMBEV SA</x:v>
      </x:c>
      <x:c r="C13385" s="16" t="n">
        <x:v>15985.8819464767</x:v>
      </x:c>
      <x:c r="D13385" s="13" t="str">
        <x:v>Food &amp; Beverages</x:v>
      </x:c>
      <x:c r="E13385" s="13" t="str">
        <x:v>Agri, Food &amp; Beverages</x:v>
      </x:c>
      <x:c r="F13385" s="13" t="str">
        <x:v>Defensives</x:v>
      </x:c>
      <x:c r="G13385" s="13" t="str">
        <x:v>grid_jx40wu4i.xlsx</x:v>
      </x:c>
    </x:row>
    <x:row r="13386">
      <x:c r="A13386" s="15" t="n">
        <x:v>46054</x:v>
      </x:c>
      <x:c r="B13386" s="13" t="str">
        <x:v>MBRF GLOBAL FOODS COMPANY SA</x:v>
      </x:c>
      <x:c r="C13386" s="16" t="n">
        <x:v>394.4423468712</x:v>
      </x:c>
      <x:c r="D13386" s="13" t="str">
        <x:v>Food &amp; Beverages</x:v>
      </x:c>
      <x:c r="E13386" s="13" t="str">
        <x:v>Agri, Food &amp; Beverages</x:v>
      </x:c>
      <x:c r="F13386" s="13" t="str">
        <x:v>Defensives</x:v>
      </x:c>
      <x:c r="G13386" s="13" t="str">
        <x:v>grid_jx40wu4i.xlsx</x:v>
      </x:c>
    </x:row>
    <x:row r="13387">
      <x:c r="A13387" s="15" t="n">
        <x:v>46054</x:v>
      </x:c>
      <x:c r="B13387" s="13" t="str">
        <x:v>MINERVA SA</x:v>
      </x:c>
      <x:c r="C13387" s="16" t="n">
        <x:v>1146.0855187288</x:v>
      </x:c>
      <x:c r="D13387" s="13" t="str">
        <x:v>Food &amp; Beverages</x:v>
      </x:c>
      <x:c r="E13387" s="13" t="str">
        <x:v>Agri, Food &amp; Beverages</x:v>
      </x:c>
      <x:c r="F13387" s="13" t="str">
        <x:v>Defensives</x:v>
      </x:c>
      <x:c r="G13387" s="13" t="str">
        <x:v>grid_jx40wu4i.xlsx</x:v>
      </x:c>
    </x:row>
    <x:row r="13388">
      <x:c r="A13388" s="15" t="n">
        <x:v>46054</x:v>
      </x:c>
      <x:c r="B13388" s="13" t="str">
        <x:v>FLEURY SA</x:v>
      </x:c>
      <x:c r="C13388" s="16" t="n">
        <x:v>691.0601736767</x:v>
      </x:c>
      <x:c r="D13388" s="13" t="str">
        <x:v>Health Care</x:v>
      </x:c>
      <x:c r="E13388" s="13" t="str">
        <x:v>Health Care</x:v>
      </x:c>
      <x:c r="F13388" s="13" t="str">
        <x:v>Defensives</x:v>
      </x:c>
      <x:c r="G13388" s="13" t="str">
        <x:v>grid_jx40wu4i.xlsx</x:v>
      </x:c>
    </x:row>
    <x:row r="13389">
      <x:c r="A13389" s="15" t="n">
        <x:v>46054</x:v>
      </x:c>
      <x:c r="B13389" s="13" t="str">
        <x:v>HAPVIDA PARTICIPACOES E INVE</x:v>
      </x:c>
      <x:c r="C13389" s="16" t="n">
        <x:v>705.5379953973</x:v>
      </x:c>
      <x:c r="D13389" s="13" t="str">
        <x:v>Health Care</x:v>
      </x:c>
      <x:c r="E13389" s="13" t="str">
        <x:v>Health Care</x:v>
      </x:c>
      <x:c r="F13389" s="13" t="str">
        <x:v>Defensives</x:v>
      </x:c>
      <x:c r="G13389" s="13" t="str">
        <x:v>grid_jx40wu4i.xlsx</x:v>
      </x:c>
    </x:row>
    <x:row r="13390">
      <x:c r="A13390" s="15" t="n">
        <x:v>46054</x:v>
      </x:c>
      <x:c r="B13390" s="13" t="str">
        <x:v>HYPERA SA</x:v>
      </x:c>
      <x:c r="C13390" s="16" t="n">
        <x:v>1874.4621750356</x:v>
      </x:c>
      <x:c r="D13390" s="13" t="str">
        <x:v>Health Care</x:v>
      </x:c>
      <x:c r="E13390" s="13" t="str">
        <x:v>Health Care</x:v>
      </x:c>
      <x:c r="F13390" s="13" t="str">
        <x:v>Defensives</x:v>
      </x:c>
      <x:c r="G13390" s="13" t="str">
        <x:v>grid_jx40wu4i.xlsx</x:v>
      </x:c>
    </x:row>
    <x:row r="13391">
      <x:c r="A13391" s="15" t="n">
        <x:v>46054</x:v>
      </x:c>
      <x:c r="B13391" s="13" t="str">
        <x:v>REDE D'OR SAO LUIZ SA</x:v>
      </x:c>
      <x:c r="C13391" s="16" t="n">
        <x:v>5575.4799665096</x:v>
      </x:c>
      <x:c r="D13391" s="13" t="str">
        <x:v>Health Care</x:v>
      </x:c>
      <x:c r="E13391" s="13" t="str">
        <x:v>Health Care</x:v>
      </x:c>
      <x:c r="F13391" s="13" t="str">
        <x:v>Defensives</x:v>
      </x:c>
      <x:c r="G13391" s="13" t="str">
        <x:v>grid_jx40wu4i.xlsx</x:v>
      </x:c>
    </x:row>
    <x:row r="13392">
      <x:c r="A13392" s="15" t="n">
        <x:v>46054</x:v>
      </x:c>
      <x:c r="B13392" s="13" t="str">
        <x:v>CURY CONSTRUTORA E INCORPORA</x:v>
      </x:c>
      <x:c r="C13392" s="16" t="n">
        <x:v>1277.2658449534</x:v>
      </x:c>
      <x:c r="D13392" s="13" t="str">
        <x:v>Homebuilders</x:v>
      </x:c>
      <x:c r="E13392" s="13" t="str">
        <x:v>Real Estate</x:v>
      </x:c>
      <x:c r="F13392" s="13" t="str">
        <x:v>Early Cyclicals</x:v>
      </x:c>
      <x:c r="G13392" s="13" t="str">
        <x:v>grid_jx40wu4i.xlsx</x:v>
      </x:c>
    </x:row>
    <x:row r="13393">
      <x:c r="A13393" s="15" t="n">
        <x:v>46054</x:v>
      </x:c>
      <x:c r="B13393" s="13" t="str">
        <x:v>CYRELA BRAZIL REALTY SA EMP</x:v>
      </x:c>
      <x:c r="C13393" s="16" t="n">
        <x:v>2051.3842112877</x:v>
      </x:c>
      <x:c r="D13393" s="13" t="str">
        <x:v>Homebuilders</x:v>
      </x:c>
      <x:c r="E13393" s="13" t="str">
        <x:v>Real Estate</x:v>
      </x:c>
      <x:c r="F13393" s="13" t="str">
        <x:v>Early Cyclicals</x:v>
      </x:c>
      <x:c r="G13393" s="13" t="str">
        <x:v>grid_jx40wu4i.xlsx</x:v>
      </x:c>
    </x:row>
    <x:row r="13394">
      <x:c r="A13394" s="15" t="n">
        <x:v>46054</x:v>
      </x:c>
      <x:c r="B13394" s="13" t="str">
        <x:v>DIRECIONAL ENGENHARIA SA</x:v>
      </x:c>
      <x:c r="C13394" s="16" t="n">
        <x:v>1034.7622554301</x:v>
      </x:c>
      <x:c r="D13394" s="13" t="str">
        <x:v>Homebuilders</x:v>
      </x:c>
      <x:c r="E13394" s="13" t="str">
        <x:v>Real Estate</x:v>
      </x:c>
      <x:c r="F13394" s="13" t="str">
        <x:v>Early Cyclicals</x:v>
      </x:c>
      <x:c r="G13394" s="13" t="str">
        <x:v>grid_jx40wu4i.xlsx</x:v>
      </x:c>
    </x:row>
    <x:row r="13395">
      <x:c r="A13395" s="15" t="n">
        <x:v>46054</x:v>
      </x:c>
      <x:c r="B13395" s="13" t="str">
        <x:v>MRV ENGENHARIA</x:v>
      </x:c>
      <x:c r="C13395" s="16" t="n">
        <x:v>758.0663378411</x:v>
      </x:c>
      <x:c r="D13395" s="13" t="str">
        <x:v>Homebuilders</x:v>
      </x:c>
      <x:c r="E13395" s="13" t="str">
        <x:v>Real Estate</x:v>
      </x:c>
      <x:c r="F13395" s="13" t="str">
        <x:v>Early Cyclicals</x:v>
      </x:c>
      <x:c r="G13395" s="13" t="str">
        <x:v>grid_jx40wu4i.xlsx</x:v>
      </x:c>
    </x:row>
    <x:row r="13396">
      <x:c r="A13396" s="15" t="n">
        <x:v>46054</x:v>
      </x:c>
      <x:c r="B13396" s="13" t="str">
        <x:v>ALLOS SA</x:v>
      </x:c>
      <x:c r="C13396" s="16" t="n">
        <x:v>873.3474172493</x:v>
      </x:c>
      <x:c r="D13396" s="13" t="str">
        <x:v>Income Properties</x:v>
      </x:c>
      <x:c r="E13396" s="13" t="str">
        <x:v>Real Estate</x:v>
      </x:c>
      <x:c r="F13396" s="13" t="str">
        <x:v>Early Cyclicals</x:v>
      </x:c>
      <x:c r="G13396" s="13" t="str">
        <x:v>grid_jx40wu4i.xlsx</x:v>
      </x:c>
    </x:row>
    <x:row r="13397">
      <x:c r="A13397" s="15" t="n">
        <x:v>46054</x:v>
      </x:c>
      <x:c r="B13397" s="13" t="str">
        <x:v>IGUATEMI SA - UNITS</x:v>
      </x:c>
      <x:c r="C13397" s="16" t="n">
        <x:v>593.6814956712</x:v>
      </x:c>
      <x:c r="D13397" s="13" t="str">
        <x:v>Income Properties</x:v>
      </x:c>
      <x:c r="E13397" s="13" t="str">
        <x:v>Real Estate</x:v>
      </x:c>
      <x:c r="F13397" s="13" t="str">
        <x:v>Early Cyclicals</x:v>
      </x:c>
      <x:c r="G13397" s="13" t="str">
        <x:v>grid_jx40wu4i.xlsx</x:v>
      </x:c>
    </x:row>
    <x:row r="13398">
      <x:c r="A13398" s="15" t="n">
        <x:v>46054</x:v>
      </x:c>
      <x:c r="B13398" s="13" t="str">
        <x:v>MULTIPLAN EMPREENDIMENTOS</x:v>
      </x:c>
      <x:c r="C13398" s="16" t="n">
        <x:v>1130.2724713206</x:v>
      </x:c>
      <x:c r="D13398" s="13" t="str">
        <x:v>Income Properties</x:v>
      </x:c>
      <x:c r="E13398" s="13" t="str">
        <x:v>Real Estate</x:v>
      </x:c>
      <x:c r="F13398" s="13" t="str">
        <x:v>Early Cyclicals</x:v>
      </x:c>
      <x:c r="G13398" s="13" t="str">
        <x:v>grid_jx40wu4i.xlsx</x:v>
      </x:c>
    </x:row>
    <x:row r="13399">
      <x:c r="A13399" s="15" t="n">
        <x:v>46054</x:v>
      </x:c>
      <x:c r="B13399" s="13" t="str">
        <x:v>BRADESPAR SA -PREF</x:v>
      </x:c>
      <x:c r="C13399" s="16" t="n">
        <x:v>1720.6876174027</x:v>
      </x:c>
      <x:c r="D13399" s="13" t="str">
        <x:v>Metals &amp; Mining</x:v>
      </x:c>
      <x:c r="E13399" s="13" t="str">
        <x:v>Metals &amp; Mining</x:v>
      </x:c>
      <x:c r="F13399" s="13" t="str">
        <x:v>Deep Cyclicals</x:v>
      </x:c>
      <x:c r="G13399" s="13" t="str">
        <x:v>grid_jx40wu4i.xlsx</x:v>
      </x:c>
    </x:row>
    <x:row r="13400">
      <x:c r="A13400" s="15" t="n">
        <x:v>46054</x:v>
      </x:c>
      <x:c r="B13400" s="13" t="str">
        <x:v>CIA SIDERURGICA NACIONAL SA</x:v>
      </x:c>
      <x:c r="C13400" s="16" t="n">
        <x:v>446.5026396055</x:v>
      </x:c>
      <x:c r="D13400" s="13" t="str">
        <x:v>Metals &amp; Mining</x:v>
      </x:c>
      <x:c r="E13400" s="13" t="str">
        <x:v>Metals &amp; Mining</x:v>
      </x:c>
      <x:c r="F13400" s="13" t="str">
        <x:v>Deep Cyclicals</x:v>
      </x:c>
      <x:c r="G13400" s="13" t="str">
        <x:v>grid_jx40wu4i.xlsx</x:v>
      </x:c>
    </x:row>
    <x:row r="13401">
      <x:c r="A13401" s="15" t="n">
        <x:v>46054</x:v>
      </x:c>
      <x:c r="B13401" s="13" t="str">
        <x:v>CSN MINERACAO SA</x:v>
      </x:c>
      <x:c r="C13401" s="16" t="n">
        <x:v>2279.8216220055</x:v>
      </x:c>
      <x:c r="D13401" s="13" t="str">
        <x:v>Metals &amp; Mining</x:v>
      </x:c>
      <x:c r="E13401" s="13" t="str">
        <x:v>Metals &amp; Mining</x:v>
      </x:c>
      <x:c r="F13401" s="13" t="str">
        <x:v>Deep Cyclicals</x:v>
      </x:c>
      <x:c r="G13401" s="13" t="str">
        <x:v>grid_jx40wu4i.xlsx</x:v>
      </x:c>
    </x:row>
    <x:row r="13402">
      <x:c r="A13402" s="15" t="n">
        <x:v>46054</x:v>
      </x:c>
      <x:c r="B13402" s="13" t="str">
        <x:v>GERDAU SA-PREF</x:v>
      </x:c>
      <x:c r="C13402" s="16" t="n">
        <x:v>4772.0787238575</x:v>
      </x:c>
      <x:c r="D13402" s="13" t="str">
        <x:v>Metals &amp; Mining</x:v>
      </x:c>
      <x:c r="E13402" s="13" t="str">
        <x:v>Metals &amp; Mining</x:v>
      </x:c>
      <x:c r="F13402" s="13" t="str">
        <x:v>Deep Cyclicals</x:v>
      </x:c>
      <x:c r="G13402" s="13" t="str">
        <x:v>grid_jx40wu4i.xlsx</x:v>
      </x:c>
    </x:row>
    <x:row r="13403">
      <x:c r="A13403" s="15" t="n">
        <x:v>46054</x:v>
      </x:c>
      <x:c r="B13403" s="13" t="str">
        <x:v>USINAS SIDER MINAS GER-PF A</x:v>
      </x:c>
      <x:c r="C13403" s="16" t="n">
        <x:v>544.3956518575</x:v>
      </x:c>
      <x:c r="D13403" s="13" t="str">
        <x:v>Metals &amp; Mining</x:v>
      </x:c>
      <x:c r="E13403" s="13" t="str">
        <x:v>Metals &amp; Mining</x:v>
      </x:c>
      <x:c r="F13403" s="13" t="str">
        <x:v>Deep Cyclicals</x:v>
      </x:c>
      <x:c r="G13403" s="13" t="str">
        <x:v>grid_jx40wu4i.xlsx</x:v>
      </x:c>
    </x:row>
    <x:row r="13404">
      <x:c r="A13404" s="15" t="n">
        <x:v>46054</x:v>
      </x:c>
      <x:c r="B13404" s="13" t="str">
        <x:v>VALE SA</x:v>
      </x:c>
      <x:c r="C13404" s="16" t="n">
        <x:v>45512.2996967452</x:v>
      </x:c>
      <x:c r="D13404" s="13" t="str">
        <x:v>Metals &amp; Mining</x:v>
      </x:c>
      <x:c r="E13404" s="13" t="str">
        <x:v>Metals &amp; Mining</x:v>
      </x:c>
      <x:c r="F13404" s="13" t="str">
        <x:v>Deep Cyclicals</x:v>
      </x:c>
      <x:c r="G13404" s="13" t="str">
        <x:v>grid_jx40wu4i.xlsx</x:v>
      </x:c>
    </x:row>
    <x:row r="13405">
      <x:c r="A13405" s="15" t="n">
        <x:v>46054</x:v>
      </x:c>
      <x:c r="B13405" s="13" t="str">
        <x:v>BRASKEM SA-PREF A</x:v>
      </x:c>
      <x:c r="C13405" s="16" t="n">
        <x:v>-2610.9971424438</x:v>
      </x:c>
      <x:c r="D13405" s="13" t="str">
        <x:v>Oil, Gas &amp; Petrochemicals</x:v>
      </x:c>
      <x:c r="E13405" s="13" t="str">
        <x:v>Oil, Gas &amp; Petrochemicals</x:v>
      </x:c>
      <x:c r="F13405" s="13" t="str">
        <x:v>Deep Cyclicals</x:v>
      </x:c>
      <x:c r="G13405" s="13" t="str">
        <x:v>grid_jx40wu4i.xlsx</x:v>
      </x:c>
    </x:row>
    <x:row r="13406">
      <x:c r="A13406" s="15" t="n">
        <x:v>46054</x:v>
      </x:c>
      <x:c r="B13406" s="13" t="str">
        <x:v>BRAVA ENERGIA</x:v>
      </x:c>
      <x:c r="C13406" s="16" t="n">
        <x:v>1199.2495433644</x:v>
      </x:c>
      <x:c r="D13406" s="13" t="str">
        <x:v>Oil, Gas &amp; Petrochemicals</x:v>
      </x:c>
      <x:c r="E13406" s="13" t="str">
        <x:v>Oil, Gas &amp; Petrochemicals</x:v>
      </x:c>
      <x:c r="F13406" s="13" t="str">
        <x:v>Deep Cyclicals</x:v>
      </x:c>
      <x:c r="G13406" s="13" t="str">
        <x:v>grid_jx40wu4i.xlsx</x:v>
      </x:c>
    </x:row>
    <x:row r="13407">
      <x:c r="A13407" s="15" t="n">
        <x:v>46054</x:v>
      </x:c>
      <x:c r="B13407" s="13" t="str">
        <x:v>COSAN SA</x:v>
      </x:c>
      <x:c r="C13407" s="16" t="n">
        <x:v>2097.8144964384</x:v>
      </x:c>
      <x:c r="D13407" s="13" t="str">
        <x:v>Oil, Gas &amp; Petrochemicals</x:v>
      </x:c>
      <x:c r="E13407" s="13" t="str">
        <x:v>Oil, Gas &amp; Petrochemicals</x:v>
      </x:c>
      <x:c r="F13407" s="13" t="str">
        <x:v>Deep Cyclicals</x:v>
      </x:c>
      <x:c r="G13407" s="13" t="str">
        <x:v>grid_jx40wu4i.xlsx</x:v>
      </x:c>
    </x:row>
    <x:row r="13408">
      <x:c r="A13408" s="15" t="n">
        <x:v>46054</x:v>
      </x:c>
      <x:c r="B13408" s="13" t="str">
        <x:v>PETROBRAS - PETROLEO BRAS</x:v>
      </x:c>
      <x:c r="C13408" s="16" t="n">
        <x:v>78513.4330865973</x:v>
      </x:c>
      <x:c r="D13408" s="13" t="str">
        <x:v>Oil, Gas &amp; Petrochemicals</x:v>
      </x:c>
      <x:c r="E13408" s="13" t="str">
        <x:v>Oil, Gas &amp; Petrochemicals</x:v>
      </x:c>
      <x:c r="F13408" s="13" t="str">
        <x:v>Deep Cyclicals</x:v>
      </x:c>
      <x:c r="G13408" s="13" t="str">
        <x:v>grid_jx40wu4i.xlsx</x:v>
      </x:c>
    </x:row>
    <x:row r="13409">
      <x:c r="A13409" s="15" t="n">
        <x:v>46054</x:v>
      </x:c>
      <x:c r="B13409" s="13" t="str">
        <x:v>PETRORECONCAVO SA</x:v>
      </x:c>
      <x:c r="C13409" s="16" t="n">
        <x:v>376.4063890411</x:v>
      </x:c>
      <x:c r="D13409" s="13" t="str">
        <x:v>Oil, Gas &amp; Petrochemicals</x:v>
      </x:c>
      <x:c r="E13409" s="13" t="str">
        <x:v>Oil, Gas &amp; Petrochemicals</x:v>
      </x:c>
      <x:c r="F13409" s="13" t="str">
        <x:v>Deep Cyclicals</x:v>
      </x:c>
      <x:c r="G13409" s="13" t="str">
        <x:v>grid_jx40wu4i.xlsx</x:v>
      </x:c>
    </x:row>
    <x:row r="13410">
      <x:c r="A13410" s="15" t="n">
        <x:v>46054</x:v>
      </x:c>
      <x:c r="B13410" s="13" t="str">
        <x:v>PRIO SA</x:v>
      </x:c>
      <x:c r="C13410" s="16" t="n">
        <x:v>4530.0932081973</x:v>
      </x:c>
      <x:c r="D13410" s="13" t="str">
        <x:v>Oil, Gas &amp; Petrochemicals</x:v>
      </x:c>
      <x:c r="E13410" s="13" t="str">
        <x:v>Oil, Gas &amp; Petrochemicals</x:v>
      </x:c>
      <x:c r="F13410" s="13" t="str">
        <x:v>Deep Cyclicals</x:v>
      </x:c>
      <x:c r="G13410" s="13" t="str">
        <x:v>grid_jx40wu4i.xlsx</x:v>
      </x:c>
    </x:row>
    <x:row r="13411">
      <x:c r="A13411" s="15" t="n">
        <x:v>46054</x:v>
      </x:c>
      <x:c r="B13411" s="13" t="str">
        <x:v>ULTRAPAR PARTICIPACOES SA</x:v>
      </x:c>
      <x:c r="C13411" s="16" t="n">
        <x:v>2413.2356271343</x:v>
      </x:c>
      <x:c r="D13411" s="13" t="str">
        <x:v>Oil, Gas &amp; Petrochemicals</x:v>
      </x:c>
      <x:c r="E13411" s="13" t="str">
        <x:v>Oil, Gas &amp; Petrochemicals</x:v>
      </x:c>
      <x:c r="F13411" s="13" t="str">
        <x:v>Deep Cyclicals</x:v>
      </x:c>
      <x:c r="G13411" s="13" t="str">
        <x:v>grid_jx40wu4i.xlsx</x:v>
      </x:c>
    </x:row>
    <x:row r="13412">
      <x:c r="A13412" s="15" t="n">
        <x:v>46054</x:v>
      </x:c>
      <x:c r="B13412" s="13" t="str">
        <x:v>VIBRA ENERGIA SA</x:v>
      </x:c>
      <x:c r="C13412" s="16" t="n">
        <x:v>2890.875488789</x:v>
      </x:c>
      <x:c r="D13412" s="13" t="str">
        <x:v>Oil, Gas &amp; Petrochemicals</x:v>
      </x:c>
      <x:c r="E13412" s="13" t="str">
        <x:v>Oil, Gas &amp; Petrochemicals</x:v>
      </x:c>
      <x:c r="F13412" s="13" t="str">
        <x:v>Deep Cyclicals</x:v>
      </x:c>
      <x:c r="G13412" s="13" t="str">
        <x:v>grid_jx40wu4i.xlsx</x:v>
      </x:c>
    </x:row>
    <x:row r="13413">
      <x:c r="A13413" s="15" t="n">
        <x:v>46054</x:v>
      </x:c>
      <x:c r="B13413" s="13" t="str">
        <x:v>KLABIN SA - UNIT</x:v>
      </x:c>
      <x:c r="C13413" s="16" t="n">
        <x:v>1960.7635477041</x:v>
      </x:c>
      <x:c r="D13413" s="13" t="str">
        <x:v>Pulp &amp; Paper</x:v>
      </x:c>
      <x:c r="E13413" s="13" t="str">
        <x:v>Pulp &amp; Paper</x:v>
      </x:c>
      <x:c r="F13413" s="13" t="str">
        <x:v>Deep Cyclicals</x:v>
      </x:c>
      <x:c r="G13413" s="13" t="str">
        <x:v>grid_jx40wu4i.xlsx</x:v>
      </x:c>
    </x:row>
    <x:row r="13414">
      <x:c r="A13414" s="15" t="n">
        <x:v>46054</x:v>
      </x:c>
      <x:c r="B13414" s="13" t="str">
        <x:v>SUZANO SA</x:v>
      </x:c>
      <x:c r="C13414" s="16" t="n">
        <x:v>7455.7477902027</x:v>
      </x:c>
      <x:c r="D13414" s="13" t="str">
        <x:v>Pulp &amp; Paper</x:v>
      </x:c>
      <x:c r="E13414" s="13" t="str">
        <x:v>Pulp &amp; Paper</x:v>
      </x:c>
      <x:c r="F13414" s="13" t="str">
        <x:v>Deep Cyclicals</x:v>
      </x:c>
      <x:c r="G13414" s="13" t="str">
        <x:v>grid_jx40wu4i.xlsx</x:v>
      </x:c>
    </x:row>
    <x:row r="13415">
      <x:c r="A13415" s="15" t="n">
        <x:v>46054</x:v>
      </x:c>
      <x:c r="B13415" s="13" t="str">
        <x:v>AZZAS 2154 SA</x:v>
      </x:c>
      <x:c r="C13415" s="16" t="n">
        <x:v>779.7559899178</x:v>
      </x:c>
      <x:c r="D13415" s="13" t="str">
        <x:v>Retail</x:v>
      </x:c>
      <x:c r="E13415" s="13" t="str">
        <x:v>Retail</x:v>
      </x:c>
      <x:c r="F13415" s="13" t="str">
        <x:v>Early Cyclicals</x:v>
      </x:c>
      <x:c r="G13415" s="13" t="str">
        <x:v>grid_jx40wu4i.xlsx</x:v>
      </x:c>
    </x:row>
    <x:row r="13416">
      <x:c r="A13416" s="15" t="n">
        <x:v>46054</x:v>
      </x:c>
      <x:c r="B13416" s="13" t="str">
        <x:v>C&amp;A MODAS LTDA</x:v>
      </x:c>
      <x:c r="C13416" s="16" t="n">
        <x:v>549.586208</x:v>
      </x:c>
      <x:c r="D13416" s="13" t="str">
        <x:v>Retail</x:v>
      </x:c>
      <x:c r="E13416" s="13" t="str">
        <x:v>Retail</x:v>
      </x:c>
      <x:c r="F13416" s="13" t="str">
        <x:v>Early Cyclicals</x:v>
      </x:c>
      <x:c r="G13416" s="13" t="str">
        <x:v>grid_jx40wu4i.xlsx</x:v>
      </x:c>
    </x:row>
    <x:row r="13417">
      <x:c r="A13417" s="15" t="n">
        <x:v>46054</x:v>
      </x:c>
      <x:c r="B13417" s="13" t="str">
        <x:v>CIA BRASILEIRA DE DISTRIBUIC</x:v>
      </x:c>
      <x:c r="C13417" s="16" t="n">
        <x:v>-446.4259673425</x:v>
      </x:c>
      <x:c r="D13417" s="13" t="str">
        <x:v>Retail</x:v>
      </x:c>
      <x:c r="E13417" s="13" t="str">
        <x:v>Retail</x:v>
      </x:c>
      <x:c r="F13417" s="13" t="str">
        <x:v>Early Cyclicals</x:v>
      </x:c>
      <x:c r="G13417" s="13" t="str">
        <x:v>grid_jx40wu4i.xlsx</x:v>
      </x:c>
    </x:row>
    <x:row r="13418">
      <x:c r="A13418" s="15" t="n">
        <x:v>46054</x:v>
      </x:c>
      <x:c r="B13418" s="13" t="str">
        <x:v>LOJAS RENNER S.A.</x:v>
      </x:c>
      <x:c r="C13418" s="16" t="n">
        <x:v>1597.2357197151</x:v>
      </x:c>
      <x:c r="D13418" s="13" t="str">
        <x:v>Retail</x:v>
      </x:c>
      <x:c r="E13418" s="13" t="str">
        <x:v>Retail</x:v>
      </x:c>
      <x:c r="F13418" s="13" t="str">
        <x:v>Early Cyclicals</x:v>
      </x:c>
      <x:c r="G13418" s="13" t="str">
        <x:v>grid_jx40wu4i.xlsx</x:v>
      </x:c>
    </x:row>
    <x:row r="13419">
      <x:c r="A13419" s="15" t="n">
        <x:v>46054</x:v>
      </x:c>
      <x:c r="B13419" s="13" t="str">
        <x:v>MAGAZINE LUIZA SA</x:v>
      </x:c>
      <x:c r="C13419" s="16" t="n">
        <x:v>396.2960505863</x:v>
      </x:c>
      <x:c r="D13419" s="13" t="str">
        <x:v>Retail</x:v>
      </x:c>
      <x:c r="E13419" s="13" t="str">
        <x:v>Retail</x:v>
      </x:c>
      <x:c r="F13419" s="13" t="str">
        <x:v>Early Cyclicals</x:v>
      </x:c>
      <x:c r="G13419" s="13" t="str">
        <x:v>grid_jx40wu4i.xlsx</x:v>
      </x:c>
    </x:row>
    <x:row r="13420">
      <x:c r="A13420" s="15" t="n">
        <x:v>46054</x:v>
      </x:c>
      <x:c r="B13420" s="13" t="str">
        <x:v>NATURA COSMETICOS SA</x:v>
      </x:c>
      <x:c r="C13420" s="16" t="n">
        <x:v>1282.7040817096</x:v>
      </x:c>
      <x:c r="D13420" s="13" t="str">
        <x:v>Retail</x:v>
      </x:c>
      <x:c r="E13420" s="13" t="str">
        <x:v>Retail</x:v>
      </x:c>
      <x:c r="F13420" s="13" t="str">
        <x:v>Early Cyclicals</x:v>
      </x:c>
      <x:c r="G13420" s="13" t="str">
        <x:v>grid_jx40wu4i.xlsx</x:v>
      </x:c>
    </x:row>
    <x:row r="13421">
      <x:c r="A13421" s="15" t="n">
        <x:v>46054</x:v>
      </x:c>
      <x:c r="B13421" s="13" t="str">
        <x:v>RAIA DROGASIL SA</x:v>
      </x:c>
      <x:c r="C13421" s="16" t="n">
        <x:v>1780.9959515178</x:v>
      </x:c>
      <x:c r="D13421" s="13" t="str">
        <x:v>Retail</x:v>
      </x:c>
      <x:c r="E13421" s="13" t="str">
        <x:v>Retail</x:v>
      </x:c>
      <x:c r="F13421" s="13" t="str">
        <x:v>Early Cyclicals</x:v>
      </x:c>
      <x:c r="G13421" s="13" t="str">
        <x:v>grid_jx40wu4i.xlsx</x:v>
      </x:c>
    </x:row>
    <x:row r="13422">
      <x:c r="A13422" s="15" t="n">
        <x:v>46054</x:v>
      </x:c>
      <x:c r="B13422" s="13" t="str">
        <x:v>SENDAS DISTRIBUIDORA SA</x:v>
      </x:c>
      <x:c r="C13422" s="16" t="n">
        <x:v>1144.340811748</x:v>
      </x:c>
      <x:c r="D13422" s="13" t="str">
        <x:v>Retail</x:v>
      </x:c>
      <x:c r="E13422" s="13" t="str">
        <x:v>Retail</x:v>
      </x:c>
      <x:c r="F13422" s="13" t="str">
        <x:v>Early Cyclicals</x:v>
      </x:c>
      <x:c r="G13422" s="13" t="str">
        <x:v>grid_jx40wu4i.xlsx</x:v>
      </x:c>
    </x:row>
    <x:row r="13423">
      <x:c r="A13423" s="15" t="n">
        <x:v>46054</x:v>
      </x:c>
      <x:c r="B13423" s="13" t="str">
        <x:v>SMARTFIT - ORDINARY</x:v>
      </x:c>
      <x:c r="C13423" s="16" t="n">
        <x:v>1016.9575897425</x:v>
      </x:c>
      <x:c r="D13423" s="13" t="str">
        <x:v>Retail</x:v>
      </x:c>
      <x:c r="E13423" s="13" t="str">
        <x:v>Retail</x:v>
      </x:c>
      <x:c r="F13423" s="13" t="str">
        <x:v>Early Cyclicals</x:v>
      </x:c>
      <x:c r="G13423" s="13" t="str">
        <x:v>grid_jx40wu4i.xlsx</x:v>
      </x:c>
    </x:row>
    <x:row r="13424">
      <x:c r="A13424" s="15" t="n">
        <x:v>46054</x:v>
      </x:c>
      <x:c r="B13424" s="13" t="str">
        <x:v>VIVARA PARTICIPACOES SA</x:v>
      </x:c>
      <x:c r="C13424" s="16" t="n">
        <x:v>759.3709662685</x:v>
      </x:c>
      <x:c r="D13424" s="13" t="str">
        <x:v>Retail</x:v>
      </x:c>
      <x:c r="E13424" s="13" t="str">
        <x:v>Retail</x:v>
      </x:c>
      <x:c r="F13424" s="13" t="str">
        <x:v>Early Cyclicals</x:v>
      </x:c>
      <x:c r="G13424" s="13" t="str">
        <x:v>grid_jx40wu4i.xlsx</x:v>
      </x:c>
    </x:row>
    <x:row r="13425">
      <x:c r="A13425" s="15" t="n">
        <x:v>46054</x:v>
      </x:c>
      <x:c r="B13425" s="13" t="str">
        <x:v>CIA SANEAMENTO BASICO DE SP</x:v>
      </x:c>
      <x:c r="C13425" s="16" t="n">
        <x:v>7162.4777307178</x:v>
      </x:c>
      <x:c r="D13425" s="13" t="str">
        <x:v>Sanitation</x:v>
      </x:c>
      <x:c r="E13425" s="13" t="str">
        <x:v>Utilities</x:v>
      </x:c>
      <x:c r="F13425" s="13" t="str">
        <x:v>Defensives</x:v>
      </x:c>
      <x:c r="G13425" s="13" t="str">
        <x:v>grid_jx40wu4i.xlsx</x:v>
      </x:c>
    </x:row>
    <x:row r="13426">
      <x:c r="A13426" s="15" t="n">
        <x:v>46054</x:v>
      </x:c>
      <x:c r="B13426" s="13" t="str">
        <x:v>CIA SANEAMENTO MINAS GERAIS</x:v>
      </x:c>
      <x:c r="C13426" s="16" t="n">
        <x:v>1371.7220856986</x:v>
      </x:c>
      <x:c r="D13426" s="13" t="str">
        <x:v>Sanitation</x:v>
      </x:c>
      <x:c r="E13426" s="13" t="str">
        <x:v>Utilities</x:v>
      </x:c>
      <x:c r="F13426" s="13" t="str">
        <x:v>Defensives</x:v>
      </x:c>
      <x:c r="G13426" s="13" t="str">
        <x:v>grid_jx40wu4i.xlsx</x:v>
      </x:c>
    </x:row>
    <x:row r="13427">
      <x:c r="A13427" s="15" t="n">
        <x:v>46054</x:v>
      </x:c>
      <x:c r="B13427" s="13" t="str">
        <x:v>TIM SA</x:v>
      </x:c>
      <x:c r="C13427" s="16" t="n">
        <x:v>4677.0740532603</x:v>
      </x:c>
      <x:c r="D13427" s="13" t="str">
        <x:v>TMT</x:v>
      </x:c>
      <x:c r="E13427" s="13" t="str">
        <x:v>TMT</x:v>
      </x:c>
      <x:c r="F13427" s="13" t="str">
        <x:v>Early Cyclicals</x:v>
      </x:c>
      <x:c r="G13427" s="13" t="str">
        <x:v>grid_jx40wu4i.xlsx</x:v>
      </x:c>
    </x:row>
    <x:row r="13428">
      <x:c r="A13428" s="15" t="n">
        <x:v>46054</x:v>
      </x:c>
      <x:c r="B13428" s="13" t="str">
        <x:v>TOTVS SA</x:v>
      </x:c>
      <x:c r="C13428" s="16" t="n">
        <x:v>1101.0579431452</x:v>
      </x:c>
      <x:c r="D13428" s="13" t="str">
        <x:v>TMT</x:v>
      </x:c>
      <x:c r="E13428" s="13" t="str">
        <x:v>TMT</x:v>
      </x:c>
      <x:c r="F13428" s="13" t="str">
        <x:v>Early Cyclicals</x:v>
      </x:c>
      <x:c r="G13428" s="13" t="str">
        <x:v>grid_jx40wu4i.xlsx</x:v>
      </x:c>
    </x:row>
    <x:row r="13429">
      <x:c r="A13429" s="15" t="n">
        <x:v>46054</x:v>
      </x:c>
      <x:c r="B13429" s="13" t="str">
        <x:v>LOCALIZA RENT A CAR</x:v>
      </x:c>
      <x:c r="C13429" s="16" t="n">
        <x:v>4453.3539917151</x:v>
      </x:c>
      <x:c r="D13429" s="13" t="str">
        <x:v>Transportation</x:v>
      </x:c>
      <x:c r="E13429" s="13" t="str">
        <x:v>Transportation</x:v>
      </x:c>
      <x:c r="F13429" s="13" t="str">
        <x:v>Deep Cyclicals</x:v>
      </x:c>
      <x:c r="G13429" s="13" t="str">
        <x:v>grid_jx40wu4i.xlsx</x:v>
      </x:c>
    </x:row>
    <x:row r="13430">
      <x:c r="A13430" s="15" t="n">
        <x:v>46054</x:v>
      </x:c>
      <x:c r="B13430" s="13" t="str">
        <x:v>MOTIVA INFRAESTRUTURA DE MOB</x:v>
      </x:c>
      <x:c r="C13430" s="16" t="n">
        <x:v>2603.2174065973</x:v>
      </x:c>
      <x:c r="D13430" s="13" t="str">
        <x:v>Transportation</x:v>
      </x:c>
      <x:c r="E13430" s="13" t="str">
        <x:v>Transportation</x:v>
      </x:c>
      <x:c r="F13430" s="13" t="str">
        <x:v>Deep Cyclicals</x:v>
      </x:c>
      <x:c r="G13430" s="13" t="str">
        <x:v>grid_jx40wu4i.xlsx</x:v>
      </x:c>
    </x:row>
    <x:row r="13431">
      <x:c r="A13431" s="15" t="n">
        <x:v>46054</x:v>
      </x:c>
      <x:c r="B13431" s="13" t="str">
        <x:v>RUMO SA</x:v>
      </x:c>
      <x:c r="C13431" s="16" t="n">
        <x:v>2109.7925032329</x:v>
      </x:c>
      <x:c r="D13431" s="13" t="str">
        <x:v>Transportation</x:v>
      </x:c>
      <x:c r="E13431" s="13" t="str">
        <x:v>Transportation</x:v>
      </x:c>
      <x:c r="F13431" s="13" t="str">
        <x:v>Deep Cyclicals</x:v>
      </x:c>
      <x:c r="G13431" s="13" t="str">
        <x:v>grid_jx40wu4i.xlsx</x:v>
      </x:c>
    </x:row>
    <x:row r="13432">
      <x:c r="A13432" s="15" t="n">
        <x:v>46054</x:v>
      </x:c>
      <x:c r="B13432" s="13" t="str">
        <x:v>VAMOS LOCACAO DE CAMINHOES M</x:v>
      </x:c>
      <x:c r="C13432" s="16" t="n">
        <x:v>524.3538600329</x:v>
      </x:c>
      <x:c r="D13432" s="13" t="str">
        <x:v>Transportation</x:v>
      </x:c>
      <x:c r="E13432" s="13" t="str">
        <x:v>Transportation</x:v>
      </x:c>
      <x:c r="F13432" s="13" t="str">
        <x:v>Deep Cyclicals</x:v>
      </x:c>
      <x:c r="G13432" s="13" t="str">
        <x:v>grid_jx40wu4i.xlsx</x:v>
      </x:c>
    </x:row>
    <x:row r="13433">
      <x:c r="A13433" s="15" t="n">
        <x:v>46054</x:v>
      </x:c>
      <x:c r="B13433" s="13" t="str">
        <x:v>AUREN ENERGIA SA - ON</x:v>
      </x:c>
      <x:c r="C13433" s="16" t="n">
        <x:v>-443.0081197589</x:v>
      </x:c>
      <x:c r="D13433" s="13" t="str">
        <x:v>Utilities &amp; Energy</x:v>
      </x:c>
      <x:c r="E13433" s="13" t="str">
        <x:v>Utilities</x:v>
      </x:c>
      <x:c r="F13433" s="13" t="str">
        <x:v>Defensives</x:v>
      </x:c>
      <x:c r="G13433" s="13" t="str">
        <x:v>grid_jx40wu4i.xlsx</x:v>
      </x:c>
    </x:row>
    <x:row r="13434">
      <x:c r="A13434" s="15" t="n">
        <x:v>46054</x:v>
      </x:c>
      <x:c r="B13434" s="13" t="str">
        <x:v>AXIA ENERGIA SA</x:v>
      </x:c>
      <x:c r="C13434" s="16" t="n">
        <x:v>12153.4926735781</x:v>
      </x:c>
      <x:c r="D13434" s="13" t="str">
        <x:v>Utilities &amp; Energy</x:v>
      </x:c>
      <x:c r="E13434" s="13" t="str">
        <x:v>Utilities</x:v>
      </x:c>
      <x:c r="F13434" s="13" t="str">
        <x:v>Defensives</x:v>
      </x:c>
      <x:c r="G13434" s="13" t="str">
        <x:v>grid_jx40wu4i.xlsx</x:v>
      </x:c>
    </x:row>
    <x:row r="13435">
      <x:c r="A13435" s="15" t="n">
        <x:v>46054</x:v>
      </x:c>
      <x:c r="B13435" s="13" t="str">
        <x:v>AXIA ENERGIA-PR B</x:v>
      </x:c>
      <x:c r="C13435" s="16" t="n">
        <x:v>12153.4926735781</x:v>
      </x:c>
      <x:c r="D13435" s="13" t="str">
        <x:v>Utilities &amp; Energy</x:v>
      </x:c>
      <x:c r="E13435" s="13" t="str">
        <x:v>Utilities</x:v>
      </x:c>
      <x:c r="F13435" s="13" t="str">
        <x:v>Defensives</x:v>
      </x:c>
      <x:c r="G13435" s="13" t="str">
        <x:v>grid_jx40wu4i.xlsx</x:v>
      </x:c>
    </x:row>
    <x:row r="13436">
      <x:c r="A13436" s="15" t="n">
        <x:v>46054</x:v>
      </x:c>
      <x:c r="B13436" s="13" t="str">
        <x:v>CIA ENERGETICA MINAS GER-PRF</x:v>
      </x:c>
      <x:c r="C13436" s="16" t="n">
        <x:v>3865.9588502794</x:v>
      </x:c>
      <x:c r="D13436" s="13" t="str">
        <x:v>Utilities &amp; Energy</x:v>
      </x:c>
      <x:c r="E13436" s="13" t="str">
        <x:v>Utilities</x:v>
      </x:c>
      <x:c r="F13436" s="13" t="str">
        <x:v>Defensives</x:v>
      </x:c>
      <x:c r="G13436" s="13" t="str">
        <x:v>grid_jx40wu4i.xlsx</x:v>
      </x:c>
    </x:row>
    <x:row r="13437">
      <x:c r="A13437" s="15" t="n">
        <x:v>46054</x:v>
      </x:c>
      <x:c r="B13437" s="13" t="str">
        <x:v>COMPANHIA PARANAENSE DE ENER</x:v>
      </x:c>
      <x:c r="C13437" s="16" t="n">
        <x:v>2951.5543846575</x:v>
      </x:c>
      <x:c r="D13437" s="13" t="str">
        <x:v>Utilities &amp; Energy</x:v>
      </x:c>
      <x:c r="E13437" s="13" t="str">
        <x:v>Utilities</x:v>
      </x:c>
      <x:c r="F13437" s="13" t="str">
        <x:v>Defensives</x:v>
      </x:c>
      <x:c r="G13437" s="13" t="str">
        <x:v>grid_jx40wu4i.xlsx</x:v>
      </x:c>
    </x:row>
    <x:row r="13438">
      <x:c r="A13438" s="15" t="n">
        <x:v>46054</x:v>
      </x:c>
      <x:c r="B13438" s="13" t="str">
        <x:v>CPFL ENERGIA SA</x:v>
      </x:c>
      <x:c r="C13438" s="16" t="n">
        <x:v>5135.7100508931</x:v>
      </x:c>
      <x:c r="D13438" s="13" t="str">
        <x:v>Utilities &amp; Energy</x:v>
      </x:c>
      <x:c r="E13438" s="13" t="str">
        <x:v>Utilities</x:v>
      </x:c>
      <x:c r="F13438" s="13" t="str">
        <x:v>Defensives</x:v>
      </x:c>
      <x:c r="G13438" s="13" t="str">
        <x:v>grid_jx40wu4i.xlsx</x:v>
      </x:c>
    </x:row>
    <x:row r="13439">
      <x:c r="A13439" s="15" t="n">
        <x:v>46054</x:v>
      </x:c>
      <x:c r="B13439" s="13" t="str">
        <x:v>ENERGISA SA-UNITS</x:v>
      </x:c>
      <x:c r="C13439" s="16" t="n">
        <x:v>1546.4393345753</x:v>
      </x:c>
      <x:c r="D13439" s="13" t="str">
        <x:v>Utilities &amp; Energy</x:v>
      </x:c>
      <x:c r="E13439" s="13" t="str">
        <x:v>Utilities</x:v>
      </x:c>
      <x:c r="F13439" s="13" t="str">
        <x:v>Defensives</x:v>
      </x:c>
      <x:c r="G13439" s="13" t="str">
        <x:v>grid_jx40wu4i.xlsx</x:v>
      </x:c>
    </x:row>
    <x:row r="13440">
      <x:c r="A13440" s="15" t="n">
        <x:v>46054</x:v>
      </x:c>
      <x:c r="B13440" s="13" t="str">
        <x:v>ENEVA SA</x:v>
      </x:c>
      <x:c r="C13440" s="16" t="n">
        <x:v>1189.5711502027</x:v>
      </x:c>
      <x:c r="D13440" s="13" t="str">
        <x:v>Utilities &amp; Energy</x:v>
      </x:c>
      <x:c r="E13440" s="13" t="str">
        <x:v>Utilities</x:v>
      </x:c>
      <x:c r="F13440" s="13" t="str">
        <x:v>Defensives</x:v>
      </x:c>
      <x:c r="G13440" s="13" t="str">
        <x:v>grid_jx40wu4i.xlsx</x:v>
      </x:c>
    </x:row>
    <x:row r="13441">
      <x:c r="A13441" s="15" t="n">
        <x:v>46054</x:v>
      </x:c>
      <x:c r="B13441" s="13" t="str">
        <x:v>ENGIE BRASIL ENERGIA SA</x:v>
      </x:c>
      <x:c r="C13441" s="16" t="n">
        <x:v>3076.4582652493</x:v>
      </x:c>
      <x:c r="D13441" s="13" t="str">
        <x:v>Utilities &amp; Energy</x:v>
      </x:c>
      <x:c r="E13441" s="13" t="str">
        <x:v>Utilities</x:v>
      </x:c>
      <x:c r="F13441" s="13" t="str">
        <x:v>Defensives</x:v>
      </x:c>
      <x:c r="G13441" s="13" t="str">
        <x:v>grid_jx40wu4i.xlsx</x:v>
      </x:c>
    </x:row>
    <x:row r="13442">
      <x:c r="A13442" s="15" t="n">
        <x:v>46054</x:v>
      </x:c>
      <x:c r="B13442" s="13" t="str">
        <x:v>EQUATORIAL SA - ORD</x:v>
      </x:c>
      <x:c r="C13442" s="16" t="n">
        <x:v>3552.9854246575</x:v>
      </x:c>
      <x:c r="D13442" s="13" t="str">
        <x:v>Utilities &amp; Energy</x:v>
      </x:c>
      <x:c r="E13442" s="13" t="str">
        <x:v>Utilities</x:v>
      </x:c>
      <x:c r="F13442" s="13" t="str">
        <x:v>Defensives</x:v>
      </x:c>
      <x:c r="G13442" s="13" t="str">
        <x:v>grid_jx40wu4i.xlsx</x:v>
      </x:c>
    </x:row>
    <x:row r="13443">
      <x:c r="A13443" s="15" t="n">
        <x:v>46054</x:v>
      </x:c>
      <x:c r="B13443" s="13" t="str">
        <x:v>ISA ENERGIA BRASIL SA</x:v>
      </x:c>
      <x:c r="C13443" s="16" t="n">
        <x:v>1398.5483505973</x:v>
      </x:c>
      <x:c r="D13443" s="13" t="str">
        <x:v>Utilities &amp; Energy</x:v>
      </x:c>
      <x:c r="E13443" s="13" t="str">
        <x:v>Utilities</x:v>
      </x:c>
      <x:c r="F13443" s="13" t="str">
        <x:v>Defensives</x:v>
      </x:c>
      <x:c r="G13443" s="13" t="str">
        <x:v>grid_jx40wu4i.xlsx</x:v>
      </x:c>
    </x:row>
    <x:row r="13444">
      <x:c r="A13444" s="15" t="n">
        <x:v>46054</x:v>
      </x:c>
      <x:c r="B13444" s="13" t="str">
        <x:v>TRANSMISSORA ALIANCA DE-UNIT</x:v>
      </x:c>
      <x:c r="C13444" s="16" t="n">
        <x:v>1338.8883056219</x:v>
      </x:c>
      <x:c r="D13444" s="13" t="str">
        <x:v>Utilities &amp; Energy</x:v>
      </x:c>
      <x:c r="E13444" s="13" t="str">
        <x:v>Utilities</x:v>
      </x:c>
      <x:c r="F13444" s="13" t="str">
        <x:v>Defensives</x:v>
      </x:c>
      <x:c r="G13444" s="13" t="str">
        <x:v>grid_jx40wu4i.xlsx</x:v>
      </x:c>
    </x:row>
    <x:row r="13445">
      <x:c r="A13445" s="15" t="n">
        <x:v>46082</x:v>
      </x:c>
      <x:c r="B13445" s="13" t="str">
        <x:v>SLC AGRICOLA SA</x:v>
      </x:c>
      <x:c r="C13445" s="16" t="n">
        <x:v>761.618962411</x:v>
      </x:c>
      <x:c r="D13445" s="13" t="str">
        <x:v>Agribusiness</x:v>
      </x:c>
      <x:c r="E13445" s="13" t="str">
        <x:v>Agri, Food &amp; Beverages</x:v>
      </x:c>
      <x:c r="F13445" s="13" t="str">
        <x:v>Defensives</x:v>
      </x:c>
      <x:c r="G13445" s="13" t="str">
        <x:v>grid_jx40wu4i.xlsx</x:v>
      </x:c>
    </x:row>
    <x:row r="13446">
      <x:c r="A13446" s="15" t="n">
        <x:v>46082</x:v>
      </x:c>
      <x:c r="B13446" s="13" t="str">
        <x:v>BANCO BRADESCO S.A.</x:v>
      </x:c>
      <x:c r="C13446" s="16" t="n">
        <x:v>28667.1295193425</x:v>
      </x:c>
      <x:c r="D13446" s="13" t="str">
        <x:v>Banks</x:v>
      </x:c>
      <x:c r="E13446" s="13" t="str">
        <x:v>Banks</x:v>
      </x:c>
      <x:c r="F13446" s="13" t="str">
        <x:v>Financials</x:v>
      </x:c>
      <x:c r="G13446" s="13" t="str">
        <x:v>grid_jx40wu4i.xlsx</x:v>
      </x:c>
    </x:row>
    <x:row r="13447">
      <x:c r="A13447" s="15" t="n">
        <x:v>46082</x:v>
      </x:c>
      <x:c r="B13447" s="13" t="str">
        <x:v>BANCO BRADESCO SA-PREF</x:v>
      </x:c>
      <x:c r="C13447" s="16" t="n">
        <x:v>28667.1295193425</x:v>
      </x:c>
      <x:c r="D13447" s="13" t="str">
        <x:v>Banks</x:v>
      </x:c>
      <x:c r="E13447" s="13" t="str">
        <x:v>Banks</x:v>
      </x:c>
      <x:c r="F13447" s="13" t="str">
        <x:v>Financials</x:v>
      </x:c>
      <x:c r="G13447" s="13" t="str">
        <x:v>grid_jx40wu4i.xlsx</x:v>
      </x:c>
    </x:row>
    <x:row r="13448">
      <x:c r="A13448" s="15" t="n">
        <x:v>46082</x:v>
      </x:c>
      <x:c r="B13448" s="13" t="str">
        <x:v>BANCO BTG PACTUAL SA-UNIT</x:v>
      </x:c>
      <x:c r="C13448" s="16" t="n">
        <x:v>20204.1209056438</x:v>
      </x:c>
      <x:c r="D13448" s="13" t="str">
        <x:v>Banks</x:v>
      </x:c>
      <x:c r="E13448" s="13" t="str">
        <x:v>Banks</x:v>
      </x:c>
      <x:c r="F13448" s="13" t="str">
        <x:v>Financials</x:v>
      </x:c>
      <x:c r="G13448" s="13" t="str">
        <x:v>grid_jx40wu4i.xlsx</x:v>
      </x:c>
    </x:row>
    <x:row r="13449">
      <x:c r="A13449" s="15" t="n">
        <x:v>46082</x:v>
      </x:c>
      <x:c r="B13449" s="13" t="str">
        <x:v>BANCO DO BRASIL S.A.</x:v>
      </x:c>
      <x:c r="C13449" s="16" t="n">
        <x:v>25595.0065271233</x:v>
      </x:c>
      <x:c r="D13449" s="13" t="str">
        <x:v>Banks</x:v>
      </x:c>
      <x:c r="E13449" s="13" t="str">
        <x:v>Banks</x:v>
      </x:c>
      <x:c r="F13449" s="13" t="str">
        <x:v>Financials</x:v>
      </x:c>
      <x:c r="G13449" s="13" t="str">
        <x:v>grid_jx40wu4i.xlsx</x:v>
      </x:c>
    </x:row>
    <x:row r="13450">
      <x:c r="A13450" s="15" t="n">
        <x:v>46082</x:v>
      </x:c>
      <x:c r="B13450" s="13" t="str">
        <x:v>BANCO SANTANDER  BRASIL-UNIT</x:v>
      </x:c>
      <x:c r="C13450" s="16" t="n">
        <x:v>17609.7202849315</x:v>
      </x:c>
      <x:c r="D13450" s="13" t="str">
        <x:v>Banks</x:v>
      </x:c>
      <x:c r="E13450" s="13" t="str">
        <x:v>Banks</x:v>
      </x:c>
      <x:c r="F13450" s="13" t="str">
        <x:v>Financials</x:v>
      </x:c>
      <x:c r="G13450" s="13" t="str">
        <x:v>grid_jx40wu4i.xlsx</x:v>
      </x:c>
    </x:row>
    <x:row r="13451">
      <x:c r="A13451" s="15" t="n">
        <x:v>46082</x:v>
      </x:c>
      <x:c r="B13451" s="13" t="str">
        <x:v>ITAU UNIBANCO HOLDING S-PREF</x:v>
      </x:c>
      <x:c r="C13451" s="16" t="n">
        <x:v>52932.2918785753</x:v>
      </x:c>
      <x:c r="D13451" s="13" t="str">
        <x:v>Banks</x:v>
      </x:c>
      <x:c r="E13451" s="13" t="str">
        <x:v>Banks</x:v>
      </x:c>
      <x:c r="F13451" s="13" t="str">
        <x:v>Financials</x:v>
      </x:c>
      <x:c r="G13451" s="13" t="str">
        <x:v>grid_jx40wu4i.xlsx</x:v>
      </x:c>
    </x:row>
    <x:row r="13452">
      <x:c r="A13452" s="15" t="n">
        <x:v>46082</x:v>
      </x:c>
      <x:c r="B13452" s="13" t="str">
        <x:v>EMBRAER SA</x:v>
      </x:c>
      <x:c r="C13452" s="16" t="n">
        <x:v>2993.3343105753</x:v>
      </x:c>
      <x:c r="D13452" s="13" t="str">
        <x:v>Capital Goods</x:v>
      </x:c>
      <x:c r="E13452" s="13" t="str">
        <x:v>Capital Goods</x:v>
      </x:c>
      <x:c r="F13452" s="13" t="str">
        <x:v>Deep Cyclicals</x:v>
      </x:c>
      <x:c r="G13452" s="13" t="str">
        <x:v>grid_jx40wu4i.xlsx</x:v>
      </x:c>
    </x:row>
    <x:row r="13453">
      <x:c r="A13453" s="15" t="n">
        <x:v>46082</x:v>
      </x:c>
      <x:c r="B13453" s="13" t="str">
        <x:v>MARCOPOLO SA-PREF</x:v>
      </x:c>
      <x:c r="C13453" s="16" t="n">
        <x:v>1237.6928683836</x:v>
      </x:c>
      <x:c r="D13453" s="13" t="str">
        <x:v>Capital Goods</x:v>
      </x:c>
      <x:c r="E13453" s="13" t="str">
        <x:v>Capital Goods</x:v>
      </x:c>
      <x:c r="F13453" s="13" t="str">
        <x:v>Deep Cyclicals</x:v>
      </x:c>
      <x:c r="G13453" s="13" t="str">
        <x:v>grid_jx40wu4i.xlsx</x:v>
      </x:c>
    </x:row>
    <x:row r="13454">
      <x:c r="A13454" s="15" t="n">
        <x:v>46082</x:v>
      </x:c>
      <x:c r="B13454" s="13" t="str">
        <x:v>WEG SA</x:v>
      </x:c>
      <x:c r="C13454" s="16" t="n">
        <x:v>7167.7574803288</x:v>
      </x:c>
      <x:c r="D13454" s="13" t="str">
        <x:v>Capital Goods</x:v>
      </x:c>
      <x:c r="E13454" s="13" t="str">
        <x:v>Capital Goods</x:v>
      </x:c>
      <x:c r="F13454" s="13" t="str">
        <x:v>Deep Cyclicals</x:v>
      </x:c>
      <x:c r="G13454" s="13" t="str">
        <x:v>grid_jx40wu4i.xlsx</x:v>
      </x:c>
    </x:row>
    <x:row r="13455">
      <x:c r="A13455" s="15" t="n">
        <x:v>46082</x:v>
      </x:c>
      <x:c r="B13455" s="13" t="str">
        <x:v>COGNA EDUCACAO</x:v>
      </x:c>
      <x:c r="C13455" s="16" t="n">
        <x:v>965.9164142466</x:v>
      </x:c>
      <x:c r="D13455" s="13" t="str">
        <x:v>Education</x:v>
      </x:c>
      <x:c r="E13455" s="13" t="str">
        <x:v>Education</x:v>
      </x:c>
      <x:c r="F13455" s="13" t="str">
        <x:v>Early Cyclicals</x:v>
      </x:c>
      <x:c r="G13455" s="13" t="str">
        <x:v>grid_jx40wu4i.xlsx</x:v>
      </x:c>
    </x:row>
    <x:row r="13456">
      <x:c r="A13456" s="15" t="n">
        <x:v>46082</x:v>
      </x:c>
      <x:c r="B13456" s="13" t="str">
        <x:v>YDUQS PARTICIPACOES SA</x:v>
      </x:c>
      <x:c r="C13456" s="16" t="n">
        <x:v>504.5190702466</x:v>
      </x:c>
      <x:c r="D13456" s="13" t="str">
        <x:v>Education</x:v>
      </x:c>
      <x:c r="E13456" s="13" t="str">
        <x:v>Education</x:v>
      </x:c>
      <x:c r="F13456" s="13" t="str">
        <x:v>Early Cyclicals</x:v>
      </x:c>
      <x:c r="G13456" s="13" t="str">
        <x:v>grid_jx40wu4i.xlsx</x:v>
      </x:c>
    </x:row>
    <x:row r="13457">
      <x:c r="A13457" s="15" t="n">
        <x:v>46082</x:v>
      </x:c>
      <x:c r="B13457" s="13" t="str">
        <x:v>B3 SA-BRASIL BOLSA BALCAO</x:v>
      </x:c>
      <x:c r="C13457" s="16" t="n">
        <x:v>5670.9299690959</x:v>
      </x:c>
      <x:c r="D13457" s="13" t="str">
        <x:v>Financials Non-Banks</x:v>
      </x:c>
      <x:c r="E13457" s="13" t="str">
        <x:v>Financials Non-Banks</x:v>
      </x:c>
      <x:c r="F13457" s="13" t="str">
        <x:v>Financials</x:v>
      </x:c>
      <x:c r="G13457" s="13" t="str">
        <x:v>grid_jx40wu4i.xlsx</x:v>
      </x:c>
    </x:row>
    <x:row r="13458">
      <x:c r="A13458" s="15" t="n">
        <x:v>46082</x:v>
      </x:c>
      <x:c r="B13458" s="13" t="str">
        <x:v>BB SEGURIDADE PARTICIPACOES</x:v>
      </x:c>
      <x:c r="C13458" s="16" t="n">
        <x:v>8697.6195541918</x:v>
      </x:c>
      <x:c r="D13458" s="13" t="str">
        <x:v>Financials Non-Banks</x:v>
      </x:c>
      <x:c r="E13458" s="13" t="str">
        <x:v>Financials Non-Banks</x:v>
      </x:c>
      <x:c r="F13458" s="13" t="str">
        <x:v>Financials</x:v>
      </x:c>
      <x:c r="G13458" s="13" t="str">
        <x:v>grid_jx40wu4i.xlsx</x:v>
      </x:c>
    </x:row>
    <x:row r="13459">
      <x:c r="A13459" s="15" t="n">
        <x:v>46082</x:v>
      </x:c>
      <x:c r="B13459" s="13" t="str">
        <x:v>CAIXA SEGURIDADE PARTICIPACO</x:v>
      </x:c>
      <x:c r="C13459" s="16" t="n">
        <x:v>4807.3826542466</x:v>
      </x:c>
      <x:c r="D13459" s="13" t="str">
        <x:v>Financials Non-Banks</x:v>
      </x:c>
      <x:c r="E13459" s="13" t="str">
        <x:v>Financials Non-Banks</x:v>
      </x:c>
      <x:c r="F13459" s="13" t="str">
        <x:v>Financials</x:v>
      </x:c>
      <x:c r="G13459" s="13" t="str">
        <x:v>grid_jx40wu4i.xlsx</x:v>
      </x:c>
    </x:row>
    <x:row r="13460">
      <x:c r="A13460" s="15" t="n">
        <x:v>46082</x:v>
      </x:c>
      <x:c r="B13460" s="13" t="str">
        <x:v>IRB BRASIL RESSEGUROS SA</x:v>
      </x:c>
      <x:c r="C13460" s="16" t="n">
        <x:v>631.7397260274</x:v>
      </x:c>
      <x:c r="D13460" s="13" t="str">
        <x:v>Financials Non-Banks</x:v>
      </x:c>
      <x:c r="E13460" s="13" t="str">
        <x:v>Financials Non-Banks</x:v>
      </x:c>
      <x:c r="F13460" s="13" t="str">
        <x:v>Financials</x:v>
      </x:c>
      <x:c r="G13460" s="13" t="str">
        <x:v>grid_jx40wu4i.xlsx</x:v>
      </x:c>
    </x:row>
    <x:row r="13461">
      <x:c r="A13461" s="15" t="n">
        <x:v>46082</x:v>
      </x:c>
      <x:c r="B13461" s="13" t="str">
        <x:v>ITAUSA SA</x:v>
      </x:c>
      <x:c r="C13461" s="16" t="n">
        <x:v>19605.5890060274</x:v>
      </x:c>
      <x:c r="D13461" s="13" t="str">
        <x:v>Financials Non-Banks</x:v>
      </x:c>
      <x:c r="E13461" s="13" t="str">
        <x:v>Financials Non-Banks</x:v>
      </x:c>
      <x:c r="F13461" s="13" t="str">
        <x:v>Financials</x:v>
      </x:c>
      <x:c r="G13461" s="13" t="str">
        <x:v>grid_jx40wu4i.xlsx</x:v>
      </x:c>
    </x:row>
    <x:row r="13462">
      <x:c r="A13462" s="15" t="n">
        <x:v>46082</x:v>
      </x:c>
      <x:c r="B13462" s="13" t="str">
        <x:v>PORTO SEGURO SA</x:v>
      </x:c>
      <x:c r="C13462" s="16" t="n">
        <x:v>3719.2747414794</x:v>
      </x:c>
      <x:c r="D13462" s="13" t="str">
        <x:v>Financials Non-Banks</x:v>
      </x:c>
      <x:c r="E13462" s="13" t="str">
        <x:v>Financials Non-Banks</x:v>
      </x:c>
      <x:c r="F13462" s="13" t="str">
        <x:v>Financials</x:v>
      </x:c>
      <x:c r="G13462" s="13" t="str">
        <x:v>grid_jx40wu4i.xlsx</x:v>
      </x:c>
    </x:row>
    <x:row r="13463">
      <x:c r="A13463" s="15" t="n">
        <x:v>46082</x:v>
      </x:c>
      <x:c r="B13463" s="13" t="str">
        <x:v>AMBEV SA</x:v>
      </x:c>
      <x:c r="C13463" s="16" t="n">
        <x:v>15876.4094702466</x:v>
      </x:c>
      <x:c r="D13463" s="13" t="str">
        <x:v>Food &amp; Beverages</x:v>
      </x:c>
      <x:c r="E13463" s="13" t="str">
        <x:v>Agri, Food &amp; Beverages</x:v>
      </x:c>
      <x:c r="F13463" s="13" t="str">
        <x:v>Defensives</x:v>
      </x:c>
      <x:c r="G13463" s="13" t="str">
        <x:v>grid_jx40wu4i.xlsx</x:v>
      </x:c>
    </x:row>
    <x:row r="13464">
      <x:c r="A13464" s="15" t="n">
        <x:v>46082</x:v>
      </x:c>
      <x:c r="B13464" s="13" t="str">
        <x:v>MBRF GLOBAL FOODS COMPANY SA</x:v>
      </x:c>
      <x:c r="C13464" s="16" t="n">
        <x:v>580.4848609315</x:v>
      </x:c>
      <x:c r="D13464" s="13" t="str">
        <x:v>Food &amp; Beverages</x:v>
      </x:c>
      <x:c r="E13464" s="13" t="str">
        <x:v>Agri, Food &amp; Beverages</x:v>
      </x:c>
      <x:c r="F13464" s="13" t="str">
        <x:v>Defensives</x:v>
      </x:c>
      <x:c r="G13464" s="13" t="str">
        <x:v>grid_jx40wu4i.xlsx</x:v>
      </x:c>
    </x:row>
    <x:row r="13465">
      <x:c r="A13465" s="15" t="n">
        <x:v>46082</x:v>
      </x:c>
      <x:c r="B13465" s="13" t="str">
        <x:v>MINERVA SA</x:v>
      </x:c>
      <x:c r="C13465" s="16" t="n">
        <x:v>1070.1861724932</x:v>
      </x:c>
      <x:c r="D13465" s="13" t="str">
        <x:v>Food &amp; Beverages</x:v>
      </x:c>
      <x:c r="E13465" s="13" t="str">
        <x:v>Agri, Food &amp; Beverages</x:v>
      </x:c>
      <x:c r="F13465" s="13" t="str">
        <x:v>Defensives</x:v>
      </x:c>
      <x:c r="G13465" s="13" t="str">
        <x:v>grid_jx40wu4i.xlsx</x:v>
      </x:c>
    </x:row>
    <x:row r="13466">
      <x:c r="A13466" s="15" t="n">
        <x:v>46082</x:v>
      </x:c>
      <x:c r="B13466" s="13" t="str">
        <x:v>FLEURY SA</x:v>
      </x:c>
      <x:c r="C13466" s="16" t="n">
        <x:v>703.0137827945</x:v>
      </x:c>
      <x:c r="D13466" s="13" t="str">
        <x:v>Health Care</x:v>
      </x:c>
      <x:c r="E13466" s="13" t="str">
        <x:v>Health Care</x:v>
      </x:c>
      <x:c r="F13466" s="13" t="str">
        <x:v>Defensives</x:v>
      </x:c>
      <x:c r="G13466" s="13" t="str">
        <x:v>grid_jx40wu4i.xlsx</x:v>
      </x:c>
    </x:row>
    <x:row r="13467">
      <x:c r="A13467" s="15" t="n">
        <x:v>46082</x:v>
      </x:c>
      <x:c r="B13467" s="13" t="str">
        <x:v>HAPVIDA PARTICIPACOES E INVE</x:v>
      </x:c>
      <x:c r="C13467" s="16" t="n">
        <x:v>610.6095789589</x:v>
      </x:c>
      <x:c r="D13467" s="13" t="str">
        <x:v>Health Care</x:v>
      </x:c>
      <x:c r="E13467" s="13" t="str">
        <x:v>Health Care</x:v>
      </x:c>
      <x:c r="F13467" s="13" t="str">
        <x:v>Defensives</x:v>
      </x:c>
      <x:c r="G13467" s="13" t="str">
        <x:v>grid_jx40wu4i.xlsx</x:v>
      </x:c>
    </x:row>
    <x:row r="13468">
      <x:c r="A13468" s="15" t="n">
        <x:v>46082</x:v>
      </x:c>
      <x:c r="B13468" s="13" t="str">
        <x:v>HYPERA SA</x:v>
      </x:c>
      <x:c r="C13468" s="16" t="n">
        <x:v>1905.4458090959</x:v>
      </x:c>
      <x:c r="D13468" s="13" t="str">
        <x:v>Health Care</x:v>
      </x:c>
      <x:c r="E13468" s="13" t="str">
        <x:v>Health Care</x:v>
      </x:c>
      <x:c r="F13468" s="13" t="str">
        <x:v>Defensives</x:v>
      </x:c>
      <x:c r="G13468" s="13" t="str">
        <x:v>grid_jx40wu4i.xlsx</x:v>
      </x:c>
    </x:row>
    <x:row r="13469">
      <x:c r="A13469" s="15" t="n">
        <x:v>46082</x:v>
      </x:c>
      <x:c r="B13469" s="13" t="str">
        <x:v>REDE D'OR SAO LUIZ SA</x:v>
      </x:c>
      <x:c r="C13469" s="16" t="n">
        <x:v>5416.4483927671</x:v>
      </x:c>
      <x:c r="D13469" s="13" t="str">
        <x:v>Health Care</x:v>
      </x:c>
      <x:c r="E13469" s="13" t="str">
        <x:v>Health Care</x:v>
      </x:c>
      <x:c r="F13469" s="13" t="str">
        <x:v>Defensives</x:v>
      </x:c>
      <x:c r="G13469" s="13" t="str">
        <x:v>grid_jx40wu4i.xlsx</x:v>
      </x:c>
    </x:row>
    <x:row r="13470">
      <x:c r="A13470" s="15" t="n">
        <x:v>46082</x:v>
      </x:c>
      <x:c r="B13470" s="13" t="str">
        <x:v>CURY CONSTRUTORA E INCORPORA</x:v>
      </x:c>
      <x:c r="C13470" s="16" t="n">
        <x:v>1309.7615956164</x:v>
      </x:c>
      <x:c r="D13470" s="13" t="str">
        <x:v>Homebuilders</x:v>
      </x:c>
      <x:c r="E13470" s="13" t="str">
        <x:v>Real Estate</x:v>
      </x:c>
      <x:c r="F13470" s="13" t="str">
        <x:v>Early Cyclicals</x:v>
      </x:c>
      <x:c r="G13470" s="13" t="str">
        <x:v>grid_jx40wu4i.xlsx</x:v>
      </x:c>
    </x:row>
    <x:row r="13471">
      <x:c r="A13471" s="15" t="n">
        <x:v>46082</x:v>
      </x:c>
      <x:c r="B13471" s="13" t="str">
        <x:v>CYRELA BRAZIL REALTY SA EMP</x:v>
      </x:c>
      <x:c r="C13471" s="16" t="n">
        <x:v>2082.6517724932</x:v>
      </x:c>
      <x:c r="D13471" s="13" t="str">
        <x:v>Homebuilders</x:v>
      </x:c>
      <x:c r="E13471" s="13" t="str">
        <x:v>Real Estate</x:v>
      </x:c>
      <x:c r="F13471" s="13" t="str">
        <x:v>Early Cyclicals</x:v>
      </x:c>
      <x:c r="G13471" s="13" t="str">
        <x:v>grid_jx40wu4i.xlsx</x:v>
      </x:c>
    </x:row>
    <x:row r="13472">
      <x:c r="A13472" s="15" t="n">
        <x:v>46082</x:v>
      </x:c>
      <x:c r="B13472" s="13" t="str">
        <x:v>DIRECIONAL ENGENHARIA SA</x:v>
      </x:c>
      <x:c r="C13472" s="16" t="n">
        <x:v>1022.4544780274</x:v>
      </x:c>
      <x:c r="D13472" s="13" t="str">
        <x:v>Homebuilders</x:v>
      </x:c>
      <x:c r="E13472" s="13" t="str">
        <x:v>Real Estate</x:v>
      </x:c>
      <x:c r="F13472" s="13" t="str">
        <x:v>Early Cyclicals</x:v>
      </x:c>
      <x:c r="G13472" s="13" t="str">
        <x:v>grid_jx40wu4i.xlsx</x:v>
      </x:c>
    </x:row>
    <x:row r="13473">
      <x:c r="A13473" s="15" t="n">
        <x:v>46082</x:v>
      </x:c>
      <x:c r="B13473" s="13" t="str">
        <x:v>MRV ENGENHARIA</x:v>
      </x:c>
      <x:c r="C13473" s="16" t="n">
        <x:v>806.0064850411</x:v>
      </x:c>
      <x:c r="D13473" s="13" t="str">
        <x:v>Homebuilders</x:v>
      </x:c>
      <x:c r="E13473" s="13" t="str">
        <x:v>Real Estate</x:v>
      </x:c>
      <x:c r="F13473" s="13" t="str">
        <x:v>Early Cyclicals</x:v>
      </x:c>
      <x:c r="G13473" s="13" t="str">
        <x:v>grid_jx40wu4i.xlsx</x:v>
      </x:c>
    </x:row>
    <x:row r="13474">
      <x:c r="A13474" s="15" t="n">
        <x:v>46082</x:v>
      </x:c>
      <x:c r="B13474" s="13" t="str">
        <x:v>ALLOS SA</x:v>
      </x:c>
      <x:c r="C13474" s="16" t="n">
        <x:v>890.2923870685</x:v>
      </x:c>
      <x:c r="D13474" s="13" t="str">
        <x:v>Income Properties</x:v>
      </x:c>
      <x:c r="E13474" s="13" t="str">
        <x:v>Real Estate</x:v>
      </x:c>
      <x:c r="F13474" s="13" t="str">
        <x:v>Early Cyclicals</x:v>
      </x:c>
      <x:c r="G13474" s="13" t="str">
        <x:v>grid_jx40wu4i.xlsx</x:v>
      </x:c>
    </x:row>
    <x:row r="13475">
      <x:c r="A13475" s="15" t="n">
        <x:v>46082</x:v>
      </x:c>
      <x:c r="B13475" s="13" t="str">
        <x:v>IGUATEMI SA - UNITS</x:v>
      </x:c>
      <x:c r="C13475" s="16" t="n">
        <x:v>614.134284274</x:v>
      </x:c>
      <x:c r="D13475" s="13" t="str">
        <x:v>Income Properties</x:v>
      </x:c>
      <x:c r="E13475" s="13" t="str">
        <x:v>Real Estate</x:v>
      </x:c>
      <x:c r="F13475" s="13" t="str">
        <x:v>Early Cyclicals</x:v>
      </x:c>
      <x:c r="G13475" s="13" t="str">
        <x:v>grid_jx40wu4i.xlsx</x:v>
      </x:c>
    </x:row>
    <x:row r="13476">
      <x:c r="A13476" s="15" t="n">
        <x:v>46082</x:v>
      </x:c>
      <x:c r="B13476" s="13" t="str">
        <x:v>MULTIPLAN EMPREENDIMENTOS</x:v>
      </x:c>
      <x:c r="C13476" s="16" t="n">
        <x:v>1157.0095728219</x:v>
      </x:c>
      <x:c r="D13476" s="13" t="str">
        <x:v>Income Properties</x:v>
      </x:c>
      <x:c r="E13476" s="13" t="str">
        <x:v>Real Estate</x:v>
      </x:c>
      <x:c r="F13476" s="13" t="str">
        <x:v>Early Cyclicals</x:v>
      </x:c>
      <x:c r="G13476" s="13" t="str">
        <x:v>grid_jx40wu4i.xlsx</x:v>
      </x:c>
    </x:row>
    <x:row r="13477">
      <x:c r="A13477" s="15" t="n">
        <x:v>46082</x:v>
      </x:c>
      <x:c r="B13477" s="13" t="str">
        <x:v>BRADESPAR SA -PREF</x:v>
      </x:c>
      <x:c r="C13477" s="16" t="n">
        <x:v>1707.2739243836</x:v>
      </x:c>
      <x:c r="D13477" s="13" t="str">
        <x:v>Metals &amp; Mining</x:v>
      </x:c>
      <x:c r="E13477" s="13" t="str">
        <x:v>Metals &amp; Mining</x:v>
      </x:c>
      <x:c r="F13477" s="13" t="str">
        <x:v>Deep Cyclicals</x:v>
      </x:c>
      <x:c r="G13477" s="13" t="str">
        <x:v>grid_jx40wu4i.xlsx</x:v>
      </x:c>
    </x:row>
    <x:row r="13478">
      <x:c r="A13478" s="15" t="n">
        <x:v>46082</x:v>
      </x:c>
      <x:c r="B13478" s="13" t="str">
        <x:v>CIA SIDERURGICA NACIONAL SA</x:v>
      </x:c>
      <x:c r="C13478" s="16" t="n">
        <x:v>194.7081740274</x:v>
      </x:c>
      <x:c r="D13478" s="13" t="str">
        <x:v>Metals &amp; Mining</x:v>
      </x:c>
      <x:c r="E13478" s="13" t="str">
        <x:v>Metals &amp; Mining</x:v>
      </x:c>
      <x:c r="F13478" s="13" t="str">
        <x:v>Deep Cyclicals</x:v>
      </x:c>
      <x:c r="G13478" s="13" t="str">
        <x:v>grid_jx40wu4i.xlsx</x:v>
      </x:c>
    </x:row>
    <x:row r="13479">
      <x:c r="A13479" s="15" t="n">
        <x:v>46082</x:v>
      </x:c>
      <x:c r="B13479" s="13" t="str">
        <x:v>CSN MINERACAO SA</x:v>
      </x:c>
      <x:c r="C13479" s="16" t="n">
        <x:v>2173.5177678904</x:v>
      </x:c>
      <x:c r="D13479" s="13" t="str">
        <x:v>Metals &amp; Mining</x:v>
      </x:c>
      <x:c r="E13479" s="13" t="str">
        <x:v>Metals &amp; Mining</x:v>
      </x:c>
      <x:c r="F13479" s="13" t="str">
        <x:v>Deep Cyclicals</x:v>
      </x:c>
      <x:c r="G13479" s="13" t="str">
        <x:v>grid_jx40wu4i.xlsx</x:v>
      </x:c>
    </x:row>
    <x:row r="13480">
      <x:c r="A13480" s="15" t="n">
        <x:v>46082</x:v>
      </x:c>
      <x:c r="B13480" s="13" t="str">
        <x:v>GERDAU SA-PREF</x:v>
      </x:c>
      <x:c r="C13480" s="16" t="n">
        <x:v>4711.0034516164</x:v>
      </x:c>
      <x:c r="D13480" s="13" t="str">
        <x:v>Metals &amp; Mining</x:v>
      </x:c>
      <x:c r="E13480" s="13" t="str">
        <x:v>Metals &amp; Mining</x:v>
      </x:c>
      <x:c r="F13480" s="13" t="str">
        <x:v>Deep Cyclicals</x:v>
      </x:c>
      <x:c r="G13480" s="13" t="str">
        <x:v>grid_jx40wu4i.xlsx</x:v>
      </x:c>
    </x:row>
    <x:row r="13481">
      <x:c r="A13481" s="15" t="n">
        <x:v>46082</x:v>
      </x:c>
      <x:c r="B13481" s="13" t="str">
        <x:v>USINAS SIDER MINAS GER-PF A</x:v>
      </x:c>
      <x:c r="C13481" s="16" t="n">
        <x:v>687.6575991233</x:v>
      </x:c>
      <x:c r="D13481" s="13" t="str">
        <x:v>Metals &amp; Mining</x:v>
      </x:c>
      <x:c r="E13481" s="13" t="str">
        <x:v>Metals &amp; Mining</x:v>
      </x:c>
      <x:c r="F13481" s="13" t="str">
        <x:v>Deep Cyclicals</x:v>
      </x:c>
      <x:c r="G13481" s="13" t="str">
        <x:v>grid_jx40wu4i.xlsx</x:v>
      </x:c>
    </x:row>
    <x:row r="13482">
      <x:c r="A13482" s="15" t="n">
        <x:v>46082</x:v>
      </x:c>
      <x:c r="B13482" s="13" t="str">
        <x:v>VALE SA</x:v>
      </x:c>
      <x:c r="C13482" s="16" t="n">
        <x:v>47370.6781036712</x:v>
      </x:c>
      <x:c r="D13482" s="13" t="str">
        <x:v>Metals &amp; Mining</x:v>
      </x:c>
      <x:c r="E13482" s="13" t="str">
        <x:v>Metals &amp; Mining</x:v>
      </x:c>
      <x:c r="F13482" s="13" t="str">
        <x:v>Deep Cyclicals</x:v>
      </x:c>
      <x:c r="G13482" s="13" t="str">
        <x:v>grid_jx40wu4i.xlsx</x:v>
      </x:c>
    </x:row>
    <x:row r="13483">
      <x:c r="A13483" s="15" t="n">
        <x:v>46082</x:v>
      </x:c>
      <x:c r="B13483" s="13" t="str">
        <x:v>BRASKEM SA-PREF A</x:v>
      </x:c>
      <x:c r="C13483" s="16" t="n">
        <x:v>-2089.7287189041</x:v>
      </x:c>
      <x:c r="D13483" s="13" t="str">
        <x:v>Oil, Gas &amp; Petrochemicals</x:v>
      </x:c>
      <x:c r="E13483" s="13" t="str">
        <x:v>Oil, Gas &amp; Petrochemicals</x:v>
      </x:c>
      <x:c r="F13483" s="13" t="str">
        <x:v>Deep Cyclicals</x:v>
      </x:c>
      <x:c r="G13483" s="13" t="str">
        <x:v>grid_jx40wu4i.xlsx</x:v>
      </x:c>
    </x:row>
    <x:row r="13484">
      <x:c r="A13484" s="15" t="n">
        <x:v>46082</x:v>
      </x:c>
      <x:c r="B13484" s="13" t="str">
        <x:v>BRAVA ENERGIA</x:v>
      </x:c>
      <x:c r="C13484" s="16" t="n">
        <x:v>1697.9869422466</x:v>
      </x:c>
      <x:c r="D13484" s="13" t="str">
        <x:v>Oil, Gas &amp; Petrochemicals</x:v>
      </x:c>
      <x:c r="E13484" s="13" t="str">
        <x:v>Oil, Gas &amp; Petrochemicals</x:v>
      </x:c>
      <x:c r="F13484" s="13" t="str">
        <x:v>Deep Cyclicals</x:v>
      </x:c>
      <x:c r="G13484" s="13" t="str">
        <x:v>grid_jx40wu4i.xlsx</x:v>
      </x:c>
    </x:row>
    <x:row r="13485">
      <x:c r="A13485" s="15" t="n">
        <x:v>46082</x:v>
      </x:c>
      <x:c r="B13485" s="13" t="str">
        <x:v>COSAN SA</x:v>
      </x:c>
      <x:c r="C13485" s="16" t="n">
        <x:v>2521.5780506301</x:v>
      </x:c>
      <x:c r="D13485" s="13" t="str">
        <x:v>Oil, Gas &amp; Petrochemicals</x:v>
      </x:c>
      <x:c r="E13485" s="13" t="str">
        <x:v>Oil, Gas &amp; Petrochemicals</x:v>
      </x:c>
      <x:c r="F13485" s="13" t="str">
        <x:v>Deep Cyclicals</x:v>
      </x:c>
      <x:c r="G13485" s="13" t="str">
        <x:v>grid_jx40wu4i.xlsx</x:v>
      </x:c>
    </x:row>
    <x:row r="13486">
      <x:c r="A13486" s="15" t="n">
        <x:v>46082</x:v>
      </x:c>
      <x:c r="B13486" s="13" t="str">
        <x:v>PETROBRAS - PETROLEO BRAS</x:v>
      </x:c>
      <x:c r="C13486" s="16" t="n">
        <x:v>112627.275467397</x:v>
      </x:c>
      <x:c r="D13486" s="13" t="str">
        <x:v>Oil, Gas &amp; Petrochemicals</x:v>
      </x:c>
      <x:c r="E13486" s="13" t="str">
        <x:v>Oil, Gas &amp; Petrochemicals</x:v>
      </x:c>
      <x:c r="F13486" s="13" t="str">
        <x:v>Deep Cyclicals</x:v>
      </x:c>
      <x:c r="G13486" s="13" t="str">
        <x:v>grid_jx40wu4i.xlsx</x:v>
      </x:c>
    </x:row>
    <x:row r="13487">
      <x:c r="A13487" s="15" t="n">
        <x:v>46082</x:v>
      </x:c>
      <x:c r="B13487" s="13" t="str">
        <x:v>PETRORECONCAVO SA</x:v>
      </x:c>
      <x:c r="C13487" s="16" t="n">
        <x:v>422.3136889863</x:v>
      </x:c>
      <x:c r="D13487" s="13" t="str">
        <x:v>Oil, Gas &amp; Petrochemicals</x:v>
      </x:c>
      <x:c r="E13487" s="13" t="str">
        <x:v>Oil, Gas &amp; Petrochemicals</x:v>
      </x:c>
      <x:c r="F13487" s="13" t="str">
        <x:v>Deep Cyclicals</x:v>
      </x:c>
      <x:c r="G13487" s="13" t="str">
        <x:v>grid_jx40wu4i.xlsx</x:v>
      </x:c>
    </x:row>
    <x:row r="13488">
      <x:c r="A13488" s="15" t="n">
        <x:v>46082</x:v>
      </x:c>
      <x:c r="B13488" s="13" t="str">
        <x:v>PRIO SA</x:v>
      </x:c>
      <x:c r="C13488" s="16" t="n">
        <x:v>7481.3405913425</x:v>
      </x:c>
      <x:c r="D13488" s="13" t="str">
        <x:v>Oil, Gas &amp; Petrochemicals</x:v>
      </x:c>
      <x:c r="E13488" s="13" t="str">
        <x:v>Oil, Gas &amp; Petrochemicals</x:v>
      </x:c>
      <x:c r="F13488" s="13" t="str">
        <x:v>Deep Cyclicals</x:v>
      </x:c>
      <x:c r="G13488" s="13" t="str">
        <x:v>grid_jx40wu4i.xlsx</x:v>
      </x:c>
    </x:row>
    <x:row r="13489">
      <x:c r="A13489" s="15" t="n">
        <x:v>46082</x:v>
      </x:c>
      <x:c r="B13489" s="13" t="str">
        <x:v>ULTRAPAR PARTICIPACOES SA</x:v>
      </x:c>
      <x:c r="C13489" s="16" t="n">
        <x:v>2496.3153429041</x:v>
      </x:c>
      <x:c r="D13489" s="13" t="str">
        <x:v>Oil, Gas &amp; Petrochemicals</x:v>
      </x:c>
      <x:c r="E13489" s="13" t="str">
        <x:v>Oil, Gas &amp; Petrochemicals</x:v>
      </x:c>
      <x:c r="F13489" s="13" t="str">
        <x:v>Deep Cyclicals</x:v>
      </x:c>
      <x:c r="G13489" s="13" t="str">
        <x:v>grid_jx40wu4i.xlsx</x:v>
      </x:c>
    </x:row>
    <x:row r="13490">
      <x:c r="A13490" s="15" t="n">
        <x:v>46082</x:v>
      </x:c>
      <x:c r="B13490" s="13" t="str">
        <x:v>VIBRA ENERGIA SA</x:v>
      </x:c>
      <x:c r="C13490" s="16" t="n">
        <x:v>2894.9103342466</x:v>
      </x:c>
      <x:c r="D13490" s="13" t="str">
        <x:v>Oil, Gas &amp; Petrochemicals</x:v>
      </x:c>
      <x:c r="E13490" s="13" t="str">
        <x:v>Oil, Gas &amp; Petrochemicals</x:v>
      </x:c>
      <x:c r="F13490" s="13" t="str">
        <x:v>Deep Cyclicals</x:v>
      </x:c>
      <x:c r="G13490" s="13" t="str">
        <x:v>grid_jx40wu4i.xlsx</x:v>
      </x:c>
    </x:row>
    <x:row r="13491">
      <x:c r="A13491" s="15" t="n">
        <x:v>46082</x:v>
      </x:c>
      <x:c r="B13491" s="13" t="str">
        <x:v>KLABIN SA - UNIT</x:v>
      </x:c>
      <x:c r="C13491" s="16" t="n">
        <x:v>1892.440551452</x:v>
      </x:c>
      <x:c r="D13491" s="13" t="str">
        <x:v>Pulp &amp; Paper</x:v>
      </x:c>
      <x:c r="E13491" s="13" t="str">
        <x:v>Pulp &amp; Paper</x:v>
      </x:c>
      <x:c r="F13491" s="13" t="str">
        <x:v>Deep Cyclicals</x:v>
      </x:c>
      <x:c r="G13491" s="13" t="str">
        <x:v>grid_jx40wu4i.xlsx</x:v>
      </x:c>
    </x:row>
    <x:row r="13492">
      <x:c r="A13492" s="15" t="n">
        <x:v>46082</x:v>
      </x:c>
      <x:c r="B13492" s="13" t="str">
        <x:v>SUZANO SA</x:v>
      </x:c>
      <x:c r="C13492" s="16" t="n">
        <x:v>7924.0822250959</x:v>
      </x:c>
      <x:c r="D13492" s="13" t="str">
        <x:v>Pulp &amp; Paper</x:v>
      </x:c>
      <x:c r="E13492" s="13" t="str">
        <x:v>Pulp &amp; Paper</x:v>
      </x:c>
      <x:c r="F13492" s="13" t="str">
        <x:v>Deep Cyclicals</x:v>
      </x:c>
      <x:c r="G13492" s="13" t="str">
        <x:v>grid_jx40wu4i.xlsx</x:v>
      </x:c>
    </x:row>
    <x:row r="13493">
      <x:c r="A13493" s="15" t="n">
        <x:v>46082</x:v>
      </x:c>
      <x:c r="B13493" s="13" t="str">
        <x:v>AZZAS 2154 SA</x:v>
      </x:c>
      <x:c r="C13493" s="16" t="n">
        <x:v>796.4273972603</x:v>
      </x:c>
      <x:c r="D13493" s="13" t="str">
        <x:v>Retail</x:v>
      </x:c>
      <x:c r="E13493" s="13" t="str">
        <x:v>Retail</x:v>
      </x:c>
      <x:c r="F13493" s="13" t="str">
        <x:v>Early Cyclicals</x:v>
      </x:c>
      <x:c r="G13493" s="13" t="str">
        <x:v>grid_jx40wu4i.xlsx</x:v>
      </x:c>
    </x:row>
    <x:row r="13494">
      <x:c r="A13494" s="15" t="n">
        <x:v>46082</x:v>
      </x:c>
      <x:c r="B13494" s="13" t="str">
        <x:v>C&amp;A MODAS LTDA</x:v>
      </x:c>
      <x:c r="C13494" s="16" t="n">
        <x:v>551.3844598356</x:v>
      </x:c>
      <x:c r="D13494" s="13" t="str">
        <x:v>Retail</x:v>
      </x:c>
      <x:c r="E13494" s="13" t="str">
        <x:v>Retail</x:v>
      </x:c>
      <x:c r="F13494" s="13" t="str">
        <x:v>Early Cyclicals</x:v>
      </x:c>
      <x:c r="G13494" s="13" t="str">
        <x:v>grid_jx40wu4i.xlsx</x:v>
      </x:c>
    </x:row>
    <x:row r="13495">
      <x:c r="A13495" s="15" t="n">
        <x:v>46082</x:v>
      </x:c>
      <x:c r="B13495" s="13" t="str">
        <x:v>LOJAS RENNER S.A.</x:v>
      </x:c>
      <x:c r="C13495" s="16" t="n">
        <x:v>1616.1448995068</x:v>
      </x:c>
      <x:c r="D13495" s="13" t="str">
        <x:v>Retail</x:v>
      </x:c>
      <x:c r="E13495" s="13" t="str">
        <x:v>Retail</x:v>
      </x:c>
      <x:c r="F13495" s="13" t="str">
        <x:v>Early Cyclicals</x:v>
      </x:c>
      <x:c r="G13495" s="13" t="str">
        <x:v>grid_jx40wu4i.xlsx</x:v>
      </x:c>
    </x:row>
    <x:row r="13496">
      <x:c r="A13496" s="15" t="n">
        <x:v>46082</x:v>
      </x:c>
      <x:c r="B13496" s="13" t="str">
        <x:v>MAGAZINE LUIZA SA</x:v>
      </x:c>
      <x:c r="C13496" s="16" t="n">
        <x:v>383.3876633425</x:v>
      </x:c>
      <x:c r="D13496" s="13" t="str">
        <x:v>Retail</x:v>
      </x:c>
      <x:c r="E13496" s="13" t="str">
        <x:v>Retail</x:v>
      </x:c>
      <x:c r="F13496" s="13" t="str">
        <x:v>Early Cyclicals</x:v>
      </x:c>
      <x:c r="G13496" s="13" t="str">
        <x:v>grid_jx40wu4i.xlsx</x:v>
      </x:c>
    </x:row>
    <x:row r="13497">
      <x:c r="A13497" s="15" t="n">
        <x:v>46082</x:v>
      </x:c>
      <x:c r="B13497" s="13" t="str">
        <x:v>NATURA COSMETICOS SA</x:v>
      </x:c>
      <x:c r="C13497" s="16" t="n">
        <x:v>1290.0887110137</x:v>
      </x:c>
      <x:c r="D13497" s="13" t="str">
        <x:v>Retail</x:v>
      </x:c>
      <x:c r="E13497" s="13" t="str">
        <x:v>Retail</x:v>
      </x:c>
      <x:c r="F13497" s="13" t="str">
        <x:v>Early Cyclicals</x:v>
      </x:c>
      <x:c r="G13497" s="13" t="str">
        <x:v>grid_jx40wu4i.xlsx</x:v>
      </x:c>
    </x:row>
    <x:row r="13498">
      <x:c r="A13498" s="15" t="n">
        <x:v>46082</x:v>
      </x:c>
      <x:c r="B13498" s="13" t="str">
        <x:v>RAIA DROGASIL SA</x:v>
      </x:c>
      <x:c r="C13498" s="16" t="n">
        <x:v>1863.2762003288</x:v>
      </x:c>
      <x:c r="D13498" s="13" t="str">
        <x:v>Retail</x:v>
      </x:c>
      <x:c r="E13498" s="13" t="str">
        <x:v>Retail</x:v>
      </x:c>
      <x:c r="F13498" s="13" t="str">
        <x:v>Early Cyclicals</x:v>
      </x:c>
      <x:c r="G13498" s="13" t="str">
        <x:v>grid_jx40wu4i.xlsx</x:v>
      </x:c>
    </x:row>
    <x:row r="13499">
      <x:c r="A13499" s="15" t="n">
        <x:v>46082</x:v>
      </x:c>
      <x:c r="B13499" s="13" t="str">
        <x:v>SENDAS DISTRIBUIDORA SA</x:v>
      </x:c>
      <x:c r="C13499" s="16" t="n">
        <x:v>1146.7300278356</x:v>
      </x:c>
      <x:c r="D13499" s="13" t="str">
        <x:v>Retail</x:v>
      </x:c>
      <x:c r="E13499" s="13" t="str">
        <x:v>Retail</x:v>
      </x:c>
      <x:c r="F13499" s="13" t="str">
        <x:v>Early Cyclicals</x:v>
      </x:c>
      <x:c r="G13499" s="13" t="str">
        <x:v>grid_jx40wu4i.xlsx</x:v>
      </x:c>
    </x:row>
    <x:row r="13500">
      <x:c r="A13500" s="15" t="n">
        <x:v>46082</x:v>
      </x:c>
      <x:c r="B13500" s="13" t="str">
        <x:v>SMARTFIT - ORDINARY</x:v>
      </x:c>
      <x:c r="C13500" s="16" t="n">
        <x:v>1021.7379690959</x:v>
      </x:c>
      <x:c r="D13500" s="13" t="str">
        <x:v>Retail</x:v>
      </x:c>
      <x:c r="E13500" s="13" t="str">
        <x:v>Retail</x:v>
      </x:c>
      <x:c r="F13500" s="13" t="str">
        <x:v>Early Cyclicals</x:v>
      </x:c>
      <x:c r="G13500" s="13" t="str">
        <x:v>grid_jx40wu4i.xlsx</x:v>
      </x:c>
    </x:row>
    <x:row r="13501">
      <x:c r="A13501" s="15" t="n">
        <x:v>46082</x:v>
      </x:c>
      <x:c r="B13501" s="13" t="str">
        <x:v>VIVARA PARTICIPACOES SA</x:v>
      </x:c>
      <x:c r="C13501" s="16" t="n">
        <x:v>755.8898866849</x:v>
      </x:c>
      <x:c r="D13501" s="13" t="str">
        <x:v>Retail</x:v>
      </x:c>
      <x:c r="E13501" s="13" t="str">
        <x:v>Retail</x:v>
      </x:c>
      <x:c r="F13501" s="13" t="str">
        <x:v>Early Cyclicals</x:v>
      </x:c>
      <x:c r="G13501" s="13" t="str">
        <x:v>grid_jx40wu4i.xlsx</x:v>
      </x:c>
    </x:row>
    <x:row r="13502">
      <x:c r="A13502" s="15" t="n">
        <x:v>46082</x:v>
      </x:c>
      <x:c r="B13502" s="13" t="str">
        <x:v>CIA SANEAMENTO BASICO DE SP</x:v>
      </x:c>
      <x:c r="C13502" s="16" t="n">
        <x:v>7671.3008955616</x:v>
      </x:c>
      <x:c r="D13502" s="13" t="str">
        <x:v>Sanitation</x:v>
      </x:c>
      <x:c r="E13502" s="13" t="str">
        <x:v>Utilities</x:v>
      </x:c>
      <x:c r="F13502" s="13" t="str">
        <x:v>Defensives</x:v>
      </x:c>
      <x:c r="G13502" s="13" t="str">
        <x:v>grid_jx40wu4i.xlsx</x:v>
      </x:c>
    </x:row>
    <x:row r="13503">
      <x:c r="A13503" s="15" t="n">
        <x:v>46082</x:v>
      </x:c>
      <x:c r="B13503" s="13" t="str">
        <x:v>CIA SANEAMENTO MINAS GERAIS</x:v>
      </x:c>
      <x:c r="C13503" s="16" t="n">
        <x:v>1364.2540852603</x:v>
      </x:c>
      <x:c r="D13503" s="13" t="str">
        <x:v>Sanitation</x:v>
      </x:c>
      <x:c r="E13503" s="13" t="str">
        <x:v>Utilities</x:v>
      </x:c>
      <x:c r="F13503" s="13" t="str">
        <x:v>Defensives</x:v>
      </x:c>
      <x:c r="G13503" s="13" t="str">
        <x:v>grid_jx40wu4i.xlsx</x:v>
      </x:c>
    </x:row>
    <x:row r="13504">
      <x:c r="A13504" s="15" t="n">
        <x:v>46082</x:v>
      </x:c>
      <x:c r="B13504" s="13" t="str">
        <x:v>TIM SA</x:v>
      </x:c>
      <x:c r="C13504" s="16" t="n">
        <x:v>4831.2764458082</x:v>
      </x:c>
      <x:c r="D13504" s="13" t="str">
        <x:v>TMT</x:v>
      </x:c>
      <x:c r="E13504" s="13" t="str">
        <x:v>TMT</x:v>
      </x:c>
      <x:c r="F13504" s="13" t="str">
        <x:v>Early Cyclicals</x:v>
      </x:c>
      <x:c r="G13504" s="13" t="str">
        <x:v>grid_jx40wu4i.xlsx</x:v>
      </x:c>
    </x:row>
    <x:row r="13505">
      <x:c r="A13505" s="15" t="n">
        <x:v>46082</x:v>
      </x:c>
      <x:c r="B13505" s="13" t="str">
        <x:v>TOTVS SA</x:v>
      </x:c>
      <x:c r="C13505" s="16" t="n">
        <x:v>1155.965741589</x:v>
      </x:c>
      <x:c r="D13505" s="13" t="str">
        <x:v>TMT</x:v>
      </x:c>
      <x:c r="E13505" s="13" t="str">
        <x:v>TMT</x:v>
      </x:c>
      <x:c r="F13505" s="13" t="str">
        <x:v>Early Cyclicals</x:v>
      </x:c>
      <x:c r="G13505" s="13" t="str">
        <x:v>grid_jx40wu4i.xlsx</x:v>
      </x:c>
    </x:row>
    <x:row r="13506">
      <x:c r="A13506" s="15" t="n">
        <x:v>46082</x:v>
      </x:c>
      <x:c r="B13506" s="13" t="str">
        <x:v>LOCALIZA RENT A CAR</x:v>
      </x:c>
      <x:c r="C13506" s="16" t="n">
        <x:v>4602.2571555068</x:v>
      </x:c>
      <x:c r="D13506" s="13" t="str">
        <x:v>Transportation</x:v>
      </x:c>
      <x:c r="E13506" s="13" t="str">
        <x:v>Transportation</x:v>
      </x:c>
      <x:c r="F13506" s="13" t="str">
        <x:v>Deep Cyclicals</x:v>
      </x:c>
      <x:c r="G13506" s="13" t="str">
        <x:v>grid_jx40wu4i.xlsx</x:v>
      </x:c>
    </x:row>
    <x:row r="13507">
      <x:c r="A13507" s="15" t="n">
        <x:v>46082</x:v>
      </x:c>
      <x:c r="B13507" s="13" t="str">
        <x:v>MOTIVA INFRAESTRUTURA DE MOB</x:v>
      </x:c>
      <x:c r="C13507" s="16" t="n">
        <x:v>2672.7466152329</x:v>
      </x:c>
      <x:c r="D13507" s="13" t="str">
        <x:v>Transportation</x:v>
      </x:c>
      <x:c r="E13507" s="13" t="str">
        <x:v>Transportation</x:v>
      </x:c>
      <x:c r="F13507" s="13" t="str">
        <x:v>Deep Cyclicals</x:v>
      </x:c>
      <x:c r="G13507" s="13" t="str">
        <x:v>grid_jx40wu4i.xlsx</x:v>
      </x:c>
    </x:row>
    <x:row r="13508">
      <x:c r="A13508" s="15" t="n">
        <x:v>46082</x:v>
      </x:c>
      <x:c r="B13508" s="13" t="str">
        <x:v>RUMO SA</x:v>
      </x:c>
      <x:c r="C13508" s="16" t="n">
        <x:v>2159.6822198356</x:v>
      </x:c>
      <x:c r="D13508" s="13" t="str">
        <x:v>Transportation</x:v>
      </x:c>
      <x:c r="E13508" s="13" t="str">
        <x:v>Transportation</x:v>
      </x:c>
      <x:c r="F13508" s="13" t="str">
        <x:v>Deep Cyclicals</x:v>
      </x:c>
      <x:c r="G13508" s="13" t="str">
        <x:v>grid_jx40wu4i.xlsx</x:v>
      </x:c>
    </x:row>
    <x:row r="13509">
      <x:c r="A13509" s="15" t="n">
        <x:v>46082</x:v>
      </x:c>
      <x:c r="B13509" s="13" t="str">
        <x:v>VAMOS LOCACAO DE CAMINHOES M</x:v>
      </x:c>
      <x:c r="C13509" s="16" t="n">
        <x:v>533.4845580274</x:v>
      </x:c>
      <x:c r="D13509" s="13" t="str">
        <x:v>Transportation</x:v>
      </x:c>
      <x:c r="E13509" s="13" t="str">
        <x:v>Transportation</x:v>
      </x:c>
      <x:c r="F13509" s="13" t="str">
        <x:v>Deep Cyclicals</x:v>
      </x:c>
      <x:c r="G13509" s="13" t="str">
        <x:v>grid_jx40wu4i.xlsx</x:v>
      </x:c>
    </x:row>
    <x:row r="13510">
      <x:c r="A13510" s="15" t="n">
        <x:v>46082</x:v>
      </x:c>
      <x:c r="B13510" s="13" t="str">
        <x:v>AUREN ENERGIA SA - ON</x:v>
      </x:c>
      <x:c r="C13510" s="16" t="n">
        <x:v>-478.6668186301</x:v>
      </x:c>
      <x:c r="D13510" s="13" t="str">
        <x:v>Utilities &amp; Energy</x:v>
      </x:c>
      <x:c r="E13510" s="13" t="str">
        <x:v>Utilities</x:v>
      </x:c>
      <x:c r="F13510" s="13" t="str">
        <x:v>Defensives</x:v>
      </x:c>
      <x:c r="G13510" s="13" t="str">
        <x:v>grid_jx40wu4i.xlsx</x:v>
      </x:c>
    </x:row>
    <x:row r="13511">
      <x:c r="A13511" s="15" t="n">
        <x:v>46082</x:v>
      </x:c>
      <x:c r="B13511" s="13" t="str">
        <x:v>AXIA ENERGIA SA</x:v>
      </x:c>
      <x:c r="C13511" s="16" t="n">
        <x:v>13094.1797558356</x:v>
      </x:c>
      <x:c r="D13511" s="13" t="str">
        <x:v>Utilities &amp; Energy</x:v>
      </x:c>
      <x:c r="E13511" s="13" t="str">
        <x:v>Utilities</x:v>
      </x:c>
      <x:c r="F13511" s="13" t="str">
        <x:v>Defensives</x:v>
      </x:c>
      <x:c r="G13511" s="13" t="str">
        <x:v>grid_jx40wu4i.xlsx</x:v>
      </x:c>
    </x:row>
    <x:row r="13512">
      <x:c r="A13512" s="15" t="n">
        <x:v>46082</x:v>
      </x:c>
      <x:c r="B13512" s="13" t="str">
        <x:v>AXIA ENERGIA-PR B</x:v>
      </x:c>
      <x:c r="C13512" s="16" t="n">
        <x:v>13094.1797558356</x:v>
      </x:c>
      <x:c r="D13512" s="13" t="str">
        <x:v>Utilities &amp; Energy</x:v>
      </x:c>
      <x:c r="E13512" s="13" t="str">
        <x:v>Utilities</x:v>
      </x:c>
      <x:c r="F13512" s="13" t="str">
        <x:v>Defensives</x:v>
      </x:c>
      <x:c r="G13512" s="13" t="str">
        <x:v>grid_jx40wu4i.xlsx</x:v>
      </x:c>
    </x:row>
    <x:row r="13513">
      <x:c r="A13513" s="15" t="n">
        <x:v>46082</x:v>
      </x:c>
      <x:c r="B13513" s="13" t="str">
        <x:v>CIA ENERGETICA MINAS GER-PRF</x:v>
      </x:c>
      <x:c r="C13513" s="16" t="n">
        <x:v>3773.9891375342</x:v>
      </x:c>
      <x:c r="D13513" s="13" t="str">
        <x:v>Utilities &amp; Energy</x:v>
      </x:c>
      <x:c r="E13513" s="13" t="str">
        <x:v>Utilities</x:v>
      </x:c>
      <x:c r="F13513" s="13" t="str">
        <x:v>Defensives</x:v>
      </x:c>
      <x:c r="G13513" s="13" t="str">
        <x:v>grid_jx40wu4i.xlsx</x:v>
      </x:c>
    </x:row>
    <x:row r="13514">
      <x:c r="A13514" s="15" t="n">
        <x:v>46082</x:v>
      </x:c>
      <x:c r="B13514" s="13" t="str">
        <x:v>COMPANHIA PARANAENSE DE ENER</x:v>
      </x:c>
      <x:c r="C13514" s="16" t="n">
        <x:v>2833.0206158904</x:v>
      </x:c>
      <x:c r="D13514" s="13" t="str">
        <x:v>Utilities &amp; Energy</x:v>
      </x:c>
      <x:c r="E13514" s="13" t="str">
        <x:v>Utilities</x:v>
      </x:c>
      <x:c r="F13514" s="13" t="str">
        <x:v>Defensives</x:v>
      </x:c>
      <x:c r="G13514" s="13" t="str">
        <x:v>grid_jx40wu4i.xlsx</x:v>
      </x:c>
    </x:row>
    <x:row r="13515">
      <x:c r="A13515" s="15" t="n">
        <x:v>46082</x:v>
      </x:c>
      <x:c r="B13515" s="13" t="str">
        <x:v>CPFL ENERGIA SA</x:v>
      </x:c>
      <x:c r="C13515" s="16" t="n">
        <x:v>4954.1399986849</x:v>
      </x:c>
      <x:c r="D13515" s="13" t="str">
        <x:v>Utilities &amp; Energy</x:v>
      </x:c>
      <x:c r="E13515" s="13" t="str">
        <x:v>Utilities</x:v>
      </x:c>
      <x:c r="F13515" s="13" t="str">
        <x:v>Defensives</x:v>
      </x:c>
      <x:c r="G13515" s="13" t="str">
        <x:v>grid_jx40wu4i.xlsx</x:v>
      </x:c>
    </x:row>
    <x:row r="13516">
      <x:c r="A13516" s="15" t="n">
        <x:v>46082</x:v>
      </x:c>
      <x:c r="B13516" s="13" t="str">
        <x:v>ENERGISA SA-UNITS</x:v>
      </x:c>
      <x:c r="C13516" s="16" t="n">
        <x:v>1584.6339524384</x:v>
      </x:c>
      <x:c r="D13516" s="13" t="str">
        <x:v>Utilities &amp; Energy</x:v>
      </x:c>
      <x:c r="E13516" s="13" t="str">
        <x:v>Utilities</x:v>
      </x:c>
      <x:c r="F13516" s="13" t="str">
        <x:v>Defensives</x:v>
      </x:c>
      <x:c r="G13516" s="13" t="str">
        <x:v>grid_jx40wu4i.xlsx</x:v>
      </x:c>
    </x:row>
    <x:row r="13517">
      <x:c r="A13517" s="15" t="n">
        <x:v>46082</x:v>
      </x:c>
      <x:c r="B13517" s="13" t="str">
        <x:v>ENEVA SA</x:v>
      </x:c>
      <x:c r="C13517" s="16" t="n">
        <x:v>1161.1959145206</x:v>
      </x:c>
      <x:c r="D13517" s="13" t="str">
        <x:v>Utilities &amp; Energy</x:v>
      </x:c>
      <x:c r="E13517" s="13" t="str">
        <x:v>Utilities</x:v>
      </x:c>
      <x:c r="F13517" s="13" t="str">
        <x:v>Defensives</x:v>
      </x:c>
      <x:c r="G13517" s="13" t="str">
        <x:v>grid_jx40wu4i.xlsx</x:v>
      </x:c>
    </x:row>
    <x:row r="13518">
      <x:c r="A13518" s="15" t="n">
        <x:v>46082</x:v>
      </x:c>
      <x:c r="B13518" s="13" t="str">
        <x:v>ENGIE BRASIL ENERGIA SA</x:v>
      </x:c>
      <x:c r="C13518" s="16" t="n">
        <x:v>3179.4938318904</x:v>
      </x:c>
      <x:c r="D13518" s="13" t="str">
        <x:v>Utilities &amp; Energy</x:v>
      </x:c>
      <x:c r="E13518" s="13" t="str">
        <x:v>Utilities</x:v>
      </x:c>
      <x:c r="F13518" s="13" t="str">
        <x:v>Defensives</x:v>
      </x:c>
      <x:c r="G13518" s="13" t="str">
        <x:v>grid_jx40wu4i.xlsx</x:v>
      </x:c>
    </x:row>
    <x:row r="13519">
      <x:c r="A13519" s="15" t="n">
        <x:v>46082</x:v>
      </x:c>
      <x:c r="B13519" s="13" t="str">
        <x:v>EQUATORIAL SA - ORD</x:v>
      </x:c>
      <x:c r="C13519" s="16" t="n">
        <x:v>3555.4677198904</x:v>
      </x:c>
      <x:c r="D13519" s="13" t="str">
        <x:v>Utilities &amp; Energy</x:v>
      </x:c>
      <x:c r="E13519" s="13" t="str">
        <x:v>Utilities</x:v>
      </x:c>
      <x:c r="F13519" s="13" t="str">
        <x:v>Defensives</x:v>
      </x:c>
      <x:c r="G13519" s="13" t="str">
        <x:v>grid_jx40wu4i.xlsx</x:v>
      </x:c>
    </x:row>
    <x:row r="13520">
      <x:c r="A13520" s="15" t="n">
        <x:v>46082</x:v>
      </x:c>
      <x:c r="B13520" s="13" t="str">
        <x:v>ISA ENERGIA BRASIL SA</x:v>
      </x:c>
      <x:c r="C13520" s="16" t="n">
        <x:v>1415.4082069041</x:v>
      </x:c>
      <x:c r="D13520" s="13" t="str">
        <x:v>Utilities &amp; Energy</x:v>
      </x:c>
      <x:c r="E13520" s="13" t="str">
        <x:v>Utilities</x:v>
      </x:c>
      <x:c r="F13520" s="13" t="str">
        <x:v>Defensives</x:v>
      </x:c>
      <x:c r="G13520" s="13" t="str">
        <x:v>grid_jx40wu4i.xlsx</x:v>
      </x:c>
    </x:row>
    <x:row r="13521">
      <x:c r="A13521" s="15" t="n">
        <x:v>46082</x:v>
      </x:c>
      <x:c r="B13521" s="13" t="str">
        <x:v>TRANSMISSORA ALIANCA DE-UNIT</x:v>
      </x:c>
      <x:c r="C13521" s="16" t="n">
        <x:v>1276.6964462466</x:v>
      </x:c>
      <x:c r="D13521" s="13" t="str">
        <x:v>Utilities &amp; Energy</x:v>
      </x:c>
      <x:c r="E13521" s="13" t="str">
        <x:v>Utilities</x:v>
      </x:c>
      <x:c r="F13521" s="13" t="str">
        <x:v>Defensives</x:v>
      </x:c>
      <x:c r="G13521" s="13" t="str">
        <x:v>grid_jx40wu4i.xlsx</x:v>
      </x:c>
    </x:row>
    <x:row r="13522">
      <x:c r="A13522" s="15" t="n">
        <x:v>46113</x:v>
      </x:c>
      <x:c r="B13522" s="13" t="str">
        <x:v>SLC AGRICOLA SA</x:v>
      </x:c>
      <x:c r="C13522" s="16" t="n">
        <x:v>764.8536626849</x:v>
      </x:c>
      <x:c r="D13522" s="13" t="str">
        <x:v>Agribusiness</x:v>
      </x:c>
      <x:c r="E13522" s="13" t="str">
        <x:v>Agri, Food &amp; Beverages</x:v>
      </x:c>
      <x:c r="F13522" s="13" t="str">
        <x:v>Defensives</x:v>
      </x:c>
      <x:c r="G13522" s="13" t="str">
        <x:v>grid_jx40wu4i.xlsx</x:v>
      </x:c>
    </x:row>
    <x:row r="13523">
      <x:c r="A13523" s="15" t="n">
        <x:v>46113</x:v>
      </x:c>
      <x:c r="B13523" s="13" t="str">
        <x:v>BANCO BRADESCO S.A.</x:v>
      </x:c>
      <x:c r="C13523" s="16" t="n">
        <x:v>29522.0896473425</x:v>
      </x:c>
      <x:c r="D13523" s="13" t="str">
        <x:v>Banks</x:v>
      </x:c>
      <x:c r="E13523" s="13" t="str">
        <x:v>Banks</x:v>
      </x:c>
      <x:c r="F13523" s="13" t="str">
        <x:v>Financials</x:v>
      </x:c>
      <x:c r="G13523" s="13" t="str">
        <x:v>grid_jx40wu4i.xlsx</x:v>
      </x:c>
    </x:row>
    <x:row r="13524">
      <x:c r="A13524" s="15" t="n">
        <x:v>46113</x:v>
      </x:c>
      <x:c r="B13524" s="13" t="str">
        <x:v>BANCO BRADESCO SA-PREF</x:v>
      </x:c>
      <x:c r="C13524" s="16" t="n">
        <x:v>29522.0896473425</x:v>
      </x:c>
      <x:c r="D13524" s="13" t="str">
        <x:v>Banks</x:v>
      </x:c>
      <x:c r="E13524" s="13" t="str">
        <x:v>Banks</x:v>
      </x:c>
      <x:c r="F13524" s="13" t="str">
        <x:v>Financials</x:v>
      </x:c>
      <x:c r="G13524" s="13" t="str">
        <x:v>grid_jx40wu4i.xlsx</x:v>
      </x:c>
    </x:row>
    <x:row r="13525">
      <x:c r="A13525" s="15" t="n">
        <x:v>46113</x:v>
      </x:c>
      <x:c r="B13525" s="13" t="str">
        <x:v>BANCO BTG PACTUAL SA-UNIT</x:v>
      </x:c>
      <x:c r="C13525" s="16" t="n">
        <x:v>20683.6658568767</x:v>
      </x:c>
      <x:c r="D13525" s="13" t="str">
        <x:v>Banks</x:v>
      </x:c>
      <x:c r="E13525" s="13" t="str">
        <x:v>Banks</x:v>
      </x:c>
      <x:c r="F13525" s="13" t="str">
        <x:v>Financials</x:v>
      </x:c>
      <x:c r="G13525" s="13" t="str">
        <x:v>grid_jx40wu4i.xlsx</x:v>
      </x:c>
    </x:row>
    <x:row r="13526">
      <x:c r="A13526" s="15" t="n">
        <x:v>46113</x:v>
      </x:c>
      <x:c r="B13526" s="13" t="str">
        <x:v>BANCO DO BRASIL S.A.</x:v>
      </x:c>
      <x:c r="C13526" s="16" t="n">
        <x:v>24801.1008420822</x:v>
      </x:c>
      <x:c r="D13526" s="13" t="str">
        <x:v>Banks</x:v>
      </x:c>
      <x:c r="E13526" s="13" t="str">
        <x:v>Banks</x:v>
      </x:c>
      <x:c r="F13526" s="13" t="str">
        <x:v>Financials</x:v>
      </x:c>
      <x:c r="G13526" s="13" t="str">
        <x:v>grid_jx40wu4i.xlsx</x:v>
      </x:c>
    </x:row>
    <x:row r="13527">
      <x:c r="A13527" s="15" t="n">
        <x:v>46113</x:v>
      </x:c>
      <x:c r="B13527" s="13" t="str">
        <x:v>BANCO SANTANDER  BRASIL-UNIT</x:v>
      </x:c>
      <x:c r="C13527" s="16" t="n">
        <x:v>17579.9505008219</x:v>
      </x:c>
      <x:c r="D13527" s="13" t="str">
        <x:v>Banks</x:v>
      </x:c>
      <x:c r="E13527" s="13" t="str">
        <x:v>Banks</x:v>
      </x:c>
      <x:c r="F13527" s="13" t="str">
        <x:v>Financials</x:v>
      </x:c>
      <x:c r="G13527" s="13" t="str">
        <x:v>grid_jx40wu4i.xlsx</x:v>
      </x:c>
    </x:row>
    <x:row r="13528">
      <x:c r="A13528" s="15" t="n">
        <x:v>46113</x:v>
      </x:c>
      <x:c r="B13528" s="13" t="str">
        <x:v>ITAU UNIBANCO HOLDING S-PREF</x:v>
      </x:c>
      <x:c r="C13528" s="16" t="n">
        <x:v>53469.6287246027</x:v>
      </x:c>
      <x:c r="D13528" s="13" t="str">
        <x:v>Banks</x:v>
      </x:c>
      <x:c r="E13528" s="13" t="str">
        <x:v>Banks</x:v>
      </x:c>
      <x:c r="F13528" s="13" t="str">
        <x:v>Financials</x:v>
      </x:c>
      <x:c r="G13528" s="13" t="str">
        <x:v>grid_jx40wu4i.xlsx</x:v>
      </x:c>
    </x:row>
    <x:row r="13529">
      <x:c r="A13529" s="15" t="n">
        <x:v>46113</x:v>
      </x:c>
      <x:c r="B13529" s="13" t="str">
        <x:v>EMBRAER SA</x:v>
      </x:c>
      <x:c r="C13529" s="16" t="n">
        <x:v>3059.004205589</x:v>
      </x:c>
      <x:c r="D13529" s="13" t="str">
        <x:v>Capital Goods</x:v>
      </x:c>
      <x:c r="E13529" s="13" t="str">
        <x:v>Capital Goods</x:v>
      </x:c>
      <x:c r="F13529" s="13" t="str">
        <x:v>Deep Cyclicals</x:v>
      </x:c>
      <x:c r="G13529" s="13" t="str">
        <x:v>grid_jx40wu4i.xlsx</x:v>
      </x:c>
    </x:row>
    <x:row r="13530">
      <x:c r="A13530" s="15" t="n">
        <x:v>46113</x:v>
      </x:c>
      <x:c r="B13530" s="13" t="str">
        <x:v>MARCOPOLO SA-PREF</x:v>
      </x:c>
      <x:c r="C13530" s="16" t="n">
        <x:v>1283.2538406575</x:v>
      </x:c>
      <x:c r="D13530" s="13" t="str">
        <x:v>Capital Goods</x:v>
      </x:c>
      <x:c r="E13530" s="13" t="str">
        <x:v>Capital Goods</x:v>
      </x:c>
      <x:c r="F13530" s="13" t="str">
        <x:v>Deep Cyclicals</x:v>
      </x:c>
      <x:c r="G13530" s="13" t="str">
        <x:v>grid_jx40wu4i.xlsx</x:v>
      </x:c>
    </x:row>
    <x:row r="13531">
      <x:c r="A13531" s="15" t="n">
        <x:v>46113</x:v>
      </x:c>
      <x:c r="B13531" s="13" t="str">
        <x:v>WEG SA</x:v>
      </x:c>
      <x:c r="C13531" s="16" t="n">
        <x:v>7113.5104140274</x:v>
      </x:c>
      <x:c r="D13531" s="13" t="str">
        <x:v>Capital Goods</x:v>
      </x:c>
      <x:c r="E13531" s="13" t="str">
        <x:v>Capital Goods</x:v>
      </x:c>
      <x:c r="F13531" s="13" t="str">
        <x:v>Deep Cyclicals</x:v>
      </x:c>
      <x:c r="G13531" s="13" t="str">
        <x:v>grid_jx40wu4i.xlsx</x:v>
      </x:c>
    </x:row>
    <x:row r="13532">
      <x:c r="A13532" s="15" t="n">
        <x:v>46113</x:v>
      </x:c>
      <x:c r="B13532" s="13" t="str">
        <x:v>COGNA EDUCACAO</x:v>
      </x:c>
      <x:c r="C13532" s="16" t="n">
        <x:v>947.8572563288</x:v>
      </x:c>
      <x:c r="D13532" s="13" t="str">
        <x:v>Education</x:v>
      </x:c>
      <x:c r="E13532" s="13" t="str">
        <x:v>Education</x:v>
      </x:c>
      <x:c r="F13532" s="13" t="str">
        <x:v>Early Cyclicals</x:v>
      </x:c>
      <x:c r="G13532" s="13" t="str">
        <x:v>grid_jx40wu4i.xlsx</x:v>
      </x:c>
    </x:row>
    <x:row r="13533">
      <x:c r="A13533" s="15" t="n">
        <x:v>46113</x:v>
      </x:c>
      <x:c r="B13533" s="13" t="str">
        <x:v>YDUQS PARTICIPACOES SA</x:v>
      </x:c>
      <x:c r="C13533" s="16" t="n">
        <x:v>522.7535368767</x:v>
      </x:c>
      <x:c r="D13533" s="13" t="str">
        <x:v>Education</x:v>
      </x:c>
      <x:c r="E13533" s="13" t="str">
        <x:v>Education</x:v>
      </x:c>
      <x:c r="F13533" s="13" t="str">
        <x:v>Early Cyclicals</x:v>
      </x:c>
      <x:c r="G13533" s="13" t="str">
        <x:v>grid_jx40wu4i.xlsx</x:v>
      </x:c>
    </x:row>
    <x:row r="13534">
      <x:c r="A13534" s="15" t="n">
        <x:v>46113</x:v>
      </x:c>
      <x:c r="B13534" s="13" t="str">
        <x:v>B3 SA-BRASIL BOLSA BALCAO</x:v>
      </x:c>
      <x:c r="C13534" s="16" t="n">
        <x:v>6147.2861632877</x:v>
      </x:c>
      <x:c r="D13534" s="13" t="str">
        <x:v>Financials Non-Banks</x:v>
      </x:c>
      <x:c r="E13534" s="13" t="str">
        <x:v>Financials Non-Banks</x:v>
      </x:c>
      <x:c r="F13534" s="13" t="str">
        <x:v>Financials</x:v>
      </x:c>
      <x:c r="G13534" s="13" t="str">
        <x:v>grid_jx40wu4i.xlsx</x:v>
      </x:c>
    </x:row>
    <x:row r="13535">
      <x:c r="A13535" s="15" t="n">
        <x:v>46113</x:v>
      </x:c>
      <x:c r="B13535" s="13" t="str">
        <x:v>BB SEGURIDADE PARTICIPACOES</x:v>
      </x:c>
      <x:c r="C13535" s="16" t="n">
        <x:v>8578.928359452</x:v>
      </x:c>
      <x:c r="D13535" s="13" t="str">
        <x:v>Financials Non-Banks</x:v>
      </x:c>
      <x:c r="E13535" s="13" t="str">
        <x:v>Financials Non-Banks</x:v>
      </x:c>
      <x:c r="F13535" s="13" t="str">
        <x:v>Financials</x:v>
      </x:c>
      <x:c r="G13535" s="13" t="str">
        <x:v>grid_jx40wu4i.xlsx</x:v>
      </x:c>
    </x:row>
    <x:row r="13536">
      <x:c r="A13536" s="15" t="n">
        <x:v>46113</x:v>
      </x:c>
      <x:c r="B13536" s="13" t="str">
        <x:v>CAIXA SEGURIDADE PARTICIPACO</x:v>
      </x:c>
      <x:c r="C13536" s="16" t="n">
        <x:v>4861.2429010411</x:v>
      </x:c>
      <x:c r="D13536" s="13" t="str">
        <x:v>Financials Non-Banks</x:v>
      </x:c>
      <x:c r="E13536" s="13" t="str">
        <x:v>Financials Non-Banks</x:v>
      </x:c>
      <x:c r="F13536" s="13" t="str">
        <x:v>Financials</x:v>
      </x:c>
      <x:c r="G13536" s="13" t="str">
        <x:v>grid_jx40wu4i.xlsx</x:v>
      </x:c>
    </x:row>
    <x:row r="13537">
      <x:c r="A13537" s="15" t="n">
        <x:v>46113</x:v>
      </x:c>
      <x:c r="B13537" s="13" t="str">
        <x:v>IRB BRASIL RESSEGUROS SA</x:v>
      </x:c>
      <x:c r="C13537" s="16" t="n">
        <x:v>622.7968990685</x:v>
      </x:c>
      <x:c r="D13537" s="13" t="str">
        <x:v>Financials Non-Banks</x:v>
      </x:c>
      <x:c r="E13537" s="13" t="str">
        <x:v>Financials Non-Banks</x:v>
      </x:c>
      <x:c r="F13537" s="13" t="str">
        <x:v>Financials</x:v>
      </x:c>
      <x:c r="G13537" s="13" t="str">
        <x:v>grid_jx40wu4i.xlsx</x:v>
      </x:c>
    </x:row>
    <x:row r="13538">
      <x:c r="A13538" s="15" t="n">
        <x:v>46113</x:v>
      </x:c>
      <x:c r="B13538" s="13" t="str">
        <x:v>ITAUSA SA</x:v>
      </x:c>
      <x:c r="C13538" s="16" t="n">
        <x:v>19809.8520933699</x:v>
      </x:c>
      <x:c r="D13538" s="13" t="str">
        <x:v>Financials Non-Banks</x:v>
      </x:c>
      <x:c r="E13538" s="13" t="str">
        <x:v>Financials Non-Banks</x:v>
      </x:c>
      <x:c r="F13538" s="13" t="str">
        <x:v>Financials</x:v>
      </x:c>
      <x:c r="G13538" s="13" t="str">
        <x:v>grid_jx40wu4i.xlsx</x:v>
      </x:c>
    </x:row>
    <x:row r="13539">
      <x:c r="A13539" s="15" t="n">
        <x:v>46113</x:v>
      </x:c>
      <x:c r="B13539" s="13" t="str">
        <x:v>PORTO SEGURO SA</x:v>
      </x:c>
      <x:c r="C13539" s="16" t="n">
        <x:v>3737.2629917808</x:v>
      </x:c>
      <x:c r="D13539" s="13" t="str">
        <x:v>Financials Non-Banks</x:v>
      </x:c>
      <x:c r="E13539" s="13" t="str">
        <x:v>Financials Non-Banks</x:v>
      </x:c>
      <x:c r="F13539" s="13" t="str">
        <x:v>Financials</x:v>
      </x:c>
      <x:c r="G13539" s="13" t="str">
        <x:v>grid_jx40wu4i.xlsx</x:v>
      </x:c>
    </x:row>
    <x:row r="13540">
      <x:c r="A13540" s="15" t="n">
        <x:v>46113</x:v>
      </x:c>
      <x:c r="B13540" s="13" t="str">
        <x:v>AMBEV SA</x:v>
      </x:c>
      <x:c r="C13540" s="16" t="n">
        <x:v>15377.1001827945</x:v>
      </x:c>
      <x:c r="D13540" s="13" t="str">
        <x:v>Food &amp; Beverages</x:v>
      </x:c>
      <x:c r="E13540" s="13" t="str">
        <x:v>Agri, Food &amp; Beverages</x:v>
      </x:c>
      <x:c r="F13540" s="13" t="str">
        <x:v>Defensives</x:v>
      </x:c>
      <x:c r="G13540" s="13" t="str">
        <x:v>grid_jx40wu4i.xlsx</x:v>
      </x:c>
    </x:row>
    <x:row r="13541">
      <x:c r="A13541" s="15" t="n">
        <x:v>46113</x:v>
      </x:c>
      <x:c r="B13541" s="13" t="str">
        <x:v>MBRF GLOBAL FOODS COMPANY SA</x:v>
      </x:c>
      <x:c r="C13541" s="16" t="n">
        <x:v>456.6301369863</x:v>
      </x:c>
      <x:c r="D13541" s="13" t="str">
        <x:v>Food &amp; Beverages</x:v>
      </x:c>
      <x:c r="E13541" s="13" t="str">
        <x:v>Agri, Food &amp; Beverages</x:v>
      </x:c>
      <x:c r="F13541" s="13" t="str">
        <x:v>Defensives</x:v>
      </x:c>
      <x:c r="G13541" s="13" t="str">
        <x:v>grid_jx40wu4i.xlsx</x:v>
      </x:c>
    </x:row>
    <x:row r="13542">
      <x:c r="A13542" s="15" t="n">
        <x:v>46113</x:v>
      </x:c>
      <x:c r="B13542" s="13" t="str">
        <x:v>MINERVA SA</x:v>
      </x:c>
      <x:c r="C13542" s="16" t="n">
        <x:v>913.8838242192</x:v>
      </x:c>
      <x:c r="D13542" s="13" t="str">
        <x:v>Food &amp; Beverages</x:v>
      </x:c>
      <x:c r="E13542" s="13" t="str">
        <x:v>Agri, Food &amp; Beverages</x:v>
      </x:c>
      <x:c r="F13542" s="13" t="str">
        <x:v>Defensives</x:v>
      </x:c>
      <x:c r="G13542" s="13" t="str">
        <x:v>grid_jx40wu4i.xlsx</x:v>
      </x:c>
    </x:row>
    <x:row r="13543">
      <x:c r="A13543" s="15" t="n">
        <x:v>46113</x:v>
      </x:c>
      <x:c r="B13543" s="13" t="str">
        <x:v>FLEURY SA</x:v>
      </x:c>
      <x:c r="C13543" s="16" t="n">
        <x:v>723.7288653151</x:v>
      </x:c>
      <x:c r="D13543" s="13" t="str">
        <x:v>Health Care</x:v>
      </x:c>
      <x:c r="E13543" s="13" t="str">
        <x:v>Health Care</x:v>
      </x:c>
      <x:c r="F13543" s="13" t="str">
        <x:v>Defensives</x:v>
      </x:c>
      <x:c r="G13543" s="13" t="str">
        <x:v>grid_jx40wu4i.xlsx</x:v>
      </x:c>
    </x:row>
    <x:row r="13544">
      <x:c r="A13544" s="15" t="n">
        <x:v>46113</x:v>
      </x:c>
      <x:c r="B13544" s="13" t="str">
        <x:v>HAPVIDA PARTICIPACOES E INVE</x:v>
      </x:c>
      <x:c r="C13544" s="16" t="n">
        <x:v>557.1207833425</x:v>
      </x:c>
      <x:c r="D13544" s="13" t="str">
        <x:v>Health Care</x:v>
      </x:c>
      <x:c r="E13544" s="13" t="str">
        <x:v>Health Care</x:v>
      </x:c>
      <x:c r="F13544" s="13" t="str">
        <x:v>Defensives</x:v>
      </x:c>
      <x:c r="G13544" s="13" t="str">
        <x:v>grid_jx40wu4i.xlsx</x:v>
      </x:c>
    </x:row>
    <x:row r="13545">
      <x:c r="A13545" s="15" t="n">
        <x:v>46113</x:v>
      </x:c>
      <x:c r="B13545" s="13" t="str">
        <x:v>HYPERA SA</x:v>
      </x:c>
      <x:c r="C13545" s="16" t="n">
        <x:v>1941.1528924931</x:v>
      </x:c>
      <x:c r="D13545" s="13" t="str">
        <x:v>Health Care</x:v>
      </x:c>
      <x:c r="E13545" s="13" t="str">
        <x:v>Health Care</x:v>
      </x:c>
      <x:c r="F13545" s="13" t="str">
        <x:v>Defensives</x:v>
      </x:c>
      <x:c r="G13545" s="13" t="str">
        <x:v>grid_jx40wu4i.xlsx</x:v>
      </x:c>
    </x:row>
    <x:row r="13546">
      <x:c r="A13546" s="15" t="n">
        <x:v>46113</x:v>
      </x:c>
      <x:c r="B13546" s="13" t="str">
        <x:v>REDE D'OR SAO LUIZ SA</x:v>
      </x:c>
      <x:c r="C13546" s="16" t="n">
        <x:v>5575.2007189041</x:v>
      </x:c>
      <x:c r="D13546" s="13" t="str">
        <x:v>Health Care</x:v>
      </x:c>
      <x:c r="E13546" s="13" t="str">
        <x:v>Health Care</x:v>
      </x:c>
      <x:c r="F13546" s="13" t="str">
        <x:v>Defensives</x:v>
      </x:c>
      <x:c r="G13546" s="13" t="str">
        <x:v>grid_jx40wu4i.xlsx</x:v>
      </x:c>
    </x:row>
    <x:row r="13547">
      <x:c r="A13547" s="15" t="n">
        <x:v>46113</x:v>
      </x:c>
      <x:c r="B13547" s="13" t="str">
        <x:v>CURY CONSTRUTORA E INCORPORA</x:v>
      </x:c>
      <x:c r="C13547" s="16" t="n">
        <x:v>1331.5454684932</x:v>
      </x:c>
      <x:c r="D13547" s="13" t="str">
        <x:v>Homebuilders</x:v>
      </x:c>
      <x:c r="E13547" s="13" t="str">
        <x:v>Real Estate</x:v>
      </x:c>
      <x:c r="F13547" s="13" t="str">
        <x:v>Early Cyclicals</x:v>
      </x:c>
      <x:c r="G13547" s="13" t="str">
        <x:v>grid_jx40wu4i.xlsx</x:v>
      </x:c>
    </x:row>
    <x:row r="13548">
      <x:c r="A13548" s="15" t="n">
        <x:v>46113</x:v>
      </x:c>
      <x:c r="B13548" s="13" t="str">
        <x:v>CYRELA BRAZIL REALTY SA EMP</x:v>
      </x:c>
      <x:c r="C13548" s="16" t="n">
        <x:v>2133.423545863</x:v>
      </x:c>
      <x:c r="D13548" s="13" t="str">
        <x:v>Homebuilders</x:v>
      </x:c>
      <x:c r="E13548" s="13" t="str">
        <x:v>Real Estate</x:v>
      </x:c>
      <x:c r="F13548" s="13" t="str">
        <x:v>Early Cyclicals</x:v>
      </x:c>
      <x:c r="G13548" s="13" t="str">
        <x:v>grid_jx40wu4i.xlsx</x:v>
      </x:c>
    </x:row>
    <x:row r="13549">
      <x:c r="A13549" s="15" t="n">
        <x:v>46113</x:v>
      </x:c>
      <x:c r="B13549" s="13" t="str">
        <x:v>DIRECIONAL ENGENHARIA SA</x:v>
      </x:c>
      <x:c r="C13549" s="16" t="n">
        <x:v>1045.2927921096</x:v>
      </x:c>
      <x:c r="D13549" s="13" t="str">
        <x:v>Homebuilders</x:v>
      </x:c>
      <x:c r="E13549" s="13" t="str">
        <x:v>Real Estate</x:v>
      </x:c>
      <x:c r="F13549" s="13" t="str">
        <x:v>Early Cyclicals</x:v>
      </x:c>
      <x:c r="G13549" s="13" t="str">
        <x:v>grid_jx40wu4i.xlsx</x:v>
      </x:c>
    </x:row>
    <x:row r="13550">
      <x:c r="A13550" s="15" t="n">
        <x:v>46113</x:v>
      </x:c>
      <x:c r="B13550" s="13" t="str">
        <x:v>MRV ENGENHARIA</x:v>
      </x:c>
      <x:c r="C13550" s="16" t="n">
        <x:v>826.6364089863</x:v>
      </x:c>
      <x:c r="D13550" s="13" t="str">
        <x:v>Homebuilders</x:v>
      </x:c>
      <x:c r="E13550" s="13" t="str">
        <x:v>Real Estate</x:v>
      </x:c>
      <x:c r="F13550" s="13" t="str">
        <x:v>Early Cyclicals</x:v>
      </x:c>
      <x:c r="G13550" s="13" t="str">
        <x:v>grid_jx40wu4i.xlsx</x:v>
      </x:c>
    </x:row>
    <x:row r="13551">
      <x:c r="A13551" s="15" t="n">
        <x:v>46113</x:v>
      </x:c>
      <x:c r="B13551" s="13" t="str">
        <x:v>ALLOS SA</x:v>
      </x:c>
      <x:c r="C13551" s="16" t="n">
        <x:v>892.4931612055</x:v>
      </x:c>
      <x:c r="D13551" s="13" t="str">
        <x:v>Income Properties</x:v>
      </x:c>
      <x:c r="E13551" s="13" t="str">
        <x:v>Real Estate</x:v>
      </x:c>
      <x:c r="F13551" s="13" t="str">
        <x:v>Early Cyclicals</x:v>
      </x:c>
      <x:c r="G13551" s="13" t="str">
        <x:v>grid_jx40wu4i.xlsx</x:v>
      </x:c>
    </x:row>
    <x:row r="13552">
      <x:c r="A13552" s="15" t="n">
        <x:v>46113</x:v>
      </x:c>
      <x:c r="B13552" s="13" t="str">
        <x:v>IGUATEMI SA - UNITS</x:v>
      </x:c>
      <x:c r="C13552" s="16" t="n">
        <x:v>609.486381589</x:v>
      </x:c>
      <x:c r="D13552" s="13" t="str">
        <x:v>Income Properties</x:v>
      </x:c>
      <x:c r="E13552" s="13" t="str">
        <x:v>Real Estate</x:v>
      </x:c>
      <x:c r="F13552" s="13" t="str">
        <x:v>Early Cyclicals</x:v>
      </x:c>
      <x:c r="G13552" s="13" t="str">
        <x:v>grid_jx40wu4i.xlsx</x:v>
      </x:c>
    </x:row>
    <x:row r="13553">
      <x:c r="A13553" s="15" t="n">
        <x:v>46113</x:v>
      </x:c>
      <x:c r="B13553" s="13" t="str">
        <x:v>MULTIPLAN EMPREENDIMENTOS</x:v>
      </x:c>
      <x:c r="C13553" s="16" t="n">
        <x:v>1183.8862588493</x:v>
      </x:c>
      <x:c r="D13553" s="13" t="str">
        <x:v>Income Properties</x:v>
      </x:c>
      <x:c r="E13553" s="13" t="str">
        <x:v>Real Estate</x:v>
      </x:c>
      <x:c r="F13553" s="13" t="str">
        <x:v>Early Cyclicals</x:v>
      </x:c>
      <x:c r="G13553" s="13" t="str">
        <x:v>grid_jx40wu4i.xlsx</x:v>
      </x:c>
    </x:row>
    <x:row r="13554">
      <x:c r="A13554" s="15" t="n">
        <x:v>46113</x:v>
      </x:c>
      <x:c r="B13554" s="13" t="str">
        <x:v>BRADESPAR SA -PREF</x:v>
      </x:c>
      <x:c r="C13554" s="16" t="n">
        <x:v>1632.7534676164</x:v>
      </x:c>
      <x:c r="D13554" s="13" t="str">
        <x:v>Metals &amp; Mining</x:v>
      </x:c>
      <x:c r="E13554" s="13" t="str">
        <x:v>Metals &amp; Mining</x:v>
      </x:c>
      <x:c r="F13554" s="13" t="str">
        <x:v>Deep Cyclicals</x:v>
      </x:c>
      <x:c r="G13554" s="13" t="str">
        <x:v>grid_jx40wu4i.xlsx</x:v>
      </x:c>
    </x:row>
    <x:row r="13555">
      <x:c r="A13555" s="15" t="n">
        <x:v>46113</x:v>
      </x:c>
      <x:c r="B13555" s="13" t="str">
        <x:v>CIA SIDERURGICA NACIONAL SA</x:v>
      </x:c>
      <x:c r="C13555" s="16" t="n">
        <x:v>-341.3228821918</x:v>
      </x:c>
      <x:c r="D13555" s="13" t="str">
        <x:v>Metals &amp; Mining</x:v>
      </x:c>
      <x:c r="E13555" s="13" t="str">
        <x:v>Metals &amp; Mining</x:v>
      </x:c>
      <x:c r="F13555" s="13" t="str">
        <x:v>Deep Cyclicals</x:v>
      </x:c>
      <x:c r="G13555" s="13" t="str">
        <x:v>grid_jx40wu4i.xlsx</x:v>
      </x:c>
    </x:row>
    <x:row r="13556">
      <x:c r="A13556" s="15" t="n">
        <x:v>46113</x:v>
      </x:c>
      <x:c r="B13556" s="13" t="str">
        <x:v>CSN MINERACAO SA</x:v>
      </x:c>
      <x:c r="C13556" s="16" t="n">
        <x:v>2076.0312916164</x:v>
      </x:c>
      <x:c r="D13556" s="13" t="str">
        <x:v>Metals &amp; Mining</x:v>
      </x:c>
      <x:c r="E13556" s="13" t="str">
        <x:v>Metals &amp; Mining</x:v>
      </x:c>
      <x:c r="F13556" s="13" t="str">
        <x:v>Deep Cyclicals</x:v>
      </x:c>
      <x:c r="G13556" s="13" t="str">
        <x:v>grid_jx40wu4i.xlsx</x:v>
      </x:c>
    </x:row>
    <x:row r="13557">
      <x:c r="A13557" s="15" t="n">
        <x:v>46113</x:v>
      </x:c>
      <x:c r="B13557" s="13" t="str">
        <x:v>GERDAU SA-PREF</x:v>
      </x:c>
      <x:c r="C13557" s="16" t="n">
        <x:v>4991.8108966575</x:v>
      </x:c>
      <x:c r="D13557" s="13" t="str">
        <x:v>Metals &amp; Mining</x:v>
      </x:c>
      <x:c r="E13557" s="13" t="str">
        <x:v>Metals &amp; Mining</x:v>
      </x:c>
      <x:c r="F13557" s="13" t="str">
        <x:v>Deep Cyclicals</x:v>
      </x:c>
      <x:c r="G13557" s="13" t="str">
        <x:v>grid_jx40wu4i.xlsx</x:v>
      </x:c>
    </x:row>
    <x:row r="13558">
      <x:c r="A13558" s="15" t="n">
        <x:v>46113</x:v>
      </x:c>
      <x:c r="B13558" s="13" t="str">
        <x:v>USINAS SIDER MINAS GER-PF A</x:v>
      </x:c>
      <x:c r="C13558" s="16" t="n">
        <x:v>866.4845808219</x:v>
      </x:c>
      <x:c r="D13558" s="13" t="str">
        <x:v>Metals &amp; Mining</x:v>
      </x:c>
      <x:c r="E13558" s="13" t="str">
        <x:v>Metals &amp; Mining</x:v>
      </x:c>
      <x:c r="F13558" s="13" t="str">
        <x:v>Deep Cyclicals</x:v>
      </x:c>
      <x:c r="G13558" s="13" t="str">
        <x:v>grid_jx40wu4i.xlsx</x:v>
      </x:c>
    </x:row>
    <x:row r="13559">
      <x:c r="A13559" s="15" t="n">
        <x:v>46113</x:v>
      </x:c>
      <x:c r="B13559" s="13" t="str">
        <x:v>VALE SA</x:v>
      </x:c>
      <x:c r="C13559" s="16" t="n">
        <x:v>42595.6716712329</x:v>
      </x:c>
      <x:c r="D13559" s="13" t="str">
        <x:v>Metals &amp; Mining</x:v>
      </x:c>
      <x:c r="E13559" s="13" t="str">
        <x:v>Metals &amp; Mining</x:v>
      </x:c>
      <x:c r="F13559" s="13" t="str">
        <x:v>Deep Cyclicals</x:v>
      </x:c>
      <x:c r="G13559" s="13" t="str">
        <x:v>grid_jx40wu4i.xlsx</x:v>
      </x:c>
    </x:row>
    <x:row r="13560">
      <x:c r="A13560" s="15" t="n">
        <x:v>46113</x:v>
      </x:c>
      <x:c r="B13560" s="13" t="str">
        <x:v>BRASKEM SA-PREF A</x:v>
      </x:c>
      <x:c r="C13560" s="16" t="n">
        <x:v>-1729.5009753425</x:v>
      </x:c>
      <x:c r="D13560" s="13" t="str">
        <x:v>Oil, Gas &amp; Petrochemicals</x:v>
      </x:c>
      <x:c r="E13560" s="13" t="str">
        <x:v>Oil, Gas &amp; Petrochemicals</x:v>
      </x:c>
      <x:c r="F13560" s="13" t="str">
        <x:v>Deep Cyclicals</x:v>
      </x:c>
      <x:c r="G13560" s="13" t="str">
        <x:v>grid_jx40wu4i.xlsx</x:v>
      </x:c>
    </x:row>
    <x:row r="13561">
      <x:c r="A13561" s="15" t="n">
        <x:v>46113</x:v>
      </x:c>
      <x:c r="B13561" s="13" t="str">
        <x:v>BRAVA ENERGIA</x:v>
      </x:c>
      <x:c r="C13561" s="16" t="n">
        <x:v>1775.8184714521</x:v>
      </x:c>
      <x:c r="D13561" s="13" t="str">
        <x:v>Oil, Gas &amp; Petrochemicals</x:v>
      </x:c>
      <x:c r="E13561" s="13" t="str">
        <x:v>Oil, Gas &amp; Petrochemicals</x:v>
      </x:c>
      <x:c r="F13561" s="13" t="str">
        <x:v>Deep Cyclicals</x:v>
      </x:c>
      <x:c r="G13561" s="13" t="str">
        <x:v>grid_jx40wu4i.xlsx</x:v>
      </x:c>
    </x:row>
    <x:row r="13562">
      <x:c r="A13562" s="15" t="n">
        <x:v>46113</x:v>
      </x:c>
      <x:c r="B13562" s="13" t="str">
        <x:v>COSAN SA</x:v>
      </x:c>
      <x:c r="C13562" s="16" t="n">
        <x:v>2644.5040675068</x:v>
      </x:c>
      <x:c r="D13562" s="13" t="str">
        <x:v>Oil, Gas &amp; Petrochemicals</x:v>
      </x:c>
      <x:c r="E13562" s="13" t="str">
        <x:v>Oil, Gas &amp; Petrochemicals</x:v>
      </x:c>
      <x:c r="F13562" s="13" t="str">
        <x:v>Deep Cyclicals</x:v>
      </x:c>
      <x:c r="G13562" s="13" t="str">
        <x:v>grid_jx40wu4i.xlsx</x:v>
      </x:c>
    </x:row>
    <x:row r="13563">
      <x:c r="A13563" s="15" t="n">
        <x:v>46113</x:v>
      </x:c>
      <x:c r="B13563" s="13" t="str">
        <x:v>PETROBRAS - PETROLEO BRAS</x:v>
      </x:c>
      <x:c r="C13563" s="16" t="n">
        <x:v>124791.851092164</x:v>
      </x:c>
      <x:c r="D13563" s="13" t="str">
        <x:v>Oil, Gas &amp; Petrochemicals</x:v>
      </x:c>
      <x:c r="E13563" s="13" t="str">
        <x:v>Oil, Gas &amp; Petrochemicals</x:v>
      </x:c>
      <x:c r="F13563" s="13" t="str">
        <x:v>Deep Cyclicals</x:v>
      </x:c>
      <x:c r="G13563" s="13" t="str">
        <x:v>grid_jx40wu4i.xlsx</x:v>
      </x:c>
    </x:row>
    <x:row r="13564">
      <x:c r="A13564" s="15" t="n">
        <x:v>46113</x:v>
      </x:c>
      <x:c r="B13564" s="13" t="str">
        <x:v>PETRORECONCAVO SA</x:v>
      </x:c>
      <x:c r="C13564" s="16" t="n">
        <x:v>616.6849209863</x:v>
      </x:c>
      <x:c r="D13564" s="13" t="str">
        <x:v>Oil, Gas &amp; Petrochemicals</x:v>
      </x:c>
      <x:c r="E13564" s="13" t="str">
        <x:v>Oil, Gas &amp; Petrochemicals</x:v>
      </x:c>
      <x:c r="F13564" s="13" t="str">
        <x:v>Deep Cyclicals</x:v>
      </x:c>
      <x:c r="G13564" s="13" t="str">
        <x:v>grid_jx40wu4i.xlsx</x:v>
      </x:c>
    </x:row>
    <x:row r="13565">
      <x:c r="A13565" s="15" t="n">
        <x:v>46113</x:v>
      </x:c>
      <x:c r="B13565" s="13" t="str">
        <x:v>PRIO SA</x:v>
      </x:c>
      <x:c r="C13565" s="16" t="n">
        <x:v>8639.0911929863</x:v>
      </x:c>
      <x:c r="D13565" s="13" t="str">
        <x:v>Oil, Gas &amp; Petrochemicals</x:v>
      </x:c>
      <x:c r="E13565" s="13" t="str">
        <x:v>Oil, Gas &amp; Petrochemicals</x:v>
      </x:c>
      <x:c r="F13565" s="13" t="str">
        <x:v>Deep Cyclicals</x:v>
      </x:c>
      <x:c r="G13565" s="13" t="str">
        <x:v>grid_jx40wu4i.xlsx</x:v>
      </x:c>
    </x:row>
    <x:row r="13566">
      <x:c r="A13566" s="15" t="n">
        <x:v>46113</x:v>
      </x:c>
      <x:c r="B13566" s="13" t="str">
        <x:v>ULTRAPAR PARTICIPACOES SA</x:v>
      </x:c>
      <x:c r="C13566" s="16" t="n">
        <x:v>2874.8467761096</x:v>
      </x:c>
      <x:c r="D13566" s="13" t="str">
        <x:v>Oil, Gas &amp; Petrochemicals</x:v>
      </x:c>
      <x:c r="E13566" s="13" t="str">
        <x:v>Oil, Gas &amp; Petrochemicals</x:v>
      </x:c>
      <x:c r="F13566" s="13" t="str">
        <x:v>Deep Cyclicals</x:v>
      </x:c>
      <x:c r="G13566" s="13" t="str">
        <x:v>grid_jx40wu4i.xlsx</x:v>
      </x:c>
    </x:row>
    <x:row r="13567">
      <x:c r="A13567" s="15" t="n">
        <x:v>46113</x:v>
      </x:c>
      <x:c r="B13567" s="13" t="str">
        <x:v>VIBRA ENERGIA SA</x:v>
      </x:c>
      <x:c r="C13567" s="16" t="n">
        <x:v>3516.578328548</x:v>
      </x:c>
      <x:c r="D13567" s="13" t="str">
        <x:v>Oil, Gas &amp; Petrochemicals</x:v>
      </x:c>
      <x:c r="E13567" s="13" t="str">
        <x:v>Oil, Gas &amp; Petrochemicals</x:v>
      </x:c>
      <x:c r="F13567" s="13" t="str">
        <x:v>Deep Cyclicals</x:v>
      </x:c>
      <x:c r="G13567" s="13" t="str">
        <x:v>grid_jx40wu4i.xlsx</x:v>
      </x:c>
    </x:row>
    <x:row r="13568">
      <x:c r="A13568" s="15" t="n">
        <x:v>46113</x:v>
      </x:c>
      <x:c r="B13568" s="13" t="str">
        <x:v>KLABIN SA - UNIT</x:v>
      </x:c>
      <x:c r="C13568" s="16" t="n">
        <x:v>1888.5944881096</x:v>
      </x:c>
      <x:c r="D13568" s="13" t="str">
        <x:v>Pulp &amp; Paper</x:v>
      </x:c>
      <x:c r="E13568" s="13" t="str">
        <x:v>Pulp &amp; Paper</x:v>
      </x:c>
      <x:c r="F13568" s="13" t="str">
        <x:v>Deep Cyclicals</x:v>
      </x:c>
      <x:c r="G13568" s="13" t="str">
        <x:v>grid_jx40wu4i.xlsx</x:v>
      </x:c>
    </x:row>
    <x:row r="13569">
      <x:c r="A13569" s="15" t="n">
        <x:v>46113</x:v>
      </x:c>
      <x:c r="B13569" s="13" t="str">
        <x:v>SUZANO SA</x:v>
      </x:c>
      <x:c r="C13569" s="16" t="n">
        <x:v>8031.7971568219</x:v>
      </x:c>
      <x:c r="D13569" s="13" t="str">
        <x:v>Pulp &amp; Paper</x:v>
      </x:c>
      <x:c r="E13569" s="13" t="str">
        <x:v>Pulp &amp; Paper</x:v>
      </x:c>
      <x:c r="F13569" s="13" t="str">
        <x:v>Deep Cyclicals</x:v>
      </x:c>
      <x:c r="G13569" s="13" t="str">
        <x:v>grid_jx40wu4i.xlsx</x:v>
      </x:c>
    </x:row>
    <x:row r="13570">
      <x:c r="A13570" s="15" t="n">
        <x:v>46113</x:v>
      </x:c>
      <x:c r="B13570" s="13" t="str">
        <x:v>AZZAS 2154 SA</x:v>
      </x:c>
      <x:c r="C13570" s="16" t="n">
        <x:v>763.8418709041</x:v>
      </x:c>
      <x:c r="D13570" s="13" t="str">
        <x:v>Retail</x:v>
      </x:c>
      <x:c r="E13570" s="13" t="str">
        <x:v>Retail</x:v>
      </x:c>
      <x:c r="F13570" s="13" t="str">
        <x:v>Early Cyclicals</x:v>
      </x:c>
      <x:c r="G13570" s="13" t="str">
        <x:v>grid_jx40wu4i.xlsx</x:v>
      </x:c>
    </x:row>
    <x:row r="13571">
      <x:c r="A13571" s="15" t="n">
        <x:v>46113</x:v>
      </x:c>
      <x:c r="B13571" s="13" t="str">
        <x:v>C&amp;A MODAS LTDA</x:v>
      </x:c>
      <x:c r="C13571" s="16" t="n">
        <x:v>554.1745613151</x:v>
      </x:c>
      <x:c r="D13571" s="13" t="str">
        <x:v>Retail</x:v>
      </x:c>
      <x:c r="E13571" s="13" t="str">
        <x:v>Retail</x:v>
      </x:c>
      <x:c r="F13571" s="13" t="str">
        <x:v>Early Cyclicals</x:v>
      </x:c>
      <x:c r="G13571" s="13" t="str">
        <x:v>grid_jx40wu4i.xlsx</x:v>
      </x:c>
    </x:row>
    <x:row r="13572">
      <x:c r="A13572" s="15" t="n">
        <x:v>46113</x:v>
      </x:c>
      <x:c r="B13572" s="13" t="str">
        <x:v>LOJAS RENNER S.A.</x:v>
      </x:c>
      <x:c r="C13572" s="16" t="n">
        <x:v>1616.3020817534</x:v>
      </x:c>
      <x:c r="D13572" s="13" t="str">
        <x:v>Retail</x:v>
      </x:c>
      <x:c r="E13572" s="13" t="str">
        <x:v>Retail</x:v>
      </x:c>
      <x:c r="F13572" s="13" t="str">
        <x:v>Early Cyclicals</x:v>
      </x:c>
      <x:c r="G13572" s="13" t="str">
        <x:v>grid_jx40wu4i.xlsx</x:v>
      </x:c>
    </x:row>
    <x:row r="13573">
      <x:c r="A13573" s="15" t="n">
        <x:v>46113</x:v>
      </x:c>
      <x:c r="B13573" s="13" t="str">
        <x:v>MAGAZINE LUIZA SA</x:v>
      </x:c>
      <x:c r="C13573" s="16" t="n">
        <x:v>401.2865998904</x:v>
      </x:c>
      <x:c r="D13573" s="13" t="str">
        <x:v>Retail</x:v>
      </x:c>
      <x:c r="E13573" s="13" t="str">
        <x:v>Retail</x:v>
      </x:c>
      <x:c r="F13573" s="13" t="str">
        <x:v>Early Cyclicals</x:v>
      </x:c>
      <x:c r="G13573" s="13" t="str">
        <x:v>grid_jx40wu4i.xlsx</x:v>
      </x:c>
    </x:row>
    <x:row r="13574">
      <x:c r="A13574" s="15" t="n">
        <x:v>46113</x:v>
      </x:c>
      <x:c r="B13574" s="13" t="str">
        <x:v>NATURA COSMETICOS SA</x:v>
      </x:c>
      <x:c r="C13574" s="16" t="n">
        <x:v>1365.7095995616</x:v>
      </x:c>
      <x:c r="D13574" s="13" t="str">
        <x:v>Retail</x:v>
      </x:c>
      <x:c r="E13574" s="13" t="str">
        <x:v>Retail</x:v>
      </x:c>
      <x:c r="F13574" s="13" t="str">
        <x:v>Early Cyclicals</x:v>
      </x:c>
      <x:c r="G13574" s="13" t="str">
        <x:v>grid_jx40wu4i.xlsx</x:v>
      </x:c>
    </x:row>
    <x:row r="13575">
      <x:c r="A13575" s="15" t="n">
        <x:v>46113</x:v>
      </x:c>
      <x:c r="B13575" s="13" t="str">
        <x:v>RAIA DROGASIL SA</x:v>
      </x:c>
      <x:c r="C13575" s="16" t="n">
        <x:v>1917.2602950137</x:v>
      </x:c>
      <x:c r="D13575" s="13" t="str">
        <x:v>Retail</x:v>
      </x:c>
      <x:c r="E13575" s="13" t="str">
        <x:v>Retail</x:v>
      </x:c>
      <x:c r="F13575" s="13" t="str">
        <x:v>Early Cyclicals</x:v>
      </x:c>
      <x:c r="G13575" s="13" t="str">
        <x:v>grid_jx40wu4i.xlsx</x:v>
      </x:c>
    </x:row>
    <x:row r="13576">
      <x:c r="A13576" s="15" t="n">
        <x:v>46113</x:v>
      </x:c>
      <x:c r="B13576" s="13" t="str">
        <x:v>SENDAS DISTRIBUIDORA SA</x:v>
      </x:c>
      <x:c r="C13576" s="16" t="n">
        <x:v>1174.8205746849</x:v>
      </x:c>
      <x:c r="D13576" s="13" t="str">
        <x:v>Retail</x:v>
      </x:c>
      <x:c r="E13576" s="13" t="str">
        <x:v>Retail</x:v>
      </x:c>
      <x:c r="F13576" s="13" t="str">
        <x:v>Early Cyclicals</x:v>
      </x:c>
      <x:c r="G13576" s="13" t="str">
        <x:v>grid_jx40wu4i.xlsx</x:v>
      </x:c>
    </x:row>
    <x:row r="13577">
      <x:c r="A13577" s="15" t="n">
        <x:v>46113</x:v>
      </x:c>
      <x:c r="B13577" s="13" t="str">
        <x:v>SMARTFIT - ORDINARY</x:v>
      </x:c>
      <x:c r="C13577" s="16" t="n">
        <x:v>998.2588931507</x:v>
      </x:c>
      <x:c r="D13577" s="13" t="str">
        <x:v>Retail</x:v>
      </x:c>
      <x:c r="E13577" s="13" t="str">
        <x:v>Retail</x:v>
      </x:c>
      <x:c r="F13577" s="13" t="str">
        <x:v>Early Cyclicals</x:v>
      </x:c>
      <x:c r="G13577" s="13" t="str">
        <x:v>grid_jx40wu4i.xlsx</x:v>
      </x:c>
    </x:row>
    <x:row r="13578">
      <x:c r="A13578" s="15" t="n">
        <x:v>46113</x:v>
      </x:c>
      <x:c r="B13578" s="13" t="str">
        <x:v>VIVARA PARTICIPACOES SA</x:v>
      </x:c>
      <x:c r="C13578" s="16" t="n">
        <x:v>722.4111403836</x:v>
      </x:c>
      <x:c r="D13578" s="13" t="str">
        <x:v>Retail</x:v>
      </x:c>
      <x:c r="E13578" s="13" t="str">
        <x:v>Retail</x:v>
      </x:c>
      <x:c r="F13578" s="13" t="str">
        <x:v>Early Cyclicals</x:v>
      </x:c>
      <x:c r="G13578" s="13" t="str">
        <x:v>grid_jx40wu4i.xlsx</x:v>
      </x:c>
    </x:row>
    <x:row r="13579">
      <x:c r="A13579" s="15" t="n">
        <x:v>46113</x:v>
      </x:c>
      <x:c r="B13579" s="13" t="str">
        <x:v>CIA SANEAMENTO BASICO DE SP</x:v>
      </x:c>
      <x:c r="C13579" s="16" t="n">
        <x:v>7879.0606343014</x:v>
      </x:c>
      <x:c r="D13579" s="13" t="str">
        <x:v>Sanitation</x:v>
      </x:c>
      <x:c r="E13579" s="13" t="str">
        <x:v>Utilities</x:v>
      </x:c>
      <x:c r="F13579" s="13" t="str">
        <x:v>Defensives</x:v>
      </x:c>
      <x:c r="G13579" s="13" t="str">
        <x:v>grid_jx40wu4i.xlsx</x:v>
      </x:c>
    </x:row>
    <x:row r="13580">
      <x:c r="A13580" s="15" t="n">
        <x:v>46113</x:v>
      </x:c>
      <x:c r="B13580" s="13" t="str">
        <x:v>CIA SANEAMENTO MINAS GERAIS</x:v>
      </x:c>
      <x:c r="C13580" s="16" t="n">
        <x:v>1377.2354630137</x:v>
      </x:c>
      <x:c r="D13580" s="13" t="str">
        <x:v>Sanitation</x:v>
      </x:c>
      <x:c r="E13580" s="13" t="str">
        <x:v>Utilities</x:v>
      </x:c>
      <x:c r="F13580" s="13" t="str">
        <x:v>Defensives</x:v>
      </x:c>
      <x:c r="G13580" s="13" t="str">
        <x:v>grid_jx40wu4i.xlsx</x:v>
      </x:c>
    </x:row>
    <x:row r="13581">
      <x:c r="A13581" s="15" t="n">
        <x:v>46113</x:v>
      </x:c>
      <x:c r="B13581" s="13" t="str">
        <x:v>TIM SA</x:v>
      </x:c>
      <x:c r="C13581" s="16" t="n">
        <x:v>4904.4423820274</x:v>
      </x:c>
      <x:c r="D13581" s="13" t="str">
        <x:v>TMT</x:v>
      </x:c>
      <x:c r="E13581" s="13" t="str">
        <x:v>TMT</x:v>
      </x:c>
      <x:c r="F13581" s="13" t="str">
        <x:v>Early Cyclicals</x:v>
      </x:c>
      <x:c r="G13581" s="13" t="str">
        <x:v>grid_jx40wu4i.xlsx</x:v>
      </x:c>
    </x:row>
    <x:row r="13582">
      <x:c r="A13582" s="15" t="n">
        <x:v>46113</x:v>
      </x:c>
      <x:c r="B13582" s="13" t="str">
        <x:v>TOTVS SA</x:v>
      </x:c>
      <x:c r="C13582" s="16" t="n">
        <x:v>1198.9707011507</x:v>
      </x:c>
      <x:c r="D13582" s="13" t="str">
        <x:v>TMT</x:v>
      </x:c>
      <x:c r="E13582" s="13" t="str">
        <x:v>TMT</x:v>
      </x:c>
      <x:c r="F13582" s="13" t="str">
        <x:v>Early Cyclicals</x:v>
      </x:c>
      <x:c r="G13582" s="13" t="str">
        <x:v>grid_jx40wu4i.xlsx</x:v>
      </x:c>
    </x:row>
    <x:row r="13583">
      <x:c r="A13583" s="15" t="n">
        <x:v>46113</x:v>
      </x:c>
      <x:c r="B13583" s="13" t="str">
        <x:v>LOCALIZA RENT A CAR</x:v>
      </x:c>
      <x:c r="C13583" s="16" t="n">
        <x:v>4666.4847149589</x:v>
      </x:c>
      <x:c r="D13583" s="13" t="str">
        <x:v>Transportation</x:v>
      </x:c>
      <x:c r="E13583" s="13" t="str">
        <x:v>Transportation</x:v>
      </x:c>
      <x:c r="F13583" s="13" t="str">
        <x:v>Deep Cyclicals</x:v>
      </x:c>
      <x:c r="G13583" s="13" t="str">
        <x:v>grid_jx40wu4i.xlsx</x:v>
      </x:c>
    </x:row>
    <x:row r="13584">
      <x:c r="A13584" s="15" t="n">
        <x:v>46113</x:v>
      </x:c>
      <x:c r="B13584" s="13" t="str">
        <x:v>MOTIVA INFRAESTRUTURA DE MOB</x:v>
      </x:c>
      <x:c r="C13584" s="16" t="n">
        <x:v>2662.4460063562</x:v>
      </x:c>
      <x:c r="D13584" s="13" t="str">
        <x:v>Transportation</x:v>
      </x:c>
      <x:c r="E13584" s="13" t="str">
        <x:v>Transportation</x:v>
      </x:c>
      <x:c r="F13584" s="13" t="str">
        <x:v>Deep Cyclicals</x:v>
      </x:c>
      <x:c r="G13584" s="13" t="str">
        <x:v>grid_jx40wu4i.xlsx</x:v>
      </x:c>
    </x:row>
    <x:row r="13585">
      <x:c r="A13585" s="15" t="n">
        <x:v>46113</x:v>
      </x:c>
      <x:c r="B13585" s="13" t="str">
        <x:v>RUMO SA</x:v>
      </x:c>
      <x:c r="C13585" s="16" t="n">
        <x:v>2125.0872600548</x:v>
      </x:c>
      <x:c r="D13585" s="13" t="str">
        <x:v>Transportation</x:v>
      </x:c>
      <x:c r="E13585" s="13" t="str">
        <x:v>Transportation</x:v>
      </x:c>
      <x:c r="F13585" s="13" t="str">
        <x:v>Deep Cyclicals</x:v>
      </x:c>
      <x:c r="G13585" s="13" t="str">
        <x:v>grid_jx40wu4i.xlsx</x:v>
      </x:c>
    </x:row>
    <x:row r="13586">
      <x:c r="A13586" s="15" t="n">
        <x:v>46113</x:v>
      </x:c>
      <x:c r="B13586" s="13" t="str">
        <x:v>VAMOS LOCACAO DE CAMINHOES M</x:v>
      </x:c>
      <x:c r="C13586" s="16" t="n">
        <x:v>550.5950706849</x:v>
      </x:c>
      <x:c r="D13586" s="13" t="str">
        <x:v>Transportation</x:v>
      </x:c>
      <x:c r="E13586" s="13" t="str">
        <x:v>Transportation</x:v>
      </x:c>
      <x:c r="F13586" s="13" t="str">
        <x:v>Deep Cyclicals</x:v>
      </x:c>
      <x:c r="G13586" s="13" t="str">
        <x:v>grid_jx40wu4i.xlsx</x:v>
      </x:c>
    </x:row>
    <x:row r="13587">
      <x:c r="A13587" s="15" t="n">
        <x:v>46113</x:v>
      </x:c>
      <x:c r="B13587" s="13" t="str">
        <x:v>AUREN ENERGIA SA - ON</x:v>
      </x:c>
      <x:c r="C13587" s="16" t="n">
        <x:v>-572.8942632329</x:v>
      </x:c>
      <x:c r="D13587" s="13" t="str">
        <x:v>Utilities &amp; Energy</x:v>
      </x:c>
      <x:c r="E13587" s="13" t="str">
        <x:v>Utilities</x:v>
      </x:c>
      <x:c r="F13587" s="13" t="str">
        <x:v>Defensives</x:v>
      </x:c>
      <x:c r="G13587" s="13" t="str">
        <x:v>grid_jx40wu4i.xlsx</x:v>
      </x:c>
    </x:row>
    <x:row r="13588">
      <x:c r="A13588" s="15" t="n">
        <x:v>46113</x:v>
      </x:c>
      <x:c r="B13588" s="13" t="str">
        <x:v>AXIA ENERGIA SA</x:v>
      </x:c>
      <x:c r="C13588" s="16" t="n">
        <x:v>14660.5808850411</x:v>
      </x:c>
      <x:c r="D13588" s="13" t="str">
        <x:v>Utilities &amp; Energy</x:v>
      </x:c>
      <x:c r="E13588" s="13" t="str">
        <x:v>Utilities</x:v>
      </x:c>
      <x:c r="F13588" s="13" t="str">
        <x:v>Defensives</x:v>
      </x:c>
      <x:c r="G13588" s="13" t="str">
        <x:v>grid_jx40wu4i.xlsx</x:v>
      </x:c>
    </x:row>
    <x:row r="13589">
      <x:c r="A13589" s="15" t="n">
        <x:v>46113</x:v>
      </x:c>
      <x:c r="B13589" s="13" t="str">
        <x:v>AXIA ENERGIA-PR B</x:v>
      </x:c>
      <x:c r="C13589" s="16" t="n">
        <x:v>14660.5808850411</x:v>
      </x:c>
      <x:c r="D13589" s="13" t="str">
        <x:v>Utilities &amp; Energy</x:v>
      </x:c>
      <x:c r="E13589" s="13" t="str">
        <x:v>Utilities</x:v>
      </x:c>
      <x:c r="F13589" s="13" t="str">
        <x:v>Defensives</x:v>
      </x:c>
      <x:c r="G13589" s="13" t="str">
        <x:v>grid_jx40wu4i.xlsx</x:v>
      </x:c>
    </x:row>
    <x:row r="13590">
      <x:c r="A13590" s="15" t="n">
        <x:v>46113</x:v>
      </x:c>
      <x:c r="B13590" s="13" t="str">
        <x:v>CIA ENERGETICA MINAS GER-PRF</x:v>
      </x:c>
      <x:c r="C13590" s="16" t="n">
        <x:v>3556.4077764384</x:v>
      </x:c>
      <x:c r="D13590" s="13" t="str">
        <x:v>Utilities &amp; Energy</x:v>
      </x:c>
      <x:c r="E13590" s="13" t="str">
        <x:v>Utilities</x:v>
      </x:c>
      <x:c r="F13590" s="13" t="str">
        <x:v>Defensives</x:v>
      </x:c>
      <x:c r="G13590" s="13" t="str">
        <x:v>grid_jx40wu4i.xlsx</x:v>
      </x:c>
    </x:row>
    <x:row r="13591">
      <x:c r="A13591" s="15" t="n">
        <x:v>46113</x:v>
      </x:c>
      <x:c r="B13591" s="13" t="str">
        <x:v>COMPANHIA PARANAENSE DE ENER</x:v>
      </x:c>
      <x:c r="C13591" s="16" t="n">
        <x:v>2970.8211550685</x:v>
      </x:c>
      <x:c r="D13591" s="13" t="str">
        <x:v>Utilities &amp; Energy</x:v>
      </x:c>
      <x:c r="E13591" s="13" t="str">
        <x:v>Utilities</x:v>
      </x:c>
      <x:c r="F13591" s="13" t="str">
        <x:v>Defensives</x:v>
      </x:c>
      <x:c r="G13591" s="13" t="str">
        <x:v>grid_jx40wu4i.xlsx</x:v>
      </x:c>
    </x:row>
    <x:row r="13592">
      <x:c r="A13592" s="15" t="n">
        <x:v>46113</x:v>
      </x:c>
      <x:c r="B13592" s="13" t="str">
        <x:v>CPFL ENERGIA SA</x:v>
      </x:c>
      <x:c r="C13592" s="16" t="n">
        <x:v>5029.1202735343</x:v>
      </x:c>
      <x:c r="D13592" s="13" t="str">
        <x:v>Utilities &amp; Energy</x:v>
      </x:c>
      <x:c r="E13592" s="13" t="str">
        <x:v>Utilities</x:v>
      </x:c>
      <x:c r="F13592" s="13" t="str">
        <x:v>Defensives</x:v>
      </x:c>
      <x:c r="G13592" s="13" t="str">
        <x:v>grid_jx40wu4i.xlsx</x:v>
      </x:c>
    </x:row>
    <x:row r="13593">
      <x:c r="A13593" s="15" t="n">
        <x:v>46113</x:v>
      </x:c>
      <x:c r="B13593" s="13" t="str">
        <x:v>ENERGISA SA-UNITS</x:v>
      </x:c>
      <x:c r="C13593" s="16" t="n">
        <x:v>1520.9868764932</x:v>
      </x:c>
      <x:c r="D13593" s="13" t="str">
        <x:v>Utilities &amp; Energy</x:v>
      </x:c>
      <x:c r="E13593" s="13" t="str">
        <x:v>Utilities</x:v>
      </x:c>
      <x:c r="F13593" s="13" t="str">
        <x:v>Defensives</x:v>
      </x:c>
      <x:c r="G13593" s="13" t="str">
        <x:v>grid_jx40wu4i.xlsx</x:v>
      </x:c>
    </x:row>
    <x:row r="13594">
      <x:c r="A13594" s="15" t="n">
        <x:v>46113</x:v>
      </x:c>
      <x:c r="B13594" s="13" t="str">
        <x:v>ENEVA SA</x:v>
      </x:c>
      <x:c r="C13594" s="16" t="n">
        <x:v>1272.1502527123</x:v>
      </x:c>
      <x:c r="D13594" s="13" t="str">
        <x:v>Utilities &amp; Energy</x:v>
      </x:c>
      <x:c r="E13594" s="13" t="str">
        <x:v>Utilities</x:v>
      </x:c>
      <x:c r="F13594" s="13" t="str">
        <x:v>Defensives</x:v>
      </x:c>
      <x:c r="G13594" s="13" t="str">
        <x:v>grid_jx40wu4i.xlsx</x:v>
      </x:c>
    </x:row>
    <x:row r="13595">
      <x:c r="A13595" s="15" t="n">
        <x:v>46113</x:v>
      </x:c>
      <x:c r="B13595" s="13" t="str">
        <x:v>ENGIE BRASIL ENERGIA SA</x:v>
      </x:c>
      <x:c r="C13595" s="16" t="n">
        <x:v>3342.3314691507</x:v>
      </x:c>
      <x:c r="D13595" s="13" t="str">
        <x:v>Utilities &amp; Energy</x:v>
      </x:c>
      <x:c r="E13595" s="13" t="str">
        <x:v>Utilities</x:v>
      </x:c>
      <x:c r="F13595" s="13" t="str">
        <x:v>Defensives</x:v>
      </x:c>
      <x:c r="G13595" s="13" t="str">
        <x:v>grid_jx40wu4i.xlsx</x:v>
      </x:c>
    </x:row>
    <x:row r="13596">
      <x:c r="A13596" s="15" t="n">
        <x:v>46113</x:v>
      </x:c>
      <x:c r="B13596" s="13" t="str">
        <x:v>EQUATORIAL SA - ORD</x:v>
      </x:c>
      <x:c r="C13596" s="16" t="n">
        <x:v>3222.7363278904</x:v>
      </x:c>
      <x:c r="D13596" s="13" t="str">
        <x:v>Utilities &amp; Energy</x:v>
      </x:c>
      <x:c r="E13596" s="13" t="str">
        <x:v>Utilities</x:v>
      </x:c>
      <x:c r="F13596" s="13" t="str">
        <x:v>Defensives</x:v>
      </x:c>
      <x:c r="G13596" s="13" t="str">
        <x:v>grid_jx40wu4i.xlsx</x:v>
      </x:c>
    </x:row>
    <x:row r="13597">
      <x:c r="A13597" s="15" t="n">
        <x:v>46113</x:v>
      </x:c>
      <x:c r="B13597" s="13" t="str">
        <x:v>ISA ENERGIA BRASIL SA</x:v>
      </x:c>
      <x:c r="C13597" s="16" t="n">
        <x:v>1440.6841985753</x:v>
      </x:c>
      <x:c r="D13597" s="13" t="str">
        <x:v>Utilities &amp; Energy</x:v>
      </x:c>
      <x:c r="E13597" s="13" t="str">
        <x:v>Utilities</x:v>
      </x:c>
      <x:c r="F13597" s="13" t="str">
        <x:v>Defensives</x:v>
      </x:c>
      <x:c r="G13597" s="13" t="str">
        <x:v>grid_jx40wu4i.xlsx</x:v>
      </x:c>
    </x:row>
    <x:row r="13598">
      <x:c r="A13598" s="15" t="n">
        <x:v>46113</x:v>
      </x:c>
      <x:c r="B13598" s="13" t="str">
        <x:v>TRANSMISSORA ALIANCA DE-UNIT</x:v>
      </x:c>
      <x:c r="C13598" s="16" t="n">
        <x:v>1262.6742356164</x:v>
      </x:c>
      <x:c r="D13598" s="13" t="str">
        <x:v>Utilities &amp; Energy</x:v>
      </x:c>
      <x:c r="E13598" s="13" t="str">
        <x:v>Utilities</x:v>
      </x:c>
      <x:c r="F13598" s="13" t="str">
        <x:v>Defensives</x:v>
      </x:c>
      <x:c r="G13598" s="13" t="str">
        <x:v>grid_jx40wu4i.xlsx</x:v>
      </x:c>
    </x:row>
    <x:row r="13599">
      <x:c r="A13599" s="15" t="n">
        <x:v>46143</x:v>
      </x:c>
      <x:c r="B13599" s="13" t="str">
        <x:v>SLC AGRICOLA SA</x:v>
      </x:c>
      <x:c r="C13599" s="16" t="n">
        <x:v>746.0814283397</x:v>
      </x:c>
      <x:c r="D13599" s="13" t="str">
        <x:v>Agribusiness</x:v>
      </x:c>
      <x:c r="E13599" s="13" t="str">
        <x:v>Agri, Food &amp; Beverages</x:v>
      </x:c>
      <x:c r="F13599" s="13" t="str">
        <x:v>Defensives</x:v>
      </x:c>
      <x:c r="G13599" s="13" t="str">
        <x:v>grid_jx40wu4i.xlsx</x:v>
      </x:c>
    </x:row>
    <x:row r="13600">
      <x:c r="A13600" s="15" t="n">
        <x:v>46143</x:v>
      </x:c>
      <x:c r="B13600" s="13" t="str">
        <x:v>BANCO BRADESCO S.A.</x:v>
      </x:c>
      <x:c r="C13600" s="16" t="n">
        <x:v>29547.1563200877</x:v>
      </x:c>
      <x:c r="D13600" s="13" t="str">
        <x:v>Banks</x:v>
      </x:c>
      <x:c r="E13600" s="13" t="str">
        <x:v>Banks</x:v>
      </x:c>
      <x:c r="F13600" s="13" t="str">
        <x:v>Financials</x:v>
      </x:c>
      <x:c r="G13600" s="13" t="str">
        <x:v>grid_jx40wu4i.xlsx</x:v>
      </x:c>
    </x:row>
    <x:row r="13601">
      <x:c r="A13601" s="15" t="n">
        <x:v>46143</x:v>
      </x:c>
      <x:c r="B13601" s="13" t="str">
        <x:v>BANCO BRADESCO SA-PREF</x:v>
      </x:c>
      <x:c r="C13601" s="16" t="n">
        <x:v>29547.1563200877</x:v>
      </x:c>
      <x:c r="D13601" s="13" t="str">
        <x:v>Banks</x:v>
      </x:c>
      <x:c r="E13601" s="13" t="str">
        <x:v>Banks</x:v>
      </x:c>
      <x:c r="F13601" s="13" t="str">
        <x:v>Financials</x:v>
      </x:c>
      <x:c r="G13601" s="13" t="str">
        <x:v>grid_jx40wu4i.xlsx</x:v>
      </x:c>
    </x:row>
    <x:row r="13602">
      <x:c r="A13602" s="15" t="n">
        <x:v>46143</x:v>
      </x:c>
      <x:c r="B13602" s="13" t="str">
        <x:v>BANCO BTG PACTUAL SA-UNIT</x:v>
      </x:c>
      <x:c r="C13602" s="16" t="n">
        <x:v>21138.0771573479</x:v>
      </x:c>
      <x:c r="D13602" s="13" t="str">
        <x:v>Banks</x:v>
      </x:c>
      <x:c r="E13602" s="13" t="str">
        <x:v>Banks</x:v>
      </x:c>
      <x:c r="F13602" s="13" t="str">
        <x:v>Financials</x:v>
      </x:c>
      <x:c r="G13602" s="13" t="str">
        <x:v>grid_jx40wu4i.xlsx</x:v>
      </x:c>
    </x:row>
    <x:row r="13603">
      <x:c r="A13603" s="15" t="n">
        <x:v>46143</x:v>
      </x:c>
      <x:c r="B13603" s="13" t="str">
        <x:v>BANCO DO BRASIL S.A.</x:v>
      </x:c>
      <x:c r="C13603" s="16" t="n">
        <x:v>23629.8929923507</x:v>
      </x:c>
      <x:c r="D13603" s="13" t="str">
        <x:v>Banks</x:v>
      </x:c>
      <x:c r="E13603" s="13" t="str">
        <x:v>Banks</x:v>
      </x:c>
      <x:c r="F13603" s="13" t="str">
        <x:v>Financials</x:v>
      </x:c>
      <x:c r="G13603" s="13" t="str">
        <x:v>grid_jx40wu4i.xlsx</x:v>
      </x:c>
    </x:row>
    <x:row r="13604">
      <x:c r="A13604" s="15" t="n">
        <x:v>46143</x:v>
      </x:c>
      <x:c r="B13604" s="13" t="str">
        <x:v>BANCO SANTANDER  BRASIL-UNIT</x:v>
      </x:c>
      <x:c r="C13604" s="16" t="n">
        <x:v>17567.1109435616</x:v>
      </x:c>
      <x:c r="D13604" s="13" t="str">
        <x:v>Banks</x:v>
      </x:c>
      <x:c r="E13604" s="13" t="str">
        <x:v>Banks</x:v>
      </x:c>
      <x:c r="F13604" s="13" t="str">
        <x:v>Financials</x:v>
      </x:c>
      <x:c r="G13604" s="13" t="str">
        <x:v>grid_jx40wu4i.xlsx</x:v>
      </x:c>
    </x:row>
    <x:row r="13605">
      <x:c r="A13605" s="15" t="n">
        <x:v>46143</x:v>
      </x:c>
      <x:c r="B13605" s="13" t="str">
        <x:v>ITAU UNIBANCO HOLDING S-PREF</x:v>
      </x:c>
      <x:c r="C13605" s="16" t="n">
        <x:v>53349.1982336</x:v>
      </x:c>
      <x:c r="D13605" s="13" t="str">
        <x:v>Banks</x:v>
      </x:c>
      <x:c r="E13605" s="13" t="str">
        <x:v>Banks</x:v>
      </x:c>
      <x:c r="F13605" s="13" t="str">
        <x:v>Financials</x:v>
      </x:c>
      <x:c r="G13605" s="13" t="str">
        <x:v>grid_jx40wu4i.xlsx</x:v>
      </x:c>
    </x:row>
    <x:row r="13606">
      <x:c r="A13606" s="15" t="n">
        <x:v>46143</x:v>
      </x:c>
      <x:c r="B13606" s="13" t="str">
        <x:v>EMBRAER SA</x:v>
      </x:c>
      <x:c r="C13606" s="16" t="n">
        <x:v>2785.1514901041</x:v>
      </x:c>
      <x:c r="D13606" s="13" t="str">
        <x:v>Capital Goods</x:v>
      </x:c>
      <x:c r="E13606" s="13" t="str">
        <x:v>Capital Goods</x:v>
      </x:c>
      <x:c r="F13606" s="13" t="str">
        <x:v>Deep Cyclicals</x:v>
      </x:c>
      <x:c r="G13606" s="13" t="str">
        <x:v>grid_jx40wu4i.xlsx</x:v>
      </x:c>
    </x:row>
    <x:row r="13607">
      <x:c r="A13607" s="15" t="n">
        <x:v>46143</x:v>
      </x:c>
      <x:c r="B13607" s="13" t="str">
        <x:v>MARCOPOLO SA-PREF</x:v>
      </x:c>
      <x:c r="C13607" s="16" t="n">
        <x:v>1287.8635877699</x:v>
      </x:c>
      <x:c r="D13607" s="13" t="str">
        <x:v>Capital Goods</x:v>
      </x:c>
      <x:c r="E13607" s="13" t="str">
        <x:v>Capital Goods</x:v>
      </x:c>
      <x:c r="F13607" s="13" t="str">
        <x:v>Deep Cyclicals</x:v>
      </x:c>
      <x:c r="G13607" s="13" t="str">
        <x:v>grid_jx40wu4i.xlsx</x:v>
      </x:c>
    </x:row>
    <x:row r="13608">
      <x:c r="A13608" s="15" t="n">
        <x:v>46143</x:v>
      </x:c>
      <x:c r="B13608" s="13" t="str">
        <x:v>WEG SA</x:v>
      </x:c>
      <x:c r="C13608" s="16" t="n">
        <x:v>6873.4809059945</x:v>
      </x:c>
      <x:c r="D13608" s="13" t="str">
        <x:v>Capital Goods</x:v>
      </x:c>
      <x:c r="E13608" s="13" t="str">
        <x:v>Capital Goods</x:v>
      </x:c>
      <x:c r="F13608" s="13" t="str">
        <x:v>Deep Cyclicals</x:v>
      </x:c>
      <x:c r="G13608" s="13" t="str">
        <x:v>grid_jx40wu4i.xlsx</x:v>
      </x:c>
    </x:row>
    <x:row r="13609">
      <x:c r="A13609" s="15" t="n">
        <x:v>46143</x:v>
      </x:c>
      <x:c r="B13609" s="13" t="str">
        <x:v>COGNA EDUCACAO</x:v>
      </x:c>
      <x:c r="C13609" s="16" t="n">
        <x:v>959.8131957479</x:v>
      </x:c>
      <x:c r="D13609" s="13" t="str">
        <x:v>Education</x:v>
      </x:c>
      <x:c r="E13609" s="13" t="str">
        <x:v>Education</x:v>
      </x:c>
      <x:c r="F13609" s="13" t="str">
        <x:v>Early Cyclicals</x:v>
      </x:c>
      <x:c r="G13609" s="13" t="str">
        <x:v>grid_jx40wu4i.xlsx</x:v>
      </x:c>
    </x:row>
    <x:row r="13610">
      <x:c r="A13610" s="15" t="n">
        <x:v>46143</x:v>
      </x:c>
      <x:c r="B13610" s="13" t="str">
        <x:v>YDUQS PARTICIPACOES SA</x:v>
      </x:c>
      <x:c r="C13610" s="16" t="n">
        <x:v>499.810354674</x:v>
      </x:c>
      <x:c r="D13610" s="13" t="str">
        <x:v>Education</x:v>
      </x:c>
      <x:c r="E13610" s="13" t="str">
        <x:v>Education</x:v>
      </x:c>
      <x:c r="F13610" s="13" t="str">
        <x:v>Early Cyclicals</x:v>
      </x:c>
      <x:c r="G13610" s="13" t="str">
        <x:v>grid_jx40wu4i.xlsx</x:v>
      </x:c>
    </x:row>
    <x:row r="13611">
      <x:c r="A13611" s="15" t="n">
        <x:v>46143</x:v>
      </x:c>
      <x:c r="B13611" s="13" t="str">
        <x:v>B3 SA-BRASIL BOLSA BALCAO</x:v>
      </x:c>
      <x:c r="C13611" s="16" t="n">
        <x:v>6241.165420011</x:v>
      </x:c>
      <x:c r="D13611" s="13" t="str">
        <x:v>Financials Non-Banks</x:v>
      </x:c>
      <x:c r="E13611" s="13" t="str">
        <x:v>Financials Non-Banks</x:v>
      </x:c>
      <x:c r="F13611" s="13" t="str">
        <x:v>Financials</x:v>
      </x:c>
      <x:c r="G13611" s="13" t="str">
        <x:v>grid_jx40wu4i.xlsx</x:v>
      </x:c>
    </x:row>
    <x:row r="13612">
      <x:c r="A13612" s="15" t="n">
        <x:v>46143</x:v>
      </x:c>
      <x:c r="B13612" s="13" t="str">
        <x:v>BB SEGURIDADE PARTICIPACOES</x:v>
      </x:c>
      <x:c r="C13612" s="16" t="n">
        <x:v>8672.4046595507</x:v>
      </x:c>
      <x:c r="D13612" s="13" t="str">
        <x:v>Financials Non-Banks</x:v>
      </x:c>
      <x:c r="E13612" s="13" t="str">
        <x:v>Financials Non-Banks</x:v>
      </x:c>
      <x:c r="F13612" s="13" t="str">
        <x:v>Financials</x:v>
      </x:c>
      <x:c r="G13612" s="13" t="str">
        <x:v>grid_jx40wu4i.xlsx</x:v>
      </x:c>
    </x:row>
    <x:row r="13613">
      <x:c r="A13613" s="15" t="n">
        <x:v>46143</x:v>
      </x:c>
      <x:c r="B13613" s="13" t="str">
        <x:v>CAIXA SEGURIDADE PARTICIPACO</x:v>
      </x:c>
      <x:c r="C13613" s="16" t="n">
        <x:v>4907.7039973699</x:v>
      </x:c>
      <x:c r="D13613" s="13" t="str">
        <x:v>Financials Non-Banks</x:v>
      </x:c>
      <x:c r="E13613" s="13" t="str">
        <x:v>Financials Non-Banks</x:v>
      </x:c>
      <x:c r="F13613" s="13" t="str">
        <x:v>Financials</x:v>
      </x:c>
      <x:c r="G13613" s="13" t="str">
        <x:v>grid_jx40wu4i.xlsx</x:v>
      </x:c>
    </x:row>
    <x:row r="13614">
      <x:c r="A13614" s="15" t="n">
        <x:v>46143</x:v>
      </x:c>
      <x:c r="B13614" s="13" t="str">
        <x:v>ITAUSA SA</x:v>
      </x:c>
      <x:c r="C13614" s="16" t="n">
        <x:v>20095.1648368219</x:v>
      </x:c>
      <x:c r="D13614" s="13" t="str">
        <x:v>Financials Non-Banks</x:v>
      </x:c>
      <x:c r="E13614" s="13" t="str">
        <x:v>Financials Non-Banks</x:v>
      </x:c>
      <x:c r="F13614" s="13" t="str">
        <x:v>Financials</x:v>
      </x:c>
      <x:c r="G13614" s="13" t="str">
        <x:v>grid_jx40wu4i.xlsx</x:v>
      </x:c>
    </x:row>
    <x:row r="13615">
      <x:c r="A13615" s="15" t="n">
        <x:v>46143</x:v>
      </x:c>
      <x:c r="B13615" s="13" t="str">
        <x:v>PORTO SEGURO SA</x:v>
      </x:c>
      <x:c r="C13615" s="16" t="n">
        <x:v>3848.8921116055</x:v>
      </x:c>
      <x:c r="D13615" s="13" t="str">
        <x:v>Financials Non-Banks</x:v>
      </x:c>
      <x:c r="E13615" s="13" t="str">
        <x:v>Financials Non-Banks</x:v>
      </x:c>
      <x:c r="F13615" s="13" t="str">
        <x:v>Financials</x:v>
      </x:c>
      <x:c r="G13615" s="13" t="str">
        <x:v>grid_jx40wu4i.xlsx</x:v>
      </x:c>
    </x:row>
    <x:row r="13616">
      <x:c r="A13616" s="15" t="n">
        <x:v>46143</x:v>
      </x:c>
      <x:c r="B13616" s="13" t="str">
        <x:v>AMBEV SA</x:v>
      </x:c>
      <x:c r="C13616" s="16" t="n">
        <x:v>16529.8178300493</x:v>
      </x:c>
      <x:c r="D13616" s="13" t="str">
        <x:v>Food &amp; Beverages</x:v>
      </x:c>
      <x:c r="E13616" s="13" t="str">
        <x:v>Agri, Food &amp; Beverages</x:v>
      </x:c>
      <x:c r="F13616" s="13" t="str">
        <x:v>Defensives</x:v>
      </x:c>
      <x:c r="G13616" s="13" t="str">
        <x:v>grid_jx40wu4i.xlsx</x:v>
      </x:c>
    </x:row>
    <x:row r="13617">
      <x:c r="A13617" s="15" t="n">
        <x:v>46143</x:v>
      </x:c>
      <x:c r="B13617" s="13" t="str">
        <x:v>MBRF GLOBAL FOODS COMPANY SA</x:v>
      </x:c>
      <x:c r="C13617" s="16" t="n">
        <x:v>616.5044618521</x:v>
      </x:c>
      <x:c r="D13617" s="13" t="str">
        <x:v>Food &amp; Beverages</x:v>
      </x:c>
      <x:c r="E13617" s="13" t="str">
        <x:v>Agri, Food &amp; Beverages</x:v>
      </x:c>
      <x:c r="F13617" s="13" t="str">
        <x:v>Defensives</x:v>
      </x:c>
      <x:c r="G13617" s="13" t="str">
        <x:v>grid_jx40wu4i.xlsx</x:v>
      </x:c>
    </x:row>
    <x:row r="13618">
      <x:c r="A13618" s="15" t="n">
        <x:v>46143</x:v>
      </x:c>
      <x:c r="B13618" s="13" t="str">
        <x:v>MINERVA SA</x:v>
      </x:c>
      <x:c r="C13618" s="16" t="n">
        <x:v>775.0633659616</x:v>
      </x:c>
      <x:c r="D13618" s="13" t="str">
        <x:v>Food &amp; Beverages</x:v>
      </x:c>
      <x:c r="E13618" s="13" t="str">
        <x:v>Agri, Food &amp; Beverages</x:v>
      </x:c>
      <x:c r="F13618" s="13" t="str">
        <x:v>Defensives</x:v>
      </x:c>
      <x:c r="G13618" s="13" t="str">
        <x:v>grid_jx40wu4i.xlsx</x:v>
      </x:c>
    </x:row>
    <x:row r="13619">
      <x:c r="A13619" s="15" t="n">
        <x:v>46143</x:v>
      </x:c>
      <x:c r="B13619" s="13" t="str">
        <x:v>FLEURY SA</x:v>
      </x:c>
      <x:c r="C13619" s="16" t="n">
        <x:v>731.7550495562</x:v>
      </x:c>
      <x:c r="D13619" s="13" t="str">
        <x:v>Health Care</x:v>
      </x:c>
      <x:c r="E13619" s="13" t="str">
        <x:v>Health Care</x:v>
      </x:c>
      <x:c r="F13619" s="13" t="str">
        <x:v>Defensives</x:v>
      </x:c>
      <x:c r="G13619" s="13" t="str">
        <x:v>grid_jx40wu4i.xlsx</x:v>
      </x:c>
    </x:row>
    <x:row r="13620">
      <x:c r="A13620" s="15" t="n">
        <x:v>46143</x:v>
      </x:c>
      <x:c r="B13620" s="13" t="str">
        <x:v>HAPVIDA PARTICIPACOES E INVE</x:v>
      </x:c>
      <x:c r="C13620" s="16" t="n">
        <x:v>598.5860993753</x:v>
      </x:c>
      <x:c r="D13620" s="13" t="str">
        <x:v>Health Care</x:v>
      </x:c>
      <x:c r="E13620" s="13" t="str">
        <x:v>Health Care</x:v>
      </x:c>
      <x:c r="F13620" s="13" t="str">
        <x:v>Defensives</x:v>
      </x:c>
      <x:c r="G13620" s="13" t="str">
        <x:v>grid_jx40wu4i.xlsx</x:v>
      </x:c>
    </x:row>
    <x:row r="13621">
      <x:c r="A13621" s="15" t="n">
        <x:v>46143</x:v>
      </x:c>
      <x:c r="B13621" s="13" t="str">
        <x:v>HYPERA SA</x:v>
      </x:c>
      <x:c r="C13621" s="16" t="n">
        <x:v>1972.5956881534</x:v>
      </x:c>
      <x:c r="D13621" s="13" t="str">
        <x:v>Health Care</x:v>
      </x:c>
      <x:c r="E13621" s="13" t="str">
        <x:v>Health Care</x:v>
      </x:c>
      <x:c r="F13621" s="13" t="str">
        <x:v>Defensives</x:v>
      </x:c>
      <x:c r="G13621" s="13" t="str">
        <x:v>grid_jx40wu4i.xlsx</x:v>
      </x:c>
    </x:row>
    <x:row r="13622">
      <x:c r="A13622" s="15" t="n">
        <x:v>46143</x:v>
      </x:c>
      <x:c r="B13622" s="13" t="str">
        <x:v>REDE D'OR SAO LUIZ SA</x:v>
      </x:c>
      <x:c r="C13622" s="16" t="n">
        <x:v>5427.4627050959</x:v>
      </x:c>
      <x:c r="D13622" s="13" t="str">
        <x:v>Health Care</x:v>
      </x:c>
      <x:c r="E13622" s="13" t="str">
        <x:v>Health Care</x:v>
      </x:c>
      <x:c r="F13622" s="13" t="str">
        <x:v>Defensives</x:v>
      </x:c>
      <x:c r="G13622" s="13" t="str">
        <x:v>grid_jx40wu4i.xlsx</x:v>
      </x:c>
    </x:row>
    <x:row r="13623">
      <x:c r="A13623" s="15" t="n">
        <x:v>46143</x:v>
      </x:c>
      <x:c r="B13623" s="13" t="str">
        <x:v>CURY CONSTRUTORA E INCORPORA</x:v>
      </x:c>
      <x:c r="C13623" s="16" t="n">
        <x:v>1335.050002937</x:v>
      </x:c>
      <x:c r="D13623" s="13" t="str">
        <x:v>Homebuilders</x:v>
      </x:c>
      <x:c r="E13623" s="13" t="str">
        <x:v>Real Estate</x:v>
      </x:c>
      <x:c r="F13623" s="13" t="str">
        <x:v>Early Cyclicals</x:v>
      </x:c>
      <x:c r="G13623" s="13" t="str">
        <x:v>grid_jx40wu4i.xlsx</x:v>
      </x:c>
    </x:row>
    <x:row r="13624">
      <x:c r="A13624" s="15" t="n">
        <x:v>46143</x:v>
      </x:c>
      <x:c r="B13624" s="13" t="str">
        <x:v>CYRELA BRAZIL REALTY SA EMP</x:v>
      </x:c>
      <x:c r="C13624" s="16" t="n">
        <x:v>2018.0565749479</x:v>
      </x:c>
      <x:c r="D13624" s="13" t="str">
        <x:v>Homebuilders</x:v>
      </x:c>
      <x:c r="E13624" s="13" t="str">
        <x:v>Real Estate</x:v>
      </x:c>
      <x:c r="F13624" s="13" t="str">
        <x:v>Early Cyclicals</x:v>
      </x:c>
      <x:c r="G13624" s="13" t="str">
        <x:v>grid_jx40wu4i.xlsx</x:v>
      </x:c>
    </x:row>
    <x:row r="13625">
      <x:c r="A13625" s="15" t="n">
        <x:v>46143</x:v>
      </x:c>
      <x:c r="B13625" s="13" t="str">
        <x:v>DIRECIONAL ENGENHARIA SA</x:v>
      </x:c>
      <x:c r="C13625" s="16" t="n">
        <x:v>1053.1876176657</x:v>
      </x:c>
      <x:c r="D13625" s="13" t="str">
        <x:v>Homebuilders</x:v>
      </x:c>
      <x:c r="E13625" s="13" t="str">
        <x:v>Real Estate</x:v>
      </x:c>
      <x:c r="F13625" s="13" t="str">
        <x:v>Early Cyclicals</x:v>
      </x:c>
      <x:c r="G13625" s="13" t="str">
        <x:v>grid_jx40wu4i.xlsx</x:v>
      </x:c>
    </x:row>
    <x:row r="13626">
      <x:c r="A13626" s="15" t="n">
        <x:v>46143</x:v>
      </x:c>
      <x:c r="B13626" s="13" t="str">
        <x:v>MRV ENGENHARIA</x:v>
      </x:c>
      <x:c r="C13626" s="16" t="n">
        <x:v>811.8098505644</x:v>
      </x:c>
      <x:c r="D13626" s="13" t="str">
        <x:v>Homebuilders</x:v>
      </x:c>
      <x:c r="E13626" s="13" t="str">
        <x:v>Real Estate</x:v>
      </x:c>
      <x:c r="F13626" s="13" t="str">
        <x:v>Early Cyclicals</x:v>
      </x:c>
      <x:c r="G13626" s="13" t="str">
        <x:v>grid_jx40wu4i.xlsx</x:v>
      </x:c>
    </x:row>
    <x:row r="13627">
      <x:c r="A13627" s="15" t="n">
        <x:v>46143</x:v>
      </x:c>
      <x:c r="B13627" s="13" t="str">
        <x:v>ALLOS SA</x:v>
      </x:c>
      <x:c r="C13627" s="16" t="n">
        <x:v>975.4744176219</x:v>
      </x:c>
      <x:c r="D13627" s="13" t="str">
        <x:v>Income Properties</x:v>
      </x:c>
      <x:c r="E13627" s="13" t="str">
        <x:v>Real Estate</x:v>
      </x:c>
      <x:c r="F13627" s="13" t="str">
        <x:v>Early Cyclicals</x:v>
      </x:c>
      <x:c r="G13627" s="13" t="str">
        <x:v>grid_jx40wu4i.xlsx</x:v>
      </x:c>
    </x:row>
    <x:row r="13628">
      <x:c r="A13628" s="15" t="n">
        <x:v>46143</x:v>
      </x:c>
      <x:c r="B13628" s="13" t="str">
        <x:v>IGUATEMI SA - UNITS</x:v>
      </x:c>
      <x:c r="C13628" s="16" t="n">
        <x:v>631.4272959123</x:v>
      </x:c>
      <x:c r="D13628" s="13" t="str">
        <x:v>Income Properties</x:v>
      </x:c>
      <x:c r="E13628" s="13" t="str">
        <x:v>Real Estate</x:v>
      </x:c>
      <x:c r="F13628" s="13" t="str">
        <x:v>Early Cyclicals</x:v>
      </x:c>
      <x:c r="G13628" s="13" t="str">
        <x:v>grid_jx40wu4i.xlsx</x:v>
      </x:c>
    </x:row>
    <x:row r="13629">
      <x:c r="A13629" s="15" t="n">
        <x:v>46143</x:v>
      </x:c>
      <x:c r="B13629" s="13" t="str">
        <x:v>MULTIPLAN EMPREENDIMENTOS</x:v>
      </x:c>
      <x:c r="C13629" s="16" t="n">
        <x:v>1206.287412252</x:v>
      </x:c>
      <x:c r="D13629" s="13" t="str">
        <x:v>Income Properties</x:v>
      </x:c>
      <x:c r="E13629" s="13" t="str">
        <x:v>Real Estate</x:v>
      </x:c>
      <x:c r="F13629" s="13" t="str">
        <x:v>Early Cyclicals</x:v>
      </x:c>
      <x:c r="G13629" s="13" t="str">
        <x:v>grid_jx40wu4i.xlsx</x:v>
      </x:c>
    </x:row>
    <x:row r="13630">
      <x:c r="A13630" s="15" t="n">
        <x:v>46143</x:v>
      </x:c>
      <x:c r="B13630" s="13" t="str">
        <x:v>BRADESPAR SA -PREF</x:v>
      </x:c>
      <x:c r="C13630" s="16" t="n">
        <x:v>1631.2438734904</x:v>
      </x:c>
      <x:c r="D13630" s="13" t="str">
        <x:v>Metals &amp; Mining</x:v>
      </x:c>
      <x:c r="E13630" s="13" t="str">
        <x:v>Metals &amp; Mining</x:v>
      </x:c>
      <x:c r="F13630" s="13" t="str">
        <x:v>Deep Cyclicals</x:v>
      </x:c>
      <x:c r="G13630" s="13" t="str">
        <x:v>grid_jx40wu4i.xlsx</x:v>
      </x:c>
    </x:row>
    <x:row r="13631">
      <x:c r="A13631" s="15" t="n">
        <x:v>46143</x:v>
      </x:c>
      <x:c r="B13631" s="13" t="str">
        <x:v>CIA SIDERURGICA NACIONAL SA</x:v>
      </x:c>
      <x:c r="C13631" s="16" t="n">
        <x:v>-947.8534775233</x:v>
      </x:c>
      <x:c r="D13631" s="13" t="str">
        <x:v>Metals &amp; Mining</x:v>
      </x:c>
      <x:c r="E13631" s="13" t="str">
        <x:v>Metals &amp; Mining</x:v>
      </x:c>
      <x:c r="F13631" s="13" t="str">
        <x:v>Deep Cyclicals</x:v>
      </x:c>
      <x:c r="G13631" s="13" t="str">
        <x:v>grid_jx40wu4i.xlsx</x:v>
      </x:c>
    </x:row>
    <x:row r="13632">
      <x:c r="A13632" s="15" t="n">
        <x:v>46143</x:v>
      </x:c>
      <x:c r="B13632" s="13" t="str">
        <x:v>CSN MINERACAO SA</x:v>
      </x:c>
      <x:c r="C13632" s="16" t="n">
        <x:v>2076.3574755945</x:v>
      </x:c>
      <x:c r="D13632" s="13" t="str">
        <x:v>Metals &amp; Mining</x:v>
      </x:c>
      <x:c r="E13632" s="13" t="str">
        <x:v>Metals &amp; Mining</x:v>
      </x:c>
      <x:c r="F13632" s="13" t="str">
        <x:v>Deep Cyclicals</x:v>
      </x:c>
      <x:c r="G13632" s="13" t="str">
        <x:v>grid_jx40wu4i.xlsx</x:v>
      </x:c>
    </x:row>
    <x:row r="13633">
      <x:c r="A13633" s="15" t="n">
        <x:v>46143</x:v>
      </x:c>
      <x:c r="B13633" s="13" t="str">
        <x:v>GERDAU SA-PREF</x:v>
      </x:c>
      <x:c r="C13633" s="16" t="n">
        <x:v>4970.991519211</x:v>
      </x:c>
      <x:c r="D13633" s="13" t="str">
        <x:v>Metals &amp; Mining</x:v>
      </x:c>
      <x:c r="E13633" s="13" t="str">
        <x:v>Metals &amp; Mining</x:v>
      </x:c>
      <x:c r="F13633" s="13" t="str">
        <x:v>Deep Cyclicals</x:v>
      </x:c>
      <x:c r="G13633" s="13" t="str">
        <x:v>grid_jx40wu4i.xlsx</x:v>
      </x:c>
    </x:row>
    <x:row r="13634">
      <x:c r="A13634" s="15" t="n">
        <x:v>46143</x:v>
      </x:c>
      <x:c r="B13634" s="13" t="str">
        <x:v>USINAS SIDER MINAS GER-PF A</x:v>
      </x:c>
      <x:c r="C13634" s="16" t="n">
        <x:v>1323.1715903123</x:v>
      </x:c>
      <x:c r="D13634" s="13" t="str">
        <x:v>Metals &amp; Mining</x:v>
      </x:c>
      <x:c r="E13634" s="13" t="str">
        <x:v>Metals &amp; Mining</x:v>
      </x:c>
      <x:c r="F13634" s="13" t="str">
        <x:v>Deep Cyclicals</x:v>
      </x:c>
      <x:c r="G13634" s="13" t="str">
        <x:v>grid_jx40wu4i.xlsx</x:v>
      </x:c>
    </x:row>
    <x:row r="13635">
      <x:c r="A13635" s="15" t="n">
        <x:v>46143</x:v>
      </x:c>
      <x:c r="B13635" s="13" t="str">
        <x:v>VALE SA</x:v>
      </x:c>
      <x:c r="C13635" s="16" t="n">
        <x:v>42416.8906864219</x:v>
      </x:c>
      <x:c r="D13635" s="13" t="str">
        <x:v>Metals &amp; Mining</x:v>
      </x:c>
      <x:c r="E13635" s="13" t="str">
        <x:v>Metals &amp; Mining</x:v>
      </x:c>
      <x:c r="F13635" s="13" t="str">
        <x:v>Deep Cyclicals</x:v>
      </x:c>
      <x:c r="G13635" s="13" t="str">
        <x:v>grid_jx40wu4i.xlsx</x:v>
      </x:c>
    </x:row>
    <x:row r="13636">
      <x:c r="A13636" s="15" t="n">
        <x:v>46143</x:v>
      </x:c>
      <x:c r="B13636" s="13" t="str">
        <x:v>BRASKEM SA-PREF A</x:v>
      </x:c>
      <x:c r="C13636" s="16" t="n">
        <x:v>-482.8305139726</x:v>
      </x:c>
      <x:c r="D13636" s="13" t="str">
        <x:v>Oil, Gas &amp; Petrochemicals</x:v>
      </x:c>
      <x:c r="E13636" s="13" t="str">
        <x:v>Oil, Gas &amp; Petrochemicals</x:v>
      </x:c>
      <x:c r="F13636" s="13" t="str">
        <x:v>Deep Cyclicals</x:v>
      </x:c>
      <x:c r="G13636" s="13" t="str">
        <x:v>grid_jx40wu4i.xlsx</x:v>
      </x:c>
    </x:row>
    <x:row r="13637">
      <x:c r="A13637" s="15" t="n">
        <x:v>46143</x:v>
      </x:c>
      <x:c r="B13637" s="13" t="str">
        <x:v>BRAVA ENERGIA</x:v>
      </x:c>
      <x:c r="C13637" s="16" t="n">
        <x:v>1721.2058666082</x:v>
      </x:c>
      <x:c r="D13637" s="13" t="str">
        <x:v>Oil, Gas &amp; Petrochemicals</x:v>
      </x:c>
      <x:c r="E13637" s="13" t="str">
        <x:v>Oil, Gas &amp; Petrochemicals</x:v>
      </x:c>
      <x:c r="F13637" s="13" t="str">
        <x:v>Deep Cyclicals</x:v>
      </x:c>
      <x:c r="G13637" s="13" t="str">
        <x:v>grid_jx40wu4i.xlsx</x:v>
      </x:c>
    </x:row>
    <x:row r="13638">
      <x:c r="A13638" s="15" t="n">
        <x:v>46143</x:v>
      </x:c>
      <x:c r="B13638" s="13" t="str">
        <x:v>COSAN SA</x:v>
      </x:c>
      <x:c r="C13638" s="16" t="n">
        <x:v>2110.8855962301</x:v>
      </x:c>
      <x:c r="D13638" s="13" t="str">
        <x:v>Oil, Gas &amp; Petrochemicals</x:v>
      </x:c>
      <x:c r="E13638" s="13" t="str">
        <x:v>Oil, Gas &amp; Petrochemicals</x:v>
      </x:c>
      <x:c r="F13638" s="13" t="str">
        <x:v>Deep Cyclicals</x:v>
      </x:c>
      <x:c r="G13638" s="13" t="str">
        <x:v>grid_jx40wu4i.xlsx</x:v>
      </x:c>
    </x:row>
    <x:row r="13639">
      <x:c r="A13639" s="15" t="n">
        <x:v>46143</x:v>
      </x:c>
      <x:c r="B13639" s="13" t="str">
        <x:v>PETROBRAS - PETROLEO BRAS</x:v>
      </x:c>
      <x:c r="C13639" s="16" t="n">
        <x:v>126941.601410455</x:v>
      </x:c>
      <x:c r="D13639" s="13" t="str">
        <x:v>Oil, Gas &amp; Petrochemicals</x:v>
      </x:c>
      <x:c r="E13639" s="13" t="str">
        <x:v>Oil, Gas &amp; Petrochemicals</x:v>
      </x:c>
      <x:c r="F13639" s="13" t="str">
        <x:v>Deep Cyclicals</x:v>
      </x:c>
      <x:c r="G13639" s="13" t="str">
        <x:v>grid_jx40wu4i.xlsx</x:v>
      </x:c>
    </x:row>
    <x:row r="13640">
      <x:c r="A13640" s="15" t="n">
        <x:v>46143</x:v>
      </x:c>
      <x:c r="B13640" s="13" t="str">
        <x:v>PETRORECONCAVO SA</x:v>
      </x:c>
      <x:c r="C13640" s="16" t="n">
        <x:v>623.8624657534</x:v>
      </x:c>
      <x:c r="D13640" s="13" t="str">
        <x:v>Oil, Gas &amp; Petrochemicals</x:v>
      </x:c>
      <x:c r="E13640" s="13" t="str">
        <x:v>Oil, Gas &amp; Petrochemicals</x:v>
      </x:c>
      <x:c r="F13640" s="13" t="str">
        <x:v>Deep Cyclicals</x:v>
      </x:c>
      <x:c r="G13640" s="13" t="str">
        <x:v>grid_jx40wu4i.xlsx</x:v>
      </x:c>
    </x:row>
    <x:row r="13641">
      <x:c r="A13641" s="15" t="n">
        <x:v>46143</x:v>
      </x:c>
      <x:c r="B13641" s="13" t="str">
        <x:v>PRIO SA</x:v>
      </x:c>
      <x:c r="C13641" s="16" t="n">
        <x:v>8158.5147160548</x:v>
      </x:c>
      <x:c r="D13641" s="13" t="str">
        <x:v>Oil, Gas &amp; Petrochemicals</x:v>
      </x:c>
      <x:c r="E13641" s="13" t="str">
        <x:v>Oil, Gas &amp; Petrochemicals</x:v>
      </x:c>
      <x:c r="F13641" s="13" t="str">
        <x:v>Deep Cyclicals</x:v>
      </x:c>
      <x:c r="G13641" s="13" t="str">
        <x:v>grid_jx40wu4i.xlsx</x:v>
      </x:c>
    </x:row>
    <x:row r="13642">
      <x:c r="A13642" s="15" t="n">
        <x:v>46143</x:v>
      </x:c>
      <x:c r="B13642" s="13" t="str">
        <x:v>ULTRAPAR PARTICIPACOES SA</x:v>
      </x:c>
      <x:c r="C13642" s="16" t="n">
        <x:v>2942.9523154411</x:v>
      </x:c>
      <x:c r="D13642" s="13" t="str">
        <x:v>Oil, Gas &amp; Petrochemicals</x:v>
      </x:c>
      <x:c r="E13642" s="13" t="str">
        <x:v>Oil, Gas &amp; Petrochemicals</x:v>
      </x:c>
      <x:c r="F13642" s="13" t="str">
        <x:v>Deep Cyclicals</x:v>
      </x:c>
      <x:c r="G13642" s="13" t="str">
        <x:v>grid_jx40wu4i.xlsx</x:v>
      </x:c>
    </x:row>
    <x:row r="13643">
      <x:c r="A13643" s="15" t="n">
        <x:v>46143</x:v>
      </x:c>
      <x:c r="B13643" s="13" t="str">
        <x:v>VIBRA ENERGIA SA</x:v>
      </x:c>
      <x:c r="C13643" s="16" t="n">
        <x:v>3646.4918864658</x:v>
      </x:c>
      <x:c r="D13643" s="13" t="str">
        <x:v>Oil, Gas &amp; Petrochemicals</x:v>
      </x:c>
      <x:c r="E13643" s="13" t="str">
        <x:v>Oil, Gas &amp; Petrochemicals</x:v>
      </x:c>
      <x:c r="F13643" s="13" t="str">
        <x:v>Deep Cyclicals</x:v>
      </x:c>
      <x:c r="G13643" s="13" t="str">
        <x:v>grid_jx40wu4i.xlsx</x:v>
      </x:c>
    </x:row>
    <x:row r="13644">
      <x:c r="A13644" s="15" t="n">
        <x:v>46143</x:v>
      </x:c>
      <x:c r="B13644" s="13" t="str">
        <x:v>KLABIN SA - UNIT</x:v>
      </x:c>
      <x:c r="C13644" s="16" t="n">
        <x:v>1807.7652318685</x:v>
      </x:c>
      <x:c r="D13644" s="13" t="str">
        <x:v>Pulp &amp; Paper</x:v>
      </x:c>
      <x:c r="E13644" s="13" t="str">
        <x:v>Pulp &amp; Paper</x:v>
      </x:c>
      <x:c r="F13644" s="13" t="str">
        <x:v>Deep Cyclicals</x:v>
      </x:c>
      <x:c r="G13644" s="13" t="str">
        <x:v>grid_jx40wu4i.xlsx</x:v>
      </x:c>
    </x:row>
    <x:row r="13645">
      <x:c r="A13645" s="15" t="n">
        <x:v>46143</x:v>
      </x:c>
      <x:c r="B13645" s="13" t="str">
        <x:v>SUZANO SA</x:v>
      </x:c>
      <x:c r="C13645" s="16" t="n">
        <x:v>8319.0842480219</x:v>
      </x:c>
      <x:c r="D13645" s="13" t="str">
        <x:v>Pulp &amp; Paper</x:v>
      </x:c>
      <x:c r="E13645" s="13" t="str">
        <x:v>Pulp &amp; Paper</x:v>
      </x:c>
      <x:c r="F13645" s="13" t="str">
        <x:v>Deep Cyclicals</x:v>
      </x:c>
      <x:c r="G13645" s="13" t="str">
        <x:v>grid_jx40wu4i.xlsx</x:v>
      </x:c>
    </x:row>
    <x:row r="13646">
      <x:c r="A13646" s="15" t="n">
        <x:v>46143</x:v>
      </x:c>
      <x:c r="B13646" s="13" t="str">
        <x:v>AZZAS 2154 SA</x:v>
      </x:c>
      <x:c r="C13646" s="16" t="n">
        <x:v>702.3901233096</x:v>
      </x:c>
      <x:c r="D13646" s="13" t="str">
        <x:v>Retail</x:v>
      </x:c>
      <x:c r="E13646" s="13" t="str">
        <x:v>Retail</x:v>
      </x:c>
      <x:c r="F13646" s="13" t="str">
        <x:v>Early Cyclicals</x:v>
      </x:c>
      <x:c r="G13646" s="13" t="str">
        <x:v>grid_jx40wu4i.xlsx</x:v>
      </x:c>
    </x:row>
    <x:row r="13647">
      <x:c r="A13647" s="15" t="n">
        <x:v>46143</x:v>
      </x:c>
      <x:c r="B13647" s="13" t="str">
        <x:v>C&amp;A MODAS LTDA</x:v>
      </x:c>
      <x:c r="C13647" s="16" t="n">
        <x:v>556.265382926</x:v>
      </x:c>
      <x:c r="D13647" s="13" t="str">
        <x:v>Retail</x:v>
      </x:c>
      <x:c r="E13647" s="13" t="str">
        <x:v>Retail</x:v>
      </x:c>
      <x:c r="F13647" s="13" t="str">
        <x:v>Early Cyclicals</x:v>
      </x:c>
      <x:c r="G13647" s="13" t="str">
        <x:v>grid_jx40wu4i.xlsx</x:v>
      </x:c>
    </x:row>
    <x:row r="13648">
      <x:c r="A13648" s="15" t="n">
        <x:v>46143</x:v>
      </x:c>
      <x:c r="B13648" s="13" t="str">
        <x:v>LOJAS RENNER S.A.</x:v>
      </x:c>
      <x:c r="C13648" s="16" t="n">
        <x:v>1634.693195748</x:v>
      </x:c>
      <x:c r="D13648" s="13" t="str">
        <x:v>Retail</x:v>
      </x:c>
      <x:c r="E13648" s="13" t="str">
        <x:v>Retail</x:v>
      </x:c>
      <x:c r="F13648" s="13" t="str">
        <x:v>Early Cyclicals</x:v>
      </x:c>
      <x:c r="G13648" s="13" t="str">
        <x:v>grid_jx40wu4i.xlsx</x:v>
      </x:c>
    </x:row>
    <x:row r="13649">
      <x:c r="A13649" s="15" t="n">
        <x:v>46143</x:v>
      </x:c>
      <x:c r="B13649" s="13" t="str">
        <x:v>MAGAZINE LUIZA SA</x:v>
      </x:c>
      <x:c r="C13649" s="16" t="n">
        <x:v>382.9775019836</x:v>
      </x:c>
      <x:c r="D13649" s="13" t="str">
        <x:v>Retail</x:v>
      </x:c>
      <x:c r="E13649" s="13" t="str">
        <x:v>Retail</x:v>
      </x:c>
      <x:c r="F13649" s="13" t="str">
        <x:v>Early Cyclicals</x:v>
      </x:c>
      <x:c r="G13649" s="13" t="str">
        <x:v>grid_jx40wu4i.xlsx</x:v>
      </x:c>
    </x:row>
    <x:row r="13650">
      <x:c r="A13650" s="15" t="n">
        <x:v>46143</x:v>
      </x:c>
      <x:c r="B13650" s="13" t="str">
        <x:v>NATURA COSMETICOS SA</x:v>
      </x:c>
      <x:c r="C13650" s="16" t="n">
        <x:v>1283.0063675616</x:v>
      </x:c>
      <x:c r="D13650" s="13" t="str">
        <x:v>Retail</x:v>
      </x:c>
      <x:c r="E13650" s="13" t="str">
        <x:v>Retail</x:v>
      </x:c>
      <x:c r="F13650" s="13" t="str">
        <x:v>Early Cyclicals</x:v>
      </x:c>
      <x:c r="G13650" s="13" t="str">
        <x:v>grid_jx40wu4i.xlsx</x:v>
      </x:c>
    </x:row>
    <x:row r="13651">
      <x:c r="A13651" s="15" t="n">
        <x:v>46143</x:v>
      </x:c>
      <x:c r="B13651" s="13" t="str">
        <x:v>RAIA DROGASIL SA</x:v>
      </x:c>
      <x:c r="C13651" s="16" t="n">
        <x:v>1912.922758663</x:v>
      </x:c>
      <x:c r="D13651" s="13" t="str">
        <x:v>Retail</x:v>
      </x:c>
      <x:c r="E13651" s="13" t="str">
        <x:v>Retail</x:v>
      </x:c>
      <x:c r="F13651" s="13" t="str">
        <x:v>Early Cyclicals</x:v>
      </x:c>
      <x:c r="G13651" s="13" t="str">
        <x:v>grid_jx40wu4i.xlsx</x:v>
      </x:c>
    </x:row>
    <x:row r="13652">
      <x:c r="A13652" s="15" t="n">
        <x:v>46143</x:v>
      </x:c>
      <x:c r="B13652" s="13" t="str">
        <x:v>SENDAS DISTRIBUIDORA SA</x:v>
      </x:c>
      <x:c r="C13652" s="16" t="n">
        <x:v>1274.6197938849</x:v>
      </x:c>
      <x:c r="D13652" s="13" t="str">
        <x:v>Retail</x:v>
      </x:c>
      <x:c r="E13652" s="13" t="str">
        <x:v>Retail</x:v>
      </x:c>
      <x:c r="F13652" s="13" t="str">
        <x:v>Early Cyclicals</x:v>
      </x:c>
      <x:c r="G13652" s="13" t="str">
        <x:v>grid_jx40wu4i.xlsx</x:v>
      </x:c>
    </x:row>
    <x:row r="13653">
      <x:c r="A13653" s="15" t="n">
        <x:v>46143</x:v>
      </x:c>
      <x:c r="B13653" s="13" t="str">
        <x:v>SMARTFIT - ORDINARY</x:v>
      </x:c>
      <x:c r="C13653" s="16" t="n">
        <x:v>1022.8224298082</x:v>
      </x:c>
      <x:c r="D13653" s="13" t="str">
        <x:v>Retail</x:v>
      </x:c>
      <x:c r="E13653" s="13" t="str">
        <x:v>Retail</x:v>
      </x:c>
      <x:c r="F13653" s="13" t="str">
        <x:v>Early Cyclicals</x:v>
      </x:c>
      <x:c r="G13653" s="13" t="str">
        <x:v>grid_jx40wu4i.xlsx</x:v>
      </x:c>
    </x:row>
    <x:row r="13654">
      <x:c r="A13654" s="15" t="n">
        <x:v>46143</x:v>
      </x:c>
      <x:c r="B13654" s="13" t="str">
        <x:v>VIVARA PARTICIPACOES SA</x:v>
      </x:c>
      <x:c r="C13654" s="16" t="n">
        <x:v>726.5894808548</x:v>
      </x:c>
      <x:c r="D13654" s="13" t="str">
        <x:v>Retail</x:v>
      </x:c>
      <x:c r="E13654" s="13" t="str">
        <x:v>Retail</x:v>
      </x:c>
      <x:c r="F13654" s="13" t="str">
        <x:v>Early Cyclicals</x:v>
      </x:c>
      <x:c r="G13654" s="13" t="str">
        <x:v>grid_jx40wu4i.xlsx</x:v>
      </x:c>
    </x:row>
    <x:row r="13655">
      <x:c r="A13655" s="15" t="n">
        <x:v>46143</x:v>
      </x:c>
      <x:c r="B13655" s="13" t="str">
        <x:v>CIA SANEAMENTO BASICO DE SP</x:v>
      </x:c>
      <x:c r="C13655" s="16" t="n">
        <x:v>7596.6842318904</x:v>
      </x:c>
      <x:c r="D13655" s="13" t="str">
        <x:v>Sanitation</x:v>
      </x:c>
      <x:c r="E13655" s="13" t="str">
        <x:v>Utilities</x:v>
      </x:c>
      <x:c r="F13655" s="13" t="str">
        <x:v>Defensives</x:v>
      </x:c>
      <x:c r="G13655" s="13" t="str">
        <x:v>grid_jx40wu4i.xlsx</x:v>
      </x:c>
    </x:row>
    <x:row r="13656">
      <x:c r="A13656" s="15" t="n">
        <x:v>46143</x:v>
      </x:c>
      <x:c r="B13656" s="13" t="str">
        <x:v>CIA SANEAMENTO MINAS GERAIS</x:v>
      </x:c>
      <x:c r="C13656" s="16" t="n">
        <x:v>1577.1567331945</x:v>
      </x:c>
      <x:c r="D13656" s="13" t="str">
        <x:v>Sanitation</x:v>
      </x:c>
      <x:c r="E13656" s="13" t="str">
        <x:v>Utilities</x:v>
      </x:c>
      <x:c r="F13656" s="13" t="str">
        <x:v>Defensives</x:v>
      </x:c>
      <x:c r="G13656" s="13" t="str">
        <x:v>grid_jx40wu4i.xlsx</x:v>
      </x:c>
    </x:row>
    <x:row r="13657">
      <x:c r="A13657" s="15" t="n">
        <x:v>46143</x:v>
      </x:c>
      <x:c r="B13657" s="13" t="str">
        <x:v>TIM SA</x:v>
      </x:c>
      <x:c r="C13657" s="16" t="n">
        <x:v>4890.9103608986</x:v>
      </x:c>
      <x:c r="D13657" s="13" t="str">
        <x:v>TMT</x:v>
      </x:c>
      <x:c r="E13657" s="13" t="str">
        <x:v>TMT</x:v>
      </x:c>
      <x:c r="F13657" s="13" t="str">
        <x:v>Early Cyclicals</x:v>
      </x:c>
      <x:c r="G13657" s="13" t="str">
        <x:v>grid_jx40wu4i.xlsx</x:v>
      </x:c>
    </x:row>
    <x:row r="13658">
      <x:c r="A13658" s="15" t="n">
        <x:v>46143</x:v>
      </x:c>
      <x:c r="B13658" s="13" t="str">
        <x:v>TOTVS SA</x:v>
      </x:c>
      <x:c r="C13658" s="16" t="n">
        <x:v>1201.9640923178</x:v>
      </x:c>
      <x:c r="D13658" s="13" t="str">
        <x:v>TMT</x:v>
      </x:c>
      <x:c r="E13658" s="13" t="str">
        <x:v>TMT</x:v>
      </x:c>
      <x:c r="F13658" s="13" t="str">
        <x:v>Early Cyclicals</x:v>
      </x:c>
      <x:c r="G13658" s="13" t="str">
        <x:v>grid_jx40wu4i.xlsx</x:v>
      </x:c>
    </x:row>
    <x:row r="13659">
      <x:c r="A13659" s="15" t="n">
        <x:v>46143</x:v>
      </x:c>
      <x:c r="B13659" s="13" t="str">
        <x:v>LOCALIZA RENT A CAR</x:v>
      </x:c>
      <x:c r="C13659" s="16" t="n">
        <x:v>4790.3162368</x:v>
      </x:c>
      <x:c r="D13659" s="13" t="str">
        <x:v>Transportation</x:v>
      </x:c>
      <x:c r="E13659" s="13" t="str">
        <x:v>Transportation</x:v>
      </x:c>
      <x:c r="F13659" s="13" t="str">
        <x:v>Deep Cyclicals</x:v>
      </x:c>
      <x:c r="G13659" s="13" t="str">
        <x:v>grid_jx40wu4i.xlsx</x:v>
      </x:c>
    </x:row>
    <x:row r="13660">
      <x:c r="A13660" s="15" t="n">
        <x:v>46143</x:v>
      </x:c>
      <x:c r="B13660" s="13" t="str">
        <x:v>MOTIVA INFRAESTRUTURA DE MOB</x:v>
      </x:c>
      <x:c r="C13660" s="16" t="n">
        <x:v>2669.163923989</x:v>
      </x:c>
      <x:c r="D13660" s="13" t="str">
        <x:v>Transportation</x:v>
      </x:c>
      <x:c r="E13660" s="13" t="str">
        <x:v>Transportation</x:v>
      </x:c>
      <x:c r="F13660" s="13" t="str">
        <x:v>Deep Cyclicals</x:v>
      </x:c>
      <x:c r="G13660" s="13" t="str">
        <x:v>grid_jx40wu4i.xlsx</x:v>
      </x:c>
    </x:row>
    <x:row r="13661">
      <x:c r="A13661" s="15" t="n">
        <x:v>46143</x:v>
      </x:c>
      <x:c r="B13661" s="13" t="str">
        <x:v>RUMO SA</x:v>
      </x:c>
      <x:c r="C13661" s="16" t="n">
        <x:v>2186.6011718137</x:v>
      </x:c>
      <x:c r="D13661" s="13" t="str">
        <x:v>Transportation</x:v>
      </x:c>
      <x:c r="E13661" s="13" t="str">
        <x:v>Transportation</x:v>
      </x:c>
      <x:c r="F13661" s="13" t="str">
        <x:v>Deep Cyclicals</x:v>
      </x:c>
      <x:c r="G13661" s="13" t="str">
        <x:v>grid_jx40wu4i.xlsx</x:v>
      </x:c>
    </x:row>
    <x:row r="13662">
      <x:c r="A13662" s="15" t="n">
        <x:v>46143</x:v>
      </x:c>
      <x:c r="B13662" s="13" t="str">
        <x:v>VAMOS LOCACAO DE CAMINHOES M</x:v>
      </x:c>
      <x:c r="C13662" s="16" t="n">
        <x:v>565.9588430904</x:v>
      </x:c>
      <x:c r="D13662" s="13" t="str">
        <x:v>Transportation</x:v>
      </x:c>
      <x:c r="E13662" s="13" t="str">
        <x:v>Transportation</x:v>
      </x:c>
      <x:c r="F13662" s="13" t="str">
        <x:v>Deep Cyclicals</x:v>
      </x:c>
      <x:c r="G13662" s="13" t="str">
        <x:v>grid_jx40wu4i.xlsx</x:v>
      </x:c>
    </x:row>
    <x:row r="13663">
      <x:c r="A13663" s="15" t="n">
        <x:v>46143</x:v>
      </x:c>
      <x:c r="B13663" s="13" t="str">
        <x:v>AUREN ENERGIA SA - ON</x:v>
      </x:c>
      <x:c r="C13663" s="16" t="n">
        <x:v>-494.3696254247</x:v>
      </x:c>
      <x:c r="D13663" s="13" t="str">
        <x:v>Utilities &amp; Energy</x:v>
      </x:c>
      <x:c r="E13663" s="13" t="str">
        <x:v>Utilities</x:v>
      </x:c>
      <x:c r="F13663" s="13" t="str">
        <x:v>Defensives</x:v>
      </x:c>
      <x:c r="G13663" s="13" t="str">
        <x:v>grid_jx40wu4i.xlsx</x:v>
      </x:c>
    </x:row>
    <x:row r="13664">
      <x:c r="A13664" s="15" t="n">
        <x:v>46143</x:v>
      </x:c>
      <x:c r="B13664" s="13" t="str">
        <x:v>AXIA ENERGIA SA</x:v>
      </x:c>
      <x:c r="C13664" s="16" t="n">
        <x:v>14713.2134638466</x:v>
      </x:c>
      <x:c r="D13664" s="13" t="str">
        <x:v>Utilities &amp; Energy</x:v>
      </x:c>
      <x:c r="E13664" s="13" t="str">
        <x:v>Utilities</x:v>
      </x:c>
      <x:c r="F13664" s="13" t="str">
        <x:v>Defensives</x:v>
      </x:c>
      <x:c r="G13664" s="13" t="str">
        <x:v>grid_jx40wu4i.xlsx</x:v>
      </x:c>
    </x:row>
    <x:row r="13665">
      <x:c r="A13665" s="15" t="n">
        <x:v>46143</x:v>
      </x:c>
      <x:c r="B13665" s="13" t="str">
        <x:v>AXIA ENERGIA-PR B</x:v>
      </x:c>
      <x:c r="C13665" s="16" t="n">
        <x:v>14713.2134638466</x:v>
      </x:c>
      <x:c r="D13665" s="13" t="str">
        <x:v>Utilities &amp; Energy</x:v>
      </x:c>
      <x:c r="E13665" s="13" t="str">
        <x:v>Utilities</x:v>
      </x:c>
      <x:c r="F13665" s="13" t="str">
        <x:v>Defensives</x:v>
      </x:c>
      <x:c r="G13665" s="13" t="str">
        <x:v>grid_jx40wu4i.xlsx</x:v>
      </x:c>
    </x:row>
    <x:row r="13666">
      <x:c r="A13666" s="15" t="n">
        <x:v>46143</x:v>
      </x:c>
      <x:c r="B13666" s="13" t="str">
        <x:v>CIA ENERGETICA MINAS GER-PRF</x:v>
      </x:c>
      <x:c r="C13666" s="16" t="n">
        <x:v>3426.6229928329</x:v>
      </x:c>
      <x:c r="D13666" s="13" t="str">
        <x:v>Utilities &amp; Energy</x:v>
      </x:c>
      <x:c r="E13666" s="13" t="str">
        <x:v>Utilities</x:v>
      </x:c>
      <x:c r="F13666" s="13" t="str">
        <x:v>Defensives</x:v>
      </x:c>
      <x:c r="G13666" s="13" t="str">
        <x:v>grid_jx40wu4i.xlsx</x:v>
      </x:c>
    </x:row>
    <x:row r="13667">
      <x:c r="A13667" s="15" t="n">
        <x:v>46143</x:v>
      </x:c>
      <x:c r="B13667" s="13" t="str">
        <x:v>COMPANHIA PARANAENSE DE ENER</x:v>
      </x:c>
      <x:c r="C13667" s="16" t="n">
        <x:v>3084.5021478575</x:v>
      </x:c>
      <x:c r="D13667" s="13" t="str">
        <x:v>Utilities &amp; Energy</x:v>
      </x:c>
      <x:c r="E13667" s="13" t="str">
        <x:v>Utilities</x:v>
      </x:c>
      <x:c r="F13667" s="13" t="str">
        <x:v>Defensives</x:v>
      </x:c>
      <x:c r="G13667" s="13" t="str">
        <x:v>grid_jx40wu4i.xlsx</x:v>
      </x:c>
    </x:row>
    <x:row r="13668">
      <x:c r="A13668" s="15" t="n">
        <x:v>46143</x:v>
      </x:c>
      <x:c r="B13668" s="13" t="str">
        <x:v>CPFL ENERGIA SA</x:v>
      </x:c>
      <x:c r="C13668" s="16" t="n">
        <x:v>5396.0905742027</x:v>
      </x:c>
      <x:c r="D13668" s="13" t="str">
        <x:v>Utilities &amp; Energy</x:v>
      </x:c>
      <x:c r="E13668" s="13" t="str">
        <x:v>Utilities</x:v>
      </x:c>
      <x:c r="F13668" s="13" t="str">
        <x:v>Defensives</x:v>
      </x:c>
      <x:c r="G13668" s="13" t="str">
        <x:v>grid_jx40wu4i.xlsx</x:v>
      </x:c>
    </x:row>
    <x:row r="13669">
      <x:c r="A13669" s="15" t="n">
        <x:v>46143</x:v>
      </x:c>
      <x:c r="B13669" s="13" t="str">
        <x:v>ENERGISA SA-UNITS</x:v>
      </x:c>
      <x:c r="C13669" s="16" t="n">
        <x:v>1460.8907530521</x:v>
      </x:c>
      <x:c r="D13669" s="13" t="str">
        <x:v>Utilities &amp; Energy</x:v>
      </x:c>
      <x:c r="E13669" s="13" t="str">
        <x:v>Utilities</x:v>
      </x:c>
      <x:c r="F13669" s="13" t="str">
        <x:v>Defensives</x:v>
      </x:c>
      <x:c r="G13669" s="13" t="str">
        <x:v>grid_jx40wu4i.xlsx</x:v>
      </x:c>
    </x:row>
    <x:row r="13670">
      <x:c r="A13670" s="15" t="n">
        <x:v>46143</x:v>
      </x:c>
      <x:c r="B13670" s="13" t="str">
        <x:v>ENEVA SA</x:v>
      </x:c>
      <x:c r="C13670" s="16" t="n">
        <x:v>1107.8420066192</x:v>
      </x:c>
      <x:c r="D13670" s="13" t="str">
        <x:v>Utilities &amp; Energy</x:v>
      </x:c>
      <x:c r="E13670" s="13" t="str">
        <x:v>Utilities</x:v>
      </x:c>
      <x:c r="F13670" s="13" t="str">
        <x:v>Defensives</x:v>
      </x:c>
      <x:c r="G13670" s="13" t="str">
        <x:v>grid_jx40wu4i.xlsx</x:v>
      </x:c>
    </x:row>
    <x:row r="13671">
      <x:c r="A13671" s="15" t="n">
        <x:v>46143</x:v>
      </x:c>
      <x:c r="B13671" s="13" t="str">
        <x:v>ENGIE BRASIL ENERGIA SA</x:v>
      </x:c>
      <x:c r="C13671" s="16" t="n">
        <x:v>3321.405887474</x:v>
      </x:c>
      <x:c r="D13671" s="13" t="str">
        <x:v>Utilities &amp; Energy</x:v>
      </x:c>
      <x:c r="E13671" s="13" t="str">
        <x:v>Utilities</x:v>
      </x:c>
      <x:c r="F13671" s="13" t="str">
        <x:v>Defensives</x:v>
      </x:c>
      <x:c r="G13671" s="13" t="str">
        <x:v>grid_jx40wu4i.xlsx</x:v>
      </x:c>
    </x:row>
    <x:row r="13672">
      <x:c r="A13672" s="15" t="n">
        <x:v>46143</x:v>
      </x:c>
      <x:c r="B13672" s="13" t="str">
        <x:v>EQUATORIAL SA - ORD</x:v>
      </x:c>
      <x:c r="C13672" s="16" t="n">
        <x:v>3306.7070555178</x:v>
      </x:c>
      <x:c r="D13672" s="13" t="str">
        <x:v>Utilities &amp; Energy</x:v>
      </x:c>
      <x:c r="E13672" s="13" t="str">
        <x:v>Utilities</x:v>
      </x:c>
      <x:c r="F13672" s="13" t="str">
        <x:v>Defensives</x:v>
      </x:c>
      <x:c r="G13672" s="13" t="str">
        <x:v>grid_jx40wu4i.xlsx</x:v>
      </x:c>
    </x:row>
    <x:row r="13673">
      <x:c r="A13673" s="15" t="n">
        <x:v>46143</x:v>
      </x:c>
      <x:c r="B13673" s="13" t="str">
        <x:v>ISA ENERGIA BRASIL SA</x:v>
      </x:c>
      <x:c r="C13673" s="16" t="n">
        <x:v>1658.3420952548</x:v>
      </x:c>
      <x:c r="D13673" s="13" t="str">
        <x:v>Utilities &amp; Energy</x:v>
      </x:c>
      <x:c r="E13673" s="13" t="str">
        <x:v>Utilities</x:v>
      </x:c>
      <x:c r="F13673" s="13" t="str">
        <x:v>Defensives</x:v>
      </x:c>
      <x:c r="G13673" s="13" t="str">
        <x:v>grid_jx40wu4i.xlsx</x:v>
      </x:c>
    </x:row>
    <x:row r="13674">
      <x:c r="A13674" s="15" t="n">
        <x:v>46143</x:v>
      </x:c>
      <x:c r="B13674" s="13" t="str">
        <x:v>TRANSMISSORA ALIANCA DE-UNIT</x:v>
      </x:c>
      <x:c r="C13674" s="16" t="n">
        <x:v>1275.9016269151</x:v>
      </x:c>
      <x:c r="D13674" s="13" t="str">
        <x:v>Utilities &amp; Energy</x:v>
      </x:c>
      <x:c r="E13674" s="13" t="str">
        <x:v>Utilities</x:v>
      </x:c>
      <x:c r="F13674" s="13" t="str">
        <x:v>Defensives</x:v>
      </x:c>
      <x:c r="G13674" s="13" t="str">
        <x:v>grid_jx40wu4i.xlsx</x:v>
      </x:c>
    </x:row>
    <x:row r="13675">
      <x:c r="A13675" s="15" t="n">
        <x:v>46174</x:v>
      </x:c>
      <x:c r="B13675" s="13" t="str">
        <x:v>SLC AGRICOLA SA</x:v>
      </x:c>
      <x:c r="C13675" s="16" t="n">
        <x:v>695.4402531945</x:v>
      </x:c>
      <x:c r="D13675" s="13" t="str">
        <x:v>Agribusiness</x:v>
      </x:c>
      <x:c r="E13675" s="13" t="str">
        <x:v>Agri, Food &amp; Beverages</x:v>
      </x:c>
      <x:c r="F13675" s="13" t="str">
        <x:v>Defensives</x:v>
      </x:c>
      <x:c r="G13675" s="13" t="str">
        <x:v>grid_jx40wu4i.xlsx</x:v>
      </x:c>
    </x:row>
    <x:row r="13676">
      <x:c r="A13676" s="15" t="n">
        <x:v>46174</x:v>
      </x:c>
      <x:c r="B13676" s="13" t="str">
        <x:v>BANCO BRADESCO S.A.</x:v>
      </x:c>
      <x:c r="C13676" s="16" t="n">
        <x:v>29939.6534608658</x:v>
      </x:c>
      <x:c r="D13676" s="13" t="str">
        <x:v>Banks</x:v>
      </x:c>
      <x:c r="E13676" s="13" t="str">
        <x:v>Banks</x:v>
      </x:c>
      <x:c r="F13676" s="13" t="str">
        <x:v>Financials</x:v>
      </x:c>
      <x:c r="G13676" s="13" t="str">
        <x:v>grid_jx40wu4i.xlsx</x:v>
      </x:c>
    </x:row>
    <x:row r="13677">
      <x:c r="A13677" s="15" t="n">
        <x:v>46174</x:v>
      </x:c>
      <x:c r="B13677" s="13" t="str">
        <x:v>BANCO BRADESCO SA-PREF</x:v>
      </x:c>
      <x:c r="C13677" s="16" t="n">
        <x:v>29939.6534608658</x:v>
      </x:c>
      <x:c r="D13677" s="13" t="str">
        <x:v>Banks</x:v>
      </x:c>
      <x:c r="E13677" s="13" t="str">
        <x:v>Banks</x:v>
      </x:c>
      <x:c r="F13677" s="13" t="str">
        <x:v>Financials</x:v>
      </x:c>
      <x:c r="G13677" s="13" t="str">
        <x:v>grid_jx40wu4i.xlsx</x:v>
      </x:c>
    </x:row>
    <x:row r="13678">
      <x:c r="A13678" s="15" t="n">
        <x:v>46174</x:v>
      </x:c>
      <x:c r="B13678" s="13" t="str">
        <x:v>BANCO BTG PACTUAL SA-UNIT</x:v>
      </x:c>
      <x:c r="C13678" s="16" t="n">
        <x:v>21350.3887163616</x:v>
      </x:c>
      <x:c r="D13678" s="13" t="str">
        <x:v>Banks</x:v>
      </x:c>
      <x:c r="E13678" s="13" t="str">
        <x:v>Banks</x:v>
      </x:c>
      <x:c r="F13678" s="13" t="str">
        <x:v>Financials</x:v>
      </x:c>
      <x:c r="G13678" s="13" t="str">
        <x:v>grid_jx40wu4i.xlsx</x:v>
      </x:c>
    </x:row>
    <x:row r="13679">
      <x:c r="A13679" s="15" t="n">
        <x:v>46174</x:v>
      </x:c>
      <x:c r="B13679" s="13" t="str">
        <x:v>BANCO DO BRASIL S.A.</x:v>
      </x:c>
      <x:c r="C13679" s="16" t="n">
        <x:v>23598.1851774247</x:v>
      </x:c>
      <x:c r="D13679" s="13" t="str">
        <x:v>Banks</x:v>
      </x:c>
      <x:c r="E13679" s="13" t="str">
        <x:v>Banks</x:v>
      </x:c>
      <x:c r="F13679" s="13" t="str">
        <x:v>Financials</x:v>
      </x:c>
      <x:c r="G13679" s="13" t="str">
        <x:v>grid_jx40wu4i.xlsx</x:v>
      </x:c>
    </x:row>
    <x:row r="13680">
      <x:c r="A13680" s="15" t="n">
        <x:v>46174</x:v>
      </x:c>
      <x:c r="B13680" s="13" t="str">
        <x:v>BANCO SANTANDER  BRASIL-UNIT</x:v>
      </x:c>
      <x:c r="C13680" s="16" t="n">
        <x:v>17650.1431927233</x:v>
      </x:c>
      <x:c r="D13680" s="13" t="str">
        <x:v>Banks</x:v>
      </x:c>
      <x:c r="E13680" s="13" t="str">
        <x:v>Banks</x:v>
      </x:c>
      <x:c r="F13680" s="13" t="str">
        <x:v>Financials</x:v>
      </x:c>
      <x:c r="G13680" s="13" t="str">
        <x:v>grid_jx40wu4i.xlsx</x:v>
      </x:c>
    </x:row>
    <x:row r="13681">
      <x:c r="A13681" s="15" t="n">
        <x:v>46174</x:v>
      </x:c>
      <x:c r="B13681" s="13" t="str">
        <x:v>ITAU UNIBANCO HOLDING S-PREF</x:v>
      </x:c>
      <x:c r="C13681" s="16" t="n">
        <x:v>53914.0398318466</x:v>
      </x:c>
      <x:c r="D13681" s="13" t="str">
        <x:v>Banks</x:v>
      </x:c>
      <x:c r="E13681" s="13" t="str">
        <x:v>Banks</x:v>
      </x:c>
      <x:c r="F13681" s="13" t="str">
        <x:v>Financials</x:v>
      </x:c>
      <x:c r="G13681" s="13" t="str">
        <x:v>grid_jx40wu4i.xlsx</x:v>
      </x:c>
    </x:row>
    <x:row r="13682">
      <x:c r="A13682" s="15" t="n">
        <x:v>46174</x:v>
      </x:c>
      <x:c r="B13682" s="13" t="str">
        <x:v>EMBRAER SA</x:v>
      </x:c>
      <x:c r="C13682" s="16" t="n">
        <x:v>2918.8453256767</x:v>
      </x:c>
      <x:c r="D13682" s="13" t="str">
        <x:v>Capital Goods</x:v>
      </x:c>
      <x:c r="E13682" s="13" t="str">
        <x:v>Capital Goods</x:v>
      </x:c>
      <x:c r="F13682" s="13" t="str">
        <x:v>Deep Cyclicals</x:v>
      </x:c>
      <x:c r="G13682" s="13" t="str">
        <x:v>grid_jx40wu4i.xlsx</x:v>
      </x:c>
    </x:row>
    <x:row r="13683">
      <x:c r="A13683" s="15" t="n">
        <x:v>46174</x:v>
      </x:c>
      <x:c r="B13683" s="13" t="str">
        <x:v>MARCOPOLO SA-PREF</x:v>
      </x:c>
      <x:c r="C13683" s="16" t="n">
        <x:v>1282.9801293151</x:v>
      </x:c>
      <x:c r="D13683" s="13" t="str">
        <x:v>Capital Goods</x:v>
      </x:c>
      <x:c r="E13683" s="13" t="str">
        <x:v>Capital Goods</x:v>
      </x:c>
      <x:c r="F13683" s="13" t="str">
        <x:v>Deep Cyclicals</x:v>
      </x:c>
      <x:c r="G13683" s="13" t="str">
        <x:v>grid_jx40wu4i.xlsx</x:v>
      </x:c>
    </x:row>
    <x:row r="13684">
      <x:c r="A13684" s="15" t="n">
        <x:v>46174</x:v>
      </x:c>
      <x:c r="B13684" s="13" t="str">
        <x:v>WEG SA</x:v>
      </x:c>
      <x:c r="C13684" s="16" t="n">
        <x:v>6975.7522284712</x:v>
      </x:c>
      <x:c r="D13684" s="13" t="str">
        <x:v>Capital Goods</x:v>
      </x:c>
      <x:c r="E13684" s="13" t="str">
        <x:v>Capital Goods</x:v>
      </x:c>
      <x:c r="F13684" s="13" t="str">
        <x:v>Deep Cyclicals</x:v>
      </x:c>
      <x:c r="G13684" s="13" t="str">
        <x:v>grid_jx40wu4i.xlsx</x:v>
      </x:c>
    </x:row>
    <x:row r="13685">
      <x:c r="A13685" s="15" t="n">
        <x:v>46174</x:v>
      </x:c>
      <x:c r="B13685" s="13" t="str">
        <x:v>COGNA EDUCACAO</x:v>
      </x:c>
      <x:c r="C13685" s="16" t="n">
        <x:v>949.1614741041</x:v>
      </x:c>
      <x:c r="D13685" s="13" t="str">
        <x:v>Education</x:v>
      </x:c>
      <x:c r="E13685" s="13" t="str">
        <x:v>Education</x:v>
      </x:c>
      <x:c r="F13685" s="13" t="str">
        <x:v>Early Cyclicals</x:v>
      </x:c>
      <x:c r="G13685" s="13" t="str">
        <x:v>grid_jx40wu4i.xlsx</x:v>
      </x:c>
    </x:row>
    <x:row r="13686">
      <x:c r="A13686" s="15" t="n">
        <x:v>46174</x:v>
      </x:c>
      <x:c r="B13686" s="13" t="str">
        <x:v>YDUQS PARTICIPACOES SA</x:v>
      </x:c>
      <x:c r="C13686" s="16" t="n">
        <x:v>487.1457209863</x:v>
      </x:c>
      <x:c r="D13686" s="13" t="str">
        <x:v>Education</x:v>
      </x:c>
      <x:c r="E13686" s="13" t="str">
        <x:v>Education</x:v>
      </x:c>
      <x:c r="F13686" s="13" t="str">
        <x:v>Early Cyclicals</x:v>
      </x:c>
      <x:c r="G13686" s="13" t="str">
        <x:v>grid_jx40wu4i.xlsx</x:v>
      </x:c>
    </x:row>
    <x:row r="13687">
      <x:c r="A13687" s="15" t="n">
        <x:v>46174</x:v>
      </x:c>
      <x:c r="B13687" s="13" t="str">
        <x:v>B3 SA-BRASIL BOLSA BALCAO</x:v>
      </x:c>
      <x:c r="C13687" s="16" t="n">
        <x:v>6279.2219339397</x:v>
      </x:c>
      <x:c r="D13687" s="13" t="str">
        <x:v>Financials Non-Banks</x:v>
      </x:c>
      <x:c r="E13687" s="13" t="str">
        <x:v>Financials Non-Banks</x:v>
      </x:c>
      <x:c r="F13687" s="13" t="str">
        <x:v>Financials</x:v>
      </x:c>
      <x:c r="G13687" s="13" t="str">
        <x:v>grid_jx40wu4i.xlsx</x:v>
      </x:c>
    </x:row>
    <x:row r="13688">
      <x:c r="A13688" s="15" t="n">
        <x:v>46174</x:v>
      </x:c>
      <x:c r="B13688" s="13" t="str">
        <x:v>BB SEGURIDADE PARTICIPACOES</x:v>
      </x:c>
      <x:c r="C13688" s="16" t="n">
        <x:v>8664.3780650082</x:v>
      </x:c>
      <x:c r="D13688" s="13" t="str">
        <x:v>Financials Non-Banks</x:v>
      </x:c>
      <x:c r="E13688" s="13" t="str">
        <x:v>Financials Non-Banks</x:v>
      </x:c>
      <x:c r="F13688" s="13" t="str">
        <x:v>Financials</x:v>
      </x:c>
      <x:c r="G13688" s="13" t="str">
        <x:v>grid_jx40wu4i.xlsx</x:v>
      </x:c>
    </x:row>
    <x:row r="13689">
      <x:c r="A13689" s="15" t="n">
        <x:v>46174</x:v>
      </x:c>
      <x:c r="B13689" s="13" t="str">
        <x:v>CAIXA SEGURIDADE PARTICIPACO</x:v>
      </x:c>
      <x:c r="C13689" s="16" t="n">
        <x:v>4949.971385863</x:v>
      </x:c>
      <x:c r="D13689" s="13" t="str">
        <x:v>Financials Non-Banks</x:v>
      </x:c>
      <x:c r="E13689" s="13" t="str">
        <x:v>Financials Non-Banks</x:v>
      </x:c>
      <x:c r="F13689" s="13" t="str">
        <x:v>Financials</x:v>
      </x:c>
      <x:c r="G13689" s="13" t="str">
        <x:v>grid_jx40wu4i.xlsx</x:v>
      </x:c>
    </x:row>
    <x:row r="13690">
      <x:c r="A13690" s="15" t="n">
        <x:v>46174</x:v>
      </x:c>
      <x:c r="B13690" s="13" t="str">
        <x:v>ITAUSA SA</x:v>
      </x:c>
      <x:c r="C13690" s="16" t="n">
        <x:v>20314.518317589</x:v>
      </x:c>
      <x:c r="D13690" s="13" t="str">
        <x:v>Financials Non-Banks</x:v>
      </x:c>
      <x:c r="E13690" s="13" t="str">
        <x:v>Financials Non-Banks</x:v>
      </x:c>
      <x:c r="F13690" s="13" t="str">
        <x:v>Financials</x:v>
      </x:c>
      <x:c r="G13690" s="13" t="str">
        <x:v>grid_jx40wu4i.xlsx</x:v>
      </x:c>
    </x:row>
    <x:row r="13691">
      <x:c r="A13691" s="15" t="n">
        <x:v>46174</x:v>
      </x:c>
      <x:c r="B13691" s="13" t="str">
        <x:v>PORTO SEGURO SA</x:v>
      </x:c>
      <x:c r="C13691" s="16" t="n">
        <x:v>3898.1657214247</x:v>
      </x:c>
      <x:c r="D13691" s="13" t="str">
        <x:v>Financials Non-Banks</x:v>
      </x:c>
      <x:c r="E13691" s="13" t="str">
        <x:v>Financials Non-Banks</x:v>
      </x:c>
      <x:c r="F13691" s="13" t="str">
        <x:v>Financials</x:v>
      </x:c>
      <x:c r="G13691" s="13" t="str">
        <x:v>grid_jx40wu4i.xlsx</x:v>
      </x:c>
    </x:row>
    <x:row r="13692">
      <x:c r="A13692" s="15" t="n">
        <x:v>46174</x:v>
      </x:c>
      <x:c r="B13692" s="13" t="str">
        <x:v>AMBEV SA</x:v>
      </x:c>
      <x:c r="C13692" s="16" t="n">
        <x:v>16598.176018937</x:v>
      </x:c>
      <x:c r="D13692" s="13" t="str">
        <x:v>Food &amp; Beverages</x:v>
      </x:c>
      <x:c r="E13692" s="13" t="str">
        <x:v>Agri, Food &amp; Beverages</x:v>
      </x:c>
      <x:c r="F13692" s="13" t="str">
        <x:v>Defensives</x:v>
      </x:c>
      <x:c r="G13692" s="13" t="str">
        <x:v>grid_jx40wu4i.xlsx</x:v>
      </x:c>
    </x:row>
    <x:row r="13693">
      <x:c r="A13693" s="15" t="n">
        <x:v>46174</x:v>
      </x:c>
      <x:c r="B13693" s="13" t="str">
        <x:v>MBRF GLOBAL FOODS COMPANY SA</x:v>
      </x:c>
      <x:c r="C13693" s="16" t="n">
        <x:v>519.0696628603</x:v>
      </x:c>
      <x:c r="D13693" s="13" t="str">
        <x:v>Food &amp; Beverages</x:v>
      </x:c>
      <x:c r="E13693" s="13" t="str">
        <x:v>Agri, Food &amp; Beverages</x:v>
      </x:c>
      <x:c r="F13693" s="13" t="str">
        <x:v>Defensives</x:v>
      </x:c>
      <x:c r="G13693" s="13" t="str">
        <x:v>grid_jx40wu4i.xlsx</x:v>
      </x:c>
    </x:row>
    <x:row r="13694">
      <x:c r="A13694" s="15" t="n">
        <x:v>46174</x:v>
      </x:c>
      <x:c r="B13694" s="13" t="str">
        <x:v>MINERVA SA</x:v>
      </x:c>
      <x:c r="C13694" s="16" t="n">
        <x:v>837.9050122521</x:v>
      </x:c>
      <x:c r="D13694" s="13" t="str">
        <x:v>Food &amp; Beverages</x:v>
      </x:c>
      <x:c r="E13694" s="13" t="str">
        <x:v>Agri, Food &amp; Beverages</x:v>
      </x:c>
      <x:c r="F13694" s="13" t="str">
        <x:v>Defensives</x:v>
      </x:c>
      <x:c r="G13694" s="13" t="str">
        <x:v>grid_jx40wu4i.xlsx</x:v>
      </x:c>
    </x:row>
    <x:row r="13695">
      <x:c r="A13695" s="15" t="n">
        <x:v>46174</x:v>
      </x:c>
      <x:c r="B13695" s="13" t="str">
        <x:v>FLEURY SA</x:v>
      </x:c>
      <x:c r="C13695" s="16" t="n">
        <x:v>744.5871000548</x:v>
      </x:c>
      <x:c r="D13695" s="13" t="str">
        <x:v>Health Care</x:v>
      </x:c>
      <x:c r="E13695" s="13" t="str">
        <x:v>Health Care</x:v>
      </x:c>
      <x:c r="F13695" s="13" t="str">
        <x:v>Defensives</x:v>
      </x:c>
      <x:c r="G13695" s="13" t="str">
        <x:v>grid_jx40wu4i.xlsx</x:v>
      </x:c>
    </x:row>
    <x:row r="13696">
      <x:c r="A13696" s="15" t="n">
        <x:v>46174</x:v>
      </x:c>
      <x:c r="B13696" s="13" t="str">
        <x:v>HAPVIDA PARTICIPACOES E INVE</x:v>
      </x:c>
      <x:c r="C13696" s="16" t="n">
        <x:v>616.5733439123</x:v>
      </x:c>
      <x:c r="D13696" s="13" t="str">
        <x:v>Health Care</x:v>
      </x:c>
      <x:c r="E13696" s="13" t="str">
        <x:v>Health Care</x:v>
      </x:c>
      <x:c r="F13696" s="13" t="str">
        <x:v>Defensives</x:v>
      </x:c>
      <x:c r="G13696" s="13" t="str">
        <x:v>grid_jx40wu4i.xlsx</x:v>
      </x:c>
    </x:row>
    <x:row r="13697">
      <x:c r="A13697" s="15" t="n">
        <x:v>46174</x:v>
      </x:c>
      <x:c r="B13697" s="13" t="str">
        <x:v>HYPERA SA</x:v>
      </x:c>
      <x:c r="C13697" s="16" t="n">
        <x:v>2022.2325009534</x:v>
      </x:c>
      <x:c r="D13697" s="13" t="str">
        <x:v>Health Care</x:v>
      </x:c>
      <x:c r="E13697" s="13" t="str">
        <x:v>Health Care</x:v>
      </x:c>
      <x:c r="F13697" s="13" t="str">
        <x:v>Defensives</x:v>
      </x:c>
      <x:c r="G13697" s="13" t="str">
        <x:v>grid_jx40wu4i.xlsx</x:v>
      </x:c>
    </x:row>
    <x:row r="13698">
      <x:c r="A13698" s="15" t="n">
        <x:v>46174</x:v>
      </x:c>
      <x:c r="B13698" s="13" t="str">
        <x:v>REDE D'OR SAO LUIZ SA</x:v>
      </x:c>
      <x:c r="C13698" s="16" t="n">
        <x:v>5547.0633366795</x:v>
      </x:c>
      <x:c r="D13698" s="13" t="str">
        <x:v>Health Care</x:v>
      </x:c>
      <x:c r="E13698" s="13" t="str">
        <x:v>Health Care</x:v>
      </x:c>
      <x:c r="F13698" s="13" t="str">
        <x:v>Defensives</x:v>
      </x:c>
      <x:c r="G13698" s="13" t="str">
        <x:v>grid_jx40wu4i.xlsx</x:v>
      </x:c>
    </x:row>
    <x:row r="13699">
      <x:c r="A13699" s="15" t="n">
        <x:v>46174</x:v>
      </x:c>
      <x:c r="B13699" s="13" t="str">
        <x:v>CURY CONSTRUTORA E INCORPORA</x:v>
      </x:c>
      <x:c r="C13699" s="16" t="n">
        <x:v>1365.3227169315</x:v>
      </x:c>
      <x:c r="D13699" s="13" t="str">
        <x:v>Homebuilders</x:v>
      </x:c>
      <x:c r="E13699" s="13" t="str">
        <x:v>Real Estate</x:v>
      </x:c>
      <x:c r="F13699" s="13" t="str">
        <x:v>Early Cyclicals</x:v>
      </x:c>
      <x:c r="G13699" s="13" t="str">
        <x:v>grid_jx40wu4i.xlsx</x:v>
      </x:c>
    </x:row>
    <x:row r="13700">
      <x:c r="A13700" s="15" t="n">
        <x:v>46174</x:v>
      </x:c>
      <x:c r="B13700" s="13" t="str">
        <x:v>CYRELA BRAZIL REALTY SA EMP</x:v>
      </x:c>
      <x:c r="C13700" s="16" t="n">
        <x:v>2031.5621600438</x:v>
      </x:c>
      <x:c r="D13700" s="13" t="str">
        <x:v>Homebuilders</x:v>
      </x:c>
      <x:c r="E13700" s="13" t="str">
        <x:v>Real Estate</x:v>
      </x:c>
      <x:c r="F13700" s="13" t="str">
        <x:v>Early Cyclicals</x:v>
      </x:c>
      <x:c r="G13700" s="13" t="str">
        <x:v>grid_jx40wu4i.xlsx</x:v>
      </x:c>
    </x:row>
    <x:row r="13701">
      <x:c r="A13701" s="15" t="n">
        <x:v>46174</x:v>
      </x:c>
      <x:c r="B13701" s="13" t="str">
        <x:v>DIRECIONAL ENGENHARIA SA</x:v>
      </x:c>
      <x:c r="C13701" s="16" t="n">
        <x:v>1072.6621759123</x:v>
      </x:c>
      <x:c r="D13701" s="13" t="str">
        <x:v>Homebuilders</x:v>
      </x:c>
      <x:c r="E13701" s="13" t="str">
        <x:v>Real Estate</x:v>
      </x:c>
      <x:c r="F13701" s="13" t="str">
        <x:v>Early Cyclicals</x:v>
      </x:c>
      <x:c r="G13701" s="13" t="str">
        <x:v>grid_jx40wu4i.xlsx</x:v>
      </x:c>
    </x:row>
    <x:row r="13702">
      <x:c r="A13702" s="15" t="n">
        <x:v>46174</x:v>
      </x:c>
      <x:c r="B13702" s="13" t="str">
        <x:v>MRV ENGENHARIA</x:v>
      </x:c>
      <x:c r="C13702" s="16" t="n">
        <x:v>641.5786041863</x:v>
      </x:c>
      <x:c r="D13702" s="13" t="str">
        <x:v>Homebuilders</x:v>
      </x:c>
      <x:c r="E13702" s="13" t="str">
        <x:v>Real Estate</x:v>
      </x:c>
      <x:c r="F13702" s="13" t="str">
        <x:v>Early Cyclicals</x:v>
      </x:c>
      <x:c r="G13702" s="13" t="str">
        <x:v>grid_jx40wu4i.xlsx</x:v>
      </x:c>
    </x:row>
    <x:row r="13703">
      <x:c r="A13703" s="15" t="n">
        <x:v>46174</x:v>
      </x:c>
      <x:c r="B13703" s="13" t="str">
        <x:v>ALLOS SA</x:v>
      </x:c>
      <x:c r="C13703" s="16" t="n">
        <x:v>1018.6614622685</x:v>
      </x:c>
      <x:c r="D13703" s="13" t="str">
        <x:v>Income Properties</x:v>
      </x:c>
      <x:c r="E13703" s="13" t="str">
        <x:v>Real Estate</x:v>
      </x:c>
      <x:c r="F13703" s="13" t="str">
        <x:v>Early Cyclicals</x:v>
      </x:c>
      <x:c r="G13703" s="13" t="str">
        <x:v>grid_jx40wu4i.xlsx</x:v>
      </x:c>
    </x:row>
    <x:row r="13704">
      <x:c r="A13704" s="15" t="n">
        <x:v>46174</x:v>
      </x:c>
      <x:c r="B13704" s="13" t="str">
        <x:v>IGUATEMI SA - UNITS</x:v>
      </x:c>
      <x:c r="C13704" s="16" t="n">
        <x:v>650.3697099397</x:v>
      </x:c>
      <x:c r="D13704" s="13" t="str">
        <x:v>Income Properties</x:v>
      </x:c>
      <x:c r="E13704" s="13" t="str">
        <x:v>Real Estate</x:v>
      </x:c>
      <x:c r="F13704" s="13" t="str">
        <x:v>Early Cyclicals</x:v>
      </x:c>
      <x:c r="G13704" s="13" t="str">
        <x:v>grid_jx40wu4i.xlsx</x:v>
      </x:c>
    </x:row>
    <x:row r="13705">
      <x:c r="A13705" s="15" t="n">
        <x:v>46174</x:v>
      </x:c>
      <x:c r="B13705" s="13" t="str">
        <x:v>MULTIPLAN EMPREENDIMENTOS</x:v>
      </x:c>
      <x:c r="C13705" s="16" t="n">
        <x:v>1220.3059726027</x:v>
      </x:c>
      <x:c r="D13705" s="13" t="str">
        <x:v>Income Properties</x:v>
      </x:c>
      <x:c r="E13705" s="13" t="str">
        <x:v>Real Estate</x:v>
      </x:c>
      <x:c r="F13705" s="13" t="str">
        <x:v>Early Cyclicals</x:v>
      </x:c>
      <x:c r="G13705" s="13" t="str">
        <x:v>grid_jx40wu4i.xlsx</x:v>
      </x:c>
    </x:row>
    <x:row r="13706">
      <x:c r="A13706" s="15" t="n">
        <x:v>46174</x:v>
      </x:c>
      <x:c r="B13706" s="13" t="str">
        <x:v>BRADESPAR SA -PREF</x:v>
      </x:c>
      <x:c r="C13706" s="16" t="n">
        <x:v>1738.401337863</x:v>
      </x:c>
      <x:c r="D13706" s="13" t="str">
        <x:v>Metals &amp; Mining</x:v>
      </x:c>
      <x:c r="E13706" s="13" t="str">
        <x:v>Metals &amp; Mining</x:v>
      </x:c>
      <x:c r="F13706" s="13" t="str">
        <x:v>Deep Cyclicals</x:v>
      </x:c>
      <x:c r="G13706" s="13" t="str">
        <x:v>grid_jx40wu4i.xlsx</x:v>
      </x:c>
    </x:row>
    <x:row r="13707">
      <x:c r="A13707" s="15" t="n">
        <x:v>46174</x:v>
      </x:c>
      <x:c r="B13707" s="13" t="str">
        <x:v>CIA SIDERURGICA NACIONAL SA</x:v>
      </x:c>
      <x:c r="C13707" s="16" t="n">
        <x:v>-563.5241524493</x:v>
      </x:c>
      <x:c r="D13707" s="13" t="str">
        <x:v>Metals &amp; Mining</x:v>
      </x:c>
      <x:c r="E13707" s="13" t="str">
        <x:v>Metals &amp; Mining</x:v>
      </x:c>
      <x:c r="F13707" s="13" t="str">
        <x:v>Deep Cyclicals</x:v>
      </x:c>
      <x:c r="G13707" s="13" t="str">
        <x:v>grid_jx40wu4i.xlsx</x:v>
      </x:c>
    </x:row>
    <x:row r="13708">
      <x:c r="A13708" s="15" t="n">
        <x:v>46174</x:v>
      </x:c>
      <x:c r="B13708" s="13" t="str">
        <x:v>CSN MINERACAO SA</x:v>
      </x:c>
      <x:c r="C13708" s="16" t="n">
        <x:v>1978.7918272877</x:v>
      </x:c>
      <x:c r="D13708" s="13" t="str">
        <x:v>Metals &amp; Mining</x:v>
      </x:c>
      <x:c r="E13708" s="13" t="str">
        <x:v>Metals &amp; Mining</x:v>
      </x:c>
      <x:c r="F13708" s="13" t="str">
        <x:v>Deep Cyclicals</x:v>
      </x:c>
      <x:c r="G13708" s="13" t="str">
        <x:v>grid_jx40wu4i.xlsx</x:v>
      </x:c>
    </x:row>
    <x:row r="13709">
      <x:c r="A13709" s="15" t="n">
        <x:v>46174</x:v>
      </x:c>
      <x:c r="B13709" s="13" t="str">
        <x:v>GERDAU SA-PREF</x:v>
      </x:c>
      <x:c r="C13709" s="16" t="n">
        <x:v>5261.406790137</x:v>
      </x:c>
      <x:c r="D13709" s="13" t="str">
        <x:v>Metals &amp; Mining</x:v>
      </x:c>
      <x:c r="E13709" s="13" t="str">
        <x:v>Metals &amp; Mining</x:v>
      </x:c>
      <x:c r="F13709" s="13" t="str">
        <x:v>Deep Cyclicals</x:v>
      </x:c>
      <x:c r="G13709" s="13" t="str">
        <x:v>grid_jx40wu4i.xlsx</x:v>
      </x:c>
    </x:row>
    <x:row r="13710">
      <x:c r="A13710" s="15" t="n">
        <x:v>46174</x:v>
      </x:c>
      <x:c r="B13710" s="13" t="str">
        <x:v>METALURGICA GERDAU SA-PREF</x:v>
      </x:c>
      <x:c r="C13710" s="16" t="n">
        <x:v>1908.3670910247</x:v>
      </x:c>
      <x:c r="D13710" s="13" t="str">
        <x:v>Metals &amp; Mining</x:v>
      </x:c>
      <x:c r="E13710" s="13" t="str">
        <x:v>Metals &amp; Mining</x:v>
      </x:c>
      <x:c r="F13710" s="13" t="str">
        <x:v>Deep Cyclicals</x:v>
      </x:c>
      <x:c r="G13710" s="13" t="str">
        <x:v>grid_jx40wu4i.xlsx</x:v>
      </x:c>
    </x:row>
    <x:row r="13711">
      <x:c r="A13711" s="15" t="n">
        <x:v>46174</x:v>
      </x:c>
      <x:c r="B13711" s="13" t="str">
        <x:v>USINAS SIDER MINAS GER-PF A</x:v>
      </x:c>
      <x:c r="C13711" s="16" t="n">
        <x:v>1416.2956484384</x:v>
      </x:c>
      <x:c r="D13711" s="13" t="str">
        <x:v>Metals &amp; Mining</x:v>
      </x:c>
      <x:c r="E13711" s="13" t="str">
        <x:v>Metals &amp; Mining</x:v>
      </x:c>
      <x:c r="F13711" s="13" t="str">
        <x:v>Deep Cyclicals</x:v>
      </x:c>
      <x:c r="G13711" s="13" t="str">
        <x:v>grid_jx40wu4i.xlsx</x:v>
      </x:c>
    </x:row>
    <x:row r="13712">
      <x:c r="A13712" s="15" t="n">
        <x:v>46174</x:v>
      </x:c>
      <x:c r="B13712" s="13" t="str">
        <x:v>VALE SA</x:v>
      </x:c>
      <x:c r="C13712" s="16" t="n">
        <x:v>42843.2558164164</x:v>
      </x:c>
      <x:c r="D13712" s="13" t="str">
        <x:v>Metals &amp; Mining</x:v>
      </x:c>
      <x:c r="E13712" s="13" t="str">
        <x:v>Metals &amp; Mining</x:v>
      </x:c>
      <x:c r="F13712" s="13" t="str">
        <x:v>Deep Cyclicals</x:v>
      </x:c>
      <x:c r="G13712" s="13" t="str">
        <x:v>grid_jx40wu4i.xlsx</x:v>
      </x:c>
    </x:row>
    <x:row r="13713">
      <x:c r="A13713" s="15" t="n">
        <x:v>46174</x:v>
      </x:c>
      <x:c r="B13713" s="13" t="str">
        <x:v>BRASKEM SA-PREF A</x:v>
      </x:c>
      <x:c r="C13713" s="16" t="n">
        <x:v>444.2666026082</x:v>
      </x:c>
      <x:c r="D13713" s="13" t="str">
        <x:v>Oil, Gas &amp; Petrochemicals</x:v>
      </x:c>
      <x:c r="E13713" s="13" t="str">
        <x:v>Oil, Gas &amp; Petrochemicals</x:v>
      </x:c>
      <x:c r="F13713" s="13" t="str">
        <x:v>Deep Cyclicals</x:v>
      </x:c>
      <x:c r="G13713" s="13" t="str">
        <x:v>grid_jx40wu4i.xlsx</x:v>
      </x:c>
    </x:row>
    <x:row r="13714">
      <x:c r="A13714" s="15" t="n">
        <x:v>46174</x:v>
      </x:c>
      <x:c r="B13714" s="13" t="str">
        <x:v>BRAVA ENERGIA</x:v>
      </x:c>
      <x:c r="C13714" s="16" t="n">
        <x:v>1544.8956598356</x:v>
      </x:c>
      <x:c r="D13714" s="13" t="str">
        <x:v>Oil, Gas &amp; Petrochemicals</x:v>
      </x:c>
      <x:c r="E13714" s="13" t="str">
        <x:v>Oil, Gas &amp; Petrochemicals</x:v>
      </x:c>
      <x:c r="F13714" s="13" t="str">
        <x:v>Deep Cyclicals</x:v>
      </x:c>
      <x:c r="G13714" s="13" t="str">
        <x:v>grid_jx40wu4i.xlsx</x:v>
      </x:c>
    </x:row>
    <x:row r="13715">
      <x:c r="A13715" s="15" t="n">
        <x:v>46174</x:v>
      </x:c>
      <x:c r="B13715" s="13" t="str">
        <x:v>COSAN SA</x:v>
      </x:c>
      <x:c r="C13715" s="16" t="n">
        <x:v>896.9652174904</x:v>
      </x:c>
      <x:c r="D13715" s="13" t="str">
        <x:v>Oil, Gas &amp; Petrochemicals</x:v>
      </x:c>
      <x:c r="E13715" s="13" t="str">
        <x:v>Oil, Gas &amp; Petrochemicals</x:v>
      </x:c>
      <x:c r="F13715" s="13" t="str">
        <x:v>Deep Cyclicals</x:v>
      </x:c>
      <x:c r="G13715" s="13" t="str">
        <x:v>grid_jx40wu4i.xlsx</x:v>
      </x:c>
    </x:row>
    <x:row r="13716">
      <x:c r="A13716" s="15" t="n">
        <x:v>46174</x:v>
      </x:c>
      <x:c r="B13716" s="13" t="str">
        <x:v>PETROBRAS - PETROLEO BRAS</x:v>
      </x:c>
      <x:c r="C13716" s="16" t="n">
        <x:v>123220.997723178</x:v>
      </x:c>
      <x:c r="D13716" s="13" t="str">
        <x:v>Oil, Gas &amp; Petrochemicals</x:v>
      </x:c>
      <x:c r="E13716" s="13" t="str">
        <x:v>Oil, Gas &amp; Petrochemicals</x:v>
      </x:c>
      <x:c r="F13716" s="13" t="str">
        <x:v>Deep Cyclicals</x:v>
      </x:c>
      <x:c r="G13716" s="13" t="str">
        <x:v>grid_jx40wu4i.xlsx</x:v>
      </x:c>
    </x:row>
    <x:row r="13717">
      <x:c r="A13717" s="15" t="n">
        <x:v>46174</x:v>
      </x:c>
      <x:c r="B13717" s="13" t="str">
        <x:v>PETRORECONCAVO SA</x:v>
      </x:c>
      <x:c r="C13717" s="16" t="n">
        <x:v>612.1027475288</x:v>
      </x:c>
      <x:c r="D13717" s="13" t="str">
        <x:v>Oil, Gas &amp; Petrochemicals</x:v>
      </x:c>
      <x:c r="E13717" s="13" t="str">
        <x:v>Oil, Gas &amp; Petrochemicals</x:v>
      </x:c>
      <x:c r="F13717" s="13" t="str">
        <x:v>Deep Cyclicals</x:v>
      </x:c>
      <x:c r="G13717" s="13" t="str">
        <x:v>grid_jx40wu4i.xlsx</x:v>
      </x:c>
    </x:row>
    <x:row r="13718">
      <x:c r="A13718" s="15" t="n">
        <x:v>46174</x:v>
      </x:c>
      <x:c r="B13718" s="13" t="str">
        <x:v>PRIO SA</x:v>
      </x:c>
      <x:c r="C13718" s="16" t="n">
        <x:v>8552.4614733151</x:v>
      </x:c>
      <x:c r="D13718" s="13" t="str">
        <x:v>Oil, Gas &amp; Petrochemicals</x:v>
      </x:c>
      <x:c r="E13718" s="13" t="str">
        <x:v>Oil, Gas &amp; Petrochemicals</x:v>
      </x:c>
      <x:c r="F13718" s="13" t="str">
        <x:v>Deep Cyclicals</x:v>
      </x:c>
      <x:c r="G13718" s="13" t="str">
        <x:v>grid_jx40wu4i.xlsx</x:v>
      </x:c>
    </x:row>
    <x:row r="13719">
      <x:c r="A13719" s="15" t="n">
        <x:v>46174</x:v>
      </x:c>
      <x:c r="B13719" s="13" t="str">
        <x:v>ULTRAPAR PARTICIPACOES SA</x:v>
      </x:c>
      <x:c r="C13719" s="16" t="n">
        <x:v>3019.9743375781</x:v>
      </x:c>
      <x:c r="D13719" s="13" t="str">
        <x:v>Oil, Gas &amp; Petrochemicals</x:v>
      </x:c>
      <x:c r="E13719" s="13" t="str">
        <x:v>Oil, Gas &amp; Petrochemicals</x:v>
      </x:c>
      <x:c r="F13719" s="13" t="str">
        <x:v>Deep Cyclicals</x:v>
      </x:c>
      <x:c r="G13719" s="13" t="str">
        <x:v>grid_jx40wu4i.xlsx</x:v>
      </x:c>
    </x:row>
    <x:row r="13720">
      <x:c r="A13720" s="15" t="n">
        <x:v>46174</x:v>
      </x:c>
      <x:c r="B13720" s="13" t="str">
        <x:v>VIBRA ENERGIA SA</x:v>
      </x:c>
      <x:c r="C13720" s="16" t="n">
        <x:v>3837.336877589</x:v>
      </x:c>
      <x:c r="D13720" s="13" t="str">
        <x:v>Oil, Gas &amp; Petrochemicals</x:v>
      </x:c>
      <x:c r="E13720" s="13" t="str">
        <x:v>Oil, Gas &amp; Petrochemicals</x:v>
      </x:c>
      <x:c r="F13720" s="13" t="str">
        <x:v>Deep Cyclicals</x:v>
      </x:c>
      <x:c r="G13720" s="13" t="str">
        <x:v>grid_jx40wu4i.xlsx</x:v>
      </x:c>
    </x:row>
    <x:row r="13721">
      <x:c r="A13721" s="15" t="n">
        <x:v>46174</x:v>
      </x:c>
      <x:c r="B13721" s="13" t="str">
        <x:v>KLABIN SA - UNIT</x:v>
      </x:c>
      <x:c r="C13721" s="16" t="n">
        <x:v>1758.0974132603</x:v>
      </x:c>
      <x:c r="D13721" s="13" t="str">
        <x:v>Pulp &amp; Paper</x:v>
      </x:c>
      <x:c r="E13721" s="13" t="str">
        <x:v>Pulp &amp; Paper</x:v>
      </x:c>
      <x:c r="F13721" s="13" t="str">
        <x:v>Deep Cyclicals</x:v>
      </x:c>
      <x:c r="G13721" s="13" t="str">
        <x:v>grid_jx40wu4i.xlsx</x:v>
      </x:c>
    </x:row>
    <x:row r="13722">
      <x:c r="A13722" s="15" t="n">
        <x:v>46174</x:v>
      </x:c>
      <x:c r="B13722" s="13" t="str">
        <x:v>SUZANO SA</x:v>
      </x:c>
      <x:c r="C13722" s="16" t="n">
        <x:v>8931.053061611</x:v>
      </x:c>
      <x:c r="D13722" s="13" t="str">
        <x:v>Pulp &amp; Paper</x:v>
      </x:c>
      <x:c r="E13722" s="13" t="str">
        <x:v>Pulp &amp; Paper</x:v>
      </x:c>
      <x:c r="F13722" s="13" t="str">
        <x:v>Deep Cyclicals</x:v>
      </x:c>
      <x:c r="G13722" s="13" t="str">
        <x:v>grid_jx40wu4i.xlsx</x:v>
      </x:c>
    </x:row>
    <x:row r="13723">
      <x:c r="A13723" s="15" t="n">
        <x:v>46174</x:v>
      </x:c>
      <x:c r="B13723" s="13" t="str">
        <x:v>AZZAS 2154 SA</x:v>
      </x:c>
      <x:c r="C13723" s="16" t="n">
        <x:v>689.1960025425</x:v>
      </x:c>
      <x:c r="D13723" s="13" t="str">
        <x:v>Retail</x:v>
      </x:c>
      <x:c r="E13723" s="13" t="str">
        <x:v>Retail</x:v>
      </x:c>
      <x:c r="F13723" s="13" t="str">
        <x:v>Early Cyclicals</x:v>
      </x:c>
      <x:c r="G13723" s="13" t="str">
        <x:v>grid_jx40wu4i.xlsx</x:v>
      </x:c>
    </x:row>
    <x:row r="13724">
      <x:c r="A13724" s="15" t="n">
        <x:v>46174</x:v>
      </x:c>
      <x:c r="B13724" s="13" t="str">
        <x:v>C&amp;A MODAS LTDA</x:v>
      </x:c>
      <x:c r="C13724" s="16" t="n">
        <x:v>556.6457375562</x:v>
      </x:c>
      <x:c r="D13724" s="13" t="str">
        <x:v>Retail</x:v>
      </x:c>
      <x:c r="E13724" s="13" t="str">
        <x:v>Retail</x:v>
      </x:c>
      <x:c r="F13724" s="13" t="str">
        <x:v>Early Cyclicals</x:v>
      </x:c>
      <x:c r="G13724" s="13" t="str">
        <x:v>grid_jx40wu4i.xlsx</x:v>
      </x:c>
    </x:row>
    <x:row r="13725">
      <x:c r="A13725" s="15" t="n">
        <x:v>46174</x:v>
      </x:c>
      <x:c r="B13725" s="13" t="str">
        <x:v>LOJAS RENNER S.A.</x:v>
      </x:c>
      <x:c r="C13725" s="16" t="n">
        <x:v>1672.2847512548</x:v>
      </x:c>
      <x:c r="D13725" s="13" t="str">
        <x:v>Retail</x:v>
      </x:c>
      <x:c r="E13725" s="13" t="str">
        <x:v>Retail</x:v>
      </x:c>
      <x:c r="F13725" s="13" t="str">
        <x:v>Early Cyclicals</x:v>
      </x:c>
      <x:c r="G13725" s="13" t="str">
        <x:v>grid_jx40wu4i.xlsx</x:v>
      </x:c>
    </x:row>
    <x:row r="13726">
      <x:c r="A13726" s="15" t="n">
        <x:v>46174</x:v>
      </x:c>
      <x:c r="B13726" s="13" t="str">
        <x:v>MAGAZINE LUIZA SA</x:v>
      </x:c>
      <x:c r="C13726" s="16" t="n">
        <x:v>325.5233464986</x:v>
      </x:c>
      <x:c r="D13726" s="13" t="str">
        <x:v>Retail</x:v>
      </x:c>
      <x:c r="E13726" s="13" t="str">
        <x:v>Retail</x:v>
      </x:c>
      <x:c r="F13726" s="13" t="str">
        <x:v>Early Cyclicals</x:v>
      </x:c>
      <x:c r="G13726" s="13" t="str">
        <x:v>grid_jx40wu4i.xlsx</x:v>
      </x:c>
    </x:row>
    <x:row r="13727">
      <x:c r="A13727" s="15" t="n">
        <x:v>46174</x:v>
      </x:c>
      <x:c r="B13727" s="13" t="str">
        <x:v>NATURA COSMETICOS SA</x:v>
      </x:c>
      <x:c r="C13727" s="16" t="n">
        <x:v>1220.8274596822</x:v>
      </x:c>
      <x:c r="D13727" s="13" t="str">
        <x:v>Retail</x:v>
      </x:c>
      <x:c r="E13727" s="13" t="str">
        <x:v>Retail</x:v>
      </x:c>
      <x:c r="F13727" s="13" t="str">
        <x:v>Early Cyclicals</x:v>
      </x:c>
      <x:c r="G13727" s="13" t="str">
        <x:v>grid_jx40wu4i.xlsx</x:v>
      </x:c>
    </x:row>
    <x:row r="13728">
      <x:c r="A13728" s="15" t="n">
        <x:v>46174</x:v>
      </x:c>
      <x:c r="B13728" s="13" t="str">
        <x:v>RAIA DROGASIL SA</x:v>
      </x:c>
      <x:c r="C13728" s="16" t="n">
        <x:v>1861.0063300384</x:v>
      </x:c>
      <x:c r="D13728" s="13" t="str">
        <x:v>Retail</x:v>
      </x:c>
      <x:c r="E13728" s="13" t="str">
        <x:v>Retail</x:v>
      </x:c>
      <x:c r="F13728" s="13" t="str">
        <x:v>Early Cyclicals</x:v>
      </x:c>
      <x:c r="G13728" s="13" t="str">
        <x:v>grid_jx40wu4i.xlsx</x:v>
      </x:c>
    </x:row>
    <x:row r="13729">
      <x:c r="A13729" s="15" t="n">
        <x:v>46174</x:v>
      </x:c>
      <x:c r="B13729" s="13" t="str">
        <x:v>SENDAS DISTRIBUIDORA SA</x:v>
      </x:c>
      <x:c r="C13729" s="16" t="n">
        <x:v>1349.7921371178</x:v>
      </x:c>
      <x:c r="D13729" s="13" t="str">
        <x:v>Retail</x:v>
      </x:c>
      <x:c r="E13729" s="13" t="str">
        <x:v>Retail</x:v>
      </x:c>
      <x:c r="F13729" s="13" t="str">
        <x:v>Early Cyclicals</x:v>
      </x:c>
      <x:c r="G13729" s="13" t="str">
        <x:v>grid_jx40wu4i.xlsx</x:v>
      </x:c>
    </x:row>
    <x:row r="13730">
      <x:c r="A13730" s="15" t="n">
        <x:v>46174</x:v>
      </x:c>
      <x:c r="B13730" s="13" t="str">
        <x:v>SMARTFIT - ORDINARY</x:v>
      </x:c>
      <x:c r="C13730" s="16" t="n">
        <x:v>1090.9045479452</x:v>
      </x:c>
      <x:c r="D13730" s="13" t="str">
        <x:v>Retail</x:v>
      </x:c>
      <x:c r="E13730" s="13" t="str">
        <x:v>Retail</x:v>
      </x:c>
      <x:c r="F13730" s="13" t="str">
        <x:v>Early Cyclicals</x:v>
      </x:c>
      <x:c r="G13730" s="13" t="str">
        <x:v>grid_jx40wu4i.xlsx</x:v>
      </x:c>
    </x:row>
    <x:row r="13731">
      <x:c r="A13731" s="15" t="n">
        <x:v>46174</x:v>
      </x:c>
      <x:c r="B13731" s="13" t="str">
        <x:v>VIVARA PARTICIPACOES SA</x:v>
      </x:c>
      <x:c r="C13731" s="16" t="n">
        <x:v>684.9013779288</x:v>
      </x:c>
      <x:c r="D13731" s="13" t="str">
        <x:v>Retail</x:v>
      </x:c>
      <x:c r="E13731" s="13" t="str">
        <x:v>Retail</x:v>
      </x:c>
      <x:c r="F13731" s="13" t="str">
        <x:v>Early Cyclicals</x:v>
      </x:c>
      <x:c r="G13731" s="13" t="str">
        <x:v>grid_jx40wu4i.xlsx</x:v>
      </x:c>
    </x:row>
    <x:row r="13732">
      <x:c r="A13732" s="15" t="n">
        <x:v>46174</x:v>
      </x:c>
      <x:c r="B13732" s="13" t="str">
        <x:v>CIA SANEAMENTO BASICO DE SP</x:v>
      </x:c>
      <x:c r="C13732" s="16" t="n">
        <x:v>7795.6768810082</x:v>
      </x:c>
      <x:c r="D13732" s="13" t="str">
        <x:v>Sanitation</x:v>
      </x:c>
      <x:c r="E13732" s="13" t="str">
        <x:v>Utilities</x:v>
      </x:c>
      <x:c r="F13732" s="13" t="str">
        <x:v>Defensives</x:v>
      </x:c>
      <x:c r="G13732" s="13" t="str">
        <x:v>grid_jx40wu4i.xlsx</x:v>
      </x:c>
    </x:row>
    <x:row r="13733">
      <x:c r="A13733" s="15" t="n">
        <x:v>46174</x:v>
      </x:c>
      <x:c r="B13733" s="13" t="str">
        <x:v>CIA SANEAMENTO MINAS GERAIS</x:v>
      </x:c>
      <x:c r="C13733" s="16" t="n">
        <x:v>1449.4737102904</x:v>
      </x:c>
      <x:c r="D13733" s="13" t="str">
        <x:v>Sanitation</x:v>
      </x:c>
      <x:c r="E13733" s="13" t="str">
        <x:v>Utilities</x:v>
      </x:c>
      <x:c r="F13733" s="13" t="str">
        <x:v>Defensives</x:v>
      </x:c>
      <x:c r="G13733" s="13" t="str">
        <x:v>grid_jx40wu4i.xlsx</x:v>
      </x:c>
    </x:row>
    <x:row r="13734">
      <x:c r="A13734" s="15" t="n">
        <x:v>46174</x:v>
      </x:c>
      <x:c r="B13734" s="13" t="str">
        <x:v>TIM SA</x:v>
      </x:c>
      <x:c r="C13734" s="16" t="n">
        <x:v>4975.3854555178</x:v>
      </x:c>
      <x:c r="D13734" s="13" t="str">
        <x:v>TMT</x:v>
      </x:c>
      <x:c r="E13734" s="13" t="str">
        <x:v>TMT</x:v>
      </x:c>
      <x:c r="F13734" s="13" t="str">
        <x:v>Early Cyclicals</x:v>
      </x:c>
      <x:c r="G13734" s="13" t="str">
        <x:v>grid_jx40wu4i.xlsx</x:v>
      </x:c>
    </x:row>
    <x:row r="13735">
      <x:c r="A13735" s="15" t="n">
        <x:v>46174</x:v>
      </x:c>
      <x:c r="B13735" s="13" t="str">
        <x:v>TOTVS SA</x:v>
      </x:c>
      <x:c r="C13735" s="16" t="n">
        <x:v>1114.5969898959</x:v>
      </x:c>
      <x:c r="D13735" s="13" t="str">
        <x:v>TMT</x:v>
      </x:c>
      <x:c r="E13735" s="13" t="str">
        <x:v>TMT</x:v>
      </x:c>
      <x:c r="F13735" s="13" t="str">
        <x:v>Early Cyclicals</x:v>
      </x:c>
      <x:c r="G13735" s="13" t="str">
        <x:v>grid_jx40wu4i.xlsx</x:v>
      </x:c>
    </x:row>
    <x:row r="13736">
      <x:c r="A13736" s="15" t="n">
        <x:v>46174</x:v>
      </x:c>
      <x:c r="B13736" s="13" t="str">
        <x:v>LOCALIZA RENT A CAR</x:v>
      </x:c>
      <x:c r="C13736" s="16" t="n">
        <x:v>4840.5655692274</x:v>
      </x:c>
      <x:c r="D13736" s="13" t="str">
        <x:v>Transportation</x:v>
      </x:c>
      <x:c r="E13736" s="13" t="str">
        <x:v>Transportation</x:v>
      </x:c>
      <x:c r="F13736" s="13" t="str">
        <x:v>Deep Cyclicals</x:v>
      </x:c>
      <x:c r="G13736" s="13" t="str">
        <x:v>grid_jx40wu4i.xlsx</x:v>
      </x:c>
    </x:row>
    <x:row r="13737">
      <x:c r="A13737" s="15" t="n">
        <x:v>46174</x:v>
      </x:c>
      <x:c r="B13737" s="13" t="str">
        <x:v>MOTIVA INFRAESTRUTURA DE MOB</x:v>
      </x:c>
      <x:c r="C13737" s="16" t="n">
        <x:v>2603.7625456219</x:v>
      </x:c>
      <x:c r="D13737" s="13" t="str">
        <x:v>Transportation</x:v>
      </x:c>
      <x:c r="E13737" s="13" t="str">
        <x:v>Transportation</x:v>
      </x:c>
      <x:c r="F13737" s="13" t="str">
        <x:v>Deep Cyclicals</x:v>
      </x:c>
      <x:c r="G13737" s="13" t="str">
        <x:v>grid_jx40wu4i.xlsx</x:v>
      </x:c>
    </x:row>
    <x:row r="13738">
      <x:c r="A13738" s="15" t="n">
        <x:v>46174</x:v>
      </x:c>
      <x:c r="B13738" s="13" t="str">
        <x:v>RUMO SA</x:v>
      </x:c>
      <x:c r="C13738" s="16" t="n">
        <x:v>2118.554489337</x:v>
      </x:c>
      <x:c r="D13738" s="13" t="str">
        <x:v>Transportation</x:v>
      </x:c>
      <x:c r="E13738" s="13" t="str">
        <x:v>Transportation</x:v>
      </x:c>
      <x:c r="F13738" s="13" t="str">
        <x:v>Deep Cyclicals</x:v>
      </x:c>
      <x:c r="G13738" s="13" t="str">
        <x:v>grid_jx40wu4i.xlsx</x:v>
      </x:c>
    </x:row>
    <x:row r="13739">
      <x:c r="A13739" s="15" t="n">
        <x:v>46174</x:v>
      </x:c>
      <x:c r="B13739" s="13" t="str">
        <x:v>VAMOS LOCACAO DE CAMINHOES M</x:v>
      </x:c>
      <x:c r="C13739" s="16" t="n">
        <x:v>596.1060432658</x:v>
      </x:c>
      <x:c r="D13739" s="13" t="str">
        <x:v>Transportation</x:v>
      </x:c>
      <x:c r="E13739" s="13" t="str">
        <x:v>Transportation</x:v>
      </x:c>
      <x:c r="F13739" s="13" t="str">
        <x:v>Deep Cyclicals</x:v>
      </x:c>
      <x:c r="G13739" s="13" t="str">
        <x:v>grid_jx40wu4i.xlsx</x:v>
      </x:c>
    </x:row>
    <x:row r="13740">
      <x:c r="A13740" s="15" t="n">
        <x:v>46174</x:v>
      </x:c>
      <x:c r="B13740" s="13" t="str">
        <x:v>AUREN ENERGIA SA - ON</x:v>
      </x:c>
      <x:c r="C13740" s="16" t="n">
        <x:v>-431.7734592877</x:v>
      </x:c>
      <x:c r="D13740" s="13" t="str">
        <x:v>Utilities &amp; Energy</x:v>
      </x:c>
      <x:c r="E13740" s="13" t="str">
        <x:v>Utilities</x:v>
      </x:c>
      <x:c r="F13740" s="13" t="str">
        <x:v>Defensives</x:v>
      </x:c>
      <x:c r="G13740" s="13" t="str">
        <x:v>grid_jx40wu4i.xlsx</x:v>
      </x:c>
    </x:row>
    <x:row r="13741">
      <x:c r="A13741" s="15" t="n">
        <x:v>46174</x:v>
      </x:c>
      <x:c r="B13741" s="13" t="str">
        <x:v>AXIA ENERGIA SA</x:v>
      </x:c>
      <x:c r="C13741" s="16" t="n">
        <x:v>14874.6228862247</x:v>
      </x:c>
      <x:c r="D13741" s="13" t="str">
        <x:v>Utilities &amp; Energy</x:v>
      </x:c>
      <x:c r="E13741" s="13" t="str">
        <x:v>Utilities</x:v>
      </x:c>
      <x:c r="F13741" s="13" t="str">
        <x:v>Defensives</x:v>
      </x:c>
      <x:c r="G13741" s="13" t="str">
        <x:v>grid_jx40wu4i.xlsx</x:v>
      </x:c>
    </x:row>
    <x:row r="13742">
      <x:c r="A13742" s="15" t="n">
        <x:v>46174</x:v>
      </x:c>
      <x:c r="B13742" s="13" t="str">
        <x:v>CIA ENERGETICA MINAS GER-PRF</x:v>
      </x:c>
      <x:c r="C13742" s="16" t="n">
        <x:v>3342.3429744219</x:v>
      </x:c>
      <x:c r="D13742" s="13" t="str">
        <x:v>Utilities &amp; Energy</x:v>
      </x:c>
      <x:c r="E13742" s="13" t="str">
        <x:v>Utilities</x:v>
      </x:c>
      <x:c r="F13742" s="13" t="str">
        <x:v>Defensives</x:v>
      </x:c>
      <x:c r="G13742" s="13" t="str">
        <x:v>grid_jx40wu4i.xlsx</x:v>
      </x:c>
    </x:row>
    <x:row r="13743">
      <x:c r="A13743" s="15" t="n">
        <x:v>46174</x:v>
      </x:c>
      <x:c r="B13743" s="13" t="str">
        <x:v>COMPANHIA PARANAENSE DE ENER</x:v>
      </x:c>
      <x:c r="C13743" s="16" t="n">
        <x:v>3143.7240684712</x:v>
      </x:c>
      <x:c r="D13743" s="13" t="str">
        <x:v>Utilities &amp; Energy</x:v>
      </x:c>
      <x:c r="E13743" s="13" t="str">
        <x:v>Utilities</x:v>
      </x:c>
      <x:c r="F13743" s="13" t="str">
        <x:v>Defensives</x:v>
      </x:c>
      <x:c r="G13743" s="13" t="str">
        <x:v>grid_jx40wu4i.xlsx</x:v>
      </x:c>
    </x:row>
    <x:row r="13744">
      <x:c r="A13744" s="15" t="n">
        <x:v>46174</x:v>
      </x:c>
      <x:c r="B13744" s="13" t="str">
        <x:v>CPFL ENERGIA SA</x:v>
      </x:c>
      <x:c r="C13744" s="16" t="n">
        <x:v>5528.8414067726</x:v>
      </x:c>
      <x:c r="D13744" s="13" t="str">
        <x:v>Utilities &amp; Energy</x:v>
      </x:c>
      <x:c r="E13744" s="13" t="str">
        <x:v>Utilities</x:v>
      </x:c>
      <x:c r="F13744" s="13" t="str">
        <x:v>Defensives</x:v>
      </x:c>
      <x:c r="G13744" s="13" t="str">
        <x:v>grid_jx40wu4i.xlsx</x:v>
      </x:c>
    </x:row>
    <x:row r="13745">
      <x:c r="A13745" s="15" t="n">
        <x:v>46174</x:v>
      </x:c>
      <x:c r="B13745" s="13" t="str">
        <x:v>ENERGISA SA-UNITS</x:v>
      </x:c>
      <x:c r="C13745" s="16" t="n">
        <x:v>1483.256562674</x:v>
      </x:c>
      <x:c r="D13745" s="13" t="str">
        <x:v>Utilities &amp; Energy</x:v>
      </x:c>
      <x:c r="E13745" s="13" t="str">
        <x:v>Utilities</x:v>
      </x:c>
      <x:c r="F13745" s="13" t="str">
        <x:v>Defensives</x:v>
      </x:c>
      <x:c r="G13745" s="13" t="str">
        <x:v>grid_jx40wu4i.xlsx</x:v>
      </x:c>
    </x:row>
    <x:row r="13746">
      <x:c r="A13746" s="15" t="n">
        <x:v>46174</x:v>
      </x:c>
      <x:c r="B13746" s="13" t="str">
        <x:v>ENEVA SA</x:v>
      </x:c>
      <x:c r="C13746" s="16" t="n">
        <x:v>1114.6804262575</x:v>
      </x:c>
      <x:c r="D13746" s="13" t="str">
        <x:v>Utilities &amp; Energy</x:v>
      </x:c>
      <x:c r="E13746" s="13" t="str">
        <x:v>Utilities</x:v>
      </x:c>
      <x:c r="F13746" s="13" t="str">
        <x:v>Defensives</x:v>
      </x:c>
      <x:c r="G13746" s="13" t="str">
        <x:v>grid_jx40wu4i.xlsx</x:v>
      </x:c>
    </x:row>
    <x:row r="13747">
      <x:c r="A13747" s="15" t="n">
        <x:v>46174</x:v>
      </x:c>
      <x:c r="B13747" s="13" t="str">
        <x:v>ENGIE BRASIL ENERGIA SA</x:v>
      </x:c>
      <x:c r="C13747" s="16" t="n">
        <x:v>3465.2497695562</x:v>
      </x:c>
      <x:c r="D13747" s="13" t="str">
        <x:v>Utilities &amp; Energy</x:v>
      </x:c>
      <x:c r="E13747" s="13" t="str">
        <x:v>Utilities</x:v>
      </x:c>
      <x:c r="F13747" s="13" t="str">
        <x:v>Defensives</x:v>
      </x:c>
      <x:c r="G13747" s="13" t="str">
        <x:v>grid_jx40wu4i.xlsx</x:v>
      </x:c>
    </x:row>
    <x:row r="13748">
      <x:c r="A13748" s="15" t="n">
        <x:v>46174</x:v>
      </x:c>
      <x:c r="B13748" s="13" t="str">
        <x:v>EQUATORIAL SA - ORD</x:v>
      </x:c>
      <x:c r="C13748" s="16" t="n">
        <x:v>3342.0089365041</x:v>
      </x:c>
      <x:c r="D13748" s="13" t="str">
        <x:v>Utilities &amp; Energy</x:v>
      </x:c>
      <x:c r="E13748" s="13" t="str">
        <x:v>Utilities</x:v>
      </x:c>
      <x:c r="F13748" s="13" t="str">
        <x:v>Defensives</x:v>
      </x:c>
      <x:c r="G13748" s="13" t="str">
        <x:v>grid_jx40wu4i.xlsx</x:v>
      </x:c>
    </x:row>
    <x:row r="13749">
      <x:c r="A13749" s="15" t="n">
        <x:v>46174</x:v>
      </x:c>
      <x:c r="B13749" s="13" t="str">
        <x:v>ISA ENERGIA BRASIL SA</x:v>
      </x:c>
      <x:c r="C13749" s="16" t="n">
        <x:v>1679.7842239123</x:v>
      </x:c>
      <x:c r="D13749" s="13" t="str">
        <x:v>Utilities &amp; Energy</x:v>
      </x:c>
      <x:c r="E13749" s="13" t="str">
        <x:v>Utilities</x:v>
      </x:c>
      <x:c r="F13749" s="13" t="str">
        <x:v>Defensives</x:v>
      </x:c>
      <x:c r="G13749" s="13" t="str">
        <x:v>grid_jx40wu4i.xlsx</x:v>
      </x:c>
    </x:row>
    <x:row r="13750">
      <x:c r="A13750" s="15" t="n">
        <x:v>46174</x:v>
      </x:c>
      <x:c r="B13750" s="13" t="str">
        <x:v>TRANSMISSORA ALIANCA DE-UNIT</x:v>
      </x:c>
      <x:c r="C13750" s="16" t="n">
        <x:v>1346.3382535014</x:v>
      </x:c>
      <x:c r="D13750" s="13" t="str">
        <x:v>Utilities &amp; Energy</x:v>
      </x:c>
      <x:c r="E13750" s="13" t="str">
        <x:v>Utilities</x:v>
      </x:c>
      <x:c r="F13750" s="13" t="str">
        <x:v>Defensives</x:v>
      </x:c>
      <x:c r="G13750" s="13" t="str">
        <x:v>grid_jx40wu4i.xlsx</x:v>
      </x:c>
    </x:row>
    <x:row r="13751">
      <x:c r="A13751" s="15" t="n">
        <x:v>46204</x:v>
      </x:c>
      <x:c r="B13751" s="13" t="str">
        <x:v>SLC AGRICOLA SA</x:v>
      </x:c>
      <x:c r="C13751" s="16" t="n">
        <x:v>704.2851259616</x:v>
      </x:c>
      <x:c r="D13751" s="13" t="str">
        <x:v>Agribusiness</x:v>
      </x:c>
      <x:c r="E13751" s="13" t="str">
        <x:v>Agri, Food &amp; Beverages</x:v>
      </x:c>
      <x:c r="F13751" s="13" t="str">
        <x:v>Defensives</x:v>
      </x:c>
      <x:c r="G13751" s="13" t="str">
        <x:v>grid_jx40wu4i.xlsx</x:v>
      </x:c>
    </x:row>
    <x:row r="13752">
      <x:c r="A13752" s="15" t="n">
        <x:v>46204</x:v>
      </x:c>
      <x:c r="B13752" s="13" t="str">
        <x:v>BANCO BRADESCO S.A.</x:v>
      </x:c>
      <x:c r="C13752" s="16" t="n">
        <x:v>30392.4023464329</x:v>
      </x:c>
      <x:c r="D13752" s="13" t="str">
        <x:v>Banks</x:v>
      </x:c>
      <x:c r="E13752" s="13" t="str">
        <x:v>Banks</x:v>
      </x:c>
      <x:c r="F13752" s="13" t="str">
        <x:v>Financials</x:v>
      </x:c>
      <x:c r="G13752" s="13" t="str">
        <x:v>grid_jx40wu4i.xlsx</x:v>
      </x:c>
    </x:row>
    <x:row r="13753">
      <x:c r="A13753" s="15" t="n">
        <x:v>46204</x:v>
      </x:c>
      <x:c r="B13753" s="13" t="str">
        <x:v>BANCO BRADESCO SA-PREF</x:v>
      </x:c>
      <x:c r="C13753" s="16" t="n">
        <x:v>30392.4023464329</x:v>
      </x:c>
      <x:c r="D13753" s="13" t="str">
        <x:v>Banks</x:v>
      </x:c>
      <x:c r="E13753" s="13" t="str">
        <x:v>Banks</x:v>
      </x:c>
      <x:c r="F13753" s="13" t="str">
        <x:v>Financials</x:v>
      </x:c>
      <x:c r="G13753" s="13" t="str">
        <x:v>grid_jx40wu4i.xlsx</x:v>
      </x:c>
    </x:row>
    <x:row r="13754">
      <x:c r="A13754" s="15" t="n">
        <x:v>46204</x:v>
      </x:c>
      <x:c r="B13754" s="13" t="str">
        <x:v>BANCO BTG PACTUAL SA-UNIT</x:v>
      </x:c>
      <x:c r="C13754" s="16" t="n">
        <x:v>21519.0177820055</x:v>
      </x:c>
      <x:c r="D13754" s="13" t="str">
        <x:v>Banks</x:v>
      </x:c>
      <x:c r="E13754" s="13" t="str">
        <x:v>Banks</x:v>
      </x:c>
      <x:c r="F13754" s="13" t="str">
        <x:v>Financials</x:v>
      </x:c>
      <x:c r="G13754" s="13" t="str">
        <x:v>grid_jx40wu4i.xlsx</x:v>
      </x:c>
    </x:row>
    <x:row r="13755">
      <x:c r="A13755" s="15" t="n">
        <x:v>46204</x:v>
      </x:c>
      <x:c r="B13755" s="13" t="str">
        <x:v>BANCO DO BRASIL S.A.</x:v>
      </x:c>
      <x:c r="C13755" s="16" t="n">
        <x:v>23935.8121619288</x:v>
      </x:c>
      <x:c r="D13755" s="13" t="str">
        <x:v>Banks</x:v>
      </x:c>
      <x:c r="E13755" s="13" t="str">
        <x:v>Banks</x:v>
      </x:c>
      <x:c r="F13755" s="13" t="str">
        <x:v>Financials</x:v>
      </x:c>
      <x:c r="G13755" s="13" t="str">
        <x:v>grid_jx40wu4i.xlsx</x:v>
      </x:c>
    </x:row>
    <x:row r="13756">
      <x:c r="A13756" s="15" t="n">
        <x:v>46204</x:v>
      </x:c>
      <x:c r="B13756" s="13" t="str">
        <x:v>BANCO SANTANDER  BRASIL-UNIT</x:v>
      </x:c>
      <x:c r="C13756" s="16" t="n">
        <x:v>16163.2325295342</x:v>
      </x:c>
      <x:c r="D13756" s="13" t="str">
        <x:v>Banks</x:v>
      </x:c>
      <x:c r="E13756" s="13" t="str">
        <x:v>Banks</x:v>
      </x:c>
      <x:c r="F13756" s="13" t="str">
        <x:v>Financials</x:v>
      </x:c>
      <x:c r="G13756" s="13" t="str">
        <x:v>grid_jx40wu4i.xlsx</x:v>
      </x:c>
    </x:row>
    <x:row r="13757">
      <x:c r="A13757" s="15" t="n">
        <x:v>46204</x:v>
      </x:c>
      <x:c r="B13757" s="13" t="str">
        <x:v>ITAU UNIBANCO HOLDING S-PREF</x:v>
      </x:c>
      <x:c r="C13757" s="16" t="n">
        <x:v>54186.1192128877</x:v>
      </x:c>
      <x:c r="D13757" s="13" t="str">
        <x:v>Banks</x:v>
      </x:c>
      <x:c r="E13757" s="13" t="str">
        <x:v>Banks</x:v>
      </x:c>
      <x:c r="F13757" s="13" t="str">
        <x:v>Financials</x:v>
      </x:c>
      <x:c r="G13757" s="13" t="str">
        <x:v>grid_jx40wu4i.xlsx</x:v>
      </x:c>
    </x:row>
    <x:row r="13758">
      <x:c r="A13758" s="15" t="n">
        <x:v>46204</x:v>
      </x:c>
      <x:c r="B13758" s="13" t="str">
        <x:v>EMBRAER SA</x:v>
      </x:c>
      <x:c r="C13758" s="16" t="n">
        <x:v>2994.8390582356</x:v>
      </x:c>
      <x:c r="D13758" s="13" t="str">
        <x:v>Capital Goods</x:v>
      </x:c>
      <x:c r="E13758" s="13" t="str">
        <x:v>Capital Goods</x:v>
      </x:c>
      <x:c r="F13758" s="13" t="str">
        <x:v>Deep Cyclicals</x:v>
      </x:c>
      <x:c r="G13758" s="13" t="str">
        <x:v>grid_jx40wu4i.xlsx</x:v>
      </x:c>
    </x:row>
    <x:row r="13759">
      <x:c r="A13759" s="15" t="n">
        <x:v>46204</x:v>
      </x:c>
      <x:c r="B13759" s="13" t="str">
        <x:v>MARCOPOLO SA-PREF</x:v>
      </x:c>
      <x:c r="C13759" s="16" t="n">
        <x:v>1297.2721509699</x:v>
      </x:c>
      <x:c r="D13759" s="13" t="str">
        <x:v>Capital Goods</x:v>
      </x:c>
      <x:c r="E13759" s="13" t="str">
        <x:v>Capital Goods</x:v>
      </x:c>
      <x:c r="F13759" s="13" t="str">
        <x:v>Deep Cyclicals</x:v>
      </x:c>
      <x:c r="G13759" s="13" t="str">
        <x:v>grid_jx40wu4i.xlsx</x:v>
      </x:c>
    </x:row>
    <x:row r="13760">
      <x:c r="A13760" s="15" t="n">
        <x:v>46204</x:v>
      </x:c>
      <x:c r="B13760" s="13" t="str">
        <x:v>WEG SA</x:v>
      </x:c>
      <x:c r="C13760" s="16" t="n">
        <x:v>7184.2062434192</x:v>
      </x:c>
      <x:c r="D13760" s="13" t="str">
        <x:v>Capital Goods</x:v>
      </x:c>
      <x:c r="E13760" s="13" t="str">
        <x:v>Capital Goods</x:v>
      </x:c>
      <x:c r="F13760" s="13" t="str">
        <x:v>Deep Cyclicals</x:v>
      </x:c>
      <x:c r="G13760" s="13" t="str">
        <x:v>grid_jx40wu4i.xlsx</x:v>
      </x:c>
    </x:row>
    <x:row r="13761">
      <x:c r="A13761" s="15" t="n">
        <x:v>46204</x:v>
      </x:c>
      <x:c r="B13761" s="13" t="str">
        <x:v>COGNA EDUCACAO</x:v>
      </x:c>
      <x:c r="C13761" s="16" t="n">
        <x:v>937.2246761205</x:v>
      </x:c>
      <x:c r="D13761" s="13" t="str">
        <x:v>Education</x:v>
      </x:c>
      <x:c r="E13761" s="13" t="str">
        <x:v>Education</x:v>
      </x:c>
      <x:c r="F13761" s="13" t="str">
        <x:v>Early Cyclicals</x:v>
      </x:c>
      <x:c r="G13761" s="13" t="str">
        <x:v>grid_jx40wu4i.xlsx</x:v>
      </x:c>
    </x:row>
    <x:row r="13762">
      <x:c r="A13762" s="15" t="n">
        <x:v>46204</x:v>
      </x:c>
      <x:c r="B13762" s="13" t="str">
        <x:v>YDUQS PARTICIPACOES SA</x:v>
      </x:c>
      <x:c r="C13762" s="16" t="n">
        <x:v>505.9727411726</x:v>
      </x:c>
      <x:c r="D13762" s="13" t="str">
        <x:v>Education</x:v>
      </x:c>
      <x:c r="E13762" s="13" t="str">
        <x:v>Education</x:v>
      </x:c>
      <x:c r="F13762" s="13" t="str">
        <x:v>Early Cyclicals</x:v>
      </x:c>
      <x:c r="G13762" s="13" t="str">
        <x:v>grid_jx40wu4i.xlsx</x:v>
      </x:c>
    </x:row>
    <x:row r="13763">
      <x:c r="A13763" s="15" t="n">
        <x:v>46204</x:v>
      </x:c>
      <x:c r="B13763" s="13" t="str">
        <x:v>B3 SA-BRASIL BOLSA BALCAO</x:v>
      </x:c>
      <x:c r="C13763" s="16" t="n">
        <x:v>6368.5635605041</x:v>
      </x:c>
      <x:c r="D13763" s="13" t="str">
        <x:v>Financials Non-Banks</x:v>
      </x:c>
      <x:c r="E13763" s="13" t="str">
        <x:v>Financials Non-Banks</x:v>
      </x:c>
      <x:c r="F13763" s="13" t="str">
        <x:v>Financials</x:v>
      </x:c>
      <x:c r="G13763" s="13" t="str">
        <x:v>grid_jx40wu4i.xlsx</x:v>
      </x:c>
    </x:row>
    <x:row r="13764">
      <x:c r="A13764" s="15" t="n">
        <x:v>46204</x:v>
      </x:c>
      <x:c r="B13764" s="13" t="str">
        <x:v>BB SEGURIDADE PARTICIPACOES</x:v>
      </x:c>
      <x:c r="C13764" s="16" t="n">
        <x:v>8622.8911202192</x:v>
      </x:c>
      <x:c r="D13764" s="13" t="str">
        <x:v>Financials Non-Banks</x:v>
      </x:c>
      <x:c r="E13764" s="13" t="str">
        <x:v>Financials Non-Banks</x:v>
      </x:c>
      <x:c r="F13764" s="13" t="str">
        <x:v>Financials</x:v>
      </x:c>
      <x:c r="G13764" s="13" t="str">
        <x:v>grid_jx40wu4i.xlsx</x:v>
      </x:c>
    </x:row>
    <x:row r="13765">
      <x:c r="A13765" s="15" t="n">
        <x:v>46204</x:v>
      </x:c>
      <x:c r="B13765" s="13" t="str">
        <x:v>CAIXA SEGURIDADE PARTICIPACO</x:v>
      </x:c>
      <x:c r="C13765" s="16" t="n">
        <x:v>4743.6921841973</x:v>
      </x:c>
      <x:c r="D13765" s="13" t="str">
        <x:v>Financials Non-Banks</x:v>
      </x:c>
      <x:c r="E13765" s="13" t="str">
        <x:v>Financials Non-Banks</x:v>
      </x:c>
      <x:c r="F13765" s="13" t="str">
        <x:v>Financials</x:v>
      </x:c>
      <x:c r="G13765" s="13" t="str">
        <x:v>grid_jx40wu4i.xlsx</x:v>
      </x:c>
    </x:row>
    <x:row r="13766">
      <x:c r="A13766" s="15" t="n">
        <x:v>46204</x:v>
      </x:c>
      <x:c r="B13766" s="13" t="str">
        <x:v>ITAUSA SA</x:v>
      </x:c>
      <x:c r="C13766" s="16" t="n">
        <x:v>20527.0170020822</x:v>
      </x:c>
      <x:c r="D13766" s="13" t="str">
        <x:v>Financials Non-Banks</x:v>
      </x:c>
      <x:c r="E13766" s="13" t="str">
        <x:v>Financials Non-Banks</x:v>
      </x:c>
      <x:c r="F13766" s="13" t="str">
        <x:v>Financials</x:v>
      </x:c>
      <x:c r="G13766" s="13" t="str">
        <x:v>grid_jx40wu4i.xlsx</x:v>
      </x:c>
    </x:row>
    <x:row r="13767">
      <x:c r="A13767" s="15" t="n">
        <x:v>46204</x:v>
      </x:c>
      <x:c r="B13767" s="13" t="str">
        <x:v>PORTO SEGURO SA</x:v>
      </x:c>
      <x:c r="C13767" s="16" t="n">
        <x:v>3970.8409884055</x:v>
      </x:c>
      <x:c r="D13767" s="13" t="str">
        <x:v>Financials Non-Banks</x:v>
      </x:c>
      <x:c r="E13767" s="13" t="str">
        <x:v>Financials Non-Banks</x:v>
      </x:c>
      <x:c r="F13767" s="13" t="str">
        <x:v>Financials</x:v>
      </x:c>
      <x:c r="G13767" s="13" t="str">
        <x:v>grid_jx40wu4i.xlsx</x:v>
      </x:c>
    </x:row>
    <x:row r="13768">
      <x:c r="A13768" s="15" t="n">
        <x:v>46204</x:v>
      </x:c>
      <x:c r="B13768" s="13" t="str">
        <x:v>AMBEV SA</x:v>
      </x:c>
      <x:c r="C13768" s="16" t="n">
        <x:v>16938.8686406137</x:v>
      </x:c>
      <x:c r="D13768" s="13" t="str">
        <x:v>Food &amp; Beverages</x:v>
      </x:c>
      <x:c r="E13768" s="13" t="str">
        <x:v>Agri, Food &amp; Beverages</x:v>
      </x:c>
      <x:c r="F13768" s="13" t="str">
        <x:v>Defensives</x:v>
      </x:c>
      <x:c r="G13768" s="13" t="str">
        <x:v>grid_jx40wu4i.xlsx</x:v>
      </x:c>
    </x:row>
    <x:row r="13769">
      <x:c r="A13769" s="15" t="n">
        <x:v>46204</x:v>
      </x:c>
      <x:c r="B13769" s="13" t="str">
        <x:v>MBRF GLOBAL FOODS COMPANY SA</x:v>
      </x:c>
      <x:c r="C13769" s="16" t="n">
        <x:v>647.2449408</x:v>
      </x:c>
      <x:c r="D13769" s="13" t="str">
        <x:v>Food &amp; Beverages</x:v>
      </x:c>
      <x:c r="E13769" s="13" t="str">
        <x:v>Agri, Food &amp; Beverages</x:v>
      </x:c>
      <x:c r="F13769" s="13" t="str">
        <x:v>Defensives</x:v>
      </x:c>
      <x:c r="G13769" s="13" t="str">
        <x:v>grid_jx40wu4i.xlsx</x:v>
      </x:c>
    </x:row>
    <x:row r="13770">
      <x:c r="A13770" s="15" t="n">
        <x:v>46204</x:v>
      </x:c>
      <x:c r="B13770" s="13" t="str">
        <x:v>MINERVA SA</x:v>
      </x:c>
      <x:c r="C13770" s="16" t="n">
        <x:v>787.8053731945</x:v>
      </x:c>
      <x:c r="D13770" s="13" t="str">
        <x:v>Food &amp; Beverages</x:v>
      </x:c>
      <x:c r="E13770" s="13" t="str">
        <x:v>Agri, Food &amp; Beverages</x:v>
      </x:c>
      <x:c r="F13770" s="13" t="str">
        <x:v>Defensives</x:v>
      </x:c>
      <x:c r="G13770" s="13" t="str">
        <x:v>grid_jx40wu4i.xlsx</x:v>
      </x:c>
    </x:row>
    <x:row r="13771">
      <x:c r="A13771" s="15" t="n">
        <x:v>46204</x:v>
      </x:c>
      <x:c r="B13771" s="13" t="str">
        <x:v>FLEURY SA</x:v>
      </x:c>
      <x:c r="C13771" s="16" t="n">
        <x:v>763.6438356164</x:v>
      </x:c>
      <x:c r="D13771" s="13" t="str">
        <x:v>Health Care</x:v>
      </x:c>
      <x:c r="E13771" s="13" t="str">
        <x:v>Health Care</x:v>
      </x:c>
      <x:c r="F13771" s="13" t="str">
        <x:v>Defensives</x:v>
      </x:c>
      <x:c r="G13771" s="13" t="str">
        <x:v>grid_jx40wu4i.xlsx</x:v>
      </x:c>
    </x:row>
    <x:row r="13772">
      <x:c r="A13772" s="15" t="n">
        <x:v>46204</x:v>
      </x:c>
      <x:c r="B13772" s="13" t="str">
        <x:v>HAPVIDA PARTICIPACOES E INVE</x:v>
      </x:c>
      <x:c r="C13772" s="16" t="n">
        <x:v>589.4145251945</x:v>
      </x:c>
      <x:c r="D13772" s="13" t="str">
        <x:v>Health Care</x:v>
      </x:c>
      <x:c r="E13772" s="13" t="str">
        <x:v>Health Care</x:v>
      </x:c>
      <x:c r="F13772" s="13" t="str">
        <x:v>Defensives</x:v>
      </x:c>
      <x:c r="G13772" s="13" t="str">
        <x:v>grid_jx40wu4i.xlsx</x:v>
      </x:c>
    </x:row>
    <x:row r="13773">
      <x:c r="A13773" s="15" t="n">
        <x:v>46204</x:v>
      </x:c>
      <x:c r="B13773" s="13" t="str">
        <x:v>HYPERA SA</x:v>
      </x:c>
      <x:c r="C13773" s="16" t="n">
        <x:v>2119.2047300384</x:v>
      </x:c>
      <x:c r="D13773" s="13" t="str">
        <x:v>Health Care</x:v>
      </x:c>
      <x:c r="E13773" s="13" t="str">
        <x:v>Health Care</x:v>
      </x:c>
      <x:c r="F13773" s="13" t="str">
        <x:v>Defensives</x:v>
      </x:c>
      <x:c r="G13773" s="13" t="str">
        <x:v>grid_jx40wu4i.xlsx</x:v>
      </x:c>
    </x:row>
    <x:row r="13774">
      <x:c r="A13774" s="15" t="n">
        <x:v>46204</x:v>
      </x:c>
      <x:c r="B13774" s="13" t="str">
        <x:v>REDE D'OR SAO LUIZ SA</x:v>
      </x:c>
      <x:c r="C13774" s="16" t="n">
        <x:v>5682.9144316493</x:v>
      </x:c>
      <x:c r="D13774" s="13" t="str">
        <x:v>Health Care</x:v>
      </x:c>
      <x:c r="E13774" s="13" t="str">
        <x:v>Health Care</x:v>
      </x:c>
      <x:c r="F13774" s="13" t="str">
        <x:v>Defensives</x:v>
      </x:c>
      <x:c r="G13774" s="13" t="str">
        <x:v>grid_jx40wu4i.xlsx</x:v>
      </x:c>
    </x:row>
    <x:row r="13775">
      <x:c r="A13775" s="15" t="n">
        <x:v>46204</x:v>
      </x:c>
      <x:c r="B13775" s="13" t="str">
        <x:v>CURY CONSTRUTORA E INCORPORA</x:v>
      </x:c>
      <x:c r="C13775" s="16" t="n">
        <x:v>1388.1357312</x:v>
      </x:c>
      <x:c r="D13775" s="13" t="str">
        <x:v>Homebuilders</x:v>
      </x:c>
      <x:c r="E13775" s="13" t="str">
        <x:v>Real Estate</x:v>
      </x:c>
      <x:c r="F13775" s="13" t="str">
        <x:v>Early Cyclicals</x:v>
      </x:c>
      <x:c r="G13775" s="13" t="str">
        <x:v>grid_jx40wu4i.xlsx</x:v>
      </x:c>
    </x:row>
    <x:row r="13776">
      <x:c r="A13776" s="15" t="n">
        <x:v>46204</x:v>
      </x:c>
      <x:c r="B13776" s="13" t="str">
        <x:v>CYRELA BRAZIL REALTY SA EMP</x:v>
      </x:c>
      <x:c r="C13776" s="16" t="n">
        <x:v>2062.7759275836</x:v>
      </x:c>
      <x:c r="D13776" s="13" t="str">
        <x:v>Homebuilders</x:v>
      </x:c>
      <x:c r="E13776" s="13" t="str">
        <x:v>Real Estate</x:v>
      </x:c>
      <x:c r="F13776" s="13" t="str">
        <x:v>Early Cyclicals</x:v>
      </x:c>
      <x:c r="G13776" s="13" t="str">
        <x:v>grid_jx40wu4i.xlsx</x:v>
      </x:c>
    </x:row>
    <x:row r="13777">
      <x:c r="A13777" s="15" t="n">
        <x:v>46204</x:v>
      </x:c>
      <x:c r="B13777" s="13" t="str">
        <x:v>DIRECIONAL ENGENHARIA SA</x:v>
      </x:c>
      <x:c r="C13777" s="16" t="n">
        <x:v>1080.4494122082</x:v>
      </x:c>
      <x:c r="D13777" s="13" t="str">
        <x:v>Homebuilders</x:v>
      </x:c>
      <x:c r="E13777" s="13" t="str">
        <x:v>Real Estate</x:v>
      </x:c>
      <x:c r="F13777" s="13" t="str">
        <x:v>Early Cyclicals</x:v>
      </x:c>
      <x:c r="G13777" s="13" t="str">
        <x:v>grid_jx40wu4i.xlsx</x:v>
      </x:c>
    </x:row>
    <x:row r="13778">
      <x:c r="A13778" s="15" t="n">
        <x:v>46204</x:v>
      </x:c>
      <x:c r="B13778" s="13" t="str">
        <x:v>MRV ENGENHARIA</x:v>
      </x:c>
      <x:c r="C13778" s="16" t="n">
        <x:v>612.8659293808</x:v>
      </x:c>
      <x:c r="D13778" s="13" t="str">
        <x:v>Homebuilders</x:v>
      </x:c>
      <x:c r="E13778" s="13" t="str">
        <x:v>Real Estate</x:v>
      </x:c>
      <x:c r="F13778" s="13" t="str">
        <x:v>Early Cyclicals</x:v>
      </x:c>
      <x:c r="G13778" s="13" t="str">
        <x:v>grid_jx40wu4i.xlsx</x:v>
      </x:c>
    </x:row>
    <x:row r="13779">
      <x:c r="A13779" s="15" t="n">
        <x:v>46204</x:v>
      </x:c>
      <x:c r="B13779" s="13" t="str">
        <x:v>ALLOS SA</x:v>
      </x:c>
      <x:c r="C13779" s="16" t="n">
        <x:v>1014.4722609096</x:v>
      </x:c>
      <x:c r="D13779" s="13" t="str">
        <x:v>Income Properties</x:v>
      </x:c>
      <x:c r="E13779" s="13" t="str">
        <x:v>Real Estate</x:v>
      </x:c>
      <x:c r="F13779" s="13" t="str">
        <x:v>Early Cyclicals</x:v>
      </x:c>
      <x:c r="G13779" s="13" t="str">
        <x:v>grid_jx40wu4i.xlsx</x:v>
      </x:c>
    </x:row>
    <x:row r="13780">
      <x:c r="A13780" s="15" t="n">
        <x:v>46204</x:v>
      </x:c>
      <x:c r="B13780" s="13" t="str">
        <x:v>IGUATEMI SA - UNITS</x:v>
      </x:c>
      <x:c r="C13780" s="16" t="n">
        <x:v>660.5969891945</x:v>
      </x:c>
      <x:c r="D13780" s="13" t="str">
        <x:v>Income Properties</x:v>
      </x:c>
      <x:c r="E13780" s="13" t="str">
        <x:v>Real Estate</x:v>
      </x:c>
      <x:c r="F13780" s="13" t="str">
        <x:v>Early Cyclicals</x:v>
      </x:c>
      <x:c r="G13780" s="13" t="str">
        <x:v>grid_jx40wu4i.xlsx</x:v>
      </x:c>
    </x:row>
    <x:row r="13781">
      <x:c r="A13781" s="15" t="n">
        <x:v>46204</x:v>
      </x:c>
      <x:c r="B13781" s="13" t="str">
        <x:v>MULTIPLAN EMPREENDIMENTOS</x:v>
      </x:c>
      <x:c r="C13781" s="16" t="n">
        <x:v>1259.6073713973</x:v>
      </x:c>
      <x:c r="D13781" s="13" t="str">
        <x:v>Income Properties</x:v>
      </x:c>
      <x:c r="E13781" s="13" t="str">
        <x:v>Real Estate</x:v>
      </x:c>
      <x:c r="F13781" s="13" t="str">
        <x:v>Early Cyclicals</x:v>
      </x:c>
      <x:c r="G13781" s="13" t="str">
        <x:v>grid_jx40wu4i.xlsx</x:v>
      </x:c>
    </x:row>
    <x:row r="13782">
      <x:c r="A13782" s="15" t="n">
        <x:v>46204</x:v>
      </x:c>
      <x:c r="B13782" s="13" t="str">
        <x:v>BRADESPAR SA -PREF</x:v>
      </x:c>
      <x:c r="C13782" s="16" t="n">
        <x:v>1662.0328952986</x:v>
      </x:c>
      <x:c r="D13782" s="13" t="str">
        <x:v>Metals &amp; Mining</x:v>
      </x:c>
      <x:c r="E13782" s="13" t="str">
        <x:v>Metals &amp; Mining</x:v>
      </x:c>
      <x:c r="F13782" s="13" t="str">
        <x:v>Deep Cyclicals</x:v>
      </x:c>
      <x:c r="G13782" s="13" t="str">
        <x:v>grid_jx40wu4i.xlsx</x:v>
      </x:c>
    </x:row>
    <x:row r="13783">
      <x:c r="A13783" s="15" t="n">
        <x:v>46204</x:v>
      </x:c>
      <x:c r="B13783" s="13" t="str">
        <x:v>CIA SIDERURGICA NACIONAL SA</x:v>
      </x:c>
      <x:c r="C13783" s="16" t="n">
        <x:v>-967.5025232658</x:v>
      </x:c>
      <x:c r="D13783" s="13" t="str">
        <x:v>Metals &amp; Mining</x:v>
      </x:c>
      <x:c r="E13783" s="13" t="str">
        <x:v>Metals &amp; Mining</x:v>
      </x:c>
      <x:c r="F13783" s="13" t="str">
        <x:v>Deep Cyclicals</x:v>
      </x:c>
      <x:c r="G13783" s="13" t="str">
        <x:v>grid_jx40wu4i.xlsx</x:v>
      </x:c>
    </x:row>
    <x:row r="13784">
      <x:c r="A13784" s="15" t="n">
        <x:v>46204</x:v>
      </x:c>
      <x:c r="B13784" s="13" t="str">
        <x:v>CSN MINERACAO SA</x:v>
      </x:c>
      <x:c r="C13784" s="16" t="n">
        <x:v>1853.3372096877</x:v>
      </x:c>
      <x:c r="D13784" s="13" t="str">
        <x:v>Metals &amp; Mining</x:v>
      </x:c>
      <x:c r="E13784" s="13" t="str">
        <x:v>Metals &amp; Mining</x:v>
      </x:c>
      <x:c r="F13784" s="13" t="str">
        <x:v>Deep Cyclicals</x:v>
      </x:c>
      <x:c r="G13784" s="13" t="str">
        <x:v>grid_jx40wu4i.xlsx</x:v>
      </x:c>
    </x:row>
    <x:row r="13785">
      <x:c r="A13785" s="15" t="n">
        <x:v>46204</x:v>
      </x:c>
      <x:c r="B13785" s="13" t="str">
        <x:v>GERDAU SA-PREF</x:v>
      </x:c>
      <x:c r="C13785" s="16" t="n">
        <x:v>5408.7216408548</x:v>
      </x:c>
      <x:c r="D13785" s="13" t="str">
        <x:v>Metals &amp; Mining</x:v>
      </x:c>
      <x:c r="E13785" s="13" t="str">
        <x:v>Metals &amp; Mining</x:v>
      </x:c>
      <x:c r="F13785" s="13" t="str">
        <x:v>Deep Cyclicals</x:v>
      </x:c>
      <x:c r="G13785" s="13" t="str">
        <x:v>grid_jx40wu4i.xlsx</x:v>
      </x:c>
    </x:row>
    <x:row r="13786">
      <x:c r="A13786" s="15" t="n">
        <x:v>46204</x:v>
      </x:c>
      <x:c r="B13786" s="13" t="str">
        <x:v>METALURGICA GERDAU SA-PREF</x:v>
      </x:c>
      <x:c r="C13786" s="16" t="n">
        <x:v>1931.2383189918</x:v>
      </x:c>
      <x:c r="D13786" s="13" t="str">
        <x:v>Metals &amp; Mining</x:v>
      </x:c>
      <x:c r="E13786" s="13" t="str">
        <x:v>Metals &amp; Mining</x:v>
      </x:c>
      <x:c r="F13786" s="13" t="str">
        <x:v>Deep Cyclicals</x:v>
      </x:c>
      <x:c r="G13786" s="13" t="str">
        <x:v>grid_jx40wu4i.xlsx</x:v>
      </x:c>
    </x:row>
    <x:row r="13787">
      <x:c r="A13787" s="15" t="n">
        <x:v>46204</x:v>
      </x:c>
      <x:c r="B13787" s="13" t="str">
        <x:v>USINAS SIDER MINAS GER-PF A</x:v>
      </x:c>
      <x:c r="C13787" s="16" t="n">
        <x:v>1430.130310663</x:v>
      </x:c>
      <x:c r="D13787" s="13" t="str">
        <x:v>Metals &amp; Mining</x:v>
      </x:c>
      <x:c r="E13787" s="13" t="str">
        <x:v>Metals &amp; Mining</x:v>
      </x:c>
      <x:c r="F13787" s="13" t="str">
        <x:v>Deep Cyclicals</x:v>
      </x:c>
      <x:c r="G13787" s="13" t="str">
        <x:v>grid_jx40wu4i.xlsx</x:v>
      </x:c>
    </x:row>
    <x:row r="13788">
      <x:c r="A13788" s="15" t="n">
        <x:v>46204</x:v>
      </x:c>
      <x:c r="B13788" s="13" t="str">
        <x:v>VALE SA</x:v>
      </x:c>
      <x:c r="C13788" s="16" t="n">
        <x:v>41200.896544263</x:v>
      </x:c>
      <x:c r="D13788" s="13" t="str">
        <x:v>Metals &amp; Mining</x:v>
      </x:c>
      <x:c r="E13788" s="13" t="str">
        <x:v>Metals &amp; Mining</x:v>
      </x:c>
      <x:c r="F13788" s="13" t="str">
        <x:v>Deep Cyclicals</x:v>
      </x:c>
      <x:c r="G13788" s="13" t="str">
        <x:v>grid_jx40wu4i.xlsx</x:v>
      </x:c>
    </x:row>
    <x:row r="13789">
      <x:c r="A13789" s="15" t="n">
        <x:v>46204</x:v>
      </x:c>
      <x:c r="B13789" s="13" t="str">
        <x:v>BRASKEM SA-PREF A</x:v>
      </x:c>
      <x:c r="C13789" s="16" t="n">
        <x:v>-130.4480992438</x:v>
      </x:c>
      <x:c r="D13789" s="13" t="str">
        <x:v>Oil, Gas &amp; Petrochemicals</x:v>
      </x:c>
      <x:c r="E13789" s="13" t="str">
        <x:v>Oil, Gas &amp; Petrochemicals</x:v>
      </x:c>
      <x:c r="F13789" s="13" t="str">
        <x:v>Deep Cyclicals</x:v>
      </x:c>
      <x:c r="G13789" s="13" t="str">
        <x:v>grid_jx40wu4i.xlsx</x:v>
      </x:c>
    </x:row>
    <x:row r="13790">
      <x:c r="A13790" s="15" t="n">
        <x:v>46204</x:v>
      </x:c>
      <x:c r="B13790" s="13" t="str">
        <x:v>BRAVA ENERGIA</x:v>
      </x:c>
      <x:c r="C13790" s="16" t="n">
        <x:v>1321.8320268274</x:v>
      </x:c>
      <x:c r="D13790" s="13" t="str">
        <x:v>Oil, Gas &amp; Petrochemicals</x:v>
      </x:c>
      <x:c r="E13790" s="13" t="str">
        <x:v>Oil, Gas &amp; Petrochemicals</x:v>
      </x:c>
      <x:c r="F13790" s="13" t="str">
        <x:v>Deep Cyclicals</x:v>
      </x:c>
      <x:c r="G13790" s="13" t="str">
        <x:v>grid_jx40wu4i.xlsx</x:v>
      </x:c>
    </x:row>
    <x:row r="13791">
      <x:c r="A13791" s="15" t="n">
        <x:v>46204</x:v>
      </x:c>
      <x:c r="B13791" s="13" t="str">
        <x:v>COSAN SA</x:v>
      </x:c>
      <x:c r="C13791" s="16" t="n">
        <x:v>1015.679149063</x:v>
      </x:c>
      <x:c r="D13791" s="13" t="str">
        <x:v>Oil, Gas &amp; Petrochemicals</x:v>
      </x:c>
      <x:c r="E13791" s="13" t="str">
        <x:v>Oil, Gas &amp; Petrochemicals</x:v>
      </x:c>
      <x:c r="F13791" s="13" t="str">
        <x:v>Deep Cyclicals</x:v>
      </x:c>
      <x:c r="G13791" s="13" t="str">
        <x:v>grid_jx40wu4i.xlsx</x:v>
      </x:c>
    </x:row>
    <x:row r="13792">
      <x:c r="A13792" s="15" t="n">
        <x:v>46204</x:v>
      </x:c>
      <x:c r="B13792" s="13" t="str">
        <x:v>PETROBRAS - PETROLEO BRAS</x:v>
      </x:c>
      <x:c r="C13792" s="16" t="n">
        <x:v>125102.000189721</x:v>
      </x:c>
      <x:c r="D13792" s="13" t="str">
        <x:v>Oil, Gas &amp; Petrochemicals</x:v>
      </x:c>
      <x:c r="E13792" s="13" t="str">
        <x:v>Oil, Gas &amp; Petrochemicals</x:v>
      </x:c>
      <x:c r="F13792" s="13" t="str">
        <x:v>Deep Cyclicals</x:v>
      </x:c>
      <x:c r="G13792" s="13" t="str">
        <x:v>grid_jx40wu4i.xlsx</x:v>
      </x:c>
    </x:row>
    <x:row r="13793">
      <x:c r="A13793" s="15" t="n">
        <x:v>46204</x:v>
      </x:c>
      <x:c r="B13793" s="13" t="str">
        <x:v>PETRORECONCAVO SA</x:v>
      </x:c>
      <x:c r="C13793" s="16" t="n">
        <x:v>512.0699334137</x:v>
      </x:c>
      <x:c r="D13793" s="13" t="str">
        <x:v>Oil, Gas &amp; Petrochemicals</x:v>
      </x:c>
      <x:c r="E13793" s="13" t="str">
        <x:v>Oil, Gas &amp; Petrochemicals</x:v>
      </x:c>
      <x:c r="F13793" s="13" t="str">
        <x:v>Deep Cyclicals</x:v>
      </x:c>
      <x:c r="G13793" s="13" t="str">
        <x:v>grid_jx40wu4i.xlsx</x:v>
      </x:c>
    </x:row>
    <x:row r="13794">
      <x:c r="A13794" s="15" t="n">
        <x:v>46204</x:v>
      </x:c>
      <x:c r="B13794" s="13" t="str">
        <x:v>PRIO SA</x:v>
      </x:c>
      <x:c r="C13794" s="16" t="n">
        <x:v>8129.1046224658</x:v>
      </x:c>
      <x:c r="D13794" s="13" t="str">
        <x:v>Oil, Gas &amp; Petrochemicals</x:v>
      </x:c>
      <x:c r="E13794" s="13" t="str">
        <x:v>Oil, Gas &amp; Petrochemicals</x:v>
      </x:c>
      <x:c r="F13794" s="13" t="str">
        <x:v>Deep Cyclicals</x:v>
      </x:c>
      <x:c r="G13794" s="13" t="str">
        <x:v>grid_jx40wu4i.xlsx</x:v>
      </x:c>
    </x:row>
    <x:row r="13795">
      <x:c r="A13795" s="15" t="n">
        <x:v>46204</x:v>
      </x:c>
      <x:c r="B13795" s="13" t="str">
        <x:v>ULTRAPAR PARTICIPACOES SA</x:v>
      </x:c>
      <x:c r="C13795" s="16" t="n">
        <x:v>3447.540997611</x:v>
      </x:c>
      <x:c r="D13795" s="13" t="str">
        <x:v>Oil, Gas &amp; Petrochemicals</x:v>
      </x:c>
      <x:c r="E13795" s="13" t="str">
        <x:v>Oil, Gas &amp; Petrochemicals</x:v>
      </x:c>
      <x:c r="F13795" s="13" t="str">
        <x:v>Deep Cyclicals</x:v>
      </x:c>
      <x:c r="G13795" s="13" t="str">
        <x:v>grid_jx40wu4i.xlsx</x:v>
      </x:c>
    </x:row>
    <x:row r="13796">
      <x:c r="A13796" s="15" t="n">
        <x:v>46204</x:v>
      </x:c>
      <x:c r="B13796" s="13" t="str">
        <x:v>VIBRA ENERGIA SA</x:v>
      </x:c>
      <x:c r="C13796" s="16" t="n">
        <x:v>4360.7275618192</x:v>
      </x:c>
      <x:c r="D13796" s="13" t="str">
        <x:v>Oil, Gas &amp; Petrochemicals</x:v>
      </x:c>
      <x:c r="E13796" s="13" t="str">
        <x:v>Oil, Gas &amp; Petrochemicals</x:v>
      </x:c>
      <x:c r="F13796" s="13" t="str">
        <x:v>Deep Cyclicals</x:v>
      </x:c>
      <x:c r="G13796" s="13" t="str">
        <x:v>grid_jx40wu4i.xlsx</x:v>
      </x:c>
    </x:row>
    <x:row r="13797">
      <x:c r="A13797" s="15" t="n">
        <x:v>46204</x:v>
      </x:c>
      <x:c r="B13797" s="13" t="str">
        <x:v>KLABIN SA - UNIT</x:v>
      </x:c>
      <x:c r="C13797" s="16" t="n">
        <x:v>1635.3717756493</x:v>
      </x:c>
      <x:c r="D13797" s="13" t="str">
        <x:v>Pulp &amp; Paper</x:v>
      </x:c>
      <x:c r="E13797" s="13" t="str">
        <x:v>Pulp &amp; Paper</x:v>
      </x:c>
      <x:c r="F13797" s="13" t="str">
        <x:v>Deep Cyclicals</x:v>
      </x:c>
      <x:c r="G13797" s="13" t="str">
        <x:v>grid_jx40wu4i.xlsx</x:v>
      </x:c>
    </x:row>
    <x:row r="13798">
      <x:c r="A13798" s="15" t="n">
        <x:v>46204</x:v>
      </x:c>
      <x:c r="B13798" s="13" t="str">
        <x:v>SUZANO SA</x:v>
      </x:c>
      <x:c r="C13798" s="16" t="n">
        <x:v>8488.1197196274</x:v>
      </x:c>
      <x:c r="D13798" s="13" t="str">
        <x:v>Pulp &amp; Paper</x:v>
      </x:c>
      <x:c r="E13798" s="13" t="str">
        <x:v>Pulp &amp; Paper</x:v>
      </x:c>
      <x:c r="F13798" s="13" t="str">
        <x:v>Deep Cyclicals</x:v>
      </x:c>
      <x:c r="G13798" s="13" t="str">
        <x:v>grid_jx40wu4i.xlsx</x:v>
      </x:c>
    </x:row>
    <x:row r="13799">
      <x:c r="A13799" s="15" t="n">
        <x:v>46204</x:v>
      </x:c>
      <x:c r="B13799" s="13" t="str">
        <x:v>AZZAS 2154 SA</x:v>
      </x:c>
      <x:c r="C13799" s="16" t="n">
        <x:v>663.4207873753</x:v>
      </x:c>
      <x:c r="D13799" s="13" t="str">
        <x:v>Retail</x:v>
      </x:c>
      <x:c r="E13799" s="13" t="str">
        <x:v>Retail</x:v>
      </x:c>
      <x:c r="F13799" s="13" t="str">
        <x:v>Early Cyclicals</x:v>
      </x:c>
      <x:c r="G13799" s="13" t="str">
        <x:v>grid_jx40wu4i.xlsx</x:v>
      </x:c>
    </x:row>
    <x:row r="13800">
      <x:c r="A13800" s="15" t="n">
        <x:v>46204</x:v>
      </x:c>
      <x:c r="B13800" s="13" t="str">
        <x:v>C&amp;A MODAS LTDA</x:v>
      </x:c>
      <x:c r="C13800" s="16" t="n">
        <x:v>545.9087857096</x:v>
      </x:c>
      <x:c r="D13800" s="13" t="str">
        <x:v>Retail</x:v>
      </x:c>
      <x:c r="E13800" s="13" t="str">
        <x:v>Retail</x:v>
      </x:c>
      <x:c r="F13800" s="13" t="str">
        <x:v>Early Cyclicals</x:v>
      </x:c>
      <x:c r="G13800" s="13" t="str">
        <x:v>grid_jx40wu4i.xlsx</x:v>
      </x:c>
    </x:row>
    <x:row r="13801">
      <x:c r="A13801" s="15" t="n">
        <x:v>46204</x:v>
      </x:c>
      <x:c r="B13801" s="13" t="str">
        <x:v>LOJAS RENNER S.A.</x:v>
      </x:c>
      <x:c r="C13801" s="16" t="n">
        <x:v>1682.2166296548</x:v>
      </x:c>
      <x:c r="D13801" s="13" t="str">
        <x:v>Retail</x:v>
      </x:c>
      <x:c r="E13801" s="13" t="str">
        <x:v>Retail</x:v>
      </x:c>
      <x:c r="F13801" s="13" t="str">
        <x:v>Early Cyclicals</x:v>
      </x:c>
      <x:c r="G13801" s="13" t="str">
        <x:v>grid_jx40wu4i.xlsx</x:v>
      </x:c>
    </x:row>
    <x:row r="13802">
      <x:c r="A13802" s="15" t="n">
        <x:v>46204</x:v>
      </x:c>
      <x:c r="B13802" s="13" t="str">
        <x:v>MAGAZINE LUIZA SA</x:v>
      </x:c>
      <x:c r="C13802" s="16" t="n">
        <x:v>310.049830137</x:v>
      </x:c>
      <x:c r="D13802" s="13" t="str">
        <x:v>Retail</x:v>
      </x:c>
      <x:c r="E13802" s="13" t="str">
        <x:v>Retail</x:v>
      </x:c>
      <x:c r="F13802" s="13" t="str">
        <x:v>Early Cyclicals</x:v>
      </x:c>
      <x:c r="G13802" s="13" t="str">
        <x:v>grid_jx40wu4i.xlsx</x:v>
      </x:c>
    </x:row>
    <x:row r="13803">
      <x:c r="A13803" s="15" t="n">
        <x:v>46204</x:v>
      </x:c>
      <x:c r="B13803" s="13" t="str">
        <x:v>NATURA COSMETICOS SA</x:v>
      </x:c>
      <x:c r="C13803" s="16" t="n">
        <x:v>996.3756503671</x:v>
      </x:c>
      <x:c r="D13803" s="13" t="str">
        <x:v>Retail</x:v>
      </x:c>
      <x:c r="E13803" s="13" t="str">
        <x:v>Retail</x:v>
      </x:c>
      <x:c r="F13803" s="13" t="str">
        <x:v>Early Cyclicals</x:v>
      </x:c>
      <x:c r="G13803" s="13" t="str">
        <x:v>grid_jx40wu4i.xlsx</x:v>
      </x:c>
    </x:row>
    <x:row r="13804">
      <x:c r="A13804" s="15" t="n">
        <x:v>46204</x:v>
      </x:c>
      <x:c r="B13804" s="13" t="str">
        <x:v>RAIA DROGASIL SA</x:v>
      </x:c>
      <x:c r="C13804" s="16" t="n">
        <x:v>1860.1342972493</x:v>
      </x:c>
      <x:c r="D13804" s="13" t="str">
        <x:v>Retail</x:v>
      </x:c>
      <x:c r="E13804" s="13" t="str">
        <x:v>Retail</x:v>
      </x:c>
      <x:c r="F13804" s="13" t="str">
        <x:v>Early Cyclicals</x:v>
      </x:c>
      <x:c r="G13804" s="13" t="str">
        <x:v>grid_jx40wu4i.xlsx</x:v>
      </x:c>
    </x:row>
    <x:row r="13805">
      <x:c r="A13805" s="15" t="n">
        <x:v>46204</x:v>
      </x:c>
      <x:c r="B13805" s="13" t="str">
        <x:v>SENDAS DISTRIBUIDORA SA</x:v>
      </x:c>
      <x:c r="C13805" s="16" t="n">
        <x:v>1376.488485874</x:v>
      </x:c>
      <x:c r="D13805" s="13" t="str">
        <x:v>Retail</x:v>
      </x:c>
      <x:c r="E13805" s="13" t="str">
        <x:v>Retail</x:v>
      </x:c>
      <x:c r="F13805" s="13" t="str">
        <x:v>Early Cyclicals</x:v>
      </x:c>
      <x:c r="G13805" s="13" t="str">
        <x:v>grid_jx40wu4i.xlsx</x:v>
      </x:c>
    </x:row>
    <x:row r="13806">
      <x:c r="A13806" s="15" t="n">
        <x:v>46204</x:v>
      </x:c>
      <x:c r="B13806" s="13" t="str">
        <x:v>SMARTFIT - ORDINARY</x:v>
      </x:c>
      <x:c r="C13806" s="16" t="n">
        <x:v>1129.7511338082</x:v>
      </x:c>
      <x:c r="D13806" s="13" t="str">
        <x:v>Retail</x:v>
      </x:c>
      <x:c r="E13806" s="13" t="str">
        <x:v>Retail</x:v>
      </x:c>
      <x:c r="F13806" s="13" t="str">
        <x:v>Early Cyclicals</x:v>
      </x:c>
      <x:c r="G13806" s="13" t="str">
        <x:v>grid_jx40wu4i.xlsx</x:v>
      </x:c>
    </x:row>
    <x:row r="13807">
      <x:c r="A13807" s="15" t="n">
        <x:v>46204</x:v>
      </x:c>
      <x:c r="B13807" s="13" t="str">
        <x:v>VIVARA PARTICIPACOES SA</x:v>
      </x:c>
      <x:c r="C13807" s="16" t="n">
        <x:v>695.5610958904</x:v>
      </x:c>
      <x:c r="D13807" s="13" t="str">
        <x:v>Retail</x:v>
      </x:c>
      <x:c r="E13807" s="13" t="str">
        <x:v>Retail</x:v>
      </x:c>
      <x:c r="F13807" s="13" t="str">
        <x:v>Early Cyclicals</x:v>
      </x:c>
      <x:c r="G13807" s="13" t="str">
        <x:v>grid_jx40wu4i.xlsx</x:v>
      </x:c>
    </x:row>
    <x:row r="13808">
      <x:c r="A13808" s="15" t="n">
        <x:v>46204</x:v>
      </x:c>
      <x:c r="B13808" s="13" t="str">
        <x:v>CIA SANEAMENTO BASICO DE SP</x:v>
      </x:c>
      <x:c r="C13808" s="16" t="n">
        <x:v>7774.431717348</x:v>
      </x:c>
      <x:c r="D13808" s="13" t="str">
        <x:v>Sanitation</x:v>
      </x:c>
      <x:c r="E13808" s="13" t="str">
        <x:v>Utilities</x:v>
      </x:c>
      <x:c r="F13808" s="13" t="str">
        <x:v>Defensives</x:v>
      </x:c>
      <x:c r="G13808" s="13" t="str">
        <x:v>grid_jx40wu4i.xlsx</x:v>
      </x:c>
    </x:row>
    <x:row r="13809">
      <x:c r="A13809" s="15" t="n">
        <x:v>46204</x:v>
      </x:c>
      <x:c r="B13809" s="13" t="str">
        <x:v>CIA SANEAMENTO MINAS GERAIS</x:v>
      </x:c>
      <x:c r="C13809" s="16" t="n">
        <x:v>1502.6302548164</x:v>
      </x:c>
      <x:c r="D13809" s="13" t="str">
        <x:v>Sanitation</x:v>
      </x:c>
      <x:c r="E13809" s="13" t="str">
        <x:v>Utilities</x:v>
      </x:c>
      <x:c r="F13809" s="13" t="str">
        <x:v>Defensives</x:v>
      </x:c>
      <x:c r="G13809" s="13" t="str">
        <x:v>grid_jx40wu4i.xlsx</x:v>
      </x:c>
    </x:row>
    <x:row r="13810">
      <x:c r="A13810" s="15" t="n">
        <x:v>46204</x:v>
      </x:c>
      <x:c r="B13810" s="13" t="str">
        <x:v>TIM SA</x:v>
      </x:c>
      <x:c r="C13810" s="16" t="n">
        <x:v>4873.4956473863</x:v>
      </x:c>
      <x:c r="D13810" s="13" t="str">
        <x:v>TMT</x:v>
      </x:c>
      <x:c r="E13810" s="13" t="str">
        <x:v>TMT</x:v>
      </x:c>
      <x:c r="F13810" s="13" t="str">
        <x:v>Early Cyclicals</x:v>
      </x:c>
      <x:c r="G13810" s="13" t="str">
        <x:v>grid_jx40wu4i.xlsx</x:v>
      </x:c>
    </x:row>
    <x:row r="13811">
      <x:c r="A13811" s="15" t="n">
        <x:v>46204</x:v>
      </x:c>
      <x:c r="B13811" s="13" t="str">
        <x:v>TOTVS SA</x:v>
      </x:c>
      <x:c r="C13811" s="16" t="n">
        <x:v>1110.8093522411</x:v>
      </x:c>
      <x:c r="D13811" s="13" t="str">
        <x:v>TMT</x:v>
      </x:c>
      <x:c r="E13811" s="13" t="str">
        <x:v>TMT</x:v>
      </x:c>
      <x:c r="F13811" s="13" t="str">
        <x:v>Early Cyclicals</x:v>
      </x:c>
      <x:c r="G13811" s="13" t="str">
        <x:v>grid_jx40wu4i.xlsx</x:v>
      </x:c>
    </x:row>
    <x:row r="13812">
      <x:c r="A13812" s="15" t="n">
        <x:v>46204</x:v>
      </x:c>
      <x:c r="B13812" s="13" t="str">
        <x:v>LOCALIZA RENT A CAR</x:v>
      </x:c>
      <x:c r="C13812" s="16" t="n">
        <x:v>4802.9961230027</x:v>
      </x:c>
      <x:c r="D13812" s="13" t="str">
        <x:v>Transportation</x:v>
      </x:c>
      <x:c r="E13812" s="13" t="str">
        <x:v>Transportation</x:v>
      </x:c>
      <x:c r="F13812" s="13" t="str">
        <x:v>Deep Cyclicals</x:v>
      </x:c>
      <x:c r="G13812" s="13" t="str">
        <x:v>grid_jx40wu4i.xlsx</x:v>
      </x:c>
    </x:row>
    <x:row r="13813">
      <x:c r="A13813" s="15" t="n">
        <x:v>46204</x:v>
      </x:c>
      <x:c r="B13813" s="13" t="str">
        <x:v>MOTIVA INFRAESTRUTURA DE MOB</x:v>
      </x:c>
      <x:c r="C13813" s="16" t="n">
        <x:v>2637.3561820931</x:v>
      </x:c>
      <x:c r="D13813" s="13" t="str">
        <x:v>Transportation</x:v>
      </x:c>
      <x:c r="E13813" s="13" t="str">
        <x:v>Transportation</x:v>
      </x:c>
      <x:c r="F13813" s="13" t="str">
        <x:v>Deep Cyclicals</x:v>
      </x:c>
      <x:c r="G13813" s="13" t="str">
        <x:v>grid_jx40wu4i.xlsx</x:v>
      </x:c>
    </x:row>
    <x:row r="13814">
      <x:c r="A13814" s="15" t="n">
        <x:v>46204</x:v>
      </x:c>
      <x:c r="B13814" s="13" t="str">
        <x:v>RUMO SA</x:v>
      </x:c>
      <x:c r="C13814" s="16" t="n">
        <x:v>2157.2467396384</x:v>
      </x:c>
      <x:c r="D13814" s="13" t="str">
        <x:v>Transportation</x:v>
      </x:c>
      <x:c r="E13814" s="13" t="str">
        <x:v>Transportation</x:v>
      </x:c>
      <x:c r="F13814" s="13" t="str">
        <x:v>Deep Cyclicals</x:v>
      </x:c>
      <x:c r="G13814" s="13" t="str">
        <x:v>grid_jx40wu4i.xlsx</x:v>
      </x:c>
    </x:row>
    <x:row r="13815">
      <x:c r="A13815" s="15" t="n">
        <x:v>46204</x:v>
      </x:c>
      <x:c r="B13815" s="13" t="str">
        <x:v>VAMOS LOCACAO DE CAMINHOES M</x:v>
      </x:c>
      <x:c r="C13815" s="16" t="n">
        <x:v>620.318630137</x:v>
      </x:c>
      <x:c r="D13815" s="13" t="str">
        <x:v>Transportation</x:v>
      </x:c>
      <x:c r="E13815" s="13" t="str">
        <x:v>Transportation</x:v>
      </x:c>
      <x:c r="F13815" s="13" t="str">
        <x:v>Deep Cyclicals</x:v>
      </x:c>
      <x:c r="G13815" s="13" t="str">
        <x:v>grid_jx40wu4i.xlsx</x:v>
      </x:c>
    </x:row>
    <x:row r="13816">
      <x:c r="A13816" s="15" t="n">
        <x:v>46204</x:v>
      </x:c>
      <x:c r="B13816" s="13" t="str">
        <x:v>AUREN ENERGIA SA - ON</x:v>
      </x:c>
      <x:c r="C13816" s="16" t="n">
        <x:v>-561.2212886795</x:v>
      </x:c>
      <x:c r="D13816" s="13" t="str">
        <x:v>Utilities &amp; Energy</x:v>
      </x:c>
      <x:c r="E13816" s="13" t="str">
        <x:v>Utilities</x:v>
      </x:c>
      <x:c r="F13816" s="13" t="str">
        <x:v>Defensives</x:v>
      </x:c>
      <x:c r="G13816" s="13" t="str">
        <x:v>grid_jx40wu4i.xlsx</x:v>
      </x:c>
    </x:row>
    <x:row r="13817">
      <x:c r="A13817" s="15" t="n">
        <x:v>46204</x:v>
      </x:c>
      <x:c r="B13817" s="13" t="str">
        <x:v>AXIA ENERGIA SA</x:v>
      </x:c>
      <x:c r="C13817" s="16" t="n">
        <x:v>14142.8616739068</x:v>
      </x:c>
      <x:c r="D13817" s="13" t="str">
        <x:v>Utilities &amp; Energy</x:v>
      </x:c>
      <x:c r="E13817" s="13" t="str">
        <x:v>Utilities</x:v>
      </x:c>
      <x:c r="F13817" s="13" t="str">
        <x:v>Defensives</x:v>
      </x:c>
      <x:c r="G13817" s="13" t="str">
        <x:v>grid_jx40wu4i.xlsx</x:v>
      </x:c>
    </x:row>
    <x:row r="13818">
      <x:c r="A13818" s="15" t="n">
        <x:v>46204</x:v>
      </x:c>
      <x:c r="B13818" s="13" t="str">
        <x:v>CIA ENERGETICA MINAS GER-PRF</x:v>
      </x:c>
      <x:c r="C13818" s="16" t="n">
        <x:v>3217.7355958356</x:v>
      </x:c>
      <x:c r="D13818" s="13" t="str">
        <x:v>Utilities &amp; Energy</x:v>
      </x:c>
      <x:c r="E13818" s="13" t="str">
        <x:v>Utilities</x:v>
      </x:c>
      <x:c r="F13818" s="13" t="str">
        <x:v>Defensives</x:v>
      </x:c>
      <x:c r="G13818" s="13" t="str">
        <x:v>grid_jx40wu4i.xlsx</x:v>
      </x:c>
    </x:row>
    <x:row r="13819">
      <x:c r="A13819" s="15" t="n">
        <x:v>46204</x:v>
      </x:c>
      <x:c r="B13819" s="13" t="str">
        <x:v>COMPANHIA PARANAENSE DE ENER</x:v>
      </x:c>
      <x:c r="C13819" s="16" t="n">
        <x:v>3227.195378674</x:v>
      </x:c>
      <x:c r="D13819" s="13" t="str">
        <x:v>Utilities &amp; Energy</x:v>
      </x:c>
      <x:c r="E13819" s="13" t="str">
        <x:v>Utilities</x:v>
      </x:c>
      <x:c r="F13819" s="13" t="str">
        <x:v>Defensives</x:v>
      </x:c>
      <x:c r="G13819" s="13" t="str">
        <x:v>grid_jx40wu4i.xlsx</x:v>
      </x:c>
    </x:row>
    <x:row r="13820">
      <x:c r="A13820" s="15" t="n">
        <x:v>46204</x:v>
      </x:c>
      <x:c r="B13820" s="13" t="str">
        <x:v>CPFL ENERGIA SA</x:v>
      </x:c>
      <x:c r="C13820" s="16" t="n">
        <x:v>5550.0032196384</x:v>
      </x:c>
      <x:c r="D13820" s="13" t="str">
        <x:v>Utilities &amp; Energy</x:v>
      </x:c>
      <x:c r="E13820" s="13" t="str">
        <x:v>Utilities</x:v>
      </x:c>
      <x:c r="F13820" s="13" t="str">
        <x:v>Defensives</x:v>
      </x:c>
      <x:c r="G13820" s="13" t="str">
        <x:v>grid_jx40wu4i.xlsx</x:v>
      </x:c>
    </x:row>
    <x:row r="13821">
      <x:c r="A13821" s="15" t="n">
        <x:v>46204</x:v>
      </x:c>
      <x:c r="B13821" s="13" t="str">
        <x:v>ENERGISA SA-UNITS</x:v>
      </x:c>
      <x:c r="C13821" s="16" t="n">
        <x:v>1783.0480299836</x:v>
      </x:c>
      <x:c r="D13821" s="13" t="str">
        <x:v>Utilities &amp; Energy</x:v>
      </x:c>
      <x:c r="E13821" s="13" t="str">
        <x:v>Utilities</x:v>
      </x:c>
      <x:c r="F13821" s="13" t="str">
        <x:v>Defensives</x:v>
      </x:c>
      <x:c r="G13821" s="13" t="str">
        <x:v>grid_jx40wu4i.xlsx</x:v>
      </x:c>
    </x:row>
    <x:row r="13822">
      <x:c r="A13822" s="15" t="n">
        <x:v>46204</x:v>
      </x:c>
      <x:c r="B13822" s="13" t="str">
        <x:v>ENEVA SA</x:v>
      </x:c>
      <x:c r="C13822" s="16" t="n">
        <x:v>1179.7614176438</x:v>
      </x:c>
      <x:c r="D13822" s="13" t="str">
        <x:v>Utilities &amp; Energy</x:v>
      </x:c>
      <x:c r="E13822" s="13" t="str">
        <x:v>Utilities</x:v>
      </x:c>
      <x:c r="F13822" s="13" t="str">
        <x:v>Defensives</x:v>
      </x:c>
      <x:c r="G13822" s="13" t="str">
        <x:v>grid_jx40wu4i.xlsx</x:v>
      </x:c>
    </x:row>
    <x:row r="13823">
      <x:c r="A13823" s="15" t="n">
        <x:v>46204</x:v>
      </x:c>
      <x:c r="B13823" s="13" t="str">
        <x:v>ENGIE BRASIL ENERGIA SA</x:v>
      </x:c>
      <x:c r="C13823" s="16" t="n">
        <x:v>3462.6403804932</x:v>
      </x:c>
      <x:c r="D13823" s="13" t="str">
        <x:v>Utilities &amp; Energy</x:v>
      </x:c>
      <x:c r="E13823" s="13" t="str">
        <x:v>Utilities</x:v>
      </x:c>
      <x:c r="F13823" s="13" t="str">
        <x:v>Defensives</x:v>
      </x:c>
      <x:c r="G13823" s="13" t="str">
        <x:v>grid_jx40wu4i.xlsx</x:v>
      </x:c>
    </x:row>
    <x:row r="13824">
      <x:c r="A13824" s="15" t="n">
        <x:v>46204</x:v>
      </x:c>
      <x:c r="B13824" s="13" t="str">
        <x:v>EQUATORIAL SA - ORD</x:v>
      </x:c>
      <x:c r="C13824" s="16" t="n">
        <x:v>3356.0515997808</x:v>
      </x:c>
      <x:c r="D13824" s="13" t="str">
        <x:v>Utilities &amp; Energy</x:v>
      </x:c>
      <x:c r="E13824" s="13" t="str">
        <x:v>Utilities</x:v>
      </x:c>
      <x:c r="F13824" s="13" t="str">
        <x:v>Defensives</x:v>
      </x:c>
      <x:c r="G13824" s="13" t="str">
        <x:v>grid_jx40wu4i.xlsx</x:v>
      </x:c>
    </x:row>
    <x:row r="13825">
      <x:c r="A13825" s="15" t="n">
        <x:v>46204</x:v>
      </x:c>
      <x:c r="B13825" s="13" t="str">
        <x:v>ISA ENERGIA BRASIL SA</x:v>
      </x:c>
      <x:c r="C13825" s="16" t="n">
        <x:v>1779.5265928767</x:v>
      </x:c>
      <x:c r="D13825" s="13" t="str">
        <x:v>Utilities &amp; Energy</x:v>
      </x:c>
      <x:c r="E13825" s="13" t="str">
        <x:v>Utilities</x:v>
      </x:c>
      <x:c r="F13825" s="13" t="str">
        <x:v>Defensives</x:v>
      </x:c>
      <x:c r="G13825" s="13" t="str">
        <x:v>grid_jx40wu4i.xlsx</x:v>
      </x:c>
    </x:row>
    <x:row r="13826">
      <x:c r="A13826" s="15" t="n">
        <x:v>46204</x:v>
      </x:c>
      <x:c r="B13826" s="13" t="str">
        <x:v>TRANSMISSORA ALIANCA DE-UNIT</x:v>
      </x:c>
      <x:c r="C13826" s="16" t="n">
        <x:v>1397.0506993973</x:v>
      </x:c>
      <x:c r="D13826" s="13" t="str">
        <x:v>Utilities &amp; Energy</x:v>
      </x:c>
      <x:c r="E13826" s="13" t="str">
        <x:v>Utilities</x:v>
      </x:c>
      <x:c r="F13826" s="13" t="str">
        <x:v>Defensives</x:v>
      </x:c>
      <x:c r="G13826" s="13" t="str">
        <x:v>grid_jx40wu4i.xlsx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fdc5e68c48bb440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9" hidden="0" customWidth="1"/>
    <x:col min="3" max="3" width="11" hidden="0" customWidth="1"/>
    <x:col min="4" max="4" width="20" hidden="0" customWidth="1"/>
    <x:col min="5" max="5" width="29" hidden="0" customWidth="1"/>
    <x:col min="6" max="6" width="24" hidden="0" customWidth="1"/>
    <x:col min="7" max="7" width="24" hidden="0" customWidth="1"/>
    <x:col min="8" max="8" width="29" hidden="0" customWidth="1"/>
    <x:col min="9" max="9" width="24" hidden="0" customWidth="1"/>
    <x:col min="10" max="10" width="24" hidden="0" customWidth="1"/>
  </x:cols>
  <x:sheetData>
    <x:row r="1" ht="27" customHeight="1">
      <x:c r="A1" s="3" t="str">
        <x:v>Mapa setorial auditado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0" customHeight="1">
      <x:c r="A2" s="7" t="str">
        <x:v>Classificação final usada na consolidação, acompanhada dos campos originais para rastreabilidade.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 ht="31" customHeight="1">
      <x:c r="A4" s="11" t="str">
        <x:v>Empresa Bloomberg</x:v>
      </x:c>
      <x:c r="B4" s="11" t="str">
        <x:v>Empresa XP</x:v>
      </x:c>
      <x:c r="C4" s="11" t="str">
        <x:v>Score</x:v>
      </x:c>
      <x:c r="D4" s="11" t="str">
        <x:v>Origem do pareamento</x:v>
      </x:c>
      <x:c r="E4" s="11" t="str">
        <x:v>Setor XP</x:v>
      </x:c>
      <x:c r="F4" s="11" t="str">
        <x:v>Macro setor XP</x:v>
      </x:c>
      <x:c r="G4" s="11" t="str">
        <x:v>Super setor XP</x:v>
      </x:c>
      <x:c r="H4" s="11" t="str">
        <x:v>Setor XP original</x:v>
      </x:c>
      <x:c r="I4" s="11" t="str">
        <x:v>Macro setor XP original</x:v>
      </x:c>
      <x:c r="J4" s="11" t="str">
        <x:v>Super setor XP original</x:v>
      </x:c>
    </x:row>
    <x:row r="5">
      <x:c r="A5" s="13" t="str">
        <x:v>AGRE EMPREENDIMENTOS IMOBILI</x:v>
      </x:c>
      <x:c r="B5" s="13" t="str">
        <x:v>Agre</x:v>
      </x:c>
      <x:c r="C5" s="16" t="n">
        <x:v>0.9</x:v>
      </x:c>
      <x:c r="D5" s="13" t="str">
        <x:v>manual auditado</x:v>
      </x:c>
      <x:c r="E5" s="13" t="str">
        <x:v>Homebuilders</x:v>
      </x:c>
      <x:c r="F5" s="13" t="str">
        <x:v>Real Estate</x:v>
      </x:c>
      <x:c r="G5" s="13" t="str">
        <x:v>Early Cyclicals</x:v>
      </x:c>
      <x:c r="H5" s="13" t="str">
        <x:v>Homebuilders</x:v>
      </x:c>
      <x:c r="I5" s="13" t="str">
        <x:v>Real Estate</x:v>
      </x:c>
      <x:c r="J5" s="13" t="str">
        <x:v>Early Cyclicals</x:v>
      </x:c>
    </x:row>
    <x:row r="6">
      <x:c r="A6" s="13" t="str">
        <x:v>ALL AMERICA LATINA LOGISTICA</x:v>
      </x:c>
      <x:c r="B6" s="13" t="str">
        <x:v>Cosan Logística</x:v>
      </x:c>
      <x:c r="C6" s="16" t="n">
        <x:v>0.419</x:v>
      </x:c>
      <x:c r="D6" s="13" t="str">
        <x:v>manual auditado</x:v>
      </x:c>
      <x:c r="E6" s="13" t="str">
        <x:v>Transportation</x:v>
      </x:c>
      <x:c r="F6" s="13" t="str">
        <x:v>Transportation</x:v>
      </x:c>
      <x:c r="G6" s="13" t="str">
        <x:v>Deep Cyclicals</x:v>
      </x:c>
      <x:c r="H6" s="13" t="str">
        <x:v>Transportation</x:v>
      </x:c>
      <x:c r="I6" s="13" t="str">
        <x:v>Transportation</x:v>
      </x:c>
      <x:c r="J6" s="13" t="str">
        <x:v>Deep Cyclicals</x:v>
      </x:c>
    </x:row>
    <x:row r="7">
      <x:c r="A7" s="13" t="str">
        <x:v>ALLOS SA</x:v>
      </x:c>
      <x:c r="B7" s="13" t="str">
        <x:v>Allos</x:v>
      </x:c>
      <x:c r="C7" s="16" t="n">
        <x:v>1</x:v>
      </x:c>
      <x:c r="D7" s="13" t="str">
        <x:v>automático</x:v>
      </x:c>
      <x:c r="E7" s="13" t="str">
        <x:v>Income Properties</x:v>
      </x:c>
      <x:c r="F7" s="13" t="str">
        <x:v>Real Estate</x:v>
      </x:c>
      <x:c r="G7" s="13" t="str">
        <x:v>Early Cyclicals</x:v>
      </x:c>
      <x:c r="H7" s="13" t="str">
        <x:v>Income Properties</x:v>
      </x:c>
      <x:c r="I7" s="13" t="str">
        <x:v>Real Estate</x:v>
      </x:c>
      <x:c r="J7" s="13" t="str">
        <x:v>Early Cyclicals</x:v>
      </x:c>
    </x:row>
    <x:row r="8">
      <x:c r="A8" s="13" t="str">
        <x:v>ALPARGATAS SA - PREF</x:v>
      </x:c>
      <x:c r="B8" s="13" t="str">
        <x:v>Alpargatas</x:v>
      </x:c>
      <x:c r="C8" s="16" t="n">
        <x:v>1</x:v>
      </x:c>
      <x:c r="D8" s="13" t="str">
        <x:v>automático</x:v>
      </x:c>
      <x:c r="E8" s="13" t="str">
        <x:v>Retail</x:v>
      </x:c>
      <x:c r="F8" s="13" t="str">
        <x:v>Retail</x:v>
      </x:c>
      <x:c r="G8" s="13" t="str">
        <x:v>Early Cyclicals</x:v>
      </x:c>
      <x:c r="H8" s="13" t="str">
        <x:v>Retail</x:v>
      </x:c>
      <x:c r="I8" s="13" t="str">
        <x:v>Retail</x:v>
      </x:c>
      <x:c r="J8" s="13" t="str">
        <x:v>Early Cyclicals</x:v>
      </x:c>
    </x:row>
    <x:row r="9">
      <x:c r="A9" s="13" t="str">
        <x:v>AMBEV SA</x:v>
      </x:c>
      <x:c r="B9" s="13" t="str">
        <x:v>Ambev</x:v>
      </x:c>
      <x:c r="C9" s="16" t="n">
        <x:v>1</x:v>
      </x:c>
      <x:c r="D9" s="13" t="str">
        <x:v>automático</x:v>
      </x:c>
      <x:c r="E9" s="13" t="str">
        <x:v>Food &amp; Beverages</x:v>
      </x:c>
      <x:c r="F9" s="13" t="str">
        <x:v>Agri, Food &amp; Beverages</x:v>
      </x:c>
      <x:c r="G9" s="13" t="str">
        <x:v>Defensives</x:v>
      </x:c>
      <x:c r="H9" s="13" t="str">
        <x:v>Food &amp; Beverages</x:v>
      </x:c>
      <x:c r="I9" s="13" t="str">
        <x:v>Agri, Food &amp; Beverages</x:v>
      </x:c>
      <x:c r="J9" s="13" t="str">
        <x:v>Defensives</x:v>
      </x:c>
    </x:row>
    <x:row r="10">
      <x:c r="A10" s="13" t="str">
        <x:v>AMERICANAS SA</x:v>
      </x:c>
      <x:c r="B10" s="13" t="str">
        <x:v>Americanas</x:v>
      </x:c>
      <x:c r="C10" s="16" t="n">
        <x:v>1</x:v>
      </x:c>
      <x:c r="D10" s="13" t="str">
        <x:v>automático</x:v>
      </x:c>
      <x:c r="E10" s="13" t="str">
        <x:v>Retail</x:v>
      </x:c>
      <x:c r="F10" s="13" t="str">
        <x:v>Retail</x:v>
      </x:c>
      <x:c r="G10" s="13" t="str">
        <x:v>Early Cyclicals</x:v>
      </x:c>
      <x:c r="H10" s="13" t="str">
        <x:v>Retail</x:v>
      </x:c>
      <x:c r="I10" s="13" t="str">
        <x:v>Retail</x:v>
      </x:c>
      <x:c r="J10" s="13" t="str">
        <x:v>Early Cyclicals</x:v>
      </x:c>
    </x:row>
    <x:row r="11">
      <x:c r="A11" s="13" t="str">
        <x:v>ANHANGUERA EDUCACIONAL PARTI</x:v>
      </x:c>
      <x:c r="B11" s="13" t="str">
        <x:v>Anhanguera Educacional</x:v>
      </x:c>
      <x:c r="C11" s="16" t="n">
        <x:v>0.933</x:v>
      </x:c>
      <x:c r="D11" s="13" t="str">
        <x:v>automático</x:v>
      </x:c>
      <x:c r="E11" s="13" t="str">
        <x:v>Education</x:v>
      </x:c>
      <x:c r="F11" s="13" t="str">
        <x:v>Education</x:v>
      </x:c>
      <x:c r="G11" s="13" t="str">
        <x:v>Early Cyclicals</x:v>
      </x:c>
      <x:c r="H11" s="13" t="str">
        <x:v>Education</x:v>
      </x:c>
      <x:c r="I11" s="13" t="str">
        <x:v>Education</x:v>
      </x:c>
      <x:c r="J11" s="13" t="str">
        <x:v>Early Cyclicals</x:v>
      </x:c>
    </x:row>
    <x:row r="12">
      <x:c r="A12" s="13" t="str">
        <x:v>ATACADAO SA</x:v>
      </x:c>
      <x:c r="B12" s="13" t="str">
        <x:v>Aliança da Bahia</x:v>
      </x:c>
      <x:c r="C12" s="16" t="n">
        <x:v>0.444</x:v>
      </x:c>
      <x:c r="D12" s="13" t="str">
        <x:v>manual auditado</x:v>
      </x:c>
      <x:c r="E12" s="13" t="str">
        <x:v>Retail</x:v>
      </x:c>
      <x:c r="F12" s="13" t="str">
        <x:v>Retail</x:v>
      </x:c>
      <x:c r="G12" s="13" t="str">
        <x:v>Early Cyclicals</x:v>
      </x:c>
      <x:c r="H12" s="13" t="str">
        <x:v>Financials Non-Banks</x:v>
      </x:c>
      <x:c r="I12" s="13" t="str">
        <x:v>Retail</x:v>
      </x:c>
      <x:c r="J12" s="13" t="str">
        <x:v>Financials</x:v>
      </x:c>
    </x:row>
    <x:row r="13">
      <x:c r="A13" s="13" t="str">
        <x:v>AUREN ENERGIA SA - ON</x:v>
      </x:c>
      <x:c r="B13" s="13" t="str">
        <x:v>Auren</x:v>
      </x:c>
      <x:c r="C13" s="16" t="n">
        <x:v>0.9</x:v>
      </x:c>
      <x:c r="D13" s="13" t="str">
        <x:v>manual auditado</x:v>
      </x:c>
      <x:c r="E13" s="13" t="str">
        <x:v>Utilities &amp; Energy</x:v>
      </x:c>
      <x:c r="F13" s="13" t="str">
        <x:v>Utilities</x:v>
      </x:c>
      <x:c r="G13" s="13" t="str">
        <x:v>Defensives</x:v>
      </x:c>
      <x:c r="H13" s="13" t="str">
        <x:v>Utilities &amp; Energy</x:v>
      </x:c>
      <x:c r="I13" s="13" t="str">
        <x:v>Utilities</x:v>
      </x:c>
      <x:c r="J13" s="13" t="str">
        <x:v>Defensives</x:v>
      </x:c>
    </x:row>
    <x:row r="14">
      <x:c r="A14" s="13" t="str">
        <x:v>AXIA ENERGIA SA</x:v>
      </x:c>
      <x:c r="B14" s="13" t="str">
        <x:v>Axia Energia</x:v>
      </x:c>
      <x:c r="C14" s="16" t="n">
        <x:v>1</x:v>
      </x:c>
      <x:c r="D14" s="13" t="str">
        <x:v>manual auditado</x:v>
      </x:c>
      <x:c r="E14" s="13" t="str">
        <x:v>Utilities &amp; Energy</x:v>
      </x:c>
      <x:c r="F14" s="13" t="str">
        <x:v>Utilities</x:v>
      </x:c>
      <x:c r="G14" s="13" t="str">
        <x:v>Defensives</x:v>
      </x:c>
      <x:c r="H14" s="13" t="str">
        <x:v>Utilities &amp; Energy</x:v>
      </x:c>
      <x:c r="I14" s="13" t="str">
        <x:v>Utilities</x:v>
      </x:c>
      <x:c r="J14" s="13" t="str">
        <x:v>Defensives</x:v>
      </x:c>
    </x:row>
    <x:row r="15">
      <x:c r="A15" s="13" t="str">
        <x:v>AXIA ENERGIA-PR B</x:v>
      </x:c>
      <x:c r="B15" s="13" t="str">
        <x:v>Axia Energia</x:v>
      </x:c>
      <x:c r="C15" s="16" t="n">
        <x:v>0.933</x:v>
      </x:c>
      <x:c r="D15" s="13" t="str">
        <x:v>manual auditado</x:v>
      </x:c>
      <x:c r="E15" s="13" t="str">
        <x:v>Utilities &amp; Energy</x:v>
      </x:c>
      <x:c r="F15" s="13" t="str">
        <x:v>Utilities</x:v>
      </x:c>
      <x:c r="G15" s="13" t="str">
        <x:v>Defensives</x:v>
      </x:c>
      <x:c r="H15" s="13" t="str">
        <x:v>Utilities &amp; Energy</x:v>
      </x:c>
      <x:c r="I15" s="13" t="str">
        <x:v>Utilities</x:v>
      </x:c>
      <x:c r="J15" s="13" t="str">
        <x:v>Defensives</x:v>
      </x:c>
    </x:row>
    <x:row r="16">
      <x:c r="A16" s="13" t="str">
        <x:v>AZUL SA</x:v>
      </x:c>
      <x:c r="B16" s="13" t="str">
        <x:v>Azul</x:v>
      </x:c>
      <x:c r="C16" s="16" t="n">
        <x:v>1</x:v>
      </x:c>
      <x:c r="D16" s="13" t="str">
        <x:v>automático</x:v>
      </x:c>
      <x:c r="E16" s="13" t="str">
        <x:v>Transportation</x:v>
      </x:c>
      <x:c r="F16" s="13" t="str">
        <x:v>Transportation</x:v>
      </x:c>
      <x:c r="G16" s="13" t="str">
        <x:v>Deep Cyclicals</x:v>
      </x:c>
      <x:c r="H16" s="13" t="str">
        <x:v>Transportation</x:v>
      </x:c>
      <x:c r="I16" s="13" t="str">
        <x:v>Transportation</x:v>
      </x:c>
      <x:c r="J16" s="13" t="str">
        <x:v>Deep Cyclicals</x:v>
      </x:c>
    </x:row>
    <x:row r="17">
      <x:c r="A17" s="13" t="str">
        <x:v>AZZAS 2154 SA</x:v>
      </x:c>
      <x:c r="B17" s="13" t="str">
        <x:v>Azzas 2154</x:v>
      </x:c>
      <x:c r="C17" s="16" t="n">
        <x:v>1</x:v>
      </x:c>
      <x:c r="D17" s="13" t="str">
        <x:v>automático</x:v>
      </x:c>
      <x:c r="E17" s="13" t="str">
        <x:v>Retail</x:v>
      </x:c>
      <x:c r="F17" s="13" t="str">
        <x:v>Retail</x:v>
      </x:c>
      <x:c r="G17" s="13" t="str">
        <x:v>Early Cyclicals</x:v>
      </x:c>
      <x:c r="H17" s="13" t="str">
        <x:v>Retail</x:v>
      </x:c>
      <x:c r="I17" s="13" t="str">
        <x:v>Retail</x:v>
      </x:c>
      <x:c r="J17" s="13" t="str">
        <x:v>Early Cyclicals</x:v>
      </x:c>
    </x:row>
    <x:row r="18">
      <x:c r="A18" s="13" t="str">
        <x:v>B3 SA-BRASIL BOLSA BALCAO</x:v>
      </x:c>
      <x:c r="B18" s="13" t="str">
        <x:v>B3</x:v>
      </x:c>
      <x:c r="C18" s="16" t="n">
        <x:v>0.867</x:v>
      </x:c>
      <x:c r="D18" s="13" t="str">
        <x:v>automático</x:v>
      </x:c>
      <x:c r="E18" s="13" t="str">
        <x:v>Financials Non-Banks</x:v>
      </x:c>
      <x:c r="F18" s="13" t="str">
        <x:v>Financials Non-Banks</x:v>
      </x:c>
      <x:c r="G18" s="13" t="str">
        <x:v>Financials</x:v>
      </x:c>
      <x:c r="H18" s="13" t="str">
        <x:v>Financials Non-Banks</x:v>
      </x:c>
      <x:c r="I18" s="13" t="str">
        <x:v>Financials Non-Banks</x:v>
      </x:c>
      <x:c r="J18" s="13" t="str">
        <x:v>Financials</x:v>
      </x:c>
    </x:row>
    <x:row r="19">
      <x:c r="A19" s="13" t="str">
        <x:v>BANCO BRADESCO S.A.</x:v>
      </x:c>
      <x:c r="B19" s="13" t="str">
        <x:v>Banco do Brasil</x:v>
      </x:c>
      <x:c r="C19" s="16" t="n">
        <x:v>0.9</x:v>
      </x:c>
      <x:c r="D19" s="13" t="str">
        <x:v>automático</x:v>
      </x:c>
      <x:c r="E19" s="13" t="str">
        <x:v>Banks</x:v>
      </x:c>
      <x:c r="F19" s="13" t="str">
        <x:v>Banks</x:v>
      </x:c>
      <x:c r="G19" s="13" t="str">
        <x:v>Financials</x:v>
      </x:c>
      <x:c r="H19" s="13" t="str">
        <x:v>Banks</x:v>
      </x:c>
      <x:c r="I19" s="13" t="str">
        <x:v>Banks</x:v>
      </x:c>
      <x:c r="J19" s="13" t="str">
        <x:v>Financials</x:v>
      </x:c>
    </x:row>
    <x:row r="20">
      <x:c r="A20" s="13" t="str">
        <x:v>BANCO BRADESCO SA-PREF</x:v>
      </x:c>
      <x:c r="B20" s="13" t="str">
        <x:v>Banco do Brasil</x:v>
      </x:c>
      <x:c r="C20" s="16" t="n">
        <x:v>0.9</x:v>
      </x:c>
      <x:c r="D20" s="13" t="str">
        <x:v>automático</x:v>
      </x:c>
      <x:c r="E20" s="13" t="str">
        <x:v>Banks</x:v>
      </x:c>
      <x:c r="F20" s="13" t="str">
        <x:v>Banks</x:v>
      </x:c>
      <x:c r="G20" s="13" t="str">
        <x:v>Financials</x:v>
      </x:c>
      <x:c r="H20" s="13" t="str">
        <x:v>Banks</x:v>
      </x:c>
      <x:c r="I20" s="13" t="str">
        <x:v>Banks</x:v>
      </x:c>
      <x:c r="J20" s="13" t="str">
        <x:v>Financials</x:v>
      </x:c>
    </x:row>
    <x:row r="21">
      <x:c r="A21" s="13" t="str">
        <x:v>BANCO BTG PACTUAL SA-UNIT</x:v>
      </x:c>
      <x:c r="B21" s="13" t="str">
        <x:v>BTG Pactual</x:v>
      </x:c>
      <x:c r="C21" s="16" t="n">
        <x:v>0.933</x:v>
      </x:c>
      <x:c r="D21" s="13" t="str">
        <x:v>automático</x:v>
      </x:c>
      <x:c r="E21" s="13" t="str">
        <x:v>Banks</x:v>
      </x:c>
      <x:c r="F21" s="13" t="str">
        <x:v>Banks</x:v>
      </x:c>
      <x:c r="G21" s="13" t="str">
        <x:v>Financials</x:v>
      </x:c>
      <x:c r="H21" s="13" t="str">
        <x:v>Banks</x:v>
      </x:c>
      <x:c r="I21" s="13" t="str">
        <x:v>Banks</x:v>
      </x:c>
      <x:c r="J21" s="13" t="str">
        <x:v>Financials</x:v>
      </x:c>
    </x:row>
    <x:row r="22">
      <x:c r="A22" s="13" t="str">
        <x:v>BANCO DO BRASIL S.A.</x:v>
      </x:c>
      <x:c r="B22" s="13" t="str">
        <x:v>Banco do Brasil</x:v>
      </x:c>
      <x:c r="C22" s="16" t="n">
        <x:v>1</x:v>
      </x:c>
      <x:c r="D22" s="13" t="str">
        <x:v>automático</x:v>
      </x:c>
      <x:c r="E22" s="13" t="str">
        <x:v>Banks</x:v>
      </x:c>
      <x:c r="F22" s="13" t="str">
        <x:v>Banks</x:v>
      </x:c>
      <x:c r="G22" s="13" t="str">
        <x:v>Financials</x:v>
      </x:c>
      <x:c r="H22" s="13" t="str">
        <x:v>Banks</x:v>
      </x:c>
      <x:c r="I22" s="13" t="str">
        <x:v>Banks</x:v>
      </x:c>
      <x:c r="J22" s="13" t="str">
        <x:v>Financials</x:v>
      </x:c>
    </x:row>
    <x:row r="23">
      <x:c r="A23" s="13" t="str">
        <x:v>BANCO INTER SA</x:v>
      </x:c>
      <x:c r="B23" s="13" t="str">
        <x:v>Banco do Brasil</x:v>
      </x:c>
      <x:c r="C23" s="16" t="n">
        <x:v>0.9</x:v>
      </x:c>
      <x:c r="D23" s="13" t="str">
        <x:v>automático</x:v>
      </x:c>
      <x:c r="E23" s="13" t="str">
        <x:v>Banks</x:v>
      </x:c>
      <x:c r="F23" s="13" t="str">
        <x:v>Banks</x:v>
      </x:c>
      <x:c r="G23" s="13" t="str">
        <x:v>Financials</x:v>
      </x:c>
      <x:c r="H23" s="13" t="str">
        <x:v>Banks</x:v>
      </x:c>
      <x:c r="I23" s="13" t="str">
        <x:v>Banks</x:v>
      </x:c>
      <x:c r="J23" s="13" t="str">
        <x:v>Financials</x:v>
      </x:c>
    </x:row>
    <x:row r="24">
      <x:c r="A24" s="13" t="str">
        <x:v>BANCO PAN SA</x:v>
      </x:c>
      <x:c r="B24" s="13" t="str">
        <x:v>Banco Pan</x:v>
      </x:c>
      <x:c r="C24" s="16" t="n">
        <x:v>1</x:v>
      </x:c>
      <x:c r="D24" s="13" t="str">
        <x:v>automático</x:v>
      </x:c>
      <x:c r="E24" s="13" t="str">
        <x:v>Banks</x:v>
      </x:c>
      <x:c r="F24" s="13" t="str">
        <x:v>Banks</x:v>
      </x:c>
      <x:c r="G24" s="13" t="str">
        <x:v>Financials</x:v>
      </x:c>
      <x:c r="H24" s="13" t="str">
        <x:v>Banks</x:v>
      </x:c>
      <x:c r="I24" s="13" t="str">
        <x:v>Banks</x:v>
      </x:c>
      <x:c r="J24" s="13" t="str">
        <x:v>Financials</x:v>
      </x:c>
    </x:row>
    <x:row r="25">
      <x:c r="A25" s="13" t="str">
        <x:v>BANCO SANTANDER  BRASIL-UNIT</x:v>
      </x:c>
      <x:c r="B25" s="13" t="str">
        <x:v>Banco do Brasil</x:v>
      </x:c>
      <x:c r="C25" s="16" t="n">
        <x:v>0.9</x:v>
      </x:c>
      <x:c r="D25" s="13" t="str">
        <x:v>automático</x:v>
      </x:c>
      <x:c r="E25" s="13" t="str">
        <x:v>Banks</x:v>
      </x:c>
      <x:c r="F25" s="13" t="str">
        <x:v>Banks</x:v>
      </x:c>
      <x:c r="G25" s="13" t="str">
        <x:v>Financials</x:v>
      </x:c>
      <x:c r="H25" s="13" t="str">
        <x:v>Banks</x:v>
      </x:c>
      <x:c r="I25" s="13" t="str">
        <x:v>Banks</x:v>
      </x:c>
      <x:c r="J25" s="13" t="str">
        <x:v>Financials</x:v>
      </x:c>
    </x:row>
    <x:row r="26">
      <x:c r="A26" s="13" t="str">
        <x:v>BB SEGURIDADE PARTICIPACOES</x:v>
      </x:c>
      <x:c r="B26" s="13" t="str">
        <x:v>Hmobi Participações</x:v>
      </x:c>
      <x:c r="C26" s="16" t="n">
        <x:v>0.522</x:v>
      </x:c>
      <x:c r="D26" s="13" t="str">
        <x:v>manual auditado</x:v>
      </x:c>
      <x:c r="E26" s="13" t="str">
        <x:v>Financials Non-Banks</x:v>
      </x:c>
      <x:c r="F26" s="13" t="str">
        <x:v>Financials Non-Banks</x:v>
      </x:c>
      <x:c r="G26" s="13" t="str">
        <x:v>Financials</x:v>
      </x:c>
      <x:c r="H26" s="13" t="str">
        <x:v>Transportation</x:v>
      </x:c>
      <x:c r="I26" s="13" t="str">
        <x:v>Financials Non-Banks</x:v>
      </x:c>
      <x:c r="J26" s="13" t="str">
        <x:v>Deep Cyclicals</x:v>
      </x:c>
    </x:row>
    <x:row r="27">
      <x:c r="A27" s="13" t="str">
        <x:v>BR MALLS PARTICIPACOES SA</x:v>
      </x:c>
      <x:c r="B27" s="13" t="str">
        <x:v>Tim Participações</x:v>
      </x:c>
      <x:c r="C27" s="16" t="n">
        <x:v>0.536</x:v>
      </x:c>
      <x:c r="D27" s="13" t="str">
        <x:v>manual auditado</x:v>
      </x:c>
      <x:c r="E27" s="13" t="str">
        <x:v>Income Properties</x:v>
      </x:c>
      <x:c r="F27" s="13" t="str">
        <x:v>Real Estate</x:v>
      </x:c>
      <x:c r="G27" s="13" t="str">
        <x:v>Early Cyclicals</x:v>
      </x:c>
      <x:c r="H27" s="13" t="str">
        <x:v>TMT</x:v>
      </x:c>
      <x:c r="I27" s="13" t="str">
        <x:v>Real Estate</x:v>
      </x:c>
      <x:c r="J27" s="13" t="str">
        <x:v>Early Cyclicals</x:v>
      </x:c>
    </x:row>
    <x:row r="28">
      <x:c r="A28" s="13" t="str">
        <x:v>BRADESPAR SA -PREF</x:v>
      </x:c>
      <x:c r="B28" s="13" t="str">
        <x:v>Bradespar</x:v>
      </x:c>
      <x:c r="C28" s="16" t="n">
        <x:v>1</x:v>
      </x:c>
      <x:c r="D28" s="13" t="str">
        <x:v>automático</x:v>
      </x:c>
      <x:c r="E28" s="13" t="str">
        <x:v>Metals &amp; Mining</x:v>
      </x:c>
      <x:c r="F28" s="13" t="str">
        <x:v>Metals &amp; Mining</x:v>
      </x:c>
      <x:c r="G28" s="13" t="str">
        <x:v>Deep Cyclicals</x:v>
      </x:c>
      <x:c r="H28" s="13" t="str">
        <x:v>Metals &amp; Mining</x:v>
      </x:c>
      <x:c r="I28" s="13" t="str">
        <x:v>Metals &amp; Mining</x:v>
      </x:c>
      <x:c r="J28" s="13" t="str">
        <x:v>Deep Cyclicals</x:v>
      </x:c>
    </x:row>
    <x:row r="29">
      <x:c r="A29" s="13" t="str">
        <x:v>BRASKEM SA-PREF A</x:v>
      </x:c>
      <x:c r="B29" s="13" t="str">
        <x:v>Braskem</x:v>
      </x:c>
      <x:c r="C29" s="16" t="n">
        <x:v>1</x:v>
      </x:c>
      <x:c r="D29" s="13" t="str">
        <x:v>automático</x:v>
      </x:c>
      <x:c r="E29" s="13" t="str">
        <x:v>Oil, Gas &amp; Petrochemicals</x:v>
      </x:c>
      <x:c r="F29" s="13" t="str">
        <x:v>Oil, Gas &amp; Petrochemicals</x:v>
      </x:c>
      <x:c r="G29" s="13" t="str">
        <x:v>Deep Cyclicals</x:v>
      </x:c>
      <x:c r="H29" s="13" t="str">
        <x:v>Oil, Gas &amp; Petrochemicals</x:v>
      </x:c>
      <x:c r="I29" s="13" t="str">
        <x:v>Oil, Gas &amp; Petrochemicals</x:v>
      </x:c>
      <x:c r="J29" s="13" t="str">
        <x:v>Deep Cyclicals</x:v>
      </x:c>
    </x:row>
    <x:row r="30">
      <x:c r="A30" s="13" t="str">
        <x:v>BRAVA ENERGIA</x:v>
      </x:c>
      <x:c r="B30" s="13" t="str">
        <x:v>Brava Energia</x:v>
      </x:c>
      <x:c r="C30" s="16" t="n">
        <x:v>1</x:v>
      </x:c>
      <x:c r="D30" s="13" t="str">
        <x:v>automático</x:v>
      </x:c>
      <x:c r="E30" s="13" t="str">
        <x:v>Oil, Gas &amp; Petrochemicals</x:v>
      </x:c>
      <x:c r="F30" s="13" t="str">
        <x:v>Oil, Gas &amp; Petrochemicals</x:v>
      </x:c>
      <x:c r="G30" s="13" t="str">
        <x:v>Deep Cyclicals</x:v>
      </x:c>
      <x:c r="H30" s="13" t="str">
        <x:v>Oil, Gas &amp; Petrochemicals</x:v>
      </x:c>
      <x:c r="I30" s="13" t="str">
        <x:v>Oil, Gas &amp; Petrochemicals</x:v>
      </x:c>
      <x:c r="J30" s="13" t="str">
        <x:v>Deep Cyclicals</x:v>
      </x:c>
    </x:row>
    <x:row r="31">
      <x:c r="A31" s="13" t="str">
        <x:v>BRF SA</x:v>
      </x:c>
      <x:c r="B31" s="13" t="str">
        <x:v>BRF</x:v>
      </x:c>
      <x:c r="C31" s="16" t="n">
        <x:v>1</x:v>
      </x:c>
      <x:c r="D31" s="13" t="str">
        <x:v>automático</x:v>
      </x:c>
      <x:c r="E31" s="13" t="str">
        <x:v>Food &amp; Beverages</x:v>
      </x:c>
      <x:c r="F31" s="13" t="str">
        <x:v>Agri, Food &amp; Beverages</x:v>
      </x:c>
      <x:c r="G31" s="13" t="str">
        <x:v>Defensives</x:v>
      </x:c>
      <x:c r="H31" s="13" t="str">
        <x:v>Food &amp; Beverages</x:v>
      </x:c>
      <x:c r="I31" s="13" t="str">
        <x:v>Agri, Food &amp; Beverages</x:v>
      </x:c>
      <x:c r="J31" s="13" t="str">
        <x:v>Defensives</x:v>
      </x:c>
    </x:row>
    <x:row r="32">
      <x:c r="A32" s="13" t="str">
        <x:v>C&amp;A MODAS LTDA</x:v>
      </x:c>
      <x:c r="B32" s="13" t="str">
        <x:v>C&amp;A Modas</x:v>
      </x:c>
      <x:c r="C32" s="16" t="n">
        <x:v>1</x:v>
      </x:c>
      <x:c r="D32" s="13" t="str">
        <x:v>automático</x:v>
      </x:c>
      <x:c r="E32" s="13" t="str">
        <x:v>Retail</x:v>
      </x:c>
      <x:c r="F32" s="13" t="str">
        <x:v>Retail</x:v>
      </x:c>
      <x:c r="G32" s="13" t="str">
        <x:v>Early Cyclicals</x:v>
      </x:c>
      <x:c r="H32" s="13" t="str">
        <x:v>Retail</x:v>
      </x:c>
      <x:c r="I32" s="13" t="str">
        <x:v>Retail</x:v>
      </x:c>
      <x:c r="J32" s="13" t="str">
        <x:v>Early Cyclicals</x:v>
      </x:c>
    </x:row>
    <x:row r="33">
      <x:c r="A33" s="13" t="str">
        <x:v>CAIXA SEGURIDADE PARTICIPACO</x:v>
      </x:c>
      <x:c r="B33" s="13" t="str">
        <x:v>Caixa Seguridade</x:v>
      </x:c>
      <x:c r="C33" s="16" t="n">
        <x:v>0.933</x:v>
      </x:c>
      <x:c r="D33" s="13" t="str">
        <x:v>automático</x:v>
      </x:c>
      <x:c r="E33" s="13" t="str">
        <x:v>Financials Non-Banks</x:v>
      </x:c>
      <x:c r="F33" s="13" t="str">
        <x:v>Financials Non-Banks</x:v>
      </x:c>
      <x:c r="G33" s="13" t="str">
        <x:v>Financials</x:v>
      </x:c>
      <x:c r="H33" s="13" t="str">
        <x:v>Financials Non-Banks</x:v>
      </x:c>
      <x:c r="I33" s="13" t="str">
        <x:v>Financials Non-Banks</x:v>
      </x:c>
      <x:c r="J33" s="13" t="str">
        <x:v>Financials</x:v>
      </x:c>
    </x:row>
    <x:row r="34">
      <x:c r="A34" s="13" t="str">
        <x:v>CESP - CIA ENERGETICA DE SAO</x:v>
      </x:c>
      <x:c r="B34" s="13" t="str">
        <x:v>Cesp</x:v>
      </x:c>
      <x:c r="C34" s="16" t="n">
        <x:v>0.867</x:v>
      </x:c>
      <x:c r="D34" s="13" t="str">
        <x:v>automático</x:v>
      </x:c>
      <x:c r="E34" s="13" t="str">
        <x:v>Utilities &amp; Energy</x:v>
      </x:c>
      <x:c r="F34" s="13" t="str">
        <x:v>Utilities</x:v>
      </x:c>
      <x:c r="G34" s="13" t="str">
        <x:v>Defensives</x:v>
      </x:c>
      <x:c r="H34" s="13" t="str">
        <x:v>Utilities &amp; Energy</x:v>
      </x:c>
      <x:c r="I34" s="13" t="str">
        <x:v>Utilities</x:v>
      </x:c>
      <x:c r="J34" s="13" t="str">
        <x:v>Defensives</x:v>
      </x:c>
    </x:row>
    <x:row r="35">
      <x:c r="A35" s="13" t="str">
        <x:v>CETIP SA-MERCADOS ORGANIZADO</x:v>
      </x:c>
      <x:c r="B35" s="13" t="str">
        <x:v>Cetip</x:v>
      </x:c>
      <x:c r="C35" s="16" t="n">
        <x:v>0.867</x:v>
      </x:c>
      <x:c r="D35" s="13" t="str">
        <x:v>automático</x:v>
      </x:c>
      <x:c r="E35" s="13" t="str">
        <x:v>Financials Non-Banks</x:v>
      </x:c>
      <x:c r="F35" s="13" t="str">
        <x:v>Financials Non-Banks</x:v>
      </x:c>
      <x:c r="G35" s="13" t="str">
        <x:v>Financials</x:v>
      </x:c>
      <x:c r="H35" s="13" t="str">
        <x:v>Financials Non-Banks</x:v>
      </x:c>
      <x:c r="I35" s="13" t="str">
        <x:v>Financials Non-Banks</x:v>
      </x:c>
      <x:c r="J35" s="13" t="str">
        <x:v>Financials</x:v>
      </x:c>
    </x:row>
    <x:row r="36">
      <x:c r="A36" s="13" t="str">
        <x:v>CIA BRASILEIRA DE DIS-PREF</x:v>
      </x:c>
      <x:c r="B36" s="13" t="str">
        <x:v>AES Brasil Operações</x:v>
      </x:c>
      <x:c r="C36" s="16" t="n">
        <x:v>0.424</x:v>
      </x:c>
      <x:c r="D36" s="13" t="str">
        <x:v>manual auditado</x:v>
      </x:c>
      <x:c r="E36" s="13" t="str">
        <x:v>Retail</x:v>
      </x:c>
      <x:c r="F36" s="13" t="str">
        <x:v>Retail</x:v>
      </x:c>
      <x:c r="G36" s="13" t="str">
        <x:v>Early Cyclicals</x:v>
      </x:c>
      <x:c r="H36" s="13" t="str">
        <x:v>Utilities &amp; Energy</x:v>
      </x:c>
      <x:c r="I36" s="13" t="str">
        <x:v>Retail</x:v>
      </x:c>
      <x:c r="J36" s="13" t="str">
        <x:v>Defensives</x:v>
      </x:c>
    </x:row>
    <x:row r="37">
      <x:c r="A37" s="13" t="str">
        <x:v>CIA BRASILEIRA DE DISTRIBUIC</x:v>
      </x:c>
      <x:c r="B37" s="13" t="str">
        <x:v>CELG Distribuição</x:v>
      </x:c>
      <x:c r="C37" s="16" t="n">
        <x:v>0.433</x:v>
      </x:c>
      <x:c r="D37" s="13" t="str">
        <x:v>manual auditado</x:v>
      </x:c>
      <x:c r="E37" s="13" t="str">
        <x:v>Retail</x:v>
      </x:c>
      <x:c r="F37" s="13" t="str">
        <x:v>Retail</x:v>
      </x:c>
      <x:c r="G37" s="13" t="str">
        <x:v>Early Cyclicals</x:v>
      </x:c>
      <x:c r="H37" s="13" t="str">
        <x:v>Utilities &amp; Energy</x:v>
      </x:c>
      <x:c r="I37" s="13" t="str">
        <x:v>Retail</x:v>
      </x:c>
      <x:c r="J37" s="13" t="str">
        <x:v>Defensives</x:v>
      </x:c>
    </x:row>
    <x:row r="38">
      <x:c r="A38" s="13" t="str">
        <x:v>CIA DE LOCACAO DAS AMERICAS</x:v>
      </x:c>
      <x:c r="B38" s="13" t="str">
        <x:v>Locamerica</x:v>
      </x:c>
      <x:c r="C38" s="16" t="n">
        <x:v>0.405</x:v>
      </x:c>
      <x:c r="D38" s="13" t="str">
        <x:v>manual auditado</x:v>
      </x:c>
      <x:c r="E38" s="13" t="str">
        <x:v>Transportation</x:v>
      </x:c>
      <x:c r="F38" s="13" t="str">
        <x:v>Transportation</x:v>
      </x:c>
      <x:c r="G38" s="13" t="str">
        <x:v>Deep Cyclicals</x:v>
      </x:c>
      <x:c r="H38" s="13" t="str">
        <x:v>Transportation</x:v>
      </x:c>
      <x:c r="I38" s="13" t="str">
        <x:v>Transportation</x:v>
      </x:c>
      <x:c r="J38" s="13" t="str">
        <x:v>Deep Cyclicals</x:v>
      </x:c>
    </x:row>
    <x:row r="39">
      <x:c r="A39" s="13" t="str">
        <x:v>CIA DE SANEAMENTO DO PA-UNIT</x:v>
      </x:c>
      <x:c r="B39" s="13" t="str">
        <x:v>Igua Saneamento</x:v>
      </x:c>
      <x:c r="C39" s="16" t="n">
        <x:v>0.453</x:v>
      </x:c>
      <x:c r="D39" s="13" t="str">
        <x:v>manual auditado</x:v>
      </x:c>
      <x:c r="E39" s="13" t="str">
        <x:v>Sanitation</x:v>
      </x:c>
      <x:c r="F39" s="13" t="str">
        <x:v>Utilities</x:v>
      </x:c>
      <x:c r="G39" s="13" t="str">
        <x:v>Defensives</x:v>
      </x:c>
      <x:c r="H39" s="13" t="str">
        <x:v>Sanitation</x:v>
      </x:c>
      <x:c r="I39" s="13" t="str">
        <x:v>Utilities</x:v>
      </x:c>
      <x:c r="J39" s="13" t="str">
        <x:v>Defensives</x:v>
      </x:c>
    </x:row>
    <x:row r="40">
      <x:c r="A40" s="13" t="str">
        <x:v>CIA ENERGETICA MINAS GER-PRF</x:v>
      </x:c>
      <x:c r="B40" s="13" t="str">
        <x:v>Energisa Minas Rio</x:v>
      </x:c>
      <x:c r="C40" s="16" t="n">
        <x:v>0.489</x:v>
      </x:c>
      <x:c r="D40" s="13" t="str">
        <x:v>manual auditado</x:v>
      </x:c>
      <x:c r="E40" s="13" t="str">
        <x:v>Utilities &amp; Energy</x:v>
      </x:c>
      <x:c r="F40" s="13" t="str">
        <x:v>Utilities</x:v>
      </x:c>
      <x:c r="G40" s="13" t="str">
        <x:v>Defensives</x:v>
      </x:c>
      <x:c r="H40" s="13" t="str">
        <x:v>Utilities &amp; Energy</x:v>
      </x:c>
      <x:c r="I40" s="13" t="str">
        <x:v>Utilities</x:v>
      </x:c>
      <x:c r="J40" s="13" t="str">
        <x:v>Defensives</x:v>
      </x:c>
    </x:row>
    <x:row r="41">
      <x:c r="A41" s="13" t="str">
        <x:v>CIA HERING</x:v>
      </x:c>
      <x:c r="B41" s="13" t="str">
        <x:v>Hering</x:v>
      </x:c>
      <x:c r="C41" s="16" t="n">
        <x:v>1</x:v>
      </x:c>
      <x:c r="D41" s="13" t="str">
        <x:v>automático</x:v>
      </x:c>
      <x:c r="E41" s="13" t="str">
        <x:v>Retail</x:v>
      </x:c>
      <x:c r="F41" s="13" t="str">
        <x:v>Retail</x:v>
      </x:c>
      <x:c r="G41" s="13" t="str">
        <x:v>Early Cyclicals</x:v>
      </x:c>
      <x:c r="H41" s="13" t="str">
        <x:v>Retail</x:v>
      </x:c>
      <x:c r="I41" s="13" t="str">
        <x:v>Retail</x:v>
      </x:c>
      <x:c r="J41" s="13" t="str">
        <x:v>Early Cyclicals</x:v>
      </x:c>
    </x:row>
    <x:row r="42">
      <x:c r="A42" s="13" t="str">
        <x:v>CIA SANEAMENTO BASICO DE SP</x:v>
      </x:c>
      <x:c r="B42" s="13" t="str">
        <x:v>Igua Saneamento</x:v>
      </x:c>
      <x:c r="C42" s="16" t="n">
        <x:v>0.464</x:v>
      </x:c>
      <x:c r="D42" s="13" t="str">
        <x:v>manual auditado</x:v>
      </x:c>
      <x:c r="E42" s="13" t="str">
        <x:v>Sanitation</x:v>
      </x:c>
      <x:c r="F42" s="13" t="str">
        <x:v>Utilities</x:v>
      </x:c>
      <x:c r="G42" s="13" t="str">
        <x:v>Defensives</x:v>
      </x:c>
      <x:c r="H42" s="13" t="str">
        <x:v>Sanitation</x:v>
      </x:c>
      <x:c r="I42" s="13" t="str">
        <x:v>Utilities</x:v>
      </x:c>
      <x:c r="J42" s="13" t="str">
        <x:v>Defensives</x:v>
      </x:c>
    </x:row>
    <x:row r="43">
      <x:c r="A43" s="13" t="str">
        <x:v>CIA SANEAMENTO MINAS GERAIS</x:v>
      </x:c>
      <x:c r="B43" s="13" t="str">
        <x:v>Igua Saneamento</x:v>
      </x:c>
      <x:c r="C43" s="16" t="n">
        <x:v>0.464</x:v>
      </x:c>
      <x:c r="D43" s="13" t="str">
        <x:v>manual auditado</x:v>
      </x:c>
      <x:c r="E43" s="13" t="str">
        <x:v>Sanitation</x:v>
      </x:c>
      <x:c r="F43" s="13" t="str">
        <x:v>Utilities</x:v>
      </x:c>
      <x:c r="G43" s="13" t="str">
        <x:v>Defensives</x:v>
      </x:c>
      <x:c r="H43" s="13" t="str">
        <x:v>Sanitation</x:v>
      </x:c>
      <x:c r="I43" s="13" t="str">
        <x:v>Utilities</x:v>
      </x:c>
      <x:c r="J43" s="13" t="str">
        <x:v>Defensives</x:v>
      </x:c>
    </x:row>
    <x:row r="44">
      <x:c r="A44" s="13" t="str">
        <x:v>CIA SIDERURGICA NACIONAL SA</x:v>
      </x:c>
      <x:c r="B44" s="13" t="str">
        <x:v>Companhia Siderúrgica de Tubarão</x:v>
      </x:c>
      <x:c r="C44" s="16" t="n">
        <x:v>0.458</x:v>
      </x:c>
      <x:c r="D44" s="13" t="str">
        <x:v>manual auditado</x:v>
      </x:c>
      <x:c r="E44" s="13" t="str">
        <x:v>Metals &amp; Mining</x:v>
      </x:c>
      <x:c r="F44" s="13" t="str">
        <x:v>Metals &amp; Mining</x:v>
      </x:c>
      <x:c r="G44" s="13" t="str">
        <x:v>Deep Cyclicals</x:v>
      </x:c>
      <x:c r="H44" s="13" t="str">
        <x:v>Metals &amp; Mining</x:v>
      </x:c>
      <x:c r="I44" s="13" t="str">
        <x:v>Metals &amp; Mining</x:v>
      </x:c>
      <x:c r="J44" s="13" t="str">
        <x:v>Deep Cyclicals</x:v>
      </x:c>
    </x:row>
    <x:row r="45">
      <x:c r="A45" s="13" t="str">
        <x:v>CIELO SA</x:v>
      </x:c>
      <x:c r="B45" s="13" t="str">
        <x:v>Cielo</x:v>
      </x:c>
      <x:c r="C45" s="16" t="n">
        <x:v>1</x:v>
      </x:c>
      <x:c r="D45" s="13" t="str">
        <x:v>automático</x:v>
      </x:c>
      <x:c r="E45" s="13" t="str">
        <x:v>Financials Non-Banks</x:v>
      </x:c>
      <x:c r="F45" s="13" t="str">
        <x:v>Financials Non-Banks</x:v>
      </x:c>
      <x:c r="G45" s="13" t="str">
        <x:v>Financials</x:v>
      </x:c>
      <x:c r="H45" s="13" t="str">
        <x:v>Financials Non-Banks</x:v>
      </x:c>
      <x:c r="I45" s="13" t="str">
        <x:v>Financials Non-Banks</x:v>
      </x:c>
      <x:c r="J45" s="13" t="str">
        <x:v>Financials</x:v>
      </x:c>
    </x:row>
    <x:row r="46">
      <x:c r="A46" s="13" t="str">
        <x:v>CIELO SA - INSTITUICAO DE PA</x:v>
      </x:c>
      <x:c r="B46" s="13" t="str">
        <x:v>Cielo</x:v>
      </x:c>
      <x:c r="C46" s="16" t="n">
        <x:v>0.867</x:v>
      </x:c>
      <x:c r="D46" s="13" t="str">
        <x:v>automático</x:v>
      </x:c>
      <x:c r="E46" s="13" t="str">
        <x:v>Financials Non-Banks</x:v>
      </x:c>
      <x:c r="F46" s="13" t="str">
        <x:v>Financials Non-Banks</x:v>
      </x:c>
      <x:c r="G46" s="13" t="str">
        <x:v>Financials</x:v>
      </x:c>
      <x:c r="H46" s="13" t="str">
        <x:v>Financials Non-Banks</x:v>
      </x:c>
      <x:c r="I46" s="13" t="str">
        <x:v>Financials Non-Banks</x:v>
      </x:c>
      <x:c r="J46" s="13" t="str">
        <x:v>Financials</x:v>
      </x:c>
    </x:row>
    <x:row r="47">
      <x:c r="A47" s="13" t="str">
        <x:v>COGNA EDUCACAO</x:v>
      </x:c>
      <x:c r="B47" s="13" t="str">
        <x:v>Cogna</x:v>
      </x:c>
      <x:c r="C47" s="16" t="n">
        <x:v>0.9</x:v>
      </x:c>
      <x:c r="D47" s="13" t="str">
        <x:v>automático</x:v>
      </x:c>
      <x:c r="E47" s="13" t="str">
        <x:v>Education</x:v>
      </x:c>
      <x:c r="F47" s="13" t="str">
        <x:v>Education</x:v>
      </x:c>
      <x:c r="G47" s="13" t="str">
        <x:v>Early Cyclicals</x:v>
      </x:c>
      <x:c r="H47" s="13" t="str">
        <x:v>Education</x:v>
      </x:c>
      <x:c r="I47" s="13" t="str">
        <x:v>Education</x:v>
      </x:c>
      <x:c r="J47" s="13" t="str">
        <x:v>Early Cyclicals</x:v>
      </x:c>
    </x:row>
    <x:row r="48">
      <x:c r="A48" s="13" t="str">
        <x:v>COMPANHIA PARANAENSE -PREF B</x:v>
      </x:c>
      <x:c r="B48" s="13" t="str">
        <x:v>Companhia Industrial Cataguases</x:v>
      </x:c>
      <x:c r="C48" s="16" t="n">
        <x:v>0.388</x:v>
      </x:c>
      <x:c r="D48" s="13" t="str">
        <x:v>manual auditado</x:v>
      </x:c>
      <x:c r="E48" s="13" t="str">
        <x:v>Utilities &amp; Energy</x:v>
      </x:c>
      <x:c r="F48" s="13" t="str">
        <x:v>Utilities</x:v>
      </x:c>
      <x:c r="G48" s="13" t="str">
        <x:v>Defensives</x:v>
      </x:c>
      <x:c r="H48" s="13" t="str">
        <x:v>Retail</x:v>
      </x:c>
      <x:c r="I48" s="13" t="str">
        <x:v>Utilities</x:v>
      </x:c>
      <x:c r="J48" s="13" t="str">
        <x:v>Early Cyclicals</x:v>
      </x:c>
    </x:row>
    <x:row r="49">
      <x:c r="A49" s="13" t="str">
        <x:v>COMPANHIA PARANAENSE DE ENER</x:v>
      </x:c>
      <x:c r="B49" s="13" t="str">
        <x:v>Rio Paranapanema Energia</x:v>
      </x:c>
      <x:c r="C49" s="16" t="n">
        <x:v>0.404</x:v>
      </x:c>
      <x:c r="D49" s="13" t="str">
        <x:v>manual auditado</x:v>
      </x:c>
      <x:c r="E49" s="13" t="str">
        <x:v>Utilities &amp; Energy</x:v>
      </x:c>
      <x:c r="F49" s="13" t="str">
        <x:v>Utilities</x:v>
      </x:c>
      <x:c r="G49" s="13" t="str">
        <x:v>Defensives</x:v>
      </x:c>
      <x:c r="H49" s="13" t="str">
        <x:v>Utilities &amp; Energy</x:v>
      </x:c>
      <x:c r="I49" s="13" t="str">
        <x:v>Utilities</x:v>
      </x:c>
      <x:c r="J49" s="13" t="str">
        <x:v>Defensives</x:v>
      </x:c>
    </x:row>
    <x:row r="50">
      <x:c r="A50" s="13" t="str">
        <x:v>COSAN LOGISTICA SA</x:v>
      </x:c>
      <x:c r="B50" s="13" t="str">
        <x:v>Cosan Logística</x:v>
      </x:c>
      <x:c r="C50" s="16" t="n">
        <x:v>1</x:v>
      </x:c>
      <x:c r="D50" s="13" t="str">
        <x:v>automático</x:v>
      </x:c>
      <x:c r="E50" s="13" t="str">
        <x:v>Transportation</x:v>
      </x:c>
      <x:c r="F50" s="13" t="str">
        <x:v>Transportation</x:v>
      </x:c>
      <x:c r="G50" s="13" t="str">
        <x:v>Deep Cyclicals</x:v>
      </x:c>
      <x:c r="H50" s="13" t="str">
        <x:v>Transportation</x:v>
      </x:c>
      <x:c r="I50" s="13" t="str">
        <x:v>Transportation</x:v>
      </x:c>
      <x:c r="J50" s="13" t="str">
        <x:v>Deep Cyclicals</x:v>
      </x:c>
    </x:row>
    <x:row r="51">
      <x:c r="A51" s="13" t="str">
        <x:v>COSAN SA</x:v>
      </x:c>
      <x:c r="B51" s="13" t="str">
        <x:v>Cosan</x:v>
      </x:c>
      <x:c r="C51" s="16" t="n">
        <x:v>1</x:v>
      </x:c>
      <x:c r="D51" s="13" t="str">
        <x:v>automático</x:v>
      </x:c>
      <x:c r="E51" s="13" t="str">
        <x:v>Oil, Gas &amp; Petrochemicals</x:v>
      </x:c>
      <x:c r="F51" s="13" t="str">
        <x:v>Oil, Gas &amp; Petrochemicals</x:v>
      </x:c>
      <x:c r="G51" s="13" t="str">
        <x:v>Deep Cyclicals</x:v>
      </x:c>
      <x:c r="H51" s="13" t="str">
        <x:v>Oil, Gas &amp; Petrochemicals</x:v>
      </x:c>
      <x:c r="I51" s="13" t="str">
        <x:v>Oil, Gas &amp; Petrochemicals</x:v>
      </x:c>
      <x:c r="J51" s="13" t="str">
        <x:v>Deep Cyclicals</x:v>
      </x:c>
    </x:row>
    <x:row r="52">
      <x:c r="A52" s="13" t="str">
        <x:v>CPFL ENERGIA SA</x:v>
      </x:c>
      <x:c r="B52" s="13" t="str">
        <x:v>CPFL Energia</x:v>
      </x:c>
      <x:c r="C52" s="16" t="n">
        <x:v>1</x:v>
      </x:c>
      <x:c r="D52" s="13" t="str">
        <x:v>automático</x:v>
      </x:c>
      <x:c r="E52" s="13" t="str">
        <x:v>Utilities &amp; Energy</x:v>
      </x:c>
      <x:c r="F52" s="13" t="str">
        <x:v>Utilities</x:v>
      </x:c>
      <x:c r="G52" s="13" t="str">
        <x:v>Defensives</x:v>
      </x:c>
      <x:c r="H52" s="13" t="str">
        <x:v>Utilities &amp; Energy</x:v>
      </x:c>
      <x:c r="I52" s="13" t="str">
        <x:v>Utilities</x:v>
      </x:c>
      <x:c r="J52" s="13" t="str">
        <x:v>Defensives</x:v>
      </x:c>
    </x:row>
    <x:row r="53">
      <x:c r="A53" s="13" t="str">
        <x:v>CSN MINERACAO SA</x:v>
      </x:c>
      <x:c r="B53" s="13" t="str">
        <x:v>CSN Mineração</x:v>
      </x:c>
      <x:c r="C53" s="16" t="n">
        <x:v>1</x:v>
      </x:c>
      <x:c r="D53" s="13" t="str">
        <x:v>automático</x:v>
      </x:c>
      <x:c r="E53" s="13" t="str">
        <x:v>Metals &amp; Mining</x:v>
      </x:c>
      <x:c r="F53" s="13" t="str">
        <x:v>Metals &amp; Mining</x:v>
      </x:c>
      <x:c r="G53" s="13" t="str">
        <x:v>Deep Cyclicals</x:v>
      </x:c>
      <x:c r="H53" s="13" t="str">
        <x:v>Metals &amp; Mining</x:v>
      </x:c>
      <x:c r="I53" s="13" t="str">
        <x:v>Metals &amp; Mining</x:v>
      </x:c>
      <x:c r="J53" s="13" t="str">
        <x:v>Deep Cyclicals</x:v>
      </x:c>
    </x:row>
    <x:row r="54">
      <x:c r="A54" s="13" t="str">
        <x:v>CURY CONSTRUTORA E INCORPORA</x:v>
      </x:c>
      <x:c r="B54" s="13" t="str">
        <x:v>Cury</x:v>
      </x:c>
      <x:c r="C54" s="16" t="n">
        <x:v>0.867</x:v>
      </x:c>
      <x:c r="D54" s="13" t="str">
        <x:v>automático</x:v>
      </x:c>
      <x:c r="E54" s="13" t="str">
        <x:v>Homebuilders</x:v>
      </x:c>
      <x:c r="F54" s="13" t="str">
        <x:v>Real Estate</x:v>
      </x:c>
      <x:c r="G54" s="13" t="str">
        <x:v>Early Cyclicals</x:v>
      </x:c>
      <x:c r="H54" s="13" t="str">
        <x:v>Homebuilders</x:v>
      </x:c>
      <x:c r="I54" s="13" t="str">
        <x:v>Real Estate</x:v>
      </x:c>
      <x:c r="J54" s="13" t="str">
        <x:v>Early Cyclicals</x:v>
      </x:c>
    </x:row>
    <x:row r="55">
      <x:c r="A55" s="13" t="str">
        <x:v>CVC BRASIL OPERADORA E AGENC</x:v>
      </x:c>
      <x:c r="B55" s="13" t="str">
        <x:v>CVC Brasil</x:v>
      </x:c>
      <x:c r="C55" s="16" t="n">
        <x:v>0.867</x:v>
      </x:c>
      <x:c r="D55" s="13" t="str">
        <x:v>automático</x:v>
      </x:c>
      <x:c r="E55" s="13" t="str">
        <x:v>Retail</x:v>
      </x:c>
      <x:c r="F55" s="13" t="str">
        <x:v>Retail</x:v>
      </x:c>
      <x:c r="G55" s="13" t="str">
        <x:v>Early Cyclicals</x:v>
      </x:c>
      <x:c r="H55" s="13" t="str">
        <x:v>Retail</x:v>
      </x:c>
      <x:c r="I55" s="13" t="str">
        <x:v>Retail</x:v>
      </x:c>
      <x:c r="J55" s="13" t="str">
        <x:v>Early Cyclicals</x:v>
      </x:c>
    </x:row>
    <x:row r="56">
      <x:c r="A56" s="13" t="str">
        <x:v>CYRELA BRAZIL REALTY SA EMP</x:v>
      </x:c>
      <x:c r="B56" s="13" t="str">
        <x:v>Cyrela</x:v>
      </x:c>
      <x:c r="C56" s="16" t="n">
        <x:v>0.867</x:v>
      </x:c>
      <x:c r="D56" s="13" t="str">
        <x:v>automático</x:v>
      </x:c>
      <x:c r="E56" s="13" t="str">
        <x:v>Homebuilders</x:v>
      </x:c>
      <x:c r="F56" s="13" t="str">
        <x:v>Real Estate</x:v>
      </x:c>
      <x:c r="G56" s="13" t="str">
        <x:v>Early Cyclicals</x:v>
      </x:c>
      <x:c r="H56" s="13" t="str">
        <x:v>Homebuilders</x:v>
      </x:c>
      <x:c r="I56" s="13" t="str">
        <x:v>Real Estate</x:v>
      </x:c>
      <x:c r="J56" s="13" t="str">
        <x:v>Early Cyclicals</x:v>
      </x:c>
    </x:row>
    <x:row r="57">
      <x:c r="A57" s="13" t="str">
        <x:v>DEXCO SA</x:v>
      </x:c>
      <x:c r="B57" s="13" t="str">
        <x:v>Dexco</x:v>
      </x:c>
      <x:c r="C57" s="16" t="n">
        <x:v>1</x:v>
      </x:c>
      <x:c r="D57" s="13" t="str">
        <x:v>automático</x:v>
      </x:c>
      <x:c r="E57" s="13" t="str">
        <x:v>Pulp &amp; Paper</x:v>
      </x:c>
      <x:c r="F57" s="13" t="str">
        <x:v>Pulp &amp; Paper</x:v>
      </x:c>
      <x:c r="G57" s="13" t="str">
        <x:v>Deep Cyclicals</x:v>
      </x:c>
      <x:c r="H57" s="13" t="str">
        <x:v>Pulp &amp; Paper</x:v>
      </x:c>
      <x:c r="I57" s="13" t="str">
        <x:v>Pulp &amp; Paper</x:v>
      </x:c>
      <x:c r="J57" s="13" t="str">
        <x:v>Deep Cyclicals</x:v>
      </x:c>
    </x:row>
    <x:row r="58">
      <x:c r="A58" s="13" t="str">
        <x:v>DIAGNOSTICOS DA AMERICA SA</x:v>
      </x:c>
      <x:c r="B58" s="13" t="str">
        <x:v>Banco da Amazonia</x:v>
      </x:c>
      <x:c r="C58" s="16" t="n">
        <x:v>0.419</x:v>
      </x:c>
      <x:c r="D58" s="13" t="str">
        <x:v>manual auditado</x:v>
      </x:c>
      <x:c r="E58" s="13" t="str">
        <x:v>Health Care</x:v>
      </x:c>
      <x:c r="F58" s="13" t="str">
        <x:v>Health Care</x:v>
      </x:c>
      <x:c r="G58" s="13" t="str">
        <x:v>Defensives</x:v>
      </x:c>
      <x:c r="H58" s="13" t="str">
        <x:v>Banks</x:v>
      </x:c>
      <x:c r="I58" s="13" t="str">
        <x:v>Health Care</x:v>
      </x:c>
      <x:c r="J58" s="13" t="str">
        <x:v>Financials</x:v>
      </x:c>
    </x:row>
    <x:row r="59">
      <x:c r="A59" s="13" t="str">
        <x:v>DIRECIONAL ENGENHARIA SA</x:v>
      </x:c>
      <x:c r="B59" s="13" t="str">
        <x:v>Direcional</x:v>
      </x:c>
      <x:c r="C59" s="16" t="n">
        <x:v>0.9</x:v>
      </x:c>
      <x:c r="D59" s="13" t="str">
        <x:v>automático</x:v>
      </x:c>
      <x:c r="E59" s="13" t="str">
        <x:v>Homebuilders</x:v>
      </x:c>
      <x:c r="F59" s="13" t="str">
        <x:v>Real Estate</x:v>
      </x:c>
      <x:c r="G59" s="13" t="str">
        <x:v>Early Cyclicals</x:v>
      </x:c>
      <x:c r="H59" s="13" t="str">
        <x:v>Homebuilders</x:v>
      </x:c>
      <x:c r="I59" s="13" t="str">
        <x:v>Real Estate</x:v>
      </x:c>
      <x:c r="J59" s="13" t="str">
        <x:v>Early Cyclicals</x:v>
      </x:c>
    </x:row>
    <x:row r="60">
      <x:c r="A60" s="13" t="str">
        <x:v>ECORODOVIAS INFRA E LOG SA</x:v>
      </x:c>
      <x:c r="B60" s="13" t="str">
        <x:v>Ecorodovias</x:v>
      </x:c>
      <x:c r="C60" s="16" t="n">
        <x:v>0.867</x:v>
      </x:c>
      <x:c r="D60" s="13" t="str">
        <x:v>automático</x:v>
      </x:c>
      <x:c r="E60" s="13" t="str">
        <x:v>Transportation</x:v>
      </x:c>
      <x:c r="F60" s="13" t="str">
        <x:v>Transportation</x:v>
      </x:c>
      <x:c r="G60" s="13" t="str">
        <x:v>Deep Cyclicals</x:v>
      </x:c>
      <x:c r="H60" s="13" t="str">
        <x:v>Transportation</x:v>
      </x:c>
      <x:c r="I60" s="13" t="str">
        <x:v>Transportation</x:v>
      </x:c>
      <x:c r="J60" s="13" t="str">
        <x:v>Deep Cyclicals</x:v>
      </x:c>
    </x:row>
    <x:row r="61">
      <x:c r="A61" s="13" t="str">
        <x:v>EDP - ENERGIAS DO BRASIL SA</x:v>
      </x:c>
      <x:c r="B61" s="13" t="str">
        <x:v>EDP Brasil</x:v>
      </x:c>
      <x:c r="C61" s="16" t="n">
        <x:v>0.9</x:v>
      </x:c>
      <x:c r="D61" s="13" t="str">
        <x:v>automático</x:v>
      </x:c>
      <x:c r="E61" s="13" t="str">
        <x:v>Utilities &amp; Energy</x:v>
      </x:c>
      <x:c r="F61" s="13" t="str">
        <x:v>Utilities</x:v>
      </x:c>
      <x:c r="G61" s="13" t="str">
        <x:v>Defensives</x:v>
      </x:c>
      <x:c r="H61" s="13" t="str">
        <x:v>Utilities &amp; Energy</x:v>
      </x:c>
      <x:c r="I61" s="13" t="str">
        <x:v>Utilities</x:v>
      </x:c>
      <x:c r="J61" s="13" t="str">
        <x:v>Defensives</x:v>
      </x:c>
    </x:row>
    <x:row r="62">
      <x:c r="A62" s="13" t="str">
        <x:v>ELETROPAULO METROPOLI-PREF</x:v>
      </x:c>
      <x:c r="B62" s="13" t="str">
        <x:v>Eletropaulo</x:v>
      </x:c>
      <x:c r="C62" s="16" t="n">
        <x:v>0.9</x:v>
      </x:c>
      <x:c r="D62" s="13" t="str">
        <x:v>automático</x:v>
      </x:c>
      <x:c r="E62" s="13" t="str">
        <x:v>Utilities &amp; Energy</x:v>
      </x:c>
      <x:c r="F62" s="13" t="str">
        <x:v>Utilities</x:v>
      </x:c>
      <x:c r="G62" s="13" t="str">
        <x:v>Defensives</x:v>
      </x:c>
      <x:c r="H62" s="13" t="str">
        <x:v>Utilities &amp; Energy</x:v>
      </x:c>
      <x:c r="I62" s="13" t="str">
        <x:v>Utilities</x:v>
      </x:c>
      <x:c r="J62" s="13" t="str">
        <x:v>Defensives</x:v>
      </x:c>
    </x:row>
    <x:row r="63">
      <x:c r="A63" s="13" t="str">
        <x:v>EMBRAER SA</x:v>
      </x:c>
      <x:c r="B63" s="13" t="str">
        <x:v>Embraer</x:v>
      </x:c>
      <x:c r="C63" s="16" t="n">
        <x:v>1</x:v>
      </x:c>
      <x:c r="D63" s="13" t="str">
        <x:v>automático</x:v>
      </x:c>
      <x:c r="E63" s="13" t="str">
        <x:v>Capital Goods</x:v>
      </x:c>
      <x:c r="F63" s="13" t="str">
        <x:v>Capital Goods</x:v>
      </x:c>
      <x:c r="G63" s="13" t="str">
        <x:v>Deep Cyclicals</x:v>
      </x:c>
      <x:c r="H63" s="13" t="str">
        <x:v>Capital Goods</x:v>
      </x:c>
      <x:c r="I63" s="13" t="str">
        <x:v>Capital Goods</x:v>
      </x:c>
      <x:c r="J63" s="13" t="str">
        <x:v>Deep Cyclicals</x:v>
      </x:c>
    </x:row>
    <x:row r="64">
      <x:c r="A64" s="13" t="str">
        <x:v>ENERGISA SA-UNITS</x:v>
      </x:c>
      <x:c r="B64" s="13" t="str">
        <x:v>Energisa</x:v>
      </x:c>
      <x:c r="C64" s="16" t="n">
        <x:v>1</x:v>
      </x:c>
      <x:c r="D64" s="13" t="str">
        <x:v>automático</x:v>
      </x:c>
      <x:c r="E64" s="13" t="str">
        <x:v>Utilities &amp; Energy</x:v>
      </x:c>
      <x:c r="F64" s="13" t="str">
        <x:v>Utilities</x:v>
      </x:c>
      <x:c r="G64" s="13" t="str">
        <x:v>Defensives</x:v>
      </x:c>
      <x:c r="H64" s="13" t="str">
        <x:v>Utilities &amp; Energy</x:v>
      </x:c>
      <x:c r="I64" s="13" t="str">
        <x:v>Utilities</x:v>
      </x:c>
      <x:c r="J64" s="13" t="str">
        <x:v>Defensives</x:v>
      </x:c>
    </x:row>
    <x:row r="65">
      <x:c r="A65" s="13" t="str">
        <x:v>ENEVA SA</x:v>
      </x:c>
      <x:c r="B65" s="13" t="str">
        <x:v>Eneva</x:v>
      </x:c>
      <x:c r="C65" s="16" t="n">
        <x:v>1</x:v>
      </x:c>
      <x:c r="D65" s="13" t="str">
        <x:v>automático</x:v>
      </x:c>
      <x:c r="E65" s="13" t="str">
        <x:v>Utilities &amp; Energy</x:v>
      </x:c>
      <x:c r="F65" s="13" t="str">
        <x:v>Utilities</x:v>
      </x:c>
      <x:c r="G65" s="13" t="str">
        <x:v>Defensives</x:v>
      </x:c>
      <x:c r="H65" s="13" t="str">
        <x:v>Utilities &amp; Energy</x:v>
      </x:c>
      <x:c r="I65" s="13" t="str">
        <x:v>Utilities</x:v>
      </x:c>
      <x:c r="J65" s="13" t="str">
        <x:v>Defensives</x:v>
      </x:c>
    </x:row>
    <x:row r="66">
      <x:c r="A66" s="13" t="str">
        <x:v>ENGIE BRASIL ENERGIA SA</x:v>
      </x:c>
      <x:c r="B66" s="13" t="str">
        <x:v>Engie Brasil</x:v>
      </x:c>
      <x:c r="C66" s="16" t="n">
        <x:v>0.9</x:v>
      </x:c>
      <x:c r="D66" s="13" t="str">
        <x:v>automático</x:v>
      </x:c>
      <x:c r="E66" s="13" t="str">
        <x:v>Utilities &amp; Energy</x:v>
      </x:c>
      <x:c r="F66" s="13" t="str">
        <x:v>Utilities</x:v>
      </x:c>
      <x:c r="G66" s="13" t="str">
        <x:v>Defensives</x:v>
      </x:c>
      <x:c r="H66" s="13" t="str">
        <x:v>Utilities &amp; Energy</x:v>
      </x:c>
      <x:c r="I66" s="13" t="str">
        <x:v>Utilities</x:v>
      </x:c>
      <x:c r="J66" s="13" t="str">
        <x:v>Defensives</x:v>
      </x:c>
    </x:row>
    <x:row r="67">
      <x:c r="A67" s="13" t="str">
        <x:v>EQUATORIAL SA - ORD</x:v>
      </x:c>
      <x:c r="B67" s="13" t="str">
        <x:v>Equatorial Pará</x:v>
      </x:c>
      <x:c r="C67" s="16" t="n">
        <x:v>0.609</x:v>
      </x:c>
      <x:c r="D67" s="13" t="str">
        <x:v>manual auditado</x:v>
      </x:c>
      <x:c r="E67" s="13" t="str">
        <x:v>Utilities &amp; Energy</x:v>
      </x:c>
      <x:c r="F67" s="13" t="str">
        <x:v>Utilities</x:v>
      </x:c>
      <x:c r="G67" s="13" t="str">
        <x:v>Defensives</x:v>
      </x:c>
      <x:c r="H67" s="13" t="str">
        <x:v>Utilities &amp; Energy</x:v>
      </x:c>
      <x:c r="I67" s="13" t="str">
        <x:v>Utilities</x:v>
      </x:c>
      <x:c r="J67" s="13" t="str">
        <x:v>Defensives</x:v>
      </x:c>
    </x:row>
    <x:row r="68">
      <x:c r="A68" s="13" t="str">
        <x:v>EVEN CONSTRUTORA E INCORPORA</x:v>
      </x:c>
      <x:c r="B68" s="13" t="str">
        <x:v>Even</x:v>
      </x:c>
      <x:c r="C68" s="16" t="n">
        <x:v>0.867</x:v>
      </x:c>
      <x:c r="D68" s="13" t="str">
        <x:v>automático</x:v>
      </x:c>
      <x:c r="E68" s="13" t="str">
        <x:v>Homebuilders</x:v>
      </x:c>
      <x:c r="F68" s="13" t="str">
        <x:v>Real Estate</x:v>
      </x:c>
      <x:c r="G68" s="13" t="str">
        <x:v>Early Cyclicals</x:v>
      </x:c>
      <x:c r="H68" s="13" t="str">
        <x:v>Homebuilders</x:v>
      </x:c>
      <x:c r="I68" s="13" t="str">
        <x:v>Real Estate</x:v>
      </x:c>
      <x:c r="J68" s="13" t="str">
        <x:v>Early Cyclicals</x:v>
      </x:c>
    </x:row>
    <x:row r="69">
      <x:c r="A69" s="13" t="str">
        <x:v>EZ TEC EMPREENDIMENTOS E PAR</x:v>
      </x:c>
      <x:c r="B69" s="13" t="str">
        <x:v>Fica Empreendimentos</x:v>
      </x:c>
      <x:c r="C69" s="16" t="n">
        <x:v>0.531</x:v>
      </x:c>
      <x:c r="D69" s="13" t="str">
        <x:v>manual auditado</x:v>
      </x:c>
      <x:c r="E69" s="13" t="str">
        <x:v>Homebuilders</x:v>
      </x:c>
      <x:c r="F69" s="13" t="str">
        <x:v>Real Estate</x:v>
      </x:c>
      <x:c r="G69" s="13" t="str">
        <x:v>Early Cyclicals</x:v>
      </x:c>
      <x:c r="H69" s="13" t="str">
        <x:v>Homebuilders</x:v>
      </x:c>
      <x:c r="I69" s="13" t="str">
        <x:v>Real Estate</x:v>
      </x:c>
      <x:c r="J69" s="13" t="str">
        <x:v>Early Cyclicals</x:v>
      </x:c>
    </x:row>
    <x:row r="70">
      <x:c r="A70" s="13" t="str">
        <x:v>FIBRIA CELULOSE S/A</x:v>
      </x:c>
      <x:c r="B70" s="13" t="str">
        <x:v>Fibria</x:v>
      </x:c>
      <x:c r="C70" s="16" t="n">
        <x:v>0.9</x:v>
      </x:c>
      <x:c r="D70" s="13" t="str">
        <x:v>automático</x:v>
      </x:c>
      <x:c r="E70" s="13" t="str">
        <x:v>Pulp &amp; Paper</x:v>
      </x:c>
      <x:c r="F70" s="13" t="str">
        <x:v>Pulp &amp; Paper</x:v>
      </x:c>
      <x:c r="G70" s="13" t="str">
        <x:v>Deep Cyclicals</x:v>
      </x:c>
      <x:c r="H70" s="13" t="str">
        <x:v>Pulp &amp; Paper</x:v>
      </x:c>
      <x:c r="I70" s="13" t="str">
        <x:v>Pulp &amp; Paper</x:v>
      </x:c>
      <x:c r="J70" s="13" t="str">
        <x:v>Deep Cyclicals</x:v>
      </x:c>
    </x:row>
    <x:row r="71">
      <x:c r="A71" s="13" t="str">
        <x:v>FLEURY SA</x:v>
      </x:c>
      <x:c r="B71" s="13" t="str">
        <x:v>Fleury</x:v>
      </x:c>
      <x:c r="C71" s="16" t="n">
        <x:v>1</x:v>
      </x:c>
      <x:c r="D71" s="13" t="str">
        <x:v>automático</x:v>
      </x:c>
      <x:c r="E71" s="13" t="str">
        <x:v>Health Care</x:v>
      </x:c>
      <x:c r="F71" s="13" t="str">
        <x:v>Health Care</x:v>
      </x:c>
      <x:c r="G71" s="13" t="str">
        <x:v>Defensives</x:v>
      </x:c>
      <x:c r="H71" s="13" t="str">
        <x:v>Health Care</x:v>
      </x:c>
      <x:c r="I71" s="13" t="str">
        <x:v>Health Care</x:v>
      </x:c>
      <x:c r="J71" s="13" t="str">
        <x:v>Defensives</x:v>
      </x:c>
    </x:row>
    <x:row r="72">
      <x:c r="A72" s="13" t="str">
        <x:v>GAFISA SA</x:v>
      </x:c>
      <x:c r="B72" s="13" t="str">
        <x:v>Gafisa</x:v>
      </x:c>
      <x:c r="C72" s="16" t="n">
        <x:v>1</x:v>
      </x:c>
      <x:c r="D72" s="13" t="str">
        <x:v>automático</x:v>
      </x:c>
      <x:c r="E72" s="13" t="str">
        <x:v>Homebuilders</x:v>
      </x:c>
      <x:c r="F72" s="13" t="str">
        <x:v>Real Estate</x:v>
      </x:c>
      <x:c r="G72" s="13" t="str">
        <x:v>Early Cyclicals</x:v>
      </x:c>
      <x:c r="H72" s="13" t="str">
        <x:v>Homebuilders</x:v>
      </x:c>
      <x:c r="I72" s="13" t="str">
        <x:v>Real Estate</x:v>
      </x:c>
      <x:c r="J72" s="13" t="str">
        <x:v>Early Cyclicals</x:v>
      </x:c>
    </x:row>
    <x:row r="73">
      <x:c r="A73" s="13" t="str">
        <x:v>GERDAU SA-PREF</x:v>
      </x:c>
      <x:c r="B73" s="13" t="str">
        <x:v>Gerdau</x:v>
      </x:c>
      <x:c r="C73" s="16" t="n">
        <x:v>1</x:v>
      </x:c>
      <x:c r="D73" s="13" t="str">
        <x:v>automático</x:v>
      </x:c>
      <x:c r="E73" s="13" t="str">
        <x:v>Metals &amp; Mining</x:v>
      </x:c>
      <x:c r="F73" s="13" t="str">
        <x:v>Metals &amp; Mining</x:v>
      </x:c>
      <x:c r="G73" s="13" t="str">
        <x:v>Deep Cyclicals</x:v>
      </x:c>
      <x:c r="H73" s="13" t="str">
        <x:v>Metals &amp; Mining</x:v>
      </x:c>
      <x:c r="I73" s="13" t="str">
        <x:v>Metals &amp; Mining</x:v>
      </x:c>
      <x:c r="J73" s="13" t="str">
        <x:v>Deep Cyclicals</x:v>
      </x:c>
    </x:row>
    <x:row r="74">
      <x:c r="A74" s="13" t="str">
        <x:v>GETNET ADQUIRENCIA E SERVICO</x:v>
      </x:c>
      <x:c r="B74" s="13" t="str">
        <x:v>Getnet</x:v>
      </x:c>
      <x:c r="C74" s="16" t="n">
        <x:v>0.867</x:v>
      </x:c>
      <x:c r="D74" s="13" t="str">
        <x:v>automático</x:v>
      </x:c>
      <x:c r="E74" s="13" t="str">
        <x:v>Financials Non-Banks</x:v>
      </x:c>
      <x:c r="F74" s="13" t="str">
        <x:v>Financials Non-Banks</x:v>
      </x:c>
      <x:c r="G74" s="13" t="str">
        <x:v>Financials</x:v>
      </x:c>
      <x:c r="H74" s="13" t="str">
        <x:v>Financials Non-Banks</x:v>
      </x:c>
      <x:c r="I74" s="13" t="str">
        <x:v>Financials Non-Banks</x:v>
      </x:c>
      <x:c r="J74" s="13" t="str">
        <x:v>Financials</x:v>
      </x:c>
    </x:row>
    <x:row r="75">
      <x:c r="A75" s="13" t="str">
        <x:v>GOL LINHAS AEREAS INT SA-PRE</x:v>
      </x:c>
      <x:c r="B75" s="13" t="str">
        <x:v>Gol</x:v>
      </x:c>
      <x:c r="C75" s="16" t="n">
        <x:v>0.85</x:v>
      </x:c>
      <x:c r="D75" s="13" t="str">
        <x:v>automático</x:v>
      </x:c>
      <x:c r="E75" s="13" t="str">
        <x:v>Transportation</x:v>
      </x:c>
      <x:c r="F75" s="13" t="str">
        <x:v>Transportation</x:v>
      </x:c>
      <x:c r="G75" s="13" t="str">
        <x:v>Deep Cyclicals</x:v>
      </x:c>
      <x:c r="H75" s="13" t="str">
        <x:v>Transportation</x:v>
      </x:c>
      <x:c r="I75" s="13" t="str">
        <x:v>Transportation</x:v>
      </x:c>
      <x:c r="J75" s="13" t="str">
        <x:v>Deep Cyclicals</x:v>
      </x:c>
    </x:row>
    <x:row r="76">
      <x:c r="A76" s="13" t="str">
        <x:v>GRUPO CASAS BAHIA SA</x:v>
      </x:c>
      <x:c r="B76" s="13" t="str">
        <x:v>Grupo Casas Bahia</x:v>
      </x:c>
      <x:c r="C76" s="16" t="n">
        <x:v>1</x:v>
      </x:c>
      <x:c r="D76" s="13" t="str">
        <x:v>automático</x:v>
      </x:c>
      <x:c r="E76" s="13" t="str">
        <x:v>Retail</x:v>
      </x:c>
      <x:c r="F76" s="13" t="str">
        <x:v>Retail</x:v>
      </x:c>
      <x:c r="G76" s="13" t="str">
        <x:v>Early Cyclicals</x:v>
      </x:c>
      <x:c r="H76" s="13" t="str">
        <x:v>Retail</x:v>
      </x:c>
      <x:c r="I76" s="13" t="str">
        <x:v>Retail</x:v>
      </x:c>
      <x:c r="J76" s="13" t="str">
        <x:v>Early Cyclicals</x:v>
      </x:c>
    </x:row>
    <x:row r="77">
      <x:c r="A77" s="13" t="str">
        <x:v>GRUPO DE MODA SOMA SA</x:v>
      </x:c>
      <x:c r="B77" s="13" t="str">
        <x:v>Grupo Soma</x:v>
      </x:c>
      <x:c r="C77" s="16" t="n">
        <x:v>0.9</x:v>
      </x:c>
      <x:c r="D77" s="13" t="str">
        <x:v>automático</x:v>
      </x:c>
      <x:c r="E77" s="13" t="str">
        <x:v>Retail</x:v>
      </x:c>
      <x:c r="F77" s="13" t="str">
        <x:v>Retail</x:v>
      </x:c>
      <x:c r="G77" s="13" t="str">
        <x:v>Early Cyclicals</x:v>
      </x:c>
      <x:c r="H77" s="13" t="str">
        <x:v>Retail</x:v>
      </x:c>
      <x:c r="I77" s="13" t="str">
        <x:v>Retail</x:v>
      </x:c>
      <x:c r="J77" s="13" t="str">
        <x:v>Early Cyclicals</x:v>
      </x:c>
    </x:row>
    <x:row r="78">
      <x:c r="A78" s="13" t="str">
        <x:v>HAPVIDA PARTICIPACOES E INVE</x:v>
      </x:c>
      <x:c r="B78" s="13" t="str">
        <x:v>Hapvida</x:v>
      </x:c>
      <x:c r="C78" s="16" t="n">
        <x:v>0.9</x:v>
      </x:c>
      <x:c r="D78" s="13" t="str">
        <x:v>automático</x:v>
      </x:c>
      <x:c r="E78" s="13" t="str">
        <x:v>Health Care</x:v>
      </x:c>
      <x:c r="F78" s="13" t="str">
        <x:v>Health Care</x:v>
      </x:c>
      <x:c r="G78" s="13" t="str">
        <x:v>Defensives</x:v>
      </x:c>
      <x:c r="H78" s="13" t="str">
        <x:v>Health Care</x:v>
      </x:c>
      <x:c r="I78" s="13" t="str">
        <x:v>Health Care</x:v>
      </x:c>
      <x:c r="J78" s="13" t="str">
        <x:v>Defensives</x:v>
      </x:c>
    </x:row>
    <x:row r="79">
      <x:c r="A79" s="13" t="str">
        <x:v>HYPERA SA</x:v>
      </x:c>
      <x:c r="B79" s="13" t="str">
        <x:v>Hypera</x:v>
      </x:c>
      <x:c r="C79" s="16" t="n">
        <x:v>1</x:v>
      </x:c>
      <x:c r="D79" s="13" t="str">
        <x:v>automático</x:v>
      </x:c>
      <x:c r="E79" s="13" t="str">
        <x:v>Health Care</x:v>
      </x:c>
      <x:c r="F79" s="13" t="str">
        <x:v>Health Care</x:v>
      </x:c>
      <x:c r="G79" s="13" t="str">
        <x:v>Defensives</x:v>
      </x:c>
      <x:c r="H79" s="13" t="str">
        <x:v>Health Care</x:v>
      </x:c>
      <x:c r="I79" s="13" t="str">
        <x:v>Health Care</x:v>
      </x:c>
      <x:c r="J79" s="13" t="str">
        <x:v>Defensives</x:v>
      </x:c>
    </x:row>
    <x:row r="80">
      <x:c r="A80" s="13" t="str">
        <x:v>IGUATEMI EMP DE SHOPPING</x:v>
      </x:c>
      <x:c r="B80" s="13" t="str">
        <x:v>Iguatemi</x:v>
      </x:c>
      <x:c r="C80" s="16" t="n">
        <x:v>0.867</x:v>
      </x:c>
      <x:c r="D80" s="13" t="str">
        <x:v>automático</x:v>
      </x:c>
      <x:c r="E80" s="13" t="str">
        <x:v>Income Properties</x:v>
      </x:c>
      <x:c r="F80" s="13" t="str">
        <x:v>Real Estate</x:v>
      </x:c>
      <x:c r="G80" s="13" t="str">
        <x:v>Early Cyclicals</x:v>
      </x:c>
      <x:c r="H80" s="13" t="str">
        <x:v>Income Properties</x:v>
      </x:c>
      <x:c r="I80" s="13" t="str">
        <x:v>Real Estate</x:v>
      </x:c>
      <x:c r="J80" s="13" t="str">
        <x:v>Early Cyclicals</x:v>
      </x:c>
    </x:row>
    <x:row r="81">
      <x:c r="A81" s="13" t="str">
        <x:v>IGUATEMI SA - UNITS</x:v>
      </x:c>
      <x:c r="B81" s="13" t="str">
        <x:v>Iguatemi</x:v>
      </x:c>
      <x:c r="C81" s="16" t="n">
        <x:v>1</x:v>
      </x:c>
      <x:c r="D81" s="13" t="str">
        <x:v>automático</x:v>
      </x:c>
      <x:c r="E81" s="13" t="str">
        <x:v>Income Properties</x:v>
      </x:c>
      <x:c r="F81" s="13" t="str">
        <x:v>Real Estate</x:v>
      </x:c>
      <x:c r="G81" s="13" t="str">
        <x:v>Early Cyclicals</x:v>
      </x:c>
      <x:c r="H81" s="13" t="str">
        <x:v>Income Properties</x:v>
      </x:c>
      <x:c r="I81" s="13" t="str">
        <x:v>Real Estate</x:v>
      </x:c>
      <x:c r="J81" s="13" t="str">
        <x:v>Early Cyclicals</x:v>
      </x:c>
    </x:row>
    <x:row r="82">
      <x:c r="A82" s="13" t="str">
        <x:v>INTER &amp; CO INC/BRAZIL</x:v>
      </x:c>
      <x:c r="B82" s="13" t="str">
        <x:v>Inter</x:v>
      </x:c>
      <x:c r="C82" s="16" t="n">
        <x:v>1</x:v>
      </x:c>
      <x:c r="D82" s="13" t="str">
        <x:v>automático</x:v>
      </x:c>
      <x:c r="E82" s="13" t="str">
        <x:v>Banks</x:v>
      </x:c>
      <x:c r="F82" s="13" t="str">
        <x:v>Banks</x:v>
      </x:c>
      <x:c r="G82" s="13" t="str">
        <x:v>Financials</x:v>
      </x:c>
      <x:c r="H82" s="13" t="str">
        <x:v>Banks</x:v>
      </x:c>
      <x:c r="I82" s="13" t="str">
        <x:v>Banks</x:v>
      </x:c>
      <x:c r="J82" s="13" t="str">
        <x:v>Financials</x:v>
      </x:c>
    </x:row>
    <x:row r="83">
      <x:c r="A83" s="13" t="str">
        <x:v>IRB BRASIL RESSEGUROS SA</x:v>
      </x:c>
      <x:c r="B83" s="13" t="str">
        <x:v>IRB Brasil</x:v>
      </x:c>
      <x:c r="C83" s="16" t="n">
        <x:v>0.9</x:v>
      </x:c>
      <x:c r="D83" s="13" t="str">
        <x:v>automático</x:v>
      </x:c>
      <x:c r="E83" s="13" t="str">
        <x:v>Financials Non-Banks</x:v>
      </x:c>
      <x:c r="F83" s="13" t="str">
        <x:v>Financials Non-Banks</x:v>
      </x:c>
      <x:c r="G83" s="13" t="str">
        <x:v>Financials</x:v>
      </x:c>
      <x:c r="H83" s="13" t="str">
        <x:v>Financials Non-Banks</x:v>
      </x:c>
      <x:c r="I83" s="13" t="str">
        <x:v>Financials Non-Banks</x:v>
      </x:c>
      <x:c r="J83" s="13" t="str">
        <x:v>Financials</x:v>
      </x:c>
    </x:row>
    <x:row r="84">
      <x:c r="A84" s="13" t="str">
        <x:v>ISA ENERGIA BRASIL SA</x:v>
      </x:c>
      <x:c r="B84" s="13" t="str">
        <x:v>ISA Energia</x:v>
      </x:c>
      <x:c r="C84" s="16" t="n">
        <x:v>1</x:v>
      </x:c>
      <x:c r="D84" s="13" t="str">
        <x:v>automático</x:v>
      </x:c>
      <x:c r="E84" s="13" t="str">
        <x:v>Utilities &amp; Energy</x:v>
      </x:c>
      <x:c r="F84" s="13" t="str">
        <x:v>Utilities</x:v>
      </x:c>
      <x:c r="G84" s="13" t="str">
        <x:v>Defensives</x:v>
      </x:c>
      <x:c r="H84" s="13" t="str">
        <x:v>Utilities &amp; Energy</x:v>
      </x:c>
      <x:c r="I84" s="13" t="str">
        <x:v>Utilities</x:v>
      </x:c>
      <x:c r="J84" s="13" t="str">
        <x:v>Defensives</x:v>
      </x:c>
    </x:row>
    <x:row r="85">
      <x:c r="A85" s="13" t="str">
        <x:v>ITAU UNIBANCO HOLDING S-PREF</x:v>
      </x:c>
      <x:c r="B85" s="13" t="str">
        <x:v>Itaú Unibanco</x:v>
      </x:c>
      <x:c r="C85" s="16" t="n">
        <x:v>1</x:v>
      </x:c>
      <x:c r="D85" s="13" t="str">
        <x:v>automático</x:v>
      </x:c>
      <x:c r="E85" s="13" t="str">
        <x:v>Banks</x:v>
      </x:c>
      <x:c r="F85" s="13" t="str">
        <x:v>Banks</x:v>
      </x:c>
      <x:c r="G85" s="13" t="str">
        <x:v>Financials</x:v>
      </x:c>
      <x:c r="H85" s="13" t="str">
        <x:v>Banks</x:v>
      </x:c>
      <x:c r="I85" s="13" t="str">
        <x:v>Banks</x:v>
      </x:c>
      <x:c r="J85" s="13" t="str">
        <x:v>Financials</x:v>
      </x:c>
    </x:row>
    <x:row r="86">
      <x:c r="A86" s="13" t="str">
        <x:v>ITAUSA SA</x:v>
      </x:c>
      <x:c r="B86" s="13" t="str">
        <x:v>Itausa</x:v>
      </x:c>
      <x:c r="C86" s="16" t="n">
        <x:v>1</x:v>
      </x:c>
      <x:c r="D86" s="13" t="str">
        <x:v>automático</x:v>
      </x:c>
      <x:c r="E86" s="13" t="str">
        <x:v>Financials Non-Banks</x:v>
      </x:c>
      <x:c r="F86" s="13" t="str">
        <x:v>Financials Non-Banks</x:v>
      </x:c>
      <x:c r="G86" s="13" t="str">
        <x:v>Financials</x:v>
      </x:c>
      <x:c r="H86" s="13" t="str">
        <x:v>Financials Non-Banks</x:v>
      </x:c>
      <x:c r="I86" s="13" t="str">
        <x:v>Financials Non-Banks</x:v>
      </x:c>
      <x:c r="J86" s="13" t="str">
        <x:v>Financials</x:v>
      </x:c>
    </x:row>
    <x:row r="87">
      <x:c r="A87" s="13" t="str">
        <x:v>JBS SA</x:v>
      </x:c>
      <x:c r="B87" s="13" t="str">
        <x:v>JBS</x:v>
      </x:c>
      <x:c r="C87" s="16" t="n">
        <x:v>1</x:v>
      </x:c>
      <x:c r="D87" s="13" t="str">
        <x:v>automático</x:v>
      </x:c>
      <x:c r="E87" s="13" t="str">
        <x:v>Food &amp; Beverages</x:v>
      </x:c>
      <x:c r="F87" s="13" t="str">
        <x:v>Agri, Food &amp; Beverages</x:v>
      </x:c>
      <x:c r="G87" s="13" t="str">
        <x:v>Defensives</x:v>
      </x:c>
      <x:c r="H87" s="13" t="str">
        <x:v>Food &amp; Beverages</x:v>
      </x:c>
      <x:c r="I87" s="13" t="str">
        <x:v>Agri, Food &amp; Beverages</x:v>
      </x:c>
      <x:c r="J87" s="13" t="str">
        <x:v>Defensives</x:v>
      </x:c>
    </x:row>
    <x:row r="88">
      <x:c r="A88" s="13" t="str">
        <x:v>JHSF PARTICIPACOES SA</x:v>
      </x:c>
      <x:c r="B88" s="13" t="str">
        <x:v>JHSF</x:v>
      </x:c>
      <x:c r="C88" s="16" t="n">
        <x:v>1</x:v>
      </x:c>
      <x:c r="D88" s="13" t="str">
        <x:v>automático</x:v>
      </x:c>
      <x:c r="E88" s="13" t="str">
        <x:v>Income Properties</x:v>
      </x:c>
      <x:c r="F88" s="13" t="str">
        <x:v>Real Estate</x:v>
      </x:c>
      <x:c r="G88" s="13" t="str">
        <x:v>Early Cyclicals</x:v>
      </x:c>
      <x:c r="H88" s="13" t="str">
        <x:v>Income Properties</x:v>
      </x:c>
      <x:c r="I88" s="13" t="str">
        <x:v>Real Estate</x:v>
      </x:c>
      <x:c r="J88" s="13" t="str">
        <x:v>Early Cyclicals</x:v>
      </x:c>
    </x:row>
    <x:row r="89">
      <x:c r="A89" s="13" t="str">
        <x:v>KLABIN SA - UNIT</x:v>
      </x:c>
      <x:c r="B89" s="13" t="str">
        <x:v>Klabin</x:v>
      </x:c>
      <x:c r="C89" s="16" t="n">
        <x:v>1</x:v>
      </x:c>
      <x:c r="D89" s="13" t="str">
        <x:v>automático</x:v>
      </x:c>
      <x:c r="E89" s="13" t="str">
        <x:v>Pulp &amp; Paper</x:v>
      </x:c>
      <x:c r="F89" s="13" t="str">
        <x:v>Pulp &amp; Paper</x:v>
      </x:c>
      <x:c r="G89" s="13" t="str">
        <x:v>Deep Cyclicals</x:v>
      </x:c>
      <x:c r="H89" s="13" t="str">
        <x:v>Pulp &amp; Paper</x:v>
      </x:c>
      <x:c r="I89" s="13" t="str">
        <x:v>Pulp &amp; Paper</x:v>
      </x:c>
      <x:c r="J89" s="13" t="str">
        <x:v>Deep Cyclicals</x:v>
      </x:c>
    </x:row>
    <x:row r="90">
      <x:c r="A90" s="13" t="str">
        <x:v>KLABIN SA-PREF</x:v>
      </x:c>
      <x:c r="B90" s="13" t="str">
        <x:v>Klabin</x:v>
      </x:c>
      <x:c r="C90" s="16" t="n">
        <x:v>1</x:v>
      </x:c>
      <x:c r="D90" s="13" t="str">
        <x:v>automático</x:v>
      </x:c>
      <x:c r="E90" s="13" t="str">
        <x:v>Pulp &amp; Paper</x:v>
      </x:c>
      <x:c r="F90" s="13" t="str">
        <x:v>Pulp &amp; Paper</x:v>
      </x:c>
      <x:c r="G90" s="13" t="str">
        <x:v>Deep Cyclicals</x:v>
      </x:c>
      <x:c r="H90" s="13" t="str">
        <x:v>Pulp &amp; Paper</x:v>
      </x:c>
      <x:c r="I90" s="13" t="str">
        <x:v>Pulp &amp; Paper</x:v>
      </x:c>
      <x:c r="J90" s="13" t="str">
        <x:v>Deep Cyclicals</x:v>
      </x:c>
    </x:row>
    <x:row r="91">
      <x:c r="A91" s="13" t="str">
        <x:v>LIGHT SA</x:v>
      </x:c>
      <x:c r="B91" s="13" t="str">
        <x:v>Light</x:v>
      </x:c>
      <x:c r="C91" s="16" t="n">
        <x:v>1</x:v>
      </x:c>
      <x:c r="D91" s="13" t="str">
        <x:v>automático</x:v>
      </x:c>
      <x:c r="E91" s="13" t="str">
        <x:v>Utilities &amp; Energy</x:v>
      </x:c>
      <x:c r="F91" s="13" t="str">
        <x:v>Utilities</x:v>
      </x:c>
      <x:c r="G91" s="13" t="str">
        <x:v>Defensives</x:v>
      </x:c>
      <x:c r="H91" s="13" t="str">
        <x:v>Utilities &amp; Energy</x:v>
      </x:c>
      <x:c r="I91" s="13" t="str">
        <x:v>Utilities</x:v>
      </x:c>
      <x:c r="J91" s="13" t="str">
        <x:v>Defensives</x:v>
      </x:c>
    </x:row>
    <x:row r="92">
      <x:c r="A92" s="13" t="str">
        <x:v>LOCALIZA RENT A CAR</x:v>
      </x:c>
      <x:c r="B92" s="13" t="str">
        <x:v>Localiza</x:v>
      </x:c>
      <x:c r="C92" s="16" t="n">
        <x:v>0.867</x:v>
      </x:c>
      <x:c r="D92" s="13" t="str">
        <x:v>automático</x:v>
      </x:c>
      <x:c r="E92" s="13" t="str">
        <x:v>Transportation</x:v>
      </x:c>
      <x:c r="F92" s="13" t="str">
        <x:v>Transportation</x:v>
      </x:c>
      <x:c r="G92" s="13" t="str">
        <x:v>Deep Cyclicals</x:v>
      </x:c>
      <x:c r="H92" s="13" t="str">
        <x:v>Transportation</x:v>
      </x:c>
      <x:c r="I92" s="13" t="str">
        <x:v>Transportation</x:v>
      </x:c>
      <x:c r="J92" s="13" t="str">
        <x:v>Deep Cyclicals</x:v>
      </x:c>
    </x:row>
    <x:row r="93">
      <x:c r="A93" s="13" t="str">
        <x:v>LOG COMMERCIAL PROPERTIES E</x:v>
      </x:c>
      <x:c r="B93" s="13" t="str">
        <x:v>Log Comm. Prop.</x:v>
      </x:c>
      <x:c r="C93" s="16" t="n">
        <x:v>0.488</x:v>
      </x:c>
      <x:c r="D93" s="13" t="str">
        <x:v>manual auditado</x:v>
      </x:c>
      <x:c r="E93" s="13" t="str">
        <x:v>Income Properties</x:v>
      </x:c>
      <x:c r="F93" s="13" t="str">
        <x:v>Real Estate</x:v>
      </x:c>
      <x:c r="G93" s="13" t="str">
        <x:v>Early Cyclicals</x:v>
      </x:c>
      <x:c r="H93" s="13" t="str">
        <x:v>Income Properties</x:v>
      </x:c>
      <x:c r="I93" s="13" t="str">
        <x:v>Real Estate</x:v>
      </x:c>
      <x:c r="J93" s="13" t="str">
        <x:v>Early Cyclicals</x:v>
      </x:c>
    </x:row>
    <x:row r="94">
      <x:c r="A94" s="13" t="str">
        <x:v>LOJAS AMERICANAS SA-PREF</x:v>
      </x:c>
      <x:c r="B94" s="13" t="str">
        <x:v>Americanas</x:v>
      </x:c>
      <x:c r="C94" s="16" t="n">
        <x:v>0.9</x:v>
      </x:c>
      <x:c r="D94" s="13" t="str">
        <x:v>automático</x:v>
      </x:c>
      <x:c r="E94" s="13" t="str">
        <x:v>Retail</x:v>
      </x:c>
      <x:c r="F94" s="13" t="str">
        <x:v>Retail</x:v>
      </x:c>
      <x:c r="G94" s="13" t="str">
        <x:v>Early Cyclicals</x:v>
      </x:c>
      <x:c r="H94" s="13" t="str">
        <x:v>Retail</x:v>
      </x:c>
      <x:c r="I94" s="13" t="str">
        <x:v>Retail</x:v>
      </x:c>
      <x:c r="J94" s="13" t="str">
        <x:v>Early Cyclicals</x:v>
      </x:c>
    </x:row>
    <x:row r="95">
      <x:c r="A95" s="13" t="str">
        <x:v>LOJAS RENNER S.A.</x:v>
      </x:c>
      <x:c r="B95" s="13" t="str">
        <x:v>Lojas Renner</x:v>
      </x:c>
      <x:c r="C95" s="16" t="n">
        <x:v>1</x:v>
      </x:c>
      <x:c r="D95" s="13" t="str">
        <x:v>automático</x:v>
      </x:c>
      <x:c r="E95" s="13" t="str">
        <x:v>Retail</x:v>
      </x:c>
      <x:c r="F95" s="13" t="str">
        <x:v>Retail</x:v>
      </x:c>
      <x:c r="G95" s="13" t="str">
        <x:v>Early Cyclicals</x:v>
      </x:c>
      <x:c r="H95" s="13" t="str">
        <x:v>Retail</x:v>
      </x:c>
      <x:c r="I95" s="13" t="str">
        <x:v>Retail</x:v>
      </x:c>
      <x:c r="J95" s="13" t="str">
        <x:v>Early Cyclicals</x:v>
      </x:c>
    </x:row>
    <x:row r="96">
      <x:c r="A96" s="13" t="str">
        <x:v>LWSA SA</x:v>
      </x:c>
      <x:c r="B96" s="13" t="str">
        <x:v>LWSA</x:v>
      </x:c>
      <x:c r="C96" s="16" t="n">
        <x:v>1</x:v>
      </x:c>
      <x:c r="D96" s="13" t="str">
        <x:v>automático</x:v>
      </x:c>
      <x:c r="E96" s="13" t="str">
        <x:v>TMT</x:v>
      </x:c>
      <x:c r="F96" s="13" t="str">
        <x:v>TMT</x:v>
      </x:c>
      <x:c r="G96" s="13" t="str">
        <x:v>Early Cyclicals</x:v>
      </x:c>
      <x:c r="H96" s="13" t="str">
        <x:v>TMT</x:v>
      </x:c>
      <x:c r="I96" s="13" t="str">
        <x:v>TMT</x:v>
      </x:c>
      <x:c r="J96" s="13" t="str">
        <x:v>Early Cyclicals</x:v>
      </x:c>
    </x:row>
    <x:row r="97">
      <x:c r="A97" s="13" t="str">
        <x:v>MAGAZINE LUIZA SA</x:v>
      </x:c>
      <x:c r="B97" s="13" t="str">
        <x:v>Magazine Luiza</x:v>
      </x:c>
      <x:c r="C97" s="16" t="n">
        <x:v>1</x:v>
      </x:c>
      <x:c r="D97" s="13" t="str">
        <x:v>automático</x:v>
      </x:c>
      <x:c r="E97" s="13" t="str">
        <x:v>Retail</x:v>
      </x:c>
      <x:c r="F97" s="13" t="str">
        <x:v>Retail</x:v>
      </x:c>
      <x:c r="G97" s="13" t="str">
        <x:v>Early Cyclicals</x:v>
      </x:c>
      <x:c r="H97" s="13" t="str">
        <x:v>Retail</x:v>
      </x:c>
      <x:c r="I97" s="13" t="str">
        <x:v>Retail</x:v>
      </x:c>
      <x:c r="J97" s="13" t="str">
        <x:v>Early Cyclicals</x:v>
      </x:c>
    </x:row>
    <x:row r="98">
      <x:c r="A98" s="13" t="str">
        <x:v>MARCOPOLO SA-PREF</x:v>
      </x:c>
      <x:c r="B98" s="13" t="str">
        <x:v>Marcopolo</x:v>
      </x:c>
      <x:c r="C98" s="16" t="n">
        <x:v>1</x:v>
      </x:c>
      <x:c r="D98" s="13" t="str">
        <x:v>automático</x:v>
      </x:c>
      <x:c r="E98" s="13" t="str">
        <x:v>Capital Goods</x:v>
      </x:c>
      <x:c r="F98" s="13" t="str">
        <x:v>Capital Goods</x:v>
      </x:c>
      <x:c r="G98" s="13" t="str">
        <x:v>Deep Cyclicals</x:v>
      </x:c>
      <x:c r="H98" s="13" t="str">
        <x:v>Capital Goods</x:v>
      </x:c>
      <x:c r="I98" s="13" t="str">
        <x:v>Capital Goods</x:v>
      </x:c>
      <x:c r="J98" s="13" t="str">
        <x:v>Deep Cyclicals</x:v>
      </x:c>
    </x:row>
    <x:row r="99">
      <x:c r="A99" s="13" t="str">
        <x:v>MBRF GLOBAL FOODS COMPANY SA</x:v>
      </x:c>
      <x:c r="B99" s="13" t="str">
        <x:v>Company</x:v>
      </x:c>
      <x:c r="C99" s="16" t="n">
        <x:v>0.85</x:v>
      </x:c>
      <x:c r="D99" s="13" t="str">
        <x:v>manual auditado</x:v>
      </x:c>
      <x:c r="E99" s="13" t="str">
        <x:v>Food &amp; Beverages</x:v>
      </x:c>
      <x:c r="F99" s="13" t="str">
        <x:v>Agri, Food &amp; Beverages</x:v>
      </x:c>
      <x:c r="G99" s="13" t="str">
        <x:v>Defensives</x:v>
      </x:c>
      <x:c r="H99" s="13" t="str">
        <x:v>Homebuilders</x:v>
      </x:c>
      <x:c r="I99" s="13" t="str">
        <x:v>Agri, Food &amp; Beverages</x:v>
      </x:c>
      <x:c r="J99" s="13" t="str">
        <x:v>Early Cyclicals</x:v>
      </x:c>
    </x:row>
    <x:row r="100">
      <x:c r="A100" s="13" t="str">
        <x:v>MELIUZ SA - ON</x:v>
      </x:c>
      <x:c r="B100" s="13" t="str">
        <x:v>Méliuz</x:v>
      </x:c>
      <x:c r="C100" s="16" t="n">
        <x:v>1</x:v>
      </x:c>
      <x:c r="D100" s="13" t="str">
        <x:v>automático</x:v>
      </x:c>
      <x:c r="E100" s="13" t="str">
        <x:v>Financials Non-Banks</x:v>
      </x:c>
      <x:c r="F100" s="13" t="str">
        <x:v>Financials Non-Banks</x:v>
      </x:c>
      <x:c r="G100" s="13" t="str">
        <x:v>Financials</x:v>
      </x:c>
      <x:c r="H100" s="13" t="str">
        <x:v>Financials Non-Banks</x:v>
      </x:c>
      <x:c r="I100" s="13" t="str">
        <x:v>Financials Non-Banks</x:v>
      </x:c>
      <x:c r="J100" s="13" t="str">
        <x:v>Financials</x:v>
      </x:c>
    </x:row>
    <x:row r="101">
      <x:c r="A101" s="13" t="str">
        <x:v>METALURGICA GERDAU SA-PREF</x:v>
      </x:c>
      <x:c r="B101" s="13" t="str">
        <x:v>Gerdau</x:v>
      </x:c>
      <x:c r="C101" s="16" t="n">
        <x:v>0.9</x:v>
      </x:c>
      <x:c r="D101" s="13" t="str">
        <x:v>automático</x:v>
      </x:c>
      <x:c r="E101" s="13" t="str">
        <x:v>Metals &amp; Mining</x:v>
      </x:c>
      <x:c r="F101" s="13" t="str">
        <x:v>Metals &amp; Mining</x:v>
      </x:c>
      <x:c r="G101" s="13" t="str">
        <x:v>Deep Cyclicals</x:v>
      </x:c>
      <x:c r="H101" s="13" t="str">
        <x:v>Metals &amp; Mining</x:v>
      </x:c>
      <x:c r="I101" s="13" t="str">
        <x:v>Metals &amp; Mining</x:v>
      </x:c>
      <x:c r="J101" s="13" t="str">
        <x:v>Deep Cyclicals</x:v>
      </x:c>
    </x:row>
    <x:row r="102">
      <x:c r="A102" s="13" t="str">
        <x:v>MINERVA SA</x:v>
      </x:c>
      <x:c r="B102" s="13" t="str">
        <x:v>Minerva</x:v>
      </x:c>
      <x:c r="C102" s="16" t="n">
        <x:v>1</x:v>
      </x:c>
      <x:c r="D102" s="13" t="str">
        <x:v>automático</x:v>
      </x:c>
      <x:c r="E102" s="13" t="str">
        <x:v>Food &amp; Beverages</x:v>
      </x:c>
      <x:c r="F102" s="13" t="str">
        <x:v>Agri, Food &amp; Beverages</x:v>
      </x:c>
      <x:c r="G102" s="13" t="str">
        <x:v>Defensives</x:v>
      </x:c>
      <x:c r="H102" s="13" t="str">
        <x:v>Food &amp; Beverages</x:v>
      </x:c>
      <x:c r="I102" s="13" t="str">
        <x:v>Agri, Food &amp; Beverages</x:v>
      </x:c>
      <x:c r="J102" s="13" t="str">
        <x:v>Defensives</x:v>
      </x:c>
    </x:row>
    <x:row r="103">
      <x:c r="A103" s="13" t="str">
        <x:v>MMX MINERACAO E METALICOS SA</x:v>
      </x:c>
      <x:c r="B103" s="13" t="str">
        <x:v>MMX Mineração</x:v>
      </x:c>
      <x:c r="C103" s="16" t="n">
        <x:v>0.933</x:v>
      </x:c>
      <x:c r="D103" s="13" t="str">
        <x:v>automático</x:v>
      </x:c>
      <x:c r="E103" s="13" t="str">
        <x:v>Metals &amp; Mining</x:v>
      </x:c>
      <x:c r="F103" s="13" t="str">
        <x:v>Metals &amp; Mining</x:v>
      </x:c>
      <x:c r="G103" s="13" t="str">
        <x:v>Deep Cyclicals</x:v>
      </x:c>
      <x:c r="H103" s="13" t="str">
        <x:v>Metals &amp; Mining</x:v>
      </x:c>
      <x:c r="I103" s="13" t="str">
        <x:v>Metals &amp; Mining</x:v>
      </x:c>
      <x:c r="J103" s="13" t="str">
        <x:v>Deep Cyclicals</x:v>
      </x:c>
    </x:row>
    <x:row r="104">
      <x:c r="A104" s="13" t="str">
        <x:v>MOTIVA INFRAESTRUTURA DE MOB</x:v>
      </x:c>
      <x:c r="B104" s="13" t="str">
        <x:v>Motiva</x:v>
      </x:c>
      <x:c r="C104" s="16" t="n">
        <x:v>0.867</x:v>
      </x:c>
      <x:c r="D104" s="13" t="str">
        <x:v>automático</x:v>
      </x:c>
      <x:c r="E104" s="13" t="str">
        <x:v>Transportation</x:v>
      </x:c>
      <x:c r="F104" s="13" t="str">
        <x:v>Transportation</x:v>
      </x:c>
      <x:c r="G104" s="13" t="str">
        <x:v>Deep Cyclicals</x:v>
      </x:c>
      <x:c r="H104" s="13" t="str">
        <x:v>Transportation</x:v>
      </x:c>
      <x:c r="I104" s="13" t="str">
        <x:v>Transportation</x:v>
      </x:c>
      <x:c r="J104" s="13" t="str">
        <x:v>Deep Cyclicals</x:v>
      </x:c>
    </x:row>
    <x:row r="105">
      <x:c r="A105" s="13" t="str">
        <x:v>MRV ENGENHARIA</x:v>
      </x:c>
      <x:c r="B105" s="13" t="str">
        <x:v>MRV</x:v>
      </x:c>
      <x:c r="C105" s="16" t="n">
        <x:v>0.9</x:v>
      </x:c>
      <x:c r="D105" s="13" t="str">
        <x:v>automático</x:v>
      </x:c>
      <x:c r="E105" s="13" t="str">
        <x:v>Homebuilders</x:v>
      </x:c>
      <x:c r="F105" s="13" t="str">
        <x:v>Real Estate</x:v>
      </x:c>
      <x:c r="G105" s="13" t="str">
        <x:v>Early Cyclicals</x:v>
      </x:c>
      <x:c r="H105" s="13" t="str">
        <x:v>Homebuilders</x:v>
      </x:c>
      <x:c r="I105" s="13" t="str">
        <x:v>Real Estate</x:v>
      </x:c>
      <x:c r="J105" s="13" t="str">
        <x:v>Early Cyclicals</x:v>
      </x:c>
    </x:row>
    <x:row r="106">
      <x:c r="A106" s="13" t="str">
        <x:v>MULTIPLAN EMPREENDIMENTOS</x:v>
      </x:c>
      <x:c r="B106" s="13" t="str">
        <x:v>Multiplan</x:v>
      </x:c>
      <x:c r="C106" s="16" t="n">
        <x:v>1</x:v>
      </x:c>
      <x:c r="D106" s="13" t="str">
        <x:v>automático</x:v>
      </x:c>
      <x:c r="E106" s="13" t="str">
        <x:v>Income Properties</x:v>
      </x:c>
      <x:c r="F106" s="13" t="str">
        <x:v>Real Estate</x:v>
      </x:c>
      <x:c r="G106" s="13" t="str">
        <x:v>Early Cyclicals</x:v>
      </x:c>
      <x:c r="H106" s="13" t="str">
        <x:v>Income Properties</x:v>
      </x:c>
      <x:c r="I106" s="13" t="str">
        <x:v>Real Estate</x:v>
      </x:c>
      <x:c r="J106" s="13" t="str">
        <x:v>Early Cyclicals</x:v>
      </x:c>
    </x:row>
    <x:row r="107">
      <x:c r="A107" s="13" t="str">
        <x:v>NATURA &amp;CO HOLDING SA</x:v>
      </x:c>
      <x:c r="B107" s="13" t="str">
        <x:v>Natura</x:v>
      </x:c>
      <x:c r="C107" s="16" t="n">
        <x:v>1</x:v>
      </x:c>
      <x:c r="D107" s="13" t="str">
        <x:v>automático</x:v>
      </x:c>
      <x:c r="E107" s="13" t="str">
        <x:v>Retail</x:v>
      </x:c>
      <x:c r="F107" s="13" t="str">
        <x:v>Retail</x:v>
      </x:c>
      <x:c r="G107" s="13" t="str">
        <x:v>Early Cyclicals</x:v>
      </x:c>
      <x:c r="H107" s="13" t="str">
        <x:v>Retail</x:v>
      </x:c>
      <x:c r="I107" s="13" t="str">
        <x:v>Retail</x:v>
      </x:c>
      <x:c r="J107" s="13" t="str">
        <x:v>Early Cyclicals</x:v>
      </x:c>
    </x:row>
    <x:row r="108">
      <x:c r="A108" s="13" t="str">
        <x:v>NATURA COSMETICOS SA</x:v>
      </x:c>
      <x:c r="B108" s="13" t="str">
        <x:v>Natura</x:v>
      </x:c>
      <x:c r="C108" s="16" t="n">
        <x:v>0.9</x:v>
      </x:c>
      <x:c r="D108" s="13" t="str">
        <x:v>automático</x:v>
      </x:c>
      <x:c r="E108" s="13" t="str">
        <x:v>Retail</x:v>
      </x:c>
      <x:c r="F108" s="13" t="str">
        <x:v>Retail</x:v>
      </x:c>
      <x:c r="G108" s="13" t="str">
        <x:v>Early Cyclicals</x:v>
      </x:c>
      <x:c r="H108" s="13" t="str">
        <x:v>Retail</x:v>
      </x:c>
      <x:c r="I108" s="13" t="str">
        <x:v>Retail</x:v>
      </x:c>
      <x:c r="J108" s="13" t="str">
        <x:v>Early Cyclicals</x:v>
      </x:c>
    </x:row>
    <x:row r="109">
      <x:c r="A109" s="13" t="str">
        <x:v>NET SERVICOS DE COMUNI-PREF</x:v>
      </x:c>
      <x:c r="B109" s="13" t="str">
        <x:v>NET</x:v>
      </x:c>
      <x:c r="C109" s="16" t="n">
        <x:v>0.867</x:v>
      </x:c>
      <x:c r="D109" s="13" t="str">
        <x:v>automático</x:v>
      </x:c>
      <x:c r="E109" s="13" t="str">
        <x:v>TMT</x:v>
      </x:c>
      <x:c r="F109" s="13" t="str">
        <x:v>TMT</x:v>
      </x:c>
      <x:c r="G109" s="13" t="str">
        <x:v>Early Cyclicals</x:v>
      </x:c>
      <x:c r="H109" s="13" t="str">
        <x:v>TMT</x:v>
      </x:c>
      <x:c r="I109" s="13" t="str">
        <x:v>TMT</x:v>
      </x:c>
      <x:c r="J109" s="13" t="str">
        <x:v>Early Cyclicals</x:v>
      </x:c>
    </x:row>
    <x:row r="110">
      <x:c r="A110" s="13" t="str">
        <x:v>NOTRE DAME INTERMED PAR SA</x:v>
      </x:c>
      <x:c r="B110" s="13" t="str">
        <x:v>Notre Dame Intermedica</x:v>
      </x:c>
      <x:c r="C110" s="16" t="n">
        <x:v>0.625</x:v>
      </x:c>
      <x:c r="D110" s="13" t="str">
        <x:v>manual auditado</x:v>
      </x:c>
      <x:c r="E110" s="13" t="str">
        <x:v>Health Care</x:v>
      </x:c>
      <x:c r="F110" s="13" t="str">
        <x:v>Health Care</x:v>
      </x:c>
      <x:c r="G110" s="13" t="str">
        <x:v>Defensives</x:v>
      </x:c>
      <x:c r="H110" s="13" t="str">
        <x:v>Health Care</x:v>
      </x:c>
      <x:c r="I110" s="13" t="str">
        <x:v>Health Care</x:v>
      </x:c>
      <x:c r="J110" s="13" t="str">
        <x:v>Defensives</x:v>
      </x:c>
    </x:row>
    <x:row r="111">
      <x:c r="A111" s="13" t="str">
        <x:v>OI S.A.</x:v>
      </x:c>
      <x:c r="B111" s="13" t="str">
        <x:v>Oi</x:v>
      </x:c>
      <x:c r="C111" s="16" t="n">
        <x:v>1</x:v>
      </x:c>
      <x:c r="D111" s="13" t="str">
        <x:v>automático</x:v>
      </x:c>
      <x:c r="E111" s="13" t="str">
        <x:v>TMT</x:v>
      </x:c>
      <x:c r="F111" s="13" t="str">
        <x:v>TMT</x:v>
      </x:c>
      <x:c r="G111" s="13" t="str">
        <x:v>Early Cyclicals</x:v>
      </x:c>
      <x:c r="H111" s="13" t="str">
        <x:v>TMT</x:v>
      </x:c>
      <x:c r="I111" s="13" t="str">
        <x:v>TMT</x:v>
      </x:c>
      <x:c r="J111" s="13" t="str">
        <x:v>Early Cyclicals</x:v>
      </x:c>
    </x:row>
    <x:row r="112">
      <x:c r="A112" s="13" t="str">
        <x:v>OI SA-PREFERENCE</x:v>
      </x:c>
      <x:c r="B112" s="13" t="str">
        <x:v>Oi</x:v>
      </x:c>
      <x:c r="C112" s="16" t="n">
        <x:v>0.9</x:v>
      </x:c>
      <x:c r="D112" s="13" t="str">
        <x:v>automático</x:v>
      </x:c>
      <x:c r="E112" s="13" t="str">
        <x:v>TMT</x:v>
      </x:c>
      <x:c r="F112" s="13" t="str">
        <x:v>TMT</x:v>
      </x:c>
      <x:c r="G112" s="13" t="str">
        <x:v>Early Cyclicals</x:v>
      </x:c>
      <x:c r="H112" s="13" t="str">
        <x:v>TMT</x:v>
      </x:c>
      <x:c r="I112" s="13" t="str">
        <x:v>TMT</x:v>
      </x:c>
      <x:c r="J112" s="13" t="str">
        <x:v>Early Cyclicals</x:v>
      </x:c>
    </x:row>
    <x:row r="113">
      <x:c r="A113" s="13" t="str">
        <x:v>OLEO E GAS PARTICIPACOES SA</x:v>
      </x:c>
      <x:c r="B113" s="13" t="str">
        <x:v>Hmobi Participações</x:v>
      </x:c>
      <x:c r="C113" s="16" t="n">
        <x:v>0.489</x:v>
      </x:c>
      <x:c r="D113" s="13" t="str">
        <x:v>manual auditado</x:v>
      </x:c>
      <x:c r="E113" s="13" t="str">
        <x:v>Oil, Gas &amp; Petrochemicals</x:v>
      </x:c>
      <x:c r="F113" s="13" t="str">
        <x:v>Oil, Gas &amp; Petrochemicals</x:v>
      </x:c>
      <x:c r="G113" s="13" t="str">
        <x:v>Deep Cyclicals</x:v>
      </x:c>
      <x:c r="H113" s="13" t="str">
        <x:v>Transportation</x:v>
      </x:c>
      <x:c r="I113" s="13" t="str">
        <x:v>Oil, Gas &amp; Petrochemicals</x:v>
      </x:c>
      <x:c r="J113" s="13" t="str">
        <x:v>Deep Cyclicals</x:v>
      </x:c>
    </x:row>
    <x:row r="114">
      <x:c r="A114" s="13" t="str">
        <x:v>PDG REALTY SA</x:v>
      </x:c>
      <x:c r="B114" s="13" t="str">
        <x:v>PDG Realty</x:v>
      </x:c>
      <x:c r="C114" s="16" t="n">
        <x:v>1</x:v>
      </x:c>
      <x:c r="D114" s="13" t="str">
        <x:v>automático</x:v>
      </x:c>
      <x:c r="E114" s="13" t="str">
        <x:v>Homebuilders</x:v>
      </x:c>
      <x:c r="F114" s="13" t="str">
        <x:v>Real Estate</x:v>
      </x:c>
      <x:c r="G114" s="13" t="str">
        <x:v>Early Cyclicals</x:v>
      </x:c>
      <x:c r="H114" s="13" t="str">
        <x:v>Homebuilders</x:v>
      </x:c>
      <x:c r="I114" s="13" t="str">
        <x:v>Real Estate</x:v>
      </x:c>
      <x:c r="J114" s="13" t="str">
        <x:v>Early Cyclicals</x:v>
      </x:c>
    </x:row>
    <x:row r="115">
      <x:c r="A115" s="13" t="str">
        <x:v>PET CENTER COMERCIO E PARTIC</x:v>
      </x:c>
      <x:c r="B115" s="13" t="str">
        <x:v>Banco Mercantil do Brasil</x:v>
      </x:c>
      <x:c r="C115" s="16" t="n">
        <x:v>0.34</x:v>
      </x:c>
      <x:c r="D115" s="13" t="str">
        <x:v>manual auditado</x:v>
      </x:c>
      <x:c r="E115" s="13" t="str">
        <x:v>Retail</x:v>
      </x:c>
      <x:c r="F115" s="13" t="str">
        <x:v>Retail</x:v>
      </x:c>
      <x:c r="G115" s="13" t="str">
        <x:v>Early Cyclicals</x:v>
      </x:c>
      <x:c r="H115" s="13" t="str">
        <x:v>Banks</x:v>
      </x:c>
      <x:c r="I115" s="13" t="str">
        <x:v>Retail</x:v>
      </x:c>
      <x:c r="J115" s="13" t="str">
        <x:v>Financials</x:v>
      </x:c>
    </x:row>
    <x:row r="116">
      <x:c r="A116" s="13" t="str">
        <x:v>PETROBRAS - PETROLEO BRAS</x:v>
      </x:c>
      <x:c r="B116" s="13" t="str">
        <x:v>Petrobras</x:v>
      </x:c>
      <x:c r="C116" s="16" t="n">
        <x:v>0.867</x:v>
      </x:c>
      <x:c r="D116" s="13" t="str">
        <x:v>automático</x:v>
      </x:c>
      <x:c r="E116" s="13" t="str">
        <x:v>Oil, Gas &amp; Petrochemicals</x:v>
      </x:c>
      <x:c r="F116" s="13" t="str">
        <x:v>Oil, Gas &amp; Petrochemicals</x:v>
      </x:c>
      <x:c r="G116" s="13" t="str">
        <x:v>Deep Cyclicals</x:v>
      </x:c>
      <x:c r="H116" s="13" t="str">
        <x:v>Oil, Gas &amp; Petrochemicals</x:v>
      </x:c>
      <x:c r="I116" s="13" t="str">
        <x:v>Oil, Gas &amp; Petrochemicals</x:v>
      </x:c>
      <x:c r="J116" s="13" t="str">
        <x:v>Deep Cyclicals</x:v>
      </x:c>
    </x:row>
    <x:row r="117">
      <x:c r="A117" s="13" t="str">
        <x:v>PETROBRAS - PETROLEO BRAS-PR</x:v>
      </x:c>
      <x:c r="B117" s="13" t="str">
        <x:v>Petrobras</x:v>
      </x:c>
      <x:c r="C117" s="16" t="n">
        <x:v>0.85</x:v>
      </x:c>
      <x:c r="D117" s="13" t="str">
        <x:v>automático</x:v>
      </x:c>
      <x:c r="E117" s="13" t="str">
        <x:v>Oil, Gas &amp; Petrochemicals</x:v>
      </x:c>
      <x:c r="F117" s="13" t="str">
        <x:v>Oil, Gas &amp; Petrochemicals</x:v>
      </x:c>
      <x:c r="G117" s="13" t="str">
        <x:v>Deep Cyclicals</x:v>
      </x:c>
      <x:c r="H117" s="13" t="str">
        <x:v>Oil, Gas &amp; Petrochemicals</x:v>
      </x:c>
      <x:c r="I117" s="13" t="str">
        <x:v>Oil, Gas &amp; Petrochemicals</x:v>
      </x:c>
      <x:c r="J117" s="13" t="str">
        <x:v>Deep Cyclicals</x:v>
      </x:c>
    </x:row>
    <x:row r="118">
      <x:c r="A118" s="13" t="str">
        <x:v>PETRORECONCAVO SA</x:v>
      </x:c>
      <x:c r="B118" s="13" t="str">
        <x:v>PetroReconcavo</x:v>
      </x:c>
      <x:c r="C118" s="16" t="n">
        <x:v>1</x:v>
      </x:c>
      <x:c r="D118" s="13" t="str">
        <x:v>automático</x:v>
      </x:c>
      <x:c r="E118" s="13" t="str">
        <x:v>Oil, Gas &amp; Petrochemicals</x:v>
      </x:c>
      <x:c r="F118" s="13" t="str">
        <x:v>Oil, Gas &amp; Petrochemicals</x:v>
      </x:c>
      <x:c r="G118" s="13" t="str">
        <x:v>Deep Cyclicals</x:v>
      </x:c>
      <x:c r="H118" s="13" t="str">
        <x:v>Oil, Gas &amp; Petrochemicals</x:v>
      </x:c>
      <x:c r="I118" s="13" t="str">
        <x:v>Oil, Gas &amp; Petrochemicals</x:v>
      </x:c>
      <x:c r="J118" s="13" t="str">
        <x:v>Deep Cyclicals</x:v>
      </x:c>
    </x:row>
    <x:row r="119">
      <x:c r="A119" s="13" t="str">
        <x:v>PORTO SEGURO SA</x:v>
      </x:c>
      <x:c r="B119" s="13" t="str">
        <x:v>Porto Seguro</x:v>
      </x:c>
      <x:c r="C119" s="16" t="n">
        <x:v>1</x:v>
      </x:c>
      <x:c r="D119" s="13" t="str">
        <x:v>automático</x:v>
      </x:c>
      <x:c r="E119" s="13" t="str">
        <x:v>Financials Non-Banks</x:v>
      </x:c>
      <x:c r="F119" s="13" t="str">
        <x:v>Financials Non-Banks</x:v>
      </x:c>
      <x:c r="G119" s="13" t="str">
        <x:v>Financials</x:v>
      </x:c>
      <x:c r="H119" s="13" t="str">
        <x:v>Financials Non-Banks</x:v>
      </x:c>
      <x:c r="I119" s="13" t="str">
        <x:v>Financials Non-Banks</x:v>
      </x:c>
      <x:c r="J119" s="13" t="str">
        <x:v>Financials</x:v>
      </x:c>
    </x:row>
    <x:row r="120">
      <x:c r="A120" s="13" t="str">
        <x:v>POSITIVO TECNOLOGIA SA</x:v>
      </x:c>
      <x:c r="B120" s="13" t="str">
        <x:v>Positivo</x:v>
      </x:c>
      <x:c r="C120" s="16" t="n">
        <x:v>0.9</x:v>
      </x:c>
      <x:c r="D120" s="13" t="str">
        <x:v>automático</x:v>
      </x:c>
      <x:c r="E120" s="13" t="str">
        <x:v>TMT</x:v>
      </x:c>
      <x:c r="F120" s="13" t="str">
        <x:v>TMT</x:v>
      </x:c>
      <x:c r="G120" s="13" t="str">
        <x:v>Early Cyclicals</x:v>
      </x:c>
      <x:c r="H120" s="13" t="str">
        <x:v>TMT</x:v>
      </x:c>
      <x:c r="I120" s="13" t="str">
        <x:v>TMT</x:v>
      </x:c>
      <x:c r="J120" s="13" t="str">
        <x:v>Early Cyclicals</x:v>
      </x:c>
    </x:row>
    <x:row r="121">
      <x:c r="A121" s="13" t="str">
        <x:v>PRIO SA</x:v>
      </x:c>
      <x:c r="B121" s="13" t="str">
        <x:v>PRIO</x:v>
      </x:c>
      <x:c r="C121" s="16" t="n">
        <x:v>1</x:v>
      </x:c>
      <x:c r="D121" s="13" t="str">
        <x:v>automático</x:v>
      </x:c>
      <x:c r="E121" s="13" t="str">
        <x:v>Oil, Gas &amp; Petrochemicals</x:v>
      </x:c>
      <x:c r="F121" s="13" t="str">
        <x:v>Oil, Gas &amp; Petrochemicals</x:v>
      </x:c>
      <x:c r="G121" s="13" t="str">
        <x:v>Deep Cyclicals</x:v>
      </x:c>
      <x:c r="H121" s="13" t="str">
        <x:v>Oil, Gas &amp; Petrochemicals</x:v>
      </x:c>
      <x:c r="I121" s="13" t="str">
        <x:v>Oil, Gas &amp; Petrochemicals</x:v>
      </x:c>
      <x:c r="J121" s="13" t="str">
        <x:v>Deep Cyclicals</x:v>
      </x:c>
    </x:row>
    <x:row r="122">
      <x:c r="A122" s="13" t="str">
        <x:v>PRUMO LOGISTICA SA</x:v>
      </x:c>
      <x:c r="B122" s="13" t="str">
        <x:v>Prumo</x:v>
      </x:c>
      <x:c r="C122" s="16" t="n">
        <x:v>0.9</x:v>
      </x:c>
      <x:c r="D122" s="13" t="str">
        <x:v>automático</x:v>
      </x:c>
      <x:c r="E122" s="13" t="str">
        <x:v>Transportation</x:v>
      </x:c>
      <x:c r="F122" s="13" t="str">
        <x:v>Transportation</x:v>
      </x:c>
      <x:c r="G122" s="13" t="str">
        <x:v>Deep Cyclicals</x:v>
      </x:c>
      <x:c r="H122" s="13" t="str">
        <x:v>Transportation</x:v>
      </x:c>
      <x:c r="I122" s="13" t="str">
        <x:v>Transportation</x:v>
      </x:c>
      <x:c r="J122" s="13" t="str">
        <x:v>Deep Cyclicals</x:v>
      </x:c>
    </x:row>
    <x:row r="123">
      <x:c r="A123" s="13" t="str">
        <x:v>QUALICORP CONS E CORR SEG SA</x:v>
      </x:c>
      <x:c r="B123" s="13" t="str">
        <x:v>Qualicorp</x:v>
      </x:c>
      <x:c r="C123" s="16" t="n">
        <x:v>0.85</x:v>
      </x:c>
      <x:c r="D123" s="13" t="str">
        <x:v>automático</x:v>
      </x:c>
      <x:c r="E123" s="13" t="str">
        <x:v>Health Care</x:v>
      </x:c>
      <x:c r="F123" s="13" t="str">
        <x:v>Health Care</x:v>
      </x:c>
      <x:c r="G123" s="13" t="str">
        <x:v>Defensives</x:v>
      </x:c>
      <x:c r="H123" s="13" t="str">
        <x:v>Health Care</x:v>
      </x:c>
      <x:c r="I123" s="13" t="str">
        <x:v>Health Care</x:v>
      </x:c>
      <x:c r="J123" s="13" t="str">
        <x:v>Defensives</x:v>
      </x:c>
    </x:row>
    <x:row r="124">
      <x:c r="A124" s="13" t="str">
        <x:v>RAIA DROGASIL SA</x:v>
      </x:c>
      <x:c r="B124" s="13" t="str">
        <x:v>Raia Drogasil</x:v>
      </x:c>
      <x:c r="C124" s="16" t="n">
        <x:v>1</x:v>
      </x:c>
      <x:c r="D124" s="13" t="str">
        <x:v>automático</x:v>
      </x:c>
      <x:c r="E124" s="13" t="str">
        <x:v>Retail</x:v>
      </x:c>
      <x:c r="F124" s="13" t="str">
        <x:v>Retail</x:v>
      </x:c>
      <x:c r="G124" s="13" t="str">
        <x:v>Early Cyclicals</x:v>
      </x:c>
      <x:c r="H124" s="13" t="str">
        <x:v>Retail</x:v>
      </x:c>
      <x:c r="I124" s="13" t="str">
        <x:v>Retail</x:v>
      </x:c>
      <x:c r="J124" s="13" t="str">
        <x:v>Early Cyclicals</x:v>
      </x:c>
    </x:row>
    <x:row r="125">
      <x:c r="A125" s="13" t="str">
        <x:v>RAIZEN SA - PREFERENCE</x:v>
      </x:c>
      <x:c r="B125" s="13" t="str">
        <x:v>Raizen</x:v>
      </x:c>
      <x:c r="C125" s="16" t="n">
        <x:v>0.9</x:v>
      </x:c>
      <x:c r="D125" s="13" t="str">
        <x:v>automático</x:v>
      </x:c>
      <x:c r="E125" s="13" t="str">
        <x:v>Agribusiness</x:v>
      </x:c>
      <x:c r="F125" s="13" t="str">
        <x:v>Agri, Food &amp; Beverages</x:v>
      </x:c>
      <x:c r="G125" s="13" t="str">
        <x:v>Defensives</x:v>
      </x:c>
      <x:c r="H125" s="13" t="str">
        <x:v>Agribusiness</x:v>
      </x:c>
      <x:c r="I125" s="13" t="str">
        <x:v>Agri, Food &amp; Beverages</x:v>
      </x:c>
      <x:c r="J125" s="13" t="str">
        <x:v>Defensives</x:v>
      </x:c>
    </x:row>
    <x:row r="126">
      <x:c r="A126" s="13" t="str">
        <x:v>REDE D'OR SAO LUIZ SA</x:v>
      </x:c>
      <x:c r="B126" s="13" t="str">
        <x:v>Rede D'Or</x:v>
      </x:c>
      <x:c r="C126" s="16" t="n">
        <x:v>0.9</x:v>
      </x:c>
      <x:c r="D126" s="13" t="str">
        <x:v>automático</x:v>
      </x:c>
      <x:c r="E126" s="13" t="str">
        <x:v>Health Care</x:v>
      </x:c>
      <x:c r="F126" s="13" t="str">
        <x:v>Health Care</x:v>
      </x:c>
      <x:c r="G126" s="13" t="str">
        <x:v>Defensives</x:v>
      </x:c>
      <x:c r="H126" s="13" t="str">
        <x:v>Health Care</x:v>
      </x:c>
      <x:c r="I126" s="13" t="str">
        <x:v>Health Care</x:v>
      </x:c>
      <x:c r="J126" s="13" t="str">
        <x:v>Defensives</x:v>
      </x:c>
    </x:row>
    <x:row r="127">
      <x:c r="A127" s="13" t="str">
        <x:v>REDECARD INSTITUICAO DE PAGA</x:v>
      </x:c>
      <x:c r="B127" s="13" t="str">
        <x:v>Redecard</x:v>
      </x:c>
      <x:c r="C127" s="16" t="n">
        <x:v>0.867</x:v>
      </x:c>
      <x:c r="D127" s="13" t="str">
        <x:v>automático</x:v>
      </x:c>
      <x:c r="E127" s="13" t="str">
        <x:v>Financials Non-Banks</x:v>
      </x:c>
      <x:c r="F127" s="13" t="str">
        <x:v>Financials Non-Banks</x:v>
      </x:c>
      <x:c r="G127" s="13" t="str">
        <x:v>Financials</x:v>
      </x:c>
      <x:c r="H127" s="13" t="str">
        <x:v>Financials Non-Banks</x:v>
      </x:c>
      <x:c r="I127" s="13" t="str">
        <x:v>Financials Non-Banks</x:v>
      </x:c>
      <x:c r="J127" s="13" t="str">
        <x:v>Financials</x:v>
      </x:c>
    </x:row>
    <x:row r="128">
      <x:c r="A128" s="13" t="str">
        <x:v>ROSSI RESIDENCIAL SA</x:v>
      </x:c>
      <x:c r="B128" s="13" t="str">
        <x:v>Rossi Residencial</x:v>
      </x:c>
      <x:c r="C128" s="16" t="n">
        <x:v>1</x:v>
      </x:c>
      <x:c r="D128" s="13" t="str">
        <x:v>automático</x:v>
      </x:c>
      <x:c r="E128" s="13" t="str">
        <x:v>Homebuilders</x:v>
      </x:c>
      <x:c r="F128" s="13" t="str">
        <x:v>Real Estate</x:v>
      </x:c>
      <x:c r="G128" s="13" t="str">
        <x:v>Early Cyclicals</x:v>
      </x:c>
      <x:c r="H128" s="13" t="str">
        <x:v>Homebuilders</x:v>
      </x:c>
      <x:c r="I128" s="13" t="str">
        <x:v>Real Estate</x:v>
      </x:c>
      <x:c r="J128" s="13" t="str">
        <x:v>Early Cyclicals</x:v>
      </x:c>
    </x:row>
    <x:row r="129">
      <x:c r="A129" s="13" t="str">
        <x:v>RUMO SA</x:v>
      </x:c>
      <x:c r="B129" s="13" t="str">
        <x:v>Rumo</x:v>
      </x:c>
      <x:c r="C129" s="16" t="n">
        <x:v>1</x:v>
      </x:c>
      <x:c r="D129" s="13" t="str">
        <x:v>automático</x:v>
      </x:c>
      <x:c r="E129" s="13" t="str">
        <x:v>Transportation</x:v>
      </x:c>
      <x:c r="F129" s="13" t="str">
        <x:v>Transportation</x:v>
      </x:c>
      <x:c r="G129" s="13" t="str">
        <x:v>Deep Cyclicals</x:v>
      </x:c>
      <x:c r="H129" s="13" t="str">
        <x:v>Transportation</x:v>
      </x:c>
      <x:c r="I129" s="13" t="str">
        <x:v>Transportation</x:v>
      </x:c>
      <x:c r="J129" s="13" t="str">
        <x:v>Deep Cyclicals</x:v>
      </x:c>
    </x:row>
    <x:row r="130">
      <x:c r="A130" s="13" t="str">
        <x:v>SANTOS BRASIL PARTICIPACOES</x:v>
      </x:c>
      <x:c r="B130" s="13" t="str">
        <x:v>Santos Brasil</x:v>
      </x:c>
      <x:c r="C130" s="16" t="n">
        <x:v>1</x:v>
      </x:c>
      <x:c r="D130" s="13" t="str">
        <x:v>automático</x:v>
      </x:c>
      <x:c r="E130" s="13" t="str">
        <x:v>Transportation</x:v>
      </x:c>
      <x:c r="F130" s="13" t="str">
        <x:v>Transportation</x:v>
      </x:c>
      <x:c r="G130" s="13" t="str">
        <x:v>Deep Cyclicals</x:v>
      </x:c>
      <x:c r="H130" s="13" t="str">
        <x:v>Transportation</x:v>
      </x:c>
      <x:c r="I130" s="13" t="str">
        <x:v>Transportation</x:v>
      </x:c>
      <x:c r="J130" s="13" t="str">
        <x:v>Deep Cyclicals</x:v>
      </x:c>
    </x:row>
    <x:row r="131">
      <x:c r="A131" s="13" t="str">
        <x:v>SAO MARTINHO SA</x:v>
      </x:c>
      <x:c r="B131" s="13" t="str">
        <x:v>São Martinho</x:v>
      </x:c>
      <x:c r="C131" s="16" t="n">
        <x:v>1</x:v>
      </x:c>
      <x:c r="D131" s="13" t="str">
        <x:v>automático</x:v>
      </x:c>
      <x:c r="E131" s="13" t="str">
        <x:v>Agribusiness</x:v>
      </x:c>
      <x:c r="F131" s="13" t="str">
        <x:v>Agri, Food &amp; Beverages</x:v>
      </x:c>
      <x:c r="G131" s="13" t="str">
        <x:v>Defensives</x:v>
      </x:c>
      <x:c r="H131" s="13" t="str">
        <x:v>Agribusiness</x:v>
      </x:c>
      <x:c r="I131" s="13" t="str">
        <x:v>Agri, Food &amp; Beverages</x:v>
      </x:c>
      <x:c r="J131" s="13" t="str">
        <x:v>Defensives</x:v>
      </x:c>
    </x:row>
    <x:row r="132">
      <x:c r="A132" s="13" t="str">
        <x:v>SENDAS DISTRIBUIDORA SA</x:v>
      </x:c>
      <x:c r="B132" s="13" t="str">
        <x:v>BR Distribuidora</x:v>
      </x:c>
      <x:c r="C132" s="16" t="n">
        <x:v>0.538</x:v>
      </x:c>
      <x:c r="D132" s="13" t="str">
        <x:v>manual auditado</x:v>
      </x:c>
      <x:c r="E132" s="13" t="str">
        <x:v>Retail</x:v>
      </x:c>
      <x:c r="F132" s="13" t="str">
        <x:v>Retail</x:v>
      </x:c>
      <x:c r="G132" s="13" t="str">
        <x:v>Early Cyclicals</x:v>
      </x:c>
      <x:c r="H132" s="13" t="str">
        <x:v>Oil, Gas &amp; Petrochemicals</x:v>
      </x:c>
      <x:c r="I132" s="13" t="str">
        <x:v>Retail</x:v>
      </x:c>
      <x:c r="J132" s="13" t="str">
        <x:v>Deep Cyclicals</x:v>
      </x:c>
    </x:row>
    <x:row r="133">
      <x:c r="A133" s="13" t="str">
        <x:v>SLC AGRICOLA CENTRO OESTE SA</x:v>
      </x:c>
      <x:c r="B133" s="13" t="str">
        <x:v>SLC Agricola</x:v>
      </x:c>
      <x:c r="C133" s="16" t="n">
        <x:v>0.9</x:v>
      </x:c>
      <x:c r="D133" s="13" t="str">
        <x:v>automático</x:v>
      </x:c>
      <x:c r="E133" s="13" t="str">
        <x:v>Agribusiness</x:v>
      </x:c>
      <x:c r="F133" s="13" t="str">
        <x:v>Agri, Food &amp; Beverages</x:v>
      </x:c>
      <x:c r="G133" s="13" t="str">
        <x:v>Defensives</x:v>
      </x:c>
      <x:c r="H133" s="13" t="str">
        <x:v>Agribusiness</x:v>
      </x:c>
      <x:c r="I133" s="13" t="str">
        <x:v>Agri, Food &amp; Beverages</x:v>
      </x:c>
      <x:c r="J133" s="13" t="str">
        <x:v>Defensives</x:v>
      </x:c>
    </x:row>
    <x:row r="134">
      <x:c r="A134" s="13" t="str">
        <x:v>SLC AGRICOLA SA</x:v>
      </x:c>
      <x:c r="B134" s="13" t="str">
        <x:v>SLC Agricola</x:v>
      </x:c>
      <x:c r="C134" s="16" t="n">
        <x:v>1</x:v>
      </x:c>
      <x:c r="D134" s="13" t="str">
        <x:v>automático</x:v>
      </x:c>
      <x:c r="E134" s="13" t="str">
        <x:v>Agribusiness</x:v>
      </x:c>
      <x:c r="F134" s="13" t="str">
        <x:v>Agri, Food &amp; Beverages</x:v>
      </x:c>
      <x:c r="G134" s="13" t="str">
        <x:v>Defensives</x:v>
      </x:c>
      <x:c r="H134" s="13" t="str">
        <x:v>Agribusiness</x:v>
      </x:c>
      <x:c r="I134" s="13" t="str">
        <x:v>Agri, Food &amp; Beverages</x:v>
      </x:c>
      <x:c r="J134" s="13" t="str">
        <x:v>Defensives</x:v>
      </x:c>
    </x:row>
    <x:row r="135">
      <x:c r="A135" s="13" t="str">
        <x:v>SMARTFIT - ORDINARY</x:v>
      </x:c>
      <x:c r="B135" s="13" t="str">
        <x:v>Smart Fit</x:v>
      </x:c>
      <x:c r="C135" s="16" t="n">
        <x:v>0.462</x:v>
      </x:c>
      <x:c r="D135" s="13" t="str">
        <x:v>manual auditado</x:v>
      </x:c>
      <x:c r="E135" s="13" t="str">
        <x:v>Retail</x:v>
      </x:c>
      <x:c r="F135" s="13" t="str">
        <x:v>Retail</x:v>
      </x:c>
      <x:c r="G135" s="13" t="str">
        <x:v>Early Cyclicals</x:v>
      </x:c>
      <x:c r="H135" s="13" t="str">
        <x:v>Retail</x:v>
      </x:c>
      <x:c r="I135" s="13" t="str">
        <x:v>Retail</x:v>
      </x:c>
      <x:c r="J135" s="13" t="str">
        <x:v>Early Cyclicals</x:v>
      </x:c>
    </x:row>
    <x:row r="136">
      <x:c r="A136" s="13" t="str">
        <x:v>SMILES FIDELIDADE SA</x:v>
      </x:c>
      <x:c r="B136" s="13" t="str">
        <x:v>Smiles</x:v>
      </x:c>
      <x:c r="C136" s="16" t="n">
        <x:v>0.9</x:v>
      </x:c>
      <x:c r="D136" s="13" t="str">
        <x:v>automático</x:v>
      </x:c>
      <x:c r="E136" s="13" t="str">
        <x:v>TMT</x:v>
      </x:c>
      <x:c r="F136" s="13" t="str">
        <x:v>TMT</x:v>
      </x:c>
      <x:c r="G136" s="13" t="str">
        <x:v>Early Cyclicals</x:v>
      </x:c>
      <x:c r="H136" s="13" t="str">
        <x:v>TMT</x:v>
      </x:c>
      <x:c r="I136" s="13" t="str">
        <x:v>TMT</x:v>
      </x:c>
      <x:c r="J136" s="13" t="str">
        <x:v>Early Cyclicals</x:v>
      </x:c>
    </x:row>
    <x:row r="137">
      <x:c r="A137" s="13" t="str">
        <x:v>SOLID ATIVOS IMOBILIARIOS SA</x:v>
      </x:c>
      <x:c r="B137" s="13" t="str">
        <x:v>Lojas Marisa</x:v>
      </x:c>
      <x:c r="C137" s="16" t="n">
        <x:v>0.375</x:v>
      </x:c>
      <x:c r="D137" s="13" t="str">
        <x:v>manual auditado</x:v>
      </x:c>
      <x:c r="E137" s="13" t="str">
        <x:v>Income Properties</x:v>
      </x:c>
      <x:c r="F137" s="13" t="str">
        <x:v>Real Estate</x:v>
      </x:c>
      <x:c r="G137" s="13" t="str">
        <x:v>Early Cyclicals</x:v>
      </x:c>
      <x:c r="H137" s="13" t="str">
        <x:v>Retail</x:v>
      </x:c>
      <x:c r="I137" s="13" t="str">
        <x:v>Real Estate</x:v>
      </x:c>
      <x:c r="J137" s="13" t="str">
        <x:v>Early Cyclicals</x:v>
      </x:c>
    </x:row>
    <x:row r="138">
      <x:c r="A138" s="13" t="str">
        <x:v>SOUZA CRUZ LTDA</x:v>
      </x:c>
      <x:c r="B138" s="13" t="str">
        <x:v>Souza Cruz</x:v>
      </x:c>
      <x:c r="C138" s="16" t="n">
        <x:v>1</x:v>
      </x:c>
      <x:c r="D138" s="13" t="str">
        <x:v>automático</x:v>
      </x:c>
      <x:c r="E138" s="13" t="str">
        <x:v>Food &amp; Beverages</x:v>
      </x:c>
      <x:c r="F138" s="13" t="str">
        <x:v>Agri, Food &amp; Beverages</x:v>
      </x:c>
      <x:c r="G138" s="13" t="str">
        <x:v>Defensives</x:v>
      </x:c>
      <x:c r="H138" s="13" t="str">
        <x:v>Food &amp; Beverages</x:v>
      </x:c>
      <x:c r="I138" s="13" t="str">
        <x:v>Agri, Food &amp; Beverages</x:v>
      </x:c>
      <x:c r="J138" s="13" t="str">
        <x:v>Defensives</x:v>
      </x:c>
    </x:row>
    <x:row r="139">
      <x:c r="A139" s="13" t="str">
        <x:v>SUL AMERICA SA - UNITS</x:v>
      </x:c>
      <x:c r="B139" s="13" t="str">
        <x:v>Sul América</x:v>
      </x:c>
      <x:c r="C139" s="16" t="n">
        <x:v>1</x:v>
      </x:c>
      <x:c r="D139" s="13" t="str">
        <x:v>automático</x:v>
      </x:c>
      <x:c r="E139" s="13" t="str">
        <x:v>Health Care</x:v>
      </x:c>
      <x:c r="F139" s="13" t="str">
        <x:v>Health Care</x:v>
      </x:c>
      <x:c r="G139" s="13" t="str">
        <x:v>Defensives</x:v>
      </x:c>
      <x:c r="H139" s="13" t="str">
        <x:v>Health Care</x:v>
      </x:c>
      <x:c r="I139" s="13" t="str">
        <x:v>Health Care</x:v>
      </x:c>
      <x:c r="J139" s="13" t="str">
        <x:v>Defensives</x:v>
      </x:c>
    </x:row>
    <x:row r="140">
      <x:c r="A140" s="13" t="str">
        <x:v>SUZANO PAPEL E CELULO-PREF A</x:v>
      </x:c>
      <x:c r="B140" s="13" t="str">
        <x:v>Suzano Holding</x:v>
      </x:c>
      <x:c r="C140" s="16" t="n">
        <x:v>0.867</x:v>
      </x:c>
      <x:c r="D140" s="13" t="str">
        <x:v>automático</x:v>
      </x:c>
      <x:c r="E140" s="13" t="str">
        <x:v>Pulp &amp; Paper</x:v>
      </x:c>
      <x:c r="F140" s="13" t="str">
        <x:v>Pulp &amp; Paper</x:v>
      </x:c>
      <x:c r="G140" s="13" t="str">
        <x:v>Deep Cyclicals</x:v>
      </x:c>
      <x:c r="H140" s="13" t="str">
        <x:v>Pulp &amp; Paper</x:v>
      </x:c>
      <x:c r="I140" s="13" t="str">
        <x:v>Pulp &amp; Paper</x:v>
      </x:c>
      <x:c r="J140" s="13" t="str">
        <x:v>Deep Cyclicals</x:v>
      </x:c>
    </x:row>
    <x:row r="141">
      <x:c r="A141" s="13" t="str">
        <x:v>SUZANO SA</x:v>
      </x:c>
      <x:c r="B141" s="13" t="str">
        <x:v>Suzano Holding</x:v>
      </x:c>
      <x:c r="C141" s="16" t="n">
        <x:v>1</x:v>
      </x:c>
      <x:c r="D141" s="13" t="str">
        <x:v>automático</x:v>
      </x:c>
      <x:c r="E141" s="13" t="str">
        <x:v>Pulp &amp; Paper</x:v>
      </x:c>
      <x:c r="F141" s="13" t="str">
        <x:v>Pulp &amp; Paper</x:v>
      </x:c>
      <x:c r="G141" s="13" t="str">
        <x:v>Deep Cyclicals</x:v>
      </x:c>
      <x:c r="H141" s="13" t="str">
        <x:v>Pulp &amp; Paper</x:v>
      </x:c>
      <x:c r="I141" s="13" t="str">
        <x:v>Pulp &amp; Paper</x:v>
      </x:c>
      <x:c r="J141" s="13" t="str">
        <x:v>Deep Cyclicals</x:v>
      </x:c>
    </x:row>
    <x:row r="142">
      <x:c r="A142" s="13" t="str">
        <x:v>TAM SA-PREF</x:v>
      </x:c>
      <x:c r="B142" s="13" t="str">
        <x:v>TAM</x:v>
      </x:c>
      <x:c r="C142" s="16" t="n">
        <x:v>1</x:v>
      </x:c>
      <x:c r="D142" s="13" t="str">
        <x:v>automático</x:v>
      </x:c>
      <x:c r="E142" s="13" t="str">
        <x:v>Transportation</x:v>
      </x:c>
      <x:c r="F142" s="13" t="str">
        <x:v>Transportation</x:v>
      </x:c>
      <x:c r="G142" s="13" t="str">
        <x:v>Deep Cyclicals</x:v>
      </x:c>
      <x:c r="H142" s="13" t="str">
        <x:v>Transportation</x:v>
      </x:c>
      <x:c r="I142" s="13" t="str">
        <x:v>Transportation</x:v>
      </x:c>
      <x:c r="J142" s="13" t="str">
        <x:v>Deep Cyclicals</x:v>
      </x:c>
    </x:row>
    <x:row r="143">
      <x:c r="A143" s="13" t="str">
        <x:v>TEGRA INCORPORADORA SA</x:v>
      </x:c>
      <x:c r="B143" s="13" t="str">
        <x:v>Tegra</x:v>
      </x:c>
      <x:c r="C143" s="16" t="n">
        <x:v>0.9</x:v>
      </x:c>
      <x:c r="D143" s="13" t="str">
        <x:v>automático</x:v>
      </x:c>
      <x:c r="E143" s="13" t="str">
        <x:v>Homebuilders</x:v>
      </x:c>
      <x:c r="F143" s="13" t="str">
        <x:v>Real Estate</x:v>
      </x:c>
      <x:c r="G143" s="13" t="str">
        <x:v>Early Cyclicals</x:v>
      </x:c>
      <x:c r="H143" s="13" t="str">
        <x:v>Homebuilders</x:v>
      </x:c>
      <x:c r="I143" s="13" t="str">
        <x:v>Real Estate</x:v>
      </x:c>
      <x:c r="J143" s="13" t="str">
        <x:v>Early Cyclicals</x:v>
      </x:c>
    </x:row>
    <x:row r="144">
      <x:c r="A144" s="13" t="str">
        <x:v>TELE NORTE LESTE PART</x:v>
      </x:c>
      <x:c r="B144" s="13" t="str">
        <x:v>Tele Nordeste Celular</x:v>
      </x:c>
      <x:c r="C144" s="16" t="n">
        <x:v>0.536</x:v>
      </x:c>
      <x:c r="D144" s="13" t="str">
        <x:v>manual auditado</x:v>
      </x:c>
      <x:c r="E144" s="13" t="str">
        <x:v>TMT</x:v>
      </x:c>
      <x:c r="F144" s="13" t="str">
        <x:v>TMT</x:v>
      </x:c>
      <x:c r="G144" s="13" t="str">
        <x:v>Early Cyclicals</x:v>
      </x:c>
      <x:c r="H144" s="13" t="str">
        <x:v>TMT</x:v>
      </x:c>
      <x:c r="I144" s="13" t="str">
        <x:v>TMT</x:v>
      </x:c>
      <x:c r="J144" s="13" t="str">
        <x:v>Early Cyclicals</x:v>
      </x:c>
    </x:row>
    <x:row r="145">
      <x:c r="A145" s="13" t="str">
        <x:v>TELE NORTE LESTE PART-PREF</x:v>
      </x:c>
      <x:c r="B145" s="13" t="str">
        <x:v>Tele Nordeste Celular</x:v>
      </x:c>
      <x:c r="C145" s="16" t="n">
        <x:v>0.479</x:v>
      </x:c>
      <x:c r="D145" s="13" t="str">
        <x:v>manual auditado</x:v>
      </x:c>
      <x:c r="E145" s="13" t="str">
        <x:v>TMT</x:v>
      </x:c>
      <x:c r="F145" s="13" t="str">
        <x:v>TMT</x:v>
      </x:c>
      <x:c r="G145" s="13" t="str">
        <x:v>Early Cyclicals</x:v>
      </x:c>
      <x:c r="H145" s="13" t="str">
        <x:v>TMT</x:v>
      </x:c>
      <x:c r="I145" s="13" t="str">
        <x:v>TMT</x:v>
      </x:c>
      <x:c r="J145" s="13" t="str">
        <x:v>Early Cyclicals</x:v>
      </x:c>
    </x:row>
    <x:row r="146">
      <x:c r="A146" s="13" t="str">
        <x:v>TELEFONICA BRASIL S.A.</x:v>
      </x:c>
      <x:c r="B146" s="13" t="str">
        <x:v>Telefônica Brasil</x:v>
      </x:c>
      <x:c r="C146" s="16" t="n">
        <x:v>1</x:v>
      </x:c>
      <x:c r="D146" s="13" t="str">
        <x:v>automático</x:v>
      </x:c>
      <x:c r="E146" s="13" t="str">
        <x:v>TMT</x:v>
      </x:c>
      <x:c r="F146" s="13" t="str">
        <x:v>TMT</x:v>
      </x:c>
      <x:c r="G146" s="13" t="str">
        <x:v>Early Cyclicals</x:v>
      </x:c>
      <x:c r="H146" s="13" t="str">
        <x:v>TMT</x:v>
      </x:c>
      <x:c r="I146" s="13" t="str">
        <x:v>TMT</x:v>
      </x:c>
      <x:c r="J146" s="13" t="str">
        <x:v>Early Cyclicals</x:v>
      </x:c>
    </x:row>
    <x:row r="147">
      <x:c r="A147" s="13" t="str">
        <x:v>TELEFONICA BRASIL S.A.-PREF</x:v>
      </x:c>
      <x:c r="B147" s="13" t="str">
        <x:v>Telefônica Brasil</x:v>
      </x:c>
      <x:c r="C147" s="16" t="n">
        <x:v>1</x:v>
      </x:c>
      <x:c r="D147" s="13" t="str">
        <x:v>automático</x:v>
      </x:c>
      <x:c r="E147" s="13" t="str">
        <x:v>TMT</x:v>
      </x:c>
      <x:c r="F147" s="13" t="str">
        <x:v>TMT</x:v>
      </x:c>
      <x:c r="G147" s="13" t="str">
        <x:v>Early Cyclicals</x:v>
      </x:c>
      <x:c r="H147" s="13" t="str">
        <x:v>TMT</x:v>
      </x:c>
      <x:c r="I147" s="13" t="str">
        <x:v>TMT</x:v>
      </x:c>
      <x:c r="J147" s="13" t="str">
        <x:v>Early Cyclicals</x:v>
      </x:c>
    </x:row>
    <x:row r="148">
      <x:c r="A148" s="13" t="str">
        <x:v>TELEMAR NORTE LESTE SA</x:v>
      </x:c>
      <x:c r="B148" s="13" t="str">
        <x:v>Telemar</x:v>
      </x:c>
      <x:c r="C148" s="16" t="n">
        <x:v>0.867</x:v>
      </x:c>
      <x:c r="D148" s="13" t="str">
        <x:v>automático</x:v>
      </x:c>
      <x:c r="E148" s="13" t="str">
        <x:v>TMT</x:v>
      </x:c>
      <x:c r="F148" s="13" t="str">
        <x:v>TMT</x:v>
      </x:c>
      <x:c r="G148" s="13" t="str">
        <x:v>Early Cyclicals</x:v>
      </x:c>
      <x:c r="H148" s="13" t="str">
        <x:v>TMT</x:v>
      </x:c>
      <x:c r="I148" s="13" t="str">
        <x:v>TMT</x:v>
      </x:c>
      <x:c r="J148" s="13" t="str">
        <x:v>Early Cyclicals</x:v>
      </x:c>
    </x:row>
    <x:row r="149">
      <x:c r="A149" s="13" t="str">
        <x:v>TIM PARTICIPACOES SA-PREF</x:v>
      </x:c>
      <x:c r="B149" s="13" t="str">
        <x:v>Tim</x:v>
      </x:c>
      <x:c r="C149" s="16" t="n">
        <x:v>1</x:v>
      </x:c>
      <x:c r="D149" s="13" t="str">
        <x:v>automático</x:v>
      </x:c>
      <x:c r="E149" s="13" t="str">
        <x:v>TMT</x:v>
      </x:c>
      <x:c r="F149" s="13" t="str">
        <x:v>TMT</x:v>
      </x:c>
      <x:c r="G149" s="13" t="str">
        <x:v>Early Cyclicals</x:v>
      </x:c>
      <x:c r="H149" s="13" t="str">
        <x:v>TMT</x:v>
      </x:c>
      <x:c r="I149" s="13" t="str">
        <x:v>TMT</x:v>
      </x:c>
      <x:c r="J149" s="13" t="str">
        <x:v>Early Cyclicals</x:v>
      </x:c>
    </x:row>
    <x:row r="150">
      <x:c r="A150" s="13" t="str">
        <x:v>TIM SA</x:v>
      </x:c>
      <x:c r="B150" s="13" t="str">
        <x:v>Tim</x:v>
      </x:c>
      <x:c r="C150" s="16" t="n">
        <x:v>1</x:v>
      </x:c>
      <x:c r="D150" s="13" t="str">
        <x:v>automático</x:v>
      </x:c>
      <x:c r="E150" s="13" t="str">
        <x:v>TMT</x:v>
      </x:c>
      <x:c r="F150" s="13" t="str">
        <x:v>TMT</x:v>
      </x:c>
      <x:c r="G150" s="13" t="str">
        <x:v>Early Cyclicals</x:v>
      </x:c>
      <x:c r="H150" s="13" t="str">
        <x:v>TMT</x:v>
      </x:c>
      <x:c r="I150" s="13" t="str">
        <x:v>TMT</x:v>
      </x:c>
      <x:c r="J150" s="13" t="str">
        <x:v>Early Cyclicals</x:v>
      </x:c>
    </x:row>
    <x:row r="151">
      <x:c r="A151" s="13" t="str">
        <x:v>TOTVS SA</x:v>
      </x:c>
      <x:c r="B151" s="13" t="str">
        <x:v>TOTVS</x:v>
      </x:c>
      <x:c r="C151" s="16" t="n">
        <x:v>1</x:v>
      </x:c>
      <x:c r="D151" s="13" t="str">
        <x:v>automático</x:v>
      </x:c>
      <x:c r="E151" s="13" t="str">
        <x:v>TMT</x:v>
      </x:c>
      <x:c r="F151" s="13" t="str">
        <x:v>TMT</x:v>
      </x:c>
      <x:c r="G151" s="13" t="str">
        <x:v>Early Cyclicals</x:v>
      </x:c>
      <x:c r="H151" s="13" t="str">
        <x:v>TMT</x:v>
      </x:c>
      <x:c r="I151" s="13" t="str">
        <x:v>TMT</x:v>
      </x:c>
      <x:c r="J151" s="13" t="str">
        <x:v>Early Cyclicals</x:v>
      </x:c>
    </x:row>
    <x:row r="152">
      <x:c r="A152" s="13" t="str">
        <x:v>TRANSMISSORA ALIANCA DE-UNIT</x:v>
      </x:c>
      <x:c r="B152" s="13" t="str">
        <x:v>Aliança da Bahia</x:v>
      </x:c>
      <x:c r="C152" s="16" t="n">
        <x:v>0.375</x:v>
      </x:c>
      <x:c r="D152" s="13" t="str">
        <x:v>manual auditado</x:v>
      </x:c>
      <x:c r="E152" s="13" t="str">
        <x:v>Utilities &amp; Energy</x:v>
      </x:c>
      <x:c r="F152" s="13" t="str">
        <x:v>Utilities</x:v>
      </x:c>
      <x:c r="G152" s="13" t="str">
        <x:v>Defensives</x:v>
      </x:c>
      <x:c r="H152" s="13" t="str">
        <x:v>Financials Non-Banks</x:v>
      </x:c>
      <x:c r="I152" s="13" t="str">
        <x:v>Utilities</x:v>
      </x:c>
      <x:c r="J152" s="13" t="str">
        <x:v>Financials</x:v>
      </x:c>
    </x:row>
    <x:row r="153">
      <x:c r="A153" s="13" t="str">
        <x:v>ULTRAPAR PARTICIPACOES SA</x:v>
      </x:c>
      <x:c r="B153" s="13" t="str">
        <x:v>Ultrapar</x:v>
      </x:c>
      <x:c r="C153" s="16" t="n">
        <x:v>1</x:v>
      </x:c>
      <x:c r="D153" s="13" t="str">
        <x:v>automático</x:v>
      </x:c>
      <x:c r="E153" s="13" t="str">
        <x:v>Oil, Gas &amp; Petrochemicals</x:v>
      </x:c>
      <x:c r="F153" s="13" t="str">
        <x:v>Oil, Gas &amp; Petrochemicals</x:v>
      </x:c>
      <x:c r="G153" s="13" t="str">
        <x:v>Deep Cyclicals</x:v>
      </x:c>
      <x:c r="H153" s="13" t="str">
        <x:v>Oil, Gas &amp; Petrochemicals</x:v>
      </x:c>
      <x:c r="I153" s="13" t="str">
        <x:v>Oil, Gas &amp; Petrochemicals</x:v>
      </x:c>
      <x:c r="J153" s="13" t="str">
        <x:v>Deep Cyclicals</x:v>
      </x:c>
    </x:row>
    <x:row r="154">
      <x:c r="A154" s="13" t="str">
        <x:v>ULTRAPAR PARTICIPACOES-PREF</x:v>
      </x:c>
      <x:c r="B154" s="13" t="str">
        <x:v>Ultrapar</x:v>
      </x:c>
      <x:c r="C154" s="16" t="n">
        <x:v>1</x:v>
      </x:c>
      <x:c r="D154" s="13" t="str">
        <x:v>automático</x:v>
      </x:c>
      <x:c r="E154" s="13" t="str">
        <x:v>Oil, Gas &amp; Petrochemicals</x:v>
      </x:c>
      <x:c r="F154" s="13" t="str">
        <x:v>Oil, Gas &amp; Petrochemicals</x:v>
      </x:c>
      <x:c r="G154" s="13" t="str">
        <x:v>Deep Cyclicals</x:v>
      </x:c>
      <x:c r="H154" s="13" t="str">
        <x:v>Oil, Gas &amp; Petrochemicals</x:v>
      </x:c>
      <x:c r="I154" s="13" t="str">
        <x:v>Oil, Gas &amp; Petrochemicals</x:v>
      </x:c>
      <x:c r="J154" s="13" t="str">
        <x:v>Deep Cyclicals</x:v>
      </x:c>
    </x:row>
    <x:row r="155">
      <x:c r="A155" s="13" t="str">
        <x:v>USINAS SIDER MINAS GER-PF A</x:v>
      </x:c>
      <x:c r="B155" s="13" t="str">
        <x:v>Energisa Minas Rio</x:v>
      </x:c>
      <x:c r="C155" s="16" t="n">
        <x:v>0.367</x:v>
      </x:c>
      <x:c r="D155" s="13" t="str">
        <x:v>manual auditado</x:v>
      </x:c>
      <x:c r="E155" s="13" t="str">
        <x:v>Metals &amp; Mining</x:v>
      </x:c>
      <x:c r="F155" s="13" t="str">
        <x:v>Metals &amp; Mining</x:v>
      </x:c>
      <x:c r="G155" s="13" t="str">
        <x:v>Deep Cyclicals</x:v>
      </x:c>
      <x:c r="H155" s="13" t="str">
        <x:v>Utilities &amp; Energy</x:v>
      </x:c>
      <x:c r="I155" s="13" t="str">
        <x:v>Metals &amp; Mining</x:v>
      </x:c>
      <x:c r="J155" s="13" t="str">
        <x:v>Defensives</x:v>
      </x:c>
    </x:row>
    <x:row r="156">
      <x:c r="A156" s="13" t="str">
        <x:v>USINAS SIDERURGICAS DE MINAS</x:v>
      </x:c>
      <x:c r="B156" s="13" t="str">
        <x:v>Companhia Siderúrgica de Tubarão</x:v>
      </x:c>
      <x:c r="C156" s="16" t="n">
        <x:v>0.475</x:v>
      </x:c>
      <x:c r="D156" s="13" t="str">
        <x:v>manual auditado</x:v>
      </x:c>
      <x:c r="E156" s="13" t="str">
        <x:v>Metals &amp; Mining</x:v>
      </x:c>
      <x:c r="F156" s="13" t="str">
        <x:v>Metals &amp; Mining</x:v>
      </x:c>
      <x:c r="G156" s="13" t="str">
        <x:v>Deep Cyclicals</x:v>
      </x:c>
      <x:c r="H156" s="13" t="str">
        <x:v>Metals &amp; Mining</x:v>
      </x:c>
      <x:c r="I156" s="13" t="str">
        <x:v>Metals &amp; Mining</x:v>
      </x:c>
      <x:c r="J156" s="13" t="str">
        <x:v>Deep Cyclicals</x:v>
      </x:c>
    </x:row>
    <x:row r="157">
      <x:c r="A157" s="13" t="str">
        <x:v>VALE SA</x:v>
      </x:c>
      <x:c r="B157" s="13" t="str">
        <x:v>Vale</x:v>
      </x:c>
      <x:c r="C157" s="16" t="n">
        <x:v>1</x:v>
      </x:c>
      <x:c r="D157" s="13" t="str">
        <x:v>automático</x:v>
      </x:c>
      <x:c r="E157" s="13" t="str">
        <x:v>Metals &amp; Mining</x:v>
      </x:c>
      <x:c r="F157" s="13" t="str">
        <x:v>Metals &amp; Mining</x:v>
      </x:c>
      <x:c r="G157" s="13" t="str">
        <x:v>Deep Cyclicals</x:v>
      </x:c>
      <x:c r="H157" s="13" t="str">
        <x:v>Metals &amp; Mining</x:v>
      </x:c>
      <x:c r="I157" s="13" t="str">
        <x:v>Metals &amp; Mining</x:v>
      </x:c>
      <x:c r="J157" s="13" t="str">
        <x:v>Deep Cyclicals</x:v>
      </x:c>
    </x:row>
    <x:row r="158">
      <x:c r="A158" s="13" t="str">
        <x:v>VALE SA-PREF</x:v>
      </x:c>
      <x:c r="B158" s="13" t="str">
        <x:v>Vale</x:v>
      </x:c>
      <x:c r="C158" s="16" t="n">
        <x:v>1</x:v>
      </x:c>
      <x:c r="D158" s="13" t="str">
        <x:v>automático</x:v>
      </x:c>
      <x:c r="E158" s="13" t="str">
        <x:v>Metals &amp; Mining</x:v>
      </x:c>
      <x:c r="F158" s="13" t="str">
        <x:v>Metals &amp; Mining</x:v>
      </x:c>
      <x:c r="G158" s="13" t="str">
        <x:v>Deep Cyclicals</x:v>
      </x:c>
      <x:c r="H158" s="13" t="str">
        <x:v>Metals &amp; Mining</x:v>
      </x:c>
      <x:c r="I158" s="13" t="str">
        <x:v>Metals &amp; Mining</x:v>
      </x:c>
      <x:c r="J158" s="13" t="str">
        <x:v>Deep Cyclicals</x:v>
      </x:c>
    </x:row>
    <x:row r="159">
      <x:c r="A159" s="13" t="str">
        <x:v>VAMOS LOCACAO DE CAMINHOES M</x:v>
      </x:c>
      <x:c r="B159" s="13" t="str">
        <x:v>Vamos</x:v>
      </x:c>
      <x:c r="C159" s="16" t="n">
        <x:v>0.867</x:v>
      </x:c>
      <x:c r="D159" s="13" t="str">
        <x:v>automático</x:v>
      </x:c>
      <x:c r="E159" s="13" t="str">
        <x:v>Transportation</x:v>
      </x:c>
      <x:c r="F159" s="13" t="str">
        <x:v>Transportation</x:v>
      </x:c>
      <x:c r="G159" s="13" t="str">
        <x:v>Deep Cyclicals</x:v>
      </x:c>
      <x:c r="H159" s="13" t="str">
        <x:v>Transportation</x:v>
      </x:c>
      <x:c r="I159" s="13" t="str">
        <x:v>Transportation</x:v>
      </x:c>
      <x:c r="J159" s="13" t="str">
        <x:v>Deep Cyclicals</x:v>
      </x:c>
    </x:row>
    <x:row r="160">
      <x:c r="A160" s="13" t="str">
        <x:v>VIA VAREJO SA</x:v>
      </x:c>
      <x:c r="B160" s="13" t="str">
        <x:v>Via</x:v>
      </x:c>
      <x:c r="C160" s="16" t="n">
        <x:v>0.9</x:v>
      </x:c>
      <x:c r="D160" s="13" t="str">
        <x:v>automático</x:v>
      </x:c>
      <x:c r="E160" s="13" t="str">
        <x:v>Retail</x:v>
      </x:c>
      <x:c r="F160" s="13" t="str">
        <x:v>Retail</x:v>
      </x:c>
      <x:c r="G160" s="13" t="str">
        <x:v>Early Cyclicals</x:v>
      </x:c>
      <x:c r="H160" s="13" t="str">
        <x:v>Retail</x:v>
      </x:c>
      <x:c r="I160" s="13" t="str">
        <x:v>Retail</x:v>
      </x:c>
      <x:c r="J160" s="13" t="str">
        <x:v>Early Cyclicals</x:v>
      </x:c>
    </x:row>
    <x:row r="161">
      <x:c r="A161" s="13" t="str">
        <x:v>VIBRA ENERGIA SA</x:v>
      </x:c>
      <x:c r="B161" s="13" t="str">
        <x:v>Vibra Energia</x:v>
      </x:c>
      <x:c r="C161" s="16" t="n">
        <x:v>1</x:v>
      </x:c>
      <x:c r="D161" s="13" t="str">
        <x:v>automático</x:v>
      </x:c>
      <x:c r="E161" s="13" t="str">
        <x:v>Oil, Gas &amp; Petrochemicals</x:v>
      </x:c>
      <x:c r="F161" s="13" t="str">
        <x:v>Oil, Gas &amp; Petrochemicals</x:v>
      </x:c>
      <x:c r="G161" s="13" t="str">
        <x:v>Deep Cyclicals</x:v>
      </x:c>
      <x:c r="H161" s="13" t="str">
        <x:v>Oil, Gas &amp; Petrochemicals</x:v>
      </x:c>
      <x:c r="I161" s="13" t="str">
        <x:v>Oil, Gas &amp; Petrochemicals</x:v>
      </x:c>
      <x:c r="J161" s="13" t="str">
        <x:v>Deep Cyclicals</x:v>
      </x:c>
    </x:row>
    <x:row r="162">
      <x:c r="A162" s="13" t="str">
        <x:v>VIVARA PARTICIPACOES SA</x:v>
      </x:c>
      <x:c r="B162" s="13" t="str">
        <x:v>Vivara</x:v>
      </x:c>
      <x:c r="C162" s="16" t="n">
        <x:v>1</x:v>
      </x:c>
      <x:c r="D162" s="13" t="str">
        <x:v>automático</x:v>
      </x:c>
      <x:c r="E162" s="13" t="str">
        <x:v>Retail</x:v>
      </x:c>
      <x:c r="F162" s="13" t="str">
        <x:v>Retail</x:v>
      </x:c>
      <x:c r="G162" s="13" t="str">
        <x:v>Early Cyclicals</x:v>
      </x:c>
      <x:c r="H162" s="13" t="str">
        <x:v>Retail</x:v>
      </x:c>
      <x:c r="I162" s="13" t="str">
        <x:v>Retail</x:v>
      </x:c>
      <x:c r="J162" s="13" t="str">
        <x:v>Early Cyclicals</x:v>
      </x:c>
    </x:row>
    <x:row r="163">
      <x:c r="A163" s="13" t="str">
        <x:v>VIVO PARTICIPACOES SA-PREF</x:v>
      </x:c>
      <x:c r="B163" s="13" t="str">
        <x:v>Vivo</x:v>
      </x:c>
      <x:c r="C163" s="16" t="n">
        <x:v>1</x:v>
      </x:c>
      <x:c r="D163" s="13" t="str">
        <x:v>automático</x:v>
      </x:c>
      <x:c r="E163" s="13" t="str">
        <x:v>TMT</x:v>
      </x:c>
      <x:c r="F163" s="13" t="str">
        <x:v>TMT</x:v>
      </x:c>
      <x:c r="G163" s="13" t="str">
        <x:v>Early Cyclicals</x:v>
      </x:c>
      <x:c r="H163" s="13" t="str">
        <x:v>TMT</x:v>
      </x:c>
      <x:c r="I163" s="13" t="str">
        <x:v>TMT</x:v>
      </x:c>
      <x:c r="J163" s="13" t="str">
        <x:v>Early Cyclicals</x:v>
      </x:c>
    </x:row>
    <x:row r="164">
      <x:c r="A164" s="13" t="str">
        <x:v>WEG SA</x:v>
      </x:c>
      <x:c r="B164" s="13" t="str">
        <x:v>Weg</x:v>
      </x:c>
      <x:c r="C164" s="16" t="n">
        <x:v>1</x:v>
      </x:c>
      <x:c r="D164" s="13" t="str">
        <x:v>automático</x:v>
      </x:c>
      <x:c r="E164" s="13" t="str">
        <x:v>Capital Goods</x:v>
      </x:c>
      <x:c r="F164" s="13" t="str">
        <x:v>Capital Goods</x:v>
      </x:c>
      <x:c r="G164" s="13" t="str">
        <x:v>Deep Cyclicals</x:v>
      </x:c>
      <x:c r="H164" s="13" t="str">
        <x:v>Capital Goods</x:v>
      </x:c>
      <x:c r="I164" s="13" t="str">
        <x:v>Capital Goods</x:v>
      </x:c>
      <x:c r="J164" s="13" t="str">
        <x:v>Deep Cyclicals</x:v>
      </x:c>
    </x:row>
    <x:row r="165">
      <x:c r="A165" s="13" t="str">
        <x:v>YDUQS PARTICIPACOES SA</x:v>
      </x:c>
      <x:c r="B165" s="13" t="str">
        <x:v>YDUQS</x:v>
      </x:c>
      <x:c r="C165" s="16" t="n">
        <x:v>1</x:v>
      </x:c>
      <x:c r="D165" s="13" t="str">
        <x:v>automático</x:v>
      </x:c>
      <x:c r="E165" s="13" t="str">
        <x:v>Education</x:v>
      </x:c>
      <x:c r="F165" s="13" t="str">
        <x:v>Education</x:v>
      </x:c>
      <x:c r="G165" s="13" t="str">
        <x:v>Early Cyclicals</x:v>
      </x:c>
      <x:c r="H165" s="13" t="str">
        <x:v>Education</x:v>
      </x:c>
      <x:c r="I165" s="13" t="str">
        <x:v>Education</x:v>
      </x:c>
      <x:c r="J165" s="13" t="str">
        <x:v>Early Cyclicals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aa4990d69eb4403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58" hidden="0" customWidth="1"/>
    <x:col min="3" max="3" width="72" hidden="0" customWidth="1"/>
  </x:cols>
  <x:sheetData>
    <x:row r="1" ht="27" customHeight="1">
      <x:c r="A1" s="3" t="str">
        <x:v>Metodologia e linhagem</x:v>
      </x:c>
      <x:c r="B1" s="3"/>
      <x:c r="C1" s="3"/>
    </x:row>
    <x:row r="2" ht="30" customHeight="1">
      <x:c r="A2" s="7" t="str">
        <x:v>Definições necessárias para interpretar corretamente a base e reproduzir os resultados.</x:v>
      </x:c>
      <x:c r="B2" s="7"/>
      <x:c r="C2" s="7"/>
    </x:row>
    <x:row r="4">
      <x:c r="A4" s="44" t="str">
        <x:v>Tema</x:v>
      </x:c>
      <x:c r="B4" s="44" t="str">
        <x:v>Definição</x:v>
      </x:c>
      <x:c r="C4" s="44" t="str">
        <x:v>Implicação prática</x:v>
      </x:c>
    </x:row>
    <x:row r="5" ht="56" customHeight="1">
      <x:c r="A5" s="47" t="str">
        <x:v>Nível setorial</x:v>
      </x:c>
      <x:c r="B5" s="47" t="str">
        <x:v>Soma dos earnings de todas as empresas disponíveis no setor em cada mês.</x:v>
      </x:c>
      <x:c r="C5" s="47" t="str">
        <x:v>Mudanças de cobertura podem afetar o nível; por isso a contagem de empresas é publicada separadamente.</x:v>
      </x:c>
    </x:row>
    <x:row r="6" ht="56" customHeight="1">
      <x:c r="A6" s="47" t="str">
        <x:v>Revisão 3M</x:v>
      </x:c>
      <x:c r="B6" s="47" t="str">
        <x:v>Diferença entre a soma dos earnings em t e em t-3, usando apenas empresas com observação nas duas pontas.</x:v>
      </x:c>
      <x:c r="C6" s="47" t="str">
        <x:v>A cesta constante evita confundir revisão de estimativa com entrada ou saída de empresa da amostra.</x:v>
      </x:c>
    </x:row>
    <x:row r="7" ht="56" customHeight="1">
      <x:c r="A7" s="47" t="str">
        <x:v>Valores negativos</x:v>
      </x:c>
      <x:c r="B7" s="47" t="str">
        <x:v>Perdas são mantidas com sinal negativo; não há transformação logarítmica na série principal.</x:v>
      </x:c>
      <x:c r="C7" s="47" t="str">
        <x:v>A métrica preserva economicamente deteriorações que atravessam zero.</x:v>
      </x:c>
    </x:row>
    <x:row r="8" ht="56" customHeight="1">
      <x:c r="A8" s="47" t="str">
        <x:v>Classes ON/PN</x:v>
      </x:c>
      <x:c r="B8" s="47" t="str">
        <x:v>Séries com a mesma raiz econômica são deduplicadas; fica a classe com maior cobertura mensal.</x:v>
      </x:c>
      <x:c r="C8" s="47" t="str">
        <x:v>Evita dupla contagem de uma mesma companhia.</x:v>
      </x:c>
    </x:row>
    <x:row r="9" ht="56" customHeight="1">
      <x:c r="A9" s="47" t="str">
        <x:v>Prioridade de arquivo</x:v>
      </x:c>
      <x:c r="B9" s="47" t="str">
        <x:v>Se a empresa possui mais de uma observação no mesmo mês, prevalece a fonte com maior prioridade definida na base original.</x:v>
      </x:c>
      <x:c r="C9" s="47" t="str">
        <x:v>Mantém uma observação por empresa/mês.</x:v>
      </x:c>
    </x:row>
    <x:row r="10" ht="56" customHeight="1">
      <x:c r="A10" s="47" t="str">
        <x:v>Unidade</x:v>
      </x:c>
      <x:c r="B10" s="47" t="str">
        <x:v>R$ milhões, conforme a base Bloomberg BEst Net Income recebida.</x:v>
      </x:c>
      <x:c r="C10" s="47" t="str">
        <x:v>Não aplicar nova escala antes de conferir a unidade do estudo de destino.</x:v>
      </x:c>
    </x:row>
    <x:row r="11" ht="56" customHeight="1">
      <x:c r="A11" s="47" t="str">
        <x:v>Índice base 100</x:v>
      </x:c>
      <x:c r="B11" s="47" t="str">
        <x:v>Cada setor é dividido pela primeira observação válida de sua própria série de nível e multiplicado por 100.</x:v>
      </x:c>
      <x:c r="C11" s="47" t="str">
        <x:v>Facilita comparar trajetórias; não elimina o efeito de mudanças de cobertura.</x:v>
      </x:c>
    </x:row>
    <x:row r="12" ht="56" customHeight="1">
      <x:c r="A12" s="47" t="str">
        <x:v>β atividade</x:v>
      </x:c>
      <x:c r="B12" s="47" t="str">
        <x:v>Beta padronizado do modelo setorial de earnings versus atividade; exibido apenas como referência no Resumo.</x:v>
      </x:c>
      <x:c r="C12" s="47" t="str">
        <x:v>É associação estimada, não causalidade.</x:v>
      </x:c>
    </x:row>
    <x:row r="13" ht="56" customHeight="1">
      <x:c r="A13" s="47" t="str">
        <x:v>β juros</x:v>
      </x:c>
      <x:c r="B13" s="47" t="str">
        <x:v>Campo bp do arquivo oficial de sensibilidade setorial a juros; exibido apenas como referência no Resumo.</x:v>
      </x:c>
      <x:c r="C13" s="47" t="str">
        <x:v>É saída do modelo de retornos e não substitui a série bruta.</x:v>
      </x:c>
    </x:row>
    <x:row r="15">
      <x:c r="A15" s="28" t="str">
        <x:v>Fontes e artefatos de auditoria</x:v>
      </x:c>
      <x:c r="B15" s="28"/>
      <x:c r="C15" s="28"/>
    </x:row>
    <x:row r="16">
      <x:c r="A16" s="49" t="str">
        <x:v>Base primária</x:v>
      </x:c>
      <x:c r="B16" s="49" t="str">
        <x:v>companies_raw.pkl</x:v>
      </x:c>
      <x:c r="C16" s="49" t="str">
        <x:v>Séries Bloomberg BEst Net Income consolidadas no projeto.</x:v>
      </x:c>
    </x:row>
    <x:row r="17">
      <x:c r="A17" s="49" t="str">
        <x:v>Mapa final</x:v>
      </x:c>
      <x:c r="B17" s="49" t="str">
        <x:v>mapa_sector_xp_auditado.pkl</x:v>
      </x:c>
      <x:c r="C17" s="49" t="str">
        <x:v>Mapa setorial auditado usado neste arquivo.</x:v>
      </x:c>
    </x:row>
    <x:row r="18">
      <x:c r="A18" s="49" t="str">
        <x:v>Atividade</x:v>
      </x:c>
      <x:c r="B18" s="49" t="str">
        <x:v>11_resultados_nivel.csv</x:v>
      </x:c>
      <x:c r="C18" s="49" t="str">
        <x:v>Resultados do teste principal com delta da soma em nível.</x:v>
      </x:c>
    </x:row>
    <x:row r="19">
      <x:c r="A19" s="49" t="str">
        <x:v>Juros</x:v>
      </x:c>
      <x:c r="B19" s="49" t="str">
        <x:v>setores_beta_juros_oficial.csv</x:v>
      </x:c>
      <x:c r="C19" s="49" t="str">
        <x:v>Sensibilidades oficiais utilizadas no Resumo.</x:v>
      </x:c>
    </x:row>
    <x:row r="20">
      <x:c r="A20" s="49" t="str">
        <x:v>Preparação</x:v>
      </x:c>
      <x:c r="B20" s="49" t="str">
        <x:v>13_preparar_series_earnings.py</x:v>
      </x:c>
      <x:c r="C20" s="49" t="str">
        <x:v>Script reprodutível que gera as tabelas-fonte da planilha.</x:v>
      </x:c>
    </x:row>
  </x:sheetData>
  <x:mergeCells>
    <x:mergeCell ref="A1:C1"/>
    <x:mergeCell ref="A2:C2"/>
    <x:mergeCell ref="A15:C15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39" hidden="0" customWidth="1"/>
  </x:cols>
  <x:sheetData>
    <x:row r="1" ht="27" customHeight="1">
      <x:c r="A1" s="3" t="str">
        <x:v>Checks de integridade</x:v>
      </x:c>
      <x:c r="B1" s="3"/>
      <x:c r="C1" s="3"/>
      <x:c r="D1" s="3"/>
      <x:c r="E1" s="3"/>
      <x:c r="F1" s="3"/>
      <x:c r="G1" s="3"/>
    </x:row>
    <x:row r="2" ht="30" customHeight="1">
      <x:c r="A2" s="7" t="str">
        <x:v>Validações de dimensão, datas, mapeamento e cobertura do arquivo.</x:v>
      </x:c>
      <x:c r="B2" s="7"/>
      <x:c r="C2" s="7"/>
      <x:c r="D2" s="7"/>
      <x:c r="E2" s="7"/>
      <x:c r="F2" s="7"/>
      <x:c r="G2" s="7"/>
    </x:row>
    <x:row r="4">
      <x:c r="A4" s="44" t="str">
        <x:v>Check</x:v>
      </x:c>
      <x:c r="B4" s="44" t="str">
        <x:v>Atual</x:v>
      </x:c>
      <x:c r="C4" s="44" t="str">
        <x:v>Esperado</x:v>
      </x:c>
      <x:c r="D4" s="44" t="str">
        <x:v>Diferença</x:v>
      </x:c>
      <x:c r="E4" s="44" t="str">
        <x:v>Tolerância</x:v>
      </x:c>
      <x:c r="F4" s="44" t="str">
        <x:v>Status</x:v>
      </x:c>
      <x:c r="G4" s="44" t="str">
        <x:v>Observação</x:v>
      </x:c>
    </x:row>
    <x:row r="5">
      <x:c r="A5" s="35" t="str">
        <x:v>Setores na aba de nível</x:v>
      </x:c>
      <x:c r="B5" s="52" t="n">
        <x:f>COUNTA('Nivel Setorial'!B4:R4)</x:f>
        <x:v>17</x:v>
      </x:c>
      <x:c r="C5" s="52" t="n">
        <x:f>17</x:f>
        <x:v>17</x:v>
      </x:c>
      <x:c r="D5" s="52" t="n">
        <x:f>B5-C5</x:f>
        <x:v>0</x:v>
      </x:c>
      <x:c r="E5" s="52" t="n">
        <x:v>0</x:v>
      </x:c>
      <x:c r="F5" s="52" t="str">
        <x:f>IF(ABS(D5)&lt;=E5,"OK","ERRO")</x:f>
        <x:v>OK</x:v>
      </x:c>
      <x:c r="G5" s="35" t="str">
        <x:v>Colunas setoriais esperadas</x:v>
      </x:c>
    </x:row>
    <x:row r="6">
      <x:c r="A6" s="35" t="str">
        <x:v>Meses na aba de nível</x:v>
      </x:c>
      <x:c r="B6" s="52" t="n">
        <x:f>COUNTA('Nivel Setorial'!A5:A203)</x:f>
        <x:v>199</x:v>
      </x:c>
      <x:c r="C6" s="52" t="n">
        <x:f>199</x:f>
        <x:v>199</x:v>
      </x:c>
      <x:c r="D6" s="52" t="n">
        <x:f>B6-C6</x:f>
        <x:v>0</x:v>
      </x:c>
      <x:c r="E6" s="52" t="n">
        <x:v>0</x:v>
      </x:c>
      <x:c r="F6" s="52" t="str">
        <x:f>IF(ABS(D6)&lt;=E6,"OK","ERRO")</x:f>
        <x:v>OK</x:v>
      </x:c>
      <x:c r="G6" s="35" t="str">
        <x:v>Série mensal completa</x:v>
      </x:c>
    </x:row>
    <x:row r="7">
      <x:c r="A7" s="35" t="str">
        <x:v>Setores na aba de revisão</x:v>
      </x:c>
      <x:c r="B7" s="52" t="n">
        <x:f>COUNTA('Revisao 3M'!B4:R4)</x:f>
        <x:v>17</x:v>
      </x:c>
      <x:c r="C7" s="52" t="n">
        <x:f>17</x:f>
        <x:v>17</x:v>
      </x:c>
      <x:c r="D7" s="52" t="n">
        <x:f>B7-C7</x:f>
        <x:v>0</x:v>
      </x:c>
      <x:c r="E7" s="52" t="n">
        <x:v>0</x:v>
      </x:c>
      <x:c r="F7" s="52" t="str">
        <x:f>IF(ABS(D7)&lt;=E7,"OK","ERRO")</x:f>
        <x:v>OK</x:v>
      </x:c>
      <x:c r="G7" s="35" t="str">
        <x:v>Colunas setoriais esperadas</x:v>
      </x:c>
    </x:row>
    <x:row r="8">
      <x:c r="A8" s="35" t="str">
        <x:v>Meses na aba de revisão</x:v>
      </x:c>
      <x:c r="B8" s="52" t="n">
        <x:f>COUNTA('Revisao 3M'!A5:A200)</x:f>
        <x:v>196</x:v>
      </x:c>
      <x:c r="C8" s="52" t="n">
        <x:f>196</x:f>
        <x:v>196</x:v>
      </x:c>
      <x:c r="D8" s="52" t="n">
        <x:f>B8-C8</x:f>
        <x:v>0</x:v>
      </x:c>
      <x:c r="E8" s="52" t="n">
        <x:v>0</x:v>
      </x:c>
      <x:c r="F8" s="52" t="str">
        <x:f>IF(ABS(D8)&lt;=E8,"OK","ERRO")</x:f>
        <x:v>OK</x:v>
      </x:c>
      <x:c r="G8" s="35" t="str">
        <x:v>Três observações a menos pela janela</x:v>
      </x:c>
    </x:row>
    <x:row r="9">
      <x:c r="A9" s="35" t="str">
        <x:v>Último mês: nível x cobertura</x:v>
      </x:c>
      <x:c r="B9" s="53" t="n">
        <x:f>'Nivel Setorial'!A203</x:f>
        <x:v>46204</x:v>
      </x:c>
      <x:c r="C9" s="53" t="n">
        <x:f>'Cobertura'!A203</x:f>
        <x:v>46204</x:v>
      </x:c>
      <x:c r="D9" s="52" t="n">
        <x:f>B9-C9</x:f>
        <x:v>0</x:v>
      </x:c>
      <x:c r="E9" s="52" t="n">
        <x:v>0</x:v>
      </x:c>
      <x:c r="F9" s="52" t="str">
        <x:f>IF(ABS(D9)&lt;=E9,"OK","ERRO")</x:f>
        <x:v>OK</x:v>
      </x:c>
      <x:c r="G9" s="35" t="str">
        <x:v>Datas devem coincidir</x:v>
      </x:c>
    </x:row>
    <x:row r="10">
      <x:c r="A10" s="35" t="str">
        <x:v>Último mês: revisão x cobertura</x:v>
      </x:c>
      <x:c r="B10" s="53" t="n">
        <x:f>'Revisao 3M'!A200</x:f>
        <x:v>46204</x:v>
      </x:c>
      <x:c r="C10" s="53" t="n">
        <x:f>'Cobertura Revisao'!A200</x:f>
        <x:v>46204</x:v>
      </x:c>
      <x:c r="D10" s="52" t="n">
        <x:f>B10-C10</x:f>
        <x:v>0</x:v>
      </x:c>
      <x:c r="E10" s="52" t="n">
        <x:v>0</x:v>
      </x:c>
      <x:c r="F10" s="52" t="str">
        <x:f>IF(ABS(D10)&lt;=E10,"OK","ERRO")</x:f>
        <x:v>OK</x:v>
      </x:c>
      <x:c r="G10" s="35" t="str">
        <x:v>Datas devem coincidir</x:v>
      </x:c>
    </x:row>
    <x:row r="11">
      <x:c r="A11" s="35" t="str">
        <x:v>Linhas da base por empresa</x:v>
      </x:c>
      <x:c r="B11" s="52" t="n">
        <x:f>COUNTA('Base Empresa'!B5:B13826)</x:f>
        <x:v>13822</x:v>
      </x:c>
      <x:c r="C11" s="52" t="n">
        <x:f>13822</x:f>
        <x:v>13822</x:v>
      </x:c>
      <x:c r="D11" s="52" t="n">
        <x:f>B11-C11</x:f>
        <x:v>0</x:v>
      </x:c>
      <x:c r="E11" s="52" t="n">
        <x:v>0</x:v>
      </x:c>
      <x:c r="F11" s="52" t="str">
        <x:f>IF(ABS(D11)&lt;=E11,"OK","ERRO")</x:f>
        <x:v>OK</x:v>
      </x:c>
      <x:c r="G11" s="35" t="str">
        <x:v>Após deduplicação</x:v>
      </x:c>
    </x:row>
    <x:row r="12">
      <x:c r="A12" s="35" t="str">
        <x:v>Linhas do mapa auditado</x:v>
      </x:c>
      <x:c r="B12" s="52" t="n">
        <x:f>COUNTA('Mapa Setorial'!A5:A165)</x:f>
        <x:v>161</x:v>
      </x:c>
      <x:c r="C12" s="52" t="n">
        <x:f>161</x:f>
        <x:v>161</x:v>
      </x:c>
      <x:c r="D12" s="52" t="n">
        <x:f>B12-C12</x:f>
        <x:v>0</x:v>
      </x:c>
      <x:c r="E12" s="52" t="n">
        <x:v>0</x:v>
      </x:c>
      <x:c r="F12" s="52" t="str">
        <x:f>IF(ABS(D12)&lt;=E12,"OK","ERRO")</x:f>
        <x:v>OK</x:v>
      </x:c>
      <x:c r="G12" s="35" t="str">
        <x:v>Inclui todas as séries mapeadas</x:v>
      </x:c>
    </x:row>
    <x:row r="13">
      <x:c r="A13" s="35" t="str">
        <x:v>Setores vazios no mapa final</x:v>
      </x:c>
      <x:c r="B13" s="52" t="n">
        <x:f>COUNTBLANK('Mapa Setorial'!E5:E165)</x:f>
        <x:v>0</x:v>
      </x:c>
      <x:c r="C13" s="52" t="n">
        <x:f>0</x:f>
        <x:v>0</x:v>
      </x:c>
      <x:c r="D13" s="52" t="n">
        <x:f>B13-C13</x:f>
        <x:v>0</x:v>
      </x:c>
      <x:c r="E13" s="52" t="n">
        <x:v>0</x:v>
      </x:c>
      <x:c r="F13" s="52" t="str">
        <x:f>IF(ABS(D13)&lt;=E13,"OK","ERRO")</x:f>
        <x:v>OK</x:v>
      </x:c>
      <x:c r="G13" s="35" t="str">
        <x:v>Nenhum mapeamento final pode estar vazio</x:v>
      </x:c>
    </x:row>
    <x:row r="14">
      <x:c r="A14" s="35" t="str">
        <x:v>Setores na aba Base 100</x:v>
      </x:c>
      <x:c r="B14" s="52" t="n">
        <x:f>COUNTA('Nivel Base 100'!B4:R4)</x:f>
        <x:v>17</x:v>
      </x:c>
      <x:c r="C14" s="52" t="n">
        <x:f>17</x:f>
        <x:v>17</x:v>
      </x:c>
      <x:c r="D14" s="52" t="n">
        <x:f>B14-C14</x:f>
        <x:v>0</x:v>
      </x:c>
      <x:c r="E14" s="52" t="n">
        <x:v>0</x:v>
      </x:c>
      <x:c r="F14" s="52" t="str">
        <x:f>IF(ABS(D14)&lt;=E14,"OK","ERRO")</x:f>
        <x:v>OK</x:v>
      </x:c>
      <x:c r="G14" s="35" t="str">
        <x:v>Colunas setoriais esperadas</x:v>
      </x:c>
    </x:row>
    <x:row r="15">
      <x:c r="A15" s="35" t="str">
        <x:v>Meses na aba Base 100</x:v>
      </x:c>
      <x:c r="B15" s="52" t="n">
        <x:f>COUNTA('Nivel Base 100'!A5:A203)</x:f>
        <x:v>199</x:v>
      </x:c>
      <x:c r="C15" s="52" t="n">
        <x:f>199</x:f>
        <x:v>199</x:v>
      </x:c>
      <x:c r="D15" s="52" t="n">
        <x:f>B15-C15</x:f>
        <x:v>0</x:v>
      </x:c>
      <x:c r="E15" s="52" t="n">
        <x:v>0</x:v>
      </x:c>
      <x:c r="F15" s="52" t="str">
        <x:f>IF(ABS(D15)&lt;=E15,"OK","ERRO")</x:f>
        <x:v>OK</x:v>
      </x:c>
      <x:c r="G15" s="35" t="str">
        <x:v>Mesmo eixo mensal da série de nível</x:v>
      </x:c>
    </x:row>
    <x:row r="16">
      <x:c r="A16" s="35" t="str">
        <x:v>Primeira observação válida = 100</x:v>
      </x:c>
      <x:c r="B16" s="52" t="n">
        <x:f>ABS('Nivel Base 100'!B45-100)+ABS('Nivel Base 100'!C5-100)+ABS('Nivel Base 100'!D5-100)+ABS('Nivel Base 100'!E49-100)+ABS('Nivel Base 100'!F5-100)+ABS('Nivel Base 100'!G5-100)+ABS('Nivel Base 100'!H17-100)+ABS('Nivel Base 100'!I5-100)+ABS('Nivel Base 100'!J25-100)+ABS('Nivel Base 100'!K5-100)+ABS('Nivel Base 100'!L5-100)+ABS('Nivel Base 100'!M5-100)+ABS('Nivel Base 100'!N5-100)+ABS('Nivel Base 100'!O5-100)+ABS('Nivel Base 100'!P5-100)+ABS('Nivel Base 100'!Q5-100)+ABS('Nivel Base 100'!R5-100)</x:f>
        <x:v>0</x:v>
      </x:c>
      <x:c r="C16" s="52" t="n">
        <x:f>0</x:f>
        <x:v>0</x:v>
      </x:c>
      <x:c r="D16" s="52" t="n">
        <x:f>B16-C16</x:f>
        <x:v>0</x:v>
      </x:c>
      <x:c r="E16" s="52" t="n">
        <x:v>0</x:v>
      </x:c>
      <x:c r="F16" s="52" t="str">
        <x:f>IF(ABS(D16)&lt;=E16,"OK","ERRO")</x:f>
        <x:v>OK</x:v>
      </x:c>
      <x:c r="G16" s="35" t="str">
        <x:v>Soma dos desvios absolutos nas 17 bases</x:v>
      </x:c>
    </x:row>
  </x:sheetData>
  <x:mergeCells>
    <x:mergeCell ref="A1:G1"/>
    <x:mergeCell ref="A2:G2"/>
  </x:mergeCells>
  <x:pageMargins left="0.7" right="0.7" top="0.75" bottom="0.75" header="0.3" footer="0.3"/>
</x:worksheet>
</file>